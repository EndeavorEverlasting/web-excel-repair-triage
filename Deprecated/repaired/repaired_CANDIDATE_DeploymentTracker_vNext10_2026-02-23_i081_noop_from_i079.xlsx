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D:\working\waccache\BL6PEPF0000D028\EXCELCNV\ca06c7f7-55a1-47cd-bda0-4a1df3562790\"/>
    </mc:Choice>
  </mc:AlternateContent>
  <xr:revisionPtr revIDLastSave="0" documentId="8_{ACF1D50F-B7D3-423A-BD25-1D2AB933150B}" xr6:coauthVersionLast="47" xr6:coauthVersionMax="47" xr10:uidLastSave="{00000000-0000-0000-0000-000000000000}"/>
  <bookViews>
    <workbookView xWindow="-60" yWindow="-60" windowWidth="15480" windowHeight="11640" firstSheet="9" activeTab="9" xr2:uid="{00000000-000D-0000-FFFF-FFFF00000000}"/>
  </bookViews>
  <sheets>
    <sheet name="00_Error_Log_Device_Config" sheetId="1" r:id="rId1"/>
    <sheet name="00_CF_Dictionary" sheetId="2" r:id="rId2"/>
    <sheet name="00_README" sheetId="3" r:id="rId3"/>
    <sheet name="01_Warehouse_Ledger" sheetId="4" r:id="rId4"/>
    <sheet name="02_Warehouse_Locations" sheetId="5" r:id="rId5"/>
    <sheet name="03_Warehouse_Movements" sheetId="6" r:id="rId6"/>
    <sheet name="04_Label_Export" sheetId="7" r:id="rId7"/>
    <sheet name="05_Scan_Lookup" sheetId="8" r:id="rId8"/>
    <sheet name="06_Warehouse_Map" sheetId="9" r:id="rId9"/>
    <sheet name="07_Pallet_Contents" sheetId="10" r:id="rId10"/>
    <sheet name="11 - Inventory Master" sheetId="11" r:id="rId11"/>
    <sheet name="12 - Device_Configuration" sheetId="12" r:id="rId12"/>
    <sheet name="15 - Imaging Progress " sheetId="13" r:id="rId13"/>
    <sheet name="13 - Config_Intake_View" sheetId="14" r:id="rId14"/>
    <sheet name="14 - Config Log" sheetId="15" r:id="rId15"/>
    <sheet name="14A - Config Snapshot" sheetId="16" r:id="rId16"/>
    <sheet name="20_WAVE_1" sheetId="17" r:id="rId17"/>
    <sheet name="21_WAVE_2" sheetId="18" r:id="rId18"/>
    <sheet name="24_ADDONS" sheetId="19" r:id="rId19"/>
    <sheet name="22_PO_CDW" sheetId="20" r:id="rId20"/>
    <sheet name="23_SPARES" sheetId="21" r:id="rId21"/>
    <sheet name="30 - Task List - Gantt Scratch" sheetId="22" r:id="rId22"/>
    <sheet name="40_Dashboard" sheetId="23" r:id="rId23"/>
    <sheet name="50_Checklists" sheetId="24" r:id="rId24"/>
    <sheet name="60_Readiness_Heatmap" sheetId="25" r:id="rId25"/>
    <sheet name="90_Formula_Library" sheetId="26" r:id="rId26"/>
    <sheet name="99_Config" sheetId="27" r:id="rId27"/>
  </sheets>
  <definedNames>
    <definedName name="_xlnm._FilterDatabase" localSheetId="13" hidden="1">'13 - Config_Intake_View'!$A$1:$AA$1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6" i="26" l="1"/>
  <c r="A65" i="26"/>
  <c r="A64" i="26"/>
  <c r="A63" i="26"/>
  <c r="A62" i="26"/>
  <c r="A61" i="26"/>
  <c r="A60" i="26"/>
  <c r="A59" i="26"/>
  <c r="A57" i="26"/>
  <c r="A56" i="26"/>
  <c r="A55" i="26"/>
  <c r="A54" i="26"/>
  <c r="A51" i="26"/>
  <c r="A50" i="26"/>
  <c r="A47" i="26"/>
  <c r="A45" i="26"/>
  <c r="A44" i="26"/>
  <c r="A43" i="26"/>
  <c r="A42" i="26"/>
  <c r="A41" i="26"/>
  <c r="A40" i="26"/>
  <c r="A39" i="26"/>
  <c r="A38" i="26"/>
  <c r="A37" i="26"/>
  <c r="A36" i="26"/>
  <c r="A35" i="26"/>
  <c r="A34" i="26"/>
  <c r="A33" i="26"/>
  <c r="A32" i="26"/>
  <c r="A31" i="26"/>
  <c r="A30" i="26"/>
  <c r="A29" i="26"/>
  <c r="A28" i="26"/>
  <c r="A27" i="26"/>
  <c r="A26" i="26"/>
  <c r="A25" i="26"/>
  <c r="A24" i="26"/>
  <c r="A23" i="26"/>
  <c r="A22" i="26"/>
  <c r="A21" i="26"/>
  <c r="A20" i="26"/>
  <c r="A19" i="26"/>
  <c r="A18" i="26"/>
  <c r="A17" i="26"/>
  <c r="A16" i="26"/>
  <c r="A15" i="26"/>
  <c r="A14" i="26"/>
  <c r="A13" i="26"/>
  <c r="A12" i="26"/>
  <c r="A11" i="26"/>
  <c r="A10" i="26"/>
  <c r="A9" i="26"/>
  <c r="A8" i="26"/>
  <c r="A7" i="26"/>
  <c r="A6" i="26"/>
  <c r="A5" i="26"/>
  <c r="A4" i="26"/>
  <c r="B18" i="23" a="1"/>
  <c r="B18" i="23"/>
  <c r="B17" i="23" a="1"/>
  <c r="B17" i="23"/>
  <c r="B16" i="23" a="1"/>
  <c r="B16" i="23"/>
  <c r="B15" i="23" a="1"/>
  <c r="B15" i="23"/>
  <c r="H21" i="21"/>
  <c r="F8" i="23" s="1"/>
  <c r="G21" i="21"/>
  <c r="E8" i="23" s="1"/>
  <c r="F21" i="21"/>
  <c r="D8" i="23" s="1"/>
  <c r="E21" i="21"/>
  <c r="D21" i="21"/>
  <c r="C21" i="21"/>
  <c r="B21" i="21"/>
  <c r="K19" i="21"/>
  <c r="J19" i="21"/>
  <c r="K18" i="21"/>
  <c r="J18" i="21"/>
  <c r="K17" i="21"/>
  <c r="J17" i="21"/>
  <c r="K16" i="21"/>
  <c r="J16" i="21"/>
  <c r="K15" i="21"/>
  <c r="J15" i="21"/>
  <c r="K14" i="21"/>
  <c r="J14" i="21"/>
  <c r="K13" i="21"/>
  <c r="J13" i="21"/>
  <c r="K12" i="21"/>
  <c r="J12" i="21"/>
  <c r="K11" i="21"/>
  <c r="J11" i="21"/>
  <c r="K10" i="21"/>
  <c r="J10" i="21"/>
  <c r="K9" i="21"/>
  <c r="J9" i="21"/>
  <c r="K8" i="21"/>
  <c r="J8" i="21"/>
  <c r="K7" i="21"/>
  <c r="J7" i="21"/>
  <c r="K6" i="21"/>
  <c r="J6" i="21"/>
  <c r="K5" i="21"/>
  <c r="J5" i="21"/>
  <c r="K4" i="21"/>
  <c r="J4" i="21"/>
  <c r="K3" i="21"/>
  <c r="K21" i="21" s="1"/>
  <c r="C8" i="23" s="1"/>
  <c r="J3" i="21"/>
  <c r="J21" i="21" s="1"/>
  <c r="B8" i="23" s="1"/>
  <c r="H21" i="20"/>
  <c r="F7" i="23" s="1"/>
  <c r="G21" i="20"/>
  <c r="E7" i="23" s="1"/>
  <c r="F21" i="20"/>
  <c r="D7" i="23" s="1"/>
  <c r="E21" i="20"/>
  <c r="D21" i="20"/>
  <c r="C21" i="20"/>
  <c r="B21" i="20"/>
  <c r="K19" i="20"/>
  <c r="J19" i="20"/>
  <c r="K18" i="20"/>
  <c r="J18" i="20"/>
  <c r="K17" i="20"/>
  <c r="J17" i="20"/>
  <c r="K16" i="20"/>
  <c r="J16" i="20"/>
  <c r="K15" i="20"/>
  <c r="J15" i="20"/>
  <c r="K14" i="20"/>
  <c r="J14" i="20"/>
  <c r="K13" i="20"/>
  <c r="J13" i="20"/>
  <c r="K12" i="20"/>
  <c r="J12" i="20"/>
  <c r="K11" i="20"/>
  <c r="J11" i="20"/>
  <c r="K10" i="20"/>
  <c r="J10" i="20"/>
  <c r="K9" i="20"/>
  <c r="J9" i="20"/>
  <c r="K8" i="20"/>
  <c r="J8" i="20"/>
  <c r="K7" i="20"/>
  <c r="J7" i="20"/>
  <c r="K6" i="20"/>
  <c r="J6" i="20"/>
  <c r="K5" i="20"/>
  <c r="J5" i="20"/>
  <c r="K4" i="20"/>
  <c r="J4" i="20"/>
  <c r="K3" i="20"/>
  <c r="K21" i="20" s="1"/>
  <c r="C7" i="23" s="1"/>
  <c r="J3" i="20"/>
  <c r="J21" i="20" s="1"/>
  <c r="B7" i="23" s="1"/>
  <c r="H21" i="19"/>
  <c r="F9" i="23" s="1"/>
  <c r="G21" i="19"/>
  <c r="E9" i="23" s="1"/>
  <c r="F21" i="19"/>
  <c r="D9" i="23" s="1"/>
  <c r="E21" i="19"/>
  <c r="D21" i="19"/>
  <c r="C21" i="19"/>
  <c r="B21" i="19"/>
  <c r="K19" i="19"/>
  <c r="J19" i="19"/>
  <c r="K18" i="19"/>
  <c r="J18" i="19"/>
  <c r="K17" i="19"/>
  <c r="J17" i="19"/>
  <c r="K16" i="19"/>
  <c r="J16" i="19"/>
  <c r="K15" i="19"/>
  <c r="J15" i="19"/>
  <c r="K14" i="19"/>
  <c r="J14" i="19"/>
  <c r="K13" i="19"/>
  <c r="J13" i="19"/>
  <c r="K12" i="19"/>
  <c r="J12" i="19"/>
  <c r="K11" i="19"/>
  <c r="J11" i="19"/>
  <c r="K10" i="19"/>
  <c r="J10" i="19"/>
  <c r="K9" i="19"/>
  <c r="J9" i="19"/>
  <c r="K8" i="19"/>
  <c r="J8" i="19"/>
  <c r="K7" i="19"/>
  <c r="J7" i="19"/>
  <c r="K6" i="19"/>
  <c r="J6" i="19"/>
  <c r="K5" i="19"/>
  <c r="J5" i="19"/>
  <c r="K4" i="19"/>
  <c r="J4" i="19"/>
  <c r="K3" i="19"/>
  <c r="K21" i="19" s="1"/>
  <c r="C9" i="23" s="1"/>
  <c r="J3" i="19"/>
  <c r="J21" i="19" s="1"/>
  <c r="B9" i="23" s="1"/>
  <c r="H21" i="18"/>
  <c r="F6" i="23" s="1"/>
  <c r="G21" i="18"/>
  <c r="E6" i="23" s="1"/>
  <c r="F21" i="18"/>
  <c r="D6" i="23" s="1"/>
  <c r="E21" i="18"/>
  <c r="D21" i="18"/>
  <c r="C21" i="18"/>
  <c r="B21" i="18"/>
  <c r="K19" i="18"/>
  <c r="J19" i="18"/>
  <c r="K18" i="18"/>
  <c r="J18" i="18"/>
  <c r="K17" i="18"/>
  <c r="J17" i="18"/>
  <c r="K16" i="18"/>
  <c r="J16" i="18"/>
  <c r="K15" i="18"/>
  <c r="J15" i="18"/>
  <c r="K14" i="18"/>
  <c r="J14" i="18"/>
  <c r="K13" i="18"/>
  <c r="J13" i="18"/>
  <c r="K12" i="18"/>
  <c r="J12" i="18"/>
  <c r="K11" i="18"/>
  <c r="J11" i="18"/>
  <c r="K10" i="18"/>
  <c r="J10" i="18"/>
  <c r="K9" i="18"/>
  <c r="J9" i="18"/>
  <c r="K8" i="18"/>
  <c r="J8" i="18"/>
  <c r="K7" i="18"/>
  <c r="J7" i="18"/>
  <c r="K6" i="18"/>
  <c r="J6" i="18"/>
  <c r="K5" i="18"/>
  <c r="J5" i="18"/>
  <c r="K4" i="18"/>
  <c r="J4" i="18"/>
  <c r="K3" i="18"/>
  <c r="K21" i="18" s="1"/>
  <c r="C6" i="23" s="1"/>
  <c r="J3" i="18"/>
  <c r="J21" i="18" s="1"/>
  <c r="B6" i="23" s="1"/>
  <c r="H21" i="17"/>
  <c r="F5" i="23" s="1"/>
  <c r="G21" i="17"/>
  <c r="E5" i="23" s="1"/>
  <c r="F21" i="17"/>
  <c r="D5" i="23" s="1"/>
  <c r="E21" i="17"/>
  <c r="D21" i="17"/>
  <c r="C21" i="17"/>
  <c r="B21" i="17"/>
  <c r="K19" i="17"/>
  <c r="J19" i="17"/>
  <c r="K18" i="17"/>
  <c r="J18" i="17"/>
  <c r="K17" i="17"/>
  <c r="J17" i="17"/>
  <c r="K16" i="17"/>
  <c r="J16" i="17"/>
  <c r="K15" i="17"/>
  <c r="J15" i="17"/>
  <c r="K14" i="17"/>
  <c r="J14" i="17"/>
  <c r="K13" i="17"/>
  <c r="J13" i="17"/>
  <c r="K12" i="17"/>
  <c r="J12" i="17"/>
  <c r="K11" i="17"/>
  <c r="J11" i="17"/>
  <c r="K10" i="17"/>
  <c r="J10" i="17"/>
  <c r="K9" i="17"/>
  <c r="J9" i="17"/>
  <c r="K8" i="17"/>
  <c r="J8" i="17"/>
  <c r="K7" i="17"/>
  <c r="J7" i="17"/>
  <c r="K6" i="17"/>
  <c r="J6" i="17"/>
  <c r="K5" i="17"/>
  <c r="J5" i="17"/>
  <c r="K4" i="17"/>
  <c r="J4" i="17"/>
  <c r="K3" i="17"/>
  <c r="K21" i="17" s="1"/>
  <c r="C5" i="23" s="1"/>
  <c r="J3" i="17"/>
  <c r="J21" i="17" s="1"/>
  <c r="B5" i="23" s="1"/>
  <c r="P503" i="15"/>
  <c r="M503" i="15"/>
  <c r="L503" i="15"/>
  <c r="K503" i="15"/>
  <c r="J503" i="15"/>
  <c r="I503" i="15"/>
  <c r="R503" i="15" s="1"/>
  <c r="H503" i="15"/>
  <c r="G503" i="15"/>
  <c r="F503" i="15"/>
  <c r="E503" i="15"/>
  <c r="D503" i="15"/>
  <c r="C503" i="15"/>
  <c r="B503" i="15"/>
  <c r="A503" i="15"/>
  <c r="Q503" i="15" s="1"/>
  <c r="P502" i="15"/>
  <c r="M502" i="15"/>
  <c r="L502" i="15"/>
  <c r="K502" i="15"/>
  <c r="J502" i="15"/>
  <c r="I502" i="15"/>
  <c r="R502" i="15" s="1"/>
  <c r="H502" i="15"/>
  <c r="G502" i="15"/>
  <c r="F502" i="15"/>
  <c r="E502" i="15"/>
  <c r="D502" i="15"/>
  <c r="C502" i="15"/>
  <c r="B502" i="15"/>
  <c r="A502" i="15"/>
  <c r="Q502" i="15" s="1"/>
  <c r="P501" i="15"/>
  <c r="M501" i="15"/>
  <c r="L501" i="15"/>
  <c r="K501" i="15"/>
  <c r="J501" i="15"/>
  <c r="I501" i="15"/>
  <c r="R501" i="15" s="1"/>
  <c r="H501" i="15"/>
  <c r="G501" i="15"/>
  <c r="F501" i="15"/>
  <c r="E501" i="15"/>
  <c r="D501" i="15"/>
  <c r="C501" i="15"/>
  <c r="B501" i="15"/>
  <c r="A501" i="15"/>
  <c r="Q501" i="15" s="1"/>
  <c r="P500" i="15"/>
  <c r="M500" i="15"/>
  <c r="L500" i="15"/>
  <c r="K500" i="15"/>
  <c r="J500" i="15"/>
  <c r="I500" i="15"/>
  <c r="R500" i="15" s="1"/>
  <c r="H500" i="15"/>
  <c r="G500" i="15"/>
  <c r="F500" i="15"/>
  <c r="E500" i="15"/>
  <c r="D500" i="15"/>
  <c r="C500" i="15"/>
  <c r="B500" i="15"/>
  <c r="A500" i="15"/>
  <c r="Q500" i="15" s="1"/>
  <c r="P499" i="15"/>
  <c r="M499" i="15"/>
  <c r="L499" i="15"/>
  <c r="K499" i="15"/>
  <c r="J499" i="15"/>
  <c r="I499" i="15"/>
  <c r="R499" i="15" s="1"/>
  <c r="H499" i="15"/>
  <c r="G499" i="15"/>
  <c r="F499" i="15"/>
  <c r="E499" i="15"/>
  <c r="D499" i="15"/>
  <c r="C499" i="15"/>
  <c r="B499" i="15"/>
  <c r="A499" i="15"/>
  <c r="Q499" i="15" s="1"/>
  <c r="P498" i="15"/>
  <c r="M498" i="15"/>
  <c r="L498" i="15"/>
  <c r="K498" i="15"/>
  <c r="J498" i="15"/>
  <c r="I498" i="15"/>
  <c r="R498" i="15" s="1"/>
  <c r="H498" i="15"/>
  <c r="G498" i="15"/>
  <c r="F498" i="15"/>
  <c r="E498" i="15"/>
  <c r="D498" i="15"/>
  <c r="C498" i="15"/>
  <c r="B498" i="15"/>
  <c r="A498" i="15"/>
  <c r="Q498" i="15" s="1"/>
  <c r="P497" i="15"/>
  <c r="M497" i="15"/>
  <c r="L497" i="15"/>
  <c r="K497" i="15"/>
  <c r="J497" i="15"/>
  <c r="I497" i="15"/>
  <c r="R497" i="15" s="1"/>
  <c r="H497" i="15"/>
  <c r="G497" i="15"/>
  <c r="F497" i="15"/>
  <c r="E497" i="15"/>
  <c r="D497" i="15"/>
  <c r="C497" i="15"/>
  <c r="B497" i="15"/>
  <c r="A497" i="15"/>
  <c r="Q497" i="15" s="1"/>
  <c r="P496" i="15"/>
  <c r="M496" i="15"/>
  <c r="L496" i="15"/>
  <c r="K496" i="15"/>
  <c r="J496" i="15"/>
  <c r="I496" i="15"/>
  <c r="R496" i="15" s="1"/>
  <c r="H496" i="15"/>
  <c r="G496" i="15"/>
  <c r="F496" i="15"/>
  <c r="E496" i="15"/>
  <c r="D496" i="15"/>
  <c r="C496" i="15"/>
  <c r="B496" i="15"/>
  <c r="A496" i="15"/>
  <c r="Q496" i="15" s="1"/>
  <c r="P495" i="15"/>
  <c r="M495" i="15"/>
  <c r="L495" i="15"/>
  <c r="K495" i="15"/>
  <c r="J495" i="15"/>
  <c r="I495" i="15"/>
  <c r="R495" i="15" s="1"/>
  <c r="H495" i="15"/>
  <c r="G495" i="15"/>
  <c r="F495" i="15"/>
  <c r="E495" i="15"/>
  <c r="D495" i="15"/>
  <c r="C495" i="15"/>
  <c r="B495" i="15"/>
  <c r="A495" i="15"/>
  <c r="Q495" i="15" s="1"/>
  <c r="P494" i="15"/>
  <c r="M494" i="15"/>
  <c r="L494" i="15"/>
  <c r="K494" i="15"/>
  <c r="J494" i="15"/>
  <c r="I494" i="15"/>
  <c r="R494" i="15" s="1"/>
  <c r="H494" i="15"/>
  <c r="G494" i="15"/>
  <c r="F494" i="15"/>
  <c r="E494" i="15"/>
  <c r="D494" i="15"/>
  <c r="C494" i="15"/>
  <c r="B494" i="15"/>
  <c r="A494" i="15"/>
  <c r="Q494" i="15" s="1"/>
  <c r="P493" i="15"/>
  <c r="M493" i="15"/>
  <c r="L493" i="15"/>
  <c r="K493" i="15"/>
  <c r="J493" i="15"/>
  <c r="I493" i="15"/>
  <c r="R493" i="15" s="1"/>
  <c r="H493" i="15"/>
  <c r="G493" i="15"/>
  <c r="F493" i="15"/>
  <c r="E493" i="15"/>
  <c r="D493" i="15"/>
  <c r="C493" i="15"/>
  <c r="B493" i="15"/>
  <c r="A493" i="15"/>
  <c r="Q493" i="15" s="1"/>
  <c r="P492" i="15"/>
  <c r="M492" i="15"/>
  <c r="L492" i="15"/>
  <c r="K492" i="15"/>
  <c r="J492" i="15"/>
  <c r="I492" i="15"/>
  <c r="R492" i="15" s="1"/>
  <c r="H492" i="15"/>
  <c r="G492" i="15"/>
  <c r="F492" i="15"/>
  <c r="E492" i="15"/>
  <c r="D492" i="15"/>
  <c r="C492" i="15"/>
  <c r="B492" i="15"/>
  <c r="A492" i="15"/>
  <c r="Q492" i="15" s="1"/>
  <c r="P491" i="15"/>
  <c r="M491" i="15"/>
  <c r="L491" i="15"/>
  <c r="K491" i="15"/>
  <c r="J491" i="15"/>
  <c r="I491" i="15"/>
  <c r="R491" i="15" s="1"/>
  <c r="H491" i="15"/>
  <c r="G491" i="15"/>
  <c r="F491" i="15"/>
  <c r="E491" i="15"/>
  <c r="D491" i="15"/>
  <c r="C491" i="15"/>
  <c r="B491" i="15"/>
  <c r="A491" i="15"/>
  <c r="Q491" i="15" s="1"/>
  <c r="P490" i="15"/>
  <c r="M490" i="15"/>
  <c r="L490" i="15"/>
  <c r="K490" i="15"/>
  <c r="J490" i="15"/>
  <c r="I490" i="15"/>
  <c r="R490" i="15" s="1"/>
  <c r="H490" i="15"/>
  <c r="G490" i="15"/>
  <c r="F490" i="15"/>
  <c r="E490" i="15"/>
  <c r="D490" i="15"/>
  <c r="C490" i="15"/>
  <c r="B490" i="15"/>
  <c r="A490" i="15"/>
  <c r="Q490" i="15" s="1"/>
  <c r="P489" i="15"/>
  <c r="M489" i="15"/>
  <c r="L489" i="15"/>
  <c r="K489" i="15"/>
  <c r="J489" i="15"/>
  <c r="I489" i="15"/>
  <c r="R489" i="15" s="1"/>
  <c r="H489" i="15"/>
  <c r="G489" i="15"/>
  <c r="F489" i="15"/>
  <c r="E489" i="15"/>
  <c r="D489" i="15"/>
  <c r="C489" i="15"/>
  <c r="B489" i="15"/>
  <c r="A489" i="15"/>
  <c r="Q489" i="15" s="1"/>
  <c r="P488" i="15"/>
  <c r="M488" i="15"/>
  <c r="L488" i="15"/>
  <c r="K488" i="15"/>
  <c r="J488" i="15"/>
  <c r="I488" i="15"/>
  <c r="R488" i="15" s="1"/>
  <c r="H488" i="15"/>
  <c r="G488" i="15"/>
  <c r="F488" i="15"/>
  <c r="E488" i="15"/>
  <c r="D488" i="15"/>
  <c r="C488" i="15"/>
  <c r="B488" i="15"/>
  <c r="A488" i="15"/>
  <c r="Q488" i="15" s="1"/>
  <c r="P487" i="15"/>
  <c r="M487" i="15"/>
  <c r="L487" i="15"/>
  <c r="K487" i="15"/>
  <c r="J487" i="15"/>
  <c r="I487" i="15"/>
  <c r="R487" i="15" s="1"/>
  <c r="H487" i="15"/>
  <c r="G487" i="15"/>
  <c r="F487" i="15"/>
  <c r="E487" i="15"/>
  <c r="D487" i="15"/>
  <c r="C487" i="15"/>
  <c r="B487" i="15"/>
  <c r="A487" i="15"/>
  <c r="Q487" i="15" s="1"/>
  <c r="P486" i="15"/>
  <c r="M486" i="15"/>
  <c r="L486" i="15"/>
  <c r="K486" i="15"/>
  <c r="J486" i="15"/>
  <c r="I486" i="15"/>
  <c r="R486" i="15" s="1"/>
  <c r="H486" i="15"/>
  <c r="G486" i="15"/>
  <c r="F486" i="15"/>
  <c r="E486" i="15"/>
  <c r="D486" i="15"/>
  <c r="C486" i="15"/>
  <c r="B486" i="15"/>
  <c r="A486" i="15"/>
  <c r="Q486" i="15" s="1"/>
  <c r="P485" i="15"/>
  <c r="M485" i="15"/>
  <c r="L485" i="15"/>
  <c r="K485" i="15"/>
  <c r="J485" i="15"/>
  <c r="I485" i="15"/>
  <c r="R485" i="15" s="1"/>
  <c r="H485" i="15"/>
  <c r="G485" i="15"/>
  <c r="F485" i="15"/>
  <c r="E485" i="15"/>
  <c r="D485" i="15"/>
  <c r="C485" i="15"/>
  <c r="B485" i="15"/>
  <c r="A485" i="15"/>
  <c r="Q485" i="15" s="1"/>
  <c r="P484" i="15"/>
  <c r="M484" i="15"/>
  <c r="L484" i="15"/>
  <c r="K484" i="15"/>
  <c r="J484" i="15"/>
  <c r="I484" i="15"/>
  <c r="R484" i="15" s="1"/>
  <c r="H484" i="15"/>
  <c r="G484" i="15"/>
  <c r="F484" i="15"/>
  <c r="E484" i="15"/>
  <c r="D484" i="15"/>
  <c r="C484" i="15"/>
  <c r="B484" i="15"/>
  <c r="A484" i="15"/>
  <c r="Q484" i="15" s="1"/>
  <c r="P483" i="15"/>
  <c r="M483" i="15"/>
  <c r="L483" i="15"/>
  <c r="K483" i="15"/>
  <c r="J483" i="15"/>
  <c r="I483" i="15"/>
  <c r="R483" i="15" s="1"/>
  <c r="H483" i="15"/>
  <c r="G483" i="15"/>
  <c r="F483" i="15"/>
  <c r="E483" i="15"/>
  <c r="D483" i="15"/>
  <c r="C483" i="15"/>
  <c r="B483" i="15"/>
  <c r="A483" i="15"/>
  <c r="Q483" i="15" s="1"/>
  <c r="P482" i="15"/>
  <c r="M482" i="15"/>
  <c r="L482" i="15"/>
  <c r="K482" i="15"/>
  <c r="J482" i="15"/>
  <c r="I482" i="15"/>
  <c r="R482" i="15" s="1"/>
  <c r="H482" i="15"/>
  <c r="G482" i="15"/>
  <c r="F482" i="15"/>
  <c r="E482" i="15"/>
  <c r="D482" i="15"/>
  <c r="C482" i="15"/>
  <c r="B482" i="15"/>
  <c r="A482" i="15"/>
  <c r="Q482" i="15" s="1"/>
  <c r="P481" i="15"/>
  <c r="M481" i="15"/>
  <c r="L481" i="15"/>
  <c r="K481" i="15"/>
  <c r="J481" i="15"/>
  <c r="I481" i="15"/>
  <c r="R481" i="15" s="1"/>
  <c r="H481" i="15"/>
  <c r="G481" i="15"/>
  <c r="F481" i="15"/>
  <c r="E481" i="15"/>
  <c r="D481" i="15"/>
  <c r="C481" i="15"/>
  <c r="B481" i="15"/>
  <c r="A481" i="15"/>
  <c r="Q481" i="15" s="1"/>
  <c r="P480" i="15"/>
  <c r="M480" i="15"/>
  <c r="L480" i="15"/>
  <c r="K480" i="15"/>
  <c r="J480" i="15"/>
  <c r="I480" i="15"/>
  <c r="R480" i="15" s="1"/>
  <c r="H480" i="15"/>
  <c r="G480" i="15"/>
  <c r="F480" i="15"/>
  <c r="E480" i="15"/>
  <c r="D480" i="15"/>
  <c r="C480" i="15"/>
  <c r="B480" i="15"/>
  <c r="A480" i="15"/>
  <c r="Q480" i="15" s="1"/>
  <c r="P479" i="15"/>
  <c r="M479" i="15"/>
  <c r="L479" i="15"/>
  <c r="K479" i="15"/>
  <c r="J479" i="15"/>
  <c r="I479" i="15"/>
  <c r="R479" i="15" s="1"/>
  <c r="H479" i="15"/>
  <c r="G479" i="15"/>
  <c r="F479" i="15"/>
  <c r="E479" i="15"/>
  <c r="D479" i="15"/>
  <c r="C479" i="15"/>
  <c r="B479" i="15"/>
  <c r="A479" i="15"/>
  <c r="Q479" i="15" s="1"/>
  <c r="P478" i="15"/>
  <c r="M478" i="15"/>
  <c r="L478" i="15"/>
  <c r="K478" i="15"/>
  <c r="J478" i="15"/>
  <c r="I478" i="15"/>
  <c r="R478" i="15" s="1"/>
  <c r="H478" i="15"/>
  <c r="G478" i="15"/>
  <c r="F478" i="15"/>
  <c r="E478" i="15"/>
  <c r="D478" i="15"/>
  <c r="C478" i="15"/>
  <c r="B478" i="15"/>
  <c r="A478" i="15"/>
  <c r="Q478" i="15" s="1"/>
  <c r="P477" i="15"/>
  <c r="M477" i="15"/>
  <c r="L477" i="15"/>
  <c r="K477" i="15"/>
  <c r="J477" i="15"/>
  <c r="I477" i="15"/>
  <c r="R477" i="15" s="1"/>
  <c r="H477" i="15"/>
  <c r="G477" i="15"/>
  <c r="F477" i="15"/>
  <c r="E477" i="15"/>
  <c r="D477" i="15"/>
  <c r="C477" i="15"/>
  <c r="B477" i="15"/>
  <c r="A477" i="15"/>
  <c r="Q477" i="15" s="1"/>
  <c r="P476" i="15"/>
  <c r="M476" i="15"/>
  <c r="L476" i="15"/>
  <c r="K476" i="15"/>
  <c r="J476" i="15"/>
  <c r="I476" i="15"/>
  <c r="R476" i="15" s="1"/>
  <c r="H476" i="15"/>
  <c r="G476" i="15"/>
  <c r="F476" i="15"/>
  <c r="E476" i="15"/>
  <c r="D476" i="15"/>
  <c r="C476" i="15"/>
  <c r="B476" i="15"/>
  <c r="A476" i="15"/>
  <c r="Q476" i="15" s="1"/>
  <c r="P475" i="15"/>
  <c r="M475" i="15"/>
  <c r="L475" i="15"/>
  <c r="K475" i="15"/>
  <c r="J475" i="15"/>
  <c r="I475" i="15"/>
  <c r="R475" i="15" s="1"/>
  <c r="H475" i="15"/>
  <c r="G475" i="15"/>
  <c r="F475" i="15"/>
  <c r="E475" i="15"/>
  <c r="D475" i="15"/>
  <c r="C475" i="15"/>
  <c r="B475" i="15"/>
  <c r="A475" i="15"/>
  <c r="Q475" i="15" s="1"/>
  <c r="P474" i="15"/>
  <c r="M474" i="15"/>
  <c r="L474" i="15"/>
  <c r="K474" i="15"/>
  <c r="J474" i="15"/>
  <c r="I474" i="15"/>
  <c r="R474" i="15" s="1"/>
  <c r="H474" i="15"/>
  <c r="G474" i="15"/>
  <c r="F474" i="15"/>
  <c r="E474" i="15"/>
  <c r="D474" i="15"/>
  <c r="C474" i="15"/>
  <c r="B474" i="15"/>
  <c r="A474" i="15"/>
  <c r="Q474" i="15" s="1"/>
  <c r="P473" i="15"/>
  <c r="M473" i="15"/>
  <c r="L473" i="15"/>
  <c r="K473" i="15"/>
  <c r="J473" i="15"/>
  <c r="I473" i="15"/>
  <c r="R473" i="15" s="1"/>
  <c r="H473" i="15"/>
  <c r="G473" i="15"/>
  <c r="F473" i="15"/>
  <c r="E473" i="15"/>
  <c r="D473" i="15"/>
  <c r="C473" i="15"/>
  <c r="B473" i="15"/>
  <c r="A473" i="15"/>
  <c r="Q473" i="15" s="1"/>
  <c r="P472" i="15"/>
  <c r="M472" i="15"/>
  <c r="L472" i="15"/>
  <c r="K472" i="15"/>
  <c r="J472" i="15"/>
  <c r="I472" i="15"/>
  <c r="R472" i="15" s="1"/>
  <c r="H472" i="15"/>
  <c r="G472" i="15"/>
  <c r="F472" i="15"/>
  <c r="E472" i="15"/>
  <c r="D472" i="15"/>
  <c r="C472" i="15"/>
  <c r="B472" i="15"/>
  <c r="A472" i="15"/>
  <c r="Q472" i="15" s="1"/>
  <c r="P471" i="15"/>
  <c r="M471" i="15"/>
  <c r="L471" i="15"/>
  <c r="K471" i="15"/>
  <c r="J471" i="15"/>
  <c r="I471" i="15"/>
  <c r="R471" i="15" s="1"/>
  <c r="H471" i="15"/>
  <c r="G471" i="15"/>
  <c r="F471" i="15"/>
  <c r="E471" i="15"/>
  <c r="D471" i="15"/>
  <c r="C471" i="15"/>
  <c r="B471" i="15"/>
  <c r="A471" i="15"/>
  <c r="Q471" i="15" s="1"/>
  <c r="P470" i="15"/>
  <c r="M470" i="15"/>
  <c r="L470" i="15"/>
  <c r="K470" i="15"/>
  <c r="J470" i="15"/>
  <c r="I470" i="15"/>
  <c r="R470" i="15" s="1"/>
  <c r="H470" i="15"/>
  <c r="G470" i="15"/>
  <c r="F470" i="15"/>
  <c r="E470" i="15"/>
  <c r="D470" i="15"/>
  <c r="C470" i="15"/>
  <c r="B470" i="15"/>
  <c r="A470" i="15"/>
  <c r="Q470" i="15" s="1"/>
  <c r="P469" i="15"/>
  <c r="M469" i="15"/>
  <c r="L469" i="15"/>
  <c r="K469" i="15"/>
  <c r="J469" i="15"/>
  <c r="I469" i="15"/>
  <c r="R469" i="15" s="1"/>
  <c r="H469" i="15"/>
  <c r="G469" i="15"/>
  <c r="F469" i="15"/>
  <c r="E469" i="15"/>
  <c r="D469" i="15"/>
  <c r="C469" i="15"/>
  <c r="B469" i="15"/>
  <c r="A469" i="15"/>
  <c r="Q469" i="15" s="1"/>
  <c r="P468" i="15"/>
  <c r="M468" i="15"/>
  <c r="L468" i="15"/>
  <c r="K468" i="15"/>
  <c r="J468" i="15"/>
  <c r="I468" i="15"/>
  <c r="R468" i="15" s="1"/>
  <c r="H468" i="15"/>
  <c r="G468" i="15"/>
  <c r="F468" i="15"/>
  <c r="E468" i="15"/>
  <c r="D468" i="15"/>
  <c r="C468" i="15"/>
  <c r="B468" i="15"/>
  <c r="A468" i="15"/>
  <c r="Q468" i="15" s="1"/>
  <c r="P467" i="15"/>
  <c r="M467" i="15"/>
  <c r="L467" i="15"/>
  <c r="K467" i="15"/>
  <c r="J467" i="15"/>
  <c r="I467" i="15"/>
  <c r="R467" i="15" s="1"/>
  <c r="H467" i="15"/>
  <c r="G467" i="15"/>
  <c r="F467" i="15"/>
  <c r="E467" i="15"/>
  <c r="D467" i="15"/>
  <c r="C467" i="15"/>
  <c r="B467" i="15"/>
  <c r="A467" i="15"/>
  <c r="Q467" i="15" s="1"/>
  <c r="P466" i="15"/>
  <c r="M466" i="15"/>
  <c r="L466" i="15"/>
  <c r="K466" i="15"/>
  <c r="J466" i="15"/>
  <c r="I466" i="15"/>
  <c r="R466" i="15" s="1"/>
  <c r="H466" i="15"/>
  <c r="G466" i="15"/>
  <c r="F466" i="15"/>
  <c r="E466" i="15"/>
  <c r="D466" i="15"/>
  <c r="C466" i="15"/>
  <c r="B466" i="15"/>
  <c r="A466" i="15"/>
  <c r="Q466" i="15" s="1"/>
  <c r="P465" i="15"/>
  <c r="M465" i="15"/>
  <c r="L465" i="15"/>
  <c r="K465" i="15"/>
  <c r="J465" i="15"/>
  <c r="I465" i="15"/>
  <c r="R465" i="15" s="1"/>
  <c r="H465" i="15"/>
  <c r="G465" i="15"/>
  <c r="F465" i="15"/>
  <c r="E465" i="15"/>
  <c r="D465" i="15"/>
  <c r="C465" i="15"/>
  <c r="B465" i="15"/>
  <c r="A465" i="15"/>
  <c r="Q465" i="15" s="1"/>
  <c r="P464" i="15"/>
  <c r="M464" i="15"/>
  <c r="L464" i="15"/>
  <c r="K464" i="15"/>
  <c r="J464" i="15"/>
  <c r="I464" i="15"/>
  <c r="R464" i="15" s="1"/>
  <c r="H464" i="15"/>
  <c r="G464" i="15"/>
  <c r="F464" i="15"/>
  <c r="E464" i="15"/>
  <c r="D464" i="15"/>
  <c r="C464" i="15"/>
  <c r="B464" i="15"/>
  <c r="A464" i="15"/>
  <c r="Q464" i="15" s="1"/>
  <c r="P463" i="15"/>
  <c r="M463" i="15"/>
  <c r="L463" i="15"/>
  <c r="K463" i="15"/>
  <c r="J463" i="15"/>
  <c r="I463" i="15"/>
  <c r="R463" i="15" s="1"/>
  <c r="H463" i="15"/>
  <c r="G463" i="15"/>
  <c r="F463" i="15"/>
  <c r="E463" i="15"/>
  <c r="D463" i="15"/>
  <c r="C463" i="15"/>
  <c r="B463" i="15"/>
  <c r="A463" i="15"/>
  <c r="Q463" i="15" s="1"/>
  <c r="P462" i="15"/>
  <c r="M462" i="15"/>
  <c r="L462" i="15"/>
  <c r="K462" i="15"/>
  <c r="J462" i="15"/>
  <c r="I462" i="15"/>
  <c r="R462" i="15" s="1"/>
  <c r="H462" i="15"/>
  <c r="G462" i="15"/>
  <c r="F462" i="15"/>
  <c r="E462" i="15"/>
  <c r="D462" i="15"/>
  <c r="C462" i="15"/>
  <c r="B462" i="15"/>
  <c r="A462" i="15"/>
  <c r="Q462" i="15" s="1"/>
  <c r="P461" i="15"/>
  <c r="M461" i="15"/>
  <c r="L461" i="15"/>
  <c r="K461" i="15"/>
  <c r="J461" i="15"/>
  <c r="I461" i="15"/>
  <c r="R461" i="15" s="1"/>
  <c r="H461" i="15"/>
  <c r="G461" i="15"/>
  <c r="F461" i="15"/>
  <c r="E461" i="15"/>
  <c r="D461" i="15"/>
  <c r="C461" i="15"/>
  <c r="B461" i="15"/>
  <c r="A461" i="15"/>
  <c r="Q461" i="15" s="1"/>
  <c r="P460" i="15"/>
  <c r="M460" i="15"/>
  <c r="L460" i="15"/>
  <c r="K460" i="15"/>
  <c r="J460" i="15"/>
  <c r="I460" i="15"/>
  <c r="R460" i="15" s="1"/>
  <c r="H460" i="15"/>
  <c r="G460" i="15"/>
  <c r="F460" i="15"/>
  <c r="E460" i="15"/>
  <c r="D460" i="15"/>
  <c r="C460" i="15"/>
  <c r="B460" i="15"/>
  <c r="A460" i="15"/>
  <c r="Q460" i="15" s="1"/>
  <c r="P459" i="15"/>
  <c r="M459" i="15"/>
  <c r="L459" i="15"/>
  <c r="K459" i="15"/>
  <c r="J459" i="15"/>
  <c r="I459" i="15"/>
  <c r="R459" i="15" s="1"/>
  <c r="H459" i="15"/>
  <c r="G459" i="15"/>
  <c r="F459" i="15"/>
  <c r="E459" i="15"/>
  <c r="D459" i="15"/>
  <c r="C459" i="15"/>
  <c r="B459" i="15"/>
  <c r="A459" i="15"/>
  <c r="Q459" i="15" s="1"/>
  <c r="P458" i="15"/>
  <c r="M458" i="15"/>
  <c r="L458" i="15"/>
  <c r="K458" i="15"/>
  <c r="J458" i="15"/>
  <c r="I458" i="15"/>
  <c r="R458" i="15" s="1"/>
  <c r="H458" i="15"/>
  <c r="G458" i="15"/>
  <c r="F458" i="15"/>
  <c r="E458" i="15"/>
  <c r="D458" i="15"/>
  <c r="C458" i="15"/>
  <c r="B458" i="15"/>
  <c r="A458" i="15"/>
  <c r="Q458" i="15" s="1"/>
  <c r="P457" i="15"/>
  <c r="M457" i="15"/>
  <c r="L457" i="15"/>
  <c r="K457" i="15"/>
  <c r="J457" i="15"/>
  <c r="I457" i="15"/>
  <c r="R457" i="15" s="1"/>
  <c r="H457" i="15"/>
  <c r="G457" i="15"/>
  <c r="F457" i="15"/>
  <c r="E457" i="15"/>
  <c r="D457" i="15"/>
  <c r="C457" i="15"/>
  <c r="B457" i="15"/>
  <c r="A457" i="15"/>
  <c r="Q457" i="15" s="1"/>
  <c r="P456" i="15"/>
  <c r="M456" i="15"/>
  <c r="L456" i="15"/>
  <c r="K456" i="15"/>
  <c r="J456" i="15"/>
  <c r="I456" i="15"/>
  <c r="R456" i="15" s="1"/>
  <c r="H456" i="15"/>
  <c r="G456" i="15"/>
  <c r="F456" i="15"/>
  <c r="E456" i="15"/>
  <c r="D456" i="15"/>
  <c r="C456" i="15"/>
  <c r="B456" i="15"/>
  <c r="A456" i="15"/>
  <c r="Q456" i="15" s="1"/>
  <c r="P455" i="15"/>
  <c r="M455" i="15"/>
  <c r="L455" i="15"/>
  <c r="K455" i="15"/>
  <c r="J455" i="15"/>
  <c r="I455" i="15"/>
  <c r="R455" i="15" s="1"/>
  <c r="H455" i="15"/>
  <c r="G455" i="15"/>
  <c r="F455" i="15"/>
  <c r="E455" i="15"/>
  <c r="D455" i="15"/>
  <c r="C455" i="15"/>
  <c r="B455" i="15"/>
  <c r="A455" i="15"/>
  <c r="Q455" i="15" s="1"/>
  <c r="P454" i="15"/>
  <c r="M454" i="15"/>
  <c r="L454" i="15"/>
  <c r="K454" i="15"/>
  <c r="J454" i="15"/>
  <c r="I454" i="15"/>
  <c r="R454" i="15" s="1"/>
  <c r="H454" i="15"/>
  <c r="G454" i="15"/>
  <c r="F454" i="15"/>
  <c r="E454" i="15"/>
  <c r="D454" i="15"/>
  <c r="C454" i="15"/>
  <c r="B454" i="15"/>
  <c r="A454" i="15"/>
  <c r="Q454" i="15" s="1"/>
  <c r="P453" i="15"/>
  <c r="M453" i="15"/>
  <c r="L453" i="15"/>
  <c r="K453" i="15"/>
  <c r="J453" i="15"/>
  <c r="I453" i="15"/>
  <c r="R453" i="15" s="1"/>
  <c r="H453" i="15"/>
  <c r="G453" i="15"/>
  <c r="F453" i="15"/>
  <c r="E453" i="15"/>
  <c r="D453" i="15"/>
  <c r="C453" i="15"/>
  <c r="B453" i="15"/>
  <c r="A453" i="15"/>
  <c r="Q453" i="15" s="1"/>
  <c r="P452" i="15"/>
  <c r="M452" i="15"/>
  <c r="L452" i="15"/>
  <c r="K452" i="15"/>
  <c r="J452" i="15"/>
  <c r="I452" i="15"/>
  <c r="R452" i="15" s="1"/>
  <c r="H452" i="15"/>
  <c r="G452" i="15"/>
  <c r="F452" i="15"/>
  <c r="E452" i="15"/>
  <c r="D452" i="15"/>
  <c r="C452" i="15"/>
  <c r="B452" i="15"/>
  <c r="A452" i="15"/>
  <c r="Q452" i="15" s="1"/>
  <c r="P451" i="15"/>
  <c r="M451" i="15"/>
  <c r="L451" i="15"/>
  <c r="K451" i="15"/>
  <c r="J451" i="15"/>
  <c r="I451" i="15"/>
  <c r="R451" i="15" s="1"/>
  <c r="H451" i="15"/>
  <c r="G451" i="15"/>
  <c r="F451" i="15"/>
  <c r="E451" i="15"/>
  <c r="D451" i="15"/>
  <c r="C451" i="15"/>
  <c r="B451" i="15"/>
  <c r="A451" i="15"/>
  <c r="Q451" i="15" s="1"/>
  <c r="P450" i="15"/>
  <c r="M450" i="15"/>
  <c r="L450" i="15"/>
  <c r="K450" i="15"/>
  <c r="J450" i="15"/>
  <c r="I450" i="15"/>
  <c r="R450" i="15" s="1"/>
  <c r="H450" i="15"/>
  <c r="G450" i="15"/>
  <c r="F450" i="15"/>
  <c r="E450" i="15"/>
  <c r="D450" i="15"/>
  <c r="C450" i="15"/>
  <c r="B450" i="15"/>
  <c r="A450" i="15"/>
  <c r="Q450" i="15" s="1"/>
  <c r="P449" i="15"/>
  <c r="M449" i="15"/>
  <c r="L449" i="15"/>
  <c r="K449" i="15"/>
  <c r="J449" i="15"/>
  <c r="I449" i="15"/>
  <c r="R449" i="15" s="1"/>
  <c r="H449" i="15"/>
  <c r="G449" i="15"/>
  <c r="F449" i="15"/>
  <c r="E449" i="15"/>
  <c r="D449" i="15"/>
  <c r="C449" i="15"/>
  <c r="B449" i="15"/>
  <c r="A449" i="15"/>
  <c r="Q449" i="15" s="1"/>
  <c r="P448" i="15"/>
  <c r="M448" i="15"/>
  <c r="L448" i="15"/>
  <c r="K448" i="15"/>
  <c r="J448" i="15"/>
  <c r="I448" i="15"/>
  <c r="R448" i="15" s="1"/>
  <c r="H448" i="15"/>
  <c r="G448" i="15"/>
  <c r="F448" i="15"/>
  <c r="E448" i="15"/>
  <c r="D448" i="15"/>
  <c r="C448" i="15"/>
  <c r="B448" i="15"/>
  <c r="A448" i="15"/>
  <c r="Q448" i="15" s="1"/>
  <c r="P447" i="15"/>
  <c r="M447" i="15"/>
  <c r="L447" i="15"/>
  <c r="K447" i="15"/>
  <c r="J447" i="15"/>
  <c r="I447" i="15"/>
  <c r="R447" i="15" s="1"/>
  <c r="H447" i="15"/>
  <c r="G447" i="15"/>
  <c r="F447" i="15"/>
  <c r="E447" i="15"/>
  <c r="D447" i="15"/>
  <c r="C447" i="15"/>
  <c r="B447" i="15"/>
  <c r="A447" i="15"/>
  <c r="Q447" i="15" s="1"/>
  <c r="P446" i="15"/>
  <c r="M446" i="15"/>
  <c r="L446" i="15"/>
  <c r="K446" i="15"/>
  <c r="J446" i="15"/>
  <c r="I446" i="15"/>
  <c r="R446" i="15" s="1"/>
  <c r="H446" i="15"/>
  <c r="G446" i="15"/>
  <c r="F446" i="15"/>
  <c r="E446" i="15"/>
  <c r="D446" i="15"/>
  <c r="C446" i="15"/>
  <c r="B446" i="15"/>
  <c r="A446" i="15"/>
  <c r="Q446" i="15" s="1"/>
  <c r="P445" i="15"/>
  <c r="M445" i="15"/>
  <c r="L445" i="15"/>
  <c r="K445" i="15"/>
  <c r="J445" i="15"/>
  <c r="I445" i="15"/>
  <c r="R445" i="15" s="1"/>
  <c r="H445" i="15"/>
  <c r="G445" i="15"/>
  <c r="F445" i="15"/>
  <c r="E445" i="15"/>
  <c r="D445" i="15"/>
  <c r="C445" i="15"/>
  <c r="B445" i="15"/>
  <c r="A445" i="15"/>
  <c r="Q445" i="15" s="1"/>
  <c r="P444" i="15"/>
  <c r="M444" i="15"/>
  <c r="L444" i="15"/>
  <c r="K444" i="15"/>
  <c r="J444" i="15"/>
  <c r="I444" i="15"/>
  <c r="R444" i="15" s="1"/>
  <c r="H444" i="15"/>
  <c r="G444" i="15"/>
  <c r="F444" i="15"/>
  <c r="E444" i="15"/>
  <c r="D444" i="15"/>
  <c r="C444" i="15"/>
  <c r="B444" i="15"/>
  <c r="A444" i="15"/>
  <c r="Q444" i="15" s="1"/>
  <c r="P443" i="15"/>
  <c r="M443" i="15"/>
  <c r="L443" i="15"/>
  <c r="K443" i="15"/>
  <c r="J443" i="15"/>
  <c r="I443" i="15"/>
  <c r="R443" i="15" s="1"/>
  <c r="H443" i="15"/>
  <c r="G443" i="15"/>
  <c r="F443" i="15"/>
  <c r="E443" i="15"/>
  <c r="D443" i="15"/>
  <c r="C443" i="15"/>
  <c r="B443" i="15"/>
  <c r="A443" i="15"/>
  <c r="Q443" i="15" s="1"/>
  <c r="P442" i="15"/>
  <c r="M442" i="15"/>
  <c r="L442" i="15"/>
  <c r="K442" i="15"/>
  <c r="J442" i="15"/>
  <c r="I442" i="15"/>
  <c r="R442" i="15" s="1"/>
  <c r="H442" i="15"/>
  <c r="G442" i="15"/>
  <c r="F442" i="15"/>
  <c r="E442" i="15"/>
  <c r="D442" i="15"/>
  <c r="C442" i="15"/>
  <c r="B442" i="15"/>
  <c r="A442" i="15"/>
  <c r="Q442" i="15" s="1"/>
  <c r="P441" i="15"/>
  <c r="M441" i="15"/>
  <c r="L441" i="15"/>
  <c r="K441" i="15"/>
  <c r="J441" i="15"/>
  <c r="I441" i="15"/>
  <c r="R441" i="15" s="1"/>
  <c r="H441" i="15"/>
  <c r="G441" i="15"/>
  <c r="F441" i="15"/>
  <c r="E441" i="15"/>
  <c r="D441" i="15"/>
  <c r="C441" i="15"/>
  <c r="B441" i="15"/>
  <c r="A441" i="15"/>
  <c r="Q441" i="15" s="1"/>
  <c r="P440" i="15"/>
  <c r="M440" i="15"/>
  <c r="L440" i="15"/>
  <c r="K440" i="15"/>
  <c r="J440" i="15"/>
  <c r="I440" i="15"/>
  <c r="R440" i="15" s="1"/>
  <c r="H440" i="15"/>
  <c r="G440" i="15"/>
  <c r="F440" i="15"/>
  <c r="E440" i="15"/>
  <c r="D440" i="15"/>
  <c r="C440" i="15"/>
  <c r="B440" i="15"/>
  <c r="A440" i="15"/>
  <c r="Q440" i="15" s="1"/>
  <c r="P439" i="15"/>
  <c r="M439" i="15"/>
  <c r="L439" i="15"/>
  <c r="K439" i="15"/>
  <c r="J439" i="15"/>
  <c r="I439" i="15"/>
  <c r="R439" i="15" s="1"/>
  <c r="H439" i="15"/>
  <c r="G439" i="15"/>
  <c r="F439" i="15"/>
  <c r="E439" i="15"/>
  <c r="D439" i="15"/>
  <c r="C439" i="15"/>
  <c r="B439" i="15"/>
  <c r="A439" i="15"/>
  <c r="Q439" i="15" s="1"/>
  <c r="P438" i="15"/>
  <c r="M438" i="15"/>
  <c r="L438" i="15"/>
  <c r="K438" i="15"/>
  <c r="J438" i="15"/>
  <c r="I438" i="15"/>
  <c r="R438" i="15" s="1"/>
  <c r="H438" i="15"/>
  <c r="G438" i="15"/>
  <c r="F438" i="15"/>
  <c r="E438" i="15"/>
  <c r="D438" i="15"/>
  <c r="C438" i="15"/>
  <c r="B438" i="15"/>
  <c r="A438" i="15"/>
  <c r="Q438" i="15" s="1"/>
  <c r="P437" i="15"/>
  <c r="M437" i="15"/>
  <c r="L437" i="15"/>
  <c r="K437" i="15"/>
  <c r="J437" i="15"/>
  <c r="I437" i="15"/>
  <c r="R437" i="15" s="1"/>
  <c r="H437" i="15"/>
  <c r="G437" i="15"/>
  <c r="F437" i="15"/>
  <c r="E437" i="15"/>
  <c r="D437" i="15"/>
  <c r="C437" i="15"/>
  <c r="B437" i="15"/>
  <c r="A437" i="15"/>
  <c r="Q437" i="15" s="1"/>
  <c r="P436" i="15"/>
  <c r="M436" i="15"/>
  <c r="L436" i="15"/>
  <c r="K436" i="15"/>
  <c r="J436" i="15"/>
  <c r="I436" i="15"/>
  <c r="R436" i="15" s="1"/>
  <c r="H436" i="15"/>
  <c r="G436" i="15"/>
  <c r="F436" i="15"/>
  <c r="E436" i="15"/>
  <c r="D436" i="15"/>
  <c r="C436" i="15"/>
  <c r="B436" i="15"/>
  <c r="A436" i="15"/>
  <c r="Q436" i="15" s="1"/>
  <c r="P435" i="15"/>
  <c r="M435" i="15"/>
  <c r="L435" i="15"/>
  <c r="K435" i="15"/>
  <c r="J435" i="15"/>
  <c r="I435" i="15"/>
  <c r="R435" i="15" s="1"/>
  <c r="H435" i="15"/>
  <c r="G435" i="15"/>
  <c r="F435" i="15"/>
  <c r="E435" i="15"/>
  <c r="D435" i="15"/>
  <c r="C435" i="15"/>
  <c r="B435" i="15"/>
  <c r="A435" i="15"/>
  <c r="Q435" i="15" s="1"/>
  <c r="P434" i="15"/>
  <c r="M434" i="15"/>
  <c r="L434" i="15"/>
  <c r="K434" i="15"/>
  <c r="J434" i="15"/>
  <c r="I434" i="15"/>
  <c r="R434" i="15" s="1"/>
  <c r="H434" i="15"/>
  <c r="G434" i="15"/>
  <c r="F434" i="15"/>
  <c r="E434" i="15"/>
  <c r="D434" i="15"/>
  <c r="C434" i="15"/>
  <c r="B434" i="15"/>
  <c r="A434" i="15"/>
  <c r="Q434" i="15" s="1"/>
  <c r="P433" i="15"/>
  <c r="M433" i="15"/>
  <c r="L433" i="15"/>
  <c r="K433" i="15"/>
  <c r="J433" i="15"/>
  <c r="I433" i="15"/>
  <c r="R433" i="15" s="1"/>
  <c r="H433" i="15"/>
  <c r="G433" i="15"/>
  <c r="F433" i="15"/>
  <c r="E433" i="15"/>
  <c r="D433" i="15"/>
  <c r="C433" i="15"/>
  <c r="B433" i="15"/>
  <c r="A433" i="15"/>
  <c r="Q433" i="15" s="1"/>
  <c r="P432" i="15"/>
  <c r="M432" i="15"/>
  <c r="L432" i="15"/>
  <c r="K432" i="15"/>
  <c r="J432" i="15"/>
  <c r="I432" i="15"/>
  <c r="R432" i="15" s="1"/>
  <c r="H432" i="15"/>
  <c r="G432" i="15"/>
  <c r="F432" i="15"/>
  <c r="E432" i="15"/>
  <c r="D432" i="15"/>
  <c r="C432" i="15"/>
  <c r="B432" i="15"/>
  <c r="A432" i="15"/>
  <c r="Q432" i="15" s="1"/>
  <c r="P431" i="15"/>
  <c r="M431" i="15"/>
  <c r="L431" i="15"/>
  <c r="K431" i="15"/>
  <c r="J431" i="15"/>
  <c r="I431" i="15"/>
  <c r="R431" i="15" s="1"/>
  <c r="H431" i="15"/>
  <c r="G431" i="15"/>
  <c r="F431" i="15"/>
  <c r="E431" i="15"/>
  <c r="D431" i="15"/>
  <c r="C431" i="15"/>
  <c r="B431" i="15"/>
  <c r="A431" i="15"/>
  <c r="Q431" i="15" s="1"/>
  <c r="P430" i="15"/>
  <c r="M430" i="15"/>
  <c r="L430" i="15"/>
  <c r="K430" i="15"/>
  <c r="J430" i="15"/>
  <c r="I430" i="15"/>
  <c r="R430" i="15" s="1"/>
  <c r="H430" i="15"/>
  <c r="G430" i="15"/>
  <c r="F430" i="15"/>
  <c r="E430" i="15"/>
  <c r="D430" i="15"/>
  <c r="C430" i="15"/>
  <c r="B430" i="15"/>
  <c r="A430" i="15"/>
  <c r="Q430" i="15" s="1"/>
  <c r="P429" i="15"/>
  <c r="M429" i="15"/>
  <c r="L429" i="15"/>
  <c r="K429" i="15"/>
  <c r="J429" i="15"/>
  <c r="I429" i="15"/>
  <c r="R429" i="15" s="1"/>
  <c r="H429" i="15"/>
  <c r="G429" i="15"/>
  <c r="F429" i="15"/>
  <c r="E429" i="15"/>
  <c r="D429" i="15"/>
  <c r="C429" i="15"/>
  <c r="B429" i="15"/>
  <c r="A429" i="15"/>
  <c r="Q429" i="15" s="1"/>
  <c r="P428" i="15"/>
  <c r="M428" i="15"/>
  <c r="L428" i="15"/>
  <c r="K428" i="15"/>
  <c r="J428" i="15"/>
  <c r="I428" i="15"/>
  <c r="R428" i="15" s="1"/>
  <c r="H428" i="15"/>
  <c r="G428" i="15"/>
  <c r="F428" i="15"/>
  <c r="E428" i="15"/>
  <c r="D428" i="15"/>
  <c r="C428" i="15"/>
  <c r="B428" i="15"/>
  <c r="A428" i="15"/>
  <c r="Q428" i="15" s="1"/>
  <c r="P427" i="15"/>
  <c r="M427" i="15"/>
  <c r="L427" i="15"/>
  <c r="K427" i="15"/>
  <c r="J427" i="15"/>
  <c r="I427" i="15"/>
  <c r="R427" i="15" s="1"/>
  <c r="H427" i="15"/>
  <c r="G427" i="15"/>
  <c r="F427" i="15"/>
  <c r="E427" i="15"/>
  <c r="D427" i="15"/>
  <c r="C427" i="15"/>
  <c r="B427" i="15"/>
  <c r="A427" i="15"/>
  <c r="Q427" i="15" s="1"/>
  <c r="P426" i="15"/>
  <c r="M426" i="15"/>
  <c r="L426" i="15"/>
  <c r="K426" i="15"/>
  <c r="J426" i="15"/>
  <c r="I426" i="15"/>
  <c r="R426" i="15" s="1"/>
  <c r="H426" i="15"/>
  <c r="G426" i="15"/>
  <c r="F426" i="15"/>
  <c r="E426" i="15"/>
  <c r="D426" i="15"/>
  <c r="C426" i="15"/>
  <c r="B426" i="15"/>
  <c r="A426" i="15"/>
  <c r="Q426" i="15" s="1"/>
  <c r="P425" i="15"/>
  <c r="M425" i="15"/>
  <c r="L425" i="15"/>
  <c r="K425" i="15"/>
  <c r="J425" i="15"/>
  <c r="I425" i="15"/>
  <c r="R425" i="15" s="1"/>
  <c r="H425" i="15"/>
  <c r="G425" i="15"/>
  <c r="F425" i="15"/>
  <c r="E425" i="15"/>
  <c r="D425" i="15"/>
  <c r="C425" i="15"/>
  <c r="B425" i="15"/>
  <c r="A425" i="15"/>
  <c r="Q425" i="15" s="1"/>
  <c r="P424" i="15"/>
  <c r="M424" i="15"/>
  <c r="L424" i="15"/>
  <c r="K424" i="15"/>
  <c r="J424" i="15"/>
  <c r="I424" i="15"/>
  <c r="R424" i="15" s="1"/>
  <c r="H424" i="15"/>
  <c r="G424" i="15"/>
  <c r="F424" i="15"/>
  <c r="E424" i="15"/>
  <c r="D424" i="15"/>
  <c r="C424" i="15"/>
  <c r="B424" i="15"/>
  <c r="A424" i="15"/>
  <c r="Q424" i="15" s="1"/>
  <c r="P423" i="15"/>
  <c r="M423" i="15"/>
  <c r="L423" i="15"/>
  <c r="K423" i="15"/>
  <c r="J423" i="15"/>
  <c r="I423" i="15"/>
  <c r="R423" i="15" s="1"/>
  <c r="H423" i="15"/>
  <c r="G423" i="15"/>
  <c r="F423" i="15"/>
  <c r="E423" i="15"/>
  <c r="D423" i="15"/>
  <c r="C423" i="15"/>
  <c r="B423" i="15"/>
  <c r="A423" i="15"/>
  <c r="Q423" i="15" s="1"/>
  <c r="P422" i="15"/>
  <c r="M422" i="15"/>
  <c r="L422" i="15"/>
  <c r="K422" i="15"/>
  <c r="J422" i="15"/>
  <c r="I422" i="15"/>
  <c r="R422" i="15" s="1"/>
  <c r="H422" i="15"/>
  <c r="G422" i="15"/>
  <c r="F422" i="15"/>
  <c r="E422" i="15"/>
  <c r="D422" i="15"/>
  <c r="C422" i="15"/>
  <c r="B422" i="15"/>
  <c r="A422" i="15"/>
  <c r="Q422" i="15" s="1"/>
  <c r="P421" i="15"/>
  <c r="M421" i="15"/>
  <c r="L421" i="15"/>
  <c r="K421" i="15"/>
  <c r="J421" i="15"/>
  <c r="I421" i="15"/>
  <c r="R421" i="15" s="1"/>
  <c r="H421" i="15"/>
  <c r="G421" i="15"/>
  <c r="F421" i="15"/>
  <c r="E421" i="15"/>
  <c r="D421" i="15"/>
  <c r="C421" i="15"/>
  <c r="B421" i="15"/>
  <c r="A421" i="15"/>
  <c r="Q421" i="15" s="1"/>
  <c r="P420" i="15"/>
  <c r="M420" i="15"/>
  <c r="L420" i="15"/>
  <c r="K420" i="15"/>
  <c r="J420" i="15"/>
  <c r="I420" i="15"/>
  <c r="R420" i="15" s="1"/>
  <c r="H420" i="15"/>
  <c r="G420" i="15"/>
  <c r="F420" i="15"/>
  <c r="E420" i="15"/>
  <c r="D420" i="15"/>
  <c r="C420" i="15"/>
  <c r="B420" i="15"/>
  <c r="A420" i="15"/>
  <c r="Q420" i="15" s="1"/>
  <c r="P419" i="15"/>
  <c r="M419" i="15"/>
  <c r="L419" i="15"/>
  <c r="K419" i="15"/>
  <c r="J419" i="15"/>
  <c r="I419" i="15"/>
  <c r="R419" i="15" s="1"/>
  <c r="H419" i="15"/>
  <c r="G419" i="15"/>
  <c r="F419" i="15"/>
  <c r="E419" i="15"/>
  <c r="D419" i="15"/>
  <c r="C419" i="15"/>
  <c r="B419" i="15"/>
  <c r="A419" i="15"/>
  <c r="Q419" i="15" s="1"/>
  <c r="P418" i="15"/>
  <c r="M418" i="15"/>
  <c r="L418" i="15"/>
  <c r="K418" i="15"/>
  <c r="J418" i="15"/>
  <c r="I418" i="15"/>
  <c r="R418" i="15" s="1"/>
  <c r="H418" i="15"/>
  <c r="G418" i="15"/>
  <c r="F418" i="15"/>
  <c r="E418" i="15"/>
  <c r="D418" i="15"/>
  <c r="C418" i="15"/>
  <c r="B418" i="15"/>
  <c r="A418" i="15"/>
  <c r="Q418" i="15" s="1"/>
  <c r="P417" i="15"/>
  <c r="M417" i="15"/>
  <c r="L417" i="15"/>
  <c r="K417" i="15"/>
  <c r="J417" i="15"/>
  <c r="I417" i="15"/>
  <c r="R417" i="15" s="1"/>
  <c r="H417" i="15"/>
  <c r="G417" i="15"/>
  <c r="F417" i="15"/>
  <c r="E417" i="15"/>
  <c r="D417" i="15"/>
  <c r="C417" i="15"/>
  <c r="B417" i="15"/>
  <c r="A417" i="15"/>
  <c r="Q417" i="15" s="1"/>
  <c r="P416" i="15"/>
  <c r="M416" i="15"/>
  <c r="L416" i="15"/>
  <c r="K416" i="15"/>
  <c r="J416" i="15"/>
  <c r="I416" i="15"/>
  <c r="R416" i="15" s="1"/>
  <c r="H416" i="15"/>
  <c r="G416" i="15"/>
  <c r="F416" i="15"/>
  <c r="E416" i="15"/>
  <c r="D416" i="15"/>
  <c r="C416" i="15"/>
  <c r="B416" i="15"/>
  <c r="A416" i="15"/>
  <c r="Q416" i="15" s="1"/>
  <c r="P415" i="15"/>
  <c r="M415" i="15"/>
  <c r="L415" i="15"/>
  <c r="K415" i="15"/>
  <c r="J415" i="15"/>
  <c r="I415" i="15"/>
  <c r="R415" i="15" s="1"/>
  <c r="H415" i="15"/>
  <c r="G415" i="15"/>
  <c r="F415" i="15"/>
  <c r="E415" i="15"/>
  <c r="D415" i="15"/>
  <c r="C415" i="15"/>
  <c r="B415" i="15"/>
  <c r="A415" i="15"/>
  <c r="Q415" i="15" s="1"/>
  <c r="P414" i="15"/>
  <c r="M414" i="15"/>
  <c r="L414" i="15"/>
  <c r="K414" i="15"/>
  <c r="J414" i="15"/>
  <c r="I414" i="15"/>
  <c r="R414" i="15" s="1"/>
  <c r="H414" i="15"/>
  <c r="G414" i="15"/>
  <c r="F414" i="15"/>
  <c r="E414" i="15"/>
  <c r="D414" i="15"/>
  <c r="C414" i="15"/>
  <c r="B414" i="15"/>
  <c r="A414" i="15"/>
  <c r="Q414" i="15" s="1"/>
  <c r="P413" i="15"/>
  <c r="M413" i="15"/>
  <c r="L413" i="15"/>
  <c r="K413" i="15"/>
  <c r="J413" i="15"/>
  <c r="I413" i="15"/>
  <c r="R413" i="15" s="1"/>
  <c r="H413" i="15"/>
  <c r="G413" i="15"/>
  <c r="F413" i="15"/>
  <c r="E413" i="15"/>
  <c r="D413" i="15"/>
  <c r="C413" i="15"/>
  <c r="B413" i="15"/>
  <c r="A413" i="15"/>
  <c r="Q413" i="15" s="1"/>
  <c r="P412" i="15"/>
  <c r="M412" i="15"/>
  <c r="L412" i="15"/>
  <c r="K412" i="15"/>
  <c r="J412" i="15"/>
  <c r="I412" i="15"/>
  <c r="R412" i="15" s="1"/>
  <c r="H412" i="15"/>
  <c r="G412" i="15"/>
  <c r="F412" i="15"/>
  <c r="E412" i="15"/>
  <c r="D412" i="15"/>
  <c r="C412" i="15"/>
  <c r="B412" i="15"/>
  <c r="A412" i="15"/>
  <c r="Q412" i="15" s="1"/>
  <c r="P411" i="15"/>
  <c r="M411" i="15"/>
  <c r="L411" i="15"/>
  <c r="K411" i="15"/>
  <c r="J411" i="15"/>
  <c r="I411" i="15"/>
  <c r="R411" i="15" s="1"/>
  <c r="H411" i="15"/>
  <c r="G411" i="15"/>
  <c r="F411" i="15"/>
  <c r="E411" i="15"/>
  <c r="D411" i="15"/>
  <c r="C411" i="15"/>
  <c r="B411" i="15"/>
  <c r="A411" i="15"/>
  <c r="Q411" i="15" s="1"/>
  <c r="P410" i="15"/>
  <c r="M410" i="15"/>
  <c r="L410" i="15"/>
  <c r="K410" i="15"/>
  <c r="J410" i="15"/>
  <c r="I410" i="15"/>
  <c r="R410" i="15" s="1"/>
  <c r="H410" i="15"/>
  <c r="G410" i="15"/>
  <c r="F410" i="15"/>
  <c r="E410" i="15"/>
  <c r="D410" i="15"/>
  <c r="C410" i="15"/>
  <c r="B410" i="15"/>
  <c r="A410" i="15"/>
  <c r="Q410" i="15" s="1"/>
  <c r="P409" i="15"/>
  <c r="M409" i="15"/>
  <c r="L409" i="15"/>
  <c r="K409" i="15"/>
  <c r="J409" i="15"/>
  <c r="I409" i="15"/>
  <c r="R409" i="15" s="1"/>
  <c r="H409" i="15"/>
  <c r="G409" i="15"/>
  <c r="F409" i="15"/>
  <c r="E409" i="15"/>
  <c r="D409" i="15"/>
  <c r="C409" i="15"/>
  <c r="B409" i="15"/>
  <c r="A409" i="15"/>
  <c r="Q409" i="15" s="1"/>
  <c r="P408" i="15"/>
  <c r="M408" i="15"/>
  <c r="L408" i="15"/>
  <c r="K408" i="15"/>
  <c r="J408" i="15"/>
  <c r="I408" i="15"/>
  <c r="R408" i="15" s="1"/>
  <c r="H408" i="15"/>
  <c r="G408" i="15"/>
  <c r="F408" i="15"/>
  <c r="E408" i="15"/>
  <c r="D408" i="15"/>
  <c r="C408" i="15"/>
  <c r="B408" i="15"/>
  <c r="A408" i="15"/>
  <c r="Q408" i="15" s="1"/>
  <c r="P407" i="15"/>
  <c r="M407" i="15"/>
  <c r="L407" i="15"/>
  <c r="K407" i="15"/>
  <c r="J407" i="15"/>
  <c r="I407" i="15"/>
  <c r="R407" i="15" s="1"/>
  <c r="H407" i="15"/>
  <c r="G407" i="15"/>
  <c r="F407" i="15"/>
  <c r="E407" i="15"/>
  <c r="D407" i="15"/>
  <c r="C407" i="15"/>
  <c r="B407" i="15"/>
  <c r="A407" i="15"/>
  <c r="Q407" i="15" s="1"/>
  <c r="P406" i="15"/>
  <c r="M406" i="15"/>
  <c r="L406" i="15"/>
  <c r="K406" i="15"/>
  <c r="J406" i="15"/>
  <c r="I406" i="15"/>
  <c r="R406" i="15" s="1"/>
  <c r="H406" i="15"/>
  <c r="G406" i="15"/>
  <c r="F406" i="15"/>
  <c r="E406" i="15"/>
  <c r="D406" i="15"/>
  <c r="C406" i="15"/>
  <c r="B406" i="15"/>
  <c r="A406" i="15"/>
  <c r="Q406" i="15" s="1"/>
  <c r="P405" i="15"/>
  <c r="M405" i="15"/>
  <c r="L405" i="15"/>
  <c r="K405" i="15"/>
  <c r="J405" i="15"/>
  <c r="I405" i="15"/>
  <c r="R405" i="15" s="1"/>
  <c r="H405" i="15"/>
  <c r="G405" i="15"/>
  <c r="F405" i="15"/>
  <c r="E405" i="15"/>
  <c r="D405" i="15"/>
  <c r="C405" i="15"/>
  <c r="B405" i="15"/>
  <c r="A405" i="15"/>
  <c r="Q405" i="15" s="1"/>
  <c r="P404" i="15"/>
  <c r="M404" i="15"/>
  <c r="L404" i="15"/>
  <c r="K404" i="15"/>
  <c r="J404" i="15"/>
  <c r="I404" i="15"/>
  <c r="R404" i="15" s="1"/>
  <c r="H404" i="15"/>
  <c r="G404" i="15"/>
  <c r="F404" i="15"/>
  <c r="E404" i="15"/>
  <c r="D404" i="15"/>
  <c r="C404" i="15"/>
  <c r="B404" i="15"/>
  <c r="A404" i="15"/>
  <c r="Q404" i="15" s="1"/>
  <c r="P403" i="15"/>
  <c r="M403" i="15"/>
  <c r="L403" i="15"/>
  <c r="K403" i="15"/>
  <c r="J403" i="15"/>
  <c r="I403" i="15"/>
  <c r="R403" i="15" s="1"/>
  <c r="H403" i="15"/>
  <c r="G403" i="15"/>
  <c r="F403" i="15"/>
  <c r="E403" i="15"/>
  <c r="D403" i="15"/>
  <c r="C403" i="15"/>
  <c r="B403" i="15"/>
  <c r="A403" i="15"/>
  <c r="Q403" i="15" s="1"/>
  <c r="P402" i="15"/>
  <c r="M402" i="15"/>
  <c r="L402" i="15"/>
  <c r="K402" i="15"/>
  <c r="J402" i="15"/>
  <c r="I402" i="15"/>
  <c r="R402" i="15" s="1"/>
  <c r="H402" i="15"/>
  <c r="G402" i="15"/>
  <c r="F402" i="15"/>
  <c r="E402" i="15"/>
  <c r="D402" i="15"/>
  <c r="C402" i="15"/>
  <c r="B402" i="15"/>
  <c r="A402" i="15"/>
  <c r="Q402" i="15" s="1"/>
  <c r="P401" i="15"/>
  <c r="M401" i="15"/>
  <c r="L401" i="15"/>
  <c r="K401" i="15"/>
  <c r="J401" i="15"/>
  <c r="I401" i="15"/>
  <c r="R401" i="15" s="1"/>
  <c r="H401" i="15"/>
  <c r="G401" i="15"/>
  <c r="F401" i="15"/>
  <c r="E401" i="15"/>
  <c r="D401" i="15"/>
  <c r="C401" i="15"/>
  <c r="B401" i="15"/>
  <c r="A401" i="15"/>
  <c r="Q401" i="15" s="1"/>
  <c r="P400" i="15"/>
  <c r="M400" i="15"/>
  <c r="L400" i="15"/>
  <c r="K400" i="15"/>
  <c r="J400" i="15"/>
  <c r="I400" i="15"/>
  <c r="R400" i="15" s="1"/>
  <c r="H400" i="15"/>
  <c r="G400" i="15"/>
  <c r="F400" i="15"/>
  <c r="E400" i="15"/>
  <c r="D400" i="15"/>
  <c r="C400" i="15"/>
  <c r="B400" i="15"/>
  <c r="A400" i="15"/>
  <c r="Q400" i="15" s="1"/>
  <c r="P399" i="15"/>
  <c r="M399" i="15"/>
  <c r="L399" i="15"/>
  <c r="K399" i="15"/>
  <c r="J399" i="15"/>
  <c r="I399" i="15"/>
  <c r="R399" i="15" s="1"/>
  <c r="H399" i="15"/>
  <c r="G399" i="15"/>
  <c r="F399" i="15"/>
  <c r="E399" i="15"/>
  <c r="D399" i="15"/>
  <c r="C399" i="15"/>
  <c r="B399" i="15"/>
  <c r="A399" i="15"/>
  <c r="Q399" i="15" s="1"/>
  <c r="P398" i="15"/>
  <c r="M398" i="15"/>
  <c r="L398" i="15"/>
  <c r="K398" i="15"/>
  <c r="J398" i="15"/>
  <c r="I398" i="15"/>
  <c r="R398" i="15" s="1"/>
  <c r="H398" i="15"/>
  <c r="G398" i="15"/>
  <c r="F398" i="15"/>
  <c r="E398" i="15"/>
  <c r="D398" i="15"/>
  <c r="C398" i="15"/>
  <c r="B398" i="15"/>
  <c r="A398" i="15"/>
  <c r="Q398" i="15" s="1"/>
  <c r="P397" i="15"/>
  <c r="M397" i="15"/>
  <c r="L397" i="15"/>
  <c r="K397" i="15"/>
  <c r="J397" i="15"/>
  <c r="I397" i="15"/>
  <c r="R397" i="15" s="1"/>
  <c r="H397" i="15"/>
  <c r="G397" i="15"/>
  <c r="F397" i="15"/>
  <c r="E397" i="15"/>
  <c r="D397" i="15"/>
  <c r="C397" i="15"/>
  <c r="B397" i="15"/>
  <c r="A397" i="15"/>
  <c r="Q397" i="15" s="1"/>
  <c r="P396" i="15"/>
  <c r="M396" i="15"/>
  <c r="L396" i="15"/>
  <c r="K396" i="15"/>
  <c r="J396" i="15"/>
  <c r="I396" i="15"/>
  <c r="R396" i="15" s="1"/>
  <c r="H396" i="15"/>
  <c r="G396" i="15"/>
  <c r="F396" i="15"/>
  <c r="E396" i="15"/>
  <c r="D396" i="15"/>
  <c r="C396" i="15"/>
  <c r="B396" i="15"/>
  <c r="A396" i="15"/>
  <c r="Q396" i="15" s="1"/>
  <c r="P395" i="15"/>
  <c r="M395" i="15"/>
  <c r="L395" i="15"/>
  <c r="K395" i="15"/>
  <c r="J395" i="15"/>
  <c r="I395" i="15"/>
  <c r="R395" i="15" s="1"/>
  <c r="H395" i="15"/>
  <c r="G395" i="15"/>
  <c r="F395" i="15"/>
  <c r="E395" i="15"/>
  <c r="D395" i="15"/>
  <c r="C395" i="15"/>
  <c r="B395" i="15"/>
  <c r="A395" i="15"/>
  <c r="Q395" i="15" s="1"/>
  <c r="P394" i="15"/>
  <c r="M394" i="15"/>
  <c r="L394" i="15"/>
  <c r="K394" i="15"/>
  <c r="J394" i="15"/>
  <c r="I394" i="15"/>
  <c r="R394" i="15" s="1"/>
  <c r="H394" i="15"/>
  <c r="G394" i="15"/>
  <c r="F394" i="15"/>
  <c r="E394" i="15"/>
  <c r="D394" i="15"/>
  <c r="C394" i="15"/>
  <c r="B394" i="15"/>
  <c r="A394" i="15"/>
  <c r="Q394" i="15" s="1"/>
  <c r="P393" i="15"/>
  <c r="M393" i="15"/>
  <c r="L393" i="15"/>
  <c r="K393" i="15"/>
  <c r="J393" i="15"/>
  <c r="I393" i="15"/>
  <c r="R393" i="15" s="1"/>
  <c r="H393" i="15"/>
  <c r="G393" i="15"/>
  <c r="F393" i="15"/>
  <c r="E393" i="15"/>
  <c r="D393" i="15"/>
  <c r="C393" i="15"/>
  <c r="B393" i="15"/>
  <c r="A393" i="15"/>
  <c r="Q393" i="15" s="1"/>
  <c r="P392" i="15"/>
  <c r="M392" i="15"/>
  <c r="L392" i="15"/>
  <c r="K392" i="15"/>
  <c r="J392" i="15"/>
  <c r="I392" i="15"/>
  <c r="R392" i="15" s="1"/>
  <c r="H392" i="15"/>
  <c r="G392" i="15"/>
  <c r="F392" i="15"/>
  <c r="E392" i="15"/>
  <c r="D392" i="15"/>
  <c r="C392" i="15"/>
  <c r="B392" i="15"/>
  <c r="A392" i="15"/>
  <c r="Q392" i="15" s="1"/>
  <c r="P391" i="15"/>
  <c r="M391" i="15"/>
  <c r="L391" i="15"/>
  <c r="K391" i="15"/>
  <c r="J391" i="15"/>
  <c r="I391" i="15"/>
  <c r="R391" i="15" s="1"/>
  <c r="H391" i="15"/>
  <c r="G391" i="15"/>
  <c r="F391" i="15"/>
  <c r="E391" i="15"/>
  <c r="D391" i="15"/>
  <c r="C391" i="15"/>
  <c r="B391" i="15"/>
  <c r="A391" i="15"/>
  <c r="Q391" i="15" s="1"/>
  <c r="P390" i="15"/>
  <c r="M390" i="15"/>
  <c r="L390" i="15"/>
  <c r="K390" i="15"/>
  <c r="J390" i="15"/>
  <c r="I390" i="15"/>
  <c r="R390" i="15" s="1"/>
  <c r="H390" i="15"/>
  <c r="G390" i="15"/>
  <c r="F390" i="15"/>
  <c r="E390" i="15"/>
  <c r="D390" i="15"/>
  <c r="C390" i="15"/>
  <c r="B390" i="15"/>
  <c r="A390" i="15"/>
  <c r="Q390" i="15" s="1"/>
  <c r="P389" i="15"/>
  <c r="M389" i="15"/>
  <c r="L389" i="15"/>
  <c r="K389" i="15"/>
  <c r="J389" i="15"/>
  <c r="I389" i="15"/>
  <c r="R389" i="15" s="1"/>
  <c r="H389" i="15"/>
  <c r="G389" i="15"/>
  <c r="F389" i="15"/>
  <c r="E389" i="15"/>
  <c r="D389" i="15"/>
  <c r="C389" i="15"/>
  <c r="B389" i="15"/>
  <c r="A389" i="15"/>
  <c r="Q389" i="15" s="1"/>
  <c r="P388" i="15"/>
  <c r="M388" i="15"/>
  <c r="L388" i="15"/>
  <c r="K388" i="15"/>
  <c r="J388" i="15"/>
  <c r="I388" i="15"/>
  <c r="R388" i="15" s="1"/>
  <c r="H388" i="15"/>
  <c r="G388" i="15"/>
  <c r="F388" i="15"/>
  <c r="E388" i="15"/>
  <c r="D388" i="15"/>
  <c r="C388" i="15"/>
  <c r="B388" i="15"/>
  <c r="A388" i="15"/>
  <c r="Q388" i="15" s="1"/>
  <c r="P387" i="15"/>
  <c r="M387" i="15"/>
  <c r="L387" i="15"/>
  <c r="K387" i="15"/>
  <c r="J387" i="15"/>
  <c r="I387" i="15"/>
  <c r="R387" i="15" s="1"/>
  <c r="H387" i="15"/>
  <c r="G387" i="15"/>
  <c r="F387" i="15"/>
  <c r="E387" i="15"/>
  <c r="D387" i="15"/>
  <c r="C387" i="15"/>
  <c r="B387" i="15"/>
  <c r="A387" i="15"/>
  <c r="Q387" i="15" s="1"/>
  <c r="P386" i="15"/>
  <c r="M386" i="15"/>
  <c r="L386" i="15"/>
  <c r="K386" i="15"/>
  <c r="J386" i="15"/>
  <c r="I386" i="15"/>
  <c r="R386" i="15" s="1"/>
  <c r="H386" i="15"/>
  <c r="G386" i="15"/>
  <c r="F386" i="15"/>
  <c r="E386" i="15"/>
  <c r="D386" i="15"/>
  <c r="C386" i="15"/>
  <c r="B386" i="15"/>
  <c r="A386" i="15"/>
  <c r="Q386" i="15" s="1"/>
  <c r="P385" i="15"/>
  <c r="M385" i="15"/>
  <c r="L385" i="15"/>
  <c r="K385" i="15"/>
  <c r="J385" i="15"/>
  <c r="I385" i="15"/>
  <c r="R385" i="15" s="1"/>
  <c r="H385" i="15"/>
  <c r="G385" i="15"/>
  <c r="F385" i="15"/>
  <c r="E385" i="15"/>
  <c r="D385" i="15"/>
  <c r="C385" i="15"/>
  <c r="B385" i="15"/>
  <c r="A385" i="15"/>
  <c r="Q385" i="15" s="1"/>
  <c r="P384" i="15"/>
  <c r="M384" i="15"/>
  <c r="L384" i="15"/>
  <c r="K384" i="15"/>
  <c r="J384" i="15"/>
  <c r="I384" i="15"/>
  <c r="R384" i="15" s="1"/>
  <c r="H384" i="15"/>
  <c r="G384" i="15"/>
  <c r="F384" i="15"/>
  <c r="E384" i="15"/>
  <c r="D384" i="15"/>
  <c r="C384" i="15"/>
  <c r="B384" i="15"/>
  <c r="A384" i="15"/>
  <c r="Q384" i="15" s="1"/>
  <c r="P383" i="15"/>
  <c r="M383" i="15"/>
  <c r="L383" i="15"/>
  <c r="K383" i="15"/>
  <c r="J383" i="15"/>
  <c r="I383" i="15"/>
  <c r="R383" i="15" s="1"/>
  <c r="H383" i="15"/>
  <c r="G383" i="15"/>
  <c r="F383" i="15"/>
  <c r="E383" i="15"/>
  <c r="D383" i="15"/>
  <c r="C383" i="15"/>
  <c r="B383" i="15"/>
  <c r="A383" i="15"/>
  <c r="Q383" i="15" s="1"/>
  <c r="P382" i="15"/>
  <c r="M382" i="15"/>
  <c r="L382" i="15"/>
  <c r="K382" i="15"/>
  <c r="J382" i="15"/>
  <c r="I382" i="15"/>
  <c r="R382" i="15" s="1"/>
  <c r="H382" i="15"/>
  <c r="G382" i="15"/>
  <c r="F382" i="15"/>
  <c r="E382" i="15"/>
  <c r="D382" i="15"/>
  <c r="C382" i="15"/>
  <c r="B382" i="15"/>
  <c r="A382" i="15"/>
  <c r="Q382" i="15" s="1"/>
  <c r="P381" i="15"/>
  <c r="M381" i="15"/>
  <c r="L381" i="15"/>
  <c r="K381" i="15"/>
  <c r="J381" i="15"/>
  <c r="I381" i="15"/>
  <c r="R381" i="15" s="1"/>
  <c r="H381" i="15"/>
  <c r="G381" i="15"/>
  <c r="F381" i="15"/>
  <c r="E381" i="15"/>
  <c r="D381" i="15"/>
  <c r="C381" i="15"/>
  <c r="B381" i="15"/>
  <c r="A381" i="15"/>
  <c r="Q381" i="15" s="1"/>
  <c r="P380" i="15"/>
  <c r="M380" i="15"/>
  <c r="L380" i="15"/>
  <c r="K380" i="15"/>
  <c r="J380" i="15"/>
  <c r="I380" i="15"/>
  <c r="R380" i="15" s="1"/>
  <c r="H380" i="15"/>
  <c r="G380" i="15"/>
  <c r="F380" i="15"/>
  <c r="E380" i="15"/>
  <c r="D380" i="15"/>
  <c r="C380" i="15"/>
  <c r="B380" i="15"/>
  <c r="A380" i="15"/>
  <c r="Q380" i="15" s="1"/>
  <c r="P379" i="15"/>
  <c r="M379" i="15"/>
  <c r="L379" i="15"/>
  <c r="K379" i="15"/>
  <c r="J379" i="15"/>
  <c r="I379" i="15"/>
  <c r="R379" i="15" s="1"/>
  <c r="H379" i="15"/>
  <c r="G379" i="15"/>
  <c r="F379" i="15"/>
  <c r="E379" i="15"/>
  <c r="D379" i="15"/>
  <c r="C379" i="15"/>
  <c r="B379" i="15"/>
  <c r="A379" i="15"/>
  <c r="Q379" i="15" s="1"/>
  <c r="P378" i="15"/>
  <c r="M378" i="15"/>
  <c r="L378" i="15"/>
  <c r="K378" i="15"/>
  <c r="J378" i="15"/>
  <c r="I378" i="15"/>
  <c r="R378" i="15" s="1"/>
  <c r="H378" i="15"/>
  <c r="G378" i="15"/>
  <c r="F378" i="15"/>
  <c r="E378" i="15"/>
  <c r="D378" i="15"/>
  <c r="C378" i="15"/>
  <c r="B378" i="15"/>
  <c r="A378" i="15"/>
  <c r="Q378" i="15" s="1"/>
  <c r="P377" i="15"/>
  <c r="M377" i="15"/>
  <c r="L377" i="15"/>
  <c r="K377" i="15"/>
  <c r="J377" i="15"/>
  <c r="I377" i="15"/>
  <c r="R377" i="15" s="1"/>
  <c r="H377" i="15"/>
  <c r="G377" i="15"/>
  <c r="F377" i="15"/>
  <c r="E377" i="15"/>
  <c r="D377" i="15"/>
  <c r="C377" i="15"/>
  <c r="B377" i="15"/>
  <c r="A377" i="15"/>
  <c r="Q377" i="15" s="1"/>
  <c r="P376" i="15"/>
  <c r="M376" i="15"/>
  <c r="L376" i="15"/>
  <c r="K376" i="15"/>
  <c r="J376" i="15"/>
  <c r="I376" i="15"/>
  <c r="R376" i="15" s="1"/>
  <c r="H376" i="15"/>
  <c r="G376" i="15"/>
  <c r="F376" i="15"/>
  <c r="E376" i="15"/>
  <c r="D376" i="15"/>
  <c r="C376" i="15"/>
  <c r="B376" i="15"/>
  <c r="A376" i="15"/>
  <c r="Q376" i="15" s="1"/>
  <c r="P375" i="15"/>
  <c r="M375" i="15"/>
  <c r="L375" i="15"/>
  <c r="K375" i="15"/>
  <c r="J375" i="15"/>
  <c r="I375" i="15"/>
  <c r="R375" i="15" s="1"/>
  <c r="H375" i="15"/>
  <c r="G375" i="15"/>
  <c r="F375" i="15"/>
  <c r="E375" i="15"/>
  <c r="D375" i="15"/>
  <c r="C375" i="15"/>
  <c r="B375" i="15"/>
  <c r="A375" i="15"/>
  <c r="Q375" i="15" s="1"/>
  <c r="P374" i="15"/>
  <c r="M374" i="15"/>
  <c r="L374" i="15"/>
  <c r="K374" i="15"/>
  <c r="J374" i="15"/>
  <c r="I374" i="15"/>
  <c r="R374" i="15" s="1"/>
  <c r="H374" i="15"/>
  <c r="G374" i="15"/>
  <c r="F374" i="15"/>
  <c r="E374" i="15"/>
  <c r="D374" i="15"/>
  <c r="C374" i="15"/>
  <c r="B374" i="15"/>
  <c r="A374" i="15"/>
  <c r="Q374" i="15" s="1"/>
  <c r="P373" i="15"/>
  <c r="M373" i="15"/>
  <c r="L373" i="15"/>
  <c r="K373" i="15"/>
  <c r="J373" i="15"/>
  <c r="I373" i="15"/>
  <c r="R373" i="15" s="1"/>
  <c r="H373" i="15"/>
  <c r="G373" i="15"/>
  <c r="F373" i="15"/>
  <c r="E373" i="15"/>
  <c r="D373" i="15"/>
  <c r="C373" i="15"/>
  <c r="B373" i="15"/>
  <c r="A373" i="15"/>
  <c r="Q373" i="15" s="1"/>
  <c r="P372" i="15"/>
  <c r="M372" i="15"/>
  <c r="L372" i="15"/>
  <c r="K372" i="15"/>
  <c r="J372" i="15"/>
  <c r="I372" i="15"/>
  <c r="R372" i="15" s="1"/>
  <c r="H372" i="15"/>
  <c r="G372" i="15"/>
  <c r="F372" i="15"/>
  <c r="E372" i="15"/>
  <c r="D372" i="15"/>
  <c r="C372" i="15"/>
  <c r="B372" i="15"/>
  <c r="A372" i="15"/>
  <c r="Q372" i="15" s="1"/>
  <c r="P371" i="15"/>
  <c r="M371" i="15"/>
  <c r="L371" i="15"/>
  <c r="K371" i="15"/>
  <c r="J371" i="15"/>
  <c r="I371" i="15"/>
  <c r="R371" i="15" s="1"/>
  <c r="H371" i="15"/>
  <c r="G371" i="15"/>
  <c r="F371" i="15"/>
  <c r="E371" i="15"/>
  <c r="D371" i="15"/>
  <c r="C371" i="15"/>
  <c r="B371" i="15"/>
  <c r="A371" i="15"/>
  <c r="Q371" i="15" s="1"/>
  <c r="P370" i="15"/>
  <c r="M370" i="15"/>
  <c r="L370" i="15"/>
  <c r="K370" i="15"/>
  <c r="J370" i="15"/>
  <c r="I370" i="15"/>
  <c r="R370" i="15" s="1"/>
  <c r="H370" i="15"/>
  <c r="G370" i="15"/>
  <c r="F370" i="15"/>
  <c r="E370" i="15"/>
  <c r="D370" i="15"/>
  <c r="C370" i="15"/>
  <c r="B370" i="15"/>
  <c r="A370" i="15"/>
  <c r="Q370" i="15" s="1"/>
  <c r="P369" i="15"/>
  <c r="M369" i="15"/>
  <c r="L369" i="15"/>
  <c r="K369" i="15"/>
  <c r="J369" i="15"/>
  <c r="I369" i="15"/>
  <c r="R369" i="15" s="1"/>
  <c r="H369" i="15"/>
  <c r="G369" i="15"/>
  <c r="F369" i="15"/>
  <c r="E369" i="15"/>
  <c r="D369" i="15"/>
  <c r="C369" i="15"/>
  <c r="B369" i="15"/>
  <c r="A369" i="15"/>
  <c r="Q369" i="15" s="1"/>
  <c r="P368" i="15"/>
  <c r="M368" i="15"/>
  <c r="L368" i="15"/>
  <c r="K368" i="15"/>
  <c r="J368" i="15"/>
  <c r="I368" i="15"/>
  <c r="R368" i="15" s="1"/>
  <c r="H368" i="15"/>
  <c r="G368" i="15"/>
  <c r="F368" i="15"/>
  <c r="E368" i="15"/>
  <c r="D368" i="15"/>
  <c r="C368" i="15"/>
  <c r="B368" i="15"/>
  <c r="A368" i="15"/>
  <c r="Q368" i="15" s="1"/>
  <c r="P367" i="15"/>
  <c r="M367" i="15"/>
  <c r="L367" i="15"/>
  <c r="K367" i="15"/>
  <c r="J367" i="15"/>
  <c r="I367" i="15"/>
  <c r="R367" i="15" s="1"/>
  <c r="H367" i="15"/>
  <c r="G367" i="15"/>
  <c r="F367" i="15"/>
  <c r="E367" i="15"/>
  <c r="D367" i="15"/>
  <c r="C367" i="15"/>
  <c r="B367" i="15"/>
  <c r="A367" i="15"/>
  <c r="Q367" i="15" s="1"/>
  <c r="P366" i="15"/>
  <c r="M366" i="15"/>
  <c r="L366" i="15"/>
  <c r="K366" i="15"/>
  <c r="J366" i="15"/>
  <c r="I366" i="15"/>
  <c r="R366" i="15" s="1"/>
  <c r="H366" i="15"/>
  <c r="G366" i="15"/>
  <c r="F366" i="15"/>
  <c r="E366" i="15"/>
  <c r="D366" i="15"/>
  <c r="C366" i="15"/>
  <c r="B366" i="15"/>
  <c r="A366" i="15"/>
  <c r="Q366" i="15" s="1"/>
  <c r="P365" i="15"/>
  <c r="M365" i="15"/>
  <c r="L365" i="15"/>
  <c r="K365" i="15"/>
  <c r="J365" i="15"/>
  <c r="I365" i="15"/>
  <c r="R365" i="15" s="1"/>
  <c r="H365" i="15"/>
  <c r="G365" i="15"/>
  <c r="F365" i="15"/>
  <c r="E365" i="15"/>
  <c r="D365" i="15"/>
  <c r="C365" i="15"/>
  <c r="B365" i="15"/>
  <c r="A365" i="15"/>
  <c r="Q365" i="15" s="1"/>
  <c r="P364" i="15"/>
  <c r="M364" i="15"/>
  <c r="L364" i="15"/>
  <c r="K364" i="15"/>
  <c r="J364" i="15"/>
  <c r="I364" i="15"/>
  <c r="R364" i="15" s="1"/>
  <c r="H364" i="15"/>
  <c r="G364" i="15"/>
  <c r="F364" i="15"/>
  <c r="E364" i="15"/>
  <c r="D364" i="15"/>
  <c r="C364" i="15"/>
  <c r="B364" i="15"/>
  <c r="A364" i="15"/>
  <c r="Q364" i="15" s="1"/>
  <c r="P363" i="15"/>
  <c r="M363" i="15"/>
  <c r="L363" i="15"/>
  <c r="K363" i="15"/>
  <c r="J363" i="15"/>
  <c r="I363" i="15"/>
  <c r="R363" i="15" s="1"/>
  <c r="H363" i="15"/>
  <c r="G363" i="15"/>
  <c r="F363" i="15"/>
  <c r="E363" i="15"/>
  <c r="D363" i="15"/>
  <c r="C363" i="15"/>
  <c r="B363" i="15"/>
  <c r="A363" i="15"/>
  <c r="Q363" i="15" s="1"/>
  <c r="P362" i="15"/>
  <c r="M362" i="15"/>
  <c r="L362" i="15"/>
  <c r="K362" i="15"/>
  <c r="J362" i="15"/>
  <c r="I362" i="15"/>
  <c r="R362" i="15" s="1"/>
  <c r="H362" i="15"/>
  <c r="G362" i="15"/>
  <c r="F362" i="15"/>
  <c r="E362" i="15"/>
  <c r="D362" i="15"/>
  <c r="C362" i="15"/>
  <c r="B362" i="15"/>
  <c r="A362" i="15"/>
  <c r="Q362" i="15" s="1"/>
  <c r="P361" i="15"/>
  <c r="M361" i="15"/>
  <c r="L361" i="15"/>
  <c r="K361" i="15"/>
  <c r="J361" i="15"/>
  <c r="I361" i="15"/>
  <c r="R361" i="15" s="1"/>
  <c r="H361" i="15"/>
  <c r="G361" i="15"/>
  <c r="F361" i="15"/>
  <c r="E361" i="15"/>
  <c r="D361" i="15"/>
  <c r="C361" i="15"/>
  <c r="B361" i="15"/>
  <c r="A361" i="15"/>
  <c r="Q361" i="15" s="1"/>
  <c r="P360" i="15"/>
  <c r="M360" i="15"/>
  <c r="L360" i="15"/>
  <c r="K360" i="15"/>
  <c r="J360" i="15"/>
  <c r="I360" i="15"/>
  <c r="R360" i="15" s="1"/>
  <c r="H360" i="15"/>
  <c r="G360" i="15"/>
  <c r="F360" i="15"/>
  <c r="E360" i="15"/>
  <c r="D360" i="15"/>
  <c r="C360" i="15"/>
  <c r="B360" i="15"/>
  <c r="A360" i="15"/>
  <c r="Q360" i="15" s="1"/>
  <c r="P359" i="15"/>
  <c r="M359" i="15"/>
  <c r="L359" i="15"/>
  <c r="K359" i="15"/>
  <c r="J359" i="15"/>
  <c r="I359" i="15"/>
  <c r="R359" i="15" s="1"/>
  <c r="H359" i="15"/>
  <c r="G359" i="15"/>
  <c r="F359" i="15"/>
  <c r="E359" i="15"/>
  <c r="D359" i="15"/>
  <c r="C359" i="15"/>
  <c r="B359" i="15"/>
  <c r="A359" i="15"/>
  <c r="Q359" i="15" s="1"/>
  <c r="P358" i="15"/>
  <c r="M358" i="15"/>
  <c r="L358" i="15"/>
  <c r="K358" i="15"/>
  <c r="J358" i="15"/>
  <c r="I358" i="15"/>
  <c r="R358" i="15" s="1"/>
  <c r="H358" i="15"/>
  <c r="G358" i="15"/>
  <c r="F358" i="15"/>
  <c r="E358" i="15"/>
  <c r="D358" i="15"/>
  <c r="C358" i="15"/>
  <c r="B358" i="15"/>
  <c r="A358" i="15"/>
  <c r="Q358" i="15" s="1"/>
  <c r="P357" i="15"/>
  <c r="M357" i="15"/>
  <c r="L357" i="15"/>
  <c r="K357" i="15"/>
  <c r="J357" i="15"/>
  <c r="I357" i="15"/>
  <c r="R357" i="15" s="1"/>
  <c r="H357" i="15"/>
  <c r="G357" i="15"/>
  <c r="F357" i="15"/>
  <c r="E357" i="15"/>
  <c r="D357" i="15"/>
  <c r="C357" i="15"/>
  <c r="B357" i="15"/>
  <c r="A357" i="15"/>
  <c r="Q357" i="15" s="1"/>
  <c r="P356" i="15"/>
  <c r="M356" i="15"/>
  <c r="L356" i="15"/>
  <c r="K356" i="15"/>
  <c r="J356" i="15"/>
  <c r="I356" i="15"/>
  <c r="R356" i="15" s="1"/>
  <c r="H356" i="15"/>
  <c r="G356" i="15"/>
  <c r="F356" i="15"/>
  <c r="E356" i="15"/>
  <c r="D356" i="15"/>
  <c r="C356" i="15"/>
  <c r="B356" i="15"/>
  <c r="A356" i="15"/>
  <c r="Q356" i="15" s="1"/>
  <c r="P355" i="15"/>
  <c r="M355" i="15"/>
  <c r="L355" i="15"/>
  <c r="K355" i="15"/>
  <c r="J355" i="15"/>
  <c r="I355" i="15"/>
  <c r="R355" i="15" s="1"/>
  <c r="H355" i="15"/>
  <c r="G355" i="15"/>
  <c r="F355" i="15"/>
  <c r="E355" i="15"/>
  <c r="D355" i="15"/>
  <c r="C355" i="15"/>
  <c r="B355" i="15"/>
  <c r="A355" i="15"/>
  <c r="Q355" i="15" s="1"/>
  <c r="P354" i="15"/>
  <c r="M354" i="15"/>
  <c r="L354" i="15"/>
  <c r="K354" i="15"/>
  <c r="J354" i="15"/>
  <c r="I354" i="15"/>
  <c r="R354" i="15" s="1"/>
  <c r="H354" i="15"/>
  <c r="G354" i="15"/>
  <c r="F354" i="15"/>
  <c r="E354" i="15"/>
  <c r="D354" i="15"/>
  <c r="C354" i="15"/>
  <c r="B354" i="15"/>
  <c r="A354" i="15"/>
  <c r="Q354" i="15" s="1"/>
  <c r="P353" i="15"/>
  <c r="M353" i="15"/>
  <c r="L353" i="15"/>
  <c r="K353" i="15"/>
  <c r="J353" i="15"/>
  <c r="I353" i="15"/>
  <c r="R353" i="15" s="1"/>
  <c r="H353" i="15"/>
  <c r="G353" i="15"/>
  <c r="F353" i="15"/>
  <c r="E353" i="15"/>
  <c r="D353" i="15"/>
  <c r="C353" i="15"/>
  <c r="B353" i="15"/>
  <c r="A353" i="15"/>
  <c r="Q353" i="15" s="1"/>
  <c r="P352" i="15"/>
  <c r="M352" i="15"/>
  <c r="L352" i="15"/>
  <c r="K352" i="15"/>
  <c r="J352" i="15"/>
  <c r="I352" i="15"/>
  <c r="R352" i="15" s="1"/>
  <c r="H352" i="15"/>
  <c r="G352" i="15"/>
  <c r="F352" i="15"/>
  <c r="E352" i="15"/>
  <c r="D352" i="15"/>
  <c r="C352" i="15"/>
  <c r="B352" i="15"/>
  <c r="A352" i="15"/>
  <c r="Q352" i="15" s="1"/>
  <c r="P351" i="15"/>
  <c r="M351" i="15"/>
  <c r="L351" i="15"/>
  <c r="K351" i="15"/>
  <c r="J351" i="15"/>
  <c r="I351" i="15"/>
  <c r="R351" i="15" s="1"/>
  <c r="H351" i="15"/>
  <c r="G351" i="15"/>
  <c r="F351" i="15"/>
  <c r="E351" i="15"/>
  <c r="D351" i="15"/>
  <c r="C351" i="15"/>
  <c r="B351" i="15"/>
  <c r="A351" i="15"/>
  <c r="Q351" i="15" s="1"/>
  <c r="P350" i="15"/>
  <c r="M350" i="15"/>
  <c r="L350" i="15"/>
  <c r="K350" i="15"/>
  <c r="J350" i="15"/>
  <c r="I350" i="15"/>
  <c r="R350" i="15" s="1"/>
  <c r="H350" i="15"/>
  <c r="G350" i="15"/>
  <c r="F350" i="15"/>
  <c r="E350" i="15"/>
  <c r="D350" i="15"/>
  <c r="C350" i="15"/>
  <c r="B350" i="15"/>
  <c r="A350" i="15"/>
  <c r="Q350" i="15" s="1"/>
  <c r="P349" i="15"/>
  <c r="M349" i="15"/>
  <c r="L349" i="15"/>
  <c r="K349" i="15"/>
  <c r="J349" i="15"/>
  <c r="I349" i="15"/>
  <c r="R349" i="15" s="1"/>
  <c r="H349" i="15"/>
  <c r="G349" i="15"/>
  <c r="F349" i="15"/>
  <c r="E349" i="15"/>
  <c r="D349" i="15"/>
  <c r="C349" i="15"/>
  <c r="B349" i="15"/>
  <c r="A349" i="15"/>
  <c r="Q349" i="15" s="1"/>
  <c r="P348" i="15"/>
  <c r="M348" i="15"/>
  <c r="L348" i="15"/>
  <c r="K348" i="15"/>
  <c r="J348" i="15"/>
  <c r="I348" i="15"/>
  <c r="R348" i="15" s="1"/>
  <c r="H348" i="15"/>
  <c r="G348" i="15"/>
  <c r="F348" i="15"/>
  <c r="E348" i="15"/>
  <c r="D348" i="15"/>
  <c r="C348" i="15"/>
  <c r="B348" i="15"/>
  <c r="A348" i="15"/>
  <c r="Q348" i="15" s="1"/>
  <c r="P347" i="15"/>
  <c r="M347" i="15"/>
  <c r="L347" i="15"/>
  <c r="K347" i="15"/>
  <c r="J347" i="15"/>
  <c r="I347" i="15"/>
  <c r="R347" i="15" s="1"/>
  <c r="H347" i="15"/>
  <c r="G347" i="15"/>
  <c r="F347" i="15"/>
  <c r="E347" i="15"/>
  <c r="D347" i="15"/>
  <c r="C347" i="15"/>
  <c r="B347" i="15"/>
  <c r="A347" i="15"/>
  <c r="Q347" i="15" s="1"/>
  <c r="P346" i="15"/>
  <c r="M346" i="15"/>
  <c r="L346" i="15"/>
  <c r="K346" i="15"/>
  <c r="J346" i="15"/>
  <c r="I346" i="15"/>
  <c r="R346" i="15" s="1"/>
  <c r="H346" i="15"/>
  <c r="G346" i="15"/>
  <c r="F346" i="15"/>
  <c r="E346" i="15"/>
  <c r="D346" i="15"/>
  <c r="C346" i="15"/>
  <c r="B346" i="15"/>
  <c r="A346" i="15"/>
  <c r="Q346" i="15" s="1"/>
  <c r="P345" i="15"/>
  <c r="M345" i="15"/>
  <c r="L345" i="15"/>
  <c r="K345" i="15"/>
  <c r="J345" i="15"/>
  <c r="I345" i="15"/>
  <c r="R345" i="15" s="1"/>
  <c r="H345" i="15"/>
  <c r="G345" i="15"/>
  <c r="F345" i="15"/>
  <c r="E345" i="15"/>
  <c r="D345" i="15"/>
  <c r="C345" i="15"/>
  <c r="B345" i="15"/>
  <c r="A345" i="15"/>
  <c r="Q345" i="15" s="1"/>
  <c r="P344" i="15"/>
  <c r="M344" i="15"/>
  <c r="L344" i="15"/>
  <c r="K344" i="15"/>
  <c r="J344" i="15"/>
  <c r="I344" i="15"/>
  <c r="R344" i="15" s="1"/>
  <c r="H344" i="15"/>
  <c r="G344" i="15"/>
  <c r="F344" i="15"/>
  <c r="E344" i="15"/>
  <c r="D344" i="15"/>
  <c r="C344" i="15"/>
  <c r="B344" i="15"/>
  <c r="A344" i="15"/>
  <c r="Q344" i="15" s="1"/>
  <c r="P343" i="15"/>
  <c r="M343" i="15"/>
  <c r="L343" i="15"/>
  <c r="K343" i="15"/>
  <c r="J343" i="15"/>
  <c r="I343" i="15"/>
  <c r="R343" i="15" s="1"/>
  <c r="H343" i="15"/>
  <c r="G343" i="15"/>
  <c r="F343" i="15"/>
  <c r="E343" i="15"/>
  <c r="D343" i="15"/>
  <c r="C343" i="15"/>
  <c r="B343" i="15"/>
  <c r="A343" i="15"/>
  <c r="Q343" i="15" s="1"/>
  <c r="P342" i="15"/>
  <c r="M342" i="15"/>
  <c r="L342" i="15"/>
  <c r="K342" i="15"/>
  <c r="J342" i="15"/>
  <c r="I342" i="15"/>
  <c r="R342" i="15" s="1"/>
  <c r="H342" i="15"/>
  <c r="G342" i="15"/>
  <c r="F342" i="15"/>
  <c r="E342" i="15"/>
  <c r="D342" i="15"/>
  <c r="C342" i="15"/>
  <c r="B342" i="15"/>
  <c r="A342" i="15"/>
  <c r="Q342" i="15" s="1"/>
  <c r="P341" i="15"/>
  <c r="M341" i="15"/>
  <c r="L341" i="15"/>
  <c r="K341" i="15"/>
  <c r="J341" i="15"/>
  <c r="I341" i="15"/>
  <c r="R341" i="15" s="1"/>
  <c r="H341" i="15"/>
  <c r="G341" i="15"/>
  <c r="F341" i="15"/>
  <c r="E341" i="15"/>
  <c r="D341" i="15"/>
  <c r="C341" i="15"/>
  <c r="B341" i="15"/>
  <c r="A341" i="15"/>
  <c r="Q341" i="15" s="1"/>
  <c r="P340" i="15"/>
  <c r="M340" i="15"/>
  <c r="L340" i="15"/>
  <c r="K340" i="15"/>
  <c r="J340" i="15"/>
  <c r="I340" i="15"/>
  <c r="R340" i="15" s="1"/>
  <c r="H340" i="15"/>
  <c r="G340" i="15"/>
  <c r="F340" i="15"/>
  <c r="E340" i="15"/>
  <c r="D340" i="15"/>
  <c r="C340" i="15"/>
  <c r="B340" i="15"/>
  <c r="A340" i="15"/>
  <c r="Q340" i="15" s="1"/>
  <c r="P339" i="15"/>
  <c r="M339" i="15"/>
  <c r="L339" i="15"/>
  <c r="K339" i="15"/>
  <c r="J339" i="15"/>
  <c r="I339" i="15"/>
  <c r="R339" i="15" s="1"/>
  <c r="H339" i="15"/>
  <c r="G339" i="15"/>
  <c r="F339" i="15"/>
  <c r="E339" i="15"/>
  <c r="D339" i="15"/>
  <c r="C339" i="15"/>
  <c r="B339" i="15"/>
  <c r="A339" i="15"/>
  <c r="Q339" i="15" s="1"/>
  <c r="P338" i="15"/>
  <c r="M338" i="15"/>
  <c r="L338" i="15"/>
  <c r="K338" i="15"/>
  <c r="J338" i="15"/>
  <c r="I338" i="15"/>
  <c r="R338" i="15" s="1"/>
  <c r="H338" i="15"/>
  <c r="G338" i="15"/>
  <c r="F338" i="15"/>
  <c r="E338" i="15"/>
  <c r="D338" i="15"/>
  <c r="C338" i="15"/>
  <c r="B338" i="15"/>
  <c r="A338" i="15"/>
  <c r="Q338" i="15" s="1"/>
  <c r="P337" i="15"/>
  <c r="M337" i="15"/>
  <c r="L337" i="15"/>
  <c r="K337" i="15"/>
  <c r="J337" i="15"/>
  <c r="I337" i="15"/>
  <c r="R337" i="15" s="1"/>
  <c r="H337" i="15"/>
  <c r="G337" i="15"/>
  <c r="F337" i="15"/>
  <c r="E337" i="15"/>
  <c r="D337" i="15"/>
  <c r="C337" i="15"/>
  <c r="B337" i="15"/>
  <c r="A337" i="15"/>
  <c r="Q337" i="15" s="1"/>
  <c r="P336" i="15"/>
  <c r="M336" i="15"/>
  <c r="L336" i="15"/>
  <c r="K336" i="15"/>
  <c r="J336" i="15"/>
  <c r="I336" i="15"/>
  <c r="R336" i="15" s="1"/>
  <c r="H336" i="15"/>
  <c r="G336" i="15"/>
  <c r="F336" i="15"/>
  <c r="E336" i="15"/>
  <c r="D336" i="15"/>
  <c r="C336" i="15"/>
  <c r="B336" i="15"/>
  <c r="A336" i="15"/>
  <c r="Q336" i="15" s="1"/>
  <c r="P335" i="15"/>
  <c r="M335" i="15"/>
  <c r="L335" i="15"/>
  <c r="K335" i="15"/>
  <c r="J335" i="15"/>
  <c r="I335" i="15"/>
  <c r="R335" i="15" s="1"/>
  <c r="H335" i="15"/>
  <c r="G335" i="15"/>
  <c r="F335" i="15"/>
  <c r="E335" i="15"/>
  <c r="D335" i="15"/>
  <c r="C335" i="15"/>
  <c r="B335" i="15"/>
  <c r="A335" i="15"/>
  <c r="Q335" i="15" s="1"/>
  <c r="P334" i="15"/>
  <c r="M334" i="15"/>
  <c r="L334" i="15"/>
  <c r="K334" i="15"/>
  <c r="J334" i="15"/>
  <c r="I334" i="15"/>
  <c r="R334" i="15" s="1"/>
  <c r="H334" i="15"/>
  <c r="G334" i="15"/>
  <c r="F334" i="15"/>
  <c r="E334" i="15"/>
  <c r="D334" i="15"/>
  <c r="C334" i="15"/>
  <c r="B334" i="15"/>
  <c r="A334" i="15"/>
  <c r="Q334" i="15" s="1"/>
  <c r="P333" i="15"/>
  <c r="M333" i="15"/>
  <c r="L333" i="15"/>
  <c r="K333" i="15"/>
  <c r="J333" i="15"/>
  <c r="I333" i="15"/>
  <c r="R333" i="15" s="1"/>
  <c r="H333" i="15"/>
  <c r="G333" i="15"/>
  <c r="F333" i="15"/>
  <c r="E333" i="15"/>
  <c r="D333" i="15"/>
  <c r="C333" i="15"/>
  <c r="B333" i="15"/>
  <c r="A333" i="15"/>
  <c r="Q333" i="15" s="1"/>
  <c r="P332" i="15"/>
  <c r="M332" i="15"/>
  <c r="L332" i="15"/>
  <c r="K332" i="15"/>
  <c r="J332" i="15"/>
  <c r="I332" i="15"/>
  <c r="R332" i="15" s="1"/>
  <c r="H332" i="15"/>
  <c r="G332" i="15"/>
  <c r="F332" i="15"/>
  <c r="E332" i="15"/>
  <c r="D332" i="15"/>
  <c r="C332" i="15"/>
  <c r="B332" i="15"/>
  <c r="A332" i="15"/>
  <c r="Q332" i="15" s="1"/>
  <c r="P331" i="15"/>
  <c r="M331" i="15"/>
  <c r="L331" i="15"/>
  <c r="K331" i="15"/>
  <c r="J331" i="15"/>
  <c r="I331" i="15"/>
  <c r="R331" i="15" s="1"/>
  <c r="H331" i="15"/>
  <c r="G331" i="15"/>
  <c r="F331" i="15"/>
  <c r="E331" i="15"/>
  <c r="D331" i="15"/>
  <c r="C331" i="15"/>
  <c r="B331" i="15"/>
  <c r="A331" i="15"/>
  <c r="Q331" i="15" s="1"/>
  <c r="P330" i="15"/>
  <c r="M330" i="15"/>
  <c r="L330" i="15"/>
  <c r="K330" i="15"/>
  <c r="J330" i="15"/>
  <c r="I330" i="15"/>
  <c r="R330" i="15" s="1"/>
  <c r="H330" i="15"/>
  <c r="G330" i="15"/>
  <c r="F330" i="15"/>
  <c r="E330" i="15"/>
  <c r="D330" i="15"/>
  <c r="C330" i="15"/>
  <c r="B330" i="15"/>
  <c r="A330" i="15"/>
  <c r="Q330" i="15" s="1"/>
  <c r="P329" i="15"/>
  <c r="M329" i="15"/>
  <c r="L329" i="15"/>
  <c r="K329" i="15"/>
  <c r="J329" i="15"/>
  <c r="I329" i="15"/>
  <c r="R329" i="15" s="1"/>
  <c r="H329" i="15"/>
  <c r="G329" i="15"/>
  <c r="F329" i="15"/>
  <c r="E329" i="15"/>
  <c r="D329" i="15"/>
  <c r="C329" i="15"/>
  <c r="B329" i="15"/>
  <c r="A329" i="15"/>
  <c r="Q329" i="15" s="1"/>
  <c r="P328" i="15"/>
  <c r="M328" i="15"/>
  <c r="L328" i="15"/>
  <c r="K328" i="15"/>
  <c r="J328" i="15"/>
  <c r="I328" i="15"/>
  <c r="R328" i="15" s="1"/>
  <c r="H328" i="15"/>
  <c r="G328" i="15"/>
  <c r="F328" i="15"/>
  <c r="E328" i="15"/>
  <c r="D328" i="15"/>
  <c r="C328" i="15"/>
  <c r="B328" i="15"/>
  <c r="A328" i="15"/>
  <c r="Q328" i="15" s="1"/>
  <c r="P327" i="15"/>
  <c r="M327" i="15"/>
  <c r="L327" i="15"/>
  <c r="K327" i="15"/>
  <c r="J327" i="15"/>
  <c r="I327" i="15"/>
  <c r="R327" i="15" s="1"/>
  <c r="H327" i="15"/>
  <c r="G327" i="15"/>
  <c r="F327" i="15"/>
  <c r="E327" i="15"/>
  <c r="D327" i="15"/>
  <c r="C327" i="15"/>
  <c r="B327" i="15"/>
  <c r="A327" i="15"/>
  <c r="Q327" i="15" s="1"/>
  <c r="P326" i="15"/>
  <c r="M326" i="15"/>
  <c r="L326" i="15"/>
  <c r="K326" i="15"/>
  <c r="J326" i="15"/>
  <c r="I326" i="15"/>
  <c r="R326" i="15" s="1"/>
  <c r="H326" i="15"/>
  <c r="G326" i="15"/>
  <c r="F326" i="15"/>
  <c r="E326" i="15"/>
  <c r="D326" i="15"/>
  <c r="C326" i="15"/>
  <c r="B326" i="15"/>
  <c r="A326" i="15"/>
  <c r="Q326" i="15" s="1"/>
  <c r="P325" i="15"/>
  <c r="M325" i="15"/>
  <c r="L325" i="15"/>
  <c r="K325" i="15"/>
  <c r="J325" i="15"/>
  <c r="I325" i="15"/>
  <c r="R325" i="15" s="1"/>
  <c r="H325" i="15"/>
  <c r="G325" i="15"/>
  <c r="F325" i="15"/>
  <c r="E325" i="15"/>
  <c r="D325" i="15"/>
  <c r="C325" i="15"/>
  <c r="B325" i="15"/>
  <c r="A325" i="15"/>
  <c r="Q325" i="15" s="1"/>
  <c r="P324" i="15"/>
  <c r="M324" i="15"/>
  <c r="L324" i="15"/>
  <c r="K324" i="15"/>
  <c r="J324" i="15"/>
  <c r="I324" i="15"/>
  <c r="R324" i="15" s="1"/>
  <c r="H324" i="15"/>
  <c r="G324" i="15"/>
  <c r="F324" i="15"/>
  <c r="E324" i="15"/>
  <c r="D324" i="15"/>
  <c r="C324" i="15"/>
  <c r="B324" i="15"/>
  <c r="A324" i="15"/>
  <c r="Q324" i="15" s="1"/>
  <c r="P323" i="15"/>
  <c r="M323" i="15"/>
  <c r="L323" i="15"/>
  <c r="K323" i="15"/>
  <c r="J323" i="15"/>
  <c r="I323" i="15"/>
  <c r="R323" i="15" s="1"/>
  <c r="H323" i="15"/>
  <c r="G323" i="15"/>
  <c r="F323" i="15"/>
  <c r="E323" i="15"/>
  <c r="D323" i="15"/>
  <c r="C323" i="15"/>
  <c r="B323" i="15"/>
  <c r="A323" i="15"/>
  <c r="Q323" i="15" s="1"/>
  <c r="P322" i="15"/>
  <c r="M322" i="15"/>
  <c r="L322" i="15"/>
  <c r="K322" i="15"/>
  <c r="J322" i="15"/>
  <c r="I322" i="15"/>
  <c r="R322" i="15" s="1"/>
  <c r="H322" i="15"/>
  <c r="G322" i="15"/>
  <c r="F322" i="15"/>
  <c r="E322" i="15"/>
  <c r="D322" i="15"/>
  <c r="C322" i="15"/>
  <c r="B322" i="15"/>
  <c r="A322" i="15"/>
  <c r="Q322" i="15" s="1"/>
  <c r="P321" i="15"/>
  <c r="M321" i="15"/>
  <c r="L321" i="15"/>
  <c r="K321" i="15"/>
  <c r="J321" i="15"/>
  <c r="I321" i="15"/>
  <c r="R321" i="15" s="1"/>
  <c r="H321" i="15"/>
  <c r="G321" i="15"/>
  <c r="F321" i="15"/>
  <c r="E321" i="15"/>
  <c r="D321" i="15"/>
  <c r="C321" i="15"/>
  <c r="B321" i="15"/>
  <c r="A321" i="15"/>
  <c r="Q321" i="15" s="1"/>
  <c r="P320" i="15"/>
  <c r="M320" i="15"/>
  <c r="L320" i="15"/>
  <c r="K320" i="15"/>
  <c r="J320" i="15"/>
  <c r="I320" i="15"/>
  <c r="R320" i="15" s="1"/>
  <c r="H320" i="15"/>
  <c r="G320" i="15"/>
  <c r="F320" i="15"/>
  <c r="E320" i="15"/>
  <c r="D320" i="15"/>
  <c r="C320" i="15"/>
  <c r="B320" i="15"/>
  <c r="A320" i="15"/>
  <c r="Q320" i="15" s="1"/>
  <c r="P319" i="15"/>
  <c r="M319" i="15"/>
  <c r="L319" i="15"/>
  <c r="K319" i="15"/>
  <c r="J319" i="15"/>
  <c r="I319" i="15"/>
  <c r="R319" i="15" s="1"/>
  <c r="H319" i="15"/>
  <c r="G319" i="15"/>
  <c r="F319" i="15"/>
  <c r="E319" i="15"/>
  <c r="D319" i="15"/>
  <c r="C319" i="15"/>
  <c r="B319" i="15"/>
  <c r="A319" i="15"/>
  <c r="Q319" i="15" s="1"/>
  <c r="P318" i="15"/>
  <c r="M318" i="15"/>
  <c r="L318" i="15"/>
  <c r="K318" i="15"/>
  <c r="J318" i="15"/>
  <c r="I318" i="15"/>
  <c r="R318" i="15" s="1"/>
  <c r="H318" i="15"/>
  <c r="G318" i="15"/>
  <c r="F318" i="15"/>
  <c r="E318" i="15"/>
  <c r="D318" i="15"/>
  <c r="C318" i="15"/>
  <c r="B318" i="15"/>
  <c r="A318" i="15"/>
  <c r="Q318" i="15" s="1"/>
  <c r="P317" i="15"/>
  <c r="M317" i="15"/>
  <c r="L317" i="15"/>
  <c r="K317" i="15"/>
  <c r="J317" i="15"/>
  <c r="I317" i="15"/>
  <c r="R317" i="15" s="1"/>
  <c r="H317" i="15"/>
  <c r="G317" i="15"/>
  <c r="F317" i="15"/>
  <c r="E317" i="15"/>
  <c r="D317" i="15"/>
  <c r="C317" i="15"/>
  <c r="B317" i="15"/>
  <c r="A317" i="15"/>
  <c r="Q317" i="15" s="1"/>
  <c r="P316" i="15"/>
  <c r="M316" i="15"/>
  <c r="L316" i="15"/>
  <c r="K316" i="15"/>
  <c r="J316" i="15"/>
  <c r="I316" i="15"/>
  <c r="R316" i="15" s="1"/>
  <c r="H316" i="15"/>
  <c r="G316" i="15"/>
  <c r="F316" i="15"/>
  <c r="E316" i="15"/>
  <c r="D316" i="15"/>
  <c r="C316" i="15"/>
  <c r="B316" i="15"/>
  <c r="A316" i="15"/>
  <c r="Q316" i="15" s="1"/>
  <c r="P315" i="15"/>
  <c r="M315" i="15"/>
  <c r="L315" i="15"/>
  <c r="K315" i="15"/>
  <c r="J315" i="15"/>
  <c r="I315" i="15"/>
  <c r="R315" i="15" s="1"/>
  <c r="H315" i="15"/>
  <c r="G315" i="15"/>
  <c r="F315" i="15"/>
  <c r="E315" i="15"/>
  <c r="D315" i="15"/>
  <c r="C315" i="15"/>
  <c r="B315" i="15"/>
  <c r="A315" i="15"/>
  <c r="Q315" i="15" s="1"/>
  <c r="P314" i="15"/>
  <c r="M314" i="15"/>
  <c r="L314" i="15"/>
  <c r="K314" i="15"/>
  <c r="J314" i="15"/>
  <c r="I314" i="15"/>
  <c r="R314" i="15" s="1"/>
  <c r="H314" i="15"/>
  <c r="G314" i="15"/>
  <c r="F314" i="15"/>
  <c r="E314" i="15"/>
  <c r="D314" i="15"/>
  <c r="C314" i="15"/>
  <c r="B314" i="15"/>
  <c r="A314" i="15"/>
  <c r="Q314" i="15" s="1"/>
  <c r="P313" i="15"/>
  <c r="M313" i="15"/>
  <c r="L313" i="15"/>
  <c r="K313" i="15"/>
  <c r="J313" i="15"/>
  <c r="I313" i="15"/>
  <c r="R313" i="15" s="1"/>
  <c r="H313" i="15"/>
  <c r="G313" i="15"/>
  <c r="F313" i="15"/>
  <c r="E313" i="15"/>
  <c r="D313" i="15"/>
  <c r="C313" i="15"/>
  <c r="B313" i="15"/>
  <c r="A313" i="15"/>
  <c r="Q313" i="15" s="1"/>
  <c r="P312" i="15"/>
  <c r="M312" i="15"/>
  <c r="L312" i="15"/>
  <c r="K312" i="15"/>
  <c r="J312" i="15"/>
  <c r="I312" i="15"/>
  <c r="R312" i="15" s="1"/>
  <c r="H312" i="15"/>
  <c r="G312" i="15"/>
  <c r="F312" i="15"/>
  <c r="E312" i="15"/>
  <c r="D312" i="15"/>
  <c r="C312" i="15"/>
  <c r="B312" i="15"/>
  <c r="A312" i="15"/>
  <c r="Q312" i="15" s="1"/>
  <c r="P311" i="15"/>
  <c r="M311" i="15"/>
  <c r="L311" i="15"/>
  <c r="K311" i="15"/>
  <c r="J311" i="15"/>
  <c r="I311" i="15"/>
  <c r="R311" i="15" s="1"/>
  <c r="H311" i="15"/>
  <c r="G311" i="15"/>
  <c r="F311" i="15"/>
  <c r="E311" i="15"/>
  <c r="D311" i="15"/>
  <c r="C311" i="15"/>
  <c r="B311" i="15"/>
  <c r="A311" i="15"/>
  <c r="Q311" i="15" s="1"/>
  <c r="P310" i="15"/>
  <c r="M310" i="15"/>
  <c r="L310" i="15"/>
  <c r="K310" i="15"/>
  <c r="J310" i="15"/>
  <c r="I310" i="15"/>
  <c r="R310" i="15" s="1"/>
  <c r="H310" i="15"/>
  <c r="G310" i="15"/>
  <c r="F310" i="15"/>
  <c r="E310" i="15"/>
  <c r="D310" i="15"/>
  <c r="C310" i="15"/>
  <c r="B310" i="15"/>
  <c r="A310" i="15"/>
  <c r="Q310" i="15" s="1"/>
  <c r="P309" i="15"/>
  <c r="M309" i="15"/>
  <c r="L309" i="15"/>
  <c r="K309" i="15"/>
  <c r="J309" i="15"/>
  <c r="I309" i="15"/>
  <c r="R309" i="15" s="1"/>
  <c r="H309" i="15"/>
  <c r="G309" i="15"/>
  <c r="F309" i="15"/>
  <c r="E309" i="15"/>
  <c r="D309" i="15"/>
  <c r="C309" i="15"/>
  <c r="B309" i="15"/>
  <c r="A309" i="15"/>
  <c r="Q309" i="15" s="1"/>
  <c r="P308" i="15"/>
  <c r="M308" i="15"/>
  <c r="L308" i="15"/>
  <c r="K308" i="15"/>
  <c r="J308" i="15"/>
  <c r="I308" i="15"/>
  <c r="R308" i="15" s="1"/>
  <c r="H308" i="15"/>
  <c r="G308" i="15"/>
  <c r="F308" i="15"/>
  <c r="E308" i="15"/>
  <c r="D308" i="15"/>
  <c r="C308" i="15"/>
  <c r="B308" i="15"/>
  <c r="A308" i="15"/>
  <c r="Q308" i="15" s="1"/>
  <c r="P307" i="15"/>
  <c r="M307" i="15"/>
  <c r="L307" i="15"/>
  <c r="K307" i="15"/>
  <c r="J307" i="15"/>
  <c r="I307" i="15"/>
  <c r="R307" i="15" s="1"/>
  <c r="H307" i="15"/>
  <c r="G307" i="15"/>
  <c r="F307" i="15"/>
  <c r="E307" i="15"/>
  <c r="D307" i="15"/>
  <c r="C307" i="15"/>
  <c r="B307" i="15"/>
  <c r="A307" i="15"/>
  <c r="Q307" i="15" s="1"/>
  <c r="P306" i="15"/>
  <c r="M306" i="15"/>
  <c r="L306" i="15"/>
  <c r="K306" i="15"/>
  <c r="J306" i="15"/>
  <c r="I306" i="15"/>
  <c r="R306" i="15" s="1"/>
  <c r="H306" i="15"/>
  <c r="G306" i="15"/>
  <c r="F306" i="15"/>
  <c r="E306" i="15"/>
  <c r="D306" i="15"/>
  <c r="C306" i="15"/>
  <c r="B306" i="15"/>
  <c r="A306" i="15"/>
  <c r="Q306" i="15" s="1"/>
  <c r="P305" i="15"/>
  <c r="M305" i="15"/>
  <c r="L305" i="15"/>
  <c r="K305" i="15"/>
  <c r="J305" i="15"/>
  <c r="I305" i="15"/>
  <c r="R305" i="15" s="1"/>
  <c r="H305" i="15"/>
  <c r="G305" i="15"/>
  <c r="F305" i="15"/>
  <c r="E305" i="15"/>
  <c r="D305" i="15"/>
  <c r="C305" i="15"/>
  <c r="B305" i="15"/>
  <c r="A305" i="15"/>
  <c r="Q305" i="15" s="1"/>
  <c r="P304" i="15"/>
  <c r="M304" i="15"/>
  <c r="L304" i="15"/>
  <c r="K304" i="15"/>
  <c r="J304" i="15"/>
  <c r="I304" i="15"/>
  <c r="R304" i="15" s="1"/>
  <c r="H304" i="15"/>
  <c r="G304" i="15"/>
  <c r="F304" i="15"/>
  <c r="E304" i="15"/>
  <c r="D304" i="15"/>
  <c r="C304" i="15"/>
  <c r="B304" i="15"/>
  <c r="A304" i="15"/>
  <c r="Q304" i="15" s="1"/>
  <c r="P303" i="15"/>
  <c r="M303" i="15"/>
  <c r="L303" i="15"/>
  <c r="K303" i="15"/>
  <c r="J303" i="15"/>
  <c r="I303" i="15"/>
  <c r="R303" i="15" s="1"/>
  <c r="H303" i="15"/>
  <c r="G303" i="15"/>
  <c r="F303" i="15"/>
  <c r="E303" i="15"/>
  <c r="D303" i="15"/>
  <c r="C303" i="15"/>
  <c r="B303" i="15"/>
  <c r="A303" i="15"/>
  <c r="Q303" i="15" s="1"/>
  <c r="P302" i="15"/>
  <c r="M302" i="15"/>
  <c r="L302" i="15"/>
  <c r="K302" i="15"/>
  <c r="J302" i="15"/>
  <c r="I302" i="15"/>
  <c r="R302" i="15" s="1"/>
  <c r="H302" i="15"/>
  <c r="G302" i="15"/>
  <c r="F302" i="15"/>
  <c r="E302" i="15"/>
  <c r="D302" i="15"/>
  <c r="C302" i="15"/>
  <c r="B302" i="15"/>
  <c r="A302" i="15"/>
  <c r="Q302" i="15" s="1"/>
  <c r="P301" i="15"/>
  <c r="M301" i="15"/>
  <c r="L301" i="15"/>
  <c r="K301" i="15"/>
  <c r="J301" i="15"/>
  <c r="I301" i="15"/>
  <c r="R301" i="15" s="1"/>
  <c r="H301" i="15"/>
  <c r="G301" i="15"/>
  <c r="F301" i="15"/>
  <c r="E301" i="15"/>
  <c r="D301" i="15"/>
  <c r="C301" i="15"/>
  <c r="B301" i="15"/>
  <c r="A301" i="15"/>
  <c r="Q301" i="15" s="1"/>
  <c r="P300" i="15"/>
  <c r="M300" i="15"/>
  <c r="L300" i="15"/>
  <c r="K300" i="15"/>
  <c r="J300" i="15"/>
  <c r="I300" i="15"/>
  <c r="R300" i="15" s="1"/>
  <c r="H300" i="15"/>
  <c r="G300" i="15"/>
  <c r="F300" i="15"/>
  <c r="E300" i="15"/>
  <c r="D300" i="15"/>
  <c r="C300" i="15"/>
  <c r="B300" i="15"/>
  <c r="A300" i="15"/>
  <c r="Q300" i="15" s="1"/>
  <c r="P299" i="15"/>
  <c r="M299" i="15"/>
  <c r="L299" i="15"/>
  <c r="K299" i="15"/>
  <c r="J299" i="15"/>
  <c r="I299" i="15"/>
  <c r="R299" i="15" s="1"/>
  <c r="H299" i="15"/>
  <c r="G299" i="15"/>
  <c r="F299" i="15"/>
  <c r="E299" i="15"/>
  <c r="D299" i="15"/>
  <c r="C299" i="15"/>
  <c r="B299" i="15"/>
  <c r="A299" i="15"/>
  <c r="Q299" i="15" s="1"/>
  <c r="P298" i="15"/>
  <c r="M298" i="15"/>
  <c r="L298" i="15"/>
  <c r="K298" i="15"/>
  <c r="J298" i="15"/>
  <c r="I298" i="15"/>
  <c r="R298" i="15" s="1"/>
  <c r="H298" i="15"/>
  <c r="G298" i="15"/>
  <c r="F298" i="15"/>
  <c r="E298" i="15"/>
  <c r="D298" i="15"/>
  <c r="C298" i="15"/>
  <c r="B298" i="15"/>
  <c r="A298" i="15"/>
  <c r="Q298" i="15" s="1"/>
  <c r="P297" i="15"/>
  <c r="M297" i="15"/>
  <c r="L297" i="15"/>
  <c r="K297" i="15"/>
  <c r="J297" i="15"/>
  <c r="I297" i="15"/>
  <c r="R297" i="15" s="1"/>
  <c r="H297" i="15"/>
  <c r="G297" i="15"/>
  <c r="F297" i="15"/>
  <c r="E297" i="15"/>
  <c r="D297" i="15"/>
  <c r="C297" i="15"/>
  <c r="B297" i="15"/>
  <c r="A297" i="15"/>
  <c r="Q297" i="15" s="1"/>
  <c r="P296" i="15"/>
  <c r="M296" i="15"/>
  <c r="L296" i="15"/>
  <c r="K296" i="15"/>
  <c r="J296" i="15"/>
  <c r="I296" i="15"/>
  <c r="R296" i="15" s="1"/>
  <c r="H296" i="15"/>
  <c r="G296" i="15"/>
  <c r="F296" i="15"/>
  <c r="E296" i="15"/>
  <c r="D296" i="15"/>
  <c r="C296" i="15"/>
  <c r="B296" i="15"/>
  <c r="A296" i="15"/>
  <c r="Q296" i="15" s="1"/>
  <c r="P295" i="15"/>
  <c r="M295" i="15"/>
  <c r="L295" i="15"/>
  <c r="K295" i="15"/>
  <c r="J295" i="15"/>
  <c r="I295" i="15"/>
  <c r="R295" i="15" s="1"/>
  <c r="H295" i="15"/>
  <c r="G295" i="15"/>
  <c r="F295" i="15"/>
  <c r="E295" i="15"/>
  <c r="D295" i="15"/>
  <c r="C295" i="15"/>
  <c r="B295" i="15"/>
  <c r="A295" i="15"/>
  <c r="Q295" i="15" s="1"/>
  <c r="P294" i="15"/>
  <c r="M294" i="15"/>
  <c r="L294" i="15"/>
  <c r="K294" i="15"/>
  <c r="J294" i="15"/>
  <c r="I294" i="15"/>
  <c r="R294" i="15" s="1"/>
  <c r="H294" i="15"/>
  <c r="G294" i="15"/>
  <c r="F294" i="15"/>
  <c r="E294" i="15"/>
  <c r="D294" i="15"/>
  <c r="C294" i="15"/>
  <c r="B294" i="15"/>
  <c r="A294" i="15"/>
  <c r="Q294" i="15" s="1"/>
  <c r="P293" i="15"/>
  <c r="M293" i="15"/>
  <c r="L293" i="15"/>
  <c r="K293" i="15"/>
  <c r="J293" i="15"/>
  <c r="I293" i="15"/>
  <c r="R293" i="15" s="1"/>
  <c r="H293" i="15"/>
  <c r="G293" i="15"/>
  <c r="F293" i="15"/>
  <c r="E293" i="15"/>
  <c r="D293" i="15"/>
  <c r="C293" i="15"/>
  <c r="B293" i="15"/>
  <c r="A293" i="15"/>
  <c r="Q293" i="15" s="1"/>
  <c r="P292" i="15"/>
  <c r="M292" i="15"/>
  <c r="L292" i="15"/>
  <c r="K292" i="15"/>
  <c r="J292" i="15"/>
  <c r="I292" i="15"/>
  <c r="R292" i="15" s="1"/>
  <c r="H292" i="15"/>
  <c r="G292" i="15"/>
  <c r="F292" i="15"/>
  <c r="E292" i="15"/>
  <c r="D292" i="15"/>
  <c r="C292" i="15"/>
  <c r="B292" i="15"/>
  <c r="A292" i="15"/>
  <c r="Q292" i="15" s="1"/>
  <c r="P291" i="15"/>
  <c r="M291" i="15"/>
  <c r="L291" i="15"/>
  <c r="K291" i="15"/>
  <c r="J291" i="15"/>
  <c r="I291" i="15"/>
  <c r="R291" i="15" s="1"/>
  <c r="H291" i="15"/>
  <c r="G291" i="15"/>
  <c r="F291" i="15"/>
  <c r="E291" i="15"/>
  <c r="D291" i="15"/>
  <c r="C291" i="15"/>
  <c r="B291" i="15"/>
  <c r="A291" i="15"/>
  <c r="Q291" i="15" s="1"/>
  <c r="P290" i="15"/>
  <c r="M290" i="15"/>
  <c r="L290" i="15"/>
  <c r="K290" i="15"/>
  <c r="J290" i="15"/>
  <c r="I290" i="15"/>
  <c r="R290" i="15" s="1"/>
  <c r="H290" i="15"/>
  <c r="G290" i="15"/>
  <c r="F290" i="15"/>
  <c r="E290" i="15"/>
  <c r="D290" i="15"/>
  <c r="C290" i="15"/>
  <c r="B290" i="15"/>
  <c r="A290" i="15"/>
  <c r="Q290" i="15" s="1"/>
  <c r="P289" i="15"/>
  <c r="M289" i="15"/>
  <c r="L289" i="15"/>
  <c r="K289" i="15"/>
  <c r="J289" i="15"/>
  <c r="I289" i="15"/>
  <c r="R289" i="15" s="1"/>
  <c r="H289" i="15"/>
  <c r="G289" i="15"/>
  <c r="F289" i="15"/>
  <c r="E289" i="15"/>
  <c r="D289" i="15"/>
  <c r="C289" i="15"/>
  <c r="B289" i="15"/>
  <c r="A289" i="15"/>
  <c r="Q289" i="15" s="1"/>
  <c r="P288" i="15"/>
  <c r="M288" i="15"/>
  <c r="L288" i="15"/>
  <c r="K288" i="15"/>
  <c r="J288" i="15"/>
  <c r="I288" i="15"/>
  <c r="R288" i="15" s="1"/>
  <c r="H288" i="15"/>
  <c r="G288" i="15"/>
  <c r="F288" i="15"/>
  <c r="E288" i="15"/>
  <c r="D288" i="15"/>
  <c r="C288" i="15"/>
  <c r="B288" i="15"/>
  <c r="A288" i="15"/>
  <c r="Q288" i="15" s="1"/>
  <c r="P287" i="15"/>
  <c r="M287" i="15"/>
  <c r="L287" i="15"/>
  <c r="K287" i="15"/>
  <c r="J287" i="15"/>
  <c r="I287" i="15"/>
  <c r="R287" i="15" s="1"/>
  <c r="H287" i="15"/>
  <c r="G287" i="15"/>
  <c r="F287" i="15"/>
  <c r="E287" i="15"/>
  <c r="D287" i="15"/>
  <c r="C287" i="15"/>
  <c r="B287" i="15"/>
  <c r="A287" i="15"/>
  <c r="Q287" i="15" s="1"/>
  <c r="P286" i="15"/>
  <c r="M286" i="15"/>
  <c r="L286" i="15"/>
  <c r="K286" i="15"/>
  <c r="J286" i="15"/>
  <c r="I286" i="15"/>
  <c r="R286" i="15" s="1"/>
  <c r="H286" i="15"/>
  <c r="G286" i="15"/>
  <c r="F286" i="15"/>
  <c r="E286" i="15"/>
  <c r="D286" i="15"/>
  <c r="C286" i="15"/>
  <c r="B286" i="15"/>
  <c r="A286" i="15"/>
  <c r="Q286" i="15" s="1"/>
  <c r="P285" i="15"/>
  <c r="M285" i="15"/>
  <c r="L285" i="15"/>
  <c r="K285" i="15"/>
  <c r="J285" i="15"/>
  <c r="I285" i="15"/>
  <c r="R285" i="15" s="1"/>
  <c r="H285" i="15"/>
  <c r="G285" i="15"/>
  <c r="F285" i="15"/>
  <c r="E285" i="15"/>
  <c r="D285" i="15"/>
  <c r="C285" i="15"/>
  <c r="B285" i="15"/>
  <c r="A285" i="15"/>
  <c r="Q285" i="15" s="1"/>
  <c r="P284" i="15"/>
  <c r="M284" i="15"/>
  <c r="L284" i="15"/>
  <c r="K284" i="15"/>
  <c r="J284" i="15"/>
  <c r="I284" i="15"/>
  <c r="R284" i="15" s="1"/>
  <c r="H284" i="15"/>
  <c r="G284" i="15"/>
  <c r="F284" i="15"/>
  <c r="E284" i="15"/>
  <c r="D284" i="15"/>
  <c r="C284" i="15"/>
  <c r="B284" i="15"/>
  <c r="A284" i="15"/>
  <c r="Q284" i="15" s="1"/>
  <c r="P283" i="15"/>
  <c r="M283" i="15"/>
  <c r="L283" i="15"/>
  <c r="K283" i="15"/>
  <c r="J283" i="15"/>
  <c r="I283" i="15"/>
  <c r="R283" i="15" s="1"/>
  <c r="H283" i="15"/>
  <c r="G283" i="15"/>
  <c r="F283" i="15"/>
  <c r="E283" i="15"/>
  <c r="D283" i="15"/>
  <c r="C283" i="15"/>
  <c r="B283" i="15"/>
  <c r="A283" i="15"/>
  <c r="Q283" i="15" s="1"/>
  <c r="P282" i="15"/>
  <c r="M282" i="15"/>
  <c r="L282" i="15"/>
  <c r="K282" i="15"/>
  <c r="J282" i="15"/>
  <c r="I282" i="15"/>
  <c r="R282" i="15" s="1"/>
  <c r="H282" i="15"/>
  <c r="G282" i="15"/>
  <c r="F282" i="15"/>
  <c r="E282" i="15"/>
  <c r="D282" i="15"/>
  <c r="C282" i="15"/>
  <c r="B282" i="15"/>
  <c r="A282" i="15"/>
  <c r="Q282" i="15" s="1"/>
  <c r="P281" i="15"/>
  <c r="M281" i="15"/>
  <c r="L281" i="15"/>
  <c r="K281" i="15"/>
  <c r="J281" i="15"/>
  <c r="I281" i="15"/>
  <c r="R281" i="15" s="1"/>
  <c r="H281" i="15"/>
  <c r="G281" i="15"/>
  <c r="F281" i="15"/>
  <c r="E281" i="15"/>
  <c r="D281" i="15"/>
  <c r="C281" i="15"/>
  <c r="B281" i="15"/>
  <c r="A281" i="15"/>
  <c r="Q281" i="15" s="1"/>
  <c r="P280" i="15"/>
  <c r="M280" i="15"/>
  <c r="L280" i="15"/>
  <c r="K280" i="15"/>
  <c r="J280" i="15"/>
  <c r="I280" i="15"/>
  <c r="R280" i="15" s="1"/>
  <c r="H280" i="15"/>
  <c r="G280" i="15"/>
  <c r="F280" i="15"/>
  <c r="E280" i="15"/>
  <c r="D280" i="15"/>
  <c r="C280" i="15"/>
  <c r="B280" i="15"/>
  <c r="A280" i="15"/>
  <c r="Q280" i="15" s="1"/>
  <c r="P279" i="15"/>
  <c r="M279" i="15"/>
  <c r="L279" i="15"/>
  <c r="K279" i="15"/>
  <c r="J279" i="15"/>
  <c r="I279" i="15"/>
  <c r="R279" i="15" s="1"/>
  <c r="H279" i="15"/>
  <c r="G279" i="15"/>
  <c r="F279" i="15"/>
  <c r="E279" i="15"/>
  <c r="D279" i="15"/>
  <c r="C279" i="15"/>
  <c r="B279" i="15"/>
  <c r="A279" i="15"/>
  <c r="Q279" i="15" s="1"/>
  <c r="P278" i="15"/>
  <c r="M278" i="15"/>
  <c r="L278" i="15"/>
  <c r="K278" i="15"/>
  <c r="J278" i="15"/>
  <c r="I278" i="15"/>
  <c r="R278" i="15" s="1"/>
  <c r="H278" i="15"/>
  <c r="G278" i="15"/>
  <c r="F278" i="15"/>
  <c r="E278" i="15"/>
  <c r="D278" i="15"/>
  <c r="C278" i="15"/>
  <c r="B278" i="15"/>
  <c r="A278" i="15"/>
  <c r="Q278" i="15" s="1"/>
  <c r="P277" i="15"/>
  <c r="M277" i="15"/>
  <c r="L277" i="15"/>
  <c r="K277" i="15"/>
  <c r="J277" i="15"/>
  <c r="I277" i="15"/>
  <c r="R277" i="15" s="1"/>
  <c r="H277" i="15"/>
  <c r="G277" i="15"/>
  <c r="F277" i="15"/>
  <c r="E277" i="15"/>
  <c r="D277" i="15"/>
  <c r="C277" i="15"/>
  <c r="B277" i="15"/>
  <c r="A277" i="15"/>
  <c r="Q277" i="15" s="1"/>
  <c r="P276" i="15"/>
  <c r="M276" i="15"/>
  <c r="L276" i="15"/>
  <c r="K276" i="15"/>
  <c r="J276" i="15"/>
  <c r="I276" i="15"/>
  <c r="R276" i="15" s="1"/>
  <c r="H276" i="15"/>
  <c r="G276" i="15"/>
  <c r="F276" i="15"/>
  <c r="E276" i="15"/>
  <c r="D276" i="15"/>
  <c r="C276" i="15"/>
  <c r="B276" i="15"/>
  <c r="A276" i="15"/>
  <c r="Q276" i="15" s="1"/>
  <c r="P275" i="15"/>
  <c r="M275" i="15"/>
  <c r="L275" i="15"/>
  <c r="K275" i="15"/>
  <c r="J275" i="15"/>
  <c r="I275" i="15"/>
  <c r="R275" i="15" s="1"/>
  <c r="H275" i="15"/>
  <c r="G275" i="15"/>
  <c r="F275" i="15"/>
  <c r="E275" i="15"/>
  <c r="D275" i="15"/>
  <c r="C275" i="15"/>
  <c r="B275" i="15"/>
  <c r="A275" i="15"/>
  <c r="Q275" i="15" s="1"/>
  <c r="P274" i="15"/>
  <c r="M274" i="15"/>
  <c r="L274" i="15"/>
  <c r="K274" i="15"/>
  <c r="J274" i="15"/>
  <c r="I274" i="15"/>
  <c r="R274" i="15" s="1"/>
  <c r="H274" i="15"/>
  <c r="G274" i="15"/>
  <c r="F274" i="15"/>
  <c r="E274" i="15"/>
  <c r="D274" i="15"/>
  <c r="C274" i="15"/>
  <c r="B274" i="15"/>
  <c r="A274" i="15"/>
  <c r="Q274" i="15" s="1"/>
  <c r="P273" i="15"/>
  <c r="M273" i="15"/>
  <c r="L273" i="15"/>
  <c r="K273" i="15"/>
  <c r="J273" i="15"/>
  <c r="I273" i="15"/>
  <c r="R273" i="15" s="1"/>
  <c r="H273" i="15"/>
  <c r="G273" i="15"/>
  <c r="F273" i="15"/>
  <c r="E273" i="15"/>
  <c r="D273" i="15"/>
  <c r="C273" i="15"/>
  <c r="B273" i="15"/>
  <c r="A273" i="15"/>
  <c r="Q273" i="15" s="1"/>
  <c r="P272" i="15"/>
  <c r="M272" i="15"/>
  <c r="L272" i="15"/>
  <c r="K272" i="15"/>
  <c r="J272" i="15"/>
  <c r="I272" i="15"/>
  <c r="R272" i="15" s="1"/>
  <c r="H272" i="15"/>
  <c r="G272" i="15"/>
  <c r="F272" i="15"/>
  <c r="E272" i="15"/>
  <c r="D272" i="15"/>
  <c r="C272" i="15"/>
  <c r="B272" i="15"/>
  <c r="A272" i="15"/>
  <c r="Q272" i="15" s="1"/>
  <c r="P271" i="15"/>
  <c r="M271" i="15"/>
  <c r="L271" i="15"/>
  <c r="K271" i="15"/>
  <c r="J271" i="15"/>
  <c r="I271" i="15"/>
  <c r="R271" i="15" s="1"/>
  <c r="H271" i="15"/>
  <c r="G271" i="15"/>
  <c r="F271" i="15"/>
  <c r="E271" i="15"/>
  <c r="D271" i="15"/>
  <c r="C271" i="15"/>
  <c r="B271" i="15"/>
  <c r="A271" i="15"/>
  <c r="Q271" i="15" s="1"/>
  <c r="P270" i="15"/>
  <c r="M270" i="15"/>
  <c r="L270" i="15"/>
  <c r="K270" i="15"/>
  <c r="J270" i="15"/>
  <c r="I270" i="15"/>
  <c r="R270" i="15" s="1"/>
  <c r="H270" i="15"/>
  <c r="G270" i="15"/>
  <c r="F270" i="15"/>
  <c r="E270" i="15"/>
  <c r="D270" i="15"/>
  <c r="C270" i="15"/>
  <c r="B270" i="15"/>
  <c r="A270" i="15"/>
  <c r="Q270" i="15" s="1"/>
  <c r="P269" i="15"/>
  <c r="M269" i="15"/>
  <c r="L269" i="15"/>
  <c r="K269" i="15"/>
  <c r="J269" i="15"/>
  <c r="I269" i="15"/>
  <c r="R269" i="15" s="1"/>
  <c r="H269" i="15"/>
  <c r="G269" i="15"/>
  <c r="F269" i="15"/>
  <c r="E269" i="15"/>
  <c r="D269" i="15"/>
  <c r="C269" i="15"/>
  <c r="B269" i="15"/>
  <c r="A269" i="15"/>
  <c r="Q269" i="15" s="1"/>
  <c r="P268" i="15"/>
  <c r="M268" i="15"/>
  <c r="L268" i="15"/>
  <c r="K268" i="15"/>
  <c r="J268" i="15"/>
  <c r="I268" i="15"/>
  <c r="R268" i="15" s="1"/>
  <c r="H268" i="15"/>
  <c r="G268" i="15"/>
  <c r="F268" i="15"/>
  <c r="E268" i="15"/>
  <c r="D268" i="15"/>
  <c r="C268" i="15"/>
  <c r="B268" i="15"/>
  <c r="A268" i="15"/>
  <c r="Q268" i="15" s="1"/>
  <c r="P267" i="15"/>
  <c r="M267" i="15"/>
  <c r="L267" i="15"/>
  <c r="K267" i="15"/>
  <c r="J267" i="15"/>
  <c r="I267" i="15"/>
  <c r="R267" i="15" s="1"/>
  <c r="H267" i="15"/>
  <c r="G267" i="15"/>
  <c r="F267" i="15"/>
  <c r="E267" i="15"/>
  <c r="D267" i="15"/>
  <c r="C267" i="15"/>
  <c r="B267" i="15"/>
  <c r="A267" i="15"/>
  <c r="Q267" i="15" s="1"/>
  <c r="P266" i="15"/>
  <c r="M266" i="15"/>
  <c r="L266" i="15"/>
  <c r="K266" i="15"/>
  <c r="J266" i="15"/>
  <c r="I266" i="15"/>
  <c r="R266" i="15" s="1"/>
  <c r="H266" i="15"/>
  <c r="G266" i="15"/>
  <c r="F266" i="15"/>
  <c r="E266" i="15"/>
  <c r="D266" i="15"/>
  <c r="C266" i="15"/>
  <c r="B266" i="15"/>
  <c r="A266" i="15"/>
  <c r="Q266" i="15" s="1"/>
  <c r="P265" i="15"/>
  <c r="M265" i="15"/>
  <c r="L265" i="15"/>
  <c r="K265" i="15"/>
  <c r="J265" i="15"/>
  <c r="I265" i="15"/>
  <c r="R265" i="15" s="1"/>
  <c r="H265" i="15"/>
  <c r="G265" i="15"/>
  <c r="F265" i="15"/>
  <c r="E265" i="15"/>
  <c r="D265" i="15"/>
  <c r="C265" i="15"/>
  <c r="B265" i="15"/>
  <c r="A265" i="15"/>
  <c r="Q265" i="15" s="1"/>
  <c r="P264" i="15"/>
  <c r="M264" i="15"/>
  <c r="L264" i="15"/>
  <c r="K264" i="15"/>
  <c r="J264" i="15"/>
  <c r="I264" i="15"/>
  <c r="R264" i="15" s="1"/>
  <c r="H264" i="15"/>
  <c r="G264" i="15"/>
  <c r="F264" i="15"/>
  <c r="E264" i="15"/>
  <c r="D264" i="15"/>
  <c r="C264" i="15"/>
  <c r="B264" i="15"/>
  <c r="A264" i="15"/>
  <c r="Q264" i="15" s="1"/>
  <c r="P263" i="15"/>
  <c r="M263" i="15"/>
  <c r="L263" i="15"/>
  <c r="K263" i="15"/>
  <c r="J263" i="15"/>
  <c r="I263" i="15"/>
  <c r="R263" i="15" s="1"/>
  <c r="H263" i="15"/>
  <c r="G263" i="15"/>
  <c r="F263" i="15"/>
  <c r="E263" i="15"/>
  <c r="D263" i="15"/>
  <c r="C263" i="15"/>
  <c r="B263" i="15"/>
  <c r="A263" i="15"/>
  <c r="Q263" i="15" s="1"/>
  <c r="P262" i="15"/>
  <c r="M262" i="15"/>
  <c r="L262" i="15"/>
  <c r="K262" i="15"/>
  <c r="J262" i="15"/>
  <c r="I262" i="15"/>
  <c r="R262" i="15" s="1"/>
  <c r="H262" i="15"/>
  <c r="G262" i="15"/>
  <c r="F262" i="15"/>
  <c r="E262" i="15"/>
  <c r="D262" i="15"/>
  <c r="C262" i="15"/>
  <c r="B262" i="15"/>
  <c r="A262" i="15"/>
  <c r="Q262" i="15" s="1"/>
  <c r="P261" i="15"/>
  <c r="M261" i="15"/>
  <c r="L261" i="15"/>
  <c r="K261" i="15"/>
  <c r="J261" i="15"/>
  <c r="I261" i="15"/>
  <c r="R261" i="15" s="1"/>
  <c r="H261" i="15"/>
  <c r="G261" i="15"/>
  <c r="F261" i="15"/>
  <c r="E261" i="15"/>
  <c r="D261" i="15"/>
  <c r="C261" i="15"/>
  <c r="B261" i="15"/>
  <c r="A261" i="15"/>
  <c r="Q261" i="15" s="1"/>
  <c r="P260" i="15"/>
  <c r="M260" i="15"/>
  <c r="L260" i="15"/>
  <c r="K260" i="15"/>
  <c r="J260" i="15"/>
  <c r="I260" i="15"/>
  <c r="R260" i="15" s="1"/>
  <c r="H260" i="15"/>
  <c r="G260" i="15"/>
  <c r="F260" i="15"/>
  <c r="E260" i="15"/>
  <c r="D260" i="15"/>
  <c r="C260" i="15"/>
  <c r="B260" i="15"/>
  <c r="A260" i="15"/>
  <c r="Q260" i="15" s="1"/>
  <c r="P259" i="15"/>
  <c r="M259" i="15"/>
  <c r="L259" i="15"/>
  <c r="K259" i="15"/>
  <c r="J259" i="15"/>
  <c r="I259" i="15"/>
  <c r="R259" i="15" s="1"/>
  <c r="H259" i="15"/>
  <c r="G259" i="15"/>
  <c r="F259" i="15"/>
  <c r="E259" i="15"/>
  <c r="D259" i="15"/>
  <c r="C259" i="15"/>
  <c r="B259" i="15"/>
  <c r="A259" i="15"/>
  <c r="Q259" i="15" s="1"/>
  <c r="P258" i="15"/>
  <c r="M258" i="15"/>
  <c r="L258" i="15"/>
  <c r="K258" i="15"/>
  <c r="J258" i="15"/>
  <c r="I258" i="15"/>
  <c r="R258" i="15" s="1"/>
  <c r="H258" i="15"/>
  <c r="G258" i="15"/>
  <c r="F258" i="15"/>
  <c r="E258" i="15"/>
  <c r="D258" i="15"/>
  <c r="C258" i="15"/>
  <c r="B258" i="15"/>
  <c r="A258" i="15"/>
  <c r="Q258" i="15" s="1"/>
  <c r="P257" i="15"/>
  <c r="M257" i="15"/>
  <c r="L257" i="15"/>
  <c r="K257" i="15"/>
  <c r="J257" i="15"/>
  <c r="I257" i="15"/>
  <c r="R257" i="15" s="1"/>
  <c r="H257" i="15"/>
  <c r="G257" i="15"/>
  <c r="F257" i="15"/>
  <c r="E257" i="15"/>
  <c r="D257" i="15"/>
  <c r="C257" i="15"/>
  <c r="B257" i="15"/>
  <c r="A257" i="15"/>
  <c r="Q257" i="15" s="1"/>
  <c r="P256" i="15"/>
  <c r="M256" i="15"/>
  <c r="L256" i="15"/>
  <c r="K256" i="15"/>
  <c r="J256" i="15"/>
  <c r="I256" i="15"/>
  <c r="R256" i="15" s="1"/>
  <c r="H256" i="15"/>
  <c r="G256" i="15"/>
  <c r="F256" i="15"/>
  <c r="E256" i="15"/>
  <c r="D256" i="15"/>
  <c r="C256" i="15"/>
  <c r="B256" i="15"/>
  <c r="A256" i="15"/>
  <c r="Q256" i="15" s="1"/>
  <c r="P255" i="15"/>
  <c r="M255" i="15"/>
  <c r="L255" i="15"/>
  <c r="K255" i="15"/>
  <c r="J255" i="15"/>
  <c r="I255" i="15"/>
  <c r="R255" i="15" s="1"/>
  <c r="H255" i="15"/>
  <c r="G255" i="15"/>
  <c r="F255" i="15"/>
  <c r="E255" i="15"/>
  <c r="D255" i="15"/>
  <c r="C255" i="15"/>
  <c r="B255" i="15"/>
  <c r="A255" i="15"/>
  <c r="Q255" i="15" s="1"/>
  <c r="P254" i="15"/>
  <c r="M254" i="15"/>
  <c r="L254" i="15"/>
  <c r="K254" i="15"/>
  <c r="J254" i="15"/>
  <c r="I254" i="15"/>
  <c r="R254" i="15" s="1"/>
  <c r="H254" i="15"/>
  <c r="G254" i="15"/>
  <c r="F254" i="15"/>
  <c r="E254" i="15"/>
  <c r="D254" i="15"/>
  <c r="C254" i="15"/>
  <c r="B254" i="15"/>
  <c r="A254" i="15"/>
  <c r="Q254" i="15" s="1"/>
  <c r="P253" i="15"/>
  <c r="M253" i="15"/>
  <c r="L253" i="15"/>
  <c r="K253" i="15"/>
  <c r="J253" i="15"/>
  <c r="I253" i="15"/>
  <c r="R253" i="15" s="1"/>
  <c r="H253" i="15"/>
  <c r="G253" i="15"/>
  <c r="F253" i="15"/>
  <c r="E253" i="15"/>
  <c r="D253" i="15"/>
  <c r="C253" i="15"/>
  <c r="B253" i="15"/>
  <c r="A253" i="15"/>
  <c r="Q253" i="15" s="1"/>
  <c r="P252" i="15"/>
  <c r="M252" i="15"/>
  <c r="L252" i="15"/>
  <c r="K252" i="15"/>
  <c r="J252" i="15"/>
  <c r="I252" i="15"/>
  <c r="R252" i="15" s="1"/>
  <c r="H252" i="15"/>
  <c r="G252" i="15"/>
  <c r="F252" i="15"/>
  <c r="E252" i="15"/>
  <c r="D252" i="15"/>
  <c r="C252" i="15"/>
  <c r="B252" i="15"/>
  <c r="A252" i="15"/>
  <c r="Q252" i="15" s="1"/>
  <c r="P251" i="15"/>
  <c r="M251" i="15"/>
  <c r="L251" i="15"/>
  <c r="K251" i="15"/>
  <c r="J251" i="15"/>
  <c r="I251" i="15"/>
  <c r="R251" i="15" s="1"/>
  <c r="H251" i="15"/>
  <c r="G251" i="15"/>
  <c r="F251" i="15"/>
  <c r="E251" i="15"/>
  <c r="D251" i="15"/>
  <c r="C251" i="15"/>
  <c r="B251" i="15"/>
  <c r="A251" i="15"/>
  <c r="Q251" i="15" s="1"/>
  <c r="P250" i="15"/>
  <c r="M250" i="15"/>
  <c r="L250" i="15"/>
  <c r="K250" i="15"/>
  <c r="J250" i="15"/>
  <c r="I250" i="15"/>
  <c r="R250" i="15" s="1"/>
  <c r="H250" i="15"/>
  <c r="G250" i="15"/>
  <c r="F250" i="15"/>
  <c r="E250" i="15"/>
  <c r="D250" i="15"/>
  <c r="C250" i="15"/>
  <c r="B250" i="15"/>
  <c r="A250" i="15"/>
  <c r="Q250" i="15" s="1"/>
  <c r="P249" i="15"/>
  <c r="M249" i="15"/>
  <c r="L249" i="15"/>
  <c r="K249" i="15"/>
  <c r="J249" i="15"/>
  <c r="I249" i="15"/>
  <c r="R249" i="15" s="1"/>
  <c r="H249" i="15"/>
  <c r="G249" i="15"/>
  <c r="F249" i="15"/>
  <c r="E249" i="15"/>
  <c r="D249" i="15"/>
  <c r="C249" i="15"/>
  <c r="B249" i="15"/>
  <c r="A249" i="15"/>
  <c r="Q249" i="15" s="1"/>
  <c r="P248" i="15"/>
  <c r="M248" i="15"/>
  <c r="L248" i="15"/>
  <c r="K248" i="15"/>
  <c r="J248" i="15"/>
  <c r="I248" i="15"/>
  <c r="R248" i="15" s="1"/>
  <c r="H248" i="15"/>
  <c r="G248" i="15"/>
  <c r="F248" i="15"/>
  <c r="E248" i="15"/>
  <c r="D248" i="15"/>
  <c r="C248" i="15"/>
  <c r="B248" i="15"/>
  <c r="A248" i="15"/>
  <c r="Q248" i="15" s="1"/>
  <c r="P247" i="15"/>
  <c r="M247" i="15"/>
  <c r="L247" i="15"/>
  <c r="K247" i="15"/>
  <c r="J247" i="15"/>
  <c r="I247" i="15"/>
  <c r="R247" i="15" s="1"/>
  <c r="H247" i="15"/>
  <c r="G247" i="15"/>
  <c r="F247" i="15"/>
  <c r="E247" i="15"/>
  <c r="D247" i="15"/>
  <c r="C247" i="15"/>
  <c r="B247" i="15"/>
  <c r="A247" i="15"/>
  <c r="Q247" i="15" s="1"/>
  <c r="P246" i="15"/>
  <c r="M246" i="15"/>
  <c r="L246" i="15"/>
  <c r="K246" i="15"/>
  <c r="J246" i="15"/>
  <c r="I246" i="15"/>
  <c r="R246" i="15" s="1"/>
  <c r="H246" i="15"/>
  <c r="G246" i="15"/>
  <c r="F246" i="15"/>
  <c r="E246" i="15"/>
  <c r="D246" i="15"/>
  <c r="C246" i="15"/>
  <c r="B246" i="15"/>
  <c r="A246" i="15"/>
  <c r="Q246" i="15" s="1"/>
  <c r="P245" i="15"/>
  <c r="M245" i="15"/>
  <c r="L245" i="15"/>
  <c r="K245" i="15"/>
  <c r="J245" i="15"/>
  <c r="I245" i="15"/>
  <c r="R245" i="15" s="1"/>
  <c r="H245" i="15"/>
  <c r="G245" i="15"/>
  <c r="F245" i="15"/>
  <c r="E245" i="15"/>
  <c r="D245" i="15"/>
  <c r="C245" i="15"/>
  <c r="B245" i="15"/>
  <c r="A245" i="15"/>
  <c r="Q245" i="15" s="1"/>
  <c r="P244" i="15"/>
  <c r="M244" i="15"/>
  <c r="L244" i="15"/>
  <c r="K244" i="15"/>
  <c r="J244" i="15"/>
  <c r="I244" i="15"/>
  <c r="R244" i="15" s="1"/>
  <c r="H244" i="15"/>
  <c r="G244" i="15"/>
  <c r="F244" i="15"/>
  <c r="E244" i="15"/>
  <c r="D244" i="15"/>
  <c r="C244" i="15"/>
  <c r="B244" i="15"/>
  <c r="A244" i="15"/>
  <c r="Q244" i="15" s="1"/>
  <c r="P243" i="15"/>
  <c r="M243" i="15"/>
  <c r="L243" i="15"/>
  <c r="K243" i="15"/>
  <c r="J243" i="15"/>
  <c r="I243" i="15"/>
  <c r="R243" i="15" s="1"/>
  <c r="H243" i="15"/>
  <c r="G243" i="15"/>
  <c r="F243" i="15"/>
  <c r="E243" i="15"/>
  <c r="D243" i="15"/>
  <c r="C243" i="15"/>
  <c r="B243" i="15"/>
  <c r="A243" i="15"/>
  <c r="Q243" i="15" s="1"/>
  <c r="P242" i="15"/>
  <c r="M242" i="15"/>
  <c r="L242" i="15"/>
  <c r="K242" i="15"/>
  <c r="J242" i="15"/>
  <c r="I242" i="15"/>
  <c r="R242" i="15" s="1"/>
  <c r="H242" i="15"/>
  <c r="G242" i="15"/>
  <c r="F242" i="15"/>
  <c r="E242" i="15"/>
  <c r="D242" i="15"/>
  <c r="C242" i="15"/>
  <c r="B242" i="15"/>
  <c r="A242" i="15"/>
  <c r="Q242" i="15" s="1"/>
  <c r="P241" i="15"/>
  <c r="M241" i="15"/>
  <c r="L241" i="15"/>
  <c r="K241" i="15"/>
  <c r="J241" i="15"/>
  <c r="I241" i="15"/>
  <c r="R241" i="15" s="1"/>
  <c r="H241" i="15"/>
  <c r="G241" i="15"/>
  <c r="F241" i="15"/>
  <c r="E241" i="15"/>
  <c r="D241" i="15"/>
  <c r="C241" i="15"/>
  <c r="B241" i="15"/>
  <c r="A241" i="15"/>
  <c r="Q241" i="15" s="1"/>
  <c r="P240" i="15"/>
  <c r="M240" i="15"/>
  <c r="L240" i="15"/>
  <c r="K240" i="15"/>
  <c r="J240" i="15"/>
  <c r="I240" i="15"/>
  <c r="R240" i="15" s="1"/>
  <c r="H240" i="15"/>
  <c r="G240" i="15"/>
  <c r="F240" i="15"/>
  <c r="E240" i="15"/>
  <c r="D240" i="15"/>
  <c r="C240" i="15"/>
  <c r="B240" i="15"/>
  <c r="A240" i="15"/>
  <c r="Q240" i="15" s="1"/>
  <c r="P239" i="15"/>
  <c r="M239" i="15"/>
  <c r="L239" i="15"/>
  <c r="K239" i="15"/>
  <c r="J239" i="15"/>
  <c r="I239" i="15"/>
  <c r="R239" i="15" s="1"/>
  <c r="H239" i="15"/>
  <c r="G239" i="15"/>
  <c r="F239" i="15"/>
  <c r="E239" i="15"/>
  <c r="D239" i="15"/>
  <c r="C239" i="15"/>
  <c r="B239" i="15"/>
  <c r="A239" i="15"/>
  <c r="Q239" i="15" s="1"/>
  <c r="P238" i="15"/>
  <c r="M238" i="15"/>
  <c r="L238" i="15"/>
  <c r="K238" i="15"/>
  <c r="J238" i="15"/>
  <c r="I238" i="15"/>
  <c r="R238" i="15" s="1"/>
  <c r="H238" i="15"/>
  <c r="G238" i="15"/>
  <c r="F238" i="15"/>
  <c r="E238" i="15"/>
  <c r="D238" i="15"/>
  <c r="C238" i="15"/>
  <c r="B238" i="15"/>
  <c r="A238" i="15"/>
  <c r="Q238" i="15" s="1"/>
  <c r="P237" i="15"/>
  <c r="M237" i="15"/>
  <c r="L237" i="15"/>
  <c r="K237" i="15"/>
  <c r="J237" i="15"/>
  <c r="I237" i="15"/>
  <c r="R237" i="15" s="1"/>
  <c r="H237" i="15"/>
  <c r="G237" i="15"/>
  <c r="F237" i="15"/>
  <c r="E237" i="15"/>
  <c r="D237" i="15"/>
  <c r="C237" i="15"/>
  <c r="B237" i="15"/>
  <c r="A237" i="15"/>
  <c r="Q237" i="15" s="1"/>
  <c r="P236" i="15"/>
  <c r="M236" i="15"/>
  <c r="L236" i="15"/>
  <c r="K236" i="15"/>
  <c r="J236" i="15"/>
  <c r="I236" i="15"/>
  <c r="R236" i="15" s="1"/>
  <c r="H236" i="15"/>
  <c r="G236" i="15"/>
  <c r="F236" i="15"/>
  <c r="E236" i="15"/>
  <c r="D236" i="15"/>
  <c r="C236" i="15"/>
  <c r="B236" i="15"/>
  <c r="A236" i="15"/>
  <c r="Q236" i="15" s="1"/>
  <c r="P235" i="15"/>
  <c r="M235" i="15"/>
  <c r="L235" i="15"/>
  <c r="K235" i="15"/>
  <c r="J235" i="15"/>
  <c r="I235" i="15"/>
  <c r="R235" i="15" s="1"/>
  <c r="H235" i="15"/>
  <c r="G235" i="15"/>
  <c r="F235" i="15"/>
  <c r="E235" i="15"/>
  <c r="D235" i="15"/>
  <c r="C235" i="15"/>
  <c r="B235" i="15"/>
  <c r="A235" i="15"/>
  <c r="Q235" i="15" s="1"/>
  <c r="P234" i="15"/>
  <c r="M234" i="15"/>
  <c r="L234" i="15"/>
  <c r="K234" i="15"/>
  <c r="J234" i="15"/>
  <c r="I234" i="15"/>
  <c r="R234" i="15" s="1"/>
  <c r="H234" i="15"/>
  <c r="G234" i="15"/>
  <c r="F234" i="15"/>
  <c r="E234" i="15"/>
  <c r="D234" i="15"/>
  <c r="C234" i="15"/>
  <c r="B234" i="15"/>
  <c r="A234" i="15"/>
  <c r="Q234" i="15" s="1"/>
  <c r="P233" i="15"/>
  <c r="M233" i="15"/>
  <c r="L233" i="15"/>
  <c r="K233" i="15"/>
  <c r="J233" i="15"/>
  <c r="I233" i="15"/>
  <c r="R233" i="15" s="1"/>
  <c r="H233" i="15"/>
  <c r="G233" i="15"/>
  <c r="F233" i="15"/>
  <c r="E233" i="15"/>
  <c r="D233" i="15"/>
  <c r="C233" i="15"/>
  <c r="B233" i="15"/>
  <c r="A233" i="15"/>
  <c r="Q233" i="15" s="1"/>
  <c r="P232" i="15"/>
  <c r="M232" i="15"/>
  <c r="L232" i="15"/>
  <c r="K232" i="15"/>
  <c r="J232" i="15"/>
  <c r="I232" i="15"/>
  <c r="R232" i="15" s="1"/>
  <c r="H232" i="15"/>
  <c r="G232" i="15"/>
  <c r="F232" i="15"/>
  <c r="E232" i="15"/>
  <c r="D232" i="15"/>
  <c r="C232" i="15"/>
  <c r="B232" i="15"/>
  <c r="A232" i="15"/>
  <c r="Q232" i="15" s="1"/>
  <c r="P231" i="15"/>
  <c r="M231" i="15"/>
  <c r="L231" i="15"/>
  <c r="K231" i="15"/>
  <c r="J231" i="15"/>
  <c r="I231" i="15"/>
  <c r="R231" i="15" s="1"/>
  <c r="H231" i="15"/>
  <c r="G231" i="15"/>
  <c r="F231" i="15"/>
  <c r="E231" i="15"/>
  <c r="D231" i="15"/>
  <c r="C231" i="15"/>
  <c r="B231" i="15"/>
  <c r="A231" i="15"/>
  <c r="Q231" i="15" s="1"/>
  <c r="P230" i="15"/>
  <c r="M230" i="15"/>
  <c r="L230" i="15"/>
  <c r="K230" i="15"/>
  <c r="J230" i="15"/>
  <c r="I230" i="15"/>
  <c r="R230" i="15" s="1"/>
  <c r="H230" i="15"/>
  <c r="G230" i="15"/>
  <c r="F230" i="15"/>
  <c r="E230" i="15"/>
  <c r="D230" i="15"/>
  <c r="C230" i="15"/>
  <c r="B230" i="15"/>
  <c r="A230" i="15"/>
  <c r="Q230" i="15" s="1"/>
  <c r="P229" i="15"/>
  <c r="M229" i="15"/>
  <c r="L229" i="15"/>
  <c r="K229" i="15"/>
  <c r="J229" i="15"/>
  <c r="I229" i="15"/>
  <c r="R229" i="15" s="1"/>
  <c r="H229" i="15"/>
  <c r="G229" i="15"/>
  <c r="F229" i="15"/>
  <c r="E229" i="15"/>
  <c r="D229" i="15"/>
  <c r="C229" i="15"/>
  <c r="B229" i="15"/>
  <c r="A229" i="15"/>
  <c r="Q229" i="15" s="1"/>
  <c r="P228" i="15"/>
  <c r="M228" i="15"/>
  <c r="L228" i="15"/>
  <c r="K228" i="15"/>
  <c r="J228" i="15"/>
  <c r="I228" i="15"/>
  <c r="R228" i="15" s="1"/>
  <c r="H228" i="15"/>
  <c r="G228" i="15"/>
  <c r="F228" i="15"/>
  <c r="E228" i="15"/>
  <c r="D228" i="15"/>
  <c r="C228" i="15"/>
  <c r="B228" i="15"/>
  <c r="A228" i="15"/>
  <c r="Q228" i="15" s="1"/>
  <c r="P227" i="15"/>
  <c r="M227" i="15"/>
  <c r="L227" i="15"/>
  <c r="K227" i="15"/>
  <c r="J227" i="15"/>
  <c r="I227" i="15"/>
  <c r="R227" i="15" s="1"/>
  <c r="H227" i="15"/>
  <c r="G227" i="15"/>
  <c r="F227" i="15"/>
  <c r="E227" i="15"/>
  <c r="D227" i="15"/>
  <c r="C227" i="15"/>
  <c r="B227" i="15"/>
  <c r="A227" i="15"/>
  <c r="Q227" i="15" s="1"/>
  <c r="P226" i="15"/>
  <c r="M226" i="15"/>
  <c r="L226" i="15"/>
  <c r="K226" i="15"/>
  <c r="J226" i="15"/>
  <c r="I226" i="15"/>
  <c r="R226" i="15" s="1"/>
  <c r="H226" i="15"/>
  <c r="G226" i="15"/>
  <c r="F226" i="15"/>
  <c r="E226" i="15"/>
  <c r="D226" i="15"/>
  <c r="C226" i="15"/>
  <c r="B226" i="15"/>
  <c r="A226" i="15"/>
  <c r="Q226" i="15" s="1"/>
  <c r="P225" i="15"/>
  <c r="M225" i="15"/>
  <c r="L225" i="15"/>
  <c r="K225" i="15"/>
  <c r="J225" i="15"/>
  <c r="I225" i="15"/>
  <c r="R225" i="15" s="1"/>
  <c r="H225" i="15"/>
  <c r="G225" i="15"/>
  <c r="F225" i="15"/>
  <c r="E225" i="15"/>
  <c r="D225" i="15"/>
  <c r="C225" i="15"/>
  <c r="B225" i="15"/>
  <c r="A225" i="15"/>
  <c r="Q225" i="15" s="1"/>
  <c r="P224" i="15"/>
  <c r="M224" i="15"/>
  <c r="L224" i="15"/>
  <c r="K224" i="15"/>
  <c r="J224" i="15"/>
  <c r="I224" i="15"/>
  <c r="R224" i="15" s="1"/>
  <c r="H224" i="15"/>
  <c r="G224" i="15"/>
  <c r="F224" i="15"/>
  <c r="E224" i="15"/>
  <c r="D224" i="15"/>
  <c r="C224" i="15"/>
  <c r="B224" i="15"/>
  <c r="A224" i="15"/>
  <c r="Q224" i="15" s="1"/>
  <c r="P223" i="15"/>
  <c r="M223" i="15"/>
  <c r="L223" i="15"/>
  <c r="K223" i="15"/>
  <c r="J223" i="15"/>
  <c r="I223" i="15"/>
  <c r="R223" i="15" s="1"/>
  <c r="H223" i="15"/>
  <c r="G223" i="15"/>
  <c r="F223" i="15"/>
  <c r="E223" i="15"/>
  <c r="D223" i="15"/>
  <c r="C223" i="15"/>
  <c r="B223" i="15"/>
  <c r="A223" i="15"/>
  <c r="Q223" i="15" s="1"/>
  <c r="P222" i="15"/>
  <c r="M222" i="15"/>
  <c r="L222" i="15"/>
  <c r="K222" i="15"/>
  <c r="J222" i="15"/>
  <c r="I222" i="15"/>
  <c r="R222" i="15" s="1"/>
  <c r="H222" i="15"/>
  <c r="G222" i="15"/>
  <c r="F222" i="15"/>
  <c r="E222" i="15"/>
  <c r="D222" i="15"/>
  <c r="C222" i="15"/>
  <c r="B222" i="15"/>
  <c r="A222" i="15"/>
  <c r="Q222" i="15" s="1"/>
  <c r="P221" i="15"/>
  <c r="M221" i="15"/>
  <c r="L221" i="15"/>
  <c r="K221" i="15"/>
  <c r="J221" i="15"/>
  <c r="I221" i="15"/>
  <c r="R221" i="15" s="1"/>
  <c r="H221" i="15"/>
  <c r="G221" i="15"/>
  <c r="F221" i="15"/>
  <c r="E221" i="15"/>
  <c r="D221" i="15"/>
  <c r="C221" i="15"/>
  <c r="B221" i="15"/>
  <c r="A221" i="15"/>
  <c r="Q221" i="15" s="1"/>
  <c r="P220" i="15"/>
  <c r="M220" i="15"/>
  <c r="L220" i="15"/>
  <c r="K220" i="15"/>
  <c r="J220" i="15"/>
  <c r="I220" i="15"/>
  <c r="R220" i="15" s="1"/>
  <c r="H220" i="15"/>
  <c r="G220" i="15"/>
  <c r="F220" i="15"/>
  <c r="E220" i="15"/>
  <c r="D220" i="15"/>
  <c r="C220" i="15"/>
  <c r="B220" i="15"/>
  <c r="A220" i="15"/>
  <c r="Q220" i="15" s="1"/>
  <c r="P219" i="15"/>
  <c r="M219" i="15"/>
  <c r="L219" i="15"/>
  <c r="K219" i="15"/>
  <c r="J219" i="15"/>
  <c r="I219" i="15"/>
  <c r="R219" i="15" s="1"/>
  <c r="H219" i="15"/>
  <c r="G219" i="15"/>
  <c r="F219" i="15"/>
  <c r="E219" i="15"/>
  <c r="D219" i="15"/>
  <c r="C219" i="15"/>
  <c r="B219" i="15"/>
  <c r="A219" i="15"/>
  <c r="Q219" i="15" s="1"/>
  <c r="P218" i="15"/>
  <c r="M218" i="15"/>
  <c r="L218" i="15"/>
  <c r="K218" i="15"/>
  <c r="J218" i="15"/>
  <c r="I218" i="15"/>
  <c r="R218" i="15" s="1"/>
  <c r="H218" i="15"/>
  <c r="G218" i="15"/>
  <c r="F218" i="15"/>
  <c r="E218" i="15"/>
  <c r="D218" i="15"/>
  <c r="C218" i="15"/>
  <c r="B218" i="15"/>
  <c r="A218" i="15"/>
  <c r="Q218" i="15" s="1"/>
  <c r="P217" i="15"/>
  <c r="M217" i="15"/>
  <c r="L217" i="15"/>
  <c r="K217" i="15"/>
  <c r="J217" i="15"/>
  <c r="I217" i="15"/>
  <c r="R217" i="15" s="1"/>
  <c r="H217" i="15"/>
  <c r="G217" i="15"/>
  <c r="F217" i="15"/>
  <c r="E217" i="15"/>
  <c r="D217" i="15"/>
  <c r="C217" i="15"/>
  <c r="B217" i="15"/>
  <c r="A217" i="15"/>
  <c r="Q217" i="15" s="1"/>
  <c r="P216" i="15"/>
  <c r="M216" i="15"/>
  <c r="L216" i="15"/>
  <c r="K216" i="15"/>
  <c r="J216" i="15"/>
  <c r="I216" i="15"/>
  <c r="R216" i="15" s="1"/>
  <c r="H216" i="15"/>
  <c r="G216" i="15"/>
  <c r="F216" i="15"/>
  <c r="E216" i="15"/>
  <c r="D216" i="15"/>
  <c r="C216" i="15"/>
  <c r="B216" i="15"/>
  <c r="A216" i="15"/>
  <c r="Q216" i="15" s="1"/>
  <c r="P215" i="15"/>
  <c r="M215" i="15"/>
  <c r="L215" i="15"/>
  <c r="K215" i="15"/>
  <c r="J215" i="15"/>
  <c r="I215" i="15"/>
  <c r="R215" i="15" s="1"/>
  <c r="H215" i="15"/>
  <c r="G215" i="15"/>
  <c r="F215" i="15"/>
  <c r="E215" i="15"/>
  <c r="D215" i="15"/>
  <c r="C215" i="15"/>
  <c r="B215" i="15"/>
  <c r="A215" i="15"/>
  <c r="Q215" i="15" s="1"/>
  <c r="P214" i="15"/>
  <c r="M214" i="15"/>
  <c r="L214" i="15"/>
  <c r="K214" i="15"/>
  <c r="J214" i="15"/>
  <c r="I214" i="15"/>
  <c r="R214" i="15" s="1"/>
  <c r="H214" i="15"/>
  <c r="G214" i="15"/>
  <c r="F214" i="15"/>
  <c r="E214" i="15"/>
  <c r="D214" i="15"/>
  <c r="C214" i="15"/>
  <c r="B214" i="15"/>
  <c r="A214" i="15"/>
  <c r="Q214" i="15" s="1"/>
  <c r="P213" i="15"/>
  <c r="M213" i="15"/>
  <c r="L213" i="15"/>
  <c r="K213" i="15"/>
  <c r="J213" i="15"/>
  <c r="I213" i="15"/>
  <c r="R213" i="15" s="1"/>
  <c r="H213" i="15"/>
  <c r="G213" i="15"/>
  <c r="F213" i="15"/>
  <c r="E213" i="15"/>
  <c r="D213" i="15"/>
  <c r="C213" i="15"/>
  <c r="B213" i="15"/>
  <c r="A213" i="15"/>
  <c r="Q213" i="15" s="1"/>
  <c r="P212" i="15"/>
  <c r="M212" i="15"/>
  <c r="L212" i="15"/>
  <c r="K212" i="15"/>
  <c r="J212" i="15"/>
  <c r="I212" i="15"/>
  <c r="R212" i="15" s="1"/>
  <c r="H212" i="15"/>
  <c r="G212" i="15"/>
  <c r="F212" i="15"/>
  <c r="E212" i="15"/>
  <c r="D212" i="15"/>
  <c r="C212" i="15"/>
  <c r="B212" i="15"/>
  <c r="A212" i="15"/>
  <c r="Q212" i="15" s="1"/>
  <c r="P211" i="15"/>
  <c r="M211" i="15"/>
  <c r="L211" i="15"/>
  <c r="K211" i="15"/>
  <c r="J211" i="15"/>
  <c r="I211" i="15"/>
  <c r="R211" i="15" s="1"/>
  <c r="H211" i="15"/>
  <c r="G211" i="15"/>
  <c r="F211" i="15"/>
  <c r="E211" i="15"/>
  <c r="D211" i="15"/>
  <c r="C211" i="15"/>
  <c r="B211" i="15"/>
  <c r="A211" i="15"/>
  <c r="Q211" i="15" s="1"/>
  <c r="P210" i="15"/>
  <c r="M210" i="15"/>
  <c r="L210" i="15"/>
  <c r="K210" i="15"/>
  <c r="J210" i="15"/>
  <c r="I210" i="15"/>
  <c r="R210" i="15" s="1"/>
  <c r="H210" i="15"/>
  <c r="G210" i="15"/>
  <c r="F210" i="15"/>
  <c r="E210" i="15"/>
  <c r="D210" i="15"/>
  <c r="C210" i="15"/>
  <c r="B210" i="15"/>
  <c r="A210" i="15"/>
  <c r="Q210" i="15" s="1"/>
  <c r="P209" i="15"/>
  <c r="M209" i="15"/>
  <c r="L209" i="15"/>
  <c r="K209" i="15"/>
  <c r="J209" i="15"/>
  <c r="I209" i="15"/>
  <c r="R209" i="15" s="1"/>
  <c r="H209" i="15"/>
  <c r="G209" i="15"/>
  <c r="F209" i="15"/>
  <c r="E209" i="15"/>
  <c r="D209" i="15"/>
  <c r="C209" i="15"/>
  <c r="B209" i="15"/>
  <c r="A209" i="15"/>
  <c r="Q209" i="15" s="1"/>
  <c r="P208" i="15"/>
  <c r="M208" i="15"/>
  <c r="L208" i="15"/>
  <c r="K208" i="15"/>
  <c r="J208" i="15"/>
  <c r="I208" i="15"/>
  <c r="R208" i="15" s="1"/>
  <c r="H208" i="15"/>
  <c r="G208" i="15"/>
  <c r="F208" i="15"/>
  <c r="E208" i="15"/>
  <c r="D208" i="15"/>
  <c r="C208" i="15"/>
  <c r="B208" i="15"/>
  <c r="A208" i="15"/>
  <c r="Q208" i="15" s="1"/>
  <c r="P207" i="15"/>
  <c r="M207" i="15"/>
  <c r="L207" i="15"/>
  <c r="K207" i="15"/>
  <c r="J207" i="15"/>
  <c r="I207" i="15"/>
  <c r="R207" i="15" s="1"/>
  <c r="H207" i="15"/>
  <c r="G207" i="15"/>
  <c r="F207" i="15"/>
  <c r="E207" i="15"/>
  <c r="D207" i="15"/>
  <c r="C207" i="15"/>
  <c r="B207" i="15"/>
  <c r="A207" i="15"/>
  <c r="Q207" i="15" s="1"/>
  <c r="P206" i="15"/>
  <c r="M206" i="15"/>
  <c r="L206" i="15"/>
  <c r="K206" i="15"/>
  <c r="J206" i="15"/>
  <c r="I206" i="15"/>
  <c r="R206" i="15" s="1"/>
  <c r="H206" i="15"/>
  <c r="G206" i="15"/>
  <c r="F206" i="15"/>
  <c r="E206" i="15"/>
  <c r="D206" i="15"/>
  <c r="C206" i="15"/>
  <c r="B206" i="15"/>
  <c r="A206" i="15"/>
  <c r="Q206" i="15" s="1"/>
  <c r="P205" i="15"/>
  <c r="M205" i="15"/>
  <c r="L205" i="15"/>
  <c r="K205" i="15"/>
  <c r="J205" i="15"/>
  <c r="I205" i="15"/>
  <c r="R205" i="15" s="1"/>
  <c r="H205" i="15"/>
  <c r="G205" i="15"/>
  <c r="F205" i="15"/>
  <c r="E205" i="15"/>
  <c r="D205" i="15"/>
  <c r="C205" i="15"/>
  <c r="B205" i="15"/>
  <c r="A205" i="15"/>
  <c r="Q205" i="15" s="1"/>
  <c r="P204" i="15"/>
  <c r="M204" i="15"/>
  <c r="L204" i="15"/>
  <c r="K204" i="15"/>
  <c r="J204" i="15"/>
  <c r="I204" i="15"/>
  <c r="R204" i="15" s="1"/>
  <c r="H204" i="15"/>
  <c r="G204" i="15"/>
  <c r="F204" i="15"/>
  <c r="E204" i="15"/>
  <c r="D204" i="15"/>
  <c r="C204" i="15"/>
  <c r="B204" i="15"/>
  <c r="A204" i="15"/>
  <c r="Q204" i="15" s="1"/>
  <c r="P203" i="15"/>
  <c r="M203" i="15"/>
  <c r="L203" i="15"/>
  <c r="K203" i="15"/>
  <c r="J203" i="15"/>
  <c r="I203" i="15"/>
  <c r="R203" i="15" s="1"/>
  <c r="H203" i="15"/>
  <c r="G203" i="15"/>
  <c r="F203" i="15"/>
  <c r="E203" i="15"/>
  <c r="D203" i="15"/>
  <c r="C203" i="15"/>
  <c r="B203" i="15"/>
  <c r="A203" i="15"/>
  <c r="Q203" i="15" s="1"/>
  <c r="P202" i="15"/>
  <c r="M202" i="15"/>
  <c r="L202" i="15"/>
  <c r="K202" i="15"/>
  <c r="J202" i="15"/>
  <c r="I202" i="15"/>
  <c r="R202" i="15" s="1"/>
  <c r="H202" i="15"/>
  <c r="G202" i="15"/>
  <c r="F202" i="15"/>
  <c r="E202" i="15"/>
  <c r="D202" i="15"/>
  <c r="C202" i="15"/>
  <c r="B202" i="15"/>
  <c r="A202" i="15"/>
  <c r="Q202" i="15" s="1"/>
  <c r="P201" i="15"/>
  <c r="M201" i="15"/>
  <c r="L201" i="15"/>
  <c r="K201" i="15"/>
  <c r="J201" i="15"/>
  <c r="I201" i="15"/>
  <c r="R201" i="15" s="1"/>
  <c r="H201" i="15"/>
  <c r="G201" i="15"/>
  <c r="F201" i="15"/>
  <c r="E201" i="15"/>
  <c r="D201" i="15"/>
  <c r="C201" i="15"/>
  <c r="B201" i="15"/>
  <c r="A201" i="15"/>
  <c r="Q201" i="15" s="1"/>
  <c r="P200" i="15"/>
  <c r="M200" i="15"/>
  <c r="L200" i="15"/>
  <c r="K200" i="15"/>
  <c r="J200" i="15"/>
  <c r="I200" i="15"/>
  <c r="R200" i="15" s="1"/>
  <c r="H200" i="15"/>
  <c r="G200" i="15"/>
  <c r="F200" i="15"/>
  <c r="E200" i="15"/>
  <c r="D200" i="15"/>
  <c r="C200" i="15"/>
  <c r="B200" i="15"/>
  <c r="A200" i="15"/>
  <c r="Q200" i="15" s="1"/>
  <c r="P199" i="15"/>
  <c r="M199" i="15"/>
  <c r="L199" i="15"/>
  <c r="K199" i="15"/>
  <c r="J199" i="15"/>
  <c r="I199" i="15"/>
  <c r="R199" i="15" s="1"/>
  <c r="H199" i="15"/>
  <c r="G199" i="15"/>
  <c r="F199" i="15"/>
  <c r="E199" i="15"/>
  <c r="D199" i="15"/>
  <c r="C199" i="15"/>
  <c r="B199" i="15"/>
  <c r="A199" i="15"/>
  <c r="Q199" i="15" s="1"/>
  <c r="P198" i="15"/>
  <c r="M198" i="15"/>
  <c r="L198" i="15"/>
  <c r="K198" i="15"/>
  <c r="J198" i="15"/>
  <c r="I198" i="15"/>
  <c r="R198" i="15" s="1"/>
  <c r="H198" i="15"/>
  <c r="G198" i="15"/>
  <c r="F198" i="15"/>
  <c r="E198" i="15"/>
  <c r="D198" i="15"/>
  <c r="C198" i="15"/>
  <c r="B198" i="15"/>
  <c r="A198" i="15"/>
  <c r="Q198" i="15" s="1"/>
  <c r="P197" i="15"/>
  <c r="M197" i="15"/>
  <c r="L197" i="15"/>
  <c r="K197" i="15"/>
  <c r="J197" i="15"/>
  <c r="I197" i="15"/>
  <c r="R197" i="15" s="1"/>
  <c r="H197" i="15"/>
  <c r="G197" i="15"/>
  <c r="F197" i="15"/>
  <c r="E197" i="15"/>
  <c r="D197" i="15"/>
  <c r="C197" i="15"/>
  <c r="B197" i="15"/>
  <c r="A197" i="15"/>
  <c r="Q197" i="15" s="1"/>
  <c r="P196" i="15"/>
  <c r="M196" i="15"/>
  <c r="L196" i="15"/>
  <c r="K196" i="15"/>
  <c r="J196" i="15"/>
  <c r="I196" i="15"/>
  <c r="R196" i="15" s="1"/>
  <c r="H196" i="15"/>
  <c r="G196" i="15"/>
  <c r="F196" i="15"/>
  <c r="E196" i="15"/>
  <c r="D196" i="15"/>
  <c r="C196" i="15"/>
  <c r="B196" i="15"/>
  <c r="A196" i="15"/>
  <c r="Q196" i="15" s="1"/>
  <c r="P195" i="15"/>
  <c r="M195" i="15"/>
  <c r="L195" i="15"/>
  <c r="K195" i="15"/>
  <c r="J195" i="15"/>
  <c r="I195" i="15"/>
  <c r="R195" i="15" s="1"/>
  <c r="H195" i="15"/>
  <c r="G195" i="15"/>
  <c r="F195" i="15"/>
  <c r="E195" i="15"/>
  <c r="D195" i="15"/>
  <c r="C195" i="15"/>
  <c r="B195" i="15"/>
  <c r="A195" i="15"/>
  <c r="Q195" i="15" s="1"/>
  <c r="P194" i="15"/>
  <c r="M194" i="15"/>
  <c r="L194" i="15"/>
  <c r="K194" i="15"/>
  <c r="J194" i="15"/>
  <c r="I194" i="15"/>
  <c r="R194" i="15" s="1"/>
  <c r="H194" i="15"/>
  <c r="G194" i="15"/>
  <c r="F194" i="15"/>
  <c r="E194" i="15"/>
  <c r="D194" i="15"/>
  <c r="C194" i="15"/>
  <c r="B194" i="15"/>
  <c r="A194" i="15"/>
  <c r="Q194" i="15" s="1"/>
  <c r="P193" i="15"/>
  <c r="M193" i="15"/>
  <c r="L193" i="15"/>
  <c r="K193" i="15"/>
  <c r="J193" i="15"/>
  <c r="I193" i="15"/>
  <c r="R193" i="15" s="1"/>
  <c r="H193" i="15"/>
  <c r="G193" i="15"/>
  <c r="F193" i="15"/>
  <c r="E193" i="15"/>
  <c r="D193" i="15"/>
  <c r="C193" i="15"/>
  <c r="B193" i="15"/>
  <c r="A193" i="15"/>
  <c r="Q193" i="15" s="1"/>
  <c r="P192" i="15"/>
  <c r="M192" i="15"/>
  <c r="L192" i="15"/>
  <c r="K192" i="15"/>
  <c r="J192" i="15"/>
  <c r="I192" i="15"/>
  <c r="R192" i="15" s="1"/>
  <c r="H192" i="15"/>
  <c r="G192" i="15"/>
  <c r="F192" i="15"/>
  <c r="E192" i="15"/>
  <c r="D192" i="15"/>
  <c r="C192" i="15"/>
  <c r="B192" i="15"/>
  <c r="A192" i="15"/>
  <c r="Q192" i="15" s="1"/>
  <c r="P191" i="15"/>
  <c r="M191" i="15"/>
  <c r="L191" i="15"/>
  <c r="K191" i="15"/>
  <c r="J191" i="15"/>
  <c r="I191" i="15"/>
  <c r="R191" i="15" s="1"/>
  <c r="H191" i="15"/>
  <c r="G191" i="15"/>
  <c r="F191" i="15"/>
  <c r="E191" i="15"/>
  <c r="D191" i="15"/>
  <c r="C191" i="15"/>
  <c r="B191" i="15"/>
  <c r="A191" i="15"/>
  <c r="Q191" i="15" s="1"/>
  <c r="P190" i="15"/>
  <c r="M190" i="15"/>
  <c r="L190" i="15"/>
  <c r="K190" i="15"/>
  <c r="J190" i="15"/>
  <c r="I190" i="15"/>
  <c r="R190" i="15" s="1"/>
  <c r="H190" i="15"/>
  <c r="G190" i="15"/>
  <c r="F190" i="15"/>
  <c r="E190" i="15"/>
  <c r="D190" i="15"/>
  <c r="C190" i="15"/>
  <c r="B190" i="15"/>
  <c r="A190" i="15"/>
  <c r="Q190" i="15" s="1"/>
  <c r="P189" i="15"/>
  <c r="M189" i="15"/>
  <c r="L189" i="15"/>
  <c r="K189" i="15"/>
  <c r="J189" i="15"/>
  <c r="I189" i="15"/>
  <c r="R189" i="15" s="1"/>
  <c r="H189" i="15"/>
  <c r="G189" i="15"/>
  <c r="F189" i="15"/>
  <c r="E189" i="15"/>
  <c r="D189" i="15"/>
  <c r="C189" i="15"/>
  <c r="B189" i="15"/>
  <c r="A189" i="15"/>
  <c r="Q189" i="15" s="1"/>
  <c r="P188" i="15"/>
  <c r="M188" i="15"/>
  <c r="L188" i="15"/>
  <c r="K188" i="15"/>
  <c r="J188" i="15"/>
  <c r="I188" i="15"/>
  <c r="R188" i="15" s="1"/>
  <c r="H188" i="15"/>
  <c r="G188" i="15"/>
  <c r="F188" i="15"/>
  <c r="E188" i="15"/>
  <c r="D188" i="15"/>
  <c r="C188" i="15"/>
  <c r="B188" i="15"/>
  <c r="A188" i="15"/>
  <c r="Q188" i="15" s="1"/>
  <c r="P187" i="15"/>
  <c r="M187" i="15"/>
  <c r="L187" i="15"/>
  <c r="K187" i="15"/>
  <c r="J187" i="15"/>
  <c r="I187" i="15"/>
  <c r="R187" i="15" s="1"/>
  <c r="H187" i="15"/>
  <c r="G187" i="15"/>
  <c r="F187" i="15"/>
  <c r="E187" i="15"/>
  <c r="D187" i="15"/>
  <c r="C187" i="15"/>
  <c r="B187" i="15"/>
  <c r="A187" i="15"/>
  <c r="Q187" i="15" s="1"/>
  <c r="P186" i="15"/>
  <c r="M186" i="15"/>
  <c r="L186" i="15"/>
  <c r="K186" i="15"/>
  <c r="J186" i="15"/>
  <c r="I186" i="15"/>
  <c r="R186" i="15" s="1"/>
  <c r="H186" i="15"/>
  <c r="G186" i="15"/>
  <c r="F186" i="15"/>
  <c r="E186" i="15"/>
  <c r="D186" i="15"/>
  <c r="C186" i="15"/>
  <c r="B186" i="15"/>
  <c r="A186" i="15"/>
  <c r="Q186" i="15" s="1"/>
  <c r="P185" i="15"/>
  <c r="M185" i="15"/>
  <c r="L185" i="15"/>
  <c r="K185" i="15"/>
  <c r="J185" i="15"/>
  <c r="I185" i="15"/>
  <c r="R185" i="15" s="1"/>
  <c r="H185" i="15"/>
  <c r="G185" i="15"/>
  <c r="F185" i="15"/>
  <c r="E185" i="15"/>
  <c r="D185" i="15"/>
  <c r="C185" i="15"/>
  <c r="B185" i="15"/>
  <c r="A185" i="15"/>
  <c r="Q185" i="15" s="1"/>
  <c r="P184" i="15"/>
  <c r="M184" i="15"/>
  <c r="L184" i="15"/>
  <c r="K184" i="15"/>
  <c r="J184" i="15"/>
  <c r="I184" i="15"/>
  <c r="R184" i="15" s="1"/>
  <c r="H184" i="15"/>
  <c r="G184" i="15"/>
  <c r="F184" i="15"/>
  <c r="E184" i="15"/>
  <c r="D184" i="15"/>
  <c r="C184" i="15"/>
  <c r="B184" i="15"/>
  <c r="A184" i="15"/>
  <c r="Q184" i="15" s="1"/>
  <c r="P183" i="15"/>
  <c r="M183" i="15"/>
  <c r="L183" i="15"/>
  <c r="K183" i="15"/>
  <c r="J183" i="15"/>
  <c r="I183" i="15"/>
  <c r="R183" i="15" s="1"/>
  <c r="H183" i="15"/>
  <c r="G183" i="15"/>
  <c r="F183" i="15"/>
  <c r="E183" i="15"/>
  <c r="D183" i="15"/>
  <c r="C183" i="15"/>
  <c r="B183" i="15"/>
  <c r="A183" i="15"/>
  <c r="Q183" i="15" s="1"/>
  <c r="P182" i="15"/>
  <c r="M182" i="15"/>
  <c r="L182" i="15"/>
  <c r="K182" i="15"/>
  <c r="J182" i="15"/>
  <c r="I182" i="15"/>
  <c r="R182" i="15" s="1"/>
  <c r="H182" i="15"/>
  <c r="G182" i="15"/>
  <c r="F182" i="15"/>
  <c r="E182" i="15"/>
  <c r="D182" i="15"/>
  <c r="C182" i="15"/>
  <c r="B182" i="15"/>
  <c r="A182" i="15"/>
  <c r="Q182" i="15" s="1"/>
  <c r="P181" i="15"/>
  <c r="M181" i="15"/>
  <c r="L181" i="15"/>
  <c r="K181" i="15"/>
  <c r="J181" i="15"/>
  <c r="I181" i="15"/>
  <c r="R181" i="15" s="1"/>
  <c r="H181" i="15"/>
  <c r="G181" i="15"/>
  <c r="F181" i="15"/>
  <c r="E181" i="15"/>
  <c r="D181" i="15"/>
  <c r="C181" i="15"/>
  <c r="B181" i="15"/>
  <c r="A181" i="15"/>
  <c r="Q181" i="15" s="1"/>
  <c r="P180" i="15"/>
  <c r="M180" i="15"/>
  <c r="L180" i="15"/>
  <c r="K180" i="15"/>
  <c r="J180" i="15"/>
  <c r="I180" i="15"/>
  <c r="R180" i="15" s="1"/>
  <c r="H180" i="15"/>
  <c r="G180" i="15"/>
  <c r="F180" i="15"/>
  <c r="E180" i="15"/>
  <c r="D180" i="15"/>
  <c r="C180" i="15"/>
  <c r="B180" i="15"/>
  <c r="A180" i="15"/>
  <c r="Q180" i="15" s="1"/>
  <c r="P179" i="15"/>
  <c r="M179" i="15"/>
  <c r="L179" i="15"/>
  <c r="K179" i="15"/>
  <c r="J179" i="15"/>
  <c r="I179" i="15"/>
  <c r="R179" i="15" s="1"/>
  <c r="H179" i="15"/>
  <c r="G179" i="15"/>
  <c r="F179" i="15"/>
  <c r="E179" i="15"/>
  <c r="D179" i="15"/>
  <c r="C179" i="15"/>
  <c r="B179" i="15"/>
  <c r="A179" i="15"/>
  <c r="Q179" i="15" s="1"/>
  <c r="P178" i="15"/>
  <c r="M178" i="15"/>
  <c r="L178" i="15"/>
  <c r="K178" i="15"/>
  <c r="J178" i="15"/>
  <c r="I178" i="15"/>
  <c r="R178" i="15" s="1"/>
  <c r="H178" i="15"/>
  <c r="G178" i="15"/>
  <c r="F178" i="15"/>
  <c r="E178" i="15"/>
  <c r="D178" i="15"/>
  <c r="C178" i="15"/>
  <c r="B178" i="15"/>
  <c r="A178" i="15"/>
  <c r="Q178" i="15" s="1"/>
  <c r="P177" i="15"/>
  <c r="M177" i="15"/>
  <c r="L177" i="15"/>
  <c r="K177" i="15"/>
  <c r="J177" i="15"/>
  <c r="I177" i="15"/>
  <c r="R177" i="15" s="1"/>
  <c r="H177" i="15"/>
  <c r="G177" i="15"/>
  <c r="F177" i="15"/>
  <c r="E177" i="15"/>
  <c r="D177" i="15"/>
  <c r="C177" i="15"/>
  <c r="B177" i="15"/>
  <c r="A177" i="15"/>
  <c r="Q177" i="15" s="1"/>
  <c r="P176" i="15"/>
  <c r="M176" i="15"/>
  <c r="L176" i="15"/>
  <c r="K176" i="15"/>
  <c r="J176" i="15"/>
  <c r="I176" i="15"/>
  <c r="R176" i="15" s="1"/>
  <c r="H176" i="15"/>
  <c r="G176" i="15"/>
  <c r="F176" i="15"/>
  <c r="E176" i="15"/>
  <c r="D176" i="15"/>
  <c r="C176" i="15"/>
  <c r="B176" i="15"/>
  <c r="A176" i="15"/>
  <c r="Q176" i="15" s="1"/>
  <c r="P175" i="15"/>
  <c r="M175" i="15"/>
  <c r="L175" i="15"/>
  <c r="K175" i="15"/>
  <c r="J175" i="15"/>
  <c r="I175" i="15"/>
  <c r="R175" i="15" s="1"/>
  <c r="H175" i="15"/>
  <c r="G175" i="15"/>
  <c r="F175" i="15"/>
  <c r="E175" i="15"/>
  <c r="D175" i="15"/>
  <c r="C175" i="15"/>
  <c r="B175" i="15"/>
  <c r="A175" i="15"/>
  <c r="Q175" i="15" s="1"/>
  <c r="P174" i="15"/>
  <c r="M174" i="15"/>
  <c r="L174" i="15"/>
  <c r="K174" i="15"/>
  <c r="J174" i="15"/>
  <c r="I174" i="15"/>
  <c r="R174" i="15" s="1"/>
  <c r="H174" i="15"/>
  <c r="G174" i="15"/>
  <c r="F174" i="15"/>
  <c r="E174" i="15"/>
  <c r="D174" i="15"/>
  <c r="C174" i="15"/>
  <c r="B174" i="15"/>
  <c r="A174" i="15"/>
  <c r="Q174" i="15" s="1"/>
  <c r="P173" i="15"/>
  <c r="M173" i="15"/>
  <c r="L173" i="15"/>
  <c r="K173" i="15"/>
  <c r="J173" i="15"/>
  <c r="I173" i="15"/>
  <c r="R173" i="15" s="1"/>
  <c r="H173" i="15"/>
  <c r="G173" i="15"/>
  <c r="F173" i="15"/>
  <c r="E173" i="15"/>
  <c r="D173" i="15"/>
  <c r="C173" i="15"/>
  <c r="B173" i="15"/>
  <c r="A173" i="15"/>
  <c r="Q173" i="15" s="1"/>
  <c r="P172" i="15"/>
  <c r="M172" i="15"/>
  <c r="L172" i="15"/>
  <c r="K172" i="15"/>
  <c r="J172" i="15"/>
  <c r="I172" i="15"/>
  <c r="R172" i="15" s="1"/>
  <c r="H172" i="15"/>
  <c r="G172" i="15"/>
  <c r="F172" i="15"/>
  <c r="E172" i="15"/>
  <c r="D172" i="15"/>
  <c r="C172" i="15"/>
  <c r="B172" i="15"/>
  <c r="A172" i="15"/>
  <c r="Q172" i="15" s="1"/>
  <c r="P171" i="15"/>
  <c r="M171" i="15"/>
  <c r="L171" i="15"/>
  <c r="K171" i="15"/>
  <c r="J171" i="15"/>
  <c r="I171" i="15"/>
  <c r="R171" i="15" s="1"/>
  <c r="H171" i="15"/>
  <c r="G171" i="15"/>
  <c r="F171" i="15"/>
  <c r="E171" i="15"/>
  <c r="D171" i="15"/>
  <c r="C171" i="15"/>
  <c r="B171" i="15"/>
  <c r="A171" i="15"/>
  <c r="Q171" i="15" s="1"/>
  <c r="P170" i="15"/>
  <c r="M170" i="15"/>
  <c r="L170" i="15"/>
  <c r="K170" i="15"/>
  <c r="J170" i="15"/>
  <c r="I170" i="15"/>
  <c r="R170" i="15" s="1"/>
  <c r="H170" i="15"/>
  <c r="G170" i="15"/>
  <c r="F170" i="15"/>
  <c r="E170" i="15"/>
  <c r="D170" i="15"/>
  <c r="C170" i="15"/>
  <c r="B170" i="15"/>
  <c r="A170" i="15"/>
  <c r="Q170" i="15" s="1"/>
  <c r="P169" i="15"/>
  <c r="M169" i="15"/>
  <c r="L169" i="15"/>
  <c r="K169" i="15"/>
  <c r="J169" i="15"/>
  <c r="I169" i="15"/>
  <c r="R169" i="15" s="1"/>
  <c r="H169" i="15"/>
  <c r="G169" i="15"/>
  <c r="F169" i="15"/>
  <c r="E169" i="15"/>
  <c r="D169" i="15"/>
  <c r="C169" i="15"/>
  <c r="B169" i="15"/>
  <c r="A169" i="15"/>
  <c r="Q169" i="15" s="1"/>
  <c r="P168" i="15"/>
  <c r="M168" i="15"/>
  <c r="L168" i="15"/>
  <c r="K168" i="15"/>
  <c r="J168" i="15"/>
  <c r="I168" i="15"/>
  <c r="R168" i="15" s="1"/>
  <c r="H168" i="15"/>
  <c r="G168" i="15"/>
  <c r="F168" i="15"/>
  <c r="E168" i="15"/>
  <c r="D168" i="15"/>
  <c r="C168" i="15"/>
  <c r="B168" i="15"/>
  <c r="A168" i="15"/>
  <c r="Q168" i="15" s="1"/>
  <c r="P167" i="15"/>
  <c r="M167" i="15"/>
  <c r="L167" i="15"/>
  <c r="K167" i="15"/>
  <c r="J167" i="15"/>
  <c r="I167" i="15"/>
  <c r="R167" i="15" s="1"/>
  <c r="H167" i="15"/>
  <c r="G167" i="15"/>
  <c r="F167" i="15"/>
  <c r="E167" i="15"/>
  <c r="D167" i="15"/>
  <c r="C167" i="15"/>
  <c r="B167" i="15"/>
  <c r="A167" i="15"/>
  <c r="Q167" i="15" s="1"/>
  <c r="P166" i="15"/>
  <c r="M166" i="15"/>
  <c r="L166" i="15"/>
  <c r="K166" i="15"/>
  <c r="J166" i="15"/>
  <c r="I166" i="15"/>
  <c r="R166" i="15" s="1"/>
  <c r="H166" i="15"/>
  <c r="G166" i="15"/>
  <c r="F166" i="15"/>
  <c r="E166" i="15"/>
  <c r="D166" i="15"/>
  <c r="C166" i="15"/>
  <c r="B166" i="15"/>
  <c r="A166" i="15"/>
  <c r="Q166" i="15" s="1"/>
  <c r="P165" i="15"/>
  <c r="M165" i="15"/>
  <c r="L165" i="15"/>
  <c r="K165" i="15"/>
  <c r="J165" i="15"/>
  <c r="I165" i="15"/>
  <c r="R165" i="15" s="1"/>
  <c r="H165" i="15"/>
  <c r="G165" i="15"/>
  <c r="F165" i="15"/>
  <c r="E165" i="15"/>
  <c r="D165" i="15"/>
  <c r="C165" i="15"/>
  <c r="B165" i="15"/>
  <c r="A165" i="15"/>
  <c r="Q165" i="15" s="1"/>
  <c r="P164" i="15"/>
  <c r="M164" i="15"/>
  <c r="L164" i="15"/>
  <c r="K164" i="15"/>
  <c r="J164" i="15"/>
  <c r="I164" i="15"/>
  <c r="R164" i="15" s="1"/>
  <c r="H164" i="15"/>
  <c r="G164" i="15"/>
  <c r="F164" i="15"/>
  <c r="E164" i="15"/>
  <c r="D164" i="15"/>
  <c r="C164" i="15"/>
  <c r="B164" i="15"/>
  <c r="A164" i="15"/>
  <c r="Q164" i="15" s="1"/>
  <c r="P163" i="15"/>
  <c r="M163" i="15"/>
  <c r="L163" i="15"/>
  <c r="K163" i="15"/>
  <c r="J163" i="15"/>
  <c r="I163" i="15"/>
  <c r="R163" i="15" s="1"/>
  <c r="H163" i="15"/>
  <c r="G163" i="15"/>
  <c r="F163" i="15"/>
  <c r="E163" i="15"/>
  <c r="D163" i="15"/>
  <c r="C163" i="15"/>
  <c r="B163" i="15"/>
  <c r="A163" i="15"/>
  <c r="Q163" i="15" s="1"/>
  <c r="P162" i="15"/>
  <c r="M162" i="15"/>
  <c r="L162" i="15"/>
  <c r="K162" i="15"/>
  <c r="J162" i="15"/>
  <c r="I162" i="15"/>
  <c r="R162" i="15" s="1"/>
  <c r="H162" i="15"/>
  <c r="G162" i="15"/>
  <c r="F162" i="15"/>
  <c r="E162" i="15"/>
  <c r="D162" i="15"/>
  <c r="C162" i="15"/>
  <c r="B162" i="15"/>
  <c r="A162" i="15"/>
  <c r="Q162" i="15" s="1"/>
  <c r="P161" i="15"/>
  <c r="M161" i="15"/>
  <c r="L161" i="15"/>
  <c r="K161" i="15"/>
  <c r="J161" i="15"/>
  <c r="I161" i="15"/>
  <c r="R161" i="15" s="1"/>
  <c r="H161" i="15"/>
  <c r="G161" i="15"/>
  <c r="F161" i="15"/>
  <c r="E161" i="15"/>
  <c r="D161" i="15"/>
  <c r="C161" i="15"/>
  <c r="B161" i="15"/>
  <c r="A161" i="15"/>
  <c r="Q161" i="15" s="1"/>
  <c r="P160" i="15"/>
  <c r="M160" i="15"/>
  <c r="L160" i="15"/>
  <c r="K160" i="15"/>
  <c r="J160" i="15"/>
  <c r="I160" i="15"/>
  <c r="R160" i="15" s="1"/>
  <c r="H160" i="15"/>
  <c r="G160" i="15"/>
  <c r="F160" i="15"/>
  <c r="E160" i="15"/>
  <c r="D160" i="15"/>
  <c r="C160" i="15"/>
  <c r="B160" i="15"/>
  <c r="A160" i="15"/>
  <c r="Q160" i="15" s="1"/>
  <c r="P159" i="15"/>
  <c r="M159" i="15"/>
  <c r="L159" i="15"/>
  <c r="K159" i="15"/>
  <c r="J159" i="15"/>
  <c r="I159" i="15"/>
  <c r="R159" i="15" s="1"/>
  <c r="H159" i="15"/>
  <c r="G159" i="15"/>
  <c r="F159" i="15"/>
  <c r="E159" i="15"/>
  <c r="D159" i="15"/>
  <c r="C159" i="15"/>
  <c r="B159" i="15"/>
  <c r="A159" i="15"/>
  <c r="Q159" i="15" s="1"/>
  <c r="P158" i="15"/>
  <c r="M158" i="15"/>
  <c r="L158" i="15"/>
  <c r="K158" i="15"/>
  <c r="J158" i="15"/>
  <c r="I158" i="15"/>
  <c r="R158" i="15" s="1"/>
  <c r="H158" i="15"/>
  <c r="G158" i="15"/>
  <c r="F158" i="15"/>
  <c r="E158" i="15"/>
  <c r="D158" i="15"/>
  <c r="C158" i="15"/>
  <c r="B158" i="15"/>
  <c r="A158" i="15"/>
  <c r="Q158" i="15" s="1"/>
  <c r="P157" i="15"/>
  <c r="M157" i="15"/>
  <c r="L157" i="15"/>
  <c r="K157" i="15"/>
  <c r="J157" i="15"/>
  <c r="I157" i="15"/>
  <c r="R157" i="15" s="1"/>
  <c r="H157" i="15"/>
  <c r="G157" i="15"/>
  <c r="F157" i="15"/>
  <c r="E157" i="15"/>
  <c r="D157" i="15"/>
  <c r="C157" i="15"/>
  <c r="B157" i="15"/>
  <c r="A157" i="15"/>
  <c r="Q157" i="15" s="1"/>
  <c r="P156" i="15"/>
  <c r="M156" i="15"/>
  <c r="L156" i="15"/>
  <c r="K156" i="15"/>
  <c r="J156" i="15"/>
  <c r="I156" i="15"/>
  <c r="R156" i="15" s="1"/>
  <c r="H156" i="15"/>
  <c r="G156" i="15"/>
  <c r="F156" i="15"/>
  <c r="E156" i="15"/>
  <c r="D156" i="15"/>
  <c r="C156" i="15"/>
  <c r="B156" i="15"/>
  <c r="A156" i="15"/>
  <c r="Q156" i="15" s="1"/>
  <c r="P155" i="15"/>
  <c r="M155" i="15"/>
  <c r="L155" i="15"/>
  <c r="K155" i="15"/>
  <c r="J155" i="15"/>
  <c r="I155" i="15"/>
  <c r="R155" i="15" s="1"/>
  <c r="H155" i="15"/>
  <c r="G155" i="15"/>
  <c r="F155" i="15"/>
  <c r="E155" i="15"/>
  <c r="D155" i="15"/>
  <c r="C155" i="15"/>
  <c r="B155" i="15"/>
  <c r="A155" i="15"/>
  <c r="Q155" i="15" s="1"/>
  <c r="P154" i="15"/>
  <c r="M154" i="15"/>
  <c r="L154" i="15"/>
  <c r="K154" i="15"/>
  <c r="J154" i="15"/>
  <c r="I154" i="15"/>
  <c r="R154" i="15" s="1"/>
  <c r="H154" i="15"/>
  <c r="G154" i="15"/>
  <c r="F154" i="15"/>
  <c r="E154" i="15"/>
  <c r="D154" i="15"/>
  <c r="C154" i="15"/>
  <c r="B154" i="15"/>
  <c r="A154" i="15"/>
  <c r="Q154" i="15" s="1"/>
  <c r="P153" i="15"/>
  <c r="M153" i="15"/>
  <c r="L153" i="15"/>
  <c r="K153" i="15"/>
  <c r="J153" i="15"/>
  <c r="I153" i="15"/>
  <c r="R153" i="15" s="1"/>
  <c r="H153" i="15"/>
  <c r="G153" i="15"/>
  <c r="F153" i="15"/>
  <c r="E153" i="15"/>
  <c r="D153" i="15"/>
  <c r="C153" i="15"/>
  <c r="B153" i="15"/>
  <c r="A153" i="15"/>
  <c r="Q153" i="15" s="1"/>
  <c r="P152" i="15"/>
  <c r="M152" i="15"/>
  <c r="L152" i="15"/>
  <c r="K152" i="15"/>
  <c r="J152" i="15"/>
  <c r="I152" i="15"/>
  <c r="R152" i="15" s="1"/>
  <c r="H152" i="15"/>
  <c r="G152" i="15"/>
  <c r="F152" i="15"/>
  <c r="E152" i="15"/>
  <c r="D152" i="15"/>
  <c r="C152" i="15"/>
  <c r="B152" i="15"/>
  <c r="A152" i="15"/>
  <c r="Q152" i="15" s="1"/>
  <c r="P151" i="15"/>
  <c r="M151" i="15"/>
  <c r="L151" i="15"/>
  <c r="K151" i="15"/>
  <c r="J151" i="15"/>
  <c r="I151" i="15"/>
  <c r="R151" i="15" s="1"/>
  <c r="H151" i="15"/>
  <c r="G151" i="15"/>
  <c r="F151" i="15"/>
  <c r="E151" i="15"/>
  <c r="D151" i="15"/>
  <c r="C151" i="15"/>
  <c r="B151" i="15"/>
  <c r="A151" i="15"/>
  <c r="Q151" i="15" s="1"/>
  <c r="P150" i="15"/>
  <c r="M150" i="15"/>
  <c r="L150" i="15"/>
  <c r="K150" i="15"/>
  <c r="J150" i="15"/>
  <c r="I150" i="15"/>
  <c r="R150" i="15" s="1"/>
  <c r="H150" i="15"/>
  <c r="G150" i="15"/>
  <c r="F150" i="15"/>
  <c r="E150" i="15"/>
  <c r="D150" i="15"/>
  <c r="C150" i="15"/>
  <c r="B150" i="15"/>
  <c r="A150" i="15"/>
  <c r="Q150" i="15" s="1"/>
  <c r="P149" i="15"/>
  <c r="M149" i="15"/>
  <c r="L149" i="15"/>
  <c r="K149" i="15"/>
  <c r="J149" i="15"/>
  <c r="I149" i="15"/>
  <c r="R149" i="15" s="1"/>
  <c r="H149" i="15"/>
  <c r="G149" i="15"/>
  <c r="F149" i="15"/>
  <c r="E149" i="15"/>
  <c r="D149" i="15"/>
  <c r="C149" i="15"/>
  <c r="B149" i="15"/>
  <c r="A149" i="15"/>
  <c r="Q149" i="15" s="1"/>
  <c r="P148" i="15"/>
  <c r="M148" i="15"/>
  <c r="L148" i="15"/>
  <c r="K148" i="15"/>
  <c r="J148" i="15"/>
  <c r="I148" i="15"/>
  <c r="R148" i="15" s="1"/>
  <c r="H148" i="15"/>
  <c r="G148" i="15"/>
  <c r="F148" i="15"/>
  <c r="E148" i="15"/>
  <c r="D148" i="15"/>
  <c r="C148" i="15"/>
  <c r="B148" i="15"/>
  <c r="A148" i="15"/>
  <c r="Q148" i="15" s="1"/>
  <c r="P147" i="15"/>
  <c r="M147" i="15"/>
  <c r="L147" i="15"/>
  <c r="K147" i="15"/>
  <c r="J147" i="15"/>
  <c r="I147" i="15"/>
  <c r="R147" i="15" s="1"/>
  <c r="H147" i="15"/>
  <c r="G147" i="15"/>
  <c r="F147" i="15"/>
  <c r="E147" i="15"/>
  <c r="D147" i="15"/>
  <c r="C147" i="15"/>
  <c r="B147" i="15"/>
  <c r="A147" i="15"/>
  <c r="Q147" i="15" s="1"/>
  <c r="P146" i="15"/>
  <c r="M146" i="15"/>
  <c r="L146" i="15"/>
  <c r="K146" i="15"/>
  <c r="J146" i="15"/>
  <c r="I146" i="15"/>
  <c r="R146" i="15" s="1"/>
  <c r="H146" i="15"/>
  <c r="G146" i="15"/>
  <c r="F146" i="15"/>
  <c r="E146" i="15"/>
  <c r="D146" i="15"/>
  <c r="C146" i="15"/>
  <c r="B146" i="15"/>
  <c r="A146" i="15"/>
  <c r="Q146" i="15" s="1"/>
  <c r="P145" i="15"/>
  <c r="M145" i="15"/>
  <c r="L145" i="15"/>
  <c r="K145" i="15"/>
  <c r="J145" i="15"/>
  <c r="I145" i="15"/>
  <c r="R145" i="15" s="1"/>
  <c r="H145" i="15"/>
  <c r="G145" i="15"/>
  <c r="F145" i="15"/>
  <c r="E145" i="15"/>
  <c r="D145" i="15"/>
  <c r="C145" i="15"/>
  <c r="B145" i="15"/>
  <c r="A145" i="15"/>
  <c r="Q145" i="15" s="1"/>
  <c r="P144" i="15"/>
  <c r="M144" i="15"/>
  <c r="L144" i="15"/>
  <c r="K144" i="15"/>
  <c r="J144" i="15"/>
  <c r="I144" i="15"/>
  <c r="R144" i="15" s="1"/>
  <c r="H144" i="15"/>
  <c r="G144" i="15"/>
  <c r="F144" i="15"/>
  <c r="E144" i="15"/>
  <c r="D144" i="15"/>
  <c r="C144" i="15"/>
  <c r="B144" i="15"/>
  <c r="A144" i="15"/>
  <c r="Q144" i="15" s="1"/>
  <c r="P143" i="15"/>
  <c r="M143" i="15"/>
  <c r="L143" i="15"/>
  <c r="K143" i="15"/>
  <c r="J143" i="15"/>
  <c r="I143" i="15"/>
  <c r="R143" i="15" s="1"/>
  <c r="H143" i="15"/>
  <c r="G143" i="15"/>
  <c r="F143" i="15"/>
  <c r="E143" i="15"/>
  <c r="D143" i="15"/>
  <c r="C143" i="15"/>
  <c r="B143" i="15"/>
  <c r="A143" i="15"/>
  <c r="Q143" i="15" s="1"/>
  <c r="P142" i="15"/>
  <c r="M142" i="15"/>
  <c r="L142" i="15"/>
  <c r="K142" i="15"/>
  <c r="J142" i="15"/>
  <c r="I142" i="15"/>
  <c r="R142" i="15" s="1"/>
  <c r="H142" i="15"/>
  <c r="G142" i="15"/>
  <c r="F142" i="15"/>
  <c r="E142" i="15"/>
  <c r="D142" i="15"/>
  <c r="C142" i="15"/>
  <c r="B142" i="15"/>
  <c r="A142" i="15"/>
  <c r="Q142" i="15" s="1"/>
  <c r="P141" i="15"/>
  <c r="M141" i="15"/>
  <c r="L141" i="15"/>
  <c r="K141" i="15"/>
  <c r="J141" i="15"/>
  <c r="I141" i="15"/>
  <c r="R141" i="15" s="1"/>
  <c r="H141" i="15"/>
  <c r="G141" i="15"/>
  <c r="F141" i="15"/>
  <c r="E141" i="15"/>
  <c r="D141" i="15"/>
  <c r="C141" i="15"/>
  <c r="B141" i="15"/>
  <c r="A141" i="15"/>
  <c r="Q141" i="15" s="1"/>
  <c r="P140" i="15"/>
  <c r="M140" i="15"/>
  <c r="L140" i="15"/>
  <c r="K140" i="15"/>
  <c r="J140" i="15"/>
  <c r="I140" i="15"/>
  <c r="R140" i="15" s="1"/>
  <c r="H140" i="15"/>
  <c r="G140" i="15"/>
  <c r="F140" i="15"/>
  <c r="E140" i="15"/>
  <c r="D140" i="15"/>
  <c r="C140" i="15"/>
  <c r="B140" i="15"/>
  <c r="A140" i="15"/>
  <c r="Q140" i="15" s="1"/>
  <c r="P139" i="15"/>
  <c r="M139" i="15"/>
  <c r="L139" i="15"/>
  <c r="K139" i="15"/>
  <c r="J139" i="15"/>
  <c r="I139" i="15"/>
  <c r="R139" i="15" s="1"/>
  <c r="H139" i="15"/>
  <c r="G139" i="15"/>
  <c r="F139" i="15"/>
  <c r="E139" i="15"/>
  <c r="D139" i="15"/>
  <c r="C139" i="15"/>
  <c r="B139" i="15"/>
  <c r="A139" i="15"/>
  <c r="Q139" i="15" s="1"/>
  <c r="P138" i="15"/>
  <c r="M138" i="15"/>
  <c r="L138" i="15"/>
  <c r="K138" i="15"/>
  <c r="J138" i="15"/>
  <c r="I138" i="15"/>
  <c r="R138" i="15" s="1"/>
  <c r="H138" i="15"/>
  <c r="G138" i="15"/>
  <c r="F138" i="15"/>
  <c r="E138" i="15"/>
  <c r="D138" i="15"/>
  <c r="C138" i="15"/>
  <c r="B138" i="15"/>
  <c r="A138" i="15"/>
  <c r="Q138" i="15" s="1"/>
  <c r="P137" i="15"/>
  <c r="M137" i="15"/>
  <c r="L137" i="15"/>
  <c r="K137" i="15"/>
  <c r="J137" i="15"/>
  <c r="I137" i="15"/>
  <c r="R137" i="15" s="1"/>
  <c r="H137" i="15"/>
  <c r="G137" i="15"/>
  <c r="F137" i="15"/>
  <c r="E137" i="15"/>
  <c r="D137" i="15"/>
  <c r="C137" i="15"/>
  <c r="B137" i="15"/>
  <c r="A137" i="15"/>
  <c r="Q137" i="15" s="1"/>
  <c r="P136" i="15"/>
  <c r="M136" i="15"/>
  <c r="L136" i="15"/>
  <c r="K136" i="15"/>
  <c r="J136" i="15"/>
  <c r="I136" i="15"/>
  <c r="R136" i="15" s="1"/>
  <c r="H136" i="15"/>
  <c r="G136" i="15"/>
  <c r="F136" i="15"/>
  <c r="E136" i="15"/>
  <c r="D136" i="15"/>
  <c r="C136" i="15"/>
  <c r="B136" i="15"/>
  <c r="A136" i="15"/>
  <c r="Q136" i="15" s="1"/>
  <c r="P135" i="15"/>
  <c r="M135" i="15"/>
  <c r="L135" i="15"/>
  <c r="K135" i="15"/>
  <c r="J135" i="15"/>
  <c r="I135" i="15"/>
  <c r="R135" i="15" s="1"/>
  <c r="H135" i="15"/>
  <c r="G135" i="15"/>
  <c r="F135" i="15"/>
  <c r="E135" i="15"/>
  <c r="D135" i="15"/>
  <c r="C135" i="15"/>
  <c r="B135" i="15"/>
  <c r="A135" i="15"/>
  <c r="Q135" i="15" s="1"/>
  <c r="P134" i="15"/>
  <c r="M134" i="15"/>
  <c r="L134" i="15"/>
  <c r="K134" i="15"/>
  <c r="J134" i="15"/>
  <c r="I134" i="15"/>
  <c r="R134" i="15" s="1"/>
  <c r="H134" i="15"/>
  <c r="G134" i="15"/>
  <c r="F134" i="15"/>
  <c r="E134" i="15"/>
  <c r="D134" i="15"/>
  <c r="C134" i="15"/>
  <c r="B134" i="15"/>
  <c r="A134" i="15"/>
  <c r="Q134" i="15" s="1"/>
  <c r="P133" i="15"/>
  <c r="M133" i="15"/>
  <c r="L133" i="15"/>
  <c r="K133" i="15"/>
  <c r="J133" i="15"/>
  <c r="I133" i="15"/>
  <c r="R133" i="15" s="1"/>
  <c r="H133" i="15"/>
  <c r="G133" i="15"/>
  <c r="F133" i="15"/>
  <c r="E133" i="15"/>
  <c r="D133" i="15"/>
  <c r="C133" i="15"/>
  <c r="B133" i="15"/>
  <c r="A133" i="15"/>
  <c r="Q133" i="15" s="1"/>
  <c r="P132" i="15"/>
  <c r="M132" i="15"/>
  <c r="L132" i="15"/>
  <c r="K132" i="15"/>
  <c r="J132" i="15"/>
  <c r="I132" i="15"/>
  <c r="R132" i="15" s="1"/>
  <c r="H132" i="15"/>
  <c r="G132" i="15"/>
  <c r="F132" i="15"/>
  <c r="E132" i="15"/>
  <c r="D132" i="15"/>
  <c r="C132" i="15"/>
  <c r="B132" i="15"/>
  <c r="A132" i="15"/>
  <c r="Q132" i="15" s="1"/>
  <c r="P131" i="15"/>
  <c r="M131" i="15"/>
  <c r="L131" i="15"/>
  <c r="K131" i="15"/>
  <c r="J131" i="15"/>
  <c r="I131" i="15"/>
  <c r="R131" i="15" s="1"/>
  <c r="H131" i="15"/>
  <c r="G131" i="15"/>
  <c r="F131" i="15"/>
  <c r="E131" i="15"/>
  <c r="D131" i="15"/>
  <c r="C131" i="15"/>
  <c r="B131" i="15"/>
  <c r="A131" i="15"/>
  <c r="Q131" i="15" s="1"/>
  <c r="P130" i="15"/>
  <c r="M130" i="15"/>
  <c r="L130" i="15"/>
  <c r="K130" i="15"/>
  <c r="J130" i="15"/>
  <c r="I130" i="15"/>
  <c r="R130" i="15" s="1"/>
  <c r="H130" i="15"/>
  <c r="G130" i="15"/>
  <c r="F130" i="15"/>
  <c r="E130" i="15"/>
  <c r="D130" i="15"/>
  <c r="C130" i="15"/>
  <c r="B130" i="15"/>
  <c r="A130" i="15"/>
  <c r="Q130" i="15" s="1"/>
  <c r="P129" i="15"/>
  <c r="M129" i="15"/>
  <c r="L129" i="15"/>
  <c r="K129" i="15"/>
  <c r="J129" i="15"/>
  <c r="I129" i="15"/>
  <c r="R129" i="15" s="1"/>
  <c r="H129" i="15"/>
  <c r="G129" i="15"/>
  <c r="F129" i="15"/>
  <c r="E129" i="15"/>
  <c r="D129" i="15"/>
  <c r="C129" i="15"/>
  <c r="B129" i="15"/>
  <c r="A129" i="15"/>
  <c r="Q129" i="15" s="1"/>
  <c r="P128" i="15"/>
  <c r="M128" i="15"/>
  <c r="L128" i="15"/>
  <c r="K128" i="15"/>
  <c r="J128" i="15"/>
  <c r="I128" i="15"/>
  <c r="R128" i="15" s="1"/>
  <c r="H128" i="15"/>
  <c r="G128" i="15"/>
  <c r="F128" i="15"/>
  <c r="E128" i="15"/>
  <c r="D128" i="15"/>
  <c r="C128" i="15"/>
  <c r="B128" i="15"/>
  <c r="A128" i="15"/>
  <c r="Q128" i="15" s="1"/>
  <c r="P127" i="15"/>
  <c r="M127" i="15"/>
  <c r="L127" i="15"/>
  <c r="K127" i="15"/>
  <c r="J127" i="15"/>
  <c r="I127" i="15"/>
  <c r="R127" i="15" s="1"/>
  <c r="H127" i="15"/>
  <c r="G127" i="15"/>
  <c r="F127" i="15"/>
  <c r="E127" i="15"/>
  <c r="D127" i="15"/>
  <c r="C127" i="15"/>
  <c r="B127" i="15"/>
  <c r="A127" i="15"/>
  <c r="Q127" i="15" s="1"/>
  <c r="P126" i="15"/>
  <c r="M126" i="15"/>
  <c r="L126" i="15"/>
  <c r="K126" i="15"/>
  <c r="J126" i="15"/>
  <c r="I126" i="15"/>
  <c r="R126" i="15" s="1"/>
  <c r="H126" i="15"/>
  <c r="G126" i="15"/>
  <c r="F126" i="15"/>
  <c r="E126" i="15"/>
  <c r="D126" i="15"/>
  <c r="C126" i="15"/>
  <c r="B126" i="15"/>
  <c r="A126" i="15"/>
  <c r="Q126" i="15" s="1"/>
  <c r="P125" i="15"/>
  <c r="M125" i="15"/>
  <c r="L125" i="15"/>
  <c r="K125" i="15"/>
  <c r="J125" i="15"/>
  <c r="I125" i="15"/>
  <c r="R125" i="15" s="1"/>
  <c r="H125" i="15"/>
  <c r="G125" i="15"/>
  <c r="F125" i="15"/>
  <c r="E125" i="15"/>
  <c r="D125" i="15"/>
  <c r="C125" i="15"/>
  <c r="B125" i="15"/>
  <c r="A125" i="15"/>
  <c r="Q125" i="15" s="1"/>
  <c r="P124" i="15"/>
  <c r="M124" i="15"/>
  <c r="L124" i="15"/>
  <c r="K124" i="15"/>
  <c r="J124" i="15"/>
  <c r="I124" i="15"/>
  <c r="R124" i="15" s="1"/>
  <c r="H124" i="15"/>
  <c r="G124" i="15"/>
  <c r="F124" i="15"/>
  <c r="E124" i="15"/>
  <c r="D124" i="15"/>
  <c r="C124" i="15"/>
  <c r="B124" i="15"/>
  <c r="A124" i="15"/>
  <c r="Q124" i="15" s="1"/>
  <c r="P123" i="15"/>
  <c r="M123" i="15"/>
  <c r="L123" i="15"/>
  <c r="K123" i="15"/>
  <c r="J123" i="15"/>
  <c r="I123" i="15"/>
  <c r="R123" i="15" s="1"/>
  <c r="H123" i="15"/>
  <c r="G123" i="15"/>
  <c r="F123" i="15"/>
  <c r="E123" i="15"/>
  <c r="D123" i="15"/>
  <c r="C123" i="15"/>
  <c r="B123" i="15"/>
  <c r="A123" i="15"/>
  <c r="Q123" i="15" s="1"/>
  <c r="P122" i="15"/>
  <c r="M122" i="15"/>
  <c r="L122" i="15"/>
  <c r="K122" i="15"/>
  <c r="J122" i="15"/>
  <c r="I122" i="15"/>
  <c r="R122" i="15" s="1"/>
  <c r="H122" i="15"/>
  <c r="G122" i="15"/>
  <c r="F122" i="15"/>
  <c r="E122" i="15"/>
  <c r="D122" i="15"/>
  <c r="C122" i="15"/>
  <c r="B122" i="15"/>
  <c r="A122" i="15"/>
  <c r="Q122" i="15" s="1"/>
  <c r="P121" i="15"/>
  <c r="M121" i="15"/>
  <c r="L121" i="15"/>
  <c r="K121" i="15"/>
  <c r="J121" i="15"/>
  <c r="I121" i="15"/>
  <c r="R121" i="15" s="1"/>
  <c r="H121" i="15"/>
  <c r="G121" i="15"/>
  <c r="F121" i="15"/>
  <c r="E121" i="15"/>
  <c r="D121" i="15"/>
  <c r="C121" i="15"/>
  <c r="B121" i="15"/>
  <c r="A121" i="15"/>
  <c r="Q121" i="15" s="1"/>
  <c r="P120" i="15"/>
  <c r="M120" i="15"/>
  <c r="L120" i="15"/>
  <c r="K120" i="15"/>
  <c r="J120" i="15"/>
  <c r="I120" i="15"/>
  <c r="R120" i="15" s="1"/>
  <c r="H120" i="15"/>
  <c r="G120" i="15"/>
  <c r="F120" i="15"/>
  <c r="E120" i="15"/>
  <c r="D120" i="15"/>
  <c r="C120" i="15"/>
  <c r="B120" i="15"/>
  <c r="A120" i="15"/>
  <c r="Q120" i="15" s="1"/>
  <c r="P119" i="15"/>
  <c r="M119" i="15"/>
  <c r="L119" i="15"/>
  <c r="K119" i="15"/>
  <c r="J119" i="15"/>
  <c r="I119" i="15"/>
  <c r="R119" i="15" s="1"/>
  <c r="H119" i="15"/>
  <c r="G119" i="15"/>
  <c r="F119" i="15"/>
  <c r="E119" i="15"/>
  <c r="D119" i="15"/>
  <c r="C119" i="15"/>
  <c r="B119" i="15"/>
  <c r="A119" i="15"/>
  <c r="Q119" i="15" s="1"/>
  <c r="P118" i="15"/>
  <c r="M118" i="15"/>
  <c r="L118" i="15"/>
  <c r="K118" i="15"/>
  <c r="J118" i="15"/>
  <c r="I118" i="15"/>
  <c r="R118" i="15" s="1"/>
  <c r="H118" i="15"/>
  <c r="G118" i="15"/>
  <c r="F118" i="15"/>
  <c r="E118" i="15"/>
  <c r="D118" i="15"/>
  <c r="C118" i="15"/>
  <c r="B118" i="15"/>
  <c r="A118" i="15"/>
  <c r="Q118" i="15" s="1"/>
  <c r="P117" i="15"/>
  <c r="M117" i="15"/>
  <c r="L117" i="15"/>
  <c r="K117" i="15"/>
  <c r="J117" i="15"/>
  <c r="I117" i="15"/>
  <c r="R117" i="15" s="1"/>
  <c r="H117" i="15"/>
  <c r="G117" i="15"/>
  <c r="F117" i="15"/>
  <c r="E117" i="15"/>
  <c r="D117" i="15"/>
  <c r="C117" i="15"/>
  <c r="B117" i="15"/>
  <c r="A117" i="15"/>
  <c r="Q117" i="15" s="1"/>
  <c r="P116" i="15"/>
  <c r="M116" i="15"/>
  <c r="L116" i="15"/>
  <c r="K116" i="15"/>
  <c r="J116" i="15"/>
  <c r="I116" i="15"/>
  <c r="R116" i="15" s="1"/>
  <c r="H116" i="15"/>
  <c r="G116" i="15"/>
  <c r="F116" i="15"/>
  <c r="E116" i="15"/>
  <c r="D116" i="15"/>
  <c r="C116" i="15"/>
  <c r="B116" i="15"/>
  <c r="A116" i="15"/>
  <c r="Q116" i="15" s="1"/>
  <c r="P115" i="15"/>
  <c r="M115" i="15"/>
  <c r="L115" i="15"/>
  <c r="K115" i="15"/>
  <c r="J115" i="15"/>
  <c r="I115" i="15"/>
  <c r="R115" i="15" s="1"/>
  <c r="H115" i="15"/>
  <c r="G115" i="15"/>
  <c r="F115" i="15"/>
  <c r="E115" i="15"/>
  <c r="D115" i="15"/>
  <c r="C115" i="15"/>
  <c r="B115" i="15"/>
  <c r="A115" i="15"/>
  <c r="Q115" i="15" s="1"/>
  <c r="P114" i="15"/>
  <c r="M114" i="15"/>
  <c r="L114" i="15"/>
  <c r="K114" i="15"/>
  <c r="J114" i="15"/>
  <c r="I114" i="15"/>
  <c r="R114" i="15" s="1"/>
  <c r="H114" i="15"/>
  <c r="G114" i="15"/>
  <c r="F114" i="15"/>
  <c r="E114" i="15"/>
  <c r="D114" i="15"/>
  <c r="C114" i="15"/>
  <c r="B114" i="15"/>
  <c r="A114" i="15"/>
  <c r="Q114" i="15" s="1"/>
  <c r="P113" i="15"/>
  <c r="M113" i="15"/>
  <c r="L113" i="15"/>
  <c r="K113" i="15"/>
  <c r="J113" i="15"/>
  <c r="I113" i="15"/>
  <c r="R113" i="15" s="1"/>
  <c r="H113" i="15"/>
  <c r="G113" i="15"/>
  <c r="F113" i="15"/>
  <c r="E113" i="15"/>
  <c r="D113" i="15"/>
  <c r="C113" i="15"/>
  <c r="B113" i="15"/>
  <c r="A113" i="15"/>
  <c r="Q113" i="15" s="1"/>
  <c r="P112" i="15"/>
  <c r="M112" i="15"/>
  <c r="L112" i="15"/>
  <c r="K112" i="15"/>
  <c r="J112" i="15"/>
  <c r="I112" i="15"/>
  <c r="R112" i="15" s="1"/>
  <c r="H112" i="15"/>
  <c r="G112" i="15"/>
  <c r="F112" i="15"/>
  <c r="E112" i="15"/>
  <c r="D112" i="15"/>
  <c r="C112" i="15"/>
  <c r="B112" i="15"/>
  <c r="A112" i="15"/>
  <c r="Q112" i="15" s="1"/>
  <c r="P111" i="15"/>
  <c r="M111" i="15"/>
  <c r="L111" i="15"/>
  <c r="K111" i="15"/>
  <c r="J111" i="15"/>
  <c r="I111" i="15"/>
  <c r="R111" i="15" s="1"/>
  <c r="H111" i="15"/>
  <c r="G111" i="15"/>
  <c r="F111" i="15"/>
  <c r="E111" i="15"/>
  <c r="D111" i="15"/>
  <c r="C111" i="15"/>
  <c r="B111" i="15"/>
  <c r="A111" i="15"/>
  <c r="Q111" i="15" s="1"/>
  <c r="P110" i="15"/>
  <c r="M110" i="15"/>
  <c r="L110" i="15"/>
  <c r="K110" i="15"/>
  <c r="J110" i="15"/>
  <c r="I110" i="15"/>
  <c r="R110" i="15" s="1"/>
  <c r="H110" i="15"/>
  <c r="G110" i="15"/>
  <c r="F110" i="15"/>
  <c r="E110" i="15"/>
  <c r="D110" i="15"/>
  <c r="C110" i="15"/>
  <c r="B110" i="15"/>
  <c r="A110" i="15"/>
  <c r="Q110" i="15" s="1"/>
  <c r="P109" i="15"/>
  <c r="M109" i="15"/>
  <c r="L109" i="15"/>
  <c r="K109" i="15"/>
  <c r="J109" i="15"/>
  <c r="I109" i="15"/>
  <c r="R109" i="15" s="1"/>
  <c r="H109" i="15"/>
  <c r="G109" i="15"/>
  <c r="F109" i="15"/>
  <c r="E109" i="15"/>
  <c r="D109" i="15"/>
  <c r="C109" i="15"/>
  <c r="B109" i="15"/>
  <c r="A109" i="15"/>
  <c r="Q109" i="15" s="1"/>
  <c r="P108" i="15"/>
  <c r="M108" i="15"/>
  <c r="L108" i="15"/>
  <c r="K108" i="15"/>
  <c r="J108" i="15"/>
  <c r="I108" i="15"/>
  <c r="R108" i="15" s="1"/>
  <c r="H108" i="15"/>
  <c r="G108" i="15"/>
  <c r="F108" i="15"/>
  <c r="E108" i="15"/>
  <c r="D108" i="15"/>
  <c r="C108" i="15"/>
  <c r="B108" i="15"/>
  <c r="A108" i="15"/>
  <c r="Q108" i="15" s="1"/>
  <c r="P107" i="15"/>
  <c r="M107" i="15"/>
  <c r="L107" i="15"/>
  <c r="K107" i="15"/>
  <c r="J107" i="15"/>
  <c r="I107" i="15"/>
  <c r="R107" i="15" s="1"/>
  <c r="H107" i="15"/>
  <c r="G107" i="15"/>
  <c r="F107" i="15"/>
  <c r="E107" i="15"/>
  <c r="D107" i="15"/>
  <c r="C107" i="15"/>
  <c r="B107" i="15"/>
  <c r="A107" i="15"/>
  <c r="Q107" i="15" s="1"/>
  <c r="P106" i="15"/>
  <c r="M106" i="15"/>
  <c r="L106" i="15"/>
  <c r="K106" i="15"/>
  <c r="J106" i="15"/>
  <c r="I106" i="15"/>
  <c r="R106" i="15" s="1"/>
  <c r="H106" i="15"/>
  <c r="G106" i="15"/>
  <c r="F106" i="15"/>
  <c r="E106" i="15"/>
  <c r="D106" i="15"/>
  <c r="C106" i="15"/>
  <c r="B106" i="15"/>
  <c r="A106" i="15"/>
  <c r="Q106" i="15" s="1"/>
  <c r="P105" i="15"/>
  <c r="M105" i="15"/>
  <c r="L105" i="15"/>
  <c r="K105" i="15"/>
  <c r="J105" i="15"/>
  <c r="I105" i="15"/>
  <c r="R105" i="15" s="1"/>
  <c r="H105" i="15"/>
  <c r="G105" i="15"/>
  <c r="F105" i="15"/>
  <c r="E105" i="15"/>
  <c r="D105" i="15"/>
  <c r="C105" i="15"/>
  <c r="B105" i="15"/>
  <c r="A105" i="15"/>
  <c r="Q105" i="15" s="1"/>
  <c r="P104" i="15"/>
  <c r="M104" i="15"/>
  <c r="L104" i="15"/>
  <c r="K104" i="15"/>
  <c r="J104" i="15"/>
  <c r="I104" i="15"/>
  <c r="R104" i="15" s="1"/>
  <c r="H104" i="15"/>
  <c r="G104" i="15"/>
  <c r="F104" i="15"/>
  <c r="E104" i="15"/>
  <c r="D104" i="15"/>
  <c r="C104" i="15"/>
  <c r="B104" i="15"/>
  <c r="A104" i="15"/>
  <c r="Q104" i="15" s="1"/>
  <c r="P103" i="15"/>
  <c r="M103" i="15"/>
  <c r="L103" i="15"/>
  <c r="K103" i="15"/>
  <c r="J103" i="15"/>
  <c r="I103" i="15"/>
  <c r="R103" i="15" s="1"/>
  <c r="H103" i="15"/>
  <c r="G103" i="15"/>
  <c r="F103" i="15"/>
  <c r="E103" i="15"/>
  <c r="D103" i="15"/>
  <c r="C103" i="15"/>
  <c r="B103" i="15"/>
  <c r="A103" i="15"/>
  <c r="Q103" i="15" s="1"/>
  <c r="P102" i="15"/>
  <c r="M102" i="15"/>
  <c r="L102" i="15"/>
  <c r="K102" i="15"/>
  <c r="J102" i="15"/>
  <c r="I102" i="15"/>
  <c r="R102" i="15" s="1"/>
  <c r="H102" i="15"/>
  <c r="G102" i="15"/>
  <c r="F102" i="15"/>
  <c r="E102" i="15"/>
  <c r="D102" i="15"/>
  <c r="C102" i="15"/>
  <c r="B102" i="15"/>
  <c r="A102" i="15"/>
  <c r="Q102" i="15" s="1"/>
  <c r="P101" i="15"/>
  <c r="M101" i="15"/>
  <c r="L101" i="15"/>
  <c r="K101" i="15"/>
  <c r="J101" i="15"/>
  <c r="I101" i="15"/>
  <c r="R101" i="15" s="1"/>
  <c r="H101" i="15"/>
  <c r="G101" i="15"/>
  <c r="F101" i="15"/>
  <c r="E101" i="15"/>
  <c r="D101" i="15"/>
  <c r="C101" i="15"/>
  <c r="B101" i="15"/>
  <c r="A101" i="15"/>
  <c r="Q101" i="15" s="1"/>
  <c r="P100" i="15"/>
  <c r="M100" i="15"/>
  <c r="L100" i="15"/>
  <c r="K100" i="15"/>
  <c r="J100" i="15"/>
  <c r="I100" i="15"/>
  <c r="R100" i="15" s="1"/>
  <c r="H100" i="15"/>
  <c r="G100" i="15"/>
  <c r="F100" i="15"/>
  <c r="E100" i="15"/>
  <c r="D100" i="15"/>
  <c r="C100" i="15"/>
  <c r="B100" i="15"/>
  <c r="A100" i="15"/>
  <c r="Q100" i="15" s="1"/>
  <c r="P99" i="15"/>
  <c r="M99" i="15"/>
  <c r="L99" i="15"/>
  <c r="K99" i="15"/>
  <c r="J99" i="15"/>
  <c r="I99" i="15"/>
  <c r="R99" i="15" s="1"/>
  <c r="H99" i="15"/>
  <c r="G99" i="15"/>
  <c r="F99" i="15"/>
  <c r="E99" i="15"/>
  <c r="D99" i="15"/>
  <c r="C99" i="15"/>
  <c r="B99" i="15"/>
  <c r="A99" i="15"/>
  <c r="Q99" i="15" s="1"/>
  <c r="P98" i="15"/>
  <c r="M98" i="15"/>
  <c r="L98" i="15"/>
  <c r="K98" i="15"/>
  <c r="J98" i="15"/>
  <c r="I98" i="15"/>
  <c r="R98" i="15" s="1"/>
  <c r="H98" i="15"/>
  <c r="G98" i="15"/>
  <c r="F98" i="15"/>
  <c r="E98" i="15"/>
  <c r="D98" i="15"/>
  <c r="C98" i="15"/>
  <c r="B98" i="15"/>
  <c r="A98" i="15"/>
  <c r="Q98" i="15" s="1"/>
  <c r="P97" i="15"/>
  <c r="M97" i="15"/>
  <c r="L97" i="15"/>
  <c r="K97" i="15"/>
  <c r="J97" i="15"/>
  <c r="I97" i="15"/>
  <c r="R97" i="15" s="1"/>
  <c r="H97" i="15"/>
  <c r="G97" i="15"/>
  <c r="F97" i="15"/>
  <c r="E97" i="15"/>
  <c r="D97" i="15"/>
  <c r="C97" i="15"/>
  <c r="B97" i="15"/>
  <c r="A97" i="15"/>
  <c r="Q97" i="15" s="1"/>
  <c r="P96" i="15"/>
  <c r="M96" i="15"/>
  <c r="L96" i="15"/>
  <c r="K96" i="15"/>
  <c r="J96" i="15"/>
  <c r="I96" i="15"/>
  <c r="R96" i="15" s="1"/>
  <c r="H96" i="15"/>
  <c r="G96" i="15"/>
  <c r="F96" i="15"/>
  <c r="E96" i="15"/>
  <c r="D96" i="15"/>
  <c r="C96" i="15"/>
  <c r="B96" i="15"/>
  <c r="A96" i="15"/>
  <c r="Q96" i="15" s="1"/>
  <c r="P95" i="15"/>
  <c r="M95" i="15"/>
  <c r="L95" i="15"/>
  <c r="K95" i="15"/>
  <c r="J95" i="15"/>
  <c r="I95" i="15"/>
  <c r="R95" i="15" s="1"/>
  <c r="H95" i="15"/>
  <c r="G95" i="15"/>
  <c r="F95" i="15"/>
  <c r="E95" i="15"/>
  <c r="D95" i="15"/>
  <c r="C95" i="15"/>
  <c r="B95" i="15"/>
  <c r="A95" i="15"/>
  <c r="Q95" i="15" s="1"/>
  <c r="P94" i="15"/>
  <c r="M94" i="15"/>
  <c r="L94" i="15"/>
  <c r="K94" i="15"/>
  <c r="J94" i="15"/>
  <c r="I94" i="15"/>
  <c r="R94" i="15" s="1"/>
  <c r="H94" i="15"/>
  <c r="G94" i="15"/>
  <c r="F94" i="15"/>
  <c r="E94" i="15"/>
  <c r="D94" i="15"/>
  <c r="C94" i="15"/>
  <c r="B94" i="15"/>
  <c r="A94" i="15"/>
  <c r="Q94" i="15" s="1"/>
  <c r="P93" i="15"/>
  <c r="M93" i="15"/>
  <c r="L93" i="15"/>
  <c r="K93" i="15"/>
  <c r="J93" i="15"/>
  <c r="I93" i="15"/>
  <c r="R93" i="15" s="1"/>
  <c r="H93" i="15"/>
  <c r="G93" i="15"/>
  <c r="F93" i="15"/>
  <c r="E93" i="15"/>
  <c r="D93" i="15"/>
  <c r="C93" i="15"/>
  <c r="B93" i="15"/>
  <c r="A93" i="15"/>
  <c r="Q93" i="15" s="1"/>
  <c r="P92" i="15"/>
  <c r="M92" i="15"/>
  <c r="L92" i="15"/>
  <c r="K92" i="15"/>
  <c r="J92" i="15"/>
  <c r="I92" i="15"/>
  <c r="R92" i="15" s="1"/>
  <c r="H92" i="15"/>
  <c r="G92" i="15"/>
  <c r="F92" i="15"/>
  <c r="E92" i="15"/>
  <c r="D92" i="15"/>
  <c r="C92" i="15"/>
  <c r="B92" i="15"/>
  <c r="A92" i="15"/>
  <c r="Q92" i="15" s="1"/>
  <c r="P91" i="15"/>
  <c r="M91" i="15"/>
  <c r="L91" i="15"/>
  <c r="K91" i="15"/>
  <c r="J91" i="15"/>
  <c r="I91" i="15"/>
  <c r="R91" i="15" s="1"/>
  <c r="H91" i="15"/>
  <c r="G91" i="15"/>
  <c r="F91" i="15"/>
  <c r="E91" i="15"/>
  <c r="D91" i="15"/>
  <c r="C91" i="15"/>
  <c r="B91" i="15"/>
  <c r="A91" i="15"/>
  <c r="Q91" i="15" s="1"/>
  <c r="P90" i="15"/>
  <c r="M90" i="15"/>
  <c r="L90" i="15"/>
  <c r="K90" i="15"/>
  <c r="J90" i="15"/>
  <c r="I90" i="15"/>
  <c r="R90" i="15" s="1"/>
  <c r="H90" i="15"/>
  <c r="G90" i="15"/>
  <c r="F90" i="15"/>
  <c r="E90" i="15"/>
  <c r="D90" i="15"/>
  <c r="C90" i="15"/>
  <c r="B90" i="15"/>
  <c r="A90" i="15"/>
  <c r="Q90" i="15" s="1"/>
  <c r="P89" i="15"/>
  <c r="M89" i="15"/>
  <c r="L89" i="15"/>
  <c r="K89" i="15"/>
  <c r="J89" i="15"/>
  <c r="I89" i="15"/>
  <c r="R89" i="15" s="1"/>
  <c r="H89" i="15"/>
  <c r="G89" i="15"/>
  <c r="F89" i="15"/>
  <c r="E89" i="15"/>
  <c r="D89" i="15"/>
  <c r="C89" i="15"/>
  <c r="B89" i="15"/>
  <c r="A89" i="15"/>
  <c r="Q89" i="15" s="1"/>
  <c r="P88" i="15"/>
  <c r="M88" i="15"/>
  <c r="L88" i="15"/>
  <c r="K88" i="15"/>
  <c r="J88" i="15"/>
  <c r="I88" i="15"/>
  <c r="R88" i="15" s="1"/>
  <c r="H88" i="15"/>
  <c r="G88" i="15"/>
  <c r="F88" i="15"/>
  <c r="E88" i="15"/>
  <c r="D88" i="15"/>
  <c r="C88" i="15"/>
  <c r="B88" i="15"/>
  <c r="A88" i="15"/>
  <c r="Q88" i="15" s="1"/>
  <c r="P87" i="15"/>
  <c r="M87" i="15"/>
  <c r="L87" i="15"/>
  <c r="K87" i="15"/>
  <c r="J87" i="15"/>
  <c r="I87" i="15"/>
  <c r="R87" i="15" s="1"/>
  <c r="H87" i="15"/>
  <c r="G87" i="15"/>
  <c r="F87" i="15"/>
  <c r="E87" i="15"/>
  <c r="D87" i="15"/>
  <c r="C87" i="15"/>
  <c r="B87" i="15"/>
  <c r="A87" i="15"/>
  <c r="Q87" i="15" s="1"/>
  <c r="P86" i="15"/>
  <c r="M86" i="15"/>
  <c r="L86" i="15"/>
  <c r="K86" i="15"/>
  <c r="J86" i="15"/>
  <c r="I86" i="15"/>
  <c r="R86" i="15" s="1"/>
  <c r="H86" i="15"/>
  <c r="G86" i="15"/>
  <c r="F86" i="15"/>
  <c r="E86" i="15"/>
  <c r="D86" i="15"/>
  <c r="C86" i="15"/>
  <c r="B86" i="15"/>
  <c r="A86" i="15"/>
  <c r="Q86" i="15" s="1"/>
  <c r="P85" i="15"/>
  <c r="M85" i="15"/>
  <c r="L85" i="15"/>
  <c r="K85" i="15"/>
  <c r="J85" i="15"/>
  <c r="I85" i="15"/>
  <c r="R85" i="15" s="1"/>
  <c r="H85" i="15"/>
  <c r="G85" i="15"/>
  <c r="F85" i="15"/>
  <c r="E85" i="15"/>
  <c r="D85" i="15"/>
  <c r="C85" i="15"/>
  <c r="B85" i="15"/>
  <c r="A85" i="15"/>
  <c r="Q85" i="15" s="1"/>
  <c r="P84" i="15"/>
  <c r="M84" i="15"/>
  <c r="L84" i="15"/>
  <c r="K84" i="15"/>
  <c r="J84" i="15"/>
  <c r="I84" i="15"/>
  <c r="R84" i="15" s="1"/>
  <c r="H84" i="15"/>
  <c r="G84" i="15"/>
  <c r="F84" i="15"/>
  <c r="E84" i="15"/>
  <c r="D84" i="15"/>
  <c r="C84" i="15"/>
  <c r="B84" i="15"/>
  <c r="A84" i="15"/>
  <c r="Q84" i="15" s="1"/>
  <c r="P83" i="15"/>
  <c r="M83" i="15"/>
  <c r="L83" i="15"/>
  <c r="K83" i="15"/>
  <c r="J83" i="15"/>
  <c r="I83" i="15"/>
  <c r="R83" i="15" s="1"/>
  <c r="H83" i="15"/>
  <c r="G83" i="15"/>
  <c r="F83" i="15"/>
  <c r="E83" i="15"/>
  <c r="D83" i="15"/>
  <c r="C83" i="15"/>
  <c r="B83" i="15"/>
  <c r="A83" i="15"/>
  <c r="Q83" i="15" s="1"/>
  <c r="P82" i="15"/>
  <c r="M82" i="15"/>
  <c r="L82" i="15"/>
  <c r="K82" i="15"/>
  <c r="J82" i="15"/>
  <c r="I82" i="15"/>
  <c r="R82" i="15" s="1"/>
  <c r="H82" i="15"/>
  <c r="G82" i="15"/>
  <c r="F82" i="15"/>
  <c r="E82" i="15"/>
  <c r="D82" i="15"/>
  <c r="C82" i="15"/>
  <c r="B82" i="15"/>
  <c r="A82" i="15"/>
  <c r="Q82" i="15" s="1"/>
  <c r="P81" i="15"/>
  <c r="M81" i="15"/>
  <c r="L81" i="15"/>
  <c r="K81" i="15"/>
  <c r="J81" i="15"/>
  <c r="I81" i="15"/>
  <c r="R81" i="15" s="1"/>
  <c r="H81" i="15"/>
  <c r="G81" i="15"/>
  <c r="F81" i="15"/>
  <c r="E81" i="15"/>
  <c r="D81" i="15"/>
  <c r="C81" i="15"/>
  <c r="B81" i="15"/>
  <c r="A81" i="15"/>
  <c r="Q81" i="15" s="1"/>
  <c r="P80" i="15"/>
  <c r="M80" i="15"/>
  <c r="L80" i="15"/>
  <c r="K80" i="15"/>
  <c r="J80" i="15"/>
  <c r="I80" i="15"/>
  <c r="R80" i="15" s="1"/>
  <c r="H80" i="15"/>
  <c r="G80" i="15"/>
  <c r="F80" i="15"/>
  <c r="E80" i="15"/>
  <c r="D80" i="15"/>
  <c r="C80" i="15"/>
  <c r="B80" i="15"/>
  <c r="A80" i="15"/>
  <c r="Q80" i="15" s="1"/>
  <c r="P79" i="15"/>
  <c r="M79" i="15"/>
  <c r="L79" i="15"/>
  <c r="K79" i="15"/>
  <c r="J79" i="15"/>
  <c r="I79" i="15"/>
  <c r="R79" i="15" s="1"/>
  <c r="H79" i="15"/>
  <c r="G79" i="15"/>
  <c r="F79" i="15"/>
  <c r="E79" i="15"/>
  <c r="D79" i="15"/>
  <c r="C79" i="15"/>
  <c r="B79" i="15"/>
  <c r="A79" i="15"/>
  <c r="Q79" i="15" s="1"/>
  <c r="P78" i="15"/>
  <c r="M78" i="15"/>
  <c r="L78" i="15"/>
  <c r="K78" i="15"/>
  <c r="J78" i="15"/>
  <c r="I78" i="15"/>
  <c r="R78" i="15" s="1"/>
  <c r="H78" i="15"/>
  <c r="G78" i="15"/>
  <c r="F78" i="15"/>
  <c r="E78" i="15"/>
  <c r="D78" i="15"/>
  <c r="C78" i="15"/>
  <c r="B78" i="15"/>
  <c r="A78" i="15"/>
  <c r="Q78" i="15" s="1"/>
  <c r="P77" i="15"/>
  <c r="M77" i="15"/>
  <c r="L77" i="15"/>
  <c r="K77" i="15"/>
  <c r="J77" i="15"/>
  <c r="I77" i="15"/>
  <c r="R77" i="15" s="1"/>
  <c r="H77" i="15"/>
  <c r="G77" i="15"/>
  <c r="F77" i="15"/>
  <c r="E77" i="15"/>
  <c r="D77" i="15"/>
  <c r="C77" i="15"/>
  <c r="B77" i="15"/>
  <c r="A77" i="15"/>
  <c r="Q77" i="15" s="1"/>
  <c r="P76" i="15"/>
  <c r="M76" i="15"/>
  <c r="L76" i="15"/>
  <c r="K76" i="15"/>
  <c r="J76" i="15"/>
  <c r="I76" i="15"/>
  <c r="R76" i="15" s="1"/>
  <c r="H76" i="15"/>
  <c r="G76" i="15"/>
  <c r="F76" i="15"/>
  <c r="E76" i="15"/>
  <c r="D76" i="15"/>
  <c r="C76" i="15"/>
  <c r="B76" i="15"/>
  <c r="A76" i="15"/>
  <c r="Q76" i="15" s="1"/>
  <c r="P75" i="15"/>
  <c r="M75" i="15"/>
  <c r="L75" i="15"/>
  <c r="K75" i="15"/>
  <c r="J75" i="15"/>
  <c r="I75" i="15"/>
  <c r="R75" i="15" s="1"/>
  <c r="H75" i="15"/>
  <c r="G75" i="15"/>
  <c r="F75" i="15"/>
  <c r="E75" i="15"/>
  <c r="D75" i="15"/>
  <c r="C75" i="15"/>
  <c r="B75" i="15"/>
  <c r="A75" i="15"/>
  <c r="Q75" i="15" s="1"/>
  <c r="P74" i="15"/>
  <c r="M74" i="15"/>
  <c r="L74" i="15"/>
  <c r="K74" i="15"/>
  <c r="J74" i="15"/>
  <c r="I74" i="15"/>
  <c r="R74" i="15" s="1"/>
  <c r="H74" i="15"/>
  <c r="G74" i="15"/>
  <c r="F74" i="15"/>
  <c r="E74" i="15"/>
  <c r="D74" i="15"/>
  <c r="C74" i="15"/>
  <c r="B74" i="15"/>
  <c r="A74" i="15"/>
  <c r="Q74" i="15" s="1"/>
  <c r="P73" i="15"/>
  <c r="M73" i="15"/>
  <c r="L73" i="15"/>
  <c r="K73" i="15"/>
  <c r="J73" i="15"/>
  <c r="I73" i="15"/>
  <c r="R73" i="15" s="1"/>
  <c r="H73" i="15"/>
  <c r="G73" i="15"/>
  <c r="F73" i="15"/>
  <c r="E73" i="15"/>
  <c r="D73" i="15"/>
  <c r="C73" i="15"/>
  <c r="B73" i="15"/>
  <c r="A73" i="15"/>
  <c r="Q73" i="15" s="1"/>
  <c r="P72" i="15"/>
  <c r="M72" i="15"/>
  <c r="L72" i="15"/>
  <c r="K72" i="15"/>
  <c r="J72" i="15"/>
  <c r="I72" i="15"/>
  <c r="R72" i="15" s="1"/>
  <c r="H72" i="15"/>
  <c r="G72" i="15"/>
  <c r="F72" i="15"/>
  <c r="E72" i="15"/>
  <c r="D72" i="15"/>
  <c r="C72" i="15"/>
  <c r="B72" i="15"/>
  <c r="A72" i="15"/>
  <c r="Q72" i="15" s="1"/>
  <c r="P71" i="15"/>
  <c r="M71" i="15"/>
  <c r="L71" i="15"/>
  <c r="K71" i="15"/>
  <c r="J71" i="15"/>
  <c r="I71" i="15"/>
  <c r="R71" i="15" s="1"/>
  <c r="H71" i="15"/>
  <c r="G71" i="15"/>
  <c r="F71" i="15"/>
  <c r="E71" i="15"/>
  <c r="D71" i="15"/>
  <c r="C71" i="15"/>
  <c r="B71" i="15"/>
  <c r="A71" i="15"/>
  <c r="Q71" i="15" s="1"/>
  <c r="P70" i="15"/>
  <c r="M70" i="15"/>
  <c r="L70" i="15"/>
  <c r="K70" i="15"/>
  <c r="J70" i="15"/>
  <c r="I70" i="15"/>
  <c r="R70" i="15" s="1"/>
  <c r="H70" i="15"/>
  <c r="G70" i="15"/>
  <c r="F70" i="15"/>
  <c r="E70" i="15"/>
  <c r="D70" i="15"/>
  <c r="C70" i="15"/>
  <c r="B70" i="15"/>
  <c r="A70" i="15"/>
  <c r="Q70" i="15" s="1"/>
  <c r="P69" i="15"/>
  <c r="M69" i="15"/>
  <c r="L69" i="15"/>
  <c r="K69" i="15"/>
  <c r="J69" i="15"/>
  <c r="I69" i="15"/>
  <c r="R69" i="15" s="1"/>
  <c r="H69" i="15"/>
  <c r="G69" i="15"/>
  <c r="F69" i="15"/>
  <c r="E69" i="15"/>
  <c r="D69" i="15"/>
  <c r="C69" i="15"/>
  <c r="B69" i="15"/>
  <c r="A69" i="15"/>
  <c r="Q69" i="15" s="1"/>
  <c r="P68" i="15"/>
  <c r="M68" i="15"/>
  <c r="L68" i="15"/>
  <c r="K68" i="15"/>
  <c r="J68" i="15"/>
  <c r="I68" i="15"/>
  <c r="R68" i="15" s="1"/>
  <c r="H68" i="15"/>
  <c r="G68" i="15"/>
  <c r="F68" i="15"/>
  <c r="E68" i="15"/>
  <c r="D68" i="15"/>
  <c r="C68" i="15"/>
  <c r="B68" i="15"/>
  <c r="A68" i="15"/>
  <c r="Q68" i="15" s="1"/>
  <c r="P67" i="15"/>
  <c r="M67" i="15"/>
  <c r="L67" i="15"/>
  <c r="K67" i="15"/>
  <c r="J67" i="15"/>
  <c r="I67" i="15"/>
  <c r="R67" i="15" s="1"/>
  <c r="H67" i="15"/>
  <c r="G67" i="15"/>
  <c r="F67" i="15"/>
  <c r="E67" i="15"/>
  <c r="D67" i="15"/>
  <c r="C67" i="15"/>
  <c r="B67" i="15"/>
  <c r="A67" i="15"/>
  <c r="Q67" i="15" s="1"/>
  <c r="P66" i="15"/>
  <c r="M66" i="15"/>
  <c r="L66" i="15"/>
  <c r="K66" i="15"/>
  <c r="J66" i="15"/>
  <c r="I66" i="15"/>
  <c r="R66" i="15" s="1"/>
  <c r="H66" i="15"/>
  <c r="G66" i="15"/>
  <c r="F66" i="15"/>
  <c r="E66" i="15"/>
  <c r="D66" i="15"/>
  <c r="C66" i="15"/>
  <c r="B66" i="15"/>
  <c r="A66" i="15"/>
  <c r="Q66" i="15" s="1"/>
  <c r="P65" i="15"/>
  <c r="M65" i="15"/>
  <c r="L65" i="15"/>
  <c r="K65" i="15"/>
  <c r="J65" i="15"/>
  <c r="I65" i="15"/>
  <c r="R65" i="15" s="1"/>
  <c r="H65" i="15"/>
  <c r="G65" i="15"/>
  <c r="F65" i="15"/>
  <c r="E65" i="15"/>
  <c r="D65" i="15"/>
  <c r="C65" i="15"/>
  <c r="B65" i="15"/>
  <c r="A65" i="15"/>
  <c r="Q65" i="15" s="1"/>
  <c r="P64" i="15"/>
  <c r="M64" i="15"/>
  <c r="L64" i="15"/>
  <c r="K64" i="15"/>
  <c r="J64" i="15"/>
  <c r="I64" i="15"/>
  <c r="R64" i="15" s="1"/>
  <c r="H64" i="15"/>
  <c r="G64" i="15"/>
  <c r="F64" i="15"/>
  <c r="E64" i="15"/>
  <c r="D64" i="15"/>
  <c r="C64" i="15"/>
  <c r="B64" i="15"/>
  <c r="A64" i="15"/>
  <c r="Q64" i="15" s="1"/>
  <c r="P63" i="15"/>
  <c r="M63" i="15"/>
  <c r="L63" i="15"/>
  <c r="K63" i="15"/>
  <c r="J63" i="15"/>
  <c r="I63" i="15"/>
  <c r="R63" i="15" s="1"/>
  <c r="H63" i="15"/>
  <c r="G63" i="15"/>
  <c r="F63" i="15"/>
  <c r="E63" i="15"/>
  <c r="D63" i="15"/>
  <c r="C63" i="15"/>
  <c r="B63" i="15"/>
  <c r="A63" i="15"/>
  <c r="Q63" i="15" s="1"/>
  <c r="P62" i="15"/>
  <c r="M62" i="15"/>
  <c r="L62" i="15"/>
  <c r="K62" i="15"/>
  <c r="J62" i="15"/>
  <c r="I62" i="15"/>
  <c r="R62" i="15" s="1"/>
  <c r="H62" i="15"/>
  <c r="G62" i="15"/>
  <c r="F62" i="15"/>
  <c r="E62" i="15"/>
  <c r="D62" i="15"/>
  <c r="C62" i="15"/>
  <c r="B62" i="15"/>
  <c r="A62" i="15"/>
  <c r="Q62" i="15" s="1"/>
  <c r="P61" i="15"/>
  <c r="M61" i="15"/>
  <c r="L61" i="15"/>
  <c r="K61" i="15"/>
  <c r="J61" i="15"/>
  <c r="I61" i="15"/>
  <c r="R61" i="15" s="1"/>
  <c r="H61" i="15"/>
  <c r="G61" i="15"/>
  <c r="F61" i="15"/>
  <c r="E61" i="15"/>
  <c r="D61" i="15"/>
  <c r="C61" i="15"/>
  <c r="B61" i="15"/>
  <c r="A61" i="15"/>
  <c r="Q61" i="15" s="1"/>
  <c r="P60" i="15"/>
  <c r="M60" i="15"/>
  <c r="L60" i="15"/>
  <c r="K60" i="15"/>
  <c r="J60" i="15"/>
  <c r="I60" i="15"/>
  <c r="R60" i="15" s="1"/>
  <c r="H60" i="15"/>
  <c r="G60" i="15"/>
  <c r="F60" i="15"/>
  <c r="E60" i="15"/>
  <c r="D60" i="15"/>
  <c r="C60" i="15"/>
  <c r="B60" i="15"/>
  <c r="A60" i="15"/>
  <c r="Q60" i="15" s="1"/>
  <c r="P59" i="15"/>
  <c r="M59" i="15"/>
  <c r="L59" i="15"/>
  <c r="K59" i="15"/>
  <c r="J59" i="15"/>
  <c r="I59" i="15"/>
  <c r="R59" i="15" s="1"/>
  <c r="H59" i="15"/>
  <c r="G59" i="15"/>
  <c r="F59" i="15"/>
  <c r="E59" i="15"/>
  <c r="D59" i="15"/>
  <c r="C59" i="15"/>
  <c r="B59" i="15"/>
  <c r="A59" i="15"/>
  <c r="Q59" i="15" s="1"/>
  <c r="P58" i="15"/>
  <c r="M58" i="15"/>
  <c r="L58" i="15"/>
  <c r="K58" i="15"/>
  <c r="J58" i="15"/>
  <c r="I58" i="15"/>
  <c r="R58" i="15" s="1"/>
  <c r="H58" i="15"/>
  <c r="G58" i="15"/>
  <c r="F58" i="15"/>
  <c r="E58" i="15"/>
  <c r="D58" i="15"/>
  <c r="C58" i="15"/>
  <c r="B58" i="15"/>
  <c r="A58" i="15"/>
  <c r="Q58" i="15" s="1"/>
  <c r="P57" i="15"/>
  <c r="M57" i="15"/>
  <c r="L57" i="15"/>
  <c r="K57" i="15"/>
  <c r="J57" i="15"/>
  <c r="I57" i="15"/>
  <c r="R57" i="15" s="1"/>
  <c r="H57" i="15"/>
  <c r="G57" i="15"/>
  <c r="F57" i="15"/>
  <c r="E57" i="15"/>
  <c r="D57" i="15"/>
  <c r="C57" i="15"/>
  <c r="B57" i="15"/>
  <c r="A57" i="15"/>
  <c r="Q57" i="15" s="1"/>
  <c r="P56" i="15"/>
  <c r="M56" i="15"/>
  <c r="L56" i="15"/>
  <c r="K56" i="15"/>
  <c r="J56" i="15"/>
  <c r="I56" i="15"/>
  <c r="R56" i="15" s="1"/>
  <c r="H56" i="15"/>
  <c r="G56" i="15"/>
  <c r="F56" i="15"/>
  <c r="E56" i="15"/>
  <c r="D56" i="15"/>
  <c r="C56" i="15"/>
  <c r="B56" i="15"/>
  <c r="A56" i="15"/>
  <c r="Q56" i="15" s="1"/>
  <c r="P55" i="15"/>
  <c r="M55" i="15"/>
  <c r="L55" i="15"/>
  <c r="K55" i="15"/>
  <c r="J55" i="15"/>
  <c r="I55" i="15"/>
  <c r="R55" i="15" s="1"/>
  <c r="H55" i="15"/>
  <c r="G55" i="15"/>
  <c r="F55" i="15"/>
  <c r="E55" i="15"/>
  <c r="D55" i="15"/>
  <c r="C55" i="15"/>
  <c r="B55" i="15"/>
  <c r="A55" i="15"/>
  <c r="Q55" i="15" s="1"/>
  <c r="P54" i="15"/>
  <c r="M54" i="15"/>
  <c r="L54" i="15"/>
  <c r="K54" i="15"/>
  <c r="J54" i="15"/>
  <c r="I54" i="15"/>
  <c r="R54" i="15" s="1"/>
  <c r="H54" i="15"/>
  <c r="G54" i="15"/>
  <c r="F54" i="15"/>
  <c r="E54" i="15"/>
  <c r="D54" i="15"/>
  <c r="C54" i="15"/>
  <c r="B54" i="15"/>
  <c r="A54" i="15"/>
  <c r="Q54" i="15" s="1"/>
  <c r="P53" i="15"/>
  <c r="M53" i="15"/>
  <c r="L53" i="15"/>
  <c r="K53" i="15"/>
  <c r="J53" i="15"/>
  <c r="I53" i="15"/>
  <c r="R53" i="15" s="1"/>
  <c r="H53" i="15"/>
  <c r="G53" i="15"/>
  <c r="F53" i="15"/>
  <c r="E53" i="15"/>
  <c r="D53" i="15"/>
  <c r="C53" i="15"/>
  <c r="B53" i="15"/>
  <c r="A53" i="15"/>
  <c r="Q53" i="15" s="1"/>
  <c r="P52" i="15"/>
  <c r="M52" i="15"/>
  <c r="L52" i="15"/>
  <c r="K52" i="15"/>
  <c r="J52" i="15"/>
  <c r="I52" i="15"/>
  <c r="R52" i="15" s="1"/>
  <c r="H52" i="15"/>
  <c r="G52" i="15"/>
  <c r="F52" i="15"/>
  <c r="E52" i="15"/>
  <c r="D52" i="15"/>
  <c r="C52" i="15"/>
  <c r="B52" i="15"/>
  <c r="A52" i="15"/>
  <c r="Q52" i="15" s="1"/>
  <c r="P51" i="15"/>
  <c r="M51" i="15"/>
  <c r="L51" i="15"/>
  <c r="K51" i="15"/>
  <c r="J51" i="15"/>
  <c r="I51" i="15"/>
  <c r="R51" i="15" s="1"/>
  <c r="H51" i="15"/>
  <c r="G51" i="15"/>
  <c r="F51" i="15"/>
  <c r="E51" i="15"/>
  <c r="D51" i="15"/>
  <c r="C51" i="15"/>
  <c r="B51" i="15"/>
  <c r="A51" i="15"/>
  <c r="Q51" i="15" s="1"/>
  <c r="P50" i="15"/>
  <c r="M50" i="15"/>
  <c r="L50" i="15"/>
  <c r="K50" i="15"/>
  <c r="J50" i="15"/>
  <c r="I50" i="15"/>
  <c r="R50" i="15" s="1"/>
  <c r="H50" i="15"/>
  <c r="G50" i="15"/>
  <c r="F50" i="15"/>
  <c r="E50" i="15"/>
  <c r="D50" i="15"/>
  <c r="C50" i="15"/>
  <c r="B50" i="15"/>
  <c r="A50" i="15"/>
  <c r="Q50" i="15" s="1"/>
  <c r="P49" i="15"/>
  <c r="M49" i="15"/>
  <c r="L49" i="15"/>
  <c r="K49" i="15"/>
  <c r="J49" i="15"/>
  <c r="I49" i="15"/>
  <c r="R49" i="15" s="1"/>
  <c r="H49" i="15"/>
  <c r="G49" i="15"/>
  <c r="F49" i="15"/>
  <c r="E49" i="15"/>
  <c r="D49" i="15"/>
  <c r="C49" i="15"/>
  <c r="B49" i="15"/>
  <c r="A49" i="15"/>
  <c r="Q49" i="15" s="1"/>
  <c r="P48" i="15"/>
  <c r="M48" i="15"/>
  <c r="L48" i="15"/>
  <c r="K48" i="15"/>
  <c r="J48" i="15"/>
  <c r="I48" i="15"/>
  <c r="R48" i="15" s="1"/>
  <c r="H48" i="15"/>
  <c r="G48" i="15"/>
  <c r="F48" i="15"/>
  <c r="E48" i="15"/>
  <c r="D48" i="15"/>
  <c r="C48" i="15"/>
  <c r="B48" i="15"/>
  <c r="A48" i="15"/>
  <c r="Q48" i="15" s="1"/>
  <c r="P47" i="15"/>
  <c r="M47" i="15"/>
  <c r="L47" i="15"/>
  <c r="K47" i="15"/>
  <c r="J47" i="15"/>
  <c r="I47" i="15"/>
  <c r="R47" i="15" s="1"/>
  <c r="H47" i="15"/>
  <c r="G47" i="15"/>
  <c r="F47" i="15"/>
  <c r="E47" i="15"/>
  <c r="D47" i="15"/>
  <c r="C47" i="15"/>
  <c r="B47" i="15"/>
  <c r="A47" i="15"/>
  <c r="Q47" i="15" s="1"/>
  <c r="P46" i="15"/>
  <c r="M46" i="15"/>
  <c r="L46" i="15"/>
  <c r="K46" i="15"/>
  <c r="J46" i="15"/>
  <c r="I46" i="15"/>
  <c r="R46" i="15" s="1"/>
  <c r="H46" i="15"/>
  <c r="G46" i="15"/>
  <c r="F46" i="15"/>
  <c r="E46" i="15"/>
  <c r="D46" i="15"/>
  <c r="C46" i="15"/>
  <c r="B46" i="15"/>
  <c r="A46" i="15"/>
  <c r="Q46" i="15" s="1"/>
  <c r="P45" i="15"/>
  <c r="M45" i="15"/>
  <c r="L45" i="15"/>
  <c r="K45" i="15"/>
  <c r="J45" i="15"/>
  <c r="I45" i="15"/>
  <c r="R45" i="15" s="1"/>
  <c r="H45" i="15"/>
  <c r="G45" i="15"/>
  <c r="F45" i="15"/>
  <c r="E45" i="15"/>
  <c r="D45" i="15"/>
  <c r="C45" i="15"/>
  <c r="B45" i="15"/>
  <c r="A45" i="15"/>
  <c r="Q45" i="15" s="1"/>
  <c r="P44" i="15"/>
  <c r="M44" i="15"/>
  <c r="L44" i="15"/>
  <c r="K44" i="15"/>
  <c r="J44" i="15"/>
  <c r="I44" i="15"/>
  <c r="R44" i="15" s="1"/>
  <c r="H44" i="15"/>
  <c r="G44" i="15"/>
  <c r="F44" i="15"/>
  <c r="E44" i="15"/>
  <c r="D44" i="15"/>
  <c r="C44" i="15"/>
  <c r="B44" i="15"/>
  <c r="A44" i="15"/>
  <c r="Q44" i="15" s="1"/>
  <c r="P43" i="15"/>
  <c r="M43" i="15"/>
  <c r="L43" i="15"/>
  <c r="K43" i="15"/>
  <c r="J43" i="15"/>
  <c r="I43" i="15"/>
  <c r="R43" i="15" s="1"/>
  <c r="H43" i="15"/>
  <c r="G43" i="15"/>
  <c r="F43" i="15"/>
  <c r="E43" i="15"/>
  <c r="D43" i="15"/>
  <c r="C43" i="15"/>
  <c r="B43" i="15"/>
  <c r="A43" i="15"/>
  <c r="Q43" i="15" s="1"/>
  <c r="P42" i="15"/>
  <c r="M42" i="15"/>
  <c r="L42" i="15"/>
  <c r="K42" i="15"/>
  <c r="J42" i="15"/>
  <c r="I42" i="15"/>
  <c r="R42" i="15" s="1"/>
  <c r="H42" i="15"/>
  <c r="G42" i="15"/>
  <c r="F42" i="15"/>
  <c r="E42" i="15"/>
  <c r="D42" i="15"/>
  <c r="C42" i="15"/>
  <c r="B42" i="15"/>
  <c r="A42" i="15"/>
  <c r="Q42" i="15" s="1"/>
  <c r="P41" i="15"/>
  <c r="M41" i="15"/>
  <c r="L41" i="15"/>
  <c r="K41" i="15"/>
  <c r="J41" i="15"/>
  <c r="I41" i="15"/>
  <c r="R41" i="15" s="1"/>
  <c r="H41" i="15"/>
  <c r="G41" i="15"/>
  <c r="F41" i="15"/>
  <c r="E41" i="15"/>
  <c r="D41" i="15"/>
  <c r="C41" i="15"/>
  <c r="B41" i="15"/>
  <c r="A41" i="15"/>
  <c r="Q41" i="15" s="1"/>
  <c r="P40" i="15"/>
  <c r="M40" i="15"/>
  <c r="L40" i="15"/>
  <c r="K40" i="15"/>
  <c r="J40" i="15"/>
  <c r="I40" i="15"/>
  <c r="R40" i="15" s="1"/>
  <c r="H40" i="15"/>
  <c r="G40" i="15"/>
  <c r="F40" i="15"/>
  <c r="E40" i="15"/>
  <c r="D40" i="15"/>
  <c r="C40" i="15"/>
  <c r="B40" i="15"/>
  <c r="A40" i="15"/>
  <c r="Q40" i="15" s="1"/>
  <c r="P39" i="15"/>
  <c r="M39" i="15"/>
  <c r="L39" i="15"/>
  <c r="K39" i="15"/>
  <c r="J39" i="15"/>
  <c r="I39" i="15"/>
  <c r="R39" i="15" s="1"/>
  <c r="H39" i="15"/>
  <c r="G39" i="15"/>
  <c r="F39" i="15"/>
  <c r="E39" i="15"/>
  <c r="D39" i="15"/>
  <c r="C39" i="15"/>
  <c r="B39" i="15"/>
  <c r="A39" i="15"/>
  <c r="Q39" i="15" s="1"/>
  <c r="P38" i="15"/>
  <c r="M38" i="15"/>
  <c r="L38" i="15"/>
  <c r="K38" i="15"/>
  <c r="J38" i="15"/>
  <c r="I38" i="15"/>
  <c r="R38" i="15" s="1"/>
  <c r="H38" i="15"/>
  <c r="G38" i="15"/>
  <c r="F38" i="15"/>
  <c r="E38" i="15"/>
  <c r="D38" i="15"/>
  <c r="C38" i="15"/>
  <c r="B38" i="15"/>
  <c r="A38" i="15"/>
  <c r="Q38" i="15" s="1"/>
  <c r="P37" i="15"/>
  <c r="M37" i="15"/>
  <c r="L37" i="15"/>
  <c r="K37" i="15"/>
  <c r="J37" i="15"/>
  <c r="I37" i="15"/>
  <c r="R37" i="15" s="1"/>
  <c r="H37" i="15"/>
  <c r="G37" i="15"/>
  <c r="F37" i="15"/>
  <c r="E37" i="15"/>
  <c r="D37" i="15"/>
  <c r="C37" i="15"/>
  <c r="B37" i="15"/>
  <c r="A37" i="15"/>
  <c r="Q37" i="15" s="1"/>
  <c r="P36" i="15"/>
  <c r="M36" i="15"/>
  <c r="L36" i="15"/>
  <c r="K36" i="15"/>
  <c r="J36" i="15"/>
  <c r="I36" i="15"/>
  <c r="R36" i="15" s="1"/>
  <c r="H36" i="15"/>
  <c r="G36" i="15"/>
  <c r="F36" i="15"/>
  <c r="E36" i="15"/>
  <c r="D36" i="15"/>
  <c r="C36" i="15"/>
  <c r="B36" i="15"/>
  <c r="A36" i="15"/>
  <c r="Q36" i="15" s="1"/>
  <c r="P35" i="15"/>
  <c r="M35" i="15"/>
  <c r="L35" i="15"/>
  <c r="K35" i="15"/>
  <c r="J35" i="15"/>
  <c r="I35" i="15"/>
  <c r="R35" i="15" s="1"/>
  <c r="H35" i="15"/>
  <c r="G35" i="15"/>
  <c r="F35" i="15"/>
  <c r="E35" i="15"/>
  <c r="D35" i="15"/>
  <c r="C35" i="15"/>
  <c r="B35" i="15"/>
  <c r="A35" i="15"/>
  <c r="Q35" i="15" s="1"/>
  <c r="P34" i="15"/>
  <c r="M34" i="15"/>
  <c r="L34" i="15"/>
  <c r="K34" i="15"/>
  <c r="J34" i="15"/>
  <c r="I34" i="15"/>
  <c r="R34" i="15" s="1"/>
  <c r="H34" i="15"/>
  <c r="G34" i="15"/>
  <c r="F34" i="15"/>
  <c r="E34" i="15"/>
  <c r="D34" i="15"/>
  <c r="C34" i="15"/>
  <c r="B34" i="15"/>
  <c r="A34" i="15"/>
  <c r="Q34" i="15" s="1"/>
  <c r="P33" i="15"/>
  <c r="M33" i="15"/>
  <c r="L33" i="15"/>
  <c r="K33" i="15"/>
  <c r="J33" i="15"/>
  <c r="I33" i="15"/>
  <c r="R33" i="15" s="1"/>
  <c r="H33" i="15"/>
  <c r="G33" i="15"/>
  <c r="F33" i="15"/>
  <c r="E33" i="15"/>
  <c r="D33" i="15"/>
  <c r="C33" i="15"/>
  <c r="B33" i="15"/>
  <c r="A33" i="15"/>
  <c r="Q33" i="15" s="1"/>
  <c r="P32" i="15"/>
  <c r="M32" i="15"/>
  <c r="L32" i="15"/>
  <c r="K32" i="15"/>
  <c r="J32" i="15"/>
  <c r="I32" i="15"/>
  <c r="R32" i="15" s="1"/>
  <c r="H32" i="15"/>
  <c r="G32" i="15"/>
  <c r="F32" i="15"/>
  <c r="E32" i="15"/>
  <c r="D32" i="15"/>
  <c r="C32" i="15"/>
  <c r="B32" i="15"/>
  <c r="A32" i="15"/>
  <c r="Q32" i="15" s="1"/>
  <c r="P31" i="15"/>
  <c r="M31" i="15"/>
  <c r="L31" i="15"/>
  <c r="K31" i="15"/>
  <c r="J31" i="15"/>
  <c r="I31" i="15"/>
  <c r="R31" i="15" s="1"/>
  <c r="H31" i="15"/>
  <c r="G31" i="15"/>
  <c r="F31" i="15"/>
  <c r="E31" i="15"/>
  <c r="D31" i="15"/>
  <c r="C31" i="15"/>
  <c r="B31" i="15"/>
  <c r="A31" i="15"/>
  <c r="Q31" i="15" s="1"/>
  <c r="P30" i="15"/>
  <c r="M30" i="15"/>
  <c r="L30" i="15"/>
  <c r="K30" i="15"/>
  <c r="J30" i="15"/>
  <c r="I30" i="15"/>
  <c r="R30" i="15" s="1"/>
  <c r="H30" i="15"/>
  <c r="G30" i="15"/>
  <c r="F30" i="15"/>
  <c r="E30" i="15"/>
  <c r="D30" i="15"/>
  <c r="C30" i="15"/>
  <c r="B30" i="15"/>
  <c r="A30" i="15"/>
  <c r="Q30" i="15" s="1"/>
  <c r="P29" i="15"/>
  <c r="M29" i="15"/>
  <c r="L29" i="15"/>
  <c r="K29" i="15"/>
  <c r="J29" i="15"/>
  <c r="I29" i="15"/>
  <c r="R29" i="15" s="1"/>
  <c r="H29" i="15"/>
  <c r="G29" i="15"/>
  <c r="F29" i="15"/>
  <c r="E29" i="15"/>
  <c r="D29" i="15"/>
  <c r="C29" i="15"/>
  <c r="B29" i="15"/>
  <c r="A29" i="15"/>
  <c r="Q29" i="15" s="1"/>
  <c r="P28" i="15"/>
  <c r="M28" i="15"/>
  <c r="L28" i="15"/>
  <c r="K28" i="15"/>
  <c r="J28" i="15"/>
  <c r="I28" i="15"/>
  <c r="R28" i="15" s="1"/>
  <c r="H28" i="15"/>
  <c r="G28" i="15"/>
  <c r="F28" i="15"/>
  <c r="E28" i="15"/>
  <c r="D28" i="15"/>
  <c r="C28" i="15"/>
  <c r="B28" i="15"/>
  <c r="A28" i="15"/>
  <c r="Q28" i="15" s="1"/>
  <c r="P27" i="15"/>
  <c r="M27" i="15"/>
  <c r="L27" i="15"/>
  <c r="K27" i="15"/>
  <c r="J27" i="15"/>
  <c r="I27" i="15"/>
  <c r="R27" i="15" s="1"/>
  <c r="H27" i="15"/>
  <c r="G27" i="15"/>
  <c r="F27" i="15"/>
  <c r="E27" i="15"/>
  <c r="D27" i="15"/>
  <c r="C27" i="15"/>
  <c r="B27" i="15"/>
  <c r="A27" i="15"/>
  <c r="Q27" i="15" s="1"/>
  <c r="P26" i="15"/>
  <c r="M26" i="15"/>
  <c r="L26" i="15"/>
  <c r="K26" i="15"/>
  <c r="J26" i="15"/>
  <c r="I26" i="15"/>
  <c r="R26" i="15" s="1"/>
  <c r="H26" i="15"/>
  <c r="G26" i="15"/>
  <c r="F26" i="15"/>
  <c r="E26" i="15"/>
  <c r="D26" i="15"/>
  <c r="C26" i="15"/>
  <c r="B26" i="15"/>
  <c r="A26" i="15"/>
  <c r="Q26" i="15" s="1"/>
  <c r="P25" i="15"/>
  <c r="M25" i="15"/>
  <c r="L25" i="15"/>
  <c r="K25" i="15"/>
  <c r="J25" i="15"/>
  <c r="I25" i="15"/>
  <c r="R25" i="15" s="1"/>
  <c r="H25" i="15"/>
  <c r="G25" i="15"/>
  <c r="F25" i="15"/>
  <c r="E25" i="15"/>
  <c r="D25" i="15"/>
  <c r="C25" i="15"/>
  <c r="B25" i="15"/>
  <c r="A25" i="15"/>
  <c r="Q25" i="15" s="1"/>
  <c r="P24" i="15"/>
  <c r="M24" i="15"/>
  <c r="L24" i="15"/>
  <c r="K24" i="15"/>
  <c r="J24" i="15"/>
  <c r="I24" i="15"/>
  <c r="R24" i="15" s="1"/>
  <c r="H24" i="15"/>
  <c r="G24" i="15"/>
  <c r="F24" i="15"/>
  <c r="E24" i="15"/>
  <c r="D24" i="15"/>
  <c r="C24" i="15"/>
  <c r="B24" i="15"/>
  <c r="A24" i="15"/>
  <c r="Q24" i="15" s="1"/>
  <c r="P23" i="15"/>
  <c r="M23" i="15"/>
  <c r="L23" i="15"/>
  <c r="K23" i="15"/>
  <c r="J23" i="15"/>
  <c r="I23" i="15"/>
  <c r="R23" i="15" s="1"/>
  <c r="H23" i="15"/>
  <c r="G23" i="15"/>
  <c r="F23" i="15"/>
  <c r="E23" i="15"/>
  <c r="D23" i="15"/>
  <c r="C23" i="15"/>
  <c r="B23" i="15"/>
  <c r="A23" i="15"/>
  <c r="Q23" i="15" s="1"/>
  <c r="P22" i="15"/>
  <c r="M22" i="15"/>
  <c r="L22" i="15"/>
  <c r="K22" i="15"/>
  <c r="J22" i="15"/>
  <c r="I22" i="15"/>
  <c r="R22" i="15" s="1"/>
  <c r="H22" i="15"/>
  <c r="G22" i="15"/>
  <c r="F22" i="15"/>
  <c r="E22" i="15"/>
  <c r="D22" i="15"/>
  <c r="C22" i="15"/>
  <c r="B22" i="15"/>
  <c r="A22" i="15"/>
  <c r="Q22" i="15" s="1"/>
  <c r="P21" i="15"/>
  <c r="M21" i="15"/>
  <c r="L21" i="15"/>
  <c r="K21" i="15"/>
  <c r="J21" i="15"/>
  <c r="I21" i="15"/>
  <c r="R21" i="15" s="1"/>
  <c r="H21" i="15"/>
  <c r="G21" i="15"/>
  <c r="F21" i="15"/>
  <c r="E21" i="15"/>
  <c r="D21" i="15"/>
  <c r="C21" i="15"/>
  <c r="B21" i="15"/>
  <c r="A21" i="15"/>
  <c r="Q21" i="15" s="1"/>
  <c r="P20" i="15"/>
  <c r="M20" i="15"/>
  <c r="L20" i="15"/>
  <c r="K20" i="15"/>
  <c r="J20" i="15"/>
  <c r="I20" i="15"/>
  <c r="R20" i="15" s="1"/>
  <c r="H20" i="15"/>
  <c r="G20" i="15"/>
  <c r="F20" i="15"/>
  <c r="E20" i="15"/>
  <c r="D20" i="15"/>
  <c r="C20" i="15"/>
  <c r="B20" i="15"/>
  <c r="A20" i="15"/>
  <c r="Q20" i="15" s="1"/>
  <c r="P19" i="15"/>
  <c r="M19" i="15"/>
  <c r="L19" i="15"/>
  <c r="K19" i="15"/>
  <c r="J19" i="15"/>
  <c r="I19" i="15"/>
  <c r="R19" i="15" s="1"/>
  <c r="H19" i="15"/>
  <c r="G19" i="15"/>
  <c r="F19" i="15"/>
  <c r="E19" i="15"/>
  <c r="D19" i="15"/>
  <c r="C19" i="15"/>
  <c r="B19" i="15"/>
  <c r="A19" i="15"/>
  <c r="Q19" i="15" s="1"/>
  <c r="P18" i="15"/>
  <c r="M18" i="15"/>
  <c r="L18" i="15"/>
  <c r="K18" i="15"/>
  <c r="J18" i="15"/>
  <c r="I18" i="15"/>
  <c r="R18" i="15" s="1"/>
  <c r="H18" i="15"/>
  <c r="G18" i="15"/>
  <c r="F18" i="15"/>
  <c r="E18" i="15"/>
  <c r="D18" i="15"/>
  <c r="C18" i="15"/>
  <c r="B18" i="15"/>
  <c r="A18" i="15"/>
  <c r="Q18" i="15" s="1"/>
  <c r="P17" i="15"/>
  <c r="M17" i="15"/>
  <c r="L17" i="15"/>
  <c r="K17" i="15"/>
  <c r="J17" i="15"/>
  <c r="I17" i="15"/>
  <c r="R17" i="15" s="1"/>
  <c r="H17" i="15"/>
  <c r="G17" i="15"/>
  <c r="F17" i="15"/>
  <c r="E17" i="15"/>
  <c r="D17" i="15"/>
  <c r="C17" i="15"/>
  <c r="B17" i="15"/>
  <c r="A17" i="15"/>
  <c r="Q17" i="15" s="1"/>
  <c r="P16" i="15"/>
  <c r="M16" i="15"/>
  <c r="L16" i="15"/>
  <c r="K16" i="15"/>
  <c r="J16" i="15"/>
  <c r="I16" i="15"/>
  <c r="R16" i="15" s="1"/>
  <c r="H16" i="15"/>
  <c r="G16" i="15"/>
  <c r="F16" i="15"/>
  <c r="E16" i="15"/>
  <c r="D16" i="15"/>
  <c r="C16" i="15"/>
  <c r="B16" i="15"/>
  <c r="A16" i="15"/>
  <c r="Q16" i="15" s="1"/>
  <c r="P15" i="15"/>
  <c r="M15" i="15"/>
  <c r="L15" i="15"/>
  <c r="K15" i="15"/>
  <c r="J15" i="15"/>
  <c r="I15" i="15"/>
  <c r="R15" i="15" s="1"/>
  <c r="H15" i="15"/>
  <c r="G15" i="15"/>
  <c r="F15" i="15"/>
  <c r="E15" i="15"/>
  <c r="D15" i="15"/>
  <c r="C15" i="15"/>
  <c r="B15" i="15"/>
  <c r="A15" i="15"/>
  <c r="Q15" i="15" s="1"/>
  <c r="P14" i="15"/>
  <c r="M14" i="15"/>
  <c r="L14" i="15"/>
  <c r="K14" i="15"/>
  <c r="J14" i="15"/>
  <c r="I14" i="15"/>
  <c r="R14" i="15" s="1"/>
  <c r="H14" i="15"/>
  <c r="G14" i="15"/>
  <c r="F14" i="15"/>
  <c r="E14" i="15"/>
  <c r="D14" i="15"/>
  <c r="C14" i="15"/>
  <c r="B14" i="15"/>
  <c r="A14" i="15"/>
  <c r="Q14" i="15" s="1"/>
  <c r="P13" i="15"/>
  <c r="M13" i="15"/>
  <c r="L13" i="15"/>
  <c r="K13" i="15"/>
  <c r="J13" i="15"/>
  <c r="I13" i="15"/>
  <c r="R13" i="15" s="1"/>
  <c r="H13" i="15"/>
  <c r="G13" i="15"/>
  <c r="F13" i="15"/>
  <c r="E13" i="15"/>
  <c r="D13" i="15"/>
  <c r="C13" i="15"/>
  <c r="B13" i="15"/>
  <c r="A13" i="15"/>
  <c r="Q13" i="15" s="1"/>
  <c r="P12" i="15"/>
  <c r="M12" i="15"/>
  <c r="L12" i="15"/>
  <c r="K12" i="15"/>
  <c r="J12" i="15"/>
  <c r="I12" i="15"/>
  <c r="R12" i="15" s="1"/>
  <c r="H12" i="15"/>
  <c r="G12" i="15"/>
  <c r="F12" i="15"/>
  <c r="E12" i="15"/>
  <c r="D12" i="15"/>
  <c r="C12" i="15"/>
  <c r="B12" i="15"/>
  <c r="A12" i="15"/>
  <c r="Q12" i="15" s="1"/>
  <c r="P11" i="15"/>
  <c r="M11" i="15"/>
  <c r="L11" i="15"/>
  <c r="K11" i="15"/>
  <c r="J11" i="15"/>
  <c r="I11" i="15"/>
  <c r="R11" i="15" s="1"/>
  <c r="H11" i="15"/>
  <c r="G11" i="15"/>
  <c r="F11" i="15"/>
  <c r="E11" i="15"/>
  <c r="D11" i="15"/>
  <c r="C11" i="15"/>
  <c r="B11" i="15"/>
  <c r="A11" i="15"/>
  <c r="Q11" i="15" s="1"/>
  <c r="P10" i="15"/>
  <c r="M10" i="15"/>
  <c r="L10" i="15"/>
  <c r="K10" i="15"/>
  <c r="J10" i="15"/>
  <c r="I10" i="15"/>
  <c r="R10" i="15" s="1"/>
  <c r="H10" i="15"/>
  <c r="G10" i="15"/>
  <c r="F10" i="15"/>
  <c r="E10" i="15"/>
  <c r="D10" i="15"/>
  <c r="C10" i="15"/>
  <c r="B10" i="15"/>
  <c r="A10" i="15"/>
  <c r="Q10" i="15" s="1"/>
  <c r="P9" i="15"/>
  <c r="M9" i="15"/>
  <c r="L9" i="15"/>
  <c r="K9" i="15"/>
  <c r="J9" i="15"/>
  <c r="I9" i="15"/>
  <c r="R9" i="15" s="1"/>
  <c r="H9" i="15"/>
  <c r="G9" i="15"/>
  <c r="F9" i="15"/>
  <c r="E9" i="15"/>
  <c r="D9" i="15"/>
  <c r="C9" i="15"/>
  <c r="B9" i="15"/>
  <c r="A9" i="15"/>
  <c r="Q9" i="15" s="1"/>
  <c r="P8" i="15"/>
  <c r="M8" i="15"/>
  <c r="L8" i="15"/>
  <c r="K8" i="15"/>
  <c r="J8" i="15"/>
  <c r="I8" i="15"/>
  <c r="R8" i="15" s="1"/>
  <c r="H8" i="15"/>
  <c r="G8" i="15"/>
  <c r="F8" i="15"/>
  <c r="E8" i="15"/>
  <c r="D8" i="15"/>
  <c r="C8" i="15"/>
  <c r="B8" i="15"/>
  <c r="A8" i="15"/>
  <c r="Q8" i="15" s="1"/>
  <c r="P7" i="15"/>
  <c r="M7" i="15"/>
  <c r="L7" i="15"/>
  <c r="K7" i="15"/>
  <c r="J7" i="15"/>
  <c r="I7" i="15"/>
  <c r="R7" i="15" s="1"/>
  <c r="H7" i="15"/>
  <c r="G7" i="15"/>
  <c r="F7" i="15"/>
  <c r="E7" i="15"/>
  <c r="D7" i="15"/>
  <c r="C7" i="15"/>
  <c r="B7" i="15"/>
  <c r="A7" i="15"/>
  <c r="Q7" i="15" s="1"/>
  <c r="P6" i="15"/>
  <c r="M6" i="15"/>
  <c r="L6" i="15"/>
  <c r="K6" i="15"/>
  <c r="J6" i="15"/>
  <c r="I6" i="15"/>
  <c r="R6" i="15" s="1"/>
  <c r="H6" i="15"/>
  <c r="G6" i="15"/>
  <c r="F6" i="15"/>
  <c r="E6" i="15"/>
  <c r="D6" i="15"/>
  <c r="C6" i="15"/>
  <c r="B6" i="15"/>
  <c r="A6" i="15"/>
  <c r="Q6" i="15" s="1"/>
  <c r="P5" i="15"/>
  <c r="M5" i="15"/>
  <c r="L5" i="15"/>
  <c r="K5" i="15"/>
  <c r="J5" i="15"/>
  <c r="I5" i="15"/>
  <c r="R5" i="15" s="1"/>
  <c r="H5" i="15"/>
  <c r="G5" i="15"/>
  <c r="F5" i="15"/>
  <c r="E5" i="15"/>
  <c r="D5" i="15"/>
  <c r="C5" i="15"/>
  <c r="B5" i="15"/>
  <c r="A5" i="15"/>
  <c r="Q5" i="15" s="1"/>
  <c r="P4" i="15"/>
  <c r="M4" i="15"/>
  <c r="L4" i="15"/>
  <c r="K4" i="15"/>
  <c r="J4" i="15"/>
  <c r="I4" i="15"/>
  <c r="R4" i="15" s="1"/>
  <c r="H4" i="15"/>
  <c r="G4" i="15"/>
  <c r="F4" i="15"/>
  <c r="E4" i="15"/>
  <c r="D4" i="15"/>
  <c r="C4" i="15"/>
  <c r="B4" i="15"/>
  <c r="A4" i="15"/>
  <c r="Q4" i="15" s="1"/>
  <c r="P3" i="15"/>
  <c r="M3" i="15"/>
  <c r="L3" i="15"/>
  <c r="K3" i="15"/>
  <c r="J3" i="15"/>
  <c r="I3" i="15"/>
  <c r="R3" i="15" s="1"/>
  <c r="H3" i="15"/>
  <c r="G3" i="15"/>
  <c r="F3" i="15"/>
  <c r="E3" i="15"/>
  <c r="D3" i="15"/>
  <c r="C3" i="15"/>
  <c r="B3" i="15"/>
  <c r="A3" i="15"/>
  <c r="Q3" i="15" s="1"/>
  <c r="P2" i="15"/>
  <c r="M2" i="15"/>
  <c r="L2" i="15"/>
  <c r="K2" i="15"/>
  <c r="J2" i="15"/>
  <c r="I2" i="15"/>
  <c r="R2" i="15" s="1"/>
  <c r="H2" i="15"/>
  <c r="G2" i="15"/>
  <c r="F2" i="15"/>
  <c r="E2" i="15"/>
  <c r="D2" i="15"/>
  <c r="C2" i="15"/>
  <c r="B2" i="15"/>
  <c r="A2" i="15"/>
  <c r="Q2" i="15" s="1"/>
  <c r="AA503" i="14"/>
  <c r="Z503" i="14"/>
  <c r="Y503" i="14"/>
  <c r="W503" i="14"/>
  <c r="V503" i="14"/>
  <c r="U503" i="14"/>
  <c r="T503" i="14"/>
  <c r="S503" i="14"/>
  <c r="R503" i="14"/>
  <c r="P503" i="14"/>
  <c r="O503" i="14"/>
  <c r="N503" i="14"/>
  <c r="L503" i="14"/>
  <c r="K503" i="14"/>
  <c r="J503" i="14"/>
  <c r="I503" i="14"/>
  <c r="H503" i="14"/>
  <c r="G503" i="14"/>
  <c r="F503" i="14"/>
  <c r="E503" i="14"/>
  <c r="D503" i="14"/>
  <c r="C503" i="14"/>
  <c r="AA502" i="14"/>
  <c r="Z502" i="14"/>
  <c r="Y502" i="14"/>
  <c r="W502" i="14"/>
  <c r="V502" i="14"/>
  <c r="U502" i="14"/>
  <c r="T502" i="14"/>
  <c r="S502" i="14"/>
  <c r="R502" i="14"/>
  <c r="P502" i="14"/>
  <c r="O502" i="14"/>
  <c r="N502" i="14"/>
  <c r="L502" i="14"/>
  <c r="K502" i="14"/>
  <c r="J502" i="14"/>
  <c r="I502" i="14"/>
  <c r="H502" i="14"/>
  <c r="G502" i="14"/>
  <c r="F502" i="14"/>
  <c r="E502" i="14"/>
  <c r="D502" i="14"/>
  <c r="C502" i="14"/>
  <c r="AA501" i="14"/>
  <c r="Z501" i="14"/>
  <c r="Y501" i="14"/>
  <c r="W501" i="14"/>
  <c r="V501" i="14"/>
  <c r="U501" i="14"/>
  <c r="T501" i="14"/>
  <c r="S501" i="14"/>
  <c r="R501" i="14"/>
  <c r="P501" i="14"/>
  <c r="O501" i="14"/>
  <c r="N501" i="14"/>
  <c r="L501" i="14"/>
  <c r="K501" i="14"/>
  <c r="J501" i="14"/>
  <c r="I501" i="14"/>
  <c r="H501" i="14"/>
  <c r="G501" i="14"/>
  <c r="F501" i="14"/>
  <c r="E501" i="14"/>
  <c r="D501" i="14"/>
  <c r="C501" i="14"/>
  <c r="AA500" i="14"/>
  <c r="Z500" i="14"/>
  <c r="Y500" i="14"/>
  <c r="W500" i="14"/>
  <c r="V500" i="14"/>
  <c r="U500" i="14"/>
  <c r="T500" i="14"/>
  <c r="S500" i="14"/>
  <c r="R500" i="14"/>
  <c r="P500" i="14"/>
  <c r="O500" i="14"/>
  <c r="N500" i="14"/>
  <c r="L500" i="14"/>
  <c r="K500" i="14"/>
  <c r="J500" i="14"/>
  <c r="I500" i="14"/>
  <c r="H500" i="14"/>
  <c r="G500" i="14"/>
  <c r="F500" i="14"/>
  <c r="E500" i="14"/>
  <c r="D500" i="14"/>
  <c r="C500" i="14"/>
  <c r="AA499" i="14"/>
  <c r="Z499" i="14"/>
  <c r="Y499" i="14"/>
  <c r="W499" i="14"/>
  <c r="V499" i="14"/>
  <c r="U499" i="14"/>
  <c r="T499" i="14"/>
  <c r="S499" i="14"/>
  <c r="R499" i="14"/>
  <c r="P499" i="14"/>
  <c r="O499" i="14"/>
  <c r="N499" i="14"/>
  <c r="L499" i="14"/>
  <c r="K499" i="14"/>
  <c r="J499" i="14"/>
  <c r="I499" i="14"/>
  <c r="H499" i="14"/>
  <c r="G499" i="14"/>
  <c r="F499" i="14"/>
  <c r="E499" i="14"/>
  <c r="D499" i="14"/>
  <c r="C499" i="14"/>
  <c r="AA498" i="14"/>
  <c r="Z498" i="14"/>
  <c r="Y498" i="14"/>
  <c r="W498" i="14"/>
  <c r="V498" i="14"/>
  <c r="U498" i="14"/>
  <c r="T498" i="14"/>
  <c r="S498" i="14"/>
  <c r="R498" i="14"/>
  <c r="P498" i="14"/>
  <c r="O498" i="14"/>
  <c r="N498" i="14"/>
  <c r="L498" i="14"/>
  <c r="K498" i="14"/>
  <c r="J498" i="14"/>
  <c r="I498" i="14"/>
  <c r="H498" i="14"/>
  <c r="G498" i="14"/>
  <c r="F498" i="14"/>
  <c r="E498" i="14"/>
  <c r="D498" i="14"/>
  <c r="C498" i="14"/>
  <c r="AA497" i="14"/>
  <c r="Z497" i="14"/>
  <c r="Y497" i="14"/>
  <c r="W497" i="14"/>
  <c r="V497" i="14"/>
  <c r="U497" i="14"/>
  <c r="T497" i="14"/>
  <c r="S497" i="14"/>
  <c r="R497" i="14"/>
  <c r="P497" i="14"/>
  <c r="O497" i="14"/>
  <c r="N497" i="14"/>
  <c r="L497" i="14"/>
  <c r="K497" i="14"/>
  <c r="J497" i="14"/>
  <c r="I497" i="14"/>
  <c r="H497" i="14"/>
  <c r="G497" i="14"/>
  <c r="F497" i="14"/>
  <c r="E497" i="14"/>
  <c r="D497" i="14"/>
  <c r="C497" i="14"/>
  <c r="AA496" i="14"/>
  <c r="Z496" i="14"/>
  <c r="Y496" i="14"/>
  <c r="W496" i="14"/>
  <c r="V496" i="14"/>
  <c r="U496" i="14"/>
  <c r="T496" i="14"/>
  <c r="S496" i="14"/>
  <c r="R496" i="14"/>
  <c r="P496" i="14"/>
  <c r="O496" i="14"/>
  <c r="N496" i="14"/>
  <c r="L496" i="14"/>
  <c r="K496" i="14"/>
  <c r="J496" i="14"/>
  <c r="I496" i="14"/>
  <c r="H496" i="14"/>
  <c r="G496" i="14"/>
  <c r="F496" i="14"/>
  <c r="E496" i="14"/>
  <c r="D496" i="14"/>
  <c r="C496" i="14"/>
  <c r="AA495" i="14"/>
  <c r="Z495" i="14"/>
  <c r="Y495" i="14"/>
  <c r="W495" i="14"/>
  <c r="V495" i="14"/>
  <c r="U495" i="14"/>
  <c r="T495" i="14"/>
  <c r="S495" i="14"/>
  <c r="R495" i="14"/>
  <c r="P495" i="14"/>
  <c r="O495" i="14"/>
  <c r="N495" i="14"/>
  <c r="L495" i="14"/>
  <c r="K495" i="14"/>
  <c r="J495" i="14"/>
  <c r="I495" i="14"/>
  <c r="H495" i="14"/>
  <c r="G495" i="14"/>
  <c r="F495" i="14"/>
  <c r="E495" i="14"/>
  <c r="D495" i="14"/>
  <c r="C495" i="14"/>
  <c r="AA494" i="14"/>
  <c r="Z494" i="14"/>
  <c r="Y494" i="14"/>
  <c r="W494" i="14"/>
  <c r="V494" i="14"/>
  <c r="U494" i="14"/>
  <c r="T494" i="14"/>
  <c r="S494" i="14"/>
  <c r="R494" i="14"/>
  <c r="P494" i="14"/>
  <c r="O494" i="14"/>
  <c r="N494" i="14"/>
  <c r="L494" i="14"/>
  <c r="K494" i="14"/>
  <c r="J494" i="14"/>
  <c r="I494" i="14"/>
  <c r="H494" i="14"/>
  <c r="G494" i="14"/>
  <c r="F494" i="14"/>
  <c r="E494" i="14"/>
  <c r="D494" i="14"/>
  <c r="C494" i="14"/>
  <c r="AA493" i="14"/>
  <c r="Z493" i="14"/>
  <c r="Y493" i="14"/>
  <c r="W493" i="14"/>
  <c r="V493" i="14"/>
  <c r="U493" i="14"/>
  <c r="T493" i="14"/>
  <c r="S493" i="14"/>
  <c r="R493" i="14"/>
  <c r="P493" i="14"/>
  <c r="O493" i="14"/>
  <c r="N493" i="14"/>
  <c r="L493" i="14"/>
  <c r="K493" i="14"/>
  <c r="J493" i="14"/>
  <c r="I493" i="14"/>
  <c r="H493" i="14"/>
  <c r="G493" i="14"/>
  <c r="F493" i="14"/>
  <c r="E493" i="14"/>
  <c r="D493" i="14"/>
  <c r="C493" i="14"/>
  <c r="AA492" i="14"/>
  <c r="Z492" i="14"/>
  <c r="Y492" i="14"/>
  <c r="W492" i="14"/>
  <c r="V492" i="14"/>
  <c r="U492" i="14"/>
  <c r="T492" i="14"/>
  <c r="S492" i="14"/>
  <c r="R492" i="14"/>
  <c r="P492" i="14"/>
  <c r="O492" i="14"/>
  <c r="N492" i="14"/>
  <c r="L492" i="14"/>
  <c r="K492" i="14"/>
  <c r="J492" i="14"/>
  <c r="I492" i="14"/>
  <c r="H492" i="14"/>
  <c r="G492" i="14"/>
  <c r="F492" i="14"/>
  <c r="E492" i="14"/>
  <c r="D492" i="14"/>
  <c r="C492" i="14"/>
  <c r="AA491" i="14"/>
  <c r="Z491" i="14"/>
  <c r="Y491" i="14"/>
  <c r="W491" i="14"/>
  <c r="V491" i="14"/>
  <c r="U491" i="14"/>
  <c r="T491" i="14"/>
  <c r="S491" i="14"/>
  <c r="R491" i="14"/>
  <c r="P491" i="14"/>
  <c r="O491" i="14"/>
  <c r="N491" i="14"/>
  <c r="L491" i="14"/>
  <c r="K491" i="14"/>
  <c r="J491" i="14"/>
  <c r="I491" i="14"/>
  <c r="H491" i="14"/>
  <c r="G491" i="14"/>
  <c r="F491" i="14"/>
  <c r="E491" i="14"/>
  <c r="D491" i="14"/>
  <c r="C491" i="14"/>
  <c r="AA490" i="14"/>
  <c r="Z490" i="14"/>
  <c r="Y490" i="14"/>
  <c r="W490" i="14"/>
  <c r="V490" i="14"/>
  <c r="U490" i="14"/>
  <c r="T490" i="14"/>
  <c r="S490" i="14"/>
  <c r="R490" i="14"/>
  <c r="P490" i="14"/>
  <c r="O490" i="14"/>
  <c r="N490" i="14"/>
  <c r="L490" i="14"/>
  <c r="K490" i="14"/>
  <c r="J490" i="14"/>
  <c r="I490" i="14"/>
  <c r="H490" i="14"/>
  <c r="G490" i="14"/>
  <c r="F490" i="14"/>
  <c r="E490" i="14"/>
  <c r="D490" i="14"/>
  <c r="C490" i="14"/>
  <c r="AA489" i="14"/>
  <c r="Z489" i="14"/>
  <c r="Y489" i="14"/>
  <c r="W489" i="14"/>
  <c r="V489" i="14"/>
  <c r="U489" i="14"/>
  <c r="T489" i="14"/>
  <c r="S489" i="14"/>
  <c r="R489" i="14"/>
  <c r="P489" i="14"/>
  <c r="O489" i="14"/>
  <c r="N489" i="14"/>
  <c r="L489" i="14"/>
  <c r="K489" i="14"/>
  <c r="J489" i="14"/>
  <c r="I489" i="14"/>
  <c r="H489" i="14"/>
  <c r="G489" i="14"/>
  <c r="F489" i="14"/>
  <c r="E489" i="14"/>
  <c r="D489" i="14"/>
  <c r="C489" i="14"/>
  <c r="AA488" i="14"/>
  <c r="Z488" i="14"/>
  <c r="Y488" i="14"/>
  <c r="W488" i="14"/>
  <c r="V488" i="14"/>
  <c r="U488" i="14"/>
  <c r="T488" i="14"/>
  <c r="S488" i="14"/>
  <c r="R488" i="14"/>
  <c r="P488" i="14"/>
  <c r="O488" i="14"/>
  <c r="N488" i="14"/>
  <c r="L488" i="14"/>
  <c r="K488" i="14"/>
  <c r="J488" i="14"/>
  <c r="I488" i="14"/>
  <c r="H488" i="14"/>
  <c r="G488" i="14"/>
  <c r="F488" i="14"/>
  <c r="E488" i="14"/>
  <c r="D488" i="14"/>
  <c r="C488" i="14"/>
  <c r="AA487" i="14"/>
  <c r="Z487" i="14"/>
  <c r="Y487" i="14"/>
  <c r="W487" i="14"/>
  <c r="V487" i="14"/>
  <c r="U487" i="14"/>
  <c r="T487" i="14"/>
  <c r="S487" i="14"/>
  <c r="R487" i="14"/>
  <c r="P487" i="14"/>
  <c r="O487" i="14"/>
  <c r="N487" i="14"/>
  <c r="L487" i="14"/>
  <c r="K487" i="14"/>
  <c r="J487" i="14"/>
  <c r="I487" i="14"/>
  <c r="H487" i="14"/>
  <c r="G487" i="14"/>
  <c r="F487" i="14"/>
  <c r="E487" i="14"/>
  <c r="D487" i="14"/>
  <c r="C487" i="14"/>
  <c r="AA486" i="14"/>
  <c r="Z486" i="14"/>
  <c r="Y486" i="14"/>
  <c r="W486" i="14"/>
  <c r="V486" i="14"/>
  <c r="U486" i="14"/>
  <c r="T486" i="14"/>
  <c r="S486" i="14"/>
  <c r="R486" i="14"/>
  <c r="P486" i="14"/>
  <c r="O486" i="14"/>
  <c r="N486" i="14"/>
  <c r="L486" i="14"/>
  <c r="K486" i="14"/>
  <c r="J486" i="14"/>
  <c r="I486" i="14"/>
  <c r="H486" i="14"/>
  <c r="G486" i="14"/>
  <c r="F486" i="14"/>
  <c r="E486" i="14"/>
  <c r="D486" i="14"/>
  <c r="C486" i="14"/>
  <c r="AA485" i="14"/>
  <c r="Z485" i="14"/>
  <c r="Y485" i="14"/>
  <c r="W485" i="14"/>
  <c r="V485" i="14"/>
  <c r="U485" i="14"/>
  <c r="T485" i="14"/>
  <c r="S485" i="14"/>
  <c r="R485" i="14"/>
  <c r="P485" i="14"/>
  <c r="O485" i="14"/>
  <c r="N485" i="14"/>
  <c r="L485" i="14"/>
  <c r="K485" i="14"/>
  <c r="J485" i="14"/>
  <c r="I485" i="14"/>
  <c r="H485" i="14"/>
  <c r="G485" i="14"/>
  <c r="F485" i="14"/>
  <c r="E485" i="14"/>
  <c r="D485" i="14"/>
  <c r="C485" i="14"/>
  <c r="AA484" i="14"/>
  <c r="Z484" i="14"/>
  <c r="Y484" i="14"/>
  <c r="W484" i="14"/>
  <c r="V484" i="14"/>
  <c r="U484" i="14"/>
  <c r="T484" i="14"/>
  <c r="S484" i="14"/>
  <c r="R484" i="14"/>
  <c r="P484" i="14"/>
  <c r="O484" i="14"/>
  <c r="N484" i="14"/>
  <c r="L484" i="14"/>
  <c r="K484" i="14"/>
  <c r="J484" i="14"/>
  <c r="I484" i="14"/>
  <c r="H484" i="14"/>
  <c r="G484" i="14"/>
  <c r="F484" i="14"/>
  <c r="E484" i="14"/>
  <c r="D484" i="14"/>
  <c r="C484" i="14"/>
  <c r="AA483" i="14"/>
  <c r="Z483" i="14"/>
  <c r="Y483" i="14"/>
  <c r="W483" i="14"/>
  <c r="V483" i="14"/>
  <c r="U483" i="14"/>
  <c r="T483" i="14"/>
  <c r="S483" i="14"/>
  <c r="R483" i="14"/>
  <c r="P483" i="14"/>
  <c r="O483" i="14"/>
  <c r="N483" i="14"/>
  <c r="L483" i="14"/>
  <c r="K483" i="14"/>
  <c r="J483" i="14"/>
  <c r="I483" i="14"/>
  <c r="H483" i="14"/>
  <c r="G483" i="14"/>
  <c r="F483" i="14"/>
  <c r="E483" i="14"/>
  <c r="D483" i="14"/>
  <c r="C483" i="14"/>
  <c r="AA482" i="14"/>
  <c r="Z482" i="14"/>
  <c r="Y482" i="14"/>
  <c r="W482" i="14"/>
  <c r="V482" i="14"/>
  <c r="U482" i="14"/>
  <c r="T482" i="14"/>
  <c r="S482" i="14"/>
  <c r="R482" i="14"/>
  <c r="P482" i="14"/>
  <c r="O482" i="14"/>
  <c r="N482" i="14"/>
  <c r="L482" i="14"/>
  <c r="K482" i="14"/>
  <c r="J482" i="14"/>
  <c r="I482" i="14"/>
  <c r="H482" i="14"/>
  <c r="G482" i="14"/>
  <c r="F482" i="14"/>
  <c r="E482" i="14"/>
  <c r="D482" i="14"/>
  <c r="C482" i="14"/>
  <c r="AA481" i="14"/>
  <c r="Z481" i="14"/>
  <c r="Y481" i="14"/>
  <c r="W481" i="14"/>
  <c r="V481" i="14"/>
  <c r="U481" i="14"/>
  <c r="T481" i="14"/>
  <c r="S481" i="14"/>
  <c r="R481" i="14"/>
  <c r="P481" i="14"/>
  <c r="O481" i="14"/>
  <c r="N481" i="14"/>
  <c r="L481" i="14"/>
  <c r="K481" i="14"/>
  <c r="J481" i="14"/>
  <c r="I481" i="14"/>
  <c r="H481" i="14"/>
  <c r="G481" i="14"/>
  <c r="F481" i="14"/>
  <c r="E481" i="14"/>
  <c r="D481" i="14"/>
  <c r="C481" i="14"/>
  <c r="AA480" i="14"/>
  <c r="Z480" i="14"/>
  <c r="Y480" i="14"/>
  <c r="W480" i="14"/>
  <c r="V480" i="14"/>
  <c r="U480" i="14"/>
  <c r="T480" i="14"/>
  <c r="S480" i="14"/>
  <c r="R480" i="14"/>
  <c r="P480" i="14"/>
  <c r="O480" i="14"/>
  <c r="N480" i="14"/>
  <c r="L480" i="14"/>
  <c r="K480" i="14"/>
  <c r="J480" i="14"/>
  <c r="I480" i="14"/>
  <c r="H480" i="14"/>
  <c r="G480" i="14"/>
  <c r="F480" i="14"/>
  <c r="E480" i="14"/>
  <c r="D480" i="14"/>
  <c r="C480" i="14"/>
  <c r="AA479" i="14"/>
  <c r="Z479" i="14"/>
  <c r="Y479" i="14"/>
  <c r="W479" i="14"/>
  <c r="V479" i="14"/>
  <c r="U479" i="14"/>
  <c r="T479" i="14"/>
  <c r="S479" i="14"/>
  <c r="R479" i="14"/>
  <c r="P479" i="14"/>
  <c r="O479" i="14"/>
  <c r="N479" i="14"/>
  <c r="L479" i="14"/>
  <c r="K479" i="14"/>
  <c r="J479" i="14"/>
  <c r="I479" i="14"/>
  <c r="H479" i="14"/>
  <c r="G479" i="14"/>
  <c r="F479" i="14"/>
  <c r="E479" i="14"/>
  <c r="D479" i="14"/>
  <c r="C479" i="14"/>
  <c r="AA478" i="14"/>
  <c r="Z478" i="14"/>
  <c r="Y478" i="14"/>
  <c r="W478" i="14"/>
  <c r="V478" i="14"/>
  <c r="U478" i="14"/>
  <c r="T478" i="14"/>
  <c r="S478" i="14"/>
  <c r="R478" i="14"/>
  <c r="P478" i="14"/>
  <c r="O478" i="14"/>
  <c r="N478" i="14"/>
  <c r="L478" i="14"/>
  <c r="K478" i="14"/>
  <c r="J478" i="14"/>
  <c r="I478" i="14"/>
  <c r="H478" i="14"/>
  <c r="G478" i="14"/>
  <c r="F478" i="14"/>
  <c r="E478" i="14"/>
  <c r="D478" i="14"/>
  <c r="C478" i="14"/>
  <c r="AA477" i="14"/>
  <c r="Z477" i="14"/>
  <c r="Y477" i="14"/>
  <c r="W477" i="14"/>
  <c r="V477" i="14"/>
  <c r="U477" i="14"/>
  <c r="T477" i="14"/>
  <c r="S477" i="14"/>
  <c r="R477" i="14"/>
  <c r="P477" i="14"/>
  <c r="O477" i="14"/>
  <c r="N477" i="14"/>
  <c r="L477" i="14"/>
  <c r="K477" i="14"/>
  <c r="J477" i="14"/>
  <c r="I477" i="14"/>
  <c r="H477" i="14"/>
  <c r="G477" i="14"/>
  <c r="F477" i="14"/>
  <c r="E477" i="14"/>
  <c r="D477" i="14"/>
  <c r="C477" i="14"/>
  <c r="AA476" i="14"/>
  <c r="Z476" i="14"/>
  <c r="Y476" i="14"/>
  <c r="W476" i="14"/>
  <c r="V476" i="14"/>
  <c r="U476" i="14"/>
  <c r="T476" i="14"/>
  <c r="S476" i="14"/>
  <c r="R476" i="14"/>
  <c r="P476" i="14"/>
  <c r="O476" i="14"/>
  <c r="N476" i="14"/>
  <c r="L476" i="14"/>
  <c r="K476" i="14"/>
  <c r="J476" i="14"/>
  <c r="I476" i="14"/>
  <c r="H476" i="14"/>
  <c r="G476" i="14"/>
  <c r="F476" i="14"/>
  <c r="E476" i="14"/>
  <c r="D476" i="14"/>
  <c r="C476" i="14"/>
  <c r="AA475" i="14"/>
  <c r="Z475" i="14"/>
  <c r="Y475" i="14"/>
  <c r="W475" i="14"/>
  <c r="V475" i="14"/>
  <c r="U475" i="14"/>
  <c r="T475" i="14"/>
  <c r="S475" i="14"/>
  <c r="R475" i="14"/>
  <c r="P475" i="14"/>
  <c r="O475" i="14"/>
  <c r="N475" i="14"/>
  <c r="L475" i="14"/>
  <c r="K475" i="14"/>
  <c r="J475" i="14"/>
  <c r="I475" i="14"/>
  <c r="H475" i="14"/>
  <c r="G475" i="14"/>
  <c r="F475" i="14"/>
  <c r="E475" i="14"/>
  <c r="D475" i="14"/>
  <c r="C475" i="14"/>
  <c r="AA474" i="14"/>
  <c r="Z474" i="14"/>
  <c r="Y474" i="14"/>
  <c r="W474" i="14"/>
  <c r="V474" i="14"/>
  <c r="U474" i="14"/>
  <c r="T474" i="14"/>
  <c r="S474" i="14"/>
  <c r="R474" i="14"/>
  <c r="P474" i="14"/>
  <c r="O474" i="14"/>
  <c r="N474" i="14"/>
  <c r="L474" i="14"/>
  <c r="K474" i="14"/>
  <c r="J474" i="14"/>
  <c r="I474" i="14"/>
  <c r="H474" i="14"/>
  <c r="G474" i="14"/>
  <c r="F474" i="14"/>
  <c r="E474" i="14"/>
  <c r="D474" i="14"/>
  <c r="C474" i="14"/>
  <c r="AA473" i="14"/>
  <c r="Z473" i="14"/>
  <c r="Y473" i="14"/>
  <c r="W473" i="14"/>
  <c r="V473" i="14"/>
  <c r="U473" i="14"/>
  <c r="T473" i="14"/>
  <c r="S473" i="14"/>
  <c r="R473" i="14"/>
  <c r="P473" i="14"/>
  <c r="O473" i="14"/>
  <c r="N473" i="14"/>
  <c r="L473" i="14"/>
  <c r="K473" i="14"/>
  <c r="J473" i="14"/>
  <c r="I473" i="14"/>
  <c r="H473" i="14"/>
  <c r="G473" i="14"/>
  <c r="F473" i="14"/>
  <c r="E473" i="14"/>
  <c r="D473" i="14"/>
  <c r="C473" i="14"/>
  <c r="AA472" i="14"/>
  <c r="Z472" i="14"/>
  <c r="Y472" i="14"/>
  <c r="W472" i="14"/>
  <c r="V472" i="14"/>
  <c r="U472" i="14"/>
  <c r="T472" i="14"/>
  <c r="S472" i="14"/>
  <c r="R472" i="14"/>
  <c r="P472" i="14"/>
  <c r="O472" i="14"/>
  <c r="N472" i="14"/>
  <c r="L472" i="14"/>
  <c r="K472" i="14"/>
  <c r="J472" i="14"/>
  <c r="I472" i="14"/>
  <c r="H472" i="14"/>
  <c r="G472" i="14"/>
  <c r="F472" i="14"/>
  <c r="E472" i="14"/>
  <c r="D472" i="14"/>
  <c r="C472" i="14"/>
  <c r="AA471" i="14"/>
  <c r="Z471" i="14"/>
  <c r="Y471" i="14"/>
  <c r="W471" i="14"/>
  <c r="V471" i="14"/>
  <c r="U471" i="14"/>
  <c r="T471" i="14"/>
  <c r="S471" i="14"/>
  <c r="R471" i="14"/>
  <c r="P471" i="14"/>
  <c r="O471" i="14"/>
  <c r="N471" i="14"/>
  <c r="L471" i="14"/>
  <c r="K471" i="14"/>
  <c r="J471" i="14"/>
  <c r="I471" i="14"/>
  <c r="H471" i="14"/>
  <c r="G471" i="14"/>
  <c r="F471" i="14"/>
  <c r="E471" i="14"/>
  <c r="D471" i="14"/>
  <c r="C471" i="14"/>
  <c r="AA470" i="14"/>
  <c r="Z470" i="14"/>
  <c r="Y470" i="14"/>
  <c r="W470" i="14"/>
  <c r="V470" i="14"/>
  <c r="U470" i="14"/>
  <c r="T470" i="14"/>
  <c r="S470" i="14"/>
  <c r="R470" i="14"/>
  <c r="P470" i="14"/>
  <c r="O470" i="14"/>
  <c r="N470" i="14"/>
  <c r="L470" i="14"/>
  <c r="K470" i="14"/>
  <c r="J470" i="14"/>
  <c r="I470" i="14"/>
  <c r="H470" i="14"/>
  <c r="G470" i="14"/>
  <c r="F470" i="14"/>
  <c r="E470" i="14"/>
  <c r="D470" i="14"/>
  <c r="C470" i="14"/>
  <c r="AA469" i="14"/>
  <c r="Z469" i="14"/>
  <c r="Y469" i="14"/>
  <c r="W469" i="14"/>
  <c r="V469" i="14"/>
  <c r="U469" i="14"/>
  <c r="T469" i="14"/>
  <c r="S469" i="14"/>
  <c r="R469" i="14"/>
  <c r="P469" i="14"/>
  <c r="O469" i="14"/>
  <c r="N469" i="14"/>
  <c r="L469" i="14"/>
  <c r="K469" i="14"/>
  <c r="J469" i="14"/>
  <c r="I469" i="14"/>
  <c r="H469" i="14"/>
  <c r="G469" i="14"/>
  <c r="F469" i="14"/>
  <c r="E469" i="14"/>
  <c r="D469" i="14"/>
  <c r="C469" i="14"/>
  <c r="AA468" i="14"/>
  <c r="Z468" i="14"/>
  <c r="Y468" i="14"/>
  <c r="W468" i="14"/>
  <c r="V468" i="14"/>
  <c r="U468" i="14"/>
  <c r="T468" i="14"/>
  <c r="S468" i="14"/>
  <c r="R468" i="14"/>
  <c r="P468" i="14"/>
  <c r="O468" i="14"/>
  <c r="N468" i="14"/>
  <c r="L468" i="14"/>
  <c r="K468" i="14"/>
  <c r="J468" i="14"/>
  <c r="I468" i="14"/>
  <c r="H468" i="14"/>
  <c r="G468" i="14"/>
  <c r="F468" i="14"/>
  <c r="E468" i="14"/>
  <c r="D468" i="14"/>
  <c r="C468" i="14"/>
  <c r="AA467" i="14"/>
  <c r="Z467" i="14"/>
  <c r="Y467" i="14"/>
  <c r="W467" i="14"/>
  <c r="V467" i="14"/>
  <c r="U467" i="14"/>
  <c r="T467" i="14"/>
  <c r="S467" i="14"/>
  <c r="R467" i="14"/>
  <c r="P467" i="14"/>
  <c r="O467" i="14"/>
  <c r="N467" i="14"/>
  <c r="L467" i="14"/>
  <c r="K467" i="14"/>
  <c r="J467" i="14"/>
  <c r="I467" i="14"/>
  <c r="H467" i="14"/>
  <c r="G467" i="14"/>
  <c r="F467" i="14"/>
  <c r="E467" i="14"/>
  <c r="D467" i="14"/>
  <c r="C467" i="14"/>
  <c r="AA466" i="14"/>
  <c r="Z466" i="14"/>
  <c r="Y466" i="14"/>
  <c r="W466" i="14"/>
  <c r="V466" i="14"/>
  <c r="U466" i="14"/>
  <c r="T466" i="14"/>
  <c r="S466" i="14"/>
  <c r="R466" i="14"/>
  <c r="P466" i="14"/>
  <c r="O466" i="14"/>
  <c r="N466" i="14"/>
  <c r="L466" i="14"/>
  <c r="K466" i="14"/>
  <c r="J466" i="14"/>
  <c r="I466" i="14"/>
  <c r="H466" i="14"/>
  <c r="G466" i="14"/>
  <c r="F466" i="14"/>
  <c r="E466" i="14"/>
  <c r="D466" i="14"/>
  <c r="C466" i="14"/>
  <c r="AA465" i="14"/>
  <c r="Z465" i="14"/>
  <c r="Y465" i="14"/>
  <c r="W465" i="14"/>
  <c r="V465" i="14"/>
  <c r="U465" i="14"/>
  <c r="T465" i="14"/>
  <c r="S465" i="14"/>
  <c r="R465" i="14"/>
  <c r="P465" i="14"/>
  <c r="O465" i="14"/>
  <c r="N465" i="14"/>
  <c r="L465" i="14"/>
  <c r="K465" i="14"/>
  <c r="J465" i="14"/>
  <c r="I465" i="14"/>
  <c r="H465" i="14"/>
  <c r="G465" i="14"/>
  <c r="F465" i="14"/>
  <c r="E465" i="14"/>
  <c r="D465" i="14"/>
  <c r="C465" i="14"/>
  <c r="AA464" i="14"/>
  <c r="Z464" i="14"/>
  <c r="Y464" i="14"/>
  <c r="W464" i="14"/>
  <c r="V464" i="14"/>
  <c r="U464" i="14"/>
  <c r="T464" i="14"/>
  <c r="S464" i="14"/>
  <c r="R464" i="14"/>
  <c r="P464" i="14"/>
  <c r="O464" i="14"/>
  <c r="N464" i="14"/>
  <c r="L464" i="14"/>
  <c r="K464" i="14"/>
  <c r="J464" i="14"/>
  <c r="I464" i="14"/>
  <c r="H464" i="14"/>
  <c r="G464" i="14"/>
  <c r="F464" i="14"/>
  <c r="E464" i="14"/>
  <c r="D464" i="14"/>
  <c r="C464" i="14"/>
  <c r="AA463" i="14"/>
  <c r="Z463" i="14"/>
  <c r="Y463" i="14"/>
  <c r="W463" i="14"/>
  <c r="V463" i="14"/>
  <c r="U463" i="14"/>
  <c r="T463" i="14"/>
  <c r="S463" i="14"/>
  <c r="R463" i="14"/>
  <c r="P463" i="14"/>
  <c r="O463" i="14"/>
  <c r="N463" i="14"/>
  <c r="L463" i="14"/>
  <c r="K463" i="14"/>
  <c r="J463" i="14"/>
  <c r="I463" i="14"/>
  <c r="H463" i="14"/>
  <c r="G463" i="14"/>
  <c r="F463" i="14"/>
  <c r="E463" i="14"/>
  <c r="D463" i="14"/>
  <c r="C463" i="14"/>
  <c r="AA462" i="14"/>
  <c r="Z462" i="14"/>
  <c r="Y462" i="14"/>
  <c r="W462" i="14"/>
  <c r="V462" i="14"/>
  <c r="U462" i="14"/>
  <c r="T462" i="14"/>
  <c r="S462" i="14"/>
  <c r="R462" i="14"/>
  <c r="P462" i="14"/>
  <c r="O462" i="14"/>
  <c r="N462" i="14"/>
  <c r="L462" i="14"/>
  <c r="K462" i="14"/>
  <c r="J462" i="14"/>
  <c r="I462" i="14"/>
  <c r="H462" i="14"/>
  <c r="G462" i="14"/>
  <c r="F462" i="14"/>
  <c r="E462" i="14"/>
  <c r="D462" i="14"/>
  <c r="C462" i="14"/>
  <c r="AA461" i="14"/>
  <c r="Z461" i="14"/>
  <c r="Y461" i="14"/>
  <c r="W461" i="14"/>
  <c r="V461" i="14"/>
  <c r="U461" i="14"/>
  <c r="T461" i="14"/>
  <c r="S461" i="14"/>
  <c r="R461" i="14"/>
  <c r="P461" i="14"/>
  <c r="O461" i="14"/>
  <c r="N461" i="14"/>
  <c r="L461" i="14"/>
  <c r="K461" i="14"/>
  <c r="J461" i="14"/>
  <c r="I461" i="14"/>
  <c r="H461" i="14"/>
  <c r="G461" i="14"/>
  <c r="F461" i="14"/>
  <c r="E461" i="14"/>
  <c r="D461" i="14"/>
  <c r="C461" i="14"/>
  <c r="AA460" i="14"/>
  <c r="Z460" i="14"/>
  <c r="Y460" i="14"/>
  <c r="W460" i="14"/>
  <c r="V460" i="14"/>
  <c r="U460" i="14"/>
  <c r="T460" i="14"/>
  <c r="S460" i="14"/>
  <c r="R460" i="14"/>
  <c r="P460" i="14"/>
  <c r="O460" i="14"/>
  <c r="N460" i="14"/>
  <c r="L460" i="14"/>
  <c r="K460" i="14"/>
  <c r="J460" i="14"/>
  <c r="I460" i="14"/>
  <c r="H460" i="14"/>
  <c r="G460" i="14"/>
  <c r="F460" i="14"/>
  <c r="E460" i="14"/>
  <c r="D460" i="14"/>
  <c r="C460" i="14"/>
  <c r="AA459" i="14"/>
  <c r="Z459" i="14"/>
  <c r="Y459" i="14"/>
  <c r="W459" i="14"/>
  <c r="V459" i="14"/>
  <c r="U459" i="14"/>
  <c r="T459" i="14"/>
  <c r="S459" i="14"/>
  <c r="R459" i="14"/>
  <c r="P459" i="14"/>
  <c r="O459" i="14"/>
  <c r="N459" i="14"/>
  <c r="L459" i="14"/>
  <c r="K459" i="14"/>
  <c r="J459" i="14"/>
  <c r="I459" i="14"/>
  <c r="H459" i="14"/>
  <c r="G459" i="14"/>
  <c r="F459" i="14"/>
  <c r="E459" i="14"/>
  <c r="D459" i="14"/>
  <c r="C459" i="14"/>
  <c r="AA458" i="14"/>
  <c r="Z458" i="14"/>
  <c r="Y458" i="14"/>
  <c r="W458" i="14"/>
  <c r="V458" i="14"/>
  <c r="U458" i="14"/>
  <c r="T458" i="14"/>
  <c r="S458" i="14"/>
  <c r="R458" i="14"/>
  <c r="P458" i="14"/>
  <c r="O458" i="14"/>
  <c r="N458" i="14"/>
  <c r="L458" i="14"/>
  <c r="K458" i="14"/>
  <c r="J458" i="14"/>
  <c r="I458" i="14"/>
  <c r="H458" i="14"/>
  <c r="G458" i="14"/>
  <c r="F458" i="14"/>
  <c r="E458" i="14"/>
  <c r="D458" i="14"/>
  <c r="C458" i="14"/>
  <c r="AA457" i="14"/>
  <c r="Z457" i="14"/>
  <c r="Y457" i="14"/>
  <c r="W457" i="14"/>
  <c r="V457" i="14"/>
  <c r="U457" i="14"/>
  <c r="T457" i="14"/>
  <c r="S457" i="14"/>
  <c r="R457" i="14"/>
  <c r="P457" i="14"/>
  <c r="O457" i="14"/>
  <c r="N457" i="14"/>
  <c r="L457" i="14"/>
  <c r="K457" i="14"/>
  <c r="J457" i="14"/>
  <c r="I457" i="14"/>
  <c r="H457" i="14"/>
  <c r="G457" i="14"/>
  <c r="F457" i="14"/>
  <c r="E457" i="14"/>
  <c r="D457" i="14"/>
  <c r="C457" i="14"/>
  <c r="AA456" i="14"/>
  <c r="Z456" i="14"/>
  <c r="Y456" i="14"/>
  <c r="W456" i="14"/>
  <c r="V456" i="14"/>
  <c r="U456" i="14"/>
  <c r="T456" i="14"/>
  <c r="S456" i="14"/>
  <c r="R456" i="14"/>
  <c r="P456" i="14"/>
  <c r="O456" i="14"/>
  <c r="N456" i="14"/>
  <c r="L456" i="14"/>
  <c r="K456" i="14"/>
  <c r="J456" i="14"/>
  <c r="I456" i="14"/>
  <c r="H456" i="14"/>
  <c r="G456" i="14"/>
  <c r="F456" i="14"/>
  <c r="E456" i="14"/>
  <c r="D456" i="14"/>
  <c r="C456" i="14"/>
  <c r="AA455" i="14"/>
  <c r="Z455" i="14"/>
  <c r="Y455" i="14"/>
  <c r="W455" i="14"/>
  <c r="V455" i="14"/>
  <c r="U455" i="14"/>
  <c r="T455" i="14"/>
  <c r="S455" i="14"/>
  <c r="R455" i="14"/>
  <c r="P455" i="14"/>
  <c r="O455" i="14"/>
  <c r="N455" i="14"/>
  <c r="L455" i="14"/>
  <c r="K455" i="14"/>
  <c r="J455" i="14"/>
  <c r="I455" i="14"/>
  <c r="H455" i="14"/>
  <c r="G455" i="14"/>
  <c r="F455" i="14"/>
  <c r="E455" i="14"/>
  <c r="D455" i="14"/>
  <c r="C455" i="14"/>
  <c r="AA454" i="14"/>
  <c r="Z454" i="14"/>
  <c r="Y454" i="14"/>
  <c r="W454" i="14"/>
  <c r="V454" i="14"/>
  <c r="U454" i="14"/>
  <c r="T454" i="14"/>
  <c r="S454" i="14"/>
  <c r="R454" i="14"/>
  <c r="P454" i="14"/>
  <c r="O454" i="14"/>
  <c r="N454" i="14"/>
  <c r="L454" i="14"/>
  <c r="K454" i="14"/>
  <c r="J454" i="14"/>
  <c r="I454" i="14"/>
  <c r="H454" i="14"/>
  <c r="G454" i="14"/>
  <c r="F454" i="14"/>
  <c r="E454" i="14"/>
  <c r="D454" i="14"/>
  <c r="C454" i="14"/>
  <c r="AA453" i="14"/>
  <c r="Z453" i="14"/>
  <c r="Y453" i="14"/>
  <c r="W453" i="14"/>
  <c r="V453" i="14"/>
  <c r="U453" i="14"/>
  <c r="T453" i="14"/>
  <c r="S453" i="14"/>
  <c r="R453" i="14"/>
  <c r="P453" i="14"/>
  <c r="O453" i="14"/>
  <c r="N453" i="14"/>
  <c r="L453" i="14"/>
  <c r="K453" i="14"/>
  <c r="J453" i="14"/>
  <c r="I453" i="14"/>
  <c r="H453" i="14"/>
  <c r="G453" i="14"/>
  <c r="F453" i="14"/>
  <c r="E453" i="14"/>
  <c r="D453" i="14"/>
  <c r="C453" i="14"/>
  <c r="AA452" i="14"/>
  <c r="Z452" i="14"/>
  <c r="Y452" i="14"/>
  <c r="W452" i="14"/>
  <c r="V452" i="14"/>
  <c r="U452" i="14"/>
  <c r="T452" i="14"/>
  <c r="S452" i="14"/>
  <c r="R452" i="14"/>
  <c r="P452" i="14"/>
  <c r="O452" i="14"/>
  <c r="N452" i="14"/>
  <c r="L452" i="14"/>
  <c r="K452" i="14"/>
  <c r="J452" i="14"/>
  <c r="I452" i="14"/>
  <c r="H452" i="14"/>
  <c r="G452" i="14"/>
  <c r="F452" i="14"/>
  <c r="E452" i="14"/>
  <c r="D452" i="14"/>
  <c r="C452" i="14"/>
  <c r="AA451" i="14"/>
  <c r="Z451" i="14"/>
  <c r="Y451" i="14"/>
  <c r="W451" i="14"/>
  <c r="V451" i="14"/>
  <c r="U451" i="14"/>
  <c r="T451" i="14"/>
  <c r="S451" i="14"/>
  <c r="R451" i="14"/>
  <c r="P451" i="14"/>
  <c r="O451" i="14"/>
  <c r="N451" i="14"/>
  <c r="L451" i="14"/>
  <c r="K451" i="14"/>
  <c r="J451" i="14"/>
  <c r="I451" i="14"/>
  <c r="H451" i="14"/>
  <c r="G451" i="14"/>
  <c r="F451" i="14"/>
  <c r="E451" i="14"/>
  <c r="D451" i="14"/>
  <c r="C451" i="14"/>
  <c r="AA450" i="14"/>
  <c r="Z450" i="14"/>
  <c r="Y450" i="14"/>
  <c r="W450" i="14"/>
  <c r="V450" i="14"/>
  <c r="U450" i="14"/>
  <c r="T450" i="14"/>
  <c r="S450" i="14"/>
  <c r="R450" i="14"/>
  <c r="P450" i="14"/>
  <c r="O450" i="14"/>
  <c r="N450" i="14"/>
  <c r="L450" i="14"/>
  <c r="K450" i="14"/>
  <c r="J450" i="14"/>
  <c r="I450" i="14"/>
  <c r="H450" i="14"/>
  <c r="G450" i="14"/>
  <c r="F450" i="14"/>
  <c r="E450" i="14"/>
  <c r="D450" i="14"/>
  <c r="C450" i="14"/>
  <c r="AA449" i="14"/>
  <c r="Z449" i="14"/>
  <c r="Y449" i="14"/>
  <c r="W449" i="14"/>
  <c r="V449" i="14"/>
  <c r="U449" i="14"/>
  <c r="T449" i="14"/>
  <c r="S449" i="14"/>
  <c r="R449" i="14"/>
  <c r="P449" i="14"/>
  <c r="O449" i="14"/>
  <c r="N449" i="14"/>
  <c r="L449" i="14"/>
  <c r="K449" i="14"/>
  <c r="J449" i="14"/>
  <c r="I449" i="14"/>
  <c r="H449" i="14"/>
  <c r="G449" i="14"/>
  <c r="F449" i="14"/>
  <c r="E449" i="14"/>
  <c r="D449" i="14"/>
  <c r="C449" i="14"/>
  <c r="AA448" i="14"/>
  <c r="Z448" i="14"/>
  <c r="Y448" i="14"/>
  <c r="W448" i="14"/>
  <c r="V448" i="14"/>
  <c r="U448" i="14"/>
  <c r="T448" i="14"/>
  <c r="S448" i="14"/>
  <c r="R448" i="14"/>
  <c r="P448" i="14"/>
  <c r="O448" i="14"/>
  <c r="N448" i="14"/>
  <c r="L448" i="14"/>
  <c r="K448" i="14"/>
  <c r="J448" i="14"/>
  <c r="I448" i="14"/>
  <c r="H448" i="14"/>
  <c r="G448" i="14"/>
  <c r="F448" i="14"/>
  <c r="E448" i="14"/>
  <c r="D448" i="14"/>
  <c r="C448" i="14"/>
  <c r="AA447" i="14"/>
  <c r="Z447" i="14"/>
  <c r="Y447" i="14"/>
  <c r="W447" i="14"/>
  <c r="V447" i="14"/>
  <c r="U447" i="14"/>
  <c r="T447" i="14"/>
  <c r="S447" i="14"/>
  <c r="R447" i="14"/>
  <c r="P447" i="14"/>
  <c r="O447" i="14"/>
  <c r="N447" i="14"/>
  <c r="L447" i="14"/>
  <c r="K447" i="14"/>
  <c r="J447" i="14"/>
  <c r="I447" i="14"/>
  <c r="H447" i="14"/>
  <c r="G447" i="14"/>
  <c r="F447" i="14"/>
  <c r="E447" i="14"/>
  <c r="D447" i="14"/>
  <c r="C447" i="14"/>
  <c r="AA446" i="14"/>
  <c r="Z446" i="14"/>
  <c r="Y446" i="14"/>
  <c r="W446" i="14"/>
  <c r="V446" i="14"/>
  <c r="U446" i="14"/>
  <c r="T446" i="14"/>
  <c r="S446" i="14"/>
  <c r="R446" i="14"/>
  <c r="P446" i="14"/>
  <c r="O446" i="14"/>
  <c r="N446" i="14"/>
  <c r="L446" i="14"/>
  <c r="K446" i="14"/>
  <c r="J446" i="14"/>
  <c r="I446" i="14"/>
  <c r="H446" i="14"/>
  <c r="G446" i="14"/>
  <c r="F446" i="14"/>
  <c r="E446" i="14"/>
  <c r="D446" i="14"/>
  <c r="C446" i="14"/>
  <c r="AA445" i="14"/>
  <c r="Z445" i="14"/>
  <c r="Y445" i="14"/>
  <c r="W445" i="14"/>
  <c r="V445" i="14"/>
  <c r="U445" i="14"/>
  <c r="T445" i="14"/>
  <c r="S445" i="14"/>
  <c r="R445" i="14"/>
  <c r="P445" i="14"/>
  <c r="O445" i="14"/>
  <c r="N445" i="14"/>
  <c r="L445" i="14"/>
  <c r="K445" i="14"/>
  <c r="J445" i="14"/>
  <c r="I445" i="14"/>
  <c r="H445" i="14"/>
  <c r="G445" i="14"/>
  <c r="F445" i="14"/>
  <c r="E445" i="14"/>
  <c r="D445" i="14"/>
  <c r="C445" i="14"/>
  <c r="AA444" i="14"/>
  <c r="Z444" i="14"/>
  <c r="Y444" i="14"/>
  <c r="W444" i="14"/>
  <c r="V444" i="14"/>
  <c r="U444" i="14"/>
  <c r="T444" i="14"/>
  <c r="S444" i="14"/>
  <c r="R444" i="14"/>
  <c r="P444" i="14"/>
  <c r="O444" i="14"/>
  <c r="N444" i="14"/>
  <c r="L444" i="14"/>
  <c r="K444" i="14"/>
  <c r="J444" i="14"/>
  <c r="I444" i="14"/>
  <c r="H444" i="14"/>
  <c r="G444" i="14"/>
  <c r="F444" i="14"/>
  <c r="E444" i="14"/>
  <c r="D444" i="14"/>
  <c r="C444" i="14"/>
  <c r="AA443" i="14"/>
  <c r="Z443" i="14"/>
  <c r="Y443" i="14"/>
  <c r="W443" i="14"/>
  <c r="V443" i="14"/>
  <c r="U443" i="14"/>
  <c r="T443" i="14"/>
  <c r="S443" i="14"/>
  <c r="R443" i="14"/>
  <c r="P443" i="14"/>
  <c r="O443" i="14"/>
  <c r="N443" i="14"/>
  <c r="L443" i="14"/>
  <c r="K443" i="14"/>
  <c r="J443" i="14"/>
  <c r="I443" i="14"/>
  <c r="H443" i="14"/>
  <c r="G443" i="14"/>
  <c r="F443" i="14"/>
  <c r="E443" i="14"/>
  <c r="D443" i="14"/>
  <c r="C443" i="14"/>
  <c r="AA442" i="14"/>
  <c r="Z442" i="14"/>
  <c r="Y442" i="14"/>
  <c r="W442" i="14"/>
  <c r="V442" i="14"/>
  <c r="U442" i="14"/>
  <c r="T442" i="14"/>
  <c r="S442" i="14"/>
  <c r="R442" i="14"/>
  <c r="P442" i="14"/>
  <c r="O442" i="14"/>
  <c r="N442" i="14"/>
  <c r="L442" i="14"/>
  <c r="K442" i="14"/>
  <c r="J442" i="14"/>
  <c r="I442" i="14"/>
  <c r="H442" i="14"/>
  <c r="G442" i="14"/>
  <c r="F442" i="14"/>
  <c r="E442" i="14"/>
  <c r="D442" i="14"/>
  <c r="C442" i="14"/>
  <c r="AA441" i="14"/>
  <c r="Z441" i="14"/>
  <c r="Y441" i="14"/>
  <c r="W441" i="14"/>
  <c r="V441" i="14"/>
  <c r="U441" i="14"/>
  <c r="T441" i="14"/>
  <c r="S441" i="14"/>
  <c r="R441" i="14"/>
  <c r="P441" i="14"/>
  <c r="O441" i="14"/>
  <c r="N441" i="14"/>
  <c r="L441" i="14"/>
  <c r="K441" i="14"/>
  <c r="J441" i="14"/>
  <c r="I441" i="14"/>
  <c r="H441" i="14"/>
  <c r="G441" i="14"/>
  <c r="F441" i="14"/>
  <c r="E441" i="14"/>
  <c r="D441" i="14"/>
  <c r="C441" i="14"/>
  <c r="AA440" i="14"/>
  <c r="Z440" i="14"/>
  <c r="Y440" i="14"/>
  <c r="W440" i="14"/>
  <c r="V440" i="14"/>
  <c r="U440" i="14"/>
  <c r="T440" i="14"/>
  <c r="S440" i="14"/>
  <c r="R440" i="14"/>
  <c r="P440" i="14"/>
  <c r="O440" i="14"/>
  <c r="N440" i="14"/>
  <c r="L440" i="14"/>
  <c r="K440" i="14"/>
  <c r="J440" i="14"/>
  <c r="I440" i="14"/>
  <c r="H440" i="14"/>
  <c r="G440" i="14"/>
  <c r="F440" i="14"/>
  <c r="E440" i="14"/>
  <c r="D440" i="14"/>
  <c r="C440" i="14"/>
  <c r="AA439" i="14"/>
  <c r="Z439" i="14"/>
  <c r="Y439" i="14"/>
  <c r="W439" i="14"/>
  <c r="V439" i="14"/>
  <c r="U439" i="14"/>
  <c r="T439" i="14"/>
  <c r="S439" i="14"/>
  <c r="R439" i="14"/>
  <c r="P439" i="14"/>
  <c r="O439" i="14"/>
  <c r="N439" i="14"/>
  <c r="L439" i="14"/>
  <c r="K439" i="14"/>
  <c r="J439" i="14"/>
  <c r="I439" i="14"/>
  <c r="H439" i="14"/>
  <c r="G439" i="14"/>
  <c r="F439" i="14"/>
  <c r="E439" i="14"/>
  <c r="D439" i="14"/>
  <c r="C439" i="14"/>
  <c r="AA438" i="14"/>
  <c r="Z438" i="14"/>
  <c r="Y438" i="14"/>
  <c r="W438" i="14"/>
  <c r="V438" i="14"/>
  <c r="U438" i="14"/>
  <c r="T438" i="14"/>
  <c r="S438" i="14"/>
  <c r="R438" i="14"/>
  <c r="P438" i="14"/>
  <c r="O438" i="14"/>
  <c r="N438" i="14"/>
  <c r="L438" i="14"/>
  <c r="K438" i="14"/>
  <c r="J438" i="14"/>
  <c r="I438" i="14"/>
  <c r="H438" i="14"/>
  <c r="G438" i="14"/>
  <c r="F438" i="14"/>
  <c r="E438" i="14"/>
  <c r="D438" i="14"/>
  <c r="C438" i="14"/>
  <c r="AA437" i="14"/>
  <c r="Z437" i="14"/>
  <c r="Y437" i="14"/>
  <c r="W437" i="14"/>
  <c r="V437" i="14"/>
  <c r="U437" i="14"/>
  <c r="T437" i="14"/>
  <c r="S437" i="14"/>
  <c r="R437" i="14"/>
  <c r="P437" i="14"/>
  <c r="O437" i="14"/>
  <c r="N437" i="14"/>
  <c r="L437" i="14"/>
  <c r="K437" i="14"/>
  <c r="J437" i="14"/>
  <c r="I437" i="14"/>
  <c r="H437" i="14"/>
  <c r="G437" i="14"/>
  <c r="F437" i="14"/>
  <c r="E437" i="14"/>
  <c r="D437" i="14"/>
  <c r="C437" i="14"/>
  <c r="AA436" i="14"/>
  <c r="Z436" i="14"/>
  <c r="Y436" i="14"/>
  <c r="W436" i="14"/>
  <c r="V436" i="14"/>
  <c r="U436" i="14"/>
  <c r="T436" i="14"/>
  <c r="S436" i="14"/>
  <c r="R436" i="14"/>
  <c r="P436" i="14"/>
  <c r="O436" i="14"/>
  <c r="N436" i="14"/>
  <c r="L436" i="14"/>
  <c r="K436" i="14"/>
  <c r="J436" i="14"/>
  <c r="I436" i="14"/>
  <c r="H436" i="14"/>
  <c r="G436" i="14"/>
  <c r="F436" i="14"/>
  <c r="E436" i="14"/>
  <c r="D436" i="14"/>
  <c r="C436" i="14"/>
  <c r="AA435" i="14"/>
  <c r="Z435" i="14"/>
  <c r="Y435" i="14"/>
  <c r="W435" i="14"/>
  <c r="V435" i="14"/>
  <c r="U435" i="14"/>
  <c r="T435" i="14"/>
  <c r="S435" i="14"/>
  <c r="R435" i="14"/>
  <c r="P435" i="14"/>
  <c r="O435" i="14"/>
  <c r="N435" i="14"/>
  <c r="L435" i="14"/>
  <c r="K435" i="14"/>
  <c r="J435" i="14"/>
  <c r="I435" i="14"/>
  <c r="H435" i="14"/>
  <c r="G435" i="14"/>
  <c r="F435" i="14"/>
  <c r="E435" i="14"/>
  <c r="D435" i="14"/>
  <c r="C435" i="14"/>
  <c r="AA434" i="14"/>
  <c r="Z434" i="14"/>
  <c r="Y434" i="14"/>
  <c r="W434" i="14"/>
  <c r="V434" i="14"/>
  <c r="U434" i="14"/>
  <c r="T434" i="14"/>
  <c r="S434" i="14"/>
  <c r="R434" i="14"/>
  <c r="P434" i="14"/>
  <c r="O434" i="14"/>
  <c r="N434" i="14"/>
  <c r="L434" i="14"/>
  <c r="K434" i="14"/>
  <c r="J434" i="14"/>
  <c r="I434" i="14"/>
  <c r="H434" i="14"/>
  <c r="G434" i="14"/>
  <c r="F434" i="14"/>
  <c r="E434" i="14"/>
  <c r="D434" i="14"/>
  <c r="C434" i="14"/>
  <c r="AA433" i="14"/>
  <c r="Z433" i="14"/>
  <c r="Y433" i="14"/>
  <c r="W433" i="14"/>
  <c r="V433" i="14"/>
  <c r="U433" i="14"/>
  <c r="T433" i="14"/>
  <c r="S433" i="14"/>
  <c r="R433" i="14"/>
  <c r="P433" i="14"/>
  <c r="O433" i="14"/>
  <c r="N433" i="14"/>
  <c r="L433" i="14"/>
  <c r="K433" i="14"/>
  <c r="J433" i="14"/>
  <c r="I433" i="14"/>
  <c r="H433" i="14"/>
  <c r="G433" i="14"/>
  <c r="F433" i="14"/>
  <c r="E433" i="14"/>
  <c r="D433" i="14"/>
  <c r="C433" i="14"/>
  <c r="AA432" i="14"/>
  <c r="Z432" i="14"/>
  <c r="Y432" i="14"/>
  <c r="W432" i="14"/>
  <c r="V432" i="14"/>
  <c r="U432" i="14"/>
  <c r="T432" i="14"/>
  <c r="S432" i="14"/>
  <c r="R432" i="14"/>
  <c r="P432" i="14"/>
  <c r="O432" i="14"/>
  <c r="N432" i="14"/>
  <c r="L432" i="14"/>
  <c r="K432" i="14"/>
  <c r="J432" i="14"/>
  <c r="I432" i="14"/>
  <c r="H432" i="14"/>
  <c r="G432" i="14"/>
  <c r="F432" i="14"/>
  <c r="E432" i="14"/>
  <c r="D432" i="14"/>
  <c r="C432" i="14"/>
  <c r="AA431" i="14"/>
  <c r="Z431" i="14"/>
  <c r="Y431" i="14"/>
  <c r="W431" i="14"/>
  <c r="V431" i="14"/>
  <c r="U431" i="14"/>
  <c r="T431" i="14"/>
  <c r="S431" i="14"/>
  <c r="R431" i="14"/>
  <c r="P431" i="14"/>
  <c r="O431" i="14"/>
  <c r="N431" i="14"/>
  <c r="L431" i="14"/>
  <c r="K431" i="14"/>
  <c r="J431" i="14"/>
  <c r="I431" i="14"/>
  <c r="H431" i="14"/>
  <c r="G431" i="14"/>
  <c r="F431" i="14"/>
  <c r="E431" i="14"/>
  <c r="D431" i="14"/>
  <c r="C431" i="14"/>
  <c r="AA430" i="14"/>
  <c r="Z430" i="14"/>
  <c r="Y430" i="14"/>
  <c r="W430" i="14"/>
  <c r="V430" i="14"/>
  <c r="U430" i="14"/>
  <c r="T430" i="14"/>
  <c r="S430" i="14"/>
  <c r="R430" i="14"/>
  <c r="P430" i="14"/>
  <c r="O430" i="14"/>
  <c r="N430" i="14"/>
  <c r="L430" i="14"/>
  <c r="K430" i="14"/>
  <c r="J430" i="14"/>
  <c r="I430" i="14"/>
  <c r="H430" i="14"/>
  <c r="G430" i="14"/>
  <c r="F430" i="14"/>
  <c r="E430" i="14"/>
  <c r="D430" i="14"/>
  <c r="C430" i="14"/>
  <c r="AA429" i="14"/>
  <c r="Z429" i="14"/>
  <c r="Y429" i="14"/>
  <c r="W429" i="14"/>
  <c r="V429" i="14"/>
  <c r="U429" i="14"/>
  <c r="T429" i="14"/>
  <c r="S429" i="14"/>
  <c r="R429" i="14"/>
  <c r="P429" i="14"/>
  <c r="O429" i="14"/>
  <c r="N429" i="14"/>
  <c r="L429" i="14"/>
  <c r="K429" i="14"/>
  <c r="J429" i="14"/>
  <c r="I429" i="14"/>
  <c r="H429" i="14"/>
  <c r="G429" i="14"/>
  <c r="F429" i="14"/>
  <c r="E429" i="14"/>
  <c r="D429" i="14"/>
  <c r="C429" i="14"/>
  <c r="AA428" i="14"/>
  <c r="Z428" i="14"/>
  <c r="Y428" i="14"/>
  <c r="W428" i="14"/>
  <c r="V428" i="14"/>
  <c r="U428" i="14"/>
  <c r="T428" i="14"/>
  <c r="S428" i="14"/>
  <c r="R428" i="14"/>
  <c r="P428" i="14"/>
  <c r="O428" i="14"/>
  <c r="N428" i="14"/>
  <c r="L428" i="14"/>
  <c r="K428" i="14"/>
  <c r="J428" i="14"/>
  <c r="I428" i="14"/>
  <c r="H428" i="14"/>
  <c r="G428" i="14"/>
  <c r="F428" i="14"/>
  <c r="E428" i="14"/>
  <c r="D428" i="14"/>
  <c r="C428" i="14"/>
  <c r="AA427" i="14"/>
  <c r="Z427" i="14"/>
  <c r="Y427" i="14"/>
  <c r="W427" i="14"/>
  <c r="V427" i="14"/>
  <c r="U427" i="14"/>
  <c r="T427" i="14"/>
  <c r="S427" i="14"/>
  <c r="R427" i="14"/>
  <c r="P427" i="14"/>
  <c r="O427" i="14"/>
  <c r="N427" i="14"/>
  <c r="L427" i="14"/>
  <c r="K427" i="14"/>
  <c r="J427" i="14"/>
  <c r="I427" i="14"/>
  <c r="H427" i="14"/>
  <c r="G427" i="14"/>
  <c r="F427" i="14"/>
  <c r="E427" i="14"/>
  <c r="D427" i="14"/>
  <c r="C427" i="14"/>
  <c r="AA426" i="14"/>
  <c r="Z426" i="14"/>
  <c r="Y426" i="14"/>
  <c r="W426" i="14"/>
  <c r="V426" i="14"/>
  <c r="U426" i="14"/>
  <c r="T426" i="14"/>
  <c r="S426" i="14"/>
  <c r="R426" i="14"/>
  <c r="P426" i="14"/>
  <c r="O426" i="14"/>
  <c r="N426" i="14"/>
  <c r="L426" i="14"/>
  <c r="K426" i="14"/>
  <c r="J426" i="14"/>
  <c r="I426" i="14"/>
  <c r="H426" i="14"/>
  <c r="G426" i="14"/>
  <c r="F426" i="14"/>
  <c r="E426" i="14"/>
  <c r="D426" i="14"/>
  <c r="C426" i="14"/>
  <c r="AA425" i="14"/>
  <c r="Z425" i="14"/>
  <c r="Y425" i="14"/>
  <c r="W425" i="14"/>
  <c r="V425" i="14"/>
  <c r="U425" i="14"/>
  <c r="T425" i="14"/>
  <c r="S425" i="14"/>
  <c r="R425" i="14"/>
  <c r="P425" i="14"/>
  <c r="O425" i="14"/>
  <c r="N425" i="14"/>
  <c r="L425" i="14"/>
  <c r="K425" i="14"/>
  <c r="J425" i="14"/>
  <c r="I425" i="14"/>
  <c r="H425" i="14"/>
  <c r="G425" i="14"/>
  <c r="F425" i="14"/>
  <c r="E425" i="14"/>
  <c r="D425" i="14"/>
  <c r="C425" i="14"/>
  <c r="AA424" i="14"/>
  <c r="Z424" i="14"/>
  <c r="Y424" i="14"/>
  <c r="W424" i="14"/>
  <c r="V424" i="14"/>
  <c r="U424" i="14"/>
  <c r="T424" i="14"/>
  <c r="S424" i="14"/>
  <c r="R424" i="14"/>
  <c r="P424" i="14"/>
  <c r="O424" i="14"/>
  <c r="N424" i="14"/>
  <c r="L424" i="14"/>
  <c r="K424" i="14"/>
  <c r="J424" i="14"/>
  <c r="I424" i="14"/>
  <c r="H424" i="14"/>
  <c r="G424" i="14"/>
  <c r="F424" i="14"/>
  <c r="E424" i="14"/>
  <c r="D424" i="14"/>
  <c r="C424" i="14"/>
  <c r="AA423" i="14"/>
  <c r="Z423" i="14"/>
  <c r="Y423" i="14"/>
  <c r="W423" i="14"/>
  <c r="V423" i="14"/>
  <c r="U423" i="14"/>
  <c r="T423" i="14"/>
  <c r="S423" i="14"/>
  <c r="R423" i="14"/>
  <c r="P423" i="14"/>
  <c r="O423" i="14"/>
  <c r="N423" i="14"/>
  <c r="L423" i="14"/>
  <c r="K423" i="14"/>
  <c r="J423" i="14"/>
  <c r="I423" i="14"/>
  <c r="H423" i="14"/>
  <c r="G423" i="14"/>
  <c r="F423" i="14"/>
  <c r="E423" i="14"/>
  <c r="D423" i="14"/>
  <c r="C423" i="14"/>
  <c r="AA422" i="14"/>
  <c r="Z422" i="14"/>
  <c r="Y422" i="14"/>
  <c r="W422" i="14"/>
  <c r="V422" i="14"/>
  <c r="U422" i="14"/>
  <c r="T422" i="14"/>
  <c r="S422" i="14"/>
  <c r="R422" i="14"/>
  <c r="P422" i="14"/>
  <c r="O422" i="14"/>
  <c r="N422" i="14"/>
  <c r="L422" i="14"/>
  <c r="K422" i="14"/>
  <c r="J422" i="14"/>
  <c r="I422" i="14"/>
  <c r="H422" i="14"/>
  <c r="G422" i="14"/>
  <c r="F422" i="14"/>
  <c r="E422" i="14"/>
  <c r="D422" i="14"/>
  <c r="C422" i="14"/>
  <c r="AA421" i="14"/>
  <c r="Z421" i="14"/>
  <c r="Y421" i="14"/>
  <c r="W421" i="14"/>
  <c r="V421" i="14"/>
  <c r="U421" i="14"/>
  <c r="T421" i="14"/>
  <c r="S421" i="14"/>
  <c r="R421" i="14"/>
  <c r="P421" i="14"/>
  <c r="O421" i="14"/>
  <c r="N421" i="14"/>
  <c r="L421" i="14"/>
  <c r="K421" i="14"/>
  <c r="J421" i="14"/>
  <c r="I421" i="14"/>
  <c r="H421" i="14"/>
  <c r="G421" i="14"/>
  <c r="F421" i="14"/>
  <c r="E421" i="14"/>
  <c r="D421" i="14"/>
  <c r="C421" i="14"/>
  <c r="AA420" i="14"/>
  <c r="Z420" i="14"/>
  <c r="Y420" i="14"/>
  <c r="W420" i="14"/>
  <c r="V420" i="14"/>
  <c r="U420" i="14"/>
  <c r="T420" i="14"/>
  <c r="S420" i="14"/>
  <c r="R420" i="14"/>
  <c r="P420" i="14"/>
  <c r="O420" i="14"/>
  <c r="N420" i="14"/>
  <c r="L420" i="14"/>
  <c r="K420" i="14"/>
  <c r="J420" i="14"/>
  <c r="I420" i="14"/>
  <c r="H420" i="14"/>
  <c r="G420" i="14"/>
  <c r="F420" i="14"/>
  <c r="E420" i="14"/>
  <c r="D420" i="14"/>
  <c r="C420" i="14"/>
  <c r="AA419" i="14"/>
  <c r="Z419" i="14"/>
  <c r="Y419" i="14"/>
  <c r="W419" i="14"/>
  <c r="V419" i="14"/>
  <c r="U419" i="14"/>
  <c r="T419" i="14"/>
  <c r="S419" i="14"/>
  <c r="R419" i="14"/>
  <c r="P419" i="14"/>
  <c r="O419" i="14"/>
  <c r="N419" i="14"/>
  <c r="L419" i="14"/>
  <c r="K419" i="14"/>
  <c r="J419" i="14"/>
  <c r="I419" i="14"/>
  <c r="H419" i="14"/>
  <c r="G419" i="14"/>
  <c r="F419" i="14"/>
  <c r="E419" i="14"/>
  <c r="D419" i="14"/>
  <c r="C419" i="14"/>
  <c r="AA418" i="14"/>
  <c r="Z418" i="14"/>
  <c r="Y418" i="14"/>
  <c r="W418" i="14"/>
  <c r="V418" i="14"/>
  <c r="U418" i="14"/>
  <c r="T418" i="14"/>
  <c r="S418" i="14"/>
  <c r="R418" i="14"/>
  <c r="P418" i="14"/>
  <c r="O418" i="14"/>
  <c r="N418" i="14"/>
  <c r="L418" i="14"/>
  <c r="K418" i="14"/>
  <c r="J418" i="14"/>
  <c r="I418" i="14"/>
  <c r="H418" i="14"/>
  <c r="G418" i="14"/>
  <c r="F418" i="14"/>
  <c r="E418" i="14"/>
  <c r="D418" i="14"/>
  <c r="C418" i="14"/>
  <c r="AA417" i="14"/>
  <c r="Z417" i="14"/>
  <c r="Y417" i="14"/>
  <c r="W417" i="14"/>
  <c r="V417" i="14"/>
  <c r="U417" i="14"/>
  <c r="T417" i="14"/>
  <c r="S417" i="14"/>
  <c r="R417" i="14"/>
  <c r="P417" i="14"/>
  <c r="O417" i="14"/>
  <c r="N417" i="14"/>
  <c r="L417" i="14"/>
  <c r="K417" i="14"/>
  <c r="J417" i="14"/>
  <c r="I417" i="14"/>
  <c r="H417" i="14"/>
  <c r="G417" i="14"/>
  <c r="F417" i="14"/>
  <c r="E417" i="14"/>
  <c r="D417" i="14"/>
  <c r="C417" i="14"/>
  <c r="AA416" i="14"/>
  <c r="Z416" i="14"/>
  <c r="Y416" i="14"/>
  <c r="W416" i="14"/>
  <c r="V416" i="14"/>
  <c r="U416" i="14"/>
  <c r="T416" i="14"/>
  <c r="S416" i="14"/>
  <c r="R416" i="14"/>
  <c r="P416" i="14"/>
  <c r="O416" i="14"/>
  <c r="N416" i="14"/>
  <c r="L416" i="14"/>
  <c r="K416" i="14"/>
  <c r="J416" i="14"/>
  <c r="I416" i="14"/>
  <c r="H416" i="14"/>
  <c r="G416" i="14"/>
  <c r="F416" i="14"/>
  <c r="E416" i="14"/>
  <c r="D416" i="14"/>
  <c r="C416" i="14"/>
  <c r="AA415" i="14"/>
  <c r="Z415" i="14"/>
  <c r="Y415" i="14"/>
  <c r="W415" i="14"/>
  <c r="V415" i="14"/>
  <c r="U415" i="14"/>
  <c r="T415" i="14"/>
  <c r="S415" i="14"/>
  <c r="R415" i="14"/>
  <c r="P415" i="14"/>
  <c r="O415" i="14"/>
  <c r="N415" i="14"/>
  <c r="L415" i="14"/>
  <c r="K415" i="14"/>
  <c r="J415" i="14"/>
  <c r="I415" i="14"/>
  <c r="H415" i="14"/>
  <c r="G415" i="14"/>
  <c r="F415" i="14"/>
  <c r="E415" i="14"/>
  <c r="D415" i="14"/>
  <c r="C415" i="14"/>
  <c r="AA414" i="14"/>
  <c r="Z414" i="14"/>
  <c r="Y414" i="14"/>
  <c r="W414" i="14"/>
  <c r="V414" i="14"/>
  <c r="U414" i="14"/>
  <c r="T414" i="14"/>
  <c r="S414" i="14"/>
  <c r="R414" i="14"/>
  <c r="P414" i="14"/>
  <c r="O414" i="14"/>
  <c r="N414" i="14"/>
  <c r="L414" i="14"/>
  <c r="K414" i="14"/>
  <c r="J414" i="14"/>
  <c r="I414" i="14"/>
  <c r="H414" i="14"/>
  <c r="G414" i="14"/>
  <c r="F414" i="14"/>
  <c r="E414" i="14"/>
  <c r="D414" i="14"/>
  <c r="C414" i="14"/>
  <c r="AA413" i="14"/>
  <c r="Z413" i="14"/>
  <c r="Y413" i="14"/>
  <c r="W413" i="14"/>
  <c r="V413" i="14"/>
  <c r="U413" i="14"/>
  <c r="T413" i="14"/>
  <c r="S413" i="14"/>
  <c r="R413" i="14"/>
  <c r="P413" i="14"/>
  <c r="O413" i="14"/>
  <c r="N413" i="14"/>
  <c r="L413" i="14"/>
  <c r="K413" i="14"/>
  <c r="J413" i="14"/>
  <c r="I413" i="14"/>
  <c r="H413" i="14"/>
  <c r="G413" i="14"/>
  <c r="F413" i="14"/>
  <c r="E413" i="14"/>
  <c r="D413" i="14"/>
  <c r="C413" i="14"/>
  <c r="AA412" i="14"/>
  <c r="Z412" i="14"/>
  <c r="Y412" i="14"/>
  <c r="W412" i="14"/>
  <c r="V412" i="14"/>
  <c r="U412" i="14"/>
  <c r="T412" i="14"/>
  <c r="S412" i="14"/>
  <c r="R412" i="14"/>
  <c r="P412" i="14"/>
  <c r="O412" i="14"/>
  <c r="N412" i="14"/>
  <c r="L412" i="14"/>
  <c r="K412" i="14"/>
  <c r="J412" i="14"/>
  <c r="I412" i="14"/>
  <c r="H412" i="14"/>
  <c r="G412" i="14"/>
  <c r="F412" i="14"/>
  <c r="E412" i="14"/>
  <c r="D412" i="14"/>
  <c r="C412" i="14"/>
  <c r="AA411" i="14"/>
  <c r="Z411" i="14"/>
  <c r="Y411" i="14"/>
  <c r="W411" i="14"/>
  <c r="V411" i="14"/>
  <c r="U411" i="14"/>
  <c r="T411" i="14"/>
  <c r="S411" i="14"/>
  <c r="R411" i="14"/>
  <c r="P411" i="14"/>
  <c r="O411" i="14"/>
  <c r="N411" i="14"/>
  <c r="L411" i="14"/>
  <c r="K411" i="14"/>
  <c r="J411" i="14"/>
  <c r="I411" i="14"/>
  <c r="H411" i="14"/>
  <c r="G411" i="14"/>
  <c r="F411" i="14"/>
  <c r="E411" i="14"/>
  <c r="D411" i="14"/>
  <c r="C411" i="14"/>
  <c r="AA410" i="14"/>
  <c r="Z410" i="14"/>
  <c r="Y410" i="14"/>
  <c r="W410" i="14"/>
  <c r="V410" i="14"/>
  <c r="U410" i="14"/>
  <c r="T410" i="14"/>
  <c r="S410" i="14"/>
  <c r="R410" i="14"/>
  <c r="P410" i="14"/>
  <c r="O410" i="14"/>
  <c r="N410" i="14"/>
  <c r="L410" i="14"/>
  <c r="K410" i="14"/>
  <c r="J410" i="14"/>
  <c r="I410" i="14"/>
  <c r="H410" i="14"/>
  <c r="G410" i="14"/>
  <c r="F410" i="14"/>
  <c r="E410" i="14"/>
  <c r="D410" i="14"/>
  <c r="C410" i="14"/>
  <c r="AA409" i="14"/>
  <c r="Z409" i="14"/>
  <c r="Y409" i="14"/>
  <c r="W409" i="14"/>
  <c r="V409" i="14"/>
  <c r="U409" i="14"/>
  <c r="T409" i="14"/>
  <c r="S409" i="14"/>
  <c r="R409" i="14"/>
  <c r="P409" i="14"/>
  <c r="O409" i="14"/>
  <c r="N409" i="14"/>
  <c r="L409" i="14"/>
  <c r="K409" i="14"/>
  <c r="J409" i="14"/>
  <c r="I409" i="14"/>
  <c r="H409" i="14"/>
  <c r="G409" i="14"/>
  <c r="F409" i="14"/>
  <c r="E409" i="14"/>
  <c r="D409" i="14"/>
  <c r="C409" i="14"/>
  <c r="AA408" i="14"/>
  <c r="Z408" i="14"/>
  <c r="Y408" i="14"/>
  <c r="W408" i="14"/>
  <c r="V408" i="14"/>
  <c r="U408" i="14"/>
  <c r="T408" i="14"/>
  <c r="S408" i="14"/>
  <c r="R408" i="14"/>
  <c r="P408" i="14"/>
  <c r="O408" i="14"/>
  <c r="N408" i="14"/>
  <c r="L408" i="14"/>
  <c r="K408" i="14"/>
  <c r="J408" i="14"/>
  <c r="I408" i="14"/>
  <c r="H408" i="14"/>
  <c r="G408" i="14"/>
  <c r="F408" i="14"/>
  <c r="E408" i="14"/>
  <c r="D408" i="14"/>
  <c r="C408" i="14"/>
  <c r="AA407" i="14"/>
  <c r="Z407" i="14"/>
  <c r="Y407" i="14"/>
  <c r="W407" i="14"/>
  <c r="V407" i="14"/>
  <c r="U407" i="14"/>
  <c r="T407" i="14"/>
  <c r="S407" i="14"/>
  <c r="R407" i="14"/>
  <c r="P407" i="14"/>
  <c r="O407" i="14"/>
  <c r="N407" i="14"/>
  <c r="L407" i="14"/>
  <c r="K407" i="14"/>
  <c r="J407" i="14"/>
  <c r="I407" i="14"/>
  <c r="H407" i="14"/>
  <c r="G407" i="14"/>
  <c r="F407" i="14"/>
  <c r="E407" i="14"/>
  <c r="D407" i="14"/>
  <c r="C407" i="14"/>
  <c r="AA406" i="14"/>
  <c r="Z406" i="14"/>
  <c r="Y406" i="14"/>
  <c r="W406" i="14"/>
  <c r="V406" i="14"/>
  <c r="U406" i="14"/>
  <c r="T406" i="14"/>
  <c r="S406" i="14"/>
  <c r="R406" i="14"/>
  <c r="P406" i="14"/>
  <c r="O406" i="14"/>
  <c r="N406" i="14"/>
  <c r="L406" i="14"/>
  <c r="K406" i="14"/>
  <c r="J406" i="14"/>
  <c r="I406" i="14"/>
  <c r="H406" i="14"/>
  <c r="G406" i="14"/>
  <c r="F406" i="14"/>
  <c r="E406" i="14"/>
  <c r="D406" i="14"/>
  <c r="C406" i="14"/>
  <c r="AA405" i="14"/>
  <c r="Z405" i="14"/>
  <c r="Y405" i="14"/>
  <c r="W405" i="14"/>
  <c r="V405" i="14"/>
  <c r="U405" i="14"/>
  <c r="T405" i="14"/>
  <c r="S405" i="14"/>
  <c r="R405" i="14"/>
  <c r="P405" i="14"/>
  <c r="O405" i="14"/>
  <c r="N405" i="14"/>
  <c r="L405" i="14"/>
  <c r="K405" i="14"/>
  <c r="J405" i="14"/>
  <c r="I405" i="14"/>
  <c r="H405" i="14"/>
  <c r="G405" i="14"/>
  <c r="F405" i="14"/>
  <c r="E405" i="14"/>
  <c r="D405" i="14"/>
  <c r="C405" i="14"/>
  <c r="AA404" i="14"/>
  <c r="Z404" i="14"/>
  <c r="Y404" i="14"/>
  <c r="W404" i="14"/>
  <c r="V404" i="14"/>
  <c r="U404" i="14"/>
  <c r="T404" i="14"/>
  <c r="S404" i="14"/>
  <c r="R404" i="14"/>
  <c r="P404" i="14"/>
  <c r="O404" i="14"/>
  <c r="N404" i="14"/>
  <c r="L404" i="14"/>
  <c r="K404" i="14"/>
  <c r="J404" i="14"/>
  <c r="I404" i="14"/>
  <c r="H404" i="14"/>
  <c r="G404" i="14"/>
  <c r="F404" i="14"/>
  <c r="E404" i="14"/>
  <c r="D404" i="14"/>
  <c r="C404" i="14"/>
  <c r="AA403" i="14"/>
  <c r="Z403" i="14"/>
  <c r="Y403" i="14"/>
  <c r="W403" i="14"/>
  <c r="V403" i="14"/>
  <c r="U403" i="14"/>
  <c r="T403" i="14"/>
  <c r="S403" i="14"/>
  <c r="R403" i="14"/>
  <c r="P403" i="14"/>
  <c r="O403" i="14"/>
  <c r="N403" i="14"/>
  <c r="L403" i="14"/>
  <c r="K403" i="14"/>
  <c r="J403" i="14"/>
  <c r="I403" i="14"/>
  <c r="H403" i="14"/>
  <c r="G403" i="14"/>
  <c r="F403" i="14"/>
  <c r="E403" i="14"/>
  <c r="D403" i="14"/>
  <c r="C403" i="14"/>
  <c r="AA402" i="14"/>
  <c r="Z402" i="14"/>
  <c r="Y402" i="14"/>
  <c r="W402" i="14"/>
  <c r="V402" i="14"/>
  <c r="U402" i="14"/>
  <c r="T402" i="14"/>
  <c r="S402" i="14"/>
  <c r="R402" i="14"/>
  <c r="P402" i="14"/>
  <c r="O402" i="14"/>
  <c r="N402" i="14"/>
  <c r="L402" i="14"/>
  <c r="K402" i="14"/>
  <c r="J402" i="14"/>
  <c r="I402" i="14"/>
  <c r="H402" i="14"/>
  <c r="G402" i="14"/>
  <c r="F402" i="14"/>
  <c r="E402" i="14"/>
  <c r="D402" i="14"/>
  <c r="C402" i="14"/>
  <c r="AA401" i="14"/>
  <c r="Z401" i="14"/>
  <c r="Y401" i="14"/>
  <c r="W401" i="14"/>
  <c r="V401" i="14"/>
  <c r="U401" i="14"/>
  <c r="T401" i="14"/>
  <c r="S401" i="14"/>
  <c r="R401" i="14"/>
  <c r="P401" i="14"/>
  <c r="O401" i="14"/>
  <c r="N401" i="14"/>
  <c r="L401" i="14"/>
  <c r="K401" i="14"/>
  <c r="J401" i="14"/>
  <c r="I401" i="14"/>
  <c r="H401" i="14"/>
  <c r="G401" i="14"/>
  <c r="F401" i="14"/>
  <c r="E401" i="14"/>
  <c r="D401" i="14"/>
  <c r="C401" i="14"/>
  <c r="AA400" i="14"/>
  <c r="Z400" i="14"/>
  <c r="Y400" i="14"/>
  <c r="W400" i="14"/>
  <c r="V400" i="14"/>
  <c r="U400" i="14"/>
  <c r="T400" i="14"/>
  <c r="S400" i="14"/>
  <c r="R400" i="14"/>
  <c r="P400" i="14"/>
  <c r="O400" i="14"/>
  <c r="N400" i="14"/>
  <c r="L400" i="14"/>
  <c r="K400" i="14"/>
  <c r="J400" i="14"/>
  <c r="I400" i="14"/>
  <c r="H400" i="14"/>
  <c r="G400" i="14"/>
  <c r="F400" i="14"/>
  <c r="E400" i="14"/>
  <c r="D400" i="14"/>
  <c r="C400" i="14"/>
  <c r="AA399" i="14"/>
  <c r="Z399" i="14"/>
  <c r="Y399" i="14"/>
  <c r="W399" i="14"/>
  <c r="V399" i="14"/>
  <c r="U399" i="14"/>
  <c r="T399" i="14"/>
  <c r="S399" i="14"/>
  <c r="R399" i="14"/>
  <c r="P399" i="14"/>
  <c r="O399" i="14"/>
  <c r="N399" i="14"/>
  <c r="L399" i="14"/>
  <c r="K399" i="14"/>
  <c r="J399" i="14"/>
  <c r="I399" i="14"/>
  <c r="H399" i="14"/>
  <c r="G399" i="14"/>
  <c r="F399" i="14"/>
  <c r="E399" i="14"/>
  <c r="D399" i="14"/>
  <c r="C399" i="14"/>
  <c r="AA398" i="14"/>
  <c r="Z398" i="14"/>
  <c r="Y398" i="14"/>
  <c r="W398" i="14"/>
  <c r="V398" i="14"/>
  <c r="U398" i="14"/>
  <c r="T398" i="14"/>
  <c r="S398" i="14"/>
  <c r="R398" i="14"/>
  <c r="P398" i="14"/>
  <c r="O398" i="14"/>
  <c r="N398" i="14"/>
  <c r="L398" i="14"/>
  <c r="K398" i="14"/>
  <c r="J398" i="14"/>
  <c r="I398" i="14"/>
  <c r="H398" i="14"/>
  <c r="G398" i="14"/>
  <c r="F398" i="14"/>
  <c r="E398" i="14"/>
  <c r="D398" i="14"/>
  <c r="C398" i="14"/>
  <c r="AA397" i="14"/>
  <c r="Z397" i="14"/>
  <c r="Y397" i="14"/>
  <c r="W397" i="14"/>
  <c r="V397" i="14"/>
  <c r="U397" i="14"/>
  <c r="T397" i="14"/>
  <c r="S397" i="14"/>
  <c r="R397" i="14"/>
  <c r="P397" i="14"/>
  <c r="O397" i="14"/>
  <c r="N397" i="14"/>
  <c r="L397" i="14"/>
  <c r="K397" i="14"/>
  <c r="J397" i="14"/>
  <c r="I397" i="14"/>
  <c r="H397" i="14"/>
  <c r="G397" i="14"/>
  <c r="F397" i="14"/>
  <c r="E397" i="14"/>
  <c r="D397" i="14"/>
  <c r="C397" i="14"/>
  <c r="AA396" i="14"/>
  <c r="Z396" i="14"/>
  <c r="Y396" i="14"/>
  <c r="W396" i="14"/>
  <c r="V396" i="14"/>
  <c r="U396" i="14"/>
  <c r="T396" i="14"/>
  <c r="S396" i="14"/>
  <c r="R396" i="14"/>
  <c r="P396" i="14"/>
  <c r="O396" i="14"/>
  <c r="N396" i="14"/>
  <c r="L396" i="14"/>
  <c r="K396" i="14"/>
  <c r="J396" i="14"/>
  <c r="I396" i="14"/>
  <c r="H396" i="14"/>
  <c r="G396" i="14"/>
  <c r="F396" i="14"/>
  <c r="E396" i="14"/>
  <c r="D396" i="14"/>
  <c r="C396" i="14"/>
  <c r="AA395" i="14"/>
  <c r="Z395" i="14"/>
  <c r="Y395" i="14"/>
  <c r="W395" i="14"/>
  <c r="V395" i="14"/>
  <c r="U395" i="14"/>
  <c r="T395" i="14"/>
  <c r="S395" i="14"/>
  <c r="R395" i="14"/>
  <c r="P395" i="14"/>
  <c r="O395" i="14"/>
  <c r="N395" i="14"/>
  <c r="L395" i="14"/>
  <c r="K395" i="14"/>
  <c r="J395" i="14"/>
  <c r="I395" i="14"/>
  <c r="H395" i="14"/>
  <c r="G395" i="14"/>
  <c r="F395" i="14"/>
  <c r="E395" i="14"/>
  <c r="D395" i="14"/>
  <c r="C395" i="14"/>
  <c r="AA394" i="14"/>
  <c r="Z394" i="14"/>
  <c r="Y394" i="14"/>
  <c r="W394" i="14"/>
  <c r="V394" i="14"/>
  <c r="U394" i="14"/>
  <c r="T394" i="14"/>
  <c r="S394" i="14"/>
  <c r="R394" i="14"/>
  <c r="P394" i="14"/>
  <c r="O394" i="14"/>
  <c r="N394" i="14"/>
  <c r="L394" i="14"/>
  <c r="K394" i="14"/>
  <c r="J394" i="14"/>
  <c r="I394" i="14"/>
  <c r="H394" i="14"/>
  <c r="G394" i="14"/>
  <c r="F394" i="14"/>
  <c r="E394" i="14"/>
  <c r="D394" i="14"/>
  <c r="C394" i="14"/>
  <c r="AA393" i="14"/>
  <c r="Z393" i="14"/>
  <c r="Y393" i="14"/>
  <c r="W393" i="14"/>
  <c r="V393" i="14"/>
  <c r="U393" i="14"/>
  <c r="T393" i="14"/>
  <c r="S393" i="14"/>
  <c r="R393" i="14"/>
  <c r="P393" i="14"/>
  <c r="O393" i="14"/>
  <c r="N393" i="14"/>
  <c r="L393" i="14"/>
  <c r="K393" i="14"/>
  <c r="J393" i="14"/>
  <c r="I393" i="14"/>
  <c r="H393" i="14"/>
  <c r="G393" i="14"/>
  <c r="F393" i="14"/>
  <c r="E393" i="14"/>
  <c r="D393" i="14"/>
  <c r="C393" i="14"/>
  <c r="AA392" i="14"/>
  <c r="Z392" i="14"/>
  <c r="Y392" i="14"/>
  <c r="W392" i="14"/>
  <c r="V392" i="14"/>
  <c r="U392" i="14"/>
  <c r="T392" i="14"/>
  <c r="S392" i="14"/>
  <c r="R392" i="14"/>
  <c r="P392" i="14"/>
  <c r="O392" i="14"/>
  <c r="N392" i="14"/>
  <c r="L392" i="14"/>
  <c r="K392" i="14"/>
  <c r="J392" i="14"/>
  <c r="I392" i="14"/>
  <c r="H392" i="14"/>
  <c r="G392" i="14"/>
  <c r="F392" i="14"/>
  <c r="E392" i="14"/>
  <c r="D392" i="14"/>
  <c r="C392" i="14"/>
  <c r="AA391" i="14"/>
  <c r="Z391" i="14"/>
  <c r="Y391" i="14"/>
  <c r="W391" i="14"/>
  <c r="V391" i="14"/>
  <c r="U391" i="14"/>
  <c r="T391" i="14"/>
  <c r="S391" i="14"/>
  <c r="R391" i="14"/>
  <c r="P391" i="14"/>
  <c r="O391" i="14"/>
  <c r="N391" i="14"/>
  <c r="L391" i="14"/>
  <c r="K391" i="14"/>
  <c r="J391" i="14"/>
  <c r="I391" i="14"/>
  <c r="H391" i="14"/>
  <c r="G391" i="14"/>
  <c r="F391" i="14"/>
  <c r="E391" i="14"/>
  <c r="D391" i="14"/>
  <c r="C391" i="14"/>
  <c r="AA390" i="14"/>
  <c r="Z390" i="14"/>
  <c r="Y390" i="14"/>
  <c r="W390" i="14"/>
  <c r="V390" i="14"/>
  <c r="U390" i="14"/>
  <c r="T390" i="14"/>
  <c r="S390" i="14"/>
  <c r="R390" i="14"/>
  <c r="P390" i="14"/>
  <c r="O390" i="14"/>
  <c r="N390" i="14"/>
  <c r="L390" i="14"/>
  <c r="K390" i="14"/>
  <c r="J390" i="14"/>
  <c r="I390" i="14"/>
  <c r="H390" i="14"/>
  <c r="G390" i="14"/>
  <c r="F390" i="14"/>
  <c r="E390" i="14"/>
  <c r="D390" i="14"/>
  <c r="C390" i="14"/>
  <c r="AA389" i="14"/>
  <c r="Z389" i="14"/>
  <c r="Y389" i="14"/>
  <c r="W389" i="14"/>
  <c r="V389" i="14"/>
  <c r="U389" i="14"/>
  <c r="T389" i="14"/>
  <c r="S389" i="14"/>
  <c r="R389" i="14"/>
  <c r="P389" i="14"/>
  <c r="O389" i="14"/>
  <c r="N389" i="14"/>
  <c r="L389" i="14"/>
  <c r="K389" i="14"/>
  <c r="J389" i="14"/>
  <c r="I389" i="14"/>
  <c r="H389" i="14"/>
  <c r="G389" i="14"/>
  <c r="F389" i="14"/>
  <c r="E389" i="14"/>
  <c r="D389" i="14"/>
  <c r="C389" i="14"/>
  <c r="AA388" i="14"/>
  <c r="Z388" i="14"/>
  <c r="Y388" i="14"/>
  <c r="W388" i="14"/>
  <c r="V388" i="14"/>
  <c r="U388" i="14"/>
  <c r="T388" i="14"/>
  <c r="S388" i="14"/>
  <c r="R388" i="14"/>
  <c r="P388" i="14"/>
  <c r="O388" i="14"/>
  <c r="N388" i="14"/>
  <c r="L388" i="14"/>
  <c r="K388" i="14"/>
  <c r="J388" i="14"/>
  <c r="I388" i="14"/>
  <c r="H388" i="14"/>
  <c r="G388" i="14"/>
  <c r="F388" i="14"/>
  <c r="E388" i="14"/>
  <c r="D388" i="14"/>
  <c r="C388" i="14"/>
  <c r="AA387" i="14"/>
  <c r="Z387" i="14"/>
  <c r="Y387" i="14"/>
  <c r="W387" i="14"/>
  <c r="V387" i="14"/>
  <c r="U387" i="14"/>
  <c r="T387" i="14"/>
  <c r="S387" i="14"/>
  <c r="R387" i="14"/>
  <c r="P387" i="14"/>
  <c r="O387" i="14"/>
  <c r="N387" i="14"/>
  <c r="L387" i="14"/>
  <c r="K387" i="14"/>
  <c r="J387" i="14"/>
  <c r="I387" i="14"/>
  <c r="H387" i="14"/>
  <c r="G387" i="14"/>
  <c r="F387" i="14"/>
  <c r="E387" i="14"/>
  <c r="D387" i="14"/>
  <c r="C387" i="14"/>
  <c r="AA386" i="14"/>
  <c r="Z386" i="14"/>
  <c r="Y386" i="14"/>
  <c r="W386" i="14"/>
  <c r="V386" i="14"/>
  <c r="U386" i="14"/>
  <c r="T386" i="14"/>
  <c r="S386" i="14"/>
  <c r="R386" i="14"/>
  <c r="P386" i="14"/>
  <c r="O386" i="14"/>
  <c r="N386" i="14"/>
  <c r="L386" i="14"/>
  <c r="K386" i="14"/>
  <c r="J386" i="14"/>
  <c r="I386" i="14"/>
  <c r="H386" i="14"/>
  <c r="G386" i="14"/>
  <c r="F386" i="14"/>
  <c r="E386" i="14"/>
  <c r="D386" i="14"/>
  <c r="C386" i="14"/>
  <c r="AA385" i="14"/>
  <c r="Z385" i="14"/>
  <c r="Y385" i="14"/>
  <c r="W385" i="14"/>
  <c r="V385" i="14"/>
  <c r="U385" i="14"/>
  <c r="T385" i="14"/>
  <c r="S385" i="14"/>
  <c r="R385" i="14"/>
  <c r="P385" i="14"/>
  <c r="O385" i="14"/>
  <c r="N385" i="14"/>
  <c r="L385" i="14"/>
  <c r="K385" i="14"/>
  <c r="J385" i="14"/>
  <c r="I385" i="14"/>
  <c r="H385" i="14"/>
  <c r="G385" i="14"/>
  <c r="F385" i="14"/>
  <c r="E385" i="14"/>
  <c r="D385" i="14"/>
  <c r="C385" i="14"/>
  <c r="AA384" i="14"/>
  <c r="Z384" i="14"/>
  <c r="Y384" i="14"/>
  <c r="W384" i="14"/>
  <c r="V384" i="14"/>
  <c r="U384" i="14"/>
  <c r="T384" i="14"/>
  <c r="S384" i="14"/>
  <c r="R384" i="14"/>
  <c r="P384" i="14"/>
  <c r="O384" i="14"/>
  <c r="N384" i="14"/>
  <c r="L384" i="14"/>
  <c r="K384" i="14"/>
  <c r="J384" i="14"/>
  <c r="I384" i="14"/>
  <c r="H384" i="14"/>
  <c r="G384" i="14"/>
  <c r="F384" i="14"/>
  <c r="E384" i="14"/>
  <c r="D384" i="14"/>
  <c r="C384" i="14"/>
  <c r="AA383" i="14"/>
  <c r="Z383" i="14"/>
  <c r="Y383" i="14"/>
  <c r="W383" i="14"/>
  <c r="V383" i="14"/>
  <c r="U383" i="14"/>
  <c r="T383" i="14"/>
  <c r="S383" i="14"/>
  <c r="R383" i="14"/>
  <c r="P383" i="14"/>
  <c r="O383" i="14"/>
  <c r="N383" i="14"/>
  <c r="L383" i="14"/>
  <c r="K383" i="14"/>
  <c r="J383" i="14"/>
  <c r="I383" i="14"/>
  <c r="H383" i="14"/>
  <c r="G383" i="14"/>
  <c r="F383" i="14"/>
  <c r="E383" i="14"/>
  <c r="D383" i="14"/>
  <c r="C383" i="14"/>
  <c r="AA382" i="14"/>
  <c r="Z382" i="14"/>
  <c r="Y382" i="14"/>
  <c r="W382" i="14"/>
  <c r="V382" i="14"/>
  <c r="U382" i="14"/>
  <c r="T382" i="14"/>
  <c r="S382" i="14"/>
  <c r="R382" i="14"/>
  <c r="P382" i="14"/>
  <c r="O382" i="14"/>
  <c r="N382" i="14"/>
  <c r="L382" i="14"/>
  <c r="K382" i="14"/>
  <c r="J382" i="14"/>
  <c r="I382" i="14"/>
  <c r="H382" i="14"/>
  <c r="G382" i="14"/>
  <c r="F382" i="14"/>
  <c r="E382" i="14"/>
  <c r="D382" i="14"/>
  <c r="C382" i="14"/>
  <c r="AA381" i="14"/>
  <c r="Z381" i="14"/>
  <c r="Y381" i="14"/>
  <c r="W381" i="14"/>
  <c r="V381" i="14"/>
  <c r="U381" i="14"/>
  <c r="T381" i="14"/>
  <c r="S381" i="14"/>
  <c r="R381" i="14"/>
  <c r="P381" i="14"/>
  <c r="O381" i="14"/>
  <c r="N381" i="14"/>
  <c r="L381" i="14"/>
  <c r="K381" i="14"/>
  <c r="J381" i="14"/>
  <c r="I381" i="14"/>
  <c r="H381" i="14"/>
  <c r="G381" i="14"/>
  <c r="F381" i="14"/>
  <c r="E381" i="14"/>
  <c r="D381" i="14"/>
  <c r="C381" i="14"/>
  <c r="AA380" i="14"/>
  <c r="Z380" i="14"/>
  <c r="Y380" i="14"/>
  <c r="W380" i="14"/>
  <c r="V380" i="14"/>
  <c r="U380" i="14"/>
  <c r="T380" i="14"/>
  <c r="S380" i="14"/>
  <c r="R380" i="14"/>
  <c r="P380" i="14"/>
  <c r="O380" i="14"/>
  <c r="N380" i="14"/>
  <c r="L380" i="14"/>
  <c r="K380" i="14"/>
  <c r="J380" i="14"/>
  <c r="I380" i="14"/>
  <c r="H380" i="14"/>
  <c r="G380" i="14"/>
  <c r="F380" i="14"/>
  <c r="E380" i="14"/>
  <c r="D380" i="14"/>
  <c r="C380" i="14"/>
  <c r="AA379" i="14"/>
  <c r="Z379" i="14"/>
  <c r="Y379" i="14"/>
  <c r="W379" i="14"/>
  <c r="V379" i="14"/>
  <c r="U379" i="14"/>
  <c r="T379" i="14"/>
  <c r="S379" i="14"/>
  <c r="R379" i="14"/>
  <c r="P379" i="14"/>
  <c r="O379" i="14"/>
  <c r="N379" i="14"/>
  <c r="L379" i="14"/>
  <c r="K379" i="14"/>
  <c r="J379" i="14"/>
  <c r="I379" i="14"/>
  <c r="H379" i="14"/>
  <c r="G379" i="14"/>
  <c r="F379" i="14"/>
  <c r="E379" i="14"/>
  <c r="D379" i="14"/>
  <c r="C379" i="14"/>
  <c r="AA378" i="14"/>
  <c r="Z378" i="14"/>
  <c r="Y378" i="14"/>
  <c r="W378" i="14"/>
  <c r="V378" i="14"/>
  <c r="U378" i="14"/>
  <c r="T378" i="14"/>
  <c r="S378" i="14"/>
  <c r="R378" i="14"/>
  <c r="P378" i="14"/>
  <c r="O378" i="14"/>
  <c r="N378" i="14"/>
  <c r="L378" i="14"/>
  <c r="K378" i="14"/>
  <c r="J378" i="14"/>
  <c r="I378" i="14"/>
  <c r="H378" i="14"/>
  <c r="G378" i="14"/>
  <c r="F378" i="14"/>
  <c r="E378" i="14"/>
  <c r="D378" i="14"/>
  <c r="C378" i="14"/>
  <c r="AA377" i="14"/>
  <c r="Z377" i="14"/>
  <c r="Y377" i="14"/>
  <c r="W377" i="14"/>
  <c r="V377" i="14"/>
  <c r="U377" i="14"/>
  <c r="T377" i="14"/>
  <c r="S377" i="14"/>
  <c r="R377" i="14"/>
  <c r="P377" i="14"/>
  <c r="O377" i="14"/>
  <c r="N377" i="14"/>
  <c r="L377" i="14"/>
  <c r="K377" i="14"/>
  <c r="J377" i="14"/>
  <c r="I377" i="14"/>
  <c r="H377" i="14"/>
  <c r="G377" i="14"/>
  <c r="F377" i="14"/>
  <c r="E377" i="14"/>
  <c r="D377" i="14"/>
  <c r="C377" i="14"/>
  <c r="AA376" i="14"/>
  <c r="Z376" i="14"/>
  <c r="Y376" i="14"/>
  <c r="W376" i="14"/>
  <c r="V376" i="14"/>
  <c r="U376" i="14"/>
  <c r="T376" i="14"/>
  <c r="S376" i="14"/>
  <c r="R376" i="14"/>
  <c r="P376" i="14"/>
  <c r="O376" i="14"/>
  <c r="N376" i="14"/>
  <c r="L376" i="14"/>
  <c r="K376" i="14"/>
  <c r="J376" i="14"/>
  <c r="I376" i="14"/>
  <c r="H376" i="14"/>
  <c r="G376" i="14"/>
  <c r="F376" i="14"/>
  <c r="E376" i="14"/>
  <c r="D376" i="14"/>
  <c r="C376" i="14"/>
  <c r="AA375" i="14"/>
  <c r="Z375" i="14"/>
  <c r="Y375" i="14"/>
  <c r="W375" i="14"/>
  <c r="V375" i="14"/>
  <c r="U375" i="14"/>
  <c r="T375" i="14"/>
  <c r="S375" i="14"/>
  <c r="R375" i="14"/>
  <c r="P375" i="14"/>
  <c r="O375" i="14"/>
  <c r="N375" i="14"/>
  <c r="L375" i="14"/>
  <c r="K375" i="14"/>
  <c r="J375" i="14"/>
  <c r="I375" i="14"/>
  <c r="H375" i="14"/>
  <c r="G375" i="14"/>
  <c r="F375" i="14"/>
  <c r="E375" i="14"/>
  <c r="D375" i="14"/>
  <c r="C375" i="14"/>
  <c r="AA374" i="14"/>
  <c r="Z374" i="14"/>
  <c r="Y374" i="14"/>
  <c r="W374" i="14"/>
  <c r="V374" i="14"/>
  <c r="U374" i="14"/>
  <c r="T374" i="14"/>
  <c r="S374" i="14"/>
  <c r="R374" i="14"/>
  <c r="P374" i="14"/>
  <c r="O374" i="14"/>
  <c r="N374" i="14"/>
  <c r="L374" i="14"/>
  <c r="K374" i="14"/>
  <c r="J374" i="14"/>
  <c r="I374" i="14"/>
  <c r="H374" i="14"/>
  <c r="G374" i="14"/>
  <c r="F374" i="14"/>
  <c r="E374" i="14"/>
  <c r="D374" i="14"/>
  <c r="C374" i="14"/>
  <c r="AA373" i="14"/>
  <c r="Z373" i="14"/>
  <c r="Y373" i="14"/>
  <c r="W373" i="14"/>
  <c r="V373" i="14"/>
  <c r="U373" i="14"/>
  <c r="T373" i="14"/>
  <c r="S373" i="14"/>
  <c r="R373" i="14"/>
  <c r="P373" i="14"/>
  <c r="O373" i="14"/>
  <c r="N373" i="14"/>
  <c r="L373" i="14"/>
  <c r="K373" i="14"/>
  <c r="J373" i="14"/>
  <c r="I373" i="14"/>
  <c r="H373" i="14"/>
  <c r="G373" i="14"/>
  <c r="F373" i="14"/>
  <c r="E373" i="14"/>
  <c r="D373" i="14"/>
  <c r="C373" i="14"/>
  <c r="AA372" i="14"/>
  <c r="Z372" i="14"/>
  <c r="Y372" i="14"/>
  <c r="W372" i="14"/>
  <c r="V372" i="14"/>
  <c r="U372" i="14"/>
  <c r="T372" i="14"/>
  <c r="S372" i="14"/>
  <c r="R372" i="14"/>
  <c r="P372" i="14"/>
  <c r="O372" i="14"/>
  <c r="N372" i="14"/>
  <c r="L372" i="14"/>
  <c r="K372" i="14"/>
  <c r="J372" i="14"/>
  <c r="I372" i="14"/>
  <c r="H372" i="14"/>
  <c r="G372" i="14"/>
  <c r="F372" i="14"/>
  <c r="E372" i="14"/>
  <c r="D372" i="14"/>
  <c r="C372" i="14"/>
  <c r="AA371" i="14"/>
  <c r="Z371" i="14"/>
  <c r="Y371" i="14"/>
  <c r="W371" i="14"/>
  <c r="V371" i="14"/>
  <c r="U371" i="14"/>
  <c r="T371" i="14"/>
  <c r="S371" i="14"/>
  <c r="R371" i="14"/>
  <c r="P371" i="14"/>
  <c r="O371" i="14"/>
  <c r="N371" i="14"/>
  <c r="L371" i="14"/>
  <c r="K371" i="14"/>
  <c r="J371" i="14"/>
  <c r="I371" i="14"/>
  <c r="H371" i="14"/>
  <c r="G371" i="14"/>
  <c r="F371" i="14"/>
  <c r="E371" i="14"/>
  <c r="D371" i="14"/>
  <c r="C371" i="14"/>
  <c r="AA370" i="14"/>
  <c r="Z370" i="14"/>
  <c r="Y370" i="14"/>
  <c r="W370" i="14"/>
  <c r="V370" i="14"/>
  <c r="U370" i="14"/>
  <c r="T370" i="14"/>
  <c r="S370" i="14"/>
  <c r="R370" i="14"/>
  <c r="P370" i="14"/>
  <c r="O370" i="14"/>
  <c r="N370" i="14"/>
  <c r="L370" i="14"/>
  <c r="K370" i="14"/>
  <c r="J370" i="14"/>
  <c r="I370" i="14"/>
  <c r="H370" i="14"/>
  <c r="G370" i="14"/>
  <c r="F370" i="14"/>
  <c r="E370" i="14"/>
  <c r="D370" i="14"/>
  <c r="C370" i="14"/>
  <c r="AA369" i="14"/>
  <c r="Z369" i="14"/>
  <c r="Y369" i="14"/>
  <c r="W369" i="14"/>
  <c r="V369" i="14"/>
  <c r="U369" i="14"/>
  <c r="T369" i="14"/>
  <c r="S369" i="14"/>
  <c r="R369" i="14"/>
  <c r="P369" i="14"/>
  <c r="O369" i="14"/>
  <c r="N369" i="14"/>
  <c r="L369" i="14"/>
  <c r="K369" i="14"/>
  <c r="J369" i="14"/>
  <c r="I369" i="14"/>
  <c r="H369" i="14"/>
  <c r="G369" i="14"/>
  <c r="F369" i="14"/>
  <c r="E369" i="14"/>
  <c r="D369" i="14"/>
  <c r="C369" i="14"/>
  <c r="AA368" i="14"/>
  <c r="Z368" i="14"/>
  <c r="Y368" i="14"/>
  <c r="W368" i="14"/>
  <c r="V368" i="14"/>
  <c r="U368" i="14"/>
  <c r="T368" i="14"/>
  <c r="S368" i="14"/>
  <c r="R368" i="14"/>
  <c r="P368" i="14"/>
  <c r="O368" i="14"/>
  <c r="N368" i="14"/>
  <c r="L368" i="14"/>
  <c r="K368" i="14"/>
  <c r="J368" i="14"/>
  <c r="I368" i="14"/>
  <c r="H368" i="14"/>
  <c r="G368" i="14"/>
  <c r="F368" i="14"/>
  <c r="E368" i="14"/>
  <c r="D368" i="14"/>
  <c r="C368" i="14"/>
  <c r="AA367" i="14"/>
  <c r="Z367" i="14"/>
  <c r="Y367" i="14"/>
  <c r="W367" i="14"/>
  <c r="V367" i="14"/>
  <c r="U367" i="14"/>
  <c r="T367" i="14"/>
  <c r="S367" i="14"/>
  <c r="R367" i="14"/>
  <c r="P367" i="14"/>
  <c r="O367" i="14"/>
  <c r="N367" i="14"/>
  <c r="L367" i="14"/>
  <c r="K367" i="14"/>
  <c r="J367" i="14"/>
  <c r="I367" i="14"/>
  <c r="H367" i="14"/>
  <c r="G367" i="14"/>
  <c r="F367" i="14"/>
  <c r="E367" i="14"/>
  <c r="D367" i="14"/>
  <c r="C367" i="14"/>
  <c r="AA366" i="14"/>
  <c r="Z366" i="14"/>
  <c r="Y366" i="14"/>
  <c r="W366" i="14"/>
  <c r="V366" i="14"/>
  <c r="U366" i="14"/>
  <c r="T366" i="14"/>
  <c r="S366" i="14"/>
  <c r="R366" i="14"/>
  <c r="P366" i="14"/>
  <c r="O366" i="14"/>
  <c r="N366" i="14"/>
  <c r="L366" i="14"/>
  <c r="K366" i="14"/>
  <c r="J366" i="14"/>
  <c r="I366" i="14"/>
  <c r="H366" i="14"/>
  <c r="G366" i="14"/>
  <c r="F366" i="14"/>
  <c r="E366" i="14"/>
  <c r="D366" i="14"/>
  <c r="C366" i="14"/>
  <c r="AA365" i="14"/>
  <c r="Z365" i="14"/>
  <c r="Y365" i="14"/>
  <c r="W365" i="14"/>
  <c r="V365" i="14"/>
  <c r="U365" i="14"/>
  <c r="T365" i="14"/>
  <c r="S365" i="14"/>
  <c r="R365" i="14"/>
  <c r="P365" i="14"/>
  <c r="O365" i="14"/>
  <c r="N365" i="14"/>
  <c r="L365" i="14"/>
  <c r="K365" i="14"/>
  <c r="J365" i="14"/>
  <c r="I365" i="14"/>
  <c r="H365" i="14"/>
  <c r="G365" i="14"/>
  <c r="F365" i="14"/>
  <c r="E365" i="14"/>
  <c r="D365" i="14"/>
  <c r="C365" i="14"/>
  <c r="AA364" i="14"/>
  <c r="Z364" i="14"/>
  <c r="Y364" i="14"/>
  <c r="W364" i="14"/>
  <c r="V364" i="14"/>
  <c r="U364" i="14"/>
  <c r="T364" i="14"/>
  <c r="S364" i="14"/>
  <c r="R364" i="14"/>
  <c r="P364" i="14"/>
  <c r="O364" i="14"/>
  <c r="N364" i="14"/>
  <c r="L364" i="14"/>
  <c r="K364" i="14"/>
  <c r="J364" i="14"/>
  <c r="I364" i="14"/>
  <c r="H364" i="14"/>
  <c r="G364" i="14"/>
  <c r="F364" i="14"/>
  <c r="E364" i="14"/>
  <c r="D364" i="14"/>
  <c r="C364" i="14"/>
  <c r="AA363" i="14"/>
  <c r="Z363" i="14"/>
  <c r="Y363" i="14"/>
  <c r="W363" i="14"/>
  <c r="V363" i="14"/>
  <c r="U363" i="14"/>
  <c r="T363" i="14"/>
  <c r="S363" i="14"/>
  <c r="R363" i="14"/>
  <c r="P363" i="14"/>
  <c r="O363" i="14"/>
  <c r="N363" i="14"/>
  <c r="L363" i="14"/>
  <c r="K363" i="14"/>
  <c r="J363" i="14"/>
  <c r="I363" i="14"/>
  <c r="H363" i="14"/>
  <c r="G363" i="14"/>
  <c r="F363" i="14"/>
  <c r="E363" i="14"/>
  <c r="D363" i="14"/>
  <c r="C363" i="14"/>
  <c r="AA362" i="14"/>
  <c r="Z362" i="14"/>
  <c r="Y362" i="14"/>
  <c r="W362" i="14"/>
  <c r="V362" i="14"/>
  <c r="U362" i="14"/>
  <c r="T362" i="14"/>
  <c r="S362" i="14"/>
  <c r="R362" i="14"/>
  <c r="P362" i="14"/>
  <c r="O362" i="14"/>
  <c r="N362" i="14"/>
  <c r="L362" i="14"/>
  <c r="K362" i="14"/>
  <c r="J362" i="14"/>
  <c r="I362" i="14"/>
  <c r="H362" i="14"/>
  <c r="G362" i="14"/>
  <c r="F362" i="14"/>
  <c r="E362" i="14"/>
  <c r="D362" i="14"/>
  <c r="C362" i="14"/>
  <c r="AA361" i="14"/>
  <c r="Z361" i="14"/>
  <c r="Y361" i="14"/>
  <c r="W361" i="14"/>
  <c r="V361" i="14"/>
  <c r="U361" i="14"/>
  <c r="T361" i="14"/>
  <c r="S361" i="14"/>
  <c r="R361" i="14"/>
  <c r="P361" i="14"/>
  <c r="O361" i="14"/>
  <c r="N361" i="14"/>
  <c r="L361" i="14"/>
  <c r="K361" i="14"/>
  <c r="J361" i="14"/>
  <c r="I361" i="14"/>
  <c r="H361" i="14"/>
  <c r="G361" i="14"/>
  <c r="F361" i="14"/>
  <c r="E361" i="14"/>
  <c r="D361" i="14"/>
  <c r="C361" i="14"/>
  <c r="AA360" i="14"/>
  <c r="Z360" i="14"/>
  <c r="Y360" i="14"/>
  <c r="W360" i="14"/>
  <c r="V360" i="14"/>
  <c r="U360" i="14"/>
  <c r="T360" i="14"/>
  <c r="S360" i="14"/>
  <c r="R360" i="14"/>
  <c r="P360" i="14"/>
  <c r="O360" i="14"/>
  <c r="N360" i="14"/>
  <c r="L360" i="14"/>
  <c r="K360" i="14"/>
  <c r="J360" i="14"/>
  <c r="I360" i="14"/>
  <c r="H360" i="14"/>
  <c r="G360" i="14"/>
  <c r="F360" i="14"/>
  <c r="E360" i="14"/>
  <c r="D360" i="14"/>
  <c r="C360" i="14"/>
  <c r="AA359" i="14"/>
  <c r="Z359" i="14"/>
  <c r="Y359" i="14"/>
  <c r="W359" i="14"/>
  <c r="V359" i="14"/>
  <c r="U359" i="14"/>
  <c r="T359" i="14"/>
  <c r="S359" i="14"/>
  <c r="R359" i="14"/>
  <c r="P359" i="14"/>
  <c r="O359" i="14"/>
  <c r="N359" i="14"/>
  <c r="L359" i="14"/>
  <c r="K359" i="14"/>
  <c r="J359" i="14"/>
  <c r="I359" i="14"/>
  <c r="H359" i="14"/>
  <c r="G359" i="14"/>
  <c r="F359" i="14"/>
  <c r="E359" i="14"/>
  <c r="D359" i="14"/>
  <c r="C359" i="14"/>
  <c r="AA358" i="14"/>
  <c r="Z358" i="14"/>
  <c r="Y358" i="14"/>
  <c r="W358" i="14"/>
  <c r="V358" i="14"/>
  <c r="U358" i="14"/>
  <c r="T358" i="14"/>
  <c r="S358" i="14"/>
  <c r="R358" i="14"/>
  <c r="P358" i="14"/>
  <c r="O358" i="14"/>
  <c r="N358" i="14"/>
  <c r="L358" i="14"/>
  <c r="K358" i="14"/>
  <c r="J358" i="14"/>
  <c r="I358" i="14"/>
  <c r="H358" i="14"/>
  <c r="G358" i="14"/>
  <c r="F358" i="14"/>
  <c r="E358" i="14"/>
  <c r="D358" i="14"/>
  <c r="C358" i="14"/>
  <c r="AA357" i="14"/>
  <c r="Z357" i="14"/>
  <c r="Y357" i="14"/>
  <c r="W357" i="14"/>
  <c r="V357" i="14"/>
  <c r="U357" i="14"/>
  <c r="T357" i="14"/>
  <c r="S357" i="14"/>
  <c r="R357" i="14"/>
  <c r="P357" i="14"/>
  <c r="O357" i="14"/>
  <c r="N357" i="14"/>
  <c r="L357" i="14"/>
  <c r="K357" i="14"/>
  <c r="J357" i="14"/>
  <c r="I357" i="14"/>
  <c r="H357" i="14"/>
  <c r="G357" i="14"/>
  <c r="F357" i="14"/>
  <c r="E357" i="14"/>
  <c r="D357" i="14"/>
  <c r="C357" i="14"/>
  <c r="AA356" i="14"/>
  <c r="Z356" i="14"/>
  <c r="Y356" i="14"/>
  <c r="W356" i="14"/>
  <c r="V356" i="14"/>
  <c r="U356" i="14"/>
  <c r="T356" i="14"/>
  <c r="S356" i="14"/>
  <c r="R356" i="14"/>
  <c r="P356" i="14"/>
  <c r="O356" i="14"/>
  <c r="N356" i="14"/>
  <c r="L356" i="14"/>
  <c r="K356" i="14"/>
  <c r="J356" i="14"/>
  <c r="I356" i="14"/>
  <c r="H356" i="14"/>
  <c r="G356" i="14"/>
  <c r="F356" i="14"/>
  <c r="E356" i="14"/>
  <c r="D356" i="14"/>
  <c r="C356" i="14"/>
  <c r="AA355" i="14"/>
  <c r="Z355" i="14"/>
  <c r="Y355" i="14"/>
  <c r="W355" i="14"/>
  <c r="V355" i="14"/>
  <c r="U355" i="14"/>
  <c r="T355" i="14"/>
  <c r="S355" i="14"/>
  <c r="R355" i="14"/>
  <c r="P355" i="14"/>
  <c r="O355" i="14"/>
  <c r="N355" i="14"/>
  <c r="L355" i="14"/>
  <c r="K355" i="14"/>
  <c r="J355" i="14"/>
  <c r="I355" i="14"/>
  <c r="H355" i="14"/>
  <c r="G355" i="14"/>
  <c r="F355" i="14"/>
  <c r="E355" i="14"/>
  <c r="D355" i="14"/>
  <c r="C355" i="14"/>
  <c r="AA354" i="14"/>
  <c r="Z354" i="14"/>
  <c r="Y354" i="14"/>
  <c r="W354" i="14"/>
  <c r="V354" i="14"/>
  <c r="U354" i="14"/>
  <c r="T354" i="14"/>
  <c r="S354" i="14"/>
  <c r="R354" i="14"/>
  <c r="P354" i="14"/>
  <c r="O354" i="14"/>
  <c r="N354" i="14"/>
  <c r="L354" i="14"/>
  <c r="K354" i="14"/>
  <c r="J354" i="14"/>
  <c r="I354" i="14"/>
  <c r="H354" i="14"/>
  <c r="G354" i="14"/>
  <c r="F354" i="14"/>
  <c r="E354" i="14"/>
  <c r="D354" i="14"/>
  <c r="C354" i="14"/>
  <c r="AA353" i="14"/>
  <c r="Z353" i="14"/>
  <c r="Y353" i="14"/>
  <c r="W353" i="14"/>
  <c r="V353" i="14"/>
  <c r="U353" i="14"/>
  <c r="T353" i="14"/>
  <c r="S353" i="14"/>
  <c r="R353" i="14"/>
  <c r="P353" i="14"/>
  <c r="O353" i="14"/>
  <c r="N353" i="14"/>
  <c r="L353" i="14"/>
  <c r="K353" i="14"/>
  <c r="J353" i="14"/>
  <c r="I353" i="14"/>
  <c r="H353" i="14"/>
  <c r="G353" i="14"/>
  <c r="F353" i="14"/>
  <c r="E353" i="14"/>
  <c r="D353" i="14"/>
  <c r="C353" i="14"/>
  <c r="AA352" i="14"/>
  <c r="Z352" i="14"/>
  <c r="Y352" i="14"/>
  <c r="W352" i="14"/>
  <c r="V352" i="14"/>
  <c r="U352" i="14"/>
  <c r="T352" i="14"/>
  <c r="S352" i="14"/>
  <c r="R352" i="14"/>
  <c r="P352" i="14"/>
  <c r="O352" i="14"/>
  <c r="N352" i="14"/>
  <c r="L352" i="14"/>
  <c r="K352" i="14"/>
  <c r="J352" i="14"/>
  <c r="I352" i="14"/>
  <c r="H352" i="14"/>
  <c r="G352" i="14"/>
  <c r="F352" i="14"/>
  <c r="E352" i="14"/>
  <c r="D352" i="14"/>
  <c r="C352" i="14"/>
  <c r="AA351" i="14"/>
  <c r="Z351" i="14"/>
  <c r="Y351" i="14"/>
  <c r="W351" i="14"/>
  <c r="V351" i="14"/>
  <c r="U351" i="14"/>
  <c r="T351" i="14"/>
  <c r="S351" i="14"/>
  <c r="R351" i="14"/>
  <c r="P351" i="14"/>
  <c r="O351" i="14"/>
  <c r="N351" i="14"/>
  <c r="L351" i="14"/>
  <c r="K351" i="14"/>
  <c r="J351" i="14"/>
  <c r="I351" i="14"/>
  <c r="H351" i="14"/>
  <c r="G351" i="14"/>
  <c r="F351" i="14"/>
  <c r="E351" i="14"/>
  <c r="D351" i="14"/>
  <c r="C351" i="14"/>
  <c r="AA350" i="14"/>
  <c r="Z350" i="14"/>
  <c r="Y350" i="14"/>
  <c r="W350" i="14"/>
  <c r="V350" i="14"/>
  <c r="U350" i="14"/>
  <c r="T350" i="14"/>
  <c r="S350" i="14"/>
  <c r="R350" i="14"/>
  <c r="P350" i="14"/>
  <c r="O350" i="14"/>
  <c r="N350" i="14"/>
  <c r="L350" i="14"/>
  <c r="K350" i="14"/>
  <c r="J350" i="14"/>
  <c r="I350" i="14"/>
  <c r="H350" i="14"/>
  <c r="G350" i="14"/>
  <c r="F350" i="14"/>
  <c r="E350" i="14"/>
  <c r="D350" i="14"/>
  <c r="C350" i="14"/>
  <c r="AA349" i="14"/>
  <c r="Z349" i="14"/>
  <c r="Y349" i="14"/>
  <c r="W349" i="14"/>
  <c r="V349" i="14"/>
  <c r="U349" i="14"/>
  <c r="T349" i="14"/>
  <c r="S349" i="14"/>
  <c r="R349" i="14"/>
  <c r="P349" i="14"/>
  <c r="O349" i="14"/>
  <c r="N349" i="14"/>
  <c r="L349" i="14"/>
  <c r="K349" i="14"/>
  <c r="J349" i="14"/>
  <c r="I349" i="14"/>
  <c r="H349" i="14"/>
  <c r="G349" i="14"/>
  <c r="F349" i="14"/>
  <c r="E349" i="14"/>
  <c r="D349" i="14"/>
  <c r="C349" i="14"/>
  <c r="AA348" i="14"/>
  <c r="Z348" i="14"/>
  <c r="Y348" i="14"/>
  <c r="W348" i="14"/>
  <c r="V348" i="14"/>
  <c r="U348" i="14"/>
  <c r="T348" i="14"/>
  <c r="S348" i="14"/>
  <c r="R348" i="14"/>
  <c r="P348" i="14"/>
  <c r="O348" i="14"/>
  <c r="N348" i="14"/>
  <c r="L348" i="14"/>
  <c r="K348" i="14"/>
  <c r="J348" i="14"/>
  <c r="I348" i="14"/>
  <c r="H348" i="14"/>
  <c r="G348" i="14"/>
  <c r="F348" i="14"/>
  <c r="E348" i="14"/>
  <c r="D348" i="14"/>
  <c r="C348" i="14"/>
  <c r="AA347" i="14"/>
  <c r="Z347" i="14"/>
  <c r="Y347" i="14"/>
  <c r="W347" i="14"/>
  <c r="V347" i="14"/>
  <c r="U347" i="14"/>
  <c r="T347" i="14"/>
  <c r="S347" i="14"/>
  <c r="R347" i="14"/>
  <c r="P347" i="14"/>
  <c r="O347" i="14"/>
  <c r="N347" i="14"/>
  <c r="L347" i="14"/>
  <c r="K347" i="14"/>
  <c r="J347" i="14"/>
  <c r="I347" i="14"/>
  <c r="H347" i="14"/>
  <c r="G347" i="14"/>
  <c r="F347" i="14"/>
  <c r="E347" i="14"/>
  <c r="D347" i="14"/>
  <c r="C347" i="14"/>
  <c r="AA346" i="14"/>
  <c r="Z346" i="14"/>
  <c r="Y346" i="14"/>
  <c r="W346" i="14"/>
  <c r="V346" i="14"/>
  <c r="U346" i="14"/>
  <c r="T346" i="14"/>
  <c r="S346" i="14"/>
  <c r="R346" i="14"/>
  <c r="P346" i="14"/>
  <c r="O346" i="14"/>
  <c r="N346" i="14"/>
  <c r="L346" i="14"/>
  <c r="K346" i="14"/>
  <c r="J346" i="14"/>
  <c r="I346" i="14"/>
  <c r="H346" i="14"/>
  <c r="G346" i="14"/>
  <c r="F346" i="14"/>
  <c r="E346" i="14"/>
  <c r="D346" i="14"/>
  <c r="C346" i="14"/>
  <c r="AA345" i="14"/>
  <c r="Z345" i="14"/>
  <c r="Y345" i="14"/>
  <c r="W345" i="14"/>
  <c r="V345" i="14"/>
  <c r="U345" i="14"/>
  <c r="T345" i="14"/>
  <c r="S345" i="14"/>
  <c r="R345" i="14"/>
  <c r="P345" i="14"/>
  <c r="O345" i="14"/>
  <c r="N345" i="14"/>
  <c r="L345" i="14"/>
  <c r="K345" i="14"/>
  <c r="J345" i="14"/>
  <c r="I345" i="14"/>
  <c r="H345" i="14"/>
  <c r="G345" i="14"/>
  <c r="F345" i="14"/>
  <c r="E345" i="14"/>
  <c r="D345" i="14"/>
  <c r="C345" i="14"/>
  <c r="AA344" i="14"/>
  <c r="Z344" i="14"/>
  <c r="Y344" i="14"/>
  <c r="W344" i="14"/>
  <c r="V344" i="14"/>
  <c r="U344" i="14"/>
  <c r="T344" i="14"/>
  <c r="S344" i="14"/>
  <c r="R344" i="14"/>
  <c r="P344" i="14"/>
  <c r="O344" i="14"/>
  <c r="N344" i="14"/>
  <c r="L344" i="14"/>
  <c r="K344" i="14"/>
  <c r="J344" i="14"/>
  <c r="I344" i="14"/>
  <c r="H344" i="14"/>
  <c r="G344" i="14"/>
  <c r="F344" i="14"/>
  <c r="E344" i="14"/>
  <c r="D344" i="14"/>
  <c r="C344" i="14"/>
  <c r="AA343" i="14"/>
  <c r="Z343" i="14"/>
  <c r="Y343" i="14"/>
  <c r="W343" i="14"/>
  <c r="V343" i="14"/>
  <c r="U343" i="14"/>
  <c r="T343" i="14"/>
  <c r="S343" i="14"/>
  <c r="R343" i="14"/>
  <c r="P343" i="14"/>
  <c r="O343" i="14"/>
  <c r="N343" i="14"/>
  <c r="L343" i="14"/>
  <c r="K343" i="14"/>
  <c r="J343" i="14"/>
  <c r="I343" i="14"/>
  <c r="H343" i="14"/>
  <c r="G343" i="14"/>
  <c r="F343" i="14"/>
  <c r="E343" i="14"/>
  <c r="D343" i="14"/>
  <c r="C343" i="14"/>
  <c r="AA342" i="14"/>
  <c r="Z342" i="14"/>
  <c r="Y342" i="14"/>
  <c r="W342" i="14"/>
  <c r="V342" i="14"/>
  <c r="U342" i="14"/>
  <c r="T342" i="14"/>
  <c r="S342" i="14"/>
  <c r="R342" i="14"/>
  <c r="P342" i="14"/>
  <c r="O342" i="14"/>
  <c r="N342" i="14"/>
  <c r="L342" i="14"/>
  <c r="K342" i="14"/>
  <c r="J342" i="14"/>
  <c r="I342" i="14"/>
  <c r="H342" i="14"/>
  <c r="G342" i="14"/>
  <c r="F342" i="14"/>
  <c r="E342" i="14"/>
  <c r="D342" i="14"/>
  <c r="C342" i="14"/>
  <c r="AA341" i="14"/>
  <c r="Z341" i="14"/>
  <c r="Y341" i="14"/>
  <c r="W341" i="14"/>
  <c r="V341" i="14"/>
  <c r="U341" i="14"/>
  <c r="T341" i="14"/>
  <c r="S341" i="14"/>
  <c r="R341" i="14"/>
  <c r="P341" i="14"/>
  <c r="O341" i="14"/>
  <c r="N341" i="14"/>
  <c r="L341" i="14"/>
  <c r="K341" i="14"/>
  <c r="J341" i="14"/>
  <c r="I341" i="14"/>
  <c r="H341" i="14"/>
  <c r="G341" i="14"/>
  <c r="F341" i="14"/>
  <c r="E341" i="14"/>
  <c r="D341" i="14"/>
  <c r="C341" i="14"/>
  <c r="AA340" i="14"/>
  <c r="Z340" i="14"/>
  <c r="Y340" i="14"/>
  <c r="W340" i="14"/>
  <c r="V340" i="14"/>
  <c r="U340" i="14"/>
  <c r="T340" i="14"/>
  <c r="S340" i="14"/>
  <c r="R340" i="14"/>
  <c r="P340" i="14"/>
  <c r="O340" i="14"/>
  <c r="N340" i="14"/>
  <c r="L340" i="14"/>
  <c r="K340" i="14"/>
  <c r="J340" i="14"/>
  <c r="I340" i="14"/>
  <c r="H340" i="14"/>
  <c r="G340" i="14"/>
  <c r="F340" i="14"/>
  <c r="E340" i="14"/>
  <c r="D340" i="14"/>
  <c r="C340" i="14"/>
  <c r="AA339" i="14"/>
  <c r="Z339" i="14"/>
  <c r="Y339" i="14"/>
  <c r="W339" i="14"/>
  <c r="V339" i="14"/>
  <c r="U339" i="14"/>
  <c r="T339" i="14"/>
  <c r="S339" i="14"/>
  <c r="R339" i="14"/>
  <c r="P339" i="14"/>
  <c r="O339" i="14"/>
  <c r="N339" i="14"/>
  <c r="L339" i="14"/>
  <c r="K339" i="14"/>
  <c r="J339" i="14"/>
  <c r="I339" i="14"/>
  <c r="H339" i="14"/>
  <c r="G339" i="14"/>
  <c r="F339" i="14"/>
  <c r="E339" i="14"/>
  <c r="D339" i="14"/>
  <c r="C339" i="14"/>
  <c r="AA338" i="14"/>
  <c r="Z338" i="14"/>
  <c r="Y338" i="14"/>
  <c r="W338" i="14"/>
  <c r="V338" i="14"/>
  <c r="U338" i="14"/>
  <c r="T338" i="14"/>
  <c r="S338" i="14"/>
  <c r="R338" i="14"/>
  <c r="P338" i="14"/>
  <c r="O338" i="14"/>
  <c r="N338" i="14"/>
  <c r="L338" i="14"/>
  <c r="K338" i="14"/>
  <c r="J338" i="14"/>
  <c r="I338" i="14"/>
  <c r="H338" i="14"/>
  <c r="G338" i="14"/>
  <c r="F338" i="14"/>
  <c r="E338" i="14"/>
  <c r="D338" i="14"/>
  <c r="C338" i="14"/>
  <c r="AA337" i="14"/>
  <c r="Z337" i="14"/>
  <c r="Y337" i="14"/>
  <c r="W337" i="14"/>
  <c r="V337" i="14"/>
  <c r="U337" i="14"/>
  <c r="T337" i="14"/>
  <c r="S337" i="14"/>
  <c r="R337" i="14"/>
  <c r="P337" i="14"/>
  <c r="O337" i="14"/>
  <c r="N337" i="14"/>
  <c r="L337" i="14"/>
  <c r="K337" i="14"/>
  <c r="J337" i="14"/>
  <c r="I337" i="14"/>
  <c r="H337" i="14"/>
  <c r="G337" i="14"/>
  <c r="F337" i="14"/>
  <c r="E337" i="14"/>
  <c r="D337" i="14"/>
  <c r="C337" i="14"/>
  <c r="AA336" i="14"/>
  <c r="Z336" i="14"/>
  <c r="Y336" i="14"/>
  <c r="W336" i="14"/>
  <c r="V336" i="14"/>
  <c r="U336" i="14"/>
  <c r="T336" i="14"/>
  <c r="S336" i="14"/>
  <c r="R336" i="14"/>
  <c r="P336" i="14"/>
  <c r="O336" i="14"/>
  <c r="N336" i="14"/>
  <c r="L336" i="14"/>
  <c r="K336" i="14"/>
  <c r="J336" i="14"/>
  <c r="I336" i="14"/>
  <c r="H336" i="14"/>
  <c r="G336" i="14"/>
  <c r="F336" i="14"/>
  <c r="E336" i="14"/>
  <c r="D336" i="14"/>
  <c r="C336" i="14"/>
  <c r="AA335" i="14"/>
  <c r="Z335" i="14"/>
  <c r="Y335" i="14"/>
  <c r="W335" i="14"/>
  <c r="V335" i="14"/>
  <c r="U335" i="14"/>
  <c r="T335" i="14"/>
  <c r="S335" i="14"/>
  <c r="R335" i="14"/>
  <c r="P335" i="14"/>
  <c r="O335" i="14"/>
  <c r="N335" i="14"/>
  <c r="L335" i="14"/>
  <c r="K335" i="14"/>
  <c r="J335" i="14"/>
  <c r="I335" i="14"/>
  <c r="H335" i="14"/>
  <c r="G335" i="14"/>
  <c r="F335" i="14"/>
  <c r="E335" i="14"/>
  <c r="D335" i="14"/>
  <c r="C335" i="14"/>
  <c r="AA334" i="14"/>
  <c r="Z334" i="14"/>
  <c r="Y334" i="14"/>
  <c r="W334" i="14"/>
  <c r="V334" i="14"/>
  <c r="U334" i="14"/>
  <c r="T334" i="14"/>
  <c r="S334" i="14"/>
  <c r="R334" i="14"/>
  <c r="P334" i="14"/>
  <c r="O334" i="14"/>
  <c r="N334" i="14"/>
  <c r="L334" i="14"/>
  <c r="K334" i="14"/>
  <c r="J334" i="14"/>
  <c r="I334" i="14"/>
  <c r="H334" i="14"/>
  <c r="G334" i="14"/>
  <c r="F334" i="14"/>
  <c r="E334" i="14"/>
  <c r="D334" i="14"/>
  <c r="C334" i="14"/>
  <c r="AA333" i="14"/>
  <c r="Z333" i="14"/>
  <c r="Y333" i="14"/>
  <c r="W333" i="14"/>
  <c r="V333" i="14"/>
  <c r="U333" i="14"/>
  <c r="T333" i="14"/>
  <c r="S333" i="14"/>
  <c r="R333" i="14"/>
  <c r="P333" i="14"/>
  <c r="O333" i="14"/>
  <c r="N333" i="14"/>
  <c r="L333" i="14"/>
  <c r="K333" i="14"/>
  <c r="J333" i="14"/>
  <c r="I333" i="14"/>
  <c r="H333" i="14"/>
  <c r="G333" i="14"/>
  <c r="F333" i="14"/>
  <c r="E333" i="14"/>
  <c r="D333" i="14"/>
  <c r="C333" i="14"/>
  <c r="AA332" i="14"/>
  <c r="Z332" i="14"/>
  <c r="Y332" i="14"/>
  <c r="W332" i="14"/>
  <c r="V332" i="14"/>
  <c r="U332" i="14"/>
  <c r="T332" i="14"/>
  <c r="S332" i="14"/>
  <c r="R332" i="14"/>
  <c r="P332" i="14"/>
  <c r="O332" i="14"/>
  <c r="N332" i="14"/>
  <c r="L332" i="14"/>
  <c r="K332" i="14"/>
  <c r="J332" i="14"/>
  <c r="I332" i="14"/>
  <c r="H332" i="14"/>
  <c r="G332" i="14"/>
  <c r="F332" i="14"/>
  <c r="E332" i="14"/>
  <c r="D332" i="14"/>
  <c r="C332" i="14"/>
  <c r="AA331" i="14"/>
  <c r="Z331" i="14"/>
  <c r="Y331" i="14"/>
  <c r="W331" i="14"/>
  <c r="V331" i="14"/>
  <c r="U331" i="14"/>
  <c r="T331" i="14"/>
  <c r="S331" i="14"/>
  <c r="R331" i="14"/>
  <c r="P331" i="14"/>
  <c r="O331" i="14"/>
  <c r="N331" i="14"/>
  <c r="L331" i="14"/>
  <c r="K331" i="14"/>
  <c r="J331" i="14"/>
  <c r="I331" i="14"/>
  <c r="H331" i="14"/>
  <c r="G331" i="14"/>
  <c r="F331" i="14"/>
  <c r="E331" i="14"/>
  <c r="D331" i="14"/>
  <c r="C331" i="14"/>
  <c r="AA330" i="14"/>
  <c r="Z330" i="14"/>
  <c r="Y330" i="14"/>
  <c r="W330" i="14"/>
  <c r="V330" i="14"/>
  <c r="U330" i="14"/>
  <c r="T330" i="14"/>
  <c r="S330" i="14"/>
  <c r="R330" i="14"/>
  <c r="P330" i="14"/>
  <c r="O330" i="14"/>
  <c r="N330" i="14"/>
  <c r="L330" i="14"/>
  <c r="K330" i="14"/>
  <c r="J330" i="14"/>
  <c r="I330" i="14"/>
  <c r="H330" i="14"/>
  <c r="G330" i="14"/>
  <c r="F330" i="14"/>
  <c r="E330" i="14"/>
  <c r="D330" i="14"/>
  <c r="C330" i="14"/>
  <c r="AA329" i="14"/>
  <c r="Z329" i="14"/>
  <c r="Y329" i="14"/>
  <c r="W329" i="14"/>
  <c r="V329" i="14"/>
  <c r="U329" i="14"/>
  <c r="T329" i="14"/>
  <c r="S329" i="14"/>
  <c r="R329" i="14"/>
  <c r="P329" i="14"/>
  <c r="O329" i="14"/>
  <c r="N329" i="14"/>
  <c r="L329" i="14"/>
  <c r="K329" i="14"/>
  <c r="J329" i="14"/>
  <c r="I329" i="14"/>
  <c r="H329" i="14"/>
  <c r="G329" i="14"/>
  <c r="F329" i="14"/>
  <c r="E329" i="14"/>
  <c r="D329" i="14"/>
  <c r="C329" i="14"/>
  <c r="AA328" i="14"/>
  <c r="Z328" i="14"/>
  <c r="Y328" i="14"/>
  <c r="W328" i="14"/>
  <c r="V328" i="14"/>
  <c r="U328" i="14"/>
  <c r="T328" i="14"/>
  <c r="S328" i="14"/>
  <c r="R328" i="14"/>
  <c r="P328" i="14"/>
  <c r="O328" i="14"/>
  <c r="N328" i="14"/>
  <c r="L328" i="14"/>
  <c r="K328" i="14"/>
  <c r="J328" i="14"/>
  <c r="I328" i="14"/>
  <c r="H328" i="14"/>
  <c r="G328" i="14"/>
  <c r="F328" i="14"/>
  <c r="E328" i="14"/>
  <c r="D328" i="14"/>
  <c r="C328" i="14"/>
  <c r="AA327" i="14"/>
  <c r="Z327" i="14"/>
  <c r="Y327" i="14"/>
  <c r="W327" i="14"/>
  <c r="V327" i="14"/>
  <c r="U327" i="14"/>
  <c r="T327" i="14"/>
  <c r="S327" i="14"/>
  <c r="R327" i="14"/>
  <c r="P327" i="14"/>
  <c r="O327" i="14"/>
  <c r="N327" i="14"/>
  <c r="L327" i="14"/>
  <c r="K327" i="14"/>
  <c r="J327" i="14"/>
  <c r="I327" i="14"/>
  <c r="H327" i="14"/>
  <c r="G327" i="14"/>
  <c r="F327" i="14"/>
  <c r="E327" i="14"/>
  <c r="D327" i="14"/>
  <c r="C327" i="14"/>
  <c r="AA326" i="14"/>
  <c r="Z326" i="14"/>
  <c r="Y326" i="14"/>
  <c r="W326" i="14"/>
  <c r="V326" i="14"/>
  <c r="U326" i="14"/>
  <c r="T326" i="14"/>
  <c r="S326" i="14"/>
  <c r="R326" i="14"/>
  <c r="P326" i="14"/>
  <c r="O326" i="14"/>
  <c r="N326" i="14"/>
  <c r="L326" i="14"/>
  <c r="K326" i="14"/>
  <c r="J326" i="14"/>
  <c r="I326" i="14"/>
  <c r="H326" i="14"/>
  <c r="G326" i="14"/>
  <c r="F326" i="14"/>
  <c r="E326" i="14"/>
  <c r="D326" i="14"/>
  <c r="C326" i="14"/>
  <c r="AA325" i="14"/>
  <c r="Z325" i="14"/>
  <c r="Y325" i="14"/>
  <c r="W325" i="14"/>
  <c r="V325" i="14"/>
  <c r="U325" i="14"/>
  <c r="T325" i="14"/>
  <c r="S325" i="14"/>
  <c r="R325" i="14"/>
  <c r="P325" i="14"/>
  <c r="O325" i="14"/>
  <c r="N325" i="14"/>
  <c r="L325" i="14"/>
  <c r="K325" i="14"/>
  <c r="J325" i="14"/>
  <c r="I325" i="14"/>
  <c r="H325" i="14"/>
  <c r="G325" i="14"/>
  <c r="F325" i="14"/>
  <c r="E325" i="14"/>
  <c r="D325" i="14"/>
  <c r="C325" i="14"/>
  <c r="AA324" i="14"/>
  <c r="Z324" i="14"/>
  <c r="Y324" i="14"/>
  <c r="W324" i="14"/>
  <c r="V324" i="14"/>
  <c r="U324" i="14"/>
  <c r="T324" i="14"/>
  <c r="S324" i="14"/>
  <c r="R324" i="14"/>
  <c r="P324" i="14"/>
  <c r="O324" i="14"/>
  <c r="N324" i="14"/>
  <c r="L324" i="14"/>
  <c r="K324" i="14"/>
  <c r="J324" i="14"/>
  <c r="I324" i="14"/>
  <c r="H324" i="14"/>
  <c r="G324" i="14"/>
  <c r="F324" i="14"/>
  <c r="E324" i="14"/>
  <c r="D324" i="14"/>
  <c r="C324" i="14"/>
  <c r="AA323" i="14"/>
  <c r="Z323" i="14"/>
  <c r="Y323" i="14"/>
  <c r="W323" i="14"/>
  <c r="V323" i="14"/>
  <c r="U323" i="14"/>
  <c r="T323" i="14"/>
  <c r="S323" i="14"/>
  <c r="R323" i="14"/>
  <c r="P323" i="14"/>
  <c r="O323" i="14"/>
  <c r="N323" i="14"/>
  <c r="L323" i="14"/>
  <c r="K323" i="14"/>
  <c r="J323" i="14"/>
  <c r="I323" i="14"/>
  <c r="H323" i="14"/>
  <c r="G323" i="14"/>
  <c r="F323" i="14"/>
  <c r="E323" i="14"/>
  <c r="D323" i="14"/>
  <c r="C323" i="14"/>
  <c r="AA322" i="14"/>
  <c r="Z322" i="14"/>
  <c r="Y322" i="14"/>
  <c r="W322" i="14"/>
  <c r="V322" i="14"/>
  <c r="U322" i="14"/>
  <c r="T322" i="14"/>
  <c r="S322" i="14"/>
  <c r="R322" i="14"/>
  <c r="P322" i="14"/>
  <c r="O322" i="14"/>
  <c r="N322" i="14"/>
  <c r="L322" i="14"/>
  <c r="K322" i="14"/>
  <c r="J322" i="14"/>
  <c r="I322" i="14"/>
  <c r="H322" i="14"/>
  <c r="G322" i="14"/>
  <c r="F322" i="14"/>
  <c r="E322" i="14"/>
  <c r="D322" i="14"/>
  <c r="C322" i="14"/>
  <c r="AA321" i="14"/>
  <c r="Z321" i="14"/>
  <c r="Y321" i="14"/>
  <c r="W321" i="14"/>
  <c r="V321" i="14"/>
  <c r="U321" i="14"/>
  <c r="T321" i="14"/>
  <c r="S321" i="14"/>
  <c r="R321" i="14"/>
  <c r="P321" i="14"/>
  <c r="O321" i="14"/>
  <c r="N321" i="14"/>
  <c r="L321" i="14"/>
  <c r="K321" i="14"/>
  <c r="J321" i="14"/>
  <c r="I321" i="14"/>
  <c r="H321" i="14"/>
  <c r="G321" i="14"/>
  <c r="F321" i="14"/>
  <c r="E321" i="14"/>
  <c r="D321" i="14"/>
  <c r="C321" i="14"/>
  <c r="AA320" i="14"/>
  <c r="Z320" i="14"/>
  <c r="Y320" i="14"/>
  <c r="W320" i="14"/>
  <c r="V320" i="14"/>
  <c r="U320" i="14"/>
  <c r="T320" i="14"/>
  <c r="S320" i="14"/>
  <c r="R320" i="14"/>
  <c r="P320" i="14"/>
  <c r="O320" i="14"/>
  <c r="N320" i="14"/>
  <c r="L320" i="14"/>
  <c r="K320" i="14"/>
  <c r="J320" i="14"/>
  <c r="I320" i="14"/>
  <c r="H320" i="14"/>
  <c r="G320" i="14"/>
  <c r="F320" i="14"/>
  <c r="E320" i="14"/>
  <c r="D320" i="14"/>
  <c r="C320" i="14"/>
  <c r="AA319" i="14"/>
  <c r="Z319" i="14"/>
  <c r="Y319" i="14"/>
  <c r="W319" i="14"/>
  <c r="V319" i="14"/>
  <c r="U319" i="14"/>
  <c r="T319" i="14"/>
  <c r="S319" i="14"/>
  <c r="R319" i="14"/>
  <c r="P319" i="14"/>
  <c r="O319" i="14"/>
  <c r="N319" i="14"/>
  <c r="L319" i="14"/>
  <c r="K319" i="14"/>
  <c r="J319" i="14"/>
  <c r="I319" i="14"/>
  <c r="H319" i="14"/>
  <c r="G319" i="14"/>
  <c r="F319" i="14"/>
  <c r="E319" i="14"/>
  <c r="D319" i="14"/>
  <c r="C319" i="14"/>
  <c r="AA318" i="14"/>
  <c r="Z318" i="14"/>
  <c r="Y318" i="14"/>
  <c r="W318" i="14"/>
  <c r="V318" i="14"/>
  <c r="U318" i="14"/>
  <c r="T318" i="14"/>
  <c r="S318" i="14"/>
  <c r="R318" i="14"/>
  <c r="P318" i="14"/>
  <c r="O318" i="14"/>
  <c r="N318" i="14"/>
  <c r="L318" i="14"/>
  <c r="K318" i="14"/>
  <c r="J318" i="14"/>
  <c r="I318" i="14"/>
  <c r="H318" i="14"/>
  <c r="G318" i="14"/>
  <c r="F318" i="14"/>
  <c r="E318" i="14"/>
  <c r="D318" i="14"/>
  <c r="C318" i="14"/>
  <c r="AA317" i="14"/>
  <c r="Z317" i="14"/>
  <c r="Y317" i="14"/>
  <c r="W317" i="14"/>
  <c r="V317" i="14"/>
  <c r="U317" i="14"/>
  <c r="T317" i="14"/>
  <c r="S317" i="14"/>
  <c r="R317" i="14"/>
  <c r="P317" i="14"/>
  <c r="O317" i="14"/>
  <c r="N317" i="14"/>
  <c r="L317" i="14"/>
  <c r="K317" i="14"/>
  <c r="J317" i="14"/>
  <c r="I317" i="14"/>
  <c r="H317" i="14"/>
  <c r="G317" i="14"/>
  <c r="F317" i="14"/>
  <c r="E317" i="14"/>
  <c r="D317" i="14"/>
  <c r="C317" i="14"/>
  <c r="AA316" i="14"/>
  <c r="Z316" i="14"/>
  <c r="Y316" i="14"/>
  <c r="W316" i="14"/>
  <c r="V316" i="14"/>
  <c r="U316" i="14"/>
  <c r="T316" i="14"/>
  <c r="S316" i="14"/>
  <c r="R316" i="14"/>
  <c r="P316" i="14"/>
  <c r="O316" i="14"/>
  <c r="N316" i="14"/>
  <c r="L316" i="14"/>
  <c r="K316" i="14"/>
  <c r="J316" i="14"/>
  <c r="I316" i="14"/>
  <c r="H316" i="14"/>
  <c r="G316" i="14"/>
  <c r="F316" i="14"/>
  <c r="E316" i="14"/>
  <c r="D316" i="14"/>
  <c r="C316" i="14"/>
  <c r="AA315" i="14"/>
  <c r="Z315" i="14"/>
  <c r="Y315" i="14"/>
  <c r="W315" i="14"/>
  <c r="V315" i="14"/>
  <c r="U315" i="14"/>
  <c r="T315" i="14"/>
  <c r="S315" i="14"/>
  <c r="R315" i="14"/>
  <c r="P315" i="14"/>
  <c r="O315" i="14"/>
  <c r="N315" i="14"/>
  <c r="L315" i="14"/>
  <c r="K315" i="14"/>
  <c r="J315" i="14"/>
  <c r="I315" i="14"/>
  <c r="H315" i="14"/>
  <c r="G315" i="14"/>
  <c r="F315" i="14"/>
  <c r="E315" i="14"/>
  <c r="D315" i="14"/>
  <c r="C315" i="14"/>
  <c r="AA314" i="14"/>
  <c r="Z314" i="14"/>
  <c r="Y314" i="14"/>
  <c r="W314" i="14"/>
  <c r="V314" i="14"/>
  <c r="U314" i="14"/>
  <c r="T314" i="14"/>
  <c r="S314" i="14"/>
  <c r="R314" i="14"/>
  <c r="P314" i="14"/>
  <c r="O314" i="14"/>
  <c r="N314" i="14"/>
  <c r="L314" i="14"/>
  <c r="K314" i="14"/>
  <c r="J314" i="14"/>
  <c r="I314" i="14"/>
  <c r="H314" i="14"/>
  <c r="G314" i="14"/>
  <c r="F314" i="14"/>
  <c r="E314" i="14"/>
  <c r="D314" i="14"/>
  <c r="C314" i="14"/>
  <c r="AA313" i="14"/>
  <c r="Z313" i="14"/>
  <c r="Y313" i="14"/>
  <c r="W313" i="14"/>
  <c r="V313" i="14"/>
  <c r="U313" i="14"/>
  <c r="T313" i="14"/>
  <c r="S313" i="14"/>
  <c r="R313" i="14"/>
  <c r="P313" i="14"/>
  <c r="O313" i="14"/>
  <c r="N313" i="14"/>
  <c r="L313" i="14"/>
  <c r="K313" i="14"/>
  <c r="J313" i="14"/>
  <c r="I313" i="14"/>
  <c r="H313" i="14"/>
  <c r="G313" i="14"/>
  <c r="F313" i="14"/>
  <c r="E313" i="14"/>
  <c r="D313" i="14"/>
  <c r="C313" i="14"/>
  <c r="AA312" i="14"/>
  <c r="Z312" i="14"/>
  <c r="Y312" i="14"/>
  <c r="W312" i="14"/>
  <c r="V312" i="14"/>
  <c r="U312" i="14"/>
  <c r="T312" i="14"/>
  <c r="S312" i="14"/>
  <c r="R312" i="14"/>
  <c r="P312" i="14"/>
  <c r="O312" i="14"/>
  <c r="N312" i="14"/>
  <c r="L312" i="14"/>
  <c r="K312" i="14"/>
  <c r="J312" i="14"/>
  <c r="I312" i="14"/>
  <c r="H312" i="14"/>
  <c r="G312" i="14"/>
  <c r="F312" i="14"/>
  <c r="E312" i="14"/>
  <c r="D312" i="14"/>
  <c r="C312" i="14"/>
  <c r="AA311" i="14"/>
  <c r="Z311" i="14"/>
  <c r="Y311" i="14"/>
  <c r="W311" i="14"/>
  <c r="V311" i="14"/>
  <c r="U311" i="14"/>
  <c r="T311" i="14"/>
  <c r="S311" i="14"/>
  <c r="R311" i="14"/>
  <c r="P311" i="14"/>
  <c r="O311" i="14"/>
  <c r="N311" i="14"/>
  <c r="L311" i="14"/>
  <c r="K311" i="14"/>
  <c r="J311" i="14"/>
  <c r="I311" i="14"/>
  <c r="H311" i="14"/>
  <c r="G311" i="14"/>
  <c r="F311" i="14"/>
  <c r="E311" i="14"/>
  <c r="D311" i="14"/>
  <c r="C311" i="14"/>
  <c r="AA310" i="14"/>
  <c r="Z310" i="14"/>
  <c r="Y310" i="14"/>
  <c r="W310" i="14"/>
  <c r="V310" i="14"/>
  <c r="U310" i="14"/>
  <c r="T310" i="14"/>
  <c r="S310" i="14"/>
  <c r="R310" i="14"/>
  <c r="P310" i="14"/>
  <c r="O310" i="14"/>
  <c r="N310" i="14"/>
  <c r="L310" i="14"/>
  <c r="K310" i="14"/>
  <c r="J310" i="14"/>
  <c r="I310" i="14"/>
  <c r="H310" i="14"/>
  <c r="G310" i="14"/>
  <c r="F310" i="14"/>
  <c r="E310" i="14"/>
  <c r="D310" i="14"/>
  <c r="C310" i="14"/>
  <c r="AA309" i="14"/>
  <c r="Z309" i="14"/>
  <c r="Y309" i="14"/>
  <c r="W309" i="14"/>
  <c r="V309" i="14"/>
  <c r="U309" i="14"/>
  <c r="T309" i="14"/>
  <c r="S309" i="14"/>
  <c r="R309" i="14"/>
  <c r="P309" i="14"/>
  <c r="O309" i="14"/>
  <c r="N309" i="14"/>
  <c r="L309" i="14"/>
  <c r="K309" i="14"/>
  <c r="J309" i="14"/>
  <c r="I309" i="14"/>
  <c r="H309" i="14"/>
  <c r="G309" i="14"/>
  <c r="F309" i="14"/>
  <c r="E309" i="14"/>
  <c r="D309" i="14"/>
  <c r="C309" i="14"/>
  <c r="AA308" i="14"/>
  <c r="Z308" i="14"/>
  <c r="Y308" i="14"/>
  <c r="W308" i="14"/>
  <c r="V308" i="14"/>
  <c r="U308" i="14"/>
  <c r="T308" i="14"/>
  <c r="S308" i="14"/>
  <c r="R308" i="14"/>
  <c r="P308" i="14"/>
  <c r="O308" i="14"/>
  <c r="N308" i="14"/>
  <c r="L308" i="14"/>
  <c r="K308" i="14"/>
  <c r="J308" i="14"/>
  <c r="I308" i="14"/>
  <c r="H308" i="14"/>
  <c r="G308" i="14"/>
  <c r="F308" i="14"/>
  <c r="E308" i="14"/>
  <c r="D308" i="14"/>
  <c r="C308" i="14"/>
  <c r="AA307" i="14"/>
  <c r="Z307" i="14"/>
  <c r="Y307" i="14"/>
  <c r="W307" i="14"/>
  <c r="V307" i="14"/>
  <c r="U307" i="14"/>
  <c r="T307" i="14"/>
  <c r="S307" i="14"/>
  <c r="R307" i="14"/>
  <c r="P307" i="14"/>
  <c r="O307" i="14"/>
  <c r="N307" i="14"/>
  <c r="L307" i="14"/>
  <c r="K307" i="14"/>
  <c r="J307" i="14"/>
  <c r="I307" i="14"/>
  <c r="H307" i="14"/>
  <c r="G307" i="14"/>
  <c r="F307" i="14"/>
  <c r="E307" i="14"/>
  <c r="D307" i="14"/>
  <c r="C307" i="14"/>
  <c r="AA306" i="14"/>
  <c r="Z306" i="14"/>
  <c r="Y306" i="14"/>
  <c r="W306" i="14"/>
  <c r="V306" i="14"/>
  <c r="U306" i="14"/>
  <c r="T306" i="14"/>
  <c r="S306" i="14"/>
  <c r="R306" i="14"/>
  <c r="P306" i="14"/>
  <c r="O306" i="14"/>
  <c r="N306" i="14"/>
  <c r="L306" i="14"/>
  <c r="K306" i="14"/>
  <c r="J306" i="14"/>
  <c r="I306" i="14"/>
  <c r="H306" i="14"/>
  <c r="G306" i="14"/>
  <c r="F306" i="14"/>
  <c r="E306" i="14"/>
  <c r="D306" i="14"/>
  <c r="C306" i="14"/>
  <c r="AA305" i="14"/>
  <c r="Z305" i="14"/>
  <c r="Y305" i="14"/>
  <c r="W305" i="14"/>
  <c r="V305" i="14"/>
  <c r="U305" i="14"/>
  <c r="T305" i="14"/>
  <c r="S305" i="14"/>
  <c r="R305" i="14"/>
  <c r="P305" i="14"/>
  <c r="O305" i="14"/>
  <c r="N305" i="14"/>
  <c r="L305" i="14"/>
  <c r="K305" i="14"/>
  <c r="J305" i="14"/>
  <c r="I305" i="14"/>
  <c r="H305" i="14"/>
  <c r="G305" i="14"/>
  <c r="F305" i="14"/>
  <c r="E305" i="14"/>
  <c r="D305" i="14"/>
  <c r="C305" i="14"/>
  <c r="AA304" i="14"/>
  <c r="Z304" i="14"/>
  <c r="Y304" i="14"/>
  <c r="W304" i="14"/>
  <c r="V304" i="14"/>
  <c r="U304" i="14"/>
  <c r="T304" i="14"/>
  <c r="S304" i="14"/>
  <c r="R304" i="14"/>
  <c r="P304" i="14"/>
  <c r="O304" i="14"/>
  <c r="N304" i="14"/>
  <c r="L304" i="14"/>
  <c r="K304" i="14"/>
  <c r="J304" i="14"/>
  <c r="I304" i="14"/>
  <c r="H304" i="14"/>
  <c r="G304" i="14"/>
  <c r="F304" i="14"/>
  <c r="E304" i="14"/>
  <c r="D304" i="14"/>
  <c r="C304" i="14"/>
  <c r="AA303" i="14"/>
  <c r="Z303" i="14"/>
  <c r="Y303" i="14"/>
  <c r="W303" i="14"/>
  <c r="V303" i="14"/>
  <c r="U303" i="14"/>
  <c r="T303" i="14"/>
  <c r="S303" i="14"/>
  <c r="R303" i="14"/>
  <c r="P303" i="14"/>
  <c r="O303" i="14"/>
  <c r="N303" i="14"/>
  <c r="L303" i="14"/>
  <c r="K303" i="14"/>
  <c r="J303" i="14"/>
  <c r="I303" i="14"/>
  <c r="H303" i="14"/>
  <c r="G303" i="14"/>
  <c r="F303" i="14"/>
  <c r="E303" i="14"/>
  <c r="D303" i="14"/>
  <c r="C303" i="14"/>
  <c r="AA302" i="14"/>
  <c r="Z302" i="14"/>
  <c r="Y302" i="14"/>
  <c r="W302" i="14"/>
  <c r="V302" i="14"/>
  <c r="U302" i="14"/>
  <c r="T302" i="14"/>
  <c r="S302" i="14"/>
  <c r="R302" i="14"/>
  <c r="P302" i="14"/>
  <c r="O302" i="14"/>
  <c r="N302" i="14"/>
  <c r="L302" i="14"/>
  <c r="K302" i="14"/>
  <c r="J302" i="14"/>
  <c r="I302" i="14"/>
  <c r="H302" i="14"/>
  <c r="G302" i="14"/>
  <c r="F302" i="14"/>
  <c r="E302" i="14"/>
  <c r="D302" i="14"/>
  <c r="C302" i="14"/>
  <c r="AA301" i="14"/>
  <c r="Z301" i="14"/>
  <c r="Y301" i="14"/>
  <c r="W301" i="14"/>
  <c r="V301" i="14"/>
  <c r="U301" i="14"/>
  <c r="T301" i="14"/>
  <c r="S301" i="14"/>
  <c r="R301" i="14"/>
  <c r="P301" i="14"/>
  <c r="O301" i="14"/>
  <c r="N301" i="14"/>
  <c r="L301" i="14"/>
  <c r="K301" i="14"/>
  <c r="J301" i="14"/>
  <c r="I301" i="14"/>
  <c r="H301" i="14"/>
  <c r="G301" i="14"/>
  <c r="F301" i="14"/>
  <c r="E301" i="14"/>
  <c r="D301" i="14"/>
  <c r="C301" i="14"/>
  <c r="AA300" i="14"/>
  <c r="Z300" i="14"/>
  <c r="Y300" i="14"/>
  <c r="W300" i="14"/>
  <c r="V300" i="14"/>
  <c r="U300" i="14"/>
  <c r="T300" i="14"/>
  <c r="S300" i="14"/>
  <c r="R300" i="14"/>
  <c r="P300" i="14"/>
  <c r="O300" i="14"/>
  <c r="N300" i="14"/>
  <c r="L300" i="14"/>
  <c r="K300" i="14"/>
  <c r="J300" i="14"/>
  <c r="I300" i="14"/>
  <c r="H300" i="14"/>
  <c r="G300" i="14"/>
  <c r="F300" i="14"/>
  <c r="E300" i="14"/>
  <c r="D300" i="14"/>
  <c r="C300" i="14"/>
  <c r="AA299" i="14"/>
  <c r="Z299" i="14"/>
  <c r="Y299" i="14"/>
  <c r="W299" i="14"/>
  <c r="V299" i="14"/>
  <c r="U299" i="14"/>
  <c r="T299" i="14"/>
  <c r="S299" i="14"/>
  <c r="R299" i="14"/>
  <c r="P299" i="14"/>
  <c r="O299" i="14"/>
  <c r="N299" i="14"/>
  <c r="L299" i="14"/>
  <c r="K299" i="14"/>
  <c r="J299" i="14"/>
  <c r="I299" i="14"/>
  <c r="H299" i="14"/>
  <c r="G299" i="14"/>
  <c r="F299" i="14"/>
  <c r="E299" i="14"/>
  <c r="D299" i="14"/>
  <c r="C299" i="14"/>
  <c r="AA298" i="14"/>
  <c r="Z298" i="14"/>
  <c r="Y298" i="14"/>
  <c r="W298" i="14"/>
  <c r="V298" i="14"/>
  <c r="U298" i="14"/>
  <c r="T298" i="14"/>
  <c r="S298" i="14"/>
  <c r="R298" i="14"/>
  <c r="P298" i="14"/>
  <c r="O298" i="14"/>
  <c r="N298" i="14"/>
  <c r="L298" i="14"/>
  <c r="K298" i="14"/>
  <c r="J298" i="14"/>
  <c r="I298" i="14"/>
  <c r="H298" i="14"/>
  <c r="G298" i="14"/>
  <c r="F298" i="14"/>
  <c r="E298" i="14"/>
  <c r="D298" i="14"/>
  <c r="C298" i="14"/>
  <c r="AA297" i="14"/>
  <c r="Z297" i="14"/>
  <c r="Y297" i="14"/>
  <c r="W297" i="14"/>
  <c r="V297" i="14"/>
  <c r="U297" i="14"/>
  <c r="T297" i="14"/>
  <c r="S297" i="14"/>
  <c r="R297" i="14"/>
  <c r="P297" i="14"/>
  <c r="O297" i="14"/>
  <c r="N297" i="14"/>
  <c r="L297" i="14"/>
  <c r="K297" i="14"/>
  <c r="J297" i="14"/>
  <c r="I297" i="14"/>
  <c r="H297" i="14"/>
  <c r="G297" i="14"/>
  <c r="F297" i="14"/>
  <c r="E297" i="14"/>
  <c r="D297" i="14"/>
  <c r="C297" i="14"/>
  <c r="AA296" i="14"/>
  <c r="Z296" i="14"/>
  <c r="Y296" i="14"/>
  <c r="W296" i="14"/>
  <c r="V296" i="14"/>
  <c r="U296" i="14"/>
  <c r="T296" i="14"/>
  <c r="S296" i="14"/>
  <c r="R296" i="14"/>
  <c r="P296" i="14"/>
  <c r="O296" i="14"/>
  <c r="N296" i="14"/>
  <c r="L296" i="14"/>
  <c r="K296" i="14"/>
  <c r="J296" i="14"/>
  <c r="I296" i="14"/>
  <c r="H296" i="14"/>
  <c r="G296" i="14"/>
  <c r="F296" i="14"/>
  <c r="E296" i="14"/>
  <c r="D296" i="14"/>
  <c r="C296" i="14"/>
  <c r="AA295" i="14"/>
  <c r="Z295" i="14"/>
  <c r="Y295" i="14"/>
  <c r="W295" i="14"/>
  <c r="V295" i="14"/>
  <c r="U295" i="14"/>
  <c r="T295" i="14"/>
  <c r="S295" i="14"/>
  <c r="R295" i="14"/>
  <c r="P295" i="14"/>
  <c r="O295" i="14"/>
  <c r="N295" i="14"/>
  <c r="L295" i="14"/>
  <c r="K295" i="14"/>
  <c r="J295" i="14"/>
  <c r="I295" i="14"/>
  <c r="H295" i="14"/>
  <c r="G295" i="14"/>
  <c r="F295" i="14"/>
  <c r="E295" i="14"/>
  <c r="D295" i="14"/>
  <c r="C295" i="14"/>
  <c r="AA294" i="14"/>
  <c r="Z294" i="14"/>
  <c r="Y294" i="14"/>
  <c r="W294" i="14"/>
  <c r="V294" i="14"/>
  <c r="U294" i="14"/>
  <c r="T294" i="14"/>
  <c r="S294" i="14"/>
  <c r="R294" i="14"/>
  <c r="P294" i="14"/>
  <c r="O294" i="14"/>
  <c r="N294" i="14"/>
  <c r="L294" i="14"/>
  <c r="K294" i="14"/>
  <c r="J294" i="14"/>
  <c r="I294" i="14"/>
  <c r="H294" i="14"/>
  <c r="G294" i="14"/>
  <c r="F294" i="14"/>
  <c r="E294" i="14"/>
  <c r="D294" i="14"/>
  <c r="C294" i="14"/>
  <c r="AA293" i="14"/>
  <c r="Z293" i="14"/>
  <c r="Y293" i="14"/>
  <c r="W293" i="14"/>
  <c r="V293" i="14"/>
  <c r="U293" i="14"/>
  <c r="T293" i="14"/>
  <c r="S293" i="14"/>
  <c r="R293" i="14"/>
  <c r="P293" i="14"/>
  <c r="O293" i="14"/>
  <c r="N293" i="14"/>
  <c r="L293" i="14"/>
  <c r="K293" i="14"/>
  <c r="J293" i="14"/>
  <c r="I293" i="14"/>
  <c r="H293" i="14"/>
  <c r="G293" i="14"/>
  <c r="F293" i="14"/>
  <c r="E293" i="14"/>
  <c r="D293" i="14"/>
  <c r="C293" i="14"/>
  <c r="AA292" i="14"/>
  <c r="Z292" i="14"/>
  <c r="Y292" i="14"/>
  <c r="W292" i="14"/>
  <c r="V292" i="14"/>
  <c r="U292" i="14"/>
  <c r="T292" i="14"/>
  <c r="S292" i="14"/>
  <c r="R292" i="14"/>
  <c r="P292" i="14"/>
  <c r="O292" i="14"/>
  <c r="N292" i="14"/>
  <c r="L292" i="14"/>
  <c r="K292" i="14"/>
  <c r="J292" i="14"/>
  <c r="I292" i="14"/>
  <c r="H292" i="14"/>
  <c r="G292" i="14"/>
  <c r="F292" i="14"/>
  <c r="E292" i="14"/>
  <c r="D292" i="14"/>
  <c r="C292" i="14"/>
  <c r="AA291" i="14"/>
  <c r="Z291" i="14"/>
  <c r="Y291" i="14"/>
  <c r="W291" i="14"/>
  <c r="V291" i="14"/>
  <c r="U291" i="14"/>
  <c r="T291" i="14"/>
  <c r="S291" i="14"/>
  <c r="R291" i="14"/>
  <c r="P291" i="14"/>
  <c r="O291" i="14"/>
  <c r="N291" i="14"/>
  <c r="L291" i="14"/>
  <c r="K291" i="14"/>
  <c r="J291" i="14"/>
  <c r="I291" i="14"/>
  <c r="H291" i="14"/>
  <c r="G291" i="14"/>
  <c r="F291" i="14"/>
  <c r="E291" i="14"/>
  <c r="D291" i="14"/>
  <c r="C291" i="14"/>
  <c r="AA290" i="14"/>
  <c r="Z290" i="14"/>
  <c r="Y290" i="14"/>
  <c r="W290" i="14"/>
  <c r="V290" i="14"/>
  <c r="U290" i="14"/>
  <c r="T290" i="14"/>
  <c r="S290" i="14"/>
  <c r="R290" i="14"/>
  <c r="P290" i="14"/>
  <c r="O290" i="14"/>
  <c r="N290" i="14"/>
  <c r="L290" i="14"/>
  <c r="K290" i="14"/>
  <c r="J290" i="14"/>
  <c r="I290" i="14"/>
  <c r="H290" i="14"/>
  <c r="G290" i="14"/>
  <c r="F290" i="14"/>
  <c r="E290" i="14"/>
  <c r="D290" i="14"/>
  <c r="C290" i="14"/>
  <c r="AA289" i="14"/>
  <c r="Z289" i="14"/>
  <c r="Y289" i="14"/>
  <c r="W289" i="14"/>
  <c r="V289" i="14"/>
  <c r="U289" i="14"/>
  <c r="T289" i="14"/>
  <c r="S289" i="14"/>
  <c r="R289" i="14"/>
  <c r="P289" i="14"/>
  <c r="O289" i="14"/>
  <c r="N289" i="14"/>
  <c r="L289" i="14"/>
  <c r="K289" i="14"/>
  <c r="J289" i="14"/>
  <c r="I289" i="14"/>
  <c r="H289" i="14"/>
  <c r="G289" i="14"/>
  <c r="F289" i="14"/>
  <c r="E289" i="14"/>
  <c r="D289" i="14"/>
  <c r="C289" i="14"/>
  <c r="AA288" i="14"/>
  <c r="Z288" i="14"/>
  <c r="Y288" i="14"/>
  <c r="W288" i="14"/>
  <c r="V288" i="14"/>
  <c r="U288" i="14"/>
  <c r="T288" i="14"/>
  <c r="S288" i="14"/>
  <c r="R288" i="14"/>
  <c r="P288" i="14"/>
  <c r="O288" i="14"/>
  <c r="N288" i="14"/>
  <c r="L288" i="14"/>
  <c r="K288" i="14"/>
  <c r="J288" i="14"/>
  <c r="I288" i="14"/>
  <c r="H288" i="14"/>
  <c r="G288" i="14"/>
  <c r="F288" i="14"/>
  <c r="E288" i="14"/>
  <c r="D288" i="14"/>
  <c r="C288" i="14"/>
  <c r="AA287" i="14"/>
  <c r="Z287" i="14"/>
  <c r="Y287" i="14"/>
  <c r="W287" i="14"/>
  <c r="V287" i="14"/>
  <c r="U287" i="14"/>
  <c r="T287" i="14"/>
  <c r="S287" i="14"/>
  <c r="R287" i="14"/>
  <c r="P287" i="14"/>
  <c r="O287" i="14"/>
  <c r="N287" i="14"/>
  <c r="L287" i="14"/>
  <c r="K287" i="14"/>
  <c r="J287" i="14"/>
  <c r="I287" i="14"/>
  <c r="H287" i="14"/>
  <c r="G287" i="14"/>
  <c r="F287" i="14"/>
  <c r="E287" i="14"/>
  <c r="D287" i="14"/>
  <c r="C287" i="14"/>
  <c r="AA286" i="14"/>
  <c r="Z286" i="14"/>
  <c r="Y286" i="14"/>
  <c r="W286" i="14"/>
  <c r="V286" i="14"/>
  <c r="U286" i="14"/>
  <c r="T286" i="14"/>
  <c r="S286" i="14"/>
  <c r="R286" i="14"/>
  <c r="P286" i="14"/>
  <c r="O286" i="14"/>
  <c r="N286" i="14"/>
  <c r="L286" i="14"/>
  <c r="K286" i="14"/>
  <c r="J286" i="14"/>
  <c r="I286" i="14"/>
  <c r="H286" i="14"/>
  <c r="G286" i="14"/>
  <c r="F286" i="14"/>
  <c r="E286" i="14"/>
  <c r="D286" i="14"/>
  <c r="C286" i="14"/>
  <c r="AA285" i="14"/>
  <c r="Z285" i="14"/>
  <c r="Y285" i="14"/>
  <c r="W285" i="14"/>
  <c r="V285" i="14"/>
  <c r="U285" i="14"/>
  <c r="T285" i="14"/>
  <c r="S285" i="14"/>
  <c r="R285" i="14"/>
  <c r="P285" i="14"/>
  <c r="O285" i="14"/>
  <c r="N285" i="14"/>
  <c r="L285" i="14"/>
  <c r="K285" i="14"/>
  <c r="J285" i="14"/>
  <c r="I285" i="14"/>
  <c r="H285" i="14"/>
  <c r="G285" i="14"/>
  <c r="F285" i="14"/>
  <c r="E285" i="14"/>
  <c r="D285" i="14"/>
  <c r="C285" i="14"/>
  <c r="AA284" i="14"/>
  <c r="Z284" i="14"/>
  <c r="Y284" i="14"/>
  <c r="W284" i="14"/>
  <c r="V284" i="14"/>
  <c r="U284" i="14"/>
  <c r="T284" i="14"/>
  <c r="S284" i="14"/>
  <c r="R284" i="14"/>
  <c r="P284" i="14"/>
  <c r="O284" i="14"/>
  <c r="N284" i="14"/>
  <c r="L284" i="14"/>
  <c r="K284" i="14"/>
  <c r="J284" i="14"/>
  <c r="I284" i="14"/>
  <c r="H284" i="14"/>
  <c r="G284" i="14"/>
  <c r="F284" i="14"/>
  <c r="E284" i="14"/>
  <c r="D284" i="14"/>
  <c r="C284" i="14"/>
  <c r="AA283" i="14"/>
  <c r="Z283" i="14"/>
  <c r="Y283" i="14"/>
  <c r="W283" i="14"/>
  <c r="V283" i="14"/>
  <c r="U283" i="14"/>
  <c r="T283" i="14"/>
  <c r="S283" i="14"/>
  <c r="R283" i="14"/>
  <c r="P283" i="14"/>
  <c r="O283" i="14"/>
  <c r="N283" i="14"/>
  <c r="L283" i="14"/>
  <c r="K283" i="14"/>
  <c r="J283" i="14"/>
  <c r="I283" i="14"/>
  <c r="H283" i="14"/>
  <c r="G283" i="14"/>
  <c r="F283" i="14"/>
  <c r="E283" i="14"/>
  <c r="D283" i="14"/>
  <c r="C283" i="14"/>
  <c r="AA282" i="14"/>
  <c r="Z282" i="14"/>
  <c r="Y282" i="14"/>
  <c r="W282" i="14"/>
  <c r="V282" i="14"/>
  <c r="U282" i="14"/>
  <c r="T282" i="14"/>
  <c r="S282" i="14"/>
  <c r="R282" i="14"/>
  <c r="P282" i="14"/>
  <c r="O282" i="14"/>
  <c r="N282" i="14"/>
  <c r="L282" i="14"/>
  <c r="K282" i="14"/>
  <c r="J282" i="14"/>
  <c r="I282" i="14"/>
  <c r="H282" i="14"/>
  <c r="G282" i="14"/>
  <c r="F282" i="14"/>
  <c r="E282" i="14"/>
  <c r="D282" i="14"/>
  <c r="C282" i="14"/>
  <c r="AA281" i="14"/>
  <c r="Z281" i="14"/>
  <c r="Y281" i="14"/>
  <c r="W281" i="14"/>
  <c r="V281" i="14"/>
  <c r="U281" i="14"/>
  <c r="T281" i="14"/>
  <c r="S281" i="14"/>
  <c r="R281" i="14"/>
  <c r="P281" i="14"/>
  <c r="O281" i="14"/>
  <c r="N281" i="14"/>
  <c r="L281" i="14"/>
  <c r="K281" i="14"/>
  <c r="J281" i="14"/>
  <c r="I281" i="14"/>
  <c r="H281" i="14"/>
  <c r="G281" i="14"/>
  <c r="F281" i="14"/>
  <c r="E281" i="14"/>
  <c r="D281" i="14"/>
  <c r="C281" i="14"/>
  <c r="AA280" i="14"/>
  <c r="Z280" i="14"/>
  <c r="Y280" i="14"/>
  <c r="W280" i="14"/>
  <c r="V280" i="14"/>
  <c r="U280" i="14"/>
  <c r="T280" i="14"/>
  <c r="S280" i="14"/>
  <c r="R280" i="14"/>
  <c r="P280" i="14"/>
  <c r="O280" i="14"/>
  <c r="N280" i="14"/>
  <c r="L280" i="14"/>
  <c r="K280" i="14"/>
  <c r="J280" i="14"/>
  <c r="I280" i="14"/>
  <c r="H280" i="14"/>
  <c r="G280" i="14"/>
  <c r="F280" i="14"/>
  <c r="E280" i="14"/>
  <c r="D280" i="14"/>
  <c r="C280" i="14"/>
  <c r="AA279" i="14"/>
  <c r="Z279" i="14"/>
  <c r="Y279" i="14"/>
  <c r="W279" i="14"/>
  <c r="V279" i="14"/>
  <c r="U279" i="14"/>
  <c r="T279" i="14"/>
  <c r="S279" i="14"/>
  <c r="R279" i="14"/>
  <c r="P279" i="14"/>
  <c r="O279" i="14"/>
  <c r="N279" i="14"/>
  <c r="L279" i="14"/>
  <c r="K279" i="14"/>
  <c r="J279" i="14"/>
  <c r="I279" i="14"/>
  <c r="H279" i="14"/>
  <c r="G279" i="14"/>
  <c r="F279" i="14"/>
  <c r="E279" i="14"/>
  <c r="D279" i="14"/>
  <c r="C279" i="14"/>
  <c r="AA278" i="14"/>
  <c r="Z278" i="14"/>
  <c r="Y278" i="14"/>
  <c r="W278" i="14"/>
  <c r="V278" i="14"/>
  <c r="U278" i="14"/>
  <c r="T278" i="14"/>
  <c r="S278" i="14"/>
  <c r="R278" i="14"/>
  <c r="P278" i="14"/>
  <c r="O278" i="14"/>
  <c r="N278" i="14"/>
  <c r="L278" i="14"/>
  <c r="K278" i="14"/>
  <c r="J278" i="14"/>
  <c r="I278" i="14"/>
  <c r="H278" i="14"/>
  <c r="G278" i="14"/>
  <c r="F278" i="14"/>
  <c r="E278" i="14"/>
  <c r="D278" i="14"/>
  <c r="C278" i="14"/>
  <c r="AA277" i="14"/>
  <c r="Z277" i="14"/>
  <c r="Y277" i="14"/>
  <c r="W277" i="14"/>
  <c r="V277" i="14"/>
  <c r="U277" i="14"/>
  <c r="T277" i="14"/>
  <c r="S277" i="14"/>
  <c r="R277" i="14"/>
  <c r="P277" i="14"/>
  <c r="O277" i="14"/>
  <c r="N277" i="14"/>
  <c r="L277" i="14"/>
  <c r="K277" i="14"/>
  <c r="J277" i="14"/>
  <c r="I277" i="14"/>
  <c r="H277" i="14"/>
  <c r="G277" i="14"/>
  <c r="F277" i="14"/>
  <c r="E277" i="14"/>
  <c r="D277" i="14"/>
  <c r="C277" i="14"/>
  <c r="AA276" i="14"/>
  <c r="Z276" i="14"/>
  <c r="Y276" i="14"/>
  <c r="W276" i="14"/>
  <c r="V276" i="14"/>
  <c r="U276" i="14"/>
  <c r="T276" i="14"/>
  <c r="S276" i="14"/>
  <c r="R276" i="14"/>
  <c r="P276" i="14"/>
  <c r="O276" i="14"/>
  <c r="N276" i="14"/>
  <c r="L276" i="14"/>
  <c r="K276" i="14"/>
  <c r="J276" i="14"/>
  <c r="I276" i="14"/>
  <c r="H276" i="14"/>
  <c r="G276" i="14"/>
  <c r="F276" i="14"/>
  <c r="E276" i="14"/>
  <c r="D276" i="14"/>
  <c r="C276" i="14"/>
  <c r="AA275" i="14"/>
  <c r="Z275" i="14"/>
  <c r="Y275" i="14"/>
  <c r="W275" i="14"/>
  <c r="V275" i="14"/>
  <c r="U275" i="14"/>
  <c r="T275" i="14"/>
  <c r="S275" i="14"/>
  <c r="R275" i="14"/>
  <c r="P275" i="14"/>
  <c r="O275" i="14"/>
  <c r="N275" i="14"/>
  <c r="L275" i="14"/>
  <c r="K275" i="14"/>
  <c r="J275" i="14"/>
  <c r="I275" i="14"/>
  <c r="H275" i="14"/>
  <c r="G275" i="14"/>
  <c r="F275" i="14"/>
  <c r="E275" i="14"/>
  <c r="D275" i="14"/>
  <c r="C275" i="14"/>
  <c r="AA274" i="14"/>
  <c r="Z274" i="14"/>
  <c r="Y274" i="14"/>
  <c r="W274" i="14"/>
  <c r="V274" i="14"/>
  <c r="U274" i="14"/>
  <c r="T274" i="14"/>
  <c r="S274" i="14"/>
  <c r="R274" i="14"/>
  <c r="P274" i="14"/>
  <c r="O274" i="14"/>
  <c r="N274" i="14"/>
  <c r="L274" i="14"/>
  <c r="K274" i="14"/>
  <c r="J274" i="14"/>
  <c r="I274" i="14"/>
  <c r="H274" i="14"/>
  <c r="G274" i="14"/>
  <c r="F274" i="14"/>
  <c r="E274" i="14"/>
  <c r="D274" i="14"/>
  <c r="C274" i="14"/>
  <c r="AA273" i="14"/>
  <c r="Z273" i="14"/>
  <c r="Y273" i="14"/>
  <c r="W273" i="14"/>
  <c r="V273" i="14"/>
  <c r="U273" i="14"/>
  <c r="T273" i="14"/>
  <c r="S273" i="14"/>
  <c r="R273" i="14"/>
  <c r="P273" i="14"/>
  <c r="O273" i="14"/>
  <c r="N273" i="14"/>
  <c r="L273" i="14"/>
  <c r="K273" i="14"/>
  <c r="J273" i="14"/>
  <c r="I273" i="14"/>
  <c r="H273" i="14"/>
  <c r="G273" i="14"/>
  <c r="F273" i="14"/>
  <c r="E273" i="14"/>
  <c r="D273" i="14"/>
  <c r="C273" i="14"/>
  <c r="AA272" i="14"/>
  <c r="Z272" i="14"/>
  <c r="Y272" i="14"/>
  <c r="W272" i="14"/>
  <c r="V272" i="14"/>
  <c r="U272" i="14"/>
  <c r="T272" i="14"/>
  <c r="S272" i="14"/>
  <c r="R272" i="14"/>
  <c r="P272" i="14"/>
  <c r="O272" i="14"/>
  <c r="N272" i="14"/>
  <c r="L272" i="14"/>
  <c r="K272" i="14"/>
  <c r="J272" i="14"/>
  <c r="I272" i="14"/>
  <c r="H272" i="14"/>
  <c r="G272" i="14"/>
  <c r="F272" i="14"/>
  <c r="E272" i="14"/>
  <c r="D272" i="14"/>
  <c r="C272" i="14"/>
  <c r="AA271" i="14"/>
  <c r="Z271" i="14"/>
  <c r="Y271" i="14"/>
  <c r="W271" i="14"/>
  <c r="V271" i="14"/>
  <c r="U271" i="14"/>
  <c r="T271" i="14"/>
  <c r="S271" i="14"/>
  <c r="R271" i="14"/>
  <c r="P271" i="14"/>
  <c r="O271" i="14"/>
  <c r="N271" i="14"/>
  <c r="L271" i="14"/>
  <c r="K271" i="14"/>
  <c r="J271" i="14"/>
  <c r="I271" i="14"/>
  <c r="H271" i="14"/>
  <c r="G271" i="14"/>
  <c r="F271" i="14"/>
  <c r="E271" i="14"/>
  <c r="D271" i="14"/>
  <c r="C271" i="14"/>
  <c r="AA270" i="14"/>
  <c r="Z270" i="14"/>
  <c r="Y270" i="14"/>
  <c r="W270" i="14"/>
  <c r="V270" i="14"/>
  <c r="U270" i="14"/>
  <c r="T270" i="14"/>
  <c r="S270" i="14"/>
  <c r="R270" i="14"/>
  <c r="P270" i="14"/>
  <c r="O270" i="14"/>
  <c r="N270" i="14"/>
  <c r="L270" i="14"/>
  <c r="K270" i="14"/>
  <c r="J270" i="14"/>
  <c r="I270" i="14"/>
  <c r="H270" i="14"/>
  <c r="G270" i="14"/>
  <c r="F270" i="14"/>
  <c r="E270" i="14"/>
  <c r="D270" i="14"/>
  <c r="C270" i="14"/>
  <c r="AA269" i="14"/>
  <c r="Z269" i="14"/>
  <c r="Y269" i="14"/>
  <c r="W269" i="14"/>
  <c r="V269" i="14"/>
  <c r="U269" i="14"/>
  <c r="T269" i="14"/>
  <c r="S269" i="14"/>
  <c r="R269" i="14"/>
  <c r="P269" i="14"/>
  <c r="O269" i="14"/>
  <c r="N269" i="14"/>
  <c r="L269" i="14"/>
  <c r="K269" i="14"/>
  <c r="J269" i="14"/>
  <c r="I269" i="14"/>
  <c r="H269" i="14"/>
  <c r="G269" i="14"/>
  <c r="F269" i="14"/>
  <c r="E269" i="14"/>
  <c r="D269" i="14"/>
  <c r="C269" i="14"/>
  <c r="AA268" i="14"/>
  <c r="Z268" i="14"/>
  <c r="Y268" i="14"/>
  <c r="W268" i="14"/>
  <c r="V268" i="14"/>
  <c r="U268" i="14"/>
  <c r="T268" i="14"/>
  <c r="S268" i="14"/>
  <c r="R268" i="14"/>
  <c r="P268" i="14"/>
  <c r="O268" i="14"/>
  <c r="N268" i="14"/>
  <c r="L268" i="14"/>
  <c r="K268" i="14"/>
  <c r="J268" i="14"/>
  <c r="I268" i="14"/>
  <c r="H268" i="14"/>
  <c r="G268" i="14"/>
  <c r="F268" i="14"/>
  <c r="E268" i="14"/>
  <c r="D268" i="14"/>
  <c r="C268" i="14"/>
  <c r="AA267" i="14"/>
  <c r="Z267" i="14"/>
  <c r="Y267" i="14"/>
  <c r="W267" i="14"/>
  <c r="V267" i="14"/>
  <c r="U267" i="14"/>
  <c r="T267" i="14"/>
  <c r="S267" i="14"/>
  <c r="R267" i="14"/>
  <c r="P267" i="14"/>
  <c r="O267" i="14"/>
  <c r="N267" i="14"/>
  <c r="L267" i="14"/>
  <c r="K267" i="14"/>
  <c r="J267" i="14"/>
  <c r="I267" i="14"/>
  <c r="H267" i="14"/>
  <c r="G267" i="14"/>
  <c r="F267" i="14"/>
  <c r="E267" i="14"/>
  <c r="D267" i="14"/>
  <c r="C267" i="14"/>
  <c r="AA266" i="14"/>
  <c r="Z266" i="14"/>
  <c r="Y266" i="14"/>
  <c r="W266" i="14"/>
  <c r="V266" i="14"/>
  <c r="U266" i="14"/>
  <c r="T266" i="14"/>
  <c r="S266" i="14"/>
  <c r="R266" i="14"/>
  <c r="P266" i="14"/>
  <c r="O266" i="14"/>
  <c r="N266" i="14"/>
  <c r="L266" i="14"/>
  <c r="K266" i="14"/>
  <c r="J266" i="14"/>
  <c r="I266" i="14"/>
  <c r="H266" i="14"/>
  <c r="G266" i="14"/>
  <c r="F266" i="14"/>
  <c r="E266" i="14"/>
  <c r="D266" i="14"/>
  <c r="C266" i="14"/>
  <c r="AA265" i="14"/>
  <c r="Z265" i="14"/>
  <c r="Y265" i="14"/>
  <c r="W265" i="14"/>
  <c r="V265" i="14"/>
  <c r="U265" i="14"/>
  <c r="T265" i="14"/>
  <c r="S265" i="14"/>
  <c r="R265" i="14"/>
  <c r="P265" i="14"/>
  <c r="O265" i="14"/>
  <c r="N265" i="14"/>
  <c r="L265" i="14"/>
  <c r="K265" i="14"/>
  <c r="J265" i="14"/>
  <c r="I265" i="14"/>
  <c r="H265" i="14"/>
  <c r="G265" i="14"/>
  <c r="F265" i="14"/>
  <c r="E265" i="14"/>
  <c r="D265" i="14"/>
  <c r="C265" i="14"/>
  <c r="AA264" i="14"/>
  <c r="Z264" i="14"/>
  <c r="Y264" i="14"/>
  <c r="W264" i="14"/>
  <c r="V264" i="14"/>
  <c r="U264" i="14"/>
  <c r="T264" i="14"/>
  <c r="S264" i="14"/>
  <c r="R264" i="14"/>
  <c r="P264" i="14"/>
  <c r="O264" i="14"/>
  <c r="N264" i="14"/>
  <c r="L264" i="14"/>
  <c r="K264" i="14"/>
  <c r="J264" i="14"/>
  <c r="I264" i="14"/>
  <c r="H264" i="14"/>
  <c r="G264" i="14"/>
  <c r="F264" i="14"/>
  <c r="E264" i="14"/>
  <c r="D264" i="14"/>
  <c r="C264" i="14"/>
  <c r="AA263" i="14"/>
  <c r="Z263" i="14"/>
  <c r="Y263" i="14"/>
  <c r="W263" i="14"/>
  <c r="V263" i="14"/>
  <c r="U263" i="14"/>
  <c r="T263" i="14"/>
  <c r="S263" i="14"/>
  <c r="R263" i="14"/>
  <c r="P263" i="14"/>
  <c r="O263" i="14"/>
  <c r="N263" i="14"/>
  <c r="L263" i="14"/>
  <c r="K263" i="14"/>
  <c r="J263" i="14"/>
  <c r="I263" i="14"/>
  <c r="H263" i="14"/>
  <c r="G263" i="14"/>
  <c r="F263" i="14"/>
  <c r="E263" i="14"/>
  <c r="D263" i="14"/>
  <c r="C263" i="14"/>
  <c r="AA262" i="14"/>
  <c r="Z262" i="14"/>
  <c r="Y262" i="14"/>
  <c r="W262" i="14"/>
  <c r="V262" i="14"/>
  <c r="U262" i="14"/>
  <c r="T262" i="14"/>
  <c r="S262" i="14"/>
  <c r="R262" i="14"/>
  <c r="P262" i="14"/>
  <c r="O262" i="14"/>
  <c r="N262" i="14"/>
  <c r="L262" i="14"/>
  <c r="K262" i="14"/>
  <c r="J262" i="14"/>
  <c r="I262" i="14"/>
  <c r="H262" i="14"/>
  <c r="G262" i="14"/>
  <c r="F262" i="14"/>
  <c r="E262" i="14"/>
  <c r="D262" i="14"/>
  <c r="C262" i="14"/>
  <c r="AA261" i="14"/>
  <c r="Z261" i="14"/>
  <c r="Y261" i="14"/>
  <c r="W261" i="14"/>
  <c r="V261" i="14"/>
  <c r="U261" i="14"/>
  <c r="T261" i="14"/>
  <c r="S261" i="14"/>
  <c r="R261" i="14"/>
  <c r="P261" i="14"/>
  <c r="O261" i="14"/>
  <c r="N261" i="14"/>
  <c r="L261" i="14"/>
  <c r="K261" i="14"/>
  <c r="J261" i="14"/>
  <c r="I261" i="14"/>
  <c r="H261" i="14"/>
  <c r="G261" i="14"/>
  <c r="F261" i="14"/>
  <c r="E261" i="14"/>
  <c r="D261" i="14"/>
  <c r="C261" i="14"/>
  <c r="AA260" i="14"/>
  <c r="Z260" i="14"/>
  <c r="Y260" i="14"/>
  <c r="W260" i="14"/>
  <c r="V260" i="14"/>
  <c r="U260" i="14"/>
  <c r="T260" i="14"/>
  <c r="S260" i="14"/>
  <c r="R260" i="14"/>
  <c r="P260" i="14"/>
  <c r="O260" i="14"/>
  <c r="N260" i="14"/>
  <c r="L260" i="14"/>
  <c r="K260" i="14"/>
  <c r="J260" i="14"/>
  <c r="I260" i="14"/>
  <c r="H260" i="14"/>
  <c r="G260" i="14"/>
  <c r="F260" i="14"/>
  <c r="E260" i="14"/>
  <c r="D260" i="14"/>
  <c r="C260" i="14"/>
  <c r="AA259" i="14"/>
  <c r="Z259" i="14"/>
  <c r="Y259" i="14"/>
  <c r="W259" i="14"/>
  <c r="V259" i="14"/>
  <c r="U259" i="14"/>
  <c r="T259" i="14"/>
  <c r="S259" i="14"/>
  <c r="R259" i="14"/>
  <c r="P259" i="14"/>
  <c r="O259" i="14"/>
  <c r="N259" i="14"/>
  <c r="L259" i="14"/>
  <c r="K259" i="14"/>
  <c r="J259" i="14"/>
  <c r="I259" i="14"/>
  <c r="H259" i="14"/>
  <c r="G259" i="14"/>
  <c r="F259" i="14"/>
  <c r="E259" i="14"/>
  <c r="D259" i="14"/>
  <c r="C259" i="14"/>
  <c r="AA258" i="14"/>
  <c r="Z258" i="14"/>
  <c r="Y258" i="14"/>
  <c r="W258" i="14"/>
  <c r="V258" i="14"/>
  <c r="U258" i="14"/>
  <c r="T258" i="14"/>
  <c r="S258" i="14"/>
  <c r="R258" i="14"/>
  <c r="P258" i="14"/>
  <c r="O258" i="14"/>
  <c r="N258" i="14"/>
  <c r="L258" i="14"/>
  <c r="K258" i="14"/>
  <c r="J258" i="14"/>
  <c r="I258" i="14"/>
  <c r="H258" i="14"/>
  <c r="G258" i="14"/>
  <c r="F258" i="14"/>
  <c r="E258" i="14"/>
  <c r="D258" i="14"/>
  <c r="C258" i="14"/>
  <c r="AA257" i="14"/>
  <c r="Z257" i="14"/>
  <c r="Y257" i="14"/>
  <c r="W257" i="14"/>
  <c r="V257" i="14"/>
  <c r="U257" i="14"/>
  <c r="T257" i="14"/>
  <c r="S257" i="14"/>
  <c r="R257" i="14"/>
  <c r="P257" i="14"/>
  <c r="O257" i="14"/>
  <c r="N257" i="14"/>
  <c r="L257" i="14"/>
  <c r="K257" i="14"/>
  <c r="J257" i="14"/>
  <c r="I257" i="14"/>
  <c r="H257" i="14"/>
  <c r="G257" i="14"/>
  <c r="F257" i="14"/>
  <c r="E257" i="14"/>
  <c r="D257" i="14"/>
  <c r="C257" i="14"/>
  <c r="AA256" i="14"/>
  <c r="Z256" i="14"/>
  <c r="Y256" i="14"/>
  <c r="W256" i="14"/>
  <c r="V256" i="14"/>
  <c r="U256" i="14"/>
  <c r="T256" i="14"/>
  <c r="S256" i="14"/>
  <c r="R256" i="14"/>
  <c r="P256" i="14"/>
  <c r="O256" i="14"/>
  <c r="N256" i="14"/>
  <c r="L256" i="14"/>
  <c r="K256" i="14"/>
  <c r="J256" i="14"/>
  <c r="I256" i="14"/>
  <c r="H256" i="14"/>
  <c r="G256" i="14"/>
  <c r="F256" i="14"/>
  <c r="E256" i="14"/>
  <c r="D256" i="14"/>
  <c r="C256" i="14"/>
  <c r="AA255" i="14"/>
  <c r="Z255" i="14"/>
  <c r="Y255" i="14"/>
  <c r="W255" i="14"/>
  <c r="V255" i="14"/>
  <c r="U255" i="14"/>
  <c r="T255" i="14"/>
  <c r="S255" i="14"/>
  <c r="R255" i="14"/>
  <c r="P255" i="14"/>
  <c r="O255" i="14"/>
  <c r="N255" i="14"/>
  <c r="L255" i="14"/>
  <c r="K255" i="14"/>
  <c r="J255" i="14"/>
  <c r="I255" i="14"/>
  <c r="H255" i="14"/>
  <c r="G255" i="14"/>
  <c r="F255" i="14"/>
  <c r="E255" i="14"/>
  <c r="D255" i="14"/>
  <c r="C255" i="14"/>
  <c r="AA254" i="14"/>
  <c r="Z254" i="14"/>
  <c r="Y254" i="14"/>
  <c r="W254" i="14"/>
  <c r="V254" i="14"/>
  <c r="U254" i="14"/>
  <c r="T254" i="14"/>
  <c r="S254" i="14"/>
  <c r="R254" i="14"/>
  <c r="P254" i="14"/>
  <c r="O254" i="14"/>
  <c r="N254" i="14"/>
  <c r="L254" i="14"/>
  <c r="K254" i="14"/>
  <c r="J254" i="14"/>
  <c r="I254" i="14"/>
  <c r="H254" i="14"/>
  <c r="G254" i="14"/>
  <c r="F254" i="14"/>
  <c r="E254" i="14"/>
  <c r="D254" i="14"/>
  <c r="C254" i="14"/>
  <c r="AA253" i="14"/>
  <c r="Z253" i="14"/>
  <c r="Y253" i="14"/>
  <c r="W253" i="14"/>
  <c r="V253" i="14"/>
  <c r="U253" i="14"/>
  <c r="T253" i="14"/>
  <c r="S253" i="14"/>
  <c r="R253" i="14"/>
  <c r="P253" i="14"/>
  <c r="O253" i="14"/>
  <c r="N253" i="14"/>
  <c r="L253" i="14"/>
  <c r="K253" i="14"/>
  <c r="J253" i="14"/>
  <c r="I253" i="14"/>
  <c r="H253" i="14"/>
  <c r="G253" i="14"/>
  <c r="F253" i="14"/>
  <c r="E253" i="14"/>
  <c r="D253" i="14"/>
  <c r="C253" i="14"/>
  <c r="AA252" i="14"/>
  <c r="Z252" i="14"/>
  <c r="Y252" i="14"/>
  <c r="W252" i="14"/>
  <c r="V252" i="14"/>
  <c r="U252" i="14"/>
  <c r="T252" i="14"/>
  <c r="S252" i="14"/>
  <c r="R252" i="14"/>
  <c r="P252" i="14"/>
  <c r="O252" i="14"/>
  <c r="N252" i="14"/>
  <c r="L252" i="14"/>
  <c r="K252" i="14"/>
  <c r="J252" i="14"/>
  <c r="I252" i="14"/>
  <c r="H252" i="14"/>
  <c r="G252" i="14"/>
  <c r="F252" i="14"/>
  <c r="E252" i="14"/>
  <c r="D252" i="14"/>
  <c r="C252" i="14"/>
  <c r="AA251" i="14"/>
  <c r="Z251" i="14"/>
  <c r="Y251" i="14"/>
  <c r="W251" i="14"/>
  <c r="V251" i="14"/>
  <c r="U251" i="14"/>
  <c r="T251" i="14"/>
  <c r="S251" i="14"/>
  <c r="R251" i="14"/>
  <c r="P251" i="14"/>
  <c r="O251" i="14"/>
  <c r="N251" i="14"/>
  <c r="L251" i="14"/>
  <c r="K251" i="14"/>
  <c r="J251" i="14"/>
  <c r="I251" i="14"/>
  <c r="H251" i="14"/>
  <c r="G251" i="14"/>
  <c r="F251" i="14"/>
  <c r="E251" i="14"/>
  <c r="D251" i="14"/>
  <c r="C251" i="14"/>
  <c r="AA250" i="14"/>
  <c r="Z250" i="14"/>
  <c r="Y250" i="14"/>
  <c r="W250" i="14"/>
  <c r="V250" i="14"/>
  <c r="U250" i="14"/>
  <c r="T250" i="14"/>
  <c r="S250" i="14"/>
  <c r="R250" i="14"/>
  <c r="P250" i="14"/>
  <c r="O250" i="14"/>
  <c r="N250" i="14"/>
  <c r="L250" i="14"/>
  <c r="K250" i="14"/>
  <c r="J250" i="14"/>
  <c r="I250" i="14"/>
  <c r="H250" i="14"/>
  <c r="G250" i="14"/>
  <c r="F250" i="14"/>
  <c r="E250" i="14"/>
  <c r="D250" i="14"/>
  <c r="C250" i="14"/>
  <c r="AA249" i="14"/>
  <c r="Z249" i="14"/>
  <c r="Y249" i="14"/>
  <c r="W249" i="14"/>
  <c r="V249" i="14"/>
  <c r="U249" i="14"/>
  <c r="T249" i="14"/>
  <c r="S249" i="14"/>
  <c r="R249" i="14"/>
  <c r="P249" i="14"/>
  <c r="O249" i="14"/>
  <c r="N249" i="14"/>
  <c r="L249" i="14"/>
  <c r="K249" i="14"/>
  <c r="J249" i="14"/>
  <c r="I249" i="14"/>
  <c r="H249" i="14"/>
  <c r="G249" i="14"/>
  <c r="F249" i="14"/>
  <c r="E249" i="14"/>
  <c r="D249" i="14"/>
  <c r="C249" i="14"/>
  <c r="AA248" i="14"/>
  <c r="Z248" i="14"/>
  <c r="Y248" i="14"/>
  <c r="W248" i="14"/>
  <c r="V248" i="14"/>
  <c r="U248" i="14"/>
  <c r="T248" i="14"/>
  <c r="S248" i="14"/>
  <c r="R248" i="14"/>
  <c r="P248" i="14"/>
  <c r="O248" i="14"/>
  <c r="N248" i="14"/>
  <c r="L248" i="14"/>
  <c r="K248" i="14"/>
  <c r="J248" i="14"/>
  <c r="I248" i="14"/>
  <c r="H248" i="14"/>
  <c r="G248" i="14"/>
  <c r="F248" i="14"/>
  <c r="E248" i="14"/>
  <c r="D248" i="14"/>
  <c r="C248" i="14"/>
  <c r="AA247" i="14"/>
  <c r="Z247" i="14"/>
  <c r="Y247" i="14"/>
  <c r="W247" i="14"/>
  <c r="V247" i="14"/>
  <c r="U247" i="14"/>
  <c r="T247" i="14"/>
  <c r="S247" i="14"/>
  <c r="R247" i="14"/>
  <c r="P247" i="14"/>
  <c r="O247" i="14"/>
  <c r="N247" i="14"/>
  <c r="L247" i="14"/>
  <c r="K247" i="14"/>
  <c r="J247" i="14"/>
  <c r="I247" i="14"/>
  <c r="H247" i="14"/>
  <c r="G247" i="14"/>
  <c r="F247" i="14"/>
  <c r="E247" i="14"/>
  <c r="D247" i="14"/>
  <c r="C247" i="14"/>
  <c r="AA246" i="14"/>
  <c r="Z246" i="14"/>
  <c r="Y246" i="14"/>
  <c r="W246" i="14"/>
  <c r="V246" i="14"/>
  <c r="U246" i="14"/>
  <c r="T246" i="14"/>
  <c r="S246" i="14"/>
  <c r="R246" i="14"/>
  <c r="P246" i="14"/>
  <c r="O246" i="14"/>
  <c r="N246" i="14"/>
  <c r="L246" i="14"/>
  <c r="K246" i="14"/>
  <c r="J246" i="14"/>
  <c r="I246" i="14"/>
  <c r="H246" i="14"/>
  <c r="G246" i="14"/>
  <c r="F246" i="14"/>
  <c r="E246" i="14"/>
  <c r="D246" i="14"/>
  <c r="C246" i="14"/>
  <c r="AA245" i="14"/>
  <c r="Z245" i="14"/>
  <c r="Y245" i="14"/>
  <c r="W245" i="14"/>
  <c r="V245" i="14"/>
  <c r="U245" i="14"/>
  <c r="T245" i="14"/>
  <c r="S245" i="14"/>
  <c r="R245" i="14"/>
  <c r="P245" i="14"/>
  <c r="O245" i="14"/>
  <c r="N245" i="14"/>
  <c r="L245" i="14"/>
  <c r="K245" i="14"/>
  <c r="J245" i="14"/>
  <c r="I245" i="14"/>
  <c r="H245" i="14"/>
  <c r="G245" i="14"/>
  <c r="F245" i="14"/>
  <c r="E245" i="14"/>
  <c r="D245" i="14"/>
  <c r="C245" i="14"/>
  <c r="AA244" i="14"/>
  <c r="Z244" i="14"/>
  <c r="Y244" i="14"/>
  <c r="W244" i="14"/>
  <c r="V244" i="14"/>
  <c r="U244" i="14"/>
  <c r="T244" i="14"/>
  <c r="S244" i="14"/>
  <c r="R244" i="14"/>
  <c r="P244" i="14"/>
  <c r="O244" i="14"/>
  <c r="N244" i="14"/>
  <c r="L244" i="14"/>
  <c r="K244" i="14"/>
  <c r="J244" i="14"/>
  <c r="I244" i="14"/>
  <c r="H244" i="14"/>
  <c r="G244" i="14"/>
  <c r="F244" i="14"/>
  <c r="E244" i="14"/>
  <c r="D244" i="14"/>
  <c r="C244" i="14"/>
  <c r="AA243" i="14"/>
  <c r="Z243" i="14"/>
  <c r="Y243" i="14"/>
  <c r="W243" i="14"/>
  <c r="V243" i="14"/>
  <c r="U243" i="14"/>
  <c r="T243" i="14"/>
  <c r="S243" i="14"/>
  <c r="R243" i="14"/>
  <c r="P243" i="14"/>
  <c r="O243" i="14"/>
  <c r="N243" i="14"/>
  <c r="L243" i="14"/>
  <c r="K243" i="14"/>
  <c r="J243" i="14"/>
  <c r="I243" i="14"/>
  <c r="H243" i="14"/>
  <c r="G243" i="14"/>
  <c r="F243" i="14"/>
  <c r="E243" i="14"/>
  <c r="D243" i="14"/>
  <c r="C243" i="14"/>
  <c r="AA242" i="14"/>
  <c r="Z242" i="14"/>
  <c r="Y242" i="14"/>
  <c r="W242" i="14"/>
  <c r="V242" i="14"/>
  <c r="U242" i="14"/>
  <c r="T242" i="14"/>
  <c r="S242" i="14"/>
  <c r="R242" i="14"/>
  <c r="P242" i="14"/>
  <c r="O242" i="14"/>
  <c r="N242" i="14"/>
  <c r="L242" i="14"/>
  <c r="K242" i="14"/>
  <c r="J242" i="14"/>
  <c r="I242" i="14"/>
  <c r="H242" i="14"/>
  <c r="G242" i="14"/>
  <c r="F242" i="14"/>
  <c r="E242" i="14"/>
  <c r="D242" i="14"/>
  <c r="C242" i="14"/>
  <c r="AA241" i="14"/>
  <c r="Z241" i="14"/>
  <c r="Y241" i="14"/>
  <c r="W241" i="14"/>
  <c r="V241" i="14"/>
  <c r="U241" i="14"/>
  <c r="T241" i="14"/>
  <c r="S241" i="14"/>
  <c r="R241" i="14"/>
  <c r="P241" i="14"/>
  <c r="O241" i="14"/>
  <c r="N241" i="14"/>
  <c r="L241" i="14"/>
  <c r="K241" i="14"/>
  <c r="J241" i="14"/>
  <c r="I241" i="14"/>
  <c r="H241" i="14"/>
  <c r="G241" i="14"/>
  <c r="F241" i="14"/>
  <c r="E241" i="14"/>
  <c r="D241" i="14"/>
  <c r="C241" i="14"/>
  <c r="AA240" i="14"/>
  <c r="Z240" i="14"/>
  <c r="Y240" i="14"/>
  <c r="W240" i="14"/>
  <c r="V240" i="14"/>
  <c r="U240" i="14"/>
  <c r="T240" i="14"/>
  <c r="S240" i="14"/>
  <c r="R240" i="14"/>
  <c r="P240" i="14"/>
  <c r="O240" i="14"/>
  <c r="N240" i="14"/>
  <c r="L240" i="14"/>
  <c r="K240" i="14"/>
  <c r="J240" i="14"/>
  <c r="I240" i="14"/>
  <c r="H240" i="14"/>
  <c r="G240" i="14"/>
  <c r="F240" i="14"/>
  <c r="E240" i="14"/>
  <c r="D240" i="14"/>
  <c r="C240" i="14"/>
  <c r="AA239" i="14"/>
  <c r="Z239" i="14"/>
  <c r="Y239" i="14"/>
  <c r="W239" i="14"/>
  <c r="V239" i="14"/>
  <c r="U239" i="14"/>
  <c r="T239" i="14"/>
  <c r="S239" i="14"/>
  <c r="R239" i="14"/>
  <c r="P239" i="14"/>
  <c r="O239" i="14"/>
  <c r="N239" i="14"/>
  <c r="L239" i="14"/>
  <c r="K239" i="14"/>
  <c r="J239" i="14"/>
  <c r="I239" i="14"/>
  <c r="H239" i="14"/>
  <c r="G239" i="14"/>
  <c r="F239" i="14"/>
  <c r="E239" i="14"/>
  <c r="D239" i="14"/>
  <c r="C239" i="14"/>
  <c r="AA238" i="14"/>
  <c r="Z238" i="14"/>
  <c r="Y238" i="14"/>
  <c r="W238" i="14"/>
  <c r="V238" i="14"/>
  <c r="U238" i="14"/>
  <c r="T238" i="14"/>
  <c r="S238" i="14"/>
  <c r="R238" i="14"/>
  <c r="P238" i="14"/>
  <c r="O238" i="14"/>
  <c r="N238" i="14"/>
  <c r="L238" i="14"/>
  <c r="K238" i="14"/>
  <c r="J238" i="14"/>
  <c r="I238" i="14"/>
  <c r="H238" i="14"/>
  <c r="G238" i="14"/>
  <c r="F238" i="14"/>
  <c r="E238" i="14"/>
  <c r="D238" i="14"/>
  <c r="C238" i="14"/>
  <c r="AA237" i="14"/>
  <c r="Z237" i="14"/>
  <c r="Y237" i="14"/>
  <c r="W237" i="14"/>
  <c r="V237" i="14"/>
  <c r="U237" i="14"/>
  <c r="T237" i="14"/>
  <c r="S237" i="14"/>
  <c r="R237" i="14"/>
  <c r="P237" i="14"/>
  <c r="O237" i="14"/>
  <c r="N237" i="14"/>
  <c r="L237" i="14"/>
  <c r="K237" i="14"/>
  <c r="J237" i="14"/>
  <c r="I237" i="14"/>
  <c r="H237" i="14"/>
  <c r="G237" i="14"/>
  <c r="F237" i="14"/>
  <c r="E237" i="14"/>
  <c r="D237" i="14"/>
  <c r="C237" i="14"/>
  <c r="AA236" i="14"/>
  <c r="Z236" i="14"/>
  <c r="Y236" i="14"/>
  <c r="W236" i="14"/>
  <c r="V236" i="14"/>
  <c r="U236" i="14"/>
  <c r="T236" i="14"/>
  <c r="S236" i="14"/>
  <c r="R236" i="14"/>
  <c r="P236" i="14"/>
  <c r="O236" i="14"/>
  <c r="N236" i="14"/>
  <c r="L236" i="14"/>
  <c r="K236" i="14"/>
  <c r="J236" i="14"/>
  <c r="I236" i="14"/>
  <c r="H236" i="14"/>
  <c r="G236" i="14"/>
  <c r="F236" i="14"/>
  <c r="E236" i="14"/>
  <c r="D236" i="14"/>
  <c r="C236" i="14"/>
  <c r="AA235" i="14"/>
  <c r="Z235" i="14"/>
  <c r="Y235" i="14"/>
  <c r="W235" i="14"/>
  <c r="V235" i="14"/>
  <c r="U235" i="14"/>
  <c r="T235" i="14"/>
  <c r="S235" i="14"/>
  <c r="R235" i="14"/>
  <c r="P235" i="14"/>
  <c r="O235" i="14"/>
  <c r="N235" i="14"/>
  <c r="L235" i="14"/>
  <c r="K235" i="14"/>
  <c r="J235" i="14"/>
  <c r="I235" i="14"/>
  <c r="H235" i="14"/>
  <c r="G235" i="14"/>
  <c r="F235" i="14"/>
  <c r="E235" i="14"/>
  <c r="D235" i="14"/>
  <c r="C235" i="14"/>
  <c r="AA234" i="14"/>
  <c r="Z234" i="14"/>
  <c r="Y234" i="14"/>
  <c r="W234" i="14"/>
  <c r="V234" i="14"/>
  <c r="U234" i="14"/>
  <c r="T234" i="14"/>
  <c r="S234" i="14"/>
  <c r="R234" i="14"/>
  <c r="P234" i="14"/>
  <c r="O234" i="14"/>
  <c r="N234" i="14"/>
  <c r="L234" i="14"/>
  <c r="K234" i="14"/>
  <c r="J234" i="14"/>
  <c r="I234" i="14"/>
  <c r="H234" i="14"/>
  <c r="G234" i="14"/>
  <c r="F234" i="14"/>
  <c r="E234" i="14"/>
  <c r="D234" i="14"/>
  <c r="C234" i="14"/>
  <c r="AA233" i="14"/>
  <c r="Z233" i="14"/>
  <c r="Y233" i="14"/>
  <c r="W233" i="14"/>
  <c r="V233" i="14"/>
  <c r="U233" i="14"/>
  <c r="T233" i="14"/>
  <c r="S233" i="14"/>
  <c r="R233" i="14"/>
  <c r="P233" i="14"/>
  <c r="O233" i="14"/>
  <c r="N233" i="14"/>
  <c r="L233" i="14"/>
  <c r="K233" i="14"/>
  <c r="J233" i="14"/>
  <c r="I233" i="14"/>
  <c r="H233" i="14"/>
  <c r="G233" i="14"/>
  <c r="F233" i="14"/>
  <c r="E233" i="14"/>
  <c r="D233" i="14"/>
  <c r="C233" i="14"/>
  <c r="AA232" i="14"/>
  <c r="Z232" i="14"/>
  <c r="Y232" i="14"/>
  <c r="W232" i="14"/>
  <c r="V232" i="14"/>
  <c r="U232" i="14"/>
  <c r="T232" i="14"/>
  <c r="S232" i="14"/>
  <c r="R232" i="14"/>
  <c r="P232" i="14"/>
  <c r="O232" i="14"/>
  <c r="N232" i="14"/>
  <c r="L232" i="14"/>
  <c r="K232" i="14"/>
  <c r="J232" i="14"/>
  <c r="I232" i="14"/>
  <c r="H232" i="14"/>
  <c r="G232" i="14"/>
  <c r="F232" i="14"/>
  <c r="E232" i="14"/>
  <c r="D232" i="14"/>
  <c r="C232" i="14"/>
  <c r="AA231" i="14"/>
  <c r="Z231" i="14"/>
  <c r="Y231" i="14"/>
  <c r="W231" i="14"/>
  <c r="V231" i="14"/>
  <c r="U231" i="14"/>
  <c r="T231" i="14"/>
  <c r="S231" i="14"/>
  <c r="R231" i="14"/>
  <c r="P231" i="14"/>
  <c r="O231" i="14"/>
  <c r="N231" i="14"/>
  <c r="L231" i="14"/>
  <c r="K231" i="14"/>
  <c r="J231" i="14"/>
  <c r="I231" i="14"/>
  <c r="H231" i="14"/>
  <c r="G231" i="14"/>
  <c r="F231" i="14"/>
  <c r="E231" i="14"/>
  <c r="D231" i="14"/>
  <c r="C231" i="14"/>
  <c r="AA230" i="14"/>
  <c r="Z230" i="14"/>
  <c r="Y230" i="14"/>
  <c r="W230" i="14"/>
  <c r="V230" i="14"/>
  <c r="U230" i="14"/>
  <c r="T230" i="14"/>
  <c r="S230" i="14"/>
  <c r="R230" i="14"/>
  <c r="P230" i="14"/>
  <c r="O230" i="14"/>
  <c r="N230" i="14"/>
  <c r="L230" i="14"/>
  <c r="K230" i="14"/>
  <c r="J230" i="14"/>
  <c r="I230" i="14"/>
  <c r="H230" i="14"/>
  <c r="G230" i="14"/>
  <c r="F230" i="14"/>
  <c r="E230" i="14"/>
  <c r="D230" i="14"/>
  <c r="C230" i="14"/>
  <c r="AA229" i="14"/>
  <c r="Z229" i="14"/>
  <c r="Y229" i="14"/>
  <c r="W229" i="14"/>
  <c r="V229" i="14"/>
  <c r="U229" i="14"/>
  <c r="T229" i="14"/>
  <c r="S229" i="14"/>
  <c r="R229" i="14"/>
  <c r="P229" i="14"/>
  <c r="O229" i="14"/>
  <c r="N229" i="14"/>
  <c r="L229" i="14"/>
  <c r="K229" i="14"/>
  <c r="J229" i="14"/>
  <c r="I229" i="14"/>
  <c r="H229" i="14"/>
  <c r="G229" i="14"/>
  <c r="F229" i="14"/>
  <c r="E229" i="14"/>
  <c r="D229" i="14"/>
  <c r="C229" i="14"/>
  <c r="AA228" i="14"/>
  <c r="Z228" i="14"/>
  <c r="Y228" i="14"/>
  <c r="W228" i="14"/>
  <c r="V228" i="14"/>
  <c r="U228" i="14"/>
  <c r="T228" i="14"/>
  <c r="S228" i="14"/>
  <c r="R228" i="14"/>
  <c r="P228" i="14"/>
  <c r="O228" i="14"/>
  <c r="N228" i="14"/>
  <c r="L228" i="14"/>
  <c r="K228" i="14"/>
  <c r="J228" i="14"/>
  <c r="I228" i="14"/>
  <c r="H228" i="14"/>
  <c r="G228" i="14"/>
  <c r="F228" i="14"/>
  <c r="E228" i="14"/>
  <c r="D228" i="14"/>
  <c r="C228" i="14"/>
  <c r="AA227" i="14"/>
  <c r="Z227" i="14"/>
  <c r="Y227" i="14"/>
  <c r="W227" i="14"/>
  <c r="V227" i="14"/>
  <c r="U227" i="14"/>
  <c r="T227" i="14"/>
  <c r="S227" i="14"/>
  <c r="R227" i="14"/>
  <c r="P227" i="14"/>
  <c r="O227" i="14"/>
  <c r="N227" i="14"/>
  <c r="L227" i="14"/>
  <c r="K227" i="14"/>
  <c r="J227" i="14"/>
  <c r="I227" i="14"/>
  <c r="H227" i="14"/>
  <c r="G227" i="14"/>
  <c r="F227" i="14"/>
  <c r="E227" i="14"/>
  <c r="D227" i="14"/>
  <c r="C227" i="14"/>
  <c r="AA226" i="14"/>
  <c r="Z226" i="14"/>
  <c r="Y226" i="14"/>
  <c r="W226" i="14"/>
  <c r="V226" i="14"/>
  <c r="U226" i="14"/>
  <c r="T226" i="14"/>
  <c r="S226" i="14"/>
  <c r="R226" i="14"/>
  <c r="P226" i="14"/>
  <c r="O226" i="14"/>
  <c r="N226" i="14"/>
  <c r="L226" i="14"/>
  <c r="K226" i="14"/>
  <c r="J226" i="14"/>
  <c r="I226" i="14"/>
  <c r="H226" i="14"/>
  <c r="G226" i="14"/>
  <c r="F226" i="14"/>
  <c r="E226" i="14"/>
  <c r="D226" i="14"/>
  <c r="C226" i="14"/>
  <c r="AA225" i="14"/>
  <c r="Z225" i="14"/>
  <c r="Y225" i="14"/>
  <c r="W225" i="14"/>
  <c r="V225" i="14"/>
  <c r="U225" i="14"/>
  <c r="T225" i="14"/>
  <c r="S225" i="14"/>
  <c r="R225" i="14"/>
  <c r="P225" i="14"/>
  <c r="O225" i="14"/>
  <c r="N225" i="14"/>
  <c r="L225" i="14"/>
  <c r="K225" i="14"/>
  <c r="J225" i="14"/>
  <c r="I225" i="14"/>
  <c r="H225" i="14"/>
  <c r="G225" i="14"/>
  <c r="F225" i="14"/>
  <c r="E225" i="14"/>
  <c r="D225" i="14"/>
  <c r="C225" i="14"/>
  <c r="AA224" i="14"/>
  <c r="Z224" i="14"/>
  <c r="Y224" i="14"/>
  <c r="W224" i="14"/>
  <c r="V224" i="14"/>
  <c r="U224" i="14"/>
  <c r="T224" i="14"/>
  <c r="S224" i="14"/>
  <c r="R224" i="14"/>
  <c r="P224" i="14"/>
  <c r="O224" i="14"/>
  <c r="N224" i="14"/>
  <c r="L224" i="14"/>
  <c r="K224" i="14"/>
  <c r="J224" i="14"/>
  <c r="I224" i="14"/>
  <c r="H224" i="14"/>
  <c r="G224" i="14"/>
  <c r="F224" i="14"/>
  <c r="E224" i="14"/>
  <c r="D224" i="14"/>
  <c r="C224" i="14"/>
  <c r="AA223" i="14"/>
  <c r="Z223" i="14"/>
  <c r="Y223" i="14"/>
  <c r="W223" i="14"/>
  <c r="V223" i="14"/>
  <c r="U223" i="14"/>
  <c r="T223" i="14"/>
  <c r="S223" i="14"/>
  <c r="R223" i="14"/>
  <c r="P223" i="14"/>
  <c r="O223" i="14"/>
  <c r="N223" i="14"/>
  <c r="L223" i="14"/>
  <c r="K223" i="14"/>
  <c r="J223" i="14"/>
  <c r="I223" i="14"/>
  <c r="H223" i="14"/>
  <c r="G223" i="14"/>
  <c r="F223" i="14"/>
  <c r="E223" i="14"/>
  <c r="D223" i="14"/>
  <c r="C223" i="14"/>
  <c r="AA222" i="14"/>
  <c r="Z222" i="14"/>
  <c r="Y222" i="14"/>
  <c r="W222" i="14"/>
  <c r="V222" i="14"/>
  <c r="U222" i="14"/>
  <c r="T222" i="14"/>
  <c r="S222" i="14"/>
  <c r="R222" i="14"/>
  <c r="P222" i="14"/>
  <c r="O222" i="14"/>
  <c r="N222" i="14"/>
  <c r="L222" i="14"/>
  <c r="K222" i="14"/>
  <c r="J222" i="14"/>
  <c r="I222" i="14"/>
  <c r="H222" i="14"/>
  <c r="G222" i="14"/>
  <c r="F222" i="14"/>
  <c r="E222" i="14"/>
  <c r="D222" i="14"/>
  <c r="C222" i="14"/>
  <c r="AA221" i="14"/>
  <c r="Z221" i="14"/>
  <c r="Y221" i="14"/>
  <c r="W221" i="14"/>
  <c r="V221" i="14"/>
  <c r="U221" i="14"/>
  <c r="T221" i="14"/>
  <c r="S221" i="14"/>
  <c r="R221" i="14"/>
  <c r="P221" i="14"/>
  <c r="O221" i="14"/>
  <c r="N221" i="14"/>
  <c r="L221" i="14"/>
  <c r="K221" i="14"/>
  <c r="J221" i="14"/>
  <c r="I221" i="14"/>
  <c r="H221" i="14"/>
  <c r="G221" i="14"/>
  <c r="F221" i="14"/>
  <c r="E221" i="14"/>
  <c r="D221" i="14"/>
  <c r="C221" i="14"/>
  <c r="AA220" i="14"/>
  <c r="Z220" i="14"/>
  <c r="Y220" i="14"/>
  <c r="W220" i="14"/>
  <c r="V220" i="14"/>
  <c r="U220" i="14"/>
  <c r="T220" i="14"/>
  <c r="S220" i="14"/>
  <c r="R220" i="14"/>
  <c r="P220" i="14"/>
  <c r="O220" i="14"/>
  <c r="N220" i="14"/>
  <c r="L220" i="14"/>
  <c r="K220" i="14"/>
  <c r="J220" i="14"/>
  <c r="I220" i="14"/>
  <c r="H220" i="14"/>
  <c r="G220" i="14"/>
  <c r="F220" i="14"/>
  <c r="E220" i="14"/>
  <c r="D220" i="14"/>
  <c r="C220" i="14"/>
  <c r="AA219" i="14"/>
  <c r="Z219" i="14"/>
  <c r="Y219" i="14"/>
  <c r="W219" i="14"/>
  <c r="V219" i="14"/>
  <c r="U219" i="14"/>
  <c r="T219" i="14"/>
  <c r="S219" i="14"/>
  <c r="R219" i="14"/>
  <c r="P219" i="14"/>
  <c r="O219" i="14"/>
  <c r="N219" i="14"/>
  <c r="L219" i="14"/>
  <c r="K219" i="14"/>
  <c r="J219" i="14"/>
  <c r="I219" i="14"/>
  <c r="H219" i="14"/>
  <c r="G219" i="14"/>
  <c r="F219" i="14"/>
  <c r="E219" i="14"/>
  <c r="D219" i="14"/>
  <c r="C219" i="14"/>
  <c r="AA218" i="14"/>
  <c r="Z218" i="14"/>
  <c r="Y218" i="14"/>
  <c r="W218" i="14"/>
  <c r="V218" i="14"/>
  <c r="U218" i="14"/>
  <c r="T218" i="14"/>
  <c r="S218" i="14"/>
  <c r="R218" i="14"/>
  <c r="P218" i="14"/>
  <c r="O218" i="14"/>
  <c r="N218" i="14"/>
  <c r="L218" i="14"/>
  <c r="K218" i="14"/>
  <c r="J218" i="14"/>
  <c r="I218" i="14"/>
  <c r="H218" i="14"/>
  <c r="G218" i="14"/>
  <c r="F218" i="14"/>
  <c r="E218" i="14"/>
  <c r="D218" i="14"/>
  <c r="C218" i="14"/>
  <c r="AA217" i="14"/>
  <c r="Z217" i="14"/>
  <c r="Y217" i="14"/>
  <c r="W217" i="14"/>
  <c r="V217" i="14"/>
  <c r="U217" i="14"/>
  <c r="T217" i="14"/>
  <c r="S217" i="14"/>
  <c r="R217" i="14"/>
  <c r="P217" i="14"/>
  <c r="O217" i="14"/>
  <c r="N217" i="14"/>
  <c r="L217" i="14"/>
  <c r="K217" i="14"/>
  <c r="J217" i="14"/>
  <c r="I217" i="14"/>
  <c r="H217" i="14"/>
  <c r="G217" i="14"/>
  <c r="F217" i="14"/>
  <c r="E217" i="14"/>
  <c r="D217" i="14"/>
  <c r="C217" i="14"/>
  <c r="AA216" i="14"/>
  <c r="Z216" i="14"/>
  <c r="Y216" i="14"/>
  <c r="W216" i="14"/>
  <c r="V216" i="14"/>
  <c r="U216" i="14"/>
  <c r="T216" i="14"/>
  <c r="S216" i="14"/>
  <c r="R216" i="14"/>
  <c r="P216" i="14"/>
  <c r="O216" i="14"/>
  <c r="N216" i="14"/>
  <c r="L216" i="14"/>
  <c r="K216" i="14"/>
  <c r="J216" i="14"/>
  <c r="I216" i="14"/>
  <c r="H216" i="14"/>
  <c r="G216" i="14"/>
  <c r="F216" i="14"/>
  <c r="E216" i="14"/>
  <c r="D216" i="14"/>
  <c r="C216" i="14"/>
  <c r="AA215" i="14"/>
  <c r="Z215" i="14"/>
  <c r="Y215" i="14"/>
  <c r="W215" i="14"/>
  <c r="V215" i="14"/>
  <c r="U215" i="14"/>
  <c r="T215" i="14"/>
  <c r="S215" i="14"/>
  <c r="R215" i="14"/>
  <c r="P215" i="14"/>
  <c r="O215" i="14"/>
  <c r="N215" i="14"/>
  <c r="L215" i="14"/>
  <c r="K215" i="14"/>
  <c r="J215" i="14"/>
  <c r="I215" i="14"/>
  <c r="H215" i="14"/>
  <c r="G215" i="14"/>
  <c r="F215" i="14"/>
  <c r="E215" i="14"/>
  <c r="D215" i="14"/>
  <c r="C215" i="14"/>
  <c r="AA214" i="14"/>
  <c r="Z214" i="14"/>
  <c r="Y214" i="14"/>
  <c r="W214" i="14"/>
  <c r="V214" i="14"/>
  <c r="U214" i="14"/>
  <c r="T214" i="14"/>
  <c r="S214" i="14"/>
  <c r="R214" i="14"/>
  <c r="P214" i="14"/>
  <c r="O214" i="14"/>
  <c r="N214" i="14"/>
  <c r="L214" i="14"/>
  <c r="K214" i="14"/>
  <c r="J214" i="14"/>
  <c r="I214" i="14"/>
  <c r="H214" i="14"/>
  <c r="G214" i="14"/>
  <c r="F214" i="14"/>
  <c r="E214" i="14"/>
  <c r="D214" i="14"/>
  <c r="C214" i="14"/>
  <c r="AA213" i="14"/>
  <c r="Z213" i="14"/>
  <c r="Y213" i="14"/>
  <c r="W213" i="14"/>
  <c r="V213" i="14"/>
  <c r="U213" i="14"/>
  <c r="T213" i="14"/>
  <c r="S213" i="14"/>
  <c r="R213" i="14"/>
  <c r="P213" i="14"/>
  <c r="O213" i="14"/>
  <c r="N213" i="14"/>
  <c r="L213" i="14"/>
  <c r="K213" i="14"/>
  <c r="J213" i="14"/>
  <c r="I213" i="14"/>
  <c r="H213" i="14"/>
  <c r="G213" i="14"/>
  <c r="F213" i="14"/>
  <c r="E213" i="14"/>
  <c r="D213" i="14"/>
  <c r="C213" i="14"/>
  <c r="AA212" i="14"/>
  <c r="Z212" i="14"/>
  <c r="Y212" i="14"/>
  <c r="W212" i="14"/>
  <c r="V212" i="14"/>
  <c r="U212" i="14"/>
  <c r="T212" i="14"/>
  <c r="S212" i="14"/>
  <c r="R212" i="14"/>
  <c r="P212" i="14"/>
  <c r="O212" i="14"/>
  <c r="N212" i="14"/>
  <c r="L212" i="14"/>
  <c r="K212" i="14"/>
  <c r="J212" i="14"/>
  <c r="I212" i="14"/>
  <c r="H212" i="14"/>
  <c r="G212" i="14"/>
  <c r="F212" i="14"/>
  <c r="E212" i="14"/>
  <c r="D212" i="14"/>
  <c r="C212" i="14"/>
  <c r="AA211" i="14"/>
  <c r="Z211" i="14"/>
  <c r="Y211" i="14"/>
  <c r="W211" i="14"/>
  <c r="V211" i="14"/>
  <c r="U211" i="14"/>
  <c r="T211" i="14"/>
  <c r="S211" i="14"/>
  <c r="R211" i="14"/>
  <c r="P211" i="14"/>
  <c r="O211" i="14"/>
  <c r="N211" i="14"/>
  <c r="L211" i="14"/>
  <c r="K211" i="14"/>
  <c r="J211" i="14"/>
  <c r="I211" i="14"/>
  <c r="H211" i="14"/>
  <c r="G211" i="14"/>
  <c r="F211" i="14"/>
  <c r="E211" i="14"/>
  <c r="D211" i="14"/>
  <c r="C211" i="14"/>
  <c r="AA210" i="14"/>
  <c r="Z210" i="14"/>
  <c r="Y210" i="14"/>
  <c r="W210" i="14"/>
  <c r="V210" i="14"/>
  <c r="U210" i="14"/>
  <c r="T210" i="14"/>
  <c r="S210" i="14"/>
  <c r="R210" i="14"/>
  <c r="P210" i="14"/>
  <c r="O210" i="14"/>
  <c r="N210" i="14"/>
  <c r="L210" i="14"/>
  <c r="K210" i="14"/>
  <c r="J210" i="14"/>
  <c r="I210" i="14"/>
  <c r="H210" i="14"/>
  <c r="G210" i="14"/>
  <c r="F210" i="14"/>
  <c r="E210" i="14"/>
  <c r="D210" i="14"/>
  <c r="C210" i="14"/>
  <c r="AA209" i="14"/>
  <c r="Z209" i="14"/>
  <c r="Y209" i="14"/>
  <c r="W209" i="14"/>
  <c r="V209" i="14"/>
  <c r="U209" i="14"/>
  <c r="T209" i="14"/>
  <c r="S209" i="14"/>
  <c r="R209" i="14"/>
  <c r="P209" i="14"/>
  <c r="O209" i="14"/>
  <c r="N209" i="14"/>
  <c r="L209" i="14"/>
  <c r="K209" i="14"/>
  <c r="J209" i="14"/>
  <c r="I209" i="14"/>
  <c r="H209" i="14"/>
  <c r="G209" i="14"/>
  <c r="F209" i="14"/>
  <c r="E209" i="14"/>
  <c r="D209" i="14"/>
  <c r="C209" i="14"/>
  <c r="AA208" i="14"/>
  <c r="Z208" i="14"/>
  <c r="Y208" i="14"/>
  <c r="W208" i="14"/>
  <c r="V208" i="14"/>
  <c r="U208" i="14"/>
  <c r="T208" i="14"/>
  <c r="S208" i="14"/>
  <c r="R208" i="14"/>
  <c r="P208" i="14"/>
  <c r="O208" i="14"/>
  <c r="N208" i="14"/>
  <c r="L208" i="14"/>
  <c r="K208" i="14"/>
  <c r="J208" i="14"/>
  <c r="I208" i="14"/>
  <c r="H208" i="14"/>
  <c r="G208" i="14"/>
  <c r="F208" i="14"/>
  <c r="E208" i="14"/>
  <c r="D208" i="14"/>
  <c r="C208" i="14"/>
  <c r="AA207" i="14"/>
  <c r="Z207" i="14"/>
  <c r="Y207" i="14"/>
  <c r="W207" i="14"/>
  <c r="V207" i="14"/>
  <c r="U207" i="14"/>
  <c r="T207" i="14"/>
  <c r="S207" i="14"/>
  <c r="R207" i="14"/>
  <c r="P207" i="14"/>
  <c r="O207" i="14"/>
  <c r="N207" i="14"/>
  <c r="L207" i="14"/>
  <c r="K207" i="14"/>
  <c r="J207" i="14"/>
  <c r="I207" i="14"/>
  <c r="H207" i="14"/>
  <c r="G207" i="14"/>
  <c r="F207" i="14"/>
  <c r="E207" i="14"/>
  <c r="D207" i="14"/>
  <c r="C207" i="14"/>
  <c r="AA206" i="14"/>
  <c r="Z206" i="14"/>
  <c r="Y206" i="14"/>
  <c r="W206" i="14"/>
  <c r="V206" i="14"/>
  <c r="U206" i="14"/>
  <c r="T206" i="14"/>
  <c r="S206" i="14"/>
  <c r="R206" i="14"/>
  <c r="P206" i="14"/>
  <c r="O206" i="14"/>
  <c r="N206" i="14"/>
  <c r="L206" i="14"/>
  <c r="K206" i="14"/>
  <c r="J206" i="14"/>
  <c r="I206" i="14"/>
  <c r="H206" i="14"/>
  <c r="G206" i="14"/>
  <c r="F206" i="14"/>
  <c r="E206" i="14"/>
  <c r="D206" i="14"/>
  <c r="C206" i="14"/>
  <c r="AA205" i="14"/>
  <c r="Z205" i="14"/>
  <c r="Y205" i="14"/>
  <c r="W205" i="14"/>
  <c r="V205" i="14"/>
  <c r="U205" i="14"/>
  <c r="T205" i="14"/>
  <c r="S205" i="14"/>
  <c r="R205" i="14"/>
  <c r="P205" i="14"/>
  <c r="O205" i="14"/>
  <c r="N205" i="14"/>
  <c r="L205" i="14"/>
  <c r="K205" i="14"/>
  <c r="J205" i="14"/>
  <c r="I205" i="14"/>
  <c r="H205" i="14"/>
  <c r="G205" i="14"/>
  <c r="F205" i="14"/>
  <c r="E205" i="14"/>
  <c r="D205" i="14"/>
  <c r="C205" i="14"/>
  <c r="AA204" i="14"/>
  <c r="Z204" i="14"/>
  <c r="Y204" i="14"/>
  <c r="W204" i="14"/>
  <c r="V204" i="14"/>
  <c r="U204" i="14"/>
  <c r="T204" i="14"/>
  <c r="S204" i="14"/>
  <c r="R204" i="14"/>
  <c r="P204" i="14"/>
  <c r="O204" i="14"/>
  <c r="N204" i="14"/>
  <c r="L204" i="14"/>
  <c r="K204" i="14"/>
  <c r="J204" i="14"/>
  <c r="I204" i="14"/>
  <c r="H204" i="14"/>
  <c r="G204" i="14"/>
  <c r="F204" i="14"/>
  <c r="E204" i="14"/>
  <c r="D204" i="14"/>
  <c r="C204" i="14"/>
  <c r="AA203" i="14"/>
  <c r="Z203" i="14"/>
  <c r="Y203" i="14"/>
  <c r="W203" i="14"/>
  <c r="V203" i="14"/>
  <c r="U203" i="14"/>
  <c r="T203" i="14"/>
  <c r="S203" i="14"/>
  <c r="R203" i="14"/>
  <c r="P203" i="14"/>
  <c r="O203" i="14"/>
  <c r="N203" i="14"/>
  <c r="L203" i="14"/>
  <c r="K203" i="14"/>
  <c r="J203" i="14"/>
  <c r="I203" i="14"/>
  <c r="H203" i="14"/>
  <c r="G203" i="14"/>
  <c r="F203" i="14"/>
  <c r="E203" i="14"/>
  <c r="D203" i="14"/>
  <c r="C203" i="14"/>
  <c r="AA202" i="14"/>
  <c r="Z202" i="14"/>
  <c r="Y202" i="14"/>
  <c r="W202" i="14"/>
  <c r="V202" i="14"/>
  <c r="U202" i="14"/>
  <c r="T202" i="14"/>
  <c r="S202" i="14"/>
  <c r="R202" i="14"/>
  <c r="P202" i="14"/>
  <c r="O202" i="14"/>
  <c r="N202" i="14"/>
  <c r="L202" i="14"/>
  <c r="K202" i="14"/>
  <c r="J202" i="14"/>
  <c r="I202" i="14"/>
  <c r="H202" i="14"/>
  <c r="G202" i="14"/>
  <c r="F202" i="14"/>
  <c r="E202" i="14"/>
  <c r="D202" i="14"/>
  <c r="C202" i="14"/>
  <c r="AA201" i="14"/>
  <c r="Z201" i="14"/>
  <c r="Y201" i="14"/>
  <c r="W201" i="14"/>
  <c r="V201" i="14"/>
  <c r="U201" i="14"/>
  <c r="T201" i="14"/>
  <c r="S201" i="14"/>
  <c r="R201" i="14"/>
  <c r="P201" i="14"/>
  <c r="O201" i="14"/>
  <c r="N201" i="14"/>
  <c r="L201" i="14"/>
  <c r="K201" i="14"/>
  <c r="J201" i="14"/>
  <c r="I201" i="14"/>
  <c r="H201" i="14"/>
  <c r="G201" i="14"/>
  <c r="F201" i="14"/>
  <c r="E201" i="14"/>
  <c r="D201" i="14"/>
  <c r="C201" i="14"/>
  <c r="AA200" i="14"/>
  <c r="Z200" i="14"/>
  <c r="Y200" i="14"/>
  <c r="W200" i="14"/>
  <c r="V200" i="14"/>
  <c r="U200" i="14"/>
  <c r="T200" i="14"/>
  <c r="S200" i="14"/>
  <c r="R200" i="14"/>
  <c r="P200" i="14"/>
  <c r="O200" i="14"/>
  <c r="N200" i="14"/>
  <c r="L200" i="14"/>
  <c r="K200" i="14"/>
  <c r="J200" i="14"/>
  <c r="I200" i="14"/>
  <c r="H200" i="14"/>
  <c r="G200" i="14"/>
  <c r="F200" i="14"/>
  <c r="E200" i="14"/>
  <c r="D200" i="14"/>
  <c r="C200" i="14"/>
  <c r="AA199" i="14"/>
  <c r="Z199" i="14"/>
  <c r="Y199" i="14"/>
  <c r="W199" i="14"/>
  <c r="V199" i="14"/>
  <c r="U199" i="14"/>
  <c r="T199" i="14"/>
  <c r="S199" i="14"/>
  <c r="R199" i="14"/>
  <c r="P199" i="14"/>
  <c r="O199" i="14"/>
  <c r="N199" i="14"/>
  <c r="L199" i="14"/>
  <c r="K199" i="14"/>
  <c r="J199" i="14"/>
  <c r="I199" i="14"/>
  <c r="H199" i="14"/>
  <c r="G199" i="14"/>
  <c r="F199" i="14"/>
  <c r="E199" i="14"/>
  <c r="D199" i="14"/>
  <c r="C199" i="14"/>
  <c r="AA198" i="14"/>
  <c r="Z198" i="14"/>
  <c r="Y198" i="14"/>
  <c r="W198" i="14"/>
  <c r="V198" i="14"/>
  <c r="U198" i="14"/>
  <c r="T198" i="14"/>
  <c r="S198" i="14"/>
  <c r="R198" i="14"/>
  <c r="P198" i="14"/>
  <c r="O198" i="14"/>
  <c r="N198" i="14"/>
  <c r="L198" i="14"/>
  <c r="K198" i="14"/>
  <c r="J198" i="14"/>
  <c r="I198" i="14"/>
  <c r="H198" i="14"/>
  <c r="G198" i="14"/>
  <c r="F198" i="14"/>
  <c r="E198" i="14"/>
  <c r="D198" i="14"/>
  <c r="C198" i="14"/>
  <c r="AA197" i="14"/>
  <c r="Z197" i="14"/>
  <c r="Y197" i="14"/>
  <c r="W197" i="14"/>
  <c r="V197" i="14"/>
  <c r="U197" i="14"/>
  <c r="T197" i="14"/>
  <c r="S197" i="14"/>
  <c r="R197" i="14"/>
  <c r="P197" i="14"/>
  <c r="O197" i="14"/>
  <c r="N197" i="14"/>
  <c r="L197" i="14"/>
  <c r="K197" i="14"/>
  <c r="J197" i="14"/>
  <c r="I197" i="14"/>
  <c r="H197" i="14"/>
  <c r="G197" i="14"/>
  <c r="F197" i="14"/>
  <c r="E197" i="14"/>
  <c r="D197" i="14"/>
  <c r="C197" i="14"/>
  <c r="AA196" i="14"/>
  <c r="Z196" i="14"/>
  <c r="Y196" i="14"/>
  <c r="W196" i="14"/>
  <c r="V196" i="14"/>
  <c r="U196" i="14"/>
  <c r="T196" i="14"/>
  <c r="S196" i="14"/>
  <c r="R196" i="14"/>
  <c r="P196" i="14"/>
  <c r="O196" i="14"/>
  <c r="N196" i="14"/>
  <c r="L196" i="14"/>
  <c r="K196" i="14"/>
  <c r="J196" i="14"/>
  <c r="I196" i="14"/>
  <c r="H196" i="14"/>
  <c r="G196" i="14"/>
  <c r="F196" i="14"/>
  <c r="E196" i="14"/>
  <c r="D196" i="14"/>
  <c r="C196" i="14"/>
  <c r="AA195" i="14"/>
  <c r="Z195" i="14"/>
  <c r="Y195" i="14"/>
  <c r="W195" i="14"/>
  <c r="V195" i="14"/>
  <c r="U195" i="14"/>
  <c r="T195" i="14"/>
  <c r="S195" i="14"/>
  <c r="R195" i="14"/>
  <c r="P195" i="14"/>
  <c r="O195" i="14"/>
  <c r="N195" i="14"/>
  <c r="L195" i="14"/>
  <c r="K195" i="14"/>
  <c r="J195" i="14"/>
  <c r="I195" i="14"/>
  <c r="H195" i="14"/>
  <c r="G195" i="14"/>
  <c r="F195" i="14"/>
  <c r="E195" i="14"/>
  <c r="D195" i="14"/>
  <c r="C195" i="14"/>
  <c r="AA194" i="14"/>
  <c r="Z194" i="14"/>
  <c r="Y194" i="14"/>
  <c r="W194" i="14"/>
  <c r="V194" i="14"/>
  <c r="U194" i="14"/>
  <c r="T194" i="14"/>
  <c r="S194" i="14"/>
  <c r="R194" i="14"/>
  <c r="P194" i="14"/>
  <c r="O194" i="14"/>
  <c r="N194" i="14"/>
  <c r="L194" i="14"/>
  <c r="K194" i="14"/>
  <c r="J194" i="14"/>
  <c r="I194" i="14"/>
  <c r="H194" i="14"/>
  <c r="G194" i="14"/>
  <c r="F194" i="14"/>
  <c r="E194" i="14"/>
  <c r="D194" i="14"/>
  <c r="C194" i="14"/>
  <c r="AA193" i="14"/>
  <c r="Z193" i="14"/>
  <c r="Y193" i="14"/>
  <c r="W193" i="14"/>
  <c r="V193" i="14"/>
  <c r="U193" i="14"/>
  <c r="T193" i="14"/>
  <c r="S193" i="14"/>
  <c r="R193" i="14"/>
  <c r="P193" i="14"/>
  <c r="O193" i="14"/>
  <c r="N193" i="14"/>
  <c r="L193" i="14"/>
  <c r="K193" i="14"/>
  <c r="J193" i="14"/>
  <c r="I193" i="14"/>
  <c r="H193" i="14"/>
  <c r="G193" i="14"/>
  <c r="F193" i="14"/>
  <c r="E193" i="14"/>
  <c r="D193" i="14"/>
  <c r="C193" i="14"/>
  <c r="AA192" i="14"/>
  <c r="Z192" i="14"/>
  <c r="Y192" i="14"/>
  <c r="W192" i="14"/>
  <c r="V192" i="14"/>
  <c r="U192" i="14"/>
  <c r="T192" i="14"/>
  <c r="S192" i="14"/>
  <c r="R192" i="14"/>
  <c r="P192" i="14"/>
  <c r="O192" i="14"/>
  <c r="N192" i="14"/>
  <c r="L192" i="14"/>
  <c r="K192" i="14"/>
  <c r="J192" i="14"/>
  <c r="I192" i="14"/>
  <c r="H192" i="14"/>
  <c r="G192" i="14"/>
  <c r="F192" i="14"/>
  <c r="E192" i="14"/>
  <c r="D192" i="14"/>
  <c r="C192" i="14"/>
  <c r="AA191" i="14"/>
  <c r="Z191" i="14"/>
  <c r="Y191" i="14"/>
  <c r="W191" i="14"/>
  <c r="V191" i="14"/>
  <c r="U191" i="14"/>
  <c r="T191" i="14"/>
  <c r="S191" i="14"/>
  <c r="R191" i="14"/>
  <c r="P191" i="14"/>
  <c r="O191" i="14"/>
  <c r="N191" i="14"/>
  <c r="L191" i="14"/>
  <c r="K191" i="14"/>
  <c r="J191" i="14"/>
  <c r="I191" i="14"/>
  <c r="H191" i="14"/>
  <c r="G191" i="14"/>
  <c r="F191" i="14"/>
  <c r="E191" i="14"/>
  <c r="D191" i="14"/>
  <c r="C191" i="14"/>
  <c r="AA190" i="14"/>
  <c r="Z190" i="14"/>
  <c r="Y190" i="14"/>
  <c r="W190" i="14"/>
  <c r="V190" i="14"/>
  <c r="U190" i="14"/>
  <c r="T190" i="14"/>
  <c r="S190" i="14"/>
  <c r="R190" i="14"/>
  <c r="P190" i="14"/>
  <c r="O190" i="14"/>
  <c r="N190" i="14"/>
  <c r="L190" i="14"/>
  <c r="K190" i="14"/>
  <c r="J190" i="14"/>
  <c r="I190" i="14"/>
  <c r="H190" i="14"/>
  <c r="G190" i="14"/>
  <c r="F190" i="14"/>
  <c r="E190" i="14"/>
  <c r="D190" i="14"/>
  <c r="C190" i="14"/>
  <c r="AA189" i="14"/>
  <c r="Z189" i="14"/>
  <c r="Y189" i="14"/>
  <c r="W189" i="14"/>
  <c r="V189" i="14"/>
  <c r="U189" i="14"/>
  <c r="T189" i="14"/>
  <c r="S189" i="14"/>
  <c r="R189" i="14"/>
  <c r="P189" i="14"/>
  <c r="O189" i="14"/>
  <c r="N189" i="14"/>
  <c r="L189" i="14"/>
  <c r="K189" i="14"/>
  <c r="J189" i="14"/>
  <c r="I189" i="14"/>
  <c r="H189" i="14"/>
  <c r="G189" i="14"/>
  <c r="F189" i="14"/>
  <c r="E189" i="14"/>
  <c r="D189" i="14"/>
  <c r="C189" i="14"/>
  <c r="AA188" i="14"/>
  <c r="Z188" i="14"/>
  <c r="Y188" i="14"/>
  <c r="W188" i="14"/>
  <c r="V188" i="14"/>
  <c r="U188" i="14"/>
  <c r="T188" i="14"/>
  <c r="S188" i="14"/>
  <c r="R188" i="14"/>
  <c r="P188" i="14"/>
  <c r="O188" i="14"/>
  <c r="N188" i="14"/>
  <c r="L188" i="14"/>
  <c r="K188" i="14"/>
  <c r="J188" i="14"/>
  <c r="I188" i="14"/>
  <c r="H188" i="14"/>
  <c r="G188" i="14"/>
  <c r="F188" i="14"/>
  <c r="E188" i="14"/>
  <c r="D188" i="14"/>
  <c r="C188" i="14"/>
  <c r="AA187" i="14"/>
  <c r="Z187" i="14"/>
  <c r="Y187" i="14"/>
  <c r="W187" i="14"/>
  <c r="V187" i="14"/>
  <c r="U187" i="14"/>
  <c r="T187" i="14"/>
  <c r="S187" i="14"/>
  <c r="R187" i="14"/>
  <c r="P187" i="14"/>
  <c r="O187" i="14"/>
  <c r="N187" i="14"/>
  <c r="L187" i="14"/>
  <c r="K187" i="14"/>
  <c r="J187" i="14"/>
  <c r="I187" i="14"/>
  <c r="H187" i="14"/>
  <c r="G187" i="14"/>
  <c r="F187" i="14"/>
  <c r="E187" i="14"/>
  <c r="D187" i="14"/>
  <c r="C187" i="14"/>
  <c r="AA186" i="14"/>
  <c r="Z186" i="14"/>
  <c r="Y186" i="14"/>
  <c r="W186" i="14"/>
  <c r="V186" i="14"/>
  <c r="U186" i="14"/>
  <c r="T186" i="14"/>
  <c r="S186" i="14"/>
  <c r="R186" i="14"/>
  <c r="P186" i="14"/>
  <c r="O186" i="14"/>
  <c r="N186" i="14"/>
  <c r="L186" i="14"/>
  <c r="K186" i="14"/>
  <c r="J186" i="14"/>
  <c r="I186" i="14"/>
  <c r="H186" i="14"/>
  <c r="G186" i="14"/>
  <c r="F186" i="14"/>
  <c r="E186" i="14"/>
  <c r="D186" i="14"/>
  <c r="C186" i="14"/>
  <c r="AA185" i="14"/>
  <c r="Z185" i="14"/>
  <c r="Y185" i="14"/>
  <c r="W185" i="14"/>
  <c r="V185" i="14"/>
  <c r="U185" i="14"/>
  <c r="T185" i="14"/>
  <c r="S185" i="14"/>
  <c r="R185" i="14"/>
  <c r="P185" i="14"/>
  <c r="O185" i="14"/>
  <c r="N185" i="14"/>
  <c r="L185" i="14"/>
  <c r="K185" i="14"/>
  <c r="J185" i="14"/>
  <c r="I185" i="14"/>
  <c r="H185" i="14"/>
  <c r="G185" i="14"/>
  <c r="F185" i="14"/>
  <c r="E185" i="14"/>
  <c r="D185" i="14"/>
  <c r="C185" i="14"/>
  <c r="AA184" i="14"/>
  <c r="Z184" i="14"/>
  <c r="Y184" i="14"/>
  <c r="W184" i="14"/>
  <c r="V184" i="14"/>
  <c r="U184" i="14"/>
  <c r="T184" i="14"/>
  <c r="S184" i="14"/>
  <c r="R184" i="14"/>
  <c r="P184" i="14"/>
  <c r="O184" i="14"/>
  <c r="N184" i="14"/>
  <c r="L184" i="14"/>
  <c r="K184" i="14"/>
  <c r="J184" i="14"/>
  <c r="I184" i="14"/>
  <c r="H184" i="14"/>
  <c r="G184" i="14"/>
  <c r="F184" i="14"/>
  <c r="E184" i="14"/>
  <c r="D184" i="14"/>
  <c r="C184" i="14"/>
  <c r="AA183" i="14"/>
  <c r="Z183" i="14"/>
  <c r="Y183" i="14"/>
  <c r="W183" i="14"/>
  <c r="V183" i="14"/>
  <c r="U183" i="14"/>
  <c r="T183" i="14"/>
  <c r="S183" i="14"/>
  <c r="R183" i="14"/>
  <c r="P183" i="14"/>
  <c r="O183" i="14"/>
  <c r="N183" i="14"/>
  <c r="L183" i="14"/>
  <c r="K183" i="14"/>
  <c r="J183" i="14"/>
  <c r="I183" i="14"/>
  <c r="H183" i="14"/>
  <c r="G183" i="14"/>
  <c r="F183" i="14"/>
  <c r="E183" i="14"/>
  <c r="D183" i="14"/>
  <c r="C183" i="14"/>
  <c r="AA182" i="14"/>
  <c r="Z182" i="14"/>
  <c r="Y182" i="14"/>
  <c r="W182" i="14"/>
  <c r="V182" i="14"/>
  <c r="U182" i="14"/>
  <c r="T182" i="14"/>
  <c r="S182" i="14"/>
  <c r="R182" i="14"/>
  <c r="P182" i="14"/>
  <c r="O182" i="14"/>
  <c r="N182" i="14"/>
  <c r="L182" i="14"/>
  <c r="K182" i="14"/>
  <c r="J182" i="14"/>
  <c r="I182" i="14"/>
  <c r="H182" i="14"/>
  <c r="G182" i="14"/>
  <c r="F182" i="14"/>
  <c r="E182" i="14"/>
  <c r="D182" i="14"/>
  <c r="C182" i="14"/>
  <c r="AA181" i="14"/>
  <c r="Z181" i="14"/>
  <c r="Y181" i="14"/>
  <c r="W181" i="14"/>
  <c r="V181" i="14"/>
  <c r="U181" i="14"/>
  <c r="T181" i="14"/>
  <c r="S181" i="14"/>
  <c r="R181" i="14"/>
  <c r="P181" i="14"/>
  <c r="O181" i="14"/>
  <c r="N181" i="14"/>
  <c r="L181" i="14"/>
  <c r="K181" i="14"/>
  <c r="J181" i="14"/>
  <c r="I181" i="14"/>
  <c r="H181" i="14"/>
  <c r="G181" i="14"/>
  <c r="F181" i="14"/>
  <c r="E181" i="14"/>
  <c r="D181" i="14"/>
  <c r="C181" i="14"/>
  <c r="AA180" i="14"/>
  <c r="Z180" i="14"/>
  <c r="Y180" i="14"/>
  <c r="W180" i="14"/>
  <c r="V180" i="14"/>
  <c r="U180" i="14"/>
  <c r="T180" i="14"/>
  <c r="S180" i="14"/>
  <c r="R180" i="14"/>
  <c r="P180" i="14"/>
  <c r="O180" i="14"/>
  <c r="N180" i="14"/>
  <c r="L180" i="14"/>
  <c r="K180" i="14"/>
  <c r="J180" i="14"/>
  <c r="I180" i="14"/>
  <c r="H180" i="14"/>
  <c r="G180" i="14"/>
  <c r="F180" i="14"/>
  <c r="E180" i="14"/>
  <c r="D180" i="14"/>
  <c r="C180" i="14"/>
  <c r="AA179" i="14"/>
  <c r="Z179" i="14"/>
  <c r="Y179" i="14"/>
  <c r="W179" i="14"/>
  <c r="V179" i="14"/>
  <c r="U179" i="14"/>
  <c r="T179" i="14"/>
  <c r="S179" i="14"/>
  <c r="R179" i="14"/>
  <c r="P179" i="14"/>
  <c r="O179" i="14"/>
  <c r="N179" i="14"/>
  <c r="L179" i="14"/>
  <c r="K179" i="14"/>
  <c r="J179" i="14"/>
  <c r="I179" i="14"/>
  <c r="H179" i="14"/>
  <c r="G179" i="14"/>
  <c r="F179" i="14"/>
  <c r="E179" i="14"/>
  <c r="D179" i="14"/>
  <c r="C179" i="14"/>
  <c r="AA178" i="14"/>
  <c r="Z178" i="14"/>
  <c r="Y178" i="14"/>
  <c r="W178" i="14"/>
  <c r="V178" i="14"/>
  <c r="U178" i="14"/>
  <c r="T178" i="14"/>
  <c r="S178" i="14"/>
  <c r="R178" i="14"/>
  <c r="P178" i="14"/>
  <c r="O178" i="14"/>
  <c r="N178" i="14"/>
  <c r="L178" i="14"/>
  <c r="K178" i="14"/>
  <c r="J178" i="14"/>
  <c r="I178" i="14"/>
  <c r="H178" i="14"/>
  <c r="G178" i="14"/>
  <c r="F178" i="14"/>
  <c r="E178" i="14"/>
  <c r="D178" i="14"/>
  <c r="C178" i="14"/>
  <c r="AA177" i="14"/>
  <c r="Z177" i="14"/>
  <c r="Y177" i="14"/>
  <c r="W177" i="14"/>
  <c r="V177" i="14"/>
  <c r="U177" i="14"/>
  <c r="T177" i="14"/>
  <c r="S177" i="14"/>
  <c r="R177" i="14"/>
  <c r="P177" i="14"/>
  <c r="O177" i="14"/>
  <c r="N177" i="14"/>
  <c r="L177" i="14"/>
  <c r="K177" i="14"/>
  <c r="J177" i="14"/>
  <c r="I177" i="14"/>
  <c r="H177" i="14"/>
  <c r="G177" i="14"/>
  <c r="F177" i="14"/>
  <c r="E177" i="14"/>
  <c r="D177" i="14"/>
  <c r="C177" i="14"/>
  <c r="AA176" i="14"/>
  <c r="Z176" i="14"/>
  <c r="Y176" i="14"/>
  <c r="W176" i="14"/>
  <c r="V176" i="14"/>
  <c r="U176" i="14"/>
  <c r="T176" i="14"/>
  <c r="S176" i="14"/>
  <c r="R176" i="14"/>
  <c r="P176" i="14"/>
  <c r="O176" i="14"/>
  <c r="N176" i="14"/>
  <c r="L176" i="14"/>
  <c r="K176" i="14"/>
  <c r="J176" i="14"/>
  <c r="I176" i="14"/>
  <c r="H176" i="14"/>
  <c r="G176" i="14"/>
  <c r="F176" i="14"/>
  <c r="E176" i="14"/>
  <c r="D176" i="14"/>
  <c r="C176" i="14"/>
  <c r="AA175" i="14"/>
  <c r="Z175" i="14"/>
  <c r="Y175" i="14"/>
  <c r="W175" i="14"/>
  <c r="V175" i="14"/>
  <c r="U175" i="14"/>
  <c r="T175" i="14"/>
  <c r="S175" i="14"/>
  <c r="R175" i="14"/>
  <c r="P175" i="14"/>
  <c r="O175" i="14"/>
  <c r="N175" i="14"/>
  <c r="L175" i="14"/>
  <c r="K175" i="14"/>
  <c r="J175" i="14"/>
  <c r="I175" i="14"/>
  <c r="H175" i="14"/>
  <c r="G175" i="14"/>
  <c r="F175" i="14"/>
  <c r="E175" i="14"/>
  <c r="D175" i="14"/>
  <c r="C175" i="14"/>
  <c r="AA174" i="14"/>
  <c r="Z174" i="14"/>
  <c r="Y174" i="14"/>
  <c r="W174" i="14"/>
  <c r="V174" i="14"/>
  <c r="U174" i="14"/>
  <c r="T174" i="14"/>
  <c r="S174" i="14"/>
  <c r="R174" i="14"/>
  <c r="P174" i="14"/>
  <c r="O174" i="14"/>
  <c r="N174" i="14"/>
  <c r="L174" i="14"/>
  <c r="K174" i="14"/>
  <c r="J174" i="14"/>
  <c r="I174" i="14"/>
  <c r="H174" i="14"/>
  <c r="G174" i="14"/>
  <c r="F174" i="14"/>
  <c r="E174" i="14"/>
  <c r="D174" i="14"/>
  <c r="C174" i="14"/>
  <c r="AA173" i="14"/>
  <c r="Z173" i="14"/>
  <c r="Y173" i="14"/>
  <c r="W173" i="14"/>
  <c r="V173" i="14"/>
  <c r="U173" i="14"/>
  <c r="T173" i="14"/>
  <c r="S173" i="14"/>
  <c r="R173" i="14"/>
  <c r="P173" i="14"/>
  <c r="O173" i="14"/>
  <c r="N173" i="14"/>
  <c r="L173" i="14"/>
  <c r="K173" i="14"/>
  <c r="J173" i="14"/>
  <c r="I173" i="14"/>
  <c r="H173" i="14"/>
  <c r="G173" i="14"/>
  <c r="F173" i="14"/>
  <c r="E173" i="14"/>
  <c r="D173" i="14"/>
  <c r="C173" i="14"/>
  <c r="AA172" i="14"/>
  <c r="Z172" i="14"/>
  <c r="Y172" i="14"/>
  <c r="W172" i="14"/>
  <c r="V172" i="14"/>
  <c r="U172" i="14"/>
  <c r="T172" i="14"/>
  <c r="S172" i="14"/>
  <c r="R172" i="14"/>
  <c r="P172" i="14"/>
  <c r="O172" i="14"/>
  <c r="N172" i="14"/>
  <c r="L172" i="14"/>
  <c r="K172" i="14"/>
  <c r="J172" i="14"/>
  <c r="I172" i="14"/>
  <c r="H172" i="14"/>
  <c r="G172" i="14"/>
  <c r="F172" i="14"/>
  <c r="E172" i="14"/>
  <c r="D172" i="14"/>
  <c r="C172" i="14"/>
  <c r="AA171" i="14"/>
  <c r="Z171" i="14"/>
  <c r="Y171" i="14"/>
  <c r="W171" i="14"/>
  <c r="V171" i="14"/>
  <c r="U171" i="14"/>
  <c r="T171" i="14"/>
  <c r="S171" i="14"/>
  <c r="R171" i="14"/>
  <c r="P171" i="14"/>
  <c r="O171" i="14"/>
  <c r="N171" i="14"/>
  <c r="L171" i="14"/>
  <c r="K171" i="14"/>
  <c r="J171" i="14"/>
  <c r="I171" i="14"/>
  <c r="H171" i="14"/>
  <c r="G171" i="14"/>
  <c r="F171" i="14"/>
  <c r="E171" i="14"/>
  <c r="D171" i="14"/>
  <c r="C171" i="14"/>
  <c r="AA170" i="14"/>
  <c r="Z170" i="14"/>
  <c r="Y170" i="14"/>
  <c r="W170" i="14"/>
  <c r="V170" i="14"/>
  <c r="U170" i="14"/>
  <c r="T170" i="14"/>
  <c r="S170" i="14"/>
  <c r="R170" i="14"/>
  <c r="P170" i="14"/>
  <c r="O170" i="14"/>
  <c r="N170" i="14"/>
  <c r="L170" i="14"/>
  <c r="K170" i="14"/>
  <c r="J170" i="14"/>
  <c r="I170" i="14"/>
  <c r="H170" i="14"/>
  <c r="G170" i="14"/>
  <c r="F170" i="14"/>
  <c r="E170" i="14"/>
  <c r="D170" i="14"/>
  <c r="C170" i="14"/>
  <c r="AA169" i="14"/>
  <c r="Z169" i="14"/>
  <c r="Y169" i="14"/>
  <c r="W169" i="14"/>
  <c r="V169" i="14"/>
  <c r="U169" i="14"/>
  <c r="T169" i="14"/>
  <c r="S169" i="14"/>
  <c r="R169" i="14"/>
  <c r="P169" i="14"/>
  <c r="O169" i="14"/>
  <c r="N169" i="14"/>
  <c r="L169" i="14"/>
  <c r="K169" i="14"/>
  <c r="J169" i="14"/>
  <c r="I169" i="14"/>
  <c r="H169" i="14"/>
  <c r="G169" i="14"/>
  <c r="F169" i="14"/>
  <c r="E169" i="14"/>
  <c r="D169" i="14"/>
  <c r="C169" i="14"/>
  <c r="AA168" i="14"/>
  <c r="Z168" i="14"/>
  <c r="Y168" i="14"/>
  <c r="W168" i="14"/>
  <c r="V168" i="14"/>
  <c r="U168" i="14"/>
  <c r="T168" i="14"/>
  <c r="S168" i="14"/>
  <c r="R168" i="14"/>
  <c r="P168" i="14"/>
  <c r="O168" i="14"/>
  <c r="N168" i="14"/>
  <c r="L168" i="14"/>
  <c r="K168" i="14"/>
  <c r="J168" i="14"/>
  <c r="I168" i="14"/>
  <c r="H168" i="14"/>
  <c r="G168" i="14"/>
  <c r="F168" i="14"/>
  <c r="E168" i="14"/>
  <c r="D168" i="14"/>
  <c r="C168" i="14"/>
  <c r="AA167" i="14"/>
  <c r="Z167" i="14"/>
  <c r="Y167" i="14"/>
  <c r="W167" i="14"/>
  <c r="V167" i="14"/>
  <c r="U167" i="14"/>
  <c r="T167" i="14"/>
  <c r="S167" i="14"/>
  <c r="R167" i="14"/>
  <c r="P167" i="14"/>
  <c r="O167" i="14"/>
  <c r="N167" i="14"/>
  <c r="L167" i="14"/>
  <c r="K167" i="14"/>
  <c r="J167" i="14"/>
  <c r="I167" i="14"/>
  <c r="H167" i="14"/>
  <c r="G167" i="14"/>
  <c r="F167" i="14"/>
  <c r="E167" i="14"/>
  <c r="D167" i="14"/>
  <c r="C167" i="14"/>
  <c r="AA166" i="14"/>
  <c r="Z166" i="14"/>
  <c r="Y166" i="14"/>
  <c r="W166" i="14"/>
  <c r="V166" i="14"/>
  <c r="U166" i="14"/>
  <c r="T166" i="14"/>
  <c r="S166" i="14"/>
  <c r="R166" i="14"/>
  <c r="P166" i="14"/>
  <c r="O166" i="14"/>
  <c r="N166" i="14"/>
  <c r="L166" i="14"/>
  <c r="K166" i="14"/>
  <c r="J166" i="14"/>
  <c r="I166" i="14"/>
  <c r="H166" i="14"/>
  <c r="G166" i="14"/>
  <c r="F166" i="14"/>
  <c r="E166" i="14"/>
  <c r="D166" i="14"/>
  <c r="C166" i="14"/>
  <c r="AA165" i="14"/>
  <c r="Z165" i="14"/>
  <c r="Y165" i="14"/>
  <c r="W165" i="14"/>
  <c r="V165" i="14"/>
  <c r="U165" i="14"/>
  <c r="T165" i="14"/>
  <c r="S165" i="14"/>
  <c r="R165" i="14"/>
  <c r="P165" i="14"/>
  <c r="O165" i="14"/>
  <c r="N165" i="14"/>
  <c r="L165" i="14"/>
  <c r="K165" i="14"/>
  <c r="J165" i="14"/>
  <c r="I165" i="14"/>
  <c r="H165" i="14"/>
  <c r="G165" i="14"/>
  <c r="F165" i="14"/>
  <c r="E165" i="14"/>
  <c r="D165" i="14"/>
  <c r="C165" i="14"/>
  <c r="AA164" i="14"/>
  <c r="Z164" i="14"/>
  <c r="Y164" i="14"/>
  <c r="W164" i="14"/>
  <c r="V164" i="14"/>
  <c r="U164" i="14"/>
  <c r="T164" i="14"/>
  <c r="S164" i="14"/>
  <c r="R164" i="14"/>
  <c r="P164" i="14"/>
  <c r="O164" i="14"/>
  <c r="N164" i="14"/>
  <c r="L164" i="14"/>
  <c r="K164" i="14"/>
  <c r="J164" i="14"/>
  <c r="I164" i="14"/>
  <c r="H164" i="14"/>
  <c r="G164" i="14"/>
  <c r="F164" i="14"/>
  <c r="E164" i="14"/>
  <c r="D164" i="14"/>
  <c r="C164" i="14"/>
  <c r="AA163" i="14"/>
  <c r="Z163" i="14"/>
  <c r="Y163" i="14"/>
  <c r="W163" i="14"/>
  <c r="V163" i="14"/>
  <c r="U163" i="14"/>
  <c r="T163" i="14"/>
  <c r="S163" i="14"/>
  <c r="R163" i="14"/>
  <c r="P163" i="14"/>
  <c r="O163" i="14"/>
  <c r="N163" i="14"/>
  <c r="L163" i="14"/>
  <c r="K163" i="14"/>
  <c r="J163" i="14"/>
  <c r="I163" i="14"/>
  <c r="H163" i="14"/>
  <c r="G163" i="14"/>
  <c r="F163" i="14"/>
  <c r="E163" i="14"/>
  <c r="D163" i="14"/>
  <c r="C163" i="14"/>
  <c r="AA162" i="14"/>
  <c r="Z162" i="14"/>
  <c r="Y162" i="14"/>
  <c r="W162" i="14"/>
  <c r="V162" i="14"/>
  <c r="U162" i="14"/>
  <c r="T162" i="14"/>
  <c r="S162" i="14"/>
  <c r="R162" i="14"/>
  <c r="P162" i="14"/>
  <c r="O162" i="14"/>
  <c r="N162" i="14"/>
  <c r="L162" i="14"/>
  <c r="K162" i="14"/>
  <c r="J162" i="14"/>
  <c r="I162" i="14"/>
  <c r="H162" i="14"/>
  <c r="G162" i="14"/>
  <c r="F162" i="14"/>
  <c r="E162" i="14"/>
  <c r="D162" i="14"/>
  <c r="C162" i="14"/>
  <c r="AA161" i="14"/>
  <c r="Z161" i="14"/>
  <c r="Y161" i="14"/>
  <c r="W161" i="14"/>
  <c r="V161" i="14"/>
  <c r="U161" i="14"/>
  <c r="T161" i="14"/>
  <c r="S161" i="14"/>
  <c r="R161" i="14"/>
  <c r="P161" i="14"/>
  <c r="O161" i="14"/>
  <c r="N161" i="14"/>
  <c r="L161" i="14"/>
  <c r="K161" i="14"/>
  <c r="J161" i="14"/>
  <c r="I161" i="14"/>
  <c r="H161" i="14"/>
  <c r="G161" i="14"/>
  <c r="F161" i="14"/>
  <c r="E161" i="14"/>
  <c r="D161" i="14"/>
  <c r="C161" i="14"/>
  <c r="AA160" i="14"/>
  <c r="Z160" i="14"/>
  <c r="Y160" i="14"/>
  <c r="W160" i="14"/>
  <c r="V160" i="14"/>
  <c r="U160" i="14"/>
  <c r="T160" i="14"/>
  <c r="S160" i="14"/>
  <c r="R160" i="14"/>
  <c r="P160" i="14"/>
  <c r="O160" i="14"/>
  <c r="N160" i="14"/>
  <c r="L160" i="14"/>
  <c r="K160" i="14"/>
  <c r="J160" i="14"/>
  <c r="I160" i="14"/>
  <c r="H160" i="14"/>
  <c r="G160" i="14"/>
  <c r="F160" i="14"/>
  <c r="E160" i="14"/>
  <c r="D160" i="14"/>
  <c r="C160" i="14"/>
  <c r="AA159" i="14"/>
  <c r="Z159" i="14"/>
  <c r="Y159" i="14"/>
  <c r="W159" i="14"/>
  <c r="V159" i="14"/>
  <c r="U159" i="14"/>
  <c r="T159" i="14"/>
  <c r="S159" i="14"/>
  <c r="R159" i="14"/>
  <c r="P159" i="14"/>
  <c r="O159" i="14"/>
  <c r="N159" i="14"/>
  <c r="L159" i="14"/>
  <c r="K159" i="14"/>
  <c r="J159" i="14"/>
  <c r="I159" i="14"/>
  <c r="H159" i="14"/>
  <c r="G159" i="14"/>
  <c r="F159" i="14"/>
  <c r="E159" i="14"/>
  <c r="D159" i="14"/>
  <c r="C159" i="14"/>
  <c r="AA158" i="14"/>
  <c r="Z158" i="14"/>
  <c r="Y158" i="14"/>
  <c r="W158" i="14"/>
  <c r="V158" i="14"/>
  <c r="U158" i="14"/>
  <c r="T158" i="14"/>
  <c r="S158" i="14"/>
  <c r="R158" i="14"/>
  <c r="P158" i="14"/>
  <c r="O158" i="14"/>
  <c r="N158" i="14"/>
  <c r="L158" i="14"/>
  <c r="K158" i="14"/>
  <c r="J158" i="14"/>
  <c r="I158" i="14"/>
  <c r="H158" i="14"/>
  <c r="G158" i="14"/>
  <c r="F158" i="14"/>
  <c r="E158" i="14"/>
  <c r="D158" i="14"/>
  <c r="C158" i="14"/>
  <c r="AA157" i="14"/>
  <c r="Z157" i="14"/>
  <c r="Y157" i="14"/>
  <c r="W157" i="14"/>
  <c r="V157" i="14"/>
  <c r="U157" i="14"/>
  <c r="T157" i="14"/>
  <c r="S157" i="14"/>
  <c r="R157" i="14"/>
  <c r="P157" i="14"/>
  <c r="O157" i="14"/>
  <c r="N157" i="14"/>
  <c r="L157" i="14"/>
  <c r="K157" i="14"/>
  <c r="J157" i="14"/>
  <c r="I157" i="14"/>
  <c r="H157" i="14"/>
  <c r="G157" i="14"/>
  <c r="F157" i="14"/>
  <c r="E157" i="14"/>
  <c r="D157" i="14"/>
  <c r="C157" i="14"/>
  <c r="AA156" i="14"/>
  <c r="Z156" i="14"/>
  <c r="Y156" i="14"/>
  <c r="W156" i="14"/>
  <c r="V156" i="14"/>
  <c r="U156" i="14"/>
  <c r="T156" i="14"/>
  <c r="S156" i="14"/>
  <c r="R156" i="14"/>
  <c r="P156" i="14"/>
  <c r="O156" i="14"/>
  <c r="N156" i="14"/>
  <c r="L156" i="14"/>
  <c r="K156" i="14"/>
  <c r="J156" i="14"/>
  <c r="I156" i="14"/>
  <c r="H156" i="14"/>
  <c r="G156" i="14"/>
  <c r="F156" i="14"/>
  <c r="E156" i="14"/>
  <c r="D156" i="14"/>
  <c r="C156" i="14"/>
  <c r="AA155" i="14"/>
  <c r="Z155" i="14"/>
  <c r="Y155" i="14"/>
  <c r="W155" i="14"/>
  <c r="V155" i="14"/>
  <c r="U155" i="14"/>
  <c r="T155" i="14"/>
  <c r="S155" i="14"/>
  <c r="R155" i="14"/>
  <c r="P155" i="14"/>
  <c r="O155" i="14"/>
  <c r="N155" i="14"/>
  <c r="L155" i="14"/>
  <c r="K155" i="14"/>
  <c r="J155" i="14"/>
  <c r="I155" i="14"/>
  <c r="H155" i="14"/>
  <c r="G155" i="14"/>
  <c r="F155" i="14"/>
  <c r="E155" i="14"/>
  <c r="D155" i="14"/>
  <c r="C155" i="14"/>
  <c r="AA154" i="14"/>
  <c r="Z154" i="14"/>
  <c r="Y154" i="14"/>
  <c r="W154" i="14"/>
  <c r="V154" i="14"/>
  <c r="U154" i="14"/>
  <c r="T154" i="14"/>
  <c r="S154" i="14"/>
  <c r="R154" i="14"/>
  <c r="P154" i="14"/>
  <c r="O154" i="14"/>
  <c r="N154" i="14"/>
  <c r="L154" i="14"/>
  <c r="K154" i="14"/>
  <c r="J154" i="14"/>
  <c r="I154" i="14"/>
  <c r="H154" i="14"/>
  <c r="G154" i="14"/>
  <c r="F154" i="14"/>
  <c r="E154" i="14"/>
  <c r="D154" i="14"/>
  <c r="C154" i="14"/>
  <c r="AA153" i="14"/>
  <c r="Z153" i="14"/>
  <c r="Y153" i="14"/>
  <c r="W153" i="14"/>
  <c r="V153" i="14"/>
  <c r="U153" i="14"/>
  <c r="T153" i="14"/>
  <c r="S153" i="14"/>
  <c r="R153" i="14"/>
  <c r="P153" i="14"/>
  <c r="O153" i="14"/>
  <c r="N153" i="14"/>
  <c r="L153" i="14"/>
  <c r="K153" i="14"/>
  <c r="J153" i="14"/>
  <c r="I153" i="14"/>
  <c r="H153" i="14"/>
  <c r="G153" i="14"/>
  <c r="F153" i="14"/>
  <c r="E153" i="14"/>
  <c r="D153" i="14"/>
  <c r="C153" i="14"/>
  <c r="AA152" i="14"/>
  <c r="Z152" i="14"/>
  <c r="Y152" i="14"/>
  <c r="W152" i="14"/>
  <c r="V152" i="14"/>
  <c r="U152" i="14"/>
  <c r="T152" i="14"/>
  <c r="S152" i="14"/>
  <c r="R152" i="14"/>
  <c r="P152" i="14"/>
  <c r="O152" i="14"/>
  <c r="N152" i="14"/>
  <c r="L152" i="14"/>
  <c r="K152" i="14"/>
  <c r="J152" i="14"/>
  <c r="I152" i="14"/>
  <c r="H152" i="14"/>
  <c r="G152" i="14"/>
  <c r="F152" i="14"/>
  <c r="E152" i="14"/>
  <c r="D152" i="14"/>
  <c r="C152" i="14"/>
  <c r="AA151" i="14"/>
  <c r="Z151" i="14"/>
  <c r="Y151" i="14"/>
  <c r="W151" i="14"/>
  <c r="V151" i="14"/>
  <c r="U151" i="14"/>
  <c r="T151" i="14"/>
  <c r="S151" i="14"/>
  <c r="R151" i="14"/>
  <c r="P151" i="14"/>
  <c r="O151" i="14"/>
  <c r="N151" i="14"/>
  <c r="L151" i="14"/>
  <c r="K151" i="14"/>
  <c r="J151" i="14"/>
  <c r="I151" i="14"/>
  <c r="H151" i="14"/>
  <c r="G151" i="14"/>
  <c r="F151" i="14"/>
  <c r="E151" i="14"/>
  <c r="D151" i="14"/>
  <c r="C151" i="14"/>
  <c r="AA150" i="14"/>
  <c r="Z150" i="14"/>
  <c r="Y150" i="14"/>
  <c r="W150" i="14"/>
  <c r="V150" i="14"/>
  <c r="U150" i="14"/>
  <c r="T150" i="14"/>
  <c r="S150" i="14"/>
  <c r="R150" i="14"/>
  <c r="P150" i="14"/>
  <c r="O150" i="14"/>
  <c r="N150" i="14"/>
  <c r="L150" i="14"/>
  <c r="K150" i="14"/>
  <c r="J150" i="14"/>
  <c r="I150" i="14"/>
  <c r="H150" i="14"/>
  <c r="G150" i="14"/>
  <c r="F150" i="14"/>
  <c r="E150" i="14"/>
  <c r="D150" i="14"/>
  <c r="C150" i="14"/>
  <c r="AA149" i="14"/>
  <c r="Z149" i="14"/>
  <c r="Y149" i="14"/>
  <c r="W149" i="14"/>
  <c r="V149" i="14"/>
  <c r="U149" i="14"/>
  <c r="T149" i="14"/>
  <c r="S149" i="14"/>
  <c r="R149" i="14"/>
  <c r="P149" i="14"/>
  <c r="O149" i="14"/>
  <c r="N149" i="14"/>
  <c r="L149" i="14"/>
  <c r="K149" i="14"/>
  <c r="J149" i="14"/>
  <c r="I149" i="14"/>
  <c r="H149" i="14"/>
  <c r="G149" i="14"/>
  <c r="F149" i="14"/>
  <c r="E149" i="14"/>
  <c r="D149" i="14"/>
  <c r="C149" i="14"/>
  <c r="AA148" i="14"/>
  <c r="Z148" i="14"/>
  <c r="Y148" i="14"/>
  <c r="W148" i="14"/>
  <c r="V148" i="14"/>
  <c r="U148" i="14"/>
  <c r="T148" i="14"/>
  <c r="S148" i="14"/>
  <c r="R148" i="14"/>
  <c r="P148" i="14"/>
  <c r="O148" i="14"/>
  <c r="N148" i="14"/>
  <c r="L148" i="14"/>
  <c r="K148" i="14"/>
  <c r="J148" i="14"/>
  <c r="I148" i="14"/>
  <c r="H148" i="14"/>
  <c r="G148" i="14"/>
  <c r="F148" i="14"/>
  <c r="E148" i="14"/>
  <c r="D148" i="14"/>
  <c r="C148" i="14"/>
  <c r="AA147" i="14"/>
  <c r="Z147" i="14"/>
  <c r="Y147" i="14"/>
  <c r="W147" i="14"/>
  <c r="V147" i="14"/>
  <c r="U147" i="14"/>
  <c r="T147" i="14"/>
  <c r="S147" i="14"/>
  <c r="R147" i="14"/>
  <c r="P147" i="14"/>
  <c r="O147" i="14"/>
  <c r="N147" i="14"/>
  <c r="L147" i="14"/>
  <c r="K147" i="14"/>
  <c r="J147" i="14"/>
  <c r="I147" i="14"/>
  <c r="H147" i="14"/>
  <c r="G147" i="14"/>
  <c r="F147" i="14"/>
  <c r="E147" i="14"/>
  <c r="D147" i="14"/>
  <c r="C147" i="14"/>
  <c r="AA146" i="14"/>
  <c r="Z146" i="14"/>
  <c r="Y146" i="14"/>
  <c r="W146" i="14"/>
  <c r="V146" i="14"/>
  <c r="U146" i="14"/>
  <c r="T146" i="14"/>
  <c r="S146" i="14"/>
  <c r="R146" i="14"/>
  <c r="P146" i="14"/>
  <c r="O146" i="14"/>
  <c r="N146" i="14"/>
  <c r="L146" i="14"/>
  <c r="K146" i="14"/>
  <c r="J146" i="14"/>
  <c r="I146" i="14"/>
  <c r="H146" i="14"/>
  <c r="G146" i="14"/>
  <c r="F146" i="14"/>
  <c r="E146" i="14"/>
  <c r="D146" i="14"/>
  <c r="C146" i="14"/>
  <c r="AA145" i="14"/>
  <c r="Z145" i="14"/>
  <c r="Y145" i="14"/>
  <c r="W145" i="14"/>
  <c r="V145" i="14"/>
  <c r="U145" i="14"/>
  <c r="T145" i="14"/>
  <c r="S145" i="14"/>
  <c r="R145" i="14"/>
  <c r="P145" i="14"/>
  <c r="O145" i="14"/>
  <c r="N145" i="14"/>
  <c r="L145" i="14"/>
  <c r="K145" i="14"/>
  <c r="J145" i="14"/>
  <c r="I145" i="14"/>
  <c r="H145" i="14"/>
  <c r="G145" i="14"/>
  <c r="F145" i="14"/>
  <c r="E145" i="14"/>
  <c r="D145" i="14"/>
  <c r="C145" i="14"/>
  <c r="AA144" i="14"/>
  <c r="Z144" i="14"/>
  <c r="Y144" i="14"/>
  <c r="W144" i="14"/>
  <c r="V144" i="14"/>
  <c r="U144" i="14"/>
  <c r="T144" i="14"/>
  <c r="S144" i="14"/>
  <c r="R144" i="14"/>
  <c r="P144" i="14"/>
  <c r="O144" i="14"/>
  <c r="N144" i="14"/>
  <c r="L144" i="14"/>
  <c r="K144" i="14"/>
  <c r="J144" i="14"/>
  <c r="I144" i="14"/>
  <c r="H144" i="14"/>
  <c r="G144" i="14"/>
  <c r="F144" i="14"/>
  <c r="E144" i="14"/>
  <c r="D144" i="14"/>
  <c r="C144" i="14"/>
  <c r="AA143" i="14"/>
  <c r="Z143" i="14"/>
  <c r="Y143" i="14"/>
  <c r="W143" i="14"/>
  <c r="V143" i="14"/>
  <c r="U143" i="14"/>
  <c r="T143" i="14"/>
  <c r="S143" i="14"/>
  <c r="R143" i="14"/>
  <c r="P143" i="14"/>
  <c r="O143" i="14"/>
  <c r="N143" i="14"/>
  <c r="L143" i="14"/>
  <c r="K143" i="14"/>
  <c r="J143" i="14"/>
  <c r="I143" i="14"/>
  <c r="H143" i="14"/>
  <c r="G143" i="14"/>
  <c r="F143" i="14"/>
  <c r="E143" i="14"/>
  <c r="D143" i="14"/>
  <c r="C143" i="14"/>
  <c r="AA142" i="14"/>
  <c r="Z142" i="14"/>
  <c r="Y142" i="14"/>
  <c r="W142" i="14"/>
  <c r="V142" i="14"/>
  <c r="U142" i="14"/>
  <c r="T142" i="14"/>
  <c r="S142" i="14"/>
  <c r="R142" i="14"/>
  <c r="P142" i="14"/>
  <c r="O142" i="14"/>
  <c r="N142" i="14"/>
  <c r="L142" i="14"/>
  <c r="K142" i="14"/>
  <c r="J142" i="14"/>
  <c r="I142" i="14"/>
  <c r="H142" i="14"/>
  <c r="G142" i="14"/>
  <c r="F142" i="14"/>
  <c r="E142" i="14"/>
  <c r="D142" i="14"/>
  <c r="C142" i="14"/>
  <c r="AA141" i="14"/>
  <c r="Z141" i="14"/>
  <c r="Y141" i="14"/>
  <c r="W141" i="14"/>
  <c r="V141" i="14"/>
  <c r="U141" i="14"/>
  <c r="T141" i="14"/>
  <c r="S141" i="14"/>
  <c r="R141" i="14"/>
  <c r="P141" i="14"/>
  <c r="O141" i="14"/>
  <c r="N141" i="14"/>
  <c r="L141" i="14"/>
  <c r="K141" i="14"/>
  <c r="J141" i="14"/>
  <c r="I141" i="14"/>
  <c r="H141" i="14"/>
  <c r="G141" i="14"/>
  <c r="F141" i="14"/>
  <c r="E141" i="14"/>
  <c r="D141" i="14"/>
  <c r="C141" i="14"/>
  <c r="AA140" i="14"/>
  <c r="Z140" i="14"/>
  <c r="Y140" i="14"/>
  <c r="W140" i="14"/>
  <c r="V140" i="14"/>
  <c r="U140" i="14"/>
  <c r="T140" i="14"/>
  <c r="S140" i="14"/>
  <c r="R140" i="14"/>
  <c r="P140" i="14"/>
  <c r="O140" i="14"/>
  <c r="N140" i="14"/>
  <c r="L140" i="14"/>
  <c r="K140" i="14"/>
  <c r="J140" i="14"/>
  <c r="I140" i="14"/>
  <c r="H140" i="14"/>
  <c r="G140" i="14"/>
  <c r="F140" i="14"/>
  <c r="E140" i="14"/>
  <c r="D140" i="14"/>
  <c r="C140" i="14"/>
  <c r="AA139" i="14"/>
  <c r="Z139" i="14"/>
  <c r="Y139" i="14"/>
  <c r="W139" i="14"/>
  <c r="V139" i="14"/>
  <c r="U139" i="14"/>
  <c r="T139" i="14"/>
  <c r="S139" i="14"/>
  <c r="R139" i="14"/>
  <c r="P139" i="14"/>
  <c r="O139" i="14"/>
  <c r="N139" i="14"/>
  <c r="L139" i="14"/>
  <c r="K139" i="14"/>
  <c r="J139" i="14"/>
  <c r="I139" i="14"/>
  <c r="H139" i="14"/>
  <c r="G139" i="14"/>
  <c r="F139" i="14"/>
  <c r="E139" i="14"/>
  <c r="D139" i="14"/>
  <c r="C139" i="14"/>
  <c r="AA138" i="14"/>
  <c r="Z138" i="14"/>
  <c r="Y138" i="14"/>
  <c r="W138" i="14"/>
  <c r="V138" i="14"/>
  <c r="U138" i="14"/>
  <c r="T138" i="14"/>
  <c r="S138" i="14"/>
  <c r="R138" i="14"/>
  <c r="P138" i="14"/>
  <c r="O138" i="14"/>
  <c r="N138" i="14"/>
  <c r="L138" i="14"/>
  <c r="K138" i="14"/>
  <c r="J138" i="14"/>
  <c r="I138" i="14"/>
  <c r="H138" i="14"/>
  <c r="G138" i="14"/>
  <c r="F138" i="14"/>
  <c r="E138" i="14"/>
  <c r="D138" i="14"/>
  <c r="C138" i="14"/>
  <c r="AA137" i="14"/>
  <c r="Z137" i="14"/>
  <c r="Y137" i="14"/>
  <c r="W137" i="14"/>
  <c r="V137" i="14"/>
  <c r="U137" i="14"/>
  <c r="T137" i="14"/>
  <c r="S137" i="14"/>
  <c r="R137" i="14"/>
  <c r="P137" i="14"/>
  <c r="O137" i="14"/>
  <c r="N137" i="14"/>
  <c r="L137" i="14"/>
  <c r="K137" i="14"/>
  <c r="J137" i="14"/>
  <c r="I137" i="14"/>
  <c r="H137" i="14"/>
  <c r="G137" i="14"/>
  <c r="F137" i="14"/>
  <c r="E137" i="14"/>
  <c r="D137" i="14"/>
  <c r="C137" i="14"/>
  <c r="AA136" i="14"/>
  <c r="Z136" i="14"/>
  <c r="Y136" i="14"/>
  <c r="W136" i="14"/>
  <c r="V136" i="14"/>
  <c r="U136" i="14"/>
  <c r="T136" i="14"/>
  <c r="S136" i="14"/>
  <c r="R136" i="14"/>
  <c r="P136" i="14"/>
  <c r="O136" i="14"/>
  <c r="N136" i="14"/>
  <c r="L136" i="14"/>
  <c r="K136" i="14"/>
  <c r="J136" i="14"/>
  <c r="I136" i="14"/>
  <c r="H136" i="14"/>
  <c r="G136" i="14"/>
  <c r="F136" i="14"/>
  <c r="E136" i="14"/>
  <c r="D136" i="14"/>
  <c r="C136" i="14"/>
  <c r="AA135" i="14"/>
  <c r="Z135" i="14"/>
  <c r="Y135" i="14"/>
  <c r="W135" i="14"/>
  <c r="V135" i="14"/>
  <c r="U135" i="14"/>
  <c r="T135" i="14"/>
  <c r="S135" i="14"/>
  <c r="R135" i="14"/>
  <c r="P135" i="14"/>
  <c r="O135" i="14"/>
  <c r="N135" i="14"/>
  <c r="L135" i="14"/>
  <c r="K135" i="14"/>
  <c r="J135" i="14"/>
  <c r="I135" i="14"/>
  <c r="H135" i="14"/>
  <c r="G135" i="14"/>
  <c r="F135" i="14"/>
  <c r="E135" i="14"/>
  <c r="D135" i="14"/>
  <c r="C135" i="14"/>
  <c r="AA134" i="14"/>
  <c r="Z134" i="14"/>
  <c r="Y134" i="14"/>
  <c r="W134" i="14"/>
  <c r="V134" i="14"/>
  <c r="U134" i="14"/>
  <c r="T134" i="14"/>
  <c r="S134" i="14"/>
  <c r="R134" i="14"/>
  <c r="P134" i="14"/>
  <c r="O134" i="14"/>
  <c r="N134" i="14"/>
  <c r="L134" i="14"/>
  <c r="K134" i="14"/>
  <c r="J134" i="14"/>
  <c r="I134" i="14"/>
  <c r="H134" i="14"/>
  <c r="G134" i="14"/>
  <c r="F134" i="14"/>
  <c r="E134" i="14"/>
  <c r="D134" i="14"/>
  <c r="C134" i="14"/>
  <c r="AA133" i="14"/>
  <c r="Z133" i="14"/>
  <c r="Y133" i="14"/>
  <c r="W133" i="14"/>
  <c r="V133" i="14"/>
  <c r="U133" i="14"/>
  <c r="T133" i="14"/>
  <c r="S133" i="14"/>
  <c r="R133" i="14"/>
  <c r="P133" i="14"/>
  <c r="O133" i="14"/>
  <c r="N133" i="14"/>
  <c r="L133" i="14"/>
  <c r="K133" i="14"/>
  <c r="J133" i="14"/>
  <c r="I133" i="14"/>
  <c r="H133" i="14"/>
  <c r="G133" i="14"/>
  <c r="F133" i="14"/>
  <c r="E133" i="14"/>
  <c r="D133" i="14"/>
  <c r="C133" i="14"/>
  <c r="AA132" i="14"/>
  <c r="Z132" i="14"/>
  <c r="Y132" i="14"/>
  <c r="W132" i="14"/>
  <c r="V132" i="14"/>
  <c r="U132" i="14"/>
  <c r="T132" i="14"/>
  <c r="S132" i="14"/>
  <c r="R132" i="14"/>
  <c r="P132" i="14"/>
  <c r="O132" i="14"/>
  <c r="N132" i="14"/>
  <c r="L132" i="14"/>
  <c r="K132" i="14"/>
  <c r="J132" i="14"/>
  <c r="I132" i="14"/>
  <c r="H132" i="14"/>
  <c r="G132" i="14"/>
  <c r="F132" i="14"/>
  <c r="E132" i="14"/>
  <c r="D132" i="14"/>
  <c r="C132" i="14"/>
  <c r="AA131" i="14"/>
  <c r="Z131" i="14"/>
  <c r="Y131" i="14"/>
  <c r="W131" i="14"/>
  <c r="V131" i="14"/>
  <c r="U131" i="14"/>
  <c r="T131" i="14"/>
  <c r="S131" i="14"/>
  <c r="R131" i="14"/>
  <c r="P131" i="14"/>
  <c r="O131" i="14"/>
  <c r="N131" i="14"/>
  <c r="L131" i="14"/>
  <c r="K131" i="14"/>
  <c r="J131" i="14"/>
  <c r="I131" i="14"/>
  <c r="H131" i="14"/>
  <c r="G131" i="14"/>
  <c r="F131" i="14"/>
  <c r="E131" i="14"/>
  <c r="D131" i="14"/>
  <c r="C131" i="14"/>
  <c r="AA130" i="14"/>
  <c r="Z130" i="14"/>
  <c r="Y130" i="14"/>
  <c r="W130" i="14"/>
  <c r="V130" i="14"/>
  <c r="U130" i="14"/>
  <c r="T130" i="14"/>
  <c r="S130" i="14"/>
  <c r="R130" i="14"/>
  <c r="P130" i="14"/>
  <c r="O130" i="14"/>
  <c r="N130" i="14"/>
  <c r="L130" i="14"/>
  <c r="K130" i="14"/>
  <c r="J130" i="14"/>
  <c r="I130" i="14"/>
  <c r="H130" i="14"/>
  <c r="G130" i="14"/>
  <c r="F130" i="14"/>
  <c r="E130" i="14"/>
  <c r="D130" i="14"/>
  <c r="C130" i="14"/>
  <c r="AA129" i="14"/>
  <c r="Z129" i="14"/>
  <c r="Y129" i="14"/>
  <c r="W129" i="14"/>
  <c r="V129" i="14"/>
  <c r="U129" i="14"/>
  <c r="T129" i="14"/>
  <c r="S129" i="14"/>
  <c r="R129" i="14"/>
  <c r="P129" i="14"/>
  <c r="O129" i="14"/>
  <c r="N129" i="14"/>
  <c r="L129" i="14"/>
  <c r="K129" i="14"/>
  <c r="J129" i="14"/>
  <c r="I129" i="14"/>
  <c r="H129" i="14"/>
  <c r="G129" i="14"/>
  <c r="F129" i="14"/>
  <c r="E129" i="14"/>
  <c r="D129" i="14"/>
  <c r="C129" i="14"/>
  <c r="AA128" i="14"/>
  <c r="Z128" i="14"/>
  <c r="Y128" i="14"/>
  <c r="W128" i="14"/>
  <c r="V128" i="14"/>
  <c r="U128" i="14"/>
  <c r="T128" i="14"/>
  <c r="S128" i="14"/>
  <c r="R128" i="14"/>
  <c r="P128" i="14"/>
  <c r="O128" i="14"/>
  <c r="N128" i="14"/>
  <c r="L128" i="14"/>
  <c r="K128" i="14"/>
  <c r="J128" i="14"/>
  <c r="I128" i="14"/>
  <c r="H128" i="14"/>
  <c r="G128" i="14"/>
  <c r="F128" i="14"/>
  <c r="E128" i="14"/>
  <c r="D128" i="14"/>
  <c r="C128" i="14"/>
  <c r="AA127" i="14"/>
  <c r="Z127" i="14"/>
  <c r="Y127" i="14"/>
  <c r="W127" i="14"/>
  <c r="V127" i="14"/>
  <c r="U127" i="14"/>
  <c r="T127" i="14"/>
  <c r="S127" i="14"/>
  <c r="R127" i="14"/>
  <c r="P127" i="14"/>
  <c r="O127" i="14"/>
  <c r="N127" i="14"/>
  <c r="L127" i="14"/>
  <c r="K127" i="14"/>
  <c r="J127" i="14"/>
  <c r="I127" i="14"/>
  <c r="H127" i="14"/>
  <c r="G127" i="14"/>
  <c r="F127" i="14"/>
  <c r="E127" i="14"/>
  <c r="D127" i="14"/>
  <c r="C127" i="14"/>
  <c r="AA126" i="14"/>
  <c r="Z126" i="14"/>
  <c r="Y126" i="14"/>
  <c r="W126" i="14"/>
  <c r="V126" i="14"/>
  <c r="U126" i="14"/>
  <c r="T126" i="14"/>
  <c r="S126" i="14"/>
  <c r="R126" i="14"/>
  <c r="P126" i="14"/>
  <c r="O126" i="14"/>
  <c r="N126" i="14"/>
  <c r="L126" i="14"/>
  <c r="K126" i="14"/>
  <c r="J126" i="14"/>
  <c r="I126" i="14"/>
  <c r="H126" i="14"/>
  <c r="G126" i="14"/>
  <c r="F126" i="14"/>
  <c r="E126" i="14"/>
  <c r="D126" i="14"/>
  <c r="C126" i="14"/>
  <c r="AA125" i="14"/>
  <c r="Z125" i="14"/>
  <c r="Y125" i="14"/>
  <c r="W125" i="14"/>
  <c r="V125" i="14"/>
  <c r="U125" i="14"/>
  <c r="T125" i="14"/>
  <c r="S125" i="14"/>
  <c r="R125" i="14"/>
  <c r="P125" i="14"/>
  <c r="O125" i="14"/>
  <c r="N125" i="14"/>
  <c r="L125" i="14"/>
  <c r="K125" i="14"/>
  <c r="J125" i="14"/>
  <c r="I125" i="14"/>
  <c r="H125" i="14"/>
  <c r="G125" i="14"/>
  <c r="F125" i="14"/>
  <c r="E125" i="14"/>
  <c r="D125" i="14"/>
  <c r="C125" i="14"/>
  <c r="AA124" i="14"/>
  <c r="Z124" i="14"/>
  <c r="Y124" i="14"/>
  <c r="W124" i="14"/>
  <c r="V124" i="14"/>
  <c r="U124" i="14"/>
  <c r="T124" i="14"/>
  <c r="S124" i="14"/>
  <c r="R124" i="14"/>
  <c r="P124" i="14"/>
  <c r="O124" i="14"/>
  <c r="N124" i="14"/>
  <c r="L124" i="14"/>
  <c r="K124" i="14"/>
  <c r="J124" i="14"/>
  <c r="I124" i="14"/>
  <c r="H124" i="14"/>
  <c r="G124" i="14"/>
  <c r="F124" i="14"/>
  <c r="E124" i="14"/>
  <c r="D124" i="14"/>
  <c r="C124" i="14"/>
  <c r="AA123" i="14"/>
  <c r="Z123" i="14"/>
  <c r="Y123" i="14"/>
  <c r="W123" i="14"/>
  <c r="V123" i="14"/>
  <c r="U123" i="14"/>
  <c r="T123" i="14"/>
  <c r="S123" i="14"/>
  <c r="R123" i="14"/>
  <c r="P123" i="14"/>
  <c r="O123" i="14"/>
  <c r="N123" i="14"/>
  <c r="L123" i="14"/>
  <c r="K123" i="14"/>
  <c r="J123" i="14"/>
  <c r="I123" i="14"/>
  <c r="H123" i="14"/>
  <c r="G123" i="14"/>
  <c r="F123" i="14"/>
  <c r="E123" i="14"/>
  <c r="D123" i="14"/>
  <c r="C123" i="14"/>
  <c r="AA122" i="14"/>
  <c r="Z122" i="14"/>
  <c r="Y122" i="14"/>
  <c r="W122" i="14"/>
  <c r="V122" i="14"/>
  <c r="U122" i="14"/>
  <c r="T122" i="14"/>
  <c r="S122" i="14"/>
  <c r="R122" i="14"/>
  <c r="P122" i="14"/>
  <c r="O122" i="14"/>
  <c r="N122" i="14"/>
  <c r="L122" i="14"/>
  <c r="K122" i="14"/>
  <c r="J122" i="14"/>
  <c r="I122" i="14"/>
  <c r="H122" i="14"/>
  <c r="G122" i="14"/>
  <c r="F122" i="14"/>
  <c r="E122" i="14"/>
  <c r="D122" i="14"/>
  <c r="C122" i="14"/>
  <c r="AA121" i="14"/>
  <c r="Z121" i="14"/>
  <c r="Y121" i="14"/>
  <c r="W121" i="14"/>
  <c r="V121" i="14"/>
  <c r="U121" i="14"/>
  <c r="T121" i="14"/>
  <c r="S121" i="14"/>
  <c r="R121" i="14"/>
  <c r="P121" i="14"/>
  <c r="O121" i="14"/>
  <c r="N121" i="14"/>
  <c r="L121" i="14"/>
  <c r="K121" i="14"/>
  <c r="J121" i="14"/>
  <c r="I121" i="14"/>
  <c r="H121" i="14"/>
  <c r="G121" i="14"/>
  <c r="F121" i="14"/>
  <c r="E121" i="14"/>
  <c r="D121" i="14"/>
  <c r="C121" i="14"/>
  <c r="AA120" i="14"/>
  <c r="Z120" i="14"/>
  <c r="Y120" i="14"/>
  <c r="W120" i="14"/>
  <c r="V120" i="14"/>
  <c r="U120" i="14"/>
  <c r="T120" i="14"/>
  <c r="S120" i="14"/>
  <c r="R120" i="14"/>
  <c r="P120" i="14"/>
  <c r="O120" i="14"/>
  <c r="N120" i="14"/>
  <c r="L120" i="14"/>
  <c r="K120" i="14"/>
  <c r="J120" i="14"/>
  <c r="I120" i="14"/>
  <c r="H120" i="14"/>
  <c r="G120" i="14"/>
  <c r="F120" i="14"/>
  <c r="E120" i="14"/>
  <c r="D120" i="14"/>
  <c r="C120" i="14"/>
  <c r="AA119" i="14"/>
  <c r="Z119" i="14"/>
  <c r="Y119" i="14"/>
  <c r="W119" i="14"/>
  <c r="V119" i="14"/>
  <c r="U119" i="14"/>
  <c r="T119" i="14"/>
  <c r="S119" i="14"/>
  <c r="R119" i="14"/>
  <c r="P119" i="14"/>
  <c r="O119" i="14"/>
  <c r="N119" i="14"/>
  <c r="L119" i="14"/>
  <c r="K119" i="14"/>
  <c r="J119" i="14"/>
  <c r="I119" i="14"/>
  <c r="H119" i="14"/>
  <c r="G119" i="14"/>
  <c r="F119" i="14"/>
  <c r="E119" i="14"/>
  <c r="D119" i="14"/>
  <c r="C119" i="14"/>
  <c r="AA118" i="14"/>
  <c r="Z118" i="14"/>
  <c r="Y118" i="14"/>
  <c r="W118" i="14"/>
  <c r="V118" i="14"/>
  <c r="U118" i="14"/>
  <c r="T118" i="14"/>
  <c r="S118" i="14"/>
  <c r="R118" i="14"/>
  <c r="P118" i="14"/>
  <c r="O118" i="14"/>
  <c r="N118" i="14"/>
  <c r="L118" i="14"/>
  <c r="K118" i="14"/>
  <c r="J118" i="14"/>
  <c r="I118" i="14"/>
  <c r="H118" i="14"/>
  <c r="G118" i="14"/>
  <c r="F118" i="14"/>
  <c r="E118" i="14"/>
  <c r="D118" i="14"/>
  <c r="C118" i="14"/>
  <c r="AA117" i="14"/>
  <c r="Z117" i="14"/>
  <c r="Y117" i="14"/>
  <c r="W117" i="14"/>
  <c r="V117" i="14"/>
  <c r="U117" i="14"/>
  <c r="T117" i="14"/>
  <c r="S117" i="14"/>
  <c r="R117" i="14"/>
  <c r="P117" i="14"/>
  <c r="O117" i="14"/>
  <c r="N117" i="14"/>
  <c r="L117" i="14"/>
  <c r="K117" i="14"/>
  <c r="J117" i="14"/>
  <c r="I117" i="14"/>
  <c r="H117" i="14"/>
  <c r="G117" i="14"/>
  <c r="F117" i="14"/>
  <c r="E117" i="14"/>
  <c r="D117" i="14"/>
  <c r="C117" i="14"/>
  <c r="AA116" i="14"/>
  <c r="Z116" i="14"/>
  <c r="Y116" i="14"/>
  <c r="W116" i="14"/>
  <c r="V116" i="14"/>
  <c r="U116" i="14"/>
  <c r="T116" i="14"/>
  <c r="S116" i="14"/>
  <c r="R116" i="14"/>
  <c r="P116" i="14"/>
  <c r="O116" i="14"/>
  <c r="N116" i="14"/>
  <c r="L116" i="14"/>
  <c r="K116" i="14"/>
  <c r="J116" i="14"/>
  <c r="I116" i="14"/>
  <c r="H116" i="14"/>
  <c r="G116" i="14"/>
  <c r="F116" i="14"/>
  <c r="E116" i="14"/>
  <c r="D116" i="14"/>
  <c r="C116" i="14"/>
  <c r="AA115" i="14"/>
  <c r="Z115" i="14"/>
  <c r="Y115" i="14"/>
  <c r="W115" i="14"/>
  <c r="V115" i="14"/>
  <c r="U115" i="14"/>
  <c r="T115" i="14"/>
  <c r="S115" i="14"/>
  <c r="R115" i="14"/>
  <c r="P115" i="14"/>
  <c r="O115" i="14"/>
  <c r="N115" i="14"/>
  <c r="L115" i="14"/>
  <c r="K115" i="14"/>
  <c r="J115" i="14"/>
  <c r="I115" i="14"/>
  <c r="H115" i="14"/>
  <c r="G115" i="14"/>
  <c r="F115" i="14"/>
  <c r="E115" i="14"/>
  <c r="D115" i="14"/>
  <c r="C115" i="14"/>
  <c r="AA114" i="14"/>
  <c r="Z114" i="14"/>
  <c r="Y114" i="14"/>
  <c r="W114" i="14"/>
  <c r="V114" i="14"/>
  <c r="U114" i="14"/>
  <c r="T114" i="14"/>
  <c r="S114" i="14"/>
  <c r="R114" i="14"/>
  <c r="P114" i="14"/>
  <c r="O114" i="14"/>
  <c r="N114" i="14"/>
  <c r="L114" i="14"/>
  <c r="K114" i="14"/>
  <c r="J114" i="14"/>
  <c r="I114" i="14"/>
  <c r="H114" i="14"/>
  <c r="G114" i="14"/>
  <c r="F114" i="14"/>
  <c r="E114" i="14"/>
  <c r="D114" i="14"/>
  <c r="C114" i="14"/>
  <c r="AA113" i="14"/>
  <c r="Z113" i="14"/>
  <c r="Y113" i="14"/>
  <c r="W113" i="14"/>
  <c r="V113" i="14"/>
  <c r="U113" i="14"/>
  <c r="T113" i="14"/>
  <c r="S113" i="14"/>
  <c r="R113" i="14"/>
  <c r="P113" i="14"/>
  <c r="O113" i="14"/>
  <c r="N113" i="14"/>
  <c r="L113" i="14"/>
  <c r="K113" i="14"/>
  <c r="J113" i="14"/>
  <c r="I113" i="14"/>
  <c r="H113" i="14"/>
  <c r="G113" i="14"/>
  <c r="F113" i="14"/>
  <c r="E113" i="14"/>
  <c r="D113" i="14"/>
  <c r="C113" i="14"/>
  <c r="AA112" i="14"/>
  <c r="Z112" i="14"/>
  <c r="Y112" i="14"/>
  <c r="W112" i="14"/>
  <c r="V112" i="14"/>
  <c r="U112" i="14"/>
  <c r="T112" i="14"/>
  <c r="S112" i="14"/>
  <c r="R112" i="14"/>
  <c r="P112" i="14"/>
  <c r="O112" i="14"/>
  <c r="N112" i="14"/>
  <c r="L112" i="14"/>
  <c r="K112" i="14"/>
  <c r="J112" i="14"/>
  <c r="I112" i="14"/>
  <c r="H112" i="14"/>
  <c r="G112" i="14"/>
  <c r="F112" i="14"/>
  <c r="E112" i="14"/>
  <c r="D112" i="14"/>
  <c r="C112" i="14"/>
  <c r="AA111" i="14"/>
  <c r="Z111" i="14"/>
  <c r="Y111" i="14"/>
  <c r="W111" i="14"/>
  <c r="V111" i="14"/>
  <c r="U111" i="14"/>
  <c r="T111" i="14"/>
  <c r="S111" i="14"/>
  <c r="R111" i="14"/>
  <c r="P111" i="14"/>
  <c r="O111" i="14"/>
  <c r="N111" i="14"/>
  <c r="L111" i="14"/>
  <c r="K111" i="14"/>
  <c r="J111" i="14"/>
  <c r="I111" i="14"/>
  <c r="H111" i="14"/>
  <c r="G111" i="14"/>
  <c r="F111" i="14"/>
  <c r="E111" i="14"/>
  <c r="D111" i="14"/>
  <c r="C111" i="14"/>
  <c r="AA110" i="14"/>
  <c r="Z110" i="14"/>
  <c r="Y110" i="14"/>
  <c r="W110" i="14"/>
  <c r="V110" i="14"/>
  <c r="U110" i="14"/>
  <c r="T110" i="14"/>
  <c r="S110" i="14"/>
  <c r="R110" i="14"/>
  <c r="P110" i="14"/>
  <c r="O110" i="14"/>
  <c r="N110" i="14"/>
  <c r="L110" i="14"/>
  <c r="K110" i="14"/>
  <c r="J110" i="14"/>
  <c r="I110" i="14"/>
  <c r="H110" i="14"/>
  <c r="G110" i="14"/>
  <c r="F110" i="14"/>
  <c r="E110" i="14"/>
  <c r="D110" i="14"/>
  <c r="C110" i="14"/>
  <c r="AA109" i="14"/>
  <c r="Z109" i="14"/>
  <c r="Y109" i="14"/>
  <c r="W109" i="14"/>
  <c r="V109" i="14"/>
  <c r="U109" i="14"/>
  <c r="T109" i="14"/>
  <c r="S109" i="14"/>
  <c r="R109" i="14"/>
  <c r="P109" i="14"/>
  <c r="O109" i="14"/>
  <c r="N109" i="14"/>
  <c r="L109" i="14"/>
  <c r="K109" i="14"/>
  <c r="J109" i="14"/>
  <c r="I109" i="14"/>
  <c r="H109" i="14"/>
  <c r="G109" i="14"/>
  <c r="F109" i="14"/>
  <c r="E109" i="14"/>
  <c r="D109" i="14"/>
  <c r="C109" i="14"/>
  <c r="AA108" i="14"/>
  <c r="Z108" i="14"/>
  <c r="Y108" i="14"/>
  <c r="W108" i="14"/>
  <c r="V108" i="14"/>
  <c r="U108" i="14"/>
  <c r="T108" i="14"/>
  <c r="S108" i="14"/>
  <c r="R108" i="14"/>
  <c r="P108" i="14"/>
  <c r="O108" i="14"/>
  <c r="N108" i="14"/>
  <c r="L108" i="14"/>
  <c r="K108" i="14"/>
  <c r="J108" i="14"/>
  <c r="I108" i="14"/>
  <c r="H108" i="14"/>
  <c r="G108" i="14"/>
  <c r="F108" i="14"/>
  <c r="E108" i="14"/>
  <c r="D108" i="14"/>
  <c r="C108" i="14"/>
  <c r="AA107" i="14"/>
  <c r="Z107" i="14"/>
  <c r="Y107" i="14"/>
  <c r="W107" i="14"/>
  <c r="V107" i="14"/>
  <c r="U107" i="14"/>
  <c r="T107" i="14"/>
  <c r="S107" i="14"/>
  <c r="R107" i="14"/>
  <c r="P107" i="14"/>
  <c r="O107" i="14"/>
  <c r="N107" i="14"/>
  <c r="L107" i="14"/>
  <c r="K107" i="14"/>
  <c r="J107" i="14"/>
  <c r="I107" i="14"/>
  <c r="H107" i="14"/>
  <c r="G107" i="14"/>
  <c r="F107" i="14"/>
  <c r="E107" i="14"/>
  <c r="D107" i="14"/>
  <c r="C107" i="14"/>
  <c r="AA106" i="14"/>
  <c r="Z106" i="14"/>
  <c r="Y106" i="14"/>
  <c r="W106" i="14"/>
  <c r="V106" i="14"/>
  <c r="U106" i="14"/>
  <c r="T106" i="14"/>
  <c r="S106" i="14"/>
  <c r="R106" i="14"/>
  <c r="P106" i="14"/>
  <c r="O106" i="14"/>
  <c r="N106" i="14"/>
  <c r="L106" i="14"/>
  <c r="K106" i="14"/>
  <c r="J106" i="14"/>
  <c r="I106" i="14"/>
  <c r="H106" i="14"/>
  <c r="G106" i="14"/>
  <c r="F106" i="14"/>
  <c r="E106" i="14"/>
  <c r="D106" i="14"/>
  <c r="C106" i="14"/>
  <c r="AA105" i="14"/>
  <c r="Z105" i="14"/>
  <c r="Y105" i="14"/>
  <c r="W105" i="14"/>
  <c r="V105" i="14"/>
  <c r="U105" i="14"/>
  <c r="T105" i="14"/>
  <c r="S105" i="14"/>
  <c r="R105" i="14"/>
  <c r="P105" i="14"/>
  <c r="O105" i="14"/>
  <c r="N105" i="14"/>
  <c r="L105" i="14"/>
  <c r="K105" i="14"/>
  <c r="J105" i="14"/>
  <c r="I105" i="14"/>
  <c r="H105" i="14"/>
  <c r="G105" i="14"/>
  <c r="F105" i="14"/>
  <c r="E105" i="14"/>
  <c r="D105" i="14"/>
  <c r="C105" i="14"/>
  <c r="AA104" i="14"/>
  <c r="Z104" i="14"/>
  <c r="Y104" i="14"/>
  <c r="W104" i="14"/>
  <c r="V104" i="14"/>
  <c r="U104" i="14"/>
  <c r="T104" i="14"/>
  <c r="S104" i="14"/>
  <c r="R104" i="14"/>
  <c r="P104" i="14"/>
  <c r="O104" i="14"/>
  <c r="N104" i="14"/>
  <c r="L104" i="14"/>
  <c r="K104" i="14"/>
  <c r="J104" i="14"/>
  <c r="I104" i="14"/>
  <c r="H104" i="14"/>
  <c r="G104" i="14"/>
  <c r="F104" i="14"/>
  <c r="E104" i="14"/>
  <c r="D104" i="14"/>
  <c r="C104" i="14"/>
  <c r="AA103" i="14"/>
  <c r="Z103" i="14"/>
  <c r="Y103" i="14"/>
  <c r="W103" i="14"/>
  <c r="V103" i="14"/>
  <c r="U103" i="14"/>
  <c r="T103" i="14"/>
  <c r="S103" i="14"/>
  <c r="R103" i="14"/>
  <c r="P103" i="14"/>
  <c r="O103" i="14"/>
  <c r="N103" i="14"/>
  <c r="L103" i="14"/>
  <c r="K103" i="14"/>
  <c r="J103" i="14"/>
  <c r="I103" i="14"/>
  <c r="H103" i="14"/>
  <c r="G103" i="14"/>
  <c r="F103" i="14"/>
  <c r="E103" i="14"/>
  <c r="D103" i="14"/>
  <c r="C103" i="14"/>
  <c r="AA102" i="14"/>
  <c r="Z102" i="14"/>
  <c r="Y102" i="14"/>
  <c r="W102" i="14"/>
  <c r="V102" i="14"/>
  <c r="U102" i="14"/>
  <c r="T102" i="14"/>
  <c r="S102" i="14"/>
  <c r="R102" i="14"/>
  <c r="P102" i="14"/>
  <c r="O102" i="14"/>
  <c r="N102" i="14"/>
  <c r="L102" i="14"/>
  <c r="K102" i="14"/>
  <c r="J102" i="14"/>
  <c r="I102" i="14"/>
  <c r="H102" i="14"/>
  <c r="G102" i="14"/>
  <c r="F102" i="14"/>
  <c r="E102" i="14"/>
  <c r="D102" i="14"/>
  <c r="C102" i="14"/>
  <c r="AA101" i="14"/>
  <c r="Z101" i="14"/>
  <c r="Y101" i="14"/>
  <c r="W101" i="14"/>
  <c r="V101" i="14"/>
  <c r="U101" i="14"/>
  <c r="T101" i="14"/>
  <c r="S101" i="14"/>
  <c r="R101" i="14"/>
  <c r="P101" i="14"/>
  <c r="O101" i="14"/>
  <c r="N101" i="14"/>
  <c r="L101" i="14"/>
  <c r="K101" i="14"/>
  <c r="J101" i="14"/>
  <c r="I101" i="14"/>
  <c r="H101" i="14"/>
  <c r="G101" i="14"/>
  <c r="F101" i="14"/>
  <c r="E101" i="14"/>
  <c r="D101" i="14"/>
  <c r="C101" i="14"/>
  <c r="AA100" i="14"/>
  <c r="Z100" i="14"/>
  <c r="Y100" i="14"/>
  <c r="W100" i="14"/>
  <c r="V100" i="14"/>
  <c r="U100" i="14"/>
  <c r="T100" i="14"/>
  <c r="S100" i="14"/>
  <c r="R100" i="14"/>
  <c r="P100" i="14"/>
  <c r="O100" i="14"/>
  <c r="N100" i="14"/>
  <c r="L100" i="14"/>
  <c r="K100" i="14"/>
  <c r="J100" i="14"/>
  <c r="I100" i="14"/>
  <c r="H100" i="14"/>
  <c r="G100" i="14"/>
  <c r="F100" i="14"/>
  <c r="E100" i="14"/>
  <c r="D100" i="14"/>
  <c r="C100" i="14"/>
  <c r="AA99" i="14"/>
  <c r="Z99" i="14"/>
  <c r="Y99" i="14"/>
  <c r="W99" i="14"/>
  <c r="V99" i="14"/>
  <c r="U99" i="14"/>
  <c r="T99" i="14"/>
  <c r="S99" i="14"/>
  <c r="R99" i="14"/>
  <c r="P99" i="14"/>
  <c r="O99" i="14"/>
  <c r="N99" i="14"/>
  <c r="L99" i="14"/>
  <c r="K99" i="14"/>
  <c r="J99" i="14"/>
  <c r="I99" i="14"/>
  <c r="H99" i="14"/>
  <c r="G99" i="14"/>
  <c r="F99" i="14"/>
  <c r="E99" i="14"/>
  <c r="D99" i="14"/>
  <c r="C99" i="14"/>
  <c r="AA98" i="14"/>
  <c r="Z98" i="14"/>
  <c r="Y98" i="14"/>
  <c r="W98" i="14"/>
  <c r="V98" i="14"/>
  <c r="U98" i="14"/>
  <c r="T98" i="14"/>
  <c r="S98" i="14"/>
  <c r="R98" i="14"/>
  <c r="P98" i="14"/>
  <c r="O98" i="14"/>
  <c r="N98" i="14"/>
  <c r="L98" i="14"/>
  <c r="K98" i="14"/>
  <c r="J98" i="14"/>
  <c r="I98" i="14"/>
  <c r="H98" i="14"/>
  <c r="G98" i="14"/>
  <c r="F98" i="14"/>
  <c r="E98" i="14"/>
  <c r="D98" i="14"/>
  <c r="C98" i="14"/>
  <c r="AA97" i="14"/>
  <c r="Z97" i="14"/>
  <c r="Y97" i="14"/>
  <c r="W97" i="14"/>
  <c r="V97" i="14"/>
  <c r="U97" i="14"/>
  <c r="T97" i="14"/>
  <c r="S97" i="14"/>
  <c r="R97" i="14"/>
  <c r="P97" i="14"/>
  <c r="O97" i="14"/>
  <c r="N97" i="14"/>
  <c r="L97" i="14"/>
  <c r="K97" i="14"/>
  <c r="J97" i="14"/>
  <c r="I97" i="14"/>
  <c r="H97" i="14"/>
  <c r="G97" i="14"/>
  <c r="F97" i="14"/>
  <c r="E97" i="14"/>
  <c r="D97" i="14"/>
  <c r="C97" i="14"/>
  <c r="AA96" i="14"/>
  <c r="Z96" i="14"/>
  <c r="Y96" i="14"/>
  <c r="W96" i="14"/>
  <c r="V96" i="14"/>
  <c r="U96" i="14"/>
  <c r="T96" i="14"/>
  <c r="S96" i="14"/>
  <c r="R96" i="14"/>
  <c r="P96" i="14"/>
  <c r="O96" i="14"/>
  <c r="N96" i="14"/>
  <c r="L96" i="14"/>
  <c r="K96" i="14"/>
  <c r="J96" i="14"/>
  <c r="I96" i="14"/>
  <c r="H96" i="14"/>
  <c r="G96" i="14"/>
  <c r="F96" i="14"/>
  <c r="E96" i="14"/>
  <c r="D96" i="14"/>
  <c r="C96" i="14"/>
  <c r="AA95" i="14"/>
  <c r="Z95" i="14"/>
  <c r="Y95" i="14"/>
  <c r="W95" i="14"/>
  <c r="V95" i="14"/>
  <c r="U95" i="14"/>
  <c r="T95" i="14"/>
  <c r="S95" i="14"/>
  <c r="R95" i="14"/>
  <c r="P95" i="14"/>
  <c r="O95" i="14"/>
  <c r="N95" i="14"/>
  <c r="L95" i="14"/>
  <c r="K95" i="14"/>
  <c r="J95" i="14"/>
  <c r="I95" i="14"/>
  <c r="H95" i="14"/>
  <c r="G95" i="14"/>
  <c r="F95" i="14"/>
  <c r="E95" i="14"/>
  <c r="D95" i="14"/>
  <c r="C95" i="14"/>
  <c r="AA94" i="14"/>
  <c r="Z94" i="14"/>
  <c r="Y94" i="14"/>
  <c r="W94" i="14"/>
  <c r="V94" i="14"/>
  <c r="U94" i="14"/>
  <c r="T94" i="14"/>
  <c r="S94" i="14"/>
  <c r="R94" i="14"/>
  <c r="P94" i="14"/>
  <c r="O94" i="14"/>
  <c r="N94" i="14"/>
  <c r="L94" i="14"/>
  <c r="K94" i="14"/>
  <c r="J94" i="14"/>
  <c r="I94" i="14"/>
  <c r="H94" i="14"/>
  <c r="G94" i="14"/>
  <c r="F94" i="14"/>
  <c r="E94" i="14"/>
  <c r="D94" i="14"/>
  <c r="C94" i="14"/>
  <c r="AA93" i="14"/>
  <c r="Z93" i="14"/>
  <c r="Y93" i="14"/>
  <c r="W93" i="14"/>
  <c r="V93" i="14"/>
  <c r="U93" i="14"/>
  <c r="T93" i="14"/>
  <c r="S93" i="14"/>
  <c r="R93" i="14"/>
  <c r="P93" i="14"/>
  <c r="O93" i="14"/>
  <c r="N93" i="14"/>
  <c r="L93" i="14"/>
  <c r="K93" i="14"/>
  <c r="J93" i="14"/>
  <c r="I93" i="14"/>
  <c r="H93" i="14"/>
  <c r="G93" i="14"/>
  <c r="F93" i="14"/>
  <c r="E93" i="14"/>
  <c r="D93" i="14"/>
  <c r="C93" i="14"/>
  <c r="AA92" i="14"/>
  <c r="Z92" i="14"/>
  <c r="Y92" i="14"/>
  <c r="W92" i="14"/>
  <c r="V92" i="14"/>
  <c r="U92" i="14"/>
  <c r="T92" i="14"/>
  <c r="S92" i="14"/>
  <c r="R92" i="14"/>
  <c r="P92" i="14"/>
  <c r="O92" i="14"/>
  <c r="N92" i="14"/>
  <c r="L92" i="14"/>
  <c r="K92" i="14"/>
  <c r="J92" i="14"/>
  <c r="I92" i="14"/>
  <c r="H92" i="14"/>
  <c r="G92" i="14"/>
  <c r="F92" i="14"/>
  <c r="E92" i="14"/>
  <c r="D92" i="14"/>
  <c r="C92" i="14"/>
  <c r="AA91" i="14"/>
  <c r="Z91" i="14"/>
  <c r="Y91" i="14"/>
  <c r="W91" i="14"/>
  <c r="V91" i="14"/>
  <c r="U91" i="14"/>
  <c r="T91" i="14"/>
  <c r="S91" i="14"/>
  <c r="R91" i="14"/>
  <c r="P91" i="14"/>
  <c r="O91" i="14"/>
  <c r="N91" i="14"/>
  <c r="L91" i="14"/>
  <c r="K91" i="14"/>
  <c r="J91" i="14"/>
  <c r="I91" i="14"/>
  <c r="H91" i="14"/>
  <c r="G91" i="14"/>
  <c r="F91" i="14"/>
  <c r="E91" i="14"/>
  <c r="D91" i="14"/>
  <c r="C91" i="14"/>
  <c r="AA90" i="14"/>
  <c r="Z90" i="14"/>
  <c r="Y90" i="14"/>
  <c r="W90" i="14"/>
  <c r="V90" i="14"/>
  <c r="U90" i="14"/>
  <c r="T90" i="14"/>
  <c r="S90" i="14"/>
  <c r="R90" i="14"/>
  <c r="P90" i="14"/>
  <c r="O90" i="14"/>
  <c r="N90" i="14"/>
  <c r="L90" i="14"/>
  <c r="K90" i="14"/>
  <c r="J90" i="14"/>
  <c r="I90" i="14"/>
  <c r="H90" i="14"/>
  <c r="G90" i="14"/>
  <c r="F90" i="14"/>
  <c r="E90" i="14"/>
  <c r="D90" i="14"/>
  <c r="C90" i="14"/>
  <c r="AA89" i="14"/>
  <c r="Z89" i="14"/>
  <c r="Y89" i="14"/>
  <c r="W89" i="14"/>
  <c r="V89" i="14"/>
  <c r="U89" i="14"/>
  <c r="T89" i="14"/>
  <c r="S89" i="14"/>
  <c r="R89" i="14"/>
  <c r="P89" i="14"/>
  <c r="O89" i="14"/>
  <c r="N89" i="14"/>
  <c r="L89" i="14"/>
  <c r="K89" i="14"/>
  <c r="J89" i="14"/>
  <c r="I89" i="14"/>
  <c r="H89" i="14"/>
  <c r="G89" i="14"/>
  <c r="F89" i="14"/>
  <c r="E89" i="14"/>
  <c r="D89" i="14"/>
  <c r="C89" i="14"/>
  <c r="AA88" i="14"/>
  <c r="Z88" i="14"/>
  <c r="Y88" i="14"/>
  <c r="W88" i="14"/>
  <c r="V88" i="14"/>
  <c r="U88" i="14"/>
  <c r="T88" i="14"/>
  <c r="S88" i="14"/>
  <c r="R88" i="14"/>
  <c r="P88" i="14"/>
  <c r="O88" i="14"/>
  <c r="N88" i="14"/>
  <c r="L88" i="14"/>
  <c r="K88" i="14"/>
  <c r="J88" i="14"/>
  <c r="I88" i="14"/>
  <c r="H88" i="14"/>
  <c r="G88" i="14"/>
  <c r="F88" i="14"/>
  <c r="E88" i="14"/>
  <c r="D88" i="14"/>
  <c r="C88" i="14"/>
  <c r="AA87" i="14"/>
  <c r="Z87" i="14"/>
  <c r="Y87" i="14"/>
  <c r="W87" i="14"/>
  <c r="V87" i="14"/>
  <c r="U87" i="14"/>
  <c r="T87" i="14"/>
  <c r="S87" i="14"/>
  <c r="R87" i="14"/>
  <c r="P87" i="14"/>
  <c r="O87" i="14"/>
  <c r="N87" i="14"/>
  <c r="L87" i="14"/>
  <c r="K87" i="14"/>
  <c r="J87" i="14"/>
  <c r="I87" i="14"/>
  <c r="H87" i="14"/>
  <c r="G87" i="14"/>
  <c r="F87" i="14"/>
  <c r="E87" i="14"/>
  <c r="D87" i="14"/>
  <c r="C87" i="14"/>
  <c r="AA86" i="14"/>
  <c r="Z86" i="14"/>
  <c r="Y86" i="14"/>
  <c r="W86" i="14"/>
  <c r="V86" i="14"/>
  <c r="U86" i="14"/>
  <c r="T86" i="14"/>
  <c r="S86" i="14"/>
  <c r="R86" i="14"/>
  <c r="P86" i="14"/>
  <c r="O86" i="14"/>
  <c r="N86" i="14"/>
  <c r="L86" i="14"/>
  <c r="K86" i="14"/>
  <c r="J86" i="14"/>
  <c r="I86" i="14"/>
  <c r="H86" i="14"/>
  <c r="G86" i="14"/>
  <c r="F86" i="14"/>
  <c r="E86" i="14"/>
  <c r="D86" i="14"/>
  <c r="C86" i="14"/>
  <c r="AA85" i="14"/>
  <c r="Z85" i="14"/>
  <c r="Y85" i="14"/>
  <c r="W85" i="14"/>
  <c r="V85" i="14"/>
  <c r="U85" i="14"/>
  <c r="T85" i="14"/>
  <c r="S85" i="14"/>
  <c r="R85" i="14"/>
  <c r="P85" i="14"/>
  <c r="O85" i="14"/>
  <c r="N85" i="14"/>
  <c r="L85" i="14"/>
  <c r="K85" i="14"/>
  <c r="J85" i="14"/>
  <c r="I85" i="14"/>
  <c r="H85" i="14"/>
  <c r="G85" i="14"/>
  <c r="F85" i="14"/>
  <c r="E85" i="14"/>
  <c r="D85" i="14"/>
  <c r="C85" i="14"/>
  <c r="AA84" i="14"/>
  <c r="Z84" i="14"/>
  <c r="Y84" i="14"/>
  <c r="W84" i="14"/>
  <c r="V84" i="14"/>
  <c r="U84" i="14"/>
  <c r="T84" i="14"/>
  <c r="S84" i="14"/>
  <c r="R84" i="14"/>
  <c r="P84" i="14"/>
  <c r="O84" i="14"/>
  <c r="N84" i="14"/>
  <c r="L84" i="14"/>
  <c r="K84" i="14"/>
  <c r="J84" i="14"/>
  <c r="I84" i="14"/>
  <c r="H84" i="14"/>
  <c r="G84" i="14"/>
  <c r="F84" i="14"/>
  <c r="E84" i="14"/>
  <c r="D84" i="14"/>
  <c r="C84" i="14"/>
  <c r="AA83" i="14"/>
  <c r="Z83" i="14"/>
  <c r="Y83" i="14"/>
  <c r="W83" i="14"/>
  <c r="V83" i="14"/>
  <c r="U83" i="14"/>
  <c r="T83" i="14"/>
  <c r="S83" i="14"/>
  <c r="R83" i="14"/>
  <c r="P83" i="14"/>
  <c r="O83" i="14"/>
  <c r="N83" i="14"/>
  <c r="L83" i="14"/>
  <c r="K83" i="14"/>
  <c r="J83" i="14"/>
  <c r="I83" i="14"/>
  <c r="H83" i="14"/>
  <c r="G83" i="14"/>
  <c r="F83" i="14"/>
  <c r="E83" i="14"/>
  <c r="D83" i="14"/>
  <c r="C83" i="14"/>
  <c r="AA82" i="14"/>
  <c r="Z82" i="14"/>
  <c r="Y82" i="14"/>
  <c r="W82" i="14"/>
  <c r="V82" i="14"/>
  <c r="U82" i="14"/>
  <c r="T82" i="14"/>
  <c r="S82" i="14"/>
  <c r="R82" i="14"/>
  <c r="P82" i="14"/>
  <c r="O82" i="14"/>
  <c r="N82" i="14"/>
  <c r="L82" i="14"/>
  <c r="K82" i="14"/>
  <c r="J82" i="14"/>
  <c r="I82" i="14"/>
  <c r="H82" i="14"/>
  <c r="G82" i="14"/>
  <c r="F82" i="14"/>
  <c r="E82" i="14"/>
  <c r="D82" i="14"/>
  <c r="C82" i="14"/>
  <c r="AA81" i="14"/>
  <c r="Z81" i="14"/>
  <c r="Y81" i="14"/>
  <c r="W81" i="14"/>
  <c r="V81" i="14"/>
  <c r="U81" i="14"/>
  <c r="T81" i="14"/>
  <c r="S81" i="14"/>
  <c r="R81" i="14"/>
  <c r="P81" i="14"/>
  <c r="O81" i="14"/>
  <c r="N81" i="14"/>
  <c r="L81" i="14"/>
  <c r="K81" i="14"/>
  <c r="J81" i="14"/>
  <c r="I81" i="14"/>
  <c r="H81" i="14"/>
  <c r="G81" i="14"/>
  <c r="F81" i="14"/>
  <c r="E81" i="14"/>
  <c r="D81" i="14"/>
  <c r="C81" i="14"/>
  <c r="AA80" i="14"/>
  <c r="Z80" i="14"/>
  <c r="Y80" i="14"/>
  <c r="W80" i="14"/>
  <c r="V80" i="14"/>
  <c r="U80" i="14"/>
  <c r="T80" i="14"/>
  <c r="S80" i="14"/>
  <c r="R80" i="14"/>
  <c r="P80" i="14"/>
  <c r="O80" i="14"/>
  <c r="N80" i="14"/>
  <c r="L80" i="14"/>
  <c r="K80" i="14"/>
  <c r="J80" i="14"/>
  <c r="I80" i="14"/>
  <c r="H80" i="14"/>
  <c r="G80" i="14"/>
  <c r="F80" i="14"/>
  <c r="E80" i="14"/>
  <c r="D80" i="14"/>
  <c r="C80" i="14"/>
  <c r="AA79" i="14"/>
  <c r="Z79" i="14"/>
  <c r="Y79" i="14"/>
  <c r="W79" i="14"/>
  <c r="V79" i="14"/>
  <c r="U79" i="14"/>
  <c r="T79" i="14"/>
  <c r="S79" i="14"/>
  <c r="R79" i="14"/>
  <c r="P79" i="14"/>
  <c r="O79" i="14"/>
  <c r="N79" i="14"/>
  <c r="L79" i="14"/>
  <c r="K79" i="14"/>
  <c r="J79" i="14"/>
  <c r="I79" i="14"/>
  <c r="H79" i="14"/>
  <c r="G79" i="14"/>
  <c r="F79" i="14"/>
  <c r="E79" i="14"/>
  <c r="D79" i="14"/>
  <c r="C79" i="14"/>
  <c r="AA78" i="14"/>
  <c r="Z78" i="14"/>
  <c r="Y78" i="14"/>
  <c r="W78" i="14"/>
  <c r="V78" i="14"/>
  <c r="U78" i="14"/>
  <c r="T78" i="14"/>
  <c r="S78" i="14"/>
  <c r="R78" i="14"/>
  <c r="P78" i="14"/>
  <c r="O78" i="14"/>
  <c r="N78" i="14"/>
  <c r="L78" i="14"/>
  <c r="K78" i="14"/>
  <c r="J78" i="14"/>
  <c r="I78" i="14"/>
  <c r="H78" i="14"/>
  <c r="G78" i="14"/>
  <c r="F78" i="14"/>
  <c r="E78" i="14"/>
  <c r="D78" i="14"/>
  <c r="C78" i="14"/>
  <c r="AA77" i="14"/>
  <c r="Z77" i="14"/>
  <c r="Y77" i="14"/>
  <c r="W77" i="14"/>
  <c r="V77" i="14"/>
  <c r="U77" i="14"/>
  <c r="T77" i="14"/>
  <c r="S77" i="14"/>
  <c r="R77" i="14"/>
  <c r="P77" i="14"/>
  <c r="O77" i="14"/>
  <c r="N77" i="14"/>
  <c r="L77" i="14"/>
  <c r="K77" i="14"/>
  <c r="J77" i="14"/>
  <c r="I77" i="14"/>
  <c r="H77" i="14"/>
  <c r="G77" i="14"/>
  <c r="F77" i="14"/>
  <c r="E77" i="14"/>
  <c r="D77" i="14"/>
  <c r="C77" i="14"/>
  <c r="AA76" i="14"/>
  <c r="Z76" i="14"/>
  <c r="Y76" i="14"/>
  <c r="W76" i="14"/>
  <c r="V76" i="14"/>
  <c r="U76" i="14"/>
  <c r="T76" i="14"/>
  <c r="S76" i="14"/>
  <c r="R76" i="14"/>
  <c r="P76" i="14"/>
  <c r="O76" i="14"/>
  <c r="N76" i="14"/>
  <c r="L76" i="14"/>
  <c r="K76" i="14"/>
  <c r="J76" i="14"/>
  <c r="I76" i="14"/>
  <c r="H76" i="14"/>
  <c r="G76" i="14"/>
  <c r="F76" i="14"/>
  <c r="E76" i="14"/>
  <c r="D76" i="14"/>
  <c r="C76" i="14"/>
  <c r="AA75" i="14"/>
  <c r="Z75" i="14"/>
  <c r="Y75" i="14"/>
  <c r="W75" i="14"/>
  <c r="V75" i="14"/>
  <c r="U75" i="14"/>
  <c r="T75" i="14"/>
  <c r="S75" i="14"/>
  <c r="R75" i="14"/>
  <c r="P75" i="14"/>
  <c r="O75" i="14"/>
  <c r="N75" i="14"/>
  <c r="L75" i="14"/>
  <c r="K75" i="14"/>
  <c r="J75" i="14"/>
  <c r="I75" i="14"/>
  <c r="H75" i="14"/>
  <c r="G75" i="14"/>
  <c r="F75" i="14"/>
  <c r="E75" i="14"/>
  <c r="D75" i="14"/>
  <c r="C75" i="14"/>
  <c r="AA74" i="14"/>
  <c r="Z74" i="14"/>
  <c r="Y74" i="14"/>
  <c r="W74" i="14"/>
  <c r="V74" i="14"/>
  <c r="U74" i="14"/>
  <c r="T74" i="14"/>
  <c r="S74" i="14"/>
  <c r="R74" i="14"/>
  <c r="P74" i="14"/>
  <c r="O74" i="14"/>
  <c r="N74" i="14"/>
  <c r="L74" i="14"/>
  <c r="K74" i="14"/>
  <c r="J74" i="14"/>
  <c r="I74" i="14"/>
  <c r="H74" i="14"/>
  <c r="G74" i="14"/>
  <c r="F74" i="14"/>
  <c r="E74" i="14"/>
  <c r="D74" i="14"/>
  <c r="C74" i="14"/>
  <c r="AA73" i="14"/>
  <c r="Z73" i="14"/>
  <c r="Y73" i="14"/>
  <c r="W73" i="14"/>
  <c r="V73" i="14"/>
  <c r="U73" i="14"/>
  <c r="T73" i="14"/>
  <c r="S73" i="14"/>
  <c r="R73" i="14"/>
  <c r="P73" i="14"/>
  <c r="O73" i="14"/>
  <c r="N73" i="14"/>
  <c r="L73" i="14"/>
  <c r="K73" i="14"/>
  <c r="J73" i="14"/>
  <c r="I73" i="14"/>
  <c r="H73" i="14"/>
  <c r="G73" i="14"/>
  <c r="F73" i="14"/>
  <c r="E73" i="14"/>
  <c r="D73" i="14"/>
  <c r="C73" i="14"/>
  <c r="AA72" i="14"/>
  <c r="Z72" i="14"/>
  <c r="Y72" i="14"/>
  <c r="W72" i="14"/>
  <c r="V72" i="14"/>
  <c r="U72" i="14"/>
  <c r="T72" i="14"/>
  <c r="S72" i="14"/>
  <c r="R72" i="14"/>
  <c r="P72" i="14"/>
  <c r="O72" i="14"/>
  <c r="N72" i="14"/>
  <c r="L72" i="14"/>
  <c r="K72" i="14"/>
  <c r="J72" i="14"/>
  <c r="I72" i="14"/>
  <c r="H72" i="14"/>
  <c r="G72" i="14"/>
  <c r="F72" i="14"/>
  <c r="E72" i="14"/>
  <c r="D72" i="14"/>
  <c r="C72" i="14"/>
  <c r="AA71" i="14"/>
  <c r="Z71" i="14"/>
  <c r="Y71" i="14"/>
  <c r="W71" i="14"/>
  <c r="V71" i="14"/>
  <c r="U71" i="14"/>
  <c r="T71" i="14"/>
  <c r="S71" i="14"/>
  <c r="R71" i="14"/>
  <c r="P71" i="14"/>
  <c r="O71" i="14"/>
  <c r="N71" i="14"/>
  <c r="L71" i="14"/>
  <c r="K71" i="14"/>
  <c r="J71" i="14"/>
  <c r="I71" i="14"/>
  <c r="H71" i="14"/>
  <c r="G71" i="14"/>
  <c r="F71" i="14"/>
  <c r="E71" i="14"/>
  <c r="D71" i="14"/>
  <c r="C71" i="14"/>
  <c r="AA70" i="14"/>
  <c r="Z70" i="14"/>
  <c r="Y70" i="14"/>
  <c r="W70" i="14"/>
  <c r="V70" i="14"/>
  <c r="U70" i="14"/>
  <c r="T70" i="14"/>
  <c r="S70" i="14"/>
  <c r="R70" i="14"/>
  <c r="P70" i="14"/>
  <c r="O70" i="14"/>
  <c r="N70" i="14"/>
  <c r="L70" i="14"/>
  <c r="K70" i="14"/>
  <c r="J70" i="14"/>
  <c r="I70" i="14"/>
  <c r="H70" i="14"/>
  <c r="G70" i="14"/>
  <c r="F70" i="14"/>
  <c r="E70" i="14"/>
  <c r="D70" i="14"/>
  <c r="C70" i="14"/>
  <c r="AA69" i="14"/>
  <c r="Z69" i="14"/>
  <c r="Y69" i="14"/>
  <c r="W69" i="14"/>
  <c r="V69" i="14"/>
  <c r="U69" i="14"/>
  <c r="T69" i="14"/>
  <c r="S69" i="14"/>
  <c r="R69" i="14"/>
  <c r="P69" i="14"/>
  <c r="O69" i="14"/>
  <c r="N69" i="14"/>
  <c r="L69" i="14"/>
  <c r="K69" i="14"/>
  <c r="J69" i="14"/>
  <c r="I69" i="14"/>
  <c r="H69" i="14"/>
  <c r="G69" i="14"/>
  <c r="F69" i="14"/>
  <c r="E69" i="14"/>
  <c r="D69" i="14"/>
  <c r="C69" i="14"/>
  <c r="AA68" i="14"/>
  <c r="Z68" i="14"/>
  <c r="Y68" i="14"/>
  <c r="W68" i="14"/>
  <c r="V68" i="14"/>
  <c r="U68" i="14"/>
  <c r="T68" i="14"/>
  <c r="S68" i="14"/>
  <c r="R68" i="14"/>
  <c r="P68" i="14"/>
  <c r="O68" i="14"/>
  <c r="N68" i="14"/>
  <c r="L68" i="14"/>
  <c r="K68" i="14"/>
  <c r="J68" i="14"/>
  <c r="I68" i="14"/>
  <c r="H68" i="14"/>
  <c r="G68" i="14"/>
  <c r="F68" i="14"/>
  <c r="E68" i="14"/>
  <c r="D68" i="14"/>
  <c r="C68" i="14"/>
  <c r="AA67" i="14"/>
  <c r="Z67" i="14"/>
  <c r="Y67" i="14"/>
  <c r="W67" i="14"/>
  <c r="V67" i="14"/>
  <c r="U67" i="14"/>
  <c r="T67" i="14"/>
  <c r="S67" i="14"/>
  <c r="R67" i="14"/>
  <c r="P67" i="14"/>
  <c r="O67" i="14"/>
  <c r="N67" i="14"/>
  <c r="L67" i="14"/>
  <c r="K67" i="14"/>
  <c r="J67" i="14"/>
  <c r="I67" i="14"/>
  <c r="H67" i="14"/>
  <c r="G67" i="14"/>
  <c r="F67" i="14"/>
  <c r="E67" i="14"/>
  <c r="D67" i="14"/>
  <c r="C67" i="14"/>
  <c r="AA66" i="14"/>
  <c r="Z66" i="14"/>
  <c r="Y66" i="14"/>
  <c r="W66" i="14"/>
  <c r="V66" i="14"/>
  <c r="U66" i="14"/>
  <c r="T66" i="14"/>
  <c r="S66" i="14"/>
  <c r="R66" i="14"/>
  <c r="P66" i="14"/>
  <c r="O66" i="14"/>
  <c r="N66" i="14"/>
  <c r="L66" i="14"/>
  <c r="K66" i="14"/>
  <c r="J66" i="14"/>
  <c r="I66" i="14"/>
  <c r="H66" i="14"/>
  <c r="G66" i="14"/>
  <c r="F66" i="14"/>
  <c r="E66" i="14"/>
  <c r="D66" i="14"/>
  <c r="C66" i="14"/>
  <c r="AA65" i="14"/>
  <c r="Z65" i="14"/>
  <c r="Y65" i="14"/>
  <c r="W65" i="14"/>
  <c r="V65" i="14"/>
  <c r="U65" i="14"/>
  <c r="T65" i="14"/>
  <c r="S65" i="14"/>
  <c r="R65" i="14"/>
  <c r="P65" i="14"/>
  <c r="O65" i="14"/>
  <c r="N65" i="14"/>
  <c r="L65" i="14"/>
  <c r="K65" i="14"/>
  <c r="J65" i="14"/>
  <c r="I65" i="14"/>
  <c r="H65" i="14"/>
  <c r="G65" i="14"/>
  <c r="F65" i="14"/>
  <c r="E65" i="14"/>
  <c r="D65" i="14"/>
  <c r="C65" i="14"/>
  <c r="AA64" i="14"/>
  <c r="Z64" i="14"/>
  <c r="Y64" i="14"/>
  <c r="W64" i="14"/>
  <c r="V64" i="14"/>
  <c r="U64" i="14"/>
  <c r="T64" i="14"/>
  <c r="S64" i="14"/>
  <c r="R64" i="14"/>
  <c r="P64" i="14"/>
  <c r="O64" i="14"/>
  <c r="N64" i="14"/>
  <c r="L64" i="14"/>
  <c r="K64" i="14"/>
  <c r="J64" i="14"/>
  <c r="I64" i="14"/>
  <c r="H64" i="14"/>
  <c r="G64" i="14"/>
  <c r="F64" i="14"/>
  <c r="E64" i="14"/>
  <c r="D64" i="14"/>
  <c r="C64" i="14"/>
  <c r="AA63" i="14"/>
  <c r="Z63" i="14"/>
  <c r="Y63" i="14"/>
  <c r="W63" i="14"/>
  <c r="V63" i="14"/>
  <c r="U63" i="14"/>
  <c r="T63" i="14"/>
  <c r="S63" i="14"/>
  <c r="R63" i="14"/>
  <c r="P63" i="14"/>
  <c r="O63" i="14"/>
  <c r="N63" i="14"/>
  <c r="L63" i="14"/>
  <c r="K63" i="14"/>
  <c r="J63" i="14"/>
  <c r="I63" i="14"/>
  <c r="H63" i="14"/>
  <c r="G63" i="14"/>
  <c r="F63" i="14"/>
  <c r="E63" i="14"/>
  <c r="D63" i="14"/>
  <c r="C63" i="14"/>
  <c r="AA62" i="14"/>
  <c r="Z62" i="14"/>
  <c r="Y62" i="14"/>
  <c r="W62" i="14"/>
  <c r="V62" i="14"/>
  <c r="U62" i="14"/>
  <c r="T62" i="14"/>
  <c r="S62" i="14"/>
  <c r="R62" i="14"/>
  <c r="P62" i="14"/>
  <c r="O62" i="14"/>
  <c r="N62" i="14"/>
  <c r="L62" i="14"/>
  <c r="K62" i="14"/>
  <c r="J62" i="14"/>
  <c r="I62" i="14"/>
  <c r="H62" i="14"/>
  <c r="G62" i="14"/>
  <c r="F62" i="14"/>
  <c r="E62" i="14"/>
  <c r="D62" i="14"/>
  <c r="C62" i="14"/>
  <c r="AA61" i="14"/>
  <c r="Z61" i="14"/>
  <c r="Y61" i="14"/>
  <c r="W61" i="14"/>
  <c r="V61" i="14"/>
  <c r="U61" i="14"/>
  <c r="T61" i="14"/>
  <c r="S61" i="14"/>
  <c r="R61" i="14"/>
  <c r="P61" i="14"/>
  <c r="O61" i="14"/>
  <c r="N61" i="14"/>
  <c r="L61" i="14"/>
  <c r="K61" i="14"/>
  <c r="J61" i="14"/>
  <c r="I61" i="14"/>
  <c r="H61" i="14"/>
  <c r="G61" i="14"/>
  <c r="F61" i="14"/>
  <c r="E61" i="14"/>
  <c r="D61" i="14"/>
  <c r="C61" i="14"/>
  <c r="AA60" i="14"/>
  <c r="Z60" i="14"/>
  <c r="Y60" i="14"/>
  <c r="W60" i="14"/>
  <c r="V60" i="14"/>
  <c r="U60" i="14"/>
  <c r="T60" i="14"/>
  <c r="S60" i="14"/>
  <c r="R60" i="14"/>
  <c r="P60" i="14"/>
  <c r="O60" i="14"/>
  <c r="N60" i="14"/>
  <c r="L60" i="14"/>
  <c r="K60" i="14"/>
  <c r="J60" i="14"/>
  <c r="I60" i="14"/>
  <c r="H60" i="14"/>
  <c r="G60" i="14"/>
  <c r="F60" i="14"/>
  <c r="E60" i="14"/>
  <c r="D60" i="14"/>
  <c r="C60" i="14"/>
  <c r="AA59" i="14"/>
  <c r="Z59" i="14"/>
  <c r="Y59" i="14"/>
  <c r="W59" i="14"/>
  <c r="V59" i="14"/>
  <c r="U59" i="14"/>
  <c r="T59" i="14"/>
  <c r="S59" i="14"/>
  <c r="R59" i="14"/>
  <c r="P59" i="14"/>
  <c r="O59" i="14"/>
  <c r="N59" i="14"/>
  <c r="L59" i="14"/>
  <c r="K59" i="14"/>
  <c r="J59" i="14"/>
  <c r="I59" i="14"/>
  <c r="H59" i="14"/>
  <c r="G59" i="14"/>
  <c r="F59" i="14"/>
  <c r="E59" i="14"/>
  <c r="D59" i="14"/>
  <c r="C59" i="14"/>
  <c r="AA58" i="14"/>
  <c r="Z58" i="14"/>
  <c r="Y58" i="14"/>
  <c r="W58" i="14"/>
  <c r="V58" i="14"/>
  <c r="U58" i="14"/>
  <c r="T58" i="14"/>
  <c r="S58" i="14"/>
  <c r="R58" i="14"/>
  <c r="P58" i="14"/>
  <c r="O58" i="14"/>
  <c r="N58" i="14"/>
  <c r="L58" i="14"/>
  <c r="K58" i="14"/>
  <c r="J58" i="14"/>
  <c r="I58" i="14"/>
  <c r="H58" i="14"/>
  <c r="G58" i="14"/>
  <c r="F58" i="14"/>
  <c r="E58" i="14"/>
  <c r="D58" i="14"/>
  <c r="C58" i="14"/>
  <c r="AA57" i="14"/>
  <c r="Z57" i="14"/>
  <c r="Y57" i="14"/>
  <c r="W57" i="14"/>
  <c r="V57" i="14"/>
  <c r="U57" i="14"/>
  <c r="T57" i="14"/>
  <c r="S57" i="14"/>
  <c r="R57" i="14"/>
  <c r="P57" i="14"/>
  <c r="O57" i="14"/>
  <c r="N57" i="14"/>
  <c r="L57" i="14"/>
  <c r="K57" i="14"/>
  <c r="J57" i="14"/>
  <c r="I57" i="14"/>
  <c r="H57" i="14"/>
  <c r="G57" i="14"/>
  <c r="F57" i="14"/>
  <c r="E57" i="14"/>
  <c r="D57" i="14"/>
  <c r="C57" i="14"/>
  <c r="AA56" i="14"/>
  <c r="Z56" i="14"/>
  <c r="Y56" i="14"/>
  <c r="W56" i="14"/>
  <c r="V56" i="14"/>
  <c r="U56" i="14"/>
  <c r="T56" i="14"/>
  <c r="S56" i="14"/>
  <c r="R56" i="14"/>
  <c r="P56" i="14"/>
  <c r="O56" i="14"/>
  <c r="N56" i="14"/>
  <c r="L56" i="14"/>
  <c r="K56" i="14"/>
  <c r="J56" i="14"/>
  <c r="I56" i="14"/>
  <c r="H56" i="14"/>
  <c r="G56" i="14"/>
  <c r="F56" i="14"/>
  <c r="E56" i="14"/>
  <c r="D56" i="14"/>
  <c r="C56" i="14"/>
  <c r="AA55" i="14"/>
  <c r="Z55" i="14"/>
  <c r="Y55" i="14"/>
  <c r="W55" i="14"/>
  <c r="V55" i="14"/>
  <c r="U55" i="14"/>
  <c r="T55" i="14"/>
  <c r="S55" i="14"/>
  <c r="R55" i="14"/>
  <c r="P55" i="14"/>
  <c r="O55" i="14"/>
  <c r="N55" i="14"/>
  <c r="L55" i="14"/>
  <c r="K55" i="14"/>
  <c r="J55" i="14"/>
  <c r="I55" i="14"/>
  <c r="H55" i="14"/>
  <c r="G55" i="14"/>
  <c r="F55" i="14"/>
  <c r="E55" i="14"/>
  <c r="D55" i="14"/>
  <c r="C55" i="14"/>
  <c r="AA54" i="14"/>
  <c r="Z54" i="14"/>
  <c r="Y54" i="14"/>
  <c r="W54" i="14"/>
  <c r="V54" i="14"/>
  <c r="U54" i="14"/>
  <c r="T54" i="14"/>
  <c r="S54" i="14"/>
  <c r="R54" i="14"/>
  <c r="P54" i="14"/>
  <c r="O54" i="14"/>
  <c r="N54" i="14"/>
  <c r="L54" i="14"/>
  <c r="K54" i="14"/>
  <c r="J54" i="14"/>
  <c r="I54" i="14"/>
  <c r="H54" i="14"/>
  <c r="G54" i="14"/>
  <c r="F54" i="14"/>
  <c r="E54" i="14"/>
  <c r="D54" i="14"/>
  <c r="C54" i="14"/>
  <c r="AA53" i="14"/>
  <c r="Z53" i="14"/>
  <c r="Y53" i="14"/>
  <c r="W53" i="14"/>
  <c r="V53" i="14"/>
  <c r="U53" i="14"/>
  <c r="T53" i="14"/>
  <c r="S53" i="14"/>
  <c r="R53" i="14"/>
  <c r="P53" i="14"/>
  <c r="O53" i="14"/>
  <c r="N53" i="14"/>
  <c r="L53" i="14"/>
  <c r="K53" i="14"/>
  <c r="J53" i="14"/>
  <c r="I53" i="14"/>
  <c r="H53" i="14"/>
  <c r="G53" i="14"/>
  <c r="F53" i="14"/>
  <c r="E53" i="14"/>
  <c r="D53" i="14"/>
  <c r="C53" i="14"/>
  <c r="AA52" i="14"/>
  <c r="Z52" i="14"/>
  <c r="Y52" i="14"/>
  <c r="W52" i="14"/>
  <c r="V52" i="14"/>
  <c r="U52" i="14"/>
  <c r="T52" i="14"/>
  <c r="S52" i="14"/>
  <c r="R52" i="14"/>
  <c r="P52" i="14"/>
  <c r="O52" i="14"/>
  <c r="N52" i="14"/>
  <c r="L52" i="14"/>
  <c r="K52" i="14"/>
  <c r="J52" i="14"/>
  <c r="I52" i="14"/>
  <c r="H52" i="14"/>
  <c r="G52" i="14"/>
  <c r="F52" i="14"/>
  <c r="E52" i="14"/>
  <c r="D52" i="14"/>
  <c r="C52" i="14"/>
  <c r="AA51" i="14"/>
  <c r="Z51" i="14"/>
  <c r="Y51" i="14"/>
  <c r="W51" i="14"/>
  <c r="V51" i="14"/>
  <c r="U51" i="14"/>
  <c r="T51" i="14"/>
  <c r="S51" i="14"/>
  <c r="R51" i="14"/>
  <c r="P51" i="14"/>
  <c r="O51" i="14"/>
  <c r="N51" i="14"/>
  <c r="L51" i="14"/>
  <c r="K51" i="14"/>
  <c r="J51" i="14"/>
  <c r="I51" i="14"/>
  <c r="H51" i="14"/>
  <c r="G51" i="14"/>
  <c r="F51" i="14"/>
  <c r="E51" i="14"/>
  <c r="D51" i="14"/>
  <c r="C51" i="14"/>
  <c r="AA50" i="14"/>
  <c r="Z50" i="14"/>
  <c r="Y50" i="14"/>
  <c r="W50" i="14"/>
  <c r="V50" i="14"/>
  <c r="U50" i="14"/>
  <c r="T50" i="14"/>
  <c r="S50" i="14"/>
  <c r="R50" i="14"/>
  <c r="P50" i="14"/>
  <c r="O50" i="14"/>
  <c r="N50" i="14"/>
  <c r="L50" i="14"/>
  <c r="K50" i="14"/>
  <c r="J50" i="14"/>
  <c r="I50" i="14"/>
  <c r="H50" i="14"/>
  <c r="G50" i="14"/>
  <c r="F50" i="14"/>
  <c r="E50" i="14"/>
  <c r="D50" i="14"/>
  <c r="C50" i="14"/>
  <c r="AA49" i="14"/>
  <c r="Z49" i="14"/>
  <c r="Y49" i="14"/>
  <c r="W49" i="14"/>
  <c r="V49" i="14"/>
  <c r="U49" i="14"/>
  <c r="T49" i="14"/>
  <c r="S49" i="14"/>
  <c r="R49" i="14"/>
  <c r="P49" i="14"/>
  <c r="O49" i="14"/>
  <c r="N49" i="14"/>
  <c r="L49" i="14"/>
  <c r="K49" i="14"/>
  <c r="J49" i="14"/>
  <c r="I49" i="14"/>
  <c r="H49" i="14"/>
  <c r="G49" i="14"/>
  <c r="F49" i="14"/>
  <c r="E49" i="14"/>
  <c r="D49" i="14"/>
  <c r="C49" i="14"/>
  <c r="AA48" i="14"/>
  <c r="Z48" i="14"/>
  <c r="Y48" i="14"/>
  <c r="W48" i="14"/>
  <c r="V48" i="14"/>
  <c r="U48" i="14"/>
  <c r="T48" i="14"/>
  <c r="S48" i="14"/>
  <c r="R48" i="14"/>
  <c r="P48" i="14"/>
  <c r="O48" i="14"/>
  <c r="N48" i="14"/>
  <c r="L48" i="14"/>
  <c r="K48" i="14"/>
  <c r="J48" i="14"/>
  <c r="I48" i="14"/>
  <c r="H48" i="14"/>
  <c r="G48" i="14"/>
  <c r="F48" i="14"/>
  <c r="E48" i="14"/>
  <c r="D48" i="14"/>
  <c r="C48" i="14"/>
  <c r="AA47" i="14"/>
  <c r="Z47" i="14"/>
  <c r="Y47" i="14"/>
  <c r="W47" i="14"/>
  <c r="V47" i="14"/>
  <c r="U47" i="14"/>
  <c r="T47" i="14"/>
  <c r="S47" i="14"/>
  <c r="R47" i="14"/>
  <c r="P47" i="14"/>
  <c r="O47" i="14"/>
  <c r="N47" i="14"/>
  <c r="L47" i="14"/>
  <c r="K47" i="14"/>
  <c r="J47" i="14"/>
  <c r="I47" i="14"/>
  <c r="H47" i="14"/>
  <c r="G47" i="14"/>
  <c r="F47" i="14"/>
  <c r="E47" i="14"/>
  <c r="D47" i="14"/>
  <c r="C47" i="14"/>
  <c r="AA46" i="14"/>
  <c r="Z46" i="14"/>
  <c r="Y46" i="14"/>
  <c r="W46" i="14"/>
  <c r="V46" i="14"/>
  <c r="U46" i="14"/>
  <c r="T46" i="14"/>
  <c r="S46" i="14"/>
  <c r="R46" i="14"/>
  <c r="P46" i="14"/>
  <c r="O46" i="14"/>
  <c r="N46" i="14"/>
  <c r="L46" i="14"/>
  <c r="K46" i="14"/>
  <c r="J46" i="14"/>
  <c r="I46" i="14"/>
  <c r="H46" i="14"/>
  <c r="G46" i="14"/>
  <c r="F46" i="14"/>
  <c r="E46" i="14"/>
  <c r="D46" i="14"/>
  <c r="C46" i="14"/>
  <c r="AA45" i="14"/>
  <c r="Z45" i="14"/>
  <c r="Y45" i="14"/>
  <c r="W45" i="14"/>
  <c r="V45" i="14"/>
  <c r="U45" i="14"/>
  <c r="T45" i="14"/>
  <c r="S45" i="14"/>
  <c r="R45" i="14"/>
  <c r="P45" i="14"/>
  <c r="O45" i="14"/>
  <c r="N45" i="14"/>
  <c r="L45" i="14"/>
  <c r="K45" i="14"/>
  <c r="J45" i="14"/>
  <c r="I45" i="14"/>
  <c r="H45" i="14"/>
  <c r="G45" i="14"/>
  <c r="F45" i="14"/>
  <c r="E45" i="14"/>
  <c r="D45" i="14"/>
  <c r="C45" i="14"/>
  <c r="AA44" i="14"/>
  <c r="Z44" i="14"/>
  <c r="Y44" i="14"/>
  <c r="W44" i="14"/>
  <c r="V44" i="14"/>
  <c r="U44" i="14"/>
  <c r="T44" i="14"/>
  <c r="S44" i="14"/>
  <c r="R44" i="14"/>
  <c r="P44" i="14"/>
  <c r="O44" i="14"/>
  <c r="N44" i="14"/>
  <c r="L44" i="14"/>
  <c r="K44" i="14"/>
  <c r="J44" i="14"/>
  <c r="I44" i="14"/>
  <c r="H44" i="14"/>
  <c r="G44" i="14"/>
  <c r="F44" i="14"/>
  <c r="E44" i="14"/>
  <c r="D44" i="14"/>
  <c r="C44" i="14"/>
  <c r="AA43" i="14"/>
  <c r="Z43" i="14"/>
  <c r="Y43" i="14"/>
  <c r="W43" i="14"/>
  <c r="V43" i="14"/>
  <c r="U43" i="14"/>
  <c r="T43" i="14"/>
  <c r="S43" i="14"/>
  <c r="R43" i="14"/>
  <c r="P43" i="14"/>
  <c r="O43" i="14"/>
  <c r="N43" i="14"/>
  <c r="L43" i="14"/>
  <c r="K43" i="14"/>
  <c r="J43" i="14"/>
  <c r="I43" i="14"/>
  <c r="H43" i="14"/>
  <c r="G43" i="14"/>
  <c r="F43" i="14"/>
  <c r="E43" i="14"/>
  <c r="D43" i="14"/>
  <c r="C43" i="14"/>
  <c r="AA42" i="14"/>
  <c r="Z42" i="14"/>
  <c r="Y42" i="14"/>
  <c r="W42" i="14"/>
  <c r="V42" i="14"/>
  <c r="U42" i="14"/>
  <c r="T42" i="14"/>
  <c r="S42" i="14"/>
  <c r="R42" i="14"/>
  <c r="P42" i="14"/>
  <c r="O42" i="14"/>
  <c r="N42" i="14"/>
  <c r="L42" i="14"/>
  <c r="K42" i="14"/>
  <c r="J42" i="14"/>
  <c r="I42" i="14"/>
  <c r="H42" i="14"/>
  <c r="G42" i="14"/>
  <c r="F42" i="14"/>
  <c r="E42" i="14"/>
  <c r="D42" i="14"/>
  <c r="C42" i="14"/>
  <c r="AA41" i="14"/>
  <c r="Z41" i="14"/>
  <c r="Y41" i="14"/>
  <c r="W41" i="14"/>
  <c r="V41" i="14"/>
  <c r="U41" i="14"/>
  <c r="T41" i="14"/>
  <c r="S41" i="14"/>
  <c r="R41" i="14"/>
  <c r="P41" i="14"/>
  <c r="O41" i="14"/>
  <c r="N41" i="14"/>
  <c r="L41" i="14"/>
  <c r="K41" i="14"/>
  <c r="J41" i="14"/>
  <c r="I41" i="14"/>
  <c r="H41" i="14"/>
  <c r="G41" i="14"/>
  <c r="F41" i="14"/>
  <c r="E41" i="14"/>
  <c r="D41" i="14"/>
  <c r="C41" i="14"/>
  <c r="AA40" i="14"/>
  <c r="Z40" i="14"/>
  <c r="Y40" i="14"/>
  <c r="W40" i="14"/>
  <c r="V40" i="14"/>
  <c r="U40" i="14"/>
  <c r="T40" i="14"/>
  <c r="S40" i="14"/>
  <c r="R40" i="14"/>
  <c r="P40" i="14"/>
  <c r="O40" i="14"/>
  <c r="N40" i="14"/>
  <c r="L40" i="14"/>
  <c r="K40" i="14"/>
  <c r="J40" i="14"/>
  <c r="I40" i="14"/>
  <c r="H40" i="14"/>
  <c r="G40" i="14"/>
  <c r="F40" i="14"/>
  <c r="E40" i="14"/>
  <c r="D40" i="14"/>
  <c r="C40" i="14"/>
  <c r="AA39" i="14"/>
  <c r="Z39" i="14"/>
  <c r="Y39" i="14"/>
  <c r="W39" i="14"/>
  <c r="V39" i="14"/>
  <c r="U39" i="14"/>
  <c r="T39" i="14"/>
  <c r="S39" i="14"/>
  <c r="R39" i="14"/>
  <c r="P39" i="14"/>
  <c r="O39" i="14"/>
  <c r="N39" i="14"/>
  <c r="L39" i="14"/>
  <c r="K39" i="14"/>
  <c r="J39" i="14"/>
  <c r="I39" i="14"/>
  <c r="H39" i="14"/>
  <c r="G39" i="14"/>
  <c r="F39" i="14"/>
  <c r="E39" i="14"/>
  <c r="D39" i="14"/>
  <c r="C39" i="14"/>
  <c r="AA38" i="14"/>
  <c r="Z38" i="14"/>
  <c r="Y38" i="14"/>
  <c r="W38" i="14"/>
  <c r="V38" i="14"/>
  <c r="U38" i="14"/>
  <c r="T38" i="14"/>
  <c r="S38" i="14"/>
  <c r="R38" i="14"/>
  <c r="P38" i="14"/>
  <c r="O38" i="14"/>
  <c r="N38" i="14"/>
  <c r="L38" i="14"/>
  <c r="K38" i="14"/>
  <c r="J38" i="14"/>
  <c r="I38" i="14"/>
  <c r="H38" i="14"/>
  <c r="G38" i="14"/>
  <c r="F38" i="14"/>
  <c r="E38" i="14"/>
  <c r="D38" i="14"/>
  <c r="C38" i="14"/>
  <c r="AA37" i="14"/>
  <c r="Z37" i="14"/>
  <c r="Y37" i="14"/>
  <c r="W37" i="14"/>
  <c r="V37" i="14"/>
  <c r="U37" i="14"/>
  <c r="T37" i="14"/>
  <c r="S37" i="14"/>
  <c r="R37" i="14"/>
  <c r="P37" i="14"/>
  <c r="O37" i="14"/>
  <c r="N37" i="14"/>
  <c r="L37" i="14"/>
  <c r="K37" i="14"/>
  <c r="J37" i="14"/>
  <c r="I37" i="14"/>
  <c r="H37" i="14"/>
  <c r="G37" i="14"/>
  <c r="F37" i="14"/>
  <c r="E37" i="14"/>
  <c r="D37" i="14"/>
  <c r="C37" i="14"/>
  <c r="AA36" i="14"/>
  <c r="Z36" i="14"/>
  <c r="Y36" i="14"/>
  <c r="W36" i="14"/>
  <c r="V36" i="14"/>
  <c r="U36" i="14"/>
  <c r="T36" i="14"/>
  <c r="S36" i="14"/>
  <c r="R36" i="14"/>
  <c r="P36" i="14"/>
  <c r="O36" i="14"/>
  <c r="N36" i="14"/>
  <c r="L36" i="14"/>
  <c r="K36" i="14"/>
  <c r="J36" i="14"/>
  <c r="I36" i="14"/>
  <c r="H36" i="14"/>
  <c r="G36" i="14"/>
  <c r="F36" i="14"/>
  <c r="E36" i="14"/>
  <c r="D36" i="14"/>
  <c r="C36" i="14"/>
  <c r="AA35" i="14"/>
  <c r="Z35" i="14"/>
  <c r="Y35" i="14"/>
  <c r="W35" i="14"/>
  <c r="V35" i="14"/>
  <c r="U35" i="14"/>
  <c r="T35" i="14"/>
  <c r="S35" i="14"/>
  <c r="R35" i="14"/>
  <c r="P35" i="14"/>
  <c r="O35" i="14"/>
  <c r="N35" i="14"/>
  <c r="L35" i="14"/>
  <c r="K35" i="14"/>
  <c r="J35" i="14"/>
  <c r="I35" i="14"/>
  <c r="H35" i="14"/>
  <c r="G35" i="14"/>
  <c r="F35" i="14"/>
  <c r="E35" i="14"/>
  <c r="D35" i="14"/>
  <c r="C35" i="14"/>
  <c r="AA34" i="14"/>
  <c r="Z34" i="14"/>
  <c r="Y34" i="14"/>
  <c r="W34" i="14"/>
  <c r="V34" i="14"/>
  <c r="U34" i="14"/>
  <c r="T34" i="14"/>
  <c r="S34" i="14"/>
  <c r="R34" i="14"/>
  <c r="P34" i="14"/>
  <c r="O34" i="14"/>
  <c r="N34" i="14"/>
  <c r="L34" i="14"/>
  <c r="K34" i="14"/>
  <c r="J34" i="14"/>
  <c r="I34" i="14"/>
  <c r="H34" i="14"/>
  <c r="G34" i="14"/>
  <c r="F34" i="14"/>
  <c r="E34" i="14"/>
  <c r="D34" i="14"/>
  <c r="C34" i="14"/>
  <c r="AA33" i="14"/>
  <c r="Z33" i="14"/>
  <c r="Y33" i="14"/>
  <c r="W33" i="14"/>
  <c r="V33" i="14"/>
  <c r="U33" i="14"/>
  <c r="T33" i="14"/>
  <c r="S33" i="14"/>
  <c r="R33" i="14"/>
  <c r="P33" i="14"/>
  <c r="O33" i="14"/>
  <c r="N33" i="14"/>
  <c r="L33" i="14"/>
  <c r="K33" i="14"/>
  <c r="J33" i="14"/>
  <c r="I33" i="14"/>
  <c r="H33" i="14"/>
  <c r="G33" i="14"/>
  <c r="F33" i="14"/>
  <c r="E33" i="14"/>
  <c r="D33" i="14"/>
  <c r="C33" i="14"/>
  <c r="AA32" i="14"/>
  <c r="Z32" i="14"/>
  <c r="Y32" i="14"/>
  <c r="W32" i="14"/>
  <c r="V32" i="14"/>
  <c r="U32" i="14"/>
  <c r="T32" i="14"/>
  <c r="S32" i="14"/>
  <c r="R32" i="14"/>
  <c r="P32" i="14"/>
  <c r="O32" i="14"/>
  <c r="N32" i="14"/>
  <c r="L32" i="14"/>
  <c r="K32" i="14"/>
  <c r="J32" i="14"/>
  <c r="I32" i="14"/>
  <c r="H32" i="14"/>
  <c r="G32" i="14"/>
  <c r="F32" i="14"/>
  <c r="E32" i="14"/>
  <c r="D32" i="14"/>
  <c r="C32" i="14"/>
  <c r="AA31" i="14"/>
  <c r="Z31" i="14"/>
  <c r="Y31" i="14"/>
  <c r="W31" i="14"/>
  <c r="V31" i="14"/>
  <c r="U31" i="14"/>
  <c r="T31" i="14"/>
  <c r="S31" i="14"/>
  <c r="R31" i="14"/>
  <c r="P31" i="14"/>
  <c r="O31" i="14"/>
  <c r="N31" i="14"/>
  <c r="L31" i="14"/>
  <c r="K31" i="14"/>
  <c r="J31" i="14"/>
  <c r="I31" i="14"/>
  <c r="H31" i="14"/>
  <c r="G31" i="14"/>
  <c r="F31" i="14"/>
  <c r="E31" i="14"/>
  <c r="D31" i="14"/>
  <c r="C31" i="14"/>
  <c r="AA30" i="14"/>
  <c r="Z30" i="14"/>
  <c r="Y30" i="14"/>
  <c r="W30" i="14"/>
  <c r="V30" i="14"/>
  <c r="U30" i="14"/>
  <c r="T30" i="14"/>
  <c r="S30" i="14"/>
  <c r="R30" i="14"/>
  <c r="P30" i="14"/>
  <c r="O30" i="14"/>
  <c r="N30" i="14"/>
  <c r="L30" i="14"/>
  <c r="K30" i="14"/>
  <c r="J30" i="14"/>
  <c r="I30" i="14"/>
  <c r="H30" i="14"/>
  <c r="G30" i="14"/>
  <c r="F30" i="14"/>
  <c r="E30" i="14"/>
  <c r="D30" i="14"/>
  <c r="C30" i="14"/>
  <c r="AA29" i="14"/>
  <c r="Z29" i="14"/>
  <c r="Y29" i="14"/>
  <c r="W29" i="14"/>
  <c r="V29" i="14"/>
  <c r="U29" i="14"/>
  <c r="T29" i="14"/>
  <c r="S29" i="14"/>
  <c r="R29" i="14"/>
  <c r="P29" i="14"/>
  <c r="O29" i="14"/>
  <c r="N29" i="14"/>
  <c r="L29" i="14"/>
  <c r="K29" i="14"/>
  <c r="J29" i="14"/>
  <c r="I29" i="14"/>
  <c r="H29" i="14"/>
  <c r="G29" i="14"/>
  <c r="F29" i="14"/>
  <c r="E29" i="14"/>
  <c r="D29" i="14"/>
  <c r="C29" i="14"/>
  <c r="AA28" i="14"/>
  <c r="Z28" i="14"/>
  <c r="Y28" i="14"/>
  <c r="W28" i="14"/>
  <c r="V28" i="14"/>
  <c r="U28" i="14"/>
  <c r="T28" i="14"/>
  <c r="S28" i="14"/>
  <c r="R28" i="14"/>
  <c r="P28" i="14"/>
  <c r="O28" i="14"/>
  <c r="N28" i="14"/>
  <c r="L28" i="14"/>
  <c r="K28" i="14"/>
  <c r="J28" i="14"/>
  <c r="I28" i="14"/>
  <c r="H28" i="14"/>
  <c r="G28" i="14"/>
  <c r="F28" i="14"/>
  <c r="E28" i="14"/>
  <c r="D28" i="14"/>
  <c r="C28" i="14"/>
  <c r="AA27" i="14"/>
  <c r="Z27" i="14"/>
  <c r="Y27" i="14"/>
  <c r="W27" i="14"/>
  <c r="V27" i="14"/>
  <c r="U27" i="14"/>
  <c r="T27" i="14"/>
  <c r="S27" i="14"/>
  <c r="R27" i="14"/>
  <c r="P27" i="14"/>
  <c r="O27" i="14"/>
  <c r="N27" i="14"/>
  <c r="L27" i="14"/>
  <c r="K27" i="14"/>
  <c r="J27" i="14"/>
  <c r="I27" i="14"/>
  <c r="H27" i="14"/>
  <c r="G27" i="14"/>
  <c r="F27" i="14"/>
  <c r="E27" i="14"/>
  <c r="D27" i="14"/>
  <c r="C27" i="14"/>
  <c r="AA26" i="14"/>
  <c r="Z26" i="14"/>
  <c r="Y26" i="14"/>
  <c r="W26" i="14"/>
  <c r="V26" i="14"/>
  <c r="U26" i="14"/>
  <c r="T26" i="14"/>
  <c r="S26" i="14"/>
  <c r="R26" i="14"/>
  <c r="P26" i="14"/>
  <c r="O26" i="14"/>
  <c r="N26" i="14"/>
  <c r="L26" i="14"/>
  <c r="K26" i="14"/>
  <c r="J26" i="14"/>
  <c r="I26" i="14"/>
  <c r="H26" i="14"/>
  <c r="G26" i="14"/>
  <c r="F26" i="14"/>
  <c r="E26" i="14"/>
  <c r="D26" i="14"/>
  <c r="C26" i="14"/>
  <c r="AA25" i="14"/>
  <c r="Z25" i="14"/>
  <c r="Y25" i="14"/>
  <c r="W25" i="14"/>
  <c r="V25" i="14"/>
  <c r="U25" i="14"/>
  <c r="T25" i="14"/>
  <c r="S25" i="14"/>
  <c r="R25" i="14"/>
  <c r="P25" i="14"/>
  <c r="O25" i="14"/>
  <c r="N25" i="14"/>
  <c r="L25" i="14"/>
  <c r="K25" i="14"/>
  <c r="J25" i="14"/>
  <c r="I25" i="14"/>
  <c r="H25" i="14"/>
  <c r="G25" i="14"/>
  <c r="F25" i="14"/>
  <c r="E25" i="14"/>
  <c r="D25" i="14"/>
  <c r="C25" i="14"/>
  <c r="AA24" i="14"/>
  <c r="Z24" i="14"/>
  <c r="Y24" i="14"/>
  <c r="W24" i="14"/>
  <c r="V24" i="14"/>
  <c r="U24" i="14"/>
  <c r="T24" i="14"/>
  <c r="S24" i="14"/>
  <c r="R24" i="14"/>
  <c r="P24" i="14"/>
  <c r="O24" i="14"/>
  <c r="N24" i="14"/>
  <c r="L24" i="14"/>
  <c r="K24" i="14"/>
  <c r="J24" i="14"/>
  <c r="I24" i="14"/>
  <c r="H24" i="14"/>
  <c r="G24" i="14"/>
  <c r="F24" i="14"/>
  <c r="E24" i="14"/>
  <c r="D24" i="14"/>
  <c r="C24" i="14"/>
  <c r="AA23" i="14"/>
  <c r="Z23" i="14"/>
  <c r="Y23" i="14"/>
  <c r="W23" i="14"/>
  <c r="V23" i="14"/>
  <c r="U23" i="14"/>
  <c r="T23" i="14"/>
  <c r="S23" i="14"/>
  <c r="R23" i="14"/>
  <c r="P23" i="14"/>
  <c r="O23" i="14"/>
  <c r="N23" i="14"/>
  <c r="L23" i="14"/>
  <c r="K23" i="14"/>
  <c r="J23" i="14"/>
  <c r="I23" i="14"/>
  <c r="H23" i="14"/>
  <c r="G23" i="14"/>
  <c r="F23" i="14"/>
  <c r="E23" i="14"/>
  <c r="D23" i="14"/>
  <c r="C23" i="14"/>
  <c r="AA22" i="14"/>
  <c r="Z22" i="14"/>
  <c r="Y22" i="14"/>
  <c r="W22" i="14"/>
  <c r="V22" i="14"/>
  <c r="U22" i="14"/>
  <c r="T22" i="14"/>
  <c r="S22" i="14"/>
  <c r="R22" i="14"/>
  <c r="P22" i="14"/>
  <c r="O22" i="14"/>
  <c r="N22" i="14"/>
  <c r="L22" i="14"/>
  <c r="K22" i="14"/>
  <c r="J22" i="14"/>
  <c r="I22" i="14"/>
  <c r="H22" i="14"/>
  <c r="G22" i="14"/>
  <c r="F22" i="14"/>
  <c r="E22" i="14"/>
  <c r="D22" i="14"/>
  <c r="C22" i="14"/>
  <c r="AA21" i="14"/>
  <c r="Z21" i="14"/>
  <c r="Y21" i="14"/>
  <c r="W21" i="14"/>
  <c r="V21" i="14"/>
  <c r="U21" i="14"/>
  <c r="T21" i="14"/>
  <c r="S21" i="14"/>
  <c r="R21" i="14"/>
  <c r="P21" i="14"/>
  <c r="O21" i="14"/>
  <c r="N21" i="14"/>
  <c r="L21" i="14"/>
  <c r="K21" i="14"/>
  <c r="J21" i="14"/>
  <c r="I21" i="14"/>
  <c r="H21" i="14"/>
  <c r="G21" i="14"/>
  <c r="F21" i="14"/>
  <c r="E21" i="14"/>
  <c r="D21" i="14"/>
  <c r="C21" i="14"/>
  <c r="AA20" i="14"/>
  <c r="Z20" i="14"/>
  <c r="Y20" i="14"/>
  <c r="W20" i="14"/>
  <c r="V20" i="14"/>
  <c r="U20" i="14"/>
  <c r="T20" i="14"/>
  <c r="S20" i="14"/>
  <c r="R20" i="14"/>
  <c r="P20" i="14"/>
  <c r="O20" i="14"/>
  <c r="N20" i="14"/>
  <c r="L20" i="14"/>
  <c r="K20" i="14"/>
  <c r="J20" i="14"/>
  <c r="I20" i="14"/>
  <c r="H20" i="14"/>
  <c r="G20" i="14"/>
  <c r="F20" i="14"/>
  <c r="E20" i="14"/>
  <c r="D20" i="14"/>
  <c r="C20" i="14"/>
  <c r="AA19" i="14"/>
  <c r="Z19" i="14"/>
  <c r="Y19" i="14"/>
  <c r="W19" i="14"/>
  <c r="V19" i="14"/>
  <c r="U19" i="14"/>
  <c r="T19" i="14"/>
  <c r="S19" i="14"/>
  <c r="R19" i="14"/>
  <c r="P19" i="14"/>
  <c r="O19" i="14"/>
  <c r="N19" i="14"/>
  <c r="L19" i="14"/>
  <c r="K19" i="14"/>
  <c r="J19" i="14"/>
  <c r="I19" i="14"/>
  <c r="H19" i="14"/>
  <c r="G19" i="14"/>
  <c r="F19" i="14"/>
  <c r="E19" i="14"/>
  <c r="D19" i="14"/>
  <c r="C19" i="14"/>
  <c r="AA18" i="14"/>
  <c r="Z18" i="14"/>
  <c r="Y18" i="14"/>
  <c r="W18" i="14"/>
  <c r="V18" i="14"/>
  <c r="U18" i="14"/>
  <c r="T18" i="14"/>
  <c r="S18" i="14"/>
  <c r="R18" i="14"/>
  <c r="P18" i="14"/>
  <c r="O18" i="14"/>
  <c r="N18" i="14"/>
  <c r="L18" i="14"/>
  <c r="K18" i="14"/>
  <c r="J18" i="14"/>
  <c r="I18" i="14"/>
  <c r="H18" i="14"/>
  <c r="G18" i="14"/>
  <c r="F18" i="14"/>
  <c r="E18" i="14"/>
  <c r="D18" i="14"/>
  <c r="C18" i="14"/>
  <c r="AA17" i="14"/>
  <c r="Z17" i="14"/>
  <c r="Y17" i="14"/>
  <c r="W17" i="14"/>
  <c r="V17" i="14"/>
  <c r="U17" i="14"/>
  <c r="T17" i="14"/>
  <c r="S17" i="14"/>
  <c r="R17" i="14"/>
  <c r="P17" i="14"/>
  <c r="O17" i="14"/>
  <c r="N17" i="14"/>
  <c r="L17" i="14"/>
  <c r="K17" i="14"/>
  <c r="J17" i="14"/>
  <c r="I17" i="14"/>
  <c r="H17" i="14"/>
  <c r="G17" i="14"/>
  <c r="F17" i="14"/>
  <c r="E17" i="14"/>
  <c r="D17" i="14"/>
  <c r="C17" i="14"/>
  <c r="AA16" i="14"/>
  <c r="Z16" i="14"/>
  <c r="Y16" i="14"/>
  <c r="W16" i="14"/>
  <c r="V16" i="14"/>
  <c r="U16" i="14"/>
  <c r="T16" i="14"/>
  <c r="S16" i="14"/>
  <c r="R16" i="14"/>
  <c r="P16" i="14"/>
  <c r="O16" i="14"/>
  <c r="N16" i="14"/>
  <c r="L16" i="14"/>
  <c r="K16" i="14"/>
  <c r="J16" i="14"/>
  <c r="I16" i="14"/>
  <c r="H16" i="14"/>
  <c r="G16" i="14"/>
  <c r="F16" i="14"/>
  <c r="E16" i="14"/>
  <c r="D16" i="14"/>
  <c r="C16" i="14"/>
  <c r="AA15" i="14"/>
  <c r="Z15" i="14"/>
  <c r="Y15" i="14"/>
  <c r="W15" i="14"/>
  <c r="V15" i="14"/>
  <c r="U15" i="14"/>
  <c r="T15" i="14"/>
  <c r="S15" i="14"/>
  <c r="R15" i="14"/>
  <c r="P15" i="14"/>
  <c r="O15" i="14"/>
  <c r="N15" i="14"/>
  <c r="L15" i="14"/>
  <c r="K15" i="14"/>
  <c r="J15" i="14"/>
  <c r="I15" i="14"/>
  <c r="H15" i="14"/>
  <c r="G15" i="14"/>
  <c r="F15" i="14"/>
  <c r="E15" i="14"/>
  <c r="D15" i="14"/>
  <c r="C15" i="14"/>
  <c r="AA14" i="14"/>
  <c r="Z14" i="14"/>
  <c r="Y14" i="14"/>
  <c r="W14" i="14"/>
  <c r="V14" i="14"/>
  <c r="U14" i="14"/>
  <c r="T14" i="14"/>
  <c r="S14" i="14"/>
  <c r="R14" i="14"/>
  <c r="P14" i="14"/>
  <c r="O14" i="14"/>
  <c r="N14" i="14"/>
  <c r="L14" i="14"/>
  <c r="K14" i="14"/>
  <c r="J14" i="14"/>
  <c r="I14" i="14"/>
  <c r="H14" i="14"/>
  <c r="G14" i="14"/>
  <c r="F14" i="14"/>
  <c r="E14" i="14"/>
  <c r="D14" i="14"/>
  <c r="C14" i="14"/>
  <c r="AA13" i="14"/>
  <c r="Z13" i="14"/>
  <c r="Y13" i="14"/>
  <c r="W13" i="14"/>
  <c r="V13" i="14"/>
  <c r="U13" i="14"/>
  <c r="T13" i="14"/>
  <c r="S13" i="14"/>
  <c r="R13" i="14"/>
  <c r="P13" i="14"/>
  <c r="O13" i="14"/>
  <c r="N13" i="14"/>
  <c r="L13" i="14"/>
  <c r="K13" i="14"/>
  <c r="J13" i="14"/>
  <c r="I13" i="14"/>
  <c r="H13" i="14"/>
  <c r="G13" i="14"/>
  <c r="F13" i="14"/>
  <c r="E13" i="14"/>
  <c r="D13" i="14"/>
  <c r="C13" i="14"/>
  <c r="AA12" i="14"/>
  <c r="Z12" i="14"/>
  <c r="Y12" i="14"/>
  <c r="W12" i="14"/>
  <c r="V12" i="14"/>
  <c r="U12" i="14"/>
  <c r="T12" i="14"/>
  <c r="S12" i="14"/>
  <c r="R12" i="14"/>
  <c r="P12" i="14"/>
  <c r="O12" i="14"/>
  <c r="N12" i="14"/>
  <c r="L12" i="14"/>
  <c r="K12" i="14"/>
  <c r="J12" i="14"/>
  <c r="I12" i="14"/>
  <c r="H12" i="14"/>
  <c r="G12" i="14"/>
  <c r="F12" i="14"/>
  <c r="E12" i="14"/>
  <c r="D12" i="14"/>
  <c r="C12" i="14"/>
  <c r="AA11" i="14"/>
  <c r="Z11" i="14"/>
  <c r="Y11" i="14"/>
  <c r="W11" i="14"/>
  <c r="V11" i="14"/>
  <c r="U11" i="14"/>
  <c r="T11" i="14"/>
  <c r="S11" i="14"/>
  <c r="R11" i="14"/>
  <c r="P11" i="14"/>
  <c r="O11" i="14"/>
  <c r="N11" i="14"/>
  <c r="L11" i="14"/>
  <c r="K11" i="14"/>
  <c r="J11" i="14"/>
  <c r="I11" i="14"/>
  <c r="H11" i="14"/>
  <c r="G11" i="14"/>
  <c r="F11" i="14"/>
  <c r="E11" i="14"/>
  <c r="D11" i="14"/>
  <c r="C11" i="14"/>
  <c r="AA10" i="14"/>
  <c r="Z10" i="14"/>
  <c r="Y10" i="14"/>
  <c r="W10" i="14"/>
  <c r="V10" i="14"/>
  <c r="U10" i="14"/>
  <c r="T10" i="14"/>
  <c r="S10" i="14"/>
  <c r="R10" i="14"/>
  <c r="P10" i="14"/>
  <c r="O10" i="14"/>
  <c r="N10" i="14"/>
  <c r="L10" i="14"/>
  <c r="K10" i="14"/>
  <c r="J10" i="14"/>
  <c r="I10" i="14"/>
  <c r="H10" i="14"/>
  <c r="G10" i="14"/>
  <c r="F10" i="14"/>
  <c r="E10" i="14"/>
  <c r="D10" i="14"/>
  <c r="C10" i="14"/>
  <c r="AA9" i="14"/>
  <c r="Z9" i="14"/>
  <c r="Y9" i="14"/>
  <c r="W9" i="14"/>
  <c r="V9" i="14"/>
  <c r="U9" i="14"/>
  <c r="T9" i="14"/>
  <c r="S9" i="14"/>
  <c r="R9" i="14"/>
  <c r="P9" i="14"/>
  <c r="O9" i="14"/>
  <c r="N9" i="14"/>
  <c r="L9" i="14"/>
  <c r="K9" i="14"/>
  <c r="J9" i="14"/>
  <c r="I9" i="14"/>
  <c r="H9" i="14"/>
  <c r="G9" i="14"/>
  <c r="F9" i="14"/>
  <c r="E9" i="14"/>
  <c r="D9" i="14"/>
  <c r="C9" i="14"/>
  <c r="AA8" i="14"/>
  <c r="Z8" i="14"/>
  <c r="Y8" i="14"/>
  <c r="W8" i="14"/>
  <c r="V8" i="14"/>
  <c r="U8" i="14"/>
  <c r="T8" i="14"/>
  <c r="S8" i="14"/>
  <c r="R8" i="14"/>
  <c r="P8" i="14"/>
  <c r="O8" i="14"/>
  <c r="N8" i="14"/>
  <c r="L8" i="14"/>
  <c r="K8" i="14"/>
  <c r="J8" i="14"/>
  <c r="I8" i="14"/>
  <c r="H8" i="14"/>
  <c r="G8" i="14"/>
  <c r="F8" i="14"/>
  <c r="E8" i="14"/>
  <c r="D8" i="14"/>
  <c r="C8" i="14"/>
  <c r="AA7" i="14"/>
  <c r="Z7" i="14"/>
  <c r="Y7" i="14"/>
  <c r="W7" i="14"/>
  <c r="V7" i="14"/>
  <c r="U7" i="14"/>
  <c r="T7" i="14"/>
  <c r="S7" i="14"/>
  <c r="R7" i="14"/>
  <c r="P7" i="14"/>
  <c r="O7" i="14"/>
  <c r="N7" i="14"/>
  <c r="L7" i="14"/>
  <c r="K7" i="14"/>
  <c r="J7" i="14"/>
  <c r="I7" i="14"/>
  <c r="H7" i="14"/>
  <c r="G7" i="14"/>
  <c r="F7" i="14"/>
  <c r="E7" i="14"/>
  <c r="D7" i="14"/>
  <c r="C7" i="14"/>
  <c r="AA6" i="14"/>
  <c r="Z6" i="14"/>
  <c r="Y6" i="14"/>
  <c r="W6" i="14"/>
  <c r="V6" i="14"/>
  <c r="U6" i="14"/>
  <c r="T6" i="14"/>
  <c r="S6" i="14"/>
  <c r="R6" i="14"/>
  <c r="P6" i="14"/>
  <c r="O6" i="14"/>
  <c r="N6" i="14"/>
  <c r="L6" i="14"/>
  <c r="K6" i="14"/>
  <c r="J6" i="14"/>
  <c r="I6" i="14"/>
  <c r="H6" i="14"/>
  <c r="G6" i="14"/>
  <c r="F6" i="14"/>
  <c r="E6" i="14"/>
  <c r="D6" i="14"/>
  <c r="C6" i="14"/>
  <c r="AA5" i="14"/>
  <c r="Z5" i="14"/>
  <c r="Y5" i="14"/>
  <c r="W5" i="14"/>
  <c r="V5" i="14"/>
  <c r="U5" i="14"/>
  <c r="T5" i="14"/>
  <c r="S5" i="14"/>
  <c r="R5" i="14"/>
  <c r="P5" i="14"/>
  <c r="O5" i="14"/>
  <c r="N5" i="14"/>
  <c r="L5" i="14"/>
  <c r="K5" i="14"/>
  <c r="J5" i="14"/>
  <c r="I5" i="14"/>
  <c r="H5" i="14"/>
  <c r="G5" i="14"/>
  <c r="F5" i="14"/>
  <c r="E5" i="14"/>
  <c r="D5" i="14"/>
  <c r="C5" i="14"/>
  <c r="AA4" i="14"/>
  <c r="Z4" i="14"/>
  <c r="Y4" i="14"/>
  <c r="W4" i="14"/>
  <c r="V4" i="14"/>
  <c r="U4" i="14"/>
  <c r="T4" i="14"/>
  <c r="S4" i="14"/>
  <c r="R4" i="14"/>
  <c r="P4" i="14"/>
  <c r="O4" i="14"/>
  <c r="N4" i="14"/>
  <c r="L4" i="14"/>
  <c r="K4" i="14"/>
  <c r="J4" i="14"/>
  <c r="I4" i="14"/>
  <c r="H4" i="14"/>
  <c r="G4" i="14"/>
  <c r="F4" i="14"/>
  <c r="E4" i="14"/>
  <c r="D4" i="14"/>
  <c r="C4" i="14"/>
  <c r="AA3" i="14"/>
  <c r="Z3" i="14"/>
  <c r="Y3" i="14"/>
  <c r="W3" i="14"/>
  <c r="V3" i="14"/>
  <c r="U3" i="14"/>
  <c r="T3" i="14"/>
  <c r="S3" i="14"/>
  <c r="R3" i="14"/>
  <c r="P3" i="14"/>
  <c r="O3" i="14"/>
  <c r="N3" i="14"/>
  <c r="L3" i="14"/>
  <c r="K3" i="14"/>
  <c r="J3" i="14"/>
  <c r="I3" i="14"/>
  <c r="H3" i="14"/>
  <c r="G3" i="14"/>
  <c r="F3" i="14"/>
  <c r="E3" i="14"/>
  <c r="D3" i="14"/>
  <c r="C3" i="14"/>
  <c r="AA2" i="14"/>
  <c r="Z2" i="14"/>
  <c r="Y2" i="14"/>
  <c r="W2" i="14"/>
  <c r="V2" i="14"/>
  <c r="U2" i="14"/>
  <c r="T2" i="14"/>
  <c r="S2" i="14"/>
  <c r="R2" i="14"/>
  <c r="P2" i="14"/>
  <c r="O2" i="14"/>
  <c r="N2" i="14"/>
  <c r="L2" i="14"/>
  <c r="K2" i="14"/>
  <c r="J2" i="14"/>
  <c r="I2" i="14"/>
  <c r="H2" i="14"/>
  <c r="G2" i="14"/>
  <c r="F2" i="14"/>
  <c r="E2" i="14"/>
  <c r="D2" i="14"/>
  <c r="C2" i="14"/>
  <c r="C18" i="13"/>
  <c r="C15" i="13"/>
  <c r="B15" i="13"/>
  <c r="F14" i="13"/>
  <c r="D14" i="13"/>
  <c r="F13" i="13"/>
  <c r="D13" i="13"/>
  <c r="F12" i="13"/>
  <c r="D12" i="13"/>
  <c r="F11" i="13"/>
  <c r="D11" i="13"/>
  <c r="F10" i="13"/>
  <c r="D10" i="13"/>
  <c r="F9" i="13"/>
  <c r="D9" i="13"/>
  <c r="F8" i="13"/>
  <c r="D8" i="13"/>
  <c r="F7" i="13"/>
  <c r="D7" i="13"/>
  <c r="F6" i="13"/>
  <c r="D6" i="13"/>
  <c r="F5" i="13"/>
  <c r="D5" i="13"/>
  <c r="F4" i="13"/>
  <c r="D4" i="13"/>
  <c r="F3" i="13"/>
  <c r="D3" i="13"/>
  <c r="F2" i="13"/>
  <c r="D2" i="13"/>
  <c r="BL522" i="12"/>
  <c r="E522" i="12"/>
  <c r="BL521" i="12"/>
  <c r="E521" i="12"/>
  <c r="BL520" i="12"/>
  <c r="E520" i="12"/>
  <c r="BL519" i="12"/>
  <c r="E519" i="12"/>
  <c r="BL518" i="12"/>
  <c r="E518" i="12"/>
  <c r="BL517" i="12"/>
  <c r="E517" i="12"/>
  <c r="BL516" i="12"/>
  <c r="E516" i="12"/>
  <c r="BL515" i="12"/>
  <c r="E515" i="12"/>
  <c r="BL514" i="12"/>
  <c r="E514" i="12"/>
  <c r="BL513" i="12"/>
  <c r="E513" i="12"/>
  <c r="BL512" i="12"/>
  <c r="E512" i="12"/>
  <c r="BL511" i="12"/>
  <c r="E511" i="12"/>
  <c r="BL510" i="12"/>
  <c r="E510" i="12"/>
  <c r="BL509" i="12"/>
  <c r="E509" i="12"/>
  <c r="BL508" i="12"/>
  <c r="E508" i="12"/>
  <c r="BL507" i="12"/>
  <c r="E507" i="12"/>
  <c r="BL506" i="12"/>
  <c r="E506" i="12"/>
  <c r="BL505" i="12"/>
  <c r="E505" i="12"/>
  <c r="BQ504" i="12"/>
  <c r="BP504" i="12"/>
  <c r="BL504" i="12"/>
  <c r="O503" i="15" s="1"/>
  <c r="E504" i="12"/>
  <c r="BQ503" i="12"/>
  <c r="BP503" i="12"/>
  <c r="BL503" i="12"/>
  <c r="O502" i="15" s="1"/>
  <c r="E503" i="12"/>
  <c r="BQ502" i="12"/>
  <c r="BP502" i="12"/>
  <c r="BL502" i="12"/>
  <c r="O501" i="15" s="1"/>
  <c r="E502" i="12"/>
  <c r="BQ501" i="12"/>
  <c r="BP501" i="12"/>
  <c r="BL501" i="12"/>
  <c r="O500" i="15" s="1"/>
  <c r="E501" i="12"/>
  <c r="BQ500" i="12"/>
  <c r="BP500" i="12"/>
  <c r="BL500" i="12"/>
  <c r="O499" i="15" s="1"/>
  <c r="E500" i="12"/>
  <c r="BQ499" i="12"/>
  <c r="BP499" i="12"/>
  <c r="BL499" i="12"/>
  <c r="O498" i="15" s="1"/>
  <c r="E499" i="12"/>
  <c r="BQ498" i="12"/>
  <c r="BP498" i="12"/>
  <c r="BL498" i="12"/>
  <c r="O497" i="15" s="1"/>
  <c r="E498" i="12"/>
  <c r="BQ497" i="12"/>
  <c r="BP497" i="12"/>
  <c r="BL497" i="12"/>
  <c r="O496" i="15" s="1"/>
  <c r="E497" i="12"/>
  <c r="BQ496" i="12"/>
  <c r="BP496" i="12"/>
  <c r="BL496" i="12"/>
  <c r="O495" i="15" s="1"/>
  <c r="E496" i="12"/>
  <c r="BQ495" i="12"/>
  <c r="BP495" i="12"/>
  <c r="BL495" i="12"/>
  <c r="O494" i="15" s="1"/>
  <c r="E495" i="12"/>
  <c r="BQ494" i="12"/>
  <c r="BP494" i="12"/>
  <c r="BL494" i="12"/>
  <c r="O493" i="15" s="1"/>
  <c r="E494" i="12"/>
  <c r="BQ493" i="12"/>
  <c r="BP493" i="12"/>
  <c r="BL493" i="12"/>
  <c r="O492" i="15" s="1"/>
  <c r="E493" i="12"/>
  <c r="BQ492" i="12"/>
  <c r="BP492" i="12"/>
  <c r="BL492" i="12"/>
  <c r="O491" i="15" s="1"/>
  <c r="E492" i="12"/>
  <c r="BQ491" i="12"/>
  <c r="BP491" i="12"/>
  <c r="BL491" i="12"/>
  <c r="O490" i="15" s="1"/>
  <c r="E491" i="12"/>
  <c r="BQ490" i="12"/>
  <c r="BP490" i="12"/>
  <c r="BL490" i="12"/>
  <c r="O489" i="15" s="1"/>
  <c r="E490" i="12"/>
  <c r="BQ489" i="12"/>
  <c r="BP489" i="12"/>
  <c r="BL489" i="12"/>
  <c r="O488" i="15" s="1"/>
  <c r="E489" i="12"/>
  <c r="BQ488" i="12"/>
  <c r="BP488" i="12"/>
  <c r="BL488" i="12"/>
  <c r="O487" i="15" s="1"/>
  <c r="E488" i="12"/>
  <c r="BQ487" i="12"/>
  <c r="BP487" i="12"/>
  <c r="BL487" i="12"/>
  <c r="O486" i="15" s="1"/>
  <c r="E487" i="12"/>
  <c r="BQ486" i="12"/>
  <c r="BP486" i="12"/>
  <c r="BL486" i="12"/>
  <c r="O485" i="15" s="1"/>
  <c r="E486" i="12"/>
  <c r="BQ485" i="12"/>
  <c r="BP485" i="12"/>
  <c r="BL485" i="12"/>
  <c r="O484" i="15" s="1"/>
  <c r="E485" i="12"/>
  <c r="BQ484" i="12"/>
  <c r="BP484" i="12"/>
  <c r="BL484" i="12"/>
  <c r="O483" i="15" s="1"/>
  <c r="E484" i="12"/>
  <c r="BQ483" i="12"/>
  <c r="BP483" i="12"/>
  <c r="BL483" i="12"/>
  <c r="O482" i="15" s="1"/>
  <c r="E483" i="12"/>
  <c r="BQ482" i="12"/>
  <c r="BP482" i="12"/>
  <c r="BL482" i="12"/>
  <c r="O481" i="15" s="1"/>
  <c r="E482" i="12"/>
  <c r="BQ481" i="12"/>
  <c r="BP481" i="12"/>
  <c r="BL481" i="12"/>
  <c r="O480" i="15" s="1"/>
  <c r="E481" i="12"/>
  <c r="BQ480" i="12"/>
  <c r="BP480" i="12"/>
  <c r="BL480" i="12"/>
  <c r="O479" i="15" s="1"/>
  <c r="E480" i="12"/>
  <c r="BQ479" i="12"/>
  <c r="BP479" i="12"/>
  <c r="BL479" i="12"/>
  <c r="O478" i="15" s="1"/>
  <c r="E479" i="12"/>
  <c r="BQ478" i="12"/>
  <c r="BP478" i="12"/>
  <c r="BL478" i="12"/>
  <c r="O477" i="15" s="1"/>
  <c r="E478" i="12"/>
  <c r="BQ477" i="12"/>
  <c r="BP477" i="12"/>
  <c r="BL477" i="12"/>
  <c r="O476" i="15" s="1"/>
  <c r="E477" i="12"/>
  <c r="BQ476" i="12"/>
  <c r="BP476" i="12"/>
  <c r="BL476" i="12"/>
  <c r="O475" i="15" s="1"/>
  <c r="E476" i="12"/>
  <c r="BQ475" i="12"/>
  <c r="BP475" i="12"/>
  <c r="BL475" i="12"/>
  <c r="O474" i="15" s="1"/>
  <c r="E475" i="12"/>
  <c r="BQ474" i="12"/>
  <c r="BP474" i="12"/>
  <c r="BL474" i="12"/>
  <c r="O473" i="15" s="1"/>
  <c r="E474" i="12"/>
  <c r="BQ473" i="12"/>
  <c r="BP473" i="12"/>
  <c r="BL473" i="12"/>
  <c r="O472" i="15" s="1"/>
  <c r="E473" i="12"/>
  <c r="BQ472" i="12"/>
  <c r="BP472" i="12"/>
  <c r="BL472" i="12"/>
  <c r="O471" i="15" s="1"/>
  <c r="E472" i="12"/>
  <c r="BQ471" i="12"/>
  <c r="BP471" i="12"/>
  <c r="BL471" i="12"/>
  <c r="O470" i="15" s="1"/>
  <c r="E471" i="12"/>
  <c r="BQ470" i="12"/>
  <c r="BP470" i="12"/>
  <c r="BL470" i="12"/>
  <c r="O469" i="15" s="1"/>
  <c r="E470" i="12"/>
  <c r="BQ469" i="12"/>
  <c r="BP469" i="12"/>
  <c r="BL469" i="12"/>
  <c r="O468" i="15" s="1"/>
  <c r="E469" i="12"/>
  <c r="BQ468" i="12"/>
  <c r="BP468" i="12"/>
  <c r="BL468" i="12"/>
  <c r="O467" i="15" s="1"/>
  <c r="E468" i="12"/>
  <c r="BQ467" i="12"/>
  <c r="BP467" i="12"/>
  <c r="BL467" i="12"/>
  <c r="O466" i="15" s="1"/>
  <c r="E467" i="12"/>
  <c r="BQ466" i="12"/>
  <c r="BP466" i="12"/>
  <c r="BL466" i="12"/>
  <c r="O465" i="15" s="1"/>
  <c r="E466" i="12"/>
  <c r="BQ465" i="12"/>
  <c r="BP465" i="12"/>
  <c r="BL465" i="12"/>
  <c r="O464" i="15" s="1"/>
  <c r="E465" i="12"/>
  <c r="BQ464" i="12"/>
  <c r="BP464" i="12"/>
  <c r="BL464" i="12"/>
  <c r="O463" i="15" s="1"/>
  <c r="E464" i="12"/>
  <c r="BQ463" i="12"/>
  <c r="BP463" i="12"/>
  <c r="BL463" i="12"/>
  <c r="O462" i="15" s="1"/>
  <c r="E463" i="12"/>
  <c r="BQ462" i="12"/>
  <c r="BP462" i="12"/>
  <c r="BL462" i="12"/>
  <c r="O461" i="15" s="1"/>
  <c r="E462" i="12"/>
  <c r="BQ461" i="12"/>
  <c r="BP461" i="12"/>
  <c r="BL461" i="12"/>
  <c r="O460" i="15" s="1"/>
  <c r="E461" i="12"/>
  <c r="BQ460" i="12"/>
  <c r="BP460" i="12"/>
  <c r="BL460" i="12"/>
  <c r="O459" i="15" s="1"/>
  <c r="E460" i="12"/>
  <c r="BQ459" i="12"/>
  <c r="BP459" i="12"/>
  <c r="BL459" i="12"/>
  <c r="O458" i="15" s="1"/>
  <c r="E459" i="12"/>
  <c r="BQ458" i="12"/>
  <c r="BP458" i="12"/>
  <c r="BL458" i="12"/>
  <c r="O457" i="15" s="1"/>
  <c r="E458" i="12"/>
  <c r="BQ457" i="12"/>
  <c r="BP457" i="12"/>
  <c r="BL457" i="12"/>
  <c r="O456" i="15" s="1"/>
  <c r="E457" i="12"/>
  <c r="BQ456" i="12"/>
  <c r="BP456" i="12"/>
  <c r="BL456" i="12"/>
  <c r="O455" i="15" s="1"/>
  <c r="E456" i="12"/>
  <c r="BQ455" i="12"/>
  <c r="BP455" i="12"/>
  <c r="BL455" i="12"/>
  <c r="O454" i="15" s="1"/>
  <c r="E455" i="12"/>
  <c r="BQ454" i="12"/>
  <c r="BP454" i="12"/>
  <c r="BL454" i="12"/>
  <c r="O453" i="15" s="1"/>
  <c r="E454" i="12"/>
  <c r="BQ453" i="12"/>
  <c r="BP453" i="12"/>
  <c r="BL453" i="12"/>
  <c r="O452" i="15" s="1"/>
  <c r="E453" i="12"/>
  <c r="BQ452" i="12"/>
  <c r="BP452" i="12"/>
  <c r="BL452" i="12"/>
  <c r="O451" i="15" s="1"/>
  <c r="E452" i="12"/>
  <c r="BQ451" i="12"/>
  <c r="BP451" i="12"/>
  <c r="BL451" i="12"/>
  <c r="O450" i="15" s="1"/>
  <c r="E451" i="12"/>
  <c r="BQ450" i="12"/>
  <c r="BP450" i="12"/>
  <c r="BL450" i="12"/>
  <c r="O449" i="15" s="1"/>
  <c r="E450" i="12"/>
  <c r="BQ449" i="12"/>
  <c r="BP449" i="12"/>
  <c r="BL449" i="12"/>
  <c r="O448" i="15" s="1"/>
  <c r="E449" i="12"/>
  <c r="BQ448" i="12"/>
  <c r="BP448" i="12"/>
  <c r="BL448" i="12"/>
  <c r="O447" i="15" s="1"/>
  <c r="E448" i="12"/>
  <c r="BQ447" i="12"/>
  <c r="BP447" i="12"/>
  <c r="BL447" i="12"/>
  <c r="O446" i="15" s="1"/>
  <c r="E447" i="12"/>
  <c r="BQ446" i="12"/>
  <c r="BP446" i="12"/>
  <c r="BL446" i="12"/>
  <c r="O445" i="15" s="1"/>
  <c r="E446" i="12"/>
  <c r="BQ445" i="12"/>
  <c r="BP445" i="12"/>
  <c r="BL445" i="12"/>
  <c r="O444" i="15" s="1"/>
  <c r="E445" i="12"/>
  <c r="BQ444" i="12"/>
  <c r="BP444" i="12"/>
  <c r="BL444" i="12"/>
  <c r="O443" i="15" s="1"/>
  <c r="E444" i="12"/>
  <c r="BQ443" i="12"/>
  <c r="BP443" i="12"/>
  <c r="BL443" i="12"/>
  <c r="O442" i="15" s="1"/>
  <c r="E443" i="12"/>
  <c r="BQ442" i="12"/>
  <c r="BP442" i="12"/>
  <c r="BL442" i="12"/>
  <c r="O441" i="15" s="1"/>
  <c r="E442" i="12"/>
  <c r="BQ441" i="12"/>
  <c r="BP441" i="12"/>
  <c r="BL441" i="12"/>
  <c r="O440" i="15" s="1"/>
  <c r="E441" i="12"/>
  <c r="BQ440" i="12"/>
  <c r="BP440" i="12"/>
  <c r="BL440" i="12"/>
  <c r="O439" i="15" s="1"/>
  <c r="E440" i="12"/>
  <c r="BQ439" i="12"/>
  <c r="BP439" i="12"/>
  <c r="BL439" i="12"/>
  <c r="O438" i="15" s="1"/>
  <c r="E439" i="12"/>
  <c r="BQ438" i="12"/>
  <c r="BP438" i="12"/>
  <c r="BL438" i="12"/>
  <c r="O437" i="15" s="1"/>
  <c r="E438" i="12"/>
  <c r="BQ437" i="12"/>
  <c r="BP437" i="12"/>
  <c r="BL437" i="12"/>
  <c r="O436" i="15" s="1"/>
  <c r="E437" i="12"/>
  <c r="BQ436" i="12"/>
  <c r="BP436" i="12"/>
  <c r="BL436" i="12"/>
  <c r="O435" i="15" s="1"/>
  <c r="E436" i="12"/>
  <c r="BQ435" i="12"/>
  <c r="BP435" i="12"/>
  <c r="BL435" i="12"/>
  <c r="O434" i="15" s="1"/>
  <c r="E435" i="12"/>
  <c r="BQ434" i="12"/>
  <c r="BP434" i="12"/>
  <c r="BL434" i="12"/>
  <c r="O433" i="15" s="1"/>
  <c r="E434" i="12"/>
  <c r="BQ433" i="12"/>
  <c r="BP433" i="12"/>
  <c r="BL433" i="12"/>
  <c r="O432" i="15" s="1"/>
  <c r="E433" i="12"/>
  <c r="BQ432" i="12"/>
  <c r="BP432" i="12"/>
  <c r="BL432" i="12"/>
  <c r="O431" i="15" s="1"/>
  <c r="E432" i="12"/>
  <c r="BQ431" i="12"/>
  <c r="BP431" i="12"/>
  <c r="BL431" i="12"/>
  <c r="O430" i="15" s="1"/>
  <c r="E431" i="12"/>
  <c r="BQ430" i="12"/>
  <c r="BP430" i="12"/>
  <c r="BL430" i="12"/>
  <c r="O429" i="15" s="1"/>
  <c r="E430" i="12"/>
  <c r="BQ429" i="12"/>
  <c r="BP429" i="12"/>
  <c r="BL429" i="12"/>
  <c r="O428" i="15" s="1"/>
  <c r="E429" i="12"/>
  <c r="BQ428" i="12"/>
  <c r="BP428" i="12"/>
  <c r="BL428" i="12"/>
  <c r="O427" i="15" s="1"/>
  <c r="E428" i="12"/>
  <c r="BQ427" i="12"/>
  <c r="BP427" i="12"/>
  <c r="BL427" i="12"/>
  <c r="O426" i="15" s="1"/>
  <c r="E427" i="12"/>
  <c r="BQ426" i="12"/>
  <c r="BP426" i="12"/>
  <c r="BL426" i="12"/>
  <c r="O425" i="15" s="1"/>
  <c r="E426" i="12"/>
  <c r="BQ425" i="12"/>
  <c r="BP425" i="12"/>
  <c r="BL425" i="12"/>
  <c r="O424" i="15" s="1"/>
  <c r="E425" i="12"/>
  <c r="BQ424" i="12"/>
  <c r="BP424" i="12"/>
  <c r="BL424" i="12"/>
  <c r="O423" i="15" s="1"/>
  <c r="E424" i="12"/>
  <c r="BQ423" i="12"/>
  <c r="BP423" i="12"/>
  <c r="BL423" i="12"/>
  <c r="O422" i="15" s="1"/>
  <c r="E423" i="12"/>
  <c r="BQ422" i="12"/>
  <c r="BP422" i="12"/>
  <c r="BL422" i="12"/>
  <c r="O421" i="15" s="1"/>
  <c r="E422" i="12"/>
  <c r="BQ421" i="12"/>
  <c r="BP421" i="12"/>
  <c r="BL421" i="12"/>
  <c r="O420" i="15" s="1"/>
  <c r="E421" i="12"/>
  <c r="BQ420" i="12"/>
  <c r="BP420" i="12"/>
  <c r="BL420" i="12"/>
  <c r="O419" i="15" s="1"/>
  <c r="E420" i="12"/>
  <c r="BQ419" i="12"/>
  <c r="BP419" i="12"/>
  <c r="BL419" i="12"/>
  <c r="O418" i="15" s="1"/>
  <c r="E419" i="12"/>
  <c r="BQ418" i="12"/>
  <c r="BP418" i="12"/>
  <c r="BL418" i="12"/>
  <c r="O417" i="15" s="1"/>
  <c r="E418" i="12"/>
  <c r="BQ417" i="12"/>
  <c r="BP417" i="12"/>
  <c r="BL417" i="12"/>
  <c r="O416" i="15" s="1"/>
  <c r="E417" i="12"/>
  <c r="BQ416" i="12"/>
  <c r="BP416" i="12"/>
  <c r="BL416" i="12"/>
  <c r="O415" i="15" s="1"/>
  <c r="E416" i="12"/>
  <c r="BQ415" i="12"/>
  <c r="BP415" i="12"/>
  <c r="BL415" i="12"/>
  <c r="O414" i="15" s="1"/>
  <c r="E415" i="12"/>
  <c r="BQ414" i="12"/>
  <c r="BP414" i="12"/>
  <c r="BL414" i="12"/>
  <c r="O413" i="15" s="1"/>
  <c r="E414" i="12"/>
  <c r="BQ413" i="12"/>
  <c r="BP413" i="12"/>
  <c r="BL413" i="12"/>
  <c r="O412" i="15" s="1"/>
  <c r="E413" i="12"/>
  <c r="BQ412" i="12"/>
  <c r="BP412" i="12"/>
  <c r="BL412" i="12"/>
  <c r="O411" i="15" s="1"/>
  <c r="E412" i="12"/>
  <c r="BQ411" i="12"/>
  <c r="BP411" i="12"/>
  <c r="BL411" i="12"/>
  <c r="O410" i="15" s="1"/>
  <c r="E411" i="12"/>
  <c r="BQ410" i="12"/>
  <c r="BP410" i="12"/>
  <c r="BL410" i="12"/>
  <c r="O409" i="15" s="1"/>
  <c r="E410" i="12"/>
  <c r="BQ409" i="12"/>
  <c r="BP409" i="12"/>
  <c r="BL409" i="12"/>
  <c r="O408" i="15" s="1"/>
  <c r="E409" i="12"/>
  <c r="BQ408" i="12"/>
  <c r="BP408" i="12"/>
  <c r="BL408" i="12"/>
  <c r="O407" i="15" s="1"/>
  <c r="E408" i="12"/>
  <c r="BQ407" i="12"/>
  <c r="BP407" i="12"/>
  <c r="BL407" i="12"/>
  <c r="O406" i="15" s="1"/>
  <c r="E407" i="12"/>
  <c r="BQ406" i="12"/>
  <c r="BP406" i="12"/>
  <c r="BL406" i="12"/>
  <c r="O405" i="15" s="1"/>
  <c r="E406" i="12"/>
  <c r="BQ405" i="12"/>
  <c r="BP405" i="12"/>
  <c r="BL405" i="12"/>
  <c r="O404" i="15" s="1"/>
  <c r="E405" i="12"/>
  <c r="BQ404" i="12"/>
  <c r="BP404" i="12"/>
  <c r="BL404" i="12"/>
  <c r="O403" i="15" s="1"/>
  <c r="E404" i="12"/>
  <c r="BQ403" i="12"/>
  <c r="BP403" i="12"/>
  <c r="BL403" i="12"/>
  <c r="O402" i="15" s="1"/>
  <c r="E403" i="12"/>
  <c r="BQ402" i="12"/>
  <c r="BP402" i="12"/>
  <c r="BL402" i="12"/>
  <c r="O401" i="15" s="1"/>
  <c r="E402" i="12"/>
  <c r="BQ401" i="12"/>
  <c r="BP401" i="12"/>
  <c r="BL401" i="12"/>
  <c r="O400" i="15" s="1"/>
  <c r="E401" i="12"/>
  <c r="BQ400" i="12"/>
  <c r="BP400" i="12"/>
  <c r="BL400" i="12"/>
  <c r="O399" i="15" s="1"/>
  <c r="E400" i="12"/>
  <c r="BQ399" i="12"/>
  <c r="BP399" i="12"/>
  <c r="BL399" i="12"/>
  <c r="O398" i="15" s="1"/>
  <c r="E399" i="12"/>
  <c r="BQ398" i="12"/>
  <c r="BP398" i="12"/>
  <c r="BL398" i="12"/>
  <c r="O397" i="15" s="1"/>
  <c r="E398" i="12"/>
  <c r="BQ397" i="12"/>
  <c r="BP397" i="12"/>
  <c r="BL397" i="12"/>
  <c r="O396" i="15" s="1"/>
  <c r="E397" i="12"/>
  <c r="BQ396" i="12"/>
  <c r="BP396" i="12"/>
  <c r="BL396" i="12"/>
  <c r="O395" i="15" s="1"/>
  <c r="E396" i="12"/>
  <c r="BQ395" i="12"/>
  <c r="BP395" i="12"/>
  <c r="BL395" i="12"/>
  <c r="O394" i="15" s="1"/>
  <c r="E395" i="12"/>
  <c r="BQ394" i="12"/>
  <c r="BP394" i="12"/>
  <c r="BL394" i="12"/>
  <c r="O393" i="15" s="1"/>
  <c r="E394" i="12"/>
  <c r="BQ393" i="12"/>
  <c r="BP393" i="12"/>
  <c r="BL393" i="12"/>
  <c r="O392" i="15" s="1"/>
  <c r="E393" i="12"/>
  <c r="BQ392" i="12"/>
  <c r="BP392" i="12"/>
  <c r="BL392" i="12"/>
  <c r="O391" i="15" s="1"/>
  <c r="E392" i="12"/>
  <c r="BQ391" i="12"/>
  <c r="BP391" i="12"/>
  <c r="BL391" i="12"/>
  <c r="O390" i="15" s="1"/>
  <c r="E391" i="12"/>
  <c r="BQ390" i="12"/>
  <c r="BP390" i="12"/>
  <c r="BL390" i="12"/>
  <c r="O389" i="15" s="1"/>
  <c r="E390" i="12"/>
  <c r="BQ389" i="12"/>
  <c r="BP389" i="12"/>
  <c r="BL389" i="12"/>
  <c r="O388" i="15" s="1"/>
  <c r="E389" i="12"/>
  <c r="BQ388" i="12"/>
  <c r="BP388" i="12"/>
  <c r="BL388" i="12"/>
  <c r="O387" i="15" s="1"/>
  <c r="E388" i="12"/>
  <c r="BQ387" i="12"/>
  <c r="BP387" i="12"/>
  <c r="BL387" i="12"/>
  <c r="O386" i="15" s="1"/>
  <c r="E387" i="12"/>
  <c r="BQ386" i="12"/>
  <c r="BP386" i="12"/>
  <c r="BL386" i="12"/>
  <c r="O385" i="15" s="1"/>
  <c r="E386" i="12"/>
  <c r="BQ385" i="12"/>
  <c r="BP385" i="12"/>
  <c r="BL385" i="12"/>
  <c r="O384" i="15" s="1"/>
  <c r="E385" i="12"/>
  <c r="BQ384" i="12"/>
  <c r="BP384" i="12"/>
  <c r="BL384" i="12"/>
  <c r="O383" i="15" s="1"/>
  <c r="E384" i="12"/>
  <c r="BQ383" i="12"/>
  <c r="BP383" i="12"/>
  <c r="BL383" i="12"/>
  <c r="O382" i="15" s="1"/>
  <c r="E383" i="12"/>
  <c r="BQ382" i="12"/>
  <c r="BP382" i="12"/>
  <c r="BL382" i="12"/>
  <c r="O381" i="15" s="1"/>
  <c r="E382" i="12"/>
  <c r="BQ381" i="12"/>
  <c r="BP381" i="12"/>
  <c r="BL381" i="12"/>
  <c r="O380" i="15" s="1"/>
  <c r="E381" i="12"/>
  <c r="BQ380" i="12"/>
  <c r="BP380" i="12"/>
  <c r="BL380" i="12"/>
  <c r="O379" i="15" s="1"/>
  <c r="E380" i="12"/>
  <c r="BQ379" i="12"/>
  <c r="BP379" i="12"/>
  <c r="BL379" i="12"/>
  <c r="O378" i="15" s="1"/>
  <c r="E379" i="12"/>
  <c r="BQ378" i="12"/>
  <c r="BP378" i="12"/>
  <c r="BL378" i="12"/>
  <c r="O377" i="15" s="1"/>
  <c r="E378" i="12"/>
  <c r="BQ377" i="12"/>
  <c r="BP377" i="12"/>
  <c r="BL377" i="12"/>
  <c r="O376" i="15" s="1"/>
  <c r="E377" i="12"/>
  <c r="BQ376" i="12"/>
  <c r="BP376" i="12"/>
  <c r="BL376" i="12"/>
  <c r="O375" i="15" s="1"/>
  <c r="E376" i="12"/>
  <c r="BQ375" i="12"/>
  <c r="BP375" i="12"/>
  <c r="BL375" i="12"/>
  <c r="O374" i="15" s="1"/>
  <c r="E375" i="12"/>
  <c r="BQ374" i="12"/>
  <c r="BP374" i="12"/>
  <c r="BL374" i="12"/>
  <c r="O373" i="15" s="1"/>
  <c r="E374" i="12"/>
  <c r="BQ373" i="12"/>
  <c r="BP373" i="12"/>
  <c r="BL373" i="12"/>
  <c r="O372" i="15" s="1"/>
  <c r="E373" i="12"/>
  <c r="BQ372" i="12"/>
  <c r="BP372" i="12"/>
  <c r="BL372" i="12"/>
  <c r="O371" i="15" s="1"/>
  <c r="E372" i="12"/>
  <c r="BQ371" i="12"/>
  <c r="BP371" i="12"/>
  <c r="BL371" i="12"/>
  <c r="O370" i="15" s="1"/>
  <c r="E371" i="12"/>
  <c r="BQ370" i="12"/>
  <c r="BP370" i="12"/>
  <c r="BL370" i="12"/>
  <c r="O369" i="15" s="1"/>
  <c r="E370" i="12"/>
  <c r="BQ369" i="12"/>
  <c r="BP369" i="12"/>
  <c r="BL369" i="12"/>
  <c r="O368" i="15" s="1"/>
  <c r="E369" i="12"/>
  <c r="BQ368" i="12"/>
  <c r="BP368" i="12"/>
  <c r="BL368" i="12"/>
  <c r="O367" i="15" s="1"/>
  <c r="E368" i="12"/>
  <c r="BQ367" i="12"/>
  <c r="BP367" i="12"/>
  <c r="BL367" i="12"/>
  <c r="O366" i="15" s="1"/>
  <c r="E367" i="12"/>
  <c r="BQ366" i="12"/>
  <c r="BP366" i="12"/>
  <c r="BL366" i="12"/>
  <c r="O365" i="15" s="1"/>
  <c r="E366" i="12"/>
  <c r="BQ365" i="12"/>
  <c r="BP365" i="12"/>
  <c r="BL365" i="12"/>
  <c r="O364" i="15" s="1"/>
  <c r="E365" i="12"/>
  <c r="BQ364" i="12"/>
  <c r="BP364" i="12"/>
  <c r="BL364" i="12"/>
  <c r="O363" i="15" s="1"/>
  <c r="E364" i="12"/>
  <c r="BQ363" i="12"/>
  <c r="BP363" i="12"/>
  <c r="BL363" i="12"/>
  <c r="O362" i="15" s="1"/>
  <c r="E363" i="12"/>
  <c r="BQ362" i="12"/>
  <c r="BP362" i="12"/>
  <c r="BL362" i="12"/>
  <c r="O361" i="15" s="1"/>
  <c r="E362" i="12"/>
  <c r="BQ361" i="12"/>
  <c r="BP361" i="12"/>
  <c r="BL361" i="12"/>
  <c r="O360" i="15" s="1"/>
  <c r="E361" i="12"/>
  <c r="BQ360" i="12"/>
  <c r="BP360" i="12"/>
  <c r="BL360" i="12"/>
  <c r="O359" i="15" s="1"/>
  <c r="E360" i="12"/>
  <c r="BQ359" i="12"/>
  <c r="BP359" i="12"/>
  <c r="BL359" i="12"/>
  <c r="O358" i="15" s="1"/>
  <c r="E359" i="12"/>
  <c r="BQ358" i="12"/>
  <c r="BP358" i="12"/>
  <c r="BL358" i="12"/>
  <c r="O357" i="15" s="1"/>
  <c r="E358" i="12"/>
  <c r="BQ357" i="12"/>
  <c r="BP357" i="12"/>
  <c r="BL357" i="12"/>
  <c r="O356" i="15" s="1"/>
  <c r="E357" i="12"/>
  <c r="BQ356" i="12"/>
  <c r="BP356" i="12"/>
  <c r="BL356" i="12"/>
  <c r="O355" i="15" s="1"/>
  <c r="E356" i="12"/>
  <c r="BQ355" i="12"/>
  <c r="BP355" i="12"/>
  <c r="BL355" i="12"/>
  <c r="O354" i="15" s="1"/>
  <c r="E355" i="12"/>
  <c r="BQ354" i="12"/>
  <c r="BP354" i="12"/>
  <c r="BL354" i="12"/>
  <c r="O353" i="15" s="1"/>
  <c r="E354" i="12"/>
  <c r="BQ353" i="12"/>
  <c r="BP353" i="12"/>
  <c r="BL353" i="12"/>
  <c r="O352" i="15" s="1"/>
  <c r="E353" i="12"/>
  <c r="BQ352" i="12"/>
  <c r="BP352" i="12"/>
  <c r="BL352" i="12"/>
  <c r="O351" i="15" s="1"/>
  <c r="E352" i="12"/>
  <c r="BQ351" i="12"/>
  <c r="BP351" i="12"/>
  <c r="BL351" i="12"/>
  <c r="O350" i="15" s="1"/>
  <c r="E351" i="12"/>
  <c r="BQ350" i="12"/>
  <c r="BP350" i="12"/>
  <c r="BL350" i="12"/>
  <c r="O349" i="15" s="1"/>
  <c r="E350" i="12"/>
  <c r="BQ349" i="12"/>
  <c r="BP349" i="12"/>
  <c r="BL349" i="12"/>
  <c r="O348" i="15" s="1"/>
  <c r="E349" i="12"/>
  <c r="BQ348" i="12"/>
  <c r="BP348" i="12"/>
  <c r="BL348" i="12"/>
  <c r="O347" i="15" s="1"/>
  <c r="E348" i="12"/>
  <c r="BQ347" i="12"/>
  <c r="BP347" i="12"/>
  <c r="BL347" i="12"/>
  <c r="O346" i="15" s="1"/>
  <c r="E347" i="12"/>
  <c r="BQ346" i="12"/>
  <c r="BP346" i="12"/>
  <c r="BL346" i="12"/>
  <c r="O345" i="15" s="1"/>
  <c r="E346" i="12"/>
  <c r="BQ345" i="12"/>
  <c r="BP345" i="12"/>
  <c r="BL345" i="12"/>
  <c r="O344" i="15" s="1"/>
  <c r="E345" i="12"/>
  <c r="BQ344" i="12"/>
  <c r="BP344" i="12"/>
  <c r="BL344" i="12"/>
  <c r="O343" i="15" s="1"/>
  <c r="E344" i="12"/>
  <c r="BQ343" i="12"/>
  <c r="BP343" i="12"/>
  <c r="BL343" i="12"/>
  <c r="O342" i="15" s="1"/>
  <c r="E343" i="12"/>
  <c r="BQ342" i="12"/>
  <c r="BP342" i="12"/>
  <c r="BL342" i="12"/>
  <c r="O341" i="15" s="1"/>
  <c r="E342" i="12"/>
  <c r="BQ341" i="12"/>
  <c r="BP341" i="12"/>
  <c r="BL341" i="12"/>
  <c r="O340" i="15" s="1"/>
  <c r="E341" i="12"/>
  <c r="BQ340" i="12"/>
  <c r="BP340" i="12"/>
  <c r="BL340" i="12"/>
  <c r="O339" i="15" s="1"/>
  <c r="E340" i="12"/>
  <c r="BQ339" i="12"/>
  <c r="BP339" i="12"/>
  <c r="BL339" i="12"/>
  <c r="O338" i="15" s="1"/>
  <c r="E339" i="12"/>
  <c r="BQ338" i="12"/>
  <c r="BP338" i="12"/>
  <c r="BL338" i="12"/>
  <c r="O337" i="15" s="1"/>
  <c r="E338" i="12"/>
  <c r="BQ337" i="12"/>
  <c r="BP337" i="12"/>
  <c r="BL337" i="12"/>
  <c r="O336" i="15" s="1"/>
  <c r="E337" i="12"/>
  <c r="BQ336" i="12"/>
  <c r="BP336" i="12"/>
  <c r="BL336" i="12"/>
  <c r="O335" i="15" s="1"/>
  <c r="E336" i="12"/>
  <c r="BQ335" i="12"/>
  <c r="BP335" i="12"/>
  <c r="BL335" i="12"/>
  <c r="O334" i="15" s="1"/>
  <c r="E335" i="12"/>
  <c r="BQ334" i="12"/>
  <c r="BP334" i="12"/>
  <c r="BL334" i="12"/>
  <c r="O333" i="15" s="1"/>
  <c r="E334" i="12"/>
  <c r="BQ333" i="12"/>
  <c r="BP333" i="12"/>
  <c r="BL333" i="12"/>
  <c r="O332" i="15" s="1"/>
  <c r="E333" i="12"/>
  <c r="BQ332" i="12"/>
  <c r="BP332" i="12"/>
  <c r="BL332" i="12"/>
  <c r="O331" i="15" s="1"/>
  <c r="E332" i="12"/>
  <c r="BQ331" i="12"/>
  <c r="BP331" i="12"/>
  <c r="BL331" i="12"/>
  <c r="O330" i="15" s="1"/>
  <c r="E331" i="12"/>
  <c r="BQ330" i="12"/>
  <c r="BP330" i="12"/>
  <c r="BL330" i="12"/>
  <c r="O329" i="15" s="1"/>
  <c r="E330" i="12"/>
  <c r="BQ329" i="12"/>
  <c r="BP329" i="12"/>
  <c r="BL329" i="12"/>
  <c r="O328" i="15" s="1"/>
  <c r="E329" i="12"/>
  <c r="BQ328" i="12"/>
  <c r="BP328" i="12"/>
  <c r="BL328" i="12"/>
  <c r="O327" i="15" s="1"/>
  <c r="E328" i="12"/>
  <c r="BQ327" i="12"/>
  <c r="BP327" i="12"/>
  <c r="BL327" i="12"/>
  <c r="O326" i="15" s="1"/>
  <c r="E327" i="12"/>
  <c r="BQ326" i="12"/>
  <c r="BP326" i="12"/>
  <c r="BL326" i="12"/>
  <c r="O325" i="15" s="1"/>
  <c r="E326" i="12"/>
  <c r="BQ325" i="12"/>
  <c r="BP325" i="12"/>
  <c r="BL325" i="12"/>
  <c r="O324" i="15" s="1"/>
  <c r="E325" i="12"/>
  <c r="BQ324" i="12"/>
  <c r="BP324" i="12"/>
  <c r="BL324" i="12"/>
  <c r="O323" i="15" s="1"/>
  <c r="E324" i="12"/>
  <c r="BQ323" i="12"/>
  <c r="BP323" i="12"/>
  <c r="BL323" i="12"/>
  <c r="O322" i="15" s="1"/>
  <c r="E323" i="12"/>
  <c r="BQ322" i="12"/>
  <c r="BP322" i="12"/>
  <c r="BL322" i="12"/>
  <c r="O321" i="15" s="1"/>
  <c r="E322" i="12"/>
  <c r="BQ321" i="12"/>
  <c r="BP321" i="12"/>
  <c r="BL321" i="12"/>
  <c r="O320" i="15" s="1"/>
  <c r="E321" i="12"/>
  <c r="BQ320" i="12"/>
  <c r="BP320" i="12"/>
  <c r="BL320" i="12"/>
  <c r="O319" i="15" s="1"/>
  <c r="E320" i="12"/>
  <c r="BQ319" i="12"/>
  <c r="BP319" i="12"/>
  <c r="BL319" i="12"/>
  <c r="O318" i="15" s="1"/>
  <c r="E319" i="12"/>
  <c r="BQ318" i="12"/>
  <c r="BP318" i="12"/>
  <c r="BL318" i="12"/>
  <c r="O317" i="15" s="1"/>
  <c r="E318" i="12"/>
  <c r="BQ317" i="12"/>
  <c r="BP317" i="12"/>
  <c r="BL317" i="12"/>
  <c r="O316" i="15" s="1"/>
  <c r="E317" i="12"/>
  <c r="BQ316" i="12"/>
  <c r="BP316" i="12"/>
  <c r="BL316" i="12"/>
  <c r="O315" i="15" s="1"/>
  <c r="E316" i="12"/>
  <c r="BQ315" i="12"/>
  <c r="BP315" i="12"/>
  <c r="BL315" i="12"/>
  <c r="O314" i="15" s="1"/>
  <c r="E315" i="12"/>
  <c r="BQ314" i="12"/>
  <c r="BP314" i="12"/>
  <c r="BL314" i="12"/>
  <c r="O313" i="15" s="1"/>
  <c r="E314" i="12"/>
  <c r="BQ313" i="12"/>
  <c r="BP313" i="12"/>
  <c r="BL313" i="12"/>
  <c r="O312" i="15" s="1"/>
  <c r="E313" i="12"/>
  <c r="BQ312" i="12"/>
  <c r="BP312" i="12"/>
  <c r="BL312" i="12"/>
  <c r="O311" i="15" s="1"/>
  <c r="E312" i="12"/>
  <c r="BQ311" i="12"/>
  <c r="BP311" i="12"/>
  <c r="BL311" i="12"/>
  <c r="O310" i="15" s="1"/>
  <c r="E311" i="12"/>
  <c r="BQ310" i="12"/>
  <c r="BP310" i="12"/>
  <c r="BL310" i="12"/>
  <c r="O309" i="15" s="1"/>
  <c r="E310" i="12"/>
  <c r="BQ309" i="12"/>
  <c r="BP309" i="12"/>
  <c r="BL309" i="12"/>
  <c r="O308" i="15" s="1"/>
  <c r="E309" i="12"/>
  <c r="BQ308" i="12"/>
  <c r="BP308" i="12"/>
  <c r="BL308" i="12"/>
  <c r="O307" i="15" s="1"/>
  <c r="E308" i="12"/>
  <c r="BQ307" i="12"/>
  <c r="BP307" i="12"/>
  <c r="BL307" i="12"/>
  <c r="O306" i="15" s="1"/>
  <c r="E307" i="12"/>
  <c r="BQ306" i="12"/>
  <c r="BP306" i="12"/>
  <c r="BL306" i="12"/>
  <c r="O305" i="15" s="1"/>
  <c r="E306" i="12"/>
  <c r="BQ305" i="12"/>
  <c r="BP305" i="12"/>
  <c r="BL305" i="12"/>
  <c r="O304" i="15" s="1"/>
  <c r="E305" i="12"/>
  <c r="BQ304" i="12"/>
  <c r="BP304" i="12"/>
  <c r="BL304" i="12"/>
  <c r="O303" i="15" s="1"/>
  <c r="E304" i="12"/>
  <c r="BQ303" i="12"/>
  <c r="BP303" i="12"/>
  <c r="BL303" i="12"/>
  <c r="O302" i="15" s="1"/>
  <c r="E303" i="12"/>
  <c r="BQ302" i="12"/>
  <c r="BP302" i="12"/>
  <c r="BL302" i="12"/>
  <c r="O301" i="15" s="1"/>
  <c r="E302" i="12"/>
  <c r="BQ301" i="12"/>
  <c r="BP301" i="12"/>
  <c r="BL301" i="12"/>
  <c r="O300" i="15" s="1"/>
  <c r="E301" i="12"/>
  <c r="BQ300" i="12"/>
  <c r="BP300" i="12"/>
  <c r="BL300" i="12"/>
  <c r="O299" i="15" s="1"/>
  <c r="E300" i="12"/>
  <c r="BQ299" i="12"/>
  <c r="BP299" i="12"/>
  <c r="BL299" i="12"/>
  <c r="O298" i="15" s="1"/>
  <c r="E299" i="12"/>
  <c r="BQ298" i="12"/>
  <c r="BP298" i="12"/>
  <c r="BL298" i="12"/>
  <c r="O297" i="15" s="1"/>
  <c r="E298" i="12"/>
  <c r="BQ297" i="12"/>
  <c r="BP297" i="12"/>
  <c r="BL297" i="12"/>
  <c r="O296" i="15" s="1"/>
  <c r="E297" i="12"/>
  <c r="BQ296" i="12"/>
  <c r="BP296" i="12"/>
  <c r="BL296" i="12"/>
  <c r="O295" i="15" s="1"/>
  <c r="E296" i="12"/>
  <c r="BQ295" i="12"/>
  <c r="BP295" i="12"/>
  <c r="BL295" i="12"/>
  <c r="O294" i="15" s="1"/>
  <c r="E295" i="12"/>
  <c r="BQ294" i="12"/>
  <c r="BP294" i="12"/>
  <c r="BL294" i="12"/>
  <c r="O293" i="15" s="1"/>
  <c r="E294" i="12"/>
  <c r="BQ293" i="12"/>
  <c r="BP293" i="12"/>
  <c r="BL293" i="12"/>
  <c r="O292" i="15" s="1"/>
  <c r="E293" i="12"/>
  <c r="BQ292" i="12"/>
  <c r="BP292" i="12"/>
  <c r="BL292" i="12"/>
  <c r="O291" i="15" s="1"/>
  <c r="E292" i="12"/>
  <c r="BQ291" i="12"/>
  <c r="BP291" i="12"/>
  <c r="BL291" i="12"/>
  <c r="O290" i="15" s="1"/>
  <c r="E291" i="12"/>
  <c r="BQ290" i="12"/>
  <c r="BP290" i="12"/>
  <c r="BL290" i="12"/>
  <c r="O289" i="15" s="1"/>
  <c r="E290" i="12"/>
  <c r="BQ289" i="12"/>
  <c r="BP289" i="12"/>
  <c r="BL289" i="12"/>
  <c r="O288" i="15" s="1"/>
  <c r="E289" i="12"/>
  <c r="BQ288" i="12"/>
  <c r="BP288" i="12"/>
  <c r="BL288" i="12"/>
  <c r="O287" i="15" s="1"/>
  <c r="E288" i="12"/>
  <c r="BQ287" i="12"/>
  <c r="BP287" i="12"/>
  <c r="BL287" i="12"/>
  <c r="O286" i="15" s="1"/>
  <c r="E287" i="12"/>
  <c r="BQ286" i="12"/>
  <c r="BP286" i="12"/>
  <c r="BL286" i="12"/>
  <c r="O285" i="15" s="1"/>
  <c r="E286" i="12"/>
  <c r="BQ285" i="12"/>
  <c r="BP285" i="12"/>
  <c r="BL285" i="12"/>
  <c r="O284" i="15" s="1"/>
  <c r="E285" i="12"/>
  <c r="BQ284" i="12"/>
  <c r="BP284" i="12"/>
  <c r="BL284" i="12"/>
  <c r="O283" i="15" s="1"/>
  <c r="E284" i="12"/>
  <c r="BQ283" i="12"/>
  <c r="BP283" i="12"/>
  <c r="BL283" i="12"/>
  <c r="O282" i="15" s="1"/>
  <c r="E283" i="12"/>
  <c r="BQ282" i="12"/>
  <c r="BP282" i="12"/>
  <c r="BL282" i="12"/>
  <c r="O281" i="15" s="1"/>
  <c r="E282" i="12"/>
  <c r="BQ281" i="12"/>
  <c r="BP281" i="12"/>
  <c r="BL281" i="12"/>
  <c r="O280" i="15" s="1"/>
  <c r="E281" i="12"/>
  <c r="BQ280" i="12"/>
  <c r="BP280" i="12"/>
  <c r="BL280" i="12"/>
  <c r="O279" i="15" s="1"/>
  <c r="E280" i="12"/>
  <c r="BQ279" i="12"/>
  <c r="BP279" i="12"/>
  <c r="BL279" i="12"/>
  <c r="O278" i="15" s="1"/>
  <c r="E279" i="12"/>
  <c r="BQ278" i="12"/>
  <c r="BP278" i="12"/>
  <c r="BL278" i="12"/>
  <c r="O277" i="15" s="1"/>
  <c r="E278" i="12"/>
  <c r="BQ277" i="12"/>
  <c r="BP277" i="12"/>
  <c r="BL277" i="12"/>
  <c r="O276" i="15" s="1"/>
  <c r="E277" i="12"/>
  <c r="BQ276" i="12"/>
  <c r="BP276" i="12"/>
  <c r="BL276" i="12"/>
  <c r="O275" i="15" s="1"/>
  <c r="E276" i="12"/>
  <c r="BQ275" i="12"/>
  <c r="BP275" i="12"/>
  <c r="BL275" i="12"/>
  <c r="O274" i="15" s="1"/>
  <c r="E275" i="12"/>
  <c r="BQ274" i="12"/>
  <c r="BP274" i="12"/>
  <c r="BL274" i="12"/>
  <c r="O273" i="15" s="1"/>
  <c r="E274" i="12"/>
  <c r="BQ273" i="12"/>
  <c r="BP273" i="12"/>
  <c r="BL273" i="12"/>
  <c r="O272" i="15" s="1"/>
  <c r="E273" i="12"/>
  <c r="BQ272" i="12"/>
  <c r="BP272" i="12"/>
  <c r="BL272" i="12"/>
  <c r="O271" i="15" s="1"/>
  <c r="E272" i="12"/>
  <c r="BQ271" i="12"/>
  <c r="BP271" i="12"/>
  <c r="BL271" i="12"/>
  <c r="O270" i="15" s="1"/>
  <c r="E271" i="12"/>
  <c r="BQ270" i="12"/>
  <c r="BP270" i="12"/>
  <c r="BL270" i="12"/>
  <c r="O269" i="15" s="1"/>
  <c r="E270" i="12"/>
  <c r="BQ269" i="12"/>
  <c r="BP269" i="12"/>
  <c r="BL269" i="12"/>
  <c r="O268" i="15" s="1"/>
  <c r="E269" i="12"/>
  <c r="BQ268" i="12"/>
  <c r="BP268" i="12"/>
  <c r="BL268" i="12"/>
  <c r="O267" i="15" s="1"/>
  <c r="E268" i="12"/>
  <c r="BQ267" i="12"/>
  <c r="BP267" i="12"/>
  <c r="BL267" i="12"/>
  <c r="O266" i="15" s="1"/>
  <c r="E267" i="12"/>
  <c r="BQ266" i="12"/>
  <c r="BP266" i="12"/>
  <c r="BL266" i="12"/>
  <c r="O265" i="15" s="1"/>
  <c r="E266" i="12"/>
  <c r="BQ265" i="12"/>
  <c r="BP265" i="12"/>
  <c r="BL265" i="12"/>
  <c r="O264" i="15" s="1"/>
  <c r="E265" i="12"/>
  <c r="BQ264" i="12"/>
  <c r="BP264" i="12"/>
  <c r="BL264" i="12"/>
  <c r="O263" i="15" s="1"/>
  <c r="E264" i="12"/>
  <c r="BQ263" i="12"/>
  <c r="BP263" i="12"/>
  <c r="BL263" i="12"/>
  <c r="O262" i="15" s="1"/>
  <c r="E263" i="12"/>
  <c r="BQ262" i="12"/>
  <c r="BP262" i="12"/>
  <c r="BL262" i="12"/>
  <c r="O261" i="15" s="1"/>
  <c r="E262" i="12"/>
  <c r="BQ261" i="12"/>
  <c r="BP261" i="12"/>
  <c r="BL261" i="12"/>
  <c r="O260" i="15" s="1"/>
  <c r="E261" i="12"/>
  <c r="BQ260" i="12"/>
  <c r="BP260" i="12"/>
  <c r="BL260" i="12"/>
  <c r="O259" i="15" s="1"/>
  <c r="E260" i="12"/>
  <c r="BQ259" i="12"/>
  <c r="BP259" i="12"/>
  <c r="BL259" i="12"/>
  <c r="O258" i="15" s="1"/>
  <c r="E259" i="12"/>
  <c r="BQ258" i="12"/>
  <c r="BP258" i="12"/>
  <c r="BL258" i="12"/>
  <c r="O257" i="15" s="1"/>
  <c r="E258" i="12"/>
  <c r="BQ257" i="12"/>
  <c r="BP257" i="12"/>
  <c r="BL257" i="12"/>
  <c r="O256" i="15" s="1"/>
  <c r="E257" i="12"/>
  <c r="BQ256" i="12"/>
  <c r="BP256" i="12"/>
  <c r="BL256" i="12"/>
  <c r="O255" i="15" s="1"/>
  <c r="E256" i="12"/>
  <c r="BQ255" i="12"/>
  <c r="BP255" i="12"/>
  <c r="BL255" i="12"/>
  <c r="O254" i="15" s="1"/>
  <c r="E255" i="12"/>
  <c r="BQ254" i="12"/>
  <c r="BP254" i="12"/>
  <c r="BL254" i="12"/>
  <c r="O253" i="15" s="1"/>
  <c r="E254" i="12"/>
  <c r="BQ253" i="12"/>
  <c r="BP253" i="12"/>
  <c r="BL253" i="12"/>
  <c r="O252" i="15" s="1"/>
  <c r="E253" i="12"/>
  <c r="BQ252" i="12"/>
  <c r="BP252" i="12"/>
  <c r="BL252" i="12"/>
  <c r="O251" i="15" s="1"/>
  <c r="E252" i="12"/>
  <c r="BQ251" i="12"/>
  <c r="BP251" i="12"/>
  <c r="BL251" i="12"/>
  <c r="O250" i="15" s="1"/>
  <c r="E251" i="12"/>
  <c r="BQ250" i="12"/>
  <c r="BP250" i="12"/>
  <c r="BL250" i="12"/>
  <c r="O249" i="15" s="1"/>
  <c r="E250" i="12"/>
  <c r="BQ249" i="12"/>
  <c r="BP249" i="12"/>
  <c r="BL249" i="12"/>
  <c r="O248" i="15" s="1"/>
  <c r="E249" i="12"/>
  <c r="BQ248" i="12"/>
  <c r="BP248" i="12"/>
  <c r="BL248" i="12"/>
  <c r="O247" i="15" s="1"/>
  <c r="E248" i="12"/>
  <c r="BQ247" i="12"/>
  <c r="BP247" i="12"/>
  <c r="BL247" i="12"/>
  <c r="O246" i="15" s="1"/>
  <c r="E247" i="12"/>
  <c r="BQ246" i="12"/>
  <c r="BP246" i="12"/>
  <c r="BL246" i="12"/>
  <c r="O245" i="15" s="1"/>
  <c r="E246" i="12"/>
  <c r="BQ245" i="12"/>
  <c r="BP245" i="12"/>
  <c r="BL245" i="12"/>
  <c r="O244" i="15" s="1"/>
  <c r="E245" i="12"/>
  <c r="BQ244" i="12"/>
  <c r="BP244" i="12"/>
  <c r="BL244" i="12"/>
  <c r="O243" i="15" s="1"/>
  <c r="E244" i="12"/>
  <c r="BQ243" i="12"/>
  <c r="BP243" i="12"/>
  <c r="BL243" i="12"/>
  <c r="O242" i="15" s="1"/>
  <c r="E243" i="12"/>
  <c r="BQ242" i="12"/>
  <c r="BP242" i="12"/>
  <c r="BL242" i="12"/>
  <c r="O241" i="15" s="1"/>
  <c r="E242" i="12"/>
  <c r="BQ241" i="12"/>
  <c r="BP241" i="12"/>
  <c r="BL241" i="12"/>
  <c r="O240" i="15" s="1"/>
  <c r="E241" i="12"/>
  <c r="BQ240" i="12"/>
  <c r="BP240" i="12"/>
  <c r="BL240" i="12"/>
  <c r="O239" i="15" s="1"/>
  <c r="E240" i="12"/>
  <c r="BQ239" i="12"/>
  <c r="BP239" i="12"/>
  <c r="BL239" i="12"/>
  <c r="O238" i="15" s="1"/>
  <c r="E239" i="12"/>
  <c r="BQ238" i="12"/>
  <c r="BP238" i="12"/>
  <c r="BL238" i="12"/>
  <c r="O237" i="15" s="1"/>
  <c r="E238" i="12"/>
  <c r="BQ237" i="12"/>
  <c r="BP237" i="12"/>
  <c r="BL237" i="12"/>
  <c r="O236" i="15" s="1"/>
  <c r="E237" i="12"/>
  <c r="BQ236" i="12"/>
  <c r="BP236" i="12"/>
  <c r="BL236" i="12"/>
  <c r="O235" i="15" s="1"/>
  <c r="E236" i="12"/>
  <c r="BQ235" i="12"/>
  <c r="BP235" i="12"/>
  <c r="BL235" i="12"/>
  <c r="O234" i="15" s="1"/>
  <c r="E235" i="12"/>
  <c r="BQ234" i="12"/>
  <c r="BP234" i="12"/>
  <c r="BL234" i="12"/>
  <c r="O233" i="15" s="1"/>
  <c r="E234" i="12"/>
  <c r="BQ233" i="12"/>
  <c r="BP233" i="12"/>
  <c r="BL233" i="12"/>
  <c r="O232" i="15" s="1"/>
  <c r="E233" i="12"/>
  <c r="BQ232" i="12"/>
  <c r="BP232" i="12"/>
  <c r="BL232" i="12"/>
  <c r="O231" i="15" s="1"/>
  <c r="E232" i="12"/>
  <c r="BQ231" i="12"/>
  <c r="BP231" i="12"/>
  <c r="BL231" i="12"/>
  <c r="O230" i="15" s="1"/>
  <c r="E231" i="12"/>
  <c r="BQ230" i="12"/>
  <c r="BP230" i="12"/>
  <c r="BL230" i="12"/>
  <c r="O229" i="15" s="1"/>
  <c r="E230" i="12"/>
  <c r="BQ229" i="12"/>
  <c r="BP229" i="12"/>
  <c r="BL229" i="12"/>
  <c r="O228" i="15" s="1"/>
  <c r="E229" i="12"/>
  <c r="BQ228" i="12"/>
  <c r="BP228" i="12"/>
  <c r="BL228" i="12"/>
  <c r="O227" i="15" s="1"/>
  <c r="E228" i="12"/>
  <c r="BQ227" i="12"/>
  <c r="BP227" i="12"/>
  <c r="BL227" i="12"/>
  <c r="O226" i="15" s="1"/>
  <c r="E227" i="12"/>
  <c r="BQ226" i="12"/>
  <c r="BP226" i="12"/>
  <c r="BL226" i="12"/>
  <c r="O225" i="15" s="1"/>
  <c r="E226" i="12"/>
  <c r="BQ225" i="12"/>
  <c r="BP225" i="12"/>
  <c r="BL225" i="12"/>
  <c r="O224" i="15" s="1"/>
  <c r="E225" i="12"/>
  <c r="BQ224" i="12"/>
  <c r="BP224" i="12"/>
  <c r="BL224" i="12"/>
  <c r="O223" i="15" s="1"/>
  <c r="E224" i="12"/>
  <c r="BQ223" i="12"/>
  <c r="BP223" i="12"/>
  <c r="BL223" i="12"/>
  <c r="O222" i="15" s="1"/>
  <c r="E223" i="12"/>
  <c r="BQ222" i="12"/>
  <c r="BP222" i="12"/>
  <c r="BL222" i="12"/>
  <c r="O221" i="15" s="1"/>
  <c r="E222" i="12"/>
  <c r="BQ221" i="12"/>
  <c r="BP221" i="12"/>
  <c r="BL221" i="12"/>
  <c r="O220" i="15" s="1"/>
  <c r="E221" i="12"/>
  <c r="BQ220" i="12"/>
  <c r="BP220" i="12"/>
  <c r="BL220" i="12"/>
  <c r="O219" i="15" s="1"/>
  <c r="E220" i="12"/>
  <c r="BQ219" i="12"/>
  <c r="BP219" i="12"/>
  <c r="BL219" i="12"/>
  <c r="O218" i="15" s="1"/>
  <c r="E219" i="12"/>
  <c r="BQ218" i="12"/>
  <c r="BP218" i="12"/>
  <c r="BL218" i="12"/>
  <c r="O217" i="15" s="1"/>
  <c r="E218" i="12"/>
  <c r="BQ217" i="12"/>
  <c r="BP217" i="12"/>
  <c r="BL217" i="12"/>
  <c r="O216" i="15" s="1"/>
  <c r="E217" i="12"/>
  <c r="BQ216" i="12"/>
  <c r="BP216" i="12"/>
  <c r="BL216" i="12"/>
  <c r="O215" i="15" s="1"/>
  <c r="E216" i="12"/>
  <c r="BQ215" i="12"/>
  <c r="BP215" i="12"/>
  <c r="BL215" i="12"/>
  <c r="O214" i="15" s="1"/>
  <c r="E215" i="12"/>
  <c r="BQ214" i="12"/>
  <c r="BP214" i="12"/>
  <c r="BL214" i="12"/>
  <c r="O213" i="15" s="1"/>
  <c r="E214" i="12"/>
  <c r="BQ213" i="12"/>
  <c r="BP213" i="12"/>
  <c r="BL213" i="12"/>
  <c r="O212" i="15" s="1"/>
  <c r="E213" i="12"/>
  <c r="BQ212" i="12"/>
  <c r="BP212" i="12"/>
  <c r="BL212" i="12"/>
  <c r="O211" i="15" s="1"/>
  <c r="E212" i="12"/>
  <c r="BQ211" i="12"/>
  <c r="BP211" i="12"/>
  <c r="BL211" i="12"/>
  <c r="O210" i="15" s="1"/>
  <c r="E211" i="12"/>
  <c r="BQ210" i="12"/>
  <c r="BP210" i="12"/>
  <c r="BL210" i="12"/>
  <c r="O209" i="15" s="1"/>
  <c r="E210" i="12"/>
  <c r="BQ209" i="12"/>
  <c r="BP209" i="12"/>
  <c r="BL209" i="12"/>
  <c r="O208" i="15" s="1"/>
  <c r="E209" i="12"/>
  <c r="BQ208" i="12"/>
  <c r="BP208" i="12"/>
  <c r="BL208" i="12"/>
  <c r="O207" i="15" s="1"/>
  <c r="E208" i="12"/>
  <c r="BQ207" i="12"/>
  <c r="BP207" i="12"/>
  <c r="BL207" i="12"/>
  <c r="O206" i="15" s="1"/>
  <c r="E207" i="12"/>
  <c r="BQ206" i="12"/>
  <c r="BP206" i="12"/>
  <c r="BL206" i="12"/>
  <c r="O205" i="15" s="1"/>
  <c r="E206" i="12"/>
  <c r="BQ205" i="12"/>
  <c r="BP205" i="12"/>
  <c r="BL205" i="12"/>
  <c r="O204" i="15" s="1"/>
  <c r="E205" i="12"/>
  <c r="BQ204" i="12"/>
  <c r="BP204" i="12"/>
  <c r="BL204" i="12"/>
  <c r="O203" i="15" s="1"/>
  <c r="E204" i="12"/>
  <c r="BQ203" i="12"/>
  <c r="BP203" i="12"/>
  <c r="BL203" i="12"/>
  <c r="O202" i="15" s="1"/>
  <c r="E203" i="12"/>
  <c r="BQ202" i="12"/>
  <c r="BP202" i="12"/>
  <c r="BL202" i="12"/>
  <c r="O201" i="15" s="1"/>
  <c r="E202" i="12"/>
  <c r="BQ201" i="12"/>
  <c r="BP201" i="12"/>
  <c r="BL201" i="12"/>
  <c r="O200" i="15" s="1"/>
  <c r="E201" i="12"/>
  <c r="BQ200" i="12"/>
  <c r="BP200" i="12"/>
  <c r="BL200" i="12"/>
  <c r="O199" i="15" s="1"/>
  <c r="E200" i="12"/>
  <c r="BQ199" i="12"/>
  <c r="BP199" i="12"/>
  <c r="BL199" i="12"/>
  <c r="O198" i="15" s="1"/>
  <c r="E199" i="12"/>
  <c r="BQ198" i="12"/>
  <c r="BP198" i="12"/>
  <c r="BL198" i="12"/>
  <c r="O197" i="15" s="1"/>
  <c r="E198" i="12"/>
  <c r="BQ197" i="12"/>
  <c r="BP197" i="12"/>
  <c r="BL197" i="12"/>
  <c r="O196" i="15" s="1"/>
  <c r="E197" i="12"/>
  <c r="BQ196" i="12"/>
  <c r="BP196" i="12"/>
  <c r="BL196" i="12"/>
  <c r="O195" i="15" s="1"/>
  <c r="E196" i="12"/>
  <c r="BQ195" i="12"/>
  <c r="BP195" i="12"/>
  <c r="BL195" i="12"/>
  <c r="O194" i="15" s="1"/>
  <c r="E195" i="12"/>
  <c r="BQ194" i="12"/>
  <c r="BP194" i="12"/>
  <c r="BL194" i="12"/>
  <c r="O193" i="15" s="1"/>
  <c r="E194" i="12"/>
  <c r="BQ193" i="12"/>
  <c r="BP193" i="12"/>
  <c r="BL193" i="12"/>
  <c r="O192" i="15" s="1"/>
  <c r="E193" i="12"/>
  <c r="BQ192" i="12"/>
  <c r="BP192" i="12"/>
  <c r="BL192" i="12"/>
  <c r="O191" i="15" s="1"/>
  <c r="E192" i="12"/>
  <c r="BQ191" i="12"/>
  <c r="BP191" i="12"/>
  <c r="BL191" i="12"/>
  <c r="O190" i="15" s="1"/>
  <c r="E191" i="12"/>
  <c r="BQ190" i="12"/>
  <c r="BP190" i="12"/>
  <c r="BL190" i="12"/>
  <c r="O189" i="15" s="1"/>
  <c r="E190" i="12"/>
  <c r="BQ189" i="12"/>
  <c r="BP189" i="12"/>
  <c r="BL189" i="12"/>
  <c r="O188" i="15" s="1"/>
  <c r="E189" i="12"/>
  <c r="BQ188" i="12"/>
  <c r="BP188" i="12"/>
  <c r="BL188" i="12"/>
  <c r="O187" i="15" s="1"/>
  <c r="E188" i="12"/>
  <c r="BQ187" i="12"/>
  <c r="BP187" i="12"/>
  <c r="BL187" i="12"/>
  <c r="O186" i="15" s="1"/>
  <c r="E187" i="12"/>
  <c r="BQ186" i="12"/>
  <c r="BP186" i="12"/>
  <c r="BL186" i="12"/>
  <c r="O185" i="15" s="1"/>
  <c r="E186" i="12"/>
  <c r="BQ185" i="12"/>
  <c r="BP185" i="12"/>
  <c r="BL185" i="12"/>
  <c r="O184" i="15" s="1"/>
  <c r="E185" i="12"/>
  <c r="BQ184" i="12"/>
  <c r="BP184" i="12"/>
  <c r="BL184" i="12"/>
  <c r="O183" i="15" s="1"/>
  <c r="E184" i="12"/>
  <c r="BQ183" i="12"/>
  <c r="BP183" i="12"/>
  <c r="BL183" i="12"/>
  <c r="O182" i="15" s="1"/>
  <c r="E183" i="12"/>
  <c r="BQ182" i="12"/>
  <c r="BP182" i="12"/>
  <c r="BL182" i="12"/>
  <c r="O181" i="15" s="1"/>
  <c r="E182" i="12"/>
  <c r="BQ181" i="12"/>
  <c r="BP181" i="12"/>
  <c r="BL181" i="12"/>
  <c r="O180" i="15" s="1"/>
  <c r="E181" i="12"/>
  <c r="BQ180" i="12"/>
  <c r="BP180" i="12"/>
  <c r="BL180" i="12"/>
  <c r="O179" i="15" s="1"/>
  <c r="E180" i="12"/>
  <c r="BQ179" i="12"/>
  <c r="BP179" i="12"/>
  <c r="BL179" i="12"/>
  <c r="O178" i="15" s="1"/>
  <c r="E179" i="12"/>
  <c r="BQ178" i="12"/>
  <c r="BP178" i="12"/>
  <c r="BL178" i="12"/>
  <c r="O177" i="15" s="1"/>
  <c r="E178" i="12"/>
  <c r="BQ177" i="12"/>
  <c r="BP177" i="12"/>
  <c r="BL177" i="12"/>
  <c r="O176" i="15" s="1"/>
  <c r="E177" i="12"/>
  <c r="BQ176" i="12"/>
  <c r="BP176" i="12"/>
  <c r="BL176" i="12"/>
  <c r="O175" i="15" s="1"/>
  <c r="E176" i="12"/>
  <c r="BQ175" i="12"/>
  <c r="BP175" i="12"/>
  <c r="BL175" i="12"/>
  <c r="O174" i="15" s="1"/>
  <c r="E175" i="12"/>
  <c r="BQ174" i="12"/>
  <c r="BP174" i="12"/>
  <c r="BL174" i="12"/>
  <c r="O173" i="15" s="1"/>
  <c r="E174" i="12"/>
  <c r="BQ173" i="12"/>
  <c r="BP173" i="12"/>
  <c r="BL173" i="12"/>
  <c r="O172" i="15" s="1"/>
  <c r="E173" i="12"/>
  <c r="BQ172" i="12"/>
  <c r="BP172" i="12"/>
  <c r="BL172" i="12"/>
  <c r="O171" i="15" s="1"/>
  <c r="E172" i="12"/>
  <c r="BQ171" i="12"/>
  <c r="BP171" i="12"/>
  <c r="BL171" i="12"/>
  <c r="O170" i="15" s="1"/>
  <c r="E171" i="12"/>
  <c r="BQ170" i="12"/>
  <c r="BP170" i="12"/>
  <c r="BL170" i="12"/>
  <c r="O169" i="15" s="1"/>
  <c r="E170" i="12"/>
  <c r="BQ169" i="12"/>
  <c r="BP169" i="12"/>
  <c r="BL169" i="12"/>
  <c r="O168" i="15" s="1"/>
  <c r="E169" i="12"/>
  <c r="BQ168" i="12"/>
  <c r="BP168" i="12"/>
  <c r="BL168" i="12"/>
  <c r="O167" i="15" s="1"/>
  <c r="E168" i="12"/>
  <c r="BQ167" i="12"/>
  <c r="BP167" i="12"/>
  <c r="BL167" i="12"/>
  <c r="O166" i="15" s="1"/>
  <c r="E167" i="12"/>
  <c r="BQ166" i="12"/>
  <c r="BP166" i="12"/>
  <c r="BL166" i="12"/>
  <c r="O165" i="15" s="1"/>
  <c r="E166" i="12"/>
  <c r="BQ165" i="12"/>
  <c r="BP165" i="12"/>
  <c r="BL165" i="12"/>
  <c r="O164" i="15" s="1"/>
  <c r="E165" i="12"/>
  <c r="BQ164" i="12"/>
  <c r="BP164" i="12"/>
  <c r="BL164" i="12"/>
  <c r="O163" i="15" s="1"/>
  <c r="E164" i="12"/>
  <c r="BQ163" i="12"/>
  <c r="BP163" i="12"/>
  <c r="BL163" i="12"/>
  <c r="O162" i="15" s="1"/>
  <c r="E163" i="12"/>
  <c r="O161" i="15" s="1"/>
  <c r="O160" i="15" s="1"/>
  <c r="O159" i="15" s="1"/>
  <c r="O158" i="15" s="1"/>
  <c r="O157" i="15" s="1"/>
  <c r="O156" i="15" s="1"/>
  <c r="O155" i="15" s="1"/>
  <c r="O154" i="15" s="1"/>
  <c r="O153" i="15" s="1"/>
  <c r="O152" i="15" s="1"/>
  <c r="O151" i="15" s="1"/>
  <c r="O150" i="15" s="1"/>
  <c r="O149" i="15" s="1"/>
  <c r="BQ149" i="12"/>
  <c r="BP149" i="12"/>
  <c r="BL149" i="12"/>
  <c r="O148" i="15" s="1"/>
  <c r="E149" i="12"/>
  <c r="BQ148" i="12"/>
  <c r="BP148" i="12"/>
  <c r="BL148" i="12"/>
  <c r="O147" i="15" s="1"/>
  <c r="E148" i="12"/>
  <c r="D148" i="12"/>
  <c r="BQ147" i="12"/>
  <c r="BP147" i="12"/>
  <c r="BL147" i="12"/>
  <c r="O146" i="15" s="1"/>
  <c r="E147" i="12"/>
  <c r="D147" i="12"/>
  <c r="BQ146" i="12"/>
  <c r="BP146" i="12"/>
  <c r="BL146" i="12"/>
  <c r="O145" i="15" s="1"/>
  <c r="E146" i="12"/>
  <c r="D146" i="12"/>
  <c r="BQ145" i="12"/>
  <c r="BP145" i="12"/>
  <c r="E145" i="12"/>
  <c r="D145" i="12"/>
  <c r="BQ144" i="12"/>
  <c r="BP144" i="12"/>
  <c r="E144" i="12"/>
  <c r="D144" i="12"/>
  <c r="BQ143" i="12"/>
  <c r="BP143" i="12"/>
  <c r="E143" i="12"/>
  <c r="D143" i="12"/>
  <c r="BQ142" i="12"/>
  <c r="BP142" i="12"/>
  <c r="E142" i="12"/>
  <c r="D142" i="12"/>
  <c r="BQ141" i="12"/>
  <c r="BP141" i="12"/>
  <c r="E141" i="12"/>
  <c r="D141" i="12"/>
  <c r="BQ140" i="12"/>
  <c r="BP140" i="12"/>
  <c r="E140" i="12"/>
  <c r="D140" i="12"/>
  <c r="BQ139" i="12"/>
  <c r="BP139" i="12"/>
  <c r="E139" i="12"/>
  <c r="D139" i="12"/>
  <c r="BL138" i="12"/>
  <c r="E138" i="12"/>
  <c r="BQ137" i="12"/>
  <c r="BP137" i="12"/>
  <c r="BL137" i="12"/>
  <c r="O137" i="15" s="1"/>
  <c r="E137" i="12"/>
  <c r="D137" i="12"/>
  <c r="BQ136" i="12"/>
  <c r="BP136" i="12"/>
  <c r="BL136" i="12"/>
  <c r="O136" i="15" s="1"/>
  <c r="E136" i="12"/>
  <c r="D136" i="12"/>
  <c r="BQ135" i="12"/>
  <c r="BP135" i="12"/>
  <c r="BL135" i="12"/>
  <c r="O135" i="15" s="1"/>
  <c r="E135" i="12"/>
  <c r="D135" i="12"/>
  <c r="BQ134" i="12"/>
  <c r="BP134" i="12"/>
  <c r="BL134" i="12"/>
  <c r="O134" i="15" s="1"/>
  <c r="E134" i="12"/>
  <c r="D134" i="12"/>
  <c r="BQ133" i="12"/>
  <c r="BP133" i="12"/>
  <c r="BL133" i="12"/>
  <c r="O133" i="15" s="1"/>
  <c r="E133" i="12"/>
  <c r="D133" i="12"/>
  <c r="BQ132" i="12"/>
  <c r="BP132" i="12"/>
  <c r="BL132" i="12"/>
  <c r="O132" i="15" s="1"/>
  <c r="E132" i="12"/>
  <c r="D132" i="12"/>
  <c r="BQ131" i="12"/>
  <c r="BP131" i="12"/>
  <c r="BL131" i="12"/>
  <c r="O131" i="15" s="1"/>
  <c r="E131" i="12"/>
  <c r="D131" i="12"/>
  <c r="BQ130" i="12"/>
  <c r="BP130" i="12"/>
  <c r="BL130" i="12"/>
  <c r="O130" i="15" s="1"/>
  <c r="E130" i="12"/>
  <c r="D130" i="12"/>
  <c r="BQ129" i="12"/>
  <c r="BP129" i="12"/>
  <c r="BL129" i="12"/>
  <c r="O129" i="15" s="1"/>
  <c r="E129" i="12"/>
  <c r="D129" i="12"/>
  <c r="BQ128" i="12"/>
  <c r="BP128" i="12"/>
  <c r="BL128" i="12"/>
  <c r="O128" i="15" s="1"/>
  <c r="E128" i="12"/>
  <c r="D128" i="12"/>
  <c r="BQ127" i="12"/>
  <c r="BP127" i="12"/>
  <c r="BL127" i="12"/>
  <c r="O127" i="15" s="1"/>
  <c r="E127" i="12"/>
  <c r="D127" i="12"/>
  <c r="BQ126" i="12"/>
  <c r="BP126" i="12"/>
  <c r="BL126" i="12"/>
  <c r="O126" i="15" s="1"/>
  <c r="E126" i="12"/>
  <c r="D126" i="12"/>
  <c r="BQ125" i="12"/>
  <c r="BP125" i="12"/>
  <c r="BL125" i="12"/>
  <c r="O125" i="15" s="1"/>
  <c r="E125" i="12"/>
  <c r="D125" i="12"/>
  <c r="BQ124" i="12"/>
  <c r="BP124" i="12"/>
  <c r="BL124" i="12"/>
  <c r="O124" i="15" s="1"/>
  <c r="E124" i="12"/>
  <c r="D124" i="12"/>
  <c r="BQ123" i="12"/>
  <c r="BP123" i="12"/>
  <c r="BL123" i="12"/>
  <c r="O123" i="15" s="1"/>
  <c r="E123" i="12"/>
  <c r="D123" i="12"/>
  <c r="BQ122" i="12"/>
  <c r="BP122" i="12"/>
  <c r="BL122" i="12"/>
  <c r="O122" i="15" s="1"/>
  <c r="E122" i="12"/>
  <c r="D122" i="12"/>
  <c r="BQ121" i="12"/>
  <c r="BP121" i="12"/>
  <c r="BL121" i="12"/>
  <c r="O121" i="15" s="1"/>
  <c r="E121" i="12"/>
  <c r="D121" i="12"/>
  <c r="BQ120" i="12"/>
  <c r="BP120" i="12"/>
  <c r="BL120" i="12"/>
  <c r="O120" i="15" s="1"/>
  <c r="E120" i="12"/>
  <c r="D120" i="12"/>
  <c r="BQ119" i="12"/>
  <c r="BP119" i="12"/>
  <c r="BL119" i="12"/>
  <c r="O119" i="15" s="1"/>
  <c r="E119" i="12"/>
  <c r="D119" i="12"/>
  <c r="BQ118" i="12"/>
  <c r="BP118" i="12"/>
  <c r="BL118" i="12"/>
  <c r="O118" i="15" s="1"/>
  <c r="E118" i="12"/>
  <c r="D118" i="12"/>
  <c r="BQ117" i="12"/>
  <c r="BP117" i="12"/>
  <c r="BL117" i="12"/>
  <c r="O117" i="15" s="1"/>
  <c r="E117" i="12"/>
  <c r="D117" i="12"/>
  <c r="BQ116" i="12"/>
  <c r="BP116" i="12"/>
  <c r="BL116" i="12"/>
  <c r="O116" i="15" s="1"/>
  <c r="E116" i="12"/>
  <c r="D116" i="12"/>
  <c r="BQ115" i="12"/>
  <c r="BP115" i="12"/>
  <c r="BL115" i="12"/>
  <c r="O115" i="15" s="1"/>
  <c r="E115" i="12"/>
  <c r="D115" i="12"/>
  <c r="BQ114" i="12"/>
  <c r="BP114" i="12"/>
  <c r="BL114" i="12"/>
  <c r="O114" i="15" s="1"/>
  <c r="E114" i="12"/>
  <c r="D114" i="12"/>
  <c r="BQ113" i="12"/>
  <c r="BP113" i="12"/>
  <c r="BL113" i="12"/>
  <c r="O113" i="15" s="1"/>
  <c r="E113" i="12"/>
  <c r="D113" i="12"/>
  <c r="BQ112" i="12"/>
  <c r="BP112" i="12"/>
  <c r="BL112" i="12"/>
  <c r="O112" i="15" s="1"/>
  <c r="E112" i="12"/>
  <c r="D112" i="12"/>
  <c r="BQ111" i="12"/>
  <c r="BP111" i="12"/>
  <c r="BL111" i="12"/>
  <c r="O111" i="15" s="1"/>
  <c r="E111" i="12"/>
  <c r="D111" i="12"/>
  <c r="BQ110" i="12"/>
  <c r="BP110" i="12"/>
  <c r="BL110" i="12"/>
  <c r="O110" i="15" s="1"/>
  <c r="E110" i="12"/>
  <c r="D110" i="12"/>
  <c r="BQ109" i="12"/>
  <c r="BP109" i="12"/>
  <c r="BL109" i="12"/>
  <c r="O109" i="15" s="1"/>
  <c r="E109" i="12"/>
  <c r="D109" i="12"/>
  <c r="BQ108" i="12"/>
  <c r="BP108" i="12"/>
  <c r="BL108" i="12"/>
  <c r="O108" i="15" s="1"/>
  <c r="E108" i="12"/>
  <c r="D108" i="12"/>
  <c r="BQ107" i="12"/>
  <c r="BP107" i="12"/>
  <c r="BL107" i="12"/>
  <c r="O107" i="15" s="1"/>
  <c r="E107" i="12"/>
  <c r="D107" i="12"/>
  <c r="BQ106" i="12"/>
  <c r="BP106" i="12"/>
  <c r="BL106" i="12"/>
  <c r="O106" i="15" s="1"/>
  <c r="E106" i="12"/>
  <c r="D106" i="12"/>
  <c r="BQ105" i="12"/>
  <c r="BP105" i="12"/>
  <c r="BL105" i="12"/>
  <c r="O105" i="15" s="1"/>
  <c r="E105" i="12"/>
  <c r="D105" i="12"/>
  <c r="BQ104" i="12"/>
  <c r="BP104" i="12"/>
  <c r="BL104" i="12"/>
  <c r="O104" i="15" s="1"/>
  <c r="E104" i="12"/>
  <c r="D104" i="12"/>
  <c r="BQ103" i="12"/>
  <c r="BP103" i="12"/>
  <c r="BL103" i="12"/>
  <c r="O103" i="15" s="1"/>
  <c r="E103" i="12"/>
  <c r="D103" i="12"/>
  <c r="BQ102" i="12"/>
  <c r="BP102" i="12"/>
  <c r="BL102" i="12"/>
  <c r="O102" i="15" s="1"/>
  <c r="E102" i="12"/>
  <c r="D102" i="12"/>
  <c r="BQ101" i="12"/>
  <c r="BP101" i="12"/>
  <c r="BL101" i="12"/>
  <c r="O101" i="15" s="1"/>
  <c r="E101" i="12"/>
  <c r="D101" i="12"/>
  <c r="BQ100" i="12"/>
  <c r="BP100" i="12"/>
  <c r="BL100" i="12"/>
  <c r="O100" i="15" s="1"/>
  <c r="E100" i="12"/>
  <c r="D100" i="12"/>
  <c r="BQ99" i="12"/>
  <c r="BP99" i="12"/>
  <c r="BL99" i="12"/>
  <c r="O99" i="15" s="1"/>
  <c r="E99" i="12"/>
  <c r="D99" i="12"/>
  <c r="BQ98" i="12"/>
  <c r="BP98" i="12"/>
  <c r="BL98" i="12"/>
  <c r="O98" i="15" s="1"/>
  <c r="E98" i="12"/>
  <c r="D98" i="12"/>
  <c r="BQ97" i="12"/>
  <c r="BP97" i="12"/>
  <c r="BL97" i="12"/>
  <c r="O97" i="15" s="1"/>
  <c r="E97" i="12"/>
  <c r="D97" i="12"/>
  <c r="BQ96" i="12"/>
  <c r="BP96" i="12"/>
  <c r="BL96" i="12"/>
  <c r="O96" i="15" s="1"/>
  <c r="E96" i="12"/>
  <c r="D96" i="12"/>
  <c r="BQ95" i="12"/>
  <c r="BP95" i="12"/>
  <c r="BL95" i="12"/>
  <c r="O95" i="15" s="1"/>
  <c r="E95" i="12"/>
  <c r="D95" i="12"/>
  <c r="BQ94" i="12"/>
  <c r="BP94" i="12"/>
  <c r="BL94" i="12"/>
  <c r="O94" i="15" s="1"/>
  <c r="E94" i="12"/>
  <c r="D94" i="12"/>
  <c r="BQ93" i="12"/>
  <c r="BP93" i="12"/>
  <c r="BL93" i="12"/>
  <c r="O93" i="15" s="1"/>
  <c r="E93" i="12"/>
  <c r="D93" i="12"/>
  <c r="BQ92" i="12"/>
  <c r="BP92" i="12"/>
  <c r="BL92" i="12"/>
  <c r="O92" i="15" s="1"/>
  <c r="E92" i="12"/>
  <c r="D92" i="12"/>
  <c r="BQ91" i="12"/>
  <c r="BP91" i="12"/>
  <c r="BL91" i="12"/>
  <c r="O91" i="15" s="1"/>
  <c r="E91" i="12"/>
  <c r="D91" i="12"/>
  <c r="BQ90" i="12"/>
  <c r="BP90" i="12"/>
  <c r="BL90" i="12"/>
  <c r="O90" i="15" s="1"/>
  <c r="E90" i="12"/>
  <c r="D90" i="12"/>
  <c r="BQ89" i="12"/>
  <c r="BP89" i="12"/>
  <c r="BL89" i="12"/>
  <c r="O89" i="15" s="1"/>
  <c r="E89" i="12"/>
  <c r="D89" i="12"/>
  <c r="BQ88" i="12"/>
  <c r="BP88" i="12"/>
  <c r="BL88" i="12"/>
  <c r="O88" i="15" s="1"/>
  <c r="E88" i="12"/>
  <c r="D88" i="12"/>
  <c r="BQ87" i="12"/>
  <c r="BP87" i="12"/>
  <c r="BL87" i="12"/>
  <c r="O87" i="15" s="1"/>
  <c r="E87" i="12"/>
  <c r="D87" i="12"/>
  <c r="BQ86" i="12"/>
  <c r="BP86" i="12"/>
  <c r="BL86" i="12"/>
  <c r="O86" i="15" s="1"/>
  <c r="E86" i="12"/>
  <c r="D86" i="12"/>
  <c r="BQ85" i="12"/>
  <c r="BP85" i="12"/>
  <c r="BL85" i="12"/>
  <c r="O85" i="15" s="1"/>
  <c r="E85" i="12"/>
  <c r="D85" i="12"/>
  <c r="BQ84" i="12"/>
  <c r="BP84" i="12"/>
  <c r="BL84" i="12"/>
  <c r="O84" i="15" s="1"/>
  <c r="E84" i="12"/>
  <c r="D84" i="12"/>
  <c r="BQ83" i="12"/>
  <c r="BP83" i="12"/>
  <c r="BL83" i="12"/>
  <c r="O83" i="15" s="1"/>
  <c r="E83" i="12"/>
  <c r="D83" i="12"/>
  <c r="BQ82" i="12"/>
  <c r="BP82" i="12"/>
  <c r="BL82" i="12"/>
  <c r="O82" i="15" s="1"/>
  <c r="E82" i="12"/>
  <c r="D82" i="12"/>
  <c r="BQ81" i="12"/>
  <c r="BP81" i="12"/>
  <c r="BL81" i="12"/>
  <c r="O81" i="15" s="1"/>
  <c r="E81" i="12"/>
  <c r="D81" i="12"/>
  <c r="BQ80" i="12"/>
  <c r="BP80" i="12"/>
  <c r="BL80" i="12"/>
  <c r="O80" i="15" s="1"/>
  <c r="E80" i="12"/>
  <c r="D80" i="12"/>
  <c r="BQ79" i="12"/>
  <c r="BP79" i="12"/>
  <c r="BL79" i="12"/>
  <c r="O79" i="15" s="1"/>
  <c r="E79" i="12"/>
  <c r="D79" i="12"/>
  <c r="BQ78" i="12"/>
  <c r="BP78" i="12"/>
  <c r="BL78" i="12"/>
  <c r="O78" i="15" s="1"/>
  <c r="E78" i="12"/>
  <c r="D78" i="12"/>
  <c r="BQ77" i="12"/>
  <c r="BP77" i="12"/>
  <c r="BL77" i="12"/>
  <c r="O77" i="15" s="1"/>
  <c r="E77" i="12"/>
  <c r="D77" i="12"/>
  <c r="BQ76" i="12"/>
  <c r="BP76" i="12"/>
  <c r="BL76" i="12"/>
  <c r="O76" i="15" s="1"/>
  <c r="E76" i="12"/>
  <c r="D76" i="12"/>
  <c r="BQ75" i="12"/>
  <c r="BP75" i="12"/>
  <c r="BL75" i="12"/>
  <c r="O75" i="15" s="1"/>
  <c r="E75" i="12"/>
  <c r="D75" i="12"/>
  <c r="BQ74" i="12"/>
  <c r="BP74" i="12"/>
  <c r="BL74" i="12"/>
  <c r="O74" i="15" s="1"/>
  <c r="E74" i="12"/>
  <c r="D74" i="12"/>
  <c r="BQ73" i="12"/>
  <c r="BP73" i="12"/>
  <c r="BL73" i="12"/>
  <c r="O73" i="15" s="1"/>
  <c r="E73" i="12"/>
  <c r="D73" i="12"/>
  <c r="BQ72" i="12"/>
  <c r="BP72" i="12"/>
  <c r="BL72" i="12"/>
  <c r="O72" i="15" s="1"/>
  <c r="E72" i="12"/>
  <c r="D72" i="12"/>
  <c r="BQ71" i="12"/>
  <c r="BP71" i="12"/>
  <c r="BL71" i="12"/>
  <c r="O71" i="15" s="1"/>
  <c r="E71" i="12"/>
  <c r="D71" i="12"/>
  <c r="BQ70" i="12"/>
  <c r="BP70" i="12"/>
  <c r="BL70" i="12"/>
  <c r="O70" i="15" s="1"/>
  <c r="E70" i="12"/>
  <c r="D70" i="12"/>
  <c r="BQ69" i="12"/>
  <c r="BP69" i="12"/>
  <c r="BL69" i="12"/>
  <c r="O69" i="15" s="1"/>
  <c r="E69" i="12"/>
  <c r="D69" i="12"/>
  <c r="BQ68" i="12"/>
  <c r="BP68" i="12"/>
  <c r="BL68" i="12"/>
  <c r="O68" i="15" s="1"/>
  <c r="E68" i="12"/>
  <c r="D68" i="12"/>
  <c r="BQ67" i="12"/>
  <c r="BP67" i="12"/>
  <c r="BL67" i="12"/>
  <c r="O67" i="15" s="1"/>
  <c r="E67" i="12"/>
  <c r="D67" i="12"/>
  <c r="BQ66" i="12"/>
  <c r="BP66" i="12"/>
  <c r="BL66" i="12"/>
  <c r="O66" i="15" s="1"/>
  <c r="E66" i="12"/>
  <c r="D66" i="12"/>
  <c r="BQ65" i="12"/>
  <c r="BP65" i="12"/>
  <c r="BL65" i="12"/>
  <c r="O65" i="15" s="1"/>
  <c r="E65" i="12"/>
  <c r="D65" i="12"/>
  <c r="BQ64" i="12"/>
  <c r="BP64" i="12"/>
  <c r="BL64" i="12"/>
  <c r="O64" i="15" s="1"/>
  <c r="E64" i="12"/>
  <c r="D64" i="12"/>
  <c r="BQ63" i="12"/>
  <c r="BP63" i="12"/>
  <c r="BL63" i="12"/>
  <c r="O63" i="15" s="1"/>
  <c r="E63" i="12"/>
  <c r="D63" i="12"/>
  <c r="BQ62" i="12"/>
  <c r="BP62" i="12"/>
  <c r="BL62" i="12"/>
  <c r="O62" i="15" s="1"/>
  <c r="E62" i="12"/>
  <c r="D62" i="12"/>
  <c r="BQ61" i="12"/>
  <c r="BP61" i="12"/>
  <c r="BL61" i="12"/>
  <c r="O61" i="15" s="1"/>
  <c r="E61" i="12"/>
  <c r="D61" i="12"/>
  <c r="BQ60" i="12"/>
  <c r="BP60" i="12"/>
  <c r="BL60" i="12"/>
  <c r="O60" i="15" s="1"/>
  <c r="E60" i="12"/>
  <c r="D60" i="12"/>
  <c r="BQ59" i="12"/>
  <c r="BP59" i="12"/>
  <c r="BL59" i="12"/>
  <c r="O59" i="15" s="1"/>
  <c r="E59" i="12"/>
  <c r="D59" i="12"/>
  <c r="BQ58" i="12"/>
  <c r="BP58" i="12"/>
  <c r="BL58" i="12"/>
  <c r="O58" i="15" s="1"/>
  <c r="E58" i="12"/>
  <c r="D58" i="12"/>
  <c r="BQ57" i="12"/>
  <c r="BP57" i="12"/>
  <c r="BL57" i="12"/>
  <c r="O57" i="15" s="1"/>
  <c r="E57" i="12"/>
  <c r="D57" i="12"/>
  <c r="BQ56" i="12"/>
  <c r="BP56" i="12"/>
  <c r="BL56" i="12"/>
  <c r="O56" i="15" s="1"/>
  <c r="E56" i="12"/>
  <c r="D56" i="12"/>
  <c r="BQ55" i="12"/>
  <c r="BP55" i="12"/>
  <c r="BL55" i="12"/>
  <c r="O55" i="15" s="1"/>
  <c r="E55" i="12"/>
  <c r="D55" i="12"/>
  <c r="BQ54" i="12"/>
  <c r="BP54" i="12"/>
  <c r="BL54" i="12"/>
  <c r="O54" i="15" s="1"/>
  <c r="E54" i="12"/>
  <c r="D54" i="12"/>
  <c r="BQ53" i="12"/>
  <c r="BP53" i="12"/>
  <c r="BL53" i="12"/>
  <c r="O53" i="15" s="1"/>
  <c r="E53" i="12"/>
  <c r="D53" i="12"/>
  <c r="BQ52" i="12"/>
  <c r="BP52" i="12"/>
  <c r="BL52" i="12"/>
  <c r="O52" i="15" s="1"/>
  <c r="E52" i="12"/>
  <c r="D52" i="12"/>
  <c r="BQ51" i="12"/>
  <c r="BP51" i="12"/>
  <c r="BL51" i="12"/>
  <c r="O51" i="15" s="1"/>
  <c r="E51" i="12"/>
  <c r="D51" i="12"/>
  <c r="BQ50" i="12"/>
  <c r="BP50" i="12"/>
  <c r="BL50" i="12"/>
  <c r="O50" i="15" s="1"/>
  <c r="E50" i="12"/>
  <c r="D50" i="12"/>
  <c r="BQ49" i="12"/>
  <c r="BP49" i="12"/>
  <c r="E49" i="12"/>
  <c r="D49" i="12"/>
  <c r="BQ48" i="12"/>
  <c r="BP48" i="12"/>
  <c r="E48" i="12"/>
  <c r="D48" i="12"/>
  <c r="BQ47" i="12"/>
  <c r="BP47" i="12"/>
  <c r="E47" i="12"/>
  <c r="D47" i="12"/>
  <c r="BQ46" i="12"/>
  <c r="BP46" i="12"/>
  <c r="E46" i="12"/>
  <c r="D46" i="12"/>
  <c r="BQ45" i="12"/>
  <c r="BP45" i="12"/>
  <c r="E45" i="12"/>
  <c r="D45" i="12"/>
  <c r="BQ44" i="12"/>
  <c r="BP44" i="12"/>
  <c r="E44" i="12"/>
  <c r="D44" i="12"/>
  <c r="BQ43" i="12"/>
  <c r="BP43" i="12"/>
  <c r="E43" i="12"/>
  <c r="D43" i="12"/>
  <c r="BQ42" i="12"/>
  <c r="BP42" i="12"/>
  <c r="E42" i="12"/>
  <c r="D42" i="12"/>
  <c r="BQ41" i="12"/>
  <c r="BP41" i="12"/>
  <c r="E41" i="12"/>
  <c r="D41" i="12"/>
  <c r="BQ40" i="12"/>
  <c r="BP40" i="12"/>
  <c r="E40" i="12"/>
  <c r="D40" i="12"/>
  <c r="BQ39" i="12"/>
  <c r="BP39" i="12"/>
  <c r="E39" i="12"/>
  <c r="D39" i="12"/>
  <c r="BQ38" i="12"/>
  <c r="BP38" i="12"/>
  <c r="E38" i="12"/>
  <c r="D38" i="12"/>
  <c r="BQ37" i="12"/>
  <c r="BP37" i="12"/>
  <c r="E37" i="12"/>
  <c r="D37" i="12"/>
  <c r="BQ36" i="12"/>
  <c r="BP36" i="12"/>
  <c r="E36" i="12"/>
  <c r="D36" i="12"/>
  <c r="BQ35" i="12"/>
  <c r="BP35" i="12"/>
  <c r="E35" i="12"/>
  <c r="D35" i="12"/>
  <c r="BQ34" i="12"/>
  <c r="BP34" i="12"/>
  <c r="E34" i="12"/>
  <c r="D34" i="12"/>
  <c r="BQ33" i="12"/>
  <c r="BP33" i="12"/>
  <c r="E33" i="12"/>
  <c r="D33" i="12"/>
  <c r="BQ32" i="12"/>
  <c r="BP32" i="12"/>
  <c r="E32" i="12"/>
  <c r="D32" i="12"/>
  <c r="BQ31" i="12"/>
  <c r="BP31" i="12"/>
  <c r="E31" i="12"/>
  <c r="D31" i="12"/>
  <c r="BQ30" i="12"/>
  <c r="BP30" i="12"/>
  <c r="E30" i="12"/>
  <c r="D30" i="12"/>
  <c r="BQ29" i="12"/>
  <c r="BP29" i="12"/>
  <c r="E29" i="12"/>
  <c r="D29" i="12"/>
  <c r="BQ28" i="12"/>
  <c r="BP28" i="12"/>
  <c r="E28" i="12"/>
  <c r="D28" i="12"/>
  <c r="BQ27" i="12"/>
  <c r="BP27" i="12"/>
  <c r="E27" i="12"/>
  <c r="D27" i="12"/>
  <c r="BQ26" i="12"/>
  <c r="BP26" i="12"/>
  <c r="E26" i="12"/>
  <c r="D26" i="12"/>
  <c r="BQ25" i="12"/>
  <c r="BP25" i="12"/>
  <c r="E25" i="12"/>
  <c r="D25" i="12"/>
  <c r="BQ24" i="12"/>
  <c r="BP24" i="12"/>
  <c r="E24" i="12"/>
  <c r="D24" i="12"/>
  <c r="BQ23" i="12"/>
  <c r="BP23" i="12"/>
  <c r="E23" i="12"/>
  <c r="D23" i="12"/>
  <c r="BQ22" i="12"/>
  <c r="BP22" i="12"/>
  <c r="E22" i="12"/>
  <c r="D22" i="12"/>
  <c r="BQ21" i="12"/>
  <c r="BP21" i="12"/>
  <c r="E21" i="12"/>
  <c r="D21" i="12"/>
  <c r="BQ20" i="12"/>
  <c r="BP20" i="12"/>
  <c r="E20" i="12"/>
  <c r="D20" i="12"/>
  <c r="BQ19" i="12"/>
  <c r="BP19" i="12"/>
  <c r="E19" i="12"/>
  <c r="D19" i="12"/>
  <c r="BQ18" i="12"/>
  <c r="BP18" i="12"/>
  <c r="E18" i="12"/>
  <c r="D18" i="12"/>
  <c r="BQ17" i="12"/>
  <c r="BP17" i="12"/>
  <c r="E17" i="12"/>
  <c r="D17" i="12"/>
  <c r="BQ16" i="12"/>
  <c r="BP16" i="12"/>
  <c r="E16" i="12"/>
  <c r="D16" i="12"/>
  <c r="BQ15" i="12"/>
  <c r="BP15" i="12"/>
  <c r="E15" i="12"/>
  <c r="D15" i="12"/>
  <c r="BQ14" i="12"/>
  <c r="BP14" i="12"/>
  <c r="E14" i="12"/>
  <c r="D14" i="12"/>
  <c r="BQ13" i="12"/>
  <c r="BP13" i="12"/>
  <c r="E13" i="12"/>
  <c r="D13" i="12"/>
  <c r="BQ12" i="12"/>
  <c r="BP12" i="12"/>
  <c r="E12" i="12"/>
  <c r="D12" i="12"/>
  <c r="BQ11" i="12"/>
  <c r="BP11" i="12"/>
  <c r="E11" i="12"/>
  <c r="D11" i="12"/>
  <c r="BQ10" i="12"/>
  <c r="BP10" i="12"/>
  <c r="E10" i="12"/>
  <c r="D10" i="12"/>
  <c r="BQ9" i="12"/>
  <c r="BP9" i="12"/>
  <c r="E9" i="12"/>
  <c r="D9" i="12"/>
  <c r="BQ8" i="12"/>
  <c r="BP8" i="12"/>
  <c r="E8" i="12"/>
  <c r="D8" i="12"/>
  <c r="BQ7" i="12"/>
  <c r="BP7" i="12"/>
  <c r="E7" i="12"/>
  <c r="D7" i="12"/>
  <c r="BQ6" i="12"/>
  <c r="BP6" i="12"/>
  <c r="E6" i="12"/>
  <c r="D6" i="12"/>
  <c r="BQ5" i="12"/>
  <c r="BP5" i="12"/>
  <c r="E5" i="12"/>
  <c r="D5" i="12"/>
  <c r="BQ4" i="12"/>
  <c r="BP4" i="12"/>
  <c r="E4" i="12"/>
  <c r="D4" i="12"/>
  <c r="BQ3" i="12"/>
  <c r="BP3" i="12"/>
  <c r="E3" i="12"/>
  <c r="D3" i="12"/>
  <c r="BQ2" i="12"/>
  <c r="BP2" i="12"/>
  <c r="E2" i="12"/>
  <c r="D2" i="12"/>
  <c r="J3000" i="10"/>
  <c r="I3000" i="10"/>
  <c r="J2999" i="10"/>
  <c r="I2999" i="10"/>
  <c r="J2998" i="10"/>
  <c r="I2998" i="10"/>
  <c r="J2997" i="10"/>
  <c r="I2997" i="10"/>
  <c r="J2996" i="10"/>
  <c r="I2996" i="10"/>
  <c r="J2995" i="10"/>
  <c r="I2995" i="10"/>
  <c r="J2994" i="10"/>
  <c r="I2994" i="10"/>
  <c r="J2993" i="10"/>
  <c r="I2993" i="10"/>
  <c r="J2992" i="10"/>
  <c r="I2992" i="10"/>
  <c r="J2991" i="10"/>
  <c r="I2991" i="10"/>
  <c r="J2990" i="10"/>
  <c r="I2990" i="10"/>
  <c r="J2989" i="10"/>
  <c r="I2989" i="10"/>
  <c r="J2988" i="10"/>
  <c r="I2988" i="10"/>
  <c r="J2987" i="10"/>
  <c r="I2987" i="10"/>
  <c r="J2986" i="10"/>
  <c r="I2986" i="10"/>
  <c r="J2985" i="10"/>
  <c r="I2985" i="10"/>
  <c r="J2984" i="10"/>
  <c r="I2984" i="10"/>
  <c r="J2983" i="10"/>
  <c r="I2983" i="10"/>
  <c r="J2982" i="10"/>
  <c r="I2982" i="10"/>
  <c r="J2981" i="10"/>
  <c r="I2981" i="10"/>
  <c r="J2980" i="10"/>
  <c r="I2980" i="10"/>
  <c r="J2979" i="10"/>
  <c r="I2979" i="10"/>
  <c r="J2978" i="10"/>
  <c r="I2978" i="10"/>
  <c r="J2977" i="10"/>
  <c r="I2977" i="10"/>
  <c r="J2976" i="10"/>
  <c r="I2976" i="10"/>
  <c r="J2975" i="10"/>
  <c r="I2975" i="10"/>
  <c r="J2974" i="10"/>
  <c r="I2974" i="10"/>
  <c r="J2973" i="10"/>
  <c r="I2973" i="10"/>
  <c r="J2972" i="10"/>
  <c r="I2972" i="10"/>
  <c r="J2971" i="10"/>
  <c r="I2971" i="10"/>
  <c r="J2970" i="10"/>
  <c r="I2970" i="10"/>
  <c r="J2969" i="10"/>
  <c r="I2969" i="10"/>
  <c r="J2968" i="10"/>
  <c r="I2968" i="10"/>
  <c r="J2967" i="10"/>
  <c r="I2967" i="10"/>
  <c r="J2966" i="10"/>
  <c r="I2966" i="10"/>
  <c r="J2965" i="10"/>
  <c r="I2965" i="10"/>
  <c r="J2964" i="10"/>
  <c r="I2964" i="10"/>
  <c r="J2963" i="10"/>
  <c r="I2963" i="10"/>
  <c r="J2962" i="10"/>
  <c r="I2962" i="10"/>
  <c r="J2961" i="10"/>
  <c r="I2961" i="10"/>
  <c r="J2960" i="10"/>
  <c r="I2960" i="10"/>
  <c r="J2959" i="10"/>
  <c r="I2959" i="10"/>
  <c r="J2958" i="10"/>
  <c r="I2958" i="10"/>
  <c r="J2957" i="10"/>
  <c r="I2957" i="10"/>
  <c r="J2956" i="10"/>
  <c r="I2956" i="10"/>
  <c r="J2955" i="10"/>
  <c r="I2955" i="10"/>
  <c r="J2954" i="10"/>
  <c r="I2954" i="10"/>
  <c r="J2953" i="10"/>
  <c r="I2953" i="10"/>
  <c r="J2952" i="10"/>
  <c r="I2952" i="10"/>
  <c r="J2951" i="10"/>
  <c r="I2951" i="10"/>
  <c r="J2950" i="10"/>
  <c r="I2950" i="10"/>
  <c r="J2949" i="10"/>
  <c r="I2949" i="10"/>
  <c r="J2948" i="10"/>
  <c r="I2948" i="10"/>
  <c r="J2947" i="10"/>
  <c r="I2947" i="10"/>
  <c r="J2946" i="10"/>
  <c r="I2946" i="10"/>
  <c r="J2945" i="10"/>
  <c r="I2945" i="10"/>
  <c r="J2944" i="10"/>
  <c r="I2944" i="10"/>
  <c r="J2943" i="10"/>
  <c r="I2943" i="10"/>
  <c r="J2942" i="10"/>
  <c r="I2942" i="10"/>
  <c r="J2941" i="10"/>
  <c r="I2941" i="10"/>
  <c r="J2940" i="10"/>
  <c r="I2940" i="10"/>
  <c r="J2939" i="10"/>
  <c r="I2939" i="10"/>
  <c r="J2938" i="10"/>
  <c r="I2938" i="10"/>
  <c r="J2937" i="10"/>
  <c r="I2937" i="10"/>
  <c r="J2936" i="10"/>
  <c r="I2936" i="10"/>
  <c r="J2935" i="10"/>
  <c r="I2935" i="10"/>
  <c r="J2934" i="10"/>
  <c r="I2934" i="10"/>
  <c r="J2933" i="10"/>
  <c r="I2933" i="10"/>
  <c r="J2932" i="10"/>
  <c r="I2932" i="10"/>
  <c r="J2931" i="10"/>
  <c r="I2931" i="10"/>
  <c r="J2930" i="10"/>
  <c r="I2930" i="10"/>
  <c r="J2929" i="10"/>
  <c r="I2929" i="10"/>
  <c r="J2928" i="10"/>
  <c r="I2928" i="10"/>
  <c r="J2927" i="10"/>
  <c r="I2927" i="10"/>
  <c r="J2926" i="10"/>
  <c r="I2926" i="10"/>
  <c r="J2925" i="10"/>
  <c r="I2925" i="10"/>
  <c r="J2924" i="10"/>
  <c r="I2924" i="10"/>
  <c r="J2923" i="10"/>
  <c r="I2923" i="10"/>
  <c r="J2922" i="10"/>
  <c r="I2922" i="10"/>
  <c r="J2921" i="10"/>
  <c r="I2921" i="10"/>
  <c r="J2920" i="10"/>
  <c r="I2920" i="10"/>
  <c r="J2919" i="10"/>
  <c r="I2919" i="10"/>
  <c r="J2918" i="10"/>
  <c r="I2918" i="10"/>
  <c r="J2917" i="10"/>
  <c r="I2917" i="10"/>
  <c r="J2916" i="10"/>
  <c r="I2916" i="10"/>
  <c r="J2915" i="10"/>
  <c r="I2915" i="10"/>
  <c r="J2914" i="10"/>
  <c r="I2914" i="10"/>
  <c r="J2913" i="10"/>
  <c r="I2913" i="10"/>
  <c r="J2912" i="10"/>
  <c r="I2912" i="10"/>
  <c r="J2911" i="10"/>
  <c r="I2911" i="10"/>
  <c r="J2910" i="10"/>
  <c r="I2910" i="10"/>
  <c r="J2909" i="10"/>
  <c r="I2909" i="10"/>
  <c r="J2908" i="10"/>
  <c r="I2908" i="10"/>
  <c r="J2907" i="10"/>
  <c r="I2907" i="10"/>
  <c r="J2906" i="10"/>
  <c r="I2906" i="10"/>
  <c r="J2905" i="10"/>
  <c r="I2905" i="10"/>
  <c r="J2904" i="10"/>
  <c r="I2904" i="10"/>
  <c r="J2903" i="10"/>
  <c r="I2903" i="10"/>
  <c r="J2902" i="10"/>
  <c r="I2902" i="10"/>
  <c r="J2901" i="10"/>
  <c r="I2901" i="10"/>
  <c r="J2900" i="10"/>
  <c r="I2900" i="10"/>
  <c r="J2899" i="10"/>
  <c r="I2899" i="10"/>
  <c r="J2898" i="10"/>
  <c r="I2898" i="10"/>
  <c r="J2897" i="10"/>
  <c r="I2897" i="10"/>
  <c r="J2896" i="10"/>
  <c r="I2896" i="10"/>
  <c r="J2895" i="10"/>
  <c r="I2895" i="10"/>
  <c r="J2894" i="10"/>
  <c r="I2894" i="10"/>
  <c r="J2893" i="10"/>
  <c r="I2893" i="10"/>
  <c r="J2892" i="10"/>
  <c r="I2892" i="10"/>
  <c r="J2891" i="10"/>
  <c r="I2891" i="10"/>
  <c r="J2890" i="10"/>
  <c r="I2890" i="10"/>
  <c r="J2889" i="10"/>
  <c r="I2889" i="10"/>
  <c r="J2888" i="10"/>
  <c r="I2888" i="10"/>
  <c r="J2887" i="10"/>
  <c r="I2887" i="10"/>
  <c r="J2886" i="10"/>
  <c r="I2886" i="10"/>
  <c r="J2885" i="10"/>
  <c r="I2885" i="10"/>
  <c r="J2884" i="10"/>
  <c r="I2884" i="10"/>
  <c r="J2883" i="10"/>
  <c r="I2883" i="10"/>
  <c r="J2882" i="10"/>
  <c r="I2882" i="10"/>
  <c r="J2881" i="10"/>
  <c r="I2881" i="10"/>
  <c r="J2880" i="10"/>
  <c r="I2880" i="10"/>
  <c r="J2879" i="10"/>
  <c r="I2879" i="10"/>
  <c r="J2878" i="10"/>
  <c r="I2878" i="10"/>
  <c r="J2877" i="10"/>
  <c r="I2877" i="10"/>
  <c r="J2876" i="10"/>
  <c r="I2876" i="10"/>
  <c r="J2875" i="10"/>
  <c r="I2875" i="10"/>
  <c r="J2874" i="10"/>
  <c r="I2874" i="10"/>
  <c r="J2873" i="10"/>
  <c r="I2873" i="10"/>
  <c r="J2872" i="10"/>
  <c r="I2872" i="10"/>
  <c r="J2871" i="10"/>
  <c r="I2871" i="10"/>
  <c r="J2870" i="10"/>
  <c r="I2870" i="10"/>
  <c r="J2869" i="10"/>
  <c r="I2869" i="10"/>
  <c r="J2868" i="10"/>
  <c r="I2868" i="10"/>
  <c r="J2867" i="10"/>
  <c r="I2867" i="10"/>
  <c r="J2866" i="10"/>
  <c r="I2866" i="10"/>
  <c r="J2865" i="10"/>
  <c r="I2865" i="10"/>
  <c r="J2864" i="10"/>
  <c r="I2864" i="10"/>
  <c r="J2863" i="10"/>
  <c r="I2863" i="10"/>
  <c r="J2862" i="10"/>
  <c r="I2862" i="10"/>
  <c r="J2861" i="10"/>
  <c r="I2861" i="10"/>
  <c r="J2860" i="10"/>
  <c r="I2860" i="10"/>
  <c r="J2859" i="10"/>
  <c r="I2859" i="10"/>
  <c r="J2858" i="10"/>
  <c r="I2858" i="10"/>
  <c r="J2857" i="10"/>
  <c r="I2857" i="10"/>
  <c r="J2856" i="10"/>
  <c r="I2856" i="10"/>
  <c r="J2855" i="10"/>
  <c r="I2855" i="10"/>
  <c r="J2854" i="10"/>
  <c r="I2854" i="10"/>
  <c r="J2853" i="10"/>
  <c r="I2853" i="10"/>
  <c r="J2852" i="10"/>
  <c r="I2852" i="10"/>
  <c r="J2851" i="10"/>
  <c r="I2851" i="10"/>
  <c r="J2850" i="10"/>
  <c r="I2850" i="10"/>
  <c r="J2849" i="10"/>
  <c r="I2849" i="10"/>
  <c r="J2848" i="10"/>
  <c r="I2848" i="10"/>
  <c r="J2847" i="10"/>
  <c r="I2847" i="10"/>
  <c r="J2846" i="10"/>
  <c r="I2846" i="10"/>
  <c r="J2845" i="10"/>
  <c r="I2845" i="10"/>
  <c r="J2844" i="10"/>
  <c r="I2844" i="10"/>
  <c r="J2843" i="10"/>
  <c r="I2843" i="10"/>
  <c r="J2842" i="10"/>
  <c r="I2842" i="10"/>
  <c r="J2841" i="10"/>
  <c r="I2841" i="10"/>
  <c r="J2840" i="10"/>
  <c r="I2840" i="10"/>
  <c r="J2839" i="10"/>
  <c r="I2839" i="10"/>
  <c r="J2838" i="10"/>
  <c r="I2838" i="10"/>
  <c r="J2837" i="10"/>
  <c r="I2837" i="10"/>
  <c r="J2836" i="10"/>
  <c r="I2836" i="10"/>
  <c r="J2835" i="10"/>
  <c r="I2835" i="10"/>
  <c r="J2834" i="10"/>
  <c r="I2834" i="10"/>
  <c r="J2833" i="10"/>
  <c r="I2833" i="10"/>
  <c r="J2832" i="10"/>
  <c r="I2832" i="10"/>
  <c r="J2831" i="10"/>
  <c r="I2831" i="10"/>
  <c r="J2830" i="10"/>
  <c r="I2830" i="10"/>
  <c r="J2829" i="10"/>
  <c r="I2829" i="10"/>
  <c r="J2828" i="10"/>
  <c r="I2828" i="10"/>
  <c r="J2827" i="10"/>
  <c r="I2827" i="10"/>
  <c r="J2826" i="10"/>
  <c r="I2826" i="10"/>
  <c r="J2825" i="10"/>
  <c r="I2825" i="10"/>
  <c r="J2824" i="10"/>
  <c r="I2824" i="10"/>
  <c r="J2823" i="10"/>
  <c r="I2823" i="10"/>
  <c r="J2822" i="10"/>
  <c r="I2822" i="10"/>
  <c r="J2821" i="10"/>
  <c r="I2821" i="10"/>
  <c r="J2820" i="10"/>
  <c r="I2820" i="10"/>
  <c r="J2819" i="10"/>
  <c r="I2819" i="10"/>
  <c r="J2818" i="10"/>
  <c r="I2818" i="10"/>
  <c r="J2817" i="10"/>
  <c r="I2817" i="10"/>
  <c r="J2816" i="10"/>
  <c r="I2816" i="10"/>
  <c r="J2815" i="10"/>
  <c r="I2815" i="10"/>
  <c r="J2814" i="10"/>
  <c r="I2814" i="10"/>
  <c r="J2813" i="10"/>
  <c r="I2813" i="10"/>
  <c r="J2812" i="10"/>
  <c r="I2812" i="10"/>
  <c r="J2811" i="10"/>
  <c r="I2811" i="10"/>
  <c r="J2810" i="10"/>
  <c r="I2810" i="10"/>
  <c r="J2809" i="10"/>
  <c r="I2809" i="10"/>
  <c r="J2808" i="10"/>
  <c r="I2808" i="10"/>
  <c r="J2807" i="10"/>
  <c r="I2807" i="10"/>
  <c r="J2806" i="10"/>
  <c r="I2806" i="10"/>
  <c r="J2805" i="10"/>
  <c r="I2805" i="10"/>
  <c r="J2804" i="10"/>
  <c r="I2804" i="10"/>
  <c r="J2803" i="10"/>
  <c r="I2803" i="10"/>
  <c r="J2802" i="10"/>
  <c r="I2802" i="10"/>
  <c r="J2801" i="10"/>
  <c r="I2801" i="10"/>
  <c r="J2800" i="10"/>
  <c r="I2800" i="10"/>
  <c r="J2799" i="10"/>
  <c r="I2799" i="10"/>
  <c r="J2798" i="10"/>
  <c r="I2798" i="10"/>
  <c r="J2797" i="10"/>
  <c r="I2797" i="10"/>
  <c r="J2796" i="10"/>
  <c r="I2796" i="10"/>
  <c r="J2795" i="10"/>
  <c r="I2795" i="10"/>
  <c r="J2794" i="10"/>
  <c r="I2794" i="10"/>
  <c r="J2793" i="10"/>
  <c r="I2793" i="10"/>
  <c r="J2792" i="10"/>
  <c r="I2792" i="10"/>
  <c r="J2791" i="10"/>
  <c r="I2791" i="10"/>
  <c r="J2790" i="10"/>
  <c r="I2790" i="10"/>
  <c r="J2789" i="10"/>
  <c r="I2789" i="10"/>
  <c r="J2788" i="10"/>
  <c r="I2788" i="10"/>
  <c r="J2787" i="10"/>
  <c r="I2787" i="10"/>
  <c r="J2786" i="10"/>
  <c r="I2786" i="10"/>
  <c r="J2785" i="10"/>
  <c r="I2785" i="10"/>
  <c r="J2784" i="10"/>
  <c r="I2784" i="10"/>
  <c r="J2783" i="10"/>
  <c r="I2783" i="10"/>
  <c r="J2782" i="10"/>
  <c r="I2782" i="10"/>
  <c r="J2781" i="10"/>
  <c r="I2781" i="10"/>
  <c r="J2780" i="10"/>
  <c r="I2780" i="10"/>
  <c r="J2779" i="10"/>
  <c r="I2779" i="10"/>
  <c r="J2778" i="10"/>
  <c r="I2778" i="10"/>
  <c r="J2777" i="10"/>
  <c r="I2777" i="10"/>
  <c r="J2776" i="10"/>
  <c r="I2776" i="10"/>
  <c r="J2775" i="10"/>
  <c r="I2775" i="10"/>
  <c r="J2774" i="10"/>
  <c r="I2774" i="10"/>
  <c r="J2773" i="10"/>
  <c r="I2773" i="10"/>
  <c r="J2772" i="10"/>
  <c r="I2772" i="10"/>
  <c r="J2771" i="10"/>
  <c r="I2771" i="10"/>
  <c r="J2770" i="10"/>
  <c r="I2770" i="10"/>
  <c r="J2769" i="10"/>
  <c r="I2769" i="10"/>
  <c r="J2768" i="10"/>
  <c r="I2768" i="10"/>
  <c r="J2767" i="10"/>
  <c r="I2767" i="10"/>
  <c r="J2766" i="10"/>
  <c r="I2766" i="10"/>
  <c r="J2765" i="10"/>
  <c r="I2765" i="10"/>
  <c r="J2764" i="10"/>
  <c r="I2764" i="10"/>
  <c r="J2763" i="10"/>
  <c r="I2763" i="10"/>
  <c r="J2762" i="10"/>
  <c r="I2762" i="10"/>
  <c r="J2761" i="10"/>
  <c r="I2761" i="10"/>
  <c r="J2760" i="10"/>
  <c r="I2760" i="10"/>
  <c r="J2759" i="10"/>
  <c r="I2759" i="10"/>
  <c r="J2758" i="10"/>
  <c r="I2758" i="10"/>
  <c r="J2757" i="10"/>
  <c r="I2757" i="10"/>
  <c r="J2756" i="10"/>
  <c r="I2756" i="10"/>
  <c r="J2755" i="10"/>
  <c r="I2755" i="10"/>
  <c r="J2754" i="10"/>
  <c r="I2754" i="10"/>
  <c r="J2753" i="10"/>
  <c r="I2753" i="10"/>
  <c r="J2752" i="10"/>
  <c r="I2752" i="10"/>
  <c r="J2751" i="10"/>
  <c r="I2751" i="10"/>
  <c r="J2750" i="10"/>
  <c r="I2750" i="10"/>
  <c r="J2749" i="10"/>
  <c r="I2749" i="10"/>
  <c r="J2748" i="10"/>
  <c r="I2748" i="10"/>
  <c r="J2747" i="10"/>
  <c r="I2747" i="10"/>
  <c r="J2746" i="10"/>
  <c r="I2746" i="10"/>
  <c r="J2745" i="10"/>
  <c r="I2745" i="10"/>
  <c r="J2744" i="10"/>
  <c r="I2744" i="10"/>
  <c r="J2743" i="10"/>
  <c r="I2743" i="10"/>
  <c r="J2742" i="10"/>
  <c r="I2742" i="10"/>
  <c r="J2741" i="10"/>
  <c r="I2741" i="10"/>
  <c r="J2740" i="10"/>
  <c r="I2740" i="10"/>
  <c r="J2739" i="10"/>
  <c r="I2739" i="10"/>
  <c r="J2738" i="10"/>
  <c r="I2738" i="10"/>
  <c r="J2737" i="10"/>
  <c r="I2737" i="10"/>
  <c r="J2736" i="10"/>
  <c r="I2736" i="10"/>
  <c r="J2735" i="10"/>
  <c r="I2735" i="10"/>
  <c r="J2734" i="10"/>
  <c r="I2734" i="10"/>
  <c r="J2733" i="10"/>
  <c r="I2733" i="10"/>
  <c r="J2732" i="10"/>
  <c r="I2732" i="10"/>
  <c r="J2731" i="10"/>
  <c r="I2731" i="10"/>
  <c r="J2730" i="10"/>
  <c r="I2730" i="10"/>
  <c r="J2729" i="10"/>
  <c r="I2729" i="10"/>
  <c r="J2728" i="10"/>
  <c r="I2728" i="10"/>
  <c r="J2727" i="10"/>
  <c r="I2727" i="10"/>
  <c r="J2726" i="10"/>
  <c r="I2726" i="10"/>
  <c r="J2725" i="10"/>
  <c r="I2725" i="10"/>
  <c r="J2724" i="10"/>
  <c r="I2724" i="10"/>
  <c r="J2723" i="10"/>
  <c r="I2723" i="10"/>
  <c r="J2722" i="10"/>
  <c r="I2722" i="10"/>
  <c r="J2721" i="10"/>
  <c r="I2721" i="10"/>
  <c r="J2720" i="10"/>
  <c r="I2720" i="10"/>
  <c r="J2719" i="10"/>
  <c r="I2719" i="10"/>
  <c r="J2718" i="10"/>
  <c r="I2718" i="10"/>
  <c r="J2717" i="10"/>
  <c r="I2717" i="10"/>
  <c r="J2716" i="10"/>
  <c r="I2716" i="10"/>
  <c r="J2715" i="10"/>
  <c r="I2715" i="10"/>
  <c r="J2714" i="10"/>
  <c r="I2714" i="10"/>
  <c r="J2713" i="10"/>
  <c r="I2713" i="10"/>
  <c r="J2712" i="10"/>
  <c r="I2712" i="10"/>
  <c r="J2711" i="10"/>
  <c r="I2711" i="10"/>
  <c r="J2710" i="10"/>
  <c r="I2710" i="10"/>
  <c r="J2709" i="10"/>
  <c r="I2709" i="10"/>
  <c r="J2708" i="10"/>
  <c r="I2708" i="10"/>
  <c r="J2707" i="10"/>
  <c r="I2707" i="10"/>
  <c r="J2706" i="10"/>
  <c r="I2706" i="10"/>
  <c r="J2705" i="10"/>
  <c r="I2705" i="10"/>
  <c r="J2704" i="10"/>
  <c r="I2704" i="10"/>
  <c r="J2703" i="10"/>
  <c r="I2703" i="10"/>
  <c r="J2702" i="10"/>
  <c r="I2702" i="10"/>
  <c r="J2701" i="10"/>
  <c r="I2701" i="10"/>
  <c r="J2700" i="10"/>
  <c r="I2700" i="10"/>
  <c r="J2699" i="10"/>
  <c r="I2699" i="10"/>
  <c r="J2698" i="10"/>
  <c r="I2698" i="10"/>
  <c r="J2697" i="10"/>
  <c r="I2697" i="10"/>
  <c r="J2696" i="10"/>
  <c r="I2696" i="10"/>
  <c r="J2695" i="10"/>
  <c r="I2695" i="10"/>
  <c r="J2694" i="10"/>
  <c r="I2694" i="10"/>
  <c r="J2693" i="10"/>
  <c r="I2693" i="10"/>
  <c r="J2692" i="10"/>
  <c r="I2692" i="10"/>
  <c r="J2691" i="10"/>
  <c r="I2691" i="10"/>
  <c r="J2690" i="10"/>
  <c r="I2690" i="10"/>
  <c r="J2689" i="10"/>
  <c r="I2689" i="10"/>
  <c r="J2688" i="10"/>
  <c r="I2688" i="10"/>
  <c r="J2687" i="10"/>
  <c r="I2687" i="10"/>
  <c r="J2686" i="10"/>
  <c r="I2686" i="10"/>
  <c r="J2685" i="10"/>
  <c r="I2685" i="10"/>
  <c r="J2684" i="10"/>
  <c r="I2684" i="10"/>
  <c r="J2683" i="10"/>
  <c r="I2683" i="10"/>
  <c r="J2682" i="10"/>
  <c r="I2682" i="10"/>
  <c r="J2681" i="10"/>
  <c r="I2681" i="10"/>
  <c r="J2680" i="10"/>
  <c r="I2680" i="10"/>
  <c r="J2679" i="10"/>
  <c r="I2679" i="10"/>
  <c r="J2678" i="10"/>
  <c r="I2678" i="10"/>
  <c r="J2677" i="10"/>
  <c r="I2677" i="10"/>
  <c r="J2676" i="10"/>
  <c r="I2676" i="10"/>
  <c r="J2675" i="10"/>
  <c r="I2675" i="10"/>
  <c r="J2674" i="10"/>
  <c r="I2674" i="10"/>
  <c r="J2673" i="10"/>
  <c r="I2673" i="10"/>
  <c r="J2672" i="10"/>
  <c r="I2672" i="10"/>
  <c r="J2671" i="10"/>
  <c r="I2671" i="10"/>
  <c r="J2670" i="10"/>
  <c r="I2670" i="10"/>
  <c r="J2669" i="10"/>
  <c r="I2669" i="10"/>
  <c r="J2668" i="10"/>
  <c r="I2668" i="10"/>
  <c r="J2667" i="10"/>
  <c r="I2667" i="10"/>
  <c r="J2666" i="10"/>
  <c r="I2666" i="10"/>
  <c r="J2665" i="10"/>
  <c r="I2665" i="10"/>
  <c r="J2664" i="10"/>
  <c r="I2664" i="10"/>
  <c r="J2663" i="10"/>
  <c r="I2663" i="10"/>
  <c r="J2662" i="10"/>
  <c r="I2662" i="10"/>
  <c r="J2661" i="10"/>
  <c r="I2661" i="10"/>
  <c r="J2660" i="10"/>
  <c r="I2660" i="10"/>
  <c r="J2659" i="10"/>
  <c r="I2659" i="10"/>
  <c r="J2658" i="10"/>
  <c r="I2658" i="10"/>
  <c r="J2657" i="10"/>
  <c r="I2657" i="10"/>
  <c r="J2656" i="10"/>
  <c r="I2656" i="10"/>
  <c r="J2655" i="10"/>
  <c r="I2655" i="10"/>
  <c r="J2654" i="10"/>
  <c r="I2654" i="10"/>
  <c r="J2653" i="10"/>
  <c r="I2653" i="10"/>
  <c r="J2652" i="10"/>
  <c r="I2652" i="10"/>
  <c r="J2651" i="10"/>
  <c r="I2651" i="10"/>
  <c r="J2650" i="10"/>
  <c r="I2650" i="10"/>
  <c r="J2649" i="10"/>
  <c r="I2649" i="10"/>
  <c r="J2648" i="10"/>
  <c r="I2648" i="10"/>
  <c r="J2647" i="10"/>
  <c r="I2647" i="10"/>
  <c r="J2646" i="10"/>
  <c r="I2646" i="10"/>
  <c r="J2645" i="10"/>
  <c r="I2645" i="10"/>
  <c r="J2644" i="10"/>
  <c r="I2644" i="10"/>
  <c r="J2643" i="10"/>
  <c r="I2643" i="10"/>
  <c r="J2642" i="10"/>
  <c r="I2642" i="10"/>
  <c r="J2641" i="10"/>
  <c r="I2641" i="10"/>
  <c r="J2640" i="10"/>
  <c r="I2640" i="10"/>
  <c r="J2639" i="10"/>
  <c r="I2639" i="10"/>
  <c r="J2638" i="10"/>
  <c r="I2638" i="10"/>
  <c r="J2637" i="10"/>
  <c r="I2637" i="10"/>
  <c r="J2636" i="10"/>
  <c r="I2636" i="10"/>
  <c r="J2635" i="10"/>
  <c r="I2635" i="10"/>
  <c r="J2634" i="10"/>
  <c r="I2634" i="10"/>
  <c r="J2633" i="10"/>
  <c r="I2633" i="10"/>
  <c r="J2632" i="10"/>
  <c r="I2632" i="10"/>
  <c r="J2631" i="10"/>
  <c r="I2631" i="10"/>
  <c r="J2630" i="10"/>
  <c r="I2630" i="10"/>
  <c r="J2629" i="10"/>
  <c r="I2629" i="10"/>
  <c r="J2628" i="10"/>
  <c r="I2628" i="10"/>
  <c r="J2627" i="10"/>
  <c r="I2627" i="10"/>
  <c r="J2626" i="10"/>
  <c r="I2626" i="10"/>
  <c r="J2625" i="10"/>
  <c r="I2625" i="10"/>
  <c r="J2624" i="10"/>
  <c r="I2624" i="10"/>
  <c r="J2623" i="10"/>
  <c r="I2623" i="10"/>
  <c r="J2622" i="10"/>
  <c r="I2622" i="10"/>
  <c r="J2621" i="10"/>
  <c r="I2621" i="10"/>
  <c r="J2620" i="10"/>
  <c r="I2620" i="10"/>
  <c r="J2619" i="10"/>
  <c r="I2619" i="10"/>
  <c r="J2618" i="10"/>
  <c r="I2618" i="10"/>
  <c r="J2617" i="10"/>
  <c r="I2617" i="10"/>
  <c r="J2616" i="10"/>
  <c r="I2616" i="10"/>
  <c r="J2615" i="10"/>
  <c r="I2615" i="10"/>
  <c r="J2614" i="10"/>
  <c r="I2614" i="10"/>
  <c r="J2613" i="10"/>
  <c r="I2613" i="10"/>
  <c r="J2612" i="10"/>
  <c r="I2612" i="10"/>
  <c r="J2611" i="10"/>
  <c r="I2611" i="10"/>
  <c r="J2610" i="10"/>
  <c r="I2610" i="10"/>
  <c r="J2609" i="10"/>
  <c r="I2609" i="10"/>
  <c r="J2608" i="10"/>
  <c r="I2608" i="10"/>
  <c r="J2607" i="10"/>
  <c r="I2607" i="10"/>
  <c r="J2606" i="10"/>
  <c r="I2606" i="10"/>
  <c r="J2605" i="10"/>
  <c r="I2605" i="10"/>
  <c r="J2604" i="10"/>
  <c r="I2604" i="10"/>
  <c r="J2603" i="10"/>
  <c r="I2603" i="10"/>
  <c r="J2602" i="10"/>
  <c r="I2602" i="10"/>
  <c r="J2601" i="10"/>
  <c r="I2601" i="10"/>
  <c r="J2600" i="10"/>
  <c r="I2600" i="10"/>
  <c r="J2599" i="10"/>
  <c r="I2599" i="10"/>
  <c r="J2598" i="10"/>
  <c r="I2598" i="10"/>
  <c r="J2597" i="10"/>
  <c r="I2597" i="10"/>
  <c r="J2596" i="10"/>
  <c r="I2596" i="10"/>
  <c r="J2595" i="10"/>
  <c r="I2595" i="10"/>
  <c r="J2594" i="10"/>
  <c r="I2594" i="10"/>
  <c r="J2593" i="10"/>
  <c r="I2593" i="10"/>
  <c r="J2592" i="10"/>
  <c r="I2592" i="10"/>
  <c r="J2591" i="10"/>
  <c r="I2591" i="10"/>
  <c r="J2590" i="10"/>
  <c r="I2590" i="10"/>
  <c r="J2589" i="10"/>
  <c r="I2589" i="10"/>
  <c r="J2588" i="10"/>
  <c r="I2588" i="10"/>
  <c r="J2587" i="10"/>
  <c r="I2587" i="10"/>
  <c r="J2586" i="10"/>
  <c r="I2586" i="10"/>
  <c r="J2585" i="10"/>
  <c r="I2585" i="10"/>
  <c r="J2584" i="10"/>
  <c r="I2584" i="10"/>
  <c r="J2583" i="10"/>
  <c r="I2583" i="10"/>
  <c r="J2582" i="10"/>
  <c r="I2582" i="10"/>
  <c r="J2581" i="10"/>
  <c r="I2581" i="10"/>
  <c r="J2580" i="10"/>
  <c r="I2580" i="10"/>
  <c r="J2579" i="10"/>
  <c r="I2579" i="10"/>
  <c r="J2578" i="10"/>
  <c r="I2578" i="10"/>
  <c r="J2577" i="10"/>
  <c r="I2577" i="10"/>
  <c r="J2576" i="10"/>
  <c r="I2576" i="10"/>
  <c r="J2575" i="10"/>
  <c r="I2575" i="10"/>
  <c r="J2574" i="10"/>
  <c r="I2574" i="10"/>
  <c r="J2573" i="10"/>
  <c r="I2573" i="10"/>
  <c r="J2572" i="10"/>
  <c r="I2572" i="10"/>
  <c r="J2571" i="10"/>
  <c r="I2571" i="10"/>
  <c r="J2570" i="10"/>
  <c r="I2570" i="10"/>
  <c r="J2569" i="10"/>
  <c r="I2569" i="10"/>
  <c r="J2568" i="10"/>
  <c r="I2568" i="10"/>
  <c r="J2567" i="10"/>
  <c r="I2567" i="10"/>
  <c r="J2566" i="10"/>
  <c r="I2566" i="10"/>
  <c r="J2565" i="10"/>
  <c r="I2565" i="10"/>
  <c r="J2564" i="10"/>
  <c r="I2564" i="10"/>
  <c r="J2563" i="10"/>
  <c r="I2563" i="10"/>
  <c r="J2562" i="10"/>
  <c r="I2562" i="10"/>
  <c r="J2561" i="10"/>
  <c r="I2561" i="10"/>
  <c r="J2560" i="10"/>
  <c r="I2560" i="10"/>
  <c r="J2559" i="10"/>
  <c r="I2559" i="10"/>
  <c r="J2558" i="10"/>
  <c r="I2558" i="10"/>
  <c r="J2557" i="10"/>
  <c r="I2557" i="10"/>
  <c r="J2556" i="10"/>
  <c r="I2556" i="10"/>
  <c r="J2555" i="10"/>
  <c r="I2555" i="10"/>
  <c r="J2554" i="10"/>
  <c r="I2554" i="10"/>
  <c r="J2553" i="10"/>
  <c r="I2553" i="10"/>
  <c r="J2552" i="10"/>
  <c r="I2552" i="10"/>
  <c r="J2551" i="10"/>
  <c r="I2551" i="10"/>
  <c r="J2550" i="10"/>
  <c r="I2550" i="10"/>
  <c r="J2549" i="10"/>
  <c r="I2549" i="10"/>
  <c r="J2548" i="10"/>
  <c r="I2548" i="10"/>
  <c r="J2547" i="10"/>
  <c r="I2547" i="10"/>
  <c r="J2546" i="10"/>
  <c r="I2546" i="10"/>
  <c r="J2545" i="10"/>
  <c r="I2545" i="10"/>
  <c r="J2544" i="10"/>
  <c r="I2544" i="10"/>
  <c r="J2543" i="10"/>
  <c r="I2543" i="10"/>
  <c r="J2542" i="10"/>
  <c r="I2542" i="10"/>
  <c r="J2541" i="10"/>
  <c r="I2541" i="10"/>
  <c r="J2540" i="10"/>
  <c r="I2540" i="10"/>
  <c r="J2539" i="10"/>
  <c r="I2539" i="10"/>
  <c r="J2538" i="10"/>
  <c r="I2538" i="10"/>
  <c r="J2537" i="10"/>
  <c r="I2537" i="10"/>
  <c r="J2536" i="10"/>
  <c r="I2536" i="10"/>
  <c r="J2535" i="10"/>
  <c r="I2535" i="10"/>
  <c r="J2534" i="10"/>
  <c r="I2534" i="10"/>
  <c r="J2533" i="10"/>
  <c r="I2533" i="10"/>
  <c r="J2532" i="10"/>
  <c r="I2532" i="10"/>
  <c r="J2531" i="10"/>
  <c r="I2531" i="10"/>
  <c r="J2530" i="10"/>
  <c r="I2530" i="10"/>
  <c r="J2529" i="10"/>
  <c r="I2529" i="10"/>
  <c r="J2528" i="10"/>
  <c r="I2528" i="10"/>
  <c r="J2527" i="10"/>
  <c r="I2527" i="10"/>
  <c r="J2526" i="10"/>
  <c r="I2526" i="10"/>
  <c r="J2525" i="10"/>
  <c r="I2525" i="10"/>
  <c r="J2524" i="10"/>
  <c r="I2524" i="10"/>
  <c r="J2523" i="10"/>
  <c r="I2523" i="10"/>
  <c r="J2522" i="10"/>
  <c r="I2522" i="10"/>
  <c r="J2521" i="10"/>
  <c r="I2521" i="10"/>
  <c r="J2520" i="10"/>
  <c r="I2520" i="10"/>
  <c r="J2519" i="10"/>
  <c r="I2519" i="10"/>
  <c r="J2518" i="10"/>
  <c r="I2518" i="10"/>
  <c r="J2517" i="10"/>
  <c r="I2517" i="10"/>
  <c r="J2516" i="10"/>
  <c r="I2516" i="10"/>
  <c r="J2515" i="10"/>
  <c r="I2515" i="10"/>
  <c r="J2514" i="10"/>
  <c r="I2514" i="10"/>
  <c r="J2513" i="10"/>
  <c r="I2513" i="10"/>
  <c r="J2512" i="10"/>
  <c r="I2512" i="10"/>
  <c r="J2511" i="10"/>
  <c r="I2511" i="10"/>
  <c r="J2510" i="10"/>
  <c r="I2510" i="10"/>
  <c r="J2509" i="10"/>
  <c r="I2509" i="10"/>
  <c r="J2508" i="10"/>
  <c r="I2508" i="10"/>
  <c r="J2507" i="10"/>
  <c r="I2507" i="10"/>
  <c r="J2506" i="10"/>
  <c r="I2506" i="10"/>
  <c r="J2505" i="10"/>
  <c r="I2505" i="10"/>
  <c r="J2504" i="10"/>
  <c r="I2504" i="10"/>
  <c r="J2503" i="10"/>
  <c r="I2503" i="10"/>
  <c r="J2502" i="10"/>
  <c r="I2502" i="10"/>
  <c r="J2501" i="10"/>
  <c r="I2501" i="10"/>
  <c r="J2500" i="10"/>
  <c r="I2500" i="10"/>
  <c r="J2499" i="10"/>
  <c r="I2499" i="10"/>
  <c r="J2498" i="10"/>
  <c r="I2498" i="10"/>
  <c r="J2497" i="10"/>
  <c r="I2497" i="10"/>
  <c r="J2496" i="10"/>
  <c r="I2496" i="10"/>
  <c r="J2495" i="10"/>
  <c r="I2495" i="10"/>
  <c r="J2494" i="10"/>
  <c r="I2494" i="10"/>
  <c r="J2493" i="10"/>
  <c r="I2493" i="10"/>
  <c r="J2492" i="10"/>
  <c r="I2492" i="10"/>
  <c r="J2491" i="10"/>
  <c r="I2491" i="10"/>
  <c r="J2490" i="10"/>
  <c r="I2490" i="10"/>
  <c r="J2489" i="10"/>
  <c r="I2489" i="10"/>
  <c r="J2488" i="10"/>
  <c r="I2488" i="10"/>
  <c r="J2487" i="10"/>
  <c r="I2487" i="10"/>
  <c r="J2486" i="10"/>
  <c r="I2486" i="10"/>
  <c r="J2485" i="10"/>
  <c r="I2485" i="10"/>
  <c r="J2484" i="10"/>
  <c r="I2484" i="10"/>
  <c r="J2483" i="10"/>
  <c r="I2483" i="10"/>
  <c r="J2482" i="10"/>
  <c r="I2482" i="10"/>
  <c r="J2481" i="10"/>
  <c r="I2481" i="10"/>
  <c r="J2480" i="10"/>
  <c r="I2480" i="10"/>
  <c r="J2479" i="10"/>
  <c r="I2479" i="10"/>
  <c r="J2478" i="10"/>
  <c r="I2478" i="10"/>
  <c r="J2477" i="10"/>
  <c r="I2477" i="10"/>
  <c r="J2476" i="10"/>
  <c r="I2476" i="10"/>
  <c r="J2475" i="10"/>
  <c r="I2475" i="10"/>
  <c r="J2474" i="10"/>
  <c r="I2474" i="10"/>
  <c r="J2473" i="10"/>
  <c r="I2473" i="10"/>
  <c r="J2472" i="10"/>
  <c r="I2472" i="10"/>
  <c r="J2471" i="10"/>
  <c r="I2471" i="10"/>
  <c r="J2470" i="10"/>
  <c r="I2470" i="10"/>
  <c r="J2469" i="10"/>
  <c r="I2469" i="10"/>
  <c r="J2468" i="10"/>
  <c r="I2468" i="10"/>
  <c r="J2467" i="10"/>
  <c r="I2467" i="10"/>
  <c r="J2466" i="10"/>
  <c r="I2466" i="10"/>
  <c r="J2465" i="10"/>
  <c r="I2465" i="10"/>
  <c r="J2464" i="10"/>
  <c r="I2464" i="10"/>
  <c r="J2463" i="10"/>
  <c r="I2463" i="10"/>
  <c r="J2462" i="10"/>
  <c r="I2462" i="10"/>
  <c r="J2461" i="10"/>
  <c r="I2461" i="10"/>
  <c r="J2460" i="10"/>
  <c r="I2460" i="10"/>
  <c r="J2459" i="10"/>
  <c r="I2459" i="10"/>
  <c r="J2458" i="10"/>
  <c r="I2458" i="10"/>
  <c r="J2457" i="10"/>
  <c r="I2457" i="10"/>
  <c r="J2456" i="10"/>
  <c r="I2456" i="10"/>
  <c r="J2455" i="10"/>
  <c r="I2455" i="10"/>
  <c r="J2454" i="10"/>
  <c r="I2454" i="10"/>
  <c r="J2453" i="10"/>
  <c r="I2453" i="10"/>
  <c r="J2452" i="10"/>
  <c r="I2452" i="10"/>
  <c r="J2451" i="10"/>
  <c r="I2451" i="10"/>
  <c r="J2450" i="10"/>
  <c r="I2450" i="10"/>
  <c r="J2449" i="10"/>
  <c r="I2449" i="10"/>
  <c r="J2448" i="10"/>
  <c r="I2448" i="10"/>
  <c r="J2447" i="10"/>
  <c r="I2447" i="10"/>
  <c r="J2446" i="10"/>
  <c r="I2446" i="10"/>
  <c r="J2445" i="10"/>
  <c r="I2445" i="10"/>
  <c r="J2444" i="10"/>
  <c r="I2444" i="10"/>
  <c r="J2443" i="10"/>
  <c r="I2443" i="10"/>
  <c r="J2442" i="10"/>
  <c r="I2442" i="10"/>
  <c r="J2441" i="10"/>
  <c r="I2441" i="10"/>
  <c r="J2440" i="10"/>
  <c r="I2440" i="10"/>
  <c r="J2439" i="10"/>
  <c r="I2439" i="10"/>
  <c r="J2438" i="10"/>
  <c r="I2438" i="10"/>
  <c r="J2437" i="10"/>
  <c r="I2437" i="10"/>
  <c r="J2436" i="10"/>
  <c r="I2436" i="10"/>
  <c r="J2435" i="10"/>
  <c r="I2435" i="10"/>
  <c r="J2434" i="10"/>
  <c r="I2434" i="10"/>
  <c r="J2433" i="10"/>
  <c r="I2433" i="10"/>
  <c r="J2432" i="10"/>
  <c r="I2432" i="10"/>
  <c r="J2431" i="10"/>
  <c r="I2431" i="10"/>
  <c r="J2430" i="10"/>
  <c r="I2430" i="10"/>
  <c r="J2429" i="10"/>
  <c r="I2429" i="10"/>
  <c r="J2428" i="10"/>
  <c r="I2428" i="10"/>
  <c r="J2427" i="10"/>
  <c r="I2427" i="10"/>
  <c r="J2426" i="10"/>
  <c r="I2426" i="10"/>
  <c r="J2425" i="10"/>
  <c r="I2425" i="10"/>
  <c r="J2424" i="10"/>
  <c r="I2424" i="10"/>
  <c r="J2423" i="10"/>
  <c r="I2423" i="10"/>
  <c r="J2422" i="10"/>
  <c r="I2422" i="10"/>
  <c r="J2421" i="10"/>
  <c r="I2421" i="10"/>
  <c r="J2420" i="10"/>
  <c r="I2420" i="10"/>
  <c r="J2419" i="10"/>
  <c r="I2419" i="10"/>
  <c r="J2418" i="10"/>
  <c r="I2418" i="10"/>
  <c r="J2417" i="10"/>
  <c r="I2417" i="10"/>
  <c r="J2416" i="10"/>
  <c r="I2416" i="10"/>
  <c r="J2415" i="10"/>
  <c r="I2415" i="10"/>
  <c r="J2414" i="10"/>
  <c r="I2414" i="10"/>
  <c r="J2413" i="10"/>
  <c r="I2413" i="10"/>
  <c r="J2412" i="10"/>
  <c r="I2412" i="10"/>
  <c r="J2411" i="10"/>
  <c r="I2411" i="10"/>
  <c r="J2410" i="10"/>
  <c r="I2410" i="10"/>
  <c r="J2409" i="10"/>
  <c r="I2409" i="10"/>
  <c r="J2408" i="10"/>
  <c r="I2408" i="10"/>
  <c r="J2407" i="10"/>
  <c r="I2407" i="10"/>
  <c r="J2406" i="10"/>
  <c r="I2406" i="10"/>
  <c r="J2405" i="10"/>
  <c r="I2405" i="10"/>
  <c r="J2404" i="10"/>
  <c r="I2404" i="10"/>
  <c r="J2403" i="10"/>
  <c r="I2403" i="10"/>
  <c r="J2402" i="10"/>
  <c r="I2402" i="10"/>
  <c r="J2401" i="10"/>
  <c r="I2401" i="10"/>
  <c r="J2400" i="10"/>
  <c r="I2400" i="10"/>
  <c r="J2399" i="10"/>
  <c r="I2399" i="10"/>
  <c r="J2398" i="10"/>
  <c r="I2398" i="10"/>
  <c r="J2397" i="10"/>
  <c r="I2397" i="10"/>
  <c r="J2396" i="10"/>
  <c r="I2396" i="10"/>
  <c r="J2395" i="10"/>
  <c r="I2395" i="10"/>
  <c r="J2394" i="10"/>
  <c r="I2394" i="10"/>
  <c r="J2393" i="10"/>
  <c r="I2393" i="10"/>
  <c r="J2392" i="10"/>
  <c r="I2392" i="10"/>
  <c r="J2391" i="10"/>
  <c r="I2391" i="10"/>
  <c r="J2390" i="10"/>
  <c r="I2390" i="10"/>
  <c r="J2389" i="10"/>
  <c r="I2389" i="10"/>
  <c r="J2388" i="10"/>
  <c r="I2388" i="10"/>
  <c r="J2387" i="10"/>
  <c r="I2387" i="10"/>
  <c r="J2386" i="10"/>
  <c r="I2386" i="10"/>
  <c r="J2385" i="10"/>
  <c r="I2385" i="10"/>
  <c r="J2384" i="10"/>
  <c r="I2384" i="10"/>
  <c r="J2383" i="10"/>
  <c r="I2383" i="10"/>
  <c r="J2382" i="10"/>
  <c r="I2382" i="10"/>
  <c r="J2381" i="10"/>
  <c r="I2381" i="10"/>
  <c r="J2380" i="10"/>
  <c r="I2380" i="10"/>
  <c r="J2379" i="10"/>
  <c r="I2379" i="10"/>
  <c r="J2378" i="10"/>
  <c r="I2378" i="10"/>
  <c r="J2377" i="10"/>
  <c r="I2377" i="10"/>
  <c r="J2376" i="10"/>
  <c r="I2376" i="10"/>
  <c r="J2375" i="10"/>
  <c r="I2375" i="10"/>
  <c r="J2374" i="10"/>
  <c r="I2374" i="10"/>
  <c r="J2373" i="10"/>
  <c r="I2373" i="10"/>
  <c r="J2372" i="10"/>
  <c r="I2372" i="10"/>
  <c r="J2371" i="10"/>
  <c r="I2371" i="10"/>
  <c r="J2370" i="10"/>
  <c r="I2370" i="10"/>
  <c r="J2369" i="10"/>
  <c r="I2369" i="10"/>
  <c r="J2368" i="10"/>
  <c r="I2368" i="10"/>
  <c r="J2367" i="10"/>
  <c r="I2367" i="10"/>
  <c r="J2366" i="10"/>
  <c r="I2366" i="10"/>
  <c r="J2365" i="10"/>
  <c r="I2365" i="10"/>
  <c r="J2364" i="10"/>
  <c r="I2364" i="10"/>
  <c r="J2363" i="10"/>
  <c r="I2363" i="10"/>
  <c r="J2362" i="10"/>
  <c r="I2362" i="10"/>
  <c r="J2361" i="10"/>
  <c r="I2361" i="10"/>
  <c r="J2360" i="10"/>
  <c r="I2360" i="10"/>
  <c r="J2359" i="10"/>
  <c r="I2359" i="10"/>
  <c r="J2358" i="10"/>
  <c r="I2358" i="10"/>
  <c r="J2357" i="10"/>
  <c r="I2357" i="10"/>
  <c r="J2356" i="10"/>
  <c r="I2356" i="10"/>
  <c r="J2355" i="10"/>
  <c r="I2355" i="10"/>
  <c r="J2354" i="10"/>
  <c r="I2354" i="10"/>
  <c r="J2353" i="10"/>
  <c r="I2353" i="10"/>
  <c r="J2352" i="10"/>
  <c r="I2352" i="10"/>
  <c r="J2351" i="10"/>
  <c r="I2351" i="10"/>
  <c r="J2350" i="10"/>
  <c r="I2350" i="10"/>
  <c r="J2349" i="10"/>
  <c r="I2349" i="10"/>
  <c r="J2348" i="10"/>
  <c r="I2348" i="10"/>
  <c r="J2347" i="10"/>
  <c r="I2347" i="10"/>
  <c r="J2346" i="10"/>
  <c r="I2346" i="10"/>
  <c r="J2345" i="10"/>
  <c r="I2345" i="10"/>
  <c r="J2344" i="10"/>
  <c r="I2344" i="10"/>
  <c r="J2343" i="10"/>
  <c r="I2343" i="10"/>
  <c r="J2342" i="10"/>
  <c r="I2342" i="10"/>
  <c r="J2341" i="10"/>
  <c r="I2341" i="10"/>
  <c r="J2340" i="10"/>
  <c r="I2340" i="10"/>
  <c r="J2339" i="10"/>
  <c r="I2339" i="10"/>
  <c r="J2338" i="10"/>
  <c r="I2338" i="10"/>
  <c r="J2337" i="10"/>
  <c r="I2337" i="10"/>
  <c r="J2336" i="10"/>
  <c r="I2336" i="10"/>
  <c r="J2335" i="10"/>
  <c r="I2335" i="10"/>
  <c r="J2334" i="10"/>
  <c r="I2334" i="10"/>
  <c r="J2333" i="10"/>
  <c r="I2333" i="10"/>
  <c r="J2332" i="10"/>
  <c r="I2332" i="10"/>
  <c r="J2331" i="10"/>
  <c r="I2331" i="10"/>
  <c r="J2330" i="10"/>
  <c r="I2330" i="10"/>
  <c r="J2329" i="10"/>
  <c r="I2329" i="10"/>
  <c r="J2328" i="10"/>
  <c r="I2328" i="10"/>
  <c r="J2327" i="10"/>
  <c r="I2327" i="10"/>
  <c r="J2326" i="10"/>
  <c r="I2326" i="10"/>
  <c r="J2325" i="10"/>
  <c r="I2325" i="10"/>
  <c r="J2324" i="10"/>
  <c r="I2324" i="10"/>
  <c r="J2323" i="10"/>
  <c r="I2323" i="10"/>
  <c r="J2322" i="10"/>
  <c r="I2322" i="10"/>
  <c r="J2321" i="10"/>
  <c r="I2321" i="10"/>
  <c r="J2320" i="10"/>
  <c r="I2320" i="10"/>
  <c r="J2319" i="10"/>
  <c r="I2319" i="10"/>
  <c r="J2318" i="10"/>
  <c r="I2318" i="10"/>
  <c r="J2317" i="10"/>
  <c r="I2317" i="10"/>
  <c r="J2316" i="10"/>
  <c r="I2316" i="10"/>
  <c r="J2315" i="10"/>
  <c r="I2315" i="10"/>
  <c r="J2314" i="10"/>
  <c r="I2314" i="10"/>
  <c r="J2313" i="10"/>
  <c r="I2313" i="10"/>
  <c r="J2312" i="10"/>
  <c r="I2312" i="10"/>
  <c r="J2311" i="10"/>
  <c r="I2311" i="10"/>
  <c r="J2310" i="10"/>
  <c r="I2310" i="10"/>
  <c r="J2309" i="10"/>
  <c r="I2309" i="10"/>
  <c r="J2308" i="10"/>
  <c r="I2308" i="10"/>
  <c r="J2307" i="10"/>
  <c r="I2307" i="10"/>
  <c r="J2306" i="10"/>
  <c r="I2306" i="10"/>
  <c r="J2305" i="10"/>
  <c r="I2305" i="10"/>
  <c r="J2304" i="10"/>
  <c r="I2304" i="10"/>
  <c r="J2303" i="10"/>
  <c r="I2303" i="10"/>
  <c r="J2302" i="10"/>
  <c r="I2302" i="10"/>
  <c r="J2301" i="10"/>
  <c r="I2301" i="10"/>
  <c r="J2300" i="10"/>
  <c r="I2300" i="10"/>
  <c r="J2299" i="10"/>
  <c r="I2299" i="10"/>
  <c r="J2298" i="10"/>
  <c r="I2298" i="10"/>
  <c r="J2297" i="10"/>
  <c r="I2297" i="10"/>
  <c r="J2296" i="10"/>
  <c r="I2296" i="10"/>
  <c r="J2295" i="10"/>
  <c r="I2295" i="10"/>
  <c r="J2294" i="10"/>
  <c r="I2294" i="10"/>
  <c r="J2293" i="10"/>
  <c r="I2293" i="10"/>
  <c r="J2292" i="10"/>
  <c r="I2292" i="10"/>
  <c r="J2291" i="10"/>
  <c r="I2291" i="10"/>
  <c r="J2290" i="10"/>
  <c r="I2290" i="10"/>
  <c r="J2289" i="10"/>
  <c r="I2289" i="10"/>
  <c r="J2288" i="10"/>
  <c r="I2288" i="10"/>
  <c r="J2287" i="10"/>
  <c r="I2287" i="10"/>
  <c r="J2286" i="10"/>
  <c r="I2286" i="10"/>
  <c r="J2285" i="10"/>
  <c r="I2285" i="10"/>
  <c r="J2284" i="10"/>
  <c r="I2284" i="10"/>
  <c r="J2283" i="10"/>
  <c r="I2283" i="10"/>
  <c r="J2282" i="10"/>
  <c r="I2282" i="10"/>
  <c r="J2281" i="10"/>
  <c r="I2281" i="10"/>
  <c r="J2280" i="10"/>
  <c r="I2280" i="10"/>
  <c r="J2279" i="10"/>
  <c r="I2279" i="10"/>
  <c r="J2278" i="10"/>
  <c r="I2278" i="10"/>
  <c r="J2277" i="10"/>
  <c r="I2277" i="10"/>
  <c r="J2276" i="10"/>
  <c r="I2276" i="10"/>
  <c r="J2275" i="10"/>
  <c r="I2275" i="10"/>
  <c r="J2274" i="10"/>
  <c r="I2274" i="10"/>
  <c r="J2273" i="10"/>
  <c r="I2273" i="10"/>
  <c r="J2272" i="10"/>
  <c r="I2272" i="10"/>
  <c r="J2271" i="10"/>
  <c r="I2271" i="10"/>
  <c r="J2270" i="10"/>
  <c r="I2270" i="10"/>
  <c r="J2269" i="10"/>
  <c r="I2269" i="10"/>
  <c r="J2268" i="10"/>
  <c r="I2268" i="10"/>
  <c r="J2267" i="10"/>
  <c r="I2267" i="10"/>
  <c r="J2266" i="10"/>
  <c r="I2266" i="10"/>
  <c r="J2265" i="10"/>
  <c r="I2265" i="10"/>
  <c r="J2264" i="10"/>
  <c r="I2264" i="10"/>
  <c r="J2263" i="10"/>
  <c r="I2263" i="10"/>
  <c r="J2262" i="10"/>
  <c r="I2262" i="10"/>
  <c r="J2261" i="10"/>
  <c r="I2261" i="10"/>
  <c r="J2260" i="10"/>
  <c r="I2260" i="10"/>
  <c r="J2259" i="10"/>
  <c r="I2259" i="10"/>
  <c r="J2258" i="10"/>
  <c r="I2258" i="10"/>
  <c r="J2257" i="10"/>
  <c r="I2257" i="10"/>
  <c r="J2256" i="10"/>
  <c r="I2256" i="10"/>
  <c r="J2255" i="10"/>
  <c r="I2255" i="10"/>
  <c r="J2254" i="10"/>
  <c r="I2254" i="10"/>
  <c r="J2253" i="10"/>
  <c r="I2253" i="10"/>
  <c r="J2252" i="10"/>
  <c r="I2252" i="10"/>
  <c r="J2251" i="10"/>
  <c r="I2251" i="10"/>
  <c r="J2250" i="10"/>
  <c r="I2250" i="10"/>
  <c r="J2249" i="10"/>
  <c r="I2249" i="10"/>
  <c r="J2248" i="10"/>
  <c r="I2248" i="10"/>
  <c r="J2247" i="10"/>
  <c r="I2247" i="10"/>
  <c r="J2246" i="10"/>
  <c r="I2246" i="10"/>
  <c r="J2245" i="10"/>
  <c r="I2245" i="10"/>
  <c r="J2244" i="10"/>
  <c r="I2244" i="10"/>
  <c r="J2243" i="10"/>
  <c r="I2243" i="10"/>
  <c r="J2242" i="10"/>
  <c r="I2242" i="10"/>
  <c r="J2241" i="10"/>
  <c r="I2241" i="10"/>
  <c r="J2240" i="10"/>
  <c r="I2240" i="10"/>
  <c r="J2239" i="10"/>
  <c r="I2239" i="10"/>
  <c r="J2238" i="10"/>
  <c r="I2238" i="10"/>
  <c r="J2237" i="10"/>
  <c r="I2237" i="10"/>
  <c r="J2236" i="10"/>
  <c r="I2236" i="10"/>
  <c r="J2235" i="10"/>
  <c r="I2235" i="10"/>
  <c r="J2234" i="10"/>
  <c r="I2234" i="10"/>
  <c r="J2233" i="10"/>
  <c r="I2233" i="10"/>
  <c r="J2232" i="10"/>
  <c r="I2232" i="10"/>
  <c r="J2231" i="10"/>
  <c r="I2231" i="10"/>
  <c r="J2230" i="10"/>
  <c r="I2230" i="10"/>
  <c r="J2229" i="10"/>
  <c r="I2229" i="10"/>
  <c r="J2228" i="10"/>
  <c r="I2228" i="10"/>
  <c r="J2227" i="10"/>
  <c r="I2227" i="10"/>
  <c r="J2226" i="10"/>
  <c r="I2226" i="10"/>
  <c r="J2225" i="10"/>
  <c r="I2225" i="10"/>
  <c r="J2224" i="10"/>
  <c r="I2224" i="10"/>
  <c r="J2223" i="10"/>
  <c r="I2223" i="10"/>
  <c r="J2222" i="10"/>
  <c r="I2222" i="10"/>
  <c r="J2221" i="10"/>
  <c r="I2221" i="10"/>
  <c r="J2220" i="10"/>
  <c r="I2220" i="10"/>
  <c r="J2219" i="10"/>
  <c r="I2219" i="10"/>
  <c r="J2218" i="10"/>
  <c r="I2218" i="10"/>
  <c r="J2217" i="10"/>
  <c r="I2217" i="10"/>
  <c r="J2216" i="10"/>
  <c r="I2216" i="10"/>
  <c r="J2215" i="10"/>
  <c r="I2215" i="10"/>
  <c r="J2214" i="10"/>
  <c r="I2214" i="10"/>
  <c r="J2213" i="10"/>
  <c r="I2213" i="10"/>
  <c r="J2212" i="10"/>
  <c r="I2212" i="10"/>
  <c r="J2211" i="10"/>
  <c r="I2211" i="10"/>
  <c r="J2210" i="10"/>
  <c r="I2210" i="10"/>
  <c r="J2209" i="10"/>
  <c r="I2209" i="10"/>
  <c r="J2208" i="10"/>
  <c r="I2208" i="10"/>
  <c r="J2207" i="10"/>
  <c r="I2207" i="10"/>
  <c r="J2206" i="10"/>
  <c r="I2206" i="10"/>
  <c r="J2205" i="10"/>
  <c r="I2205" i="10"/>
  <c r="J2204" i="10"/>
  <c r="I2204" i="10"/>
  <c r="J2203" i="10"/>
  <c r="I2203" i="10"/>
  <c r="J2202" i="10"/>
  <c r="I2202" i="10"/>
  <c r="J2201" i="10"/>
  <c r="I2201" i="10"/>
  <c r="J2200" i="10"/>
  <c r="I2200" i="10"/>
  <c r="J2199" i="10"/>
  <c r="I2199" i="10"/>
  <c r="J2198" i="10"/>
  <c r="I2198" i="10"/>
  <c r="J2197" i="10"/>
  <c r="I2197" i="10"/>
  <c r="J2196" i="10"/>
  <c r="I2196" i="10"/>
  <c r="J2195" i="10"/>
  <c r="I2195" i="10"/>
  <c r="J2194" i="10"/>
  <c r="I2194" i="10"/>
  <c r="J2193" i="10"/>
  <c r="I2193" i="10"/>
  <c r="J2192" i="10"/>
  <c r="I2192" i="10"/>
  <c r="J2191" i="10"/>
  <c r="I2191" i="10"/>
  <c r="J2190" i="10"/>
  <c r="I2190" i="10"/>
  <c r="J2189" i="10"/>
  <c r="I2189" i="10"/>
  <c r="J2188" i="10"/>
  <c r="I2188" i="10"/>
  <c r="J2187" i="10"/>
  <c r="I2187" i="10"/>
  <c r="J2186" i="10"/>
  <c r="I2186" i="10"/>
  <c r="J2185" i="10"/>
  <c r="I2185" i="10"/>
  <c r="J2184" i="10"/>
  <c r="I2184" i="10"/>
  <c r="J2183" i="10"/>
  <c r="I2183" i="10"/>
  <c r="J2182" i="10"/>
  <c r="I2182" i="10"/>
  <c r="J2181" i="10"/>
  <c r="I2181" i="10"/>
  <c r="J2180" i="10"/>
  <c r="I2180" i="10"/>
  <c r="J2179" i="10"/>
  <c r="I2179" i="10"/>
  <c r="J2178" i="10"/>
  <c r="I2178" i="10"/>
  <c r="J2177" i="10"/>
  <c r="I2177" i="10"/>
  <c r="J2176" i="10"/>
  <c r="I2176" i="10"/>
  <c r="J2175" i="10"/>
  <c r="I2175" i="10"/>
  <c r="J2174" i="10"/>
  <c r="I2174" i="10"/>
  <c r="J2173" i="10"/>
  <c r="I2173" i="10"/>
  <c r="J2172" i="10"/>
  <c r="I2172" i="10"/>
  <c r="J2171" i="10"/>
  <c r="I2171" i="10"/>
  <c r="J2170" i="10"/>
  <c r="I2170" i="10"/>
  <c r="J2169" i="10"/>
  <c r="I2169" i="10"/>
  <c r="J2168" i="10"/>
  <c r="I2168" i="10"/>
  <c r="J2167" i="10"/>
  <c r="I2167" i="10"/>
  <c r="J2166" i="10"/>
  <c r="I2166" i="10"/>
  <c r="J2165" i="10"/>
  <c r="I2165" i="10"/>
  <c r="J2164" i="10"/>
  <c r="I2164" i="10"/>
  <c r="J2163" i="10"/>
  <c r="I2163" i="10"/>
  <c r="J2162" i="10"/>
  <c r="I2162" i="10"/>
  <c r="J2161" i="10"/>
  <c r="I2161" i="10"/>
  <c r="J2160" i="10"/>
  <c r="I2160" i="10"/>
  <c r="J2159" i="10"/>
  <c r="I2159" i="10"/>
  <c r="J2158" i="10"/>
  <c r="I2158" i="10"/>
  <c r="J2157" i="10"/>
  <c r="I2157" i="10"/>
  <c r="J2156" i="10"/>
  <c r="I2156" i="10"/>
  <c r="J2155" i="10"/>
  <c r="I2155" i="10"/>
  <c r="J2154" i="10"/>
  <c r="I2154" i="10"/>
  <c r="J2153" i="10"/>
  <c r="I2153" i="10"/>
  <c r="J2152" i="10"/>
  <c r="I2152" i="10"/>
  <c r="J2151" i="10"/>
  <c r="I2151" i="10"/>
  <c r="J2150" i="10"/>
  <c r="I2150" i="10"/>
  <c r="J2149" i="10"/>
  <c r="I2149" i="10"/>
  <c r="J2148" i="10"/>
  <c r="I2148" i="10"/>
  <c r="J2147" i="10"/>
  <c r="I2147" i="10"/>
  <c r="J2146" i="10"/>
  <c r="I2146" i="10"/>
  <c r="J2145" i="10"/>
  <c r="I2145" i="10"/>
  <c r="J2144" i="10"/>
  <c r="I2144" i="10"/>
  <c r="J2143" i="10"/>
  <c r="I2143" i="10"/>
  <c r="J2142" i="10"/>
  <c r="I2142" i="10"/>
  <c r="J2141" i="10"/>
  <c r="I2141" i="10"/>
  <c r="J2140" i="10"/>
  <c r="I2140" i="10"/>
  <c r="J2139" i="10"/>
  <c r="I2139" i="10"/>
  <c r="J2138" i="10"/>
  <c r="I2138" i="10"/>
  <c r="J2137" i="10"/>
  <c r="I2137" i="10"/>
  <c r="J2136" i="10"/>
  <c r="I2136" i="10"/>
  <c r="J2135" i="10"/>
  <c r="I2135" i="10"/>
  <c r="J2134" i="10"/>
  <c r="I2134" i="10"/>
  <c r="J2133" i="10"/>
  <c r="I2133" i="10"/>
  <c r="J2132" i="10"/>
  <c r="I2132" i="10"/>
  <c r="J2131" i="10"/>
  <c r="I2131" i="10"/>
  <c r="J2130" i="10"/>
  <c r="I2130" i="10"/>
  <c r="J2129" i="10"/>
  <c r="I2129" i="10"/>
  <c r="J2128" i="10"/>
  <c r="I2128" i="10"/>
  <c r="J2127" i="10"/>
  <c r="I2127" i="10"/>
  <c r="J2126" i="10"/>
  <c r="I2126" i="10"/>
  <c r="J2125" i="10"/>
  <c r="I2125" i="10"/>
  <c r="J2124" i="10"/>
  <c r="I2124" i="10"/>
  <c r="J2123" i="10"/>
  <c r="I2123" i="10"/>
  <c r="J2122" i="10"/>
  <c r="I2122" i="10"/>
  <c r="J2121" i="10"/>
  <c r="I2121" i="10"/>
  <c r="J2120" i="10"/>
  <c r="I2120" i="10"/>
  <c r="J2119" i="10"/>
  <c r="I2119" i="10"/>
  <c r="J2118" i="10"/>
  <c r="I2118" i="10"/>
  <c r="J2117" i="10"/>
  <c r="I2117" i="10"/>
  <c r="J2116" i="10"/>
  <c r="I2116" i="10"/>
  <c r="J2115" i="10"/>
  <c r="I2115" i="10"/>
  <c r="J2114" i="10"/>
  <c r="I2114" i="10"/>
  <c r="J2113" i="10"/>
  <c r="I2113" i="10"/>
  <c r="J2112" i="10"/>
  <c r="I2112" i="10"/>
  <c r="J2111" i="10"/>
  <c r="I2111" i="10"/>
  <c r="J2110" i="10"/>
  <c r="I2110" i="10"/>
  <c r="J2109" i="10"/>
  <c r="I2109" i="10"/>
  <c r="J2108" i="10"/>
  <c r="I2108" i="10"/>
  <c r="J2107" i="10"/>
  <c r="I2107" i="10"/>
  <c r="J2106" i="10"/>
  <c r="I2106" i="10"/>
  <c r="J2105" i="10"/>
  <c r="I2105" i="10"/>
  <c r="J2104" i="10"/>
  <c r="I2104" i="10"/>
  <c r="J2103" i="10"/>
  <c r="I2103" i="10"/>
  <c r="J2102" i="10"/>
  <c r="I2102" i="10"/>
  <c r="J2101" i="10"/>
  <c r="I2101" i="10"/>
  <c r="J2100" i="10"/>
  <c r="I2100" i="10"/>
  <c r="J2099" i="10"/>
  <c r="I2099" i="10"/>
  <c r="J2098" i="10"/>
  <c r="I2098" i="10"/>
  <c r="J2097" i="10"/>
  <c r="I2097" i="10"/>
  <c r="J2096" i="10"/>
  <c r="I2096" i="10"/>
  <c r="J2095" i="10"/>
  <c r="I2095" i="10"/>
  <c r="J2094" i="10"/>
  <c r="I2094" i="10"/>
  <c r="J2093" i="10"/>
  <c r="I2093" i="10"/>
  <c r="J2092" i="10"/>
  <c r="I2092" i="10"/>
  <c r="J2091" i="10"/>
  <c r="I2091" i="10"/>
  <c r="J2090" i="10"/>
  <c r="I2090" i="10"/>
  <c r="J2089" i="10"/>
  <c r="I2089" i="10"/>
  <c r="J2088" i="10"/>
  <c r="I2088" i="10"/>
  <c r="J2087" i="10"/>
  <c r="I2087" i="10"/>
  <c r="J2086" i="10"/>
  <c r="I2086" i="10"/>
  <c r="J2085" i="10"/>
  <c r="I2085" i="10"/>
  <c r="J2084" i="10"/>
  <c r="I2084" i="10"/>
  <c r="J2083" i="10"/>
  <c r="I2083" i="10"/>
  <c r="J2082" i="10"/>
  <c r="I2082" i="10"/>
  <c r="J2081" i="10"/>
  <c r="I2081" i="10"/>
  <c r="J2080" i="10"/>
  <c r="I2080" i="10"/>
  <c r="J2079" i="10"/>
  <c r="I2079" i="10"/>
  <c r="J2078" i="10"/>
  <c r="I2078" i="10"/>
  <c r="J2077" i="10"/>
  <c r="I2077" i="10"/>
  <c r="J2076" i="10"/>
  <c r="I2076" i="10"/>
  <c r="J2075" i="10"/>
  <c r="I2075" i="10"/>
  <c r="J2074" i="10"/>
  <c r="I2074" i="10"/>
  <c r="J2073" i="10"/>
  <c r="I2073" i="10"/>
  <c r="J2072" i="10"/>
  <c r="I2072" i="10"/>
  <c r="J2071" i="10"/>
  <c r="I2071" i="10"/>
  <c r="J2070" i="10"/>
  <c r="I2070" i="10"/>
  <c r="J2069" i="10"/>
  <c r="I2069" i="10"/>
  <c r="J2068" i="10"/>
  <c r="I2068" i="10"/>
  <c r="J2067" i="10"/>
  <c r="I2067" i="10"/>
  <c r="J2066" i="10"/>
  <c r="I2066" i="10"/>
  <c r="J2065" i="10"/>
  <c r="I2065" i="10"/>
  <c r="J2064" i="10"/>
  <c r="I2064" i="10"/>
  <c r="J2063" i="10"/>
  <c r="I2063" i="10"/>
  <c r="J2062" i="10"/>
  <c r="I2062" i="10"/>
  <c r="J2061" i="10"/>
  <c r="I2061" i="10"/>
  <c r="J2060" i="10"/>
  <c r="I2060" i="10"/>
  <c r="J2059" i="10"/>
  <c r="I2059" i="10"/>
  <c r="J2058" i="10"/>
  <c r="I2058" i="10"/>
  <c r="J2057" i="10"/>
  <c r="I2057" i="10"/>
  <c r="J2056" i="10"/>
  <c r="I2056" i="10"/>
  <c r="J2055" i="10"/>
  <c r="I2055" i="10"/>
  <c r="J2054" i="10"/>
  <c r="I2054" i="10"/>
  <c r="J2053" i="10"/>
  <c r="I2053" i="10"/>
  <c r="J2052" i="10"/>
  <c r="I2052" i="10"/>
  <c r="J2051" i="10"/>
  <c r="I2051" i="10"/>
  <c r="J2050" i="10"/>
  <c r="I2050" i="10"/>
  <c r="J2049" i="10"/>
  <c r="I2049" i="10"/>
  <c r="J2048" i="10"/>
  <c r="I2048" i="10"/>
  <c r="J2047" i="10"/>
  <c r="I2047" i="10"/>
  <c r="J2046" i="10"/>
  <c r="I2046" i="10"/>
  <c r="J2045" i="10"/>
  <c r="I2045" i="10"/>
  <c r="J2044" i="10"/>
  <c r="I2044" i="10"/>
  <c r="J2043" i="10"/>
  <c r="I2043" i="10"/>
  <c r="J2042" i="10"/>
  <c r="I2042" i="10"/>
  <c r="J2041" i="10"/>
  <c r="I2041" i="10"/>
  <c r="J2040" i="10"/>
  <c r="I2040" i="10"/>
  <c r="J2039" i="10"/>
  <c r="I2039" i="10"/>
  <c r="J2038" i="10"/>
  <c r="I2038" i="10"/>
  <c r="J2037" i="10"/>
  <c r="I2037" i="10"/>
  <c r="J2036" i="10"/>
  <c r="I2036" i="10"/>
  <c r="J2035" i="10"/>
  <c r="I2035" i="10"/>
  <c r="J2034" i="10"/>
  <c r="I2034" i="10"/>
  <c r="J2033" i="10"/>
  <c r="I2033" i="10"/>
  <c r="J2032" i="10"/>
  <c r="I2032" i="10"/>
  <c r="J2031" i="10"/>
  <c r="I2031" i="10"/>
  <c r="J2030" i="10"/>
  <c r="I2030" i="10"/>
  <c r="J2029" i="10"/>
  <c r="I2029" i="10"/>
  <c r="J2028" i="10"/>
  <c r="I2028" i="10"/>
  <c r="J2027" i="10"/>
  <c r="I2027" i="10"/>
  <c r="J2026" i="10"/>
  <c r="I2026" i="10"/>
  <c r="J2025" i="10"/>
  <c r="I2025" i="10"/>
  <c r="J2024" i="10"/>
  <c r="I2024" i="10"/>
  <c r="J2023" i="10"/>
  <c r="I2023" i="10"/>
  <c r="J2022" i="10"/>
  <c r="I2022" i="10"/>
  <c r="J2021" i="10"/>
  <c r="I2021" i="10"/>
  <c r="J2020" i="10"/>
  <c r="I2020" i="10"/>
  <c r="J2019" i="10"/>
  <c r="I2019" i="10"/>
  <c r="J2018" i="10"/>
  <c r="I2018" i="10"/>
  <c r="J2017" i="10"/>
  <c r="I2017" i="10"/>
  <c r="J2016" i="10"/>
  <c r="I2016" i="10"/>
  <c r="J2015" i="10"/>
  <c r="I2015" i="10"/>
  <c r="J2014" i="10"/>
  <c r="I2014" i="10"/>
  <c r="J2013" i="10"/>
  <c r="I2013" i="10"/>
  <c r="J2012" i="10"/>
  <c r="I2012" i="10"/>
  <c r="J2011" i="10"/>
  <c r="I2011" i="10"/>
  <c r="J2010" i="10"/>
  <c r="I2010" i="10"/>
  <c r="J2009" i="10"/>
  <c r="I2009" i="10"/>
  <c r="J2008" i="10"/>
  <c r="I2008" i="10"/>
  <c r="J2007" i="10"/>
  <c r="I2007" i="10"/>
  <c r="J2006" i="10"/>
  <c r="I2006" i="10"/>
  <c r="J2005" i="10"/>
  <c r="I2005" i="10"/>
  <c r="J2004" i="10"/>
  <c r="I2004" i="10"/>
  <c r="J2003" i="10"/>
  <c r="I2003" i="10"/>
  <c r="J2002" i="10"/>
  <c r="I2002" i="10"/>
  <c r="L2001" i="10"/>
  <c r="J2001" i="10"/>
  <c r="I2001" i="10"/>
  <c r="L2000" i="10"/>
  <c r="J2000" i="10"/>
  <c r="I2000" i="10"/>
  <c r="L1999" i="10"/>
  <c r="J1999" i="10"/>
  <c r="I1999" i="10"/>
  <c r="L1998" i="10"/>
  <c r="J1998" i="10"/>
  <c r="I1998" i="10"/>
  <c r="L1997" i="10"/>
  <c r="J1997" i="10"/>
  <c r="I1997" i="10"/>
  <c r="L1996" i="10"/>
  <c r="J1996" i="10"/>
  <c r="I1996" i="10"/>
  <c r="L1995" i="10"/>
  <c r="J1995" i="10"/>
  <c r="I1995" i="10"/>
  <c r="L1994" i="10"/>
  <c r="J1994" i="10"/>
  <c r="I1994" i="10"/>
  <c r="L1993" i="10"/>
  <c r="J1993" i="10"/>
  <c r="I1993" i="10"/>
  <c r="L1992" i="10"/>
  <c r="J1992" i="10"/>
  <c r="I1992" i="10"/>
  <c r="L1991" i="10"/>
  <c r="J1991" i="10"/>
  <c r="I1991" i="10"/>
  <c r="L1990" i="10"/>
  <c r="J1990" i="10"/>
  <c r="I1990" i="10"/>
  <c r="L1989" i="10"/>
  <c r="J1989" i="10"/>
  <c r="I1989" i="10"/>
  <c r="L1988" i="10"/>
  <c r="J1988" i="10"/>
  <c r="I1988" i="10"/>
  <c r="L1987" i="10"/>
  <c r="J1987" i="10"/>
  <c r="I1987" i="10"/>
  <c r="L1986" i="10"/>
  <c r="J1986" i="10"/>
  <c r="I1986" i="10"/>
  <c r="L1985" i="10"/>
  <c r="J1985" i="10"/>
  <c r="I1985" i="10"/>
  <c r="L1984" i="10"/>
  <c r="J1984" i="10"/>
  <c r="I1984" i="10"/>
  <c r="L1983" i="10"/>
  <c r="J1983" i="10"/>
  <c r="I1983" i="10"/>
  <c r="L1982" i="10"/>
  <c r="J1982" i="10"/>
  <c r="I1982" i="10"/>
  <c r="L1981" i="10"/>
  <c r="J1981" i="10"/>
  <c r="I1981" i="10"/>
  <c r="L1980" i="10"/>
  <c r="J1980" i="10"/>
  <c r="I1980" i="10"/>
  <c r="L1979" i="10"/>
  <c r="J1979" i="10"/>
  <c r="I1979" i="10"/>
  <c r="L1978" i="10"/>
  <c r="J1978" i="10"/>
  <c r="I1978" i="10"/>
  <c r="L1977" i="10"/>
  <c r="J1977" i="10"/>
  <c r="I1977" i="10"/>
  <c r="L1976" i="10"/>
  <c r="J1976" i="10"/>
  <c r="I1976" i="10"/>
  <c r="L1975" i="10"/>
  <c r="J1975" i="10"/>
  <c r="I1975" i="10"/>
  <c r="L1974" i="10"/>
  <c r="J1974" i="10"/>
  <c r="I1974" i="10"/>
  <c r="L1973" i="10"/>
  <c r="J1973" i="10"/>
  <c r="I1973" i="10"/>
  <c r="L1972" i="10"/>
  <c r="J1972" i="10"/>
  <c r="I1972" i="10"/>
  <c r="L1971" i="10"/>
  <c r="J1971" i="10"/>
  <c r="I1971" i="10"/>
  <c r="L1970" i="10"/>
  <c r="J1970" i="10"/>
  <c r="I1970" i="10"/>
  <c r="L1969" i="10"/>
  <c r="J1969" i="10"/>
  <c r="I1969" i="10"/>
  <c r="L1968" i="10"/>
  <c r="J1968" i="10"/>
  <c r="I1968" i="10"/>
  <c r="L1967" i="10"/>
  <c r="J1967" i="10"/>
  <c r="I1967" i="10"/>
  <c r="L1966" i="10"/>
  <c r="J1966" i="10"/>
  <c r="I1966" i="10"/>
  <c r="L1965" i="10"/>
  <c r="J1965" i="10"/>
  <c r="I1965" i="10"/>
  <c r="L1964" i="10"/>
  <c r="J1964" i="10"/>
  <c r="I1964" i="10"/>
  <c r="L1963" i="10"/>
  <c r="J1963" i="10"/>
  <c r="I1963" i="10"/>
  <c r="L1962" i="10"/>
  <c r="J1962" i="10"/>
  <c r="I1962" i="10"/>
  <c r="L1961" i="10"/>
  <c r="J1961" i="10"/>
  <c r="I1961" i="10"/>
  <c r="L1960" i="10"/>
  <c r="J1960" i="10"/>
  <c r="I1960" i="10"/>
  <c r="L1959" i="10"/>
  <c r="J1959" i="10"/>
  <c r="I1959" i="10"/>
  <c r="L1958" i="10"/>
  <c r="J1958" i="10"/>
  <c r="I1958" i="10"/>
  <c r="L1957" i="10"/>
  <c r="J1957" i="10"/>
  <c r="I1957" i="10"/>
  <c r="L1956" i="10"/>
  <c r="J1956" i="10"/>
  <c r="I1956" i="10"/>
  <c r="L1955" i="10"/>
  <c r="J1955" i="10"/>
  <c r="I1955" i="10"/>
  <c r="L1954" i="10"/>
  <c r="J1954" i="10"/>
  <c r="I1954" i="10"/>
  <c r="L1953" i="10"/>
  <c r="J1953" i="10"/>
  <c r="I1953" i="10"/>
  <c r="L1952" i="10"/>
  <c r="J1952" i="10"/>
  <c r="I1952" i="10"/>
  <c r="L1951" i="10"/>
  <c r="J1951" i="10"/>
  <c r="I1951" i="10"/>
  <c r="L1950" i="10"/>
  <c r="J1950" i="10"/>
  <c r="I1950" i="10"/>
  <c r="L1949" i="10"/>
  <c r="J1949" i="10"/>
  <c r="I1949" i="10"/>
  <c r="L1948" i="10"/>
  <c r="J1948" i="10"/>
  <c r="I1948" i="10"/>
  <c r="L1947" i="10"/>
  <c r="J1947" i="10"/>
  <c r="I1947" i="10"/>
  <c r="L1946" i="10"/>
  <c r="J1946" i="10"/>
  <c r="I1946" i="10"/>
  <c r="L1945" i="10"/>
  <c r="J1945" i="10"/>
  <c r="I1945" i="10"/>
  <c r="L1944" i="10"/>
  <c r="J1944" i="10"/>
  <c r="I1944" i="10"/>
  <c r="L1943" i="10"/>
  <c r="J1943" i="10"/>
  <c r="I1943" i="10"/>
  <c r="L1942" i="10"/>
  <c r="J1942" i="10"/>
  <c r="I1942" i="10"/>
  <c r="L1941" i="10"/>
  <c r="J1941" i="10"/>
  <c r="I1941" i="10"/>
  <c r="L1940" i="10"/>
  <c r="J1940" i="10"/>
  <c r="I1940" i="10"/>
  <c r="L1939" i="10"/>
  <c r="J1939" i="10"/>
  <c r="I1939" i="10"/>
  <c r="L1938" i="10"/>
  <c r="J1938" i="10"/>
  <c r="I1938" i="10"/>
  <c r="L1937" i="10"/>
  <c r="J1937" i="10"/>
  <c r="I1937" i="10"/>
  <c r="L1936" i="10"/>
  <c r="J1936" i="10"/>
  <c r="I1936" i="10"/>
  <c r="L1935" i="10"/>
  <c r="J1935" i="10"/>
  <c r="I1935" i="10"/>
  <c r="L1934" i="10"/>
  <c r="J1934" i="10"/>
  <c r="I1934" i="10"/>
  <c r="L1933" i="10"/>
  <c r="J1933" i="10"/>
  <c r="I1933" i="10"/>
  <c r="L1932" i="10"/>
  <c r="J1932" i="10"/>
  <c r="I1932" i="10"/>
  <c r="L1931" i="10"/>
  <c r="J1931" i="10"/>
  <c r="I1931" i="10"/>
  <c r="L1930" i="10"/>
  <c r="J1930" i="10"/>
  <c r="I1930" i="10"/>
  <c r="L1929" i="10"/>
  <c r="J1929" i="10"/>
  <c r="I1929" i="10"/>
  <c r="L1928" i="10"/>
  <c r="J1928" i="10"/>
  <c r="I1928" i="10"/>
  <c r="L1927" i="10"/>
  <c r="J1927" i="10"/>
  <c r="I1927" i="10"/>
  <c r="L1926" i="10"/>
  <c r="J1926" i="10"/>
  <c r="I1926" i="10"/>
  <c r="L1925" i="10"/>
  <c r="J1925" i="10"/>
  <c r="I1925" i="10"/>
  <c r="L1924" i="10"/>
  <c r="J1924" i="10"/>
  <c r="I1924" i="10"/>
  <c r="L1923" i="10"/>
  <c r="J1923" i="10"/>
  <c r="I1923" i="10"/>
  <c r="L1922" i="10"/>
  <c r="J1922" i="10"/>
  <c r="I1922" i="10"/>
  <c r="L1921" i="10"/>
  <c r="J1921" i="10"/>
  <c r="I1921" i="10"/>
  <c r="L1920" i="10"/>
  <c r="J1920" i="10"/>
  <c r="I1920" i="10"/>
  <c r="L1919" i="10"/>
  <c r="J1919" i="10"/>
  <c r="I1919" i="10"/>
  <c r="L1918" i="10"/>
  <c r="J1918" i="10"/>
  <c r="I1918" i="10"/>
  <c r="L1917" i="10"/>
  <c r="J1917" i="10"/>
  <c r="I1917" i="10"/>
  <c r="L1916" i="10"/>
  <c r="J1916" i="10"/>
  <c r="I1916" i="10"/>
  <c r="L1915" i="10"/>
  <c r="J1915" i="10"/>
  <c r="I1915" i="10"/>
  <c r="L1914" i="10"/>
  <c r="J1914" i="10"/>
  <c r="I1914" i="10"/>
  <c r="L1913" i="10"/>
  <c r="J1913" i="10"/>
  <c r="I1913" i="10"/>
  <c r="L1912" i="10"/>
  <c r="J1912" i="10"/>
  <c r="I1912" i="10"/>
  <c r="L1911" i="10"/>
  <c r="J1911" i="10"/>
  <c r="I1911" i="10"/>
  <c r="L1910" i="10"/>
  <c r="J1910" i="10"/>
  <c r="I1910" i="10"/>
  <c r="L1909" i="10"/>
  <c r="J1909" i="10"/>
  <c r="I1909" i="10"/>
  <c r="L1908" i="10"/>
  <c r="J1908" i="10"/>
  <c r="I1908" i="10"/>
  <c r="L1907" i="10"/>
  <c r="J1907" i="10"/>
  <c r="I1907" i="10"/>
  <c r="L1906" i="10"/>
  <c r="J1906" i="10"/>
  <c r="I1906" i="10"/>
  <c r="L1905" i="10"/>
  <c r="J1905" i="10"/>
  <c r="I1905" i="10"/>
  <c r="L1904" i="10"/>
  <c r="J1904" i="10"/>
  <c r="I1904" i="10"/>
  <c r="L1903" i="10"/>
  <c r="J1903" i="10"/>
  <c r="I1903" i="10"/>
  <c r="L1902" i="10"/>
  <c r="J1902" i="10"/>
  <c r="I1902" i="10"/>
  <c r="L1901" i="10"/>
  <c r="J1901" i="10"/>
  <c r="I1901" i="10"/>
  <c r="L1900" i="10"/>
  <c r="J1900" i="10"/>
  <c r="I1900" i="10"/>
  <c r="L1899" i="10"/>
  <c r="J1899" i="10"/>
  <c r="I1899" i="10"/>
  <c r="L1898" i="10"/>
  <c r="J1898" i="10"/>
  <c r="I1898" i="10"/>
  <c r="L1897" i="10"/>
  <c r="J1897" i="10"/>
  <c r="I1897" i="10"/>
  <c r="L1896" i="10"/>
  <c r="J1896" i="10"/>
  <c r="I1896" i="10"/>
  <c r="L1895" i="10"/>
  <c r="J1895" i="10"/>
  <c r="I1895" i="10"/>
  <c r="L1894" i="10"/>
  <c r="J1894" i="10"/>
  <c r="I1894" i="10"/>
  <c r="L1893" i="10"/>
  <c r="J1893" i="10"/>
  <c r="I1893" i="10"/>
  <c r="L1892" i="10"/>
  <c r="J1892" i="10"/>
  <c r="I1892" i="10"/>
  <c r="L1891" i="10"/>
  <c r="J1891" i="10"/>
  <c r="I1891" i="10"/>
  <c r="L1890" i="10"/>
  <c r="J1890" i="10"/>
  <c r="I1890" i="10"/>
  <c r="L1889" i="10"/>
  <c r="J1889" i="10"/>
  <c r="I1889" i="10"/>
  <c r="L1888" i="10"/>
  <c r="J1888" i="10"/>
  <c r="I1888" i="10"/>
  <c r="L1887" i="10"/>
  <c r="J1887" i="10"/>
  <c r="I1887" i="10"/>
  <c r="L1886" i="10"/>
  <c r="J1886" i="10"/>
  <c r="I1886" i="10"/>
  <c r="L1885" i="10"/>
  <c r="J1885" i="10"/>
  <c r="I1885" i="10"/>
  <c r="L1884" i="10"/>
  <c r="J1884" i="10"/>
  <c r="I1884" i="10"/>
  <c r="L1883" i="10"/>
  <c r="J1883" i="10"/>
  <c r="I1883" i="10"/>
  <c r="L1882" i="10"/>
  <c r="J1882" i="10"/>
  <c r="I1882" i="10"/>
  <c r="L1881" i="10"/>
  <c r="J1881" i="10"/>
  <c r="I1881" i="10"/>
  <c r="L1880" i="10"/>
  <c r="J1880" i="10"/>
  <c r="I1880" i="10"/>
  <c r="L1879" i="10"/>
  <c r="J1879" i="10"/>
  <c r="I1879" i="10"/>
  <c r="L1878" i="10"/>
  <c r="J1878" i="10"/>
  <c r="I1878" i="10"/>
  <c r="L1877" i="10"/>
  <c r="J1877" i="10"/>
  <c r="I1877" i="10"/>
  <c r="L1876" i="10"/>
  <c r="J1876" i="10"/>
  <c r="I1876" i="10"/>
  <c r="L1875" i="10"/>
  <c r="J1875" i="10"/>
  <c r="I1875" i="10"/>
  <c r="L1874" i="10"/>
  <c r="J1874" i="10"/>
  <c r="I1874" i="10"/>
  <c r="L1873" i="10"/>
  <c r="J1873" i="10"/>
  <c r="I1873" i="10"/>
  <c r="L1872" i="10"/>
  <c r="J1872" i="10"/>
  <c r="I1872" i="10"/>
  <c r="L1871" i="10"/>
  <c r="J1871" i="10"/>
  <c r="I1871" i="10"/>
  <c r="L1870" i="10"/>
  <c r="J1870" i="10"/>
  <c r="I1870" i="10"/>
  <c r="L1869" i="10"/>
  <c r="J1869" i="10"/>
  <c r="I1869" i="10"/>
  <c r="L1868" i="10"/>
  <c r="J1868" i="10"/>
  <c r="I1868" i="10"/>
  <c r="L1867" i="10"/>
  <c r="J1867" i="10"/>
  <c r="I1867" i="10"/>
  <c r="L1866" i="10"/>
  <c r="J1866" i="10"/>
  <c r="I1866" i="10"/>
  <c r="L1865" i="10"/>
  <c r="J1865" i="10"/>
  <c r="I1865" i="10"/>
  <c r="L1864" i="10"/>
  <c r="J1864" i="10"/>
  <c r="I1864" i="10"/>
  <c r="L1863" i="10"/>
  <c r="J1863" i="10"/>
  <c r="I1863" i="10"/>
  <c r="L1862" i="10"/>
  <c r="J1862" i="10"/>
  <c r="I1862" i="10"/>
  <c r="L1861" i="10"/>
  <c r="J1861" i="10"/>
  <c r="I1861" i="10"/>
  <c r="L1860" i="10"/>
  <c r="J1860" i="10"/>
  <c r="I1860" i="10"/>
  <c r="L1859" i="10"/>
  <c r="J1859" i="10"/>
  <c r="I1859" i="10"/>
  <c r="L1858" i="10"/>
  <c r="J1858" i="10"/>
  <c r="I1858" i="10"/>
  <c r="L1857" i="10"/>
  <c r="J1857" i="10"/>
  <c r="I1857" i="10"/>
  <c r="L1856" i="10"/>
  <c r="J1856" i="10"/>
  <c r="I1856" i="10"/>
  <c r="L1855" i="10"/>
  <c r="J1855" i="10"/>
  <c r="I1855" i="10"/>
  <c r="L1854" i="10"/>
  <c r="J1854" i="10"/>
  <c r="I1854" i="10"/>
  <c r="L1853" i="10"/>
  <c r="J1853" i="10"/>
  <c r="I1853" i="10"/>
  <c r="L1852" i="10"/>
  <c r="J1852" i="10"/>
  <c r="I1852" i="10"/>
  <c r="L1851" i="10"/>
  <c r="J1851" i="10"/>
  <c r="I1851" i="10"/>
  <c r="L1850" i="10"/>
  <c r="J1850" i="10"/>
  <c r="I1850" i="10"/>
  <c r="L1849" i="10"/>
  <c r="J1849" i="10"/>
  <c r="I1849" i="10"/>
  <c r="L1848" i="10"/>
  <c r="J1848" i="10"/>
  <c r="I1848" i="10"/>
  <c r="L1847" i="10"/>
  <c r="J1847" i="10"/>
  <c r="I1847" i="10"/>
  <c r="L1846" i="10"/>
  <c r="J1846" i="10"/>
  <c r="I1846" i="10"/>
  <c r="L1845" i="10"/>
  <c r="J1845" i="10"/>
  <c r="I1845" i="10"/>
  <c r="L1844" i="10"/>
  <c r="J1844" i="10"/>
  <c r="I1844" i="10"/>
  <c r="L1843" i="10"/>
  <c r="J1843" i="10"/>
  <c r="I1843" i="10"/>
  <c r="L1842" i="10"/>
  <c r="J1842" i="10"/>
  <c r="I1842" i="10"/>
  <c r="L1841" i="10"/>
  <c r="J1841" i="10"/>
  <c r="I1841" i="10"/>
  <c r="L1840" i="10"/>
  <c r="J1840" i="10"/>
  <c r="I1840" i="10"/>
  <c r="L1839" i="10"/>
  <c r="J1839" i="10"/>
  <c r="I1839" i="10"/>
  <c r="L1838" i="10"/>
  <c r="J1838" i="10"/>
  <c r="I1838" i="10"/>
  <c r="L1837" i="10"/>
  <c r="J1837" i="10"/>
  <c r="I1837" i="10"/>
  <c r="L1836" i="10"/>
  <c r="J1836" i="10"/>
  <c r="I1836" i="10"/>
  <c r="L1835" i="10"/>
  <c r="J1835" i="10"/>
  <c r="I1835" i="10"/>
  <c r="L1834" i="10"/>
  <c r="J1834" i="10"/>
  <c r="I1834" i="10"/>
  <c r="L1833" i="10"/>
  <c r="J1833" i="10"/>
  <c r="I1833" i="10"/>
  <c r="L1832" i="10"/>
  <c r="J1832" i="10"/>
  <c r="I1832" i="10"/>
  <c r="L1831" i="10"/>
  <c r="J1831" i="10"/>
  <c r="I1831" i="10"/>
  <c r="L1830" i="10"/>
  <c r="J1830" i="10"/>
  <c r="I1830" i="10"/>
  <c r="L1829" i="10"/>
  <c r="J1829" i="10"/>
  <c r="I1829" i="10"/>
  <c r="L1828" i="10"/>
  <c r="J1828" i="10"/>
  <c r="I1828" i="10"/>
  <c r="L1827" i="10"/>
  <c r="J1827" i="10"/>
  <c r="I1827" i="10"/>
  <c r="L1826" i="10"/>
  <c r="J1826" i="10"/>
  <c r="I1826" i="10"/>
  <c r="L1825" i="10"/>
  <c r="J1825" i="10"/>
  <c r="I1825" i="10"/>
  <c r="L1824" i="10"/>
  <c r="J1824" i="10"/>
  <c r="I1824" i="10"/>
  <c r="L1823" i="10"/>
  <c r="J1823" i="10"/>
  <c r="I1823" i="10"/>
  <c r="L1822" i="10"/>
  <c r="J1822" i="10"/>
  <c r="I1822" i="10"/>
  <c r="L1821" i="10"/>
  <c r="J1821" i="10"/>
  <c r="I1821" i="10"/>
  <c r="L1820" i="10"/>
  <c r="J1820" i="10"/>
  <c r="I1820" i="10"/>
  <c r="L1819" i="10"/>
  <c r="J1819" i="10"/>
  <c r="I1819" i="10"/>
  <c r="L1818" i="10"/>
  <c r="J1818" i="10"/>
  <c r="I1818" i="10"/>
  <c r="L1817" i="10"/>
  <c r="J1817" i="10"/>
  <c r="I1817" i="10"/>
  <c r="L1816" i="10"/>
  <c r="J1816" i="10"/>
  <c r="I1816" i="10"/>
  <c r="L1815" i="10"/>
  <c r="J1815" i="10"/>
  <c r="I1815" i="10"/>
  <c r="L1814" i="10"/>
  <c r="J1814" i="10"/>
  <c r="I1814" i="10"/>
  <c r="L1813" i="10"/>
  <c r="J1813" i="10"/>
  <c r="I1813" i="10"/>
  <c r="L1812" i="10"/>
  <c r="J1812" i="10"/>
  <c r="I1812" i="10"/>
  <c r="L1811" i="10"/>
  <c r="J1811" i="10"/>
  <c r="I1811" i="10"/>
  <c r="L1810" i="10"/>
  <c r="J1810" i="10"/>
  <c r="I1810" i="10"/>
  <c r="L1809" i="10"/>
  <c r="J1809" i="10"/>
  <c r="I1809" i="10"/>
  <c r="L1808" i="10"/>
  <c r="J1808" i="10"/>
  <c r="I1808" i="10"/>
  <c r="L1807" i="10"/>
  <c r="J1807" i="10"/>
  <c r="I1807" i="10"/>
  <c r="L1806" i="10"/>
  <c r="J1806" i="10"/>
  <c r="I1806" i="10"/>
  <c r="L1805" i="10"/>
  <c r="J1805" i="10"/>
  <c r="I1805" i="10"/>
  <c r="L1804" i="10"/>
  <c r="J1804" i="10"/>
  <c r="I1804" i="10"/>
  <c r="L1803" i="10"/>
  <c r="J1803" i="10"/>
  <c r="I1803" i="10"/>
  <c r="L1802" i="10"/>
  <c r="J1802" i="10"/>
  <c r="I1802" i="10"/>
  <c r="L1801" i="10"/>
  <c r="J1801" i="10"/>
  <c r="I1801" i="10"/>
  <c r="L1800" i="10"/>
  <c r="J1800" i="10"/>
  <c r="I1800" i="10"/>
  <c r="L1799" i="10"/>
  <c r="J1799" i="10"/>
  <c r="I1799" i="10"/>
  <c r="L1798" i="10"/>
  <c r="J1798" i="10"/>
  <c r="I1798" i="10"/>
  <c r="L1797" i="10"/>
  <c r="J1797" i="10"/>
  <c r="I1797" i="10"/>
  <c r="L1796" i="10"/>
  <c r="J1796" i="10"/>
  <c r="I1796" i="10"/>
  <c r="L1795" i="10"/>
  <c r="J1795" i="10"/>
  <c r="I1795" i="10"/>
  <c r="L1794" i="10"/>
  <c r="J1794" i="10"/>
  <c r="I1794" i="10"/>
  <c r="L1793" i="10"/>
  <c r="J1793" i="10"/>
  <c r="I1793" i="10"/>
  <c r="L1792" i="10"/>
  <c r="J1792" i="10"/>
  <c r="I1792" i="10"/>
  <c r="L1791" i="10"/>
  <c r="J1791" i="10"/>
  <c r="I1791" i="10"/>
  <c r="L1790" i="10"/>
  <c r="J1790" i="10"/>
  <c r="I1790" i="10"/>
  <c r="L1789" i="10"/>
  <c r="J1789" i="10"/>
  <c r="I1789" i="10"/>
  <c r="L1788" i="10"/>
  <c r="J1788" i="10"/>
  <c r="I1788" i="10"/>
  <c r="L1787" i="10"/>
  <c r="J1787" i="10"/>
  <c r="I1787" i="10"/>
  <c r="L1786" i="10"/>
  <c r="J1786" i="10"/>
  <c r="I1786" i="10"/>
  <c r="L1785" i="10"/>
  <c r="J1785" i="10"/>
  <c r="I1785" i="10"/>
  <c r="L1784" i="10"/>
  <c r="J1784" i="10"/>
  <c r="I1784" i="10"/>
  <c r="L1783" i="10"/>
  <c r="J1783" i="10"/>
  <c r="I1783" i="10"/>
  <c r="L1782" i="10"/>
  <c r="J1782" i="10"/>
  <c r="I1782" i="10"/>
  <c r="L1781" i="10"/>
  <c r="J1781" i="10"/>
  <c r="I1781" i="10"/>
  <c r="L1780" i="10"/>
  <c r="J1780" i="10"/>
  <c r="I1780" i="10"/>
  <c r="L1779" i="10"/>
  <c r="J1779" i="10"/>
  <c r="I1779" i="10"/>
  <c r="L1778" i="10"/>
  <c r="J1778" i="10"/>
  <c r="I1778" i="10"/>
  <c r="L1777" i="10"/>
  <c r="J1777" i="10"/>
  <c r="I1777" i="10"/>
  <c r="L1776" i="10"/>
  <c r="J1776" i="10"/>
  <c r="I1776" i="10"/>
  <c r="L1775" i="10"/>
  <c r="J1775" i="10"/>
  <c r="I1775" i="10"/>
  <c r="L1774" i="10"/>
  <c r="J1774" i="10"/>
  <c r="I1774" i="10"/>
  <c r="L1773" i="10"/>
  <c r="J1773" i="10"/>
  <c r="I1773" i="10"/>
  <c r="L1772" i="10"/>
  <c r="J1772" i="10"/>
  <c r="I1772" i="10"/>
  <c r="L1771" i="10"/>
  <c r="J1771" i="10"/>
  <c r="I1771" i="10"/>
  <c r="L1770" i="10"/>
  <c r="J1770" i="10"/>
  <c r="I1770" i="10"/>
  <c r="L1769" i="10"/>
  <c r="J1769" i="10"/>
  <c r="I1769" i="10"/>
  <c r="L1768" i="10"/>
  <c r="J1768" i="10"/>
  <c r="I1768" i="10"/>
  <c r="L1767" i="10"/>
  <c r="J1767" i="10"/>
  <c r="I1767" i="10"/>
  <c r="L1766" i="10"/>
  <c r="J1766" i="10"/>
  <c r="I1766" i="10"/>
  <c r="L1765" i="10"/>
  <c r="J1765" i="10"/>
  <c r="I1765" i="10"/>
  <c r="L1764" i="10"/>
  <c r="J1764" i="10"/>
  <c r="I1764" i="10"/>
  <c r="L1763" i="10"/>
  <c r="J1763" i="10"/>
  <c r="I1763" i="10"/>
  <c r="L1762" i="10"/>
  <c r="J1762" i="10"/>
  <c r="I1762" i="10"/>
  <c r="L1761" i="10"/>
  <c r="J1761" i="10"/>
  <c r="I1761" i="10"/>
  <c r="L1760" i="10"/>
  <c r="J1760" i="10"/>
  <c r="I1760" i="10"/>
  <c r="L1759" i="10"/>
  <c r="J1759" i="10"/>
  <c r="I1759" i="10"/>
  <c r="L1758" i="10"/>
  <c r="J1758" i="10"/>
  <c r="I1758" i="10"/>
  <c r="L1757" i="10"/>
  <c r="J1757" i="10"/>
  <c r="I1757" i="10"/>
  <c r="L1756" i="10"/>
  <c r="J1756" i="10"/>
  <c r="I1756" i="10"/>
  <c r="L1755" i="10"/>
  <c r="J1755" i="10"/>
  <c r="I1755" i="10"/>
  <c r="L1754" i="10"/>
  <c r="J1754" i="10"/>
  <c r="I1754" i="10"/>
  <c r="L1753" i="10"/>
  <c r="J1753" i="10"/>
  <c r="I1753" i="10"/>
  <c r="L1752" i="10"/>
  <c r="J1752" i="10"/>
  <c r="I1752" i="10"/>
  <c r="L1751" i="10"/>
  <c r="J1751" i="10"/>
  <c r="I1751" i="10"/>
  <c r="L1750" i="10"/>
  <c r="J1750" i="10"/>
  <c r="I1750" i="10"/>
  <c r="L1749" i="10"/>
  <c r="J1749" i="10"/>
  <c r="I1749" i="10"/>
  <c r="L1748" i="10"/>
  <c r="J1748" i="10"/>
  <c r="I1748" i="10"/>
  <c r="L1747" i="10"/>
  <c r="J1747" i="10"/>
  <c r="I1747" i="10"/>
  <c r="L1746" i="10"/>
  <c r="J1746" i="10"/>
  <c r="I1746" i="10"/>
  <c r="L1745" i="10"/>
  <c r="J1745" i="10"/>
  <c r="I1745" i="10"/>
  <c r="L1744" i="10"/>
  <c r="J1744" i="10"/>
  <c r="I1744" i="10"/>
  <c r="L1743" i="10"/>
  <c r="J1743" i="10"/>
  <c r="I1743" i="10"/>
  <c r="L1742" i="10"/>
  <c r="J1742" i="10"/>
  <c r="I1742" i="10"/>
  <c r="L1741" i="10"/>
  <c r="J1741" i="10"/>
  <c r="I1741" i="10"/>
  <c r="L1740" i="10"/>
  <c r="J1740" i="10"/>
  <c r="I1740" i="10"/>
  <c r="L1739" i="10"/>
  <c r="J1739" i="10"/>
  <c r="I1739" i="10"/>
  <c r="L1738" i="10"/>
  <c r="J1738" i="10"/>
  <c r="I1738" i="10"/>
  <c r="L1737" i="10"/>
  <c r="J1737" i="10"/>
  <c r="I1737" i="10"/>
  <c r="L1736" i="10"/>
  <c r="J1736" i="10"/>
  <c r="I1736" i="10"/>
  <c r="L1735" i="10"/>
  <c r="J1735" i="10"/>
  <c r="I1735" i="10"/>
  <c r="L1734" i="10"/>
  <c r="J1734" i="10"/>
  <c r="I1734" i="10"/>
  <c r="L1733" i="10"/>
  <c r="J1733" i="10"/>
  <c r="I1733" i="10"/>
  <c r="L1732" i="10"/>
  <c r="J1732" i="10"/>
  <c r="I1732" i="10"/>
  <c r="L1731" i="10"/>
  <c r="J1731" i="10"/>
  <c r="I1731" i="10"/>
  <c r="L1730" i="10"/>
  <c r="J1730" i="10"/>
  <c r="I1730" i="10"/>
  <c r="L1729" i="10"/>
  <c r="J1729" i="10"/>
  <c r="I1729" i="10"/>
  <c r="L1728" i="10"/>
  <c r="J1728" i="10"/>
  <c r="I1728" i="10"/>
  <c r="L1727" i="10"/>
  <c r="J1727" i="10"/>
  <c r="I1727" i="10"/>
  <c r="L1726" i="10"/>
  <c r="J1726" i="10"/>
  <c r="I1726" i="10"/>
  <c r="L1725" i="10"/>
  <c r="J1725" i="10"/>
  <c r="I1725" i="10"/>
  <c r="L1724" i="10"/>
  <c r="J1724" i="10"/>
  <c r="I1724" i="10"/>
  <c r="L1723" i="10"/>
  <c r="J1723" i="10"/>
  <c r="I1723" i="10"/>
  <c r="L1722" i="10"/>
  <c r="J1722" i="10"/>
  <c r="I1722" i="10"/>
  <c r="L1721" i="10"/>
  <c r="J1721" i="10"/>
  <c r="I1721" i="10"/>
  <c r="L1720" i="10"/>
  <c r="J1720" i="10"/>
  <c r="I1720" i="10"/>
  <c r="L1719" i="10"/>
  <c r="J1719" i="10"/>
  <c r="I1719" i="10"/>
  <c r="L1718" i="10"/>
  <c r="J1718" i="10"/>
  <c r="I1718" i="10"/>
  <c r="L1717" i="10"/>
  <c r="J1717" i="10"/>
  <c r="I1717" i="10"/>
  <c r="L1716" i="10"/>
  <c r="J1716" i="10"/>
  <c r="I1716" i="10"/>
  <c r="L1715" i="10"/>
  <c r="J1715" i="10"/>
  <c r="I1715" i="10"/>
  <c r="L1714" i="10"/>
  <c r="J1714" i="10"/>
  <c r="I1714" i="10"/>
  <c r="L1713" i="10"/>
  <c r="J1713" i="10"/>
  <c r="I1713" i="10"/>
  <c r="L1712" i="10"/>
  <c r="J1712" i="10"/>
  <c r="I1712" i="10"/>
  <c r="L1711" i="10"/>
  <c r="J1711" i="10"/>
  <c r="I1711" i="10"/>
  <c r="L1710" i="10"/>
  <c r="J1710" i="10"/>
  <c r="I1710" i="10"/>
  <c r="L1709" i="10"/>
  <c r="J1709" i="10"/>
  <c r="I1709" i="10"/>
  <c r="L1708" i="10"/>
  <c r="J1708" i="10"/>
  <c r="I1708" i="10"/>
  <c r="L1707" i="10"/>
  <c r="J1707" i="10"/>
  <c r="I1707" i="10"/>
  <c r="L1706" i="10"/>
  <c r="J1706" i="10"/>
  <c r="I1706" i="10"/>
  <c r="L1705" i="10"/>
  <c r="J1705" i="10"/>
  <c r="I1705" i="10"/>
  <c r="L1704" i="10"/>
  <c r="J1704" i="10"/>
  <c r="I1704" i="10"/>
  <c r="L1703" i="10"/>
  <c r="J1703" i="10"/>
  <c r="I1703" i="10"/>
  <c r="L1702" i="10"/>
  <c r="J1702" i="10"/>
  <c r="I1702" i="10"/>
  <c r="L1701" i="10"/>
  <c r="J1701" i="10"/>
  <c r="I1701" i="10"/>
  <c r="L1700" i="10"/>
  <c r="J1700" i="10"/>
  <c r="I1700" i="10"/>
  <c r="L1699" i="10"/>
  <c r="J1699" i="10"/>
  <c r="I1699" i="10"/>
  <c r="L1698" i="10"/>
  <c r="J1698" i="10"/>
  <c r="I1698" i="10"/>
  <c r="L1697" i="10"/>
  <c r="J1697" i="10"/>
  <c r="I1697" i="10"/>
  <c r="L1696" i="10"/>
  <c r="J1696" i="10"/>
  <c r="I1696" i="10"/>
  <c r="L1695" i="10"/>
  <c r="J1695" i="10"/>
  <c r="I1695" i="10"/>
  <c r="L1694" i="10"/>
  <c r="J1694" i="10"/>
  <c r="I1694" i="10"/>
  <c r="L1693" i="10"/>
  <c r="J1693" i="10"/>
  <c r="I1693" i="10"/>
  <c r="L1692" i="10"/>
  <c r="J1692" i="10"/>
  <c r="I1692" i="10"/>
  <c r="L1691" i="10"/>
  <c r="J1691" i="10"/>
  <c r="I1691" i="10"/>
  <c r="L1690" i="10"/>
  <c r="J1690" i="10"/>
  <c r="I1690" i="10"/>
  <c r="L1689" i="10"/>
  <c r="J1689" i="10"/>
  <c r="I1689" i="10"/>
  <c r="L1688" i="10"/>
  <c r="J1688" i="10"/>
  <c r="I1688" i="10"/>
  <c r="L1687" i="10"/>
  <c r="J1687" i="10"/>
  <c r="I1687" i="10"/>
  <c r="L1686" i="10"/>
  <c r="J1686" i="10"/>
  <c r="I1686" i="10"/>
  <c r="L1685" i="10"/>
  <c r="J1685" i="10"/>
  <c r="I1685" i="10"/>
  <c r="L1684" i="10"/>
  <c r="J1684" i="10"/>
  <c r="I1684" i="10"/>
  <c r="L1683" i="10"/>
  <c r="J1683" i="10"/>
  <c r="I1683" i="10"/>
  <c r="L1682" i="10"/>
  <c r="J1682" i="10"/>
  <c r="I1682" i="10"/>
  <c r="L1681" i="10"/>
  <c r="J1681" i="10"/>
  <c r="I1681" i="10"/>
  <c r="L1680" i="10"/>
  <c r="J1680" i="10"/>
  <c r="I1680" i="10"/>
  <c r="L1679" i="10"/>
  <c r="J1679" i="10"/>
  <c r="I1679" i="10"/>
  <c r="L1678" i="10"/>
  <c r="J1678" i="10"/>
  <c r="I1678" i="10"/>
  <c r="L1677" i="10"/>
  <c r="J1677" i="10"/>
  <c r="I1677" i="10"/>
  <c r="L1676" i="10"/>
  <c r="J1676" i="10"/>
  <c r="I1676" i="10"/>
  <c r="L1675" i="10"/>
  <c r="J1675" i="10"/>
  <c r="I1675" i="10"/>
  <c r="L1674" i="10"/>
  <c r="J1674" i="10"/>
  <c r="I1674" i="10"/>
  <c r="L1673" i="10"/>
  <c r="J1673" i="10"/>
  <c r="I1673" i="10"/>
  <c r="L1672" i="10"/>
  <c r="J1672" i="10"/>
  <c r="I1672" i="10"/>
  <c r="L1671" i="10"/>
  <c r="J1671" i="10"/>
  <c r="I1671" i="10"/>
  <c r="L1670" i="10"/>
  <c r="J1670" i="10"/>
  <c r="I1670" i="10"/>
  <c r="L1669" i="10"/>
  <c r="J1669" i="10"/>
  <c r="I1669" i="10"/>
  <c r="L1668" i="10"/>
  <c r="J1668" i="10"/>
  <c r="I1668" i="10"/>
  <c r="L1667" i="10"/>
  <c r="J1667" i="10"/>
  <c r="I1667" i="10"/>
  <c r="L1666" i="10"/>
  <c r="J1666" i="10"/>
  <c r="I1666" i="10"/>
  <c r="L1665" i="10"/>
  <c r="J1665" i="10"/>
  <c r="I1665" i="10"/>
  <c r="L1664" i="10"/>
  <c r="J1664" i="10"/>
  <c r="I1664" i="10"/>
  <c r="L1663" i="10"/>
  <c r="J1663" i="10"/>
  <c r="I1663" i="10"/>
  <c r="L1662" i="10"/>
  <c r="J1662" i="10"/>
  <c r="I1662" i="10"/>
  <c r="L1661" i="10"/>
  <c r="J1661" i="10"/>
  <c r="I1661" i="10"/>
  <c r="L1660" i="10"/>
  <c r="J1660" i="10"/>
  <c r="I1660" i="10"/>
  <c r="L1659" i="10"/>
  <c r="J1659" i="10"/>
  <c r="I1659" i="10"/>
  <c r="L1658" i="10"/>
  <c r="J1658" i="10"/>
  <c r="I1658" i="10"/>
  <c r="L1657" i="10"/>
  <c r="J1657" i="10"/>
  <c r="I1657" i="10"/>
  <c r="L1656" i="10"/>
  <c r="J1656" i="10"/>
  <c r="I1656" i="10"/>
  <c r="L1655" i="10"/>
  <c r="J1655" i="10"/>
  <c r="I1655" i="10"/>
  <c r="L1654" i="10"/>
  <c r="J1654" i="10"/>
  <c r="I1654" i="10"/>
  <c r="L1653" i="10"/>
  <c r="J1653" i="10"/>
  <c r="I1653" i="10"/>
  <c r="L1652" i="10"/>
  <c r="J1652" i="10"/>
  <c r="I1652" i="10"/>
  <c r="L1651" i="10"/>
  <c r="J1651" i="10"/>
  <c r="I1651" i="10"/>
  <c r="L1650" i="10"/>
  <c r="J1650" i="10"/>
  <c r="I1650" i="10"/>
  <c r="L1649" i="10"/>
  <c r="J1649" i="10"/>
  <c r="I1649" i="10"/>
  <c r="L1648" i="10"/>
  <c r="J1648" i="10"/>
  <c r="I1648" i="10"/>
  <c r="L1647" i="10"/>
  <c r="J1647" i="10"/>
  <c r="I1647" i="10"/>
  <c r="L1646" i="10"/>
  <c r="J1646" i="10"/>
  <c r="I1646" i="10"/>
  <c r="L1645" i="10"/>
  <c r="J1645" i="10"/>
  <c r="I1645" i="10"/>
  <c r="L1644" i="10"/>
  <c r="J1644" i="10"/>
  <c r="I1644" i="10"/>
  <c r="L1643" i="10"/>
  <c r="J1643" i="10"/>
  <c r="I1643" i="10"/>
  <c r="L1642" i="10"/>
  <c r="J1642" i="10"/>
  <c r="I1642" i="10"/>
  <c r="L1641" i="10"/>
  <c r="J1641" i="10"/>
  <c r="I1641" i="10"/>
  <c r="L1640" i="10"/>
  <c r="J1640" i="10"/>
  <c r="I1640" i="10"/>
  <c r="L1639" i="10"/>
  <c r="J1639" i="10"/>
  <c r="I1639" i="10"/>
  <c r="L1638" i="10"/>
  <c r="J1638" i="10"/>
  <c r="I1638" i="10"/>
  <c r="L1637" i="10"/>
  <c r="J1637" i="10"/>
  <c r="I1637" i="10"/>
  <c r="L1636" i="10"/>
  <c r="J1636" i="10"/>
  <c r="I1636" i="10"/>
  <c r="L1635" i="10"/>
  <c r="J1635" i="10"/>
  <c r="I1635" i="10"/>
  <c r="L1634" i="10"/>
  <c r="J1634" i="10"/>
  <c r="I1634" i="10"/>
  <c r="L1633" i="10"/>
  <c r="J1633" i="10"/>
  <c r="I1633" i="10"/>
  <c r="L1632" i="10"/>
  <c r="J1632" i="10"/>
  <c r="I1632" i="10"/>
  <c r="L1631" i="10"/>
  <c r="J1631" i="10"/>
  <c r="I1631" i="10"/>
  <c r="L1630" i="10"/>
  <c r="J1630" i="10"/>
  <c r="I1630" i="10"/>
  <c r="L1629" i="10"/>
  <c r="J1629" i="10"/>
  <c r="I1629" i="10"/>
  <c r="L1628" i="10"/>
  <c r="J1628" i="10"/>
  <c r="I1628" i="10"/>
  <c r="L1627" i="10"/>
  <c r="J1627" i="10"/>
  <c r="I1627" i="10"/>
  <c r="L1626" i="10"/>
  <c r="J1626" i="10"/>
  <c r="I1626" i="10"/>
  <c r="L1625" i="10"/>
  <c r="J1625" i="10"/>
  <c r="I1625" i="10"/>
  <c r="L1624" i="10"/>
  <c r="J1624" i="10"/>
  <c r="I1624" i="10"/>
  <c r="L1623" i="10"/>
  <c r="J1623" i="10"/>
  <c r="I1623" i="10"/>
  <c r="L1622" i="10"/>
  <c r="J1622" i="10"/>
  <c r="I1622" i="10"/>
  <c r="L1621" i="10"/>
  <c r="J1621" i="10"/>
  <c r="I1621" i="10"/>
  <c r="L1620" i="10"/>
  <c r="J1620" i="10"/>
  <c r="I1620" i="10"/>
  <c r="L1619" i="10"/>
  <c r="J1619" i="10"/>
  <c r="I1619" i="10"/>
  <c r="L1618" i="10"/>
  <c r="J1618" i="10"/>
  <c r="I1618" i="10"/>
  <c r="L1617" i="10"/>
  <c r="J1617" i="10"/>
  <c r="I1617" i="10"/>
  <c r="L1616" i="10"/>
  <c r="J1616" i="10"/>
  <c r="I1616" i="10"/>
  <c r="L1615" i="10"/>
  <c r="J1615" i="10"/>
  <c r="I1615" i="10"/>
  <c r="L1614" i="10"/>
  <c r="J1614" i="10"/>
  <c r="I1614" i="10"/>
  <c r="L1613" i="10"/>
  <c r="J1613" i="10"/>
  <c r="I1613" i="10"/>
  <c r="L1612" i="10"/>
  <c r="J1612" i="10"/>
  <c r="I1612" i="10"/>
  <c r="L1611" i="10"/>
  <c r="J1611" i="10"/>
  <c r="I1611" i="10"/>
  <c r="L1610" i="10"/>
  <c r="J1610" i="10"/>
  <c r="I1610" i="10"/>
  <c r="L1609" i="10"/>
  <c r="J1609" i="10"/>
  <c r="I1609" i="10"/>
  <c r="L1608" i="10"/>
  <c r="J1608" i="10"/>
  <c r="I1608" i="10"/>
  <c r="L1607" i="10"/>
  <c r="J1607" i="10"/>
  <c r="I1607" i="10"/>
  <c r="L1606" i="10"/>
  <c r="J1606" i="10"/>
  <c r="I1606" i="10"/>
  <c r="L1605" i="10"/>
  <c r="J1605" i="10"/>
  <c r="I1605" i="10"/>
  <c r="L1604" i="10"/>
  <c r="J1604" i="10"/>
  <c r="I1604" i="10"/>
  <c r="L1603" i="10"/>
  <c r="J1603" i="10"/>
  <c r="I1603" i="10"/>
  <c r="L1602" i="10"/>
  <c r="J1602" i="10"/>
  <c r="I1602" i="10"/>
  <c r="L1601" i="10"/>
  <c r="J1601" i="10"/>
  <c r="I1601" i="10"/>
  <c r="L1600" i="10"/>
  <c r="J1600" i="10"/>
  <c r="I1600" i="10"/>
  <c r="L1599" i="10"/>
  <c r="J1599" i="10"/>
  <c r="I1599" i="10"/>
  <c r="L1598" i="10"/>
  <c r="J1598" i="10"/>
  <c r="I1598" i="10"/>
  <c r="L1597" i="10"/>
  <c r="J1597" i="10"/>
  <c r="I1597" i="10"/>
  <c r="L1596" i="10"/>
  <c r="J1596" i="10"/>
  <c r="I1596" i="10"/>
  <c r="L1595" i="10"/>
  <c r="J1595" i="10"/>
  <c r="I1595" i="10"/>
  <c r="L1594" i="10"/>
  <c r="J1594" i="10"/>
  <c r="I1594" i="10"/>
  <c r="L1593" i="10"/>
  <c r="J1593" i="10"/>
  <c r="I1593" i="10"/>
  <c r="L1592" i="10"/>
  <c r="J1592" i="10"/>
  <c r="I1592" i="10"/>
  <c r="L1591" i="10"/>
  <c r="J1591" i="10"/>
  <c r="I1591" i="10"/>
  <c r="L1590" i="10"/>
  <c r="J1590" i="10"/>
  <c r="I1590" i="10"/>
  <c r="L1589" i="10"/>
  <c r="J1589" i="10"/>
  <c r="I1589" i="10"/>
  <c r="L1588" i="10"/>
  <c r="J1588" i="10"/>
  <c r="I1588" i="10"/>
  <c r="L1587" i="10"/>
  <c r="J1587" i="10"/>
  <c r="I1587" i="10"/>
  <c r="L1586" i="10"/>
  <c r="J1586" i="10"/>
  <c r="I1586" i="10"/>
  <c r="L1585" i="10"/>
  <c r="J1585" i="10"/>
  <c r="I1585" i="10"/>
  <c r="L1584" i="10"/>
  <c r="J1584" i="10"/>
  <c r="I1584" i="10"/>
  <c r="L1583" i="10"/>
  <c r="J1583" i="10"/>
  <c r="I1583" i="10"/>
  <c r="L1582" i="10"/>
  <c r="J1582" i="10"/>
  <c r="I1582" i="10"/>
  <c r="L1581" i="10"/>
  <c r="J1581" i="10"/>
  <c r="I1581" i="10"/>
  <c r="L1580" i="10"/>
  <c r="J1580" i="10"/>
  <c r="I1580" i="10"/>
  <c r="L1579" i="10"/>
  <c r="J1579" i="10"/>
  <c r="I1579" i="10"/>
  <c r="L1578" i="10"/>
  <c r="J1578" i="10"/>
  <c r="I1578" i="10"/>
  <c r="L1577" i="10"/>
  <c r="J1577" i="10"/>
  <c r="I1577" i="10"/>
  <c r="L1576" i="10"/>
  <c r="J1576" i="10"/>
  <c r="I1576" i="10"/>
  <c r="L1575" i="10"/>
  <c r="J1575" i="10"/>
  <c r="I1575" i="10"/>
  <c r="L1574" i="10"/>
  <c r="J1574" i="10"/>
  <c r="I1574" i="10"/>
  <c r="L1573" i="10"/>
  <c r="J1573" i="10"/>
  <c r="I1573" i="10"/>
  <c r="L1572" i="10"/>
  <c r="J1572" i="10"/>
  <c r="I1572" i="10"/>
  <c r="L1571" i="10"/>
  <c r="J1571" i="10"/>
  <c r="I1571" i="10"/>
  <c r="L1570" i="10"/>
  <c r="J1570" i="10"/>
  <c r="I1570" i="10"/>
  <c r="L1569" i="10"/>
  <c r="J1569" i="10"/>
  <c r="I1569" i="10"/>
  <c r="L1568" i="10"/>
  <c r="J1568" i="10"/>
  <c r="I1568" i="10"/>
  <c r="L1567" i="10"/>
  <c r="J1567" i="10"/>
  <c r="I1567" i="10"/>
  <c r="L1566" i="10"/>
  <c r="J1566" i="10"/>
  <c r="I1566" i="10"/>
  <c r="L1565" i="10"/>
  <c r="J1565" i="10"/>
  <c r="I1565" i="10"/>
  <c r="L1564" i="10"/>
  <c r="J1564" i="10"/>
  <c r="I1564" i="10"/>
  <c r="L1563" i="10"/>
  <c r="J1563" i="10"/>
  <c r="I1563" i="10"/>
  <c r="L1562" i="10"/>
  <c r="J1562" i="10"/>
  <c r="I1562" i="10"/>
  <c r="L1561" i="10"/>
  <c r="J1561" i="10"/>
  <c r="I1561" i="10"/>
  <c r="L1560" i="10"/>
  <c r="J1560" i="10"/>
  <c r="I1560" i="10"/>
  <c r="L1559" i="10"/>
  <c r="J1559" i="10"/>
  <c r="I1559" i="10"/>
  <c r="L1558" i="10"/>
  <c r="J1558" i="10"/>
  <c r="I1558" i="10"/>
  <c r="L1557" i="10"/>
  <c r="J1557" i="10"/>
  <c r="I1557" i="10"/>
  <c r="L1556" i="10"/>
  <c r="J1556" i="10"/>
  <c r="I1556" i="10"/>
  <c r="L1555" i="10"/>
  <c r="J1555" i="10"/>
  <c r="I1555" i="10"/>
  <c r="L1554" i="10"/>
  <c r="J1554" i="10"/>
  <c r="I1554" i="10"/>
  <c r="L1553" i="10"/>
  <c r="J1553" i="10"/>
  <c r="I1553" i="10"/>
  <c r="L1552" i="10"/>
  <c r="J1552" i="10"/>
  <c r="I1552" i="10"/>
  <c r="L1551" i="10"/>
  <c r="J1551" i="10"/>
  <c r="I1551" i="10"/>
  <c r="L1550" i="10"/>
  <c r="J1550" i="10"/>
  <c r="I1550" i="10"/>
  <c r="L1549" i="10"/>
  <c r="J1549" i="10"/>
  <c r="I1549" i="10"/>
  <c r="L1548" i="10"/>
  <c r="J1548" i="10"/>
  <c r="I1548" i="10"/>
  <c r="L1547" i="10"/>
  <c r="J1547" i="10"/>
  <c r="I1547" i="10"/>
  <c r="L1546" i="10"/>
  <c r="J1546" i="10"/>
  <c r="I1546" i="10"/>
  <c r="L1545" i="10"/>
  <c r="J1545" i="10"/>
  <c r="I1545" i="10"/>
  <c r="L1544" i="10"/>
  <c r="J1544" i="10"/>
  <c r="I1544" i="10"/>
  <c r="L1543" i="10"/>
  <c r="J1543" i="10"/>
  <c r="I1543" i="10"/>
  <c r="L1542" i="10"/>
  <c r="J1542" i="10"/>
  <c r="I1542" i="10"/>
  <c r="L1541" i="10"/>
  <c r="J1541" i="10"/>
  <c r="I1541" i="10"/>
  <c r="L1540" i="10"/>
  <c r="J1540" i="10"/>
  <c r="I1540" i="10"/>
  <c r="L1539" i="10"/>
  <c r="J1539" i="10"/>
  <c r="I1539" i="10"/>
  <c r="L1538" i="10"/>
  <c r="J1538" i="10"/>
  <c r="I1538" i="10"/>
  <c r="L1537" i="10"/>
  <c r="J1537" i="10"/>
  <c r="I1537" i="10"/>
  <c r="L1536" i="10"/>
  <c r="J1536" i="10"/>
  <c r="I1536" i="10"/>
  <c r="L1535" i="10"/>
  <c r="J1535" i="10"/>
  <c r="I1535" i="10"/>
  <c r="L1534" i="10"/>
  <c r="J1534" i="10"/>
  <c r="I1534" i="10"/>
  <c r="L1533" i="10"/>
  <c r="J1533" i="10"/>
  <c r="I1533" i="10"/>
  <c r="L1532" i="10"/>
  <c r="J1532" i="10"/>
  <c r="I1532" i="10"/>
  <c r="L1531" i="10"/>
  <c r="J1531" i="10"/>
  <c r="I1531" i="10"/>
  <c r="L1530" i="10"/>
  <c r="J1530" i="10"/>
  <c r="I1530" i="10"/>
  <c r="L1529" i="10"/>
  <c r="J1529" i="10"/>
  <c r="I1529" i="10"/>
  <c r="L1528" i="10"/>
  <c r="J1528" i="10"/>
  <c r="I1528" i="10"/>
  <c r="L1527" i="10"/>
  <c r="J1527" i="10"/>
  <c r="I1527" i="10"/>
  <c r="L1526" i="10"/>
  <c r="J1526" i="10"/>
  <c r="I1526" i="10"/>
  <c r="L1525" i="10"/>
  <c r="J1525" i="10"/>
  <c r="I1525" i="10"/>
  <c r="L1524" i="10"/>
  <c r="J1524" i="10"/>
  <c r="I1524" i="10"/>
  <c r="L1523" i="10"/>
  <c r="J1523" i="10"/>
  <c r="I1523" i="10"/>
  <c r="L1522" i="10"/>
  <c r="J1522" i="10"/>
  <c r="I1522" i="10"/>
  <c r="L1521" i="10"/>
  <c r="J1521" i="10"/>
  <c r="I1521" i="10"/>
  <c r="L1520" i="10"/>
  <c r="J1520" i="10"/>
  <c r="I1520" i="10"/>
  <c r="L1519" i="10"/>
  <c r="J1519" i="10"/>
  <c r="I1519" i="10"/>
  <c r="L1518" i="10"/>
  <c r="J1518" i="10"/>
  <c r="I1518" i="10"/>
  <c r="L1517" i="10"/>
  <c r="J1517" i="10"/>
  <c r="I1517" i="10"/>
  <c r="L1516" i="10"/>
  <c r="J1516" i="10"/>
  <c r="I1516" i="10"/>
  <c r="L1515" i="10"/>
  <c r="J1515" i="10"/>
  <c r="I1515" i="10"/>
  <c r="L1514" i="10"/>
  <c r="J1514" i="10"/>
  <c r="I1514" i="10"/>
  <c r="L1513" i="10"/>
  <c r="J1513" i="10"/>
  <c r="I1513" i="10"/>
  <c r="L1512" i="10"/>
  <c r="J1512" i="10"/>
  <c r="I1512" i="10"/>
  <c r="L1511" i="10"/>
  <c r="J1511" i="10"/>
  <c r="I1511" i="10"/>
  <c r="L1510" i="10"/>
  <c r="J1510" i="10"/>
  <c r="I1510" i="10"/>
  <c r="L1509" i="10"/>
  <c r="J1509" i="10"/>
  <c r="I1509" i="10"/>
  <c r="L1508" i="10"/>
  <c r="J1508" i="10"/>
  <c r="I1508" i="10"/>
  <c r="L1507" i="10"/>
  <c r="J1507" i="10"/>
  <c r="I1507" i="10"/>
  <c r="L1506" i="10"/>
  <c r="J1506" i="10"/>
  <c r="I1506" i="10"/>
  <c r="L1505" i="10"/>
  <c r="J1505" i="10"/>
  <c r="I1505" i="10"/>
  <c r="L1504" i="10"/>
  <c r="J1504" i="10"/>
  <c r="I1504" i="10"/>
  <c r="L1503" i="10"/>
  <c r="J1503" i="10"/>
  <c r="I1503" i="10"/>
  <c r="L1502" i="10"/>
  <c r="J1502" i="10"/>
  <c r="I1502" i="10"/>
  <c r="L1501" i="10"/>
  <c r="J1501" i="10"/>
  <c r="I1501" i="10"/>
  <c r="L1500" i="10"/>
  <c r="J1500" i="10"/>
  <c r="I1500" i="10"/>
  <c r="L1499" i="10"/>
  <c r="J1499" i="10"/>
  <c r="I1499" i="10"/>
  <c r="L1498" i="10"/>
  <c r="J1498" i="10"/>
  <c r="I1498" i="10"/>
  <c r="L1497" i="10"/>
  <c r="J1497" i="10"/>
  <c r="I1497" i="10"/>
  <c r="L1496" i="10"/>
  <c r="J1496" i="10"/>
  <c r="I1496" i="10"/>
  <c r="L1495" i="10"/>
  <c r="J1495" i="10"/>
  <c r="I1495" i="10"/>
  <c r="L1494" i="10"/>
  <c r="J1494" i="10"/>
  <c r="I1494" i="10"/>
  <c r="L1493" i="10"/>
  <c r="J1493" i="10"/>
  <c r="I1493" i="10"/>
  <c r="L1492" i="10"/>
  <c r="J1492" i="10"/>
  <c r="I1492" i="10"/>
  <c r="L1491" i="10"/>
  <c r="J1491" i="10"/>
  <c r="I1491" i="10"/>
  <c r="L1490" i="10"/>
  <c r="J1490" i="10"/>
  <c r="I1490" i="10"/>
  <c r="L1489" i="10"/>
  <c r="J1489" i="10"/>
  <c r="I1489" i="10"/>
  <c r="L1488" i="10"/>
  <c r="J1488" i="10"/>
  <c r="I1488" i="10"/>
  <c r="L1487" i="10"/>
  <c r="J1487" i="10"/>
  <c r="I1487" i="10"/>
  <c r="L1486" i="10"/>
  <c r="J1486" i="10"/>
  <c r="I1486" i="10"/>
  <c r="L1485" i="10"/>
  <c r="J1485" i="10"/>
  <c r="I1485" i="10"/>
  <c r="L1484" i="10"/>
  <c r="J1484" i="10"/>
  <c r="I1484" i="10"/>
  <c r="L1483" i="10"/>
  <c r="J1483" i="10"/>
  <c r="I1483" i="10"/>
  <c r="L1482" i="10"/>
  <c r="J1482" i="10"/>
  <c r="I1482" i="10"/>
  <c r="L1481" i="10"/>
  <c r="J1481" i="10"/>
  <c r="I1481" i="10"/>
  <c r="L1480" i="10"/>
  <c r="J1480" i="10"/>
  <c r="I1480" i="10"/>
  <c r="L1479" i="10"/>
  <c r="J1479" i="10"/>
  <c r="I1479" i="10"/>
  <c r="L1478" i="10"/>
  <c r="J1478" i="10"/>
  <c r="I1478" i="10"/>
  <c r="L1477" i="10"/>
  <c r="J1477" i="10"/>
  <c r="I1477" i="10"/>
  <c r="L1476" i="10"/>
  <c r="J1476" i="10"/>
  <c r="I1476" i="10"/>
  <c r="L1475" i="10"/>
  <c r="J1475" i="10"/>
  <c r="I1475" i="10"/>
  <c r="L1474" i="10"/>
  <c r="J1474" i="10"/>
  <c r="I1474" i="10"/>
  <c r="L1473" i="10"/>
  <c r="J1473" i="10"/>
  <c r="I1473" i="10"/>
  <c r="L1472" i="10"/>
  <c r="J1472" i="10"/>
  <c r="I1472" i="10"/>
  <c r="L1471" i="10"/>
  <c r="J1471" i="10"/>
  <c r="I1471" i="10"/>
  <c r="L1470" i="10"/>
  <c r="J1470" i="10"/>
  <c r="I1470" i="10"/>
  <c r="L1469" i="10"/>
  <c r="J1469" i="10"/>
  <c r="I1469" i="10"/>
  <c r="L1468" i="10"/>
  <c r="J1468" i="10"/>
  <c r="I1468" i="10"/>
  <c r="L1467" i="10"/>
  <c r="J1467" i="10"/>
  <c r="I1467" i="10"/>
  <c r="L1466" i="10"/>
  <c r="J1466" i="10"/>
  <c r="I1466" i="10"/>
  <c r="L1465" i="10"/>
  <c r="J1465" i="10"/>
  <c r="I1465" i="10"/>
  <c r="L1464" i="10"/>
  <c r="J1464" i="10"/>
  <c r="I1464" i="10"/>
  <c r="L1463" i="10"/>
  <c r="J1463" i="10"/>
  <c r="I1463" i="10"/>
  <c r="L1462" i="10"/>
  <c r="J1462" i="10"/>
  <c r="I1462" i="10"/>
  <c r="L1461" i="10"/>
  <c r="J1461" i="10"/>
  <c r="I1461" i="10"/>
  <c r="L1460" i="10"/>
  <c r="J1460" i="10"/>
  <c r="I1460" i="10"/>
  <c r="L1459" i="10"/>
  <c r="J1459" i="10"/>
  <c r="I1459" i="10"/>
  <c r="L1458" i="10"/>
  <c r="J1458" i="10"/>
  <c r="I1458" i="10"/>
  <c r="L1457" i="10"/>
  <c r="J1457" i="10"/>
  <c r="I1457" i="10"/>
  <c r="L1456" i="10"/>
  <c r="J1456" i="10"/>
  <c r="I1456" i="10"/>
  <c r="L1455" i="10"/>
  <c r="J1455" i="10"/>
  <c r="I1455" i="10"/>
  <c r="L1454" i="10"/>
  <c r="J1454" i="10"/>
  <c r="I1454" i="10"/>
  <c r="L1453" i="10"/>
  <c r="J1453" i="10"/>
  <c r="I1453" i="10"/>
  <c r="L1452" i="10"/>
  <c r="J1452" i="10"/>
  <c r="I1452" i="10"/>
  <c r="L1451" i="10"/>
  <c r="J1451" i="10"/>
  <c r="I1451" i="10"/>
  <c r="L1450" i="10"/>
  <c r="J1450" i="10"/>
  <c r="I1450" i="10"/>
  <c r="L1449" i="10"/>
  <c r="J1449" i="10"/>
  <c r="I1449" i="10"/>
  <c r="L1448" i="10"/>
  <c r="J1448" i="10"/>
  <c r="I1448" i="10"/>
  <c r="L1447" i="10"/>
  <c r="J1447" i="10"/>
  <c r="I1447" i="10"/>
  <c r="L1446" i="10"/>
  <c r="J1446" i="10"/>
  <c r="I1446" i="10"/>
  <c r="L1445" i="10"/>
  <c r="J1445" i="10"/>
  <c r="I1445" i="10"/>
  <c r="L1444" i="10"/>
  <c r="J1444" i="10"/>
  <c r="I1444" i="10"/>
  <c r="L1443" i="10"/>
  <c r="J1443" i="10"/>
  <c r="I1443" i="10"/>
  <c r="L1442" i="10"/>
  <c r="J1442" i="10"/>
  <c r="I1442" i="10"/>
  <c r="L1441" i="10"/>
  <c r="J1441" i="10"/>
  <c r="I1441" i="10"/>
  <c r="L1440" i="10"/>
  <c r="J1440" i="10"/>
  <c r="I1440" i="10"/>
  <c r="L1439" i="10"/>
  <c r="J1439" i="10"/>
  <c r="I1439" i="10"/>
  <c r="L1438" i="10"/>
  <c r="J1438" i="10"/>
  <c r="I1438" i="10"/>
  <c r="L1437" i="10"/>
  <c r="J1437" i="10"/>
  <c r="I1437" i="10"/>
  <c r="L1436" i="10"/>
  <c r="J1436" i="10"/>
  <c r="I1436" i="10"/>
  <c r="L1435" i="10"/>
  <c r="J1435" i="10"/>
  <c r="I1435" i="10"/>
  <c r="L1434" i="10"/>
  <c r="J1434" i="10"/>
  <c r="I1434" i="10"/>
  <c r="L1433" i="10"/>
  <c r="J1433" i="10"/>
  <c r="I1433" i="10"/>
  <c r="L1432" i="10"/>
  <c r="J1432" i="10"/>
  <c r="I1432" i="10"/>
  <c r="L1431" i="10"/>
  <c r="J1431" i="10"/>
  <c r="I1431" i="10"/>
  <c r="L1430" i="10"/>
  <c r="J1430" i="10"/>
  <c r="I1430" i="10"/>
  <c r="L1429" i="10"/>
  <c r="J1429" i="10"/>
  <c r="I1429" i="10"/>
  <c r="L1428" i="10"/>
  <c r="J1428" i="10"/>
  <c r="I1428" i="10"/>
  <c r="L1427" i="10"/>
  <c r="J1427" i="10"/>
  <c r="I1427" i="10"/>
  <c r="L1426" i="10"/>
  <c r="J1426" i="10"/>
  <c r="I1426" i="10"/>
  <c r="L1425" i="10"/>
  <c r="J1425" i="10"/>
  <c r="I1425" i="10"/>
  <c r="L1424" i="10"/>
  <c r="J1424" i="10"/>
  <c r="I1424" i="10"/>
  <c r="L1423" i="10"/>
  <c r="J1423" i="10"/>
  <c r="I1423" i="10"/>
  <c r="L1422" i="10"/>
  <c r="J1422" i="10"/>
  <c r="I1422" i="10"/>
  <c r="L1421" i="10"/>
  <c r="J1421" i="10"/>
  <c r="I1421" i="10"/>
  <c r="L1420" i="10"/>
  <c r="J1420" i="10"/>
  <c r="I1420" i="10"/>
  <c r="L1419" i="10"/>
  <c r="J1419" i="10"/>
  <c r="I1419" i="10"/>
  <c r="L1418" i="10"/>
  <c r="J1418" i="10"/>
  <c r="I1418" i="10"/>
  <c r="L1417" i="10"/>
  <c r="J1417" i="10"/>
  <c r="I1417" i="10"/>
  <c r="L1416" i="10"/>
  <c r="J1416" i="10"/>
  <c r="I1416" i="10"/>
  <c r="L1415" i="10"/>
  <c r="J1415" i="10"/>
  <c r="I1415" i="10"/>
  <c r="L1414" i="10"/>
  <c r="J1414" i="10"/>
  <c r="I1414" i="10"/>
  <c r="L1413" i="10"/>
  <c r="J1413" i="10"/>
  <c r="I1413" i="10"/>
  <c r="L1412" i="10"/>
  <c r="J1412" i="10"/>
  <c r="I1412" i="10"/>
  <c r="L1411" i="10"/>
  <c r="J1411" i="10"/>
  <c r="I1411" i="10"/>
  <c r="L1410" i="10"/>
  <c r="J1410" i="10"/>
  <c r="I1410" i="10"/>
  <c r="L1409" i="10"/>
  <c r="J1409" i="10"/>
  <c r="I1409" i="10"/>
  <c r="L1408" i="10"/>
  <c r="J1408" i="10"/>
  <c r="I1408" i="10"/>
  <c r="L1407" i="10"/>
  <c r="J1407" i="10"/>
  <c r="I1407" i="10"/>
  <c r="L1406" i="10"/>
  <c r="J1406" i="10"/>
  <c r="I1406" i="10"/>
  <c r="L1405" i="10"/>
  <c r="J1405" i="10"/>
  <c r="I1405" i="10"/>
  <c r="L1404" i="10"/>
  <c r="J1404" i="10"/>
  <c r="I1404" i="10"/>
  <c r="L1403" i="10"/>
  <c r="J1403" i="10"/>
  <c r="I1403" i="10"/>
  <c r="L1402" i="10"/>
  <c r="J1402" i="10"/>
  <c r="I1402" i="10"/>
  <c r="L1401" i="10"/>
  <c r="J1401" i="10"/>
  <c r="I1401" i="10"/>
  <c r="L1400" i="10"/>
  <c r="J1400" i="10"/>
  <c r="I1400" i="10"/>
  <c r="L1399" i="10"/>
  <c r="J1399" i="10"/>
  <c r="I1399" i="10"/>
  <c r="L1398" i="10"/>
  <c r="J1398" i="10"/>
  <c r="I1398" i="10"/>
  <c r="L1397" i="10"/>
  <c r="J1397" i="10"/>
  <c r="I1397" i="10"/>
  <c r="L1396" i="10"/>
  <c r="J1396" i="10"/>
  <c r="I1396" i="10"/>
  <c r="L1395" i="10"/>
  <c r="J1395" i="10"/>
  <c r="I1395" i="10"/>
  <c r="L1394" i="10"/>
  <c r="J1394" i="10"/>
  <c r="I1394" i="10"/>
  <c r="L1393" i="10"/>
  <c r="J1393" i="10"/>
  <c r="I1393" i="10"/>
  <c r="L1392" i="10"/>
  <c r="J1392" i="10"/>
  <c r="I1392" i="10"/>
  <c r="L1391" i="10"/>
  <c r="J1391" i="10"/>
  <c r="I1391" i="10"/>
  <c r="L1390" i="10"/>
  <c r="J1390" i="10"/>
  <c r="I1390" i="10"/>
  <c r="L1389" i="10"/>
  <c r="J1389" i="10"/>
  <c r="I1389" i="10"/>
  <c r="L1388" i="10"/>
  <c r="J1388" i="10"/>
  <c r="I1388" i="10"/>
  <c r="L1387" i="10"/>
  <c r="J1387" i="10"/>
  <c r="I1387" i="10"/>
  <c r="L1386" i="10"/>
  <c r="J1386" i="10"/>
  <c r="I1386" i="10"/>
  <c r="L1385" i="10"/>
  <c r="J1385" i="10"/>
  <c r="I1385" i="10"/>
  <c r="L1384" i="10"/>
  <c r="J1384" i="10"/>
  <c r="I1384" i="10"/>
  <c r="L1383" i="10"/>
  <c r="J1383" i="10"/>
  <c r="I1383" i="10"/>
  <c r="L1382" i="10"/>
  <c r="J1382" i="10"/>
  <c r="I1382" i="10"/>
  <c r="L1381" i="10"/>
  <c r="J1381" i="10"/>
  <c r="I1381" i="10"/>
  <c r="L1380" i="10"/>
  <c r="J1380" i="10"/>
  <c r="I1380" i="10"/>
  <c r="L1379" i="10"/>
  <c r="J1379" i="10"/>
  <c r="I1379" i="10"/>
  <c r="L1378" i="10"/>
  <c r="J1378" i="10"/>
  <c r="I1378" i="10"/>
  <c r="L1377" i="10"/>
  <c r="J1377" i="10"/>
  <c r="I1377" i="10"/>
  <c r="L1376" i="10"/>
  <c r="J1376" i="10"/>
  <c r="I1376" i="10"/>
  <c r="L1375" i="10"/>
  <c r="J1375" i="10"/>
  <c r="I1375" i="10"/>
  <c r="L1374" i="10"/>
  <c r="J1374" i="10"/>
  <c r="I1374" i="10"/>
  <c r="L1373" i="10"/>
  <c r="J1373" i="10"/>
  <c r="I1373" i="10"/>
  <c r="L1372" i="10"/>
  <c r="J1372" i="10"/>
  <c r="I1372" i="10"/>
  <c r="L1371" i="10"/>
  <c r="J1371" i="10"/>
  <c r="I1371" i="10"/>
  <c r="L1370" i="10"/>
  <c r="J1370" i="10"/>
  <c r="I1370" i="10"/>
  <c r="L1369" i="10"/>
  <c r="J1369" i="10"/>
  <c r="I1369" i="10"/>
  <c r="L1368" i="10"/>
  <c r="J1368" i="10"/>
  <c r="I1368" i="10"/>
  <c r="L1367" i="10"/>
  <c r="J1367" i="10"/>
  <c r="I1367" i="10"/>
  <c r="L1366" i="10"/>
  <c r="J1366" i="10"/>
  <c r="I1366" i="10"/>
  <c r="L1365" i="10"/>
  <c r="J1365" i="10"/>
  <c r="I1365" i="10"/>
  <c r="L1364" i="10"/>
  <c r="J1364" i="10"/>
  <c r="I1364" i="10"/>
  <c r="L1363" i="10"/>
  <c r="J1363" i="10"/>
  <c r="I1363" i="10"/>
  <c r="L1362" i="10"/>
  <c r="J1362" i="10"/>
  <c r="I1362" i="10"/>
  <c r="L1361" i="10"/>
  <c r="J1361" i="10"/>
  <c r="I1361" i="10"/>
  <c r="L1360" i="10"/>
  <c r="J1360" i="10"/>
  <c r="I1360" i="10"/>
  <c r="L1359" i="10"/>
  <c r="J1359" i="10"/>
  <c r="I1359" i="10"/>
  <c r="L1358" i="10"/>
  <c r="J1358" i="10"/>
  <c r="I1358" i="10"/>
  <c r="L1357" i="10"/>
  <c r="J1357" i="10"/>
  <c r="I1357" i="10"/>
  <c r="L1356" i="10"/>
  <c r="J1356" i="10"/>
  <c r="I1356" i="10"/>
  <c r="L1355" i="10"/>
  <c r="J1355" i="10"/>
  <c r="I1355" i="10"/>
  <c r="L1354" i="10"/>
  <c r="J1354" i="10"/>
  <c r="I1354" i="10"/>
  <c r="L1353" i="10"/>
  <c r="J1353" i="10"/>
  <c r="I1353" i="10"/>
  <c r="L1352" i="10"/>
  <c r="J1352" i="10"/>
  <c r="I1352" i="10"/>
  <c r="L1351" i="10"/>
  <c r="J1351" i="10"/>
  <c r="I1351" i="10"/>
  <c r="L1350" i="10"/>
  <c r="J1350" i="10"/>
  <c r="I1350" i="10"/>
  <c r="L1349" i="10"/>
  <c r="J1349" i="10"/>
  <c r="I1349" i="10"/>
  <c r="L1348" i="10"/>
  <c r="J1348" i="10"/>
  <c r="I1348" i="10"/>
  <c r="L1347" i="10"/>
  <c r="J1347" i="10"/>
  <c r="I1347" i="10"/>
  <c r="L1346" i="10"/>
  <c r="J1346" i="10"/>
  <c r="I1346" i="10"/>
  <c r="L1345" i="10"/>
  <c r="J1345" i="10"/>
  <c r="I1345" i="10"/>
  <c r="L1344" i="10"/>
  <c r="J1344" i="10"/>
  <c r="I1344" i="10"/>
  <c r="L1343" i="10"/>
  <c r="J1343" i="10"/>
  <c r="I1343" i="10"/>
  <c r="L1342" i="10"/>
  <c r="J1342" i="10"/>
  <c r="I1342" i="10"/>
  <c r="L1341" i="10"/>
  <c r="J1341" i="10"/>
  <c r="I1341" i="10"/>
  <c r="L1340" i="10"/>
  <c r="J1340" i="10"/>
  <c r="I1340" i="10"/>
  <c r="L1339" i="10"/>
  <c r="J1339" i="10"/>
  <c r="I1339" i="10"/>
  <c r="L1338" i="10"/>
  <c r="J1338" i="10"/>
  <c r="I1338" i="10"/>
  <c r="L1337" i="10"/>
  <c r="J1337" i="10"/>
  <c r="I1337" i="10"/>
  <c r="L1336" i="10"/>
  <c r="J1336" i="10"/>
  <c r="I1336" i="10"/>
  <c r="L1335" i="10"/>
  <c r="J1335" i="10"/>
  <c r="I1335" i="10"/>
  <c r="L1334" i="10"/>
  <c r="J1334" i="10"/>
  <c r="I1334" i="10"/>
  <c r="L1333" i="10"/>
  <c r="J1333" i="10"/>
  <c r="I1333" i="10"/>
  <c r="L1332" i="10"/>
  <c r="J1332" i="10"/>
  <c r="I1332" i="10"/>
  <c r="L1331" i="10"/>
  <c r="J1331" i="10"/>
  <c r="I1331" i="10"/>
  <c r="L1330" i="10"/>
  <c r="J1330" i="10"/>
  <c r="I1330" i="10"/>
  <c r="L1329" i="10"/>
  <c r="J1329" i="10"/>
  <c r="I1329" i="10"/>
  <c r="L1328" i="10"/>
  <c r="J1328" i="10"/>
  <c r="I1328" i="10"/>
  <c r="L1327" i="10"/>
  <c r="J1327" i="10"/>
  <c r="I1327" i="10"/>
  <c r="L1326" i="10"/>
  <c r="J1326" i="10"/>
  <c r="I1326" i="10"/>
  <c r="L1325" i="10"/>
  <c r="J1325" i="10"/>
  <c r="I1325" i="10"/>
  <c r="L1324" i="10"/>
  <c r="J1324" i="10"/>
  <c r="I1324" i="10"/>
  <c r="L1323" i="10"/>
  <c r="J1323" i="10"/>
  <c r="I1323" i="10"/>
  <c r="L1322" i="10"/>
  <c r="J1322" i="10"/>
  <c r="I1322" i="10"/>
  <c r="L1321" i="10"/>
  <c r="J1321" i="10"/>
  <c r="I1321" i="10"/>
  <c r="L1320" i="10"/>
  <c r="J1320" i="10"/>
  <c r="I1320" i="10"/>
  <c r="L1319" i="10"/>
  <c r="J1319" i="10"/>
  <c r="I1319" i="10"/>
  <c r="L1318" i="10"/>
  <c r="J1318" i="10"/>
  <c r="I1318" i="10"/>
  <c r="L1317" i="10"/>
  <c r="J1317" i="10"/>
  <c r="I1317" i="10"/>
  <c r="L1316" i="10"/>
  <c r="J1316" i="10"/>
  <c r="I1316" i="10"/>
  <c r="L1315" i="10"/>
  <c r="J1315" i="10"/>
  <c r="I1315" i="10"/>
  <c r="L1314" i="10"/>
  <c r="J1314" i="10"/>
  <c r="I1314" i="10"/>
  <c r="L1313" i="10"/>
  <c r="J1313" i="10"/>
  <c r="I1313" i="10"/>
  <c r="L1312" i="10"/>
  <c r="J1312" i="10"/>
  <c r="I1312" i="10"/>
  <c r="L1311" i="10"/>
  <c r="J1311" i="10"/>
  <c r="I1311" i="10"/>
  <c r="L1310" i="10"/>
  <c r="J1310" i="10"/>
  <c r="I1310" i="10"/>
  <c r="L1309" i="10"/>
  <c r="J1309" i="10"/>
  <c r="I1309" i="10"/>
  <c r="L1308" i="10"/>
  <c r="J1308" i="10"/>
  <c r="I1308" i="10"/>
  <c r="L1307" i="10"/>
  <c r="J1307" i="10"/>
  <c r="I1307" i="10"/>
  <c r="L1306" i="10"/>
  <c r="J1306" i="10"/>
  <c r="I1306" i="10"/>
  <c r="L1305" i="10"/>
  <c r="J1305" i="10"/>
  <c r="I1305" i="10"/>
  <c r="L1304" i="10"/>
  <c r="J1304" i="10"/>
  <c r="I1304" i="10"/>
  <c r="L1303" i="10"/>
  <c r="J1303" i="10"/>
  <c r="I1303" i="10"/>
  <c r="L1302" i="10"/>
  <c r="J1302" i="10"/>
  <c r="I1302" i="10"/>
  <c r="L1301" i="10"/>
  <c r="J1301" i="10"/>
  <c r="I1301" i="10"/>
  <c r="L1300" i="10"/>
  <c r="J1300" i="10"/>
  <c r="I1300" i="10"/>
  <c r="L1299" i="10"/>
  <c r="J1299" i="10"/>
  <c r="I1299" i="10"/>
  <c r="L1298" i="10"/>
  <c r="J1298" i="10"/>
  <c r="I1298" i="10"/>
  <c r="L1297" i="10"/>
  <c r="J1297" i="10"/>
  <c r="I1297" i="10"/>
  <c r="L1296" i="10"/>
  <c r="J1296" i="10"/>
  <c r="I1296" i="10"/>
  <c r="L1295" i="10"/>
  <c r="J1295" i="10"/>
  <c r="I1295" i="10"/>
  <c r="L1294" i="10"/>
  <c r="J1294" i="10"/>
  <c r="I1294" i="10"/>
  <c r="L1293" i="10"/>
  <c r="J1293" i="10"/>
  <c r="I1293" i="10"/>
  <c r="L1292" i="10"/>
  <c r="J1292" i="10"/>
  <c r="I1292" i="10"/>
  <c r="L1291" i="10"/>
  <c r="J1291" i="10"/>
  <c r="I1291" i="10"/>
  <c r="L1290" i="10"/>
  <c r="J1290" i="10"/>
  <c r="I1290" i="10"/>
  <c r="L1289" i="10"/>
  <c r="J1289" i="10"/>
  <c r="I1289" i="10"/>
  <c r="L1288" i="10"/>
  <c r="J1288" i="10"/>
  <c r="I1288" i="10"/>
  <c r="L1287" i="10"/>
  <c r="J1287" i="10"/>
  <c r="I1287" i="10"/>
  <c r="L1286" i="10"/>
  <c r="J1286" i="10"/>
  <c r="I1286" i="10"/>
  <c r="L1285" i="10"/>
  <c r="J1285" i="10"/>
  <c r="I1285" i="10"/>
  <c r="L1284" i="10"/>
  <c r="J1284" i="10"/>
  <c r="I1284" i="10"/>
  <c r="L1283" i="10"/>
  <c r="J1283" i="10"/>
  <c r="I1283" i="10"/>
  <c r="L1282" i="10"/>
  <c r="J1282" i="10"/>
  <c r="I1282" i="10"/>
  <c r="L1281" i="10"/>
  <c r="J1281" i="10"/>
  <c r="I1281" i="10"/>
  <c r="L1280" i="10"/>
  <c r="J1280" i="10"/>
  <c r="I1280" i="10"/>
  <c r="L1279" i="10"/>
  <c r="J1279" i="10"/>
  <c r="I1279" i="10"/>
  <c r="L1278" i="10"/>
  <c r="J1278" i="10"/>
  <c r="I1278" i="10"/>
  <c r="L1277" i="10"/>
  <c r="J1277" i="10"/>
  <c r="I1277" i="10"/>
  <c r="L1276" i="10"/>
  <c r="J1276" i="10"/>
  <c r="I1276" i="10"/>
  <c r="L1275" i="10"/>
  <c r="J1275" i="10"/>
  <c r="I1275" i="10"/>
  <c r="L1274" i="10"/>
  <c r="J1274" i="10"/>
  <c r="I1274" i="10"/>
  <c r="L1273" i="10"/>
  <c r="J1273" i="10"/>
  <c r="I1273" i="10"/>
  <c r="L1272" i="10"/>
  <c r="J1272" i="10"/>
  <c r="I1272" i="10"/>
  <c r="L1271" i="10"/>
  <c r="J1271" i="10"/>
  <c r="I1271" i="10"/>
  <c r="L1270" i="10"/>
  <c r="J1270" i="10"/>
  <c r="I1270" i="10"/>
  <c r="L1269" i="10"/>
  <c r="J1269" i="10"/>
  <c r="I1269" i="10"/>
  <c r="L1268" i="10"/>
  <c r="J1268" i="10"/>
  <c r="I1268" i="10"/>
  <c r="L1267" i="10"/>
  <c r="J1267" i="10"/>
  <c r="I1267" i="10"/>
  <c r="L1266" i="10"/>
  <c r="J1266" i="10"/>
  <c r="I1266" i="10"/>
  <c r="L1265" i="10"/>
  <c r="J1265" i="10"/>
  <c r="I1265" i="10"/>
  <c r="L1264" i="10"/>
  <c r="J1264" i="10"/>
  <c r="I1264" i="10"/>
  <c r="L1263" i="10"/>
  <c r="J1263" i="10"/>
  <c r="I1263" i="10"/>
  <c r="L1262" i="10"/>
  <c r="J1262" i="10"/>
  <c r="I1262" i="10"/>
  <c r="L1261" i="10"/>
  <c r="J1261" i="10"/>
  <c r="I1261" i="10"/>
  <c r="L1260" i="10"/>
  <c r="J1260" i="10"/>
  <c r="I1260" i="10"/>
  <c r="L1259" i="10"/>
  <c r="J1259" i="10"/>
  <c r="I1259" i="10"/>
  <c r="L1258" i="10"/>
  <c r="J1258" i="10"/>
  <c r="I1258" i="10"/>
  <c r="L1257" i="10"/>
  <c r="J1257" i="10"/>
  <c r="I1257" i="10"/>
  <c r="L1256" i="10"/>
  <c r="J1256" i="10"/>
  <c r="I1256" i="10"/>
  <c r="L1255" i="10"/>
  <c r="J1255" i="10"/>
  <c r="I1255" i="10"/>
  <c r="L1254" i="10"/>
  <c r="J1254" i="10"/>
  <c r="I1254" i="10"/>
  <c r="L1253" i="10"/>
  <c r="J1253" i="10"/>
  <c r="I1253" i="10"/>
  <c r="L1252" i="10"/>
  <c r="J1252" i="10"/>
  <c r="I1252" i="10"/>
  <c r="L1251" i="10"/>
  <c r="J1251" i="10"/>
  <c r="I1251" i="10"/>
  <c r="L1250" i="10"/>
  <c r="J1250" i="10"/>
  <c r="I1250" i="10"/>
  <c r="L1249" i="10"/>
  <c r="J1249" i="10"/>
  <c r="I1249" i="10"/>
  <c r="L1248" i="10"/>
  <c r="J1248" i="10"/>
  <c r="I1248" i="10"/>
  <c r="L1247" i="10"/>
  <c r="J1247" i="10"/>
  <c r="I1247" i="10"/>
  <c r="L1246" i="10"/>
  <c r="J1246" i="10"/>
  <c r="I1246" i="10"/>
  <c r="L1245" i="10"/>
  <c r="J1245" i="10"/>
  <c r="I1245" i="10"/>
  <c r="L1244" i="10"/>
  <c r="J1244" i="10"/>
  <c r="I1244" i="10"/>
  <c r="L1243" i="10"/>
  <c r="J1243" i="10"/>
  <c r="I1243" i="10"/>
  <c r="L1242" i="10"/>
  <c r="J1242" i="10"/>
  <c r="I1242" i="10"/>
  <c r="L1241" i="10"/>
  <c r="J1241" i="10"/>
  <c r="I1241" i="10"/>
  <c r="L1240" i="10"/>
  <c r="J1240" i="10"/>
  <c r="I1240" i="10"/>
  <c r="L1239" i="10"/>
  <c r="J1239" i="10"/>
  <c r="I1239" i="10"/>
  <c r="L1238" i="10"/>
  <c r="J1238" i="10"/>
  <c r="I1238" i="10"/>
  <c r="L1237" i="10"/>
  <c r="J1237" i="10"/>
  <c r="I1237" i="10"/>
  <c r="L1236" i="10"/>
  <c r="J1236" i="10"/>
  <c r="I1236" i="10"/>
  <c r="L1235" i="10"/>
  <c r="J1235" i="10"/>
  <c r="I1235" i="10"/>
  <c r="L1234" i="10"/>
  <c r="J1234" i="10"/>
  <c r="I1234" i="10"/>
  <c r="L1233" i="10"/>
  <c r="J1233" i="10"/>
  <c r="I1233" i="10"/>
  <c r="L1232" i="10"/>
  <c r="J1232" i="10"/>
  <c r="I1232" i="10"/>
  <c r="L1231" i="10"/>
  <c r="J1231" i="10"/>
  <c r="I1231" i="10"/>
  <c r="L1230" i="10"/>
  <c r="J1230" i="10"/>
  <c r="I1230" i="10"/>
  <c r="L1229" i="10"/>
  <c r="J1229" i="10"/>
  <c r="I1229" i="10"/>
  <c r="L1228" i="10"/>
  <c r="J1228" i="10"/>
  <c r="I1228" i="10"/>
  <c r="L1227" i="10"/>
  <c r="J1227" i="10"/>
  <c r="I1227" i="10"/>
  <c r="L1226" i="10"/>
  <c r="J1226" i="10"/>
  <c r="I1226" i="10"/>
  <c r="L1225" i="10"/>
  <c r="J1225" i="10"/>
  <c r="I1225" i="10"/>
  <c r="L1224" i="10"/>
  <c r="J1224" i="10"/>
  <c r="I1224" i="10"/>
  <c r="L1223" i="10"/>
  <c r="J1223" i="10"/>
  <c r="I1223" i="10"/>
  <c r="L1222" i="10"/>
  <c r="J1222" i="10"/>
  <c r="I1222" i="10"/>
  <c r="L1221" i="10"/>
  <c r="J1221" i="10"/>
  <c r="I1221" i="10"/>
  <c r="L1220" i="10"/>
  <c r="J1220" i="10"/>
  <c r="I1220" i="10"/>
  <c r="L1219" i="10"/>
  <c r="J1219" i="10"/>
  <c r="I1219" i="10"/>
  <c r="L1218" i="10"/>
  <c r="J1218" i="10"/>
  <c r="I1218" i="10"/>
  <c r="L1217" i="10"/>
  <c r="J1217" i="10"/>
  <c r="I1217" i="10"/>
  <c r="L1216" i="10"/>
  <c r="J1216" i="10"/>
  <c r="I1216" i="10"/>
  <c r="L1215" i="10"/>
  <c r="J1215" i="10"/>
  <c r="I1215" i="10"/>
  <c r="L1214" i="10"/>
  <c r="J1214" i="10"/>
  <c r="I1214" i="10"/>
  <c r="L1213" i="10"/>
  <c r="J1213" i="10"/>
  <c r="I1213" i="10"/>
  <c r="L1212" i="10"/>
  <c r="J1212" i="10"/>
  <c r="I1212" i="10"/>
  <c r="L1211" i="10"/>
  <c r="J1211" i="10"/>
  <c r="I1211" i="10"/>
  <c r="L1210" i="10"/>
  <c r="J1210" i="10"/>
  <c r="I1210" i="10"/>
  <c r="L1209" i="10"/>
  <c r="J1209" i="10"/>
  <c r="I1209" i="10"/>
  <c r="L1208" i="10"/>
  <c r="J1208" i="10"/>
  <c r="I1208" i="10"/>
  <c r="L1207" i="10"/>
  <c r="J1207" i="10"/>
  <c r="I1207" i="10"/>
  <c r="L1206" i="10"/>
  <c r="J1206" i="10"/>
  <c r="I1206" i="10"/>
  <c r="L1205" i="10"/>
  <c r="J1205" i="10"/>
  <c r="I1205" i="10"/>
  <c r="L1204" i="10"/>
  <c r="J1204" i="10"/>
  <c r="I1204" i="10"/>
  <c r="L1203" i="10"/>
  <c r="J1203" i="10"/>
  <c r="I1203" i="10"/>
  <c r="L1202" i="10"/>
  <c r="J1202" i="10"/>
  <c r="I1202" i="10"/>
  <c r="L1201" i="10"/>
  <c r="J1201" i="10"/>
  <c r="I1201" i="10"/>
  <c r="L1200" i="10"/>
  <c r="J1200" i="10"/>
  <c r="I1200" i="10"/>
  <c r="L1199" i="10"/>
  <c r="J1199" i="10"/>
  <c r="I1199" i="10"/>
  <c r="L1198" i="10"/>
  <c r="J1198" i="10"/>
  <c r="I1198" i="10"/>
  <c r="L1197" i="10"/>
  <c r="J1197" i="10"/>
  <c r="I1197" i="10"/>
  <c r="L1196" i="10"/>
  <c r="J1196" i="10"/>
  <c r="I1196" i="10"/>
  <c r="L1195" i="10"/>
  <c r="J1195" i="10"/>
  <c r="I1195" i="10"/>
  <c r="L1194" i="10"/>
  <c r="J1194" i="10"/>
  <c r="I1194" i="10"/>
  <c r="L1193" i="10"/>
  <c r="J1193" i="10"/>
  <c r="I1193" i="10"/>
  <c r="L1192" i="10"/>
  <c r="J1192" i="10"/>
  <c r="I1192" i="10"/>
  <c r="L1191" i="10"/>
  <c r="J1191" i="10"/>
  <c r="I1191" i="10"/>
  <c r="L1190" i="10"/>
  <c r="J1190" i="10"/>
  <c r="I1190" i="10"/>
  <c r="L1189" i="10"/>
  <c r="J1189" i="10"/>
  <c r="I1189" i="10"/>
  <c r="L1188" i="10"/>
  <c r="J1188" i="10"/>
  <c r="I1188" i="10"/>
  <c r="L1187" i="10"/>
  <c r="J1187" i="10"/>
  <c r="I1187" i="10"/>
  <c r="L1186" i="10"/>
  <c r="J1186" i="10"/>
  <c r="I1186" i="10"/>
  <c r="L1185" i="10"/>
  <c r="J1185" i="10"/>
  <c r="I1185" i="10"/>
  <c r="L1184" i="10"/>
  <c r="J1184" i="10"/>
  <c r="I1184" i="10"/>
  <c r="L1183" i="10"/>
  <c r="J1183" i="10"/>
  <c r="I1183" i="10"/>
  <c r="L1182" i="10"/>
  <c r="J1182" i="10"/>
  <c r="I1182" i="10"/>
  <c r="L1181" i="10"/>
  <c r="J1181" i="10"/>
  <c r="I1181" i="10"/>
  <c r="L1180" i="10"/>
  <c r="J1180" i="10"/>
  <c r="I1180" i="10"/>
  <c r="L1179" i="10"/>
  <c r="J1179" i="10"/>
  <c r="I1179" i="10"/>
  <c r="L1178" i="10"/>
  <c r="J1178" i="10"/>
  <c r="I1178" i="10"/>
  <c r="L1177" i="10"/>
  <c r="J1177" i="10"/>
  <c r="I1177" i="10"/>
  <c r="L1176" i="10"/>
  <c r="J1176" i="10"/>
  <c r="I1176" i="10"/>
  <c r="L1175" i="10"/>
  <c r="J1175" i="10"/>
  <c r="I1175" i="10"/>
  <c r="L1174" i="10"/>
  <c r="J1174" i="10"/>
  <c r="I1174" i="10"/>
  <c r="L1173" i="10"/>
  <c r="J1173" i="10"/>
  <c r="I1173" i="10"/>
  <c r="L1172" i="10"/>
  <c r="J1172" i="10"/>
  <c r="I1172" i="10"/>
  <c r="L1171" i="10"/>
  <c r="J1171" i="10"/>
  <c r="I1171" i="10"/>
  <c r="L1170" i="10"/>
  <c r="J1170" i="10"/>
  <c r="I1170" i="10"/>
  <c r="L1169" i="10"/>
  <c r="J1169" i="10"/>
  <c r="I1169" i="10"/>
  <c r="L1168" i="10"/>
  <c r="J1168" i="10"/>
  <c r="I1168" i="10"/>
  <c r="L1167" i="10"/>
  <c r="J1167" i="10"/>
  <c r="I1167" i="10"/>
  <c r="L1166" i="10"/>
  <c r="J1166" i="10"/>
  <c r="I1166" i="10"/>
  <c r="L1165" i="10"/>
  <c r="J1165" i="10"/>
  <c r="I1165" i="10"/>
  <c r="L1164" i="10"/>
  <c r="J1164" i="10"/>
  <c r="I1164" i="10"/>
  <c r="L1163" i="10"/>
  <c r="J1163" i="10"/>
  <c r="I1163" i="10"/>
  <c r="L1162" i="10"/>
  <c r="J1162" i="10"/>
  <c r="I1162" i="10"/>
  <c r="L1161" i="10"/>
  <c r="J1161" i="10"/>
  <c r="I1161" i="10"/>
  <c r="L1160" i="10"/>
  <c r="J1160" i="10"/>
  <c r="I1160" i="10"/>
  <c r="L1159" i="10"/>
  <c r="J1159" i="10"/>
  <c r="I1159" i="10"/>
  <c r="L1158" i="10"/>
  <c r="J1158" i="10"/>
  <c r="I1158" i="10"/>
  <c r="L1157" i="10"/>
  <c r="J1157" i="10"/>
  <c r="I1157" i="10"/>
  <c r="L1156" i="10"/>
  <c r="J1156" i="10"/>
  <c r="I1156" i="10"/>
  <c r="L1155" i="10"/>
  <c r="J1155" i="10"/>
  <c r="I1155" i="10"/>
  <c r="L1154" i="10"/>
  <c r="J1154" i="10"/>
  <c r="I1154" i="10"/>
  <c r="L1153" i="10"/>
  <c r="J1153" i="10"/>
  <c r="I1153" i="10"/>
  <c r="L1152" i="10"/>
  <c r="J1152" i="10"/>
  <c r="I1152" i="10"/>
  <c r="L1151" i="10"/>
  <c r="J1151" i="10"/>
  <c r="I1151" i="10"/>
  <c r="L1150" i="10"/>
  <c r="J1150" i="10"/>
  <c r="I1150" i="10"/>
  <c r="L1149" i="10"/>
  <c r="J1149" i="10"/>
  <c r="I1149" i="10"/>
  <c r="L1148" i="10"/>
  <c r="J1148" i="10"/>
  <c r="I1148" i="10"/>
  <c r="L1147" i="10"/>
  <c r="J1147" i="10"/>
  <c r="I1147" i="10"/>
  <c r="L1146" i="10"/>
  <c r="J1146" i="10"/>
  <c r="I1146" i="10"/>
  <c r="L1145" i="10"/>
  <c r="J1145" i="10"/>
  <c r="I1145" i="10"/>
  <c r="L1144" i="10"/>
  <c r="J1144" i="10"/>
  <c r="I1144" i="10"/>
  <c r="L1143" i="10"/>
  <c r="J1143" i="10"/>
  <c r="I1143" i="10"/>
  <c r="L1142" i="10"/>
  <c r="J1142" i="10"/>
  <c r="I1142" i="10"/>
  <c r="L1141" i="10"/>
  <c r="J1141" i="10"/>
  <c r="I1141" i="10"/>
  <c r="L1140" i="10"/>
  <c r="J1140" i="10"/>
  <c r="I1140" i="10"/>
  <c r="L1139" i="10"/>
  <c r="J1139" i="10"/>
  <c r="I1139" i="10"/>
  <c r="L1138" i="10"/>
  <c r="J1138" i="10"/>
  <c r="I1138" i="10"/>
  <c r="L1137" i="10"/>
  <c r="J1137" i="10"/>
  <c r="I1137" i="10"/>
  <c r="L1136" i="10"/>
  <c r="J1136" i="10"/>
  <c r="I1136" i="10"/>
  <c r="L1135" i="10"/>
  <c r="J1135" i="10"/>
  <c r="I1135" i="10"/>
  <c r="L1134" i="10"/>
  <c r="J1134" i="10"/>
  <c r="I1134" i="10"/>
  <c r="L1133" i="10"/>
  <c r="J1133" i="10"/>
  <c r="I1133" i="10"/>
  <c r="L1132" i="10"/>
  <c r="J1132" i="10"/>
  <c r="I1132" i="10"/>
  <c r="L1131" i="10"/>
  <c r="J1131" i="10"/>
  <c r="I1131" i="10"/>
  <c r="L1130" i="10"/>
  <c r="J1130" i="10"/>
  <c r="I1130" i="10"/>
  <c r="L1129" i="10"/>
  <c r="J1129" i="10"/>
  <c r="I1129" i="10"/>
  <c r="L1128" i="10"/>
  <c r="J1128" i="10"/>
  <c r="I1128" i="10"/>
  <c r="L1127" i="10"/>
  <c r="J1127" i="10"/>
  <c r="I1127" i="10"/>
  <c r="L1126" i="10"/>
  <c r="J1126" i="10"/>
  <c r="I1126" i="10"/>
  <c r="L1125" i="10"/>
  <c r="J1125" i="10"/>
  <c r="I1125" i="10"/>
  <c r="L1124" i="10"/>
  <c r="J1124" i="10"/>
  <c r="I1124" i="10"/>
  <c r="L1123" i="10"/>
  <c r="J1123" i="10"/>
  <c r="I1123" i="10"/>
  <c r="L1122" i="10"/>
  <c r="J1122" i="10"/>
  <c r="I1122" i="10"/>
  <c r="L1121" i="10"/>
  <c r="J1121" i="10"/>
  <c r="I1121" i="10"/>
  <c r="L1120" i="10"/>
  <c r="J1120" i="10"/>
  <c r="I1120" i="10"/>
  <c r="L1119" i="10"/>
  <c r="J1119" i="10"/>
  <c r="I1119" i="10"/>
  <c r="L1118" i="10"/>
  <c r="J1118" i="10"/>
  <c r="I1118" i="10"/>
  <c r="L1117" i="10"/>
  <c r="J1117" i="10"/>
  <c r="I1117" i="10"/>
  <c r="L1116" i="10"/>
  <c r="J1116" i="10"/>
  <c r="I1116" i="10"/>
  <c r="L1115" i="10"/>
  <c r="J1115" i="10"/>
  <c r="I1115" i="10"/>
  <c r="L1114" i="10"/>
  <c r="J1114" i="10"/>
  <c r="I1114" i="10"/>
  <c r="L1113" i="10"/>
  <c r="J1113" i="10"/>
  <c r="I1113" i="10"/>
  <c r="L1112" i="10"/>
  <c r="J1112" i="10"/>
  <c r="I1112" i="10"/>
  <c r="L1111" i="10"/>
  <c r="J1111" i="10"/>
  <c r="I1111" i="10"/>
  <c r="L1110" i="10"/>
  <c r="J1110" i="10"/>
  <c r="I1110" i="10"/>
  <c r="L1109" i="10"/>
  <c r="J1109" i="10"/>
  <c r="I1109" i="10"/>
  <c r="L1108" i="10"/>
  <c r="J1108" i="10"/>
  <c r="I1108" i="10"/>
  <c r="L1107" i="10"/>
  <c r="J1107" i="10"/>
  <c r="I1107" i="10"/>
  <c r="L1106" i="10"/>
  <c r="J1106" i="10"/>
  <c r="I1106" i="10"/>
  <c r="L1105" i="10"/>
  <c r="J1105" i="10"/>
  <c r="I1105" i="10"/>
  <c r="L1104" i="10"/>
  <c r="J1104" i="10"/>
  <c r="I1104" i="10"/>
  <c r="L1103" i="10"/>
  <c r="J1103" i="10"/>
  <c r="I1103" i="10"/>
  <c r="L1102" i="10"/>
  <c r="J1102" i="10"/>
  <c r="I1102" i="10"/>
  <c r="L1101" i="10"/>
  <c r="J1101" i="10"/>
  <c r="I1101" i="10"/>
  <c r="L1100" i="10"/>
  <c r="J1100" i="10"/>
  <c r="I1100" i="10"/>
  <c r="L1099" i="10"/>
  <c r="J1099" i="10"/>
  <c r="I1099" i="10"/>
  <c r="L1098" i="10"/>
  <c r="J1098" i="10"/>
  <c r="I1098" i="10"/>
  <c r="L1097" i="10"/>
  <c r="J1097" i="10"/>
  <c r="I1097" i="10"/>
  <c r="L1096" i="10"/>
  <c r="J1096" i="10"/>
  <c r="I1096" i="10"/>
  <c r="L1095" i="10"/>
  <c r="J1095" i="10"/>
  <c r="I1095" i="10"/>
  <c r="L1094" i="10"/>
  <c r="J1094" i="10"/>
  <c r="I1094" i="10"/>
  <c r="L1093" i="10"/>
  <c r="J1093" i="10"/>
  <c r="I1093" i="10"/>
  <c r="L1092" i="10"/>
  <c r="J1092" i="10"/>
  <c r="I1092" i="10"/>
  <c r="L1091" i="10"/>
  <c r="J1091" i="10"/>
  <c r="I1091" i="10"/>
  <c r="L1090" i="10"/>
  <c r="J1090" i="10"/>
  <c r="I1090" i="10"/>
  <c r="L1089" i="10"/>
  <c r="J1089" i="10"/>
  <c r="I1089" i="10"/>
  <c r="L1088" i="10"/>
  <c r="J1088" i="10"/>
  <c r="I1088" i="10"/>
  <c r="L1087" i="10"/>
  <c r="J1087" i="10"/>
  <c r="I1087" i="10"/>
  <c r="L1086" i="10"/>
  <c r="J1086" i="10"/>
  <c r="I1086" i="10"/>
  <c r="L1085" i="10"/>
  <c r="J1085" i="10"/>
  <c r="I1085" i="10"/>
  <c r="L1084" i="10"/>
  <c r="J1084" i="10"/>
  <c r="I1084" i="10"/>
  <c r="L1083" i="10"/>
  <c r="J1083" i="10"/>
  <c r="I1083" i="10"/>
  <c r="L1082" i="10"/>
  <c r="J1082" i="10"/>
  <c r="I1082" i="10"/>
  <c r="L1081" i="10"/>
  <c r="J1081" i="10"/>
  <c r="I1081" i="10"/>
  <c r="L1080" i="10"/>
  <c r="J1080" i="10"/>
  <c r="I1080" i="10"/>
  <c r="L1079" i="10"/>
  <c r="J1079" i="10"/>
  <c r="I1079" i="10"/>
  <c r="L1078" i="10"/>
  <c r="J1078" i="10"/>
  <c r="I1078" i="10"/>
  <c r="L1077" i="10"/>
  <c r="J1077" i="10"/>
  <c r="I1077" i="10"/>
  <c r="L1076" i="10"/>
  <c r="J1076" i="10"/>
  <c r="I1076" i="10"/>
  <c r="L1075" i="10"/>
  <c r="J1075" i="10"/>
  <c r="I1075" i="10"/>
  <c r="L1074" i="10"/>
  <c r="J1074" i="10"/>
  <c r="I1074" i="10"/>
  <c r="L1073" i="10"/>
  <c r="J1073" i="10"/>
  <c r="I1073" i="10"/>
  <c r="L1072" i="10"/>
  <c r="J1072" i="10"/>
  <c r="I1072" i="10"/>
  <c r="L1071" i="10"/>
  <c r="J1071" i="10"/>
  <c r="I1071" i="10"/>
  <c r="L1070" i="10"/>
  <c r="J1070" i="10"/>
  <c r="I1070" i="10"/>
  <c r="L1069" i="10"/>
  <c r="J1069" i="10"/>
  <c r="I1069" i="10"/>
  <c r="L1068" i="10"/>
  <c r="J1068" i="10"/>
  <c r="I1068" i="10"/>
  <c r="L1067" i="10"/>
  <c r="J1067" i="10"/>
  <c r="I1067" i="10"/>
  <c r="L1066" i="10"/>
  <c r="J1066" i="10"/>
  <c r="I1066" i="10"/>
  <c r="L1065" i="10"/>
  <c r="J1065" i="10"/>
  <c r="I1065" i="10"/>
  <c r="L1064" i="10"/>
  <c r="J1064" i="10"/>
  <c r="I1064" i="10"/>
  <c r="L1063" i="10"/>
  <c r="J1063" i="10"/>
  <c r="I1063" i="10"/>
  <c r="L1062" i="10"/>
  <c r="J1062" i="10"/>
  <c r="I1062" i="10"/>
  <c r="L1061" i="10"/>
  <c r="J1061" i="10"/>
  <c r="I1061" i="10"/>
  <c r="L1060" i="10"/>
  <c r="J1060" i="10"/>
  <c r="I1060" i="10"/>
  <c r="L1059" i="10"/>
  <c r="J1059" i="10"/>
  <c r="I1059" i="10"/>
  <c r="L1058" i="10"/>
  <c r="J1058" i="10"/>
  <c r="I1058" i="10"/>
  <c r="L1057" i="10"/>
  <c r="J1057" i="10"/>
  <c r="I1057" i="10"/>
  <c r="L1056" i="10"/>
  <c r="J1056" i="10"/>
  <c r="I1056" i="10"/>
  <c r="L1055" i="10"/>
  <c r="J1055" i="10"/>
  <c r="I1055" i="10"/>
  <c r="L1054" i="10"/>
  <c r="J1054" i="10"/>
  <c r="I1054" i="10"/>
  <c r="L1053" i="10"/>
  <c r="J1053" i="10"/>
  <c r="I1053" i="10"/>
  <c r="L1052" i="10"/>
  <c r="J1052" i="10"/>
  <c r="I1052" i="10"/>
  <c r="L1051" i="10"/>
  <c r="J1051" i="10"/>
  <c r="I1051" i="10"/>
  <c r="L1050" i="10"/>
  <c r="J1050" i="10"/>
  <c r="I1050" i="10"/>
  <c r="L1049" i="10"/>
  <c r="J1049" i="10"/>
  <c r="I1049" i="10"/>
  <c r="L1048" i="10"/>
  <c r="J1048" i="10"/>
  <c r="I1048" i="10"/>
  <c r="L1047" i="10"/>
  <c r="J1047" i="10"/>
  <c r="I1047" i="10"/>
  <c r="L1046" i="10"/>
  <c r="J1046" i="10"/>
  <c r="I1046" i="10"/>
  <c r="L1045" i="10"/>
  <c r="J1045" i="10"/>
  <c r="I1045" i="10"/>
  <c r="L1044" i="10"/>
  <c r="J1044" i="10"/>
  <c r="I1044" i="10"/>
  <c r="L1043" i="10"/>
  <c r="J1043" i="10"/>
  <c r="I1043" i="10"/>
  <c r="L1042" i="10"/>
  <c r="J1042" i="10"/>
  <c r="I1042" i="10"/>
  <c r="L1041" i="10"/>
  <c r="J1041" i="10"/>
  <c r="I1041" i="10"/>
  <c r="L1040" i="10"/>
  <c r="J1040" i="10"/>
  <c r="I1040" i="10"/>
  <c r="L1039" i="10"/>
  <c r="J1039" i="10"/>
  <c r="I1039" i="10"/>
  <c r="L1038" i="10"/>
  <c r="J1038" i="10"/>
  <c r="I1038" i="10"/>
  <c r="L1037" i="10"/>
  <c r="J1037" i="10"/>
  <c r="I1037" i="10"/>
  <c r="L1036" i="10"/>
  <c r="J1036" i="10"/>
  <c r="I1036" i="10"/>
  <c r="L1035" i="10"/>
  <c r="J1035" i="10"/>
  <c r="I1035" i="10"/>
  <c r="L1034" i="10"/>
  <c r="J1034" i="10"/>
  <c r="I1034" i="10"/>
  <c r="L1033" i="10"/>
  <c r="J1033" i="10"/>
  <c r="I1033" i="10"/>
  <c r="L1032" i="10"/>
  <c r="J1032" i="10"/>
  <c r="I1032" i="10"/>
  <c r="L1031" i="10"/>
  <c r="J1031" i="10"/>
  <c r="I1031" i="10"/>
  <c r="L1030" i="10"/>
  <c r="J1030" i="10"/>
  <c r="I1030" i="10"/>
  <c r="L1029" i="10"/>
  <c r="J1029" i="10"/>
  <c r="I1029" i="10"/>
  <c r="L1028" i="10"/>
  <c r="J1028" i="10"/>
  <c r="I1028" i="10"/>
  <c r="L1027" i="10"/>
  <c r="J1027" i="10"/>
  <c r="I1027" i="10"/>
  <c r="L1026" i="10"/>
  <c r="J1026" i="10"/>
  <c r="I1026" i="10"/>
  <c r="L1025" i="10"/>
  <c r="J1025" i="10"/>
  <c r="I1025" i="10"/>
  <c r="L1024" i="10"/>
  <c r="J1024" i="10"/>
  <c r="I1024" i="10"/>
  <c r="L1023" i="10"/>
  <c r="J1023" i="10"/>
  <c r="I1023" i="10"/>
  <c r="L1022" i="10"/>
  <c r="J1022" i="10"/>
  <c r="I1022" i="10"/>
  <c r="L1021" i="10"/>
  <c r="J1021" i="10"/>
  <c r="I1021" i="10"/>
  <c r="L1020" i="10"/>
  <c r="J1020" i="10"/>
  <c r="I1020" i="10"/>
  <c r="L1019" i="10"/>
  <c r="J1019" i="10"/>
  <c r="I1019" i="10"/>
  <c r="L1018" i="10"/>
  <c r="J1018" i="10"/>
  <c r="I1018" i="10"/>
  <c r="L1017" i="10"/>
  <c r="J1017" i="10"/>
  <c r="I1017" i="10"/>
  <c r="L1016" i="10"/>
  <c r="J1016" i="10"/>
  <c r="I1016" i="10"/>
  <c r="L1015" i="10"/>
  <c r="J1015" i="10"/>
  <c r="I1015" i="10"/>
  <c r="L1014" i="10"/>
  <c r="J1014" i="10"/>
  <c r="I1014" i="10"/>
  <c r="L1013" i="10"/>
  <c r="J1013" i="10"/>
  <c r="I1013" i="10"/>
  <c r="L1012" i="10"/>
  <c r="J1012" i="10"/>
  <c r="I1012" i="10"/>
  <c r="L1011" i="10"/>
  <c r="J1011" i="10"/>
  <c r="I1011" i="10"/>
  <c r="L1010" i="10"/>
  <c r="J1010" i="10"/>
  <c r="I1010" i="10"/>
  <c r="L1009" i="10"/>
  <c r="J1009" i="10"/>
  <c r="I1009" i="10"/>
  <c r="L1008" i="10"/>
  <c r="J1008" i="10"/>
  <c r="I1008" i="10"/>
  <c r="L1007" i="10"/>
  <c r="J1007" i="10"/>
  <c r="I1007" i="10"/>
  <c r="L1006" i="10"/>
  <c r="J1006" i="10"/>
  <c r="I1006" i="10"/>
  <c r="L1005" i="10"/>
  <c r="J1005" i="10"/>
  <c r="I1005" i="10"/>
  <c r="L1004" i="10"/>
  <c r="J1004" i="10"/>
  <c r="I1004" i="10"/>
  <c r="L1003" i="10"/>
  <c r="J1003" i="10"/>
  <c r="I1003" i="10"/>
  <c r="L1002" i="10"/>
  <c r="J1002" i="10"/>
  <c r="I1002" i="10"/>
  <c r="L1001" i="10"/>
  <c r="J1001" i="10"/>
  <c r="I1001" i="10"/>
  <c r="L1000" i="10"/>
  <c r="J1000" i="10"/>
  <c r="I1000" i="10"/>
  <c r="L999" i="10"/>
  <c r="J999" i="10"/>
  <c r="I999" i="10"/>
  <c r="L998" i="10"/>
  <c r="J998" i="10"/>
  <c r="I998" i="10"/>
  <c r="L997" i="10"/>
  <c r="J997" i="10"/>
  <c r="I997" i="10"/>
  <c r="L996" i="10"/>
  <c r="J996" i="10"/>
  <c r="I996" i="10"/>
  <c r="L995" i="10"/>
  <c r="J995" i="10"/>
  <c r="I995" i="10"/>
  <c r="L994" i="10"/>
  <c r="J994" i="10"/>
  <c r="I994" i="10"/>
  <c r="L993" i="10"/>
  <c r="J993" i="10"/>
  <c r="I993" i="10"/>
  <c r="L992" i="10"/>
  <c r="J992" i="10"/>
  <c r="I992" i="10"/>
  <c r="L991" i="10"/>
  <c r="J991" i="10"/>
  <c r="I991" i="10"/>
  <c r="L990" i="10"/>
  <c r="J990" i="10"/>
  <c r="I990" i="10"/>
  <c r="L989" i="10"/>
  <c r="J989" i="10"/>
  <c r="I989" i="10"/>
  <c r="L988" i="10"/>
  <c r="J988" i="10"/>
  <c r="I988" i="10"/>
  <c r="L987" i="10"/>
  <c r="J987" i="10"/>
  <c r="I987" i="10"/>
  <c r="L986" i="10"/>
  <c r="J986" i="10"/>
  <c r="I986" i="10"/>
  <c r="L985" i="10"/>
  <c r="J985" i="10"/>
  <c r="I985" i="10"/>
  <c r="L984" i="10"/>
  <c r="J984" i="10"/>
  <c r="I984" i="10"/>
  <c r="L983" i="10"/>
  <c r="J983" i="10"/>
  <c r="I983" i="10"/>
  <c r="L982" i="10"/>
  <c r="J982" i="10"/>
  <c r="I982" i="10"/>
  <c r="L981" i="10"/>
  <c r="J981" i="10"/>
  <c r="I981" i="10"/>
  <c r="L980" i="10"/>
  <c r="J980" i="10"/>
  <c r="I980" i="10"/>
  <c r="L979" i="10"/>
  <c r="J979" i="10"/>
  <c r="I979" i="10"/>
  <c r="L978" i="10"/>
  <c r="J978" i="10"/>
  <c r="I978" i="10"/>
  <c r="L977" i="10"/>
  <c r="J977" i="10"/>
  <c r="I977" i="10"/>
  <c r="L976" i="10"/>
  <c r="J976" i="10"/>
  <c r="I976" i="10"/>
  <c r="L975" i="10"/>
  <c r="J975" i="10"/>
  <c r="I975" i="10"/>
  <c r="L974" i="10"/>
  <c r="J974" i="10"/>
  <c r="I974" i="10"/>
  <c r="L973" i="10"/>
  <c r="J973" i="10"/>
  <c r="I973" i="10"/>
  <c r="L972" i="10"/>
  <c r="J972" i="10"/>
  <c r="I972" i="10"/>
  <c r="L971" i="10"/>
  <c r="J971" i="10"/>
  <c r="I971" i="10"/>
  <c r="L970" i="10"/>
  <c r="J970" i="10"/>
  <c r="I970" i="10"/>
  <c r="L969" i="10"/>
  <c r="J969" i="10"/>
  <c r="I969" i="10"/>
  <c r="L968" i="10"/>
  <c r="J968" i="10"/>
  <c r="I968" i="10"/>
  <c r="L967" i="10"/>
  <c r="J967" i="10"/>
  <c r="I967" i="10"/>
  <c r="L966" i="10"/>
  <c r="J966" i="10"/>
  <c r="I966" i="10"/>
  <c r="L965" i="10"/>
  <c r="J965" i="10"/>
  <c r="I965" i="10"/>
  <c r="L964" i="10"/>
  <c r="J964" i="10"/>
  <c r="I964" i="10"/>
  <c r="L963" i="10"/>
  <c r="J963" i="10"/>
  <c r="I963" i="10"/>
  <c r="L962" i="10"/>
  <c r="J962" i="10"/>
  <c r="I962" i="10"/>
  <c r="L961" i="10"/>
  <c r="J961" i="10"/>
  <c r="I961" i="10"/>
  <c r="L960" i="10"/>
  <c r="J960" i="10"/>
  <c r="I960" i="10"/>
  <c r="L959" i="10"/>
  <c r="J959" i="10"/>
  <c r="I959" i="10"/>
  <c r="L958" i="10"/>
  <c r="J958" i="10"/>
  <c r="I958" i="10"/>
  <c r="L957" i="10"/>
  <c r="J957" i="10"/>
  <c r="I957" i="10"/>
  <c r="L956" i="10"/>
  <c r="J956" i="10"/>
  <c r="I956" i="10"/>
  <c r="L955" i="10"/>
  <c r="J955" i="10"/>
  <c r="I955" i="10"/>
  <c r="L954" i="10"/>
  <c r="J954" i="10"/>
  <c r="I954" i="10"/>
  <c r="L953" i="10"/>
  <c r="J953" i="10"/>
  <c r="I953" i="10"/>
  <c r="L952" i="10"/>
  <c r="J952" i="10"/>
  <c r="I952" i="10"/>
  <c r="L951" i="10"/>
  <c r="J951" i="10"/>
  <c r="I951" i="10"/>
  <c r="L950" i="10"/>
  <c r="J950" i="10"/>
  <c r="I950" i="10"/>
  <c r="L949" i="10"/>
  <c r="J949" i="10"/>
  <c r="I949" i="10"/>
  <c r="L948" i="10"/>
  <c r="J948" i="10"/>
  <c r="I948" i="10"/>
  <c r="L947" i="10"/>
  <c r="J947" i="10"/>
  <c r="I947" i="10"/>
  <c r="L946" i="10"/>
  <c r="J946" i="10"/>
  <c r="I946" i="10"/>
  <c r="L945" i="10"/>
  <c r="J945" i="10"/>
  <c r="I945" i="10"/>
  <c r="L944" i="10"/>
  <c r="J944" i="10"/>
  <c r="I944" i="10"/>
  <c r="L943" i="10"/>
  <c r="J943" i="10"/>
  <c r="I943" i="10"/>
  <c r="L942" i="10"/>
  <c r="J942" i="10"/>
  <c r="I942" i="10"/>
  <c r="L941" i="10"/>
  <c r="J941" i="10"/>
  <c r="I941" i="10"/>
  <c r="L940" i="10"/>
  <c r="J940" i="10"/>
  <c r="I940" i="10"/>
  <c r="L939" i="10"/>
  <c r="J939" i="10"/>
  <c r="I939" i="10"/>
  <c r="L938" i="10"/>
  <c r="J938" i="10"/>
  <c r="I938" i="10"/>
  <c r="L937" i="10"/>
  <c r="J937" i="10"/>
  <c r="I937" i="10"/>
  <c r="L936" i="10"/>
  <c r="J936" i="10"/>
  <c r="I936" i="10"/>
  <c r="L935" i="10"/>
  <c r="J935" i="10"/>
  <c r="I935" i="10"/>
  <c r="L934" i="10"/>
  <c r="J934" i="10"/>
  <c r="I934" i="10"/>
  <c r="L933" i="10"/>
  <c r="J933" i="10"/>
  <c r="I933" i="10"/>
  <c r="L932" i="10"/>
  <c r="J932" i="10"/>
  <c r="I932" i="10"/>
  <c r="L931" i="10"/>
  <c r="J931" i="10"/>
  <c r="I931" i="10"/>
  <c r="L930" i="10"/>
  <c r="J930" i="10"/>
  <c r="I930" i="10"/>
  <c r="L929" i="10"/>
  <c r="J929" i="10"/>
  <c r="I929" i="10"/>
  <c r="L928" i="10"/>
  <c r="J928" i="10"/>
  <c r="I928" i="10"/>
  <c r="L927" i="10"/>
  <c r="J927" i="10"/>
  <c r="I927" i="10"/>
  <c r="L926" i="10"/>
  <c r="J926" i="10"/>
  <c r="I926" i="10"/>
  <c r="L925" i="10"/>
  <c r="J925" i="10"/>
  <c r="I925" i="10"/>
  <c r="L924" i="10"/>
  <c r="J924" i="10"/>
  <c r="I924" i="10"/>
  <c r="L923" i="10"/>
  <c r="J923" i="10"/>
  <c r="I923" i="10"/>
  <c r="L922" i="10"/>
  <c r="J922" i="10"/>
  <c r="I922" i="10"/>
  <c r="L921" i="10"/>
  <c r="J921" i="10"/>
  <c r="I921" i="10"/>
  <c r="L920" i="10"/>
  <c r="J920" i="10"/>
  <c r="I920" i="10"/>
  <c r="L919" i="10"/>
  <c r="J919" i="10"/>
  <c r="I919" i="10"/>
  <c r="L918" i="10"/>
  <c r="J918" i="10"/>
  <c r="I918" i="10"/>
  <c r="L917" i="10"/>
  <c r="J917" i="10"/>
  <c r="I917" i="10"/>
  <c r="L916" i="10"/>
  <c r="J916" i="10"/>
  <c r="I916" i="10"/>
  <c r="L915" i="10"/>
  <c r="J915" i="10"/>
  <c r="I915" i="10"/>
  <c r="L914" i="10"/>
  <c r="J914" i="10"/>
  <c r="I914" i="10"/>
  <c r="L913" i="10"/>
  <c r="J913" i="10"/>
  <c r="I913" i="10"/>
  <c r="L912" i="10"/>
  <c r="J912" i="10"/>
  <c r="I912" i="10"/>
  <c r="L911" i="10"/>
  <c r="J911" i="10"/>
  <c r="I911" i="10"/>
  <c r="L910" i="10"/>
  <c r="J910" i="10"/>
  <c r="I910" i="10"/>
  <c r="L909" i="10"/>
  <c r="J909" i="10"/>
  <c r="I909" i="10"/>
  <c r="L908" i="10"/>
  <c r="J908" i="10"/>
  <c r="I908" i="10"/>
  <c r="L907" i="10"/>
  <c r="J907" i="10"/>
  <c r="I907" i="10"/>
  <c r="L906" i="10"/>
  <c r="J906" i="10"/>
  <c r="I906" i="10"/>
  <c r="L905" i="10"/>
  <c r="J905" i="10"/>
  <c r="I905" i="10"/>
  <c r="L904" i="10"/>
  <c r="J904" i="10"/>
  <c r="I904" i="10"/>
  <c r="L903" i="10"/>
  <c r="J903" i="10"/>
  <c r="I903" i="10"/>
  <c r="L902" i="10"/>
  <c r="J902" i="10"/>
  <c r="I902" i="10"/>
  <c r="L901" i="10"/>
  <c r="J901" i="10"/>
  <c r="I901" i="10"/>
  <c r="L900" i="10"/>
  <c r="J900" i="10"/>
  <c r="I900" i="10"/>
  <c r="L899" i="10"/>
  <c r="J899" i="10"/>
  <c r="I899" i="10"/>
  <c r="L898" i="10"/>
  <c r="J898" i="10"/>
  <c r="I898" i="10"/>
  <c r="L897" i="10"/>
  <c r="J897" i="10"/>
  <c r="I897" i="10"/>
  <c r="L896" i="10"/>
  <c r="J896" i="10"/>
  <c r="I896" i="10"/>
  <c r="L895" i="10"/>
  <c r="J895" i="10"/>
  <c r="I895" i="10"/>
  <c r="L894" i="10"/>
  <c r="J894" i="10"/>
  <c r="I894" i="10"/>
  <c r="L893" i="10"/>
  <c r="J893" i="10"/>
  <c r="I893" i="10"/>
  <c r="L892" i="10"/>
  <c r="J892" i="10"/>
  <c r="I892" i="10"/>
  <c r="L891" i="10"/>
  <c r="J891" i="10"/>
  <c r="I891" i="10"/>
  <c r="L890" i="10"/>
  <c r="J890" i="10"/>
  <c r="I890" i="10"/>
  <c r="L889" i="10"/>
  <c r="J889" i="10"/>
  <c r="I889" i="10"/>
  <c r="L888" i="10"/>
  <c r="J888" i="10"/>
  <c r="I888" i="10"/>
  <c r="L887" i="10"/>
  <c r="J887" i="10"/>
  <c r="I887" i="10"/>
  <c r="L886" i="10"/>
  <c r="J886" i="10"/>
  <c r="I886" i="10"/>
  <c r="L885" i="10"/>
  <c r="J885" i="10"/>
  <c r="I885" i="10"/>
  <c r="L884" i="10"/>
  <c r="J884" i="10"/>
  <c r="I884" i="10"/>
  <c r="L883" i="10"/>
  <c r="J883" i="10"/>
  <c r="I883" i="10"/>
  <c r="L882" i="10"/>
  <c r="J882" i="10"/>
  <c r="I882" i="10"/>
  <c r="L881" i="10"/>
  <c r="J881" i="10"/>
  <c r="I881" i="10"/>
  <c r="L880" i="10"/>
  <c r="J880" i="10"/>
  <c r="I880" i="10"/>
  <c r="L879" i="10"/>
  <c r="J879" i="10"/>
  <c r="I879" i="10"/>
  <c r="L878" i="10"/>
  <c r="J878" i="10"/>
  <c r="I878" i="10"/>
  <c r="L877" i="10"/>
  <c r="J877" i="10"/>
  <c r="I877" i="10"/>
  <c r="L876" i="10"/>
  <c r="J876" i="10"/>
  <c r="I876" i="10"/>
  <c r="L875" i="10"/>
  <c r="J875" i="10"/>
  <c r="I875" i="10"/>
  <c r="L874" i="10"/>
  <c r="J874" i="10"/>
  <c r="I874" i="10"/>
  <c r="L873" i="10"/>
  <c r="J873" i="10"/>
  <c r="I873" i="10"/>
  <c r="L872" i="10"/>
  <c r="J872" i="10"/>
  <c r="I872" i="10"/>
  <c r="L871" i="10"/>
  <c r="J871" i="10"/>
  <c r="I871" i="10"/>
  <c r="L870" i="10"/>
  <c r="J870" i="10"/>
  <c r="I870" i="10"/>
  <c r="L869" i="10"/>
  <c r="J869" i="10"/>
  <c r="I869" i="10"/>
  <c r="L868" i="10"/>
  <c r="J868" i="10"/>
  <c r="I868" i="10"/>
  <c r="L867" i="10"/>
  <c r="J867" i="10"/>
  <c r="I867" i="10"/>
  <c r="L866" i="10"/>
  <c r="J866" i="10"/>
  <c r="I866" i="10"/>
  <c r="L865" i="10"/>
  <c r="J865" i="10"/>
  <c r="I865" i="10"/>
  <c r="L864" i="10"/>
  <c r="J864" i="10"/>
  <c r="I864" i="10"/>
  <c r="L863" i="10"/>
  <c r="J863" i="10"/>
  <c r="I863" i="10"/>
  <c r="L862" i="10"/>
  <c r="J862" i="10"/>
  <c r="I862" i="10"/>
  <c r="L861" i="10"/>
  <c r="J861" i="10"/>
  <c r="I861" i="10"/>
  <c r="L860" i="10"/>
  <c r="J860" i="10"/>
  <c r="I860" i="10"/>
  <c r="L859" i="10"/>
  <c r="J859" i="10"/>
  <c r="I859" i="10"/>
  <c r="L858" i="10"/>
  <c r="J858" i="10"/>
  <c r="I858" i="10"/>
  <c r="L857" i="10"/>
  <c r="J857" i="10"/>
  <c r="I857" i="10"/>
  <c r="L856" i="10"/>
  <c r="J856" i="10"/>
  <c r="I856" i="10"/>
  <c r="L855" i="10"/>
  <c r="J855" i="10"/>
  <c r="I855" i="10"/>
  <c r="L854" i="10"/>
  <c r="J854" i="10"/>
  <c r="I854" i="10"/>
  <c r="L853" i="10"/>
  <c r="J853" i="10"/>
  <c r="I853" i="10"/>
  <c r="L852" i="10"/>
  <c r="J852" i="10"/>
  <c r="I852" i="10"/>
  <c r="L851" i="10"/>
  <c r="J851" i="10"/>
  <c r="I851" i="10"/>
  <c r="L850" i="10"/>
  <c r="J850" i="10"/>
  <c r="I850" i="10"/>
  <c r="L849" i="10"/>
  <c r="J849" i="10"/>
  <c r="I849" i="10"/>
  <c r="L848" i="10"/>
  <c r="J848" i="10"/>
  <c r="I848" i="10"/>
  <c r="L847" i="10"/>
  <c r="J847" i="10"/>
  <c r="I847" i="10"/>
  <c r="L846" i="10"/>
  <c r="J846" i="10"/>
  <c r="I846" i="10"/>
  <c r="L845" i="10"/>
  <c r="J845" i="10"/>
  <c r="I845" i="10"/>
  <c r="L844" i="10"/>
  <c r="J844" i="10"/>
  <c r="I844" i="10"/>
  <c r="L843" i="10"/>
  <c r="J843" i="10"/>
  <c r="I843" i="10"/>
  <c r="L842" i="10"/>
  <c r="J842" i="10"/>
  <c r="I842" i="10"/>
  <c r="L841" i="10"/>
  <c r="J841" i="10"/>
  <c r="I841" i="10"/>
  <c r="L840" i="10"/>
  <c r="J840" i="10"/>
  <c r="I840" i="10"/>
  <c r="L839" i="10"/>
  <c r="J839" i="10"/>
  <c r="I839" i="10"/>
  <c r="L838" i="10"/>
  <c r="J838" i="10"/>
  <c r="I838" i="10"/>
  <c r="L837" i="10"/>
  <c r="J837" i="10"/>
  <c r="I837" i="10"/>
  <c r="L836" i="10"/>
  <c r="J836" i="10"/>
  <c r="I836" i="10"/>
  <c r="L835" i="10"/>
  <c r="J835" i="10"/>
  <c r="I835" i="10"/>
  <c r="L834" i="10"/>
  <c r="J834" i="10"/>
  <c r="I834" i="10"/>
  <c r="L833" i="10"/>
  <c r="J833" i="10"/>
  <c r="I833" i="10"/>
  <c r="L832" i="10"/>
  <c r="J832" i="10"/>
  <c r="I832" i="10"/>
  <c r="L831" i="10"/>
  <c r="J831" i="10"/>
  <c r="I831" i="10"/>
  <c r="L830" i="10"/>
  <c r="J830" i="10"/>
  <c r="I830" i="10"/>
  <c r="L829" i="10"/>
  <c r="J829" i="10"/>
  <c r="I829" i="10"/>
  <c r="L828" i="10"/>
  <c r="J828" i="10"/>
  <c r="I828" i="10"/>
  <c r="L827" i="10"/>
  <c r="J827" i="10"/>
  <c r="I827" i="10"/>
  <c r="L826" i="10"/>
  <c r="J826" i="10"/>
  <c r="I826" i="10"/>
  <c r="L825" i="10"/>
  <c r="J825" i="10"/>
  <c r="I825" i="10"/>
  <c r="L824" i="10"/>
  <c r="J824" i="10"/>
  <c r="I824" i="10"/>
  <c r="L823" i="10"/>
  <c r="J823" i="10"/>
  <c r="I823" i="10"/>
  <c r="L822" i="10"/>
  <c r="J822" i="10"/>
  <c r="I822" i="10"/>
  <c r="L821" i="10"/>
  <c r="J821" i="10"/>
  <c r="I821" i="10"/>
  <c r="L820" i="10"/>
  <c r="J820" i="10"/>
  <c r="I820" i="10"/>
  <c r="L819" i="10"/>
  <c r="J819" i="10"/>
  <c r="I819" i="10"/>
  <c r="L818" i="10"/>
  <c r="J818" i="10"/>
  <c r="I818" i="10"/>
  <c r="L817" i="10"/>
  <c r="J817" i="10"/>
  <c r="I817" i="10"/>
  <c r="L816" i="10"/>
  <c r="J816" i="10"/>
  <c r="I816" i="10"/>
  <c r="L815" i="10"/>
  <c r="J815" i="10"/>
  <c r="I815" i="10"/>
  <c r="L814" i="10"/>
  <c r="J814" i="10"/>
  <c r="I814" i="10"/>
  <c r="L813" i="10"/>
  <c r="J813" i="10"/>
  <c r="I813" i="10"/>
  <c r="L812" i="10"/>
  <c r="J812" i="10"/>
  <c r="I812" i="10"/>
  <c r="L811" i="10"/>
  <c r="J811" i="10"/>
  <c r="I811" i="10"/>
  <c r="L810" i="10"/>
  <c r="J810" i="10"/>
  <c r="I810" i="10"/>
  <c r="L809" i="10"/>
  <c r="J809" i="10"/>
  <c r="I809" i="10"/>
  <c r="L808" i="10"/>
  <c r="J808" i="10"/>
  <c r="I808" i="10"/>
  <c r="L807" i="10"/>
  <c r="J807" i="10"/>
  <c r="I807" i="10"/>
  <c r="L806" i="10"/>
  <c r="J806" i="10"/>
  <c r="I806" i="10"/>
  <c r="L805" i="10"/>
  <c r="J805" i="10"/>
  <c r="I805" i="10"/>
  <c r="L804" i="10"/>
  <c r="J804" i="10"/>
  <c r="I804" i="10"/>
  <c r="L803" i="10"/>
  <c r="J803" i="10"/>
  <c r="I803" i="10"/>
  <c r="L802" i="10"/>
  <c r="J802" i="10"/>
  <c r="I802" i="10"/>
  <c r="L801" i="10"/>
  <c r="J801" i="10"/>
  <c r="I801" i="10"/>
  <c r="L800" i="10"/>
  <c r="J800" i="10"/>
  <c r="I800" i="10"/>
  <c r="L799" i="10"/>
  <c r="J799" i="10"/>
  <c r="I799" i="10"/>
  <c r="L798" i="10"/>
  <c r="J798" i="10"/>
  <c r="I798" i="10"/>
  <c r="L797" i="10"/>
  <c r="J797" i="10"/>
  <c r="I797" i="10"/>
  <c r="L796" i="10"/>
  <c r="J796" i="10"/>
  <c r="I796" i="10"/>
  <c r="L795" i="10"/>
  <c r="J795" i="10"/>
  <c r="I795" i="10"/>
  <c r="L794" i="10"/>
  <c r="J794" i="10"/>
  <c r="I794" i="10"/>
  <c r="L793" i="10"/>
  <c r="J793" i="10"/>
  <c r="I793" i="10"/>
  <c r="L792" i="10"/>
  <c r="J792" i="10"/>
  <c r="I792" i="10"/>
  <c r="L791" i="10"/>
  <c r="J791" i="10"/>
  <c r="I791" i="10"/>
  <c r="L790" i="10"/>
  <c r="J790" i="10"/>
  <c r="I790" i="10"/>
  <c r="L789" i="10"/>
  <c r="J789" i="10"/>
  <c r="I789" i="10"/>
  <c r="L788" i="10"/>
  <c r="J788" i="10"/>
  <c r="I788" i="10"/>
  <c r="L787" i="10"/>
  <c r="J787" i="10"/>
  <c r="I787" i="10"/>
  <c r="L786" i="10"/>
  <c r="J786" i="10"/>
  <c r="I786" i="10"/>
  <c r="L785" i="10"/>
  <c r="J785" i="10"/>
  <c r="I785" i="10"/>
  <c r="L784" i="10"/>
  <c r="J784" i="10"/>
  <c r="I784" i="10"/>
  <c r="L783" i="10"/>
  <c r="J783" i="10"/>
  <c r="I783" i="10"/>
  <c r="L782" i="10"/>
  <c r="J782" i="10"/>
  <c r="I782" i="10"/>
  <c r="L781" i="10"/>
  <c r="J781" i="10"/>
  <c r="I781" i="10"/>
  <c r="L780" i="10"/>
  <c r="J780" i="10"/>
  <c r="I780" i="10"/>
  <c r="L779" i="10"/>
  <c r="J779" i="10"/>
  <c r="I779" i="10"/>
  <c r="L778" i="10"/>
  <c r="J778" i="10"/>
  <c r="I778" i="10"/>
  <c r="L777" i="10"/>
  <c r="J777" i="10"/>
  <c r="I777" i="10"/>
  <c r="L776" i="10"/>
  <c r="J776" i="10"/>
  <c r="I776" i="10"/>
  <c r="L775" i="10"/>
  <c r="J775" i="10"/>
  <c r="I775" i="10"/>
  <c r="L774" i="10"/>
  <c r="J774" i="10"/>
  <c r="I774" i="10"/>
  <c r="L773" i="10"/>
  <c r="J773" i="10"/>
  <c r="I773" i="10"/>
  <c r="L772" i="10"/>
  <c r="J772" i="10"/>
  <c r="I772" i="10"/>
  <c r="L771" i="10"/>
  <c r="J771" i="10"/>
  <c r="I771" i="10"/>
  <c r="L770" i="10"/>
  <c r="J770" i="10"/>
  <c r="I770" i="10"/>
  <c r="L769" i="10"/>
  <c r="J769" i="10"/>
  <c r="I769" i="10"/>
  <c r="L768" i="10"/>
  <c r="J768" i="10"/>
  <c r="I768" i="10"/>
  <c r="L767" i="10"/>
  <c r="J767" i="10"/>
  <c r="I767" i="10"/>
  <c r="L766" i="10"/>
  <c r="J766" i="10"/>
  <c r="I766" i="10"/>
  <c r="L765" i="10"/>
  <c r="J765" i="10"/>
  <c r="I765" i="10"/>
  <c r="L764" i="10"/>
  <c r="J764" i="10"/>
  <c r="I764" i="10"/>
  <c r="L763" i="10"/>
  <c r="J763" i="10"/>
  <c r="I763" i="10"/>
  <c r="L762" i="10"/>
  <c r="J762" i="10"/>
  <c r="I762" i="10"/>
  <c r="L761" i="10"/>
  <c r="J761" i="10"/>
  <c r="I761" i="10"/>
  <c r="L760" i="10"/>
  <c r="J760" i="10"/>
  <c r="I760" i="10"/>
  <c r="L759" i="10"/>
  <c r="J759" i="10"/>
  <c r="I759" i="10"/>
  <c r="L758" i="10"/>
  <c r="J758" i="10"/>
  <c r="I758" i="10"/>
  <c r="L757" i="10"/>
  <c r="J757" i="10"/>
  <c r="I757" i="10"/>
  <c r="L756" i="10"/>
  <c r="J756" i="10"/>
  <c r="I756" i="10"/>
  <c r="L755" i="10"/>
  <c r="J755" i="10"/>
  <c r="I755" i="10"/>
  <c r="L754" i="10"/>
  <c r="J754" i="10"/>
  <c r="I754" i="10"/>
  <c r="L753" i="10"/>
  <c r="J753" i="10"/>
  <c r="I753" i="10"/>
  <c r="L752" i="10"/>
  <c r="J752" i="10"/>
  <c r="I752" i="10"/>
  <c r="L751" i="10"/>
  <c r="J751" i="10"/>
  <c r="I751" i="10"/>
  <c r="L750" i="10"/>
  <c r="J750" i="10"/>
  <c r="I750" i="10"/>
  <c r="L749" i="10"/>
  <c r="J749" i="10"/>
  <c r="I749" i="10"/>
  <c r="L748" i="10"/>
  <c r="J748" i="10"/>
  <c r="I748" i="10"/>
  <c r="L747" i="10"/>
  <c r="J747" i="10"/>
  <c r="I747" i="10"/>
  <c r="L746" i="10"/>
  <c r="J746" i="10"/>
  <c r="I746" i="10"/>
  <c r="L745" i="10"/>
  <c r="J745" i="10"/>
  <c r="I745" i="10"/>
  <c r="L744" i="10"/>
  <c r="J744" i="10"/>
  <c r="I744" i="10"/>
  <c r="L743" i="10"/>
  <c r="J743" i="10"/>
  <c r="I743" i="10"/>
  <c r="L742" i="10"/>
  <c r="J742" i="10"/>
  <c r="I742" i="10"/>
  <c r="L741" i="10"/>
  <c r="J741" i="10"/>
  <c r="I741" i="10"/>
  <c r="L740" i="10"/>
  <c r="J740" i="10"/>
  <c r="I740" i="10"/>
  <c r="L739" i="10"/>
  <c r="J739" i="10"/>
  <c r="I739" i="10"/>
  <c r="L738" i="10"/>
  <c r="J738" i="10"/>
  <c r="I738" i="10"/>
  <c r="L737" i="10"/>
  <c r="J737" i="10"/>
  <c r="I737" i="10"/>
  <c r="L736" i="10"/>
  <c r="J736" i="10"/>
  <c r="I736" i="10"/>
  <c r="L735" i="10"/>
  <c r="J735" i="10"/>
  <c r="I735" i="10"/>
  <c r="L734" i="10"/>
  <c r="J734" i="10"/>
  <c r="I734" i="10"/>
  <c r="L733" i="10"/>
  <c r="J733" i="10"/>
  <c r="I733" i="10"/>
  <c r="L732" i="10"/>
  <c r="J732" i="10"/>
  <c r="I732" i="10"/>
  <c r="L731" i="10"/>
  <c r="J731" i="10"/>
  <c r="I731" i="10"/>
  <c r="L730" i="10"/>
  <c r="J730" i="10"/>
  <c r="I730" i="10"/>
  <c r="L729" i="10"/>
  <c r="J729" i="10"/>
  <c r="I729" i="10"/>
  <c r="L728" i="10"/>
  <c r="J728" i="10"/>
  <c r="I728" i="10"/>
  <c r="L727" i="10"/>
  <c r="J727" i="10"/>
  <c r="I727" i="10"/>
  <c r="L726" i="10"/>
  <c r="J726" i="10"/>
  <c r="I726" i="10"/>
  <c r="L725" i="10"/>
  <c r="J725" i="10"/>
  <c r="I725" i="10"/>
  <c r="L724" i="10"/>
  <c r="J724" i="10"/>
  <c r="I724" i="10"/>
  <c r="L723" i="10"/>
  <c r="J723" i="10"/>
  <c r="I723" i="10"/>
  <c r="L722" i="10"/>
  <c r="J722" i="10"/>
  <c r="I722" i="10"/>
  <c r="L721" i="10"/>
  <c r="J721" i="10"/>
  <c r="I721" i="10"/>
  <c r="L720" i="10"/>
  <c r="J720" i="10"/>
  <c r="I720" i="10"/>
  <c r="L719" i="10"/>
  <c r="J719" i="10"/>
  <c r="I719" i="10"/>
  <c r="L718" i="10"/>
  <c r="J718" i="10"/>
  <c r="I718" i="10"/>
  <c r="L717" i="10"/>
  <c r="J717" i="10"/>
  <c r="I717" i="10"/>
  <c r="L716" i="10"/>
  <c r="J716" i="10"/>
  <c r="I716" i="10"/>
  <c r="L715" i="10"/>
  <c r="J715" i="10"/>
  <c r="I715" i="10"/>
  <c r="L714" i="10"/>
  <c r="J714" i="10"/>
  <c r="I714" i="10"/>
  <c r="L713" i="10"/>
  <c r="J713" i="10"/>
  <c r="I713" i="10"/>
  <c r="L712" i="10"/>
  <c r="J712" i="10"/>
  <c r="I712" i="10"/>
  <c r="L711" i="10"/>
  <c r="J711" i="10"/>
  <c r="I711" i="10"/>
  <c r="L710" i="10"/>
  <c r="J710" i="10"/>
  <c r="I710" i="10"/>
  <c r="L709" i="10"/>
  <c r="J709" i="10"/>
  <c r="I709" i="10"/>
  <c r="L708" i="10"/>
  <c r="J708" i="10"/>
  <c r="I708" i="10"/>
  <c r="L707" i="10"/>
  <c r="J707" i="10"/>
  <c r="I707" i="10"/>
  <c r="L706" i="10"/>
  <c r="J706" i="10"/>
  <c r="I706" i="10"/>
  <c r="L705" i="10"/>
  <c r="J705" i="10"/>
  <c r="I705" i="10"/>
  <c r="L704" i="10"/>
  <c r="J704" i="10"/>
  <c r="I704" i="10"/>
  <c r="L703" i="10"/>
  <c r="J703" i="10"/>
  <c r="I703" i="10"/>
  <c r="L702" i="10"/>
  <c r="J702" i="10"/>
  <c r="I702" i="10"/>
  <c r="L701" i="10"/>
  <c r="J701" i="10"/>
  <c r="I701" i="10"/>
  <c r="L700" i="10"/>
  <c r="J700" i="10"/>
  <c r="I700" i="10"/>
  <c r="L699" i="10"/>
  <c r="J699" i="10"/>
  <c r="I699" i="10"/>
  <c r="L698" i="10"/>
  <c r="J698" i="10"/>
  <c r="I698" i="10"/>
  <c r="L697" i="10"/>
  <c r="J697" i="10"/>
  <c r="I697" i="10"/>
  <c r="L696" i="10"/>
  <c r="J696" i="10"/>
  <c r="I696" i="10"/>
  <c r="L695" i="10"/>
  <c r="J695" i="10"/>
  <c r="I695" i="10"/>
  <c r="L694" i="10"/>
  <c r="J694" i="10"/>
  <c r="I694" i="10"/>
  <c r="L693" i="10"/>
  <c r="J693" i="10"/>
  <c r="I693" i="10"/>
  <c r="L692" i="10"/>
  <c r="J692" i="10"/>
  <c r="I692" i="10"/>
  <c r="L691" i="10"/>
  <c r="J691" i="10"/>
  <c r="I691" i="10"/>
  <c r="L690" i="10"/>
  <c r="J690" i="10"/>
  <c r="I690" i="10"/>
  <c r="L689" i="10"/>
  <c r="J689" i="10"/>
  <c r="I689" i="10"/>
  <c r="L688" i="10"/>
  <c r="J688" i="10"/>
  <c r="I688" i="10"/>
  <c r="L687" i="10"/>
  <c r="J687" i="10"/>
  <c r="I687" i="10"/>
  <c r="L686" i="10"/>
  <c r="J686" i="10"/>
  <c r="I686" i="10"/>
  <c r="L685" i="10"/>
  <c r="J685" i="10"/>
  <c r="I685" i="10"/>
  <c r="L684" i="10"/>
  <c r="J684" i="10"/>
  <c r="I684" i="10"/>
  <c r="L683" i="10"/>
  <c r="J683" i="10"/>
  <c r="I683" i="10"/>
  <c r="L682" i="10"/>
  <c r="J682" i="10"/>
  <c r="I682" i="10"/>
  <c r="L681" i="10"/>
  <c r="J681" i="10"/>
  <c r="I681" i="10"/>
  <c r="L680" i="10"/>
  <c r="J680" i="10"/>
  <c r="I680" i="10"/>
  <c r="L679" i="10"/>
  <c r="J679" i="10"/>
  <c r="I679" i="10"/>
  <c r="L678" i="10"/>
  <c r="J678" i="10"/>
  <c r="I678" i="10"/>
  <c r="L677" i="10"/>
  <c r="J677" i="10"/>
  <c r="I677" i="10"/>
  <c r="L676" i="10"/>
  <c r="J676" i="10"/>
  <c r="I676" i="10"/>
  <c r="L675" i="10"/>
  <c r="J675" i="10"/>
  <c r="I675" i="10"/>
  <c r="L674" i="10"/>
  <c r="J674" i="10"/>
  <c r="I674" i="10"/>
  <c r="L673" i="10"/>
  <c r="J673" i="10"/>
  <c r="I673" i="10"/>
  <c r="L672" i="10"/>
  <c r="J672" i="10"/>
  <c r="I672" i="10"/>
  <c r="L671" i="10"/>
  <c r="J671" i="10"/>
  <c r="I671" i="10"/>
  <c r="L670" i="10"/>
  <c r="J670" i="10"/>
  <c r="I670" i="10"/>
  <c r="L669" i="10"/>
  <c r="J669" i="10"/>
  <c r="I669" i="10"/>
  <c r="L668" i="10"/>
  <c r="J668" i="10"/>
  <c r="I668" i="10"/>
  <c r="L667" i="10"/>
  <c r="J667" i="10"/>
  <c r="I667" i="10"/>
  <c r="L666" i="10"/>
  <c r="J666" i="10"/>
  <c r="I666" i="10"/>
  <c r="L665" i="10"/>
  <c r="J665" i="10"/>
  <c r="I665" i="10"/>
  <c r="L664" i="10"/>
  <c r="J664" i="10"/>
  <c r="I664" i="10"/>
  <c r="L663" i="10"/>
  <c r="J663" i="10"/>
  <c r="I663" i="10"/>
  <c r="L662" i="10"/>
  <c r="J662" i="10"/>
  <c r="I662" i="10"/>
  <c r="L661" i="10"/>
  <c r="J661" i="10"/>
  <c r="I661" i="10"/>
  <c r="L660" i="10"/>
  <c r="J660" i="10"/>
  <c r="I660" i="10"/>
  <c r="L659" i="10"/>
  <c r="J659" i="10"/>
  <c r="I659" i="10"/>
  <c r="L658" i="10"/>
  <c r="J658" i="10"/>
  <c r="I658" i="10"/>
  <c r="L657" i="10"/>
  <c r="J657" i="10"/>
  <c r="I657" i="10"/>
  <c r="L656" i="10"/>
  <c r="J656" i="10"/>
  <c r="I656" i="10"/>
  <c r="L655" i="10"/>
  <c r="J655" i="10"/>
  <c r="I655" i="10"/>
  <c r="L654" i="10"/>
  <c r="J654" i="10"/>
  <c r="I654" i="10"/>
  <c r="L653" i="10"/>
  <c r="J653" i="10"/>
  <c r="I653" i="10"/>
  <c r="L652" i="10"/>
  <c r="J652" i="10"/>
  <c r="I652" i="10"/>
  <c r="L651" i="10"/>
  <c r="J651" i="10"/>
  <c r="I651" i="10"/>
  <c r="L650" i="10"/>
  <c r="J650" i="10"/>
  <c r="I650" i="10"/>
  <c r="L649" i="10"/>
  <c r="J649" i="10"/>
  <c r="I649" i="10"/>
  <c r="L648" i="10"/>
  <c r="J648" i="10"/>
  <c r="I648" i="10"/>
  <c r="L647" i="10"/>
  <c r="J647" i="10"/>
  <c r="I647" i="10"/>
  <c r="L646" i="10"/>
  <c r="J646" i="10"/>
  <c r="I646" i="10"/>
  <c r="L645" i="10"/>
  <c r="J645" i="10"/>
  <c r="I645" i="10"/>
  <c r="L644" i="10"/>
  <c r="J644" i="10"/>
  <c r="I644" i="10"/>
  <c r="L643" i="10"/>
  <c r="J643" i="10"/>
  <c r="I643" i="10"/>
  <c r="L642" i="10"/>
  <c r="J642" i="10"/>
  <c r="I642" i="10"/>
  <c r="L641" i="10"/>
  <c r="J641" i="10"/>
  <c r="I641" i="10"/>
  <c r="L640" i="10"/>
  <c r="J640" i="10"/>
  <c r="I640" i="10"/>
  <c r="L639" i="10"/>
  <c r="J639" i="10"/>
  <c r="I639" i="10"/>
  <c r="L638" i="10"/>
  <c r="J638" i="10"/>
  <c r="I638" i="10"/>
  <c r="L637" i="10"/>
  <c r="J637" i="10"/>
  <c r="I637" i="10"/>
  <c r="L636" i="10"/>
  <c r="J636" i="10"/>
  <c r="I636" i="10"/>
  <c r="L635" i="10"/>
  <c r="J635" i="10"/>
  <c r="I635" i="10"/>
  <c r="L634" i="10"/>
  <c r="J634" i="10"/>
  <c r="I634" i="10"/>
  <c r="L633" i="10"/>
  <c r="J633" i="10"/>
  <c r="I633" i="10"/>
  <c r="L632" i="10"/>
  <c r="J632" i="10"/>
  <c r="I632" i="10"/>
  <c r="L631" i="10"/>
  <c r="J631" i="10"/>
  <c r="I631" i="10"/>
  <c r="L630" i="10"/>
  <c r="J630" i="10"/>
  <c r="I630" i="10"/>
  <c r="L629" i="10"/>
  <c r="J629" i="10"/>
  <c r="I629" i="10"/>
  <c r="L628" i="10"/>
  <c r="J628" i="10"/>
  <c r="I628" i="10"/>
  <c r="L627" i="10"/>
  <c r="J627" i="10"/>
  <c r="I627" i="10"/>
  <c r="L626" i="10"/>
  <c r="J626" i="10"/>
  <c r="I626" i="10"/>
  <c r="L625" i="10"/>
  <c r="J625" i="10"/>
  <c r="I625" i="10"/>
  <c r="L624" i="10"/>
  <c r="J624" i="10"/>
  <c r="I624" i="10"/>
  <c r="L623" i="10"/>
  <c r="J623" i="10"/>
  <c r="I623" i="10"/>
  <c r="L622" i="10"/>
  <c r="J622" i="10"/>
  <c r="I622" i="10"/>
  <c r="L621" i="10"/>
  <c r="J621" i="10"/>
  <c r="I621" i="10"/>
  <c r="L620" i="10"/>
  <c r="J620" i="10"/>
  <c r="I620" i="10"/>
  <c r="L619" i="10"/>
  <c r="J619" i="10"/>
  <c r="I619" i="10"/>
  <c r="L618" i="10"/>
  <c r="J618" i="10"/>
  <c r="I618" i="10"/>
  <c r="L617" i="10"/>
  <c r="J617" i="10"/>
  <c r="I617" i="10"/>
  <c r="L616" i="10"/>
  <c r="J616" i="10"/>
  <c r="I616" i="10"/>
  <c r="L615" i="10"/>
  <c r="J615" i="10"/>
  <c r="I615" i="10"/>
  <c r="L614" i="10"/>
  <c r="J614" i="10"/>
  <c r="I614" i="10"/>
  <c r="L613" i="10"/>
  <c r="J613" i="10"/>
  <c r="I613" i="10"/>
  <c r="L612" i="10"/>
  <c r="J612" i="10"/>
  <c r="I612" i="10"/>
  <c r="L611" i="10"/>
  <c r="J611" i="10"/>
  <c r="I611" i="10"/>
  <c r="L610" i="10"/>
  <c r="J610" i="10"/>
  <c r="I610" i="10"/>
  <c r="L609" i="10"/>
  <c r="J609" i="10"/>
  <c r="I609" i="10"/>
  <c r="L608" i="10"/>
  <c r="J608" i="10"/>
  <c r="I608" i="10"/>
  <c r="L607" i="10"/>
  <c r="J607" i="10"/>
  <c r="I607" i="10"/>
  <c r="L606" i="10"/>
  <c r="J606" i="10"/>
  <c r="I606" i="10"/>
  <c r="L605" i="10"/>
  <c r="J605" i="10"/>
  <c r="I605" i="10"/>
  <c r="L604" i="10"/>
  <c r="J604" i="10"/>
  <c r="I604" i="10"/>
  <c r="L603" i="10"/>
  <c r="J603" i="10"/>
  <c r="I603" i="10"/>
  <c r="L602" i="10"/>
  <c r="J602" i="10"/>
  <c r="I602" i="10"/>
  <c r="L601" i="10"/>
  <c r="J601" i="10"/>
  <c r="I601" i="10"/>
  <c r="L600" i="10"/>
  <c r="J600" i="10"/>
  <c r="I600" i="10"/>
  <c r="L599" i="10"/>
  <c r="J599" i="10"/>
  <c r="I599" i="10"/>
  <c r="L598" i="10"/>
  <c r="J598" i="10"/>
  <c r="I598" i="10"/>
  <c r="L597" i="10"/>
  <c r="J597" i="10"/>
  <c r="I597" i="10"/>
  <c r="L596" i="10"/>
  <c r="J596" i="10"/>
  <c r="I596" i="10"/>
  <c r="L595" i="10"/>
  <c r="J595" i="10"/>
  <c r="I595" i="10"/>
  <c r="L594" i="10"/>
  <c r="J594" i="10"/>
  <c r="I594" i="10"/>
  <c r="L593" i="10"/>
  <c r="J593" i="10"/>
  <c r="I593" i="10"/>
  <c r="L592" i="10"/>
  <c r="J592" i="10"/>
  <c r="I592" i="10"/>
  <c r="L591" i="10"/>
  <c r="J591" i="10"/>
  <c r="I591" i="10"/>
  <c r="L590" i="10"/>
  <c r="J590" i="10"/>
  <c r="I590" i="10"/>
  <c r="L589" i="10"/>
  <c r="J589" i="10"/>
  <c r="I589" i="10"/>
  <c r="L588" i="10"/>
  <c r="J588" i="10"/>
  <c r="I588" i="10"/>
  <c r="L587" i="10"/>
  <c r="J587" i="10"/>
  <c r="I587" i="10"/>
  <c r="L586" i="10"/>
  <c r="J586" i="10"/>
  <c r="I586" i="10"/>
  <c r="L585" i="10"/>
  <c r="J585" i="10"/>
  <c r="I585" i="10"/>
  <c r="L584" i="10"/>
  <c r="J584" i="10"/>
  <c r="I584" i="10"/>
  <c r="L583" i="10"/>
  <c r="J583" i="10"/>
  <c r="I583" i="10"/>
  <c r="L582" i="10"/>
  <c r="J582" i="10"/>
  <c r="I582" i="10"/>
  <c r="L581" i="10"/>
  <c r="J581" i="10"/>
  <c r="I581" i="10"/>
  <c r="L580" i="10"/>
  <c r="J580" i="10"/>
  <c r="I580" i="10"/>
  <c r="L579" i="10"/>
  <c r="J579" i="10"/>
  <c r="I579" i="10"/>
  <c r="L578" i="10"/>
  <c r="J578" i="10"/>
  <c r="I578" i="10"/>
  <c r="L577" i="10"/>
  <c r="J577" i="10"/>
  <c r="I577" i="10"/>
  <c r="L576" i="10"/>
  <c r="J576" i="10"/>
  <c r="I576" i="10"/>
  <c r="L575" i="10"/>
  <c r="J575" i="10"/>
  <c r="I575" i="10"/>
  <c r="L574" i="10"/>
  <c r="J574" i="10"/>
  <c r="I574" i="10"/>
  <c r="L573" i="10"/>
  <c r="J573" i="10"/>
  <c r="I573" i="10"/>
  <c r="L572" i="10"/>
  <c r="J572" i="10"/>
  <c r="I572" i="10"/>
  <c r="L571" i="10"/>
  <c r="J571" i="10"/>
  <c r="I571" i="10"/>
  <c r="L570" i="10"/>
  <c r="J570" i="10"/>
  <c r="I570" i="10"/>
  <c r="L569" i="10"/>
  <c r="J569" i="10"/>
  <c r="I569" i="10"/>
  <c r="L568" i="10"/>
  <c r="J568" i="10"/>
  <c r="I568" i="10"/>
  <c r="L567" i="10"/>
  <c r="J567" i="10"/>
  <c r="I567" i="10"/>
  <c r="L566" i="10"/>
  <c r="J566" i="10"/>
  <c r="I566" i="10"/>
  <c r="L565" i="10"/>
  <c r="J565" i="10"/>
  <c r="I565" i="10"/>
  <c r="L564" i="10"/>
  <c r="J564" i="10"/>
  <c r="I564" i="10"/>
  <c r="L563" i="10"/>
  <c r="J563" i="10"/>
  <c r="I563" i="10"/>
  <c r="L562" i="10"/>
  <c r="J562" i="10"/>
  <c r="I562" i="10"/>
  <c r="L561" i="10"/>
  <c r="J561" i="10"/>
  <c r="I561" i="10"/>
  <c r="L560" i="10"/>
  <c r="J560" i="10"/>
  <c r="I560" i="10"/>
  <c r="L559" i="10"/>
  <c r="J559" i="10"/>
  <c r="I559" i="10"/>
  <c r="L558" i="10"/>
  <c r="J558" i="10"/>
  <c r="I558" i="10"/>
  <c r="L557" i="10"/>
  <c r="J557" i="10"/>
  <c r="I557" i="10"/>
  <c r="L556" i="10"/>
  <c r="J556" i="10"/>
  <c r="I556" i="10"/>
  <c r="L555" i="10"/>
  <c r="J555" i="10"/>
  <c r="I555" i="10"/>
  <c r="L554" i="10"/>
  <c r="J554" i="10"/>
  <c r="I554" i="10"/>
  <c r="L553" i="10"/>
  <c r="J553" i="10"/>
  <c r="I553" i="10"/>
  <c r="L552" i="10"/>
  <c r="J552" i="10"/>
  <c r="I552" i="10"/>
  <c r="L551" i="10"/>
  <c r="J551" i="10"/>
  <c r="I551" i="10"/>
  <c r="L550" i="10"/>
  <c r="J550" i="10"/>
  <c r="I550" i="10"/>
  <c r="L549" i="10"/>
  <c r="J549" i="10"/>
  <c r="I549" i="10"/>
  <c r="L548" i="10"/>
  <c r="J548" i="10"/>
  <c r="I548" i="10"/>
  <c r="L547" i="10"/>
  <c r="J547" i="10"/>
  <c r="I547" i="10"/>
  <c r="L546" i="10"/>
  <c r="J546" i="10"/>
  <c r="I546" i="10"/>
  <c r="L545" i="10"/>
  <c r="J545" i="10"/>
  <c r="I545" i="10"/>
  <c r="L544" i="10"/>
  <c r="J544" i="10"/>
  <c r="I544" i="10"/>
  <c r="L543" i="10"/>
  <c r="J543" i="10"/>
  <c r="I543" i="10"/>
  <c r="L542" i="10"/>
  <c r="J542" i="10"/>
  <c r="I542" i="10"/>
  <c r="L541" i="10"/>
  <c r="J541" i="10"/>
  <c r="I541" i="10"/>
  <c r="L540" i="10"/>
  <c r="J540" i="10"/>
  <c r="I540" i="10"/>
  <c r="L539" i="10"/>
  <c r="J539" i="10"/>
  <c r="I539" i="10"/>
  <c r="L538" i="10"/>
  <c r="J538" i="10"/>
  <c r="I538" i="10"/>
  <c r="L537" i="10"/>
  <c r="J537" i="10"/>
  <c r="I537" i="10"/>
  <c r="L536" i="10"/>
  <c r="J536" i="10"/>
  <c r="I536" i="10"/>
  <c r="L535" i="10"/>
  <c r="J535" i="10"/>
  <c r="I535" i="10"/>
  <c r="L534" i="10"/>
  <c r="J534" i="10"/>
  <c r="I534" i="10"/>
  <c r="L533" i="10"/>
  <c r="J533" i="10"/>
  <c r="I533" i="10"/>
  <c r="L532" i="10"/>
  <c r="J532" i="10"/>
  <c r="I532" i="10"/>
  <c r="L531" i="10"/>
  <c r="J531" i="10"/>
  <c r="I531" i="10"/>
  <c r="L530" i="10"/>
  <c r="J530" i="10"/>
  <c r="I530" i="10"/>
  <c r="L529" i="10"/>
  <c r="J529" i="10"/>
  <c r="I529" i="10"/>
  <c r="L528" i="10"/>
  <c r="J528" i="10"/>
  <c r="I528" i="10"/>
  <c r="L527" i="10"/>
  <c r="J527" i="10"/>
  <c r="I527" i="10"/>
  <c r="L526" i="10"/>
  <c r="J526" i="10"/>
  <c r="I526" i="10"/>
  <c r="L525" i="10"/>
  <c r="J525" i="10"/>
  <c r="I525" i="10"/>
  <c r="L524" i="10"/>
  <c r="J524" i="10"/>
  <c r="I524" i="10"/>
  <c r="L523" i="10"/>
  <c r="J523" i="10"/>
  <c r="I523" i="10"/>
  <c r="L522" i="10"/>
  <c r="J522" i="10"/>
  <c r="I522" i="10"/>
  <c r="L521" i="10"/>
  <c r="J521" i="10"/>
  <c r="I521" i="10"/>
  <c r="L520" i="10"/>
  <c r="J520" i="10"/>
  <c r="I520" i="10"/>
  <c r="L519" i="10"/>
  <c r="J519" i="10"/>
  <c r="I519" i="10"/>
  <c r="L518" i="10"/>
  <c r="J518" i="10"/>
  <c r="I518" i="10"/>
  <c r="L517" i="10"/>
  <c r="J517" i="10"/>
  <c r="I517" i="10"/>
  <c r="L516" i="10"/>
  <c r="J516" i="10"/>
  <c r="I516" i="10"/>
  <c r="L515" i="10"/>
  <c r="J515" i="10"/>
  <c r="I515" i="10"/>
  <c r="L514" i="10"/>
  <c r="J514" i="10"/>
  <c r="I514" i="10"/>
  <c r="L513" i="10"/>
  <c r="J513" i="10"/>
  <c r="I513" i="10"/>
  <c r="L512" i="10"/>
  <c r="J512" i="10"/>
  <c r="I512" i="10"/>
  <c r="L511" i="10"/>
  <c r="J511" i="10"/>
  <c r="I511" i="10"/>
  <c r="L510" i="10"/>
  <c r="J510" i="10"/>
  <c r="I510" i="10"/>
  <c r="L509" i="10"/>
  <c r="J509" i="10"/>
  <c r="I509" i="10"/>
  <c r="L508" i="10"/>
  <c r="J508" i="10"/>
  <c r="I508" i="10"/>
  <c r="L507" i="10"/>
  <c r="J507" i="10"/>
  <c r="I507" i="10"/>
  <c r="L506" i="10"/>
  <c r="J506" i="10"/>
  <c r="I506" i="10"/>
  <c r="L505" i="10"/>
  <c r="J505" i="10"/>
  <c r="I505" i="10"/>
  <c r="L504" i="10"/>
  <c r="J504" i="10"/>
  <c r="I504" i="10"/>
  <c r="L503" i="10"/>
  <c r="J503" i="10"/>
  <c r="I503" i="10"/>
  <c r="L502" i="10"/>
  <c r="J502" i="10"/>
  <c r="I502" i="10"/>
  <c r="L501" i="10"/>
  <c r="J501" i="10"/>
  <c r="I501" i="10"/>
  <c r="L500" i="10"/>
  <c r="J500" i="10"/>
  <c r="I500" i="10"/>
  <c r="L499" i="10"/>
  <c r="J499" i="10"/>
  <c r="I499" i="10"/>
  <c r="L498" i="10"/>
  <c r="J498" i="10"/>
  <c r="I498" i="10"/>
  <c r="L497" i="10"/>
  <c r="J497" i="10"/>
  <c r="I497" i="10"/>
  <c r="L496" i="10"/>
  <c r="J496" i="10"/>
  <c r="I496" i="10"/>
  <c r="L495" i="10"/>
  <c r="J495" i="10"/>
  <c r="I495" i="10"/>
  <c r="L494" i="10"/>
  <c r="J494" i="10"/>
  <c r="I494" i="10"/>
  <c r="L493" i="10"/>
  <c r="J493" i="10"/>
  <c r="I493" i="10"/>
  <c r="L492" i="10"/>
  <c r="J492" i="10"/>
  <c r="I492" i="10"/>
  <c r="L491" i="10"/>
  <c r="J491" i="10"/>
  <c r="I491" i="10"/>
  <c r="L490" i="10"/>
  <c r="J490" i="10"/>
  <c r="I490" i="10"/>
  <c r="L489" i="10"/>
  <c r="J489" i="10"/>
  <c r="I489" i="10"/>
  <c r="L488" i="10"/>
  <c r="J488" i="10"/>
  <c r="I488" i="10"/>
  <c r="L487" i="10"/>
  <c r="J487" i="10"/>
  <c r="I487" i="10"/>
  <c r="L486" i="10"/>
  <c r="J486" i="10"/>
  <c r="I486" i="10"/>
  <c r="L485" i="10"/>
  <c r="J485" i="10"/>
  <c r="I485" i="10"/>
  <c r="L484" i="10"/>
  <c r="J484" i="10"/>
  <c r="I484" i="10"/>
  <c r="L483" i="10"/>
  <c r="J483" i="10"/>
  <c r="I483" i="10"/>
  <c r="L482" i="10"/>
  <c r="J482" i="10"/>
  <c r="I482" i="10"/>
  <c r="L481" i="10"/>
  <c r="J481" i="10"/>
  <c r="I481" i="10"/>
  <c r="L480" i="10"/>
  <c r="J480" i="10"/>
  <c r="I480" i="10"/>
  <c r="L479" i="10"/>
  <c r="J479" i="10"/>
  <c r="I479" i="10"/>
  <c r="L478" i="10"/>
  <c r="J478" i="10"/>
  <c r="I478" i="10"/>
  <c r="L477" i="10"/>
  <c r="J477" i="10"/>
  <c r="I477" i="10"/>
  <c r="L476" i="10"/>
  <c r="J476" i="10"/>
  <c r="I476" i="10"/>
  <c r="L475" i="10"/>
  <c r="J475" i="10"/>
  <c r="I475" i="10"/>
  <c r="L474" i="10"/>
  <c r="J474" i="10"/>
  <c r="I474" i="10"/>
  <c r="L473" i="10"/>
  <c r="J473" i="10"/>
  <c r="I473" i="10"/>
  <c r="L472" i="10"/>
  <c r="J472" i="10"/>
  <c r="I472" i="10"/>
  <c r="L471" i="10"/>
  <c r="J471" i="10"/>
  <c r="I471" i="10"/>
  <c r="L470" i="10"/>
  <c r="J470" i="10"/>
  <c r="I470" i="10"/>
  <c r="L469" i="10"/>
  <c r="J469" i="10"/>
  <c r="I469" i="10"/>
  <c r="L468" i="10"/>
  <c r="J468" i="10"/>
  <c r="I468" i="10"/>
  <c r="L467" i="10"/>
  <c r="J467" i="10"/>
  <c r="I467" i="10"/>
  <c r="L466" i="10"/>
  <c r="J466" i="10"/>
  <c r="I466" i="10"/>
  <c r="L465" i="10"/>
  <c r="J465" i="10"/>
  <c r="I465" i="10"/>
  <c r="L464" i="10"/>
  <c r="J464" i="10"/>
  <c r="I464" i="10"/>
  <c r="L463" i="10"/>
  <c r="J463" i="10"/>
  <c r="I463" i="10"/>
  <c r="L462" i="10"/>
  <c r="J462" i="10"/>
  <c r="I462" i="10"/>
  <c r="L461" i="10"/>
  <c r="J461" i="10"/>
  <c r="I461" i="10"/>
  <c r="L460" i="10"/>
  <c r="J460" i="10"/>
  <c r="I460" i="10"/>
  <c r="L459" i="10"/>
  <c r="J459" i="10"/>
  <c r="I459" i="10"/>
  <c r="L458" i="10"/>
  <c r="J458" i="10"/>
  <c r="I458" i="10"/>
  <c r="L457" i="10"/>
  <c r="J457" i="10"/>
  <c r="I457" i="10"/>
  <c r="L456" i="10"/>
  <c r="J456" i="10"/>
  <c r="I456" i="10"/>
  <c r="L455" i="10"/>
  <c r="J455" i="10"/>
  <c r="I455" i="10"/>
  <c r="L454" i="10"/>
  <c r="J454" i="10"/>
  <c r="I454" i="10"/>
  <c r="L453" i="10"/>
  <c r="J453" i="10"/>
  <c r="I453" i="10"/>
  <c r="L452" i="10"/>
  <c r="J452" i="10"/>
  <c r="I452" i="10"/>
  <c r="L451" i="10"/>
  <c r="J451" i="10"/>
  <c r="I451" i="10"/>
  <c r="L450" i="10"/>
  <c r="J450" i="10"/>
  <c r="I450" i="10"/>
  <c r="L449" i="10"/>
  <c r="J449" i="10"/>
  <c r="I449" i="10"/>
  <c r="L448" i="10"/>
  <c r="J448" i="10"/>
  <c r="I448" i="10"/>
  <c r="L447" i="10"/>
  <c r="J447" i="10"/>
  <c r="I447" i="10"/>
  <c r="L446" i="10"/>
  <c r="J446" i="10"/>
  <c r="I446" i="10"/>
  <c r="L445" i="10"/>
  <c r="J445" i="10"/>
  <c r="I445" i="10"/>
  <c r="L444" i="10"/>
  <c r="J444" i="10"/>
  <c r="I444" i="10"/>
  <c r="L443" i="10"/>
  <c r="J443" i="10"/>
  <c r="I443" i="10"/>
  <c r="L442" i="10"/>
  <c r="J442" i="10"/>
  <c r="I442" i="10"/>
  <c r="L441" i="10"/>
  <c r="J441" i="10"/>
  <c r="I441" i="10"/>
  <c r="L440" i="10"/>
  <c r="J440" i="10"/>
  <c r="I440" i="10"/>
  <c r="L439" i="10"/>
  <c r="J439" i="10"/>
  <c r="I439" i="10"/>
  <c r="L438" i="10"/>
  <c r="J438" i="10"/>
  <c r="I438" i="10"/>
  <c r="L437" i="10"/>
  <c r="J437" i="10"/>
  <c r="I437" i="10"/>
  <c r="L436" i="10"/>
  <c r="J436" i="10"/>
  <c r="I436" i="10"/>
  <c r="L435" i="10"/>
  <c r="J435" i="10"/>
  <c r="I435" i="10"/>
  <c r="L434" i="10"/>
  <c r="J434" i="10"/>
  <c r="I434" i="10"/>
  <c r="L433" i="10"/>
  <c r="J433" i="10"/>
  <c r="I433" i="10"/>
  <c r="L432" i="10"/>
  <c r="J432" i="10"/>
  <c r="I432" i="10"/>
  <c r="L431" i="10"/>
  <c r="J431" i="10"/>
  <c r="I431" i="10"/>
  <c r="L430" i="10"/>
  <c r="J430" i="10"/>
  <c r="I430" i="10"/>
  <c r="L429" i="10"/>
  <c r="J429" i="10"/>
  <c r="I429" i="10"/>
  <c r="L428" i="10"/>
  <c r="J428" i="10"/>
  <c r="I428" i="10"/>
  <c r="L427" i="10"/>
  <c r="J427" i="10"/>
  <c r="I427" i="10"/>
  <c r="L426" i="10"/>
  <c r="J426" i="10"/>
  <c r="I426" i="10"/>
  <c r="L425" i="10"/>
  <c r="J425" i="10"/>
  <c r="I425" i="10"/>
  <c r="L424" i="10"/>
  <c r="J424" i="10"/>
  <c r="I424" i="10"/>
  <c r="L423" i="10"/>
  <c r="J423" i="10"/>
  <c r="I423" i="10"/>
  <c r="L422" i="10"/>
  <c r="J422" i="10"/>
  <c r="I422" i="10"/>
  <c r="L421" i="10"/>
  <c r="J421" i="10"/>
  <c r="I421" i="10"/>
  <c r="L420" i="10"/>
  <c r="J420" i="10"/>
  <c r="I420" i="10"/>
  <c r="L419" i="10"/>
  <c r="J419" i="10"/>
  <c r="I419" i="10"/>
  <c r="L418" i="10"/>
  <c r="J418" i="10"/>
  <c r="I418" i="10"/>
  <c r="L417" i="10"/>
  <c r="J417" i="10"/>
  <c r="I417" i="10"/>
  <c r="L416" i="10"/>
  <c r="J416" i="10"/>
  <c r="I416" i="10"/>
  <c r="L415" i="10"/>
  <c r="J415" i="10"/>
  <c r="I415" i="10"/>
  <c r="L414" i="10"/>
  <c r="J414" i="10"/>
  <c r="I414" i="10"/>
  <c r="L413" i="10"/>
  <c r="J413" i="10"/>
  <c r="I413" i="10"/>
  <c r="L412" i="10"/>
  <c r="J412" i="10"/>
  <c r="I412" i="10"/>
  <c r="L411" i="10"/>
  <c r="J411" i="10"/>
  <c r="I411" i="10"/>
  <c r="L410" i="10"/>
  <c r="J410" i="10"/>
  <c r="I410" i="10"/>
  <c r="L409" i="10"/>
  <c r="J409" i="10"/>
  <c r="I409" i="10"/>
  <c r="L408" i="10"/>
  <c r="J408" i="10"/>
  <c r="I408" i="10"/>
  <c r="L407" i="10"/>
  <c r="J407" i="10"/>
  <c r="I407" i="10"/>
  <c r="L406" i="10"/>
  <c r="J406" i="10"/>
  <c r="I406" i="10"/>
  <c r="L405" i="10"/>
  <c r="J405" i="10"/>
  <c r="I405" i="10"/>
  <c r="L404" i="10"/>
  <c r="J404" i="10"/>
  <c r="I404" i="10"/>
  <c r="L403" i="10"/>
  <c r="J403" i="10"/>
  <c r="I403" i="10"/>
  <c r="L402" i="10"/>
  <c r="J402" i="10"/>
  <c r="I402" i="10"/>
  <c r="L401" i="10"/>
  <c r="J401" i="10"/>
  <c r="I401" i="10"/>
  <c r="L400" i="10"/>
  <c r="J400" i="10"/>
  <c r="I400" i="10"/>
  <c r="L399" i="10"/>
  <c r="J399" i="10"/>
  <c r="I399" i="10"/>
  <c r="L398" i="10"/>
  <c r="J398" i="10"/>
  <c r="I398" i="10"/>
  <c r="L397" i="10"/>
  <c r="J397" i="10"/>
  <c r="I397" i="10"/>
  <c r="L396" i="10"/>
  <c r="J396" i="10"/>
  <c r="I396" i="10"/>
  <c r="L395" i="10"/>
  <c r="J395" i="10"/>
  <c r="I395" i="10"/>
  <c r="L394" i="10"/>
  <c r="J394" i="10"/>
  <c r="I394" i="10"/>
  <c r="L393" i="10"/>
  <c r="J393" i="10"/>
  <c r="I393" i="10"/>
  <c r="L392" i="10"/>
  <c r="J392" i="10"/>
  <c r="I392" i="10"/>
  <c r="L391" i="10"/>
  <c r="J391" i="10"/>
  <c r="I391" i="10"/>
  <c r="L390" i="10"/>
  <c r="J390" i="10"/>
  <c r="I390" i="10"/>
  <c r="L389" i="10"/>
  <c r="J389" i="10"/>
  <c r="I389" i="10"/>
  <c r="L388" i="10"/>
  <c r="J388" i="10"/>
  <c r="I388" i="10"/>
  <c r="L387" i="10"/>
  <c r="J387" i="10"/>
  <c r="I387" i="10"/>
  <c r="L386" i="10"/>
  <c r="J386" i="10"/>
  <c r="I386" i="10"/>
  <c r="L385" i="10"/>
  <c r="J385" i="10"/>
  <c r="I385" i="10"/>
  <c r="L384" i="10"/>
  <c r="J384" i="10"/>
  <c r="I384" i="10"/>
  <c r="L383" i="10"/>
  <c r="J383" i="10"/>
  <c r="I383" i="10"/>
  <c r="L382" i="10"/>
  <c r="J382" i="10"/>
  <c r="I382" i="10"/>
  <c r="L381" i="10"/>
  <c r="J381" i="10"/>
  <c r="I381" i="10"/>
  <c r="L380" i="10"/>
  <c r="J380" i="10"/>
  <c r="I380" i="10"/>
  <c r="L379" i="10"/>
  <c r="J379" i="10"/>
  <c r="I379" i="10"/>
  <c r="L378" i="10"/>
  <c r="J378" i="10"/>
  <c r="I378" i="10"/>
  <c r="L377" i="10"/>
  <c r="J377" i="10"/>
  <c r="I377" i="10"/>
  <c r="L376" i="10"/>
  <c r="J376" i="10"/>
  <c r="I376" i="10"/>
  <c r="L375" i="10"/>
  <c r="J375" i="10"/>
  <c r="I375" i="10"/>
  <c r="L374" i="10"/>
  <c r="J374" i="10"/>
  <c r="I374" i="10"/>
  <c r="L373" i="10"/>
  <c r="J373" i="10"/>
  <c r="I373" i="10"/>
  <c r="L372" i="10"/>
  <c r="J372" i="10"/>
  <c r="I372" i="10"/>
  <c r="L371" i="10"/>
  <c r="J371" i="10"/>
  <c r="I371" i="10"/>
  <c r="L370" i="10"/>
  <c r="J370" i="10"/>
  <c r="I370" i="10"/>
  <c r="L369" i="10"/>
  <c r="J369" i="10"/>
  <c r="I369" i="10"/>
  <c r="L368" i="10"/>
  <c r="J368" i="10"/>
  <c r="I368" i="10"/>
  <c r="L367" i="10"/>
  <c r="J367" i="10"/>
  <c r="I367" i="10"/>
  <c r="L366" i="10"/>
  <c r="J366" i="10"/>
  <c r="I366" i="10"/>
  <c r="L365" i="10"/>
  <c r="J365" i="10"/>
  <c r="I365" i="10"/>
  <c r="L364" i="10"/>
  <c r="J364" i="10"/>
  <c r="I364" i="10"/>
  <c r="L363" i="10"/>
  <c r="J363" i="10"/>
  <c r="I363" i="10"/>
  <c r="L362" i="10"/>
  <c r="J362" i="10"/>
  <c r="I362" i="10"/>
  <c r="L361" i="10"/>
  <c r="J361" i="10"/>
  <c r="I361" i="10"/>
  <c r="L360" i="10"/>
  <c r="J360" i="10"/>
  <c r="I360" i="10"/>
  <c r="L359" i="10"/>
  <c r="J359" i="10"/>
  <c r="I359" i="10"/>
  <c r="L358" i="10"/>
  <c r="J358" i="10"/>
  <c r="I358" i="10"/>
  <c r="L357" i="10"/>
  <c r="J357" i="10"/>
  <c r="I357" i="10"/>
  <c r="L356" i="10"/>
  <c r="J356" i="10"/>
  <c r="I356" i="10"/>
  <c r="L355" i="10"/>
  <c r="J355" i="10"/>
  <c r="I355" i="10"/>
  <c r="L354" i="10"/>
  <c r="J354" i="10"/>
  <c r="I354" i="10"/>
  <c r="L353" i="10"/>
  <c r="J353" i="10"/>
  <c r="I353" i="10"/>
  <c r="L352" i="10"/>
  <c r="J352" i="10"/>
  <c r="I352" i="10"/>
  <c r="L351" i="10"/>
  <c r="J351" i="10"/>
  <c r="I351" i="10"/>
  <c r="L350" i="10"/>
  <c r="J350" i="10"/>
  <c r="I350" i="10"/>
  <c r="L349" i="10"/>
  <c r="J349" i="10"/>
  <c r="I349" i="10"/>
  <c r="L348" i="10"/>
  <c r="J348" i="10"/>
  <c r="I348" i="10"/>
  <c r="L347" i="10"/>
  <c r="J347" i="10"/>
  <c r="I347" i="10"/>
  <c r="L346" i="10"/>
  <c r="J346" i="10"/>
  <c r="I346" i="10"/>
  <c r="L345" i="10"/>
  <c r="J345" i="10"/>
  <c r="I345" i="10"/>
  <c r="L344" i="10"/>
  <c r="J344" i="10"/>
  <c r="I344" i="10"/>
  <c r="L343" i="10"/>
  <c r="J343" i="10"/>
  <c r="I343" i="10"/>
  <c r="L342" i="10"/>
  <c r="J342" i="10"/>
  <c r="I342" i="10"/>
  <c r="L341" i="10"/>
  <c r="J341" i="10"/>
  <c r="I341" i="10"/>
  <c r="L340" i="10"/>
  <c r="J340" i="10"/>
  <c r="I340" i="10"/>
  <c r="L339" i="10"/>
  <c r="J339" i="10"/>
  <c r="I339" i="10"/>
  <c r="L338" i="10"/>
  <c r="J338" i="10"/>
  <c r="I338" i="10"/>
  <c r="L337" i="10"/>
  <c r="J337" i="10"/>
  <c r="I337" i="10"/>
  <c r="L336" i="10"/>
  <c r="J336" i="10"/>
  <c r="I336" i="10"/>
  <c r="L335" i="10"/>
  <c r="J335" i="10"/>
  <c r="I335" i="10"/>
  <c r="L334" i="10"/>
  <c r="J334" i="10"/>
  <c r="I334" i="10"/>
  <c r="L333" i="10"/>
  <c r="J333" i="10"/>
  <c r="I333" i="10"/>
  <c r="L332" i="10"/>
  <c r="J332" i="10"/>
  <c r="I332" i="10"/>
  <c r="L331" i="10"/>
  <c r="J331" i="10"/>
  <c r="I331" i="10"/>
  <c r="L330" i="10"/>
  <c r="J330" i="10"/>
  <c r="I330" i="10"/>
  <c r="L329" i="10"/>
  <c r="J329" i="10"/>
  <c r="I329" i="10"/>
  <c r="L328" i="10"/>
  <c r="J328" i="10"/>
  <c r="I328" i="10"/>
  <c r="L327" i="10"/>
  <c r="J327" i="10"/>
  <c r="I327" i="10"/>
  <c r="L326" i="10"/>
  <c r="J326" i="10"/>
  <c r="I326" i="10"/>
  <c r="L325" i="10"/>
  <c r="J325" i="10"/>
  <c r="I325" i="10"/>
  <c r="L324" i="10"/>
  <c r="J324" i="10"/>
  <c r="I324" i="10"/>
  <c r="L323" i="10"/>
  <c r="J323" i="10"/>
  <c r="I323" i="10"/>
  <c r="L322" i="10"/>
  <c r="J322" i="10"/>
  <c r="I322" i="10"/>
  <c r="L321" i="10"/>
  <c r="J321" i="10"/>
  <c r="I321" i="10"/>
  <c r="L320" i="10"/>
  <c r="J320" i="10"/>
  <c r="I320" i="10"/>
  <c r="L319" i="10"/>
  <c r="J319" i="10"/>
  <c r="I319" i="10"/>
  <c r="L318" i="10"/>
  <c r="J318" i="10"/>
  <c r="I318" i="10"/>
  <c r="L317" i="10"/>
  <c r="J317" i="10"/>
  <c r="I317" i="10"/>
  <c r="L316" i="10"/>
  <c r="J316" i="10"/>
  <c r="I316" i="10"/>
  <c r="L315" i="10"/>
  <c r="J315" i="10"/>
  <c r="I315" i="10"/>
  <c r="L314" i="10"/>
  <c r="J314" i="10"/>
  <c r="I314" i="10"/>
  <c r="L313" i="10"/>
  <c r="J313" i="10"/>
  <c r="I313" i="10"/>
  <c r="L312" i="10"/>
  <c r="J312" i="10"/>
  <c r="I312" i="10"/>
  <c r="L311" i="10"/>
  <c r="J311" i="10"/>
  <c r="I311" i="10"/>
  <c r="L310" i="10"/>
  <c r="J310" i="10"/>
  <c r="I310" i="10"/>
  <c r="L309" i="10"/>
  <c r="J309" i="10"/>
  <c r="I309" i="10"/>
  <c r="L308" i="10"/>
  <c r="J308" i="10"/>
  <c r="I308" i="10"/>
  <c r="L307" i="10"/>
  <c r="J307" i="10"/>
  <c r="I307" i="10"/>
  <c r="L306" i="10"/>
  <c r="J306" i="10"/>
  <c r="I306" i="10"/>
  <c r="L305" i="10"/>
  <c r="J305" i="10"/>
  <c r="I305" i="10"/>
  <c r="L304" i="10"/>
  <c r="J304" i="10"/>
  <c r="I304" i="10"/>
  <c r="L303" i="10"/>
  <c r="J303" i="10"/>
  <c r="I303" i="10"/>
  <c r="L302" i="10"/>
  <c r="J302" i="10"/>
  <c r="I302" i="10"/>
  <c r="L301" i="10"/>
  <c r="J301" i="10"/>
  <c r="I301" i="10"/>
  <c r="L300" i="10"/>
  <c r="J300" i="10"/>
  <c r="I300" i="10"/>
  <c r="L299" i="10"/>
  <c r="J299" i="10"/>
  <c r="I299" i="10"/>
  <c r="L298" i="10"/>
  <c r="J298" i="10"/>
  <c r="I298" i="10"/>
  <c r="L297" i="10"/>
  <c r="J297" i="10"/>
  <c r="I297" i="10"/>
  <c r="L296" i="10"/>
  <c r="J296" i="10"/>
  <c r="I296" i="10"/>
  <c r="L295" i="10"/>
  <c r="J295" i="10"/>
  <c r="I295" i="10"/>
  <c r="L294" i="10"/>
  <c r="J294" i="10"/>
  <c r="I294" i="10"/>
  <c r="L293" i="10"/>
  <c r="J293" i="10"/>
  <c r="I293" i="10"/>
  <c r="L292" i="10"/>
  <c r="J292" i="10"/>
  <c r="I292" i="10"/>
  <c r="L291" i="10"/>
  <c r="J291" i="10"/>
  <c r="I291" i="10"/>
  <c r="L290" i="10"/>
  <c r="J290" i="10"/>
  <c r="I290" i="10"/>
  <c r="L289" i="10"/>
  <c r="J289" i="10"/>
  <c r="I289" i="10"/>
  <c r="L288" i="10"/>
  <c r="J288" i="10"/>
  <c r="I288" i="10"/>
  <c r="L287" i="10"/>
  <c r="J287" i="10"/>
  <c r="I287" i="10"/>
  <c r="L286" i="10"/>
  <c r="J286" i="10"/>
  <c r="I286" i="10"/>
  <c r="L285" i="10"/>
  <c r="J285" i="10"/>
  <c r="I285" i="10"/>
  <c r="L284" i="10"/>
  <c r="J284" i="10"/>
  <c r="I284" i="10"/>
  <c r="L283" i="10"/>
  <c r="J283" i="10"/>
  <c r="I283" i="10"/>
  <c r="L282" i="10"/>
  <c r="J282" i="10"/>
  <c r="I282" i="10"/>
  <c r="L281" i="10"/>
  <c r="J281" i="10"/>
  <c r="I281" i="10"/>
  <c r="L280" i="10"/>
  <c r="J280" i="10"/>
  <c r="I280" i="10"/>
  <c r="L279" i="10"/>
  <c r="J279" i="10"/>
  <c r="I279" i="10"/>
  <c r="L278" i="10"/>
  <c r="J278" i="10"/>
  <c r="I278" i="10"/>
  <c r="L277" i="10"/>
  <c r="J277" i="10"/>
  <c r="I277" i="10"/>
  <c r="L276" i="10"/>
  <c r="J276" i="10"/>
  <c r="I276" i="10"/>
  <c r="L275" i="10"/>
  <c r="J275" i="10"/>
  <c r="I275" i="10"/>
  <c r="L274" i="10"/>
  <c r="J274" i="10"/>
  <c r="I274" i="10"/>
  <c r="L273" i="10"/>
  <c r="J273" i="10"/>
  <c r="I273" i="10"/>
  <c r="L272" i="10"/>
  <c r="J272" i="10"/>
  <c r="I272" i="10"/>
  <c r="L271" i="10"/>
  <c r="J271" i="10"/>
  <c r="I271" i="10"/>
  <c r="L270" i="10"/>
  <c r="J270" i="10"/>
  <c r="I270" i="10"/>
  <c r="L269" i="10"/>
  <c r="J269" i="10"/>
  <c r="I269" i="10"/>
  <c r="L268" i="10"/>
  <c r="J268" i="10"/>
  <c r="I268" i="10"/>
  <c r="L267" i="10"/>
  <c r="J267" i="10"/>
  <c r="I267" i="10"/>
  <c r="L266" i="10"/>
  <c r="J266" i="10"/>
  <c r="I266" i="10"/>
  <c r="L265" i="10"/>
  <c r="J265" i="10"/>
  <c r="I265" i="10"/>
  <c r="L264" i="10"/>
  <c r="J264" i="10"/>
  <c r="I264" i="10"/>
  <c r="L263" i="10"/>
  <c r="J263" i="10"/>
  <c r="I263" i="10"/>
  <c r="L262" i="10"/>
  <c r="J262" i="10"/>
  <c r="I262" i="10"/>
  <c r="L261" i="10"/>
  <c r="J261" i="10"/>
  <c r="I261" i="10"/>
  <c r="L260" i="10"/>
  <c r="J260" i="10"/>
  <c r="I260" i="10"/>
  <c r="L259" i="10"/>
  <c r="J259" i="10"/>
  <c r="I259" i="10"/>
  <c r="L258" i="10"/>
  <c r="J258" i="10"/>
  <c r="I258" i="10"/>
  <c r="L257" i="10"/>
  <c r="J257" i="10"/>
  <c r="I257" i="10"/>
  <c r="L256" i="10"/>
  <c r="J256" i="10"/>
  <c r="I256" i="10"/>
  <c r="L255" i="10"/>
  <c r="J255" i="10"/>
  <c r="I255" i="10"/>
  <c r="L254" i="10"/>
  <c r="J254" i="10"/>
  <c r="I254" i="10"/>
  <c r="L253" i="10"/>
  <c r="J253" i="10"/>
  <c r="I253" i="10"/>
  <c r="L252" i="10"/>
  <c r="J252" i="10"/>
  <c r="I252" i="10"/>
  <c r="L251" i="10"/>
  <c r="J251" i="10"/>
  <c r="I251" i="10"/>
  <c r="L250" i="10"/>
  <c r="J250" i="10"/>
  <c r="I250" i="10"/>
  <c r="L249" i="10"/>
  <c r="J249" i="10"/>
  <c r="I249" i="10"/>
  <c r="L248" i="10"/>
  <c r="J248" i="10"/>
  <c r="I248" i="10"/>
  <c r="L247" i="10"/>
  <c r="J247" i="10"/>
  <c r="I247" i="10"/>
  <c r="L246" i="10"/>
  <c r="J246" i="10"/>
  <c r="I246" i="10"/>
  <c r="L245" i="10"/>
  <c r="J245" i="10"/>
  <c r="I245" i="10"/>
  <c r="L244" i="10"/>
  <c r="J244" i="10"/>
  <c r="I244" i="10"/>
  <c r="L243" i="10"/>
  <c r="J243" i="10"/>
  <c r="I243" i="10"/>
  <c r="L242" i="10"/>
  <c r="J242" i="10"/>
  <c r="I242" i="10"/>
  <c r="L241" i="10"/>
  <c r="J241" i="10"/>
  <c r="I241" i="10"/>
  <c r="L240" i="10"/>
  <c r="J240" i="10"/>
  <c r="I240" i="10"/>
  <c r="L239" i="10"/>
  <c r="J239" i="10"/>
  <c r="I239" i="10"/>
  <c r="L238" i="10"/>
  <c r="J238" i="10"/>
  <c r="I238" i="10"/>
  <c r="L237" i="10"/>
  <c r="J237" i="10"/>
  <c r="I237" i="10"/>
  <c r="L236" i="10"/>
  <c r="J236" i="10"/>
  <c r="I236" i="10"/>
  <c r="L235" i="10"/>
  <c r="J235" i="10"/>
  <c r="I235" i="10"/>
  <c r="L234" i="10"/>
  <c r="J234" i="10"/>
  <c r="I234" i="10"/>
  <c r="L233" i="10"/>
  <c r="J233" i="10"/>
  <c r="I233" i="10"/>
  <c r="L232" i="10"/>
  <c r="J232" i="10"/>
  <c r="I232" i="10"/>
  <c r="L231" i="10"/>
  <c r="J231" i="10"/>
  <c r="I231" i="10"/>
  <c r="L230" i="10"/>
  <c r="J230" i="10"/>
  <c r="I230" i="10"/>
  <c r="L229" i="10"/>
  <c r="J229" i="10"/>
  <c r="I229" i="10"/>
  <c r="L228" i="10"/>
  <c r="J228" i="10"/>
  <c r="I228" i="10"/>
  <c r="L227" i="10"/>
  <c r="J227" i="10"/>
  <c r="I227" i="10"/>
  <c r="L226" i="10"/>
  <c r="J226" i="10"/>
  <c r="I226" i="10"/>
  <c r="L225" i="10"/>
  <c r="J225" i="10"/>
  <c r="I225" i="10"/>
  <c r="L224" i="10"/>
  <c r="J224" i="10"/>
  <c r="I224" i="10"/>
  <c r="L223" i="10"/>
  <c r="J223" i="10"/>
  <c r="I223" i="10"/>
  <c r="L222" i="10"/>
  <c r="J222" i="10"/>
  <c r="I222" i="10"/>
  <c r="L221" i="10"/>
  <c r="J221" i="10"/>
  <c r="I221" i="10"/>
  <c r="L220" i="10"/>
  <c r="J220" i="10"/>
  <c r="I220" i="10"/>
  <c r="L219" i="10"/>
  <c r="J219" i="10"/>
  <c r="I219" i="10"/>
  <c r="L218" i="10"/>
  <c r="J218" i="10"/>
  <c r="I218" i="10"/>
  <c r="L217" i="10"/>
  <c r="J217" i="10"/>
  <c r="I217" i="10"/>
  <c r="L216" i="10"/>
  <c r="J216" i="10"/>
  <c r="I216" i="10"/>
  <c r="L215" i="10"/>
  <c r="J215" i="10"/>
  <c r="I215" i="10"/>
  <c r="L214" i="10"/>
  <c r="J214" i="10"/>
  <c r="I214" i="10"/>
  <c r="L213" i="10"/>
  <c r="J213" i="10"/>
  <c r="I213" i="10"/>
  <c r="L212" i="10"/>
  <c r="J212" i="10"/>
  <c r="I212" i="10"/>
  <c r="L211" i="10"/>
  <c r="J211" i="10"/>
  <c r="I211" i="10"/>
  <c r="L210" i="10"/>
  <c r="J210" i="10"/>
  <c r="I210" i="10"/>
  <c r="L209" i="10"/>
  <c r="J209" i="10"/>
  <c r="I209" i="10"/>
  <c r="L208" i="10"/>
  <c r="J208" i="10"/>
  <c r="I208" i="10"/>
  <c r="L207" i="10"/>
  <c r="J207" i="10"/>
  <c r="I207" i="10"/>
  <c r="L206" i="10"/>
  <c r="J206" i="10"/>
  <c r="I206" i="10"/>
  <c r="L205" i="10"/>
  <c r="J205" i="10"/>
  <c r="I205" i="10"/>
  <c r="L204" i="10"/>
  <c r="J204" i="10"/>
  <c r="I204" i="10"/>
  <c r="L203" i="10"/>
  <c r="J203" i="10"/>
  <c r="I203" i="10"/>
  <c r="L202" i="10"/>
  <c r="J202" i="10"/>
  <c r="I202" i="10"/>
  <c r="L201" i="10"/>
  <c r="J201" i="10"/>
  <c r="I201" i="10"/>
  <c r="L200" i="10"/>
  <c r="J200" i="10"/>
  <c r="I200" i="10"/>
  <c r="L199" i="10"/>
  <c r="J199" i="10"/>
  <c r="I199" i="10"/>
  <c r="L198" i="10"/>
  <c r="J198" i="10"/>
  <c r="I198" i="10"/>
  <c r="L197" i="10"/>
  <c r="J197" i="10"/>
  <c r="I197" i="10"/>
  <c r="L196" i="10"/>
  <c r="J196" i="10"/>
  <c r="I196" i="10"/>
  <c r="L195" i="10"/>
  <c r="J195" i="10"/>
  <c r="I195" i="10"/>
  <c r="L194" i="10"/>
  <c r="J194" i="10"/>
  <c r="I194" i="10"/>
  <c r="L193" i="10"/>
  <c r="J193" i="10"/>
  <c r="I193" i="10"/>
  <c r="L192" i="10"/>
  <c r="J192" i="10"/>
  <c r="I192" i="10"/>
  <c r="L191" i="10"/>
  <c r="J191" i="10"/>
  <c r="I191" i="10"/>
  <c r="L190" i="10"/>
  <c r="J190" i="10"/>
  <c r="I190" i="10"/>
  <c r="L189" i="10"/>
  <c r="J189" i="10"/>
  <c r="I189" i="10"/>
  <c r="L188" i="10"/>
  <c r="J188" i="10"/>
  <c r="I188" i="10"/>
  <c r="L187" i="10"/>
  <c r="J187" i="10"/>
  <c r="I187" i="10"/>
  <c r="L186" i="10"/>
  <c r="J186" i="10"/>
  <c r="I186" i="10"/>
  <c r="L185" i="10"/>
  <c r="J185" i="10"/>
  <c r="I185" i="10"/>
  <c r="L184" i="10"/>
  <c r="J184" i="10"/>
  <c r="I184" i="10"/>
  <c r="L183" i="10"/>
  <c r="J183" i="10"/>
  <c r="I183" i="10"/>
  <c r="L182" i="10"/>
  <c r="J182" i="10"/>
  <c r="I182" i="10"/>
  <c r="L181" i="10"/>
  <c r="J181" i="10"/>
  <c r="I181" i="10"/>
  <c r="L180" i="10"/>
  <c r="J180" i="10"/>
  <c r="I180" i="10"/>
  <c r="L179" i="10"/>
  <c r="J179" i="10"/>
  <c r="I179" i="10"/>
  <c r="L178" i="10"/>
  <c r="J178" i="10"/>
  <c r="I178" i="10"/>
  <c r="L177" i="10"/>
  <c r="J177" i="10"/>
  <c r="I177" i="10"/>
  <c r="L176" i="10"/>
  <c r="J176" i="10"/>
  <c r="I176" i="10"/>
  <c r="L175" i="10"/>
  <c r="J175" i="10"/>
  <c r="I175" i="10"/>
  <c r="L174" i="10"/>
  <c r="J174" i="10"/>
  <c r="I174" i="10"/>
  <c r="L173" i="10"/>
  <c r="J173" i="10"/>
  <c r="I173" i="10"/>
  <c r="L172" i="10"/>
  <c r="J172" i="10"/>
  <c r="I172" i="10"/>
  <c r="L171" i="10"/>
  <c r="J171" i="10"/>
  <c r="I171" i="10"/>
  <c r="L170" i="10"/>
  <c r="J170" i="10"/>
  <c r="I170" i="10"/>
  <c r="L169" i="10"/>
  <c r="J169" i="10"/>
  <c r="I169" i="10"/>
  <c r="L168" i="10"/>
  <c r="J168" i="10"/>
  <c r="I168" i="10"/>
  <c r="L167" i="10"/>
  <c r="J167" i="10"/>
  <c r="I167" i="10"/>
  <c r="L166" i="10"/>
  <c r="J166" i="10"/>
  <c r="I166" i="10"/>
  <c r="L165" i="10"/>
  <c r="J165" i="10"/>
  <c r="I165" i="10"/>
  <c r="L164" i="10"/>
  <c r="J164" i="10"/>
  <c r="I164" i="10"/>
  <c r="L163" i="10"/>
  <c r="J163" i="10"/>
  <c r="I163" i="10"/>
  <c r="L162" i="10"/>
  <c r="J162" i="10"/>
  <c r="I162" i="10"/>
  <c r="L161" i="10"/>
  <c r="J161" i="10"/>
  <c r="I161" i="10"/>
  <c r="L160" i="10"/>
  <c r="J160" i="10"/>
  <c r="I160" i="10"/>
  <c r="L159" i="10"/>
  <c r="J159" i="10"/>
  <c r="I159" i="10"/>
  <c r="L158" i="10"/>
  <c r="J158" i="10"/>
  <c r="I158" i="10"/>
  <c r="L157" i="10"/>
  <c r="J157" i="10"/>
  <c r="I157" i="10"/>
  <c r="L156" i="10"/>
  <c r="J156" i="10"/>
  <c r="I156" i="10"/>
  <c r="L155" i="10"/>
  <c r="J155" i="10"/>
  <c r="I155" i="10"/>
  <c r="L154" i="10"/>
  <c r="J154" i="10"/>
  <c r="I154" i="10"/>
  <c r="L153" i="10"/>
  <c r="J153" i="10"/>
  <c r="I153" i="10"/>
  <c r="L152" i="10"/>
  <c r="J152" i="10"/>
  <c r="I152" i="10"/>
  <c r="L151" i="10"/>
  <c r="J151" i="10"/>
  <c r="I151" i="10"/>
  <c r="L150" i="10"/>
  <c r="J150" i="10"/>
  <c r="I150" i="10"/>
  <c r="L149" i="10"/>
  <c r="J149" i="10"/>
  <c r="I149" i="10"/>
  <c r="L148" i="10"/>
  <c r="J148" i="10"/>
  <c r="I148" i="10"/>
  <c r="L147" i="10"/>
  <c r="J147" i="10"/>
  <c r="I147" i="10"/>
  <c r="L146" i="10"/>
  <c r="J146" i="10"/>
  <c r="I146" i="10"/>
  <c r="L145" i="10"/>
  <c r="J145" i="10"/>
  <c r="I145" i="10"/>
  <c r="L144" i="10"/>
  <c r="J144" i="10"/>
  <c r="I144" i="10"/>
  <c r="L143" i="10"/>
  <c r="J143" i="10"/>
  <c r="I143" i="10"/>
  <c r="L142" i="10"/>
  <c r="J142" i="10"/>
  <c r="I142" i="10"/>
  <c r="L141" i="10"/>
  <c r="J141" i="10"/>
  <c r="I141" i="10"/>
  <c r="L140" i="10"/>
  <c r="J140" i="10"/>
  <c r="I140" i="10"/>
  <c r="L139" i="10"/>
  <c r="J139" i="10"/>
  <c r="I139" i="10"/>
  <c r="L138" i="10"/>
  <c r="J138" i="10"/>
  <c r="I138" i="10"/>
  <c r="L137" i="10"/>
  <c r="J137" i="10"/>
  <c r="I137" i="10"/>
  <c r="L136" i="10"/>
  <c r="J136" i="10"/>
  <c r="I136" i="10"/>
  <c r="L135" i="10"/>
  <c r="J135" i="10"/>
  <c r="I135" i="10"/>
  <c r="L134" i="10"/>
  <c r="J134" i="10"/>
  <c r="I134" i="10"/>
  <c r="L133" i="10"/>
  <c r="J133" i="10"/>
  <c r="I133" i="10"/>
  <c r="L132" i="10"/>
  <c r="J132" i="10"/>
  <c r="I132" i="10"/>
  <c r="L131" i="10"/>
  <c r="J131" i="10"/>
  <c r="I131" i="10"/>
  <c r="L130" i="10"/>
  <c r="J130" i="10"/>
  <c r="I130" i="10"/>
  <c r="L129" i="10"/>
  <c r="J129" i="10"/>
  <c r="I129" i="10"/>
  <c r="L128" i="10"/>
  <c r="J128" i="10"/>
  <c r="I128" i="10"/>
  <c r="L127" i="10"/>
  <c r="J127" i="10"/>
  <c r="I127" i="10"/>
  <c r="L126" i="10"/>
  <c r="J126" i="10"/>
  <c r="I126" i="10"/>
  <c r="L125" i="10"/>
  <c r="J125" i="10"/>
  <c r="I125" i="10"/>
  <c r="L124" i="10"/>
  <c r="J124" i="10"/>
  <c r="I124" i="10"/>
  <c r="L123" i="10"/>
  <c r="J123" i="10"/>
  <c r="I123" i="10"/>
  <c r="L122" i="10"/>
  <c r="J122" i="10"/>
  <c r="I122" i="10"/>
  <c r="L121" i="10"/>
  <c r="J121" i="10"/>
  <c r="I121" i="10"/>
  <c r="L120" i="10"/>
  <c r="J120" i="10"/>
  <c r="I120" i="10"/>
  <c r="L119" i="10"/>
  <c r="J119" i="10"/>
  <c r="I119" i="10"/>
  <c r="L118" i="10"/>
  <c r="J118" i="10"/>
  <c r="I118" i="10"/>
  <c r="L117" i="10"/>
  <c r="J117" i="10"/>
  <c r="I117" i="10"/>
  <c r="L116" i="10"/>
  <c r="J116" i="10"/>
  <c r="I116" i="10"/>
  <c r="L115" i="10"/>
  <c r="J115" i="10"/>
  <c r="I115" i="10"/>
  <c r="L114" i="10"/>
  <c r="J114" i="10"/>
  <c r="I114" i="10"/>
  <c r="L113" i="10"/>
  <c r="J113" i="10"/>
  <c r="I113" i="10"/>
  <c r="L112" i="10"/>
  <c r="J112" i="10"/>
  <c r="I112" i="10"/>
  <c r="L111" i="10"/>
  <c r="J111" i="10"/>
  <c r="I111" i="10"/>
  <c r="L110" i="10"/>
  <c r="J110" i="10"/>
  <c r="I110" i="10"/>
  <c r="L109" i="10"/>
  <c r="J109" i="10"/>
  <c r="I109" i="10"/>
  <c r="L108" i="10"/>
  <c r="J108" i="10"/>
  <c r="I108" i="10"/>
  <c r="L107" i="10"/>
  <c r="J107" i="10"/>
  <c r="I107" i="10"/>
  <c r="L106" i="10"/>
  <c r="J106" i="10"/>
  <c r="I106" i="10"/>
  <c r="L105" i="10"/>
  <c r="J105" i="10"/>
  <c r="I105" i="10"/>
  <c r="L104" i="10"/>
  <c r="J104" i="10"/>
  <c r="I104" i="10"/>
  <c r="L103" i="10"/>
  <c r="J103" i="10"/>
  <c r="I103" i="10"/>
  <c r="L102" i="10"/>
  <c r="J102" i="10"/>
  <c r="I102" i="10"/>
  <c r="L101" i="10"/>
  <c r="J101" i="10"/>
  <c r="I101" i="10"/>
  <c r="L100" i="10"/>
  <c r="J100" i="10"/>
  <c r="I100" i="10"/>
  <c r="L99" i="10"/>
  <c r="J99" i="10"/>
  <c r="I99" i="10"/>
  <c r="L98" i="10"/>
  <c r="J98" i="10"/>
  <c r="I98" i="10"/>
  <c r="L97" i="10"/>
  <c r="J97" i="10"/>
  <c r="I97" i="10"/>
  <c r="L96" i="10"/>
  <c r="J96" i="10"/>
  <c r="I96" i="10"/>
  <c r="L95" i="10"/>
  <c r="J95" i="10"/>
  <c r="I95" i="10"/>
  <c r="L94" i="10"/>
  <c r="J94" i="10"/>
  <c r="I94" i="10"/>
  <c r="L93" i="10"/>
  <c r="J93" i="10"/>
  <c r="I93" i="10"/>
  <c r="L92" i="10"/>
  <c r="J92" i="10"/>
  <c r="I92" i="10"/>
  <c r="L91" i="10"/>
  <c r="J91" i="10"/>
  <c r="I91" i="10"/>
  <c r="L90" i="10"/>
  <c r="J90" i="10"/>
  <c r="I90" i="10"/>
  <c r="L89" i="10"/>
  <c r="J89" i="10"/>
  <c r="I89" i="10"/>
  <c r="L88" i="10"/>
  <c r="J88" i="10"/>
  <c r="I88" i="10"/>
  <c r="L87" i="10"/>
  <c r="J87" i="10"/>
  <c r="I87" i="10"/>
  <c r="L86" i="10"/>
  <c r="J86" i="10"/>
  <c r="I86" i="10"/>
  <c r="L85" i="10"/>
  <c r="J85" i="10"/>
  <c r="I85" i="10"/>
  <c r="L84" i="10"/>
  <c r="J84" i="10"/>
  <c r="I84" i="10"/>
  <c r="L83" i="10"/>
  <c r="J83" i="10"/>
  <c r="I83" i="10"/>
  <c r="L82" i="10"/>
  <c r="J82" i="10"/>
  <c r="I82" i="10"/>
  <c r="L81" i="10"/>
  <c r="J81" i="10"/>
  <c r="I81" i="10"/>
  <c r="L80" i="10"/>
  <c r="J80" i="10"/>
  <c r="I80" i="10"/>
  <c r="L79" i="10"/>
  <c r="J79" i="10"/>
  <c r="I79" i="10"/>
  <c r="L78" i="10"/>
  <c r="J78" i="10"/>
  <c r="I78" i="10"/>
  <c r="L77" i="10"/>
  <c r="J77" i="10"/>
  <c r="I77" i="10"/>
  <c r="L76" i="10"/>
  <c r="J76" i="10"/>
  <c r="I76" i="10"/>
  <c r="L75" i="10"/>
  <c r="J75" i="10"/>
  <c r="I75" i="10"/>
  <c r="L74" i="10"/>
  <c r="J74" i="10"/>
  <c r="I74" i="10"/>
  <c r="L73" i="10"/>
  <c r="J73" i="10"/>
  <c r="I73" i="10"/>
  <c r="L72" i="10"/>
  <c r="J72" i="10"/>
  <c r="I72" i="10"/>
  <c r="L71" i="10"/>
  <c r="J71" i="10"/>
  <c r="I71" i="10"/>
  <c r="L70" i="10"/>
  <c r="J70" i="10"/>
  <c r="I70" i="10"/>
  <c r="L69" i="10"/>
  <c r="J69" i="10"/>
  <c r="I69" i="10"/>
  <c r="L68" i="10"/>
  <c r="J68" i="10"/>
  <c r="I68" i="10"/>
  <c r="L67" i="10"/>
  <c r="J67" i="10"/>
  <c r="I67" i="10"/>
  <c r="L66" i="10"/>
  <c r="J66" i="10"/>
  <c r="I66" i="10"/>
  <c r="L65" i="10"/>
  <c r="J65" i="10"/>
  <c r="I65" i="10"/>
  <c r="L64" i="10"/>
  <c r="J64" i="10"/>
  <c r="I64" i="10"/>
  <c r="L63" i="10"/>
  <c r="J63" i="10"/>
  <c r="I63" i="10"/>
  <c r="L62" i="10"/>
  <c r="J62" i="10"/>
  <c r="I62" i="10"/>
  <c r="L61" i="10"/>
  <c r="J61" i="10"/>
  <c r="I61" i="10"/>
  <c r="L60" i="10"/>
  <c r="J60" i="10"/>
  <c r="I60" i="10"/>
  <c r="L59" i="10"/>
  <c r="J59" i="10"/>
  <c r="I59" i="10"/>
  <c r="L58" i="10"/>
  <c r="J58" i="10"/>
  <c r="I58" i="10"/>
  <c r="L57" i="10"/>
  <c r="J57" i="10"/>
  <c r="I57" i="10"/>
  <c r="L56" i="10"/>
  <c r="J56" i="10"/>
  <c r="I56" i="10"/>
  <c r="L55" i="10"/>
  <c r="J55" i="10"/>
  <c r="I55" i="10"/>
  <c r="L54" i="10"/>
  <c r="J54" i="10"/>
  <c r="I54" i="10"/>
  <c r="L53" i="10"/>
  <c r="J53" i="10"/>
  <c r="I53" i="10"/>
  <c r="L52" i="10"/>
  <c r="J52" i="10"/>
  <c r="I52" i="10"/>
  <c r="L51" i="10"/>
  <c r="J51" i="10"/>
  <c r="I51" i="10"/>
  <c r="L50" i="10"/>
  <c r="J50" i="10"/>
  <c r="I50" i="10"/>
  <c r="L49" i="10"/>
  <c r="J49" i="10"/>
  <c r="I49" i="10"/>
  <c r="L48" i="10"/>
  <c r="J48" i="10"/>
  <c r="I48" i="10"/>
  <c r="L47" i="10"/>
  <c r="J47" i="10"/>
  <c r="I47" i="10"/>
  <c r="L46" i="10"/>
  <c r="J46" i="10"/>
  <c r="I46" i="10"/>
  <c r="L45" i="10"/>
  <c r="J45" i="10"/>
  <c r="I45" i="10"/>
  <c r="L44" i="10"/>
  <c r="J44" i="10"/>
  <c r="I44" i="10"/>
  <c r="L43" i="10"/>
  <c r="J43" i="10"/>
  <c r="I43" i="10"/>
  <c r="L42" i="10"/>
  <c r="J42" i="10"/>
  <c r="I42" i="10"/>
  <c r="L41" i="10"/>
  <c r="J41" i="10"/>
  <c r="I41" i="10"/>
  <c r="L40" i="10"/>
  <c r="J40" i="10"/>
  <c r="I40" i="10"/>
  <c r="L39" i="10"/>
  <c r="J39" i="10"/>
  <c r="I39" i="10"/>
  <c r="L38" i="10"/>
  <c r="J38" i="10"/>
  <c r="I38" i="10"/>
  <c r="L37" i="10"/>
  <c r="J37" i="10"/>
  <c r="I37" i="10"/>
  <c r="L36" i="10"/>
  <c r="J36" i="10"/>
  <c r="I36" i="10"/>
  <c r="L35" i="10"/>
  <c r="J35" i="10"/>
  <c r="I35" i="10"/>
  <c r="L34" i="10"/>
  <c r="J34" i="10"/>
  <c r="I34" i="10"/>
  <c r="L33" i="10"/>
  <c r="J33" i="10"/>
  <c r="I33" i="10"/>
  <c r="L32" i="10"/>
  <c r="J32" i="10"/>
  <c r="I32" i="10"/>
  <c r="L31" i="10"/>
  <c r="J31" i="10"/>
  <c r="I31" i="10"/>
  <c r="L30" i="10"/>
  <c r="J30" i="10"/>
  <c r="I30" i="10"/>
  <c r="L29" i="10"/>
  <c r="J29" i="10"/>
  <c r="I29" i="10"/>
  <c r="L28" i="10"/>
  <c r="J28" i="10"/>
  <c r="I28" i="10"/>
  <c r="L27" i="10"/>
  <c r="J27" i="10"/>
  <c r="I27" i="10"/>
  <c r="L26" i="10"/>
  <c r="J26" i="10"/>
  <c r="I26" i="10"/>
  <c r="L25" i="10"/>
  <c r="J25" i="10"/>
  <c r="I25" i="10"/>
  <c r="L24" i="10"/>
  <c r="J24" i="10"/>
  <c r="I24" i="10"/>
  <c r="L23" i="10"/>
  <c r="J23" i="10"/>
  <c r="I23" i="10"/>
  <c r="L22" i="10"/>
  <c r="J22" i="10"/>
  <c r="I22" i="10"/>
  <c r="L21" i="10"/>
  <c r="J21" i="10"/>
  <c r="I21" i="10"/>
  <c r="L20" i="10"/>
  <c r="J20" i="10"/>
  <c r="I20" i="10"/>
  <c r="L19" i="10"/>
  <c r="J19" i="10"/>
  <c r="I19" i="10"/>
  <c r="L18" i="10"/>
  <c r="J18" i="10"/>
  <c r="I18" i="10"/>
  <c r="L17" i="10"/>
  <c r="J17" i="10"/>
  <c r="I17" i="10"/>
  <c r="L16" i="10"/>
  <c r="J16" i="10"/>
  <c r="I16" i="10"/>
  <c r="L15" i="10"/>
  <c r="J15" i="10"/>
  <c r="I15" i="10"/>
  <c r="L14" i="10"/>
  <c r="J14" i="10"/>
  <c r="I14" i="10"/>
  <c r="L13" i="10"/>
  <c r="J13" i="10"/>
  <c r="I13" i="10"/>
  <c r="L12" i="10"/>
  <c r="J12" i="10"/>
  <c r="I12" i="10"/>
  <c r="L11" i="10"/>
  <c r="J11" i="10"/>
  <c r="I11" i="10"/>
  <c r="L10" i="10"/>
  <c r="J10" i="10"/>
  <c r="I10" i="10"/>
  <c r="L9" i="10"/>
  <c r="J9" i="10"/>
  <c r="I9" i="10"/>
  <c r="L8" i="10"/>
  <c r="J8" i="10"/>
  <c r="I8" i="10"/>
  <c r="L7" i="10"/>
  <c r="J7" i="10"/>
  <c r="I7" i="10"/>
  <c r="L6" i="10"/>
  <c r="J6" i="10"/>
  <c r="I6" i="10"/>
  <c r="L5" i="10"/>
  <c r="J5" i="10"/>
  <c r="I5" i="10"/>
  <c r="L4" i="10"/>
  <c r="J4" i="10"/>
  <c r="I4" i="10"/>
  <c r="L3" i="10"/>
  <c r="J3" i="10"/>
  <c r="I3" i="10"/>
  <c r="L2" i="10"/>
  <c r="J2" i="10"/>
  <c r="I2" i="10"/>
  <c r="B6" i="8"/>
  <c r="B5" i="8"/>
  <c r="C1005" i="7"/>
  <c r="B1005" i="7"/>
  <c r="C1004" i="7"/>
  <c r="B1004" i="7"/>
  <c r="C1003" i="7"/>
  <c r="B1003" i="7"/>
  <c r="C1002" i="7"/>
  <c r="B1002" i="7"/>
  <c r="C1001" i="7"/>
  <c r="B1001" i="7"/>
  <c r="C1000" i="7"/>
  <c r="B1000" i="7"/>
  <c r="C999" i="7"/>
  <c r="B999" i="7"/>
  <c r="C998" i="7"/>
  <c r="B998" i="7"/>
  <c r="C997" i="7"/>
  <c r="B997" i="7"/>
  <c r="C996" i="7"/>
  <c r="B996" i="7"/>
  <c r="C995" i="7"/>
  <c r="B995" i="7"/>
  <c r="C994" i="7"/>
  <c r="B994" i="7"/>
  <c r="C993" i="7"/>
  <c r="B993" i="7"/>
  <c r="C992" i="7"/>
  <c r="B992" i="7"/>
  <c r="C991" i="7"/>
  <c r="B991" i="7"/>
  <c r="C990" i="7"/>
  <c r="B990" i="7"/>
  <c r="C989" i="7"/>
  <c r="B989" i="7"/>
  <c r="C988" i="7"/>
  <c r="B988" i="7"/>
  <c r="C987" i="7"/>
  <c r="B987" i="7"/>
  <c r="C986" i="7"/>
  <c r="B986" i="7"/>
  <c r="C985" i="7"/>
  <c r="B985" i="7"/>
  <c r="C984" i="7"/>
  <c r="B984" i="7"/>
  <c r="C983" i="7"/>
  <c r="B983" i="7"/>
  <c r="C982" i="7"/>
  <c r="B982" i="7"/>
  <c r="C981" i="7"/>
  <c r="B981" i="7"/>
  <c r="C980" i="7"/>
  <c r="B980" i="7"/>
  <c r="C979" i="7"/>
  <c r="B979" i="7"/>
  <c r="C978" i="7"/>
  <c r="B978" i="7"/>
  <c r="C977" i="7"/>
  <c r="B977" i="7"/>
  <c r="C976" i="7"/>
  <c r="B976" i="7"/>
  <c r="C975" i="7"/>
  <c r="B975" i="7"/>
  <c r="C974" i="7"/>
  <c r="B974" i="7"/>
  <c r="C973" i="7"/>
  <c r="B973" i="7"/>
  <c r="C972" i="7"/>
  <c r="B972" i="7"/>
  <c r="C971" i="7"/>
  <c r="B971" i="7"/>
  <c r="C970" i="7"/>
  <c r="B970" i="7"/>
  <c r="C969" i="7"/>
  <c r="B969" i="7"/>
  <c r="C968" i="7"/>
  <c r="B968" i="7"/>
  <c r="C967" i="7"/>
  <c r="B967" i="7"/>
  <c r="C966" i="7"/>
  <c r="B966" i="7"/>
  <c r="C965" i="7"/>
  <c r="B965" i="7"/>
  <c r="C964" i="7"/>
  <c r="B964" i="7"/>
  <c r="C963" i="7"/>
  <c r="B963" i="7"/>
  <c r="C962" i="7"/>
  <c r="B962" i="7"/>
  <c r="C961" i="7"/>
  <c r="B961" i="7"/>
  <c r="C960" i="7"/>
  <c r="B960" i="7"/>
  <c r="C959" i="7"/>
  <c r="B959" i="7"/>
  <c r="C958" i="7"/>
  <c r="B958" i="7"/>
  <c r="C957" i="7"/>
  <c r="B957" i="7"/>
  <c r="C956" i="7"/>
  <c r="B956" i="7"/>
  <c r="C955" i="7"/>
  <c r="B955" i="7"/>
  <c r="C954" i="7"/>
  <c r="B954" i="7"/>
  <c r="C953" i="7"/>
  <c r="B953" i="7"/>
  <c r="C952" i="7"/>
  <c r="B952" i="7"/>
  <c r="C951" i="7"/>
  <c r="B951" i="7"/>
  <c r="C950" i="7"/>
  <c r="B950" i="7"/>
  <c r="C949" i="7"/>
  <c r="B949" i="7"/>
  <c r="C948" i="7"/>
  <c r="B948" i="7"/>
  <c r="C947" i="7"/>
  <c r="B947" i="7"/>
  <c r="C946" i="7"/>
  <c r="B946" i="7"/>
  <c r="C945" i="7"/>
  <c r="B945" i="7"/>
  <c r="C944" i="7"/>
  <c r="B944" i="7"/>
  <c r="C943" i="7"/>
  <c r="B943" i="7"/>
  <c r="C942" i="7"/>
  <c r="B942" i="7"/>
  <c r="C941" i="7"/>
  <c r="B941" i="7"/>
  <c r="C940" i="7"/>
  <c r="B940" i="7"/>
  <c r="C939" i="7"/>
  <c r="B939" i="7"/>
  <c r="C938" i="7"/>
  <c r="B938" i="7"/>
  <c r="C937" i="7"/>
  <c r="B937" i="7"/>
  <c r="C936" i="7"/>
  <c r="B936" i="7"/>
  <c r="C935" i="7"/>
  <c r="B935" i="7"/>
  <c r="C934" i="7"/>
  <c r="B934" i="7"/>
  <c r="C933" i="7"/>
  <c r="B933" i="7"/>
  <c r="C932" i="7"/>
  <c r="B932" i="7"/>
  <c r="C931" i="7"/>
  <c r="B931" i="7"/>
  <c r="C930" i="7"/>
  <c r="B930" i="7"/>
  <c r="C929" i="7"/>
  <c r="B929" i="7"/>
  <c r="C928" i="7"/>
  <c r="B928" i="7"/>
  <c r="C927" i="7"/>
  <c r="B927" i="7"/>
  <c r="C926" i="7"/>
  <c r="B926" i="7"/>
  <c r="C925" i="7"/>
  <c r="B925" i="7"/>
  <c r="C924" i="7"/>
  <c r="B924" i="7"/>
  <c r="C923" i="7"/>
  <c r="B923" i="7"/>
  <c r="C922" i="7"/>
  <c r="B922" i="7"/>
  <c r="C921" i="7"/>
  <c r="B921" i="7"/>
  <c r="C920" i="7"/>
  <c r="B920" i="7"/>
  <c r="C919" i="7"/>
  <c r="B919" i="7"/>
  <c r="C918" i="7"/>
  <c r="B918" i="7"/>
  <c r="C917" i="7"/>
  <c r="B917" i="7"/>
  <c r="C916" i="7"/>
  <c r="B916" i="7"/>
  <c r="C915" i="7"/>
  <c r="B915" i="7"/>
  <c r="C914" i="7"/>
  <c r="B914" i="7"/>
  <c r="C913" i="7"/>
  <c r="B913" i="7"/>
  <c r="C912" i="7"/>
  <c r="B912" i="7"/>
  <c r="C911" i="7"/>
  <c r="B911" i="7"/>
  <c r="C910" i="7"/>
  <c r="B910" i="7"/>
  <c r="C909" i="7"/>
  <c r="B909" i="7"/>
  <c r="C908" i="7"/>
  <c r="B908" i="7"/>
  <c r="C907" i="7"/>
  <c r="B907" i="7"/>
  <c r="C906" i="7"/>
  <c r="B906" i="7"/>
  <c r="C905" i="7"/>
  <c r="B905" i="7"/>
  <c r="C904" i="7"/>
  <c r="B904" i="7"/>
  <c r="C903" i="7"/>
  <c r="B903" i="7"/>
  <c r="C902" i="7"/>
  <c r="B902" i="7"/>
  <c r="C901" i="7"/>
  <c r="B901" i="7"/>
  <c r="C900" i="7"/>
  <c r="B900" i="7"/>
  <c r="C899" i="7"/>
  <c r="B899" i="7"/>
  <c r="C898" i="7"/>
  <c r="B898" i="7"/>
  <c r="C897" i="7"/>
  <c r="B897" i="7"/>
  <c r="C896" i="7"/>
  <c r="B896" i="7"/>
  <c r="C895" i="7"/>
  <c r="B895" i="7"/>
  <c r="C894" i="7"/>
  <c r="B894" i="7"/>
  <c r="C893" i="7"/>
  <c r="B893" i="7"/>
  <c r="C892" i="7"/>
  <c r="B892" i="7"/>
  <c r="C891" i="7"/>
  <c r="B891" i="7"/>
  <c r="C890" i="7"/>
  <c r="B890" i="7"/>
  <c r="C889" i="7"/>
  <c r="B889" i="7"/>
  <c r="C888" i="7"/>
  <c r="B888" i="7"/>
  <c r="C887" i="7"/>
  <c r="B887" i="7"/>
  <c r="C886" i="7"/>
  <c r="B886" i="7"/>
  <c r="C885" i="7"/>
  <c r="B885" i="7"/>
  <c r="C884" i="7"/>
  <c r="B884" i="7"/>
  <c r="C883" i="7"/>
  <c r="B883" i="7"/>
  <c r="C882" i="7"/>
  <c r="B882" i="7"/>
  <c r="C881" i="7"/>
  <c r="B881" i="7"/>
  <c r="C880" i="7"/>
  <c r="B880" i="7"/>
  <c r="C879" i="7"/>
  <c r="B879" i="7"/>
  <c r="C878" i="7"/>
  <c r="B878" i="7"/>
  <c r="C877" i="7"/>
  <c r="B877" i="7"/>
  <c r="C876" i="7"/>
  <c r="B876" i="7"/>
  <c r="C875" i="7"/>
  <c r="B875" i="7"/>
  <c r="C874" i="7"/>
  <c r="B874" i="7"/>
  <c r="C873" i="7"/>
  <c r="B873" i="7"/>
  <c r="C872" i="7"/>
  <c r="B872" i="7"/>
  <c r="C871" i="7"/>
  <c r="B871" i="7"/>
  <c r="C870" i="7"/>
  <c r="B870" i="7"/>
  <c r="C869" i="7"/>
  <c r="B869" i="7"/>
  <c r="C868" i="7"/>
  <c r="B868" i="7"/>
  <c r="C867" i="7"/>
  <c r="B867" i="7"/>
  <c r="C866" i="7"/>
  <c r="B866" i="7"/>
  <c r="C865" i="7"/>
  <c r="B865" i="7"/>
  <c r="C864" i="7"/>
  <c r="B864" i="7"/>
  <c r="C863" i="7"/>
  <c r="B863" i="7"/>
  <c r="C862" i="7"/>
  <c r="B862" i="7"/>
  <c r="C861" i="7"/>
  <c r="B861" i="7"/>
  <c r="C860" i="7"/>
  <c r="B860" i="7"/>
  <c r="C859" i="7"/>
  <c r="B859" i="7"/>
  <c r="C858" i="7"/>
  <c r="B858" i="7"/>
  <c r="C857" i="7"/>
  <c r="B857" i="7"/>
  <c r="C856" i="7"/>
  <c r="B856" i="7"/>
  <c r="C855" i="7"/>
  <c r="B855" i="7"/>
  <c r="C854" i="7"/>
  <c r="B854" i="7"/>
  <c r="C853" i="7"/>
  <c r="B853" i="7"/>
  <c r="C852" i="7"/>
  <c r="B852" i="7"/>
  <c r="C851" i="7"/>
  <c r="B851" i="7"/>
  <c r="C850" i="7"/>
  <c r="B850" i="7"/>
  <c r="C849" i="7"/>
  <c r="B849" i="7"/>
  <c r="C848" i="7"/>
  <c r="B848" i="7"/>
  <c r="C847" i="7"/>
  <c r="B847" i="7"/>
  <c r="C846" i="7"/>
  <c r="B846" i="7"/>
  <c r="C845" i="7"/>
  <c r="B845" i="7"/>
  <c r="C844" i="7"/>
  <c r="B844" i="7"/>
  <c r="C843" i="7"/>
  <c r="B843" i="7"/>
  <c r="C842" i="7"/>
  <c r="B842" i="7"/>
  <c r="C841" i="7"/>
  <c r="B841" i="7"/>
  <c r="C840" i="7"/>
  <c r="B840" i="7"/>
  <c r="C839" i="7"/>
  <c r="B839" i="7"/>
  <c r="C838" i="7"/>
  <c r="B838" i="7"/>
  <c r="C837" i="7"/>
  <c r="B837" i="7"/>
  <c r="C836" i="7"/>
  <c r="B836" i="7"/>
  <c r="C835" i="7"/>
  <c r="B835" i="7"/>
  <c r="C834" i="7"/>
  <c r="B834" i="7"/>
  <c r="C833" i="7"/>
  <c r="B833" i="7"/>
  <c r="C832" i="7"/>
  <c r="B832" i="7"/>
  <c r="C831" i="7"/>
  <c r="B831" i="7"/>
  <c r="C830" i="7"/>
  <c r="B830" i="7"/>
  <c r="C829" i="7"/>
  <c r="B829" i="7"/>
  <c r="C828" i="7"/>
  <c r="B828" i="7"/>
  <c r="C827" i="7"/>
  <c r="B827" i="7"/>
  <c r="C826" i="7"/>
  <c r="B826" i="7"/>
  <c r="C825" i="7"/>
  <c r="B825" i="7"/>
  <c r="C824" i="7"/>
  <c r="B824" i="7"/>
  <c r="C823" i="7"/>
  <c r="B823" i="7"/>
  <c r="C822" i="7"/>
  <c r="B822" i="7"/>
  <c r="C821" i="7"/>
  <c r="B821" i="7"/>
  <c r="C820" i="7"/>
  <c r="B820" i="7"/>
  <c r="C819" i="7"/>
  <c r="B819" i="7"/>
  <c r="C818" i="7"/>
  <c r="B818" i="7"/>
  <c r="C817" i="7"/>
  <c r="B817" i="7"/>
  <c r="C816" i="7"/>
  <c r="B816" i="7"/>
  <c r="C815" i="7"/>
  <c r="B815" i="7"/>
  <c r="C814" i="7"/>
  <c r="B814" i="7"/>
  <c r="C813" i="7"/>
  <c r="B813" i="7"/>
  <c r="C812" i="7"/>
  <c r="B812" i="7"/>
  <c r="C811" i="7"/>
  <c r="B811" i="7"/>
  <c r="C810" i="7"/>
  <c r="B810" i="7"/>
  <c r="C809" i="7"/>
  <c r="B809" i="7"/>
  <c r="C808" i="7"/>
  <c r="B808" i="7"/>
  <c r="C807" i="7"/>
  <c r="B807" i="7"/>
  <c r="C806" i="7"/>
  <c r="B806" i="7"/>
  <c r="C805" i="7"/>
  <c r="B805" i="7"/>
  <c r="C804" i="7"/>
  <c r="B804" i="7"/>
  <c r="C803" i="7"/>
  <c r="B803" i="7"/>
  <c r="C802" i="7"/>
  <c r="B802" i="7"/>
  <c r="C801" i="7"/>
  <c r="B801" i="7"/>
  <c r="C800" i="7"/>
  <c r="B800" i="7"/>
  <c r="C799" i="7"/>
  <c r="B799" i="7"/>
  <c r="C798" i="7"/>
  <c r="B798" i="7"/>
  <c r="C797" i="7"/>
  <c r="B797" i="7"/>
  <c r="C796" i="7"/>
  <c r="B796" i="7"/>
  <c r="C795" i="7"/>
  <c r="B795" i="7"/>
  <c r="C794" i="7"/>
  <c r="B794" i="7"/>
  <c r="C793" i="7"/>
  <c r="B793" i="7"/>
  <c r="C792" i="7"/>
  <c r="B792" i="7"/>
  <c r="C791" i="7"/>
  <c r="B791" i="7"/>
  <c r="C790" i="7"/>
  <c r="B790" i="7"/>
  <c r="C789" i="7"/>
  <c r="B789" i="7"/>
  <c r="C788" i="7"/>
  <c r="B788" i="7"/>
  <c r="C787" i="7"/>
  <c r="B787" i="7"/>
  <c r="C786" i="7"/>
  <c r="B786" i="7"/>
  <c r="C785" i="7"/>
  <c r="B785" i="7"/>
  <c r="C784" i="7"/>
  <c r="B784" i="7"/>
  <c r="C783" i="7"/>
  <c r="B783" i="7"/>
  <c r="C782" i="7"/>
  <c r="B782" i="7"/>
  <c r="C781" i="7"/>
  <c r="B781" i="7"/>
  <c r="C780" i="7"/>
  <c r="B780" i="7"/>
  <c r="C779" i="7"/>
  <c r="B779" i="7"/>
  <c r="C778" i="7"/>
  <c r="B778" i="7"/>
  <c r="C777" i="7"/>
  <c r="B777" i="7"/>
  <c r="C776" i="7"/>
  <c r="B776" i="7"/>
  <c r="C775" i="7"/>
  <c r="B775" i="7"/>
  <c r="C774" i="7"/>
  <c r="B774" i="7"/>
  <c r="C773" i="7"/>
  <c r="B773" i="7"/>
  <c r="C772" i="7"/>
  <c r="B772" i="7"/>
  <c r="C771" i="7"/>
  <c r="B771" i="7"/>
  <c r="C770" i="7"/>
  <c r="B770" i="7"/>
  <c r="C769" i="7"/>
  <c r="B769" i="7"/>
  <c r="C768" i="7"/>
  <c r="B768" i="7"/>
  <c r="C767" i="7"/>
  <c r="B767" i="7"/>
  <c r="C766" i="7"/>
  <c r="B766" i="7"/>
  <c r="C765" i="7"/>
  <c r="B765" i="7"/>
  <c r="C764" i="7"/>
  <c r="B764" i="7"/>
  <c r="C763" i="7"/>
  <c r="B763" i="7"/>
  <c r="C762" i="7"/>
  <c r="B762" i="7"/>
  <c r="C761" i="7"/>
  <c r="B761" i="7"/>
  <c r="C760" i="7"/>
  <c r="B760" i="7"/>
  <c r="C759" i="7"/>
  <c r="B759" i="7"/>
  <c r="C758" i="7"/>
  <c r="B758" i="7"/>
  <c r="C757" i="7"/>
  <c r="B757" i="7"/>
  <c r="C756" i="7"/>
  <c r="B756" i="7"/>
  <c r="C755" i="7"/>
  <c r="B755" i="7"/>
  <c r="C754" i="7"/>
  <c r="B754" i="7"/>
  <c r="C753" i="7"/>
  <c r="B753" i="7"/>
  <c r="C752" i="7"/>
  <c r="B752" i="7"/>
  <c r="C751" i="7"/>
  <c r="B751" i="7"/>
  <c r="C750" i="7"/>
  <c r="B750" i="7"/>
  <c r="C749" i="7"/>
  <c r="B749" i="7"/>
  <c r="C748" i="7"/>
  <c r="B748" i="7"/>
  <c r="C747" i="7"/>
  <c r="B747" i="7"/>
  <c r="C746" i="7"/>
  <c r="B746" i="7"/>
  <c r="C745" i="7"/>
  <c r="B745" i="7"/>
  <c r="C744" i="7"/>
  <c r="B744" i="7"/>
  <c r="C743" i="7"/>
  <c r="B743" i="7"/>
  <c r="C742" i="7"/>
  <c r="B742" i="7"/>
  <c r="C741" i="7"/>
  <c r="B741" i="7"/>
  <c r="C740" i="7"/>
  <c r="B740" i="7"/>
  <c r="C739" i="7"/>
  <c r="B739" i="7"/>
  <c r="C738" i="7"/>
  <c r="B738" i="7"/>
  <c r="C737" i="7"/>
  <c r="B737" i="7"/>
  <c r="C736" i="7"/>
  <c r="B736" i="7"/>
  <c r="C735" i="7"/>
  <c r="B735" i="7"/>
  <c r="C734" i="7"/>
  <c r="B734" i="7"/>
  <c r="C733" i="7"/>
  <c r="B733" i="7"/>
  <c r="C732" i="7"/>
  <c r="B732" i="7"/>
  <c r="C731" i="7"/>
  <c r="B731" i="7"/>
  <c r="C730" i="7"/>
  <c r="B730" i="7"/>
  <c r="C729" i="7"/>
  <c r="B729" i="7"/>
  <c r="C728" i="7"/>
  <c r="B728" i="7"/>
  <c r="C727" i="7"/>
  <c r="B727" i="7"/>
  <c r="C726" i="7"/>
  <c r="B726" i="7"/>
  <c r="C725" i="7"/>
  <c r="B725" i="7"/>
  <c r="C724" i="7"/>
  <c r="B724" i="7"/>
  <c r="C723" i="7"/>
  <c r="B723" i="7"/>
  <c r="C722" i="7"/>
  <c r="B722" i="7"/>
  <c r="C721" i="7"/>
  <c r="B721" i="7"/>
  <c r="C720" i="7"/>
  <c r="B720" i="7"/>
  <c r="C719" i="7"/>
  <c r="B719" i="7"/>
  <c r="C718" i="7"/>
  <c r="B718" i="7"/>
  <c r="C717" i="7"/>
  <c r="B717" i="7"/>
  <c r="C716" i="7"/>
  <c r="B716" i="7"/>
  <c r="C715" i="7"/>
  <c r="B715" i="7"/>
  <c r="C714" i="7"/>
  <c r="B714" i="7"/>
  <c r="C713" i="7"/>
  <c r="B713" i="7"/>
  <c r="C712" i="7"/>
  <c r="B712" i="7"/>
  <c r="C711" i="7"/>
  <c r="B711" i="7"/>
  <c r="C710" i="7"/>
  <c r="B710" i="7"/>
  <c r="C709" i="7"/>
  <c r="B709" i="7"/>
  <c r="C708" i="7"/>
  <c r="B708" i="7"/>
  <c r="C707" i="7"/>
  <c r="B707" i="7"/>
  <c r="C706" i="7"/>
  <c r="B706" i="7"/>
  <c r="C705" i="7"/>
  <c r="B705" i="7"/>
  <c r="C704" i="7"/>
  <c r="B704" i="7"/>
  <c r="C703" i="7"/>
  <c r="B703" i="7"/>
  <c r="C702" i="7"/>
  <c r="B702" i="7"/>
  <c r="C701" i="7"/>
  <c r="B701" i="7"/>
  <c r="C700" i="7"/>
  <c r="B700" i="7"/>
  <c r="C699" i="7"/>
  <c r="B699" i="7"/>
  <c r="C698" i="7"/>
  <c r="B698" i="7"/>
  <c r="C697" i="7"/>
  <c r="B697" i="7"/>
  <c r="C696" i="7"/>
  <c r="B696" i="7"/>
  <c r="C695" i="7"/>
  <c r="B695" i="7"/>
  <c r="C694" i="7"/>
  <c r="B694" i="7"/>
  <c r="C693" i="7"/>
  <c r="B693" i="7"/>
  <c r="C692" i="7"/>
  <c r="B692" i="7"/>
  <c r="C691" i="7"/>
  <c r="B691" i="7"/>
  <c r="C690" i="7"/>
  <c r="B690" i="7"/>
  <c r="C689" i="7"/>
  <c r="B689" i="7"/>
  <c r="C688" i="7"/>
  <c r="B688" i="7"/>
  <c r="C687" i="7"/>
  <c r="B687" i="7"/>
  <c r="C686" i="7"/>
  <c r="B686" i="7"/>
  <c r="C685" i="7"/>
  <c r="B685" i="7"/>
  <c r="C684" i="7"/>
  <c r="B684" i="7"/>
  <c r="C683" i="7"/>
  <c r="B683" i="7"/>
  <c r="C682" i="7"/>
  <c r="B682" i="7"/>
  <c r="C681" i="7"/>
  <c r="B681" i="7"/>
  <c r="C680" i="7"/>
  <c r="B680" i="7"/>
  <c r="C679" i="7"/>
  <c r="B679" i="7"/>
  <c r="C678" i="7"/>
  <c r="B678" i="7"/>
  <c r="C677" i="7"/>
  <c r="B677" i="7"/>
  <c r="C676" i="7"/>
  <c r="B676" i="7"/>
  <c r="C675" i="7"/>
  <c r="B675" i="7"/>
  <c r="C674" i="7"/>
  <c r="B674" i="7"/>
  <c r="C673" i="7"/>
  <c r="B673" i="7"/>
  <c r="C672" i="7"/>
  <c r="B672" i="7"/>
  <c r="C671" i="7"/>
  <c r="B671" i="7"/>
  <c r="C670" i="7"/>
  <c r="B670" i="7"/>
  <c r="C669" i="7"/>
  <c r="B669" i="7"/>
  <c r="C668" i="7"/>
  <c r="B668" i="7"/>
  <c r="C667" i="7"/>
  <c r="B667" i="7"/>
  <c r="C666" i="7"/>
  <c r="B666" i="7"/>
  <c r="C665" i="7"/>
  <c r="B665" i="7"/>
  <c r="C664" i="7"/>
  <c r="B664" i="7"/>
  <c r="C663" i="7"/>
  <c r="B663" i="7"/>
  <c r="C662" i="7"/>
  <c r="B662" i="7"/>
  <c r="C661" i="7"/>
  <c r="B661" i="7"/>
  <c r="C660" i="7"/>
  <c r="B660" i="7"/>
  <c r="C659" i="7"/>
  <c r="B659" i="7"/>
  <c r="C658" i="7"/>
  <c r="B658" i="7"/>
  <c r="C657" i="7"/>
  <c r="B657" i="7"/>
  <c r="C656" i="7"/>
  <c r="B656" i="7"/>
  <c r="C655" i="7"/>
  <c r="B655" i="7"/>
  <c r="C654" i="7"/>
  <c r="B654" i="7"/>
  <c r="C653" i="7"/>
  <c r="B653" i="7"/>
  <c r="C652" i="7"/>
  <c r="B652" i="7"/>
  <c r="C651" i="7"/>
  <c r="B651" i="7"/>
  <c r="C650" i="7"/>
  <c r="B650" i="7"/>
  <c r="C649" i="7"/>
  <c r="B649" i="7"/>
  <c r="C648" i="7"/>
  <c r="B648" i="7"/>
  <c r="C647" i="7"/>
  <c r="B647" i="7"/>
  <c r="C646" i="7"/>
  <c r="B646" i="7"/>
  <c r="C645" i="7"/>
  <c r="B645" i="7"/>
  <c r="C644" i="7"/>
  <c r="B644" i="7"/>
  <c r="C643" i="7"/>
  <c r="B643" i="7"/>
  <c r="C642" i="7"/>
  <c r="B642" i="7"/>
  <c r="C641" i="7"/>
  <c r="B641" i="7"/>
  <c r="C640" i="7"/>
  <c r="B640" i="7"/>
  <c r="C639" i="7"/>
  <c r="B639" i="7"/>
  <c r="C638" i="7"/>
  <c r="B638" i="7"/>
  <c r="C637" i="7"/>
  <c r="B637" i="7"/>
  <c r="C636" i="7"/>
  <c r="B636" i="7"/>
  <c r="C635" i="7"/>
  <c r="B635" i="7"/>
  <c r="C634" i="7"/>
  <c r="B634" i="7"/>
  <c r="C633" i="7"/>
  <c r="B633" i="7"/>
  <c r="C632" i="7"/>
  <c r="B632" i="7"/>
  <c r="C631" i="7"/>
  <c r="B631" i="7"/>
  <c r="C630" i="7"/>
  <c r="B630" i="7"/>
  <c r="C629" i="7"/>
  <c r="B629" i="7"/>
  <c r="C628" i="7"/>
  <c r="B628" i="7"/>
  <c r="C627" i="7"/>
  <c r="B627" i="7"/>
  <c r="C626" i="7"/>
  <c r="B626" i="7"/>
  <c r="C625" i="7"/>
  <c r="B625" i="7"/>
  <c r="C624" i="7"/>
  <c r="B624" i="7"/>
  <c r="C623" i="7"/>
  <c r="B623" i="7"/>
  <c r="C622" i="7"/>
  <c r="B622" i="7"/>
  <c r="C621" i="7"/>
  <c r="B621" i="7"/>
  <c r="C620" i="7"/>
  <c r="B620" i="7"/>
  <c r="C619" i="7"/>
  <c r="B619" i="7"/>
  <c r="C618" i="7"/>
  <c r="B618" i="7"/>
  <c r="C617" i="7"/>
  <c r="B617" i="7"/>
  <c r="C616" i="7"/>
  <c r="B616" i="7"/>
  <c r="C615" i="7"/>
  <c r="B615" i="7"/>
  <c r="C614" i="7"/>
  <c r="B614" i="7"/>
  <c r="C613" i="7"/>
  <c r="B613" i="7"/>
  <c r="C612" i="7"/>
  <c r="B612" i="7"/>
  <c r="C611" i="7"/>
  <c r="B611" i="7"/>
  <c r="C610" i="7"/>
  <c r="B610" i="7"/>
  <c r="C609" i="7"/>
  <c r="B609" i="7"/>
  <c r="C608" i="7"/>
  <c r="B608" i="7"/>
  <c r="C607" i="7"/>
  <c r="B607" i="7"/>
  <c r="C606" i="7"/>
  <c r="B606" i="7"/>
  <c r="C605" i="7"/>
  <c r="B605" i="7"/>
  <c r="C604" i="7"/>
  <c r="B604" i="7"/>
  <c r="C603" i="7"/>
  <c r="B603" i="7"/>
  <c r="C602" i="7"/>
  <c r="B602" i="7"/>
  <c r="C601" i="7"/>
  <c r="B601" i="7"/>
  <c r="C600" i="7"/>
  <c r="B600" i="7"/>
  <c r="C599" i="7"/>
  <c r="B599" i="7"/>
  <c r="C598" i="7"/>
  <c r="B598" i="7"/>
  <c r="C597" i="7"/>
  <c r="B597" i="7"/>
  <c r="C596" i="7"/>
  <c r="B596" i="7"/>
  <c r="C595" i="7"/>
  <c r="B595" i="7"/>
  <c r="C594" i="7"/>
  <c r="B594" i="7"/>
  <c r="C593" i="7"/>
  <c r="B593" i="7"/>
  <c r="C592" i="7"/>
  <c r="B592" i="7"/>
  <c r="C591" i="7"/>
  <c r="B591" i="7"/>
  <c r="C590" i="7"/>
  <c r="B590" i="7"/>
  <c r="C589" i="7"/>
  <c r="B589" i="7"/>
  <c r="C588" i="7"/>
  <c r="B588" i="7"/>
  <c r="C587" i="7"/>
  <c r="B587" i="7"/>
  <c r="C586" i="7"/>
  <c r="B586" i="7"/>
  <c r="C585" i="7"/>
  <c r="B585" i="7"/>
  <c r="C584" i="7"/>
  <c r="B584" i="7"/>
  <c r="C583" i="7"/>
  <c r="B583" i="7"/>
  <c r="C582" i="7"/>
  <c r="B582" i="7"/>
  <c r="C581" i="7"/>
  <c r="B581" i="7"/>
  <c r="C580" i="7"/>
  <c r="B580" i="7"/>
  <c r="C579" i="7"/>
  <c r="B579" i="7"/>
  <c r="C578" i="7"/>
  <c r="B578" i="7"/>
  <c r="C577" i="7"/>
  <c r="B577" i="7"/>
  <c r="C576" i="7"/>
  <c r="B576" i="7"/>
  <c r="C575" i="7"/>
  <c r="B575" i="7"/>
  <c r="C574" i="7"/>
  <c r="B574" i="7"/>
  <c r="C573" i="7"/>
  <c r="B573" i="7"/>
  <c r="C572" i="7"/>
  <c r="B572" i="7"/>
  <c r="C571" i="7"/>
  <c r="B571" i="7"/>
  <c r="C570" i="7"/>
  <c r="B570" i="7"/>
  <c r="C569" i="7"/>
  <c r="B569" i="7"/>
  <c r="C568" i="7"/>
  <c r="B568" i="7"/>
  <c r="C567" i="7"/>
  <c r="B567" i="7"/>
  <c r="C566" i="7"/>
  <c r="B566" i="7"/>
  <c r="C565" i="7"/>
  <c r="B565" i="7"/>
  <c r="C564" i="7"/>
  <c r="B564" i="7"/>
  <c r="C563" i="7"/>
  <c r="B563" i="7"/>
  <c r="C562" i="7"/>
  <c r="B562" i="7"/>
  <c r="C561" i="7"/>
  <c r="B561" i="7"/>
  <c r="C560" i="7"/>
  <c r="B560" i="7"/>
  <c r="C559" i="7"/>
  <c r="B559" i="7"/>
  <c r="C558" i="7"/>
  <c r="B558" i="7"/>
  <c r="C557" i="7"/>
  <c r="B557" i="7"/>
  <c r="C556" i="7"/>
  <c r="B556" i="7"/>
  <c r="C555" i="7"/>
  <c r="B555" i="7"/>
  <c r="C554" i="7"/>
  <c r="B554" i="7"/>
  <c r="C553" i="7"/>
  <c r="B553" i="7"/>
  <c r="C552" i="7"/>
  <c r="B552" i="7"/>
  <c r="C551" i="7"/>
  <c r="B551" i="7"/>
  <c r="C550" i="7"/>
  <c r="B550" i="7"/>
  <c r="C549" i="7"/>
  <c r="B549" i="7"/>
  <c r="C548" i="7"/>
  <c r="B548" i="7"/>
  <c r="C547" i="7"/>
  <c r="B547" i="7"/>
  <c r="C546" i="7"/>
  <c r="B546" i="7"/>
  <c r="C545" i="7"/>
  <c r="B545" i="7"/>
  <c r="C544" i="7"/>
  <c r="B544" i="7"/>
  <c r="C543" i="7"/>
  <c r="B543" i="7"/>
  <c r="C542" i="7"/>
  <c r="B542" i="7"/>
  <c r="C541" i="7"/>
  <c r="B541" i="7"/>
  <c r="C540" i="7"/>
  <c r="B540" i="7"/>
  <c r="C539" i="7"/>
  <c r="B539" i="7"/>
  <c r="C538" i="7"/>
  <c r="B538" i="7"/>
  <c r="C537" i="7"/>
  <c r="B537" i="7"/>
  <c r="C536" i="7"/>
  <c r="B536" i="7"/>
  <c r="C535" i="7"/>
  <c r="B535" i="7"/>
  <c r="C534" i="7"/>
  <c r="B534" i="7"/>
  <c r="C533" i="7"/>
  <c r="B533" i="7"/>
  <c r="C532" i="7"/>
  <c r="B532" i="7"/>
  <c r="C531" i="7"/>
  <c r="B531" i="7"/>
  <c r="C530" i="7"/>
  <c r="B530" i="7"/>
  <c r="C529" i="7"/>
  <c r="B529" i="7"/>
  <c r="C528" i="7"/>
  <c r="B528" i="7"/>
  <c r="C527" i="7"/>
  <c r="B527" i="7"/>
  <c r="C526" i="7"/>
  <c r="B526" i="7"/>
  <c r="C525" i="7"/>
  <c r="B525" i="7"/>
  <c r="C524" i="7"/>
  <c r="B524" i="7"/>
  <c r="C523" i="7"/>
  <c r="B523" i="7"/>
  <c r="C522" i="7"/>
  <c r="B522" i="7"/>
  <c r="C521" i="7"/>
  <c r="B521" i="7"/>
  <c r="C520" i="7"/>
  <c r="B520" i="7"/>
  <c r="C519" i="7"/>
  <c r="B519" i="7"/>
  <c r="C518" i="7"/>
  <c r="B518" i="7"/>
  <c r="C517" i="7"/>
  <c r="B517" i="7"/>
  <c r="C516" i="7"/>
  <c r="B516" i="7"/>
  <c r="C515" i="7"/>
  <c r="B515" i="7"/>
  <c r="C514" i="7"/>
  <c r="B514" i="7"/>
  <c r="C513" i="7"/>
  <c r="B513" i="7"/>
  <c r="C512" i="7"/>
  <c r="B512" i="7"/>
  <c r="C511" i="7"/>
  <c r="B511" i="7"/>
  <c r="C510" i="7"/>
  <c r="B510" i="7"/>
  <c r="C509" i="7"/>
  <c r="B509" i="7"/>
  <c r="C508" i="7"/>
  <c r="B508" i="7"/>
  <c r="C507" i="7"/>
  <c r="B507" i="7"/>
  <c r="C506" i="7"/>
  <c r="B506" i="7"/>
  <c r="B502" i="7"/>
  <c r="C502" i="7" s="1"/>
  <c r="B501" i="7"/>
  <c r="C501" i="7" s="1"/>
  <c r="B500" i="7"/>
  <c r="C500" i="7" s="1"/>
  <c r="B499" i="7"/>
  <c r="C499" i="7" s="1"/>
  <c r="B498" i="7"/>
  <c r="C498" i="7" s="1"/>
  <c r="B497" i="7"/>
  <c r="C497" i="7" s="1"/>
  <c r="B496" i="7"/>
  <c r="C496" i="7" s="1"/>
  <c r="B495" i="7"/>
  <c r="C495" i="7" s="1"/>
  <c r="B494" i="7"/>
  <c r="C494" i="7" s="1"/>
  <c r="B493" i="7"/>
  <c r="C493" i="7" s="1"/>
  <c r="B492" i="7"/>
  <c r="C492" i="7" s="1"/>
  <c r="B491" i="7"/>
  <c r="C491" i="7" s="1"/>
  <c r="B490" i="7"/>
  <c r="C490" i="7" s="1"/>
  <c r="B489" i="7"/>
  <c r="C489" i="7" s="1"/>
  <c r="B488" i="7"/>
  <c r="C488" i="7" s="1"/>
  <c r="B487" i="7"/>
  <c r="C487" i="7" s="1"/>
  <c r="B486" i="7"/>
  <c r="C486" i="7" s="1"/>
  <c r="B485" i="7"/>
  <c r="C485" i="7" s="1"/>
  <c r="B484" i="7"/>
  <c r="C484" i="7" s="1"/>
  <c r="B483" i="7"/>
  <c r="C483" i="7" s="1"/>
  <c r="B482" i="7"/>
  <c r="C482" i="7" s="1"/>
  <c r="B481" i="7"/>
  <c r="C481" i="7" s="1"/>
  <c r="B480" i="7"/>
  <c r="C480" i="7" s="1"/>
  <c r="B479" i="7"/>
  <c r="C479" i="7" s="1"/>
  <c r="B478" i="7"/>
  <c r="C478" i="7" s="1"/>
  <c r="B477" i="7"/>
  <c r="C477" i="7" s="1"/>
  <c r="B476" i="7"/>
  <c r="C476" i="7" s="1"/>
  <c r="B475" i="7"/>
  <c r="C475" i="7" s="1"/>
  <c r="B474" i="7"/>
  <c r="C474" i="7" s="1"/>
  <c r="B473" i="7"/>
  <c r="C473" i="7" s="1"/>
  <c r="B472" i="7"/>
  <c r="C472" i="7" s="1"/>
  <c r="B471" i="7"/>
  <c r="C471" i="7" s="1"/>
  <c r="B470" i="7"/>
  <c r="C470" i="7" s="1"/>
  <c r="B469" i="7"/>
  <c r="C469" i="7" s="1"/>
  <c r="B468" i="7"/>
  <c r="C468" i="7" s="1"/>
  <c r="B467" i="7"/>
  <c r="C467" i="7" s="1"/>
  <c r="B466" i="7"/>
  <c r="C466" i="7" s="1"/>
  <c r="B465" i="7"/>
  <c r="C465" i="7" s="1"/>
  <c r="B464" i="7"/>
  <c r="C464" i="7" s="1"/>
  <c r="B463" i="7"/>
  <c r="C463" i="7" s="1"/>
  <c r="B462" i="7"/>
  <c r="C462" i="7" s="1"/>
  <c r="B461" i="7"/>
  <c r="C461" i="7" s="1"/>
  <c r="B460" i="7"/>
  <c r="C460" i="7" s="1"/>
  <c r="B459" i="7"/>
  <c r="C459" i="7" s="1"/>
  <c r="B458" i="7"/>
  <c r="C458" i="7" s="1"/>
  <c r="B457" i="7"/>
  <c r="C457" i="7" s="1"/>
  <c r="B456" i="7"/>
  <c r="C456" i="7" s="1"/>
  <c r="B455" i="7"/>
  <c r="C455" i="7" s="1"/>
  <c r="B454" i="7"/>
  <c r="C454" i="7" s="1"/>
  <c r="B453" i="7"/>
  <c r="C453" i="7" s="1"/>
  <c r="B452" i="7"/>
  <c r="C452" i="7" s="1"/>
  <c r="B451" i="7"/>
  <c r="C451" i="7" s="1"/>
  <c r="B450" i="7"/>
  <c r="C450" i="7" s="1"/>
  <c r="B449" i="7"/>
  <c r="C449" i="7" s="1"/>
  <c r="B448" i="7"/>
  <c r="C448" i="7" s="1"/>
  <c r="B447" i="7"/>
  <c r="C447" i="7" s="1"/>
  <c r="B446" i="7"/>
  <c r="C446" i="7" s="1"/>
  <c r="B445" i="7"/>
  <c r="C445" i="7" s="1"/>
  <c r="B444" i="7"/>
  <c r="C444" i="7" s="1"/>
  <c r="B443" i="7"/>
  <c r="C443" i="7" s="1"/>
  <c r="B442" i="7"/>
  <c r="C442" i="7" s="1"/>
  <c r="B441" i="7"/>
  <c r="C441" i="7" s="1"/>
  <c r="B440" i="7"/>
  <c r="C440" i="7" s="1"/>
  <c r="B439" i="7"/>
  <c r="C439" i="7" s="1"/>
  <c r="B438" i="7"/>
  <c r="C438" i="7" s="1"/>
  <c r="B437" i="7"/>
  <c r="C437" i="7" s="1"/>
  <c r="B436" i="7"/>
  <c r="C436" i="7" s="1"/>
  <c r="B435" i="7"/>
  <c r="C435" i="7" s="1"/>
  <c r="B434" i="7"/>
  <c r="C434" i="7" s="1"/>
  <c r="B433" i="7"/>
  <c r="C433" i="7" s="1"/>
  <c r="B432" i="7"/>
  <c r="C432" i="7" s="1"/>
  <c r="B431" i="7"/>
  <c r="C431" i="7" s="1"/>
  <c r="B430" i="7"/>
  <c r="C430" i="7" s="1"/>
  <c r="B429" i="7"/>
  <c r="C429" i="7" s="1"/>
  <c r="B428" i="7"/>
  <c r="C428" i="7" s="1"/>
  <c r="B427" i="7"/>
  <c r="C427" i="7" s="1"/>
  <c r="B426" i="7"/>
  <c r="C426" i="7" s="1"/>
  <c r="B425" i="7"/>
  <c r="C425" i="7" s="1"/>
  <c r="B424" i="7"/>
  <c r="C424" i="7" s="1"/>
  <c r="B423" i="7"/>
  <c r="C423" i="7" s="1"/>
  <c r="B422" i="7"/>
  <c r="C422" i="7" s="1"/>
  <c r="B421" i="7"/>
  <c r="C421" i="7" s="1"/>
  <c r="B420" i="7"/>
  <c r="C420" i="7" s="1"/>
  <c r="B419" i="7"/>
  <c r="C419" i="7" s="1"/>
  <c r="B418" i="7"/>
  <c r="C418" i="7" s="1"/>
  <c r="B417" i="7"/>
  <c r="C417" i="7" s="1"/>
  <c r="B416" i="7"/>
  <c r="C416" i="7" s="1"/>
  <c r="B415" i="7"/>
  <c r="C415" i="7" s="1"/>
  <c r="B414" i="7"/>
  <c r="C414" i="7" s="1"/>
  <c r="B413" i="7"/>
  <c r="C413" i="7" s="1"/>
  <c r="B412" i="7"/>
  <c r="C412" i="7" s="1"/>
  <c r="B411" i="7"/>
  <c r="C411" i="7" s="1"/>
  <c r="B410" i="7"/>
  <c r="C410" i="7" s="1"/>
  <c r="B409" i="7"/>
  <c r="C409" i="7" s="1"/>
  <c r="B408" i="7"/>
  <c r="C408" i="7" s="1"/>
  <c r="B407" i="7"/>
  <c r="C407" i="7" s="1"/>
  <c r="B406" i="7"/>
  <c r="C406" i="7" s="1"/>
  <c r="B405" i="7"/>
  <c r="C405" i="7" s="1"/>
  <c r="B404" i="7"/>
  <c r="C404" i="7" s="1"/>
  <c r="B403" i="7"/>
  <c r="C403" i="7" s="1"/>
  <c r="B402" i="7"/>
  <c r="C402" i="7" s="1"/>
  <c r="B401" i="7"/>
  <c r="C401" i="7" s="1"/>
  <c r="B400" i="7"/>
  <c r="C400" i="7" s="1"/>
  <c r="B399" i="7"/>
  <c r="C399" i="7" s="1"/>
  <c r="B398" i="7"/>
  <c r="C398" i="7" s="1"/>
  <c r="B397" i="7"/>
  <c r="C397" i="7" s="1"/>
  <c r="B396" i="7"/>
  <c r="C396" i="7" s="1"/>
  <c r="B395" i="7"/>
  <c r="C395" i="7" s="1"/>
  <c r="B394" i="7"/>
  <c r="C394" i="7" s="1"/>
  <c r="B393" i="7"/>
  <c r="C393" i="7" s="1"/>
  <c r="B392" i="7"/>
  <c r="C392" i="7" s="1"/>
  <c r="B391" i="7"/>
  <c r="C391" i="7" s="1"/>
  <c r="B390" i="7"/>
  <c r="C390" i="7" s="1"/>
  <c r="B389" i="7"/>
  <c r="C389" i="7" s="1"/>
  <c r="B388" i="7"/>
  <c r="C388" i="7" s="1"/>
  <c r="B387" i="7"/>
  <c r="C387" i="7" s="1"/>
  <c r="B386" i="7"/>
  <c r="C386" i="7" s="1"/>
  <c r="B385" i="7"/>
  <c r="C385" i="7" s="1"/>
  <c r="B384" i="7"/>
  <c r="C384" i="7" s="1"/>
  <c r="B383" i="7"/>
  <c r="C383" i="7" s="1"/>
  <c r="B382" i="7"/>
  <c r="C382" i="7" s="1"/>
  <c r="B381" i="7"/>
  <c r="C381" i="7" s="1"/>
  <c r="B380" i="7"/>
  <c r="C380" i="7" s="1"/>
  <c r="B379" i="7"/>
  <c r="C379" i="7" s="1"/>
  <c r="B378" i="7"/>
  <c r="C378" i="7" s="1"/>
  <c r="B377" i="7"/>
  <c r="C377" i="7" s="1"/>
  <c r="B376" i="7"/>
  <c r="C376" i="7" s="1"/>
  <c r="B375" i="7"/>
  <c r="C375" i="7" s="1"/>
  <c r="B374" i="7"/>
  <c r="C374" i="7" s="1"/>
  <c r="B373" i="7"/>
  <c r="C373" i="7" s="1"/>
  <c r="B372" i="7"/>
  <c r="C372" i="7" s="1"/>
  <c r="B371" i="7"/>
  <c r="C371" i="7" s="1"/>
  <c r="B370" i="7"/>
  <c r="C370" i="7" s="1"/>
  <c r="B369" i="7"/>
  <c r="C369" i="7" s="1"/>
  <c r="B368" i="7"/>
  <c r="C368" i="7" s="1"/>
  <c r="B367" i="7"/>
  <c r="C367" i="7" s="1"/>
  <c r="B366" i="7"/>
  <c r="C366" i="7" s="1"/>
  <c r="B365" i="7"/>
  <c r="C365" i="7" s="1"/>
  <c r="B364" i="7"/>
  <c r="C364" i="7" s="1"/>
  <c r="B363" i="7"/>
  <c r="C363" i="7" s="1"/>
  <c r="B362" i="7"/>
  <c r="C362" i="7" s="1"/>
  <c r="B361" i="7"/>
  <c r="C361" i="7" s="1"/>
  <c r="B360" i="7"/>
  <c r="C360" i="7" s="1"/>
  <c r="B359" i="7"/>
  <c r="C359" i="7" s="1"/>
  <c r="B358" i="7"/>
  <c r="C358" i="7" s="1"/>
  <c r="B357" i="7"/>
  <c r="C357" i="7" s="1"/>
  <c r="B356" i="7"/>
  <c r="C356" i="7" s="1"/>
  <c r="B355" i="7"/>
  <c r="C355" i="7" s="1"/>
  <c r="B354" i="7"/>
  <c r="C354" i="7" s="1"/>
  <c r="B353" i="7"/>
  <c r="C353" i="7" s="1"/>
  <c r="B352" i="7"/>
  <c r="C352" i="7" s="1"/>
  <c r="B351" i="7"/>
  <c r="C351" i="7" s="1"/>
  <c r="B350" i="7"/>
  <c r="C350" i="7" s="1"/>
  <c r="B349" i="7"/>
  <c r="C349" i="7" s="1"/>
  <c r="B348" i="7"/>
  <c r="C348" i="7" s="1"/>
  <c r="B347" i="7"/>
  <c r="C347" i="7" s="1"/>
  <c r="B346" i="7"/>
  <c r="C346" i="7" s="1"/>
  <c r="B345" i="7"/>
  <c r="C345" i="7" s="1"/>
  <c r="B344" i="7"/>
  <c r="C344" i="7" s="1"/>
  <c r="B343" i="7"/>
  <c r="C343" i="7" s="1"/>
  <c r="B342" i="7"/>
  <c r="C342" i="7" s="1"/>
  <c r="B341" i="7"/>
  <c r="C341" i="7" s="1"/>
  <c r="B340" i="7"/>
  <c r="C340" i="7" s="1"/>
  <c r="B339" i="7"/>
  <c r="C339" i="7" s="1"/>
  <c r="B338" i="7"/>
  <c r="C338" i="7" s="1"/>
  <c r="B337" i="7"/>
  <c r="C337" i="7" s="1"/>
  <c r="B336" i="7"/>
  <c r="C336" i="7" s="1"/>
  <c r="B335" i="7"/>
  <c r="C335" i="7" s="1"/>
  <c r="B334" i="7"/>
  <c r="C334" i="7" s="1"/>
  <c r="B333" i="7"/>
  <c r="C333" i="7" s="1"/>
  <c r="B332" i="7"/>
  <c r="C332" i="7" s="1"/>
  <c r="B331" i="7"/>
  <c r="C331" i="7" s="1"/>
  <c r="B330" i="7"/>
  <c r="C330" i="7" s="1"/>
  <c r="B329" i="7"/>
  <c r="C329" i="7" s="1"/>
  <c r="B328" i="7"/>
  <c r="C328" i="7" s="1"/>
  <c r="B327" i="7"/>
  <c r="C327" i="7" s="1"/>
  <c r="B326" i="7"/>
  <c r="C326" i="7" s="1"/>
  <c r="B325" i="7"/>
  <c r="C325" i="7" s="1"/>
  <c r="B324" i="7"/>
  <c r="C324" i="7" s="1"/>
  <c r="B323" i="7"/>
  <c r="C323" i="7" s="1"/>
  <c r="B322" i="7"/>
  <c r="C322" i="7" s="1"/>
  <c r="B321" i="7"/>
  <c r="C321" i="7" s="1"/>
  <c r="B320" i="7"/>
  <c r="C320" i="7" s="1"/>
  <c r="B319" i="7"/>
  <c r="C319" i="7" s="1"/>
  <c r="B318" i="7"/>
  <c r="C318" i="7" s="1"/>
  <c r="B317" i="7"/>
  <c r="C317" i="7" s="1"/>
  <c r="B316" i="7"/>
  <c r="C316" i="7" s="1"/>
  <c r="B315" i="7"/>
  <c r="C315" i="7" s="1"/>
  <c r="B314" i="7"/>
  <c r="C314" i="7" s="1"/>
  <c r="B313" i="7"/>
  <c r="C313" i="7" s="1"/>
  <c r="B312" i="7"/>
  <c r="C312" i="7" s="1"/>
  <c r="B311" i="7"/>
  <c r="C311" i="7" s="1"/>
  <c r="B310" i="7"/>
  <c r="C310" i="7" s="1"/>
  <c r="B309" i="7"/>
  <c r="C309" i="7" s="1"/>
  <c r="B308" i="7"/>
  <c r="C308" i="7" s="1"/>
  <c r="B307" i="7"/>
  <c r="C307" i="7" s="1"/>
  <c r="B306" i="7"/>
  <c r="C306" i="7" s="1"/>
  <c r="B305" i="7"/>
  <c r="C305" i="7" s="1"/>
  <c r="B304" i="7"/>
  <c r="C304" i="7" s="1"/>
  <c r="B303" i="7"/>
  <c r="C303" i="7" s="1"/>
  <c r="B302" i="7"/>
  <c r="C302" i="7" s="1"/>
  <c r="B301" i="7"/>
  <c r="C301" i="7" s="1"/>
  <c r="B300" i="7"/>
  <c r="C300" i="7" s="1"/>
  <c r="B299" i="7"/>
  <c r="C299" i="7" s="1"/>
  <c r="B298" i="7"/>
  <c r="C298" i="7" s="1"/>
  <c r="B297" i="7"/>
  <c r="C297" i="7" s="1"/>
  <c r="B296" i="7"/>
  <c r="C296" i="7" s="1"/>
  <c r="B295" i="7"/>
  <c r="C295" i="7" s="1"/>
  <c r="B294" i="7"/>
  <c r="C294" i="7" s="1"/>
  <c r="B293" i="7"/>
  <c r="C293" i="7" s="1"/>
  <c r="B292" i="7"/>
  <c r="C292" i="7" s="1"/>
  <c r="B291" i="7"/>
  <c r="C291" i="7" s="1"/>
  <c r="B290" i="7"/>
  <c r="C290" i="7" s="1"/>
  <c r="B289" i="7"/>
  <c r="C289" i="7" s="1"/>
  <c r="B288" i="7"/>
  <c r="C288" i="7" s="1"/>
  <c r="B287" i="7"/>
  <c r="C287" i="7" s="1"/>
  <c r="B286" i="7"/>
  <c r="C286" i="7" s="1"/>
  <c r="B285" i="7"/>
  <c r="C285" i="7" s="1"/>
  <c r="B284" i="7"/>
  <c r="C284" i="7" s="1"/>
  <c r="B283" i="7"/>
  <c r="C283" i="7" s="1"/>
  <c r="B282" i="7"/>
  <c r="C282" i="7" s="1"/>
  <c r="B281" i="7"/>
  <c r="C281" i="7" s="1"/>
  <c r="B280" i="7"/>
  <c r="C280" i="7" s="1"/>
  <c r="B279" i="7"/>
  <c r="C279" i="7" s="1"/>
  <c r="B278" i="7"/>
  <c r="C278" i="7" s="1"/>
  <c r="B277" i="7"/>
  <c r="C277" i="7" s="1"/>
  <c r="B276" i="7"/>
  <c r="C276" i="7" s="1"/>
  <c r="B275" i="7"/>
  <c r="C275" i="7" s="1"/>
  <c r="B274" i="7"/>
  <c r="C274" i="7" s="1"/>
  <c r="B273" i="7"/>
  <c r="C273" i="7" s="1"/>
  <c r="B272" i="7"/>
  <c r="C272" i="7" s="1"/>
  <c r="B271" i="7"/>
  <c r="C271" i="7" s="1"/>
  <c r="B270" i="7"/>
  <c r="C270" i="7" s="1"/>
  <c r="B269" i="7"/>
  <c r="C269" i="7" s="1"/>
  <c r="B268" i="7"/>
  <c r="C268" i="7" s="1"/>
  <c r="B267" i="7"/>
  <c r="C267" i="7" s="1"/>
  <c r="B266" i="7"/>
  <c r="C266" i="7" s="1"/>
  <c r="B265" i="7"/>
  <c r="C265" i="7" s="1"/>
  <c r="B264" i="7"/>
  <c r="C264" i="7" s="1"/>
  <c r="B263" i="7"/>
  <c r="C263" i="7" s="1"/>
  <c r="B262" i="7"/>
  <c r="C262" i="7" s="1"/>
  <c r="B261" i="7"/>
  <c r="C261" i="7" s="1"/>
  <c r="B260" i="7"/>
  <c r="C260" i="7" s="1"/>
  <c r="B259" i="7"/>
  <c r="C259" i="7" s="1"/>
  <c r="B258" i="7"/>
  <c r="C258" i="7" s="1"/>
  <c r="B257" i="7"/>
  <c r="C257" i="7" s="1"/>
  <c r="B256" i="7"/>
  <c r="C256" i="7" s="1"/>
  <c r="B255" i="7"/>
  <c r="C255" i="7" s="1"/>
  <c r="B254" i="7"/>
  <c r="C254" i="7" s="1"/>
  <c r="B253" i="7"/>
  <c r="C253" i="7" s="1"/>
  <c r="B252" i="7"/>
  <c r="C252" i="7" s="1"/>
  <c r="B251" i="7"/>
  <c r="C251" i="7" s="1"/>
  <c r="B250" i="7"/>
  <c r="C250" i="7" s="1"/>
  <c r="B249" i="7"/>
  <c r="C249" i="7" s="1"/>
  <c r="B248" i="7"/>
  <c r="C248" i="7" s="1"/>
  <c r="B247" i="7"/>
  <c r="C247" i="7" s="1"/>
  <c r="B246" i="7"/>
  <c r="C246" i="7" s="1"/>
  <c r="B245" i="7"/>
  <c r="C245" i="7" s="1"/>
  <c r="B244" i="7"/>
  <c r="C244" i="7" s="1"/>
  <c r="B243" i="7"/>
  <c r="C243" i="7" s="1"/>
  <c r="B242" i="7"/>
  <c r="C242" i="7" s="1"/>
  <c r="B241" i="7"/>
  <c r="C241" i="7" s="1"/>
  <c r="B240" i="7"/>
  <c r="C240" i="7" s="1"/>
  <c r="B239" i="7"/>
  <c r="C239" i="7" s="1"/>
  <c r="B238" i="7"/>
  <c r="C238" i="7" s="1"/>
  <c r="B237" i="7"/>
  <c r="C237" i="7" s="1"/>
  <c r="B236" i="7"/>
  <c r="C236" i="7" s="1"/>
  <c r="B235" i="7"/>
  <c r="C235" i="7" s="1"/>
  <c r="B234" i="7"/>
  <c r="C234" i="7" s="1"/>
  <c r="B233" i="7"/>
  <c r="C233" i="7" s="1"/>
  <c r="B232" i="7"/>
  <c r="C232" i="7" s="1"/>
  <c r="B231" i="7"/>
  <c r="C231" i="7" s="1"/>
  <c r="B230" i="7"/>
  <c r="C230" i="7" s="1"/>
  <c r="B229" i="7"/>
  <c r="C229" i="7" s="1"/>
  <c r="B228" i="7"/>
  <c r="C228" i="7" s="1"/>
  <c r="B227" i="7"/>
  <c r="C227" i="7" s="1"/>
  <c r="B226" i="7"/>
  <c r="C226" i="7" s="1"/>
  <c r="B225" i="7"/>
  <c r="C225" i="7" s="1"/>
  <c r="B224" i="7"/>
  <c r="C224" i="7" s="1"/>
  <c r="B223" i="7"/>
  <c r="C223" i="7" s="1"/>
  <c r="B222" i="7"/>
  <c r="C222" i="7" s="1"/>
  <c r="B221" i="7"/>
  <c r="C221" i="7" s="1"/>
  <c r="B220" i="7"/>
  <c r="C220" i="7" s="1"/>
  <c r="B219" i="7"/>
  <c r="C219" i="7" s="1"/>
  <c r="B218" i="7"/>
  <c r="C218" i="7" s="1"/>
  <c r="B217" i="7"/>
  <c r="C217" i="7" s="1"/>
  <c r="B216" i="7"/>
  <c r="C216" i="7" s="1"/>
  <c r="B215" i="7"/>
  <c r="C215" i="7" s="1"/>
  <c r="B214" i="7"/>
  <c r="C214" i="7" s="1"/>
  <c r="B213" i="7"/>
  <c r="C213" i="7" s="1"/>
  <c r="B212" i="7"/>
  <c r="C212" i="7" s="1"/>
  <c r="B211" i="7"/>
  <c r="C211" i="7" s="1"/>
  <c r="B210" i="7"/>
  <c r="C210" i="7" s="1"/>
  <c r="B209" i="7"/>
  <c r="C209" i="7" s="1"/>
  <c r="B208" i="7"/>
  <c r="C208" i="7" s="1"/>
  <c r="B207" i="7"/>
  <c r="C207" i="7" s="1"/>
  <c r="B206" i="7"/>
  <c r="C206" i="7" s="1"/>
  <c r="B205" i="7"/>
  <c r="C205" i="7" s="1"/>
  <c r="B204" i="7"/>
  <c r="C204" i="7" s="1"/>
  <c r="B203" i="7"/>
  <c r="C203" i="7" s="1"/>
  <c r="B202" i="7"/>
  <c r="C202" i="7" s="1"/>
  <c r="B201" i="7"/>
  <c r="C201" i="7" s="1"/>
  <c r="B200" i="7"/>
  <c r="C200" i="7" s="1"/>
  <c r="B199" i="7"/>
  <c r="C199" i="7" s="1"/>
  <c r="B198" i="7"/>
  <c r="C198" i="7" s="1"/>
  <c r="B197" i="7"/>
  <c r="C197" i="7" s="1"/>
  <c r="B196" i="7"/>
  <c r="C196" i="7" s="1"/>
  <c r="B195" i="7"/>
  <c r="C195" i="7" s="1"/>
  <c r="B194" i="7"/>
  <c r="C194" i="7" s="1"/>
  <c r="B193" i="7"/>
  <c r="C193" i="7" s="1"/>
  <c r="B192" i="7"/>
  <c r="C192" i="7" s="1"/>
  <c r="B191" i="7"/>
  <c r="C191" i="7" s="1"/>
  <c r="B190" i="7"/>
  <c r="C190" i="7" s="1"/>
  <c r="B189" i="7"/>
  <c r="C189" i="7" s="1"/>
  <c r="B188" i="7"/>
  <c r="C188" i="7" s="1"/>
  <c r="B187" i="7"/>
  <c r="C187" i="7" s="1"/>
  <c r="B186" i="7"/>
  <c r="C186" i="7" s="1"/>
  <c r="B185" i="7"/>
  <c r="C185" i="7" s="1"/>
  <c r="B184" i="7"/>
  <c r="C184" i="7" s="1"/>
  <c r="B183" i="7"/>
  <c r="C183" i="7" s="1"/>
  <c r="B182" i="7"/>
  <c r="C182" i="7" s="1"/>
  <c r="B181" i="7"/>
  <c r="C181" i="7" s="1"/>
  <c r="B180" i="7"/>
  <c r="C180" i="7" s="1"/>
  <c r="B179" i="7"/>
  <c r="C179" i="7" s="1"/>
  <c r="B178" i="7"/>
  <c r="C178" i="7" s="1"/>
  <c r="B177" i="7"/>
  <c r="C177" i="7" s="1"/>
  <c r="B176" i="7"/>
  <c r="C176" i="7" s="1"/>
  <c r="B175" i="7"/>
  <c r="C175" i="7" s="1"/>
  <c r="B174" i="7"/>
  <c r="C174" i="7" s="1"/>
  <c r="B173" i="7"/>
  <c r="C173" i="7" s="1"/>
  <c r="B172" i="7"/>
  <c r="C172" i="7" s="1"/>
  <c r="B171" i="7"/>
  <c r="C171" i="7" s="1"/>
  <c r="B170" i="7"/>
  <c r="C170" i="7" s="1"/>
  <c r="B169" i="7"/>
  <c r="C169" i="7" s="1"/>
  <c r="B168" i="7"/>
  <c r="C168" i="7" s="1"/>
  <c r="B167" i="7"/>
  <c r="C167" i="7" s="1"/>
  <c r="B166" i="7"/>
  <c r="C166" i="7" s="1"/>
  <c r="B165" i="7"/>
  <c r="C165" i="7" s="1"/>
  <c r="B164" i="7"/>
  <c r="C164" i="7" s="1"/>
  <c r="B163" i="7"/>
  <c r="C163" i="7" s="1"/>
  <c r="B162" i="7"/>
  <c r="C162" i="7" s="1"/>
  <c r="B161" i="7"/>
  <c r="C161" i="7" s="1"/>
  <c r="B160" i="7"/>
  <c r="C160" i="7" s="1"/>
  <c r="B159" i="7"/>
  <c r="C159" i="7" s="1"/>
  <c r="B158" i="7"/>
  <c r="C158" i="7" s="1"/>
  <c r="B157" i="7"/>
  <c r="C157" i="7" s="1"/>
  <c r="B156" i="7"/>
  <c r="C156" i="7" s="1"/>
  <c r="B155" i="7"/>
  <c r="C155" i="7" s="1"/>
  <c r="B154" i="7"/>
  <c r="C154" i="7" s="1"/>
  <c r="B153" i="7"/>
  <c r="C153" i="7" s="1"/>
  <c r="B152" i="7"/>
  <c r="C152" i="7" s="1"/>
  <c r="B151" i="7"/>
  <c r="C151" i="7" s="1"/>
  <c r="B150" i="7"/>
  <c r="C150" i="7" s="1"/>
  <c r="B149" i="7"/>
  <c r="C149" i="7" s="1"/>
  <c r="B148" i="7"/>
  <c r="C148" i="7" s="1"/>
  <c r="B147" i="7"/>
  <c r="C147" i="7" s="1"/>
  <c r="B146" i="7"/>
  <c r="C146" i="7" s="1"/>
  <c r="B145" i="7"/>
  <c r="C145" i="7" s="1"/>
  <c r="B144" i="7"/>
  <c r="C144" i="7" s="1"/>
  <c r="B143" i="7"/>
  <c r="C143" i="7" s="1"/>
  <c r="B142" i="7"/>
  <c r="C142" i="7" s="1"/>
  <c r="B141" i="7"/>
  <c r="C141" i="7" s="1"/>
  <c r="B140" i="7"/>
  <c r="C140" i="7" s="1"/>
  <c r="B139" i="7"/>
  <c r="C139" i="7" s="1"/>
  <c r="B138" i="7"/>
  <c r="C138" i="7" s="1"/>
  <c r="B137" i="7"/>
  <c r="C137" i="7" s="1"/>
  <c r="B136" i="7"/>
  <c r="C136" i="7" s="1"/>
  <c r="B135" i="7"/>
  <c r="C135" i="7" s="1"/>
  <c r="B134" i="7"/>
  <c r="C134" i="7" s="1"/>
  <c r="B133" i="7"/>
  <c r="C133" i="7" s="1"/>
  <c r="B132" i="7"/>
  <c r="C132" i="7" s="1"/>
  <c r="B131" i="7"/>
  <c r="C131" i="7" s="1"/>
  <c r="B130" i="7"/>
  <c r="C130" i="7" s="1"/>
  <c r="B129" i="7"/>
  <c r="C129" i="7" s="1"/>
  <c r="B128" i="7"/>
  <c r="C128" i="7" s="1"/>
  <c r="B127" i="7"/>
  <c r="C127" i="7" s="1"/>
  <c r="B126" i="7"/>
  <c r="C126" i="7" s="1"/>
  <c r="B125" i="7"/>
  <c r="C125" i="7" s="1"/>
  <c r="B124" i="7"/>
  <c r="C124" i="7" s="1"/>
  <c r="B123" i="7"/>
  <c r="C123" i="7" s="1"/>
  <c r="B122" i="7"/>
  <c r="C122" i="7" s="1"/>
  <c r="B121" i="7"/>
  <c r="C121" i="7" s="1"/>
  <c r="B120" i="7"/>
  <c r="C120" i="7" s="1"/>
  <c r="B119" i="7"/>
  <c r="C119" i="7" s="1"/>
  <c r="B118" i="7"/>
  <c r="C118" i="7" s="1"/>
  <c r="B117" i="7"/>
  <c r="C117" i="7" s="1"/>
  <c r="B116" i="7"/>
  <c r="C116" i="7" s="1"/>
  <c r="B115" i="7"/>
  <c r="C115" i="7" s="1"/>
  <c r="B114" i="7"/>
  <c r="C114" i="7" s="1"/>
  <c r="B113" i="7"/>
  <c r="C113" i="7" s="1"/>
  <c r="B112" i="7"/>
  <c r="C112" i="7" s="1"/>
  <c r="B111" i="7"/>
  <c r="C111" i="7" s="1"/>
  <c r="B110" i="7"/>
  <c r="C110" i="7" s="1"/>
  <c r="B109" i="7"/>
  <c r="C109" i="7" s="1"/>
  <c r="B108" i="7"/>
  <c r="C108" i="7" s="1"/>
  <c r="B107" i="7"/>
  <c r="C107" i="7" s="1"/>
  <c r="B106" i="7"/>
  <c r="C106" i="7" s="1"/>
  <c r="B105" i="7"/>
  <c r="C105" i="7" s="1"/>
  <c r="B104" i="7"/>
  <c r="C104" i="7" s="1"/>
  <c r="B103" i="7"/>
  <c r="C103" i="7" s="1"/>
  <c r="B102" i="7"/>
  <c r="C102" i="7" s="1"/>
  <c r="B101" i="7"/>
  <c r="C101" i="7" s="1"/>
  <c r="B100" i="7"/>
  <c r="C100" i="7" s="1"/>
  <c r="B99" i="7"/>
  <c r="C99" i="7" s="1"/>
  <c r="B98" i="7"/>
  <c r="C98" i="7" s="1"/>
  <c r="B97" i="7"/>
  <c r="C97" i="7" s="1"/>
  <c r="B96" i="7"/>
  <c r="C96" i="7" s="1"/>
  <c r="B95" i="7"/>
  <c r="C95" i="7" s="1"/>
  <c r="B94" i="7"/>
  <c r="C94" i="7" s="1"/>
  <c r="B93" i="7"/>
  <c r="C93" i="7" s="1"/>
  <c r="B92" i="7"/>
  <c r="C92" i="7" s="1"/>
  <c r="B91" i="7"/>
  <c r="C91" i="7" s="1"/>
  <c r="B90" i="7"/>
  <c r="C90" i="7" s="1"/>
  <c r="B89" i="7"/>
  <c r="C89" i="7" s="1"/>
  <c r="B88" i="7"/>
  <c r="C88" i="7" s="1"/>
  <c r="B87" i="7"/>
  <c r="C87" i="7" s="1"/>
  <c r="B86" i="7"/>
  <c r="C86" i="7" s="1"/>
  <c r="B85" i="7"/>
  <c r="C85" i="7" s="1"/>
  <c r="B84" i="7"/>
  <c r="C84" i="7" s="1"/>
  <c r="B83" i="7"/>
  <c r="C83" i="7" s="1"/>
  <c r="B82" i="7"/>
  <c r="C82" i="7" s="1"/>
  <c r="B81" i="7"/>
  <c r="C81" i="7" s="1"/>
  <c r="B80" i="7"/>
  <c r="C80" i="7" s="1"/>
  <c r="B79" i="7"/>
  <c r="C79" i="7" s="1"/>
  <c r="B78" i="7"/>
  <c r="C78" i="7" s="1"/>
  <c r="B77" i="7"/>
  <c r="C77" i="7" s="1"/>
  <c r="B76" i="7"/>
  <c r="C76" i="7" s="1"/>
  <c r="B75" i="7"/>
  <c r="C75" i="7" s="1"/>
  <c r="B74" i="7"/>
  <c r="C74" i="7" s="1"/>
  <c r="B73" i="7"/>
  <c r="C73" i="7" s="1"/>
  <c r="B72" i="7"/>
  <c r="C72" i="7" s="1"/>
  <c r="B71" i="7"/>
  <c r="C71" i="7" s="1"/>
  <c r="B70" i="7"/>
  <c r="C70" i="7" s="1"/>
  <c r="B69" i="7"/>
  <c r="C69" i="7" s="1"/>
  <c r="B68" i="7"/>
  <c r="C68" i="7" s="1"/>
  <c r="B67" i="7"/>
  <c r="C67" i="7" s="1"/>
  <c r="B66" i="7"/>
  <c r="C66" i="7" s="1"/>
  <c r="B65" i="7"/>
  <c r="C65" i="7" s="1"/>
  <c r="B64" i="7"/>
  <c r="C64" i="7" s="1"/>
  <c r="B63" i="7"/>
  <c r="C63" i="7" s="1"/>
  <c r="B62" i="7"/>
  <c r="C62" i="7" s="1"/>
  <c r="B61" i="7"/>
  <c r="C61" i="7" s="1"/>
  <c r="B60" i="7"/>
  <c r="C60" i="7" s="1"/>
  <c r="B59" i="7"/>
  <c r="C59" i="7" s="1"/>
  <c r="B58" i="7"/>
  <c r="C58" i="7" s="1"/>
  <c r="B57" i="7"/>
  <c r="C57" i="7" s="1"/>
  <c r="B56" i="7"/>
  <c r="C56" i="7" s="1"/>
  <c r="B55" i="7"/>
  <c r="C55" i="7" s="1"/>
  <c r="B54" i="7"/>
  <c r="C54" i="7" s="1"/>
  <c r="B53" i="7"/>
  <c r="C53" i="7" s="1"/>
  <c r="B52" i="7"/>
  <c r="C52" i="7" s="1"/>
  <c r="B51" i="7"/>
  <c r="C51" i="7" s="1"/>
  <c r="B50" i="7"/>
  <c r="C50" i="7" s="1"/>
  <c r="B49" i="7"/>
  <c r="C49" i="7" s="1"/>
  <c r="B48" i="7"/>
  <c r="C48" i="7" s="1"/>
  <c r="B47" i="7"/>
  <c r="C47" i="7" s="1"/>
  <c r="B46" i="7"/>
  <c r="C46" i="7" s="1"/>
  <c r="B45" i="7"/>
  <c r="C45" i="7" s="1"/>
  <c r="B44" i="7"/>
  <c r="C44" i="7" s="1"/>
  <c r="B43" i="7"/>
  <c r="C43" i="7" s="1"/>
  <c r="B42" i="7"/>
  <c r="C42" i="7" s="1"/>
  <c r="B41" i="7"/>
  <c r="C41" i="7" s="1"/>
  <c r="B40" i="7"/>
  <c r="C40" i="7" s="1"/>
  <c r="B39" i="7"/>
  <c r="C39" i="7" s="1"/>
  <c r="B38" i="7"/>
  <c r="C38" i="7" s="1"/>
  <c r="B37" i="7"/>
  <c r="C37" i="7" s="1"/>
  <c r="B36" i="7"/>
  <c r="C36" i="7" s="1"/>
  <c r="B35" i="7"/>
  <c r="C35" i="7" s="1"/>
  <c r="B34" i="7"/>
  <c r="C34" i="7" s="1"/>
  <c r="B33" i="7"/>
  <c r="C33" i="7" s="1"/>
  <c r="B32" i="7"/>
  <c r="C32" i="7" s="1"/>
  <c r="B31" i="7"/>
  <c r="C31" i="7" s="1"/>
  <c r="B30" i="7"/>
  <c r="C30" i="7" s="1"/>
  <c r="B29" i="7"/>
  <c r="C29" i="7" s="1"/>
  <c r="B28" i="7"/>
  <c r="C28" i="7" s="1"/>
  <c r="B27" i="7"/>
  <c r="C27" i="7" s="1"/>
  <c r="B26" i="7"/>
  <c r="C26" i="7" s="1"/>
  <c r="B25" i="7"/>
  <c r="C25" i="7" s="1"/>
  <c r="B24" i="7"/>
  <c r="C24" i="7" s="1"/>
  <c r="B23" i="7"/>
  <c r="C23" i="7" s="1"/>
  <c r="B22" i="7"/>
  <c r="C22" i="7" s="1"/>
  <c r="B21" i="7"/>
  <c r="C21" i="7" s="1"/>
  <c r="B20" i="7"/>
  <c r="C20" i="7" s="1"/>
  <c r="B19" i="7"/>
  <c r="C19" i="7" s="1"/>
  <c r="B18" i="7"/>
  <c r="C18" i="7" s="1"/>
  <c r="B17" i="7"/>
  <c r="C17" i="7" s="1"/>
  <c r="B16" i="7"/>
  <c r="C16" i="7" s="1"/>
  <c r="B15" i="7"/>
  <c r="C15" i="7" s="1"/>
  <c r="B14" i="7"/>
  <c r="C14" i="7" s="1"/>
  <c r="B13" i="7"/>
  <c r="C13" i="7" s="1"/>
  <c r="B12" i="7"/>
  <c r="C12" i="7" s="1"/>
  <c r="B11" i="7"/>
  <c r="C11" i="7" s="1"/>
  <c r="B10" i="7"/>
  <c r="C10" i="7" s="1"/>
  <c r="B9" i="7"/>
  <c r="C9" i="7" s="1"/>
  <c r="B8" i="7"/>
  <c r="C8" i="7" s="1"/>
  <c r="B7" i="7"/>
  <c r="C7" i="7" s="1"/>
  <c r="B6" i="7"/>
  <c r="C6" i="7" s="1"/>
  <c r="B5" i="7"/>
  <c r="C5" i="7" s="1"/>
  <c r="B4" i="7"/>
  <c r="C4" i="7" s="1"/>
  <c r="B3" i="7"/>
  <c r="C3" i="7" s="1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323" i="6"/>
  <c r="D322" i="6"/>
  <c r="D321" i="6"/>
  <c r="D320" i="6"/>
  <c r="D319" i="6"/>
  <c r="D318" i="6"/>
  <c r="D317" i="6"/>
  <c r="D316" i="6"/>
  <c r="D315" i="6"/>
  <c r="D314" i="6"/>
  <c r="D313" i="6"/>
  <c r="D312" i="6"/>
  <c r="D311" i="6"/>
  <c r="D310" i="6"/>
  <c r="D309" i="6"/>
  <c r="D308" i="6"/>
  <c r="D307" i="6"/>
  <c r="D306" i="6"/>
  <c r="D305" i="6"/>
  <c r="D304" i="6"/>
  <c r="D303" i="6"/>
  <c r="D302" i="6"/>
  <c r="D301" i="6"/>
  <c r="D300" i="6"/>
  <c r="D299" i="6"/>
  <c r="D298" i="6"/>
  <c r="D297" i="6"/>
  <c r="D296" i="6"/>
  <c r="D295" i="6"/>
  <c r="D294" i="6"/>
  <c r="D293" i="6"/>
  <c r="D292" i="6"/>
  <c r="D291" i="6"/>
  <c r="D290" i="6"/>
  <c r="D289" i="6"/>
  <c r="D288" i="6"/>
  <c r="D287" i="6"/>
  <c r="D286" i="6"/>
  <c r="D285" i="6"/>
  <c r="D284" i="6"/>
  <c r="D283" i="6"/>
  <c r="D282" i="6"/>
  <c r="D281" i="6"/>
  <c r="D280" i="6"/>
  <c r="D279" i="6"/>
  <c r="D278" i="6"/>
  <c r="D277" i="6"/>
  <c r="D276" i="6"/>
  <c r="D275" i="6"/>
  <c r="D274" i="6"/>
  <c r="D273" i="6"/>
  <c r="D272" i="6"/>
  <c r="D271" i="6"/>
  <c r="D270" i="6"/>
  <c r="D269" i="6"/>
  <c r="D268" i="6"/>
  <c r="D267" i="6"/>
  <c r="D266" i="6"/>
  <c r="D265" i="6"/>
  <c r="D264" i="6"/>
  <c r="D263" i="6"/>
  <c r="D262" i="6"/>
  <c r="D261" i="6"/>
  <c r="D260" i="6"/>
  <c r="D259" i="6"/>
  <c r="D258" i="6"/>
  <c r="D257" i="6"/>
  <c r="D256" i="6"/>
  <c r="D255" i="6"/>
  <c r="D254" i="6"/>
  <c r="D253" i="6"/>
  <c r="D252" i="6"/>
  <c r="D251" i="6"/>
  <c r="D250" i="6"/>
  <c r="D249" i="6"/>
  <c r="D248" i="6"/>
  <c r="D247" i="6"/>
  <c r="D246" i="6"/>
  <c r="D245" i="6"/>
  <c r="D244" i="6"/>
  <c r="D243" i="6"/>
  <c r="D242" i="6"/>
  <c r="D241" i="6"/>
  <c r="D240" i="6"/>
  <c r="D239" i="6"/>
  <c r="D238" i="6"/>
  <c r="D237" i="6"/>
  <c r="D236" i="6"/>
  <c r="D235" i="6"/>
  <c r="D234" i="6"/>
  <c r="D233" i="6"/>
  <c r="D232" i="6"/>
  <c r="D231" i="6"/>
  <c r="D230" i="6"/>
  <c r="D229" i="6"/>
  <c r="D228" i="6"/>
  <c r="D227" i="6"/>
  <c r="D226" i="6"/>
  <c r="D225" i="6"/>
  <c r="D224" i="6"/>
  <c r="D223" i="6"/>
  <c r="D222" i="6"/>
  <c r="D221" i="6"/>
  <c r="D220" i="6"/>
  <c r="D219" i="6"/>
  <c r="D218" i="6"/>
  <c r="D217" i="6"/>
  <c r="D216" i="6"/>
  <c r="D215" i="6"/>
  <c r="D214" i="6"/>
  <c r="D213" i="6"/>
  <c r="D212" i="6"/>
  <c r="D211" i="6"/>
  <c r="D210" i="6"/>
  <c r="D209" i="6"/>
  <c r="D208" i="6"/>
  <c r="D207" i="6"/>
  <c r="D206" i="6"/>
  <c r="D205" i="6"/>
  <c r="D204" i="6"/>
  <c r="D203" i="6"/>
  <c r="D202" i="6"/>
  <c r="D201" i="6"/>
  <c r="D200" i="6"/>
  <c r="D199" i="6"/>
  <c r="D198" i="6"/>
  <c r="D197" i="6"/>
  <c r="D196" i="6"/>
  <c r="D195" i="6"/>
  <c r="D194" i="6"/>
  <c r="D193" i="6"/>
  <c r="D192" i="6"/>
  <c r="D191" i="6"/>
  <c r="D190" i="6"/>
  <c r="D189" i="6"/>
  <c r="D188" i="6"/>
  <c r="D187" i="6"/>
  <c r="D186" i="6"/>
  <c r="D185" i="6"/>
  <c r="D184" i="6"/>
  <c r="D183" i="6"/>
  <c r="D182" i="6"/>
  <c r="D181" i="6"/>
  <c r="D180" i="6"/>
  <c r="D179" i="6"/>
  <c r="D178" i="6"/>
  <c r="D177" i="6"/>
  <c r="D176" i="6"/>
  <c r="D175" i="6"/>
  <c r="D174" i="6"/>
  <c r="D173" i="6"/>
  <c r="D172" i="6"/>
  <c r="D171" i="6"/>
  <c r="D170" i="6"/>
  <c r="D169" i="6"/>
  <c r="D168" i="6"/>
  <c r="D167" i="6"/>
  <c r="D166" i="6"/>
  <c r="D165" i="6"/>
  <c r="D164" i="6"/>
  <c r="D163" i="6"/>
  <c r="D162" i="6"/>
  <c r="D161" i="6"/>
  <c r="D160" i="6"/>
  <c r="D159" i="6"/>
  <c r="D158" i="6"/>
  <c r="D157" i="6"/>
  <c r="D156" i="6"/>
  <c r="D155" i="6"/>
  <c r="D154" i="6"/>
  <c r="D153" i="6"/>
  <c r="D152" i="6"/>
  <c r="D151" i="6"/>
  <c r="D150" i="6"/>
  <c r="D149" i="6"/>
  <c r="D148" i="6"/>
  <c r="D147" i="6"/>
  <c r="D146" i="6"/>
  <c r="D145" i="6"/>
  <c r="D144" i="6"/>
  <c r="D143" i="6"/>
  <c r="D142" i="6"/>
  <c r="D141" i="6"/>
  <c r="D140" i="6"/>
  <c r="D139" i="6"/>
  <c r="D138" i="6"/>
  <c r="D137" i="6"/>
  <c r="D136" i="6"/>
  <c r="D135" i="6"/>
  <c r="D134" i="6"/>
  <c r="D133" i="6"/>
  <c r="D132" i="6"/>
  <c r="D131" i="6"/>
  <c r="D130" i="6"/>
  <c r="D129" i="6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P501" i="5"/>
  <c r="O501" i="5"/>
  <c r="Q501" i="5" s="1"/>
  <c r="N501" i="5"/>
  <c r="M501" i="5"/>
  <c r="L501" i="5"/>
  <c r="K501" i="5"/>
  <c r="J501" i="5"/>
  <c r="H501" i="5"/>
  <c r="P500" i="5"/>
  <c r="O500" i="5"/>
  <c r="Q500" i="5" s="1"/>
  <c r="N500" i="5"/>
  <c r="M500" i="5"/>
  <c r="L500" i="5"/>
  <c r="K500" i="5"/>
  <c r="J500" i="5"/>
  <c r="H500" i="5"/>
  <c r="P499" i="5"/>
  <c r="O499" i="5"/>
  <c r="Q499" i="5" s="1"/>
  <c r="N499" i="5"/>
  <c r="M499" i="5"/>
  <c r="L499" i="5"/>
  <c r="K499" i="5"/>
  <c r="J499" i="5"/>
  <c r="H499" i="5"/>
  <c r="P498" i="5"/>
  <c r="O498" i="5"/>
  <c r="Q498" i="5" s="1"/>
  <c r="N498" i="5"/>
  <c r="M498" i="5"/>
  <c r="L498" i="5"/>
  <c r="K498" i="5"/>
  <c r="J498" i="5"/>
  <c r="H498" i="5"/>
  <c r="P497" i="5"/>
  <c r="O497" i="5"/>
  <c r="Q497" i="5" s="1"/>
  <c r="N497" i="5"/>
  <c r="M497" i="5"/>
  <c r="L497" i="5"/>
  <c r="K497" i="5"/>
  <c r="J497" i="5"/>
  <c r="H497" i="5"/>
  <c r="P496" i="5"/>
  <c r="O496" i="5"/>
  <c r="Q496" i="5" s="1"/>
  <c r="N496" i="5"/>
  <c r="M496" i="5"/>
  <c r="L496" i="5"/>
  <c r="K496" i="5"/>
  <c r="J496" i="5"/>
  <c r="H496" i="5"/>
  <c r="P495" i="5"/>
  <c r="O495" i="5"/>
  <c r="Q495" i="5" s="1"/>
  <c r="N495" i="5"/>
  <c r="M495" i="5"/>
  <c r="L495" i="5"/>
  <c r="K495" i="5"/>
  <c r="J495" i="5"/>
  <c r="H495" i="5"/>
  <c r="P494" i="5"/>
  <c r="O494" i="5"/>
  <c r="Q494" i="5" s="1"/>
  <c r="N494" i="5"/>
  <c r="M494" i="5"/>
  <c r="L494" i="5"/>
  <c r="K494" i="5"/>
  <c r="J494" i="5"/>
  <c r="H494" i="5"/>
  <c r="P493" i="5"/>
  <c r="O493" i="5"/>
  <c r="Q493" i="5" s="1"/>
  <c r="N493" i="5"/>
  <c r="M493" i="5"/>
  <c r="L493" i="5"/>
  <c r="K493" i="5"/>
  <c r="J493" i="5"/>
  <c r="H493" i="5"/>
  <c r="P492" i="5"/>
  <c r="O492" i="5"/>
  <c r="Q492" i="5" s="1"/>
  <c r="N492" i="5"/>
  <c r="M492" i="5"/>
  <c r="L492" i="5"/>
  <c r="K492" i="5"/>
  <c r="J492" i="5"/>
  <c r="H492" i="5"/>
  <c r="P491" i="5"/>
  <c r="O491" i="5"/>
  <c r="Q491" i="5" s="1"/>
  <c r="N491" i="5"/>
  <c r="M491" i="5"/>
  <c r="L491" i="5"/>
  <c r="K491" i="5"/>
  <c r="J491" i="5"/>
  <c r="H491" i="5"/>
  <c r="P490" i="5"/>
  <c r="O490" i="5"/>
  <c r="Q490" i="5" s="1"/>
  <c r="N490" i="5"/>
  <c r="M490" i="5"/>
  <c r="L490" i="5"/>
  <c r="K490" i="5"/>
  <c r="J490" i="5"/>
  <c r="H490" i="5"/>
  <c r="P489" i="5"/>
  <c r="O489" i="5"/>
  <c r="Q489" i="5" s="1"/>
  <c r="N489" i="5"/>
  <c r="M489" i="5"/>
  <c r="L489" i="5"/>
  <c r="K489" i="5"/>
  <c r="J489" i="5"/>
  <c r="H489" i="5"/>
  <c r="P488" i="5"/>
  <c r="O488" i="5"/>
  <c r="Q488" i="5" s="1"/>
  <c r="N488" i="5"/>
  <c r="M488" i="5"/>
  <c r="L488" i="5"/>
  <c r="K488" i="5"/>
  <c r="J488" i="5"/>
  <c r="H488" i="5"/>
  <c r="P487" i="5"/>
  <c r="O487" i="5"/>
  <c r="Q487" i="5" s="1"/>
  <c r="N487" i="5"/>
  <c r="M487" i="5"/>
  <c r="L487" i="5"/>
  <c r="K487" i="5"/>
  <c r="J487" i="5"/>
  <c r="H487" i="5"/>
  <c r="P486" i="5"/>
  <c r="O486" i="5"/>
  <c r="Q486" i="5" s="1"/>
  <c r="N486" i="5"/>
  <c r="M486" i="5"/>
  <c r="L486" i="5"/>
  <c r="K486" i="5"/>
  <c r="J486" i="5"/>
  <c r="H486" i="5"/>
  <c r="P485" i="5"/>
  <c r="O485" i="5"/>
  <c r="Q485" i="5" s="1"/>
  <c r="N485" i="5"/>
  <c r="M485" i="5"/>
  <c r="L485" i="5"/>
  <c r="K485" i="5"/>
  <c r="J485" i="5"/>
  <c r="H485" i="5"/>
  <c r="P484" i="5"/>
  <c r="O484" i="5"/>
  <c r="Q484" i="5" s="1"/>
  <c r="N484" i="5"/>
  <c r="M484" i="5"/>
  <c r="L484" i="5"/>
  <c r="K484" i="5"/>
  <c r="J484" i="5"/>
  <c r="H484" i="5"/>
  <c r="P483" i="5"/>
  <c r="O483" i="5"/>
  <c r="Q483" i="5" s="1"/>
  <c r="N483" i="5"/>
  <c r="M483" i="5"/>
  <c r="L483" i="5"/>
  <c r="K483" i="5"/>
  <c r="J483" i="5"/>
  <c r="H483" i="5"/>
  <c r="P482" i="5"/>
  <c r="O482" i="5"/>
  <c r="Q482" i="5" s="1"/>
  <c r="N482" i="5"/>
  <c r="M482" i="5"/>
  <c r="L482" i="5"/>
  <c r="K482" i="5"/>
  <c r="J482" i="5"/>
  <c r="H482" i="5"/>
  <c r="P481" i="5"/>
  <c r="O481" i="5"/>
  <c r="Q481" i="5" s="1"/>
  <c r="N481" i="5"/>
  <c r="M481" i="5"/>
  <c r="L481" i="5"/>
  <c r="K481" i="5"/>
  <c r="J481" i="5"/>
  <c r="H481" i="5"/>
  <c r="P480" i="5"/>
  <c r="O480" i="5"/>
  <c r="Q480" i="5" s="1"/>
  <c r="N480" i="5"/>
  <c r="M480" i="5"/>
  <c r="L480" i="5"/>
  <c r="K480" i="5"/>
  <c r="J480" i="5"/>
  <c r="H480" i="5"/>
  <c r="P479" i="5"/>
  <c r="O479" i="5"/>
  <c r="Q479" i="5" s="1"/>
  <c r="N479" i="5"/>
  <c r="M479" i="5"/>
  <c r="L479" i="5"/>
  <c r="K479" i="5"/>
  <c r="J479" i="5"/>
  <c r="H479" i="5"/>
  <c r="P478" i="5"/>
  <c r="O478" i="5"/>
  <c r="Q478" i="5" s="1"/>
  <c r="N478" i="5"/>
  <c r="M478" i="5"/>
  <c r="L478" i="5"/>
  <c r="K478" i="5"/>
  <c r="J478" i="5"/>
  <c r="H478" i="5"/>
  <c r="P477" i="5"/>
  <c r="O477" i="5"/>
  <c r="Q477" i="5" s="1"/>
  <c r="N477" i="5"/>
  <c r="M477" i="5"/>
  <c r="L477" i="5"/>
  <c r="K477" i="5"/>
  <c r="J477" i="5"/>
  <c r="H477" i="5"/>
  <c r="P476" i="5"/>
  <c r="O476" i="5"/>
  <c r="Q476" i="5" s="1"/>
  <c r="N476" i="5"/>
  <c r="M476" i="5"/>
  <c r="L476" i="5"/>
  <c r="K476" i="5"/>
  <c r="J476" i="5"/>
  <c r="H476" i="5"/>
  <c r="P475" i="5"/>
  <c r="O475" i="5"/>
  <c r="Q475" i="5" s="1"/>
  <c r="N475" i="5"/>
  <c r="M475" i="5"/>
  <c r="L475" i="5"/>
  <c r="K475" i="5"/>
  <c r="J475" i="5"/>
  <c r="H475" i="5"/>
  <c r="P474" i="5"/>
  <c r="O474" i="5"/>
  <c r="Q474" i="5" s="1"/>
  <c r="N474" i="5"/>
  <c r="M474" i="5"/>
  <c r="L474" i="5"/>
  <c r="K474" i="5"/>
  <c r="J474" i="5"/>
  <c r="H474" i="5"/>
  <c r="P473" i="5"/>
  <c r="O473" i="5"/>
  <c r="Q473" i="5" s="1"/>
  <c r="N473" i="5"/>
  <c r="M473" i="5"/>
  <c r="L473" i="5"/>
  <c r="K473" i="5"/>
  <c r="J473" i="5"/>
  <c r="H473" i="5"/>
  <c r="P472" i="5"/>
  <c r="O472" i="5"/>
  <c r="Q472" i="5" s="1"/>
  <c r="N472" i="5"/>
  <c r="M472" i="5"/>
  <c r="L472" i="5"/>
  <c r="K472" i="5"/>
  <c r="J472" i="5"/>
  <c r="H472" i="5"/>
  <c r="P471" i="5"/>
  <c r="O471" i="5"/>
  <c r="Q471" i="5" s="1"/>
  <c r="N471" i="5"/>
  <c r="M471" i="5"/>
  <c r="L471" i="5"/>
  <c r="K471" i="5"/>
  <c r="J471" i="5"/>
  <c r="H471" i="5"/>
  <c r="P470" i="5"/>
  <c r="O470" i="5"/>
  <c r="Q470" i="5" s="1"/>
  <c r="N470" i="5"/>
  <c r="M470" i="5"/>
  <c r="L470" i="5"/>
  <c r="K470" i="5"/>
  <c r="J470" i="5"/>
  <c r="H470" i="5"/>
  <c r="P469" i="5"/>
  <c r="O469" i="5"/>
  <c r="Q469" i="5" s="1"/>
  <c r="N469" i="5"/>
  <c r="M469" i="5"/>
  <c r="L469" i="5"/>
  <c r="K469" i="5"/>
  <c r="J469" i="5"/>
  <c r="H469" i="5"/>
  <c r="P468" i="5"/>
  <c r="O468" i="5"/>
  <c r="Q468" i="5" s="1"/>
  <c r="N468" i="5"/>
  <c r="M468" i="5"/>
  <c r="L468" i="5"/>
  <c r="K468" i="5"/>
  <c r="J468" i="5"/>
  <c r="H468" i="5"/>
  <c r="P467" i="5"/>
  <c r="O467" i="5"/>
  <c r="Q467" i="5" s="1"/>
  <c r="N467" i="5"/>
  <c r="M467" i="5"/>
  <c r="L467" i="5"/>
  <c r="K467" i="5"/>
  <c r="J467" i="5"/>
  <c r="H467" i="5"/>
  <c r="P466" i="5"/>
  <c r="O466" i="5"/>
  <c r="Q466" i="5" s="1"/>
  <c r="N466" i="5"/>
  <c r="M466" i="5"/>
  <c r="L466" i="5"/>
  <c r="K466" i="5"/>
  <c r="J466" i="5"/>
  <c r="H466" i="5"/>
  <c r="P465" i="5"/>
  <c r="O465" i="5"/>
  <c r="Q465" i="5" s="1"/>
  <c r="N465" i="5"/>
  <c r="M465" i="5"/>
  <c r="L465" i="5"/>
  <c r="K465" i="5"/>
  <c r="J465" i="5"/>
  <c r="H465" i="5"/>
  <c r="P464" i="5"/>
  <c r="O464" i="5"/>
  <c r="Q464" i="5" s="1"/>
  <c r="N464" i="5"/>
  <c r="M464" i="5"/>
  <c r="L464" i="5"/>
  <c r="K464" i="5"/>
  <c r="J464" i="5"/>
  <c r="H464" i="5"/>
  <c r="P463" i="5"/>
  <c r="O463" i="5"/>
  <c r="Q463" i="5" s="1"/>
  <c r="N463" i="5"/>
  <c r="M463" i="5"/>
  <c r="L463" i="5"/>
  <c r="K463" i="5"/>
  <c r="J463" i="5"/>
  <c r="H463" i="5"/>
  <c r="P462" i="5"/>
  <c r="O462" i="5"/>
  <c r="Q462" i="5" s="1"/>
  <c r="N462" i="5"/>
  <c r="M462" i="5"/>
  <c r="L462" i="5"/>
  <c r="K462" i="5"/>
  <c r="J462" i="5"/>
  <c r="H462" i="5"/>
  <c r="P461" i="5"/>
  <c r="O461" i="5"/>
  <c r="Q461" i="5" s="1"/>
  <c r="N461" i="5"/>
  <c r="M461" i="5"/>
  <c r="L461" i="5"/>
  <c r="K461" i="5"/>
  <c r="J461" i="5"/>
  <c r="H461" i="5"/>
  <c r="P460" i="5"/>
  <c r="O460" i="5"/>
  <c r="Q460" i="5" s="1"/>
  <c r="N460" i="5"/>
  <c r="M460" i="5"/>
  <c r="L460" i="5"/>
  <c r="K460" i="5"/>
  <c r="J460" i="5"/>
  <c r="H460" i="5"/>
  <c r="P459" i="5"/>
  <c r="O459" i="5"/>
  <c r="Q459" i="5" s="1"/>
  <c r="N459" i="5"/>
  <c r="M459" i="5"/>
  <c r="L459" i="5"/>
  <c r="K459" i="5"/>
  <c r="J459" i="5"/>
  <c r="H459" i="5"/>
  <c r="P458" i="5"/>
  <c r="O458" i="5"/>
  <c r="Q458" i="5" s="1"/>
  <c r="N458" i="5"/>
  <c r="M458" i="5"/>
  <c r="L458" i="5"/>
  <c r="K458" i="5"/>
  <c r="J458" i="5"/>
  <c r="H458" i="5"/>
  <c r="P457" i="5"/>
  <c r="O457" i="5"/>
  <c r="Q457" i="5" s="1"/>
  <c r="N457" i="5"/>
  <c r="M457" i="5"/>
  <c r="L457" i="5"/>
  <c r="K457" i="5"/>
  <c r="J457" i="5"/>
  <c r="H457" i="5"/>
  <c r="P456" i="5"/>
  <c r="O456" i="5"/>
  <c r="Q456" i="5" s="1"/>
  <c r="N456" i="5"/>
  <c r="M456" i="5"/>
  <c r="L456" i="5"/>
  <c r="K456" i="5"/>
  <c r="J456" i="5"/>
  <c r="H456" i="5"/>
  <c r="P455" i="5"/>
  <c r="O455" i="5"/>
  <c r="Q455" i="5" s="1"/>
  <c r="N455" i="5"/>
  <c r="M455" i="5"/>
  <c r="L455" i="5"/>
  <c r="K455" i="5"/>
  <c r="J455" i="5"/>
  <c r="H455" i="5"/>
  <c r="P454" i="5"/>
  <c r="O454" i="5"/>
  <c r="Q454" i="5" s="1"/>
  <c r="N454" i="5"/>
  <c r="M454" i="5"/>
  <c r="L454" i="5"/>
  <c r="K454" i="5"/>
  <c r="J454" i="5"/>
  <c r="H454" i="5"/>
  <c r="P453" i="5"/>
  <c r="O453" i="5"/>
  <c r="Q453" i="5" s="1"/>
  <c r="N453" i="5"/>
  <c r="M453" i="5"/>
  <c r="L453" i="5"/>
  <c r="K453" i="5"/>
  <c r="J453" i="5"/>
  <c r="H453" i="5"/>
  <c r="P452" i="5"/>
  <c r="O452" i="5"/>
  <c r="Q452" i="5" s="1"/>
  <c r="N452" i="5"/>
  <c r="M452" i="5"/>
  <c r="L452" i="5"/>
  <c r="K452" i="5"/>
  <c r="J452" i="5"/>
  <c r="H452" i="5"/>
  <c r="P451" i="5"/>
  <c r="O451" i="5"/>
  <c r="Q451" i="5" s="1"/>
  <c r="N451" i="5"/>
  <c r="M451" i="5"/>
  <c r="L451" i="5"/>
  <c r="K451" i="5"/>
  <c r="J451" i="5"/>
  <c r="H451" i="5"/>
  <c r="P450" i="5"/>
  <c r="O450" i="5"/>
  <c r="Q450" i="5" s="1"/>
  <c r="N450" i="5"/>
  <c r="M450" i="5"/>
  <c r="L450" i="5"/>
  <c r="K450" i="5"/>
  <c r="J450" i="5"/>
  <c r="H450" i="5"/>
  <c r="P449" i="5"/>
  <c r="O449" i="5"/>
  <c r="Q449" i="5" s="1"/>
  <c r="N449" i="5"/>
  <c r="M449" i="5"/>
  <c r="L449" i="5"/>
  <c r="K449" i="5"/>
  <c r="J449" i="5"/>
  <c r="H449" i="5"/>
  <c r="P448" i="5"/>
  <c r="O448" i="5"/>
  <c r="Q448" i="5" s="1"/>
  <c r="N448" i="5"/>
  <c r="M448" i="5"/>
  <c r="L448" i="5"/>
  <c r="K448" i="5"/>
  <c r="J448" i="5"/>
  <c r="H448" i="5"/>
  <c r="P447" i="5"/>
  <c r="O447" i="5"/>
  <c r="Q447" i="5" s="1"/>
  <c r="N447" i="5"/>
  <c r="M447" i="5"/>
  <c r="L447" i="5"/>
  <c r="K447" i="5"/>
  <c r="J447" i="5"/>
  <c r="H447" i="5"/>
  <c r="P446" i="5"/>
  <c r="O446" i="5"/>
  <c r="Q446" i="5" s="1"/>
  <c r="N446" i="5"/>
  <c r="M446" i="5"/>
  <c r="L446" i="5"/>
  <c r="K446" i="5"/>
  <c r="J446" i="5"/>
  <c r="H446" i="5"/>
  <c r="P445" i="5"/>
  <c r="O445" i="5"/>
  <c r="Q445" i="5" s="1"/>
  <c r="N445" i="5"/>
  <c r="M445" i="5"/>
  <c r="L445" i="5"/>
  <c r="K445" i="5"/>
  <c r="J445" i="5"/>
  <c r="H445" i="5"/>
  <c r="P444" i="5"/>
  <c r="O444" i="5"/>
  <c r="Q444" i="5" s="1"/>
  <c r="N444" i="5"/>
  <c r="M444" i="5"/>
  <c r="L444" i="5"/>
  <c r="K444" i="5"/>
  <c r="J444" i="5"/>
  <c r="H444" i="5"/>
  <c r="P443" i="5"/>
  <c r="O443" i="5"/>
  <c r="Q443" i="5" s="1"/>
  <c r="N443" i="5"/>
  <c r="M443" i="5"/>
  <c r="L443" i="5"/>
  <c r="K443" i="5"/>
  <c r="J443" i="5"/>
  <c r="H443" i="5"/>
  <c r="P442" i="5"/>
  <c r="O442" i="5"/>
  <c r="Q442" i="5" s="1"/>
  <c r="N442" i="5"/>
  <c r="M442" i="5"/>
  <c r="L442" i="5"/>
  <c r="K442" i="5"/>
  <c r="J442" i="5"/>
  <c r="H442" i="5"/>
  <c r="P441" i="5"/>
  <c r="O441" i="5"/>
  <c r="Q441" i="5" s="1"/>
  <c r="N441" i="5"/>
  <c r="M441" i="5"/>
  <c r="L441" i="5"/>
  <c r="K441" i="5"/>
  <c r="J441" i="5"/>
  <c r="H441" i="5"/>
  <c r="P440" i="5"/>
  <c r="O440" i="5"/>
  <c r="Q440" i="5" s="1"/>
  <c r="N440" i="5"/>
  <c r="M440" i="5"/>
  <c r="L440" i="5"/>
  <c r="K440" i="5"/>
  <c r="J440" i="5"/>
  <c r="H440" i="5"/>
  <c r="P439" i="5"/>
  <c r="O439" i="5"/>
  <c r="Q439" i="5" s="1"/>
  <c r="N439" i="5"/>
  <c r="M439" i="5"/>
  <c r="L439" i="5"/>
  <c r="K439" i="5"/>
  <c r="J439" i="5"/>
  <c r="H439" i="5"/>
  <c r="P438" i="5"/>
  <c r="O438" i="5"/>
  <c r="Q438" i="5" s="1"/>
  <c r="N438" i="5"/>
  <c r="M438" i="5"/>
  <c r="L438" i="5"/>
  <c r="K438" i="5"/>
  <c r="J438" i="5"/>
  <c r="H438" i="5"/>
  <c r="P437" i="5"/>
  <c r="O437" i="5"/>
  <c r="Q437" i="5" s="1"/>
  <c r="N437" i="5"/>
  <c r="M437" i="5"/>
  <c r="L437" i="5"/>
  <c r="K437" i="5"/>
  <c r="J437" i="5"/>
  <c r="H437" i="5"/>
  <c r="P436" i="5"/>
  <c r="O436" i="5"/>
  <c r="Q436" i="5" s="1"/>
  <c r="N436" i="5"/>
  <c r="M436" i="5"/>
  <c r="L436" i="5"/>
  <c r="K436" i="5"/>
  <c r="J436" i="5"/>
  <c r="H436" i="5"/>
  <c r="P435" i="5"/>
  <c r="O435" i="5"/>
  <c r="Q435" i="5" s="1"/>
  <c r="N435" i="5"/>
  <c r="M435" i="5"/>
  <c r="L435" i="5"/>
  <c r="K435" i="5"/>
  <c r="J435" i="5"/>
  <c r="H435" i="5"/>
  <c r="P434" i="5"/>
  <c r="O434" i="5"/>
  <c r="Q434" i="5" s="1"/>
  <c r="N434" i="5"/>
  <c r="M434" i="5"/>
  <c r="L434" i="5"/>
  <c r="K434" i="5"/>
  <c r="J434" i="5"/>
  <c r="H434" i="5"/>
  <c r="P433" i="5"/>
  <c r="O433" i="5"/>
  <c r="Q433" i="5" s="1"/>
  <c r="N433" i="5"/>
  <c r="M433" i="5"/>
  <c r="L433" i="5"/>
  <c r="K433" i="5"/>
  <c r="J433" i="5"/>
  <c r="H433" i="5"/>
  <c r="P432" i="5"/>
  <c r="O432" i="5"/>
  <c r="Q432" i="5" s="1"/>
  <c r="N432" i="5"/>
  <c r="M432" i="5"/>
  <c r="L432" i="5"/>
  <c r="K432" i="5"/>
  <c r="J432" i="5"/>
  <c r="H432" i="5"/>
  <c r="P431" i="5"/>
  <c r="O431" i="5"/>
  <c r="Q431" i="5" s="1"/>
  <c r="N431" i="5"/>
  <c r="M431" i="5"/>
  <c r="L431" i="5"/>
  <c r="K431" i="5"/>
  <c r="J431" i="5"/>
  <c r="H431" i="5"/>
  <c r="P430" i="5"/>
  <c r="O430" i="5"/>
  <c r="Q430" i="5" s="1"/>
  <c r="N430" i="5"/>
  <c r="M430" i="5"/>
  <c r="L430" i="5"/>
  <c r="K430" i="5"/>
  <c r="J430" i="5"/>
  <c r="H430" i="5"/>
  <c r="P429" i="5"/>
  <c r="O429" i="5"/>
  <c r="Q429" i="5" s="1"/>
  <c r="N429" i="5"/>
  <c r="M429" i="5"/>
  <c r="L429" i="5"/>
  <c r="K429" i="5"/>
  <c r="J429" i="5"/>
  <c r="H429" i="5"/>
  <c r="P428" i="5"/>
  <c r="O428" i="5"/>
  <c r="Q428" i="5" s="1"/>
  <c r="N428" i="5"/>
  <c r="M428" i="5"/>
  <c r="L428" i="5"/>
  <c r="K428" i="5"/>
  <c r="J428" i="5"/>
  <c r="H428" i="5"/>
  <c r="P427" i="5"/>
  <c r="O427" i="5"/>
  <c r="Q427" i="5" s="1"/>
  <c r="N427" i="5"/>
  <c r="M427" i="5"/>
  <c r="L427" i="5"/>
  <c r="K427" i="5"/>
  <c r="J427" i="5"/>
  <c r="H427" i="5"/>
  <c r="P426" i="5"/>
  <c r="O426" i="5"/>
  <c r="Q426" i="5" s="1"/>
  <c r="N426" i="5"/>
  <c r="M426" i="5"/>
  <c r="L426" i="5"/>
  <c r="K426" i="5"/>
  <c r="J426" i="5"/>
  <c r="H426" i="5"/>
  <c r="P425" i="5"/>
  <c r="O425" i="5"/>
  <c r="Q425" i="5" s="1"/>
  <c r="N425" i="5"/>
  <c r="M425" i="5"/>
  <c r="L425" i="5"/>
  <c r="K425" i="5"/>
  <c r="J425" i="5"/>
  <c r="H425" i="5"/>
  <c r="P424" i="5"/>
  <c r="O424" i="5"/>
  <c r="Q424" i="5" s="1"/>
  <c r="N424" i="5"/>
  <c r="M424" i="5"/>
  <c r="L424" i="5"/>
  <c r="K424" i="5"/>
  <c r="J424" i="5"/>
  <c r="H424" i="5"/>
  <c r="P423" i="5"/>
  <c r="O423" i="5"/>
  <c r="Q423" i="5" s="1"/>
  <c r="N423" i="5"/>
  <c r="M423" i="5"/>
  <c r="L423" i="5"/>
  <c r="K423" i="5"/>
  <c r="J423" i="5"/>
  <c r="H423" i="5"/>
  <c r="P422" i="5"/>
  <c r="O422" i="5"/>
  <c r="Q422" i="5" s="1"/>
  <c r="N422" i="5"/>
  <c r="M422" i="5"/>
  <c r="L422" i="5"/>
  <c r="K422" i="5"/>
  <c r="J422" i="5"/>
  <c r="H422" i="5"/>
  <c r="P421" i="5"/>
  <c r="O421" i="5"/>
  <c r="Q421" i="5" s="1"/>
  <c r="N421" i="5"/>
  <c r="M421" i="5"/>
  <c r="L421" i="5"/>
  <c r="K421" i="5"/>
  <c r="J421" i="5"/>
  <c r="H421" i="5"/>
  <c r="P420" i="5"/>
  <c r="O420" i="5"/>
  <c r="Q420" i="5" s="1"/>
  <c r="N420" i="5"/>
  <c r="M420" i="5"/>
  <c r="L420" i="5"/>
  <c r="K420" i="5"/>
  <c r="J420" i="5"/>
  <c r="H420" i="5"/>
  <c r="P419" i="5"/>
  <c r="O419" i="5"/>
  <c r="Q419" i="5" s="1"/>
  <c r="N419" i="5"/>
  <c r="M419" i="5"/>
  <c r="L419" i="5"/>
  <c r="K419" i="5"/>
  <c r="J419" i="5"/>
  <c r="H419" i="5"/>
  <c r="P418" i="5"/>
  <c r="O418" i="5"/>
  <c r="Q418" i="5" s="1"/>
  <c r="N418" i="5"/>
  <c r="M418" i="5"/>
  <c r="L418" i="5"/>
  <c r="K418" i="5"/>
  <c r="J418" i="5"/>
  <c r="H418" i="5"/>
  <c r="P417" i="5"/>
  <c r="O417" i="5"/>
  <c r="Q417" i="5" s="1"/>
  <c r="N417" i="5"/>
  <c r="M417" i="5"/>
  <c r="L417" i="5"/>
  <c r="K417" i="5"/>
  <c r="J417" i="5"/>
  <c r="H417" i="5"/>
  <c r="P416" i="5"/>
  <c r="O416" i="5"/>
  <c r="Q416" i="5" s="1"/>
  <c r="N416" i="5"/>
  <c r="M416" i="5"/>
  <c r="L416" i="5"/>
  <c r="K416" i="5"/>
  <c r="J416" i="5"/>
  <c r="H416" i="5"/>
  <c r="P415" i="5"/>
  <c r="O415" i="5"/>
  <c r="Q415" i="5" s="1"/>
  <c r="N415" i="5"/>
  <c r="M415" i="5"/>
  <c r="L415" i="5"/>
  <c r="K415" i="5"/>
  <c r="J415" i="5"/>
  <c r="H415" i="5"/>
  <c r="P414" i="5"/>
  <c r="O414" i="5"/>
  <c r="Q414" i="5" s="1"/>
  <c r="N414" i="5"/>
  <c r="M414" i="5"/>
  <c r="L414" i="5"/>
  <c r="K414" i="5"/>
  <c r="J414" i="5"/>
  <c r="H414" i="5"/>
  <c r="P413" i="5"/>
  <c r="O413" i="5"/>
  <c r="Q413" i="5" s="1"/>
  <c r="N413" i="5"/>
  <c r="M413" i="5"/>
  <c r="L413" i="5"/>
  <c r="K413" i="5"/>
  <c r="J413" i="5"/>
  <c r="H413" i="5"/>
  <c r="P412" i="5"/>
  <c r="O412" i="5"/>
  <c r="Q412" i="5" s="1"/>
  <c r="N412" i="5"/>
  <c r="M412" i="5"/>
  <c r="L412" i="5"/>
  <c r="K412" i="5"/>
  <c r="J412" i="5"/>
  <c r="H412" i="5"/>
  <c r="P411" i="5"/>
  <c r="O411" i="5"/>
  <c r="Q411" i="5" s="1"/>
  <c r="N411" i="5"/>
  <c r="M411" i="5"/>
  <c r="L411" i="5"/>
  <c r="K411" i="5"/>
  <c r="J411" i="5"/>
  <c r="H411" i="5"/>
  <c r="P410" i="5"/>
  <c r="O410" i="5"/>
  <c r="Q410" i="5" s="1"/>
  <c r="N410" i="5"/>
  <c r="M410" i="5"/>
  <c r="L410" i="5"/>
  <c r="K410" i="5"/>
  <c r="J410" i="5"/>
  <c r="H410" i="5"/>
  <c r="P409" i="5"/>
  <c r="O409" i="5"/>
  <c r="Q409" i="5" s="1"/>
  <c r="N409" i="5"/>
  <c r="M409" i="5"/>
  <c r="L409" i="5"/>
  <c r="K409" i="5"/>
  <c r="J409" i="5"/>
  <c r="H409" i="5"/>
  <c r="P408" i="5"/>
  <c r="O408" i="5"/>
  <c r="Q408" i="5" s="1"/>
  <c r="N408" i="5"/>
  <c r="M408" i="5"/>
  <c r="L408" i="5"/>
  <c r="K408" i="5"/>
  <c r="J408" i="5"/>
  <c r="H408" i="5"/>
  <c r="P407" i="5"/>
  <c r="O407" i="5"/>
  <c r="Q407" i="5" s="1"/>
  <c r="N407" i="5"/>
  <c r="M407" i="5"/>
  <c r="L407" i="5"/>
  <c r="K407" i="5"/>
  <c r="J407" i="5"/>
  <c r="H407" i="5"/>
  <c r="P406" i="5"/>
  <c r="O406" i="5"/>
  <c r="Q406" i="5" s="1"/>
  <c r="N406" i="5"/>
  <c r="M406" i="5"/>
  <c r="L406" i="5"/>
  <c r="K406" i="5"/>
  <c r="J406" i="5"/>
  <c r="H406" i="5"/>
  <c r="P405" i="5"/>
  <c r="O405" i="5"/>
  <c r="Q405" i="5" s="1"/>
  <c r="N405" i="5"/>
  <c r="M405" i="5"/>
  <c r="L405" i="5"/>
  <c r="K405" i="5"/>
  <c r="J405" i="5"/>
  <c r="H405" i="5"/>
  <c r="P404" i="5"/>
  <c r="O404" i="5"/>
  <c r="Q404" i="5" s="1"/>
  <c r="N404" i="5"/>
  <c r="M404" i="5"/>
  <c r="L404" i="5"/>
  <c r="K404" i="5"/>
  <c r="J404" i="5"/>
  <c r="H404" i="5"/>
  <c r="P403" i="5"/>
  <c r="O403" i="5"/>
  <c r="Q403" i="5" s="1"/>
  <c r="N403" i="5"/>
  <c r="M403" i="5"/>
  <c r="L403" i="5"/>
  <c r="K403" i="5"/>
  <c r="J403" i="5"/>
  <c r="H403" i="5"/>
  <c r="P402" i="5"/>
  <c r="O402" i="5"/>
  <c r="Q402" i="5" s="1"/>
  <c r="N402" i="5"/>
  <c r="M402" i="5"/>
  <c r="L402" i="5"/>
  <c r="K402" i="5"/>
  <c r="J402" i="5"/>
  <c r="H402" i="5"/>
  <c r="P401" i="5"/>
  <c r="O401" i="5"/>
  <c r="Q401" i="5" s="1"/>
  <c r="N401" i="5"/>
  <c r="M401" i="5"/>
  <c r="L401" i="5"/>
  <c r="K401" i="5"/>
  <c r="J401" i="5"/>
  <c r="H401" i="5"/>
  <c r="P400" i="5"/>
  <c r="O400" i="5"/>
  <c r="Q400" i="5" s="1"/>
  <c r="N400" i="5"/>
  <c r="M400" i="5"/>
  <c r="L400" i="5"/>
  <c r="K400" i="5"/>
  <c r="J400" i="5"/>
  <c r="H400" i="5"/>
  <c r="P399" i="5"/>
  <c r="O399" i="5"/>
  <c r="Q399" i="5" s="1"/>
  <c r="N399" i="5"/>
  <c r="M399" i="5"/>
  <c r="L399" i="5"/>
  <c r="K399" i="5"/>
  <c r="J399" i="5"/>
  <c r="H399" i="5"/>
  <c r="P398" i="5"/>
  <c r="O398" i="5"/>
  <c r="Q398" i="5" s="1"/>
  <c r="N398" i="5"/>
  <c r="M398" i="5"/>
  <c r="L398" i="5"/>
  <c r="K398" i="5"/>
  <c r="J398" i="5"/>
  <c r="H398" i="5"/>
  <c r="P397" i="5"/>
  <c r="O397" i="5"/>
  <c r="Q397" i="5" s="1"/>
  <c r="N397" i="5"/>
  <c r="M397" i="5"/>
  <c r="L397" i="5"/>
  <c r="K397" i="5"/>
  <c r="J397" i="5"/>
  <c r="H397" i="5"/>
  <c r="P396" i="5"/>
  <c r="O396" i="5"/>
  <c r="Q396" i="5" s="1"/>
  <c r="N396" i="5"/>
  <c r="M396" i="5"/>
  <c r="L396" i="5"/>
  <c r="K396" i="5"/>
  <c r="J396" i="5"/>
  <c r="H396" i="5"/>
  <c r="P395" i="5"/>
  <c r="O395" i="5"/>
  <c r="Q395" i="5" s="1"/>
  <c r="N395" i="5"/>
  <c r="M395" i="5"/>
  <c r="L395" i="5"/>
  <c r="K395" i="5"/>
  <c r="J395" i="5"/>
  <c r="H395" i="5"/>
  <c r="P394" i="5"/>
  <c r="O394" i="5"/>
  <c r="Q394" i="5" s="1"/>
  <c r="N394" i="5"/>
  <c r="M394" i="5"/>
  <c r="L394" i="5"/>
  <c r="K394" i="5"/>
  <c r="J394" i="5"/>
  <c r="H394" i="5"/>
  <c r="P393" i="5"/>
  <c r="O393" i="5"/>
  <c r="Q393" i="5" s="1"/>
  <c r="N393" i="5"/>
  <c r="M393" i="5"/>
  <c r="L393" i="5"/>
  <c r="K393" i="5"/>
  <c r="J393" i="5"/>
  <c r="H393" i="5"/>
  <c r="P392" i="5"/>
  <c r="O392" i="5"/>
  <c r="Q392" i="5" s="1"/>
  <c r="N392" i="5"/>
  <c r="M392" i="5"/>
  <c r="L392" i="5"/>
  <c r="K392" i="5"/>
  <c r="J392" i="5"/>
  <c r="H392" i="5"/>
  <c r="P391" i="5"/>
  <c r="O391" i="5"/>
  <c r="Q391" i="5" s="1"/>
  <c r="N391" i="5"/>
  <c r="M391" i="5"/>
  <c r="L391" i="5"/>
  <c r="K391" i="5"/>
  <c r="J391" i="5"/>
  <c r="H391" i="5"/>
  <c r="P390" i="5"/>
  <c r="O390" i="5"/>
  <c r="Q390" i="5" s="1"/>
  <c r="N390" i="5"/>
  <c r="M390" i="5"/>
  <c r="L390" i="5"/>
  <c r="K390" i="5"/>
  <c r="J390" i="5"/>
  <c r="H390" i="5"/>
  <c r="P389" i="5"/>
  <c r="O389" i="5"/>
  <c r="Q389" i="5" s="1"/>
  <c r="N389" i="5"/>
  <c r="M389" i="5"/>
  <c r="L389" i="5"/>
  <c r="K389" i="5"/>
  <c r="J389" i="5"/>
  <c r="H389" i="5"/>
  <c r="P388" i="5"/>
  <c r="O388" i="5"/>
  <c r="Q388" i="5" s="1"/>
  <c r="N388" i="5"/>
  <c r="M388" i="5"/>
  <c r="L388" i="5"/>
  <c r="K388" i="5"/>
  <c r="J388" i="5"/>
  <c r="H388" i="5"/>
  <c r="P387" i="5"/>
  <c r="O387" i="5"/>
  <c r="Q387" i="5" s="1"/>
  <c r="N387" i="5"/>
  <c r="M387" i="5"/>
  <c r="L387" i="5"/>
  <c r="K387" i="5"/>
  <c r="J387" i="5"/>
  <c r="H387" i="5"/>
  <c r="P386" i="5"/>
  <c r="O386" i="5"/>
  <c r="Q386" i="5" s="1"/>
  <c r="N386" i="5"/>
  <c r="M386" i="5"/>
  <c r="L386" i="5"/>
  <c r="K386" i="5"/>
  <c r="J386" i="5"/>
  <c r="H386" i="5"/>
  <c r="P385" i="5"/>
  <c r="O385" i="5"/>
  <c r="Q385" i="5" s="1"/>
  <c r="N385" i="5"/>
  <c r="M385" i="5"/>
  <c r="L385" i="5"/>
  <c r="K385" i="5"/>
  <c r="J385" i="5"/>
  <c r="H385" i="5"/>
  <c r="P384" i="5"/>
  <c r="O384" i="5"/>
  <c r="Q384" i="5" s="1"/>
  <c r="N384" i="5"/>
  <c r="M384" i="5"/>
  <c r="L384" i="5"/>
  <c r="K384" i="5"/>
  <c r="J384" i="5"/>
  <c r="H384" i="5"/>
  <c r="P383" i="5"/>
  <c r="O383" i="5"/>
  <c r="Q383" i="5" s="1"/>
  <c r="N383" i="5"/>
  <c r="M383" i="5"/>
  <c r="L383" i="5"/>
  <c r="K383" i="5"/>
  <c r="J383" i="5"/>
  <c r="H383" i="5"/>
  <c r="P382" i="5"/>
  <c r="O382" i="5"/>
  <c r="Q382" i="5" s="1"/>
  <c r="N382" i="5"/>
  <c r="M382" i="5"/>
  <c r="L382" i="5"/>
  <c r="K382" i="5"/>
  <c r="J382" i="5"/>
  <c r="H382" i="5"/>
  <c r="P381" i="5"/>
  <c r="O381" i="5"/>
  <c r="Q381" i="5" s="1"/>
  <c r="N381" i="5"/>
  <c r="M381" i="5"/>
  <c r="L381" i="5"/>
  <c r="K381" i="5"/>
  <c r="J381" i="5"/>
  <c r="H381" i="5"/>
  <c r="P380" i="5"/>
  <c r="O380" i="5"/>
  <c r="Q380" i="5" s="1"/>
  <c r="N380" i="5"/>
  <c r="M380" i="5"/>
  <c r="L380" i="5"/>
  <c r="K380" i="5"/>
  <c r="J380" i="5"/>
  <c r="H380" i="5"/>
  <c r="P379" i="5"/>
  <c r="O379" i="5"/>
  <c r="Q379" i="5" s="1"/>
  <c r="N379" i="5"/>
  <c r="M379" i="5"/>
  <c r="L379" i="5"/>
  <c r="K379" i="5"/>
  <c r="J379" i="5"/>
  <c r="H379" i="5"/>
  <c r="P378" i="5"/>
  <c r="O378" i="5"/>
  <c r="Q378" i="5" s="1"/>
  <c r="N378" i="5"/>
  <c r="M378" i="5"/>
  <c r="L378" i="5"/>
  <c r="K378" i="5"/>
  <c r="J378" i="5"/>
  <c r="H378" i="5"/>
  <c r="P377" i="5"/>
  <c r="O377" i="5"/>
  <c r="Q377" i="5" s="1"/>
  <c r="N377" i="5"/>
  <c r="M377" i="5"/>
  <c r="L377" i="5"/>
  <c r="K377" i="5"/>
  <c r="J377" i="5"/>
  <c r="H377" i="5"/>
  <c r="P376" i="5"/>
  <c r="O376" i="5"/>
  <c r="Q376" i="5" s="1"/>
  <c r="N376" i="5"/>
  <c r="M376" i="5"/>
  <c r="L376" i="5"/>
  <c r="K376" i="5"/>
  <c r="J376" i="5"/>
  <c r="H376" i="5"/>
  <c r="P375" i="5"/>
  <c r="O375" i="5"/>
  <c r="Q375" i="5" s="1"/>
  <c r="N375" i="5"/>
  <c r="M375" i="5"/>
  <c r="L375" i="5"/>
  <c r="K375" i="5"/>
  <c r="J375" i="5"/>
  <c r="H375" i="5"/>
  <c r="P374" i="5"/>
  <c r="O374" i="5"/>
  <c r="Q374" i="5" s="1"/>
  <c r="N374" i="5"/>
  <c r="M374" i="5"/>
  <c r="L374" i="5"/>
  <c r="K374" i="5"/>
  <c r="J374" i="5"/>
  <c r="H374" i="5"/>
  <c r="P373" i="5"/>
  <c r="O373" i="5"/>
  <c r="Q373" i="5" s="1"/>
  <c r="N373" i="5"/>
  <c r="M373" i="5"/>
  <c r="L373" i="5"/>
  <c r="K373" i="5"/>
  <c r="J373" i="5"/>
  <c r="H373" i="5"/>
  <c r="P372" i="5"/>
  <c r="O372" i="5"/>
  <c r="Q372" i="5" s="1"/>
  <c r="N372" i="5"/>
  <c r="M372" i="5"/>
  <c r="L372" i="5"/>
  <c r="K372" i="5"/>
  <c r="J372" i="5"/>
  <c r="H372" i="5"/>
  <c r="P371" i="5"/>
  <c r="O371" i="5"/>
  <c r="Q371" i="5" s="1"/>
  <c r="N371" i="5"/>
  <c r="M371" i="5"/>
  <c r="L371" i="5"/>
  <c r="K371" i="5"/>
  <c r="J371" i="5"/>
  <c r="H371" i="5"/>
  <c r="P370" i="5"/>
  <c r="O370" i="5"/>
  <c r="Q370" i="5" s="1"/>
  <c r="N370" i="5"/>
  <c r="M370" i="5"/>
  <c r="L370" i="5"/>
  <c r="K370" i="5"/>
  <c r="J370" i="5"/>
  <c r="H370" i="5"/>
  <c r="P369" i="5"/>
  <c r="O369" i="5"/>
  <c r="Q369" i="5" s="1"/>
  <c r="N369" i="5"/>
  <c r="M369" i="5"/>
  <c r="L369" i="5"/>
  <c r="K369" i="5"/>
  <c r="J369" i="5"/>
  <c r="H369" i="5"/>
  <c r="P368" i="5"/>
  <c r="O368" i="5"/>
  <c r="Q368" i="5" s="1"/>
  <c r="N368" i="5"/>
  <c r="M368" i="5"/>
  <c r="L368" i="5"/>
  <c r="K368" i="5"/>
  <c r="J368" i="5"/>
  <c r="H368" i="5"/>
  <c r="P367" i="5"/>
  <c r="O367" i="5"/>
  <c r="Q367" i="5" s="1"/>
  <c r="N367" i="5"/>
  <c r="M367" i="5"/>
  <c r="L367" i="5"/>
  <c r="K367" i="5"/>
  <c r="J367" i="5"/>
  <c r="H367" i="5"/>
  <c r="P366" i="5"/>
  <c r="O366" i="5"/>
  <c r="Q366" i="5" s="1"/>
  <c r="N366" i="5"/>
  <c r="M366" i="5"/>
  <c r="L366" i="5"/>
  <c r="K366" i="5"/>
  <c r="J366" i="5"/>
  <c r="H366" i="5"/>
  <c r="P365" i="5"/>
  <c r="O365" i="5"/>
  <c r="Q365" i="5" s="1"/>
  <c r="N365" i="5"/>
  <c r="M365" i="5"/>
  <c r="L365" i="5"/>
  <c r="K365" i="5"/>
  <c r="J365" i="5"/>
  <c r="H365" i="5"/>
  <c r="P364" i="5"/>
  <c r="O364" i="5"/>
  <c r="Q364" i="5" s="1"/>
  <c r="N364" i="5"/>
  <c r="M364" i="5"/>
  <c r="L364" i="5"/>
  <c r="K364" i="5"/>
  <c r="J364" i="5"/>
  <c r="H364" i="5"/>
  <c r="P363" i="5"/>
  <c r="O363" i="5"/>
  <c r="Q363" i="5" s="1"/>
  <c r="N363" i="5"/>
  <c r="M363" i="5"/>
  <c r="L363" i="5"/>
  <c r="K363" i="5"/>
  <c r="J363" i="5"/>
  <c r="H363" i="5"/>
  <c r="P362" i="5"/>
  <c r="O362" i="5"/>
  <c r="Q362" i="5" s="1"/>
  <c r="N362" i="5"/>
  <c r="M362" i="5"/>
  <c r="L362" i="5"/>
  <c r="K362" i="5"/>
  <c r="J362" i="5"/>
  <c r="H362" i="5"/>
  <c r="P361" i="5"/>
  <c r="O361" i="5"/>
  <c r="Q361" i="5" s="1"/>
  <c r="N361" i="5"/>
  <c r="M361" i="5"/>
  <c r="L361" i="5"/>
  <c r="K361" i="5"/>
  <c r="J361" i="5"/>
  <c r="H361" i="5"/>
  <c r="P360" i="5"/>
  <c r="O360" i="5"/>
  <c r="Q360" i="5" s="1"/>
  <c r="N360" i="5"/>
  <c r="M360" i="5"/>
  <c r="L360" i="5"/>
  <c r="K360" i="5"/>
  <c r="J360" i="5"/>
  <c r="H360" i="5"/>
  <c r="P359" i="5"/>
  <c r="O359" i="5"/>
  <c r="Q359" i="5" s="1"/>
  <c r="N359" i="5"/>
  <c r="M359" i="5"/>
  <c r="L359" i="5"/>
  <c r="K359" i="5"/>
  <c r="J359" i="5"/>
  <c r="H359" i="5"/>
  <c r="P358" i="5"/>
  <c r="O358" i="5"/>
  <c r="Q358" i="5" s="1"/>
  <c r="N358" i="5"/>
  <c r="M358" i="5"/>
  <c r="L358" i="5"/>
  <c r="K358" i="5"/>
  <c r="J358" i="5"/>
  <c r="H358" i="5"/>
  <c r="P357" i="5"/>
  <c r="O357" i="5"/>
  <c r="Q357" i="5" s="1"/>
  <c r="N357" i="5"/>
  <c r="M357" i="5"/>
  <c r="L357" i="5"/>
  <c r="K357" i="5"/>
  <c r="J357" i="5"/>
  <c r="H357" i="5"/>
  <c r="P356" i="5"/>
  <c r="O356" i="5"/>
  <c r="Q356" i="5" s="1"/>
  <c r="N356" i="5"/>
  <c r="M356" i="5"/>
  <c r="L356" i="5"/>
  <c r="K356" i="5"/>
  <c r="J356" i="5"/>
  <c r="H356" i="5"/>
  <c r="P355" i="5"/>
  <c r="O355" i="5"/>
  <c r="Q355" i="5" s="1"/>
  <c r="N355" i="5"/>
  <c r="M355" i="5"/>
  <c r="L355" i="5"/>
  <c r="K355" i="5"/>
  <c r="J355" i="5"/>
  <c r="H355" i="5"/>
  <c r="P354" i="5"/>
  <c r="O354" i="5"/>
  <c r="Q354" i="5" s="1"/>
  <c r="N354" i="5"/>
  <c r="M354" i="5"/>
  <c r="L354" i="5"/>
  <c r="K354" i="5"/>
  <c r="J354" i="5"/>
  <c r="H354" i="5"/>
  <c r="P353" i="5"/>
  <c r="O353" i="5"/>
  <c r="Q353" i="5" s="1"/>
  <c r="N353" i="5"/>
  <c r="M353" i="5"/>
  <c r="L353" i="5"/>
  <c r="K353" i="5"/>
  <c r="J353" i="5"/>
  <c r="H353" i="5"/>
  <c r="P352" i="5"/>
  <c r="O352" i="5"/>
  <c r="Q352" i="5" s="1"/>
  <c r="N352" i="5"/>
  <c r="M352" i="5"/>
  <c r="L352" i="5"/>
  <c r="K352" i="5"/>
  <c r="J352" i="5"/>
  <c r="H352" i="5"/>
  <c r="P351" i="5"/>
  <c r="O351" i="5"/>
  <c r="Q351" i="5" s="1"/>
  <c r="N351" i="5"/>
  <c r="M351" i="5"/>
  <c r="L351" i="5"/>
  <c r="K351" i="5"/>
  <c r="J351" i="5"/>
  <c r="H351" i="5"/>
  <c r="P350" i="5"/>
  <c r="O350" i="5"/>
  <c r="Q350" i="5" s="1"/>
  <c r="N350" i="5"/>
  <c r="M350" i="5"/>
  <c r="L350" i="5"/>
  <c r="K350" i="5"/>
  <c r="J350" i="5"/>
  <c r="H350" i="5"/>
  <c r="P349" i="5"/>
  <c r="O349" i="5"/>
  <c r="Q349" i="5" s="1"/>
  <c r="N349" i="5"/>
  <c r="M349" i="5"/>
  <c r="L349" i="5"/>
  <c r="K349" i="5"/>
  <c r="J349" i="5"/>
  <c r="H349" i="5"/>
  <c r="P348" i="5"/>
  <c r="O348" i="5"/>
  <c r="Q348" i="5" s="1"/>
  <c r="N348" i="5"/>
  <c r="M348" i="5"/>
  <c r="L348" i="5"/>
  <c r="K348" i="5"/>
  <c r="J348" i="5"/>
  <c r="H348" i="5"/>
  <c r="P347" i="5"/>
  <c r="O347" i="5"/>
  <c r="Q347" i="5" s="1"/>
  <c r="N347" i="5"/>
  <c r="M347" i="5"/>
  <c r="L347" i="5"/>
  <c r="K347" i="5"/>
  <c r="J347" i="5"/>
  <c r="H347" i="5"/>
  <c r="P346" i="5"/>
  <c r="O346" i="5"/>
  <c r="Q346" i="5" s="1"/>
  <c r="N346" i="5"/>
  <c r="M346" i="5"/>
  <c r="L346" i="5"/>
  <c r="K346" i="5"/>
  <c r="J346" i="5"/>
  <c r="H346" i="5"/>
  <c r="P345" i="5"/>
  <c r="O345" i="5"/>
  <c r="Q345" i="5" s="1"/>
  <c r="N345" i="5"/>
  <c r="M345" i="5"/>
  <c r="L345" i="5"/>
  <c r="K345" i="5"/>
  <c r="J345" i="5"/>
  <c r="H345" i="5"/>
  <c r="P344" i="5"/>
  <c r="O344" i="5"/>
  <c r="Q344" i="5" s="1"/>
  <c r="N344" i="5"/>
  <c r="M344" i="5"/>
  <c r="L344" i="5"/>
  <c r="K344" i="5"/>
  <c r="J344" i="5"/>
  <c r="H344" i="5"/>
  <c r="P343" i="5"/>
  <c r="O343" i="5"/>
  <c r="Q343" i="5" s="1"/>
  <c r="N343" i="5"/>
  <c r="M343" i="5"/>
  <c r="L343" i="5"/>
  <c r="K343" i="5"/>
  <c r="J343" i="5"/>
  <c r="H343" i="5"/>
  <c r="P342" i="5"/>
  <c r="O342" i="5"/>
  <c r="Q342" i="5" s="1"/>
  <c r="N342" i="5"/>
  <c r="M342" i="5"/>
  <c r="L342" i="5"/>
  <c r="K342" i="5"/>
  <c r="J342" i="5"/>
  <c r="H342" i="5"/>
  <c r="P341" i="5"/>
  <c r="O341" i="5"/>
  <c r="Q341" i="5" s="1"/>
  <c r="N341" i="5"/>
  <c r="M341" i="5"/>
  <c r="L341" i="5"/>
  <c r="K341" i="5"/>
  <c r="J341" i="5"/>
  <c r="H341" i="5"/>
  <c r="P340" i="5"/>
  <c r="O340" i="5"/>
  <c r="Q340" i="5" s="1"/>
  <c r="N340" i="5"/>
  <c r="M340" i="5"/>
  <c r="L340" i="5"/>
  <c r="K340" i="5"/>
  <c r="J340" i="5"/>
  <c r="H340" i="5"/>
  <c r="P339" i="5"/>
  <c r="O339" i="5"/>
  <c r="Q339" i="5" s="1"/>
  <c r="N339" i="5"/>
  <c r="M339" i="5"/>
  <c r="L339" i="5"/>
  <c r="K339" i="5"/>
  <c r="J339" i="5"/>
  <c r="H339" i="5"/>
  <c r="P338" i="5"/>
  <c r="O338" i="5"/>
  <c r="Q338" i="5" s="1"/>
  <c r="N338" i="5"/>
  <c r="M338" i="5"/>
  <c r="L338" i="5"/>
  <c r="K338" i="5"/>
  <c r="J338" i="5"/>
  <c r="H338" i="5"/>
  <c r="P337" i="5"/>
  <c r="O337" i="5"/>
  <c r="Q337" i="5" s="1"/>
  <c r="N337" i="5"/>
  <c r="M337" i="5"/>
  <c r="L337" i="5"/>
  <c r="K337" i="5"/>
  <c r="J337" i="5"/>
  <c r="H337" i="5"/>
  <c r="P336" i="5"/>
  <c r="O336" i="5"/>
  <c r="Q336" i="5" s="1"/>
  <c r="N336" i="5"/>
  <c r="M336" i="5"/>
  <c r="L336" i="5"/>
  <c r="K336" i="5"/>
  <c r="J336" i="5"/>
  <c r="H336" i="5"/>
  <c r="P335" i="5"/>
  <c r="O335" i="5"/>
  <c r="Q335" i="5" s="1"/>
  <c r="N335" i="5"/>
  <c r="M335" i="5"/>
  <c r="L335" i="5"/>
  <c r="K335" i="5"/>
  <c r="J335" i="5"/>
  <c r="H335" i="5"/>
  <c r="P334" i="5"/>
  <c r="O334" i="5"/>
  <c r="Q334" i="5" s="1"/>
  <c r="N334" i="5"/>
  <c r="M334" i="5"/>
  <c r="L334" i="5"/>
  <c r="K334" i="5"/>
  <c r="J334" i="5"/>
  <c r="H334" i="5"/>
  <c r="P333" i="5"/>
  <c r="O333" i="5"/>
  <c r="Q333" i="5" s="1"/>
  <c r="N333" i="5"/>
  <c r="M333" i="5"/>
  <c r="L333" i="5"/>
  <c r="K333" i="5"/>
  <c r="J333" i="5"/>
  <c r="H333" i="5"/>
  <c r="P332" i="5"/>
  <c r="O332" i="5"/>
  <c r="Q332" i="5" s="1"/>
  <c r="N332" i="5"/>
  <c r="M332" i="5"/>
  <c r="L332" i="5"/>
  <c r="K332" i="5"/>
  <c r="J332" i="5"/>
  <c r="H332" i="5"/>
  <c r="P331" i="5"/>
  <c r="O331" i="5"/>
  <c r="Q331" i="5" s="1"/>
  <c r="N331" i="5"/>
  <c r="M331" i="5"/>
  <c r="L331" i="5"/>
  <c r="K331" i="5"/>
  <c r="J331" i="5"/>
  <c r="H331" i="5"/>
  <c r="P330" i="5"/>
  <c r="O330" i="5"/>
  <c r="Q330" i="5" s="1"/>
  <c r="N330" i="5"/>
  <c r="M330" i="5"/>
  <c r="L330" i="5"/>
  <c r="K330" i="5"/>
  <c r="J330" i="5"/>
  <c r="H330" i="5"/>
  <c r="P329" i="5"/>
  <c r="O329" i="5"/>
  <c r="Q329" i="5" s="1"/>
  <c r="N329" i="5"/>
  <c r="M329" i="5"/>
  <c r="L329" i="5"/>
  <c r="K329" i="5"/>
  <c r="J329" i="5"/>
  <c r="H329" i="5"/>
  <c r="P328" i="5"/>
  <c r="O328" i="5"/>
  <c r="Q328" i="5" s="1"/>
  <c r="N328" i="5"/>
  <c r="M328" i="5"/>
  <c r="L328" i="5"/>
  <c r="K328" i="5"/>
  <c r="J328" i="5"/>
  <c r="H328" i="5"/>
  <c r="P327" i="5"/>
  <c r="O327" i="5"/>
  <c r="Q327" i="5" s="1"/>
  <c r="N327" i="5"/>
  <c r="M327" i="5"/>
  <c r="L327" i="5"/>
  <c r="K327" i="5"/>
  <c r="J327" i="5"/>
  <c r="H327" i="5"/>
  <c r="P326" i="5"/>
  <c r="O326" i="5"/>
  <c r="Q326" i="5" s="1"/>
  <c r="N326" i="5"/>
  <c r="M326" i="5"/>
  <c r="L326" i="5"/>
  <c r="K326" i="5"/>
  <c r="J326" i="5"/>
  <c r="H326" i="5"/>
  <c r="P325" i="5"/>
  <c r="O325" i="5"/>
  <c r="Q325" i="5" s="1"/>
  <c r="N325" i="5"/>
  <c r="M325" i="5"/>
  <c r="L325" i="5"/>
  <c r="K325" i="5"/>
  <c r="J325" i="5"/>
  <c r="H325" i="5"/>
  <c r="P324" i="5"/>
  <c r="O324" i="5"/>
  <c r="Q324" i="5" s="1"/>
  <c r="N324" i="5"/>
  <c r="M324" i="5"/>
  <c r="L324" i="5"/>
  <c r="K324" i="5"/>
  <c r="J324" i="5"/>
  <c r="H324" i="5"/>
  <c r="P323" i="5"/>
  <c r="O323" i="5"/>
  <c r="Q323" i="5" s="1"/>
  <c r="N323" i="5"/>
  <c r="M323" i="5"/>
  <c r="L323" i="5"/>
  <c r="K323" i="5"/>
  <c r="J323" i="5"/>
  <c r="H323" i="5"/>
  <c r="P322" i="5"/>
  <c r="O322" i="5"/>
  <c r="Q322" i="5" s="1"/>
  <c r="N322" i="5"/>
  <c r="M322" i="5"/>
  <c r="L322" i="5"/>
  <c r="K322" i="5"/>
  <c r="J322" i="5"/>
  <c r="H322" i="5"/>
  <c r="P321" i="5"/>
  <c r="O321" i="5"/>
  <c r="Q321" i="5" s="1"/>
  <c r="N321" i="5"/>
  <c r="M321" i="5"/>
  <c r="L321" i="5"/>
  <c r="K321" i="5"/>
  <c r="J321" i="5"/>
  <c r="H321" i="5"/>
  <c r="P320" i="5"/>
  <c r="O320" i="5"/>
  <c r="Q320" i="5" s="1"/>
  <c r="N320" i="5"/>
  <c r="M320" i="5"/>
  <c r="L320" i="5"/>
  <c r="K320" i="5"/>
  <c r="J320" i="5"/>
  <c r="H320" i="5"/>
  <c r="P319" i="5"/>
  <c r="O319" i="5"/>
  <c r="Q319" i="5" s="1"/>
  <c r="N319" i="5"/>
  <c r="M319" i="5"/>
  <c r="L319" i="5"/>
  <c r="K319" i="5"/>
  <c r="J319" i="5"/>
  <c r="H319" i="5"/>
  <c r="P318" i="5"/>
  <c r="O318" i="5"/>
  <c r="Q318" i="5" s="1"/>
  <c r="N318" i="5"/>
  <c r="M318" i="5"/>
  <c r="L318" i="5"/>
  <c r="K318" i="5"/>
  <c r="J318" i="5"/>
  <c r="H318" i="5"/>
  <c r="P317" i="5"/>
  <c r="O317" i="5"/>
  <c r="Q317" i="5" s="1"/>
  <c r="N317" i="5"/>
  <c r="M317" i="5"/>
  <c r="L317" i="5"/>
  <c r="K317" i="5"/>
  <c r="J317" i="5"/>
  <c r="H317" i="5"/>
  <c r="P316" i="5"/>
  <c r="O316" i="5"/>
  <c r="Q316" i="5" s="1"/>
  <c r="N316" i="5"/>
  <c r="M316" i="5"/>
  <c r="L316" i="5"/>
  <c r="K316" i="5"/>
  <c r="J316" i="5"/>
  <c r="H316" i="5"/>
  <c r="P315" i="5"/>
  <c r="O315" i="5"/>
  <c r="Q315" i="5" s="1"/>
  <c r="N315" i="5"/>
  <c r="M315" i="5"/>
  <c r="L315" i="5"/>
  <c r="K315" i="5"/>
  <c r="J315" i="5"/>
  <c r="H315" i="5"/>
  <c r="P314" i="5"/>
  <c r="O314" i="5"/>
  <c r="Q314" i="5" s="1"/>
  <c r="N314" i="5"/>
  <c r="M314" i="5"/>
  <c r="L314" i="5"/>
  <c r="K314" i="5"/>
  <c r="J314" i="5"/>
  <c r="H314" i="5"/>
  <c r="P313" i="5"/>
  <c r="O313" i="5"/>
  <c r="Q313" i="5" s="1"/>
  <c r="N313" i="5"/>
  <c r="M313" i="5"/>
  <c r="L313" i="5"/>
  <c r="K313" i="5"/>
  <c r="J313" i="5"/>
  <c r="H313" i="5"/>
  <c r="P312" i="5"/>
  <c r="O312" i="5"/>
  <c r="Q312" i="5" s="1"/>
  <c r="N312" i="5"/>
  <c r="M312" i="5"/>
  <c r="L312" i="5"/>
  <c r="K312" i="5"/>
  <c r="J312" i="5"/>
  <c r="H312" i="5"/>
  <c r="P311" i="5"/>
  <c r="O311" i="5"/>
  <c r="Q311" i="5" s="1"/>
  <c r="N311" i="5"/>
  <c r="M311" i="5"/>
  <c r="L311" i="5"/>
  <c r="K311" i="5"/>
  <c r="J311" i="5"/>
  <c r="H311" i="5"/>
  <c r="P310" i="5"/>
  <c r="O310" i="5"/>
  <c r="Q310" i="5" s="1"/>
  <c r="N310" i="5"/>
  <c r="M310" i="5"/>
  <c r="L310" i="5"/>
  <c r="K310" i="5"/>
  <c r="J310" i="5"/>
  <c r="H310" i="5"/>
  <c r="P309" i="5"/>
  <c r="O309" i="5"/>
  <c r="Q309" i="5" s="1"/>
  <c r="N309" i="5"/>
  <c r="M309" i="5"/>
  <c r="L309" i="5"/>
  <c r="K309" i="5"/>
  <c r="J309" i="5"/>
  <c r="H309" i="5"/>
  <c r="P308" i="5"/>
  <c r="O308" i="5"/>
  <c r="Q308" i="5" s="1"/>
  <c r="N308" i="5"/>
  <c r="M308" i="5"/>
  <c r="L308" i="5"/>
  <c r="K308" i="5"/>
  <c r="J308" i="5"/>
  <c r="H308" i="5"/>
  <c r="P307" i="5"/>
  <c r="O307" i="5"/>
  <c r="Q307" i="5" s="1"/>
  <c r="N307" i="5"/>
  <c r="M307" i="5"/>
  <c r="L307" i="5"/>
  <c r="K307" i="5"/>
  <c r="J307" i="5"/>
  <c r="H307" i="5"/>
  <c r="P306" i="5"/>
  <c r="O306" i="5"/>
  <c r="Q306" i="5" s="1"/>
  <c r="N306" i="5"/>
  <c r="M306" i="5"/>
  <c r="L306" i="5"/>
  <c r="K306" i="5"/>
  <c r="J306" i="5"/>
  <c r="H306" i="5"/>
  <c r="P305" i="5"/>
  <c r="O305" i="5"/>
  <c r="Q305" i="5" s="1"/>
  <c r="N305" i="5"/>
  <c r="M305" i="5"/>
  <c r="L305" i="5"/>
  <c r="K305" i="5"/>
  <c r="J305" i="5"/>
  <c r="H305" i="5"/>
  <c r="P304" i="5"/>
  <c r="O304" i="5"/>
  <c r="Q304" i="5" s="1"/>
  <c r="N304" i="5"/>
  <c r="M304" i="5"/>
  <c r="L304" i="5"/>
  <c r="K304" i="5"/>
  <c r="J304" i="5"/>
  <c r="H304" i="5"/>
  <c r="P303" i="5"/>
  <c r="O303" i="5"/>
  <c r="Q303" i="5" s="1"/>
  <c r="N303" i="5"/>
  <c r="M303" i="5"/>
  <c r="L303" i="5"/>
  <c r="K303" i="5"/>
  <c r="J303" i="5"/>
  <c r="H303" i="5"/>
  <c r="P302" i="5"/>
  <c r="O302" i="5"/>
  <c r="Q302" i="5" s="1"/>
  <c r="N302" i="5"/>
  <c r="M302" i="5"/>
  <c r="L302" i="5"/>
  <c r="K302" i="5"/>
  <c r="J302" i="5"/>
  <c r="H302" i="5"/>
  <c r="P301" i="5"/>
  <c r="O301" i="5"/>
  <c r="Q301" i="5" s="1"/>
  <c r="N301" i="5"/>
  <c r="M301" i="5"/>
  <c r="L301" i="5"/>
  <c r="K301" i="5"/>
  <c r="J301" i="5"/>
  <c r="H301" i="5"/>
  <c r="P300" i="5"/>
  <c r="O300" i="5"/>
  <c r="Q300" i="5" s="1"/>
  <c r="N300" i="5"/>
  <c r="M300" i="5"/>
  <c r="L300" i="5"/>
  <c r="K300" i="5"/>
  <c r="J300" i="5"/>
  <c r="H300" i="5"/>
  <c r="P299" i="5"/>
  <c r="O299" i="5"/>
  <c r="Q299" i="5" s="1"/>
  <c r="N299" i="5"/>
  <c r="M299" i="5"/>
  <c r="L299" i="5"/>
  <c r="K299" i="5"/>
  <c r="J299" i="5"/>
  <c r="H299" i="5"/>
  <c r="P298" i="5"/>
  <c r="O298" i="5"/>
  <c r="Q298" i="5" s="1"/>
  <c r="N298" i="5"/>
  <c r="M298" i="5"/>
  <c r="L298" i="5"/>
  <c r="K298" i="5"/>
  <c r="J298" i="5"/>
  <c r="H298" i="5"/>
  <c r="P297" i="5"/>
  <c r="O297" i="5"/>
  <c r="Q297" i="5" s="1"/>
  <c r="N297" i="5"/>
  <c r="M297" i="5"/>
  <c r="L297" i="5"/>
  <c r="K297" i="5"/>
  <c r="J297" i="5"/>
  <c r="H297" i="5"/>
  <c r="P296" i="5"/>
  <c r="O296" i="5"/>
  <c r="Q296" i="5" s="1"/>
  <c r="N296" i="5"/>
  <c r="M296" i="5"/>
  <c r="L296" i="5"/>
  <c r="K296" i="5"/>
  <c r="J296" i="5"/>
  <c r="H296" i="5"/>
  <c r="P295" i="5"/>
  <c r="O295" i="5"/>
  <c r="Q295" i="5" s="1"/>
  <c r="N295" i="5"/>
  <c r="M295" i="5"/>
  <c r="L295" i="5"/>
  <c r="K295" i="5"/>
  <c r="J295" i="5"/>
  <c r="H295" i="5"/>
  <c r="P294" i="5"/>
  <c r="O294" i="5"/>
  <c r="Q294" i="5" s="1"/>
  <c r="N294" i="5"/>
  <c r="M294" i="5"/>
  <c r="L294" i="5"/>
  <c r="K294" i="5"/>
  <c r="J294" i="5"/>
  <c r="H294" i="5"/>
  <c r="P293" i="5"/>
  <c r="O293" i="5"/>
  <c r="Q293" i="5" s="1"/>
  <c r="N293" i="5"/>
  <c r="M293" i="5"/>
  <c r="L293" i="5"/>
  <c r="K293" i="5"/>
  <c r="J293" i="5"/>
  <c r="H293" i="5"/>
  <c r="P292" i="5"/>
  <c r="O292" i="5"/>
  <c r="Q292" i="5" s="1"/>
  <c r="N292" i="5"/>
  <c r="M292" i="5"/>
  <c r="L292" i="5"/>
  <c r="K292" i="5"/>
  <c r="J292" i="5"/>
  <c r="H292" i="5"/>
  <c r="P291" i="5"/>
  <c r="O291" i="5"/>
  <c r="Q291" i="5" s="1"/>
  <c r="N291" i="5"/>
  <c r="M291" i="5"/>
  <c r="L291" i="5"/>
  <c r="K291" i="5"/>
  <c r="J291" i="5"/>
  <c r="H291" i="5"/>
  <c r="P290" i="5"/>
  <c r="O290" i="5"/>
  <c r="Q290" i="5" s="1"/>
  <c r="N290" i="5"/>
  <c r="M290" i="5"/>
  <c r="L290" i="5"/>
  <c r="K290" i="5"/>
  <c r="J290" i="5"/>
  <c r="H290" i="5"/>
  <c r="P289" i="5"/>
  <c r="O289" i="5"/>
  <c r="Q289" i="5" s="1"/>
  <c r="N289" i="5"/>
  <c r="M289" i="5"/>
  <c r="L289" i="5"/>
  <c r="K289" i="5"/>
  <c r="J289" i="5"/>
  <c r="H289" i="5"/>
  <c r="P288" i="5"/>
  <c r="O288" i="5"/>
  <c r="Q288" i="5" s="1"/>
  <c r="N288" i="5"/>
  <c r="M288" i="5"/>
  <c r="L288" i="5"/>
  <c r="K288" i="5"/>
  <c r="J288" i="5"/>
  <c r="H288" i="5"/>
  <c r="P287" i="5"/>
  <c r="O287" i="5"/>
  <c r="Q287" i="5" s="1"/>
  <c r="N287" i="5"/>
  <c r="M287" i="5"/>
  <c r="L287" i="5"/>
  <c r="K287" i="5"/>
  <c r="J287" i="5"/>
  <c r="H287" i="5"/>
  <c r="P286" i="5"/>
  <c r="O286" i="5"/>
  <c r="Q286" i="5" s="1"/>
  <c r="N286" i="5"/>
  <c r="M286" i="5"/>
  <c r="L286" i="5"/>
  <c r="K286" i="5"/>
  <c r="J286" i="5"/>
  <c r="H286" i="5"/>
  <c r="P285" i="5"/>
  <c r="O285" i="5"/>
  <c r="Q285" i="5" s="1"/>
  <c r="N285" i="5"/>
  <c r="M285" i="5"/>
  <c r="L285" i="5"/>
  <c r="K285" i="5"/>
  <c r="J285" i="5"/>
  <c r="H285" i="5"/>
  <c r="P284" i="5"/>
  <c r="O284" i="5"/>
  <c r="Q284" i="5" s="1"/>
  <c r="N284" i="5"/>
  <c r="M284" i="5"/>
  <c r="L284" i="5"/>
  <c r="K284" i="5"/>
  <c r="J284" i="5"/>
  <c r="H284" i="5"/>
  <c r="P283" i="5"/>
  <c r="O283" i="5"/>
  <c r="Q283" i="5" s="1"/>
  <c r="N283" i="5"/>
  <c r="M283" i="5"/>
  <c r="L283" i="5"/>
  <c r="K283" i="5"/>
  <c r="J283" i="5"/>
  <c r="H283" i="5"/>
  <c r="P282" i="5"/>
  <c r="O282" i="5"/>
  <c r="Q282" i="5" s="1"/>
  <c r="N282" i="5"/>
  <c r="M282" i="5"/>
  <c r="L282" i="5"/>
  <c r="K282" i="5"/>
  <c r="J282" i="5"/>
  <c r="H282" i="5"/>
  <c r="P281" i="5"/>
  <c r="O281" i="5"/>
  <c r="Q281" i="5" s="1"/>
  <c r="N281" i="5"/>
  <c r="M281" i="5"/>
  <c r="L281" i="5"/>
  <c r="K281" i="5"/>
  <c r="J281" i="5"/>
  <c r="H281" i="5"/>
  <c r="P280" i="5"/>
  <c r="O280" i="5"/>
  <c r="Q280" i="5" s="1"/>
  <c r="N280" i="5"/>
  <c r="M280" i="5"/>
  <c r="L280" i="5"/>
  <c r="K280" i="5"/>
  <c r="J280" i="5"/>
  <c r="H280" i="5"/>
  <c r="P279" i="5"/>
  <c r="O279" i="5"/>
  <c r="Q279" i="5" s="1"/>
  <c r="N279" i="5"/>
  <c r="M279" i="5"/>
  <c r="L279" i="5"/>
  <c r="K279" i="5"/>
  <c r="J279" i="5"/>
  <c r="H279" i="5"/>
  <c r="P278" i="5"/>
  <c r="O278" i="5"/>
  <c r="Q278" i="5" s="1"/>
  <c r="N278" i="5"/>
  <c r="M278" i="5"/>
  <c r="L278" i="5"/>
  <c r="K278" i="5"/>
  <c r="J278" i="5"/>
  <c r="H278" i="5"/>
  <c r="P277" i="5"/>
  <c r="O277" i="5"/>
  <c r="Q277" i="5" s="1"/>
  <c r="N277" i="5"/>
  <c r="M277" i="5"/>
  <c r="L277" i="5"/>
  <c r="K277" i="5"/>
  <c r="J277" i="5"/>
  <c r="H277" i="5"/>
  <c r="P276" i="5"/>
  <c r="O276" i="5"/>
  <c r="Q276" i="5" s="1"/>
  <c r="N276" i="5"/>
  <c r="M276" i="5"/>
  <c r="L276" i="5"/>
  <c r="K276" i="5"/>
  <c r="J276" i="5"/>
  <c r="H276" i="5"/>
  <c r="P275" i="5"/>
  <c r="O275" i="5"/>
  <c r="Q275" i="5" s="1"/>
  <c r="N275" i="5"/>
  <c r="M275" i="5"/>
  <c r="L275" i="5"/>
  <c r="K275" i="5"/>
  <c r="J275" i="5"/>
  <c r="H275" i="5"/>
  <c r="P274" i="5"/>
  <c r="O274" i="5"/>
  <c r="Q274" i="5" s="1"/>
  <c r="N274" i="5"/>
  <c r="M274" i="5"/>
  <c r="L274" i="5"/>
  <c r="K274" i="5"/>
  <c r="J274" i="5"/>
  <c r="H274" i="5"/>
  <c r="P273" i="5"/>
  <c r="O273" i="5"/>
  <c r="Q273" i="5" s="1"/>
  <c r="N273" i="5"/>
  <c r="M273" i="5"/>
  <c r="L273" i="5"/>
  <c r="K273" i="5"/>
  <c r="J273" i="5"/>
  <c r="H273" i="5"/>
  <c r="P272" i="5"/>
  <c r="O272" i="5"/>
  <c r="Q272" i="5" s="1"/>
  <c r="N272" i="5"/>
  <c r="M272" i="5"/>
  <c r="L272" i="5"/>
  <c r="K272" i="5"/>
  <c r="J272" i="5"/>
  <c r="H272" i="5"/>
  <c r="P271" i="5"/>
  <c r="O271" i="5"/>
  <c r="Q271" i="5" s="1"/>
  <c r="N271" i="5"/>
  <c r="M271" i="5"/>
  <c r="L271" i="5"/>
  <c r="K271" i="5"/>
  <c r="J271" i="5"/>
  <c r="H271" i="5"/>
  <c r="P270" i="5"/>
  <c r="O270" i="5"/>
  <c r="Q270" i="5" s="1"/>
  <c r="N270" i="5"/>
  <c r="M270" i="5"/>
  <c r="L270" i="5"/>
  <c r="K270" i="5"/>
  <c r="J270" i="5"/>
  <c r="H270" i="5"/>
  <c r="P269" i="5"/>
  <c r="O269" i="5"/>
  <c r="Q269" i="5" s="1"/>
  <c r="N269" i="5"/>
  <c r="M269" i="5"/>
  <c r="L269" i="5"/>
  <c r="K269" i="5"/>
  <c r="J269" i="5"/>
  <c r="H269" i="5"/>
  <c r="P268" i="5"/>
  <c r="O268" i="5"/>
  <c r="Q268" i="5" s="1"/>
  <c r="N268" i="5"/>
  <c r="M268" i="5"/>
  <c r="L268" i="5"/>
  <c r="K268" i="5"/>
  <c r="J268" i="5"/>
  <c r="H268" i="5"/>
  <c r="P267" i="5"/>
  <c r="O267" i="5"/>
  <c r="Q267" i="5" s="1"/>
  <c r="N267" i="5"/>
  <c r="M267" i="5"/>
  <c r="L267" i="5"/>
  <c r="K267" i="5"/>
  <c r="J267" i="5"/>
  <c r="H267" i="5"/>
  <c r="P266" i="5"/>
  <c r="O266" i="5"/>
  <c r="Q266" i="5" s="1"/>
  <c r="N266" i="5"/>
  <c r="M266" i="5"/>
  <c r="L266" i="5"/>
  <c r="K266" i="5"/>
  <c r="J266" i="5"/>
  <c r="H266" i="5"/>
  <c r="P265" i="5"/>
  <c r="O265" i="5"/>
  <c r="Q265" i="5" s="1"/>
  <c r="N265" i="5"/>
  <c r="M265" i="5"/>
  <c r="L265" i="5"/>
  <c r="K265" i="5"/>
  <c r="J265" i="5"/>
  <c r="H265" i="5"/>
  <c r="P264" i="5"/>
  <c r="O264" i="5"/>
  <c r="Q264" i="5" s="1"/>
  <c r="N264" i="5"/>
  <c r="M264" i="5"/>
  <c r="L264" i="5"/>
  <c r="K264" i="5"/>
  <c r="J264" i="5"/>
  <c r="H264" i="5"/>
  <c r="P263" i="5"/>
  <c r="O263" i="5"/>
  <c r="Q263" i="5" s="1"/>
  <c r="N263" i="5"/>
  <c r="M263" i="5"/>
  <c r="L263" i="5"/>
  <c r="K263" i="5"/>
  <c r="J263" i="5"/>
  <c r="H263" i="5"/>
  <c r="P262" i="5"/>
  <c r="O262" i="5"/>
  <c r="Q262" i="5" s="1"/>
  <c r="N262" i="5"/>
  <c r="M262" i="5"/>
  <c r="L262" i="5"/>
  <c r="K262" i="5"/>
  <c r="J262" i="5"/>
  <c r="H262" i="5"/>
  <c r="P261" i="5"/>
  <c r="O261" i="5"/>
  <c r="Q261" i="5" s="1"/>
  <c r="N261" i="5"/>
  <c r="M261" i="5"/>
  <c r="L261" i="5"/>
  <c r="K261" i="5"/>
  <c r="J261" i="5"/>
  <c r="H261" i="5"/>
  <c r="P260" i="5"/>
  <c r="O260" i="5"/>
  <c r="Q260" i="5" s="1"/>
  <c r="N260" i="5"/>
  <c r="M260" i="5"/>
  <c r="L260" i="5"/>
  <c r="K260" i="5"/>
  <c r="J260" i="5"/>
  <c r="H260" i="5"/>
  <c r="P259" i="5"/>
  <c r="O259" i="5"/>
  <c r="Q259" i="5" s="1"/>
  <c r="N259" i="5"/>
  <c r="M259" i="5"/>
  <c r="L259" i="5"/>
  <c r="K259" i="5"/>
  <c r="J259" i="5"/>
  <c r="H259" i="5"/>
  <c r="P258" i="5"/>
  <c r="O258" i="5"/>
  <c r="Q258" i="5" s="1"/>
  <c r="N258" i="5"/>
  <c r="M258" i="5"/>
  <c r="L258" i="5"/>
  <c r="K258" i="5"/>
  <c r="J258" i="5"/>
  <c r="H258" i="5"/>
  <c r="P257" i="5"/>
  <c r="O257" i="5"/>
  <c r="Q257" i="5" s="1"/>
  <c r="N257" i="5"/>
  <c r="M257" i="5"/>
  <c r="L257" i="5"/>
  <c r="K257" i="5"/>
  <c r="J257" i="5"/>
  <c r="H257" i="5"/>
  <c r="P256" i="5"/>
  <c r="O256" i="5"/>
  <c r="Q256" i="5" s="1"/>
  <c r="N256" i="5"/>
  <c r="M256" i="5"/>
  <c r="L256" i="5"/>
  <c r="K256" i="5"/>
  <c r="J256" i="5"/>
  <c r="H256" i="5"/>
  <c r="P255" i="5"/>
  <c r="O255" i="5"/>
  <c r="Q255" i="5" s="1"/>
  <c r="N255" i="5"/>
  <c r="M255" i="5"/>
  <c r="L255" i="5"/>
  <c r="K255" i="5"/>
  <c r="J255" i="5"/>
  <c r="H255" i="5"/>
  <c r="P254" i="5"/>
  <c r="O254" i="5"/>
  <c r="Q254" i="5" s="1"/>
  <c r="N254" i="5"/>
  <c r="M254" i="5"/>
  <c r="L254" i="5"/>
  <c r="K254" i="5"/>
  <c r="J254" i="5"/>
  <c r="H254" i="5"/>
  <c r="P253" i="5"/>
  <c r="O253" i="5"/>
  <c r="Q253" i="5" s="1"/>
  <c r="N253" i="5"/>
  <c r="M253" i="5"/>
  <c r="L253" i="5"/>
  <c r="K253" i="5"/>
  <c r="J253" i="5"/>
  <c r="H253" i="5"/>
  <c r="P252" i="5"/>
  <c r="O252" i="5"/>
  <c r="Q252" i="5" s="1"/>
  <c r="N252" i="5"/>
  <c r="M252" i="5"/>
  <c r="L252" i="5"/>
  <c r="K252" i="5"/>
  <c r="J252" i="5"/>
  <c r="H252" i="5"/>
  <c r="P251" i="5"/>
  <c r="O251" i="5"/>
  <c r="Q251" i="5" s="1"/>
  <c r="N251" i="5"/>
  <c r="M251" i="5"/>
  <c r="L251" i="5"/>
  <c r="K251" i="5"/>
  <c r="J251" i="5"/>
  <c r="H251" i="5"/>
  <c r="P250" i="5"/>
  <c r="O250" i="5"/>
  <c r="Q250" i="5" s="1"/>
  <c r="N250" i="5"/>
  <c r="M250" i="5"/>
  <c r="L250" i="5"/>
  <c r="K250" i="5"/>
  <c r="J250" i="5"/>
  <c r="H250" i="5"/>
  <c r="P249" i="5"/>
  <c r="O249" i="5"/>
  <c r="Q249" i="5" s="1"/>
  <c r="N249" i="5"/>
  <c r="M249" i="5"/>
  <c r="L249" i="5"/>
  <c r="K249" i="5"/>
  <c r="J249" i="5"/>
  <c r="H249" i="5"/>
  <c r="P248" i="5"/>
  <c r="O248" i="5"/>
  <c r="Q248" i="5" s="1"/>
  <c r="N248" i="5"/>
  <c r="M248" i="5"/>
  <c r="L248" i="5"/>
  <c r="K248" i="5"/>
  <c r="J248" i="5"/>
  <c r="H248" i="5"/>
  <c r="P247" i="5"/>
  <c r="O247" i="5"/>
  <c r="Q247" i="5" s="1"/>
  <c r="N247" i="5"/>
  <c r="M247" i="5"/>
  <c r="L247" i="5"/>
  <c r="K247" i="5"/>
  <c r="J247" i="5"/>
  <c r="H247" i="5"/>
  <c r="P246" i="5"/>
  <c r="O246" i="5"/>
  <c r="Q246" i="5" s="1"/>
  <c r="N246" i="5"/>
  <c r="M246" i="5"/>
  <c r="L246" i="5"/>
  <c r="K246" i="5"/>
  <c r="J246" i="5"/>
  <c r="H246" i="5"/>
  <c r="P245" i="5"/>
  <c r="O245" i="5"/>
  <c r="Q245" i="5" s="1"/>
  <c r="N245" i="5"/>
  <c r="M245" i="5"/>
  <c r="L245" i="5"/>
  <c r="K245" i="5"/>
  <c r="J245" i="5"/>
  <c r="H245" i="5"/>
  <c r="P244" i="5"/>
  <c r="O244" i="5"/>
  <c r="Q244" i="5" s="1"/>
  <c r="N244" i="5"/>
  <c r="M244" i="5"/>
  <c r="L244" i="5"/>
  <c r="K244" i="5"/>
  <c r="J244" i="5"/>
  <c r="H244" i="5"/>
  <c r="P243" i="5"/>
  <c r="O243" i="5"/>
  <c r="Q243" i="5" s="1"/>
  <c r="N243" i="5"/>
  <c r="M243" i="5"/>
  <c r="L243" i="5"/>
  <c r="K243" i="5"/>
  <c r="J243" i="5"/>
  <c r="H243" i="5"/>
  <c r="P242" i="5"/>
  <c r="O242" i="5"/>
  <c r="Q242" i="5" s="1"/>
  <c r="N242" i="5"/>
  <c r="M242" i="5"/>
  <c r="L242" i="5"/>
  <c r="K242" i="5"/>
  <c r="J242" i="5"/>
  <c r="H242" i="5"/>
  <c r="P241" i="5"/>
  <c r="O241" i="5"/>
  <c r="Q241" i="5" s="1"/>
  <c r="N241" i="5"/>
  <c r="M241" i="5"/>
  <c r="L241" i="5"/>
  <c r="K241" i="5"/>
  <c r="J241" i="5"/>
  <c r="H241" i="5"/>
  <c r="P240" i="5"/>
  <c r="O240" i="5"/>
  <c r="Q240" i="5" s="1"/>
  <c r="N240" i="5"/>
  <c r="M240" i="5"/>
  <c r="L240" i="5"/>
  <c r="K240" i="5"/>
  <c r="J240" i="5"/>
  <c r="H240" i="5"/>
  <c r="P239" i="5"/>
  <c r="O239" i="5"/>
  <c r="Q239" i="5" s="1"/>
  <c r="N239" i="5"/>
  <c r="M239" i="5"/>
  <c r="L239" i="5"/>
  <c r="K239" i="5"/>
  <c r="J239" i="5"/>
  <c r="H239" i="5"/>
  <c r="P238" i="5"/>
  <c r="O238" i="5"/>
  <c r="Q238" i="5" s="1"/>
  <c r="N238" i="5"/>
  <c r="M238" i="5"/>
  <c r="L238" i="5"/>
  <c r="K238" i="5"/>
  <c r="J238" i="5"/>
  <c r="H238" i="5"/>
  <c r="P237" i="5"/>
  <c r="O237" i="5"/>
  <c r="Q237" i="5" s="1"/>
  <c r="N237" i="5"/>
  <c r="M237" i="5"/>
  <c r="L237" i="5"/>
  <c r="K237" i="5"/>
  <c r="J237" i="5"/>
  <c r="H237" i="5"/>
  <c r="P236" i="5"/>
  <c r="O236" i="5"/>
  <c r="Q236" i="5" s="1"/>
  <c r="N236" i="5"/>
  <c r="M236" i="5"/>
  <c r="L236" i="5"/>
  <c r="K236" i="5"/>
  <c r="J236" i="5"/>
  <c r="H236" i="5"/>
  <c r="P235" i="5"/>
  <c r="O235" i="5"/>
  <c r="Q235" i="5" s="1"/>
  <c r="N235" i="5"/>
  <c r="M235" i="5"/>
  <c r="L235" i="5"/>
  <c r="K235" i="5"/>
  <c r="J235" i="5"/>
  <c r="H235" i="5"/>
  <c r="P234" i="5"/>
  <c r="O234" i="5"/>
  <c r="Q234" i="5" s="1"/>
  <c r="N234" i="5"/>
  <c r="M234" i="5"/>
  <c r="L234" i="5"/>
  <c r="K234" i="5"/>
  <c r="J234" i="5"/>
  <c r="H234" i="5"/>
  <c r="P233" i="5"/>
  <c r="O233" i="5"/>
  <c r="Q233" i="5" s="1"/>
  <c r="N233" i="5"/>
  <c r="M233" i="5"/>
  <c r="L233" i="5"/>
  <c r="K233" i="5"/>
  <c r="J233" i="5"/>
  <c r="H233" i="5"/>
  <c r="P232" i="5"/>
  <c r="O232" i="5"/>
  <c r="Q232" i="5" s="1"/>
  <c r="N232" i="5"/>
  <c r="M232" i="5"/>
  <c r="L232" i="5"/>
  <c r="K232" i="5"/>
  <c r="J232" i="5"/>
  <c r="H232" i="5"/>
  <c r="P231" i="5"/>
  <c r="O231" i="5"/>
  <c r="Q231" i="5" s="1"/>
  <c r="N231" i="5"/>
  <c r="M231" i="5"/>
  <c r="L231" i="5"/>
  <c r="K231" i="5"/>
  <c r="J231" i="5"/>
  <c r="H231" i="5"/>
  <c r="P230" i="5"/>
  <c r="O230" i="5"/>
  <c r="Q230" i="5" s="1"/>
  <c r="N230" i="5"/>
  <c r="M230" i="5"/>
  <c r="L230" i="5"/>
  <c r="K230" i="5"/>
  <c r="J230" i="5"/>
  <c r="H230" i="5"/>
  <c r="P229" i="5"/>
  <c r="O229" i="5"/>
  <c r="Q229" i="5" s="1"/>
  <c r="N229" i="5"/>
  <c r="M229" i="5"/>
  <c r="L229" i="5"/>
  <c r="K229" i="5"/>
  <c r="J229" i="5"/>
  <c r="H229" i="5"/>
  <c r="P228" i="5"/>
  <c r="O228" i="5"/>
  <c r="Q228" i="5" s="1"/>
  <c r="N228" i="5"/>
  <c r="M228" i="5"/>
  <c r="L228" i="5"/>
  <c r="K228" i="5"/>
  <c r="J228" i="5"/>
  <c r="H228" i="5"/>
  <c r="P227" i="5"/>
  <c r="O227" i="5"/>
  <c r="Q227" i="5" s="1"/>
  <c r="N227" i="5"/>
  <c r="M227" i="5"/>
  <c r="L227" i="5"/>
  <c r="K227" i="5"/>
  <c r="J227" i="5"/>
  <c r="H227" i="5"/>
  <c r="P226" i="5"/>
  <c r="O226" i="5"/>
  <c r="Q226" i="5" s="1"/>
  <c r="N226" i="5"/>
  <c r="M226" i="5"/>
  <c r="L226" i="5"/>
  <c r="K226" i="5"/>
  <c r="J226" i="5"/>
  <c r="H226" i="5"/>
  <c r="P225" i="5"/>
  <c r="O225" i="5"/>
  <c r="Q225" i="5" s="1"/>
  <c r="N225" i="5"/>
  <c r="M225" i="5"/>
  <c r="L225" i="5"/>
  <c r="K225" i="5"/>
  <c r="J225" i="5"/>
  <c r="H225" i="5"/>
  <c r="P224" i="5"/>
  <c r="O224" i="5"/>
  <c r="Q224" i="5" s="1"/>
  <c r="N224" i="5"/>
  <c r="M224" i="5"/>
  <c r="L224" i="5"/>
  <c r="K224" i="5"/>
  <c r="J224" i="5"/>
  <c r="H224" i="5"/>
  <c r="P223" i="5"/>
  <c r="O223" i="5"/>
  <c r="Q223" i="5" s="1"/>
  <c r="N223" i="5"/>
  <c r="M223" i="5"/>
  <c r="L223" i="5"/>
  <c r="K223" i="5"/>
  <c r="J223" i="5"/>
  <c r="H223" i="5"/>
  <c r="P222" i="5"/>
  <c r="O222" i="5"/>
  <c r="Q222" i="5" s="1"/>
  <c r="N222" i="5"/>
  <c r="M222" i="5"/>
  <c r="L222" i="5"/>
  <c r="K222" i="5"/>
  <c r="J222" i="5"/>
  <c r="H222" i="5"/>
  <c r="P221" i="5"/>
  <c r="O221" i="5"/>
  <c r="Q221" i="5" s="1"/>
  <c r="N221" i="5"/>
  <c r="M221" i="5"/>
  <c r="L221" i="5"/>
  <c r="K221" i="5"/>
  <c r="J221" i="5"/>
  <c r="H221" i="5"/>
  <c r="P220" i="5"/>
  <c r="O220" i="5"/>
  <c r="Q220" i="5" s="1"/>
  <c r="N220" i="5"/>
  <c r="M220" i="5"/>
  <c r="L220" i="5"/>
  <c r="K220" i="5"/>
  <c r="J220" i="5"/>
  <c r="H220" i="5"/>
  <c r="P219" i="5"/>
  <c r="O219" i="5"/>
  <c r="Q219" i="5" s="1"/>
  <c r="N219" i="5"/>
  <c r="M219" i="5"/>
  <c r="L219" i="5"/>
  <c r="K219" i="5"/>
  <c r="J219" i="5"/>
  <c r="H219" i="5"/>
  <c r="P218" i="5"/>
  <c r="O218" i="5"/>
  <c r="Q218" i="5" s="1"/>
  <c r="N218" i="5"/>
  <c r="M218" i="5"/>
  <c r="L218" i="5"/>
  <c r="K218" i="5"/>
  <c r="J218" i="5"/>
  <c r="H218" i="5"/>
  <c r="P217" i="5"/>
  <c r="O217" i="5"/>
  <c r="Q217" i="5" s="1"/>
  <c r="N217" i="5"/>
  <c r="M217" i="5"/>
  <c r="L217" i="5"/>
  <c r="K217" i="5"/>
  <c r="J217" i="5"/>
  <c r="H217" i="5"/>
  <c r="P216" i="5"/>
  <c r="O216" i="5"/>
  <c r="Q216" i="5" s="1"/>
  <c r="N216" i="5"/>
  <c r="M216" i="5"/>
  <c r="L216" i="5"/>
  <c r="K216" i="5"/>
  <c r="J216" i="5"/>
  <c r="H216" i="5"/>
  <c r="P215" i="5"/>
  <c r="O215" i="5"/>
  <c r="Q215" i="5" s="1"/>
  <c r="N215" i="5"/>
  <c r="M215" i="5"/>
  <c r="L215" i="5"/>
  <c r="K215" i="5"/>
  <c r="J215" i="5"/>
  <c r="H215" i="5"/>
  <c r="P214" i="5"/>
  <c r="O214" i="5"/>
  <c r="Q214" i="5" s="1"/>
  <c r="N214" i="5"/>
  <c r="M214" i="5"/>
  <c r="L214" i="5"/>
  <c r="K214" i="5"/>
  <c r="J214" i="5"/>
  <c r="H214" i="5"/>
  <c r="P213" i="5"/>
  <c r="O213" i="5"/>
  <c r="Q213" i="5" s="1"/>
  <c r="N213" i="5"/>
  <c r="M213" i="5"/>
  <c r="L213" i="5"/>
  <c r="K213" i="5"/>
  <c r="J213" i="5"/>
  <c r="H213" i="5"/>
  <c r="P212" i="5"/>
  <c r="O212" i="5"/>
  <c r="Q212" i="5" s="1"/>
  <c r="N212" i="5"/>
  <c r="M212" i="5"/>
  <c r="L212" i="5"/>
  <c r="K212" i="5"/>
  <c r="J212" i="5"/>
  <c r="H212" i="5"/>
  <c r="P211" i="5"/>
  <c r="O211" i="5"/>
  <c r="Q211" i="5" s="1"/>
  <c r="N211" i="5"/>
  <c r="M211" i="5"/>
  <c r="L211" i="5"/>
  <c r="K211" i="5"/>
  <c r="J211" i="5"/>
  <c r="H211" i="5"/>
  <c r="P210" i="5"/>
  <c r="O210" i="5"/>
  <c r="Q210" i="5" s="1"/>
  <c r="N210" i="5"/>
  <c r="M210" i="5"/>
  <c r="L210" i="5"/>
  <c r="K210" i="5"/>
  <c r="J210" i="5"/>
  <c r="H210" i="5"/>
  <c r="P209" i="5"/>
  <c r="O209" i="5"/>
  <c r="Q209" i="5" s="1"/>
  <c r="N209" i="5"/>
  <c r="M209" i="5"/>
  <c r="L209" i="5"/>
  <c r="K209" i="5"/>
  <c r="J209" i="5"/>
  <c r="H209" i="5"/>
  <c r="P208" i="5"/>
  <c r="O208" i="5"/>
  <c r="Q208" i="5" s="1"/>
  <c r="N208" i="5"/>
  <c r="M208" i="5"/>
  <c r="L208" i="5"/>
  <c r="K208" i="5"/>
  <c r="J208" i="5"/>
  <c r="H208" i="5"/>
  <c r="P207" i="5"/>
  <c r="O207" i="5"/>
  <c r="Q207" i="5" s="1"/>
  <c r="N207" i="5"/>
  <c r="M207" i="5"/>
  <c r="L207" i="5"/>
  <c r="K207" i="5"/>
  <c r="J207" i="5"/>
  <c r="H207" i="5"/>
  <c r="P206" i="5"/>
  <c r="O206" i="5"/>
  <c r="Q206" i="5" s="1"/>
  <c r="N206" i="5"/>
  <c r="M206" i="5"/>
  <c r="L206" i="5"/>
  <c r="K206" i="5"/>
  <c r="J206" i="5"/>
  <c r="H206" i="5"/>
  <c r="P205" i="5"/>
  <c r="O205" i="5"/>
  <c r="Q205" i="5" s="1"/>
  <c r="N205" i="5"/>
  <c r="M205" i="5"/>
  <c r="L205" i="5"/>
  <c r="K205" i="5"/>
  <c r="J205" i="5"/>
  <c r="H205" i="5"/>
  <c r="P204" i="5"/>
  <c r="O204" i="5"/>
  <c r="Q204" i="5" s="1"/>
  <c r="N204" i="5"/>
  <c r="M204" i="5"/>
  <c r="L204" i="5"/>
  <c r="K204" i="5"/>
  <c r="J204" i="5"/>
  <c r="H204" i="5"/>
  <c r="P203" i="5"/>
  <c r="O203" i="5"/>
  <c r="Q203" i="5" s="1"/>
  <c r="N203" i="5"/>
  <c r="M203" i="5"/>
  <c r="L203" i="5"/>
  <c r="K203" i="5"/>
  <c r="J203" i="5"/>
  <c r="H203" i="5"/>
  <c r="P202" i="5"/>
  <c r="O202" i="5"/>
  <c r="Q202" i="5" s="1"/>
  <c r="N202" i="5"/>
  <c r="M202" i="5"/>
  <c r="L202" i="5"/>
  <c r="K202" i="5"/>
  <c r="J202" i="5"/>
  <c r="H202" i="5"/>
  <c r="P201" i="5"/>
  <c r="O201" i="5"/>
  <c r="Q201" i="5" s="1"/>
  <c r="N201" i="5"/>
  <c r="M201" i="5"/>
  <c r="L201" i="5"/>
  <c r="K201" i="5"/>
  <c r="J201" i="5"/>
  <c r="H201" i="5"/>
  <c r="P200" i="5"/>
  <c r="O200" i="5"/>
  <c r="Q200" i="5" s="1"/>
  <c r="N200" i="5"/>
  <c r="M200" i="5"/>
  <c r="L200" i="5"/>
  <c r="K200" i="5"/>
  <c r="J200" i="5"/>
  <c r="H200" i="5"/>
  <c r="P199" i="5"/>
  <c r="O199" i="5"/>
  <c r="Q199" i="5" s="1"/>
  <c r="N199" i="5"/>
  <c r="M199" i="5"/>
  <c r="L199" i="5"/>
  <c r="K199" i="5"/>
  <c r="J199" i="5"/>
  <c r="H199" i="5"/>
  <c r="P198" i="5"/>
  <c r="O198" i="5"/>
  <c r="Q198" i="5" s="1"/>
  <c r="N198" i="5"/>
  <c r="M198" i="5"/>
  <c r="L198" i="5"/>
  <c r="K198" i="5"/>
  <c r="J198" i="5"/>
  <c r="H198" i="5"/>
  <c r="P197" i="5"/>
  <c r="O197" i="5"/>
  <c r="Q197" i="5" s="1"/>
  <c r="N197" i="5"/>
  <c r="M197" i="5"/>
  <c r="L197" i="5"/>
  <c r="K197" i="5"/>
  <c r="J197" i="5"/>
  <c r="H197" i="5"/>
  <c r="P196" i="5"/>
  <c r="O196" i="5"/>
  <c r="Q196" i="5" s="1"/>
  <c r="N196" i="5"/>
  <c r="M196" i="5"/>
  <c r="L196" i="5"/>
  <c r="K196" i="5"/>
  <c r="J196" i="5"/>
  <c r="H196" i="5"/>
  <c r="P195" i="5"/>
  <c r="O195" i="5"/>
  <c r="Q195" i="5" s="1"/>
  <c r="N195" i="5"/>
  <c r="M195" i="5"/>
  <c r="L195" i="5"/>
  <c r="K195" i="5"/>
  <c r="J195" i="5"/>
  <c r="H195" i="5"/>
  <c r="P194" i="5"/>
  <c r="O194" i="5"/>
  <c r="Q194" i="5" s="1"/>
  <c r="N194" i="5"/>
  <c r="M194" i="5"/>
  <c r="L194" i="5"/>
  <c r="K194" i="5"/>
  <c r="J194" i="5"/>
  <c r="H194" i="5"/>
  <c r="P193" i="5"/>
  <c r="O193" i="5"/>
  <c r="Q193" i="5" s="1"/>
  <c r="N193" i="5"/>
  <c r="M193" i="5"/>
  <c r="L193" i="5"/>
  <c r="K193" i="5"/>
  <c r="J193" i="5"/>
  <c r="H193" i="5"/>
  <c r="P192" i="5"/>
  <c r="O192" i="5"/>
  <c r="Q192" i="5" s="1"/>
  <c r="N192" i="5"/>
  <c r="M192" i="5"/>
  <c r="L192" i="5"/>
  <c r="K192" i="5"/>
  <c r="J192" i="5"/>
  <c r="H192" i="5"/>
  <c r="P191" i="5"/>
  <c r="O191" i="5"/>
  <c r="Q191" i="5" s="1"/>
  <c r="N191" i="5"/>
  <c r="M191" i="5"/>
  <c r="L191" i="5"/>
  <c r="K191" i="5"/>
  <c r="J191" i="5"/>
  <c r="H191" i="5"/>
  <c r="P190" i="5"/>
  <c r="O190" i="5"/>
  <c r="Q190" i="5" s="1"/>
  <c r="N190" i="5"/>
  <c r="M190" i="5"/>
  <c r="L190" i="5"/>
  <c r="K190" i="5"/>
  <c r="J190" i="5"/>
  <c r="H190" i="5"/>
  <c r="P189" i="5"/>
  <c r="O189" i="5"/>
  <c r="Q189" i="5" s="1"/>
  <c r="N189" i="5"/>
  <c r="M189" i="5"/>
  <c r="L189" i="5"/>
  <c r="K189" i="5"/>
  <c r="J189" i="5"/>
  <c r="H189" i="5"/>
  <c r="P188" i="5"/>
  <c r="O188" i="5"/>
  <c r="Q188" i="5" s="1"/>
  <c r="N188" i="5"/>
  <c r="M188" i="5"/>
  <c r="L188" i="5"/>
  <c r="K188" i="5"/>
  <c r="J188" i="5"/>
  <c r="H188" i="5"/>
  <c r="P187" i="5"/>
  <c r="O187" i="5"/>
  <c r="Q187" i="5" s="1"/>
  <c r="N187" i="5"/>
  <c r="M187" i="5"/>
  <c r="L187" i="5"/>
  <c r="K187" i="5"/>
  <c r="J187" i="5"/>
  <c r="H187" i="5"/>
  <c r="P186" i="5"/>
  <c r="O186" i="5"/>
  <c r="Q186" i="5" s="1"/>
  <c r="N186" i="5"/>
  <c r="M186" i="5"/>
  <c r="L186" i="5"/>
  <c r="K186" i="5"/>
  <c r="J186" i="5"/>
  <c r="H186" i="5"/>
  <c r="P185" i="5"/>
  <c r="O185" i="5"/>
  <c r="Q185" i="5" s="1"/>
  <c r="N185" i="5"/>
  <c r="M185" i="5"/>
  <c r="L185" i="5"/>
  <c r="K185" i="5"/>
  <c r="J185" i="5"/>
  <c r="H185" i="5"/>
  <c r="P184" i="5"/>
  <c r="O184" i="5"/>
  <c r="Q184" i="5" s="1"/>
  <c r="N184" i="5"/>
  <c r="M184" i="5"/>
  <c r="L184" i="5"/>
  <c r="K184" i="5"/>
  <c r="J184" i="5"/>
  <c r="H184" i="5"/>
  <c r="P183" i="5"/>
  <c r="O183" i="5"/>
  <c r="Q183" i="5" s="1"/>
  <c r="N183" i="5"/>
  <c r="M183" i="5"/>
  <c r="L183" i="5"/>
  <c r="K183" i="5"/>
  <c r="J183" i="5"/>
  <c r="H183" i="5"/>
  <c r="P182" i="5"/>
  <c r="O182" i="5"/>
  <c r="Q182" i="5" s="1"/>
  <c r="N182" i="5"/>
  <c r="M182" i="5"/>
  <c r="L182" i="5"/>
  <c r="K182" i="5"/>
  <c r="J182" i="5"/>
  <c r="H182" i="5"/>
  <c r="P181" i="5"/>
  <c r="O181" i="5"/>
  <c r="Q181" i="5" s="1"/>
  <c r="N181" i="5"/>
  <c r="M181" i="5"/>
  <c r="L181" i="5"/>
  <c r="K181" i="5"/>
  <c r="J181" i="5"/>
  <c r="H181" i="5"/>
  <c r="P180" i="5"/>
  <c r="O180" i="5"/>
  <c r="Q180" i="5" s="1"/>
  <c r="N180" i="5"/>
  <c r="M180" i="5"/>
  <c r="L180" i="5"/>
  <c r="K180" i="5"/>
  <c r="J180" i="5"/>
  <c r="H180" i="5"/>
  <c r="P179" i="5"/>
  <c r="O179" i="5"/>
  <c r="Q179" i="5" s="1"/>
  <c r="N179" i="5"/>
  <c r="M179" i="5"/>
  <c r="L179" i="5"/>
  <c r="K179" i="5"/>
  <c r="J179" i="5"/>
  <c r="H179" i="5"/>
  <c r="P178" i="5"/>
  <c r="O178" i="5"/>
  <c r="Q178" i="5" s="1"/>
  <c r="N178" i="5"/>
  <c r="M178" i="5"/>
  <c r="L178" i="5"/>
  <c r="K178" i="5"/>
  <c r="J178" i="5"/>
  <c r="H178" i="5"/>
  <c r="P177" i="5"/>
  <c r="O177" i="5"/>
  <c r="Q177" i="5" s="1"/>
  <c r="N177" i="5"/>
  <c r="M177" i="5"/>
  <c r="L177" i="5"/>
  <c r="K177" i="5"/>
  <c r="J177" i="5"/>
  <c r="H177" i="5"/>
  <c r="P176" i="5"/>
  <c r="O176" i="5"/>
  <c r="Q176" i="5" s="1"/>
  <c r="N176" i="5"/>
  <c r="M176" i="5"/>
  <c r="L176" i="5"/>
  <c r="K176" i="5"/>
  <c r="J176" i="5"/>
  <c r="H176" i="5"/>
  <c r="P175" i="5"/>
  <c r="O175" i="5"/>
  <c r="Q175" i="5" s="1"/>
  <c r="N175" i="5"/>
  <c r="M175" i="5"/>
  <c r="L175" i="5"/>
  <c r="K175" i="5"/>
  <c r="J175" i="5"/>
  <c r="H175" i="5"/>
  <c r="P174" i="5"/>
  <c r="O174" i="5"/>
  <c r="Q174" i="5" s="1"/>
  <c r="N174" i="5"/>
  <c r="M174" i="5"/>
  <c r="L174" i="5"/>
  <c r="K174" i="5"/>
  <c r="J174" i="5"/>
  <c r="H174" i="5"/>
  <c r="P173" i="5"/>
  <c r="O173" i="5"/>
  <c r="Q173" i="5" s="1"/>
  <c r="N173" i="5"/>
  <c r="M173" i="5"/>
  <c r="L173" i="5"/>
  <c r="K173" i="5"/>
  <c r="J173" i="5"/>
  <c r="H173" i="5"/>
  <c r="P172" i="5"/>
  <c r="O172" i="5"/>
  <c r="Q172" i="5" s="1"/>
  <c r="N172" i="5"/>
  <c r="M172" i="5"/>
  <c r="L172" i="5"/>
  <c r="K172" i="5"/>
  <c r="J172" i="5"/>
  <c r="H172" i="5"/>
  <c r="P171" i="5"/>
  <c r="O171" i="5"/>
  <c r="Q171" i="5" s="1"/>
  <c r="N171" i="5"/>
  <c r="M171" i="5"/>
  <c r="L171" i="5"/>
  <c r="K171" i="5"/>
  <c r="J171" i="5"/>
  <c r="H171" i="5"/>
  <c r="P170" i="5"/>
  <c r="O170" i="5"/>
  <c r="Q170" i="5" s="1"/>
  <c r="N170" i="5"/>
  <c r="M170" i="5"/>
  <c r="L170" i="5"/>
  <c r="K170" i="5"/>
  <c r="J170" i="5"/>
  <c r="H170" i="5"/>
  <c r="P169" i="5"/>
  <c r="O169" i="5"/>
  <c r="Q169" i="5" s="1"/>
  <c r="N169" i="5"/>
  <c r="M169" i="5"/>
  <c r="L169" i="5"/>
  <c r="K169" i="5"/>
  <c r="J169" i="5"/>
  <c r="H169" i="5"/>
  <c r="P168" i="5"/>
  <c r="O168" i="5"/>
  <c r="Q168" i="5" s="1"/>
  <c r="N168" i="5"/>
  <c r="M168" i="5"/>
  <c r="L168" i="5"/>
  <c r="K168" i="5"/>
  <c r="J168" i="5"/>
  <c r="H168" i="5"/>
  <c r="P167" i="5"/>
  <c r="O167" i="5"/>
  <c r="Q167" i="5" s="1"/>
  <c r="N167" i="5"/>
  <c r="M167" i="5"/>
  <c r="L167" i="5"/>
  <c r="K167" i="5"/>
  <c r="J167" i="5"/>
  <c r="H167" i="5"/>
  <c r="P166" i="5"/>
  <c r="O166" i="5"/>
  <c r="Q166" i="5" s="1"/>
  <c r="N166" i="5"/>
  <c r="M166" i="5"/>
  <c r="L166" i="5"/>
  <c r="K166" i="5"/>
  <c r="J166" i="5"/>
  <c r="H166" i="5"/>
  <c r="P165" i="5"/>
  <c r="O165" i="5"/>
  <c r="Q165" i="5" s="1"/>
  <c r="N165" i="5"/>
  <c r="M165" i="5"/>
  <c r="L165" i="5"/>
  <c r="K165" i="5"/>
  <c r="J165" i="5"/>
  <c r="H165" i="5"/>
  <c r="P164" i="5"/>
  <c r="O164" i="5"/>
  <c r="Q164" i="5" s="1"/>
  <c r="N164" i="5"/>
  <c r="M164" i="5"/>
  <c r="L164" i="5"/>
  <c r="K164" i="5"/>
  <c r="J164" i="5"/>
  <c r="H164" i="5"/>
  <c r="P163" i="5"/>
  <c r="O163" i="5"/>
  <c r="Q163" i="5" s="1"/>
  <c r="N163" i="5"/>
  <c r="M163" i="5"/>
  <c r="L163" i="5"/>
  <c r="K163" i="5"/>
  <c r="J163" i="5"/>
  <c r="H163" i="5"/>
  <c r="P162" i="5"/>
  <c r="O162" i="5"/>
  <c r="Q162" i="5" s="1"/>
  <c r="N162" i="5"/>
  <c r="M162" i="5"/>
  <c r="L162" i="5"/>
  <c r="K162" i="5"/>
  <c r="J162" i="5"/>
  <c r="H162" i="5"/>
  <c r="P161" i="5"/>
  <c r="O161" i="5"/>
  <c r="Q161" i="5" s="1"/>
  <c r="N161" i="5"/>
  <c r="M161" i="5"/>
  <c r="L161" i="5"/>
  <c r="K161" i="5"/>
  <c r="J161" i="5"/>
  <c r="H161" i="5"/>
  <c r="P160" i="5"/>
  <c r="O160" i="5"/>
  <c r="Q160" i="5" s="1"/>
  <c r="N160" i="5"/>
  <c r="M160" i="5"/>
  <c r="L160" i="5"/>
  <c r="K160" i="5"/>
  <c r="J160" i="5"/>
  <c r="H160" i="5"/>
  <c r="P159" i="5"/>
  <c r="O159" i="5"/>
  <c r="Q159" i="5" s="1"/>
  <c r="N159" i="5"/>
  <c r="M159" i="5"/>
  <c r="L159" i="5"/>
  <c r="K159" i="5"/>
  <c r="J159" i="5"/>
  <c r="H159" i="5"/>
  <c r="P158" i="5"/>
  <c r="O158" i="5"/>
  <c r="Q158" i="5" s="1"/>
  <c r="N158" i="5"/>
  <c r="M158" i="5"/>
  <c r="L158" i="5"/>
  <c r="K158" i="5"/>
  <c r="J158" i="5"/>
  <c r="H158" i="5"/>
  <c r="P157" i="5"/>
  <c r="O157" i="5"/>
  <c r="Q157" i="5" s="1"/>
  <c r="N157" i="5"/>
  <c r="M157" i="5"/>
  <c r="L157" i="5"/>
  <c r="K157" i="5"/>
  <c r="J157" i="5"/>
  <c r="H157" i="5"/>
  <c r="P156" i="5"/>
  <c r="O156" i="5"/>
  <c r="Q156" i="5" s="1"/>
  <c r="N156" i="5"/>
  <c r="M156" i="5"/>
  <c r="L156" i="5"/>
  <c r="K156" i="5"/>
  <c r="J156" i="5"/>
  <c r="H156" i="5"/>
  <c r="P155" i="5"/>
  <c r="O155" i="5"/>
  <c r="Q155" i="5" s="1"/>
  <c r="N155" i="5"/>
  <c r="M155" i="5"/>
  <c r="L155" i="5"/>
  <c r="K155" i="5"/>
  <c r="J155" i="5"/>
  <c r="H155" i="5"/>
  <c r="P154" i="5"/>
  <c r="O154" i="5"/>
  <c r="Q154" i="5" s="1"/>
  <c r="N154" i="5"/>
  <c r="M154" i="5"/>
  <c r="L154" i="5"/>
  <c r="K154" i="5"/>
  <c r="J154" i="5"/>
  <c r="H154" i="5"/>
  <c r="P153" i="5"/>
  <c r="O153" i="5"/>
  <c r="Q153" i="5" s="1"/>
  <c r="N153" i="5"/>
  <c r="M153" i="5"/>
  <c r="L153" i="5"/>
  <c r="K153" i="5"/>
  <c r="J153" i="5"/>
  <c r="H153" i="5"/>
  <c r="P152" i="5"/>
  <c r="O152" i="5"/>
  <c r="Q152" i="5" s="1"/>
  <c r="N152" i="5"/>
  <c r="M152" i="5"/>
  <c r="L152" i="5"/>
  <c r="K152" i="5"/>
  <c r="J152" i="5"/>
  <c r="H152" i="5"/>
  <c r="P151" i="5"/>
  <c r="O151" i="5"/>
  <c r="Q151" i="5" s="1"/>
  <c r="N151" i="5"/>
  <c r="M151" i="5"/>
  <c r="L151" i="5"/>
  <c r="K151" i="5"/>
  <c r="J151" i="5"/>
  <c r="H151" i="5"/>
  <c r="P150" i="5"/>
  <c r="O150" i="5"/>
  <c r="Q150" i="5" s="1"/>
  <c r="N150" i="5"/>
  <c r="M150" i="5"/>
  <c r="L150" i="5"/>
  <c r="K150" i="5"/>
  <c r="J150" i="5"/>
  <c r="H150" i="5"/>
  <c r="P149" i="5"/>
  <c r="O149" i="5"/>
  <c r="Q149" i="5" s="1"/>
  <c r="N149" i="5"/>
  <c r="M149" i="5"/>
  <c r="L149" i="5"/>
  <c r="K149" i="5"/>
  <c r="J149" i="5"/>
  <c r="H149" i="5"/>
  <c r="P148" i="5"/>
  <c r="O148" i="5"/>
  <c r="Q148" i="5" s="1"/>
  <c r="N148" i="5"/>
  <c r="M148" i="5"/>
  <c r="L148" i="5"/>
  <c r="K148" i="5"/>
  <c r="J148" i="5"/>
  <c r="H148" i="5"/>
  <c r="P147" i="5"/>
  <c r="O147" i="5"/>
  <c r="Q147" i="5" s="1"/>
  <c r="N147" i="5"/>
  <c r="M147" i="5"/>
  <c r="L147" i="5"/>
  <c r="K147" i="5"/>
  <c r="J147" i="5"/>
  <c r="H147" i="5"/>
  <c r="P146" i="5"/>
  <c r="O146" i="5"/>
  <c r="Q146" i="5" s="1"/>
  <c r="N146" i="5"/>
  <c r="M146" i="5"/>
  <c r="L146" i="5"/>
  <c r="K146" i="5"/>
  <c r="J146" i="5"/>
  <c r="H146" i="5"/>
  <c r="P145" i="5"/>
  <c r="O145" i="5"/>
  <c r="Q145" i="5" s="1"/>
  <c r="N145" i="5"/>
  <c r="M145" i="5"/>
  <c r="L145" i="5"/>
  <c r="K145" i="5"/>
  <c r="J145" i="5"/>
  <c r="H145" i="5"/>
  <c r="P144" i="5"/>
  <c r="O144" i="5"/>
  <c r="Q144" i="5" s="1"/>
  <c r="N144" i="5"/>
  <c r="M144" i="5"/>
  <c r="L144" i="5"/>
  <c r="K144" i="5"/>
  <c r="J144" i="5"/>
  <c r="H144" i="5"/>
  <c r="P143" i="5"/>
  <c r="O143" i="5"/>
  <c r="Q143" i="5" s="1"/>
  <c r="N143" i="5"/>
  <c r="M143" i="5"/>
  <c r="L143" i="5"/>
  <c r="K143" i="5"/>
  <c r="J143" i="5"/>
  <c r="H143" i="5"/>
  <c r="P142" i="5"/>
  <c r="O142" i="5"/>
  <c r="Q142" i="5" s="1"/>
  <c r="N142" i="5"/>
  <c r="M142" i="5"/>
  <c r="L142" i="5"/>
  <c r="K142" i="5"/>
  <c r="J142" i="5"/>
  <c r="H142" i="5"/>
  <c r="P141" i="5"/>
  <c r="O141" i="5"/>
  <c r="Q141" i="5" s="1"/>
  <c r="N141" i="5"/>
  <c r="M141" i="5"/>
  <c r="L141" i="5"/>
  <c r="K141" i="5"/>
  <c r="J141" i="5"/>
  <c r="H141" i="5"/>
  <c r="P140" i="5"/>
  <c r="O140" i="5"/>
  <c r="Q140" i="5" s="1"/>
  <c r="N140" i="5"/>
  <c r="M140" i="5"/>
  <c r="L140" i="5"/>
  <c r="K140" i="5"/>
  <c r="J140" i="5"/>
  <c r="H140" i="5"/>
  <c r="P139" i="5"/>
  <c r="O139" i="5"/>
  <c r="Q139" i="5" s="1"/>
  <c r="N139" i="5"/>
  <c r="M139" i="5"/>
  <c r="L139" i="5"/>
  <c r="K139" i="5"/>
  <c r="J139" i="5"/>
  <c r="H139" i="5"/>
  <c r="P138" i="5"/>
  <c r="O138" i="5"/>
  <c r="Q138" i="5" s="1"/>
  <c r="N138" i="5"/>
  <c r="M138" i="5"/>
  <c r="L138" i="5"/>
  <c r="K138" i="5"/>
  <c r="J138" i="5"/>
  <c r="H138" i="5"/>
  <c r="P137" i="5"/>
  <c r="O137" i="5"/>
  <c r="Q137" i="5" s="1"/>
  <c r="N137" i="5"/>
  <c r="M137" i="5"/>
  <c r="L137" i="5"/>
  <c r="K137" i="5"/>
  <c r="J137" i="5"/>
  <c r="H137" i="5"/>
  <c r="P136" i="5"/>
  <c r="O136" i="5"/>
  <c r="Q136" i="5" s="1"/>
  <c r="N136" i="5"/>
  <c r="M136" i="5"/>
  <c r="L136" i="5"/>
  <c r="K136" i="5"/>
  <c r="J136" i="5"/>
  <c r="H136" i="5"/>
  <c r="P135" i="5"/>
  <c r="O135" i="5"/>
  <c r="Q135" i="5" s="1"/>
  <c r="N135" i="5"/>
  <c r="M135" i="5"/>
  <c r="L135" i="5"/>
  <c r="K135" i="5"/>
  <c r="J135" i="5"/>
  <c r="H135" i="5"/>
  <c r="P134" i="5"/>
  <c r="O134" i="5"/>
  <c r="Q134" i="5" s="1"/>
  <c r="N134" i="5"/>
  <c r="M134" i="5"/>
  <c r="L134" i="5"/>
  <c r="K134" i="5"/>
  <c r="J134" i="5"/>
  <c r="H134" i="5"/>
  <c r="P133" i="5"/>
  <c r="O133" i="5"/>
  <c r="Q133" i="5" s="1"/>
  <c r="N133" i="5"/>
  <c r="M133" i="5"/>
  <c r="L133" i="5"/>
  <c r="K133" i="5"/>
  <c r="J133" i="5"/>
  <c r="H133" i="5"/>
  <c r="P132" i="5"/>
  <c r="O132" i="5"/>
  <c r="Q132" i="5" s="1"/>
  <c r="N132" i="5"/>
  <c r="M132" i="5"/>
  <c r="L132" i="5"/>
  <c r="K132" i="5"/>
  <c r="J132" i="5"/>
  <c r="H132" i="5"/>
  <c r="P131" i="5"/>
  <c r="O131" i="5"/>
  <c r="Q131" i="5" s="1"/>
  <c r="N131" i="5"/>
  <c r="M131" i="5"/>
  <c r="L131" i="5"/>
  <c r="K131" i="5"/>
  <c r="J131" i="5"/>
  <c r="H131" i="5"/>
  <c r="P130" i="5"/>
  <c r="O130" i="5"/>
  <c r="Q130" i="5" s="1"/>
  <c r="N130" i="5"/>
  <c r="M130" i="5"/>
  <c r="L130" i="5"/>
  <c r="K130" i="5"/>
  <c r="J130" i="5"/>
  <c r="H130" i="5"/>
  <c r="P129" i="5"/>
  <c r="O129" i="5"/>
  <c r="Q129" i="5" s="1"/>
  <c r="N129" i="5"/>
  <c r="M129" i="5"/>
  <c r="L129" i="5"/>
  <c r="K129" i="5"/>
  <c r="J129" i="5"/>
  <c r="H129" i="5"/>
  <c r="P128" i="5"/>
  <c r="O128" i="5"/>
  <c r="Q128" i="5" s="1"/>
  <c r="N128" i="5"/>
  <c r="M128" i="5"/>
  <c r="L128" i="5"/>
  <c r="K128" i="5"/>
  <c r="J128" i="5"/>
  <c r="H128" i="5"/>
  <c r="P127" i="5"/>
  <c r="O127" i="5"/>
  <c r="Q127" i="5" s="1"/>
  <c r="N127" i="5"/>
  <c r="M127" i="5"/>
  <c r="L127" i="5"/>
  <c r="K127" i="5"/>
  <c r="J127" i="5"/>
  <c r="H127" i="5"/>
  <c r="P126" i="5"/>
  <c r="O126" i="5"/>
  <c r="Q126" i="5" s="1"/>
  <c r="N126" i="5"/>
  <c r="M126" i="5"/>
  <c r="L126" i="5"/>
  <c r="K126" i="5"/>
  <c r="J126" i="5"/>
  <c r="H126" i="5"/>
  <c r="P125" i="5"/>
  <c r="O125" i="5"/>
  <c r="Q125" i="5" s="1"/>
  <c r="N125" i="5"/>
  <c r="M125" i="5"/>
  <c r="L125" i="5"/>
  <c r="K125" i="5"/>
  <c r="J125" i="5"/>
  <c r="H125" i="5"/>
  <c r="P124" i="5"/>
  <c r="O124" i="5"/>
  <c r="Q124" i="5" s="1"/>
  <c r="N124" i="5"/>
  <c r="M124" i="5"/>
  <c r="L124" i="5"/>
  <c r="K124" i="5"/>
  <c r="J124" i="5"/>
  <c r="H124" i="5"/>
  <c r="P123" i="5"/>
  <c r="O123" i="5"/>
  <c r="Q123" i="5" s="1"/>
  <c r="N123" i="5"/>
  <c r="M123" i="5"/>
  <c r="L123" i="5"/>
  <c r="K123" i="5"/>
  <c r="J123" i="5"/>
  <c r="H123" i="5"/>
  <c r="P122" i="5"/>
  <c r="O122" i="5"/>
  <c r="Q122" i="5" s="1"/>
  <c r="N122" i="5"/>
  <c r="M122" i="5"/>
  <c r="L122" i="5"/>
  <c r="K122" i="5"/>
  <c r="J122" i="5"/>
  <c r="H122" i="5"/>
  <c r="P121" i="5"/>
  <c r="O121" i="5"/>
  <c r="Q121" i="5" s="1"/>
  <c r="N121" i="5"/>
  <c r="M121" i="5"/>
  <c r="L121" i="5"/>
  <c r="K121" i="5"/>
  <c r="J121" i="5"/>
  <c r="H121" i="5"/>
  <c r="P120" i="5"/>
  <c r="O120" i="5"/>
  <c r="Q120" i="5" s="1"/>
  <c r="N120" i="5"/>
  <c r="M120" i="5"/>
  <c r="L120" i="5"/>
  <c r="K120" i="5"/>
  <c r="J120" i="5"/>
  <c r="H120" i="5"/>
  <c r="P119" i="5"/>
  <c r="O119" i="5"/>
  <c r="Q119" i="5" s="1"/>
  <c r="N119" i="5"/>
  <c r="M119" i="5"/>
  <c r="L119" i="5"/>
  <c r="K119" i="5"/>
  <c r="J119" i="5"/>
  <c r="H119" i="5"/>
  <c r="P118" i="5"/>
  <c r="O118" i="5"/>
  <c r="Q118" i="5" s="1"/>
  <c r="N118" i="5"/>
  <c r="M118" i="5"/>
  <c r="L118" i="5"/>
  <c r="K118" i="5"/>
  <c r="J118" i="5"/>
  <c r="H118" i="5"/>
  <c r="P117" i="5"/>
  <c r="O117" i="5"/>
  <c r="Q117" i="5" s="1"/>
  <c r="N117" i="5"/>
  <c r="M117" i="5"/>
  <c r="L117" i="5"/>
  <c r="K117" i="5"/>
  <c r="J117" i="5"/>
  <c r="H117" i="5"/>
  <c r="P116" i="5"/>
  <c r="O116" i="5"/>
  <c r="Q116" i="5" s="1"/>
  <c r="N116" i="5"/>
  <c r="M116" i="5"/>
  <c r="L116" i="5"/>
  <c r="K116" i="5"/>
  <c r="J116" i="5"/>
  <c r="H116" i="5"/>
  <c r="P115" i="5"/>
  <c r="O115" i="5"/>
  <c r="Q115" i="5" s="1"/>
  <c r="N115" i="5"/>
  <c r="M115" i="5"/>
  <c r="L115" i="5"/>
  <c r="K115" i="5"/>
  <c r="J115" i="5"/>
  <c r="H115" i="5"/>
  <c r="P114" i="5"/>
  <c r="O114" i="5"/>
  <c r="Q114" i="5" s="1"/>
  <c r="N114" i="5"/>
  <c r="M114" i="5"/>
  <c r="L114" i="5"/>
  <c r="K114" i="5"/>
  <c r="J114" i="5"/>
  <c r="H114" i="5"/>
  <c r="P113" i="5"/>
  <c r="O113" i="5"/>
  <c r="Q113" i="5" s="1"/>
  <c r="N113" i="5"/>
  <c r="M113" i="5"/>
  <c r="L113" i="5"/>
  <c r="K113" i="5"/>
  <c r="J113" i="5"/>
  <c r="H113" i="5"/>
  <c r="P112" i="5"/>
  <c r="O112" i="5"/>
  <c r="Q112" i="5" s="1"/>
  <c r="N112" i="5"/>
  <c r="M112" i="5"/>
  <c r="L112" i="5"/>
  <c r="K112" i="5"/>
  <c r="J112" i="5"/>
  <c r="H112" i="5"/>
  <c r="P111" i="5"/>
  <c r="O111" i="5"/>
  <c r="Q111" i="5" s="1"/>
  <c r="N111" i="5"/>
  <c r="M111" i="5"/>
  <c r="L111" i="5"/>
  <c r="K111" i="5"/>
  <c r="J111" i="5"/>
  <c r="H111" i="5"/>
  <c r="P110" i="5"/>
  <c r="O110" i="5"/>
  <c r="Q110" i="5" s="1"/>
  <c r="N110" i="5"/>
  <c r="M110" i="5"/>
  <c r="L110" i="5"/>
  <c r="K110" i="5"/>
  <c r="J110" i="5"/>
  <c r="H110" i="5"/>
  <c r="P109" i="5"/>
  <c r="O109" i="5"/>
  <c r="Q109" i="5" s="1"/>
  <c r="N109" i="5"/>
  <c r="M109" i="5"/>
  <c r="L109" i="5"/>
  <c r="K109" i="5"/>
  <c r="J109" i="5"/>
  <c r="H109" i="5"/>
  <c r="P108" i="5"/>
  <c r="O108" i="5"/>
  <c r="Q108" i="5" s="1"/>
  <c r="N108" i="5"/>
  <c r="M108" i="5"/>
  <c r="L108" i="5"/>
  <c r="K108" i="5"/>
  <c r="J108" i="5"/>
  <c r="H108" i="5"/>
  <c r="P107" i="5"/>
  <c r="O107" i="5"/>
  <c r="Q107" i="5" s="1"/>
  <c r="N107" i="5"/>
  <c r="M107" i="5"/>
  <c r="L107" i="5"/>
  <c r="K107" i="5"/>
  <c r="J107" i="5"/>
  <c r="H107" i="5"/>
  <c r="P106" i="5"/>
  <c r="O106" i="5"/>
  <c r="Q106" i="5" s="1"/>
  <c r="N106" i="5"/>
  <c r="M106" i="5"/>
  <c r="L106" i="5"/>
  <c r="K106" i="5"/>
  <c r="J106" i="5"/>
  <c r="H106" i="5"/>
  <c r="P105" i="5"/>
  <c r="O105" i="5"/>
  <c r="Q105" i="5" s="1"/>
  <c r="N105" i="5"/>
  <c r="M105" i="5"/>
  <c r="L105" i="5"/>
  <c r="K105" i="5"/>
  <c r="J105" i="5"/>
  <c r="H105" i="5"/>
  <c r="P104" i="5"/>
  <c r="O104" i="5"/>
  <c r="Q104" i="5" s="1"/>
  <c r="N104" i="5"/>
  <c r="M104" i="5"/>
  <c r="L104" i="5"/>
  <c r="K104" i="5"/>
  <c r="J104" i="5"/>
  <c r="H104" i="5"/>
  <c r="P103" i="5"/>
  <c r="O103" i="5"/>
  <c r="Q103" i="5" s="1"/>
  <c r="N103" i="5"/>
  <c r="M103" i="5"/>
  <c r="L103" i="5"/>
  <c r="K103" i="5"/>
  <c r="J103" i="5"/>
  <c r="H103" i="5"/>
  <c r="P102" i="5"/>
  <c r="O102" i="5"/>
  <c r="Q102" i="5" s="1"/>
  <c r="N102" i="5"/>
  <c r="M102" i="5"/>
  <c r="L102" i="5"/>
  <c r="K102" i="5"/>
  <c r="J102" i="5"/>
  <c r="H102" i="5"/>
  <c r="P101" i="5"/>
  <c r="O101" i="5"/>
  <c r="Q101" i="5" s="1"/>
  <c r="N101" i="5"/>
  <c r="M101" i="5"/>
  <c r="L101" i="5"/>
  <c r="K101" i="5"/>
  <c r="J101" i="5"/>
  <c r="H101" i="5"/>
  <c r="P100" i="5"/>
  <c r="O100" i="5"/>
  <c r="Q100" i="5" s="1"/>
  <c r="N100" i="5"/>
  <c r="M100" i="5"/>
  <c r="L100" i="5"/>
  <c r="K100" i="5"/>
  <c r="J100" i="5"/>
  <c r="H100" i="5"/>
  <c r="P99" i="5"/>
  <c r="O99" i="5"/>
  <c r="Q99" i="5" s="1"/>
  <c r="N99" i="5"/>
  <c r="M99" i="5"/>
  <c r="L99" i="5"/>
  <c r="K99" i="5"/>
  <c r="J99" i="5"/>
  <c r="H99" i="5"/>
  <c r="P98" i="5"/>
  <c r="O98" i="5"/>
  <c r="Q98" i="5" s="1"/>
  <c r="N98" i="5"/>
  <c r="M98" i="5"/>
  <c r="L98" i="5"/>
  <c r="K98" i="5"/>
  <c r="J98" i="5"/>
  <c r="H98" i="5"/>
  <c r="P97" i="5"/>
  <c r="O97" i="5"/>
  <c r="Q97" i="5" s="1"/>
  <c r="N97" i="5"/>
  <c r="M97" i="5"/>
  <c r="L97" i="5"/>
  <c r="K97" i="5"/>
  <c r="J97" i="5"/>
  <c r="H97" i="5"/>
  <c r="P96" i="5"/>
  <c r="O96" i="5"/>
  <c r="Q96" i="5" s="1"/>
  <c r="N96" i="5"/>
  <c r="M96" i="5"/>
  <c r="L96" i="5"/>
  <c r="K96" i="5"/>
  <c r="J96" i="5"/>
  <c r="H96" i="5"/>
  <c r="P95" i="5"/>
  <c r="O95" i="5"/>
  <c r="Q95" i="5" s="1"/>
  <c r="N95" i="5"/>
  <c r="M95" i="5"/>
  <c r="L95" i="5"/>
  <c r="K95" i="5"/>
  <c r="J95" i="5"/>
  <c r="H95" i="5"/>
  <c r="P94" i="5"/>
  <c r="O94" i="5"/>
  <c r="Q94" i="5" s="1"/>
  <c r="N94" i="5"/>
  <c r="M94" i="5"/>
  <c r="L94" i="5"/>
  <c r="K94" i="5"/>
  <c r="J94" i="5"/>
  <c r="H94" i="5"/>
  <c r="P93" i="5"/>
  <c r="O93" i="5"/>
  <c r="Q93" i="5" s="1"/>
  <c r="N93" i="5"/>
  <c r="M93" i="5"/>
  <c r="L93" i="5"/>
  <c r="K93" i="5"/>
  <c r="J93" i="5"/>
  <c r="H93" i="5"/>
  <c r="P92" i="5"/>
  <c r="O92" i="5"/>
  <c r="Q92" i="5" s="1"/>
  <c r="N92" i="5"/>
  <c r="M92" i="5"/>
  <c r="L92" i="5"/>
  <c r="K92" i="5"/>
  <c r="J92" i="5"/>
  <c r="H92" i="5"/>
  <c r="P91" i="5"/>
  <c r="O91" i="5"/>
  <c r="Q91" i="5" s="1"/>
  <c r="N91" i="5"/>
  <c r="M91" i="5"/>
  <c r="L91" i="5"/>
  <c r="K91" i="5"/>
  <c r="J91" i="5"/>
  <c r="H91" i="5"/>
  <c r="P90" i="5"/>
  <c r="O90" i="5"/>
  <c r="Q90" i="5" s="1"/>
  <c r="N90" i="5"/>
  <c r="M90" i="5"/>
  <c r="L90" i="5"/>
  <c r="K90" i="5"/>
  <c r="J90" i="5"/>
  <c r="H90" i="5"/>
  <c r="P89" i="5"/>
  <c r="O89" i="5"/>
  <c r="Q89" i="5" s="1"/>
  <c r="N89" i="5"/>
  <c r="M89" i="5"/>
  <c r="L89" i="5"/>
  <c r="K89" i="5"/>
  <c r="J89" i="5"/>
  <c r="H89" i="5"/>
  <c r="P88" i="5"/>
  <c r="O88" i="5"/>
  <c r="Q88" i="5" s="1"/>
  <c r="N88" i="5"/>
  <c r="M88" i="5"/>
  <c r="L88" i="5"/>
  <c r="K88" i="5"/>
  <c r="J88" i="5"/>
  <c r="H88" i="5"/>
  <c r="P87" i="5"/>
  <c r="O87" i="5"/>
  <c r="Q87" i="5" s="1"/>
  <c r="N87" i="5"/>
  <c r="M87" i="5"/>
  <c r="L87" i="5"/>
  <c r="K87" i="5"/>
  <c r="J87" i="5"/>
  <c r="H87" i="5"/>
  <c r="P86" i="5"/>
  <c r="O86" i="5"/>
  <c r="Q86" i="5" s="1"/>
  <c r="N86" i="5"/>
  <c r="M86" i="5"/>
  <c r="L86" i="5"/>
  <c r="K86" i="5"/>
  <c r="J86" i="5"/>
  <c r="H86" i="5"/>
  <c r="P85" i="5"/>
  <c r="O85" i="5"/>
  <c r="Q85" i="5" s="1"/>
  <c r="N85" i="5"/>
  <c r="M85" i="5"/>
  <c r="L85" i="5"/>
  <c r="K85" i="5"/>
  <c r="J85" i="5"/>
  <c r="H85" i="5"/>
  <c r="P84" i="5"/>
  <c r="O84" i="5"/>
  <c r="Q84" i="5" s="1"/>
  <c r="N84" i="5"/>
  <c r="M84" i="5"/>
  <c r="L84" i="5"/>
  <c r="K84" i="5"/>
  <c r="J84" i="5"/>
  <c r="H84" i="5"/>
  <c r="P83" i="5"/>
  <c r="O83" i="5"/>
  <c r="Q83" i="5" s="1"/>
  <c r="N83" i="5"/>
  <c r="M83" i="5"/>
  <c r="L83" i="5"/>
  <c r="K83" i="5"/>
  <c r="J83" i="5"/>
  <c r="H83" i="5"/>
  <c r="P82" i="5"/>
  <c r="O82" i="5"/>
  <c r="Q82" i="5" s="1"/>
  <c r="N82" i="5"/>
  <c r="M82" i="5"/>
  <c r="L82" i="5"/>
  <c r="K82" i="5"/>
  <c r="J82" i="5"/>
  <c r="H82" i="5"/>
  <c r="P81" i="5"/>
  <c r="O81" i="5"/>
  <c r="Q81" i="5" s="1"/>
  <c r="N81" i="5"/>
  <c r="M81" i="5"/>
  <c r="L81" i="5"/>
  <c r="K81" i="5"/>
  <c r="J81" i="5"/>
  <c r="H81" i="5"/>
  <c r="P80" i="5"/>
  <c r="O80" i="5"/>
  <c r="Q80" i="5" s="1"/>
  <c r="N80" i="5"/>
  <c r="M80" i="5"/>
  <c r="L80" i="5"/>
  <c r="K80" i="5"/>
  <c r="J80" i="5"/>
  <c r="H80" i="5"/>
  <c r="P79" i="5"/>
  <c r="O79" i="5"/>
  <c r="Q79" i="5" s="1"/>
  <c r="N79" i="5"/>
  <c r="M79" i="5"/>
  <c r="L79" i="5"/>
  <c r="K79" i="5"/>
  <c r="J79" i="5"/>
  <c r="H79" i="5"/>
  <c r="P78" i="5"/>
  <c r="O78" i="5"/>
  <c r="Q78" i="5" s="1"/>
  <c r="N78" i="5"/>
  <c r="M78" i="5"/>
  <c r="L78" i="5"/>
  <c r="K78" i="5"/>
  <c r="J78" i="5"/>
  <c r="H78" i="5"/>
  <c r="P77" i="5"/>
  <c r="O77" i="5"/>
  <c r="Q77" i="5" s="1"/>
  <c r="N77" i="5"/>
  <c r="M77" i="5"/>
  <c r="L77" i="5"/>
  <c r="K77" i="5"/>
  <c r="J77" i="5"/>
  <c r="H77" i="5"/>
  <c r="P76" i="5"/>
  <c r="O76" i="5"/>
  <c r="Q76" i="5" s="1"/>
  <c r="N76" i="5"/>
  <c r="M76" i="5"/>
  <c r="L76" i="5"/>
  <c r="K76" i="5"/>
  <c r="J76" i="5"/>
  <c r="H76" i="5"/>
  <c r="P75" i="5"/>
  <c r="O75" i="5"/>
  <c r="Q75" i="5" s="1"/>
  <c r="N75" i="5"/>
  <c r="M75" i="5"/>
  <c r="L75" i="5"/>
  <c r="K75" i="5"/>
  <c r="J75" i="5"/>
  <c r="H75" i="5"/>
  <c r="P74" i="5"/>
  <c r="O74" i="5"/>
  <c r="Q74" i="5" s="1"/>
  <c r="N74" i="5"/>
  <c r="M74" i="5"/>
  <c r="L74" i="5"/>
  <c r="K74" i="5"/>
  <c r="J74" i="5"/>
  <c r="H74" i="5"/>
  <c r="P73" i="5"/>
  <c r="O73" i="5"/>
  <c r="Q73" i="5" s="1"/>
  <c r="N73" i="5"/>
  <c r="M73" i="5"/>
  <c r="L73" i="5"/>
  <c r="K73" i="5"/>
  <c r="J73" i="5"/>
  <c r="H73" i="5"/>
  <c r="P72" i="5"/>
  <c r="O72" i="5"/>
  <c r="Q72" i="5" s="1"/>
  <c r="N72" i="5"/>
  <c r="M72" i="5"/>
  <c r="L72" i="5"/>
  <c r="K72" i="5"/>
  <c r="J72" i="5"/>
  <c r="H72" i="5"/>
  <c r="P71" i="5"/>
  <c r="O71" i="5"/>
  <c r="Q71" i="5" s="1"/>
  <c r="N71" i="5"/>
  <c r="M71" i="5"/>
  <c r="L71" i="5"/>
  <c r="K71" i="5"/>
  <c r="J71" i="5"/>
  <c r="H71" i="5"/>
  <c r="P70" i="5"/>
  <c r="O70" i="5"/>
  <c r="Q70" i="5" s="1"/>
  <c r="N70" i="5"/>
  <c r="M70" i="5"/>
  <c r="L70" i="5"/>
  <c r="K70" i="5"/>
  <c r="J70" i="5"/>
  <c r="H70" i="5"/>
  <c r="P69" i="5"/>
  <c r="O69" i="5"/>
  <c r="Q69" i="5" s="1"/>
  <c r="N69" i="5"/>
  <c r="M69" i="5"/>
  <c r="L69" i="5"/>
  <c r="K69" i="5"/>
  <c r="J69" i="5"/>
  <c r="H69" i="5"/>
  <c r="P68" i="5"/>
  <c r="O68" i="5"/>
  <c r="Q68" i="5" s="1"/>
  <c r="N68" i="5"/>
  <c r="M68" i="5"/>
  <c r="L68" i="5"/>
  <c r="K68" i="5"/>
  <c r="J68" i="5"/>
  <c r="H68" i="5"/>
  <c r="P67" i="5"/>
  <c r="O67" i="5"/>
  <c r="Q67" i="5" s="1"/>
  <c r="N67" i="5"/>
  <c r="M67" i="5"/>
  <c r="L67" i="5"/>
  <c r="K67" i="5"/>
  <c r="J67" i="5"/>
  <c r="H67" i="5"/>
  <c r="P66" i="5"/>
  <c r="O66" i="5"/>
  <c r="Q66" i="5" s="1"/>
  <c r="N66" i="5"/>
  <c r="M66" i="5"/>
  <c r="L66" i="5"/>
  <c r="K66" i="5"/>
  <c r="J66" i="5"/>
  <c r="H66" i="5"/>
  <c r="P65" i="5"/>
  <c r="O65" i="5"/>
  <c r="Q65" i="5" s="1"/>
  <c r="N65" i="5"/>
  <c r="M65" i="5"/>
  <c r="L65" i="5"/>
  <c r="K65" i="5"/>
  <c r="J65" i="5"/>
  <c r="H65" i="5"/>
  <c r="P64" i="5"/>
  <c r="O64" i="5"/>
  <c r="Q64" i="5" s="1"/>
  <c r="N64" i="5"/>
  <c r="M64" i="5"/>
  <c r="L64" i="5"/>
  <c r="K64" i="5"/>
  <c r="J64" i="5"/>
  <c r="H64" i="5"/>
  <c r="P63" i="5"/>
  <c r="O63" i="5"/>
  <c r="Q63" i="5" s="1"/>
  <c r="N63" i="5"/>
  <c r="M63" i="5"/>
  <c r="L63" i="5"/>
  <c r="K63" i="5"/>
  <c r="J63" i="5"/>
  <c r="H63" i="5"/>
  <c r="P62" i="5"/>
  <c r="O62" i="5"/>
  <c r="Q62" i="5" s="1"/>
  <c r="N62" i="5"/>
  <c r="M62" i="5"/>
  <c r="L62" i="5"/>
  <c r="K62" i="5"/>
  <c r="J62" i="5"/>
  <c r="H62" i="5"/>
  <c r="P61" i="5"/>
  <c r="O61" i="5"/>
  <c r="Q61" i="5" s="1"/>
  <c r="N61" i="5"/>
  <c r="M61" i="5"/>
  <c r="L61" i="5"/>
  <c r="K61" i="5"/>
  <c r="J61" i="5"/>
  <c r="H61" i="5"/>
  <c r="P60" i="5"/>
  <c r="O60" i="5"/>
  <c r="Q60" i="5" s="1"/>
  <c r="N60" i="5"/>
  <c r="M60" i="5"/>
  <c r="L60" i="5"/>
  <c r="K60" i="5"/>
  <c r="J60" i="5"/>
  <c r="H60" i="5"/>
  <c r="P59" i="5"/>
  <c r="O59" i="5"/>
  <c r="Q59" i="5" s="1"/>
  <c r="N59" i="5"/>
  <c r="M59" i="5"/>
  <c r="L59" i="5"/>
  <c r="K59" i="5"/>
  <c r="J59" i="5"/>
  <c r="H59" i="5"/>
  <c r="P58" i="5"/>
  <c r="O58" i="5"/>
  <c r="Q58" i="5" s="1"/>
  <c r="N58" i="5"/>
  <c r="M58" i="5"/>
  <c r="L58" i="5"/>
  <c r="K58" i="5"/>
  <c r="J58" i="5"/>
  <c r="H58" i="5"/>
  <c r="P57" i="5"/>
  <c r="O57" i="5"/>
  <c r="Q57" i="5" s="1"/>
  <c r="N57" i="5"/>
  <c r="M57" i="5"/>
  <c r="L57" i="5"/>
  <c r="K57" i="5"/>
  <c r="J57" i="5"/>
  <c r="H57" i="5"/>
  <c r="P56" i="5"/>
  <c r="O56" i="5"/>
  <c r="Q56" i="5" s="1"/>
  <c r="N56" i="5"/>
  <c r="M56" i="5"/>
  <c r="L56" i="5"/>
  <c r="K56" i="5"/>
  <c r="J56" i="5"/>
  <c r="H56" i="5"/>
  <c r="P55" i="5"/>
  <c r="O55" i="5"/>
  <c r="Q55" i="5" s="1"/>
  <c r="N55" i="5"/>
  <c r="M55" i="5"/>
  <c r="L55" i="5"/>
  <c r="K55" i="5"/>
  <c r="J55" i="5"/>
  <c r="H55" i="5"/>
  <c r="P54" i="5"/>
  <c r="O54" i="5"/>
  <c r="Q54" i="5" s="1"/>
  <c r="N54" i="5"/>
  <c r="M54" i="5"/>
  <c r="L54" i="5"/>
  <c r="K54" i="5"/>
  <c r="J54" i="5"/>
  <c r="H54" i="5"/>
  <c r="P53" i="5"/>
  <c r="O53" i="5"/>
  <c r="Q53" i="5" s="1"/>
  <c r="N53" i="5"/>
  <c r="M53" i="5"/>
  <c r="L53" i="5"/>
  <c r="K53" i="5"/>
  <c r="J53" i="5"/>
  <c r="H53" i="5"/>
  <c r="P52" i="5"/>
  <c r="O52" i="5"/>
  <c r="Q52" i="5" s="1"/>
  <c r="N52" i="5"/>
  <c r="M52" i="5"/>
  <c r="L52" i="5"/>
  <c r="K52" i="5"/>
  <c r="J52" i="5"/>
  <c r="H52" i="5"/>
  <c r="P51" i="5"/>
  <c r="O51" i="5"/>
  <c r="Q51" i="5" s="1"/>
  <c r="N51" i="5"/>
  <c r="M51" i="5"/>
  <c r="L51" i="5"/>
  <c r="K51" i="5"/>
  <c r="J51" i="5"/>
  <c r="H51" i="5"/>
  <c r="P50" i="5"/>
  <c r="O50" i="5"/>
  <c r="Q50" i="5" s="1"/>
  <c r="N50" i="5"/>
  <c r="M50" i="5"/>
  <c r="L50" i="5"/>
  <c r="K50" i="5"/>
  <c r="J50" i="5"/>
  <c r="H50" i="5"/>
  <c r="P49" i="5"/>
  <c r="O49" i="5"/>
  <c r="Q49" i="5" s="1"/>
  <c r="N49" i="5"/>
  <c r="M49" i="5"/>
  <c r="L49" i="5"/>
  <c r="K49" i="5"/>
  <c r="J49" i="5"/>
  <c r="H49" i="5"/>
  <c r="P48" i="5"/>
  <c r="O48" i="5"/>
  <c r="Q48" i="5" s="1"/>
  <c r="N48" i="5"/>
  <c r="M48" i="5"/>
  <c r="L48" i="5"/>
  <c r="K48" i="5"/>
  <c r="J48" i="5"/>
  <c r="H48" i="5"/>
  <c r="P47" i="5"/>
  <c r="O47" i="5"/>
  <c r="Q47" i="5" s="1"/>
  <c r="N47" i="5"/>
  <c r="M47" i="5"/>
  <c r="L47" i="5"/>
  <c r="K47" i="5"/>
  <c r="J47" i="5"/>
  <c r="H47" i="5"/>
  <c r="P46" i="5"/>
  <c r="O46" i="5"/>
  <c r="Q46" i="5" s="1"/>
  <c r="N46" i="5"/>
  <c r="M46" i="5"/>
  <c r="L46" i="5"/>
  <c r="K46" i="5"/>
  <c r="J46" i="5"/>
  <c r="H46" i="5"/>
  <c r="P45" i="5"/>
  <c r="O45" i="5"/>
  <c r="Q45" i="5" s="1"/>
  <c r="N45" i="5"/>
  <c r="M45" i="5"/>
  <c r="L45" i="5"/>
  <c r="K45" i="5"/>
  <c r="J45" i="5"/>
  <c r="H45" i="5"/>
  <c r="P44" i="5"/>
  <c r="O44" i="5"/>
  <c r="Q44" i="5" s="1"/>
  <c r="N44" i="5"/>
  <c r="M44" i="5"/>
  <c r="L44" i="5"/>
  <c r="K44" i="5"/>
  <c r="J44" i="5"/>
  <c r="H44" i="5"/>
  <c r="P43" i="5"/>
  <c r="O43" i="5"/>
  <c r="Q43" i="5" s="1"/>
  <c r="N43" i="5"/>
  <c r="M43" i="5"/>
  <c r="L43" i="5"/>
  <c r="K43" i="5"/>
  <c r="J43" i="5"/>
  <c r="H43" i="5"/>
  <c r="P42" i="5"/>
  <c r="O42" i="5"/>
  <c r="Q42" i="5" s="1"/>
  <c r="N42" i="5"/>
  <c r="M42" i="5"/>
  <c r="L42" i="5"/>
  <c r="K42" i="5"/>
  <c r="J42" i="5"/>
  <c r="H42" i="5"/>
  <c r="P41" i="5"/>
  <c r="O41" i="5"/>
  <c r="Q41" i="5" s="1"/>
  <c r="N41" i="5"/>
  <c r="M41" i="5"/>
  <c r="L41" i="5"/>
  <c r="K41" i="5"/>
  <c r="J41" i="5"/>
  <c r="H41" i="5"/>
  <c r="P40" i="5"/>
  <c r="O40" i="5"/>
  <c r="Q40" i="5" s="1"/>
  <c r="N40" i="5"/>
  <c r="M40" i="5"/>
  <c r="L40" i="5"/>
  <c r="K40" i="5"/>
  <c r="J40" i="5"/>
  <c r="H40" i="5"/>
  <c r="P39" i="5"/>
  <c r="O39" i="5"/>
  <c r="Q39" i="5" s="1"/>
  <c r="N39" i="5"/>
  <c r="M39" i="5"/>
  <c r="L39" i="5"/>
  <c r="K39" i="5"/>
  <c r="J39" i="5"/>
  <c r="H39" i="5"/>
  <c r="P38" i="5"/>
  <c r="O38" i="5"/>
  <c r="Q38" i="5" s="1"/>
  <c r="N38" i="5"/>
  <c r="M38" i="5"/>
  <c r="L38" i="5"/>
  <c r="K38" i="5"/>
  <c r="J38" i="5"/>
  <c r="H38" i="5"/>
  <c r="P37" i="5"/>
  <c r="O37" i="5"/>
  <c r="Q37" i="5" s="1"/>
  <c r="N37" i="5"/>
  <c r="M37" i="5"/>
  <c r="L37" i="5"/>
  <c r="K37" i="5"/>
  <c r="J37" i="5"/>
  <c r="H37" i="5"/>
  <c r="P36" i="5"/>
  <c r="O36" i="5"/>
  <c r="Q36" i="5" s="1"/>
  <c r="N36" i="5"/>
  <c r="M36" i="5"/>
  <c r="L36" i="5"/>
  <c r="K36" i="5"/>
  <c r="J36" i="5"/>
  <c r="H36" i="5"/>
  <c r="P35" i="5"/>
  <c r="O35" i="5"/>
  <c r="Q35" i="5" s="1"/>
  <c r="N35" i="5"/>
  <c r="M35" i="5"/>
  <c r="L35" i="5"/>
  <c r="K35" i="5"/>
  <c r="J35" i="5"/>
  <c r="H35" i="5"/>
  <c r="P34" i="5"/>
  <c r="O34" i="5"/>
  <c r="Q34" i="5" s="1"/>
  <c r="N34" i="5"/>
  <c r="M34" i="5"/>
  <c r="L34" i="5"/>
  <c r="K34" i="5"/>
  <c r="J34" i="5"/>
  <c r="H34" i="5"/>
  <c r="P33" i="5"/>
  <c r="O33" i="5"/>
  <c r="Q33" i="5" s="1"/>
  <c r="N33" i="5"/>
  <c r="M33" i="5"/>
  <c r="L33" i="5"/>
  <c r="K33" i="5"/>
  <c r="J33" i="5"/>
  <c r="H33" i="5"/>
  <c r="P32" i="5"/>
  <c r="O32" i="5"/>
  <c r="Q32" i="5" s="1"/>
  <c r="N32" i="5"/>
  <c r="M32" i="5"/>
  <c r="L32" i="5"/>
  <c r="K32" i="5"/>
  <c r="J32" i="5"/>
  <c r="H32" i="5"/>
  <c r="P31" i="5"/>
  <c r="O31" i="5"/>
  <c r="Q31" i="5" s="1"/>
  <c r="N31" i="5"/>
  <c r="M31" i="5"/>
  <c r="L31" i="5"/>
  <c r="K31" i="5"/>
  <c r="J31" i="5"/>
  <c r="H31" i="5"/>
  <c r="P30" i="5"/>
  <c r="O30" i="5"/>
  <c r="Q30" i="5" s="1"/>
  <c r="N30" i="5"/>
  <c r="M30" i="5"/>
  <c r="L30" i="5"/>
  <c r="K30" i="5"/>
  <c r="J30" i="5"/>
  <c r="H30" i="5"/>
  <c r="P29" i="5"/>
  <c r="O29" i="5"/>
  <c r="Q29" i="5" s="1"/>
  <c r="N29" i="5"/>
  <c r="M29" i="5"/>
  <c r="L29" i="5"/>
  <c r="K29" i="5"/>
  <c r="J29" i="5"/>
  <c r="H29" i="5"/>
  <c r="P28" i="5"/>
  <c r="O28" i="5"/>
  <c r="Q28" i="5" s="1"/>
  <c r="N28" i="5"/>
  <c r="M28" i="5"/>
  <c r="L28" i="5"/>
  <c r="K28" i="5"/>
  <c r="J28" i="5"/>
  <c r="H28" i="5"/>
  <c r="P27" i="5"/>
  <c r="O27" i="5"/>
  <c r="Q27" i="5" s="1"/>
  <c r="N27" i="5"/>
  <c r="M27" i="5"/>
  <c r="L27" i="5"/>
  <c r="K27" i="5"/>
  <c r="J27" i="5"/>
  <c r="H27" i="5"/>
  <c r="P26" i="5"/>
  <c r="O26" i="5"/>
  <c r="Q26" i="5" s="1"/>
  <c r="N26" i="5"/>
  <c r="M26" i="5"/>
  <c r="L26" i="5"/>
  <c r="K26" i="5"/>
  <c r="J26" i="5"/>
  <c r="H26" i="5"/>
  <c r="P25" i="5"/>
  <c r="O25" i="5"/>
  <c r="Q25" i="5" s="1"/>
  <c r="N25" i="5"/>
  <c r="M25" i="5"/>
  <c r="L25" i="5"/>
  <c r="K25" i="5"/>
  <c r="J25" i="5"/>
  <c r="H25" i="5"/>
  <c r="P24" i="5"/>
  <c r="O24" i="5"/>
  <c r="Q24" i="5" s="1"/>
  <c r="N24" i="5"/>
  <c r="M24" i="5"/>
  <c r="L24" i="5"/>
  <c r="K24" i="5"/>
  <c r="J24" i="5"/>
  <c r="H24" i="5"/>
  <c r="P23" i="5"/>
  <c r="O23" i="5"/>
  <c r="Q23" i="5" s="1"/>
  <c r="N23" i="5"/>
  <c r="M23" i="5"/>
  <c r="L23" i="5"/>
  <c r="K23" i="5"/>
  <c r="J23" i="5"/>
  <c r="H23" i="5"/>
  <c r="P22" i="5"/>
  <c r="O22" i="5"/>
  <c r="Q22" i="5" s="1"/>
  <c r="N22" i="5"/>
  <c r="M22" i="5"/>
  <c r="L22" i="5"/>
  <c r="K22" i="5"/>
  <c r="J22" i="5"/>
  <c r="H22" i="5"/>
  <c r="P21" i="5"/>
  <c r="O21" i="5"/>
  <c r="Q21" i="5" s="1"/>
  <c r="N21" i="5"/>
  <c r="M21" i="5"/>
  <c r="L21" i="5"/>
  <c r="K21" i="5"/>
  <c r="J21" i="5"/>
  <c r="H21" i="5"/>
  <c r="P20" i="5"/>
  <c r="O20" i="5"/>
  <c r="Q20" i="5" s="1"/>
  <c r="N20" i="5"/>
  <c r="M20" i="5"/>
  <c r="L20" i="5"/>
  <c r="K20" i="5"/>
  <c r="J20" i="5"/>
  <c r="H20" i="5"/>
  <c r="P19" i="5"/>
  <c r="O19" i="5"/>
  <c r="Q19" i="5" s="1"/>
  <c r="N19" i="5"/>
  <c r="M19" i="5"/>
  <c r="L19" i="5"/>
  <c r="K19" i="5"/>
  <c r="J19" i="5"/>
  <c r="H19" i="5"/>
  <c r="P18" i="5"/>
  <c r="O18" i="5"/>
  <c r="Q18" i="5" s="1"/>
  <c r="N18" i="5"/>
  <c r="M18" i="5"/>
  <c r="L18" i="5"/>
  <c r="K18" i="5"/>
  <c r="J18" i="5"/>
  <c r="H18" i="5"/>
  <c r="P17" i="5"/>
  <c r="O17" i="5"/>
  <c r="Q17" i="5" s="1"/>
  <c r="N17" i="5"/>
  <c r="M17" i="5"/>
  <c r="L17" i="5"/>
  <c r="K17" i="5"/>
  <c r="J17" i="5"/>
  <c r="H17" i="5"/>
  <c r="P16" i="5"/>
  <c r="O16" i="5"/>
  <c r="Q16" i="5" s="1"/>
  <c r="N16" i="5"/>
  <c r="M16" i="5"/>
  <c r="L16" i="5"/>
  <c r="K16" i="5"/>
  <c r="J16" i="5"/>
  <c r="H16" i="5"/>
  <c r="P15" i="5"/>
  <c r="O15" i="5"/>
  <c r="Q15" i="5" s="1"/>
  <c r="N15" i="5"/>
  <c r="M15" i="5"/>
  <c r="L15" i="5"/>
  <c r="K15" i="5"/>
  <c r="J15" i="5"/>
  <c r="H15" i="5"/>
  <c r="P14" i="5"/>
  <c r="O14" i="5"/>
  <c r="Q14" i="5" s="1"/>
  <c r="N14" i="5"/>
  <c r="M14" i="5"/>
  <c r="L14" i="5"/>
  <c r="K14" i="5"/>
  <c r="J14" i="5"/>
  <c r="H14" i="5"/>
  <c r="P13" i="5"/>
  <c r="O13" i="5"/>
  <c r="Q13" i="5" s="1"/>
  <c r="N13" i="5"/>
  <c r="M13" i="5"/>
  <c r="L13" i="5"/>
  <c r="K13" i="5"/>
  <c r="J13" i="5"/>
  <c r="H13" i="5"/>
  <c r="P12" i="5"/>
  <c r="O12" i="5"/>
  <c r="Q12" i="5" s="1"/>
  <c r="N12" i="5"/>
  <c r="M12" i="5"/>
  <c r="L12" i="5"/>
  <c r="K12" i="5"/>
  <c r="J12" i="5"/>
  <c r="H12" i="5"/>
  <c r="P11" i="5"/>
  <c r="O11" i="5"/>
  <c r="Q11" i="5" s="1"/>
  <c r="N11" i="5"/>
  <c r="M11" i="5"/>
  <c r="L11" i="5"/>
  <c r="K11" i="5"/>
  <c r="J11" i="5"/>
  <c r="H11" i="5"/>
  <c r="P10" i="5"/>
  <c r="O10" i="5"/>
  <c r="Q10" i="5" s="1"/>
  <c r="N10" i="5"/>
  <c r="M10" i="5"/>
  <c r="L10" i="5"/>
  <c r="K10" i="5"/>
  <c r="J10" i="5"/>
  <c r="H10" i="5"/>
  <c r="P9" i="5"/>
  <c r="O9" i="5"/>
  <c r="Q9" i="5" s="1"/>
  <c r="N9" i="5"/>
  <c r="M9" i="5"/>
  <c r="L9" i="5"/>
  <c r="K9" i="5"/>
  <c r="J9" i="5"/>
  <c r="H9" i="5"/>
  <c r="P8" i="5"/>
  <c r="O8" i="5"/>
  <c r="Q8" i="5" s="1"/>
  <c r="N8" i="5"/>
  <c r="M8" i="5"/>
  <c r="L8" i="5"/>
  <c r="K8" i="5"/>
  <c r="J8" i="5"/>
  <c r="H8" i="5"/>
  <c r="P7" i="5"/>
  <c r="O7" i="5"/>
  <c r="Q7" i="5" s="1"/>
  <c r="N7" i="5"/>
  <c r="M7" i="5"/>
  <c r="L7" i="5"/>
  <c r="K7" i="5"/>
  <c r="J7" i="5"/>
  <c r="H7" i="5"/>
  <c r="P6" i="5"/>
  <c r="O6" i="5"/>
  <c r="Q6" i="5" s="1"/>
  <c r="N6" i="5"/>
  <c r="M6" i="5"/>
  <c r="L6" i="5"/>
  <c r="K6" i="5"/>
  <c r="J6" i="5"/>
  <c r="H6" i="5"/>
  <c r="P5" i="5"/>
  <c r="O5" i="5"/>
  <c r="Q5" i="5" s="1"/>
  <c r="N5" i="5"/>
  <c r="M5" i="5"/>
  <c r="L5" i="5"/>
  <c r="K5" i="5"/>
  <c r="J5" i="5"/>
  <c r="H5" i="5"/>
  <c r="P4" i="5"/>
  <c r="O4" i="5"/>
  <c r="Q4" i="5" s="1"/>
  <c r="N4" i="5"/>
  <c r="M4" i="5"/>
  <c r="L4" i="5"/>
  <c r="K4" i="5"/>
  <c r="J4" i="5"/>
  <c r="H4" i="5"/>
  <c r="P3" i="5"/>
  <c r="O3" i="5"/>
  <c r="Q3" i="5" s="1"/>
  <c r="N3" i="5"/>
  <c r="M3" i="5"/>
  <c r="L3" i="5"/>
  <c r="K3" i="5"/>
  <c r="J3" i="5"/>
  <c r="H3" i="5"/>
  <c r="P2" i="5"/>
  <c r="O2" i="5"/>
  <c r="Q2" i="5" s="1"/>
  <c r="N2" i="5"/>
  <c r="M2" i="5"/>
  <c r="L2" i="5"/>
  <c r="K2" i="5"/>
  <c r="J2" i="5"/>
  <c r="H2" i="5"/>
  <c r="Z3000" i="4"/>
  <c r="Y3000" i="4"/>
  <c r="X3000" i="4"/>
  <c r="W3000" i="4"/>
  <c r="Z2999" i="4"/>
  <c r="Y2999" i="4"/>
  <c r="X2999" i="4"/>
  <c r="W2999" i="4"/>
  <c r="Z2998" i="4"/>
  <c r="Y2998" i="4"/>
  <c r="X2998" i="4"/>
  <c r="W2998" i="4"/>
  <c r="Z2997" i="4"/>
  <c r="Y2997" i="4"/>
  <c r="X2997" i="4"/>
  <c r="W2997" i="4"/>
  <c r="Z2996" i="4"/>
  <c r="Y2996" i="4"/>
  <c r="X2996" i="4"/>
  <c r="W2996" i="4"/>
  <c r="Z2995" i="4"/>
  <c r="Y2995" i="4"/>
  <c r="X2995" i="4"/>
  <c r="W2995" i="4"/>
  <c r="Z2994" i="4"/>
  <c r="Y2994" i="4"/>
  <c r="X2994" i="4"/>
  <c r="W2994" i="4"/>
  <c r="Z2993" i="4"/>
  <c r="Y2993" i="4"/>
  <c r="X2993" i="4"/>
  <c r="W2993" i="4"/>
  <c r="Z2992" i="4"/>
  <c r="Y2992" i="4"/>
  <c r="X2992" i="4"/>
  <c r="W2992" i="4"/>
  <c r="Z2991" i="4"/>
  <c r="Y2991" i="4"/>
  <c r="X2991" i="4"/>
  <c r="W2991" i="4"/>
  <c r="Z2990" i="4"/>
  <c r="Y2990" i="4"/>
  <c r="X2990" i="4"/>
  <c r="W2990" i="4"/>
  <c r="Z2989" i="4"/>
  <c r="Y2989" i="4"/>
  <c r="X2989" i="4"/>
  <c r="W2989" i="4"/>
  <c r="Z2988" i="4"/>
  <c r="Y2988" i="4"/>
  <c r="X2988" i="4"/>
  <c r="W2988" i="4"/>
  <c r="Z2987" i="4"/>
  <c r="Y2987" i="4"/>
  <c r="X2987" i="4"/>
  <c r="W2987" i="4"/>
  <c r="Z2986" i="4"/>
  <c r="Y2986" i="4"/>
  <c r="X2986" i="4"/>
  <c r="W2986" i="4"/>
  <c r="Z2985" i="4"/>
  <c r="Y2985" i="4"/>
  <c r="X2985" i="4"/>
  <c r="W2985" i="4"/>
  <c r="Z2984" i="4"/>
  <c r="Y2984" i="4"/>
  <c r="X2984" i="4"/>
  <c r="W2984" i="4"/>
  <c r="Z2983" i="4"/>
  <c r="Y2983" i="4"/>
  <c r="X2983" i="4"/>
  <c r="W2983" i="4"/>
  <c r="Z2982" i="4"/>
  <c r="Y2982" i="4"/>
  <c r="X2982" i="4"/>
  <c r="W2982" i="4"/>
  <c r="Z2981" i="4"/>
  <c r="Y2981" i="4"/>
  <c r="X2981" i="4"/>
  <c r="W2981" i="4"/>
  <c r="Z2980" i="4"/>
  <c r="Y2980" i="4"/>
  <c r="X2980" i="4"/>
  <c r="W2980" i="4"/>
  <c r="Z2979" i="4"/>
  <c r="Y2979" i="4"/>
  <c r="X2979" i="4"/>
  <c r="W2979" i="4"/>
  <c r="Z2978" i="4"/>
  <c r="Y2978" i="4"/>
  <c r="X2978" i="4"/>
  <c r="W2978" i="4"/>
  <c r="Z2977" i="4"/>
  <c r="Y2977" i="4"/>
  <c r="X2977" i="4"/>
  <c r="W2977" i="4"/>
  <c r="Z2976" i="4"/>
  <c r="Y2976" i="4"/>
  <c r="X2976" i="4"/>
  <c r="W2976" i="4"/>
  <c r="Z2975" i="4"/>
  <c r="Y2975" i="4"/>
  <c r="X2975" i="4"/>
  <c r="W2975" i="4"/>
  <c r="Z2974" i="4"/>
  <c r="Y2974" i="4"/>
  <c r="X2974" i="4"/>
  <c r="W2974" i="4"/>
  <c r="Z2973" i="4"/>
  <c r="Y2973" i="4"/>
  <c r="X2973" i="4"/>
  <c r="W2973" i="4"/>
  <c r="Z2972" i="4"/>
  <c r="Y2972" i="4"/>
  <c r="X2972" i="4"/>
  <c r="W2972" i="4"/>
  <c r="Z2971" i="4"/>
  <c r="Y2971" i="4"/>
  <c r="X2971" i="4"/>
  <c r="W2971" i="4"/>
  <c r="Z2970" i="4"/>
  <c r="Y2970" i="4"/>
  <c r="X2970" i="4"/>
  <c r="W2970" i="4"/>
  <c r="Z2969" i="4"/>
  <c r="Y2969" i="4"/>
  <c r="X2969" i="4"/>
  <c r="W2969" i="4"/>
  <c r="Z2968" i="4"/>
  <c r="Y2968" i="4"/>
  <c r="X2968" i="4"/>
  <c r="W2968" i="4"/>
  <c r="Z2967" i="4"/>
  <c r="Y2967" i="4"/>
  <c r="X2967" i="4"/>
  <c r="W2967" i="4"/>
  <c r="Z2966" i="4"/>
  <c r="Y2966" i="4"/>
  <c r="X2966" i="4"/>
  <c r="W2966" i="4"/>
  <c r="Z2965" i="4"/>
  <c r="Y2965" i="4"/>
  <c r="X2965" i="4"/>
  <c r="W2965" i="4"/>
  <c r="Z2964" i="4"/>
  <c r="Y2964" i="4"/>
  <c r="X2964" i="4"/>
  <c r="W2964" i="4"/>
  <c r="Z2963" i="4"/>
  <c r="Y2963" i="4"/>
  <c r="X2963" i="4"/>
  <c r="W2963" i="4"/>
  <c r="Z2962" i="4"/>
  <c r="Y2962" i="4"/>
  <c r="X2962" i="4"/>
  <c r="W2962" i="4"/>
  <c r="Z2961" i="4"/>
  <c r="Y2961" i="4"/>
  <c r="X2961" i="4"/>
  <c r="W2961" i="4"/>
  <c r="Z2960" i="4"/>
  <c r="Y2960" i="4"/>
  <c r="X2960" i="4"/>
  <c r="W2960" i="4"/>
  <c r="Z2959" i="4"/>
  <c r="Y2959" i="4"/>
  <c r="X2959" i="4"/>
  <c r="W2959" i="4"/>
  <c r="Z2958" i="4"/>
  <c r="Y2958" i="4"/>
  <c r="X2958" i="4"/>
  <c r="W2958" i="4"/>
  <c r="Z2957" i="4"/>
  <c r="Y2957" i="4"/>
  <c r="X2957" i="4"/>
  <c r="W2957" i="4"/>
  <c r="Z2956" i="4"/>
  <c r="Y2956" i="4"/>
  <c r="X2956" i="4"/>
  <c r="W2956" i="4"/>
  <c r="Z2955" i="4"/>
  <c r="Y2955" i="4"/>
  <c r="X2955" i="4"/>
  <c r="W2955" i="4"/>
  <c r="Z2954" i="4"/>
  <c r="Y2954" i="4"/>
  <c r="X2954" i="4"/>
  <c r="W2954" i="4"/>
  <c r="Z2953" i="4"/>
  <c r="Y2953" i="4"/>
  <c r="X2953" i="4"/>
  <c r="W2953" i="4"/>
  <c r="Z2952" i="4"/>
  <c r="Y2952" i="4"/>
  <c r="X2952" i="4"/>
  <c r="W2952" i="4"/>
  <c r="Z2951" i="4"/>
  <c r="Y2951" i="4"/>
  <c r="X2951" i="4"/>
  <c r="W2951" i="4"/>
  <c r="Z2950" i="4"/>
  <c r="Y2950" i="4"/>
  <c r="X2950" i="4"/>
  <c r="W2950" i="4"/>
  <c r="Z2949" i="4"/>
  <c r="Y2949" i="4"/>
  <c r="X2949" i="4"/>
  <c r="W2949" i="4"/>
  <c r="Z2948" i="4"/>
  <c r="Y2948" i="4"/>
  <c r="X2948" i="4"/>
  <c r="W2948" i="4"/>
  <c r="Z2947" i="4"/>
  <c r="Y2947" i="4"/>
  <c r="X2947" i="4"/>
  <c r="W2947" i="4"/>
  <c r="Z2946" i="4"/>
  <c r="Y2946" i="4"/>
  <c r="X2946" i="4"/>
  <c r="W2946" i="4"/>
  <c r="Z2945" i="4"/>
  <c r="Y2945" i="4"/>
  <c r="X2945" i="4"/>
  <c r="W2945" i="4"/>
  <c r="Z2944" i="4"/>
  <c r="Y2944" i="4"/>
  <c r="X2944" i="4"/>
  <c r="W2944" i="4"/>
  <c r="Z2943" i="4"/>
  <c r="Y2943" i="4"/>
  <c r="X2943" i="4"/>
  <c r="W2943" i="4"/>
  <c r="Z2942" i="4"/>
  <c r="Y2942" i="4"/>
  <c r="X2942" i="4"/>
  <c r="W2942" i="4"/>
  <c r="Z2941" i="4"/>
  <c r="Y2941" i="4"/>
  <c r="X2941" i="4"/>
  <c r="W2941" i="4"/>
  <c r="Z2940" i="4"/>
  <c r="Y2940" i="4"/>
  <c r="X2940" i="4"/>
  <c r="W2940" i="4"/>
  <c r="Z2939" i="4"/>
  <c r="Y2939" i="4"/>
  <c r="X2939" i="4"/>
  <c r="W2939" i="4"/>
  <c r="Z2938" i="4"/>
  <c r="Y2938" i="4"/>
  <c r="X2938" i="4"/>
  <c r="W2938" i="4"/>
  <c r="Z2937" i="4"/>
  <c r="Y2937" i="4"/>
  <c r="X2937" i="4"/>
  <c r="W2937" i="4"/>
  <c r="Z2936" i="4"/>
  <c r="Y2936" i="4"/>
  <c r="X2936" i="4"/>
  <c r="W2936" i="4"/>
  <c r="Z2935" i="4"/>
  <c r="Y2935" i="4"/>
  <c r="X2935" i="4"/>
  <c r="W2935" i="4"/>
  <c r="Z2934" i="4"/>
  <c r="Y2934" i="4"/>
  <c r="X2934" i="4"/>
  <c r="W2934" i="4"/>
  <c r="Z2933" i="4"/>
  <c r="Y2933" i="4"/>
  <c r="X2933" i="4"/>
  <c r="W2933" i="4"/>
  <c r="Z2932" i="4"/>
  <c r="Y2932" i="4"/>
  <c r="X2932" i="4"/>
  <c r="W2932" i="4"/>
  <c r="Z2931" i="4"/>
  <c r="Y2931" i="4"/>
  <c r="X2931" i="4"/>
  <c r="W2931" i="4"/>
  <c r="Z2930" i="4"/>
  <c r="Y2930" i="4"/>
  <c r="X2930" i="4"/>
  <c r="W2930" i="4"/>
  <c r="Z2929" i="4"/>
  <c r="Y2929" i="4"/>
  <c r="X2929" i="4"/>
  <c r="W2929" i="4"/>
  <c r="Z2928" i="4"/>
  <c r="Y2928" i="4"/>
  <c r="X2928" i="4"/>
  <c r="W2928" i="4"/>
  <c r="Z2927" i="4"/>
  <c r="Y2927" i="4"/>
  <c r="X2927" i="4"/>
  <c r="W2927" i="4"/>
  <c r="Z2926" i="4"/>
  <c r="Y2926" i="4"/>
  <c r="X2926" i="4"/>
  <c r="W2926" i="4"/>
  <c r="Z2925" i="4"/>
  <c r="Y2925" i="4"/>
  <c r="X2925" i="4"/>
  <c r="W2925" i="4"/>
  <c r="Z2924" i="4"/>
  <c r="Y2924" i="4"/>
  <c r="X2924" i="4"/>
  <c r="W2924" i="4"/>
  <c r="Z2923" i="4"/>
  <c r="Y2923" i="4"/>
  <c r="X2923" i="4"/>
  <c r="W2923" i="4"/>
  <c r="Z2922" i="4"/>
  <c r="Y2922" i="4"/>
  <c r="X2922" i="4"/>
  <c r="W2922" i="4"/>
  <c r="Z2921" i="4"/>
  <c r="Y2921" i="4"/>
  <c r="X2921" i="4"/>
  <c r="W2921" i="4"/>
  <c r="Z2920" i="4"/>
  <c r="Y2920" i="4"/>
  <c r="X2920" i="4"/>
  <c r="W2920" i="4"/>
  <c r="Z2919" i="4"/>
  <c r="Y2919" i="4"/>
  <c r="X2919" i="4"/>
  <c r="W2919" i="4"/>
  <c r="Z2918" i="4"/>
  <c r="Y2918" i="4"/>
  <c r="X2918" i="4"/>
  <c r="W2918" i="4"/>
  <c r="Z2917" i="4"/>
  <c r="Y2917" i="4"/>
  <c r="X2917" i="4"/>
  <c r="W2917" i="4"/>
  <c r="Z2916" i="4"/>
  <c r="Y2916" i="4"/>
  <c r="X2916" i="4"/>
  <c r="W2916" i="4"/>
  <c r="Z2915" i="4"/>
  <c r="Y2915" i="4"/>
  <c r="X2915" i="4"/>
  <c r="W2915" i="4"/>
  <c r="Z2914" i="4"/>
  <c r="Y2914" i="4"/>
  <c r="X2914" i="4"/>
  <c r="W2914" i="4"/>
  <c r="Z2913" i="4"/>
  <c r="Y2913" i="4"/>
  <c r="X2913" i="4"/>
  <c r="W2913" i="4"/>
  <c r="Z2912" i="4"/>
  <c r="Y2912" i="4"/>
  <c r="X2912" i="4"/>
  <c r="W2912" i="4"/>
  <c r="Z2911" i="4"/>
  <c r="Y2911" i="4"/>
  <c r="X2911" i="4"/>
  <c r="W2911" i="4"/>
  <c r="Z2910" i="4"/>
  <c r="Y2910" i="4"/>
  <c r="X2910" i="4"/>
  <c r="W2910" i="4"/>
  <c r="Z2909" i="4"/>
  <c r="Y2909" i="4"/>
  <c r="X2909" i="4"/>
  <c r="W2909" i="4"/>
  <c r="Z2908" i="4"/>
  <c r="Y2908" i="4"/>
  <c r="X2908" i="4"/>
  <c r="W2908" i="4"/>
  <c r="Z2907" i="4"/>
  <c r="Y2907" i="4"/>
  <c r="X2907" i="4"/>
  <c r="W2907" i="4"/>
  <c r="Z2906" i="4"/>
  <c r="Y2906" i="4"/>
  <c r="X2906" i="4"/>
  <c r="W2906" i="4"/>
  <c r="Z2905" i="4"/>
  <c r="Y2905" i="4"/>
  <c r="X2905" i="4"/>
  <c r="W2905" i="4"/>
  <c r="Z2904" i="4"/>
  <c r="Y2904" i="4"/>
  <c r="X2904" i="4"/>
  <c r="W2904" i="4"/>
  <c r="Z2903" i="4"/>
  <c r="Y2903" i="4"/>
  <c r="X2903" i="4"/>
  <c r="W2903" i="4"/>
  <c r="Z2902" i="4"/>
  <c r="Y2902" i="4"/>
  <c r="X2902" i="4"/>
  <c r="W2902" i="4"/>
  <c r="Z2901" i="4"/>
  <c r="Y2901" i="4"/>
  <c r="X2901" i="4"/>
  <c r="W2901" i="4"/>
  <c r="Z2900" i="4"/>
  <c r="Y2900" i="4"/>
  <c r="X2900" i="4"/>
  <c r="W2900" i="4"/>
  <c r="Z2899" i="4"/>
  <c r="Y2899" i="4"/>
  <c r="X2899" i="4"/>
  <c r="W2899" i="4"/>
  <c r="Z2898" i="4"/>
  <c r="Y2898" i="4"/>
  <c r="X2898" i="4"/>
  <c r="W2898" i="4"/>
  <c r="Z2897" i="4"/>
  <c r="Y2897" i="4"/>
  <c r="X2897" i="4"/>
  <c r="W2897" i="4"/>
  <c r="Z2896" i="4"/>
  <c r="Y2896" i="4"/>
  <c r="X2896" i="4"/>
  <c r="W2896" i="4"/>
  <c r="Z2895" i="4"/>
  <c r="Y2895" i="4"/>
  <c r="X2895" i="4"/>
  <c r="W2895" i="4"/>
  <c r="Z2894" i="4"/>
  <c r="Y2894" i="4"/>
  <c r="X2894" i="4"/>
  <c r="W2894" i="4"/>
  <c r="Z2893" i="4"/>
  <c r="Y2893" i="4"/>
  <c r="X2893" i="4"/>
  <c r="W2893" i="4"/>
  <c r="Z2892" i="4"/>
  <c r="Y2892" i="4"/>
  <c r="X2892" i="4"/>
  <c r="W2892" i="4"/>
  <c r="Z2891" i="4"/>
  <c r="Y2891" i="4"/>
  <c r="X2891" i="4"/>
  <c r="W2891" i="4"/>
  <c r="Z2890" i="4"/>
  <c r="Y2890" i="4"/>
  <c r="X2890" i="4"/>
  <c r="W2890" i="4"/>
  <c r="Z2889" i="4"/>
  <c r="Y2889" i="4"/>
  <c r="X2889" i="4"/>
  <c r="W2889" i="4"/>
  <c r="Z2888" i="4"/>
  <c r="Y2888" i="4"/>
  <c r="X2888" i="4"/>
  <c r="W2888" i="4"/>
  <c r="Z2887" i="4"/>
  <c r="Y2887" i="4"/>
  <c r="X2887" i="4"/>
  <c r="W2887" i="4"/>
  <c r="Z2886" i="4"/>
  <c r="Y2886" i="4"/>
  <c r="X2886" i="4"/>
  <c r="W2886" i="4"/>
  <c r="Z2885" i="4"/>
  <c r="Y2885" i="4"/>
  <c r="X2885" i="4"/>
  <c r="W2885" i="4"/>
  <c r="Z2884" i="4"/>
  <c r="Y2884" i="4"/>
  <c r="X2884" i="4"/>
  <c r="W2884" i="4"/>
  <c r="Z2883" i="4"/>
  <c r="Y2883" i="4"/>
  <c r="X2883" i="4"/>
  <c r="W2883" i="4"/>
  <c r="Z2882" i="4"/>
  <c r="Y2882" i="4"/>
  <c r="X2882" i="4"/>
  <c r="W2882" i="4"/>
  <c r="Z2881" i="4"/>
  <c r="Y2881" i="4"/>
  <c r="X2881" i="4"/>
  <c r="W2881" i="4"/>
  <c r="Z2880" i="4"/>
  <c r="Y2880" i="4"/>
  <c r="X2880" i="4"/>
  <c r="W2880" i="4"/>
  <c r="Z2879" i="4"/>
  <c r="Y2879" i="4"/>
  <c r="X2879" i="4"/>
  <c r="W2879" i="4"/>
  <c r="Z2878" i="4"/>
  <c r="Y2878" i="4"/>
  <c r="X2878" i="4"/>
  <c r="W2878" i="4"/>
  <c r="Z2877" i="4"/>
  <c r="Y2877" i="4"/>
  <c r="X2877" i="4"/>
  <c r="W2877" i="4"/>
  <c r="Z2876" i="4"/>
  <c r="Y2876" i="4"/>
  <c r="X2876" i="4"/>
  <c r="W2876" i="4"/>
  <c r="Z2875" i="4"/>
  <c r="Y2875" i="4"/>
  <c r="X2875" i="4"/>
  <c r="W2875" i="4"/>
  <c r="Z2874" i="4"/>
  <c r="Y2874" i="4"/>
  <c r="X2874" i="4"/>
  <c r="W2874" i="4"/>
  <c r="Z2873" i="4"/>
  <c r="Y2873" i="4"/>
  <c r="X2873" i="4"/>
  <c r="W2873" i="4"/>
  <c r="Z2872" i="4"/>
  <c r="Y2872" i="4"/>
  <c r="X2872" i="4"/>
  <c r="W2872" i="4"/>
  <c r="Z2871" i="4"/>
  <c r="Y2871" i="4"/>
  <c r="X2871" i="4"/>
  <c r="W2871" i="4"/>
  <c r="Z2870" i="4"/>
  <c r="Y2870" i="4"/>
  <c r="X2870" i="4"/>
  <c r="W2870" i="4"/>
  <c r="Z2869" i="4"/>
  <c r="Y2869" i="4"/>
  <c r="X2869" i="4"/>
  <c r="W2869" i="4"/>
  <c r="Z2868" i="4"/>
  <c r="Y2868" i="4"/>
  <c r="X2868" i="4"/>
  <c r="W2868" i="4"/>
  <c r="Z2867" i="4"/>
  <c r="Y2867" i="4"/>
  <c r="X2867" i="4"/>
  <c r="W2867" i="4"/>
  <c r="Z2866" i="4"/>
  <c r="Y2866" i="4"/>
  <c r="X2866" i="4"/>
  <c r="W2866" i="4"/>
  <c r="Z2865" i="4"/>
  <c r="Y2865" i="4"/>
  <c r="X2865" i="4"/>
  <c r="W2865" i="4"/>
  <c r="Z2864" i="4"/>
  <c r="Y2864" i="4"/>
  <c r="X2864" i="4"/>
  <c r="W2864" i="4"/>
  <c r="Z2863" i="4"/>
  <c r="Y2863" i="4"/>
  <c r="X2863" i="4"/>
  <c r="W2863" i="4"/>
  <c r="Z2862" i="4"/>
  <c r="Y2862" i="4"/>
  <c r="X2862" i="4"/>
  <c r="W2862" i="4"/>
  <c r="Z2861" i="4"/>
  <c r="Y2861" i="4"/>
  <c r="X2861" i="4"/>
  <c r="W2861" i="4"/>
  <c r="Z2860" i="4"/>
  <c r="Y2860" i="4"/>
  <c r="X2860" i="4"/>
  <c r="W2860" i="4"/>
  <c r="Z2859" i="4"/>
  <c r="Y2859" i="4"/>
  <c r="X2859" i="4"/>
  <c r="W2859" i="4"/>
  <c r="Z2858" i="4"/>
  <c r="Y2858" i="4"/>
  <c r="X2858" i="4"/>
  <c r="W2858" i="4"/>
  <c r="Z2857" i="4"/>
  <c r="Y2857" i="4"/>
  <c r="X2857" i="4"/>
  <c r="W2857" i="4"/>
  <c r="Z2856" i="4"/>
  <c r="Y2856" i="4"/>
  <c r="X2856" i="4"/>
  <c r="W2856" i="4"/>
  <c r="Z2855" i="4"/>
  <c r="Y2855" i="4"/>
  <c r="X2855" i="4"/>
  <c r="W2855" i="4"/>
  <c r="Z2854" i="4"/>
  <c r="Y2854" i="4"/>
  <c r="X2854" i="4"/>
  <c r="W2854" i="4"/>
  <c r="Z2853" i="4"/>
  <c r="Y2853" i="4"/>
  <c r="X2853" i="4"/>
  <c r="W2853" i="4"/>
  <c r="Z2852" i="4"/>
  <c r="Y2852" i="4"/>
  <c r="X2852" i="4"/>
  <c r="W2852" i="4"/>
  <c r="Z2851" i="4"/>
  <c r="Y2851" i="4"/>
  <c r="X2851" i="4"/>
  <c r="W2851" i="4"/>
  <c r="Z2850" i="4"/>
  <c r="Y2850" i="4"/>
  <c r="X2850" i="4"/>
  <c r="W2850" i="4"/>
  <c r="Z2849" i="4"/>
  <c r="Y2849" i="4"/>
  <c r="X2849" i="4"/>
  <c r="W2849" i="4"/>
  <c r="Z2848" i="4"/>
  <c r="Y2848" i="4"/>
  <c r="X2848" i="4"/>
  <c r="W2848" i="4"/>
  <c r="Z2847" i="4"/>
  <c r="Y2847" i="4"/>
  <c r="X2847" i="4"/>
  <c r="W2847" i="4"/>
  <c r="Z2846" i="4"/>
  <c r="Y2846" i="4"/>
  <c r="X2846" i="4"/>
  <c r="W2846" i="4"/>
  <c r="Z2845" i="4"/>
  <c r="Y2845" i="4"/>
  <c r="X2845" i="4"/>
  <c r="W2845" i="4"/>
  <c r="Z2844" i="4"/>
  <c r="Y2844" i="4"/>
  <c r="X2844" i="4"/>
  <c r="W2844" i="4"/>
  <c r="Z2843" i="4"/>
  <c r="Y2843" i="4"/>
  <c r="X2843" i="4"/>
  <c r="W2843" i="4"/>
  <c r="Z2842" i="4"/>
  <c r="Y2842" i="4"/>
  <c r="X2842" i="4"/>
  <c r="W2842" i="4"/>
  <c r="Z2841" i="4"/>
  <c r="Y2841" i="4"/>
  <c r="X2841" i="4"/>
  <c r="W2841" i="4"/>
  <c r="Z2840" i="4"/>
  <c r="Y2840" i="4"/>
  <c r="X2840" i="4"/>
  <c r="W2840" i="4"/>
  <c r="Z2839" i="4"/>
  <c r="Y2839" i="4"/>
  <c r="X2839" i="4"/>
  <c r="W2839" i="4"/>
  <c r="Z2838" i="4"/>
  <c r="Y2838" i="4"/>
  <c r="X2838" i="4"/>
  <c r="W2838" i="4"/>
  <c r="Z2837" i="4"/>
  <c r="Y2837" i="4"/>
  <c r="X2837" i="4"/>
  <c r="W2837" i="4"/>
  <c r="Z2836" i="4"/>
  <c r="Y2836" i="4"/>
  <c r="X2836" i="4"/>
  <c r="W2836" i="4"/>
  <c r="Z2835" i="4"/>
  <c r="Y2835" i="4"/>
  <c r="X2835" i="4"/>
  <c r="W2835" i="4"/>
  <c r="Z2834" i="4"/>
  <c r="Y2834" i="4"/>
  <c r="X2834" i="4"/>
  <c r="W2834" i="4"/>
  <c r="Z2833" i="4"/>
  <c r="Y2833" i="4"/>
  <c r="X2833" i="4"/>
  <c r="W2833" i="4"/>
  <c r="Z2832" i="4"/>
  <c r="Y2832" i="4"/>
  <c r="X2832" i="4"/>
  <c r="W2832" i="4"/>
  <c r="Z2831" i="4"/>
  <c r="Y2831" i="4"/>
  <c r="X2831" i="4"/>
  <c r="W2831" i="4"/>
  <c r="Z2830" i="4"/>
  <c r="Y2830" i="4"/>
  <c r="X2830" i="4"/>
  <c r="W2830" i="4"/>
  <c r="Z2829" i="4"/>
  <c r="Y2829" i="4"/>
  <c r="X2829" i="4"/>
  <c r="W2829" i="4"/>
  <c r="Z2828" i="4"/>
  <c r="Y2828" i="4"/>
  <c r="X2828" i="4"/>
  <c r="W2828" i="4"/>
  <c r="Z2827" i="4"/>
  <c r="Y2827" i="4"/>
  <c r="X2827" i="4"/>
  <c r="W2827" i="4"/>
  <c r="Z2826" i="4"/>
  <c r="Y2826" i="4"/>
  <c r="X2826" i="4"/>
  <c r="W2826" i="4"/>
  <c r="Z2825" i="4"/>
  <c r="Y2825" i="4"/>
  <c r="X2825" i="4"/>
  <c r="W2825" i="4"/>
  <c r="Z2824" i="4"/>
  <c r="Y2824" i="4"/>
  <c r="X2824" i="4"/>
  <c r="W2824" i="4"/>
  <c r="Z2823" i="4"/>
  <c r="Y2823" i="4"/>
  <c r="X2823" i="4"/>
  <c r="W2823" i="4"/>
  <c r="Z2822" i="4"/>
  <c r="Y2822" i="4"/>
  <c r="X2822" i="4"/>
  <c r="W2822" i="4"/>
  <c r="Z2821" i="4"/>
  <c r="Y2821" i="4"/>
  <c r="X2821" i="4"/>
  <c r="W2821" i="4"/>
  <c r="Z2820" i="4"/>
  <c r="Y2820" i="4"/>
  <c r="X2820" i="4"/>
  <c r="W2820" i="4"/>
  <c r="Z2819" i="4"/>
  <c r="Y2819" i="4"/>
  <c r="X2819" i="4"/>
  <c r="W2819" i="4"/>
  <c r="Z2818" i="4"/>
  <c r="Y2818" i="4"/>
  <c r="X2818" i="4"/>
  <c r="W2818" i="4"/>
  <c r="Z2817" i="4"/>
  <c r="Y2817" i="4"/>
  <c r="X2817" i="4"/>
  <c r="W2817" i="4"/>
  <c r="Z2816" i="4"/>
  <c r="Y2816" i="4"/>
  <c r="X2816" i="4"/>
  <c r="W2816" i="4"/>
  <c r="Z2815" i="4"/>
  <c r="Y2815" i="4"/>
  <c r="X2815" i="4"/>
  <c r="W2815" i="4"/>
  <c r="Z2814" i="4"/>
  <c r="Y2814" i="4"/>
  <c r="X2814" i="4"/>
  <c r="W2814" i="4"/>
  <c r="Z2813" i="4"/>
  <c r="Y2813" i="4"/>
  <c r="X2813" i="4"/>
  <c r="W2813" i="4"/>
  <c r="Z2812" i="4"/>
  <c r="Y2812" i="4"/>
  <c r="X2812" i="4"/>
  <c r="W2812" i="4"/>
  <c r="Z2811" i="4"/>
  <c r="Y2811" i="4"/>
  <c r="X2811" i="4"/>
  <c r="W2811" i="4"/>
  <c r="Z2810" i="4"/>
  <c r="Y2810" i="4"/>
  <c r="X2810" i="4"/>
  <c r="W2810" i="4"/>
  <c r="Z2809" i="4"/>
  <c r="Y2809" i="4"/>
  <c r="X2809" i="4"/>
  <c r="W2809" i="4"/>
  <c r="Z2808" i="4"/>
  <c r="Y2808" i="4"/>
  <c r="X2808" i="4"/>
  <c r="W2808" i="4"/>
  <c r="Z2807" i="4"/>
  <c r="Y2807" i="4"/>
  <c r="X2807" i="4"/>
  <c r="W2807" i="4"/>
  <c r="Z2806" i="4"/>
  <c r="Y2806" i="4"/>
  <c r="X2806" i="4"/>
  <c r="W2806" i="4"/>
  <c r="Z2805" i="4"/>
  <c r="Y2805" i="4"/>
  <c r="X2805" i="4"/>
  <c r="W2805" i="4"/>
  <c r="Z2804" i="4"/>
  <c r="Y2804" i="4"/>
  <c r="X2804" i="4"/>
  <c r="W2804" i="4"/>
  <c r="Z2803" i="4"/>
  <c r="Y2803" i="4"/>
  <c r="X2803" i="4"/>
  <c r="W2803" i="4"/>
  <c r="Z2802" i="4"/>
  <c r="Y2802" i="4"/>
  <c r="X2802" i="4"/>
  <c r="W2802" i="4"/>
  <c r="Z2801" i="4"/>
  <c r="Y2801" i="4"/>
  <c r="X2801" i="4"/>
  <c r="W2801" i="4"/>
  <c r="Z2800" i="4"/>
  <c r="Y2800" i="4"/>
  <c r="X2800" i="4"/>
  <c r="W2800" i="4"/>
  <c r="Z2799" i="4"/>
  <c r="Y2799" i="4"/>
  <c r="X2799" i="4"/>
  <c r="W2799" i="4"/>
  <c r="Z2798" i="4"/>
  <c r="Y2798" i="4"/>
  <c r="X2798" i="4"/>
  <c r="W2798" i="4"/>
  <c r="Z2797" i="4"/>
  <c r="Y2797" i="4"/>
  <c r="X2797" i="4"/>
  <c r="W2797" i="4"/>
  <c r="Z2796" i="4"/>
  <c r="Y2796" i="4"/>
  <c r="X2796" i="4"/>
  <c r="W2796" i="4"/>
  <c r="Z2795" i="4"/>
  <c r="Y2795" i="4"/>
  <c r="X2795" i="4"/>
  <c r="W2795" i="4"/>
  <c r="Z2794" i="4"/>
  <c r="Y2794" i="4"/>
  <c r="X2794" i="4"/>
  <c r="W2794" i="4"/>
  <c r="Z2793" i="4"/>
  <c r="Y2793" i="4"/>
  <c r="X2793" i="4"/>
  <c r="W2793" i="4"/>
  <c r="Z2792" i="4"/>
  <c r="Y2792" i="4"/>
  <c r="X2792" i="4"/>
  <c r="W2792" i="4"/>
  <c r="Z2791" i="4"/>
  <c r="Y2791" i="4"/>
  <c r="X2791" i="4"/>
  <c r="W2791" i="4"/>
  <c r="Z2790" i="4"/>
  <c r="Y2790" i="4"/>
  <c r="X2790" i="4"/>
  <c r="W2790" i="4"/>
  <c r="Z2789" i="4"/>
  <c r="Y2789" i="4"/>
  <c r="X2789" i="4"/>
  <c r="W2789" i="4"/>
  <c r="Z2788" i="4"/>
  <c r="Y2788" i="4"/>
  <c r="X2788" i="4"/>
  <c r="W2788" i="4"/>
  <c r="Z2787" i="4"/>
  <c r="Y2787" i="4"/>
  <c r="X2787" i="4"/>
  <c r="W2787" i="4"/>
  <c r="Z2786" i="4"/>
  <c r="Y2786" i="4"/>
  <c r="X2786" i="4"/>
  <c r="W2786" i="4"/>
  <c r="Z2785" i="4"/>
  <c r="Y2785" i="4"/>
  <c r="X2785" i="4"/>
  <c r="W2785" i="4"/>
  <c r="Z2784" i="4"/>
  <c r="Y2784" i="4"/>
  <c r="X2784" i="4"/>
  <c r="W2784" i="4"/>
  <c r="Z2783" i="4"/>
  <c r="Y2783" i="4"/>
  <c r="X2783" i="4"/>
  <c r="W2783" i="4"/>
  <c r="Z2782" i="4"/>
  <c r="Y2782" i="4"/>
  <c r="X2782" i="4"/>
  <c r="W2782" i="4"/>
  <c r="Z2781" i="4"/>
  <c r="Y2781" i="4"/>
  <c r="X2781" i="4"/>
  <c r="W2781" i="4"/>
  <c r="Z2780" i="4"/>
  <c r="Y2780" i="4"/>
  <c r="X2780" i="4"/>
  <c r="W2780" i="4"/>
  <c r="Z2779" i="4"/>
  <c r="Y2779" i="4"/>
  <c r="X2779" i="4"/>
  <c r="W2779" i="4"/>
  <c r="Z2778" i="4"/>
  <c r="Y2778" i="4"/>
  <c r="X2778" i="4"/>
  <c r="W2778" i="4"/>
  <c r="Z2777" i="4"/>
  <c r="Y2777" i="4"/>
  <c r="X2777" i="4"/>
  <c r="W2777" i="4"/>
  <c r="Z2776" i="4"/>
  <c r="Y2776" i="4"/>
  <c r="X2776" i="4"/>
  <c r="W2776" i="4"/>
  <c r="Z2775" i="4"/>
  <c r="Y2775" i="4"/>
  <c r="X2775" i="4"/>
  <c r="W2775" i="4"/>
  <c r="Z2774" i="4"/>
  <c r="Y2774" i="4"/>
  <c r="X2774" i="4"/>
  <c r="W2774" i="4"/>
  <c r="Z2773" i="4"/>
  <c r="Y2773" i="4"/>
  <c r="X2773" i="4"/>
  <c r="W2773" i="4"/>
  <c r="Z2772" i="4"/>
  <c r="Y2772" i="4"/>
  <c r="X2772" i="4"/>
  <c r="W2772" i="4"/>
  <c r="Z2771" i="4"/>
  <c r="Y2771" i="4"/>
  <c r="X2771" i="4"/>
  <c r="W2771" i="4"/>
  <c r="Z2770" i="4"/>
  <c r="Y2770" i="4"/>
  <c r="X2770" i="4"/>
  <c r="W2770" i="4"/>
  <c r="Z2769" i="4"/>
  <c r="Y2769" i="4"/>
  <c r="X2769" i="4"/>
  <c r="W2769" i="4"/>
  <c r="Z2768" i="4"/>
  <c r="Y2768" i="4"/>
  <c r="X2768" i="4"/>
  <c r="W2768" i="4"/>
  <c r="Z2767" i="4"/>
  <c r="Y2767" i="4"/>
  <c r="X2767" i="4"/>
  <c r="W2767" i="4"/>
  <c r="Z2766" i="4"/>
  <c r="Y2766" i="4"/>
  <c r="X2766" i="4"/>
  <c r="W2766" i="4"/>
  <c r="Z2765" i="4"/>
  <c r="Y2765" i="4"/>
  <c r="X2765" i="4"/>
  <c r="W2765" i="4"/>
  <c r="Z2764" i="4"/>
  <c r="Y2764" i="4"/>
  <c r="X2764" i="4"/>
  <c r="W2764" i="4"/>
  <c r="Z2763" i="4"/>
  <c r="Y2763" i="4"/>
  <c r="X2763" i="4"/>
  <c r="W2763" i="4"/>
  <c r="Z2762" i="4"/>
  <c r="Y2762" i="4"/>
  <c r="X2762" i="4"/>
  <c r="W2762" i="4"/>
  <c r="Z2761" i="4"/>
  <c r="Y2761" i="4"/>
  <c r="X2761" i="4"/>
  <c r="W2761" i="4"/>
  <c r="Z2760" i="4"/>
  <c r="Y2760" i="4"/>
  <c r="X2760" i="4"/>
  <c r="W2760" i="4"/>
  <c r="Z2759" i="4"/>
  <c r="Y2759" i="4"/>
  <c r="X2759" i="4"/>
  <c r="W2759" i="4"/>
  <c r="Z2758" i="4"/>
  <c r="Y2758" i="4"/>
  <c r="X2758" i="4"/>
  <c r="W2758" i="4"/>
  <c r="Z2757" i="4"/>
  <c r="Y2757" i="4"/>
  <c r="X2757" i="4"/>
  <c r="W2757" i="4"/>
  <c r="Z2756" i="4"/>
  <c r="Y2756" i="4"/>
  <c r="X2756" i="4"/>
  <c r="W2756" i="4"/>
  <c r="Z2755" i="4"/>
  <c r="Y2755" i="4"/>
  <c r="X2755" i="4"/>
  <c r="W2755" i="4"/>
  <c r="Z2754" i="4"/>
  <c r="Y2754" i="4"/>
  <c r="X2754" i="4"/>
  <c r="W2754" i="4"/>
  <c r="Z2753" i="4"/>
  <c r="Y2753" i="4"/>
  <c r="X2753" i="4"/>
  <c r="W2753" i="4"/>
  <c r="Z2752" i="4"/>
  <c r="Y2752" i="4"/>
  <c r="X2752" i="4"/>
  <c r="W2752" i="4"/>
  <c r="Z2751" i="4"/>
  <c r="Y2751" i="4"/>
  <c r="X2751" i="4"/>
  <c r="W2751" i="4"/>
  <c r="Z2750" i="4"/>
  <c r="Y2750" i="4"/>
  <c r="X2750" i="4"/>
  <c r="W2750" i="4"/>
  <c r="Z2749" i="4"/>
  <c r="Y2749" i="4"/>
  <c r="X2749" i="4"/>
  <c r="W2749" i="4"/>
  <c r="Z2748" i="4"/>
  <c r="Y2748" i="4"/>
  <c r="X2748" i="4"/>
  <c r="W2748" i="4"/>
  <c r="Z2747" i="4"/>
  <c r="Y2747" i="4"/>
  <c r="X2747" i="4"/>
  <c r="W2747" i="4"/>
  <c r="Z2746" i="4"/>
  <c r="Y2746" i="4"/>
  <c r="X2746" i="4"/>
  <c r="W2746" i="4"/>
  <c r="Z2745" i="4"/>
  <c r="Y2745" i="4"/>
  <c r="X2745" i="4"/>
  <c r="W2745" i="4"/>
  <c r="Z2744" i="4"/>
  <c r="Y2744" i="4"/>
  <c r="X2744" i="4"/>
  <c r="W2744" i="4"/>
  <c r="Z2743" i="4"/>
  <c r="Y2743" i="4"/>
  <c r="X2743" i="4"/>
  <c r="W2743" i="4"/>
  <c r="Z2742" i="4"/>
  <c r="Y2742" i="4"/>
  <c r="X2742" i="4"/>
  <c r="W2742" i="4"/>
  <c r="Z2741" i="4"/>
  <c r="Y2741" i="4"/>
  <c r="X2741" i="4"/>
  <c r="W2741" i="4"/>
  <c r="Z2740" i="4"/>
  <c r="Y2740" i="4"/>
  <c r="X2740" i="4"/>
  <c r="W2740" i="4"/>
  <c r="Z2739" i="4"/>
  <c r="Y2739" i="4"/>
  <c r="X2739" i="4"/>
  <c r="W2739" i="4"/>
  <c r="Z2738" i="4"/>
  <c r="Y2738" i="4"/>
  <c r="X2738" i="4"/>
  <c r="W2738" i="4"/>
  <c r="Z2737" i="4"/>
  <c r="Y2737" i="4"/>
  <c r="X2737" i="4"/>
  <c r="W2737" i="4"/>
  <c r="Z2736" i="4"/>
  <c r="Y2736" i="4"/>
  <c r="X2736" i="4"/>
  <c r="W2736" i="4"/>
  <c r="Z2735" i="4"/>
  <c r="Y2735" i="4"/>
  <c r="X2735" i="4"/>
  <c r="W2735" i="4"/>
  <c r="Z2734" i="4"/>
  <c r="Y2734" i="4"/>
  <c r="X2734" i="4"/>
  <c r="W2734" i="4"/>
  <c r="Z2733" i="4"/>
  <c r="Y2733" i="4"/>
  <c r="X2733" i="4"/>
  <c r="W2733" i="4"/>
  <c r="Z2732" i="4"/>
  <c r="Y2732" i="4"/>
  <c r="X2732" i="4"/>
  <c r="W2732" i="4"/>
  <c r="Z2731" i="4"/>
  <c r="Y2731" i="4"/>
  <c r="X2731" i="4"/>
  <c r="W2731" i="4"/>
  <c r="Z2730" i="4"/>
  <c r="Y2730" i="4"/>
  <c r="X2730" i="4"/>
  <c r="W2730" i="4"/>
  <c r="Z2729" i="4"/>
  <c r="Y2729" i="4"/>
  <c r="X2729" i="4"/>
  <c r="W2729" i="4"/>
  <c r="Z2728" i="4"/>
  <c r="Y2728" i="4"/>
  <c r="X2728" i="4"/>
  <c r="W2728" i="4"/>
  <c r="Z2727" i="4"/>
  <c r="Y2727" i="4"/>
  <c r="X2727" i="4"/>
  <c r="W2727" i="4"/>
  <c r="Z2726" i="4"/>
  <c r="Y2726" i="4"/>
  <c r="X2726" i="4"/>
  <c r="W2726" i="4"/>
  <c r="Z2725" i="4"/>
  <c r="Y2725" i="4"/>
  <c r="X2725" i="4"/>
  <c r="W2725" i="4"/>
  <c r="Z2724" i="4"/>
  <c r="Y2724" i="4"/>
  <c r="X2724" i="4"/>
  <c r="W2724" i="4"/>
  <c r="Z2723" i="4"/>
  <c r="Y2723" i="4"/>
  <c r="X2723" i="4"/>
  <c r="W2723" i="4"/>
  <c r="Z2722" i="4"/>
  <c r="Y2722" i="4"/>
  <c r="X2722" i="4"/>
  <c r="W2722" i="4"/>
  <c r="Z2721" i="4"/>
  <c r="Y2721" i="4"/>
  <c r="X2721" i="4"/>
  <c r="W2721" i="4"/>
  <c r="Z2720" i="4"/>
  <c r="Y2720" i="4"/>
  <c r="X2720" i="4"/>
  <c r="W2720" i="4"/>
  <c r="Z2719" i="4"/>
  <c r="Y2719" i="4"/>
  <c r="X2719" i="4"/>
  <c r="W2719" i="4"/>
  <c r="Z2718" i="4"/>
  <c r="Y2718" i="4"/>
  <c r="X2718" i="4"/>
  <c r="W2718" i="4"/>
  <c r="Z2717" i="4"/>
  <c r="Y2717" i="4"/>
  <c r="X2717" i="4"/>
  <c r="W2717" i="4"/>
  <c r="Z2716" i="4"/>
  <c r="Y2716" i="4"/>
  <c r="X2716" i="4"/>
  <c r="W2716" i="4"/>
  <c r="Z2715" i="4"/>
  <c r="Y2715" i="4"/>
  <c r="X2715" i="4"/>
  <c r="W2715" i="4"/>
  <c r="Z2714" i="4"/>
  <c r="Y2714" i="4"/>
  <c r="X2714" i="4"/>
  <c r="W2714" i="4"/>
  <c r="Z2713" i="4"/>
  <c r="Y2713" i="4"/>
  <c r="X2713" i="4"/>
  <c r="W2713" i="4"/>
  <c r="Z2712" i="4"/>
  <c r="Y2712" i="4"/>
  <c r="X2712" i="4"/>
  <c r="W2712" i="4"/>
  <c r="Z2711" i="4"/>
  <c r="Y2711" i="4"/>
  <c r="X2711" i="4"/>
  <c r="W2711" i="4"/>
  <c r="Z2710" i="4"/>
  <c r="Y2710" i="4"/>
  <c r="X2710" i="4"/>
  <c r="W2710" i="4"/>
  <c r="Z2709" i="4"/>
  <c r="Y2709" i="4"/>
  <c r="X2709" i="4"/>
  <c r="W2709" i="4"/>
  <c r="Z2708" i="4"/>
  <c r="Y2708" i="4"/>
  <c r="X2708" i="4"/>
  <c r="W2708" i="4"/>
  <c r="Z2707" i="4"/>
  <c r="Y2707" i="4"/>
  <c r="X2707" i="4"/>
  <c r="W2707" i="4"/>
  <c r="Z2706" i="4"/>
  <c r="Y2706" i="4"/>
  <c r="X2706" i="4"/>
  <c r="W2706" i="4"/>
  <c r="Z2705" i="4"/>
  <c r="Y2705" i="4"/>
  <c r="X2705" i="4"/>
  <c r="W2705" i="4"/>
  <c r="Z2704" i="4"/>
  <c r="Y2704" i="4"/>
  <c r="X2704" i="4"/>
  <c r="W2704" i="4"/>
  <c r="Z2703" i="4"/>
  <c r="Y2703" i="4"/>
  <c r="X2703" i="4"/>
  <c r="W2703" i="4"/>
  <c r="Z2702" i="4"/>
  <c r="Y2702" i="4"/>
  <c r="X2702" i="4"/>
  <c r="W2702" i="4"/>
  <c r="Z2701" i="4"/>
  <c r="Y2701" i="4"/>
  <c r="X2701" i="4"/>
  <c r="W2701" i="4"/>
  <c r="Z2700" i="4"/>
  <c r="Y2700" i="4"/>
  <c r="X2700" i="4"/>
  <c r="W2700" i="4"/>
  <c r="Z2699" i="4"/>
  <c r="Y2699" i="4"/>
  <c r="X2699" i="4"/>
  <c r="W2699" i="4"/>
  <c r="Z2698" i="4"/>
  <c r="Y2698" i="4"/>
  <c r="X2698" i="4"/>
  <c r="W2698" i="4"/>
  <c r="Z2697" i="4"/>
  <c r="Y2697" i="4"/>
  <c r="X2697" i="4"/>
  <c r="W2697" i="4"/>
  <c r="Z2696" i="4"/>
  <c r="Y2696" i="4"/>
  <c r="X2696" i="4"/>
  <c r="W2696" i="4"/>
  <c r="Z2695" i="4"/>
  <c r="Y2695" i="4"/>
  <c r="X2695" i="4"/>
  <c r="W2695" i="4"/>
  <c r="Z2694" i="4"/>
  <c r="Y2694" i="4"/>
  <c r="X2694" i="4"/>
  <c r="W2694" i="4"/>
  <c r="Z2693" i="4"/>
  <c r="Y2693" i="4"/>
  <c r="X2693" i="4"/>
  <c r="W2693" i="4"/>
  <c r="Z2692" i="4"/>
  <c r="Y2692" i="4"/>
  <c r="X2692" i="4"/>
  <c r="W2692" i="4"/>
  <c r="Z2691" i="4"/>
  <c r="Y2691" i="4"/>
  <c r="X2691" i="4"/>
  <c r="W2691" i="4"/>
  <c r="Z2690" i="4"/>
  <c r="Y2690" i="4"/>
  <c r="X2690" i="4"/>
  <c r="W2690" i="4"/>
  <c r="Z2689" i="4"/>
  <c r="Y2689" i="4"/>
  <c r="X2689" i="4"/>
  <c r="W2689" i="4"/>
  <c r="Z2688" i="4"/>
  <c r="Y2688" i="4"/>
  <c r="X2688" i="4"/>
  <c r="W2688" i="4"/>
  <c r="Z2687" i="4"/>
  <c r="Y2687" i="4"/>
  <c r="X2687" i="4"/>
  <c r="W2687" i="4"/>
  <c r="Z2686" i="4"/>
  <c r="Y2686" i="4"/>
  <c r="X2686" i="4"/>
  <c r="W2686" i="4"/>
  <c r="Z2685" i="4"/>
  <c r="Y2685" i="4"/>
  <c r="X2685" i="4"/>
  <c r="W2685" i="4"/>
  <c r="Z2684" i="4"/>
  <c r="Y2684" i="4"/>
  <c r="X2684" i="4"/>
  <c r="W2684" i="4"/>
  <c r="Z2683" i="4"/>
  <c r="Y2683" i="4"/>
  <c r="X2683" i="4"/>
  <c r="W2683" i="4"/>
  <c r="Z2682" i="4"/>
  <c r="Y2682" i="4"/>
  <c r="X2682" i="4"/>
  <c r="W2682" i="4"/>
  <c r="Z2681" i="4"/>
  <c r="Y2681" i="4"/>
  <c r="X2681" i="4"/>
  <c r="W2681" i="4"/>
  <c r="Z2680" i="4"/>
  <c r="Y2680" i="4"/>
  <c r="X2680" i="4"/>
  <c r="W2680" i="4"/>
  <c r="Z2679" i="4"/>
  <c r="Y2679" i="4"/>
  <c r="X2679" i="4"/>
  <c r="W2679" i="4"/>
  <c r="Z2678" i="4"/>
  <c r="Y2678" i="4"/>
  <c r="X2678" i="4"/>
  <c r="W2678" i="4"/>
  <c r="Z2677" i="4"/>
  <c r="Y2677" i="4"/>
  <c r="X2677" i="4"/>
  <c r="W2677" i="4"/>
  <c r="Z2676" i="4"/>
  <c r="Y2676" i="4"/>
  <c r="X2676" i="4"/>
  <c r="W2676" i="4"/>
  <c r="Z2675" i="4"/>
  <c r="Y2675" i="4"/>
  <c r="X2675" i="4"/>
  <c r="W2675" i="4"/>
  <c r="Z2674" i="4"/>
  <c r="Y2674" i="4"/>
  <c r="X2674" i="4"/>
  <c r="W2674" i="4"/>
  <c r="Z2673" i="4"/>
  <c r="Y2673" i="4"/>
  <c r="X2673" i="4"/>
  <c r="W2673" i="4"/>
  <c r="Z2672" i="4"/>
  <c r="Y2672" i="4"/>
  <c r="X2672" i="4"/>
  <c r="W2672" i="4"/>
  <c r="Z2671" i="4"/>
  <c r="Y2671" i="4"/>
  <c r="X2671" i="4"/>
  <c r="W2671" i="4"/>
  <c r="Z2670" i="4"/>
  <c r="Y2670" i="4"/>
  <c r="X2670" i="4"/>
  <c r="W2670" i="4"/>
  <c r="Z2669" i="4"/>
  <c r="Y2669" i="4"/>
  <c r="X2669" i="4"/>
  <c r="W2669" i="4"/>
  <c r="Z2668" i="4"/>
  <c r="Y2668" i="4"/>
  <c r="X2668" i="4"/>
  <c r="W2668" i="4"/>
  <c r="Z2667" i="4"/>
  <c r="Y2667" i="4"/>
  <c r="X2667" i="4"/>
  <c r="W2667" i="4"/>
  <c r="Z2666" i="4"/>
  <c r="Y2666" i="4"/>
  <c r="X2666" i="4"/>
  <c r="W2666" i="4"/>
  <c r="Z2665" i="4"/>
  <c r="Y2665" i="4"/>
  <c r="X2665" i="4"/>
  <c r="W2665" i="4"/>
  <c r="Z2664" i="4"/>
  <c r="Y2664" i="4"/>
  <c r="X2664" i="4"/>
  <c r="W2664" i="4"/>
  <c r="Z2663" i="4"/>
  <c r="Y2663" i="4"/>
  <c r="X2663" i="4"/>
  <c r="W2663" i="4"/>
  <c r="Z2662" i="4"/>
  <c r="Y2662" i="4"/>
  <c r="X2662" i="4"/>
  <c r="W2662" i="4"/>
  <c r="Z2661" i="4"/>
  <c r="Y2661" i="4"/>
  <c r="X2661" i="4"/>
  <c r="W2661" i="4"/>
  <c r="Z2660" i="4"/>
  <c r="Y2660" i="4"/>
  <c r="X2660" i="4"/>
  <c r="W2660" i="4"/>
  <c r="Z2659" i="4"/>
  <c r="Y2659" i="4"/>
  <c r="X2659" i="4"/>
  <c r="W2659" i="4"/>
  <c r="Z2658" i="4"/>
  <c r="Y2658" i="4"/>
  <c r="X2658" i="4"/>
  <c r="W2658" i="4"/>
  <c r="Z2657" i="4"/>
  <c r="Y2657" i="4"/>
  <c r="X2657" i="4"/>
  <c r="W2657" i="4"/>
  <c r="Z2656" i="4"/>
  <c r="Y2656" i="4"/>
  <c r="X2656" i="4"/>
  <c r="W2656" i="4"/>
  <c r="Z2655" i="4"/>
  <c r="Y2655" i="4"/>
  <c r="X2655" i="4"/>
  <c r="W2655" i="4"/>
  <c r="Z2654" i="4"/>
  <c r="Y2654" i="4"/>
  <c r="X2654" i="4"/>
  <c r="W2654" i="4"/>
  <c r="Z2653" i="4"/>
  <c r="Y2653" i="4"/>
  <c r="X2653" i="4"/>
  <c r="W2653" i="4"/>
  <c r="Z2652" i="4"/>
  <c r="Y2652" i="4"/>
  <c r="X2652" i="4"/>
  <c r="W2652" i="4"/>
  <c r="Z2651" i="4"/>
  <c r="Y2651" i="4"/>
  <c r="X2651" i="4"/>
  <c r="W2651" i="4"/>
  <c r="Z2650" i="4"/>
  <c r="Y2650" i="4"/>
  <c r="X2650" i="4"/>
  <c r="W2650" i="4"/>
  <c r="Z2649" i="4"/>
  <c r="Y2649" i="4"/>
  <c r="X2649" i="4"/>
  <c r="W2649" i="4"/>
  <c r="Z2648" i="4"/>
  <c r="Y2648" i="4"/>
  <c r="X2648" i="4"/>
  <c r="W2648" i="4"/>
  <c r="Z2647" i="4"/>
  <c r="Y2647" i="4"/>
  <c r="X2647" i="4"/>
  <c r="W2647" i="4"/>
  <c r="Z2646" i="4"/>
  <c r="Y2646" i="4"/>
  <c r="X2646" i="4"/>
  <c r="W2646" i="4"/>
  <c r="Z2645" i="4"/>
  <c r="Y2645" i="4"/>
  <c r="X2645" i="4"/>
  <c r="W2645" i="4"/>
  <c r="Z2644" i="4"/>
  <c r="Y2644" i="4"/>
  <c r="X2644" i="4"/>
  <c r="W2644" i="4"/>
  <c r="Z2643" i="4"/>
  <c r="Y2643" i="4"/>
  <c r="X2643" i="4"/>
  <c r="W2643" i="4"/>
  <c r="Z2642" i="4"/>
  <c r="Y2642" i="4"/>
  <c r="X2642" i="4"/>
  <c r="W2642" i="4"/>
  <c r="Z2641" i="4"/>
  <c r="Y2641" i="4"/>
  <c r="X2641" i="4"/>
  <c r="W2641" i="4"/>
  <c r="Z2640" i="4"/>
  <c r="Y2640" i="4"/>
  <c r="X2640" i="4"/>
  <c r="W2640" i="4"/>
  <c r="Z2639" i="4"/>
  <c r="Y2639" i="4"/>
  <c r="X2639" i="4"/>
  <c r="W2639" i="4"/>
  <c r="Z2638" i="4"/>
  <c r="Y2638" i="4"/>
  <c r="X2638" i="4"/>
  <c r="W2638" i="4"/>
  <c r="Z2637" i="4"/>
  <c r="Y2637" i="4"/>
  <c r="X2637" i="4"/>
  <c r="W2637" i="4"/>
  <c r="Z2636" i="4"/>
  <c r="Y2636" i="4"/>
  <c r="X2636" i="4"/>
  <c r="W2636" i="4"/>
  <c r="Z2635" i="4"/>
  <c r="Y2635" i="4"/>
  <c r="X2635" i="4"/>
  <c r="W2635" i="4"/>
  <c r="Z2634" i="4"/>
  <c r="Y2634" i="4"/>
  <c r="X2634" i="4"/>
  <c r="W2634" i="4"/>
  <c r="Z2633" i="4"/>
  <c r="Y2633" i="4"/>
  <c r="X2633" i="4"/>
  <c r="W2633" i="4"/>
  <c r="Z2632" i="4"/>
  <c r="Y2632" i="4"/>
  <c r="X2632" i="4"/>
  <c r="W2632" i="4"/>
  <c r="Z2631" i="4"/>
  <c r="Y2631" i="4"/>
  <c r="X2631" i="4"/>
  <c r="W2631" i="4"/>
  <c r="Z2630" i="4"/>
  <c r="Y2630" i="4"/>
  <c r="X2630" i="4"/>
  <c r="W2630" i="4"/>
  <c r="Z2629" i="4"/>
  <c r="Y2629" i="4"/>
  <c r="X2629" i="4"/>
  <c r="W2629" i="4"/>
  <c r="Z2628" i="4"/>
  <c r="Y2628" i="4"/>
  <c r="X2628" i="4"/>
  <c r="W2628" i="4"/>
  <c r="Z2627" i="4"/>
  <c r="Y2627" i="4"/>
  <c r="X2627" i="4"/>
  <c r="W2627" i="4"/>
  <c r="Z2626" i="4"/>
  <c r="Y2626" i="4"/>
  <c r="X2626" i="4"/>
  <c r="W2626" i="4"/>
  <c r="Z2625" i="4"/>
  <c r="Y2625" i="4"/>
  <c r="X2625" i="4"/>
  <c r="W2625" i="4"/>
  <c r="Z2624" i="4"/>
  <c r="Y2624" i="4"/>
  <c r="X2624" i="4"/>
  <c r="W2624" i="4"/>
  <c r="Z2623" i="4"/>
  <c r="Y2623" i="4"/>
  <c r="X2623" i="4"/>
  <c r="W2623" i="4"/>
  <c r="Z2622" i="4"/>
  <c r="Y2622" i="4"/>
  <c r="X2622" i="4"/>
  <c r="W2622" i="4"/>
  <c r="Z2621" i="4"/>
  <c r="Y2621" i="4"/>
  <c r="X2621" i="4"/>
  <c r="W2621" i="4"/>
  <c r="Z2620" i="4"/>
  <c r="Y2620" i="4"/>
  <c r="X2620" i="4"/>
  <c r="W2620" i="4"/>
  <c r="Z2619" i="4"/>
  <c r="Y2619" i="4"/>
  <c r="X2619" i="4"/>
  <c r="W2619" i="4"/>
  <c r="Z2618" i="4"/>
  <c r="Y2618" i="4"/>
  <c r="X2618" i="4"/>
  <c r="W2618" i="4"/>
  <c r="Z2617" i="4"/>
  <c r="Y2617" i="4"/>
  <c r="X2617" i="4"/>
  <c r="W2617" i="4"/>
  <c r="Z2616" i="4"/>
  <c r="Y2616" i="4"/>
  <c r="X2616" i="4"/>
  <c r="W2616" i="4"/>
  <c r="Z2615" i="4"/>
  <c r="Y2615" i="4"/>
  <c r="X2615" i="4"/>
  <c r="W2615" i="4"/>
  <c r="Z2614" i="4"/>
  <c r="Y2614" i="4"/>
  <c r="X2614" i="4"/>
  <c r="W2614" i="4"/>
  <c r="Z2613" i="4"/>
  <c r="Y2613" i="4"/>
  <c r="X2613" i="4"/>
  <c r="W2613" i="4"/>
  <c r="Z2612" i="4"/>
  <c r="Y2612" i="4"/>
  <c r="X2612" i="4"/>
  <c r="W2612" i="4"/>
  <c r="Z2611" i="4"/>
  <c r="Y2611" i="4"/>
  <c r="X2611" i="4"/>
  <c r="W2611" i="4"/>
  <c r="Z2610" i="4"/>
  <c r="Y2610" i="4"/>
  <c r="X2610" i="4"/>
  <c r="W2610" i="4"/>
  <c r="Z2609" i="4"/>
  <c r="Y2609" i="4"/>
  <c r="X2609" i="4"/>
  <c r="W2609" i="4"/>
  <c r="Z2608" i="4"/>
  <c r="Y2608" i="4"/>
  <c r="X2608" i="4"/>
  <c r="W2608" i="4"/>
  <c r="Z2607" i="4"/>
  <c r="Y2607" i="4"/>
  <c r="X2607" i="4"/>
  <c r="W2607" i="4"/>
  <c r="Z2606" i="4"/>
  <c r="Y2606" i="4"/>
  <c r="X2606" i="4"/>
  <c r="W2606" i="4"/>
  <c r="Z2605" i="4"/>
  <c r="Y2605" i="4"/>
  <c r="X2605" i="4"/>
  <c r="W2605" i="4"/>
  <c r="Z2604" i="4"/>
  <c r="Y2604" i="4"/>
  <c r="X2604" i="4"/>
  <c r="W2604" i="4"/>
  <c r="Z2603" i="4"/>
  <c r="Y2603" i="4"/>
  <c r="X2603" i="4"/>
  <c r="W2603" i="4"/>
  <c r="Z2602" i="4"/>
  <c r="Y2602" i="4"/>
  <c r="X2602" i="4"/>
  <c r="W2602" i="4"/>
  <c r="Z2601" i="4"/>
  <c r="Y2601" i="4"/>
  <c r="X2601" i="4"/>
  <c r="W2601" i="4"/>
  <c r="Z2600" i="4"/>
  <c r="Y2600" i="4"/>
  <c r="X2600" i="4"/>
  <c r="W2600" i="4"/>
  <c r="Z2599" i="4"/>
  <c r="Y2599" i="4"/>
  <c r="X2599" i="4"/>
  <c r="W2599" i="4"/>
  <c r="Z2598" i="4"/>
  <c r="Y2598" i="4"/>
  <c r="X2598" i="4"/>
  <c r="W2598" i="4"/>
  <c r="Z2597" i="4"/>
  <c r="Y2597" i="4"/>
  <c r="X2597" i="4"/>
  <c r="W2597" i="4"/>
  <c r="Z2596" i="4"/>
  <c r="Y2596" i="4"/>
  <c r="X2596" i="4"/>
  <c r="W2596" i="4"/>
  <c r="Z2595" i="4"/>
  <c r="Y2595" i="4"/>
  <c r="X2595" i="4"/>
  <c r="W2595" i="4"/>
  <c r="Z2594" i="4"/>
  <c r="Y2594" i="4"/>
  <c r="X2594" i="4"/>
  <c r="W2594" i="4"/>
  <c r="Z2593" i="4"/>
  <c r="Y2593" i="4"/>
  <c r="X2593" i="4"/>
  <c r="W2593" i="4"/>
  <c r="Z2592" i="4"/>
  <c r="Y2592" i="4"/>
  <c r="X2592" i="4"/>
  <c r="W2592" i="4"/>
  <c r="Z2591" i="4"/>
  <c r="Y2591" i="4"/>
  <c r="X2591" i="4"/>
  <c r="W2591" i="4"/>
  <c r="Z2590" i="4"/>
  <c r="Y2590" i="4"/>
  <c r="X2590" i="4"/>
  <c r="W2590" i="4"/>
  <c r="Z2589" i="4"/>
  <c r="Y2589" i="4"/>
  <c r="X2589" i="4"/>
  <c r="W2589" i="4"/>
  <c r="Z2588" i="4"/>
  <c r="Y2588" i="4"/>
  <c r="X2588" i="4"/>
  <c r="W2588" i="4"/>
  <c r="Z2587" i="4"/>
  <c r="Y2587" i="4"/>
  <c r="X2587" i="4"/>
  <c r="W2587" i="4"/>
  <c r="Z2586" i="4"/>
  <c r="Y2586" i="4"/>
  <c r="X2586" i="4"/>
  <c r="W2586" i="4"/>
  <c r="Z2585" i="4"/>
  <c r="Y2585" i="4"/>
  <c r="X2585" i="4"/>
  <c r="W2585" i="4"/>
  <c r="Z2584" i="4"/>
  <c r="Y2584" i="4"/>
  <c r="X2584" i="4"/>
  <c r="W2584" i="4"/>
  <c r="Z2583" i="4"/>
  <c r="Y2583" i="4"/>
  <c r="X2583" i="4"/>
  <c r="W2583" i="4"/>
  <c r="Z2582" i="4"/>
  <c r="Y2582" i="4"/>
  <c r="X2582" i="4"/>
  <c r="W2582" i="4"/>
  <c r="Z2581" i="4"/>
  <c r="Y2581" i="4"/>
  <c r="X2581" i="4"/>
  <c r="W2581" i="4"/>
  <c r="Z2580" i="4"/>
  <c r="Y2580" i="4"/>
  <c r="X2580" i="4"/>
  <c r="W2580" i="4"/>
  <c r="Z2579" i="4"/>
  <c r="Y2579" i="4"/>
  <c r="X2579" i="4"/>
  <c r="W2579" i="4"/>
  <c r="Z2578" i="4"/>
  <c r="Y2578" i="4"/>
  <c r="X2578" i="4"/>
  <c r="W2578" i="4"/>
  <c r="Z2577" i="4"/>
  <c r="Y2577" i="4"/>
  <c r="X2577" i="4"/>
  <c r="W2577" i="4"/>
  <c r="Z2576" i="4"/>
  <c r="Y2576" i="4"/>
  <c r="X2576" i="4"/>
  <c r="W2576" i="4"/>
  <c r="Z2575" i="4"/>
  <c r="Y2575" i="4"/>
  <c r="X2575" i="4"/>
  <c r="W2575" i="4"/>
  <c r="Z2574" i="4"/>
  <c r="Y2574" i="4"/>
  <c r="X2574" i="4"/>
  <c r="W2574" i="4"/>
  <c r="Z2573" i="4"/>
  <c r="Y2573" i="4"/>
  <c r="X2573" i="4"/>
  <c r="W2573" i="4"/>
  <c r="Z2572" i="4"/>
  <c r="Y2572" i="4"/>
  <c r="X2572" i="4"/>
  <c r="W2572" i="4"/>
  <c r="Z2571" i="4"/>
  <c r="Y2571" i="4"/>
  <c r="X2571" i="4"/>
  <c r="W2571" i="4"/>
  <c r="Z2570" i="4"/>
  <c r="Y2570" i="4"/>
  <c r="X2570" i="4"/>
  <c r="W2570" i="4"/>
  <c r="Z2569" i="4"/>
  <c r="Y2569" i="4"/>
  <c r="X2569" i="4"/>
  <c r="W2569" i="4"/>
  <c r="Z2568" i="4"/>
  <c r="Y2568" i="4"/>
  <c r="X2568" i="4"/>
  <c r="W2568" i="4"/>
  <c r="Z2567" i="4"/>
  <c r="Y2567" i="4"/>
  <c r="X2567" i="4"/>
  <c r="W2567" i="4"/>
  <c r="Z2566" i="4"/>
  <c r="Y2566" i="4"/>
  <c r="X2566" i="4"/>
  <c r="W2566" i="4"/>
  <c r="Z2565" i="4"/>
  <c r="Y2565" i="4"/>
  <c r="X2565" i="4"/>
  <c r="W2565" i="4"/>
  <c r="Z2564" i="4"/>
  <c r="Y2564" i="4"/>
  <c r="X2564" i="4"/>
  <c r="W2564" i="4"/>
  <c r="Z2563" i="4"/>
  <c r="Y2563" i="4"/>
  <c r="X2563" i="4"/>
  <c r="W2563" i="4"/>
  <c r="Z2562" i="4"/>
  <c r="Y2562" i="4"/>
  <c r="X2562" i="4"/>
  <c r="W2562" i="4"/>
  <c r="Z2561" i="4"/>
  <c r="Y2561" i="4"/>
  <c r="X2561" i="4"/>
  <c r="W2561" i="4"/>
  <c r="Z2560" i="4"/>
  <c r="Y2560" i="4"/>
  <c r="X2560" i="4"/>
  <c r="W2560" i="4"/>
  <c r="Z2559" i="4"/>
  <c r="Y2559" i="4"/>
  <c r="X2559" i="4"/>
  <c r="W2559" i="4"/>
  <c r="Z2558" i="4"/>
  <c r="Y2558" i="4"/>
  <c r="X2558" i="4"/>
  <c r="W2558" i="4"/>
  <c r="Z2557" i="4"/>
  <c r="Y2557" i="4"/>
  <c r="X2557" i="4"/>
  <c r="W2557" i="4"/>
  <c r="Z2556" i="4"/>
  <c r="Y2556" i="4"/>
  <c r="X2556" i="4"/>
  <c r="W2556" i="4"/>
  <c r="Z2555" i="4"/>
  <c r="Y2555" i="4"/>
  <c r="X2555" i="4"/>
  <c r="W2555" i="4"/>
  <c r="Z2554" i="4"/>
  <c r="Y2554" i="4"/>
  <c r="X2554" i="4"/>
  <c r="W2554" i="4"/>
  <c r="Z2553" i="4"/>
  <c r="Y2553" i="4"/>
  <c r="X2553" i="4"/>
  <c r="W2553" i="4"/>
  <c r="Z2552" i="4"/>
  <c r="Y2552" i="4"/>
  <c r="X2552" i="4"/>
  <c r="W2552" i="4"/>
  <c r="Z2551" i="4"/>
  <c r="Y2551" i="4"/>
  <c r="X2551" i="4"/>
  <c r="W2551" i="4"/>
  <c r="Z2550" i="4"/>
  <c r="Y2550" i="4"/>
  <c r="X2550" i="4"/>
  <c r="W2550" i="4"/>
  <c r="Z2549" i="4"/>
  <c r="Y2549" i="4"/>
  <c r="X2549" i="4"/>
  <c r="W2549" i="4"/>
  <c r="Z2548" i="4"/>
  <c r="Y2548" i="4"/>
  <c r="X2548" i="4"/>
  <c r="W2548" i="4"/>
  <c r="Z2547" i="4"/>
  <c r="Y2547" i="4"/>
  <c r="X2547" i="4"/>
  <c r="W2547" i="4"/>
  <c r="Z2546" i="4"/>
  <c r="Y2546" i="4"/>
  <c r="X2546" i="4"/>
  <c r="W2546" i="4"/>
  <c r="Z2545" i="4"/>
  <c r="Y2545" i="4"/>
  <c r="X2545" i="4"/>
  <c r="W2545" i="4"/>
  <c r="Z2544" i="4"/>
  <c r="Y2544" i="4"/>
  <c r="X2544" i="4"/>
  <c r="W2544" i="4"/>
  <c r="Z2543" i="4"/>
  <c r="Y2543" i="4"/>
  <c r="X2543" i="4"/>
  <c r="W2543" i="4"/>
  <c r="Z2542" i="4"/>
  <c r="Y2542" i="4"/>
  <c r="X2542" i="4"/>
  <c r="W2542" i="4"/>
  <c r="Z2541" i="4"/>
  <c r="Y2541" i="4"/>
  <c r="X2541" i="4"/>
  <c r="W2541" i="4"/>
  <c r="Z2540" i="4"/>
  <c r="Y2540" i="4"/>
  <c r="X2540" i="4"/>
  <c r="W2540" i="4"/>
  <c r="Z2539" i="4"/>
  <c r="Y2539" i="4"/>
  <c r="X2539" i="4"/>
  <c r="W2539" i="4"/>
  <c r="Z2538" i="4"/>
  <c r="Y2538" i="4"/>
  <c r="X2538" i="4"/>
  <c r="W2538" i="4"/>
  <c r="Z2537" i="4"/>
  <c r="Y2537" i="4"/>
  <c r="X2537" i="4"/>
  <c r="W2537" i="4"/>
  <c r="Z2536" i="4"/>
  <c r="Y2536" i="4"/>
  <c r="X2536" i="4"/>
  <c r="W2536" i="4"/>
  <c r="Z2535" i="4"/>
  <c r="Y2535" i="4"/>
  <c r="X2535" i="4"/>
  <c r="W2535" i="4"/>
  <c r="Z2534" i="4"/>
  <c r="Y2534" i="4"/>
  <c r="X2534" i="4"/>
  <c r="W2534" i="4"/>
  <c r="Z2533" i="4"/>
  <c r="Y2533" i="4"/>
  <c r="X2533" i="4"/>
  <c r="W2533" i="4"/>
  <c r="Z2532" i="4"/>
  <c r="Y2532" i="4"/>
  <c r="X2532" i="4"/>
  <c r="W2532" i="4"/>
  <c r="Z2531" i="4"/>
  <c r="Y2531" i="4"/>
  <c r="X2531" i="4"/>
  <c r="W2531" i="4"/>
  <c r="Z2530" i="4"/>
  <c r="Y2530" i="4"/>
  <c r="X2530" i="4"/>
  <c r="W2530" i="4"/>
  <c r="Z2529" i="4"/>
  <c r="Y2529" i="4"/>
  <c r="X2529" i="4"/>
  <c r="W2529" i="4"/>
  <c r="Z2528" i="4"/>
  <c r="Y2528" i="4"/>
  <c r="X2528" i="4"/>
  <c r="W2528" i="4"/>
  <c r="Z2527" i="4"/>
  <c r="Y2527" i="4"/>
  <c r="X2527" i="4"/>
  <c r="W2527" i="4"/>
  <c r="Z2526" i="4"/>
  <c r="Y2526" i="4"/>
  <c r="X2526" i="4"/>
  <c r="W2526" i="4"/>
  <c r="Z2525" i="4"/>
  <c r="Y2525" i="4"/>
  <c r="X2525" i="4"/>
  <c r="W2525" i="4"/>
  <c r="Z2524" i="4"/>
  <c r="Y2524" i="4"/>
  <c r="X2524" i="4"/>
  <c r="W2524" i="4"/>
  <c r="Z2523" i="4"/>
  <c r="Y2523" i="4"/>
  <c r="X2523" i="4"/>
  <c r="W2523" i="4"/>
  <c r="Z2522" i="4"/>
  <c r="Y2522" i="4"/>
  <c r="X2522" i="4"/>
  <c r="W2522" i="4"/>
  <c r="Z2521" i="4"/>
  <c r="Y2521" i="4"/>
  <c r="X2521" i="4"/>
  <c r="W2521" i="4"/>
  <c r="Z2520" i="4"/>
  <c r="Y2520" i="4"/>
  <c r="X2520" i="4"/>
  <c r="W2520" i="4"/>
  <c r="Z2519" i="4"/>
  <c r="Y2519" i="4"/>
  <c r="X2519" i="4"/>
  <c r="W2519" i="4"/>
  <c r="Z2518" i="4"/>
  <c r="Y2518" i="4"/>
  <c r="X2518" i="4"/>
  <c r="W2518" i="4"/>
  <c r="Z2517" i="4"/>
  <c r="Y2517" i="4"/>
  <c r="X2517" i="4"/>
  <c r="W2517" i="4"/>
  <c r="Z2516" i="4"/>
  <c r="Y2516" i="4"/>
  <c r="X2516" i="4"/>
  <c r="W2516" i="4"/>
  <c r="Z2515" i="4"/>
  <c r="Y2515" i="4"/>
  <c r="X2515" i="4"/>
  <c r="W2515" i="4"/>
  <c r="Z2514" i="4"/>
  <c r="Y2514" i="4"/>
  <c r="X2514" i="4"/>
  <c r="W2514" i="4"/>
  <c r="Z2513" i="4"/>
  <c r="Y2513" i="4"/>
  <c r="X2513" i="4"/>
  <c r="W2513" i="4"/>
  <c r="Z2512" i="4"/>
  <c r="Y2512" i="4"/>
  <c r="X2512" i="4"/>
  <c r="W2512" i="4"/>
  <c r="Z2511" i="4"/>
  <c r="Y2511" i="4"/>
  <c r="X2511" i="4"/>
  <c r="W2511" i="4"/>
  <c r="Z2510" i="4"/>
  <c r="Y2510" i="4"/>
  <c r="X2510" i="4"/>
  <c r="W2510" i="4"/>
  <c r="Z2509" i="4"/>
  <c r="Y2509" i="4"/>
  <c r="X2509" i="4"/>
  <c r="W2509" i="4"/>
  <c r="Z2508" i="4"/>
  <c r="Y2508" i="4"/>
  <c r="X2508" i="4"/>
  <c r="W2508" i="4"/>
  <c r="Z2507" i="4"/>
  <c r="Y2507" i="4"/>
  <c r="X2507" i="4"/>
  <c r="W2507" i="4"/>
  <c r="Z2506" i="4"/>
  <c r="Y2506" i="4"/>
  <c r="X2506" i="4"/>
  <c r="W2506" i="4"/>
  <c r="Z2505" i="4"/>
  <c r="Y2505" i="4"/>
  <c r="X2505" i="4"/>
  <c r="W2505" i="4"/>
  <c r="Z2504" i="4"/>
  <c r="Y2504" i="4"/>
  <c r="X2504" i="4"/>
  <c r="W2504" i="4"/>
  <c r="Z2503" i="4"/>
  <c r="Y2503" i="4"/>
  <c r="X2503" i="4"/>
  <c r="W2503" i="4"/>
  <c r="Z2502" i="4"/>
  <c r="Y2502" i="4"/>
  <c r="X2502" i="4"/>
  <c r="W2502" i="4"/>
  <c r="Z2501" i="4"/>
  <c r="Y2501" i="4"/>
  <c r="X2501" i="4"/>
  <c r="W2501" i="4"/>
  <c r="Z2500" i="4"/>
  <c r="Y2500" i="4"/>
  <c r="X2500" i="4"/>
  <c r="W2500" i="4"/>
  <c r="Z2499" i="4"/>
  <c r="Y2499" i="4"/>
  <c r="X2499" i="4"/>
  <c r="W2499" i="4"/>
  <c r="Z2498" i="4"/>
  <c r="Y2498" i="4"/>
  <c r="X2498" i="4"/>
  <c r="W2498" i="4"/>
  <c r="Z2497" i="4"/>
  <c r="Y2497" i="4"/>
  <c r="X2497" i="4"/>
  <c r="W2497" i="4"/>
  <c r="Z2496" i="4"/>
  <c r="Y2496" i="4"/>
  <c r="X2496" i="4"/>
  <c r="W2496" i="4"/>
  <c r="Z2495" i="4"/>
  <c r="Y2495" i="4"/>
  <c r="X2495" i="4"/>
  <c r="W2495" i="4"/>
  <c r="Z2494" i="4"/>
  <c r="Y2494" i="4"/>
  <c r="X2494" i="4"/>
  <c r="W2494" i="4"/>
  <c r="Z2493" i="4"/>
  <c r="Y2493" i="4"/>
  <c r="X2493" i="4"/>
  <c r="W2493" i="4"/>
  <c r="Z2492" i="4"/>
  <c r="Y2492" i="4"/>
  <c r="X2492" i="4"/>
  <c r="W2492" i="4"/>
  <c r="Z2491" i="4"/>
  <c r="Y2491" i="4"/>
  <c r="X2491" i="4"/>
  <c r="W2491" i="4"/>
  <c r="Z2490" i="4"/>
  <c r="Y2490" i="4"/>
  <c r="X2490" i="4"/>
  <c r="W2490" i="4"/>
  <c r="Z2489" i="4"/>
  <c r="Y2489" i="4"/>
  <c r="X2489" i="4"/>
  <c r="W2489" i="4"/>
  <c r="Z2488" i="4"/>
  <c r="Y2488" i="4"/>
  <c r="X2488" i="4"/>
  <c r="W2488" i="4"/>
  <c r="Z2487" i="4"/>
  <c r="Y2487" i="4"/>
  <c r="X2487" i="4"/>
  <c r="W2487" i="4"/>
  <c r="Z2486" i="4"/>
  <c r="Y2486" i="4"/>
  <c r="X2486" i="4"/>
  <c r="W2486" i="4"/>
  <c r="Z2485" i="4"/>
  <c r="Y2485" i="4"/>
  <c r="X2485" i="4"/>
  <c r="W2485" i="4"/>
  <c r="Z2484" i="4"/>
  <c r="Y2484" i="4"/>
  <c r="X2484" i="4"/>
  <c r="W2484" i="4"/>
  <c r="Z2483" i="4"/>
  <c r="Y2483" i="4"/>
  <c r="X2483" i="4"/>
  <c r="W2483" i="4"/>
  <c r="Z2482" i="4"/>
  <c r="Y2482" i="4"/>
  <c r="X2482" i="4"/>
  <c r="W2482" i="4"/>
  <c r="Z2481" i="4"/>
  <c r="Y2481" i="4"/>
  <c r="X2481" i="4"/>
  <c r="W2481" i="4"/>
  <c r="Z2480" i="4"/>
  <c r="Y2480" i="4"/>
  <c r="X2480" i="4"/>
  <c r="W2480" i="4"/>
  <c r="Z2479" i="4"/>
  <c r="Y2479" i="4"/>
  <c r="X2479" i="4"/>
  <c r="W2479" i="4"/>
  <c r="Z2478" i="4"/>
  <c r="Y2478" i="4"/>
  <c r="X2478" i="4"/>
  <c r="W2478" i="4"/>
  <c r="Z2477" i="4"/>
  <c r="Y2477" i="4"/>
  <c r="X2477" i="4"/>
  <c r="W2477" i="4"/>
  <c r="Z2476" i="4"/>
  <c r="Y2476" i="4"/>
  <c r="X2476" i="4"/>
  <c r="W2476" i="4"/>
  <c r="Z2475" i="4"/>
  <c r="Y2475" i="4"/>
  <c r="X2475" i="4"/>
  <c r="W2475" i="4"/>
  <c r="Z2474" i="4"/>
  <c r="Y2474" i="4"/>
  <c r="X2474" i="4"/>
  <c r="W2474" i="4"/>
  <c r="Z2473" i="4"/>
  <c r="Y2473" i="4"/>
  <c r="X2473" i="4"/>
  <c r="W2473" i="4"/>
  <c r="Z2472" i="4"/>
  <c r="Y2472" i="4"/>
  <c r="X2472" i="4"/>
  <c r="W2472" i="4"/>
  <c r="Z2471" i="4"/>
  <c r="Y2471" i="4"/>
  <c r="X2471" i="4"/>
  <c r="W2471" i="4"/>
  <c r="Z2470" i="4"/>
  <c r="Y2470" i="4"/>
  <c r="X2470" i="4"/>
  <c r="W2470" i="4"/>
  <c r="Z2469" i="4"/>
  <c r="Y2469" i="4"/>
  <c r="X2469" i="4"/>
  <c r="W2469" i="4"/>
  <c r="Z2468" i="4"/>
  <c r="Y2468" i="4"/>
  <c r="X2468" i="4"/>
  <c r="W2468" i="4"/>
  <c r="Z2467" i="4"/>
  <c r="Y2467" i="4"/>
  <c r="X2467" i="4"/>
  <c r="W2467" i="4"/>
  <c r="Z2466" i="4"/>
  <c r="Y2466" i="4"/>
  <c r="X2466" i="4"/>
  <c r="W2466" i="4"/>
  <c r="Z2465" i="4"/>
  <c r="Y2465" i="4"/>
  <c r="X2465" i="4"/>
  <c r="W2465" i="4"/>
  <c r="Z2464" i="4"/>
  <c r="Y2464" i="4"/>
  <c r="X2464" i="4"/>
  <c r="W2464" i="4"/>
  <c r="Z2463" i="4"/>
  <c r="Y2463" i="4"/>
  <c r="X2463" i="4"/>
  <c r="W2463" i="4"/>
  <c r="Z2462" i="4"/>
  <c r="Y2462" i="4"/>
  <c r="X2462" i="4"/>
  <c r="W2462" i="4"/>
  <c r="Z2461" i="4"/>
  <c r="Y2461" i="4"/>
  <c r="X2461" i="4"/>
  <c r="W2461" i="4"/>
  <c r="Z2460" i="4"/>
  <c r="Y2460" i="4"/>
  <c r="X2460" i="4"/>
  <c r="W2460" i="4"/>
  <c r="Z2459" i="4"/>
  <c r="Y2459" i="4"/>
  <c r="X2459" i="4"/>
  <c r="W2459" i="4"/>
  <c r="Z2458" i="4"/>
  <c r="Y2458" i="4"/>
  <c r="X2458" i="4"/>
  <c r="W2458" i="4"/>
  <c r="Z2457" i="4"/>
  <c r="Y2457" i="4"/>
  <c r="X2457" i="4"/>
  <c r="W2457" i="4"/>
  <c r="Z2456" i="4"/>
  <c r="Y2456" i="4"/>
  <c r="X2456" i="4"/>
  <c r="W2456" i="4"/>
  <c r="Z2455" i="4"/>
  <c r="Y2455" i="4"/>
  <c r="X2455" i="4"/>
  <c r="W2455" i="4"/>
  <c r="Z2454" i="4"/>
  <c r="Y2454" i="4"/>
  <c r="X2454" i="4"/>
  <c r="W2454" i="4"/>
  <c r="Z2453" i="4"/>
  <c r="Y2453" i="4"/>
  <c r="X2453" i="4"/>
  <c r="W2453" i="4"/>
  <c r="Z2452" i="4"/>
  <c r="Y2452" i="4"/>
  <c r="X2452" i="4"/>
  <c r="W2452" i="4"/>
  <c r="Z2451" i="4"/>
  <c r="Y2451" i="4"/>
  <c r="X2451" i="4"/>
  <c r="W2451" i="4"/>
  <c r="Z2450" i="4"/>
  <c r="Y2450" i="4"/>
  <c r="X2450" i="4"/>
  <c r="W2450" i="4"/>
  <c r="Z2449" i="4"/>
  <c r="Y2449" i="4"/>
  <c r="X2449" i="4"/>
  <c r="W2449" i="4"/>
  <c r="Z2448" i="4"/>
  <c r="Y2448" i="4"/>
  <c r="X2448" i="4"/>
  <c r="W2448" i="4"/>
  <c r="Z2447" i="4"/>
  <c r="Y2447" i="4"/>
  <c r="X2447" i="4"/>
  <c r="W2447" i="4"/>
  <c r="Z2446" i="4"/>
  <c r="Y2446" i="4"/>
  <c r="X2446" i="4"/>
  <c r="W2446" i="4"/>
  <c r="Z2445" i="4"/>
  <c r="Y2445" i="4"/>
  <c r="X2445" i="4"/>
  <c r="W2445" i="4"/>
  <c r="Z2444" i="4"/>
  <c r="Y2444" i="4"/>
  <c r="X2444" i="4"/>
  <c r="W2444" i="4"/>
  <c r="Z2443" i="4"/>
  <c r="Y2443" i="4"/>
  <c r="X2443" i="4"/>
  <c r="W2443" i="4"/>
  <c r="Z2442" i="4"/>
  <c r="Y2442" i="4"/>
  <c r="X2442" i="4"/>
  <c r="W2442" i="4"/>
  <c r="Z2441" i="4"/>
  <c r="Y2441" i="4"/>
  <c r="X2441" i="4"/>
  <c r="W2441" i="4"/>
  <c r="Z2440" i="4"/>
  <c r="Y2440" i="4"/>
  <c r="X2440" i="4"/>
  <c r="W2440" i="4"/>
  <c r="Z2439" i="4"/>
  <c r="Y2439" i="4"/>
  <c r="X2439" i="4"/>
  <c r="W2439" i="4"/>
  <c r="Z2438" i="4"/>
  <c r="Y2438" i="4"/>
  <c r="X2438" i="4"/>
  <c r="W2438" i="4"/>
  <c r="Z2437" i="4"/>
  <c r="Y2437" i="4"/>
  <c r="X2437" i="4"/>
  <c r="W2437" i="4"/>
  <c r="Z2436" i="4"/>
  <c r="Y2436" i="4"/>
  <c r="X2436" i="4"/>
  <c r="W2436" i="4"/>
  <c r="Z2435" i="4"/>
  <c r="Y2435" i="4"/>
  <c r="X2435" i="4"/>
  <c r="W2435" i="4"/>
  <c r="Z2434" i="4"/>
  <c r="Y2434" i="4"/>
  <c r="X2434" i="4"/>
  <c r="W2434" i="4"/>
  <c r="Z2433" i="4"/>
  <c r="Y2433" i="4"/>
  <c r="X2433" i="4"/>
  <c r="W2433" i="4"/>
  <c r="Z2432" i="4"/>
  <c r="Y2432" i="4"/>
  <c r="X2432" i="4"/>
  <c r="W2432" i="4"/>
  <c r="Z2431" i="4"/>
  <c r="Y2431" i="4"/>
  <c r="X2431" i="4"/>
  <c r="W2431" i="4"/>
  <c r="Z2430" i="4"/>
  <c r="Y2430" i="4"/>
  <c r="X2430" i="4"/>
  <c r="W2430" i="4"/>
  <c r="Z2429" i="4"/>
  <c r="Y2429" i="4"/>
  <c r="X2429" i="4"/>
  <c r="W2429" i="4"/>
  <c r="Z2428" i="4"/>
  <c r="Y2428" i="4"/>
  <c r="X2428" i="4"/>
  <c r="W2428" i="4"/>
  <c r="Z2427" i="4"/>
  <c r="Y2427" i="4"/>
  <c r="X2427" i="4"/>
  <c r="W2427" i="4"/>
  <c r="Z2426" i="4"/>
  <c r="Y2426" i="4"/>
  <c r="X2426" i="4"/>
  <c r="W2426" i="4"/>
  <c r="Z2425" i="4"/>
  <c r="Y2425" i="4"/>
  <c r="X2425" i="4"/>
  <c r="W2425" i="4"/>
  <c r="Z2424" i="4"/>
  <c r="Y2424" i="4"/>
  <c r="X2424" i="4"/>
  <c r="W2424" i="4"/>
  <c r="Z2423" i="4"/>
  <c r="Y2423" i="4"/>
  <c r="X2423" i="4"/>
  <c r="W2423" i="4"/>
  <c r="Z2422" i="4"/>
  <c r="Y2422" i="4"/>
  <c r="X2422" i="4"/>
  <c r="W2422" i="4"/>
  <c r="Z2421" i="4"/>
  <c r="Y2421" i="4"/>
  <c r="X2421" i="4"/>
  <c r="W2421" i="4"/>
  <c r="Z2420" i="4"/>
  <c r="Y2420" i="4"/>
  <c r="X2420" i="4"/>
  <c r="W2420" i="4"/>
  <c r="Z2419" i="4"/>
  <c r="Y2419" i="4"/>
  <c r="X2419" i="4"/>
  <c r="W2419" i="4"/>
  <c r="Z2418" i="4"/>
  <c r="Y2418" i="4"/>
  <c r="X2418" i="4"/>
  <c r="W2418" i="4"/>
  <c r="Z2417" i="4"/>
  <c r="Y2417" i="4"/>
  <c r="X2417" i="4"/>
  <c r="W2417" i="4"/>
  <c r="Z2416" i="4"/>
  <c r="Y2416" i="4"/>
  <c r="X2416" i="4"/>
  <c r="W2416" i="4"/>
  <c r="Z2415" i="4"/>
  <c r="Y2415" i="4"/>
  <c r="X2415" i="4"/>
  <c r="W2415" i="4"/>
  <c r="Z2414" i="4"/>
  <c r="Y2414" i="4"/>
  <c r="X2414" i="4"/>
  <c r="W2414" i="4"/>
  <c r="Z2413" i="4"/>
  <c r="Y2413" i="4"/>
  <c r="X2413" i="4"/>
  <c r="W2413" i="4"/>
  <c r="Z2412" i="4"/>
  <c r="Y2412" i="4"/>
  <c r="X2412" i="4"/>
  <c r="W2412" i="4"/>
  <c r="Z2411" i="4"/>
  <c r="Y2411" i="4"/>
  <c r="X2411" i="4"/>
  <c r="W2411" i="4"/>
  <c r="Z2410" i="4"/>
  <c r="Y2410" i="4"/>
  <c r="X2410" i="4"/>
  <c r="W2410" i="4"/>
  <c r="Z2409" i="4"/>
  <c r="Y2409" i="4"/>
  <c r="X2409" i="4"/>
  <c r="W2409" i="4"/>
  <c r="Z2408" i="4"/>
  <c r="Y2408" i="4"/>
  <c r="X2408" i="4"/>
  <c r="W2408" i="4"/>
  <c r="Z2407" i="4"/>
  <c r="Y2407" i="4"/>
  <c r="X2407" i="4"/>
  <c r="W2407" i="4"/>
  <c r="Z2406" i="4"/>
  <c r="Y2406" i="4"/>
  <c r="X2406" i="4"/>
  <c r="W2406" i="4"/>
  <c r="Z2405" i="4"/>
  <c r="Y2405" i="4"/>
  <c r="X2405" i="4"/>
  <c r="W2405" i="4"/>
  <c r="Z2404" i="4"/>
  <c r="Y2404" i="4"/>
  <c r="X2404" i="4"/>
  <c r="W2404" i="4"/>
  <c r="Z2403" i="4"/>
  <c r="Y2403" i="4"/>
  <c r="X2403" i="4"/>
  <c r="W2403" i="4"/>
  <c r="Z2402" i="4"/>
  <c r="Y2402" i="4"/>
  <c r="X2402" i="4"/>
  <c r="W2402" i="4"/>
  <c r="Z2401" i="4"/>
  <c r="Y2401" i="4"/>
  <c r="X2401" i="4"/>
  <c r="W2401" i="4"/>
  <c r="Z2400" i="4"/>
  <c r="Y2400" i="4"/>
  <c r="X2400" i="4"/>
  <c r="W2400" i="4"/>
  <c r="Z2399" i="4"/>
  <c r="Y2399" i="4"/>
  <c r="X2399" i="4"/>
  <c r="W2399" i="4"/>
  <c r="Z2398" i="4"/>
  <c r="Y2398" i="4"/>
  <c r="X2398" i="4"/>
  <c r="W2398" i="4"/>
  <c r="Z2397" i="4"/>
  <c r="Y2397" i="4"/>
  <c r="X2397" i="4"/>
  <c r="W2397" i="4"/>
  <c r="Z2396" i="4"/>
  <c r="Y2396" i="4"/>
  <c r="X2396" i="4"/>
  <c r="W2396" i="4"/>
  <c r="Z2395" i="4"/>
  <c r="Y2395" i="4"/>
  <c r="X2395" i="4"/>
  <c r="W2395" i="4"/>
  <c r="Z2394" i="4"/>
  <c r="Y2394" i="4"/>
  <c r="X2394" i="4"/>
  <c r="W2394" i="4"/>
  <c r="Z2393" i="4"/>
  <c r="Y2393" i="4"/>
  <c r="X2393" i="4"/>
  <c r="W2393" i="4"/>
  <c r="Z2392" i="4"/>
  <c r="Y2392" i="4"/>
  <c r="X2392" i="4"/>
  <c r="W2392" i="4"/>
  <c r="Z2391" i="4"/>
  <c r="Y2391" i="4"/>
  <c r="X2391" i="4"/>
  <c r="W2391" i="4"/>
  <c r="Z2390" i="4"/>
  <c r="Y2390" i="4"/>
  <c r="X2390" i="4"/>
  <c r="W2390" i="4"/>
  <c r="Z2389" i="4"/>
  <c r="Y2389" i="4"/>
  <c r="X2389" i="4"/>
  <c r="W2389" i="4"/>
  <c r="Z2388" i="4"/>
  <c r="Y2388" i="4"/>
  <c r="X2388" i="4"/>
  <c r="W2388" i="4"/>
  <c r="Z2387" i="4"/>
  <c r="Y2387" i="4"/>
  <c r="X2387" i="4"/>
  <c r="W2387" i="4"/>
  <c r="Z2386" i="4"/>
  <c r="Y2386" i="4"/>
  <c r="X2386" i="4"/>
  <c r="W2386" i="4"/>
  <c r="Z2385" i="4"/>
  <c r="Y2385" i="4"/>
  <c r="X2385" i="4"/>
  <c r="W2385" i="4"/>
  <c r="Z2384" i="4"/>
  <c r="Y2384" i="4"/>
  <c r="X2384" i="4"/>
  <c r="W2384" i="4"/>
  <c r="Z2383" i="4"/>
  <c r="Y2383" i="4"/>
  <c r="X2383" i="4"/>
  <c r="W2383" i="4"/>
  <c r="Z2382" i="4"/>
  <c r="Y2382" i="4"/>
  <c r="X2382" i="4"/>
  <c r="W2382" i="4"/>
  <c r="Z2381" i="4"/>
  <c r="Y2381" i="4"/>
  <c r="X2381" i="4"/>
  <c r="W2381" i="4"/>
  <c r="Z2380" i="4"/>
  <c r="Y2380" i="4"/>
  <c r="X2380" i="4"/>
  <c r="W2380" i="4"/>
  <c r="Z2379" i="4"/>
  <c r="Y2379" i="4"/>
  <c r="X2379" i="4"/>
  <c r="W2379" i="4"/>
  <c r="Z2378" i="4"/>
  <c r="Y2378" i="4"/>
  <c r="X2378" i="4"/>
  <c r="W2378" i="4"/>
  <c r="Z2377" i="4"/>
  <c r="Y2377" i="4"/>
  <c r="X2377" i="4"/>
  <c r="W2377" i="4"/>
  <c r="Z2376" i="4"/>
  <c r="Y2376" i="4"/>
  <c r="X2376" i="4"/>
  <c r="W2376" i="4"/>
  <c r="Z2375" i="4"/>
  <c r="Y2375" i="4"/>
  <c r="X2375" i="4"/>
  <c r="W2375" i="4"/>
  <c r="Z2374" i="4"/>
  <c r="Y2374" i="4"/>
  <c r="X2374" i="4"/>
  <c r="W2374" i="4"/>
  <c r="Z2373" i="4"/>
  <c r="Y2373" i="4"/>
  <c r="X2373" i="4"/>
  <c r="W2373" i="4"/>
  <c r="Z2372" i="4"/>
  <c r="Y2372" i="4"/>
  <c r="X2372" i="4"/>
  <c r="W2372" i="4"/>
  <c r="Z2371" i="4"/>
  <c r="Y2371" i="4"/>
  <c r="X2371" i="4"/>
  <c r="W2371" i="4"/>
  <c r="Z2370" i="4"/>
  <c r="Y2370" i="4"/>
  <c r="X2370" i="4"/>
  <c r="W2370" i="4"/>
  <c r="Z2369" i="4"/>
  <c r="Y2369" i="4"/>
  <c r="X2369" i="4"/>
  <c r="W2369" i="4"/>
  <c r="Z2368" i="4"/>
  <c r="Y2368" i="4"/>
  <c r="X2368" i="4"/>
  <c r="W2368" i="4"/>
  <c r="Z2367" i="4"/>
  <c r="Y2367" i="4"/>
  <c r="X2367" i="4"/>
  <c r="W2367" i="4"/>
  <c r="Z2366" i="4"/>
  <c r="Y2366" i="4"/>
  <c r="X2366" i="4"/>
  <c r="W2366" i="4"/>
  <c r="Z2365" i="4"/>
  <c r="Y2365" i="4"/>
  <c r="X2365" i="4"/>
  <c r="W2365" i="4"/>
  <c r="Z2364" i="4"/>
  <c r="Y2364" i="4"/>
  <c r="X2364" i="4"/>
  <c r="W2364" i="4"/>
  <c r="Z2363" i="4"/>
  <c r="Y2363" i="4"/>
  <c r="X2363" i="4"/>
  <c r="W2363" i="4"/>
  <c r="Z2362" i="4"/>
  <c r="Y2362" i="4"/>
  <c r="X2362" i="4"/>
  <c r="W2362" i="4"/>
  <c r="Z2361" i="4"/>
  <c r="Y2361" i="4"/>
  <c r="X2361" i="4"/>
  <c r="W2361" i="4"/>
  <c r="Z2360" i="4"/>
  <c r="Y2360" i="4"/>
  <c r="X2360" i="4"/>
  <c r="W2360" i="4"/>
  <c r="Z2359" i="4"/>
  <c r="Y2359" i="4"/>
  <c r="X2359" i="4"/>
  <c r="W2359" i="4"/>
  <c r="Z2358" i="4"/>
  <c r="Y2358" i="4"/>
  <c r="X2358" i="4"/>
  <c r="W2358" i="4"/>
  <c r="Z2357" i="4"/>
  <c r="Y2357" i="4"/>
  <c r="X2357" i="4"/>
  <c r="W2357" i="4"/>
  <c r="Z2356" i="4"/>
  <c r="Y2356" i="4"/>
  <c r="X2356" i="4"/>
  <c r="W2356" i="4"/>
  <c r="Z2355" i="4"/>
  <c r="Y2355" i="4"/>
  <c r="X2355" i="4"/>
  <c r="W2355" i="4"/>
  <c r="Z2354" i="4"/>
  <c r="Y2354" i="4"/>
  <c r="X2354" i="4"/>
  <c r="W2354" i="4"/>
  <c r="Z2353" i="4"/>
  <c r="Y2353" i="4"/>
  <c r="X2353" i="4"/>
  <c r="W2353" i="4"/>
  <c r="Z2352" i="4"/>
  <c r="Y2352" i="4"/>
  <c r="X2352" i="4"/>
  <c r="W2352" i="4"/>
  <c r="Z2351" i="4"/>
  <c r="Y2351" i="4"/>
  <c r="X2351" i="4"/>
  <c r="W2351" i="4"/>
  <c r="Z2350" i="4"/>
  <c r="Y2350" i="4"/>
  <c r="X2350" i="4"/>
  <c r="W2350" i="4"/>
  <c r="Z2349" i="4"/>
  <c r="Y2349" i="4"/>
  <c r="X2349" i="4"/>
  <c r="W2349" i="4"/>
  <c r="Z2348" i="4"/>
  <c r="Y2348" i="4"/>
  <c r="X2348" i="4"/>
  <c r="W2348" i="4"/>
  <c r="Z2347" i="4"/>
  <c r="Y2347" i="4"/>
  <c r="X2347" i="4"/>
  <c r="W2347" i="4"/>
  <c r="Z2346" i="4"/>
  <c r="Y2346" i="4"/>
  <c r="X2346" i="4"/>
  <c r="W2346" i="4"/>
  <c r="Z2345" i="4"/>
  <c r="Y2345" i="4"/>
  <c r="X2345" i="4"/>
  <c r="W2345" i="4"/>
  <c r="Z2344" i="4"/>
  <c r="Y2344" i="4"/>
  <c r="X2344" i="4"/>
  <c r="W2344" i="4"/>
  <c r="Z2343" i="4"/>
  <c r="Y2343" i="4"/>
  <c r="X2343" i="4"/>
  <c r="W2343" i="4"/>
  <c r="Z2342" i="4"/>
  <c r="Y2342" i="4"/>
  <c r="X2342" i="4"/>
  <c r="W2342" i="4"/>
  <c r="Z2341" i="4"/>
  <c r="Y2341" i="4"/>
  <c r="X2341" i="4"/>
  <c r="W2341" i="4"/>
  <c r="Z2340" i="4"/>
  <c r="Y2340" i="4"/>
  <c r="X2340" i="4"/>
  <c r="W2340" i="4"/>
  <c r="Z2339" i="4"/>
  <c r="Y2339" i="4"/>
  <c r="X2339" i="4"/>
  <c r="W2339" i="4"/>
  <c r="Z2338" i="4"/>
  <c r="Y2338" i="4"/>
  <c r="X2338" i="4"/>
  <c r="W2338" i="4"/>
  <c r="Z2337" i="4"/>
  <c r="Y2337" i="4"/>
  <c r="X2337" i="4"/>
  <c r="W2337" i="4"/>
  <c r="Z2336" i="4"/>
  <c r="Y2336" i="4"/>
  <c r="X2336" i="4"/>
  <c r="W2336" i="4"/>
  <c r="Z2335" i="4"/>
  <c r="Y2335" i="4"/>
  <c r="X2335" i="4"/>
  <c r="W2335" i="4"/>
  <c r="Z2334" i="4"/>
  <c r="Y2334" i="4"/>
  <c r="X2334" i="4"/>
  <c r="W2334" i="4"/>
  <c r="Z2333" i="4"/>
  <c r="Y2333" i="4"/>
  <c r="X2333" i="4"/>
  <c r="W2333" i="4"/>
  <c r="Z2332" i="4"/>
  <c r="Y2332" i="4"/>
  <c r="X2332" i="4"/>
  <c r="W2332" i="4"/>
  <c r="Z2331" i="4"/>
  <c r="Y2331" i="4"/>
  <c r="X2331" i="4"/>
  <c r="W2331" i="4"/>
  <c r="Z2330" i="4"/>
  <c r="Y2330" i="4"/>
  <c r="X2330" i="4"/>
  <c r="W2330" i="4"/>
  <c r="Z2329" i="4"/>
  <c r="Y2329" i="4"/>
  <c r="X2329" i="4"/>
  <c r="W2329" i="4"/>
  <c r="Z2328" i="4"/>
  <c r="Y2328" i="4"/>
  <c r="X2328" i="4"/>
  <c r="W2328" i="4"/>
  <c r="Z2327" i="4"/>
  <c r="Y2327" i="4"/>
  <c r="X2327" i="4"/>
  <c r="W2327" i="4"/>
  <c r="Z2326" i="4"/>
  <c r="Y2326" i="4"/>
  <c r="X2326" i="4"/>
  <c r="W2326" i="4"/>
  <c r="Z2325" i="4"/>
  <c r="Y2325" i="4"/>
  <c r="X2325" i="4"/>
  <c r="W2325" i="4"/>
  <c r="Z2324" i="4"/>
  <c r="Y2324" i="4"/>
  <c r="X2324" i="4"/>
  <c r="W2324" i="4"/>
  <c r="Z2323" i="4"/>
  <c r="Y2323" i="4"/>
  <c r="X2323" i="4"/>
  <c r="W2323" i="4"/>
  <c r="Z2322" i="4"/>
  <c r="Y2322" i="4"/>
  <c r="X2322" i="4"/>
  <c r="W2322" i="4"/>
  <c r="Z2321" i="4"/>
  <c r="Y2321" i="4"/>
  <c r="X2321" i="4"/>
  <c r="W2321" i="4"/>
  <c r="Z2320" i="4"/>
  <c r="Y2320" i="4"/>
  <c r="X2320" i="4"/>
  <c r="W2320" i="4"/>
  <c r="Z2319" i="4"/>
  <c r="Y2319" i="4"/>
  <c r="X2319" i="4"/>
  <c r="W2319" i="4"/>
  <c r="Z2318" i="4"/>
  <c r="Y2318" i="4"/>
  <c r="X2318" i="4"/>
  <c r="W2318" i="4"/>
  <c r="Z2317" i="4"/>
  <c r="Y2317" i="4"/>
  <c r="X2317" i="4"/>
  <c r="W2317" i="4"/>
  <c r="Z2316" i="4"/>
  <c r="Y2316" i="4"/>
  <c r="X2316" i="4"/>
  <c r="W2316" i="4"/>
  <c r="Z2315" i="4"/>
  <c r="Y2315" i="4"/>
  <c r="X2315" i="4"/>
  <c r="W2315" i="4"/>
  <c r="Z2314" i="4"/>
  <c r="Y2314" i="4"/>
  <c r="X2314" i="4"/>
  <c r="W2314" i="4"/>
  <c r="Z2313" i="4"/>
  <c r="Y2313" i="4"/>
  <c r="X2313" i="4"/>
  <c r="W2313" i="4"/>
  <c r="Z2312" i="4"/>
  <c r="Y2312" i="4"/>
  <c r="X2312" i="4"/>
  <c r="W2312" i="4"/>
  <c r="Z2311" i="4"/>
  <c r="Y2311" i="4"/>
  <c r="X2311" i="4"/>
  <c r="W2311" i="4"/>
  <c r="Z2310" i="4"/>
  <c r="Y2310" i="4"/>
  <c r="X2310" i="4"/>
  <c r="W2310" i="4"/>
  <c r="Z2309" i="4"/>
  <c r="Y2309" i="4"/>
  <c r="X2309" i="4"/>
  <c r="W2309" i="4"/>
  <c r="Z2308" i="4"/>
  <c r="Y2308" i="4"/>
  <c r="X2308" i="4"/>
  <c r="W2308" i="4"/>
  <c r="Z2307" i="4"/>
  <c r="Y2307" i="4"/>
  <c r="X2307" i="4"/>
  <c r="W2307" i="4"/>
  <c r="Z2306" i="4"/>
  <c r="Y2306" i="4"/>
  <c r="X2306" i="4"/>
  <c r="W2306" i="4"/>
  <c r="Z2305" i="4"/>
  <c r="Y2305" i="4"/>
  <c r="X2305" i="4"/>
  <c r="W2305" i="4"/>
  <c r="Z2304" i="4"/>
  <c r="Y2304" i="4"/>
  <c r="X2304" i="4"/>
  <c r="W2304" i="4"/>
  <c r="Z2303" i="4"/>
  <c r="Y2303" i="4"/>
  <c r="X2303" i="4"/>
  <c r="W2303" i="4"/>
  <c r="Z2302" i="4"/>
  <c r="Y2302" i="4"/>
  <c r="X2302" i="4"/>
  <c r="W2302" i="4"/>
  <c r="Z2301" i="4"/>
  <c r="Y2301" i="4"/>
  <c r="X2301" i="4"/>
  <c r="W2301" i="4"/>
  <c r="Z2300" i="4"/>
  <c r="Y2300" i="4"/>
  <c r="X2300" i="4"/>
  <c r="W2300" i="4"/>
  <c r="Z2299" i="4"/>
  <c r="Y2299" i="4"/>
  <c r="X2299" i="4"/>
  <c r="W2299" i="4"/>
  <c r="Z2298" i="4"/>
  <c r="Y2298" i="4"/>
  <c r="X2298" i="4"/>
  <c r="W2298" i="4"/>
  <c r="Z2297" i="4"/>
  <c r="Y2297" i="4"/>
  <c r="X2297" i="4"/>
  <c r="W2297" i="4"/>
  <c r="Z2296" i="4"/>
  <c r="Y2296" i="4"/>
  <c r="X2296" i="4"/>
  <c r="W2296" i="4"/>
  <c r="Z2295" i="4"/>
  <c r="Y2295" i="4"/>
  <c r="X2295" i="4"/>
  <c r="W2295" i="4"/>
  <c r="Z2294" i="4"/>
  <c r="Y2294" i="4"/>
  <c r="X2294" i="4"/>
  <c r="W2294" i="4"/>
  <c r="Z2293" i="4"/>
  <c r="Y2293" i="4"/>
  <c r="X2293" i="4"/>
  <c r="W2293" i="4"/>
  <c r="Z2292" i="4"/>
  <c r="Y2292" i="4"/>
  <c r="X2292" i="4"/>
  <c r="W2292" i="4"/>
  <c r="Z2291" i="4"/>
  <c r="Y2291" i="4"/>
  <c r="X2291" i="4"/>
  <c r="W2291" i="4"/>
  <c r="Z2290" i="4"/>
  <c r="Y2290" i="4"/>
  <c r="X2290" i="4"/>
  <c r="W2290" i="4"/>
  <c r="Z2289" i="4"/>
  <c r="Y2289" i="4"/>
  <c r="X2289" i="4"/>
  <c r="W2289" i="4"/>
  <c r="Z2288" i="4"/>
  <c r="Y2288" i="4"/>
  <c r="X2288" i="4"/>
  <c r="W2288" i="4"/>
  <c r="Z2287" i="4"/>
  <c r="Y2287" i="4"/>
  <c r="X2287" i="4"/>
  <c r="W2287" i="4"/>
  <c r="Z2286" i="4"/>
  <c r="Y2286" i="4"/>
  <c r="X2286" i="4"/>
  <c r="W2286" i="4"/>
  <c r="Z2285" i="4"/>
  <c r="Y2285" i="4"/>
  <c r="X2285" i="4"/>
  <c r="W2285" i="4"/>
  <c r="Z2284" i="4"/>
  <c r="Y2284" i="4"/>
  <c r="X2284" i="4"/>
  <c r="W2284" i="4"/>
  <c r="Z2283" i="4"/>
  <c r="Y2283" i="4"/>
  <c r="X2283" i="4"/>
  <c r="W2283" i="4"/>
  <c r="Z2282" i="4"/>
  <c r="Y2282" i="4"/>
  <c r="X2282" i="4"/>
  <c r="W2282" i="4"/>
  <c r="Z2281" i="4"/>
  <c r="Y2281" i="4"/>
  <c r="X2281" i="4"/>
  <c r="W2281" i="4"/>
  <c r="Z2280" i="4"/>
  <c r="Y2280" i="4"/>
  <c r="X2280" i="4"/>
  <c r="W2280" i="4"/>
  <c r="Z2279" i="4"/>
  <c r="Y2279" i="4"/>
  <c r="X2279" i="4"/>
  <c r="W2279" i="4"/>
  <c r="Z2278" i="4"/>
  <c r="Y2278" i="4"/>
  <c r="X2278" i="4"/>
  <c r="W2278" i="4"/>
  <c r="Z2277" i="4"/>
  <c r="Y2277" i="4"/>
  <c r="X2277" i="4"/>
  <c r="W2277" i="4"/>
  <c r="Z2276" i="4"/>
  <c r="Y2276" i="4"/>
  <c r="X2276" i="4"/>
  <c r="W2276" i="4"/>
  <c r="Z2275" i="4"/>
  <c r="Y2275" i="4"/>
  <c r="X2275" i="4"/>
  <c r="W2275" i="4"/>
  <c r="Z2274" i="4"/>
  <c r="Y2274" i="4"/>
  <c r="X2274" i="4"/>
  <c r="W2274" i="4"/>
  <c r="Z2273" i="4"/>
  <c r="Y2273" i="4"/>
  <c r="X2273" i="4"/>
  <c r="W2273" i="4"/>
  <c r="Z2272" i="4"/>
  <c r="Y2272" i="4"/>
  <c r="X2272" i="4"/>
  <c r="W2272" i="4"/>
  <c r="Z2271" i="4"/>
  <c r="Y2271" i="4"/>
  <c r="X2271" i="4"/>
  <c r="W2271" i="4"/>
  <c r="Z2270" i="4"/>
  <c r="Y2270" i="4"/>
  <c r="X2270" i="4"/>
  <c r="W2270" i="4"/>
  <c r="Z2269" i="4"/>
  <c r="Y2269" i="4"/>
  <c r="X2269" i="4"/>
  <c r="W2269" i="4"/>
  <c r="Z2268" i="4"/>
  <c r="Y2268" i="4"/>
  <c r="X2268" i="4"/>
  <c r="W2268" i="4"/>
  <c r="Z2267" i="4"/>
  <c r="Y2267" i="4"/>
  <c r="X2267" i="4"/>
  <c r="W2267" i="4"/>
  <c r="Z2266" i="4"/>
  <c r="Y2266" i="4"/>
  <c r="X2266" i="4"/>
  <c r="W2266" i="4"/>
  <c r="Z2265" i="4"/>
  <c r="Y2265" i="4"/>
  <c r="X2265" i="4"/>
  <c r="W2265" i="4"/>
  <c r="Z2264" i="4"/>
  <c r="Y2264" i="4"/>
  <c r="X2264" i="4"/>
  <c r="W2264" i="4"/>
  <c r="Z2263" i="4"/>
  <c r="Y2263" i="4"/>
  <c r="X2263" i="4"/>
  <c r="W2263" i="4"/>
  <c r="Z2262" i="4"/>
  <c r="Y2262" i="4"/>
  <c r="X2262" i="4"/>
  <c r="W2262" i="4"/>
  <c r="Z2261" i="4"/>
  <c r="Y2261" i="4"/>
  <c r="X2261" i="4"/>
  <c r="W2261" i="4"/>
  <c r="Z2260" i="4"/>
  <c r="Y2260" i="4"/>
  <c r="X2260" i="4"/>
  <c r="W2260" i="4"/>
  <c r="Z2259" i="4"/>
  <c r="Y2259" i="4"/>
  <c r="X2259" i="4"/>
  <c r="W2259" i="4"/>
  <c r="Z2258" i="4"/>
  <c r="Y2258" i="4"/>
  <c r="X2258" i="4"/>
  <c r="W2258" i="4"/>
  <c r="Z2257" i="4"/>
  <c r="Y2257" i="4"/>
  <c r="X2257" i="4"/>
  <c r="W2257" i="4"/>
  <c r="Z2256" i="4"/>
  <c r="Y2256" i="4"/>
  <c r="X2256" i="4"/>
  <c r="W2256" i="4"/>
  <c r="Z2255" i="4"/>
  <c r="Y2255" i="4"/>
  <c r="X2255" i="4"/>
  <c r="W2255" i="4"/>
  <c r="Z2254" i="4"/>
  <c r="Y2254" i="4"/>
  <c r="X2254" i="4"/>
  <c r="W2254" i="4"/>
  <c r="Z2253" i="4"/>
  <c r="Y2253" i="4"/>
  <c r="X2253" i="4"/>
  <c r="W2253" i="4"/>
  <c r="Z2252" i="4"/>
  <c r="Y2252" i="4"/>
  <c r="X2252" i="4"/>
  <c r="W2252" i="4"/>
  <c r="Z2251" i="4"/>
  <c r="Y2251" i="4"/>
  <c r="X2251" i="4"/>
  <c r="W2251" i="4"/>
  <c r="Z2250" i="4"/>
  <c r="Y2250" i="4"/>
  <c r="X2250" i="4"/>
  <c r="W2250" i="4"/>
  <c r="Z2249" i="4"/>
  <c r="Y2249" i="4"/>
  <c r="X2249" i="4"/>
  <c r="W2249" i="4"/>
  <c r="Z2248" i="4"/>
  <c r="Y2248" i="4"/>
  <c r="X2248" i="4"/>
  <c r="W2248" i="4"/>
  <c r="Z2247" i="4"/>
  <c r="Y2247" i="4"/>
  <c r="X2247" i="4"/>
  <c r="W2247" i="4"/>
  <c r="Z2246" i="4"/>
  <c r="Y2246" i="4"/>
  <c r="X2246" i="4"/>
  <c r="W2246" i="4"/>
  <c r="Z2245" i="4"/>
  <c r="Y2245" i="4"/>
  <c r="X2245" i="4"/>
  <c r="W2245" i="4"/>
  <c r="Z2244" i="4"/>
  <c r="Y2244" i="4"/>
  <c r="X2244" i="4"/>
  <c r="W2244" i="4"/>
  <c r="Z2243" i="4"/>
  <c r="Y2243" i="4"/>
  <c r="X2243" i="4"/>
  <c r="W2243" i="4"/>
  <c r="Z2242" i="4"/>
  <c r="Y2242" i="4"/>
  <c r="X2242" i="4"/>
  <c r="W2242" i="4"/>
  <c r="Z2241" i="4"/>
  <c r="Y2241" i="4"/>
  <c r="X2241" i="4"/>
  <c r="W2241" i="4"/>
  <c r="Z2240" i="4"/>
  <c r="Y2240" i="4"/>
  <c r="X2240" i="4"/>
  <c r="W2240" i="4"/>
  <c r="Z2239" i="4"/>
  <c r="Y2239" i="4"/>
  <c r="X2239" i="4"/>
  <c r="W2239" i="4"/>
  <c r="Z2238" i="4"/>
  <c r="Y2238" i="4"/>
  <c r="X2238" i="4"/>
  <c r="W2238" i="4"/>
  <c r="Z2237" i="4"/>
  <c r="Y2237" i="4"/>
  <c r="X2237" i="4"/>
  <c r="W2237" i="4"/>
  <c r="Z2236" i="4"/>
  <c r="Y2236" i="4"/>
  <c r="X2236" i="4"/>
  <c r="W2236" i="4"/>
  <c r="Z2235" i="4"/>
  <c r="Y2235" i="4"/>
  <c r="X2235" i="4"/>
  <c r="W2235" i="4"/>
  <c r="Z2234" i="4"/>
  <c r="Y2234" i="4"/>
  <c r="X2234" i="4"/>
  <c r="W2234" i="4"/>
  <c r="Z2233" i="4"/>
  <c r="Y2233" i="4"/>
  <c r="X2233" i="4"/>
  <c r="W2233" i="4"/>
  <c r="Z2232" i="4"/>
  <c r="Y2232" i="4"/>
  <c r="X2232" i="4"/>
  <c r="W2232" i="4"/>
  <c r="Z2231" i="4"/>
  <c r="Y2231" i="4"/>
  <c r="X2231" i="4"/>
  <c r="W2231" i="4"/>
  <c r="Z2230" i="4"/>
  <c r="Y2230" i="4"/>
  <c r="X2230" i="4"/>
  <c r="W2230" i="4"/>
  <c r="Z2229" i="4"/>
  <c r="Y2229" i="4"/>
  <c r="X2229" i="4"/>
  <c r="W2229" i="4"/>
  <c r="Z2228" i="4"/>
  <c r="Y2228" i="4"/>
  <c r="X2228" i="4"/>
  <c r="W2228" i="4"/>
  <c r="Z2227" i="4"/>
  <c r="Y2227" i="4"/>
  <c r="X2227" i="4"/>
  <c r="W2227" i="4"/>
  <c r="Z2226" i="4"/>
  <c r="Y2226" i="4"/>
  <c r="X2226" i="4"/>
  <c r="W2226" i="4"/>
  <c r="Z2225" i="4"/>
  <c r="Y2225" i="4"/>
  <c r="X2225" i="4"/>
  <c r="W2225" i="4"/>
  <c r="Z2224" i="4"/>
  <c r="Y2224" i="4"/>
  <c r="X2224" i="4"/>
  <c r="W2224" i="4"/>
  <c r="Z2223" i="4"/>
  <c r="Y2223" i="4"/>
  <c r="X2223" i="4"/>
  <c r="W2223" i="4"/>
  <c r="Z2222" i="4"/>
  <c r="Y2222" i="4"/>
  <c r="X2222" i="4"/>
  <c r="W2222" i="4"/>
  <c r="Z2221" i="4"/>
  <c r="Y2221" i="4"/>
  <c r="X2221" i="4"/>
  <c r="W2221" i="4"/>
  <c r="Z2220" i="4"/>
  <c r="Y2220" i="4"/>
  <c r="X2220" i="4"/>
  <c r="W2220" i="4"/>
  <c r="Z2219" i="4"/>
  <c r="Y2219" i="4"/>
  <c r="X2219" i="4"/>
  <c r="W2219" i="4"/>
  <c r="Z2218" i="4"/>
  <c r="Y2218" i="4"/>
  <c r="X2218" i="4"/>
  <c r="W2218" i="4"/>
  <c r="Z2217" i="4"/>
  <c r="Y2217" i="4"/>
  <c r="X2217" i="4"/>
  <c r="W2217" i="4"/>
  <c r="Z2216" i="4"/>
  <c r="Y2216" i="4"/>
  <c r="X2216" i="4"/>
  <c r="W2216" i="4"/>
  <c r="Z2215" i="4"/>
  <c r="Y2215" i="4"/>
  <c r="X2215" i="4"/>
  <c r="W2215" i="4"/>
  <c r="Z2214" i="4"/>
  <c r="Y2214" i="4"/>
  <c r="X2214" i="4"/>
  <c r="W2214" i="4"/>
  <c r="Z2213" i="4"/>
  <c r="Y2213" i="4"/>
  <c r="X2213" i="4"/>
  <c r="W2213" i="4"/>
  <c r="Z2212" i="4"/>
  <c r="Y2212" i="4"/>
  <c r="X2212" i="4"/>
  <c r="W2212" i="4"/>
  <c r="Z2211" i="4"/>
  <c r="Y2211" i="4"/>
  <c r="X2211" i="4"/>
  <c r="W2211" i="4"/>
  <c r="Z2210" i="4"/>
  <c r="Y2210" i="4"/>
  <c r="X2210" i="4"/>
  <c r="W2210" i="4"/>
  <c r="Z2209" i="4"/>
  <c r="Y2209" i="4"/>
  <c r="X2209" i="4"/>
  <c r="W2209" i="4"/>
  <c r="Z2208" i="4"/>
  <c r="Y2208" i="4"/>
  <c r="X2208" i="4"/>
  <c r="W2208" i="4"/>
  <c r="Z2207" i="4"/>
  <c r="Y2207" i="4"/>
  <c r="X2207" i="4"/>
  <c r="W2207" i="4"/>
  <c r="Z2206" i="4"/>
  <c r="Y2206" i="4"/>
  <c r="X2206" i="4"/>
  <c r="W2206" i="4"/>
  <c r="Z2205" i="4"/>
  <c r="Y2205" i="4"/>
  <c r="X2205" i="4"/>
  <c r="W2205" i="4"/>
  <c r="Z2204" i="4"/>
  <c r="Y2204" i="4"/>
  <c r="X2204" i="4"/>
  <c r="W2204" i="4"/>
  <c r="Z2203" i="4"/>
  <c r="Y2203" i="4"/>
  <c r="X2203" i="4"/>
  <c r="W2203" i="4"/>
  <c r="Z2202" i="4"/>
  <c r="Y2202" i="4"/>
  <c r="X2202" i="4"/>
  <c r="W2202" i="4"/>
  <c r="Z2201" i="4"/>
  <c r="Y2201" i="4"/>
  <c r="X2201" i="4"/>
  <c r="W2201" i="4"/>
  <c r="Z2200" i="4"/>
  <c r="Y2200" i="4"/>
  <c r="X2200" i="4"/>
  <c r="W2200" i="4"/>
  <c r="Z2199" i="4"/>
  <c r="Y2199" i="4"/>
  <c r="X2199" i="4"/>
  <c r="W2199" i="4"/>
  <c r="Z2198" i="4"/>
  <c r="Y2198" i="4"/>
  <c r="X2198" i="4"/>
  <c r="W2198" i="4"/>
  <c r="Z2197" i="4"/>
  <c r="Y2197" i="4"/>
  <c r="X2197" i="4"/>
  <c r="W2197" i="4"/>
  <c r="Z2196" i="4"/>
  <c r="Y2196" i="4"/>
  <c r="X2196" i="4"/>
  <c r="W2196" i="4"/>
  <c r="Z2195" i="4"/>
  <c r="Y2195" i="4"/>
  <c r="X2195" i="4"/>
  <c r="W2195" i="4"/>
  <c r="Z2194" i="4"/>
  <c r="Y2194" i="4"/>
  <c r="X2194" i="4"/>
  <c r="W2194" i="4"/>
  <c r="Z2193" i="4"/>
  <c r="Y2193" i="4"/>
  <c r="X2193" i="4"/>
  <c r="W2193" i="4"/>
  <c r="Z2192" i="4"/>
  <c r="Y2192" i="4"/>
  <c r="X2192" i="4"/>
  <c r="W2192" i="4"/>
  <c r="Z2191" i="4"/>
  <c r="Y2191" i="4"/>
  <c r="X2191" i="4"/>
  <c r="W2191" i="4"/>
  <c r="Z2190" i="4"/>
  <c r="Y2190" i="4"/>
  <c r="X2190" i="4"/>
  <c r="W2190" i="4"/>
  <c r="Z2189" i="4"/>
  <c r="Y2189" i="4"/>
  <c r="X2189" i="4"/>
  <c r="W2189" i="4"/>
  <c r="Z2188" i="4"/>
  <c r="Y2188" i="4"/>
  <c r="X2188" i="4"/>
  <c r="W2188" i="4"/>
  <c r="Z2187" i="4"/>
  <c r="Y2187" i="4"/>
  <c r="X2187" i="4"/>
  <c r="W2187" i="4"/>
  <c r="Z2186" i="4"/>
  <c r="Y2186" i="4"/>
  <c r="X2186" i="4"/>
  <c r="W2186" i="4"/>
  <c r="Z2185" i="4"/>
  <c r="Y2185" i="4"/>
  <c r="X2185" i="4"/>
  <c r="W2185" i="4"/>
  <c r="Z2184" i="4"/>
  <c r="Y2184" i="4"/>
  <c r="X2184" i="4"/>
  <c r="W2184" i="4"/>
  <c r="Z2183" i="4"/>
  <c r="Y2183" i="4"/>
  <c r="X2183" i="4"/>
  <c r="W2183" i="4"/>
  <c r="Z2182" i="4"/>
  <c r="Y2182" i="4"/>
  <c r="X2182" i="4"/>
  <c r="W2182" i="4"/>
  <c r="Z2181" i="4"/>
  <c r="Y2181" i="4"/>
  <c r="X2181" i="4"/>
  <c r="W2181" i="4"/>
  <c r="Z2180" i="4"/>
  <c r="Y2180" i="4"/>
  <c r="X2180" i="4"/>
  <c r="W2180" i="4"/>
  <c r="Z2179" i="4"/>
  <c r="Y2179" i="4"/>
  <c r="X2179" i="4"/>
  <c r="W2179" i="4"/>
  <c r="Z2178" i="4"/>
  <c r="Y2178" i="4"/>
  <c r="X2178" i="4"/>
  <c r="W2178" i="4"/>
  <c r="Z2177" i="4"/>
  <c r="Y2177" i="4"/>
  <c r="X2177" i="4"/>
  <c r="W2177" i="4"/>
  <c r="Z2176" i="4"/>
  <c r="Y2176" i="4"/>
  <c r="X2176" i="4"/>
  <c r="W2176" i="4"/>
  <c r="Z2175" i="4"/>
  <c r="Y2175" i="4"/>
  <c r="X2175" i="4"/>
  <c r="W2175" i="4"/>
  <c r="Z2174" i="4"/>
  <c r="Y2174" i="4"/>
  <c r="X2174" i="4"/>
  <c r="W2174" i="4"/>
  <c r="Z2173" i="4"/>
  <c r="Y2173" i="4"/>
  <c r="X2173" i="4"/>
  <c r="W2173" i="4"/>
  <c r="Z2172" i="4"/>
  <c r="Y2172" i="4"/>
  <c r="X2172" i="4"/>
  <c r="W2172" i="4"/>
  <c r="Z2171" i="4"/>
  <c r="Y2171" i="4"/>
  <c r="X2171" i="4"/>
  <c r="W2171" i="4"/>
  <c r="Z2170" i="4"/>
  <c r="Y2170" i="4"/>
  <c r="X2170" i="4"/>
  <c r="W2170" i="4"/>
  <c r="Z2169" i="4"/>
  <c r="Y2169" i="4"/>
  <c r="X2169" i="4"/>
  <c r="W2169" i="4"/>
  <c r="Z2168" i="4"/>
  <c r="Y2168" i="4"/>
  <c r="X2168" i="4"/>
  <c r="W2168" i="4"/>
  <c r="Z2167" i="4"/>
  <c r="Y2167" i="4"/>
  <c r="X2167" i="4"/>
  <c r="W2167" i="4"/>
  <c r="Z2166" i="4"/>
  <c r="Y2166" i="4"/>
  <c r="X2166" i="4"/>
  <c r="W2166" i="4"/>
  <c r="Z2165" i="4"/>
  <c r="Y2165" i="4"/>
  <c r="X2165" i="4"/>
  <c r="W2165" i="4"/>
  <c r="Z2164" i="4"/>
  <c r="Y2164" i="4"/>
  <c r="X2164" i="4"/>
  <c r="W2164" i="4"/>
  <c r="Z2163" i="4"/>
  <c r="Y2163" i="4"/>
  <c r="X2163" i="4"/>
  <c r="W2163" i="4"/>
  <c r="Z2162" i="4"/>
  <c r="Y2162" i="4"/>
  <c r="X2162" i="4"/>
  <c r="W2162" i="4"/>
  <c r="Z2161" i="4"/>
  <c r="Y2161" i="4"/>
  <c r="X2161" i="4"/>
  <c r="W2161" i="4"/>
  <c r="Z2160" i="4"/>
  <c r="Y2160" i="4"/>
  <c r="X2160" i="4"/>
  <c r="W2160" i="4"/>
  <c r="Z2159" i="4"/>
  <c r="Y2159" i="4"/>
  <c r="X2159" i="4"/>
  <c r="W2159" i="4"/>
  <c r="Z2158" i="4"/>
  <c r="Y2158" i="4"/>
  <c r="X2158" i="4"/>
  <c r="W2158" i="4"/>
  <c r="Z2157" i="4"/>
  <c r="Y2157" i="4"/>
  <c r="X2157" i="4"/>
  <c r="W2157" i="4"/>
  <c r="Z2156" i="4"/>
  <c r="Y2156" i="4"/>
  <c r="X2156" i="4"/>
  <c r="W2156" i="4"/>
  <c r="Z2155" i="4"/>
  <c r="Y2155" i="4"/>
  <c r="X2155" i="4"/>
  <c r="W2155" i="4"/>
  <c r="Z2154" i="4"/>
  <c r="Y2154" i="4"/>
  <c r="X2154" i="4"/>
  <c r="W2154" i="4"/>
  <c r="Z2153" i="4"/>
  <c r="Y2153" i="4"/>
  <c r="X2153" i="4"/>
  <c r="W2153" i="4"/>
  <c r="Z2152" i="4"/>
  <c r="Y2152" i="4"/>
  <c r="X2152" i="4"/>
  <c r="W2152" i="4"/>
  <c r="Z2151" i="4"/>
  <c r="Y2151" i="4"/>
  <c r="X2151" i="4"/>
  <c r="W2151" i="4"/>
  <c r="Z2150" i="4"/>
  <c r="Y2150" i="4"/>
  <c r="X2150" i="4"/>
  <c r="W2150" i="4"/>
  <c r="Z2149" i="4"/>
  <c r="Y2149" i="4"/>
  <c r="X2149" i="4"/>
  <c r="W2149" i="4"/>
  <c r="Z2148" i="4"/>
  <c r="Y2148" i="4"/>
  <c r="X2148" i="4"/>
  <c r="W2148" i="4"/>
  <c r="Z2147" i="4"/>
  <c r="Y2147" i="4"/>
  <c r="X2147" i="4"/>
  <c r="W2147" i="4"/>
  <c r="Z2146" i="4"/>
  <c r="Y2146" i="4"/>
  <c r="X2146" i="4"/>
  <c r="W2146" i="4"/>
  <c r="Z2145" i="4"/>
  <c r="Y2145" i="4"/>
  <c r="X2145" i="4"/>
  <c r="W2145" i="4"/>
  <c r="Z2144" i="4"/>
  <c r="Y2144" i="4"/>
  <c r="X2144" i="4"/>
  <c r="W2144" i="4"/>
  <c r="Z2143" i="4"/>
  <c r="Y2143" i="4"/>
  <c r="X2143" i="4"/>
  <c r="W2143" i="4"/>
  <c r="Z2142" i="4"/>
  <c r="Y2142" i="4"/>
  <c r="X2142" i="4"/>
  <c r="W2142" i="4"/>
  <c r="Z2141" i="4"/>
  <c r="Y2141" i="4"/>
  <c r="X2141" i="4"/>
  <c r="W2141" i="4"/>
  <c r="Z2140" i="4"/>
  <c r="Y2140" i="4"/>
  <c r="X2140" i="4"/>
  <c r="W2140" i="4"/>
  <c r="Z2139" i="4"/>
  <c r="Y2139" i="4"/>
  <c r="X2139" i="4"/>
  <c r="W2139" i="4"/>
  <c r="Z2138" i="4"/>
  <c r="Y2138" i="4"/>
  <c r="X2138" i="4"/>
  <c r="W2138" i="4"/>
  <c r="Z2137" i="4"/>
  <c r="Y2137" i="4"/>
  <c r="X2137" i="4"/>
  <c r="W2137" i="4"/>
  <c r="Z2136" i="4"/>
  <c r="Y2136" i="4"/>
  <c r="X2136" i="4"/>
  <c r="W2136" i="4"/>
  <c r="Z2135" i="4"/>
  <c r="Y2135" i="4"/>
  <c r="X2135" i="4"/>
  <c r="W2135" i="4"/>
  <c r="Z2134" i="4"/>
  <c r="Y2134" i="4"/>
  <c r="X2134" i="4"/>
  <c r="W2134" i="4"/>
  <c r="Z2133" i="4"/>
  <c r="Y2133" i="4"/>
  <c r="X2133" i="4"/>
  <c r="W2133" i="4"/>
  <c r="Z2132" i="4"/>
  <c r="Y2132" i="4"/>
  <c r="X2132" i="4"/>
  <c r="W2132" i="4"/>
  <c r="Z2131" i="4"/>
  <c r="Y2131" i="4"/>
  <c r="X2131" i="4"/>
  <c r="W2131" i="4"/>
  <c r="Z2130" i="4"/>
  <c r="Y2130" i="4"/>
  <c r="X2130" i="4"/>
  <c r="W2130" i="4"/>
  <c r="Z2129" i="4"/>
  <c r="Y2129" i="4"/>
  <c r="X2129" i="4"/>
  <c r="W2129" i="4"/>
  <c r="Z2128" i="4"/>
  <c r="Y2128" i="4"/>
  <c r="X2128" i="4"/>
  <c r="W2128" i="4"/>
  <c r="Z2127" i="4"/>
  <c r="Y2127" i="4"/>
  <c r="X2127" i="4"/>
  <c r="W2127" i="4"/>
  <c r="Z2126" i="4"/>
  <c r="Y2126" i="4"/>
  <c r="X2126" i="4"/>
  <c r="W2126" i="4"/>
  <c r="Z2125" i="4"/>
  <c r="Y2125" i="4"/>
  <c r="X2125" i="4"/>
  <c r="W2125" i="4"/>
  <c r="Z2124" i="4"/>
  <c r="Y2124" i="4"/>
  <c r="X2124" i="4"/>
  <c r="W2124" i="4"/>
  <c r="Z2123" i="4"/>
  <c r="Y2123" i="4"/>
  <c r="X2123" i="4"/>
  <c r="W2123" i="4"/>
  <c r="Z2122" i="4"/>
  <c r="Y2122" i="4"/>
  <c r="X2122" i="4"/>
  <c r="W2122" i="4"/>
  <c r="Z2121" i="4"/>
  <c r="Y2121" i="4"/>
  <c r="X2121" i="4"/>
  <c r="W2121" i="4"/>
  <c r="Z2120" i="4"/>
  <c r="Y2120" i="4"/>
  <c r="X2120" i="4"/>
  <c r="W2120" i="4"/>
  <c r="Z2119" i="4"/>
  <c r="Y2119" i="4"/>
  <c r="X2119" i="4"/>
  <c r="W2119" i="4"/>
  <c r="Z2118" i="4"/>
  <c r="Y2118" i="4"/>
  <c r="X2118" i="4"/>
  <c r="W2118" i="4"/>
  <c r="Z2117" i="4"/>
  <c r="Y2117" i="4"/>
  <c r="X2117" i="4"/>
  <c r="W2117" i="4"/>
  <c r="Z2116" i="4"/>
  <c r="Y2116" i="4"/>
  <c r="X2116" i="4"/>
  <c r="W2116" i="4"/>
  <c r="Z2115" i="4"/>
  <c r="Y2115" i="4"/>
  <c r="X2115" i="4"/>
  <c r="W2115" i="4"/>
  <c r="Z2114" i="4"/>
  <c r="Y2114" i="4"/>
  <c r="X2114" i="4"/>
  <c r="W2114" i="4"/>
  <c r="Z2113" i="4"/>
  <c r="Y2113" i="4"/>
  <c r="X2113" i="4"/>
  <c r="W2113" i="4"/>
  <c r="Z2112" i="4"/>
  <c r="Y2112" i="4"/>
  <c r="X2112" i="4"/>
  <c r="W2112" i="4"/>
  <c r="Z2111" i="4"/>
  <c r="Y2111" i="4"/>
  <c r="X2111" i="4"/>
  <c r="W2111" i="4"/>
  <c r="Z2110" i="4"/>
  <c r="Y2110" i="4"/>
  <c r="X2110" i="4"/>
  <c r="W2110" i="4"/>
  <c r="Z2109" i="4"/>
  <c r="Y2109" i="4"/>
  <c r="X2109" i="4"/>
  <c r="W2109" i="4"/>
  <c r="Z2108" i="4"/>
  <c r="Y2108" i="4"/>
  <c r="X2108" i="4"/>
  <c r="W2108" i="4"/>
  <c r="Z2107" i="4"/>
  <c r="Y2107" i="4"/>
  <c r="X2107" i="4"/>
  <c r="W2107" i="4"/>
  <c r="Z2106" i="4"/>
  <c r="Y2106" i="4"/>
  <c r="X2106" i="4"/>
  <c r="W2106" i="4"/>
  <c r="Z2105" i="4"/>
  <c r="Y2105" i="4"/>
  <c r="X2105" i="4"/>
  <c r="W2105" i="4"/>
  <c r="Z2104" i="4"/>
  <c r="Y2104" i="4"/>
  <c r="X2104" i="4"/>
  <c r="W2104" i="4"/>
  <c r="Z2103" i="4"/>
  <c r="Y2103" i="4"/>
  <c r="X2103" i="4"/>
  <c r="W2103" i="4"/>
  <c r="Z2102" i="4"/>
  <c r="Y2102" i="4"/>
  <c r="X2102" i="4"/>
  <c r="W2102" i="4"/>
  <c r="Z2101" i="4"/>
  <c r="Y2101" i="4"/>
  <c r="X2101" i="4"/>
  <c r="W2101" i="4"/>
  <c r="Z2100" i="4"/>
  <c r="Y2100" i="4"/>
  <c r="X2100" i="4"/>
  <c r="W2100" i="4"/>
  <c r="Z2099" i="4"/>
  <c r="Y2099" i="4"/>
  <c r="X2099" i="4"/>
  <c r="W2099" i="4"/>
  <c r="Z2098" i="4"/>
  <c r="Y2098" i="4"/>
  <c r="X2098" i="4"/>
  <c r="W2098" i="4"/>
  <c r="Z2097" i="4"/>
  <c r="Y2097" i="4"/>
  <c r="X2097" i="4"/>
  <c r="W2097" i="4"/>
  <c r="Z2096" i="4"/>
  <c r="Y2096" i="4"/>
  <c r="X2096" i="4"/>
  <c r="W2096" i="4"/>
  <c r="Z2095" i="4"/>
  <c r="Y2095" i="4"/>
  <c r="X2095" i="4"/>
  <c r="W2095" i="4"/>
  <c r="Z2094" i="4"/>
  <c r="Y2094" i="4"/>
  <c r="X2094" i="4"/>
  <c r="W2094" i="4"/>
  <c r="Z2093" i="4"/>
  <c r="Y2093" i="4"/>
  <c r="X2093" i="4"/>
  <c r="W2093" i="4"/>
  <c r="Z2092" i="4"/>
  <c r="Y2092" i="4"/>
  <c r="X2092" i="4"/>
  <c r="W2092" i="4"/>
  <c r="Z2091" i="4"/>
  <c r="Y2091" i="4"/>
  <c r="X2091" i="4"/>
  <c r="W2091" i="4"/>
  <c r="Z2090" i="4"/>
  <c r="Y2090" i="4"/>
  <c r="X2090" i="4"/>
  <c r="W2090" i="4"/>
  <c r="Z2089" i="4"/>
  <c r="Y2089" i="4"/>
  <c r="X2089" i="4"/>
  <c r="W2089" i="4"/>
  <c r="Z2088" i="4"/>
  <c r="Y2088" i="4"/>
  <c r="X2088" i="4"/>
  <c r="W2088" i="4"/>
  <c r="Z2087" i="4"/>
  <c r="Y2087" i="4"/>
  <c r="X2087" i="4"/>
  <c r="W2087" i="4"/>
  <c r="Z2086" i="4"/>
  <c r="Y2086" i="4"/>
  <c r="X2086" i="4"/>
  <c r="W2086" i="4"/>
  <c r="Z2085" i="4"/>
  <c r="Y2085" i="4"/>
  <c r="X2085" i="4"/>
  <c r="W2085" i="4"/>
  <c r="Z2084" i="4"/>
  <c r="Y2084" i="4"/>
  <c r="X2084" i="4"/>
  <c r="W2084" i="4"/>
  <c r="Z2083" i="4"/>
  <c r="Y2083" i="4"/>
  <c r="X2083" i="4"/>
  <c r="W2083" i="4"/>
  <c r="Z2082" i="4"/>
  <c r="Y2082" i="4"/>
  <c r="X2082" i="4"/>
  <c r="W2082" i="4"/>
  <c r="Z2081" i="4"/>
  <c r="Y2081" i="4"/>
  <c r="X2081" i="4"/>
  <c r="W2081" i="4"/>
  <c r="Z2080" i="4"/>
  <c r="Y2080" i="4"/>
  <c r="X2080" i="4"/>
  <c r="W2080" i="4"/>
  <c r="Z2079" i="4"/>
  <c r="Y2079" i="4"/>
  <c r="X2079" i="4"/>
  <c r="W2079" i="4"/>
  <c r="Z2078" i="4"/>
  <c r="Y2078" i="4"/>
  <c r="X2078" i="4"/>
  <c r="W2078" i="4"/>
  <c r="Z2077" i="4"/>
  <c r="Y2077" i="4"/>
  <c r="X2077" i="4"/>
  <c r="W2077" i="4"/>
  <c r="Z2076" i="4"/>
  <c r="Y2076" i="4"/>
  <c r="X2076" i="4"/>
  <c r="W2076" i="4"/>
  <c r="Z2075" i="4"/>
  <c r="Y2075" i="4"/>
  <c r="X2075" i="4"/>
  <c r="W2075" i="4"/>
  <c r="Z2074" i="4"/>
  <c r="Y2074" i="4"/>
  <c r="X2074" i="4"/>
  <c r="W2074" i="4"/>
  <c r="Z2073" i="4"/>
  <c r="Y2073" i="4"/>
  <c r="X2073" i="4"/>
  <c r="W2073" i="4"/>
  <c r="Z2072" i="4"/>
  <c r="Y2072" i="4"/>
  <c r="X2072" i="4"/>
  <c r="W2072" i="4"/>
  <c r="Z2071" i="4"/>
  <c r="Y2071" i="4"/>
  <c r="X2071" i="4"/>
  <c r="W2071" i="4"/>
  <c r="Z2070" i="4"/>
  <c r="Y2070" i="4"/>
  <c r="X2070" i="4"/>
  <c r="W2070" i="4"/>
  <c r="Z2069" i="4"/>
  <c r="Y2069" i="4"/>
  <c r="X2069" i="4"/>
  <c r="W2069" i="4"/>
  <c r="Z2068" i="4"/>
  <c r="Y2068" i="4"/>
  <c r="X2068" i="4"/>
  <c r="W2068" i="4"/>
  <c r="Z2067" i="4"/>
  <c r="Y2067" i="4"/>
  <c r="X2067" i="4"/>
  <c r="W2067" i="4"/>
  <c r="Z2066" i="4"/>
  <c r="Y2066" i="4"/>
  <c r="X2066" i="4"/>
  <c r="W2066" i="4"/>
  <c r="Z2065" i="4"/>
  <c r="Y2065" i="4"/>
  <c r="X2065" i="4"/>
  <c r="W2065" i="4"/>
  <c r="Z2064" i="4"/>
  <c r="Y2064" i="4"/>
  <c r="X2064" i="4"/>
  <c r="W2064" i="4"/>
  <c r="Z2063" i="4"/>
  <c r="Y2063" i="4"/>
  <c r="X2063" i="4"/>
  <c r="W2063" i="4"/>
  <c r="Z2062" i="4"/>
  <c r="Y2062" i="4"/>
  <c r="X2062" i="4"/>
  <c r="W2062" i="4"/>
  <c r="Z2061" i="4"/>
  <c r="Y2061" i="4"/>
  <c r="X2061" i="4"/>
  <c r="W2061" i="4"/>
  <c r="Z2060" i="4"/>
  <c r="Y2060" i="4"/>
  <c r="X2060" i="4"/>
  <c r="W2060" i="4"/>
  <c r="Z2059" i="4"/>
  <c r="Y2059" i="4"/>
  <c r="X2059" i="4"/>
  <c r="W2059" i="4"/>
  <c r="Z2058" i="4"/>
  <c r="Y2058" i="4"/>
  <c r="X2058" i="4"/>
  <c r="W2058" i="4"/>
  <c r="Z2057" i="4"/>
  <c r="Y2057" i="4"/>
  <c r="X2057" i="4"/>
  <c r="W2057" i="4"/>
  <c r="Z2056" i="4"/>
  <c r="Y2056" i="4"/>
  <c r="X2056" i="4"/>
  <c r="W2056" i="4"/>
  <c r="Z2055" i="4"/>
  <c r="Y2055" i="4"/>
  <c r="X2055" i="4"/>
  <c r="W2055" i="4"/>
  <c r="Z2054" i="4"/>
  <c r="Y2054" i="4"/>
  <c r="X2054" i="4"/>
  <c r="W2054" i="4"/>
  <c r="Z2053" i="4"/>
  <c r="Y2053" i="4"/>
  <c r="X2053" i="4"/>
  <c r="W2053" i="4"/>
  <c r="Z2052" i="4"/>
  <c r="Y2052" i="4"/>
  <c r="X2052" i="4"/>
  <c r="W2052" i="4"/>
  <c r="Z2051" i="4"/>
  <c r="Y2051" i="4"/>
  <c r="X2051" i="4"/>
  <c r="W2051" i="4"/>
  <c r="Z2050" i="4"/>
  <c r="Y2050" i="4"/>
  <c r="X2050" i="4"/>
  <c r="W2050" i="4"/>
  <c r="Z2049" i="4"/>
  <c r="Y2049" i="4"/>
  <c r="X2049" i="4"/>
  <c r="W2049" i="4"/>
  <c r="Z2048" i="4"/>
  <c r="Y2048" i="4"/>
  <c r="X2048" i="4"/>
  <c r="W2048" i="4"/>
  <c r="Z2047" i="4"/>
  <c r="Y2047" i="4"/>
  <c r="X2047" i="4"/>
  <c r="W2047" i="4"/>
  <c r="Z2046" i="4"/>
  <c r="Y2046" i="4"/>
  <c r="X2046" i="4"/>
  <c r="W2046" i="4"/>
  <c r="Z2045" i="4"/>
  <c r="Y2045" i="4"/>
  <c r="X2045" i="4"/>
  <c r="W2045" i="4"/>
  <c r="Z2044" i="4"/>
  <c r="Y2044" i="4"/>
  <c r="X2044" i="4"/>
  <c r="W2044" i="4"/>
  <c r="Z2043" i="4"/>
  <c r="Y2043" i="4"/>
  <c r="X2043" i="4"/>
  <c r="W2043" i="4"/>
  <c r="Z2042" i="4"/>
  <c r="Y2042" i="4"/>
  <c r="X2042" i="4"/>
  <c r="W2042" i="4"/>
  <c r="Z2041" i="4"/>
  <c r="Y2041" i="4"/>
  <c r="X2041" i="4"/>
  <c r="W2041" i="4"/>
  <c r="Z2040" i="4"/>
  <c r="Y2040" i="4"/>
  <c r="X2040" i="4"/>
  <c r="W2040" i="4"/>
  <c r="Z2039" i="4"/>
  <c r="Y2039" i="4"/>
  <c r="X2039" i="4"/>
  <c r="W2039" i="4"/>
  <c r="Z2038" i="4"/>
  <c r="Y2038" i="4"/>
  <c r="X2038" i="4"/>
  <c r="W2038" i="4"/>
  <c r="Z2037" i="4"/>
  <c r="Y2037" i="4"/>
  <c r="X2037" i="4"/>
  <c r="W2037" i="4"/>
  <c r="Z2036" i="4"/>
  <c r="Y2036" i="4"/>
  <c r="X2036" i="4"/>
  <c r="W2036" i="4"/>
  <c r="Z2035" i="4"/>
  <c r="Y2035" i="4"/>
  <c r="X2035" i="4"/>
  <c r="W2035" i="4"/>
  <c r="Z2034" i="4"/>
  <c r="Y2034" i="4"/>
  <c r="X2034" i="4"/>
  <c r="W2034" i="4"/>
  <c r="Z2033" i="4"/>
  <c r="Y2033" i="4"/>
  <c r="X2033" i="4"/>
  <c r="W2033" i="4"/>
  <c r="Z2032" i="4"/>
  <c r="Y2032" i="4"/>
  <c r="X2032" i="4"/>
  <c r="W2032" i="4"/>
  <c r="Z2031" i="4"/>
  <c r="Y2031" i="4"/>
  <c r="X2031" i="4"/>
  <c r="W2031" i="4"/>
  <c r="Z2030" i="4"/>
  <c r="Y2030" i="4"/>
  <c r="X2030" i="4"/>
  <c r="W2030" i="4"/>
  <c r="Z2029" i="4"/>
  <c r="Y2029" i="4"/>
  <c r="X2029" i="4"/>
  <c r="W2029" i="4"/>
  <c r="Z2028" i="4"/>
  <c r="Y2028" i="4"/>
  <c r="X2028" i="4"/>
  <c r="W2028" i="4"/>
  <c r="Z2027" i="4"/>
  <c r="Y2027" i="4"/>
  <c r="X2027" i="4"/>
  <c r="W2027" i="4"/>
  <c r="Z2026" i="4"/>
  <c r="Y2026" i="4"/>
  <c r="X2026" i="4"/>
  <c r="W2026" i="4"/>
  <c r="Z2025" i="4"/>
  <c r="Y2025" i="4"/>
  <c r="X2025" i="4"/>
  <c r="W2025" i="4"/>
  <c r="Z2024" i="4"/>
  <c r="Y2024" i="4"/>
  <c r="X2024" i="4"/>
  <c r="W2024" i="4"/>
  <c r="Z2023" i="4"/>
  <c r="Y2023" i="4"/>
  <c r="X2023" i="4"/>
  <c r="W2023" i="4"/>
  <c r="Z2022" i="4"/>
  <c r="Y2022" i="4"/>
  <c r="X2022" i="4"/>
  <c r="W2022" i="4"/>
  <c r="Z2021" i="4"/>
  <c r="Y2021" i="4"/>
  <c r="X2021" i="4"/>
  <c r="W2021" i="4"/>
  <c r="Z2020" i="4"/>
  <c r="Y2020" i="4"/>
  <c r="X2020" i="4"/>
  <c r="W2020" i="4"/>
  <c r="Z2019" i="4"/>
  <c r="Y2019" i="4"/>
  <c r="X2019" i="4"/>
  <c r="W2019" i="4"/>
  <c r="Z2018" i="4"/>
  <c r="Y2018" i="4"/>
  <c r="X2018" i="4"/>
  <c r="W2018" i="4"/>
  <c r="Z2017" i="4"/>
  <c r="Y2017" i="4"/>
  <c r="X2017" i="4"/>
  <c r="W2017" i="4"/>
  <c r="Z2016" i="4"/>
  <c r="Y2016" i="4"/>
  <c r="X2016" i="4"/>
  <c r="W2016" i="4"/>
  <c r="Z2015" i="4"/>
  <c r="Y2015" i="4"/>
  <c r="X2015" i="4"/>
  <c r="W2015" i="4"/>
  <c r="Z2014" i="4"/>
  <c r="Y2014" i="4"/>
  <c r="X2014" i="4"/>
  <c r="W2014" i="4"/>
  <c r="Z2013" i="4"/>
  <c r="Y2013" i="4"/>
  <c r="X2013" i="4"/>
  <c r="W2013" i="4"/>
  <c r="Z2012" i="4"/>
  <c r="Y2012" i="4"/>
  <c r="X2012" i="4"/>
  <c r="W2012" i="4"/>
  <c r="Z2011" i="4"/>
  <c r="Y2011" i="4"/>
  <c r="X2011" i="4"/>
  <c r="W2011" i="4"/>
  <c r="Z2010" i="4"/>
  <c r="Y2010" i="4"/>
  <c r="X2010" i="4"/>
  <c r="W2010" i="4"/>
  <c r="Z2009" i="4"/>
  <c r="Y2009" i="4"/>
  <c r="X2009" i="4"/>
  <c r="W2009" i="4"/>
  <c r="Z2008" i="4"/>
  <c r="Y2008" i="4"/>
  <c r="X2008" i="4"/>
  <c r="W2008" i="4"/>
  <c r="Z2007" i="4"/>
  <c r="Y2007" i="4"/>
  <c r="X2007" i="4"/>
  <c r="W2007" i="4"/>
  <c r="Z2006" i="4"/>
  <c r="Y2006" i="4"/>
  <c r="X2006" i="4"/>
  <c r="W2006" i="4"/>
  <c r="Z2005" i="4"/>
  <c r="Y2005" i="4"/>
  <c r="X2005" i="4"/>
  <c r="W2005" i="4"/>
  <c r="Z2004" i="4"/>
  <c r="Y2004" i="4"/>
  <c r="X2004" i="4"/>
  <c r="W2004" i="4"/>
  <c r="Z2003" i="4"/>
  <c r="Y2003" i="4"/>
  <c r="X2003" i="4"/>
  <c r="W2003" i="4"/>
  <c r="Z2002" i="4"/>
  <c r="Y2002" i="4"/>
  <c r="X2002" i="4"/>
  <c r="W2002" i="4"/>
  <c r="O2002" i="4"/>
  <c r="N2002" i="4"/>
  <c r="M2002" i="4"/>
  <c r="H2002" i="4"/>
  <c r="D2002" i="4"/>
  <c r="Z2001" i="4"/>
  <c r="Y2001" i="4"/>
  <c r="X2001" i="4"/>
  <c r="W2001" i="4"/>
  <c r="H2001" i="4"/>
  <c r="Z2000" i="4"/>
  <c r="Y2000" i="4"/>
  <c r="X2000" i="4"/>
  <c r="W2000" i="4"/>
  <c r="H2000" i="4"/>
  <c r="Z1999" i="4"/>
  <c r="Y1999" i="4"/>
  <c r="X1999" i="4"/>
  <c r="W1999" i="4"/>
  <c r="H1999" i="4"/>
  <c r="Z1998" i="4"/>
  <c r="Y1998" i="4"/>
  <c r="X1998" i="4"/>
  <c r="W1998" i="4"/>
  <c r="H1998" i="4"/>
  <c r="Z1997" i="4"/>
  <c r="Y1997" i="4"/>
  <c r="X1997" i="4"/>
  <c r="W1997" i="4"/>
  <c r="H1997" i="4"/>
  <c r="Z1996" i="4"/>
  <c r="Y1996" i="4"/>
  <c r="X1996" i="4"/>
  <c r="W1996" i="4"/>
  <c r="H1996" i="4"/>
  <c r="Z1995" i="4"/>
  <c r="Y1995" i="4"/>
  <c r="X1995" i="4"/>
  <c r="W1995" i="4"/>
  <c r="H1995" i="4"/>
  <c r="Z1994" i="4"/>
  <c r="Y1994" i="4"/>
  <c r="X1994" i="4"/>
  <c r="W1994" i="4"/>
  <c r="H1994" i="4"/>
  <c r="Z1993" i="4"/>
  <c r="Y1993" i="4"/>
  <c r="X1993" i="4"/>
  <c r="W1993" i="4"/>
  <c r="H1993" i="4"/>
  <c r="Z1992" i="4"/>
  <c r="Y1992" i="4"/>
  <c r="X1992" i="4"/>
  <c r="W1992" i="4"/>
  <c r="H1992" i="4"/>
  <c r="Z1991" i="4"/>
  <c r="Y1991" i="4"/>
  <c r="X1991" i="4"/>
  <c r="W1991" i="4"/>
  <c r="H1991" i="4"/>
  <c r="Z1990" i="4"/>
  <c r="Y1990" i="4"/>
  <c r="X1990" i="4"/>
  <c r="W1990" i="4"/>
  <c r="H1990" i="4"/>
  <c r="Z1989" i="4"/>
  <c r="Y1989" i="4"/>
  <c r="X1989" i="4"/>
  <c r="W1989" i="4"/>
  <c r="H1989" i="4"/>
  <c r="Z1988" i="4"/>
  <c r="Y1988" i="4"/>
  <c r="X1988" i="4"/>
  <c r="W1988" i="4"/>
  <c r="H1988" i="4"/>
  <c r="Z1987" i="4"/>
  <c r="Y1987" i="4"/>
  <c r="X1987" i="4"/>
  <c r="W1987" i="4"/>
  <c r="H1987" i="4"/>
  <c r="Z1986" i="4"/>
  <c r="Y1986" i="4"/>
  <c r="X1986" i="4"/>
  <c r="W1986" i="4"/>
  <c r="H1986" i="4"/>
  <c r="Z1985" i="4"/>
  <c r="Y1985" i="4"/>
  <c r="X1985" i="4"/>
  <c r="W1985" i="4"/>
  <c r="H1985" i="4"/>
  <c r="Z1984" i="4"/>
  <c r="Y1984" i="4"/>
  <c r="X1984" i="4"/>
  <c r="W1984" i="4"/>
  <c r="H1984" i="4"/>
  <c r="Z1983" i="4"/>
  <c r="Y1983" i="4"/>
  <c r="X1983" i="4"/>
  <c r="W1983" i="4"/>
  <c r="H1983" i="4"/>
  <c r="Z1982" i="4"/>
  <c r="Y1982" i="4"/>
  <c r="X1982" i="4"/>
  <c r="W1982" i="4"/>
  <c r="H1982" i="4"/>
  <c r="Z1981" i="4"/>
  <c r="Y1981" i="4"/>
  <c r="X1981" i="4"/>
  <c r="W1981" i="4"/>
  <c r="H1981" i="4"/>
  <c r="Z1980" i="4"/>
  <c r="Y1980" i="4"/>
  <c r="X1980" i="4"/>
  <c r="W1980" i="4"/>
  <c r="H1980" i="4"/>
  <c r="Z1979" i="4"/>
  <c r="Y1979" i="4"/>
  <c r="X1979" i="4"/>
  <c r="W1979" i="4"/>
  <c r="H1979" i="4"/>
  <c r="Z1978" i="4"/>
  <c r="Y1978" i="4"/>
  <c r="X1978" i="4"/>
  <c r="W1978" i="4"/>
  <c r="H1978" i="4"/>
  <c r="Z1977" i="4"/>
  <c r="Y1977" i="4"/>
  <c r="X1977" i="4"/>
  <c r="W1977" i="4"/>
  <c r="H1977" i="4"/>
  <c r="Z1976" i="4"/>
  <c r="Y1976" i="4"/>
  <c r="X1976" i="4"/>
  <c r="W1976" i="4"/>
  <c r="H1976" i="4"/>
  <c r="Z1975" i="4"/>
  <c r="Y1975" i="4"/>
  <c r="X1975" i="4"/>
  <c r="W1975" i="4"/>
  <c r="H1975" i="4"/>
  <c r="Z1974" i="4"/>
  <c r="Y1974" i="4"/>
  <c r="X1974" i="4"/>
  <c r="W1974" i="4"/>
  <c r="H1974" i="4"/>
  <c r="Z1973" i="4"/>
  <c r="Y1973" i="4"/>
  <c r="X1973" i="4"/>
  <c r="W1973" i="4"/>
  <c r="H1973" i="4"/>
  <c r="Z1972" i="4"/>
  <c r="Y1972" i="4"/>
  <c r="X1972" i="4"/>
  <c r="W1972" i="4"/>
  <c r="H1972" i="4"/>
  <c r="Z1971" i="4"/>
  <c r="Y1971" i="4"/>
  <c r="X1971" i="4"/>
  <c r="W1971" i="4"/>
  <c r="H1971" i="4"/>
  <c r="Z1970" i="4"/>
  <c r="Y1970" i="4"/>
  <c r="X1970" i="4"/>
  <c r="W1970" i="4"/>
  <c r="H1970" i="4"/>
  <c r="Z1969" i="4"/>
  <c r="Y1969" i="4"/>
  <c r="X1969" i="4"/>
  <c r="W1969" i="4"/>
  <c r="H1969" i="4"/>
  <c r="Z1968" i="4"/>
  <c r="Y1968" i="4"/>
  <c r="X1968" i="4"/>
  <c r="W1968" i="4"/>
  <c r="H1968" i="4"/>
  <c r="Z1967" i="4"/>
  <c r="Y1967" i="4"/>
  <c r="X1967" i="4"/>
  <c r="W1967" i="4"/>
  <c r="H1967" i="4"/>
  <c r="Z1966" i="4"/>
  <c r="Y1966" i="4"/>
  <c r="X1966" i="4"/>
  <c r="W1966" i="4"/>
  <c r="H1966" i="4"/>
  <c r="Z1965" i="4"/>
  <c r="Y1965" i="4"/>
  <c r="X1965" i="4"/>
  <c r="W1965" i="4"/>
  <c r="H1965" i="4"/>
  <c r="Z1964" i="4"/>
  <c r="Y1964" i="4"/>
  <c r="X1964" i="4"/>
  <c r="W1964" i="4"/>
  <c r="H1964" i="4"/>
  <c r="Z1963" i="4"/>
  <c r="Y1963" i="4"/>
  <c r="X1963" i="4"/>
  <c r="W1963" i="4"/>
  <c r="H1963" i="4"/>
  <c r="Z1962" i="4"/>
  <c r="Y1962" i="4"/>
  <c r="X1962" i="4"/>
  <c r="W1962" i="4"/>
  <c r="H1962" i="4"/>
  <c r="Z1961" i="4"/>
  <c r="Y1961" i="4"/>
  <c r="X1961" i="4"/>
  <c r="W1961" i="4"/>
  <c r="H1961" i="4"/>
  <c r="Z1960" i="4"/>
  <c r="Y1960" i="4"/>
  <c r="X1960" i="4"/>
  <c r="W1960" i="4"/>
  <c r="H1960" i="4"/>
  <c r="Z1959" i="4"/>
  <c r="Y1959" i="4"/>
  <c r="X1959" i="4"/>
  <c r="W1959" i="4"/>
  <c r="H1959" i="4"/>
  <c r="Z1958" i="4"/>
  <c r="Y1958" i="4"/>
  <c r="X1958" i="4"/>
  <c r="W1958" i="4"/>
  <c r="H1958" i="4"/>
  <c r="Z1957" i="4"/>
  <c r="Y1957" i="4"/>
  <c r="X1957" i="4"/>
  <c r="W1957" i="4"/>
  <c r="H1957" i="4"/>
  <c r="Z1956" i="4"/>
  <c r="Y1956" i="4"/>
  <c r="X1956" i="4"/>
  <c r="W1956" i="4"/>
  <c r="H1956" i="4"/>
  <c r="Z1955" i="4"/>
  <c r="Y1955" i="4"/>
  <c r="X1955" i="4"/>
  <c r="W1955" i="4"/>
  <c r="H1955" i="4"/>
  <c r="Z1954" i="4"/>
  <c r="Y1954" i="4"/>
  <c r="X1954" i="4"/>
  <c r="W1954" i="4"/>
  <c r="H1954" i="4"/>
  <c r="Z1953" i="4"/>
  <c r="Y1953" i="4"/>
  <c r="X1953" i="4"/>
  <c r="W1953" i="4"/>
  <c r="H1953" i="4"/>
  <c r="Z1952" i="4"/>
  <c r="Y1952" i="4"/>
  <c r="X1952" i="4"/>
  <c r="W1952" i="4"/>
  <c r="H1952" i="4"/>
  <c r="Z1951" i="4"/>
  <c r="Y1951" i="4"/>
  <c r="X1951" i="4"/>
  <c r="W1951" i="4"/>
  <c r="H1951" i="4"/>
  <c r="Z1950" i="4"/>
  <c r="Y1950" i="4"/>
  <c r="X1950" i="4"/>
  <c r="W1950" i="4"/>
  <c r="H1950" i="4"/>
  <c r="Z1949" i="4"/>
  <c r="Y1949" i="4"/>
  <c r="X1949" i="4"/>
  <c r="W1949" i="4"/>
  <c r="H1949" i="4"/>
  <c r="Z1948" i="4"/>
  <c r="Y1948" i="4"/>
  <c r="X1948" i="4"/>
  <c r="W1948" i="4"/>
  <c r="H1948" i="4"/>
  <c r="Z1947" i="4"/>
  <c r="Y1947" i="4"/>
  <c r="X1947" i="4"/>
  <c r="W1947" i="4"/>
  <c r="H1947" i="4"/>
  <c r="Z1946" i="4"/>
  <c r="Y1946" i="4"/>
  <c r="X1946" i="4"/>
  <c r="W1946" i="4"/>
  <c r="H1946" i="4"/>
  <c r="Z1945" i="4"/>
  <c r="Y1945" i="4"/>
  <c r="X1945" i="4"/>
  <c r="W1945" i="4"/>
  <c r="H1945" i="4"/>
  <c r="Z1944" i="4"/>
  <c r="Y1944" i="4"/>
  <c r="X1944" i="4"/>
  <c r="W1944" i="4"/>
  <c r="H1944" i="4"/>
  <c r="Z1943" i="4"/>
  <c r="Y1943" i="4"/>
  <c r="X1943" i="4"/>
  <c r="W1943" i="4"/>
  <c r="H1943" i="4"/>
  <c r="Z1942" i="4"/>
  <c r="Y1942" i="4"/>
  <c r="X1942" i="4"/>
  <c r="W1942" i="4"/>
  <c r="H1942" i="4"/>
  <c r="Z1941" i="4"/>
  <c r="Y1941" i="4"/>
  <c r="X1941" i="4"/>
  <c r="W1941" i="4"/>
  <c r="H1941" i="4"/>
  <c r="Z1940" i="4"/>
  <c r="Y1940" i="4"/>
  <c r="X1940" i="4"/>
  <c r="W1940" i="4"/>
  <c r="H1940" i="4"/>
  <c r="Z1939" i="4"/>
  <c r="Y1939" i="4"/>
  <c r="X1939" i="4"/>
  <c r="W1939" i="4"/>
  <c r="H1939" i="4"/>
  <c r="Z1938" i="4"/>
  <c r="Y1938" i="4"/>
  <c r="X1938" i="4"/>
  <c r="W1938" i="4"/>
  <c r="H1938" i="4"/>
  <c r="Z1937" i="4"/>
  <c r="Y1937" i="4"/>
  <c r="X1937" i="4"/>
  <c r="W1937" i="4"/>
  <c r="H1937" i="4"/>
  <c r="Z1936" i="4"/>
  <c r="Y1936" i="4"/>
  <c r="X1936" i="4"/>
  <c r="W1936" i="4"/>
  <c r="H1936" i="4"/>
  <c r="Z1935" i="4"/>
  <c r="Y1935" i="4"/>
  <c r="X1935" i="4"/>
  <c r="W1935" i="4"/>
  <c r="H1935" i="4"/>
  <c r="Z1934" i="4"/>
  <c r="Y1934" i="4"/>
  <c r="X1934" i="4"/>
  <c r="W1934" i="4"/>
  <c r="H1934" i="4"/>
  <c r="Z1933" i="4"/>
  <c r="Y1933" i="4"/>
  <c r="X1933" i="4"/>
  <c r="W1933" i="4"/>
  <c r="H1933" i="4"/>
  <c r="Z1932" i="4"/>
  <c r="Y1932" i="4"/>
  <c r="X1932" i="4"/>
  <c r="W1932" i="4"/>
  <c r="H1932" i="4"/>
  <c r="Z1931" i="4"/>
  <c r="Y1931" i="4"/>
  <c r="X1931" i="4"/>
  <c r="W1931" i="4"/>
  <c r="H1931" i="4"/>
  <c r="Z1930" i="4"/>
  <c r="Y1930" i="4"/>
  <c r="X1930" i="4"/>
  <c r="W1930" i="4"/>
  <c r="H1930" i="4"/>
  <c r="Z1929" i="4"/>
  <c r="Y1929" i="4"/>
  <c r="X1929" i="4"/>
  <c r="W1929" i="4"/>
  <c r="H1929" i="4"/>
  <c r="Z1928" i="4"/>
  <c r="Y1928" i="4"/>
  <c r="X1928" i="4"/>
  <c r="W1928" i="4"/>
  <c r="H1928" i="4"/>
  <c r="Z1927" i="4"/>
  <c r="Y1927" i="4"/>
  <c r="X1927" i="4"/>
  <c r="W1927" i="4"/>
  <c r="H1927" i="4"/>
  <c r="Z1926" i="4"/>
  <c r="Y1926" i="4"/>
  <c r="X1926" i="4"/>
  <c r="W1926" i="4"/>
  <c r="H1926" i="4"/>
  <c r="Z1925" i="4"/>
  <c r="Y1925" i="4"/>
  <c r="X1925" i="4"/>
  <c r="W1925" i="4"/>
  <c r="H1925" i="4"/>
  <c r="Z1924" i="4"/>
  <c r="Y1924" i="4"/>
  <c r="X1924" i="4"/>
  <c r="W1924" i="4"/>
  <c r="H1924" i="4"/>
  <c r="Z1923" i="4"/>
  <c r="Y1923" i="4"/>
  <c r="X1923" i="4"/>
  <c r="W1923" i="4"/>
  <c r="H1923" i="4"/>
  <c r="Z1922" i="4"/>
  <c r="Y1922" i="4"/>
  <c r="X1922" i="4"/>
  <c r="W1922" i="4"/>
  <c r="H1922" i="4"/>
  <c r="Z1921" i="4"/>
  <c r="Y1921" i="4"/>
  <c r="X1921" i="4"/>
  <c r="W1921" i="4"/>
  <c r="H1921" i="4"/>
  <c r="Z1920" i="4"/>
  <c r="Y1920" i="4"/>
  <c r="X1920" i="4"/>
  <c r="W1920" i="4"/>
  <c r="H1920" i="4"/>
  <c r="Z1919" i="4"/>
  <c r="Y1919" i="4"/>
  <c r="X1919" i="4"/>
  <c r="W1919" i="4"/>
  <c r="H1919" i="4"/>
  <c r="Z1918" i="4"/>
  <c r="Y1918" i="4"/>
  <c r="X1918" i="4"/>
  <c r="W1918" i="4"/>
  <c r="H1918" i="4"/>
  <c r="Z1917" i="4"/>
  <c r="Y1917" i="4"/>
  <c r="X1917" i="4"/>
  <c r="W1917" i="4"/>
  <c r="H1917" i="4"/>
  <c r="Z1916" i="4"/>
  <c r="Y1916" i="4"/>
  <c r="X1916" i="4"/>
  <c r="W1916" i="4"/>
  <c r="H1916" i="4"/>
  <c r="Z1915" i="4"/>
  <c r="Y1915" i="4"/>
  <c r="X1915" i="4"/>
  <c r="W1915" i="4"/>
  <c r="H1915" i="4"/>
  <c r="Z1914" i="4"/>
  <c r="Y1914" i="4"/>
  <c r="X1914" i="4"/>
  <c r="W1914" i="4"/>
  <c r="H1914" i="4"/>
  <c r="Z1913" i="4"/>
  <c r="Y1913" i="4"/>
  <c r="X1913" i="4"/>
  <c r="W1913" i="4"/>
  <c r="H1913" i="4"/>
  <c r="Z1912" i="4"/>
  <c r="Y1912" i="4"/>
  <c r="X1912" i="4"/>
  <c r="W1912" i="4"/>
  <c r="H1912" i="4"/>
  <c r="Z1911" i="4"/>
  <c r="Y1911" i="4"/>
  <c r="X1911" i="4"/>
  <c r="W1911" i="4"/>
  <c r="H1911" i="4"/>
  <c r="Z1910" i="4"/>
  <c r="Y1910" i="4"/>
  <c r="X1910" i="4"/>
  <c r="W1910" i="4"/>
  <c r="H1910" i="4"/>
  <c r="Z1909" i="4"/>
  <c r="Y1909" i="4"/>
  <c r="X1909" i="4"/>
  <c r="W1909" i="4"/>
  <c r="H1909" i="4"/>
  <c r="Z1908" i="4"/>
  <c r="Y1908" i="4"/>
  <c r="X1908" i="4"/>
  <c r="W1908" i="4"/>
  <c r="H1908" i="4"/>
  <c r="Z1907" i="4"/>
  <c r="Y1907" i="4"/>
  <c r="X1907" i="4"/>
  <c r="W1907" i="4"/>
  <c r="H1907" i="4"/>
  <c r="Z1906" i="4"/>
  <c r="Y1906" i="4"/>
  <c r="X1906" i="4"/>
  <c r="W1906" i="4"/>
  <c r="H1906" i="4"/>
  <c r="Z1905" i="4"/>
  <c r="Y1905" i="4"/>
  <c r="X1905" i="4"/>
  <c r="W1905" i="4"/>
  <c r="H1905" i="4"/>
  <c r="Z1904" i="4"/>
  <c r="Y1904" i="4"/>
  <c r="X1904" i="4"/>
  <c r="W1904" i="4"/>
  <c r="H1904" i="4"/>
  <c r="Z1903" i="4"/>
  <c r="Y1903" i="4"/>
  <c r="X1903" i="4"/>
  <c r="W1903" i="4"/>
  <c r="H1903" i="4"/>
  <c r="Z1902" i="4"/>
  <c r="Y1902" i="4"/>
  <c r="X1902" i="4"/>
  <c r="W1902" i="4"/>
  <c r="H1902" i="4"/>
  <c r="Z1901" i="4"/>
  <c r="Y1901" i="4"/>
  <c r="X1901" i="4"/>
  <c r="W1901" i="4"/>
  <c r="H1901" i="4"/>
  <c r="Z1900" i="4"/>
  <c r="Y1900" i="4"/>
  <c r="X1900" i="4"/>
  <c r="W1900" i="4"/>
  <c r="H1900" i="4"/>
  <c r="Z1899" i="4"/>
  <c r="Y1899" i="4"/>
  <c r="X1899" i="4"/>
  <c r="W1899" i="4"/>
  <c r="H1899" i="4"/>
  <c r="Z1898" i="4"/>
  <c r="Y1898" i="4"/>
  <c r="X1898" i="4"/>
  <c r="W1898" i="4"/>
  <c r="H1898" i="4"/>
  <c r="Z1897" i="4"/>
  <c r="Y1897" i="4"/>
  <c r="X1897" i="4"/>
  <c r="W1897" i="4"/>
  <c r="H1897" i="4"/>
  <c r="Z1896" i="4"/>
  <c r="Y1896" i="4"/>
  <c r="X1896" i="4"/>
  <c r="W1896" i="4"/>
  <c r="H1896" i="4"/>
  <c r="Z1895" i="4"/>
  <c r="Y1895" i="4"/>
  <c r="X1895" i="4"/>
  <c r="W1895" i="4"/>
  <c r="H1895" i="4"/>
  <c r="Z1894" i="4"/>
  <c r="Y1894" i="4"/>
  <c r="X1894" i="4"/>
  <c r="W1894" i="4"/>
  <c r="H1894" i="4"/>
  <c r="Z1893" i="4"/>
  <c r="Y1893" i="4"/>
  <c r="X1893" i="4"/>
  <c r="W1893" i="4"/>
  <c r="H1893" i="4"/>
  <c r="Z1892" i="4"/>
  <c r="Y1892" i="4"/>
  <c r="X1892" i="4"/>
  <c r="W1892" i="4"/>
  <c r="H1892" i="4"/>
  <c r="Z1891" i="4"/>
  <c r="Y1891" i="4"/>
  <c r="X1891" i="4"/>
  <c r="W1891" i="4"/>
  <c r="H1891" i="4"/>
  <c r="Z1890" i="4"/>
  <c r="Y1890" i="4"/>
  <c r="X1890" i="4"/>
  <c r="W1890" i="4"/>
  <c r="H1890" i="4"/>
  <c r="Z1889" i="4"/>
  <c r="Y1889" i="4"/>
  <c r="X1889" i="4"/>
  <c r="W1889" i="4"/>
  <c r="H1889" i="4"/>
  <c r="Z1888" i="4"/>
  <c r="Y1888" i="4"/>
  <c r="X1888" i="4"/>
  <c r="W1888" i="4"/>
  <c r="H1888" i="4"/>
  <c r="Z1887" i="4"/>
  <c r="Y1887" i="4"/>
  <c r="X1887" i="4"/>
  <c r="W1887" i="4"/>
  <c r="H1887" i="4"/>
  <c r="Z1886" i="4"/>
  <c r="Y1886" i="4"/>
  <c r="X1886" i="4"/>
  <c r="W1886" i="4"/>
  <c r="H1886" i="4"/>
  <c r="Z1885" i="4"/>
  <c r="Y1885" i="4"/>
  <c r="X1885" i="4"/>
  <c r="W1885" i="4"/>
  <c r="H1885" i="4"/>
  <c r="Z1884" i="4"/>
  <c r="Y1884" i="4"/>
  <c r="X1884" i="4"/>
  <c r="W1884" i="4"/>
  <c r="H1884" i="4"/>
  <c r="Z1883" i="4"/>
  <c r="Y1883" i="4"/>
  <c r="X1883" i="4"/>
  <c r="W1883" i="4"/>
  <c r="H1883" i="4"/>
  <c r="Z1882" i="4"/>
  <c r="Y1882" i="4"/>
  <c r="X1882" i="4"/>
  <c r="W1882" i="4"/>
  <c r="H1882" i="4"/>
  <c r="Z1881" i="4"/>
  <c r="Y1881" i="4"/>
  <c r="X1881" i="4"/>
  <c r="W1881" i="4"/>
  <c r="H1881" i="4"/>
  <c r="Z1880" i="4"/>
  <c r="Y1880" i="4"/>
  <c r="X1880" i="4"/>
  <c r="W1880" i="4"/>
  <c r="H1880" i="4"/>
  <c r="Z1879" i="4"/>
  <c r="Y1879" i="4"/>
  <c r="X1879" i="4"/>
  <c r="W1879" i="4"/>
  <c r="H1879" i="4"/>
  <c r="Z1878" i="4"/>
  <c r="Y1878" i="4"/>
  <c r="X1878" i="4"/>
  <c r="W1878" i="4"/>
  <c r="H1878" i="4"/>
  <c r="Z1877" i="4"/>
  <c r="Y1877" i="4"/>
  <c r="X1877" i="4"/>
  <c r="W1877" i="4"/>
  <c r="H1877" i="4"/>
  <c r="Z1876" i="4"/>
  <c r="Y1876" i="4"/>
  <c r="X1876" i="4"/>
  <c r="W1876" i="4"/>
  <c r="H1876" i="4"/>
  <c r="Z1875" i="4"/>
  <c r="Y1875" i="4"/>
  <c r="X1875" i="4"/>
  <c r="W1875" i="4"/>
  <c r="H1875" i="4"/>
  <c r="Z1874" i="4"/>
  <c r="Y1874" i="4"/>
  <c r="X1874" i="4"/>
  <c r="W1874" i="4"/>
  <c r="H1874" i="4"/>
  <c r="Z1873" i="4"/>
  <c r="Y1873" i="4"/>
  <c r="X1873" i="4"/>
  <c r="W1873" i="4"/>
  <c r="H1873" i="4"/>
  <c r="Z1872" i="4"/>
  <c r="Y1872" i="4"/>
  <c r="X1872" i="4"/>
  <c r="W1872" i="4"/>
  <c r="H1872" i="4"/>
  <c r="Z1871" i="4"/>
  <c r="Y1871" i="4"/>
  <c r="X1871" i="4"/>
  <c r="W1871" i="4"/>
  <c r="H1871" i="4"/>
  <c r="Z1870" i="4"/>
  <c r="Y1870" i="4"/>
  <c r="X1870" i="4"/>
  <c r="W1870" i="4"/>
  <c r="H1870" i="4"/>
  <c r="Z1869" i="4"/>
  <c r="Y1869" i="4"/>
  <c r="X1869" i="4"/>
  <c r="W1869" i="4"/>
  <c r="H1869" i="4"/>
  <c r="Z1868" i="4"/>
  <c r="Y1868" i="4"/>
  <c r="X1868" i="4"/>
  <c r="W1868" i="4"/>
  <c r="H1868" i="4"/>
  <c r="Z1867" i="4"/>
  <c r="Y1867" i="4"/>
  <c r="X1867" i="4"/>
  <c r="W1867" i="4"/>
  <c r="H1867" i="4"/>
  <c r="Z1866" i="4"/>
  <c r="Y1866" i="4"/>
  <c r="X1866" i="4"/>
  <c r="W1866" i="4"/>
  <c r="H1866" i="4"/>
  <c r="Z1865" i="4"/>
  <c r="Y1865" i="4"/>
  <c r="X1865" i="4"/>
  <c r="W1865" i="4"/>
  <c r="H1865" i="4"/>
  <c r="Z1864" i="4"/>
  <c r="Y1864" i="4"/>
  <c r="X1864" i="4"/>
  <c r="W1864" i="4"/>
  <c r="H1864" i="4"/>
  <c r="Z1863" i="4"/>
  <c r="Y1863" i="4"/>
  <c r="X1863" i="4"/>
  <c r="W1863" i="4"/>
  <c r="H1863" i="4"/>
  <c r="Z1862" i="4"/>
  <c r="Y1862" i="4"/>
  <c r="X1862" i="4"/>
  <c r="W1862" i="4"/>
  <c r="H1862" i="4"/>
  <c r="Z1861" i="4"/>
  <c r="Y1861" i="4"/>
  <c r="X1861" i="4"/>
  <c r="W1861" i="4"/>
  <c r="H1861" i="4"/>
  <c r="Z1860" i="4"/>
  <c r="Y1860" i="4"/>
  <c r="X1860" i="4"/>
  <c r="W1860" i="4"/>
  <c r="H1860" i="4"/>
  <c r="Z1859" i="4"/>
  <c r="Y1859" i="4"/>
  <c r="X1859" i="4"/>
  <c r="W1859" i="4"/>
  <c r="H1859" i="4"/>
  <c r="Z1858" i="4"/>
  <c r="Y1858" i="4"/>
  <c r="X1858" i="4"/>
  <c r="W1858" i="4"/>
  <c r="H1858" i="4"/>
  <c r="Z1857" i="4"/>
  <c r="Y1857" i="4"/>
  <c r="X1857" i="4"/>
  <c r="W1857" i="4"/>
  <c r="H1857" i="4"/>
  <c r="Z1856" i="4"/>
  <c r="Y1856" i="4"/>
  <c r="X1856" i="4"/>
  <c r="W1856" i="4"/>
  <c r="H1856" i="4"/>
  <c r="Z1855" i="4"/>
  <c r="Y1855" i="4"/>
  <c r="X1855" i="4"/>
  <c r="W1855" i="4"/>
  <c r="H1855" i="4"/>
  <c r="Z1854" i="4"/>
  <c r="Y1854" i="4"/>
  <c r="X1854" i="4"/>
  <c r="W1854" i="4"/>
  <c r="H1854" i="4"/>
  <c r="Z1853" i="4"/>
  <c r="Y1853" i="4"/>
  <c r="X1853" i="4"/>
  <c r="W1853" i="4"/>
  <c r="H1853" i="4"/>
  <c r="Z1852" i="4"/>
  <c r="Y1852" i="4"/>
  <c r="X1852" i="4"/>
  <c r="W1852" i="4"/>
  <c r="H1852" i="4"/>
  <c r="Z1851" i="4"/>
  <c r="Y1851" i="4"/>
  <c r="X1851" i="4"/>
  <c r="W1851" i="4"/>
  <c r="H1851" i="4"/>
  <c r="Z1850" i="4"/>
  <c r="Y1850" i="4"/>
  <c r="X1850" i="4"/>
  <c r="W1850" i="4"/>
  <c r="H1850" i="4"/>
  <c r="Z1849" i="4"/>
  <c r="Y1849" i="4"/>
  <c r="X1849" i="4"/>
  <c r="W1849" i="4"/>
  <c r="H1849" i="4"/>
  <c r="Z1848" i="4"/>
  <c r="Y1848" i="4"/>
  <c r="X1848" i="4"/>
  <c r="W1848" i="4"/>
  <c r="H1848" i="4"/>
  <c r="Z1847" i="4"/>
  <c r="Y1847" i="4"/>
  <c r="X1847" i="4"/>
  <c r="W1847" i="4"/>
  <c r="H1847" i="4"/>
  <c r="Z1846" i="4"/>
  <c r="Y1846" i="4"/>
  <c r="X1846" i="4"/>
  <c r="W1846" i="4"/>
  <c r="H1846" i="4"/>
  <c r="Z1845" i="4"/>
  <c r="Y1845" i="4"/>
  <c r="X1845" i="4"/>
  <c r="W1845" i="4"/>
  <c r="H1845" i="4"/>
  <c r="Z1844" i="4"/>
  <c r="Y1844" i="4"/>
  <c r="X1844" i="4"/>
  <c r="W1844" i="4"/>
  <c r="H1844" i="4"/>
  <c r="Z1843" i="4"/>
  <c r="Y1843" i="4"/>
  <c r="X1843" i="4"/>
  <c r="W1843" i="4"/>
  <c r="H1843" i="4"/>
  <c r="Z1842" i="4"/>
  <c r="Y1842" i="4"/>
  <c r="X1842" i="4"/>
  <c r="W1842" i="4"/>
  <c r="H1842" i="4"/>
  <c r="Z1841" i="4"/>
  <c r="Y1841" i="4"/>
  <c r="X1841" i="4"/>
  <c r="W1841" i="4"/>
  <c r="H1841" i="4"/>
  <c r="Z1840" i="4"/>
  <c r="Y1840" i="4"/>
  <c r="X1840" i="4"/>
  <c r="W1840" i="4"/>
  <c r="H1840" i="4"/>
  <c r="Z1839" i="4"/>
  <c r="Y1839" i="4"/>
  <c r="X1839" i="4"/>
  <c r="W1839" i="4"/>
  <c r="H1839" i="4"/>
  <c r="Z1838" i="4"/>
  <c r="Y1838" i="4"/>
  <c r="X1838" i="4"/>
  <c r="W1838" i="4"/>
  <c r="H1838" i="4"/>
  <c r="Z1837" i="4"/>
  <c r="Y1837" i="4"/>
  <c r="X1837" i="4"/>
  <c r="W1837" i="4"/>
  <c r="H1837" i="4"/>
  <c r="Z1836" i="4"/>
  <c r="Y1836" i="4"/>
  <c r="X1836" i="4"/>
  <c r="W1836" i="4"/>
  <c r="H1836" i="4"/>
  <c r="Z1835" i="4"/>
  <c r="Y1835" i="4"/>
  <c r="X1835" i="4"/>
  <c r="W1835" i="4"/>
  <c r="H1835" i="4"/>
  <c r="Z1834" i="4"/>
  <c r="Y1834" i="4"/>
  <c r="X1834" i="4"/>
  <c r="W1834" i="4"/>
  <c r="H1834" i="4"/>
  <c r="Z1833" i="4"/>
  <c r="Y1833" i="4"/>
  <c r="X1833" i="4"/>
  <c r="W1833" i="4"/>
  <c r="H1833" i="4"/>
  <c r="Z1832" i="4"/>
  <c r="Y1832" i="4"/>
  <c r="X1832" i="4"/>
  <c r="W1832" i="4"/>
  <c r="H1832" i="4"/>
  <c r="Z1831" i="4"/>
  <c r="Y1831" i="4"/>
  <c r="X1831" i="4"/>
  <c r="W1831" i="4"/>
  <c r="H1831" i="4"/>
  <c r="Z1830" i="4"/>
  <c r="Y1830" i="4"/>
  <c r="X1830" i="4"/>
  <c r="W1830" i="4"/>
  <c r="H1830" i="4"/>
  <c r="Z1829" i="4"/>
  <c r="Y1829" i="4"/>
  <c r="X1829" i="4"/>
  <c r="W1829" i="4"/>
  <c r="H1829" i="4"/>
  <c r="Z1828" i="4"/>
  <c r="Y1828" i="4"/>
  <c r="X1828" i="4"/>
  <c r="W1828" i="4"/>
  <c r="H1828" i="4"/>
  <c r="Z1827" i="4"/>
  <c r="Y1827" i="4"/>
  <c r="X1827" i="4"/>
  <c r="W1827" i="4"/>
  <c r="H1827" i="4"/>
  <c r="Z1826" i="4"/>
  <c r="Y1826" i="4"/>
  <c r="X1826" i="4"/>
  <c r="W1826" i="4"/>
  <c r="H1826" i="4"/>
  <c r="Z1825" i="4"/>
  <c r="Y1825" i="4"/>
  <c r="X1825" i="4"/>
  <c r="W1825" i="4"/>
  <c r="H1825" i="4"/>
  <c r="Z1824" i="4"/>
  <c r="Y1824" i="4"/>
  <c r="X1824" i="4"/>
  <c r="W1824" i="4"/>
  <c r="H1824" i="4"/>
  <c r="Z1823" i="4"/>
  <c r="Y1823" i="4"/>
  <c r="X1823" i="4"/>
  <c r="W1823" i="4"/>
  <c r="H1823" i="4"/>
  <c r="Z1822" i="4"/>
  <c r="Y1822" i="4"/>
  <c r="X1822" i="4"/>
  <c r="W1822" i="4"/>
  <c r="H1822" i="4"/>
  <c r="Z1821" i="4"/>
  <c r="Y1821" i="4"/>
  <c r="X1821" i="4"/>
  <c r="W1821" i="4"/>
  <c r="H1821" i="4"/>
  <c r="Z1820" i="4"/>
  <c r="Y1820" i="4"/>
  <c r="X1820" i="4"/>
  <c r="W1820" i="4"/>
  <c r="H1820" i="4"/>
  <c r="Z1819" i="4"/>
  <c r="Y1819" i="4"/>
  <c r="X1819" i="4"/>
  <c r="W1819" i="4"/>
  <c r="H1819" i="4"/>
  <c r="Z1818" i="4"/>
  <c r="Y1818" i="4"/>
  <c r="X1818" i="4"/>
  <c r="W1818" i="4"/>
  <c r="H1818" i="4"/>
  <c r="Z1817" i="4"/>
  <c r="Y1817" i="4"/>
  <c r="X1817" i="4"/>
  <c r="W1817" i="4"/>
  <c r="H1817" i="4"/>
  <c r="Z1816" i="4"/>
  <c r="Y1816" i="4"/>
  <c r="X1816" i="4"/>
  <c r="W1816" i="4"/>
  <c r="H1816" i="4"/>
  <c r="Z1815" i="4"/>
  <c r="Y1815" i="4"/>
  <c r="X1815" i="4"/>
  <c r="W1815" i="4"/>
  <c r="H1815" i="4"/>
  <c r="Z1814" i="4"/>
  <c r="Y1814" i="4"/>
  <c r="X1814" i="4"/>
  <c r="W1814" i="4"/>
  <c r="H1814" i="4"/>
  <c r="Z1813" i="4"/>
  <c r="Y1813" i="4"/>
  <c r="X1813" i="4"/>
  <c r="W1813" i="4"/>
  <c r="H1813" i="4"/>
  <c r="Z1812" i="4"/>
  <c r="Y1812" i="4"/>
  <c r="X1812" i="4"/>
  <c r="W1812" i="4"/>
  <c r="H1812" i="4"/>
  <c r="Z1811" i="4"/>
  <c r="Y1811" i="4"/>
  <c r="X1811" i="4"/>
  <c r="W1811" i="4"/>
  <c r="H1811" i="4"/>
  <c r="Z1810" i="4"/>
  <c r="Y1810" i="4"/>
  <c r="X1810" i="4"/>
  <c r="W1810" i="4"/>
  <c r="H1810" i="4"/>
  <c r="Z1809" i="4"/>
  <c r="Y1809" i="4"/>
  <c r="X1809" i="4"/>
  <c r="W1809" i="4"/>
  <c r="H1809" i="4"/>
  <c r="Z1808" i="4"/>
  <c r="Y1808" i="4"/>
  <c r="X1808" i="4"/>
  <c r="W1808" i="4"/>
  <c r="H1808" i="4"/>
  <c r="Z1807" i="4"/>
  <c r="Y1807" i="4"/>
  <c r="X1807" i="4"/>
  <c r="W1807" i="4"/>
  <c r="H1807" i="4"/>
  <c r="Z1806" i="4"/>
  <c r="Y1806" i="4"/>
  <c r="X1806" i="4"/>
  <c r="W1806" i="4"/>
  <c r="H1806" i="4"/>
  <c r="Z1805" i="4"/>
  <c r="Y1805" i="4"/>
  <c r="X1805" i="4"/>
  <c r="W1805" i="4"/>
  <c r="H1805" i="4"/>
  <c r="Z1804" i="4"/>
  <c r="Y1804" i="4"/>
  <c r="X1804" i="4"/>
  <c r="W1804" i="4"/>
  <c r="H1804" i="4"/>
  <c r="Z1803" i="4"/>
  <c r="Y1803" i="4"/>
  <c r="X1803" i="4"/>
  <c r="W1803" i="4"/>
  <c r="H1803" i="4"/>
  <c r="Z1802" i="4"/>
  <c r="Y1802" i="4"/>
  <c r="X1802" i="4"/>
  <c r="W1802" i="4"/>
  <c r="H1802" i="4"/>
  <c r="Z1801" i="4"/>
  <c r="Y1801" i="4"/>
  <c r="X1801" i="4"/>
  <c r="W1801" i="4"/>
  <c r="H1801" i="4"/>
  <c r="Z1800" i="4"/>
  <c r="Y1800" i="4"/>
  <c r="X1800" i="4"/>
  <c r="W1800" i="4"/>
  <c r="H1800" i="4"/>
  <c r="Z1799" i="4"/>
  <c r="Y1799" i="4"/>
  <c r="X1799" i="4"/>
  <c r="W1799" i="4"/>
  <c r="H1799" i="4"/>
  <c r="Z1798" i="4"/>
  <c r="Y1798" i="4"/>
  <c r="X1798" i="4"/>
  <c r="W1798" i="4"/>
  <c r="H1798" i="4"/>
  <c r="Z1797" i="4"/>
  <c r="Y1797" i="4"/>
  <c r="X1797" i="4"/>
  <c r="W1797" i="4"/>
  <c r="H1797" i="4"/>
  <c r="Z1796" i="4"/>
  <c r="Y1796" i="4"/>
  <c r="X1796" i="4"/>
  <c r="W1796" i="4"/>
  <c r="H1796" i="4"/>
  <c r="Z1795" i="4"/>
  <c r="Y1795" i="4"/>
  <c r="X1795" i="4"/>
  <c r="W1795" i="4"/>
  <c r="H1795" i="4"/>
  <c r="Z1794" i="4"/>
  <c r="Y1794" i="4"/>
  <c r="X1794" i="4"/>
  <c r="W1794" i="4"/>
  <c r="H1794" i="4"/>
  <c r="Z1793" i="4"/>
  <c r="Y1793" i="4"/>
  <c r="X1793" i="4"/>
  <c r="W1793" i="4"/>
  <c r="H1793" i="4"/>
  <c r="Z1792" i="4"/>
  <c r="Y1792" i="4"/>
  <c r="X1792" i="4"/>
  <c r="W1792" i="4"/>
  <c r="H1792" i="4"/>
  <c r="Z1791" i="4"/>
  <c r="Y1791" i="4"/>
  <c r="X1791" i="4"/>
  <c r="W1791" i="4"/>
  <c r="H1791" i="4"/>
  <c r="Z1790" i="4"/>
  <c r="Y1790" i="4"/>
  <c r="X1790" i="4"/>
  <c r="W1790" i="4"/>
  <c r="H1790" i="4"/>
  <c r="Z1789" i="4"/>
  <c r="Y1789" i="4"/>
  <c r="X1789" i="4"/>
  <c r="W1789" i="4"/>
  <c r="H1789" i="4"/>
  <c r="Z1788" i="4"/>
  <c r="Y1788" i="4"/>
  <c r="X1788" i="4"/>
  <c r="W1788" i="4"/>
  <c r="H1788" i="4"/>
  <c r="Z1787" i="4"/>
  <c r="Y1787" i="4"/>
  <c r="X1787" i="4"/>
  <c r="W1787" i="4"/>
  <c r="H1787" i="4"/>
  <c r="Z1786" i="4"/>
  <c r="Y1786" i="4"/>
  <c r="X1786" i="4"/>
  <c r="W1786" i="4"/>
  <c r="H1786" i="4"/>
  <c r="Z1785" i="4"/>
  <c r="Y1785" i="4"/>
  <c r="X1785" i="4"/>
  <c r="W1785" i="4"/>
  <c r="H1785" i="4"/>
  <c r="Z1784" i="4"/>
  <c r="Y1784" i="4"/>
  <c r="X1784" i="4"/>
  <c r="W1784" i="4"/>
  <c r="H1784" i="4"/>
  <c r="Z1783" i="4"/>
  <c r="Y1783" i="4"/>
  <c r="X1783" i="4"/>
  <c r="W1783" i="4"/>
  <c r="H1783" i="4"/>
  <c r="Z1782" i="4"/>
  <c r="Y1782" i="4"/>
  <c r="X1782" i="4"/>
  <c r="W1782" i="4"/>
  <c r="H1782" i="4"/>
  <c r="Z1781" i="4"/>
  <c r="Y1781" i="4"/>
  <c r="X1781" i="4"/>
  <c r="W1781" i="4"/>
  <c r="H1781" i="4"/>
  <c r="Z1780" i="4"/>
  <c r="Y1780" i="4"/>
  <c r="X1780" i="4"/>
  <c r="W1780" i="4"/>
  <c r="H1780" i="4"/>
  <c r="Z1779" i="4"/>
  <c r="Y1779" i="4"/>
  <c r="X1779" i="4"/>
  <c r="W1779" i="4"/>
  <c r="H1779" i="4"/>
  <c r="Z1778" i="4"/>
  <c r="Y1778" i="4"/>
  <c r="X1778" i="4"/>
  <c r="W1778" i="4"/>
  <c r="H1778" i="4"/>
  <c r="Z1777" i="4"/>
  <c r="Y1777" i="4"/>
  <c r="X1777" i="4"/>
  <c r="W1777" i="4"/>
  <c r="H1777" i="4"/>
  <c r="Z1776" i="4"/>
  <c r="Y1776" i="4"/>
  <c r="X1776" i="4"/>
  <c r="W1776" i="4"/>
  <c r="H1776" i="4"/>
  <c r="Z1775" i="4"/>
  <c r="Y1775" i="4"/>
  <c r="X1775" i="4"/>
  <c r="W1775" i="4"/>
  <c r="H1775" i="4"/>
  <c r="Z1774" i="4"/>
  <c r="Y1774" i="4"/>
  <c r="X1774" i="4"/>
  <c r="W1774" i="4"/>
  <c r="H1774" i="4"/>
  <c r="Z1773" i="4"/>
  <c r="Y1773" i="4"/>
  <c r="X1773" i="4"/>
  <c r="W1773" i="4"/>
  <c r="H1773" i="4"/>
  <c r="Z1772" i="4"/>
  <c r="Y1772" i="4"/>
  <c r="X1772" i="4"/>
  <c r="W1772" i="4"/>
  <c r="H1772" i="4"/>
  <c r="Z1771" i="4"/>
  <c r="Y1771" i="4"/>
  <c r="X1771" i="4"/>
  <c r="W1771" i="4"/>
  <c r="H1771" i="4"/>
  <c r="Z1770" i="4"/>
  <c r="Y1770" i="4"/>
  <c r="X1770" i="4"/>
  <c r="W1770" i="4"/>
  <c r="H1770" i="4"/>
  <c r="Z1769" i="4"/>
  <c r="Y1769" i="4"/>
  <c r="X1769" i="4"/>
  <c r="W1769" i="4"/>
  <c r="H1769" i="4"/>
  <c r="Z1768" i="4"/>
  <c r="Y1768" i="4"/>
  <c r="X1768" i="4"/>
  <c r="W1768" i="4"/>
  <c r="H1768" i="4"/>
  <c r="Z1767" i="4"/>
  <c r="Y1767" i="4"/>
  <c r="X1767" i="4"/>
  <c r="W1767" i="4"/>
  <c r="H1767" i="4"/>
  <c r="Z1766" i="4"/>
  <c r="Y1766" i="4"/>
  <c r="X1766" i="4"/>
  <c r="W1766" i="4"/>
  <c r="H1766" i="4"/>
  <c r="Z1765" i="4"/>
  <c r="Y1765" i="4"/>
  <c r="X1765" i="4"/>
  <c r="W1765" i="4"/>
  <c r="H1765" i="4"/>
  <c r="Z1764" i="4"/>
  <c r="Y1764" i="4"/>
  <c r="X1764" i="4"/>
  <c r="W1764" i="4"/>
  <c r="H1764" i="4"/>
  <c r="Z1763" i="4"/>
  <c r="Y1763" i="4"/>
  <c r="X1763" i="4"/>
  <c r="W1763" i="4"/>
  <c r="H1763" i="4"/>
  <c r="Z1762" i="4"/>
  <c r="Y1762" i="4"/>
  <c r="X1762" i="4"/>
  <c r="W1762" i="4"/>
  <c r="H1762" i="4"/>
  <c r="Z1761" i="4"/>
  <c r="Y1761" i="4"/>
  <c r="X1761" i="4"/>
  <c r="W1761" i="4"/>
  <c r="H1761" i="4"/>
  <c r="Z1760" i="4"/>
  <c r="Y1760" i="4"/>
  <c r="X1760" i="4"/>
  <c r="W1760" i="4"/>
  <c r="H1760" i="4"/>
  <c r="Z1759" i="4"/>
  <c r="Y1759" i="4"/>
  <c r="X1759" i="4"/>
  <c r="W1759" i="4"/>
  <c r="H1759" i="4"/>
  <c r="Z1758" i="4"/>
  <c r="Y1758" i="4"/>
  <c r="X1758" i="4"/>
  <c r="W1758" i="4"/>
  <c r="H1758" i="4"/>
  <c r="Z1757" i="4"/>
  <c r="Y1757" i="4"/>
  <c r="X1757" i="4"/>
  <c r="W1757" i="4"/>
  <c r="H1757" i="4"/>
  <c r="Z1756" i="4"/>
  <c r="Y1756" i="4"/>
  <c r="X1756" i="4"/>
  <c r="W1756" i="4"/>
  <c r="H1756" i="4"/>
  <c r="Z1755" i="4"/>
  <c r="Y1755" i="4"/>
  <c r="X1755" i="4"/>
  <c r="W1755" i="4"/>
  <c r="H1755" i="4"/>
  <c r="Z1754" i="4"/>
  <c r="Y1754" i="4"/>
  <c r="X1754" i="4"/>
  <c r="W1754" i="4"/>
  <c r="H1754" i="4"/>
  <c r="Z1753" i="4"/>
  <c r="Y1753" i="4"/>
  <c r="X1753" i="4"/>
  <c r="W1753" i="4"/>
  <c r="H1753" i="4"/>
  <c r="Z1752" i="4"/>
  <c r="Y1752" i="4"/>
  <c r="X1752" i="4"/>
  <c r="W1752" i="4"/>
  <c r="H1752" i="4"/>
  <c r="Z1751" i="4"/>
  <c r="Y1751" i="4"/>
  <c r="X1751" i="4"/>
  <c r="W1751" i="4"/>
  <c r="H1751" i="4"/>
  <c r="Z1750" i="4"/>
  <c r="Y1750" i="4"/>
  <c r="X1750" i="4"/>
  <c r="W1750" i="4"/>
  <c r="H1750" i="4"/>
  <c r="Z1749" i="4"/>
  <c r="Y1749" i="4"/>
  <c r="X1749" i="4"/>
  <c r="W1749" i="4"/>
  <c r="H1749" i="4"/>
  <c r="Z1748" i="4"/>
  <c r="Y1748" i="4"/>
  <c r="X1748" i="4"/>
  <c r="W1748" i="4"/>
  <c r="H1748" i="4"/>
  <c r="Z1747" i="4"/>
  <c r="Y1747" i="4"/>
  <c r="X1747" i="4"/>
  <c r="W1747" i="4"/>
  <c r="H1747" i="4"/>
  <c r="Z1746" i="4"/>
  <c r="Y1746" i="4"/>
  <c r="X1746" i="4"/>
  <c r="W1746" i="4"/>
  <c r="H1746" i="4"/>
  <c r="Z1745" i="4"/>
  <c r="Y1745" i="4"/>
  <c r="X1745" i="4"/>
  <c r="W1745" i="4"/>
  <c r="H1745" i="4"/>
  <c r="Z1744" i="4"/>
  <c r="Y1744" i="4"/>
  <c r="X1744" i="4"/>
  <c r="W1744" i="4"/>
  <c r="H1744" i="4"/>
  <c r="Z1743" i="4"/>
  <c r="Y1743" i="4"/>
  <c r="X1743" i="4"/>
  <c r="W1743" i="4"/>
  <c r="H1743" i="4"/>
  <c r="Z1742" i="4"/>
  <c r="Y1742" i="4"/>
  <c r="X1742" i="4"/>
  <c r="W1742" i="4"/>
  <c r="H1742" i="4"/>
  <c r="Z1741" i="4"/>
  <c r="Y1741" i="4"/>
  <c r="X1741" i="4"/>
  <c r="W1741" i="4"/>
  <c r="H1741" i="4"/>
  <c r="Z1740" i="4"/>
  <c r="Y1740" i="4"/>
  <c r="X1740" i="4"/>
  <c r="W1740" i="4"/>
  <c r="H1740" i="4"/>
  <c r="Z1739" i="4"/>
  <c r="Y1739" i="4"/>
  <c r="X1739" i="4"/>
  <c r="W1739" i="4"/>
  <c r="H1739" i="4"/>
  <c r="Z1738" i="4"/>
  <c r="Y1738" i="4"/>
  <c r="X1738" i="4"/>
  <c r="W1738" i="4"/>
  <c r="H1738" i="4"/>
  <c r="Z1737" i="4"/>
  <c r="Y1737" i="4"/>
  <c r="X1737" i="4"/>
  <c r="W1737" i="4"/>
  <c r="H1737" i="4"/>
  <c r="Z1736" i="4"/>
  <c r="Y1736" i="4"/>
  <c r="X1736" i="4"/>
  <c r="W1736" i="4"/>
  <c r="H1736" i="4"/>
  <c r="Z1735" i="4"/>
  <c r="Y1735" i="4"/>
  <c r="X1735" i="4"/>
  <c r="W1735" i="4"/>
  <c r="H1735" i="4"/>
  <c r="Z1734" i="4"/>
  <c r="Y1734" i="4"/>
  <c r="X1734" i="4"/>
  <c r="W1734" i="4"/>
  <c r="H1734" i="4"/>
  <c r="Z1733" i="4"/>
  <c r="Y1733" i="4"/>
  <c r="X1733" i="4"/>
  <c r="W1733" i="4"/>
  <c r="H1733" i="4"/>
  <c r="Z1732" i="4"/>
  <c r="Y1732" i="4"/>
  <c r="X1732" i="4"/>
  <c r="W1732" i="4"/>
  <c r="H1732" i="4"/>
  <c r="Z1731" i="4"/>
  <c r="Y1731" i="4"/>
  <c r="X1731" i="4"/>
  <c r="W1731" i="4"/>
  <c r="H1731" i="4"/>
  <c r="Z1730" i="4"/>
  <c r="Y1730" i="4"/>
  <c r="X1730" i="4"/>
  <c r="W1730" i="4"/>
  <c r="H1730" i="4"/>
  <c r="Z1729" i="4"/>
  <c r="Y1729" i="4"/>
  <c r="X1729" i="4"/>
  <c r="W1729" i="4"/>
  <c r="H1729" i="4"/>
  <c r="Z1728" i="4"/>
  <c r="Y1728" i="4"/>
  <c r="X1728" i="4"/>
  <c r="W1728" i="4"/>
  <c r="H1728" i="4"/>
  <c r="Z1727" i="4"/>
  <c r="Y1727" i="4"/>
  <c r="X1727" i="4"/>
  <c r="W1727" i="4"/>
  <c r="H1727" i="4"/>
  <c r="Z1726" i="4"/>
  <c r="Y1726" i="4"/>
  <c r="X1726" i="4"/>
  <c r="W1726" i="4"/>
  <c r="H1726" i="4"/>
  <c r="Z1725" i="4"/>
  <c r="Y1725" i="4"/>
  <c r="X1725" i="4"/>
  <c r="W1725" i="4"/>
  <c r="H1725" i="4"/>
  <c r="Z1724" i="4"/>
  <c r="Y1724" i="4"/>
  <c r="X1724" i="4"/>
  <c r="W1724" i="4"/>
  <c r="H1724" i="4"/>
  <c r="Z1723" i="4"/>
  <c r="Y1723" i="4"/>
  <c r="X1723" i="4"/>
  <c r="W1723" i="4"/>
  <c r="H1723" i="4"/>
  <c r="Z1722" i="4"/>
  <c r="Y1722" i="4"/>
  <c r="X1722" i="4"/>
  <c r="W1722" i="4"/>
  <c r="H1722" i="4"/>
  <c r="Z1721" i="4"/>
  <c r="Y1721" i="4"/>
  <c r="X1721" i="4"/>
  <c r="W1721" i="4"/>
  <c r="H1721" i="4"/>
  <c r="Z1720" i="4"/>
  <c r="Y1720" i="4"/>
  <c r="X1720" i="4"/>
  <c r="W1720" i="4"/>
  <c r="H1720" i="4"/>
  <c r="Z1719" i="4"/>
  <c r="Y1719" i="4"/>
  <c r="X1719" i="4"/>
  <c r="W1719" i="4"/>
  <c r="H1719" i="4"/>
  <c r="Z1718" i="4"/>
  <c r="Y1718" i="4"/>
  <c r="X1718" i="4"/>
  <c r="W1718" i="4"/>
  <c r="H1718" i="4"/>
  <c r="Z1717" i="4"/>
  <c r="Y1717" i="4"/>
  <c r="X1717" i="4"/>
  <c r="W1717" i="4"/>
  <c r="H1717" i="4"/>
  <c r="Z1716" i="4"/>
  <c r="Y1716" i="4"/>
  <c r="X1716" i="4"/>
  <c r="W1716" i="4"/>
  <c r="H1716" i="4"/>
  <c r="Z1715" i="4"/>
  <c r="Y1715" i="4"/>
  <c r="X1715" i="4"/>
  <c r="W1715" i="4"/>
  <c r="H1715" i="4"/>
  <c r="Z1714" i="4"/>
  <c r="Y1714" i="4"/>
  <c r="X1714" i="4"/>
  <c r="W1714" i="4"/>
  <c r="H1714" i="4"/>
  <c r="Z1713" i="4"/>
  <c r="Y1713" i="4"/>
  <c r="X1713" i="4"/>
  <c r="W1713" i="4"/>
  <c r="H1713" i="4"/>
  <c r="Z1712" i="4"/>
  <c r="Y1712" i="4"/>
  <c r="X1712" i="4"/>
  <c r="W1712" i="4"/>
  <c r="H1712" i="4"/>
  <c r="Z1711" i="4"/>
  <c r="Y1711" i="4"/>
  <c r="X1711" i="4"/>
  <c r="W1711" i="4"/>
  <c r="H1711" i="4"/>
  <c r="Z1710" i="4"/>
  <c r="Y1710" i="4"/>
  <c r="X1710" i="4"/>
  <c r="W1710" i="4"/>
  <c r="H1710" i="4"/>
  <c r="Z1709" i="4"/>
  <c r="Y1709" i="4"/>
  <c r="X1709" i="4"/>
  <c r="W1709" i="4"/>
  <c r="H1709" i="4"/>
  <c r="Z1708" i="4"/>
  <c r="Y1708" i="4"/>
  <c r="X1708" i="4"/>
  <c r="W1708" i="4"/>
  <c r="H1708" i="4"/>
  <c r="Z1707" i="4"/>
  <c r="Y1707" i="4"/>
  <c r="X1707" i="4"/>
  <c r="W1707" i="4"/>
  <c r="H1707" i="4"/>
  <c r="Z1706" i="4"/>
  <c r="Y1706" i="4"/>
  <c r="X1706" i="4"/>
  <c r="W1706" i="4"/>
  <c r="H1706" i="4"/>
  <c r="Z1705" i="4"/>
  <c r="Y1705" i="4"/>
  <c r="X1705" i="4"/>
  <c r="W1705" i="4"/>
  <c r="H1705" i="4"/>
  <c r="Z1704" i="4"/>
  <c r="Y1704" i="4"/>
  <c r="X1704" i="4"/>
  <c r="W1704" i="4"/>
  <c r="H1704" i="4"/>
  <c r="Z1703" i="4"/>
  <c r="Y1703" i="4"/>
  <c r="X1703" i="4"/>
  <c r="W1703" i="4"/>
  <c r="H1703" i="4"/>
  <c r="Z1702" i="4"/>
  <c r="Y1702" i="4"/>
  <c r="X1702" i="4"/>
  <c r="W1702" i="4"/>
  <c r="H1702" i="4"/>
  <c r="Z1701" i="4"/>
  <c r="Y1701" i="4"/>
  <c r="X1701" i="4"/>
  <c r="W1701" i="4"/>
  <c r="H1701" i="4"/>
  <c r="Z1700" i="4"/>
  <c r="Y1700" i="4"/>
  <c r="X1700" i="4"/>
  <c r="W1700" i="4"/>
  <c r="H1700" i="4"/>
  <c r="Z1699" i="4"/>
  <c r="Y1699" i="4"/>
  <c r="X1699" i="4"/>
  <c r="W1699" i="4"/>
  <c r="H1699" i="4"/>
  <c r="Z1698" i="4"/>
  <c r="Y1698" i="4"/>
  <c r="X1698" i="4"/>
  <c r="W1698" i="4"/>
  <c r="H1698" i="4"/>
  <c r="Z1697" i="4"/>
  <c r="Y1697" i="4"/>
  <c r="X1697" i="4"/>
  <c r="W1697" i="4"/>
  <c r="H1697" i="4"/>
  <c r="Z1696" i="4"/>
  <c r="Y1696" i="4"/>
  <c r="X1696" i="4"/>
  <c r="W1696" i="4"/>
  <c r="H1696" i="4"/>
  <c r="Z1695" i="4"/>
  <c r="Y1695" i="4"/>
  <c r="X1695" i="4"/>
  <c r="W1695" i="4"/>
  <c r="H1695" i="4"/>
  <c r="Z1694" i="4"/>
  <c r="Y1694" i="4"/>
  <c r="X1694" i="4"/>
  <c r="W1694" i="4"/>
  <c r="H1694" i="4"/>
  <c r="Z1693" i="4"/>
  <c r="Y1693" i="4"/>
  <c r="X1693" i="4"/>
  <c r="W1693" i="4"/>
  <c r="H1693" i="4"/>
  <c r="Z1692" i="4"/>
  <c r="Y1692" i="4"/>
  <c r="X1692" i="4"/>
  <c r="W1692" i="4"/>
  <c r="H1692" i="4"/>
  <c r="Z1691" i="4"/>
  <c r="Y1691" i="4"/>
  <c r="X1691" i="4"/>
  <c r="W1691" i="4"/>
  <c r="H1691" i="4"/>
  <c r="Z1690" i="4"/>
  <c r="Y1690" i="4"/>
  <c r="X1690" i="4"/>
  <c r="W1690" i="4"/>
  <c r="H1690" i="4"/>
  <c r="Z1689" i="4"/>
  <c r="Y1689" i="4"/>
  <c r="X1689" i="4"/>
  <c r="W1689" i="4"/>
  <c r="H1689" i="4"/>
  <c r="Z1688" i="4"/>
  <c r="Y1688" i="4"/>
  <c r="X1688" i="4"/>
  <c r="W1688" i="4"/>
  <c r="H1688" i="4"/>
  <c r="Z1687" i="4"/>
  <c r="Y1687" i="4"/>
  <c r="X1687" i="4"/>
  <c r="W1687" i="4"/>
  <c r="H1687" i="4"/>
  <c r="Z1686" i="4"/>
  <c r="Y1686" i="4"/>
  <c r="X1686" i="4"/>
  <c r="W1686" i="4"/>
  <c r="H1686" i="4"/>
  <c r="Z1685" i="4"/>
  <c r="Y1685" i="4"/>
  <c r="X1685" i="4"/>
  <c r="W1685" i="4"/>
  <c r="H1685" i="4"/>
  <c r="Z1684" i="4"/>
  <c r="Y1684" i="4"/>
  <c r="X1684" i="4"/>
  <c r="W1684" i="4"/>
  <c r="H1684" i="4"/>
  <c r="Z1683" i="4"/>
  <c r="Y1683" i="4"/>
  <c r="X1683" i="4"/>
  <c r="W1683" i="4"/>
  <c r="H1683" i="4"/>
  <c r="Z1682" i="4"/>
  <c r="Y1682" i="4"/>
  <c r="X1682" i="4"/>
  <c r="W1682" i="4"/>
  <c r="H1682" i="4"/>
  <c r="Z1681" i="4"/>
  <c r="Y1681" i="4"/>
  <c r="X1681" i="4"/>
  <c r="W1681" i="4"/>
  <c r="H1681" i="4"/>
  <c r="Z1680" i="4"/>
  <c r="Y1680" i="4"/>
  <c r="X1680" i="4"/>
  <c r="W1680" i="4"/>
  <c r="H1680" i="4"/>
  <c r="Z1679" i="4"/>
  <c r="Y1679" i="4"/>
  <c r="X1679" i="4"/>
  <c r="W1679" i="4"/>
  <c r="H1679" i="4"/>
  <c r="Z1678" i="4"/>
  <c r="Y1678" i="4"/>
  <c r="X1678" i="4"/>
  <c r="W1678" i="4"/>
  <c r="H1678" i="4"/>
  <c r="Z1677" i="4"/>
  <c r="Y1677" i="4"/>
  <c r="X1677" i="4"/>
  <c r="W1677" i="4"/>
  <c r="H1677" i="4"/>
  <c r="Z1676" i="4"/>
  <c r="Y1676" i="4"/>
  <c r="X1676" i="4"/>
  <c r="W1676" i="4"/>
  <c r="H1676" i="4"/>
  <c r="Z1675" i="4"/>
  <c r="Y1675" i="4"/>
  <c r="X1675" i="4"/>
  <c r="W1675" i="4"/>
  <c r="H1675" i="4"/>
  <c r="Z1674" i="4"/>
  <c r="Y1674" i="4"/>
  <c r="X1674" i="4"/>
  <c r="W1674" i="4"/>
  <c r="H1674" i="4"/>
  <c r="Z1673" i="4"/>
  <c r="Y1673" i="4"/>
  <c r="X1673" i="4"/>
  <c r="W1673" i="4"/>
  <c r="H1673" i="4"/>
  <c r="Z1672" i="4"/>
  <c r="Y1672" i="4"/>
  <c r="X1672" i="4"/>
  <c r="W1672" i="4"/>
  <c r="H1672" i="4"/>
  <c r="Z1671" i="4"/>
  <c r="Y1671" i="4"/>
  <c r="X1671" i="4"/>
  <c r="W1671" i="4"/>
  <c r="H1671" i="4"/>
  <c r="Z1670" i="4"/>
  <c r="Y1670" i="4"/>
  <c r="X1670" i="4"/>
  <c r="W1670" i="4"/>
  <c r="H1670" i="4"/>
  <c r="Z1669" i="4"/>
  <c r="Y1669" i="4"/>
  <c r="X1669" i="4"/>
  <c r="W1669" i="4"/>
  <c r="H1669" i="4"/>
  <c r="Z1668" i="4"/>
  <c r="Y1668" i="4"/>
  <c r="X1668" i="4"/>
  <c r="W1668" i="4"/>
  <c r="H1668" i="4"/>
  <c r="Z1667" i="4"/>
  <c r="Y1667" i="4"/>
  <c r="X1667" i="4"/>
  <c r="W1667" i="4"/>
  <c r="H1667" i="4"/>
  <c r="Z1666" i="4"/>
  <c r="Y1666" i="4"/>
  <c r="X1666" i="4"/>
  <c r="W1666" i="4"/>
  <c r="H1666" i="4"/>
  <c r="Z1665" i="4"/>
  <c r="Y1665" i="4"/>
  <c r="X1665" i="4"/>
  <c r="W1665" i="4"/>
  <c r="H1665" i="4"/>
  <c r="Z1664" i="4"/>
  <c r="Y1664" i="4"/>
  <c r="X1664" i="4"/>
  <c r="W1664" i="4"/>
  <c r="H1664" i="4"/>
  <c r="Z1663" i="4"/>
  <c r="Y1663" i="4"/>
  <c r="X1663" i="4"/>
  <c r="W1663" i="4"/>
  <c r="H1663" i="4"/>
  <c r="Z1662" i="4"/>
  <c r="Y1662" i="4"/>
  <c r="X1662" i="4"/>
  <c r="W1662" i="4"/>
  <c r="H1662" i="4"/>
  <c r="Z1661" i="4"/>
  <c r="Y1661" i="4"/>
  <c r="X1661" i="4"/>
  <c r="W1661" i="4"/>
  <c r="H1661" i="4"/>
  <c r="Z1660" i="4"/>
  <c r="Y1660" i="4"/>
  <c r="X1660" i="4"/>
  <c r="W1660" i="4"/>
  <c r="H1660" i="4"/>
  <c r="Z1659" i="4"/>
  <c r="Y1659" i="4"/>
  <c r="X1659" i="4"/>
  <c r="W1659" i="4"/>
  <c r="H1659" i="4"/>
  <c r="Z1658" i="4"/>
  <c r="Y1658" i="4"/>
  <c r="X1658" i="4"/>
  <c r="W1658" i="4"/>
  <c r="H1658" i="4"/>
  <c r="Z1657" i="4"/>
  <c r="Y1657" i="4"/>
  <c r="X1657" i="4"/>
  <c r="W1657" i="4"/>
  <c r="H1657" i="4"/>
  <c r="Z1656" i="4"/>
  <c r="Y1656" i="4"/>
  <c r="X1656" i="4"/>
  <c r="W1656" i="4"/>
  <c r="H1656" i="4"/>
  <c r="Z1655" i="4"/>
  <c r="Y1655" i="4"/>
  <c r="X1655" i="4"/>
  <c r="W1655" i="4"/>
  <c r="H1655" i="4"/>
  <c r="Z1654" i="4"/>
  <c r="Y1654" i="4"/>
  <c r="X1654" i="4"/>
  <c r="W1654" i="4"/>
  <c r="H1654" i="4"/>
  <c r="Z1653" i="4"/>
  <c r="Y1653" i="4"/>
  <c r="X1653" i="4"/>
  <c r="W1653" i="4"/>
  <c r="H1653" i="4"/>
  <c r="Z1652" i="4"/>
  <c r="Y1652" i="4"/>
  <c r="X1652" i="4"/>
  <c r="W1652" i="4"/>
  <c r="H1652" i="4"/>
  <c r="Z1651" i="4"/>
  <c r="Y1651" i="4"/>
  <c r="X1651" i="4"/>
  <c r="W1651" i="4"/>
  <c r="H1651" i="4"/>
  <c r="Z1650" i="4"/>
  <c r="Y1650" i="4"/>
  <c r="X1650" i="4"/>
  <c r="W1650" i="4"/>
  <c r="H1650" i="4"/>
  <c r="Z1649" i="4"/>
  <c r="Y1649" i="4"/>
  <c r="X1649" i="4"/>
  <c r="W1649" i="4"/>
  <c r="H1649" i="4"/>
  <c r="Z1648" i="4"/>
  <c r="Y1648" i="4"/>
  <c r="X1648" i="4"/>
  <c r="W1648" i="4"/>
  <c r="H1648" i="4"/>
  <c r="Z1647" i="4"/>
  <c r="Y1647" i="4"/>
  <c r="X1647" i="4"/>
  <c r="W1647" i="4"/>
  <c r="H1647" i="4"/>
  <c r="Z1646" i="4"/>
  <c r="Y1646" i="4"/>
  <c r="X1646" i="4"/>
  <c r="W1646" i="4"/>
  <c r="H1646" i="4"/>
  <c r="Z1645" i="4"/>
  <c r="Y1645" i="4"/>
  <c r="X1645" i="4"/>
  <c r="W1645" i="4"/>
  <c r="H1645" i="4"/>
  <c r="Z1644" i="4"/>
  <c r="Y1644" i="4"/>
  <c r="X1644" i="4"/>
  <c r="W1644" i="4"/>
  <c r="H1644" i="4"/>
  <c r="Z1643" i="4"/>
  <c r="Y1643" i="4"/>
  <c r="X1643" i="4"/>
  <c r="W1643" i="4"/>
  <c r="H1643" i="4"/>
  <c r="Z1642" i="4"/>
  <c r="Y1642" i="4"/>
  <c r="X1642" i="4"/>
  <c r="W1642" i="4"/>
  <c r="H1642" i="4"/>
  <c r="Z1641" i="4"/>
  <c r="Y1641" i="4"/>
  <c r="X1641" i="4"/>
  <c r="W1641" i="4"/>
  <c r="H1641" i="4"/>
  <c r="Z1640" i="4"/>
  <c r="Y1640" i="4"/>
  <c r="X1640" i="4"/>
  <c r="W1640" i="4"/>
  <c r="H1640" i="4"/>
  <c r="Z1639" i="4"/>
  <c r="Y1639" i="4"/>
  <c r="X1639" i="4"/>
  <c r="W1639" i="4"/>
  <c r="H1639" i="4"/>
  <c r="Z1638" i="4"/>
  <c r="Y1638" i="4"/>
  <c r="X1638" i="4"/>
  <c r="W1638" i="4"/>
  <c r="H1638" i="4"/>
  <c r="Z1637" i="4"/>
  <c r="Y1637" i="4"/>
  <c r="X1637" i="4"/>
  <c r="W1637" i="4"/>
  <c r="H1637" i="4"/>
  <c r="Z1636" i="4"/>
  <c r="Y1636" i="4"/>
  <c r="X1636" i="4"/>
  <c r="W1636" i="4"/>
  <c r="H1636" i="4"/>
  <c r="Z1635" i="4"/>
  <c r="Y1635" i="4"/>
  <c r="X1635" i="4"/>
  <c r="W1635" i="4"/>
  <c r="H1635" i="4"/>
  <c r="Z1634" i="4"/>
  <c r="Y1634" i="4"/>
  <c r="X1634" i="4"/>
  <c r="W1634" i="4"/>
  <c r="H1634" i="4"/>
  <c r="Z1633" i="4"/>
  <c r="Y1633" i="4"/>
  <c r="X1633" i="4"/>
  <c r="W1633" i="4"/>
  <c r="H1633" i="4"/>
  <c r="Z1632" i="4"/>
  <c r="Y1632" i="4"/>
  <c r="X1632" i="4"/>
  <c r="W1632" i="4"/>
  <c r="H1632" i="4"/>
  <c r="Z1631" i="4"/>
  <c r="Y1631" i="4"/>
  <c r="X1631" i="4"/>
  <c r="W1631" i="4"/>
  <c r="H1631" i="4"/>
  <c r="Z1630" i="4"/>
  <c r="Y1630" i="4"/>
  <c r="X1630" i="4"/>
  <c r="W1630" i="4"/>
  <c r="H1630" i="4"/>
  <c r="Z1629" i="4"/>
  <c r="Y1629" i="4"/>
  <c r="X1629" i="4"/>
  <c r="W1629" i="4"/>
  <c r="H1629" i="4"/>
  <c r="Z1628" i="4"/>
  <c r="Y1628" i="4"/>
  <c r="X1628" i="4"/>
  <c r="W1628" i="4"/>
  <c r="H1628" i="4"/>
  <c r="Z1627" i="4"/>
  <c r="Y1627" i="4"/>
  <c r="X1627" i="4"/>
  <c r="W1627" i="4"/>
  <c r="H1627" i="4"/>
  <c r="Z1626" i="4"/>
  <c r="Y1626" i="4"/>
  <c r="X1626" i="4"/>
  <c r="W1626" i="4"/>
  <c r="H1626" i="4"/>
  <c r="Z1625" i="4"/>
  <c r="Y1625" i="4"/>
  <c r="X1625" i="4"/>
  <c r="W1625" i="4"/>
  <c r="H1625" i="4"/>
  <c r="Z1624" i="4"/>
  <c r="Y1624" i="4"/>
  <c r="X1624" i="4"/>
  <c r="W1624" i="4"/>
  <c r="H1624" i="4"/>
  <c r="Z1623" i="4"/>
  <c r="Y1623" i="4"/>
  <c r="X1623" i="4"/>
  <c r="W1623" i="4"/>
  <c r="H1623" i="4"/>
  <c r="Z1622" i="4"/>
  <c r="Y1622" i="4"/>
  <c r="X1622" i="4"/>
  <c r="W1622" i="4"/>
  <c r="H1622" i="4"/>
  <c r="Z1621" i="4"/>
  <c r="Y1621" i="4"/>
  <c r="X1621" i="4"/>
  <c r="W1621" i="4"/>
  <c r="H1621" i="4"/>
  <c r="Z1620" i="4"/>
  <c r="Y1620" i="4"/>
  <c r="X1620" i="4"/>
  <c r="W1620" i="4"/>
  <c r="H1620" i="4"/>
  <c r="Z1619" i="4"/>
  <c r="Y1619" i="4"/>
  <c r="X1619" i="4"/>
  <c r="W1619" i="4"/>
  <c r="H1619" i="4"/>
  <c r="Z1618" i="4"/>
  <c r="Y1618" i="4"/>
  <c r="X1618" i="4"/>
  <c r="W1618" i="4"/>
  <c r="H1618" i="4"/>
  <c r="Z1617" i="4"/>
  <c r="Y1617" i="4"/>
  <c r="X1617" i="4"/>
  <c r="W1617" i="4"/>
  <c r="H1617" i="4"/>
  <c r="Z1616" i="4"/>
  <c r="Y1616" i="4"/>
  <c r="X1616" i="4"/>
  <c r="W1616" i="4"/>
  <c r="H1616" i="4"/>
  <c r="Z1615" i="4"/>
  <c r="Y1615" i="4"/>
  <c r="X1615" i="4"/>
  <c r="W1615" i="4"/>
  <c r="H1615" i="4"/>
  <c r="Z1614" i="4"/>
  <c r="Y1614" i="4"/>
  <c r="X1614" i="4"/>
  <c r="W1614" i="4"/>
  <c r="H1614" i="4"/>
  <c r="Z1613" i="4"/>
  <c r="Y1613" i="4"/>
  <c r="X1613" i="4"/>
  <c r="W1613" i="4"/>
  <c r="H1613" i="4"/>
  <c r="Z1612" i="4"/>
  <c r="Y1612" i="4"/>
  <c r="X1612" i="4"/>
  <c r="W1612" i="4"/>
  <c r="H1612" i="4"/>
  <c r="Z1611" i="4"/>
  <c r="Y1611" i="4"/>
  <c r="X1611" i="4"/>
  <c r="W1611" i="4"/>
  <c r="H1611" i="4"/>
  <c r="Z1610" i="4"/>
  <c r="Y1610" i="4"/>
  <c r="X1610" i="4"/>
  <c r="W1610" i="4"/>
  <c r="H1610" i="4"/>
  <c r="Z1609" i="4"/>
  <c r="Y1609" i="4"/>
  <c r="X1609" i="4"/>
  <c r="W1609" i="4"/>
  <c r="H1609" i="4"/>
  <c r="Z1608" i="4"/>
  <c r="Y1608" i="4"/>
  <c r="X1608" i="4"/>
  <c r="W1608" i="4"/>
  <c r="H1608" i="4"/>
  <c r="Z1607" i="4"/>
  <c r="Y1607" i="4"/>
  <c r="X1607" i="4"/>
  <c r="W1607" i="4"/>
  <c r="H1607" i="4"/>
  <c r="Z1606" i="4"/>
  <c r="Y1606" i="4"/>
  <c r="X1606" i="4"/>
  <c r="W1606" i="4"/>
  <c r="H1606" i="4"/>
  <c r="Z1605" i="4"/>
  <c r="Y1605" i="4"/>
  <c r="X1605" i="4"/>
  <c r="W1605" i="4"/>
  <c r="H1605" i="4"/>
  <c r="Z1604" i="4"/>
  <c r="Y1604" i="4"/>
  <c r="X1604" i="4"/>
  <c r="W1604" i="4"/>
  <c r="H1604" i="4"/>
  <c r="Z1603" i="4"/>
  <c r="Y1603" i="4"/>
  <c r="X1603" i="4"/>
  <c r="W1603" i="4"/>
  <c r="H1603" i="4"/>
  <c r="Z1602" i="4"/>
  <c r="Y1602" i="4"/>
  <c r="X1602" i="4"/>
  <c r="W1602" i="4"/>
  <c r="H1602" i="4"/>
  <c r="Z1601" i="4"/>
  <c r="Y1601" i="4"/>
  <c r="X1601" i="4"/>
  <c r="W1601" i="4"/>
  <c r="H1601" i="4"/>
  <c r="Z1600" i="4"/>
  <c r="Y1600" i="4"/>
  <c r="X1600" i="4"/>
  <c r="W1600" i="4"/>
  <c r="H1600" i="4"/>
  <c r="Z1599" i="4"/>
  <c r="Y1599" i="4"/>
  <c r="X1599" i="4"/>
  <c r="W1599" i="4"/>
  <c r="H1599" i="4"/>
  <c r="Z1598" i="4"/>
  <c r="Y1598" i="4"/>
  <c r="X1598" i="4"/>
  <c r="W1598" i="4"/>
  <c r="H1598" i="4"/>
  <c r="Z1597" i="4"/>
  <c r="Y1597" i="4"/>
  <c r="X1597" i="4"/>
  <c r="W1597" i="4"/>
  <c r="H1597" i="4"/>
  <c r="Z1596" i="4"/>
  <c r="Y1596" i="4"/>
  <c r="X1596" i="4"/>
  <c r="W1596" i="4"/>
  <c r="H1596" i="4"/>
  <c r="Z1595" i="4"/>
  <c r="Y1595" i="4"/>
  <c r="X1595" i="4"/>
  <c r="W1595" i="4"/>
  <c r="H1595" i="4"/>
  <c r="Z1594" i="4"/>
  <c r="Y1594" i="4"/>
  <c r="X1594" i="4"/>
  <c r="W1594" i="4"/>
  <c r="H1594" i="4"/>
  <c r="Z1593" i="4"/>
  <c r="Y1593" i="4"/>
  <c r="X1593" i="4"/>
  <c r="W1593" i="4"/>
  <c r="H1593" i="4"/>
  <c r="Z1592" i="4"/>
  <c r="Y1592" i="4"/>
  <c r="X1592" i="4"/>
  <c r="W1592" i="4"/>
  <c r="H1592" i="4"/>
  <c r="Z1591" i="4"/>
  <c r="Y1591" i="4"/>
  <c r="X1591" i="4"/>
  <c r="W1591" i="4"/>
  <c r="H1591" i="4"/>
  <c r="Z1590" i="4"/>
  <c r="Y1590" i="4"/>
  <c r="X1590" i="4"/>
  <c r="W1590" i="4"/>
  <c r="H1590" i="4"/>
  <c r="Z1589" i="4"/>
  <c r="Y1589" i="4"/>
  <c r="X1589" i="4"/>
  <c r="W1589" i="4"/>
  <c r="H1589" i="4"/>
  <c r="Z1588" i="4"/>
  <c r="Y1588" i="4"/>
  <c r="X1588" i="4"/>
  <c r="W1588" i="4"/>
  <c r="H1588" i="4"/>
  <c r="Z1587" i="4"/>
  <c r="Y1587" i="4"/>
  <c r="X1587" i="4"/>
  <c r="W1587" i="4"/>
  <c r="H1587" i="4"/>
  <c r="Z1586" i="4"/>
  <c r="Y1586" i="4"/>
  <c r="X1586" i="4"/>
  <c r="W1586" i="4"/>
  <c r="H1586" i="4"/>
  <c r="Z1585" i="4"/>
  <c r="Y1585" i="4"/>
  <c r="X1585" i="4"/>
  <c r="W1585" i="4"/>
  <c r="H1585" i="4"/>
  <c r="Z1584" i="4"/>
  <c r="Y1584" i="4"/>
  <c r="X1584" i="4"/>
  <c r="W1584" i="4"/>
  <c r="H1584" i="4"/>
  <c r="Z1583" i="4"/>
  <c r="Y1583" i="4"/>
  <c r="X1583" i="4"/>
  <c r="W1583" i="4"/>
  <c r="H1583" i="4"/>
  <c r="Z1582" i="4"/>
  <c r="Y1582" i="4"/>
  <c r="X1582" i="4"/>
  <c r="W1582" i="4"/>
  <c r="H1582" i="4"/>
  <c r="Z1581" i="4"/>
  <c r="Y1581" i="4"/>
  <c r="X1581" i="4"/>
  <c r="W1581" i="4"/>
  <c r="H1581" i="4"/>
  <c r="Z1580" i="4"/>
  <c r="Y1580" i="4"/>
  <c r="X1580" i="4"/>
  <c r="W1580" i="4"/>
  <c r="H1580" i="4"/>
  <c r="Z1579" i="4"/>
  <c r="Y1579" i="4"/>
  <c r="X1579" i="4"/>
  <c r="W1579" i="4"/>
  <c r="H1579" i="4"/>
  <c r="Z1578" i="4"/>
  <c r="Y1578" i="4"/>
  <c r="X1578" i="4"/>
  <c r="W1578" i="4"/>
  <c r="H1578" i="4"/>
  <c r="Z1577" i="4"/>
  <c r="Y1577" i="4"/>
  <c r="X1577" i="4"/>
  <c r="W1577" i="4"/>
  <c r="H1577" i="4"/>
  <c r="Z1576" i="4"/>
  <c r="Y1576" i="4"/>
  <c r="X1576" i="4"/>
  <c r="W1576" i="4"/>
  <c r="H1576" i="4"/>
  <c r="Z1575" i="4"/>
  <c r="Y1575" i="4"/>
  <c r="X1575" i="4"/>
  <c r="W1575" i="4"/>
  <c r="H1575" i="4"/>
  <c r="Z1574" i="4"/>
  <c r="Y1574" i="4"/>
  <c r="X1574" i="4"/>
  <c r="W1574" i="4"/>
  <c r="H1574" i="4"/>
  <c r="Z1573" i="4"/>
  <c r="Y1573" i="4"/>
  <c r="X1573" i="4"/>
  <c r="W1573" i="4"/>
  <c r="H1573" i="4"/>
  <c r="Z1572" i="4"/>
  <c r="Y1572" i="4"/>
  <c r="X1572" i="4"/>
  <c r="W1572" i="4"/>
  <c r="H1572" i="4"/>
  <c r="Z1571" i="4"/>
  <c r="Y1571" i="4"/>
  <c r="X1571" i="4"/>
  <c r="W1571" i="4"/>
  <c r="H1571" i="4"/>
  <c r="Z1570" i="4"/>
  <c r="Y1570" i="4"/>
  <c r="X1570" i="4"/>
  <c r="W1570" i="4"/>
  <c r="H1570" i="4"/>
  <c r="Z1569" i="4"/>
  <c r="Y1569" i="4"/>
  <c r="X1569" i="4"/>
  <c r="W1569" i="4"/>
  <c r="H1569" i="4"/>
  <c r="Z1568" i="4"/>
  <c r="Y1568" i="4"/>
  <c r="X1568" i="4"/>
  <c r="W1568" i="4"/>
  <c r="H1568" i="4"/>
  <c r="Z1567" i="4"/>
  <c r="Y1567" i="4"/>
  <c r="X1567" i="4"/>
  <c r="W1567" i="4"/>
  <c r="H1567" i="4"/>
  <c r="Z1566" i="4"/>
  <c r="Y1566" i="4"/>
  <c r="X1566" i="4"/>
  <c r="W1566" i="4"/>
  <c r="H1566" i="4"/>
  <c r="Z1565" i="4"/>
  <c r="Y1565" i="4"/>
  <c r="X1565" i="4"/>
  <c r="W1565" i="4"/>
  <c r="H1565" i="4"/>
  <c r="Z1564" i="4"/>
  <c r="Y1564" i="4"/>
  <c r="X1564" i="4"/>
  <c r="W1564" i="4"/>
  <c r="H1564" i="4"/>
  <c r="Z1563" i="4"/>
  <c r="Y1563" i="4"/>
  <c r="X1563" i="4"/>
  <c r="W1563" i="4"/>
  <c r="H1563" i="4"/>
  <c r="Z1562" i="4"/>
  <c r="Y1562" i="4"/>
  <c r="X1562" i="4"/>
  <c r="W1562" i="4"/>
  <c r="H1562" i="4"/>
  <c r="Z1561" i="4"/>
  <c r="Y1561" i="4"/>
  <c r="X1561" i="4"/>
  <c r="W1561" i="4"/>
  <c r="H1561" i="4"/>
  <c r="Z1560" i="4"/>
  <c r="Y1560" i="4"/>
  <c r="X1560" i="4"/>
  <c r="W1560" i="4"/>
  <c r="H1560" i="4"/>
  <c r="Z1559" i="4"/>
  <c r="Y1559" i="4"/>
  <c r="X1559" i="4"/>
  <c r="W1559" i="4"/>
  <c r="H1559" i="4"/>
  <c r="Z1558" i="4"/>
  <c r="Y1558" i="4"/>
  <c r="X1558" i="4"/>
  <c r="W1558" i="4"/>
  <c r="H1558" i="4"/>
  <c r="Z1557" i="4"/>
  <c r="Y1557" i="4"/>
  <c r="X1557" i="4"/>
  <c r="W1557" i="4"/>
  <c r="H1557" i="4"/>
  <c r="Z1556" i="4"/>
  <c r="Y1556" i="4"/>
  <c r="X1556" i="4"/>
  <c r="W1556" i="4"/>
  <c r="H1556" i="4"/>
  <c r="Z1555" i="4"/>
  <c r="Y1555" i="4"/>
  <c r="X1555" i="4"/>
  <c r="W1555" i="4"/>
  <c r="H1555" i="4"/>
  <c r="Z1554" i="4"/>
  <c r="Y1554" i="4"/>
  <c r="X1554" i="4"/>
  <c r="W1554" i="4"/>
  <c r="H1554" i="4"/>
  <c r="Z1553" i="4"/>
  <c r="Y1553" i="4"/>
  <c r="X1553" i="4"/>
  <c r="W1553" i="4"/>
  <c r="H1553" i="4"/>
  <c r="Z1552" i="4"/>
  <c r="Y1552" i="4"/>
  <c r="X1552" i="4"/>
  <c r="W1552" i="4"/>
  <c r="H1552" i="4"/>
  <c r="Z1551" i="4"/>
  <c r="Y1551" i="4"/>
  <c r="X1551" i="4"/>
  <c r="W1551" i="4"/>
  <c r="H1551" i="4"/>
  <c r="Z1550" i="4"/>
  <c r="Y1550" i="4"/>
  <c r="X1550" i="4"/>
  <c r="W1550" i="4"/>
  <c r="H1550" i="4"/>
  <c r="Z1549" i="4"/>
  <c r="Y1549" i="4"/>
  <c r="X1549" i="4"/>
  <c r="W1549" i="4"/>
  <c r="H1549" i="4"/>
  <c r="Z1548" i="4"/>
  <c r="Y1548" i="4"/>
  <c r="X1548" i="4"/>
  <c r="W1548" i="4"/>
  <c r="H1548" i="4"/>
  <c r="Z1547" i="4"/>
  <c r="Y1547" i="4"/>
  <c r="X1547" i="4"/>
  <c r="W1547" i="4"/>
  <c r="H1547" i="4"/>
  <c r="Z1546" i="4"/>
  <c r="Y1546" i="4"/>
  <c r="X1546" i="4"/>
  <c r="W1546" i="4"/>
  <c r="H1546" i="4"/>
  <c r="Z1545" i="4"/>
  <c r="Y1545" i="4"/>
  <c r="X1545" i="4"/>
  <c r="W1545" i="4"/>
  <c r="H1545" i="4"/>
  <c r="Z1544" i="4"/>
  <c r="Y1544" i="4"/>
  <c r="X1544" i="4"/>
  <c r="W1544" i="4"/>
  <c r="H1544" i="4"/>
  <c r="Z1543" i="4"/>
  <c r="Y1543" i="4"/>
  <c r="X1543" i="4"/>
  <c r="W1543" i="4"/>
  <c r="H1543" i="4"/>
  <c r="Z1542" i="4"/>
  <c r="Y1542" i="4"/>
  <c r="X1542" i="4"/>
  <c r="W1542" i="4"/>
  <c r="H1542" i="4"/>
  <c r="Z1541" i="4"/>
  <c r="Y1541" i="4"/>
  <c r="X1541" i="4"/>
  <c r="W1541" i="4"/>
  <c r="H1541" i="4"/>
  <c r="Z1540" i="4"/>
  <c r="Y1540" i="4"/>
  <c r="X1540" i="4"/>
  <c r="W1540" i="4"/>
  <c r="H1540" i="4"/>
  <c r="Z1539" i="4"/>
  <c r="Y1539" i="4"/>
  <c r="X1539" i="4"/>
  <c r="W1539" i="4"/>
  <c r="H1539" i="4"/>
  <c r="Z1538" i="4"/>
  <c r="Y1538" i="4"/>
  <c r="X1538" i="4"/>
  <c r="W1538" i="4"/>
  <c r="H1538" i="4"/>
  <c r="Z1537" i="4"/>
  <c r="Y1537" i="4"/>
  <c r="X1537" i="4"/>
  <c r="W1537" i="4"/>
  <c r="H1537" i="4"/>
  <c r="Z1536" i="4"/>
  <c r="Y1536" i="4"/>
  <c r="X1536" i="4"/>
  <c r="W1536" i="4"/>
  <c r="H1536" i="4"/>
  <c r="Z1535" i="4"/>
  <c r="Y1535" i="4"/>
  <c r="X1535" i="4"/>
  <c r="W1535" i="4"/>
  <c r="H1535" i="4"/>
  <c r="Z1534" i="4"/>
  <c r="Y1534" i="4"/>
  <c r="X1534" i="4"/>
  <c r="W1534" i="4"/>
  <c r="H1534" i="4"/>
  <c r="Z1533" i="4"/>
  <c r="Y1533" i="4"/>
  <c r="X1533" i="4"/>
  <c r="W1533" i="4"/>
  <c r="H1533" i="4"/>
  <c r="Z1532" i="4"/>
  <c r="Y1532" i="4"/>
  <c r="X1532" i="4"/>
  <c r="W1532" i="4"/>
  <c r="H1532" i="4"/>
  <c r="Z1531" i="4"/>
  <c r="Y1531" i="4"/>
  <c r="X1531" i="4"/>
  <c r="W1531" i="4"/>
  <c r="H1531" i="4"/>
  <c r="Z1530" i="4"/>
  <c r="Y1530" i="4"/>
  <c r="X1530" i="4"/>
  <c r="W1530" i="4"/>
  <c r="H1530" i="4"/>
  <c r="Z1529" i="4"/>
  <c r="Y1529" i="4"/>
  <c r="X1529" i="4"/>
  <c r="W1529" i="4"/>
  <c r="H1529" i="4"/>
  <c r="Z1528" i="4"/>
  <c r="Y1528" i="4"/>
  <c r="X1528" i="4"/>
  <c r="W1528" i="4"/>
  <c r="H1528" i="4"/>
  <c r="Z1527" i="4"/>
  <c r="Y1527" i="4"/>
  <c r="X1527" i="4"/>
  <c r="W1527" i="4"/>
  <c r="H1527" i="4"/>
  <c r="Z1526" i="4"/>
  <c r="Y1526" i="4"/>
  <c r="X1526" i="4"/>
  <c r="W1526" i="4"/>
  <c r="H1526" i="4"/>
  <c r="Z1525" i="4"/>
  <c r="Y1525" i="4"/>
  <c r="X1525" i="4"/>
  <c r="W1525" i="4"/>
  <c r="H1525" i="4"/>
  <c r="Z1524" i="4"/>
  <c r="Y1524" i="4"/>
  <c r="X1524" i="4"/>
  <c r="W1524" i="4"/>
  <c r="H1524" i="4"/>
  <c r="Z1523" i="4"/>
  <c r="Y1523" i="4"/>
  <c r="X1523" i="4"/>
  <c r="W1523" i="4"/>
  <c r="H1523" i="4"/>
  <c r="Z1522" i="4"/>
  <c r="Y1522" i="4"/>
  <c r="X1522" i="4"/>
  <c r="W1522" i="4"/>
  <c r="H1522" i="4"/>
  <c r="Z1521" i="4"/>
  <c r="Y1521" i="4"/>
  <c r="X1521" i="4"/>
  <c r="W1521" i="4"/>
  <c r="H1521" i="4"/>
  <c r="Z1520" i="4"/>
  <c r="Y1520" i="4"/>
  <c r="X1520" i="4"/>
  <c r="W1520" i="4"/>
  <c r="H1520" i="4"/>
  <c r="Z1519" i="4"/>
  <c r="Y1519" i="4"/>
  <c r="X1519" i="4"/>
  <c r="W1519" i="4"/>
  <c r="H1519" i="4"/>
  <c r="Z1518" i="4"/>
  <c r="Y1518" i="4"/>
  <c r="X1518" i="4"/>
  <c r="W1518" i="4"/>
  <c r="H1518" i="4"/>
  <c r="Z1517" i="4"/>
  <c r="Y1517" i="4"/>
  <c r="X1517" i="4"/>
  <c r="W1517" i="4"/>
  <c r="H1517" i="4"/>
  <c r="Z1516" i="4"/>
  <c r="Y1516" i="4"/>
  <c r="X1516" i="4"/>
  <c r="W1516" i="4"/>
  <c r="H1516" i="4"/>
  <c r="Z1515" i="4"/>
  <c r="Y1515" i="4"/>
  <c r="X1515" i="4"/>
  <c r="W1515" i="4"/>
  <c r="H1515" i="4"/>
  <c r="Z1514" i="4"/>
  <c r="Y1514" i="4"/>
  <c r="X1514" i="4"/>
  <c r="W1514" i="4"/>
  <c r="H1514" i="4"/>
  <c r="Z1513" i="4"/>
  <c r="Y1513" i="4"/>
  <c r="X1513" i="4"/>
  <c r="W1513" i="4"/>
  <c r="H1513" i="4"/>
  <c r="Z1512" i="4"/>
  <c r="Y1512" i="4"/>
  <c r="X1512" i="4"/>
  <c r="W1512" i="4"/>
  <c r="H1512" i="4"/>
  <c r="Z1511" i="4"/>
  <c r="Y1511" i="4"/>
  <c r="X1511" i="4"/>
  <c r="W1511" i="4"/>
  <c r="H1511" i="4"/>
  <c r="Z1510" i="4"/>
  <c r="Y1510" i="4"/>
  <c r="X1510" i="4"/>
  <c r="W1510" i="4"/>
  <c r="H1510" i="4"/>
  <c r="Z1509" i="4"/>
  <c r="Y1509" i="4"/>
  <c r="X1509" i="4"/>
  <c r="W1509" i="4"/>
  <c r="H1509" i="4"/>
  <c r="Z1508" i="4"/>
  <c r="Y1508" i="4"/>
  <c r="X1508" i="4"/>
  <c r="W1508" i="4"/>
  <c r="H1508" i="4"/>
  <c r="Z1507" i="4"/>
  <c r="Y1507" i="4"/>
  <c r="X1507" i="4"/>
  <c r="W1507" i="4"/>
  <c r="H1507" i="4"/>
  <c r="Z1506" i="4"/>
  <c r="Y1506" i="4"/>
  <c r="X1506" i="4"/>
  <c r="W1506" i="4"/>
  <c r="H1506" i="4"/>
  <c r="Z1505" i="4"/>
  <c r="Y1505" i="4"/>
  <c r="X1505" i="4"/>
  <c r="W1505" i="4"/>
  <c r="H1505" i="4"/>
  <c r="Z1504" i="4"/>
  <c r="Y1504" i="4"/>
  <c r="X1504" i="4"/>
  <c r="W1504" i="4"/>
  <c r="H1504" i="4"/>
  <c r="Z1503" i="4"/>
  <c r="Y1503" i="4"/>
  <c r="X1503" i="4"/>
  <c r="W1503" i="4"/>
  <c r="H1503" i="4"/>
  <c r="Z1502" i="4"/>
  <c r="Y1502" i="4"/>
  <c r="X1502" i="4"/>
  <c r="W1502" i="4"/>
  <c r="H1502" i="4"/>
  <c r="Z1501" i="4"/>
  <c r="Y1501" i="4"/>
  <c r="X1501" i="4"/>
  <c r="W1501" i="4"/>
  <c r="H1501" i="4"/>
  <c r="Z1500" i="4"/>
  <c r="Y1500" i="4"/>
  <c r="X1500" i="4"/>
  <c r="W1500" i="4"/>
  <c r="H1500" i="4"/>
  <c r="Z1499" i="4"/>
  <c r="Y1499" i="4"/>
  <c r="X1499" i="4"/>
  <c r="W1499" i="4"/>
  <c r="H1499" i="4"/>
  <c r="Z1498" i="4"/>
  <c r="Y1498" i="4"/>
  <c r="X1498" i="4"/>
  <c r="W1498" i="4"/>
  <c r="H1498" i="4"/>
  <c r="Z1497" i="4"/>
  <c r="Y1497" i="4"/>
  <c r="X1497" i="4"/>
  <c r="W1497" i="4"/>
  <c r="H1497" i="4"/>
  <c r="Z1496" i="4"/>
  <c r="Y1496" i="4"/>
  <c r="X1496" i="4"/>
  <c r="W1496" i="4"/>
  <c r="H1496" i="4"/>
  <c r="Z1495" i="4"/>
  <c r="Y1495" i="4"/>
  <c r="X1495" i="4"/>
  <c r="W1495" i="4"/>
  <c r="H1495" i="4"/>
  <c r="Z1494" i="4"/>
  <c r="Y1494" i="4"/>
  <c r="X1494" i="4"/>
  <c r="W1494" i="4"/>
  <c r="H1494" i="4"/>
  <c r="Z1493" i="4"/>
  <c r="Y1493" i="4"/>
  <c r="X1493" i="4"/>
  <c r="W1493" i="4"/>
  <c r="H1493" i="4"/>
  <c r="Z1492" i="4"/>
  <c r="Y1492" i="4"/>
  <c r="X1492" i="4"/>
  <c r="W1492" i="4"/>
  <c r="H1492" i="4"/>
  <c r="Z1491" i="4"/>
  <c r="Y1491" i="4"/>
  <c r="X1491" i="4"/>
  <c r="W1491" i="4"/>
  <c r="H1491" i="4"/>
  <c r="Z1490" i="4"/>
  <c r="Y1490" i="4"/>
  <c r="X1490" i="4"/>
  <c r="W1490" i="4"/>
  <c r="H1490" i="4"/>
  <c r="Z1489" i="4"/>
  <c r="Y1489" i="4"/>
  <c r="X1489" i="4"/>
  <c r="W1489" i="4"/>
  <c r="H1489" i="4"/>
  <c r="Z1488" i="4"/>
  <c r="Y1488" i="4"/>
  <c r="X1488" i="4"/>
  <c r="W1488" i="4"/>
  <c r="H1488" i="4"/>
  <c r="Z1487" i="4"/>
  <c r="Y1487" i="4"/>
  <c r="X1487" i="4"/>
  <c r="W1487" i="4"/>
  <c r="H1487" i="4"/>
  <c r="Z1486" i="4"/>
  <c r="Y1486" i="4"/>
  <c r="X1486" i="4"/>
  <c r="W1486" i="4"/>
  <c r="H1486" i="4"/>
  <c r="Z1485" i="4"/>
  <c r="Y1485" i="4"/>
  <c r="X1485" i="4"/>
  <c r="W1485" i="4"/>
  <c r="H1485" i="4"/>
  <c r="Z1484" i="4"/>
  <c r="Y1484" i="4"/>
  <c r="X1484" i="4"/>
  <c r="W1484" i="4"/>
  <c r="H1484" i="4"/>
  <c r="Z1483" i="4"/>
  <c r="Y1483" i="4"/>
  <c r="X1483" i="4"/>
  <c r="W1483" i="4"/>
  <c r="H1483" i="4"/>
  <c r="Z1482" i="4"/>
  <c r="Y1482" i="4"/>
  <c r="X1482" i="4"/>
  <c r="W1482" i="4"/>
  <c r="H1482" i="4"/>
  <c r="Z1481" i="4"/>
  <c r="Y1481" i="4"/>
  <c r="X1481" i="4"/>
  <c r="W1481" i="4"/>
  <c r="H1481" i="4"/>
  <c r="Z1480" i="4"/>
  <c r="Y1480" i="4"/>
  <c r="X1480" i="4"/>
  <c r="W1480" i="4"/>
  <c r="H1480" i="4"/>
  <c r="Z1479" i="4"/>
  <c r="Y1479" i="4"/>
  <c r="X1479" i="4"/>
  <c r="W1479" i="4"/>
  <c r="H1479" i="4"/>
  <c r="Z1478" i="4"/>
  <c r="Y1478" i="4"/>
  <c r="X1478" i="4"/>
  <c r="W1478" i="4"/>
  <c r="H1478" i="4"/>
  <c r="Z1477" i="4"/>
  <c r="Y1477" i="4"/>
  <c r="X1477" i="4"/>
  <c r="W1477" i="4"/>
  <c r="H1477" i="4"/>
  <c r="Z1476" i="4"/>
  <c r="Y1476" i="4"/>
  <c r="X1476" i="4"/>
  <c r="W1476" i="4"/>
  <c r="H1476" i="4"/>
  <c r="Z1475" i="4"/>
  <c r="Y1475" i="4"/>
  <c r="X1475" i="4"/>
  <c r="W1475" i="4"/>
  <c r="H1475" i="4"/>
  <c r="Z1474" i="4"/>
  <c r="Y1474" i="4"/>
  <c r="X1474" i="4"/>
  <c r="W1474" i="4"/>
  <c r="H1474" i="4"/>
  <c r="Z1473" i="4"/>
  <c r="Y1473" i="4"/>
  <c r="X1473" i="4"/>
  <c r="W1473" i="4"/>
  <c r="H1473" i="4"/>
  <c r="Z1472" i="4"/>
  <c r="Y1472" i="4"/>
  <c r="X1472" i="4"/>
  <c r="W1472" i="4"/>
  <c r="H1472" i="4"/>
  <c r="Z1471" i="4"/>
  <c r="Y1471" i="4"/>
  <c r="X1471" i="4"/>
  <c r="W1471" i="4"/>
  <c r="H1471" i="4"/>
  <c r="Z1470" i="4"/>
  <c r="Y1470" i="4"/>
  <c r="X1470" i="4"/>
  <c r="W1470" i="4"/>
  <c r="H1470" i="4"/>
  <c r="Z1469" i="4"/>
  <c r="Y1469" i="4"/>
  <c r="X1469" i="4"/>
  <c r="W1469" i="4"/>
  <c r="H1469" i="4"/>
  <c r="Z1468" i="4"/>
  <c r="Y1468" i="4"/>
  <c r="X1468" i="4"/>
  <c r="W1468" i="4"/>
  <c r="H1468" i="4"/>
  <c r="Z1467" i="4"/>
  <c r="Y1467" i="4"/>
  <c r="X1467" i="4"/>
  <c r="W1467" i="4"/>
  <c r="H1467" i="4"/>
  <c r="Z1466" i="4"/>
  <c r="Y1466" i="4"/>
  <c r="X1466" i="4"/>
  <c r="W1466" i="4"/>
  <c r="H1466" i="4"/>
  <c r="Z1465" i="4"/>
  <c r="Y1465" i="4"/>
  <c r="X1465" i="4"/>
  <c r="W1465" i="4"/>
  <c r="H1465" i="4"/>
  <c r="Z1464" i="4"/>
  <c r="Y1464" i="4"/>
  <c r="X1464" i="4"/>
  <c r="W1464" i="4"/>
  <c r="H1464" i="4"/>
  <c r="Z1463" i="4"/>
  <c r="Y1463" i="4"/>
  <c r="X1463" i="4"/>
  <c r="W1463" i="4"/>
  <c r="H1463" i="4"/>
  <c r="Z1462" i="4"/>
  <c r="Y1462" i="4"/>
  <c r="X1462" i="4"/>
  <c r="W1462" i="4"/>
  <c r="H1462" i="4"/>
  <c r="Z1461" i="4"/>
  <c r="Y1461" i="4"/>
  <c r="X1461" i="4"/>
  <c r="W1461" i="4"/>
  <c r="H1461" i="4"/>
  <c r="Z1460" i="4"/>
  <c r="Y1460" i="4"/>
  <c r="X1460" i="4"/>
  <c r="W1460" i="4"/>
  <c r="H1460" i="4"/>
  <c r="Z1459" i="4"/>
  <c r="Y1459" i="4"/>
  <c r="X1459" i="4"/>
  <c r="W1459" i="4"/>
  <c r="H1459" i="4"/>
  <c r="Z1458" i="4"/>
  <c r="Y1458" i="4"/>
  <c r="X1458" i="4"/>
  <c r="W1458" i="4"/>
  <c r="H1458" i="4"/>
  <c r="Z1457" i="4"/>
  <c r="Y1457" i="4"/>
  <c r="X1457" i="4"/>
  <c r="W1457" i="4"/>
  <c r="H1457" i="4"/>
  <c r="Z1456" i="4"/>
  <c r="Y1456" i="4"/>
  <c r="X1456" i="4"/>
  <c r="W1456" i="4"/>
  <c r="H1456" i="4"/>
  <c r="Z1455" i="4"/>
  <c r="Y1455" i="4"/>
  <c r="X1455" i="4"/>
  <c r="W1455" i="4"/>
  <c r="H1455" i="4"/>
  <c r="Z1454" i="4"/>
  <c r="Y1454" i="4"/>
  <c r="X1454" i="4"/>
  <c r="W1454" i="4"/>
  <c r="H1454" i="4"/>
  <c r="Z1453" i="4"/>
  <c r="Y1453" i="4"/>
  <c r="X1453" i="4"/>
  <c r="W1453" i="4"/>
  <c r="H1453" i="4"/>
  <c r="Z1452" i="4"/>
  <c r="Y1452" i="4"/>
  <c r="X1452" i="4"/>
  <c r="W1452" i="4"/>
  <c r="H1452" i="4"/>
  <c r="Z1451" i="4"/>
  <c r="Y1451" i="4"/>
  <c r="X1451" i="4"/>
  <c r="W1451" i="4"/>
  <c r="H1451" i="4"/>
  <c r="Z1450" i="4"/>
  <c r="Y1450" i="4"/>
  <c r="X1450" i="4"/>
  <c r="W1450" i="4"/>
  <c r="H1450" i="4"/>
  <c r="Z1449" i="4"/>
  <c r="Y1449" i="4"/>
  <c r="X1449" i="4"/>
  <c r="W1449" i="4"/>
  <c r="H1449" i="4"/>
  <c r="Z1448" i="4"/>
  <c r="Y1448" i="4"/>
  <c r="X1448" i="4"/>
  <c r="W1448" i="4"/>
  <c r="H1448" i="4"/>
  <c r="Z1447" i="4"/>
  <c r="Y1447" i="4"/>
  <c r="X1447" i="4"/>
  <c r="W1447" i="4"/>
  <c r="H1447" i="4"/>
  <c r="Z1446" i="4"/>
  <c r="Y1446" i="4"/>
  <c r="X1446" i="4"/>
  <c r="W1446" i="4"/>
  <c r="H1446" i="4"/>
  <c r="Z1445" i="4"/>
  <c r="Y1445" i="4"/>
  <c r="X1445" i="4"/>
  <c r="W1445" i="4"/>
  <c r="H1445" i="4"/>
  <c r="Z1444" i="4"/>
  <c r="Y1444" i="4"/>
  <c r="X1444" i="4"/>
  <c r="W1444" i="4"/>
  <c r="H1444" i="4"/>
  <c r="Z1443" i="4"/>
  <c r="Y1443" i="4"/>
  <c r="X1443" i="4"/>
  <c r="W1443" i="4"/>
  <c r="H1443" i="4"/>
  <c r="Z1442" i="4"/>
  <c r="Y1442" i="4"/>
  <c r="X1442" i="4"/>
  <c r="W1442" i="4"/>
  <c r="H1442" i="4"/>
  <c r="Z1441" i="4"/>
  <c r="Y1441" i="4"/>
  <c r="X1441" i="4"/>
  <c r="W1441" i="4"/>
  <c r="H1441" i="4"/>
  <c r="Z1440" i="4"/>
  <c r="Y1440" i="4"/>
  <c r="X1440" i="4"/>
  <c r="W1440" i="4"/>
  <c r="H1440" i="4"/>
  <c r="Z1439" i="4"/>
  <c r="Y1439" i="4"/>
  <c r="X1439" i="4"/>
  <c r="W1439" i="4"/>
  <c r="H1439" i="4"/>
  <c r="Z1438" i="4"/>
  <c r="Y1438" i="4"/>
  <c r="X1438" i="4"/>
  <c r="W1438" i="4"/>
  <c r="H1438" i="4"/>
  <c r="Z1437" i="4"/>
  <c r="Y1437" i="4"/>
  <c r="X1437" i="4"/>
  <c r="W1437" i="4"/>
  <c r="H1437" i="4"/>
  <c r="Z1436" i="4"/>
  <c r="Y1436" i="4"/>
  <c r="X1436" i="4"/>
  <c r="W1436" i="4"/>
  <c r="H1436" i="4"/>
  <c r="Z1435" i="4"/>
  <c r="Y1435" i="4"/>
  <c r="X1435" i="4"/>
  <c r="W1435" i="4"/>
  <c r="H1435" i="4"/>
  <c r="Z1434" i="4"/>
  <c r="Y1434" i="4"/>
  <c r="X1434" i="4"/>
  <c r="W1434" i="4"/>
  <c r="H1434" i="4"/>
  <c r="Z1433" i="4"/>
  <c r="Y1433" i="4"/>
  <c r="X1433" i="4"/>
  <c r="W1433" i="4"/>
  <c r="H1433" i="4"/>
  <c r="Z1432" i="4"/>
  <c r="Y1432" i="4"/>
  <c r="X1432" i="4"/>
  <c r="W1432" i="4"/>
  <c r="H1432" i="4"/>
  <c r="Z1431" i="4"/>
  <c r="Y1431" i="4"/>
  <c r="X1431" i="4"/>
  <c r="W1431" i="4"/>
  <c r="H1431" i="4"/>
  <c r="Z1430" i="4"/>
  <c r="Y1430" i="4"/>
  <c r="X1430" i="4"/>
  <c r="W1430" i="4"/>
  <c r="H1430" i="4"/>
  <c r="Z1429" i="4"/>
  <c r="Y1429" i="4"/>
  <c r="X1429" i="4"/>
  <c r="W1429" i="4"/>
  <c r="H1429" i="4"/>
  <c r="Z1428" i="4"/>
  <c r="Y1428" i="4"/>
  <c r="X1428" i="4"/>
  <c r="W1428" i="4"/>
  <c r="H1428" i="4"/>
  <c r="Z1427" i="4"/>
  <c r="Y1427" i="4"/>
  <c r="X1427" i="4"/>
  <c r="W1427" i="4"/>
  <c r="H1427" i="4"/>
  <c r="Z1426" i="4"/>
  <c r="Y1426" i="4"/>
  <c r="X1426" i="4"/>
  <c r="W1426" i="4"/>
  <c r="H1426" i="4"/>
  <c r="Z1425" i="4"/>
  <c r="Y1425" i="4"/>
  <c r="X1425" i="4"/>
  <c r="W1425" i="4"/>
  <c r="H1425" i="4"/>
  <c r="Z1424" i="4"/>
  <c r="Y1424" i="4"/>
  <c r="X1424" i="4"/>
  <c r="W1424" i="4"/>
  <c r="H1424" i="4"/>
  <c r="Z1423" i="4"/>
  <c r="Y1423" i="4"/>
  <c r="X1423" i="4"/>
  <c r="W1423" i="4"/>
  <c r="H1423" i="4"/>
  <c r="Z1422" i="4"/>
  <c r="Y1422" i="4"/>
  <c r="X1422" i="4"/>
  <c r="W1422" i="4"/>
  <c r="H1422" i="4"/>
  <c r="Z1421" i="4"/>
  <c r="Y1421" i="4"/>
  <c r="X1421" i="4"/>
  <c r="W1421" i="4"/>
  <c r="H1421" i="4"/>
  <c r="Z1420" i="4"/>
  <c r="Y1420" i="4"/>
  <c r="X1420" i="4"/>
  <c r="W1420" i="4"/>
  <c r="H1420" i="4"/>
  <c r="Z1419" i="4"/>
  <c r="Y1419" i="4"/>
  <c r="X1419" i="4"/>
  <c r="W1419" i="4"/>
  <c r="H1419" i="4"/>
  <c r="Z1418" i="4"/>
  <c r="Y1418" i="4"/>
  <c r="X1418" i="4"/>
  <c r="W1418" i="4"/>
  <c r="H1418" i="4"/>
  <c r="Z1417" i="4"/>
  <c r="Y1417" i="4"/>
  <c r="X1417" i="4"/>
  <c r="W1417" i="4"/>
  <c r="H1417" i="4"/>
  <c r="Z1416" i="4"/>
  <c r="Y1416" i="4"/>
  <c r="X1416" i="4"/>
  <c r="W1416" i="4"/>
  <c r="H1416" i="4"/>
  <c r="Z1415" i="4"/>
  <c r="Y1415" i="4"/>
  <c r="X1415" i="4"/>
  <c r="W1415" i="4"/>
  <c r="H1415" i="4"/>
  <c r="Z1414" i="4"/>
  <c r="Y1414" i="4"/>
  <c r="X1414" i="4"/>
  <c r="W1414" i="4"/>
  <c r="H1414" i="4"/>
  <c r="Z1413" i="4"/>
  <c r="Y1413" i="4"/>
  <c r="X1413" i="4"/>
  <c r="W1413" i="4"/>
  <c r="H1413" i="4"/>
  <c r="Z1412" i="4"/>
  <c r="Y1412" i="4"/>
  <c r="X1412" i="4"/>
  <c r="W1412" i="4"/>
  <c r="H1412" i="4"/>
  <c r="Z1411" i="4"/>
  <c r="Y1411" i="4"/>
  <c r="X1411" i="4"/>
  <c r="W1411" i="4"/>
  <c r="H1411" i="4"/>
  <c r="Z1410" i="4"/>
  <c r="Y1410" i="4"/>
  <c r="X1410" i="4"/>
  <c r="W1410" i="4"/>
  <c r="H1410" i="4"/>
  <c r="Z1409" i="4"/>
  <c r="Y1409" i="4"/>
  <c r="X1409" i="4"/>
  <c r="W1409" i="4"/>
  <c r="H1409" i="4"/>
  <c r="Z1408" i="4"/>
  <c r="Y1408" i="4"/>
  <c r="X1408" i="4"/>
  <c r="W1408" i="4"/>
  <c r="H1408" i="4"/>
  <c r="Z1407" i="4"/>
  <c r="Y1407" i="4"/>
  <c r="X1407" i="4"/>
  <c r="W1407" i="4"/>
  <c r="H1407" i="4"/>
  <c r="Z1406" i="4"/>
  <c r="Y1406" i="4"/>
  <c r="X1406" i="4"/>
  <c r="W1406" i="4"/>
  <c r="H1406" i="4"/>
  <c r="Z1405" i="4"/>
  <c r="Y1405" i="4"/>
  <c r="X1405" i="4"/>
  <c r="W1405" i="4"/>
  <c r="H1405" i="4"/>
  <c r="Z1404" i="4"/>
  <c r="Y1404" i="4"/>
  <c r="X1404" i="4"/>
  <c r="W1404" i="4"/>
  <c r="H1404" i="4"/>
  <c r="Z1403" i="4"/>
  <c r="Y1403" i="4"/>
  <c r="X1403" i="4"/>
  <c r="W1403" i="4"/>
  <c r="H1403" i="4"/>
  <c r="Z1402" i="4"/>
  <c r="Y1402" i="4"/>
  <c r="X1402" i="4"/>
  <c r="W1402" i="4"/>
  <c r="H1402" i="4"/>
  <c r="Z1401" i="4"/>
  <c r="Y1401" i="4"/>
  <c r="X1401" i="4"/>
  <c r="W1401" i="4"/>
  <c r="H1401" i="4"/>
  <c r="Z1400" i="4"/>
  <c r="Y1400" i="4"/>
  <c r="X1400" i="4"/>
  <c r="W1400" i="4"/>
  <c r="H1400" i="4"/>
  <c r="Z1399" i="4"/>
  <c r="Y1399" i="4"/>
  <c r="X1399" i="4"/>
  <c r="W1399" i="4"/>
  <c r="H1399" i="4"/>
  <c r="Z1398" i="4"/>
  <c r="Y1398" i="4"/>
  <c r="X1398" i="4"/>
  <c r="W1398" i="4"/>
  <c r="H1398" i="4"/>
  <c r="Z1397" i="4"/>
  <c r="Y1397" i="4"/>
  <c r="X1397" i="4"/>
  <c r="W1397" i="4"/>
  <c r="H1397" i="4"/>
  <c r="Z1396" i="4"/>
  <c r="Y1396" i="4"/>
  <c r="X1396" i="4"/>
  <c r="W1396" i="4"/>
  <c r="H1396" i="4"/>
  <c r="Z1395" i="4"/>
  <c r="Y1395" i="4"/>
  <c r="X1395" i="4"/>
  <c r="W1395" i="4"/>
  <c r="H1395" i="4"/>
  <c r="Z1394" i="4"/>
  <c r="Y1394" i="4"/>
  <c r="X1394" i="4"/>
  <c r="W1394" i="4"/>
  <c r="H1394" i="4"/>
  <c r="Z1393" i="4"/>
  <c r="Y1393" i="4"/>
  <c r="X1393" i="4"/>
  <c r="W1393" i="4"/>
  <c r="H1393" i="4"/>
  <c r="Z1392" i="4"/>
  <c r="Y1392" i="4"/>
  <c r="X1392" i="4"/>
  <c r="W1392" i="4"/>
  <c r="H1392" i="4"/>
  <c r="Z1391" i="4"/>
  <c r="Y1391" i="4"/>
  <c r="X1391" i="4"/>
  <c r="W1391" i="4"/>
  <c r="H1391" i="4"/>
  <c r="Z1390" i="4"/>
  <c r="Y1390" i="4"/>
  <c r="X1390" i="4"/>
  <c r="W1390" i="4"/>
  <c r="H1390" i="4"/>
  <c r="Z1389" i="4"/>
  <c r="Y1389" i="4"/>
  <c r="X1389" i="4"/>
  <c r="W1389" i="4"/>
  <c r="H1389" i="4"/>
  <c r="Z1388" i="4"/>
  <c r="Y1388" i="4"/>
  <c r="X1388" i="4"/>
  <c r="W1388" i="4"/>
  <c r="H1388" i="4"/>
  <c r="Z1387" i="4"/>
  <c r="Y1387" i="4"/>
  <c r="X1387" i="4"/>
  <c r="W1387" i="4"/>
  <c r="H1387" i="4"/>
  <c r="Z1386" i="4"/>
  <c r="Y1386" i="4"/>
  <c r="X1386" i="4"/>
  <c r="W1386" i="4"/>
  <c r="H1386" i="4"/>
  <c r="Z1385" i="4"/>
  <c r="Y1385" i="4"/>
  <c r="X1385" i="4"/>
  <c r="W1385" i="4"/>
  <c r="H1385" i="4"/>
  <c r="Z1384" i="4"/>
  <c r="Y1384" i="4"/>
  <c r="X1384" i="4"/>
  <c r="W1384" i="4"/>
  <c r="H1384" i="4"/>
  <c r="Z1383" i="4"/>
  <c r="Y1383" i="4"/>
  <c r="X1383" i="4"/>
  <c r="W1383" i="4"/>
  <c r="H1383" i="4"/>
  <c r="Z1382" i="4"/>
  <c r="Y1382" i="4"/>
  <c r="X1382" i="4"/>
  <c r="W1382" i="4"/>
  <c r="H1382" i="4"/>
  <c r="Z1381" i="4"/>
  <c r="Y1381" i="4"/>
  <c r="X1381" i="4"/>
  <c r="W1381" i="4"/>
  <c r="H1381" i="4"/>
  <c r="Z1380" i="4"/>
  <c r="Y1380" i="4"/>
  <c r="X1380" i="4"/>
  <c r="W1380" i="4"/>
  <c r="H1380" i="4"/>
  <c r="Z1379" i="4"/>
  <c r="Y1379" i="4"/>
  <c r="X1379" i="4"/>
  <c r="W1379" i="4"/>
  <c r="H1379" i="4"/>
  <c r="Z1378" i="4"/>
  <c r="Y1378" i="4"/>
  <c r="X1378" i="4"/>
  <c r="W1378" i="4"/>
  <c r="H1378" i="4"/>
  <c r="Z1377" i="4"/>
  <c r="Y1377" i="4"/>
  <c r="X1377" i="4"/>
  <c r="W1377" i="4"/>
  <c r="H1377" i="4"/>
  <c r="Z1376" i="4"/>
  <c r="Y1376" i="4"/>
  <c r="X1376" i="4"/>
  <c r="W1376" i="4"/>
  <c r="H1376" i="4"/>
  <c r="Z1375" i="4"/>
  <c r="Y1375" i="4"/>
  <c r="X1375" i="4"/>
  <c r="W1375" i="4"/>
  <c r="H1375" i="4"/>
  <c r="Z1374" i="4"/>
  <c r="Y1374" i="4"/>
  <c r="X1374" i="4"/>
  <c r="W1374" i="4"/>
  <c r="H1374" i="4"/>
  <c r="Z1373" i="4"/>
  <c r="Y1373" i="4"/>
  <c r="X1373" i="4"/>
  <c r="W1373" i="4"/>
  <c r="H1373" i="4"/>
  <c r="Z1372" i="4"/>
  <c r="Y1372" i="4"/>
  <c r="X1372" i="4"/>
  <c r="W1372" i="4"/>
  <c r="H1372" i="4"/>
  <c r="Z1371" i="4"/>
  <c r="Y1371" i="4"/>
  <c r="X1371" i="4"/>
  <c r="W1371" i="4"/>
  <c r="H1371" i="4"/>
  <c r="Z1370" i="4"/>
  <c r="Y1370" i="4"/>
  <c r="X1370" i="4"/>
  <c r="W1370" i="4"/>
  <c r="H1370" i="4"/>
  <c r="Z1369" i="4"/>
  <c r="Y1369" i="4"/>
  <c r="X1369" i="4"/>
  <c r="W1369" i="4"/>
  <c r="H1369" i="4"/>
  <c r="Z1368" i="4"/>
  <c r="Y1368" i="4"/>
  <c r="X1368" i="4"/>
  <c r="W1368" i="4"/>
  <c r="H1368" i="4"/>
  <c r="Z1367" i="4"/>
  <c r="Y1367" i="4"/>
  <c r="X1367" i="4"/>
  <c r="W1367" i="4"/>
  <c r="H1367" i="4"/>
  <c r="Z1366" i="4"/>
  <c r="Y1366" i="4"/>
  <c r="X1366" i="4"/>
  <c r="W1366" i="4"/>
  <c r="H1366" i="4"/>
  <c r="Z1365" i="4"/>
  <c r="Y1365" i="4"/>
  <c r="X1365" i="4"/>
  <c r="W1365" i="4"/>
  <c r="H1365" i="4"/>
  <c r="Z1364" i="4"/>
  <c r="Y1364" i="4"/>
  <c r="X1364" i="4"/>
  <c r="W1364" i="4"/>
  <c r="H1364" i="4"/>
  <c r="Z1363" i="4"/>
  <c r="Y1363" i="4"/>
  <c r="X1363" i="4"/>
  <c r="W1363" i="4"/>
  <c r="H1363" i="4"/>
  <c r="Z1362" i="4"/>
  <c r="Y1362" i="4"/>
  <c r="X1362" i="4"/>
  <c r="W1362" i="4"/>
  <c r="H1362" i="4"/>
  <c r="Z1361" i="4"/>
  <c r="Y1361" i="4"/>
  <c r="X1361" i="4"/>
  <c r="W1361" i="4"/>
  <c r="H1361" i="4"/>
  <c r="Z1360" i="4"/>
  <c r="Y1360" i="4"/>
  <c r="X1360" i="4"/>
  <c r="W1360" i="4"/>
  <c r="H1360" i="4"/>
  <c r="Z1359" i="4"/>
  <c r="Y1359" i="4"/>
  <c r="X1359" i="4"/>
  <c r="W1359" i="4"/>
  <c r="H1359" i="4"/>
  <c r="Z1358" i="4"/>
  <c r="Y1358" i="4"/>
  <c r="X1358" i="4"/>
  <c r="W1358" i="4"/>
  <c r="H1358" i="4"/>
  <c r="Z1357" i="4"/>
  <c r="Y1357" i="4"/>
  <c r="X1357" i="4"/>
  <c r="W1357" i="4"/>
  <c r="H1357" i="4"/>
  <c r="Z1356" i="4"/>
  <c r="Y1356" i="4"/>
  <c r="X1356" i="4"/>
  <c r="W1356" i="4"/>
  <c r="H1356" i="4"/>
  <c r="Z1355" i="4"/>
  <c r="Y1355" i="4"/>
  <c r="X1355" i="4"/>
  <c r="W1355" i="4"/>
  <c r="H1355" i="4"/>
  <c r="Z1354" i="4"/>
  <c r="Y1354" i="4"/>
  <c r="X1354" i="4"/>
  <c r="W1354" i="4"/>
  <c r="H1354" i="4"/>
  <c r="Z1353" i="4"/>
  <c r="Y1353" i="4"/>
  <c r="X1353" i="4"/>
  <c r="W1353" i="4"/>
  <c r="H1353" i="4"/>
  <c r="Z1352" i="4"/>
  <c r="Y1352" i="4"/>
  <c r="X1352" i="4"/>
  <c r="W1352" i="4"/>
  <c r="H1352" i="4"/>
  <c r="Z1351" i="4"/>
  <c r="Y1351" i="4"/>
  <c r="X1351" i="4"/>
  <c r="W1351" i="4"/>
  <c r="H1351" i="4"/>
  <c r="Z1350" i="4"/>
  <c r="Y1350" i="4"/>
  <c r="X1350" i="4"/>
  <c r="W1350" i="4"/>
  <c r="H1350" i="4"/>
  <c r="Z1349" i="4"/>
  <c r="Y1349" i="4"/>
  <c r="X1349" i="4"/>
  <c r="W1349" i="4"/>
  <c r="H1349" i="4"/>
  <c r="Z1348" i="4"/>
  <c r="Y1348" i="4"/>
  <c r="X1348" i="4"/>
  <c r="W1348" i="4"/>
  <c r="H1348" i="4"/>
  <c r="Z1347" i="4"/>
  <c r="Y1347" i="4"/>
  <c r="X1347" i="4"/>
  <c r="W1347" i="4"/>
  <c r="H1347" i="4"/>
  <c r="Z1346" i="4"/>
  <c r="Y1346" i="4"/>
  <c r="X1346" i="4"/>
  <c r="W1346" i="4"/>
  <c r="H1346" i="4"/>
  <c r="Z1345" i="4"/>
  <c r="Y1345" i="4"/>
  <c r="X1345" i="4"/>
  <c r="W1345" i="4"/>
  <c r="H1345" i="4"/>
  <c r="Z1344" i="4"/>
  <c r="Y1344" i="4"/>
  <c r="X1344" i="4"/>
  <c r="W1344" i="4"/>
  <c r="H1344" i="4"/>
  <c r="Z1343" i="4"/>
  <c r="Y1343" i="4"/>
  <c r="X1343" i="4"/>
  <c r="W1343" i="4"/>
  <c r="H1343" i="4"/>
  <c r="Z1342" i="4"/>
  <c r="Y1342" i="4"/>
  <c r="X1342" i="4"/>
  <c r="W1342" i="4"/>
  <c r="H1342" i="4"/>
  <c r="Z1341" i="4"/>
  <c r="Y1341" i="4"/>
  <c r="X1341" i="4"/>
  <c r="W1341" i="4"/>
  <c r="H1341" i="4"/>
  <c r="Z1340" i="4"/>
  <c r="Y1340" i="4"/>
  <c r="X1340" i="4"/>
  <c r="W1340" i="4"/>
  <c r="H1340" i="4"/>
  <c r="Z1339" i="4"/>
  <c r="Y1339" i="4"/>
  <c r="X1339" i="4"/>
  <c r="W1339" i="4"/>
  <c r="H1339" i="4"/>
  <c r="Z1338" i="4"/>
  <c r="Y1338" i="4"/>
  <c r="X1338" i="4"/>
  <c r="W1338" i="4"/>
  <c r="H1338" i="4"/>
  <c r="Z1337" i="4"/>
  <c r="Y1337" i="4"/>
  <c r="X1337" i="4"/>
  <c r="W1337" i="4"/>
  <c r="H1337" i="4"/>
  <c r="Z1336" i="4"/>
  <c r="Y1336" i="4"/>
  <c r="X1336" i="4"/>
  <c r="W1336" i="4"/>
  <c r="H1336" i="4"/>
  <c r="Z1335" i="4"/>
  <c r="Y1335" i="4"/>
  <c r="X1335" i="4"/>
  <c r="W1335" i="4"/>
  <c r="H1335" i="4"/>
  <c r="Z1334" i="4"/>
  <c r="Y1334" i="4"/>
  <c r="X1334" i="4"/>
  <c r="W1334" i="4"/>
  <c r="H1334" i="4"/>
  <c r="Z1333" i="4"/>
  <c r="Y1333" i="4"/>
  <c r="X1333" i="4"/>
  <c r="W1333" i="4"/>
  <c r="H1333" i="4"/>
  <c r="Z1332" i="4"/>
  <c r="Y1332" i="4"/>
  <c r="X1332" i="4"/>
  <c r="W1332" i="4"/>
  <c r="H1332" i="4"/>
  <c r="Z1331" i="4"/>
  <c r="Y1331" i="4"/>
  <c r="X1331" i="4"/>
  <c r="W1331" i="4"/>
  <c r="H1331" i="4"/>
  <c r="Z1330" i="4"/>
  <c r="Y1330" i="4"/>
  <c r="X1330" i="4"/>
  <c r="W1330" i="4"/>
  <c r="H1330" i="4"/>
  <c r="Z1329" i="4"/>
  <c r="Y1329" i="4"/>
  <c r="X1329" i="4"/>
  <c r="W1329" i="4"/>
  <c r="H1329" i="4"/>
  <c r="Z1328" i="4"/>
  <c r="Y1328" i="4"/>
  <c r="X1328" i="4"/>
  <c r="W1328" i="4"/>
  <c r="H1328" i="4"/>
  <c r="Z1327" i="4"/>
  <c r="Y1327" i="4"/>
  <c r="X1327" i="4"/>
  <c r="W1327" i="4"/>
  <c r="H1327" i="4"/>
  <c r="Z1326" i="4"/>
  <c r="Y1326" i="4"/>
  <c r="X1326" i="4"/>
  <c r="W1326" i="4"/>
  <c r="H1326" i="4"/>
  <c r="Z1325" i="4"/>
  <c r="Y1325" i="4"/>
  <c r="X1325" i="4"/>
  <c r="W1325" i="4"/>
  <c r="H1325" i="4"/>
  <c r="Z1324" i="4"/>
  <c r="Y1324" i="4"/>
  <c r="X1324" i="4"/>
  <c r="W1324" i="4"/>
  <c r="H1324" i="4"/>
  <c r="Z1323" i="4"/>
  <c r="Y1323" i="4"/>
  <c r="X1323" i="4"/>
  <c r="W1323" i="4"/>
  <c r="H1323" i="4"/>
  <c r="Z1322" i="4"/>
  <c r="Y1322" i="4"/>
  <c r="X1322" i="4"/>
  <c r="W1322" i="4"/>
  <c r="H1322" i="4"/>
  <c r="Z1321" i="4"/>
  <c r="Y1321" i="4"/>
  <c r="X1321" i="4"/>
  <c r="W1321" i="4"/>
  <c r="H1321" i="4"/>
  <c r="Z1320" i="4"/>
  <c r="Y1320" i="4"/>
  <c r="X1320" i="4"/>
  <c r="W1320" i="4"/>
  <c r="H1320" i="4"/>
  <c r="Z1319" i="4"/>
  <c r="Y1319" i="4"/>
  <c r="X1319" i="4"/>
  <c r="W1319" i="4"/>
  <c r="H1319" i="4"/>
  <c r="Z1318" i="4"/>
  <c r="Y1318" i="4"/>
  <c r="X1318" i="4"/>
  <c r="W1318" i="4"/>
  <c r="H1318" i="4"/>
  <c r="Z1317" i="4"/>
  <c r="Y1317" i="4"/>
  <c r="X1317" i="4"/>
  <c r="W1317" i="4"/>
  <c r="H1317" i="4"/>
  <c r="Z1316" i="4"/>
  <c r="Y1316" i="4"/>
  <c r="X1316" i="4"/>
  <c r="W1316" i="4"/>
  <c r="H1316" i="4"/>
  <c r="Z1315" i="4"/>
  <c r="Y1315" i="4"/>
  <c r="X1315" i="4"/>
  <c r="W1315" i="4"/>
  <c r="H1315" i="4"/>
  <c r="Z1314" i="4"/>
  <c r="Y1314" i="4"/>
  <c r="X1314" i="4"/>
  <c r="W1314" i="4"/>
  <c r="H1314" i="4"/>
  <c r="Z1313" i="4"/>
  <c r="Y1313" i="4"/>
  <c r="X1313" i="4"/>
  <c r="W1313" i="4"/>
  <c r="H1313" i="4"/>
  <c r="Z1312" i="4"/>
  <c r="Y1312" i="4"/>
  <c r="X1312" i="4"/>
  <c r="W1312" i="4"/>
  <c r="H1312" i="4"/>
  <c r="Z1311" i="4"/>
  <c r="Y1311" i="4"/>
  <c r="X1311" i="4"/>
  <c r="W1311" i="4"/>
  <c r="H1311" i="4"/>
  <c r="Z1310" i="4"/>
  <c r="Y1310" i="4"/>
  <c r="X1310" i="4"/>
  <c r="W1310" i="4"/>
  <c r="H1310" i="4"/>
  <c r="Z1309" i="4"/>
  <c r="Y1309" i="4"/>
  <c r="X1309" i="4"/>
  <c r="W1309" i="4"/>
  <c r="H1309" i="4"/>
  <c r="Z1308" i="4"/>
  <c r="Y1308" i="4"/>
  <c r="X1308" i="4"/>
  <c r="W1308" i="4"/>
  <c r="H1308" i="4"/>
  <c r="Z1307" i="4"/>
  <c r="Y1307" i="4"/>
  <c r="X1307" i="4"/>
  <c r="W1307" i="4"/>
  <c r="H1307" i="4"/>
  <c r="Z1306" i="4"/>
  <c r="Y1306" i="4"/>
  <c r="X1306" i="4"/>
  <c r="W1306" i="4"/>
  <c r="H1306" i="4"/>
  <c r="Z1305" i="4"/>
  <c r="Y1305" i="4"/>
  <c r="X1305" i="4"/>
  <c r="W1305" i="4"/>
  <c r="H1305" i="4"/>
  <c r="Z1304" i="4"/>
  <c r="Y1304" i="4"/>
  <c r="X1304" i="4"/>
  <c r="W1304" i="4"/>
  <c r="H1304" i="4"/>
  <c r="Z1303" i="4"/>
  <c r="Y1303" i="4"/>
  <c r="X1303" i="4"/>
  <c r="W1303" i="4"/>
  <c r="H1303" i="4"/>
  <c r="Z1302" i="4"/>
  <c r="Y1302" i="4"/>
  <c r="X1302" i="4"/>
  <c r="W1302" i="4"/>
  <c r="H1302" i="4"/>
  <c r="Z1301" i="4"/>
  <c r="Y1301" i="4"/>
  <c r="X1301" i="4"/>
  <c r="W1301" i="4"/>
  <c r="H1301" i="4"/>
  <c r="Z1300" i="4"/>
  <c r="Y1300" i="4"/>
  <c r="X1300" i="4"/>
  <c r="W1300" i="4"/>
  <c r="H1300" i="4"/>
  <c r="Z1299" i="4"/>
  <c r="Y1299" i="4"/>
  <c r="X1299" i="4"/>
  <c r="W1299" i="4"/>
  <c r="H1299" i="4"/>
  <c r="Z1298" i="4"/>
  <c r="Y1298" i="4"/>
  <c r="X1298" i="4"/>
  <c r="W1298" i="4"/>
  <c r="H1298" i="4"/>
  <c r="Z1297" i="4"/>
  <c r="Y1297" i="4"/>
  <c r="X1297" i="4"/>
  <c r="W1297" i="4"/>
  <c r="H1297" i="4"/>
  <c r="Z1296" i="4"/>
  <c r="Y1296" i="4"/>
  <c r="X1296" i="4"/>
  <c r="W1296" i="4"/>
  <c r="H1296" i="4"/>
  <c r="Z1295" i="4"/>
  <c r="Y1295" i="4"/>
  <c r="X1295" i="4"/>
  <c r="W1295" i="4"/>
  <c r="H1295" i="4"/>
  <c r="Z1294" i="4"/>
  <c r="Y1294" i="4"/>
  <c r="X1294" i="4"/>
  <c r="W1294" i="4"/>
  <c r="H1294" i="4"/>
  <c r="Z1293" i="4"/>
  <c r="Y1293" i="4"/>
  <c r="X1293" i="4"/>
  <c r="W1293" i="4"/>
  <c r="H1293" i="4"/>
  <c r="Z1292" i="4"/>
  <c r="Y1292" i="4"/>
  <c r="X1292" i="4"/>
  <c r="W1292" i="4"/>
  <c r="H1292" i="4"/>
  <c r="Z1291" i="4"/>
  <c r="Y1291" i="4"/>
  <c r="X1291" i="4"/>
  <c r="W1291" i="4"/>
  <c r="H1291" i="4"/>
  <c r="Z1290" i="4"/>
  <c r="Y1290" i="4"/>
  <c r="X1290" i="4"/>
  <c r="W1290" i="4"/>
  <c r="H1290" i="4"/>
  <c r="Z1289" i="4"/>
  <c r="Y1289" i="4"/>
  <c r="X1289" i="4"/>
  <c r="W1289" i="4"/>
  <c r="H1289" i="4"/>
  <c r="Z1288" i="4"/>
  <c r="Y1288" i="4"/>
  <c r="X1288" i="4"/>
  <c r="W1288" i="4"/>
  <c r="H1288" i="4"/>
  <c r="Z1287" i="4"/>
  <c r="Y1287" i="4"/>
  <c r="X1287" i="4"/>
  <c r="W1287" i="4"/>
  <c r="H1287" i="4"/>
  <c r="Z1286" i="4"/>
  <c r="Y1286" i="4"/>
  <c r="X1286" i="4"/>
  <c r="W1286" i="4"/>
  <c r="H1286" i="4"/>
  <c r="Z1285" i="4"/>
  <c r="Y1285" i="4"/>
  <c r="X1285" i="4"/>
  <c r="W1285" i="4"/>
  <c r="H1285" i="4"/>
  <c r="Z1284" i="4"/>
  <c r="Y1284" i="4"/>
  <c r="X1284" i="4"/>
  <c r="W1284" i="4"/>
  <c r="H1284" i="4"/>
  <c r="Z1283" i="4"/>
  <c r="Y1283" i="4"/>
  <c r="X1283" i="4"/>
  <c r="W1283" i="4"/>
  <c r="H1283" i="4"/>
  <c r="Z1282" i="4"/>
  <c r="Y1282" i="4"/>
  <c r="X1282" i="4"/>
  <c r="W1282" i="4"/>
  <c r="H1282" i="4"/>
  <c r="Z1281" i="4"/>
  <c r="Y1281" i="4"/>
  <c r="X1281" i="4"/>
  <c r="W1281" i="4"/>
  <c r="H1281" i="4"/>
  <c r="Z1280" i="4"/>
  <c r="Y1280" i="4"/>
  <c r="X1280" i="4"/>
  <c r="W1280" i="4"/>
  <c r="H1280" i="4"/>
  <c r="Z1279" i="4"/>
  <c r="Y1279" i="4"/>
  <c r="X1279" i="4"/>
  <c r="W1279" i="4"/>
  <c r="H1279" i="4"/>
  <c r="Z1278" i="4"/>
  <c r="Y1278" i="4"/>
  <c r="X1278" i="4"/>
  <c r="W1278" i="4"/>
  <c r="H1278" i="4"/>
  <c r="Z1277" i="4"/>
  <c r="Y1277" i="4"/>
  <c r="X1277" i="4"/>
  <c r="W1277" i="4"/>
  <c r="H1277" i="4"/>
  <c r="Z1276" i="4"/>
  <c r="Y1276" i="4"/>
  <c r="X1276" i="4"/>
  <c r="W1276" i="4"/>
  <c r="H1276" i="4"/>
  <c r="Z1275" i="4"/>
  <c r="Y1275" i="4"/>
  <c r="X1275" i="4"/>
  <c r="W1275" i="4"/>
  <c r="H1275" i="4"/>
  <c r="Z1274" i="4"/>
  <c r="Y1274" i="4"/>
  <c r="X1274" i="4"/>
  <c r="W1274" i="4"/>
  <c r="H1274" i="4"/>
  <c r="Z1273" i="4"/>
  <c r="Y1273" i="4"/>
  <c r="X1273" i="4"/>
  <c r="W1273" i="4"/>
  <c r="H1273" i="4"/>
  <c r="Z1272" i="4"/>
  <c r="Y1272" i="4"/>
  <c r="X1272" i="4"/>
  <c r="W1272" i="4"/>
  <c r="H1272" i="4"/>
  <c r="Z1271" i="4"/>
  <c r="Y1271" i="4"/>
  <c r="X1271" i="4"/>
  <c r="W1271" i="4"/>
  <c r="H1271" i="4"/>
  <c r="Z1270" i="4"/>
  <c r="Y1270" i="4"/>
  <c r="X1270" i="4"/>
  <c r="W1270" i="4"/>
  <c r="H1270" i="4"/>
  <c r="Z1269" i="4"/>
  <c r="Y1269" i="4"/>
  <c r="X1269" i="4"/>
  <c r="W1269" i="4"/>
  <c r="H1269" i="4"/>
  <c r="Z1268" i="4"/>
  <c r="Y1268" i="4"/>
  <c r="X1268" i="4"/>
  <c r="W1268" i="4"/>
  <c r="H1268" i="4"/>
  <c r="Z1267" i="4"/>
  <c r="Y1267" i="4"/>
  <c r="X1267" i="4"/>
  <c r="W1267" i="4"/>
  <c r="H1267" i="4"/>
  <c r="Z1266" i="4"/>
  <c r="Y1266" i="4"/>
  <c r="X1266" i="4"/>
  <c r="W1266" i="4"/>
  <c r="H1266" i="4"/>
  <c r="Z1265" i="4"/>
  <c r="Y1265" i="4"/>
  <c r="X1265" i="4"/>
  <c r="W1265" i="4"/>
  <c r="H1265" i="4"/>
  <c r="Z1264" i="4"/>
  <c r="Y1264" i="4"/>
  <c r="X1264" i="4"/>
  <c r="W1264" i="4"/>
  <c r="H1264" i="4"/>
  <c r="Z1263" i="4"/>
  <c r="Y1263" i="4"/>
  <c r="X1263" i="4"/>
  <c r="W1263" i="4"/>
  <c r="H1263" i="4"/>
  <c r="Z1262" i="4"/>
  <c r="Y1262" i="4"/>
  <c r="X1262" i="4"/>
  <c r="W1262" i="4"/>
  <c r="H1262" i="4"/>
  <c r="Z1261" i="4"/>
  <c r="Y1261" i="4"/>
  <c r="X1261" i="4"/>
  <c r="W1261" i="4"/>
  <c r="H1261" i="4"/>
  <c r="Z1260" i="4"/>
  <c r="Y1260" i="4"/>
  <c r="X1260" i="4"/>
  <c r="W1260" i="4"/>
  <c r="H1260" i="4"/>
  <c r="Z1259" i="4"/>
  <c r="Y1259" i="4"/>
  <c r="X1259" i="4"/>
  <c r="W1259" i="4"/>
  <c r="H1259" i="4"/>
  <c r="Z1258" i="4"/>
  <c r="Y1258" i="4"/>
  <c r="X1258" i="4"/>
  <c r="W1258" i="4"/>
  <c r="H1258" i="4"/>
  <c r="Z1257" i="4"/>
  <c r="Y1257" i="4"/>
  <c r="X1257" i="4"/>
  <c r="W1257" i="4"/>
  <c r="H1257" i="4"/>
  <c r="Z1256" i="4"/>
  <c r="Y1256" i="4"/>
  <c r="X1256" i="4"/>
  <c r="W1256" i="4"/>
  <c r="H1256" i="4"/>
  <c r="Z1255" i="4"/>
  <c r="Y1255" i="4"/>
  <c r="X1255" i="4"/>
  <c r="W1255" i="4"/>
  <c r="H1255" i="4"/>
  <c r="Z1254" i="4"/>
  <c r="Y1254" i="4"/>
  <c r="X1254" i="4"/>
  <c r="W1254" i="4"/>
  <c r="H1254" i="4"/>
  <c r="Z1253" i="4"/>
  <c r="Y1253" i="4"/>
  <c r="X1253" i="4"/>
  <c r="W1253" i="4"/>
  <c r="H1253" i="4"/>
  <c r="Z1252" i="4"/>
  <c r="Y1252" i="4"/>
  <c r="X1252" i="4"/>
  <c r="W1252" i="4"/>
  <c r="H1252" i="4"/>
  <c r="Z1251" i="4"/>
  <c r="Y1251" i="4"/>
  <c r="X1251" i="4"/>
  <c r="W1251" i="4"/>
  <c r="H1251" i="4"/>
  <c r="Z1250" i="4"/>
  <c r="Y1250" i="4"/>
  <c r="X1250" i="4"/>
  <c r="W1250" i="4"/>
  <c r="H1250" i="4"/>
  <c r="Z1249" i="4"/>
  <c r="Y1249" i="4"/>
  <c r="X1249" i="4"/>
  <c r="W1249" i="4"/>
  <c r="H1249" i="4"/>
  <c r="Z1248" i="4"/>
  <c r="Y1248" i="4"/>
  <c r="X1248" i="4"/>
  <c r="W1248" i="4"/>
  <c r="H1248" i="4"/>
  <c r="Z1247" i="4"/>
  <c r="Y1247" i="4"/>
  <c r="X1247" i="4"/>
  <c r="W1247" i="4"/>
  <c r="H1247" i="4"/>
  <c r="Z1246" i="4"/>
  <c r="Y1246" i="4"/>
  <c r="X1246" i="4"/>
  <c r="W1246" i="4"/>
  <c r="H1246" i="4"/>
  <c r="Z1245" i="4"/>
  <c r="Y1245" i="4"/>
  <c r="X1245" i="4"/>
  <c r="W1245" i="4"/>
  <c r="H1245" i="4"/>
  <c r="Z1244" i="4"/>
  <c r="Y1244" i="4"/>
  <c r="X1244" i="4"/>
  <c r="W1244" i="4"/>
  <c r="H1244" i="4"/>
  <c r="Z1243" i="4"/>
  <c r="Y1243" i="4"/>
  <c r="X1243" i="4"/>
  <c r="W1243" i="4"/>
  <c r="H1243" i="4"/>
  <c r="Z1242" i="4"/>
  <c r="Y1242" i="4"/>
  <c r="X1242" i="4"/>
  <c r="W1242" i="4"/>
  <c r="H1242" i="4"/>
  <c r="Z1241" i="4"/>
  <c r="Y1241" i="4"/>
  <c r="X1241" i="4"/>
  <c r="W1241" i="4"/>
  <c r="H1241" i="4"/>
  <c r="Z1240" i="4"/>
  <c r="Y1240" i="4"/>
  <c r="X1240" i="4"/>
  <c r="W1240" i="4"/>
  <c r="H1240" i="4"/>
  <c r="Z1239" i="4"/>
  <c r="Y1239" i="4"/>
  <c r="X1239" i="4"/>
  <c r="W1239" i="4"/>
  <c r="H1239" i="4"/>
  <c r="Z1238" i="4"/>
  <c r="Y1238" i="4"/>
  <c r="X1238" i="4"/>
  <c r="W1238" i="4"/>
  <c r="H1238" i="4"/>
  <c r="Z1237" i="4"/>
  <c r="Y1237" i="4"/>
  <c r="X1237" i="4"/>
  <c r="W1237" i="4"/>
  <c r="H1237" i="4"/>
  <c r="Z1236" i="4"/>
  <c r="Y1236" i="4"/>
  <c r="X1236" i="4"/>
  <c r="W1236" i="4"/>
  <c r="H1236" i="4"/>
  <c r="Z1235" i="4"/>
  <c r="Y1235" i="4"/>
  <c r="X1235" i="4"/>
  <c r="W1235" i="4"/>
  <c r="H1235" i="4"/>
  <c r="Z1234" i="4"/>
  <c r="Y1234" i="4"/>
  <c r="X1234" i="4"/>
  <c r="W1234" i="4"/>
  <c r="H1234" i="4"/>
  <c r="Z1233" i="4"/>
  <c r="Y1233" i="4"/>
  <c r="X1233" i="4"/>
  <c r="W1233" i="4"/>
  <c r="H1233" i="4"/>
  <c r="Z1232" i="4"/>
  <c r="Y1232" i="4"/>
  <c r="X1232" i="4"/>
  <c r="W1232" i="4"/>
  <c r="H1232" i="4"/>
  <c r="Z1231" i="4"/>
  <c r="Y1231" i="4"/>
  <c r="X1231" i="4"/>
  <c r="W1231" i="4"/>
  <c r="H1231" i="4"/>
  <c r="Z1230" i="4"/>
  <c r="Y1230" i="4"/>
  <c r="X1230" i="4"/>
  <c r="W1230" i="4"/>
  <c r="H1230" i="4"/>
  <c r="Z1229" i="4"/>
  <c r="Y1229" i="4"/>
  <c r="X1229" i="4"/>
  <c r="W1229" i="4"/>
  <c r="H1229" i="4"/>
  <c r="Z1228" i="4"/>
  <c r="Y1228" i="4"/>
  <c r="X1228" i="4"/>
  <c r="W1228" i="4"/>
  <c r="H1228" i="4"/>
  <c r="Z1227" i="4"/>
  <c r="Y1227" i="4"/>
  <c r="X1227" i="4"/>
  <c r="W1227" i="4"/>
  <c r="H1227" i="4"/>
  <c r="Z1226" i="4"/>
  <c r="Y1226" i="4"/>
  <c r="X1226" i="4"/>
  <c r="W1226" i="4"/>
  <c r="H1226" i="4"/>
  <c r="Z1225" i="4"/>
  <c r="Y1225" i="4"/>
  <c r="X1225" i="4"/>
  <c r="W1225" i="4"/>
  <c r="H1225" i="4"/>
  <c r="Z1224" i="4"/>
  <c r="Y1224" i="4"/>
  <c r="X1224" i="4"/>
  <c r="W1224" i="4"/>
  <c r="H1224" i="4"/>
  <c r="Z1223" i="4"/>
  <c r="Y1223" i="4"/>
  <c r="X1223" i="4"/>
  <c r="W1223" i="4"/>
  <c r="H1223" i="4"/>
  <c r="Z1222" i="4"/>
  <c r="Y1222" i="4"/>
  <c r="X1222" i="4"/>
  <c r="W1222" i="4"/>
  <c r="H1222" i="4"/>
  <c r="Z1221" i="4"/>
  <c r="Y1221" i="4"/>
  <c r="X1221" i="4"/>
  <c r="W1221" i="4"/>
  <c r="H1221" i="4"/>
  <c r="Z1220" i="4"/>
  <c r="Y1220" i="4"/>
  <c r="X1220" i="4"/>
  <c r="W1220" i="4"/>
  <c r="H1220" i="4"/>
  <c r="Z1219" i="4"/>
  <c r="Y1219" i="4"/>
  <c r="X1219" i="4"/>
  <c r="W1219" i="4"/>
  <c r="H1219" i="4"/>
  <c r="Z1218" i="4"/>
  <c r="Y1218" i="4"/>
  <c r="X1218" i="4"/>
  <c r="W1218" i="4"/>
  <c r="H1218" i="4"/>
  <c r="Z1217" i="4"/>
  <c r="Y1217" i="4"/>
  <c r="X1217" i="4"/>
  <c r="W1217" i="4"/>
  <c r="H1217" i="4"/>
  <c r="Z1216" i="4"/>
  <c r="Y1216" i="4"/>
  <c r="X1216" i="4"/>
  <c r="W1216" i="4"/>
  <c r="H1216" i="4"/>
  <c r="Z1215" i="4"/>
  <c r="Y1215" i="4"/>
  <c r="X1215" i="4"/>
  <c r="W1215" i="4"/>
  <c r="H1215" i="4"/>
  <c r="Z1214" i="4"/>
  <c r="Y1214" i="4"/>
  <c r="X1214" i="4"/>
  <c r="W1214" i="4"/>
  <c r="H1214" i="4"/>
  <c r="Z1213" i="4"/>
  <c r="Y1213" i="4"/>
  <c r="X1213" i="4"/>
  <c r="W1213" i="4"/>
  <c r="H1213" i="4"/>
  <c r="Z1212" i="4"/>
  <c r="Y1212" i="4"/>
  <c r="X1212" i="4"/>
  <c r="W1212" i="4"/>
  <c r="H1212" i="4"/>
  <c r="Z1211" i="4"/>
  <c r="Y1211" i="4"/>
  <c r="X1211" i="4"/>
  <c r="W1211" i="4"/>
  <c r="H1211" i="4"/>
  <c r="Z1210" i="4"/>
  <c r="Y1210" i="4"/>
  <c r="X1210" i="4"/>
  <c r="W1210" i="4"/>
  <c r="H1210" i="4"/>
  <c r="Z1209" i="4"/>
  <c r="Y1209" i="4"/>
  <c r="X1209" i="4"/>
  <c r="W1209" i="4"/>
  <c r="H1209" i="4"/>
  <c r="Z1208" i="4"/>
  <c r="Y1208" i="4"/>
  <c r="X1208" i="4"/>
  <c r="W1208" i="4"/>
  <c r="H1208" i="4"/>
  <c r="Z1207" i="4"/>
  <c r="Y1207" i="4"/>
  <c r="X1207" i="4"/>
  <c r="W1207" i="4"/>
  <c r="H1207" i="4"/>
  <c r="Z1206" i="4"/>
  <c r="Y1206" i="4"/>
  <c r="X1206" i="4"/>
  <c r="W1206" i="4"/>
  <c r="H1206" i="4"/>
  <c r="Z1205" i="4"/>
  <c r="Y1205" i="4"/>
  <c r="X1205" i="4"/>
  <c r="W1205" i="4"/>
  <c r="H1205" i="4"/>
  <c r="Z1204" i="4"/>
  <c r="Y1204" i="4"/>
  <c r="X1204" i="4"/>
  <c r="W1204" i="4"/>
  <c r="H1204" i="4"/>
  <c r="Z1203" i="4"/>
  <c r="Y1203" i="4"/>
  <c r="X1203" i="4"/>
  <c r="W1203" i="4"/>
  <c r="H1203" i="4"/>
  <c r="Z1202" i="4"/>
  <c r="Y1202" i="4"/>
  <c r="X1202" i="4"/>
  <c r="W1202" i="4"/>
  <c r="H1202" i="4"/>
  <c r="Z1201" i="4"/>
  <c r="Y1201" i="4"/>
  <c r="X1201" i="4"/>
  <c r="W1201" i="4"/>
  <c r="H1201" i="4"/>
  <c r="Z1200" i="4"/>
  <c r="Y1200" i="4"/>
  <c r="X1200" i="4"/>
  <c r="W1200" i="4"/>
  <c r="H1200" i="4"/>
  <c r="Z1199" i="4"/>
  <c r="Y1199" i="4"/>
  <c r="X1199" i="4"/>
  <c r="W1199" i="4"/>
  <c r="H1199" i="4"/>
  <c r="Z1198" i="4"/>
  <c r="Y1198" i="4"/>
  <c r="X1198" i="4"/>
  <c r="W1198" i="4"/>
  <c r="H1198" i="4"/>
  <c r="Z1197" i="4"/>
  <c r="Y1197" i="4"/>
  <c r="X1197" i="4"/>
  <c r="W1197" i="4"/>
  <c r="H1197" i="4"/>
  <c r="Z1196" i="4"/>
  <c r="Y1196" i="4"/>
  <c r="X1196" i="4"/>
  <c r="W1196" i="4"/>
  <c r="H1196" i="4"/>
  <c r="Z1195" i="4"/>
  <c r="Y1195" i="4"/>
  <c r="X1195" i="4"/>
  <c r="W1195" i="4"/>
  <c r="H1195" i="4"/>
  <c r="Z1194" i="4"/>
  <c r="Y1194" i="4"/>
  <c r="X1194" i="4"/>
  <c r="W1194" i="4"/>
  <c r="H1194" i="4"/>
  <c r="Z1193" i="4"/>
  <c r="Y1193" i="4"/>
  <c r="X1193" i="4"/>
  <c r="W1193" i="4"/>
  <c r="H1193" i="4"/>
  <c r="Z1192" i="4"/>
  <c r="Y1192" i="4"/>
  <c r="X1192" i="4"/>
  <c r="W1192" i="4"/>
  <c r="H1192" i="4"/>
  <c r="Z1191" i="4"/>
  <c r="Y1191" i="4"/>
  <c r="X1191" i="4"/>
  <c r="W1191" i="4"/>
  <c r="H1191" i="4"/>
  <c r="Z1190" i="4"/>
  <c r="Y1190" i="4"/>
  <c r="X1190" i="4"/>
  <c r="W1190" i="4"/>
  <c r="H1190" i="4"/>
  <c r="Z1189" i="4"/>
  <c r="Y1189" i="4"/>
  <c r="X1189" i="4"/>
  <c r="W1189" i="4"/>
  <c r="H1189" i="4"/>
  <c r="Z1188" i="4"/>
  <c r="Y1188" i="4"/>
  <c r="X1188" i="4"/>
  <c r="W1188" i="4"/>
  <c r="H1188" i="4"/>
  <c r="Z1187" i="4"/>
  <c r="Y1187" i="4"/>
  <c r="X1187" i="4"/>
  <c r="W1187" i="4"/>
  <c r="H1187" i="4"/>
  <c r="Z1186" i="4"/>
  <c r="Y1186" i="4"/>
  <c r="X1186" i="4"/>
  <c r="W1186" i="4"/>
  <c r="H1186" i="4"/>
  <c r="Z1185" i="4"/>
  <c r="Y1185" i="4"/>
  <c r="X1185" i="4"/>
  <c r="W1185" i="4"/>
  <c r="H1185" i="4"/>
  <c r="Z1184" i="4"/>
  <c r="Y1184" i="4"/>
  <c r="X1184" i="4"/>
  <c r="W1184" i="4"/>
  <c r="H1184" i="4"/>
  <c r="Z1183" i="4"/>
  <c r="Y1183" i="4"/>
  <c r="X1183" i="4"/>
  <c r="W1183" i="4"/>
  <c r="H1183" i="4"/>
  <c r="Z1182" i="4"/>
  <c r="Y1182" i="4"/>
  <c r="X1182" i="4"/>
  <c r="W1182" i="4"/>
  <c r="H1182" i="4"/>
  <c r="Z1181" i="4"/>
  <c r="Y1181" i="4"/>
  <c r="X1181" i="4"/>
  <c r="W1181" i="4"/>
  <c r="H1181" i="4"/>
  <c r="Z1180" i="4"/>
  <c r="Y1180" i="4"/>
  <c r="X1180" i="4"/>
  <c r="W1180" i="4"/>
  <c r="H1180" i="4"/>
  <c r="Z1179" i="4"/>
  <c r="Y1179" i="4"/>
  <c r="X1179" i="4"/>
  <c r="W1179" i="4"/>
  <c r="H1179" i="4"/>
  <c r="Z1178" i="4"/>
  <c r="Y1178" i="4"/>
  <c r="X1178" i="4"/>
  <c r="W1178" i="4"/>
  <c r="H1178" i="4"/>
  <c r="Z1177" i="4"/>
  <c r="Y1177" i="4"/>
  <c r="X1177" i="4"/>
  <c r="W1177" i="4"/>
  <c r="H1177" i="4"/>
  <c r="Z1176" i="4"/>
  <c r="Y1176" i="4"/>
  <c r="X1176" i="4"/>
  <c r="W1176" i="4"/>
  <c r="H1176" i="4"/>
  <c r="Z1175" i="4"/>
  <c r="Y1175" i="4"/>
  <c r="X1175" i="4"/>
  <c r="W1175" i="4"/>
  <c r="H1175" i="4"/>
  <c r="Z1174" i="4"/>
  <c r="Y1174" i="4"/>
  <c r="X1174" i="4"/>
  <c r="W1174" i="4"/>
  <c r="H1174" i="4"/>
  <c r="Z1173" i="4"/>
  <c r="Y1173" i="4"/>
  <c r="X1173" i="4"/>
  <c r="W1173" i="4"/>
  <c r="H1173" i="4"/>
  <c r="Z1172" i="4"/>
  <c r="Y1172" i="4"/>
  <c r="X1172" i="4"/>
  <c r="W1172" i="4"/>
  <c r="H1172" i="4"/>
  <c r="Z1171" i="4"/>
  <c r="Y1171" i="4"/>
  <c r="X1171" i="4"/>
  <c r="W1171" i="4"/>
  <c r="H1171" i="4"/>
  <c r="Z1170" i="4"/>
  <c r="Y1170" i="4"/>
  <c r="X1170" i="4"/>
  <c r="W1170" i="4"/>
  <c r="H1170" i="4"/>
  <c r="Z1169" i="4"/>
  <c r="Y1169" i="4"/>
  <c r="X1169" i="4"/>
  <c r="W1169" i="4"/>
  <c r="H1169" i="4"/>
  <c r="Z1168" i="4"/>
  <c r="Y1168" i="4"/>
  <c r="X1168" i="4"/>
  <c r="W1168" i="4"/>
  <c r="H1168" i="4"/>
  <c r="Z1167" i="4"/>
  <c r="Y1167" i="4"/>
  <c r="X1167" i="4"/>
  <c r="W1167" i="4"/>
  <c r="H1167" i="4"/>
  <c r="Z1166" i="4"/>
  <c r="Y1166" i="4"/>
  <c r="X1166" i="4"/>
  <c r="W1166" i="4"/>
  <c r="H1166" i="4"/>
  <c r="Z1165" i="4"/>
  <c r="Y1165" i="4"/>
  <c r="X1165" i="4"/>
  <c r="W1165" i="4"/>
  <c r="H1165" i="4"/>
  <c r="Z1164" i="4"/>
  <c r="Y1164" i="4"/>
  <c r="X1164" i="4"/>
  <c r="W1164" i="4"/>
  <c r="H1164" i="4"/>
  <c r="Z1163" i="4"/>
  <c r="Y1163" i="4"/>
  <c r="X1163" i="4"/>
  <c r="W1163" i="4"/>
  <c r="H1163" i="4"/>
  <c r="Z1162" i="4"/>
  <c r="Y1162" i="4"/>
  <c r="X1162" i="4"/>
  <c r="W1162" i="4"/>
  <c r="H1162" i="4"/>
  <c r="Z1161" i="4"/>
  <c r="Y1161" i="4"/>
  <c r="X1161" i="4"/>
  <c r="W1161" i="4"/>
  <c r="H1161" i="4"/>
  <c r="Z1160" i="4"/>
  <c r="Y1160" i="4"/>
  <c r="X1160" i="4"/>
  <c r="W1160" i="4"/>
  <c r="H1160" i="4"/>
  <c r="Z1159" i="4"/>
  <c r="Y1159" i="4"/>
  <c r="X1159" i="4"/>
  <c r="W1159" i="4"/>
  <c r="H1159" i="4"/>
  <c r="Z1158" i="4"/>
  <c r="Y1158" i="4"/>
  <c r="X1158" i="4"/>
  <c r="W1158" i="4"/>
  <c r="H1158" i="4"/>
  <c r="Z1157" i="4"/>
  <c r="Y1157" i="4"/>
  <c r="X1157" i="4"/>
  <c r="W1157" i="4"/>
  <c r="H1157" i="4"/>
  <c r="Z1156" i="4"/>
  <c r="Y1156" i="4"/>
  <c r="X1156" i="4"/>
  <c r="W1156" i="4"/>
  <c r="H1156" i="4"/>
  <c r="Z1155" i="4"/>
  <c r="Y1155" i="4"/>
  <c r="X1155" i="4"/>
  <c r="W1155" i="4"/>
  <c r="H1155" i="4"/>
  <c r="Z1154" i="4"/>
  <c r="Y1154" i="4"/>
  <c r="X1154" i="4"/>
  <c r="W1154" i="4"/>
  <c r="H1154" i="4"/>
  <c r="Z1153" i="4"/>
  <c r="Y1153" i="4"/>
  <c r="X1153" i="4"/>
  <c r="W1153" i="4"/>
  <c r="H1153" i="4"/>
  <c r="Z1152" i="4"/>
  <c r="Y1152" i="4"/>
  <c r="X1152" i="4"/>
  <c r="W1152" i="4"/>
  <c r="H1152" i="4"/>
  <c r="Z1151" i="4"/>
  <c r="Y1151" i="4"/>
  <c r="X1151" i="4"/>
  <c r="W1151" i="4"/>
  <c r="H1151" i="4"/>
  <c r="Z1150" i="4"/>
  <c r="Y1150" i="4"/>
  <c r="X1150" i="4"/>
  <c r="W1150" i="4"/>
  <c r="H1150" i="4"/>
  <c r="Z1149" i="4"/>
  <c r="Y1149" i="4"/>
  <c r="X1149" i="4"/>
  <c r="W1149" i="4"/>
  <c r="H1149" i="4"/>
  <c r="Z1148" i="4"/>
  <c r="Y1148" i="4"/>
  <c r="X1148" i="4"/>
  <c r="W1148" i="4"/>
  <c r="H1148" i="4"/>
  <c r="Z1147" i="4"/>
  <c r="Y1147" i="4"/>
  <c r="X1147" i="4"/>
  <c r="W1147" i="4"/>
  <c r="H1147" i="4"/>
  <c r="Z1146" i="4"/>
  <c r="Y1146" i="4"/>
  <c r="X1146" i="4"/>
  <c r="W1146" i="4"/>
  <c r="H1146" i="4"/>
  <c r="Z1145" i="4"/>
  <c r="Y1145" i="4"/>
  <c r="X1145" i="4"/>
  <c r="W1145" i="4"/>
  <c r="H1145" i="4"/>
  <c r="Z1144" i="4"/>
  <c r="Y1144" i="4"/>
  <c r="X1144" i="4"/>
  <c r="W1144" i="4"/>
  <c r="H1144" i="4"/>
  <c r="Z1143" i="4"/>
  <c r="Y1143" i="4"/>
  <c r="X1143" i="4"/>
  <c r="W1143" i="4"/>
  <c r="H1143" i="4"/>
  <c r="Z1142" i="4"/>
  <c r="Y1142" i="4"/>
  <c r="X1142" i="4"/>
  <c r="W1142" i="4"/>
  <c r="H1142" i="4"/>
  <c r="Z1141" i="4"/>
  <c r="Y1141" i="4"/>
  <c r="X1141" i="4"/>
  <c r="W1141" i="4"/>
  <c r="H1141" i="4"/>
  <c r="Z1140" i="4"/>
  <c r="Y1140" i="4"/>
  <c r="X1140" i="4"/>
  <c r="W1140" i="4"/>
  <c r="H1140" i="4"/>
  <c r="Z1139" i="4"/>
  <c r="Y1139" i="4"/>
  <c r="X1139" i="4"/>
  <c r="W1139" i="4"/>
  <c r="H1139" i="4"/>
  <c r="Z1138" i="4"/>
  <c r="Y1138" i="4"/>
  <c r="X1138" i="4"/>
  <c r="W1138" i="4"/>
  <c r="H1138" i="4"/>
  <c r="Z1137" i="4"/>
  <c r="Y1137" i="4"/>
  <c r="X1137" i="4"/>
  <c r="W1137" i="4"/>
  <c r="H1137" i="4"/>
  <c r="Z1136" i="4"/>
  <c r="Y1136" i="4"/>
  <c r="X1136" i="4"/>
  <c r="W1136" i="4"/>
  <c r="H1136" i="4"/>
  <c r="Z1135" i="4"/>
  <c r="Y1135" i="4"/>
  <c r="X1135" i="4"/>
  <c r="W1135" i="4"/>
  <c r="H1135" i="4"/>
  <c r="Z1134" i="4"/>
  <c r="Y1134" i="4"/>
  <c r="X1134" i="4"/>
  <c r="W1134" i="4"/>
  <c r="H1134" i="4"/>
  <c r="Z1133" i="4"/>
  <c r="Y1133" i="4"/>
  <c r="X1133" i="4"/>
  <c r="W1133" i="4"/>
  <c r="H1133" i="4"/>
  <c r="Z1132" i="4"/>
  <c r="Y1132" i="4"/>
  <c r="X1132" i="4"/>
  <c r="W1132" i="4"/>
  <c r="H1132" i="4"/>
  <c r="Z1131" i="4"/>
  <c r="Y1131" i="4"/>
  <c r="X1131" i="4"/>
  <c r="W1131" i="4"/>
  <c r="H1131" i="4"/>
  <c r="Z1130" i="4"/>
  <c r="Y1130" i="4"/>
  <c r="X1130" i="4"/>
  <c r="W1130" i="4"/>
  <c r="H1130" i="4"/>
  <c r="Z1129" i="4"/>
  <c r="Y1129" i="4"/>
  <c r="X1129" i="4"/>
  <c r="W1129" i="4"/>
  <c r="H1129" i="4"/>
  <c r="Z1128" i="4"/>
  <c r="Y1128" i="4"/>
  <c r="X1128" i="4"/>
  <c r="W1128" i="4"/>
  <c r="H1128" i="4"/>
  <c r="Z1127" i="4"/>
  <c r="Y1127" i="4"/>
  <c r="X1127" i="4"/>
  <c r="W1127" i="4"/>
  <c r="H1127" i="4"/>
  <c r="Z1126" i="4"/>
  <c r="Y1126" i="4"/>
  <c r="X1126" i="4"/>
  <c r="W1126" i="4"/>
  <c r="H1126" i="4"/>
  <c r="Z1125" i="4"/>
  <c r="Y1125" i="4"/>
  <c r="X1125" i="4"/>
  <c r="W1125" i="4"/>
  <c r="H1125" i="4"/>
  <c r="Z1124" i="4"/>
  <c r="Y1124" i="4"/>
  <c r="X1124" i="4"/>
  <c r="W1124" i="4"/>
  <c r="H1124" i="4"/>
  <c r="Z1123" i="4"/>
  <c r="Y1123" i="4"/>
  <c r="X1123" i="4"/>
  <c r="W1123" i="4"/>
  <c r="H1123" i="4"/>
  <c r="Z1122" i="4"/>
  <c r="Y1122" i="4"/>
  <c r="X1122" i="4"/>
  <c r="W1122" i="4"/>
  <c r="H1122" i="4"/>
  <c r="Z1121" i="4"/>
  <c r="Y1121" i="4"/>
  <c r="X1121" i="4"/>
  <c r="W1121" i="4"/>
  <c r="H1121" i="4"/>
  <c r="Z1120" i="4"/>
  <c r="Y1120" i="4"/>
  <c r="X1120" i="4"/>
  <c r="W1120" i="4"/>
  <c r="H1120" i="4"/>
  <c r="Z1119" i="4"/>
  <c r="Y1119" i="4"/>
  <c r="X1119" i="4"/>
  <c r="W1119" i="4"/>
  <c r="H1119" i="4"/>
  <c r="Z1118" i="4"/>
  <c r="Y1118" i="4"/>
  <c r="X1118" i="4"/>
  <c r="W1118" i="4"/>
  <c r="H1118" i="4"/>
  <c r="Z1117" i="4"/>
  <c r="Y1117" i="4"/>
  <c r="X1117" i="4"/>
  <c r="W1117" i="4"/>
  <c r="H1117" i="4"/>
  <c r="Z1116" i="4"/>
  <c r="Y1116" i="4"/>
  <c r="X1116" i="4"/>
  <c r="W1116" i="4"/>
  <c r="H1116" i="4"/>
  <c r="Z1115" i="4"/>
  <c r="Y1115" i="4"/>
  <c r="X1115" i="4"/>
  <c r="W1115" i="4"/>
  <c r="H1115" i="4"/>
  <c r="Z1114" i="4"/>
  <c r="Y1114" i="4"/>
  <c r="X1114" i="4"/>
  <c r="W1114" i="4"/>
  <c r="H1114" i="4"/>
  <c r="Z1113" i="4"/>
  <c r="Y1113" i="4"/>
  <c r="X1113" i="4"/>
  <c r="W1113" i="4"/>
  <c r="H1113" i="4"/>
  <c r="Z1112" i="4"/>
  <c r="Y1112" i="4"/>
  <c r="X1112" i="4"/>
  <c r="W1112" i="4"/>
  <c r="H1112" i="4"/>
  <c r="Z1111" i="4"/>
  <c r="Y1111" i="4"/>
  <c r="X1111" i="4"/>
  <c r="W1111" i="4"/>
  <c r="H1111" i="4"/>
  <c r="Z1110" i="4"/>
  <c r="Y1110" i="4"/>
  <c r="X1110" i="4"/>
  <c r="W1110" i="4"/>
  <c r="H1110" i="4"/>
  <c r="Z1109" i="4"/>
  <c r="Y1109" i="4"/>
  <c r="X1109" i="4"/>
  <c r="W1109" i="4"/>
  <c r="H1109" i="4"/>
  <c r="Z1108" i="4"/>
  <c r="Y1108" i="4"/>
  <c r="X1108" i="4"/>
  <c r="W1108" i="4"/>
  <c r="H1108" i="4"/>
  <c r="Z1107" i="4"/>
  <c r="Y1107" i="4"/>
  <c r="X1107" i="4"/>
  <c r="W1107" i="4"/>
  <c r="H1107" i="4"/>
  <c r="Z1106" i="4"/>
  <c r="Y1106" i="4"/>
  <c r="X1106" i="4"/>
  <c r="W1106" i="4"/>
  <c r="H1106" i="4"/>
  <c r="Z1105" i="4"/>
  <c r="Y1105" i="4"/>
  <c r="X1105" i="4"/>
  <c r="W1105" i="4"/>
  <c r="H1105" i="4"/>
  <c r="Z1104" i="4"/>
  <c r="Y1104" i="4"/>
  <c r="X1104" i="4"/>
  <c r="W1104" i="4"/>
  <c r="H1104" i="4"/>
  <c r="Z1103" i="4"/>
  <c r="Y1103" i="4"/>
  <c r="X1103" i="4"/>
  <c r="W1103" i="4"/>
  <c r="H1103" i="4"/>
  <c r="Z1102" i="4"/>
  <c r="Y1102" i="4"/>
  <c r="X1102" i="4"/>
  <c r="W1102" i="4"/>
  <c r="H1102" i="4"/>
  <c r="Z1101" i="4"/>
  <c r="Y1101" i="4"/>
  <c r="X1101" i="4"/>
  <c r="W1101" i="4"/>
  <c r="H1101" i="4"/>
  <c r="Z1100" i="4"/>
  <c r="Y1100" i="4"/>
  <c r="X1100" i="4"/>
  <c r="W1100" i="4"/>
  <c r="H1100" i="4"/>
  <c r="Z1099" i="4"/>
  <c r="Y1099" i="4"/>
  <c r="X1099" i="4"/>
  <c r="W1099" i="4"/>
  <c r="H1099" i="4"/>
  <c r="Z1098" i="4"/>
  <c r="Y1098" i="4"/>
  <c r="X1098" i="4"/>
  <c r="W1098" i="4"/>
  <c r="H1098" i="4"/>
  <c r="Z1097" i="4"/>
  <c r="Y1097" i="4"/>
  <c r="X1097" i="4"/>
  <c r="W1097" i="4"/>
  <c r="H1097" i="4"/>
  <c r="Z1096" i="4"/>
  <c r="Y1096" i="4"/>
  <c r="X1096" i="4"/>
  <c r="W1096" i="4"/>
  <c r="H1096" i="4"/>
  <c r="Z1095" i="4"/>
  <c r="Y1095" i="4"/>
  <c r="X1095" i="4"/>
  <c r="W1095" i="4"/>
  <c r="H1095" i="4"/>
  <c r="Z1094" i="4"/>
  <c r="Y1094" i="4"/>
  <c r="X1094" i="4"/>
  <c r="W1094" i="4"/>
  <c r="H1094" i="4"/>
  <c r="Z1093" i="4"/>
  <c r="Y1093" i="4"/>
  <c r="X1093" i="4"/>
  <c r="W1093" i="4"/>
  <c r="H1093" i="4"/>
  <c r="Z1092" i="4"/>
  <c r="Y1092" i="4"/>
  <c r="X1092" i="4"/>
  <c r="W1092" i="4"/>
  <c r="H1092" i="4"/>
  <c r="Z1091" i="4"/>
  <c r="Y1091" i="4"/>
  <c r="X1091" i="4"/>
  <c r="W1091" i="4"/>
  <c r="H1091" i="4"/>
  <c r="Z1090" i="4"/>
  <c r="Y1090" i="4"/>
  <c r="X1090" i="4"/>
  <c r="W1090" i="4"/>
  <c r="H1090" i="4"/>
  <c r="Z1089" i="4"/>
  <c r="Y1089" i="4"/>
  <c r="X1089" i="4"/>
  <c r="W1089" i="4"/>
  <c r="H1089" i="4"/>
  <c r="Z1088" i="4"/>
  <c r="Y1088" i="4"/>
  <c r="X1088" i="4"/>
  <c r="W1088" i="4"/>
  <c r="H1088" i="4"/>
  <c r="Z1087" i="4"/>
  <c r="Y1087" i="4"/>
  <c r="X1087" i="4"/>
  <c r="W1087" i="4"/>
  <c r="H1087" i="4"/>
  <c r="Z1086" i="4"/>
  <c r="Y1086" i="4"/>
  <c r="X1086" i="4"/>
  <c r="W1086" i="4"/>
  <c r="H1086" i="4"/>
  <c r="Z1085" i="4"/>
  <c r="Y1085" i="4"/>
  <c r="X1085" i="4"/>
  <c r="W1085" i="4"/>
  <c r="H1085" i="4"/>
  <c r="Z1084" i="4"/>
  <c r="Y1084" i="4"/>
  <c r="X1084" i="4"/>
  <c r="W1084" i="4"/>
  <c r="H1084" i="4"/>
  <c r="Z1083" i="4"/>
  <c r="Y1083" i="4"/>
  <c r="X1083" i="4"/>
  <c r="W1083" i="4"/>
  <c r="H1083" i="4"/>
  <c r="Z1082" i="4"/>
  <c r="Y1082" i="4"/>
  <c r="X1082" i="4"/>
  <c r="W1082" i="4"/>
  <c r="H1082" i="4"/>
  <c r="Z1081" i="4"/>
  <c r="Y1081" i="4"/>
  <c r="X1081" i="4"/>
  <c r="W1081" i="4"/>
  <c r="H1081" i="4"/>
  <c r="Z1080" i="4"/>
  <c r="Y1080" i="4"/>
  <c r="X1080" i="4"/>
  <c r="W1080" i="4"/>
  <c r="H1080" i="4"/>
  <c r="Z1079" i="4"/>
  <c r="Y1079" i="4"/>
  <c r="X1079" i="4"/>
  <c r="W1079" i="4"/>
  <c r="H1079" i="4"/>
  <c r="Z1078" i="4"/>
  <c r="Y1078" i="4"/>
  <c r="X1078" i="4"/>
  <c r="W1078" i="4"/>
  <c r="H1078" i="4"/>
  <c r="Z1077" i="4"/>
  <c r="Y1077" i="4"/>
  <c r="X1077" i="4"/>
  <c r="W1077" i="4"/>
  <c r="H1077" i="4"/>
  <c r="Z1076" i="4"/>
  <c r="Y1076" i="4"/>
  <c r="X1076" i="4"/>
  <c r="W1076" i="4"/>
  <c r="H1076" i="4"/>
  <c r="Z1075" i="4"/>
  <c r="Y1075" i="4"/>
  <c r="X1075" i="4"/>
  <c r="W1075" i="4"/>
  <c r="H1075" i="4"/>
  <c r="Z1074" i="4"/>
  <c r="Y1074" i="4"/>
  <c r="X1074" i="4"/>
  <c r="W1074" i="4"/>
  <c r="H1074" i="4"/>
  <c r="Z1073" i="4"/>
  <c r="Y1073" i="4"/>
  <c r="X1073" i="4"/>
  <c r="W1073" i="4"/>
  <c r="H1073" i="4"/>
  <c r="Z1072" i="4"/>
  <c r="Y1072" i="4"/>
  <c r="X1072" i="4"/>
  <c r="W1072" i="4"/>
  <c r="H1072" i="4"/>
  <c r="Z1071" i="4"/>
  <c r="Y1071" i="4"/>
  <c r="X1071" i="4"/>
  <c r="W1071" i="4"/>
  <c r="H1071" i="4"/>
  <c r="Z1070" i="4"/>
  <c r="Y1070" i="4"/>
  <c r="X1070" i="4"/>
  <c r="W1070" i="4"/>
  <c r="H1070" i="4"/>
  <c r="Z1069" i="4"/>
  <c r="Y1069" i="4"/>
  <c r="X1069" i="4"/>
  <c r="W1069" i="4"/>
  <c r="H1069" i="4"/>
  <c r="Z1068" i="4"/>
  <c r="Y1068" i="4"/>
  <c r="X1068" i="4"/>
  <c r="W1068" i="4"/>
  <c r="H1068" i="4"/>
  <c r="Z1067" i="4"/>
  <c r="Y1067" i="4"/>
  <c r="X1067" i="4"/>
  <c r="W1067" i="4"/>
  <c r="H1067" i="4"/>
  <c r="Z1066" i="4"/>
  <c r="Y1066" i="4"/>
  <c r="X1066" i="4"/>
  <c r="W1066" i="4"/>
  <c r="H1066" i="4"/>
  <c r="Z1065" i="4"/>
  <c r="Y1065" i="4"/>
  <c r="X1065" i="4"/>
  <c r="W1065" i="4"/>
  <c r="H1065" i="4"/>
  <c r="Z1064" i="4"/>
  <c r="Y1064" i="4"/>
  <c r="X1064" i="4"/>
  <c r="W1064" i="4"/>
  <c r="H1064" i="4"/>
  <c r="Z1063" i="4"/>
  <c r="Y1063" i="4"/>
  <c r="X1063" i="4"/>
  <c r="W1063" i="4"/>
  <c r="H1063" i="4"/>
  <c r="Z1062" i="4"/>
  <c r="Y1062" i="4"/>
  <c r="X1062" i="4"/>
  <c r="W1062" i="4"/>
  <c r="H1062" i="4"/>
  <c r="Z1061" i="4"/>
  <c r="Y1061" i="4"/>
  <c r="X1061" i="4"/>
  <c r="W1061" i="4"/>
  <c r="H1061" i="4"/>
  <c r="Z1060" i="4"/>
  <c r="Y1060" i="4"/>
  <c r="X1060" i="4"/>
  <c r="W1060" i="4"/>
  <c r="H1060" i="4"/>
  <c r="Z1059" i="4"/>
  <c r="Y1059" i="4"/>
  <c r="X1059" i="4"/>
  <c r="W1059" i="4"/>
  <c r="H1059" i="4"/>
  <c r="Z1058" i="4"/>
  <c r="Y1058" i="4"/>
  <c r="X1058" i="4"/>
  <c r="W1058" i="4"/>
  <c r="H1058" i="4"/>
  <c r="Z1057" i="4"/>
  <c r="Y1057" i="4"/>
  <c r="X1057" i="4"/>
  <c r="W1057" i="4"/>
  <c r="H1057" i="4"/>
  <c r="Z1056" i="4"/>
  <c r="Y1056" i="4"/>
  <c r="X1056" i="4"/>
  <c r="W1056" i="4"/>
  <c r="H1056" i="4"/>
  <c r="Z1055" i="4"/>
  <c r="Y1055" i="4"/>
  <c r="X1055" i="4"/>
  <c r="W1055" i="4"/>
  <c r="H1055" i="4"/>
  <c r="Z1054" i="4"/>
  <c r="Y1054" i="4"/>
  <c r="X1054" i="4"/>
  <c r="W1054" i="4"/>
  <c r="H1054" i="4"/>
  <c r="Z1053" i="4"/>
  <c r="Y1053" i="4"/>
  <c r="X1053" i="4"/>
  <c r="W1053" i="4"/>
  <c r="H1053" i="4"/>
  <c r="Z1052" i="4"/>
  <c r="Y1052" i="4"/>
  <c r="X1052" i="4"/>
  <c r="W1052" i="4"/>
  <c r="H1052" i="4"/>
  <c r="Z1051" i="4"/>
  <c r="Y1051" i="4"/>
  <c r="X1051" i="4"/>
  <c r="W1051" i="4"/>
  <c r="H1051" i="4"/>
  <c r="Z1050" i="4"/>
  <c r="Y1050" i="4"/>
  <c r="X1050" i="4"/>
  <c r="W1050" i="4"/>
  <c r="H1050" i="4"/>
  <c r="Z1049" i="4"/>
  <c r="Y1049" i="4"/>
  <c r="X1049" i="4"/>
  <c r="W1049" i="4"/>
  <c r="H1049" i="4"/>
  <c r="Z1048" i="4"/>
  <c r="Y1048" i="4"/>
  <c r="X1048" i="4"/>
  <c r="W1048" i="4"/>
  <c r="H1048" i="4"/>
  <c r="Z1047" i="4"/>
  <c r="Y1047" i="4"/>
  <c r="X1047" i="4"/>
  <c r="W1047" i="4"/>
  <c r="H1047" i="4"/>
  <c r="Z1046" i="4"/>
  <c r="Y1046" i="4"/>
  <c r="X1046" i="4"/>
  <c r="W1046" i="4"/>
  <c r="H1046" i="4"/>
  <c r="Z1045" i="4"/>
  <c r="Y1045" i="4"/>
  <c r="X1045" i="4"/>
  <c r="W1045" i="4"/>
  <c r="H1045" i="4"/>
  <c r="Z1044" i="4"/>
  <c r="Y1044" i="4"/>
  <c r="X1044" i="4"/>
  <c r="W1044" i="4"/>
  <c r="H1044" i="4"/>
  <c r="Z1043" i="4"/>
  <c r="Y1043" i="4"/>
  <c r="X1043" i="4"/>
  <c r="W1043" i="4"/>
  <c r="H1043" i="4"/>
  <c r="Z1042" i="4"/>
  <c r="Y1042" i="4"/>
  <c r="X1042" i="4"/>
  <c r="W1042" i="4"/>
  <c r="H1042" i="4"/>
  <c r="Z1041" i="4"/>
  <c r="Y1041" i="4"/>
  <c r="X1041" i="4"/>
  <c r="W1041" i="4"/>
  <c r="H1041" i="4"/>
  <c r="Z1040" i="4"/>
  <c r="Y1040" i="4"/>
  <c r="X1040" i="4"/>
  <c r="W1040" i="4"/>
  <c r="H1040" i="4"/>
  <c r="Z1039" i="4"/>
  <c r="Y1039" i="4"/>
  <c r="X1039" i="4"/>
  <c r="W1039" i="4"/>
  <c r="H1039" i="4"/>
  <c r="Z1038" i="4"/>
  <c r="Y1038" i="4"/>
  <c r="X1038" i="4"/>
  <c r="W1038" i="4"/>
  <c r="H1038" i="4"/>
  <c r="Z1037" i="4"/>
  <c r="Y1037" i="4"/>
  <c r="X1037" i="4"/>
  <c r="W1037" i="4"/>
  <c r="H1037" i="4"/>
  <c r="Z1036" i="4"/>
  <c r="Y1036" i="4"/>
  <c r="X1036" i="4"/>
  <c r="W1036" i="4"/>
  <c r="H1036" i="4"/>
  <c r="Z1035" i="4"/>
  <c r="Y1035" i="4"/>
  <c r="X1035" i="4"/>
  <c r="W1035" i="4"/>
  <c r="H1035" i="4"/>
  <c r="Z1034" i="4"/>
  <c r="Y1034" i="4"/>
  <c r="X1034" i="4"/>
  <c r="W1034" i="4"/>
  <c r="H1034" i="4"/>
  <c r="Z1033" i="4"/>
  <c r="Y1033" i="4"/>
  <c r="X1033" i="4"/>
  <c r="W1033" i="4"/>
  <c r="H1033" i="4"/>
  <c r="Z1032" i="4"/>
  <c r="Y1032" i="4"/>
  <c r="X1032" i="4"/>
  <c r="W1032" i="4"/>
  <c r="H1032" i="4"/>
  <c r="Z1031" i="4"/>
  <c r="Y1031" i="4"/>
  <c r="X1031" i="4"/>
  <c r="W1031" i="4"/>
  <c r="H1031" i="4"/>
  <c r="Z1030" i="4"/>
  <c r="Y1030" i="4"/>
  <c r="X1030" i="4"/>
  <c r="W1030" i="4"/>
  <c r="H1030" i="4"/>
  <c r="Z1029" i="4"/>
  <c r="Y1029" i="4"/>
  <c r="X1029" i="4"/>
  <c r="W1029" i="4"/>
  <c r="H1029" i="4"/>
  <c r="Z1028" i="4"/>
  <c r="Y1028" i="4"/>
  <c r="X1028" i="4"/>
  <c r="W1028" i="4"/>
  <c r="H1028" i="4"/>
  <c r="Z1027" i="4"/>
  <c r="Y1027" i="4"/>
  <c r="X1027" i="4"/>
  <c r="W1027" i="4"/>
  <c r="H1027" i="4"/>
  <c r="Z1026" i="4"/>
  <c r="Y1026" i="4"/>
  <c r="X1026" i="4"/>
  <c r="W1026" i="4"/>
  <c r="H1026" i="4"/>
  <c r="Z1025" i="4"/>
  <c r="Y1025" i="4"/>
  <c r="X1025" i="4"/>
  <c r="W1025" i="4"/>
  <c r="H1025" i="4"/>
  <c r="Z1024" i="4"/>
  <c r="Y1024" i="4"/>
  <c r="X1024" i="4"/>
  <c r="W1024" i="4"/>
  <c r="H1024" i="4"/>
  <c r="Z1023" i="4"/>
  <c r="Y1023" i="4"/>
  <c r="X1023" i="4"/>
  <c r="W1023" i="4"/>
  <c r="H1023" i="4"/>
  <c r="Z1022" i="4"/>
  <c r="Y1022" i="4"/>
  <c r="X1022" i="4"/>
  <c r="W1022" i="4"/>
  <c r="H1022" i="4"/>
  <c r="Z1021" i="4"/>
  <c r="Y1021" i="4"/>
  <c r="X1021" i="4"/>
  <c r="W1021" i="4"/>
  <c r="H1021" i="4"/>
  <c r="Z1020" i="4"/>
  <c r="Y1020" i="4"/>
  <c r="X1020" i="4"/>
  <c r="W1020" i="4"/>
  <c r="H1020" i="4"/>
  <c r="Z1019" i="4"/>
  <c r="Y1019" i="4"/>
  <c r="X1019" i="4"/>
  <c r="W1019" i="4"/>
  <c r="H1019" i="4"/>
  <c r="Z1018" i="4"/>
  <c r="Y1018" i="4"/>
  <c r="X1018" i="4"/>
  <c r="W1018" i="4"/>
  <c r="H1018" i="4"/>
  <c r="Z1017" i="4"/>
  <c r="Y1017" i="4"/>
  <c r="X1017" i="4"/>
  <c r="W1017" i="4"/>
  <c r="H1017" i="4"/>
  <c r="Z1016" i="4"/>
  <c r="Y1016" i="4"/>
  <c r="X1016" i="4"/>
  <c r="W1016" i="4"/>
  <c r="H1016" i="4"/>
  <c r="Z1015" i="4"/>
  <c r="Y1015" i="4"/>
  <c r="X1015" i="4"/>
  <c r="W1015" i="4"/>
  <c r="H1015" i="4"/>
  <c r="Z1014" i="4"/>
  <c r="Y1014" i="4"/>
  <c r="X1014" i="4"/>
  <c r="W1014" i="4"/>
  <c r="H1014" i="4"/>
  <c r="Z1013" i="4"/>
  <c r="Y1013" i="4"/>
  <c r="X1013" i="4"/>
  <c r="W1013" i="4"/>
  <c r="H1013" i="4"/>
  <c r="Z1012" i="4"/>
  <c r="Y1012" i="4"/>
  <c r="X1012" i="4"/>
  <c r="W1012" i="4"/>
  <c r="H1012" i="4"/>
  <c r="Z1011" i="4"/>
  <c r="Y1011" i="4"/>
  <c r="X1011" i="4"/>
  <c r="W1011" i="4"/>
  <c r="H1011" i="4"/>
  <c r="Z1010" i="4"/>
  <c r="Y1010" i="4"/>
  <c r="X1010" i="4"/>
  <c r="W1010" i="4"/>
  <c r="H1010" i="4"/>
  <c r="Z1009" i="4"/>
  <c r="Y1009" i="4"/>
  <c r="X1009" i="4"/>
  <c r="W1009" i="4"/>
  <c r="H1009" i="4"/>
  <c r="Z1008" i="4"/>
  <c r="Y1008" i="4"/>
  <c r="X1008" i="4"/>
  <c r="W1008" i="4"/>
  <c r="H1008" i="4"/>
  <c r="Z1007" i="4"/>
  <c r="Y1007" i="4"/>
  <c r="X1007" i="4"/>
  <c r="W1007" i="4"/>
  <c r="H1007" i="4"/>
  <c r="Z1006" i="4"/>
  <c r="Y1006" i="4"/>
  <c r="X1006" i="4"/>
  <c r="W1006" i="4"/>
  <c r="H1006" i="4"/>
  <c r="Z1005" i="4"/>
  <c r="Y1005" i="4"/>
  <c r="X1005" i="4"/>
  <c r="W1005" i="4"/>
  <c r="H1005" i="4"/>
  <c r="Z1004" i="4"/>
  <c r="Y1004" i="4"/>
  <c r="X1004" i="4"/>
  <c r="W1004" i="4"/>
  <c r="H1004" i="4"/>
  <c r="Z1003" i="4"/>
  <c r="Y1003" i="4"/>
  <c r="X1003" i="4"/>
  <c r="W1003" i="4"/>
  <c r="H1003" i="4"/>
  <c r="Z1002" i="4"/>
  <c r="Y1002" i="4"/>
  <c r="X1002" i="4"/>
  <c r="W1002" i="4"/>
  <c r="H1002" i="4"/>
  <c r="Z1001" i="4"/>
  <c r="Y1001" i="4"/>
  <c r="X1001" i="4"/>
  <c r="W1001" i="4"/>
  <c r="H1001" i="4"/>
  <c r="Z1000" i="4"/>
  <c r="Y1000" i="4"/>
  <c r="X1000" i="4"/>
  <c r="W1000" i="4"/>
  <c r="H1000" i="4"/>
  <c r="Z999" i="4"/>
  <c r="Y999" i="4"/>
  <c r="X999" i="4"/>
  <c r="W999" i="4"/>
  <c r="H999" i="4"/>
  <c r="Z998" i="4"/>
  <c r="Y998" i="4"/>
  <c r="X998" i="4"/>
  <c r="W998" i="4"/>
  <c r="H998" i="4"/>
  <c r="Z997" i="4"/>
  <c r="Y997" i="4"/>
  <c r="X997" i="4"/>
  <c r="W997" i="4"/>
  <c r="H997" i="4"/>
  <c r="Z996" i="4"/>
  <c r="Y996" i="4"/>
  <c r="X996" i="4"/>
  <c r="W996" i="4"/>
  <c r="H996" i="4"/>
  <c r="Z995" i="4"/>
  <c r="Y995" i="4"/>
  <c r="X995" i="4"/>
  <c r="W995" i="4"/>
  <c r="H995" i="4"/>
  <c r="Z994" i="4"/>
  <c r="Y994" i="4"/>
  <c r="X994" i="4"/>
  <c r="W994" i="4"/>
  <c r="H994" i="4"/>
  <c r="Z993" i="4"/>
  <c r="Y993" i="4"/>
  <c r="X993" i="4"/>
  <c r="W993" i="4"/>
  <c r="H993" i="4"/>
  <c r="Z992" i="4"/>
  <c r="Y992" i="4"/>
  <c r="X992" i="4"/>
  <c r="W992" i="4"/>
  <c r="H992" i="4"/>
  <c r="Z991" i="4"/>
  <c r="Y991" i="4"/>
  <c r="X991" i="4"/>
  <c r="W991" i="4"/>
  <c r="H991" i="4"/>
  <c r="Z990" i="4"/>
  <c r="Y990" i="4"/>
  <c r="X990" i="4"/>
  <c r="W990" i="4"/>
  <c r="H990" i="4"/>
  <c r="Z989" i="4"/>
  <c r="Y989" i="4"/>
  <c r="X989" i="4"/>
  <c r="W989" i="4"/>
  <c r="H989" i="4"/>
  <c r="Z988" i="4"/>
  <c r="Y988" i="4"/>
  <c r="X988" i="4"/>
  <c r="W988" i="4"/>
  <c r="H988" i="4"/>
  <c r="Z987" i="4"/>
  <c r="Y987" i="4"/>
  <c r="X987" i="4"/>
  <c r="W987" i="4"/>
  <c r="H987" i="4"/>
  <c r="Z986" i="4"/>
  <c r="Y986" i="4"/>
  <c r="X986" i="4"/>
  <c r="W986" i="4"/>
  <c r="H986" i="4"/>
  <c r="Z985" i="4"/>
  <c r="Y985" i="4"/>
  <c r="X985" i="4"/>
  <c r="W985" i="4"/>
  <c r="H985" i="4"/>
  <c r="Z984" i="4"/>
  <c r="Y984" i="4"/>
  <c r="X984" i="4"/>
  <c r="W984" i="4"/>
  <c r="H984" i="4"/>
  <c r="Z983" i="4"/>
  <c r="Y983" i="4"/>
  <c r="X983" i="4"/>
  <c r="W983" i="4"/>
  <c r="H983" i="4"/>
  <c r="Z982" i="4"/>
  <c r="Y982" i="4"/>
  <c r="X982" i="4"/>
  <c r="W982" i="4"/>
  <c r="H982" i="4"/>
  <c r="Z981" i="4"/>
  <c r="Y981" i="4"/>
  <c r="X981" i="4"/>
  <c r="W981" i="4"/>
  <c r="H981" i="4"/>
  <c r="Z980" i="4"/>
  <c r="Y980" i="4"/>
  <c r="X980" i="4"/>
  <c r="W980" i="4"/>
  <c r="H980" i="4"/>
  <c r="Z979" i="4"/>
  <c r="Y979" i="4"/>
  <c r="X979" i="4"/>
  <c r="W979" i="4"/>
  <c r="H979" i="4"/>
  <c r="Z978" i="4"/>
  <c r="Y978" i="4"/>
  <c r="X978" i="4"/>
  <c r="W978" i="4"/>
  <c r="H978" i="4"/>
  <c r="Z977" i="4"/>
  <c r="Y977" i="4"/>
  <c r="X977" i="4"/>
  <c r="W977" i="4"/>
  <c r="H977" i="4"/>
  <c r="Z976" i="4"/>
  <c r="Y976" i="4"/>
  <c r="X976" i="4"/>
  <c r="W976" i="4"/>
  <c r="H976" i="4"/>
  <c r="Z975" i="4"/>
  <c r="Y975" i="4"/>
  <c r="X975" i="4"/>
  <c r="W975" i="4"/>
  <c r="H975" i="4"/>
  <c r="Z974" i="4"/>
  <c r="Y974" i="4"/>
  <c r="X974" i="4"/>
  <c r="W974" i="4"/>
  <c r="H974" i="4"/>
  <c r="Z973" i="4"/>
  <c r="Y973" i="4"/>
  <c r="X973" i="4"/>
  <c r="W973" i="4"/>
  <c r="H973" i="4"/>
  <c r="Z972" i="4"/>
  <c r="Y972" i="4"/>
  <c r="X972" i="4"/>
  <c r="W972" i="4"/>
  <c r="H972" i="4"/>
  <c r="Z971" i="4"/>
  <c r="Y971" i="4"/>
  <c r="X971" i="4"/>
  <c r="W971" i="4"/>
  <c r="H971" i="4"/>
  <c r="Z970" i="4"/>
  <c r="Y970" i="4"/>
  <c r="X970" i="4"/>
  <c r="W970" i="4"/>
  <c r="H970" i="4"/>
  <c r="Z969" i="4"/>
  <c r="Y969" i="4"/>
  <c r="X969" i="4"/>
  <c r="W969" i="4"/>
  <c r="H969" i="4"/>
  <c r="Z968" i="4"/>
  <c r="Y968" i="4"/>
  <c r="X968" i="4"/>
  <c r="W968" i="4"/>
  <c r="H968" i="4"/>
  <c r="Z967" i="4"/>
  <c r="Y967" i="4"/>
  <c r="X967" i="4"/>
  <c r="W967" i="4"/>
  <c r="H967" i="4"/>
  <c r="Z966" i="4"/>
  <c r="Y966" i="4"/>
  <c r="X966" i="4"/>
  <c r="W966" i="4"/>
  <c r="H966" i="4"/>
  <c r="Z965" i="4"/>
  <c r="Y965" i="4"/>
  <c r="X965" i="4"/>
  <c r="W965" i="4"/>
  <c r="H965" i="4"/>
  <c r="Z964" i="4"/>
  <c r="Y964" i="4"/>
  <c r="X964" i="4"/>
  <c r="W964" i="4"/>
  <c r="H964" i="4"/>
  <c r="Z963" i="4"/>
  <c r="Y963" i="4"/>
  <c r="X963" i="4"/>
  <c r="W963" i="4"/>
  <c r="H963" i="4"/>
  <c r="Z962" i="4"/>
  <c r="Y962" i="4"/>
  <c r="X962" i="4"/>
  <c r="W962" i="4"/>
  <c r="H962" i="4"/>
  <c r="Z961" i="4"/>
  <c r="Y961" i="4"/>
  <c r="X961" i="4"/>
  <c r="W961" i="4"/>
  <c r="H961" i="4"/>
  <c r="Z960" i="4"/>
  <c r="Y960" i="4"/>
  <c r="X960" i="4"/>
  <c r="W960" i="4"/>
  <c r="H960" i="4"/>
  <c r="Z959" i="4"/>
  <c r="Y959" i="4"/>
  <c r="X959" i="4"/>
  <c r="W959" i="4"/>
  <c r="H959" i="4"/>
  <c r="Z958" i="4"/>
  <c r="Y958" i="4"/>
  <c r="X958" i="4"/>
  <c r="W958" i="4"/>
  <c r="H958" i="4"/>
  <c r="Z957" i="4"/>
  <c r="Y957" i="4"/>
  <c r="X957" i="4"/>
  <c r="W957" i="4"/>
  <c r="H957" i="4"/>
  <c r="Z956" i="4"/>
  <c r="Y956" i="4"/>
  <c r="X956" i="4"/>
  <c r="W956" i="4"/>
  <c r="H956" i="4"/>
  <c r="Z955" i="4"/>
  <c r="Y955" i="4"/>
  <c r="X955" i="4"/>
  <c r="W955" i="4"/>
  <c r="H955" i="4"/>
  <c r="Z954" i="4"/>
  <c r="Y954" i="4"/>
  <c r="X954" i="4"/>
  <c r="W954" i="4"/>
  <c r="H954" i="4"/>
  <c r="Z953" i="4"/>
  <c r="Y953" i="4"/>
  <c r="X953" i="4"/>
  <c r="W953" i="4"/>
  <c r="H953" i="4"/>
  <c r="Z952" i="4"/>
  <c r="Y952" i="4"/>
  <c r="X952" i="4"/>
  <c r="W952" i="4"/>
  <c r="H952" i="4"/>
  <c r="Z951" i="4"/>
  <c r="Y951" i="4"/>
  <c r="X951" i="4"/>
  <c r="W951" i="4"/>
  <c r="H951" i="4"/>
  <c r="Z950" i="4"/>
  <c r="Y950" i="4"/>
  <c r="X950" i="4"/>
  <c r="W950" i="4"/>
  <c r="H950" i="4"/>
  <c r="Z949" i="4"/>
  <c r="Y949" i="4"/>
  <c r="X949" i="4"/>
  <c r="W949" i="4"/>
  <c r="H949" i="4"/>
  <c r="Z948" i="4"/>
  <c r="Y948" i="4"/>
  <c r="X948" i="4"/>
  <c r="W948" i="4"/>
  <c r="H948" i="4"/>
  <c r="Z947" i="4"/>
  <c r="Y947" i="4"/>
  <c r="X947" i="4"/>
  <c r="W947" i="4"/>
  <c r="H947" i="4"/>
  <c r="Z946" i="4"/>
  <c r="Y946" i="4"/>
  <c r="X946" i="4"/>
  <c r="W946" i="4"/>
  <c r="H946" i="4"/>
  <c r="Z945" i="4"/>
  <c r="Y945" i="4"/>
  <c r="X945" i="4"/>
  <c r="W945" i="4"/>
  <c r="H945" i="4"/>
  <c r="Z944" i="4"/>
  <c r="Y944" i="4"/>
  <c r="X944" i="4"/>
  <c r="W944" i="4"/>
  <c r="H944" i="4"/>
  <c r="Z943" i="4"/>
  <c r="Y943" i="4"/>
  <c r="X943" i="4"/>
  <c r="W943" i="4"/>
  <c r="H943" i="4"/>
  <c r="Z942" i="4"/>
  <c r="Y942" i="4"/>
  <c r="X942" i="4"/>
  <c r="W942" i="4"/>
  <c r="H942" i="4"/>
  <c r="Z941" i="4"/>
  <c r="Y941" i="4"/>
  <c r="X941" i="4"/>
  <c r="W941" i="4"/>
  <c r="H941" i="4"/>
  <c r="Z940" i="4"/>
  <c r="Y940" i="4"/>
  <c r="X940" i="4"/>
  <c r="W940" i="4"/>
  <c r="H940" i="4"/>
  <c r="Z939" i="4"/>
  <c r="Y939" i="4"/>
  <c r="X939" i="4"/>
  <c r="W939" i="4"/>
  <c r="H939" i="4"/>
  <c r="Z938" i="4"/>
  <c r="Y938" i="4"/>
  <c r="X938" i="4"/>
  <c r="W938" i="4"/>
  <c r="H938" i="4"/>
  <c r="Z937" i="4"/>
  <c r="Y937" i="4"/>
  <c r="X937" i="4"/>
  <c r="W937" i="4"/>
  <c r="H937" i="4"/>
  <c r="Z936" i="4"/>
  <c r="Y936" i="4"/>
  <c r="X936" i="4"/>
  <c r="W936" i="4"/>
  <c r="H936" i="4"/>
  <c r="Z935" i="4"/>
  <c r="Y935" i="4"/>
  <c r="X935" i="4"/>
  <c r="W935" i="4"/>
  <c r="H935" i="4"/>
  <c r="Z934" i="4"/>
  <c r="Y934" i="4"/>
  <c r="X934" i="4"/>
  <c r="W934" i="4"/>
  <c r="H934" i="4"/>
  <c r="Z933" i="4"/>
  <c r="Y933" i="4"/>
  <c r="X933" i="4"/>
  <c r="W933" i="4"/>
  <c r="H933" i="4"/>
  <c r="Z932" i="4"/>
  <c r="Y932" i="4"/>
  <c r="X932" i="4"/>
  <c r="W932" i="4"/>
  <c r="H932" i="4"/>
  <c r="Z931" i="4"/>
  <c r="Y931" i="4"/>
  <c r="X931" i="4"/>
  <c r="W931" i="4"/>
  <c r="H931" i="4"/>
  <c r="Z930" i="4"/>
  <c r="Y930" i="4"/>
  <c r="X930" i="4"/>
  <c r="W930" i="4"/>
  <c r="H930" i="4"/>
  <c r="Z929" i="4"/>
  <c r="Y929" i="4"/>
  <c r="X929" i="4"/>
  <c r="W929" i="4"/>
  <c r="H929" i="4"/>
  <c r="Z928" i="4"/>
  <c r="Y928" i="4"/>
  <c r="X928" i="4"/>
  <c r="W928" i="4"/>
  <c r="H928" i="4"/>
  <c r="Z927" i="4"/>
  <c r="Y927" i="4"/>
  <c r="X927" i="4"/>
  <c r="W927" i="4"/>
  <c r="H927" i="4"/>
  <c r="Z926" i="4"/>
  <c r="Y926" i="4"/>
  <c r="X926" i="4"/>
  <c r="W926" i="4"/>
  <c r="H926" i="4"/>
  <c r="Z925" i="4"/>
  <c r="Y925" i="4"/>
  <c r="X925" i="4"/>
  <c r="W925" i="4"/>
  <c r="H925" i="4"/>
  <c r="Z924" i="4"/>
  <c r="Y924" i="4"/>
  <c r="X924" i="4"/>
  <c r="W924" i="4"/>
  <c r="H924" i="4"/>
  <c r="Z923" i="4"/>
  <c r="Y923" i="4"/>
  <c r="X923" i="4"/>
  <c r="W923" i="4"/>
  <c r="H923" i="4"/>
  <c r="Z922" i="4"/>
  <c r="Y922" i="4"/>
  <c r="X922" i="4"/>
  <c r="W922" i="4"/>
  <c r="H922" i="4"/>
  <c r="Z921" i="4"/>
  <c r="Y921" i="4"/>
  <c r="X921" i="4"/>
  <c r="W921" i="4"/>
  <c r="H921" i="4"/>
  <c r="Z920" i="4"/>
  <c r="Y920" i="4"/>
  <c r="X920" i="4"/>
  <c r="W920" i="4"/>
  <c r="H920" i="4"/>
  <c r="Z919" i="4"/>
  <c r="Y919" i="4"/>
  <c r="X919" i="4"/>
  <c r="W919" i="4"/>
  <c r="H919" i="4"/>
  <c r="Z918" i="4"/>
  <c r="Y918" i="4"/>
  <c r="X918" i="4"/>
  <c r="W918" i="4"/>
  <c r="H918" i="4"/>
  <c r="Z917" i="4"/>
  <c r="Y917" i="4"/>
  <c r="X917" i="4"/>
  <c r="W917" i="4"/>
  <c r="H917" i="4"/>
  <c r="Z916" i="4"/>
  <c r="Y916" i="4"/>
  <c r="X916" i="4"/>
  <c r="W916" i="4"/>
  <c r="H916" i="4"/>
  <c r="Z915" i="4"/>
  <c r="Y915" i="4"/>
  <c r="X915" i="4"/>
  <c r="W915" i="4"/>
  <c r="H915" i="4"/>
  <c r="Z914" i="4"/>
  <c r="Y914" i="4"/>
  <c r="X914" i="4"/>
  <c r="W914" i="4"/>
  <c r="H914" i="4"/>
  <c r="Z913" i="4"/>
  <c r="Y913" i="4"/>
  <c r="X913" i="4"/>
  <c r="W913" i="4"/>
  <c r="H913" i="4"/>
  <c r="Z912" i="4"/>
  <c r="Y912" i="4"/>
  <c r="X912" i="4"/>
  <c r="W912" i="4"/>
  <c r="H912" i="4"/>
  <c r="Z911" i="4"/>
  <c r="Y911" i="4"/>
  <c r="X911" i="4"/>
  <c r="W911" i="4"/>
  <c r="H911" i="4"/>
  <c r="Z910" i="4"/>
  <c r="Y910" i="4"/>
  <c r="X910" i="4"/>
  <c r="W910" i="4"/>
  <c r="H910" i="4"/>
  <c r="Z909" i="4"/>
  <c r="Y909" i="4"/>
  <c r="X909" i="4"/>
  <c r="W909" i="4"/>
  <c r="H909" i="4"/>
  <c r="Z908" i="4"/>
  <c r="Y908" i="4"/>
  <c r="X908" i="4"/>
  <c r="W908" i="4"/>
  <c r="H908" i="4"/>
  <c r="Z907" i="4"/>
  <c r="Y907" i="4"/>
  <c r="X907" i="4"/>
  <c r="W907" i="4"/>
  <c r="H907" i="4"/>
  <c r="Z906" i="4"/>
  <c r="Y906" i="4"/>
  <c r="X906" i="4"/>
  <c r="W906" i="4"/>
  <c r="H906" i="4"/>
  <c r="Z905" i="4"/>
  <c r="Y905" i="4"/>
  <c r="X905" i="4"/>
  <c r="W905" i="4"/>
  <c r="H905" i="4"/>
  <c r="Z904" i="4"/>
  <c r="Y904" i="4"/>
  <c r="X904" i="4"/>
  <c r="W904" i="4"/>
  <c r="H904" i="4"/>
  <c r="Z903" i="4"/>
  <c r="Y903" i="4"/>
  <c r="X903" i="4"/>
  <c r="W903" i="4"/>
  <c r="H903" i="4"/>
  <c r="Z902" i="4"/>
  <c r="Y902" i="4"/>
  <c r="X902" i="4"/>
  <c r="W902" i="4"/>
  <c r="H902" i="4"/>
  <c r="Z901" i="4"/>
  <c r="Y901" i="4"/>
  <c r="X901" i="4"/>
  <c r="W901" i="4"/>
  <c r="H901" i="4"/>
  <c r="Z900" i="4"/>
  <c r="Y900" i="4"/>
  <c r="X900" i="4"/>
  <c r="W900" i="4"/>
  <c r="H900" i="4"/>
  <c r="Z899" i="4"/>
  <c r="Y899" i="4"/>
  <c r="X899" i="4"/>
  <c r="W899" i="4"/>
  <c r="H899" i="4"/>
  <c r="Z898" i="4"/>
  <c r="Y898" i="4"/>
  <c r="X898" i="4"/>
  <c r="W898" i="4"/>
  <c r="H898" i="4"/>
  <c r="Z897" i="4"/>
  <c r="Y897" i="4"/>
  <c r="X897" i="4"/>
  <c r="W897" i="4"/>
  <c r="H897" i="4"/>
  <c r="Z896" i="4"/>
  <c r="Y896" i="4"/>
  <c r="X896" i="4"/>
  <c r="W896" i="4"/>
  <c r="H896" i="4"/>
  <c r="Z895" i="4"/>
  <c r="Y895" i="4"/>
  <c r="X895" i="4"/>
  <c r="W895" i="4"/>
  <c r="H895" i="4"/>
  <c r="Z894" i="4"/>
  <c r="Y894" i="4"/>
  <c r="X894" i="4"/>
  <c r="W894" i="4"/>
  <c r="H894" i="4"/>
  <c r="Z893" i="4"/>
  <c r="Y893" i="4"/>
  <c r="X893" i="4"/>
  <c r="W893" i="4"/>
  <c r="H893" i="4"/>
  <c r="Z892" i="4"/>
  <c r="Y892" i="4"/>
  <c r="X892" i="4"/>
  <c r="W892" i="4"/>
  <c r="H892" i="4"/>
  <c r="Z891" i="4"/>
  <c r="Y891" i="4"/>
  <c r="X891" i="4"/>
  <c r="W891" i="4"/>
  <c r="H891" i="4"/>
  <c r="Z890" i="4"/>
  <c r="Y890" i="4"/>
  <c r="X890" i="4"/>
  <c r="W890" i="4"/>
  <c r="H890" i="4"/>
  <c r="Z889" i="4"/>
  <c r="Y889" i="4"/>
  <c r="X889" i="4"/>
  <c r="W889" i="4"/>
  <c r="H889" i="4"/>
  <c r="Z888" i="4"/>
  <c r="Y888" i="4"/>
  <c r="X888" i="4"/>
  <c r="W888" i="4"/>
  <c r="H888" i="4"/>
  <c r="Z887" i="4"/>
  <c r="Y887" i="4"/>
  <c r="X887" i="4"/>
  <c r="W887" i="4"/>
  <c r="H887" i="4"/>
  <c r="Z886" i="4"/>
  <c r="Y886" i="4"/>
  <c r="X886" i="4"/>
  <c r="W886" i="4"/>
  <c r="H886" i="4"/>
  <c r="Z885" i="4"/>
  <c r="Y885" i="4"/>
  <c r="X885" i="4"/>
  <c r="W885" i="4"/>
  <c r="H885" i="4"/>
  <c r="Z884" i="4"/>
  <c r="Y884" i="4"/>
  <c r="X884" i="4"/>
  <c r="W884" i="4"/>
  <c r="H884" i="4"/>
  <c r="Z883" i="4"/>
  <c r="Y883" i="4"/>
  <c r="X883" i="4"/>
  <c r="W883" i="4"/>
  <c r="H883" i="4"/>
  <c r="Z882" i="4"/>
  <c r="Y882" i="4"/>
  <c r="X882" i="4"/>
  <c r="W882" i="4"/>
  <c r="H882" i="4"/>
  <c r="Z881" i="4"/>
  <c r="Y881" i="4"/>
  <c r="X881" i="4"/>
  <c r="W881" i="4"/>
  <c r="H881" i="4"/>
  <c r="Z880" i="4"/>
  <c r="Y880" i="4"/>
  <c r="X880" i="4"/>
  <c r="W880" i="4"/>
  <c r="H880" i="4"/>
  <c r="Z879" i="4"/>
  <c r="Y879" i="4"/>
  <c r="X879" i="4"/>
  <c r="W879" i="4"/>
  <c r="H879" i="4"/>
  <c r="Z878" i="4"/>
  <c r="Y878" i="4"/>
  <c r="X878" i="4"/>
  <c r="W878" i="4"/>
  <c r="H878" i="4"/>
  <c r="Z877" i="4"/>
  <c r="Y877" i="4"/>
  <c r="X877" i="4"/>
  <c r="W877" i="4"/>
  <c r="H877" i="4"/>
  <c r="Z876" i="4"/>
  <c r="Y876" i="4"/>
  <c r="X876" i="4"/>
  <c r="W876" i="4"/>
  <c r="H876" i="4"/>
  <c r="Z875" i="4"/>
  <c r="Y875" i="4"/>
  <c r="X875" i="4"/>
  <c r="W875" i="4"/>
  <c r="H875" i="4"/>
  <c r="Z874" i="4"/>
  <c r="Y874" i="4"/>
  <c r="X874" i="4"/>
  <c r="W874" i="4"/>
  <c r="H874" i="4"/>
  <c r="Z873" i="4"/>
  <c r="Y873" i="4"/>
  <c r="X873" i="4"/>
  <c r="W873" i="4"/>
  <c r="H873" i="4"/>
  <c r="Z872" i="4"/>
  <c r="Y872" i="4"/>
  <c r="X872" i="4"/>
  <c r="W872" i="4"/>
  <c r="H872" i="4"/>
  <c r="Z871" i="4"/>
  <c r="Y871" i="4"/>
  <c r="X871" i="4"/>
  <c r="W871" i="4"/>
  <c r="H871" i="4"/>
  <c r="Z870" i="4"/>
  <c r="Y870" i="4"/>
  <c r="X870" i="4"/>
  <c r="W870" i="4"/>
  <c r="H870" i="4"/>
  <c r="Z869" i="4"/>
  <c r="Y869" i="4"/>
  <c r="X869" i="4"/>
  <c r="W869" i="4"/>
  <c r="H869" i="4"/>
  <c r="Z868" i="4"/>
  <c r="Y868" i="4"/>
  <c r="X868" i="4"/>
  <c r="W868" i="4"/>
  <c r="H868" i="4"/>
  <c r="Z867" i="4"/>
  <c r="Y867" i="4"/>
  <c r="X867" i="4"/>
  <c r="W867" i="4"/>
  <c r="H867" i="4"/>
  <c r="Z866" i="4"/>
  <c r="Y866" i="4"/>
  <c r="X866" i="4"/>
  <c r="W866" i="4"/>
  <c r="H866" i="4"/>
  <c r="Z865" i="4"/>
  <c r="Y865" i="4"/>
  <c r="X865" i="4"/>
  <c r="W865" i="4"/>
  <c r="H865" i="4"/>
  <c r="Z864" i="4"/>
  <c r="Y864" i="4"/>
  <c r="X864" i="4"/>
  <c r="W864" i="4"/>
  <c r="H864" i="4"/>
  <c r="Z863" i="4"/>
  <c r="Y863" i="4"/>
  <c r="X863" i="4"/>
  <c r="W863" i="4"/>
  <c r="H863" i="4"/>
  <c r="Z862" i="4"/>
  <c r="Y862" i="4"/>
  <c r="X862" i="4"/>
  <c r="W862" i="4"/>
  <c r="H862" i="4"/>
  <c r="Z861" i="4"/>
  <c r="Y861" i="4"/>
  <c r="X861" i="4"/>
  <c r="W861" i="4"/>
  <c r="H861" i="4"/>
  <c r="Z860" i="4"/>
  <c r="Y860" i="4"/>
  <c r="X860" i="4"/>
  <c r="W860" i="4"/>
  <c r="H860" i="4"/>
  <c r="Z859" i="4"/>
  <c r="Y859" i="4"/>
  <c r="X859" i="4"/>
  <c r="W859" i="4"/>
  <c r="H859" i="4"/>
  <c r="Z858" i="4"/>
  <c r="Y858" i="4"/>
  <c r="X858" i="4"/>
  <c r="W858" i="4"/>
  <c r="H858" i="4"/>
  <c r="Z857" i="4"/>
  <c r="Y857" i="4"/>
  <c r="X857" i="4"/>
  <c r="W857" i="4"/>
  <c r="H857" i="4"/>
  <c r="Z856" i="4"/>
  <c r="Y856" i="4"/>
  <c r="X856" i="4"/>
  <c r="W856" i="4"/>
  <c r="H856" i="4"/>
  <c r="Z855" i="4"/>
  <c r="Y855" i="4"/>
  <c r="X855" i="4"/>
  <c r="W855" i="4"/>
  <c r="H855" i="4"/>
  <c r="Z854" i="4"/>
  <c r="Y854" i="4"/>
  <c r="X854" i="4"/>
  <c r="W854" i="4"/>
  <c r="H854" i="4"/>
  <c r="Z853" i="4"/>
  <c r="Y853" i="4"/>
  <c r="X853" i="4"/>
  <c r="W853" i="4"/>
  <c r="H853" i="4"/>
  <c r="Z852" i="4"/>
  <c r="Y852" i="4"/>
  <c r="X852" i="4"/>
  <c r="W852" i="4"/>
  <c r="H852" i="4"/>
  <c r="Z851" i="4"/>
  <c r="Y851" i="4"/>
  <c r="X851" i="4"/>
  <c r="W851" i="4"/>
  <c r="H851" i="4"/>
  <c r="Z850" i="4"/>
  <c r="Y850" i="4"/>
  <c r="X850" i="4"/>
  <c r="W850" i="4"/>
  <c r="H850" i="4"/>
  <c r="Z849" i="4"/>
  <c r="Y849" i="4"/>
  <c r="X849" i="4"/>
  <c r="W849" i="4"/>
  <c r="H849" i="4"/>
  <c r="Z848" i="4"/>
  <c r="Y848" i="4"/>
  <c r="X848" i="4"/>
  <c r="W848" i="4"/>
  <c r="H848" i="4"/>
  <c r="Z847" i="4"/>
  <c r="Y847" i="4"/>
  <c r="X847" i="4"/>
  <c r="W847" i="4"/>
  <c r="H847" i="4"/>
  <c r="Z846" i="4"/>
  <c r="Y846" i="4"/>
  <c r="X846" i="4"/>
  <c r="W846" i="4"/>
  <c r="H846" i="4"/>
  <c r="Z845" i="4"/>
  <c r="Y845" i="4"/>
  <c r="X845" i="4"/>
  <c r="W845" i="4"/>
  <c r="H845" i="4"/>
  <c r="Z844" i="4"/>
  <c r="Y844" i="4"/>
  <c r="X844" i="4"/>
  <c r="W844" i="4"/>
  <c r="H844" i="4"/>
  <c r="Z843" i="4"/>
  <c r="Y843" i="4"/>
  <c r="X843" i="4"/>
  <c r="W843" i="4"/>
  <c r="H843" i="4"/>
  <c r="Z842" i="4"/>
  <c r="Y842" i="4"/>
  <c r="X842" i="4"/>
  <c r="W842" i="4"/>
  <c r="H842" i="4"/>
  <c r="Z841" i="4"/>
  <c r="Y841" i="4"/>
  <c r="X841" i="4"/>
  <c r="W841" i="4"/>
  <c r="H841" i="4"/>
  <c r="Z840" i="4"/>
  <c r="Y840" i="4"/>
  <c r="X840" i="4"/>
  <c r="W840" i="4"/>
  <c r="H840" i="4"/>
  <c r="Z839" i="4"/>
  <c r="Y839" i="4"/>
  <c r="X839" i="4"/>
  <c r="W839" i="4"/>
  <c r="H839" i="4"/>
  <c r="Z838" i="4"/>
  <c r="Y838" i="4"/>
  <c r="X838" i="4"/>
  <c r="W838" i="4"/>
  <c r="H838" i="4"/>
  <c r="Z837" i="4"/>
  <c r="Y837" i="4"/>
  <c r="X837" i="4"/>
  <c r="W837" i="4"/>
  <c r="H837" i="4"/>
  <c r="Z836" i="4"/>
  <c r="Y836" i="4"/>
  <c r="X836" i="4"/>
  <c r="W836" i="4"/>
  <c r="H836" i="4"/>
  <c r="Z835" i="4"/>
  <c r="Y835" i="4"/>
  <c r="X835" i="4"/>
  <c r="W835" i="4"/>
  <c r="H835" i="4"/>
  <c r="Z834" i="4"/>
  <c r="Y834" i="4"/>
  <c r="X834" i="4"/>
  <c r="W834" i="4"/>
  <c r="H834" i="4"/>
  <c r="Z833" i="4"/>
  <c r="Y833" i="4"/>
  <c r="X833" i="4"/>
  <c r="W833" i="4"/>
  <c r="H833" i="4"/>
  <c r="Z832" i="4"/>
  <c r="Y832" i="4"/>
  <c r="X832" i="4"/>
  <c r="W832" i="4"/>
  <c r="H832" i="4"/>
  <c r="Z831" i="4"/>
  <c r="Y831" i="4"/>
  <c r="X831" i="4"/>
  <c r="W831" i="4"/>
  <c r="H831" i="4"/>
  <c r="Z830" i="4"/>
  <c r="Y830" i="4"/>
  <c r="X830" i="4"/>
  <c r="W830" i="4"/>
  <c r="H830" i="4"/>
  <c r="Z829" i="4"/>
  <c r="Y829" i="4"/>
  <c r="X829" i="4"/>
  <c r="W829" i="4"/>
  <c r="H829" i="4"/>
  <c r="Z828" i="4"/>
  <c r="Y828" i="4"/>
  <c r="X828" i="4"/>
  <c r="W828" i="4"/>
  <c r="H828" i="4"/>
  <c r="Z827" i="4"/>
  <c r="Y827" i="4"/>
  <c r="X827" i="4"/>
  <c r="W827" i="4"/>
  <c r="H827" i="4"/>
  <c r="Z826" i="4"/>
  <c r="Y826" i="4"/>
  <c r="X826" i="4"/>
  <c r="W826" i="4"/>
  <c r="H826" i="4"/>
  <c r="Z825" i="4"/>
  <c r="Y825" i="4"/>
  <c r="X825" i="4"/>
  <c r="W825" i="4"/>
  <c r="H825" i="4"/>
  <c r="Z824" i="4"/>
  <c r="Y824" i="4"/>
  <c r="X824" i="4"/>
  <c r="W824" i="4"/>
  <c r="H824" i="4"/>
  <c r="Z823" i="4"/>
  <c r="Y823" i="4"/>
  <c r="X823" i="4"/>
  <c r="W823" i="4"/>
  <c r="H823" i="4"/>
  <c r="Z822" i="4"/>
  <c r="Y822" i="4"/>
  <c r="X822" i="4"/>
  <c r="W822" i="4"/>
  <c r="H822" i="4"/>
  <c r="Z821" i="4"/>
  <c r="Y821" i="4"/>
  <c r="X821" i="4"/>
  <c r="W821" i="4"/>
  <c r="H821" i="4"/>
  <c r="Z820" i="4"/>
  <c r="Y820" i="4"/>
  <c r="X820" i="4"/>
  <c r="W820" i="4"/>
  <c r="H820" i="4"/>
  <c r="Z819" i="4"/>
  <c r="Y819" i="4"/>
  <c r="X819" i="4"/>
  <c r="W819" i="4"/>
  <c r="H819" i="4"/>
  <c r="Z818" i="4"/>
  <c r="Y818" i="4"/>
  <c r="X818" i="4"/>
  <c r="W818" i="4"/>
  <c r="H818" i="4"/>
  <c r="Z817" i="4"/>
  <c r="Y817" i="4"/>
  <c r="X817" i="4"/>
  <c r="W817" i="4"/>
  <c r="H817" i="4"/>
  <c r="Z816" i="4"/>
  <c r="Y816" i="4"/>
  <c r="X816" i="4"/>
  <c r="W816" i="4"/>
  <c r="H816" i="4"/>
  <c r="Z815" i="4"/>
  <c r="Y815" i="4"/>
  <c r="X815" i="4"/>
  <c r="W815" i="4"/>
  <c r="H815" i="4"/>
  <c r="Z814" i="4"/>
  <c r="Y814" i="4"/>
  <c r="X814" i="4"/>
  <c r="W814" i="4"/>
  <c r="H814" i="4"/>
  <c r="Z813" i="4"/>
  <c r="Y813" i="4"/>
  <c r="X813" i="4"/>
  <c r="W813" i="4"/>
  <c r="H813" i="4"/>
  <c r="Z812" i="4"/>
  <c r="Y812" i="4"/>
  <c r="X812" i="4"/>
  <c r="W812" i="4"/>
  <c r="H812" i="4"/>
  <c r="Z811" i="4"/>
  <c r="Y811" i="4"/>
  <c r="X811" i="4"/>
  <c r="W811" i="4"/>
  <c r="H811" i="4"/>
  <c r="Z810" i="4"/>
  <c r="Y810" i="4"/>
  <c r="X810" i="4"/>
  <c r="W810" i="4"/>
  <c r="H810" i="4"/>
  <c r="Z809" i="4"/>
  <c r="Y809" i="4"/>
  <c r="X809" i="4"/>
  <c r="W809" i="4"/>
  <c r="H809" i="4"/>
  <c r="Z808" i="4"/>
  <c r="Y808" i="4"/>
  <c r="X808" i="4"/>
  <c r="W808" i="4"/>
  <c r="H808" i="4"/>
  <c r="Z807" i="4"/>
  <c r="Y807" i="4"/>
  <c r="X807" i="4"/>
  <c r="W807" i="4"/>
  <c r="H807" i="4"/>
  <c r="Z806" i="4"/>
  <c r="Y806" i="4"/>
  <c r="X806" i="4"/>
  <c r="W806" i="4"/>
  <c r="H806" i="4"/>
  <c r="Z805" i="4"/>
  <c r="Y805" i="4"/>
  <c r="X805" i="4"/>
  <c r="W805" i="4"/>
  <c r="H805" i="4"/>
  <c r="Z804" i="4"/>
  <c r="Y804" i="4"/>
  <c r="X804" i="4"/>
  <c r="W804" i="4"/>
  <c r="H804" i="4"/>
  <c r="Z803" i="4"/>
  <c r="Y803" i="4"/>
  <c r="X803" i="4"/>
  <c r="W803" i="4"/>
  <c r="H803" i="4"/>
  <c r="Z802" i="4"/>
  <c r="Y802" i="4"/>
  <c r="X802" i="4"/>
  <c r="W802" i="4"/>
  <c r="H802" i="4"/>
  <c r="Z801" i="4"/>
  <c r="Y801" i="4"/>
  <c r="X801" i="4"/>
  <c r="W801" i="4"/>
  <c r="H801" i="4"/>
  <c r="Z800" i="4"/>
  <c r="Y800" i="4"/>
  <c r="X800" i="4"/>
  <c r="W800" i="4"/>
  <c r="H800" i="4"/>
  <c r="Z799" i="4"/>
  <c r="Y799" i="4"/>
  <c r="X799" i="4"/>
  <c r="W799" i="4"/>
  <c r="H799" i="4"/>
  <c r="Z798" i="4"/>
  <c r="Y798" i="4"/>
  <c r="X798" i="4"/>
  <c r="W798" i="4"/>
  <c r="H798" i="4"/>
  <c r="Z797" i="4"/>
  <c r="Y797" i="4"/>
  <c r="X797" i="4"/>
  <c r="W797" i="4"/>
  <c r="H797" i="4"/>
  <c r="Z796" i="4"/>
  <c r="Y796" i="4"/>
  <c r="X796" i="4"/>
  <c r="W796" i="4"/>
  <c r="H796" i="4"/>
  <c r="Z795" i="4"/>
  <c r="Y795" i="4"/>
  <c r="X795" i="4"/>
  <c r="W795" i="4"/>
  <c r="H795" i="4"/>
  <c r="Z794" i="4"/>
  <c r="Y794" i="4"/>
  <c r="X794" i="4"/>
  <c r="W794" i="4"/>
  <c r="H794" i="4"/>
  <c r="Z793" i="4"/>
  <c r="Y793" i="4"/>
  <c r="X793" i="4"/>
  <c r="W793" i="4"/>
  <c r="H793" i="4"/>
  <c r="Z792" i="4"/>
  <c r="Y792" i="4"/>
  <c r="X792" i="4"/>
  <c r="W792" i="4"/>
  <c r="H792" i="4"/>
  <c r="Z791" i="4"/>
  <c r="Y791" i="4"/>
  <c r="X791" i="4"/>
  <c r="W791" i="4"/>
  <c r="H791" i="4"/>
  <c r="Z790" i="4"/>
  <c r="Y790" i="4"/>
  <c r="X790" i="4"/>
  <c r="W790" i="4"/>
  <c r="H790" i="4"/>
  <c r="Z789" i="4"/>
  <c r="Y789" i="4"/>
  <c r="X789" i="4"/>
  <c r="W789" i="4"/>
  <c r="H789" i="4"/>
  <c r="Z788" i="4"/>
  <c r="Y788" i="4"/>
  <c r="X788" i="4"/>
  <c r="W788" i="4"/>
  <c r="H788" i="4"/>
  <c r="Z787" i="4"/>
  <c r="Y787" i="4"/>
  <c r="X787" i="4"/>
  <c r="W787" i="4"/>
  <c r="H787" i="4"/>
  <c r="Z786" i="4"/>
  <c r="Y786" i="4"/>
  <c r="X786" i="4"/>
  <c r="W786" i="4"/>
  <c r="H786" i="4"/>
  <c r="Z785" i="4"/>
  <c r="Y785" i="4"/>
  <c r="X785" i="4"/>
  <c r="W785" i="4"/>
  <c r="H785" i="4"/>
  <c r="Z784" i="4"/>
  <c r="Y784" i="4"/>
  <c r="X784" i="4"/>
  <c r="W784" i="4"/>
  <c r="H784" i="4"/>
  <c r="Z783" i="4"/>
  <c r="Y783" i="4"/>
  <c r="X783" i="4"/>
  <c r="W783" i="4"/>
  <c r="H783" i="4"/>
  <c r="Z782" i="4"/>
  <c r="Y782" i="4"/>
  <c r="X782" i="4"/>
  <c r="W782" i="4"/>
  <c r="H782" i="4"/>
  <c r="Z781" i="4"/>
  <c r="Y781" i="4"/>
  <c r="X781" i="4"/>
  <c r="W781" i="4"/>
  <c r="H781" i="4"/>
  <c r="Z780" i="4"/>
  <c r="Y780" i="4"/>
  <c r="X780" i="4"/>
  <c r="W780" i="4"/>
  <c r="H780" i="4"/>
  <c r="Z779" i="4"/>
  <c r="Y779" i="4"/>
  <c r="X779" i="4"/>
  <c r="W779" i="4"/>
  <c r="H779" i="4"/>
  <c r="Z778" i="4"/>
  <c r="Y778" i="4"/>
  <c r="X778" i="4"/>
  <c r="W778" i="4"/>
  <c r="H778" i="4"/>
  <c r="Z777" i="4"/>
  <c r="Y777" i="4"/>
  <c r="X777" i="4"/>
  <c r="W777" i="4"/>
  <c r="H777" i="4"/>
  <c r="Z776" i="4"/>
  <c r="Y776" i="4"/>
  <c r="X776" i="4"/>
  <c r="W776" i="4"/>
  <c r="H776" i="4"/>
  <c r="Z775" i="4"/>
  <c r="Y775" i="4"/>
  <c r="X775" i="4"/>
  <c r="W775" i="4"/>
  <c r="H775" i="4"/>
  <c r="Z774" i="4"/>
  <c r="Y774" i="4"/>
  <c r="X774" i="4"/>
  <c r="W774" i="4"/>
  <c r="H774" i="4"/>
  <c r="Z773" i="4"/>
  <c r="Y773" i="4"/>
  <c r="X773" i="4"/>
  <c r="W773" i="4"/>
  <c r="H773" i="4"/>
  <c r="Z772" i="4"/>
  <c r="Y772" i="4"/>
  <c r="X772" i="4"/>
  <c r="W772" i="4"/>
  <c r="H772" i="4"/>
  <c r="Z771" i="4"/>
  <c r="Y771" i="4"/>
  <c r="X771" i="4"/>
  <c r="W771" i="4"/>
  <c r="H771" i="4"/>
  <c r="Z770" i="4"/>
  <c r="Y770" i="4"/>
  <c r="X770" i="4"/>
  <c r="W770" i="4"/>
  <c r="H770" i="4"/>
  <c r="Z769" i="4"/>
  <c r="Y769" i="4"/>
  <c r="X769" i="4"/>
  <c r="W769" i="4"/>
  <c r="H769" i="4"/>
  <c r="Z768" i="4"/>
  <c r="Y768" i="4"/>
  <c r="X768" i="4"/>
  <c r="W768" i="4"/>
  <c r="H768" i="4"/>
  <c r="Z767" i="4"/>
  <c r="Y767" i="4"/>
  <c r="X767" i="4"/>
  <c r="W767" i="4"/>
  <c r="H767" i="4"/>
  <c r="Z766" i="4"/>
  <c r="Y766" i="4"/>
  <c r="X766" i="4"/>
  <c r="W766" i="4"/>
  <c r="H766" i="4"/>
  <c r="Z765" i="4"/>
  <c r="Y765" i="4"/>
  <c r="X765" i="4"/>
  <c r="W765" i="4"/>
  <c r="H765" i="4"/>
  <c r="Z764" i="4"/>
  <c r="Y764" i="4"/>
  <c r="X764" i="4"/>
  <c r="W764" i="4"/>
  <c r="H764" i="4"/>
  <c r="Z763" i="4"/>
  <c r="Y763" i="4"/>
  <c r="X763" i="4"/>
  <c r="W763" i="4"/>
  <c r="H763" i="4"/>
  <c r="Z762" i="4"/>
  <c r="Y762" i="4"/>
  <c r="X762" i="4"/>
  <c r="W762" i="4"/>
  <c r="H762" i="4"/>
  <c r="Z761" i="4"/>
  <c r="Y761" i="4"/>
  <c r="X761" i="4"/>
  <c r="W761" i="4"/>
  <c r="H761" i="4"/>
  <c r="Z760" i="4"/>
  <c r="Y760" i="4"/>
  <c r="X760" i="4"/>
  <c r="W760" i="4"/>
  <c r="H760" i="4"/>
  <c r="Z759" i="4"/>
  <c r="Y759" i="4"/>
  <c r="X759" i="4"/>
  <c r="W759" i="4"/>
  <c r="H759" i="4"/>
  <c r="Z758" i="4"/>
  <c r="Y758" i="4"/>
  <c r="X758" i="4"/>
  <c r="W758" i="4"/>
  <c r="H758" i="4"/>
  <c r="Z757" i="4"/>
  <c r="Y757" i="4"/>
  <c r="X757" i="4"/>
  <c r="W757" i="4"/>
  <c r="H757" i="4"/>
  <c r="Z756" i="4"/>
  <c r="Y756" i="4"/>
  <c r="X756" i="4"/>
  <c r="W756" i="4"/>
  <c r="H756" i="4"/>
  <c r="Z755" i="4"/>
  <c r="Y755" i="4"/>
  <c r="X755" i="4"/>
  <c r="W755" i="4"/>
  <c r="H755" i="4"/>
  <c r="Z754" i="4"/>
  <c r="Y754" i="4"/>
  <c r="X754" i="4"/>
  <c r="W754" i="4"/>
  <c r="H754" i="4"/>
  <c r="Z753" i="4"/>
  <c r="Y753" i="4"/>
  <c r="X753" i="4"/>
  <c r="W753" i="4"/>
  <c r="H753" i="4"/>
  <c r="Z752" i="4"/>
  <c r="Y752" i="4"/>
  <c r="X752" i="4"/>
  <c r="W752" i="4"/>
  <c r="H752" i="4"/>
  <c r="Z751" i="4"/>
  <c r="Y751" i="4"/>
  <c r="X751" i="4"/>
  <c r="W751" i="4"/>
  <c r="H751" i="4"/>
  <c r="Z750" i="4"/>
  <c r="Y750" i="4"/>
  <c r="X750" i="4"/>
  <c r="W750" i="4"/>
  <c r="H750" i="4"/>
  <c r="Z749" i="4"/>
  <c r="Y749" i="4"/>
  <c r="X749" i="4"/>
  <c r="W749" i="4"/>
  <c r="H749" i="4"/>
  <c r="Z748" i="4"/>
  <c r="Y748" i="4"/>
  <c r="X748" i="4"/>
  <c r="W748" i="4"/>
  <c r="H748" i="4"/>
  <c r="Z747" i="4"/>
  <c r="Y747" i="4"/>
  <c r="X747" i="4"/>
  <c r="W747" i="4"/>
  <c r="H747" i="4"/>
  <c r="Z746" i="4"/>
  <c r="Y746" i="4"/>
  <c r="X746" i="4"/>
  <c r="W746" i="4"/>
  <c r="H746" i="4"/>
  <c r="Z745" i="4"/>
  <c r="Y745" i="4"/>
  <c r="X745" i="4"/>
  <c r="W745" i="4"/>
  <c r="H745" i="4"/>
  <c r="Z744" i="4"/>
  <c r="Y744" i="4"/>
  <c r="X744" i="4"/>
  <c r="W744" i="4"/>
  <c r="H744" i="4"/>
  <c r="Z743" i="4"/>
  <c r="Y743" i="4"/>
  <c r="X743" i="4"/>
  <c r="W743" i="4"/>
  <c r="H743" i="4"/>
  <c r="Z742" i="4"/>
  <c r="Y742" i="4"/>
  <c r="X742" i="4"/>
  <c r="W742" i="4"/>
  <c r="H742" i="4"/>
  <c r="Z741" i="4"/>
  <c r="Y741" i="4"/>
  <c r="X741" i="4"/>
  <c r="W741" i="4"/>
  <c r="H741" i="4"/>
  <c r="Z740" i="4"/>
  <c r="Y740" i="4"/>
  <c r="X740" i="4"/>
  <c r="W740" i="4"/>
  <c r="H740" i="4"/>
  <c r="Z739" i="4"/>
  <c r="Y739" i="4"/>
  <c r="X739" i="4"/>
  <c r="W739" i="4"/>
  <c r="H739" i="4"/>
  <c r="Z738" i="4"/>
  <c r="Y738" i="4"/>
  <c r="X738" i="4"/>
  <c r="W738" i="4"/>
  <c r="H738" i="4"/>
  <c r="Z737" i="4"/>
  <c r="Y737" i="4"/>
  <c r="X737" i="4"/>
  <c r="W737" i="4"/>
  <c r="H737" i="4"/>
  <c r="Z736" i="4"/>
  <c r="Y736" i="4"/>
  <c r="X736" i="4"/>
  <c r="W736" i="4"/>
  <c r="H736" i="4"/>
  <c r="Z735" i="4"/>
  <c r="Y735" i="4"/>
  <c r="X735" i="4"/>
  <c r="W735" i="4"/>
  <c r="H735" i="4"/>
  <c r="Z734" i="4"/>
  <c r="Y734" i="4"/>
  <c r="X734" i="4"/>
  <c r="W734" i="4"/>
  <c r="H734" i="4"/>
  <c r="Z733" i="4"/>
  <c r="Y733" i="4"/>
  <c r="X733" i="4"/>
  <c r="W733" i="4"/>
  <c r="H733" i="4"/>
  <c r="Z732" i="4"/>
  <c r="Y732" i="4"/>
  <c r="X732" i="4"/>
  <c r="W732" i="4"/>
  <c r="H732" i="4"/>
  <c r="Z731" i="4"/>
  <c r="Y731" i="4"/>
  <c r="X731" i="4"/>
  <c r="W731" i="4"/>
  <c r="H731" i="4"/>
  <c r="Z730" i="4"/>
  <c r="Y730" i="4"/>
  <c r="X730" i="4"/>
  <c r="W730" i="4"/>
  <c r="H730" i="4"/>
  <c r="Z729" i="4"/>
  <c r="Y729" i="4"/>
  <c r="X729" i="4"/>
  <c r="W729" i="4"/>
  <c r="H729" i="4"/>
  <c r="Z728" i="4"/>
  <c r="Y728" i="4"/>
  <c r="X728" i="4"/>
  <c r="W728" i="4"/>
  <c r="H728" i="4"/>
  <c r="Z727" i="4"/>
  <c r="Y727" i="4"/>
  <c r="X727" i="4"/>
  <c r="W727" i="4"/>
  <c r="H727" i="4"/>
  <c r="Z726" i="4"/>
  <c r="Y726" i="4"/>
  <c r="X726" i="4"/>
  <c r="W726" i="4"/>
  <c r="H726" i="4"/>
  <c r="Z725" i="4"/>
  <c r="Y725" i="4"/>
  <c r="X725" i="4"/>
  <c r="W725" i="4"/>
  <c r="H725" i="4"/>
  <c r="Z724" i="4"/>
  <c r="Y724" i="4"/>
  <c r="X724" i="4"/>
  <c r="W724" i="4"/>
  <c r="H724" i="4"/>
  <c r="Z723" i="4"/>
  <c r="Y723" i="4"/>
  <c r="X723" i="4"/>
  <c r="W723" i="4"/>
  <c r="H723" i="4"/>
  <c r="Z722" i="4"/>
  <c r="Y722" i="4"/>
  <c r="X722" i="4"/>
  <c r="W722" i="4"/>
  <c r="H722" i="4"/>
  <c r="Z721" i="4"/>
  <c r="Y721" i="4"/>
  <c r="X721" i="4"/>
  <c r="W721" i="4"/>
  <c r="H721" i="4"/>
  <c r="Z720" i="4"/>
  <c r="Y720" i="4"/>
  <c r="X720" i="4"/>
  <c r="W720" i="4"/>
  <c r="H720" i="4"/>
  <c r="Z719" i="4"/>
  <c r="Y719" i="4"/>
  <c r="X719" i="4"/>
  <c r="W719" i="4"/>
  <c r="H719" i="4"/>
  <c r="Z718" i="4"/>
  <c r="Y718" i="4"/>
  <c r="X718" i="4"/>
  <c r="W718" i="4"/>
  <c r="H718" i="4"/>
  <c r="Z717" i="4"/>
  <c r="Y717" i="4"/>
  <c r="X717" i="4"/>
  <c r="W717" i="4"/>
  <c r="H717" i="4"/>
  <c r="Z716" i="4"/>
  <c r="Y716" i="4"/>
  <c r="X716" i="4"/>
  <c r="W716" i="4"/>
  <c r="H716" i="4"/>
  <c r="Z715" i="4"/>
  <c r="Y715" i="4"/>
  <c r="X715" i="4"/>
  <c r="W715" i="4"/>
  <c r="H715" i="4"/>
  <c r="Z714" i="4"/>
  <c r="Y714" i="4"/>
  <c r="X714" i="4"/>
  <c r="W714" i="4"/>
  <c r="H714" i="4"/>
  <c r="Z713" i="4"/>
  <c r="Y713" i="4"/>
  <c r="X713" i="4"/>
  <c r="W713" i="4"/>
  <c r="H713" i="4"/>
  <c r="Z712" i="4"/>
  <c r="Y712" i="4"/>
  <c r="X712" i="4"/>
  <c r="W712" i="4"/>
  <c r="H712" i="4"/>
  <c r="Z711" i="4"/>
  <c r="Y711" i="4"/>
  <c r="X711" i="4"/>
  <c r="W711" i="4"/>
  <c r="H711" i="4"/>
  <c r="Z710" i="4"/>
  <c r="Y710" i="4"/>
  <c r="X710" i="4"/>
  <c r="W710" i="4"/>
  <c r="H710" i="4"/>
  <c r="Z709" i="4"/>
  <c r="Y709" i="4"/>
  <c r="X709" i="4"/>
  <c r="W709" i="4"/>
  <c r="H709" i="4"/>
  <c r="Z708" i="4"/>
  <c r="Y708" i="4"/>
  <c r="X708" i="4"/>
  <c r="W708" i="4"/>
  <c r="H708" i="4"/>
  <c r="Z707" i="4"/>
  <c r="Y707" i="4"/>
  <c r="X707" i="4"/>
  <c r="W707" i="4"/>
  <c r="H707" i="4"/>
  <c r="Z706" i="4"/>
  <c r="Y706" i="4"/>
  <c r="X706" i="4"/>
  <c r="W706" i="4"/>
  <c r="H706" i="4"/>
  <c r="Z705" i="4"/>
  <c r="Y705" i="4"/>
  <c r="X705" i="4"/>
  <c r="W705" i="4"/>
  <c r="H705" i="4"/>
  <c r="Z704" i="4"/>
  <c r="Y704" i="4"/>
  <c r="X704" i="4"/>
  <c r="W704" i="4"/>
  <c r="H704" i="4"/>
  <c r="Z703" i="4"/>
  <c r="Y703" i="4"/>
  <c r="X703" i="4"/>
  <c r="W703" i="4"/>
  <c r="H703" i="4"/>
  <c r="Z702" i="4"/>
  <c r="Y702" i="4"/>
  <c r="X702" i="4"/>
  <c r="W702" i="4"/>
  <c r="H702" i="4"/>
  <c r="Z701" i="4"/>
  <c r="Y701" i="4"/>
  <c r="X701" i="4"/>
  <c r="W701" i="4"/>
  <c r="H701" i="4"/>
  <c r="Z700" i="4"/>
  <c r="Y700" i="4"/>
  <c r="X700" i="4"/>
  <c r="W700" i="4"/>
  <c r="H700" i="4"/>
  <c r="Z699" i="4"/>
  <c r="Y699" i="4"/>
  <c r="X699" i="4"/>
  <c r="W699" i="4"/>
  <c r="H699" i="4"/>
  <c r="Z698" i="4"/>
  <c r="Y698" i="4"/>
  <c r="X698" i="4"/>
  <c r="W698" i="4"/>
  <c r="H698" i="4"/>
  <c r="Z697" i="4"/>
  <c r="Y697" i="4"/>
  <c r="X697" i="4"/>
  <c r="W697" i="4"/>
  <c r="H697" i="4"/>
  <c r="Z696" i="4"/>
  <c r="Y696" i="4"/>
  <c r="X696" i="4"/>
  <c r="W696" i="4"/>
  <c r="H696" i="4"/>
  <c r="Z695" i="4"/>
  <c r="Y695" i="4"/>
  <c r="X695" i="4"/>
  <c r="W695" i="4"/>
  <c r="H695" i="4"/>
  <c r="Z694" i="4"/>
  <c r="Y694" i="4"/>
  <c r="X694" i="4"/>
  <c r="W694" i="4"/>
  <c r="H694" i="4"/>
  <c r="Z693" i="4"/>
  <c r="Y693" i="4"/>
  <c r="X693" i="4"/>
  <c r="W693" i="4"/>
  <c r="H693" i="4"/>
  <c r="Z692" i="4"/>
  <c r="Y692" i="4"/>
  <c r="X692" i="4"/>
  <c r="W692" i="4"/>
  <c r="H692" i="4"/>
  <c r="Z691" i="4"/>
  <c r="Y691" i="4"/>
  <c r="X691" i="4"/>
  <c r="W691" i="4"/>
  <c r="H691" i="4"/>
  <c r="Z690" i="4"/>
  <c r="Y690" i="4"/>
  <c r="X690" i="4"/>
  <c r="W690" i="4"/>
  <c r="H690" i="4"/>
  <c r="Z689" i="4"/>
  <c r="Y689" i="4"/>
  <c r="X689" i="4"/>
  <c r="W689" i="4"/>
  <c r="H689" i="4"/>
  <c r="Z688" i="4"/>
  <c r="Y688" i="4"/>
  <c r="X688" i="4"/>
  <c r="W688" i="4"/>
  <c r="H688" i="4"/>
  <c r="Z687" i="4"/>
  <c r="Y687" i="4"/>
  <c r="X687" i="4"/>
  <c r="W687" i="4"/>
  <c r="H687" i="4"/>
  <c r="Z686" i="4"/>
  <c r="Y686" i="4"/>
  <c r="X686" i="4"/>
  <c r="W686" i="4"/>
  <c r="H686" i="4"/>
  <c r="Z685" i="4"/>
  <c r="Y685" i="4"/>
  <c r="X685" i="4"/>
  <c r="W685" i="4"/>
  <c r="H685" i="4"/>
  <c r="Z684" i="4"/>
  <c r="Y684" i="4"/>
  <c r="X684" i="4"/>
  <c r="W684" i="4"/>
  <c r="H684" i="4"/>
  <c r="Z683" i="4"/>
  <c r="Y683" i="4"/>
  <c r="X683" i="4"/>
  <c r="W683" i="4"/>
  <c r="H683" i="4"/>
  <c r="Z682" i="4"/>
  <c r="Y682" i="4"/>
  <c r="X682" i="4"/>
  <c r="W682" i="4"/>
  <c r="H682" i="4"/>
  <c r="Z681" i="4"/>
  <c r="Y681" i="4"/>
  <c r="X681" i="4"/>
  <c r="W681" i="4"/>
  <c r="H681" i="4"/>
  <c r="Z680" i="4"/>
  <c r="Y680" i="4"/>
  <c r="X680" i="4"/>
  <c r="W680" i="4"/>
  <c r="H680" i="4"/>
  <c r="Z679" i="4"/>
  <c r="Y679" i="4"/>
  <c r="X679" i="4"/>
  <c r="W679" i="4"/>
  <c r="H679" i="4"/>
  <c r="Z678" i="4"/>
  <c r="Y678" i="4"/>
  <c r="X678" i="4"/>
  <c r="W678" i="4"/>
  <c r="H678" i="4"/>
  <c r="Z677" i="4"/>
  <c r="Y677" i="4"/>
  <c r="X677" i="4"/>
  <c r="W677" i="4"/>
  <c r="H677" i="4"/>
  <c r="Z676" i="4"/>
  <c r="Y676" i="4"/>
  <c r="X676" i="4"/>
  <c r="W676" i="4"/>
  <c r="H676" i="4"/>
  <c r="Z675" i="4"/>
  <c r="Y675" i="4"/>
  <c r="X675" i="4"/>
  <c r="W675" i="4"/>
  <c r="H675" i="4"/>
  <c r="Z674" i="4"/>
  <c r="Y674" i="4"/>
  <c r="X674" i="4"/>
  <c r="W674" i="4"/>
  <c r="H674" i="4"/>
  <c r="Z673" i="4"/>
  <c r="Y673" i="4"/>
  <c r="X673" i="4"/>
  <c r="W673" i="4"/>
  <c r="H673" i="4"/>
  <c r="Z672" i="4"/>
  <c r="Y672" i="4"/>
  <c r="X672" i="4"/>
  <c r="W672" i="4"/>
  <c r="H672" i="4"/>
  <c r="Z671" i="4"/>
  <c r="Y671" i="4"/>
  <c r="X671" i="4"/>
  <c r="W671" i="4"/>
  <c r="H671" i="4"/>
  <c r="Z670" i="4"/>
  <c r="Y670" i="4"/>
  <c r="X670" i="4"/>
  <c r="W670" i="4"/>
  <c r="H670" i="4"/>
  <c r="Z669" i="4"/>
  <c r="Y669" i="4"/>
  <c r="X669" i="4"/>
  <c r="W669" i="4"/>
  <c r="H669" i="4"/>
  <c r="Z668" i="4"/>
  <c r="Y668" i="4"/>
  <c r="X668" i="4"/>
  <c r="W668" i="4"/>
  <c r="H668" i="4"/>
  <c r="Z667" i="4"/>
  <c r="Y667" i="4"/>
  <c r="X667" i="4"/>
  <c r="W667" i="4"/>
  <c r="H667" i="4"/>
  <c r="Z666" i="4"/>
  <c r="Y666" i="4"/>
  <c r="X666" i="4"/>
  <c r="W666" i="4"/>
  <c r="H666" i="4"/>
  <c r="Z665" i="4"/>
  <c r="Y665" i="4"/>
  <c r="X665" i="4"/>
  <c r="W665" i="4"/>
  <c r="H665" i="4"/>
  <c r="Z664" i="4"/>
  <c r="Y664" i="4"/>
  <c r="X664" i="4"/>
  <c r="W664" i="4"/>
  <c r="H664" i="4"/>
  <c r="Z663" i="4"/>
  <c r="Y663" i="4"/>
  <c r="X663" i="4"/>
  <c r="W663" i="4"/>
  <c r="H663" i="4"/>
  <c r="Z662" i="4"/>
  <c r="Y662" i="4"/>
  <c r="X662" i="4"/>
  <c r="W662" i="4"/>
  <c r="H662" i="4"/>
  <c r="Z661" i="4"/>
  <c r="Y661" i="4"/>
  <c r="X661" i="4"/>
  <c r="W661" i="4"/>
  <c r="H661" i="4"/>
  <c r="Z660" i="4"/>
  <c r="Y660" i="4"/>
  <c r="X660" i="4"/>
  <c r="W660" i="4"/>
  <c r="H660" i="4"/>
  <c r="Z659" i="4"/>
  <c r="Y659" i="4"/>
  <c r="X659" i="4"/>
  <c r="W659" i="4"/>
  <c r="H659" i="4"/>
  <c r="Z658" i="4"/>
  <c r="Y658" i="4"/>
  <c r="X658" i="4"/>
  <c r="W658" i="4"/>
  <c r="H658" i="4"/>
  <c r="Z657" i="4"/>
  <c r="Y657" i="4"/>
  <c r="X657" i="4"/>
  <c r="W657" i="4"/>
  <c r="H657" i="4"/>
  <c r="Z656" i="4"/>
  <c r="Y656" i="4"/>
  <c r="X656" i="4"/>
  <c r="W656" i="4"/>
  <c r="H656" i="4"/>
  <c r="Z655" i="4"/>
  <c r="Y655" i="4"/>
  <c r="X655" i="4"/>
  <c r="W655" i="4"/>
  <c r="H655" i="4"/>
  <c r="Z654" i="4"/>
  <c r="Y654" i="4"/>
  <c r="X654" i="4"/>
  <c r="W654" i="4"/>
  <c r="H654" i="4"/>
  <c r="Z653" i="4"/>
  <c r="Y653" i="4"/>
  <c r="X653" i="4"/>
  <c r="W653" i="4"/>
  <c r="H653" i="4"/>
  <c r="Z652" i="4"/>
  <c r="Y652" i="4"/>
  <c r="X652" i="4"/>
  <c r="W652" i="4"/>
  <c r="H652" i="4"/>
  <c r="Z651" i="4"/>
  <c r="Y651" i="4"/>
  <c r="X651" i="4"/>
  <c r="W651" i="4"/>
  <c r="H651" i="4"/>
  <c r="Z650" i="4"/>
  <c r="Y650" i="4"/>
  <c r="X650" i="4"/>
  <c r="W650" i="4"/>
  <c r="H650" i="4"/>
  <c r="Z649" i="4"/>
  <c r="Y649" i="4"/>
  <c r="X649" i="4"/>
  <c r="W649" i="4"/>
  <c r="H649" i="4"/>
  <c r="Z648" i="4"/>
  <c r="Y648" i="4"/>
  <c r="X648" i="4"/>
  <c r="W648" i="4"/>
  <c r="H648" i="4"/>
  <c r="Z647" i="4"/>
  <c r="Y647" i="4"/>
  <c r="X647" i="4"/>
  <c r="W647" i="4"/>
  <c r="H647" i="4"/>
  <c r="Z646" i="4"/>
  <c r="Y646" i="4"/>
  <c r="X646" i="4"/>
  <c r="W646" i="4"/>
  <c r="H646" i="4"/>
  <c r="Z645" i="4"/>
  <c r="Y645" i="4"/>
  <c r="X645" i="4"/>
  <c r="W645" i="4"/>
  <c r="H645" i="4"/>
  <c r="Z644" i="4"/>
  <c r="Y644" i="4"/>
  <c r="X644" i="4"/>
  <c r="W644" i="4"/>
  <c r="H644" i="4"/>
  <c r="Z643" i="4"/>
  <c r="Y643" i="4"/>
  <c r="X643" i="4"/>
  <c r="W643" i="4"/>
  <c r="H643" i="4"/>
  <c r="Z642" i="4"/>
  <c r="Y642" i="4"/>
  <c r="X642" i="4"/>
  <c r="W642" i="4"/>
  <c r="H642" i="4"/>
  <c r="Z641" i="4"/>
  <c r="Y641" i="4"/>
  <c r="X641" i="4"/>
  <c r="W641" i="4"/>
  <c r="H641" i="4"/>
  <c r="Z640" i="4"/>
  <c r="Y640" i="4"/>
  <c r="X640" i="4"/>
  <c r="W640" i="4"/>
  <c r="H640" i="4"/>
  <c r="Z639" i="4"/>
  <c r="Y639" i="4"/>
  <c r="X639" i="4"/>
  <c r="W639" i="4"/>
  <c r="H639" i="4"/>
  <c r="Z638" i="4"/>
  <c r="Y638" i="4"/>
  <c r="X638" i="4"/>
  <c r="W638" i="4"/>
  <c r="H638" i="4"/>
  <c r="Z637" i="4"/>
  <c r="Y637" i="4"/>
  <c r="X637" i="4"/>
  <c r="W637" i="4"/>
  <c r="H637" i="4"/>
  <c r="Z636" i="4"/>
  <c r="Y636" i="4"/>
  <c r="X636" i="4"/>
  <c r="W636" i="4"/>
  <c r="H636" i="4"/>
  <c r="Z635" i="4"/>
  <c r="Y635" i="4"/>
  <c r="X635" i="4"/>
  <c r="W635" i="4"/>
  <c r="H635" i="4"/>
  <c r="Z634" i="4"/>
  <c r="Y634" i="4"/>
  <c r="X634" i="4"/>
  <c r="W634" i="4"/>
  <c r="H634" i="4"/>
  <c r="Z633" i="4"/>
  <c r="Y633" i="4"/>
  <c r="X633" i="4"/>
  <c r="W633" i="4"/>
  <c r="H633" i="4"/>
  <c r="Z632" i="4"/>
  <c r="Y632" i="4"/>
  <c r="X632" i="4"/>
  <c r="W632" i="4"/>
  <c r="H632" i="4"/>
  <c r="Z631" i="4"/>
  <c r="Y631" i="4"/>
  <c r="X631" i="4"/>
  <c r="W631" i="4"/>
  <c r="H631" i="4"/>
  <c r="Z630" i="4"/>
  <c r="Y630" i="4"/>
  <c r="X630" i="4"/>
  <c r="W630" i="4"/>
  <c r="H630" i="4"/>
  <c r="Z629" i="4"/>
  <c r="Y629" i="4"/>
  <c r="X629" i="4"/>
  <c r="W629" i="4"/>
  <c r="H629" i="4"/>
  <c r="Z628" i="4"/>
  <c r="Y628" i="4"/>
  <c r="X628" i="4"/>
  <c r="W628" i="4"/>
  <c r="H628" i="4"/>
  <c r="Z627" i="4"/>
  <c r="Y627" i="4"/>
  <c r="X627" i="4"/>
  <c r="W627" i="4"/>
  <c r="H627" i="4"/>
  <c r="Z626" i="4"/>
  <c r="Y626" i="4"/>
  <c r="X626" i="4"/>
  <c r="W626" i="4"/>
  <c r="H626" i="4"/>
  <c r="Z625" i="4"/>
  <c r="Y625" i="4"/>
  <c r="X625" i="4"/>
  <c r="W625" i="4"/>
  <c r="H625" i="4"/>
  <c r="Z624" i="4"/>
  <c r="Y624" i="4"/>
  <c r="X624" i="4"/>
  <c r="W624" i="4"/>
  <c r="H624" i="4"/>
  <c r="Z623" i="4"/>
  <c r="Y623" i="4"/>
  <c r="X623" i="4"/>
  <c r="W623" i="4"/>
  <c r="H623" i="4"/>
  <c r="Z622" i="4"/>
  <c r="Y622" i="4"/>
  <c r="X622" i="4"/>
  <c r="W622" i="4"/>
  <c r="H622" i="4"/>
  <c r="Z621" i="4"/>
  <c r="Y621" i="4"/>
  <c r="X621" i="4"/>
  <c r="W621" i="4"/>
  <c r="H621" i="4"/>
  <c r="Z620" i="4"/>
  <c r="Y620" i="4"/>
  <c r="X620" i="4"/>
  <c r="W620" i="4"/>
  <c r="H620" i="4"/>
  <c r="Z619" i="4"/>
  <c r="Y619" i="4"/>
  <c r="X619" i="4"/>
  <c r="W619" i="4"/>
  <c r="H619" i="4"/>
  <c r="Z618" i="4"/>
  <c r="Y618" i="4"/>
  <c r="X618" i="4"/>
  <c r="W618" i="4"/>
  <c r="H618" i="4"/>
  <c r="Z617" i="4"/>
  <c r="Y617" i="4"/>
  <c r="X617" i="4"/>
  <c r="W617" i="4"/>
  <c r="H617" i="4"/>
  <c r="Z616" i="4"/>
  <c r="Y616" i="4"/>
  <c r="X616" i="4"/>
  <c r="W616" i="4"/>
  <c r="H616" i="4"/>
  <c r="Z615" i="4"/>
  <c r="Y615" i="4"/>
  <c r="X615" i="4"/>
  <c r="W615" i="4"/>
  <c r="H615" i="4"/>
  <c r="Z614" i="4"/>
  <c r="Y614" i="4"/>
  <c r="X614" i="4"/>
  <c r="W614" i="4"/>
  <c r="H614" i="4"/>
  <c r="Z613" i="4"/>
  <c r="Y613" i="4"/>
  <c r="X613" i="4"/>
  <c r="W613" i="4"/>
  <c r="H613" i="4"/>
  <c r="Z612" i="4"/>
  <c r="Y612" i="4"/>
  <c r="X612" i="4"/>
  <c r="W612" i="4"/>
  <c r="H612" i="4"/>
  <c r="Z611" i="4"/>
  <c r="Y611" i="4"/>
  <c r="X611" i="4"/>
  <c r="W611" i="4"/>
  <c r="H611" i="4"/>
  <c r="Z610" i="4"/>
  <c r="Y610" i="4"/>
  <c r="X610" i="4"/>
  <c r="W610" i="4"/>
  <c r="H610" i="4"/>
  <c r="Z609" i="4"/>
  <c r="Y609" i="4"/>
  <c r="X609" i="4"/>
  <c r="W609" i="4"/>
  <c r="H609" i="4"/>
  <c r="Z608" i="4"/>
  <c r="Y608" i="4"/>
  <c r="X608" i="4"/>
  <c r="W608" i="4"/>
  <c r="H608" i="4"/>
  <c r="Z607" i="4"/>
  <c r="Y607" i="4"/>
  <c r="X607" i="4"/>
  <c r="W607" i="4"/>
  <c r="H607" i="4"/>
  <c r="Z606" i="4"/>
  <c r="Y606" i="4"/>
  <c r="X606" i="4"/>
  <c r="W606" i="4"/>
  <c r="H606" i="4"/>
  <c r="Z605" i="4"/>
  <c r="Y605" i="4"/>
  <c r="X605" i="4"/>
  <c r="W605" i="4"/>
  <c r="H605" i="4"/>
  <c r="Z604" i="4"/>
  <c r="Y604" i="4"/>
  <c r="X604" i="4"/>
  <c r="W604" i="4"/>
  <c r="H604" i="4"/>
  <c r="Z603" i="4"/>
  <c r="Y603" i="4"/>
  <c r="X603" i="4"/>
  <c r="W603" i="4"/>
  <c r="H603" i="4"/>
  <c r="Z602" i="4"/>
  <c r="Y602" i="4"/>
  <c r="X602" i="4"/>
  <c r="W602" i="4"/>
  <c r="H602" i="4"/>
  <c r="Z601" i="4"/>
  <c r="Y601" i="4"/>
  <c r="X601" i="4"/>
  <c r="W601" i="4"/>
  <c r="H601" i="4"/>
  <c r="Z600" i="4"/>
  <c r="Y600" i="4"/>
  <c r="X600" i="4"/>
  <c r="W600" i="4"/>
  <c r="H600" i="4"/>
  <c r="Z599" i="4"/>
  <c r="Y599" i="4"/>
  <c r="X599" i="4"/>
  <c r="W599" i="4"/>
  <c r="H599" i="4"/>
  <c r="Z598" i="4"/>
  <c r="Y598" i="4"/>
  <c r="X598" i="4"/>
  <c r="W598" i="4"/>
  <c r="H598" i="4"/>
  <c r="Z597" i="4"/>
  <c r="Y597" i="4"/>
  <c r="X597" i="4"/>
  <c r="W597" i="4"/>
  <c r="H597" i="4"/>
  <c r="Z596" i="4"/>
  <c r="Y596" i="4"/>
  <c r="X596" i="4"/>
  <c r="W596" i="4"/>
  <c r="H596" i="4"/>
  <c r="Z595" i="4"/>
  <c r="Y595" i="4"/>
  <c r="X595" i="4"/>
  <c r="W595" i="4"/>
  <c r="H595" i="4"/>
  <c r="Z594" i="4"/>
  <c r="Y594" i="4"/>
  <c r="X594" i="4"/>
  <c r="W594" i="4"/>
  <c r="H594" i="4"/>
  <c r="Z593" i="4"/>
  <c r="Y593" i="4"/>
  <c r="X593" i="4"/>
  <c r="W593" i="4"/>
  <c r="H593" i="4"/>
  <c r="Z592" i="4"/>
  <c r="Y592" i="4"/>
  <c r="X592" i="4"/>
  <c r="W592" i="4"/>
  <c r="H592" i="4"/>
  <c r="Z591" i="4"/>
  <c r="Y591" i="4"/>
  <c r="X591" i="4"/>
  <c r="W591" i="4"/>
  <c r="H591" i="4"/>
  <c r="Z590" i="4"/>
  <c r="Y590" i="4"/>
  <c r="X590" i="4"/>
  <c r="W590" i="4"/>
  <c r="H590" i="4"/>
  <c r="Z589" i="4"/>
  <c r="Y589" i="4"/>
  <c r="X589" i="4"/>
  <c r="W589" i="4"/>
  <c r="H589" i="4"/>
  <c r="Z588" i="4"/>
  <c r="Y588" i="4"/>
  <c r="X588" i="4"/>
  <c r="W588" i="4"/>
  <c r="H588" i="4"/>
  <c r="Z587" i="4"/>
  <c r="Y587" i="4"/>
  <c r="X587" i="4"/>
  <c r="W587" i="4"/>
  <c r="H587" i="4"/>
  <c r="Z586" i="4"/>
  <c r="Y586" i="4"/>
  <c r="X586" i="4"/>
  <c r="W586" i="4"/>
  <c r="H586" i="4"/>
  <c r="Z585" i="4"/>
  <c r="Y585" i="4"/>
  <c r="X585" i="4"/>
  <c r="W585" i="4"/>
  <c r="H585" i="4"/>
  <c r="Z584" i="4"/>
  <c r="Y584" i="4"/>
  <c r="X584" i="4"/>
  <c r="W584" i="4"/>
  <c r="H584" i="4"/>
  <c r="Z583" i="4"/>
  <c r="Y583" i="4"/>
  <c r="X583" i="4"/>
  <c r="W583" i="4"/>
  <c r="H583" i="4"/>
  <c r="Z582" i="4"/>
  <c r="Y582" i="4"/>
  <c r="X582" i="4"/>
  <c r="W582" i="4"/>
  <c r="H582" i="4"/>
  <c r="Z581" i="4"/>
  <c r="Y581" i="4"/>
  <c r="X581" i="4"/>
  <c r="W581" i="4"/>
  <c r="H581" i="4"/>
  <c r="Z580" i="4"/>
  <c r="Y580" i="4"/>
  <c r="X580" i="4"/>
  <c r="W580" i="4"/>
  <c r="H580" i="4"/>
  <c r="Z579" i="4"/>
  <c r="Y579" i="4"/>
  <c r="X579" i="4"/>
  <c r="W579" i="4"/>
  <c r="H579" i="4"/>
  <c r="Z578" i="4"/>
  <c r="Y578" i="4"/>
  <c r="X578" i="4"/>
  <c r="W578" i="4"/>
  <c r="H578" i="4"/>
  <c r="Z577" i="4"/>
  <c r="Y577" i="4"/>
  <c r="X577" i="4"/>
  <c r="W577" i="4"/>
  <c r="H577" i="4"/>
  <c r="Z576" i="4"/>
  <c r="Y576" i="4"/>
  <c r="X576" i="4"/>
  <c r="W576" i="4"/>
  <c r="H576" i="4"/>
  <c r="Z575" i="4"/>
  <c r="Y575" i="4"/>
  <c r="X575" i="4"/>
  <c r="W575" i="4"/>
  <c r="H575" i="4"/>
  <c r="Z574" i="4"/>
  <c r="Y574" i="4"/>
  <c r="X574" i="4"/>
  <c r="W574" i="4"/>
  <c r="H574" i="4"/>
  <c r="Z573" i="4"/>
  <c r="Y573" i="4"/>
  <c r="X573" i="4"/>
  <c r="W573" i="4"/>
  <c r="H573" i="4"/>
  <c r="Z572" i="4"/>
  <c r="Y572" i="4"/>
  <c r="X572" i="4"/>
  <c r="W572" i="4"/>
  <c r="H572" i="4"/>
  <c r="Z571" i="4"/>
  <c r="Y571" i="4"/>
  <c r="X571" i="4"/>
  <c r="W571" i="4"/>
  <c r="H571" i="4"/>
  <c r="Z570" i="4"/>
  <c r="Y570" i="4"/>
  <c r="X570" i="4"/>
  <c r="W570" i="4"/>
  <c r="H570" i="4"/>
  <c r="Z569" i="4"/>
  <c r="Y569" i="4"/>
  <c r="X569" i="4"/>
  <c r="W569" i="4"/>
  <c r="H569" i="4"/>
  <c r="Z568" i="4"/>
  <c r="Y568" i="4"/>
  <c r="X568" i="4"/>
  <c r="W568" i="4"/>
  <c r="H568" i="4"/>
  <c r="Z567" i="4"/>
  <c r="Y567" i="4"/>
  <c r="X567" i="4"/>
  <c r="W567" i="4"/>
  <c r="H567" i="4"/>
  <c r="Z566" i="4"/>
  <c r="Y566" i="4"/>
  <c r="X566" i="4"/>
  <c r="W566" i="4"/>
  <c r="H566" i="4"/>
  <c r="Z565" i="4"/>
  <c r="Y565" i="4"/>
  <c r="X565" i="4"/>
  <c r="W565" i="4"/>
  <c r="H565" i="4"/>
  <c r="Z564" i="4"/>
  <c r="Y564" i="4"/>
  <c r="X564" i="4"/>
  <c r="W564" i="4"/>
  <c r="H564" i="4"/>
  <c r="Z563" i="4"/>
  <c r="Y563" i="4"/>
  <c r="X563" i="4"/>
  <c r="W563" i="4"/>
  <c r="H563" i="4"/>
  <c r="Z562" i="4"/>
  <c r="Y562" i="4"/>
  <c r="X562" i="4"/>
  <c r="W562" i="4"/>
  <c r="H562" i="4"/>
  <c r="Z561" i="4"/>
  <c r="Y561" i="4"/>
  <c r="X561" i="4"/>
  <c r="W561" i="4"/>
  <c r="H561" i="4"/>
  <c r="Z560" i="4"/>
  <c r="Y560" i="4"/>
  <c r="X560" i="4"/>
  <c r="W560" i="4"/>
  <c r="H560" i="4"/>
  <c r="Z559" i="4"/>
  <c r="Y559" i="4"/>
  <c r="X559" i="4"/>
  <c r="W559" i="4"/>
  <c r="H559" i="4"/>
  <c r="Z558" i="4"/>
  <c r="Y558" i="4"/>
  <c r="X558" i="4"/>
  <c r="W558" i="4"/>
  <c r="H558" i="4"/>
  <c r="Z557" i="4"/>
  <c r="Y557" i="4"/>
  <c r="X557" i="4"/>
  <c r="W557" i="4"/>
  <c r="H557" i="4"/>
  <c r="Z556" i="4"/>
  <c r="Y556" i="4"/>
  <c r="X556" i="4"/>
  <c r="W556" i="4"/>
  <c r="H556" i="4"/>
  <c r="Z555" i="4"/>
  <c r="Y555" i="4"/>
  <c r="X555" i="4"/>
  <c r="W555" i="4"/>
  <c r="H555" i="4"/>
  <c r="Z554" i="4"/>
  <c r="Y554" i="4"/>
  <c r="X554" i="4"/>
  <c r="W554" i="4"/>
  <c r="H554" i="4"/>
  <c r="Z553" i="4"/>
  <c r="Y553" i="4"/>
  <c r="X553" i="4"/>
  <c r="W553" i="4"/>
  <c r="H553" i="4"/>
  <c r="Z552" i="4"/>
  <c r="Y552" i="4"/>
  <c r="X552" i="4"/>
  <c r="W552" i="4"/>
  <c r="H552" i="4"/>
  <c r="Z551" i="4"/>
  <c r="Y551" i="4"/>
  <c r="X551" i="4"/>
  <c r="W551" i="4"/>
  <c r="H551" i="4"/>
  <c r="Z550" i="4"/>
  <c r="Y550" i="4"/>
  <c r="X550" i="4"/>
  <c r="W550" i="4"/>
  <c r="H550" i="4"/>
  <c r="Z549" i="4"/>
  <c r="Y549" i="4"/>
  <c r="X549" i="4"/>
  <c r="W549" i="4"/>
  <c r="H549" i="4"/>
  <c r="Z548" i="4"/>
  <c r="Y548" i="4"/>
  <c r="X548" i="4"/>
  <c r="W548" i="4"/>
  <c r="H548" i="4"/>
  <c r="Z547" i="4"/>
  <c r="Y547" i="4"/>
  <c r="X547" i="4"/>
  <c r="W547" i="4"/>
  <c r="H547" i="4"/>
  <c r="Z546" i="4"/>
  <c r="Y546" i="4"/>
  <c r="X546" i="4"/>
  <c r="W546" i="4"/>
  <c r="H546" i="4"/>
  <c r="Z545" i="4"/>
  <c r="Y545" i="4"/>
  <c r="X545" i="4"/>
  <c r="W545" i="4"/>
  <c r="H545" i="4"/>
  <c r="Z544" i="4"/>
  <c r="Y544" i="4"/>
  <c r="X544" i="4"/>
  <c r="W544" i="4"/>
  <c r="H544" i="4"/>
  <c r="Z543" i="4"/>
  <c r="Y543" i="4"/>
  <c r="X543" i="4"/>
  <c r="W543" i="4"/>
  <c r="H543" i="4"/>
  <c r="Z542" i="4"/>
  <c r="Y542" i="4"/>
  <c r="X542" i="4"/>
  <c r="W542" i="4"/>
  <c r="H542" i="4"/>
  <c r="Z541" i="4"/>
  <c r="Y541" i="4"/>
  <c r="X541" i="4"/>
  <c r="W541" i="4"/>
  <c r="H541" i="4"/>
  <c r="Z540" i="4"/>
  <c r="Y540" i="4"/>
  <c r="X540" i="4"/>
  <c r="W540" i="4"/>
  <c r="H540" i="4"/>
  <c r="Z539" i="4"/>
  <c r="Y539" i="4"/>
  <c r="X539" i="4"/>
  <c r="W539" i="4"/>
  <c r="H539" i="4"/>
  <c r="Z538" i="4"/>
  <c r="Y538" i="4"/>
  <c r="X538" i="4"/>
  <c r="W538" i="4"/>
  <c r="H538" i="4"/>
  <c r="Z537" i="4"/>
  <c r="Y537" i="4"/>
  <c r="X537" i="4"/>
  <c r="W537" i="4"/>
  <c r="H537" i="4"/>
  <c r="Z536" i="4"/>
  <c r="Y536" i="4"/>
  <c r="X536" i="4"/>
  <c r="W536" i="4"/>
  <c r="H536" i="4"/>
  <c r="Z535" i="4"/>
  <c r="Y535" i="4"/>
  <c r="X535" i="4"/>
  <c r="W535" i="4"/>
  <c r="H535" i="4"/>
  <c r="Z534" i="4"/>
  <c r="Y534" i="4"/>
  <c r="X534" i="4"/>
  <c r="W534" i="4"/>
  <c r="H534" i="4"/>
  <c r="Z533" i="4"/>
  <c r="Y533" i="4"/>
  <c r="X533" i="4"/>
  <c r="W533" i="4"/>
  <c r="H533" i="4"/>
  <c r="Z532" i="4"/>
  <c r="Y532" i="4"/>
  <c r="X532" i="4"/>
  <c r="W532" i="4"/>
  <c r="H532" i="4"/>
  <c r="Z531" i="4"/>
  <c r="Y531" i="4"/>
  <c r="X531" i="4"/>
  <c r="W531" i="4"/>
  <c r="H531" i="4"/>
  <c r="Z530" i="4"/>
  <c r="Y530" i="4"/>
  <c r="X530" i="4"/>
  <c r="W530" i="4"/>
  <c r="H530" i="4"/>
  <c r="Z529" i="4"/>
  <c r="Y529" i="4"/>
  <c r="X529" i="4"/>
  <c r="W529" i="4"/>
  <c r="H529" i="4"/>
  <c r="Z528" i="4"/>
  <c r="Y528" i="4"/>
  <c r="X528" i="4"/>
  <c r="W528" i="4"/>
  <c r="H528" i="4"/>
  <c r="Z527" i="4"/>
  <c r="Y527" i="4"/>
  <c r="X527" i="4"/>
  <c r="W527" i="4"/>
  <c r="H527" i="4"/>
  <c r="Z526" i="4"/>
  <c r="Y526" i="4"/>
  <c r="X526" i="4"/>
  <c r="W526" i="4"/>
  <c r="H526" i="4"/>
  <c r="Z525" i="4"/>
  <c r="Y525" i="4"/>
  <c r="X525" i="4"/>
  <c r="W525" i="4"/>
  <c r="H525" i="4"/>
  <c r="Z524" i="4"/>
  <c r="Y524" i="4"/>
  <c r="X524" i="4"/>
  <c r="W524" i="4"/>
  <c r="H524" i="4"/>
  <c r="Z523" i="4"/>
  <c r="Y523" i="4"/>
  <c r="X523" i="4"/>
  <c r="W523" i="4"/>
  <c r="H523" i="4"/>
  <c r="Z522" i="4"/>
  <c r="Y522" i="4"/>
  <c r="X522" i="4"/>
  <c r="W522" i="4"/>
  <c r="H522" i="4"/>
  <c r="Z521" i="4"/>
  <c r="Y521" i="4"/>
  <c r="X521" i="4"/>
  <c r="W521" i="4"/>
  <c r="H521" i="4"/>
  <c r="Z520" i="4"/>
  <c r="Y520" i="4"/>
  <c r="X520" i="4"/>
  <c r="W520" i="4"/>
  <c r="H520" i="4"/>
  <c r="Z519" i="4"/>
  <c r="Y519" i="4"/>
  <c r="X519" i="4"/>
  <c r="W519" i="4"/>
  <c r="H519" i="4"/>
  <c r="Z518" i="4"/>
  <c r="Y518" i="4"/>
  <c r="X518" i="4"/>
  <c r="W518" i="4"/>
  <c r="H518" i="4"/>
  <c r="Z517" i="4"/>
  <c r="Y517" i="4"/>
  <c r="X517" i="4"/>
  <c r="W517" i="4"/>
  <c r="H517" i="4"/>
  <c r="Z516" i="4"/>
  <c r="Y516" i="4"/>
  <c r="X516" i="4"/>
  <c r="W516" i="4"/>
  <c r="H516" i="4"/>
  <c r="Z515" i="4"/>
  <c r="Y515" i="4"/>
  <c r="X515" i="4"/>
  <c r="W515" i="4"/>
  <c r="H515" i="4"/>
  <c r="Z514" i="4"/>
  <c r="Y514" i="4"/>
  <c r="X514" i="4"/>
  <c r="W514" i="4"/>
  <c r="H514" i="4"/>
  <c r="Z513" i="4"/>
  <c r="Y513" i="4"/>
  <c r="X513" i="4"/>
  <c r="W513" i="4"/>
  <c r="H513" i="4"/>
  <c r="Z512" i="4"/>
  <c r="Y512" i="4"/>
  <c r="X512" i="4"/>
  <c r="W512" i="4"/>
  <c r="H512" i="4"/>
  <c r="Z511" i="4"/>
  <c r="Y511" i="4"/>
  <c r="X511" i="4"/>
  <c r="W511" i="4"/>
  <c r="H511" i="4"/>
  <c r="Z510" i="4"/>
  <c r="Y510" i="4"/>
  <c r="X510" i="4"/>
  <c r="W510" i="4"/>
  <c r="H510" i="4"/>
  <c r="Z509" i="4"/>
  <c r="Y509" i="4"/>
  <c r="X509" i="4"/>
  <c r="W509" i="4"/>
  <c r="H509" i="4"/>
  <c r="Z508" i="4"/>
  <c r="Y508" i="4"/>
  <c r="X508" i="4"/>
  <c r="W508" i="4"/>
  <c r="H508" i="4"/>
  <c r="Z507" i="4"/>
  <c r="Y507" i="4"/>
  <c r="X507" i="4"/>
  <c r="W507" i="4"/>
  <c r="H507" i="4"/>
  <c r="Z506" i="4"/>
  <c r="Y506" i="4"/>
  <c r="X506" i="4"/>
  <c r="W506" i="4"/>
  <c r="H506" i="4"/>
  <c r="Z505" i="4"/>
  <c r="Y505" i="4"/>
  <c r="X505" i="4"/>
  <c r="W505" i="4"/>
  <c r="H505" i="4"/>
  <c r="Z504" i="4"/>
  <c r="Y504" i="4"/>
  <c r="X504" i="4"/>
  <c r="W504" i="4"/>
  <c r="H504" i="4"/>
  <c r="Z503" i="4"/>
  <c r="Y503" i="4"/>
  <c r="X503" i="4"/>
  <c r="W503" i="4"/>
  <c r="H503" i="4"/>
  <c r="Z502" i="4"/>
  <c r="Y502" i="4"/>
  <c r="X502" i="4"/>
  <c r="W502" i="4"/>
  <c r="H502" i="4"/>
  <c r="Z501" i="4"/>
  <c r="Y501" i="4"/>
  <c r="X501" i="4"/>
  <c r="W501" i="4"/>
  <c r="H501" i="4"/>
  <c r="Z500" i="4"/>
  <c r="Y500" i="4"/>
  <c r="X500" i="4"/>
  <c r="W500" i="4"/>
  <c r="O500" i="4"/>
  <c r="N500" i="4"/>
  <c r="M500" i="4"/>
  <c r="H500" i="4"/>
  <c r="D500" i="4"/>
  <c r="Z499" i="4"/>
  <c r="Y499" i="4"/>
  <c r="X499" i="4"/>
  <c r="W499" i="4"/>
  <c r="O499" i="4"/>
  <c r="N499" i="4"/>
  <c r="M499" i="4"/>
  <c r="H499" i="4"/>
  <c r="D499" i="4"/>
  <c r="Z498" i="4"/>
  <c r="Y498" i="4"/>
  <c r="X498" i="4"/>
  <c r="W498" i="4"/>
  <c r="O498" i="4"/>
  <c r="N498" i="4"/>
  <c r="M498" i="4"/>
  <c r="H498" i="4"/>
  <c r="D498" i="4"/>
  <c r="Z497" i="4"/>
  <c r="Y497" i="4"/>
  <c r="X497" i="4"/>
  <c r="W497" i="4"/>
  <c r="O497" i="4"/>
  <c r="N497" i="4"/>
  <c r="M497" i="4"/>
  <c r="H497" i="4"/>
  <c r="D497" i="4"/>
  <c r="Z496" i="4"/>
  <c r="Y496" i="4"/>
  <c r="X496" i="4"/>
  <c r="W496" i="4"/>
  <c r="O496" i="4"/>
  <c r="N496" i="4"/>
  <c r="M496" i="4"/>
  <c r="H496" i="4"/>
  <c r="D496" i="4"/>
  <c r="Z495" i="4"/>
  <c r="Y495" i="4"/>
  <c r="X495" i="4"/>
  <c r="W495" i="4"/>
  <c r="O495" i="4"/>
  <c r="N495" i="4"/>
  <c r="M495" i="4"/>
  <c r="H495" i="4"/>
  <c r="D495" i="4"/>
  <c r="Z494" i="4"/>
  <c r="Y494" i="4"/>
  <c r="X494" i="4"/>
  <c r="W494" i="4"/>
  <c r="O494" i="4"/>
  <c r="N494" i="4"/>
  <c r="M494" i="4"/>
  <c r="H494" i="4"/>
  <c r="D494" i="4"/>
  <c r="Z493" i="4"/>
  <c r="Y493" i="4"/>
  <c r="X493" i="4"/>
  <c r="W493" i="4"/>
  <c r="O493" i="4"/>
  <c r="N493" i="4"/>
  <c r="M493" i="4"/>
  <c r="H493" i="4"/>
  <c r="D493" i="4"/>
  <c r="Z492" i="4"/>
  <c r="Y492" i="4"/>
  <c r="X492" i="4"/>
  <c r="W492" i="4"/>
  <c r="O492" i="4"/>
  <c r="N492" i="4"/>
  <c r="M492" i="4"/>
  <c r="H492" i="4"/>
  <c r="D492" i="4"/>
  <c r="Z491" i="4"/>
  <c r="Y491" i="4"/>
  <c r="X491" i="4"/>
  <c r="W491" i="4"/>
  <c r="O491" i="4"/>
  <c r="N491" i="4"/>
  <c r="M491" i="4"/>
  <c r="H491" i="4"/>
  <c r="D491" i="4"/>
  <c r="Z490" i="4"/>
  <c r="Y490" i="4"/>
  <c r="X490" i="4"/>
  <c r="W490" i="4"/>
  <c r="O490" i="4"/>
  <c r="N490" i="4"/>
  <c r="M490" i="4"/>
  <c r="H490" i="4"/>
  <c r="D490" i="4"/>
  <c r="Z489" i="4"/>
  <c r="Y489" i="4"/>
  <c r="X489" i="4"/>
  <c r="W489" i="4"/>
  <c r="O489" i="4"/>
  <c r="N489" i="4"/>
  <c r="M489" i="4"/>
  <c r="H489" i="4"/>
  <c r="D489" i="4"/>
  <c r="Z488" i="4"/>
  <c r="Y488" i="4"/>
  <c r="X488" i="4"/>
  <c r="W488" i="4"/>
  <c r="O488" i="4"/>
  <c r="N488" i="4"/>
  <c r="M488" i="4"/>
  <c r="H488" i="4"/>
  <c r="D488" i="4"/>
  <c r="Z487" i="4"/>
  <c r="Y487" i="4"/>
  <c r="X487" i="4"/>
  <c r="W487" i="4"/>
  <c r="O487" i="4"/>
  <c r="N487" i="4"/>
  <c r="M487" i="4"/>
  <c r="H487" i="4"/>
  <c r="D487" i="4"/>
  <c r="Z486" i="4"/>
  <c r="Y486" i="4"/>
  <c r="X486" i="4"/>
  <c r="W486" i="4"/>
  <c r="O486" i="4"/>
  <c r="N486" i="4"/>
  <c r="M486" i="4"/>
  <c r="H486" i="4"/>
  <c r="D486" i="4"/>
  <c r="Z485" i="4"/>
  <c r="Y485" i="4"/>
  <c r="X485" i="4"/>
  <c r="W485" i="4"/>
  <c r="O485" i="4"/>
  <c r="N485" i="4"/>
  <c r="M485" i="4"/>
  <c r="H485" i="4"/>
  <c r="D485" i="4"/>
  <c r="Z484" i="4"/>
  <c r="Y484" i="4"/>
  <c r="X484" i="4"/>
  <c r="W484" i="4"/>
  <c r="O484" i="4"/>
  <c r="N484" i="4"/>
  <c r="M484" i="4"/>
  <c r="H484" i="4"/>
  <c r="D484" i="4"/>
  <c r="Z483" i="4"/>
  <c r="Y483" i="4"/>
  <c r="X483" i="4"/>
  <c r="W483" i="4"/>
  <c r="O483" i="4"/>
  <c r="N483" i="4"/>
  <c r="M483" i="4"/>
  <c r="H483" i="4"/>
  <c r="D483" i="4"/>
  <c r="Z482" i="4"/>
  <c r="Y482" i="4"/>
  <c r="X482" i="4"/>
  <c r="W482" i="4"/>
  <c r="O482" i="4"/>
  <c r="N482" i="4"/>
  <c r="M482" i="4"/>
  <c r="H482" i="4"/>
  <c r="D482" i="4"/>
  <c r="Z481" i="4"/>
  <c r="Y481" i="4"/>
  <c r="X481" i="4"/>
  <c r="W481" i="4"/>
  <c r="O481" i="4"/>
  <c r="N481" i="4"/>
  <c r="M481" i="4"/>
  <c r="H481" i="4"/>
  <c r="D481" i="4"/>
  <c r="Z480" i="4"/>
  <c r="Y480" i="4"/>
  <c r="X480" i="4"/>
  <c r="W480" i="4"/>
  <c r="O480" i="4"/>
  <c r="N480" i="4"/>
  <c r="M480" i="4"/>
  <c r="H480" i="4"/>
  <c r="D480" i="4"/>
  <c r="Z479" i="4"/>
  <c r="Y479" i="4"/>
  <c r="X479" i="4"/>
  <c r="W479" i="4"/>
  <c r="O479" i="4"/>
  <c r="N479" i="4"/>
  <c r="M479" i="4"/>
  <c r="H479" i="4"/>
  <c r="D479" i="4"/>
  <c r="Z478" i="4"/>
  <c r="Y478" i="4"/>
  <c r="X478" i="4"/>
  <c r="W478" i="4"/>
  <c r="O478" i="4"/>
  <c r="N478" i="4"/>
  <c r="M478" i="4"/>
  <c r="H478" i="4"/>
  <c r="D478" i="4"/>
  <c r="Z477" i="4"/>
  <c r="Y477" i="4"/>
  <c r="X477" i="4"/>
  <c r="W477" i="4"/>
  <c r="O477" i="4"/>
  <c r="N477" i="4"/>
  <c r="M477" i="4"/>
  <c r="H477" i="4"/>
  <c r="D477" i="4"/>
  <c r="Z476" i="4"/>
  <c r="Y476" i="4"/>
  <c r="X476" i="4"/>
  <c r="W476" i="4"/>
  <c r="O476" i="4"/>
  <c r="N476" i="4"/>
  <c r="M476" i="4"/>
  <c r="H476" i="4"/>
  <c r="D476" i="4"/>
  <c r="Z475" i="4"/>
  <c r="Y475" i="4"/>
  <c r="X475" i="4"/>
  <c r="W475" i="4"/>
  <c r="O475" i="4"/>
  <c r="N475" i="4"/>
  <c r="M475" i="4"/>
  <c r="H475" i="4"/>
  <c r="D475" i="4"/>
  <c r="Z474" i="4"/>
  <c r="Y474" i="4"/>
  <c r="X474" i="4"/>
  <c r="W474" i="4"/>
  <c r="O474" i="4"/>
  <c r="N474" i="4"/>
  <c r="M474" i="4"/>
  <c r="H474" i="4"/>
  <c r="D474" i="4"/>
  <c r="Z473" i="4"/>
  <c r="Y473" i="4"/>
  <c r="X473" i="4"/>
  <c r="W473" i="4"/>
  <c r="O473" i="4"/>
  <c r="N473" i="4"/>
  <c r="M473" i="4"/>
  <c r="H473" i="4"/>
  <c r="D473" i="4"/>
  <c r="Z472" i="4"/>
  <c r="Y472" i="4"/>
  <c r="X472" i="4"/>
  <c r="W472" i="4"/>
  <c r="O472" i="4"/>
  <c r="N472" i="4"/>
  <c r="M472" i="4"/>
  <c r="H472" i="4"/>
  <c r="D472" i="4"/>
  <c r="Z471" i="4"/>
  <c r="Y471" i="4"/>
  <c r="X471" i="4"/>
  <c r="W471" i="4"/>
  <c r="O471" i="4"/>
  <c r="N471" i="4"/>
  <c r="M471" i="4"/>
  <c r="H471" i="4"/>
  <c r="D471" i="4"/>
  <c r="Z470" i="4"/>
  <c r="Y470" i="4"/>
  <c r="X470" i="4"/>
  <c r="W470" i="4"/>
  <c r="O470" i="4"/>
  <c r="N470" i="4"/>
  <c r="M470" i="4"/>
  <c r="H470" i="4"/>
  <c r="D470" i="4"/>
  <c r="Z469" i="4"/>
  <c r="Y469" i="4"/>
  <c r="X469" i="4"/>
  <c r="W469" i="4"/>
  <c r="O469" i="4"/>
  <c r="N469" i="4"/>
  <c r="M469" i="4"/>
  <c r="H469" i="4"/>
  <c r="D469" i="4"/>
  <c r="Z468" i="4"/>
  <c r="Y468" i="4"/>
  <c r="X468" i="4"/>
  <c r="W468" i="4"/>
  <c r="O468" i="4"/>
  <c r="N468" i="4"/>
  <c r="M468" i="4"/>
  <c r="H468" i="4"/>
  <c r="D468" i="4"/>
  <c r="Z467" i="4"/>
  <c r="Y467" i="4"/>
  <c r="X467" i="4"/>
  <c r="W467" i="4"/>
  <c r="O467" i="4"/>
  <c r="N467" i="4"/>
  <c r="M467" i="4"/>
  <c r="H467" i="4"/>
  <c r="D467" i="4"/>
  <c r="Z466" i="4"/>
  <c r="Y466" i="4"/>
  <c r="X466" i="4"/>
  <c r="W466" i="4"/>
  <c r="O466" i="4"/>
  <c r="N466" i="4"/>
  <c r="M466" i="4"/>
  <c r="H466" i="4"/>
  <c r="D466" i="4"/>
  <c r="Z465" i="4"/>
  <c r="Y465" i="4"/>
  <c r="X465" i="4"/>
  <c r="W465" i="4"/>
  <c r="O465" i="4"/>
  <c r="N465" i="4"/>
  <c r="M465" i="4"/>
  <c r="H465" i="4"/>
  <c r="D465" i="4"/>
  <c r="Z464" i="4"/>
  <c r="Y464" i="4"/>
  <c r="X464" i="4"/>
  <c r="W464" i="4"/>
  <c r="O464" i="4"/>
  <c r="N464" i="4"/>
  <c r="M464" i="4"/>
  <c r="H464" i="4"/>
  <c r="D464" i="4"/>
  <c r="Z463" i="4"/>
  <c r="Y463" i="4"/>
  <c r="X463" i="4"/>
  <c r="W463" i="4"/>
  <c r="O463" i="4"/>
  <c r="N463" i="4"/>
  <c r="M463" i="4"/>
  <c r="H463" i="4"/>
  <c r="D463" i="4"/>
  <c r="Z462" i="4"/>
  <c r="Y462" i="4"/>
  <c r="X462" i="4"/>
  <c r="W462" i="4"/>
  <c r="O462" i="4"/>
  <c r="N462" i="4"/>
  <c r="M462" i="4"/>
  <c r="H462" i="4"/>
  <c r="D462" i="4"/>
  <c r="Z461" i="4"/>
  <c r="Y461" i="4"/>
  <c r="X461" i="4"/>
  <c r="W461" i="4"/>
  <c r="O461" i="4"/>
  <c r="N461" i="4"/>
  <c r="M461" i="4"/>
  <c r="H461" i="4"/>
  <c r="D461" i="4"/>
  <c r="Z460" i="4"/>
  <c r="Y460" i="4"/>
  <c r="X460" i="4"/>
  <c r="W460" i="4"/>
  <c r="O460" i="4"/>
  <c r="N460" i="4"/>
  <c r="M460" i="4"/>
  <c r="H460" i="4"/>
  <c r="D460" i="4"/>
  <c r="Z459" i="4"/>
  <c r="Y459" i="4"/>
  <c r="X459" i="4"/>
  <c r="W459" i="4"/>
  <c r="O459" i="4"/>
  <c r="N459" i="4"/>
  <c r="M459" i="4"/>
  <c r="H459" i="4"/>
  <c r="D459" i="4"/>
  <c r="Z458" i="4"/>
  <c r="Y458" i="4"/>
  <c r="X458" i="4"/>
  <c r="W458" i="4"/>
  <c r="O458" i="4"/>
  <c r="N458" i="4"/>
  <c r="M458" i="4"/>
  <c r="H458" i="4"/>
  <c r="D458" i="4"/>
  <c r="Z457" i="4"/>
  <c r="Y457" i="4"/>
  <c r="X457" i="4"/>
  <c r="W457" i="4"/>
  <c r="O457" i="4"/>
  <c r="N457" i="4"/>
  <c r="M457" i="4"/>
  <c r="H457" i="4"/>
  <c r="D457" i="4"/>
  <c r="Z456" i="4"/>
  <c r="Y456" i="4"/>
  <c r="X456" i="4"/>
  <c r="W456" i="4"/>
  <c r="O456" i="4"/>
  <c r="N456" i="4"/>
  <c r="M456" i="4"/>
  <c r="H456" i="4"/>
  <c r="D456" i="4"/>
  <c r="Z455" i="4"/>
  <c r="Y455" i="4"/>
  <c r="X455" i="4"/>
  <c r="W455" i="4"/>
  <c r="O455" i="4"/>
  <c r="N455" i="4"/>
  <c r="M455" i="4"/>
  <c r="H455" i="4"/>
  <c r="D455" i="4"/>
  <c r="Z454" i="4"/>
  <c r="Y454" i="4"/>
  <c r="X454" i="4"/>
  <c r="W454" i="4"/>
  <c r="O454" i="4"/>
  <c r="N454" i="4"/>
  <c r="M454" i="4"/>
  <c r="H454" i="4"/>
  <c r="D454" i="4"/>
  <c r="Z453" i="4"/>
  <c r="Y453" i="4"/>
  <c r="X453" i="4"/>
  <c r="W453" i="4"/>
  <c r="O453" i="4"/>
  <c r="N453" i="4"/>
  <c r="M453" i="4"/>
  <c r="H453" i="4"/>
  <c r="D453" i="4"/>
  <c r="Z452" i="4"/>
  <c r="Y452" i="4"/>
  <c r="X452" i="4"/>
  <c r="W452" i="4"/>
  <c r="O452" i="4"/>
  <c r="N452" i="4"/>
  <c r="M452" i="4"/>
  <c r="H452" i="4"/>
  <c r="D452" i="4"/>
  <c r="Z451" i="4"/>
  <c r="Y451" i="4"/>
  <c r="X451" i="4"/>
  <c r="W451" i="4"/>
  <c r="O451" i="4"/>
  <c r="N451" i="4"/>
  <c r="M451" i="4"/>
  <c r="H451" i="4"/>
  <c r="D451" i="4"/>
  <c r="Z450" i="4"/>
  <c r="Y450" i="4"/>
  <c r="X450" i="4"/>
  <c r="W450" i="4"/>
  <c r="O450" i="4"/>
  <c r="N450" i="4"/>
  <c r="M450" i="4"/>
  <c r="H450" i="4"/>
  <c r="D450" i="4"/>
  <c r="Z449" i="4"/>
  <c r="Y449" i="4"/>
  <c r="X449" i="4"/>
  <c r="W449" i="4"/>
  <c r="O449" i="4"/>
  <c r="N449" i="4"/>
  <c r="M449" i="4"/>
  <c r="H449" i="4"/>
  <c r="D449" i="4"/>
  <c r="Z448" i="4"/>
  <c r="Y448" i="4"/>
  <c r="X448" i="4"/>
  <c r="W448" i="4"/>
  <c r="O448" i="4"/>
  <c r="N448" i="4"/>
  <c r="M448" i="4"/>
  <c r="H448" i="4"/>
  <c r="D448" i="4"/>
  <c r="Z447" i="4"/>
  <c r="Y447" i="4"/>
  <c r="X447" i="4"/>
  <c r="W447" i="4"/>
  <c r="O447" i="4"/>
  <c r="N447" i="4"/>
  <c r="M447" i="4"/>
  <c r="H447" i="4"/>
  <c r="D447" i="4"/>
  <c r="Z446" i="4"/>
  <c r="Y446" i="4"/>
  <c r="X446" i="4"/>
  <c r="W446" i="4"/>
  <c r="O446" i="4"/>
  <c r="N446" i="4"/>
  <c r="M446" i="4"/>
  <c r="H446" i="4"/>
  <c r="D446" i="4"/>
  <c r="Z445" i="4"/>
  <c r="Y445" i="4"/>
  <c r="X445" i="4"/>
  <c r="W445" i="4"/>
  <c r="O445" i="4"/>
  <c r="N445" i="4"/>
  <c r="M445" i="4"/>
  <c r="H445" i="4"/>
  <c r="D445" i="4"/>
  <c r="Z444" i="4"/>
  <c r="Y444" i="4"/>
  <c r="X444" i="4"/>
  <c r="W444" i="4"/>
  <c r="O444" i="4"/>
  <c r="N444" i="4"/>
  <c r="M444" i="4"/>
  <c r="H444" i="4"/>
  <c r="D444" i="4"/>
  <c r="Z443" i="4"/>
  <c r="Y443" i="4"/>
  <c r="X443" i="4"/>
  <c r="W443" i="4"/>
  <c r="O443" i="4"/>
  <c r="N443" i="4"/>
  <c r="M443" i="4"/>
  <c r="H443" i="4"/>
  <c r="D443" i="4"/>
  <c r="Z442" i="4"/>
  <c r="Y442" i="4"/>
  <c r="X442" i="4"/>
  <c r="W442" i="4"/>
  <c r="O442" i="4"/>
  <c r="N442" i="4"/>
  <c r="M442" i="4"/>
  <c r="H442" i="4"/>
  <c r="D442" i="4"/>
  <c r="Z441" i="4"/>
  <c r="Y441" i="4"/>
  <c r="X441" i="4"/>
  <c r="W441" i="4"/>
  <c r="O441" i="4"/>
  <c r="N441" i="4"/>
  <c r="M441" i="4"/>
  <c r="H441" i="4"/>
  <c r="D441" i="4"/>
  <c r="Z440" i="4"/>
  <c r="Y440" i="4"/>
  <c r="X440" i="4"/>
  <c r="W440" i="4"/>
  <c r="O440" i="4"/>
  <c r="N440" i="4"/>
  <c r="M440" i="4"/>
  <c r="H440" i="4"/>
  <c r="D440" i="4"/>
  <c r="Z439" i="4"/>
  <c r="Y439" i="4"/>
  <c r="X439" i="4"/>
  <c r="W439" i="4"/>
  <c r="O439" i="4"/>
  <c r="N439" i="4"/>
  <c r="M439" i="4"/>
  <c r="H439" i="4"/>
  <c r="D439" i="4"/>
  <c r="Z438" i="4"/>
  <c r="Y438" i="4"/>
  <c r="X438" i="4"/>
  <c r="W438" i="4"/>
  <c r="O438" i="4"/>
  <c r="N438" i="4"/>
  <c r="M438" i="4"/>
  <c r="H438" i="4"/>
  <c r="D438" i="4"/>
  <c r="Z437" i="4"/>
  <c r="Y437" i="4"/>
  <c r="X437" i="4"/>
  <c r="W437" i="4"/>
  <c r="O437" i="4"/>
  <c r="N437" i="4"/>
  <c r="M437" i="4"/>
  <c r="H437" i="4"/>
  <c r="D437" i="4"/>
  <c r="Z436" i="4"/>
  <c r="Y436" i="4"/>
  <c r="X436" i="4"/>
  <c r="W436" i="4"/>
  <c r="O436" i="4"/>
  <c r="N436" i="4"/>
  <c r="M436" i="4"/>
  <c r="H436" i="4"/>
  <c r="D436" i="4"/>
  <c r="Z435" i="4"/>
  <c r="Y435" i="4"/>
  <c r="X435" i="4"/>
  <c r="W435" i="4"/>
  <c r="O435" i="4"/>
  <c r="N435" i="4"/>
  <c r="M435" i="4"/>
  <c r="H435" i="4"/>
  <c r="D435" i="4"/>
  <c r="Z434" i="4"/>
  <c r="Y434" i="4"/>
  <c r="X434" i="4"/>
  <c r="W434" i="4"/>
  <c r="O434" i="4"/>
  <c r="N434" i="4"/>
  <c r="M434" i="4"/>
  <c r="H434" i="4"/>
  <c r="D434" i="4"/>
  <c r="Z433" i="4"/>
  <c r="Y433" i="4"/>
  <c r="X433" i="4"/>
  <c r="W433" i="4"/>
  <c r="O433" i="4"/>
  <c r="N433" i="4"/>
  <c r="M433" i="4"/>
  <c r="H433" i="4"/>
  <c r="D433" i="4"/>
  <c r="Z432" i="4"/>
  <c r="Y432" i="4"/>
  <c r="X432" i="4"/>
  <c r="W432" i="4"/>
  <c r="O432" i="4"/>
  <c r="N432" i="4"/>
  <c r="M432" i="4"/>
  <c r="H432" i="4"/>
  <c r="D432" i="4"/>
  <c r="Z431" i="4"/>
  <c r="Y431" i="4"/>
  <c r="X431" i="4"/>
  <c r="W431" i="4"/>
  <c r="O431" i="4"/>
  <c r="N431" i="4"/>
  <c r="M431" i="4"/>
  <c r="H431" i="4"/>
  <c r="D431" i="4"/>
  <c r="Z430" i="4"/>
  <c r="Y430" i="4"/>
  <c r="X430" i="4"/>
  <c r="W430" i="4"/>
  <c r="O430" i="4"/>
  <c r="N430" i="4"/>
  <c r="M430" i="4"/>
  <c r="H430" i="4"/>
  <c r="D430" i="4"/>
  <c r="Z429" i="4"/>
  <c r="Y429" i="4"/>
  <c r="X429" i="4"/>
  <c r="W429" i="4"/>
  <c r="O429" i="4"/>
  <c r="N429" i="4"/>
  <c r="M429" i="4"/>
  <c r="H429" i="4"/>
  <c r="D429" i="4"/>
  <c r="Z428" i="4"/>
  <c r="Y428" i="4"/>
  <c r="X428" i="4"/>
  <c r="W428" i="4"/>
  <c r="O428" i="4"/>
  <c r="N428" i="4"/>
  <c r="M428" i="4"/>
  <c r="H428" i="4"/>
  <c r="D428" i="4"/>
  <c r="Z427" i="4"/>
  <c r="Y427" i="4"/>
  <c r="X427" i="4"/>
  <c r="W427" i="4"/>
  <c r="O427" i="4"/>
  <c r="N427" i="4"/>
  <c r="M427" i="4"/>
  <c r="H427" i="4"/>
  <c r="D427" i="4"/>
  <c r="Z426" i="4"/>
  <c r="Y426" i="4"/>
  <c r="X426" i="4"/>
  <c r="W426" i="4"/>
  <c r="O426" i="4"/>
  <c r="N426" i="4"/>
  <c r="M426" i="4"/>
  <c r="H426" i="4"/>
  <c r="D426" i="4"/>
  <c r="Z425" i="4"/>
  <c r="Y425" i="4"/>
  <c r="X425" i="4"/>
  <c r="W425" i="4"/>
  <c r="O425" i="4"/>
  <c r="N425" i="4"/>
  <c r="M425" i="4"/>
  <c r="H425" i="4"/>
  <c r="D425" i="4"/>
  <c r="Z424" i="4"/>
  <c r="Y424" i="4"/>
  <c r="X424" i="4"/>
  <c r="W424" i="4"/>
  <c r="O424" i="4"/>
  <c r="N424" i="4"/>
  <c r="M424" i="4"/>
  <c r="H424" i="4"/>
  <c r="D424" i="4"/>
  <c r="Z423" i="4"/>
  <c r="Y423" i="4"/>
  <c r="X423" i="4"/>
  <c r="W423" i="4"/>
  <c r="O423" i="4"/>
  <c r="N423" i="4"/>
  <c r="M423" i="4"/>
  <c r="H423" i="4"/>
  <c r="D423" i="4"/>
  <c r="Z422" i="4"/>
  <c r="Y422" i="4"/>
  <c r="X422" i="4"/>
  <c r="W422" i="4"/>
  <c r="O422" i="4"/>
  <c r="N422" i="4"/>
  <c r="M422" i="4"/>
  <c r="H422" i="4"/>
  <c r="D422" i="4"/>
  <c r="Z421" i="4"/>
  <c r="Y421" i="4"/>
  <c r="X421" i="4"/>
  <c r="W421" i="4"/>
  <c r="O421" i="4"/>
  <c r="N421" i="4"/>
  <c r="M421" i="4"/>
  <c r="H421" i="4"/>
  <c r="D421" i="4"/>
  <c r="Z420" i="4"/>
  <c r="Y420" i="4"/>
  <c r="X420" i="4"/>
  <c r="W420" i="4"/>
  <c r="O420" i="4"/>
  <c r="N420" i="4"/>
  <c r="M420" i="4"/>
  <c r="H420" i="4"/>
  <c r="D420" i="4"/>
  <c r="Z419" i="4"/>
  <c r="Y419" i="4"/>
  <c r="X419" i="4"/>
  <c r="W419" i="4"/>
  <c r="O419" i="4"/>
  <c r="N419" i="4"/>
  <c r="M419" i="4"/>
  <c r="H419" i="4"/>
  <c r="D419" i="4"/>
  <c r="Z418" i="4"/>
  <c r="Y418" i="4"/>
  <c r="X418" i="4"/>
  <c r="W418" i="4"/>
  <c r="O418" i="4"/>
  <c r="N418" i="4"/>
  <c r="M418" i="4"/>
  <c r="H418" i="4"/>
  <c r="D418" i="4"/>
  <c r="Z417" i="4"/>
  <c r="Y417" i="4"/>
  <c r="X417" i="4"/>
  <c r="W417" i="4"/>
  <c r="O417" i="4"/>
  <c r="N417" i="4"/>
  <c r="M417" i="4"/>
  <c r="H417" i="4"/>
  <c r="D417" i="4"/>
  <c r="Z416" i="4"/>
  <c r="Y416" i="4"/>
  <c r="X416" i="4"/>
  <c r="W416" i="4"/>
  <c r="O416" i="4"/>
  <c r="N416" i="4"/>
  <c r="M416" i="4"/>
  <c r="H416" i="4"/>
  <c r="D416" i="4"/>
  <c r="Z415" i="4"/>
  <c r="Y415" i="4"/>
  <c r="X415" i="4"/>
  <c r="W415" i="4"/>
  <c r="O415" i="4"/>
  <c r="N415" i="4"/>
  <c r="M415" i="4"/>
  <c r="H415" i="4"/>
  <c r="D415" i="4"/>
  <c r="Z414" i="4"/>
  <c r="Y414" i="4"/>
  <c r="X414" i="4"/>
  <c r="W414" i="4"/>
  <c r="O414" i="4"/>
  <c r="N414" i="4"/>
  <c r="M414" i="4"/>
  <c r="H414" i="4"/>
  <c r="D414" i="4"/>
  <c r="Z413" i="4"/>
  <c r="Y413" i="4"/>
  <c r="X413" i="4"/>
  <c r="W413" i="4"/>
  <c r="O413" i="4"/>
  <c r="N413" i="4"/>
  <c r="M413" i="4"/>
  <c r="H413" i="4"/>
  <c r="D413" i="4"/>
  <c r="Z412" i="4"/>
  <c r="Y412" i="4"/>
  <c r="X412" i="4"/>
  <c r="W412" i="4"/>
  <c r="O412" i="4"/>
  <c r="N412" i="4"/>
  <c r="M412" i="4"/>
  <c r="H412" i="4"/>
  <c r="D412" i="4"/>
  <c r="Z411" i="4"/>
  <c r="Y411" i="4"/>
  <c r="X411" i="4"/>
  <c r="W411" i="4"/>
  <c r="O411" i="4"/>
  <c r="N411" i="4"/>
  <c r="M411" i="4"/>
  <c r="H411" i="4"/>
  <c r="D411" i="4"/>
  <c r="Z410" i="4"/>
  <c r="Y410" i="4"/>
  <c r="X410" i="4"/>
  <c r="W410" i="4"/>
  <c r="O410" i="4"/>
  <c r="N410" i="4"/>
  <c r="M410" i="4"/>
  <c r="H410" i="4"/>
  <c r="D410" i="4"/>
  <c r="Z409" i="4"/>
  <c r="Y409" i="4"/>
  <c r="X409" i="4"/>
  <c r="W409" i="4"/>
  <c r="O409" i="4"/>
  <c r="N409" i="4"/>
  <c r="M409" i="4"/>
  <c r="H409" i="4"/>
  <c r="D409" i="4"/>
  <c r="Z408" i="4"/>
  <c r="Y408" i="4"/>
  <c r="X408" i="4"/>
  <c r="W408" i="4"/>
  <c r="O408" i="4"/>
  <c r="N408" i="4"/>
  <c r="M408" i="4"/>
  <c r="H408" i="4"/>
  <c r="D408" i="4"/>
  <c r="Z407" i="4"/>
  <c r="Y407" i="4"/>
  <c r="X407" i="4"/>
  <c r="W407" i="4"/>
  <c r="O407" i="4"/>
  <c r="N407" i="4"/>
  <c r="M407" i="4"/>
  <c r="H407" i="4"/>
  <c r="D407" i="4"/>
  <c r="Z406" i="4"/>
  <c r="Y406" i="4"/>
  <c r="X406" i="4"/>
  <c r="W406" i="4"/>
  <c r="O406" i="4"/>
  <c r="N406" i="4"/>
  <c r="M406" i="4"/>
  <c r="H406" i="4"/>
  <c r="D406" i="4"/>
  <c r="Z405" i="4"/>
  <c r="Y405" i="4"/>
  <c r="X405" i="4"/>
  <c r="W405" i="4"/>
  <c r="O405" i="4"/>
  <c r="N405" i="4"/>
  <c r="M405" i="4"/>
  <c r="H405" i="4"/>
  <c r="D405" i="4"/>
  <c r="Z404" i="4"/>
  <c r="Y404" i="4"/>
  <c r="X404" i="4"/>
  <c r="W404" i="4"/>
  <c r="O404" i="4"/>
  <c r="N404" i="4"/>
  <c r="M404" i="4"/>
  <c r="H404" i="4"/>
  <c r="D404" i="4"/>
  <c r="Z403" i="4"/>
  <c r="Y403" i="4"/>
  <c r="X403" i="4"/>
  <c r="W403" i="4"/>
  <c r="O403" i="4"/>
  <c r="N403" i="4"/>
  <c r="M403" i="4"/>
  <c r="H403" i="4"/>
  <c r="D403" i="4"/>
  <c r="Z402" i="4"/>
  <c r="Y402" i="4"/>
  <c r="X402" i="4"/>
  <c r="W402" i="4"/>
  <c r="O402" i="4"/>
  <c r="N402" i="4"/>
  <c r="M402" i="4"/>
  <c r="H402" i="4"/>
  <c r="D402" i="4"/>
  <c r="Z401" i="4"/>
  <c r="Y401" i="4"/>
  <c r="X401" i="4"/>
  <c r="W401" i="4"/>
  <c r="O401" i="4"/>
  <c r="N401" i="4"/>
  <c r="M401" i="4"/>
  <c r="H401" i="4"/>
  <c r="D401" i="4"/>
  <c r="Z400" i="4"/>
  <c r="Y400" i="4"/>
  <c r="X400" i="4"/>
  <c r="W400" i="4"/>
  <c r="O400" i="4"/>
  <c r="N400" i="4"/>
  <c r="M400" i="4"/>
  <c r="H400" i="4"/>
  <c r="D400" i="4"/>
  <c r="Z399" i="4"/>
  <c r="Y399" i="4"/>
  <c r="X399" i="4"/>
  <c r="W399" i="4"/>
  <c r="O399" i="4"/>
  <c r="N399" i="4"/>
  <c r="M399" i="4"/>
  <c r="H399" i="4"/>
  <c r="D399" i="4"/>
  <c r="Z398" i="4"/>
  <c r="Y398" i="4"/>
  <c r="X398" i="4"/>
  <c r="W398" i="4"/>
  <c r="O398" i="4"/>
  <c r="N398" i="4"/>
  <c r="M398" i="4"/>
  <c r="H398" i="4"/>
  <c r="D398" i="4"/>
  <c r="Z397" i="4"/>
  <c r="Y397" i="4"/>
  <c r="X397" i="4"/>
  <c r="W397" i="4"/>
  <c r="O397" i="4"/>
  <c r="N397" i="4"/>
  <c r="M397" i="4"/>
  <c r="H397" i="4"/>
  <c r="D397" i="4"/>
  <c r="Z396" i="4"/>
  <c r="Y396" i="4"/>
  <c r="X396" i="4"/>
  <c r="W396" i="4"/>
  <c r="O396" i="4"/>
  <c r="N396" i="4"/>
  <c r="M396" i="4"/>
  <c r="H396" i="4"/>
  <c r="D396" i="4"/>
  <c r="Z395" i="4"/>
  <c r="Y395" i="4"/>
  <c r="X395" i="4"/>
  <c r="W395" i="4"/>
  <c r="O395" i="4"/>
  <c r="N395" i="4"/>
  <c r="M395" i="4"/>
  <c r="H395" i="4"/>
  <c r="D395" i="4"/>
  <c r="Z394" i="4"/>
  <c r="Y394" i="4"/>
  <c r="X394" i="4"/>
  <c r="W394" i="4"/>
  <c r="O394" i="4"/>
  <c r="N394" i="4"/>
  <c r="M394" i="4"/>
  <c r="H394" i="4"/>
  <c r="D394" i="4"/>
  <c r="Z393" i="4"/>
  <c r="Y393" i="4"/>
  <c r="X393" i="4"/>
  <c r="W393" i="4"/>
  <c r="O393" i="4"/>
  <c r="N393" i="4"/>
  <c r="M393" i="4"/>
  <c r="H393" i="4"/>
  <c r="D393" i="4"/>
  <c r="Z392" i="4"/>
  <c r="Y392" i="4"/>
  <c r="X392" i="4"/>
  <c r="W392" i="4"/>
  <c r="O392" i="4"/>
  <c r="N392" i="4"/>
  <c r="M392" i="4"/>
  <c r="H392" i="4"/>
  <c r="D392" i="4"/>
  <c r="Z391" i="4"/>
  <c r="Y391" i="4"/>
  <c r="X391" i="4"/>
  <c r="W391" i="4"/>
  <c r="O391" i="4"/>
  <c r="N391" i="4"/>
  <c r="M391" i="4"/>
  <c r="H391" i="4"/>
  <c r="D391" i="4"/>
  <c r="Z390" i="4"/>
  <c r="Y390" i="4"/>
  <c r="X390" i="4"/>
  <c r="W390" i="4"/>
  <c r="O390" i="4"/>
  <c r="N390" i="4"/>
  <c r="M390" i="4"/>
  <c r="H390" i="4"/>
  <c r="D390" i="4"/>
  <c r="Z389" i="4"/>
  <c r="Y389" i="4"/>
  <c r="X389" i="4"/>
  <c r="W389" i="4"/>
  <c r="O389" i="4"/>
  <c r="N389" i="4"/>
  <c r="M389" i="4"/>
  <c r="H389" i="4"/>
  <c r="D389" i="4"/>
  <c r="Z388" i="4"/>
  <c r="Y388" i="4"/>
  <c r="X388" i="4"/>
  <c r="W388" i="4"/>
  <c r="O388" i="4"/>
  <c r="N388" i="4"/>
  <c r="M388" i="4"/>
  <c r="H388" i="4"/>
  <c r="D388" i="4"/>
  <c r="Z387" i="4"/>
  <c r="Y387" i="4"/>
  <c r="X387" i="4"/>
  <c r="W387" i="4"/>
  <c r="O387" i="4"/>
  <c r="N387" i="4"/>
  <c r="M387" i="4"/>
  <c r="H387" i="4"/>
  <c r="D387" i="4"/>
  <c r="Z386" i="4"/>
  <c r="Y386" i="4"/>
  <c r="X386" i="4"/>
  <c r="W386" i="4"/>
  <c r="O386" i="4"/>
  <c r="N386" i="4"/>
  <c r="M386" i="4"/>
  <c r="H386" i="4"/>
  <c r="D386" i="4"/>
  <c r="Z385" i="4"/>
  <c r="Y385" i="4"/>
  <c r="X385" i="4"/>
  <c r="W385" i="4"/>
  <c r="O385" i="4"/>
  <c r="N385" i="4"/>
  <c r="M385" i="4"/>
  <c r="H385" i="4"/>
  <c r="D385" i="4"/>
  <c r="Z384" i="4"/>
  <c r="Y384" i="4"/>
  <c r="X384" i="4"/>
  <c r="W384" i="4"/>
  <c r="O384" i="4"/>
  <c r="N384" i="4"/>
  <c r="M384" i="4"/>
  <c r="H384" i="4"/>
  <c r="D384" i="4"/>
  <c r="Z383" i="4"/>
  <c r="Y383" i="4"/>
  <c r="X383" i="4"/>
  <c r="W383" i="4"/>
  <c r="O383" i="4"/>
  <c r="N383" i="4"/>
  <c r="M383" i="4"/>
  <c r="H383" i="4"/>
  <c r="D383" i="4"/>
  <c r="Z382" i="4"/>
  <c r="Y382" i="4"/>
  <c r="X382" i="4"/>
  <c r="W382" i="4"/>
  <c r="O382" i="4"/>
  <c r="N382" i="4"/>
  <c r="M382" i="4"/>
  <c r="H382" i="4"/>
  <c r="D382" i="4"/>
  <c r="Z381" i="4"/>
  <c r="Y381" i="4"/>
  <c r="X381" i="4"/>
  <c r="W381" i="4"/>
  <c r="O381" i="4"/>
  <c r="N381" i="4"/>
  <c r="M381" i="4"/>
  <c r="H381" i="4"/>
  <c r="D381" i="4"/>
  <c r="Z380" i="4"/>
  <c r="Y380" i="4"/>
  <c r="X380" i="4"/>
  <c r="W380" i="4"/>
  <c r="O380" i="4"/>
  <c r="N380" i="4"/>
  <c r="M380" i="4"/>
  <c r="H380" i="4"/>
  <c r="D380" i="4"/>
  <c r="Z379" i="4"/>
  <c r="Y379" i="4"/>
  <c r="X379" i="4"/>
  <c r="W379" i="4"/>
  <c r="O379" i="4"/>
  <c r="N379" i="4"/>
  <c r="M379" i="4"/>
  <c r="H379" i="4"/>
  <c r="D379" i="4"/>
  <c r="Z378" i="4"/>
  <c r="Y378" i="4"/>
  <c r="X378" i="4"/>
  <c r="W378" i="4"/>
  <c r="O378" i="4"/>
  <c r="N378" i="4"/>
  <c r="M378" i="4"/>
  <c r="H378" i="4"/>
  <c r="D378" i="4"/>
  <c r="Z377" i="4"/>
  <c r="Y377" i="4"/>
  <c r="X377" i="4"/>
  <c r="W377" i="4"/>
  <c r="O377" i="4"/>
  <c r="N377" i="4"/>
  <c r="M377" i="4"/>
  <c r="H377" i="4"/>
  <c r="D377" i="4"/>
  <c r="Z376" i="4"/>
  <c r="Y376" i="4"/>
  <c r="X376" i="4"/>
  <c r="W376" i="4"/>
  <c r="O376" i="4"/>
  <c r="N376" i="4"/>
  <c r="M376" i="4"/>
  <c r="H376" i="4"/>
  <c r="D376" i="4"/>
  <c r="Z375" i="4"/>
  <c r="Y375" i="4"/>
  <c r="X375" i="4"/>
  <c r="W375" i="4"/>
  <c r="O375" i="4"/>
  <c r="N375" i="4"/>
  <c r="M375" i="4"/>
  <c r="H375" i="4"/>
  <c r="D375" i="4"/>
  <c r="Z374" i="4"/>
  <c r="Y374" i="4"/>
  <c r="X374" i="4"/>
  <c r="W374" i="4"/>
  <c r="O374" i="4"/>
  <c r="N374" i="4"/>
  <c r="M374" i="4"/>
  <c r="H374" i="4"/>
  <c r="D374" i="4"/>
  <c r="Z373" i="4"/>
  <c r="Y373" i="4"/>
  <c r="X373" i="4"/>
  <c r="W373" i="4"/>
  <c r="O373" i="4"/>
  <c r="N373" i="4"/>
  <c r="M373" i="4"/>
  <c r="H373" i="4"/>
  <c r="D373" i="4"/>
  <c r="Z372" i="4"/>
  <c r="Y372" i="4"/>
  <c r="X372" i="4"/>
  <c r="W372" i="4"/>
  <c r="O372" i="4"/>
  <c r="N372" i="4"/>
  <c r="M372" i="4"/>
  <c r="H372" i="4"/>
  <c r="D372" i="4"/>
  <c r="Z371" i="4"/>
  <c r="Y371" i="4"/>
  <c r="X371" i="4"/>
  <c r="W371" i="4"/>
  <c r="O371" i="4"/>
  <c r="N371" i="4"/>
  <c r="M371" i="4"/>
  <c r="H371" i="4"/>
  <c r="D371" i="4"/>
  <c r="Z370" i="4"/>
  <c r="Y370" i="4"/>
  <c r="X370" i="4"/>
  <c r="W370" i="4"/>
  <c r="O370" i="4"/>
  <c r="N370" i="4"/>
  <c r="M370" i="4"/>
  <c r="H370" i="4"/>
  <c r="D370" i="4"/>
  <c r="Z369" i="4"/>
  <c r="Y369" i="4"/>
  <c r="X369" i="4"/>
  <c r="W369" i="4"/>
  <c r="O369" i="4"/>
  <c r="N369" i="4"/>
  <c r="M369" i="4"/>
  <c r="H369" i="4"/>
  <c r="D369" i="4"/>
  <c r="Z368" i="4"/>
  <c r="Y368" i="4"/>
  <c r="X368" i="4"/>
  <c r="W368" i="4"/>
  <c r="O368" i="4"/>
  <c r="N368" i="4"/>
  <c r="M368" i="4"/>
  <c r="H368" i="4"/>
  <c r="D368" i="4"/>
  <c r="Z367" i="4"/>
  <c r="Y367" i="4"/>
  <c r="X367" i="4"/>
  <c r="W367" i="4"/>
  <c r="O367" i="4"/>
  <c r="N367" i="4"/>
  <c r="M367" i="4"/>
  <c r="H367" i="4"/>
  <c r="D367" i="4"/>
  <c r="Z366" i="4"/>
  <c r="Y366" i="4"/>
  <c r="X366" i="4"/>
  <c r="W366" i="4"/>
  <c r="O366" i="4"/>
  <c r="N366" i="4"/>
  <c r="M366" i="4"/>
  <c r="H366" i="4"/>
  <c r="D366" i="4"/>
  <c r="Z365" i="4"/>
  <c r="Y365" i="4"/>
  <c r="X365" i="4"/>
  <c r="W365" i="4"/>
  <c r="O365" i="4"/>
  <c r="N365" i="4"/>
  <c r="M365" i="4"/>
  <c r="H365" i="4"/>
  <c r="D365" i="4"/>
  <c r="Z364" i="4"/>
  <c r="Y364" i="4"/>
  <c r="X364" i="4"/>
  <c r="W364" i="4"/>
  <c r="O364" i="4"/>
  <c r="N364" i="4"/>
  <c r="M364" i="4"/>
  <c r="H364" i="4"/>
  <c r="D364" i="4"/>
  <c r="Z363" i="4"/>
  <c r="Y363" i="4"/>
  <c r="X363" i="4"/>
  <c r="W363" i="4"/>
  <c r="O363" i="4"/>
  <c r="N363" i="4"/>
  <c r="M363" i="4"/>
  <c r="H363" i="4"/>
  <c r="D363" i="4"/>
  <c r="Z362" i="4"/>
  <c r="Y362" i="4"/>
  <c r="X362" i="4"/>
  <c r="W362" i="4"/>
  <c r="O362" i="4"/>
  <c r="N362" i="4"/>
  <c r="M362" i="4"/>
  <c r="H362" i="4"/>
  <c r="D362" i="4"/>
  <c r="Z361" i="4"/>
  <c r="Y361" i="4"/>
  <c r="X361" i="4"/>
  <c r="W361" i="4"/>
  <c r="O361" i="4"/>
  <c r="N361" i="4"/>
  <c r="M361" i="4"/>
  <c r="H361" i="4"/>
  <c r="D361" i="4"/>
  <c r="Z360" i="4"/>
  <c r="Y360" i="4"/>
  <c r="X360" i="4"/>
  <c r="W360" i="4"/>
  <c r="O360" i="4"/>
  <c r="N360" i="4"/>
  <c r="M360" i="4"/>
  <c r="H360" i="4"/>
  <c r="D360" i="4"/>
  <c r="Z359" i="4"/>
  <c r="Y359" i="4"/>
  <c r="X359" i="4"/>
  <c r="W359" i="4"/>
  <c r="O359" i="4"/>
  <c r="N359" i="4"/>
  <c r="M359" i="4"/>
  <c r="H359" i="4"/>
  <c r="D359" i="4"/>
  <c r="Z358" i="4"/>
  <c r="Y358" i="4"/>
  <c r="X358" i="4"/>
  <c r="W358" i="4"/>
  <c r="O358" i="4"/>
  <c r="N358" i="4"/>
  <c r="M358" i="4"/>
  <c r="H358" i="4"/>
  <c r="D358" i="4"/>
  <c r="Z357" i="4"/>
  <c r="Y357" i="4"/>
  <c r="X357" i="4"/>
  <c r="W357" i="4"/>
  <c r="O357" i="4"/>
  <c r="N357" i="4"/>
  <c r="M357" i="4"/>
  <c r="H357" i="4"/>
  <c r="D357" i="4"/>
  <c r="Z356" i="4"/>
  <c r="Y356" i="4"/>
  <c r="X356" i="4"/>
  <c r="W356" i="4"/>
  <c r="O356" i="4"/>
  <c r="N356" i="4"/>
  <c r="M356" i="4"/>
  <c r="H356" i="4"/>
  <c r="D356" i="4"/>
  <c r="Z355" i="4"/>
  <c r="Y355" i="4"/>
  <c r="X355" i="4"/>
  <c r="W355" i="4"/>
  <c r="O355" i="4"/>
  <c r="N355" i="4"/>
  <c r="M355" i="4"/>
  <c r="H355" i="4"/>
  <c r="D355" i="4"/>
  <c r="Z354" i="4"/>
  <c r="Y354" i="4"/>
  <c r="X354" i="4"/>
  <c r="W354" i="4"/>
  <c r="O354" i="4"/>
  <c r="N354" i="4"/>
  <c r="M354" i="4"/>
  <c r="H354" i="4"/>
  <c r="D354" i="4"/>
  <c r="Z353" i="4"/>
  <c r="Y353" i="4"/>
  <c r="X353" i="4"/>
  <c r="W353" i="4"/>
  <c r="O353" i="4"/>
  <c r="N353" i="4"/>
  <c r="M353" i="4"/>
  <c r="H353" i="4"/>
  <c r="D353" i="4"/>
  <c r="Z352" i="4"/>
  <c r="Y352" i="4"/>
  <c r="X352" i="4"/>
  <c r="W352" i="4"/>
  <c r="O352" i="4"/>
  <c r="N352" i="4"/>
  <c r="M352" i="4"/>
  <c r="H352" i="4"/>
  <c r="D352" i="4"/>
  <c r="Z351" i="4"/>
  <c r="Y351" i="4"/>
  <c r="X351" i="4"/>
  <c r="W351" i="4"/>
  <c r="O351" i="4"/>
  <c r="N351" i="4"/>
  <c r="M351" i="4"/>
  <c r="H351" i="4"/>
  <c r="D351" i="4"/>
  <c r="Z350" i="4"/>
  <c r="Y350" i="4"/>
  <c r="X350" i="4"/>
  <c r="W350" i="4"/>
  <c r="O350" i="4"/>
  <c r="N350" i="4"/>
  <c r="M350" i="4"/>
  <c r="H350" i="4"/>
  <c r="D350" i="4"/>
  <c r="Z349" i="4"/>
  <c r="Y349" i="4"/>
  <c r="X349" i="4"/>
  <c r="W349" i="4"/>
  <c r="O349" i="4"/>
  <c r="N349" i="4"/>
  <c r="M349" i="4"/>
  <c r="H349" i="4"/>
  <c r="D349" i="4"/>
  <c r="Z348" i="4"/>
  <c r="Y348" i="4"/>
  <c r="X348" i="4"/>
  <c r="W348" i="4"/>
  <c r="O348" i="4"/>
  <c r="N348" i="4"/>
  <c r="M348" i="4"/>
  <c r="H348" i="4"/>
  <c r="D348" i="4"/>
  <c r="Z347" i="4"/>
  <c r="Y347" i="4"/>
  <c r="X347" i="4"/>
  <c r="W347" i="4"/>
  <c r="O347" i="4"/>
  <c r="N347" i="4"/>
  <c r="M347" i="4"/>
  <c r="H347" i="4"/>
  <c r="D347" i="4"/>
  <c r="Z346" i="4"/>
  <c r="Y346" i="4"/>
  <c r="X346" i="4"/>
  <c r="W346" i="4"/>
  <c r="O346" i="4"/>
  <c r="N346" i="4"/>
  <c r="M346" i="4"/>
  <c r="H346" i="4"/>
  <c r="D346" i="4"/>
  <c r="Z345" i="4"/>
  <c r="Y345" i="4"/>
  <c r="X345" i="4"/>
  <c r="W345" i="4"/>
  <c r="O345" i="4"/>
  <c r="N345" i="4"/>
  <c r="M345" i="4"/>
  <c r="H345" i="4"/>
  <c r="D345" i="4"/>
  <c r="Z344" i="4"/>
  <c r="Y344" i="4"/>
  <c r="X344" i="4"/>
  <c r="W344" i="4"/>
  <c r="O344" i="4"/>
  <c r="N344" i="4"/>
  <c r="M344" i="4"/>
  <c r="H344" i="4"/>
  <c r="D344" i="4"/>
  <c r="Z343" i="4"/>
  <c r="Y343" i="4"/>
  <c r="X343" i="4"/>
  <c r="W343" i="4"/>
  <c r="O343" i="4"/>
  <c r="N343" i="4"/>
  <c r="M343" i="4"/>
  <c r="H343" i="4"/>
  <c r="D343" i="4"/>
  <c r="Z342" i="4"/>
  <c r="Y342" i="4"/>
  <c r="X342" i="4"/>
  <c r="W342" i="4"/>
  <c r="O342" i="4"/>
  <c r="N342" i="4"/>
  <c r="M342" i="4"/>
  <c r="H342" i="4"/>
  <c r="D342" i="4"/>
  <c r="Z341" i="4"/>
  <c r="Y341" i="4"/>
  <c r="X341" i="4"/>
  <c r="W341" i="4"/>
  <c r="O341" i="4"/>
  <c r="N341" i="4"/>
  <c r="M341" i="4"/>
  <c r="H341" i="4"/>
  <c r="D341" i="4"/>
  <c r="Z340" i="4"/>
  <c r="Y340" i="4"/>
  <c r="X340" i="4"/>
  <c r="W340" i="4"/>
  <c r="O340" i="4"/>
  <c r="N340" i="4"/>
  <c r="M340" i="4"/>
  <c r="H340" i="4"/>
  <c r="D340" i="4"/>
  <c r="Z339" i="4"/>
  <c r="Y339" i="4"/>
  <c r="X339" i="4"/>
  <c r="W339" i="4"/>
  <c r="O339" i="4"/>
  <c r="N339" i="4"/>
  <c r="M339" i="4"/>
  <c r="H339" i="4"/>
  <c r="D339" i="4"/>
  <c r="Z338" i="4"/>
  <c r="Y338" i="4"/>
  <c r="X338" i="4"/>
  <c r="W338" i="4"/>
  <c r="O338" i="4"/>
  <c r="N338" i="4"/>
  <c r="M338" i="4"/>
  <c r="H338" i="4"/>
  <c r="D338" i="4"/>
  <c r="Z337" i="4"/>
  <c r="Y337" i="4"/>
  <c r="X337" i="4"/>
  <c r="W337" i="4"/>
  <c r="O337" i="4"/>
  <c r="N337" i="4"/>
  <c r="M337" i="4"/>
  <c r="H337" i="4"/>
  <c r="D337" i="4"/>
  <c r="Z336" i="4"/>
  <c r="Y336" i="4"/>
  <c r="X336" i="4"/>
  <c r="W336" i="4"/>
  <c r="O336" i="4"/>
  <c r="N336" i="4"/>
  <c r="M336" i="4"/>
  <c r="H336" i="4"/>
  <c r="D336" i="4"/>
  <c r="Z335" i="4"/>
  <c r="Y335" i="4"/>
  <c r="X335" i="4"/>
  <c r="W335" i="4"/>
  <c r="O335" i="4"/>
  <c r="N335" i="4"/>
  <c r="M335" i="4"/>
  <c r="H335" i="4"/>
  <c r="D335" i="4"/>
  <c r="Z334" i="4"/>
  <c r="Y334" i="4"/>
  <c r="X334" i="4"/>
  <c r="W334" i="4"/>
  <c r="O334" i="4"/>
  <c r="N334" i="4"/>
  <c r="M334" i="4"/>
  <c r="H334" i="4"/>
  <c r="D334" i="4"/>
  <c r="Z333" i="4"/>
  <c r="Y333" i="4"/>
  <c r="X333" i="4"/>
  <c r="W333" i="4"/>
  <c r="O333" i="4"/>
  <c r="N333" i="4"/>
  <c r="M333" i="4"/>
  <c r="H333" i="4"/>
  <c r="D333" i="4"/>
  <c r="Z332" i="4"/>
  <c r="Y332" i="4"/>
  <c r="X332" i="4"/>
  <c r="W332" i="4"/>
  <c r="O332" i="4"/>
  <c r="N332" i="4"/>
  <c r="M332" i="4"/>
  <c r="H332" i="4"/>
  <c r="D332" i="4"/>
  <c r="Z331" i="4"/>
  <c r="Y331" i="4"/>
  <c r="X331" i="4"/>
  <c r="W331" i="4"/>
  <c r="O331" i="4"/>
  <c r="N331" i="4"/>
  <c r="M331" i="4"/>
  <c r="H331" i="4"/>
  <c r="D331" i="4"/>
  <c r="Z330" i="4"/>
  <c r="Y330" i="4"/>
  <c r="X330" i="4"/>
  <c r="W330" i="4"/>
  <c r="O330" i="4"/>
  <c r="N330" i="4"/>
  <c r="M330" i="4"/>
  <c r="H330" i="4"/>
  <c r="D330" i="4"/>
  <c r="Z329" i="4"/>
  <c r="Y329" i="4"/>
  <c r="X329" i="4"/>
  <c r="W329" i="4"/>
  <c r="O329" i="4"/>
  <c r="N329" i="4"/>
  <c r="M329" i="4"/>
  <c r="H329" i="4"/>
  <c r="D329" i="4"/>
  <c r="Z328" i="4"/>
  <c r="Y328" i="4"/>
  <c r="X328" i="4"/>
  <c r="W328" i="4"/>
  <c r="O328" i="4"/>
  <c r="N328" i="4"/>
  <c r="M328" i="4"/>
  <c r="H328" i="4"/>
  <c r="D328" i="4"/>
  <c r="Z327" i="4"/>
  <c r="Y327" i="4"/>
  <c r="X327" i="4"/>
  <c r="W327" i="4"/>
  <c r="O327" i="4"/>
  <c r="N327" i="4"/>
  <c r="M327" i="4"/>
  <c r="H327" i="4"/>
  <c r="D327" i="4"/>
  <c r="Z326" i="4"/>
  <c r="Y326" i="4"/>
  <c r="X326" i="4"/>
  <c r="W326" i="4"/>
  <c r="O326" i="4"/>
  <c r="N326" i="4"/>
  <c r="M326" i="4"/>
  <c r="H326" i="4"/>
  <c r="D326" i="4"/>
  <c r="Z325" i="4"/>
  <c r="Y325" i="4"/>
  <c r="X325" i="4"/>
  <c r="W325" i="4"/>
  <c r="O325" i="4"/>
  <c r="N325" i="4"/>
  <c r="M325" i="4"/>
  <c r="H325" i="4"/>
  <c r="D325" i="4"/>
  <c r="Z324" i="4"/>
  <c r="Y324" i="4"/>
  <c r="X324" i="4"/>
  <c r="W324" i="4"/>
  <c r="O324" i="4"/>
  <c r="N324" i="4"/>
  <c r="M324" i="4"/>
  <c r="H324" i="4"/>
  <c r="D324" i="4"/>
  <c r="Z323" i="4"/>
  <c r="Y323" i="4"/>
  <c r="X323" i="4"/>
  <c r="W323" i="4"/>
  <c r="O323" i="4"/>
  <c r="N323" i="4"/>
  <c r="M323" i="4"/>
  <c r="H323" i="4"/>
  <c r="D323" i="4"/>
  <c r="Z322" i="4"/>
  <c r="Y322" i="4"/>
  <c r="X322" i="4"/>
  <c r="W322" i="4"/>
  <c r="O322" i="4"/>
  <c r="N322" i="4"/>
  <c r="M322" i="4"/>
  <c r="H322" i="4"/>
  <c r="D322" i="4"/>
  <c r="Z321" i="4"/>
  <c r="Y321" i="4"/>
  <c r="X321" i="4"/>
  <c r="W321" i="4"/>
  <c r="O321" i="4"/>
  <c r="N321" i="4"/>
  <c r="M321" i="4"/>
  <c r="H321" i="4"/>
  <c r="D321" i="4"/>
  <c r="Z320" i="4"/>
  <c r="Y320" i="4"/>
  <c r="X320" i="4"/>
  <c r="W320" i="4"/>
  <c r="O320" i="4"/>
  <c r="N320" i="4"/>
  <c r="M320" i="4"/>
  <c r="H320" i="4"/>
  <c r="D320" i="4"/>
  <c r="Z319" i="4"/>
  <c r="Y319" i="4"/>
  <c r="X319" i="4"/>
  <c r="W319" i="4"/>
  <c r="O319" i="4"/>
  <c r="N319" i="4"/>
  <c r="M319" i="4"/>
  <c r="H319" i="4"/>
  <c r="D319" i="4"/>
  <c r="Z318" i="4"/>
  <c r="Y318" i="4"/>
  <c r="X318" i="4"/>
  <c r="W318" i="4"/>
  <c r="O318" i="4"/>
  <c r="N318" i="4"/>
  <c r="M318" i="4"/>
  <c r="H318" i="4"/>
  <c r="D318" i="4"/>
  <c r="Z317" i="4"/>
  <c r="Y317" i="4"/>
  <c r="X317" i="4"/>
  <c r="W317" i="4"/>
  <c r="O317" i="4"/>
  <c r="N317" i="4"/>
  <c r="M317" i="4"/>
  <c r="H317" i="4"/>
  <c r="D317" i="4"/>
  <c r="Z316" i="4"/>
  <c r="Y316" i="4"/>
  <c r="X316" i="4"/>
  <c r="W316" i="4"/>
  <c r="O316" i="4"/>
  <c r="N316" i="4"/>
  <c r="M316" i="4"/>
  <c r="H316" i="4"/>
  <c r="D316" i="4"/>
  <c r="Z315" i="4"/>
  <c r="Y315" i="4"/>
  <c r="X315" i="4"/>
  <c r="W315" i="4"/>
  <c r="O315" i="4"/>
  <c r="N315" i="4"/>
  <c r="M315" i="4"/>
  <c r="H315" i="4"/>
  <c r="D315" i="4"/>
  <c r="Z314" i="4"/>
  <c r="Y314" i="4"/>
  <c r="X314" i="4"/>
  <c r="W314" i="4"/>
  <c r="O314" i="4"/>
  <c r="N314" i="4"/>
  <c r="M314" i="4"/>
  <c r="H314" i="4"/>
  <c r="D314" i="4"/>
  <c r="Z313" i="4"/>
  <c r="Y313" i="4"/>
  <c r="X313" i="4"/>
  <c r="W313" i="4"/>
  <c r="O313" i="4"/>
  <c r="N313" i="4"/>
  <c r="M313" i="4"/>
  <c r="H313" i="4"/>
  <c r="D313" i="4"/>
  <c r="Z312" i="4"/>
  <c r="Y312" i="4"/>
  <c r="X312" i="4"/>
  <c r="W312" i="4"/>
  <c r="O312" i="4"/>
  <c r="N312" i="4"/>
  <c r="M312" i="4"/>
  <c r="H312" i="4"/>
  <c r="D312" i="4"/>
  <c r="Z311" i="4"/>
  <c r="Y311" i="4"/>
  <c r="X311" i="4"/>
  <c r="W311" i="4"/>
  <c r="O311" i="4"/>
  <c r="N311" i="4"/>
  <c r="M311" i="4"/>
  <c r="H311" i="4"/>
  <c r="D311" i="4"/>
  <c r="Z310" i="4"/>
  <c r="Y310" i="4"/>
  <c r="X310" i="4"/>
  <c r="W310" i="4"/>
  <c r="O310" i="4"/>
  <c r="N310" i="4"/>
  <c r="M310" i="4"/>
  <c r="H310" i="4"/>
  <c r="D310" i="4"/>
  <c r="Z309" i="4"/>
  <c r="Y309" i="4"/>
  <c r="X309" i="4"/>
  <c r="W309" i="4"/>
  <c r="O309" i="4"/>
  <c r="N309" i="4"/>
  <c r="M309" i="4"/>
  <c r="H309" i="4"/>
  <c r="D309" i="4"/>
  <c r="Z308" i="4"/>
  <c r="Y308" i="4"/>
  <c r="X308" i="4"/>
  <c r="W308" i="4"/>
  <c r="O308" i="4"/>
  <c r="N308" i="4"/>
  <c r="M308" i="4"/>
  <c r="H308" i="4"/>
  <c r="D308" i="4"/>
  <c r="Z307" i="4"/>
  <c r="Y307" i="4"/>
  <c r="X307" i="4"/>
  <c r="W307" i="4"/>
  <c r="O307" i="4"/>
  <c r="N307" i="4"/>
  <c r="M307" i="4"/>
  <c r="H307" i="4"/>
  <c r="D307" i="4"/>
  <c r="Z306" i="4"/>
  <c r="Y306" i="4"/>
  <c r="X306" i="4"/>
  <c r="W306" i="4"/>
  <c r="O306" i="4"/>
  <c r="N306" i="4"/>
  <c r="M306" i="4"/>
  <c r="H306" i="4"/>
  <c r="D306" i="4"/>
  <c r="Z305" i="4"/>
  <c r="Y305" i="4"/>
  <c r="X305" i="4"/>
  <c r="W305" i="4"/>
  <c r="O305" i="4"/>
  <c r="N305" i="4"/>
  <c r="M305" i="4"/>
  <c r="H305" i="4"/>
  <c r="D305" i="4"/>
  <c r="Z304" i="4"/>
  <c r="Y304" i="4"/>
  <c r="X304" i="4"/>
  <c r="W304" i="4"/>
  <c r="O304" i="4"/>
  <c r="N304" i="4"/>
  <c r="M304" i="4"/>
  <c r="H304" i="4"/>
  <c r="D304" i="4"/>
  <c r="Z303" i="4"/>
  <c r="Y303" i="4"/>
  <c r="X303" i="4"/>
  <c r="W303" i="4"/>
  <c r="O303" i="4"/>
  <c r="N303" i="4"/>
  <c r="M303" i="4"/>
  <c r="H303" i="4"/>
  <c r="D303" i="4"/>
  <c r="Z302" i="4"/>
  <c r="Y302" i="4"/>
  <c r="X302" i="4"/>
  <c r="W302" i="4"/>
  <c r="O302" i="4"/>
  <c r="N302" i="4"/>
  <c r="M302" i="4"/>
  <c r="H302" i="4"/>
  <c r="D302" i="4"/>
  <c r="Z301" i="4"/>
  <c r="Y301" i="4"/>
  <c r="X301" i="4"/>
  <c r="W301" i="4"/>
  <c r="O301" i="4"/>
  <c r="N301" i="4"/>
  <c r="M301" i="4"/>
  <c r="H301" i="4"/>
  <c r="D301" i="4"/>
  <c r="Z300" i="4"/>
  <c r="Y300" i="4"/>
  <c r="X300" i="4"/>
  <c r="W300" i="4"/>
  <c r="O300" i="4"/>
  <c r="N300" i="4"/>
  <c r="M300" i="4"/>
  <c r="H300" i="4"/>
  <c r="D300" i="4"/>
  <c r="Z299" i="4"/>
  <c r="Y299" i="4"/>
  <c r="X299" i="4"/>
  <c r="W299" i="4"/>
  <c r="O299" i="4"/>
  <c r="N299" i="4"/>
  <c r="M299" i="4"/>
  <c r="H299" i="4"/>
  <c r="D299" i="4"/>
  <c r="Z298" i="4"/>
  <c r="Y298" i="4"/>
  <c r="X298" i="4"/>
  <c r="W298" i="4"/>
  <c r="O298" i="4"/>
  <c r="N298" i="4"/>
  <c r="M298" i="4"/>
  <c r="H298" i="4"/>
  <c r="D298" i="4"/>
  <c r="Z297" i="4"/>
  <c r="Y297" i="4"/>
  <c r="X297" i="4"/>
  <c r="W297" i="4"/>
  <c r="O297" i="4"/>
  <c r="N297" i="4"/>
  <c r="M297" i="4"/>
  <c r="H297" i="4"/>
  <c r="D297" i="4"/>
  <c r="Z296" i="4"/>
  <c r="Y296" i="4"/>
  <c r="X296" i="4"/>
  <c r="W296" i="4"/>
  <c r="O296" i="4"/>
  <c r="N296" i="4"/>
  <c r="M296" i="4"/>
  <c r="H296" i="4"/>
  <c r="D296" i="4"/>
  <c r="Z295" i="4"/>
  <c r="Y295" i="4"/>
  <c r="X295" i="4"/>
  <c r="W295" i="4"/>
  <c r="O295" i="4"/>
  <c r="N295" i="4"/>
  <c r="M295" i="4"/>
  <c r="H295" i="4"/>
  <c r="D295" i="4"/>
  <c r="Z294" i="4"/>
  <c r="Y294" i="4"/>
  <c r="X294" i="4"/>
  <c r="W294" i="4"/>
  <c r="O294" i="4"/>
  <c r="N294" i="4"/>
  <c r="M294" i="4"/>
  <c r="H294" i="4"/>
  <c r="D294" i="4"/>
  <c r="Z293" i="4"/>
  <c r="Y293" i="4"/>
  <c r="X293" i="4"/>
  <c r="W293" i="4"/>
  <c r="O293" i="4"/>
  <c r="N293" i="4"/>
  <c r="M293" i="4"/>
  <c r="H293" i="4"/>
  <c r="D293" i="4"/>
  <c r="Z292" i="4"/>
  <c r="Y292" i="4"/>
  <c r="X292" i="4"/>
  <c r="W292" i="4"/>
  <c r="O292" i="4"/>
  <c r="N292" i="4"/>
  <c r="M292" i="4"/>
  <c r="H292" i="4"/>
  <c r="D292" i="4"/>
  <c r="Z291" i="4"/>
  <c r="Y291" i="4"/>
  <c r="X291" i="4"/>
  <c r="W291" i="4"/>
  <c r="O291" i="4"/>
  <c r="N291" i="4"/>
  <c r="M291" i="4"/>
  <c r="H291" i="4"/>
  <c r="D291" i="4"/>
  <c r="Z290" i="4"/>
  <c r="Y290" i="4"/>
  <c r="X290" i="4"/>
  <c r="W290" i="4"/>
  <c r="O290" i="4"/>
  <c r="N290" i="4"/>
  <c r="M290" i="4"/>
  <c r="H290" i="4"/>
  <c r="D290" i="4"/>
  <c r="Z289" i="4"/>
  <c r="Y289" i="4"/>
  <c r="X289" i="4"/>
  <c r="W289" i="4"/>
  <c r="O289" i="4"/>
  <c r="N289" i="4"/>
  <c r="M289" i="4"/>
  <c r="H289" i="4"/>
  <c r="D289" i="4"/>
  <c r="Z288" i="4"/>
  <c r="Y288" i="4"/>
  <c r="X288" i="4"/>
  <c r="W288" i="4"/>
  <c r="O288" i="4"/>
  <c r="N288" i="4"/>
  <c r="M288" i="4"/>
  <c r="H288" i="4"/>
  <c r="D288" i="4"/>
  <c r="Z287" i="4"/>
  <c r="Y287" i="4"/>
  <c r="X287" i="4"/>
  <c r="W287" i="4"/>
  <c r="O287" i="4"/>
  <c r="N287" i="4"/>
  <c r="M287" i="4"/>
  <c r="H287" i="4"/>
  <c r="D287" i="4"/>
  <c r="Z286" i="4"/>
  <c r="Y286" i="4"/>
  <c r="X286" i="4"/>
  <c r="W286" i="4"/>
  <c r="O286" i="4"/>
  <c r="N286" i="4"/>
  <c r="M286" i="4"/>
  <c r="H286" i="4"/>
  <c r="D286" i="4"/>
  <c r="Z285" i="4"/>
  <c r="Y285" i="4"/>
  <c r="X285" i="4"/>
  <c r="W285" i="4"/>
  <c r="O285" i="4"/>
  <c r="N285" i="4"/>
  <c r="M285" i="4"/>
  <c r="H285" i="4"/>
  <c r="D285" i="4"/>
  <c r="Z284" i="4"/>
  <c r="Y284" i="4"/>
  <c r="X284" i="4"/>
  <c r="W284" i="4"/>
  <c r="O284" i="4"/>
  <c r="N284" i="4"/>
  <c r="M284" i="4"/>
  <c r="H284" i="4"/>
  <c r="D284" i="4"/>
  <c r="Z283" i="4"/>
  <c r="Y283" i="4"/>
  <c r="X283" i="4"/>
  <c r="W283" i="4"/>
  <c r="O283" i="4"/>
  <c r="N283" i="4"/>
  <c r="M283" i="4"/>
  <c r="H283" i="4"/>
  <c r="D283" i="4"/>
  <c r="Z282" i="4"/>
  <c r="Y282" i="4"/>
  <c r="X282" i="4"/>
  <c r="W282" i="4"/>
  <c r="O282" i="4"/>
  <c r="N282" i="4"/>
  <c r="M282" i="4"/>
  <c r="H282" i="4"/>
  <c r="D282" i="4"/>
  <c r="Z281" i="4"/>
  <c r="Y281" i="4"/>
  <c r="X281" i="4"/>
  <c r="W281" i="4"/>
  <c r="O281" i="4"/>
  <c r="N281" i="4"/>
  <c r="M281" i="4"/>
  <c r="H281" i="4"/>
  <c r="D281" i="4"/>
  <c r="Z280" i="4"/>
  <c r="Y280" i="4"/>
  <c r="X280" i="4"/>
  <c r="W280" i="4"/>
  <c r="O280" i="4"/>
  <c r="N280" i="4"/>
  <c r="M280" i="4"/>
  <c r="H280" i="4"/>
  <c r="D280" i="4"/>
  <c r="Z279" i="4"/>
  <c r="Y279" i="4"/>
  <c r="X279" i="4"/>
  <c r="W279" i="4"/>
  <c r="O279" i="4"/>
  <c r="N279" i="4"/>
  <c r="M279" i="4"/>
  <c r="H279" i="4"/>
  <c r="D279" i="4"/>
  <c r="Z278" i="4"/>
  <c r="Y278" i="4"/>
  <c r="X278" i="4"/>
  <c r="W278" i="4"/>
  <c r="O278" i="4"/>
  <c r="N278" i="4"/>
  <c r="M278" i="4"/>
  <c r="H278" i="4"/>
  <c r="D278" i="4"/>
  <c r="Z277" i="4"/>
  <c r="Y277" i="4"/>
  <c r="X277" i="4"/>
  <c r="W277" i="4"/>
  <c r="O277" i="4"/>
  <c r="N277" i="4"/>
  <c r="M277" i="4"/>
  <c r="H277" i="4"/>
  <c r="D277" i="4"/>
  <c r="Z276" i="4"/>
  <c r="Y276" i="4"/>
  <c r="X276" i="4"/>
  <c r="W276" i="4"/>
  <c r="O276" i="4"/>
  <c r="N276" i="4"/>
  <c r="M276" i="4"/>
  <c r="H276" i="4"/>
  <c r="D276" i="4"/>
  <c r="Z275" i="4"/>
  <c r="Y275" i="4"/>
  <c r="X275" i="4"/>
  <c r="W275" i="4"/>
  <c r="O275" i="4"/>
  <c r="N275" i="4"/>
  <c r="M275" i="4"/>
  <c r="H275" i="4"/>
  <c r="D275" i="4"/>
  <c r="Z274" i="4"/>
  <c r="Y274" i="4"/>
  <c r="X274" i="4"/>
  <c r="W274" i="4"/>
  <c r="O274" i="4"/>
  <c r="N274" i="4"/>
  <c r="M274" i="4"/>
  <c r="H274" i="4"/>
  <c r="D274" i="4"/>
  <c r="Z273" i="4"/>
  <c r="Y273" i="4"/>
  <c r="X273" i="4"/>
  <c r="W273" i="4"/>
  <c r="O273" i="4"/>
  <c r="N273" i="4"/>
  <c r="M273" i="4"/>
  <c r="H273" i="4"/>
  <c r="D273" i="4"/>
  <c r="Z272" i="4"/>
  <c r="Y272" i="4"/>
  <c r="X272" i="4"/>
  <c r="W272" i="4"/>
  <c r="O272" i="4"/>
  <c r="N272" i="4"/>
  <c r="M272" i="4"/>
  <c r="H272" i="4"/>
  <c r="D272" i="4"/>
  <c r="Z271" i="4"/>
  <c r="Y271" i="4"/>
  <c r="X271" i="4"/>
  <c r="W271" i="4"/>
  <c r="O271" i="4"/>
  <c r="N271" i="4"/>
  <c r="M271" i="4"/>
  <c r="H271" i="4"/>
  <c r="D271" i="4"/>
  <c r="Z270" i="4"/>
  <c r="Y270" i="4"/>
  <c r="X270" i="4"/>
  <c r="W270" i="4"/>
  <c r="O270" i="4"/>
  <c r="N270" i="4"/>
  <c r="M270" i="4"/>
  <c r="H270" i="4"/>
  <c r="D270" i="4"/>
  <c r="Z269" i="4"/>
  <c r="Y269" i="4"/>
  <c r="X269" i="4"/>
  <c r="W269" i="4"/>
  <c r="O269" i="4"/>
  <c r="N269" i="4"/>
  <c r="M269" i="4"/>
  <c r="H269" i="4"/>
  <c r="D269" i="4"/>
  <c r="Z268" i="4"/>
  <c r="Y268" i="4"/>
  <c r="X268" i="4"/>
  <c r="W268" i="4"/>
  <c r="O268" i="4"/>
  <c r="N268" i="4"/>
  <c r="M268" i="4"/>
  <c r="H268" i="4"/>
  <c r="D268" i="4"/>
  <c r="Z267" i="4"/>
  <c r="Y267" i="4"/>
  <c r="X267" i="4"/>
  <c r="W267" i="4"/>
  <c r="O267" i="4"/>
  <c r="N267" i="4"/>
  <c r="M267" i="4"/>
  <c r="H267" i="4"/>
  <c r="D267" i="4"/>
  <c r="Z266" i="4"/>
  <c r="Y266" i="4"/>
  <c r="X266" i="4"/>
  <c r="W266" i="4"/>
  <c r="O266" i="4"/>
  <c r="N266" i="4"/>
  <c r="M266" i="4"/>
  <c r="H266" i="4"/>
  <c r="D266" i="4"/>
  <c r="Z265" i="4"/>
  <c r="Y265" i="4"/>
  <c r="X265" i="4"/>
  <c r="W265" i="4"/>
  <c r="O265" i="4"/>
  <c r="N265" i="4"/>
  <c r="M265" i="4"/>
  <c r="H265" i="4"/>
  <c r="D265" i="4"/>
  <c r="Z264" i="4"/>
  <c r="Y264" i="4"/>
  <c r="X264" i="4"/>
  <c r="W264" i="4"/>
  <c r="O264" i="4"/>
  <c r="N264" i="4"/>
  <c r="M264" i="4"/>
  <c r="H264" i="4"/>
  <c r="D264" i="4"/>
  <c r="Z263" i="4"/>
  <c r="Y263" i="4"/>
  <c r="X263" i="4"/>
  <c r="W263" i="4"/>
  <c r="O263" i="4"/>
  <c r="N263" i="4"/>
  <c r="M263" i="4"/>
  <c r="H263" i="4"/>
  <c r="D263" i="4"/>
  <c r="Z262" i="4"/>
  <c r="Y262" i="4"/>
  <c r="X262" i="4"/>
  <c r="W262" i="4"/>
  <c r="O262" i="4"/>
  <c r="N262" i="4"/>
  <c r="M262" i="4"/>
  <c r="H262" i="4"/>
  <c r="D262" i="4"/>
  <c r="Z261" i="4"/>
  <c r="Y261" i="4"/>
  <c r="X261" i="4"/>
  <c r="W261" i="4"/>
  <c r="O261" i="4"/>
  <c r="N261" i="4"/>
  <c r="M261" i="4"/>
  <c r="H261" i="4"/>
  <c r="D261" i="4"/>
  <c r="Z260" i="4"/>
  <c r="Y260" i="4"/>
  <c r="X260" i="4"/>
  <c r="W260" i="4"/>
  <c r="O260" i="4"/>
  <c r="N260" i="4"/>
  <c r="M260" i="4"/>
  <c r="H260" i="4"/>
  <c r="D260" i="4"/>
  <c r="Z259" i="4"/>
  <c r="Y259" i="4"/>
  <c r="X259" i="4"/>
  <c r="W259" i="4"/>
  <c r="O259" i="4"/>
  <c r="N259" i="4"/>
  <c r="M259" i="4"/>
  <c r="H259" i="4"/>
  <c r="D259" i="4"/>
  <c r="Z258" i="4"/>
  <c r="Y258" i="4"/>
  <c r="X258" i="4"/>
  <c r="W258" i="4"/>
  <c r="O258" i="4"/>
  <c r="N258" i="4"/>
  <c r="M258" i="4"/>
  <c r="H258" i="4"/>
  <c r="D258" i="4"/>
  <c r="Z257" i="4"/>
  <c r="Y257" i="4"/>
  <c r="X257" i="4"/>
  <c r="W257" i="4"/>
  <c r="O257" i="4"/>
  <c r="N257" i="4"/>
  <c r="M257" i="4"/>
  <c r="H257" i="4"/>
  <c r="D257" i="4"/>
  <c r="Z256" i="4"/>
  <c r="Y256" i="4"/>
  <c r="X256" i="4"/>
  <c r="W256" i="4"/>
  <c r="O256" i="4"/>
  <c r="N256" i="4"/>
  <c r="M256" i="4"/>
  <c r="H256" i="4"/>
  <c r="D256" i="4"/>
  <c r="Z255" i="4"/>
  <c r="Y255" i="4"/>
  <c r="X255" i="4"/>
  <c r="W255" i="4"/>
  <c r="O255" i="4"/>
  <c r="N255" i="4"/>
  <c r="M255" i="4"/>
  <c r="H255" i="4"/>
  <c r="D255" i="4"/>
  <c r="Z254" i="4"/>
  <c r="Y254" i="4"/>
  <c r="X254" i="4"/>
  <c r="W254" i="4"/>
  <c r="O254" i="4"/>
  <c r="N254" i="4"/>
  <c r="M254" i="4"/>
  <c r="H254" i="4"/>
  <c r="D254" i="4"/>
  <c r="Z253" i="4"/>
  <c r="Y253" i="4"/>
  <c r="X253" i="4"/>
  <c r="W253" i="4"/>
  <c r="O253" i="4"/>
  <c r="N253" i="4"/>
  <c r="M253" i="4"/>
  <c r="H253" i="4"/>
  <c r="D253" i="4"/>
  <c r="Z252" i="4"/>
  <c r="Y252" i="4"/>
  <c r="X252" i="4"/>
  <c r="W252" i="4"/>
  <c r="O252" i="4"/>
  <c r="N252" i="4"/>
  <c r="M252" i="4"/>
  <c r="H252" i="4"/>
  <c r="D252" i="4"/>
  <c r="Z251" i="4"/>
  <c r="Y251" i="4"/>
  <c r="X251" i="4"/>
  <c r="W251" i="4"/>
  <c r="O251" i="4"/>
  <c r="N251" i="4"/>
  <c r="M251" i="4"/>
  <c r="H251" i="4"/>
  <c r="D251" i="4"/>
  <c r="Z250" i="4"/>
  <c r="Y250" i="4"/>
  <c r="X250" i="4"/>
  <c r="W250" i="4"/>
  <c r="O250" i="4"/>
  <c r="N250" i="4"/>
  <c r="M250" i="4"/>
  <c r="H250" i="4"/>
  <c r="D250" i="4"/>
  <c r="Z249" i="4"/>
  <c r="Y249" i="4"/>
  <c r="X249" i="4"/>
  <c r="W249" i="4"/>
  <c r="O249" i="4"/>
  <c r="N249" i="4"/>
  <c r="M249" i="4"/>
  <c r="H249" i="4"/>
  <c r="D249" i="4"/>
  <c r="Z248" i="4"/>
  <c r="Y248" i="4"/>
  <c r="X248" i="4"/>
  <c r="W248" i="4"/>
  <c r="O248" i="4"/>
  <c r="N248" i="4"/>
  <c r="M248" i="4"/>
  <c r="H248" i="4"/>
  <c r="D248" i="4"/>
  <c r="Z247" i="4"/>
  <c r="Y247" i="4"/>
  <c r="X247" i="4"/>
  <c r="W247" i="4"/>
  <c r="O247" i="4"/>
  <c r="N247" i="4"/>
  <c r="M247" i="4"/>
  <c r="H247" i="4"/>
  <c r="D247" i="4"/>
  <c r="Z246" i="4"/>
  <c r="Y246" i="4"/>
  <c r="X246" i="4"/>
  <c r="W246" i="4"/>
  <c r="O246" i="4"/>
  <c r="N246" i="4"/>
  <c r="M246" i="4"/>
  <c r="H246" i="4"/>
  <c r="D246" i="4"/>
  <c r="Z245" i="4"/>
  <c r="Y245" i="4"/>
  <c r="X245" i="4"/>
  <c r="W245" i="4"/>
  <c r="O245" i="4"/>
  <c r="N245" i="4"/>
  <c r="M245" i="4"/>
  <c r="H245" i="4"/>
  <c r="D245" i="4"/>
  <c r="Z244" i="4"/>
  <c r="Y244" i="4"/>
  <c r="X244" i="4"/>
  <c r="W244" i="4"/>
  <c r="O244" i="4"/>
  <c r="N244" i="4"/>
  <c r="M244" i="4"/>
  <c r="H244" i="4"/>
  <c r="D244" i="4"/>
  <c r="Z243" i="4"/>
  <c r="Y243" i="4"/>
  <c r="X243" i="4"/>
  <c r="W243" i="4"/>
  <c r="O243" i="4"/>
  <c r="N243" i="4"/>
  <c r="M243" i="4"/>
  <c r="H243" i="4"/>
  <c r="D243" i="4"/>
  <c r="Z242" i="4"/>
  <c r="Y242" i="4"/>
  <c r="X242" i="4"/>
  <c r="W242" i="4"/>
  <c r="O242" i="4"/>
  <c r="N242" i="4"/>
  <c r="M242" i="4"/>
  <c r="H242" i="4"/>
  <c r="D242" i="4"/>
  <c r="Z241" i="4"/>
  <c r="Y241" i="4"/>
  <c r="X241" i="4"/>
  <c r="W241" i="4"/>
  <c r="O241" i="4"/>
  <c r="N241" i="4"/>
  <c r="M241" i="4"/>
  <c r="H241" i="4"/>
  <c r="D241" i="4"/>
  <c r="Z240" i="4"/>
  <c r="Y240" i="4"/>
  <c r="X240" i="4"/>
  <c r="W240" i="4"/>
  <c r="O240" i="4"/>
  <c r="N240" i="4"/>
  <c r="M240" i="4"/>
  <c r="H240" i="4"/>
  <c r="D240" i="4"/>
  <c r="Z239" i="4"/>
  <c r="Y239" i="4"/>
  <c r="X239" i="4"/>
  <c r="W239" i="4"/>
  <c r="O239" i="4"/>
  <c r="N239" i="4"/>
  <c r="M239" i="4"/>
  <c r="H239" i="4"/>
  <c r="D239" i="4"/>
  <c r="Z238" i="4"/>
  <c r="Y238" i="4"/>
  <c r="X238" i="4"/>
  <c r="W238" i="4"/>
  <c r="O238" i="4"/>
  <c r="N238" i="4"/>
  <c r="M238" i="4"/>
  <c r="H238" i="4"/>
  <c r="D238" i="4"/>
  <c r="Z237" i="4"/>
  <c r="Y237" i="4"/>
  <c r="X237" i="4"/>
  <c r="W237" i="4"/>
  <c r="O237" i="4"/>
  <c r="N237" i="4"/>
  <c r="M237" i="4"/>
  <c r="H237" i="4"/>
  <c r="D237" i="4"/>
  <c r="Z236" i="4"/>
  <c r="Y236" i="4"/>
  <c r="X236" i="4"/>
  <c r="W236" i="4"/>
  <c r="O236" i="4"/>
  <c r="N236" i="4"/>
  <c r="M236" i="4"/>
  <c r="H236" i="4"/>
  <c r="D236" i="4"/>
  <c r="Z235" i="4"/>
  <c r="Y235" i="4"/>
  <c r="X235" i="4"/>
  <c r="W235" i="4"/>
  <c r="O235" i="4"/>
  <c r="N235" i="4"/>
  <c r="M235" i="4"/>
  <c r="H235" i="4"/>
  <c r="D235" i="4"/>
  <c r="Z234" i="4"/>
  <c r="Y234" i="4"/>
  <c r="X234" i="4"/>
  <c r="W234" i="4"/>
  <c r="O234" i="4"/>
  <c r="N234" i="4"/>
  <c r="M234" i="4"/>
  <c r="H234" i="4"/>
  <c r="D234" i="4"/>
  <c r="Z233" i="4"/>
  <c r="Y233" i="4"/>
  <c r="X233" i="4"/>
  <c r="W233" i="4"/>
  <c r="O233" i="4"/>
  <c r="N233" i="4"/>
  <c r="M233" i="4"/>
  <c r="H233" i="4"/>
  <c r="D233" i="4"/>
  <c r="Z232" i="4"/>
  <c r="Y232" i="4"/>
  <c r="X232" i="4"/>
  <c r="W232" i="4"/>
  <c r="O232" i="4"/>
  <c r="N232" i="4"/>
  <c r="M232" i="4"/>
  <c r="H232" i="4"/>
  <c r="D232" i="4"/>
  <c r="Z231" i="4"/>
  <c r="Y231" i="4"/>
  <c r="X231" i="4"/>
  <c r="W231" i="4"/>
  <c r="O231" i="4"/>
  <c r="N231" i="4"/>
  <c r="M231" i="4"/>
  <c r="H231" i="4"/>
  <c r="D231" i="4"/>
  <c r="Z230" i="4"/>
  <c r="Y230" i="4"/>
  <c r="X230" i="4"/>
  <c r="W230" i="4"/>
  <c r="O230" i="4"/>
  <c r="N230" i="4"/>
  <c r="M230" i="4"/>
  <c r="H230" i="4"/>
  <c r="D230" i="4"/>
  <c r="Z229" i="4"/>
  <c r="Y229" i="4"/>
  <c r="X229" i="4"/>
  <c r="W229" i="4"/>
  <c r="O229" i="4"/>
  <c r="N229" i="4"/>
  <c r="M229" i="4"/>
  <c r="H229" i="4"/>
  <c r="D229" i="4"/>
  <c r="Z228" i="4"/>
  <c r="Y228" i="4"/>
  <c r="X228" i="4"/>
  <c r="W228" i="4"/>
  <c r="O228" i="4"/>
  <c r="N228" i="4"/>
  <c r="M228" i="4"/>
  <c r="H228" i="4"/>
  <c r="D228" i="4"/>
  <c r="Z227" i="4"/>
  <c r="Y227" i="4"/>
  <c r="X227" i="4"/>
  <c r="W227" i="4"/>
  <c r="O227" i="4"/>
  <c r="N227" i="4"/>
  <c r="M227" i="4"/>
  <c r="H227" i="4"/>
  <c r="D227" i="4"/>
  <c r="Z226" i="4"/>
  <c r="Y226" i="4"/>
  <c r="X226" i="4"/>
  <c r="W226" i="4"/>
  <c r="O226" i="4"/>
  <c r="N226" i="4"/>
  <c r="M226" i="4"/>
  <c r="H226" i="4"/>
  <c r="D226" i="4"/>
  <c r="Z225" i="4"/>
  <c r="Y225" i="4"/>
  <c r="X225" i="4"/>
  <c r="W225" i="4"/>
  <c r="O225" i="4"/>
  <c r="N225" i="4"/>
  <c r="M225" i="4"/>
  <c r="H225" i="4"/>
  <c r="D225" i="4"/>
  <c r="Z224" i="4"/>
  <c r="Y224" i="4"/>
  <c r="X224" i="4"/>
  <c r="W224" i="4"/>
  <c r="O224" i="4"/>
  <c r="N224" i="4"/>
  <c r="M224" i="4"/>
  <c r="H224" i="4"/>
  <c r="D224" i="4"/>
  <c r="Z223" i="4"/>
  <c r="Y223" i="4"/>
  <c r="X223" i="4"/>
  <c r="W223" i="4"/>
  <c r="O223" i="4"/>
  <c r="N223" i="4"/>
  <c r="M223" i="4"/>
  <c r="H223" i="4"/>
  <c r="D223" i="4"/>
  <c r="Z222" i="4"/>
  <c r="Y222" i="4"/>
  <c r="X222" i="4"/>
  <c r="W222" i="4"/>
  <c r="O222" i="4"/>
  <c r="N222" i="4"/>
  <c r="M222" i="4"/>
  <c r="H222" i="4"/>
  <c r="D222" i="4"/>
  <c r="Z221" i="4"/>
  <c r="Y221" i="4"/>
  <c r="X221" i="4"/>
  <c r="W221" i="4"/>
  <c r="O221" i="4"/>
  <c r="N221" i="4"/>
  <c r="M221" i="4"/>
  <c r="H221" i="4"/>
  <c r="D221" i="4"/>
  <c r="Z220" i="4"/>
  <c r="Y220" i="4"/>
  <c r="X220" i="4"/>
  <c r="W220" i="4"/>
  <c r="O220" i="4"/>
  <c r="N220" i="4"/>
  <c r="M220" i="4"/>
  <c r="H220" i="4"/>
  <c r="D220" i="4"/>
  <c r="Z219" i="4"/>
  <c r="Y219" i="4"/>
  <c r="X219" i="4"/>
  <c r="W219" i="4"/>
  <c r="O219" i="4"/>
  <c r="N219" i="4"/>
  <c r="M219" i="4"/>
  <c r="H219" i="4"/>
  <c r="D219" i="4"/>
  <c r="Z218" i="4"/>
  <c r="Y218" i="4"/>
  <c r="X218" i="4"/>
  <c r="W218" i="4"/>
  <c r="O218" i="4"/>
  <c r="N218" i="4"/>
  <c r="M218" i="4"/>
  <c r="H218" i="4"/>
  <c r="D218" i="4"/>
  <c r="Z217" i="4"/>
  <c r="Y217" i="4"/>
  <c r="X217" i="4"/>
  <c r="W217" i="4"/>
  <c r="O217" i="4"/>
  <c r="N217" i="4"/>
  <c r="M217" i="4"/>
  <c r="H217" i="4"/>
  <c r="D217" i="4"/>
  <c r="Z216" i="4"/>
  <c r="Y216" i="4"/>
  <c r="X216" i="4"/>
  <c r="W216" i="4"/>
  <c r="O216" i="4"/>
  <c r="N216" i="4"/>
  <c r="M216" i="4"/>
  <c r="H216" i="4"/>
  <c r="D216" i="4"/>
  <c r="Z215" i="4"/>
  <c r="Y215" i="4"/>
  <c r="X215" i="4"/>
  <c r="W215" i="4"/>
  <c r="O215" i="4"/>
  <c r="N215" i="4"/>
  <c r="M215" i="4"/>
  <c r="H215" i="4"/>
  <c r="D215" i="4"/>
  <c r="Z214" i="4"/>
  <c r="Y214" i="4"/>
  <c r="X214" i="4"/>
  <c r="W214" i="4"/>
  <c r="O214" i="4"/>
  <c r="N214" i="4"/>
  <c r="M214" i="4"/>
  <c r="H214" i="4"/>
  <c r="D214" i="4"/>
  <c r="Z213" i="4"/>
  <c r="Y213" i="4"/>
  <c r="X213" i="4"/>
  <c r="W213" i="4"/>
  <c r="O213" i="4"/>
  <c r="N213" i="4"/>
  <c r="M213" i="4"/>
  <c r="H213" i="4"/>
  <c r="D213" i="4"/>
  <c r="Z212" i="4"/>
  <c r="Y212" i="4"/>
  <c r="X212" i="4"/>
  <c r="W212" i="4"/>
  <c r="O212" i="4"/>
  <c r="N212" i="4"/>
  <c r="M212" i="4"/>
  <c r="H212" i="4"/>
  <c r="D212" i="4"/>
  <c r="Z211" i="4"/>
  <c r="Y211" i="4"/>
  <c r="X211" i="4"/>
  <c r="W211" i="4"/>
  <c r="O211" i="4"/>
  <c r="N211" i="4"/>
  <c r="M211" i="4"/>
  <c r="H211" i="4"/>
  <c r="D211" i="4"/>
  <c r="Z210" i="4"/>
  <c r="Y210" i="4"/>
  <c r="X210" i="4"/>
  <c r="W210" i="4"/>
  <c r="O210" i="4"/>
  <c r="N210" i="4"/>
  <c r="M210" i="4"/>
  <c r="H210" i="4"/>
  <c r="D210" i="4"/>
  <c r="Z209" i="4"/>
  <c r="Y209" i="4"/>
  <c r="X209" i="4"/>
  <c r="W209" i="4"/>
  <c r="O209" i="4"/>
  <c r="N209" i="4"/>
  <c r="M209" i="4"/>
  <c r="H209" i="4"/>
  <c r="D209" i="4"/>
  <c r="Z208" i="4"/>
  <c r="Y208" i="4"/>
  <c r="X208" i="4"/>
  <c r="W208" i="4"/>
  <c r="O208" i="4"/>
  <c r="N208" i="4"/>
  <c r="M208" i="4"/>
  <c r="H208" i="4"/>
  <c r="D208" i="4"/>
  <c r="Z207" i="4"/>
  <c r="Y207" i="4"/>
  <c r="X207" i="4"/>
  <c r="W207" i="4"/>
  <c r="O207" i="4"/>
  <c r="N207" i="4"/>
  <c r="M207" i="4"/>
  <c r="H207" i="4"/>
  <c r="D207" i="4"/>
  <c r="Z206" i="4"/>
  <c r="Y206" i="4"/>
  <c r="X206" i="4"/>
  <c r="W206" i="4"/>
  <c r="O206" i="4"/>
  <c r="N206" i="4"/>
  <c r="M206" i="4"/>
  <c r="H206" i="4"/>
  <c r="D206" i="4"/>
  <c r="Z205" i="4"/>
  <c r="Y205" i="4"/>
  <c r="X205" i="4"/>
  <c r="W205" i="4"/>
  <c r="O205" i="4"/>
  <c r="N205" i="4"/>
  <c r="M205" i="4"/>
  <c r="H205" i="4"/>
  <c r="D205" i="4"/>
  <c r="Z204" i="4"/>
  <c r="Y204" i="4"/>
  <c r="X204" i="4"/>
  <c r="W204" i="4"/>
  <c r="O204" i="4"/>
  <c r="N204" i="4"/>
  <c r="M204" i="4"/>
  <c r="H204" i="4"/>
  <c r="D204" i="4"/>
  <c r="Z203" i="4"/>
  <c r="Y203" i="4"/>
  <c r="X203" i="4"/>
  <c r="W203" i="4"/>
  <c r="O203" i="4"/>
  <c r="N203" i="4"/>
  <c r="M203" i="4"/>
  <c r="H203" i="4"/>
  <c r="D203" i="4"/>
  <c r="Z202" i="4"/>
  <c r="Y202" i="4"/>
  <c r="X202" i="4"/>
  <c r="W202" i="4"/>
  <c r="O202" i="4"/>
  <c r="N202" i="4"/>
  <c r="M202" i="4"/>
  <c r="H202" i="4"/>
  <c r="D202" i="4"/>
  <c r="Z201" i="4"/>
  <c r="Y201" i="4"/>
  <c r="X201" i="4"/>
  <c r="W201" i="4"/>
  <c r="O201" i="4"/>
  <c r="N201" i="4"/>
  <c r="M201" i="4"/>
  <c r="H201" i="4"/>
  <c r="D201" i="4"/>
  <c r="Z200" i="4"/>
  <c r="Y200" i="4"/>
  <c r="X200" i="4"/>
  <c r="W200" i="4"/>
  <c r="O200" i="4"/>
  <c r="N200" i="4"/>
  <c r="M200" i="4"/>
  <c r="H200" i="4"/>
  <c r="D200" i="4"/>
  <c r="Z199" i="4"/>
  <c r="Y199" i="4"/>
  <c r="X199" i="4"/>
  <c r="W199" i="4"/>
  <c r="O199" i="4"/>
  <c r="N199" i="4"/>
  <c r="M199" i="4"/>
  <c r="H199" i="4"/>
  <c r="D199" i="4"/>
  <c r="Z198" i="4"/>
  <c r="Y198" i="4"/>
  <c r="X198" i="4"/>
  <c r="W198" i="4"/>
  <c r="O198" i="4"/>
  <c r="N198" i="4"/>
  <c r="M198" i="4"/>
  <c r="H198" i="4"/>
  <c r="D198" i="4"/>
  <c r="Z197" i="4"/>
  <c r="Y197" i="4"/>
  <c r="X197" i="4"/>
  <c r="W197" i="4"/>
  <c r="O197" i="4"/>
  <c r="N197" i="4"/>
  <c r="M197" i="4"/>
  <c r="H197" i="4"/>
  <c r="D197" i="4"/>
  <c r="Z196" i="4"/>
  <c r="Y196" i="4"/>
  <c r="X196" i="4"/>
  <c r="W196" i="4"/>
  <c r="O196" i="4"/>
  <c r="N196" i="4"/>
  <c r="M196" i="4"/>
  <c r="H196" i="4"/>
  <c r="D196" i="4"/>
  <c r="Z195" i="4"/>
  <c r="Y195" i="4"/>
  <c r="X195" i="4"/>
  <c r="W195" i="4"/>
  <c r="O195" i="4"/>
  <c r="N195" i="4"/>
  <c r="M195" i="4"/>
  <c r="H195" i="4"/>
  <c r="D195" i="4"/>
  <c r="Z194" i="4"/>
  <c r="Y194" i="4"/>
  <c r="X194" i="4"/>
  <c r="W194" i="4"/>
  <c r="O194" i="4"/>
  <c r="N194" i="4"/>
  <c r="M194" i="4"/>
  <c r="H194" i="4"/>
  <c r="D194" i="4"/>
  <c r="Z193" i="4"/>
  <c r="Y193" i="4"/>
  <c r="X193" i="4"/>
  <c r="W193" i="4"/>
  <c r="O193" i="4"/>
  <c r="N193" i="4"/>
  <c r="M193" i="4"/>
  <c r="H193" i="4"/>
  <c r="D193" i="4"/>
  <c r="Z192" i="4"/>
  <c r="Y192" i="4"/>
  <c r="X192" i="4"/>
  <c r="W192" i="4"/>
  <c r="O192" i="4"/>
  <c r="N192" i="4"/>
  <c r="M192" i="4"/>
  <c r="H192" i="4"/>
  <c r="D192" i="4"/>
  <c r="Z191" i="4"/>
  <c r="Y191" i="4"/>
  <c r="X191" i="4"/>
  <c r="W191" i="4"/>
  <c r="O191" i="4"/>
  <c r="N191" i="4"/>
  <c r="M191" i="4"/>
  <c r="H191" i="4"/>
  <c r="D191" i="4"/>
  <c r="Z190" i="4"/>
  <c r="Y190" i="4"/>
  <c r="X190" i="4"/>
  <c r="W190" i="4"/>
  <c r="O190" i="4"/>
  <c r="N190" i="4"/>
  <c r="M190" i="4"/>
  <c r="H190" i="4"/>
  <c r="D190" i="4"/>
  <c r="Z189" i="4"/>
  <c r="Y189" i="4"/>
  <c r="X189" i="4"/>
  <c r="W189" i="4"/>
  <c r="O189" i="4"/>
  <c r="N189" i="4"/>
  <c r="M189" i="4"/>
  <c r="H189" i="4"/>
  <c r="D189" i="4"/>
  <c r="Z188" i="4"/>
  <c r="Y188" i="4"/>
  <c r="X188" i="4"/>
  <c r="W188" i="4"/>
  <c r="O188" i="4"/>
  <c r="N188" i="4"/>
  <c r="M188" i="4"/>
  <c r="H188" i="4"/>
  <c r="D188" i="4"/>
  <c r="Z187" i="4"/>
  <c r="Y187" i="4"/>
  <c r="X187" i="4"/>
  <c r="W187" i="4"/>
  <c r="O187" i="4"/>
  <c r="N187" i="4"/>
  <c r="M187" i="4"/>
  <c r="H187" i="4"/>
  <c r="D187" i="4"/>
  <c r="Z186" i="4"/>
  <c r="Y186" i="4"/>
  <c r="X186" i="4"/>
  <c r="W186" i="4"/>
  <c r="O186" i="4"/>
  <c r="N186" i="4"/>
  <c r="M186" i="4"/>
  <c r="H186" i="4"/>
  <c r="D186" i="4"/>
  <c r="Z185" i="4"/>
  <c r="Y185" i="4"/>
  <c r="X185" i="4"/>
  <c r="W185" i="4"/>
  <c r="O185" i="4"/>
  <c r="N185" i="4"/>
  <c r="M185" i="4"/>
  <c r="H185" i="4"/>
  <c r="D185" i="4"/>
  <c r="Z184" i="4"/>
  <c r="Y184" i="4"/>
  <c r="X184" i="4"/>
  <c r="W184" i="4"/>
  <c r="O184" i="4"/>
  <c r="N184" i="4"/>
  <c r="M184" i="4"/>
  <c r="H184" i="4"/>
  <c r="D184" i="4"/>
  <c r="Z183" i="4"/>
  <c r="Y183" i="4"/>
  <c r="X183" i="4"/>
  <c r="W183" i="4"/>
  <c r="O183" i="4"/>
  <c r="N183" i="4"/>
  <c r="M183" i="4"/>
  <c r="H183" i="4"/>
  <c r="D183" i="4"/>
  <c r="Z182" i="4"/>
  <c r="Y182" i="4"/>
  <c r="X182" i="4"/>
  <c r="W182" i="4"/>
  <c r="O182" i="4"/>
  <c r="N182" i="4"/>
  <c r="M182" i="4"/>
  <c r="H182" i="4"/>
  <c r="D182" i="4"/>
  <c r="Z181" i="4"/>
  <c r="Y181" i="4"/>
  <c r="X181" i="4"/>
  <c r="W181" i="4"/>
  <c r="O181" i="4"/>
  <c r="N181" i="4"/>
  <c r="M181" i="4"/>
  <c r="H181" i="4"/>
  <c r="D181" i="4"/>
  <c r="Z180" i="4"/>
  <c r="Y180" i="4"/>
  <c r="X180" i="4"/>
  <c r="W180" i="4"/>
  <c r="O180" i="4"/>
  <c r="N180" i="4"/>
  <c r="M180" i="4"/>
  <c r="H180" i="4"/>
  <c r="D180" i="4"/>
  <c r="Z179" i="4"/>
  <c r="Y179" i="4"/>
  <c r="X179" i="4"/>
  <c r="W179" i="4"/>
  <c r="O179" i="4"/>
  <c r="N179" i="4"/>
  <c r="M179" i="4"/>
  <c r="H179" i="4"/>
  <c r="D179" i="4"/>
  <c r="Z178" i="4"/>
  <c r="Y178" i="4"/>
  <c r="X178" i="4"/>
  <c r="W178" i="4"/>
  <c r="O178" i="4"/>
  <c r="N178" i="4"/>
  <c r="M178" i="4"/>
  <c r="H178" i="4"/>
  <c r="D178" i="4"/>
  <c r="Z177" i="4"/>
  <c r="Y177" i="4"/>
  <c r="X177" i="4"/>
  <c r="W177" i="4"/>
  <c r="O177" i="4"/>
  <c r="N177" i="4"/>
  <c r="M177" i="4"/>
  <c r="H177" i="4"/>
  <c r="D177" i="4"/>
  <c r="Z176" i="4"/>
  <c r="Y176" i="4"/>
  <c r="X176" i="4"/>
  <c r="W176" i="4"/>
  <c r="O176" i="4"/>
  <c r="N176" i="4"/>
  <c r="M176" i="4"/>
  <c r="H176" i="4"/>
  <c r="D176" i="4"/>
  <c r="Z175" i="4"/>
  <c r="Y175" i="4"/>
  <c r="X175" i="4"/>
  <c r="W175" i="4"/>
  <c r="O175" i="4"/>
  <c r="N175" i="4"/>
  <c r="M175" i="4"/>
  <c r="H175" i="4"/>
  <c r="D175" i="4"/>
  <c r="Z174" i="4"/>
  <c r="Y174" i="4"/>
  <c r="X174" i="4"/>
  <c r="W174" i="4"/>
  <c r="O174" i="4"/>
  <c r="N174" i="4"/>
  <c r="M174" i="4"/>
  <c r="H174" i="4"/>
  <c r="D174" i="4"/>
  <c r="Z173" i="4"/>
  <c r="Y173" i="4"/>
  <c r="X173" i="4"/>
  <c r="W173" i="4"/>
  <c r="O173" i="4"/>
  <c r="N173" i="4"/>
  <c r="M173" i="4"/>
  <c r="H173" i="4"/>
  <c r="D173" i="4"/>
  <c r="Z172" i="4"/>
  <c r="Y172" i="4"/>
  <c r="X172" i="4"/>
  <c r="W172" i="4"/>
  <c r="O172" i="4"/>
  <c r="N172" i="4"/>
  <c r="M172" i="4"/>
  <c r="H172" i="4"/>
  <c r="D172" i="4"/>
  <c r="Z171" i="4"/>
  <c r="Y171" i="4"/>
  <c r="X171" i="4"/>
  <c r="W171" i="4"/>
  <c r="O171" i="4"/>
  <c r="N171" i="4"/>
  <c r="M171" i="4"/>
  <c r="H171" i="4"/>
  <c r="D171" i="4"/>
  <c r="Z170" i="4"/>
  <c r="Y170" i="4"/>
  <c r="X170" i="4"/>
  <c r="W170" i="4"/>
  <c r="O170" i="4"/>
  <c r="N170" i="4"/>
  <c r="M170" i="4"/>
  <c r="H170" i="4"/>
  <c r="D170" i="4"/>
  <c r="Z169" i="4"/>
  <c r="Y169" i="4"/>
  <c r="X169" i="4"/>
  <c r="W169" i="4"/>
  <c r="O169" i="4"/>
  <c r="N169" i="4"/>
  <c r="M169" i="4"/>
  <c r="H169" i="4"/>
  <c r="D169" i="4"/>
  <c r="Z168" i="4"/>
  <c r="Y168" i="4"/>
  <c r="X168" i="4"/>
  <c r="W168" i="4"/>
  <c r="O168" i="4"/>
  <c r="N168" i="4"/>
  <c r="M168" i="4"/>
  <c r="H168" i="4"/>
  <c r="D168" i="4"/>
  <c r="Z167" i="4"/>
  <c r="Y167" i="4"/>
  <c r="X167" i="4"/>
  <c r="W167" i="4"/>
  <c r="O167" i="4"/>
  <c r="N167" i="4"/>
  <c r="M167" i="4"/>
  <c r="H167" i="4"/>
  <c r="D167" i="4"/>
  <c r="Z166" i="4"/>
  <c r="Y166" i="4"/>
  <c r="X166" i="4"/>
  <c r="W166" i="4"/>
  <c r="O166" i="4"/>
  <c r="N166" i="4"/>
  <c r="M166" i="4"/>
  <c r="H166" i="4"/>
  <c r="D166" i="4"/>
  <c r="Z165" i="4"/>
  <c r="Y165" i="4"/>
  <c r="X165" i="4"/>
  <c r="W165" i="4"/>
  <c r="O165" i="4"/>
  <c r="N165" i="4"/>
  <c r="M165" i="4"/>
  <c r="H165" i="4"/>
  <c r="D165" i="4"/>
  <c r="Z164" i="4"/>
  <c r="Y164" i="4"/>
  <c r="X164" i="4"/>
  <c r="W164" i="4"/>
  <c r="O164" i="4"/>
  <c r="N164" i="4"/>
  <c r="M164" i="4"/>
  <c r="H164" i="4"/>
  <c r="D164" i="4"/>
  <c r="Z163" i="4"/>
  <c r="Y163" i="4"/>
  <c r="X163" i="4"/>
  <c r="W163" i="4"/>
  <c r="O163" i="4"/>
  <c r="N163" i="4"/>
  <c r="M163" i="4"/>
  <c r="H163" i="4"/>
  <c r="D163" i="4"/>
  <c r="Z162" i="4"/>
  <c r="Y162" i="4"/>
  <c r="X162" i="4"/>
  <c r="W162" i="4"/>
  <c r="O162" i="4"/>
  <c r="N162" i="4"/>
  <c r="M162" i="4"/>
  <c r="H162" i="4"/>
  <c r="D162" i="4"/>
  <c r="Z161" i="4"/>
  <c r="Y161" i="4"/>
  <c r="X161" i="4"/>
  <c r="W161" i="4"/>
  <c r="O161" i="4"/>
  <c r="N161" i="4"/>
  <c r="M161" i="4"/>
  <c r="H161" i="4"/>
  <c r="D161" i="4"/>
  <c r="Z160" i="4"/>
  <c r="Y160" i="4"/>
  <c r="X160" i="4"/>
  <c r="W160" i="4"/>
  <c r="O160" i="4"/>
  <c r="N160" i="4"/>
  <c r="M160" i="4"/>
  <c r="H160" i="4"/>
  <c r="D160" i="4"/>
  <c r="Z159" i="4"/>
  <c r="Y159" i="4"/>
  <c r="X159" i="4"/>
  <c r="W159" i="4"/>
  <c r="O159" i="4"/>
  <c r="N159" i="4"/>
  <c r="M159" i="4"/>
  <c r="H159" i="4"/>
  <c r="D159" i="4"/>
  <c r="Z158" i="4"/>
  <c r="Y158" i="4"/>
  <c r="X158" i="4"/>
  <c r="W158" i="4"/>
  <c r="O158" i="4"/>
  <c r="N158" i="4"/>
  <c r="M158" i="4"/>
  <c r="H158" i="4"/>
  <c r="D158" i="4"/>
  <c r="Z157" i="4"/>
  <c r="Y157" i="4"/>
  <c r="X157" i="4"/>
  <c r="W157" i="4"/>
  <c r="O157" i="4"/>
  <c r="N157" i="4"/>
  <c r="M157" i="4"/>
  <c r="H157" i="4"/>
  <c r="D157" i="4"/>
  <c r="Z156" i="4"/>
  <c r="Y156" i="4"/>
  <c r="X156" i="4"/>
  <c r="W156" i="4"/>
  <c r="O156" i="4"/>
  <c r="N156" i="4"/>
  <c r="M156" i="4"/>
  <c r="H156" i="4"/>
  <c r="D156" i="4"/>
  <c r="Z155" i="4"/>
  <c r="Y155" i="4"/>
  <c r="X155" i="4"/>
  <c r="W155" i="4"/>
  <c r="O155" i="4"/>
  <c r="N155" i="4"/>
  <c r="M155" i="4"/>
  <c r="H155" i="4"/>
  <c r="D155" i="4"/>
  <c r="Z154" i="4"/>
  <c r="Y154" i="4"/>
  <c r="X154" i="4"/>
  <c r="W154" i="4"/>
  <c r="O154" i="4"/>
  <c r="N154" i="4"/>
  <c r="M154" i="4"/>
  <c r="H154" i="4"/>
  <c r="D154" i="4"/>
  <c r="Z153" i="4"/>
  <c r="Y153" i="4"/>
  <c r="X153" i="4"/>
  <c r="W153" i="4"/>
  <c r="O153" i="4"/>
  <c r="N153" i="4"/>
  <c r="M153" i="4"/>
  <c r="H153" i="4"/>
  <c r="D153" i="4"/>
  <c r="Z152" i="4"/>
  <c r="Y152" i="4"/>
  <c r="X152" i="4"/>
  <c r="W152" i="4"/>
  <c r="O152" i="4"/>
  <c r="N152" i="4"/>
  <c r="M152" i="4"/>
  <c r="H152" i="4"/>
  <c r="D152" i="4"/>
  <c r="Z151" i="4"/>
  <c r="Y151" i="4"/>
  <c r="X151" i="4"/>
  <c r="W151" i="4"/>
  <c r="O151" i="4"/>
  <c r="N151" i="4"/>
  <c r="M151" i="4"/>
  <c r="H151" i="4"/>
  <c r="D151" i="4"/>
  <c r="Z150" i="4"/>
  <c r="Y150" i="4"/>
  <c r="X150" i="4"/>
  <c r="W150" i="4"/>
  <c r="O150" i="4"/>
  <c r="N150" i="4"/>
  <c r="M150" i="4"/>
  <c r="H150" i="4"/>
  <c r="D150" i="4"/>
  <c r="Z149" i="4"/>
  <c r="Y149" i="4"/>
  <c r="X149" i="4"/>
  <c r="W149" i="4"/>
  <c r="O149" i="4"/>
  <c r="N149" i="4"/>
  <c r="M149" i="4"/>
  <c r="H149" i="4"/>
  <c r="D149" i="4"/>
  <c r="Z148" i="4"/>
  <c r="Y148" i="4"/>
  <c r="X148" i="4"/>
  <c r="W148" i="4"/>
  <c r="O148" i="4"/>
  <c r="N148" i="4"/>
  <c r="M148" i="4"/>
  <c r="H148" i="4"/>
  <c r="D148" i="4"/>
  <c r="Z147" i="4"/>
  <c r="Y147" i="4"/>
  <c r="X147" i="4"/>
  <c r="W147" i="4"/>
  <c r="O147" i="4"/>
  <c r="N147" i="4"/>
  <c r="M147" i="4"/>
  <c r="H147" i="4"/>
  <c r="D147" i="4"/>
  <c r="Z146" i="4"/>
  <c r="Y146" i="4"/>
  <c r="X146" i="4"/>
  <c r="W146" i="4"/>
  <c r="O146" i="4"/>
  <c r="N146" i="4"/>
  <c r="M146" i="4"/>
  <c r="H146" i="4"/>
  <c r="D146" i="4"/>
  <c r="Z145" i="4"/>
  <c r="Y145" i="4"/>
  <c r="X145" i="4"/>
  <c r="W145" i="4"/>
  <c r="O145" i="4"/>
  <c r="N145" i="4"/>
  <c r="M145" i="4"/>
  <c r="H145" i="4"/>
  <c r="D145" i="4"/>
  <c r="Z144" i="4"/>
  <c r="Y144" i="4"/>
  <c r="X144" i="4"/>
  <c r="W144" i="4"/>
  <c r="O144" i="4"/>
  <c r="N144" i="4"/>
  <c r="M144" i="4"/>
  <c r="H144" i="4"/>
  <c r="D144" i="4"/>
  <c r="Z143" i="4"/>
  <c r="Y143" i="4"/>
  <c r="X143" i="4"/>
  <c r="W143" i="4"/>
  <c r="O143" i="4"/>
  <c r="N143" i="4"/>
  <c r="M143" i="4"/>
  <c r="H143" i="4"/>
  <c r="D143" i="4"/>
  <c r="Z142" i="4"/>
  <c r="Y142" i="4"/>
  <c r="X142" i="4"/>
  <c r="W142" i="4"/>
  <c r="O142" i="4"/>
  <c r="N142" i="4"/>
  <c r="M142" i="4"/>
  <c r="H142" i="4"/>
  <c r="D142" i="4"/>
  <c r="Z141" i="4"/>
  <c r="Y141" i="4"/>
  <c r="X141" i="4"/>
  <c r="W141" i="4"/>
  <c r="O141" i="4"/>
  <c r="N141" i="4"/>
  <c r="M141" i="4"/>
  <c r="H141" i="4"/>
  <c r="D141" i="4"/>
  <c r="Z140" i="4"/>
  <c r="Y140" i="4"/>
  <c r="X140" i="4"/>
  <c r="W140" i="4"/>
  <c r="O140" i="4"/>
  <c r="N140" i="4"/>
  <c r="M140" i="4"/>
  <c r="H140" i="4"/>
  <c r="D140" i="4"/>
  <c r="Z139" i="4"/>
  <c r="Y139" i="4"/>
  <c r="X139" i="4"/>
  <c r="W139" i="4"/>
  <c r="O139" i="4"/>
  <c r="N139" i="4"/>
  <c r="M139" i="4"/>
  <c r="H139" i="4"/>
  <c r="D139" i="4"/>
  <c r="Z138" i="4"/>
  <c r="Y138" i="4"/>
  <c r="X138" i="4"/>
  <c r="W138" i="4"/>
  <c r="O138" i="4"/>
  <c r="N138" i="4"/>
  <c r="M138" i="4"/>
  <c r="H138" i="4"/>
  <c r="D138" i="4"/>
  <c r="Z137" i="4"/>
  <c r="Y137" i="4"/>
  <c r="X137" i="4"/>
  <c r="W137" i="4"/>
  <c r="O137" i="4"/>
  <c r="N137" i="4"/>
  <c r="M137" i="4"/>
  <c r="H137" i="4"/>
  <c r="D137" i="4"/>
  <c r="Z136" i="4"/>
  <c r="Y136" i="4"/>
  <c r="X136" i="4"/>
  <c r="W136" i="4"/>
  <c r="O136" i="4"/>
  <c r="N136" i="4"/>
  <c r="M136" i="4"/>
  <c r="H136" i="4"/>
  <c r="D136" i="4"/>
  <c r="Z135" i="4"/>
  <c r="Y135" i="4"/>
  <c r="X135" i="4"/>
  <c r="W135" i="4"/>
  <c r="O135" i="4"/>
  <c r="N135" i="4"/>
  <c r="M135" i="4"/>
  <c r="H135" i="4"/>
  <c r="D135" i="4"/>
  <c r="Z134" i="4"/>
  <c r="Y134" i="4"/>
  <c r="X134" i="4"/>
  <c r="W134" i="4"/>
  <c r="O134" i="4"/>
  <c r="N134" i="4"/>
  <c r="M134" i="4"/>
  <c r="H134" i="4"/>
  <c r="D134" i="4"/>
  <c r="Z133" i="4"/>
  <c r="Y133" i="4"/>
  <c r="X133" i="4"/>
  <c r="W133" i="4"/>
  <c r="O133" i="4"/>
  <c r="N133" i="4"/>
  <c r="M133" i="4"/>
  <c r="H133" i="4"/>
  <c r="D133" i="4"/>
  <c r="Z132" i="4"/>
  <c r="Y132" i="4"/>
  <c r="X132" i="4"/>
  <c r="W132" i="4"/>
  <c r="O132" i="4"/>
  <c r="N132" i="4"/>
  <c r="M132" i="4"/>
  <c r="H132" i="4"/>
  <c r="D132" i="4"/>
  <c r="Z131" i="4"/>
  <c r="Y131" i="4"/>
  <c r="X131" i="4"/>
  <c r="W131" i="4"/>
  <c r="O131" i="4"/>
  <c r="N131" i="4"/>
  <c r="M131" i="4"/>
  <c r="H131" i="4"/>
  <c r="D131" i="4"/>
  <c r="Z130" i="4"/>
  <c r="Y130" i="4"/>
  <c r="X130" i="4"/>
  <c r="W130" i="4"/>
  <c r="O130" i="4"/>
  <c r="N130" i="4"/>
  <c r="M130" i="4"/>
  <c r="H130" i="4"/>
  <c r="D130" i="4"/>
  <c r="Z129" i="4"/>
  <c r="Y129" i="4"/>
  <c r="X129" i="4"/>
  <c r="W129" i="4"/>
  <c r="O129" i="4"/>
  <c r="N129" i="4"/>
  <c r="M129" i="4"/>
  <c r="H129" i="4"/>
  <c r="D129" i="4"/>
  <c r="Z128" i="4"/>
  <c r="Y128" i="4"/>
  <c r="X128" i="4"/>
  <c r="W128" i="4"/>
  <c r="O128" i="4"/>
  <c r="N128" i="4"/>
  <c r="M128" i="4"/>
  <c r="H128" i="4"/>
  <c r="D128" i="4"/>
  <c r="Z127" i="4"/>
  <c r="Y127" i="4"/>
  <c r="X127" i="4"/>
  <c r="W127" i="4"/>
  <c r="O127" i="4"/>
  <c r="N127" i="4"/>
  <c r="M127" i="4"/>
  <c r="H127" i="4"/>
  <c r="D127" i="4"/>
  <c r="Z126" i="4"/>
  <c r="Y126" i="4"/>
  <c r="X126" i="4"/>
  <c r="W126" i="4"/>
  <c r="O126" i="4"/>
  <c r="N126" i="4"/>
  <c r="M126" i="4"/>
  <c r="H126" i="4"/>
  <c r="D126" i="4"/>
  <c r="Z125" i="4"/>
  <c r="Y125" i="4"/>
  <c r="X125" i="4"/>
  <c r="W125" i="4"/>
  <c r="O125" i="4"/>
  <c r="N125" i="4"/>
  <c r="M125" i="4"/>
  <c r="H125" i="4"/>
  <c r="D125" i="4"/>
  <c r="Z124" i="4"/>
  <c r="Y124" i="4"/>
  <c r="X124" i="4"/>
  <c r="W124" i="4"/>
  <c r="O124" i="4"/>
  <c r="N124" i="4"/>
  <c r="M124" i="4"/>
  <c r="H124" i="4"/>
  <c r="D124" i="4"/>
  <c r="Z123" i="4"/>
  <c r="Y123" i="4"/>
  <c r="X123" i="4"/>
  <c r="W123" i="4"/>
  <c r="O123" i="4"/>
  <c r="N123" i="4"/>
  <c r="M123" i="4"/>
  <c r="H123" i="4"/>
  <c r="D123" i="4"/>
  <c r="Z122" i="4"/>
  <c r="Y122" i="4"/>
  <c r="X122" i="4"/>
  <c r="W122" i="4"/>
  <c r="O122" i="4"/>
  <c r="N122" i="4"/>
  <c r="M122" i="4"/>
  <c r="H122" i="4"/>
  <c r="D122" i="4"/>
  <c r="Z121" i="4"/>
  <c r="Y121" i="4"/>
  <c r="X121" i="4"/>
  <c r="W121" i="4"/>
  <c r="O121" i="4"/>
  <c r="N121" i="4"/>
  <c r="M121" i="4"/>
  <c r="H121" i="4"/>
  <c r="D121" i="4"/>
  <c r="Z120" i="4"/>
  <c r="Y120" i="4"/>
  <c r="X120" i="4"/>
  <c r="W120" i="4"/>
  <c r="O120" i="4"/>
  <c r="N120" i="4"/>
  <c r="M120" i="4"/>
  <c r="H120" i="4"/>
  <c r="D120" i="4"/>
  <c r="Z119" i="4"/>
  <c r="Y119" i="4"/>
  <c r="X119" i="4"/>
  <c r="W119" i="4"/>
  <c r="O119" i="4"/>
  <c r="N119" i="4"/>
  <c r="M119" i="4"/>
  <c r="H119" i="4"/>
  <c r="D119" i="4"/>
  <c r="Z118" i="4"/>
  <c r="Y118" i="4"/>
  <c r="X118" i="4"/>
  <c r="W118" i="4"/>
  <c r="O118" i="4"/>
  <c r="N118" i="4"/>
  <c r="M118" i="4"/>
  <c r="H118" i="4"/>
  <c r="D118" i="4"/>
  <c r="Z117" i="4"/>
  <c r="Y117" i="4"/>
  <c r="X117" i="4"/>
  <c r="W117" i="4"/>
  <c r="O117" i="4"/>
  <c r="N117" i="4"/>
  <c r="M117" i="4"/>
  <c r="H117" i="4"/>
  <c r="D117" i="4"/>
  <c r="Z116" i="4"/>
  <c r="Y116" i="4"/>
  <c r="X116" i="4"/>
  <c r="W116" i="4"/>
  <c r="O116" i="4"/>
  <c r="N116" i="4"/>
  <c r="M116" i="4"/>
  <c r="H116" i="4"/>
  <c r="D116" i="4"/>
  <c r="Z115" i="4"/>
  <c r="Y115" i="4"/>
  <c r="X115" i="4"/>
  <c r="W115" i="4"/>
  <c r="O115" i="4"/>
  <c r="N115" i="4"/>
  <c r="M115" i="4"/>
  <c r="H115" i="4"/>
  <c r="D115" i="4"/>
  <c r="Z114" i="4"/>
  <c r="Y114" i="4"/>
  <c r="X114" i="4"/>
  <c r="W114" i="4"/>
  <c r="O114" i="4"/>
  <c r="N114" i="4"/>
  <c r="M114" i="4"/>
  <c r="H114" i="4"/>
  <c r="D114" i="4"/>
  <c r="Z113" i="4"/>
  <c r="Y113" i="4"/>
  <c r="X113" i="4"/>
  <c r="W113" i="4"/>
  <c r="O113" i="4"/>
  <c r="N113" i="4"/>
  <c r="M113" i="4"/>
  <c r="H113" i="4"/>
  <c r="D113" i="4"/>
  <c r="Z112" i="4"/>
  <c r="Y112" i="4"/>
  <c r="X112" i="4"/>
  <c r="W112" i="4"/>
  <c r="O112" i="4"/>
  <c r="N112" i="4"/>
  <c r="M112" i="4"/>
  <c r="H112" i="4"/>
  <c r="D112" i="4"/>
  <c r="Z111" i="4"/>
  <c r="Y111" i="4"/>
  <c r="X111" i="4"/>
  <c r="W111" i="4"/>
  <c r="O111" i="4"/>
  <c r="N111" i="4"/>
  <c r="M111" i="4"/>
  <c r="H111" i="4"/>
  <c r="D111" i="4"/>
  <c r="Z110" i="4"/>
  <c r="Y110" i="4"/>
  <c r="X110" i="4"/>
  <c r="W110" i="4"/>
  <c r="O110" i="4"/>
  <c r="N110" i="4"/>
  <c r="M110" i="4"/>
  <c r="H110" i="4"/>
  <c r="D110" i="4"/>
  <c r="Z109" i="4"/>
  <c r="Y109" i="4"/>
  <c r="X109" i="4"/>
  <c r="W109" i="4"/>
  <c r="O109" i="4"/>
  <c r="N109" i="4"/>
  <c r="M109" i="4"/>
  <c r="H109" i="4"/>
  <c r="D109" i="4"/>
  <c r="Z108" i="4"/>
  <c r="Y108" i="4"/>
  <c r="X108" i="4"/>
  <c r="W108" i="4"/>
  <c r="O108" i="4"/>
  <c r="N108" i="4"/>
  <c r="M108" i="4"/>
  <c r="H108" i="4"/>
  <c r="D108" i="4"/>
  <c r="Z107" i="4"/>
  <c r="Y107" i="4"/>
  <c r="X107" i="4"/>
  <c r="W107" i="4"/>
  <c r="O107" i="4"/>
  <c r="N107" i="4"/>
  <c r="M107" i="4"/>
  <c r="H107" i="4"/>
  <c r="D107" i="4"/>
  <c r="Z106" i="4"/>
  <c r="Y106" i="4"/>
  <c r="X106" i="4"/>
  <c r="W106" i="4"/>
  <c r="O106" i="4"/>
  <c r="N106" i="4"/>
  <c r="M106" i="4"/>
  <c r="H106" i="4"/>
  <c r="D106" i="4"/>
  <c r="Z105" i="4"/>
  <c r="Y105" i="4"/>
  <c r="X105" i="4"/>
  <c r="W105" i="4"/>
  <c r="O105" i="4"/>
  <c r="N105" i="4"/>
  <c r="M105" i="4"/>
  <c r="H105" i="4"/>
  <c r="D105" i="4"/>
  <c r="Z104" i="4"/>
  <c r="Y104" i="4"/>
  <c r="X104" i="4"/>
  <c r="W104" i="4"/>
  <c r="O104" i="4"/>
  <c r="N104" i="4"/>
  <c r="M104" i="4"/>
  <c r="H104" i="4"/>
  <c r="D104" i="4"/>
  <c r="Z103" i="4"/>
  <c r="Y103" i="4"/>
  <c r="X103" i="4"/>
  <c r="W103" i="4"/>
  <c r="O103" i="4"/>
  <c r="N103" i="4"/>
  <c r="M103" i="4"/>
  <c r="H103" i="4"/>
  <c r="D103" i="4"/>
  <c r="Z102" i="4"/>
  <c r="Y102" i="4"/>
  <c r="X102" i="4"/>
  <c r="W102" i="4"/>
  <c r="O102" i="4"/>
  <c r="N102" i="4"/>
  <c r="M102" i="4"/>
  <c r="H102" i="4"/>
  <c r="D102" i="4"/>
  <c r="Z101" i="4"/>
  <c r="Y101" i="4"/>
  <c r="X101" i="4"/>
  <c r="W101" i="4"/>
  <c r="O101" i="4"/>
  <c r="N101" i="4"/>
  <c r="M101" i="4"/>
  <c r="H101" i="4"/>
  <c r="D101" i="4"/>
  <c r="Z100" i="4"/>
  <c r="Y100" i="4"/>
  <c r="X100" i="4"/>
  <c r="W100" i="4"/>
  <c r="O100" i="4"/>
  <c r="N100" i="4"/>
  <c r="M100" i="4"/>
  <c r="H100" i="4"/>
  <c r="D100" i="4"/>
  <c r="Z99" i="4"/>
  <c r="Y99" i="4"/>
  <c r="X99" i="4"/>
  <c r="W99" i="4"/>
  <c r="O99" i="4"/>
  <c r="N99" i="4"/>
  <c r="M99" i="4"/>
  <c r="H99" i="4"/>
  <c r="D99" i="4"/>
  <c r="Z98" i="4"/>
  <c r="Y98" i="4"/>
  <c r="X98" i="4"/>
  <c r="W98" i="4"/>
  <c r="O98" i="4"/>
  <c r="N98" i="4"/>
  <c r="M98" i="4"/>
  <c r="H98" i="4"/>
  <c r="D98" i="4"/>
  <c r="Z97" i="4"/>
  <c r="Y97" i="4"/>
  <c r="X97" i="4"/>
  <c r="W97" i="4"/>
  <c r="O97" i="4"/>
  <c r="N97" i="4"/>
  <c r="M97" i="4"/>
  <c r="H97" i="4"/>
  <c r="D97" i="4"/>
  <c r="Z96" i="4"/>
  <c r="Y96" i="4"/>
  <c r="X96" i="4"/>
  <c r="W96" i="4"/>
  <c r="O96" i="4"/>
  <c r="N96" i="4"/>
  <c r="M96" i="4"/>
  <c r="H96" i="4"/>
  <c r="D96" i="4"/>
  <c r="Z95" i="4"/>
  <c r="Y95" i="4"/>
  <c r="X95" i="4"/>
  <c r="W95" i="4"/>
  <c r="O95" i="4"/>
  <c r="N95" i="4"/>
  <c r="M95" i="4"/>
  <c r="H95" i="4"/>
  <c r="D95" i="4"/>
  <c r="Z94" i="4"/>
  <c r="Y94" i="4"/>
  <c r="X94" i="4"/>
  <c r="W94" i="4"/>
  <c r="O94" i="4"/>
  <c r="N94" i="4"/>
  <c r="M94" i="4"/>
  <c r="H94" i="4"/>
  <c r="D94" i="4"/>
  <c r="Z93" i="4"/>
  <c r="Y93" i="4"/>
  <c r="X93" i="4"/>
  <c r="W93" i="4"/>
  <c r="O93" i="4"/>
  <c r="N93" i="4"/>
  <c r="M93" i="4"/>
  <c r="H93" i="4"/>
  <c r="D93" i="4"/>
  <c r="Z92" i="4"/>
  <c r="Y92" i="4"/>
  <c r="X92" i="4"/>
  <c r="W92" i="4"/>
  <c r="O92" i="4"/>
  <c r="N92" i="4"/>
  <c r="M92" i="4"/>
  <c r="H92" i="4"/>
  <c r="D92" i="4"/>
  <c r="Z91" i="4"/>
  <c r="Y91" i="4"/>
  <c r="X91" i="4"/>
  <c r="W91" i="4"/>
  <c r="O91" i="4"/>
  <c r="N91" i="4"/>
  <c r="M91" i="4"/>
  <c r="H91" i="4"/>
  <c r="D91" i="4"/>
  <c r="Z90" i="4"/>
  <c r="Y90" i="4"/>
  <c r="X90" i="4"/>
  <c r="W90" i="4"/>
  <c r="O90" i="4"/>
  <c r="N90" i="4"/>
  <c r="M90" i="4"/>
  <c r="H90" i="4"/>
  <c r="D90" i="4"/>
  <c r="Z89" i="4"/>
  <c r="Y89" i="4"/>
  <c r="X89" i="4"/>
  <c r="W89" i="4"/>
  <c r="O89" i="4"/>
  <c r="N89" i="4"/>
  <c r="M89" i="4"/>
  <c r="H89" i="4"/>
  <c r="D89" i="4"/>
  <c r="Z88" i="4"/>
  <c r="Y88" i="4"/>
  <c r="X88" i="4"/>
  <c r="W88" i="4"/>
  <c r="O88" i="4"/>
  <c r="N88" i="4"/>
  <c r="M88" i="4"/>
  <c r="H88" i="4"/>
  <c r="D88" i="4"/>
  <c r="Z87" i="4"/>
  <c r="Y87" i="4"/>
  <c r="X87" i="4"/>
  <c r="W87" i="4"/>
  <c r="O87" i="4"/>
  <c r="N87" i="4"/>
  <c r="M87" i="4"/>
  <c r="H87" i="4"/>
  <c r="D87" i="4"/>
  <c r="Z86" i="4"/>
  <c r="Y86" i="4"/>
  <c r="X86" i="4"/>
  <c r="W86" i="4"/>
  <c r="O86" i="4"/>
  <c r="N86" i="4"/>
  <c r="M86" i="4"/>
  <c r="H86" i="4"/>
  <c r="D86" i="4"/>
  <c r="Z85" i="4"/>
  <c r="Y85" i="4"/>
  <c r="X85" i="4"/>
  <c r="W85" i="4"/>
  <c r="O85" i="4"/>
  <c r="N85" i="4"/>
  <c r="M85" i="4"/>
  <c r="H85" i="4"/>
  <c r="D85" i="4"/>
  <c r="Z84" i="4"/>
  <c r="Y84" i="4"/>
  <c r="X84" i="4"/>
  <c r="W84" i="4"/>
  <c r="O84" i="4"/>
  <c r="N84" i="4"/>
  <c r="M84" i="4"/>
  <c r="H84" i="4"/>
  <c r="D84" i="4"/>
  <c r="Z83" i="4"/>
  <c r="Y83" i="4"/>
  <c r="X83" i="4"/>
  <c r="W83" i="4"/>
  <c r="O83" i="4"/>
  <c r="N83" i="4"/>
  <c r="M83" i="4"/>
  <c r="H83" i="4"/>
  <c r="D83" i="4"/>
  <c r="Z82" i="4"/>
  <c r="Y82" i="4"/>
  <c r="X82" i="4"/>
  <c r="W82" i="4"/>
  <c r="O82" i="4"/>
  <c r="N82" i="4"/>
  <c r="M82" i="4"/>
  <c r="H82" i="4"/>
  <c r="D82" i="4"/>
  <c r="Z81" i="4"/>
  <c r="Y81" i="4"/>
  <c r="X81" i="4"/>
  <c r="W81" i="4"/>
  <c r="O81" i="4"/>
  <c r="N81" i="4"/>
  <c r="M81" i="4"/>
  <c r="H81" i="4"/>
  <c r="D81" i="4"/>
  <c r="Z80" i="4"/>
  <c r="Y80" i="4"/>
  <c r="X80" i="4"/>
  <c r="W80" i="4"/>
  <c r="O80" i="4"/>
  <c r="N80" i="4"/>
  <c r="M80" i="4"/>
  <c r="H80" i="4"/>
  <c r="D80" i="4"/>
  <c r="Z79" i="4"/>
  <c r="Y79" i="4"/>
  <c r="X79" i="4"/>
  <c r="W79" i="4"/>
  <c r="O79" i="4"/>
  <c r="N79" i="4"/>
  <c r="M79" i="4"/>
  <c r="H79" i="4"/>
  <c r="D79" i="4"/>
  <c r="Z78" i="4"/>
  <c r="Y78" i="4"/>
  <c r="X78" i="4"/>
  <c r="W78" i="4"/>
  <c r="O78" i="4"/>
  <c r="N78" i="4"/>
  <c r="M78" i="4"/>
  <c r="H78" i="4"/>
  <c r="D78" i="4"/>
  <c r="Z77" i="4"/>
  <c r="Y77" i="4"/>
  <c r="X77" i="4"/>
  <c r="W77" i="4"/>
  <c r="O77" i="4"/>
  <c r="N77" i="4"/>
  <c r="M77" i="4"/>
  <c r="H77" i="4"/>
  <c r="D77" i="4"/>
  <c r="Z76" i="4"/>
  <c r="Y76" i="4"/>
  <c r="X76" i="4"/>
  <c r="W76" i="4"/>
  <c r="O76" i="4"/>
  <c r="N76" i="4"/>
  <c r="M76" i="4"/>
  <c r="H76" i="4"/>
  <c r="D76" i="4"/>
  <c r="Z75" i="4"/>
  <c r="Y75" i="4"/>
  <c r="X75" i="4"/>
  <c r="W75" i="4"/>
  <c r="O75" i="4"/>
  <c r="N75" i="4"/>
  <c r="M75" i="4"/>
  <c r="H75" i="4"/>
  <c r="D75" i="4"/>
  <c r="Z74" i="4"/>
  <c r="Y74" i="4"/>
  <c r="X74" i="4"/>
  <c r="W74" i="4"/>
  <c r="O74" i="4"/>
  <c r="N74" i="4"/>
  <c r="M74" i="4"/>
  <c r="H74" i="4"/>
  <c r="D74" i="4"/>
  <c r="Z73" i="4"/>
  <c r="Y73" i="4"/>
  <c r="X73" i="4"/>
  <c r="W73" i="4"/>
  <c r="O73" i="4"/>
  <c r="N73" i="4"/>
  <c r="M73" i="4"/>
  <c r="H73" i="4"/>
  <c r="D73" i="4"/>
  <c r="Z72" i="4"/>
  <c r="Y72" i="4"/>
  <c r="X72" i="4"/>
  <c r="W72" i="4"/>
  <c r="O72" i="4"/>
  <c r="N72" i="4"/>
  <c r="M72" i="4"/>
  <c r="H72" i="4"/>
  <c r="D72" i="4"/>
  <c r="Z71" i="4"/>
  <c r="Y71" i="4"/>
  <c r="X71" i="4"/>
  <c r="W71" i="4"/>
  <c r="O71" i="4"/>
  <c r="N71" i="4"/>
  <c r="M71" i="4"/>
  <c r="H71" i="4"/>
  <c r="D71" i="4"/>
  <c r="Z70" i="4"/>
  <c r="Y70" i="4"/>
  <c r="X70" i="4"/>
  <c r="W70" i="4"/>
  <c r="O70" i="4"/>
  <c r="N70" i="4"/>
  <c r="M70" i="4"/>
  <c r="H70" i="4"/>
  <c r="D70" i="4"/>
  <c r="Z69" i="4"/>
  <c r="Y69" i="4"/>
  <c r="X69" i="4"/>
  <c r="W69" i="4"/>
  <c r="O69" i="4"/>
  <c r="N69" i="4"/>
  <c r="M69" i="4"/>
  <c r="H69" i="4"/>
  <c r="D69" i="4"/>
  <c r="Z68" i="4"/>
  <c r="Y68" i="4"/>
  <c r="X68" i="4"/>
  <c r="W68" i="4"/>
  <c r="O68" i="4"/>
  <c r="N68" i="4"/>
  <c r="M68" i="4"/>
  <c r="H68" i="4"/>
  <c r="D68" i="4"/>
  <c r="Z67" i="4"/>
  <c r="Y67" i="4"/>
  <c r="X67" i="4"/>
  <c r="W67" i="4"/>
  <c r="O67" i="4"/>
  <c r="N67" i="4"/>
  <c r="M67" i="4"/>
  <c r="H67" i="4"/>
  <c r="D67" i="4"/>
  <c r="Z66" i="4"/>
  <c r="Y66" i="4"/>
  <c r="X66" i="4"/>
  <c r="W66" i="4"/>
  <c r="O66" i="4"/>
  <c r="N66" i="4"/>
  <c r="M66" i="4"/>
  <c r="H66" i="4"/>
  <c r="D66" i="4"/>
  <c r="Z65" i="4"/>
  <c r="Y65" i="4"/>
  <c r="X65" i="4"/>
  <c r="W65" i="4"/>
  <c r="O65" i="4"/>
  <c r="N65" i="4"/>
  <c r="M65" i="4"/>
  <c r="H65" i="4"/>
  <c r="D65" i="4"/>
  <c r="Z64" i="4"/>
  <c r="Y64" i="4"/>
  <c r="X64" i="4"/>
  <c r="W64" i="4"/>
  <c r="O64" i="4"/>
  <c r="N64" i="4"/>
  <c r="M64" i="4"/>
  <c r="H64" i="4"/>
  <c r="D64" i="4"/>
  <c r="Z63" i="4"/>
  <c r="Y63" i="4"/>
  <c r="X63" i="4"/>
  <c r="W63" i="4"/>
  <c r="O63" i="4"/>
  <c r="N63" i="4"/>
  <c r="M63" i="4"/>
  <c r="H63" i="4"/>
  <c r="D63" i="4"/>
  <c r="Z62" i="4"/>
  <c r="Y62" i="4"/>
  <c r="X62" i="4"/>
  <c r="W62" i="4"/>
  <c r="O62" i="4"/>
  <c r="N62" i="4"/>
  <c r="M62" i="4"/>
  <c r="H62" i="4"/>
  <c r="D62" i="4"/>
  <c r="Z61" i="4"/>
  <c r="Y61" i="4"/>
  <c r="X61" i="4"/>
  <c r="W61" i="4"/>
  <c r="O61" i="4"/>
  <c r="N61" i="4"/>
  <c r="M61" i="4"/>
  <c r="H61" i="4"/>
  <c r="D61" i="4"/>
  <c r="Z60" i="4"/>
  <c r="Y60" i="4"/>
  <c r="X60" i="4"/>
  <c r="W60" i="4"/>
  <c r="O60" i="4"/>
  <c r="N60" i="4"/>
  <c r="M60" i="4"/>
  <c r="H60" i="4"/>
  <c r="D60" i="4"/>
  <c r="Z59" i="4"/>
  <c r="Y59" i="4"/>
  <c r="X59" i="4"/>
  <c r="W59" i="4"/>
  <c r="O59" i="4"/>
  <c r="N59" i="4"/>
  <c r="M59" i="4"/>
  <c r="H59" i="4"/>
  <c r="D59" i="4"/>
  <c r="Z58" i="4"/>
  <c r="Y58" i="4"/>
  <c r="X58" i="4"/>
  <c r="W58" i="4"/>
  <c r="O58" i="4"/>
  <c r="N58" i="4"/>
  <c r="M58" i="4"/>
  <c r="H58" i="4"/>
  <c r="D58" i="4"/>
  <c r="Z57" i="4"/>
  <c r="Y57" i="4"/>
  <c r="X57" i="4"/>
  <c r="W57" i="4"/>
  <c r="O57" i="4"/>
  <c r="N57" i="4"/>
  <c r="M57" i="4"/>
  <c r="H57" i="4"/>
  <c r="D57" i="4"/>
  <c r="Z56" i="4"/>
  <c r="Y56" i="4"/>
  <c r="X56" i="4"/>
  <c r="W56" i="4"/>
  <c r="O56" i="4"/>
  <c r="N56" i="4"/>
  <c r="M56" i="4"/>
  <c r="H56" i="4"/>
  <c r="D56" i="4"/>
  <c r="Z55" i="4"/>
  <c r="Y55" i="4"/>
  <c r="X55" i="4"/>
  <c r="W55" i="4"/>
  <c r="O55" i="4"/>
  <c r="N55" i="4"/>
  <c r="M55" i="4"/>
  <c r="H55" i="4"/>
  <c r="D55" i="4"/>
  <c r="Z54" i="4"/>
  <c r="Y54" i="4"/>
  <c r="X54" i="4"/>
  <c r="W54" i="4"/>
  <c r="O54" i="4"/>
  <c r="N54" i="4"/>
  <c r="M54" i="4"/>
  <c r="H54" i="4"/>
  <c r="D54" i="4"/>
  <c r="Z53" i="4"/>
  <c r="Y53" i="4"/>
  <c r="X53" i="4"/>
  <c r="W53" i="4"/>
  <c r="O53" i="4"/>
  <c r="N53" i="4"/>
  <c r="M53" i="4"/>
  <c r="H53" i="4"/>
  <c r="D53" i="4"/>
  <c r="Z52" i="4"/>
  <c r="Y52" i="4"/>
  <c r="X52" i="4"/>
  <c r="W52" i="4"/>
  <c r="O52" i="4"/>
  <c r="N52" i="4"/>
  <c r="M52" i="4"/>
  <c r="H52" i="4"/>
  <c r="D52" i="4"/>
  <c r="Z51" i="4"/>
  <c r="Y51" i="4"/>
  <c r="X51" i="4"/>
  <c r="W51" i="4"/>
  <c r="O51" i="4"/>
  <c r="N51" i="4"/>
  <c r="M51" i="4"/>
  <c r="H51" i="4"/>
  <c r="D51" i="4"/>
  <c r="Z50" i="4"/>
  <c r="Y50" i="4"/>
  <c r="X50" i="4"/>
  <c r="W50" i="4"/>
  <c r="O50" i="4"/>
  <c r="N50" i="4"/>
  <c r="M50" i="4"/>
  <c r="H50" i="4"/>
  <c r="D50" i="4"/>
  <c r="Z49" i="4"/>
  <c r="Y49" i="4"/>
  <c r="X49" i="4"/>
  <c r="W49" i="4"/>
  <c r="O49" i="4"/>
  <c r="N49" i="4"/>
  <c r="M49" i="4"/>
  <c r="H49" i="4"/>
  <c r="D49" i="4"/>
  <c r="Z48" i="4"/>
  <c r="Y48" i="4"/>
  <c r="X48" i="4"/>
  <c r="W48" i="4"/>
  <c r="O48" i="4"/>
  <c r="N48" i="4"/>
  <c r="M48" i="4"/>
  <c r="H48" i="4"/>
  <c r="D48" i="4"/>
  <c r="Z47" i="4"/>
  <c r="Y47" i="4"/>
  <c r="X47" i="4"/>
  <c r="W47" i="4"/>
  <c r="O47" i="4"/>
  <c r="N47" i="4"/>
  <c r="M47" i="4"/>
  <c r="H47" i="4"/>
  <c r="D47" i="4"/>
  <c r="Z46" i="4"/>
  <c r="Y46" i="4"/>
  <c r="X46" i="4"/>
  <c r="W46" i="4"/>
  <c r="O46" i="4"/>
  <c r="N46" i="4"/>
  <c r="M46" i="4"/>
  <c r="H46" i="4"/>
  <c r="D46" i="4"/>
  <c r="Z45" i="4"/>
  <c r="Y45" i="4"/>
  <c r="X45" i="4"/>
  <c r="W45" i="4"/>
  <c r="O45" i="4"/>
  <c r="N45" i="4"/>
  <c r="M45" i="4"/>
  <c r="H45" i="4"/>
  <c r="D45" i="4"/>
  <c r="Z44" i="4"/>
  <c r="Y44" i="4"/>
  <c r="X44" i="4"/>
  <c r="W44" i="4"/>
  <c r="O44" i="4"/>
  <c r="N44" i="4"/>
  <c r="M44" i="4"/>
  <c r="H44" i="4"/>
  <c r="D44" i="4"/>
  <c r="Z43" i="4"/>
  <c r="Y43" i="4"/>
  <c r="X43" i="4"/>
  <c r="W43" i="4"/>
  <c r="O43" i="4"/>
  <c r="N43" i="4"/>
  <c r="M43" i="4"/>
  <c r="H43" i="4"/>
  <c r="D43" i="4"/>
  <c r="Z42" i="4"/>
  <c r="Y42" i="4"/>
  <c r="X42" i="4"/>
  <c r="W42" i="4"/>
  <c r="O42" i="4"/>
  <c r="N42" i="4"/>
  <c r="M42" i="4"/>
  <c r="H42" i="4"/>
  <c r="D42" i="4"/>
  <c r="Z41" i="4"/>
  <c r="Y41" i="4"/>
  <c r="X41" i="4"/>
  <c r="W41" i="4"/>
  <c r="O41" i="4"/>
  <c r="N41" i="4"/>
  <c r="M41" i="4"/>
  <c r="H41" i="4"/>
  <c r="D41" i="4"/>
  <c r="Z40" i="4"/>
  <c r="Y40" i="4"/>
  <c r="X40" i="4"/>
  <c r="W40" i="4"/>
  <c r="O40" i="4"/>
  <c r="N40" i="4"/>
  <c r="M40" i="4"/>
  <c r="H40" i="4"/>
  <c r="D40" i="4"/>
  <c r="Z39" i="4"/>
  <c r="Y39" i="4"/>
  <c r="X39" i="4"/>
  <c r="W39" i="4"/>
  <c r="O39" i="4"/>
  <c r="N39" i="4"/>
  <c r="M39" i="4"/>
  <c r="H39" i="4"/>
  <c r="D39" i="4"/>
  <c r="Z38" i="4"/>
  <c r="Y38" i="4"/>
  <c r="X38" i="4"/>
  <c r="W38" i="4"/>
  <c r="O38" i="4"/>
  <c r="N38" i="4"/>
  <c r="M38" i="4"/>
  <c r="H38" i="4"/>
  <c r="D38" i="4"/>
  <c r="Z37" i="4"/>
  <c r="Y37" i="4"/>
  <c r="X37" i="4"/>
  <c r="W37" i="4"/>
  <c r="O37" i="4"/>
  <c r="N37" i="4"/>
  <c r="M37" i="4"/>
  <c r="H37" i="4"/>
  <c r="D37" i="4"/>
  <c r="Z36" i="4"/>
  <c r="Y36" i="4"/>
  <c r="X36" i="4"/>
  <c r="W36" i="4"/>
  <c r="O36" i="4"/>
  <c r="N36" i="4"/>
  <c r="M36" i="4"/>
  <c r="H36" i="4"/>
  <c r="D36" i="4"/>
  <c r="Z35" i="4"/>
  <c r="Y35" i="4"/>
  <c r="X35" i="4"/>
  <c r="W35" i="4"/>
  <c r="O35" i="4"/>
  <c r="N35" i="4"/>
  <c r="M35" i="4"/>
  <c r="H35" i="4"/>
  <c r="D35" i="4"/>
  <c r="Z34" i="4"/>
  <c r="Y34" i="4"/>
  <c r="X34" i="4"/>
  <c r="W34" i="4"/>
  <c r="O34" i="4"/>
  <c r="N34" i="4"/>
  <c r="M34" i="4"/>
  <c r="H34" i="4"/>
  <c r="D34" i="4"/>
  <c r="Z33" i="4"/>
  <c r="Y33" i="4"/>
  <c r="X33" i="4"/>
  <c r="W33" i="4"/>
  <c r="O33" i="4"/>
  <c r="N33" i="4"/>
  <c r="M33" i="4"/>
  <c r="H33" i="4"/>
  <c r="D33" i="4"/>
  <c r="Z32" i="4"/>
  <c r="Y32" i="4"/>
  <c r="X32" i="4"/>
  <c r="W32" i="4"/>
  <c r="O32" i="4"/>
  <c r="N32" i="4"/>
  <c r="M32" i="4"/>
  <c r="H32" i="4"/>
  <c r="D32" i="4"/>
  <c r="Z31" i="4"/>
  <c r="Y31" i="4"/>
  <c r="X31" i="4"/>
  <c r="W31" i="4"/>
  <c r="O31" i="4"/>
  <c r="N31" i="4"/>
  <c r="M31" i="4"/>
  <c r="H31" i="4"/>
  <c r="D31" i="4"/>
  <c r="Z30" i="4"/>
  <c r="Y30" i="4"/>
  <c r="X30" i="4"/>
  <c r="W30" i="4"/>
  <c r="O30" i="4"/>
  <c r="N30" i="4"/>
  <c r="M30" i="4"/>
  <c r="H30" i="4"/>
  <c r="D30" i="4"/>
  <c r="Z29" i="4"/>
  <c r="Y29" i="4"/>
  <c r="X29" i="4"/>
  <c r="W29" i="4"/>
  <c r="O29" i="4"/>
  <c r="N29" i="4"/>
  <c r="M29" i="4"/>
  <c r="H29" i="4"/>
  <c r="D29" i="4"/>
  <c r="Z28" i="4"/>
  <c r="Y28" i="4"/>
  <c r="X28" i="4"/>
  <c r="W28" i="4"/>
  <c r="O28" i="4"/>
  <c r="N28" i="4"/>
  <c r="M28" i="4"/>
  <c r="H28" i="4"/>
  <c r="D28" i="4"/>
  <c r="Z27" i="4"/>
  <c r="Y27" i="4"/>
  <c r="X27" i="4"/>
  <c r="W27" i="4"/>
  <c r="O27" i="4"/>
  <c r="N27" i="4"/>
  <c r="M27" i="4"/>
  <c r="H27" i="4"/>
  <c r="D27" i="4"/>
  <c r="Z26" i="4"/>
  <c r="Y26" i="4"/>
  <c r="X26" i="4"/>
  <c r="W26" i="4"/>
  <c r="O26" i="4"/>
  <c r="N26" i="4"/>
  <c r="M26" i="4"/>
  <c r="H26" i="4"/>
  <c r="D26" i="4"/>
  <c r="Z25" i="4"/>
  <c r="Y25" i="4"/>
  <c r="X25" i="4"/>
  <c r="W25" i="4"/>
  <c r="O25" i="4"/>
  <c r="N25" i="4"/>
  <c r="M25" i="4"/>
  <c r="H25" i="4"/>
  <c r="D25" i="4"/>
  <c r="Z24" i="4"/>
  <c r="Y24" i="4"/>
  <c r="X24" i="4"/>
  <c r="W24" i="4"/>
  <c r="O24" i="4"/>
  <c r="N24" i="4"/>
  <c r="M24" i="4"/>
  <c r="H24" i="4"/>
  <c r="D24" i="4"/>
  <c r="Z23" i="4"/>
  <c r="Y23" i="4"/>
  <c r="X23" i="4"/>
  <c r="W23" i="4"/>
  <c r="O23" i="4"/>
  <c r="N23" i="4"/>
  <c r="M23" i="4"/>
  <c r="H23" i="4"/>
  <c r="D23" i="4"/>
  <c r="Z22" i="4"/>
  <c r="Y22" i="4"/>
  <c r="X22" i="4"/>
  <c r="W22" i="4"/>
  <c r="O22" i="4"/>
  <c r="N22" i="4"/>
  <c r="M22" i="4"/>
  <c r="H22" i="4"/>
  <c r="D22" i="4"/>
  <c r="Z21" i="4"/>
  <c r="Y21" i="4"/>
  <c r="X21" i="4"/>
  <c r="W21" i="4"/>
  <c r="O21" i="4"/>
  <c r="N21" i="4"/>
  <c r="M21" i="4"/>
  <c r="H21" i="4"/>
  <c r="D21" i="4"/>
  <c r="Z20" i="4"/>
  <c r="Y20" i="4"/>
  <c r="X20" i="4"/>
  <c r="W20" i="4"/>
  <c r="O20" i="4"/>
  <c r="N20" i="4"/>
  <c r="M20" i="4"/>
  <c r="H20" i="4"/>
  <c r="D20" i="4"/>
  <c r="Z19" i="4"/>
  <c r="Y19" i="4"/>
  <c r="X19" i="4"/>
  <c r="W19" i="4"/>
  <c r="O19" i="4"/>
  <c r="N19" i="4"/>
  <c r="M19" i="4"/>
  <c r="H19" i="4"/>
  <c r="D19" i="4"/>
  <c r="Z18" i="4"/>
  <c r="Y18" i="4"/>
  <c r="X18" i="4"/>
  <c r="W18" i="4"/>
  <c r="O18" i="4"/>
  <c r="N18" i="4"/>
  <c r="M18" i="4"/>
  <c r="H18" i="4"/>
  <c r="D18" i="4"/>
  <c r="Z17" i="4"/>
  <c r="Y17" i="4"/>
  <c r="X17" i="4"/>
  <c r="W17" i="4"/>
  <c r="O17" i="4"/>
  <c r="N17" i="4"/>
  <c r="M17" i="4"/>
  <c r="H17" i="4"/>
  <c r="D17" i="4"/>
  <c r="Z16" i="4"/>
  <c r="Y16" i="4"/>
  <c r="X16" i="4"/>
  <c r="W16" i="4"/>
  <c r="O16" i="4"/>
  <c r="N16" i="4"/>
  <c r="M16" i="4"/>
  <c r="H16" i="4"/>
  <c r="D16" i="4"/>
  <c r="Z15" i="4"/>
  <c r="Y15" i="4"/>
  <c r="X15" i="4"/>
  <c r="W15" i="4"/>
  <c r="O15" i="4"/>
  <c r="N15" i="4"/>
  <c r="M15" i="4"/>
  <c r="H15" i="4"/>
  <c r="D15" i="4"/>
  <c r="Z14" i="4"/>
  <c r="Y14" i="4"/>
  <c r="X14" i="4"/>
  <c r="W14" i="4"/>
  <c r="O14" i="4"/>
  <c r="N14" i="4"/>
  <c r="M14" i="4"/>
  <c r="H14" i="4"/>
  <c r="D14" i="4"/>
  <c r="Z13" i="4"/>
  <c r="Y13" i="4"/>
  <c r="X13" i="4"/>
  <c r="W13" i="4"/>
  <c r="O13" i="4"/>
  <c r="N13" i="4"/>
  <c r="M13" i="4"/>
  <c r="H13" i="4"/>
  <c r="D13" i="4"/>
  <c r="Z12" i="4"/>
  <c r="Y12" i="4"/>
  <c r="X12" i="4"/>
  <c r="W12" i="4"/>
  <c r="O12" i="4"/>
  <c r="N12" i="4"/>
  <c r="M12" i="4"/>
  <c r="H12" i="4"/>
  <c r="D12" i="4"/>
  <c r="Z11" i="4"/>
  <c r="Y11" i="4"/>
  <c r="X11" i="4"/>
  <c r="W11" i="4"/>
  <c r="O11" i="4"/>
  <c r="N11" i="4"/>
  <c r="M11" i="4"/>
  <c r="H11" i="4"/>
  <c r="D11" i="4"/>
  <c r="Z10" i="4"/>
  <c r="Y10" i="4"/>
  <c r="X10" i="4"/>
  <c r="W10" i="4"/>
  <c r="O10" i="4"/>
  <c r="N10" i="4"/>
  <c r="M10" i="4"/>
  <c r="H10" i="4"/>
  <c r="D10" i="4"/>
  <c r="Z9" i="4"/>
  <c r="Y9" i="4"/>
  <c r="X9" i="4"/>
  <c r="W9" i="4"/>
  <c r="O9" i="4"/>
  <c r="N9" i="4"/>
  <c r="M9" i="4"/>
  <c r="H9" i="4"/>
  <c r="D9" i="4"/>
  <c r="Z8" i="4"/>
  <c r="Y8" i="4"/>
  <c r="X8" i="4"/>
  <c r="W8" i="4"/>
  <c r="O8" i="4"/>
  <c r="N8" i="4"/>
  <c r="M8" i="4"/>
  <c r="H8" i="4"/>
  <c r="D8" i="4"/>
  <c r="Z7" i="4"/>
  <c r="Y7" i="4"/>
  <c r="X7" i="4"/>
  <c r="W7" i="4"/>
  <c r="O7" i="4"/>
  <c r="N7" i="4"/>
  <c r="M7" i="4"/>
  <c r="H7" i="4"/>
  <c r="D7" i="4"/>
  <c r="Z6" i="4"/>
  <c r="Y6" i="4"/>
  <c r="X6" i="4"/>
  <c r="W6" i="4"/>
  <c r="O6" i="4"/>
  <c r="N6" i="4"/>
  <c r="M6" i="4"/>
  <c r="H6" i="4"/>
  <c r="D6" i="4"/>
  <c r="Z5" i="4"/>
  <c r="Y5" i="4"/>
  <c r="X5" i="4"/>
  <c r="W5" i="4"/>
  <c r="O5" i="4"/>
  <c r="N5" i="4"/>
  <c r="M5" i="4"/>
  <c r="H5" i="4"/>
  <c r="D5" i="4"/>
  <c r="Z4" i="4"/>
  <c r="Y4" i="4"/>
  <c r="X4" i="4"/>
  <c r="W4" i="4"/>
  <c r="O4" i="4"/>
  <c r="N4" i="4"/>
  <c r="M4" i="4"/>
  <c r="H4" i="4"/>
  <c r="D4" i="4"/>
  <c r="Z3" i="4"/>
  <c r="Y3" i="4"/>
  <c r="X3" i="4"/>
  <c r="W3" i="4"/>
  <c r="O3" i="4"/>
  <c r="N3" i="4"/>
  <c r="M3" i="4"/>
  <c r="H3" i="4"/>
  <c r="D3" i="4"/>
  <c r="Z2" i="4"/>
  <c r="Y2" i="4"/>
  <c r="X2" i="4"/>
  <c r="W2" i="4"/>
  <c r="O2" i="4"/>
  <c r="N2" i="4"/>
  <c r="M2" i="4"/>
  <c r="H2" i="4"/>
  <c r="D2" i="4"/>
  <c r="K527" i="1"/>
  <c r="J527" i="1"/>
  <c r="I527" i="1"/>
  <c r="H527" i="1"/>
  <c r="G527" i="1"/>
  <c r="F527" i="1"/>
  <c r="E527" i="1"/>
  <c r="D527" i="1"/>
  <c r="C527" i="1"/>
  <c r="B527" i="1"/>
  <c r="A527" i="1"/>
  <c r="K526" i="1"/>
  <c r="J526" i="1"/>
  <c r="I526" i="1"/>
  <c r="H526" i="1"/>
  <c r="G526" i="1"/>
  <c r="F526" i="1"/>
  <c r="E526" i="1"/>
  <c r="D526" i="1"/>
  <c r="C526" i="1"/>
  <c r="B526" i="1"/>
  <c r="A526" i="1"/>
  <c r="K525" i="1"/>
  <c r="J525" i="1"/>
  <c r="I525" i="1"/>
  <c r="H525" i="1"/>
  <c r="G525" i="1"/>
  <c r="F525" i="1"/>
  <c r="E525" i="1"/>
  <c r="D525" i="1"/>
  <c r="C525" i="1"/>
  <c r="B525" i="1"/>
  <c r="A525" i="1"/>
  <c r="K524" i="1"/>
  <c r="J524" i="1"/>
  <c r="I524" i="1"/>
  <c r="H524" i="1"/>
  <c r="G524" i="1"/>
  <c r="F524" i="1"/>
  <c r="E524" i="1"/>
  <c r="D524" i="1"/>
  <c r="C524" i="1"/>
  <c r="B524" i="1"/>
  <c r="A524" i="1"/>
  <c r="K523" i="1"/>
  <c r="J523" i="1"/>
  <c r="I523" i="1"/>
  <c r="H523" i="1"/>
  <c r="G523" i="1"/>
  <c r="F523" i="1"/>
  <c r="E523" i="1"/>
  <c r="D523" i="1"/>
  <c r="C523" i="1"/>
  <c r="B523" i="1"/>
  <c r="A523" i="1"/>
  <c r="K522" i="1"/>
  <c r="J522" i="1"/>
  <c r="I522" i="1"/>
  <c r="H522" i="1"/>
  <c r="G522" i="1"/>
  <c r="F522" i="1"/>
  <c r="E522" i="1"/>
  <c r="D522" i="1"/>
  <c r="C522" i="1"/>
  <c r="B522" i="1"/>
  <c r="A522" i="1"/>
  <c r="K521" i="1"/>
  <c r="J521" i="1"/>
  <c r="I521" i="1"/>
  <c r="H521" i="1"/>
  <c r="G521" i="1"/>
  <c r="F521" i="1"/>
  <c r="E521" i="1"/>
  <c r="D521" i="1"/>
  <c r="C521" i="1"/>
  <c r="B521" i="1"/>
  <c r="A521" i="1"/>
  <c r="K520" i="1"/>
  <c r="J520" i="1"/>
  <c r="I520" i="1"/>
  <c r="H520" i="1"/>
  <c r="G520" i="1"/>
  <c r="F520" i="1"/>
  <c r="E520" i="1"/>
  <c r="D520" i="1"/>
  <c r="C520" i="1"/>
  <c r="B520" i="1"/>
  <c r="A520" i="1"/>
  <c r="K519" i="1"/>
  <c r="J519" i="1"/>
  <c r="I519" i="1"/>
  <c r="H519" i="1"/>
  <c r="G519" i="1"/>
  <c r="F519" i="1"/>
  <c r="E519" i="1"/>
  <c r="D519" i="1"/>
  <c r="C519" i="1"/>
  <c r="B519" i="1"/>
  <c r="A519" i="1"/>
  <c r="K518" i="1"/>
  <c r="J518" i="1"/>
  <c r="I518" i="1"/>
  <c r="H518" i="1"/>
  <c r="G518" i="1"/>
  <c r="F518" i="1"/>
  <c r="E518" i="1"/>
  <c r="D518" i="1"/>
  <c r="C518" i="1"/>
  <c r="B518" i="1"/>
  <c r="A518" i="1"/>
  <c r="K517" i="1"/>
  <c r="J517" i="1"/>
  <c r="I517" i="1"/>
  <c r="H517" i="1"/>
  <c r="G517" i="1"/>
  <c r="F517" i="1"/>
  <c r="E517" i="1"/>
  <c r="D517" i="1"/>
  <c r="C517" i="1"/>
  <c r="B517" i="1"/>
  <c r="A517" i="1"/>
  <c r="K516" i="1"/>
  <c r="J516" i="1"/>
  <c r="I516" i="1"/>
  <c r="H516" i="1"/>
  <c r="G516" i="1"/>
  <c r="F516" i="1"/>
  <c r="E516" i="1"/>
  <c r="D516" i="1"/>
  <c r="C516" i="1"/>
  <c r="B516" i="1"/>
  <c r="A516" i="1"/>
  <c r="K515" i="1"/>
  <c r="J515" i="1"/>
  <c r="I515" i="1"/>
  <c r="H515" i="1"/>
  <c r="G515" i="1"/>
  <c r="F515" i="1"/>
  <c r="E515" i="1"/>
  <c r="D515" i="1"/>
  <c r="C515" i="1"/>
  <c r="B515" i="1"/>
  <c r="A515" i="1"/>
  <c r="K514" i="1"/>
  <c r="J514" i="1"/>
  <c r="I514" i="1"/>
  <c r="H514" i="1"/>
  <c r="G514" i="1"/>
  <c r="F514" i="1"/>
  <c r="E514" i="1"/>
  <c r="D514" i="1"/>
  <c r="C514" i="1"/>
  <c r="B514" i="1"/>
  <c r="A514" i="1"/>
  <c r="K513" i="1"/>
  <c r="J513" i="1"/>
  <c r="I513" i="1"/>
  <c r="H513" i="1"/>
  <c r="G513" i="1"/>
  <c r="F513" i="1"/>
  <c r="E513" i="1"/>
  <c r="D513" i="1"/>
  <c r="C513" i="1"/>
  <c r="B513" i="1"/>
  <c r="A513" i="1"/>
  <c r="K512" i="1"/>
  <c r="J512" i="1"/>
  <c r="I512" i="1"/>
  <c r="H512" i="1"/>
  <c r="G512" i="1"/>
  <c r="F512" i="1"/>
  <c r="E512" i="1"/>
  <c r="D512" i="1"/>
  <c r="C512" i="1"/>
  <c r="B512" i="1"/>
  <c r="A512" i="1"/>
  <c r="K511" i="1"/>
  <c r="J511" i="1"/>
  <c r="I511" i="1"/>
  <c r="H511" i="1"/>
  <c r="G511" i="1"/>
  <c r="F511" i="1"/>
  <c r="E511" i="1"/>
  <c r="D511" i="1"/>
  <c r="C511" i="1"/>
  <c r="B511" i="1"/>
  <c r="A511" i="1"/>
  <c r="K510" i="1"/>
  <c r="J510" i="1"/>
  <c r="I510" i="1"/>
  <c r="H510" i="1"/>
  <c r="G510" i="1"/>
  <c r="F510" i="1"/>
  <c r="E510" i="1"/>
  <c r="D510" i="1"/>
  <c r="C510" i="1"/>
  <c r="B510" i="1"/>
  <c r="A510" i="1"/>
  <c r="K509" i="1"/>
  <c r="J509" i="1"/>
  <c r="I509" i="1"/>
  <c r="H509" i="1"/>
  <c r="G509" i="1"/>
  <c r="F509" i="1"/>
  <c r="E509" i="1"/>
  <c r="D509" i="1"/>
  <c r="C509" i="1"/>
  <c r="B509" i="1"/>
  <c r="A509" i="1"/>
  <c r="K508" i="1"/>
  <c r="J508" i="1"/>
  <c r="I508" i="1"/>
  <c r="H508" i="1"/>
  <c r="G508" i="1"/>
  <c r="F508" i="1"/>
  <c r="E508" i="1"/>
  <c r="D508" i="1"/>
  <c r="C508" i="1"/>
  <c r="B508" i="1"/>
  <c r="A508" i="1"/>
  <c r="K507" i="1"/>
  <c r="J507" i="1"/>
  <c r="I507" i="1"/>
  <c r="H507" i="1"/>
  <c r="G507" i="1"/>
  <c r="F507" i="1"/>
  <c r="E507" i="1"/>
  <c r="D507" i="1"/>
  <c r="C507" i="1"/>
  <c r="B507" i="1"/>
  <c r="A507" i="1"/>
  <c r="K506" i="1"/>
  <c r="J506" i="1"/>
  <c r="I506" i="1"/>
  <c r="H506" i="1"/>
  <c r="G506" i="1"/>
  <c r="F506" i="1"/>
  <c r="E506" i="1"/>
  <c r="D506" i="1"/>
  <c r="C506" i="1"/>
  <c r="B506" i="1"/>
  <c r="A506" i="1"/>
  <c r="K505" i="1"/>
  <c r="J505" i="1"/>
  <c r="I505" i="1"/>
  <c r="H505" i="1"/>
  <c r="G505" i="1"/>
  <c r="F505" i="1"/>
  <c r="E505" i="1"/>
  <c r="D505" i="1"/>
  <c r="C505" i="1"/>
  <c r="B505" i="1"/>
  <c r="A505" i="1"/>
  <c r="K504" i="1"/>
  <c r="J504" i="1"/>
  <c r="I504" i="1"/>
  <c r="H504" i="1"/>
  <c r="G504" i="1"/>
  <c r="F504" i="1"/>
  <c r="E504" i="1"/>
  <c r="D504" i="1"/>
  <c r="C504" i="1"/>
  <c r="B504" i="1"/>
  <c r="A504" i="1"/>
  <c r="K503" i="1"/>
  <c r="J503" i="1"/>
  <c r="I503" i="1"/>
  <c r="H503" i="1"/>
  <c r="G503" i="1"/>
  <c r="F503" i="1"/>
  <c r="E503" i="1"/>
  <c r="D503" i="1"/>
  <c r="C503" i="1"/>
  <c r="B503" i="1"/>
  <c r="A503" i="1"/>
  <c r="K502" i="1"/>
  <c r="J502" i="1"/>
  <c r="I502" i="1"/>
  <c r="H502" i="1"/>
  <c r="G502" i="1"/>
  <c r="F502" i="1"/>
  <c r="E502" i="1"/>
  <c r="D502" i="1"/>
  <c r="C502" i="1"/>
  <c r="B502" i="1"/>
  <c r="A502" i="1"/>
  <c r="K501" i="1"/>
  <c r="J501" i="1"/>
  <c r="I501" i="1"/>
  <c r="H501" i="1"/>
  <c r="G501" i="1"/>
  <c r="F501" i="1"/>
  <c r="E501" i="1"/>
  <c r="D501" i="1"/>
  <c r="C501" i="1"/>
  <c r="B501" i="1"/>
  <c r="A501" i="1"/>
  <c r="K500" i="1"/>
  <c r="J500" i="1"/>
  <c r="I500" i="1"/>
  <c r="H500" i="1"/>
  <c r="G500" i="1"/>
  <c r="F500" i="1"/>
  <c r="E500" i="1"/>
  <c r="D500" i="1"/>
  <c r="C500" i="1"/>
  <c r="B500" i="1"/>
  <c r="A500" i="1"/>
  <c r="K499" i="1"/>
  <c r="J499" i="1"/>
  <c r="I499" i="1"/>
  <c r="H499" i="1"/>
  <c r="G499" i="1"/>
  <c r="F499" i="1"/>
  <c r="E499" i="1"/>
  <c r="D499" i="1"/>
  <c r="C499" i="1"/>
  <c r="B499" i="1"/>
  <c r="A499" i="1"/>
  <c r="K498" i="1"/>
  <c r="J498" i="1"/>
  <c r="I498" i="1"/>
  <c r="H498" i="1"/>
  <c r="G498" i="1"/>
  <c r="F498" i="1"/>
  <c r="E498" i="1"/>
  <c r="D498" i="1"/>
  <c r="C498" i="1"/>
  <c r="B498" i="1"/>
  <c r="A498" i="1"/>
  <c r="K497" i="1"/>
  <c r="J497" i="1"/>
  <c r="I497" i="1"/>
  <c r="H497" i="1"/>
  <c r="G497" i="1"/>
  <c r="F497" i="1"/>
  <c r="E497" i="1"/>
  <c r="D497" i="1"/>
  <c r="C497" i="1"/>
  <c r="B497" i="1"/>
  <c r="A497" i="1"/>
  <c r="K496" i="1"/>
  <c r="J496" i="1"/>
  <c r="I496" i="1"/>
  <c r="H496" i="1"/>
  <c r="G496" i="1"/>
  <c r="F496" i="1"/>
  <c r="E496" i="1"/>
  <c r="D496" i="1"/>
  <c r="C496" i="1"/>
  <c r="B496" i="1"/>
  <c r="A496" i="1"/>
  <c r="K495" i="1"/>
  <c r="J495" i="1"/>
  <c r="I495" i="1"/>
  <c r="H495" i="1"/>
  <c r="G495" i="1"/>
  <c r="F495" i="1"/>
  <c r="E495" i="1"/>
  <c r="D495" i="1"/>
  <c r="C495" i="1"/>
  <c r="B495" i="1"/>
  <c r="A495" i="1"/>
  <c r="K494" i="1"/>
  <c r="J494" i="1"/>
  <c r="I494" i="1"/>
  <c r="H494" i="1"/>
  <c r="G494" i="1"/>
  <c r="F494" i="1"/>
  <c r="E494" i="1"/>
  <c r="D494" i="1"/>
  <c r="C494" i="1"/>
  <c r="B494" i="1"/>
  <c r="A494" i="1"/>
  <c r="K493" i="1"/>
  <c r="J493" i="1"/>
  <c r="I493" i="1"/>
  <c r="H493" i="1"/>
  <c r="G493" i="1"/>
  <c r="F493" i="1"/>
  <c r="E493" i="1"/>
  <c r="D493" i="1"/>
  <c r="C493" i="1"/>
  <c r="B493" i="1"/>
  <c r="A493" i="1"/>
  <c r="K492" i="1"/>
  <c r="J492" i="1"/>
  <c r="I492" i="1"/>
  <c r="H492" i="1"/>
  <c r="G492" i="1"/>
  <c r="F492" i="1"/>
  <c r="E492" i="1"/>
  <c r="D492" i="1"/>
  <c r="C492" i="1"/>
  <c r="B492" i="1"/>
  <c r="A492" i="1"/>
  <c r="K491" i="1"/>
  <c r="J491" i="1"/>
  <c r="I491" i="1"/>
  <c r="H491" i="1"/>
  <c r="G491" i="1"/>
  <c r="F491" i="1"/>
  <c r="E491" i="1"/>
  <c r="D491" i="1"/>
  <c r="C491" i="1"/>
  <c r="B491" i="1"/>
  <c r="A491" i="1"/>
  <c r="K490" i="1"/>
  <c r="J490" i="1"/>
  <c r="I490" i="1"/>
  <c r="H490" i="1"/>
  <c r="G490" i="1"/>
  <c r="F490" i="1"/>
  <c r="E490" i="1"/>
  <c r="D490" i="1"/>
  <c r="C490" i="1"/>
  <c r="B490" i="1"/>
  <c r="A490" i="1"/>
  <c r="K489" i="1"/>
  <c r="J489" i="1"/>
  <c r="I489" i="1"/>
  <c r="H489" i="1"/>
  <c r="G489" i="1"/>
  <c r="F489" i="1"/>
  <c r="E489" i="1"/>
  <c r="D489" i="1"/>
  <c r="C489" i="1"/>
  <c r="B489" i="1"/>
  <c r="A489" i="1"/>
  <c r="K488" i="1"/>
  <c r="J488" i="1"/>
  <c r="I488" i="1"/>
  <c r="H488" i="1"/>
  <c r="G488" i="1"/>
  <c r="F488" i="1"/>
  <c r="E488" i="1"/>
  <c r="D488" i="1"/>
  <c r="C488" i="1"/>
  <c r="B488" i="1"/>
  <c r="A488" i="1"/>
  <c r="K487" i="1"/>
  <c r="J487" i="1"/>
  <c r="I487" i="1"/>
  <c r="H487" i="1"/>
  <c r="G487" i="1"/>
  <c r="F487" i="1"/>
  <c r="E487" i="1"/>
  <c r="D487" i="1"/>
  <c r="C487" i="1"/>
  <c r="B487" i="1"/>
  <c r="A487" i="1"/>
  <c r="K486" i="1"/>
  <c r="J486" i="1"/>
  <c r="I486" i="1"/>
  <c r="H486" i="1"/>
  <c r="G486" i="1"/>
  <c r="F486" i="1"/>
  <c r="E486" i="1"/>
  <c r="D486" i="1"/>
  <c r="C486" i="1"/>
  <c r="B486" i="1"/>
  <c r="A486" i="1"/>
  <c r="K485" i="1"/>
  <c r="J485" i="1"/>
  <c r="I485" i="1"/>
  <c r="H485" i="1"/>
  <c r="G485" i="1"/>
  <c r="F485" i="1"/>
  <c r="E485" i="1"/>
  <c r="D485" i="1"/>
  <c r="C485" i="1"/>
  <c r="B485" i="1"/>
  <c r="A485" i="1"/>
  <c r="K484" i="1"/>
  <c r="J484" i="1"/>
  <c r="I484" i="1"/>
  <c r="H484" i="1"/>
  <c r="G484" i="1"/>
  <c r="F484" i="1"/>
  <c r="E484" i="1"/>
  <c r="D484" i="1"/>
  <c r="C484" i="1"/>
  <c r="B484" i="1"/>
  <c r="A484" i="1"/>
  <c r="K483" i="1"/>
  <c r="J483" i="1"/>
  <c r="I483" i="1"/>
  <c r="H483" i="1"/>
  <c r="G483" i="1"/>
  <c r="F483" i="1"/>
  <c r="E483" i="1"/>
  <c r="D483" i="1"/>
  <c r="C483" i="1"/>
  <c r="B483" i="1"/>
  <c r="A483" i="1"/>
  <c r="K482" i="1"/>
  <c r="J482" i="1"/>
  <c r="I482" i="1"/>
  <c r="H482" i="1"/>
  <c r="G482" i="1"/>
  <c r="F482" i="1"/>
  <c r="E482" i="1"/>
  <c r="D482" i="1"/>
  <c r="C482" i="1"/>
  <c r="B482" i="1"/>
  <c r="A482" i="1"/>
  <c r="K481" i="1"/>
  <c r="J481" i="1"/>
  <c r="I481" i="1"/>
  <c r="H481" i="1"/>
  <c r="G481" i="1"/>
  <c r="F481" i="1"/>
  <c r="E481" i="1"/>
  <c r="D481" i="1"/>
  <c r="C481" i="1"/>
  <c r="B481" i="1"/>
  <c r="A481" i="1"/>
  <c r="K480" i="1"/>
  <c r="J480" i="1"/>
  <c r="I480" i="1"/>
  <c r="H480" i="1"/>
  <c r="G480" i="1"/>
  <c r="F480" i="1"/>
  <c r="E480" i="1"/>
  <c r="D480" i="1"/>
  <c r="C480" i="1"/>
  <c r="B480" i="1"/>
  <c r="A480" i="1"/>
  <c r="K479" i="1"/>
  <c r="J479" i="1"/>
  <c r="I479" i="1"/>
  <c r="H479" i="1"/>
  <c r="G479" i="1"/>
  <c r="F479" i="1"/>
  <c r="E479" i="1"/>
  <c r="D479" i="1"/>
  <c r="C479" i="1"/>
  <c r="B479" i="1"/>
  <c r="A479" i="1"/>
  <c r="K478" i="1"/>
  <c r="J478" i="1"/>
  <c r="I478" i="1"/>
  <c r="H478" i="1"/>
  <c r="G478" i="1"/>
  <c r="F478" i="1"/>
  <c r="E478" i="1"/>
  <c r="D478" i="1"/>
  <c r="C478" i="1"/>
  <c r="B478" i="1"/>
  <c r="A478" i="1"/>
  <c r="K477" i="1"/>
  <c r="J477" i="1"/>
  <c r="I477" i="1"/>
  <c r="H477" i="1"/>
  <c r="G477" i="1"/>
  <c r="F477" i="1"/>
  <c r="E477" i="1"/>
  <c r="D477" i="1"/>
  <c r="C477" i="1"/>
  <c r="B477" i="1"/>
  <c r="A477" i="1"/>
  <c r="K476" i="1"/>
  <c r="J476" i="1"/>
  <c r="I476" i="1"/>
  <c r="H476" i="1"/>
  <c r="G476" i="1"/>
  <c r="F476" i="1"/>
  <c r="E476" i="1"/>
  <c r="D476" i="1"/>
  <c r="C476" i="1"/>
  <c r="B476" i="1"/>
  <c r="A476" i="1"/>
  <c r="K475" i="1"/>
  <c r="J475" i="1"/>
  <c r="I475" i="1"/>
  <c r="H475" i="1"/>
  <c r="G475" i="1"/>
  <c r="F475" i="1"/>
  <c r="E475" i="1"/>
  <c r="D475" i="1"/>
  <c r="C475" i="1"/>
  <c r="B475" i="1"/>
  <c r="A475" i="1"/>
  <c r="K474" i="1"/>
  <c r="J474" i="1"/>
  <c r="I474" i="1"/>
  <c r="H474" i="1"/>
  <c r="G474" i="1"/>
  <c r="F474" i="1"/>
  <c r="E474" i="1"/>
  <c r="D474" i="1"/>
  <c r="C474" i="1"/>
  <c r="B474" i="1"/>
  <c r="A474" i="1"/>
  <c r="K473" i="1"/>
  <c r="J473" i="1"/>
  <c r="I473" i="1"/>
  <c r="H473" i="1"/>
  <c r="G473" i="1"/>
  <c r="F473" i="1"/>
  <c r="E473" i="1"/>
  <c r="D473" i="1"/>
  <c r="C473" i="1"/>
  <c r="B473" i="1"/>
  <c r="A473" i="1"/>
  <c r="K472" i="1"/>
  <c r="J472" i="1"/>
  <c r="I472" i="1"/>
  <c r="H472" i="1"/>
  <c r="G472" i="1"/>
  <c r="F472" i="1"/>
  <c r="E472" i="1"/>
  <c r="D472" i="1"/>
  <c r="C472" i="1"/>
  <c r="B472" i="1"/>
  <c r="A472" i="1"/>
  <c r="K471" i="1"/>
  <c r="J471" i="1"/>
  <c r="I471" i="1"/>
  <c r="H471" i="1"/>
  <c r="G471" i="1"/>
  <c r="F471" i="1"/>
  <c r="E471" i="1"/>
  <c r="D471" i="1"/>
  <c r="C471" i="1"/>
  <c r="B471" i="1"/>
  <c r="A471" i="1"/>
  <c r="K470" i="1"/>
  <c r="J470" i="1"/>
  <c r="I470" i="1"/>
  <c r="H470" i="1"/>
  <c r="G470" i="1"/>
  <c r="F470" i="1"/>
  <c r="E470" i="1"/>
  <c r="D470" i="1"/>
  <c r="C470" i="1"/>
  <c r="B470" i="1"/>
  <c r="A470" i="1"/>
  <c r="K469" i="1"/>
  <c r="J469" i="1"/>
  <c r="I469" i="1"/>
  <c r="H469" i="1"/>
  <c r="G469" i="1"/>
  <c r="F469" i="1"/>
  <c r="E469" i="1"/>
  <c r="D469" i="1"/>
  <c r="C469" i="1"/>
  <c r="B469" i="1"/>
  <c r="A469" i="1"/>
  <c r="K468" i="1"/>
  <c r="J468" i="1"/>
  <c r="I468" i="1"/>
  <c r="H468" i="1"/>
  <c r="G468" i="1"/>
  <c r="F468" i="1"/>
  <c r="E468" i="1"/>
  <c r="D468" i="1"/>
  <c r="C468" i="1"/>
  <c r="B468" i="1"/>
  <c r="A468" i="1"/>
  <c r="K467" i="1"/>
  <c r="J467" i="1"/>
  <c r="I467" i="1"/>
  <c r="H467" i="1"/>
  <c r="G467" i="1"/>
  <c r="F467" i="1"/>
  <c r="E467" i="1"/>
  <c r="D467" i="1"/>
  <c r="C467" i="1"/>
  <c r="B467" i="1"/>
  <c r="A467" i="1"/>
  <c r="K466" i="1"/>
  <c r="J466" i="1"/>
  <c r="I466" i="1"/>
  <c r="H466" i="1"/>
  <c r="G466" i="1"/>
  <c r="F466" i="1"/>
  <c r="E466" i="1"/>
  <c r="D466" i="1"/>
  <c r="C466" i="1"/>
  <c r="B466" i="1"/>
  <c r="A466" i="1"/>
  <c r="K465" i="1"/>
  <c r="J465" i="1"/>
  <c r="I465" i="1"/>
  <c r="H465" i="1"/>
  <c r="G465" i="1"/>
  <c r="F465" i="1"/>
  <c r="E465" i="1"/>
  <c r="D465" i="1"/>
  <c r="C465" i="1"/>
  <c r="B465" i="1"/>
  <c r="A465" i="1"/>
  <c r="K464" i="1"/>
  <c r="J464" i="1"/>
  <c r="I464" i="1"/>
  <c r="H464" i="1"/>
  <c r="G464" i="1"/>
  <c r="F464" i="1"/>
  <c r="E464" i="1"/>
  <c r="D464" i="1"/>
  <c r="C464" i="1"/>
  <c r="B464" i="1"/>
  <c r="A464" i="1"/>
  <c r="K463" i="1"/>
  <c r="J463" i="1"/>
  <c r="I463" i="1"/>
  <c r="H463" i="1"/>
  <c r="G463" i="1"/>
  <c r="F463" i="1"/>
  <c r="E463" i="1"/>
  <c r="D463" i="1"/>
  <c r="C463" i="1"/>
  <c r="B463" i="1"/>
  <c r="A463" i="1"/>
  <c r="K462" i="1"/>
  <c r="J462" i="1"/>
  <c r="I462" i="1"/>
  <c r="H462" i="1"/>
  <c r="G462" i="1"/>
  <c r="F462" i="1"/>
  <c r="E462" i="1"/>
  <c r="D462" i="1"/>
  <c r="C462" i="1"/>
  <c r="B462" i="1"/>
  <c r="A462" i="1"/>
  <c r="K461" i="1"/>
  <c r="J461" i="1"/>
  <c r="I461" i="1"/>
  <c r="H461" i="1"/>
  <c r="G461" i="1"/>
  <c r="F461" i="1"/>
  <c r="E461" i="1"/>
  <c r="D461" i="1"/>
  <c r="C461" i="1"/>
  <c r="B461" i="1"/>
  <c r="A461" i="1"/>
  <c r="K460" i="1"/>
  <c r="J460" i="1"/>
  <c r="I460" i="1"/>
  <c r="H460" i="1"/>
  <c r="G460" i="1"/>
  <c r="F460" i="1"/>
  <c r="E460" i="1"/>
  <c r="D460" i="1"/>
  <c r="C460" i="1"/>
  <c r="B460" i="1"/>
  <c r="A460" i="1"/>
  <c r="K459" i="1"/>
  <c r="J459" i="1"/>
  <c r="I459" i="1"/>
  <c r="H459" i="1"/>
  <c r="G459" i="1"/>
  <c r="F459" i="1"/>
  <c r="E459" i="1"/>
  <c r="D459" i="1"/>
  <c r="C459" i="1"/>
  <c r="B459" i="1"/>
  <c r="A459" i="1"/>
  <c r="K458" i="1"/>
  <c r="J458" i="1"/>
  <c r="I458" i="1"/>
  <c r="H458" i="1"/>
  <c r="G458" i="1"/>
  <c r="F458" i="1"/>
  <c r="E458" i="1"/>
  <c r="D458" i="1"/>
  <c r="C458" i="1"/>
  <c r="B458" i="1"/>
  <c r="A458" i="1"/>
  <c r="K457" i="1"/>
  <c r="J457" i="1"/>
  <c r="I457" i="1"/>
  <c r="H457" i="1"/>
  <c r="G457" i="1"/>
  <c r="F457" i="1"/>
  <c r="E457" i="1"/>
  <c r="D457" i="1"/>
  <c r="C457" i="1"/>
  <c r="B457" i="1"/>
  <c r="A457" i="1"/>
  <c r="K456" i="1"/>
  <c r="J456" i="1"/>
  <c r="I456" i="1"/>
  <c r="H456" i="1"/>
  <c r="G456" i="1"/>
  <c r="F456" i="1"/>
  <c r="E456" i="1"/>
  <c r="D456" i="1"/>
  <c r="C456" i="1"/>
  <c r="B456" i="1"/>
  <c r="A456" i="1"/>
  <c r="K455" i="1"/>
  <c r="J455" i="1"/>
  <c r="I455" i="1"/>
  <c r="H455" i="1"/>
  <c r="G455" i="1"/>
  <c r="F455" i="1"/>
  <c r="E455" i="1"/>
  <c r="D455" i="1"/>
  <c r="C455" i="1"/>
  <c r="B455" i="1"/>
  <c r="A455" i="1"/>
  <c r="K454" i="1"/>
  <c r="J454" i="1"/>
  <c r="I454" i="1"/>
  <c r="H454" i="1"/>
  <c r="G454" i="1"/>
  <c r="F454" i="1"/>
  <c r="E454" i="1"/>
  <c r="D454" i="1"/>
  <c r="C454" i="1"/>
  <c r="B454" i="1"/>
  <c r="A454" i="1"/>
  <c r="K453" i="1"/>
  <c r="J453" i="1"/>
  <c r="I453" i="1"/>
  <c r="H453" i="1"/>
  <c r="G453" i="1"/>
  <c r="F453" i="1"/>
  <c r="E453" i="1"/>
  <c r="D453" i="1"/>
  <c r="C453" i="1"/>
  <c r="B453" i="1"/>
  <c r="A453" i="1"/>
  <c r="K452" i="1"/>
  <c r="J452" i="1"/>
  <c r="I452" i="1"/>
  <c r="H452" i="1"/>
  <c r="G452" i="1"/>
  <c r="F452" i="1"/>
  <c r="E452" i="1"/>
  <c r="D452" i="1"/>
  <c r="C452" i="1"/>
  <c r="B452" i="1"/>
  <c r="A452" i="1"/>
  <c r="K451" i="1"/>
  <c r="J451" i="1"/>
  <c r="I451" i="1"/>
  <c r="H451" i="1"/>
  <c r="G451" i="1"/>
  <c r="F451" i="1"/>
  <c r="E451" i="1"/>
  <c r="D451" i="1"/>
  <c r="C451" i="1"/>
  <c r="B451" i="1"/>
  <c r="A451" i="1"/>
  <c r="K450" i="1"/>
  <c r="J450" i="1"/>
  <c r="I450" i="1"/>
  <c r="H450" i="1"/>
  <c r="G450" i="1"/>
  <c r="F450" i="1"/>
  <c r="E450" i="1"/>
  <c r="D450" i="1"/>
  <c r="C450" i="1"/>
  <c r="B450" i="1"/>
  <c r="A450" i="1"/>
  <c r="K449" i="1"/>
  <c r="J449" i="1"/>
  <c r="I449" i="1"/>
  <c r="H449" i="1"/>
  <c r="G449" i="1"/>
  <c r="F449" i="1"/>
  <c r="E449" i="1"/>
  <c r="D449" i="1"/>
  <c r="C449" i="1"/>
  <c r="B449" i="1"/>
  <c r="A449" i="1"/>
  <c r="K448" i="1"/>
  <c r="J448" i="1"/>
  <c r="I448" i="1"/>
  <c r="H448" i="1"/>
  <c r="G448" i="1"/>
  <c r="F448" i="1"/>
  <c r="E448" i="1"/>
  <c r="D448" i="1"/>
  <c r="C448" i="1"/>
  <c r="B448" i="1"/>
  <c r="A448" i="1"/>
  <c r="K447" i="1"/>
  <c r="J447" i="1"/>
  <c r="I447" i="1"/>
  <c r="H447" i="1"/>
  <c r="G447" i="1"/>
  <c r="F447" i="1"/>
  <c r="E447" i="1"/>
  <c r="D447" i="1"/>
  <c r="C447" i="1"/>
  <c r="B447" i="1"/>
  <c r="A447" i="1"/>
  <c r="K446" i="1"/>
  <c r="J446" i="1"/>
  <c r="I446" i="1"/>
  <c r="H446" i="1"/>
  <c r="G446" i="1"/>
  <c r="F446" i="1"/>
  <c r="E446" i="1"/>
  <c r="D446" i="1"/>
  <c r="C446" i="1"/>
  <c r="B446" i="1"/>
  <c r="A446" i="1"/>
  <c r="K445" i="1"/>
  <c r="J445" i="1"/>
  <c r="I445" i="1"/>
  <c r="H445" i="1"/>
  <c r="G445" i="1"/>
  <c r="F445" i="1"/>
  <c r="E445" i="1"/>
  <c r="D445" i="1"/>
  <c r="C445" i="1"/>
  <c r="B445" i="1"/>
  <c r="A445" i="1"/>
  <c r="K444" i="1"/>
  <c r="J444" i="1"/>
  <c r="I444" i="1"/>
  <c r="H444" i="1"/>
  <c r="G444" i="1"/>
  <c r="F444" i="1"/>
  <c r="E444" i="1"/>
  <c r="D444" i="1"/>
  <c r="C444" i="1"/>
  <c r="B444" i="1"/>
  <c r="A444" i="1"/>
  <c r="K443" i="1"/>
  <c r="J443" i="1"/>
  <c r="I443" i="1"/>
  <c r="H443" i="1"/>
  <c r="G443" i="1"/>
  <c r="F443" i="1"/>
  <c r="E443" i="1"/>
  <c r="D443" i="1"/>
  <c r="C443" i="1"/>
  <c r="B443" i="1"/>
  <c r="A443" i="1"/>
  <c r="K442" i="1"/>
  <c r="J442" i="1"/>
  <c r="I442" i="1"/>
  <c r="H442" i="1"/>
  <c r="G442" i="1"/>
  <c r="F442" i="1"/>
  <c r="E442" i="1"/>
  <c r="D442" i="1"/>
  <c r="C442" i="1"/>
  <c r="B442" i="1"/>
  <c r="A442" i="1"/>
  <c r="K441" i="1"/>
  <c r="J441" i="1"/>
  <c r="I441" i="1"/>
  <c r="H441" i="1"/>
  <c r="G441" i="1"/>
  <c r="F441" i="1"/>
  <c r="E441" i="1"/>
  <c r="D441" i="1"/>
  <c r="C441" i="1"/>
  <c r="B441" i="1"/>
  <c r="A441" i="1"/>
  <c r="K440" i="1"/>
  <c r="J440" i="1"/>
  <c r="I440" i="1"/>
  <c r="H440" i="1"/>
  <c r="G440" i="1"/>
  <c r="F440" i="1"/>
  <c r="E440" i="1"/>
  <c r="D440" i="1"/>
  <c r="C440" i="1"/>
  <c r="B440" i="1"/>
  <c r="A440" i="1"/>
  <c r="K439" i="1"/>
  <c r="J439" i="1"/>
  <c r="I439" i="1"/>
  <c r="H439" i="1"/>
  <c r="G439" i="1"/>
  <c r="F439" i="1"/>
  <c r="E439" i="1"/>
  <c r="D439" i="1"/>
  <c r="C439" i="1"/>
  <c r="B439" i="1"/>
  <c r="A439" i="1"/>
  <c r="K438" i="1"/>
  <c r="J438" i="1"/>
  <c r="I438" i="1"/>
  <c r="H438" i="1"/>
  <c r="G438" i="1"/>
  <c r="F438" i="1"/>
  <c r="E438" i="1"/>
  <c r="D438" i="1"/>
  <c r="C438" i="1"/>
  <c r="B438" i="1"/>
  <c r="A438" i="1"/>
  <c r="K437" i="1"/>
  <c r="J437" i="1"/>
  <c r="I437" i="1"/>
  <c r="H437" i="1"/>
  <c r="G437" i="1"/>
  <c r="F437" i="1"/>
  <c r="E437" i="1"/>
  <c r="D437" i="1"/>
  <c r="C437" i="1"/>
  <c r="B437" i="1"/>
  <c r="A437" i="1"/>
  <c r="K436" i="1"/>
  <c r="J436" i="1"/>
  <c r="I436" i="1"/>
  <c r="H436" i="1"/>
  <c r="G436" i="1"/>
  <c r="F436" i="1"/>
  <c r="E436" i="1"/>
  <c r="D436" i="1"/>
  <c r="C436" i="1"/>
  <c r="B436" i="1"/>
  <c r="A436" i="1"/>
  <c r="K435" i="1"/>
  <c r="J435" i="1"/>
  <c r="I435" i="1"/>
  <c r="H435" i="1"/>
  <c r="G435" i="1"/>
  <c r="F435" i="1"/>
  <c r="E435" i="1"/>
  <c r="D435" i="1"/>
  <c r="C435" i="1"/>
  <c r="B435" i="1"/>
  <c r="A435" i="1"/>
  <c r="K434" i="1"/>
  <c r="J434" i="1"/>
  <c r="I434" i="1"/>
  <c r="H434" i="1"/>
  <c r="G434" i="1"/>
  <c r="F434" i="1"/>
  <c r="E434" i="1"/>
  <c r="D434" i="1"/>
  <c r="C434" i="1"/>
  <c r="B434" i="1"/>
  <c r="A434" i="1"/>
  <c r="K433" i="1"/>
  <c r="J433" i="1"/>
  <c r="I433" i="1"/>
  <c r="H433" i="1"/>
  <c r="G433" i="1"/>
  <c r="F433" i="1"/>
  <c r="E433" i="1"/>
  <c r="D433" i="1"/>
  <c r="C433" i="1"/>
  <c r="B433" i="1"/>
  <c r="A433" i="1"/>
  <c r="K432" i="1"/>
  <c r="J432" i="1"/>
  <c r="I432" i="1"/>
  <c r="H432" i="1"/>
  <c r="G432" i="1"/>
  <c r="F432" i="1"/>
  <c r="E432" i="1"/>
  <c r="D432" i="1"/>
  <c r="C432" i="1"/>
  <c r="B432" i="1"/>
  <c r="A432" i="1"/>
  <c r="K431" i="1"/>
  <c r="J431" i="1"/>
  <c r="I431" i="1"/>
  <c r="H431" i="1"/>
  <c r="G431" i="1"/>
  <c r="F431" i="1"/>
  <c r="E431" i="1"/>
  <c r="D431" i="1"/>
  <c r="C431" i="1"/>
  <c r="B431" i="1"/>
  <c r="A431" i="1"/>
  <c r="K430" i="1"/>
  <c r="J430" i="1"/>
  <c r="I430" i="1"/>
  <c r="H430" i="1"/>
  <c r="G430" i="1"/>
  <c r="F430" i="1"/>
  <c r="E430" i="1"/>
  <c r="D430" i="1"/>
  <c r="C430" i="1"/>
  <c r="B430" i="1"/>
  <c r="A430" i="1"/>
  <c r="K429" i="1"/>
  <c r="J429" i="1"/>
  <c r="I429" i="1"/>
  <c r="H429" i="1"/>
  <c r="G429" i="1"/>
  <c r="F429" i="1"/>
  <c r="E429" i="1"/>
  <c r="D429" i="1"/>
  <c r="C429" i="1"/>
  <c r="B429" i="1"/>
  <c r="A429" i="1"/>
  <c r="K428" i="1"/>
  <c r="J428" i="1"/>
  <c r="I428" i="1"/>
  <c r="H428" i="1"/>
  <c r="G428" i="1"/>
  <c r="F428" i="1"/>
  <c r="E428" i="1"/>
  <c r="D428" i="1"/>
  <c r="C428" i="1"/>
  <c r="B428" i="1"/>
  <c r="A428" i="1"/>
  <c r="K427" i="1"/>
  <c r="J427" i="1"/>
  <c r="I427" i="1"/>
  <c r="H427" i="1"/>
  <c r="G427" i="1"/>
  <c r="F427" i="1"/>
  <c r="E427" i="1"/>
  <c r="D427" i="1"/>
  <c r="C427" i="1"/>
  <c r="B427" i="1"/>
  <c r="A427" i="1"/>
  <c r="K426" i="1"/>
  <c r="J426" i="1"/>
  <c r="I426" i="1"/>
  <c r="H426" i="1"/>
  <c r="G426" i="1"/>
  <c r="F426" i="1"/>
  <c r="E426" i="1"/>
  <c r="D426" i="1"/>
  <c r="C426" i="1"/>
  <c r="B426" i="1"/>
  <c r="A426" i="1"/>
  <c r="K425" i="1"/>
  <c r="J425" i="1"/>
  <c r="I425" i="1"/>
  <c r="H425" i="1"/>
  <c r="G425" i="1"/>
  <c r="F425" i="1"/>
  <c r="E425" i="1"/>
  <c r="D425" i="1"/>
  <c r="C425" i="1"/>
  <c r="B425" i="1"/>
  <c r="A425" i="1"/>
  <c r="K424" i="1"/>
  <c r="J424" i="1"/>
  <c r="I424" i="1"/>
  <c r="H424" i="1"/>
  <c r="G424" i="1"/>
  <c r="F424" i="1"/>
  <c r="E424" i="1"/>
  <c r="D424" i="1"/>
  <c r="C424" i="1"/>
  <c r="B424" i="1"/>
  <c r="A424" i="1"/>
  <c r="K423" i="1"/>
  <c r="J423" i="1"/>
  <c r="I423" i="1"/>
  <c r="H423" i="1"/>
  <c r="G423" i="1"/>
  <c r="F423" i="1"/>
  <c r="E423" i="1"/>
  <c r="D423" i="1"/>
  <c r="C423" i="1"/>
  <c r="B423" i="1"/>
  <c r="A423" i="1"/>
  <c r="K422" i="1"/>
  <c r="J422" i="1"/>
  <c r="I422" i="1"/>
  <c r="H422" i="1"/>
  <c r="G422" i="1"/>
  <c r="F422" i="1"/>
  <c r="E422" i="1"/>
  <c r="D422" i="1"/>
  <c r="C422" i="1"/>
  <c r="B422" i="1"/>
  <c r="A422" i="1"/>
  <c r="K421" i="1"/>
  <c r="J421" i="1"/>
  <c r="I421" i="1"/>
  <c r="H421" i="1"/>
  <c r="G421" i="1"/>
  <c r="F421" i="1"/>
  <c r="E421" i="1"/>
  <c r="D421" i="1"/>
  <c r="C421" i="1"/>
  <c r="B421" i="1"/>
  <c r="A421" i="1"/>
  <c r="K420" i="1"/>
  <c r="J420" i="1"/>
  <c r="I420" i="1"/>
  <c r="H420" i="1"/>
  <c r="G420" i="1"/>
  <c r="F420" i="1"/>
  <c r="E420" i="1"/>
  <c r="D420" i="1"/>
  <c r="C420" i="1"/>
  <c r="B420" i="1"/>
  <c r="A420" i="1"/>
  <c r="K419" i="1"/>
  <c r="J419" i="1"/>
  <c r="I419" i="1"/>
  <c r="H419" i="1"/>
  <c r="G419" i="1"/>
  <c r="F419" i="1"/>
  <c r="E419" i="1"/>
  <c r="D419" i="1"/>
  <c r="C419" i="1"/>
  <c r="B419" i="1"/>
  <c r="A419" i="1"/>
  <c r="K418" i="1"/>
  <c r="J418" i="1"/>
  <c r="I418" i="1"/>
  <c r="H418" i="1"/>
  <c r="G418" i="1"/>
  <c r="F418" i="1"/>
  <c r="E418" i="1"/>
  <c r="D418" i="1"/>
  <c r="C418" i="1"/>
  <c r="B418" i="1"/>
  <c r="A418" i="1"/>
  <c r="K417" i="1"/>
  <c r="J417" i="1"/>
  <c r="I417" i="1"/>
  <c r="H417" i="1"/>
  <c r="G417" i="1"/>
  <c r="F417" i="1"/>
  <c r="E417" i="1"/>
  <c r="D417" i="1"/>
  <c r="C417" i="1"/>
  <c r="B417" i="1"/>
  <c r="A417" i="1"/>
  <c r="K416" i="1"/>
  <c r="J416" i="1"/>
  <c r="I416" i="1"/>
  <c r="H416" i="1"/>
  <c r="G416" i="1"/>
  <c r="F416" i="1"/>
  <c r="E416" i="1"/>
  <c r="D416" i="1"/>
  <c r="C416" i="1"/>
  <c r="B416" i="1"/>
  <c r="A416" i="1"/>
  <c r="K415" i="1"/>
  <c r="J415" i="1"/>
  <c r="I415" i="1"/>
  <c r="H415" i="1"/>
  <c r="G415" i="1"/>
  <c r="F415" i="1"/>
  <c r="E415" i="1"/>
  <c r="D415" i="1"/>
  <c r="C415" i="1"/>
  <c r="B415" i="1"/>
  <c r="A415" i="1"/>
  <c r="K414" i="1"/>
  <c r="J414" i="1"/>
  <c r="I414" i="1"/>
  <c r="H414" i="1"/>
  <c r="G414" i="1"/>
  <c r="F414" i="1"/>
  <c r="E414" i="1"/>
  <c r="D414" i="1"/>
  <c r="C414" i="1"/>
  <c r="B414" i="1"/>
  <c r="A414" i="1"/>
  <c r="K413" i="1"/>
  <c r="J413" i="1"/>
  <c r="I413" i="1"/>
  <c r="H413" i="1"/>
  <c r="G413" i="1"/>
  <c r="F413" i="1"/>
  <c r="E413" i="1"/>
  <c r="D413" i="1"/>
  <c r="C413" i="1"/>
  <c r="B413" i="1"/>
  <c r="A413" i="1"/>
  <c r="K412" i="1"/>
  <c r="J412" i="1"/>
  <c r="I412" i="1"/>
  <c r="H412" i="1"/>
  <c r="G412" i="1"/>
  <c r="F412" i="1"/>
  <c r="E412" i="1"/>
  <c r="D412" i="1"/>
  <c r="C412" i="1"/>
  <c r="B412" i="1"/>
  <c r="A412" i="1"/>
  <c r="K411" i="1"/>
  <c r="J411" i="1"/>
  <c r="I411" i="1"/>
  <c r="H411" i="1"/>
  <c r="G411" i="1"/>
  <c r="F411" i="1"/>
  <c r="E411" i="1"/>
  <c r="D411" i="1"/>
  <c r="C411" i="1"/>
  <c r="B411" i="1"/>
  <c r="A411" i="1"/>
  <c r="K410" i="1"/>
  <c r="J410" i="1"/>
  <c r="I410" i="1"/>
  <c r="H410" i="1"/>
  <c r="G410" i="1"/>
  <c r="F410" i="1"/>
  <c r="E410" i="1"/>
  <c r="D410" i="1"/>
  <c r="C410" i="1"/>
  <c r="B410" i="1"/>
  <c r="A410" i="1"/>
  <c r="K409" i="1"/>
  <c r="J409" i="1"/>
  <c r="I409" i="1"/>
  <c r="H409" i="1"/>
  <c r="G409" i="1"/>
  <c r="F409" i="1"/>
  <c r="E409" i="1"/>
  <c r="D409" i="1"/>
  <c r="C409" i="1"/>
  <c r="B409" i="1"/>
  <c r="A409" i="1"/>
  <c r="K408" i="1"/>
  <c r="J408" i="1"/>
  <c r="I408" i="1"/>
  <c r="H408" i="1"/>
  <c r="G408" i="1"/>
  <c r="F408" i="1"/>
  <c r="E408" i="1"/>
  <c r="D408" i="1"/>
  <c r="C408" i="1"/>
  <c r="B408" i="1"/>
  <c r="A408" i="1"/>
  <c r="K407" i="1"/>
  <c r="J407" i="1"/>
  <c r="I407" i="1"/>
  <c r="H407" i="1"/>
  <c r="G407" i="1"/>
  <c r="F407" i="1"/>
  <c r="E407" i="1"/>
  <c r="D407" i="1"/>
  <c r="C407" i="1"/>
  <c r="B407" i="1"/>
  <c r="A407" i="1"/>
  <c r="K406" i="1"/>
  <c r="J406" i="1"/>
  <c r="I406" i="1"/>
  <c r="H406" i="1"/>
  <c r="G406" i="1"/>
  <c r="F406" i="1"/>
  <c r="E406" i="1"/>
  <c r="D406" i="1"/>
  <c r="C406" i="1"/>
  <c r="B406" i="1"/>
  <c r="A406" i="1"/>
  <c r="K405" i="1"/>
  <c r="J405" i="1"/>
  <c r="I405" i="1"/>
  <c r="H405" i="1"/>
  <c r="G405" i="1"/>
  <c r="F405" i="1"/>
  <c r="E405" i="1"/>
  <c r="D405" i="1"/>
  <c r="C405" i="1"/>
  <c r="B405" i="1"/>
  <c r="A405" i="1"/>
  <c r="K404" i="1"/>
  <c r="J404" i="1"/>
  <c r="I404" i="1"/>
  <c r="H404" i="1"/>
  <c r="G404" i="1"/>
  <c r="F404" i="1"/>
  <c r="E404" i="1"/>
  <c r="D404" i="1"/>
  <c r="C404" i="1"/>
  <c r="B404" i="1"/>
  <c r="A404" i="1"/>
  <c r="K403" i="1"/>
  <c r="J403" i="1"/>
  <c r="I403" i="1"/>
  <c r="H403" i="1"/>
  <c r="G403" i="1"/>
  <c r="F403" i="1"/>
  <c r="E403" i="1"/>
  <c r="D403" i="1"/>
  <c r="C403" i="1"/>
  <c r="B403" i="1"/>
  <c r="A403" i="1"/>
  <c r="K402" i="1"/>
  <c r="J402" i="1"/>
  <c r="I402" i="1"/>
  <c r="H402" i="1"/>
  <c r="G402" i="1"/>
  <c r="F402" i="1"/>
  <c r="E402" i="1"/>
  <c r="D402" i="1"/>
  <c r="C402" i="1"/>
  <c r="B402" i="1"/>
  <c r="A402" i="1"/>
  <c r="K401" i="1"/>
  <c r="J401" i="1"/>
  <c r="I401" i="1"/>
  <c r="H401" i="1"/>
  <c r="G401" i="1"/>
  <c r="F401" i="1"/>
  <c r="E401" i="1"/>
  <c r="D401" i="1"/>
  <c r="C401" i="1"/>
  <c r="B401" i="1"/>
  <c r="A401" i="1"/>
  <c r="K400" i="1"/>
  <c r="J400" i="1"/>
  <c r="I400" i="1"/>
  <c r="H400" i="1"/>
  <c r="G400" i="1"/>
  <c r="F400" i="1"/>
  <c r="E400" i="1"/>
  <c r="D400" i="1"/>
  <c r="C400" i="1"/>
  <c r="B400" i="1"/>
  <c r="A400" i="1"/>
  <c r="K399" i="1"/>
  <c r="J399" i="1"/>
  <c r="I399" i="1"/>
  <c r="H399" i="1"/>
  <c r="G399" i="1"/>
  <c r="F399" i="1"/>
  <c r="E399" i="1"/>
  <c r="D399" i="1"/>
  <c r="C399" i="1"/>
  <c r="B399" i="1"/>
  <c r="A399" i="1"/>
  <c r="K398" i="1"/>
  <c r="J398" i="1"/>
  <c r="I398" i="1"/>
  <c r="H398" i="1"/>
  <c r="G398" i="1"/>
  <c r="F398" i="1"/>
  <c r="E398" i="1"/>
  <c r="D398" i="1"/>
  <c r="C398" i="1"/>
  <c r="B398" i="1"/>
  <c r="A398" i="1"/>
  <c r="K397" i="1"/>
  <c r="J397" i="1"/>
  <c r="I397" i="1"/>
  <c r="H397" i="1"/>
  <c r="G397" i="1"/>
  <c r="F397" i="1"/>
  <c r="E397" i="1"/>
  <c r="D397" i="1"/>
  <c r="C397" i="1"/>
  <c r="B397" i="1"/>
  <c r="A397" i="1"/>
  <c r="K396" i="1"/>
  <c r="J396" i="1"/>
  <c r="I396" i="1"/>
  <c r="H396" i="1"/>
  <c r="G396" i="1"/>
  <c r="F396" i="1"/>
  <c r="E396" i="1"/>
  <c r="D396" i="1"/>
  <c r="C396" i="1"/>
  <c r="B396" i="1"/>
  <c r="A396" i="1"/>
  <c r="K395" i="1"/>
  <c r="J395" i="1"/>
  <c r="I395" i="1"/>
  <c r="H395" i="1"/>
  <c r="G395" i="1"/>
  <c r="F395" i="1"/>
  <c r="E395" i="1"/>
  <c r="D395" i="1"/>
  <c r="C395" i="1"/>
  <c r="B395" i="1"/>
  <c r="A395" i="1"/>
  <c r="K394" i="1"/>
  <c r="J394" i="1"/>
  <c r="I394" i="1"/>
  <c r="H394" i="1"/>
  <c r="G394" i="1"/>
  <c r="F394" i="1"/>
  <c r="E394" i="1"/>
  <c r="D394" i="1"/>
  <c r="C394" i="1"/>
  <c r="B394" i="1"/>
  <c r="A394" i="1"/>
  <c r="K393" i="1"/>
  <c r="J393" i="1"/>
  <c r="I393" i="1"/>
  <c r="H393" i="1"/>
  <c r="G393" i="1"/>
  <c r="F393" i="1"/>
  <c r="E393" i="1"/>
  <c r="D393" i="1"/>
  <c r="C393" i="1"/>
  <c r="B393" i="1"/>
  <c r="A393" i="1"/>
  <c r="K392" i="1"/>
  <c r="J392" i="1"/>
  <c r="I392" i="1"/>
  <c r="H392" i="1"/>
  <c r="G392" i="1"/>
  <c r="F392" i="1"/>
  <c r="E392" i="1"/>
  <c r="D392" i="1"/>
  <c r="C392" i="1"/>
  <c r="B392" i="1"/>
  <c r="A392" i="1"/>
  <c r="K391" i="1"/>
  <c r="J391" i="1"/>
  <c r="I391" i="1"/>
  <c r="H391" i="1"/>
  <c r="G391" i="1"/>
  <c r="F391" i="1"/>
  <c r="E391" i="1"/>
  <c r="D391" i="1"/>
  <c r="C391" i="1"/>
  <c r="B391" i="1"/>
  <c r="A391" i="1"/>
  <c r="K390" i="1"/>
  <c r="J390" i="1"/>
  <c r="I390" i="1"/>
  <c r="H390" i="1"/>
  <c r="G390" i="1"/>
  <c r="F390" i="1"/>
  <c r="E390" i="1"/>
  <c r="D390" i="1"/>
  <c r="C390" i="1"/>
  <c r="B390" i="1"/>
  <c r="A390" i="1"/>
  <c r="K389" i="1"/>
  <c r="J389" i="1"/>
  <c r="I389" i="1"/>
  <c r="H389" i="1"/>
  <c r="G389" i="1"/>
  <c r="F389" i="1"/>
  <c r="E389" i="1"/>
  <c r="D389" i="1"/>
  <c r="C389" i="1"/>
  <c r="B389" i="1"/>
  <c r="A389" i="1"/>
  <c r="K388" i="1"/>
  <c r="J388" i="1"/>
  <c r="I388" i="1"/>
  <c r="H388" i="1"/>
  <c r="G388" i="1"/>
  <c r="F388" i="1"/>
  <c r="E388" i="1"/>
  <c r="D388" i="1"/>
  <c r="C388" i="1"/>
  <c r="B388" i="1"/>
  <c r="A388" i="1"/>
  <c r="K387" i="1"/>
  <c r="J387" i="1"/>
  <c r="I387" i="1"/>
  <c r="H387" i="1"/>
  <c r="G387" i="1"/>
  <c r="F387" i="1"/>
  <c r="E387" i="1"/>
  <c r="D387" i="1"/>
  <c r="C387" i="1"/>
  <c r="B387" i="1"/>
  <c r="A387" i="1"/>
  <c r="K386" i="1"/>
  <c r="J386" i="1"/>
  <c r="I386" i="1"/>
  <c r="H386" i="1"/>
  <c r="G386" i="1"/>
  <c r="F386" i="1"/>
  <c r="E386" i="1"/>
  <c r="D386" i="1"/>
  <c r="C386" i="1"/>
  <c r="B386" i="1"/>
  <c r="A386" i="1"/>
  <c r="K385" i="1"/>
  <c r="J385" i="1"/>
  <c r="I385" i="1"/>
  <c r="H385" i="1"/>
  <c r="G385" i="1"/>
  <c r="F385" i="1"/>
  <c r="E385" i="1"/>
  <c r="D385" i="1"/>
  <c r="C385" i="1"/>
  <c r="B385" i="1"/>
  <c r="A385" i="1"/>
  <c r="K384" i="1"/>
  <c r="J384" i="1"/>
  <c r="I384" i="1"/>
  <c r="H384" i="1"/>
  <c r="G384" i="1"/>
  <c r="F384" i="1"/>
  <c r="E384" i="1"/>
  <c r="D384" i="1"/>
  <c r="C384" i="1"/>
  <c r="B384" i="1"/>
  <c r="A384" i="1"/>
  <c r="K383" i="1"/>
  <c r="J383" i="1"/>
  <c r="I383" i="1"/>
  <c r="H383" i="1"/>
  <c r="G383" i="1"/>
  <c r="F383" i="1"/>
  <c r="E383" i="1"/>
  <c r="D383" i="1"/>
  <c r="C383" i="1"/>
  <c r="B383" i="1"/>
  <c r="A383" i="1"/>
  <c r="K382" i="1"/>
  <c r="J382" i="1"/>
  <c r="I382" i="1"/>
  <c r="H382" i="1"/>
  <c r="G382" i="1"/>
  <c r="F382" i="1"/>
  <c r="E382" i="1"/>
  <c r="D382" i="1"/>
  <c r="C382" i="1"/>
  <c r="B382" i="1"/>
  <c r="A382" i="1"/>
  <c r="K381" i="1"/>
  <c r="J381" i="1"/>
  <c r="I381" i="1"/>
  <c r="H381" i="1"/>
  <c r="G381" i="1"/>
  <c r="F381" i="1"/>
  <c r="E381" i="1"/>
  <c r="D381" i="1"/>
  <c r="C381" i="1"/>
  <c r="B381" i="1"/>
  <c r="A381" i="1"/>
  <c r="K380" i="1"/>
  <c r="J380" i="1"/>
  <c r="I380" i="1"/>
  <c r="H380" i="1"/>
  <c r="G380" i="1"/>
  <c r="F380" i="1"/>
  <c r="E380" i="1"/>
  <c r="D380" i="1"/>
  <c r="C380" i="1"/>
  <c r="B380" i="1"/>
  <c r="A380" i="1"/>
  <c r="K379" i="1"/>
  <c r="J379" i="1"/>
  <c r="I379" i="1"/>
  <c r="H379" i="1"/>
  <c r="G379" i="1"/>
  <c r="F379" i="1"/>
  <c r="E379" i="1"/>
  <c r="D379" i="1"/>
  <c r="C379" i="1"/>
  <c r="B379" i="1"/>
  <c r="A379" i="1"/>
  <c r="K378" i="1"/>
  <c r="J378" i="1"/>
  <c r="I378" i="1"/>
  <c r="H378" i="1"/>
  <c r="G378" i="1"/>
  <c r="F378" i="1"/>
  <c r="E378" i="1"/>
  <c r="D378" i="1"/>
  <c r="C378" i="1"/>
  <c r="B378" i="1"/>
  <c r="A378" i="1"/>
  <c r="K377" i="1"/>
  <c r="J377" i="1"/>
  <c r="I377" i="1"/>
  <c r="H377" i="1"/>
  <c r="G377" i="1"/>
  <c r="F377" i="1"/>
  <c r="E377" i="1"/>
  <c r="D377" i="1"/>
  <c r="C377" i="1"/>
  <c r="B377" i="1"/>
  <c r="A377" i="1"/>
  <c r="K376" i="1"/>
  <c r="J376" i="1"/>
  <c r="I376" i="1"/>
  <c r="H376" i="1"/>
  <c r="G376" i="1"/>
  <c r="F376" i="1"/>
  <c r="E376" i="1"/>
  <c r="D376" i="1"/>
  <c r="C376" i="1"/>
  <c r="B376" i="1"/>
  <c r="A376" i="1"/>
  <c r="K375" i="1"/>
  <c r="J375" i="1"/>
  <c r="I375" i="1"/>
  <c r="H375" i="1"/>
  <c r="G375" i="1"/>
  <c r="F375" i="1"/>
  <c r="E375" i="1"/>
  <c r="D375" i="1"/>
  <c r="C375" i="1"/>
  <c r="B375" i="1"/>
  <c r="A375" i="1"/>
  <c r="K374" i="1"/>
  <c r="J374" i="1"/>
  <c r="I374" i="1"/>
  <c r="H374" i="1"/>
  <c r="G374" i="1"/>
  <c r="F374" i="1"/>
  <c r="E374" i="1"/>
  <c r="D374" i="1"/>
  <c r="C374" i="1"/>
  <c r="B374" i="1"/>
  <c r="A374" i="1"/>
  <c r="K373" i="1"/>
  <c r="J373" i="1"/>
  <c r="I373" i="1"/>
  <c r="H373" i="1"/>
  <c r="G373" i="1"/>
  <c r="F373" i="1"/>
  <c r="E373" i="1"/>
  <c r="D373" i="1"/>
  <c r="C373" i="1"/>
  <c r="B373" i="1"/>
  <c r="A373" i="1"/>
  <c r="K372" i="1"/>
  <c r="J372" i="1"/>
  <c r="I372" i="1"/>
  <c r="H372" i="1"/>
  <c r="G372" i="1"/>
  <c r="F372" i="1"/>
  <c r="E372" i="1"/>
  <c r="D372" i="1"/>
  <c r="C372" i="1"/>
  <c r="B372" i="1"/>
  <c r="A372" i="1"/>
  <c r="K371" i="1"/>
  <c r="J371" i="1"/>
  <c r="I371" i="1"/>
  <c r="H371" i="1"/>
  <c r="G371" i="1"/>
  <c r="F371" i="1"/>
  <c r="E371" i="1"/>
  <c r="D371" i="1"/>
  <c r="C371" i="1"/>
  <c r="B371" i="1"/>
  <c r="A371" i="1"/>
  <c r="K370" i="1"/>
  <c r="J370" i="1"/>
  <c r="I370" i="1"/>
  <c r="H370" i="1"/>
  <c r="G370" i="1"/>
  <c r="F370" i="1"/>
  <c r="E370" i="1"/>
  <c r="D370" i="1"/>
  <c r="C370" i="1"/>
  <c r="B370" i="1"/>
  <c r="A370" i="1"/>
  <c r="K369" i="1"/>
  <c r="J369" i="1"/>
  <c r="I369" i="1"/>
  <c r="H369" i="1"/>
  <c r="G369" i="1"/>
  <c r="F369" i="1"/>
  <c r="E369" i="1"/>
  <c r="D369" i="1"/>
  <c r="C369" i="1"/>
  <c r="B369" i="1"/>
  <c r="A369" i="1"/>
  <c r="K368" i="1"/>
  <c r="J368" i="1"/>
  <c r="I368" i="1"/>
  <c r="H368" i="1"/>
  <c r="G368" i="1"/>
  <c r="F368" i="1"/>
  <c r="E368" i="1"/>
  <c r="D368" i="1"/>
  <c r="C368" i="1"/>
  <c r="B368" i="1"/>
  <c r="A368" i="1"/>
  <c r="K367" i="1"/>
  <c r="J367" i="1"/>
  <c r="I367" i="1"/>
  <c r="H367" i="1"/>
  <c r="G367" i="1"/>
  <c r="F367" i="1"/>
  <c r="E367" i="1"/>
  <c r="D367" i="1"/>
  <c r="C367" i="1"/>
  <c r="B367" i="1"/>
  <c r="A367" i="1"/>
  <c r="K366" i="1"/>
  <c r="J366" i="1"/>
  <c r="I366" i="1"/>
  <c r="H366" i="1"/>
  <c r="G366" i="1"/>
  <c r="F366" i="1"/>
  <c r="E366" i="1"/>
  <c r="D366" i="1"/>
  <c r="C366" i="1"/>
  <c r="B366" i="1"/>
  <c r="A366" i="1"/>
  <c r="K365" i="1"/>
  <c r="J365" i="1"/>
  <c r="I365" i="1"/>
  <c r="H365" i="1"/>
  <c r="G365" i="1"/>
  <c r="F365" i="1"/>
  <c r="E365" i="1"/>
  <c r="D365" i="1"/>
  <c r="C365" i="1"/>
  <c r="B365" i="1"/>
  <c r="A365" i="1"/>
  <c r="K364" i="1"/>
  <c r="J364" i="1"/>
  <c r="I364" i="1"/>
  <c r="H364" i="1"/>
  <c r="G364" i="1"/>
  <c r="F364" i="1"/>
  <c r="E364" i="1"/>
  <c r="D364" i="1"/>
  <c r="C364" i="1"/>
  <c r="B364" i="1"/>
  <c r="A364" i="1"/>
  <c r="K363" i="1"/>
  <c r="J363" i="1"/>
  <c r="I363" i="1"/>
  <c r="H363" i="1"/>
  <c r="G363" i="1"/>
  <c r="F363" i="1"/>
  <c r="E363" i="1"/>
  <c r="D363" i="1"/>
  <c r="C363" i="1"/>
  <c r="B363" i="1"/>
  <c r="A363" i="1"/>
  <c r="K362" i="1"/>
  <c r="J362" i="1"/>
  <c r="I362" i="1"/>
  <c r="H362" i="1"/>
  <c r="G362" i="1"/>
  <c r="F362" i="1"/>
  <c r="E362" i="1"/>
  <c r="D362" i="1"/>
  <c r="C362" i="1"/>
  <c r="B362" i="1"/>
  <c r="A362" i="1"/>
  <c r="K361" i="1"/>
  <c r="J361" i="1"/>
  <c r="I361" i="1"/>
  <c r="H361" i="1"/>
  <c r="G361" i="1"/>
  <c r="F361" i="1"/>
  <c r="E361" i="1"/>
  <c r="D361" i="1"/>
  <c r="C361" i="1"/>
  <c r="B361" i="1"/>
  <c r="A361" i="1"/>
  <c r="K360" i="1"/>
  <c r="J360" i="1"/>
  <c r="I360" i="1"/>
  <c r="H360" i="1"/>
  <c r="G360" i="1"/>
  <c r="F360" i="1"/>
  <c r="E360" i="1"/>
  <c r="D360" i="1"/>
  <c r="C360" i="1"/>
  <c r="B360" i="1"/>
  <c r="A360" i="1"/>
  <c r="K359" i="1"/>
  <c r="J359" i="1"/>
  <c r="I359" i="1"/>
  <c r="H359" i="1"/>
  <c r="G359" i="1"/>
  <c r="F359" i="1"/>
  <c r="E359" i="1"/>
  <c r="D359" i="1"/>
  <c r="C359" i="1"/>
  <c r="B359" i="1"/>
  <c r="A359" i="1"/>
  <c r="K358" i="1"/>
  <c r="J358" i="1"/>
  <c r="I358" i="1"/>
  <c r="H358" i="1"/>
  <c r="G358" i="1"/>
  <c r="F358" i="1"/>
  <c r="E358" i="1"/>
  <c r="D358" i="1"/>
  <c r="C358" i="1"/>
  <c r="B358" i="1"/>
  <c r="A358" i="1"/>
  <c r="K357" i="1"/>
  <c r="J357" i="1"/>
  <c r="I357" i="1"/>
  <c r="H357" i="1"/>
  <c r="G357" i="1"/>
  <c r="F357" i="1"/>
  <c r="E357" i="1"/>
  <c r="D357" i="1"/>
  <c r="C357" i="1"/>
  <c r="B357" i="1"/>
  <c r="A357" i="1"/>
  <c r="K356" i="1"/>
  <c r="J356" i="1"/>
  <c r="I356" i="1"/>
  <c r="H356" i="1"/>
  <c r="G356" i="1"/>
  <c r="F356" i="1"/>
  <c r="E356" i="1"/>
  <c r="D356" i="1"/>
  <c r="C356" i="1"/>
  <c r="B356" i="1"/>
  <c r="A356" i="1"/>
  <c r="K355" i="1"/>
  <c r="J355" i="1"/>
  <c r="I355" i="1"/>
  <c r="H355" i="1"/>
  <c r="G355" i="1"/>
  <c r="F355" i="1"/>
  <c r="E355" i="1"/>
  <c r="D355" i="1"/>
  <c r="C355" i="1"/>
  <c r="B355" i="1"/>
  <c r="A355" i="1"/>
  <c r="K354" i="1"/>
  <c r="J354" i="1"/>
  <c r="I354" i="1"/>
  <c r="H354" i="1"/>
  <c r="G354" i="1"/>
  <c r="F354" i="1"/>
  <c r="E354" i="1"/>
  <c r="D354" i="1"/>
  <c r="C354" i="1"/>
  <c r="B354" i="1"/>
  <c r="A354" i="1"/>
  <c r="K353" i="1"/>
  <c r="J353" i="1"/>
  <c r="I353" i="1"/>
  <c r="H353" i="1"/>
  <c r="G353" i="1"/>
  <c r="F353" i="1"/>
  <c r="E353" i="1"/>
  <c r="D353" i="1"/>
  <c r="C353" i="1"/>
  <c r="B353" i="1"/>
  <c r="A353" i="1"/>
  <c r="K352" i="1"/>
  <c r="J352" i="1"/>
  <c r="I352" i="1"/>
  <c r="H352" i="1"/>
  <c r="G352" i="1"/>
  <c r="F352" i="1"/>
  <c r="E352" i="1"/>
  <c r="D352" i="1"/>
  <c r="C352" i="1"/>
  <c r="B352" i="1"/>
  <c r="A352" i="1"/>
  <c r="K351" i="1"/>
  <c r="J351" i="1"/>
  <c r="I351" i="1"/>
  <c r="H351" i="1"/>
  <c r="G351" i="1"/>
  <c r="F351" i="1"/>
  <c r="E351" i="1"/>
  <c r="D351" i="1"/>
  <c r="C351" i="1"/>
  <c r="B351" i="1"/>
  <c r="A351" i="1"/>
  <c r="K350" i="1"/>
  <c r="J350" i="1"/>
  <c r="I350" i="1"/>
  <c r="H350" i="1"/>
  <c r="G350" i="1"/>
  <c r="F350" i="1"/>
  <c r="E350" i="1"/>
  <c r="D350" i="1"/>
  <c r="C350" i="1"/>
  <c r="B350" i="1"/>
  <c r="A350" i="1"/>
  <c r="K349" i="1"/>
  <c r="J349" i="1"/>
  <c r="I349" i="1"/>
  <c r="H349" i="1"/>
  <c r="G349" i="1"/>
  <c r="F349" i="1"/>
  <c r="E349" i="1"/>
  <c r="D349" i="1"/>
  <c r="C349" i="1"/>
  <c r="B349" i="1"/>
  <c r="A349" i="1"/>
  <c r="K348" i="1"/>
  <c r="J348" i="1"/>
  <c r="I348" i="1"/>
  <c r="H348" i="1"/>
  <c r="G348" i="1"/>
  <c r="F348" i="1"/>
  <c r="E348" i="1"/>
  <c r="D348" i="1"/>
  <c r="C348" i="1"/>
  <c r="B348" i="1"/>
  <c r="A348" i="1"/>
  <c r="K347" i="1"/>
  <c r="J347" i="1"/>
  <c r="I347" i="1"/>
  <c r="H347" i="1"/>
  <c r="G347" i="1"/>
  <c r="F347" i="1"/>
  <c r="E347" i="1"/>
  <c r="D347" i="1"/>
  <c r="C347" i="1"/>
  <c r="B347" i="1"/>
  <c r="A347" i="1"/>
  <c r="K346" i="1"/>
  <c r="J346" i="1"/>
  <c r="I346" i="1"/>
  <c r="H346" i="1"/>
  <c r="G346" i="1"/>
  <c r="F346" i="1"/>
  <c r="E346" i="1"/>
  <c r="D346" i="1"/>
  <c r="C346" i="1"/>
  <c r="B346" i="1"/>
  <c r="A346" i="1"/>
  <c r="K345" i="1"/>
  <c r="J345" i="1"/>
  <c r="I345" i="1"/>
  <c r="H345" i="1"/>
  <c r="G345" i="1"/>
  <c r="F345" i="1"/>
  <c r="E345" i="1"/>
  <c r="D345" i="1"/>
  <c r="C345" i="1"/>
  <c r="B345" i="1"/>
  <c r="A345" i="1"/>
  <c r="K344" i="1"/>
  <c r="J344" i="1"/>
  <c r="I344" i="1"/>
  <c r="H344" i="1"/>
  <c r="G344" i="1"/>
  <c r="F344" i="1"/>
  <c r="E344" i="1"/>
  <c r="D344" i="1"/>
  <c r="C344" i="1"/>
  <c r="B344" i="1"/>
  <c r="A344" i="1"/>
  <c r="K343" i="1"/>
  <c r="J343" i="1"/>
  <c r="I343" i="1"/>
  <c r="H343" i="1"/>
  <c r="G343" i="1"/>
  <c r="F343" i="1"/>
  <c r="E343" i="1"/>
  <c r="D343" i="1"/>
  <c r="C343" i="1"/>
  <c r="B343" i="1"/>
  <c r="A343" i="1"/>
  <c r="K342" i="1"/>
  <c r="J342" i="1"/>
  <c r="I342" i="1"/>
  <c r="H342" i="1"/>
  <c r="G342" i="1"/>
  <c r="F342" i="1"/>
  <c r="E342" i="1"/>
  <c r="D342" i="1"/>
  <c r="C342" i="1"/>
  <c r="B342" i="1"/>
  <c r="A342" i="1"/>
  <c r="K341" i="1"/>
  <c r="J341" i="1"/>
  <c r="I341" i="1"/>
  <c r="H341" i="1"/>
  <c r="G341" i="1"/>
  <c r="F341" i="1"/>
  <c r="E341" i="1"/>
  <c r="D341" i="1"/>
  <c r="C341" i="1"/>
  <c r="B341" i="1"/>
  <c r="A341" i="1"/>
  <c r="K340" i="1"/>
  <c r="J340" i="1"/>
  <c r="I340" i="1"/>
  <c r="H340" i="1"/>
  <c r="G340" i="1"/>
  <c r="F340" i="1"/>
  <c r="E340" i="1"/>
  <c r="D340" i="1"/>
  <c r="C340" i="1"/>
  <c r="B340" i="1"/>
  <c r="A340" i="1"/>
  <c r="K339" i="1"/>
  <c r="J339" i="1"/>
  <c r="I339" i="1"/>
  <c r="H339" i="1"/>
  <c r="G339" i="1"/>
  <c r="F339" i="1"/>
  <c r="E339" i="1"/>
  <c r="D339" i="1"/>
  <c r="C339" i="1"/>
  <c r="B339" i="1"/>
  <c r="A339" i="1"/>
  <c r="K338" i="1"/>
  <c r="J338" i="1"/>
  <c r="I338" i="1"/>
  <c r="H338" i="1"/>
  <c r="G338" i="1"/>
  <c r="F338" i="1"/>
  <c r="E338" i="1"/>
  <c r="D338" i="1"/>
  <c r="C338" i="1"/>
  <c r="B338" i="1"/>
  <c r="A338" i="1"/>
  <c r="K337" i="1"/>
  <c r="J337" i="1"/>
  <c r="I337" i="1"/>
  <c r="H337" i="1"/>
  <c r="G337" i="1"/>
  <c r="F337" i="1"/>
  <c r="E337" i="1"/>
  <c r="D337" i="1"/>
  <c r="C337" i="1"/>
  <c r="B337" i="1"/>
  <c r="A337" i="1"/>
  <c r="K336" i="1"/>
  <c r="J336" i="1"/>
  <c r="I336" i="1"/>
  <c r="H336" i="1"/>
  <c r="G336" i="1"/>
  <c r="F336" i="1"/>
  <c r="E336" i="1"/>
  <c r="D336" i="1"/>
  <c r="C336" i="1"/>
  <c r="B336" i="1"/>
  <c r="A336" i="1"/>
  <c r="K335" i="1"/>
  <c r="J335" i="1"/>
  <c r="I335" i="1"/>
  <c r="H335" i="1"/>
  <c r="G335" i="1"/>
  <c r="F335" i="1"/>
  <c r="E335" i="1"/>
  <c r="D335" i="1"/>
  <c r="C335" i="1"/>
  <c r="B335" i="1"/>
  <c r="A335" i="1"/>
  <c r="K334" i="1"/>
  <c r="J334" i="1"/>
  <c r="I334" i="1"/>
  <c r="H334" i="1"/>
  <c r="G334" i="1"/>
  <c r="F334" i="1"/>
  <c r="E334" i="1"/>
  <c r="D334" i="1"/>
  <c r="C334" i="1"/>
  <c r="B334" i="1"/>
  <c r="A334" i="1"/>
  <c r="K333" i="1"/>
  <c r="J333" i="1"/>
  <c r="I333" i="1"/>
  <c r="H333" i="1"/>
  <c r="G333" i="1"/>
  <c r="F333" i="1"/>
  <c r="E333" i="1"/>
  <c r="D333" i="1"/>
  <c r="C333" i="1"/>
  <c r="B333" i="1"/>
  <c r="A333" i="1"/>
  <c r="K332" i="1"/>
  <c r="J332" i="1"/>
  <c r="I332" i="1"/>
  <c r="H332" i="1"/>
  <c r="G332" i="1"/>
  <c r="F332" i="1"/>
  <c r="E332" i="1"/>
  <c r="D332" i="1"/>
  <c r="C332" i="1"/>
  <c r="B332" i="1"/>
  <c r="A332" i="1"/>
  <c r="K331" i="1"/>
  <c r="J331" i="1"/>
  <c r="I331" i="1"/>
  <c r="H331" i="1"/>
  <c r="G331" i="1"/>
  <c r="F331" i="1"/>
  <c r="E331" i="1"/>
  <c r="D331" i="1"/>
  <c r="C331" i="1"/>
  <c r="B331" i="1"/>
  <c r="A331" i="1"/>
  <c r="K330" i="1"/>
  <c r="J330" i="1"/>
  <c r="I330" i="1"/>
  <c r="H330" i="1"/>
  <c r="G330" i="1"/>
  <c r="F330" i="1"/>
  <c r="E330" i="1"/>
  <c r="D330" i="1"/>
  <c r="C330" i="1"/>
  <c r="B330" i="1"/>
  <c r="A330" i="1"/>
  <c r="K329" i="1"/>
  <c r="J329" i="1"/>
  <c r="I329" i="1"/>
  <c r="H329" i="1"/>
  <c r="G329" i="1"/>
  <c r="F329" i="1"/>
  <c r="E329" i="1"/>
  <c r="D329" i="1"/>
  <c r="C329" i="1"/>
  <c r="B329" i="1"/>
  <c r="A329" i="1"/>
  <c r="K328" i="1"/>
  <c r="J328" i="1"/>
  <c r="I328" i="1"/>
  <c r="H328" i="1"/>
  <c r="G328" i="1"/>
  <c r="F328" i="1"/>
  <c r="E328" i="1"/>
  <c r="D328" i="1"/>
  <c r="C328" i="1"/>
  <c r="B328" i="1"/>
  <c r="A328" i="1"/>
  <c r="K327" i="1"/>
  <c r="J327" i="1"/>
  <c r="I327" i="1"/>
  <c r="H327" i="1"/>
  <c r="G327" i="1"/>
  <c r="F327" i="1"/>
  <c r="E327" i="1"/>
  <c r="D327" i="1"/>
  <c r="C327" i="1"/>
  <c r="B327" i="1"/>
  <c r="A327" i="1"/>
  <c r="K326" i="1"/>
  <c r="J326" i="1"/>
  <c r="I326" i="1"/>
  <c r="H326" i="1"/>
  <c r="G326" i="1"/>
  <c r="F326" i="1"/>
  <c r="E326" i="1"/>
  <c r="D326" i="1"/>
  <c r="C326" i="1"/>
  <c r="B326" i="1"/>
  <c r="A326" i="1"/>
  <c r="K325" i="1"/>
  <c r="J325" i="1"/>
  <c r="I325" i="1"/>
  <c r="H325" i="1"/>
  <c r="G325" i="1"/>
  <c r="F325" i="1"/>
  <c r="E325" i="1"/>
  <c r="D325" i="1"/>
  <c r="C325" i="1"/>
  <c r="B325" i="1"/>
  <c r="A325" i="1"/>
  <c r="K324" i="1"/>
  <c r="J324" i="1"/>
  <c r="I324" i="1"/>
  <c r="H324" i="1"/>
  <c r="G324" i="1"/>
  <c r="F324" i="1"/>
  <c r="E324" i="1"/>
  <c r="D324" i="1"/>
  <c r="C324" i="1"/>
  <c r="B324" i="1"/>
  <c r="A324" i="1"/>
  <c r="K323" i="1"/>
  <c r="J323" i="1"/>
  <c r="I323" i="1"/>
  <c r="H323" i="1"/>
  <c r="G323" i="1"/>
  <c r="F323" i="1"/>
  <c r="E323" i="1"/>
  <c r="D323" i="1"/>
  <c r="C323" i="1"/>
  <c r="B323" i="1"/>
  <c r="A323" i="1"/>
  <c r="K322" i="1"/>
  <c r="J322" i="1"/>
  <c r="I322" i="1"/>
  <c r="H322" i="1"/>
  <c r="G322" i="1"/>
  <c r="F322" i="1"/>
  <c r="E322" i="1"/>
  <c r="D322" i="1"/>
  <c r="C322" i="1"/>
  <c r="B322" i="1"/>
  <c r="A322" i="1"/>
  <c r="K321" i="1"/>
  <c r="J321" i="1"/>
  <c r="I321" i="1"/>
  <c r="H321" i="1"/>
  <c r="G321" i="1"/>
  <c r="F321" i="1"/>
  <c r="E321" i="1"/>
  <c r="D321" i="1"/>
  <c r="C321" i="1"/>
  <c r="B321" i="1"/>
  <c r="A321" i="1"/>
  <c r="K320" i="1"/>
  <c r="J320" i="1"/>
  <c r="I320" i="1"/>
  <c r="H320" i="1"/>
  <c r="G320" i="1"/>
  <c r="F320" i="1"/>
  <c r="E320" i="1"/>
  <c r="D320" i="1"/>
  <c r="C320" i="1"/>
  <c r="B320" i="1"/>
  <c r="A320" i="1"/>
  <c r="K319" i="1"/>
  <c r="J319" i="1"/>
  <c r="I319" i="1"/>
  <c r="H319" i="1"/>
  <c r="G319" i="1"/>
  <c r="F319" i="1"/>
  <c r="E319" i="1"/>
  <c r="D319" i="1"/>
  <c r="C319" i="1"/>
  <c r="B319" i="1"/>
  <c r="A319" i="1"/>
  <c r="K318" i="1"/>
  <c r="J318" i="1"/>
  <c r="I318" i="1"/>
  <c r="H318" i="1"/>
  <c r="G318" i="1"/>
  <c r="F318" i="1"/>
  <c r="E318" i="1"/>
  <c r="D318" i="1"/>
  <c r="C318" i="1"/>
  <c r="B318" i="1"/>
  <c r="A318" i="1"/>
  <c r="K317" i="1"/>
  <c r="J317" i="1"/>
  <c r="I317" i="1"/>
  <c r="H317" i="1"/>
  <c r="G317" i="1"/>
  <c r="F317" i="1"/>
  <c r="E317" i="1"/>
  <c r="D317" i="1"/>
  <c r="C317" i="1"/>
  <c r="B317" i="1"/>
  <c r="A317" i="1"/>
  <c r="K316" i="1"/>
  <c r="J316" i="1"/>
  <c r="I316" i="1"/>
  <c r="H316" i="1"/>
  <c r="G316" i="1"/>
  <c r="F316" i="1"/>
  <c r="E316" i="1"/>
  <c r="D316" i="1"/>
  <c r="C316" i="1"/>
  <c r="B316" i="1"/>
  <c r="A316" i="1"/>
  <c r="K315" i="1"/>
  <c r="J315" i="1"/>
  <c r="I315" i="1"/>
  <c r="H315" i="1"/>
  <c r="G315" i="1"/>
  <c r="F315" i="1"/>
  <c r="E315" i="1"/>
  <c r="D315" i="1"/>
  <c r="C315" i="1"/>
  <c r="B315" i="1"/>
  <c r="A315" i="1"/>
  <c r="K314" i="1"/>
  <c r="J314" i="1"/>
  <c r="I314" i="1"/>
  <c r="H314" i="1"/>
  <c r="G314" i="1"/>
  <c r="F314" i="1"/>
  <c r="E314" i="1"/>
  <c r="D314" i="1"/>
  <c r="C314" i="1"/>
  <c r="B314" i="1"/>
  <c r="A314" i="1"/>
  <c r="K313" i="1"/>
  <c r="J313" i="1"/>
  <c r="I313" i="1"/>
  <c r="H313" i="1"/>
  <c r="G313" i="1"/>
  <c r="F313" i="1"/>
  <c r="E313" i="1"/>
  <c r="D313" i="1"/>
  <c r="C313" i="1"/>
  <c r="B313" i="1"/>
  <c r="A313" i="1"/>
  <c r="K312" i="1"/>
  <c r="J312" i="1"/>
  <c r="I312" i="1"/>
  <c r="H312" i="1"/>
  <c r="G312" i="1"/>
  <c r="F312" i="1"/>
  <c r="E312" i="1"/>
  <c r="D312" i="1"/>
  <c r="C312" i="1"/>
  <c r="B312" i="1"/>
  <c r="A312" i="1"/>
  <c r="K311" i="1"/>
  <c r="J311" i="1"/>
  <c r="I311" i="1"/>
  <c r="H311" i="1"/>
  <c r="G311" i="1"/>
  <c r="F311" i="1"/>
  <c r="E311" i="1"/>
  <c r="D311" i="1"/>
  <c r="C311" i="1"/>
  <c r="B311" i="1"/>
  <c r="A311" i="1"/>
  <c r="K310" i="1"/>
  <c r="J310" i="1"/>
  <c r="I310" i="1"/>
  <c r="H310" i="1"/>
  <c r="G310" i="1"/>
  <c r="F310" i="1"/>
  <c r="E310" i="1"/>
  <c r="D310" i="1"/>
  <c r="C310" i="1"/>
  <c r="B310" i="1"/>
  <c r="A310" i="1"/>
  <c r="K309" i="1"/>
  <c r="J309" i="1"/>
  <c r="I309" i="1"/>
  <c r="H309" i="1"/>
  <c r="G309" i="1"/>
  <c r="F309" i="1"/>
  <c r="E309" i="1"/>
  <c r="D309" i="1"/>
  <c r="C309" i="1"/>
  <c r="B309" i="1"/>
  <c r="A309" i="1"/>
  <c r="K308" i="1"/>
  <c r="J308" i="1"/>
  <c r="I308" i="1"/>
  <c r="H308" i="1"/>
  <c r="G308" i="1"/>
  <c r="F308" i="1"/>
  <c r="E308" i="1"/>
  <c r="D308" i="1"/>
  <c r="C308" i="1"/>
  <c r="B308" i="1"/>
  <c r="A308" i="1"/>
  <c r="K307" i="1"/>
  <c r="J307" i="1"/>
  <c r="I307" i="1"/>
  <c r="H307" i="1"/>
  <c r="G307" i="1"/>
  <c r="F307" i="1"/>
  <c r="E307" i="1"/>
  <c r="D307" i="1"/>
  <c r="C307" i="1"/>
  <c r="B307" i="1"/>
  <c r="A307" i="1"/>
  <c r="K306" i="1"/>
  <c r="J306" i="1"/>
  <c r="I306" i="1"/>
  <c r="H306" i="1"/>
  <c r="G306" i="1"/>
  <c r="F306" i="1"/>
  <c r="E306" i="1"/>
  <c r="D306" i="1"/>
  <c r="C306" i="1"/>
  <c r="B306" i="1"/>
  <c r="A306" i="1"/>
  <c r="K305" i="1"/>
  <c r="J305" i="1"/>
  <c r="I305" i="1"/>
  <c r="H305" i="1"/>
  <c r="G305" i="1"/>
  <c r="F305" i="1"/>
  <c r="E305" i="1"/>
  <c r="D305" i="1"/>
  <c r="C305" i="1"/>
  <c r="B305" i="1"/>
  <c r="A305" i="1"/>
  <c r="K304" i="1"/>
  <c r="J304" i="1"/>
  <c r="I304" i="1"/>
  <c r="H304" i="1"/>
  <c r="G304" i="1"/>
  <c r="F304" i="1"/>
  <c r="E304" i="1"/>
  <c r="D304" i="1"/>
  <c r="C304" i="1"/>
  <c r="B304" i="1"/>
  <c r="A304" i="1"/>
  <c r="K303" i="1"/>
  <c r="J303" i="1"/>
  <c r="I303" i="1"/>
  <c r="H303" i="1"/>
  <c r="G303" i="1"/>
  <c r="F303" i="1"/>
  <c r="E303" i="1"/>
  <c r="D303" i="1"/>
  <c r="C303" i="1"/>
  <c r="B303" i="1"/>
  <c r="A303" i="1"/>
  <c r="K302" i="1"/>
  <c r="J302" i="1"/>
  <c r="I302" i="1"/>
  <c r="H302" i="1"/>
  <c r="G302" i="1"/>
  <c r="F302" i="1"/>
  <c r="E302" i="1"/>
  <c r="D302" i="1"/>
  <c r="C302" i="1"/>
  <c r="B302" i="1"/>
  <c r="A302" i="1"/>
  <c r="K301" i="1"/>
  <c r="J301" i="1"/>
  <c r="I301" i="1"/>
  <c r="H301" i="1"/>
  <c r="G301" i="1"/>
  <c r="F301" i="1"/>
  <c r="E301" i="1"/>
  <c r="D301" i="1"/>
  <c r="C301" i="1"/>
  <c r="B301" i="1"/>
  <c r="A301" i="1"/>
  <c r="K300" i="1"/>
  <c r="J300" i="1"/>
  <c r="I300" i="1"/>
  <c r="H300" i="1"/>
  <c r="G300" i="1"/>
  <c r="F300" i="1"/>
  <c r="E300" i="1"/>
  <c r="D300" i="1"/>
  <c r="C300" i="1"/>
  <c r="B300" i="1"/>
  <c r="A300" i="1"/>
  <c r="K299" i="1"/>
  <c r="J299" i="1"/>
  <c r="I299" i="1"/>
  <c r="H299" i="1"/>
  <c r="G299" i="1"/>
  <c r="F299" i="1"/>
  <c r="E299" i="1"/>
  <c r="D299" i="1"/>
  <c r="C299" i="1"/>
  <c r="B299" i="1"/>
  <c r="A299" i="1"/>
  <c r="K298" i="1"/>
  <c r="J298" i="1"/>
  <c r="I298" i="1"/>
  <c r="H298" i="1"/>
  <c r="G298" i="1"/>
  <c r="F298" i="1"/>
  <c r="E298" i="1"/>
  <c r="D298" i="1"/>
  <c r="C298" i="1"/>
  <c r="B298" i="1"/>
  <c r="A298" i="1"/>
  <c r="K297" i="1"/>
  <c r="J297" i="1"/>
  <c r="I297" i="1"/>
  <c r="H297" i="1"/>
  <c r="G297" i="1"/>
  <c r="F297" i="1"/>
  <c r="E297" i="1"/>
  <c r="D297" i="1"/>
  <c r="C297" i="1"/>
  <c r="B297" i="1"/>
  <c r="A297" i="1"/>
  <c r="K296" i="1"/>
  <c r="J296" i="1"/>
  <c r="I296" i="1"/>
  <c r="H296" i="1"/>
  <c r="G296" i="1"/>
  <c r="F296" i="1"/>
  <c r="E296" i="1"/>
  <c r="D296" i="1"/>
  <c r="C296" i="1"/>
  <c r="B296" i="1"/>
  <c r="A296" i="1"/>
  <c r="K295" i="1"/>
  <c r="J295" i="1"/>
  <c r="I295" i="1"/>
  <c r="H295" i="1"/>
  <c r="G295" i="1"/>
  <c r="F295" i="1"/>
  <c r="E295" i="1"/>
  <c r="D295" i="1"/>
  <c r="C295" i="1"/>
  <c r="B295" i="1"/>
  <c r="A295" i="1"/>
  <c r="K294" i="1"/>
  <c r="J294" i="1"/>
  <c r="I294" i="1"/>
  <c r="H294" i="1"/>
  <c r="G294" i="1"/>
  <c r="F294" i="1"/>
  <c r="E294" i="1"/>
  <c r="D294" i="1"/>
  <c r="C294" i="1"/>
  <c r="B294" i="1"/>
  <c r="A294" i="1"/>
  <c r="K293" i="1"/>
  <c r="J293" i="1"/>
  <c r="I293" i="1"/>
  <c r="H293" i="1"/>
  <c r="G293" i="1"/>
  <c r="F293" i="1"/>
  <c r="E293" i="1"/>
  <c r="D293" i="1"/>
  <c r="C293" i="1"/>
  <c r="B293" i="1"/>
  <c r="A293" i="1"/>
  <c r="K292" i="1"/>
  <c r="J292" i="1"/>
  <c r="I292" i="1"/>
  <c r="H292" i="1"/>
  <c r="G292" i="1"/>
  <c r="F292" i="1"/>
  <c r="E292" i="1"/>
  <c r="D292" i="1"/>
  <c r="C292" i="1"/>
  <c r="B292" i="1"/>
  <c r="A292" i="1"/>
  <c r="K291" i="1"/>
  <c r="J291" i="1"/>
  <c r="I291" i="1"/>
  <c r="H291" i="1"/>
  <c r="G291" i="1"/>
  <c r="F291" i="1"/>
  <c r="E291" i="1"/>
  <c r="D291" i="1"/>
  <c r="C291" i="1"/>
  <c r="B291" i="1"/>
  <c r="A291" i="1"/>
  <c r="K290" i="1"/>
  <c r="J290" i="1"/>
  <c r="I290" i="1"/>
  <c r="H290" i="1"/>
  <c r="G290" i="1"/>
  <c r="F290" i="1"/>
  <c r="E290" i="1"/>
  <c r="D290" i="1"/>
  <c r="C290" i="1"/>
  <c r="B290" i="1"/>
  <c r="A290" i="1"/>
  <c r="K289" i="1"/>
  <c r="J289" i="1"/>
  <c r="I289" i="1"/>
  <c r="H289" i="1"/>
  <c r="G289" i="1"/>
  <c r="F289" i="1"/>
  <c r="E289" i="1"/>
  <c r="D289" i="1"/>
  <c r="C289" i="1"/>
  <c r="B289" i="1"/>
  <c r="A289" i="1"/>
  <c r="K288" i="1"/>
  <c r="J288" i="1"/>
  <c r="I288" i="1"/>
  <c r="H288" i="1"/>
  <c r="G288" i="1"/>
  <c r="F288" i="1"/>
  <c r="E288" i="1"/>
  <c r="D288" i="1"/>
  <c r="C288" i="1"/>
  <c r="B288" i="1"/>
  <c r="A288" i="1"/>
  <c r="K287" i="1"/>
  <c r="J287" i="1"/>
  <c r="I287" i="1"/>
  <c r="H287" i="1"/>
  <c r="G287" i="1"/>
  <c r="F287" i="1"/>
  <c r="E287" i="1"/>
  <c r="D287" i="1"/>
  <c r="C287" i="1"/>
  <c r="B287" i="1"/>
  <c r="A287" i="1"/>
  <c r="K286" i="1"/>
  <c r="J286" i="1"/>
  <c r="I286" i="1"/>
  <c r="H286" i="1"/>
  <c r="G286" i="1"/>
  <c r="F286" i="1"/>
  <c r="E286" i="1"/>
  <c r="D286" i="1"/>
  <c r="C286" i="1"/>
  <c r="B286" i="1"/>
  <c r="A286" i="1"/>
  <c r="K285" i="1"/>
  <c r="J285" i="1"/>
  <c r="I285" i="1"/>
  <c r="H285" i="1"/>
  <c r="G285" i="1"/>
  <c r="F285" i="1"/>
  <c r="E285" i="1"/>
  <c r="D285" i="1"/>
  <c r="C285" i="1"/>
  <c r="B285" i="1"/>
  <c r="A285" i="1"/>
  <c r="K284" i="1"/>
  <c r="J284" i="1"/>
  <c r="I284" i="1"/>
  <c r="H284" i="1"/>
  <c r="G284" i="1"/>
  <c r="F284" i="1"/>
  <c r="E284" i="1"/>
  <c r="D284" i="1"/>
  <c r="C284" i="1"/>
  <c r="B284" i="1"/>
  <c r="A284" i="1"/>
  <c r="K283" i="1"/>
  <c r="J283" i="1"/>
  <c r="I283" i="1"/>
  <c r="H283" i="1"/>
  <c r="G283" i="1"/>
  <c r="F283" i="1"/>
  <c r="E283" i="1"/>
  <c r="D283" i="1"/>
  <c r="C283" i="1"/>
  <c r="B283" i="1"/>
  <c r="A283" i="1"/>
  <c r="K282" i="1"/>
  <c r="J282" i="1"/>
  <c r="I282" i="1"/>
  <c r="H282" i="1"/>
  <c r="G282" i="1"/>
  <c r="F282" i="1"/>
  <c r="E282" i="1"/>
  <c r="D282" i="1"/>
  <c r="C282" i="1"/>
  <c r="B282" i="1"/>
  <c r="A282" i="1"/>
  <c r="K281" i="1"/>
  <c r="J281" i="1"/>
  <c r="I281" i="1"/>
  <c r="H281" i="1"/>
  <c r="G281" i="1"/>
  <c r="F281" i="1"/>
  <c r="E281" i="1"/>
  <c r="D281" i="1"/>
  <c r="C281" i="1"/>
  <c r="B281" i="1"/>
  <c r="A281" i="1"/>
  <c r="K280" i="1"/>
  <c r="J280" i="1"/>
  <c r="I280" i="1"/>
  <c r="H280" i="1"/>
  <c r="G280" i="1"/>
  <c r="F280" i="1"/>
  <c r="E280" i="1"/>
  <c r="D280" i="1"/>
  <c r="C280" i="1"/>
  <c r="B280" i="1"/>
  <c r="A280" i="1"/>
  <c r="K279" i="1"/>
  <c r="J279" i="1"/>
  <c r="I279" i="1"/>
  <c r="H279" i="1"/>
  <c r="G279" i="1"/>
  <c r="F279" i="1"/>
  <c r="E279" i="1"/>
  <c r="D279" i="1"/>
  <c r="C279" i="1"/>
  <c r="B279" i="1"/>
  <c r="A279" i="1"/>
  <c r="K278" i="1"/>
  <c r="J278" i="1"/>
  <c r="I278" i="1"/>
  <c r="H278" i="1"/>
  <c r="G278" i="1"/>
  <c r="F278" i="1"/>
  <c r="E278" i="1"/>
  <c r="D278" i="1"/>
  <c r="C278" i="1"/>
  <c r="B278" i="1"/>
  <c r="A278" i="1"/>
  <c r="K277" i="1"/>
  <c r="J277" i="1"/>
  <c r="I277" i="1"/>
  <c r="H277" i="1"/>
  <c r="G277" i="1"/>
  <c r="F277" i="1"/>
  <c r="E277" i="1"/>
  <c r="D277" i="1"/>
  <c r="C277" i="1"/>
  <c r="B277" i="1"/>
  <c r="A277" i="1"/>
  <c r="K276" i="1"/>
  <c r="J276" i="1"/>
  <c r="I276" i="1"/>
  <c r="H276" i="1"/>
  <c r="G276" i="1"/>
  <c r="F276" i="1"/>
  <c r="E276" i="1"/>
  <c r="D276" i="1"/>
  <c r="C276" i="1"/>
  <c r="B276" i="1"/>
  <c r="A276" i="1"/>
  <c r="K275" i="1"/>
  <c r="J275" i="1"/>
  <c r="I275" i="1"/>
  <c r="H275" i="1"/>
  <c r="G275" i="1"/>
  <c r="F275" i="1"/>
  <c r="E275" i="1"/>
  <c r="D275" i="1"/>
  <c r="C275" i="1"/>
  <c r="B275" i="1"/>
  <c r="A275" i="1"/>
  <c r="K274" i="1"/>
  <c r="J274" i="1"/>
  <c r="I274" i="1"/>
  <c r="H274" i="1"/>
  <c r="G274" i="1"/>
  <c r="F274" i="1"/>
  <c r="E274" i="1"/>
  <c r="D274" i="1"/>
  <c r="C274" i="1"/>
  <c r="B274" i="1"/>
  <c r="A274" i="1"/>
  <c r="K273" i="1"/>
  <c r="J273" i="1"/>
  <c r="I273" i="1"/>
  <c r="H273" i="1"/>
  <c r="G273" i="1"/>
  <c r="F273" i="1"/>
  <c r="E273" i="1"/>
  <c r="D273" i="1"/>
  <c r="C273" i="1"/>
  <c r="B273" i="1"/>
  <c r="A273" i="1"/>
  <c r="K272" i="1"/>
  <c r="J272" i="1"/>
  <c r="I272" i="1"/>
  <c r="H272" i="1"/>
  <c r="G272" i="1"/>
  <c r="F272" i="1"/>
  <c r="E272" i="1"/>
  <c r="D272" i="1"/>
  <c r="C272" i="1"/>
  <c r="B272" i="1"/>
  <c r="A272" i="1"/>
  <c r="K271" i="1"/>
  <c r="J271" i="1"/>
  <c r="I271" i="1"/>
  <c r="H271" i="1"/>
  <c r="G271" i="1"/>
  <c r="F271" i="1"/>
  <c r="E271" i="1"/>
  <c r="D271" i="1"/>
  <c r="C271" i="1"/>
  <c r="B271" i="1"/>
  <c r="A271" i="1"/>
  <c r="K270" i="1"/>
  <c r="J270" i="1"/>
  <c r="I270" i="1"/>
  <c r="H270" i="1"/>
  <c r="G270" i="1"/>
  <c r="F270" i="1"/>
  <c r="E270" i="1"/>
  <c r="D270" i="1"/>
  <c r="C270" i="1"/>
  <c r="B270" i="1"/>
  <c r="A270" i="1"/>
  <c r="K269" i="1"/>
  <c r="J269" i="1"/>
  <c r="I269" i="1"/>
  <c r="H269" i="1"/>
  <c r="G269" i="1"/>
  <c r="F269" i="1"/>
  <c r="E269" i="1"/>
  <c r="D269" i="1"/>
  <c r="C269" i="1"/>
  <c r="B269" i="1"/>
  <c r="A269" i="1"/>
  <c r="K268" i="1"/>
  <c r="J268" i="1"/>
  <c r="I268" i="1"/>
  <c r="H268" i="1"/>
  <c r="G268" i="1"/>
  <c r="F268" i="1"/>
  <c r="E268" i="1"/>
  <c r="D268" i="1"/>
  <c r="C268" i="1"/>
  <c r="B268" i="1"/>
  <c r="A268" i="1"/>
  <c r="K267" i="1"/>
  <c r="J267" i="1"/>
  <c r="I267" i="1"/>
  <c r="H267" i="1"/>
  <c r="G267" i="1"/>
  <c r="F267" i="1"/>
  <c r="E267" i="1"/>
  <c r="D267" i="1"/>
  <c r="C267" i="1"/>
  <c r="B267" i="1"/>
  <c r="A267" i="1"/>
  <c r="K266" i="1"/>
  <c r="J266" i="1"/>
  <c r="I266" i="1"/>
  <c r="H266" i="1"/>
  <c r="G266" i="1"/>
  <c r="F266" i="1"/>
  <c r="E266" i="1"/>
  <c r="D266" i="1"/>
  <c r="C266" i="1"/>
  <c r="B266" i="1"/>
  <c r="A266" i="1"/>
  <c r="K265" i="1"/>
  <c r="J265" i="1"/>
  <c r="I265" i="1"/>
  <c r="H265" i="1"/>
  <c r="G265" i="1"/>
  <c r="F265" i="1"/>
  <c r="E265" i="1"/>
  <c r="D265" i="1"/>
  <c r="C265" i="1"/>
  <c r="B265" i="1"/>
  <c r="A265" i="1"/>
  <c r="K264" i="1"/>
  <c r="J264" i="1"/>
  <c r="I264" i="1"/>
  <c r="H264" i="1"/>
  <c r="G264" i="1"/>
  <c r="F264" i="1"/>
  <c r="E264" i="1"/>
  <c r="D264" i="1"/>
  <c r="C264" i="1"/>
  <c r="B264" i="1"/>
  <c r="A264" i="1"/>
  <c r="K263" i="1"/>
  <c r="J263" i="1"/>
  <c r="I263" i="1"/>
  <c r="H263" i="1"/>
  <c r="G263" i="1"/>
  <c r="F263" i="1"/>
  <c r="E263" i="1"/>
  <c r="D263" i="1"/>
  <c r="C263" i="1"/>
  <c r="B263" i="1"/>
  <c r="A263" i="1"/>
  <c r="K262" i="1"/>
  <c r="J262" i="1"/>
  <c r="I262" i="1"/>
  <c r="H262" i="1"/>
  <c r="G262" i="1"/>
  <c r="F262" i="1"/>
  <c r="E262" i="1"/>
  <c r="D262" i="1"/>
  <c r="C262" i="1"/>
  <c r="B262" i="1"/>
  <c r="A262" i="1"/>
  <c r="K261" i="1"/>
  <c r="J261" i="1"/>
  <c r="I261" i="1"/>
  <c r="H261" i="1"/>
  <c r="G261" i="1"/>
  <c r="F261" i="1"/>
  <c r="E261" i="1"/>
  <c r="D261" i="1"/>
  <c r="C261" i="1"/>
  <c r="B261" i="1"/>
  <c r="A261" i="1"/>
  <c r="K260" i="1"/>
  <c r="J260" i="1"/>
  <c r="I260" i="1"/>
  <c r="H260" i="1"/>
  <c r="G260" i="1"/>
  <c r="F260" i="1"/>
  <c r="E260" i="1"/>
  <c r="D260" i="1"/>
  <c r="C260" i="1"/>
  <c r="B260" i="1"/>
  <c r="A260" i="1"/>
  <c r="K259" i="1"/>
  <c r="J259" i="1"/>
  <c r="I259" i="1"/>
  <c r="H259" i="1"/>
  <c r="G259" i="1"/>
  <c r="F259" i="1"/>
  <c r="E259" i="1"/>
  <c r="D259" i="1"/>
  <c r="C259" i="1"/>
  <c r="B259" i="1"/>
  <c r="A259" i="1"/>
  <c r="K258" i="1"/>
  <c r="J258" i="1"/>
  <c r="I258" i="1"/>
  <c r="H258" i="1"/>
  <c r="G258" i="1"/>
  <c r="F258" i="1"/>
  <c r="E258" i="1"/>
  <c r="D258" i="1"/>
  <c r="C258" i="1"/>
  <c r="B258" i="1"/>
  <c r="A258" i="1"/>
  <c r="K257" i="1"/>
  <c r="J257" i="1"/>
  <c r="I257" i="1"/>
  <c r="H257" i="1"/>
  <c r="G257" i="1"/>
  <c r="F257" i="1"/>
  <c r="E257" i="1"/>
  <c r="D257" i="1"/>
  <c r="C257" i="1"/>
  <c r="B257" i="1"/>
  <c r="A257" i="1"/>
  <c r="K256" i="1"/>
  <c r="J256" i="1"/>
  <c r="I256" i="1"/>
  <c r="H256" i="1"/>
  <c r="G256" i="1"/>
  <c r="F256" i="1"/>
  <c r="E256" i="1"/>
  <c r="D256" i="1"/>
  <c r="C256" i="1"/>
  <c r="B256" i="1"/>
  <c r="A256" i="1"/>
  <c r="K255" i="1"/>
  <c r="J255" i="1"/>
  <c r="I255" i="1"/>
  <c r="H255" i="1"/>
  <c r="G255" i="1"/>
  <c r="F255" i="1"/>
  <c r="E255" i="1"/>
  <c r="D255" i="1"/>
  <c r="C255" i="1"/>
  <c r="B255" i="1"/>
  <c r="A255" i="1"/>
  <c r="K254" i="1"/>
  <c r="J254" i="1"/>
  <c r="I254" i="1"/>
  <c r="H254" i="1"/>
  <c r="G254" i="1"/>
  <c r="F254" i="1"/>
  <c r="E254" i="1"/>
  <c r="D254" i="1"/>
  <c r="C254" i="1"/>
  <c r="B254" i="1"/>
  <c r="A254" i="1"/>
  <c r="K253" i="1"/>
  <c r="J253" i="1"/>
  <c r="I253" i="1"/>
  <c r="H253" i="1"/>
  <c r="G253" i="1"/>
  <c r="F253" i="1"/>
  <c r="E253" i="1"/>
  <c r="D253" i="1"/>
  <c r="C253" i="1"/>
  <c r="B253" i="1"/>
  <c r="A253" i="1"/>
  <c r="K252" i="1"/>
  <c r="J252" i="1"/>
  <c r="I252" i="1"/>
  <c r="H252" i="1"/>
  <c r="G252" i="1"/>
  <c r="F252" i="1"/>
  <c r="E252" i="1"/>
  <c r="D252" i="1"/>
  <c r="C252" i="1"/>
  <c r="B252" i="1"/>
  <c r="A252" i="1"/>
  <c r="K251" i="1"/>
  <c r="J251" i="1"/>
  <c r="I251" i="1"/>
  <c r="H251" i="1"/>
  <c r="G251" i="1"/>
  <c r="F251" i="1"/>
  <c r="E251" i="1"/>
  <c r="D251" i="1"/>
  <c r="C251" i="1"/>
  <c r="B251" i="1"/>
  <c r="A251" i="1"/>
  <c r="K250" i="1"/>
  <c r="J250" i="1"/>
  <c r="I250" i="1"/>
  <c r="H250" i="1"/>
  <c r="G250" i="1"/>
  <c r="F250" i="1"/>
  <c r="E250" i="1"/>
  <c r="D250" i="1"/>
  <c r="C250" i="1"/>
  <c r="B250" i="1"/>
  <c r="A250" i="1"/>
  <c r="K249" i="1"/>
  <c r="J249" i="1"/>
  <c r="I249" i="1"/>
  <c r="H249" i="1"/>
  <c r="G249" i="1"/>
  <c r="F249" i="1"/>
  <c r="E249" i="1"/>
  <c r="D249" i="1"/>
  <c r="C249" i="1"/>
  <c r="B249" i="1"/>
  <c r="A249" i="1"/>
  <c r="K248" i="1"/>
  <c r="J248" i="1"/>
  <c r="I248" i="1"/>
  <c r="H248" i="1"/>
  <c r="G248" i="1"/>
  <c r="F248" i="1"/>
  <c r="E248" i="1"/>
  <c r="D248" i="1"/>
  <c r="C248" i="1"/>
  <c r="B248" i="1"/>
  <c r="A248" i="1"/>
  <c r="K247" i="1"/>
  <c r="J247" i="1"/>
  <c r="I247" i="1"/>
  <c r="H247" i="1"/>
  <c r="G247" i="1"/>
  <c r="F247" i="1"/>
  <c r="E247" i="1"/>
  <c r="D247" i="1"/>
  <c r="C247" i="1"/>
  <c r="B247" i="1"/>
  <c r="A247" i="1"/>
  <c r="K246" i="1"/>
  <c r="J246" i="1"/>
  <c r="I246" i="1"/>
  <c r="H246" i="1"/>
  <c r="G246" i="1"/>
  <c r="F246" i="1"/>
  <c r="E246" i="1"/>
  <c r="D246" i="1"/>
  <c r="C246" i="1"/>
  <c r="B246" i="1"/>
  <c r="A246" i="1"/>
  <c r="K245" i="1"/>
  <c r="J245" i="1"/>
  <c r="I245" i="1"/>
  <c r="H245" i="1"/>
  <c r="G245" i="1"/>
  <c r="F245" i="1"/>
  <c r="E245" i="1"/>
  <c r="D245" i="1"/>
  <c r="C245" i="1"/>
  <c r="B245" i="1"/>
  <c r="A245" i="1"/>
  <c r="K244" i="1"/>
  <c r="J244" i="1"/>
  <c r="I244" i="1"/>
  <c r="H244" i="1"/>
  <c r="G244" i="1"/>
  <c r="F244" i="1"/>
  <c r="E244" i="1"/>
  <c r="D244" i="1"/>
  <c r="C244" i="1"/>
  <c r="B244" i="1"/>
  <c r="A244" i="1"/>
  <c r="K243" i="1"/>
  <c r="J243" i="1"/>
  <c r="I243" i="1"/>
  <c r="H243" i="1"/>
  <c r="G243" i="1"/>
  <c r="F243" i="1"/>
  <c r="E243" i="1"/>
  <c r="D243" i="1"/>
  <c r="C243" i="1"/>
  <c r="B243" i="1"/>
  <c r="A243" i="1"/>
  <c r="K242" i="1"/>
  <c r="J242" i="1"/>
  <c r="I242" i="1"/>
  <c r="H242" i="1"/>
  <c r="G242" i="1"/>
  <c r="F242" i="1"/>
  <c r="E242" i="1"/>
  <c r="D242" i="1"/>
  <c r="C242" i="1"/>
  <c r="B242" i="1"/>
  <c r="A242" i="1"/>
  <c r="K241" i="1"/>
  <c r="J241" i="1"/>
  <c r="I241" i="1"/>
  <c r="H241" i="1"/>
  <c r="G241" i="1"/>
  <c r="F241" i="1"/>
  <c r="E241" i="1"/>
  <c r="D241" i="1"/>
  <c r="C241" i="1"/>
  <c r="B241" i="1"/>
  <c r="A241" i="1"/>
  <c r="K240" i="1"/>
  <c r="J240" i="1"/>
  <c r="I240" i="1"/>
  <c r="H240" i="1"/>
  <c r="G240" i="1"/>
  <c r="F240" i="1"/>
  <c r="E240" i="1"/>
  <c r="D240" i="1"/>
  <c r="C240" i="1"/>
  <c r="B240" i="1"/>
  <c r="A240" i="1"/>
  <c r="K239" i="1"/>
  <c r="J239" i="1"/>
  <c r="I239" i="1"/>
  <c r="H239" i="1"/>
  <c r="G239" i="1"/>
  <c r="F239" i="1"/>
  <c r="E239" i="1"/>
  <c r="D239" i="1"/>
  <c r="C239" i="1"/>
  <c r="B239" i="1"/>
  <c r="A239" i="1"/>
  <c r="K238" i="1"/>
  <c r="J238" i="1"/>
  <c r="I238" i="1"/>
  <c r="H238" i="1"/>
  <c r="G238" i="1"/>
  <c r="F238" i="1"/>
  <c r="E238" i="1"/>
  <c r="D238" i="1"/>
  <c r="C238" i="1"/>
  <c r="B238" i="1"/>
  <c r="A238" i="1"/>
  <c r="K237" i="1"/>
  <c r="J237" i="1"/>
  <c r="I237" i="1"/>
  <c r="H237" i="1"/>
  <c r="G237" i="1"/>
  <c r="F237" i="1"/>
  <c r="E237" i="1"/>
  <c r="D237" i="1"/>
  <c r="C237" i="1"/>
  <c r="B237" i="1"/>
  <c r="A237" i="1"/>
  <c r="K236" i="1"/>
  <c r="J236" i="1"/>
  <c r="I236" i="1"/>
  <c r="H236" i="1"/>
  <c r="G236" i="1"/>
  <c r="F236" i="1"/>
  <c r="E236" i="1"/>
  <c r="D236" i="1"/>
  <c r="C236" i="1"/>
  <c r="B236" i="1"/>
  <c r="A236" i="1"/>
  <c r="K235" i="1"/>
  <c r="J235" i="1"/>
  <c r="I235" i="1"/>
  <c r="H235" i="1"/>
  <c r="G235" i="1"/>
  <c r="F235" i="1"/>
  <c r="E235" i="1"/>
  <c r="D235" i="1"/>
  <c r="C235" i="1"/>
  <c r="B235" i="1"/>
  <c r="A235" i="1"/>
  <c r="K234" i="1"/>
  <c r="J234" i="1"/>
  <c r="I234" i="1"/>
  <c r="H234" i="1"/>
  <c r="G234" i="1"/>
  <c r="F234" i="1"/>
  <c r="E234" i="1"/>
  <c r="D234" i="1"/>
  <c r="C234" i="1"/>
  <c r="B234" i="1"/>
  <c r="A234" i="1"/>
  <c r="K233" i="1"/>
  <c r="J233" i="1"/>
  <c r="I233" i="1"/>
  <c r="H233" i="1"/>
  <c r="G233" i="1"/>
  <c r="F233" i="1"/>
  <c r="E233" i="1"/>
  <c r="D233" i="1"/>
  <c r="C233" i="1"/>
  <c r="B233" i="1"/>
  <c r="A233" i="1"/>
  <c r="K232" i="1"/>
  <c r="J232" i="1"/>
  <c r="I232" i="1"/>
  <c r="H232" i="1"/>
  <c r="G232" i="1"/>
  <c r="F232" i="1"/>
  <c r="E232" i="1"/>
  <c r="D232" i="1"/>
  <c r="C232" i="1"/>
  <c r="B232" i="1"/>
  <c r="A232" i="1"/>
  <c r="K231" i="1"/>
  <c r="J231" i="1"/>
  <c r="I231" i="1"/>
  <c r="H231" i="1"/>
  <c r="G231" i="1"/>
  <c r="F231" i="1"/>
  <c r="E231" i="1"/>
  <c r="D231" i="1"/>
  <c r="C231" i="1"/>
  <c r="B231" i="1"/>
  <c r="A231" i="1"/>
  <c r="K230" i="1"/>
  <c r="J230" i="1"/>
  <c r="I230" i="1"/>
  <c r="H230" i="1"/>
  <c r="G230" i="1"/>
  <c r="F230" i="1"/>
  <c r="E230" i="1"/>
  <c r="D230" i="1"/>
  <c r="C230" i="1"/>
  <c r="B230" i="1"/>
  <c r="A230" i="1"/>
  <c r="K229" i="1"/>
  <c r="J229" i="1"/>
  <c r="I229" i="1"/>
  <c r="H229" i="1"/>
  <c r="G229" i="1"/>
  <c r="F229" i="1"/>
  <c r="E229" i="1"/>
  <c r="D229" i="1"/>
  <c r="C229" i="1"/>
  <c r="B229" i="1"/>
  <c r="A229" i="1"/>
  <c r="K228" i="1"/>
  <c r="J228" i="1"/>
  <c r="I228" i="1"/>
  <c r="H228" i="1"/>
  <c r="G228" i="1"/>
  <c r="F228" i="1"/>
  <c r="E228" i="1"/>
  <c r="D228" i="1"/>
  <c r="C228" i="1"/>
  <c r="B228" i="1"/>
  <c r="A228" i="1"/>
  <c r="K227" i="1"/>
  <c r="J227" i="1"/>
  <c r="I227" i="1"/>
  <c r="H227" i="1"/>
  <c r="G227" i="1"/>
  <c r="F227" i="1"/>
  <c r="E227" i="1"/>
  <c r="D227" i="1"/>
  <c r="C227" i="1"/>
  <c r="B227" i="1"/>
  <c r="A227" i="1"/>
  <c r="K226" i="1"/>
  <c r="J226" i="1"/>
  <c r="I226" i="1"/>
  <c r="H226" i="1"/>
  <c r="G226" i="1"/>
  <c r="F226" i="1"/>
  <c r="E226" i="1"/>
  <c r="D226" i="1"/>
  <c r="C226" i="1"/>
  <c r="B226" i="1"/>
  <c r="A226" i="1"/>
  <c r="K225" i="1"/>
  <c r="J225" i="1"/>
  <c r="I225" i="1"/>
  <c r="H225" i="1"/>
  <c r="G225" i="1"/>
  <c r="F225" i="1"/>
  <c r="E225" i="1"/>
  <c r="D225" i="1"/>
  <c r="C225" i="1"/>
  <c r="B225" i="1"/>
  <c r="A225" i="1"/>
  <c r="K224" i="1"/>
  <c r="J224" i="1"/>
  <c r="I224" i="1"/>
  <c r="H224" i="1"/>
  <c r="G224" i="1"/>
  <c r="F224" i="1"/>
  <c r="E224" i="1"/>
  <c r="D224" i="1"/>
  <c r="C224" i="1"/>
  <c r="B224" i="1"/>
  <c r="A224" i="1"/>
  <c r="K223" i="1"/>
  <c r="J223" i="1"/>
  <c r="I223" i="1"/>
  <c r="H223" i="1"/>
  <c r="G223" i="1"/>
  <c r="F223" i="1"/>
  <c r="E223" i="1"/>
  <c r="D223" i="1"/>
  <c r="C223" i="1"/>
  <c r="B223" i="1"/>
  <c r="A223" i="1"/>
  <c r="K222" i="1"/>
  <c r="J222" i="1"/>
  <c r="I222" i="1"/>
  <c r="H222" i="1"/>
  <c r="G222" i="1"/>
  <c r="F222" i="1"/>
  <c r="E222" i="1"/>
  <c r="D222" i="1"/>
  <c r="C222" i="1"/>
  <c r="B222" i="1"/>
  <c r="A222" i="1"/>
  <c r="K221" i="1"/>
  <c r="J221" i="1"/>
  <c r="I221" i="1"/>
  <c r="H221" i="1"/>
  <c r="G221" i="1"/>
  <c r="F221" i="1"/>
  <c r="E221" i="1"/>
  <c r="D221" i="1"/>
  <c r="C221" i="1"/>
  <c r="B221" i="1"/>
  <c r="A221" i="1"/>
  <c r="K220" i="1"/>
  <c r="J220" i="1"/>
  <c r="I220" i="1"/>
  <c r="H220" i="1"/>
  <c r="G220" i="1"/>
  <c r="F220" i="1"/>
  <c r="E220" i="1"/>
  <c r="D220" i="1"/>
  <c r="C220" i="1"/>
  <c r="B220" i="1"/>
  <c r="A220" i="1"/>
  <c r="K219" i="1"/>
  <c r="J219" i="1"/>
  <c r="I219" i="1"/>
  <c r="H219" i="1"/>
  <c r="G219" i="1"/>
  <c r="F219" i="1"/>
  <c r="E219" i="1"/>
  <c r="D219" i="1"/>
  <c r="C219" i="1"/>
  <c r="B219" i="1"/>
  <c r="A219" i="1"/>
  <c r="K218" i="1"/>
  <c r="J218" i="1"/>
  <c r="I218" i="1"/>
  <c r="H218" i="1"/>
  <c r="G218" i="1"/>
  <c r="F218" i="1"/>
  <c r="E218" i="1"/>
  <c r="D218" i="1"/>
  <c r="C218" i="1"/>
  <c r="B218" i="1"/>
  <c r="A218" i="1"/>
  <c r="K217" i="1"/>
  <c r="J217" i="1"/>
  <c r="I217" i="1"/>
  <c r="H217" i="1"/>
  <c r="G217" i="1"/>
  <c r="F217" i="1"/>
  <c r="E217" i="1"/>
  <c r="D217" i="1"/>
  <c r="C217" i="1"/>
  <c r="B217" i="1"/>
  <c r="A217" i="1"/>
  <c r="K216" i="1"/>
  <c r="J216" i="1"/>
  <c r="I216" i="1"/>
  <c r="H216" i="1"/>
  <c r="G216" i="1"/>
  <c r="F216" i="1"/>
  <c r="E216" i="1"/>
  <c r="D216" i="1"/>
  <c r="C216" i="1"/>
  <c r="B216" i="1"/>
  <c r="A216" i="1"/>
  <c r="K215" i="1"/>
  <c r="J215" i="1"/>
  <c r="I215" i="1"/>
  <c r="H215" i="1"/>
  <c r="G215" i="1"/>
  <c r="F215" i="1"/>
  <c r="E215" i="1"/>
  <c r="D215" i="1"/>
  <c r="C215" i="1"/>
  <c r="B215" i="1"/>
  <c r="A215" i="1"/>
  <c r="K214" i="1"/>
  <c r="J214" i="1"/>
  <c r="I214" i="1"/>
  <c r="H214" i="1"/>
  <c r="G214" i="1"/>
  <c r="F214" i="1"/>
  <c r="E214" i="1"/>
  <c r="D214" i="1"/>
  <c r="C214" i="1"/>
  <c r="B214" i="1"/>
  <c r="A214" i="1"/>
  <c r="K213" i="1"/>
  <c r="J213" i="1"/>
  <c r="I213" i="1"/>
  <c r="H213" i="1"/>
  <c r="G213" i="1"/>
  <c r="F213" i="1"/>
  <c r="E213" i="1"/>
  <c r="D213" i="1"/>
  <c r="C213" i="1"/>
  <c r="B213" i="1"/>
  <c r="A213" i="1"/>
  <c r="K212" i="1"/>
  <c r="J212" i="1"/>
  <c r="I212" i="1"/>
  <c r="H212" i="1"/>
  <c r="G212" i="1"/>
  <c r="F212" i="1"/>
  <c r="E212" i="1"/>
  <c r="D212" i="1"/>
  <c r="C212" i="1"/>
  <c r="B212" i="1"/>
  <c r="A212" i="1"/>
  <c r="K211" i="1"/>
  <c r="J211" i="1"/>
  <c r="I211" i="1"/>
  <c r="H211" i="1"/>
  <c r="G211" i="1"/>
  <c r="F211" i="1"/>
  <c r="E211" i="1"/>
  <c r="D211" i="1"/>
  <c r="C211" i="1"/>
  <c r="B211" i="1"/>
  <c r="A211" i="1"/>
  <c r="K210" i="1"/>
  <c r="J210" i="1"/>
  <c r="I210" i="1"/>
  <c r="H210" i="1"/>
  <c r="G210" i="1"/>
  <c r="F210" i="1"/>
  <c r="E210" i="1"/>
  <c r="D210" i="1"/>
  <c r="C210" i="1"/>
  <c r="B210" i="1"/>
  <c r="A210" i="1"/>
  <c r="K209" i="1"/>
  <c r="J209" i="1"/>
  <c r="I209" i="1"/>
  <c r="H209" i="1"/>
  <c r="G209" i="1"/>
  <c r="F209" i="1"/>
  <c r="E209" i="1"/>
  <c r="D209" i="1"/>
  <c r="C209" i="1"/>
  <c r="B209" i="1"/>
  <c r="A209" i="1"/>
  <c r="K208" i="1"/>
  <c r="J208" i="1"/>
  <c r="I208" i="1"/>
  <c r="H208" i="1"/>
  <c r="G208" i="1"/>
  <c r="F208" i="1"/>
  <c r="E208" i="1"/>
  <c r="D208" i="1"/>
  <c r="C208" i="1"/>
  <c r="B208" i="1"/>
  <c r="A208" i="1"/>
  <c r="K207" i="1"/>
  <c r="J207" i="1"/>
  <c r="I207" i="1"/>
  <c r="H207" i="1"/>
  <c r="G207" i="1"/>
  <c r="F207" i="1"/>
  <c r="E207" i="1"/>
  <c r="D207" i="1"/>
  <c r="C207" i="1"/>
  <c r="B207" i="1"/>
  <c r="A207" i="1"/>
  <c r="K206" i="1"/>
  <c r="J206" i="1"/>
  <c r="I206" i="1"/>
  <c r="H206" i="1"/>
  <c r="G206" i="1"/>
  <c r="F206" i="1"/>
  <c r="E206" i="1"/>
  <c r="D206" i="1"/>
  <c r="C206" i="1"/>
  <c r="B206" i="1"/>
  <c r="A206" i="1"/>
  <c r="K205" i="1"/>
  <c r="J205" i="1"/>
  <c r="I205" i="1"/>
  <c r="H205" i="1"/>
  <c r="G205" i="1"/>
  <c r="F205" i="1"/>
  <c r="E205" i="1"/>
  <c r="D205" i="1"/>
  <c r="C205" i="1"/>
  <c r="B205" i="1"/>
  <c r="A205" i="1"/>
  <c r="K204" i="1"/>
  <c r="J204" i="1"/>
  <c r="I204" i="1"/>
  <c r="H204" i="1"/>
  <c r="G204" i="1"/>
  <c r="F204" i="1"/>
  <c r="E204" i="1"/>
  <c r="D204" i="1"/>
  <c r="C204" i="1"/>
  <c r="B204" i="1"/>
  <c r="A204" i="1"/>
  <c r="K203" i="1"/>
  <c r="J203" i="1"/>
  <c r="I203" i="1"/>
  <c r="H203" i="1"/>
  <c r="G203" i="1"/>
  <c r="F203" i="1"/>
  <c r="E203" i="1"/>
  <c r="D203" i="1"/>
  <c r="C203" i="1"/>
  <c r="B203" i="1"/>
  <c r="A203" i="1"/>
  <c r="K202" i="1"/>
  <c r="J202" i="1"/>
  <c r="I202" i="1"/>
  <c r="H202" i="1"/>
  <c r="G202" i="1"/>
  <c r="F202" i="1"/>
  <c r="E202" i="1"/>
  <c r="D202" i="1"/>
  <c r="C202" i="1"/>
  <c r="B202" i="1"/>
  <c r="A202" i="1"/>
  <c r="K201" i="1"/>
  <c r="J201" i="1"/>
  <c r="I201" i="1"/>
  <c r="H201" i="1"/>
  <c r="G201" i="1"/>
  <c r="F201" i="1"/>
  <c r="E201" i="1"/>
  <c r="D201" i="1"/>
  <c r="C201" i="1"/>
  <c r="B201" i="1"/>
  <c r="A201" i="1"/>
  <c r="K200" i="1"/>
  <c r="J200" i="1"/>
  <c r="I200" i="1"/>
  <c r="H200" i="1"/>
  <c r="G200" i="1"/>
  <c r="F200" i="1"/>
  <c r="E200" i="1"/>
  <c r="D200" i="1"/>
  <c r="C200" i="1"/>
  <c r="B200" i="1"/>
  <c r="A200" i="1"/>
  <c r="K199" i="1"/>
  <c r="J199" i="1"/>
  <c r="I199" i="1"/>
  <c r="H199" i="1"/>
  <c r="G199" i="1"/>
  <c r="F199" i="1"/>
  <c r="E199" i="1"/>
  <c r="D199" i="1"/>
  <c r="C199" i="1"/>
  <c r="B199" i="1"/>
  <c r="A199" i="1"/>
  <c r="K198" i="1"/>
  <c r="J198" i="1"/>
  <c r="I198" i="1"/>
  <c r="H198" i="1"/>
  <c r="G198" i="1"/>
  <c r="F198" i="1"/>
  <c r="E198" i="1"/>
  <c r="D198" i="1"/>
  <c r="C198" i="1"/>
  <c r="B198" i="1"/>
  <c r="A198" i="1"/>
  <c r="K197" i="1"/>
  <c r="J197" i="1"/>
  <c r="I197" i="1"/>
  <c r="H197" i="1"/>
  <c r="G197" i="1"/>
  <c r="F197" i="1"/>
  <c r="E197" i="1"/>
  <c r="D197" i="1"/>
  <c r="C197" i="1"/>
  <c r="B197" i="1"/>
  <c r="A197" i="1"/>
  <c r="K196" i="1"/>
  <c r="J196" i="1"/>
  <c r="I196" i="1"/>
  <c r="H196" i="1"/>
  <c r="G196" i="1"/>
  <c r="F196" i="1"/>
  <c r="E196" i="1"/>
  <c r="D196" i="1"/>
  <c r="C196" i="1"/>
  <c r="B196" i="1"/>
  <c r="A196" i="1"/>
  <c r="K195" i="1"/>
  <c r="J195" i="1"/>
  <c r="I195" i="1"/>
  <c r="H195" i="1"/>
  <c r="G195" i="1"/>
  <c r="F195" i="1"/>
  <c r="E195" i="1"/>
  <c r="D195" i="1"/>
  <c r="C195" i="1"/>
  <c r="B195" i="1"/>
  <c r="A195" i="1"/>
  <c r="K194" i="1"/>
  <c r="J194" i="1"/>
  <c r="I194" i="1"/>
  <c r="H194" i="1"/>
  <c r="G194" i="1"/>
  <c r="F194" i="1"/>
  <c r="E194" i="1"/>
  <c r="D194" i="1"/>
  <c r="C194" i="1"/>
  <c r="B194" i="1"/>
  <c r="A194" i="1"/>
  <c r="K193" i="1"/>
  <c r="J193" i="1"/>
  <c r="I193" i="1"/>
  <c r="H193" i="1"/>
  <c r="G193" i="1"/>
  <c r="F193" i="1"/>
  <c r="E193" i="1"/>
  <c r="D193" i="1"/>
  <c r="C193" i="1"/>
  <c r="B193" i="1"/>
  <c r="A193" i="1"/>
  <c r="K192" i="1"/>
  <c r="J192" i="1"/>
  <c r="I192" i="1"/>
  <c r="H192" i="1"/>
  <c r="G192" i="1"/>
  <c r="F192" i="1"/>
  <c r="E192" i="1"/>
  <c r="D192" i="1"/>
  <c r="C192" i="1"/>
  <c r="B192" i="1"/>
  <c r="A192" i="1"/>
  <c r="K191" i="1"/>
  <c r="J191" i="1"/>
  <c r="I191" i="1"/>
  <c r="H191" i="1"/>
  <c r="G191" i="1"/>
  <c r="F191" i="1"/>
  <c r="E191" i="1"/>
  <c r="D191" i="1"/>
  <c r="C191" i="1"/>
  <c r="B191" i="1"/>
  <c r="A191" i="1"/>
  <c r="K190" i="1"/>
  <c r="J190" i="1"/>
  <c r="I190" i="1"/>
  <c r="H190" i="1"/>
  <c r="G190" i="1"/>
  <c r="F190" i="1"/>
  <c r="E190" i="1"/>
  <c r="D190" i="1"/>
  <c r="C190" i="1"/>
  <c r="B190" i="1"/>
  <c r="A190" i="1"/>
  <c r="K189" i="1"/>
  <c r="J189" i="1"/>
  <c r="I189" i="1"/>
  <c r="H189" i="1"/>
  <c r="G189" i="1"/>
  <c r="F189" i="1"/>
  <c r="E189" i="1"/>
  <c r="D189" i="1"/>
  <c r="C189" i="1"/>
  <c r="B189" i="1"/>
  <c r="A189" i="1"/>
  <c r="K188" i="1"/>
  <c r="J188" i="1"/>
  <c r="I188" i="1"/>
  <c r="H188" i="1"/>
  <c r="G188" i="1"/>
  <c r="F188" i="1"/>
  <c r="E188" i="1"/>
  <c r="D188" i="1"/>
  <c r="C188" i="1"/>
  <c r="B188" i="1"/>
  <c r="A188" i="1"/>
  <c r="K187" i="1"/>
  <c r="J187" i="1"/>
  <c r="I187" i="1"/>
  <c r="H187" i="1"/>
  <c r="G187" i="1"/>
  <c r="F187" i="1"/>
  <c r="E187" i="1"/>
  <c r="D187" i="1"/>
  <c r="C187" i="1"/>
  <c r="B187" i="1"/>
  <c r="A187" i="1"/>
  <c r="K186" i="1"/>
  <c r="J186" i="1"/>
  <c r="I186" i="1"/>
  <c r="H186" i="1"/>
  <c r="G186" i="1"/>
  <c r="F186" i="1"/>
  <c r="E186" i="1"/>
  <c r="D186" i="1"/>
  <c r="C186" i="1"/>
  <c r="B186" i="1"/>
  <c r="A186" i="1"/>
  <c r="K185" i="1"/>
  <c r="J185" i="1"/>
  <c r="I185" i="1"/>
  <c r="H185" i="1"/>
  <c r="G185" i="1"/>
  <c r="F185" i="1"/>
  <c r="E185" i="1"/>
  <c r="D185" i="1"/>
  <c r="C185" i="1"/>
  <c r="B185" i="1"/>
  <c r="A185" i="1"/>
  <c r="K184" i="1"/>
  <c r="J184" i="1"/>
  <c r="I184" i="1"/>
  <c r="H184" i="1"/>
  <c r="G184" i="1"/>
  <c r="F184" i="1"/>
  <c r="E184" i="1"/>
  <c r="D184" i="1"/>
  <c r="C184" i="1"/>
  <c r="B184" i="1"/>
  <c r="A184" i="1"/>
  <c r="K183" i="1"/>
  <c r="J183" i="1"/>
  <c r="I183" i="1"/>
  <c r="H183" i="1"/>
  <c r="G183" i="1"/>
  <c r="F183" i="1"/>
  <c r="E183" i="1"/>
  <c r="D183" i="1"/>
  <c r="C183" i="1"/>
  <c r="B183" i="1"/>
  <c r="A183" i="1"/>
  <c r="K182" i="1"/>
  <c r="J182" i="1"/>
  <c r="I182" i="1"/>
  <c r="H182" i="1"/>
  <c r="G182" i="1"/>
  <c r="F182" i="1"/>
  <c r="E182" i="1"/>
  <c r="D182" i="1"/>
  <c r="C182" i="1"/>
  <c r="B182" i="1"/>
  <c r="A182" i="1"/>
  <c r="K181" i="1"/>
  <c r="J181" i="1"/>
  <c r="I181" i="1"/>
  <c r="H181" i="1"/>
  <c r="G181" i="1"/>
  <c r="F181" i="1"/>
  <c r="E181" i="1"/>
  <c r="D181" i="1"/>
  <c r="C181" i="1"/>
  <c r="B181" i="1"/>
  <c r="A181" i="1"/>
  <c r="K180" i="1"/>
  <c r="J180" i="1"/>
  <c r="I180" i="1"/>
  <c r="H180" i="1"/>
  <c r="G180" i="1"/>
  <c r="F180" i="1"/>
  <c r="E180" i="1"/>
  <c r="D180" i="1"/>
  <c r="C180" i="1"/>
  <c r="B180" i="1"/>
  <c r="A180" i="1"/>
  <c r="K179" i="1"/>
  <c r="J179" i="1"/>
  <c r="I179" i="1"/>
  <c r="H179" i="1"/>
  <c r="G179" i="1"/>
  <c r="F179" i="1"/>
  <c r="E179" i="1"/>
  <c r="D179" i="1"/>
  <c r="C179" i="1"/>
  <c r="B179" i="1"/>
  <c r="A179" i="1"/>
  <c r="K178" i="1"/>
  <c r="J178" i="1"/>
  <c r="I178" i="1"/>
  <c r="H178" i="1"/>
  <c r="G178" i="1"/>
  <c r="F178" i="1"/>
  <c r="E178" i="1"/>
  <c r="D178" i="1"/>
  <c r="C178" i="1"/>
  <c r="B178" i="1"/>
  <c r="A178" i="1"/>
  <c r="K177" i="1"/>
  <c r="J177" i="1"/>
  <c r="I177" i="1"/>
  <c r="H177" i="1"/>
  <c r="G177" i="1"/>
  <c r="F177" i="1"/>
  <c r="E177" i="1"/>
  <c r="D177" i="1"/>
  <c r="C177" i="1"/>
  <c r="B177" i="1"/>
  <c r="A177" i="1"/>
  <c r="K176" i="1"/>
  <c r="J176" i="1"/>
  <c r="I176" i="1"/>
  <c r="H176" i="1"/>
  <c r="G176" i="1"/>
  <c r="F176" i="1"/>
  <c r="E176" i="1"/>
  <c r="D176" i="1"/>
  <c r="C176" i="1"/>
  <c r="B176" i="1"/>
  <c r="A176" i="1"/>
  <c r="K175" i="1"/>
  <c r="J175" i="1"/>
  <c r="I175" i="1"/>
  <c r="H175" i="1"/>
  <c r="G175" i="1"/>
  <c r="F175" i="1"/>
  <c r="E175" i="1"/>
  <c r="D175" i="1"/>
  <c r="C175" i="1"/>
  <c r="B175" i="1"/>
  <c r="A175" i="1"/>
  <c r="K174" i="1"/>
  <c r="J174" i="1"/>
  <c r="I174" i="1"/>
  <c r="H174" i="1"/>
  <c r="G174" i="1"/>
  <c r="F174" i="1"/>
  <c r="E174" i="1"/>
  <c r="D174" i="1"/>
  <c r="C174" i="1"/>
  <c r="B174" i="1"/>
  <c r="A174" i="1"/>
  <c r="K173" i="1"/>
  <c r="J173" i="1"/>
  <c r="I173" i="1"/>
  <c r="H173" i="1"/>
  <c r="G173" i="1"/>
  <c r="F173" i="1"/>
  <c r="E173" i="1"/>
  <c r="D173" i="1"/>
  <c r="C173" i="1"/>
  <c r="B173" i="1"/>
  <c r="A173" i="1"/>
  <c r="K172" i="1"/>
  <c r="J172" i="1"/>
  <c r="I172" i="1"/>
  <c r="H172" i="1"/>
  <c r="G172" i="1"/>
  <c r="F172" i="1"/>
  <c r="E172" i="1"/>
  <c r="D172" i="1"/>
  <c r="C172" i="1"/>
  <c r="B172" i="1"/>
  <c r="A172" i="1"/>
  <c r="K171" i="1"/>
  <c r="J171" i="1"/>
  <c r="I171" i="1"/>
  <c r="H171" i="1"/>
  <c r="G171" i="1"/>
  <c r="F171" i="1"/>
  <c r="E171" i="1"/>
  <c r="D171" i="1"/>
  <c r="C171" i="1"/>
  <c r="B171" i="1"/>
  <c r="A171" i="1"/>
  <c r="K170" i="1"/>
  <c r="J170" i="1"/>
  <c r="I170" i="1"/>
  <c r="H170" i="1"/>
  <c r="G170" i="1"/>
  <c r="F170" i="1"/>
  <c r="E170" i="1"/>
  <c r="D170" i="1"/>
  <c r="C170" i="1"/>
  <c r="B170" i="1"/>
  <c r="A170" i="1"/>
  <c r="K169" i="1"/>
  <c r="J169" i="1"/>
  <c r="I169" i="1"/>
  <c r="H169" i="1"/>
  <c r="G169" i="1"/>
  <c r="F169" i="1"/>
  <c r="E169" i="1"/>
  <c r="D169" i="1"/>
  <c r="C169" i="1"/>
  <c r="B169" i="1"/>
  <c r="A169" i="1"/>
  <c r="K168" i="1"/>
  <c r="J168" i="1"/>
  <c r="I168" i="1"/>
  <c r="H168" i="1"/>
  <c r="G168" i="1"/>
  <c r="F168" i="1"/>
  <c r="E168" i="1"/>
  <c r="D168" i="1"/>
  <c r="C168" i="1"/>
  <c r="B168" i="1"/>
  <c r="A168" i="1"/>
  <c r="K167" i="1"/>
  <c r="J167" i="1"/>
  <c r="I167" i="1"/>
  <c r="H167" i="1"/>
  <c r="G167" i="1"/>
  <c r="F167" i="1"/>
  <c r="E167" i="1"/>
  <c r="D167" i="1"/>
  <c r="C167" i="1"/>
  <c r="B167" i="1"/>
  <c r="A167" i="1"/>
  <c r="K166" i="1"/>
  <c r="J166" i="1"/>
  <c r="I166" i="1"/>
  <c r="H166" i="1"/>
  <c r="G166" i="1"/>
  <c r="F166" i="1"/>
  <c r="E166" i="1"/>
  <c r="D166" i="1"/>
  <c r="C166" i="1"/>
  <c r="B166" i="1"/>
  <c r="A166" i="1"/>
  <c r="K165" i="1"/>
  <c r="J165" i="1"/>
  <c r="I165" i="1"/>
  <c r="H165" i="1"/>
  <c r="G165" i="1"/>
  <c r="F165" i="1"/>
  <c r="E165" i="1"/>
  <c r="D165" i="1"/>
  <c r="C165" i="1"/>
  <c r="B165" i="1"/>
  <c r="A165" i="1"/>
  <c r="K164" i="1"/>
  <c r="J164" i="1"/>
  <c r="I164" i="1"/>
  <c r="H164" i="1"/>
  <c r="G164" i="1"/>
  <c r="F164" i="1"/>
  <c r="E164" i="1"/>
  <c r="D164" i="1"/>
  <c r="C164" i="1"/>
  <c r="B164" i="1"/>
  <c r="A164" i="1"/>
  <c r="K163" i="1"/>
  <c r="J163" i="1"/>
  <c r="I163" i="1"/>
  <c r="H163" i="1"/>
  <c r="G163" i="1"/>
  <c r="F163" i="1"/>
  <c r="E163" i="1"/>
  <c r="D163" i="1"/>
  <c r="C163" i="1"/>
  <c r="B163" i="1"/>
  <c r="A163" i="1"/>
  <c r="K162" i="1"/>
  <c r="J162" i="1"/>
  <c r="I162" i="1"/>
  <c r="H162" i="1"/>
  <c r="G162" i="1"/>
  <c r="F162" i="1"/>
  <c r="E162" i="1"/>
  <c r="D162" i="1"/>
  <c r="C162" i="1"/>
  <c r="B162" i="1"/>
  <c r="A162" i="1"/>
  <c r="K161" i="1"/>
  <c r="J161" i="1"/>
  <c r="I161" i="1"/>
  <c r="H161" i="1"/>
  <c r="G161" i="1"/>
  <c r="F161" i="1"/>
  <c r="E161" i="1"/>
  <c r="D161" i="1"/>
  <c r="C161" i="1"/>
  <c r="B161" i="1"/>
  <c r="A161" i="1"/>
  <c r="K160" i="1"/>
  <c r="J160" i="1"/>
  <c r="I160" i="1"/>
  <c r="H160" i="1"/>
  <c r="G160" i="1"/>
  <c r="F160" i="1"/>
  <c r="E160" i="1"/>
  <c r="D160" i="1"/>
  <c r="C160" i="1"/>
  <c r="B160" i="1"/>
  <c r="A160" i="1"/>
  <c r="K159" i="1"/>
  <c r="J159" i="1"/>
  <c r="I159" i="1"/>
  <c r="H159" i="1"/>
  <c r="G159" i="1"/>
  <c r="F159" i="1"/>
  <c r="E159" i="1"/>
  <c r="D159" i="1"/>
  <c r="C159" i="1"/>
  <c r="B159" i="1"/>
  <c r="A159" i="1"/>
  <c r="K158" i="1"/>
  <c r="J158" i="1"/>
  <c r="I158" i="1"/>
  <c r="H158" i="1"/>
  <c r="G158" i="1"/>
  <c r="F158" i="1"/>
  <c r="E158" i="1"/>
  <c r="D158" i="1"/>
  <c r="C158" i="1"/>
  <c r="B158" i="1"/>
  <c r="A158" i="1"/>
  <c r="K157" i="1"/>
  <c r="J157" i="1"/>
  <c r="I157" i="1"/>
  <c r="H157" i="1"/>
  <c r="G157" i="1"/>
  <c r="F157" i="1"/>
  <c r="E157" i="1"/>
  <c r="D157" i="1"/>
  <c r="C157" i="1"/>
  <c r="B157" i="1"/>
  <c r="A157" i="1"/>
  <c r="K156" i="1"/>
  <c r="J156" i="1"/>
  <c r="I156" i="1"/>
  <c r="H156" i="1"/>
  <c r="G156" i="1"/>
  <c r="F156" i="1"/>
  <c r="E156" i="1"/>
  <c r="D156" i="1"/>
  <c r="C156" i="1"/>
  <c r="B156" i="1"/>
  <c r="A156" i="1"/>
  <c r="K155" i="1"/>
  <c r="J155" i="1"/>
  <c r="I155" i="1"/>
  <c r="H155" i="1"/>
  <c r="G155" i="1"/>
  <c r="F155" i="1"/>
  <c r="E155" i="1"/>
  <c r="D155" i="1"/>
  <c r="C155" i="1"/>
  <c r="B155" i="1"/>
  <c r="A155" i="1"/>
  <c r="K154" i="1"/>
  <c r="J154" i="1"/>
  <c r="I154" i="1"/>
  <c r="H154" i="1"/>
  <c r="G154" i="1"/>
  <c r="F154" i="1"/>
  <c r="E154" i="1"/>
  <c r="D154" i="1"/>
  <c r="C154" i="1"/>
  <c r="B154" i="1"/>
  <c r="A154" i="1"/>
  <c r="K153" i="1"/>
  <c r="J153" i="1"/>
  <c r="I153" i="1"/>
  <c r="H153" i="1"/>
  <c r="G153" i="1"/>
  <c r="F153" i="1"/>
  <c r="E153" i="1"/>
  <c r="D153" i="1"/>
  <c r="C153" i="1"/>
  <c r="B153" i="1"/>
  <c r="A153" i="1"/>
  <c r="K152" i="1"/>
  <c r="J152" i="1"/>
  <c r="I152" i="1"/>
  <c r="H152" i="1"/>
  <c r="G152" i="1"/>
  <c r="F152" i="1"/>
  <c r="E152" i="1"/>
  <c r="D152" i="1"/>
  <c r="C152" i="1"/>
  <c r="B152" i="1"/>
  <c r="A152" i="1"/>
  <c r="K151" i="1"/>
  <c r="J151" i="1"/>
  <c r="I151" i="1"/>
  <c r="H151" i="1"/>
  <c r="G151" i="1"/>
  <c r="F151" i="1"/>
  <c r="E151" i="1"/>
  <c r="D151" i="1"/>
  <c r="C151" i="1"/>
  <c r="B151" i="1"/>
  <c r="A151" i="1"/>
  <c r="K150" i="1"/>
  <c r="J150" i="1"/>
  <c r="I150" i="1"/>
  <c r="H150" i="1"/>
  <c r="G150" i="1"/>
  <c r="F150" i="1"/>
  <c r="E150" i="1"/>
  <c r="D150" i="1"/>
  <c r="C150" i="1"/>
  <c r="B150" i="1"/>
  <c r="A150" i="1"/>
  <c r="K149" i="1"/>
  <c r="J149" i="1"/>
  <c r="I149" i="1"/>
  <c r="H149" i="1"/>
  <c r="G149" i="1"/>
  <c r="F149" i="1"/>
  <c r="E149" i="1"/>
  <c r="D149" i="1"/>
  <c r="C149" i="1"/>
  <c r="B149" i="1"/>
  <c r="A149" i="1"/>
  <c r="K148" i="1"/>
  <c r="J148" i="1"/>
  <c r="I148" i="1"/>
  <c r="H148" i="1"/>
  <c r="G148" i="1"/>
  <c r="F148" i="1"/>
  <c r="E148" i="1"/>
  <c r="D148" i="1"/>
  <c r="C148" i="1"/>
  <c r="B148" i="1"/>
  <c r="A148" i="1"/>
  <c r="K147" i="1"/>
  <c r="J147" i="1"/>
  <c r="I147" i="1"/>
  <c r="H147" i="1"/>
  <c r="G147" i="1"/>
  <c r="F147" i="1"/>
  <c r="E147" i="1"/>
  <c r="D147" i="1"/>
  <c r="C147" i="1"/>
  <c r="B147" i="1"/>
  <c r="A147" i="1"/>
  <c r="K146" i="1"/>
  <c r="J146" i="1"/>
  <c r="I146" i="1"/>
  <c r="H146" i="1"/>
  <c r="G146" i="1"/>
  <c r="F146" i="1"/>
  <c r="E146" i="1"/>
  <c r="D146" i="1"/>
  <c r="C146" i="1"/>
  <c r="B146" i="1"/>
  <c r="A146" i="1"/>
  <c r="K145" i="1"/>
  <c r="J145" i="1"/>
  <c r="I145" i="1"/>
  <c r="H145" i="1"/>
  <c r="G145" i="1"/>
  <c r="F145" i="1"/>
  <c r="E145" i="1"/>
  <c r="D145" i="1"/>
  <c r="C145" i="1"/>
  <c r="B145" i="1"/>
  <c r="A145" i="1"/>
  <c r="K144" i="1"/>
  <c r="J144" i="1"/>
  <c r="I144" i="1"/>
  <c r="H144" i="1"/>
  <c r="G144" i="1"/>
  <c r="F144" i="1"/>
  <c r="E144" i="1"/>
  <c r="D144" i="1"/>
  <c r="C144" i="1"/>
  <c r="B144" i="1"/>
  <c r="A144" i="1"/>
  <c r="K143" i="1"/>
  <c r="J143" i="1"/>
  <c r="I143" i="1"/>
  <c r="H143" i="1"/>
  <c r="G143" i="1"/>
  <c r="F143" i="1"/>
  <c r="E143" i="1"/>
  <c r="D143" i="1"/>
  <c r="C143" i="1"/>
  <c r="B143" i="1"/>
  <c r="A143" i="1"/>
  <c r="K142" i="1"/>
  <c r="J142" i="1"/>
  <c r="I142" i="1"/>
  <c r="H142" i="1"/>
  <c r="G142" i="1"/>
  <c r="F142" i="1"/>
  <c r="E142" i="1"/>
  <c r="D142" i="1"/>
  <c r="C142" i="1"/>
  <c r="B142" i="1"/>
  <c r="A142" i="1"/>
  <c r="K141" i="1"/>
  <c r="J141" i="1"/>
  <c r="I141" i="1"/>
  <c r="H141" i="1"/>
  <c r="G141" i="1"/>
  <c r="F141" i="1"/>
  <c r="E141" i="1"/>
  <c r="D141" i="1"/>
  <c r="C141" i="1"/>
  <c r="B141" i="1"/>
  <c r="A141" i="1"/>
  <c r="K140" i="1"/>
  <c r="J140" i="1"/>
  <c r="I140" i="1"/>
  <c r="H140" i="1"/>
  <c r="G140" i="1"/>
  <c r="F140" i="1"/>
  <c r="E140" i="1"/>
  <c r="D140" i="1"/>
  <c r="C140" i="1"/>
  <c r="B140" i="1"/>
  <c r="A140" i="1"/>
  <c r="K139" i="1"/>
  <c r="J139" i="1"/>
  <c r="I139" i="1"/>
  <c r="H139" i="1"/>
  <c r="G139" i="1"/>
  <c r="F139" i="1"/>
  <c r="E139" i="1"/>
  <c r="D139" i="1"/>
  <c r="C139" i="1"/>
  <c r="B139" i="1"/>
  <c r="A139" i="1"/>
  <c r="K138" i="1"/>
  <c r="J138" i="1"/>
  <c r="I138" i="1"/>
  <c r="H138" i="1"/>
  <c r="G138" i="1"/>
  <c r="F138" i="1"/>
  <c r="E138" i="1"/>
  <c r="D138" i="1"/>
  <c r="C138" i="1"/>
  <c r="B138" i="1"/>
  <c r="A138" i="1"/>
  <c r="K137" i="1"/>
  <c r="J137" i="1"/>
  <c r="I137" i="1"/>
  <c r="H137" i="1"/>
  <c r="G137" i="1"/>
  <c r="F137" i="1"/>
  <c r="E137" i="1"/>
  <c r="D137" i="1"/>
  <c r="C137" i="1"/>
  <c r="B137" i="1"/>
  <c r="A137" i="1"/>
  <c r="K136" i="1"/>
  <c r="J136" i="1"/>
  <c r="I136" i="1"/>
  <c r="H136" i="1"/>
  <c r="G136" i="1"/>
  <c r="F136" i="1"/>
  <c r="E136" i="1"/>
  <c r="D136" i="1"/>
  <c r="C136" i="1"/>
  <c r="B136" i="1"/>
  <c r="A136" i="1"/>
  <c r="K135" i="1"/>
  <c r="J135" i="1"/>
  <c r="I135" i="1"/>
  <c r="H135" i="1"/>
  <c r="G135" i="1"/>
  <c r="F135" i="1"/>
  <c r="E135" i="1"/>
  <c r="D135" i="1"/>
  <c r="C135" i="1"/>
  <c r="B135" i="1"/>
  <c r="A135" i="1"/>
  <c r="K134" i="1"/>
  <c r="J134" i="1"/>
  <c r="I134" i="1"/>
  <c r="H134" i="1"/>
  <c r="G134" i="1"/>
  <c r="F134" i="1"/>
  <c r="E134" i="1"/>
  <c r="D134" i="1"/>
  <c r="C134" i="1"/>
  <c r="B134" i="1"/>
  <c r="A134" i="1"/>
  <c r="K133" i="1"/>
  <c r="J133" i="1"/>
  <c r="I133" i="1"/>
  <c r="H133" i="1"/>
  <c r="G133" i="1"/>
  <c r="F133" i="1"/>
  <c r="E133" i="1"/>
  <c r="D133" i="1"/>
  <c r="C133" i="1"/>
  <c r="B133" i="1"/>
  <c r="A133" i="1"/>
  <c r="K132" i="1"/>
  <c r="J132" i="1"/>
  <c r="I132" i="1"/>
  <c r="H132" i="1"/>
  <c r="G132" i="1"/>
  <c r="F132" i="1"/>
  <c r="E132" i="1"/>
  <c r="D132" i="1"/>
  <c r="C132" i="1"/>
  <c r="B132" i="1"/>
  <c r="A132" i="1"/>
  <c r="K131" i="1"/>
  <c r="J131" i="1"/>
  <c r="I131" i="1"/>
  <c r="H131" i="1"/>
  <c r="G131" i="1"/>
  <c r="F131" i="1"/>
  <c r="E131" i="1"/>
  <c r="D131" i="1"/>
  <c r="C131" i="1"/>
  <c r="B131" i="1"/>
  <c r="A131" i="1"/>
  <c r="K130" i="1"/>
  <c r="J130" i="1"/>
  <c r="I130" i="1"/>
  <c r="H130" i="1"/>
  <c r="G130" i="1"/>
  <c r="F130" i="1"/>
  <c r="E130" i="1"/>
  <c r="D130" i="1"/>
  <c r="C130" i="1"/>
  <c r="B130" i="1"/>
  <c r="A130" i="1"/>
  <c r="K129" i="1"/>
  <c r="J129" i="1"/>
  <c r="I129" i="1"/>
  <c r="H129" i="1"/>
  <c r="G129" i="1"/>
  <c r="F129" i="1"/>
  <c r="E129" i="1"/>
  <c r="D129" i="1"/>
  <c r="C129" i="1"/>
  <c r="B129" i="1"/>
  <c r="A129" i="1"/>
  <c r="K128" i="1"/>
  <c r="J128" i="1"/>
  <c r="I128" i="1"/>
  <c r="H128" i="1"/>
  <c r="G128" i="1"/>
  <c r="F128" i="1"/>
  <c r="E128" i="1"/>
  <c r="D128" i="1"/>
  <c r="C128" i="1"/>
  <c r="B128" i="1"/>
  <c r="A128" i="1"/>
  <c r="K127" i="1"/>
  <c r="J127" i="1"/>
  <c r="I127" i="1"/>
  <c r="H127" i="1"/>
  <c r="G127" i="1"/>
  <c r="F127" i="1"/>
  <c r="E127" i="1"/>
  <c r="D127" i="1"/>
  <c r="C127" i="1"/>
  <c r="B127" i="1"/>
  <c r="A127" i="1"/>
  <c r="K126" i="1"/>
  <c r="J126" i="1"/>
  <c r="I126" i="1"/>
  <c r="H126" i="1"/>
  <c r="G126" i="1"/>
  <c r="F126" i="1"/>
  <c r="E126" i="1"/>
  <c r="D126" i="1"/>
  <c r="C126" i="1"/>
  <c r="B126" i="1"/>
  <c r="A126" i="1"/>
  <c r="K125" i="1"/>
  <c r="J125" i="1"/>
  <c r="I125" i="1"/>
  <c r="H125" i="1"/>
  <c r="G125" i="1"/>
  <c r="F125" i="1"/>
  <c r="E125" i="1"/>
  <c r="D125" i="1"/>
  <c r="C125" i="1"/>
  <c r="B125" i="1"/>
  <c r="A125" i="1"/>
  <c r="K124" i="1"/>
  <c r="J124" i="1"/>
  <c r="I124" i="1"/>
  <c r="H124" i="1"/>
  <c r="G124" i="1"/>
  <c r="F124" i="1"/>
  <c r="E124" i="1"/>
  <c r="D124" i="1"/>
  <c r="C124" i="1"/>
  <c r="B124" i="1"/>
  <c r="A124" i="1"/>
  <c r="K123" i="1"/>
  <c r="J123" i="1"/>
  <c r="I123" i="1"/>
  <c r="H123" i="1"/>
  <c r="G123" i="1"/>
  <c r="F123" i="1"/>
  <c r="E123" i="1"/>
  <c r="D123" i="1"/>
  <c r="C123" i="1"/>
  <c r="B123" i="1"/>
  <c r="A123" i="1"/>
  <c r="K122" i="1"/>
  <c r="J122" i="1"/>
  <c r="I122" i="1"/>
  <c r="H122" i="1"/>
  <c r="G122" i="1"/>
  <c r="F122" i="1"/>
  <c r="E122" i="1"/>
  <c r="D122" i="1"/>
  <c r="C122" i="1"/>
  <c r="B122" i="1"/>
  <c r="A122" i="1"/>
  <c r="K121" i="1"/>
  <c r="J121" i="1"/>
  <c r="I121" i="1"/>
  <c r="H121" i="1"/>
  <c r="G121" i="1"/>
  <c r="F121" i="1"/>
  <c r="E121" i="1"/>
  <c r="D121" i="1"/>
  <c r="C121" i="1"/>
  <c r="B121" i="1"/>
  <c r="A121" i="1"/>
  <c r="K120" i="1"/>
  <c r="J120" i="1"/>
  <c r="I120" i="1"/>
  <c r="H120" i="1"/>
  <c r="G120" i="1"/>
  <c r="F120" i="1"/>
  <c r="E120" i="1"/>
  <c r="D120" i="1"/>
  <c r="C120" i="1"/>
  <c r="B120" i="1"/>
  <c r="A120" i="1"/>
  <c r="K119" i="1"/>
  <c r="J119" i="1"/>
  <c r="I119" i="1"/>
  <c r="H119" i="1"/>
  <c r="G119" i="1"/>
  <c r="F119" i="1"/>
  <c r="E119" i="1"/>
  <c r="D119" i="1"/>
  <c r="C119" i="1"/>
  <c r="B119" i="1"/>
  <c r="A119" i="1"/>
  <c r="K118" i="1"/>
  <c r="J118" i="1"/>
  <c r="I118" i="1"/>
  <c r="H118" i="1"/>
  <c r="G118" i="1"/>
  <c r="F118" i="1"/>
  <c r="E118" i="1"/>
  <c r="D118" i="1"/>
  <c r="C118" i="1"/>
  <c r="B118" i="1"/>
  <c r="A118" i="1"/>
  <c r="K117" i="1"/>
  <c r="J117" i="1"/>
  <c r="I117" i="1"/>
  <c r="H117" i="1"/>
  <c r="G117" i="1"/>
  <c r="F117" i="1"/>
  <c r="E117" i="1"/>
  <c r="D117" i="1"/>
  <c r="C117" i="1"/>
  <c r="B117" i="1"/>
  <c r="A117" i="1"/>
  <c r="K116" i="1"/>
  <c r="J116" i="1"/>
  <c r="I116" i="1"/>
  <c r="H116" i="1"/>
  <c r="G116" i="1"/>
  <c r="F116" i="1"/>
  <c r="E116" i="1"/>
  <c r="D116" i="1"/>
  <c r="C116" i="1"/>
  <c r="B116" i="1"/>
  <c r="A116" i="1"/>
  <c r="K115" i="1"/>
  <c r="J115" i="1"/>
  <c r="I115" i="1"/>
  <c r="H115" i="1"/>
  <c r="G115" i="1"/>
  <c r="F115" i="1"/>
  <c r="E115" i="1"/>
  <c r="D115" i="1"/>
  <c r="C115" i="1"/>
  <c r="B115" i="1"/>
  <c r="A115" i="1"/>
  <c r="K114" i="1"/>
  <c r="J114" i="1"/>
  <c r="I114" i="1"/>
  <c r="H114" i="1"/>
  <c r="G114" i="1"/>
  <c r="F114" i="1"/>
  <c r="E114" i="1"/>
  <c r="D114" i="1"/>
  <c r="C114" i="1"/>
  <c r="B114" i="1"/>
  <c r="A114" i="1"/>
  <c r="K113" i="1"/>
  <c r="J113" i="1"/>
  <c r="I113" i="1"/>
  <c r="H113" i="1"/>
  <c r="G113" i="1"/>
  <c r="F113" i="1"/>
  <c r="E113" i="1"/>
  <c r="D113" i="1"/>
  <c r="C113" i="1"/>
  <c r="B113" i="1"/>
  <c r="A113" i="1"/>
  <c r="K112" i="1"/>
  <c r="J112" i="1"/>
  <c r="I112" i="1"/>
  <c r="H112" i="1"/>
  <c r="G112" i="1"/>
  <c r="F112" i="1"/>
  <c r="E112" i="1"/>
  <c r="D112" i="1"/>
  <c r="C112" i="1"/>
  <c r="B112" i="1"/>
  <c r="A112" i="1"/>
  <c r="K111" i="1"/>
  <c r="J111" i="1"/>
  <c r="I111" i="1"/>
  <c r="H111" i="1"/>
  <c r="G111" i="1"/>
  <c r="F111" i="1"/>
  <c r="E111" i="1"/>
  <c r="D111" i="1"/>
  <c r="C111" i="1"/>
  <c r="B111" i="1"/>
  <c r="A111" i="1"/>
  <c r="K110" i="1"/>
  <c r="J110" i="1"/>
  <c r="I110" i="1"/>
  <c r="H110" i="1"/>
  <c r="G110" i="1"/>
  <c r="F110" i="1"/>
  <c r="E110" i="1"/>
  <c r="D110" i="1"/>
  <c r="C110" i="1"/>
  <c r="B110" i="1"/>
  <c r="A110" i="1"/>
  <c r="K109" i="1"/>
  <c r="J109" i="1"/>
  <c r="I109" i="1"/>
  <c r="H109" i="1"/>
  <c r="G109" i="1"/>
  <c r="F109" i="1"/>
  <c r="E109" i="1"/>
  <c r="D109" i="1"/>
  <c r="C109" i="1"/>
  <c r="B109" i="1"/>
  <c r="A109" i="1"/>
  <c r="K108" i="1"/>
  <c r="J108" i="1"/>
  <c r="I108" i="1"/>
  <c r="H108" i="1"/>
  <c r="G108" i="1"/>
  <c r="F108" i="1"/>
  <c r="E108" i="1"/>
  <c r="D108" i="1"/>
  <c r="C108" i="1"/>
  <c r="B108" i="1"/>
  <c r="A108" i="1"/>
  <c r="K107" i="1"/>
  <c r="J107" i="1"/>
  <c r="I107" i="1"/>
  <c r="H107" i="1"/>
  <c r="G107" i="1"/>
  <c r="F107" i="1"/>
  <c r="E107" i="1"/>
  <c r="D107" i="1"/>
  <c r="C107" i="1"/>
  <c r="B107" i="1"/>
  <c r="A107" i="1"/>
  <c r="K106" i="1"/>
  <c r="J106" i="1"/>
  <c r="I106" i="1"/>
  <c r="H106" i="1"/>
  <c r="G106" i="1"/>
  <c r="F106" i="1"/>
  <c r="E106" i="1"/>
  <c r="D106" i="1"/>
  <c r="C106" i="1"/>
  <c r="B106" i="1"/>
  <c r="A106" i="1"/>
  <c r="K105" i="1"/>
  <c r="J105" i="1"/>
  <c r="I105" i="1"/>
  <c r="H105" i="1"/>
  <c r="G105" i="1"/>
  <c r="F105" i="1"/>
  <c r="E105" i="1"/>
  <c r="D105" i="1"/>
  <c r="C105" i="1"/>
  <c r="B105" i="1"/>
  <c r="A105" i="1"/>
  <c r="K104" i="1"/>
  <c r="J104" i="1"/>
  <c r="I104" i="1"/>
  <c r="H104" i="1"/>
  <c r="G104" i="1"/>
  <c r="F104" i="1"/>
  <c r="E104" i="1"/>
  <c r="D104" i="1"/>
  <c r="C104" i="1"/>
  <c r="B104" i="1"/>
  <c r="A104" i="1"/>
  <c r="K103" i="1"/>
  <c r="J103" i="1"/>
  <c r="I103" i="1"/>
  <c r="H103" i="1"/>
  <c r="G103" i="1"/>
  <c r="F103" i="1"/>
  <c r="E103" i="1"/>
  <c r="D103" i="1"/>
  <c r="C103" i="1"/>
  <c r="B103" i="1"/>
  <c r="A103" i="1"/>
  <c r="K102" i="1"/>
  <c r="J102" i="1"/>
  <c r="I102" i="1"/>
  <c r="H102" i="1"/>
  <c r="G102" i="1"/>
  <c r="F102" i="1"/>
  <c r="E102" i="1"/>
  <c r="D102" i="1"/>
  <c r="C102" i="1"/>
  <c r="B102" i="1"/>
  <c r="A102" i="1"/>
  <c r="K101" i="1"/>
  <c r="J101" i="1"/>
  <c r="I101" i="1"/>
  <c r="H101" i="1"/>
  <c r="G101" i="1"/>
  <c r="F101" i="1"/>
  <c r="E101" i="1"/>
  <c r="D101" i="1"/>
  <c r="C101" i="1"/>
  <c r="B101" i="1"/>
  <c r="A101" i="1"/>
  <c r="K100" i="1"/>
  <c r="J100" i="1"/>
  <c r="I100" i="1"/>
  <c r="H100" i="1"/>
  <c r="G100" i="1"/>
  <c r="F100" i="1"/>
  <c r="E100" i="1"/>
  <c r="D100" i="1"/>
  <c r="C100" i="1"/>
  <c r="B100" i="1"/>
  <c r="A100" i="1"/>
  <c r="K99" i="1"/>
  <c r="J99" i="1"/>
  <c r="I99" i="1"/>
  <c r="H99" i="1"/>
  <c r="G99" i="1"/>
  <c r="F99" i="1"/>
  <c r="E99" i="1"/>
  <c r="D99" i="1"/>
  <c r="C99" i="1"/>
  <c r="B99" i="1"/>
  <c r="A99" i="1"/>
  <c r="K98" i="1"/>
  <c r="J98" i="1"/>
  <c r="I98" i="1"/>
  <c r="H98" i="1"/>
  <c r="G98" i="1"/>
  <c r="F98" i="1"/>
  <c r="E98" i="1"/>
  <c r="D98" i="1"/>
  <c r="C98" i="1"/>
  <c r="B98" i="1"/>
  <c r="A98" i="1"/>
  <c r="K97" i="1"/>
  <c r="J97" i="1"/>
  <c r="I97" i="1"/>
  <c r="H97" i="1"/>
  <c r="G97" i="1"/>
  <c r="F97" i="1"/>
  <c r="E97" i="1"/>
  <c r="D97" i="1"/>
  <c r="C97" i="1"/>
  <c r="B97" i="1"/>
  <c r="A97" i="1"/>
  <c r="K96" i="1"/>
  <c r="J96" i="1"/>
  <c r="I96" i="1"/>
  <c r="H96" i="1"/>
  <c r="G96" i="1"/>
  <c r="F96" i="1"/>
  <c r="E96" i="1"/>
  <c r="D96" i="1"/>
  <c r="C96" i="1"/>
  <c r="B96" i="1"/>
  <c r="A96" i="1"/>
  <c r="K95" i="1"/>
  <c r="J95" i="1"/>
  <c r="I95" i="1"/>
  <c r="H95" i="1"/>
  <c r="G95" i="1"/>
  <c r="F95" i="1"/>
  <c r="E95" i="1"/>
  <c r="D95" i="1"/>
  <c r="C95" i="1"/>
  <c r="B95" i="1"/>
  <c r="A95" i="1"/>
  <c r="K94" i="1"/>
  <c r="J94" i="1"/>
  <c r="I94" i="1"/>
  <c r="H94" i="1"/>
  <c r="G94" i="1"/>
  <c r="F94" i="1"/>
  <c r="E94" i="1"/>
  <c r="D94" i="1"/>
  <c r="C94" i="1"/>
  <c r="B94" i="1"/>
  <c r="A94" i="1"/>
  <c r="K93" i="1"/>
  <c r="J93" i="1"/>
  <c r="I93" i="1"/>
  <c r="H93" i="1"/>
  <c r="G93" i="1"/>
  <c r="F93" i="1"/>
  <c r="E93" i="1"/>
  <c r="D93" i="1"/>
  <c r="C93" i="1"/>
  <c r="B93" i="1"/>
  <c r="A93" i="1"/>
  <c r="K92" i="1"/>
  <c r="J92" i="1"/>
  <c r="I92" i="1"/>
  <c r="H92" i="1"/>
  <c r="G92" i="1"/>
  <c r="F92" i="1"/>
  <c r="E92" i="1"/>
  <c r="D92" i="1"/>
  <c r="C92" i="1"/>
  <c r="B92" i="1"/>
  <c r="A92" i="1"/>
  <c r="K91" i="1"/>
  <c r="J91" i="1"/>
  <c r="I91" i="1"/>
  <c r="H91" i="1"/>
  <c r="G91" i="1"/>
  <c r="F91" i="1"/>
  <c r="E91" i="1"/>
  <c r="D91" i="1"/>
  <c r="C91" i="1"/>
  <c r="B91" i="1"/>
  <c r="A91" i="1"/>
  <c r="K90" i="1"/>
  <c r="J90" i="1"/>
  <c r="I90" i="1"/>
  <c r="H90" i="1"/>
  <c r="G90" i="1"/>
  <c r="F90" i="1"/>
  <c r="E90" i="1"/>
  <c r="D90" i="1"/>
  <c r="C90" i="1"/>
  <c r="B90" i="1"/>
  <c r="A90" i="1"/>
  <c r="K89" i="1"/>
  <c r="J89" i="1"/>
  <c r="I89" i="1"/>
  <c r="H89" i="1"/>
  <c r="G89" i="1"/>
  <c r="F89" i="1"/>
  <c r="E89" i="1"/>
  <c r="D89" i="1"/>
  <c r="C89" i="1"/>
  <c r="B89" i="1"/>
  <c r="A89" i="1"/>
  <c r="K88" i="1"/>
  <c r="J88" i="1"/>
  <c r="I88" i="1"/>
  <c r="H88" i="1"/>
  <c r="G88" i="1"/>
  <c r="F88" i="1"/>
  <c r="E88" i="1"/>
  <c r="D88" i="1"/>
  <c r="C88" i="1"/>
  <c r="B88" i="1"/>
  <c r="A88" i="1"/>
  <c r="K87" i="1"/>
  <c r="J87" i="1"/>
  <c r="I87" i="1"/>
  <c r="H87" i="1"/>
  <c r="G87" i="1"/>
  <c r="F87" i="1"/>
  <c r="E87" i="1"/>
  <c r="D87" i="1"/>
  <c r="C87" i="1"/>
  <c r="B87" i="1"/>
  <c r="A87" i="1"/>
  <c r="K86" i="1"/>
  <c r="J86" i="1"/>
  <c r="I86" i="1"/>
  <c r="H86" i="1"/>
  <c r="G86" i="1"/>
  <c r="F86" i="1"/>
  <c r="E86" i="1"/>
  <c r="D86" i="1"/>
  <c r="C86" i="1"/>
  <c r="B86" i="1"/>
  <c r="A86" i="1"/>
  <c r="K85" i="1"/>
  <c r="J85" i="1"/>
  <c r="I85" i="1"/>
  <c r="H85" i="1"/>
  <c r="G85" i="1"/>
  <c r="F85" i="1"/>
  <c r="E85" i="1"/>
  <c r="D85" i="1"/>
  <c r="C85" i="1"/>
  <c r="B85" i="1"/>
  <c r="A85" i="1"/>
  <c r="K84" i="1"/>
  <c r="J84" i="1"/>
  <c r="I84" i="1"/>
  <c r="H84" i="1"/>
  <c r="G84" i="1"/>
  <c r="F84" i="1"/>
  <c r="E84" i="1"/>
  <c r="D84" i="1"/>
  <c r="C84" i="1"/>
  <c r="B84" i="1"/>
  <c r="A84" i="1"/>
  <c r="K83" i="1"/>
  <c r="J83" i="1"/>
  <c r="I83" i="1"/>
  <c r="H83" i="1"/>
  <c r="G83" i="1"/>
  <c r="F83" i="1"/>
  <c r="E83" i="1"/>
  <c r="D83" i="1"/>
  <c r="C83" i="1"/>
  <c r="B83" i="1"/>
  <c r="A83" i="1"/>
  <c r="K82" i="1"/>
  <c r="J82" i="1"/>
  <c r="I82" i="1"/>
  <c r="H82" i="1"/>
  <c r="G82" i="1"/>
  <c r="F82" i="1"/>
  <c r="E82" i="1"/>
  <c r="D82" i="1"/>
  <c r="C82" i="1"/>
  <c r="B82" i="1"/>
  <c r="A82" i="1"/>
  <c r="K81" i="1"/>
  <c r="J81" i="1"/>
  <c r="I81" i="1"/>
  <c r="H81" i="1"/>
  <c r="G81" i="1"/>
  <c r="F81" i="1"/>
  <c r="E81" i="1"/>
  <c r="D81" i="1"/>
  <c r="C81" i="1"/>
  <c r="B81" i="1"/>
  <c r="A81" i="1"/>
  <c r="K80" i="1"/>
  <c r="J80" i="1"/>
  <c r="I80" i="1"/>
  <c r="H80" i="1"/>
  <c r="G80" i="1"/>
  <c r="F80" i="1"/>
  <c r="E80" i="1"/>
  <c r="D80" i="1"/>
  <c r="C80" i="1"/>
  <c r="B80" i="1"/>
  <c r="A80" i="1"/>
  <c r="K79" i="1"/>
  <c r="J79" i="1"/>
  <c r="I79" i="1"/>
  <c r="H79" i="1"/>
  <c r="G79" i="1"/>
  <c r="F79" i="1"/>
  <c r="E79" i="1"/>
  <c r="D79" i="1"/>
  <c r="C79" i="1"/>
  <c r="B79" i="1"/>
  <c r="A79" i="1"/>
  <c r="K78" i="1"/>
  <c r="J78" i="1"/>
  <c r="I78" i="1"/>
  <c r="H78" i="1"/>
  <c r="G78" i="1"/>
  <c r="F78" i="1"/>
  <c r="E78" i="1"/>
  <c r="D78" i="1"/>
  <c r="C78" i="1"/>
  <c r="B78" i="1"/>
  <c r="A78" i="1"/>
  <c r="K77" i="1"/>
  <c r="J77" i="1"/>
  <c r="I77" i="1"/>
  <c r="H77" i="1"/>
  <c r="G77" i="1"/>
  <c r="F77" i="1"/>
  <c r="E77" i="1"/>
  <c r="D77" i="1"/>
  <c r="C77" i="1"/>
  <c r="B77" i="1"/>
  <c r="A77" i="1"/>
  <c r="K76" i="1"/>
  <c r="J76" i="1"/>
  <c r="I76" i="1"/>
  <c r="H76" i="1"/>
  <c r="G76" i="1"/>
  <c r="F76" i="1"/>
  <c r="E76" i="1"/>
  <c r="D76" i="1"/>
  <c r="C76" i="1"/>
  <c r="B76" i="1"/>
  <c r="A76" i="1"/>
  <c r="K75" i="1"/>
  <c r="J75" i="1"/>
  <c r="I75" i="1"/>
  <c r="H75" i="1"/>
  <c r="G75" i="1"/>
  <c r="F75" i="1"/>
  <c r="E75" i="1"/>
  <c r="D75" i="1"/>
  <c r="C75" i="1"/>
  <c r="B75" i="1"/>
  <c r="A75" i="1"/>
  <c r="K74" i="1"/>
  <c r="J74" i="1"/>
  <c r="I74" i="1"/>
  <c r="H74" i="1"/>
  <c r="G74" i="1"/>
  <c r="F74" i="1"/>
  <c r="E74" i="1"/>
  <c r="D74" i="1"/>
  <c r="C74" i="1"/>
  <c r="B74" i="1"/>
  <c r="A74" i="1"/>
  <c r="K73" i="1"/>
  <c r="J73" i="1"/>
  <c r="I73" i="1"/>
  <c r="H73" i="1"/>
  <c r="G73" i="1"/>
  <c r="F73" i="1"/>
  <c r="E73" i="1"/>
  <c r="D73" i="1"/>
  <c r="C73" i="1"/>
  <c r="B73" i="1"/>
  <c r="A73" i="1"/>
  <c r="K72" i="1"/>
  <c r="J72" i="1"/>
  <c r="I72" i="1"/>
  <c r="H72" i="1"/>
  <c r="G72" i="1"/>
  <c r="F72" i="1"/>
  <c r="E72" i="1"/>
  <c r="D72" i="1"/>
  <c r="C72" i="1"/>
  <c r="B72" i="1"/>
  <c r="A72" i="1"/>
  <c r="K71" i="1"/>
  <c r="J71" i="1"/>
  <c r="I71" i="1"/>
  <c r="H71" i="1"/>
  <c r="G71" i="1"/>
  <c r="F71" i="1"/>
  <c r="E71" i="1"/>
  <c r="D71" i="1"/>
  <c r="C71" i="1"/>
  <c r="B71" i="1"/>
  <c r="A71" i="1"/>
  <c r="K70" i="1"/>
  <c r="J70" i="1"/>
  <c r="I70" i="1"/>
  <c r="H70" i="1"/>
  <c r="G70" i="1"/>
  <c r="F70" i="1"/>
  <c r="E70" i="1"/>
  <c r="D70" i="1"/>
  <c r="C70" i="1"/>
  <c r="B70" i="1"/>
  <c r="A70" i="1"/>
  <c r="K69" i="1"/>
  <c r="J69" i="1"/>
  <c r="I69" i="1"/>
  <c r="H69" i="1"/>
  <c r="G69" i="1"/>
  <c r="F69" i="1"/>
  <c r="E69" i="1"/>
  <c r="D69" i="1"/>
  <c r="C69" i="1"/>
  <c r="B69" i="1"/>
  <c r="A69" i="1"/>
  <c r="K68" i="1"/>
  <c r="J68" i="1"/>
  <c r="I68" i="1"/>
  <c r="H68" i="1"/>
  <c r="G68" i="1"/>
  <c r="F68" i="1"/>
  <c r="E68" i="1"/>
  <c r="D68" i="1"/>
  <c r="C68" i="1"/>
  <c r="B68" i="1"/>
  <c r="A68" i="1"/>
  <c r="K67" i="1"/>
  <c r="J67" i="1"/>
  <c r="I67" i="1"/>
  <c r="H67" i="1"/>
  <c r="G67" i="1"/>
  <c r="F67" i="1"/>
  <c r="E67" i="1"/>
  <c r="D67" i="1"/>
  <c r="C67" i="1"/>
  <c r="B67" i="1"/>
  <c r="A67" i="1"/>
  <c r="K66" i="1"/>
  <c r="J66" i="1"/>
  <c r="I66" i="1"/>
  <c r="H66" i="1"/>
  <c r="G66" i="1"/>
  <c r="F66" i="1"/>
  <c r="E66" i="1"/>
  <c r="D66" i="1"/>
  <c r="C66" i="1"/>
  <c r="B66" i="1"/>
  <c r="A66" i="1"/>
  <c r="K65" i="1"/>
  <c r="J65" i="1"/>
  <c r="I65" i="1"/>
  <c r="H65" i="1"/>
  <c r="G65" i="1"/>
  <c r="F65" i="1"/>
  <c r="E65" i="1"/>
  <c r="D65" i="1"/>
  <c r="C65" i="1"/>
  <c r="B65" i="1"/>
  <c r="A65" i="1"/>
  <c r="K64" i="1"/>
  <c r="J64" i="1"/>
  <c r="I64" i="1"/>
  <c r="H64" i="1"/>
  <c r="G64" i="1"/>
  <c r="F64" i="1"/>
  <c r="E64" i="1"/>
  <c r="D64" i="1"/>
  <c r="C64" i="1"/>
  <c r="B64" i="1"/>
  <c r="A64" i="1"/>
  <c r="K63" i="1"/>
  <c r="J63" i="1"/>
  <c r="I63" i="1"/>
  <c r="H63" i="1"/>
  <c r="G63" i="1"/>
  <c r="F63" i="1"/>
  <c r="E63" i="1"/>
  <c r="D63" i="1"/>
  <c r="C63" i="1"/>
  <c r="B63" i="1"/>
  <c r="A63" i="1"/>
  <c r="K62" i="1"/>
  <c r="J62" i="1"/>
  <c r="I62" i="1"/>
  <c r="H62" i="1"/>
  <c r="G62" i="1"/>
  <c r="F62" i="1"/>
  <c r="E62" i="1"/>
  <c r="D62" i="1"/>
  <c r="C62" i="1"/>
  <c r="B62" i="1"/>
  <c r="A62" i="1"/>
  <c r="K61" i="1"/>
  <c r="J61" i="1"/>
  <c r="I61" i="1"/>
  <c r="H61" i="1"/>
  <c r="G61" i="1"/>
  <c r="F61" i="1"/>
  <c r="E61" i="1"/>
  <c r="D61" i="1"/>
  <c r="C61" i="1"/>
  <c r="B61" i="1"/>
  <c r="A61" i="1"/>
  <c r="K60" i="1"/>
  <c r="J60" i="1"/>
  <c r="I60" i="1"/>
  <c r="H60" i="1"/>
  <c r="G60" i="1"/>
  <c r="F60" i="1"/>
  <c r="E60" i="1"/>
  <c r="D60" i="1"/>
  <c r="C60" i="1"/>
  <c r="B60" i="1"/>
  <c r="A60" i="1"/>
  <c r="K59" i="1"/>
  <c r="J59" i="1"/>
  <c r="I59" i="1"/>
  <c r="H59" i="1"/>
  <c r="G59" i="1"/>
  <c r="F59" i="1"/>
  <c r="E59" i="1"/>
  <c r="D59" i="1"/>
  <c r="C59" i="1"/>
  <c r="B59" i="1"/>
  <c r="A59" i="1"/>
  <c r="K58" i="1"/>
  <c r="J58" i="1"/>
  <c r="I58" i="1"/>
  <c r="H58" i="1"/>
  <c r="G58" i="1"/>
  <c r="F58" i="1"/>
  <c r="E58" i="1"/>
  <c r="D58" i="1"/>
  <c r="C58" i="1"/>
  <c r="B58" i="1"/>
  <c r="A58" i="1"/>
  <c r="K57" i="1"/>
  <c r="J57" i="1"/>
  <c r="I57" i="1"/>
  <c r="H57" i="1"/>
  <c r="G57" i="1"/>
  <c r="F57" i="1"/>
  <c r="E57" i="1"/>
  <c r="D57" i="1"/>
  <c r="C57" i="1"/>
  <c r="B57" i="1"/>
  <c r="A57" i="1"/>
  <c r="K56" i="1"/>
  <c r="J56" i="1"/>
  <c r="I56" i="1"/>
  <c r="H56" i="1"/>
  <c r="G56" i="1"/>
  <c r="F56" i="1"/>
  <c r="E56" i="1"/>
  <c r="D56" i="1"/>
  <c r="C56" i="1"/>
  <c r="B56" i="1"/>
  <c r="A56" i="1"/>
  <c r="K55" i="1"/>
  <c r="J55" i="1"/>
  <c r="I55" i="1"/>
  <c r="H55" i="1"/>
  <c r="G55" i="1"/>
  <c r="F55" i="1"/>
  <c r="E55" i="1"/>
  <c r="D55" i="1"/>
  <c r="C55" i="1"/>
  <c r="B55" i="1"/>
  <c r="A55" i="1"/>
  <c r="K54" i="1"/>
  <c r="J54" i="1"/>
  <c r="I54" i="1"/>
  <c r="H54" i="1"/>
  <c r="G54" i="1"/>
  <c r="F54" i="1"/>
  <c r="E54" i="1"/>
  <c r="D54" i="1"/>
  <c r="C54" i="1"/>
  <c r="B54" i="1"/>
  <c r="A54" i="1"/>
  <c r="K53" i="1"/>
  <c r="J53" i="1"/>
  <c r="I53" i="1"/>
  <c r="H53" i="1"/>
  <c r="G53" i="1"/>
  <c r="F53" i="1"/>
  <c r="E53" i="1"/>
  <c r="D53" i="1"/>
  <c r="C53" i="1"/>
  <c r="B53" i="1"/>
  <c r="A53" i="1"/>
  <c r="K52" i="1"/>
  <c r="J52" i="1"/>
  <c r="I52" i="1"/>
  <c r="H52" i="1"/>
  <c r="G52" i="1"/>
  <c r="F52" i="1"/>
  <c r="E52" i="1"/>
  <c r="D52" i="1"/>
  <c r="C52" i="1"/>
  <c r="B52" i="1"/>
  <c r="A52" i="1"/>
  <c r="K51" i="1"/>
  <c r="J51" i="1"/>
  <c r="I51" i="1"/>
  <c r="H51" i="1"/>
  <c r="G51" i="1"/>
  <c r="F51" i="1"/>
  <c r="E51" i="1"/>
  <c r="D51" i="1"/>
  <c r="C51" i="1"/>
  <c r="B51" i="1"/>
  <c r="A51" i="1"/>
  <c r="K50" i="1"/>
  <c r="J50" i="1"/>
  <c r="I50" i="1"/>
  <c r="H50" i="1"/>
  <c r="G50" i="1"/>
  <c r="F50" i="1"/>
  <c r="E50" i="1"/>
  <c r="D50" i="1"/>
  <c r="C50" i="1"/>
  <c r="B50" i="1"/>
  <c r="A50" i="1"/>
  <c r="K49" i="1"/>
  <c r="J49" i="1"/>
  <c r="I49" i="1"/>
  <c r="H49" i="1"/>
  <c r="G49" i="1"/>
  <c r="F49" i="1"/>
  <c r="E49" i="1"/>
  <c r="D49" i="1"/>
  <c r="C49" i="1"/>
  <c r="B49" i="1"/>
  <c r="A49" i="1"/>
  <c r="K48" i="1"/>
  <c r="J48" i="1"/>
  <c r="I48" i="1"/>
  <c r="H48" i="1"/>
  <c r="G48" i="1"/>
  <c r="F48" i="1"/>
  <c r="E48" i="1"/>
  <c r="D48" i="1"/>
  <c r="C48" i="1"/>
  <c r="B48" i="1"/>
  <c r="A48" i="1"/>
  <c r="K47" i="1"/>
  <c r="J47" i="1"/>
  <c r="I47" i="1"/>
  <c r="H47" i="1"/>
  <c r="G47" i="1"/>
  <c r="F47" i="1"/>
  <c r="E47" i="1"/>
  <c r="D47" i="1"/>
  <c r="C47" i="1"/>
  <c r="B47" i="1"/>
  <c r="A47" i="1"/>
  <c r="K46" i="1"/>
  <c r="J46" i="1"/>
  <c r="I46" i="1"/>
  <c r="H46" i="1"/>
  <c r="G46" i="1"/>
  <c r="F46" i="1"/>
  <c r="E46" i="1"/>
  <c r="D46" i="1"/>
  <c r="C46" i="1"/>
  <c r="B46" i="1"/>
  <c r="A46" i="1"/>
  <c r="K45" i="1"/>
  <c r="J45" i="1"/>
  <c r="I45" i="1"/>
  <c r="H45" i="1"/>
  <c r="G45" i="1"/>
  <c r="F45" i="1"/>
  <c r="E45" i="1"/>
  <c r="D45" i="1"/>
  <c r="C45" i="1"/>
  <c r="B45" i="1"/>
  <c r="A45" i="1"/>
  <c r="K44" i="1"/>
  <c r="J44" i="1"/>
  <c r="I44" i="1"/>
  <c r="H44" i="1"/>
  <c r="G44" i="1"/>
  <c r="F44" i="1"/>
  <c r="E44" i="1"/>
  <c r="D44" i="1"/>
  <c r="C44" i="1"/>
  <c r="B44" i="1"/>
  <c r="A44" i="1"/>
  <c r="K43" i="1"/>
  <c r="J43" i="1"/>
  <c r="I43" i="1"/>
  <c r="H43" i="1"/>
  <c r="G43" i="1"/>
  <c r="F43" i="1"/>
  <c r="E43" i="1"/>
  <c r="D43" i="1"/>
  <c r="C43" i="1"/>
  <c r="B43" i="1"/>
  <c r="A43" i="1"/>
  <c r="K42" i="1"/>
  <c r="J42" i="1"/>
  <c r="I42" i="1"/>
  <c r="H42" i="1"/>
  <c r="G42" i="1"/>
  <c r="F42" i="1"/>
  <c r="E42" i="1"/>
  <c r="D42" i="1"/>
  <c r="C42" i="1"/>
  <c r="B42" i="1"/>
  <c r="A42" i="1"/>
  <c r="K41" i="1"/>
  <c r="J41" i="1"/>
  <c r="I41" i="1"/>
  <c r="H41" i="1"/>
  <c r="G41" i="1"/>
  <c r="F41" i="1"/>
  <c r="E41" i="1"/>
  <c r="D41" i="1"/>
  <c r="C41" i="1"/>
  <c r="B41" i="1"/>
  <c r="A41" i="1"/>
  <c r="K40" i="1"/>
  <c r="J40" i="1"/>
  <c r="I40" i="1"/>
  <c r="H40" i="1"/>
  <c r="G40" i="1"/>
  <c r="F40" i="1"/>
  <c r="E40" i="1"/>
  <c r="D40" i="1"/>
  <c r="C40" i="1"/>
  <c r="B40" i="1"/>
  <c r="A40" i="1"/>
  <c r="K39" i="1"/>
  <c r="J39" i="1"/>
  <c r="I39" i="1"/>
  <c r="H39" i="1"/>
  <c r="G39" i="1"/>
  <c r="F39" i="1"/>
  <c r="E39" i="1"/>
  <c r="D39" i="1"/>
  <c r="C39" i="1"/>
  <c r="B39" i="1"/>
  <c r="A39" i="1"/>
  <c r="K38" i="1"/>
  <c r="J38" i="1"/>
  <c r="I38" i="1"/>
  <c r="H38" i="1"/>
  <c r="G38" i="1"/>
  <c r="F38" i="1"/>
  <c r="E38" i="1"/>
  <c r="D38" i="1"/>
  <c r="C38" i="1"/>
  <c r="B38" i="1"/>
  <c r="A38" i="1"/>
  <c r="K37" i="1"/>
  <c r="J37" i="1"/>
  <c r="I37" i="1"/>
  <c r="H37" i="1"/>
  <c r="G37" i="1"/>
  <c r="F37" i="1"/>
  <c r="E37" i="1"/>
  <c r="D37" i="1"/>
  <c r="C37" i="1"/>
  <c r="B37" i="1"/>
  <c r="A37" i="1"/>
  <c r="K36" i="1"/>
  <c r="J36" i="1"/>
  <c r="I36" i="1"/>
  <c r="H36" i="1"/>
  <c r="G36" i="1"/>
  <c r="F36" i="1"/>
  <c r="E36" i="1"/>
  <c r="D36" i="1"/>
  <c r="C36" i="1"/>
  <c r="B36" i="1"/>
  <c r="A36" i="1"/>
  <c r="K35" i="1"/>
  <c r="J35" i="1"/>
  <c r="I35" i="1"/>
  <c r="H35" i="1"/>
  <c r="G35" i="1"/>
  <c r="F35" i="1"/>
  <c r="E35" i="1"/>
  <c r="D35" i="1"/>
  <c r="C35" i="1"/>
  <c r="B35" i="1"/>
  <c r="A35" i="1"/>
  <c r="K34" i="1"/>
  <c r="J34" i="1"/>
  <c r="I34" i="1"/>
  <c r="H34" i="1"/>
  <c r="G34" i="1"/>
  <c r="F34" i="1"/>
  <c r="E34" i="1"/>
  <c r="D34" i="1"/>
  <c r="C34" i="1"/>
  <c r="B34" i="1"/>
  <c r="A34" i="1"/>
  <c r="K33" i="1"/>
  <c r="J33" i="1"/>
  <c r="I33" i="1"/>
  <c r="H33" i="1"/>
  <c r="G33" i="1"/>
  <c r="F33" i="1"/>
  <c r="E33" i="1"/>
  <c r="D33" i="1"/>
  <c r="C33" i="1"/>
  <c r="B33" i="1"/>
  <c r="A33" i="1"/>
  <c r="K32" i="1"/>
  <c r="J32" i="1"/>
  <c r="I32" i="1"/>
  <c r="H32" i="1"/>
  <c r="G32" i="1"/>
  <c r="F32" i="1"/>
  <c r="E32" i="1"/>
  <c r="D32" i="1"/>
  <c r="C32" i="1"/>
  <c r="B32" i="1"/>
  <c r="A32" i="1"/>
  <c r="K31" i="1"/>
  <c r="J31" i="1"/>
  <c r="I31" i="1"/>
  <c r="H31" i="1"/>
  <c r="G31" i="1"/>
  <c r="F31" i="1"/>
  <c r="E31" i="1"/>
  <c r="D31" i="1"/>
  <c r="C31" i="1"/>
  <c r="B31" i="1"/>
  <c r="A31" i="1"/>
  <c r="K30" i="1"/>
  <c r="J30" i="1"/>
  <c r="I30" i="1"/>
  <c r="H30" i="1"/>
  <c r="G30" i="1"/>
  <c r="F30" i="1"/>
  <c r="E30" i="1"/>
  <c r="D30" i="1"/>
  <c r="C30" i="1"/>
  <c r="B30" i="1"/>
  <c r="A30" i="1"/>
  <c r="K29" i="1"/>
  <c r="J29" i="1"/>
  <c r="I29" i="1"/>
  <c r="H29" i="1"/>
  <c r="G29" i="1"/>
  <c r="F29" i="1"/>
  <c r="E29" i="1"/>
  <c r="D29" i="1"/>
  <c r="C29" i="1"/>
  <c r="B29" i="1"/>
  <c r="A29" i="1"/>
  <c r="K28" i="1"/>
  <c r="J28" i="1"/>
  <c r="I28" i="1"/>
  <c r="H28" i="1"/>
  <c r="G28" i="1"/>
  <c r="F28" i="1"/>
  <c r="E28" i="1"/>
  <c r="D28" i="1"/>
  <c r="C28" i="1"/>
  <c r="B28" i="1"/>
  <c r="A28" i="1"/>
  <c r="K27" i="1"/>
  <c r="J27" i="1"/>
  <c r="I27" i="1"/>
  <c r="H27" i="1"/>
  <c r="G27" i="1"/>
  <c r="F27" i="1"/>
  <c r="E27" i="1"/>
  <c r="D27" i="1"/>
  <c r="C27" i="1"/>
  <c r="B27" i="1"/>
  <c r="A27" i="1"/>
  <c r="K26" i="1"/>
  <c r="J26" i="1"/>
  <c r="I26" i="1"/>
  <c r="H26" i="1"/>
  <c r="G26" i="1"/>
  <c r="F26" i="1"/>
  <c r="E26" i="1"/>
  <c r="D26" i="1"/>
  <c r="C26" i="1"/>
  <c r="B26" i="1"/>
  <c r="A26" i="1"/>
  <c r="K25" i="1"/>
  <c r="J25" i="1"/>
  <c r="I25" i="1"/>
  <c r="H25" i="1"/>
  <c r="G25" i="1"/>
  <c r="F25" i="1"/>
  <c r="E25" i="1"/>
  <c r="D25" i="1"/>
  <c r="C25" i="1"/>
  <c r="B25" i="1"/>
  <c r="A25" i="1"/>
  <c r="K24" i="1"/>
  <c r="J24" i="1"/>
  <c r="I24" i="1"/>
  <c r="H24" i="1"/>
  <c r="G24" i="1"/>
  <c r="F24" i="1"/>
  <c r="E24" i="1"/>
  <c r="D24" i="1"/>
  <c r="C24" i="1"/>
  <c r="B24" i="1"/>
  <c r="A24" i="1"/>
  <c r="K23" i="1"/>
  <c r="J23" i="1"/>
  <c r="I23" i="1"/>
  <c r="H23" i="1"/>
  <c r="G23" i="1"/>
  <c r="F23" i="1"/>
  <c r="E23" i="1"/>
  <c r="D23" i="1"/>
  <c r="C23" i="1"/>
  <c r="B23" i="1"/>
  <c r="A23" i="1"/>
  <c r="K22" i="1"/>
  <c r="J22" i="1"/>
  <c r="I22" i="1"/>
  <c r="H22" i="1"/>
  <c r="G22" i="1"/>
  <c r="F22" i="1"/>
  <c r="E22" i="1"/>
  <c r="D22" i="1"/>
  <c r="C22" i="1"/>
  <c r="B22" i="1"/>
  <c r="A22" i="1"/>
  <c r="K21" i="1"/>
  <c r="J21" i="1"/>
  <c r="I21" i="1"/>
  <c r="H21" i="1"/>
  <c r="G21" i="1"/>
  <c r="F21" i="1"/>
  <c r="E21" i="1"/>
  <c r="D21" i="1"/>
  <c r="C21" i="1"/>
  <c r="B21" i="1"/>
  <c r="A21" i="1"/>
  <c r="K20" i="1"/>
  <c r="J20" i="1"/>
  <c r="I20" i="1"/>
  <c r="H20" i="1"/>
  <c r="G20" i="1"/>
  <c r="F20" i="1"/>
  <c r="E20" i="1"/>
  <c r="D20" i="1"/>
  <c r="C20" i="1"/>
  <c r="B20" i="1"/>
  <c r="A20" i="1"/>
  <c r="K19" i="1"/>
  <c r="J19" i="1"/>
  <c r="I19" i="1"/>
  <c r="H19" i="1"/>
  <c r="G19" i="1"/>
  <c r="F19" i="1"/>
  <c r="E19" i="1"/>
  <c r="D19" i="1"/>
  <c r="C19" i="1"/>
  <c r="B19" i="1"/>
  <c r="A19" i="1"/>
  <c r="K18" i="1"/>
  <c r="J18" i="1"/>
  <c r="I18" i="1"/>
  <c r="H18" i="1"/>
  <c r="G18" i="1"/>
  <c r="F18" i="1"/>
  <c r="E18" i="1"/>
  <c r="D18" i="1"/>
  <c r="C18" i="1"/>
  <c r="B18" i="1"/>
  <c r="A18" i="1"/>
  <c r="K17" i="1"/>
  <c r="J17" i="1"/>
  <c r="I17" i="1"/>
  <c r="H17" i="1"/>
  <c r="G17" i="1"/>
  <c r="F17" i="1"/>
  <c r="E17" i="1"/>
  <c r="D17" i="1"/>
  <c r="C17" i="1"/>
  <c r="B17" i="1"/>
  <c r="A17" i="1"/>
  <c r="K16" i="1"/>
  <c r="J16" i="1"/>
  <c r="I16" i="1"/>
  <c r="H16" i="1"/>
  <c r="G16" i="1"/>
  <c r="F16" i="1"/>
  <c r="E16" i="1"/>
  <c r="D16" i="1"/>
  <c r="C16" i="1"/>
  <c r="B16" i="1"/>
  <c r="A16" i="1"/>
  <c r="K15" i="1"/>
  <c r="J15" i="1"/>
  <c r="I15" i="1"/>
  <c r="H15" i="1"/>
  <c r="G15" i="1"/>
  <c r="F15" i="1"/>
  <c r="E15" i="1"/>
  <c r="D15" i="1"/>
  <c r="C15" i="1"/>
  <c r="B15" i="1"/>
  <c r="A15" i="1"/>
  <c r="K14" i="1"/>
  <c r="J14" i="1"/>
  <c r="I14" i="1"/>
  <c r="H14" i="1"/>
  <c r="G14" i="1"/>
  <c r="F14" i="1"/>
  <c r="E14" i="1"/>
  <c r="D14" i="1"/>
  <c r="C14" i="1"/>
  <c r="B14" i="1"/>
  <c r="A14" i="1"/>
  <c r="K13" i="1"/>
  <c r="J13" i="1"/>
  <c r="I13" i="1"/>
  <c r="H13" i="1"/>
  <c r="G13" i="1"/>
  <c r="F13" i="1"/>
  <c r="E13" i="1"/>
  <c r="D13" i="1"/>
  <c r="C13" i="1"/>
  <c r="B13" i="1"/>
  <c r="A13" i="1"/>
  <c r="K12" i="1"/>
  <c r="J12" i="1"/>
  <c r="I12" i="1"/>
  <c r="H12" i="1"/>
  <c r="G12" i="1"/>
  <c r="F12" i="1"/>
  <c r="E12" i="1"/>
  <c r="D12" i="1"/>
  <c r="C12" i="1"/>
  <c r="B12" i="1"/>
  <c r="A12" i="1"/>
  <c r="K11" i="1"/>
  <c r="J11" i="1"/>
  <c r="I11" i="1"/>
  <c r="H11" i="1"/>
  <c r="G11" i="1"/>
  <c r="F11" i="1"/>
  <c r="E11" i="1"/>
  <c r="D11" i="1"/>
  <c r="C11" i="1"/>
  <c r="B11" i="1"/>
  <c r="A11" i="1"/>
  <c r="K10" i="1"/>
  <c r="J10" i="1"/>
  <c r="I10" i="1"/>
  <c r="H10" i="1"/>
  <c r="G10" i="1"/>
  <c r="F10" i="1"/>
  <c r="E10" i="1"/>
  <c r="D10" i="1"/>
  <c r="C10" i="1"/>
  <c r="B10" i="1"/>
  <c r="A10" i="1"/>
  <c r="K9" i="1"/>
  <c r="J9" i="1"/>
  <c r="I9" i="1"/>
  <c r="H9" i="1"/>
  <c r="G9" i="1"/>
  <c r="F9" i="1"/>
  <c r="E9" i="1"/>
  <c r="D9" i="1"/>
  <c r="C9" i="1"/>
  <c r="B9" i="1"/>
  <c r="A9" i="1"/>
  <c r="K8" i="1"/>
  <c r="J8" i="1"/>
  <c r="I8" i="1"/>
  <c r="H8" i="1"/>
  <c r="G8" i="1"/>
  <c r="F8" i="1"/>
  <c r="E8" i="1"/>
  <c r="D8" i="1"/>
  <c r="C8" i="1"/>
  <c r="B8" i="1"/>
  <c r="A8" i="1"/>
  <c r="K7" i="1"/>
  <c r="J7" i="1"/>
  <c r="I7" i="1"/>
  <c r="H7" i="1"/>
  <c r="G7" i="1"/>
  <c r="F7" i="1"/>
  <c r="E7" i="1"/>
  <c r="D7" i="1"/>
  <c r="C7" i="1"/>
  <c r="B7" i="1"/>
  <c r="A7" i="1"/>
  <c r="K6" i="1"/>
  <c r="J6" i="1"/>
  <c r="I6" i="1"/>
  <c r="H6" i="1"/>
  <c r="G6" i="1"/>
  <c r="F6" i="1"/>
  <c r="E6" i="1"/>
  <c r="D6" i="1"/>
  <c r="C6" i="1"/>
  <c r="B6" i="1"/>
  <c r="A6" i="1"/>
  <c r="K5" i="1"/>
  <c r="J5" i="1"/>
  <c r="I5" i="1"/>
  <c r="H5" i="1"/>
  <c r="G5" i="1"/>
  <c r="F5" i="1"/>
  <c r="E5" i="1"/>
  <c r="D5" i="1"/>
  <c r="C5" i="1"/>
  <c r="B5" i="1"/>
  <c r="A5" i="1"/>
  <c r="K4" i="1"/>
  <c r="J4" i="1"/>
  <c r="I4" i="1"/>
  <c r="H4" i="1"/>
  <c r="G4" i="1"/>
  <c r="F4" i="1"/>
  <c r="E4" i="1"/>
  <c r="D4" i="1"/>
  <c r="C4" i="1"/>
  <c r="B4" i="1"/>
  <c r="A4" i="1"/>
  <c r="K3" i="1"/>
  <c r="J3" i="1"/>
  <c r="I3" i="1"/>
  <c r="H3" i="1"/>
  <c r="G3" i="1"/>
  <c r="F3" i="1"/>
  <c r="E3" i="1"/>
  <c r="D3" i="1"/>
  <c r="C3" i="1"/>
  <c r="B3" i="1"/>
  <c r="A3" i="1"/>
  <c r="K2" i="1"/>
  <c r="J2" i="1"/>
  <c r="I2" i="1"/>
  <c r="H2" i="1"/>
  <c r="G2" i="1"/>
  <c r="F2" i="1"/>
  <c r="E2" i="1"/>
  <c r="D2" i="1"/>
  <c r="C2" i="1"/>
  <c r="B2" i="1"/>
  <c r="A2" i="1"/>
  <c r="M2" i="1" l="1"/>
  <c r="L2" i="1"/>
  <c r="M3" i="1"/>
  <c r="L3" i="1"/>
  <c r="M4" i="1"/>
  <c r="L4" i="1"/>
  <c r="M5" i="1"/>
  <c r="L5" i="1"/>
  <c r="M6" i="1"/>
  <c r="L6" i="1"/>
  <c r="M7" i="1"/>
  <c r="L7" i="1"/>
  <c r="M8" i="1"/>
  <c r="L8" i="1"/>
  <c r="M9" i="1"/>
  <c r="L9" i="1"/>
  <c r="M10" i="1"/>
  <c r="L10" i="1"/>
  <c r="M11" i="1"/>
  <c r="L11" i="1"/>
  <c r="M12" i="1"/>
  <c r="L12" i="1"/>
  <c r="M13" i="1"/>
  <c r="L13" i="1"/>
  <c r="M14" i="1"/>
  <c r="L14" i="1"/>
  <c r="M15" i="1"/>
  <c r="L15" i="1"/>
  <c r="M16" i="1"/>
  <c r="L16" i="1"/>
  <c r="M17" i="1"/>
  <c r="L17" i="1"/>
  <c r="M18" i="1"/>
  <c r="L18" i="1"/>
  <c r="M19" i="1"/>
  <c r="L19" i="1"/>
  <c r="M20" i="1"/>
  <c r="L20" i="1"/>
  <c r="M21" i="1"/>
  <c r="L21" i="1"/>
  <c r="M22" i="1"/>
  <c r="L22" i="1"/>
  <c r="M23" i="1"/>
  <c r="L23" i="1"/>
  <c r="M24" i="1"/>
  <c r="L24" i="1"/>
  <c r="M25" i="1"/>
  <c r="L25" i="1"/>
  <c r="M26" i="1"/>
  <c r="L26" i="1"/>
  <c r="M27" i="1"/>
  <c r="L27" i="1"/>
  <c r="M28" i="1"/>
  <c r="L28" i="1"/>
  <c r="M29" i="1"/>
  <c r="L29" i="1"/>
  <c r="M30" i="1"/>
  <c r="L30" i="1"/>
  <c r="M31" i="1"/>
  <c r="L31" i="1"/>
  <c r="M32" i="1"/>
  <c r="L32" i="1"/>
  <c r="M33" i="1"/>
  <c r="L33" i="1"/>
  <c r="M34" i="1"/>
  <c r="L34" i="1"/>
  <c r="M35" i="1"/>
  <c r="L35" i="1"/>
  <c r="M36" i="1"/>
  <c r="L36" i="1"/>
  <c r="M37" i="1"/>
  <c r="L37" i="1"/>
  <c r="M38" i="1"/>
  <c r="L38" i="1"/>
  <c r="M39" i="1"/>
  <c r="L39" i="1"/>
  <c r="M40" i="1"/>
  <c r="L40" i="1"/>
  <c r="M41" i="1"/>
  <c r="L41" i="1"/>
  <c r="M42" i="1"/>
  <c r="L42" i="1"/>
  <c r="M43" i="1"/>
  <c r="L43" i="1"/>
  <c r="M44" i="1"/>
  <c r="L44" i="1"/>
  <c r="M45" i="1"/>
  <c r="L45" i="1"/>
  <c r="M46" i="1"/>
  <c r="L46" i="1"/>
  <c r="M47" i="1"/>
  <c r="L47" i="1"/>
  <c r="M48" i="1"/>
  <c r="L48" i="1"/>
  <c r="M49" i="1"/>
  <c r="L49" i="1"/>
  <c r="M50" i="1"/>
  <c r="L50" i="1"/>
  <c r="M51" i="1"/>
  <c r="L51" i="1"/>
  <c r="M52" i="1"/>
  <c r="L52" i="1"/>
  <c r="M53" i="1"/>
  <c r="L53" i="1"/>
  <c r="M54" i="1"/>
  <c r="L54" i="1"/>
  <c r="M55" i="1"/>
  <c r="L55" i="1"/>
  <c r="M56" i="1"/>
  <c r="L56" i="1"/>
  <c r="M57" i="1"/>
  <c r="L57" i="1"/>
  <c r="M58" i="1"/>
  <c r="L58" i="1"/>
  <c r="M59" i="1"/>
  <c r="L59" i="1"/>
  <c r="M60" i="1"/>
  <c r="L60" i="1"/>
  <c r="M61" i="1"/>
  <c r="L61" i="1"/>
  <c r="M62" i="1"/>
  <c r="L62" i="1"/>
  <c r="M63" i="1"/>
  <c r="L63" i="1"/>
  <c r="M64" i="1"/>
  <c r="L64" i="1"/>
  <c r="M65" i="1"/>
  <c r="L65" i="1"/>
  <c r="M66" i="1"/>
  <c r="L66" i="1"/>
  <c r="M67" i="1"/>
  <c r="L67" i="1"/>
  <c r="M68" i="1"/>
  <c r="L68" i="1"/>
  <c r="M69" i="1"/>
  <c r="L69" i="1"/>
  <c r="M70" i="1"/>
  <c r="L70" i="1"/>
  <c r="M71" i="1"/>
  <c r="L71" i="1"/>
  <c r="M72" i="1"/>
  <c r="L72" i="1"/>
  <c r="M73" i="1"/>
  <c r="L73" i="1"/>
  <c r="M74" i="1"/>
  <c r="L74" i="1"/>
  <c r="M75" i="1"/>
  <c r="L75" i="1"/>
  <c r="M76" i="1"/>
  <c r="L76" i="1"/>
  <c r="M77" i="1"/>
  <c r="L77" i="1"/>
  <c r="M78" i="1"/>
  <c r="L78" i="1"/>
  <c r="M79" i="1"/>
  <c r="L79" i="1"/>
  <c r="M80" i="1"/>
  <c r="L80" i="1"/>
  <c r="M81" i="1"/>
  <c r="L81" i="1"/>
  <c r="M82" i="1"/>
  <c r="L82" i="1"/>
  <c r="M83" i="1"/>
  <c r="L83" i="1"/>
  <c r="M84" i="1"/>
  <c r="L84" i="1"/>
  <c r="M85" i="1"/>
  <c r="L85" i="1"/>
  <c r="M86" i="1"/>
  <c r="L86" i="1"/>
  <c r="M87" i="1"/>
  <c r="L87" i="1"/>
  <c r="M88" i="1"/>
  <c r="L88" i="1"/>
  <c r="M89" i="1"/>
  <c r="L89" i="1"/>
  <c r="M90" i="1"/>
  <c r="L90" i="1"/>
  <c r="M91" i="1"/>
  <c r="L91" i="1"/>
  <c r="M92" i="1"/>
  <c r="L92" i="1"/>
  <c r="M93" i="1"/>
  <c r="L93" i="1"/>
  <c r="M94" i="1"/>
  <c r="L94" i="1"/>
  <c r="M95" i="1"/>
  <c r="L95" i="1"/>
  <c r="M96" i="1"/>
  <c r="L96" i="1"/>
  <c r="M97" i="1"/>
  <c r="L97" i="1"/>
  <c r="M98" i="1"/>
  <c r="L98" i="1"/>
  <c r="M99" i="1"/>
  <c r="L99" i="1"/>
  <c r="M100" i="1"/>
  <c r="L100" i="1"/>
  <c r="M101" i="1"/>
  <c r="L101" i="1"/>
  <c r="M102" i="1"/>
  <c r="L102" i="1"/>
  <c r="M103" i="1"/>
  <c r="L103" i="1"/>
  <c r="M104" i="1"/>
  <c r="L104" i="1"/>
  <c r="M105" i="1"/>
  <c r="L105" i="1"/>
  <c r="M106" i="1"/>
  <c r="L106" i="1"/>
  <c r="M107" i="1"/>
  <c r="L107" i="1"/>
  <c r="M108" i="1"/>
  <c r="L108" i="1"/>
  <c r="M109" i="1"/>
  <c r="L109" i="1"/>
  <c r="M110" i="1"/>
  <c r="L110" i="1"/>
  <c r="M111" i="1"/>
  <c r="L111" i="1"/>
  <c r="M112" i="1"/>
  <c r="L112" i="1"/>
  <c r="M113" i="1"/>
  <c r="L113" i="1"/>
  <c r="M114" i="1"/>
  <c r="L114" i="1"/>
  <c r="M115" i="1"/>
  <c r="L115" i="1"/>
  <c r="M116" i="1"/>
  <c r="L116" i="1"/>
  <c r="M117" i="1"/>
  <c r="L117" i="1"/>
  <c r="M118" i="1"/>
  <c r="L118" i="1"/>
  <c r="M119" i="1"/>
  <c r="L119" i="1"/>
  <c r="M120" i="1"/>
  <c r="L120" i="1"/>
  <c r="M121" i="1"/>
  <c r="L121" i="1"/>
  <c r="M122" i="1"/>
  <c r="L122" i="1"/>
  <c r="M123" i="1"/>
  <c r="L123" i="1"/>
  <c r="M124" i="1"/>
  <c r="L124" i="1"/>
  <c r="M125" i="1"/>
  <c r="L125" i="1"/>
  <c r="M126" i="1"/>
  <c r="L126" i="1"/>
  <c r="M127" i="1"/>
  <c r="L127" i="1"/>
  <c r="M128" i="1"/>
  <c r="L128" i="1"/>
  <c r="M129" i="1"/>
  <c r="L129" i="1"/>
  <c r="M130" i="1"/>
  <c r="L130" i="1"/>
  <c r="M131" i="1"/>
  <c r="L131" i="1"/>
  <c r="M132" i="1"/>
  <c r="L132" i="1"/>
  <c r="M133" i="1"/>
  <c r="L133" i="1"/>
  <c r="M134" i="1"/>
  <c r="L134" i="1"/>
  <c r="M135" i="1"/>
  <c r="L135" i="1"/>
  <c r="M136" i="1"/>
  <c r="L136" i="1"/>
  <c r="M137" i="1"/>
  <c r="L137" i="1"/>
  <c r="M138" i="1"/>
  <c r="L138" i="1"/>
  <c r="M139" i="1"/>
  <c r="L139" i="1"/>
  <c r="M140" i="1"/>
  <c r="L140" i="1"/>
  <c r="M141" i="1"/>
  <c r="L141" i="1"/>
  <c r="M142" i="1"/>
  <c r="L142" i="1"/>
  <c r="M143" i="1"/>
  <c r="L143" i="1"/>
  <c r="M144" i="1"/>
  <c r="L144" i="1"/>
  <c r="M145" i="1"/>
  <c r="L145" i="1"/>
  <c r="M146" i="1"/>
  <c r="L146" i="1"/>
  <c r="M147" i="1"/>
  <c r="L147" i="1"/>
  <c r="M148" i="1"/>
  <c r="L148" i="1"/>
  <c r="M149" i="1"/>
  <c r="L149" i="1"/>
  <c r="M150" i="1"/>
  <c r="L150" i="1"/>
  <c r="M151" i="1"/>
  <c r="L151" i="1"/>
  <c r="M152" i="1"/>
  <c r="L152" i="1"/>
  <c r="M153" i="1"/>
  <c r="L153" i="1"/>
  <c r="M154" i="1"/>
  <c r="L154" i="1"/>
  <c r="M155" i="1"/>
  <c r="L155" i="1"/>
  <c r="M156" i="1"/>
  <c r="L156" i="1"/>
  <c r="M157" i="1"/>
  <c r="L157" i="1"/>
  <c r="M158" i="1"/>
  <c r="L158" i="1"/>
  <c r="M159" i="1"/>
  <c r="L159" i="1"/>
  <c r="M160" i="1"/>
  <c r="L160" i="1"/>
  <c r="M161" i="1"/>
  <c r="L161" i="1"/>
  <c r="M162" i="1"/>
  <c r="L162" i="1"/>
  <c r="M163" i="1"/>
  <c r="L163" i="1"/>
  <c r="M164" i="1"/>
  <c r="L164" i="1"/>
  <c r="M165" i="1"/>
  <c r="L165" i="1"/>
  <c r="M166" i="1"/>
  <c r="L166" i="1"/>
  <c r="M167" i="1"/>
  <c r="L167" i="1"/>
  <c r="M168" i="1"/>
  <c r="L168" i="1"/>
  <c r="M169" i="1"/>
  <c r="L169" i="1"/>
  <c r="M170" i="1"/>
  <c r="L170" i="1"/>
  <c r="M171" i="1"/>
  <c r="L171" i="1"/>
  <c r="M172" i="1"/>
  <c r="L172" i="1"/>
  <c r="M173" i="1"/>
  <c r="L173" i="1"/>
  <c r="M174" i="1"/>
  <c r="L174" i="1"/>
  <c r="M175" i="1"/>
  <c r="L175" i="1"/>
  <c r="M176" i="1"/>
  <c r="L176" i="1"/>
  <c r="M177" i="1"/>
  <c r="L177" i="1"/>
  <c r="M178" i="1"/>
  <c r="L178" i="1"/>
  <c r="M179" i="1"/>
  <c r="L179" i="1"/>
  <c r="M180" i="1"/>
  <c r="L180" i="1"/>
  <c r="M181" i="1"/>
  <c r="L181" i="1"/>
  <c r="M182" i="1"/>
  <c r="L182" i="1"/>
  <c r="M183" i="1"/>
  <c r="L183" i="1"/>
  <c r="M184" i="1"/>
  <c r="L184" i="1"/>
  <c r="M185" i="1"/>
  <c r="L185" i="1"/>
  <c r="M186" i="1"/>
  <c r="L186" i="1"/>
  <c r="M187" i="1"/>
  <c r="L187" i="1"/>
  <c r="M188" i="1"/>
  <c r="L188" i="1"/>
  <c r="M189" i="1"/>
  <c r="L189" i="1"/>
  <c r="M190" i="1"/>
  <c r="L190" i="1"/>
  <c r="M191" i="1"/>
  <c r="L191" i="1"/>
  <c r="M192" i="1"/>
  <c r="L192" i="1"/>
  <c r="M193" i="1"/>
  <c r="L193" i="1"/>
  <c r="M194" i="1"/>
  <c r="L194" i="1"/>
  <c r="M195" i="1"/>
  <c r="L195" i="1"/>
  <c r="M196" i="1"/>
  <c r="L196" i="1"/>
  <c r="M197" i="1"/>
  <c r="L197" i="1"/>
  <c r="M198" i="1"/>
  <c r="L198" i="1"/>
  <c r="M199" i="1"/>
  <c r="L199" i="1"/>
  <c r="M200" i="1"/>
  <c r="L200" i="1"/>
  <c r="M201" i="1"/>
  <c r="L201" i="1"/>
  <c r="M202" i="1"/>
  <c r="L202" i="1"/>
  <c r="M203" i="1"/>
  <c r="L203" i="1"/>
  <c r="M204" i="1"/>
  <c r="L204" i="1"/>
  <c r="M205" i="1"/>
  <c r="L205" i="1"/>
  <c r="M206" i="1"/>
  <c r="L206" i="1"/>
  <c r="M207" i="1"/>
  <c r="L207" i="1"/>
  <c r="M208" i="1"/>
  <c r="L208" i="1"/>
  <c r="M209" i="1"/>
  <c r="L209" i="1"/>
  <c r="M210" i="1"/>
  <c r="L210" i="1"/>
  <c r="M211" i="1"/>
  <c r="L211" i="1"/>
  <c r="M212" i="1"/>
  <c r="L212" i="1"/>
  <c r="M213" i="1"/>
  <c r="L213" i="1"/>
  <c r="M214" i="1"/>
  <c r="L214" i="1"/>
  <c r="M215" i="1"/>
  <c r="L215" i="1"/>
  <c r="M216" i="1"/>
  <c r="L216" i="1"/>
  <c r="M217" i="1"/>
  <c r="L217" i="1"/>
  <c r="M218" i="1"/>
  <c r="L218" i="1"/>
  <c r="M219" i="1"/>
  <c r="L219" i="1"/>
  <c r="M220" i="1"/>
  <c r="L220" i="1"/>
  <c r="M221" i="1"/>
  <c r="L221" i="1"/>
  <c r="M222" i="1"/>
  <c r="L222" i="1"/>
  <c r="M223" i="1"/>
  <c r="L223" i="1"/>
  <c r="M224" i="1"/>
  <c r="L224" i="1"/>
  <c r="M225" i="1"/>
  <c r="L225" i="1"/>
  <c r="M226" i="1"/>
  <c r="L226" i="1"/>
  <c r="M227" i="1"/>
  <c r="L227" i="1"/>
  <c r="M228" i="1"/>
  <c r="L228" i="1"/>
  <c r="M229" i="1"/>
  <c r="L229" i="1"/>
  <c r="M230" i="1"/>
  <c r="L230" i="1"/>
  <c r="M231" i="1"/>
  <c r="L231" i="1"/>
  <c r="M232" i="1"/>
  <c r="L232" i="1"/>
  <c r="M233" i="1"/>
  <c r="L233" i="1"/>
  <c r="M234" i="1"/>
  <c r="L234" i="1"/>
  <c r="M235" i="1"/>
  <c r="L235" i="1"/>
  <c r="M236" i="1"/>
  <c r="L236" i="1"/>
  <c r="M237" i="1"/>
  <c r="L237" i="1"/>
  <c r="M238" i="1"/>
  <c r="L238" i="1"/>
  <c r="M239" i="1"/>
  <c r="L239" i="1"/>
  <c r="M240" i="1"/>
  <c r="L240" i="1"/>
  <c r="M241" i="1"/>
  <c r="L241" i="1"/>
  <c r="M242" i="1"/>
  <c r="L242" i="1"/>
  <c r="M243" i="1"/>
  <c r="L243" i="1"/>
  <c r="M244" i="1"/>
  <c r="L244" i="1"/>
  <c r="M245" i="1"/>
  <c r="L245" i="1"/>
  <c r="M246" i="1"/>
  <c r="L246" i="1"/>
  <c r="M247" i="1"/>
  <c r="L247" i="1"/>
  <c r="M248" i="1"/>
  <c r="L248" i="1"/>
  <c r="M249" i="1"/>
  <c r="L249" i="1"/>
  <c r="M250" i="1"/>
  <c r="L250" i="1"/>
  <c r="M251" i="1"/>
  <c r="L251" i="1"/>
  <c r="M252" i="1"/>
  <c r="L252" i="1"/>
  <c r="M253" i="1"/>
  <c r="L253" i="1"/>
  <c r="M254" i="1"/>
  <c r="L254" i="1"/>
  <c r="M255" i="1"/>
  <c r="L255" i="1"/>
  <c r="M256" i="1"/>
  <c r="L256" i="1"/>
  <c r="M257" i="1"/>
  <c r="L257" i="1"/>
  <c r="M258" i="1"/>
  <c r="L258" i="1"/>
  <c r="M259" i="1"/>
  <c r="L259" i="1"/>
  <c r="M260" i="1"/>
  <c r="L260" i="1"/>
  <c r="M261" i="1"/>
  <c r="L261" i="1"/>
  <c r="M262" i="1"/>
  <c r="L262" i="1"/>
  <c r="M263" i="1"/>
  <c r="L263" i="1"/>
  <c r="M264" i="1"/>
  <c r="L264" i="1"/>
  <c r="M265" i="1"/>
  <c r="L265" i="1"/>
  <c r="M266" i="1"/>
  <c r="L266" i="1"/>
  <c r="M267" i="1"/>
  <c r="L267" i="1"/>
  <c r="M268" i="1"/>
  <c r="L268" i="1"/>
  <c r="M269" i="1"/>
  <c r="L269" i="1"/>
  <c r="M270" i="1"/>
  <c r="L270" i="1"/>
  <c r="M271" i="1"/>
  <c r="L271" i="1"/>
  <c r="M272" i="1"/>
  <c r="L272" i="1"/>
  <c r="M273" i="1"/>
  <c r="L273" i="1"/>
  <c r="M274" i="1"/>
  <c r="L274" i="1"/>
  <c r="M275" i="1"/>
  <c r="L275" i="1"/>
  <c r="M276" i="1"/>
  <c r="L276" i="1"/>
  <c r="M277" i="1"/>
  <c r="L277" i="1"/>
  <c r="M278" i="1"/>
  <c r="L278" i="1"/>
  <c r="M279" i="1"/>
  <c r="L279" i="1"/>
  <c r="M280" i="1"/>
  <c r="L280" i="1"/>
  <c r="M281" i="1"/>
  <c r="L281" i="1"/>
  <c r="M282" i="1"/>
  <c r="L282" i="1"/>
  <c r="M283" i="1"/>
  <c r="L283" i="1"/>
  <c r="M284" i="1"/>
  <c r="L284" i="1"/>
  <c r="M285" i="1"/>
  <c r="L285" i="1"/>
  <c r="M286" i="1"/>
  <c r="L286" i="1"/>
  <c r="M287" i="1"/>
  <c r="L287" i="1"/>
  <c r="M288" i="1"/>
  <c r="L288" i="1"/>
  <c r="M289" i="1"/>
  <c r="L289" i="1"/>
  <c r="M290" i="1"/>
  <c r="L290" i="1"/>
  <c r="M291" i="1"/>
  <c r="L291" i="1"/>
  <c r="M292" i="1"/>
  <c r="L292" i="1"/>
  <c r="M293" i="1"/>
  <c r="L293" i="1"/>
  <c r="M294" i="1"/>
  <c r="L294" i="1"/>
  <c r="M295" i="1"/>
  <c r="L295" i="1"/>
  <c r="M296" i="1"/>
  <c r="L296" i="1"/>
  <c r="M297" i="1"/>
  <c r="L297" i="1"/>
  <c r="M298" i="1"/>
  <c r="L298" i="1"/>
  <c r="M299" i="1"/>
  <c r="L299" i="1"/>
  <c r="M300" i="1"/>
  <c r="L300" i="1"/>
  <c r="M301" i="1"/>
  <c r="L301" i="1"/>
  <c r="M302" i="1"/>
  <c r="L302" i="1"/>
  <c r="M303" i="1"/>
  <c r="L303" i="1"/>
  <c r="M304" i="1"/>
  <c r="L304" i="1"/>
  <c r="M305" i="1"/>
  <c r="L305" i="1"/>
  <c r="M306" i="1"/>
  <c r="L306" i="1"/>
  <c r="M307" i="1"/>
  <c r="L307" i="1"/>
  <c r="M308" i="1"/>
  <c r="L308" i="1"/>
  <c r="M309" i="1"/>
  <c r="L309" i="1"/>
  <c r="M310" i="1"/>
  <c r="L310" i="1"/>
  <c r="M311" i="1"/>
  <c r="L311" i="1"/>
  <c r="M312" i="1"/>
  <c r="L312" i="1"/>
  <c r="M313" i="1"/>
  <c r="L313" i="1"/>
  <c r="M314" i="1"/>
  <c r="L314" i="1"/>
  <c r="M315" i="1"/>
  <c r="L315" i="1"/>
  <c r="M316" i="1"/>
  <c r="L316" i="1"/>
  <c r="M317" i="1"/>
  <c r="L317" i="1"/>
  <c r="M318" i="1"/>
  <c r="L318" i="1"/>
  <c r="M319" i="1"/>
  <c r="L319" i="1"/>
  <c r="M320" i="1"/>
  <c r="L320" i="1"/>
  <c r="M321" i="1"/>
  <c r="L321" i="1"/>
  <c r="M322" i="1"/>
  <c r="L322" i="1"/>
  <c r="M323" i="1"/>
  <c r="L323" i="1"/>
  <c r="M324" i="1"/>
  <c r="L324" i="1"/>
  <c r="M325" i="1"/>
  <c r="L325" i="1"/>
  <c r="M326" i="1"/>
  <c r="L326" i="1"/>
  <c r="M327" i="1"/>
  <c r="L327" i="1"/>
  <c r="M328" i="1"/>
  <c r="L328" i="1"/>
  <c r="M329" i="1"/>
  <c r="L329" i="1"/>
  <c r="M330" i="1"/>
  <c r="L330" i="1"/>
  <c r="M331" i="1"/>
  <c r="L331" i="1"/>
  <c r="M332" i="1"/>
  <c r="L332" i="1"/>
  <c r="M333" i="1"/>
  <c r="L333" i="1"/>
  <c r="M334" i="1"/>
  <c r="L334" i="1"/>
  <c r="M335" i="1"/>
  <c r="L335" i="1"/>
  <c r="M336" i="1"/>
  <c r="L336" i="1"/>
  <c r="M337" i="1"/>
  <c r="L337" i="1"/>
  <c r="M338" i="1"/>
  <c r="L338" i="1"/>
  <c r="M339" i="1"/>
  <c r="L339" i="1"/>
  <c r="M340" i="1"/>
  <c r="L340" i="1"/>
  <c r="M341" i="1"/>
  <c r="L341" i="1"/>
  <c r="M342" i="1"/>
  <c r="L342" i="1"/>
  <c r="M343" i="1"/>
  <c r="L343" i="1"/>
  <c r="M344" i="1"/>
  <c r="L344" i="1"/>
  <c r="M345" i="1"/>
  <c r="L345" i="1"/>
  <c r="M346" i="1"/>
  <c r="L346" i="1"/>
  <c r="M347" i="1"/>
  <c r="L347" i="1"/>
  <c r="M348" i="1"/>
  <c r="L348" i="1"/>
  <c r="M349" i="1"/>
  <c r="L349" i="1"/>
  <c r="M350" i="1"/>
  <c r="L350" i="1"/>
  <c r="M351" i="1"/>
  <c r="L351" i="1"/>
  <c r="M352" i="1"/>
  <c r="L352" i="1"/>
  <c r="M353" i="1"/>
  <c r="L353" i="1"/>
  <c r="M354" i="1"/>
  <c r="L354" i="1"/>
  <c r="M355" i="1"/>
  <c r="L355" i="1"/>
  <c r="M356" i="1"/>
  <c r="L356" i="1"/>
  <c r="M357" i="1"/>
  <c r="L357" i="1"/>
  <c r="M358" i="1"/>
  <c r="L358" i="1"/>
  <c r="M359" i="1"/>
  <c r="L359" i="1"/>
  <c r="M360" i="1"/>
  <c r="L360" i="1"/>
  <c r="M361" i="1"/>
  <c r="L361" i="1"/>
  <c r="M362" i="1"/>
  <c r="L362" i="1"/>
  <c r="M363" i="1"/>
  <c r="L363" i="1"/>
  <c r="M364" i="1"/>
  <c r="L364" i="1"/>
  <c r="M365" i="1"/>
  <c r="L365" i="1"/>
  <c r="M366" i="1"/>
  <c r="L366" i="1"/>
  <c r="M367" i="1"/>
  <c r="L367" i="1"/>
  <c r="M368" i="1"/>
  <c r="L368" i="1"/>
  <c r="M369" i="1"/>
  <c r="L369" i="1"/>
  <c r="M370" i="1"/>
  <c r="L370" i="1"/>
  <c r="M371" i="1"/>
  <c r="L371" i="1"/>
  <c r="M372" i="1"/>
  <c r="L372" i="1"/>
  <c r="M373" i="1"/>
  <c r="L373" i="1"/>
  <c r="M374" i="1"/>
  <c r="L374" i="1"/>
  <c r="M375" i="1"/>
  <c r="L375" i="1"/>
  <c r="M376" i="1"/>
  <c r="L376" i="1"/>
  <c r="M377" i="1"/>
  <c r="L377" i="1"/>
  <c r="M378" i="1"/>
  <c r="L378" i="1"/>
  <c r="M379" i="1"/>
  <c r="L379" i="1"/>
  <c r="M380" i="1"/>
  <c r="L380" i="1"/>
  <c r="M381" i="1"/>
  <c r="L381" i="1"/>
  <c r="M382" i="1"/>
  <c r="L382" i="1"/>
  <c r="M383" i="1"/>
  <c r="L383" i="1"/>
  <c r="M384" i="1"/>
  <c r="L384" i="1"/>
  <c r="M385" i="1"/>
  <c r="L385" i="1"/>
  <c r="M386" i="1"/>
  <c r="L386" i="1"/>
  <c r="M387" i="1"/>
  <c r="L387" i="1"/>
  <c r="M388" i="1"/>
  <c r="L388" i="1"/>
  <c r="M389" i="1"/>
  <c r="L389" i="1"/>
  <c r="M390" i="1"/>
  <c r="L390" i="1"/>
  <c r="M391" i="1"/>
  <c r="L391" i="1"/>
  <c r="M392" i="1"/>
  <c r="L392" i="1"/>
  <c r="M393" i="1"/>
  <c r="L393" i="1"/>
  <c r="M394" i="1"/>
  <c r="L394" i="1"/>
  <c r="M395" i="1"/>
  <c r="L395" i="1"/>
  <c r="M396" i="1"/>
  <c r="L396" i="1"/>
  <c r="M397" i="1"/>
  <c r="L397" i="1"/>
  <c r="M398" i="1"/>
  <c r="L398" i="1"/>
  <c r="M399" i="1"/>
  <c r="L399" i="1"/>
  <c r="M400" i="1"/>
  <c r="L400" i="1"/>
  <c r="M401" i="1"/>
  <c r="L401" i="1"/>
  <c r="M402" i="1"/>
  <c r="L402" i="1"/>
  <c r="M403" i="1"/>
  <c r="L403" i="1"/>
  <c r="M404" i="1"/>
  <c r="L404" i="1"/>
  <c r="M405" i="1"/>
  <c r="L405" i="1"/>
  <c r="M406" i="1"/>
  <c r="L406" i="1"/>
  <c r="M407" i="1"/>
  <c r="L407" i="1"/>
  <c r="M408" i="1"/>
  <c r="L408" i="1"/>
  <c r="M409" i="1"/>
  <c r="L409" i="1"/>
  <c r="M410" i="1"/>
  <c r="L410" i="1"/>
  <c r="M411" i="1"/>
  <c r="L411" i="1"/>
  <c r="M412" i="1"/>
  <c r="L412" i="1"/>
  <c r="M413" i="1"/>
  <c r="L413" i="1"/>
  <c r="M414" i="1"/>
  <c r="L414" i="1"/>
  <c r="M415" i="1"/>
  <c r="L415" i="1"/>
  <c r="M416" i="1"/>
  <c r="L416" i="1"/>
  <c r="M417" i="1"/>
  <c r="L417" i="1"/>
  <c r="M418" i="1"/>
  <c r="L418" i="1"/>
  <c r="M419" i="1"/>
  <c r="L419" i="1"/>
  <c r="M420" i="1"/>
  <c r="L420" i="1"/>
  <c r="M421" i="1"/>
  <c r="L421" i="1"/>
  <c r="M422" i="1"/>
  <c r="L422" i="1"/>
  <c r="M423" i="1"/>
  <c r="L423" i="1"/>
  <c r="M424" i="1"/>
  <c r="L424" i="1"/>
  <c r="M425" i="1"/>
  <c r="L425" i="1"/>
  <c r="M426" i="1"/>
  <c r="L426" i="1"/>
  <c r="M427" i="1"/>
  <c r="L427" i="1"/>
  <c r="M428" i="1"/>
  <c r="L428" i="1"/>
  <c r="M429" i="1"/>
  <c r="L429" i="1"/>
  <c r="M430" i="1"/>
  <c r="L430" i="1"/>
  <c r="M431" i="1"/>
  <c r="L431" i="1"/>
  <c r="M432" i="1"/>
  <c r="L432" i="1"/>
  <c r="M433" i="1"/>
  <c r="L433" i="1"/>
  <c r="M434" i="1"/>
  <c r="L434" i="1"/>
  <c r="M435" i="1"/>
  <c r="L435" i="1"/>
  <c r="M436" i="1"/>
  <c r="L436" i="1"/>
  <c r="M437" i="1"/>
  <c r="L437" i="1"/>
  <c r="M438" i="1"/>
  <c r="L438" i="1"/>
  <c r="M439" i="1"/>
  <c r="L439" i="1"/>
  <c r="M440" i="1"/>
  <c r="L440" i="1"/>
  <c r="M441" i="1"/>
  <c r="L441" i="1"/>
  <c r="M442" i="1"/>
  <c r="L442" i="1"/>
  <c r="M443" i="1"/>
  <c r="L443" i="1"/>
  <c r="M444" i="1"/>
  <c r="L444" i="1"/>
  <c r="M445" i="1"/>
  <c r="L445" i="1"/>
  <c r="M446" i="1"/>
  <c r="L446" i="1"/>
  <c r="M447" i="1"/>
  <c r="L447" i="1"/>
  <c r="M448" i="1"/>
  <c r="L448" i="1"/>
  <c r="M449" i="1"/>
  <c r="L449" i="1"/>
  <c r="M450" i="1"/>
  <c r="L450" i="1"/>
  <c r="M451" i="1"/>
  <c r="L451" i="1"/>
  <c r="M452" i="1"/>
  <c r="L452" i="1"/>
  <c r="M453" i="1"/>
  <c r="L453" i="1"/>
  <c r="M454" i="1"/>
  <c r="L454" i="1"/>
  <c r="M455" i="1"/>
  <c r="L455" i="1"/>
  <c r="M456" i="1"/>
  <c r="L456" i="1"/>
  <c r="M457" i="1"/>
  <c r="L457" i="1"/>
  <c r="M458" i="1"/>
  <c r="L458" i="1"/>
  <c r="M459" i="1"/>
  <c r="L459" i="1"/>
  <c r="M460" i="1"/>
  <c r="L460" i="1"/>
  <c r="M461" i="1"/>
  <c r="L461" i="1"/>
  <c r="M462" i="1"/>
  <c r="L462" i="1"/>
  <c r="M463" i="1"/>
  <c r="L463" i="1"/>
  <c r="M464" i="1"/>
  <c r="L464" i="1"/>
  <c r="M465" i="1"/>
  <c r="L465" i="1"/>
  <c r="M466" i="1"/>
  <c r="L466" i="1"/>
  <c r="M467" i="1"/>
  <c r="L467" i="1"/>
  <c r="M468" i="1"/>
  <c r="L468" i="1"/>
  <c r="M469" i="1"/>
  <c r="L469" i="1"/>
  <c r="M470" i="1"/>
  <c r="L470" i="1"/>
  <c r="M471" i="1"/>
  <c r="L471" i="1"/>
  <c r="M472" i="1"/>
  <c r="L472" i="1"/>
  <c r="M473" i="1"/>
  <c r="L473" i="1"/>
  <c r="M474" i="1"/>
  <c r="L474" i="1"/>
  <c r="M475" i="1"/>
  <c r="L475" i="1"/>
  <c r="M476" i="1"/>
  <c r="L476" i="1"/>
  <c r="M477" i="1"/>
  <c r="L477" i="1"/>
  <c r="M478" i="1"/>
  <c r="L478" i="1"/>
  <c r="M479" i="1"/>
  <c r="L479" i="1"/>
  <c r="M480" i="1"/>
  <c r="L480" i="1"/>
  <c r="M481" i="1"/>
  <c r="L481" i="1"/>
  <c r="M482" i="1"/>
  <c r="L482" i="1"/>
  <c r="M483" i="1"/>
  <c r="L483" i="1"/>
  <c r="M484" i="1"/>
  <c r="L484" i="1"/>
  <c r="M485" i="1"/>
  <c r="L485" i="1"/>
  <c r="M486" i="1"/>
  <c r="L486" i="1"/>
  <c r="M487" i="1"/>
  <c r="L487" i="1"/>
  <c r="M488" i="1"/>
  <c r="L488" i="1"/>
  <c r="M489" i="1"/>
  <c r="L489" i="1"/>
  <c r="M490" i="1"/>
  <c r="L490" i="1"/>
  <c r="M491" i="1"/>
  <c r="L491" i="1"/>
  <c r="M492" i="1"/>
  <c r="L492" i="1"/>
  <c r="M493" i="1"/>
  <c r="L493" i="1"/>
  <c r="M494" i="1"/>
  <c r="L494" i="1"/>
  <c r="M495" i="1"/>
  <c r="L495" i="1"/>
  <c r="M496" i="1"/>
  <c r="L496" i="1"/>
  <c r="M497" i="1"/>
  <c r="L497" i="1"/>
  <c r="M498" i="1"/>
  <c r="L498" i="1"/>
  <c r="M499" i="1"/>
  <c r="L499" i="1"/>
  <c r="M500" i="1"/>
  <c r="L500" i="1"/>
  <c r="M501" i="1"/>
  <c r="L501" i="1"/>
  <c r="M502" i="1"/>
  <c r="L502" i="1"/>
  <c r="M503" i="1"/>
  <c r="L503" i="1"/>
  <c r="M504" i="1"/>
  <c r="L504" i="1"/>
  <c r="M505" i="1"/>
  <c r="L505" i="1"/>
  <c r="M506" i="1"/>
  <c r="L506" i="1"/>
  <c r="M507" i="1"/>
  <c r="L507" i="1"/>
  <c r="M508" i="1"/>
  <c r="L508" i="1"/>
  <c r="M509" i="1"/>
  <c r="L509" i="1"/>
  <c r="M510" i="1"/>
  <c r="L510" i="1"/>
  <c r="M511" i="1"/>
  <c r="L511" i="1"/>
  <c r="M512" i="1"/>
  <c r="L512" i="1"/>
  <c r="M513" i="1"/>
  <c r="L513" i="1"/>
  <c r="M514" i="1"/>
  <c r="L514" i="1"/>
  <c r="M515" i="1"/>
  <c r="L515" i="1"/>
  <c r="M516" i="1"/>
  <c r="L516" i="1"/>
  <c r="M517" i="1"/>
  <c r="L517" i="1"/>
  <c r="M518" i="1"/>
  <c r="L518" i="1"/>
  <c r="M519" i="1"/>
  <c r="L519" i="1"/>
  <c r="M520" i="1"/>
  <c r="L520" i="1"/>
  <c r="M521" i="1"/>
  <c r="L521" i="1"/>
  <c r="M522" i="1"/>
  <c r="L522" i="1"/>
  <c r="M523" i="1"/>
  <c r="L523" i="1"/>
  <c r="M524" i="1"/>
  <c r="L524" i="1"/>
  <c r="M525" i="1"/>
  <c r="L525" i="1"/>
  <c r="M526" i="1"/>
  <c r="L526" i="1"/>
  <c r="M527" i="1"/>
  <c r="L527" i="1"/>
  <c r="B4" i="9"/>
  <c r="B15" i="8"/>
  <c r="B14" i="8"/>
  <c r="B3" i="9" s="1"/>
  <c r="B13" i="8"/>
  <c r="B2" i="9" s="1"/>
  <c r="B12" i="8"/>
  <c r="B11" i="8"/>
  <c r="B10" i="8"/>
  <c r="B9" i="8"/>
  <c r="B8" i="8"/>
  <c r="B7" i="8"/>
  <c r="N2" i="15"/>
  <c r="X2" i="14"/>
  <c r="BL2" i="12"/>
  <c r="N3" i="15"/>
  <c r="X3" i="14"/>
  <c r="BL3" i="12"/>
  <c r="O3" i="15" s="1"/>
  <c r="T3" i="15" s="1"/>
  <c r="N4" i="15"/>
  <c r="X4" i="14"/>
  <c r="BL4" i="12"/>
  <c r="O4" i="15" s="1"/>
  <c r="N5" i="15"/>
  <c r="X5" i="14"/>
  <c r="BL5" i="12"/>
  <c r="O5" i="15" s="1"/>
  <c r="N6" i="15"/>
  <c r="X6" i="14"/>
  <c r="BL6" i="12"/>
  <c r="O6" i="15" s="1"/>
  <c r="T6" i="15" s="1"/>
  <c r="N7" i="15"/>
  <c r="X7" i="14"/>
  <c r="BL7" i="12"/>
  <c r="O7" i="15" s="1"/>
  <c r="T7" i="15" s="1"/>
  <c r="N8" i="15"/>
  <c r="X8" i="14"/>
  <c r="BL8" i="12"/>
  <c r="O8" i="15" s="1"/>
  <c r="N9" i="15"/>
  <c r="X9" i="14"/>
  <c r="BL9" i="12"/>
  <c r="O9" i="15" s="1"/>
  <c r="T9" i="15" s="1"/>
  <c r="N10" i="15"/>
  <c r="X10" i="14"/>
  <c r="BL10" i="12"/>
  <c r="O10" i="15" s="1"/>
  <c r="N11" i="15"/>
  <c r="X11" i="14"/>
  <c r="BL11" i="12"/>
  <c r="O11" i="15" s="1"/>
  <c r="N12" i="15"/>
  <c r="X12" i="14"/>
  <c r="BL12" i="12"/>
  <c r="O12" i="15" s="1"/>
  <c r="T12" i="15" s="1"/>
  <c r="N13" i="15"/>
  <c r="X13" i="14"/>
  <c r="BL13" i="12"/>
  <c r="O13" i="15" s="1"/>
  <c r="T13" i="15" s="1"/>
  <c r="N14" i="15"/>
  <c r="X14" i="14"/>
  <c r="BL14" i="12"/>
  <c r="O14" i="15" s="1"/>
  <c r="N15" i="15"/>
  <c r="X15" i="14"/>
  <c r="BL15" i="12"/>
  <c r="O15" i="15" s="1"/>
  <c r="T15" i="15" s="1"/>
  <c r="N16" i="15"/>
  <c r="X16" i="14"/>
  <c r="BL16" i="12"/>
  <c r="O16" i="15" s="1"/>
  <c r="T16" i="15" s="1"/>
  <c r="N17" i="15"/>
  <c r="X17" i="14"/>
  <c r="BL17" i="12"/>
  <c r="O17" i="15" s="1"/>
  <c r="N18" i="15"/>
  <c r="X18" i="14"/>
  <c r="BL18" i="12"/>
  <c r="O18" i="15" s="1"/>
  <c r="T18" i="15" s="1"/>
  <c r="N19" i="15"/>
  <c r="X19" i="14"/>
  <c r="BL19" i="12"/>
  <c r="O19" i="15" s="1"/>
  <c r="N20" i="15"/>
  <c r="X20" i="14"/>
  <c r="BL20" i="12"/>
  <c r="O20" i="15" s="1"/>
  <c r="N21" i="15"/>
  <c r="X21" i="14"/>
  <c r="BL21" i="12"/>
  <c r="O21" i="15" s="1"/>
  <c r="T21" i="15" s="1"/>
  <c r="N22" i="15"/>
  <c r="X22" i="14"/>
  <c r="BL22" i="12"/>
  <c r="O22" i="15" s="1"/>
  <c r="T22" i="15" s="1"/>
  <c r="N23" i="15"/>
  <c r="X23" i="14"/>
  <c r="BL23" i="12"/>
  <c r="O23" i="15" s="1"/>
  <c r="N24" i="15"/>
  <c r="X24" i="14"/>
  <c r="BL24" i="12"/>
  <c r="O24" i="15" s="1"/>
  <c r="T24" i="15" s="1"/>
  <c r="N25" i="15"/>
  <c r="X25" i="14"/>
  <c r="BL25" i="12"/>
  <c r="O25" i="15" s="1"/>
  <c r="N26" i="15"/>
  <c r="X26" i="14"/>
  <c r="BL26" i="12"/>
  <c r="O26" i="15" s="1"/>
  <c r="N27" i="15"/>
  <c r="X27" i="14"/>
  <c r="BL27" i="12"/>
  <c r="O27" i="15" s="1"/>
  <c r="N28" i="15"/>
  <c r="X28" i="14"/>
  <c r="BL28" i="12"/>
  <c r="O28" i="15" s="1"/>
  <c r="N29" i="15"/>
  <c r="X29" i="14"/>
  <c r="BL29" i="12"/>
  <c r="O29" i="15" s="1"/>
  <c r="N30" i="15"/>
  <c r="X30" i="14"/>
  <c r="BL30" i="12"/>
  <c r="O30" i="15" s="1"/>
  <c r="T30" i="15" s="1"/>
  <c r="N31" i="15"/>
  <c r="X31" i="14"/>
  <c r="BL31" i="12"/>
  <c r="O31" i="15" s="1"/>
  <c r="T31" i="15" s="1"/>
  <c r="N32" i="15"/>
  <c r="X32" i="14"/>
  <c r="BL32" i="12"/>
  <c r="O32" i="15" s="1"/>
  <c r="N33" i="15"/>
  <c r="X33" i="14"/>
  <c r="BL33" i="12"/>
  <c r="O33" i="15" s="1"/>
  <c r="T33" i="15" s="1"/>
  <c r="N34" i="15"/>
  <c r="X34" i="14"/>
  <c r="BL34" i="12"/>
  <c r="O34" i="15" s="1"/>
  <c r="N35" i="15"/>
  <c r="X35" i="14"/>
  <c r="BL35" i="12"/>
  <c r="O35" i="15" s="1"/>
  <c r="N36" i="15"/>
  <c r="X36" i="14"/>
  <c r="BL36" i="12"/>
  <c r="O36" i="15" s="1"/>
  <c r="N37" i="15"/>
  <c r="X37" i="14"/>
  <c r="BL37" i="12"/>
  <c r="O37" i="15" s="1"/>
  <c r="N38" i="15"/>
  <c r="X38" i="14"/>
  <c r="BL38" i="12"/>
  <c r="O38" i="15" s="1"/>
  <c r="N39" i="15"/>
  <c r="X39" i="14"/>
  <c r="BL39" i="12"/>
  <c r="O39" i="15" s="1"/>
  <c r="N40" i="15"/>
  <c r="X40" i="14"/>
  <c r="BL40" i="12"/>
  <c r="O40" i="15" s="1"/>
  <c r="N41" i="15"/>
  <c r="X41" i="14"/>
  <c r="BL41" i="12"/>
  <c r="O41" i="15" s="1"/>
  <c r="N42" i="15"/>
  <c r="X42" i="14"/>
  <c r="BL42" i="12"/>
  <c r="O42" i="15" s="1"/>
  <c r="N43" i="15"/>
  <c r="X43" i="14"/>
  <c r="BL43" i="12"/>
  <c r="O43" i="15" s="1"/>
  <c r="N44" i="15"/>
  <c r="X44" i="14"/>
  <c r="BL44" i="12"/>
  <c r="O44" i="15" s="1"/>
  <c r="N45" i="15"/>
  <c r="X45" i="14"/>
  <c r="BL45" i="12"/>
  <c r="O45" i="15" s="1"/>
  <c r="N46" i="15"/>
  <c r="X46" i="14"/>
  <c r="BL46" i="12"/>
  <c r="O46" i="15" s="1"/>
  <c r="N47" i="15"/>
  <c r="X47" i="14"/>
  <c r="BL47" i="12"/>
  <c r="O47" i="15" s="1"/>
  <c r="N48" i="15"/>
  <c r="X48" i="14"/>
  <c r="BL48" i="12"/>
  <c r="O48" i="15" s="1"/>
  <c r="N49" i="15"/>
  <c r="X49" i="14"/>
  <c r="BL49" i="12"/>
  <c r="O49" i="15" s="1"/>
  <c r="N50" i="15"/>
  <c r="X50" i="14"/>
  <c r="N51" i="15"/>
  <c r="X51" i="14"/>
  <c r="N52" i="15"/>
  <c r="X52" i="14"/>
  <c r="N53" i="15"/>
  <c r="X53" i="14"/>
  <c r="N54" i="15"/>
  <c r="X54" i="14"/>
  <c r="N55" i="15"/>
  <c r="X55" i="14"/>
  <c r="N56" i="15"/>
  <c r="X56" i="14"/>
  <c r="N57" i="15"/>
  <c r="X57" i="14"/>
  <c r="N58" i="15"/>
  <c r="X58" i="14"/>
  <c r="N59" i="15"/>
  <c r="X59" i="14"/>
  <c r="N60" i="15"/>
  <c r="X60" i="14"/>
  <c r="N61" i="15"/>
  <c r="X61" i="14"/>
  <c r="N62" i="15"/>
  <c r="X62" i="14"/>
  <c r="N63" i="15"/>
  <c r="X63" i="14"/>
  <c r="N64" i="15"/>
  <c r="X64" i="14"/>
  <c r="N65" i="15"/>
  <c r="X65" i="14"/>
  <c r="N66" i="15"/>
  <c r="X66" i="14"/>
  <c r="N67" i="15"/>
  <c r="X67" i="14"/>
  <c r="N68" i="15"/>
  <c r="X68" i="14"/>
  <c r="N69" i="15"/>
  <c r="X69" i="14"/>
  <c r="N70" i="15"/>
  <c r="X70" i="14"/>
  <c r="N71" i="15"/>
  <c r="X71" i="14"/>
  <c r="N72" i="15"/>
  <c r="X72" i="14"/>
  <c r="N73" i="15"/>
  <c r="X73" i="14"/>
  <c r="N74" i="15"/>
  <c r="X74" i="14"/>
  <c r="N75" i="15"/>
  <c r="X75" i="14"/>
  <c r="N76" i="15"/>
  <c r="X76" i="14"/>
  <c r="N77" i="15"/>
  <c r="X77" i="14"/>
  <c r="N78" i="15"/>
  <c r="X78" i="14"/>
  <c r="N79" i="15"/>
  <c r="X79" i="14"/>
  <c r="N80" i="15"/>
  <c r="X80" i="14"/>
  <c r="N81" i="15"/>
  <c r="X81" i="14"/>
  <c r="N82" i="15"/>
  <c r="X82" i="14"/>
  <c r="N83" i="15"/>
  <c r="X83" i="14"/>
  <c r="N84" i="15"/>
  <c r="X84" i="14"/>
  <c r="N85" i="15"/>
  <c r="X85" i="14"/>
  <c r="N86" i="15"/>
  <c r="X86" i="14"/>
  <c r="N87" i="15"/>
  <c r="X87" i="14"/>
  <c r="N88" i="15"/>
  <c r="X88" i="14"/>
  <c r="N89" i="15"/>
  <c r="X89" i="14"/>
  <c r="N90" i="15"/>
  <c r="X90" i="14"/>
  <c r="N91" i="15"/>
  <c r="X91" i="14"/>
  <c r="N92" i="15"/>
  <c r="X92" i="14"/>
  <c r="N93" i="15"/>
  <c r="X93" i="14"/>
  <c r="N94" i="15"/>
  <c r="X94" i="14"/>
  <c r="N95" i="15"/>
  <c r="X95" i="14"/>
  <c r="N96" i="15"/>
  <c r="X96" i="14"/>
  <c r="N97" i="15"/>
  <c r="X97" i="14"/>
  <c r="N98" i="15"/>
  <c r="X98" i="14"/>
  <c r="N99" i="15"/>
  <c r="X99" i="14"/>
  <c r="N100" i="15"/>
  <c r="X100" i="14"/>
  <c r="N101" i="15"/>
  <c r="X101" i="14"/>
  <c r="N102" i="15"/>
  <c r="X102" i="14"/>
  <c r="N103" i="15"/>
  <c r="X103" i="14"/>
  <c r="N104" i="15"/>
  <c r="X104" i="14"/>
  <c r="N105" i="15"/>
  <c r="X105" i="14"/>
  <c r="N106" i="15"/>
  <c r="X106" i="14"/>
  <c r="N107" i="15"/>
  <c r="X107" i="14"/>
  <c r="N108" i="15"/>
  <c r="X108" i="14"/>
  <c r="N109" i="15"/>
  <c r="X109" i="14"/>
  <c r="N110" i="15"/>
  <c r="X110" i="14"/>
  <c r="N111" i="15"/>
  <c r="X111" i="14"/>
  <c r="N112" i="15"/>
  <c r="X112" i="14"/>
  <c r="N113" i="15"/>
  <c r="X113" i="14"/>
  <c r="N114" i="15"/>
  <c r="X114" i="14"/>
  <c r="N115" i="15"/>
  <c r="X115" i="14"/>
  <c r="N116" i="15"/>
  <c r="X116" i="14"/>
  <c r="N117" i="15"/>
  <c r="X117" i="14"/>
  <c r="N118" i="15"/>
  <c r="X118" i="14"/>
  <c r="N119" i="15"/>
  <c r="X119" i="14"/>
  <c r="N120" i="15"/>
  <c r="X120" i="14"/>
  <c r="N121" i="15"/>
  <c r="X121" i="14"/>
  <c r="N122" i="15"/>
  <c r="X122" i="14"/>
  <c r="N123" i="15"/>
  <c r="X123" i="14"/>
  <c r="N124" i="15"/>
  <c r="X124" i="14"/>
  <c r="N125" i="15"/>
  <c r="X125" i="14"/>
  <c r="N126" i="15"/>
  <c r="X126" i="14"/>
  <c r="N127" i="15"/>
  <c r="X127" i="14"/>
  <c r="N128" i="15"/>
  <c r="X128" i="14"/>
  <c r="N129" i="15"/>
  <c r="X129" i="14"/>
  <c r="N130" i="15"/>
  <c r="X130" i="14"/>
  <c r="N131" i="15"/>
  <c r="X131" i="14"/>
  <c r="N132" i="15"/>
  <c r="X132" i="14"/>
  <c r="N133" i="15"/>
  <c r="X133" i="14"/>
  <c r="N134" i="15"/>
  <c r="X134" i="14"/>
  <c r="N135" i="15"/>
  <c r="X135" i="14"/>
  <c r="N136" i="15"/>
  <c r="X136" i="14"/>
  <c r="N137" i="15"/>
  <c r="X137" i="14"/>
  <c r="N138" i="15"/>
  <c r="X138" i="14"/>
  <c r="BL139" i="12"/>
  <c r="O138" i="15" s="1"/>
  <c r="N139" i="15"/>
  <c r="X139" i="14"/>
  <c r="BL140" i="12"/>
  <c r="O139" i="15" s="1"/>
  <c r="N140" i="15"/>
  <c r="X140" i="14"/>
  <c r="BL141" i="12"/>
  <c r="O140" i="15" s="1"/>
  <c r="N141" i="15"/>
  <c r="X141" i="14"/>
  <c r="BL142" i="12"/>
  <c r="O141" i="15" s="1"/>
  <c r="N142" i="15"/>
  <c r="X142" i="14"/>
  <c r="BL143" i="12"/>
  <c r="O142" i="15" s="1"/>
  <c r="N143" i="15"/>
  <c r="X143" i="14"/>
  <c r="BL144" i="12"/>
  <c r="O143" i="15" s="1"/>
  <c r="N144" i="15"/>
  <c r="X144" i="14"/>
  <c r="BL145" i="12"/>
  <c r="O144" i="15" s="1"/>
  <c r="N145" i="15"/>
  <c r="X145" i="14"/>
  <c r="N146" i="15"/>
  <c r="X146" i="14"/>
  <c r="N147" i="15"/>
  <c r="X147" i="14"/>
  <c r="N148" i="15"/>
  <c r="X148" i="14"/>
  <c r="N149" i="15"/>
  <c r="X149" i="14"/>
  <c r="N150" i="15"/>
  <c r="X150" i="14"/>
  <c r="N151" i="15"/>
  <c r="X151" i="14"/>
  <c r="N152" i="15"/>
  <c r="X152" i="14"/>
  <c r="N153" i="15"/>
  <c r="X153" i="14"/>
  <c r="N154" i="15"/>
  <c r="X154" i="14"/>
  <c r="N155" i="15"/>
  <c r="X155" i="14"/>
  <c r="N156" i="15"/>
  <c r="X156" i="14"/>
  <c r="N157" i="15"/>
  <c r="X157" i="14"/>
  <c r="N158" i="15"/>
  <c r="X158" i="14"/>
  <c r="N159" i="15"/>
  <c r="X159" i="14"/>
  <c r="N160" i="15"/>
  <c r="X160" i="14"/>
  <c r="N161" i="15"/>
  <c r="X161" i="14"/>
  <c r="N162" i="15"/>
  <c r="X162" i="14"/>
  <c r="N163" i="15"/>
  <c r="X163" i="14"/>
  <c r="N164" i="15"/>
  <c r="X164" i="14"/>
  <c r="N165" i="15"/>
  <c r="X165" i="14"/>
  <c r="N166" i="15"/>
  <c r="X166" i="14"/>
  <c r="N167" i="15"/>
  <c r="X167" i="14"/>
  <c r="N168" i="15"/>
  <c r="X168" i="14"/>
  <c r="N169" i="15"/>
  <c r="X169" i="14"/>
  <c r="N170" i="15"/>
  <c r="X170" i="14"/>
  <c r="N171" i="15"/>
  <c r="X171" i="14"/>
  <c r="N172" i="15"/>
  <c r="X172" i="14"/>
  <c r="N173" i="15"/>
  <c r="X173" i="14"/>
  <c r="N174" i="15"/>
  <c r="X174" i="14"/>
  <c r="N175" i="15"/>
  <c r="X175" i="14"/>
  <c r="N176" i="15"/>
  <c r="X176" i="14"/>
  <c r="N177" i="15"/>
  <c r="X177" i="14"/>
  <c r="N178" i="15"/>
  <c r="X178" i="14"/>
  <c r="N179" i="15"/>
  <c r="X179" i="14"/>
  <c r="N180" i="15"/>
  <c r="X180" i="14"/>
  <c r="N181" i="15"/>
  <c r="X181" i="14"/>
  <c r="N182" i="15"/>
  <c r="X182" i="14"/>
  <c r="N183" i="15"/>
  <c r="X183" i="14"/>
  <c r="N184" i="15"/>
  <c r="X184" i="14"/>
  <c r="N185" i="15"/>
  <c r="X185" i="14"/>
  <c r="N186" i="15"/>
  <c r="X186" i="14"/>
  <c r="N187" i="15"/>
  <c r="X187" i="14"/>
  <c r="N188" i="15"/>
  <c r="X188" i="14"/>
  <c r="N189" i="15"/>
  <c r="X189" i="14"/>
  <c r="N190" i="15"/>
  <c r="X190" i="14"/>
  <c r="N191" i="15"/>
  <c r="X191" i="14"/>
  <c r="N192" i="15"/>
  <c r="X192" i="14"/>
  <c r="N193" i="15"/>
  <c r="X193" i="14"/>
  <c r="N194" i="15"/>
  <c r="X194" i="14"/>
  <c r="N195" i="15"/>
  <c r="X195" i="14"/>
  <c r="N196" i="15"/>
  <c r="X196" i="14"/>
  <c r="N197" i="15"/>
  <c r="X197" i="14"/>
  <c r="N198" i="15"/>
  <c r="X198" i="14"/>
  <c r="N199" i="15"/>
  <c r="X199" i="14"/>
  <c r="N200" i="15"/>
  <c r="X200" i="14"/>
  <c r="N201" i="15"/>
  <c r="X201" i="14"/>
  <c r="N202" i="15"/>
  <c r="X202" i="14"/>
  <c r="N203" i="15"/>
  <c r="X203" i="14"/>
  <c r="N204" i="15"/>
  <c r="X204" i="14"/>
  <c r="N205" i="15"/>
  <c r="X205" i="14"/>
  <c r="N206" i="15"/>
  <c r="X206" i="14"/>
  <c r="N207" i="15"/>
  <c r="X207" i="14"/>
  <c r="N208" i="15"/>
  <c r="X208" i="14"/>
  <c r="N209" i="15"/>
  <c r="X209" i="14"/>
  <c r="N210" i="15"/>
  <c r="X210" i="14"/>
  <c r="N211" i="15"/>
  <c r="X211" i="14"/>
  <c r="N212" i="15"/>
  <c r="X212" i="14"/>
  <c r="N213" i="15"/>
  <c r="X213" i="14"/>
  <c r="N214" i="15"/>
  <c r="X214" i="14"/>
  <c r="N215" i="15"/>
  <c r="X215" i="14"/>
  <c r="N216" i="15"/>
  <c r="X216" i="14"/>
  <c r="N217" i="15"/>
  <c r="X217" i="14"/>
  <c r="N218" i="15"/>
  <c r="X218" i="14"/>
  <c r="N219" i="15"/>
  <c r="X219" i="14"/>
  <c r="N220" i="15"/>
  <c r="X220" i="14"/>
  <c r="N221" i="15"/>
  <c r="X221" i="14"/>
  <c r="N222" i="15"/>
  <c r="X222" i="14"/>
  <c r="N223" i="15"/>
  <c r="X223" i="14"/>
  <c r="N224" i="15"/>
  <c r="X224" i="14"/>
  <c r="N225" i="15"/>
  <c r="X225" i="14"/>
  <c r="N226" i="15"/>
  <c r="X226" i="14"/>
  <c r="N227" i="15"/>
  <c r="X227" i="14"/>
  <c r="N228" i="15"/>
  <c r="X228" i="14"/>
  <c r="N229" i="15"/>
  <c r="X229" i="14"/>
  <c r="N230" i="15"/>
  <c r="X230" i="14"/>
  <c r="N231" i="15"/>
  <c r="X231" i="14"/>
  <c r="N232" i="15"/>
  <c r="X232" i="14"/>
  <c r="N233" i="15"/>
  <c r="X233" i="14"/>
  <c r="N234" i="15"/>
  <c r="X234" i="14"/>
  <c r="N235" i="15"/>
  <c r="X235" i="14"/>
  <c r="N236" i="15"/>
  <c r="X236" i="14"/>
  <c r="N237" i="15"/>
  <c r="X237" i="14"/>
  <c r="N238" i="15"/>
  <c r="X238" i="14"/>
  <c r="N239" i="15"/>
  <c r="X239" i="14"/>
  <c r="N240" i="15"/>
  <c r="X240" i="14"/>
  <c r="N241" i="15"/>
  <c r="X241" i="14"/>
  <c r="N242" i="15"/>
  <c r="X242" i="14"/>
  <c r="N243" i="15"/>
  <c r="X243" i="14"/>
  <c r="N244" i="15"/>
  <c r="X244" i="14"/>
  <c r="N245" i="15"/>
  <c r="X245" i="14"/>
  <c r="N246" i="15"/>
  <c r="X246" i="14"/>
  <c r="N247" i="15"/>
  <c r="X247" i="14"/>
  <c r="N248" i="15"/>
  <c r="X248" i="14"/>
  <c r="N249" i="15"/>
  <c r="X249" i="14"/>
  <c r="N250" i="15"/>
  <c r="X250" i="14"/>
  <c r="N251" i="15"/>
  <c r="X251" i="14"/>
  <c r="N252" i="15"/>
  <c r="X252" i="14"/>
  <c r="N253" i="15"/>
  <c r="X253" i="14"/>
  <c r="N254" i="15"/>
  <c r="X254" i="14"/>
  <c r="N255" i="15"/>
  <c r="X255" i="14"/>
  <c r="N256" i="15"/>
  <c r="X256" i="14"/>
  <c r="N257" i="15"/>
  <c r="X257" i="14"/>
  <c r="N258" i="15"/>
  <c r="X258" i="14"/>
  <c r="N259" i="15"/>
  <c r="X259" i="14"/>
  <c r="N260" i="15"/>
  <c r="X260" i="14"/>
  <c r="N261" i="15"/>
  <c r="X261" i="14"/>
  <c r="N262" i="15"/>
  <c r="X262" i="14"/>
  <c r="N263" i="15"/>
  <c r="X263" i="14"/>
  <c r="N264" i="15"/>
  <c r="X264" i="14"/>
  <c r="N265" i="15"/>
  <c r="X265" i="14"/>
  <c r="N266" i="15"/>
  <c r="X266" i="14"/>
  <c r="N267" i="15"/>
  <c r="X267" i="14"/>
  <c r="N268" i="15"/>
  <c r="X268" i="14"/>
  <c r="N269" i="15"/>
  <c r="X269" i="14"/>
  <c r="N270" i="15"/>
  <c r="X270" i="14"/>
  <c r="N271" i="15"/>
  <c r="X271" i="14"/>
  <c r="N272" i="15"/>
  <c r="X272" i="14"/>
  <c r="N273" i="15"/>
  <c r="X273" i="14"/>
  <c r="N274" i="15"/>
  <c r="X274" i="14"/>
  <c r="N275" i="15"/>
  <c r="X275" i="14"/>
  <c r="N276" i="15"/>
  <c r="X276" i="14"/>
  <c r="N277" i="15"/>
  <c r="X277" i="14"/>
  <c r="N278" i="15"/>
  <c r="X278" i="14"/>
  <c r="N279" i="15"/>
  <c r="X279" i="14"/>
  <c r="N280" i="15"/>
  <c r="X280" i="14"/>
  <c r="N281" i="15"/>
  <c r="X281" i="14"/>
  <c r="N282" i="15"/>
  <c r="X282" i="14"/>
  <c r="N283" i="15"/>
  <c r="X283" i="14"/>
  <c r="N284" i="15"/>
  <c r="X284" i="14"/>
  <c r="N285" i="15"/>
  <c r="X285" i="14"/>
  <c r="N286" i="15"/>
  <c r="X286" i="14"/>
  <c r="N287" i="15"/>
  <c r="X287" i="14"/>
  <c r="N288" i="15"/>
  <c r="X288" i="14"/>
  <c r="N289" i="15"/>
  <c r="X289" i="14"/>
  <c r="N290" i="15"/>
  <c r="X290" i="14"/>
  <c r="N291" i="15"/>
  <c r="X291" i="14"/>
  <c r="N292" i="15"/>
  <c r="X292" i="14"/>
  <c r="N293" i="15"/>
  <c r="X293" i="14"/>
  <c r="N294" i="15"/>
  <c r="X294" i="14"/>
  <c r="N295" i="15"/>
  <c r="X295" i="14"/>
  <c r="N296" i="15"/>
  <c r="X296" i="14"/>
  <c r="N297" i="15"/>
  <c r="X297" i="14"/>
  <c r="N298" i="15"/>
  <c r="X298" i="14"/>
  <c r="N299" i="15"/>
  <c r="X299" i="14"/>
  <c r="N300" i="15"/>
  <c r="X300" i="14"/>
  <c r="N301" i="15"/>
  <c r="X301" i="14"/>
  <c r="N302" i="15"/>
  <c r="X302" i="14"/>
  <c r="N303" i="15"/>
  <c r="X303" i="14"/>
  <c r="N304" i="15"/>
  <c r="X304" i="14"/>
  <c r="N305" i="15"/>
  <c r="X305" i="14"/>
  <c r="N306" i="15"/>
  <c r="X306" i="14"/>
  <c r="N307" i="15"/>
  <c r="X307" i="14"/>
  <c r="N308" i="15"/>
  <c r="X308" i="14"/>
  <c r="N309" i="15"/>
  <c r="X309" i="14"/>
  <c r="N310" i="15"/>
  <c r="X310" i="14"/>
  <c r="N311" i="15"/>
  <c r="X311" i="14"/>
  <c r="N312" i="15"/>
  <c r="X312" i="14"/>
  <c r="N313" i="15"/>
  <c r="X313" i="14"/>
  <c r="N314" i="15"/>
  <c r="X314" i="14"/>
  <c r="N315" i="15"/>
  <c r="X315" i="14"/>
  <c r="N316" i="15"/>
  <c r="X316" i="14"/>
  <c r="N317" i="15"/>
  <c r="X317" i="14"/>
  <c r="N318" i="15"/>
  <c r="X318" i="14"/>
  <c r="N319" i="15"/>
  <c r="X319" i="14"/>
  <c r="N320" i="15"/>
  <c r="X320" i="14"/>
  <c r="N321" i="15"/>
  <c r="X321" i="14"/>
  <c r="N322" i="15"/>
  <c r="X322" i="14"/>
  <c r="N323" i="15"/>
  <c r="X323" i="14"/>
  <c r="N324" i="15"/>
  <c r="X324" i="14"/>
  <c r="N325" i="15"/>
  <c r="X325" i="14"/>
  <c r="N326" i="15"/>
  <c r="X326" i="14"/>
  <c r="N327" i="15"/>
  <c r="X327" i="14"/>
  <c r="N328" i="15"/>
  <c r="X328" i="14"/>
  <c r="N329" i="15"/>
  <c r="X329" i="14"/>
  <c r="N330" i="15"/>
  <c r="X330" i="14"/>
  <c r="N331" i="15"/>
  <c r="X331" i="14"/>
  <c r="N332" i="15"/>
  <c r="X332" i="14"/>
  <c r="N333" i="15"/>
  <c r="X333" i="14"/>
  <c r="N334" i="15"/>
  <c r="X334" i="14"/>
  <c r="N335" i="15"/>
  <c r="X335" i="14"/>
  <c r="N336" i="15"/>
  <c r="X336" i="14"/>
  <c r="N337" i="15"/>
  <c r="X337" i="14"/>
  <c r="N338" i="15"/>
  <c r="X338" i="14"/>
  <c r="N339" i="15"/>
  <c r="X339" i="14"/>
  <c r="N340" i="15"/>
  <c r="X340" i="14"/>
  <c r="N341" i="15"/>
  <c r="X341" i="14"/>
  <c r="N342" i="15"/>
  <c r="X342" i="14"/>
  <c r="N343" i="15"/>
  <c r="X343" i="14"/>
  <c r="N344" i="15"/>
  <c r="X344" i="14"/>
  <c r="N345" i="15"/>
  <c r="X345" i="14"/>
  <c r="N346" i="15"/>
  <c r="X346" i="14"/>
  <c r="N347" i="15"/>
  <c r="X347" i="14"/>
  <c r="N348" i="15"/>
  <c r="X348" i="14"/>
  <c r="N349" i="15"/>
  <c r="X349" i="14"/>
  <c r="N350" i="15"/>
  <c r="X350" i="14"/>
  <c r="N351" i="15"/>
  <c r="X351" i="14"/>
  <c r="N352" i="15"/>
  <c r="X352" i="14"/>
  <c r="N353" i="15"/>
  <c r="X353" i="14"/>
  <c r="N354" i="15"/>
  <c r="X354" i="14"/>
  <c r="N355" i="15"/>
  <c r="X355" i="14"/>
  <c r="N356" i="15"/>
  <c r="X356" i="14"/>
  <c r="N357" i="15"/>
  <c r="X357" i="14"/>
  <c r="N358" i="15"/>
  <c r="X358" i="14"/>
  <c r="N359" i="15"/>
  <c r="X359" i="14"/>
  <c r="N360" i="15"/>
  <c r="X360" i="14"/>
  <c r="N361" i="15"/>
  <c r="X361" i="14"/>
  <c r="N362" i="15"/>
  <c r="X362" i="14"/>
  <c r="N363" i="15"/>
  <c r="X363" i="14"/>
  <c r="N364" i="15"/>
  <c r="X364" i="14"/>
  <c r="N365" i="15"/>
  <c r="X365" i="14"/>
  <c r="N366" i="15"/>
  <c r="X366" i="14"/>
  <c r="N367" i="15"/>
  <c r="X367" i="14"/>
  <c r="N368" i="15"/>
  <c r="X368" i="14"/>
  <c r="N369" i="15"/>
  <c r="X369" i="14"/>
  <c r="N370" i="15"/>
  <c r="X370" i="14"/>
  <c r="N371" i="15"/>
  <c r="X371" i="14"/>
  <c r="N372" i="15"/>
  <c r="X372" i="14"/>
  <c r="N373" i="15"/>
  <c r="X373" i="14"/>
  <c r="N374" i="15"/>
  <c r="X374" i="14"/>
  <c r="N375" i="15"/>
  <c r="X375" i="14"/>
  <c r="N376" i="15"/>
  <c r="X376" i="14"/>
  <c r="N377" i="15"/>
  <c r="X377" i="14"/>
  <c r="N378" i="15"/>
  <c r="X378" i="14"/>
  <c r="N379" i="15"/>
  <c r="X379" i="14"/>
  <c r="N380" i="15"/>
  <c r="X380" i="14"/>
  <c r="N381" i="15"/>
  <c r="X381" i="14"/>
  <c r="N382" i="15"/>
  <c r="X382" i="14"/>
  <c r="N383" i="15"/>
  <c r="X383" i="14"/>
  <c r="N384" i="15"/>
  <c r="X384" i="14"/>
  <c r="N385" i="15"/>
  <c r="X385" i="14"/>
  <c r="N386" i="15"/>
  <c r="X386" i="14"/>
  <c r="N387" i="15"/>
  <c r="X387" i="14"/>
  <c r="N388" i="15"/>
  <c r="X388" i="14"/>
  <c r="N389" i="15"/>
  <c r="X389" i="14"/>
  <c r="N390" i="15"/>
  <c r="X390" i="14"/>
  <c r="N391" i="15"/>
  <c r="X391" i="14"/>
  <c r="N392" i="15"/>
  <c r="X392" i="14"/>
  <c r="N393" i="15"/>
  <c r="X393" i="14"/>
  <c r="N394" i="15"/>
  <c r="X394" i="14"/>
  <c r="N395" i="15"/>
  <c r="X395" i="14"/>
  <c r="N396" i="15"/>
  <c r="X396" i="14"/>
  <c r="N397" i="15"/>
  <c r="X397" i="14"/>
  <c r="N398" i="15"/>
  <c r="X398" i="14"/>
  <c r="N399" i="15"/>
  <c r="X399" i="14"/>
  <c r="N400" i="15"/>
  <c r="X400" i="14"/>
  <c r="N401" i="15"/>
  <c r="X401" i="14"/>
  <c r="N402" i="15"/>
  <c r="X402" i="14"/>
  <c r="N403" i="15"/>
  <c r="X403" i="14"/>
  <c r="N404" i="15"/>
  <c r="X404" i="14"/>
  <c r="N405" i="15"/>
  <c r="X405" i="14"/>
  <c r="N406" i="15"/>
  <c r="X406" i="14"/>
  <c r="N407" i="15"/>
  <c r="X407" i="14"/>
  <c r="N408" i="15"/>
  <c r="X408" i="14"/>
  <c r="N409" i="15"/>
  <c r="X409" i="14"/>
  <c r="N410" i="15"/>
  <c r="X410" i="14"/>
  <c r="N411" i="15"/>
  <c r="X411" i="14"/>
  <c r="N412" i="15"/>
  <c r="X412" i="14"/>
  <c r="N413" i="15"/>
  <c r="X413" i="14"/>
  <c r="N414" i="15"/>
  <c r="X414" i="14"/>
  <c r="N415" i="15"/>
  <c r="X415" i="14"/>
  <c r="N416" i="15"/>
  <c r="X416" i="14"/>
  <c r="N417" i="15"/>
  <c r="X417" i="14"/>
  <c r="N418" i="15"/>
  <c r="X418" i="14"/>
  <c r="N419" i="15"/>
  <c r="X419" i="14"/>
  <c r="N420" i="15"/>
  <c r="X420" i="14"/>
  <c r="N421" i="15"/>
  <c r="X421" i="14"/>
  <c r="N422" i="15"/>
  <c r="X422" i="14"/>
  <c r="N423" i="15"/>
  <c r="X423" i="14"/>
  <c r="N424" i="15"/>
  <c r="X424" i="14"/>
  <c r="N425" i="15"/>
  <c r="X425" i="14"/>
  <c r="N426" i="15"/>
  <c r="X426" i="14"/>
  <c r="N427" i="15"/>
  <c r="X427" i="14"/>
  <c r="N428" i="15"/>
  <c r="X428" i="14"/>
  <c r="N429" i="15"/>
  <c r="X429" i="14"/>
  <c r="N430" i="15"/>
  <c r="X430" i="14"/>
  <c r="N431" i="15"/>
  <c r="X431" i="14"/>
  <c r="N432" i="15"/>
  <c r="X432" i="14"/>
  <c r="N433" i="15"/>
  <c r="X433" i="14"/>
  <c r="N434" i="15"/>
  <c r="X434" i="14"/>
  <c r="N435" i="15"/>
  <c r="X435" i="14"/>
  <c r="N436" i="15"/>
  <c r="X436" i="14"/>
  <c r="N437" i="15"/>
  <c r="X437" i="14"/>
  <c r="N438" i="15"/>
  <c r="X438" i="14"/>
  <c r="N439" i="15"/>
  <c r="X439" i="14"/>
  <c r="N440" i="15"/>
  <c r="X440" i="14"/>
  <c r="N441" i="15"/>
  <c r="X441" i="14"/>
  <c r="N442" i="15"/>
  <c r="X442" i="14"/>
  <c r="N443" i="15"/>
  <c r="X443" i="14"/>
  <c r="N444" i="15"/>
  <c r="X444" i="14"/>
  <c r="N445" i="15"/>
  <c r="X445" i="14"/>
  <c r="N446" i="15"/>
  <c r="X446" i="14"/>
  <c r="N447" i="15"/>
  <c r="X447" i="14"/>
  <c r="N448" i="15"/>
  <c r="X448" i="14"/>
  <c r="N449" i="15"/>
  <c r="X449" i="14"/>
  <c r="N450" i="15"/>
  <c r="X450" i="14"/>
  <c r="N451" i="15"/>
  <c r="X451" i="14"/>
  <c r="N452" i="15"/>
  <c r="X452" i="14"/>
  <c r="N453" i="15"/>
  <c r="X453" i="14"/>
  <c r="N454" i="15"/>
  <c r="X454" i="14"/>
  <c r="N455" i="15"/>
  <c r="X455" i="14"/>
  <c r="N456" i="15"/>
  <c r="X456" i="14"/>
  <c r="N457" i="15"/>
  <c r="X457" i="14"/>
  <c r="N458" i="15"/>
  <c r="X458" i="14"/>
  <c r="N459" i="15"/>
  <c r="X459" i="14"/>
  <c r="N460" i="15"/>
  <c r="X460" i="14"/>
  <c r="N461" i="15"/>
  <c r="X461" i="14"/>
  <c r="N462" i="15"/>
  <c r="X462" i="14"/>
  <c r="N463" i="15"/>
  <c r="X463" i="14"/>
  <c r="N464" i="15"/>
  <c r="X464" i="14"/>
  <c r="N465" i="15"/>
  <c r="X465" i="14"/>
  <c r="N466" i="15"/>
  <c r="X466" i="14"/>
  <c r="N467" i="15"/>
  <c r="X467" i="14"/>
  <c r="N468" i="15"/>
  <c r="X468" i="14"/>
  <c r="N469" i="15"/>
  <c r="X469" i="14"/>
  <c r="N470" i="15"/>
  <c r="X470" i="14"/>
  <c r="N471" i="15"/>
  <c r="X471" i="14"/>
  <c r="N472" i="15"/>
  <c r="X472" i="14"/>
  <c r="N473" i="15"/>
  <c r="X473" i="14"/>
  <c r="N474" i="15"/>
  <c r="X474" i="14"/>
  <c r="N475" i="15"/>
  <c r="X475" i="14"/>
  <c r="N476" i="15"/>
  <c r="X476" i="14"/>
  <c r="N477" i="15"/>
  <c r="X477" i="14"/>
  <c r="N478" i="15"/>
  <c r="X478" i="14"/>
  <c r="N479" i="15"/>
  <c r="X479" i="14"/>
  <c r="N480" i="15"/>
  <c r="X480" i="14"/>
  <c r="N481" i="15"/>
  <c r="X481" i="14"/>
  <c r="N482" i="15"/>
  <c r="X482" i="14"/>
  <c r="N483" i="15"/>
  <c r="X483" i="14"/>
  <c r="N484" i="15"/>
  <c r="X484" i="14"/>
  <c r="N485" i="15"/>
  <c r="X485" i="14"/>
  <c r="N486" i="15"/>
  <c r="X486" i="14"/>
  <c r="N487" i="15"/>
  <c r="X487" i="14"/>
  <c r="N488" i="15"/>
  <c r="X488" i="14"/>
  <c r="N489" i="15"/>
  <c r="X489" i="14"/>
  <c r="N490" i="15"/>
  <c r="X490" i="14"/>
  <c r="N491" i="15"/>
  <c r="X491" i="14"/>
  <c r="N492" i="15"/>
  <c r="X492" i="14"/>
  <c r="N493" i="15"/>
  <c r="X493" i="14"/>
  <c r="N494" i="15"/>
  <c r="X494" i="14"/>
  <c r="N495" i="15"/>
  <c r="X495" i="14"/>
  <c r="N496" i="15"/>
  <c r="X496" i="14"/>
  <c r="N497" i="15"/>
  <c r="X497" i="14"/>
  <c r="N498" i="15"/>
  <c r="X498" i="14"/>
  <c r="N499" i="15"/>
  <c r="X499" i="14"/>
  <c r="N500" i="15"/>
  <c r="X500" i="14"/>
  <c r="N501" i="15"/>
  <c r="X501" i="14"/>
  <c r="N502" i="15"/>
  <c r="X502" i="14"/>
  <c r="N503" i="15"/>
  <c r="X503" i="14"/>
  <c r="D15" i="13"/>
  <c r="S2" i="15"/>
  <c r="S3" i="15"/>
  <c r="T4" i="15"/>
  <c r="S4" i="15"/>
  <c r="S5" i="15"/>
  <c r="T5" i="15" s="1"/>
  <c r="S6" i="15"/>
  <c r="S7" i="15"/>
  <c r="S8" i="15"/>
  <c r="T8" i="15" s="1"/>
  <c r="S9" i="15"/>
  <c r="T10" i="15"/>
  <c r="S10" i="15"/>
  <c r="S11" i="15"/>
  <c r="S12" i="15"/>
  <c r="S13" i="15"/>
  <c r="S14" i="15"/>
  <c r="T14" i="15" s="1"/>
  <c r="S15" i="15"/>
  <c r="S16" i="15"/>
  <c r="S17" i="15"/>
  <c r="S18" i="15"/>
  <c r="T19" i="15"/>
  <c r="S19" i="15"/>
  <c r="S20" i="15"/>
  <c r="S21" i="15"/>
  <c r="S22" i="15"/>
  <c r="S23" i="15"/>
  <c r="T23" i="15" s="1"/>
  <c r="S24" i="15"/>
  <c r="T25" i="15"/>
  <c r="S25" i="15"/>
  <c r="S26" i="15"/>
  <c r="T27" i="15"/>
  <c r="S27" i="15"/>
  <c r="S28" i="15"/>
  <c r="T28" i="15" s="1"/>
  <c r="S29" i="15"/>
  <c r="S30" i="15"/>
  <c r="S31" i="15"/>
  <c r="S32" i="15"/>
  <c r="T32" i="15" s="1"/>
  <c r="S33" i="15"/>
  <c r="T34" i="15"/>
  <c r="S34" i="15"/>
  <c r="S35" i="15"/>
  <c r="T36" i="15"/>
  <c r="S36" i="15"/>
  <c r="S37" i="15"/>
  <c r="T37" i="15" s="1"/>
  <c r="S38" i="15"/>
  <c r="T38" i="15" s="1"/>
  <c r="T39" i="15"/>
  <c r="S39" i="15"/>
  <c r="T40" i="15"/>
  <c r="S40" i="15"/>
  <c r="S41" i="15"/>
  <c r="T41" i="15" s="1"/>
  <c r="T42" i="15"/>
  <c r="S42" i="15"/>
  <c r="T43" i="15"/>
  <c r="S43" i="15"/>
  <c r="S44" i="15"/>
  <c r="T44" i="15" s="1"/>
  <c r="T45" i="15"/>
  <c r="S45" i="15"/>
  <c r="S46" i="15"/>
  <c r="T46" i="15" s="1"/>
  <c r="S47" i="15"/>
  <c r="T47" i="15" s="1"/>
  <c r="T48" i="15"/>
  <c r="S48" i="15"/>
  <c r="T49" i="15"/>
  <c r="S49" i="15"/>
  <c r="S50" i="15"/>
  <c r="T50" i="15" s="1"/>
  <c r="T51" i="15"/>
  <c r="S51" i="15"/>
  <c r="T52" i="15"/>
  <c r="S52" i="15"/>
  <c r="S53" i="15"/>
  <c r="T53" i="15" s="1"/>
  <c r="T54" i="15"/>
  <c r="S54" i="15"/>
  <c r="S55" i="15"/>
  <c r="T55" i="15" s="1"/>
  <c r="S56" i="15"/>
  <c r="T56" i="15" s="1"/>
  <c r="T57" i="15"/>
  <c r="S57" i="15"/>
  <c r="T58" i="15"/>
  <c r="S58" i="15"/>
  <c r="S59" i="15"/>
  <c r="T59" i="15" s="1"/>
  <c r="T60" i="15"/>
  <c r="S60" i="15"/>
  <c r="T61" i="15"/>
  <c r="S61" i="15"/>
  <c r="S62" i="15"/>
  <c r="T62" i="15" s="1"/>
  <c r="T63" i="15"/>
  <c r="S63" i="15"/>
  <c r="S64" i="15"/>
  <c r="T64" i="15" s="1"/>
  <c r="S65" i="15"/>
  <c r="T65" i="15" s="1"/>
  <c r="T66" i="15"/>
  <c r="S66" i="15"/>
  <c r="T67" i="15"/>
  <c r="S67" i="15"/>
  <c r="S68" i="15"/>
  <c r="T68" i="15" s="1"/>
  <c r="T69" i="15"/>
  <c r="S69" i="15"/>
  <c r="T70" i="15"/>
  <c r="S70" i="15"/>
  <c r="S71" i="15"/>
  <c r="T71" i="15" s="1"/>
  <c r="T72" i="15"/>
  <c r="S72" i="15"/>
  <c r="S73" i="15"/>
  <c r="T73" i="15" s="1"/>
  <c r="S74" i="15"/>
  <c r="T74" i="15" s="1"/>
  <c r="T75" i="15"/>
  <c r="S75" i="15"/>
  <c r="T76" i="15"/>
  <c r="S76" i="15"/>
  <c r="S77" i="15"/>
  <c r="T77" i="15" s="1"/>
  <c r="T78" i="15"/>
  <c r="S78" i="15"/>
  <c r="T79" i="15"/>
  <c r="S79" i="15"/>
  <c r="S80" i="15"/>
  <c r="T80" i="15" s="1"/>
  <c r="T81" i="15"/>
  <c r="S81" i="15"/>
  <c r="S82" i="15"/>
  <c r="T82" i="15" s="1"/>
  <c r="S83" i="15"/>
  <c r="T83" i="15" s="1"/>
  <c r="T84" i="15"/>
  <c r="S84" i="15"/>
  <c r="T85" i="15"/>
  <c r="S85" i="15"/>
  <c r="S86" i="15"/>
  <c r="T86" i="15" s="1"/>
  <c r="T87" i="15"/>
  <c r="S87" i="15"/>
  <c r="T88" i="15"/>
  <c r="S88" i="15"/>
  <c r="S89" i="15"/>
  <c r="T89" i="15" s="1"/>
  <c r="T90" i="15"/>
  <c r="S90" i="15"/>
  <c r="S91" i="15"/>
  <c r="T91" i="15" s="1"/>
  <c r="S92" i="15"/>
  <c r="T92" i="15" s="1"/>
  <c r="T93" i="15"/>
  <c r="S93" i="15"/>
  <c r="T94" i="15"/>
  <c r="S94" i="15"/>
  <c r="S95" i="15"/>
  <c r="T95" i="15" s="1"/>
  <c r="T96" i="15"/>
  <c r="S96" i="15"/>
  <c r="T97" i="15"/>
  <c r="S97" i="15"/>
  <c r="S98" i="15"/>
  <c r="T98" i="15" s="1"/>
  <c r="T99" i="15"/>
  <c r="S99" i="15"/>
  <c r="S100" i="15"/>
  <c r="T100" i="15" s="1"/>
  <c r="S101" i="15"/>
  <c r="T101" i="15" s="1"/>
  <c r="T102" i="15"/>
  <c r="S102" i="15"/>
  <c r="S103" i="15"/>
  <c r="T103" i="15" s="1"/>
  <c r="S104" i="15"/>
  <c r="T104" i="15" s="1"/>
  <c r="T105" i="15"/>
  <c r="S105" i="15"/>
  <c r="T106" i="15"/>
  <c r="S106" i="15"/>
  <c r="S107" i="15"/>
  <c r="T107" i="15" s="1"/>
  <c r="T108" i="15"/>
  <c r="S108" i="15"/>
  <c r="S109" i="15"/>
  <c r="T109" i="15" s="1"/>
  <c r="S110" i="15"/>
  <c r="T110" i="15" s="1"/>
  <c r="T111" i="15"/>
  <c r="S111" i="15"/>
  <c r="S112" i="15"/>
  <c r="T112" i="15" s="1"/>
  <c r="S113" i="15"/>
  <c r="T113" i="15" s="1"/>
  <c r="T114" i="15"/>
  <c r="S114" i="15"/>
  <c r="T115" i="15"/>
  <c r="S115" i="15"/>
  <c r="S116" i="15"/>
  <c r="T116" i="15" s="1"/>
  <c r="T117" i="15"/>
  <c r="S117" i="15"/>
  <c r="S118" i="15"/>
  <c r="T118" i="15" s="1"/>
  <c r="S119" i="15"/>
  <c r="T119" i="15" s="1"/>
  <c r="T120" i="15"/>
  <c r="S120" i="15"/>
  <c r="S121" i="15"/>
  <c r="T121" i="15" s="1"/>
  <c r="S122" i="15"/>
  <c r="T122" i="15" s="1"/>
  <c r="T123" i="15"/>
  <c r="S123" i="15"/>
  <c r="T124" i="15"/>
  <c r="S124" i="15"/>
  <c r="S125" i="15"/>
  <c r="T125" i="15" s="1"/>
  <c r="T126" i="15"/>
  <c r="S126" i="15"/>
  <c r="S127" i="15"/>
  <c r="T127" i="15" s="1"/>
  <c r="S128" i="15"/>
  <c r="T128" i="15" s="1"/>
  <c r="T129" i="15"/>
  <c r="S129" i="15"/>
  <c r="S130" i="15"/>
  <c r="T130" i="15" s="1"/>
  <c r="S131" i="15"/>
  <c r="T131" i="15" s="1"/>
  <c r="T132" i="15"/>
  <c r="S132" i="15"/>
  <c r="T133" i="15"/>
  <c r="S133" i="15"/>
  <c r="S134" i="15"/>
  <c r="T134" i="15" s="1"/>
  <c r="T135" i="15"/>
  <c r="S135" i="15"/>
  <c r="S136" i="15"/>
  <c r="T136" i="15" s="1"/>
  <c r="S137" i="15"/>
  <c r="T137" i="15" s="1"/>
  <c r="T138" i="15"/>
  <c r="S138" i="15"/>
  <c r="S139" i="15"/>
  <c r="T139" i="15" s="1"/>
  <c r="S140" i="15"/>
  <c r="T140" i="15" s="1"/>
  <c r="T141" i="15"/>
  <c r="S141" i="15"/>
  <c r="T142" i="15"/>
  <c r="S142" i="15"/>
  <c r="S143" i="15"/>
  <c r="T143" i="15" s="1"/>
  <c r="T144" i="15"/>
  <c r="S144" i="15"/>
  <c r="S145" i="15"/>
  <c r="T145" i="15" s="1"/>
  <c r="S146" i="15"/>
  <c r="T146" i="15" s="1"/>
  <c r="T147" i="15"/>
  <c r="S147" i="15"/>
  <c r="S148" i="15"/>
  <c r="T148" i="15" s="1"/>
  <c r="S149" i="15"/>
  <c r="T149" i="15" s="1"/>
  <c r="T150" i="15"/>
  <c r="S150" i="15"/>
  <c r="T151" i="15"/>
  <c r="S151" i="15"/>
  <c r="S152" i="15"/>
  <c r="T152" i="15" s="1"/>
  <c r="T153" i="15"/>
  <c r="S153" i="15"/>
  <c r="S154" i="15"/>
  <c r="T154" i="15" s="1"/>
  <c r="S155" i="15"/>
  <c r="T155" i="15" s="1"/>
  <c r="T156" i="15"/>
  <c r="S156" i="15"/>
  <c r="S157" i="15"/>
  <c r="T157" i="15" s="1"/>
  <c r="S158" i="15"/>
  <c r="T158" i="15" s="1"/>
  <c r="T159" i="15"/>
  <c r="S159" i="15"/>
  <c r="T160" i="15"/>
  <c r="S160" i="15"/>
  <c r="S161" i="15"/>
  <c r="T161" i="15" s="1"/>
  <c r="T162" i="15"/>
  <c r="S162" i="15"/>
  <c r="S163" i="15"/>
  <c r="T163" i="15" s="1"/>
  <c r="S164" i="15"/>
  <c r="T164" i="15" s="1"/>
  <c r="T165" i="15"/>
  <c r="S165" i="15"/>
  <c r="S166" i="15"/>
  <c r="T166" i="15" s="1"/>
  <c r="S167" i="15"/>
  <c r="T167" i="15" s="1"/>
  <c r="T168" i="15"/>
  <c r="S168" i="15"/>
  <c r="T169" i="15"/>
  <c r="S169" i="15"/>
  <c r="S170" i="15"/>
  <c r="T170" i="15" s="1"/>
  <c r="T171" i="15"/>
  <c r="S171" i="15"/>
  <c r="S172" i="15"/>
  <c r="T172" i="15" s="1"/>
  <c r="S173" i="15"/>
  <c r="T173" i="15" s="1"/>
  <c r="T174" i="15"/>
  <c r="S174" i="15"/>
  <c r="S175" i="15"/>
  <c r="T175" i="15" s="1"/>
  <c r="S176" i="15"/>
  <c r="T176" i="15" s="1"/>
  <c r="T177" i="15"/>
  <c r="S177" i="15"/>
  <c r="T178" i="15"/>
  <c r="S178" i="15"/>
  <c r="S179" i="15"/>
  <c r="T179" i="15" s="1"/>
  <c r="T180" i="15"/>
  <c r="S180" i="15"/>
  <c r="S181" i="15"/>
  <c r="T181" i="15" s="1"/>
  <c r="S182" i="15"/>
  <c r="T182" i="15" s="1"/>
  <c r="T183" i="15"/>
  <c r="S183" i="15"/>
  <c r="S184" i="15"/>
  <c r="T184" i="15" s="1"/>
  <c r="S185" i="15"/>
  <c r="T185" i="15" s="1"/>
  <c r="T186" i="15"/>
  <c r="S186" i="15"/>
  <c r="T187" i="15"/>
  <c r="S187" i="15"/>
  <c r="S188" i="15"/>
  <c r="T188" i="15" s="1"/>
  <c r="T189" i="15"/>
  <c r="S189" i="15"/>
  <c r="S190" i="15"/>
  <c r="T190" i="15" s="1"/>
  <c r="S191" i="15"/>
  <c r="T191" i="15" s="1"/>
  <c r="T192" i="15"/>
  <c r="S192" i="15"/>
  <c r="S193" i="15"/>
  <c r="T193" i="15" s="1"/>
  <c r="S194" i="15"/>
  <c r="T194" i="15" s="1"/>
  <c r="T195" i="15"/>
  <c r="S195" i="15"/>
  <c r="T196" i="15"/>
  <c r="S196" i="15"/>
  <c r="S197" i="15"/>
  <c r="T197" i="15" s="1"/>
  <c r="T198" i="15"/>
  <c r="S198" i="15"/>
  <c r="S199" i="15"/>
  <c r="T199" i="15" s="1"/>
  <c r="S200" i="15"/>
  <c r="T200" i="15" s="1"/>
  <c r="T201" i="15"/>
  <c r="S201" i="15"/>
  <c r="S202" i="15"/>
  <c r="T202" i="15" s="1"/>
  <c r="S203" i="15"/>
  <c r="T203" i="15" s="1"/>
  <c r="T204" i="15"/>
  <c r="S204" i="15"/>
  <c r="T205" i="15"/>
  <c r="S205" i="15"/>
  <c r="S206" i="15"/>
  <c r="T206" i="15" s="1"/>
  <c r="T207" i="15"/>
  <c r="S207" i="15"/>
  <c r="S208" i="15"/>
  <c r="T208" i="15" s="1"/>
  <c r="S209" i="15"/>
  <c r="T209" i="15" s="1"/>
  <c r="T210" i="15"/>
  <c r="S210" i="15"/>
  <c r="S211" i="15"/>
  <c r="T211" i="15" s="1"/>
  <c r="S212" i="15"/>
  <c r="T212" i="15" s="1"/>
  <c r="T213" i="15"/>
  <c r="S213" i="15"/>
  <c r="T214" i="15"/>
  <c r="S214" i="15"/>
  <c r="S215" i="15"/>
  <c r="T215" i="15" s="1"/>
  <c r="T216" i="15"/>
  <c r="S216" i="15"/>
  <c r="S217" i="15"/>
  <c r="T217" i="15" s="1"/>
  <c r="S218" i="15"/>
  <c r="T218" i="15" s="1"/>
  <c r="T219" i="15"/>
  <c r="S219" i="15"/>
  <c r="S220" i="15"/>
  <c r="T220" i="15" s="1"/>
  <c r="S221" i="15"/>
  <c r="T221" i="15" s="1"/>
  <c r="T222" i="15"/>
  <c r="S222" i="15"/>
  <c r="T223" i="15"/>
  <c r="S223" i="15"/>
  <c r="S224" i="15"/>
  <c r="T224" i="15" s="1"/>
  <c r="T225" i="15"/>
  <c r="S225" i="15"/>
  <c r="S226" i="15"/>
  <c r="T226" i="15" s="1"/>
  <c r="S227" i="15"/>
  <c r="T227" i="15" s="1"/>
  <c r="T228" i="15"/>
  <c r="S228" i="15"/>
  <c r="S229" i="15"/>
  <c r="T229" i="15" s="1"/>
  <c r="S230" i="15"/>
  <c r="T230" i="15" s="1"/>
  <c r="T231" i="15"/>
  <c r="S231" i="15"/>
  <c r="T232" i="15"/>
  <c r="S232" i="15"/>
  <c r="S233" i="15"/>
  <c r="T233" i="15" s="1"/>
  <c r="T234" i="15"/>
  <c r="S234" i="15"/>
  <c r="S235" i="15"/>
  <c r="T235" i="15" s="1"/>
  <c r="S236" i="15"/>
  <c r="T236" i="15" s="1"/>
  <c r="T237" i="15"/>
  <c r="S237" i="15"/>
  <c r="S238" i="15"/>
  <c r="T238" i="15" s="1"/>
  <c r="S239" i="15"/>
  <c r="T239" i="15" s="1"/>
  <c r="T240" i="15"/>
  <c r="S240" i="15"/>
  <c r="T241" i="15"/>
  <c r="S241" i="15"/>
  <c r="S242" i="15"/>
  <c r="T242" i="15" s="1"/>
  <c r="T243" i="15"/>
  <c r="S243" i="15"/>
  <c r="S244" i="15"/>
  <c r="T244" i="15" s="1"/>
  <c r="S245" i="15"/>
  <c r="T245" i="15" s="1"/>
  <c r="T246" i="15"/>
  <c r="S246" i="15"/>
  <c r="S247" i="15"/>
  <c r="T247" i="15" s="1"/>
  <c r="S248" i="15"/>
  <c r="T248" i="15" s="1"/>
  <c r="T249" i="15"/>
  <c r="S249" i="15"/>
  <c r="T250" i="15"/>
  <c r="S250" i="15"/>
  <c r="S251" i="15"/>
  <c r="T251" i="15" s="1"/>
  <c r="T252" i="15"/>
  <c r="S252" i="15"/>
  <c r="S253" i="15"/>
  <c r="T253" i="15" s="1"/>
  <c r="S254" i="15"/>
  <c r="T254" i="15" s="1"/>
  <c r="S255" i="15"/>
  <c r="T255" i="15" s="1"/>
  <c r="S256" i="15"/>
  <c r="T256" i="15" s="1"/>
  <c r="T257" i="15"/>
  <c r="S257" i="15"/>
  <c r="S258" i="15"/>
  <c r="T258" i="15" s="1"/>
  <c r="S259" i="15"/>
  <c r="T259" i="15" s="1"/>
  <c r="T260" i="15"/>
  <c r="S260" i="15"/>
  <c r="S261" i="15"/>
  <c r="T261" i="15" s="1"/>
  <c r="S262" i="15"/>
  <c r="T262" i="15" s="1"/>
  <c r="T263" i="15"/>
  <c r="S263" i="15"/>
  <c r="S264" i="15"/>
  <c r="T264" i="15" s="1"/>
  <c r="S265" i="15"/>
  <c r="T265" i="15" s="1"/>
  <c r="T266" i="15"/>
  <c r="S266" i="15"/>
  <c r="S267" i="15"/>
  <c r="T267" i="15" s="1"/>
  <c r="S268" i="15"/>
  <c r="T268" i="15" s="1"/>
  <c r="T269" i="15"/>
  <c r="S269" i="15"/>
  <c r="S270" i="15"/>
  <c r="T270" i="15" s="1"/>
  <c r="S271" i="15"/>
  <c r="T271" i="15" s="1"/>
  <c r="T272" i="15"/>
  <c r="S272" i="15"/>
  <c r="S273" i="15"/>
  <c r="T273" i="15" s="1"/>
  <c r="S274" i="15"/>
  <c r="T274" i="15" s="1"/>
  <c r="T275" i="15"/>
  <c r="S275" i="15"/>
  <c r="S276" i="15"/>
  <c r="T276" i="15" s="1"/>
  <c r="S277" i="15"/>
  <c r="T277" i="15" s="1"/>
  <c r="T278" i="15"/>
  <c r="S278" i="15"/>
  <c r="S279" i="15"/>
  <c r="T279" i="15" s="1"/>
  <c r="S280" i="15"/>
  <c r="T280" i="15" s="1"/>
  <c r="T281" i="15"/>
  <c r="S281" i="15"/>
  <c r="S282" i="15"/>
  <c r="T282" i="15" s="1"/>
  <c r="S283" i="15"/>
  <c r="T283" i="15" s="1"/>
  <c r="T284" i="15"/>
  <c r="S284" i="15"/>
  <c r="S285" i="15"/>
  <c r="T285" i="15" s="1"/>
  <c r="S286" i="15"/>
  <c r="T286" i="15" s="1"/>
  <c r="T287" i="15"/>
  <c r="S287" i="15"/>
  <c r="S288" i="15"/>
  <c r="T288" i="15" s="1"/>
  <c r="S289" i="15"/>
  <c r="T289" i="15" s="1"/>
  <c r="T290" i="15"/>
  <c r="S290" i="15"/>
  <c r="S291" i="15"/>
  <c r="T291" i="15" s="1"/>
  <c r="S292" i="15"/>
  <c r="T292" i="15" s="1"/>
  <c r="T293" i="15"/>
  <c r="S293" i="15"/>
  <c r="S294" i="15"/>
  <c r="T294" i="15" s="1"/>
  <c r="S295" i="15"/>
  <c r="T295" i="15" s="1"/>
  <c r="T296" i="15"/>
  <c r="S296" i="15"/>
  <c r="S297" i="15"/>
  <c r="T297" i="15" s="1"/>
  <c r="S298" i="15"/>
  <c r="T298" i="15" s="1"/>
  <c r="T299" i="15"/>
  <c r="S299" i="15"/>
  <c r="S300" i="15"/>
  <c r="T300" i="15" s="1"/>
  <c r="S301" i="15"/>
  <c r="T301" i="15" s="1"/>
  <c r="T302" i="15"/>
  <c r="S302" i="15"/>
  <c r="S303" i="15"/>
  <c r="T303" i="15" s="1"/>
  <c r="S304" i="15"/>
  <c r="T304" i="15" s="1"/>
  <c r="T305" i="15"/>
  <c r="S305" i="15"/>
  <c r="S306" i="15"/>
  <c r="T306" i="15" s="1"/>
  <c r="S307" i="15"/>
  <c r="T307" i="15" s="1"/>
  <c r="T308" i="15"/>
  <c r="S308" i="15"/>
  <c r="S309" i="15"/>
  <c r="T309" i="15" s="1"/>
  <c r="S310" i="15"/>
  <c r="T310" i="15" s="1"/>
  <c r="T311" i="15"/>
  <c r="S311" i="15"/>
  <c r="S312" i="15"/>
  <c r="T312" i="15" s="1"/>
  <c r="S313" i="15"/>
  <c r="T313" i="15" s="1"/>
  <c r="T314" i="15"/>
  <c r="S314" i="15"/>
  <c r="S315" i="15"/>
  <c r="T315" i="15" s="1"/>
  <c r="S316" i="15"/>
  <c r="T316" i="15" s="1"/>
  <c r="T317" i="15"/>
  <c r="S317" i="15"/>
  <c r="S318" i="15"/>
  <c r="T318" i="15" s="1"/>
  <c r="S319" i="15"/>
  <c r="T319" i="15" s="1"/>
  <c r="T320" i="15"/>
  <c r="S320" i="15"/>
  <c r="S321" i="15"/>
  <c r="T321" i="15" s="1"/>
  <c r="S322" i="15"/>
  <c r="T322" i="15" s="1"/>
  <c r="T323" i="15"/>
  <c r="S323" i="15"/>
  <c r="S324" i="15"/>
  <c r="T324" i="15" s="1"/>
  <c r="S325" i="15"/>
  <c r="T325" i="15" s="1"/>
  <c r="T326" i="15"/>
  <c r="S326" i="15"/>
  <c r="S327" i="15"/>
  <c r="T327" i="15" s="1"/>
  <c r="S328" i="15"/>
  <c r="T328" i="15" s="1"/>
  <c r="T329" i="15"/>
  <c r="S329" i="15"/>
  <c r="S330" i="15"/>
  <c r="T330" i="15" s="1"/>
  <c r="S331" i="15"/>
  <c r="T331" i="15" s="1"/>
  <c r="T332" i="15"/>
  <c r="S332" i="15"/>
  <c r="S333" i="15"/>
  <c r="T333" i="15" s="1"/>
  <c r="S334" i="15"/>
  <c r="T334" i="15" s="1"/>
  <c r="T335" i="15"/>
  <c r="S335" i="15"/>
  <c r="S336" i="15"/>
  <c r="T336" i="15" s="1"/>
  <c r="S337" i="15"/>
  <c r="T337" i="15" s="1"/>
  <c r="T338" i="15"/>
  <c r="S338" i="15"/>
  <c r="S339" i="15"/>
  <c r="T339" i="15" s="1"/>
  <c r="S340" i="15"/>
  <c r="T340" i="15" s="1"/>
  <c r="T341" i="15"/>
  <c r="S341" i="15"/>
  <c r="S342" i="15"/>
  <c r="T342" i="15" s="1"/>
  <c r="S343" i="15"/>
  <c r="T343" i="15" s="1"/>
  <c r="T344" i="15"/>
  <c r="S344" i="15"/>
  <c r="S345" i="15"/>
  <c r="T345" i="15" s="1"/>
  <c r="T346" i="15"/>
  <c r="S346" i="15"/>
  <c r="T347" i="15"/>
  <c r="S347" i="15"/>
  <c r="S348" i="15"/>
  <c r="T348" i="15" s="1"/>
  <c r="T349" i="15"/>
  <c r="S349" i="15"/>
  <c r="T350" i="15"/>
  <c r="S350" i="15"/>
  <c r="S351" i="15"/>
  <c r="T351" i="15" s="1"/>
  <c r="T352" i="15"/>
  <c r="S352" i="15"/>
  <c r="T353" i="15"/>
  <c r="S353" i="15"/>
  <c r="S354" i="15"/>
  <c r="T354" i="15" s="1"/>
  <c r="T355" i="15"/>
  <c r="S355" i="15"/>
  <c r="T356" i="15"/>
  <c r="S356" i="15"/>
  <c r="S357" i="15"/>
  <c r="T357" i="15" s="1"/>
  <c r="T358" i="15"/>
  <c r="S358" i="15"/>
  <c r="T359" i="15"/>
  <c r="S359" i="15"/>
  <c r="S360" i="15"/>
  <c r="T360" i="15" s="1"/>
  <c r="T361" i="15"/>
  <c r="S361" i="15"/>
  <c r="T362" i="15"/>
  <c r="S362" i="15"/>
  <c r="S363" i="15"/>
  <c r="T363" i="15" s="1"/>
  <c r="T364" i="15"/>
  <c r="S364" i="15"/>
  <c r="T365" i="15"/>
  <c r="S365" i="15"/>
  <c r="S366" i="15"/>
  <c r="T366" i="15" s="1"/>
  <c r="T367" i="15"/>
  <c r="S367" i="15"/>
  <c r="T368" i="15"/>
  <c r="S368" i="15"/>
  <c r="S369" i="15"/>
  <c r="T369" i="15" s="1"/>
  <c r="T370" i="15"/>
  <c r="S370" i="15"/>
  <c r="T371" i="15"/>
  <c r="S371" i="15"/>
  <c r="S372" i="15"/>
  <c r="T372" i="15" s="1"/>
  <c r="T373" i="15"/>
  <c r="S373" i="15"/>
  <c r="T374" i="15"/>
  <c r="S374" i="15"/>
  <c r="S375" i="15"/>
  <c r="T375" i="15" s="1"/>
  <c r="T376" i="15"/>
  <c r="S376" i="15"/>
  <c r="T377" i="15"/>
  <c r="S377" i="15"/>
  <c r="S378" i="15"/>
  <c r="T378" i="15" s="1"/>
  <c r="T379" i="15"/>
  <c r="S379" i="15"/>
  <c r="T380" i="15"/>
  <c r="S380" i="15"/>
  <c r="S381" i="15"/>
  <c r="T381" i="15" s="1"/>
  <c r="T382" i="15"/>
  <c r="S382" i="15"/>
  <c r="T383" i="15"/>
  <c r="S383" i="15"/>
  <c r="S384" i="15"/>
  <c r="T384" i="15" s="1"/>
  <c r="T385" i="15"/>
  <c r="S385" i="15"/>
  <c r="T386" i="15"/>
  <c r="S386" i="15"/>
  <c r="S387" i="15"/>
  <c r="T387" i="15" s="1"/>
  <c r="T388" i="15"/>
  <c r="S388" i="15"/>
  <c r="T389" i="15"/>
  <c r="S389" i="15"/>
  <c r="S390" i="15"/>
  <c r="T390" i="15" s="1"/>
  <c r="T391" i="15"/>
  <c r="S391" i="15"/>
  <c r="T392" i="15"/>
  <c r="S392" i="15"/>
  <c r="S393" i="15"/>
  <c r="T393" i="15" s="1"/>
  <c r="T394" i="15"/>
  <c r="S394" i="15"/>
  <c r="S395" i="15"/>
  <c r="T395" i="15" s="1"/>
  <c r="S396" i="15"/>
  <c r="T396" i="15" s="1"/>
  <c r="T397" i="15"/>
  <c r="S397" i="15"/>
  <c r="T398" i="15"/>
  <c r="S398" i="15"/>
  <c r="S399" i="15"/>
  <c r="T399" i="15" s="1"/>
  <c r="T400" i="15"/>
  <c r="S400" i="15"/>
  <c r="S401" i="15"/>
  <c r="T401" i="15" s="1"/>
  <c r="S402" i="15"/>
  <c r="T402" i="15" s="1"/>
  <c r="T403" i="15"/>
  <c r="S403" i="15"/>
  <c r="S404" i="15"/>
  <c r="T404" i="15" s="1"/>
  <c r="S405" i="15"/>
  <c r="T405" i="15" s="1"/>
  <c r="S406" i="15"/>
  <c r="T406" i="15" s="1"/>
  <c r="T407" i="15"/>
  <c r="S407" i="15"/>
  <c r="S408" i="15"/>
  <c r="T408" i="15" s="1"/>
  <c r="S409" i="15"/>
  <c r="T409" i="15" s="1"/>
  <c r="T410" i="15"/>
  <c r="S410" i="15"/>
  <c r="S411" i="15"/>
  <c r="T411" i="15" s="1"/>
  <c r="S412" i="15"/>
  <c r="T412" i="15" s="1"/>
  <c r="T413" i="15"/>
  <c r="S413" i="15"/>
  <c r="S414" i="15"/>
  <c r="T414" i="15" s="1"/>
  <c r="S415" i="15"/>
  <c r="T415" i="15" s="1"/>
  <c r="T416" i="15"/>
  <c r="S416" i="15"/>
  <c r="S417" i="15"/>
  <c r="T417" i="15" s="1"/>
  <c r="S418" i="15"/>
  <c r="T418" i="15" s="1"/>
  <c r="T419" i="15"/>
  <c r="S419" i="15"/>
  <c r="S420" i="15"/>
  <c r="T420" i="15" s="1"/>
  <c r="S421" i="15"/>
  <c r="T421" i="15" s="1"/>
  <c r="T422" i="15"/>
  <c r="S422" i="15"/>
  <c r="S423" i="15"/>
  <c r="T423" i="15" s="1"/>
  <c r="S424" i="15"/>
  <c r="T424" i="15" s="1"/>
  <c r="T425" i="15"/>
  <c r="S425" i="15"/>
  <c r="S426" i="15"/>
  <c r="T426" i="15" s="1"/>
  <c r="S427" i="15"/>
  <c r="T427" i="15" s="1"/>
  <c r="T428" i="15"/>
  <c r="S428" i="15"/>
  <c r="S429" i="15"/>
  <c r="T429" i="15" s="1"/>
  <c r="S430" i="15"/>
  <c r="T430" i="15" s="1"/>
  <c r="T431" i="15"/>
  <c r="S431" i="15"/>
  <c r="S432" i="15"/>
  <c r="T432" i="15" s="1"/>
  <c r="S433" i="15"/>
  <c r="T433" i="15" s="1"/>
  <c r="T434" i="15"/>
  <c r="S434" i="15"/>
  <c r="S435" i="15"/>
  <c r="T435" i="15" s="1"/>
  <c r="S436" i="15"/>
  <c r="T436" i="15" s="1"/>
  <c r="T437" i="15"/>
  <c r="S437" i="15"/>
  <c r="S438" i="15"/>
  <c r="T438" i="15" s="1"/>
  <c r="S439" i="15"/>
  <c r="T439" i="15" s="1"/>
  <c r="T440" i="15"/>
  <c r="S440" i="15"/>
  <c r="S441" i="15"/>
  <c r="T441" i="15" s="1"/>
  <c r="S442" i="15"/>
  <c r="T442" i="15" s="1"/>
  <c r="T443" i="15"/>
  <c r="S443" i="15"/>
  <c r="S444" i="15"/>
  <c r="T444" i="15" s="1"/>
  <c r="S445" i="15"/>
  <c r="T445" i="15" s="1"/>
  <c r="T446" i="15"/>
  <c r="S446" i="15"/>
  <c r="S447" i="15"/>
  <c r="T447" i="15" s="1"/>
  <c r="S448" i="15"/>
  <c r="T448" i="15" s="1"/>
  <c r="T449" i="15"/>
  <c r="S449" i="15"/>
  <c r="S450" i="15"/>
  <c r="T450" i="15" s="1"/>
  <c r="S451" i="15"/>
  <c r="T451" i="15" s="1"/>
  <c r="T452" i="15"/>
  <c r="S452" i="15"/>
  <c r="S453" i="15"/>
  <c r="T453" i="15" s="1"/>
  <c r="S454" i="15"/>
  <c r="T454" i="15" s="1"/>
  <c r="T455" i="15"/>
  <c r="S455" i="15"/>
  <c r="S456" i="15"/>
  <c r="T456" i="15" s="1"/>
  <c r="S457" i="15"/>
  <c r="T457" i="15" s="1"/>
  <c r="T458" i="15"/>
  <c r="S458" i="15"/>
  <c r="S459" i="15"/>
  <c r="T459" i="15" s="1"/>
  <c r="S460" i="15"/>
  <c r="T460" i="15" s="1"/>
  <c r="T461" i="15"/>
  <c r="S461" i="15"/>
  <c r="S462" i="15"/>
  <c r="T462" i="15" s="1"/>
  <c r="S463" i="15"/>
  <c r="T463" i="15" s="1"/>
  <c r="T464" i="15"/>
  <c r="S464" i="15"/>
  <c r="S465" i="15"/>
  <c r="T465" i="15" s="1"/>
  <c r="S466" i="15"/>
  <c r="T466" i="15" s="1"/>
  <c r="T467" i="15"/>
  <c r="S467" i="15"/>
  <c r="S468" i="15"/>
  <c r="T468" i="15" s="1"/>
  <c r="S469" i="15"/>
  <c r="T469" i="15" s="1"/>
  <c r="T470" i="15"/>
  <c r="S470" i="15"/>
  <c r="S471" i="15"/>
  <c r="T471" i="15" s="1"/>
  <c r="S472" i="15"/>
  <c r="T472" i="15" s="1"/>
  <c r="T473" i="15"/>
  <c r="S473" i="15"/>
  <c r="S474" i="15"/>
  <c r="T474" i="15" s="1"/>
  <c r="S475" i="15"/>
  <c r="T475" i="15" s="1"/>
  <c r="T476" i="15"/>
  <c r="S476" i="15"/>
  <c r="S477" i="15"/>
  <c r="T477" i="15" s="1"/>
  <c r="S478" i="15"/>
  <c r="T478" i="15" s="1"/>
  <c r="T479" i="15"/>
  <c r="S479" i="15"/>
  <c r="S480" i="15"/>
  <c r="T480" i="15" s="1"/>
  <c r="S481" i="15"/>
  <c r="T481" i="15" s="1"/>
  <c r="T482" i="15"/>
  <c r="S482" i="15"/>
  <c r="S483" i="15"/>
  <c r="T483" i="15" s="1"/>
  <c r="S484" i="15"/>
  <c r="T484" i="15" s="1"/>
  <c r="T485" i="15"/>
  <c r="S485" i="15"/>
  <c r="S486" i="15"/>
  <c r="T486" i="15" s="1"/>
  <c r="S487" i="15"/>
  <c r="T487" i="15" s="1"/>
  <c r="T488" i="15"/>
  <c r="S488" i="15"/>
  <c r="S489" i="15"/>
  <c r="T489" i="15" s="1"/>
  <c r="S490" i="15"/>
  <c r="T490" i="15" s="1"/>
  <c r="T491" i="15"/>
  <c r="S491" i="15"/>
  <c r="S492" i="15"/>
  <c r="T492" i="15" s="1"/>
  <c r="S493" i="15"/>
  <c r="T493" i="15" s="1"/>
  <c r="T494" i="15"/>
  <c r="S494" i="15"/>
  <c r="S495" i="15"/>
  <c r="T495" i="15" s="1"/>
  <c r="S496" i="15"/>
  <c r="T496" i="15" s="1"/>
  <c r="T497" i="15"/>
  <c r="S497" i="15"/>
  <c r="S498" i="15"/>
  <c r="T498" i="15" s="1"/>
  <c r="S499" i="15"/>
  <c r="T499" i="15" s="1"/>
  <c r="T500" i="15"/>
  <c r="S500" i="15"/>
  <c r="S501" i="15"/>
  <c r="T501" i="15" s="1"/>
  <c r="S502" i="15"/>
  <c r="T502" i="15" s="1"/>
  <c r="T503" i="15"/>
  <c r="S503" i="15"/>
  <c r="B21" i="23" l="1"/>
  <c r="O2" i="15"/>
  <c r="B20" i="23" a="1"/>
  <c r="B20" i="23" s="1"/>
  <c r="B19" i="23" a="1"/>
  <c r="B19" i="23" s="1"/>
  <c r="T35" i="15"/>
  <c r="T26" i="15"/>
  <c r="T20" i="15"/>
  <c r="T11" i="15"/>
  <c r="T2" i="15"/>
  <c r="T29" i="15"/>
  <c r="T17" i="15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BM528" i="12"/>
  <c r="BL528" i="12"/>
  <c r="F528" i="12"/>
  <c r="E528" i="12"/>
  <c r="BM527" i="12"/>
  <c r="F527" i="12"/>
  <c r="E527" i="12"/>
  <c r="D527" i="12"/>
  <c r="BM526" i="12"/>
  <c r="F526" i="12"/>
  <c r="E526" i="12"/>
  <c r="D526" i="12"/>
  <c r="BM525" i="12"/>
  <c r="F525" i="12"/>
  <c r="E525" i="12"/>
  <c r="D525" i="12"/>
  <c r="BM524" i="12"/>
  <c r="F524" i="12"/>
  <c r="E524" i="12"/>
  <c r="D524" i="12"/>
  <c r="BM523" i="12"/>
  <c r="F523" i="12"/>
  <c r="E523" i="12"/>
  <c r="D523" i="12"/>
  <c r="BM522" i="12"/>
  <c r="F522" i="12"/>
  <c r="D522" i="12"/>
  <c r="BM521" i="12"/>
  <c r="F521" i="12"/>
  <c r="D521" i="12"/>
  <c r="BM520" i="12"/>
  <c r="F520" i="12"/>
  <c r="D520" i="12"/>
  <c r="BM519" i="12"/>
  <c r="F519" i="12"/>
  <c r="D519" i="12"/>
  <c r="BM518" i="12"/>
  <c r="F518" i="12"/>
  <c r="D518" i="12"/>
  <c r="BM517" i="12"/>
  <c r="F517" i="12"/>
  <c r="D517" i="12"/>
  <c r="BM516" i="12"/>
  <c r="F516" i="12"/>
  <c r="D516" i="12"/>
  <c r="BM515" i="12"/>
  <c r="F515" i="12"/>
  <c r="D515" i="12"/>
  <c r="BM514" i="12"/>
  <c r="F514" i="12"/>
  <c r="D514" i="12"/>
  <c r="BM513" i="12"/>
  <c r="F513" i="12"/>
  <c r="D513" i="12"/>
  <c r="BM512" i="12"/>
  <c r="F512" i="12"/>
  <c r="D512" i="12"/>
  <c r="BM511" i="12"/>
  <c r="F511" i="12"/>
  <c r="D511" i="12"/>
  <c r="BM510" i="12"/>
  <c r="F510" i="12"/>
  <c r="D510" i="12"/>
  <c r="BM509" i="12"/>
  <c r="F509" i="12"/>
  <c r="D509" i="12"/>
  <c r="BM508" i="12"/>
  <c r="F508" i="12"/>
  <c r="D508" i="12"/>
  <c r="BM507" i="12"/>
  <c r="F507" i="12"/>
  <c r="D507" i="12"/>
  <c r="BM506" i="12"/>
  <c r="F506" i="12"/>
  <c r="D506" i="12"/>
  <c r="BM505" i="12"/>
  <c r="F505" i="12"/>
  <c r="D505" i="12"/>
  <c r="BR504" i="12"/>
  <c r="BM504" i="12"/>
  <c r="F504" i="12"/>
  <c r="D504" i="12"/>
  <c r="BR503" i="12"/>
  <c r="BM503" i="12"/>
  <c r="F503" i="12"/>
  <c r="D503" i="12"/>
  <c r="BR502" i="12"/>
  <c r="BM502" i="12"/>
  <c r="F502" i="12"/>
  <c r="D502" i="12"/>
  <c r="BR501" i="12"/>
  <c r="BM501" i="12"/>
  <c r="F501" i="12"/>
  <c r="D501" i="12"/>
  <c r="BR500" i="12"/>
  <c r="BM500" i="12"/>
  <c r="F500" i="12"/>
  <c r="D500" i="12"/>
  <c r="BR499" i="12"/>
  <c r="BM499" i="12"/>
  <c r="F499" i="12"/>
  <c r="D499" i="12"/>
  <c r="BR498" i="12"/>
  <c r="BM498" i="12"/>
  <c r="F498" i="12"/>
  <c r="D498" i="12"/>
  <c r="BR497" i="12"/>
  <c r="BM497" i="12"/>
  <c r="F497" i="12"/>
  <c r="D497" i="12"/>
  <c r="BR496" i="12"/>
  <c r="BM496" i="12"/>
  <c r="F496" i="12"/>
  <c r="D496" i="12"/>
  <c r="BR495" i="12"/>
  <c r="BM495" i="12"/>
  <c r="F495" i="12"/>
  <c r="D495" i="12"/>
  <c r="BR494" i="12"/>
  <c r="BM494" i="12"/>
  <c r="F494" i="12"/>
  <c r="D494" i="12"/>
  <c r="BR493" i="12"/>
  <c r="BM493" i="12"/>
  <c r="F493" i="12"/>
  <c r="D493" i="12"/>
  <c r="BR492" i="12"/>
  <c r="BM492" i="12"/>
  <c r="F492" i="12"/>
  <c r="D492" i="12"/>
  <c r="BR491" i="12"/>
  <c r="BM491" i="12"/>
  <c r="F491" i="12"/>
  <c r="D491" i="12"/>
  <c r="BR490" i="12"/>
  <c r="BM490" i="12"/>
  <c r="F490" i="12"/>
  <c r="D490" i="12"/>
  <c r="BR489" i="12"/>
  <c r="BM489" i="12"/>
  <c r="F489" i="12"/>
  <c r="D489" i="12"/>
  <c r="BR488" i="12"/>
  <c r="BM488" i="12"/>
  <c r="F488" i="12"/>
  <c r="D488" i="12"/>
  <c r="BR487" i="12"/>
  <c r="BM487" i="12"/>
  <c r="F487" i="12"/>
  <c r="D487" i="12"/>
  <c r="BR486" i="12"/>
  <c r="BM486" i="12"/>
  <c r="F486" i="12"/>
  <c r="D486" i="12"/>
  <c r="BR485" i="12"/>
  <c r="BM485" i="12"/>
  <c r="F485" i="12"/>
  <c r="D485" i="12"/>
  <c r="BR484" i="12"/>
  <c r="BM484" i="12"/>
  <c r="F484" i="12"/>
  <c r="D484" i="12"/>
  <c r="BR483" i="12"/>
  <c r="BM483" i="12"/>
  <c r="F483" i="12"/>
  <c r="D483" i="12"/>
  <c r="BR482" i="12"/>
  <c r="BM482" i="12"/>
  <c r="F482" i="12"/>
  <c r="D482" i="12"/>
  <c r="BR481" i="12"/>
  <c r="BM481" i="12"/>
  <c r="F481" i="12"/>
  <c r="D481" i="12"/>
  <c r="BR480" i="12"/>
  <c r="BM480" i="12"/>
  <c r="F480" i="12"/>
  <c r="D480" i="12"/>
  <c r="BR479" i="12"/>
  <c r="BM479" i="12"/>
  <c r="F479" i="12"/>
  <c r="D479" i="12"/>
  <c r="BR478" i="12"/>
  <c r="BM478" i="12"/>
  <c r="F478" i="12"/>
  <c r="D478" i="12"/>
  <c r="BR477" i="12"/>
  <c r="BM477" i="12"/>
  <c r="F477" i="12"/>
  <c r="D477" i="12"/>
  <c r="BR476" i="12"/>
  <c r="BM476" i="12"/>
  <c r="F476" i="12"/>
  <c r="D476" i="12"/>
  <c r="BR475" i="12"/>
  <c r="BM475" i="12"/>
  <c r="F475" i="12"/>
  <c r="D475" i="12"/>
  <c r="BR474" i="12"/>
  <c r="BM474" i="12"/>
  <c r="F474" i="12"/>
  <c r="D474" i="12"/>
  <c r="BR473" i="12"/>
  <c r="BM473" i="12"/>
  <c r="F473" i="12"/>
  <c r="D473" i="12"/>
  <c r="BR472" i="12"/>
  <c r="BM472" i="12"/>
  <c r="F472" i="12"/>
  <c r="D472" i="12"/>
  <c r="BR471" i="12"/>
  <c r="BM471" i="12"/>
  <c r="F471" i="12"/>
  <c r="D471" i="12"/>
  <c r="BR470" i="12"/>
  <c r="BM470" i="12"/>
  <c r="F470" i="12"/>
  <c r="D470" i="12"/>
  <c r="BR469" i="12"/>
  <c r="BM469" i="12"/>
  <c r="F469" i="12"/>
  <c r="D469" i="12"/>
  <c r="BR468" i="12"/>
  <c r="BM468" i="12"/>
  <c r="F468" i="12"/>
  <c r="D468" i="12"/>
  <c r="BR467" i="12"/>
  <c r="BM467" i="12"/>
  <c r="F467" i="12"/>
  <c r="D467" i="12"/>
  <c r="BR466" i="12"/>
  <c r="BM466" i="12"/>
  <c r="F466" i="12"/>
  <c r="D466" i="12"/>
  <c r="BR465" i="12"/>
  <c r="BM465" i="12"/>
  <c r="F465" i="12"/>
  <c r="D465" i="12"/>
  <c r="BR464" i="12"/>
  <c r="BM464" i="12"/>
  <c r="F464" i="12"/>
  <c r="D464" i="12"/>
  <c r="BR463" i="12"/>
  <c r="BM463" i="12"/>
  <c r="F463" i="12"/>
  <c r="D463" i="12"/>
  <c r="BR462" i="12"/>
  <c r="BM462" i="12"/>
  <c r="F462" i="12"/>
  <c r="D462" i="12"/>
  <c r="BR461" i="12"/>
  <c r="BM461" i="12"/>
  <c r="F461" i="12"/>
  <c r="D461" i="12"/>
  <c r="BR460" i="12"/>
  <c r="BM460" i="12"/>
  <c r="F460" i="12"/>
  <c r="D460" i="12"/>
  <c r="BR459" i="12"/>
  <c r="BM459" i="12"/>
  <c r="F459" i="12"/>
  <c r="D459" i="12"/>
  <c r="BR458" i="12"/>
  <c r="BM458" i="12"/>
  <c r="F458" i="12"/>
  <c r="D458" i="12"/>
  <c r="BR457" i="12"/>
  <c r="BM457" i="12"/>
  <c r="F457" i="12"/>
  <c r="D457" i="12"/>
  <c r="BR456" i="12"/>
  <c r="BM456" i="12"/>
  <c r="F456" i="12"/>
  <c r="D456" i="12"/>
  <c r="BR455" i="12"/>
  <c r="BM455" i="12"/>
  <c r="F455" i="12"/>
  <c r="D455" i="12"/>
  <c r="BR454" i="12"/>
  <c r="BM454" i="12"/>
  <c r="F454" i="12"/>
  <c r="D454" i="12"/>
  <c r="BR453" i="12"/>
  <c r="BM453" i="12"/>
  <c r="F453" i="12"/>
  <c r="D453" i="12"/>
  <c r="BR452" i="12"/>
  <c r="BM452" i="12"/>
  <c r="F452" i="12"/>
  <c r="D452" i="12"/>
  <c r="BR451" i="12"/>
  <c r="BM451" i="12"/>
  <c r="F451" i="12"/>
  <c r="D451" i="12"/>
  <c r="BR450" i="12"/>
  <c r="BM450" i="12"/>
  <c r="F450" i="12"/>
  <c r="D450" i="12"/>
  <c r="BR449" i="12"/>
  <c r="BM449" i="12"/>
  <c r="F449" i="12"/>
  <c r="D449" i="12"/>
  <c r="BR448" i="12"/>
  <c r="BM448" i="12"/>
  <c r="F448" i="12"/>
  <c r="D448" i="12"/>
  <c r="BR447" i="12"/>
  <c r="BM447" i="12"/>
  <c r="F447" i="12"/>
  <c r="D447" i="12"/>
  <c r="BR446" i="12"/>
  <c r="BM446" i="12"/>
  <c r="F446" i="12"/>
  <c r="D446" i="12"/>
  <c r="BR445" i="12"/>
  <c r="BM445" i="12"/>
  <c r="F445" i="12"/>
  <c r="D445" i="12"/>
  <c r="BR444" i="12"/>
  <c r="BM444" i="12"/>
  <c r="F444" i="12"/>
  <c r="D444" i="12"/>
  <c r="BR443" i="12"/>
  <c r="BM443" i="12"/>
  <c r="F443" i="12"/>
  <c r="D443" i="12"/>
  <c r="BR442" i="12"/>
  <c r="BM442" i="12"/>
  <c r="F442" i="12"/>
  <c r="D442" i="12"/>
  <c r="BR441" i="12"/>
  <c r="BM441" i="12"/>
  <c r="F441" i="12"/>
  <c r="D441" i="12"/>
  <c r="BR440" i="12"/>
  <c r="BM440" i="12"/>
  <c r="F440" i="12"/>
  <c r="D440" i="12"/>
  <c r="BR439" i="12"/>
  <c r="BM439" i="12"/>
  <c r="F439" i="12"/>
  <c r="D439" i="12"/>
  <c r="BR438" i="12"/>
  <c r="BM438" i="12"/>
  <c r="F438" i="12"/>
  <c r="D438" i="12"/>
  <c r="BR437" i="12"/>
  <c r="BM437" i="12"/>
  <c r="F437" i="12"/>
  <c r="D437" i="12"/>
  <c r="BR436" i="12"/>
  <c r="BM436" i="12"/>
  <c r="F436" i="12"/>
  <c r="D436" i="12"/>
  <c r="BR435" i="12"/>
  <c r="BM435" i="12"/>
  <c r="F435" i="12"/>
  <c r="D435" i="12"/>
  <c r="BR434" i="12"/>
  <c r="BM434" i="12"/>
  <c r="F434" i="12"/>
  <c r="D434" i="12"/>
  <c r="BR433" i="12"/>
  <c r="BM433" i="12"/>
  <c r="F433" i="12"/>
  <c r="D433" i="12"/>
  <c r="BR432" i="12"/>
  <c r="BM432" i="12"/>
  <c r="F432" i="12"/>
  <c r="D432" i="12"/>
  <c r="BR431" i="12"/>
  <c r="BM431" i="12"/>
  <c r="F431" i="12"/>
  <c r="D431" i="12"/>
  <c r="BR430" i="12"/>
  <c r="BM430" i="12"/>
  <c r="F430" i="12"/>
  <c r="D430" i="12"/>
  <c r="BR429" i="12"/>
  <c r="BM429" i="12"/>
  <c r="F429" i="12"/>
  <c r="D429" i="12"/>
  <c r="BR428" i="12"/>
  <c r="BM428" i="12"/>
  <c r="F428" i="12"/>
  <c r="D428" i="12"/>
  <c r="BR427" i="12"/>
  <c r="BM427" i="12"/>
  <c r="F427" i="12"/>
  <c r="D427" i="12"/>
  <c r="BR426" i="12"/>
  <c r="BM426" i="12"/>
  <c r="F426" i="12"/>
  <c r="D426" i="12"/>
  <c r="BR425" i="12"/>
  <c r="BM425" i="12"/>
  <c r="F425" i="12"/>
  <c r="D425" i="12"/>
  <c r="BR424" i="12"/>
  <c r="BM424" i="12"/>
  <c r="F424" i="12"/>
  <c r="D424" i="12"/>
  <c r="BR423" i="12"/>
  <c r="BM423" i="12"/>
  <c r="F423" i="12"/>
  <c r="D423" i="12"/>
  <c r="BR422" i="12"/>
  <c r="BM422" i="12"/>
  <c r="F422" i="12"/>
  <c r="D422" i="12"/>
  <c r="BR421" i="12"/>
  <c r="BM421" i="12"/>
  <c r="F421" i="12"/>
  <c r="D421" i="12"/>
  <c r="BR420" i="12"/>
  <c r="BM420" i="12"/>
  <c r="F420" i="12"/>
  <c r="D420" i="12"/>
  <c r="BR419" i="12"/>
  <c r="BM419" i="12"/>
  <c r="F419" i="12"/>
  <c r="D419" i="12"/>
  <c r="BR418" i="12"/>
  <c r="BM418" i="12"/>
  <c r="F418" i="12"/>
  <c r="D418" i="12"/>
  <c r="BR417" i="12"/>
  <c r="BM417" i="12"/>
  <c r="F417" i="12"/>
  <c r="D417" i="12"/>
  <c r="BR416" i="12"/>
  <c r="BM416" i="12"/>
  <c r="F416" i="12"/>
  <c r="D416" i="12"/>
  <c r="BR415" i="12"/>
  <c r="BM415" i="12"/>
  <c r="F415" i="12"/>
  <c r="D415" i="12"/>
  <c r="BR414" i="12"/>
  <c r="BM414" i="12"/>
  <c r="F414" i="12"/>
  <c r="D414" i="12"/>
  <c r="BR413" i="12"/>
  <c r="BM413" i="12"/>
  <c r="F413" i="12"/>
  <c r="D413" i="12"/>
  <c r="BR412" i="12"/>
  <c r="BM412" i="12"/>
  <c r="F412" i="12"/>
  <c r="D412" i="12"/>
  <c r="BR411" i="12"/>
  <c r="BM411" i="12"/>
  <c r="F411" i="12"/>
  <c r="D411" i="12"/>
  <c r="BR410" i="12"/>
  <c r="BM410" i="12"/>
  <c r="F410" i="12"/>
  <c r="D410" i="12"/>
  <c r="BR409" i="12"/>
  <c r="BM409" i="12"/>
  <c r="F409" i="12"/>
  <c r="D409" i="12"/>
  <c r="BR408" i="12"/>
  <c r="BM408" i="12"/>
  <c r="F408" i="12"/>
  <c r="D408" i="12"/>
  <c r="BR407" i="12"/>
  <c r="BM407" i="12"/>
  <c r="F407" i="12"/>
  <c r="D407" i="12"/>
  <c r="BR406" i="12"/>
  <c r="BM406" i="12"/>
  <c r="F406" i="12"/>
  <c r="D406" i="12"/>
  <c r="BR405" i="12"/>
  <c r="BM405" i="12"/>
  <c r="F405" i="12"/>
  <c r="D405" i="12"/>
  <c r="BR404" i="12"/>
  <c r="BM404" i="12"/>
  <c r="F404" i="12"/>
  <c r="D404" i="12"/>
  <c r="BR403" i="12"/>
  <c r="BM403" i="12"/>
  <c r="F403" i="12"/>
  <c r="D403" i="12"/>
  <c r="BR402" i="12"/>
  <c r="BM402" i="12"/>
  <c r="F402" i="12"/>
  <c r="D402" i="12"/>
  <c r="BR401" i="12"/>
  <c r="BM401" i="12"/>
  <c r="F401" i="12"/>
  <c r="D401" i="12"/>
  <c r="BR400" i="12"/>
  <c r="BM400" i="12"/>
  <c r="F400" i="12"/>
  <c r="D400" i="12"/>
  <c r="BR399" i="12"/>
  <c r="BM399" i="12"/>
  <c r="F399" i="12"/>
  <c r="D399" i="12"/>
  <c r="BR398" i="12"/>
  <c r="BM398" i="12"/>
  <c r="F398" i="12"/>
  <c r="D398" i="12"/>
  <c r="BR397" i="12"/>
  <c r="BM397" i="12"/>
  <c r="F397" i="12"/>
  <c r="D397" i="12"/>
  <c r="BR396" i="12"/>
  <c r="BM396" i="12"/>
  <c r="F396" i="12"/>
  <c r="D396" i="12"/>
  <c r="BR395" i="12"/>
  <c r="BM395" i="12"/>
  <c r="F395" i="12"/>
  <c r="D395" i="12"/>
  <c r="BR394" i="12"/>
  <c r="BM394" i="12"/>
  <c r="F394" i="12"/>
  <c r="D394" i="12"/>
  <c r="BR393" i="12"/>
  <c r="BM393" i="12"/>
  <c r="F393" i="12"/>
  <c r="D393" i="12"/>
  <c r="BR392" i="12"/>
  <c r="BM392" i="12"/>
  <c r="F392" i="12"/>
  <c r="D392" i="12"/>
  <c r="BR391" i="12"/>
  <c r="BM391" i="12"/>
  <c r="F391" i="12"/>
  <c r="D391" i="12"/>
  <c r="BR390" i="12"/>
  <c r="BM390" i="12"/>
  <c r="F390" i="12"/>
  <c r="D390" i="12"/>
  <c r="BR389" i="12"/>
  <c r="BM389" i="12"/>
  <c r="F389" i="12"/>
  <c r="D389" i="12"/>
  <c r="BR388" i="12"/>
  <c r="BM388" i="12"/>
  <c r="F388" i="12"/>
  <c r="D388" i="12"/>
  <c r="BR387" i="12"/>
  <c r="BM387" i="12"/>
  <c r="F387" i="12"/>
  <c r="D387" i="12"/>
  <c r="BR386" i="12"/>
  <c r="BM386" i="12"/>
  <c r="F386" i="12"/>
  <c r="D386" i="12"/>
  <c r="BR385" i="12"/>
  <c r="BM385" i="12"/>
  <c r="F385" i="12"/>
  <c r="D385" i="12"/>
  <c r="BR384" i="12"/>
  <c r="BM384" i="12"/>
  <c r="F384" i="12"/>
  <c r="D384" i="12"/>
  <c r="BR383" i="12"/>
  <c r="BM383" i="12"/>
  <c r="F383" i="12"/>
  <c r="D383" i="12"/>
  <c r="BR382" i="12"/>
  <c r="BM382" i="12"/>
  <c r="F382" i="12"/>
  <c r="D382" i="12"/>
  <c r="BR381" i="12"/>
  <c r="BM381" i="12"/>
  <c r="F381" i="12"/>
  <c r="D381" i="12"/>
  <c r="BR380" i="12"/>
  <c r="BM380" i="12"/>
  <c r="F380" i="12"/>
  <c r="D380" i="12"/>
  <c r="BR379" i="12"/>
  <c r="BM379" i="12"/>
  <c r="F379" i="12"/>
  <c r="D379" i="12"/>
  <c r="BR378" i="12"/>
  <c r="BM378" i="12"/>
  <c r="F378" i="12"/>
  <c r="D378" i="12"/>
  <c r="BR377" i="12"/>
  <c r="BM377" i="12"/>
  <c r="F377" i="12"/>
  <c r="D377" i="12"/>
  <c r="BR376" i="12"/>
  <c r="BM376" i="12"/>
  <c r="F376" i="12"/>
  <c r="D376" i="12"/>
  <c r="BR375" i="12"/>
  <c r="BM375" i="12"/>
  <c r="F375" i="12"/>
  <c r="D375" i="12"/>
  <c r="BR374" i="12"/>
  <c r="BM374" i="12"/>
  <c r="F374" i="12"/>
  <c r="D374" i="12"/>
  <c r="BR373" i="12"/>
  <c r="BM373" i="12"/>
  <c r="F373" i="12"/>
  <c r="D373" i="12"/>
  <c r="BR372" i="12"/>
  <c r="BM372" i="12"/>
  <c r="F372" i="12"/>
  <c r="D372" i="12"/>
  <c r="BR371" i="12"/>
  <c r="BM371" i="12"/>
  <c r="F371" i="12"/>
  <c r="D371" i="12"/>
  <c r="BR370" i="12"/>
  <c r="BM370" i="12"/>
  <c r="F370" i="12"/>
  <c r="D370" i="12"/>
  <c r="BR369" i="12"/>
  <c r="BM369" i="12"/>
  <c r="F369" i="12"/>
  <c r="D369" i="12"/>
  <c r="BR368" i="12"/>
  <c r="BM368" i="12"/>
  <c r="F368" i="12"/>
  <c r="D368" i="12"/>
  <c r="BR367" i="12"/>
  <c r="BM367" i="12"/>
  <c r="F367" i="12"/>
  <c r="D367" i="12"/>
  <c r="BR366" i="12"/>
  <c r="BM366" i="12"/>
  <c r="F366" i="12"/>
  <c r="D366" i="12"/>
  <c r="BR365" i="12"/>
  <c r="BM365" i="12"/>
  <c r="F365" i="12"/>
  <c r="D365" i="12"/>
  <c r="BR364" i="12"/>
  <c r="BM364" i="12"/>
  <c r="F364" i="12"/>
  <c r="D364" i="12"/>
  <c r="BR363" i="12"/>
  <c r="BM363" i="12"/>
  <c r="F363" i="12"/>
  <c r="D363" i="12"/>
  <c r="BR362" i="12"/>
  <c r="BM362" i="12"/>
  <c r="F362" i="12"/>
  <c r="D362" i="12"/>
  <c r="BR361" i="12"/>
  <c r="BM361" i="12"/>
  <c r="F361" i="12"/>
  <c r="D361" i="12"/>
  <c r="BR360" i="12"/>
  <c r="BM360" i="12"/>
  <c r="F360" i="12"/>
  <c r="D360" i="12"/>
  <c r="BR359" i="12"/>
  <c r="BM359" i="12"/>
  <c r="F359" i="12"/>
  <c r="D359" i="12"/>
  <c r="BR358" i="12"/>
  <c r="BM358" i="12"/>
  <c r="F358" i="12"/>
  <c r="D358" i="12"/>
  <c r="BR357" i="12"/>
  <c r="BM357" i="12"/>
  <c r="F357" i="12"/>
  <c r="D357" i="12"/>
  <c r="BR356" i="12"/>
  <c r="BM356" i="12"/>
  <c r="F356" i="12"/>
  <c r="D356" i="12"/>
  <c r="BR355" i="12"/>
  <c r="BM355" i="12"/>
  <c r="F355" i="12"/>
  <c r="D355" i="12"/>
  <c r="BR354" i="12"/>
  <c r="BM354" i="12"/>
  <c r="F354" i="12"/>
  <c r="D354" i="12"/>
  <c r="BR353" i="12"/>
  <c r="BM353" i="12"/>
  <c r="F353" i="12"/>
  <c r="D353" i="12"/>
  <c r="BR352" i="12"/>
  <c r="BM352" i="12"/>
  <c r="F352" i="12"/>
  <c r="D352" i="12"/>
  <c r="BR351" i="12"/>
  <c r="BM351" i="12"/>
  <c r="F351" i="12"/>
  <c r="D351" i="12"/>
  <c r="BR350" i="12"/>
  <c r="BM350" i="12"/>
  <c r="F350" i="12"/>
  <c r="D350" i="12"/>
  <c r="BR349" i="12"/>
  <c r="BM349" i="12"/>
  <c r="F349" i="12"/>
  <c r="D349" i="12"/>
  <c r="BR348" i="12"/>
  <c r="BM348" i="12"/>
  <c r="F348" i="12"/>
  <c r="D348" i="12"/>
  <c r="BR347" i="12"/>
  <c r="BM347" i="12"/>
  <c r="F347" i="12"/>
  <c r="D347" i="12"/>
  <c r="BR346" i="12"/>
  <c r="BM346" i="12"/>
  <c r="F346" i="12"/>
  <c r="D346" i="12"/>
  <c r="BR345" i="12"/>
  <c r="BM345" i="12"/>
  <c r="F345" i="12"/>
  <c r="D345" i="12"/>
  <c r="BR344" i="12"/>
  <c r="BM344" i="12"/>
  <c r="F344" i="12"/>
  <c r="D344" i="12"/>
  <c r="BR343" i="12"/>
  <c r="BM343" i="12"/>
  <c r="F343" i="12"/>
  <c r="D343" i="12"/>
  <c r="BR342" i="12"/>
  <c r="BM342" i="12"/>
  <c r="F342" i="12"/>
  <c r="D342" i="12"/>
  <c r="BR341" i="12"/>
  <c r="BM341" i="12"/>
  <c r="F341" i="12"/>
  <c r="D341" i="12"/>
  <c r="BR340" i="12"/>
  <c r="BM340" i="12"/>
  <c r="F340" i="12"/>
  <c r="D340" i="12"/>
  <c r="BR339" i="12"/>
  <c r="BM339" i="12"/>
  <c r="F339" i="12"/>
  <c r="D339" i="12"/>
  <c r="BR338" i="12"/>
  <c r="BM338" i="12"/>
  <c r="F338" i="12"/>
  <c r="D338" i="12"/>
  <c r="BR337" i="12"/>
  <c r="BM337" i="12"/>
  <c r="F337" i="12"/>
  <c r="D337" i="12"/>
  <c r="BR336" i="12"/>
  <c r="BM336" i="12"/>
  <c r="F336" i="12"/>
  <c r="D336" i="12"/>
  <c r="BR335" i="12"/>
  <c r="BM335" i="12"/>
  <c r="F335" i="12"/>
  <c r="D335" i="12"/>
  <c r="BR334" i="12"/>
  <c r="BM334" i="12"/>
  <c r="F334" i="12"/>
  <c r="D334" i="12"/>
  <c r="BR333" i="12"/>
  <c r="BM333" i="12"/>
  <c r="F333" i="12"/>
  <c r="D333" i="12"/>
  <c r="BR332" i="12"/>
  <c r="BM332" i="12"/>
  <c r="F332" i="12"/>
  <c r="D332" i="12"/>
  <c r="BR331" i="12"/>
  <c r="BM331" i="12"/>
  <c r="F331" i="12"/>
  <c r="D331" i="12"/>
  <c r="BR330" i="12"/>
  <c r="BM330" i="12"/>
  <c r="F330" i="12"/>
  <c r="D330" i="12"/>
  <c r="BR329" i="12"/>
  <c r="BM329" i="12"/>
  <c r="F329" i="12"/>
  <c r="D329" i="12"/>
  <c r="BR328" i="12"/>
  <c r="BM328" i="12"/>
  <c r="F328" i="12"/>
  <c r="D328" i="12"/>
  <c r="BR327" i="12"/>
  <c r="BM327" i="12"/>
  <c r="F327" i="12"/>
  <c r="D327" i="12"/>
  <c r="BR326" i="12"/>
  <c r="BM326" i="12"/>
  <c r="F326" i="12"/>
  <c r="D326" i="12"/>
  <c r="BR325" i="12"/>
  <c r="BM325" i="12"/>
  <c r="F325" i="12"/>
  <c r="D325" i="12"/>
  <c r="BR324" i="12"/>
  <c r="BM324" i="12"/>
  <c r="F324" i="12"/>
  <c r="D324" i="12"/>
  <c r="BR323" i="12"/>
  <c r="BM323" i="12"/>
  <c r="F323" i="12"/>
  <c r="D323" i="12"/>
  <c r="BR322" i="12"/>
  <c r="BM322" i="12"/>
  <c r="F322" i="12"/>
  <c r="D322" i="12"/>
  <c r="BR321" i="12"/>
  <c r="BM321" i="12"/>
  <c r="F321" i="12"/>
  <c r="D321" i="12"/>
  <c r="BR320" i="12"/>
  <c r="BM320" i="12"/>
  <c r="F320" i="12"/>
  <c r="D320" i="12"/>
  <c r="BR319" i="12"/>
  <c r="BM319" i="12"/>
  <c r="F319" i="12"/>
  <c r="D319" i="12"/>
  <c r="BR318" i="12"/>
  <c r="BM318" i="12"/>
  <c r="F318" i="12"/>
  <c r="D318" i="12"/>
  <c r="BR317" i="12"/>
  <c r="BM317" i="12"/>
  <c r="F317" i="12"/>
  <c r="D317" i="12"/>
  <c r="BR316" i="12"/>
  <c r="BM316" i="12"/>
  <c r="F316" i="12"/>
  <c r="D316" i="12"/>
  <c r="BR315" i="12"/>
  <c r="BM315" i="12"/>
  <c r="F315" i="12"/>
  <c r="D315" i="12"/>
  <c r="BR314" i="12"/>
  <c r="BM314" i="12"/>
  <c r="F314" i="12"/>
  <c r="D314" i="12"/>
  <c r="BR313" i="12"/>
  <c r="BM313" i="12"/>
  <c r="F313" i="12"/>
  <c r="D313" i="12"/>
  <c r="BR312" i="12"/>
  <c r="BM312" i="12"/>
  <c r="F312" i="12"/>
  <c r="D312" i="12"/>
  <c r="BR311" i="12"/>
  <c r="BM311" i="12"/>
  <c r="F311" i="12"/>
  <c r="D311" i="12"/>
  <c r="BR310" i="12"/>
  <c r="BM310" i="12"/>
  <c r="F310" i="12"/>
  <c r="D310" i="12"/>
  <c r="BR309" i="12"/>
  <c r="BM309" i="12"/>
  <c r="F309" i="12"/>
  <c r="D309" i="12"/>
  <c r="BR308" i="12"/>
  <c r="BM308" i="12"/>
  <c r="F308" i="12"/>
  <c r="D308" i="12"/>
  <c r="BR307" i="12"/>
  <c r="BM307" i="12"/>
  <c r="F307" i="12"/>
  <c r="D307" i="12"/>
  <c r="BR306" i="12"/>
  <c r="BM306" i="12"/>
  <c r="F306" i="12"/>
  <c r="D306" i="12"/>
  <c r="BR305" i="12"/>
  <c r="BM305" i="12"/>
  <c r="F305" i="12"/>
  <c r="D305" i="12"/>
  <c r="BR304" i="12"/>
  <c r="BM304" i="12"/>
  <c r="F304" i="12"/>
  <c r="D304" i="12"/>
  <c r="BR303" i="12"/>
  <c r="BM303" i="12"/>
  <c r="F303" i="12"/>
  <c r="D303" i="12"/>
  <c r="BR302" i="12"/>
  <c r="BM302" i="12"/>
  <c r="F302" i="12"/>
  <c r="D302" i="12"/>
  <c r="BR301" i="12"/>
  <c r="BM301" i="12"/>
  <c r="F301" i="12"/>
  <c r="D301" i="12"/>
  <c r="BR300" i="12"/>
  <c r="BM300" i="12"/>
  <c r="F300" i="12"/>
  <c r="D300" i="12"/>
  <c r="BR299" i="12"/>
  <c r="BM299" i="12"/>
  <c r="F299" i="12"/>
  <c r="D299" i="12"/>
  <c r="BR298" i="12"/>
  <c r="BM298" i="12"/>
  <c r="F298" i="12"/>
  <c r="D298" i="12"/>
  <c r="BR297" i="12"/>
  <c r="BM297" i="12"/>
  <c r="F297" i="12"/>
  <c r="D297" i="12"/>
  <c r="BR296" i="12"/>
  <c r="BM296" i="12"/>
  <c r="F296" i="12"/>
  <c r="D296" i="12"/>
  <c r="BR295" i="12"/>
  <c r="BM295" i="12"/>
  <c r="F295" i="12"/>
  <c r="D295" i="12"/>
  <c r="BR294" i="12"/>
  <c r="BM294" i="12"/>
  <c r="F294" i="12"/>
  <c r="D294" i="12"/>
  <c r="BR293" i="12"/>
  <c r="BM293" i="12"/>
  <c r="F293" i="12"/>
  <c r="D293" i="12"/>
  <c r="BR292" i="12"/>
  <c r="BM292" i="12"/>
  <c r="F292" i="12"/>
  <c r="D292" i="12"/>
  <c r="BR291" i="12"/>
  <c r="BM291" i="12"/>
  <c r="F291" i="12"/>
  <c r="D291" i="12"/>
  <c r="BR290" i="12"/>
  <c r="BM290" i="12"/>
  <c r="F290" i="12"/>
  <c r="D290" i="12"/>
  <c r="BR289" i="12"/>
  <c r="BM289" i="12"/>
  <c r="F289" i="12"/>
  <c r="D289" i="12"/>
  <c r="BR288" i="12"/>
  <c r="BM288" i="12"/>
  <c r="F288" i="12"/>
  <c r="D288" i="12"/>
  <c r="BR287" i="12"/>
  <c r="BM287" i="12"/>
  <c r="F287" i="12"/>
  <c r="D287" i="12"/>
  <c r="BR286" i="12"/>
  <c r="BM286" i="12"/>
  <c r="F286" i="12"/>
  <c r="D286" i="12"/>
  <c r="BR285" i="12"/>
  <c r="BM285" i="12"/>
  <c r="F285" i="12"/>
  <c r="D285" i="12"/>
  <c r="BR284" i="12"/>
  <c r="BM284" i="12"/>
  <c r="F284" i="12"/>
  <c r="D284" i="12"/>
  <c r="BR283" i="12"/>
  <c r="BM283" i="12"/>
  <c r="F283" i="12"/>
  <c r="D283" i="12"/>
  <c r="BR282" i="12"/>
  <c r="BM282" i="12"/>
  <c r="F282" i="12"/>
  <c r="D282" i="12"/>
  <c r="BR281" i="12"/>
  <c r="BM281" i="12"/>
  <c r="F281" i="12"/>
  <c r="D281" i="12"/>
  <c r="BR280" i="12"/>
  <c r="BM280" i="12"/>
  <c r="F280" i="12"/>
  <c r="D280" i="12"/>
  <c r="BR279" i="12"/>
  <c r="BM279" i="12"/>
  <c r="F279" i="12"/>
  <c r="D279" i="12"/>
  <c r="BR278" i="12"/>
  <c r="BM278" i="12"/>
  <c r="F278" i="12"/>
  <c r="D278" i="12"/>
  <c r="BR277" i="12"/>
  <c r="BM277" i="12"/>
  <c r="F277" i="12"/>
  <c r="D277" i="12"/>
  <c r="BR276" i="12"/>
  <c r="BM276" i="12"/>
  <c r="F276" i="12"/>
  <c r="D276" i="12"/>
  <c r="BR275" i="12"/>
  <c r="BM275" i="12"/>
  <c r="F275" i="12"/>
  <c r="D275" i="12"/>
  <c r="BR274" i="12"/>
  <c r="BM274" i="12"/>
  <c r="F274" i="12"/>
  <c r="D274" i="12"/>
  <c r="BR273" i="12"/>
  <c r="BM273" i="12"/>
  <c r="F273" i="12"/>
  <c r="D273" i="12"/>
  <c r="BR272" i="12"/>
  <c r="BM272" i="12"/>
  <c r="F272" i="12"/>
  <c r="D272" i="12"/>
  <c r="BR271" i="12"/>
  <c r="BM271" i="12"/>
  <c r="F271" i="12"/>
  <c r="D271" i="12"/>
  <c r="BR270" i="12"/>
  <c r="BM270" i="12"/>
  <c r="F270" i="12"/>
  <c r="D270" i="12"/>
  <c r="BR269" i="12"/>
  <c r="BM269" i="12"/>
  <c r="F269" i="12"/>
  <c r="D269" i="12"/>
  <c r="BR268" i="12"/>
  <c r="BM268" i="12"/>
  <c r="F268" i="12"/>
  <c r="D268" i="12"/>
  <c r="BR267" i="12"/>
  <c r="BM267" i="12"/>
  <c r="F267" i="12"/>
  <c r="D267" i="12"/>
  <c r="BR266" i="12"/>
  <c r="BM266" i="12"/>
  <c r="F266" i="12"/>
  <c r="D266" i="12"/>
  <c r="BR265" i="12"/>
  <c r="BM265" i="12"/>
  <c r="F265" i="12"/>
  <c r="D265" i="12"/>
  <c r="BR264" i="12"/>
  <c r="BM264" i="12"/>
  <c r="F264" i="12"/>
  <c r="D264" i="12"/>
  <c r="BR263" i="12"/>
  <c r="BM263" i="12"/>
  <c r="F263" i="12"/>
  <c r="D263" i="12"/>
  <c r="BR262" i="12"/>
  <c r="BM262" i="12"/>
  <c r="F262" i="12"/>
  <c r="D262" i="12"/>
  <c r="BR261" i="12"/>
  <c r="BM261" i="12"/>
  <c r="F261" i="12"/>
  <c r="D261" i="12"/>
  <c r="BR260" i="12"/>
  <c r="BM260" i="12"/>
  <c r="F260" i="12"/>
  <c r="D260" i="12"/>
  <c r="BR259" i="12"/>
  <c r="BM259" i="12"/>
  <c r="F259" i="12"/>
  <c r="D259" i="12"/>
  <c r="BR258" i="12"/>
  <c r="BM258" i="12"/>
  <c r="F258" i="12"/>
  <c r="D258" i="12"/>
  <c r="BR257" i="12"/>
  <c r="BM257" i="12"/>
  <c r="F257" i="12"/>
  <c r="D257" i="12"/>
  <c r="BR256" i="12"/>
  <c r="BM256" i="12"/>
  <c r="F256" i="12"/>
  <c r="D256" i="12"/>
  <c r="BR255" i="12"/>
  <c r="BM255" i="12"/>
  <c r="F255" i="12"/>
  <c r="D255" i="12"/>
  <c r="BR254" i="12"/>
  <c r="BM254" i="12"/>
  <c r="F254" i="12"/>
  <c r="D254" i="12"/>
  <c r="BR253" i="12"/>
  <c r="BM253" i="12"/>
  <c r="F253" i="12"/>
  <c r="D253" i="12"/>
  <c r="BR252" i="12"/>
  <c r="BM252" i="12"/>
  <c r="F252" i="12"/>
  <c r="D252" i="12"/>
  <c r="BR251" i="12"/>
  <c r="BM251" i="12"/>
  <c r="F251" i="12"/>
  <c r="D251" i="12"/>
  <c r="BR250" i="12"/>
  <c r="BM250" i="12"/>
  <c r="F250" i="12"/>
  <c r="D250" i="12"/>
  <c r="BR249" i="12"/>
  <c r="BM249" i="12"/>
  <c r="F249" i="12"/>
  <c r="D249" i="12"/>
  <c r="BR248" i="12"/>
  <c r="BM248" i="12"/>
  <c r="F248" i="12"/>
  <c r="D248" i="12"/>
  <c r="BR247" i="12"/>
  <c r="BM247" i="12"/>
  <c r="F247" i="12"/>
  <c r="D247" i="12"/>
  <c r="BR246" i="12"/>
  <c r="BM246" i="12"/>
  <c r="F246" i="12"/>
  <c r="D246" i="12"/>
  <c r="BR245" i="12"/>
  <c r="BM245" i="12"/>
  <c r="F245" i="12"/>
  <c r="D245" i="12"/>
  <c r="BR244" i="12"/>
  <c r="BM244" i="12"/>
  <c r="F244" i="12"/>
  <c r="D244" i="12"/>
  <c r="BR243" i="12"/>
  <c r="BM243" i="12"/>
  <c r="F243" i="12"/>
  <c r="D243" i="12"/>
  <c r="BR242" i="12"/>
  <c r="BM242" i="12"/>
  <c r="F242" i="12"/>
  <c r="D242" i="12"/>
  <c r="BR241" i="12"/>
  <c r="BM241" i="12"/>
  <c r="F241" i="12"/>
  <c r="D241" i="12"/>
  <c r="BR240" i="12"/>
  <c r="BM240" i="12"/>
  <c r="F240" i="12"/>
  <c r="D240" i="12"/>
  <c r="BR239" i="12"/>
  <c r="BM239" i="12"/>
  <c r="F239" i="12"/>
  <c r="D239" i="12"/>
  <c r="BR238" i="12"/>
  <c r="BM238" i="12"/>
  <c r="F238" i="12"/>
  <c r="D238" i="12"/>
  <c r="BR237" i="12"/>
  <c r="BM237" i="12"/>
  <c r="F237" i="12"/>
  <c r="D237" i="12"/>
  <c r="BR236" i="12"/>
  <c r="BM236" i="12"/>
  <c r="F236" i="12"/>
  <c r="D236" i="12"/>
  <c r="BR235" i="12"/>
  <c r="BM235" i="12"/>
  <c r="F235" i="12"/>
  <c r="D235" i="12"/>
  <c r="BR234" i="12"/>
  <c r="BM234" i="12"/>
  <c r="F234" i="12"/>
  <c r="D234" i="12"/>
  <c r="BR233" i="12"/>
  <c r="BM233" i="12"/>
  <c r="F233" i="12"/>
  <c r="D233" i="12"/>
  <c r="BR232" i="12"/>
  <c r="BM232" i="12"/>
  <c r="F232" i="12"/>
  <c r="D232" i="12"/>
  <c r="BR231" i="12"/>
  <c r="BM231" i="12"/>
  <c r="F231" i="12"/>
  <c r="D231" i="12"/>
  <c r="BR230" i="12"/>
  <c r="BM230" i="12"/>
  <c r="F230" i="12"/>
  <c r="D230" i="12"/>
  <c r="BR229" i="12"/>
  <c r="BM229" i="12"/>
  <c r="F229" i="12"/>
  <c r="D229" i="12"/>
  <c r="BR228" i="12"/>
  <c r="BM228" i="12"/>
  <c r="F228" i="12"/>
  <c r="D228" i="12"/>
  <c r="BR227" i="12"/>
  <c r="BM227" i="12"/>
  <c r="F227" i="12"/>
  <c r="D227" i="12"/>
  <c r="BR226" i="12"/>
  <c r="BM226" i="12"/>
  <c r="F226" i="12"/>
  <c r="D226" i="12"/>
  <c r="BR225" i="12"/>
  <c r="BM225" i="12"/>
  <c r="F225" i="12"/>
  <c r="D225" i="12"/>
  <c r="BR224" i="12"/>
  <c r="BM224" i="12"/>
  <c r="F224" i="12"/>
  <c r="D224" i="12"/>
  <c r="BR223" i="12"/>
  <c r="BM223" i="12"/>
  <c r="F223" i="12"/>
  <c r="D223" i="12"/>
  <c r="BR222" i="12"/>
  <c r="BM222" i="12"/>
  <c r="F222" i="12"/>
  <c r="D222" i="12"/>
  <c r="BR221" i="12"/>
  <c r="BM221" i="12"/>
  <c r="F221" i="12"/>
  <c r="D221" i="12"/>
  <c r="BR220" i="12"/>
  <c r="BM220" i="12"/>
  <c r="F220" i="12"/>
  <c r="D220" i="12"/>
  <c r="BR219" i="12"/>
  <c r="BM219" i="12"/>
  <c r="F219" i="12"/>
  <c r="D219" i="12"/>
  <c r="BR218" i="12"/>
  <c r="BM218" i="12"/>
  <c r="F218" i="12"/>
  <c r="D218" i="12"/>
  <c r="BR217" i="12"/>
  <c r="BM217" i="12"/>
  <c r="F217" i="12"/>
  <c r="D217" i="12"/>
  <c r="BR216" i="12"/>
  <c r="BM216" i="12"/>
  <c r="F216" i="12"/>
  <c r="D216" i="12"/>
  <c r="BR215" i="12"/>
  <c r="BM215" i="12"/>
  <c r="F215" i="12"/>
  <c r="D215" i="12"/>
  <c r="BR214" i="12"/>
  <c r="BM214" i="12"/>
  <c r="F214" i="12"/>
  <c r="D214" i="12"/>
  <c r="BR213" i="12"/>
  <c r="BM213" i="12"/>
  <c r="F213" i="12"/>
  <c r="D213" i="12"/>
  <c r="BR212" i="12"/>
  <c r="BM212" i="12"/>
  <c r="F212" i="12"/>
  <c r="D212" i="12"/>
  <c r="BR211" i="12"/>
  <c r="BM211" i="12"/>
  <c r="F211" i="12"/>
  <c r="D211" i="12"/>
  <c r="BR210" i="12"/>
  <c r="BM210" i="12"/>
  <c r="F210" i="12"/>
  <c r="D210" i="12"/>
  <c r="BR209" i="12"/>
  <c r="BM209" i="12"/>
  <c r="F209" i="12"/>
  <c r="D209" i="12"/>
  <c r="BR208" i="12"/>
  <c r="BM208" i="12"/>
  <c r="F208" i="12"/>
  <c r="D208" i="12"/>
  <c r="BR207" i="12"/>
  <c r="BM207" i="12"/>
  <c r="F207" i="12"/>
  <c r="D207" i="12"/>
  <c r="BR206" i="12"/>
  <c r="BM206" i="12"/>
  <c r="F206" i="12"/>
  <c r="D206" i="12"/>
  <c r="BR205" i="12"/>
  <c r="BM205" i="12"/>
  <c r="F205" i="12"/>
  <c r="D205" i="12"/>
  <c r="BR204" i="12"/>
  <c r="BM204" i="12"/>
  <c r="F204" i="12"/>
  <c r="D204" i="12"/>
  <c r="BR203" i="12"/>
  <c r="BM203" i="12"/>
  <c r="F203" i="12"/>
  <c r="D203" i="12"/>
  <c r="BR202" i="12"/>
  <c r="BM202" i="12"/>
  <c r="F202" i="12"/>
  <c r="D202" i="12"/>
  <c r="BR201" i="12"/>
  <c r="BM201" i="12"/>
  <c r="F201" i="12"/>
  <c r="D201" i="12"/>
  <c r="BR200" i="12"/>
  <c r="BM200" i="12"/>
  <c r="F200" i="12"/>
  <c r="D200" i="12"/>
  <c r="BR199" i="12"/>
  <c r="BM199" i="12"/>
  <c r="F199" i="12"/>
  <c r="D199" i="12"/>
  <c r="BR198" i="12"/>
  <c r="BM198" i="12"/>
  <c r="F198" i="12"/>
  <c r="D198" i="12"/>
  <c r="BR197" i="12"/>
  <c r="BM197" i="12"/>
  <c r="F197" i="12"/>
  <c r="D197" i="12"/>
  <c r="BR196" i="12"/>
  <c r="BM196" i="12"/>
  <c r="F196" i="12"/>
  <c r="D196" i="12"/>
  <c r="BR195" i="12"/>
  <c r="BM195" i="12"/>
  <c r="F195" i="12"/>
  <c r="D195" i="12"/>
  <c r="BR194" i="12"/>
  <c r="BM194" i="12"/>
  <c r="F194" i="12"/>
  <c r="D194" i="12"/>
  <c r="BR193" i="12"/>
  <c r="BM193" i="12"/>
  <c r="F193" i="12"/>
  <c r="D193" i="12"/>
  <c r="BR192" i="12"/>
  <c r="BM192" i="12"/>
  <c r="F192" i="12"/>
  <c r="D192" i="12"/>
  <c r="BR191" i="12"/>
  <c r="BM191" i="12"/>
  <c r="F191" i="12"/>
  <c r="D191" i="12"/>
  <c r="BR190" i="12"/>
  <c r="BM190" i="12"/>
  <c r="F190" i="12"/>
  <c r="D190" i="12"/>
  <c r="BR189" i="12"/>
  <c r="BM189" i="12"/>
  <c r="F189" i="12"/>
  <c r="D189" i="12"/>
  <c r="BR188" i="12"/>
  <c r="BM188" i="12"/>
  <c r="F188" i="12"/>
  <c r="D188" i="12"/>
  <c r="BR187" i="12"/>
  <c r="BM187" i="12"/>
  <c r="F187" i="12"/>
  <c r="D187" i="12"/>
  <c r="BR186" i="12"/>
  <c r="BM186" i="12"/>
  <c r="F186" i="12"/>
  <c r="D186" i="12"/>
  <c r="BR185" i="12"/>
  <c r="BM185" i="12"/>
  <c r="F185" i="12"/>
  <c r="D185" i="12"/>
  <c r="BR184" i="12"/>
  <c r="BM184" i="12"/>
  <c r="F184" i="12"/>
  <c r="D184" i="12"/>
  <c r="BR183" i="12"/>
  <c r="BM183" i="12"/>
  <c r="F183" i="12"/>
  <c r="D183" i="12"/>
  <c r="BR182" i="12"/>
  <c r="BM182" i="12"/>
  <c r="F182" i="12"/>
  <c r="D182" i="12"/>
  <c r="BR181" i="12"/>
  <c r="BM181" i="12"/>
  <c r="F181" i="12"/>
  <c r="D181" i="12"/>
  <c r="BR180" i="12"/>
  <c r="BM180" i="12"/>
  <c r="F180" i="12"/>
  <c r="D180" i="12"/>
  <c r="BR179" i="12"/>
  <c r="BM179" i="12"/>
  <c r="F179" i="12"/>
  <c r="D179" i="12"/>
  <c r="BR178" i="12"/>
  <c r="BM178" i="12"/>
  <c r="F178" i="12"/>
  <c r="D178" i="12"/>
  <c r="BR177" i="12"/>
  <c r="BM177" i="12"/>
  <c r="F177" i="12"/>
  <c r="D177" i="12"/>
  <c r="BR176" i="12"/>
  <c r="BM176" i="12"/>
  <c r="F176" i="12"/>
  <c r="D176" i="12"/>
  <c r="BR175" i="12"/>
  <c r="BM175" i="12"/>
  <c r="F175" i="12"/>
  <c r="D175" i="12"/>
  <c r="BR174" i="12"/>
  <c r="BM174" i="12"/>
  <c r="F174" i="12"/>
  <c r="D174" i="12"/>
  <c r="BR173" i="12"/>
  <c r="BM173" i="12"/>
  <c r="F173" i="12"/>
  <c r="D173" i="12"/>
  <c r="BR172" i="12"/>
  <c r="BM172" i="12"/>
  <c r="F172" i="12"/>
  <c r="D172" i="12"/>
  <c r="BR171" i="12"/>
  <c r="BM171" i="12"/>
  <c r="F171" i="12"/>
  <c r="D171" i="12"/>
  <c r="BR170" i="12"/>
  <c r="BM170" i="12"/>
  <c r="F170" i="12"/>
  <c r="D170" i="12"/>
  <c r="BR169" i="12"/>
  <c r="BM169" i="12"/>
  <c r="F169" i="12"/>
  <c r="D169" i="12"/>
  <c r="BR168" i="12"/>
  <c r="BM168" i="12"/>
  <c r="F168" i="12"/>
  <c r="D168" i="12"/>
  <c r="BR167" i="12"/>
  <c r="BM167" i="12"/>
  <c r="F167" i="12"/>
  <c r="D167" i="12"/>
  <c r="BR166" i="12"/>
  <c r="BM166" i="12"/>
  <c r="F166" i="12"/>
  <c r="D166" i="12"/>
  <c r="BR165" i="12"/>
  <c r="BM165" i="12"/>
  <c r="F165" i="12"/>
  <c r="D165" i="12"/>
  <c r="BR164" i="12"/>
  <c r="BM164" i="12"/>
  <c r="F164" i="12"/>
  <c r="D164" i="12"/>
  <c r="BR163" i="12"/>
  <c r="BM163" i="12"/>
  <c r="F163" i="12"/>
  <c r="D163" i="12"/>
  <c r="D162" i="12"/>
  <c r="D161" i="12"/>
  <c r="D160" i="12"/>
  <c r="D159" i="12"/>
  <c r="D158" i="12"/>
  <c r="D157" i="12"/>
  <c r="D156" i="12"/>
  <c r="D155" i="12"/>
  <c r="D154" i="12"/>
  <c r="D153" i="12"/>
  <c r="D152" i="12"/>
  <c r="D151" i="12"/>
  <c r="D150" i="12"/>
  <c r="BR149" i="12"/>
  <c r="BM149" i="12"/>
  <c r="F149" i="12"/>
  <c r="D149" i="12"/>
  <c r="BR148" i="12"/>
  <c r="BM148" i="12"/>
  <c r="F148" i="12"/>
  <c r="BR147" i="12"/>
  <c r="BM147" i="12"/>
  <c r="F147" i="12"/>
  <c r="BR146" i="12"/>
  <c r="BM146" i="12"/>
  <c r="F146" i="12"/>
  <c r="BR145" i="12"/>
  <c r="BM145" i="12"/>
  <c r="F145" i="12"/>
  <c r="BR144" i="12"/>
  <c r="BM144" i="12"/>
  <c r="F144" i="12"/>
  <c r="BR143" i="12"/>
  <c r="BM143" i="12"/>
  <c r="F143" i="12"/>
  <c r="BR142" i="12"/>
  <c r="BM142" i="12"/>
  <c r="F142" i="12"/>
  <c r="BR141" i="12"/>
  <c r="BM141" i="12"/>
  <c r="F141" i="12"/>
  <c r="BR140" i="12"/>
  <c r="BM140" i="12"/>
  <c r="F140" i="12"/>
  <c r="BR139" i="12"/>
  <c r="BM139" i="12"/>
  <c r="F139" i="12"/>
  <c r="BM138" i="12"/>
  <c r="F138" i="12"/>
  <c r="BR137" i="12"/>
  <c r="BM137" i="12"/>
  <c r="F137" i="12"/>
  <c r="BR136" i="12"/>
  <c r="BM136" i="12"/>
  <c r="F136" i="12"/>
  <c r="BR135" i="12"/>
  <c r="BM135" i="12"/>
  <c r="F135" i="12"/>
  <c r="BR134" i="12"/>
  <c r="BM134" i="12"/>
  <c r="F134" i="12"/>
  <c r="BR133" i="12"/>
  <c r="BM133" i="12"/>
  <c r="F133" i="12"/>
  <c r="BR132" i="12"/>
  <c r="BM132" i="12"/>
  <c r="F132" i="12"/>
  <c r="BR131" i="12"/>
  <c r="BM131" i="12"/>
  <c r="F131" i="12"/>
  <c r="BR130" i="12"/>
  <c r="BM130" i="12"/>
  <c r="F130" i="12"/>
  <c r="BR129" i="12"/>
  <c r="BM129" i="12"/>
  <c r="F129" i="12"/>
  <c r="BR128" i="12"/>
  <c r="BM128" i="12"/>
  <c r="F128" i="12"/>
  <c r="BR127" i="12"/>
  <c r="BM127" i="12"/>
  <c r="F127" i="12"/>
  <c r="BR126" i="12"/>
  <c r="BM126" i="12"/>
  <c r="F126" i="12"/>
  <c r="BR125" i="12"/>
  <c r="BM125" i="12"/>
  <c r="F125" i="12"/>
  <c r="BR124" i="12"/>
  <c r="BM124" i="12"/>
  <c r="F124" i="12"/>
  <c r="BR123" i="12"/>
  <c r="BM123" i="12"/>
  <c r="F123" i="12"/>
  <c r="BR122" i="12"/>
  <c r="BM122" i="12"/>
  <c r="F122" i="12"/>
  <c r="BR121" i="12"/>
  <c r="BM121" i="12"/>
  <c r="F121" i="12"/>
  <c r="BR120" i="12"/>
  <c r="BM120" i="12"/>
  <c r="F120" i="12"/>
  <c r="BR119" i="12"/>
  <c r="BM119" i="12"/>
  <c r="F119" i="12"/>
  <c r="BR118" i="12"/>
  <c r="BM118" i="12"/>
  <c r="F118" i="12"/>
  <c r="BR117" i="12"/>
  <c r="BM117" i="12"/>
  <c r="F117" i="12"/>
  <c r="BR116" i="12"/>
  <c r="BM116" i="12"/>
  <c r="F116" i="12"/>
  <c r="BR115" i="12"/>
  <c r="BM115" i="12"/>
  <c r="F115" i="12"/>
  <c r="BR114" i="12"/>
  <c r="BM114" i="12"/>
  <c r="F114" i="12"/>
  <c r="BR113" i="12"/>
  <c r="BM113" i="12"/>
  <c r="F113" i="12"/>
  <c r="BR112" i="12"/>
  <c r="BM112" i="12"/>
  <c r="F112" i="12"/>
  <c r="BR111" i="12"/>
  <c r="BM111" i="12"/>
  <c r="F111" i="12"/>
  <c r="BR110" i="12"/>
  <c r="BM110" i="12"/>
  <c r="F110" i="12"/>
  <c r="BR109" i="12"/>
  <c r="BM109" i="12"/>
  <c r="F109" i="12"/>
  <c r="BR108" i="12"/>
  <c r="BM108" i="12"/>
  <c r="F108" i="12"/>
  <c r="BR107" i="12"/>
  <c r="BM107" i="12"/>
  <c r="F107" i="12"/>
  <c r="BR106" i="12"/>
  <c r="BM106" i="12"/>
  <c r="F106" i="12"/>
  <c r="BR105" i="12"/>
  <c r="BM105" i="12"/>
  <c r="F105" i="12"/>
  <c r="BR104" i="12"/>
  <c r="BM104" i="12"/>
  <c r="F104" i="12"/>
  <c r="BR103" i="12"/>
  <c r="BM103" i="12"/>
  <c r="F103" i="12"/>
  <c r="BR102" i="12"/>
  <c r="BM102" i="12"/>
  <c r="F102" i="12"/>
  <c r="BR101" i="12"/>
  <c r="BM101" i="12"/>
  <c r="F101" i="12"/>
  <c r="BR100" i="12"/>
  <c r="BM100" i="12"/>
  <c r="F100" i="12"/>
  <c r="BR99" i="12"/>
  <c r="BM99" i="12"/>
  <c r="F99" i="12"/>
  <c r="BR98" i="12"/>
  <c r="BM98" i="12"/>
  <c r="F98" i="12"/>
  <c r="BR97" i="12"/>
  <c r="BM97" i="12"/>
  <c r="F97" i="12"/>
  <c r="BR96" i="12"/>
  <c r="BM96" i="12"/>
  <c r="F96" i="12"/>
  <c r="BR95" i="12"/>
  <c r="BM95" i="12"/>
  <c r="F95" i="12"/>
  <c r="BR94" i="12"/>
  <c r="BM94" i="12"/>
  <c r="F94" i="12"/>
  <c r="BR93" i="12"/>
  <c r="BM93" i="12"/>
  <c r="F93" i="12"/>
  <c r="BR92" i="12"/>
  <c r="BM92" i="12"/>
  <c r="F92" i="12"/>
  <c r="BR91" i="12"/>
  <c r="BM91" i="12"/>
  <c r="F91" i="12"/>
  <c r="BR90" i="12"/>
  <c r="BM90" i="12"/>
  <c r="F90" i="12"/>
  <c r="BR89" i="12"/>
  <c r="BM89" i="12"/>
  <c r="F89" i="12"/>
  <c r="BR88" i="12"/>
  <c r="BM88" i="12"/>
  <c r="F88" i="12"/>
  <c r="BR87" i="12"/>
  <c r="BM87" i="12"/>
  <c r="F87" i="12"/>
  <c r="BR86" i="12"/>
  <c r="BM86" i="12"/>
  <c r="F86" i="12"/>
  <c r="BR85" i="12"/>
  <c r="BM85" i="12"/>
  <c r="F85" i="12"/>
  <c r="BR84" i="12"/>
  <c r="BM84" i="12"/>
  <c r="F84" i="12"/>
  <c r="BR83" i="12"/>
  <c r="BM83" i="12"/>
  <c r="F83" i="12"/>
  <c r="BR82" i="12"/>
  <c r="BM82" i="12"/>
  <c r="F82" i="12"/>
  <c r="BR81" i="12"/>
  <c r="BM81" i="12"/>
  <c r="F81" i="12"/>
  <c r="BR80" i="12"/>
  <c r="BM80" i="12"/>
  <c r="F80" i="12"/>
  <c r="BR79" i="12"/>
  <c r="BM79" i="12"/>
  <c r="F79" i="12"/>
  <c r="BR78" i="12"/>
  <c r="BM78" i="12"/>
  <c r="F78" i="12"/>
  <c r="BR77" i="12"/>
  <c r="BM77" i="12"/>
  <c r="F77" i="12"/>
  <c r="BR76" i="12"/>
  <c r="BM76" i="12"/>
  <c r="F76" i="12"/>
  <c r="BR75" i="12"/>
  <c r="BM75" i="12"/>
  <c r="F75" i="12"/>
  <c r="BR74" i="12"/>
  <c r="BM74" i="12"/>
  <c r="F74" i="12"/>
  <c r="BR73" i="12"/>
  <c r="BM73" i="12"/>
  <c r="F73" i="12"/>
  <c r="BR72" i="12"/>
  <c r="BM72" i="12"/>
  <c r="F72" i="12"/>
  <c r="BR71" i="12"/>
  <c r="BM71" i="12"/>
  <c r="F71" i="12"/>
  <c r="BR70" i="12"/>
  <c r="BM70" i="12"/>
  <c r="F70" i="12"/>
  <c r="BR69" i="12"/>
  <c r="BM69" i="12"/>
  <c r="F69" i="12"/>
  <c r="BR68" i="12"/>
  <c r="BM68" i="12"/>
  <c r="F68" i="12"/>
  <c r="BR67" i="12"/>
  <c r="BM67" i="12"/>
  <c r="F67" i="12"/>
  <c r="BR66" i="12"/>
  <c r="BM66" i="12"/>
  <c r="F66" i="12"/>
  <c r="BR65" i="12"/>
  <c r="BM65" i="12"/>
  <c r="F65" i="12"/>
  <c r="BR64" i="12"/>
  <c r="BM64" i="12"/>
  <c r="F64" i="12"/>
  <c r="BR63" i="12"/>
  <c r="BM63" i="12"/>
  <c r="F63" i="12"/>
  <c r="BR62" i="12"/>
  <c r="BM62" i="12"/>
  <c r="F62" i="12"/>
  <c r="BR61" i="12"/>
  <c r="BM61" i="12"/>
  <c r="F61" i="12"/>
  <c r="BR60" i="12"/>
  <c r="BM60" i="12"/>
  <c r="F60" i="12"/>
  <c r="BR59" i="12"/>
  <c r="BM59" i="12"/>
  <c r="F59" i="12"/>
  <c r="BR58" i="12"/>
  <c r="BM58" i="12"/>
  <c r="F58" i="12"/>
  <c r="BR57" i="12"/>
  <c r="BM57" i="12"/>
  <c r="F57" i="12"/>
  <c r="BR56" i="12"/>
  <c r="BM56" i="12"/>
  <c r="F56" i="12"/>
  <c r="BR55" i="12"/>
  <c r="BM55" i="12"/>
  <c r="F55" i="12"/>
  <c r="BR54" i="12"/>
  <c r="BM54" i="12"/>
  <c r="F54" i="12"/>
  <c r="BR53" i="12"/>
  <c r="BM53" i="12"/>
  <c r="F53" i="12"/>
  <c r="BR52" i="12"/>
  <c r="BM52" i="12"/>
  <c r="F52" i="12"/>
  <c r="BR51" i="12"/>
  <c r="BM51" i="12"/>
  <c r="F51" i="12"/>
  <c r="BR50" i="12"/>
  <c r="BM50" i="12"/>
  <c r="F50" i="12"/>
  <c r="BR49" i="12"/>
  <c r="BM49" i="12"/>
  <c r="F49" i="12"/>
  <c r="BR48" i="12"/>
  <c r="BM48" i="12"/>
  <c r="F48" i="12"/>
  <c r="BR47" i="12"/>
  <c r="BM47" i="12"/>
  <c r="F47" i="12"/>
  <c r="BR46" i="12"/>
  <c r="BM46" i="12"/>
  <c r="F46" i="12"/>
  <c r="BR45" i="12"/>
  <c r="BM45" i="12"/>
  <c r="F45" i="12"/>
  <c r="BR44" i="12"/>
  <c r="BM44" i="12"/>
  <c r="F44" i="12"/>
  <c r="BR43" i="12"/>
  <c r="BM43" i="12"/>
  <c r="F43" i="12"/>
  <c r="BR42" i="12"/>
  <c r="BM42" i="12"/>
  <c r="F42" i="12"/>
  <c r="BR41" i="12"/>
  <c r="BM41" i="12"/>
  <c r="F41" i="12"/>
  <c r="BR40" i="12"/>
  <c r="BM40" i="12"/>
  <c r="F40" i="12"/>
  <c r="BR39" i="12"/>
  <c r="BM39" i="12"/>
  <c r="F39" i="12"/>
  <c r="BR38" i="12"/>
  <c r="BM38" i="12"/>
  <c r="F38" i="12"/>
  <c r="BR37" i="12"/>
  <c r="BM37" i="12"/>
  <c r="F37" i="12"/>
  <c r="BR36" i="12"/>
  <c r="BM36" i="12"/>
  <c r="F36" i="12"/>
  <c r="BR35" i="12"/>
  <c r="BM35" i="12"/>
  <c r="F35" i="12"/>
  <c r="BR34" i="12"/>
  <c r="BM34" i="12"/>
  <c r="F34" i="12"/>
  <c r="BR33" i="12"/>
  <c r="BM33" i="12"/>
  <c r="F33" i="12"/>
  <c r="BR32" i="12"/>
  <c r="BM32" i="12"/>
  <c r="F32" i="12"/>
  <c r="BR31" i="12"/>
  <c r="BM31" i="12"/>
  <c r="F31" i="12"/>
  <c r="BR30" i="12"/>
  <c r="BM30" i="12"/>
  <c r="F30" i="12"/>
  <c r="BR29" i="12"/>
  <c r="BM29" i="12"/>
  <c r="F29" i="12"/>
  <c r="BR28" i="12"/>
  <c r="BM28" i="12"/>
  <c r="F28" i="12"/>
  <c r="BR27" i="12"/>
  <c r="BM27" i="12"/>
  <c r="F27" i="12"/>
  <c r="BR26" i="12"/>
  <c r="BM26" i="12"/>
  <c r="F26" i="12"/>
  <c r="BR25" i="12"/>
  <c r="BM25" i="12"/>
  <c r="F25" i="12"/>
  <c r="BR24" i="12"/>
  <c r="BM24" i="12"/>
  <c r="F24" i="12"/>
  <c r="BR23" i="12"/>
  <c r="BM23" i="12"/>
  <c r="F23" i="12"/>
  <c r="BR22" i="12"/>
  <c r="BM22" i="12"/>
  <c r="F22" i="12"/>
  <c r="BR21" i="12"/>
  <c r="BM21" i="12"/>
  <c r="F21" i="12"/>
  <c r="BR20" i="12"/>
  <c r="BM20" i="12"/>
  <c r="F20" i="12"/>
  <c r="BR19" i="12"/>
  <c r="BM19" i="12"/>
  <c r="F19" i="12"/>
  <c r="BR18" i="12"/>
  <c r="BM18" i="12"/>
  <c r="F18" i="12"/>
  <c r="BR17" i="12"/>
  <c r="BM17" i="12"/>
  <c r="F17" i="12"/>
  <c r="BR16" i="12"/>
  <c r="BM16" i="12"/>
  <c r="F16" i="12"/>
  <c r="BR15" i="12"/>
  <c r="BM15" i="12"/>
  <c r="F15" i="12"/>
  <c r="BR14" i="12"/>
  <c r="BM14" i="12"/>
  <c r="F14" i="12"/>
  <c r="BR13" i="12"/>
  <c r="BM13" i="12"/>
  <c r="F13" i="12"/>
  <c r="BR12" i="12"/>
  <c r="BM12" i="12"/>
  <c r="F12" i="12"/>
  <c r="BR11" i="12"/>
  <c r="BM11" i="12"/>
  <c r="F11" i="12"/>
  <c r="BR10" i="12"/>
  <c r="BM10" i="12"/>
  <c r="F10" i="12"/>
  <c r="BR9" i="12"/>
  <c r="BM9" i="12"/>
  <c r="F9" i="12"/>
  <c r="BR8" i="12"/>
  <c r="BM8" i="12"/>
  <c r="F8" i="12"/>
  <c r="BR7" i="12"/>
  <c r="BM7" i="12"/>
  <c r="F7" i="12"/>
  <c r="BR6" i="12"/>
  <c r="BM6" i="12"/>
  <c r="F6" i="12"/>
  <c r="BR5" i="12"/>
  <c r="BM5" i="12"/>
  <c r="F5" i="12"/>
  <c r="BR4" i="12"/>
  <c r="BM4" i="12"/>
  <c r="F4" i="12"/>
  <c r="BR3" i="12"/>
  <c r="BM3" i="12"/>
  <c r="F3" i="12"/>
  <c r="BR2" i="12"/>
  <c r="BM2" i="12"/>
  <c r="F2" i="12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</calcChain>
</file>

<file path=xl/sharedStrings.xml><?xml version="1.0" encoding="utf-8"?>
<sst xmlns="http://schemas.openxmlformats.org/spreadsheetml/2006/main" count="8614" uniqueCount="2285">
  <si>
    <t>Row_ID</t>
  </si>
  <si>
    <t>Device Type</t>
  </si>
  <si>
    <t>Deployed</t>
  </si>
  <si>
    <t>Installed</t>
  </si>
  <si>
    <t>Cybernet Hostname</t>
  </si>
  <si>
    <t>Neuron Hostname</t>
  </si>
  <si>
    <t>Software List</t>
  </si>
  <si>
    <t>PI Use Case</t>
  </si>
  <si>
    <t>PI Result</t>
  </si>
  <si>
    <t>PI Validated By</t>
  </si>
  <si>
    <t>PI Validated Date</t>
  </si>
  <si>
    <t>Error Count</t>
  </si>
  <si>
    <t>Error Detail</t>
  </si>
  <si>
    <t>Sheet</t>
  </si>
  <si>
    <t>Table</t>
  </si>
  <si>
    <t>AppliesTo</t>
  </si>
  <si>
    <t>RuleType</t>
  </si>
  <si>
    <t>Priority</t>
  </si>
  <si>
    <t>Formula</t>
  </si>
  <si>
    <t>dxfId</t>
  </si>
  <si>
    <t>Purpose</t>
  </si>
  <si>
    <t>Color/category</t>
  </si>
  <si>
    <t>00_Error_Log_Device_Config</t>
  </si>
  <si>
    <t>DeviceConfigErrorLog</t>
  </si>
  <si>
    <t>L2:L528</t>
  </si>
  <si>
    <t>expression</t>
  </si>
  <si>
    <t>$L2&gt;0</t>
  </si>
  <si>
    <t>Error flag (error count &gt; 0)</t>
  </si>
  <si>
    <t>Red</t>
  </si>
  <si>
    <t>$L2=0</t>
  </si>
  <si>
    <t>No errors (error count = 0)</t>
  </si>
  <si>
    <t>Green</t>
  </si>
  <si>
    <t>M2:M528</t>
  </si>
  <si>
    <t>Missing config (data gap)</t>
  </si>
  <si>
    <t>Yellow</t>
  </si>
  <si>
    <t>01_Warehouse_Ledger</t>
  </si>
  <si>
    <t>C8</t>
  </si>
  <si>
    <t>AND(TRIM($A8)="",OR($B8&lt;&gt;"",$C8&lt;&gt;"",$D8&lt;&gt;"",$E8&lt;&gt;"",$F8&lt;&gt;"",$I8&lt;&gt;""))</t>
  </si>
  <si>
    <t>FFF8CBAD</t>
  </si>
  <si>
    <t>AND(TRIM($A8)&lt;&gt;"",COUNTIF($A$2:$A$2002,$A8)&gt;1)</t>
  </si>
  <si>
    <t>A2:R7 A8:B8 A9:R2002 D8:R8</t>
  </si>
  <si>
    <t>AND(TRIM($A2)="",OR($B2&lt;&gt;"",$C2&lt;&gt;"",$D2&lt;&gt;"",$E2&lt;&gt;"",$I2&lt;&gt;"",$J2&lt;&gt;""))</t>
  </si>
  <si>
    <t>AND(TRIM($A2)&lt;&gt;"",NOT(AND(LEFT($A2,4)="PAL-",LEN($A2)=11,ISNUMBER(--MID($A2,5,7)))))</t>
  </si>
  <si>
    <t>AND(TRIM($A2)&lt;&gt;"",COUNTIF($A$2:$A$2002,$A2)&gt;1)</t>
  </si>
  <si>
    <t>AND(TRIM($A2)&lt;&gt;"",$C2&lt;&gt;"",$D2&lt;&gt;"",$D2&lt;&gt;"0",$C2&lt;&gt;$D2)</t>
  </si>
  <si>
    <t>FFFFF2CC</t>
  </si>
  <si>
    <t>02_Warehouse_Locations</t>
  </si>
  <si>
    <t>A133</t>
  </si>
  <si>
    <t>AND(TRIM($A133)="",OR($B133&lt;&gt;"",$C133&lt;&gt;"",$D133&lt;&gt;"",$E133&lt;&gt;"",$F133&lt;&gt;"",$I133&lt;&gt;""))</t>
  </si>
  <si>
    <t>AND(TRIM($A133)&lt;&gt;"",COUNTIF($A$2:$A$2002,$A133)&gt;1)</t>
  </si>
  <si>
    <t>A2:I132 A134:I2002</t>
  </si>
  <si>
    <t>AND(TRIM($A2)="",OR($B2&lt;&gt;"",$C2&lt;&gt;"",$D2&lt;&gt;"",$E2&lt;&gt;"",$F2&lt;&gt;"",$I2&lt;&gt;""))</t>
  </si>
  <si>
    <t>B133:I133</t>
  </si>
  <si>
    <t>AND(TRIM(#REF!)="",OR($B133&lt;&gt;"",$C133&lt;&gt;"",$D133&lt;&gt;"",$E133&lt;&gt;"",$F133&lt;&gt;"",$I133&lt;&gt;""))</t>
  </si>
  <si>
    <t>AND(TRIM(#REF!)&lt;&gt;"",COUNTIF($A$2:$A$2002,#REF!)&gt;1)</t>
  </si>
  <si>
    <t>03_Warehouse_Movements</t>
  </si>
  <si>
    <t>A2:J500</t>
  </si>
  <si>
    <t>AND($B2&lt;&gt;"",OR($A2="",TRIM($C2)="",TRIM($E2)=""))</t>
  </si>
  <si>
    <t>AND(TRIM($C2)&lt;&gt;"",TRIM($E2)&lt;&gt;"",$D2="")</t>
  </si>
  <si>
    <t>04_Label_Export</t>
  </si>
  <si>
    <t>A3:D1005</t>
  </si>
  <si>
    <t>AND(OR($A3="LOCATION",$A3="PALLET"),TRIM($B3)&lt;&gt;"",TRIM($C3)="")</t>
  </si>
  <si>
    <t>05_Scan_Lookup</t>
  </si>
  <si>
    <t>B3</t>
  </si>
  <si>
    <t>AND(TRIM($A3)="",OR($B3&lt;&gt;"",$C3&lt;&gt;"",$D3&lt;&gt;"",$E3&lt;&gt;"",$I3&lt;&gt;"",$J3&lt;&gt;""))</t>
  </si>
  <si>
    <t>AND(TRIM($A3)&lt;&gt;"",NOT(AND(LEFT($A3,4)="PAL-",LEN($A3)=11,ISNUMBER(--MID($A3,5,7)))))</t>
  </si>
  <si>
    <t>AND(TRIM($A3)&lt;&gt;"",COUNTIF($A$2:$A$2002,$A3)&gt;1)</t>
  </si>
  <si>
    <t>AND(TRIM($A3)&lt;&gt;"",$C3&lt;&gt;"",$D3&lt;&gt;"",$D3&lt;&gt;"0",$C3&lt;&gt;$D3)</t>
  </si>
  <si>
    <t>12 - Device_Configuration</t>
  </si>
  <si>
    <t>tblDeviceConfig</t>
  </si>
  <si>
    <t>A2:B528 F2:F528 AE2:AF528 R2:S528</t>
  </si>
  <si>
    <t>$F2="Yes"</t>
  </si>
  <si>
    <t>Duplicates/conflicts (DupDeployed=Yes)</t>
  </si>
  <si>
    <t>R2:R528</t>
  </si>
  <si>
    <t>AND($A2="Cybernet",$B2="Yes",$C2&lt;&gt;"Yes",LEN(TRIM(R2))=0)</t>
  </si>
  <si>
    <t>Cybernet Hostname required (pre-install)</t>
  </si>
  <si>
    <t>S2:S528</t>
  </si>
  <si>
    <t>AND($A2="Neuron",$B2="Yes",$C2&lt;&gt;"Yes",LEN(TRIM(S2))=0)</t>
  </si>
  <si>
    <t>Neuron Hostname required (pre-install)</t>
  </si>
  <si>
    <t>BH2:BH528</t>
  </si>
  <si>
    <t>AND($A2="Cybernet",$B2="Yes",$C2&lt;&gt;"Yes",LEN(TRIM(BH2))=0)</t>
  </si>
  <si>
    <t>Software_List required for Cybernet (pre-install)</t>
  </si>
  <si>
    <t>I2:I528 N2:N528 P2:Q528</t>
  </si>
  <si>
    <t>AND($C2="Yes",LEN(TRIM(INDEX($1:$1048576,ROW(),COLUMN())))=0)</t>
  </si>
  <si>
    <t>PI required fields (post-install: Installed=Yes)</t>
  </si>
  <si>
    <t>Purple</t>
  </si>
  <si>
    <t>14 - Config Log</t>
  </si>
  <si>
    <t>tblConfigSnapshot</t>
  </si>
  <si>
    <t>I2:I503</t>
  </si>
  <si>
    <t>AND($I2&lt;&gt;"",OR($K2="Yes",$J2="PM Approved"))</t>
  </si>
  <si>
    <t>AND($I2&lt;&gt;"",NOT(OR($K2="Yes",$J2="PM Approved")))</t>
  </si>
  <si>
    <t>Q2:Q503</t>
  </si>
  <si>
    <t>Q2&lt;&gt;""</t>
  </si>
  <si>
    <t>R2:R503</t>
  </si>
  <si>
    <t>R2&lt;&gt;""</t>
  </si>
  <si>
    <t>FFFFE699</t>
  </si>
  <si>
    <t>S2:S503</t>
  </si>
  <si>
    <t>S2&lt;&gt;""</t>
  </si>
  <si>
    <t>T2:T503</t>
  </si>
  <si>
    <t>AND(T2&lt;&gt;"",T2="OK")</t>
  </si>
  <si>
    <t>AND(T2&lt;&gt;"",T2&lt;&gt;"OK")</t>
  </si>
  <si>
    <t xml:space="preserve">15 - Imaging Progress </t>
  </si>
  <si>
    <t>D1:D1048576</t>
  </si>
  <si>
    <t>cellIs</t>
  </si>
  <si>
    <t>100%</t>
  </si>
  <si>
    <t>F2:F14</t>
  </si>
  <si>
    <t>20</t>
  </si>
  <si>
    <t>2</t>
  </si>
  <si>
    <t>6 | 9</t>
  </si>
  <si>
    <t>3 | 5</t>
  </si>
  <si>
    <t>F2:F15</t>
  </si>
  <si>
    <t>10 | 20</t>
  </si>
  <si>
    <t>Use this sheet as the quick operating guide. Enter data only in the non-AUTO columns. For pallet moves, log the move once in 03_Warehouse_Movements and 01_Warehouse_Ledger updates itself.</t>
  </si>
  <si>
    <t>Task</t>
  </si>
  <si>
    <t>Go to tab</t>
  </si>
  <si>
    <t>Edit these columns</t>
  </si>
  <si>
    <t>Notes / outcome</t>
  </si>
  <si>
    <t>Add / update a pallet</t>
  </si>
  <si>
    <t>A,B,C,E,F,G,I,J,K,L</t>
  </si>
  <si>
    <t>One row per pallet. Do NOT type in CurrentLocationCode / LastMove fields (AUTO).</t>
  </si>
  <si>
    <t>Move a pallet</t>
  </si>
  <si>
    <t>A,B,C,E,H,I,J (F,G optional)</t>
  </si>
  <si>
    <t>Add one movement row (MOVE / RECEIVE / SHIP / RETURN / etc). Ledger CurrentLocationCode + LastMoveTS update automatically.</t>
  </si>
  <si>
    <t>Add / update a location</t>
  </si>
  <si>
    <t>A–G,I</t>
  </si>
  <si>
    <t>One row per warehouse slot. QR_Payload auto = LocationCode.</t>
  </si>
  <si>
    <t>Print QR labels</t>
  </si>
  <si>
    <t>Nothing (auto list)</t>
  </si>
  <si>
    <t>Print LOCATION labels (top section) and PALLET labels (starts at row 505). QR payload stays minimal (LocationCode / PalletID).</t>
  </si>
  <si>
    <t>Find where a pallet is</t>
  </si>
  <si>
    <t>Scan into B3</t>
  </si>
  <si>
    <t>Scan Pallet QR -&gt; see CurrentLocationCode + map fields instantly.</t>
  </si>
  <si>
    <t>Tie a device to a pallet</t>
  </si>
  <si>
    <t>BL (PalletID (Manual))</t>
  </si>
  <si>
    <t>Enter PalletID on the device row -&gt; BM/BN/BO auto-fill Warehouse Location + Pallet Status + Last Move TS.</t>
  </si>
  <si>
    <t>Pallet moves - the 30-second routine</t>
  </si>
  <si>
    <t>1)</t>
  </si>
  <si>
    <t>Go to 03_Warehouse_Movements and add a NEW row at the top of the data (first blank row).</t>
  </si>
  <si>
    <t>2)</t>
  </si>
  <si>
    <t>Fill: Timestamp (A), Action (B)=MOVE, PalletID (C)=scan or type, ToLocation (E)=scan location code, ByWho (H), Ref (I) if relevant, Notes (J) if needed. Optional: Item (F) + Qty (G) if you are tracking contents.</t>
  </si>
  <si>
    <t>3)</t>
  </si>
  <si>
    <t>Do NOT edit FromLocation (D). It auto-fills from the pallet’s prior state (based on 01_Warehouse_Ledger).</t>
  </si>
  <si>
    <t>4)</t>
  </si>
  <si>
    <t>Sanity check: open 01_Warehouse_Ledger -&gt; CurrentLocationCode (AUTO) and LastMoveTS (AUTO) should update for that PalletID.</t>
  </si>
  <si>
    <t>5)</t>
  </si>
  <si>
    <t>Optional: if the move changed the pallet’s lifecycle (STAGED/DEPLOYED/RETURNED), update PalletStatus (E) on 01_Warehouse_Ledger.</t>
  </si>
  <si>
    <t>Data rules (don’t break the tracker)</t>
  </si>
  <si>
    <t>• Only type into columns that are NOT labeled (AUTO) or (deprecated).</t>
  </si>
  <si>
    <t>• PalletIDs must exist in 01_Warehouse_Ledger before you reference them anywhere else (moves, device config, contents, labels).</t>
  </si>
  <si>
    <t>• PalletID format enforced by the ledger CF: PAL-0000001 (PAL- + 7 digits). Duplicates highlight.</t>
  </si>
  <si>
    <t>• LocationCode: pick from 02_Warehouse_Locations (use dropdowns where present).</t>
  </si>
  <si>
    <t>• If a cell looks formula-driven, leave it alone. Don’t paste over formulas.</t>
  </si>
  <si>
    <t>• If you must paste, paste VALUES only (not formatting) into input columns.</t>
  </si>
  <si>
    <t>• When in doubt: use 05_Scan_Lookup to verify the pallet’s current location before moving anything.</t>
  </si>
  <si>
    <t>Quick troubleshooting</t>
  </si>
  <si>
    <t>• 05_Scan_Lookup shows blanks -&gt; confirm you scanned a valid PalletID that exists in 01_Warehouse_Ledger column A.</t>
  </si>
  <si>
    <t>• Move row highlights -&gt; check required fields in 03_Warehouse_Movements: Timestamp (A), Action (B), PalletID (C), ToLocation (E).</t>
  </si>
  <si>
    <t>• FromLocation (AUTO) stays blank -&gt; the pallet is unknown to the ledger or has no prior location. Add the pallet to 01_Warehouse_Ledger, set HomeLocationCode (C), then re-enter the move row.</t>
  </si>
  <si>
    <t>• CurrentLocationCode not updating -&gt; confirm 03_Warehouse_Movements has a row with that PalletID and a ToLocation value; then check 01_Warehouse_Ledger columns D and M for that pallet.</t>
  </si>
  <si>
    <t>• Wrong location code -&gt; correct the ToLocation on the MOST RECENT movement row for that pallet (don’t edit older history unless it’s truly wrong).</t>
  </si>
  <si>
    <t>• Need a new warehouse slot -&gt; add it in 02_Warehouse_Locations; labels will appear automatically in 04_Label_Export.</t>
  </si>
  <si>
    <t>Interlock map (what updates what)</t>
  </si>
  <si>
    <t>• 02_Warehouse_Locations defines valid LocationCode values. QR_Payload (H) is a formula (=LocationCode).</t>
  </si>
  <si>
    <t>• 03_Warehouse_Movements is the history log. ToLocation (E) on the latest row drives the pallet’s current state.</t>
  </si>
  <si>
    <t>• 01_Warehouse_Ledger is the pallet register. CurrentLocationCode (D), LastMoveTS (M), LastMovedBy (N) are derived from movements.</t>
  </si>
  <si>
    <t>• 12 - Device_Configuration links devices to pallets via PalletID (BL). Warehouse Location (BM), Pallet Status (BN), Last Move TS (BO) are lookups from the ledger.</t>
  </si>
  <si>
    <t>• 04_Label_Export pulls printable label rows from Locations (top) and Ledger (pallets start at row 505).</t>
  </si>
  <si>
    <t>• 05_Scan_Lookup is the fast verify panel: scan PalletID -&gt; read CurrentLocationCode + location display info.</t>
  </si>
  <si>
    <t>Deployment Tracker: Conditional Formatting + Error Log (foundation)</t>
  </si>
  <si>
    <t>• CF rules for 12 - Device_Configuration are documented in 00_CF_Dictionary (tblCFDictionary).</t>
  </si>
  <si>
    <t>• Any CF change must be recorded in 00_CF_Dictionary: range, formula, and why.</t>
  </si>
  <si>
    <t>• Error logging lives in 00_Error_Log_Device_Config and is header-driven off tblDeviceConfig.</t>
  </si>
  <si>
    <t>• Expected behavior is enforced via scalar CF formulas (no array-math lookups in CF).</t>
  </si>
  <si>
    <t>• Before releasing a new version: scan for STOP-SHIP tokens: _xludf., _xlfn., _xlpm. (worksheets, CF, data validation, names).</t>
  </si>
  <si>
    <t>• WebExcel policy workbook: README_WebExcel_Compatibility_Rules_vNext_35.xlsx (keep alongside the tracker when patching).</t>
  </si>
  <si>
    <t>Fast debug loop (3 steps)</t>
  </si>
  <si>
    <t>1) Reproduce: create 1 Cybernet row, 1 Neuron row, 1 peripherals-only row and toggle Deployed/Yes fields.</t>
  </si>
  <si>
    <t>2) Observe: confirm CF colors match spec; then open 00_Error_Log_Device_Config to see row-level 'Error Detail'.</t>
  </si>
  <si>
    <t>3) Patch: if CF misfires, update CF formula(s) and immediately update 00_CF_Dictionary + retest.</t>
  </si>
  <si>
    <t>PalletCallSign</t>
  </si>
  <si>
    <t>PalletID</t>
  </si>
  <si>
    <t>HomeLocationCode</t>
  </si>
  <si>
    <t>CurrentLocationCode (AUTO)</t>
  </si>
  <si>
    <t>PalletStatus</t>
  </si>
  <si>
    <t>Compliance</t>
  </si>
  <si>
    <t>TTL_Days</t>
  </si>
  <si>
    <t>Expires (AUTO)</t>
  </si>
  <si>
    <t>ContentsSummary</t>
  </si>
  <si>
    <t>CreatedDate</t>
  </si>
  <si>
    <t>Notes</t>
  </si>
  <si>
    <t>CreatedBy</t>
  </si>
  <si>
    <t>LastMoveTS (AUTO)</t>
  </si>
  <si>
    <t>LastMovedBy (AUTO)</t>
  </si>
  <si>
    <t>QR_Payload_Pallet (deprecated)</t>
  </si>
  <si>
    <t>ReceiptDate (deprecated)</t>
  </si>
  <si>
    <t>Ref (deprecated)</t>
  </si>
  <si>
    <t>Item (deprecated)</t>
  </si>
  <si>
    <t>QtyReceived (deprecated)</t>
  </si>
  <si>
    <t>Serials (deprecated)</t>
  </si>
  <si>
    <t>EnteredBy_RAW (deprecated)</t>
  </si>
  <si>
    <t>Legacy_RawInputs (deprecated)</t>
  </si>
  <si>
    <t>StockLines (AUTO)</t>
  </si>
  <si>
    <t>StockQtyTotal (AUTO)</t>
  </si>
  <si>
    <t>StockUniquePN (AUTO)</t>
  </si>
  <si>
    <t>StockHasPN (AUTO)</t>
  </si>
  <si>
    <t>PAL-0000001</t>
  </si>
  <si>
    <t>OVERFLOW-RICH-CYBERNETS-CFAM-CCMC</t>
  </si>
  <si>
    <t>CHRIS_OVERFLOW_A_ZONE3</t>
  </si>
  <si>
    <t>ACTIVE</t>
  </si>
  <si>
    <t>STANDARD</t>
  </si>
  <si>
    <t>CYBERNETS CFAM/CCMC QTY:15</t>
  </si>
  <si>
    <t>NORTHWELL NUERON PROJECT</t>
  </si>
  <si>
    <t>Alejandro Perales</t>
  </si>
  <si>
    <t>B:WH-Z1-A01-AISLE-FLOOR-02 F:OVERFLOW-&lt;ClientLastName&gt;-PO&lt;PO&gt;-&lt;Category&gt;-&lt;Seq&gt; D:WH-Z1-A01-AISLE-FLOOR-02</t>
  </si>
  <si>
    <t>PAL-0000002</t>
  </si>
  <si>
    <t>WH-STAGE-IN</t>
  </si>
  <si>
    <t>STAGED</t>
  </si>
  <si>
    <t>SAFE</t>
  </si>
  <si>
    <t>SAMPLE: Monitors 24-40</t>
  </si>
  <si>
    <t>SAMPLE: replace with real notes / serials / constraints</t>
  </si>
  <si>
    <t>SAMPLE-TECH</t>
  </si>
  <si>
    <t>B:OVERFLOW-&lt;ClientLastName&gt;-PO&lt;PO&gt;-&lt;Category&gt;-&lt;Seq&gt;</t>
  </si>
  <si>
    <t>PAL-0000003</t>
  </si>
  <si>
    <t>OVERFLOW-CHRIS-UMAIR_TICKETS-</t>
  </si>
  <si>
    <t>CHRIS_OVERFLOW_A_ZONE1</t>
  </si>
  <si>
    <t>UNSAFE</t>
  </si>
  <si>
    <t>Monitors T24-40</t>
  </si>
  <si>
    <t>24 Day Ticket</t>
  </si>
  <si>
    <t>B:OVERFLOW-CHRIS-UMAIR_TICKETS- D:CHRIS_OVERFLOW_A_ZONE1</t>
  </si>
  <si>
    <t>PAL-0000004</t>
  </si>
  <si>
    <t>WH-Z1-AisleO-Bay10-Level1</t>
  </si>
  <si>
    <t>48x T24i-30</t>
  </si>
  <si>
    <t>Geoff Gerber</t>
  </si>
  <si>
    <t>B:OVERFLOW-CHRIS- D:CHRIS_OVERFLOW_A_ZONE1</t>
  </si>
  <si>
    <t>PAL-0000005</t>
  </si>
  <si>
    <t>Northwell Capsule &amp; GCX</t>
  </si>
  <si>
    <t>WH-ZR-AisleM-Bay1-Level3</t>
  </si>
  <si>
    <t>capsule &amp; GCX</t>
  </si>
  <si>
    <t>crate looks broken, contents are tightly wrapped / unable to 100% verify actually contents of boxes</t>
  </si>
  <si>
    <t>Khadejah Harrison</t>
  </si>
  <si>
    <t>PAL-0000006</t>
  </si>
  <si>
    <t>WH-Z1-NOOverflow</t>
  </si>
  <si>
    <t>19x T24 Thinkvision Monitor 63CFMAR1US</t>
  </si>
  <si>
    <t>PAL-0000007</t>
  </si>
  <si>
    <t>WH-Z1-AisleO-Bay7-Level1</t>
  </si>
  <si>
    <t>TEMP</t>
  </si>
  <si>
    <t>PAL-0000008</t>
  </si>
  <si>
    <t>OVERFLOW-SAMPLE-PO1007-CAT3-PAL008</t>
  </si>
  <si>
    <t>WH-Z1-AisleA-Bay1-Level5</t>
  </si>
  <si>
    <t>SAMPLE: Power Supplies</t>
  </si>
  <si>
    <t>PAL-0000009</t>
  </si>
  <si>
    <t>WH-Z1-AisleA-Bay1-Level6</t>
  </si>
  <si>
    <t>SAMPLE: Imaging Equipment</t>
  </si>
  <si>
    <t>PAL-0000010</t>
  </si>
  <si>
    <t>WH-Z1-AisleA-Bay1-Level7</t>
  </si>
  <si>
    <t>SAMPLE: Misc Hardware</t>
  </si>
  <si>
    <t>B</t>
  </si>
  <si>
    <t>PAL-0000011</t>
  </si>
  <si>
    <t>WH-Z1-AisleA-Bay1-Level8</t>
  </si>
  <si>
    <t>SAMPLE: Dell Devices</t>
  </si>
  <si>
    <t>PAL-0000012</t>
  </si>
  <si>
    <t>WH-Z1-AisleA-Bay1-Level9</t>
  </si>
  <si>
    <t>PAL-0000013</t>
  </si>
  <si>
    <t>WH-Z1-AisleA-Bay1-Level10</t>
  </si>
  <si>
    <t>SAMPLE: Cables &amp; Adapters</t>
  </si>
  <si>
    <t>PAL-0000014</t>
  </si>
  <si>
    <t>WH-Z1-AisleA-Bay1-Level11</t>
  </si>
  <si>
    <t>SAMPLE: Racks &amp; Rails</t>
  </si>
  <si>
    <t>PAL-0000015</t>
  </si>
  <si>
    <t>OVERFLOW-SAMPLE-PO1014-CAT5-PAL015</t>
  </si>
  <si>
    <t>WH-Z1-AisleA-Bay1-Level12</t>
  </si>
  <si>
    <t>SAMPLE: Networking Gear</t>
  </si>
  <si>
    <t>PAL-0000016</t>
  </si>
  <si>
    <t>WH-Z1-AisleA-Bay1-Level13</t>
  </si>
  <si>
    <t>SAMPLE: Keyboards &amp; Mice</t>
  </si>
  <si>
    <t>PAL-0000017</t>
  </si>
  <si>
    <t>WH-Z1-AisleA-Bay1-Level14</t>
  </si>
  <si>
    <t>SAMPLE: Spare Parts</t>
  </si>
  <si>
    <t>PAL-0000018</t>
  </si>
  <si>
    <t>WH-Z1-AisleA-Bay1-Level15</t>
  </si>
  <si>
    <t>PAL-0000019</t>
  </si>
  <si>
    <t>WH-Z1-AisleA-Bay1-Level16</t>
  </si>
  <si>
    <t>PAL-0000020</t>
  </si>
  <si>
    <t>WH-Z1-AisleA-Bay1-Level17</t>
  </si>
  <si>
    <t>PAL-0000021</t>
  </si>
  <si>
    <t>WH-Z1-AisleA-Bay1-Level18</t>
  </si>
  <si>
    <t>PAL-0000022</t>
  </si>
  <si>
    <t>OVERFLOW-SAMPLE-PO1021-CAT2-PAL022</t>
  </si>
  <si>
    <t>WH-Z1-AisleA-Bay1-Level19</t>
  </si>
  <si>
    <t>PAL-0000023</t>
  </si>
  <si>
    <t>WH-Z1-AisleA-Bay1-Level20</t>
  </si>
  <si>
    <t>PAL-0000024</t>
  </si>
  <si>
    <t>WH-Z1-AisleB-Bay1-Level1</t>
  </si>
  <si>
    <t>PAL-0000025</t>
  </si>
  <si>
    <t>WH-Z1-AisleB-Bay1-Level2</t>
  </si>
  <si>
    <t>PAL-0000026</t>
  </si>
  <si>
    <t>WH-Z1-AisleB-Bay1-Level3</t>
  </si>
  <si>
    <t>PAL-0000027</t>
  </si>
  <si>
    <t>WH-Z1-AisleB-Bay1-Level4</t>
  </si>
  <si>
    <t>PAL-0000028</t>
  </si>
  <si>
    <t>WH-Z1-AisleB-Bay1-Level5</t>
  </si>
  <si>
    <t>PAL-0000029</t>
  </si>
  <si>
    <t>OVERFLOW-SAMPLE-PO1028-CAT4-PAL029</t>
  </si>
  <si>
    <t>WH-Z1-AisleB-Bay1-Level6</t>
  </si>
  <si>
    <t>PAL-0000030</t>
  </si>
  <si>
    <t>WH-Z1-AisleB-Bay1-Level7</t>
  </si>
  <si>
    <t>PAL-0000031</t>
  </si>
  <si>
    <t>WH-Z1-AisleB-Bay1-Level8</t>
  </si>
  <si>
    <t>PAL-0000032</t>
  </si>
  <si>
    <t>WH-Z1-AisleB-Bay1-Level9</t>
  </si>
  <si>
    <t>PAL-0000033</t>
  </si>
  <si>
    <t>WH-Z1-AisleB-Bay1-Level10</t>
  </si>
  <si>
    <t>PAL-0000034</t>
  </si>
  <si>
    <t>WH-Z1-AisleB-Bay1-Level11</t>
  </si>
  <si>
    <t>PAL-0000035</t>
  </si>
  <si>
    <t>WH-Z1-AisleB-Bay1-Level12</t>
  </si>
  <si>
    <t>PAL-0000036</t>
  </si>
  <si>
    <t>OVERFLOW-SAMPLE-PO1035-CAT1-PAL036</t>
  </si>
  <si>
    <t>WH-Z1-AisleB-Bay1-Level13</t>
  </si>
  <si>
    <t>PAL-0000037</t>
  </si>
  <si>
    <t>WH-Z1-AisleB-Bay1-Level14</t>
  </si>
  <si>
    <t>PAL-0000038</t>
  </si>
  <si>
    <t>WH-Z1-AisleB-Bay1-Level15</t>
  </si>
  <si>
    <t>PAL-0000039</t>
  </si>
  <si>
    <t>WH-Z1-AisleB-Bay1-Level16</t>
  </si>
  <si>
    <t>PAL-0000040</t>
  </si>
  <si>
    <t>WH-Z1-AisleB-Bay1-Level17</t>
  </si>
  <si>
    <t>PAL-0000041</t>
  </si>
  <si>
    <t>WH-Z1-AisleB-Bay1-Level18</t>
  </si>
  <si>
    <t>PAL-0000042</t>
  </si>
  <si>
    <t>WH-Z1-AisleB-Bay1-Level19</t>
  </si>
  <si>
    <t>PAL-0000043</t>
  </si>
  <si>
    <t>OVERFLOW-SAMPLE-PO1042-CAT3-PAL043</t>
  </si>
  <si>
    <t>WH-Z1-AisleB-Bay1-Level20</t>
  </si>
  <si>
    <t>PAL-0000044</t>
  </si>
  <si>
    <t>WH-Z1-AisleC-Bay1-Level1</t>
  </si>
  <si>
    <t>PAL-0000045</t>
  </si>
  <si>
    <t>WH-Z1-AisleC-Bay1-Level2</t>
  </si>
  <si>
    <t>PAL-0000046</t>
  </si>
  <si>
    <t>WH-Z1-AisleC-Bay1-Level3</t>
  </si>
  <si>
    <t>PAL-0000047</t>
  </si>
  <si>
    <t>WH-Z1-AisleC-Bay1-Level4</t>
  </si>
  <si>
    <t>PAL-0000048</t>
  </si>
  <si>
    <t>WH-Z1-AisleC-Bay1-Level5</t>
  </si>
  <si>
    <t>PAL-0000049</t>
  </si>
  <si>
    <t>WH-Z1-AisleC-Bay1-Level6</t>
  </si>
  <si>
    <t>PAL-0000050</t>
  </si>
  <si>
    <t>OVERFLOW-SAMPLE-PO1049-CAT5-PAL050</t>
  </si>
  <si>
    <t>WH-Z1-AisleC-Bay1-Level7</t>
  </si>
  <si>
    <t>RETIRED</t>
  </si>
  <si>
    <t>PAL-0000051</t>
  </si>
  <si>
    <t>WH-Z1-AisleC-Bay1-Level8</t>
  </si>
  <si>
    <t>PAL-0000052</t>
  </si>
  <si>
    <t>WH-Z1-AisleC-Bay1-Level9</t>
  </si>
  <si>
    <t>PAL-0000053</t>
  </si>
  <si>
    <t>WH-Z1-AisleC-Bay1-Level10</t>
  </si>
  <si>
    <t>PAL-0000054</t>
  </si>
  <si>
    <t>WH-Z1-AisleC-Bay1-Level11</t>
  </si>
  <si>
    <t>PAL-0000055</t>
  </si>
  <si>
    <t>WH-Z1-AisleC-Bay1-Level12</t>
  </si>
  <si>
    <t>PAL-0000056</t>
  </si>
  <si>
    <t>WH-Z1-AisleC-Bay1-Level13</t>
  </si>
  <si>
    <t>PAL-0000057</t>
  </si>
  <si>
    <t>OVERFLOW-SAMPLE-PO1056-CAT2-PAL057</t>
  </si>
  <si>
    <t>WH-Z1-AisleC-Bay1-Level14</t>
  </si>
  <si>
    <t>PAL-0000058</t>
  </si>
  <si>
    <t>WH-Z1-AisleC-Bay1-Level15</t>
  </si>
  <si>
    <t>PAL-0000059</t>
  </si>
  <si>
    <t>WH-Z1-AisleC-Bay1-Level16</t>
  </si>
  <si>
    <t>PAL-0000060</t>
  </si>
  <si>
    <t>WH-Z1-AisleC-Bay1-Level17</t>
  </si>
  <si>
    <t>PAL-0000061</t>
  </si>
  <si>
    <t>PAL-0000062</t>
  </si>
  <si>
    <t>PAL-0000063</t>
  </si>
  <si>
    <t>PAL-0000064</t>
  </si>
  <si>
    <t>PAL-0000065</t>
  </si>
  <si>
    <t>PAL-0000066</t>
  </si>
  <si>
    <t>PAL-0000067</t>
  </si>
  <si>
    <t>PAL-0000068</t>
  </si>
  <si>
    <t>PAL-0000069</t>
  </si>
  <si>
    <t>PAL-0000070</t>
  </si>
  <si>
    <t>PAL-0000071</t>
  </si>
  <si>
    <t>PAL-0000072</t>
  </si>
  <si>
    <t>PAL-0000073</t>
  </si>
  <si>
    <t>PAL-0000074</t>
  </si>
  <si>
    <t>PAL-0000075</t>
  </si>
  <si>
    <t>PAL-0000076</t>
  </si>
  <si>
    <t>PAL-0000077</t>
  </si>
  <si>
    <t>PAL-0000078</t>
  </si>
  <si>
    <t>PAL-0000079</t>
  </si>
  <si>
    <t>PAL-0000080</t>
  </si>
  <si>
    <t>PAL-0000081</t>
  </si>
  <si>
    <t>PAL-0000082</t>
  </si>
  <si>
    <t>PAL-0000083</t>
  </si>
  <si>
    <t>PAL-0000084</t>
  </si>
  <si>
    <t>PAL-0000085</t>
  </si>
  <si>
    <t>PAL-0000086</t>
  </si>
  <si>
    <t>PAL-0000087</t>
  </si>
  <si>
    <t>PAL-0000088</t>
  </si>
  <si>
    <t>PAL-0000089</t>
  </si>
  <si>
    <t>PAL-0000090</t>
  </si>
  <si>
    <t>PAL-0000091</t>
  </si>
  <si>
    <t>PAL-0000092</t>
  </si>
  <si>
    <t>PAL-0000093</t>
  </si>
  <si>
    <t>PAL-0000094</t>
  </si>
  <si>
    <t>PAL-0000095</t>
  </si>
  <si>
    <t>PAL-0000096</t>
  </si>
  <si>
    <t>PAL-0000097</t>
  </si>
  <si>
    <t>PAL-0000098</t>
  </si>
  <si>
    <t>PAL-0000099</t>
  </si>
  <si>
    <t>PAL-0000100</t>
  </si>
  <si>
    <t>PAL-0000101</t>
  </si>
  <si>
    <t>PAL-0000102</t>
  </si>
  <si>
    <t>PAL-0000103</t>
  </si>
  <si>
    <t>PAL-0000104</t>
  </si>
  <si>
    <t>PAL-0000105</t>
  </si>
  <si>
    <t>PAL-0000106</t>
  </si>
  <si>
    <t>PAL-0000107</t>
  </si>
  <si>
    <t>PAL-0000108</t>
  </si>
  <si>
    <t>PAL-0000109</t>
  </si>
  <si>
    <t>PAL-0000110</t>
  </si>
  <si>
    <t>PAL-0000111</t>
  </si>
  <si>
    <t>PAL-0000112</t>
  </si>
  <si>
    <t>PAL-0000113</t>
  </si>
  <si>
    <t>PAL-0000114</t>
  </si>
  <si>
    <t>PAL-0000115</t>
  </si>
  <si>
    <t>PAL-0000116</t>
  </si>
  <si>
    <t>PAL-0000117</t>
  </si>
  <si>
    <t>PAL-0000118</t>
  </si>
  <si>
    <t>PAL-0000119</t>
  </si>
  <si>
    <t>PAL-0000120</t>
  </si>
  <si>
    <t>PAL-0000121</t>
  </si>
  <si>
    <t>PAL-0000122</t>
  </si>
  <si>
    <t>PAL-0000123</t>
  </si>
  <si>
    <t>PAL-0000124</t>
  </si>
  <si>
    <t>PAL-0000125</t>
  </si>
  <si>
    <t>PAL-0000126</t>
  </si>
  <si>
    <t>PAL-0000127</t>
  </si>
  <si>
    <t>PAL-0000128</t>
  </si>
  <si>
    <t>PAL-0000129</t>
  </si>
  <si>
    <t>PAL-0000130</t>
  </si>
  <si>
    <t>PAL-0000131</t>
  </si>
  <si>
    <t>PAL-0000132</t>
  </si>
  <si>
    <t>PAL-0000133</t>
  </si>
  <si>
    <t>PAL-0000134</t>
  </si>
  <si>
    <t>PAL-0000135</t>
  </si>
  <si>
    <t>PAL-0000136</t>
  </si>
  <si>
    <t>PAL-0000137</t>
  </si>
  <si>
    <t>PAL-0000138</t>
  </si>
  <si>
    <t>PAL-0000139</t>
  </si>
  <si>
    <t>PAL-0000140</t>
  </si>
  <si>
    <t>PAL-0000141</t>
  </si>
  <si>
    <t>PAL-0000142</t>
  </si>
  <si>
    <t>PAL-0000143</t>
  </si>
  <si>
    <t>PAL-0000144</t>
  </si>
  <si>
    <t>PAL-0000145</t>
  </si>
  <si>
    <t>PAL-0000146</t>
  </si>
  <si>
    <t>PAL-0000147</t>
  </si>
  <si>
    <t>PAL-0000148</t>
  </si>
  <si>
    <t>PAL-0000149</t>
  </si>
  <si>
    <t>PAL-0000150</t>
  </si>
  <si>
    <t>PAL-0000151</t>
  </si>
  <si>
    <t>PAL-0000152</t>
  </si>
  <si>
    <t>PAL-0000153</t>
  </si>
  <si>
    <t>PAL-0000154</t>
  </si>
  <si>
    <t>PAL-0000155</t>
  </si>
  <si>
    <t>PAL-0000156</t>
  </si>
  <si>
    <t>PAL-0000157</t>
  </si>
  <si>
    <t>PAL-0000158</t>
  </si>
  <si>
    <t>PAL-0000159</t>
  </si>
  <si>
    <t>PAL-0000160</t>
  </si>
  <si>
    <t>PAL-0000161</t>
  </si>
  <si>
    <t>PAL-0000162</t>
  </si>
  <si>
    <t>PAL-0000163</t>
  </si>
  <si>
    <t>PAL-0000164</t>
  </si>
  <si>
    <t>PAL-0000165</t>
  </si>
  <si>
    <t>PAL-0000166</t>
  </si>
  <si>
    <t>PAL-0000167</t>
  </si>
  <si>
    <t>PAL-0000168</t>
  </si>
  <si>
    <t>PAL-0000169</t>
  </si>
  <si>
    <t>PAL-0000170</t>
  </si>
  <si>
    <t>PAL-0000171</t>
  </si>
  <si>
    <t>PAL-0000172</t>
  </si>
  <si>
    <t>PAL-0000173</t>
  </si>
  <si>
    <t>PAL-0000174</t>
  </si>
  <si>
    <t>PAL-0000175</t>
  </si>
  <si>
    <t>PAL-0000176</t>
  </si>
  <si>
    <t>PAL-0000177</t>
  </si>
  <si>
    <t>PAL-0000178</t>
  </si>
  <si>
    <t>PAL-0000179</t>
  </si>
  <si>
    <t>PAL-0000180</t>
  </si>
  <si>
    <t>PAL-0000181</t>
  </si>
  <si>
    <t>PAL-0000182</t>
  </si>
  <si>
    <t>PAL-0000183</t>
  </si>
  <si>
    <t>PAL-0000184</t>
  </si>
  <si>
    <t>PAL-0000185</t>
  </si>
  <si>
    <t>PAL-0000186</t>
  </si>
  <si>
    <t>PAL-0000187</t>
  </si>
  <si>
    <t>PAL-0000188</t>
  </si>
  <si>
    <t>PAL-0000189</t>
  </si>
  <si>
    <t>PAL-0000190</t>
  </si>
  <si>
    <t>PAL-0000191</t>
  </si>
  <si>
    <t>PAL-0000192</t>
  </si>
  <si>
    <t>PAL-0000193</t>
  </si>
  <si>
    <t>PAL-0000194</t>
  </si>
  <si>
    <t>PAL-0000195</t>
  </si>
  <si>
    <t>PAL-0000196</t>
  </si>
  <si>
    <t>PAL-0000197</t>
  </si>
  <si>
    <t>PAL-0000198</t>
  </si>
  <si>
    <t>PAL-0000199</t>
  </si>
  <si>
    <t>PAL-0000200</t>
  </si>
  <si>
    <t>PAL-0000201</t>
  </si>
  <si>
    <t>PAL-0000202</t>
  </si>
  <si>
    <t>PAL-0000203</t>
  </si>
  <si>
    <t>PAL-0000204</t>
  </si>
  <si>
    <t>PAL-0000205</t>
  </si>
  <si>
    <t>PAL-0000206</t>
  </si>
  <si>
    <t>PAL-0000207</t>
  </si>
  <si>
    <t>PAL-0000208</t>
  </si>
  <si>
    <t>PAL-0000209</t>
  </si>
  <si>
    <t>PAL-0000210</t>
  </si>
  <si>
    <t>PAL-0000211</t>
  </si>
  <si>
    <t>PAL-0000212</t>
  </si>
  <si>
    <t>PAL-0000213</t>
  </si>
  <si>
    <t>PAL-0000214</t>
  </si>
  <si>
    <t>PAL-0000215</t>
  </si>
  <si>
    <t>PAL-0000216</t>
  </si>
  <si>
    <t>PAL-0000217</t>
  </si>
  <si>
    <t>PAL-0000218</t>
  </si>
  <si>
    <t>PAL-0000219</t>
  </si>
  <si>
    <t>PAL-0000220</t>
  </si>
  <si>
    <t>PAL-0000221</t>
  </si>
  <si>
    <t>PAL-0000222</t>
  </si>
  <si>
    <t>PAL-0000223</t>
  </si>
  <si>
    <t>PAL-0000224</t>
  </si>
  <si>
    <t>PAL-0000225</t>
  </si>
  <si>
    <t>PAL-0000226</t>
  </si>
  <si>
    <t>PAL-0000227</t>
  </si>
  <si>
    <t>PAL-0000228</t>
  </si>
  <si>
    <t>PAL-0000229</t>
  </si>
  <si>
    <t>PAL-0000230</t>
  </si>
  <si>
    <t>PAL-0000231</t>
  </si>
  <si>
    <t>PAL-0000232</t>
  </si>
  <si>
    <t>PAL-0000233</t>
  </si>
  <si>
    <t>PAL-0000234</t>
  </si>
  <si>
    <t>PAL-0000235</t>
  </si>
  <si>
    <t>PAL-0000236</t>
  </si>
  <si>
    <t>PAL-0000237</t>
  </si>
  <si>
    <t>PAL-0000238</t>
  </si>
  <si>
    <t>PAL-0000239</t>
  </si>
  <si>
    <t>PAL-0000240</t>
  </si>
  <si>
    <t>PAL-0000241</t>
  </si>
  <si>
    <t>PAL-0000242</t>
  </si>
  <si>
    <t>PAL-0000243</t>
  </si>
  <si>
    <t>PAL-0000244</t>
  </si>
  <si>
    <t>PAL-0000245</t>
  </si>
  <si>
    <t>PAL-0000246</t>
  </si>
  <si>
    <t>PAL-0000247</t>
  </si>
  <si>
    <t>PAL-0000248</t>
  </si>
  <si>
    <t>PAL-0000249</t>
  </si>
  <si>
    <t>PAL-0000250</t>
  </si>
  <si>
    <t>PAL-0000251</t>
  </si>
  <si>
    <t>PAL-0000252</t>
  </si>
  <si>
    <t>PAL-0000253</t>
  </si>
  <si>
    <t>PAL-0000254</t>
  </si>
  <si>
    <t>PAL-0000255</t>
  </si>
  <si>
    <t>PAL-0000256</t>
  </si>
  <si>
    <t>PAL-0000257</t>
  </si>
  <si>
    <t>PAL-0000258</t>
  </si>
  <si>
    <t>PAL-0000259</t>
  </si>
  <si>
    <t>PAL-0000260</t>
  </si>
  <si>
    <t>PAL-0000261</t>
  </si>
  <si>
    <t>PAL-0000262</t>
  </si>
  <si>
    <t>PAL-0000263</t>
  </si>
  <si>
    <t>PAL-0000264</t>
  </si>
  <si>
    <t>PAL-0000265</t>
  </si>
  <si>
    <t>PAL-0000266</t>
  </si>
  <si>
    <t>PAL-0000267</t>
  </si>
  <si>
    <t>PAL-0000268</t>
  </si>
  <si>
    <t>PAL-0000269</t>
  </si>
  <si>
    <t>PAL-0000270</t>
  </si>
  <si>
    <t>PAL-0000271</t>
  </si>
  <si>
    <t>PAL-0000272</t>
  </si>
  <si>
    <t>PAL-0000273</t>
  </si>
  <si>
    <t>PAL-0000274</t>
  </si>
  <si>
    <t>PAL-0000275</t>
  </si>
  <si>
    <t>PAL-0000276</t>
  </si>
  <si>
    <t>PAL-0000277</t>
  </si>
  <si>
    <t>PAL-0000278</t>
  </si>
  <si>
    <t>PAL-0000279</t>
  </si>
  <si>
    <t>PAL-0000280</t>
  </si>
  <si>
    <t>PAL-0000281</t>
  </si>
  <si>
    <t>PAL-0000282</t>
  </si>
  <si>
    <t>PAL-0000283</t>
  </si>
  <si>
    <t>PAL-0000284</t>
  </si>
  <si>
    <t>PAL-0000285</t>
  </si>
  <si>
    <t>PAL-0000286</t>
  </si>
  <si>
    <t>PAL-0000287</t>
  </si>
  <si>
    <t>PAL-0000288</t>
  </si>
  <si>
    <t>PAL-0000289</t>
  </si>
  <si>
    <t>PAL-0000290</t>
  </si>
  <si>
    <t>PAL-0000291</t>
  </si>
  <si>
    <t>PAL-0000292</t>
  </si>
  <si>
    <t>PAL-0000293</t>
  </si>
  <si>
    <t>PAL-0000294</t>
  </si>
  <si>
    <t>PAL-0000295</t>
  </si>
  <si>
    <t>PAL-0000296</t>
  </si>
  <si>
    <t>PAL-0000297</t>
  </si>
  <si>
    <t>PAL-0000298</t>
  </si>
  <si>
    <t>PAL-0000299</t>
  </si>
  <si>
    <t>PAL-0000300</t>
  </si>
  <si>
    <t>PAL-0000301</t>
  </si>
  <si>
    <t>PAL-0000302</t>
  </si>
  <si>
    <t>PAL-0000303</t>
  </si>
  <si>
    <t>PAL-0000304</t>
  </si>
  <si>
    <t>PAL-0000305</t>
  </si>
  <si>
    <t>PAL-0000306</t>
  </si>
  <si>
    <t>PAL-0000307</t>
  </si>
  <si>
    <t>PAL-0000308</t>
  </si>
  <si>
    <t>PAL-0000309</t>
  </si>
  <si>
    <t>PAL-0000310</t>
  </si>
  <si>
    <t>PAL-0000311</t>
  </si>
  <si>
    <t>PAL-0000312</t>
  </si>
  <si>
    <t>PAL-0000313</t>
  </si>
  <si>
    <t>PAL-0000314</t>
  </si>
  <si>
    <t>PAL-0000315</t>
  </si>
  <si>
    <t>PAL-0000316</t>
  </si>
  <si>
    <t>PAL-0000317</t>
  </si>
  <si>
    <t>PAL-0000318</t>
  </si>
  <si>
    <t>PAL-0000319</t>
  </si>
  <si>
    <t>PAL-0000320</t>
  </si>
  <si>
    <t>PAL-0000321</t>
  </si>
  <si>
    <t>PAL-0000322</t>
  </si>
  <si>
    <t>PAL-0000323</t>
  </si>
  <si>
    <t>PAL-0000324</t>
  </si>
  <si>
    <t>PAL-0000325</t>
  </si>
  <si>
    <t>PAL-0000326</t>
  </si>
  <si>
    <t>PAL-0000327</t>
  </si>
  <si>
    <t>PAL-0000328</t>
  </si>
  <si>
    <t>PAL-0000329</t>
  </si>
  <si>
    <t>PAL-0000330</t>
  </si>
  <si>
    <t>PAL-0000331</t>
  </si>
  <si>
    <t>PAL-0000332</t>
  </si>
  <si>
    <t>PAL-0000333</t>
  </si>
  <si>
    <t>PAL-0000334</t>
  </si>
  <si>
    <t>PAL-0000335</t>
  </si>
  <si>
    <t>PAL-0000336</t>
  </si>
  <si>
    <t>PAL-0000337</t>
  </si>
  <si>
    <t>PAL-0000338</t>
  </si>
  <si>
    <t>PAL-0000339</t>
  </si>
  <si>
    <t>PAL-0000340</t>
  </si>
  <si>
    <t>PAL-0000341</t>
  </si>
  <si>
    <t>PAL-0000342</t>
  </si>
  <si>
    <t>PAL-0000343</t>
  </si>
  <si>
    <t>PAL-0000344</t>
  </si>
  <si>
    <t>PAL-0000345</t>
  </si>
  <si>
    <t>PAL-0000346</t>
  </si>
  <si>
    <t>PAL-0000347</t>
  </si>
  <si>
    <t>PAL-0000348</t>
  </si>
  <si>
    <t>PAL-0000349</t>
  </si>
  <si>
    <t>PAL-0000350</t>
  </si>
  <si>
    <t>PAL-0000351</t>
  </si>
  <si>
    <t>PAL-0000352</t>
  </si>
  <si>
    <t>PAL-0000353</t>
  </si>
  <si>
    <t>PAL-0000354</t>
  </si>
  <si>
    <t>PAL-0000355</t>
  </si>
  <si>
    <t>PAL-0000356</t>
  </si>
  <si>
    <t>PAL-0000357</t>
  </si>
  <si>
    <t>PAL-0000358</t>
  </si>
  <si>
    <t>PAL-0000359</t>
  </si>
  <si>
    <t>PAL-0000360</t>
  </si>
  <si>
    <t>PAL-0000361</t>
  </si>
  <si>
    <t>PAL-0000362</t>
  </si>
  <si>
    <t>PAL-0000363</t>
  </si>
  <si>
    <t>PAL-0000364</t>
  </si>
  <si>
    <t>PAL-0000365</t>
  </si>
  <si>
    <t>PAL-0000366</t>
  </si>
  <si>
    <t>PAL-0000367</t>
  </si>
  <si>
    <t>PAL-0000368</t>
  </si>
  <si>
    <t>PAL-0000369</t>
  </si>
  <si>
    <t>PAL-0000370</t>
  </si>
  <si>
    <t>PAL-0000371</t>
  </si>
  <si>
    <t>PAL-0000372</t>
  </si>
  <si>
    <t>PAL-0000373</t>
  </si>
  <si>
    <t>PAL-0000374</t>
  </si>
  <si>
    <t>PAL-0000375</t>
  </si>
  <si>
    <t>PAL-0000376</t>
  </si>
  <si>
    <t>PAL-0000377</t>
  </si>
  <si>
    <t>PAL-0000378</t>
  </si>
  <si>
    <t>PAL-0000379</t>
  </si>
  <si>
    <t>PAL-0000380</t>
  </si>
  <si>
    <t>PAL-0000381</t>
  </si>
  <si>
    <t>PAL-0000382</t>
  </si>
  <si>
    <t>PAL-0000383</t>
  </si>
  <si>
    <t>PAL-0000384</t>
  </si>
  <si>
    <t>PAL-0000385</t>
  </si>
  <si>
    <t>PAL-0000386</t>
  </si>
  <si>
    <t>PAL-0000387</t>
  </si>
  <si>
    <t>PAL-0000388</t>
  </si>
  <si>
    <t>PAL-0000389</t>
  </si>
  <si>
    <t>PAL-0000390</t>
  </si>
  <si>
    <t>PAL-0000391</t>
  </si>
  <si>
    <t>PAL-0000392</t>
  </si>
  <si>
    <t>PAL-0000393</t>
  </si>
  <si>
    <t>PAL-0000394</t>
  </si>
  <si>
    <t>PAL-0000395</t>
  </si>
  <si>
    <t>PAL-0000396</t>
  </si>
  <si>
    <t>PAL-0000397</t>
  </si>
  <si>
    <t>PAL-0000398</t>
  </si>
  <si>
    <t>PAL-0000399</t>
  </si>
  <si>
    <t>PAL-0000400</t>
  </si>
  <si>
    <t>PAL-0000401</t>
  </si>
  <si>
    <t>PAL-0000402</t>
  </si>
  <si>
    <t>PAL-0000403</t>
  </si>
  <si>
    <t>PAL-0000404</t>
  </si>
  <si>
    <t>PAL-0000405</t>
  </si>
  <si>
    <t>PAL-0000406</t>
  </si>
  <si>
    <t>PAL-0000407</t>
  </si>
  <si>
    <t>PAL-0000408</t>
  </si>
  <si>
    <t>PAL-0000409</t>
  </si>
  <si>
    <t>PAL-0000410</t>
  </si>
  <si>
    <t>PAL-0000411</t>
  </si>
  <si>
    <t>PAL-0000412</t>
  </si>
  <si>
    <t>PAL-0000413</t>
  </si>
  <si>
    <t>PAL-0000414</t>
  </si>
  <si>
    <t>PAL-0000415</t>
  </si>
  <si>
    <t>PAL-0000416</t>
  </si>
  <si>
    <t>PAL-0000417</t>
  </si>
  <si>
    <t>PAL-0000418</t>
  </si>
  <si>
    <t>PAL-0000419</t>
  </si>
  <si>
    <t>PAL-0000420</t>
  </si>
  <si>
    <t>PAL-0000421</t>
  </si>
  <si>
    <t>PAL-0000422</t>
  </si>
  <si>
    <t>PAL-0000423</t>
  </si>
  <si>
    <t>PAL-0000424</t>
  </si>
  <si>
    <t>PAL-0000425</t>
  </si>
  <si>
    <t>PAL-0000426</t>
  </si>
  <si>
    <t>PAL-0000427</t>
  </si>
  <si>
    <t>PAL-0000428</t>
  </si>
  <si>
    <t>PAL-0000429</t>
  </si>
  <si>
    <t>PAL-0000430</t>
  </si>
  <si>
    <t>PAL-0000431</t>
  </si>
  <si>
    <t>PAL-0000432</t>
  </si>
  <si>
    <t>PAL-0000433</t>
  </si>
  <si>
    <t>PAL-0000434</t>
  </si>
  <si>
    <t>PAL-0000435</t>
  </si>
  <si>
    <t>PAL-0000436</t>
  </si>
  <si>
    <t>PAL-0000437</t>
  </si>
  <si>
    <t>PAL-0000438</t>
  </si>
  <si>
    <t>PAL-0000439</t>
  </si>
  <si>
    <t>PAL-0000440</t>
  </si>
  <si>
    <t>PAL-0000441</t>
  </si>
  <si>
    <t>PAL-0000442</t>
  </si>
  <si>
    <t>PAL-0000443</t>
  </si>
  <si>
    <t>PAL-0000444</t>
  </si>
  <si>
    <t>PAL-0000445</t>
  </si>
  <si>
    <t>PAL-0000446</t>
  </si>
  <si>
    <t>PAL-0000447</t>
  </si>
  <si>
    <t>PAL-0000448</t>
  </si>
  <si>
    <t>PAL-0000449</t>
  </si>
  <si>
    <t>PAL-0000450</t>
  </si>
  <si>
    <t>PAL-0000451</t>
  </si>
  <si>
    <t>PAL-0000452</t>
  </si>
  <si>
    <t>PAL-0000453</t>
  </si>
  <si>
    <t>PAL-0000454</t>
  </si>
  <si>
    <t>PAL-0000455</t>
  </si>
  <si>
    <t>PAL-0000456</t>
  </si>
  <si>
    <t>PAL-0000457</t>
  </si>
  <si>
    <t>PAL-0000458</t>
  </si>
  <si>
    <t>PAL-0000459</t>
  </si>
  <si>
    <t>PAL-0000460</t>
  </si>
  <si>
    <t>PAL-0000461</t>
  </si>
  <si>
    <t>PAL-0000462</t>
  </si>
  <si>
    <t>PAL-0000463</t>
  </si>
  <si>
    <t>PAL-0000464</t>
  </si>
  <si>
    <t>PAL-0000465</t>
  </si>
  <si>
    <t>PAL-0000466</t>
  </si>
  <si>
    <t>PAL-0000467</t>
  </si>
  <si>
    <t>PAL-0000468</t>
  </si>
  <si>
    <t>PAL-0000469</t>
  </si>
  <si>
    <t>PAL-0000470</t>
  </si>
  <si>
    <t>PAL-0000471</t>
  </si>
  <si>
    <t>PAL-0000472</t>
  </si>
  <si>
    <t>PAL-0000473</t>
  </si>
  <si>
    <t>PAL-0000474</t>
  </si>
  <si>
    <t>PAL-0000475</t>
  </si>
  <si>
    <t>PAL-0000476</t>
  </si>
  <si>
    <t>PAL-0000477</t>
  </si>
  <si>
    <t>PAL-0000478</t>
  </si>
  <si>
    <t>PAL-0000479</t>
  </si>
  <si>
    <t>PAL-0000480</t>
  </si>
  <si>
    <t>PAL-0000481</t>
  </si>
  <si>
    <t>PAL-0000482</t>
  </si>
  <si>
    <t>PAL-0000483</t>
  </si>
  <si>
    <t>PAL-0000484</t>
  </si>
  <si>
    <t>PAL-0000485</t>
  </si>
  <si>
    <t>PAL-0000486</t>
  </si>
  <si>
    <t>PAL-0000487</t>
  </si>
  <si>
    <t>PAL-0000488</t>
  </si>
  <si>
    <t>PAL-0000489</t>
  </si>
  <si>
    <t>PAL-0000490</t>
  </si>
  <si>
    <t>PAL-0000491</t>
  </si>
  <si>
    <t>PAL-0000492</t>
  </si>
  <si>
    <t>PAL-0000493</t>
  </si>
  <si>
    <t>PAL-0000494</t>
  </si>
  <si>
    <t>PAL-0000495</t>
  </si>
  <si>
    <t>PAL-0000496</t>
  </si>
  <si>
    <t>PAL-0000497</t>
  </si>
  <si>
    <t>PAL-0000498</t>
  </si>
  <si>
    <t>PAL-0000499</t>
  </si>
  <si>
    <t>PAL-0000500</t>
  </si>
  <si>
    <t>end</t>
  </si>
  <si>
    <t>END</t>
  </si>
  <si>
    <t>LocationCode</t>
  </si>
  <si>
    <t>Zone</t>
  </si>
  <si>
    <t>Aisle</t>
  </si>
  <si>
    <t>Position/Slot</t>
  </si>
  <si>
    <t>LocationType</t>
  </si>
  <si>
    <t>AccessRating(1-5)</t>
  </si>
  <si>
    <t>QR_Payload</t>
  </si>
  <si>
    <t>DisplayLabel (AUTO)</t>
  </si>
  <si>
    <t>AisleNum (AUTO)</t>
  </si>
  <si>
    <t>SlotNum (AUTO)</t>
  </si>
  <si>
    <t>LevelNum (AUTO)</t>
  </si>
  <si>
    <t>PrismNode (AUTO)</t>
  </si>
  <si>
    <t>GridCol (AUTO)</t>
  </si>
  <si>
    <t>GridRow (AUTO)</t>
  </si>
  <si>
    <t>GridNode (AUTO)</t>
  </si>
  <si>
    <t>WH</t>
  </si>
  <si>
    <t>STAGE_IN</t>
  </si>
  <si>
    <t>Inbound staging</t>
  </si>
  <si>
    <t>WH-STAGE-OUT</t>
  </si>
  <si>
    <t>STAGE_OUT</t>
  </si>
  <si>
    <t>Outbound / ship staging</t>
  </si>
  <si>
    <t>WH-QUARANTINE</t>
  </si>
  <si>
    <t>QUARANTINE</t>
  </si>
  <si>
    <t>Damaged/unknown hold</t>
  </si>
  <si>
    <t>WH-Z1-A01-ENDCAP-L</t>
  </si>
  <si>
    <t>Z1</t>
  </si>
  <si>
    <t>A01</t>
  </si>
  <si>
    <t>L</t>
  </si>
  <si>
    <t>ENDCAP</t>
  </si>
  <si>
    <t>Endcap left</t>
  </si>
  <si>
    <t>WH-Z1-AisleA-Bay1-Level1</t>
  </si>
  <si>
    <t>A</t>
  </si>
  <si>
    <t>AISLE_FLOOR</t>
  </si>
  <si>
    <t>Between rows segment 01</t>
  </si>
  <si>
    <t>WH-Z1-AisleA-Bay1-Level2</t>
  </si>
  <si>
    <t>Between rows segment 02</t>
  </si>
  <si>
    <t>WH-Z1-A01-OVERFLOW-01</t>
  </si>
  <si>
    <t>01</t>
  </si>
  <si>
    <t>OVERFLOW</t>
  </si>
  <si>
    <t>Overflow slot 01</t>
  </si>
  <si>
    <t>CHRIS</t>
  </si>
  <si>
    <t>Custom location code from Warehouse Ledger (details TBD).</t>
  </si>
  <si>
    <t>WH-Z1-AisleA-Bay1-Level3</t>
  </si>
  <si>
    <t>SAMPLE: Grid A03</t>
  </si>
  <si>
    <t>WH-Z1-AisleA-Bay1-Level4</t>
  </si>
  <si>
    <t>SAMPLE: Grid A04</t>
  </si>
  <si>
    <t>SAMPLE: Grid A05</t>
  </si>
  <si>
    <t>SAMPLE: Grid A06</t>
  </si>
  <si>
    <t>SAMPLE: Grid A07</t>
  </si>
  <si>
    <t>SAMPLE: Grid A08</t>
  </si>
  <si>
    <t>SAMPLE: Grid A09</t>
  </si>
  <si>
    <t>SAMPLE: Grid A10</t>
  </si>
  <si>
    <t>SAMPLE: Grid A11</t>
  </si>
  <si>
    <t>SAMPLE: Grid A12</t>
  </si>
  <si>
    <t>SAMPLE: Grid A13</t>
  </si>
  <si>
    <t>SAMPLE: Grid A14</t>
  </si>
  <si>
    <t>SAMPLE: Grid A15</t>
  </si>
  <si>
    <t>SAMPLE: Grid A16</t>
  </si>
  <si>
    <t>SAMPLE: Grid A17</t>
  </si>
  <si>
    <t>SAMPLE: Grid A18</t>
  </si>
  <si>
    <t>SAMPLE: Grid A19</t>
  </si>
  <si>
    <t>SAMPLE: Grid A20</t>
  </si>
  <si>
    <t>SAMPLE: Grid B01</t>
  </si>
  <si>
    <t>SAMPLE: Grid B02</t>
  </si>
  <si>
    <t>SAMPLE: Grid B03</t>
  </si>
  <si>
    <t>SAMPLE: Grid B04</t>
  </si>
  <si>
    <t>SAMPLE: Grid B05</t>
  </si>
  <si>
    <t>SAMPLE: Grid B06</t>
  </si>
  <si>
    <t>SAMPLE: Grid B07</t>
  </si>
  <si>
    <t>SAMPLE: Grid B08</t>
  </si>
  <si>
    <t>SAMPLE: Grid B09</t>
  </si>
  <si>
    <t>SAMPLE: Grid B10</t>
  </si>
  <si>
    <t>SAMPLE: Grid B11</t>
  </si>
  <si>
    <t>SAMPLE: Grid B12</t>
  </si>
  <si>
    <t>SAMPLE: Grid B13</t>
  </si>
  <si>
    <t>SAMPLE: Grid B14</t>
  </si>
  <si>
    <t>SAMPLE: Grid B15</t>
  </si>
  <si>
    <t>SAMPLE: Grid B16</t>
  </si>
  <si>
    <t>SAMPLE: Grid B17</t>
  </si>
  <si>
    <t>SAMPLE: Grid B18</t>
  </si>
  <si>
    <t>SAMPLE: Grid B19</t>
  </si>
  <si>
    <t>SAMPLE: Grid B20</t>
  </si>
  <si>
    <t>C</t>
  </si>
  <si>
    <t>SAMPLE: Grid C01</t>
  </si>
  <si>
    <t>SAMPLE: Grid C02</t>
  </si>
  <si>
    <t>SAMPLE: Grid C03</t>
  </si>
  <si>
    <t>SAMPLE: Grid C04</t>
  </si>
  <si>
    <t>SAMPLE: Grid C05</t>
  </si>
  <si>
    <t>SAMPLE: Grid C06</t>
  </si>
  <si>
    <t>SAMPLE: Grid C07</t>
  </si>
  <si>
    <t>SAMPLE: Grid C08</t>
  </si>
  <si>
    <t>SAMPLE: Grid C09</t>
  </si>
  <si>
    <t>SAMPLE: Grid C10</t>
  </si>
  <si>
    <t>SAMPLE: Grid C11</t>
  </si>
  <si>
    <t>SAMPLE: Grid C12</t>
  </si>
  <si>
    <t>SAMPLE: Grid C13</t>
  </si>
  <si>
    <t>SAMPLE: Grid C14</t>
  </si>
  <si>
    <t>SAMPLE: Grid C15</t>
  </si>
  <si>
    <t>SAMPLE: Grid C16</t>
  </si>
  <si>
    <t>SAMPLE: Grid C17</t>
  </si>
  <si>
    <t>WH-Z1-AisleC-Bay1-Level18</t>
  </si>
  <si>
    <t>SAMPLE: Grid C18</t>
  </si>
  <si>
    <t>WH-Z1-AisleC-Bay1-Level19</t>
  </si>
  <si>
    <t>SAMPLE: Grid C19</t>
  </si>
  <si>
    <t>WH-Z1-AisleC-Bay1-Level20</t>
  </si>
  <si>
    <t>SAMPLE: Grid C20</t>
  </si>
  <si>
    <t>WH-Z1-AisleD-Bay1-Level1</t>
  </si>
  <si>
    <t>D</t>
  </si>
  <si>
    <t>SAMPLE: Grid D01</t>
  </si>
  <si>
    <t>WH-Z1-AisleD-Bay1-Level2</t>
  </si>
  <si>
    <t>SAMPLE: Grid D02</t>
  </si>
  <si>
    <t>WH-Z1-AisleD-Bay1-Level3</t>
  </si>
  <si>
    <t>SAMPLE: Grid D03</t>
  </si>
  <si>
    <t>WH-Z1-AisleD-Bay1-Level4</t>
  </si>
  <si>
    <t>SAMPLE: Grid D04</t>
  </si>
  <si>
    <t>WH-Z1-AisleD-Bay1-Level5</t>
  </si>
  <si>
    <t>SAMPLE: Grid D05</t>
  </si>
  <si>
    <t>WH-Z1-AisleD-Bay1-Level6</t>
  </si>
  <si>
    <t>SAMPLE: Grid D06</t>
  </si>
  <si>
    <t>WH-Z1-AisleD-Bay1-Level7</t>
  </si>
  <si>
    <t>SAMPLE: Grid D07</t>
  </si>
  <si>
    <t>WH-Z1-AisleD-Bay1-Level8</t>
  </si>
  <si>
    <t>SAMPLE: Grid D08</t>
  </si>
  <si>
    <t>WH-Z1-AisleD-Bay1-Level9</t>
  </si>
  <si>
    <t>SAMPLE: Grid D09</t>
  </si>
  <si>
    <t>WH-Z1-AisleD-Bay1-Level10</t>
  </si>
  <si>
    <t>SAMPLE: Grid D10</t>
  </si>
  <si>
    <t>WH-Z1-AisleD-Bay1-Level11</t>
  </si>
  <si>
    <t>SAMPLE: Grid D11</t>
  </si>
  <si>
    <t>WH-Z1-AisleD-Bay1-Level12</t>
  </si>
  <si>
    <t>SAMPLE: Grid D12</t>
  </si>
  <si>
    <t>WH-Z1-AisleD-Bay1-Level13</t>
  </si>
  <si>
    <t>SAMPLE: Grid D13</t>
  </si>
  <si>
    <t>WH-Z1-AisleD-Bay1-Level14</t>
  </si>
  <si>
    <t>SAMPLE: Grid D14</t>
  </si>
  <si>
    <t>WH-Z1-AisleD-Bay1-Level15</t>
  </si>
  <si>
    <t>SAMPLE: Grid D15</t>
  </si>
  <si>
    <t>WH-Z1-AisleD-Bay1-Level16</t>
  </si>
  <si>
    <t>SAMPLE: Grid D16</t>
  </si>
  <si>
    <t>WH-Z1-AisleD-Bay1-Level17</t>
  </si>
  <si>
    <t>SAMPLE: Grid D17</t>
  </si>
  <si>
    <t>WH-Z1-AisleD-Bay1-Level18</t>
  </si>
  <si>
    <t>SAMPLE: Grid D18</t>
  </si>
  <si>
    <t>WH-Z1-AisleD-Bay1-Level19</t>
  </si>
  <si>
    <t>SAMPLE: Grid D19</t>
  </si>
  <si>
    <t>WH-Z1-AisleD-Bay1-Level20</t>
  </si>
  <si>
    <t>SAMPLE: Grid D20</t>
  </si>
  <si>
    <t>WH-Z1-AisleE-Bay1-Level1</t>
  </si>
  <si>
    <t>E</t>
  </si>
  <si>
    <t>SAMPLE: Grid E01</t>
  </si>
  <si>
    <t>WH-Z1-AisleE-Bay1-Level2</t>
  </si>
  <si>
    <t>SAMPLE: Grid E02</t>
  </si>
  <si>
    <t>WH-Z1-AisleE-Bay1-Level3</t>
  </si>
  <si>
    <t>SAMPLE: Grid E03</t>
  </si>
  <si>
    <t>WH-Z1-AisleE-Bay1-Level4</t>
  </si>
  <si>
    <t>SAMPLE: Grid E04</t>
  </si>
  <si>
    <t>WH-Z1-AisleE-Bay1-Level5</t>
  </si>
  <si>
    <t>SAMPLE: Grid E05</t>
  </si>
  <si>
    <t>WH-Z1-AisleE-Bay1-Level6</t>
  </si>
  <si>
    <t>SAMPLE: Grid E06</t>
  </si>
  <si>
    <t>WH-Z1-AisleE-Bay1-Level7</t>
  </si>
  <si>
    <t>SAMPLE: Grid E07</t>
  </si>
  <si>
    <t>WH-Z1-AisleE-Bay1-Level8</t>
  </si>
  <si>
    <t>SAMPLE: Grid E08</t>
  </si>
  <si>
    <t>WH-Z1-AisleE-Bay1-Level9</t>
  </si>
  <si>
    <t>SAMPLE: Grid E09</t>
  </si>
  <si>
    <t>WH-Z1-AisleE-Bay1-Level10</t>
  </si>
  <si>
    <t>SAMPLE: Grid E10</t>
  </si>
  <si>
    <t>WH-Z1-AisleE-Bay1-Level11</t>
  </si>
  <si>
    <t>SAMPLE: Grid E11</t>
  </si>
  <si>
    <t>WH-Z1-AisleE-Bay1-Level12</t>
  </si>
  <si>
    <t>SAMPLE: Grid E12</t>
  </si>
  <si>
    <t>WH-Z1-AisleE-Bay1-Level13</t>
  </si>
  <si>
    <t>SAMPLE: Grid E13</t>
  </si>
  <si>
    <t>WH-Z1-AisleE-Bay1-Level14</t>
  </si>
  <si>
    <t>SAMPLE: Grid E14</t>
  </si>
  <si>
    <t>WH-Z1-AisleE-Bay1-Level15</t>
  </si>
  <si>
    <t>SAMPLE: Grid E15</t>
  </si>
  <si>
    <t>WH-Z1-AisleE-Bay1-Level16</t>
  </si>
  <si>
    <t>SAMPLE: Grid E16</t>
  </si>
  <si>
    <t>WH-Z1-AisleE-Bay1-Level17</t>
  </si>
  <si>
    <t>SAMPLE: Grid E17</t>
  </si>
  <si>
    <t>WH-Z1-AisleE-Bay1-Level18</t>
  </si>
  <si>
    <t>SAMPLE: Grid E18</t>
  </si>
  <si>
    <t>WH-Z1-AisleE-Bay1-Level19</t>
  </si>
  <si>
    <t>SAMPLE: Grid E19</t>
  </si>
  <si>
    <t>WH-Z1-AisleE-Bay1-Level20</t>
  </si>
  <si>
    <t>SAMPLE: Grid E20</t>
  </si>
  <si>
    <t>WH-Z1-AisleF-Bay1-Level1</t>
  </si>
  <si>
    <t>F</t>
  </si>
  <si>
    <t>SAMPLE: Grid F01</t>
  </si>
  <si>
    <t>WH-Z1-AisleF-Bay1-Level2</t>
  </si>
  <si>
    <t>SAMPLE: Grid F02</t>
  </si>
  <si>
    <t>WH-Z1-AisleF-Bay1-Level3</t>
  </si>
  <si>
    <t>SAMPLE: Grid F03</t>
  </si>
  <si>
    <t>WH-Z1-AisleF-Bay1-Level4</t>
  </si>
  <si>
    <t>SAMPLE: Grid F04</t>
  </si>
  <si>
    <t>WH-Z1-AisleF-Bay1-Level5</t>
  </si>
  <si>
    <t>SAMPLE: Grid F05</t>
  </si>
  <si>
    <t>WH-Z1-AisleF-Bay1-Level6</t>
  </si>
  <si>
    <t>SAMPLE: Grid F06</t>
  </si>
  <si>
    <t>WH-Z1-AisleF-Bay1-Level7</t>
  </si>
  <si>
    <t>SAMPLE: Grid F07</t>
  </si>
  <si>
    <t>WH-Z1-AisleF-Bay1-Level8</t>
  </si>
  <si>
    <t>SAMPLE: Grid F08</t>
  </si>
  <si>
    <t>WH-Z1-AisleF-Bay1-Level9</t>
  </si>
  <si>
    <t>SAMPLE: Grid F09</t>
  </si>
  <si>
    <t>WH-Z1-AisleF-Bay1-Level10</t>
  </si>
  <si>
    <t>SAMPLE: Grid F10</t>
  </si>
  <si>
    <t>WH-Z1-AisleF-Bay1-Level11</t>
  </si>
  <si>
    <t>SAMPLE: Grid F11</t>
  </si>
  <si>
    <t>WH-Z1-AisleF-Bay1-Level12</t>
  </si>
  <si>
    <t>SAMPLE: Grid F12</t>
  </si>
  <si>
    <t>WH-Z1-AisleF-Bay1-Level13</t>
  </si>
  <si>
    <t>SAMPLE: Grid F13</t>
  </si>
  <si>
    <t>WH-Z1-AisleF-Bay1-Level14</t>
  </si>
  <si>
    <t>SAMPLE: Grid F14</t>
  </si>
  <si>
    <t>WH-Z1-AisleF-Bay1-Level15</t>
  </si>
  <si>
    <t>SAMPLE: Grid F15</t>
  </si>
  <si>
    <t>WH-Z1-AisleF-Bay1-Level16</t>
  </si>
  <si>
    <t>SAMPLE: Grid F16</t>
  </si>
  <si>
    <t>WH-Z1-AisleF-Bay1-Level17</t>
  </si>
  <si>
    <t>SAMPLE: Grid F17</t>
  </si>
  <si>
    <t>WH-Z1-AisleF-Bay1-Level18</t>
  </si>
  <si>
    <t>SAMPLE: Grid F18</t>
  </si>
  <si>
    <t>WH-Z1-AisleF-Bay1-Level19</t>
  </si>
  <si>
    <t>SAMPLE: Grid F19</t>
  </si>
  <si>
    <t>WH-Z1-AisleF-Bay1-Level20</t>
  </si>
  <si>
    <t>SAMPLE: Grid F20</t>
  </si>
  <si>
    <t>WH-DISPOSAL</t>
  </si>
  <si>
    <t>DISPOSAL</t>
  </si>
  <si>
    <t>SAMPLE: Retire destination</t>
  </si>
  <si>
    <t>WH-OUTBOUND</t>
  </si>
  <si>
    <t>OUTBOUND</t>
  </si>
  <si>
    <t>SAMPLE: Ship destination</t>
  </si>
  <si>
    <t>WH-Z1-AisleO-Bay3-Level2</t>
  </si>
  <si>
    <t>O</t>
  </si>
  <si>
    <t>From Warehouse Ledger naming standard.</t>
  </si>
  <si>
    <t>Zone 1 non-overflow section (naming standard).</t>
  </si>
  <si>
    <t>Timestamp</t>
  </si>
  <si>
    <t>Action</t>
  </si>
  <si>
    <t>FromLocation (AUTO)</t>
  </si>
  <si>
    <t>ToLocation</t>
  </si>
  <si>
    <t>Item</t>
  </si>
  <si>
    <t>ByWho</t>
  </si>
  <si>
    <t>Qty</t>
  </si>
  <si>
    <t>Ref(PO/Wave/WO)</t>
  </si>
  <si>
    <t>RECEIVE</t>
  </si>
  <si>
    <t>PAL001</t>
  </si>
  <si>
    <t>WH-Z1-A01-AISLE-FLOOR-02</t>
  </si>
  <si>
    <t>SAMPLE-REF-PAL001</t>
  </si>
  <si>
    <t>SAMPLE: initial receipt</t>
  </si>
  <si>
    <t>PAL002</t>
  </si>
  <si>
    <t>SAMPLE-REF-PAL002</t>
  </si>
  <si>
    <t>PAL003</t>
  </si>
  <si>
    <t>SAMPLE-REF-PAL003</t>
  </si>
  <si>
    <t>PAL004</t>
  </si>
  <si>
    <t>SAMPLE-REF-PAL004</t>
  </si>
  <si>
    <t>PAL005</t>
  </si>
  <si>
    <t>WH-Z1-A01-AISLE-FLOOR-01</t>
  </si>
  <si>
    <t>SAMPLE-REF-PAL005</t>
  </si>
  <si>
    <t>PAL006</t>
  </si>
  <si>
    <t>WH-Z1-A01-AISLE-FLOOR-03</t>
  </si>
  <si>
    <t>SAMPLE-REF-PAL006</t>
  </si>
  <si>
    <t>PAL007</t>
  </si>
  <si>
    <t>WH-Z1-A01-AISLE-FLOOR-04</t>
  </si>
  <si>
    <t>SAMPLE-REF-PAL007</t>
  </si>
  <si>
    <t>PAL008</t>
  </si>
  <si>
    <t>WH-Z1-A01-AISLE-FLOOR-05</t>
  </si>
  <si>
    <t>SAMPLE-REF-PAL008</t>
  </si>
  <si>
    <t>PAL009</t>
  </si>
  <si>
    <t>WH-Z1-A01-AISLE-FLOOR-06</t>
  </si>
  <si>
    <t>SAMPLE-REF-PAL009</t>
  </si>
  <si>
    <t>PAL010</t>
  </si>
  <si>
    <t>WH-Z1-A01-AISLE-FLOOR-07</t>
  </si>
  <si>
    <t>SAMPLE-REF-PAL010</t>
  </si>
  <si>
    <t>PAL011</t>
  </si>
  <si>
    <t>WH-Z1-A01-AISLE-FLOOR-08</t>
  </si>
  <si>
    <t>SAMPLE-REF-PAL011</t>
  </si>
  <si>
    <t>PAL012</t>
  </si>
  <si>
    <t>WH-Z1-A01-AISLE-FLOOR-09</t>
  </si>
  <si>
    <t>SAMPLE-REF-PAL012</t>
  </si>
  <si>
    <t>PAL013</t>
  </si>
  <si>
    <t>WH-Z1-A01-AISLE-FLOOR-10</t>
  </si>
  <si>
    <t>SAMPLE-REF-PAL013</t>
  </si>
  <si>
    <t>PAL014</t>
  </si>
  <si>
    <t>WH-Z1-A01-AISLE-FLOOR-11</t>
  </si>
  <si>
    <t>SAMPLE-REF-PAL014</t>
  </si>
  <si>
    <t>PAL015</t>
  </si>
  <si>
    <t>WH-Z1-A01-AISLE-FLOOR-12</t>
  </si>
  <si>
    <t>SAMPLE-REF-PAL015</t>
  </si>
  <si>
    <t>PAL016</t>
  </si>
  <si>
    <t>WH-Z1-A01-AISLE-FLOOR-13</t>
  </si>
  <si>
    <t>SAMPLE-REF-PAL016</t>
  </si>
  <si>
    <t>PAL017</t>
  </si>
  <si>
    <t>WH-Z1-A01-AISLE-FLOOR-14</t>
  </si>
  <si>
    <t>SAMPLE-REF-PAL017</t>
  </si>
  <si>
    <t>PAL018</t>
  </si>
  <si>
    <t>WH-Z1-A01-AISLE-FLOOR-15</t>
  </si>
  <si>
    <t>SAMPLE-REF-PAL018</t>
  </si>
  <si>
    <t>PAL019</t>
  </si>
  <si>
    <t>WH-Z1-A01-AISLE-FLOOR-16</t>
  </si>
  <si>
    <t>SAMPLE-REF-PAL019</t>
  </si>
  <si>
    <t>PAL020</t>
  </si>
  <si>
    <t>WH-Z1-A01-AISLE-FLOOR-17</t>
  </si>
  <si>
    <t>SAMPLE-REF-PAL020</t>
  </si>
  <si>
    <t>PAL021</t>
  </si>
  <si>
    <t>WH-Z1-A01-AISLE-FLOOR-18</t>
  </si>
  <si>
    <t>SAMPLE-REF-PAL021</t>
  </si>
  <si>
    <t>PAL022</t>
  </si>
  <si>
    <t>WH-Z1-A01-AISLE-FLOOR-19</t>
  </si>
  <si>
    <t>SAMPLE-REF-PAL022</t>
  </si>
  <si>
    <t>PAL023</t>
  </si>
  <si>
    <t>WH-Z1-A01-AISLE-FLOOR-20</t>
  </si>
  <si>
    <t>SAMPLE-REF-PAL023</t>
  </si>
  <si>
    <t>PAL024</t>
  </si>
  <si>
    <t>WH-Z1-B01-AISLE-FLOOR-01</t>
  </si>
  <si>
    <t>SAMPLE-REF-PAL024</t>
  </si>
  <si>
    <t>PAL025</t>
  </si>
  <si>
    <t>WH-Z1-B01-AISLE-FLOOR-02</t>
  </si>
  <si>
    <t>SAMPLE-REF-PAL025</t>
  </si>
  <si>
    <t>PAL026</t>
  </si>
  <si>
    <t>WH-Z1-B01-AISLE-FLOOR-03</t>
  </si>
  <si>
    <t>SAMPLE-REF-PAL026</t>
  </si>
  <si>
    <t>PAL027</t>
  </si>
  <si>
    <t>WH-Z1-B01-AISLE-FLOOR-04</t>
  </si>
  <si>
    <t>SAMPLE-REF-PAL027</t>
  </si>
  <si>
    <t>PAL028</t>
  </si>
  <si>
    <t>WH-Z1-B01-AISLE-FLOOR-05</t>
  </si>
  <si>
    <t>SAMPLE-REF-PAL028</t>
  </si>
  <si>
    <t>PAL029</t>
  </si>
  <si>
    <t>WH-Z1-B01-AISLE-FLOOR-06</t>
  </si>
  <si>
    <t>SAMPLE-REF-PAL029</t>
  </si>
  <si>
    <t>PAL030</t>
  </si>
  <si>
    <t>WH-Z1-B01-AISLE-FLOOR-07</t>
  </si>
  <si>
    <t>SAMPLE-REF-PAL030</t>
  </si>
  <si>
    <t>PAL031</t>
  </si>
  <si>
    <t>WH-Z1-B01-AISLE-FLOOR-08</t>
  </si>
  <si>
    <t>SAMPLE-REF-PAL031</t>
  </si>
  <si>
    <t>PAL032</t>
  </si>
  <si>
    <t>WH-Z1-B01-AISLE-FLOOR-09</t>
  </si>
  <si>
    <t>SAMPLE-REF-PAL032</t>
  </si>
  <si>
    <t>PAL033</t>
  </si>
  <si>
    <t>WH-Z1-B01-AISLE-FLOOR-10</t>
  </si>
  <si>
    <t>SAMPLE-REF-PAL033</t>
  </si>
  <si>
    <t>PAL034</t>
  </si>
  <si>
    <t>WH-Z1-B01-AISLE-FLOOR-11</t>
  </si>
  <si>
    <t>SAMPLE-REF-PAL034</t>
  </si>
  <si>
    <t>PAL035</t>
  </si>
  <si>
    <t>WH-Z1-B01-AISLE-FLOOR-12</t>
  </si>
  <si>
    <t>SAMPLE-REF-PAL035</t>
  </si>
  <si>
    <t>MOVE</t>
  </si>
  <si>
    <t>SAMPLE-MOVE-PAL008</t>
  </si>
  <si>
    <t>SAMPLE: moved during staging</t>
  </si>
  <si>
    <t>PAL036</t>
  </si>
  <si>
    <t>WH-Z1-B01-AISLE-FLOOR-13</t>
  </si>
  <si>
    <t>SAMPLE-REF-PAL036</t>
  </si>
  <si>
    <t>SAMPLE-MOVE-PAL009</t>
  </si>
  <si>
    <t>PAL037</t>
  </si>
  <si>
    <t>WH-Z1-B01-AISLE-FLOOR-14</t>
  </si>
  <si>
    <t>SAMPLE-REF-PAL037</t>
  </si>
  <si>
    <t>SAMPLE-MOVE-PAL010</t>
  </si>
  <si>
    <t>PAL038</t>
  </si>
  <si>
    <t>WH-Z1-B01-AISLE-FLOOR-15</t>
  </si>
  <si>
    <t>SAMPLE-REF-PAL038</t>
  </si>
  <si>
    <t>PAL039</t>
  </si>
  <si>
    <t>WH-Z1-B01-AISLE-FLOOR-16</t>
  </si>
  <si>
    <t>SAMPLE-REF-PAL039</t>
  </si>
  <si>
    <t>SAMPLE-MOVE-PAL011</t>
  </si>
  <si>
    <t>PAL040</t>
  </si>
  <si>
    <t>WH-Z1-B01-AISLE-FLOOR-17</t>
  </si>
  <si>
    <t>SAMPLE-REF-PAL040</t>
  </si>
  <si>
    <t>SAMPLE-MOVE-PAL012</t>
  </si>
  <si>
    <t>PAL041</t>
  </si>
  <si>
    <t>WH-Z1-B01-AISLE-FLOOR-18</t>
  </si>
  <si>
    <t>SAMPLE-REF-PAL041</t>
  </si>
  <si>
    <t>SAMPLE-MOVE-PAL013</t>
  </si>
  <si>
    <t>PAL042</t>
  </si>
  <si>
    <t>WH-Z1-B01-AISLE-FLOOR-19</t>
  </si>
  <si>
    <t>SAMPLE-REF-PAL042</t>
  </si>
  <si>
    <t>PAL043</t>
  </si>
  <si>
    <t>WH-Z1-B01-AISLE-FLOOR-20</t>
  </si>
  <si>
    <t>SAMPLE-REF-PAL043</t>
  </si>
  <si>
    <t>SAMPLE-MOVE-PAL014</t>
  </si>
  <si>
    <t>PAL044</t>
  </si>
  <si>
    <t>WH-Z1-C01-AISLE-FLOOR-01</t>
  </si>
  <si>
    <t>SAMPLE-REF-PAL044</t>
  </si>
  <si>
    <t>SAMPLE-MOVE-PAL015</t>
  </si>
  <si>
    <t>PAL045</t>
  </si>
  <si>
    <t>WH-Z1-C01-AISLE-FLOOR-02</t>
  </si>
  <si>
    <t>SAMPLE-REF-PAL045</t>
  </si>
  <si>
    <t>PAL046</t>
  </si>
  <si>
    <t>WH-Z1-C01-AISLE-FLOOR-03</t>
  </si>
  <si>
    <t>SAMPLE-REF-PAL046</t>
  </si>
  <si>
    <t>PAL047</t>
  </si>
  <si>
    <t>WH-Z1-C01-AISLE-FLOOR-04</t>
  </si>
  <si>
    <t>SAMPLE-REF-PAL047</t>
  </si>
  <si>
    <t>PAL048</t>
  </si>
  <si>
    <t>WH-Z1-C01-AISLE-FLOOR-05</t>
  </si>
  <si>
    <t>SAMPLE-REF-PAL048</t>
  </si>
  <si>
    <t>PAL049</t>
  </si>
  <si>
    <t>WH-Z1-C01-AISLE-FLOOR-06</t>
  </si>
  <si>
    <t>SAMPLE-REF-PAL049</t>
  </si>
  <si>
    <t>RETIRE</t>
  </si>
  <si>
    <t>PAL050</t>
  </si>
  <si>
    <t>SAMPLE-REF-PAL050</t>
  </si>
  <si>
    <t>SAMPLE: retired (depleted/broken)</t>
  </si>
  <si>
    <t>PAL051</t>
  </si>
  <si>
    <t>SAMPLE-REF-PAL051</t>
  </si>
  <si>
    <t>PAL052</t>
  </si>
  <si>
    <t>WH-Z1-C01-AISLE-FLOOR-09</t>
  </si>
  <si>
    <t>SAMPLE-REF-PAL052</t>
  </si>
  <si>
    <t>PAL053</t>
  </si>
  <si>
    <t>WH-Z1-C01-AISLE-FLOOR-10</t>
  </si>
  <si>
    <t>SAMPLE-REF-PAL053</t>
  </si>
  <si>
    <t>PAL054</t>
  </si>
  <si>
    <t>WH-Z1-C01-AISLE-FLOOR-11</t>
  </si>
  <si>
    <t>SAMPLE-REF-PAL054</t>
  </si>
  <si>
    <t>PAL055</t>
  </si>
  <si>
    <t>WH-Z1-C01-AISLE-FLOOR-12</t>
  </si>
  <si>
    <t>SAMPLE-REF-PAL055</t>
  </si>
  <si>
    <t>PAL056</t>
  </si>
  <si>
    <t>WH-Z1-C01-AISLE-FLOOR-13</t>
  </si>
  <si>
    <t>SAMPLE-REF-PAL056</t>
  </si>
  <si>
    <t>PAL057</t>
  </si>
  <si>
    <t>WH-Z1-C01-AISLE-FLOOR-14</t>
  </si>
  <si>
    <t>SAMPLE-REF-PAL057</t>
  </si>
  <si>
    <t>PAL058</t>
  </si>
  <si>
    <t>WH-Z1-C01-AISLE-FLOOR-15</t>
  </si>
  <si>
    <t>SAMPLE-REF-PAL058</t>
  </si>
  <si>
    <t>PAL059</t>
  </si>
  <si>
    <t>WH-Z1-C01-AISLE-FLOOR-16</t>
  </si>
  <si>
    <t>SAMPLE-REF-PAL059</t>
  </si>
  <si>
    <t>PAL060</t>
  </si>
  <si>
    <t>WH-Z1-C01-AISLE-FLOOR-17</t>
  </si>
  <si>
    <t>SAMPLE-REF-PAL060</t>
  </si>
  <si>
    <t>LabelType</t>
  </si>
  <si>
    <t>HumanText</t>
  </si>
  <si>
    <t>QRPayload</t>
  </si>
  <si>
    <t>--LOCATIONS--</t>
  </si>
  <si>
    <t>LOCATION</t>
  </si>
  <si>
    <t>Location label (rack/floor/zone).</t>
  </si>
  <si>
    <t>--PALLETS--</t>
  </si>
  <si>
    <t>PALLET</t>
  </si>
  <si>
    <t>Pallet tag (stick on pallet).</t>
  </si>
  <si>
    <t>SCAN / FIND (Pallet → Location → Prism Node)</t>
  </si>
  <si>
    <t>Scan PalletID here:</t>
  </si>
  <si>
    <t>Tip: click B3, scan QR, press Enter.</t>
  </si>
  <si>
    <t>CurrentLocationCode</t>
  </si>
  <si>
    <t>LocationDisplayLabel</t>
  </si>
  <si>
    <t>Slot</t>
  </si>
  <si>
    <t>PrismNode</t>
  </si>
  <si>
    <t>WAREHOUSE GRID MAP (Column Letter x Row #)</t>
  </si>
  <si>
    <t>SelectedCol</t>
  </si>
  <si>
    <t>SelectedRow</t>
  </si>
  <si>
    <t>SelectedLevelNum</t>
  </si>
  <si>
    <t>Rows →</t>
  </si>
  <si>
    <t>Columns →</t>
  </si>
  <si>
    <t>Aisle ↓ / Slot →</t>
  </si>
  <si>
    <t>G</t>
  </si>
  <si>
    <t>H</t>
  </si>
  <si>
    <t>I</t>
  </si>
  <si>
    <t>J</t>
  </si>
  <si>
    <t>K</t>
  </si>
  <si>
    <t>Note: Special locations (Stage/Overflow/Quarantine) may not have grid coordinates; they will not appear on this map.</t>
  </si>
  <si>
    <t>Legend</t>
  </si>
  <si>
    <t>● = selected location (based on scanned pallet’s CurrentLocationCode).</t>
  </si>
  <si>
    <t>If no dot appears, that location is a special area (Stage/Overflow) with no prism coordinates yet.</t>
  </si>
  <si>
    <t>PartNumber</t>
  </si>
  <si>
    <t>ItemName</t>
  </si>
  <si>
    <t>UOM</t>
  </si>
  <si>
    <t>Condition</t>
  </si>
  <si>
    <t>Ref</t>
  </si>
  <si>
    <t>_FirstPNFlag (AUTO)</t>
  </si>
  <si>
    <t>_RowKey (AUTO)</t>
  </si>
  <si>
    <t>DV_PalletID_List (AUTO)</t>
  </si>
  <si>
    <t>Line Item ID</t>
  </si>
  <si>
    <t>Item Type</t>
  </si>
  <si>
    <t>Item Name</t>
  </si>
  <si>
    <t>Count</t>
  </si>
  <si>
    <t>Site Locations</t>
  </si>
  <si>
    <t>Area</t>
  </si>
  <si>
    <t>Subarea</t>
  </si>
  <si>
    <t>Adapters</t>
  </si>
  <si>
    <t>B1-CFD</t>
  </si>
  <si>
    <t>Plainview HQ</t>
  </si>
  <si>
    <t>Config area</t>
  </si>
  <si>
    <t>far left corner</t>
  </si>
  <si>
    <t>B1-CFU</t>
  </si>
  <si>
    <t>B1-DAE</t>
  </si>
  <si>
    <t>B1-CFB</t>
  </si>
  <si>
    <t>B1-CFA</t>
  </si>
  <si>
    <t>B1-CFT</t>
  </si>
  <si>
    <t>B1-CFY</t>
  </si>
  <si>
    <t>B1-CFW</t>
  </si>
  <si>
    <t>B1-CAQ</t>
  </si>
  <si>
    <t>CBCC402237</t>
  </si>
  <si>
    <t>SPEC999015</t>
  </si>
  <si>
    <t>GE-ADAPTOR</t>
  </si>
  <si>
    <t>ATEN UC-232A</t>
  </si>
  <si>
    <t>CCAC0009869</t>
  </si>
  <si>
    <t>CBCC0001395</t>
  </si>
  <si>
    <t>CANT LOCATE</t>
  </si>
  <si>
    <t>BKA6ASD8INBL</t>
  </si>
  <si>
    <t>1 Marcus</t>
  </si>
  <si>
    <t>Open storage space grd level</t>
  </si>
  <si>
    <t>near switch, boxed, on crate</t>
  </si>
  <si>
    <t>NSUH count plus extras</t>
  </si>
  <si>
    <t>Accessories</t>
  </si>
  <si>
    <t>Patch Cable - Gray (B1-CPAT-DIM-14)</t>
  </si>
  <si>
    <t>Neuron Power Cable</t>
  </si>
  <si>
    <t>Neuron Power Adapter</t>
  </si>
  <si>
    <t>connected to neurons</t>
  </si>
  <si>
    <t>NSUH count plus extras + 12 unconfigured in boxes</t>
  </si>
  <si>
    <t>DIMs</t>
  </si>
  <si>
    <t>Keyboard</t>
  </si>
  <si>
    <t>Keyboards</t>
  </si>
  <si>
    <t>Mice</t>
  </si>
  <si>
    <t>Neuron</t>
  </si>
  <si>
    <t>Neurons</t>
  </si>
  <si>
    <t>on ground near switch + 12 unconfigured in boxes</t>
  </si>
  <si>
    <t>Adapter</t>
  </si>
  <si>
    <t>B1-CFH</t>
  </si>
  <si>
    <t>GCX Arm</t>
  </si>
  <si>
    <t>Articulating Arm for Flat Panel (FLP-0009-05B)</t>
  </si>
  <si>
    <t>at desk of Chris/Dylan 3x boxes</t>
  </si>
  <si>
    <t>WM-0024-03C (Power supply flush wall mount)</t>
  </si>
  <si>
    <t>in box: hex wrench, 3/8 screw, flat washer and nylon cable</t>
  </si>
  <si>
    <t>Scanners</t>
  </si>
  <si>
    <t>B1-CPAT-DIM-14</t>
  </si>
  <si>
    <t>Other</t>
  </si>
  <si>
    <t>CBCC342077</t>
  </si>
  <si>
    <t>Seal Storm Wireless Mouse w/scroll wheel</t>
  </si>
  <si>
    <t>AisleO</t>
  </si>
  <si>
    <t>Bay3Level1</t>
  </si>
  <si>
    <t>At front of Bay, mixed-24 day devices behind it</t>
  </si>
  <si>
    <t>Cleanwipe Wireless Keyboard (white)</t>
  </si>
  <si>
    <t>Tap Badge Readers</t>
  </si>
  <si>
    <t>AisleN</t>
  </si>
  <si>
    <t>left side crate / also has scanners addressed to Josh on it</t>
  </si>
  <si>
    <t>Spare</t>
  </si>
  <si>
    <t>DesignationChanged</t>
  </si>
  <si>
    <t>DupDeployed</t>
  </si>
  <si>
    <t>Current Building</t>
  </si>
  <si>
    <t>Install Building</t>
  </si>
  <si>
    <t>PI_Use_Case</t>
  </si>
  <si>
    <t>PI_Config_Shared</t>
  </si>
  <si>
    <t>PI_Config_Autologon</t>
  </si>
  <si>
    <t>PI_Imprivata</t>
  </si>
  <si>
    <t>PI_Imprivata_Type</t>
  </si>
  <si>
    <t>PI_Result</t>
  </si>
  <si>
    <t>PI_Rejection_Reason</t>
  </si>
  <si>
    <t>PI_Validated_By</t>
  </si>
  <si>
    <t>PI_Validated_Date</t>
  </si>
  <si>
    <t>Neuron MAC</t>
  </si>
  <si>
    <t>Neuron IP</t>
  </si>
  <si>
    <t>Neuron Renamed</t>
  </si>
  <si>
    <t>Neuron S/N</t>
  </si>
  <si>
    <t>Neuron Profile</t>
  </si>
  <si>
    <t>Cybernet Serial</t>
  </si>
  <si>
    <t>Cybernet MAC</t>
  </si>
  <si>
    <t>Medical Device
Class</t>
  </si>
  <si>
    <t>Dialysis S/N</t>
  </si>
  <si>
    <t>Anesthesia S/N</t>
  </si>
  <si>
    <t>Wave/PO</t>
  </si>
  <si>
    <t>Area/Unit</t>
  </si>
  <si>
    <t>Room</t>
  </si>
  <si>
    <t>Bay</t>
  </si>
  <si>
    <t>Port No.</t>
  </si>
  <si>
    <t>Manufacturer</t>
  </si>
  <si>
    <t>Medical Device
Model</t>
  </si>
  <si>
    <t>Medical Device ID</t>
  </si>
  <si>
    <t>Serial Connector Cable 1</t>
  </si>
  <si>
    <t>Serial Connector Cable 2</t>
  </si>
  <si>
    <t>Serial Connector Cable 3</t>
  </si>
  <si>
    <t>Serial Connector Cable 4</t>
  </si>
  <si>
    <t>Serial Connector Cable 5</t>
  </si>
  <si>
    <t>Medical Peripheral 1</t>
  </si>
  <si>
    <t>Medical Peripheral 2</t>
  </si>
  <si>
    <t>Medical Peripheral 3</t>
  </si>
  <si>
    <t>Medical Peripheral 4</t>
  </si>
  <si>
    <t>Medical Peripheral 5</t>
  </si>
  <si>
    <t>Neuron Power Cable Present</t>
  </si>
  <si>
    <t>Battery Present</t>
  </si>
  <si>
    <t>Has Barcode Scanner</t>
  </si>
  <si>
    <t>Has Badge Scanner</t>
  </si>
  <si>
    <t>Configuration Date</t>
  </si>
  <si>
    <t>Ready for Deployment</t>
  </si>
  <si>
    <t>IT Device Status</t>
  </si>
  <si>
    <t>Firmware Downloaded</t>
  </si>
  <si>
    <t>Firmware Installed</t>
  </si>
  <si>
    <t>Software Downloaded</t>
  </si>
  <si>
    <t>Software Installed</t>
  </si>
  <si>
    <t>Device ID Assigned</t>
  </si>
  <si>
    <t>Epic Beans Data Sent</t>
  </si>
  <si>
    <t>Blocker Reason</t>
  </si>
  <si>
    <t>Readiness (Auto)</t>
  </si>
  <si>
    <t>Column1</t>
  </si>
  <si>
    <t>PalletID (Manual)</t>
  </si>
  <si>
    <t>Warehouse Location (AUTO)</t>
  </si>
  <si>
    <t>Pallet Status (AUTO)</t>
  </si>
  <si>
    <t>Last Move TS (AUTO)</t>
  </si>
  <si>
    <t>Has Mouse</t>
  </si>
  <si>
    <t>Has Keyboard</t>
  </si>
  <si>
    <t>Has New Ethernet</t>
  </si>
  <si>
    <t>Has New Breakaway</t>
  </si>
  <si>
    <t>GCX Arm Deployed</t>
  </si>
  <si>
    <t>Baud Rate</t>
  </si>
  <si>
    <t>Part Numbers</t>
  </si>
  <si>
    <t>GCX Arm Part Numbers</t>
  </si>
  <si>
    <t>Pallet Association</t>
  </si>
  <si>
    <t>Column2</t>
  </si>
  <si>
    <t>A Secret Next Thing</t>
  </si>
  <si>
    <t>PERIPH | GCX Arm Deployed</t>
  </si>
  <si>
    <t>PERIPH | Has Keyboard</t>
  </si>
  <si>
    <t>PERIPH | Has Mouse</t>
  </si>
  <si>
    <t>PERIPH | Has Barcode Scanner</t>
  </si>
  <si>
    <t>PERIPH | Has Badge Scanner</t>
  </si>
  <si>
    <t>PERIPH | Battery Present</t>
  </si>
  <si>
    <t>PERIPH | Neuron Power Cable Present</t>
  </si>
  <si>
    <t>PERIPH | Has New Ethernet</t>
  </si>
  <si>
    <t>PERIPH | Has New Breakaway</t>
  </si>
  <si>
    <t>Yes</t>
  </si>
  <si>
    <t>LIJ SDF</t>
  </si>
  <si>
    <t>Describe the environment in which we're deploying:
For ex, input:
"
OR iPro Cybernet Workstation
"</t>
  </si>
  <si>
    <t>NA</t>
  </si>
  <si>
    <t>LIJ-SDF-MACH-A</t>
  </si>
  <si>
    <t>A0F5097FEC20</t>
  </si>
  <si>
    <t>10.134.18.57</t>
  </si>
  <si>
    <t>WA24406274</t>
  </si>
  <si>
    <t>LIJ</t>
  </si>
  <si>
    <t>n/a</t>
  </si>
  <si>
    <t>Dialysis Machine</t>
  </si>
  <si>
    <t>9T0S237854</t>
  </si>
  <si>
    <t>Ground Level/Dialysis</t>
  </si>
  <si>
    <t>Open Patient Area</t>
  </si>
  <si>
    <t>BSM 051 A</t>
  </si>
  <si>
    <t>Fresenius BlueStar</t>
  </si>
  <si>
    <t>2008T</t>
  </si>
  <si>
    <t>Fresenius BlueStar - 2008T</t>
  </si>
  <si>
    <t>test</t>
  </si>
  <si>
    <t>No</t>
  </si>
  <si>
    <t>LIJ-SDF-MACH-B</t>
  </si>
  <si>
    <t>A0F5097FEEFA</t>
  </si>
  <si>
    <t>10.134.19.28</t>
  </si>
  <si>
    <t>WA24406289</t>
  </si>
  <si>
    <t>1T0S255909</t>
  </si>
  <si>
    <t xml:space="preserve">BSM 051 B </t>
  </si>
  <si>
    <t>LIJ-SDF-MACH-C</t>
  </si>
  <si>
    <t>A0F5097B89E1</t>
  </si>
  <si>
    <t>10.134.19.27</t>
  </si>
  <si>
    <t>WA25106707</t>
  </si>
  <si>
    <t>0T0S250268</t>
  </si>
  <si>
    <t>BSM 033 A</t>
  </si>
  <si>
    <t>LIJ-SDF-MACH-D</t>
  </si>
  <si>
    <t>A0F5097FE484</t>
  </si>
  <si>
    <t>10.134.18.59</t>
  </si>
  <si>
    <t>WA24406265</t>
  </si>
  <si>
    <t>9T0S237816</t>
  </si>
  <si>
    <t>BSM 033 B</t>
  </si>
  <si>
    <t>LIJ-SDF-MACH-E</t>
  </si>
  <si>
    <t>A0F5097FF05E</t>
  </si>
  <si>
    <t>10.134.18.60</t>
  </si>
  <si>
    <t>WA24406279</t>
  </si>
  <si>
    <t>0T0S248167</t>
  </si>
  <si>
    <t>BSM 034 A</t>
  </si>
  <si>
    <t>LIJ-SDF-MACH-F</t>
  </si>
  <si>
    <t>A0F5097FE3A5</t>
  </si>
  <si>
    <t>10.134.19.29</t>
  </si>
  <si>
    <t>WA24406125</t>
  </si>
  <si>
    <t>9T0S247133</t>
  </si>
  <si>
    <t>BSM 034 B</t>
  </si>
  <si>
    <t>LIJ-SDF-MACH-G</t>
  </si>
  <si>
    <t>A0F5097FE012</t>
  </si>
  <si>
    <t>10.134.19.34</t>
  </si>
  <si>
    <t>WA24406114</t>
  </si>
  <si>
    <t>0T0S250280</t>
  </si>
  <si>
    <t>BSM 035 A</t>
  </si>
  <si>
    <t>LIJ-SDF-MACH-H</t>
  </si>
  <si>
    <t>A0F5097FEB57</t>
  </si>
  <si>
    <t>10.134.19.31</t>
  </si>
  <si>
    <t>WA24406201</t>
  </si>
  <si>
    <t>1T0S260521</t>
  </si>
  <si>
    <t>BSM 035 B</t>
  </si>
  <si>
    <t>LIJ-SDF-MACH-I</t>
  </si>
  <si>
    <t>A0F5097FDF60</t>
  </si>
  <si>
    <t>10.134.18.62</t>
  </si>
  <si>
    <t>WA24406115</t>
  </si>
  <si>
    <t>1T0S260271</t>
  </si>
  <si>
    <t>BSM 036 A</t>
  </si>
  <si>
    <t>LIJ-SDF-MACH-J</t>
  </si>
  <si>
    <t>A0F5097FF17E</t>
  </si>
  <si>
    <t>10.134.19.36</t>
  </si>
  <si>
    <t>WA24406364</t>
  </si>
  <si>
    <t>9T0S247174</t>
  </si>
  <si>
    <t>BSM 036 B</t>
  </si>
  <si>
    <t>LIJ-SDF-MACH-K</t>
  </si>
  <si>
    <t>A0F5097FDE6F</t>
  </si>
  <si>
    <t>10.134.18.61</t>
  </si>
  <si>
    <t>WA24406339</t>
  </si>
  <si>
    <t>6T0S163941</t>
  </si>
  <si>
    <t>BSM 047 D</t>
  </si>
  <si>
    <t>SN scratched off slightly;</t>
  </si>
  <si>
    <t>LIJ-SDF-MACH-L</t>
  </si>
  <si>
    <t>A0F5097FEFFB</t>
  </si>
  <si>
    <t>10.134.18.63</t>
  </si>
  <si>
    <t>WA24406353</t>
  </si>
  <si>
    <t>1T0S255982</t>
  </si>
  <si>
    <t>BSM 050 D</t>
  </si>
  <si>
    <t>LIJ-SDF-MACH-M</t>
  </si>
  <si>
    <t>A0F5097FEF3A</t>
  </si>
  <si>
    <t>10.134.18.64</t>
  </si>
  <si>
    <t>WA24406365</t>
  </si>
  <si>
    <t>0T0S248191</t>
  </si>
  <si>
    <t>BSM 038 A</t>
  </si>
  <si>
    <t>LIJ-SDF-MACH-N</t>
  </si>
  <si>
    <t>A0F5097B98D9</t>
  </si>
  <si>
    <t>10.134.18.65</t>
  </si>
  <si>
    <t>WA25300237</t>
  </si>
  <si>
    <t>6T0S163895</t>
  </si>
  <si>
    <t>BSM 038 B</t>
  </si>
  <si>
    <t>LIJ-SDF-MACH-O</t>
  </si>
  <si>
    <t>A0F5097BA0A3</t>
  </si>
  <si>
    <t>10.134.19.37</t>
  </si>
  <si>
    <t>WA25300259</t>
  </si>
  <si>
    <t>0T0S250288</t>
  </si>
  <si>
    <t>BSM 039 A</t>
  </si>
  <si>
    <t>LIJ-SDF-MACH-P</t>
  </si>
  <si>
    <t>A0F5097FE29D</t>
  </si>
  <si>
    <t>10.134.18.69</t>
  </si>
  <si>
    <t>WA24406391</t>
  </si>
  <si>
    <t>9T0S237956</t>
  </si>
  <si>
    <t>BSM 039 B</t>
  </si>
  <si>
    <t>LIJ-SDF-MACH-Q</t>
  </si>
  <si>
    <t>A0F5097FDF52</t>
  </si>
  <si>
    <t>10.134.19.38</t>
  </si>
  <si>
    <t>WA24406321</t>
  </si>
  <si>
    <t>1T0S260498</t>
  </si>
  <si>
    <t>BSM 040 A</t>
  </si>
  <si>
    <t>LIJ-SDF-MACH-R</t>
  </si>
  <si>
    <t>A0F5097B99F8</t>
  </si>
  <si>
    <t>10.134.18.73</t>
  </si>
  <si>
    <t>WA25300278</t>
  </si>
  <si>
    <t>2T0S264810</t>
  </si>
  <si>
    <t>BSM 040 B</t>
  </si>
  <si>
    <t>LIJ-SDF-MACH-S</t>
  </si>
  <si>
    <t>A0F5097B975D</t>
  </si>
  <si>
    <t>10.134.18.72</t>
  </si>
  <si>
    <t>WA25300337</t>
  </si>
  <si>
    <t>9T0S247179</t>
  </si>
  <si>
    <t>BSM 041 A</t>
  </si>
  <si>
    <t>LIJ-SDF-MACH-T</t>
  </si>
  <si>
    <t>A0F5097BA007</t>
  </si>
  <si>
    <t>10.134.19.41</t>
  </si>
  <si>
    <t>WA25300319</t>
  </si>
  <si>
    <t>6T0S164337</t>
  </si>
  <si>
    <t>BSM 041 B</t>
  </si>
  <si>
    <t>LIJ-SDF-MACH-U</t>
  </si>
  <si>
    <t>A0F5097B9629</t>
  </si>
  <si>
    <t>10.134.19.43</t>
  </si>
  <si>
    <t>WA25300280</t>
  </si>
  <si>
    <t>6T0S164346</t>
  </si>
  <si>
    <t>042V1</t>
  </si>
  <si>
    <t>LIJ-SDF-MACH-V</t>
  </si>
  <si>
    <t>A0F5097B9C84</t>
  </si>
  <si>
    <t>10.134.18.71</t>
  </si>
  <si>
    <t>WA25300317</t>
  </si>
  <si>
    <t>9T0S247186</t>
  </si>
  <si>
    <t>042V2</t>
  </si>
  <si>
    <t>LIJ-SDF-MACH-W</t>
  </si>
  <si>
    <t>A0F5097FDD3F</t>
  </si>
  <si>
    <t>10.134.19.44</t>
  </si>
  <si>
    <t>WA24406375</t>
  </si>
  <si>
    <t>9T0S237738</t>
  </si>
  <si>
    <t>BSM 045D</t>
  </si>
  <si>
    <t>LIJ-SDF-MACH-X</t>
  </si>
  <si>
    <t>A0F5097FEBFE</t>
  </si>
  <si>
    <t>10.134.19.45</t>
  </si>
  <si>
    <t>WA24406299</t>
  </si>
  <si>
    <t>1T0S255978</t>
  </si>
  <si>
    <t>BSM 046 C</t>
  </si>
  <si>
    <t>LIJ-SDF-MACH-Y</t>
  </si>
  <si>
    <t>A0F5097B9FA6</t>
  </si>
  <si>
    <t>10.134.18.76</t>
  </si>
  <si>
    <t>WA25300322</t>
  </si>
  <si>
    <t>1T0S255935</t>
  </si>
  <si>
    <t>BSM 046D</t>
  </si>
  <si>
    <t>LIJ-SDF-MACH-Z</t>
  </si>
  <si>
    <t>A0F5097B9FB3</t>
  </si>
  <si>
    <t>10.134.19.49</t>
  </si>
  <si>
    <t>WA25300324</t>
  </si>
  <si>
    <t>LIJ-SDF-MACH-AA</t>
  </si>
  <si>
    <t>A0F5097BA00D</t>
  </si>
  <si>
    <t>10.134.19.50</t>
  </si>
  <si>
    <t>WA25300323</t>
  </si>
  <si>
    <t>LIJ-SDF-MACH-AB</t>
  </si>
  <si>
    <t>A0F5097B8E58</t>
  </si>
  <si>
    <t>10.134.19.48</t>
  </si>
  <si>
    <t>WA25203733</t>
  </si>
  <si>
    <t>LIJ-SDF-MACH-AC</t>
  </si>
  <si>
    <t>A0F5097B8B74</t>
  </si>
  <si>
    <t>10.134.18.75</t>
  </si>
  <si>
    <t>WA25203896</t>
  </si>
  <si>
    <t>Spare Unit</t>
  </si>
  <si>
    <t>Changed to GC</t>
  </si>
  <si>
    <t>LIJ-SDF-MACH-AD</t>
  </si>
  <si>
    <t>A0F5097BA067</t>
  </si>
  <si>
    <t>10.134.19.46</t>
  </si>
  <si>
    <t>WA25300338</t>
  </si>
  <si>
    <t>Changed to MEETH</t>
  </si>
  <si>
    <t>LIJ-SDF-MACH-AE</t>
  </si>
  <si>
    <t>A0F5097B8AFD</t>
  </si>
  <si>
    <t>10.134.19.47</t>
  </si>
  <si>
    <t>WA25203684</t>
  </si>
  <si>
    <t>LIJ-SDF-MACH-AF</t>
  </si>
  <si>
    <t>A0F5097B8ADC</t>
  </si>
  <si>
    <t>10.134.18.74</t>
  </si>
  <si>
    <t>WA25203890</t>
  </si>
  <si>
    <t>PBMC</t>
  </si>
  <si>
    <t>PBMC-MACH-N</t>
  </si>
  <si>
    <t>A0F5097BA02C</t>
  </si>
  <si>
    <t>10.134.18.77</t>
  </si>
  <si>
    <t>WA25300321</t>
  </si>
  <si>
    <t>Anesthesia Machine</t>
  </si>
  <si>
    <t>ASUL-0203</t>
  </si>
  <si>
    <t>Third Floor/Cath Lab</t>
  </si>
  <si>
    <t>Lab 3/ Neuro BiPlane</t>
  </si>
  <si>
    <t>N/A</t>
  </si>
  <si>
    <t>Drager</t>
  </si>
  <si>
    <t>Atlan A350</t>
  </si>
  <si>
    <t>Patient Monitor - Philips MX750</t>
  </si>
  <si>
    <t>Anesthesia Machine - Drager Atlan 350</t>
  </si>
  <si>
    <t>Cybernet</t>
  </si>
  <si>
    <t>OR Cybernet</t>
  </si>
  <si>
    <t>WRI130OPR045</t>
  </si>
  <si>
    <t>MEDSG2425F-0192</t>
  </si>
  <si>
    <t>000D050AA5A9</t>
  </si>
  <si>
    <t>ASUL-0204</t>
  </si>
  <si>
    <t>MEETH</t>
  </si>
  <si>
    <t>MEETH-MACH-U</t>
  </si>
  <si>
    <t>In Storage</t>
  </si>
  <si>
    <t>MEETH-MACH-V</t>
  </si>
  <si>
    <t>A0F5097BA08B</t>
  </si>
  <si>
    <t>WA25300267</t>
  </si>
  <si>
    <t>MEETH-MACH-W</t>
  </si>
  <si>
    <t>A0F5097B969A</t>
  </si>
  <si>
    <t>WA25300268</t>
  </si>
  <si>
    <t>ZUCKER HOSPITAL</t>
  </si>
  <si>
    <t>ZHH-MACH-A</t>
  </si>
  <si>
    <t>A0F5097B961B</t>
  </si>
  <si>
    <t>WA25300273</t>
  </si>
  <si>
    <t>ZHH-MACH-B</t>
  </si>
  <si>
    <t>A0F5097B8D8E</t>
  </si>
  <si>
    <t>WA25203891</t>
  </si>
  <si>
    <t>ZHH-MACH-C</t>
  </si>
  <si>
    <t>A0F5097B9BB8</t>
  </si>
  <si>
    <t>WA25300315</t>
  </si>
  <si>
    <t>CCMC</t>
  </si>
  <si>
    <t>CCMC-MACH-A</t>
  </si>
  <si>
    <t>A0F5097B8C9F</t>
  </si>
  <si>
    <t>WA25203887</t>
  </si>
  <si>
    <t>Glen Cove</t>
  </si>
  <si>
    <t>GCH-MACH-E</t>
  </si>
  <si>
    <t>A0F5097B8E02</t>
  </si>
  <si>
    <t>WA25203864</t>
  </si>
  <si>
    <t>GCH-MACH-F</t>
  </si>
  <si>
    <t>A0F5097B8BC2</t>
  </si>
  <si>
    <t>WA25203747</t>
  </si>
  <si>
    <t>GCH-MACH-G</t>
  </si>
  <si>
    <t>A0F5097B8E6F</t>
  </si>
  <si>
    <t>WA25203897</t>
  </si>
  <si>
    <t>GCH-MACH-H</t>
  </si>
  <si>
    <t>A0F5097B8CD0</t>
  </si>
  <si>
    <t>WA25203816</t>
  </si>
  <si>
    <t>GCH-MACH-I</t>
  </si>
  <si>
    <t>A0F5097B8B9A</t>
  </si>
  <si>
    <t>WA25203823</t>
  </si>
  <si>
    <t>GCH-MACH-J</t>
  </si>
  <si>
    <t>A0F5097B8CF9</t>
  </si>
  <si>
    <t>WA25203818</t>
  </si>
  <si>
    <t>GCH-MACH-K</t>
  </si>
  <si>
    <t>100 Commercial St</t>
  </si>
  <si>
    <t>LIJ-IR</t>
  </si>
  <si>
    <t>WNH270INR001</t>
  </si>
  <si>
    <t>MEDSG2425F-0053</t>
  </si>
  <si>
    <t>00:0D:05:0A:A4:D5</t>
  </si>
  <si>
    <t>Cybernet Manufacturing Inc</t>
  </si>
  <si>
    <t>CyberMed-S24 TGL</t>
  </si>
  <si>
    <t>Ran POSTINSTALL, boxed</t>
  </si>
  <si>
    <t>WNH270INR002</t>
  </si>
  <si>
    <t>MEDSG2425F-0287</t>
  </si>
  <si>
    <t>00:0D:05:0A:A8:66</t>
  </si>
  <si>
    <t>WNY210OPR053</t>
  </si>
  <si>
    <t>MEDSG2425F-0168</t>
  </si>
  <si>
    <t>00:0D:05:0A:A6:C1</t>
  </si>
  <si>
    <t xml:space="preserve">Ran POSTINSTALL </t>
  </si>
  <si>
    <t>WNY210OPR054</t>
  </si>
  <si>
    <t>MEDSG2425F-0011</t>
  </si>
  <si>
    <t>00:0D:05:0A:A7:B9</t>
  </si>
  <si>
    <t>Ran POSTINSTALL</t>
  </si>
  <si>
    <t>NSUH</t>
  </si>
  <si>
    <t>WMH300OPR336</t>
  </si>
  <si>
    <t>MEDSG2425F-0142</t>
  </si>
  <si>
    <t>00:0D:05:0A:A4:F9</t>
  </si>
  <si>
    <t>Ran POSTINSTALL, boxe</t>
  </si>
  <si>
    <t>WMH300OPR337</t>
  </si>
  <si>
    <t>MEDSG2425F-0180</t>
  </si>
  <si>
    <t>00:0D:05:0A:A6:DD</t>
  </si>
  <si>
    <t>WMH300OPR338</t>
  </si>
  <si>
    <t>:</t>
  </si>
  <si>
    <t>MEDSG2425F-0151</t>
  </si>
  <si>
    <t>00:0D:05:0A:A4:DD</t>
  </si>
  <si>
    <t>WMH300OPR339</t>
  </si>
  <si>
    <t>MEDSG2425F-0193</t>
  </si>
  <si>
    <t>00:0D:05:0A:A5:2D</t>
  </si>
  <si>
    <t>WMH300OPR340</t>
  </si>
  <si>
    <t>MEDSG2425F-0123</t>
  </si>
  <si>
    <t>00:0D:05:0A:A7:49</t>
  </si>
  <si>
    <t>WMH300OPR341</t>
  </si>
  <si>
    <t>MEDSG2425F-0163</t>
  </si>
  <si>
    <t>00:0D:05:0A:A7:0D</t>
  </si>
  <si>
    <t>WMH300OPR342</t>
  </si>
  <si>
    <t>MEDSG2425F-0165</t>
  </si>
  <si>
    <t>00:0d:05:0a:a7:43</t>
  </si>
  <si>
    <t>WMH300OPR343</t>
  </si>
  <si>
    <t>MEDSG2425f-0265</t>
  </si>
  <si>
    <t>00:0D:05:0A:A8:3B</t>
  </si>
  <si>
    <t>WMH300OPR344</t>
  </si>
  <si>
    <t>MEDSG2425F-0121</t>
  </si>
  <si>
    <t>00:0D:05:0A:A8:7D</t>
  </si>
  <si>
    <t>WMH300OPR345</t>
  </si>
  <si>
    <t>MEDSG2425F-0284</t>
  </si>
  <si>
    <t>00:0D:05:0A:A8:4D</t>
  </si>
  <si>
    <t>WMH300OPR346</t>
  </si>
  <si>
    <t>MEDSG2425F-0062</t>
  </si>
  <si>
    <t>00:0D:05:0A:A6:89</t>
  </si>
  <si>
    <t>WMH300OPR347</t>
  </si>
  <si>
    <t>MEDSG2425F-0093</t>
  </si>
  <si>
    <t>00:0D:05:0A:A6:F9</t>
  </si>
  <si>
    <t>WMH300OPR348</t>
  </si>
  <si>
    <t>MEDSG2425F-0046</t>
  </si>
  <si>
    <t>00:0D:05:0A:A8:F5</t>
  </si>
  <si>
    <t>WMH300OPR349</t>
  </si>
  <si>
    <t>MEDSG2425F-0109</t>
  </si>
  <si>
    <t>00:0D:05:0A:A7:69</t>
  </si>
  <si>
    <t>WMH300OPR350</t>
  </si>
  <si>
    <t>MEDSG2425F-0270</t>
  </si>
  <si>
    <t>00:0D:05:0A:A8:5b</t>
  </si>
  <si>
    <t>LIJ - CCMC</t>
  </si>
  <si>
    <t>WNH269OPR013</t>
  </si>
  <si>
    <t>MEDSG2425F-3155</t>
  </si>
  <si>
    <t>00:0D:05:0A:B2:C5</t>
  </si>
  <si>
    <t>WNH269OPR014</t>
  </si>
  <si>
    <t>MEDSG2425F-3312</t>
  </si>
  <si>
    <t>00:0D:05:0A:B6:A1</t>
  </si>
  <si>
    <t>WNH269OPR015</t>
  </si>
  <si>
    <t>MEDSG2425F-3315</t>
  </si>
  <si>
    <t>00:0D:05:0A:b6:65</t>
  </si>
  <si>
    <t>WNH269OPR016</t>
  </si>
  <si>
    <t>MEDSG2425F-3222</t>
  </si>
  <si>
    <t>00:0D:05:0A:b4:71</t>
  </si>
  <si>
    <t>WNH269OPR017</t>
  </si>
  <si>
    <t>MEDSG2425F-3097</t>
  </si>
  <si>
    <t>00:0D:05:0A:B2:AD</t>
  </si>
  <si>
    <t>WNH269OPR018</t>
  </si>
  <si>
    <t>MEDSG2425F-3214</t>
  </si>
  <si>
    <t>00:0D:05:0A:B2:99</t>
  </si>
  <si>
    <t>WNH269OPR019</t>
  </si>
  <si>
    <t>MEDSG2425F-3218</t>
  </si>
  <si>
    <t>00:0D:05:0A:B4:47</t>
  </si>
  <si>
    <t>WNH269OPR020</t>
  </si>
  <si>
    <t>MEDSG2425F-3046</t>
  </si>
  <si>
    <t>00:0D:05:0A:B2:77</t>
  </si>
  <si>
    <t>WNH269OPR021</t>
  </si>
  <si>
    <t>MEDSG2425F-3235</t>
  </si>
  <si>
    <t>00:0D:05:0A:B2:31</t>
  </si>
  <si>
    <t>CFAM</t>
  </si>
  <si>
    <t>WLS450OPR001</t>
  </si>
  <si>
    <t>MEDSG2425F-3048</t>
  </si>
  <si>
    <t>00:0D:05:0A:b3:0f</t>
  </si>
  <si>
    <t>WLS450OPR002</t>
  </si>
  <si>
    <t>MEDSG2425F-3173</t>
  </si>
  <si>
    <t>00:0D:05:0A:B0:B1</t>
  </si>
  <si>
    <t>WLS450OPR003</t>
  </si>
  <si>
    <t>MEDSG2425F-3318</t>
  </si>
  <si>
    <t>00:0D:05:0A:B1:A3</t>
  </si>
  <si>
    <t>WLS450OPR004</t>
  </si>
  <si>
    <t>MEDSG2425F-3182</t>
  </si>
  <si>
    <t>00:0D:05:0A:b6:53</t>
  </si>
  <si>
    <t>WLS450OPR005</t>
  </si>
  <si>
    <t>MEDSG2425F-3224</t>
  </si>
  <si>
    <t>00:0D:05:0A:B3:07</t>
  </si>
  <si>
    <t>WLS450OPR006</t>
  </si>
  <si>
    <t>MEDSG2425F-3141</t>
  </si>
  <si>
    <t>00:0D:05:0A:B1:A9</t>
  </si>
  <si>
    <t>WLS450OPR007</t>
  </si>
  <si>
    <t>MEDSG2425F-0283</t>
  </si>
  <si>
    <t>00:0D:05:0A:A8:2B</t>
  </si>
  <si>
    <t>WNH269OPR022</t>
  </si>
  <si>
    <t>MEDSG2425F-0213</t>
  </si>
  <si>
    <t>00:0D:05:0A:A5:6F</t>
  </si>
  <si>
    <t>WNH269OPR023</t>
  </si>
  <si>
    <t>MEDSG2425F-0264</t>
  </si>
  <si>
    <t>00:0D:05:0A:A8:A3</t>
  </si>
  <si>
    <t>WNH269OPR024</t>
  </si>
  <si>
    <t>MEDSG2425F-0162</t>
  </si>
  <si>
    <t>00:0D:05:0A:A8:C3</t>
  </si>
  <si>
    <t>WNH269OPR025</t>
  </si>
  <si>
    <t>MEDSG2425F-0170</t>
  </si>
  <si>
    <t>00:0D:05:0A:A6:E5</t>
  </si>
  <si>
    <t>WNH269OPR026</t>
  </si>
  <si>
    <t>MEDSG2425F-0269</t>
  </si>
  <si>
    <t>00:0D:05:0A:A8:3D</t>
  </si>
  <si>
    <t>LIJ - Other</t>
  </si>
  <si>
    <t>WNH270OPR403</t>
  </si>
  <si>
    <t>MEDSG2425F-0282</t>
  </si>
  <si>
    <t>00:0D:05:0A:A8:DF</t>
  </si>
  <si>
    <t>WNH270OPR404</t>
  </si>
  <si>
    <t>MEDSG2425F-0091</t>
  </si>
  <si>
    <t>00:0D:05:0A:a7:91</t>
  </si>
  <si>
    <t>WNH270OPR405</t>
  </si>
  <si>
    <t>MEDSG2425F-0160</t>
  </si>
  <si>
    <t>00:0D:05:0A:a6:85</t>
  </si>
  <si>
    <t>WNH270OPR406</t>
  </si>
  <si>
    <t>MEDSG2425F-0149</t>
  </si>
  <si>
    <t>00:0D:05:0A:a5:f7</t>
  </si>
  <si>
    <t>WNH270OPR407</t>
  </si>
  <si>
    <t>MEDSG2425F-3075</t>
  </si>
  <si>
    <t>00:0D:05:0A:B2:5B</t>
  </si>
  <si>
    <t>WNH270OPR408</t>
  </si>
  <si>
    <t>MEDSG2425F-3063</t>
  </si>
  <si>
    <t>00:0D:05:0A:B2:29</t>
  </si>
  <si>
    <t>WNH270OPR409</t>
  </si>
  <si>
    <t>MEDSG2425F-3058</t>
  </si>
  <si>
    <t>00:0D:05:0A:B2:47</t>
  </si>
  <si>
    <t>WNH270OPR410</t>
  </si>
  <si>
    <t>MEDSG2425F-3009</t>
  </si>
  <si>
    <t>00:0D:05:0A:B1:85</t>
  </si>
  <si>
    <t>WNH270OPR411</t>
  </si>
  <si>
    <t>MEDSG2425F-3044</t>
  </si>
  <si>
    <t>00:0D:05:0A:B2:6b</t>
  </si>
  <si>
    <t>WNH270OPR412</t>
  </si>
  <si>
    <t>MEDSG2425F-3302</t>
  </si>
  <si>
    <t>00:0D:05:0A:B3:1f</t>
  </si>
  <si>
    <t>BROKEN - Bluescreen@boot</t>
  </si>
  <si>
    <t>MEDSG2425F-3062</t>
  </si>
  <si>
    <t>00:0D:05:0A:B2:43</t>
  </si>
  <si>
    <t>WNH270OPR413</t>
  </si>
  <si>
    <t>MEDSG2425F-3319</t>
  </si>
  <si>
    <t>00:0D:05:0A:B6:a7</t>
  </si>
  <si>
    <t>WNH270OPR414</t>
  </si>
  <si>
    <t>MEDSG2425F-3168</t>
  </si>
  <si>
    <t>00:0D:05:0A:B0:CD</t>
  </si>
  <si>
    <t>WNH270OPR415</t>
  </si>
  <si>
    <t>MEDSG2425F-3131</t>
  </si>
  <si>
    <t>00:0D:05:0A:B3:b7</t>
  </si>
  <si>
    <t>WNH270OPR416</t>
  </si>
  <si>
    <t>MEDSG2425F-0019</t>
  </si>
  <si>
    <t>00:0D:05:0A:A8:29</t>
  </si>
  <si>
    <t>WNH270OPR417</t>
  </si>
  <si>
    <t>MEDSG2425F-0083</t>
  </si>
  <si>
    <t>00:0D:05:0A:A8:57</t>
  </si>
  <si>
    <t>WNH270OPR418</t>
  </si>
  <si>
    <t>MEDSG2425F-0060</t>
  </si>
  <si>
    <t>00:0D:05:0A:A5:b7</t>
  </si>
  <si>
    <t>WNH270OPR419</t>
  </si>
  <si>
    <t>MEDSG2425F-0094</t>
  </si>
  <si>
    <t>00:0D:05:0A:A7:8f</t>
  </si>
  <si>
    <t>WNH270OPR420</t>
  </si>
  <si>
    <t>MEDSG2425F-0068</t>
  </si>
  <si>
    <t>00:0D:05:0A:A7:f7</t>
  </si>
  <si>
    <t>WNH270OPR421</t>
  </si>
  <si>
    <t>MEDSG2425F-0146</t>
  </si>
  <si>
    <t>00:0D:05:0A:A5:FF</t>
  </si>
  <si>
    <t>LIJ - OR</t>
  </si>
  <si>
    <t>WNH270OPR422</t>
  </si>
  <si>
    <t>MEDSG2425F-0076</t>
  </si>
  <si>
    <t>00:0D:05:0A:A5:35</t>
  </si>
  <si>
    <t>WNH270OPR423</t>
  </si>
  <si>
    <t>MEDSG2425F-0166</t>
  </si>
  <si>
    <t>00:0D:05:0A:A6:c3</t>
  </si>
  <si>
    <t>WNH270OPR424</t>
  </si>
  <si>
    <t>MEDSG2425F-0172</t>
  </si>
  <si>
    <t>00:0D:05:0A:A6:BD</t>
  </si>
  <si>
    <t>WNH270OPR425</t>
  </si>
  <si>
    <t>MEDSG2425F-0013</t>
  </si>
  <si>
    <t>00:0D:05:0A:A4:fb</t>
  </si>
  <si>
    <t>WNH270OPR426</t>
  </si>
  <si>
    <t>MEDSG2425F-3696</t>
  </si>
  <si>
    <t>00:0D:05:0A:B3:65</t>
  </si>
  <si>
    <t>WNH270OPR427</t>
  </si>
  <si>
    <t>MEDSG2425F-3358</t>
  </si>
  <si>
    <t>00:0D:05:0A:B6:D7</t>
  </si>
  <si>
    <t>WNH270OPR428</t>
  </si>
  <si>
    <t>MEDSG2425F-3294</t>
  </si>
  <si>
    <t>00:0D:05:0A:B6:AB</t>
  </si>
  <si>
    <t>WNH270OPR429</t>
  </si>
  <si>
    <t>MEDSG2425F-3310</t>
  </si>
  <si>
    <t>00:0D:05:0A:B1:73</t>
  </si>
  <si>
    <t>WNH270OPR430</t>
  </si>
  <si>
    <t>MEDSG2425F-3183</t>
  </si>
  <si>
    <t>00:0D:05:0A:B1:6b</t>
  </si>
  <si>
    <t>WNH270OPR431</t>
  </si>
  <si>
    <t>MEDSG2425F-3304</t>
  </si>
  <si>
    <t>00:0D:05:0A:B0:AF</t>
  </si>
  <si>
    <t>WNH270OPR432</t>
  </si>
  <si>
    <t>MEDSG2425E-3291</t>
  </si>
  <si>
    <t>00:0D:05:0A:B0:BB</t>
  </si>
  <si>
    <t>WNH270OPR433</t>
  </si>
  <si>
    <t>MEDSG2425E-3033</t>
  </si>
  <si>
    <t>00:0D:05:0A:B1:1F</t>
  </si>
  <si>
    <t>WNH270OPR434</t>
  </si>
  <si>
    <t>MEDSG2425E-3070</t>
  </si>
  <si>
    <t>00:0D:05:0A:B0:E7</t>
  </si>
  <si>
    <t>WNH270OPR435</t>
  </si>
  <si>
    <t>MEDSG2425E-3749</t>
  </si>
  <si>
    <t>00:0D:05:0A:B0:F3</t>
  </si>
  <si>
    <t>WNH270OPR436</t>
  </si>
  <si>
    <t>MEDSG2425E-3219</t>
  </si>
  <si>
    <t>00:0D:05:0A:B6:59</t>
  </si>
  <si>
    <t>WNH270OPR437</t>
  </si>
  <si>
    <t>MEDSG2425E-3209</t>
  </si>
  <si>
    <t>00:0D:05:0A:B4:81</t>
  </si>
  <si>
    <t>WNH270OPR438</t>
  </si>
  <si>
    <t>MEDSG2425E-3050</t>
  </si>
  <si>
    <t>00:0D:05:0A:B2:4D</t>
  </si>
  <si>
    <t>WNH270OPR439</t>
  </si>
  <si>
    <t>MEDSG2425E-3206</t>
  </si>
  <si>
    <t>00:0D:05:0A:B3:3D</t>
  </si>
  <si>
    <t>WNH270OPR440</t>
  </si>
  <si>
    <t>MEDSG2425E-3210</t>
  </si>
  <si>
    <t>00:0D:05:0A:B6:e7</t>
  </si>
  <si>
    <t>WNH270OPR441</t>
  </si>
  <si>
    <t>MEDSG2425E-0173</t>
  </si>
  <si>
    <t>00:0D:05:0A:A6:C7</t>
  </si>
  <si>
    <t>WNH270OPR442</t>
  </si>
  <si>
    <t>MEDSG2425E-0026</t>
  </si>
  <si>
    <t>00:0D:05:0A:A8:3F</t>
  </si>
  <si>
    <t>WNH270OPR443</t>
  </si>
  <si>
    <t>WNH270OPR444</t>
  </si>
  <si>
    <t>WNH270OPR445</t>
  </si>
  <si>
    <t>WNH270OPR446</t>
  </si>
  <si>
    <t>WNH270OPR447</t>
  </si>
  <si>
    <t>WNH270OPR448</t>
  </si>
  <si>
    <t>WNH270OPR449</t>
  </si>
  <si>
    <t>WNH270OPR450</t>
  </si>
  <si>
    <t>Peripherals</t>
  </si>
  <si>
    <t>LIJVS</t>
  </si>
  <si>
    <t>WVS900OPR028</t>
  </si>
  <si>
    <t>A0F5097FA59B</t>
  </si>
  <si>
    <t>WA23C03815</t>
  </si>
  <si>
    <t>MEDNG2425E-3292</t>
  </si>
  <si>
    <t>DC:90:09:61:8B:EA</t>
  </si>
  <si>
    <t>scan</t>
  </si>
  <si>
    <t>Endoscopy Suite</t>
  </si>
  <si>
    <t>1-C-2</t>
  </si>
  <si>
    <t>Mindray A5 - EJ-57023077</t>
  </si>
  <si>
    <t>MX550</t>
  </si>
  <si>
    <t>Philips Mindray</t>
  </si>
  <si>
    <t>ran AL</t>
  </si>
  <si>
    <t>WVS900OPR023</t>
  </si>
  <si>
    <t>A0F5097FA526</t>
  </si>
  <si>
    <t>WA23C03913</t>
  </si>
  <si>
    <t>MEDNG2425E-3673</t>
  </si>
  <si>
    <t>OR</t>
  </si>
  <si>
    <t>OR 7</t>
  </si>
  <si>
    <t>Drager Apollo</t>
  </si>
  <si>
    <t>Phillips</t>
  </si>
  <si>
    <t>WVS900OPR026</t>
  </si>
  <si>
    <t>A0F5097FA52B</t>
  </si>
  <si>
    <t>WA23C03907</t>
  </si>
  <si>
    <t>MEDNG2425E-3698</t>
  </si>
  <si>
    <t>OR 1</t>
  </si>
  <si>
    <t>PHILLIPS</t>
  </si>
  <si>
    <t>ALREADY HAD A BADGE SCANNER INSTALLED / RAN AL</t>
  </si>
  <si>
    <t>WVS900OPR030</t>
  </si>
  <si>
    <t>A0F5097FA5C5</t>
  </si>
  <si>
    <t>WA23C03201</t>
  </si>
  <si>
    <t>medng2425e-3739</t>
  </si>
  <si>
    <t>OR 2</t>
  </si>
  <si>
    <t>Drager Atlan</t>
  </si>
  <si>
    <t xml:space="preserve">Phillips </t>
  </si>
  <si>
    <t>ALREADY HAD A BADGE SCANNER INSTALLED / imprivata installed, so cant run  AL / DIDNT PROGRAM SCANNER</t>
  </si>
  <si>
    <t>WVS900OPR029</t>
  </si>
  <si>
    <t>A0F5097FA3F3</t>
  </si>
  <si>
    <t>WA23C03752</t>
  </si>
  <si>
    <t>MEDNG2425E-3069</t>
  </si>
  <si>
    <t>OR 5</t>
  </si>
  <si>
    <t>RAN AL / DIDNT PROGRAM SCANNER</t>
  </si>
  <si>
    <t>WVS900OPR024</t>
  </si>
  <si>
    <t>A0F5097FA58A</t>
  </si>
  <si>
    <t>WA23C03908</t>
  </si>
  <si>
    <t>MEDNG2425E-3059</t>
  </si>
  <si>
    <t>OR 6</t>
  </si>
  <si>
    <t>MINDRAY A5</t>
  </si>
  <si>
    <t>NEURON</t>
  </si>
  <si>
    <t>ALREADY HAS BADGE SCANNER / SCANNER PROGRAMMED / RAN AL</t>
  </si>
  <si>
    <t>WVS900OPR025</t>
  </si>
  <si>
    <t>A0F5097F9550</t>
  </si>
  <si>
    <t>WA23C03136</t>
  </si>
  <si>
    <t>MEDNG2425E-3061</t>
  </si>
  <si>
    <t>OR 3</t>
  </si>
  <si>
    <t>PHILLIP</t>
  </si>
  <si>
    <t>did not get to install</t>
  </si>
  <si>
    <t>iPro OR Workstation</t>
  </si>
  <si>
    <t>no</t>
  </si>
  <si>
    <t>yes</t>
  </si>
  <si>
    <t>inpatient</t>
  </si>
  <si>
    <t>pass</t>
  </si>
  <si>
    <t>akbar, Diane from Anesthesia, and Metasource badge-in TDR</t>
  </si>
  <si>
    <t>WNH270OPR020</t>
  </si>
  <si>
    <t>gather from Tim's spreadsheet</t>
  </si>
  <si>
    <t>MEDNG2425E-3046</t>
  </si>
  <si>
    <t>8605505-08106008076502</t>
  </si>
  <si>
    <t>Floor 1</t>
  </si>
  <si>
    <t>OR 4</t>
  </si>
  <si>
    <t>APOLLO</t>
  </si>
  <si>
    <t>Anesthesia Tech 10783</t>
  </si>
  <si>
    <t>Philips Intellivue MX800</t>
  </si>
  <si>
    <t>WNH270OPR021</t>
  </si>
  <si>
    <t>MEDNG2425E-3235</t>
  </si>
  <si>
    <t>8605505-08106008076500</t>
  </si>
  <si>
    <t/>
  </si>
  <si>
    <t>WNH270OPR017</t>
  </si>
  <si>
    <t>MEDNG2425E-3097</t>
  </si>
  <si>
    <t>8605505-08106008075761</t>
  </si>
  <si>
    <t>WNH270OPR018</t>
  </si>
  <si>
    <t>MEDNG2425E-3214</t>
  </si>
  <si>
    <t>8605505-08106008076496</t>
  </si>
  <si>
    <t>MEDNG2425E-3218</t>
  </si>
  <si>
    <t>8605505-08106008073299</t>
  </si>
  <si>
    <t>MEDNG2425E-3315</t>
  </si>
  <si>
    <t>8605505-08106008075770</t>
  </si>
  <si>
    <t>MEDNG2425E-3312</t>
  </si>
  <si>
    <t>8605505-08106008075768</t>
  </si>
  <si>
    <t>OR 8</t>
  </si>
  <si>
    <t>MEDNG2425E-3222</t>
  </si>
  <si>
    <t>8605505-08106008075769</t>
  </si>
  <si>
    <t>WNH270OPR022</t>
  </si>
  <si>
    <t>MEDNG2425E-?</t>
  </si>
  <si>
    <t>ASPB0089</t>
  </si>
  <si>
    <t>IR 11</t>
  </si>
  <si>
    <t>Location</t>
  </si>
  <si>
    <t>Needed</t>
  </si>
  <si>
    <t>Completed</t>
  </si>
  <si>
    <t>Comp%</t>
  </si>
  <si>
    <t>Deployment Date</t>
  </si>
  <si>
    <t>Days Until</t>
  </si>
  <si>
    <t>Naming Convention</t>
  </si>
  <si>
    <t>Ticket Submitted</t>
  </si>
  <si>
    <t xml:space="preserve">WLS450OPR001+ </t>
  </si>
  <si>
    <t>REQ1310102</t>
  </si>
  <si>
    <t>WNH269OPR013+</t>
  </si>
  <si>
    <t>REQ1303256</t>
  </si>
  <si>
    <t>LIJ Other</t>
  </si>
  <si>
    <t>WNH270OPR403-421</t>
  </si>
  <si>
    <t>REQ1303274</t>
  </si>
  <si>
    <t>Only need 15 now</t>
  </si>
  <si>
    <t>LIJ OR</t>
  </si>
  <si>
    <t>WNH270OPR422-450</t>
  </si>
  <si>
    <t>last updated row 130, inclusive</t>
  </si>
  <si>
    <t>LIJ Annex</t>
  </si>
  <si>
    <t>WNH270OPR451-453</t>
  </si>
  <si>
    <t>Zucker</t>
  </si>
  <si>
    <t>WNH265OPRXXX+</t>
  </si>
  <si>
    <t>LIJ Perfusion</t>
  </si>
  <si>
    <t>WNH270OPR454-456</t>
  </si>
  <si>
    <t>NSUH Legacy OR</t>
  </si>
  <si>
    <t>WMH300OPR336+</t>
  </si>
  <si>
    <t>NSUH PSP OR</t>
  </si>
  <si>
    <t>NSUH Schwartz</t>
  </si>
  <si>
    <t>NSUH NSCU 6</t>
  </si>
  <si>
    <t>NSUH Other</t>
  </si>
  <si>
    <t>NSUH Perfusion</t>
  </si>
  <si>
    <t>TOTALS</t>
  </si>
  <si>
    <t>Site (Client)</t>
  </si>
  <si>
    <t>Department (ServiceNow name)</t>
  </si>
  <si>
    <t>Medical Device Model</t>
  </si>
  <si>
    <t>Medical Device Class</t>
  </si>
  <si>
    <t>Credential Type (Client)</t>
  </si>
  <si>
    <t>Software List (Client Approved)</t>
  </si>
  <si>
    <t>Power Cable Present</t>
  </si>
  <si>
    <t>Neuron ID</t>
  </si>
  <si>
    <t>Software List (Operational)</t>
  </si>
  <si>
    <t>Software Source</t>
  </si>
  <si>
    <t>Flag - Critical Missing</t>
  </si>
  <si>
    <t>Flag - Software</t>
  </si>
  <si>
    <t>Flag - Autologon</t>
  </si>
  <si>
    <t>Overall Status</t>
  </si>
  <si>
    <t>Site</t>
  </si>
  <si>
    <t>Deployment &amp; Stock</t>
  </si>
  <si>
    <t>Pending Install</t>
  </si>
  <si>
    <t>Total Sent</t>
  </si>
  <si>
    <t>Mouse &amp; Keyboard</t>
  </si>
  <si>
    <t>Barcode Scanner</t>
  </si>
  <si>
    <t>Tap Badge</t>
  </si>
  <si>
    <t>HQ</t>
  </si>
  <si>
    <t>GVH</t>
  </si>
  <si>
    <t>LHH</t>
  </si>
  <si>
    <t>NWH</t>
  </si>
  <si>
    <t>PHELPS</t>
  </si>
  <si>
    <t>SIUH AMB</t>
  </si>
  <si>
    <t>SIUHN</t>
  </si>
  <si>
    <t>SIUHS</t>
  </si>
  <si>
    <t>FH</t>
  </si>
  <si>
    <t>GC</t>
  </si>
  <si>
    <t>PL</t>
  </si>
  <si>
    <t>SY</t>
  </si>
  <si>
    <t>VS</t>
  </si>
  <si>
    <t>LII</t>
  </si>
  <si>
    <t>NSLIJ</t>
  </si>
  <si>
    <t>TOTAL</t>
  </si>
  <si>
    <t>Phase</t>
  </si>
  <si>
    <t>Step</t>
  </si>
  <si>
    <t>Batch Size</t>
  </si>
  <si>
    <t>Planned Minutes</t>
  </si>
  <si>
    <t>Actual Minutes</t>
  </si>
  <si>
    <t>Tech</t>
  </si>
  <si>
    <t>In Storage - Located</t>
  </si>
  <si>
    <t>In Storage - Unknown</t>
  </si>
  <si>
    <t>Acknowledged with Tim, Steve, and Akbar that a complete count isn't possible until we organize the warehouse</t>
  </si>
  <si>
    <t>Firmware Configuration</t>
  </si>
  <si>
    <t>App Installation</t>
  </si>
  <si>
    <t>Epic Beans Configuration</t>
  </si>
  <si>
    <t>Deployment</t>
  </si>
  <si>
    <t>Deliveries: Orchestrate with Chris, Marvin, Bonita, Aamir, and Aatif</t>
  </si>
  <si>
    <t>Go-Live</t>
  </si>
  <si>
    <t>Marvin delivers equipment next Friday</t>
  </si>
  <si>
    <t>Team configures devices</t>
  </si>
  <si>
    <t>Team deploys devices</t>
  </si>
  <si>
    <t>Scott's 1 Marcus Petition Outline</t>
  </si>
  <si>
    <t>Ascertaining the 1 Marcus Count</t>
  </si>
  <si>
    <t>Discern Cable Types for each Site</t>
  </si>
  <si>
    <t>Ahead of Wave 3</t>
  </si>
  <si>
    <t>Procurement</t>
  </si>
  <si>
    <t>Ascertain the stock necessary for deployments</t>
  </si>
  <si>
    <t>Dashboard</t>
  </si>
  <si>
    <t>Units Sent by Wave/PO</t>
  </si>
  <si>
    <t>Neuron Sent</t>
  </si>
  <si>
    <t>Cybernet Sent</t>
  </si>
  <si>
    <t>Mouse&amp;KB</t>
  </si>
  <si>
    <t>Tap Badges</t>
  </si>
  <si>
    <t>WAVE_1</t>
  </si>
  <si>
    <t>WAVE_2</t>
  </si>
  <si>
    <t>PO_CDW</t>
  </si>
  <si>
    <t>SPARES</t>
  </si>
  <si>
    <t>ADDONS</t>
  </si>
  <si>
    <t>Device Readiness — Blocker Counts (from 15_Device_Configuration)</t>
  </si>
  <si>
    <t>Blocker</t>
  </si>
  <si>
    <t>Power Cable</t>
  </si>
  <si>
    <t>Battery</t>
  </si>
  <si>
    <t>Firmware Download</t>
  </si>
  <si>
    <t>Firmware Install</t>
  </si>
  <si>
    <t>Device ID</t>
  </si>
  <si>
    <t>Epic Beans Relay</t>
  </si>
  <si>
    <t>Ready (No Blockers)</t>
  </si>
  <si>
    <t>Cutover / Go-Live Validation Checklist (from training PDF)</t>
  </si>
  <si>
    <t>Checklist Item</t>
  </si>
  <si>
    <t>Applies To</t>
  </si>
  <si>
    <t>Status</t>
  </si>
  <si>
    <t>Validated By</t>
  </si>
  <si>
    <t>Validated Date</t>
  </si>
  <si>
    <t>Power connection stable; confirm power status icon (steady green LED).</t>
  </si>
  <si>
    <t>Not Started</t>
  </si>
  <si>
    <t>Network connected; verify network icon (no red X); confirm cable in yellow network port.</t>
  </si>
  <si>
    <t>If network lost: verify wall jack; relabel jack as Neuron; update documentation.</t>
  </si>
  <si>
    <t>Connect Neuron to server via Service Mode &gt; Reassign Server; verify server name displayed.</t>
  </si>
  <si>
    <t>Test network connection via Service Mode &gt; Maintenance Tool.</t>
  </si>
  <si>
    <t>If new Neuron needs firmware naming: provide Location, MAC, Serial, Connected Devices to Server Team.</t>
  </si>
  <si>
    <t>Install Prep</t>
  </si>
  <si>
    <t>Bring required items: Neuron, Power Brick, Medical Grade Power Cable, DIM, DIM Patch Cable, DB9/DB15, USB-to-Serial (if needed), Network Cable (15ft min).</t>
  </si>
  <si>
    <t>Install</t>
  </si>
  <si>
    <t>Ensure Biomed + Anesthesia staff present for installation steps involving anesthesia machine patching.</t>
  </si>
  <si>
    <t>Neuron/Cybernet</t>
  </si>
  <si>
    <t>Integration</t>
  </si>
  <si>
    <t>Confirm port assignments (Patient Monitor=1, Anesthesia Machine=2, Hemosphere=3, BIS=4, Nonin=5, Other=6).</t>
  </si>
  <si>
    <t>Troubleshooting</t>
  </si>
  <si>
    <t>If device data not transmitting: verify device power, Neuron patch cable, DIM, serial cable, USB-to-Serial if needed.</t>
  </si>
  <si>
    <t>Standard Tasks</t>
  </si>
  <si>
    <t>Cable management: route/secure/label cables for patient monitor, anesthesia machine, Hemosphere, bedside monitor.</t>
  </si>
  <si>
    <t>Both</t>
  </si>
  <si>
    <t>Neuron setup: power on, confirm network, program/config if needed, position correctly.</t>
  </si>
  <si>
    <t>Cybernet setup: orientation (portrait/landscape), network connection, mouse/keyboard function.</t>
  </si>
  <si>
    <t>Cybernet power options: display never; sleep never (Control Panel → Power Options).</t>
  </si>
  <si>
    <t>Verify barcode scanner connection and test functionality.</t>
  </si>
  <si>
    <t>Cutover Night</t>
  </si>
  <si>
    <t>Bomgar remote support: obtain session key, allow control, send simulated vitals for Epic validation.</t>
  </si>
  <si>
    <t>Site Readiness Matrix (Red/Yellow/Green)</t>
  </si>
  <si>
    <t>Access/BADGE</t>
  </si>
  <si>
    <t>Staging Area</t>
  </si>
  <si>
    <t>2 Network Ports Active</t>
  </si>
  <si>
    <t>2 Power Outlets</t>
  </si>
  <si>
    <t>Biomed Scheduled</t>
  </si>
  <si>
    <t>Anesthesia Tech Scheduled</t>
  </si>
  <si>
    <t>Formula Library (auto-extracted from your ReConnect trackers)</t>
  </si>
  <si>
    <t>Example Locations</t>
  </si>
  <si>
    <t>Purpose (fill in)</t>
  </si>
  <si>
    <t>Where to Use (fill in)</t>
  </si>
  <si>
    <t>Notes / Dependencies</t>
  </si>
  <si>
    <t>Rego Park ReConnect Tracker - Improved Tracker.xlsx::Summary!D16
Live-ReConnect-Tracker-Integrated - original tracker.xlsx::Summary!D16</t>
  </si>
  <si>
    <t>Rego Park ReConnect Tracker - Improved Tracker.xlsx::Summary!F6
Live-ReConnect-Tracker-Integrated - original tracker.xlsx::Summary!F6</t>
  </si>
  <si>
    <t>Rego Park ReConnect Tracker - Improved Tracker.xlsx::Summary!D5</t>
  </si>
  <si>
    <t>Rego Park ReConnect Tracker - Improved Tracker.xlsx::Summary!F22</t>
  </si>
  <si>
    <t>Live-ReConnect-Tracker-Integrated - original tracker.xlsx::Summary!F23</t>
  </si>
  <si>
    <t>Rego Park ReConnect Tracker - Improved Tracker.xlsx::Summary!F8
Rego Park ReConnect Tracker - Improved Tracker.xlsx::Summary!F10
Rego Park ReConnect Tracker - Improved Tracker.xlsx::Summary!F17
Rego Park ReConnect Tracker - Improved Tracker.xlsx::Summary!F18
Rego Park ReConnect Tracker - Improved Tracker.xlsx::Summary!F19
Live-ReConnect-Tracker-Integrated - original tracker.xlsx::Summary!F8</t>
  </si>
  <si>
    <t>Rego Park ReConnect Tracker - Improved Tracker.xlsx::Summary!F16
Live-ReConnect-Tracker-Integrated - original tracker.xlsx::Summary!F7
Live-ReConnect-Tracker-Integrated - original tracker.xlsx::Summary!F16</t>
  </si>
  <si>
    <t>Rego Park ReConnect Tracker - Improved Tracker.xlsx::Summary!F21
Live-ReConnect-Tracker-Integrated - original tracker.xlsx::Summary!F22</t>
  </si>
  <si>
    <t>Rego Park ReConnect Tracker - Improved Tracker.xlsx::Summary!F9
Live-ReConnect-Tracker-Integrated - original tracker.xlsx::Summary!F9</t>
  </si>
  <si>
    <t>Live-ReConnect-Tracker-Integrated - original tracker.xlsx::Summary!F5</t>
  </si>
  <si>
    <t>Rego Park ReConnect Tracker - Improved Tracker.xlsx::Summary!F20</t>
  </si>
  <si>
    <t>Live-ReConnect-Tracker-Integrated - original tracker.xlsx::Summary!F21</t>
  </si>
  <si>
    <t>Rego Park ReConnect Tracker - Improved Tracker.xlsx::AL Account Candidates!D2
Live-ReConnect-Tracker-Integrated - original tracker.xlsx::AL Account Candidates!D2</t>
  </si>
  <si>
    <t>Rego Park ReConnect Tracker - Improved Tracker.xlsx::Rego Park Survey - In Dev!AY11</t>
  </si>
  <si>
    <t>Rego Park ReConnect Tracker - Improved Tracker.xlsx::Rego Park Survey!AV3
Rego Park ReConnect Tracker - Improved Tracker.xlsx::Rego Park Survey - In Dev!AV3</t>
  </si>
  <si>
    <t>Rego Park ReConnect Tracker - Improved Tracker.xlsx::Summary!F3
Live-ReConnect-Tracker-Integrated - original tracker.xlsx::Summary!F3</t>
  </si>
  <si>
    <t>Rego Park ReConnect Tracker - Improved Tracker.xlsx::Summary!F11</t>
  </si>
  <si>
    <t>Live-ReConnect-Tracker-Integrated - original tracker.xlsx::Summary!F11</t>
  </si>
  <si>
    <t>Rego Park ReConnect Tracker - Improved Tracker.xlsx::Summary!F12</t>
  </si>
  <si>
    <t>Live-ReConnect-Tracker-Integrated - original tracker.xlsx::Summary!F12</t>
  </si>
  <si>
    <t>Rego Park ReConnect Tracker - Improved Tracker.xlsx::Summary!D4</t>
  </si>
  <si>
    <t>Live-ReConnect-Tracker-Integrated - original tracker.xlsx::Summary!D4</t>
  </si>
  <si>
    <t>Rego Park ReConnect Tracker - Improved Tracker.xlsx::Summary!F5</t>
  </si>
  <si>
    <t>Rego Park ReConnect Tracker - Improved Tracker.xlsx::Summary!F7</t>
  </si>
  <si>
    <t>Rego Park ReConnect Tracker - Improved Tracker.xlsx::Rego Park Survey - In Dev!AZ3</t>
  </si>
  <si>
    <t>Rego Park ReConnect Tracker - Improved Tracker.xlsx::Rego Park Survey - In Dev!AZ4</t>
  </si>
  <si>
    <t>Rego Park ReConnect Tracker - Improved Tracker.xlsx::Rego Park Survey - In Dev!AZ5</t>
  </si>
  <si>
    <t>Rego Park ReConnect Tracker - Improved Tracker.xlsx::Rego Park Survey - In Dev!AZ6</t>
  </si>
  <si>
    <t>Rego Park ReConnect Tracker - Improved Tracker.xlsx::Rego Park Survey - In Dev!AZ7</t>
  </si>
  <si>
    <t>Rego Park ReConnect Tracker - Improved Tracker.xlsx::Rego Park Survey - In Dev!AZ8</t>
  </si>
  <si>
    <t>Rego Park ReConnect Tracker - Improved Tracker.xlsx::Rego Park Survey - In Dev!AZ9</t>
  </si>
  <si>
    <t>Rego Park ReConnect Tracker - Improved Tracker.xlsx::Rego Park Survey - In Dev!AZ10</t>
  </si>
  <si>
    <t>Rego Park ReConnect Tracker - Improved Tracker.xlsx::Rego Park Survey!AU3
Rego Park ReConnect Tracker - Improved Tracker.xlsx::Rego Park Survey - In Dev!AU3</t>
  </si>
  <si>
    <t>Rego Park ReConnect Tracker - Improved Tracker.xlsx::Rego Park Survey!AT3
Rego Park ReConnect Tracker - Improved Tracker.xlsx::Rego Park Survey - In Dev!AT3</t>
  </si>
  <si>
    <t>Rego Park ReConnect Tracker - Improved Tracker.xlsx::Rego Park Survey - In Dev!AY3</t>
  </si>
  <si>
    <t>Rego Park ReConnect Tracker - Improved Tracker.xlsx::Rego Park Survey - In Dev!AY4</t>
  </si>
  <si>
    <t>Rego Park ReConnect Tracker - Improved Tracker.xlsx::Rego Park Survey - In Dev!AY5</t>
  </si>
  <si>
    <t>Rego Park ReConnect Tracker - Improved Tracker.xlsx::Rego Park Survey - In Dev!AY6</t>
  </si>
  <si>
    <t>Rego Park ReConnect Tracker - Improved Tracker.xlsx::Rego Park Survey - In Dev!AY7</t>
  </si>
  <si>
    <t>Rego Park ReConnect Tracker - Improved Tracker.xlsx::Rego Park Survey - In Dev!AY8</t>
  </si>
  <si>
    <t>Rego Park ReConnect Tracker - Improved Tracker.xlsx::Rego Park Survey - In Dev!AY9</t>
  </si>
  <si>
    <t>Rego Park ReConnect Tracker - Improved Tracker.xlsx::Rego Park Survey - In Dev!AY10</t>
  </si>
  <si>
    <t>Rego Park ReConnect Tracker - Improved Tracker.xlsx::Summary!E25</t>
  </si>
  <si>
    <t>Rego Park ReConnect Tracker - Improved Tracker.xlsx::Rego Park Survey!V280</t>
  </si>
  <si>
    <t>Rego Park ReConnect Tracker - Improved Tracker.xlsx::Summary!I25</t>
  </si>
  <si>
    <t>Live-ReConnect-Tracker-Integrated - original tracker.xlsx::Summary!I26</t>
  </si>
  <si>
    <t>Rego Park ReConnect Tracker - Improved Tracker.xlsx::Rego Park Survey!Q2
Rego Park ReConnect Tracker - Improved Tracker.xlsx::Rego Park Survey!Q3
Rego Park ReConnect Tracker - Improved Tracker.xlsx::Rego Park Survey!Q4
Rego Park ReConnect Tracker - Improved Tracker.xlsx::Rego Park Survey!Q5
Rego Park ReConnect Tracker - Improved Tracker.xlsx::Rego Park Survey!Q6
Rego Park ReConnect Tracker - Improved Tracker.xlsx::Rego Park Survey!Q7</t>
  </si>
  <si>
    <t>Rego Park ReConnect Tracker - Improved Tracker.xlsx::Rego Park Survey - In Dev!Q2
Rego Park ReConnect Tracker - Improved Tracker.xlsx::Rego Park Survey - In Dev!T2
Rego Park ReConnect Tracker - Improved Tracker.xlsx::Rego Park Survey - In Dev!Q3
Rego Park ReConnect Tracker - Improved Tracker.xlsx::Rego Park Survey - In Dev!T3
Rego Park ReConnect Tracker - Improved Tracker.xlsx::Rego Park Survey - In Dev!Q4
Rego Park ReConnect Tracker - Improved Tracker.xlsx::Rego Park Survey - In Dev!T4</t>
  </si>
  <si>
    <t>Rego Park ReConnect Tracker - Improved Tracker.xlsx::Summary!F25</t>
  </si>
  <si>
    <t>Live-ReConnect-Tracker-Integrated - original tracker.xlsx::Summary!F26</t>
  </si>
  <si>
    <t>Rego Park ReConnect Tracker - Improved Tracker.xlsx::Rego Park Survey!AJ2
Rego Park ReConnect Tracker - Improved Tracker.xlsx::Rego Park Survey!AJ3
Rego Park ReConnect Tracker - Improved Tracker.xlsx::Rego Park Survey!AJ4
Rego Park ReConnect Tracker - Improved Tracker.xlsx::Rego Park Survey!AJ5
Rego Park ReConnect Tracker - Improved Tracker.xlsx::Rego Park Survey!AJ6
Rego Park ReConnect Tracker - Improved Tracker.xlsx::Rego Park Survey!AJ7</t>
  </si>
  <si>
    <t>Rego Park ReConnect Tracker - Improved Tracker.xlsx::Rego Park Survey - In Dev!AJ2
Rego Park ReConnect Tracker - Improved Tracker.xlsx::Rego Park Survey - In Dev!AJ3
Rego Park ReConnect Tracker - Improved Tracker.xlsx::Rego Park Survey - In Dev!AJ4
Rego Park ReConnect Tracker - Improved Tracker.xlsx::Rego Park Survey - In Dev!AJ5
Rego Park ReConnect Tracker - Improved Tracker.xlsx::Rego Park Survey - In Dev!AJ6
Rego Park ReConnect Tracker - Improved Tracker.xlsx::Rego Park Survey - In Dev!AJ7</t>
  </si>
  <si>
    <t>Live-ReConnect-Tracker-Integrated - original tracker.xlsx::200 Jericho Survey!B2
Live-ReConnect-Tracker-Integrated - original tracker.xlsx::200 Jericho Survey!B3
Live-ReConnect-Tracker-Integrated - original tracker.xlsx::200 Jericho Survey!B4
Live-ReConnect-Tracker-Integrated - original tracker.xlsx::200 Jericho Survey!B5
Live-ReConnect-Tracker-Integrated - original tracker.xlsx::200 Jericho Survey!B6
Live-ReConnect-Tracker-Integrated - original tracker.xlsx::200 Jericho Survey!B7</t>
  </si>
  <si>
    <t>Live-ReConnect-Tracker-Integrated - original tracker.xlsx::200 Jericho Survey!A2
Live-ReConnect-Tracker-Integrated - original tracker.xlsx::200 Jericho Survey!A3
Live-ReConnect-Tracker-Integrated - original tracker.xlsx::200 Jericho Survey!A4
Live-ReConnect-Tracker-Integrated - original tracker.xlsx::200 Jericho Survey!A5
Live-ReConnect-Tracker-Integrated - original tracker.xlsx::200 Jericho Survey!A6
Live-ReConnect-Tracker-Integrated - original tracker.xlsx::200 Jericho Survey!A7</t>
  </si>
  <si>
    <t>Live-ReConnect-Tracker-Integrated - original tracker.xlsx::Summary!D8</t>
  </si>
  <si>
    <t>Live-ReConnect-Tracker-Integrated - original tracker.xlsx::200 Jericho Survey!F106
Live-ReConnect-Tracker-Integrated - original tracker.xlsx::200 Jericho Survey!F107</t>
  </si>
  <si>
    <t>Rego Park ReConnect Tracker - Improved Tracker.xlsx::Rego Park Survey!E2
Rego Park ReConnect Tracker - Improved Tracker.xlsx::Rego Park Survey!E3
Rego Park ReConnect Tracker - Improved Tracker.xlsx::Rego Park Survey!E4
Rego Park ReConnect Tracker - Improved Tracker.xlsx::Rego Park Survey!E5
Rego Park ReConnect Tracker - Improved Tracker.xlsx::Rego Park Survey!E6
Rego Park ReConnect Tracker - Improved Tracker.xlsx::Rego Park Survey!E7</t>
  </si>
  <si>
    <t>Rego Park ReConnect Tracker - Improved Tracker.xlsx::Rego Park Survey - In Dev!E2
Rego Park ReConnect Tracker - Improved Tracker.xlsx::Rego Park Survey - In Dev!E3
Rego Park ReConnect Tracker - Improved Tracker.xlsx::Rego Park Survey - In Dev!E4
Rego Park ReConnect Tracker - Improved Tracker.xlsx::Rego Park Survey - In Dev!E5
Rego Park ReConnect Tracker - Improved Tracker.xlsx::Rego Park Survey - In Dev!E6
Rego Park ReConnect Tracker - Improved Tracker.xlsx::Rego Park Survey - In Dev!E7</t>
  </si>
  <si>
    <t>Rego Park ReConnect Tracker - Improved Tracker.xlsx::Rego Park Survey!AH2
Rego Park ReConnect Tracker - Improved Tracker.xlsx::Rego Park Survey!AH3
Rego Park ReConnect Tracker - Improved Tracker.xlsx::Rego Park Survey!AH4
Rego Park ReConnect Tracker - Improved Tracker.xlsx::Rego Park Survey!AH5
Rego Park ReConnect Tracker - Improved Tracker.xlsx::Rego Park Survey!AH6
Rego Park ReConnect Tracker - Improved Tracker.xlsx::Rego Park Survey!AH7</t>
  </si>
  <si>
    <t>Rego Park ReConnect Tracker - Improved Tracker.xlsx::Rego Park Survey - In Dev!AH2
Rego Park ReConnect Tracker - Improved Tracker.xlsx::Rego Park Survey - In Dev!AH3
Rego Park ReConnect Tracker - Improved Tracker.xlsx::Rego Park Survey - In Dev!AH4
Rego Park ReConnect Tracker - Improved Tracker.xlsx::Rego Park Survey - In Dev!AH5
Rego Park ReConnect Tracker - Improved Tracker.xlsx::Rego Park Survey - In Dev!AH6
Rego Park ReConnect Tracker - Improved Tracker.xlsx::Rego Park Survey - In Dev!AH7</t>
  </si>
  <si>
    <t>Rego Park ReConnect Tracker - Improved Tracker.xlsx::Rego Park Survey!A3
Rego Park ReConnect Tracker - Improved Tracker.xlsx::Rego Park Survey!A4
Rego Park ReConnect Tracker - Improved Tracker.xlsx::Rego Park Survey!A5
Rego Park ReConnect Tracker - Improved Tracker.xlsx::Rego Park Survey!A6
Rego Park ReConnect Tracker - Improved Tracker.xlsx::Rego Park Survey!A7
Rego Park ReConnect Tracker - Improved Tracker.xlsx::Rego Park Survey!A8</t>
  </si>
  <si>
    <t>Rego Park ReConnect Tracker - Improved Tracker.xlsx::Rego Park Survey - In Dev!A2
Rego Park ReConnect Tracker - Improved Tracker.xlsx::Rego Park Survey - In Dev!A3
Rego Park ReConnect Tracker - Improved Tracker.xlsx::Rego Park Survey - In Dev!A4
Rego Park ReConnect Tracker - Improved Tracker.xlsx::Rego Park Survey - In Dev!A5
Rego Park ReConnect Tracker - Improved Tracker.xlsx::Rego Park Survey - In Dev!A6
Rego Park ReConnect Tracker - Improved Tracker.xlsx::Rego Park Survey - In Dev!A7</t>
  </si>
  <si>
    <t>Rego Park ReConnect Tracker - Improved Tracker.xlsx::Rego Park Survey - In Dev!AL2
Rego Park ReConnect Tracker - Improved Tracker.xlsx::Rego Park Survey - In Dev!AL3
Rego Park ReConnect Tracker - Improved Tracker.xlsx::Rego Park Survey - In Dev!AL4
Rego Park ReConnect Tracker - Improved Tracker.xlsx::Rego Park Survey - In Dev!AL5
Rego Park ReConnect Tracker - Improved Tracker.xlsx::Rego Park Survey - In Dev!AL6
Rego Park ReConnect Tracker - Improved Tracker.xlsx::Rego Park Survey - In Dev!AL7</t>
  </si>
  <si>
    <t>Lists used for data validation</t>
  </si>
  <si>
    <t>Waves/POs</t>
  </si>
  <si>
    <t>Items</t>
  </si>
  <si>
    <t>Statuses</t>
  </si>
  <si>
    <t>Traffic</t>
  </si>
  <si>
    <t>WAVE_1
WAVE_2
PO_CDW
SPARES
ADDONS</t>
  </si>
  <si>
    <t>Neuron
Cybernet
Mouse &amp; Keyboard
Barcode Scanner
Tap Badge
Power Brick
Network Cable
DIM
DIM Patch Cable
DB9/DB15 Serial Cable
USB-to-Serial Adapter
GCX ARM
Desk Stand (MRI)</t>
  </si>
  <si>
    <t>Not Started
In Progress
Blocked
Done
N/A</t>
  </si>
  <si>
    <t>Red
Yellow
Green
N/A</t>
  </si>
  <si>
    <t>README - Warehouse Ledger + Configuration + Deployment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</si>
</sst>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64" formatCode="yyyy\-mm\-dd"/>
    <numFmt numFmtId="165" formatCode="00000"/>
    <numFmt numFmtId="166" formatCode="0.0%"/>
    <numFmt numFmtId="167" formatCode="yyyy\-mm\-dd\ hh:mm"/>
    <numFmt numFmtId="168" formatCode="yyyy\-mm\-dd\ h:mm:ss"/>
  </numFmts>
  <fonts count="17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2"/>
      <name val="Calibri"/>
    </font>
    <font>
      <sz val="10"/>
      <color rgb="FF000000"/>
      <name val="Arial"/>
    </font>
    <font>
      <sz val="11"/>
      <color rgb="FF242424"/>
      <name val="Aptos Narrow"/>
      <charset val="1"/>
    </font>
    <font>
      <sz val="11"/>
      <color rgb="FF000000"/>
      <name val="Calibri"/>
      <family val="2"/>
    </font>
    <font>
      <sz val="11"/>
      <color rgb="FF000000"/>
      <name val="Calibri"/>
    </font>
    <font>
      <b/>
      <sz val="11"/>
      <color theme="1"/>
      <name val="Calibri"/>
      <family val="2"/>
      <scheme val="minor"/>
    </font>
    <font>
      <sz val="12"/>
      <name val="Calibri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B8CCE4"/>
        <bgColor rgb="FFB8CCE4"/>
      </patternFill>
    </fill>
    <fill>
      <patternFill patternType="solid">
        <fgColor rgb="FFDCE6F1"/>
        <bgColor rgb="FFDCE6F1"/>
      </patternFill>
    </fill>
    <fill>
      <patternFill patternType="solid">
        <fgColor rgb="FFFFF2CC"/>
      </patternFill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DBE038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/>
      <top/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164" fontId="0" fillId="0" borderId="1" xfId="0" applyNumberFormat="1" applyBorder="1" applyAlignment="1">
      <alignment horizontal="center" vertical="center" wrapText="1"/>
    </xf>
    <xf numFmtId="0" fontId="5" fillId="0" borderId="0" xfId="0" applyFont="1"/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  <xf numFmtId="165" fontId="0" fillId="0" borderId="1" xfId="0" applyNumberFormat="1" applyBorder="1" applyAlignment="1">
      <alignment vertical="top" wrapText="1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8" fillId="3" borderId="0" xfId="0" applyFont="1" applyFill="1" applyAlignment="1">
      <alignment wrapText="1"/>
    </xf>
    <xf numFmtId="0" fontId="8" fillId="4" borderId="0" xfId="0" applyFont="1" applyFill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top"/>
    </xf>
    <xf numFmtId="0" fontId="9" fillId="4" borderId="0" xfId="0" applyFont="1" applyFill="1" applyAlignment="1">
      <alignment wrapText="1"/>
    </xf>
    <xf numFmtId="0" fontId="10" fillId="0" borderId="0" xfId="0" applyFont="1"/>
    <xf numFmtId="0" fontId="10" fillId="0" borderId="4" xfId="0" applyFont="1" applyBorder="1"/>
    <xf numFmtId="14" fontId="0" fillId="0" borderId="0" xfId="0" applyNumberFormat="1"/>
    <xf numFmtId="0" fontId="0" fillId="0" borderId="5" xfId="0" applyBorder="1" applyAlignment="1">
      <alignment vertical="top" wrapText="1"/>
    </xf>
    <xf numFmtId="0" fontId="0" fillId="5" borderId="5" xfId="0" applyFill="1" applyBorder="1" applyAlignment="1">
      <alignment vertical="top" wrapText="1"/>
    </xf>
    <xf numFmtId="0" fontId="0" fillId="0" borderId="0" xfId="0" applyAlignment="1">
      <alignment horizontal="left" vertical="center"/>
    </xf>
    <xf numFmtId="0" fontId="0" fillId="0" borderId="0" xfId="0" applyAlignment="1">
      <alignment wrapText="1"/>
    </xf>
    <xf numFmtId="1" fontId="0" fillId="0" borderId="1" xfId="0" applyNumberFormat="1" applyBorder="1" applyAlignment="1">
      <alignment vertical="top" wrapText="1"/>
    </xf>
    <xf numFmtId="164" fontId="0" fillId="0" borderId="0" xfId="0" applyNumberFormat="1"/>
    <xf numFmtId="1" fontId="0" fillId="0" borderId="0" xfId="0" applyNumberFormat="1"/>
    <xf numFmtId="14" fontId="0" fillId="0" borderId="1" xfId="0" applyNumberFormat="1" applyBorder="1" applyAlignment="1">
      <alignment vertical="top" wrapText="1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1" xfId="0" applyFont="1" applyBorder="1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right"/>
    </xf>
    <xf numFmtId="0" fontId="0" fillId="7" borderId="1" xfId="0" applyFill="1" applyBorder="1" applyAlignment="1">
      <alignment horizontal="left" vertical="center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0" fillId="7" borderId="1" xfId="0" applyFill="1" applyBorder="1" applyAlignment="1">
      <alignment horizontal="left"/>
    </xf>
    <xf numFmtId="0" fontId="3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0" fillId="8" borderId="6" xfId="0" applyFill="1" applyBorder="1"/>
    <xf numFmtId="0" fontId="14" fillId="6" borderId="7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vertical="top" wrapText="1"/>
    </xf>
    <xf numFmtId="0" fontId="0" fillId="10" borderId="0" xfId="0" applyFill="1"/>
    <xf numFmtId="0" fontId="0" fillId="10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0" borderId="1" xfId="0" applyFill="1" applyBorder="1" applyAlignment="1">
      <alignment horizontal="center" vertical="top" wrapText="1"/>
    </xf>
    <xf numFmtId="164" fontId="0" fillId="10" borderId="1" xfId="0" applyNumberFormat="1" applyFill="1" applyBorder="1" applyAlignment="1">
      <alignment horizontal="center" vertical="center" wrapText="1"/>
    </xf>
    <xf numFmtId="0" fontId="0" fillId="11" borderId="0" xfId="0" applyFill="1"/>
    <xf numFmtId="0" fontId="0" fillId="11" borderId="0" xfId="0" applyFill="1" applyAlignment="1">
      <alignment horizontal="center"/>
    </xf>
    <xf numFmtId="0" fontId="15" fillId="11" borderId="0" xfId="0" applyFont="1" applyFill="1"/>
    <xf numFmtId="0" fontId="15" fillId="11" borderId="0" xfId="0" applyFont="1" applyFill="1" applyAlignment="1">
      <alignment horizontal="center"/>
    </xf>
    <xf numFmtId="0" fontId="16" fillId="0" borderId="0" xfId="0" applyFont="1"/>
    <xf numFmtId="0" fontId="10" fillId="0" borderId="0" xfId="0" applyFont="1" applyAlignment="1">
      <alignment horizontal="center"/>
    </xf>
    <xf numFmtId="0" fontId="0" fillId="9" borderId="0" xfId="0" applyFill="1"/>
    <xf numFmtId="0" fontId="0" fillId="8" borderId="0" xfId="0" applyFill="1"/>
    <xf numFmtId="0" fontId="13" fillId="0" borderId="0" xfId="0" applyFont="1" applyAlignment="1">
      <alignment vertical="top" wrapText="1"/>
    </xf>
    <xf numFmtId="0" fontId="2" fillId="6" borderId="1" xfId="0" applyFont="1" applyFill="1" applyBorder="1" applyAlignment="1">
      <alignment horizontal="center" vertical="center" wrapText="1"/>
    </xf>
    <xf numFmtId="167" fontId="0" fillId="0" borderId="1" xfId="0" applyNumberFormat="1" applyBorder="1" applyAlignment="1">
      <alignment vertical="top" wrapText="1"/>
    </xf>
    <xf numFmtId="167" fontId="0" fillId="0" borderId="0" xfId="0" applyNumberFormat="1"/>
    <xf numFmtId="168" fontId="0" fillId="0" borderId="0" xfId="0" applyNumberFormat="1"/>
    <xf numFmtId="44" fontId="0" fillId="0" borderId="1" xfId="0" applyNumberFormat="1" applyBorder="1" applyAlignment="1">
      <alignment horizontal="center" vertical="top" wrapText="1"/>
    </xf>
    <xf numFmtId="166" fontId="0" fillId="0" borderId="0" xfId="0" applyNumberFormat="1"/>
    <xf numFmtId="166" fontId="10" fillId="0" borderId="0" xfId="0" applyNumberFormat="1" applyFont="1"/>
    <xf numFmtId="0" fontId="3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4" fillId="6" borderId="0" xfId="0" applyFont="1" applyFill="1" applyAlignment="1">
      <alignment vertical="center" wrapText="1"/>
    </xf>
    <xf numFmtId="0" fontId="12" fillId="6" borderId="0" xfId="0" applyFont="1" applyFill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</cellXfs>
  <cellStyles count="1">
    <cellStyle name="Normal" xfId="0" builtinId="0"/>
  </cellStyles>
  <dxfs count="50">
    <dxf>
      <fill>
        <patternFill patternType="solid">
          <fgColor rgb="FFFFC7CE"/>
          <bgColor rgb="FFFFC7CE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E699"/>
          <bgColor rgb="FFFFE699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C6EFCE"/>
          <bgColor rgb="FFC6EFCE"/>
        </patternFill>
      </fill>
    </dxf>
    <dxf>
      <font>
        <color theme="1"/>
      </font>
      <fill>
        <patternFill patternType="solid">
          <bgColor theme="6" tint="0.79998168889431442"/>
        </patternFill>
      </fill>
    </dxf>
    <dxf>
      <font>
        <color theme="1"/>
      </font>
      <fill>
        <patternFill patternType="solid">
          <bgColor theme="9" tint="0.59999389629810485"/>
        </patternFill>
      </fill>
    </dxf>
    <dxf>
      <font>
        <color theme="1"/>
      </font>
      <fill>
        <patternFill patternType="solid">
          <bgColor rgb="FFFEFFA6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rgb="FF00B050"/>
      </font>
      <fill>
        <patternFill patternType="solid">
          <bgColor theme="6" tint="0.79998168889431442"/>
        </patternFill>
      </fill>
    </dxf>
    <dxf>
      <alignment horizontal="center"/>
    </dxf>
    <dxf>
      <numFmt numFmtId="0" formatCode="General"/>
    </dxf>
    <dxf>
      <numFmt numFmtId="0" formatCode="General"/>
      <alignment horizontal="center"/>
    </dxf>
    <dxf>
      <alignment horizontal="center"/>
    </dxf>
    <dxf>
      <alignment horizontal="center"/>
    </dxf>
    <dxf>
      <fill>
        <patternFill patternType="solid">
          <fgColor rgb="FF7030A0"/>
          <bgColor rgb="FF7030A0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center"/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ont>
        <color rgb="FF9C0006"/>
      </font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Neuron vs Cybernet Sent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'40_Dashboard'!$B$4</c:f>
              <c:strCache>
                <c:ptCount val="1"/>
                <c:pt idx="0">
                  <c:v>Cybernet Sent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'40_Dashboard'!$B$5:$B$9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5E-48FF-9D97-124876922A10}"/>
            </c:ext>
          </c:extLst>
        </c:ser>
        <c:ser>
          <c:idx val="1"/>
          <c:order val="1"/>
          <c:tx>
            <c:strRef>
              <c:f>'40_Dashboard'!$C$4</c:f>
              <c:strCache>
                <c:ptCount val="1"/>
                <c:pt idx="0">
                  <c:v>Mouse&amp;KB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'40_Dashboard'!$A$5:$A$9</c:f>
              <c:strCache>
                <c:ptCount val="5"/>
                <c:pt idx="0">
                  <c:v>WAVE_2</c:v>
                </c:pt>
                <c:pt idx="1">
                  <c:v>PO_CDW</c:v>
                </c:pt>
                <c:pt idx="2">
                  <c:v>SPARES</c:v>
                </c:pt>
                <c:pt idx="3">
                  <c:v>ADDONS</c:v>
                </c:pt>
                <c:pt idx="4">
                  <c:v>Device Readiness — Blocker Counts (from 15_Device_Configuration)</c:v>
                </c:pt>
              </c:strCache>
            </c:strRef>
          </c:cat>
          <c:val>
            <c:numRef>
              <c:f>'40_Dashboard'!$C$5:$C$9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5E-48FF-9D97-124876922A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Units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Blockers (Count)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'40_Dashboard'!$A$15:$A$20</c:f>
              <c:strCache>
                <c:ptCount val="6"/>
                <c:pt idx="0">
                  <c:v>Battery</c:v>
                </c:pt>
                <c:pt idx="1">
                  <c:v>Firmware Download</c:v>
                </c:pt>
                <c:pt idx="2">
                  <c:v>Firmware Install</c:v>
                </c:pt>
                <c:pt idx="3">
                  <c:v>Device ID</c:v>
                </c:pt>
                <c:pt idx="4">
                  <c:v>Epic Beans Relay</c:v>
                </c:pt>
                <c:pt idx="5">
                  <c:v>Ready (No Blockers)</c:v>
                </c:pt>
              </c:strCache>
            </c:strRef>
          </c:cat>
          <c:val>
            <c:numRef>
              <c:f>'40_Dashboard'!$B$15:$B$20</c:f>
              <c:numCache>
                <c:formatCode>General</c:formatCode>
                <c:ptCount val="6"/>
                <c:pt idx="0">
                  <c:v>214</c:v>
                </c:pt>
                <c:pt idx="1">
                  <c:v>179</c:v>
                </c:pt>
                <c:pt idx="2">
                  <c:v>78</c:v>
                </c:pt>
                <c:pt idx="3">
                  <c:v>34</c:v>
                </c:pt>
                <c:pt idx="4">
                  <c:v>180</c:v>
                </c:pt>
                <c:pt idx="5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4-44B1-ADE3-9F37B9013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6480000" cy="32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13</xdr:row>
      <xdr:rowOff>0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viceConfigErrorLog" displayName="DeviceConfigErrorLog" ref="A1:M528">
  <autoFilter ref="A1:M528" xr:uid="{00000000-0009-0000-0100-000001000000}"/>
  <tableColumns count="13">
    <tableColumn id="1" xr3:uid="{00000000-0010-0000-0000-000001000000}" name="Row_ID"/>
    <tableColumn id="2" xr3:uid="{00000000-0010-0000-0000-000002000000}" name="Device Type"/>
    <tableColumn id="3" xr3:uid="{00000000-0010-0000-0000-000003000000}" name="Deployed"/>
    <tableColumn id="4" xr3:uid="{00000000-0010-0000-0000-000004000000}" name="Installed"/>
    <tableColumn id="5" xr3:uid="{00000000-0010-0000-0000-000005000000}" name="Cybernet Hostname"/>
    <tableColumn id="6" xr3:uid="{00000000-0010-0000-0000-000006000000}" name="Neuron Hostname"/>
    <tableColumn id="7" xr3:uid="{00000000-0010-0000-0000-000007000000}" name="Software List"/>
    <tableColumn id="8" xr3:uid="{00000000-0010-0000-0000-000008000000}" name="PI Use Case"/>
    <tableColumn id="9" xr3:uid="{00000000-0010-0000-0000-000009000000}" name="PI Result"/>
    <tableColumn id="10" xr3:uid="{00000000-0010-0000-0000-00000A000000}" name="PI Validated By"/>
    <tableColumn id="11" xr3:uid="{00000000-0010-0000-0000-00000B000000}" name="PI Validated Date"/>
    <tableColumn id="12" xr3:uid="{00000000-0010-0000-0000-00000C000000}" name="Error Count"/>
    <tableColumn id="13" xr3:uid="{00000000-0010-0000-0000-00000D000000}" name="Error 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CFDictionary" displayName="tblCFDictionary" ref="A1:I41">
  <autoFilter ref="A1:I41" xr:uid="{00000000-0009-0000-0100-000002000000}"/>
  <tableColumns count="9">
    <tableColumn id="1" xr3:uid="{00000000-0010-0000-0100-000001000000}" name="Sheet"/>
    <tableColumn id="2" xr3:uid="{00000000-0010-0000-0100-000002000000}" name="Table"/>
    <tableColumn id="3" xr3:uid="{00000000-0010-0000-0100-000003000000}" name="AppliesTo"/>
    <tableColumn id="4" xr3:uid="{00000000-0010-0000-0100-000004000000}" name="RuleType"/>
    <tableColumn id="5" xr3:uid="{00000000-0010-0000-0100-000005000000}" name="Priority"/>
    <tableColumn id="6" xr3:uid="{00000000-0010-0000-0100-000006000000}" name="Formula"/>
    <tableColumn id="7" xr3:uid="{00000000-0010-0000-0100-000007000000}" name="dxfId"/>
    <tableColumn id="8" xr3:uid="{00000000-0010-0000-0100-000008000000}" name="Purpose"/>
    <tableColumn id="9" xr3:uid="{00000000-0010-0000-0100-000009000000}" name="Color/category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5" displayName="Table5" ref="A1:H200" totalsRowShown="0" headerRowDxfId="27">
  <autoFilter ref="A1:H200" xr:uid="{00000000-0009-0000-0100-000003000000}"/>
  <tableColumns count="8">
    <tableColumn id="1" xr3:uid="{00000000-0010-0000-0200-000001000000}" name="Line Item ID"/>
    <tableColumn id="2" xr3:uid="{00000000-0010-0000-0200-000002000000}" name="Item Type"/>
    <tableColumn id="3" xr3:uid="{00000000-0010-0000-0200-000003000000}" name="Item Name"/>
    <tableColumn id="4" xr3:uid="{00000000-0010-0000-0200-000004000000}" name="Count" dataDxfId="26"/>
    <tableColumn id="6" xr3:uid="{00000000-0010-0000-0200-000006000000}" name="Site Locations" dataDxfId="25"/>
    <tableColumn id="8" xr3:uid="{00000000-0010-0000-0200-000008000000}" name="Area" dataDxfId="24"/>
    <tableColumn id="5" xr3:uid="{00000000-0010-0000-0200-000005000000}" name="Subarea" dataDxfId="23"/>
    <tableColumn id="7" xr3:uid="{00000000-0010-0000-0200-000007000000}" name="Notes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DeviceConfig" displayName="tblDeviceConfig" ref="A1:CK528">
  <autoFilter ref="A1:CK528" xr:uid="{00000000-0009-0000-0100-000004000000}"/>
  <tableColumns count="89">
    <tableColumn id="2" xr3:uid="{00000000-0010-0000-0300-000002000000}" name="Device Type"/>
    <tableColumn id="8" xr3:uid="{00000000-0010-0000-0300-000008000000}" name="Deployed"/>
    <tableColumn id="64" xr3:uid="{00000000-0010-0000-0300-000040000000}" name="Installed" dataDxfId="17"/>
    <tableColumn id="65" xr3:uid="{00000000-0010-0000-0300-000041000000}" name="Spare" dataDxfId="16"/>
    <tableColumn id="66" xr3:uid="{00000000-0010-0000-0300-000042000000}" name="DesignationChanged" dataDxfId="15">
      <calculatedColumnFormula>IF($A2="","",IF($A2="Neuron",IF(OR(AND($S2&lt;&gt;"",LOWER(TRIM($S2))&lt;&gt;"n/a",COUNTIF($S$2:$S$528,$S2)&gt;1),AND($T2&lt;&gt;"",LOWER(TRIM($T2))&lt;&gt;"n/a",COUNTIF($T$2:$T$528,$T2)&gt;1),AND($W2&lt;&gt;"",LOWER(TRIM($W2))&lt;&gt;"n/a",COUNTIF($W$2:$W$528,$W2)&gt;1)),"Yes","No"),IF($A2="Cybernet",IF(OR(AND($Y2&lt;&gt;"",LOWER(TRIM($Y2))&lt;&gt;"n/a",COUNTIF($Y$2:$Y$528,$Y2)&gt;1),AND($Z2&lt;&gt;"",LOWER(TRIM($Z2))&lt;&gt;"n/a",COUNTIF($Z$2:$Z$528,$Z2)&gt;1)),"Yes","No"),IF(AND($AK2&lt;&gt;"",LOWER(TRIM($AK2))&lt;&gt;"n/a",COUNTIF($AK$2:$AK$528,$AK2)&gt;1),"Yes","No"))))</calculatedColumnFormula>
    </tableColumn>
    <tableColumn id="67" xr3:uid="{00000000-0010-0000-0300-000043000000}" name="DupDeployed" dataDxfId="14">
      <calculatedColumnFormula>IF($B2&lt;&gt;"Yes","",IF($A2="Neuron",IF(OR(AND($S2&lt;&gt;"",LOWER(TRIM($S2))&lt;&gt;"n/a",COUNTIFS($B$2:$B$528,"Yes",$A$2:$A$528,"Neuron",$S$2:$S$528,$S2)&gt;1),AND($T2&lt;&gt;"",LOWER(TRIM($T2))&lt;&gt;"n/a",COUNTIFS($B$2:$B$528,"Yes",$A$2:$A$528,"Neuron",$T$2:$T$528,$T2)&gt;1),AND($W2&lt;&gt;"",LOWER(TRIM($W2))&lt;&gt;"n/a",COUNTIFS($B$2:$B$528,"Yes",$A$2:$A$528,"Neuron",$W$2:$W$528,$W2)&gt;1)),"Yes","No"),IF($A2="Cybernet",IF(OR(AND($Y2&lt;&gt;"",LOWER(TRIM($Y2))&lt;&gt;"n/a",COUNTIFS($B$2:$B$528,"Yes",$A$2:$A$528,"Cybernet",$Y$2:$Y$528,$Y2)&gt;1),AND($Z2&lt;&gt;"",LOWER(TRIM($Z2))&lt;&gt;"n/a",COUNTIFS($B$2:$B$528,"Yes",$A$2:$A$528,"Cybernet",$Z$2:$Z$528,$Z2)&gt;1)),"Yes","No"),IF(AND($AK2&lt;&gt;"",LOWER(TRIM($AK2))&lt;&gt;"n/a"),IF(COUNTIFS($B$2:$B$528,"Yes",$A$2:$A$528,$A2,$AK$2:$AK$528,$AK2)&gt;1,"Yes","No"),"No"))))</calculatedColumnFormula>
    </tableColumn>
    <tableColumn id="4" xr3:uid="{00000000-0010-0000-0300-000004000000}" name="Current Building"/>
    <tableColumn id="29" xr3:uid="{00000000-0010-0000-0300-00001D000000}" name="Install Building"/>
    <tableColumn id="52" xr3:uid="{00000000-0010-0000-0300-000034000000}" name="PI_Use_Case"/>
    <tableColumn id="53" xr3:uid="{00000000-0010-0000-0300-000035000000}" name="PI_Config_Shared"/>
    <tableColumn id="54" xr3:uid="{00000000-0010-0000-0300-000036000000}" name="PI_Config_Autologon"/>
    <tableColumn id="55" xr3:uid="{00000000-0010-0000-0300-000037000000}" name="PI_Imprivata"/>
    <tableColumn id="80" xr3:uid="{00000000-0010-0000-0300-000050000000}" name="PI_Imprivata_Type"/>
    <tableColumn id="56" xr3:uid="{00000000-0010-0000-0300-000038000000}" name="PI_Result"/>
    <tableColumn id="57" xr3:uid="{00000000-0010-0000-0300-000039000000}" name="PI_Rejection_Reason"/>
    <tableColumn id="58" xr3:uid="{00000000-0010-0000-0300-00003A000000}" name="PI_Validated_By"/>
    <tableColumn id="44" xr3:uid="{00000000-0010-0000-0300-00002C000000}" name="PI_Validated_Date"/>
    <tableColumn id="74" xr3:uid="{00000000-0010-0000-0300-00004A000000}" name="Cybernet Hostname"/>
    <tableColumn id="21" xr3:uid="{00000000-0010-0000-0300-000015000000}" name="Neuron Hostname"/>
    <tableColumn id="1" xr3:uid="{00000000-0010-0000-0300-000001000000}" name="Neuron MAC"/>
    <tableColumn id="22" xr3:uid="{00000000-0010-0000-0300-000016000000}" name="Neuron IP"/>
    <tableColumn id="24" xr3:uid="{00000000-0010-0000-0300-000018000000}" name="Neuron Renamed"/>
    <tableColumn id="18" xr3:uid="{00000000-0010-0000-0300-000012000000}" name="Neuron S/N"/>
    <tableColumn id="25" xr3:uid="{00000000-0010-0000-0300-000019000000}" name="Neuron Profile"/>
    <tableColumn id="19" xr3:uid="{00000000-0010-0000-0300-000013000000}" name="Cybernet Serial"/>
    <tableColumn id="31" xr3:uid="{00000000-0010-0000-0300-00001F000000}" name="Cybernet MAC"/>
    <tableColumn id="28" xr3:uid="{00000000-0010-0000-0300-00001C000000}" name="Medical Device_x000a_Class"/>
    <tableColumn id="27" xr3:uid="{00000000-0010-0000-0300-00001B000000}" name="Dialysis S/N"/>
    <tableColumn id="20" xr3:uid="{00000000-0010-0000-0300-000014000000}" name="Anesthesia S/N"/>
    <tableColumn id="3" xr3:uid="{00000000-0010-0000-0300-000003000000}" name="Wave/PO"/>
    <tableColumn id="33" xr3:uid="{00000000-0010-0000-0300-000021000000}" name="Area/Unit"/>
    <tableColumn id="34" xr3:uid="{00000000-0010-0000-0300-000022000000}" name="Room"/>
    <tableColumn id="35" xr3:uid="{00000000-0010-0000-0300-000023000000}" name="Bay" dataDxfId="13"/>
    <tableColumn id="26" xr3:uid="{00000000-0010-0000-0300-00001A000000}" name="Port No."/>
    <tableColumn id="37" xr3:uid="{00000000-0010-0000-0300-000025000000}" name="Manufacturer"/>
    <tableColumn id="32" xr3:uid="{00000000-0010-0000-0300-000020000000}" name="Medical Device_x000a_Model"/>
    <tableColumn id="38" xr3:uid="{00000000-0010-0000-0300-000026000000}" name="Medical Device ID"/>
    <tableColumn id="39" xr3:uid="{00000000-0010-0000-0300-000027000000}" name="Serial Connector Cable 1"/>
    <tableColumn id="40" xr3:uid="{00000000-0010-0000-0300-000028000000}" name="Serial Connector Cable 2"/>
    <tableColumn id="41" xr3:uid="{00000000-0010-0000-0300-000029000000}" name="Serial Connector Cable 3"/>
    <tableColumn id="42" xr3:uid="{00000000-0010-0000-0300-00002A000000}" name="Serial Connector Cable 4"/>
    <tableColumn id="36" xr3:uid="{00000000-0010-0000-0300-000024000000}" name="Serial Connector Cable 5"/>
    <tableColumn id="46" xr3:uid="{00000000-0010-0000-0300-00002E000000}" name="Medical Peripheral 1"/>
    <tableColumn id="47" xr3:uid="{00000000-0010-0000-0300-00002F000000}" name="Medical Peripheral 2"/>
    <tableColumn id="48" xr3:uid="{00000000-0010-0000-0300-000030000000}" name="Medical Peripheral 3"/>
    <tableColumn id="49" xr3:uid="{00000000-0010-0000-0300-000031000000}" name="Medical Peripheral 4"/>
    <tableColumn id="50" xr3:uid="{00000000-0010-0000-0300-000032000000}" name="Medical Peripheral 5"/>
    <tableColumn id="5" xr3:uid="{00000000-0010-0000-0300-000005000000}" name="Neuron Power Cable Present"/>
    <tableColumn id="6" xr3:uid="{00000000-0010-0000-0300-000006000000}" name="Battery Present"/>
    <tableColumn id="45" xr3:uid="{00000000-0010-0000-0300-00002D000000}" name="Has Barcode Scanner"/>
    <tableColumn id="51" xr3:uid="{00000000-0010-0000-0300-000033000000}" name="Has Badge Scanner"/>
    <tableColumn id="9" xr3:uid="{00000000-0010-0000-0300-000009000000}" name="Configuration Date"/>
    <tableColumn id="10" xr3:uid="{00000000-0010-0000-0300-00000A000000}" name="Ready for Deployment"/>
    <tableColumn id="11" xr3:uid="{00000000-0010-0000-0300-00000B000000}" name="Notes"/>
    <tableColumn id="23" xr3:uid="{00000000-0010-0000-0300-000017000000}" name="IT Device Status"/>
    <tableColumn id="12" xr3:uid="{00000000-0010-0000-0300-00000C000000}" name="Firmware Downloaded"/>
    <tableColumn id="13" xr3:uid="{00000000-0010-0000-0300-00000D000000}" name="Firmware Installed"/>
    <tableColumn id="7" xr3:uid="{00000000-0010-0000-0300-000007000000}" name="Software Downloaded"/>
    <tableColumn id="30" xr3:uid="{00000000-0010-0000-0300-00001E000000}" name="Software Installed"/>
    <tableColumn id="59" xr3:uid="{00000000-0010-0000-0300-00003B000000}" name="Software List"/>
    <tableColumn id="14" xr3:uid="{00000000-0010-0000-0300-00000E000000}" name="Device ID Assigned"/>
    <tableColumn id="15" xr3:uid="{00000000-0010-0000-0300-00000F000000}" name="Epic Beans Data Sent"/>
    <tableColumn id="16" xr3:uid="{00000000-0010-0000-0300-000010000000}" name="Blocker Reason">
      <calculatedColumnFormula>IF($T2="","",IF((IF(AND($AV2&lt;&gt;"Yes",$AV2&lt;&gt;"N/A"),"Power Cable, ","")&amp;IF(AND($AW2&lt;&gt;"Yes",$AW2&lt;&gt;"N/A"),"Battery, ","")&amp;IF(AND($BD2&lt;&gt;"Yes",$BD2&lt;&gt;"N/A"),"Firmware Download, ","")&amp;IF(AND(OR($BD2="Yes",$BD2="N/A"),$BE2&lt;&gt;"Yes",$BE2&lt;&gt;"N/A"),"Firmware Install, ","")&amp;IF(AND($BI2&lt;&gt;"Yes",$BI2&lt;&gt;"N/A"),"Device ID, ","")&amp;IF(AND($BJ2&lt;&gt;"Yes",$BJ2&lt;&gt;"N/A"),"Epic Beans Relay, ",""))="","",LEFT(IF(AND($AV2&lt;&gt;"Yes",$AV2&lt;&gt;"N/A"),"Power Cable, ","")&amp;IF(AND($AW2&lt;&gt;"Yes",$AW2&lt;&gt;"N/A"),"Battery, ","")&amp;IF(AND($BD2&lt;&gt;"Yes",$BD2&lt;&gt;"N/A"),"Firmware Download, ","")&amp;IF(AND(OR($BD2="Yes",$BD2="N/A"),$BE2&lt;&gt;"Yes",$BE2&lt;&gt;"N/A"),"Firmware Install, ","")&amp;IF(AND($BI2&lt;&gt;"Yes",$BI2&lt;&gt;"N/A"),"Device ID, ","")&amp;IF(AND($BJ2&lt;&gt;"Yes",$BJ2&lt;&gt;"N/A"),"Epic Beans Relay, ",""),LEN(IF(AND($AV2&lt;&gt;"Yes",$AV2&lt;&gt;"N/A"),"Power Cable, ","")&amp;IF(AND($AW2&lt;&gt;"Yes",$AW2&lt;&gt;"N/A"),"Battery, ","")&amp;IF(AND($BD2&lt;&gt;"Yes",$BD2&lt;&gt;"N/A"),"Firmware Download, ","")&amp;IF(AND(OR($BD2="Yes",$BD2="N/A"),$BE2&lt;&gt;"Yes",$BE2&lt;&gt;"N/A"),"Firmware Install, ","")&amp;IF(AND($BI2&lt;&gt;"Yes",$BI2&lt;&gt;"N/A"),"Device ID, ","")&amp;IF(AND($BJ2&lt;&gt;"Yes",$BJ2&lt;&gt;"N/A"),"Epic Beans Relay, ",""))-2)))</calculatedColumnFormula>
    </tableColumn>
    <tableColumn id="17" xr3:uid="{00000000-0010-0000-0300-000011000000}" name="Readiness (Auto)">
      <calculatedColumnFormula>IF($T2="","",IF($BK2="","Yes","Blocked"))</calculatedColumnFormula>
    </tableColumn>
    <tableColumn id="43" xr3:uid="{00000000-0010-0000-0300-00002B000000}" name="Column1"/>
    <tableColumn id="60" xr3:uid="{00000000-0010-0000-0300-00003C000000}" name="PalletID (Manual)"/>
    <tableColumn id="61" xr3:uid="{00000000-0010-0000-0300-00003D000000}" name="Warehouse Location (AUTO)"/>
    <tableColumn id="62" xr3:uid="{00000000-0010-0000-0300-00003E000000}" name="Pallet Status (AUTO)"/>
    <tableColumn id="63" xr3:uid="{00000000-0010-0000-0300-00003F000000}" name="Last Move TS (AUTO)"/>
    <tableColumn id="68" xr3:uid="{00000000-0010-0000-0300-000044000000}" name="Has Mouse"/>
    <tableColumn id="69" xr3:uid="{00000000-0010-0000-0300-000045000000}" name="Has Keyboard"/>
    <tableColumn id="70" xr3:uid="{00000000-0010-0000-0300-000046000000}" name="Has New Ethernet"/>
    <tableColumn id="71" xr3:uid="{00000000-0010-0000-0300-000047000000}" name="Has New Breakaway"/>
    <tableColumn id="78" xr3:uid="{00000000-0010-0000-0300-00004E000000}" name="GCX Arm Deployed"/>
    <tableColumn id="73" xr3:uid="{00000000-0010-0000-0300-000049000000}" name="Baud Rate"/>
    <tableColumn id="75" xr3:uid="{00000000-0010-0000-0300-00004B000000}" name="Part Numbers"/>
    <tableColumn id="76" xr3:uid="{00000000-0010-0000-0300-00004C000000}" name="GCX Arm Part Numbers"/>
    <tableColumn id="72" xr3:uid="{00000000-0010-0000-0300-000048000000}" name="Pallet Association"/>
    <tableColumn id="79" xr3:uid="{00000000-0010-0000-0300-00004F000000}" name="Column2"/>
    <tableColumn id="77" xr3:uid="{00000000-0010-0000-0300-00004D000000}" name="A Secret Next Thing"/>
    <tableColumn id="81" xr3:uid="{00000000-0010-0000-0300-000051000000}" name="PERIPH | GCX Arm Deployed"/>
    <tableColumn id="82" xr3:uid="{00000000-0010-0000-0300-000052000000}" name="PERIPH | Has Keyboard"/>
    <tableColumn id="83" xr3:uid="{00000000-0010-0000-0300-000053000000}" name="PERIPH | Has Mouse"/>
    <tableColumn id="84" xr3:uid="{00000000-0010-0000-0300-000054000000}" name="PERIPH | Has Barcode Scanner"/>
    <tableColumn id="85" xr3:uid="{00000000-0010-0000-0300-000055000000}" name="PERIPH | Has Badge Scanner"/>
    <tableColumn id="86" xr3:uid="{00000000-0010-0000-0300-000056000000}" name="PERIPH | Battery Present"/>
    <tableColumn id="87" xr3:uid="{00000000-0010-0000-0300-000057000000}" name="PERIPH | Neuron Power Cable Present"/>
    <tableColumn id="88" xr3:uid="{00000000-0010-0000-0300-000058000000}" name="PERIPH | Has New Ethernet"/>
    <tableColumn id="89" xr3:uid="{00000000-0010-0000-0300-000059000000}" name="PERIPH | Has New Breakaway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ConfigSnapshot" displayName="tblConfigSnapshot" ref="A1:T503">
  <autoFilter ref="A1:T503" xr:uid="{00000000-0009-0000-0100-000005000000}"/>
  <tableColumns count="20">
    <tableColumn id="1" xr3:uid="{00000000-0010-0000-0400-000001000000}" name="Install Building"/>
    <tableColumn id="2" xr3:uid="{00000000-0010-0000-0400-000002000000}" name="Neuron ID"/>
    <tableColumn id="3" xr3:uid="{00000000-0010-0000-0400-000003000000}" name="Neuron MAC"/>
    <tableColumn id="4" xr3:uid="{00000000-0010-0000-0400-000004000000}" name="Medical Device Model"/>
    <tableColumn id="5" xr3:uid="{00000000-0010-0000-0400-000005000000}" name="PI_Config_Shared"/>
    <tableColumn id="6" xr3:uid="{00000000-0010-0000-0400-000006000000}" name="PI_Config_Autologon"/>
    <tableColumn id="7" xr3:uid="{00000000-0010-0000-0400-000007000000}" name="PI_Imprivata"/>
    <tableColumn id="8" xr3:uid="{00000000-0010-0000-0400-000008000000}" name="Credential Type (Client)"/>
    <tableColumn id="9" xr3:uid="{00000000-0010-0000-0400-000009000000}" name="Software List (Operational)"/>
    <tableColumn id="10" xr3:uid="{00000000-0010-0000-0400-00000A000000}" name="Software Source"/>
    <tableColumn id="11" xr3:uid="{00000000-0010-0000-0400-00000B000000}" name="Software Installed"/>
    <tableColumn id="12" xr3:uid="{00000000-0010-0000-0400-00000C000000}" name="PI_Validated_By"/>
    <tableColumn id="13" xr3:uid="{00000000-0010-0000-0400-00000D000000}" name="PI_Validated_Date"/>
    <tableColumn id="14" xr3:uid="{00000000-0010-0000-0400-00000E000000}" name="Blocker Reason"/>
    <tableColumn id="15" xr3:uid="{00000000-0010-0000-0400-00000F000000}" name="Readiness (Auto)"/>
    <tableColumn id="16" xr3:uid="{00000000-0010-0000-0400-000010000000}" name="Ready for Deployment"/>
    <tableColumn id="17" xr3:uid="{00000000-0010-0000-0400-000011000000}" name="Flag - Critical Missing"/>
    <tableColumn id="18" xr3:uid="{00000000-0010-0000-0400-000012000000}" name="Flag - Software"/>
    <tableColumn id="19" xr3:uid="{00000000-0010-0000-0400-000013000000}" name="Flag - Autologon"/>
    <tableColumn id="20" xr3:uid="{00000000-0010-0000-0400-000014000000}" name="Overall Statu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StepTime" displayName="tblStepTime" ref="A1:K199">
  <autoFilter ref="A1:K199" xr:uid="{00000000-0009-0000-0100-000006000000}"/>
  <tableColumns count="11">
    <tableColumn id="1" xr3:uid="{00000000-0010-0000-0500-000001000000}" name="Phase"/>
    <tableColumn id="2" xr3:uid="{00000000-0010-0000-0500-000002000000}" name="Step"/>
    <tableColumn id="3" xr3:uid="{00000000-0010-0000-0500-000003000000}" name="Batch Size"/>
    <tableColumn id="4" xr3:uid="{00000000-0010-0000-0500-000004000000}" name="Device Type"/>
    <tableColumn id="5" xr3:uid="{00000000-0010-0000-0500-000005000000}" name="Planned Minutes"/>
    <tableColumn id="6" xr3:uid="{00000000-0010-0000-0500-000006000000}" name="Actual Minutes"/>
    <tableColumn id="7" xr3:uid="{00000000-0010-0000-0500-000007000000}" name="Tech"/>
    <tableColumn id="8" xr3:uid="{00000000-0010-0000-0500-000008000000}" name="Site"/>
    <tableColumn id="9" xr3:uid="{00000000-0010-0000-0500-000009000000}" name="Wave/PO"/>
    <tableColumn id="10" xr3:uid="{00000000-0010-0000-0500-00000A000000}" name="In Storage - Located"/>
    <tableColumn id="11" xr3:uid="{00000000-0010-0000-0500-00000B000000}" name="Note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blChecklist" displayName="tblChecklist" ref="A3:G19">
  <autoFilter ref="A3:G19" xr:uid="{00000000-0009-0000-0100-000007000000}"/>
  <tableColumns count="7">
    <tableColumn id="1" xr3:uid="{00000000-0010-0000-0600-000001000000}" name="Step"/>
    <tableColumn id="2" xr3:uid="{00000000-0010-0000-0600-000002000000}" name="Applies To"/>
    <tableColumn id="3" xr3:uid="{00000000-0010-0000-0600-000003000000}" name="Status"/>
    <tableColumn id="4" xr3:uid="{00000000-0010-0000-0600-000004000000}" name="Validated By"/>
    <tableColumn id="5" xr3:uid="{00000000-0010-0000-0600-000005000000}" name="Validated Date"/>
    <tableColumn id="6" xr3:uid="{00000000-0010-0000-0600-000006000000}" name="Power connection stable; confirm power status icon (steady green LED)."/>
    <tableColumn id="7" xr3:uid="{00000000-0010-0000-0600-000007000000}" name="Notes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blReadiness" displayName="tblReadiness" ref="A3:H20">
  <autoFilter ref="A3:H20" xr:uid="{00000000-0009-0000-0100-000008000000}"/>
  <tableColumns count="8">
    <tableColumn id="1" xr3:uid="{00000000-0010-0000-0700-000001000000}" name="Site"/>
    <tableColumn id="2" xr3:uid="{00000000-0010-0000-0700-000002000000}" name="Staging Area"/>
    <tableColumn id="3" xr3:uid="{00000000-0010-0000-0700-000003000000}" name="2 Network Ports Active"/>
    <tableColumn id="4" xr3:uid="{00000000-0010-0000-0700-000004000000}" name="2 Power Outlets"/>
    <tableColumn id="5" xr3:uid="{00000000-0010-0000-0700-000005000000}" name="Biomed Scheduled"/>
    <tableColumn id="6" xr3:uid="{00000000-0010-0000-0700-000006000000}" name="Anesthesia Tech Scheduled"/>
    <tableColumn id="7" xr3:uid="{00000000-0010-0000-0700-000007000000}" name="Yellow"/>
    <tableColumn id="8" xr3:uid="{00000000-0010-0000-0700-000008000000}" name="Notes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FormulaLib" displayName="tblFormulaLib" ref="A3:E66">
  <autoFilter ref="A3:E66" xr:uid="{00000000-0009-0000-0100-000009000000}"/>
  <tableColumns count="5">
    <tableColumn id="1" xr3:uid="{00000000-0010-0000-0800-000001000000}" name="Formula"/>
    <tableColumn id="2" xr3:uid="{00000000-0010-0000-0800-000002000000}" name="Purpose (fill in)"/>
    <tableColumn id="3" xr3:uid="{00000000-0010-0000-0800-000003000000}" name="Where to Use (fill in)"/>
    <tableColumn id="4" xr3:uid="{00000000-0010-0000-0800-000004000000}" name="Notes / Dependencies"/>
    <tableColumn id="5" xr3:uid="{00000000-0010-0000-0800-000005000000}" name="Rego Park ReConnect Tracker - Improved Tracker.xlsx::Summary!D16_x000a_Live-ReConnect-Tracker-Integrated - original tracker.xlsx::Summary!D1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" customWidth="1"/>
    <col min="2" max="2" width="14" customWidth="1"/>
    <col min="3" max="3" width="9" customWidth="1"/>
    <col min="4" max="4" width="10" customWidth="1"/>
    <col min="5" max="5" width="18" customWidth="1"/>
    <col min="6" max="6" width="16" customWidth="1"/>
    <col min="7" max="7" width="14" customWidth="1"/>
    <col min="8" max="8" width="12" customWidth="1"/>
    <col min="9" max="9" width="10" customWidth="1"/>
    <col min="10" max="11" width="16" customWidth="1"/>
    <col min="12" max="12" width="11" customWidth="1"/>
    <col min="13" max="13" width="60" customWidth="1"/>
  </cols>
  <sheetData>
    <row r="1" spans="1:13" ht="30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47" t="s">
        <v>12</v>
      </c>
    </row>
    <row r="2" spans="1:13">
      <c r="A2">
        <f>ROW()</f>
        <v>2</v>
      </c>
      <c r="B2" t="str">
        <f>IFERROR(INDEX(tblDeviceConfig[Device Type],ROW()-1),"")</f>
        <v>Neuron</v>
      </c>
      <c r="C2" t="str">
        <f>IFERROR(INDEX(tblDeviceConfig[Deployed],ROW()-1),"")</f>
        <v>Yes</v>
      </c>
      <c r="D2" t="str">
        <f>IFERROR(INDEX(tblDeviceConfig[Installed],ROW()-1),"")</f>
        <v>Yes</v>
      </c>
      <c r="E2">
        <f>IFERROR(INDEX(tblDeviceConfig[Cybernet Hostname],ROW()-1),"")</f>
        <v>0</v>
      </c>
      <c r="F2" t="str">
        <f>IFERROR(INDEX(tblDeviceConfig[Neuron Hostname],ROW()-1),"")</f>
        <v>LIJ-SDF-MACH-A</v>
      </c>
      <c r="G2" t="str">
        <f>IFERROR(INDEX(tblDeviceConfig[Software List],ROW()-1),"")</f>
        <v>test</v>
      </c>
      <c r="H2" t="str">
        <f>IFERROR(INDEX(tblDeviceConfig[PI_Use_Case],ROW()-1),"")</f>
        <v>Describe the environment in which we're deploying:
For ex, input:
"
OR iPro Cybernet Workstation
"</v>
      </c>
      <c r="I2">
        <f>IFERROR(INDEX(tblDeviceConfig[PI_Result],ROW()-1),"")</f>
        <v>0</v>
      </c>
      <c r="J2">
        <f>IFERROR(INDEX(tblDeviceConfig[PI_Validated_By],ROW()-1),"")</f>
        <v>0</v>
      </c>
      <c r="K2">
        <f>IFERROR(INDEX(tblDeviceConfig[PI_Validated_Date],ROW()-1),"")</f>
        <v>0</v>
      </c>
      <c r="L2">
        <f t="shared" ref="L2:L65" si="0">SUM(IF(AND(C2="Yes",B2="Cybernet",LEN(TRIM(E2))=0),1,0),IF(AND(C2="Yes",B2="Neuron",LEN(TRIM(F2))=0),1,0),IF(AND(C2="Yes",B2="Cybernet",LEN(TRIM(G2))=0),1,0),IF(AND(C2="Yes",B2="Cybernet",LEN(TRIM(H2))=0),1,0),IF(AND(C2="Yes",LEN(TRIM(I2))&gt;0,LEN(TRIM(J2))=0),1,0),IF(AND(C2="Yes",LEN(TRIM(J2))&gt;0,LEN(TRIM(K2))=0),1,0))</f>
        <v>0</v>
      </c>
      <c r="M2" t="str">
        <f t="shared" ref="M2:M65" si="1">(IF(AND(C2="Yes",B2="Cybernet",LEN(TRIM(E2))=0),"Missing Cybernet Hostname",""))&amp;IF(((IF(AND(C2="Yes",B2="Cybernet",LEN(TRIM(E2))=0),"Missing Cybernet Hostname","")))&lt;&gt;"",IF((IF(AND(C2="Yes",B2="Neuron",LEN(TRIM(F2))=0),"Missing Neuron Hostname",""))&lt;&gt;""," | ",""),"")&amp;(IF(AND(C2="Yes",B2="Neuron",LEN(TRIM(F2))=0),"Missing Neuron Hostname",""))&amp;IF(((IF(AND(C2="Yes",B2="Cybernet",LEN(TRIM(E2))=0),"Missing Cybernet Hostname",""))&amp;(IF(AND(C2="Yes",B2="Neuron",LEN(TRIM(F2))=0),"Missing Neuron Hostname","")))&lt;&gt;"",IF((IF(AND(C2="Yes",B2="Cybernet",LEN(TRIM(G2))=0),"Missing Software List",""))&lt;&gt;""," | ",""),"")&amp;(IF(AND(C2="Yes",B2="Cybernet",LEN(TRIM(G2))=0),"Missing Software List",""))&amp;IF(((IF(AND(C2="Yes",B2="Cybernet",LEN(TRIM(E2))=0),"Missing Cybernet Hostname",""))&amp;(IF(AND(C2="Yes",B2="Neuron",LEN(TRIM(F2))=0),"Missing Neuron Hostname",""))&amp;(IF(AND(C2="Yes",B2="Cybernet",LEN(TRIM(G2))=0),"Missing Software List","")))&lt;&gt;"",IF((IF(AND(C2="Yes",B2="Cybernet",LEN(TRIM(H2))=0),"Missing PI Use Case",""))&lt;&gt;""," | ",""),"")&amp;(IF(AND(C2="Yes",B2="Cybernet",LEN(TRIM(H2))=0),"Missing PI Use Case",""))&amp;IF(((IF(AND(C2="Yes",B2="Cybernet",LEN(TRIM(E2))=0),"Missing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Case","")))&lt;&gt;"",IF((IF(AND(C2="Yes",LEN(TRIM(I2))&gt;0,LEN(TRIM(J2))=0),"Missing PI Validated By",""))&lt;&gt;""," | ",""),"")&amp;(IF(AND(C2="Yes",LEN(TRIM(I2))&gt;0,LEN(TRIM(J2))=0),"Missing PI Validated By",""))&amp;IF(((IF(AND(C2="Yes",B2="Cybernet",LEN(TRIM(E2))=0),"Missing Cybernet Hostname",""))&amp;(IF(AND(C2="Yes",B2="Neuron",LEN(TRIM(F2))=0),"Missing Neuron Hostname",""))&amp;(IF(AND(C2="Yes",B2="Cybernet",LEN(TRIM(G2))=0),"Missing Software List",""))&amp;(IF(AND(C2="Yes",B2="Cybernet",LEN(TRIM(H2))=0),"Missing PI Use Case",""))&amp;(IF(AND(C2="Yes",LEN(TRIM(I2))&gt;0,LEN(TRIM(J2))=0),"Missing PI Validated By","")))&lt;&gt;"",IF((IF(AND(C2="Yes",LEN(TRIM(J2))&gt;0,LEN(TRIM(K2))=0),"Missing PI Validated Date",""))&lt;&gt;""," | ",""),"")&amp;(IF(AND(C2="Yes",LEN(TRIM(J2))&gt;0,LEN(TRIM(K2))=0),"Missing PI Validated Date",""))</f>
        <v/>
      </c>
    </row>
    <row r="3" spans="1:13">
      <c r="A3">
        <f>ROW()</f>
        <v>3</v>
      </c>
      <c r="B3" t="str">
        <f>IFERROR(INDEX(tblDeviceConfig[Device Type],ROW()-1),"")</f>
        <v>Neuron</v>
      </c>
      <c r="C3" t="str">
        <f>IFERROR(INDEX(tblDeviceConfig[Deployed],ROW()-1),"")</f>
        <v>Yes</v>
      </c>
      <c r="D3" t="str">
        <f>IFERROR(INDEX(tblDeviceConfig[Installed],ROW()-1),"")</f>
        <v>Yes</v>
      </c>
      <c r="E3">
        <f>IFERROR(INDEX(tblDeviceConfig[Cybernet Hostname],ROW()-1),"")</f>
        <v>0</v>
      </c>
      <c r="F3" t="str">
        <f>IFERROR(INDEX(tblDeviceConfig[Neuron Hostname],ROW()-1),"")</f>
        <v>LIJ-SDF-MACH-B</v>
      </c>
      <c r="G3">
        <f>IFERROR(INDEX(tblDeviceConfig[Software List],ROW()-1),"")</f>
        <v>0</v>
      </c>
      <c r="H3">
        <f>IFERROR(INDEX(tblDeviceConfig[PI_Use_Case],ROW()-1),"")</f>
        <v>0</v>
      </c>
      <c r="I3">
        <f>IFERROR(INDEX(tblDeviceConfig[PI_Result],ROW()-1),"")</f>
        <v>0</v>
      </c>
      <c r="J3">
        <f>IFERROR(INDEX(tblDeviceConfig[PI_Validated_By],ROW()-1),"")</f>
        <v>0</v>
      </c>
      <c r="K3">
        <f>IFERROR(INDEX(tblDeviceConfig[PI_Validated_Date],ROW()-1),"")</f>
        <v>0</v>
      </c>
      <c r="L3">
        <f t="shared" si="0"/>
        <v>0</v>
      </c>
      <c r="M3" t="str">
        <f t="shared" si="1"/>
        <v/>
      </c>
    </row>
    <row r="4" spans="1:13">
      <c r="A4">
        <f>ROW()</f>
        <v>4</v>
      </c>
      <c r="B4" t="str">
        <f>IFERROR(INDEX(tblDeviceConfig[Device Type],ROW()-1),"")</f>
        <v>Neuron</v>
      </c>
      <c r="C4" t="str">
        <f>IFERROR(INDEX(tblDeviceConfig[Deployed],ROW()-1),"")</f>
        <v>Yes</v>
      </c>
      <c r="D4" t="str">
        <f>IFERROR(INDEX(tblDeviceConfig[Installed],ROW()-1),"")</f>
        <v>Yes</v>
      </c>
      <c r="E4">
        <f>IFERROR(INDEX(tblDeviceConfig[Cybernet Hostname],ROW()-1),"")</f>
        <v>0</v>
      </c>
      <c r="F4" t="str">
        <f>IFERROR(INDEX(tblDeviceConfig[Neuron Hostname],ROW()-1),"")</f>
        <v>LIJ-SDF-MACH-C</v>
      </c>
      <c r="G4">
        <f>IFERROR(INDEX(tblDeviceConfig[Software List],ROW()-1),"")</f>
        <v>0</v>
      </c>
      <c r="H4">
        <f>IFERROR(INDEX(tblDeviceConfig[PI_Use_Case],ROW()-1),"")</f>
        <v>0</v>
      </c>
      <c r="I4">
        <f>IFERROR(INDEX(tblDeviceConfig[PI_Result],ROW()-1),"")</f>
        <v>0</v>
      </c>
      <c r="J4">
        <f>IFERROR(INDEX(tblDeviceConfig[PI_Validated_By],ROW()-1),"")</f>
        <v>0</v>
      </c>
      <c r="K4">
        <f>IFERROR(INDEX(tblDeviceConfig[PI_Validated_Date],ROW()-1),"")</f>
        <v>0</v>
      </c>
      <c r="L4">
        <f t="shared" si="0"/>
        <v>0</v>
      </c>
      <c r="M4" t="str">
        <f t="shared" si="1"/>
        <v/>
      </c>
    </row>
    <row r="5" spans="1:13">
      <c r="A5">
        <f>ROW()</f>
        <v>5</v>
      </c>
      <c r="B5" t="str">
        <f>IFERROR(INDEX(tblDeviceConfig[Device Type],ROW()-1),"")</f>
        <v>Neuron</v>
      </c>
      <c r="C5" t="str">
        <f>IFERROR(INDEX(tblDeviceConfig[Deployed],ROW()-1),"")</f>
        <v>Yes</v>
      </c>
      <c r="D5" t="str">
        <f>IFERROR(INDEX(tblDeviceConfig[Installed],ROW()-1),"")</f>
        <v>Yes</v>
      </c>
      <c r="E5">
        <f>IFERROR(INDEX(tblDeviceConfig[Cybernet Hostname],ROW()-1),"")</f>
        <v>0</v>
      </c>
      <c r="F5" t="str">
        <f>IFERROR(INDEX(tblDeviceConfig[Neuron Hostname],ROW()-1),"")</f>
        <v>LIJ-SDF-MACH-D</v>
      </c>
      <c r="G5">
        <f>IFERROR(INDEX(tblDeviceConfig[Software List],ROW()-1),"")</f>
        <v>0</v>
      </c>
      <c r="H5">
        <f>IFERROR(INDEX(tblDeviceConfig[PI_Use_Case],ROW()-1),"")</f>
        <v>0</v>
      </c>
      <c r="I5">
        <f>IFERROR(INDEX(tblDeviceConfig[PI_Result],ROW()-1),"")</f>
        <v>0</v>
      </c>
      <c r="J5">
        <f>IFERROR(INDEX(tblDeviceConfig[PI_Validated_By],ROW()-1),"")</f>
        <v>0</v>
      </c>
      <c r="K5">
        <f>IFERROR(INDEX(tblDeviceConfig[PI_Validated_Date],ROW()-1),"")</f>
        <v>0</v>
      </c>
      <c r="L5">
        <f t="shared" si="0"/>
        <v>0</v>
      </c>
      <c r="M5" t="str">
        <f t="shared" si="1"/>
        <v/>
      </c>
    </row>
    <row r="6" spans="1:13">
      <c r="A6">
        <f>ROW()</f>
        <v>6</v>
      </c>
      <c r="B6" t="str">
        <f>IFERROR(INDEX(tblDeviceConfig[Device Type],ROW()-1),"")</f>
        <v>Neuron</v>
      </c>
      <c r="C6" t="str">
        <f>IFERROR(INDEX(tblDeviceConfig[Deployed],ROW()-1),"")</f>
        <v>Yes</v>
      </c>
      <c r="D6" t="str">
        <f>IFERROR(INDEX(tblDeviceConfig[Installed],ROW()-1),"")</f>
        <v>Yes</v>
      </c>
      <c r="E6">
        <f>IFERROR(INDEX(tblDeviceConfig[Cybernet Hostname],ROW()-1),"")</f>
        <v>0</v>
      </c>
      <c r="F6" t="str">
        <f>IFERROR(INDEX(tblDeviceConfig[Neuron Hostname],ROW()-1),"")</f>
        <v>LIJ-SDF-MACH-E</v>
      </c>
      <c r="G6">
        <f>IFERROR(INDEX(tblDeviceConfig[Software List],ROW()-1),"")</f>
        <v>0</v>
      </c>
      <c r="H6">
        <f>IFERROR(INDEX(tblDeviceConfig[PI_Use_Case],ROW()-1),"")</f>
        <v>0</v>
      </c>
      <c r="I6">
        <f>IFERROR(INDEX(tblDeviceConfig[PI_Result],ROW()-1),"")</f>
        <v>0</v>
      </c>
      <c r="J6">
        <f>IFERROR(INDEX(tblDeviceConfig[PI_Validated_By],ROW()-1),"")</f>
        <v>0</v>
      </c>
      <c r="K6">
        <f>IFERROR(INDEX(tblDeviceConfig[PI_Validated_Date],ROW()-1),"")</f>
        <v>0</v>
      </c>
      <c r="L6">
        <f t="shared" si="0"/>
        <v>0</v>
      </c>
      <c r="M6" t="str">
        <f t="shared" si="1"/>
        <v/>
      </c>
    </row>
    <row r="7" spans="1:13">
      <c r="A7">
        <f>ROW()</f>
        <v>7</v>
      </c>
      <c r="B7" t="str">
        <f>IFERROR(INDEX(tblDeviceConfig[Device Type],ROW()-1),"")</f>
        <v>Neuron</v>
      </c>
      <c r="C7" t="str">
        <f>IFERROR(INDEX(tblDeviceConfig[Deployed],ROW()-1),"")</f>
        <v>Yes</v>
      </c>
      <c r="D7" t="str">
        <f>IFERROR(INDEX(tblDeviceConfig[Installed],ROW()-1),"")</f>
        <v>Yes</v>
      </c>
      <c r="E7">
        <f>IFERROR(INDEX(tblDeviceConfig[Cybernet Hostname],ROW()-1),"")</f>
        <v>0</v>
      </c>
      <c r="F7" t="str">
        <f>IFERROR(INDEX(tblDeviceConfig[Neuron Hostname],ROW()-1),"")</f>
        <v>LIJ-SDF-MACH-F</v>
      </c>
      <c r="G7">
        <f>IFERROR(INDEX(tblDeviceConfig[Software List],ROW()-1),"")</f>
        <v>0</v>
      </c>
      <c r="H7">
        <f>IFERROR(INDEX(tblDeviceConfig[PI_Use_Case],ROW()-1),"")</f>
        <v>0</v>
      </c>
      <c r="I7">
        <f>IFERROR(INDEX(tblDeviceConfig[PI_Result],ROW()-1),"")</f>
        <v>0</v>
      </c>
      <c r="J7">
        <f>IFERROR(INDEX(tblDeviceConfig[PI_Validated_By],ROW()-1),"")</f>
        <v>0</v>
      </c>
      <c r="K7">
        <f>IFERROR(INDEX(tblDeviceConfig[PI_Validated_Date],ROW()-1),"")</f>
        <v>0</v>
      </c>
      <c r="L7">
        <f t="shared" si="0"/>
        <v>0</v>
      </c>
      <c r="M7" t="str">
        <f t="shared" si="1"/>
        <v/>
      </c>
    </row>
    <row r="8" spans="1:13">
      <c r="A8">
        <f>ROW()</f>
        <v>8</v>
      </c>
      <c r="B8" t="str">
        <f>IFERROR(INDEX(tblDeviceConfig[Device Type],ROW()-1),"")</f>
        <v>Neuron</v>
      </c>
      <c r="C8" t="str">
        <f>IFERROR(INDEX(tblDeviceConfig[Deployed],ROW()-1),"")</f>
        <v>Yes</v>
      </c>
      <c r="D8" t="str">
        <f>IFERROR(INDEX(tblDeviceConfig[Installed],ROW()-1),"")</f>
        <v>Yes</v>
      </c>
      <c r="E8">
        <f>IFERROR(INDEX(tblDeviceConfig[Cybernet Hostname],ROW()-1),"")</f>
        <v>0</v>
      </c>
      <c r="F8" t="str">
        <f>IFERROR(INDEX(tblDeviceConfig[Neuron Hostname],ROW()-1),"")</f>
        <v>LIJ-SDF-MACH-G</v>
      </c>
      <c r="G8">
        <f>IFERROR(INDEX(tblDeviceConfig[Software List],ROW()-1),"")</f>
        <v>0</v>
      </c>
      <c r="H8">
        <f>IFERROR(INDEX(tblDeviceConfig[PI_Use_Case],ROW()-1),"")</f>
        <v>0</v>
      </c>
      <c r="I8">
        <f>IFERROR(INDEX(tblDeviceConfig[PI_Result],ROW()-1),"")</f>
        <v>0</v>
      </c>
      <c r="J8">
        <f>IFERROR(INDEX(tblDeviceConfig[PI_Validated_By],ROW()-1),"")</f>
        <v>0</v>
      </c>
      <c r="K8">
        <f>IFERROR(INDEX(tblDeviceConfig[PI_Validated_Date],ROW()-1),"")</f>
        <v>0</v>
      </c>
      <c r="L8">
        <f t="shared" si="0"/>
        <v>0</v>
      </c>
      <c r="M8" t="str">
        <f t="shared" si="1"/>
        <v/>
      </c>
    </row>
    <row r="9" spans="1:13">
      <c r="A9">
        <f>ROW()</f>
        <v>9</v>
      </c>
      <c r="B9" t="str">
        <f>IFERROR(INDEX(tblDeviceConfig[Device Type],ROW()-1),"")</f>
        <v>Neuron</v>
      </c>
      <c r="C9" t="str">
        <f>IFERROR(INDEX(tblDeviceConfig[Deployed],ROW()-1),"")</f>
        <v>Yes</v>
      </c>
      <c r="D9" t="str">
        <f>IFERROR(INDEX(tblDeviceConfig[Installed],ROW()-1),"")</f>
        <v>Yes</v>
      </c>
      <c r="E9">
        <f>IFERROR(INDEX(tblDeviceConfig[Cybernet Hostname],ROW()-1),"")</f>
        <v>0</v>
      </c>
      <c r="F9" t="str">
        <f>IFERROR(INDEX(tblDeviceConfig[Neuron Hostname],ROW()-1),"")</f>
        <v>LIJ-SDF-MACH-H</v>
      </c>
      <c r="G9">
        <f>IFERROR(INDEX(tblDeviceConfig[Software List],ROW()-1),"")</f>
        <v>0</v>
      </c>
      <c r="H9">
        <f>IFERROR(INDEX(tblDeviceConfig[PI_Use_Case],ROW()-1),"")</f>
        <v>0</v>
      </c>
      <c r="I9">
        <f>IFERROR(INDEX(tblDeviceConfig[PI_Result],ROW()-1),"")</f>
        <v>0</v>
      </c>
      <c r="J9">
        <f>IFERROR(INDEX(tblDeviceConfig[PI_Validated_By],ROW()-1),"")</f>
        <v>0</v>
      </c>
      <c r="K9">
        <f>IFERROR(INDEX(tblDeviceConfig[PI_Validated_Date],ROW()-1),"")</f>
        <v>0</v>
      </c>
      <c r="L9">
        <f t="shared" si="0"/>
        <v>0</v>
      </c>
      <c r="M9" t="str">
        <f t="shared" si="1"/>
        <v/>
      </c>
    </row>
    <row r="10" spans="1:13">
      <c r="A10">
        <f>ROW()</f>
        <v>10</v>
      </c>
      <c r="B10" t="str">
        <f>IFERROR(INDEX(tblDeviceConfig[Device Type],ROW()-1),"")</f>
        <v>Neuron</v>
      </c>
      <c r="C10" t="str">
        <f>IFERROR(INDEX(tblDeviceConfig[Deployed],ROW()-1),"")</f>
        <v>Yes</v>
      </c>
      <c r="D10" t="str">
        <f>IFERROR(INDEX(tblDeviceConfig[Installed],ROW()-1),"")</f>
        <v>Yes</v>
      </c>
      <c r="E10">
        <f>IFERROR(INDEX(tblDeviceConfig[Cybernet Hostname],ROW()-1),"")</f>
        <v>0</v>
      </c>
      <c r="F10" t="str">
        <f>IFERROR(INDEX(tblDeviceConfig[Neuron Hostname],ROW()-1),"")</f>
        <v>LIJ-SDF-MACH-I</v>
      </c>
      <c r="G10">
        <f>IFERROR(INDEX(tblDeviceConfig[Software List],ROW()-1),"")</f>
        <v>0</v>
      </c>
      <c r="H10">
        <f>IFERROR(INDEX(tblDeviceConfig[PI_Use_Case],ROW()-1),"")</f>
        <v>0</v>
      </c>
      <c r="I10">
        <f>IFERROR(INDEX(tblDeviceConfig[PI_Result],ROW()-1),"")</f>
        <v>0</v>
      </c>
      <c r="J10">
        <f>IFERROR(INDEX(tblDeviceConfig[PI_Validated_By],ROW()-1),"")</f>
        <v>0</v>
      </c>
      <c r="K10">
        <f>IFERROR(INDEX(tblDeviceConfig[PI_Validated_Date],ROW()-1),"")</f>
        <v>0</v>
      </c>
      <c r="L10">
        <f t="shared" si="0"/>
        <v>0</v>
      </c>
      <c r="M10" t="str">
        <f t="shared" si="1"/>
        <v/>
      </c>
    </row>
    <row r="11" spans="1:13">
      <c r="A11">
        <f>ROW()</f>
        <v>11</v>
      </c>
      <c r="B11" t="str">
        <f>IFERROR(INDEX(tblDeviceConfig[Device Type],ROW()-1),"")</f>
        <v>Neuron</v>
      </c>
      <c r="C11" t="str">
        <f>IFERROR(INDEX(tblDeviceConfig[Deployed],ROW()-1),"")</f>
        <v>Yes</v>
      </c>
      <c r="D11" t="str">
        <f>IFERROR(INDEX(tblDeviceConfig[Installed],ROW()-1),"")</f>
        <v>Yes</v>
      </c>
      <c r="E11">
        <f>IFERROR(INDEX(tblDeviceConfig[Cybernet Hostname],ROW()-1),"")</f>
        <v>0</v>
      </c>
      <c r="F11" t="str">
        <f>IFERROR(INDEX(tblDeviceConfig[Neuron Hostname],ROW()-1),"")</f>
        <v>LIJ-SDF-MACH-J</v>
      </c>
      <c r="G11">
        <f>IFERROR(INDEX(tblDeviceConfig[Software List],ROW()-1),"")</f>
        <v>0</v>
      </c>
      <c r="H11">
        <f>IFERROR(INDEX(tblDeviceConfig[PI_Use_Case],ROW()-1),"")</f>
        <v>0</v>
      </c>
      <c r="I11">
        <f>IFERROR(INDEX(tblDeviceConfig[PI_Result],ROW()-1),"")</f>
        <v>0</v>
      </c>
      <c r="J11">
        <f>IFERROR(INDEX(tblDeviceConfig[PI_Validated_By],ROW()-1),"")</f>
        <v>0</v>
      </c>
      <c r="K11">
        <f>IFERROR(INDEX(tblDeviceConfig[PI_Validated_Date],ROW()-1),"")</f>
        <v>0</v>
      </c>
      <c r="L11">
        <f t="shared" si="0"/>
        <v>0</v>
      </c>
      <c r="M11" t="str">
        <f t="shared" si="1"/>
        <v/>
      </c>
    </row>
    <row r="12" spans="1:13">
      <c r="A12">
        <f>ROW()</f>
        <v>12</v>
      </c>
      <c r="B12" t="str">
        <f>IFERROR(INDEX(tblDeviceConfig[Device Type],ROW()-1),"")</f>
        <v>Neuron</v>
      </c>
      <c r="C12" t="str">
        <f>IFERROR(INDEX(tblDeviceConfig[Deployed],ROW()-1),"")</f>
        <v>Yes</v>
      </c>
      <c r="D12" t="str">
        <f>IFERROR(INDEX(tblDeviceConfig[Installed],ROW()-1),"")</f>
        <v>Yes</v>
      </c>
      <c r="E12">
        <f>IFERROR(INDEX(tblDeviceConfig[Cybernet Hostname],ROW()-1),"")</f>
        <v>0</v>
      </c>
      <c r="F12" t="str">
        <f>IFERROR(INDEX(tblDeviceConfig[Neuron Hostname],ROW()-1),"")</f>
        <v>LIJ-SDF-MACH-K</v>
      </c>
      <c r="G12">
        <f>IFERROR(INDEX(tblDeviceConfig[Software List],ROW()-1),"")</f>
        <v>0</v>
      </c>
      <c r="H12">
        <f>IFERROR(INDEX(tblDeviceConfig[PI_Use_Case],ROW()-1),"")</f>
        <v>0</v>
      </c>
      <c r="I12">
        <f>IFERROR(INDEX(tblDeviceConfig[PI_Result],ROW()-1),"")</f>
        <v>0</v>
      </c>
      <c r="J12">
        <f>IFERROR(INDEX(tblDeviceConfig[PI_Validated_By],ROW()-1),"")</f>
        <v>0</v>
      </c>
      <c r="K12">
        <f>IFERROR(INDEX(tblDeviceConfig[PI_Validated_Date],ROW()-1),"")</f>
        <v>0</v>
      </c>
      <c r="L12">
        <f t="shared" si="0"/>
        <v>0</v>
      </c>
      <c r="M12" t="str">
        <f t="shared" si="1"/>
        <v/>
      </c>
    </row>
    <row r="13" spans="1:13">
      <c r="A13">
        <f>ROW()</f>
        <v>13</v>
      </c>
      <c r="B13" t="str">
        <f>IFERROR(INDEX(tblDeviceConfig[Device Type],ROW()-1),"")</f>
        <v>Neuron</v>
      </c>
      <c r="C13" t="str">
        <f>IFERROR(INDEX(tblDeviceConfig[Deployed],ROW()-1),"")</f>
        <v>Yes</v>
      </c>
      <c r="D13" t="str">
        <f>IFERROR(INDEX(tblDeviceConfig[Installed],ROW()-1),"")</f>
        <v>Yes</v>
      </c>
      <c r="E13">
        <f>IFERROR(INDEX(tblDeviceConfig[Cybernet Hostname],ROW()-1),"")</f>
        <v>0</v>
      </c>
      <c r="F13" t="str">
        <f>IFERROR(INDEX(tblDeviceConfig[Neuron Hostname],ROW()-1),"")</f>
        <v>LIJ-SDF-MACH-L</v>
      </c>
      <c r="G13">
        <f>IFERROR(INDEX(tblDeviceConfig[Software List],ROW()-1),"")</f>
        <v>0</v>
      </c>
      <c r="H13">
        <f>IFERROR(INDEX(tblDeviceConfig[PI_Use_Case],ROW()-1),"")</f>
        <v>0</v>
      </c>
      <c r="I13">
        <f>IFERROR(INDEX(tblDeviceConfig[PI_Result],ROW()-1),"")</f>
        <v>0</v>
      </c>
      <c r="J13">
        <f>IFERROR(INDEX(tblDeviceConfig[PI_Validated_By],ROW()-1),"")</f>
        <v>0</v>
      </c>
      <c r="K13">
        <f>IFERROR(INDEX(tblDeviceConfig[PI_Validated_Date],ROW()-1),"")</f>
        <v>0</v>
      </c>
      <c r="L13">
        <f t="shared" si="0"/>
        <v>0</v>
      </c>
      <c r="M13" t="str">
        <f t="shared" si="1"/>
        <v/>
      </c>
    </row>
    <row r="14" spans="1:13">
      <c r="A14">
        <f>ROW()</f>
        <v>14</v>
      </c>
      <c r="B14" t="str">
        <f>IFERROR(INDEX(tblDeviceConfig[Device Type],ROW()-1),"")</f>
        <v>Neuron</v>
      </c>
      <c r="C14" t="str">
        <f>IFERROR(INDEX(tblDeviceConfig[Deployed],ROW()-1),"")</f>
        <v>Yes</v>
      </c>
      <c r="D14" t="str">
        <f>IFERROR(INDEX(tblDeviceConfig[Installed],ROW()-1),"")</f>
        <v>Yes</v>
      </c>
      <c r="E14">
        <f>IFERROR(INDEX(tblDeviceConfig[Cybernet Hostname],ROW()-1),"")</f>
        <v>0</v>
      </c>
      <c r="F14" t="str">
        <f>IFERROR(INDEX(tblDeviceConfig[Neuron Hostname],ROW()-1),"")</f>
        <v>LIJ-SDF-MACH-M</v>
      </c>
      <c r="G14">
        <f>IFERROR(INDEX(tblDeviceConfig[Software List],ROW()-1),"")</f>
        <v>0</v>
      </c>
      <c r="H14">
        <f>IFERROR(INDEX(tblDeviceConfig[PI_Use_Case],ROW()-1),"")</f>
        <v>0</v>
      </c>
      <c r="I14">
        <f>IFERROR(INDEX(tblDeviceConfig[PI_Result],ROW()-1),"")</f>
        <v>0</v>
      </c>
      <c r="J14">
        <f>IFERROR(INDEX(tblDeviceConfig[PI_Validated_By],ROW()-1),"")</f>
        <v>0</v>
      </c>
      <c r="K14">
        <f>IFERROR(INDEX(tblDeviceConfig[PI_Validated_Date],ROW()-1),"")</f>
        <v>0</v>
      </c>
      <c r="L14">
        <f t="shared" si="0"/>
        <v>0</v>
      </c>
      <c r="M14" t="str">
        <f t="shared" si="1"/>
        <v/>
      </c>
    </row>
    <row r="15" spans="1:13">
      <c r="A15">
        <f>ROW()</f>
        <v>15</v>
      </c>
      <c r="B15" t="str">
        <f>IFERROR(INDEX(tblDeviceConfig[Device Type],ROW()-1),"")</f>
        <v>Neuron</v>
      </c>
      <c r="C15" t="str">
        <f>IFERROR(INDEX(tblDeviceConfig[Deployed],ROW()-1),"")</f>
        <v>Yes</v>
      </c>
      <c r="D15" t="str">
        <f>IFERROR(INDEX(tblDeviceConfig[Installed],ROW()-1),"")</f>
        <v>Yes</v>
      </c>
      <c r="E15">
        <f>IFERROR(INDEX(tblDeviceConfig[Cybernet Hostname],ROW()-1),"")</f>
        <v>0</v>
      </c>
      <c r="F15" t="str">
        <f>IFERROR(INDEX(tblDeviceConfig[Neuron Hostname],ROW()-1),"")</f>
        <v>LIJ-SDF-MACH-N</v>
      </c>
      <c r="G15">
        <f>IFERROR(INDEX(tblDeviceConfig[Software List],ROW()-1),"")</f>
        <v>0</v>
      </c>
      <c r="H15">
        <f>IFERROR(INDEX(tblDeviceConfig[PI_Use_Case],ROW()-1),"")</f>
        <v>0</v>
      </c>
      <c r="I15">
        <f>IFERROR(INDEX(tblDeviceConfig[PI_Result],ROW()-1),"")</f>
        <v>0</v>
      </c>
      <c r="J15">
        <f>IFERROR(INDEX(tblDeviceConfig[PI_Validated_By],ROW()-1),"")</f>
        <v>0</v>
      </c>
      <c r="K15">
        <f>IFERROR(INDEX(tblDeviceConfig[PI_Validated_Date],ROW()-1),"")</f>
        <v>0</v>
      </c>
      <c r="L15">
        <f t="shared" si="0"/>
        <v>0</v>
      </c>
      <c r="M15" t="str">
        <f t="shared" si="1"/>
        <v/>
      </c>
    </row>
    <row r="16" spans="1:13">
      <c r="A16">
        <f>ROW()</f>
        <v>16</v>
      </c>
      <c r="B16" t="str">
        <f>IFERROR(INDEX(tblDeviceConfig[Device Type],ROW()-1),"")</f>
        <v>Neuron</v>
      </c>
      <c r="C16" t="str">
        <f>IFERROR(INDEX(tblDeviceConfig[Deployed],ROW()-1),"")</f>
        <v>Yes</v>
      </c>
      <c r="D16" t="str">
        <f>IFERROR(INDEX(tblDeviceConfig[Installed],ROW()-1),"")</f>
        <v>Yes</v>
      </c>
      <c r="E16">
        <f>IFERROR(INDEX(tblDeviceConfig[Cybernet Hostname],ROW()-1),"")</f>
        <v>0</v>
      </c>
      <c r="F16" t="str">
        <f>IFERROR(INDEX(tblDeviceConfig[Neuron Hostname],ROW()-1),"")</f>
        <v>LIJ-SDF-MACH-O</v>
      </c>
      <c r="G16">
        <f>IFERROR(INDEX(tblDeviceConfig[Software List],ROW()-1),"")</f>
        <v>0</v>
      </c>
      <c r="H16">
        <f>IFERROR(INDEX(tblDeviceConfig[PI_Use_Case],ROW()-1),"")</f>
        <v>0</v>
      </c>
      <c r="I16">
        <f>IFERROR(INDEX(tblDeviceConfig[PI_Result],ROW()-1),"")</f>
        <v>0</v>
      </c>
      <c r="J16">
        <f>IFERROR(INDEX(tblDeviceConfig[PI_Validated_By],ROW()-1),"")</f>
        <v>0</v>
      </c>
      <c r="K16">
        <f>IFERROR(INDEX(tblDeviceConfig[PI_Validated_Date],ROW()-1),"")</f>
        <v>0</v>
      </c>
      <c r="L16">
        <f t="shared" si="0"/>
        <v>0</v>
      </c>
      <c r="M16" t="str">
        <f t="shared" si="1"/>
        <v/>
      </c>
    </row>
    <row r="17" spans="1:13">
      <c r="A17">
        <f>ROW()</f>
        <v>17</v>
      </c>
      <c r="B17" t="str">
        <f>IFERROR(INDEX(tblDeviceConfig[Device Type],ROW()-1),"")</f>
        <v>Neuron</v>
      </c>
      <c r="C17" t="str">
        <f>IFERROR(INDEX(tblDeviceConfig[Deployed],ROW()-1),"")</f>
        <v>Yes</v>
      </c>
      <c r="D17" t="str">
        <f>IFERROR(INDEX(tblDeviceConfig[Installed],ROW()-1),"")</f>
        <v>Yes</v>
      </c>
      <c r="E17">
        <f>IFERROR(INDEX(tblDeviceConfig[Cybernet Hostname],ROW()-1),"")</f>
        <v>0</v>
      </c>
      <c r="F17" t="str">
        <f>IFERROR(INDEX(tblDeviceConfig[Neuron Hostname],ROW()-1),"")</f>
        <v>LIJ-SDF-MACH-P</v>
      </c>
      <c r="G17">
        <f>IFERROR(INDEX(tblDeviceConfig[Software List],ROW()-1),"")</f>
        <v>0</v>
      </c>
      <c r="H17">
        <f>IFERROR(INDEX(tblDeviceConfig[PI_Use_Case],ROW()-1),"")</f>
        <v>0</v>
      </c>
      <c r="I17">
        <f>IFERROR(INDEX(tblDeviceConfig[PI_Result],ROW()-1),"")</f>
        <v>0</v>
      </c>
      <c r="J17">
        <f>IFERROR(INDEX(tblDeviceConfig[PI_Validated_By],ROW()-1),"")</f>
        <v>0</v>
      </c>
      <c r="K17">
        <f>IFERROR(INDEX(tblDeviceConfig[PI_Validated_Date],ROW()-1),"")</f>
        <v>0</v>
      </c>
      <c r="L17">
        <f t="shared" si="0"/>
        <v>0</v>
      </c>
      <c r="M17" t="str">
        <f t="shared" si="1"/>
        <v/>
      </c>
    </row>
    <row r="18" spans="1:13">
      <c r="A18">
        <f>ROW()</f>
        <v>18</v>
      </c>
      <c r="B18" t="str">
        <f>IFERROR(INDEX(tblDeviceConfig[Device Type],ROW()-1),"")</f>
        <v>Neuron</v>
      </c>
      <c r="C18" t="str">
        <f>IFERROR(INDEX(tblDeviceConfig[Deployed],ROW()-1),"")</f>
        <v>Yes</v>
      </c>
      <c r="D18" t="str">
        <f>IFERROR(INDEX(tblDeviceConfig[Installed],ROW()-1),"")</f>
        <v>Yes</v>
      </c>
      <c r="E18">
        <f>IFERROR(INDEX(tblDeviceConfig[Cybernet Hostname],ROW()-1),"")</f>
        <v>0</v>
      </c>
      <c r="F18" t="str">
        <f>IFERROR(INDEX(tblDeviceConfig[Neuron Hostname],ROW()-1),"")</f>
        <v>LIJ-SDF-MACH-Q</v>
      </c>
      <c r="G18">
        <f>IFERROR(INDEX(tblDeviceConfig[Software List],ROW()-1),"")</f>
        <v>0</v>
      </c>
      <c r="H18">
        <f>IFERROR(INDEX(tblDeviceConfig[PI_Use_Case],ROW()-1),"")</f>
        <v>0</v>
      </c>
      <c r="I18">
        <f>IFERROR(INDEX(tblDeviceConfig[PI_Result],ROW()-1),"")</f>
        <v>0</v>
      </c>
      <c r="J18">
        <f>IFERROR(INDEX(tblDeviceConfig[PI_Validated_By],ROW()-1),"")</f>
        <v>0</v>
      </c>
      <c r="K18">
        <f>IFERROR(INDEX(tblDeviceConfig[PI_Validated_Date],ROW()-1),"")</f>
        <v>0</v>
      </c>
      <c r="L18">
        <f t="shared" si="0"/>
        <v>0</v>
      </c>
      <c r="M18" t="str">
        <f t="shared" si="1"/>
        <v/>
      </c>
    </row>
    <row r="19" spans="1:13">
      <c r="A19">
        <f>ROW()</f>
        <v>19</v>
      </c>
      <c r="B19" t="str">
        <f>IFERROR(INDEX(tblDeviceConfig[Device Type],ROW()-1),"")</f>
        <v>Neuron</v>
      </c>
      <c r="C19" t="str">
        <f>IFERROR(INDEX(tblDeviceConfig[Deployed],ROW()-1),"")</f>
        <v>Yes</v>
      </c>
      <c r="D19" t="str">
        <f>IFERROR(INDEX(tblDeviceConfig[Installed],ROW()-1),"")</f>
        <v>Yes</v>
      </c>
      <c r="E19">
        <f>IFERROR(INDEX(tblDeviceConfig[Cybernet Hostname],ROW()-1),"")</f>
        <v>0</v>
      </c>
      <c r="F19" t="str">
        <f>IFERROR(INDEX(tblDeviceConfig[Neuron Hostname],ROW()-1),"")</f>
        <v>LIJ-SDF-MACH-R</v>
      </c>
      <c r="G19">
        <f>IFERROR(INDEX(tblDeviceConfig[Software List],ROW()-1),"")</f>
        <v>0</v>
      </c>
      <c r="H19">
        <f>IFERROR(INDEX(tblDeviceConfig[PI_Use_Case],ROW()-1),"")</f>
        <v>0</v>
      </c>
      <c r="I19">
        <f>IFERROR(INDEX(tblDeviceConfig[PI_Result],ROW()-1),"")</f>
        <v>0</v>
      </c>
      <c r="J19">
        <f>IFERROR(INDEX(tblDeviceConfig[PI_Validated_By],ROW()-1),"")</f>
        <v>0</v>
      </c>
      <c r="K19">
        <f>IFERROR(INDEX(tblDeviceConfig[PI_Validated_Date],ROW()-1),"")</f>
        <v>0</v>
      </c>
      <c r="L19">
        <f t="shared" si="0"/>
        <v>0</v>
      </c>
      <c r="M19" t="str">
        <f t="shared" si="1"/>
        <v/>
      </c>
    </row>
    <row r="20" spans="1:13">
      <c r="A20">
        <f>ROW()</f>
        <v>20</v>
      </c>
      <c r="B20" t="str">
        <f>IFERROR(INDEX(tblDeviceConfig[Device Type],ROW()-1),"")</f>
        <v>Neuron</v>
      </c>
      <c r="C20" t="str">
        <f>IFERROR(INDEX(tblDeviceConfig[Deployed],ROW()-1),"")</f>
        <v>Yes</v>
      </c>
      <c r="D20" t="str">
        <f>IFERROR(INDEX(tblDeviceConfig[Installed],ROW()-1),"")</f>
        <v>Yes</v>
      </c>
      <c r="E20">
        <f>IFERROR(INDEX(tblDeviceConfig[Cybernet Hostname],ROW()-1),"")</f>
        <v>0</v>
      </c>
      <c r="F20" t="str">
        <f>IFERROR(INDEX(tblDeviceConfig[Neuron Hostname],ROW()-1),"")</f>
        <v>LIJ-SDF-MACH-S</v>
      </c>
      <c r="G20">
        <f>IFERROR(INDEX(tblDeviceConfig[Software List],ROW()-1),"")</f>
        <v>0</v>
      </c>
      <c r="H20">
        <f>IFERROR(INDEX(tblDeviceConfig[PI_Use_Case],ROW()-1),"")</f>
        <v>0</v>
      </c>
      <c r="I20">
        <f>IFERROR(INDEX(tblDeviceConfig[PI_Result],ROW()-1),"")</f>
        <v>0</v>
      </c>
      <c r="J20">
        <f>IFERROR(INDEX(tblDeviceConfig[PI_Validated_By],ROW()-1),"")</f>
        <v>0</v>
      </c>
      <c r="K20">
        <f>IFERROR(INDEX(tblDeviceConfig[PI_Validated_Date],ROW()-1),"")</f>
        <v>0</v>
      </c>
      <c r="L20">
        <f t="shared" si="0"/>
        <v>0</v>
      </c>
      <c r="M20" t="str">
        <f t="shared" si="1"/>
        <v/>
      </c>
    </row>
    <row r="21" spans="1:13">
      <c r="A21">
        <f>ROW()</f>
        <v>21</v>
      </c>
      <c r="B21" t="str">
        <f>IFERROR(INDEX(tblDeviceConfig[Device Type],ROW()-1),"")</f>
        <v>Neuron</v>
      </c>
      <c r="C21" t="str">
        <f>IFERROR(INDEX(tblDeviceConfig[Deployed],ROW()-1),"")</f>
        <v>Yes</v>
      </c>
      <c r="D21" t="str">
        <f>IFERROR(INDEX(tblDeviceConfig[Installed],ROW()-1),"")</f>
        <v>Yes</v>
      </c>
      <c r="E21">
        <f>IFERROR(INDEX(tblDeviceConfig[Cybernet Hostname],ROW()-1),"")</f>
        <v>0</v>
      </c>
      <c r="F21" t="str">
        <f>IFERROR(INDEX(tblDeviceConfig[Neuron Hostname],ROW()-1),"")</f>
        <v>LIJ-SDF-MACH-T</v>
      </c>
      <c r="G21">
        <f>IFERROR(INDEX(tblDeviceConfig[Software List],ROW()-1),"")</f>
        <v>0</v>
      </c>
      <c r="H21">
        <f>IFERROR(INDEX(tblDeviceConfig[PI_Use_Case],ROW()-1),"")</f>
        <v>0</v>
      </c>
      <c r="I21">
        <f>IFERROR(INDEX(tblDeviceConfig[PI_Result],ROW()-1),"")</f>
        <v>0</v>
      </c>
      <c r="J21">
        <f>IFERROR(INDEX(tblDeviceConfig[PI_Validated_By],ROW()-1),"")</f>
        <v>0</v>
      </c>
      <c r="K21">
        <f>IFERROR(INDEX(tblDeviceConfig[PI_Validated_Date],ROW()-1),"")</f>
        <v>0</v>
      </c>
      <c r="L21">
        <f t="shared" si="0"/>
        <v>0</v>
      </c>
      <c r="M21" t="str">
        <f t="shared" si="1"/>
        <v/>
      </c>
    </row>
    <row r="22" spans="1:13">
      <c r="A22">
        <f>ROW()</f>
        <v>22</v>
      </c>
      <c r="B22" t="str">
        <f>IFERROR(INDEX(tblDeviceConfig[Device Type],ROW()-1),"")</f>
        <v>Neuron</v>
      </c>
      <c r="C22" t="str">
        <f>IFERROR(INDEX(tblDeviceConfig[Deployed],ROW()-1),"")</f>
        <v>Yes</v>
      </c>
      <c r="D22" t="str">
        <f>IFERROR(INDEX(tblDeviceConfig[Installed],ROW()-1),"")</f>
        <v>Yes</v>
      </c>
      <c r="E22">
        <f>IFERROR(INDEX(tblDeviceConfig[Cybernet Hostname],ROW()-1),"")</f>
        <v>0</v>
      </c>
      <c r="F22" t="str">
        <f>IFERROR(INDEX(tblDeviceConfig[Neuron Hostname],ROW()-1),"")</f>
        <v>LIJ-SDF-MACH-U</v>
      </c>
      <c r="G22">
        <f>IFERROR(INDEX(tblDeviceConfig[Software List],ROW()-1),"")</f>
        <v>0</v>
      </c>
      <c r="H22">
        <f>IFERROR(INDEX(tblDeviceConfig[PI_Use_Case],ROW()-1),"")</f>
        <v>0</v>
      </c>
      <c r="I22">
        <f>IFERROR(INDEX(tblDeviceConfig[PI_Result],ROW()-1),"")</f>
        <v>0</v>
      </c>
      <c r="J22">
        <f>IFERROR(INDEX(tblDeviceConfig[PI_Validated_By],ROW()-1),"")</f>
        <v>0</v>
      </c>
      <c r="K22">
        <f>IFERROR(INDEX(tblDeviceConfig[PI_Validated_Date],ROW()-1),"")</f>
        <v>0</v>
      </c>
      <c r="L22">
        <f t="shared" si="0"/>
        <v>0</v>
      </c>
      <c r="M22" t="str">
        <f t="shared" si="1"/>
        <v/>
      </c>
    </row>
    <row r="23" spans="1:13">
      <c r="A23">
        <f>ROW()</f>
        <v>23</v>
      </c>
      <c r="B23" t="str">
        <f>IFERROR(INDEX(tblDeviceConfig[Device Type],ROW()-1),"")</f>
        <v>Neuron</v>
      </c>
      <c r="C23" t="str">
        <f>IFERROR(INDEX(tblDeviceConfig[Deployed],ROW()-1),"")</f>
        <v>Yes</v>
      </c>
      <c r="D23" t="str">
        <f>IFERROR(INDEX(tblDeviceConfig[Installed],ROW()-1),"")</f>
        <v>Yes</v>
      </c>
      <c r="E23">
        <f>IFERROR(INDEX(tblDeviceConfig[Cybernet Hostname],ROW()-1),"")</f>
        <v>0</v>
      </c>
      <c r="F23" t="str">
        <f>IFERROR(INDEX(tblDeviceConfig[Neuron Hostname],ROW()-1),"")</f>
        <v>LIJ-SDF-MACH-V</v>
      </c>
      <c r="G23">
        <f>IFERROR(INDEX(tblDeviceConfig[Software List],ROW()-1),"")</f>
        <v>0</v>
      </c>
      <c r="H23">
        <f>IFERROR(INDEX(tblDeviceConfig[PI_Use_Case],ROW()-1),"")</f>
        <v>0</v>
      </c>
      <c r="I23">
        <f>IFERROR(INDEX(tblDeviceConfig[PI_Result],ROW()-1),"")</f>
        <v>0</v>
      </c>
      <c r="J23">
        <f>IFERROR(INDEX(tblDeviceConfig[PI_Validated_By],ROW()-1),"")</f>
        <v>0</v>
      </c>
      <c r="K23">
        <f>IFERROR(INDEX(tblDeviceConfig[PI_Validated_Date],ROW()-1),"")</f>
        <v>0</v>
      </c>
      <c r="L23">
        <f t="shared" si="0"/>
        <v>0</v>
      </c>
      <c r="M23" t="str">
        <f t="shared" si="1"/>
        <v/>
      </c>
    </row>
    <row r="24" spans="1:13">
      <c r="A24">
        <f>ROW()</f>
        <v>24</v>
      </c>
      <c r="B24" t="str">
        <f>IFERROR(INDEX(tblDeviceConfig[Device Type],ROW()-1),"")</f>
        <v>Neuron</v>
      </c>
      <c r="C24" t="str">
        <f>IFERROR(INDEX(tblDeviceConfig[Deployed],ROW()-1),"")</f>
        <v>Yes</v>
      </c>
      <c r="D24" t="str">
        <f>IFERROR(INDEX(tblDeviceConfig[Installed],ROW()-1),"")</f>
        <v>Yes</v>
      </c>
      <c r="E24">
        <f>IFERROR(INDEX(tblDeviceConfig[Cybernet Hostname],ROW()-1),"")</f>
        <v>0</v>
      </c>
      <c r="F24" t="str">
        <f>IFERROR(INDEX(tblDeviceConfig[Neuron Hostname],ROW()-1),"")</f>
        <v>LIJ-SDF-MACH-W</v>
      </c>
      <c r="G24">
        <f>IFERROR(INDEX(tblDeviceConfig[Software List],ROW()-1),"")</f>
        <v>0</v>
      </c>
      <c r="H24">
        <f>IFERROR(INDEX(tblDeviceConfig[PI_Use_Case],ROW()-1),"")</f>
        <v>0</v>
      </c>
      <c r="I24">
        <f>IFERROR(INDEX(tblDeviceConfig[PI_Result],ROW()-1),"")</f>
        <v>0</v>
      </c>
      <c r="J24">
        <f>IFERROR(INDEX(tblDeviceConfig[PI_Validated_By],ROW()-1),"")</f>
        <v>0</v>
      </c>
      <c r="K24">
        <f>IFERROR(INDEX(tblDeviceConfig[PI_Validated_Date],ROW()-1),"")</f>
        <v>0</v>
      </c>
      <c r="L24">
        <f t="shared" si="0"/>
        <v>0</v>
      </c>
      <c r="M24" t="str">
        <f t="shared" si="1"/>
        <v/>
      </c>
    </row>
    <row r="25" spans="1:13">
      <c r="A25">
        <f>ROW()</f>
        <v>25</v>
      </c>
      <c r="B25" t="str">
        <f>IFERROR(INDEX(tblDeviceConfig[Device Type],ROW()-1),"")</f>
        <v>Neuron</v>
      </c>
      <c r="C25" t="str">
        <f>IFERROR(INDEX(tblDeviceConfig[Deployed],ROW()-1),"")</f>
        <v>Yes</v>
      </c>
      <c r="D25" t="str">
        <f>IFERROR(INDEX(tblDeviceConfig[Installed],ROW()-1),"")</f>
        <v>Yes</v>
      </c>
      <c r="E25">
        <f>IFERROR(INDEX(tblDeviceConfig[Cybernet Hostname],ROW()-1),"")</f>
        <v>0</v>
      </c>
      <c r="F25" t="str">
        <f>IFERROR(INDEX(tblDeviceConfig[Neuron Hostname],ROW()-1),"")</f>
        <v>LIJ-SDF-MACH-X</v>
      </c>
      <c r="G25">
        <f>IFERROR(INDEX(tblDeviceConfig[Software List],ROW()-1),"")</f>
        <v>0</v>
      </c>
      <c r="H25">
        <f>IFERROR(INDEX(tblDeviceConfig[PI_Use_Case],ROW()-1),"")</f>
        <v>0</v>
      </c>
      <c r="I25">
        <f>IFERROR(INDEX(tblDeviceConfig[PI_Result],ROW()-1),"")</f>
        <v>0</v>
      </c>
      <c r="J25">
        <f>IFERROR(INDEX(tblDeviceConfig[PI_Validated_By],ROW()-1),"")</f>
        <v>0</v>
      </c>
      <c r="K25">
        <f>IFERROR(INDEX(tblDeviceConfig[PI_Validated_Date],ROW()-1),"")</f>
        <v>0</v>
      </c>
      <c r="L25">
        <f t="shared" si="0"/>
        <v>0</v>
      </c>
      <c r="M25" t="str">
        <f t="shared" si="1"/>
        <v/>
      </c>
    </row>
    <row r="26" spans="1:13">
      <c r="A26">
        <f>ROW()</f>
        <v>26</v>
      </c>
      <c r="B26" t="str">
        <f>IFERROR(INDEX(tblDeviceConfig[Device Type],ROW()-1),"")</f>
        <v>Neuron</v>
      </c>
      <c r="C26" t="str">
        <f>IFERROR(INDEX(tblDeviceConfig[Deployed],ROW()-1),"")</f>
        <v>Yes</v>
      </c>
      <c r="D26" t="str">
        <f>IFERROR(INDEX(tblDeviceConfig[Installed],ROW()-1),"")</f>
        <v>Yes</v>
      </c>
      <c r="E26">
        <f>IFERROR(INDEX(tblDeviceConfig[Cybernet Hostname],ROW()-1),"")</f>
        <v>0</v>
      </c>
      <c r="F26" t="str">
        <f>IFERROR(INDEX(tblDeviceConfig[Neuron Hostname],ROW()-1),"")</f>
        <v>LIJ-SDF-MACH-Y</v>
      </c>
      <c r="G26">
        <f>IFERROR(INDEX(tblDeviceConfig[Software List],ROW()-1),"")</f>
        <v>0</v>
      </c>
      <c r="H26">
        <f>IFERROR(INDEX(tblDeviceConfig[PI_Use_Case],ROW()-1),"")</f>
        <v>0</v>
      </c>
      <c r="I26">
        <f>IFERROR(INDEX(tblDeviceConfig[PI_Result],ROW()-1),"")</f>
        <v>0</v>
      </c>
      <c r="J26">
        <f>IFERROR(INDEX(tblDeviceConfig[PI_Validated_By],ROW()-1),"")</f>
        <v>0</v>
      </c>
      <c r="K26">
        <f>IFERROR(INDEX(tblDeviceConfig[PI_Validated_Date],ROW()-1),"")</f>
        <v>0</v>
      </c>
      <c r="L26">
        <f t="shared" si="0"/>
        <v>0</v>
      </c>
      <c r="M26" t="str">
        <f t="shared" si="1"/>
        <v/>
      </c>
    </row>
    <row r="27" spans="1:13">
      <c r="A27">
        <f>ROW()</f>
        <v>27</v>
      </c>
      <c r="B27" t="str">
        <f>IFERROR(INDEX(tblDeviceConfig[Device Type],ROW()-1),"")</f>
        <v>Neuron</v>
      </c>
      <c r="C27" t="str">
        <f>IFERROR(INDEX(tblDeviceConfig[Deployed],ROW()-1),"")</f>
        <v>Yes</v>
      </c>
      <c r="D27" t="str">
        <f>IFERROR(INDEX(tblDeviceConfig[Installed],ROW()-1),"")</f>
        <v>No</v>
      </c>
      <c r="E27">
        <f>IFERROR(INDEX(tblDeviceConfig[Cybernet Hostname],ROW()-1),"")</f>
        <v>0</v>
      </c>
      <c r="F27" t="str">
        <f>IFERROR(INDEX(tblDeviceConfig[Neuron Hostname],ROW()-1),"")</f>
        <v>LIJ-SDF-MACH-Z</v>
      </c>
      <c r="G27">
        <f>IFERROR(INDEX(tblDeviceConfig[Software List],ROW()-1),"")</f>
        <v>0</v>
      </c>
      <c r="H27">
        <f>IFERROR(INDEX(tblDeviceConfig[PI_Use_Case],ROW()-1),"")</f>
        <v>0</v>
      </c>
      <c r="I27">
        <f>IFERROR(INDEX(tblDeviceConfig[PI_Result],ROW()-1),"")</f>
        <v>0</v>
      </c>
      <c r="J27">
        <f>IFERROR(INDEX(tblDeviceConfig[PI_Validated_By],ROW()-1),"")</f>
        <v>0</v>
      </c>
      <c r="K27">
        <f>IFERROR(INDEX(tblDeviceConfig[PI_Validated_Date],ROW()-1),"")</f>
        <v>0</v>
      </c>
      <c r="L27">
        <f t="shared" si="0"/>
        <v>0</v>
      </c>
      <c r="M27" t="str">
        <f t="shared" si="1"/>
        <v/>
      </c>
    </row>
    <row r="28" spans="1:13">
      <c r="A28">
        <f>ROW()</f>
        <v>28</v>
      </c>
      <c r="B28" t="str">
        <f>IFERROR(INDEX(tblDeviceConfig[Device Type],ROW()-1),"")</f>
        <v>Neuron</v>
      </c>
      <c r="C28" t="str">
        <f>IFERROR(INDEX(tblDeviceConfig[Deployed],ROW()-1),"")</f>
        <v>Yes</v>
      </c>
      <c r="D28" t="str">
        <f>IFERROR(INDEX(tblDeviceConfig[Installed],ROW()-1),"")</f>
        <v>No</v>
      </c>
      <c r="E28">
        <f>IFERROR(INDEX(tblDeviceConfig[Cybernet Hostname],ROW()-1),"")</f>
        <v>0</v>
      </c>
      <c r="F28" t="str">
        <f>IFERROR(INDEX(tblDeviceConfig[Neuron Hostname],ROW()-1),"")</f>
        <v>LIJ-SDF-MACH-AA</v>
      </c>
      <c r="G28">
        <f>IFERROR(INDEX(tblDeviceConfig[Software List],ROW()-1),"")</f>
        <v>0</v>
      </c>
      <c r="H28">
        <f>IFERROR(INDEX(tblDeviceConfig[PI_Use_Case],ROW()-1),"")</f>
        <v>0</v>
      </c>
      <c r="I28">
        <f>IFERROR(INDEX(tblDeviceConfig[PI_Result],ROW()-1),"")</f>
        <v>0</v>
      </c>
      <c r="J28">
        <f>IFERROR(INDEX(tblDeviceConfig[PI_Validated_By],ROW()-1),"")</f>
        <v>0</v>
      </c>
      <c r="K28">
        <f>IFERROR(INDEX(tblDeviceConfig[PI_Validated_Date],ROW()-1),"")</f>
        <v>0</v>
      </c>
      <c r="L28">
        <f t="shared" si="0"/>
        <v>0</v>
      </c>
      <c r="M28" t="str">
        <f t="shared" si="1"/>
        <v/>
      </c>
    </row>
    <row r="29" spans="1:13">
      <c r="A29">
        <f>ROW()</f>
        <v>29</v>
      </c>
      <c r="B29" t="str">
        <f>IFERROR(INDEX(tblDeviceConfig[Device Type],ROW()-1),"")</f>
        <v>Neuron</v>
      </c>
      <c r="C29" t="str">
        <f>IFERROR(INDEX(tblDeviceConfig[Deployed],ROW()-1),"")</f>
        <v>Yes</v>
      </c>
      <c r="D29" t="str">
        <f>IFERROR(INDEX(tblDeviceConfig[Installed],ROW()-1),"")</f>
        <v>No</v>
      </c>
      <c r="E29">
        <f>IFERROR(INDEX(tblDeviceConfig[Cybernet Hostname],ROW()-1),"")</f>
        <v>0</v>
      </c>
      <c r="F29" t="str">
        <f>IFERROR(INDEX(tblDeviceConfig[Neuron Hostname],ROW()-1),"")</f>
        <v>LIJ-SDF-MACH-AB</v>
      </c>
      <c r="G29">
        <f>IFERROR(INDEX(tblDeviceConfig[Software List],ROW()-1),"")</f>
        <v>0</v>
      </c>
      <c r="H29">
        <f>IFERROR(INDEX(tblDeviceConfig[PI_Use_Case],ROW()-1),"")</f>
        <v>0</v>
      </c>
      <c r="I29">
        <f>IFERROR(INDEX(tblDeviceConfig[PI_Result],ROW()-1),"")</f>
        <v>0</v>
      </c>
      <c r="J29">
        <f>IFERROR(INDEX(tblDeviceConfig[PI_Validated_By],ROW()-1),"")</f>
        <v>0</v>
      </c>
      <c r="K29">
        <f>IFERROR(INDEX(tblDeviceConfig[PI_Validated_Date],ROW()-1),"")</f>
        <v>0</v>
      </c>
      <c r="L29">
        <f t="shared" si="0"/>
        <v>0</v>
      </c>
      <c r="M29" t="str">
        <f t="shared" si="1"/>
        <v/>
      </c>
    </row>
    <row r="30" spans="1:13">
      <c r="A30">
        <f>ROW()</f>
        <v>30</v>
      </c>
      <c r="B30" t="str">
        <f>IFERROR(INDEX(tblDeviceConfig[Device Type],ROW()-1),"")</f>
        <v>Neuron</v>
      </c>
      <c r="C30" t="str">
        <f>IFERROR(INDEX(tblDeviceConfig[Deployed],ROW()-1),"")</f>
        <v>No</v>
      </c>
      <c r="D30" t="str">
        <f>IFERROR(INDEX(tblDeviceConfig[Installed],ROW()-1),"")</f>
        <v>No</v>
      </c>
      <c r="E30">
        <f>IFERROR(INDEX(tblDeviceConfig[Cybernet Hostname],ROW()-1),"")</f>
        <v>0</v>
      </c>
      <c r="F30" t="str">
        <f>IFERROR(INDEX(tblDeviceConfig[Neuron Hostname],ROW()-1),"")</f>
        <v>LIJ-SDF-MACH-AC</v>
      </c>
      <c r="G30">
        <f>IFERROR(INDEX(tblDeviceConfig[Software List],ROW()-1),"")</f>
        <v>0</v>
      </c>
      <c r="H30">
        <f>IFERROR(INDEX(tblDeviceConfig[PI_Use_Case],ROW()-1),"")</f>
        <v>0</v>
      </c>
      <c r="I30">
        <f>IFERROR(INDEX(tblDeviceConfig[PI_Result],ROW()-1),"")</f>
        <v>0</v>
      </c>
      <c r="J30">
        <f>IFERROR(INDEX(tblDeviceConfig[PI_Validated_By],ROW()-1),"")</f>
        <v>0</v>
      </c>
      <c r="K30">
        <f>IFERROR(INDEX(tblDeviceConfig[PI_Validated_Date],ROW()-1),"")</f>
        <v>0</v>
      </c>
      <c r="L30">
        <f t="shared" si="0"/>
        <v>0</v>
      </c>
      <c r="M30" t="str">
        <f t="shared" si="1"/>
        <v/>
      </c>
    </row>
    <row r="31" spans="1:13">
      <c r="A31">
        <f>ROW()</f>
        <v>31</v>
      </c>
      <c r="B31" t="str">
        <f>IFERROR(INDEX(tblDeviceConfig[Device Type],ROW()-1),"")</f>
        <v>Neuron</v>
      </c>
      <c r="C31" t="str">
        <f>IFERROR(INDEX(tblDeviceConfig[Deployed],ROW()-1),"")</f>
        <v>No</v>
      </c>
      <c r="D31" t="str">
        <f>IFERROR(INDEX(tblDeviceConfig[Installed],ROW()-1),"")</f>
        <v>No</v>
      </c>
      <c r="E31">
        <f>IFERROR(INDEX(tblDeviceConfig[Cybernet Hostname],ROW()-1),"")</f>
        <v>0</v>
      </c>
      <c r="F31" t="str">
        <f>IFERROR(INDEX(tblDeviceConfig[Neuron Hostname],ROW()-1),"")</f>
        <v>LIJ-SDF-MACH-AD</v>
      </c>
      <c r="G31">
        <f>IFERROR(INDEX(tblDeviceConfig[Software List],ROW()-1),"")</f>
        <v>0</v>
      </c>
      <c r="H31">
        <f>IFERROR(INDEX(tblDeviceConfig[PI_Use_Case],ROW()-1),"")</f>
        <v>0</v>
      </c>
      <c r="I31">
        <f>IFERROR(INDEX(tblDeviceConfig[PI_Result],ROW()-1),"")</f>
        <v>0</v>
      </c>
      <c r="J31">
        <f>IFERROR(INDEX(tblDeviceConfig[PI_Validated_By],ROW()-1),"")</f>
        <v>0</v>
      </c>
      <c r="K31">
        <f>IFERROR(INDEX(tblDeviceConfig[PI_Validated_Date],ROW()-1),"")</f>
        <v>0</v>
      </c>
      <c r="L31">
        <f t="shared" si="0"/>
        <v>0</v>
      </c>
      <c r="M31" t="str">
        <f t="shared" si="1"/>
        <v/>
      </c>
    </row>
    <row r="32" spans="1:13">
      <c r="A32">
        <f>ROW()</f>
        <v>32</v>
      </c>
      <c r="B32" t="str">
        <f>IFERROR(INDEX(tblDeviceConfig[Device Type],ROW()-1),"")</f>
        <v>Neuron</v>
      </c>
      <c r="C32" t="str">
        <f>IFERROR(INDEX(tblDeviceConfig[Deployed],ROW()-1),"")</f>
        <v>No</v>
      </c>
      <c r="D32" t="str">
        <f>IFERROR(INDEX(tblDeviceConfig[Installed],ROW()-1),"")</f>
        <v>No</v>
      </c>
      <c r="E32">
        <f>IFERROR(INDEX(tblDeviceConfig[Cybernet Hostname],ROW()-1),"")</f>
        <v>0</v>
      </c>
      <c r="F32" t="str">
        <f>IFERROR(INDEX(tblDeviceConfig[Neuron Hostname],ROW()-1),"")</f>
        <v>LIJ-SDF-MACH-AE</v>
      </c>
      <c r="G32">
        <f>IFERROR(INDEX(tblDeviceConfig[Software List],ROW()-1),"")</f>
        <v>0</v>
      </c>
      <c r="H32">
        <f>IFERROR(INDEX(tblDeviceConfig[PI_Use_Case],ROW()-1),"")</f>
        <v>0</v>
      </c>
      <c r="I32">
        <f>IFERROR(INDEX(tblDeviceConfig[PI_Result],ROW()-1),"")</f>
        <v>0</v>
      </c>
      <c r="J32">
        <f>IFERROR(INDEX(tblDeviceConfig[PI_Validated_By],ROW()-1),"")</f>
        <v>0</v>
      </c>
      <c r="K32">
        <f>IFERROR(INDEX(tblDeviceConfig[PI_Validated_Date],ROW()-1),"")</f>
        <v>0</v>
      </c>
      <c r="L32">
        <f t="shared" si="0"/>
        <v>0</v>
      </c>
      <c r="M32" t="str">
        <f t="shared" si="1"/>
        <v/>
      </c>
    </row>
    <row r="33" spans="1:13">
      <c r="A33">
        <f>ROW()</f>
        <v>33</v>
      </c>
      <c r="B33" t="str">
        <f>IFERROR(INDEX(tblDeviceConfig[Device Type],ROW()-1),"")</f>
        <v>Neuron</v>
      </c>
      <c r="C33" t="str">
        <f>IFERROR(INDEX(tblDeviceConfig[Deployed],ROW()-1),"")</f>
        <v>No</v>
      </c>
      <c r="D33" t="str">
        <f>IFERROR(INDEX(tblDeviceConfig[Installed],ROW()-1),"")</f>
        <v>No</v>
      </c>
      <c r="E33">
        <f>IFERROR(INDEX(tblDeviceConfig[Cybernet Hostname],ROW()-1),"")</f>
        <v>0</v>
      </c>
      <c r="F33" t="str">
        <f>IFERROR(INDEX(tblDeviceConfig[Neuron Hostname],ROW()-1),"")</f>
        <v>LIJ-SDF-MACH-AF</v>
      </c>
      <c r="G33">
        <f>IFERROR(INDEX(tblDeviceConfig[Software List],ROW()-1),"")</f>
        <v>0</v>
      </c>
      <c r="H33">
        <f>IFERROR(INDEX(tblDeviceConfig[PI_Use_Case],ROW()-1),"")</f>
        <v>0</v>
      </c>
      <c r="I33">
        <f>IFERROR(INDEX(tblDeviceConfig[PI_Result],ROW()-1),"")</f>
        <v>0</v>
      </c>
      <c r="J33">
        <f>IFERROR(INDEX(tblDeviceConfig[PI_Validated_By],ROW()-1),"")</f>
        <v>0</v>
      </c>
      <c r="K33">
        <f>IFERROR(INDEX(tblDeviceConfig[PI_Validated_Date],ROW()-1),"")</f>
        <v>0</v>
      </c>
      <c r="L33">
        <f t="shared" si="0"/>
        <v>0</v>
      </c>
      <c r="M33" t="str">
        <f t="shared" si="1"/>
        <v/>
      </c>
    </row>
    <row r="34" spans="1:13">
      <c r="A34">
        <f>ROW()</f>
        <v>34</v>
      </c>
      <c r="B34" t="str">
        <f>IFERROR(INDEX(tblDeviceConfig[Device Type],ROW()-1),"")</f>
        <v>Neuron</v>
      </c>
      <c r="C34" t="str">
        <f>IFERROR(INDEX(tblDeviceConfig[Deployed],ROW()-1),"")</f>
        <v>Yes</v>
      </c>
      <c r="D34" t="str">
        <f>IFERROR(INDEX(tblDeviceConfig[Installed],ROW()-1),"")</f>
        <v>No</v>
      </c>
      <c r="E34">
        <f>IFERROR(INDEX(tblDeviceConfig[Cybernet Hostname],ROW()-1),"")</f>
        <v>0</v>
      </c>
      <c r="F34" t="str">
        <f>IFERROR(INDEX(tblDeviceConfig[Neuron Hostname],ROW()-1),"")</f>
        <v>PBMC-MACH-N</v>
      </c>
      <c r="G34">
        <f>IFERROR(INDEX(tblDeviceConfig[Software List],ROW()-1),"")</f>
        <v>0</v>
      </c>
      <c r="H34">
        <f>IFERROR(INDEX(tblDeviceConfig[PI_Use_Case],ROW()-1),"")</f>
        <v>0</v>
      </c>
      <c r="I34">
        <f>IFERROR(INDEX(tblDeviceConfig[PI_Result],ROW()-1),"")</f>
        <v>0</v>
      </c>
      <c r="J34">
        <f>IFERROR(INDEX(tblDeviceConfig[PI_Validated_By],ROW()-1),"")</f>
        <v>0</v>
      </c>
      <c r="K34">
        <f>IFERROR(INDEX(tblDeviceConfig[PI_Validated_Date],ROW()-1),"")</f>
        <v>0</v>
      </c>
      <c r="L34">
        <f t="shared" si="0"/>
        <v>0</v>
      </c>
      <c r="M34" t="str">
        <f t="shared" si="1"/>
        <v/>
      </c>
    </row>
    <row r="35" spans="1:13">
      <c r="A35">
        <f>ROW()</f>
        <v>35</v>
      </c>
      <c r="B35" t="str">
        <f>IFERROR(INDEX(tblDeviceConfig[Device Type],ROW()-1),"")</f>
        <v>Cybernet</v>
      </c>
      <c r="C35" t="str">
        <f>IFERROR(INDEX(tblDeviceConfig[Deployed],ROW()-1),"")</f>
        <v>Yes</v>
      </c>
      <c r="D35" t="str">
        <f>IFERROR(INDEX(tblDeviceConfig[Installed],ROW()-1),"")</f>
        <v>No</v>
      </c>
      <c r="E35">
        <f>IFERROR(INDEX(tblDeviceConfig[Cybernet Hostname],ROW()-1),"")</f>
        <v>0</v>
      </c>
      <c r="F35" t="str">
        <f>IFERROR(INDEX(tblDeviceConfig[Neuron Hostname],ROW()-1),"")</f>
        <v>n/a</v>
      </c>
      <c r="G35">
        <f>IFERROR(INDEX(tblDeviceConfig[Software List],ROW()-1),"")</f>
        <v>0</v>
      </c>
      <c r="H35">
        <f>IFERROR(INDEX(tblDeviceConfig[PI_Use_Case],ROW()-1),"")</f>
        <v>0</v>
      </c>
      <c r="I35">
        <f>IFERROR(INDEX(tblDeviceConfig[PI_Result],ROW()-1),"")</f>
        <v>0</v>
      </c>
      <c r="J35">
        <f>IFERROR(INDEX(tblDeviceConfig[PI_Validated_By],ROW()-1),"")</f>
        <v>0</v>
      </c>
      <c r="K35">
        <f>IFERROR(INDEX(tblDeviceConfig[PI_Validated_Date],ROW()-1),"")</f>
        <v>0</v>
      </c>
      <c r="L35">
        <f t="shared" si="0"/>
        <v>0</v>
      </c>
      <c r="M35" t="str">
        <f t="shared" si="1"/>
        <v/>
      </c>
    </row>
    <row r="36" spans="1:13">
      <c r="A36">
        <f>ROW()</f>
        <v>36</v>
      </c>
      <c r="B36" t="str">
        <f>IFERROR(INDEX(tblDeviceConfig[Device Type],ROW()-1),"")</f>
        <v>Neuron</v>
      </c>
      <c r="C36" t="str">
        <f>IFERROR(INDEX(tblDeviceConfig[Deployed],ROW()-1),"")</f>
        <v>No</v>
      </c>
      <c r="D36" t="str">
        <f>IFERROR(INDEX(tblDeviceConfig[Installed],ROW()-1),"")</f>
        <v>No</v>
      </c>
      <c r="E36">
        <f>IFERROR(INDEX(tblDeviceConfig[Cybernet Hostname],ROW()-1),"")</f>
        <v>0</v>
      </c>
      <c r="F36" t="str">
        <f>IFERROR(INDEX(tblDeviceConfig[Neuron Hostname],ROW()-1),"")</f>
        <v>MEETH-MACH-U</v>
      </c>
      <c r="G36">
        <f>IFERROR(INDEX(tblDeviceConfig[Software List],ROW()-1),"")</f>
        <v>0</v>
      </c>
      <c r="H36">
        <f>IFERROR(INDEX(tblDeviceConfig[PI_Use_Case],ROW()-1),"")</f>
        <v>0</v>
      </c>
      <c r="I36">
        <f>IFERROR(INDEX(tblDeviceConfig[PI_Result],ROW()-1),"")</f>
        <v>0</v>
      </c>
      <c r="J36">
        <f>IFERROR(INDEX(tblDeviceConfig[PI_Validated_By],ROW()-1),"")</f>
        <v>0</v>
      </c>
      <c r="K36">
        <f>IFERROR(INDEX(tblDeviceConfig[PI_Validated_Date],ROW()-1),"")</f>
        <v>0</v>
      </c>
      <c r="L36">
        <f t="shared" si="0"/>
        <v>0</v>
      </c>
      <c r="M36" t="str">
        <f t="shared" si="1"/>
        <v/>
      </c>
    </row>
    <row r="37" spans="1:13">
      <c r="A37">
        <f>ROW()</f>
        <v>37</v>
      </c>
      <c r="B37" t="str">
        <f>IFERROR(INDEX(tblDeviceConfig[Device Type],ROW()-1),"")</f>
        <v>Neuron</v>
      </c>
      <c r="C37" t="str">
        <f>IFERROR(INDEX(tblDeviceConfig[Deployed],ROW()-1),"")</f>
        <v>No</v>
      </c>
      <c r="D37" t="str">
        <f>IFERROR(INDEX(tblDeviceConfig[Installed],ROW()-1),"")</f>
        <v>No</v>
      </c>
      <c r="E37">
        <f>IFERROR(INDEX(tblDeviceConfig[Cybernet Hostname],ROW()-1),"")</f>
        <v>0</v>
      </c>
      <c r="F37" t="str">
        <f>IFERROR(INDEX(tblDeviceConfig[Neuron Hostname],ROW()-1),"")</f>
        <v>MEETH-MACH-V</v>
      </c>
      <c r="G37">
        <f>IFERROR(INDEX(tblDeviceConfig[Software List],ROW()-1),"")</f>
        <v>0</v>
      </c>
      <c r="H37">
        <f>IFERROR(INDEX(tblDeviceConfig[PI_Use_Case],ROW()-1),"")</f>
        <v>0</v>
      </c>
      <c r="I37">
        <f>IFERROR(INDEX(tblDeviceConfig[PI_Result],ROW()-1),"")</f>
        <v>0</v>
      </c>
      <c r="J37">
        <f>IFERROR(INDEX(tblDeviceConfig[PI_Validated_By],ROW()-1),"")</f>
        <v>0</v>
      </c>
      <c r="K37">
        <f>IFERROR(INDEX(tblDeviceConfig[PI_Validated_Date],ROW()-1),"")</f>
        <v>0</v>
      </c>
      <c r="L37">
        <f t="shared" si="0"/>
        <v>0</v>
      </c>
      <c r="M37" t="str">
        <f t="shared" si="1"/>
        <v/>
      </c>
    </row>
    <row r="38" spans="1:13">
      <c r="A38">
        <f>ROW()</f>
        <v>38</v>
      </c>
      <c r="B38" t="str">
        <f>IFERROR(INDEX(tblDeviceConfig[Device Type],ROW()-1),"")</f>
        <v>Neuron</v>
      </c>
      <c r="C38" t="str">
        <f>IFERROR(INDEX(tblDeviceConfig[Deployed],ROW()-1),"")</f>
        <v>No</v>
      </c>
      <c r="D38" t="str">
        <f>IFERROR(INDEX(tblDeviceConfig[Installed],ROW()-1),"")</f>
        <v>No</v>
      </c>
      <c r="E38">
        <f>IFERROR(INDEX(tblDeviceConfig[Cybernet Hostname],ROW()-1),"")</f>
        <v>0</v>
      </c>
      <c r="F38" t="str">
        <f>IFERROR(INDEX(tblDeviceConfig[Neuron Hostname],ROW()-1),"")</f>
        <v>MEETH-MACH-W</v>
      </c>
      <c r="G38">
        <f>IFERROR(INDEX(tblDeviceConfig[Software List],ROW()-1),"")</f>
        <v>0</v>
      </c>
      <c r="H38">
        <f>IFERROR(INDEX(tblDeviceConfig[PI_Use_Case],ROW()-1),"")</f>
        <v>0</v>
      </c>
      <c r="I38">
        <f>IFERROR(INDEX(tblDeviceConfig[PI_Result],ROW()-1),"")</f>
        <v>0</v>
      </c>
      <c r="J38">
        <f>IFERROR(INDEX(tblDeviceConfig[PI_Validated_By],ROW()-1),"")</f>
        <v>0</v>
      </c>
      <c r="K38">
        <f>IFERROR(INDEX(tblDeviceConfig[PI_Validated_Date],ROW()-1),"")</f>
        <v>0</v>
      </c>
      <c r="L38">
        <f t="shared" si="0"/>
        <v>0</v>
      </c>
      <c r="M38" t="str">
        <f t="shared" si="1"/>
        <v/>
      </c>
    </row>
    <row r="39" spans="1:13">
      <c r="A39">
        <f>ROW()</f>
        <v>39</v>
      </c>
      <c r="B39" t="str">
        <f>IFERROR(INDEX(tblDeviceConfig[Device Type],ROW()-1),"")</f>
        <v>Neuron</v>
      </c>
      <c r="C39" t="str">
        <f>IFERROR(INDEX(tblDeviceConfig[Deployed],ROW()-1),"")</f>
        <v>No</v>
      </c>
      <c r="D39" t="str">
        <f>IFERROR(INDEX(tblDeviceConfig[Installed],ROW()-1),"")</f>
        <v>No</v>
      </c>
      <c r="E39">
        <f>IFERROR(INDEX(tblDeviceConfig[Cybernet Hostname],ROW()-1),"")</f>
        <v>0</v>
      </c>
      <c r="F39" t="str">
        <f>IFERROR(INDEX(tblDeviceConfig[Neuron Hostname],ROW()-1),"")</f>
        <v>ZHH-MACH-A</v>
      </c>
      <c r="G39">
        <f>IFERROR(INDEX(tblDeviceConfig[Software List],ROW()-1),"")</f>
        <v>0</v>
      </c>
      <c r="H39">
        <f>IFERROR(INDEX(tblDeviceConfig[PI_Use_Case],ROW()-1),"")</f>
        <v>0</v>
      </c>
      <c r="I39">
        <f>IFERROR(INDEX(tblDeviceConfig[PI_Result],ROW()-1),"")</f>
        <v>0</v>
      </c>
      <c r="J39">
        <f>IFERROR(INDEX(tblDeviceConfig[PI_Validated_By],ROW()-1),"")</f>
        <v>0</v>
      </c>
      <c r="K39">
        <f>IFERROR(INDEX(tblDeviceConfig[PI_Validated_Date],ROW()-1),"")</f>
        <v>0</v>
      </c>
      <c r="L39">
        <f t="shared" si="0"/>
        <v>0</v>
      </c>
      <c r="M39" t="str">
        <f t="shared" si="1"/>
        <v/>
      </c>
    </row>
    <row r="40" spans="1:13">
      <c r="A40">
        <f>ROW()</f>
        <v>40</v>
      </c>
      <c r="B40" t="str">
        <f>IFERROR(INDEX(tblDeviceConfig[Device Type],ROW()-1),"")</f>
        <v>Neuron</v>
      </c>
      <c r="C40" t="str">
        <f>IFERROR(INDEX(tblDeviceConfig[Deployed],ROW()-1),"")</f>
        <v>No</v>
      </c>
      <c r="D40" t="str">
        <f>IFERROR(INDEX(tblDeviceConfig[Installed],ROW()-1),"")</f>
        <v>No</v>
      </c>
      <c r="E40">
        <f>IFERROR(INDEX(tblDeviceConfig[Cybernet Hostname],ROW()-1),"")</f>
        <v>0</v>
      </c>
      <c r="F40" t="str">
        <f>IFERROR(INDEX(tblDeviceConfig[Neuron Hostname],ROW()-1),"")</f>
        <v>ZHH-MACH-B</v>
      </c>
      <c r="G40">
        <f>IFERROR(INDEX(tblDeviceConfig[Software List],ROW()-1),"")</f>
        <v>0</v>
      </c>
      <c r="H40">
        <f>IFERROR(INDEX(tblDeviceConfig[PI_Use_Case],ROW()-1),"")</f>
        <v>0</v>
      </c>
      <c r="I40">
        <f>IFERROR(INDEX(tblDeviceConfig[PI_Result],ROW()-1),"")</f>
        <v>0</v>
      </c>
      <c r="J40">
        <f>IFERROR(INDEX(tblDeviceConfig[PI_Validated_By],ROW()-1),"")</f>
        <v>0</v>
      </c>
      <c r="K40">
        <f>IFERROR(INDEX(tblDeviceConfig[PI_Validated_Date],ROW()-1),"")</f>
        <v>0</v>
      </c>
      <c r="L40">
        <f t="shared" si="0"/>
        <v>0</v>
      </c>
      <c r="M40" t="str">
        <f t="shared" si="1"/>
        <v/>
      </c>
    </row>
    <row r="41" spans="1:13">
      <c r="A41">
        <f>ROW()</f>
        <v>41</v>
      </c>
      <c r="B41" t="str">
        <f>IFERROR(INDEX(tblDeviceConfig[Device Type],ROW()-1),"")</f>
        <v>Neuron</v>
      </c>
      <c r="C41" t="str">
        <f>IFERROR(INDEX(tblDeviceConfig[Deployed],ROW()-1),"")</f>
        <v>No</v>
      </c>
      <c r="D41" t="str">
        <f>IFERROR(INDEX(tblDeviceConfig[Installed],ROW()-1),"")</f>
        <v>No</v>
      </c>
      <c r="E41">
        <f>IFERROR(INDEX(tblDeviceConfig[Cybernet Hostname],ROW()-1),"")</f>
        <v>0</v>
      </c>
      <c r="F41" t="str">
        <f>IFERROR(INDEX(tblDeviceConfig[Neuron Hostname],ROW()-1),"")</f>
        <v>ZHH-MACH-C</v>
      </c>
      <c r="G41">
        <f>IFERROR(INDEX(tblDeviceConfig[Software List],ROW()-1),"")</f>
        <v>0</v>
      </c>
      <c r="H41">
        <f>IFERROR(INDEX(tblDeviceConfig[PI_Use_Case],ROW()-1),"")</f>
        <v>0</v>
      </c>
      <c r="I41">
        <f>IFERROR(INDEX(tblDeviceConfig[PI_Result],ROW()-1),"")</f>
        <v>0</v>
      </c>
      <c r="J41">
        <f>IFERROR(INDEX(tblDeviceConfig[PI_Validated_By],ROW()-1),"")</f>
        <v>0</v>
      </c>
      <c r="K41">
        <f>IFERROR(INDEX(tblDeviceConfig[PI_Validated_Date],ROW()-1),"")</f>
        <v>0</v>
      </c>
      <c r="L41">
        <f t="shared" si="0"/>
        <v>0</v>
      </c>
      <c r="M41" t="str">
        <f t="shared" si="1"/>
        <v/>
      </c>
    </row>
    <row r="42" spans="1:13">
      <c r="A42">
        <f>ROW()</f>
        <v>42</v>
      </c>
      <c r="B42" t="str">
        <f>IFERROR(INDEX(tblDeviceConfig[Device Type],ROW()-1),"")</f>
        <v>Neuron</v>
      </c>
      <c r="C42" t="str">
        <f>IFERROR(INDEX(tblDeviceConfig[Deployed],ROW()-1),"")</f>
        <v>No</v>
      </c>
      <c r="D42" t="str">
        <f>IFERROR(INDEX(tblDeviceConfig[Installed],ROW()-1),"")</f>
        <v>No</v>
      </c>
      <c r="E42">
        <f>IFERROR(INDEX(tblDeviceConfig[Cybernet Hostname],ROW()-1),"")</f>
        <v>0</v>
      </c>
      <c r="F42" t="str">
        <f>IFERROR(INDEX(tblDeviceConfig[Neuron Hostname],ROW()-1),"")</f>
        <v>CCMC-MACH-A</v>
      </c>
      <c r="G42">
        <f>IFERROR(INDEX(tblDeviceConfig[Software List],ROW()-1),"")</f>
        <v>0</v>
      </c>
      <c r="H42">
        <f>IFERROR(INDEX(tblDeviceConfig[PI_Use_Case],ROW()-1),"")</f>
        <v>0</v>
      </c>
      <c r="I42">
        <f>IFERROR(INDEX(tblDeviceConfig[PI_Result],ROW()-1),"")</f>
        <v>0</v>
      </c>
      <c r="J42">
        <f>IFERROR(INDEX(tblDeviceConfig[PI_Validated_By],ROW()-1),"")</f>
        <v>0</v>
      </c>
      <c r="K42">
        <f>IFERROR(INDEX(tblDeviceConfig[PI_Validated_Date],ROW()-1),"")</f>
        <v>0</v>
      </c>
      <c r="L42">
        <f t="shared" si="0"/>
        <v>0</v>
      </c>
      <c r="M42" t="str">
        <f t="shared" si="1"/>
        <v/>
      </c>
    </row>
    <row r="43" spans="1:13">
      <c r="A43">
        <f>ROW()</f>
        <v>43</v>
      </c>
      <c r="B43" t="str">
        <f>IFERROR(INDEX(tblDeviceConfig[Device Type],ROW()-1),"")</f>
        <v>Neuron</v>
      </c>
      <c r="C43" t="str">
        <f>IFERROR(INDEX(tblDeviceConfig[Deployed],ROW()-1),"")</f>
        <v>No</v>
      </c>
      <c r="D43" t="str">
        <f>IFERROR(INDEX(tblDeviceConfig[Installed],ROW()-1),"")</f>
        <v>No</v>
      </c>
      <c r="E43">
        <f>IFERROR(INDEX(tblDeviceConfig[Cybernet Hostname],ROW()-1),"")</f>
        <v>0</v>
      </c>
      <c r="F43" t="str">
        <f>IFERROR(INDEX(tblDeviceConfig[Neuron Hostname],ROW()-1),"")</f>
        <v>GCH-MACH-E</v>
      </c>
      <c r="G43">
        <f>IFERROR(INDEX(tblDeviceConfig[Software List],ROW()-1),"")</f>
        <v>0</v>
      </c>
      <c r="H43">
        <f>IFERROR(INDEX(tblDeviceConfig[PI_Use_Case],ROW()-1),"")</f>
        <v>0</v>
      </c>
      <c r="I43">
        <f>IFERROR(INDEX(tblDeviceConfig[PI_Result],ROW()-1),"")</f>
        <v>0</v>
      </c>
      <c r="J43">
        <f>IFERROR(INDEX(tblDeviceConfig[PI_Validated_By],ROW()-1),"")</f>
        <v>0</v>
      </c>
      <c r="K43">
        <f>IFERROR(INDEX(tblDeviceConfig[PI_Validated_Date],ROW()-1),"")</f>
        <v>0</v>
      </c>
      <c r="L43">
        <f t="shared" si="0"/>
        <v>0</v>
      </c>
      <c r="M43" t="str">
        <f t="shared" si="1"/>
        <v/>
      </c>
    </row>
    <row r="44" spans="1:13">
      <c r="A44">
        <f>ROW()</f>
        <v>44</v>
      </c>
      <c r="B44" t="str">
        <f>IFERROR(INDEX(tblDeviceConfig[Device Type],ROW()-1),"")</f>
        <v>Neuron</v>
      </c>
      <c r="C44" t="str">
        <f>IFERROR(INDEX(tblDeviceConfig[Deployed],ROW()-1),"")</f>
        <v>No</v>
      </c>
      <c r="D44" t="str">
        <f>IFERROR(INDEX(tblDeviceConfig[Installed],ROW()-1),"")</f>
        <v>No</v>
      </c>
      <c r="E44">
        <f>IFERROR(INDEX(tblDeviceConfig[Cybernet Hostname],ROW()-1),"")</f>
        <v>0</v>
      </c>
      <c r="F44" t="str">
        <f>IFERROR(INDEX(tblDeviceConfig[Neuron Hostname],ROW()-1),"")</f>
        <v>GCH-MACH-F</v>
      </c>
      <c r="G44">
        <f>IFERROR(INDEX(tblDeviceConfig[Software List],ROW()-1),"")</f>
        <v>0</v>
      </c>
      <c r="H44">
        <f>IFERROR(INDEX(tblDeviceConfig[PI_Use_Case],ROW()-1),"")</f>
        <v>0</v>
      </c>
      <c r="I44">
        <f>IFERROR(INDEX(tblDeviceConfig[PI_Result],ROW()-1),"")</f>
        <v>0</v>
      </c>
      <c r="J44">
        <f>IFERROR(INDEX(tblDeviceConfig[PI_Validated_By],ROW()-1),"")</f>
        <v>0</v>
      </c>
      <c r="K44">
        <f>IFERROR(INDEX(tblDeviceConfig[PI_Validated_Date],ROW()-1),"")</f>
        <v>0</v>
      </c>
      <c r="L44">
        <f t="shared" si="0"/>
        <v>0</v>
      </c>
      <c r="M44" t="str">
        <f t="shared" si="1"/>
        <v/>
      </c>
    </row>
    <row r="45" spans="1:13">
      <c r="A45">
        <f>ROW()</f>
        <v>45</v>
      </c>
      <c r="B45" t="str">
        <f>IFERROR(INDEX(tblDeviceConfig[Device Type],ROW()-1),"")</f>
        <v>Neuron</v>
      </c>
      <c r="C45" t="str">
        <f>IFERROR(INDEX(tblDeviceConfig[Deployed],ROW()-1),"")</f>
        <v>No</v>
      </c>
      <c r="D45" t="str">
        <f>IFERROR(INDEX(tblDeviceConfig[Installed],ROW()-1),"")</f>
        <v>No</v>
      </c>
      <c r="E45">
        <f>IFERROR(INDEX(tblDeviceConfig[Cybernet Hostname],ROW()-1),"")</f>
        <v>0</v>
      </c>
      <c r="F45" t="str">
        <f>IFERROR(INDEX(tblDeviceConfig[Neuron Hostname],ROW()-1),"")</f>
        <v>GCH-MACH-G</v>
      </c>
      <c r="G45">
        <f>IFERROR(INDEX(tblDeviceConfig[Software List],ROW()-1),"")</f>
        <v>0</v>
      </c>
      <c r="H45">
        <f>IFERROR(INDEX(tblDeviceConfig[PI_Use_Case],ROW()-1),"")</f>
        <v>0</v>
      </c>
      <c r="I45">
        <f>IFERROR(INDEX(tblDeviceConfig[PI_Result],ROW()-1),"")</f>
        <v>0</v>
      </c>
      <c r="J45">
        <f>IFERROR(INDEX(tblDeviceConfig[PI_Validated_By],ROW()-1),"")</f>
        <v>0</v>
      </c>
      <c r="K45">
        <f>IFERROR(INDEX(tblDeviceConfig[PI_Validated_Date],ROW()-1),"")</f>
        <v>0</v>
      </c>
      <c r="L45">
        <f t="shared" si="0"/>
        <v>0</v>
      </c>
      <c r="M45" t="str">
        <f t="shared" si="1"/>
        <v/>
      </c>
    </row>
    <row r="46" spans="1:13">
      <c r="A46">
        <f>ROW()</f>
        <v>46</v>
      </c>
      <c r="B46" t="str">
        <f>IFERROR(INDEX(tblDeviceConfig[Device Type],ROW()-1),"")</f>
        <v>Neuron</v>
      </c>
      <c r="C46" t="str">
        <f>IFERROR(INDEX(tblDeviceConfig[Deployed],ROW()-1),"")</f>
        <v>No</v>
      </c>
      <c r="D46" t="str">
        <f>IFERROR(INDEX(tblDeviceConfig[Installed],ROW()-1),"")</f>
        <v>No</v>
      </c>
      <c r="E46">
        <f>IFERROR(INDEX(tblDeviceConfig[Cybernet Hostname],ROW()-1),"")</f>
        <v>0</v>
      </c>
      <c r="F46" t="str">
        <f>IFERROR(INDEX(tblDeviceConfig[Neuron Hostname],ROW()-1),"")</f>
        <v>GCH-MACH-H</v>
      </c>
      <c r="G46">
        <f>IFERROR(INDEX(tblDeviceConfig[Software List],ROW()-1),"")</f>
        <v>0</v>
      </c>
      <c r="H46">
        <f>IFERROR(INDEX(tblDeviceConfig[PI_Use_Case],ROW()-1),"")</f>
        <v>0</v>
      </c>
      <c r="I46">
        <f>IFERROR(INDEX(tblDeviceConfig[PI_Result],ROW()-1),"")</f>
        <v>0</v>
      </c>
      <c r="J46">
        <f>IFERROR(INDEX(tblDeviceConfig[PI_Validated_By],ROW()-1),"")</f>
        <v>0</v>
      </c>
      <c r="K46">
        <f>IFERROR(INDEX(tblDeviceConfig[PI_Validated_Date],ROW()-1),"")</f>
        <v>0</v>
      </c>
      <c r="L46">
        <f t="shared" si="0"/>
        <v>0</v>
      </c>
      <c r="M46" t="str">
        <f t="shared" si="1"/>
        <v/>
      </c>
    </row>
    <row r="47" spans="1:13">
      <c r="A47">
        <f>ROW()</f>
        <v>47</v>
      </c>
      <c r="B47" t="str">
        <f>IFERROR(INDEX(tblDeviceConfig[Device Type],ROW()-1),"")</f>
        <v>Neuron</v>
      </c>
      <c r="C47" t="str">
        <f>IFERROR(INDEX(tblDeviceConfig[Deployed],ROW()-1),"")</f>
        <v>No</v>
      </c>
      <c r="D47" t="str">
        <f>IFERROR(INDEX(tblDeviceConfig[Installed],ROW()-1),"")</f>
        <v>No</v>
      </c>
      <c r="E47">
        <f>IFERROR(INDEX(tblDeviceConfig[Cybernet Hostname],ROW()-1),"")</f>
        <v>0</v>
      </c>
      <c r="F47" t="str">
        <f>IFERROR(INDEX(tblDeviceConfig[Neuron Hostname],ROW()-1),"")</f>
        <v>GCH-MACH-I</v>
      </c>
      <c r="G47">
        <f>IFERROR(INDEX(tblDeviceConfig[Software List],ROW()-1),"")</f>
        <v>0</v>
      </c>
      <c r="H47">
        <f>IFERROR(INDEX(tblDeviceConfig[PI_Use_Case],ROW()-1),"")</f>
        <v>0</v>
      </c>
      <c r="I47">
        <f>IFERROR(INDEX(tblDeviceConfig[PI_Result],ROW()-1),"")</f>
        <v>0</v>
      </c>
      <c r="J47">
        <f>IFERROR(INDEX(tblDeviceConfig[PI_Validated_By],ROW()-1),"")</f>
        <v>0</v>
      </c>
      <c r="K47">
        <f>IFERROR(INDEX(tblDeviceConfig[PI_Validated_Date],ROW()-1),"")</f>
        <v>0</v>
      </c>
      <c r="L47">
        <f t="shared" si="0"/>
        <v>0</v>
      </c>
      <c r="M47" t="str">
        <f t="shared" si="1"/>
        <v/>
      </c>
    </row>
    <row r="48" spans="1:13">
      <c r="A48">
        <f>ROW()</f>
        <v>48</v>
      </c>
      <c r="B48" t="str">
        <f>IFERROR(INDEX(tblDeviceConfig[Device Type],ROW()-1),"")</f>
        <v>Neuron</v>
      </c>
      <c r="C48" t="str">
        <f>IFERROR(INDEX(tblDeviceConfig[Deployed],ROW()-1),"")</f>
        <v>No</v>
      </c>
      <c r="D48" t="str">
        <f>IFERROR(INDEX(tblDeviceConfig[Installed],ROW()-1),"")</f>
        <v>No</v>
      </c>
      <c r="E48">
        <f>IFERROR(INDEX(tblDeviceConfig[Cybernet Hostname],ROW()-1),"")</f>
        <v>0</v>
      </c>
      <c r="F48" t="str">
        <f>IFERROR(INDEX(tblDeviceConfig[Neuron Hostname],ROW()-1),"")</f>
        <v>GCH-MACH-J</v>
      </c>
      <c r="G48">
        <f>IFERROR(INDEX(tblDeviceConfig[Software List],ROW()-1),"")</f>
        <v>0</v>
      </c>
      <c r="H48">
        <f>IFERROR(INDEX(tblDeviceConfig[PI_Use_Case],ROW()-1),"")</f>
        <v>0</v>
      </c>
      <c r="I48">
        <f>IFERROR(INDEX(tblDeviceConfig[PI_Result],ROW()-1),"")</f>
        <v>0</v>
      </c>
      <c r="J48">
        <f>IFERROR(INDEX(tblDeviceConfig[PI_Validated_By],ROW()-1),"")</f>
        <v>0</v>
      </c>
      <c r="K48">
        <f>IFERROR(INDEX(tblDeviceConfig[PI_Validated_Date],ROW()-1),"")</f>
        <v>0</v>
      </c>
      <c r="L48">
        <f t="shared" si="0"/>
        <v>0</v>
      </c>
      <c r="M48" t="str">
        <f t="shared" si="1"/>
        <v/>
      </c>
    </row>
    <row r="49" spans="1:13">
      <c r="A49">
        <f>ROW()</f>
        <v>49</v>
      </c>
      <c r="B49" t="str">
        <f>IFERROR(INDEX(tblDeviceConfig[Device Type],ROW()-1),"")</f>
        <v>Neuron</v>
      </c>
      <c r="C49" t="str">
        <f>IFERROR(INDEX(tblDeviceConfig[Deployed],ROW()-1),"")</f>
        <v>No</v>
      </c>
      <c r="D49" t="str">
        <f>IFERROR(INDEX(tblDeviceConfig[Installed],ROW()-1),"")</f>
        <v>No</v>
      </c>
      <c r="E49">
        <f>IFERROR(INDEX(tblDeviceConfig[Cybernet Hostname],ROW()-1),"")</f>
        <v>0</v>
      </c>
      <c r="F49" t="str">
        <f>IFERROR(INDEX(tblDeviceConfig[Neuron Hostname],ROW()-1),"")</f>
        <v>GCH-MACH-K</v>
      </c>
      <c r="G49">
        <f>IFERROR(INDEX(tblDeviceConfig[Software List],ROW()-1),"")</f>
        <v>0</v>
      </c>
      <c r="H49">
        <f>IFERROR(INDEX(tblDeviceConfig[PI_Use_Case],ROW()-1),"")</f>
        <v>0</v>
      </c>
      <c r="I49">
        <f>IFERROR(INDEX(tblDeviceConfig[PI_Result],ROW()-1),"")</f>
        <v>0</v>
      </c>
      <c r="J49">
        <f>IFERROR(INDEX(tblDeviceConfig[PI_Validated_By],ROW()-1),"")</f>
        <v>0</v>
      </c>
      <c r="K49">
        <f>IFERROR(INDEX(tblDeviceConfig[PI_Validated_Date],ROW()-1),"")</f>
        <v>0</v>
      </c>
      <c r="L49">
        <f t="shared" si="0"/>
        <v>0</v>
      </c>
      <c r="M49" t="str">
        <f t="shared" si="1"/>
        <v/>
      </c>
    </row>
    <row r="50" spans="1:13">
      <c r="A50">
        <f>ROW()</f>
        <v>50</v>
      </c>
      <c r="B50" t="str">
        <f>IFERROR(INDEX(tblDeviceConfig[Device Type],ROW()-1),"")</f>
        <v>Cybernet</v>
      </c>
      <c r="C50" t="str">
        <f>IFERROR(INDEX(tblDeviceConfig[Deployed],ROW()-1),"")</f>
        <v>No</v>
      </c>
      <c r="D50" t="str">
        <f>IFERROR(INDEX(tblDeviceConfig[Installed],ROW()-1),"")</f>
        <v>No</v>
      </c>
      <c r="E50">
        <f>IFERROR(INDEX(tblDeviceConfig[Cybernet Hostname],ROW()-1),"")</f>
        <v>0</v>
      </c>
      <c r="F50" t="str">
        <f>IFERROR(INDEX(tblDeviceConfig[Neuron Hostname],ROW()-1),"")</f>
        <v>WNH270INR001</v>
      </c>
      <c r="G50">
        <f>IFERROR(INDEX(tblDeviceConfig[Software List],ROW()-1),"")</f>
        <v>0</v>
      </c>
      <c r="H50">
        <f>IFERROR(INDEX(tblDeviceConfig[PI_Use_Case],ROW()-1),"")</f>
        <v>0</v>
      </c>
      <c r="I50">
        <f>IFERROR(INDEX(tblDeviceConfig[PI_Result],ROW()-1),"")</f>
        <v>0</v>
      </c>
      <c r="J50">
        <f>IFERROR(INDEX(tblDeviceConfig[PI_Validated_By],ROW()-1),"")</f>
        <v>0</v>
      </c>
      <c r="K50">
        <f>IFERROR(INDEX(tblDeviceConfig[PI_Validated_Date],ROW()-1),"")</f>
        <v>0</v>
      </c>
      <c r="L50">
        <f t="shared" si="0"/>
        <v>0</v>
      </c>
      <c r="M50" t="str">
        <f t="shared" si="1"/>
        <v/>
      </c>
    </row>
    <row r="51" spans="1:13">
      <c r="A51">
        <f>ROW()</f>
        <v>51</v>
      </c>
      <c r="B51" t="str">
        <f>IFERROR(INDEX(tblDeviceConfig[Device Type],ROW()-1),"")</f>
        <v>Cybernet</v>
      </c>
      <c r="C51" t="str">
        <f>IFERROR(INDEX(tblDeviceConfig[Deployed],ROW()-1),"")</f>
        <v>No</v>
      </c>
      <c r="D51" t="str">
        <f>IFERROR(INDEX(tblDeviceConfig[Installed],ROW()-1),"")</f>
        <v>No</v>
      </c>
      <c r="E51">
        <f>IFERROR(INDEX(tblDeviceConfig[Cybernet Hostname],ROW()-1),"")</f>
        <v>0</v>
      </c>
      <c r="F51" t="str">
        <f>IFERROR(INDEX(tblDeviceConfig[Neuron Hostname],ROW()-1),"")</f>
        <v>WNH270INR002</v>
      </c>
      <c r="G51">
        <f>IFERROR(INDEX(tblDeviceConfig[Software List],ROW()-1),"")</f>
        <v>0</v>
      </c>
      <c r="H51">
        <f>IFERROR(INDEX(tblDeviceConfig[PI_Use_Case],ROW()-1),"")</f>
        <v>0</v>
      </c>
      <c r="I51">
        <f>IFERROR(INDEX(tblDeviceConfig[PI_Result],ROW()-1),"")</f>
        <v>0</v>
      </c>
      <c r="J51">
        <f>IFERROR(INDEX(tblDeviceConfig[PI_Validated_By],ROW()-1),"")</f>
        <v>0</v>
      </c>
      <c r="K51">
        <f>IFERROR(INDEX(tblDeviceConfig[PI_Validated_Date],ROW()-1),"")</f>
        <v>0</v>
      </c>
      <c r="L51">
        <f t="shared" si="0"/>
        <v>0</v>
      </c>
      <c r="M51" t="str">
        <f t="shared" si="1"/>
        <v/>
      </c>
    </row>
    <row r="52" spans="1:13">
      <c r="A52">
        <f>ROW()</f>
        <v>52</v>
      </c>
      <c r="B52" t="str">
        <f>IFERROR(INDEX(tblDeviceConfig[Device Type],ROW()-1),"")</f>
        <v>Cybernet</v>
      </c>
      <c r="C52" t="str">
        <f>IFERROR(INDEX(tblDeviceConfig[Deployed],ROW()-1),"")</f>
        <v>No</v>
      </c>
      <c r="D52" t="str">
        <f>IFERROR(INDEX(tblDeviceConfig[Installed],ROW()-1),"")</f>
        <v>No</v>
      </c>
      <c r="E52">
        <f>IFERROR(INDEX(tblDeviceConfig[Cybernet Hostname],ROW()-1),"")</f>
        <v>0</v>
      </c>
      <c r="F52" t="str">
        <f>IFERROR(INDEX(tblDeviceConfig[Neuron Hostname],ROW()-1),"")</f>
        <v>WNY210OPR053</v>
      </c>
      <c r="G52">
        <f>IFERROR(INDEX(tblDeviceConfig[Software List],ROW()-1),"")</f>
        <v>0</v>
      </c>
      <c r="H52">
        <f>IFERROR(INDEX(tblDeviceConfig[PI_Use_Case],ROW()-1),"")</f>
        <v>0</v>
      </c>
      <c r="I52">
        <f>IFERROR(INDEX(tblDeviceConfig[PI_Result],ROW()-1),"")</f>
        <v>0</v>
      </c>
      <c r="J52">
        <f>IFERROR(INDEX(tblDeviceConfig[PI_Validated_By],ROW()-1),"")</f>
        <v>0</v>
      </c>
      <c r="K52">
        <f>IFERROR(INDEX(tblDeviceConfig[PI_Validated_Date],ROW()-1),"")</f>
        <v>0</v>
      </c>
      <c r="L52">
        <f t="shared" si="0"/>
        <v>0</v>
      </c>
      <c r="M52" t="str">
        <f t="shared" si="1"/>
        <v/>
      </c>
    </row>
    <row r="53" spans="1:13">
      <c r="A53">
        <f>ROW()</f>
        <v>53</v>
      </c>
      <c r="B53" t="str">
        <f>IFERROR(INDEX(tblDeviceConfig[Device Type],ROW()-1),"")</f>
        <v>Cybernet</v>
      </c>
      <c r="C53" t="str">
        <f>IFERROR(INDEX(tblDeviceConfig[Deployed],ROW()-1),"")</f>
        <v>No</v>
      </c>
      <c r="D53" t="str">
        <f>IFERROR(INDEX(tblDeviceConfig[Installed],ROW()-1),"")</f>
        <v>No</v>
      </c>
      <c r="E53">
        <f>IFERROR(INDEX(tblDeviceConfig[Cybernet Hostname],ROW()-1),"")</f>
        <v>0</v>
      </c>
      <c r="F53" t="str">
        <f>IFERROR(INDEX(tblDeviceConfig[Neuron Hostname],ROW()-1),"")</f>
        <v>WNY210OPR054</v>
      </c>
      <c r="G53">
        <f>IFERROR(INDEX(tblDeviceConfig[Software List],ROW()-1),"")</f>
        <v>0</v>
      </c>
      <c r="H53">
        <f>IFERROR(INDEX(tblDeviceConfig[PI_Use_Case],ROW()-1),"")</f>
        <v>0</v>
      </c>
      <c r="I53">
        <f>IFERROR(INDEX(tblDeviceConfig[PI_Result],ROW()-1),"")</f>
        <v>0</v>
      </c>
      <c r="J53">
        <f>IFERROR(INDEX(tblDeviceConfig[PI_Validated_By],ROW()-1),"")</f>
        <v>0</v>
      </c>
      <c r="K53">
        <f>IFERROR(INDEX(tblDeviceConfig[PI_Validated_Date],ROW()-1),"")</f>
        <v>0</v>
      </c>
      <c r="L53">
        <f t="shared" si="0"/>
        <v>0</v>
      </c>
      <c r="M53" t="str">
        <f t="shared" si="1"/>
        <v/>
      </c>
    </row>
    <row r="54" spans="1:13">
      <c r="A54">
        <f>ROW()</f>
        <v>54</v>
      </c>
      <c r="B54" t="str">
        <f>IFERROR(INDEX(tblDeviceConfig[Device Type],ROW()-1),"")</f>
        <v>Cybernet</v>
      </c>
      <c r="C54" t="str">
        <f>IFERROR(INDEX(tblDeviceConfig[Deployed],ROW()-1),"")</f>
        <v>No</v>
      </c>
      <c r="D54" t="str">
        <f>IFERROR(INDEX(tblDeviceConfig[Installed],ROW()-1),"")</f>
        <v>No</v>
      </c>
      <c r="E54">
        <f>IFERROR(INDEX(tblDeviceConfig[Cybernet Hostname],ROW()-1),"")</f>
        <v>0</v>
      </c>
      <c r="F54" t="str">
        <f>IFERROR(INDEX(tblDeviceConfig[Neuron Hostname],ROW()-1),"")</f>
        <v>WMH300OPR336</v>
      </c>
      <c r="G54">
        <f>IFERROR(INDEX(tblDeviceConfig[Software List],ROW()-1),"")</f>
        <v>0</v>
      </c>
      <c r="H54">
        <f>IFERROR(INDEX(tblDeviceConfig[PI_Use_Case],ROW()-1),"")</f>
        <v>0</v>
      </c>
      <c r="I54">
        <f>IFERROR(INDEX(tblDeviceConfig[PI_Result],ROW()-1),"")</f>
        <v>0</v>
      </c>
      <c r="J54">
        <f>IFERROR(INDEX(tblDeviceConfig[PI_Validated_By],ROW()-1),"")</f>
        <v>0</v>
      </c>
      <c r="K54">
        <f>IFERROR(INDEX(tblDeviceConfig[PI_Validated_Date],ROW()-1),"")</f>
        <v>0</v>
      </c>
      <c r="L54">
        <f t="shared" si="0"/>
        <v>0</v>
      </c>
      <c r="M54" t="str">
        <f t="shared" si="1"/>
        <v/>
      </c>
    </row>
    <row r="55" spans="1:13">
      <c r="A55">
        <f>ROW()</f>
        <v>55</v>
      </c>
      <c r="B55" t="str">
        <f>IFERROR(INDEX(tblDeviceConfig[Device Type],ROW()-1),"")</f>
        <v>Cybernet</v>
      </c>
      <c r="C55" t="str">
        <f>IFERROR(INDEX(tblDeviceConfig[Deployed],ROW()-1),"")</f>
        <v>No</v>
      </c>
      <c r="D55" t="str">
        <f>IFERROR(INDEX(tblDeviceConfig[Installed],ROW()-1),"")</f>
        <v>No</v>
      </c>
      <c r="E55">
        <f>IFERROR(INDEX(tblDeviceConfig[Cybernet Hostname],ROW()-1),"")</f>
        <v>0</v>
      </c>
      <c r="F55" t="str">
        <f>IFERROR(INDEX(tblDeviceConfig[Neuron Hostname],ROW()-1),"")</f>
        <v>WMH300OPR337</v>
      </c>
      <c r="G55">
        <f>IFERROR(INDEX(tblDeviceConfig[Software List],ROW()-1),"")</f>
        <v>0</v>
      </c>
      <c r="H55">
        <f>IFERROR(INDEX(tblDeviceConfig[PI_Use_Case],ROW()-1),"")</f>
        <v>0</v>
      </c>
      <c r="I55">
        <f>IFERROR(INDEX(tblDeviceConfig[PI_Result],ROW()-1),"")</f>
        <v>0</v>
      </c>
      <c r="J55">
        <f>IFERROR(INDEX(tblDeviceConfig[PI_Validated_By],ROW()-1),"")</f>
        <v>0</v>
      </c>
      <c r="K55">
        <f>IFERROR(INDEX(tblDeviceConfig[PI_Validated_Date],ROW()-1),"")</f>
        <v>0</v>
      </c>
      <c r="L55">
        <f t="shared" si="0"/>
        <v>0</v>
      </c>
      <c r="M55" t="str">
        <f t="shared" si="1"/>
        <v/>
      </c>
    </row>
    <row r="56" spans="1:13">
      <c r="A56">
        <f>ROW()</f>
        <v>56</v>
      </c>
      <c r="B56" t="str">
        <f>IFERROR(INDEX(tblDeviceConfig[Device Type],ROW()-1),"")</f>
        <v>Cybernet</v>
      </c>
      <c r="C56" t="str">
        <f>IFERROR(INDEX(tblDeviceConfig[Deployed],ROW()-1),"")</f>
        <v>No</v>
      </c>
      <c r="D56" t="str">
        <f>IFERROR(INDEX(tblDeviceConfig[Installed],ROW()-1),"")</f>
        <v>No</v>
      </c>
      <c r="E56">
        <f>IFERROR(INDEX(tblDeviceConfig[Cybernet Hostname],ROW()-1),"")</f>
        <v>0</v>
      </c>
      <c r="F56" t="str">
        <f>IFERROR(INDEX(tblDeviceConfig[Neuron Hostname],ROW()-1),"")</f>
        <v>WMH300OPR338</v>
      </c>
      <c r="G56">
        <f>IFERROR(INDEX(tblDeviceConfig[Software List],ROW()-1),"")</f>
        <v>0</v>
      </c>
      <c r="H56">
        <f>IFERROR(INDEX(tblDeviceConfig[PI_Use_Case],ROW()-1),"")</f>
        <v>0</v>
      </c>
      <c r="I56">
        <f>IFERROR(INDEX(tblDeviceConfig[PI_Result],ROW()-1),"")</f>
        <v>0</v>
      </c>
      <c r="J56">
        <f>IFERROR(INDEX(tblDeviceConfig[PI_Validated_By],ROW()-1),"")</f>
        <v>0</v>
      </c>
      <c r="K56">
        <f>IFERROR(INDEX(tblDeviceConfig[PI_Validated_Date],ROW()-1),"")</f>
        <v>0</v>
      </c>
      <c r="L56">
        <f t="shared" si="0"/>
        <v>0</v>
      </c>
      <c r="M56" t="str">
        <f t="shared" si="1"/>
        <v/>
      </c>
    </row>
    <row r="57" spans="1:13">
      <c r="A57">
        <f>ROW()</f>
        <v>57</v>
      </c>
      <c r="B57" t="str">
        <f>IFERROR(INDEX(tblDeviceConfig[Device Type],ROW()-1),"")</f>
        <v>Cybernet</v>
      </c>
      <c r="C57" t="str">
        <f>IFERROR(INDEX(tblDeviceConfig[Deployed],ROW()-1),"")</f>
        <v>No</v>
      </c>
      <c r="D57" t="str">
        <f>IFERROR(INDEX(tblDeviceConfig[Installed],ROW()-1),"")</f>
        <v>No</v>
      </c>
      <c r="E57">
        <f>IFERROR(INDEX(tblDeviceConfig[Cybernet Hostname],ROW()-1),"")</f>
        <v>0</v>
      </c>
      <c r="F57" t="str">
        <f>IFERROR(INDEX(tblDeviceConfig[Neuron Hostname],ROW()-1),"")</f>
        <v>WMH300OPR339</v>
      </c>
      <c r="G57">
        <f>IFERROR(INDEX(tblDeviceConfig[Software List],ROW()-1),"")</f>
        <v>0</v>
      </c>
      <c r="H57">
        <f>IFERROR(INDEX(tblDeviceConfig[PI_Use_Case],ROW()-1),"")</f>
        <v>0</v>
      </c>
      <c r="I57">
        <f>IFERROR(INDEX(tblDeviceConfig[PI_Result],ROW()-1),"")</f>
        <v>0</v>
      </c>
      <c r="J57">
        <f>IFERROR(INDEX(tblDeviceConfig[PI_Validated_By],ROW()-1),"")</f>
        <v>0</v>
      </c>
      <c r="K57">
        <f>IFERROR(INDEX(tblDeviceConfig[PI_Validated_Date],ROW()-1),"")</f>
        <v>0</v>
      </c>
      <c r="L57">
        <f t="shared" si="0"/>
        <v>0</v>
      </c>
      <c r="M57" t="str">
        <f t="shared" si="1"/>
        <v/>
      </c>
    </row>
    <row r="58" spans="1:13">
      <c r="A58">
        <f>ROW()</f>
        <v>58</v>
      </c>
      <c r="B58" t="str">
        <f>IFERROR(INDEX(tblDeviceConfig[Device Type],ROW()-1),"")</f>
        <v>Cybernet</v>
      </c>
      <c r="C58" t="str">
        <f>IFERROR(INDEX(tblDeviceConfig[Deployed],ROW()-1),"")</f>
        <v>No</v>
      </c>
      <c r="D58" t="str">
        <f>IFERROR(INDEX(tblDeviceConfig[Installed],ROW()-1),"")</f>
        <v>No</v>
      </c>
      <c r="E58">
        <f>IFERROR(INDEX(tblDeviceConfig[Cybernet Hostname],ROW()-1),"")</f>
        <v>0</v>
      </c>
      <c r="F58" t="str">
        <f>IFERROR(INDEX(tblDeviceConfig[Neuron Hostname],ROW()-1),"")</f>
        <v>WMH300OPR340</v>
      </c>
      <c r="G58">
        <f>IFERROR(INDEX(tblDeviceConfig[Software List],ROW()-1),"")</f>
        <v>0</v>
      </c>
      <c r="H58">
        <f>IFERROR(INDEX(tblDeviceConfig[PI_Use_Case],ROW()-1),"")</f>
        <v>0</v>
      </c>
      <c r="I58">
        <f>IFERROR(INDEX(tblDeviceConfig[PI_Result],ROW()-1),"")</f>
        <v>0</v>
      </c>
      <c r="J58">
        <f>IFERROR(INDEX(tblDeviceConfig[PI_Validated_By],ROW()-1),"")</f>
        <v>0</v>
      </c>
      <c r="K58">
        <f>IFERROR(INDEX(tblDeviceConfig[PI_Validated_Date],ROW()-1),"")</f>
        <v>0</v>
      </c>
      <c r="L58">
        <f t="shared" si="0"/>
        <v>0</v>
      </c>
      <c r="M58" t="str">
        <f t="shared" si="1"/>
        <v/>
      </c>
    </row>
    <row r="59" spans="1:13">
      <c r="A59">
        <f>ROW()</f>
        <v>59</v>
      </c>
      <c r="B59" t="str">
        <f>IFERROR(INDEX(tblDeviceConfig[Device Type],ROW()-1),"")</f>
        <v>Cybernet</v>
      </c>
      <c r="C59" t="str">
        <f>IFERROR(INDEX(tblDeviceConfig[Deployed],ROW()-1),"")</f>
        <v>No</v>
      </c>
      <c r="D59" t="str">
        <f>IFERROR(INDEX(tblDeviceConfig[Installed],ROW()-1),"")</f>
        <v>No</v>
      </c>
      <c r="E59">
        <f>IFERROR(INDEX(tblDeviceConfig[Cybernet Hostname],ROW()-1),"")</f>
        <v>0</v>
      </c>
      <c r="F59" t="str">
        <f>IFERROR(INDEX(tblDeviceConfig[Neuron Hostname],ROW()-1),"")</f>
        <v>WMH300OPR341</v>
      </c>
      <c r="G59">
        <f>IFERROR(INDEX(tblDeviceConfig[Software List],ROW()-1),"")</f>
        <v>0</v>
      </c>
      <c r="H59">
        <f>IFERROR(INDEX(tblDeviceConfig[PI_Use_Case],ROW()-1),"")</f>
        <v>0</v>
      </c>
      <c r="I59">
        <f>IFERROR(INDEX(tblDeviceConfig[PI_Result],ROW()-1),"")</f>
        <v>0</v>
      </c>
      <c r="J59">
        <f>IFERROR(INDEX(tblDeviceConfig[PI_Validated_By],ROW()-1),"")</f>
        <v>0</v>
      </c>
      <c r="K59">
        <f>IFERROR(INDEX(tblDeviceConfig[PI_Validated_Date],ROW()-1),"")</f>
        <v>0</v>
      </c>
      <c r="L59">
        <f t="shared" si="0"/>
        <v>0</v>
      </c>
      <c r="M59" t="str">
        <f t="shared" si="1"/>
        <v/>
      </c>
    </row>
    <row r="60" spans="1:13">
      <c r="A60">
        <f>ROW()</f>
        <v>60</v>
      </c>
      <c r="B60" t="str">
        <f>IFERROR(INDEX(tblDeviceConfig[Device Type],ROW()-1),"")</f>
        <v>Cybernet</v>
      </c>
      <c r="C60" t="str">
        <f>IFERROR(INDEX(tblDeviceConfig[Deployed],ROW()-1),"")</f>
        <v>No</v>
      </c>
      <c r="D60" t="str">
        <f>IFERROR(INDEX(tblDeviceConfig[Installed],ROW()-1),"")</f>
        <v>No</v>
      </c>
      <c r="E60">
        <f>IFERROR(INDEX(tblDeviceConfig[Cybernet Hostname],ROW()-1),"")</f>
        <v>0</v>
      </c>
      <c r="F60" t="str">
        <f>IFERROR(INDEX(tblDeviceConfig[Neuron Hostname],ROW()-1),"")</f>
        <v>WMH300OPR342</v>
      </c>
      <c r="G60">
        <f>IFERROR(INDEX(tblDeviceConfig[Software List],ROW()-1),"")</f>
        <v>0</v>
      </c>
      <c r="H60">
        <f>IFERROR(INDEX(tblDeviceConfig[PI_Use_Case],ROW()-1),"")</f>
        <v>0</v>
      </c>
      <c r="I60">
        <f>IFERROR(INDEX(tblDeviceConfig[PI_Result],ROW()-1),"")</f>
        <v>0</v>
      </c>
      <c r="J60">
        <f>IFERROR(INDEX(tblDeviceConfig[PI_Validated_By],ROW()-1),"")</f>
        <v>0</v>
      </c>
      <c r="K60">
        <f>IFERROR(INDEX(tblDeviceConfig[PI_Validated_Date],ROW()-1),"")</f>
        <v>0</v>
      </c>
      <c r="L60">
        <f t="shared" si="0"/>
        <v>0</v>
      </c>
      <c r="M60" t="str">
        <f t="shared" si="1"/>
        <v/>
      </c>
    </row>
    <row r="61" spans="1:13">
      <c r="A61">
        <f>ROW()</f>
        <v>61</v>
      </c>
      <c r="B61" t="str">
        <f>IFERROR(INDEX(tblDeviceConfig[Device Type],ROW()-1),"")</f>
        <v>Cybernet</v>
      </c>
      <c r="C61" t="str">
        <f>IFERROR(INDEX(tblDeviceConfig[Deployed],ROW()-1),"")</f>
        <v>No</v>
      </c>
      <c r="D61" t="str">
        <f>IFERROR(INDEX(tblDeviceConfig[Installed],ROW()-1),"")</f>
        <v>No</v>
      </c>
      <c r="E61">
        <f>IFERROR(INDEX(tblDeviceConfig[Cybernet Hostname],ROW()-1),"")</f>
        <v>0</v>
      </c>
      <c r="F61" t="str">
        <f>IFERROR(INDEX(tblDeviceConfig[Neuron Hostname],ROW()-1),"")</f>
        <v>WMH300OPR343</v>
      </c>
      <c r="G61">
        <f>IFERROR(INDEX(tblDeviceConfig[Software List],ROW()-1),"")</f>
        <v>0</v>
      </c>
      <c r="H61">
        <f>IFERROR(INDEX(tblDeviceConfig[PI_Use_Case],ROW()-1),"")</f>
        <v>0</v>
      </c>
      <c r="I61">
        <f>IFERROR(INDEX(tblDeviceConfig[PI_Result],ROW()-1),"")</f>
        <v>0</v>
      </c>
      <c r="J61">
        <f>IFERROR(INDEX(tblDeviceConfig[PI_Validated_By],ROW()-1),"")</f>
        <v>0</v>
      </c>
      <c r="K61">
        <f>IFERROR(INDEX(tblDeviceConfig[PI_Validated_Date],ROW()-1),"")</f>
        <v>0</v>
      </c>
      <c r="L61">
        <f t="shared" si="0"/>
        <v>0</v>
      </c>
      <c r="M61" t="str">
        <f t="shared" si="1"/>
        <v/>
      </c>
    </row>
    <row r="62" spans="1:13">
      <c r="A62">
        <f>ROW()</f>
        <v>62</v>
      </c>
      <c r="B62" t="str">
        <f>IFERROR(INDEX(tblDeviceConfig[Device Type],ROW()-1),"")</f>
        <v>Cybernet</v>
      </c>
      <c r="C62" t="str">
        <f>IFERROR(INDEX(tblDeviceConfig[Deployed],ROW()-1),"")</f>
        <v>No</v>
      </c>
      <c r="D62" t="str">
        <f>IFERROR(INDEX(tblDeviceConfig[Installed],ROW()-1),"")</f>
        <v>No</v>
      </c>
      <c r="E62">
        <f>IFERROR(INDEX(tblDeviceConfig[Cybernet Hostname],ROW()-1),"")</f>
        <v>0</v>
      </c>
      <c r="F62" t="str">
        <f>IFERROR(INDEX(tblDeviceConfig[Neuron Hostname],ROW()-1),"")</f>
        <v>WMH300OPR344</v>
      </c>
      <c r="G62">
        <f>IFERROR(INDEX(tblDeviceConfig[Software List],ROW()-1),"")</f>
        <v>0</v>
      </c>
      <c r="H62">
        <f>IFERROR(INDEX(tblDeviceConfig[PI_Use_Case],ROW()-1),"")</f>
        <v>0</v>
      </c>
      <c r="I62">
        <f>IFERROR(INDEX(tblDeviceConfig[PI_Result],ROW()-1),"")</f>
        <v>0</v>
      </c>
      <c r="J62">
        <f>IFERROR(INDEX(tblDeviceConfig[PI_Validated_By],ROW()-1),"")</f>
        <v>0</v>
      </c>
      <c r="K62">
        <f>IFERROR(INDEX(tblDeviceConfig[PI_Validated_Date],ROW()-1),"")</f>
        <v>0</v>
      </c>
      <c r="L62">
        <f t="shared" si="0"/>
        <v>0</v>
      </c>
      <c r="M62" t="str">
        <f t="shared" si="1"/>
        <v/>
      </c>
    </row>
    <row r="63" spans="1:13">
      <c r="A63">
        <f>ROW()</f>
        <v>63</v>
      </c>
      <c r="B63" t="str">
        <f>IFERROR(INDEX(tblDeviceConfig[Device Type],ROW()-1),"")</f>
        <v>Cybernet</v>
      </c>
      <c r="C63" t="str">
        <f>IFERROR(INDEX(tblDeviceConfig[Deployed],ROW()-1),"")</f>
        <v>No</v>
      </c>
      <c r="D63" t="str">
        <f>IFERROR(INDEX(tblDeviceConfig[Installed],ROW()-1),"")</f>
        <v>No</v>
      </c>
      <c r="E63">
        <f>IFERROR(INDEX(tblDeviceConfig[Cybernet Hostname],ROW()-1),"")</f>
        <v>0</v>
      </c>
      <c r="F63" t="str">
        <f>IFERROR(INDEX(tblDeviceConfig[Neuron Hostname],ROW()-1),"")</f>
        <v>WMH300OPR345</v>
      </c>
      <c r="G63">
        <f>IFERROR(INDEX(tblDeviceConfig[Software List],ROW()-1),"")</f>
        <v>0</v>
      </c>
      <c r="H63">
        <f>IFERROR(INDEX(tblDeviceConfig[PI_Use_Case],ROW()-1),"")</f>
        <v>0</v>
      </c>
      <c r="I63">
        <f>IFERROR(INDEX(tblDeviceConfig[PI_Result],ROW()-1),"")</f>
        <v>0</v>
      </c>
      <c r="J63">
        <f>IFERROR(INDEX(tblDeviceConfig[PI_Validated_By],ROW()-1),"")</f>
        <v>0</v>
      </c>
      <c r="K63">
        <f>IFERROR(INDEX(tblDeviceConfig[PI_Validated_Date],ROW()-1),"")</f>
        <v>0</v>
      </c>
      <c r="L63">
        <f t="shared" si="0"/>
        <v>0</v>
      </c>
      <c r="M63" t="str">
        <f t="shared" si="1"/>
        <v/>
      </c>
    </row>
    <row r="64" spans="1:13">
      <c r="A64">
        <f>ROW()</f>
        <v>64</v>
      </c>
      <c r="B64" t="str">
        <f>IFERROR(INDEX(tblDeviceConfig[Device Type],ROW()-1),"")</f>
        <v>Cybernet</v>
      </c>
      <c r="C64" t="str">
        <f>IFERROR(INDEX(tblDeviceConfig[Deployed],ROW()-1),"")</f>
        <v>No</v>
      </c>
      <c r="D64" t="str">
        <f>IFERROR(INDEX(tblDeviceConfig[Installed],ROW()-1),"")</f>
        <v>No</v>
      </c>
      <c r="E64">
        <f>IFERROR(INDEX(tblDeviceConfig[Cybernet Hostname],ROW()-1),"")</f>
        <v>0</v>
      </c>
      <c r="F64" t="str">
        <f>IFERROR(INDEX(tblDeviceConfig[Neuron Hostname],ROW()-1),"")</f>
        <v>WMH300OPR346</v>
      </c>
      <c r="G64">
        <f>IFERROR(INDEX(tblDeviceConfig[Software List],ROW()-1),"")</f>
        <v>0</v>
      </c>
      <c r="H64">
        <f>IFERROR(INDEX(tblDeviceConfig[PI_Use_Case],ROW()-1),"")</f>
        <v>0</v>
      </c>
      <c r="I64">
        <f>IFERROR(INDEX(tblDeviceConfig[PI_Result],ROW()-1),"")</f>
        <v>0</v>
      </c>
      <c r="J64">
        <f>IFERROR(INDEX(tblDeviceConfig[PI_Validated_By],ROW()-1),"")</f>
        <v>0</v>
      </c>
      <c r="K64">
        <f>IFERROR(INDEX(tblDeviceConfig[PI_Validated_Date],ROW()-1),"")</f>
        <v>0</v>
      </c>
      <c r="L64">
        <f t="shared" si="0"/>
        <v>0</v>
      </c>
      <c r="M64" t="str">
        <f t="shared" si="1"/>
        <v/>
      </c>
    </row>
    <row r="65" spans="1:13">
      <c r="A65">
        <f>ROW()</f>
        <v>65</v>
      </c>
      <c r="B65" t="str">
        <f>IFERROR(INDEX(tblDeviceConfig[Device Type],ROW()-1),"")</f>
        <v>Cybernet</v>
      </c>
      <c r="C65" t="str">
        <f>IFERROR(INDEX(tblDeviceConfig[Deployed],ROW()-1),"")</f>
        <v>No</v>
      </c>
      <c r="D65" t="str">
        <f>IFERROR(INDEX(tblDeviceConfig[Installed],ROW()-1),"")</f>
        <v>No</v>
      </c>
      <c r="E65">
        <f>IFERROR(INDEX(tblDeviceConfig[Cybernet Hostname],ROW()-1),"")</f>
        <v>0</v>
      </c>
      <c r="F65" t="str">
        <f>IFERROR(INDEX(tblDeviceConfig[Neuron Hostname],ROW()-1),"")</f>
        <v>WMH300OPR347</v>
      </c>
      <c r="G65">
        <f>IFERROR(INDEX(tblDeviceConfig[Software List],ROW()-1),"")</f>
        <v>0</v>
      </c>
      <c r="H65">
        <f>IFERROR(INDEX(tblDeviceConfig[PI_Use_Case],ROW()-1),"")</f>
        <v>0</v>
      </c>
      <c r="I65">
        <f>IFERROR(INDEX(tblDeviceConfig[PI_Result],ROW()-1),"")</f>
        <v>0</v>
      </c>
      <c r="J65">
        <f>IFERROR(INDEX(tblDeviceConfig[PI_Validated_By],ROW()-1),"")</f>
        <v>0</v>
      </c>
      <c r="K65">
        <f>IFERROR(INDEX(tblDeviceConfig[PI_Validated_Date],ROW()-1),"")</f>
        <v>0</v>
      </c>
      <c r="L65">
        <f t="shared" si="0"/>
        <v>0</v>
      </c>
      <c r="M65" t="str">
        <f t="shared" si="1"/>
        <v/>
      </c>
    </row>
    <row r="66" spans="1:13">
      <c r="A66">
        <f>ROW()</f>
        <v>66</v>
      </c>
      <c r="B66" t="str">
        <f>IFERROR(INDEX(tblDeviceConfig[Device Type],ROW()-1),"")</f>
        <v>Cybernet</v>
      </c>
      <c r="C66" t="str">
        <f>IFERROR(INDEX(tblDeviceConfig[Deployed],ROW()-1),"")</f>
        <v>No</v>
      </c>
      <c r="D66" t="str">
        <f>IFERROR(INDEX(tblDeviceConfig[Installed],ROW()-1),"")</f>
        <v>No</v>
      </c>
      <c r="E66">
        <f>IFERROR(INDEX(tblDeviceConfig[Cybernet Hostname],ROW()-1),"")</f>
        <v>0</v>
      </c>
      <c r="F66" t="str">
        <f>IFERROR(INDEX(tblDeviceConfig[Neuron Hostname],ROW()-1),"")</f>
        <v>WMH300OPR348</v>
      </c>
      <c r="G66">
        <f>IFERROR(INDEX(tblDeviceConfig[Software List],ROW()-1),"")</f>
        <v>0</v>
      </c>
      <c r="H66">
        <f>IFERROR(INDEX(tblDeviceConfig[PI_Use_Case],ROW()-1),"")</f>
        <v>0</v>
      </c>
      <c r="I66">
        <f>IFERROR(INDEX(tblDeviceConfig[PI_Result],ROW()-1),"")</f>
        <v>0</v>
      </c>
      <c r="J66">
        <f>IFERROR(INDEX(tblDeviceConfig[PI_Validated_By],ROW()-1),"")</f>
        <v>0</v>
      </c>
      <c r="K66">
        <f>IFERROR(INDEX(tblDeviceConfig[PI_Validated_Date],ROW()-1),"")</f>
        <v>0</v>
      </c>
      <c r="L66">
        <f t="shared" ref="L66:L129" si="2">SUM(IF(AND(C66="Yes",B66="Cybernet",LEN(TRIM(E66))=0),1,0),IF(AND(C66="Yes",B66="Neuron",LEN(TRIM(F66))=0),1,0),IF(AND(C66="Yes",B66="Cybernet",LEN(TRIM(G66))=0),1,0),IF(AND(C66="Yes",B66="Cybernet",LEN(TRIM(H66))=0),1,0),IF(AND(C66="Yes",LEN(TRIM(I66))&gt;0,LEN(TRIM(J66))=0),1,0),IF(AND(C66="Yes",LEN(TRIM(J66))&gt;0,LEN(TRIM(K66))=0),1,0))</f>
        <v>0</v>
      </c>
      <c r="M66" t="str">
        <f t="shared" ref="M66:M129" si="3">(IF(AND(C66="Yes",B66="Cybernet",LEN(TRIM(E66))=0),"Missing Cybernet Hostname",""))&amp;IF(((IF(AND(C66="Yes",B66="Cybernet",LEN(TRIM(E66))=0),"Missing Cybernet Hostname","")))&lt;&gt;"",IF((IF(AND(C66="Yes",B66="Neuron",LEN(TRIM(F66))=0),"Missing Neuron Hostname",""))&lt;&gt;""," | ",""),"")&amp;(IF(AND(C66="Yes",B66="Neuron",LEN(TRIM(F66))=0),"Missing Neuron Hostname",""))&amp;IF(((IF(AND(C66="Yes",B66="Cybernet",LEN(TRIM(E66))=0),"Missing Cybernet Hostname",""))&amp;(IF(AND(C66="Yes",B66="Neuron",LEN(TRIM(F66))=0),"Missing Neuron Hostname","")))&lt;&gt;"",IF((IF(AND(C66="Yes",B66="Cybernet",LEN(TRIM(G66))=0),"Missing Software List",""))&lt;&gt;""," | ",""),"")&amp;(IF(AND(C66="Yes",B66="Cybernet",LEN(TRIM(G66))=0),"Missing Software List",""))&amp;IF(((IF(AND(C66="Yes",B66="Cybernet",LEN(TRIM(E66))=0),"Missing Cybernet Hostname",""))&amp;(IF(AND(C66="Yes",B66="Neuron",LEN(TRIM(F66))=0),"Missing Neuron Hostname",""))&amp;(IF(AND(C66="Yes",B66="Cybernet",LEN(TRIM(G66))=0),"Missing Software List","")))&lt;&gt;"",IF((IF(AND(C66="Yes",B66="Cybernet",LEN(TRIM(H66))=0),"Missing PI Use Case",""))&lt;&gt;""," | ",""),"")&amp;(IF(AND(C66="Yes",B66="Cybernet",LEN(TRIM(H66))=0),"Missing PI Use Case",""))&amp;IF(((IF(AND(C66="Yes",B66="Cybernet",LEN(TRIM(E66))=0),"Missing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Case","")))&lt;&gt;"",IF((IF(AND(C66="Yes",LEN(TRIM(I66))&gt;0,LEN(TRIM(J66))=0),"Missing PI Validated By",""))&lt;&gt;""," | ",""),"")&amp;(IF(AND(C66="Yes",LEN(TRIM(I66))&gt;0,LEN(TRIM(J66))=0),"Missing PI Validated By",""))&amp;IF(((IF(AND(C66="Yes",B66="Cybernet",LEN(TRIM(E66))=0),"Missing Cybernet Hostname",""))&amp;(IF(AND(C66="Yes",B66="Neuron",LEN(TRIM(F66))=0),"Missing Neuron Hostname",""))&amp;(IF(AND(C66="Yes",B66="Cybernet",LEN(TRIM(G66))=0),"Missing Software List",""))&amp;(IF(AND(C66="Yes",B66="Cybernet",LEN(TRIM(H66))=0),"Missing PI Use Case",""))&amp;(IF(AND(C66="Yes",LEN(TRIM(I66))&gt;0,LEN(TRIM(J66))=0),"Missing PI Validated By","")))&lt;&gt;"",IF((IF(AND(C66="Yes",LEN(TRIM(J66))&gt;0,LEN(TRIM(K66))=0),"Missing PI Validated Date",""))&lt;&gt;""," | ",""),"")&amp;(IF(AND(C66="Yes",LEN(TRIM(J66))&gt;0,LEN(TRIM(K66))=0),"Missing PI Validated Date",""))</f>
        <v/>
      </c>
    </row>
    <row r="67" spans="1:13">
      <c r="A67">
        <f>ROW()</f>
        <v>67</v>
      </c>
      <c r="B67" t="str">
        <f>IFERROR(INDEX(tblDeviceConfig[Device Type],ROW()-1),"")</f>
        <v>Cybernet</v>
      </c>
      <c r="C67" t="str">
        <f>IFERROR(INDEX(tblDeviceConfig[Deployed],ROW()-1),"")</f>
        <v>No</v>
      </c>
      <c r="D67" t="str">
        <f>IFERROR(INDEX(tblDeviceConfig[Installed],ROW()-1),"")</f>
        <v>No</v>
      </c>
      <c r="E67">
        <f>IFERROR(INDEX(tblDeviceConfig[Cybernet Hostname],ROW()-1),"")</f>
        <v>0</v>
      </c>
      <c r="F67" t="str">
        <f>IFERROR(INDEX(tblDeviceConfig[Neuron Hostname],ROW()-1),"")</f>
        <v>WMH300OPR349</v>
      </c>
      <c r="G67">
        <f>IFERROR(INDEX(tblDeviceConfig[Software List],ROW()-1),"")</f>
        <v>0</v>
      </c>
      <c r="H67">
        <f>IFERROR(INDEX(tblDeviceConfig[PI_Use_Case],ROW()-1),"")</f>
        <v>0</v>
      </c>
      <c r="I67">
        <f>IFERROR(INDEX(tblDeviceConfig[PI_Result],ROW()-1),"")</f>
        <v>0</v>
      </c>
      <c r="J67">
        <f>IFERROR(INDEX(tblDeviceConfig[PI_Validated_By],ROW()-1),"")</f>
        <v>0</v>
      </c>
      <c r="K67">
        <f>IFERROR(INDEX(tblDeviceConfig[PI_Validated_Date],ROW()-1),"")</f>
        <v>0</v>
      </c>
      <c r="L67">
        <f t="shared" si="2"/>
        <v>0</v>
      </c>
      <c r="M67" t="str">
        <f t="shared" si="3"/>
        <v/>
      </c>
    </row>
    <row r="68" spans="1:13">
      <c r="A68">
        <f>ROW()</f>
        <v>68</v>
      </c>
      <c r="B68" t="str">
        <f>IFERROR(INDEX(tblDeviceConfig[Device Type],ROW()-1),"")</f>
        <v>Cybernet</v>
      </c>
      <c r="C68" t="str">
        <f>IFERROR(INDEX(tblDeviceConfig[Deployed],ROW()-1),"")</f>
        <v>No</v>
      </c>
      <c r="D68" t="str">
        <f>IFERROR(INDEX(tblDeviceConfig[Installed],ROW()-1),"")</f>
        <v>No</v>
      </c>
      <c r="E68">
        <f>IFERROR(INDEX(tblDeviceConfig[Cybernet Hostname],ROW()-1),"")</f>
        <v>0</v>
      </c>
      <c r="F68" t="str">
        <f>IFERROR(INDEX(tblDeviceConfig[Neuron Hostname],ROW()-1),"")</f>
        <v>WMH300OPR350</v>
      </c>
      <c r="G68">
        <f>IFERROR(INDEX(tblDeviceConfig[Software List],ROW()-1),"")</f>
        <v>0</v>
      </c>
      <c r="H68">
        <f>IFERROR(INDEX(tblDeviceConfig[PI_Use_Case],ROW()-1),"")</f>
        <v>0</v>
      </c>
      <c r="I68">
        <f>IFERROR(INDEX(tblDeviceConfig[PI_Result],ROW()-1),"")</f>
        <v>0</v>
      </c>
      <c r="J68">
        <f>IFERROR(INDEX(tblDeviceConfig[PI_Validated_By],ROW()-1),"")</f>
        <v>0</v>
      </c>
      <c r="K68">
        <f>IFERROR(INDEX(tblDeviceConfig[PI_Validated_Date],ROW()-1),"")</f>
        <v>0</v>
      </c>
      <c r="L68">
        <f t="shared" si="2"/>
        <v>0</v>
      </c>
      <c r="M68" t="str">
        <f t="shared" si="3"/>
        <v/>
      </c>
    </row>
    <row r="69" spans="1:13">
      <c r="A69">
        <f>ROW()</f>
        <v>69</v>
      </c>
      <c r="B69" t="str">
        <f>IFERROR(INDEX(tblDeviceConfig[Device Type],ROW()-1),"")</f>
        <v>Cybernet</v>
      </c>
      <c r="C69" t="str">
        <f>IFERROR(INDEX(tblDeviceConfig[Deployed],ROW()-1),"")</f>
        <v>No</v>
      </c>
      <c r="D69" t="str">
        <f>IFERROR(INDEX(tblDeviceConfig[Installed],ROW()-1),"")</f>
        <v>No</v>
      </c>
      <c r="E69">
        <f>IFERROR(INDEX(tblDeviceConfig[Cybernet Hostname],ROW()-1),"")</f>
        <v>0</v>
      </c>
      <c r="F69" t="str">
        <f>IFERROR(INDEX(tblDeviceConfig[Neuron Hostname],ROW()-1),"")</f>
        <v>WNH269OPR013</v>
      </c>
      <c r="G69">
        <f>IFERROR(INDEX(tblDeviceConfig[Software List],ROW()-1),"")</f>
        <v>0</v>
      </c>
      <c r="H69">
        <f>IFERROR(INDEX(tblDeviceConfig[PI_Use_Case],ROW()-1),"")</f>
        <v>0</v>
      </c>
      <c r="I69">
        <f>IFERROR(INDEX(tblDeviceConfig[PI_Result],ROW()-1),"")</f>
        <v>0</v>
      </c>
      <c r="J69">
        <f>IFERROR(INDEX(tblDeviceConfig[PI_Validated_By],ROW()-1),"")</f>
        <v>0</v>
      </c>
      <c r="K69">
        <f>IFERROR(INDEX(tblDeviceConfig[PI_Validated_Date],ROW()-1),"")</f>
        <v>0</v>
      </c>
      <c r="L69">
        <f t="shared" si="2"/>
        <v>0</v>
      </c>
      <c r="M69" t="str">
        <f t="shared" si="3"/>
        <v/>
      </c>
    </row>
    <row r="70" spans="1:13">
      <c r="A70">
        <f>ROW()</f>
        <v>70</v>
      </c>
      <c r="B70" t="str">
        <f>IFERROR(INDEX(tblDeviceConfig[Device Type],ROW()-1),"")</f>
        <v>Cybernet</v>
      </c>
      <c r="C70" t="str">
        <f>IFERROR(INDEX(tblDeviceConfig[Deployed],ROW()-1),"")</f>
        <v>No</v>
      </c>
      <c r="D70" t="str">
        <f>IFERROR(INDEX(tblDeviceConfig[Installed],ROW()-1),"")</f>
        <v>No</v>
      </c>
      <c r="E70">
        <f>IFERROR(INDEX(tblDeviceConfig[Cybernet Hostname],ROW()-1),"")</f>
        <v>0</v>
      </c>
      <c r="F70" t="str">
        <f>IFERROR(INDEX(tblDeviceConfig[Neuron Hostname],ROW()-1),"")</f>
        <v>WNH269OPR014</v>
      </c>
      <c r="G70">
        <f>IFERROR(INDEX(tblDeviceConfig[Software List],ROW()-1),"")</f>
        <v>0</v>
      </c>
      <c r="H70">
        <f>IFERROR(INDEX(tblDeviceConfig[PI_Use_Case],ROW()-1),"")</f>
        <v>0</v>
      </c>
      <c r="I70">
        <f>IFERROR(INDEX(tblDeviceConfig[PI_Result],ROW()-1),"")</f>
        <v>0</v>
      </c>
      <c r="J70">
        <f>IFERROR(INDEX(tblDeviceConfig[PI_Validated_By],ROW()-1),"")</f>
        <v>0</v>
      </c>
      <c r="K70">
        <f>IFERROR(INDEX(tblDeviceConfig[PI_Validated_Date],ROW()-1),"")</f>
        <v>0</v>
      </c>
      <c r="L70">
        <f t="shared" si="2"/>
        <v>0</v>
      </c>
      <c r="M70" t="str">
        <f t="shared" si="3"/>
        <v/>
      </c>
    </row>
    <row r="71" spans="1:13">
      <c r="A71">
        <f>ROW()</f>
        <v>71</v>
      </c>
      <c r="B71" t="str">
        <f>IFERROR(INDEX(tblDeviceConfig[Device Type],ROW()-1),"")</f>
        <v>Cybernet</v>
      </c>
      <c r="C71" t="str">
        <f>IFERROR(INDEX(tblDeviceConfig[Deployed],ROW()-1),"")</f>
        <v>No</v>
      </c>
      <c r="D71" t="str">
        <f>IFERROR(INDEX(tblDeviceConfig[Installed],ROW()-1),"")</f>
        <v>No</v>
      </c>
      <c r="E71">
        <f>IFERROR(INDEX(tblDeviceConfig[Cybernet Hostname],ROW()-1),"")</f>
        <v>0</v>
      </c>
      <c r="F71" t="str">
        <f>IFERROR(INDEX(tblDeviceConfig[Neuron Hostname],ROW()-1),"")</f>
        <v>WNH269OPR015</v>
      </c>
      <c r="G71">
        <f>IFERROR(INDEX(tblDeviceConfig[Software List],ROW()-1),"")</f>
        <v>0</v>
      </c>
      <c r="H71">
        <f>IFERROR(INDEX(tblDeviceConfig[PI_Use_Case],ROW()-1),"")</f>
        <v>0</v>
      </c>
      <c r="I71">
        <f>IFERROR(INDEX(tblDeviceConfig[PI_Result],ROW()-1),"")</f>
        <v>0</v>
      </c>
      <c r="J71">
        <f>IFERROR(INDEX(tblDeviceConfig[PI_Validated_By],ROW()-1),"")</f>
        <v>0</v>
      </c>
      <c r="K71">
        <f>IFERROR(INDEX(tblDeviceConfig[PI_Validated_Date],ROW()-1),"")</f>
        <v>0</v>
      </c>
      <c r="L71">
        <f t="shared" si="2"/>
        <v>0</v>
      </c>
      <c r="M71" t="str">
        <f t="shared" si="3"/>
        <v/>
      </c>
    </row>
    <row r="72" spans="1:13">
      <c r="A72">
        <f>ROW()</f>
        <v>72</v>
      </c>
      <c r="B72" t="str">
        <f>IFERROR(INDEX(tblDeviceConfig[Device Type],ROW()-1),"")</f>
        <v>Cybernet</v>
      </c>
      <c r="C72" t="str">
        <f>IFERROR(INDEX(tblDeviceConfig[Deployed],ROW()-1),"")</f>
        <v>No</v>
      </c>
      <c r="D72" t="str">
        <f>IFERROR(INDEX(tblDeviceConfig[Installed],ROW()-1),"")</f>
        <v>No</v>
      </c>
      <c r="E72">
        <f>IFERROR(INDEX(tblDeviceConfig[Cybernet Hostname],ROW()-1),"")</f>
        <v>0</v>
      </c>
      <c r="F72" t="str">
        <f>IFERROR(INDEX(tblDeviceConfig[Neuron Hostname],ROW()-1),"")</f>
        <v>WNH269OPR016</v>
      </c>
      <c r="G72">
        <f>IFERROR(INDEX(tblDeviceConfig[Software List],ROW()-1),"")</f>
        <v>0</v>
      </c>
      <c r="H72">
        <f>IFERROR(INDEX(tblDeviceConfig[PI_Use_Case],ROW()-1),"")</f>
        <v>0</v>
      </c>
      <c r="I72">
        <f>IFERROR(INDEX(tblDeviceConfig[PI_Result],ROW()-1),"")</f>
        <v>0</v>
      </c>
      <c r="J72">
        <f>IFERROR(INDEX(tblDeviceConfig[PI_Validated_By],ROW()-1),"")</f>
        <v>0</v>
      </c>
      <c r="K72">
        <f>IFERROR(INDEX(tblDeviceConfig[PI_Validated_Date],ROW()-1),"")</f>
        <v>0</v>
      </c>
      <c r="L72">
        <f t="shared" si="2"/>
        <v>0</v>
      </c>
      <c r="M72" t="str">
        <f t="shared" si="3"/>
        <v/>
      </c>
    </row>
    <row r="73" spans="1:13">
      <c r="A73">
        <f>ROW()</f>
        <v>73</v>
      </c>
      <c r="B73" t="str">
        <f>IFERROR(INDEX(tblDeviceConfig[Device Type],ROW()-1),"")</f>
        <v>Cybernet</v>
      </c>
      <c r="C73" t="str">
        <f>IFERROR(INDEX(tblDeviceConfig[Deployed],ROW()-1),"")</f>
        <v>No</v>
      </c>
      <c r="D73" t="str">
        <f>IFERROR(INDEX(tblDeviceConfig[Installed],ROW()-1),"")</f>
        <v>No</v>
      </c>
      <c r="E73">
        <f>IFERROR(INDEX(tblDeviceConfig[Cybernet Hostname],ROW()-1),"")</f>
        <v>0</v>
      </c>
      <c r="F73" t="str">
        <f>IFERROR(INDEX(tblDeviceConfig[Neuron Hostname],ROW()-1),"")</f>
        <v>WNH269OPR017</v>
      </c>
      <c r="G73">
        <f>IFERROR(INDEX(tblDeviceConfig[Software List],ROW()-1),"")</f>
        <v>0</v>
      </c>
      <c r="H73">
        <f>IFERROR(INDEX(tblDeviceConfig[PI_Use_Case],ROW()-1),"")</f>
        <v>0</v>
      </c>
      <c r="I73">
        <f>IFERROR(INDEX(tblDeviceConfig[PI_Result],ROW()-1),"")</f>
        <v>0</v>
      </c>
      <c r="J73">
        <f>IFERROR(INDEX(tblDeviceConfig[PI_Validated_By],ROW()-1),"")</f>
        <v>0</v>
      </c>
      <c r="K73">
        <f>IFERROR(INDEX(tblDeviceConfig[PI_Validated_Date],ROW()-1),"")</f>
        <v>0</v>
      </c>
      <c r="L73">
        <f t="shared" si="2"/>
        <v>0</v>
      </c>
      <c r="M73" t="str">
        <f t="shared" si="3"/>
        <v/>
      </c>
    </row>
    <row r="74" spans="1:13">
      <c r="A74">
        <f>ROW()</f>
        <v>74</v>
      </c>
      <c r="B74" t="str">
        <f>IFERROR(INDEX(tblDeviceConfig[Device Type],ROW()-1),"")</f>
        <v>Cybernet</v>
      </c>
      <c r="C74" t="str">
        <f>IFERROR(INDEX(tblDeviceConfig[Deployed],ROW()-1),"")</f>
        <v>No</v>
      </c>
      <c r="D74" t="str">
        <f>IFERROR(INDEX(tblDeviceConfig[Installed],ROW()-1),"")</f>
        <v>No</v>
      </c>
      <c r="E74">
        <f>IFERROR(INDEX(tblDeviceConfig[Cybernet Hostname],ROW()-1),"")</f>
        <v>0</v>
      </c>
      <c r="F74" t="str">
        <f>IFERROR(INDEX(tblDeviceConfig[Neuron Hostname],ROW()-1),"")</f>
        <v>WNH269OPR018</v>
      </c>
      <c r="G74">
        <f>IFERROR(INDEX(tblDeviceConfig[Software List],ROW()-1),"")</f>
        <v>0</v>
      </c>
      <c r="H74">
        <f>IFERROR(INDEX(tblDeviceConfig[PI_Use_Case],ROW()-1),"")</f>
        <v>0</v>
      </c>
      <c r="I74">
        <f>IFERROR(INDEX(tblDeviceConfig[PI_Result],ROW()-1),"")</f>
        <v>0</v>
      </c>
      <c r="J74">
        <f>IFERROR(INDEX(tblDeviceConfig[PI_Validated_By],ROW()-1),"")</f>
        <v>0</v>
      </c>
      <c r="K74">
        <f>IFERROR(INDEX(tblDeviceConfig[PI_Validated_Date],ROW()-1),"")</f>
        <v>0</v>
      </c>
      <c r="L74">
        <f t="shared" si="2"/>
        <v>0</v>
      </c>
      <c r="M74" t="str">
        <f t="shared" si="3"/>
        <v/>
      </c>
    </row>
    <row r="75" spans="1:13">
      <c r="A75">
        <f>ROW()</f>
        <v>75</v>
      </c>
      <c r="B75" t="str">
        <f>IFERROR(INDEX(tblDeviceConfig[Device Type],ROW()-1),"")</f>
        <v>Cybernet</v>
      </c>
      <c r="C75" t="str">
        <f>IFERROR(INDEX(tblDeviceConfig[Deployed],ROW()-1),"")</f>
        <v>No</v>
      </c>
      <c r="D75" t="str">
        <f>IFERROR(INDEX(tblDeviceConfig[Installed],ROW()-1),"")</f>
        <v>No</v>
      </c>
      <c r="E75">
        <f>IFERROR(INDEX(tblDeviceConfig[Cybernet Hostname],ROW()-1),"")</f>
        <v>0</v>
      </c>
      <c r="F75" t="str">
        <f>IFERROR(INDEX(tblDeviceConfig[Neuron Hostname],ROW()-1),"")</f>
        <v>WNH269OPR019</v>
      </c>
      <c r="G75">
        <f>IFERROR(INDEX(tblDeviceConfig[Software List],ROW()-1),"")</f>
        <v>0</v>
      </c>
      <c r="H75">
        <f>IFERROR(INDEX(tblDeviceConfig[PI_Use_Case],ROW()-1),"")</f>
        <v>0</v>
      </c>
      <c r="I75">
        <f>IFERROR(INDEX(tblDeviceConfig[PI_Result],ROW()-1),"")</f>
        <v>0</v>
      </c>
      <c r="J75">
        <f>IFERROR(INDEX(tblDeviceConfig[PI_Validated_By],ROW()-1),"")</f>
        <v>0</v>
      </c>
      <c r="K75">
        <f>IFERROR(INDEX(tblDeviceConfig[PI_Validated_Date],ROW()-1),"")</f>
        <v>0</v>
      </c>
      <c r="L75">
        <f t="shared" si="2"/>
        <v>0</v>
      </c>
      <c r="M75" t="str">
        <f t="shared" si="3"/>
        <v/>
      </c>
    </row>
    <row r="76" spans="1:13">
      <c r="A76">
        <f>ROW()</f>
        <v>76</v>
      </c>
      <c r="B76" t="str">
        <f>IFERROR(INDEX(tblDeviceConfig[Device Type],ROW()-1),"")</f>
        <v>Cybernet</v>
      </c>
      <c r="C76" t="str">
        <f>IFERROR(INDEX(tblDeviceConfig[Deployed],ROW()-1),"")</f>
        <v>No</v>
      </c>
      <c r="D76" t="str">
        <f>IFERROR(INDEX(tblDeviceConfig[Installed],ROW()-1),"")</f>
        <v>No</v>
      </c>
      <c r="E76">
        <f>IFERROR(INDEX(tblDeviceConfig[Cybernet Hostname],ROW()-1),"")</f>
        <v>0</v>
      </c>
      <c r="F76" t="str">
        <f>IFERROR(INDEX(tblDeviceConfig[Neuron Hostname],ROW()-1),"")</f>
        <v>WNH269OPR020</v>
      </c>
      <c r="G76">
        <f>IFERROR(INDEX(tblDeviceConfig[Software List],ROW()-1),"")</f>
        <v>0</v>
      </c>
      <c r="H76">
        <f>IFERROR(INDEX(tblDeviceConfig[PI_Use_Case],ROW()-1),"")</f>
        <v>0</v>
      </c>
      <c r="I76">
        <f>IFERROR(INDEX(tblDeviceConfig[PI_Result],ROW()-1),"")</f>
        <v>0</v>
      </c>
      <c r="J76">
        <f>IFERROR(INDEX(tblDeviceConfig[PI_Validated_By],ROW()-1),"")</f>
        <v>0</v>
      </c>
      <c r="K76">
        <f>IFERROR(INDEX(tblDeviceConfig[PI_Validated_Date],ROW()-1),"")</f>
        <v>0</v>
      </c>
      <c r="L76">
        <f t="shared" si="2"/>
        <v>0</v>
      </c>
      <c r="M76" t="str">
        <f t="shared" si="3"/>
        <v/>
      </c>
    </row>
    <row r="77" spans="1:13">
      <c r="A77">
        <f>ROW()</f>
        <v>77</v>
      </c>
      <c r="B77" t="str">
        <f>IFERROR(INDEX(tblDeviceConfig[Device Type],ROW()-1),"")</f>
        <v>Cybernet</v>
      </c>
      <c r="C77" t="str">
        <f>IFERROR(INDEX(tblDeviceConfig[Deployed],ROW()-1),"")</f>
        <v>No</v>
      </c>
      <c r="D77" t="str">
        <f>IFERROR(INDEX(tblDeviceConfig[Installed],ROW()-1),"")</f>
        <v>No</v>
      </c>
      <c r="E77">
        <f>IFERROR(INDEX(tblDeviceConfig[Cybernet Hostname],ROW()-1),"")</f>
        <v>0</v>
      </c>
      <c r="F77" t="str">
        <f>IFERROR(INDEX(tblDeviceConfig[Neuron Hostname],ROW()-1),"")</f>
        <v>WNH269OPR021</v>
      </c>
      <c r="G77">
        <f>IFERROR(INDEX(tblDeviceConfig[Software List],ROW()-1),"")</f>
        <v>0</v>
      </c>
      <c r="H77">
        <f>IFERROR(INDEX(tblDeviceConfig[PI_Use_Case],ROW()-1),"")</f>
        <v>0</v>
      </c>
      <c r="I77">
        <f>IFERROR(INDEX(tblDeviceConfig[PI_Result],ROW()-1),"")</f>
        <v>0</v>
      </c>
      <c r="J77">
        <f>IFERROR(INDEX(tblDeviceConfig[PI_Validated_By],ROW()-1),"")</f>
        <v>0</v>
      </c>
      <c r="K77">
        <f>IFERROR(INDEX(tblDeviceConfig[PI_Validated_Date],ROW()-1),"")</f>
        <v>0</v>
      </c>
      <c r="L77">
        <f t="shared" si="2"/>
        <v>0</v>
      </c>
      <c r="M77" t="str">
        <f t="shared" si="3"/>
        <v/>
      </c>
    </row>
    <row r="78" spans="1:13">
      <c r="A78">
        <f>ROW()</f>
        <v>78</v>
      </c>
      <c r="B78" t="str">
        <f>IFERROR(INDEX(tblDeviceConfig[Device Type],ROW()-1),"")</f>
        <v>Cybernet</v>
      </c>
      <c r="C78">
        <f>IFERROR(INDEX(tblDeviceConfig[Deployed],ROW()-1),"")</f>
        <v>0</v>
      </c>
      <c r="D78" t="str">
        <f>IFERROR(INDEX(tblDeviceConfig[Installed],ROW()-1),"")</f>
        <v>No</v>
      </c>
      <c r="E78">
        <f>IFERROR(INDEX(tblDeviceConfig[Cybernet Hostname],ROW()-1),"")</f>
        <v>0</v>
      </c>
      <c r="F78" t="str">
        <f>IFERROR(INDEX(tblDeviceConfig[Neuron Hostname],ROW()-1),"")</f>
        <v>WLS450OPR001</v>
      </c>
      <c r="G78">
        <f>IFERROR(INDEX(tblDeviceConfig[Software List],ROW()-1),"")</f>
        <v>0</v>
      </c>
      <c r="H78">
        <f>IFERROR(INDEX(tblDeviceConfig[PI_Use_Case],ROW()-1),"")</f>
        <v>0</v>
      </c>
      <c r="I78">
        <f>IFERROR(INDEX(tblDeviceConfig[PI_Result],ROW()-1),"")</f>
        <v>0</v>
      </c>
      <c r="J78">
        <f>IFERROR(INDEX(tblDeviceConfig[PI_Validated_By],ROW()-1),"")</f>
        <v>0</v>
      </c>
      <c r="K78">
        <f>IFERROR(INDEX(tblDeviceConfig[PI_Validated_Date],ROW()-1),"")</f>
        <v>0</v>
      </c>
      <c r="L78">
        <f t="shared" si="2"/>
        <v>0</v>
      </c>
      <c r="M78" t="str">
        <f t="shared" si="3"/>
        <v/>
      </c>
    </row>
    <row r="79" spans="1:13">
      <c r="A79">
        <f>ROW()</f>
        <v>79</v>
      </c>
      <c r="B79" t="str">
        <f>IFERROR(INDEX(tblDeviceConfig[Device Type],ROW()-1),"")</f>
        <v>Cybernet</v>
      </c>
      <c r="C79">
        <f>IFERROR(INDEX(tblDeviceConfig[Deployed],ROW()-1),"")</f>
        <v>0</v>
      </c>
      <c r="D79" t="str">
        <f>IFERROR(INDEX(tblDeviceConfig[Installed],ROW()-1),"")</f>
        <v>No</v>
      </c>
      <c r="E79">
        <f>IFERROR(INDEX(tblDeviceConfig[Cybernet Hostname],ROW()-1),"")</f>
        <v>0</v>
      </c>
      <c r="F79" t="str">
        <f>IFERROR(INDEX(tblDeviceConfig[Neuron Hostname],ROW()-1),"")</f>
        <v>WLS450OPR002</v>
      </c>
      <c r="G79">
        <f>IFERROR(INDEX(tblDeviceConfig[Software List],ROW()-1),"")</f>
        <v>0</v>
      </c>
      <c r="H79">
        <f>IFERROR(INDEX(tblDeviceConfig[PI_Use_Case],ROW()-1),"")</f>
        <v>0</v>
      </c>
      <c r="I79">
        <f>IFERROR(INDEX(tblDeviceConfig[PI_Result],ROW()-1),"")</f>
        <v>0</v>
      </c>
      <c r="J79">
        <f>IFERROR(INDEX(tblDeviceConfig[PI_Validated_By],ROW()-1),"")</f>
        <v>0</v>
      </c>
      <c r="K79">
        <f>IFERROR(INDEX(tblDeviceConfig[PI_Validated_Date],ROW()-1),"")</f>
        <v>0</v>
      </c>
      <c r="L79">
        <f t="shared" si="2"/>
        <v>0</v>
      </c>
      <c r="M79" t="str">
        <f t="shared" si="3"/>
        <v/>
      </c>
    </row>
    <row r="80" spans="1:13">
      <c r="A80">
        <f>ROW()</f>
        <v>80</v>
      </c>
      <c r="B80" t="str">
        <f>IFERROR(INDEX(tblDeviceConfig[Device Type],ROW()-1),"")</f>
        <v>Cybernet</v>
      </c>
      <c r="C80">
        <f>IFERROR(INDEX(tblDeviceConfig[Deployed],ROW()-1),"")</f>
        <v>0</v>
      </c>
      <c r="D80" t="str">
        <f>IFERROR(INDEX(tblDeviceConfig[Installed],ROW()-1),"")</f>
        <v>No</v>
      </c>
      <c r="E80">
        <f>IFERROR(INDEX(tblDeviceConfig[Cybernet Hostname],ROW()-1),"")</f>
        <v>0</v>
      </c>
      <c r="F80" t="str">
        <f>IFERROR(INDEX(tblDeviceConfig[Neuron Hostname],ROW()-1),"")</f>
        <v>WLS450OPR003</v>
      </c>
      <c r="G80">
        <f>IFERROR(INDEX(tblDeviceConfig[Software List],ROW()-1),"")</f>
        <v>0</v>
      </c>
      <c r="H80">
        <f>IFERROR(INDEX(tblDeviceConfig[PI_Use_Case],ROW()-1),"")</f>
        <v>0</v>
      </c>
      <c r="I80">
        <f>IFERROR(INDEX(tblDeviceConfig[PI_Result],ROW()-1),"")</f>
        <v>0</v>
      </c>
      <c r="J80">
        <f>IFERROR(INDEX(tblDeviceConfig[PI_Validated_By],ROW()-1),"")</f>
        <v>0</v>
      </c>
      <c r="K80">
        <f>IFERROR(INDEX(tblDeviceConfig[PI_Validated_Date],ROW()-1),"")</f>
        <v>0</v>
      </c>
      <c r="L80">
        <f t="shared" si="2"/>
        <v>0</v>
      </c>
      <c r="M80" t="str">
        <f t="shared" si="3"/>
        <v/>
      </c>
    </row>
    <row r="81" spans="1:13">
      <c r="A81">
        <f>ROW()</f>
        <v>81</v>
      </c>
      <c r="B81" t="str">
        <f>IFERROR(INDEX(tblDeviceConfig[Device Type],ROW()-1),"")</f>
        <v>Cybernet</v>
      </c>
      <c r="C81">
        <f>IFERROR(INDEX(tblDeviceConfig[Deployed],ROW()-1),"")</f>
        <v>0</v>
      </c>
      <c r="D81" t="str">
        <f>IFERROR(INDEX(tblDeviceConfig[Installed],ROW()-1),"")</f>
        <v>No</v>
      </c>
      <c r="E81">
        <f>IFERROR(INDEX(tblDeviceConfig[Cybernet Hostname],ROW()-1),"")</f>
        <v>0</v>
      </c>
      <c r="F81" t="str">
        <f>IFERROR(INDEX(tblDeviceConfig[Neuron Hostname],ROW()-1),"")</f>
        <v>WLS450OPR004</v>
      </c>
      <c r="G81">
        <f>IFERROR(INDEX(tblDeviceConfig[Software List],ROW()-1),"")</f>
        <v>0</v>
      </c>
      <c r="H81">
        <f>IFERROR(INDEX(tblDeviceConfig[PI_Use_Case],ROW()-1),"")</f>
        <v>0</v>
      </c>
      <c r="I81">
        <f>IFERROR(INDEX(tblDeviceConfig[PI_Result],ROW()-1),"")</f>
        <v>0</v>
      </c>
      <c r="J81">
        <f>IFERROR(INDEX(tblDeviceConfig[PI_Validated_By],ROW()-1),"")</f>
        <v>0</v>
      </c>
      <c r="K81">
        <f>IFERROR(INDEX(tblDeviceConfig[PI_Validated_Date],ROW()-1),"")</f>
        <v>0</v>
      </c>
      <c r="L81">
        <f t="shared" si="2"/>
        <v>0</v>
      </c>
      <c r="M81" t="str">
        <f t="shared" si="3"/>
        <v/>
      </c>
    </row>
    <row r="82" spans="1:13">
      <c r="A82">
        <f>ROW()</f>
        <v>82</v>
      </c>
      <c r="B82" t="str">
        <f>IFERROR(INDEX(tblDeviceConfig[Device Type],ROW()-1),"")</f>
        <v>Cybernet</v>
      </c>
      <c r="C82">
        <f>IFERROR(INDEX(tblDeviceConfig[Deployed],ROW()-1),"")</f>
        <v>0</v>
      </c>
      <c r="D82" t="str">
        <f>IFERROR(INDEX(tblDeviceConfig[Installed],ROW()-1),"")</f>
        <v>No</v>
      </c>
      <c r="E82">
        <f>IFERROR(INDEX(tblDeviceConfig[Cybernet Hostname],ROW()-1),"")</f>
        <v>0</v>
      </c>
      <c r="F82" t="str">
        <f>IFERROR(INDEX(tblDeviceConfig[Neuron Hostname],ROW()-1),"")</f>
        <v>WLS450OPR005</v>
      </c>
      <c r="G82">
        <f>IFERROR(INDEX(tblDeviceConfig[Software List],ROW()-1),"")</f>
        <v>0</v>
      </c>
      <c r="H82">
        <f>IFERROR(INDEX(tblDeviceConfig[PI_Use_Case],ROW()-1),"")</f>
        <v>0</v>
      </c>
      <c r="I82">
        <f>IFERROR(INDEX(tblDeviceConfig[PI_Result],ROW()-1),"")</f>
        <v>0</v>
      </c>
      <c r="J82">
        <f>IFERROR(INDEX(tblDeviceConfig[PI_Validated_By],ROW()-1),"")</f>
        <v>0</v>
      </c>
      <c r="K82">
        <f>IFERROR(INDEX(tblDeviceConfig[PI_Validated_Date],ROW()-1),"")</f>
        <v>0</v>
      </c>
      <c r="L82">
        <f t="shared" si="2"/>
        <v>0</v>
      </c>
      <c r="M82" t="str">
        <f t="shared" si="3"/>
        <v/>
      </c>
    </row>
    <row r="83" spans="1:13">
      <c r="A83">
        <f>ROW()</f>
        <v>83</v>
      </c>
      <c r="B83" t="str">
        <f>IFERROR(INDEX(tblDeviceConfig[Device Type],ROW()-1),"")</f>
        <v>Cybernet</v>
      </c>
      <c r="C83">
        <f>IFERROR(INDEX(tblDeviceConfig[Deployed],ROW()-1),"")</f>
        <v>0</v>
      </c>
      <c r="D83" t="str">
        <f>IFERROR(INDEX(tblDeviceConfig[Installed],ROW()-1),"")</f>
        <v>No</v>
      </c>
      <c r="E83">
        <f>IFERROR(INDEX(tblDeviceConfig[Cybernet Hostname],ROW()-1),"")</f>
        <v>0</v>
      </c>
      <c r="F83" t="str">
        <f>IFERROR(INDEX(tblDeviceConfig[Neuron Hostname],ROW()-1),"")</f>
        <v>WLS450OPR006</v>
      </c>
      <c r="G83">
        <f>IFERROR(INDEX(tblDeviceConfig[Software List],ROW()-1),"")</f>
        <v>0</v>
      </c>
      <c r="H83">
        <f>IFERROR(INDEX(tblDeviceConfig[PI_Use_Case],ROW()-1),"")</f>
        <v>0</v>
      </c>
      <c r="I83">
        <f>IFERROR(INDEX(tblDeviceConfig[PI_Result],ROW()-1),"")</f>
        <v>0</v>
      </c>
      <c r="J83">
        <f>IFERROR(INDEX(tblDeviceConfig[PI_Validated_By],ROW()-1),"")</f>
        <v>0</v>
      </c>
      <c r="K83">
        <f>IFERROR(INDEX(tblDeviceConfig[PI_Validated_Date],ROW()-1),"")</f>
        <v>0</v>
      </c>
      <c r="L83">
        <f t="shared" si="2"/>
        <v>0</v>
      </c>
      <c r="M83" t="str">
        <f t="shared" si="3"/>
        <v/>
      </c>
    </row>
    <row r="84" spans="1:13">
      <c r="A84">
        <f>ROW()</f>
        <v>84</v>
      </c>
      <c r="B84" t="str">
        <f>IFERROR(INDEX(tblDeviceConfig[Device Type],ROW()-1),"")</f>
        <v>Cybernet</v>
      </c>
      <c r="C84">
        <f>IFERROR(INDEX(tblDeviceConfig[Deployed],ROW()-1),"")</f>
        <v>0</v>
      </c>
      <c r="D84" t="str">
        <f>IFERROR(INDEX(tblDeviceConfig[Installed],ROW()-1),"")</f>
        <v>No</v>
      </c>
      <c r="E84">
        <f>IFERROR(INDEX(tblDeviceConfig[Cybernet Hostname],ROW()-1),"")</f>
        <v>0</v>
      </c>
      <c r="F84" t="str">
        <f>IFERROR(INDEX(tblDeviceConfig[Neuron Hostname],ROW()-1),"")</f>
        <v>WLS450OPR007</v>
      </c>
      <c r="G84">
        <f>IFERROR(INDEX(tblDeviceConfig[Software List],ROW()-1),"")</f>
        <v>0</v>
      </c>
      <c r="H84">
        <f>IFERROR(INDEX(tblDeviceConfig[PI_Use_Case],ROW()-1),"")</f>
        <v>0</v>
      </c>
      <c r="I84">
        <f>IFERROR(INDEX(tblDeviceConfig[PI_Result],ROW()-1),"")</f>
        <v>0</v>
      </c>
      <c r="J84">
        <f>IFERROR(INDEX(tblDeviceConfig[PI_Validated_By],ROW()-1),"")</f>
        <v>0</v>
      </c>
      <c r="K84">
        <f>IFERROR(INDEX(tblDeviceConfig[PI_Validated_Date],ROW()-1),"")</f>
        <v>0</v>
      </c>
      <c r="L84">
        <f t="shared" si="2"/>
        <v>0</v>
      </c>
      <c r="M84" t="str">
        <f t="shared" si="3"/>
        <v/>
      </c>
    </row>
    <row r="85" spans="1:13">
      <c r="A85">
        <f>ROW()</f>
        <v>85</v>
      </c>
      <c r="B85" t="str">
        <f>IFERROR(INDEX(tblDeviceConfig[Device Type],ROW()-1),"")</f>
        <v>Cybernet</v>
      </c>
      <c r="C85" t="str">
        <f>IFERROR(INDEX(tblDeviceConfig[Deployed],ROW()-1),"")</f>
        <v>No</v>
      </c>
      <c r="D85" t="str">
        <f>IFERROR(INDEX(tblDeviceConfig[Installed],ROW()-1),"")</f>
        <v>No</v>
      </c>
      <c r="E85">
        <f>IFERROR(INDEX(tblDeviceConfig[Cybernet Hostname],ROW()-1),"")</f>
        <v>0</v>
      </c>
      <c r="F85" t="str">
        <f>IFERROR(INDEX(tblDeviceConfig[Neuron Hostname],ROW()-1),"")</f>
        <v>WNH269OPR022</v>
      </c>
      <c r="G85">
        <f>IFERROR(INDEX(tblDeviceConfig[Software List],ROW()-1),"")</f>
        <v>0</v>
      </c>
      <c r="H85">
        <f>IFERROR(INDEX(tblDeviceConfig[PI_Use_Case],ROW()-1),"")</f>
        <v>0</v>
      </c>
      <c r="I85">
        <f>IFERROR(INDEX(tblDeviceConfig[PI_Result],ROW()-1),"")</f>
        <v>0</v>
      </c>
      <c r="J85">
        <f>IFERROR(INDEX(tblDeviceConfig[PI_Validated_By],ROW()-1),"")</f>
        <v>0</v>
      </c>
      <c r="K85">
        <f>IFERROR(INDEX(tblDeviceConfig[PI_Validated_Date],ROW()-1),"")</f>
        <v>0</v>
      </c>
      <c r="L85">
        <f t="shared" si="2"/>
        <v>0</v>
      </c>
      <c r="M85" t="str">
        <f t="shared" si="3"/>
        <v/>
      </c>
    </row>
    <row r="86" spans="1:13">
      <c r="A86">
        <f>ROW()</f>
        <v>86</v>
      </c>
      <c r="B86" t="str">
        <f>IFERROR(INDEX(tblDeviceConfig[Device Type],ROW()-1),"")</f>
        <v>Cybernet</v>
      </c>
      <c r="C86" t="str">
        <f>IFERROR(INDEX(tblDeviceConfig[Deployed],ROW()-1),"")</f>
        <v>No</v>
      </c>
      <c r="D86" t="str">
        <f>IFERROR(INDEX(tblDeviceConfig[Installed],ROW()-1),"")</f>
        <v>No</v>
      </c>
      <c r="E86">
        <f>IFERROR(INDEX(tblDeviceConfig[Cybernet Hostname],ROW()-1),"")</f>
        <v>0</v>
      </c>
      <c r="F86" t="str">
        <f>IFERROR(INDEX(tblDeviceConfig[Neuron Hostname],ROW()-1),"")</f>
        <v>WNH269OPR023</v>
      </c>
      <c r="G86">
        <f>IFERROR(INDEX(tblDeviceConfig[Software List],ROW()-1),"")</f>
        <v>0</v>
      </c>
      <c r="H86">
        <f>IFERROR(INDEX(tblDeviceConfig[PI_Use_Case],ROW()-1),"")</f>
        <v>0</v>
      </c>
      <c r="I86">
        <f>IFERROR(INDEX(tblDeviceConfig[PI_Result],ROW()-1),"")</f>
        <v>0</v>
      </c>
      <c r="J86">
        <f>IFERROR(INDEX(tblDeviceConfig[PI_Validated_By],ROW()-1),"")</f>
        <v>0</v>
      </c>
      <c r="K86">
        <f>IFERROR(INDEX(tblDeviceConfig[PI_Validated_Date],ROW()-1),"")</f>
        <v>0</v>
      </c>
      <c r="L86">
        <f t="shared" si="2"/>
        <v>0</v>
      </c>
      <c r="M86" t="str">
        <f t="shared" si="3"/>
        <v/>
      </c>
    </row>
    <row r="87" spans="1:13">
      <c r="A87">
        <f>ROW()</f>
        <v>87</v>
      </c>
      <c r="B87" t="str">
        <f>IFERROR(INDEX(tblDeviceConfig[Device Type],ROW()-1),"")</f>
        <v>Cybernet</v>
      </c>
      <c r="C87" t="str">
        <f>IFERROR(INDEX(tblDeviceConfig[Deployed],ROW()-1),"")</f>
        <v>No</v>
      </c>
      <c r="D87" t="str">
        <f>IFERROR(INDEX(tblDeviceConfig[Installed],ROW()-1),"")</f>
        <v>No</v>
      </c>
      <c r="E87">
        <f>IFERROR(INDEX(tblDeviceConfig[Cybernet Hostname],ROW()-1),"")</f>
        <v>0</v>
      </c>
      <c r="F87" t="str">
        <f>IFERROR(INDEX(tblDeviceConfig[Neuron Hostname],ROW()-1),"")</f>
        <v>WNH269OPR024</v>
      </c>
      <c r="G87">
        <f>IFERROR(INDEX(tblDeviceConfig[Software List],ROW()-1),"")</f>
        <v>0</v>
      </c>
      <c r="H87">
        <f>IFERROR(INDEX(tblDeviceConfig[PI_Use_Case],ROW()-1),"")</f>
        <v>0</v>
      </c>
      <c r="I87">
        <f>IFERROR(INDEX(tblDeviceConfig[PI_Result],ROW()-1),"")</f>
        <v>0</v>
      </c>
      <c r="J87">
        <f>IFERROR(INDEX(tblDeviceConfig[PI_Validated_By],ROW()-1),"")</f>
        <v>0</v>
      </c>
      <c r="K87">
        <f>IFERROR(INDEX(tblDeviceConfig[PI_Validated_Date],ROW()-1),"")</f>
        <v>0</v>
      </c>
      <c r="L87">
        <f t="shared" si="2"/>
        <v>0</v>
      </c>
      <c r="M87" t="str">
        <f t="shared" si="3"/>
        <v/>
      </c>
    </row>
    <row r="88" spans="1:13">
      <c r="A88">
        <f>ROW()</f>
        <v>88</v>
      </c>
      <c r="B88" t="str">
        <f>IFERROR(INDEX(tblDeviceConfig[Device Type],ROW()-1),"")</f>
        <v>Cybernet</v>
      </c>
      <c r="C88" t="str">
        <f>IFERROR(INDEX(tblDeviceConfig[Deployed],ROW()-1),"")</f>
        <v>No</v>
      </c>
      <c r="D88" t="str">
        <f>IFERROR(INDEX(tblDeviceConfig[Installed],ROW()-1),"")</f>
        <v>No</v>
      </c>
      <c r="E88">
        <f>IFERROR(INDEX(tblDeviceConfig[Cybernet Hostname],ROW()-1),"")</f>
        <v>0</v>
      </c>
      <c r="F88" t="str">
        <f>IFERROR(INDEX(tblDeviceConfig[Neuron Hostname],ROW()-1),"")</f>
        <v>WNH269OPR025</v>
      </c>
      <c r="G88">
        <f>IFERROR(INDEX(tblDeviceConfig[Software List],ROW()-1),"")</f>
        <v>0</v>
      </c>
      <c r="H88">
        <f>IFERROR(INDEX(tblDeviceConfig[PI_Use_Case],ROW()-1),"")</f>
        <v>0</v>
      </c>
      <c r="I88">
        <f>IFERROR(INDEX(tblDeviceConfig[PI_Result],ROW()-1),"")</f>
        <v>0</v>
      </c>
      <c r="J88">
        <f>IFERROR(INDEX(tblDeviceConfig[PI_Validated_By],ROW()-1),"")</f>
        <v>0</v>
      </c>
      <c r="K88">
        <f>IFERROR(INDEX(tblDeviceConfig[PI_Validated_Date],ROW()-1),"")</f>
        <v>0</v>
      </c>
      <c r="L88">
        <f t="shared" si="2"/>
        <v>0</v>
      </c>
      <c r="M88" t="str">
        <f t="shared" si="3"/>
        <v/>
      </c>
    </row>
    <row r="89" spans="1:13">
      <c r="A89">
        <f>ROW()</f>
        <v>89</v>
      </c>
      <c r="B89" t="str">
        <f>IFERROR(INDEX(tblDeviceConfig[Device Type],ROW()-1),"")</f>
        <v>Cybernet</v>
      </c>
      <c r="C89" t="str">
        <f>IFERROR(INDEX(tblDeviceConfig[Deployed],ROW()-1),"")</f>
        <v>No</v>
      </c>
      <c r="D89" t="str">
        <f>IFERROR(INDEX(tblDeviceConfig[Installed],ROW()-1),"")</f>
        <v>No</v>
      </c>
      <c r="E89">
        <f>IFERROR(INDEX(tblDeviceConfig[Cybernet Hostname],ROW()-1),"")</f>
        <v>0</v>
      </c>
      <c r="F89" t="str">
        <f>IFERROR(INDEX(tblDeviceConfig[Neuron Hostname],ROW()-1),"")</f>
        <v>WNH269OPR026</v>
      </c>
      <c r="G89">
        <f>IFERROR(INDEX(tblDeviceConfig[Software List],ROW()-1),"")</f>
        <v>0</v>
      </c>
      <c r="H89">
        <f>IFERROR(INDEX(tblDeviceConfig[PI_Use_Case],ROW()-1),"")</f>
        <v>0</v>
      </c>
      <c r="I89">
        <f>IFERROR(INDEX(tblDeviceConfig[PI_Result],ROW()-1),"")</f>
        <v>0</v>
      </c>
      <c r="J89">
        <f>IFERROR(INDEX(tblDeviceConfig[PI_Validated_By],ROW()-1),"")</f>
        <v>0</v>
      </c>
      <c r="K89">
        <f>IFERROR(INDEX(tblDeviceConfig[PI_Validated_Date],ROW()-1),"")</f>
        <v>0</v>
      </c>
      <c r="L89">
        <f t="shared" si="2"/>
        <v>0</v>
      </c>
      <c r="M89" t="str">
        <f t="shared" si="3"/>
        <v/>
      </c>
    </row>
    <row r="90" spans="1:13">
      <c r="A90">
        <f>ROW()</f>
        <v>90</v>
      </c>
      <c r="B90" t="str">
        <f>IFERROR(INDEX(tblDeviceConfig[Device Type],ROW()-1),"")</f>
        <v>Cybernet</v>
      </c>
      <c r="C90">
        <f>IFERROR(INDEX(tblDeviceConfig[Deployed],ROW()-1),"")</f>
        <v>0</v>
      </c>
      <c r="D90" t="str">
        <f>IFERROR(INDEX(tblDeviceConfig[Installed],ROW()-1),"")</f>
        <v>No</v>
      </c>
      <c r="E90">
        <f>IFERROR(INDEX(tblDeviceConfig[Cybernet Hostname],ROW()-1),"")</f>
        <v>0</v>
      </c>
      <c r="F90" t="str">
        <f>IFERROR(INDEX(tblDeviceConfig[Neuron Hostname],ROW()-1),"")</f>
        <v>WNH270OPR403</v>
      </c>
      <c r="G90">
        <f>IFERROR(INDEX(tblDeviceConfig[Software List],ROW()-1),"")</f>
        <v>0</v>
      </c>
      <c r="H90">
        <f>IFERROR(INDEX(tblDeviceConfig[PI_Use_Case],ROW()-1),"")</f>
        <v>0</v>
      </c>
      <c r="I90">
        <f>IFERROR(INDEX(tblDeviceConfig[PI_Result],ROW()-1),"")</f>
        <v>0</v>
      </c>
      <c r="J90">
        <f>IFERROR(INDEX(tblDeviceConfig[PI_Validated_By],ROW()-1),"")</f>
        <v>0</v>
      </c>
      <c r="K90">
        <f>IFERROR(INDEX(tblDeviceConfig[PI_Validated_Date],ROW()-1),"")</f>
        <v>0</v>
      </c>
      <c r="L90">
        <f t="shared" si="2"/>
        <v>0</v>
      </c>
      <c r="M90" t="str">
        <f t="shared" si="3"/>
        <v/>
      </c>
    </row>
    <row r="91" spans="1:13">
      <c r="A91">
        <f>ROW()</f>
        <v>91</v>
      </c>
      <c r="B91" t="str">
        <f>IFERROR(INDEX(tblDeviceConfig[Device Type],ROW()-1),"")</f>
        <v>Cybernet</v>
      </c>
      <c r="C91">
        <f>IFERROR(INDEX(tblDeviceConfig[Deployed],ROW()-1),"")</f>
        <v>0</v>
      </c>
      <c r="D91" t="str">
        <f>IFERROR(INDEX(tblDeviceConfig[Installed],ROW()-1),"")</f>
        <v>No</v>
      </c>
      <c r="E91">
        <f>IFERROR(INDEX(tblDeviceConfig[Cybernet Hostname],ROW()-1),"")</f>
        <v>0</v>
      </c>
      <c r="F91" t="str">
        <f>IFERROR(INDEX(tblDeviceConfig[Neuron Hostname],ROW()-1),"")</f>
        <v>WNH270OPR404</v>
      </c>
      <c r="G91">
        <f>IFERROR(INDEX(tblDeviceConfig[Software List],ROW()-1),"")</f>
        <v>0</v>
      </c>
      <c r="H91">
        <f>IFERROR(INDEX(tblDeviceConfig[PI_Use_Case],ROW()-1),"")</f>
        <v>0</v>
      </c>
      <c r="I91">
        <f>IFERROR(INDEX(tblDeviceConfig[PI_Result],ROW()-1),"")</f>
        <v>0</v>
      </c>
      <c r="J91">
        <f>IFERROR(INDEX(tblDeviceConfig[PI_Validated_By],ROW()-1),"")</f>
        <v>0</v>
      </c>
      <c r="K91">
        <f>IFERROR(INDEX(tblDeviceConfig[PI_Validated_Date],ROW()-1),"")</f>
        <v>0</v>
      </c>
      <c r="L91">
        <f t="shared" si="2"/>
        <v>0</v>
      </c>
      <c r="M91" t="str">
        <f t="shared" si="3"/>
        <v/>
      </c>
    </row>
    <row r="92" spans="1:13">
      <c r="A92">
        <f>ROW()</f>
        <v>92</v>
      </c>
      <c r="B92" t="str">
        <f>IFERROR(INDEX(tblDeviceConfig[Device Type],ROW()-1),"")</f>
        <v>Cybernet</v>
      </c>
      <c r="C92">
        <f>IFERROR(INDEX(tblDeviceConfig[Deployed],ROW()-1),"")</f>
        <v>0</v>
      </c>
      <c r="D92" t="str">
        <f>IFERROR(INDEX(tblDeviceConfig[Installed],ROW()-1),"")</f>
        <v>No</v>
      </c>
      <c r="E92">
        <f>IFERROR(INDEX(tblDeviceConfig[Cybernet Hostname],ROW()-1),"")</f>
        <v>0</v>
      </c>
      <c r="F92" t="str">
        <f>IFERROR(INDEX(tblDeviceConfig[Neuron Hostname],ROW()-1),"")</f>
        <v>WNH270OPR405</v>
      </c>
      <c r="G92">
        <f>IFERROR(INDEX(tblDeviceConfig[Software List],ROW()-1),"")</f>
        <v>0</v>
      </c>
      <c r="H92">
        <f>IFERROR(INDEX(tblDeviceConfig[PI_Use_Case],ROW()-1),"")</f>
        <v>0</v>
      </c>
      <c r="I92">
        <f>IFERROR(INDEX(tblDeviceConfig[PI_Result],ROW()-1),"")</f>
        <v>0</v>
      </c>
      <c r="J92">
        <f>IFERROR(INDEX(tblDeviceConfig[PI_Validated_By],ROW()-1),"")</f>
        <v>0</v>
      </c>
      <c r="K92">
        <f>IFERROR(INDEX(tblDeviceConfig[PI_Validated_Date],ROW()-1),"")</f>
        <v>0</v>
      </c>
      <c r="L92">
        <f t="shared" si="2"/>
        <v>0</v>
      </c>
      <c r="M92" t="str">
        <f t="shared" si="3"/>
        <v/>
      </c>
    </row>
    <row r="93" spans="1:13">
      <c r="A93">
        <f>ROW()</f>
        <v>93</v>
      </c>
      <c r="B93" t="str">
        <f>IFERROR(INDEX(tblDeviceConfig[Device Type],ROW()-1),"")</f>
        <v>Cybernet</v>
      </c>
      <c r="C93">
        <f>IFERROR(INDEX(tblDeviceConfig[Deployed],ROW()-1),"")</f>
        <v>0</v>
      </c>
      <c r="D93" t="str">
        <f>IFERROR(INDEX(tblDeviceConfig[Installed],ROW()-1),"")</f>
        <v>No</v>
      </c>
      <c r="E93">
        <f>IFERROR(INDEX(tblDeviceConfig[Cybernet Hostname],ROW()-1),"")</f>
        <v>0</v>
      </c>
      <c r="F93" t="str">
        <f>IFERROR(INDEX(tblDeviceConfig[Neuron Hostname],ROW()-1),"")</f>
        <v>WNH270OPR406</v>
      </c>
      <c r="G93">
        <f>IFERROR(INDEX(tblDeviceConfig[Software List],ROW()-1),"")</f>
        <v>0</v>
      </c>
      <c r="H93">
        <f>IFERROR(INDEX(tblDeviceConfig[PI_Use_Case],ROW()-1),"")</f>
        <v>0</v>
      </c>
      <c r="I93">
        <f>IFERROR(INDEX(tblDeviceConfig[PI_Result],ROW()-1),"")</f>
        <v>0</v>
      </c>
      <c r="J93">
        <f>IFERROR(INDEX(tblDeviceConfig[PI_Validated_By],ROW()-1),"")</f>
        <v>0</v>
      </c>
      <c r="K93">
        <f>IFERROR(INDEX(tblDeviceConfig[PI_Validated_Date],ROW()-1),"")</f>
        <v>0</v>
      </c>
      <c r="L93">
        <f t="shared" si="2"/>
        <v>0</v>
      </c>
      <c r="M93" t="str">
        <f t="shared" si="3"/>
        <v/>
      </c>
    </row>
    <row r="94" spans="1:13">
      <c r="A94">
        <f>ROW()</f>
        <v>94</v>
      </c>
      <c r="B94" t="str">
        <f>IFERROR(INDEX(tblDeviceConfig[Device Type],ROW()-1),"")</f>
        <v>Cybernet</v>
      </c>
      <c r="C94">
        <f>IFERROR(INDEX(tblDeviceConfig[Deployed],ROW()-1),"")</f>
        <v>0</v>
      </c>
      <c r="D94" t="str">
        <f>IFERROR(INDEX(tblDeviceConfig[Installed],ROW()-1),"")</f>
        <v>No</v>
      </c>
      <c r="E94">
        <f>IFERROR(INDEX(tblDeviceConfig[Cybernet Hostname],ROW()-1),"")</f>
        <v>0</v>
      </c>
      <c r="F94" t="str">
        <f>IFERROR(INDEX(tblDeviceConfig[Neuron Hostname],ROW()-1),"")</f>
        <v>WNH270OPR407</v>
      </c>
      <c r="G94">
        <f>IFERROR(INDEX(tblDeviceConfig[Software List],ROW()-1),"")</f>
        <v>0</v>
      </c>
      <c r="H94">
        <f>IFERROR(INDEX(tblDeviceConfig[PI_Use_Case],ROW()-1),"")</f>
        <v>0</v>
      </c>
      <c r="I94">
        <f>IFERROR(INDEX(tblDeviceConfig[PI_Result],ROW()-1),"")</f>
        <v>0</v>
      </c>
      <c r="J94">
        <f>IFERROR(INDEX(tblDeviceConfig[PI_Validated_By],ROW()-1),"")</f>
        <v>0</v>
      </c>
      <c r="K94">
        <f>IFERROR(INDEX(tblDeviceConfig[PI_Validated_Date],ROW()-1),"")</f>
        <v>0</v>
      </c>
      <c r="L94">
        <f t="shared" si="2"/>
        <v>0</v>
      </c>
      <c r="M94" t="str">
        <f t="shared" si="3"/>
        <v/>
      </c>
    </row>
    <row r="95" spans="1:13">
      <c r="A95">
        <f>ROW()</f>
        <v>95</v>
      </c>
      <c r="B95" t="str">
        <f>IFERROR(INDEX(tblDeviceConfig[Device Type],ROW()-1),"")</f>
        <v>Cybernet</v>
      </c>
      <c r="C95">
        <f>IFERROR(INDEX(tblDeviceConfig[Deployed],ROW()-1),"")</f>
        <v>0</v>
      </c>
      <c r="D95" t="str">
        <f>IFERROR(INDEX(tblDeviceConfig[Installed],ROW()-1),"")</f>
        <v>No</v>
      </c>
      <c r="E95">
        <f>IFERROR(INDEX(tblDeviceConfig[Cybernet Hostname],ROW()-1),"")</f>
        <v>0</v>
      </c>
      <c r="F95" t="str">
        <f>IFERROR(INDEX(tblDeviceConfig[Neuron Hostname],ROW()-1),"")</f>
        <v>WNH270OPR408</v>
      </c>
      <c r="G95">
        <f>IFERROR(INDEX(tblDeviceConfig[Software List],ROW()-1),"")</f>
        <v>0</v>
      </c>
      <c r="H95">
        <f>IFERROR(INDEX(tblDeviceConfig[PI_Use_Case],ROW()-1),"")</f>
        <v>0</v>
      </c>
      <c r="I95">
        <f>IFERROR(INDEX(tblDeviceConfig[PI_Result],ROW()-1),"")</f>
        <v>0</v>
      </c>
      <c r="J95">
        <f>IFERROR(INDEX(tblDeviceConfig[PI_Validated_By],ROW()-1),"")</f>
        <v>0</v>
      </c>
      <c r="K95">
        <f>IFERROR(INDEX(tblDeviceConfig[PI_Validated_Date],ROW()-1),"")</f>
        <v>0</v>
      </c>
      <c r="L95">
        <f t="shared" si="2"/>
        <v>0</v>
      </c>
      <c r="M95" t="str">
        <f t="shared" si="3"/>
        <v/>
      </c>
    </row>
    <row r="96" spans="1:13">
      <c r="A96">
        <f>ROW()</f>
        <v>96</v>
      </c>
      <c r="B96" t="str">
        <f>IFERROR(INDEX(tblDeviceConfig[Device Type],ROW()-1),"")</f>
        <v>Cybernet</v>
      </c>
      <c r="C96">
        <f>IFERROR(INDEX(tblDeviceConfig[Deployed],ROW()-1),"")</f>
        <v>0</v>
      </c>
      <c r="D96" t="str">
        <f>IFERROR(INDEX(tblDeviceConfig[Installed],ROW()-1),"")</f>
        <v>No</v>
      </c>
      <c r="E96">
        <f>IFERROR(INDEX(tblDeviceConfig[Cybernet Hostname],ROW()-1),"")</f>
        <v>0</v>
      </c>
      <c r="F96" t="str">
        <f>IFERROR(INDEX(tblDeviceConfig[Neuron Hostname],ROW()-1),"")</f>
        <v>WNH270OPR409</v>
      </c>
      <c r="G96">
        <f>IFERROR(INDEX(tblDeviceConfig[Software List],ROW()-1),"")</f>
        <v>0</v>
      </c>
      <c r="H96">
        <f>IFERROR(INDEX(tblDeviceConfig[PI_Use_Case],ROW()-1),"")</f>
        <v>0</v>
      </c>
      <c r="I96">
        <f>IFERROR(INDEX(tblDeviceConfig[PI_Result],ROW()-1),"")</f>
        <v>0</v>
      </c>
      <c r="J96">
        <f>IFERROR(INDEX(tblDeviceConfig[PI_Validated_By],ROW()-1),"")</f>
        <v>0</v>
      </c>
      <c r="K96">
        <f>IFERROR(INDEX(tblDeviceConfig[PI_Validated_Date],ROW()-1),"")</f>
        <v>0</v>
      </c>
      <c r="L96">
        <f t="shared" si="2"/>
        <v>0</v>
      </c>
      <c r="M96" t="str">
        <f t="shared" si="3"/>
        <v/>
      </c>
    </row>
    <row r="97" spans="1:13">
      <c r="A97">
        <f>ROW()</f>
        <v>97</v>
      </c>
      <c r="B97" t="str">
        <f>IFERROR(INDEX(tblDeviceConfig[Device Type],ROW()-1),"")</f>
        <v>Cybernet</v>
      </c>
      <c r="C97">
        <f>IFERROR(INDEX(tblDeviceConfig[Deployed],ROW()-1),"")</f>
        <v>0</v>
      </c>
      <c r="D97" t="str">
        <f>IFERROR(INDEX(tblDeviceConfig[Installed],ROW()-1),"")</f>
        <v>No</v>
      </c>
      <c r="E97">
        <f>IFERROR(INDEX(tblDeviceConfig[Cybernet Hostname],ROW()-1),"")</f>
        <v>0</v>
      </c>
      <c r="F97" t="str">
        <f>IFERROR(INDEX(tblDeviceConfig[Neuron Hostname],ROW()-1),"")</f>
        <v>WNH270OPR410</v>
      </c>
      <c r="G97">
        <f>IFERROR(INDEX(tblDeviceConfig[Software List],ROW()-1),"")</f>
        <v>0</v>
      </c>
      <c r="H97">
        <f>IFERROR(INDEX(tblDeviceConfig[PI_Use_Case],ROW()-1),"")</f>
        <v>0</v>
      </c>
      <c r="I97">
        <f>IFERROR(INDEX(tblDeviceConfig[PI_Result],ROW()-1),"")</f>
        <v>0</v>
      </c>
      <c r="J97">
        <f>IFERROR(INDEX(tblDeviceConfig[PI_Validated_By],ROW()-1),"")</f>
        <v>0</v>
      </c>
      <c r="K97">
        <f>IFERROR(INDEX(tblDeviceConfig[PI_Validated_Date],ROW()-1),"")</f>
        <v>0</v>
      </c>
      <c r="L97">
        <f t="shared" si="2"/>
        <v>0</v>
      </c>
      <c r="M97" t="str">
        <f t="shared" si="3"/>
        <v/>
      </c>
    </row>
    <row r="98" spans="1:13">
      <c r="A98">
        <f>ROW()</f>
        <v>98</v>
      </c>
      <c r="B98" t="str">
        <f>IFERROR(INDEX(tblDeviceConfig[Device Type],ROW()-1),"")</f>
        <v>Cybernet</v>
      </c>
      <c r="C98">
        <f>IFERROR(INDEX(tblDeviceConfig[Deployed],ROW()-1),"")</f>
        <v>0</v>
      </c>
      <c r="D98" t="str">
        <f>IFERROR(INDEX(tblDeviceConfig[Installed],ROW()-1),"")</f>
        <v>No</v>
      </c>
      <c r="E98">
        <f>IFERROR(INDEX(tblDeviceConfig[Cybernet Hostname],ROW()-1),"")</f>
        <v>0</v>
      </c>
      <c r="F98" t="str">
        <f>IFERROR(INDEX(tblDeviceConfig[Neuron Hostname],ROW()-1),"")</f>
        <v>WNH270OPR411</v>
      </c>
      <c r="G98">
        <f>IFERROR(INDEX(tblDeviceConfig[Software List],ROW()-1),"")</f>
        <v>0</v>
      </c>
      <c r="H98">
        <f>IFERROR(INDEX(tblDeviceConfig[PI_Use_Case],ROW()-1),"")</f>
        <v>0</v>
      </c>
      <c r="I98">
        <f>IFERROR(INDEX(tblDeviceConfig[PI_Result],ROW()-1),"")</f>
        <v>0</v>
      </c>
      <c r="J98">
        <f>IFERROR(INDEX(tblDeviceConfig[PI_Validated_By],ROW()-1),"")</f>
        <v>0</v>
      </c>
      <c r="K98">
        <f>IFERROR(INDEX(tblDeviceConfig[PI_Validated_Date],ROW()-1),"")</f>
        <v>0</v>
      </c>
      <c r="L98">
        <f t="shared" si="2"/>
        <v>0</v>
      </c>
      <c r="M98" t="str">
        <f t="shared" si="3"/>
        <v/>
      </c>
    </row>
    <row r="99" spans="1:13">
      <c r="A99">
        <f>ROW()</f>
        <v>99</v>
      </c>
      <c r="B99" t="str">
        <f>IFERROR(INDEX(tblDeviceConfig[Device Type],ROW()-1),"")</f>
        <v>Cybernet</v>
      </c>
      <c r="C99">
        <f>IFERROR(INDEX(tblDeviceConfig[Deployed],ROW()-1),"")</f>
        <v>0</v>
      </c>
      <c r="D99" t="str">
        <f>IFERROR(INDEX(tblDeviceConfig[Installed],ROW()-1),"")</f>
        <v>No</v>
      </c>
      <c r="E99">
        <f>IFERROR(INDEX(tblDeviceConfig[Cybernet Hostname],ROW()-1),"")</f>
        <v>0</v>
      </c>
      <c r="F99" t="str">
        <f>IFERROR(INDEX(tblDeviceConfig[Neuron Hostname],ROW()-1),"")</f>
        <v>WNH270OPR412</v>
      </c>
      <c r="G99">
        <f>IFERROR(INDEX(tblDeviceConfig[Software List],ROW()-1),"")</f>
        <v>0</v>
      </c>
      <c r="H99">
        <f>IFERROR(INDEX(tblDeviceConfig[PI_Use_Case],ROW()-1),"")</f>
        <v>0</v>
      </c>
      <c r="I99">
        <f>IFERROR(INDEX(tblDeviceConfig[PI_Result],ROW()-1),"")</f>
        <v>0</v>
      </c>
      <c r="J99">
        <f>IFERROR(INDEX(tblDeviceConfig[PI_Validated_By],ROW()-1),"")</f>
        <v>0</v>
      </c>
      <c r="K99">
        <f>IFERROR(INDEX(tblDeviceConfig[PI_Validated_Date],ROW()-1),"")</f>
        <v>0</v>
      </c>
      <c r="L99">
        <f t="shared" si="2"/>
        <v>0</v>
      </c>
      <c r="M99" t="str">
        <f t="shared" si="3"/>
        <v/>
      </c>
    </row>
    <row r="100" spans="1:13">
      <c r="A100">
        <f>ROW()</f>
        <v>100</v>
      </c>
      <c r="B100" t="str">
        <f>IFERROR(INDEX(tblDeviceConfig[Device Type],ROW()-1),"")</f>
        <v>Cybernet</v>
      </c>
      <c r="C100">
        <f>IFERROR(INDEX(tblDeviceConfig[Deployed],ROW()-1),"")</f>
        <v>0</v>
      </c>
      <c r="D100" t="str">
        <f>IFERROR(INDEX(tblDeviceConfig[Installed],ROW()-1),"")</f>
        <v>No</v>
      </c>
      <c r="E100">
        <f>IFERROR(INDEX(tblDeviceConfig[Cybernet Hostname],ROW()-1),"")</f>
        <v>0</v>
      </c>
      <c r="F100" t="str">
        <f>IFERROR(INDEX(tblDeviceConfig[Neuron Hostname],ROW()-1),"")</f>
        <v>BROKEN - Bluescreen@boot</v>
      </c>
      <c r="G100">
        <f>IFERROR(INDEX(tblDeviceConfig[Software List],ROW()-1),"")</f>
        <v>0</v>
      </c>
      <c r="H100">
        <f>IFERROR(INDEX(tblDeviceConfig[PI_Use_Case],ROW()-1),"")</f>
        <v>0</v>
      </c>
      <c r="I100">
        <f>IFERROR(INDEX(tblDeviceConfig[PI_Result],ROW()-1),"")</f>
        <v>0</v>
      </c>
      <c r="J100">
        <f>IFERROR(INDEX(tblDeviceConfig[PI_Validated_By],ROW()-1),"")</f>
        <v>0</v>
      </c>
      <c r="K100">
        <f>IFERROR(INDEX(tblDeviceConfig[PI_Validated_Date],ROW()-1),"")</f>
        <v>0</v>
      </c>
      <c r="L100">
        <f t="shared" si="2"/>
        <v>0</v>
      </c>
      <c r="M100" t="str">
        <f t="shared" si="3"/>
        <v/>
      </c>
    </row>
    <row r="101" spans="1:13">
      <c r="A101">
        <f>ROW()</f>
        <v>101</v>
      </c>
      <c r="B101" t="str">
        <f>IFERROR(INDEX(tblDeviceConfig[Device Type],ROW()-1),"")</f>
        <v>Cybernet</v>
      </c>
      <c r="C101">
        <f>IFERROR(INDEX(tblDeviceConfig[Deployed],ROW()-1),"")</f>
        <v>0</v>
      </c>
      <c r="D101" t="str">
        <f>IFERROR(INDEX(tblDeviceConfig[Installed],ROW()-1),"")</f>
        <v>No</v>
      </c>
      <c r="E101">
        <f>IFERROR(INDEX(tblDeviceConfig[Cybernet Hostname],ROW()-1),"")</f>
        <v>0</v>
      </c>
      <c r="F101" t="str">
        <f>IFERROR(INDEX(tblDeviceConfig[Neuron Hostname],ROW()-1),"")</f>
        <v>WNH270OPR413</v>
      </c>
      <c r="G101">
        <f>IFERROR(INDEX(tblDeviceConfig[Software List],ROW()-1),"")</f>
        <v>0</v>
      </c>
      <c r="H101">
        <f>IFERROR(INDEX(tblDeviceConfig[PI_Use_Case],ROW()-1),"")</f>
        <v>0</v>
      </c>
      <c r="I101">
        <f>IFERROR(INDEX(tblDeviceConfig[PI_Result],ROW()-1),"")</f>
        <v>0</v>
      </c>
      <c r="J101">
        <f>IFERROR(INDEX(tblDeviceConfig[PI_Validated_By],ROW()-1),"")</f>
        <v>0</v>
      </c>
      <c r="K101">
        <f>IFERROR(INDEX(tblDeviceConfig[PI_Validated_Date],ROW()-1),"")</f>
        <v>0</v>
      </c>
      <c r="L101">
        <f t="shared" si="2"/>
        <v>0</v>
      </c>
      <c r="M101" t="str">
        <f t="shared" si="3"/>
        <v/>
      </c>
    </row>
    <row r="102" spans="1:13">
      <c r="A102">
        <f>ROW()</f>
        <v>102</v>
      </c>
      <c r="B102" t="str">
        <f>IFERROR(INDEX(tblDeviceConfig[Device Type],ROW()-1),"")</f>
        <v>Cybernet</v>
      </c>
      <c r="C102">
        <f>IFERROR(INDEX(tblDeviceConfig[Deployed],ROW()-1),"")</f>
        <v>0</v>
      </c>
      <c r="D102" t="str">
        <f>IFERROR(INDEX(tblDeviceConfig[Installed],ROW()-1),"")</f>
        <v>No</v>
      </c>
      <c r="E102">
        <f>IFERROR(INDEX(tblDeviceConfig[Cybernet Hostname],ROW()-1),"")</f>
        <v>0</v>
      </c>
      <c r="F102" t="str">
        <f>IFERROR(INDEX(tblDeviceConfig[Neuron Hostname],ROW()-1),"")</f>
        <v>WNH270OPR414</v>
      </c>
      <c r="G102">
        <f>IFERROR(INDEX(tblDeviceConfig[Software List],ROW()-1),"")</f>
        <v>0</v>
      </c>
      <c r="H102">
        <f>IFERROR(INDEX(tblDeviceConfig[PI_Use_Case],ROW()-1),"")</f>
        <v>0</v>
      </c>
      <c r="I102">
        <f>IFERROR(INDEX(tblDeviceConfig[PI_Result],ROW()-1),"")</f>
        <v>0</v>
      </c>
      <c r="J102">
        <f>IFERROR(INDEX(tblDeviceConfig[PI_Validated_By],ROW()-1),"")</f>
        <v>0</v>
      </c>
      <c r="K102">
        <f>IFERROR(INDEX(tblDeviceConfig[PI_Validated_Date],ROW()-1),"")</f>
        <v>0</v>
      </c>
      <c r="L102">
        <f t="shared" si="2"/>
        <v>0</v>
      </c>
      <c r="M102" t="str">
        <f t="shared" si="3"/>
        <v/>
      </c>
    </row>
    <row r="103" spans="1:13">
      <c r="A103">
        <f>ROW()</f>
        <v>103</v>
      </c>
      <c r="B103" t="str">
        <f>IFERROR(INDEX(tblDeviceConfig[Device Type],ROW()-1),"")</f>
        <v>Cybernet</v>
      </c>
      <c r="C103">
        <f>IFERROR(INDEX(tblDeviceConfig[Deployed],ROW()-1),"")</f>
        <v>0</v>
      </c>
      <c r="D103" t="str">
        <f>IFERROR(INDEX(tblDeviceConfig[Installed],ROW()-1),"")</f>
        <v>No</v>
      </c>
      <c r="E103">
        <f>IFERROR(INDEX(tblDeviceConfig[Cybernet Hostname],ROW()-1),"")</f>
        <v>0</v>
      </c>
      <c r="F103" t="str">
        <f>IFERROR(INDEX(tblDeviceConfig[Neuron Hostname],ROW()-1),"")</f>
        <v>WNH270OPR415</v>
      </c>
      <c r="G103">
        <f>IFERROR(INDEX(tblDeviceConfig[Software List],ROW()-1),"")</f>
        <v>0</v>
      </c>
      <c r="H103">
        <f>IFERROR(INDEX(tblDeviceConfig[PI_Use_Case],ROW()-1),"")</f>
        <v>0</v>
      </c>
      <c r="I103">
        <f>IFERROR(INDEX(tblDeviceConfig[PI_Result],ROW()-1),"")</f>
        <v>0</v>
      </c>
      <c r="J103">
        <f>IFERROR(INDEX(tblDeviceConfig[PI_Validated_By],ROW()-1),"")</f>
        <v>0</v>
      </c>
      <c r="K103">
        <f>IFERROR(INDEX(tblDeviceConfig[PI_Validated_Date],ROW()-1),"")</f>
        <v>0</v>
      </c>
      <c r="L103">
        <f t="shared" si="2"/>
        <v>0</v>
      </c>
      <c r="M103" t="str">
        <f t="shared" si="3"/>
        <v/>
      </c>
    </row>
    <row r="104" spans="1:13">
      <c r="A104">
        <f>ROW()</f>
        <v>104</v>
      </c>
      <c r="B104" t="str">
        <f>IFERROR(INDEX(tblDeviceConfig[Device Type],ROW()-1),"")</f>
        <v>Cybernet</v>
      </c>
      <c r="C104">
        <f>IFERROR(INDEX(tblDeviceConfig[Deployed],ROW()-1),"")</f>
        <v>0</v>
      </c>
      <c r="D104" t="str">
        <f>IFERROR(INDEX(tblDeviceConfig[Installed],ROW()-1),"")</f>
        <v>No</v>
      </c>
      <c r="E104">
        <f>IFERROR(INDEX(tblDeviceConfig[Cybernet Hostname],ROW()-1),"")</f>
        <v>0</v>
      </c>
      <c r="F104" t="str">
        <f>IFERROR(INDEX(tblDeviceConfig[Neuron Hostname],ROW()-1),"")</f>
        <v>WNH270OPR416</v>
      </c>
      <c r="G104">
        <f>IFERROR(INDEX(tblDeviceConfig[Software List],ROW()-1),"")</f>
        <v>0</v>
      </c>
      <c r="H104">
        <f>IFERROR(INDEX(tblDeviceConfig[PI_Use_Case],ROW()-1),"")</f>
        <v>0</v>
      </c>
      <c r="I104">
        <f>IFERROR(INDEX(tblDeviceConfig[PI_Result],ROW()-1),"")</f>
        <v>0</v>
      </c>
      <c r="J104">
        <f>IFERROR(INDEX(tblDeviceConfig[PI_Validated_By],ROW()-1),"")</f>
        <v>0</v>
      </c>
      <c r="K104">
        <f>IFERROR(INDEX(tblDeviceConfig[PI_Validated_Date],ROW()-1),"")</f>
        <v>0</v>
      </c>
      <c r="L104">
        <f t="shared" si="2"/>
        <v>0</v>
      </c>
      <c r="M104" t="str">
        <f t="shared" si="3"/>
        <v/>
      </c>
    </row>
    <row r="105" spans="1:13">
      <c r="A105">
        <f>ROW()</f>
        <v>105</v>
      </c>
      <c r="B105" t="str">
        <f>IFERROR(INDEX(tblDeviceConfig[Device Type],ROW()-1),"")</f>
        <v>Cybernet</v>
      </c>
      <c r="C105">
        <f>IFERROR(INDEX(tblDeviceConfig[Deployed],ROW()-1),"")</f>
        <v>0</v>
      </c>
      <c r="D105" t="str">
        <f>IFERROR(INDEX(tblDeviceConfig[Installed],ROW()-1),"")</f>
        <v>No</v>
      </c>
      <c r="E105">
        <f>IFERROR(INDEX(tblDeviceConfig[Cybernet Hostname],ROW()-1),"")</f>
        <v>0</v>
      </c>
      <c r="F105" t="str">
        <f>IFERROR(INDEX(tblDeviceConfig[Neuron Hostname],ROW()-1),"")</f>
        <v>WNH270OPR417</v>
      </c>
      <c r="G105">
        <f>IFERROR(INDEX(tblDeviceConfig[Software List],ROW()-1),"")</f>
        <v>0</v>
      </c>
      <c r="H105">
        <f>IFERROR(INDEX(tblDeviceConfig[PI_Use_Case],ROW()-1),"")</f>
        <v>0</v>
      </c>
      <c r="I105">
        <f>IFERROR(INDEX(tblDeviceConfig[PI_Result],ROW()-1),"")</f>
        <v>0</v>
      </c>
      <c r="J105">
        <f>IFERROR(INDEX(tblDeviceConfig[PI_Validated_By],ROW()-1),"")</f>
        <v>0</v>
      </c>
      <c r="K105">
        <f>IFERROR(INDEX(tblDeviceConfig[PI_Validated_Date],ROW()-1),"")</f>
        <v>0</v>
      </c>
      <c r="L105">
        <f t="shared" si="2"/>
        <v>0</v>
      </c>
      <c r="M105" t="str">
        <f t="shared" si="3"/>
        <v/>
      </c>
    </row>
    <row r="106" spans="1:13">
      <c r="A106">
        <f>ROW()</f>
        <v>106</v>
      </c>
      <c r="B106" t="str">
        <f>IFERROR(INDEX(tblDeviceConfig[Device Type],ROW()-1),"")</f>
        <v>Cybernet</v>
      </c>
      <c r="C106">
        <f>IFERROR(INDEX(tblDeviceConfig[Deployed],ROW()-1),"")</f>
        <v>0</v>
      </c>
      <c r="D106" t="str">
        <f>IFERROR(INDEX(tblDeviceConfig[Installed],ROW()-1),"")</f>
        <v>No</v>
      </c>
      <c r="E106">
        <f>IFERROR(INDEX(tblDeviceConfig[Cybernet Hostname],ROW()-1),"")</f>
        <v>0</v>
      </c>
      <c r="F106" t="str">
        <f>IFERROR(INDEX(tblDeviceConfig[Neuron Hostname],ROW()-1),"")</f>
        <v>WNH270OPR418</v>
      </c>
      <c r="G106">
        <f>IFERROR(INDEX(tblDeviceConfig[Software List],ROW()-1),"")</f>
        <v>0</v>
      </c>
      <c r="H106">
        <f>IFERROR(INDEX(tblDeviceConfig[PI_Use_Case],ROW()-1),"")</f>
        <v>0</v>
      </c>
      <c r="I106">
        <f>IFERROR(INDEX(tblDeviceConfig[PI_Result],ROW()-1),"")</f>
        <v>0</v>
      </c>
      <c r="J106">
        <f>IFERROR(INDEX(tblDeviceConfig[PI_Validated_By],ROW()-1),"")</f>
        <v>0</v>
      </c>
      <c r="K106">
        <f>IFERROR(INDEX(tblDeviceConfig[PI_Validated_Date],ROW()-1),"")</f>
        <v>0</v>
      </c>
      <c r="L106">
        <f t="shared" si="2"/>
        <v>0</v>
      </c>
      <c r="M106" t="str">
        <f t="shared" si="3"/>
        <v/>
      </c>
    </row>
    <row r="107" spans="1:13">
      <c r="A107">
        <f>ROW()</f>
        <v>107</v>
      </c>
      <c r="B107" t="str">
        <f>IFERROR(INDEX(tblDeviceConfig[Device Type],ROW()-1),"")</f>
        <v>Cybernet</v>
      </c>
      <c r="C107">
        <f>IFERROR(INDEX(tblDeviceConfig[Deployed],ROW()-1),"")</f>
        <v>0</v>
      </c>
      <c r="D107" t="str">
        <f>IFERROR(INDEX(tblDeviceConfig[Installed],ROW()-1),"")</f>
        <v>No</v>
      </c>
      <c r="E107">
        <f>IFERROR(INDEX(tblDeviceConfig[Cybernet Hostname],ROW()-1),"")</f>
        <v>0</v>
      </c>
      <c r="F107" t="str">
        <f>IFERROR(INDEX(tblDeviceConfig[Neuron Hostname],ROW()-1),"")</f>
        <v>WNH270OPR419</v>
      </c>
      <c r="G107">
        <f>IFERROR(INDEX(tblDeviceConfig[Software List],ROW()-1),"")</f>
        <v>0</v>
      </c>
      <c r="H107">
        <f>IFERROR(INDEX(tblDeviceConfig[PI_Use_Case],ROW()-1),"")</f>
        <v>0</v>
      </c>
      <c r="I107">
        <f>IFERROR(INDEX(tblDeviceConfig[PI_Result],ROW()-1),"")</f>
        <v>0</v>
      </c>
      <c r="J107">
        <f>IFERROR(INDEX(tblDeviceConfig[PI_Validated_By],ROW()-1),"")</f>
        <v>0</v>
      </c>
      <c r="K107">
        <f>IFERROR(INDEX(tblDeviceConfig[PI_Validated_Date],ROW()-1),"")</f>
        <v>0</v>
      </c>
      <c r="L107">
        <f t="shared" si="2"/>
        <v>0</v>
      </c>
      <c r="M107" t="str">
        <f t="shared" si="3"/>
        <v/>
      </c>
    </row>
    <row r="108" spans="1:13">
      <c r="A108">
        <f>ROW()</f>
        <v>108</v>
      </c>
      <c r="B108" t="str">
        <f>IFERROR(INDEX(tblDeviceConfig[Device Type],ROW()-1),"")</f>
        <v>Cybernet</v>
      </c>
      <c r="C108">
        <f>IFERROR(INDEX(tblDeviceConfig[Deployed],ROW()-1),"")</f>
        <v>0</v>
      </c>
      <c r="D108" t="str">
        <f>IFERROR(INDEX(tblDeviceConfig[Installed],ROW()-1),"")</f>
        <v>No</v>
      </c>
      <c r="E108">
        <f>IFERROR(INDEX(tblDeviceConfig[Cybernet Hostname],ROW()-1),"")</f>
        <v>0</v>
      </c>
      <c r="F108" t="str">
        <f>IFERROR(INDEX(tblDeviceConfig[Neuron Hostname],ROW()-1),"")</f>
        <v>WNH270OPR420</v>
      </c>
      <c r="G108">
        <f>IFERROR(INDEX(tblDeviceConfig[Software List],ROW()-1),"")</f>
        <v>0</v>
      </c>
      <c r="H108">
        <f>IFERROR(INDEX(tblDeviceConfig[PI_Use_Case],ROW()-1),"")</f>
        <v>0</v>
      </c>
      <c r="I108">
        <f>IFERROR(INDEX(tblDeviceConfig[PI_Result],ROW()-1),"")</f>
        <v>0</v>
      </c>
      <c r="J108">
        <f>IFERROR(INDEX(tblDeviceConfig[PI_Validated_By],ROW()-1),"")</f>
        <v>0</v>
      </c>
      <c r="K108">
        <f>IFERROR(INDEX(tblDeviceConfig[PI_Validated_Date],ROW()-1),"")</f>
        <v>0</v>
      </c>
      <c r="L108">
        <f t="shared" si="2"/>
        <v>0</v>
      </c>
      <c r="M108" t="str">
        <f t="shared" si="3"/>
        <v/>
      </c>
    </row>
    <row r="109" spans="1:13">
      <c r="A109">
        <f>ROW()</f>
        <v>109</v>
      </c>
      <c r="B109" t="str">
        <f>IFERROR(INDEX(tblDeviceConfig[Device Type],ROW()-1),"")</f>
        <v>Cybernet</v>
      </c>
      <c r="C109">
        <f>IFERROR(INDEX(tblDeviceConfig[Deployed],ROW()-1),"")</f>
        <v>0</v>
      </c>
      <c r="D109" t="str">
        <f>IFERROR(INDEX(tblDeviceConfig[Installed],ROW()-1),"")</f>
        <v>No</v>
      </c>
      <c r="E109">
        <f>IFERROR(INDEX(tblDeviceConfig[Cybernet Hostname],ROW()-1),"")</f>
        <v>0</v>
      </c>
      <c r="F109" t="str">
        <f>IFERROR(INDEX(tblDeviceConfig[Neuron Hostname],ROW()-1),"")</f>
        <v>WNH270OPR421</v>
      </c>
      <c r="G109">
        <f>IFERROR(INDEX(tblDeviceConfig[Software List],ROW()-1),"")</f>
        <v>0</v>
      </c>
      <c r="H109">
        <f>IFERROR(INDEX(tblDeviceConfig[PI_Use_Case],ROW()-1),"")</f>
        <v>0</v>
      </c>
      <c r="I109">
        <f>IFERROR(INDEX(tblDeviceConfig[PI_Result],ROW()-1),"")</f>
        <v>0</v>
      </c>
      <c r="J109">
        <f>IFERROR(INDEX(tblDeviceConfig[PI_Validated_By],ROW()-1),"")</f>
        <v>0</v>
      </c>
      <c r="K109">
        <f>IFERROR(INDEX(tblDeviceConfig[PI_Validated_Date],ROW()-1),"")</f>
        <v>0</v>
      </c>
      <c r="L109">
        <f t="shared" si="2"/>
        <v>0</v>
      </c>
      <c r="M109" t="str">
        <f t="shared" si="3"/>
        <v/>
      </c>
    </row>
    <row r="110" spans="1:13">
      <c r="A110">
        <f>ROW()</f>
        <v>110</v>
      </c>
      <c r="B110" t="str">
        <f>IFERROR(INDEX(tblDeviceConfig[Device Type],ROW()-1),"")</f>
        <v>Cybernet</v>
      </c>
      <c r="C110">
        <f>IFERROR(INDEX(tblDeviceConfig[Deployed],ROW()-1),"")</f>
        <v>0</v>
      </c>
      <c r="D110" t="str">
        <f>IFERROR(INDEX(tblDeviceConfig[Installed],ROW()-1),"")</f>
        <v>No</v>
      </c>
      <c r="E110">
        <f>IFERROR(INDEX(tblDeviceConfig[Cybernet Hostname],ROW()-1),"")</f>
        <v>0</v>
      </c>
      <c r="F110" t="str">
        <f>IFERROR(INDEX(tblDeviceConfig[Neuron Hostname],ROW()-1),"")</f>
        <v>WNH270OPR422</v>
      </c>
      <c r="G110">
        <f>IFERROR(INDEX(tblDeviceConfig[Software List],ROW()-1),"")</f>
        <v>0</v>
      </c>
      <c r="H110">
        <f>IFERROR(INDEX(tblDeviceConfig[PI_Use_Case],ROW()-1),"")</f>
        <v>0</v>
      </c>
      <c r="I110">
        <f>IFERROR(INDEX(tblDeviceConfig[PI_Result],ROW()-1),"")</f>
        <v>0</v>
      </c>
      <c r="J110">
        <f>IFERROR(INDEX(tblDeviceConfig[PI_Validated_By],ROW()-1),"")</f>
        <v>0</v>
      </c>
      <c r="K110">
        <f>IFERROR(INDEX(tblDeviceConfig[PI_Validated_Date],ROW()-1),"")</f>
        <v>0</v>
      </c>
      <c r="L110">
        <f t="shared" si="2"/>
        <v>0</v>
      </c>
      <c r="M110" t="str">
        <f t="shared" si="3"/>
        <v/>
      </c>
    </row>
    <row r="111" spans="1:13">
      <c r="A111">
        <f>ROW()</f>
        <v>111</v>
      </c>
      <c r="B111" t="str">
        <f>IFERROR(INDEX(tblDeviceConfig[Device Type],ROW()-1),"")</f>
        <v>Cybernet</v>
      </c>
      <c r="C111">
        <f>IFERROR(INDEX(tblDeviceConfig[Deployed],ROW()-1),"")</f>
        <v>0</v>
      </c>
      <c r="D111" t="str">
        <f>IFERROR(INDEX(tblDeviceConfig[Installed],ROW()-1),"")</f>
        <v>No</v>
      </c>
      <c r="E111">
        <f>IFERROR(INDEX(tblDeviceConfig[Cybernet Hostname],ROW()-1),"")</f>
        <v>0</v>
      </c>
      <c r="F111" t="str">
        <f>IFERROR(INDEX(tblDeviceConfig[Neuron Hostname],ROW()-1),"")</f>
        <v>WNH270OPR423</v>
      </c>
      <c r="G111">
        <f>IFERROR(INDEX(tblDeviceConfig[Software List],ROW()-1),"")</f>
        <v>0</v>
      </c>
      <c r="H111">
        <f>IFERROR(INDEX(tblDeviceConfig[PI_Use_Case],ROW()-1),"")</f>
        <v>0</v>
      </c>
      <c r="I111">
        <f>IFERROR(INDEX(tblDeviceConfig[PI_Result],ROW()-1),"")</f>
        <v>0</v>
      </c>
      <c r="J111">
        <f>IFERROR(INDEX(tblDeviceConfig[PI_Validated_By],ROW()-1),"")</f>
        <v>0</v>
      </c>
      <c r="K111">
        <f>IFERROR(INDEX(tblDeviceConfig[PI_Validated_Date],ROW()-1),"")</f>
        <v>0</v>
      </c>
      <c r="L111">
        <f t="shared" si="2"/>
        <v>0</v>
      </c>
      <c r="M111" t="str">
        <f t="shared" si="3"/>
        <v/>
      </c>
    </row>
    <row r="112" spans="1:13">
      <c r="A112">
        <f>ROW()</f>
        <v>112</v>
      </c>
      <c r="B112" t="str">
        <f>IFERROR(INDEX(tblDeviceConfig[Device Type],ROW()-1),"")</f>
        <v>Cybernet</v>
      </c>
      <c r="C112">
        <f>IFERROR(INDEX(tblDeviceConfig[Deployed],ROW()-1),"")</f>
        <v>0</v>
      </c>
      <c r="D112" t="str">
        <f>IFERROR(INDEX(tblDeviceConfig[Installed],ROW()-1),"")</f>
        <v>No</v>
      </c>
      <c r="E112">
        <f>IFERROR(INDEX(tblDeviceConfig[Cybernet Hostname],ROW()-1),"")</f>
        <v>0</v>
      </c>
      <c r="F112" t="str">
        <f>IFERROR(INDEX(tblDeviceConfig[Neuron Hostname],ROW()-1),"")</f>
        <v>WNH270OPR424</v>
      </c>
      <c r="G112">
        <f>IFERROR(INDEX(tblDeviceConfig[Software List],ROW()-1),"")</f>
        <v>0</v>
      </c>
      <c r="H112">
        <f>IFERROR(INDEX(tblDeviceConfig[PI_Use_Case],ROW()-1),"")</f>
        <v>0</v>
      </c>
      <c r="I112">
        <f>IFERROR(INDEX(tblDeviceConfig[PI_Result],ROW()-1),"")</f>
        <v>0</v>
      </c>
      <c r="J112">
        <f>IFERROR(INDEX(tblDeviceConfig[PI_Validated_By],ROW()-1),"")</f>
        <v>0</v>
      </c>
      <c r="K112">
        <f>IFERROR(INDEX(tblDeviceConfig[PI_Validated_Date],ROW()-1),"")</f>
        <v>0</v>
      </c>
      <c r="L112">
        <f t="shared" si="2"/>
        <v>0</v>
      </c>
      <c r="M112" t="str">
        <f t="shared" si="3"/>
        <v/>
      </c>
    </row>
    <row r="113" spans="1:13">
      <c r="A113">
        <f>ROW()</f>
        <v>113</v>
      </c>
      <c r="B113" t="str">
        <f>IFERROR(INDEX(tblDeviceConfig[Device Type],ROW()-1),"")</f>
        <v>Cybernet</v>
      </c>
      <c r="C113">
        <f>IFERROR(INDEX(tblDeviceConfig[Deployed],ROW()-1),"")</f>
        <v>0</v>
      </c>
      <c r="D113" t="str">
        <f>IFERROR(INDEX(tblDeviceConfig[Installed],ROW()-1),"")</f>
        <v>No</v>
      </c>
      <c r="E113">
        <f>IFERROR(INDEX(tblDeviceConfig[Cybernet Hostname],ROW()-1),"")</f>
        <v>0</v>
      </c>
      <c r="F113" t="str">
        <f>IFERROR(INDEX(tblDeviceConfig[Neuron Hostname],ROW()-1),"")</f>
        <v>WNH270OPR425</v>
      </c>
      <c r="G113">
        <f>IFERROR(INDEX(tblDeviceConfig[Software List],ROW()-1),"")</f>
        <v>0</v>
      </c>
      <c r="H113">
        <f>IFERROR(INDEX(tblDeviceConfig[PI_Use_Case],ROW()-1),"")</f>
        <v>0</v>
      </c>
      <c r="I113">
        <f>IFERROR(INDEX(tblDeviceConfig[PI_Result],ROW()-1),"")</f>
        <v>0</v>
      </c>
      <c r="J113">
        <f>IFERROR(INDEX(tblDeviceConfig[PI_Validated_By],ROW()-1),"")</f>
        <v>0</v>
      </c>
      <c r="K113">
        <f>IFERROR(INDEX(tblDeviceConfig[PI_Validated_Date],ROW()-1),"")</f>
        <v>0</v>
      </c>
      <c r="L113">
        <f t="shared" si="2"/>
        <v>0</v>
      </c>
      <c r="M113" t="str">
        <f t="shared" si="3"/>
        <v/>
      </c>
    </row>
    <row r="114" spans="1:13">
      <c r="A114">
        <f>ROW()</f>
        <v>114</v>
      </c>
      <c r="B114" t="str">
        <f>IFERROR(INDEX(tblDeviceConfig[Device Type],ROW()-1),"")</f>
        <v>Cybernet</v>
      </c>
      <c r="C114">
        <f>IFERROR(INDEX(tblDeviceConfig[Deployed],ROW()-1),"")</f>
        <v>0</v>
      </c>
      <c r="D114" t="str">
        <f>IFERROR(INDEX(tblDeviceConfig[Installed],ROW()-1),"")</f>
        <v>No</v>
      </c>
      <c r="E114">
        <f>IFERROR(INDEX(tblDeviceConfig[Cybernet Hostname],ROW()-1),"")</f>
        <v>0</v>
      </c>
      <c r="F114" t="str">
        <f>IFERROR(INDEX(tblDeviceConfig[Neuron Hostname],ROW()-1),"")</f>
        <v>WNH270OPR426</v>
      </c>
      <c r="G114">
        <f>IFERROR(INDEX(tblDeviceConfig[Software List],ROW()-1),"")</f>
        <v>0</v>
      </c>
      <c r="H114">
        <f>IFERROR(INDEX(tblDeviceConfig[PI_Use_Case],ROW()-1),"")</f>
        <v>0</v>
      </c>
      <c r="I114">
        <f>IFERROR(INDEX(tblDeviceConfig[PI_Result],ROW()-1),"")</f>
        <v>0</v>
      </c>
      <c r="J114">
        <f>IFERROR(INDEX(tblDeviceConfig[PI_Validated_By],ROW()-1),"")</f>
        <v>0</v>
      </c>
      <c r="K114">
        <f>IFERROR(INDEX(tblDeviceConfig[PI_Validated_Date],ROW()-1),"")</f>
        <v>0</v>
      </c>
      <c r="L114">
        <f t="shared" si="2"/>
        <v>0</v>
      </c>
      <c r="M114" t="str">
        <f t="shared" si="3"/>
        <v/>
      </c>
    </row>
    <row r="115" spans="1:13">
      <c r="A115">
        <f>ROW()</f>
        <v>115</v>
      </c>
      <c r="B115" t="str">
        <f>IFERROR(INDEX(tblDeviceConfig[Device Type],ROW()-1),"")</f>
        <v>Cybernet</v>
      </c>
      <c r="C115">
        <f>IFERROR(INDEX(tblDeviceConfig[Deployed],ROW()-1),"")</f>
        <v>0</v>
      </c>
      <c r="D115" t="str">
        <f>IFERROR(INDEX(tblDeviceConfig[Installed],ROW()-1),"")</f>
        <v>No</v>
      </c>
      <c r="E115">
        <f>IFERROR(INDEX(tblDeviceConfig[Cybernet Hostname],ROW()-1),"")</f>
        <v>0</v>
      </c>
      <c r="F115" t="str">
        <f>IFERROR(INDEX(tblDeviceConfig[Neuron Hostname],ROW()-1),"")</f>
        <v>WNH270OPR427</v>
      </c>
      <c r="G115">
        <f>IFERROR(INDEX(tblDeviceConfig[Software List],ROW()-1),"")</f>
        <v>0</v>
      </c>
      <c r="H115">
        <f>IFERROR(INDEX(tblDeviceConfig[PI_Use_Case],ROW()-1),"")</f>
        <v>0</v>
      </c>
      <c r="I115">
        <f>IFERROR(INDEX(tblDeviceConfig[PI_Result],ROW()-1),"")</f>
        <v>0</v>
      </c>
      <c r="J115">
        <f>IFERROR(INDEX(tblDeviceConfig[PI_Validated_By],ROW()-1),"")</f>
        <v>0</v>
      </c>
      <c r="K115">
        <f>IFERROR(INDEX(tblDeviceConfig[PI_Validated_Date],ROW()-1),"")</f>
        <v>0</v>
      </c>
      <c r="L115">
        <f t="shared" si="2"/>
        <v>0</v>
      </c>
      <c r="M115" t="str">
        <f t="shared" si="3"/>
        <v/>
      </c>
    </row>
    <row r="116" spans="1:13">
      <c r="A116">
        <f>ROW()</f>
        <v>116</v>
      </c>
      <c r="B116" t="str">
        <f>IFERROR(INDEX(tblDeviceConfig[Device Type],ROW()-1),"")</f>
        <v>Cybernet</v>
      </c>
      <c r="C116">
        <f>IFERROR(INDEX(tblDeviceConfig[Deployed],ROW()-1),"")</f>
        <v>0</v>
      </c>
      <c r="D116" t="str">
        <f>IFERROR(INDEX(tblDeviceConfig[Installed],ROW()-1),"")</f>
        <v>No</v>
      </c>
      <c r="E116">
        <f>IFERROR(INDEX(tblDeviceConfig[Cybernet Hostname],ROW()-1),"")</f>
        <v>0</v>
      </c>
      <c r="F116" t="str">
        <f>IFERROR(INDEX(tblDeviceConfig[Neuron Hostname],ROW()-1),"")</f>
        <v>WNH270OPR428</v>
      </c>
      <c r="G116">
        <f>IFERROR(INDEX(tblDeviceConfig[Software List],ROW()-1),"")</f>
        <v>0</v>
      </c>
      <c r="H116">
        <f>IFERROR(INDEX(tblDeviceConfig[PI_Use_Case],ROW()-1),"")</f>
        <v>0</v>
      </c>
      <c r="I116">
        <f>IFERROR(INDEX(tblDeviceConfig[PI_Result],ROW()-1),"")</f>
        <v>0</v>
      </c>
      <c r="J116">
        <f>IFERROR(INDEX(tblDeviceConfig[PI_Validated_By],ROW()-1),"")</f>
        <v>0</v>
      </c>
      <c r="K116">
        <f>IFERROR(INDEX(tblDeviceConfig[PI_Validated_Date],ROW()-1),"")</f>
        <v>0</v>
      </c>
      <c r="L116">
        <f t="shared" si="2"/>
        <v>0</v>
      </c>
      <c r="M116" t="str">
        <f t="shared" si="3"/>
        <v/>
      </c>
    </row>
    <row r="117" spans="1:13">
      <c r="A117">
        <f>ROW()</f>
        <v>117</v>
      </c>
      <c r="B117" t="str">
        <f>IFERROR(INDEX(tblDeviceConfig[Device Type],ROW()-1),"")</f>
        <v>Cybernet</v>
      </c>
      <c r="C117">
        <f>IFERROR(INDEX(tblDeviceConfig[Deployed],ROW()-1),"")</f>
        <v>0</v>
      </c>
      <c r="D117" t="str">
        <f>IFERROR(INDEX(tblDeviceConfig[Installed],ROW()-1),"")</f>
        <v>No</v>
      </c>
      <c r="E117">
        <f>IFERROR(INDEX(tblDeviceConfig[Cybernet Hostname],ROW()-1),"")</f>
        <v>0</v>
      </c>
      <c r="F117" t="str">
        <f>IFERROR(INDEX(tblDeviceConfig[Neuron Hostname],ROW()-1),"")</f>
        <v>WNH270OPR429</v>
      </c>
      <c r="G117">
        <f>IFERROR(INDEX(tblDeviceConfig[Software List],ROW()-1),"")</f>
        <v>0</v>
      </c>
      <c r="H117">
        <f>IFERROR(INDEX(tblDeviceConfig[PI_Use_Case],ROW()-1),"")</f>
        <v>0</v>
      </c>
      <c r="I117">
        <f>IFERROR(INDEX(tblDeviceConfig[PI_Result],ROW()-1),"")</f>
        <v>0</v>
      </c>
      <c r="J117">
        <f>IFERROR(INDEX(tblDeviceConfig[PI_Validated_By],ROW()-1),"")</f>
        <v>0</v>
      </c>
      <c r="K117">
        <f>IFERROR(INDEX(tblDeviceConfig[PI_Validated_Date],ROW()-1),"")</f>
        <v>0</v>
      </c>
      <c r="L117">
        <f t="shared" si="2"/>
        <v>0</v>
      </c>
      <c r="M117" t="str">
        <f t="shared" si="3"/>
        <v/>
      </c>
    </row>
    <row r="118" spans="1:13">
      <c r="A118">
        <f>ROW()</f>
        <v>118</v>
      </c>
      <c r="B118" t="str">
        <f>IFERROR(INDEX(tblDeviceConfig[Device Type],ROW()-1),"")</f>
        <v>Cybernet</v>
      </c>
      <c r="C118">
        <f>IFERROR(INDEX(tblDeviceConfig[Deployed],ROW()-1),"")</f>
        <v>0</v>
      </c>
      <c r="D118" t="str">
        <f>IFERROR(INDEX(tblDeviceConfig[Installed],ROW()-1),"")</f>
        <v>No</v>
      </c>
      <c r="E118">
        <f>IFERROR(INDEX(tblDeviceConfig[Cybernet Hostname],ROW()-1),"")</f>
        <v>0</v>
      </c>
      <c r="F118" t="str">
        <f>IFERROR(INDEX(tblDeviceConfig[Neuron Hostname],ROW()-1),"")</f>
        <v>WNH270OPR430</v>
      </c>
      <c r="G118">
        <f>IFERROR(INDEX(tblDeviceConfig[Software List],ROW()-1),"")</f>
        <v>0</v>
      </c>
      <c r="H118">
        <f>IFERROR(INDEX(tblDeviceConfig[PI_Use_Case],ROW()-1),"")</f>
        <v>0</v>
      </c>
      <c r="I118">
        <f>IFERROR(INDEX(tblDeviceConfig[PI_Result],ROW()-1),"")</f>
        <v>0</v>
      </c>
      <c r="J118">
        <f>IFERROR(INDEX(tblDeviceConfig[PI_Validated_By],ROW()-1),"")</f>
        <v>0</v>
      </c>
      <c r="K118">
        <f>IFERROR(INDEX(tblDeviceConfig[PI_Validated_Date],ROW()-1),"")</f>
        <v>0</v>
      </c>
      <c r="L118">
        <f t="shared" si="2"/>
        <v>0</v>
      </c>
      <c r="M118" t="str">
        <f t="shared" si="3"/>
        <v/>
      </c>
    </row>
    <row r="119" spans="1:13">
      <c r="A119">
        <f>ROW()</f>
        <v>119</v>
      </c>
      <c r="B119" t="str">
        <f>IFERROR(INDEX(tblDeviceConfig[Device Type],ROW()-1),"")</f>
        <v>Cybernet</v>
      </c>
      <c r="C119">
        <f>IFERROR(INDEX(tblDeviceConfig[Deployed],ROW()-1),"")</f>
        <v>0</v>
      </c>
      <c r="D119" t="str">
        <f>IFERROR(INDEX(tblDeviceConfig[Installed],ROW()-1),"")</f>
        <v>No</v>
      </c>
      <c r="E119">
        <f>IFERROR(INDEX(tblDeviceConfig[Cybernet Hostname],ROW()-1),"")</f>
        <v>0</v>
      </c>
      <c r="F119" t="str">
        <f>IFERROR(INDEX(tblDeviceConfig[Neuron Hostname],ROW()-1),"")</f>
        <v>WNH270OPR431</v>
      </c>
      <c r="G119">
        <f>IFERROR(INDEX(tblDeviceConfig[Software List],ROW()-1),"")</f>
        <v>0</v>
      </c>
      <c r="H119">
        <f>IFERROR(INDEX(tblDeviceConfig[PI_Use_Case],ROW()-1),"")</f>
        <v>0</v>
      </c>
      <c r="I119">
        <f>IFERROR(INDEX(tblDeviceConfig[PI_Result],ROW()-1),"")</f>
        <v>0</v>
      </c>
      <c r="J119">
        <f>IFERROR(INDEX(tblDeviceConfig[PI_Validated_By],ROW()-1),"")</f>
        <v>0</v>
      </c>
      <c r="K119">
        <f>IFERROR(INDEX(tblDeviceConfig[PI_Validated_Date],ROW()-1),"")</f>
        <v>0</v>
      </c>
      <c r="L119">
        <f t="shared" si="2"/>
        <v>0</v>
      </c>
      <c r="M119" t="str">
        <f t="shared" si="3"/>
        <v/>
      </c>
    </row>
    <row r="120" spans="1:13">
      <c r="A120">
        <f>ROW()</f>
        <v>120</v>
      </c>
      <c r="B120" t="str">
        <f>IFERROR(INDEX(tblDeviceConfig[Device Type],ROW()-1),"")</f>
        <v>Cybernet</v>
      </c>
      <c r="C120">
        <f>IFERROR(INDEX(tblDeviceConfig[Deployed],ROW()-1),"")</f>
        <v>0</v>
      </c>
      <c r="D120" t="str">
        <f>IFERROR(INDEX(tblDeviceConfig[Installed],ROW()-1),"")</f>
        <v>No</v>
      </c>
      <c r="E120">
        <f>IFERROR(INDEX(tblDeviceConfig[Cybernet Hostname],ROW()-1),"")</f>
        <v>0</v>
      </c>
      <c r="F120" t="str">
        <f>IFERROR(INDEX(tblDeviceConfig[Neuron Hostname],ROW()-1),"")</f>
        <v>WNH270OPR432</v>
      </c>
      <c r="G120">
        <f>IFERROR(INDEX(tblDeviceConfig[Software List],ROW()-1),"")</f>
        <v>0</v>
      </c>
      <c r="H120">
        <f>IFERROR(INDEX(tblDeviceConfig[PI_Use_Case],ROW()-1),"")</f>
        <v>0</v>
      </c>
      <c r="I120">
        <f>IFERROR(INDEX(tblDeviceConfig[PI_Result],ROW()-1),"")</f>
        <v>0</v>
      </c>
      <c r="J120">
        <f>IFERROR(INDEX(tblDeviceConfig[PI_Validated_By],ROW()-1),"")</f>
        <v>0</v>
      </c>
      <c r="K120">
        <f>IFERROR(INDEX(tblDeviceConfig[PI_Validated_Date],ROW()-1),"")</f>
        <v>0</v>
      </c>
      <c r="L120">
        <f t="shared" si="2"/>
        <v>0</v>
      </c>
      <c r="M120" t="str">
        <f t="shared" si="3"/>
        <v/>
      </c>
    </row>
    <row r="121" spans="1:13">
      <c r="A121">
        <f>ROW()</f>
        <v>121</v>
      </c>
      <c r="B121" t="str">
        <f>IFERROR(INDEX(tblDeviceConfig[Device Type],ROW()-1),"")</f>
        <v>Cybernet</v>
      </c>
      <c r="C121">
        <f>IFERROR(INDEX(tblDeviceConfig[Deployed],ROW()-1),"")</f>
        <v>0</v>
      </c>
      <c r="D121" t="str">
        <f>IFERROR(INDEX(tblDeviceConfig[Installed],ROW()-1),"")</f>
        <v>No</v>
      </c>
      <c r="E121">
        <f>IFERROR(INDEX(tblDeviceConfig[Cybernet Hostname],ROW()-1),"")</f>
        <v>0</v>
      </c>
      <c r="F121" t="str">
        <f>IFERROR(INDEX(tblDeviceConfig[Neuron Hostname],ROW()-1),"")</f>
        <v>WNH270OPR433</v>
      </c>
      <c r="G121">
        <f>IFERROR(INDEX(tblDeviceConfig[Software List],ROW()-1),"")</f>
        <v>0</v>
      </c>
      <c r="H121">
        <f>IFERROR(INDEX(tblDeviceConfig[PI_Use_Case],ROW()-1),"")</f>
        <v>0</v>
      </c>
      <c r="I121">
        <f>IFERROR(INDEX(tblDeviceConfig[PI_Result],ROW()-1),"")</f>
        <v>0</v>
      </c>
      <c r="J121">
        <f>IFERROR(INDEX(tblDeviceConfig[PI_Validated_By],ROW()-1),"")</f>
        <v>0</v>
      </c>
      <c r="K121">
        <f>IFERROR(INDEX(tblDeviceConfig[PI_Validated_Date],ROW()-1),"")</f>
        <v>0</v>
      </c>
      <c r="L121">
        <f t="shared" si="2"/>
        <v>0</v>
      </c>
      <c r="M121" t="str">
        <f t="shared" si="3"/>
        <v/>
      </c>
    </row>
    <row r="122" spans="1:13">
      <c r="A122">
        <f>ROW()</f>
        <v>122</v>
      </c>
      <c r="B122" t="str">
        <f>IFERROR(INDEX(tblDeviceConfig[Device Type],ROW()-1),"")</f>
        <v>Cybernet</v>
      </c>
      <c r="C122">
        <f>IFERROR(INDEX(tblDeviceConfig[Deployed],ROW()-1),"")</f>
        <v>0</v>
      </c>
      <c r="D122" t="str">
        <f>IFERROR(INDEX(tblDeviceConfig[Installed],ROW()-1),"")</f>
        <v>No</v>
      </c>
      <c r="E122">
        <f>IFERROR(INDEX(tblDeviceConfig[Cybernet Hostname],ROW()-1),"")</f>
        <v>0</v>
      </c>
      <c r="F122" t="str">
        <f>IFERROR(INDEX(tblDeviceConfig[Neuron Hostname],ROW()-1),"")</f>
        <v>WNH270OPR434</v>
      </c>
      <c r="G122">
        <f>IFERROR(INDEX(tblDeviceConfig[Software List],ROW()-1),"")</f>
        <v>0</v>
      </c>
      <c r="H122">
        <f>IFERROR(INDEX(tblDeviceConfig[PI_Use_Case],ROW()-1),"")</f>
        <v>0</v>
      </c>
      <c r="I122">
        <f>IFERROR(INDEX(tblDeviceConfig[PI_Result],ROW()-1),"")</f>
        <v>0</v>
      </c>
      <c r="J122">
        <f>IFERROR(INDEX(tblDeviceConfig[PI_Validated_By],ROW()-1),"")</f>
        <v>0</v>
      </c>
      <c r="K122">
        <f>IFERROR(INDEX(tblDeviceConfig[PI_Validated_Date],ROW()-1),"")</f>
        <v>0</v>
      </c>
      <c r="L122">
        <f t="shared" si="2"/>
        <v>0</v>
      </c>
      <c r="M122" t="str">
        <f t="shared" si="3"/>
        <v/>
      </c>
    </row>
    <row r="123" spans="1:13">
      <c r="A123">
        <f>ROW()</f>
        <v>123</v>
      </c>
      <c r="B123" t="str">
        <f>IFERROR(INDEX(tblDeviceConfig[Device Type],ROW()-1),"")</f>
        <v>Cybernet</v>
      </c>
      <c r="C123">
        <f>IFERROR(INDEX(tblDeviceConfig[Deployed],ROW()-1),"")</f>
        <v>0</v>
      </c>
      <c r="D123" t="str">
        <f>IFERROR(INDEX(tblDeviceConfig[Installed],ROW()-1),"")</f>
        <v>No</v>
      </c>
      <c r="E123">
        <f>IFERROR(INDEX(tblDeviceConfig[Cybernet Hostname],ROW()-1),"")</f>
        <v>0</v>
      </c>
      <c r="F123" t="str">
        <f>IFERROR(INDEX(tblDeviceConfig[Neuron Hostname],ROW()-1),"")</f>
        <v>WNH270OPR435</v>
      </c>
      <c r="G123">
        <f>IFERROR(INDEX(tblDeviceConfig[Software List],ROW()-1),"")</f>
        <v>0</v>
      </c>
      <c r="H123">
        <f>IFERROR(INDEX(tblDeviceConfig[PI_Use_Case],ROW()-1),"")</f>
        <v>0</v>
      </c>
      <c r="I123">
        <f>IFERROR(INDEX(tblDeviceConfig[PI_Result],ROW()-1),"")</f>
        <v>0</v>
      </c>
      <c r="J123">
        <f>IFERROR(INDEX(tblDeviceConfig[PI_Validated_By],ROW()-1),"")</f>
        <v>0</v>
      </c>
      <c r="K123">
        <f>IFERROR(INDEX(tblDeviceConfig[PI_Validated_Date],ROW()-1),"")</f>
        <v>0</v>
      </c>
      <c r="L123">
        <f t="shared" si="2"/>
        <v>0</v>
      </c>
      <c r="M123" t="str">
        <f t="shared" si="3"/>
        <v/>
      </c>
    </row>
    <row r="124" spans="1:13">
      <c r="A124">
        <f>ROW()</f>
        <v>124</v>
      </c>
      <c r="B124" t="str">
        <f>IFERROR(INDEX(tblDeviceConfig[Device Type],ROW()-1),"")</f>
        <v>Cybernet</v>
      </c>
      <c r="C124">
        <f>IFERROR(INDEX(tblDeviceConfig[Deployed],ROW()-1),"")</f>
        <v>0</v>
      </c>
      <c r="D124" t="str">
        <f>IFERROR(INDEX(tblDeviceConfig[Installed],ROW()-1),"")</f>
        <v>No</v>
      </c>
      <c r="E124">
        <f>IFERROR(INDEX(tblDeviceConfig[Cybernet Hostname],ROW()-1),"")</f>
        <v>0</v>
      </c>
      <c r="F124" t="str">
        <f>IFERROR(INDEX(tblDeviceConfig[Neuron Hostname],ROW()-1),"")</f>
        <v>WNH270OPR436</v>
      </c>
      <c r="G124">
        <f>IFERROR(INDEX(tblDeviceConfig[Software List],ROW()-1),"")</f>
        <v>0</v>
      </c>
      <c r="H124">
        <f>IFERROR(INDEX(tblDeviceConfig[PI_Use_Case],ROW()-1),"")</f>
        <v>0</v>
      </c>
      <c r="I124">
        <f>IFERROR(INDEX(tblDeviceConfig[PI_Result],ROW()-1),"")</f>
        <v>0</v>
      </c>
      <c r="J124">
        <f>IFERROR(INDEX(tblDeviceConfig[PI_Validated_By],ROW()-1),"")</f>
        <v>0</v>
      </c>
      <c r="K124">
        <f>IFERROR(INDEX(tblDeviceConfig[PI_Validated_Date],ROW()-1),"")</f>
        <v>0</v>
      </c>
      <c r="L124">
        <f t="shared" si="2"/>
        <v>0</v>
      </c>
      <c r="M124" t="str">
        <f t="shared" si="3"/>
        <v/>
      </c>
    </row>
    <row r="125" spans="1:13">
      <c r="A125">
        <f>ROW()</f>
        <v>125</v>
      </c>
      <c r="B125" t="str">
        <f>IFERROR(INDEX(tblDeviceConfig[Device Type],ROW()-1),"")</f>
        <v>Cybernet</v>
      </c>
      <c r="C125">
        <f>IFERROR(INDEX(tblDeviceConfig[Deployed],ROW()-1),"")</f>
        <v>0</v>
      </c>
      <c r="D125" t="str">
        <f>IFERROR(INDEX(tblDeviceConfig[Installed],ROW()-1),"")</f>
        <v>No</v>
      </c>
      <c r="E125">
        <f>IFERROR(INDEX(tblDeviceConfig[Cybernet Hostname],ROW()-1),"")</f>
        <v>0</v>
      </c>
      <c r="F125" t="str">
        <f>IFERROR(INDEX(tblDeviceConfig[Neuron Hostname],ROW()-1),"")</f>
        <v>WNH270OPR437</v>
      </c>
      <c r="G125">
        <f>IFERROR(INDEX(tblDeviceConfig[Software List],ROW()-1),"")</f>
        <v>0</v>
      </c>
      <c r="H125">
        <f>IFERROR(INDEX(tblDeviceConfig[PI_Use_Case],ROW()-1),"")</f>
        <v>0</v>
      </c>
      <c r="I125">
        <f>IFERROR(INDEX(tblDeviceConfig[PI_Result],ROW()-1),"")</f>
        <v>0</v>
      </c>
      <c r="J125">
        <f>IFERROR(INDEX(tblDeviceConfig[PI_Validated_By],ROW()-1),"")</f>
        <v>0</v>
      </c>
      <c r="K125">
        <f>IFERROR(INDEX(tblDeviceConfig[PI_Validated_Date],ROW()-1),"")</f>
        <v>0</v>
      </c>
      <c r="L125">
        <f t="shared" si="2"/>
        <v>0</v>
      </c>
      <c r="M125" t="str">
        <f t="shared" si="3"/>
        <v/>
      </c>
    </row>
    <row r="126" spans="1:13">
      <c r="A126">
        <f>ROW()</f>
        <v>126</v>
      </c>
      <c r="B126" t="str">
        <f>IFERROR(INDEX(tblDeviceConfig[Device Type],ROW()-1),"")</f>
        <v>Cybernet</v>
      </c>
      <c r="C126">
        <f>IFERROR(INDEX(tblDeviceConfig[Deployed],ROW()-1),"")</f>
        <v>0</v>
      </c>
      <c r="D126" t="str">
        <f>IFERROR(INDEX(tblDeviceConfig[Installed],ROW()-1),"")</f>
        <v>No</v>
      </c>
      <c r="E126">
        <f>IFERROR(INDEX(tblDeviceConfig[Cybernet Hostname],ROW()-1),"")</f>
        <v>0</v>
      </c>
      <c r="F126" t="str">
        <f>IFERROR(INDEX(tblDeviceConfig[Neuron Hostname],ROW()-1),"")</f>
        <v>WNH270OPR438</v>
      </c>
      <c r="G126">
        <f>IFERROR(INDEX(tblDeviceConfig[Software List],ROW()-1),"")</f>
        <v>0</v>
      </c>
      <c r="H126">
        <f>IFERROR(INDEX(tblDeviceConfig[PI_Use_Case],ROW()-1),"")</f>
        <v>0</v>
      </c>
      <c r="I126">
        <f>IFERROR(INDEX(tblDeviceConfig[PI_Result],ROW()-1),"")</f>
        <v>0</v>
      </c>
      <c r="J126">
        <f>IFERROR(INDEX(tblDeviceConfig[PI_Validated_By],ROW()-1),"")</f>
        <v>0</v>
      </c>
      <c r="K126">
        <f>IFERROR(INDEX(tblDeviceConfig[PI_Validated_Date],ROW()-1),"")</f>
        <v>0</v>
      </c>
      <c r="L126">
        <f t="shared" si="2"/>
        <v>0</v>
      </c>
      <c r="M126" t="str">
        <f t="shared" si="3"/>
        <v/>
      </c>
    </row>
    <row r="127" spans="1:13">
      <c r="A127">
        <f>ROW()</f>
        <v>127</v>
      </c>
      <c r="B127" t="str">
        <f>IFERROR(INDEX(tblDeviceConfig[Device Type],ROW()-1),"")</f>
        <v>Cybernet</v>
      </c>
      <c r="C127" t="str">
        <f>IFERROR(INDEX(tblDeviceConfig[Deployed],ROW()-1),"")</f>
        <v>No</v>
      </c>
      <c r="D127" t="str">
        <f>IFERROR(INDEX(tblDeviceConfig[Installed],ROW()-1),"")</f>
        <v>No</v>
      </c>
      <c r="E127">
        <f>IFERROR(INDEX(tblDeviceConfig[Cybernet Hostname],ROW()-1),"")</f>
        <v>0</v>
      </c>
      <c r="F127" t="str">
        <f>IFERROR(INDEX(tblDeviceConfig[Neuron Hostname],ROW()-1),"")</f>
        <v>WNH270OPR439</v>
      </c>
      <c r="G127">
        <f>IFERROR(INDEX(tblDeviceConfig[Software List],ROW()-1),"")</f>
        <v>0</v>
      </c>
      <c r="H127">
        <f>IFERROR(INDEX(tblDeviceConfig[PI_Use_Case],ROW()-1),"")</f>
        <v>0</v>
      </c>
      <c r="I127">
        <f>IFERROR(INDEX(tblDeviceConfig[PI_Result],ROW()-1),"")</f>
        <v>0</v>
      </c>
      <c r="J127">
        <f>IFERROR(INDEX(tblDeviceConfig[PI_Validated_By],ROW()-1),"")</f>
        <v>0</v>
      </c>
      <c r="K127">
        <f>IFERROR(INDEX(tblDeviceConfig[PI_Validated_Date],ROW()-1),"")</f>
        <v>0</v>
      </c>
      <c r="L127">
        <f t="shared" si="2"/>
        <v>0</v>
      </c>
      <c r="M127" t="str">
        <f t="shared" si="3"/>
        <v/>
      </c>
    </row>
    <row r="128" spans="1:13">
      <c r="A128">
        <f>ROW()</f>
        <v>128</v>
      </c>
      <c r="B128" t="str">
        <f>IFERROR(INDEX(tblDeviceConfig[Device Type],ROW()-1),"")</f>
        <v>Cybernet</v>
      </c>
      <c r="C128">
        <f>IFERROR(INDEX(tblDeviceConfig[Deployed],ROW()-1),"")</f>
        <v>0</v>
      </c>
      <c r="D128" t="str">
        <f>IFERROR(INDEX(tblDeviceConfig[Installed],ROW()-1),"")</f>
        <v>No</v>
      </c>
      <c r="E128">
        <f>IFERROR(INDEX(tblDeviceConfig[Cybernet Hostname],ROW()-1),"")</f>
        <v>0</v>
      </c>
      <c r="F128" t="str">
        <f>IFERROR(INDEX(tblDeviceConfig[Neuron Hostname],ROW()-1),"")</f>
        <v>WNH270OPR440</v>
      </c>
      <c r="G128">
        <f>IFERROR(INDEX(tblDeviceConfig[Software List],ROW()-1),"")</f>
        <v>0</v>
      </c>
      <c r="H128">
        <f>IFERROR(INDEX(tblDeviceConfig[PI_Use_Case],ROW()-1),"")</f>
        <v>0</v>
      </c>
      <c r="I128">
        <f>IFERROR(INDEX(tblDeviceConfig[PI_Result],ROW()-1),"")</f>
        <v>0</v>
      </c>
      <c r="J128">
        <f>IFERROR(INDEX(tblDeviceConfig[PI_Validated_By],ROW()-1),"")</f>
        <v>0</v>
      </c>
      <c r="K128">
        <f>IFERROR(INDEX(tblDeviceConfig[PI_Validated_Date],ROW()-1),"")</f>
        <v>0</v>
      </c>
      <c r="L128">
        <f t="shared" si="2"/>
        <v>0</v>
      </c>
      <c r="M128" t="str">
        <f t="shared" si="3"/>
        <v/>
      </c>
    </row>
    <row r="129" spans="1:13">
      <c r="A129">
        <f>ROW()</f>
        <v>129</v>
      </c>
      <c r="B129" t="str">
        <f>IFERROR(INDEX(tblDeviceConfig[Device Type],ROW()-1),"")</f>
        <v>Cybernet</v>
      </c>
      <c r="C129" t="str">
        <f>IFERROR(INDEX(tblDeviceConfig[Deployed],ROW()-1),"")</f>
        <v>No</v>
      </c>
      <c r="D129" t="str">
        <f>IFERROR(INDEX(tblDeviceConfig[Installed],ROW()-1),"")</f>
        <v>No</v>
      </c>
      <c r="E129">
        <f>IFERROR(INDEX(tblDeviceConfig[Cybernet Hostname],ROW()-1),"")</f>
        <v>0</v>
      </c>
      <c r="F129" t="str">
        <f>IFERROR(INDEX(tblDeviceConfig[Neuron Hostname],ROW()-1),"")</f>
        <v>WNH270OPR441</v>
      </c>
      <c r="G129">
        <f>IFERROR(INDEX(tblDeviceConfig[Software List],ROW()-1),"")</f>
        <v>0</v>
      </c>
      <c r="H129">
        <f>IFERROR(INDEX(tblDeviceConfig[PI_Use_Case],ROW()-1),"")</f>
        <v>0</v>
      </c>
      <c r="I129">
        <f>IFERROR(INDEX(tblDeviceConfig[PI_Result],ROW()-1),"")</f>
        <v>0</v>
      </c>
      <c r="J129">
        <f>IFERROR(INDEX(tblDeviceConfig[PI_Validated_By],ROW()-1),"")</f>
        <v>0</v>
      </c>
      <c r="K129">
        <f>IFERROR(INDEX(tblDeviceConfig[PI_Validated_Date],ROW()-1),"")</f>
        <v>0</v>
      </c>
      <c r="L129">
        <f t="shared" si="2"/>
        <v>0</v>
      </c>
      <c r="M129" t="str">
        <f t="shared" si="3"/>
        <v/>
      </c>
    </row>
    <row r="130" spans="1:13">
      <c r="A130">
        <f>ROW()</f>
        <v>130</v>
      </c>
      <c r="B130" t="str">
        <f>IFERROR(INDEX(tblDeviceConfig[Device Type],ROW()-1),"")</f>
        <v>Cybernet</v>
      </c>
      <c r="C130">
        <f>IFERROR(INDEX(tblDeviceConfig[Deployed],ROW()-1),"")</f>
        <v>0</v>
      </c>
      <c r="D130" t="str">
        <f>IFERROR(INDEX(tblDeviceConfig[Installed],ROW()-1),"")</f>
        <v>No</v>
      </c>
      <c r="E130">
        <f>IFERROR(INDEX(tblDeviceConfig[Cybernet Hostname],ROW()-1),"")</f>
        <v>0</v>
      </c>
      <c r="F130" t="str">
        <f>IFERROR(INDEX(tblDeviceConfig[Neuron Hostname],ROW()-1),"")</f>
        <v>WNH270OPR442</v>
      </c>
      <c r="G130">
        <f>IFERROR(INDEX(tblDeviceConfig[Software List],ROW()-1),"")</f>
        <v>0</v>
      </c>
      <c r="H130">
        <f>IFERROR(INDEX(tblDeviceConfig[PI_Use_Case],ROW()-1),"")</f>
        <v>0</v>
      </c>
      <c r="I130">
        <f>IFERROR(INDEX(tblDeviceConfig[PI_Result],ROW()-1),"")</f>
        <v>0</v>
      </c>
      <c r="J130">
        <f>IFERROR(INDEX(tblDeviceConfig[PI_Validated_By],ROW()-1),"")</f>
        <v>0</v>
      </c>
      <c r="K130">
        <f>IFERROR(INDEX(tblDeviceConfig[PI_Validated_Date],ROW()-1),"")</f>
        <v>0</v>
      </c>
      <c r="L130">
        <f t="shared" ref="L130:L193" si="4">SUM(IF(AND(C130="Yes",B130="Cybernet",LEN(TRIM(E130))=0),1,0),IF(AND(C130="Yes",B130="Neuron",LEN(TRIM(F130))=0),1,0),IF(AND(C130="Yes",B130="Cybernet",LEN(TRIM(G130))=0),1,0),IF(AND(C130="Yes",B130="Cybernet",LEN(TRIM(H130))=0),1,0),IF(AND(C130="Yes",LEN(TRIM(I130))&gt;0,LEN(TRIM(J130))=0),1,0),IF(AND(C130="Yes",LEN(TRIM(J130))&gt;0,LEN(TRIM(K130))=0),1,0))</f>
        <v>0</v>
      </c>
      <c r="M130" t="str">
        <f t="shared" ref="M130:M193" si="5">(IF(AND(C130="Yes",B130="Cybernet",LEN(TRIM(E130))=0),"Missing Cybernet Hostname",""))&amp;IF(((IF(AND(C130="Yes",B130="Cybernet",LEN(TRIM(E130))=0),"Missing Cybernet Hostname","")))&lt;&gt;"",IF((IF(AND(C130="Yes",B130="Neuron",LEN(TRIM(F130))=0),"Missing Neuron Hostname",""))&lt;&gt;""," | ",""),"")&amp;(IF(AND(C130="Yes",B130="Neuron",LEN(TRIM(F130))=0),"Missing Neuron Hostname",""))&amp;IF(((IF(AND(C130="Yes",B130="Cybernet",LEN(TRIM(E130))=0),"Missing Cybernet Hostname",""))&amp;(IF(AND(C130="Yes",B130="Neuron",LEN(TRIM(F130))=0),"Missing Neuron Hostname","")))&lt;&gt;"",IF((IF(AND(C130="Yes",B130="Cybernet",LEN(TRIM(G130))=0),"Missing Software List",""))&lt;&gt;""," | ",""),"")&amp;(IF(AND(C130="Yes",B130="Cybernet",LEN(TRIM(G130))=0),"Missing Software List",""))&amp;IF(((IF(AND(C130="Yes",B130="Cybernet",LEN(TRIM(E130))=0),"Missing Cybernet Hostname",""))&amp;(IF(AND(C130="Yes",B130="Neuron",LEN(TRIM(F130))=0),"Missing Neuron Hostname",""))&amp;(IF(AND(C130="Yes",B130="Cybernet",LEN(TRIM(G130))=0),"Missing Software List","")))&lt;&gt;"",IF((IF(AND(C130="Yes",B130="Cybernet",LEN(TRIM(H130))=0),"Missing PI Use Case",""))&lt;&gt;""," | ",""),"")&amp;(IF(AND(C130="Yes",B130="Cybernet",LEN(TRIM(H130))=0),"Missing PI Use Case",""))&amp;IF(((IF(AND(C130="Yes",B130="Cybernet",LEN(TRIM(E130))=0),"Missing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Case","")))&lt;&gt;"",IF((IF(AND(C130="Yes",LEN(TRIM(I130))&gt;0,LEN(TRIM(J130))=0),"Missing PI Validated By",""))&lt;&gt;""," | ",""),"")&amp;(IF(AND(C130="Yes",LEN(TRIM(I130))&gt;0,LEN(TRIM(J130))=0),"Missing PI Validated By",""))&amp;IF(((IF(AND(C130="Yes",B130="Cybernet",LEN(TRIM(E130))=0),"Missing Cybernet Hostname",""))&amp;(IF(AND(C130="Yes",B130="Neuron",LEN(TRIM(F130))=0),"Missing Neuron Hostname",""))&amp;(IF(AND(C130="Yes",B130="Cybernet",LEN(TRIM(G130))=0),"Missing Software List",""))&amp;(IF(AND(C130="Yes",B130="Cybernet",LEN(TRIM(H130))=0),"Missing PI Use Case",""))&amp;(IF(AND(C130="Yes",LEN(TRIM(I130))&gt;0,LEN(TRIM(J130))=0),"Missing PI Validated By","")))&lt;&gt;"",IF((IF(AND(C130="Yes",LEN(TRIM(J130))&gt;0,LEN(TRIM(K130))=0),"Missing PI Validated Date",""))&lt;&gt;""," | ",""),"")&amp;(IF(AND(C130="Yes",LEN(TRIM(J130))&gt;0,LEN(TRIM(K130))=0),"Missing PI Validated Date",""))</f>
        <v/>
      </c>
    </row>
    <row r="131" spans="1:13">
      <c r="A131">
        <f>ROW()</f>
        <v>131</v>
      </c>
      <c r="B131" t="str">
        <f>IFERROR(INDEX(tblDeviceConfig[Device Type],ROW()-1),"")</f>
        <v>Cybernet</v>
      </c>
      <c r="C131">
        <f>IFERROR(INDEX(tblDeviceConfig[Deployed],ROW()-1),"")</f>
        <v>0</v>
      </c>
      <c r="D131" t="str">
        <f>IFERROR(INDEX(tblDeviceConfig[Installed],ROW()-1),"")</f>
        <v>No</v>
      </c>
      <c r="E131">
        <f>IFERROR(INDEX(tblDeviceConfig[Cybernet Hostname],ROW()-1),"")</f>
        <v>0</v>
      </c>
      <c r="F131" t="str">
        <f>IFERROR(INDEX(tblDeviceConfig[Neuron Hostname],ROW()-1),"")</f>
        <v>WNH270OPR443</v>
      </c>
      <c r="G131">
        <f>IFERROR(INDEX(tblDeviceConfig[Software List],ROW()-1),"")</f>
        <v>0</v>
      </c>
      <c r="H131">
        <f>IFERROR(INDEX(tblDeviceConfig[PI_Use_Case],ROW()-1),"")</f>
        <v>0</v>
      </c>
      <c r="I131">
        <f>IFERROR(INDEX(tblDeviceConfig[PI_Result],ROW()-1),"")</f>
        <v>0</v>
      </c>
      <c r="J131">
        <f>IFERROR(INDEX(tblDeviceConfig[PI_Validated_By],ROW()-1),"")</f>
        <v>0</v>
      </c>
      <c r="K131">
        <f>IFERROR(INDEX(tblDeviceConfig[PI_Validated_Date],ROW()-1),"")</f>
        <v>0</v>
      </c>
      <c r="L131">
        <f t="shared" si="4"/>
        <v>0</v>
      </c>
      <c r="M131" t="str">
        <f t="shared" si="5"/>
        <v/>
      </c>
    </row>
    <row r="132" spans="1:13">
      <c r="A132">
        <f>ROW()</f>
        <v>132</v>
      </c>
      <c r="B132" t="str">
        <f>IFERROR(INDEX(tblDeviceConfig[Device Type],ROW()-1),"")</f>
        <v>Cybernet</v>
      </c>
      <c r="C132">
        <f>IFERROR(INDEX(tblDeviceConfig[Deployed],ROW()-1),"")</f>
        <v>0</v>
      </c>
      <c r="D132" t="str">
        <f>IFERROR(INDEX(tblDeviceConfig[Installed],ROW()-1),"")</f>
        <v>No</v>
      </c>
      <c r="E132">
        <f>IFERROR(INDEX(tblDeviceConfig[Cybernet Hostname],ROW()-1),"")</f>
        <v>0</v>
      </c>
      <c r="F132" t="str">
        <f>IFERROR(INDEX(tblDeviceConfig[Neuron Hostname],ROW()-1),"")</f>
        <v>WNH270OPR444</v>
      </c>
      <c r="G132">
        <f>IFERROR(INDEX(tblDeviceConfig[Software List],ROW()-1),"")</f>
        <v>0</v>
      </c>
      <c r="H132">
        <f>IFERROR(INDEX(tblDeviceConfig[PI_Use_Case],ROW()-1),"")</f>
        <v>0</v>
      </c>
      <c r="I132">
        <f>IFERROR(INDEX(tblDeviceConfig[PI_Result],ROW()-1),"")</f>
        <v>0</v>
      </c>
      <c r="J132">
        <f>IFERROR(INDEX(tblDeviceConfig[PI_Validated_By],ROW()-1),"")</f>
        <v>0</v>
      </c>
      <c r="K132">
        <f>IFERROR(INDEX(tblDeviceConfig[PI_Validated_Date],ROW()-1),"")</f>
        <v>0</v>
      </c>
      <c r="L132">
        <f t="shared" si="4"/>
        <v>0</v>
      </c>
      <c r="M132" t="str">
        <f t="shared" si="5"/>
        <v/>
      </c>
    </row>
    <row r="133" spans="1:13">
      <c r="A133">
        <f>ROW()</f>
        <v>133</v>
      </c>
      <c r="B133" t="str">
        <f>IFERROR(INDEX(tblDeviceConfig[Device Type],ROW()-1),"")</f>
        <v>Cybernet</v>
      </c>
      <c r="C133">
        <f>IFERROR(INDEX(tblDeviceConfig[Deployed],ROW()-1),"")</f>
        <v>0</v>
      </c>
      <c r="D133" t="str">
        <f>IFERROR(INDEX(tblDeviceConfig[Installed],ROW()-1),"")</f>
        <v>No</v>
      </c>
      <c r="E133">
        <f>IFERROR(INDEX(tblDeviceConfig[Cybernet Hostname],ROW()-1),"")</f>
        <v>0</v>
      </c>
      <c r="F133" t="str">
        <f>IFERROR(INDEX(tblDeviceConfig[Neuron Hostname],ROW()-1),"")</f>
        <v>WNH270OPR445</v>
      </c>
      <c r="G133">
        <f>IFERROR(INDEX(tblDeviceConfig[Software List],ROW()-1),"")</f>
        <v>0</v>
      </c>
      <c r="H133">
        <f>IFERROR(INDEX(tblDeviceConfig[PI_Use_Case],ROW()-1),"")</f>
        <v>0</v>
      </c>
      <c r="I133">
        <f>IFERROR(INDEX(tblDeviceConfig[PI_Result],ROW()-1),"")</f>
        <v>0</v>
      </c>
      <c r="J133">
        <f>IFERROR(INDEX(tblDeviceConfig[PI_Validated_By],ROW()-1),"")</f>
        <v>0</v>
      </c>
      <c r="K133">
        <f>IFERROR(INDEX(tblDeviceConfig[PI_Validated_Date],ROW()-1),"")</f>
        <v>0</v>
      </c>
      <c r="L133">
        <f t="shared" si="4"/>
        <v>0</v>
      </c>
      <c r="M133" t="str">
        <f t="shared" si="5"/>
        <v/>
      </c>
    </row>
    <row r="134" spans="1:13">
      <c r="A134">
        <f>ROW()</f>
        <v>134</v>
      </c>
      <c r="B134" t="str">
        <f>IFERROR(INDEX(tblDeviceConfig[Device Type],ROW()-1),"")</f>
        <v>Cybernet</v>
      </c>
      <c r="C134">
        <f>IFERROR(INDEX(tblDeviceConfig[Deployed],ROW()-1),"")</f>
        <v>0</v>
      </c>
      <c r="D134" t="str">
        <f>IFERROR(INDEX(tblDeviceConfig[Installed],ROW()-1),"")</f>
        <v>No</v>
      </c>
      <c r="E134">
        <f>IFERROR(INDEX(tblDeviceConfig[Cybernet Hostname],ROW()-1),"")</f>
        <v>0</v>
      </c>
      <c r="F134" t="str">
        <f>IFERROR(INDEX(tblDeviceConfig[Neuron Hostname],ROW()-1),"")</f>
        <v>WNH270OPR446</v>
      </c>
      <c r="G134">
        <f>IFERROR(INDEX(tblDeviceConfig[Software List],ROW()-1),"")</f>
        <v>0</v>
      </c>
      <c r="H134">
        <f>IFERROR(INDEX(tblDeviceConfig[PI_Use_Case],ROW()-1),"")</f>
        <v>0</v>
      </c>
      <c r="I134">
        <f>IFERROR(INDEX(tblDeviceConfig[PI_Result],ROW()-1),"")</f>
        <v>0</v>
      </c>
      <c r="J134">
        <f>IFERROR(INDEX(tblDeviceConfig[PI_Validated_By],ROW()-1),"")</f>
        <v>0</v>
      </c>
      <c r="K134">
        <f>IFERROR(INDEX(tblDeviceConfig[PI_Validated_Date],ROW()-1),"")</f>
        <v>0</v>
      </c>
      <c r="L134">
        <f t="shared" si="4"/>
        <v>0</v>
      </c>
      <c r="M134" t="str">
        <f t="shared" si="5"/>
        <v/>
      </c>
    </row>
    <row r="135" spans="1:13">
      <c r="A135">
        <f>ROW()</f>
        <v>135</v>
      </c>
      <c r="B135" t="str">
        <f>IFERROR(INDEX(tblDeviceConfig[Device Type],ROW()-1),"")</f>
        <v>Cybernet</v>
      </c>
      <c r="C135">
        <f>IFERROR(INDEX(tblDeviceConfig[Deployed],ROW()-1),"")</f>
        <v>0</v>
      </c>
      <c r="D135" t="str">
        <f>IFERROR(INDEX(tblDeviceConfig[Installed],ROW()-1),"")</f>
        <v>No</v>
      </c>
      <c r="E135">
        <f>IFERROR(INDEX(tblDeviceConfig[Cybernet Hostname],ROW()-1),"")</f>
        <v>0</v>
      </c>
      <c r="F135" t="str">
        <f>IFERROR(INDEX(tblDeviceConfig[Neuron Hostname],ROW()-1),"")</f>
        <v>WNH270OPR447</v>
      </c>
      <c r="G135">
        <f>IFERROR(INDEX(tblDeviceConfig[Software List],ROW()-1),"")</f>
        <v>0</v>
      </c>
      <c r="H135">
        <f>IFERROR(INDEX(tblDeviceConfig[PI_Use_Case],ROW()-1),"")</f>
        <v>0</v>
      </c>
      <c r="I135">
        <f>IFERROR(INDEX(tblDeviceConfig[PI_Result],ROW()-1),"")</f>
        <v>0</v>
      </c>
      <c r="J135">
        <f>IFERROR(INDEX(tblDeviceConfig[PI_Validated_By],ROW()-1),"")</f>
        <v>0</v>
      </c>
      <c r="K135">
        <f>IFERROR(INDEX(tblDeviceConfig[PI_Validated_Date],ROW()-1),"")</f>
        <v>0</v>
      </c>
      <c r="L135">
        <f t="shared" si="4"/>
        <v>0</v>
      </c>
      <c r="M135" t="str">
        <f t="shared" si="5"/>
        <v/>
      </c>
    </row>
    <row r="136" spans="1:13">
      <c r="A136">
        <f>ROW()</f>
        <v>136</v>
      </c>
      <c r="B136" t="str">
        <f>IFERROR(INDEX(tblDeviceConfig[Device Type],ROW()-1),"")</f>
        <v>Cybernet</v>
      </c>
      <c r="C136">
        <f>IFERROR(INDEX(tblDeviceConfig[Deployed],ROW()-1),"")</f>
        <v>0</v>
      </c>
      <c r="D136" t="str">
        <f>IFERROR(INDEX(tblDeviceConfig[Installed],ROW()-1),"")</f>
        <v>No</v>
      </c>
      <c r="E136">
        <f>IFERROR(INDEX(tblDeviceConfig[Cybernet Hostname],ROW()-1),"")</f>
        <v>0</v>
      </c>
      <c r="F136" t="str">
        <f>IFERROR(INDEX(tblDeviceConfig[Neuron Hostname],ROW()-1),"")</f>
        <v>WNH270OPR448</v>
      </c>
      <c r="G136">
        <f>IFERROR(INDEX(tblDeviceConfig[Software List],ROW()-1),"")</f>
        <v>0</v>
      </c>
      <c r="H136">
        <f>IFERROR(INDEX(tblDeviceConfig[PI_Use_Case],ROW()-1),"")</f>
        <v>0</v>
      </c>
      <c r="I136">
        <f>IFERROR(INDEX(tblDeviceConfig[PI_Result],ROW()-1),"")</f>
        <v>0</v>
      </c>
      <c r="J136">
        <f>IFERROR(INDEX(tblDeviceConfig[PI_Validated_By],ROW()-1),"")</f>
        <v>0</v>
      </c>
      <c r="K136">
        <f>IFERROR(INDEX(tblDeviceConfig[PI_Validated_Date],ROW()-1),"")</f>
        <v>0</v>
      </c>
      <c r="L136">
        <f t="shared" si="4"/>
        <v>0</v>
      </c>
      <c r="M136" t="str">
        <f t="shared" si="5"/>
        <v/>
      </c>
    </row>
    <row r="137" spans="1:13">
      <c r="A137">
        <f>ROW()</f>
        <v>137</v>
      </c>
      <c r="B137" t="str">
        <f>IFERROR(INDEX(tblDeviceConfig[Device Type],ROW()-1),"")</f>
        <v>Cybernet</v>
      </c>
      <c r="C137">
        <f>IFERROR(INDEX(tblDeviceConfig[Deployed],ROW()-1),"")</f>
        <v>0</v>
      </c>
      <c r="D137" t="str">
        <f>IFERROR(INDEX(tblDeviceConfig[Installed],ROW()-1),"")</f>
        <v>No</v>
      </c>
      <c r="E137">
        <f>IFERROR(INDEX(tblDeviceConfig[Cybernet Hostname],ROW()-1),"")</f>
        <v>0</v>
      </c>
      <c r="F137" t="str">
        <f>IFERROR(INDEX(tblDeviceConfig[Neuron Hostname],ROW()-1),"")</f>
        <v>WNH270OPR449</v>
      </c>
      <c r="G137">
        <f>IFERROR(INDEX(tblDeviceConfig[Software List],ROW()-1),"")</f>
        <v>0</v>
      </c>
      <c r="H137">
        <f>IFERROR(INDEX(tblDeviceConfig[PI_Use_Case],ROW()-1),"")</f>
        <v>0</v>
      </c>
      <c r="I137">
        <f>IFERROR(INDEX(tblDeviceConfig[PI_Result],ROW()-1),"")</f>
        <v>0</v>
      </c>
      <c r="J137">
        <f>IFERROR(INDEX(tblDeviceConfig[PI_Validated_By],ROW()-1),"")</f>
        <v>0</v>
      </c>
      <c r="K137">
        <f>IFERROR(INDEX(tblDeviceConfig[PI_Validated_Date],ROW()-1),"")</f>
        <v>0</v>
      </c>
      <c r="L137">
        <f t="shared" si="4"/>
        <v>0</v>
      </c>
      <c r="M137" t="str">
        <f t="shared" si="5"/>
        <v/>
      </c>
    </row>
    <row r="138" spans="1:13">
      <c r="A138">
        <f>ROW()</f>
        <v>138</v>
      </c>
      <c r="B138" t="str">
        <f>IFERROR(INDEX(tblDeviceConfig[Device Type],ROW()-1),"")</f>
        <v>Cybernet</v>
      </c>
      <c r="C138">
        <f>IFERROR(INDEX(tblDeviceConfig[Deployed],ROW()-1),"")</f>
        <v>0</v>
      </c>
      <c r="D138" t="str">
        <f>IFERROR(INDEX(tblDeviceConfig[Installed],ROW()-1),"")</f>
        <v>No</v>
      </c>
      <c r="E138">
        <f>IFERROR(INDEX(tblDeviceConfig[Cybernet Hostname],ROW()-1),"")</f>
        <v>0</v>
      </c>
      <c r="F138" t="str">
        <f>IFERROR(INDEX(tblDeviceConfig[Neuron Hostname],ROW()-1),"")</f>
        <v>WNH270OPR450</v>
      </c>
      <c r="G138">
        <f>IFERROR(INDEX(tblDeviceConfig[Software List],ROW()-1),"")</f>
        <v>0</v>
      </c>
      <c r="H138">
        <f>IFERROR(INDEX(tblDeviceConfig[PI_Use_Case],ROW()-1),"")</f>
        <v>0</v>
      </c>
      <c r="I138">
        <f>IFERROR(INDEX(tblDeviceConfig[PI_Result],ROW()-1),"")</f>
        <v>0</v>
      </c>
      <c r="J138">
        <f>IFERROR(INDEX(tblDeviceConfig[PI_Validated_By],ROW()-1),"")</f>
        <v>0</v>
      </c>
      <c r="K138">
        <f>IFERROR(INDEX(tblDeviceConfig[PI_Validated_Date],ROW()-1),"")</f>
        <v>0</v>
      </c>
      <c r="L138">
        <f t="shared" si="4"/>
        <v>0</v>
      </c>
      <c r="M138" t="str">
        <f t="shared" si="5"/>
        <v/>
      </c>
    </row>
    <row r="139" spans="1:13">
      <c r="A139">
        <f>ROW()</f>
        <v>139</v>
      </c>
      <c r="B139" t="str">
        <f>IFERROR(INDEX(tblDeviceConfig[Device Type],ROW()-1),"")</f>
        <v>Peripherals</v>
      </c>
      <c r="C139" t="str">
        <f>IFERROR(INDEX(tblDeviceConfig[Deployed],ROW()-1),"")</f>
        <v>Yes</v>
      </c>
      <c r="D139" t="str">
        <f>IFERROR(INDEX(tblDeviceConfig[Installed],ROW()-1),"")</f>
        <v>Yes</v>
      </c>
      <c r="E139">
        <f>IFERROR(INDEX(tblDeviceConfig[Cybernet Hostname],ROW()-1),"")</f>
        <v>0</v>
      </c>
      <c r="F139" t="str">
        <f>IFERROR(INDEX(tblDeviceConfig[Neuron Hostname],ROW()-1),"")</f>
        <v>WVS900OPR028</v>
      </c>
      <c r="G139">
        <f>IFERROR(INDEX(tblDeviceConfig[Software List],ROW()-1),"")</f>
        <v>0</v>
      </c>
      <c r="H139">
        <f>IFERROR(INDEX(tblDeviceConfig[PI_Use_Case],ROW()-1),"")</f>
        <v>0</v>
      </c>
      <c r="I139">
        <f>IFERROR(INDEX(tblDeviceConfig[PI_Result],ROW()-1),"")</f>
        <v>0</v>
      </c>
      <c r="J139">
        <f>IFERROR(INDEX(tblDeviceConfig[PI_Validated_By],ROW()-1),"")</f>
        <v>0</v>
      </c>
      <c r="K139">
        <f>IFERROR(INDEX(tblDeviceConfig[PI_Validated_Date],ROW()-1),"")</f>
        <v>0</v>
      </c>
      <c r="L139">
        <f t="shared" si="4"/>
        <v>0</v>
      </c>
      <c r="M139" t="str">
        <f t="shared" si="5"/>
        <v/>
      </c>
    </row>
    <row r="140" spans="1:13">
      <c r="A140">
        <f>ROW()</f>
        <v>140</v>
      </c>
      <c r="B140" t="str">
        <f>IFERROR(INDEX(tblDeviceConfig[Device Type],ROW()-1),"")</f>
        <v>Peripherals</v>
      </c>
      <c r="C140" t="str">
        <f>IFERROR(INDEX(tblDeviceConfig[Deployed],ROW()-1),"")</f>
        <v>Yes</v>
      </c>
      <c r="D140" t="str">
        <f>IFERROR(INDEX(tblDeviceConfig[Installed],ROW()-1),"")</f>
        <v>Yes</v>
      </c>
      <c r="E140">
        <f>IFERROR(INDEX(tblDeviceConfig[Cybernet Hostname],ROW()-1),"")</f>
        <v>0</v>
      </c>
      <c r="F140" t="str">
        <f>IFERROR(INDEX(tblDeviceConfig[Neuron Hostname],ROW()-1),"")</f>
        <v>WVS900OPR023</v>
      </c>
      <c r="G140">
        <f>IFERROR(INDEX(tblDeviceConfig[Software List],ROW()-1),"")</f>
        <v>0</v>
      </c>
      <c r="H140">
        <f>IFERROR(INDEX(tblDeviceConfig[PI_Use_Case],ROW()-1),"")</f>
        <v>0</v>
      </c>
      <c r="I140">
        <f>IFERROR(INDEX(tblDeviceConfig[PI_Result],ROW()-1),"")</f>
        <v>0</v>
      </c>
      <c r="J140">
        <f>IFERROR(INDEX(tblDeviceConfig[PI_Validated_By],ROW()-1),"")</f>
        <v>0</v>
      </c>
      <c r="K140">
        <f>IFERROR(INDEX(tblDeviceConfig[PI_Validated_Date],ROW()-1),"")</f>
        <v>0</v>
      </c>
      <c r="L140">
        <f t="shared" si="4"/>
        <v>0</v>
      </c>
      <c r="M140" t="str">
        <f t="shared" si="5"/>
        <v/>
      </c>
    </row>
    <row r="141" spans="1:13">
      <c r="A141">
        <f>ROW()</f>
        <v>141</v>
      </c>
      <c r="B141" t="str">
        <f>IFERROR(INDEX(tblDeviceConfig[Device Type],ROW()-1),"")</f>
        <v>Peripherals</v>
      </c>
      <c r="C141" t="str">
        <f>IFERROR(INDEX(tblDeviceConfig[Deployed],ROW()-1),"")</f>
        <v>Yes</v>
      </c>
      <c r="D141" t="str">
        <f>IFERROR(INDEX(tblDeviceConfig[Installed],ROW()-1),"")</f>
        <v>Yes</v>
      </c>
      <c r="E141">
        <f>IFERROR(INDEX(tblDeviceConfig[Cybernet Hostname],ROW()-1),"")</f>
        <v>0</v>
      </c>
      <c r="F141" t="str">
        <f>IFERROR(INDEX(tblDeviceConfig[Neuron Hostname],ROW()-1),"")</f>
        <v>WVS900OPR026</v>
      </c>
      <c r="G141">
        <f>IFERROR(INDEX(tblDeviceConfig[Software List],ROW()-1),"")</f>
        <v>0</v>
      </c>
      <c r="H141">
        <f>IFERROR(INDEX(tblDeviceConfig[PI_Use_Case],ROW()-1),"")</f>
        <v>0</v>
      </c>
      <c r="I141">
        <f>IFERROR(INDEX(tblDeviceConfig[PI_Result],ROW()-1),"")</f>
        <v>0</v>
      </c>
      <c r="J141">
        <f>IFERROR(INDEX(tblDeviceConfig[PI_Validated_By],ROW()-1),"")</f>
        <v>0</v>
      </c>
      <c r="K141">
        <f>IFERROR(INDEX(tblDeviceConfig[PI_Validated_Date],ROW()-1),"")</f>
        <v>0</v>
      </c>
      <c r="L141">
        <f t="shared" si="4"/>
        <v>0</v>
      </c>
      <c r="M141" t="str">
        <f t="shared" si="5"/>
        <v/>
      </c>
    </row>
    <row r="142" spans="1:13">
      <c r="A142">
        <f>ROW()</f>
        <v>142</v>
      </c>
      <c r="B142" t="str">
        <f>IFERROR(INDEX(tblDeviceConfig[Device Type],ROW()-1),"")</f>
        <v>Peripherals</v>
      </c>
      <c r="C142" t="str">
        <f>IFERROR(INDEX(tblDeviceConfig[Deployed],ROW()-1),"")</f>
        <v>Yes</v>
      </c>
      <c r="D142" t="str">
        <f>IFERROR(INDEX(tblDeviceConfig[Installed],ROW()-1),"")</f>
        <v>Yes</v>
      </c>
      <c r="E142">
        <f>IFERROR(INDEX(tblDeviceConfig[Cybernet Hostname],ROW()-1),"")</f>
        <v>0</v>
      </c>
      <c r="F142" t="str">
        <f>IFERROR(INDEX(tblDeviceConfig[Neuron Hostname],ROW()-1),"")</f>
        <v>WVS900OPR030</v>
      </c>
      <c r="G142">
        <f>IFERROR(INDEX(tblDeviceConfig[Software List],ROW()-1),"")</f>
        <v>0</v>
      </c>
      <c r="H142">
        <f>IFERROR(INDEX(tblDeviceConfig[PI_Use_Case],ROW()-1),"")</f>
        <v>0</v>
      </c>
      <c r="I142">
        <f>IFERROR(INDEX(tblDeviceConfig[PI_Result],ROW()-1),"")</f>
        <v>0</v>
      </c>
      <c r="J142">
        <f>IFERROR(INDEX(tblDeviceConfig[PI_Validated_By],ROW()-1),"")</f>
        <v>0</v>
      </c>
      <c r="K142">
        <f>IFERROR(INDEX(tblDeviceConfig[PI_Validated_Date],ROW()-1),"")</f>
        <v>0</v>
      </c>
      <c r="L142">
        <f t="shared" si="4"/>
        <v>0</v>
      </c>
      <c r="M142" t="str">
        <f t="shared" si="5"/>
        <v/>
      </c>
    </row>
    <row r="143" spans="1:13">
      <c r="A143">
        <f>ROW()</f>
        <v>143</v>
      </c>
      <c r="B143" t="str">
        <f>IFERROR(INDEX(tblDeviceConfig[Device Type],ROW()-1),"")</f>
        <v>Peripherals</v>
      </c>
      <c r="C143" t="str">
        <f>IFERROR(INDEX(tblDeviceConfig[Deployed],ROW()-1),"")</f>
        <v>Yes</v>
      </c>
      <c r="D143" t="str">
        <f>IFERROR(INDEX(tblDeviceConfig[Installed],ROW()-1),"")</f>
        <v>Yes</v>
      </c>
      <c r="E143">
        <f>IFERROR(INDEX(tblDeviceConfig[Cybernet Hostname],ROW()-1),"")</f>
        <v>0</v>
      </c>
      <c r="F143" t="str">
        <f>IFERROR(INDEX(tblDeviceConfig[Neuron Hostname],ROW()-1),"")</f>
        <v>WVS900OPR029</v>
      </c>
      <c r="G143">
        <f>IFERROR(INDEX(tblDeviceConfig[Software List],ROW()-1),"")</f>
        <v>0</v>
      </c>
      <c r="H143">
        <f>IFERROR(INDEX(tblDeviceConfig[PI_Use_Case],ROW()-1),"")</f>
        <v>0</v>
      </c>
      <c r="I143">
        <f>IFERROR(INDEX(tblDeviceConfig[PI_Result],ROW()-1),"")</f>
        <v>0</v>
      </c>
      <c r="J143">
        <f>IFERROR(INDEX(tblDeviceConfig[PI_Validated_By],ROW()-1),"")</f>
        <v>0</v>
      </c>
      <c r="K143">
        <f>IFERROR(INDEX(tblDeviceConfig[PI_Validated_Date],ROW()-1),"")</f>
        <v>0</v>
      </c>
      <c r="L143">
        <f t="shared" si="4"/>
        <v>0</v>
      </c>
      <c r="M143" t="str">
        <f t="shared" si="5"/>
        <v/>
      </c>
    </row>
    <row r="144" spans="1:13">
      <c r="A144">
        <f>ROW()</f>
        <v>144</v>
      </c>
      <c r="B144" t="str">
        <f>IFERROR(INDEX(tblDeviceConfig[Device Type],ROW()-1),"")</f>
        <v>Peripherals</v>
      </c>
      <c r="C144" t="str">
        <f>IFERROR(INDEX(tblDeviceConfig[Deployed],ROW()-1),"")</f>
        <v>Yes</v>
      </c>
      <c r="D144" t="str">
        <f>IFERROR(INDEX(tblDeviceConfig[Installed],ROW()-1),"")</f>
        <v>Yes</v>
      </c>
      <c r="E144">
        <f>IFERROR(INDEX(tblDeviceConfig[Cybernet Hostname],ROW()-1),"")</f>
        <v>0</v>
      </c>
      <c r="F144" t="str">
        <f>IFERROR(INDEX(tblDeviceConfig[Neuron Hostname],ROW()-1),"")</f>
        <v>WVS900OPR024</v>
      </c>
      <c r="G144">
        <f>IFERROR(INDEX(tblDeviceConfig[Software List],ROW()-1),"")</f>
        <v>0</v>
      </c>
      <c r="H144">
        <f>IFERROR(INDEX(tblDeviceConfig[PI_Use_Case],ROW()-1),"")</f>
        <v>0</v>
      </c>
      <c r="I144">
        <f>IFERROR(INDEX(tblDeviceConfig[PI_Result],ROW()-1),"")</f>
        <v>0</v>
      </c>
      <c r="J144">
        <f>IFERROR(INDEX(tblDeviceConfig[PI_Validated_By],ROW()-1),"")</f>
        <v>0</v>
      </c>
      <c r="K144">
        <f>IFERROR(INDEX(tblDeviceConfig[PI_Validated_Date],ROW()-1),"")</f>
        <v>0</v>
      </c>
      <c r="L144">
        <f t="shared" si="4"/>
        <v>0</v>
      </c>
      <c r="M144" t="str">
        <f t="shared" si="5"/>
        <v/>
      </c>
    </row>
    <row r="145" spans="1:13">
      <c r="A145">
        <f>ROW()</f>
        <v>145</v>
      </c>
      <c r="B145" t="str">
        <f>IFERROR(INDEX(tblDeviceConfig[Device Type],ROW()-1),"")</f>
        <v>Peripherals</v>
      </c>
      <c r="C145" t="str">
        <f>IFERROR(INDEX(tblDeviceConfig[Deployed],ROW()-1),"")</f>
        <v>Yes</v>
      </c>
      <c r="D145" t="str">
        <f>IFERROR(INDEX(tblDeviceConfig[Installed],ROW()-1),"")</f>
        <v>Yes</v>
      </c>
      <c r="E145">
        <f>IFERROR(INDEX(tblDeviceConfig[Cybernet Hostname],ROW()-1),"")</f>
        <v>0</v>
      </c>
      <c r="F145" t="str">
        <f>IFERROR(INDEX(tblDeviceConfig[Neuron Hostname],ROW()-1),"")</f>
        <v>WVS900OPR025</v>
      </c>
      <c r="G145">
        <f>IFERROR(INDEX(tblDeviceConfig[Software List],ROW()-1),"")</f>
        <v>0</v>
      </c>
      <c r="H145">
        <f>IFERROR(INDEX(tblDeviceConfig[PI_Use_Case],ROW()-1),"")</f>
        <v>0</v>
      </c>
      <c r="I145">
        <f>IFERROR(INDEX(tblDeviceConfig[PI_Result],ROW()-1),"")</f>
        <v>0</v>
      </c>
      <c r="J145">
        <f>IFERROR(INDEX(tblDeviceConfig[PI_Validated_By],ROW()-1),"")</f>
        <v>0</v>
      </c>
      <c r="K145">
        <f>IFERROR(INDEX(tblDeviceConfig[PI_Validated_Date],ROW()-1),"")</f>
        <v>0</v>
      </c>
      <c r="L145">
        <f t="shared" si="4"/>
        <v>0</v>
      </c>
      <c r="M145" t="str">
        <f t="shared" si="5"/>
        <v/>
      </c>
    </row>
    <row r="146" spans="1:13">
      <c r="A146">
        <f>ROW()</f>
        <v>146</v>
      </c>
      <c r="B146" t="str">
        <f>IFERROR(INDEX(tblDeviceConfig[Device Type],ROW()-1),"")</f>
        <v>Peripherals</v>
      </c>
      <c r="C146" t="str">
        <f>IFERROR(INDEX(tblDeviceConfig[Deployed],ROW()-1),"")</f>
        <v>Yes</v>
      </c>
      <c r="D146" t="str">
        <f>IFERROR(INDEX(tblDeviceConfig[Installed],ROW()-1),"")</f>
        <v>Yes</v>
      </c>
      <c r="E146">
        <f>IFERROR(INDEX(tblDeviceConfig[Cybernet Hostname],ROW()-1),"")</f>
        <v>0</v>
      </c>
      <c r="F146">
        <f>IFERROR(INDEX(tblDeviceConfig[Neuron Hostname],ROW()-1),"")</f>
        <v>0</v>
      </c>
      <c r="G146">
        <f>IFERROR(INDEX(tblDeviceConfig[Software List],ROW()-1),"")</f>
        <v>0</v>
      </c>
      <c r="H146">
        <f>IFERROR(INDEX(tblDeviceConfig[PI_Use_Case],ROW()-1),"")</f>
        <v>0</v>
      </c>
      <c r="I146">
        <f>IFERROR(INDEX(tblDeviceConfig[PI_Result],ROW()-1),"")</f>
        <v>0</v>
      </c>
      <c r="J146">
        <f>IFERROR(INDEX(tblDeviceConfig[PI_Validated_By],ROW()-1),"")</f>
        <v>0</v>
      </c>
      <c r="K146">
        <f>IFERROR(INDEX(tblDeviceConfig[PI_Validated_Date],ROW()-1),"")</f>
        <v>0</v>
      </c>
      <c r="L146">
        <f t="shared" si="4"/>
        <v>0</v>
      </c>
      <c r="M146" t="str">
        <f t="shared" si="5"/>
        <v/>
      </c>
    </row>
    <row r="147" spans="1:13">
      <c r="A147">
        <f>ROW()</f>
        <v>147</v>
      </c>
      <c r="B147" t="str">
        <f>IFERROR(INDEX(tblDeviceConfig[Device Type],ROW()-1),"")</f>
        <v>Peripherals</v>
      </c>
      <c r="C147" t="str">
        <f>IFERROR(INDEX(tblDeviceConfig[Deployed],ROW()-1),"")</f>
        <v>Yes</v>
      </c>
      <c r="D147" t="str">
        <f>IFERROR(INDEX(tblDeviceConfig[Installed],ROW()-1),"")</f>
        <v>Yes</v>
      </c>
      <c r="E147">
        <f>IFERROR(INDEX(tblDeviceConfig[Cybernet Hostname],ROW()-1),"")</f>
        <v>0</v>
      </c>
      <c r="F147">
        <f>IFERROR(INDEX(tblDeviceConfig[Neuron Hostname],ROW()-1),"")</f>
        <v>0</v>
      </c>
      <c r="G147">
        <f>IFERROR(INDEX(tblDeviceConfig[Software List],ROW()-1),"")</f>
        <v>0</v>
      </c>
      <c r="H147">
        <f>IFERROR(INDEX(tblDeviceConfig[PI_Use_Case],ROW()-1),"")</f>
        <v>0</v>
      </c>
      <c r="I147">
        <f>IFERROR(INDEX(tblDeviceConfig[PI_Result],ROW()-1),"")</f>
        <v>0</v>
      </c>
      <c r="J147">
        <f>IFERROR(INDEX(tblDeviceConfig[PI_Validated_By],ROW()-1),"")</f>
        <v>0</v>
      </c>
      <c r="K147">
        <f>IFERROR(INDEX(tblDeviceConfig[PI_Validated_Date],ROW()-1),"")</f>
        <v>0</v>
      </c>
      <c r="L147">
        <f t="shared" si="4"/>
        <v>0</v>
      </c>
      <c r="M147" t="str">
        <f t="shared" si="5"/>
        <v/>
      </c>
    </row>
    <row r="148" spans="1:13">
      <c r="A148">
        <f>ROW()</f>
        <v>148</v>
      </c>
      <c r="B148" t="str">
        <f>IFERROR(INDEX(tblDeviceConfig[Device Type],ROW()-1),"")</f>
        <v>Peripherals</v>
      </c>
      <c r="C148" t="str">
        <f>IFERROR(INDEX(tblDeviceConfig[Deployed],ROW()-1),"")</f>
        <v>Yes</v>
      </c>
      <c r="D148" t="str">
        <f>IFERROR(INDEX(tblDeviceConfig[Installed],ROW()-1),"")</f>
        <v>Yes</v>
      </c>
      <c r="E148">
        <f>IFERROR(INDEX(tblDeviceConfig[Cybernet Hostname],ROW()-1),"")</f>
        <v>0</v>
      </c>
      <c r="F148">
        <f>IFERROR(INDEX(tblDeviceConfig[Neuron Hostname],ROW()-1),"")</f>
        <v>0</v>
      </c>
      <c r="G148">
        <f>IFERROR(INDEX(tblDeviceConfig[Software List],ROW()-1),"")</f>
        <v>0</v>
      </c>
      <c r="H148">
        <f>IFERROR(INDEX(tblDeviceConfig[PI_Use_Case],ROW()-1),"")</f>
        <v>0</v>
      </c>
      <c r="I148">
        <f>IFERROR(INDEX(tblDeviceConfig[PI_Result],ROW()-1),"")</f>
        <v>0</v>
      </c>
      <c r="J148">
        <f>IFERROR(INDEX(tblDeviceConfig[PI_Validated_By],ROW()-1),"")</f>
        <v>0</v>
      </c>
      <c r="K148">
        <f>IFERROR(INDEX(tblDeviceConfig[PI_Validated_Date],ROW()-1),"")</f>
        <v>0</v>
      </c>
      <c r="L148">
        <f t="shared" si="4"/>
        <v>0</v>
      </c>
      <c r="M148" t="str">
        <f t="shared" si="5"/>
        <v/>
      </c>
    </row>
    <row r="149" spans="1:13">
      <c r="A149">
        <f>ROW()</f>
        <v>149</v>
      </c>
      <c r="B149">
        <f>IFERROR(INDEX(tblDeviceConfig[Device Type],ROW()-1),"")</f>
        <v>0</v>
      </c>
      <c r="C149">
        <f>IFERROR(INDEX(tblDeviceConfig[Deployed],ROW()-1),"")</f>
        <v>0</v>
      </c>
      <c r="D149">
        <f>IFERROR(INDEX(tblDeviceConfig[Installed],ROW()-1),"")</f>
        <v>0</v>
      </c>
      <c r="E149">
        <f>IFERROR(INDEX(tblDeviceConfig[Cybernet Hostname],ROW()-1),"")</f>
        <v>0</v>
      </c>
      <c r="F149">
        <f>IFERROR(INDEX(tblDeviceConfig[Neuron Hostname],ROW()-1),"")</f>
        <v>0</v>
      </c>
      <c r="G149">
        <f>IFERROR(INDEX(tblDeviceConfig[Software List],ROW()-1),"")</f>
        <v>0</v>
      </c>
      <c r="H149">
        <f>IFERROR(INDEX(tblDeviceConfig[PI_Use_Case],ROW()-1),"")</f>
        <v>0</v>
      </c>
      <c r="I149">
        <f>IFERROR(INDEX(tblDeviceConfig[PI_Result],ROW()-1),"")</f>
        <v>0</v>
      </c>
      <c r="J149">
        <f>IFERROR(INDEX(tblDeviceConfig[PI_Validated_By],ROW()-1),"")</f>
        <v>0</v>
      </c>
      <c r="K149">
        <f>IFERROR(INDEX(tblDeviceConfig[PI_Validated_Date],ROW()-1),"")</f>
        <v>0</v>
      </c>
      <c r="L149">
        <f t="shared" si="4"/>
        <v>0</v>
      </c>
      <c r="M149" t="str">
        <f t="shared" si="5"/>
        <v/>
      </c>
    </row>
    <row r="150" spans="1:13">
      <c r="A150">
        <f>ROW()</f>
        <v>150</v>
      </c>
      <c r="B150">
        <f>IFERROR(INDEX(tblDeviceConfig[Device Type],ROW()-1),"")</f>
        <v>0</v>
      </c>
      <c r="C150">
        <f>IFERROR(INDEX(tblDeviceConfig[Deployed],ROW()-1),"")</f>
        <v>0</v>
      </c>
      <c r="D150">
        <f>IFERROR(INDEX(tblDeviceConfig[Installed],ROW()-1),"")</f>
        <v>0</v>
      </c>
      <c r="E150">
        <f>IFERROR(INDEX(tblDeviceConfig[Cybernet Hostname],ROW()-1),"")</f>
        <v>0</v>
      </c>
      <c r="F150">
        <f>IFERROR(INDEX(tblDeviceConfig[Neuron Hostname],ROW()-1),"")</f>
        <v>0</v>
      </c>
      <c r="G150">
        <f>IFERROR(INDEX(tblDeviceConfig[Software List],ROW()-1),"")</f>
        <v>0</v>
      </c>
      <c r="H150">
        <f>IFERROR(INDEX(tblDeviceConfig[PI_Use_Case],ROW()-1),"")</f>
        <v>0</v>
      </c>
      <c r="I150">
        <f>IFERROR(INDEX(tblDeviceConfig[PI_Result],ROW()-1),"")</f>
        <v>0</v>
      </c>
      <c r="J150">
        <f>IFERROR(INDEX(tblDeviceConfig[PI_Validated_By],ROW()-1),"")</f>
        <v>0</v>
      </c>
      <c r="K150">
        <f>IFERROR(INDEX(tblDeviceConfig[PI_Validated_Date],ROW()-1),"")</f>
        <v>0</v>
      </c>
      <c r="L150">
        <f t="shared" si="4"/>
        <v>0</v>
      </c>
      <c r="M150" t="str">
        <f t="shared" si="5"/>
        <v/>
      </c>
    </row>
    <row r="151" spans="1:13">
      <c r="A151">
        <f>ROW()</f>
        <v>151</v>
      </c>
      <c r="B151">
        <f>IFERROR(INDEX(tblDeviceConfig[Device Type],ROW()-1),"")</f>
        <v>0</v>
      </c>
      <c r="C151">
        <f>IFERROR(INDEX(tblDeviceConfig[Deployed],ROW()-1),"")</f>
        <v>0</v>
      </c>
      <c r="D151">
        <f>IFERROR(INDEX(tblDeviceConfig[Installed],ROW()-1),"")</f>
        <v>0</v>
      </c>
      <c r="E151">
        <f>IFERROR(INDEX(tblDeviceConfig[Cybernet Hostname],ROW()-1),"")</f>
        <v>0</v>
      </c>
      <c r="F151">
        <f>IFERROR(INDEX(tblDeviceConfig[Neuron Hostname],ROW()-1),"")</f>
        <v>0</v>
      </c>
      <c r="G151">
        <f>IFERROR(INDEX(tblDeviceConfig[Software List],ROW()-1),"")</f>
        <v>0</v>
      </c>
      <c r="H151">
        <f>IFERROR(INDEX(tblDeviceConfig[PI_Use_Case],ROW()-1),"")</f>
        <v>0</v>
      </c>
      <c r="I151">
        <f>IFERROR(INDEX(tblDeviceConfig[PI_Result],ROW()-1),"")</f>
        <v>0</v>
      </c>
      <c r="J151">
        <f>IFERROR(INDEX(tblDeviceConfig[PI_Validated_By],ROW()-1),"")</f>
        <v>0</v>
      </c>
      <c r="K151">
        <f>IFERROR(INDEX(tblDeviceConfig[PI_Validated_Date],ROW()-1),"")</f>
        <v>0</v>
      </c>
      <c r="L151">
        <f t="shared" si="4"/>
        <v>0</v>
      </c>
      <c r="M151" t="str">
        <f t="shared" si="5"/>
        <v/>
      </c>
    </row>
    <row r="152" spans="1:13">
      <c r="A152">
        <f>ROW()</f>
        <v>152</v>
      </c>
      <c r="B152">
        <f>IFERROR(INDEX(tblDeviceConfig[Device Type],ROW()-1),"")</f>
        <v>0</v>
      </c>
      <c r="C152">
        <f>IFERROR(INDEX(tblDeviceConfig[Deployed],ROW()-1),"")</f>
        <v>0</v>
      </c>
      <c r="D152">
        <f>IFERROR(INDEX(tblDeviceConfig[Installed],ROW()-1),"")</f>
        <v>0</v>
      </c>
      <c r="E152">
        <f>IFERROR(INDEX(tblDeviceConfig[Cybernet Hostname],ROW()-1),"")</f>
        <v>0</v>
      </c>
      <c r="F152">
        <f>IFERROR(INDEX(tblDeviceConfig[Neuron Hostname],ROW()-1),"")</f>
        <v>0</v>
      </c>
      <c r="G152">
        <f>IFERROR(INDEX(tblDeviceConfig[Software List],ROW()-1),"")</f>
        <v>0</v>
      </c>
      <c r="H152">
        <f>IFERROR(INDEX(tblDeviceConfig[PI_Use_Case],ROW()-1),"")</f>
        <v>0</v>
      </c>
      <c r="I152">
        <f>IFERROR(INDEX(tblDeviceConfig[PI_Result],ROW()-1),"")</f>
        <v>0</v>
      </c>
      <c r="J152">
        <f>IFERROR(INDEX(tblDeviceConfig[PI_Validated_By],ROW()-1),"")</f>
        <v>0</v>
      </c>
      <c r="K152">
        <f>IFERROR(INDEX(tblDeviceConfig[PI_Validated_Date],ROW()-1),"")</f>
        <v>0</v>
      </c>
      <c r="L152">
        <f t="shared" si="4"/>
        <v>0</v>
      </c>
      <c r="M152" t="str">
        <f t="shared" si="5"/>
        <v/>
      </c>
    </row>
    <row r="153" spans="1:13">
      <c r="A153">
        <f>ROW()</f>
        <v>153</v>
      </c>
      <c r="B153">
        <f>IFERROR(INDEX(tblDeviceConfig[Device Type],ROW()-1),"")</f>
        <v>0</v>
      </c>
      <c r="C153">
        <f>IFERROR(INDEX(tblDeviceConfig[Deployed],ROW()-1),"")</f>
        <v>0</v>
      </c>
      <c r="D153">
        <f>IFERROR(INDEX(tblDeviceConfig[Installed],ROW()-1),"")</f>
        <v>0</v>
      </c>
      <c r="E153">
        <f>IFERROR(INDEX(tblDeviceConfig[Cybernet Hostname],ROW()-1),"")</f>
        <v>0</v>
      </c>
      <c r="F153">
        <f>IFERROR(INDEX(tblDeviceConfig[Neuron Hostname],ROW()-1),"")</f>
        <v>0</v>
      </c>
      <c r="G153">
        <f>IFERROR(INDEX(tblDeviceConfig[Software List],ROW()-1),"")</f>
        <v>0</v>
      </c>
      <c r="H153">
        <f>IFERROR(INDEX(tblDeviceConfig[PI_Use_Case],ROW()-1),"")</f>
        <v>0</v>
      </c>
      <c r="I153">
        <f>IFERROR(INDEX(tblDeviceConfig[PI_Result],ROW()-1),"")</f>
        <v>0</v>
      </c>
      <c r="J153">
        <f>IFERROR(INDEX(tblDeviceConfig[PI_Validated_By],ROW()-1),"")</f>
        <v>0</v>
      </c>
      <c r="K153">
        <f>IFERROR(INDEX(tblDeviceConfig[PI_Validated_Date],ROW()-1),"")</f>
        <v>0</v>
      </c>
      <c r="L153">
        <f t="shared" si="4"/>
        <v>0</v>
      </c>
      <c r="M153" t="str">
        <f t="shared" si="5"/>
        <v/>
      </c>
    </row>
    <row r="154" spans="1:13">
      <c r="A154">
        <f>ROW()</f>
        <v>154</v>
      </c>
      <c r="B154">
        <f>IFERROR(INDEX(tblDeviceConfig[Device Type],ROW()-1),"")</f>
        <v>0</v>
      </c>
      <c r="C154">
        <f>IFERROR(INDEX(tblDeviceConfig[Deployed],ROW()-1),"")</f>
        <v>0</v>
      </c>
      <c r="D154">
        <f>IFERROR(INDEX(tblDeviceConfig[Installed],ROW()-1),"")</f>
        <v>0</v>
      </c>
      <c r="E154">
        <f>IFERROR(INDEX(tblDeviceConfig[Cybernet Hostname],ROW()-1),"")</f>
        <v>0</v>
      </c>
      <c r="F154">
        <f>IFERROR(INDEX(tblDeviceConfig[Neuron Hostname],ROW()-1),"")</f>
        <v>0</v>
      </c>
      <c r="G154">
        <f>IFERROR(INDEX(tblDeviceConfig[Software List],ROW()-1),"")</f>
        <v>0</v>
      </c>
      <c r="H154">
        <f>IFERROR(INDEX(tblDeviceConfig[PI_Use_Case],ROW()-1),"")</f>
        <v>0</v>
      </c>
      <c r="I154">
        <f>IFERROR(INDEX(tblDeviceConfig[PI_Result],ROW()-1),"")</f>
        <v>0</v>
      </c>
      <c r="J154">
        <f>IFERROR(INDEX(tblDeviceConfig[PI_Validated_By],ROW()-1),"")</f>
        <v>0</v>
      </c>
      <c r="K154">
        <f>IFERROR(INDEX(tblDeviceConfig[PI_Validated_Date],ROW()-1),"")</f>
        <v>0</v>
      </c>
      <c r="L154">
        <f t="shared" si="4"/>
        <v>0</v>
      </c>
      <c r="M154" t="str">
        <f t="shared" si="5"/>
        <v/>
      </c>
    </row>
    <row r="155" spans="1:13">
      <c r="A155">
        <f>ROW()</f>
        <v>155</v>
      </c>
      <c r="B155">
        <f>IFERROR(INDEX(tblDeviceConfig[Device Type],ROW()-1),"")</f>
        <v>0</v>
      </c>
      <c r="C155">
        <f>IFERROR(INDEX(tblDeviceConfig[Deployed],ROW()-1),"")</f>
        <v>0</v>
      </c>
      <c r="D155">
        <f>IFERROR(INDEX(tblDeviceConfig[Installed],ROW()-1),"")</f>
        <v>0</v>
      </c>
      <c r="E155">
        <f>IFERROR(INDEX(tblDeviceConfig[Cybernet Hostname],ROW()-1),"")</f>
        <v>0</v>
      </c>
      <c r="F155">
        <f>IFERROR(INDEX(tblDeviceConfig[Neuron Hostname],ROW()-1),"")</f>
        <v>0</v>
      </c>
      <c r="G155">
        <f>IFERROR(INDEX(tblDeviceConfig[Software List],ROW()-1),"")</f>
        <v>0</v>
      </c>
      <c r="H155">
        <f>IFERROR(INDEX(tblDeviceConfig[PI_Use_Case],ROW()-1),"")</f>
        <v>0</v>
      </c>
      <c r="I155">
        <f>IFERROR(INDEX(tblDeviceConfig[PI_Result],ROW()-1),"")</f>
        <v>0</v>
      </c>
      <c r="J155">
        <f>IFERROR(INDEX(tblDeviceConfig[PI_Validated_By],ROW()-1),"")</f>
        <v>0</v>
      </c>
      <c r="K155">
        <f>IFERROR(INDEX(tblDeviceConfig[PI_Validated_Date],ROW()-1),"")</f>
        <v>0</v>
      </c>
      <c r="L155">
        <f t="shared" si="4"/>
        <v>0</v>
      </c>
      <c r="M155" t="str">
        <f t="shared" si="5"/>
        <v/>
      </c>
    </row>
    <row r="156" spans="1:13">
      <c r="A156">
        <f>ROW()</f>
        <v>156</v>
      </c>
      <c r="B156">
        <f>IFERROR(INDEX(tblDeviceConfig[Device Type],ROW()-1),"")</f>
        <v>0</v>
      </c>
      <c r="C156">
        <f>IFERROR(INDEX(tblDeviceConfig[Deployed],ROW()-1),"")</f>
        <v>0</v>
      </c>
      <c r="D156">
        <f>IFERROR(INDEX(tblDeviceConfig[Installed],ROW()-1),"")</f>
        <v>0</v>
      </c>
      <c r="E156">
        <f>IFERROR(INDEX(tblDeviceConfig[Cybernet Hostname],ROW()-1),"")</f>
        <v>0</v>
      </c>
      <c r="F156">
        <f>IFERROR(INDEX(tblDeviceConfig[Neuron Hostname],ROW()-1),"")</f>
        <v>0</v>
      </c>
      <c r="G156">
        <f>IFERROR(INDEX(tblDeviceConfig[Software List],ROW()-1),"")</f>
        <v>0</v>
      </c>
      <c r="H156">
        <f>IFERROR(INDEX(tblDeviceConfig[PI_Use_Case],ROW()-1),"")</f>
        <v>0</v>
      </c>
      <c r="I156">
        <f>IFERROR(INDEX(tblDeviceConfig[PI_Result],ROW()-1),"")</f>
        <v>0</v>
      </c>
      <c r="J156">
        <f>IFERROR(INDEX(tblDeviceConfig[PI_Validated_By],ROW()-1),"")</f>
        <v>0</v>
      </c>
      <c r="K156">
        <f>IFERROR(INDEX(tblDeviceConfig[PI_Validated_Date],ROW()-1),"")</f>
        <v>0</v>
      </c>
      <c r="L156">
        <f t="shared" si="4"/>
        <v>0</v>
      </c>
      <c r="M156" t="str">
        <f t="shared" si="5"/>
        <v/>
      </c>
    </row>
    <row r="157" spans="1:13">
      <c r="A157">
        <f>ROW()</f>
        <v>157</v>
      </c>
      <c r="B157">
        <f>IFERROR(INDEX(tblDeviceConfig[Device Type],ROW()-1),"")</f>
        <v>0</v>
      </c>
      <c r="C157">
        <f>IFERROR(INDEX(tblDeviceConfig[Deployed],ROW()-1),"")</f>
        <v>0</v>
      </c>
      <c r="D157">
        <f>IFERROR(INDEX(tblDeviceConfig[Installed],ROW()-1),"")</f>
        <v>0</v>
      </c>
      <c r="E157">
        <f>IFERROR(INDEX(tblDeviceConfig[Cybernet Hostname],ROW()-1),"")</f>
        <v>0</v>
      </c>
      <c r="F157">
        <f>IFERROR(INDEX(tblDeviceConfig[Neuron Hostname],ROW()-1),"")</f>
        <v>0</v>
      </c>
      <c r="G157">
        <f>IFERROR(INDEX(tblDeviceConfig[Software List],ROW()-1),"")</f>
        <v>0</v>
      </c>
      <c r="H157">
        <f>IFERROR(INDEX(tblDeviceConfig[PI_Use_Case],ROW()-1),"")</f>
        <v>0</v>
      </c>
      <c r="I157">
        <f>IFERROR(INDEX(tblDeviceConfig[PI_Result],ROW()-1),"")</f>
        <v>0</v>
      </c>
      <c r="J157">
        <f>IFERROR(INDEX(tblDeviceConfig[PI_Validated_By],ROW()-1),"")</f>
        <v>0</v>
      </c>
      <c r="K157">
        <f>IFERROR(INDEX(tblDeviceConfig[PI_Validated_Date],ROW()-1),"")</f>
        <v>0</v>
      </c>
      <c r="L157">
        <f t="shared" si="4"/>
        <v>0</v>
      </c>
      <c r="M157" t="str">
        <f t="shared" si="5"/>
        <v/>
      </c>
    </row>
    <row r="158" spans="1:13">
      <c r="A158">
        <f>ROW()</f>
        <v>158</v>
      </c>
      <c r="B158">
        <f>IFERROR(INDEX(tblDeviceConfig[Device Type],ROW()-1),"")</f>
        <v>0</v>
      </c>
      <c r="C158">
        <f>IFERROR(INDEX(tblDeviceConfig[Deployed],ROW()-1),"")</f>
        <v>0</v>
      </c>
      <c r="D158">
        <f>IFERROR(INDEX(tblDeviceConfig[Installed],ROW()-1),"")</f>
        <v>0</v>
      </c>
      <c r="E158">
        <f>IFERROR(INDEX(tblDeviceConfig[Cybernet Hostname],ROW()-1),"")</f>
        <v>0</v>
      </c>
      <c r="F158">
        <f>IFERROR(INDEX(tblDeviceConfig[Neuron Hostname],ROW()-1),"")</f>
        <v>0</v>
      </c>
      <c r="G158">
        <f>IFERROR(INDEX(tblDeviceConfig[Software List],ROW()-1),"")</f>
        <v>0</v>
      </c>
      <c r="H158">
        <f>IFERROR(INDEX(tblDeviceConfig[PI_Use_Case],ROW()-1),"")</f>
        <v>0</v>
      </c>
      <c r="I158">
        <f>IFERROR(INDEX(tblDeviceConfig[PI_Result],ROW()-1),"")</f>
        <v>0</v>
      </c>
      <c r="J158">
        <f>IFERROR(INDEX(tblDeviceConfig[PI_Validated_By],ROW()-1),"")</f>
        <v>0</v>
      </c>
      <c r="K158">
        <f>IFERROR(INDEX(tblDeviceConfig[PI_Validated_Date],ROW()-1),"")</f>
        <v>0</v>
      </c>
      <c r="L158">
        <f t="shared" si="4"/>
        <v>0</v>
      </c>
      <c r="M158" t="str">
        <f t="shared" si="5"/>
        <v/>
      </c>
    </row>
    <row r="159" spans="1:13">
      <c r="A159">
        <f>ROW()</f>
        <v>159</v>
      </c>
      <c r="B159">
        <f>IFERROR(INDEX(tblDeviceConfig[Device Type],ROW()-1),"")</f>
        <v>0</v>
      </c>
      <c r="C159">
        <f>IFERROR(INDEX(tblDeviceConfig[Deployed],ROW()-1),"")</f>
        <v>0</v>
      </c>
      <c r="D159">
        <f>IFERROR(INDEX(tblDeviceConfig[Installed],ROW()-1),"")</f>
        <v>0</v>
      </c>
      <c r="E159">
        <f>IFERROR(INDEX(tblDeviceConfig[Cybernet Hostname],ROW()-1),"")</f>
        <v>0</v>
      </c>
      <c r="F159">
        <f>IFERROR(INDEX(tblDeviceConfig[Neuron Hostname],ROW()-1),"")</f>
        <v>0</v>
      </c>
      <c r="G159">
        <f>IFERROR(INDEX(tblDeviceConfig[Software List],ROW()-1),"")</f>
        <v>0</v>
      </c>
      <c r="H159">
        <f>IFERROR(INDEX(tblDeviceConfig[PI_Use_Case],ROW()-1),"")</f>
        <v>0</v>
      </c>
      <c r="I159">
        <f>IFERROR(INDEX(tblDeviceConfig[PI_Result],ROW()-1),"")</f>
        <v>0</v>
      </c>
      <c r="J159">
        <f>IFERROR(INDEX(tblDeviceConfig[PI_Validated_By],ROW()-1),"")</f>
        <v>0</v>
      </c>
      <c r="K159">
        <f>IFERROR(INDEX(tblDeviceConfig[PI_Validated_Date],ROW()-1),"")</f>
        <v>0</v>
      </c>
      <c r="L159">
        <f t="shared" si="4"/>
        <v>0</v>
      </c>
      <c r="M159" t="str">
        <f t="shared" si="5"/>
        <v/>
      </c>
    </row>
    <row r="160" spans="1:13">
      <c r="A160">
        <f>ROW()</f>
        <v>160</v>
      </c>
      <c r="B160">
        <f>IFERROR(INDEX(tblDeviceConfig[Device Type],ROW()-1),"")</f>
        <v>0</v>
      </c>
      <c r="C160">
        <f>IFERROR(INDEX(tblDeviceConfig[Deployed],ROW()-1),"")</f>
        <v>0</v>
      </c>
      <c r="D160">
        <f>IFERROR(INDEX(tblDeviceConfig[Installed],ROW()-1),"")</f>
        <v>0</v>
      </c>
      <c r="E160">
        <f>IFERROR(INDEX(tblDeviceConfig[Cybernet Hostname],ROW()-1),"")</f>
        <v>0</v>
      </c>
      <c r="F160">
        <f>IFERROR(INDEX(tblDeviceConfig[Neuron Hostname],ROW()-1),"")</f>
        <v>0</v>
      </c>
      <c r="G160">
        <f>IFERROR(INDEX(tblDeviceConfig[Software List],ROW()-1),"")</f>
        <v>0</v>
      </c>
      <c r="H160">
        <f>IFERROR(INDEX(tblDeviceConfig[PI_Use_Case],ROW()-1),"")</f>
        <v>0</v>
      </c>
      <c r="I160">
        <f>IFERROR(INDEX(tblDeviceConfig[PI_Result],ROW()-1),"")</f>
        <v>0</v>
      </c>
      <c r="J160">
        <f>IFERROR(INDEX(tblDeviceConfig[PI_Validated_By],ROW()-1),"")</f>
        <v>0</v>
      </c>
      <c r="K160">
        <f>IFERROR(INDEX(tblDeviceConfig[PI_Validated_Date],ROW()-1),"")</f>
        <v>0</v>
      </c>
      <c r="L160">
        <f t="shared" si="4"/>
        <v>0</v>
      </c>
      <c r="M160" t="str">
        <f t="shared" si="5"/>
        <v/>
      </c>
    </row>
    <row r="161" spans="1:13">
      <c r="A161">
        <f>ROW()</f>
        <v>161</v>
      </c>
      <c r="B161">
        <f>IFERROR(INDEX(tblDeviceConfig[Device Type],ROW()-1),"")</f>
        <v>0</v>
      </c>
      <c r="C161">
        <f>IFERROR(INDEX(tblDeviceConfig[Deployed],ROW()-1),"")</f>
        <v>0</v>
      </c>
      <c r="D161">
        <f>IFERROR(INDEX(tblDeviceConfig[Installed],ROW()-1),"")</f>
        <v>0</v>
      </c>
      <c r="E161">
        <f>IFERROR(INDEX(tblDeviceConfig[Cybernet Hostname],ROW()-1),"")</f>
        <v>0</v>
      </c>
      <c r="F161">
        <f>IFERROR(INDEX(tblDeviceConfig[Neuron Hostname],ROW()-1),"")</f>
        <v>0</v>
      </c>
      <c r="G161">
        <f>IFERROR(INDEX(tblDeviceConfig[Software List],ROW()-1),"")</f>
        <v>0</v>
      </c>
      <c r="H161">
        <f>IFERROR(INDEX(tblDeviceConfig[PI_Use_Case],ROW()-1),"")</f>
        <v>0</v>
      </c>
      <c r="I161">
        <f>IFERROR(INDEX(tblDeviceConfig[PI_Result],ROW()-1),"")</f>
        <v>0</v>
      </c>
      <c r="J161">
        <f>IFERROR(INDEX(tblDeviceConfig[PI_Validated_By],ROW()-1),"")</f>
        <v>0</v>
      </c>
      <c r="K161">
        <f>IFERROR(INDEX(tblDeviceConfig[PI_Validated_Date],ROW()-1),"")</f>
        <v>0</v>
      </c>
      <c r="L161">
        <f t="shared" si="4"/>
        <v>0</v>
      </c>
      <c r="M161" t="str">
        <f t="shared" si="5"/>
        <v/>
      </c>
    </row>
    <row r="162" spans="1:13">
      <c r="A162">
        <f>ROW()</f>
        <v>162</v>
      </c>
      <c r="B162">
        <f>IFERROR(INDEX(tblDeviceConfig[Device Type],ROW()-1),"")</f>
        <v>0</v>
      </c>
      <c r="C162">
        <f>IFERROR(INDEX(tblDeviceConfig[Deployed],ROW()-1),"")</f>
        <v>0</v>
      </c>
      <c r="D162">
        <f>IFERROR(INDEX(tblDeviceConfig[Installed],ROW()-1),"")</f>
        <v>0</v>
      </c>
      <c r="E162">
        <f>IFERROR(INDEX(tblDeviceConfig[Cybernet Hostname],ROW()-1),"")</f>
        <v>0</v>
      </c>
      <c r="F162">
        <f>IFERROR(INDEX(tblDeviceConfig[Neuron Hostname],ROW()-1),"")</f>
        <v>0</v>
      </c>
      <c r="G162">
        <f>IFERROR(INDEX(tblDeviceConfig[Software List],ROW()-1),"")</f>
        <v>0</v>
      </c>
      <c r="H162">
        <f>IFERROR(INDEX(tblDeviceConfig[PI_Use_Case],ROW()-1),"")</f>
        <v>0</v>
      </c>
      <c r="I162">
        <f>IFERROR(INDEX(tblDeviceConfig[PI_Result],ROW()-1),"")</f>
        <v>0</v>
      </c>
      <c r="J162">
        <f>IFERROR(INDEX(tblDeviceConfig[PI_Validated_By],ROW()-1),"")</f>
        <v>0</v>
      </c>
      <c r="K162">
        <f>IFERROR(INDEX(tblDeviceConfig[PI_Validated_Date],ROW()-1),"")</f>
        <v>0</v>
      </c>
      <c r="L162">
        <f t="shared" si="4"/>
        <v>0</v>
      </c>
      <c r="M162" t="str">
        <f t="shared" si="5"/>
        <v/>
      </c>
    </row>
    <row r="163" spans="1:13">
      <c r="A163">
        <f>ROW()</f>
        <v>163</v>
      </c>
      <c r="B163">
        <f>IFERROR(INDEX(tblDeviceConfig[Device Type],ROW()-1),"")</f>
        <v>0</v>
      </c>
      <c r="C163">
        <f>IFERROR(INDEX(tblDeviceConfig[Deployed],ROW()-1),"")</f>
        <v>0</v>
      </c>
      <c r="D163">
        <f>IFERROR(INDEX(tblDeviceConfig[Installed],ROW()-1),"")</f>
        <v>0</v>
      </c>
      <c r="E163">
        <f>IFERROR(INDEX(tblDeviceConfig[Cybernet Hostname],ROW()-1),"")</f>
        <v>0</v>
      </c>
      <c r="F163">
        <f>IFERROR(INDEX(tblDeviceConfig[Neuron Hostname],ROW()-1),"")</f>
        <v>0</v>
      </c>
      <c r="G163">
        <f>IFERROR(INDEX(tblDeviceConfig[Software List],ROW()-1),"")</f>
        <v>0</v>
      </c>
      <c r="H163">
        <f>IFERROR(INDEX(tblDeviceConfig[PI_Use_Case],ROW()-1),"")</f>
        <v>0</v>
      </c>
      <c r="I163">
        <f>IFERROR(INDEX(tblDeviceConfig[PI_Result],ROW()-1),"")</f>
        <v>0</v>
      </c>
      <c r="J163">
        <f>IFERROR(INDEX(tblDeviceConfig[PI_Validated_By],ROW()-1),"")</f>
        <v>0</v>
      </c>
      <c r="K163">
        <f>IFERROR(INDEX(tblDeviceConfig[PI_Validated_Date],ROW()-1),"")</f>
        <v>0</v>
      </c>
      <c r="L163">
        <f t="shared" si="4"/>
        <v>0</v>
      </c>
      <c r="M163" t="str">
        <f t="shared" si="5"/>
        <v/>
      </c>
    </row>
    <row r="164" spans="1:13">
      <c r="A164">
        <f>ROW()</f>
        <v>164</v>
      </c>
      <c r="B164">
        <f>IFERROR(INDEX(tblDeviceConfig[Device Type],ROW()-1),"")</f>
        <v>0</v>
      </c>
      <c r="C164">
        <f>IFERROR(INDEX(tblDeviceConfig[Deployed],ROW()-1),"")</f>
        <v>0</v>
      </c>
      <c r="D164">
        <f>IFERROR(INDEX(tblDeviceConfig[Installed],ROW()-1),"")</f>
        <v>0</v>
      </c>
      <c r="E164">
        <f>IFERROR(INDEX(tblDeviceConfig[Cybernet Hostname],ROW()-1),"")</f>
        <v>0</v>
      </c>
      <c r="F164">
        <f>IFERROR(INDEX(tblDeviceConfig[Neuron Hostname],ROW()-1),"")</f>
        <v>0</v>
      </c>
      <c r="G164">
        <f>IFERROR(INDEX(tblDeviceConfig[Software List],ROW()-1),"")</f>
        <v>0</v>
      </c>
      <c r="H164">
        <f>IFERROR(INDEX(tblDeviceConfig[PI_Use_Case],ROW()-1),"")</f>
        <v>0</v>
      </c>
      <c r="I164">
        <f>IFERROR(INDEX(tblDeviceConfig[PI_Result],ROW()-1),"")</f>
        <v>0</v>
      </c>
      <c r="J164">
        <f>IFERROR(INDEX(tblDeviceConfig[PI_Validated_By],ROW()-1),"")</f>
        <v>0</v>
      </c>
      <c r="K164">
        <f>IFERROR(INDEX(tblDeviceConfig[PI_Validated_Date],ROW()-1),"")</f>
        <v>0</v>
      </c>
      <c r="L164">
        <f t="shared" si="4"/>
        <v>0</v>
      </c>
      <c r="M164" t="str">
        <f t="shared" si="5"/>
        <v/>
      </c>
    </row>
    <row r="165" spans="1:13">
      <c r="A165">
        <f>ROW()</f>
        <v>165</v>
      </c>
      <c r="B165">
        <f>IFERROR(INDEX(tblDeviceConfig[Device Type],ROW()-1),"")</f>
        <v>0</v>
      </c>
      <c r="C165">
        <f>IFERROR(INDEX(tblDeviceConfig[Deployed],ROW()-1),"")</f>
        <v>0</v>
      </c>
      <c r="D165">
        <f>IFERROR(INDEX(tblDeviceConfig[Installed],ROW()-1),"")</f>
        <v>0</v>
      </c>
      <c r="E165">
        <f>IFERROR(INDEX(tblDeviceConfig[Cybernet Hostname],ROW()-1),"")</f>
        <v>0</v>
      </c>
      <c r="F165">
        <f>IFERROR(INDEX(tblDeviceConfig[Neuron Hostname],ROW()-1),"")</f>
        <v>0</v>
      </c>
      <c r="G165">
        <f>IFERROR(INDEX(tblDeviceConfig[Software List],ROW()-1),"")</f>
        <v>0</v>
      </c>
      <c r="H165">
        <f>IFERROR(INDEX(tblDeviceConfig[PI_Use_Case],ROW()-1),"")</f>
        <v>0</v>
      </c>
      <c r="I165">
        <f>IFERROR(INDEX(tblDeviceConfig[PI_Result],ROW()-1),"")</f>
        <v>0</v>
      </c>
      <c r="J165">
        <f>IFERROR(INDEX(tblDeviceConfig[PI_Validated_By],ROW()-1),"")</f>
        <v>0</v>
      </c>
      <c r="K165">
        <f>IFERROR(INDEX(tblDeviceConfig[PI_Validated_Date],ROW()-1),"")</f>
        <v>0</v>
      </c>
      <c r="L165">
        <f t="shared" si="4"/>
        <v>0</v>
      </c>
      <c r="M165" t="str">
        <f t="shared" si="5"/>
        <v/>
      </c>
    </row>
    <row r="166" spans="1:13">
      <c r="A166">
        <f>ROW()</f>
        <v>166</v>
      </c>
      <c r="B166">
        <f>IFERROR(INDEX(tblDeviceConfig[Device Type],ROW()-1),"")</f>
        <v>0</v>
      </c>
      <c r="C166">
        <f>IFERROR(INDEX(tblDeviceConfig[Deployed],ROW()-1),"")</f>
        <v>0</v>
      </c>
      <c r="D166">
        <f>IFERROR(INDEX(tblDeviceConfig[Installed],ROW()-1),"")</f>
        <v>0</v>
      </c>
      <c r="E166">
        <f>IFERROR(INDEX(tblDeviceConfig[Cybernet Hostname],ROW()-1),"")</f>
        <v>0</v>
      </c>
      <c r="F166">
        <f>IFERROR(INDEX(tblDeviceConfig[Neuron Hostname],ROW()-1),"")</f>
        <v>0</v>
      </c>
      <c r="G166">
        <f>IFERROR(INDEX(tblDeviceConfig[Software List],ROW()-1),"")</f>
        <v>0</v>
      </c>
      <c r="H166">
        <f>IFERROR(INDEX(tblDeviceConfig[PI_Use_Case],ROW()-1),"")</f>
        <v>0</v>
      </c>
      <c r="I166">
        <f>IFERROR(INDEX(tblDeviceConfig[PI_Result],ROW()-1),"")</f>
        <v>0</v>
      </c>
      <c r="J166">
        <f>IFERROR(INDEX(tblDeviceConfig[PI_Validated_By],ROW()-1),"")</f>
        <v>0</v>
      </c>
      <c r="K166">
        <f>IFERROR(INDEX(tblDeviceConfig[PI_Validated_Date],ROW()-1),"")</f>
        <v>0</v>
      </c>
      <c r="L166">
        <f t="shared" si="4"/>
        <v>0</v>
      </c>
      <c r="M166" t="str">
        <f t="shared" si="5"/>
        <v/>
      </c>
    </row>
    <row r="167" spans="1:13">
      <c r="A167">
        <f>ROW()</f>
        <v>167</v>
      </c>
      <c r="B167">
        <f>IFERROR(INDEX(tblDeviceConfig[Device Type],ROW()-1),"")</f>
        <v>0</v>
      </c>
      <c r="C167">
        <f>IFERROR(INDEX(tblDeviceConfig[Deployed],ROW()-1),"")</f>
        <v>0</v>
      </c>
      <c r="D167">
        <f>IFERROR(INDEX(tblDeviceConfig[Installed],ROW()-1),"")</f>
        <v>0</v>
      </c>
      <c r="E167">
        <f>IFERROR(INDEX(tblDeviceConfig[Cybernet Hostname],ROW()-1),"")</f>
        <v>0</v>
      </c>
      <c r="F167">
        <f>IFERROR(INDEX(tblDeviceConfig[Neuron Hostname],ROW()-1),"")</f>
        <v>0</v>
      </c>
      <c r="G167">
        <f>IFERROR(INDEX(tblDeviceConfig[Software List],ROW()-1),"")</f>
        <v>0</v>
      </c>
      <c r="H167">
        <f>IFERROR(INDEX(tblDeviceConfig[PI_Use_Case],ROW()-1),"")</f>
        <v>0</v>
      </c>
      <c r="I167">
        <f>IFERROR(INDEX(tblDeviceConfig[PI_Result],ROW()-1),"")</f>
        <v>0</v>
      </c>
      <c r="J167">
        <f>IFERROR(INDEX(tblDeviceConfig[PI_Validated_By],ROW()-1),"")</f>
        <v>0</v>
      </c>
      <c r="K167">
        <f>IFERROR(INDEX(tblDeviceConfig[PI_Validated_Date],ROW()-1),"")</f>
        <v>0</v>
      </c>
      <c r="L167">
        <f t="shared" si="4"/>
        <v>0</v>
      </c>
      <c r="M167" t="str">
        <f t="shared" si="5"/>
        <v/>
      </c>
    </row>
    <row r="168" spans="1:13">
      <c r="A168">
        <f>ROW()</f>
        <v>168</v>
      </c>
      <c r="B168">
        <f>IFERROR(INDEX(tblDeviceConfig[Device Type],ROW()-1),"")</f>
        <v>0</v>
      </c>
      <c r="C168">
        <f>IFERROR(INDEX(tblDeviceConfig[Deployed],ROW()-1),"")</f>
        <v>0</v>
      </c>
      <c r="D168">
        <f>IFERROR(INDEX(tblDeviceConfig[Installed],ROW()-1),"")</f>
        <v>0</v>
      </c>
      <c r="E168">
        <f>IFERROR(INDEX(tblDeviceConfig[Cybernet Hostname],ROW()-1),"")</f>
        <v>0</v>
      </c>
      <c r="F168">
        <f>IFERROR(INDEX(tblDeviceConfig[Neuron Hostname],ROW()-1),"")</f>
        <v>0</v>
      </c>
      <c r="G168">
        <f>IFERROR(INDEX(tblDeviceConfig[Software List],ROW()-1),"")</f>
        <v>0</v>
      </c>
      <c r="H168">
        <f>IFERROR(INDEX(tblDeviceConfig[PI_Use_Case],ROW()-1),"")</f>
        <v>0</v>
      </c>
      <c r="I168">
        <f>IFERROR(INDEX(tblDeviceConfig[PI_Result],ROW()-1),"")</f>
        <v>0</v>
      </c>
      <c r="J168">
        <f>IFERROR(INDEX(tblDeviceConfig[PI_Validated_By],ROW()-1),"")</f>
        <v>0</v>
      </c>
      <c r="K168">
        <f>IFERROR(INDEX(tblDeviceConfig[PI_Validated_Date],ROW()-1),"")</f>
        <v>0</v>
      </c>
      <c r="L168">
        <f t="shared" si="4"/>
        <v>0</v>
      </c>
      <c r="M168" t="str">
        <f t="shared" si="5"/>
        <v/>
      </c>
    </row>
    <row r="169" spans="1:13">
      <c r="A169">
        <f>ROW()</f>
        <v>169</v>
      </c>
      <c r="B169">
        <f>IFERROR(INDEX(tblDeviceConfig[Device Type],ROW()-1),"")</f>
        <v>0</v>
      </c>
      <c r="C169">
        <f>IFERROR(INDEX(tblDeviceConfig[Deployed],ROW()-1),"")</f>
        <v>0</v>
      </c>
      <c r="D169">
        <f>IFERROR(INDEX(tblDeviceConfig[Installed],ROW()-1),"")</f>
        <v>0</v>
      </c>
      <c r="E169">
        <f>IFERROR(INDEX(tblDeviceConfig[Cybernet Hostname],ROW()-1),"")</f>
        <v>0</v>
      </c>
      <c r="F169">
        <f>IFERROR(INDEX(tblDeviceConfig[Neuron Hostname],ROW()-1),"")</f>
        <v>0</v>
      </c>
      <c r="G169">
        <f>IFERROR(INDEX(tblDeviceConfig[Software List],ROW()-1),"")</f>
        <v>0</v>
      </c>
      <c r="H169">
        <f>IFERROR(INDEX(tblDeviceConfig[PI_Use_Case],ROW()-1),"")</f>
        <v>0</v>
      </c>
      <c r="I169">
        <f>IFERROR(INDEX(tblDeviceConfig[PI_Result],ROW()-1),"")</f>
        <v>0</v>
      </c>
      <c r="J169">
        <f>IFERROR(INDEX(tblDeviceConfig[PI_Validated_By],ROW()-1),"")</f>
        <v>0</v>
      </c>
      <c r="K169">
        <f>IFERROR(INDEX(tblDeviceConfig[PI_Validated_Date],ROW()-1),"")</f>
        <v>0</v>
      </c>
      <c r="L169">
        <f t="shared" si="4"/>
        <v>0</v>
      </c>
      <c r="M169" t="str">
        <f t="shared" si="5"/>
        <v/>
      </c>
    </row>
    <row r="170" spans="1:13">
      <c r="A170">
        <f>ROW()</f>
        <v>170</v>
      </c>
      <c r="B170">
        <f>IFERROR(INDEX(tblDeviceConfig[Device Type],ROW()-1),"")</f>
        <v>0</v>
      </c>
      <c r="C170">
        <f>IFERROR(INDEX(tblDeviceConfig[Deployed],ROW()-1),"")</f>
        <v>0</v>
      </c>
      <c r="D170">
        <f>IFERROR(INDEX(tblDeviceConfig[Installed],ROW()-1),"")</f>
        <v>0</v>
      </c>
      <c r="E170">
        <f>IFERROR(INDEX(tblDeviceConfig[Cybernet Hostname],ROW()-1),"")</f>
        <v>0</v>
      </c>
      <c r="F170">
        <f>IFERROR(INDEX(tblDeviceConfig[Neuron Hostname],ROW()-1),"")</f>
        <v>0</v>
      </c>
      <c r="G170">
        <f>IFERROR(INDEX(tblDeviceConfig[Software List],ROW()-1),"")</f>
        <v>0</v>
      </c>
      <c r="H170">
        <f>IFERROR(INDEX(tblDeviceConfig[PI_Use_Case],ROW()-1),"")</f>
        <v>0</v>
      </c>
      <c r="I170">
        <f>IFERROR(INDEX(tblDeviceConfig[PI_Result],ROW()-1),"")</f>
        <v>0</v>
      </c>
      <c r="J170">
        <f>IFERROR(INDEX(tblDeviceConfig[PI_Validated_By],ROW()-1),"")</f>
        <v>0</v>
      </c>
      <c r="K170">
        <f>IFERROR(INDEX(tblDeviceConfig[PI_Validated_Date],ROW()-1),"")</f>
        <v>0</v>
      </c>
      <c r="L170">
        <f t="shared" si="4"/>
        <v>0</v>
      </c>
      <c r="M170" t="str">
        <f t="shared" si="5"/>
        <v/>
      </c>
    </row>
    <row r="171" spans="1:13">
      <c r="A171">
        <f>ROW()</f>
        <v>171</v>
      </c>
      <c r="B171">
        <f>IFERROR(INDEX(tblDeviceConfig[Device Type],ROW()-1),"")</f>
        <v>0</v>
      </c>
      <c r="C171">
        <f>IFERROR(INDEX(tblDeviceConfig[Deployed],ROW()-1),"")</f>
        <v>0</v>
      </c>
      <c r="D171">
        <f>IFERROR(INDEX(tblDeviceConfig[Installed],ROW()-1),"")</f>
        <v>0</v>
      </c>
      <c r="E171">
        <f>IFERROR(INDEX(tblDeviceConfig[Cybernet Hostname],ROW()-1),"")</f>
        <v>0</v>
      </c>
      <c r="F171">
        <f>IFERROR(INDEX(tblDeviceConfig[Neuron Hostname],ROW()-1),"")</f>
        <v>0</v>
      </c>
      <c r="G171">
        <f>IFERROR(INDEX(tblDeviceConfig[Software List],ROW()-1),"")</f>
        <v>0</v>
      </c>
      <c r="H171">
        <f>IFERROR(INDEX(tblDeviceConfig[PI_Use_Case],ROW()-1),"")</f>
        <v>0</v>
      </c>
      <c r="I171">
        <f>IFERROR(INDEX(tblDeviceConfig[PI_Result],ROW()-1),"")</f>
        <v>0</v>
      </c>
      <c r="J171">
        <f>IFERROR(INDEX(tblDeviceConfig[PI_Validated_By],ROW()-1),"")</f>
        <v>0</v>
      </c>
      <c r="K171">
        <f>IFERROR(INDEX(tblDeviceConfig[PI_Validated_Date],ROW()-1),"")</f>
        <v>0</v>
      </c>
      <c r="L171">
        <f t="shared" si="4"/>
        <v>0</v>
      </c>
      <c r="M171" t="str">
        <f t="shared" si="5"/>
        <v/>
      </c>
    </row>
    <row r="172" spans="1:13">
      <c r="A172">
        <f>ROW()</f>
        <v>172</v>
      </c>
      <c r="B172">
        <f>IFERROR(INDEX(tblDeviceConfig[Device Type],ROW()-1),"")</f>
        <v>0</v>
      </c>
      <c r="C172">
        <f>IFERROR(INDEX(tblDeviceConfig[Deployed],ROW()-1),"")</f>
        <v>0</v>
      </c>
      <c r="D172">
        <f>IFERROR(INDEX(tblDeviceConfig[Installed],ROW()-1),"")</f>
        <v>0</v>
      </c>
      <c r="E172">
        <f>IFERROR(INDEX(tblDeviceConfig[Cybernet Hostname],ROW()-1),"")</f>
        <v>0</v>
      </c>
      <c r="F172">
        <f>IFERROR(INDEX(tblDeviceConfig[Neuron Hostname],ROW()-1),"")</f>
        <v>0</v>
      </c>
      <c r="G172">
        <f>IFERROR(INDEX(tblDeviceConfig[Software List],ROW()-1),"")</f>
        <v>0</v>
      </c>
      <c r="H172">
        <f>IFERROR(INDEX(tblDeviceConfig[PI_Use_Case],ROW()-1),"")</f>
        <v>0</v>
      </c>
      <c r="I172">
        <f>IFERROR(INDEX(tblDeviceConfig[PI_Result],ROW()-1),"")</f>
        <v>0</v>
      </c>
      <c r="J172">
        <f>IFERROR(INDEX(tblDeviceConfig[PI_Validated_By],ROW()-1),"")</f>
        <v>0</v>
      </c>
      <c r="K172">
        <f>IFERROR(INDEX(tblDeviceConfig[PI_Validated_Date],ROW()-1),"")</f>
        <v>0</v>
      </c>
      <c r="L172">
        <f t="shared" si="4"/>
        <v>0</v>
      </c>
      <c r="M172" t="str">
        <f t="shared" si="5"/>
        <v/>
      </c>
    </row>
    <row r="173" spans="1:13">
      <c r="A173">
        <f>ROW()</f>
        <v>173</v>
      </c>
      <c r="B173">
        <f>IFERROR(INDEX(tblDeviceConfig[Device Type],ROW()-1),"")</f>
        <v>0</v>
      </c>
      <c r="C173">
        <f>IFERROR(INDEX(tblDeviceConfig[Deployed],ROW()-1),"")</f>
        <v>0</v>
      </c>
      <c r="D173">
        <f>IFERROR(INDEX(tblDeviceConfig[Installed],ROW()-1),"")</f>
        <v>0</v>
      </c>
      <c r="E173">
        <f>IFERROR(INDEX(tblDeviceConfig[Cybernet Hostname],ROW()-1),"")</f>
        <v>0</v>
      </c>
      <c r="F173">
        <f>IFERROR(INDEX(tblDeviceConfig[Neuron Hostname],ROW()-1),"")</f>
        <v>0</v>
      </c>
      <c r="G173">
        <f>IFERROR(INDEX(tblDeviceConfig[Software List],ROW()-1),"")</f>
        <v>0</v>
      </c>
      <c r="H173">
        <f>IFERROR(INDEX(tblDeviceConfig[PI_Use_Case],ROW()-1),"")</f>
        <v>0</v>
      </c>
      <c r="I173">
        <f>IFERROR(INDEX(tblDeviceConfig[PI_Result],ROW()-1),"")</f>
        <v>0</v>
      </c>
      <c r="J173">
        <f>IFERROR(INDEX(tblDeviceConfig[PI_Validated_By],ROW()-1),"")</f>
        <v>0</v>
      </c>
      <c r="K173">
        <f>IFERROR(INDEX(tblDeviceConfig[PI_Validated_Date],ROW()-1),"")</f>
        <v>0</v>
      </c>
      <c r="L173">
        <f t="shared" si="4"/>
        <v>0</v>
      </c>
      <c r="M173" t="str">
        <f t="shared" si="5"/>
        <v/>
      </c>
    </row>
    <row r="174" spans="1:13">
      <c r="A174">
        <f>ROW()</f>
        <v>174</v>
      </c>
      <c r="B174">
        <f>IFERROR(INDEX(tblDeviceConfig[Device Type],ROW()-1),"")</f>
        <v>0</v>
      </c>
      <c r="C174">
        <f>IFERROR(INDEX(tblDeviceConfig[Deployed],ROW()-1),"")</f>
        <v>0</v>
      </c>
      <c r="D174">
        <f>IFERROR(INDEX(tblDeviceConfig[Installed],ROW()-1),"")</f>
        <v>0</v>
      </c>
      <c r="E174">
        <f>IFERROR(INDEX(tblDeviceConfig[Cybernet Hostname],ROW()-1),"")</f>
        <v>0</v>
      </c>
      <c r="F174">
        <f>IFERROR(INDEX(tblDeviceConfig[Neuron Hostname],ROW()-1),"")</f>
        <v>0</v>
      </c>
      <c r="G174">
        <f>IFERROR(INDEX(tblDeviceConfig[Software List],ROW()-1),"")</f>
        <v>0</v>
      </c>
      <c r="H174">
        <f>IFERROR(INDEX(tblDeviceConfig[PI_Use_Case],ROW()-1),"")</f>
        <v>0</v>
      </c>
      <c r="I174">
        <f>IFERROR(INDEX(tblDeviceConfig[PI_Result],ROW()-1),"")</f>
        <v>0</v>
      </c>
      <c r="J174">
        <f>IFERROR(INDEX(tblDeviceConfig[PI_Validated_By],ROW()-1),"")</f>
        <v>0</v>
      </c>
      <c r="K174">
        <f>IFERROR(INDEX(tblDeviceConfig[PI_Validated_Date],ROW()-1),"")</f>
        <v>0</v>
      </c>
      <c r="L174">
        <f t="shared" si="4"/>
        <v>0</v>
      </c>
      <c r="M174" t="str">
        <f t="shared" si="5"/>
        <v/>
      </c>
    </row>
    <row r="175" spans="1:13">
      <c r="A175">
        <f>ROW()</f>
        <v>175</v>
      </c>
      <c r="B175">
        <f>IFERROR(INDEX(tblDeviceConfig[Device Type],ROW()-1),"")</f>
        <v>0</v>
      </c>
      <c r="C175">
        <f>IFERROR(INDEX(tblDeviceConfig[Deployed],ROW()-1),"")</f>
        <v>0</v>
      </c>
      <c r="D175">
        <f>IFERROR(INDEX(tblDeviceConfig[Installed],ROW()-1),"")</f>
        <v>0</v>
      </c>
      <c r="E175">
        <f>IFERROR(INDEX(tblDeviceConfig[Cybernet Hostname],ROW()-1),"")</f>
        <v>0</v>
      </c>
      <c r="F175">
        <f>IFERROR(INDEX(tblDeviceConfig[Neuron Hostname],ROW()-1),"")</f>
        <v>0</v>
      </c>
      <c r="G175">
        <f>IFERROR(INDEX(tblDeviceConfig[Software List],ROW()-1),"")</f>
        <v>0</v>
      </c>
      <c r="H175">
        <f>IFERROR(INDEX(tblDeviceConfig[PI_Use_Case],ROW()-1),"")</f>
        <v>0</v>
      </c>
      <c r="I175">
        <f>IFERROR(INDEX(tblDeviceConfig[PI_Result],ROW()-1),"")</f>
        <v>0</v>
      </c>
      <c r="J175">
        <f>IFERROR(INDEX(tblDeviceConfig[PI_Validated_By],ROW()-1),"")</f>
        <v>0</v>
      </c>
      <c r="K175">
        <f>IFERROR(INDEX(tblDeviceConfig[PI_Validated_Date],ROW()-1),"")</f>
        <v>0</v>
      </c>
      <c r="L175">
        <f t="shared" si="4"/>
        <v>0</v>
      </c>
      <c r="M175" t="str">
        <f t="shared" si="5"/>
        <v/>
      </c>
    </row>
    <row r="176" spans="1:13">
      <c r="A176">
        <f>ROW()</f>
        <v>176</v>
      </c>
      <c r="B176">
        <f>IFERROR(INDEX(tblDeviceConfig[Device Type],ROW()-1),"")</f>
        <v>0</v>
      </c>
      <c r="C176">
        <f>IFERROR(INDEX(tblDeviceConfig[Deployed],ROW()-1),"")</f>
        <v>0</v>
      </c>
      <c r="D176">
        <f>IFERROR(INDEX(tblDeviceConfig[Installed],ROW()-1),"")</f>
        <v>0</v>
      </c>
      <c r="E176">
        <f>IFERROR(INDEX(tblDeviceConfig[Cybernet Hostname],ROW()-1),"")</f>
        <v>0</v>
      </c>
      <c r="F176">
        <f>IFERROR(INDEX(tblDeviceConfig[Neuron Hostname],ROW()-1),"")</f>
        <v>0</v>
      </c>
      <c r="G176">
        <f>IFERROR(INDEX(tblDeviceConfig[Software List],ROW()-1),"")</f>
        <v>0</v>
      </c>
      <c r="H176">
        <f>IFERROR(INDEX(tblDeviceConfig[PI_Use_Case],ROW()-1),"")</f>
        <v>0</v>
      </c>
      <c r="I176">
        <f>IFERROR(INDEX(tblDeviceConfig[PI_Result],ROW()-1),"")</f>
        <v>0</v>
      </c>
      <c r="J176">
        <f>IFERROR(INDEX(tblDeviceConfig[PI_Validated_By],ROW()-1),"")</f>
        <v>0</v>
      </c>
      <c r="K176">
        <f>IFERROR(INDEX(tblDeviceConfig[PI_Validated_Date],ROW()-1),"")</f>
        <v>0</v>
      </c>
      <c r="L176">
        <f t="shared" si="4"/>
        <v>0</v>
      </c>
      <c r="M176" t="str">
        <f t="shared" si="5"/>
        <v/>
      </c>
    </row>
    <row r="177" spans="1:13">
      <c r="A177">
        <f>ROW()</f>
        <v>177</v>
      </c>
      <c r="B177">
        <f>IFERROR(INDEX(tblDeviceConfig[Device Type],ROW()-1),"")</f>
        <v>0</v>
      </c>
      <c r="C177">
        <f>IFERROR(INDEX(tblDeviceConfig[Deployed],ROW()-1),"")</f>
        <v>0</v>
      </c>
      <c r="D177">
        <f>IFERROR(INDEX(tblDeviceConfig[Installed],ROW()-1),"")</f>
        <v>0</v>
      </c>
      <c r="E177">
        <f>IFERROR(INDEX(tblDeviceConfig[Cybernet Hostname],ROW()-1),"")</f>
        <v>0</v>
      </c>
      <c r="F177">
        <f>IFERROR(INDEX(tblDeviceConfig[Neuron Hostname],ROW()-1),"")</f>
        <v>0</v>
      </c>
      <c r="G177">
        <f>IFERROR(INDEX(tblDeviceConfig[Software List],ROW()-1),"")</f>
        <v>0</v>
      </c>
      <c r="H177">
        <f>IFERROR(INDEX(tblDeviceConfig[PI_Use_Case],ROW()-1),"")</f>
        <v>0</v>
      </c>
      <c r="I177">
        <f>IFERROR(INDEX(tblDeviceConfig[PI_Result],ROW()-1),"")</f>
        <v>0</v>
      </c>
      <c r="J177">
        <f>IFERROR(INDEX(tblDeviceConfig[PI_Validated_By],ROW()-1),"")</f>
        <v>0</v>
      </c>
      <c r="K177">
        <f>IFERROR(INDEX(tblDeviceConfig[PI_Validated_Date],ROW()-1),"")</f>
        <v>0</v>
      </c>
      <c r="L177">
        <f t="shared" si="4"/>
        <v>0</v>
      </c>
      <c r="M177" t="str">
        <f t="shared" si="5"/>
        <v/>
      </c>
    </row>
    <row r="178" spans="1:13">
      <c r="A178">
        <f>ROW()</f>
        <v>178</v>
      </c>
      <c r="B178">
        <f>IFERROR(INDEX(tblDeviceConfig[Device Type],ROW()-1),"")</f>
        <v>0</v>
      </c>
      <c r="C178">
        <f>IFERROR(INDEX(tblDeviceConfig[Deployed],ROW()-1),"")</f>
        <v>0</v>
      </c>
      <c r="D178">
        <f>IFERROR(INDEX(tblDeviceConfig[Installed],ROW()-1),"")</f>
        <v>0</v>
      </c>
      <c r="E178">
        <f>IFERROR(INDEX(tblDeviceConfig[Cybernet Hostname],ROW()-1),"")</f>
        <v>0</v>
      </c>
      <c r="F178">
        <f>IFERROR(INDEX(tblDeviceConfig[Neuron Hostname],ROW()-1),"")</f>
        <v>0</v>
      </c>
      <c r="G178">
        <f>IFERROR(INDEX(tblDeviceConfig[Software List],ROW()-1),"")</f>
        <v>0</v>
      </c>
      <c r="H178">
        <f>IFERROR(INDEX(tblDeviceConfig[PI_Use_Case],ROW()-1),"")</f>
        <v>0</v>
      </c>
      <c r="I178">
        <f>IFERROR(INDEX(tblDeviceConfig[PI_Result],ROW()-1),"")</f>
        <v>0</v>
      </c>
      <c r="J178">
        <f>IFERROR(INDEX(tblDeviceConfig[PI_Validated_By],ROW()-1),"")</f>
        <v>0</v>
      </c>
      <c r="K178">
        <f>IFERROR(INDEX(tblDeviceConfig[PI_Validated_Date],ROW()-1),"")</f>
        <v>0</v>
      </c>
      <c r="L178">
        <f t="shared" si="4"/>
        <v>0</v>
      </c>
      <c r="M178" t="str">
        <f t="shared" si="5"/>
        <v/>
      </c>
    </row>
    <row r="179" spans="1:13">
      <c r="A179">
        <f>ROW()</f>
        <v>179</v>
      </c>
      <c r="B179">
        <f>IFERROR(INDEX(tblDeviceConfig[Device Type],ROW()-1),"")</f>
        <v>0</v>
      </c>
      <c r="C179">
        <f>IFERROR(INDEX(tblDeviceConfig[Deployed],ROW()-1),"")</f>
        <v>0</v>
      </c>
      <c r="D179">
        <f>IFERROR(INDEX(tblDeviceConfig[Installed],ROW()-1),"")</f>
        <v>0</v>
      </c>
      <c r="E179">
        <f>IFERROR(INDEX(tblDeviceConfig[Cybernet Hostname],ROW()-1),"")</f>
        <v>0</v>
      </c>
      <c r="F179">
        <f>IFERROR(INDEX(tblDeviceConfig[Neuron Hostname],ROW()-1),"")</f>
        <v>0</v>
      </c>
      <c r="G179">
        <f>IFERROR(INDEX(tblDeviceConfig[Software List],ROW()-1),"")</f>
        <v>0</v>
      </c>
      <c r="H179">
        <f>IFERROR(INDEX(tblDeviceConfig[PI_Use_Case],ROW()-1),"")</f>
        <v>0</v>
      </c>
      <c r="I179">
        <f>IFERROR(INDEX(tblDeviceConfig[PI_Result],ROW()-1),"")</f>
        <v>0</v>
      </c>
      <c r="J179">
        <f>IFERROR(INDEX(tblDeviceConfig[PI_Validated_By],ROW()-1),"")</f>
        <v>0</v>
      </c>
      <c r="K179">
        <f>IFERROR(INDEX(tblDeviceConfig[PI_Validated_Date],ROW()-1),"")</f>
        <v>0</v>
      </c>
      <c r="L179">
        <f t="shared" si="4"/>
        <v>0</v>
      </c>
      <c r="M179" t="str">
        <f t="shared" si="5"/>
        <v/>
      </c>
    </row>
    <row r="180" spans="1:13">
      <c r="A180">
        <f>ROW()</f>
        <v>180</v>
      </c>
      <c r="B180">
        <f>IFERROR(INDEX(tblDeviceConfig[Device Type],ROW()-1),"")</f>
        <v>0</v>
      </c>
      <c r="C180">
        <f>IFERROR(INDEX(tblDeviceConfig[Deployed],ROW()-1),"")</f>
        <v>0</v>
      </c>
      <c r="D180">
        <f>IFERROR(INDEX(tblDeviceConfig[Installed],ROW()-1),"")</f>
        <v>0</v>
      </c>
      <c r="E180">
        <f>IFERROR(INDEX(tblDeviceConfig[Cybernet Hostname],ROW()-1),"")</f>
        <v>0</v>
      </c>
      <c r="F180">
        <f>IFERROR(INDEX(tblDeviceConfig[Neuron Hostname],ROW()-1),"")</f>
        <v>0</v>
      </c>
      <c r="G180">
        <f>IFERROR(INDEX(tblDeviceConfig[Software List],ROW()-1),"")</f>
        <v>0</v>
      </c>
      <c r="H180">
        <f>IFERROR(INDEX(tblDeviceConfig[PI_Use_Case],ROW()-1),"")</f>
        <v>0</v>
      </c>
      <c r="I180">
        <f>IFERROR(INDEX(tblDeviceConfig[PI_Result],ROW()-1),"")</f>
        <v>0</v>
      </c>
      <c r="J180">
        <f>IFERROR(INDEX(tblDeviceConfig[PI_Validated_By],ROW()-1),"")</f>
        <v>0</v>
      </c>
      <c r="K180">
        <f>IFERROR(INDEX(tblDeviceConfig[PI_Validated_Date],ROW()-1),"")</f>
        <v>0</v>
      </c>
      <c r="L180">
        <f t="shared" si="4"/>
        <v>0</v>
      </c>
      <c r="M180" t="str">
        <f t="shared" si="5"/>
        <v/>
      </c>
    </row>
    <row r="181" spans="1:13">
      <c r="A181">
        <f>ROW()</f>
        <v>181</v>
      </c>
      <c r="B181">
        <f>IFERROR(INDEX(tblDeviceConfig[Device Type],ROW()-1),"")</f>
        <v>0</v>
      </c>
      <c r="C181">
        <f>IFERROR(INDEX(tblDeviceConfig[Deployed],ROW()-1),"")</f>
        <v>0</v>
      </c>
      <c r="D181">
        <f>IFERROR(INDEX(tblDeviceConfig[Installed],ROW()-1),"")</f>
        <v>0</v>
      </c>
      <c r="E181">
        <f>IFERROR(INDEX(tblDeviceConfig[Cybernet Hostname],ROW()-1),"")</f>
        <v>0</v>
      </c>
      <c r="F181">
        <f>IFERROR(INDEX(tblDeviceConfig[Neuron Hostname],ROW()-1),"")</f>
        <v>0</v>
      </c>
      <c r="G181">
        <f>IFERROR(INDEX(tblDeviceConfig[Software List],ROW()-1),"")</f>
        <v>0</v>
      </c>
      <c r="H181">
        <f>IFERROR(INDEX(tblDeviceConfig[PI_Use_Case],ROW()-1),"")</f>
        <v>0</v>
      </c>
      <c r="I181">
        <f>IFERROR(INDEX(tblDeviceConfig[PI_Result],ROW()-1),"")</f>
        <v>0</v>
      </c>
      <c r="J181">
        <f>IFERROR(INDEX(tblDeviceConfig[PI_Validated_By],ROW()-1),"")</f>
        <v>0</v>
      </c>
      <c r="K181">
        <f>IFERROR(INDEX(tblDeviceConfig[PI_Validated_Date],ROW()-1),"")</f>
        <v>0</v>
      </c>
      <c r="L181">
        <f t="shared" si="4"/>
        <v>0</v>
      </c>
      <c r="M181" t="str">
        <f t="shared" si="5"/>
        <v/>
      </c>
    </row>
    <row r="182" spans="1:13">
      <c r="A182">
        <f>ROW()</f>
        <v>182</v>
      </c>
      <c r="B182">
        <f>IFERROR(INDEX(tblDeviceConfig[Device Type],ROW()-1),"")</f>
        <v>0</v>
      </c>
      <c r="C182">
        <f>IFERROR(INDEX(tblDeviceConfig[Deployed],ROW()-1),"")</f>
        <v>0</v>
      </c>
      <c r="D182">
        <f>IFERROR(INDEX(tblDeviceConfig[Installed],ROW()-1),"")</f>
        <v>0</v>
      </c>
      <c r="E182">
        <f>IFERROR(INDEX(tblDeviceConfig[Cybernet Hostname],ROW()-1),"")</f>
        <v>0</v>
      </c>
      <c r="F182">
        <f>IFERROR(INDEX(tblDeviceConfig[Neuron Hostname],ROW()-1),"")</f>
        <v>0</v>
      </c>
      <c r="G182">
        <f>IFERROR(INDEX(tblDeviceConfig[Software List],ROW()-1),"")</f>
        <v>0</v>
      </c>
      <c r="H182">
        <f>IFERROR(INDEX(tblDeviceConfig[PI_Use_Case],ROW()-1),"")</f>
        <v>0</v>
      </c>
      <c r="I182">
        <f>IFERROR(INDEX(tblDeviceConfig[PI_Result],ROW()-1),"")</f>
        <v>0</v>
      </c>
      <c r="J182">
        <f>IFERROR(INDEX(tblDeviceConfig[PI_Validated_By],ROW()-1),"")</f>
        <v>0</v>
      </c>
      <c r="K182">
        <f>IFERROR(INDEX(tblDeviceConfig[PI_Validated_Date],ROW()-1),"")</f>
        <v>0</v>
      </c>
      <c r="L182">
        <f t="shared" si="4"/>
        <v>0</v>
      </c>
      <c r="M182" t="str">
        <f t="shared" si="5"/>
        <v/>
      </c>
    </row>
    <row r="183" spans="1:13">
      <c r="A183">
        <f>ROW()</f>
        <v>183</v>
      </c>
      <c r="B183">
        <f>IFERROR(INDEX(tblDeviceConfig[Device Type],ROW()-1),"")</f>
        <v>0</v>
      </c>
      <c r="C183">
        <f>IFERROR(INDEX(tblDeviceConfig[Deployed],ROW()-1),"")</f>
        <v>0</v>
      </c>
      <c r="D183">
        <f>IFERROR(INDEX(tblDeviceConfig[Installed],ROW()-1),"")</f>
        <v>0</v>
      </c>
      <c r="E183">
        <f>IFERROR(INDEX(tblDeviceConfig[Cybernet Hostname],ROW()-1),"")</f>
        <v>0</v>
      </c>
      <c r="F183">
        <f>IFERROR(INDEX(tblDeviceConfig[Neuron Hostname],ROW()-1),"")</f>
        <v>0</v>
      </c>
      <c r="G183">
        <f>IFERROR(INDEX(tblDeviceConfig[Software List],ROW()-1),"")</f>
        <v>0</v>
      </c>
      <c r="H183">
        <f>IFERROR(INDEX(tblDeviceConfig[PI_Use_Case],ROW()-1),"")</f>
        <v>0</v>
      </c>
      <c r="I183">
        <f>IFERROR(INDEX(tblDeviceConfig[PI_Result],ROW()-1),"")</f>
        <v>0</v>
      </c>
      <c r="J183">
        <f>IFERROR(INDEX(tblDeviceConfig[PI_Validated_By],ROW()-1),"")</f>
        <v>0</v>
      </c>
      <c r="K183">
        <f>IFERROR(INDEX(tblDeviceConfig[PI_Validated_Date],ROW()-1),"")</f>
        <v>0</v>
      </c>
      <c r="L183">
        <f t="shared" si="4"/>
        <v>0</v>
      </c>
      <c r="M183" t="str">
        <f t="shared" si="5"/>
        <v/>
      </c>
    </row>
    <row r="184" spans="1:13">
      <c r="A184">
        <f>ROW()</f>
        <v>184</v>
      </c>
      <c r="B184">
        <f>IFERROR(INDEX(tblDeviceConfig[Device Type],ROW()-1),"")</f>
        <v>0</v>
      </c>
      <c r="C184">
        <f>IFERROR(INDEX(tblDeviceConfig[Deployed],ROW()-1),"")</f>
        <v>0</v>
      </c>
      <c r="D184">
        <f>IFERROR(INDEX(tblDeviceConfig[Installed],ROW()-1),"")</f>
        <v>0</v>
      </c>
      <c r="E184">
        <f>IFERROR(INDEX(tblDeviceConfig[Cybernet Hostname],ROW()-1),"")</f>
        <v>0</v>
      </c>
      <c r="F184">
        <f>IFERROR(INDEX(tblDeviceConfig[Neuron Hostname],ROW()-1),"")</f>
        <v>0</v>
      </c>
      <c r="G184">
        <f>IFERROR(INDEX(tblDeviceConfig[Software List],ROW()-1),"")</f>
        <v>0</v>
      </c>
      <c r="H184">
        <f>IFERROR(INDEX(tblDeviceConfig[PI_Use_Case],ROW()-1),"")</f>
        <v>0</v>
      </c>
      <c r="I184">
        <f>IFERROR(INDEX(tblDeviceConfig[PI_Result],ROW()-1),"")</f>
        <v>0</v>
      </c>
      <c r="J184">
        <f>IFERROR(INDEX(tblDeviceConfig[PI_Validated_By],ROW()-1),"")</f>
        <v>0</v>
      </c>
      <c r="K184">
        <f>IFERROR(INDEX(tblDeviceConfig[PI_Validated_Date],ROW()-1),"")</f>
        <v>0</v>
      </c>
      <c r="L184">
        <f t="shared" si="4"/>
        <v>0</v>
      </c>
      <c r="M184" t="str">
        <f t="shared" si="5"/>
        <v/>
      </c>
    </row>
    <row r="185" spans="1:13">
      <c r="A185">
        <f>ROW()</f>
        <v>185</v>
      </c>
      <c r="B185">
        <f>IFERROR(INDEX(tblDeviceConfig[Device Type],ROW()-1),"")</f>
        <v>0</v>
      </c>
      <c r="C185">
        <f>IFERROR(INDEX(tblDeviceConfig[Deployed],ROW()-1),"")</f>
        <v>0</v>
      </c>
      <c r="D185">
        <f>IFERROR(INDEX(tblDeviceConfig[Installed],ROW()-1),"")</f>
        <v>0</v>
      </c>
      <c r="E185">
        <f>IFERROR(INDEX(tblDeviceConfig[Cybernet Hostname],ROW()-1),"")</f>
        <v>0</v>
      </c>
      <c r="F185">
        <f>IFERROR(INDEX(tblDeviceConfig[Neuron Hostname],ROW()-1),"")</f>
        <v>0</v>
      </c>
      <c r="G185">
        <f>IFERROR(INDEX(tblDeviceConfig[Software List],ROW()-1),"")</f>
        <v>0</v>
      </c>
      <c r="H185">
        <f>IFERROR(INDEX(tblDeviceConfig[PI_Use_Case],ROW()-1),"")</f>
        <v>0</v>
      </c>
      <c r="I185">
        <f>IFERROR(INDEX(tblDeviceConfig[PI_Result],ROW()-1),"")</f>
        <v>0</v>
      </c>
      <c r="J185">
        <f>IFERROR(INDEX(tblDeviceConfig[PI_Validated_By],ROW()-1),"")</f>
        <v>0</v>
      </c>
      <c r="K185">
        <f>IFERROR(INDEX(tblDeviceConfig[PI_Validated_Date],ROW()-1),"")</f>
        <v>0</v>
      </c>
      <c r="L185">
        <f t="shared" si="4"/>
        <v>0</v>
      </c>
      <c r="M185" t="str">
        <f t="shared" si="5"/>
        <v/>
      </c>
    </row>
    <row r="186" spans="1:13">
      <c r="A186">
        <f>ROW()</f>
        <v>186</v>
      </c>
      <c r="B186">
        <f>IFERROR(INDEX(tblDeviceConfig[Device Type],ROW()-1),"")</f>
        <v>0</v>
      </c>
      <c r="C186">
        <f>IFERROR(INDEX(tblDeviceConfig[Deployed],ROW()-1),"")</f>
        <v>0</v>
      </c>
      <c r="D186">
        <f>IFERROR(INDEX(tblDeviceConfig[Installed],ROW()-1),"")</f>
        <v>0</v>
      </c>
      <c r="E186">
        <f>IFERROR(INDEX(tblDeviceConfig[Cybernet Hostname],ROW()-1),"")</f>
        <v>0</v>
      </c>
      <c r="F186">
        <f>IFERROR(INDEX(tblDeviceConfig[Neuron Hostname],ROW()-1),"")</f>
        <v>0</v>
      </c>
      <c r="G186">
        <f>IFERROR(INDEX(tblDeviceConfig[Software List],ROW()-1),"")</f>
        <v>0</v>
      </c>
      <c r="H186">
        <f>IFERROR(INDEX(tblDeviceConfig[PI_Use_Case],ROW()-1),"")</f>
        <v>0</v>
      </c>
      <c r="I186">
        <f>IFERROR(INDEX(tblDeviceConfig[PI_Result],ROW()-1),"")</f>
        <v>0</v>
      </c>
      <c r="J186">
        <f>IFERROR(INDEX(tblDeviceConfig[PI_Validated_By],ROW()-1),"")</f>
        <v>0</v>
      </c>
      <c r="K186">
        <f>IFERROR(INDEX(tblDeviceConfig[PI_Validated_Date],ROW()-1),"")</f>
        <v>0</v>
      </c>
      <c r="L186">
        <f t="shared" si="4"/>
        <v>0</v>
      </c>
      <c r="M186" t="str">
        <f t="shared" si="5"/>
        <v/>
      </c>
    </row>
    <row r="187" spans="1:13">
      <c r="A187">
        <f>ROW()</f>
        <v>187</v>
      </c>
      <c r="B187">
        <f>IFERROR(INDEX(tblDeviceConfig[Device Type],ROW()-1),"")</f>
        <v>0</v>
      </c>
      <c r="C187">
        <f>IFERROR(INDEX(tblDeviceConfig[Deployed],ROW()-1),"")</f>
        <v>0</v>
      </c>
      <c r="D187">
        <f>IFERROR(INDEX(tblDeviceConfig[Installed],ROW()-1),"")</f>
        <v>0</v>
      </c>
      <c r="E187">
        <f>IFERROR(INDEX(tblDeviceConfig[Cybernet Hostname],ROW()-1),"")</f>
        <v>0</v>
      </c>
      <c r="F187">
        <f>IFERROR(INDEX(tblDeviceConfig[Neuron Hostname],ROW()-1),"")</f>
        <v>0</v>
      </c>
      <c r="G187">
        <f>IFERROR(INDEX(tblDeviceConfig[Software List],ROW()-1),"")</f>
        <v>0</v>
      </c>
      <c r="H187">
        <f>IFERROR(INDEX(tblDeviceConfig[PI_Use_Case],ROW()-1),"")</f>
        <v>0</v>
      </c>
      <c r="I187">
        <f>IFERROR(INDEX(tblDeviceConfig[PI_Result],ROW()-1),"")</f>
        <v>0</v>
      </c>
      <c r="J187">
        <f>IFERROR(INDEX(tblDeviceConfig[PI_Validated_By],ROW()-1),"")</f>
        <v>0</v>
      </c>
      <c r="K187">
        <f>IFERROR(INDEX(tblDeviceConfig[PI_Validated_Date],ROW()-1),"")</f>
        <v>0</v>
      </c>
      <c r="L187">
        <f t="shared" si="4"/>
        <v>0</v>
      </c>
      <c r="M187" t="str">
        <f t="shared" si="5"/>
        <v/>
      </c>
    </row>
    <row r="188" spans="1:13">
      <c r="A188">
        <f>ROW()</f>
        <v>188</v>
      </c>
      <c r="B188">
        <f>IFERROR(INDEX(tblDeviceConfig[Device Type],ROW()-1),"")</f>
        <v>0</v>
      </c>
      <c r="C188">
        <f>IFERROR(INDEX(tblDeviceConfig[Deployed],ROW()-1),"")</f>
        <v>0</v>
      </c>
      <c r="D188">
        <f>IFERROR(INDEX(tblDeviceConfig[Installed],ROW()-1),"")</f>
        <v>0</v>
      </c>
      <c r="E188">
        <f>IFERROR(INDEX(tblDeviceConfig[Cybernet Hostname],ROW()-1),"")</f>
        <v>0</v>
      </c>
      <c r="F188">
        <f>IFERROR(INDEX(tblDeviceConfig[Neuron Hostname],ROW()-1),"")</f>
        <v>0</v>
      </c>
      <c r="G188">
        <f>IFERROR(INDEX(tblDeviceConfig[Software List],ROW()-1),"")</f>
        <v>0</v>
      </c>
      <c r="H188">
        <f>IFERROR(INDEX(tblDeviceConfig[PI_Use_Case],ROW()-1),"")</f>
        <v>0</v>
      </c>
      <c r="I188">
        <f>IFERROR(INDEX(tblDeviceConfig[PI_Result],ROW()-1),"")</f>
        <v>0</v>
      </c>
      <c r="J188">
        <f>IFERROR(INDEX(tblDeviceConfig[PI_Validated_By],ROW()-1),"")</f>
        <v>0</v>
      </c>
      <c r="K188">
        <f>IFERROR(INDEX(tblDeviceConfig[PI_Validated_Date],ROW()-1),"")</f>
        <v>0</v>
      </c>
      <c r="L188">
        <f t="shared" si="4"/>
        <v>0</v>
      </c>
      <c r="M188" t="str">
        <f t="shared" si="5"/>
        <v/>
      </c>
    </row>
    <row r="189" spans="1:13">
      <c r="A189">
        <f>ROW()</f>
        <v>189</v>
      </c>
      <c r="B189">
        <f>IFERROR(INDEX(tblDeviceConfig[Device Type],ROW()-1),"")</f>
        <v>0</v>
      </c>
      <c r="C189">
        <f>IFERROR(INDEX(tblDeviceConfig[Deployed],ROW()-1),"")</f>
        <v>0</v>
      </c>
      <c r="D189">
        <f>IFERROR(INDEX(tblDeviceConfig[Installed],ROW()-1),"")</f>
        <v>0</v>
      </c>
      <c r="E189">
        <f>IFERROR(INDEX(tblDeviceConfig[Cybernet Hostname],ROW()-1),"")</f>
        <v>0</v>
      </c>
      <c r="F189">
        <f>IFERROR(INDEX(tblDeviceConfig[Neuron Hostname],ROW()-1),"")</f>
        <v>0</v>
      </c>
      <c r="G189">
        <f>IFERROR(INDEX(tblDeviceConfig[Software List],ROW()-1),"")</f>
        <v>0</v>
      </c>
      <c r="H189">
        <f>IFERROR(INDEX(tblDeviceConfig[PI_Use_Case],ROW()-1),"")</f>
        <v>0</v>
      </c>
      <c r="I189">
        <f>IFERROR(INDEX(tblDeviceConfig[PI_Result],ROW()-1),"")</f>
        <v>0</v>
      </c>
      <c r="J189">
        <f>IFERROR(INDEX(tblDeviceConfig[PI_Validated_By],ROW()-1),"")</f>
        <v>0</v>
      </c>
      <c r="K189">
        <f>IFERROR(INDEX(tblDeviceConfig[PI_Validated_Date],ROW()-1),"")</f>
        <v>0</v>
      </c>
      <c r="L189">
        <f t="shared" si="4"/>
        <v>0</v>
      </c>
      <c r="M189" t="str">
        <f t="shared" si="5"/>
        <v/>
      </c>
    </row>
    <row r="190" spans="1:13">
      <c r="A190">
        <f>ROW()</f>
        <v>190</v>
      </c>
      <c r="B190">
        <f>IFERROR(INDEX(tblDeviceConfig[Device Type],ROW()-1),"")</f>
        <v>0</v>
      </c>
      <c r="C190">
        <f>IFERROR(INDEX(tblDeviceConfig[Deployed],ROW()-1),"")</f>
        <v>0</v>
      </c>
      <c r="D190">
        <f>IFERROR(INDEX(tblDeviceConfig[Installed],ROW()-1),"")</f>
        <v>0</v>
      </c>
      <c r="E190">
        <f>IFERROR(INDEX(tblDeviceConfig[Cybernet Hostname],ROW()-1),"")</f>
        <v>0</v>
      </c>
      <c r="F190">
        <f>IFERROR(INDEX(tblDeviceConfig[Neuron Hostname],ROW()-1),"")</f>
        <v>0</v>
      </c>
      <c r="G190">
        <f>IFERROR(INDEX(tblDeviceConfig[Software List],ROW()-1),"")</f>
        <v>0</v>
      </c>
      <c r="H190">
        <f>IFERROR(INDEX(tblDeviceConfig[PI_Use_Case],ROW()-1),"")</f>
        <v>0</v>
      </c>
      <c r="I190">
        <f>IFERROR(INDEX(tblDeviceConfig[PI_Result],ROW()-1),"")</f>
        <v>0</v>
      </c>
      <c r="J190">
        <f>IFERROR(INDEX(tblDeviceConfig[PI_Validated_By],ROW()-1),"")</f>
        <v>0</v>
      </c>
      <c r="K190">
        <f>IFERROR(INDEX(tblDeviceConfig[PI_Validated_Date],ROW()-1),"")</f>
        <v>0</v>
      </c>
      <c r="L190">
        <f t="shared" si="4"/>
        <v>0</v>
      </c>
      <c r="M190" t="str">
        <f t="shared" si="5"/>
        <v/>
      </c>
    </row>
    <row r="191" spans="1:13">
      <c r="A191">
        <f>ROW()</f>
        <v>191</v>
      </c>
      <c r="B191">
        <f>IFERROR(INDEX(tblDeviceConfig[Device Type],ROW()-1),"")</f>
        <v>0</v>
      </c>
      <c r="C191">
        <f>IFERROR(INDEX(tblDeviceConfig[Deployed],ROW()-1),"")</f>
        <v>0</v>
      </c>
      <c r="D191">
        <f>IFERROR(INDEX(tblDeviceConfig[Installed],ROW()-1),"")</f>
        <v>0</v>
      </c>
      <c r="E191">
        <f>IFERROR(INDEX(tblDeviceConfig[Cybernet Hostname],ROW()-1),"")</f>
        <v>0</v>
      </c>
      <c r="F191">
        <f>IFERROR(INDEX(tblDeviceConfig[Neuron Hostname],ROW()-1),"")</f>
        <v>0</v>
      </c>
      <c r="G191">
        <f>IFERROR(INDEX(tblDeviceConfig[Software List],ROW()-1),"")</f>
        <v>0</v>
      </c>
      <c r="H191">
        <f>IFERROR(INDEX(tblDeviceConfig[PI_Use_Case],ROW()-1),"")</f>
        <v>0</v>
      </c>
      <c r="I191">
        <f>IFERROR(INDEX(tblDeviceConfig[PI_Result],ROW()-1),"")</f>
        <v>0</v>
      </c>
      <c r="J191">
        <f>IFERROR(INDEX(tblDeviceConfig[PI_Validated_By],ROW()-1),"")</f>
        <v>0</v>
      </c>
      <c r="K191">
        <f>IFERROR(INDEX(tblDeviceConfig[PI_Validated_Date],ROW()-1),"")</f>
        <v>0</v>
      </c>
      <c r="L191">
        <f t="shared" si="4"/>
        <v>0</v>
      </c>
      <c r="M191" t="str">
        <f t="shared" si="5"/>
        <v/>
      </c>
    </row>
    <row r="192" spans="1:13">
      <c r="A192">
        <f>ROW()</f>
        <v>192</v>
      </c>
      <c r="B192">
        <f>IFERROR(INDEX(tblDeviceConfig[Device Type],ROW()-1),"")</f>
        <v>0</v>
      </c>
      <c r="C192">
        <f>IFERROR(INDEX(tblDeviceConfig[Deployed],ROW()-1),"")</f>
        <v>0</v>
      </c>
      <c r="D192">
        <f>IFERROR(INDEX(tblDeviceConfig[Installed],ROW()-1),"")</f>
        <v>0</v>
      </c>
      <c r="E192">
        <f>IFERROR(INDEX(tblDeviceConfig[Cybernet Hostname],ROW()-1),"")</f>
        <v>0</v>
      </c>
      <c r="F192">
        <f>IFERROR(INDEX(tblDeviceConfig[Neuron Hostname],ROW()-1),"")</f>
        <v>0</v>
      </c>
      <c r="G192">
        <f>IFERROR(INDEX(tblDeviceConfig[Software List],ROW()-1),"")</f>
        <v>0</v>
      </c>
      <c r="H192">
        <f>IFERROR(INDEX(tblDeviceConfig[PI_Use_Case],ROW()-1),"")</f>
        <v>0</v>
      </c>
      <c r="I192">
        <f>IFERROR(INDEX(tblDeviceConfig[PI_Result],ROW()-1),"")</f>
        <v>0</v>
      </c>
      <c r="J192">
        <f>IFERROR(INDEX(tblDeviceConfig[PI_Validated_By],ROW()-1),"")</f>
        <v>0</v>
      </c>
      <c r="K192">
        <f>IFERROR(INDEX(tblDeviceConfig[PI_Validated_Date],ROW()-1),"")</f>
        <v>0</v>
      </c>
      <c r="L192">
        <f t="shared" si="4"/>
        <v>0</v>
      </c>
      <c r="M192" t="str">
        <f t="shared" si="5"/>
        <v/>
      </c>
    </row>
    <row r="193" spans="1:13">
      <c r="A193">
        <f>ROW()</f>
        <v>193</v>
      </c>
      <c r="B193">
        <f>IFERROR(INDEX(tblDeviceConfig[Device Type],ROW()-1),"")</f>
        <v>0</v>
      </c>
      <c r="C193">
        <f>IFERROR(INDEX(tblDeviceConfig[Deployed],ROW()-1),"")</f>
        <v>0</v>
      </c>
      <c r="D193">
        <f>IFERROR(INDEX(tblDeviceConfig[Installed],ROW()-1),"")</f>
        <v>0</v>
      </c>
      <c r="E193">
        <f>IFERROR(INDEX(tblDeviceConfig[Cybernet Hostname],ROW()-1),"")</f>
        <v>0</v>
      </c>
      <c r="F193">
        <f>IFERROR(INDEX(tblDeviceConfig[Neuron Hostname],ROW()-1),"")</f>
        <v>0</v>
      </c>
      <c r="G193">
        <f>IFERROR(INDEX(tblDeviceConfig[Software List],ROW()-1),"")</f>
        <v>0</v>
      </c>
      <c r="H193">
        <f>IFERROR(INDEX(tblDeviceConfig[PI_Use_Case],ROW()-1),"")</f>
        <v>0</v>
      </c>
      <c r="I193">
        <f>IFERROR(INDEX(tblDeviceConfig[PI_Result],ROW()-1),"")</f>
        <v>0</v>
      </c>
      <c r="J193">
        <f>IFERROR(INDEX(tblDeviceConfig[PI_Validated_By],ROW()-1),"")</f>
        <v>0</v>
      </c>
      <c r="K193">
        <f>IFERROR(INDEX(tblDeviceConfig[PI_Validated_Date],ROW()-1),"")</f>
        <v>0</v>
      </c>
      <c r="L193">
        <f t="shared" si="4"/>
        <v>0</v>
      </c>
      <c r="M193" t="str">
        <f t="shared" si="5"/>
        <v/>
      </c>
    </row>
    <row r="194" spans="1:13">
      <c r="A194">
        <f>ROW()</f>
        <v>194</v>
      </c>
      <c r="B194">
        <f>IFERROR(INDEX(tblDeviceConfig[Device Type],ROW()-1),"")</f>
        <v>0</v>
      </c>
      <c r="C194">
        <f>IFERROR(INDEX(tblDeviceConfig[Deployed],ROW()-1),"")</f>
        <v>0</v>
      </c>
      <c r="D194">
        <f>IFERROR(INDEX(tblDeviceConfig[Installed],ROW()-1),"")</f>
        <v>0</v>
      </c>
      <c r="E194">
        <f>IFERROR(INDEX(tblDeviceConfig[Cybernet Hostname],ROW()-1),"")</f>
        <v>0</v>
      </c>
      <c r="F194">
        <f>IFERROR(INDEX(tblDeviceConfig[Neuron Hostname],ROW()-1),"")</f>
        <v>0</v>
      </c>
      <c r="G194">
        <f>IFERROR(INDEX(tblDeviceConfig[Software List],ROW()-1),"")</f>
        <v>0</v>
      </c>
      <c r="H194">
        <f>IFERROR(INDEX(tblDeviceConfig[PI_Use_Case],ROW()-1),"")</f>
        <v>0</v>
      </c>
      <c r="I194">
        <f>IFERROR(INDEX(tblDeviceConfig[PI_Result],ROW()-1),"")</f>
        <v>0</v>
      </c>
      <c r="J194">
        <f>IFERROR(INDEX(tblDeviceConfig[PI_Validated_By],ROW()-1),"")</f>
        <v>0</v>
      </c>
      <c r="K194">
        <f>IFERROR(INDEX(tblDeviceConfig[PI_Validated_Date],ROW()-1),"")</f>
        <v>0</v>
      </c>
      <c r="L194">
        <f t="shared" ref="L194:L257" si="6">SUM(IF(AND(C194="Yes",B194="Cybernet",LEN(TRIM(E194))=0),1,0),IF(AND(C194="Yes",B194="Neuron",LEN(TRIM(F194))=0),1,0),IF(AND(C194="Yes",B194="Cybernet",LEN(TRIM(G194))=0),1,0),IF(AND(C194="Yes",B194="Cybernet",LEN(TRIM(H194))=0),1,0),IF(AND(C194="Yes",LEN(TRIM(I194))&gt;0,LEN(TRIM(J194))=0),1,0),IF(AND(C194="Yes",LEN(TRIM(J194))&gt;0,LEN(TRIM(K194))=0),1,0))</f>
        <v>0</v>
      </c>
      <c r="M194" t="str">
        <f t="shared" ref="M194:M257" si="7">(IF(AND(C194="Yes",B194="Cybernet",LEN(TRIM(E194))=0),"Missing Cybernet Hostname",""))&amp;IF(((IF(AND(C194="Yes",B194="Cybernet",LEN(TRIM(E194))=0),"Missing Cybernet Hostname","")))&lt;&gt;"",IF((IF(AND(C194="Yes",B194="Neuron",LEN(TRIM(F194))=0),"Missing Neuron Hostname",""))&lt;&gt;""," | ",""),"")&amp;(IF(AND(C194="Yes",B194="Neuron",LEN(TRIM(F194))=0),"Missing Neuron Hostname",""))&amp;IF(((IF(AND(C194="Yes",B194="Cybernet",LEN(TRIM(E194))=0),"Missing Cybernet Hostname",""))&amp;(IF(AND(C194="Yes",B194="Neuron",LEN(TRIM(F194))=0),"Missing Neuron Hostname","")))&lt;&gt;"",IF((IF(AND(C194="Yes",B194="Cybernet",LEN(TRIM(G194))=0),"Missing Software List",""))&lt;&gt;""," | ",""),"")&amp;(IF(AND(C194="Yes",B194="Cybernet",LEN(TRIM(G194))=0),"Missing Software List",""))&amp;IF(((IF(AND(C194="Yes",B194="Cybernet",LEN(TRIM(E194))=0),"Missing Cybernet Hostname",""))&amp;(IF(AND(C194="Yes",B194="Neuron",LEN(TRIM(F194))=0),"Missing Neuron Hostname",""))&amp;(IF(AND(C194="Yes",B194="Cybernet",LEN(TRIM(G194))=0),"Missing Software List","")))&lt;&gt;"",IF((IF(AND(C194="Yes",B194="Cybernet",LEN(TRIM(H194))=0),"Missing PI Use Case",""))&lt;&gt;""," | ",""),"")&amp;(IF(AND(C194="Yes",B194="Cybernet",LEN(TRIM(H194))=0),"Missing PI Use Case",""))&amp;IF(((IF(AND(C194="Yes",B194="Cybernet",LEN(TRIM(E194))=0),"Missing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Case","")))&lt;&gt;"",IF((IF(AND(C194="Yes",LEN(TRIM(I194))&gt;0,LEN(TRIM(J194))=0),"Missing PI Validated By",""))&lt;&gt;""," | ",""),"")&amp;(IF(AND(C194="Yes",LEN(TRIM(I194))&gt;0,LEN(TRIM(J194))=0),"Missing PI Validated By",""))&amp;IF(((IF(AND(C194="Yes",B194="Cybernet",LEN(TRIM(E194))=0),"Missing Cybernet Hostname",""))&amp;(IF(AND(C194="Yes",B194="Neuron",LEN(TRIM(F194))=0),"Missing Neuron Hostname",""))&amp;(IF(AND(C194="Yes",B194="Cybernet",LEN(TRIM(G194))=0),"Missing Software List",""))&amp;(IF(AND(C194="Yes",B194="Cybernet",LEN(TRIM(H194))=0),"Missing PI Use Case",""))&amp;(IF(AND(C194="Yes",LEN(TRIM(I194))&gt;0,LEN(TRIM(J194))=0),"Missing PI Validated By","")))&lt;&gt;"",IF((IF(AND(C194="Yes",LEN(TRIM(J194))&gt;0,LEN(TRIM(K194))=0),"Missing PI Validated Date",""))&lt;&gt;""," | ",""),"")&amp;(IF(AND(C194="Yes",LEN(TRIM(J194))&gt;0,LEN(TRIM(K194))=0),"Missing PI Validated Date",""))</f>
        <v/>
      </c>
    </row>
    <row r="195" spans="1:13">
      <c r="A195">
        <f>ROW()</f>
        <v>195</v>
      </c>
      <c r="B195">
        <f>IFERROR(INDEX(tblDeviceConfig[Device Type],ROW()-1),"")</f>
        <v>0</v>
      </c>
      <c r="C195">
        <f>IFERROR(INDEX(tblDeviceConfig[Deployed],ROW()-1),"")</f>
        <v>0</v>
      </c>
      <c r="D195">
        <f>IFERROR(INDEX(tblDeviceConfig[Installed],ROW()-1),"")</f>
        <v>0</v>
      </c>
      <c r="E195">
        <f>IFERROR(INDEX(tblDeviceConfig[Cybernet Hostname],ROW()-1),"")</f>
        <v>0</v>
      </c>
      <c r="F195">
        <f>IFERROR(INDEX(tblDeviceConfig[Neuron Hostname],ROW()-1),"")</f>
        <v>0</v>
      </c>
      <c r="G195">
        <f>IFERROR(INDEX(tblDeviceConfig[Software List],ROW()-1),"")</f>
        <v>0</v>
      </c>
      <c r="H195">
        <f>IFERROR(INDEX(tblDeviceConfig[PI_Use_Case],ROW()-1),"")</f>
        <v>0</v>
      </c>
      <c r="I195">
        <f>IFERROR(INDEX(tblDeviceConfig[PI_Result],ROW()-1),"")</f>
        <v>0</v>
      </c>
      <c r="J195">
        <f>IFERROR(INDEX(tblDeviceConfig[PI_Validated_By],ROW()-1),"")</f>
        <v>0</v>
      </c>
      <c r="K195">
        <f>IFERROR(INDEX(tblDeviceConfig[PI_Validated_Date],ROW()-1),"")</f>
        <v>0</v>
      </c>
      <c r="L195">
        <f t="shared" si="6"/>
        <v>0</v>
      </c>
      <c r="M195" t="str">
        <f t="shared" si="7"/>
        <v/>
      </c>
    </row>
    <row r="196" spans="1:13">
      <c r="A196">
        <f>ROW()</f>
        <v>196</v>
      </c>
      <c r="B196">
        <f>IFERROR(INDEX(tblDeviceConfig[Device Type],ROW()-1),"")</f>
        <v>0</v>
      </c>
      <c r="C196">
        <f>IFERROR(INDEX(tblDeviceConfig[Deployed],ROW()-1),"")</f>
        <v>0</v>
      </c>
      <c r="D196">
        <f>IFERROR(INDEX(tblDeviceConfig[Installed],ROW()-1),"")</f>
        <v>0</v>
      </c>
      <c r="E196">
        <f>IFERROR(INDEX(tblDeviceConfig[Cybernet Hostname],ROW()-1),"")</f>
        <v>0</v>
      </c>
      <c r="F196">
        <f>IFERROR(INDEX(tblDeviceConfig[Neuron Hostname],ROW()-1),"")</f>
        <v>0</v>
      </c>
      <c r="G196">
        <f>IFERROR(INDEX(tblDeviceConfig[Software List],ROW()-1),"")</f>
        <v>0</v>
      </c>
      <c r="H196">
        <f>IFERROR(INDEX(tblDeviceConfig[PI_Use_Case],ROW()-1),"")</f>
        <v>0</v>
      </c>
      <c r="I196">
        <f>IFERROR(INDEX(tblDeviceConfig[PI_Result],ROW()-1),"")</f>
        <v>0</v>
      </c>
      <c r="J196">
        <f>IFERROR(INDEX(tblDeviceConfig[PI_Validated_By],ROW()-1),"")</f>
        <v>0</v>
      </c>
      <c r="K196">
        <f>IFERROR(INDEX(tblDeviceConfig[PI_Validated_Date],ROW()-1),"")</f>
        <v>0</v>
      </c>
      <c r="L196">
        <f t="shared" si="6"/>
        <v>0</v>
      </c>
      <c r="M196" t="str">
        <f t="shared" si="7"/>
        <v/>
      </c>
    </row>
    <row r="197" spans="1:13">
      <c r="A197">
        <f>ROW()</f>
        <v>197</v>
      </c>
      <c r="B197">
        <f>IFERROR(INDEX(tblDeviceConfig[Device Type],ROW()-1),"")</f>
        <v>0</v>
      </c>
      <c r="C197">
        <f>IFERROR(INDEX(tblDeviceConfig[Deployed],ROW()-1),"")</f>
        <v>0</v>
      </c>
      <c r="D197">
        <f>IFERROR(INDEX(tblDeviceConfig[Installed],ROW()-1),"")</f>
        <v>0</v>
      </c>
      <c r="E197">
        <f>IFERROR(INDEX(tblDeviceConfig[Cybernet Hostname],ROW()-1),"")</f>
        <v>0</v>
      </c>
      <c r="F197">
        <f>IFERROR(INDEX(tblDeviceConfig[Neuron Hostname],ROW()-1),"")</f>
        <v>0</v>
      </c>
      <c r="G197">
        <f>IFERROR(INDEX(tblDeviceConfig[Software List],ROW()-1),"")</f>
        <v>0</v>
      </c>
      <c r="H197">
        <f>IFERROR(INDEX(tblDeviceConfig[PI_Use_Case],ROW()-1),"")</f>
        <v>0</v>
      </c>
      <c r="I197">
        <f>IFERROR(INDEX(tblDeviceConfig[PI_Result],ROW()-1),"")</f>
        <v>0</v>
      </c>
      <c r="J197">
        <f>IFERROR(INDEX(tblDeviceConfig[PI_Validated_By],ROW()-1),"")</f>
        <v>0</v>
      </c>
      <c r="K197">
        <f>IFERROR(INDEX(tblDeviceConfig[PI_Validated_Date],ROW()-1),"")</f>
        <v>0</v>
      </c>
      <c r="L197">
        <f t="shared" si="6"/>
        <v>0</v>
      </c>
      <c r="M197" t="str">
        <f t="shared" si="7"/>
        <v/>
      </c>
    </row>
    <row r="198" spans="1:13">
      <c r="A198">
        <f>ROW()</f>
        <v>198</v>
      </c>
      <c r="B198">
        <f>IFERROR(INDEX(tblDeviceConfig[Device Type],ROW()-1),"")</f>
        <v>0</v>
      </c>
      <c r="C198">
        <f>IFERROR(INDEX(tblDeviceConfig[Deployed],ROW()-1),"")</f>
        <v>0</v>
      </c>
      <c r="D198">
        <f>IFERROR(INDEX(tblDeviceConfig[Installed],ROW()-1),"")</f>
        <v>0</v>
      </c>
      <c r="E198">
        <f>IFERROR(INDEX(tblDeviceConfig[Cybernet Hostname],ROW()-1),"")</f>
        <v>0</v>
      </c>
      <c r="F198">
        <f>IFERROR(INDEX(tblDeviceConfig[Neuron Hostname],ROW()-1),"")</f>
        <v>0</v>
      </c>
      <c r="G198">
        <f>IFERROR(INDEX(tblDeviceConfig[Software List],ROW()-1),"")</f>
        <v>0</v>
      </c>
      <c r="H198">
        <f>IFERROR(INDEX(tblDeviceConfig[PI_Use_Case],ROW()-1),"")</f>
        <v>0</v>
      </c>
      <c r="I198">
        <f>IFERROR(INDEX(tblDeviceConfig[PI_Result],ROW()-1),"")</f>
        <v>0</v>
      </c>
      <c r="J198">
        <f>IFERROR(INDEX(tblDeviceConfig[PI_Validated_By],ROW()-1),"")</f>
        <v>0</v>
      </c>
      <c r="K198">
        <f>IFERROR(INDEX(tblDeviceConfig[PI_Validated_Date],ROW()-1),"")</f>
        <v>0</v>
      </c>
      <c r="L198">
        <f t="shared" si="6"/>
        <v>0</v>
      </c>
      <c r="M198" t="str">
        <f t="shared" si="7"/>
        <v/>
      </c>
    </row>
    <row r="199" spans="1:13">
      <c r="A199">
        <f>ROW()</f>
        <v>199</v>
      </c>
      <c r="B199">
        <f>IFERROR(INDEX(tblDeviceConfig[Device Type],ROW()-1),"")</f>
        <v>0</v>
      </c>
      <c r="C199">
        <f>IFERROR(INDEX(tblDeviceConfig[Deployed],ROW()-1),"")</f>
        <v>0</v>
      </c>
      <c r="D199">
        <f>IFERROR(INDEX(tblDeviceConfig[Installed],ROW()-1),"")</f>
        <v>0</v>
      </c>
      <c r="E199">
        <f>IFERROR(INDEX(tblDeviceConfig[Cybernet Hostname],ROW()-1),"")</f>
        <v>0</v>
      </c>
      <c r="F199">
        <f>IFERROR(INDEX(tblDeviceConfig[Neuron Hostname],ROW()-1),"")</f>
        <v>0</v>
      </c>
      <c r="G199">
        <f>IFERROR(INDEX(tblDeviceConfig[Software List],ROW()-1),"")</f>
        <v>0</v>
      </c>
      <c r="H199">
        <f>IFERROR(INDEX(tblDeviceConfig[PI_Use_Case],ROW()-1),"")</f>
        <v>0</v>
      </c>
      <c r="I199">
        <f>IFERROR(INDEX(tblDeviceConfig[PI_Result],ROW()-1),"")</f>
        <v>0</v>
      </c>
      <c r="J199">
        <f>IFERROR(INDEX(tblDeviceConfig[PI_Validated_By],ROW()-1),"")</f>
        <v>0</v>
      </c>
      <c r="K199">
        <f>IFERROR(INDEX(tblDeviceConfig[PI_Validated_Date],ROW()-1),"")</f>
        <v>0</v>
      </c>
      <c r="L199">
        <f t="shared" si="6"/>
        <v>0</v>
      </c>
      <c r="M199" t="str">
        <f t="shared" si="7"/>
        <v/>
      </c>
    </row>
    <row r="200" spans="1:13">
      <c r="A200">
        <f>ROW()</f>
        <v>200</v>
      </c>
      <c r="B200">
        <f>IFERROR(INDEX(tblDeviceConfig[Device Type],ROW()-1),"")</f>
        <v>0</v>
      </c>
      <c r="C200">
        <f>IFERROR(INDEX(tblDeviceConfig[Deployed],ROW()-1),"")</f>
        <v>0</v>
      </c>
      <c r="D200">
        <f>IFERROR(INDEX(tblDeviceConfig[Installed],ROW()-1),"")</f>
        <v>0</v>
      </c>
      <c r="E200">
        <f>IFERROR(INDEX(tblDeviceConfig[Cybernet Hostname],ROW()-1),"")</f>
        <v>0</v>
      </c>
      <c r="F200">
        <f>IFERROR(INDEX(tblDeviceConfig[Neuron Hostname],ROW()-1),"")</f>
        <v>0</v>
      </c>
      <c r="G200">
        <f>IFERROR(INDEX(tblDeviceConfig[Software List],ROW()-1),"")</f>
        <v>0</v>
      </c>
      <c r="H200">
        <f>IFERROR(INDEX(tblDeviceConfig[PI_Use_Case],ROW()-1),"")</f>
        <v>0</v>
      </c>
      <c r="I200">
        <f>IFERROR(INDEX(tblDeviceConfig[PI_Result],ROW()-1),"")</f>
        <v>0</v>
      </c>
      <c r="J200">
        <f>IFERROR(INDEX(tblDeviceConfig[PI_Validated_By],ROW()-1),"")</f>
        <v>0</v>
      </c>
      <c r="K200">
        <f>IFERROR(INDEX(tblDeviceConfig[PI_Validated_Date],ROW()-1),"")</f>
        <v>0</v>
      </c>
      <c r="L200">
        <f t="shared" si="6"/>
        <v>0</v>
      </c>
      <c r="M200" t="str">
        <f t="shared" si="7"/>
        <v/>
      </c>
    </row>
    <row r="201" spans="1:13">
      <c r="A201">
        <f>ROW()</f>
        <v>201</v>
      </c>
      <c r="B201">
        <f>IFERROR(INDEX(tblDeviceConfig[Device Type],ROW()-1),"")</f>
        <v>0</v>
      </c>
      <c r="C201">
        <f>IFERROR(INDEX(tblDeviceConfig[Deployed],ROW()-1),"")</f>
        <v>0</v>
      </c>
      <c r="D201">
        <f>IFERROR(INDEX(tblDeviceConfig[Installed],ROW()-1),"")</f>
        <v>0</v>
      </c>
      <c r="E201">
        <f>IFERROR(INDEX(tblDeviceConfig[Cybernet Hostname],ROW()-1),"")</f>
        <v>0</v>
      </c>
      <c r="F201">
        <f>IFERROR(INDEX(tblDeviceConfig[Neuron Hostname],ROW()-1),"")</f>
        <v>0</v>
      </c>
      <c r="G201">
        <f>IFERROR(INDEX(tblDeviceConfig[Software List],ROW()-1),"")</f>
        <v>0</v>
      </c>
      <c r="H201">
        <f>IFERROR(INDEX(tblDeviceConfig[PI_Use_Case],ROW()-1),"")</f>
        <v>0</v>
      </c>
      <c r="I201">
        <f>IFERROR(INDEX(tblDeviceConfig[PI_Result],ROW()-1),"")</f>
        <v>0</v>
      </c>
      <c r="J201">
        <f>IFERROR(INDEX(tblDeviceConfig[PI_Validated_By],ROW()-1),"")</f>
        <v>0</v>
      </c>
      <c r="K201">
        <f>IFERROR(INDEX(tblDeviceConfig[PI_Validated_Date],ROW()-1),"")</f>
        <v>0</v>
      </c>
      <c r="L201">
        <f t="shared" si="6"/>
        <v>0</v>
      </c>
      <c r="M201" t="str">
        <f t="shared" si="7"/>
        <v/>
      </c>
    </row>
    <row r="202" spans="1:13">
      <c r="A202">
        <f>ROW()</f>
        <v>202</v>
      </c>
      <c r="B202">
        <f>IFERROR(INDEX(tblDeviceConfig[Device Type],ROW()-1),"")</f>
        <v>0</v>
      </c>
      <c r="C202">
        <f>IFERROR(INDEX(tblDeviceConfig[Deployed],ROW()-1),"")</f>
        <v>0</v>
      </c>
      <c r="D202">
        <f>IFERROR(INDEX(tblDeviceConfig[Installed],ROW()-1),"")</f>
        <v>0</v>
      </c>
      <c r="E202">
        <f>IFERROR(INDEX(tblDeviceConfig[Cybernet Hostname],ROW()-1),"")</f>
        <v>0</v>
      </c>
      <c r="F202">
        <f>IFERROR(INDEX(tblDeviceConfig[Neuron Hostname],ROW()-1),"")</f>
        <v>0</v>
      </c>
      <c r="G202">
        <f>IFERROR(INDEX(tblDeviceConfig[Software List],ROW()-1),"")</f>
        <v>0</v>
      </c>
      <c r="H202">
        <f>IFERROR(INDEX(tblDeviceConfig[PI_Use_Case],ROW()-1),"")</f>
        <v>0</v>
      </c>
      <c r="I202">
        <f>IFERROR(INDEX(tblDeviceConfig[PI_Result],ROW()-1),"")</f>
        <v>0</v>
      </c>
      <c r="J202">
        <f>IFERROR(INDEX(tblDeviceConfig[PI_Validated_By],ROW()-1),"")</f>
        <v>0</v>
      </c>
      <c r="K202">
        <f>IFERROR(INDEX(tblDeviceConfig[PI_Validated_Date],ROW()-1),"")</f>
        <v>0</v>
      </c>
      <c r="L202">
        <f t="shared" si="6"/>
        <v>0</v>
      </c>
      <c r="M202" t="str">
        <f t="shared" si="7"/>
        <v/>
      </c>
    </row>
    <row r="203" spans="1:13">
      <c r="A203">
        <f>ROW()</f>
        <v>203</v>
      </c>
      <c r="B203">
        <f>IFERROR(INDEX(tblDeviceConfig[Device Type],ROW()-1),"")</f>
        <v>0</v>
      </c>
      <c r="C203">
        <f>IFERROR(INDEX(tblDeviceConfig[Deployed],ROW()-1),"")</f>
        <v>0</v>
      </c>
      <c r="D203">
        <f>IFERROR(INDEX(tblDeviceConfig[Installed],ROW()-1),"")</f>
        <v>0</v>
      </c>
      <c r="E203">
        <f>IFERROR(INDEX(tblDeviceConfig[Cybernet Hostname],ROW()-1),"")</f>
        <v>0</v>
      </c>
      <c r="F203">
        <f>IFERROR(INDEX(tblDeviceConfig[Neuron Hostname],ROW()-1),"")</f>
        <v>0</v>
      </c>
      <c r="G203">
        <f>IFERROR(INDEX(tblDeviceConfig[Software List],ROW()-1),"")</f>
        <v>0</v>
      </c>
      <c r="H203">
        <f>IFERROR(INDEX(tblDeviceConfig[PI_Use_Case],ROW()-1),"")</f>
        <v>0</v>
      </c>
      <c r="I203">
        <f>IFERROR(INDEX(tblDeviceConfig[PI_Result],ROW()-1),"")</f>
        <v>0</v>
      </c>
      <c r="J203">
        <f>IFERROR(INDEX(tblDeviceConfig[PI_Validated_By],ROW()-1),"")</f>
        <v>0</v>
      </c>
      <c r="K203">
        <f>IFERROR(INDEX(tblDeviceConfig[PI_Validated_Date],ROW()-1),"")</f>
        <v>0</v>
      </c>
      <c r="L203">
        <f t="shared" si="6"/>
        <v>0</v>
      </c>
      <c r="M203" t="str">
        <f t="shared" si="7"/>
        <v/>
      </c>
    </row>
    <row r="204" spans="1:13">
      <c r="A204">
        <f>ROW()</f>
        <v>204</v>
      </c>
      <c r="B204">
        <f>IFERROR(INDEX(tblDeviceConfig[Device Type],ROW()-1),"")</f>
        <v>0</v>
      </c>
      <c r="C204">
        <f>IFERROR(INDEX(tblDeviceConfig[Deployed],ROW()-1),"")</f>
        <v>0</v>
      </c>
      <c r="D204">
        <f>IFERROR(INDEX(tblDeviceConfig[Installed],ROW()-1),"")</f>
        <v>0</v>
      </c>
      <c r="E204">
        <f>IFERROR(INDEX(tblDeviceConfig[Cybernet Hostname],ROW()-1),"")</f>
        <v>0</v>
      </c>
      <c r="F204">
        <f>IFERROR(INDEX(tblDeviceConfig[Neuron Hostname],ROW()-1),"")</f>
        <v>0</v>
      </c>
      <c r="G204">
        <f>IFERROR(INDEX(tblDeviceConfig[Software List],ROW()-1),"")</f>
        <v>0</v>
      </c>
      <c r="H204">
        <f>IFERROR(INDEX(tblDeviceConfig[PI_Use_Case],ROW()-1),"")</f>
        <v>0</v>
      </c>
      <c r="I204">
        <f>IFERROR(INDEX(tblDeviceConfig[PI_Result],ROW()-1),"")</f>
        <v>0</v>
      </c>
      <c r="J204">
        <f>IFERROR(INDEX(tblDeviceConfig[PI_Validated_By],ROW()-1),"")</f>
        <v>0</v>
      </c>
      <c r="K204">
        <f>IFERROR(INDEX(tblDeviceConfig[PI_Validated_Date],ROW()-1),"")</f>
        <v>0</v>
      </c>
      <c r="L204">
        <f t="shared" si="6"/>
        <v>0</v>
      </c>
      <c r="M204" t="str">
        <f t="shared" si="7"/>
        <v/>
      </c>
    </row>
    <row r="205" spans="1:13">
      <c r="A205">
        <f>ROW()</f>
        <v>205</v>
      </c>
      <c r="B205">
        <f>IFERROR(INDEX(tblDeviceConfig[Device Type],ROW()-1),"")</f>
        <v>0</v>
      </c>
      <c r="C205">
        <f>IFERROR(INDEX(tblDeviceConfig[Deployed],ROW()-1),"")</f>
        <v>0</v>
      </c>
      <c r="D205">
        <f>IFERROR(INDEX(tblDeviceConfig[Installed],ROW()-1),"")</f>
        <v>0</v>
      </c>
      <c r="E205">
        <f>IFERROR(INDEX(tblDeviceConfig[Cybernet Hostname],ROW()-1),"")</f>
        <v>0</v>
      </c>
      <c r="F205">
        <f>IFERROR(INDEX(tblDeviceConfig[Neuron Hostname],ROW()-1),"")</f>
        <v>0</v>
      </c>
      <c r="G205">
        <f>IFERROR(INDEX(tblDeviceConfig[Software List],ROW()-1),"")</f>
        <v>0</v>
      </c>
      <c r="H205">
        <f>IFERROR(INDEX(tblDeviceConfig[PI_Use_Case],ROW()-1),"")</f>
        <v>0</v>
      </c>
      <c r="I205">
        <f>IFERROR(INDEX(tblDeviceConfig[PI_Result],ROW()-1),"")</f>
        <v>0</v>
      </c>
      <c r="J205">
        <f>IFERROR(INDEX(tblDeviceConfig[PI_Validated_By],ROW()-1),"")</f>
        <v>0</v>
      </c>
      <c r="K205">
        <f>IFERROR(INDEX(tblDeviceConfig[PI_Validated_Date],ROW()-1),"")</f>
        <v>0</v>
      </c>
      <c r="L205">
        <f t="shared" si="6"/>
        <v>0</v>
      </c>
      <c r="M205" t="str">
        <f t="shared" si="7"/>
        <v/>
      </c>
    </row>
    <row r="206" spans="1:13">
      <c r="A206">
        <f>ROW()</f>
        <v>206</v>
      </c>
      <c r="B206">
        <f>IFERROR(INDEX(tblDeviceConfig[Device Type],ROW()-1),"")</f>
        <v>0</v>
      </c>
      <c r="C206">
        <f>IFERROR(INDEX(tblDeviceConfig[Deployed],ROW()-1),"")</f>
        <v>0</v>
      </c>
      <c r="D206">
        <f>IFERROR(INDEX(tblDeviceConfig[Installed],ROW()-1),"")</f>
        <v>0</v>
      </c>
      <c r="E206">
        <f>IFERROR(INDEX(tblDeviceConfig[Cybernet Hostname],ROW()-1),"")</f>
        <v>0</v>
      </c>
      <c r="F206">
        <f>IFERROR(INDEX(tblDeviceConfig[Neuron Hostname],ROW()-1),"")</f>
        <v>0</v>
      </c>
      <c r="G206">
        <f>IFERROR(INDEX(tblDeviceConfig[Software List],ROW()-1),"")</f>
        <v>0</v>
      </c>
      <c r="H206">
        <f>IFERROR(INDEX(tblDeviceConfig[PI_Use_Case],ROW()-1),"")</f>
        <v>0</v>
      </c>
      <c r="I206">
        <f>IFERROR(INDEX(tblDeviceConfig[PI_Result],ROW()-1),"")</f>
        <v>0</v>
      </c>
      <c r="J206">
        <f>IFERROR(INDEX(tblDeviceConfig[PI_Validated_By],ROW()-1),"")</f>
        <v>0</v>
      </c>
      <c r="K206">
        <f>IFERROR(INDEX(tblDeviceConfig[PI_Validated_Date],ROW()-1),"")</f>
        <v>0</v>
      </c>
      <c r="L206">
        <f t="shared" si="6"/>
        <v>0</v>
      </c>
      <c r="M206" t="str">
        <f t="shared" si="7"/>
        <v/>
      </c>
    </row>
    <row r="207" spans="1:13">
      <c r="A207">
        <f>ROW()</f>
        <v>207</v>
      </c>
      <c r="B207">
        <f>IFERROR(INDEX(tblDeviceConfig[Device Type],ROW()-1),"")</f>
        <v>0</v>
      </c>
      <c r="C207">
        <f>IFERROR(INDEX(tblDeviceConfig[Deployed],ROW()-1),"")</f>
        <v>0</v>
      </c>
      <c r="D207">
        <f>IFERROR(INDEX(tblDeviceConfig[Installed],ROW()-1),"")</f>
        <v>0</v>
      </c>
      <c r="E207">
        <f>IFERROR(INDEX(tblDeviceConfig[Cybernet Hostname],ROW()-1),"")</f>
        <v>0</v>
      </c>
      <c r="F207">
        <f>IFERROR(INDEX(tblDeviceConfig[Neuron Hostname],ROW()-1),"")</f>
        <v>0</v>
      </c>
      <c r="G207">
        <f>IFERROR(INDEX(tblDeviceConfig[Software List],ROW()-1),"")</f>
        <v>0</v>
      </c>
      <c r="H207">
        <f>IFERROR(INDEX(tblDeviceConfig[PI_Use_Case],ROW()-1),"")</f>
        <v>0</v>
      </c>
      <c r="I207">
        <f>IFERROR(INDEX(tblDeviceConfig[PI_Result],ROW()-1),"")</f>
        <v>0</v>
      </c>
      <c r="J207">
        <f>IFERROR(INDEX(tblDeviceConfig[PI_Validated_By],ROW()-1),"")</f>
        <v>0</v>
      </c>
      <c r="K207">
        <f>IFERROR(INDEX(tblDeviceConfig[PI_Validated_Date],ROW()-1),"")</f>
        <v>0</v>
      </c>
      <c r="L207">
        <f t="shared" si="6"/>
        <v>0</v>
      </c>
      <c r="M207" t="str">
        <f t="shared" si="7"/>
        <v/>
      </c>
    </row>
    <row r="208" spans="1:13">
      <c r="A208">
        <f>ROW()</f>
        <v>208</v>
      </c>
      <c r="B208">
        <f>IFERROR(INDEX(tblDeviceConfig[Device Type],ROW()-1),"")</f>
        <v>0</v>
      </c>
      <c r="C208">
        <f>IFERROR(INDEX(tblDeviceConfig[Deployed],ROW()-1),"")</f>
        <v>0</v>
      </c>
      <c r="D208">
        <f>IFERROR(INDEX(tblDeviceConfig[Installed],ROW()-1),"")</f>
        <v>0</v>
      </c>
      <c r="E208">
        <f>IFERROR(INDEX(tblDeviceConfig[Cybernet Hostname],ROW()-1),"")</f>
        <v>0</v>
      </c>
      <c r="F208">
        <f>IFERROR(INDEX(tblDeviceConfig[Neuron Hostname],ROW()-1),"")</f>
        <v>0</v>
      </c>
      <c r="G208">
        <f>IFERROR(INDEX(tblDeviceConfig[Software List],ROW()-1),"")</f>
        <v>0</v>
      </c>
      <c r="H208">
        <f>IFERROR(INDEX(tblDeviceConfig[PI_Use_Case],ROW()-1),"")</f>
        <v>0</v>
      </c>
      <c r="I208">
        <f>IFERROR(INDEX(tblDeviceConfig[PI_Result],ROW()-1),"")</f>
        <v>0</v>
      </c>
      <c r="J208">
        <f>IFERROR(INDEX(tblDeviceConfig[PI_Validated_By],ROW()-1),"")</f>
        <v>0</v>
      </c>
      <c r="K208">
        <f>IFERROR(INDEX(tblDeviceConfig[PI_Validated_Date],ROW()-1),"")</f>
        <v>0</v>
      </c>
      <c r="L208">
        <f t="shared" si="6"/>
        <v>0</v>
      </c>
      <c r="M208" t="str">
        <f t="shared" si="7"/>
        <v/>
      </c>
    </row>
    <row r="209" spans="1:13">
      <c r="A209">
        <f>ROW()</f>
        <v>209</v>
      </c>
      <c r="B209">
        <f>IFERROR(INDEX(tblDeviceConfig[Device Type],ROW()-1),"")</f>
        <v>0</v>
      </c>
      <c r="C209">
        <f>IFERROR(INDEX(tblDeviceConfig[Deployed],ROW()-1),"")</f>
        <v>0</v>
      </c>
      <c r="D209">
        <f>IFERROR(INDEX(tblDeviceConfig[Installed],ROW()-1),"")</f>
        <v>0</v>
      </c>
      <c r="E209">
        <f>IFERROR(INDEX(tblDeviceConfig[Cybernet Hostname],ROW()-1),"")</f>
        <v>0</v>
      </c>
      <c r="F209">
        <f>IFERROR(INDEX(tblDeviceConfig[Neuron Hostname],ROW()-1),"")</f>
        <v>0</v>
      </c>
      <c r="G209">
        <f>IFERROR(INDEX(tblDeviceConfig[Software List],ROW()-1),"")</f>
        <v>0</v>
      </c>
      <c r="H209">
        <f>IFERROR(INDEX(tblDeviceConfig[PI_Use_Case],ROW()-1),"")</f>
        <v>0</v>
      </c>
      <c r="I209">
        <f>IFERROR(INDEX(tblDeviceConfig[PI_Result],ROW()-1),"")</f>
        <v>0</v>
      </c>
      <c r="J209">
        <f>IFERROR(INDEX(tblDeviceConfig[PI_Validated_By],ROW()-1),"")</f>
        <v>0</v>
      </c>
      <c r="K209">
        <f>IFERROR(INDEX(tblDeviceConfig[PI_Validated_Date],ROW()-1),"")</f>
        <v>0</v>
      </c>
      <c r="L209">
        <f t="shared" si="6"/>
        <v>0</v>
      </c>
      <c r="M209" t="str">
        <f t="shared" si="7"/>
        <v/>
      </c>
    </row>
    <row r="210" spans="1:13">
      <c r="A210">
        <f>ROW()</f>
        <v>210</v>
      </c>
      <c r="B210">
        <f>IFERROR(INDEX(tblDeviceConfig[Device Type],ROW()-1),"")</f>
        <v>0</v>
      </c>
      <c r="C210">
        <f>IFERROR(INDEX(tblDeviceConfig[Deployed],ROW()-1),"")</f>
        <v>0</v>
      </c>
      <c r="D210">
        <f>IFERROR(INDEX(tblDeviceConfig[Installed],ROW()-1),"")</f>
        <v>0</v>
      </c>
      <c r="E210">
        <f>IFERROR(INDEX(tblDeviceConfig[Cybernet Hostname],ROW()-1),"")</f>
        <v>0</v>
      </c>
      <c r="F210">
        <f>IFERROR(INDEX(tblDeviceConfig[Neuron Hostname],ROW()-1),"")</f>
        <v>0</v>
      </c>
      <c r="G210">
        <f>IFERROR(INDEX(tblDeviceConfig[Software List],ROW()-1),"")</f>
        <v>0</v>
      </c>
      <c r="H210">
        <f>IFERROR(INDEX(tblDeviceConfig[PI_Use_Case],ROW()-1),"")</f>
        <v>0</v>
      </c>
      <c r="I210">
        <f>IFERROR(INDEX(tblDeviceConfig[PI_Result],ROW()-1),"")</f>
        <v>0</v>
      </c>
      <c r="J210">
        <f>IFERROR(INDEX(tblDeviceConfig[PI_Validated_By],ROW()-1),"")</f>
        <v>0</v>
      </c>
      <c r="K210">
        <f>IFERROR(INDEX(tblDeviceConfig[PI_Validated_Date],ROW()-1),"")</f>
        <v>0</v>
      </c>
      <c r="L210">
        <f t="shared" si="6"/>
        <v>0</v>
      </c>
      <c r="M210" t="str">
        <f t="shared" si="7"/>
        <v/>
      </c>
    </row>
    <row r="211" spans="1:13">
      <c r="A211">
        <f>ROW()</f>
        <v>211</v>
      </c>
      <c r="B211">
        <f>IFERROR(INDEX(tblDeviceConfig[Device Type],ROW()-1),"")</f>
        <v>0</v>
      </c>
      <c r="C211">
        <f>IFERROR(INDEX(tblDeviceConfig[Deployed],ROW()-1),"")</f>
        <v>0</v>
      </c>
      <c r="D211">
        <f>IFERROR(INDEX(tblDeviceConfig[Installed],ROW()-1),"")</f>
        <v>0</v>
      </c>
      <c r="E211">
        <f>IFERROR(INDEX(tblDeviceConfig[Cybernet Hostname],ROW()-1),"")</f>
        <v>0</v>
      </c>
      <c r="F211">
        <f>IFERROR(INDEX(tblDeviceConfig[Neuron Hostname],ROW()-1),"")</f>
        <v>0</v>
      </c>
      <c r="G211">
        <f>IFERROR(INDEX(tblDeviceConfig[Software List],ROW()-1),"")</f>
        <v>0</v>
      </c>
      <c r="H211">
        <f>IFERROR(INDEX(tblDeviceConfig[PI_Use_Case],ROW()-1),"")</f>
        <v>0</v>
      </c>
      <c r="I211">
        <f>IFERROR(INDEX(tblDeviceConfig[PI_Result],ROW()-1),"")</f>
        <v>0</v>
      </c>
      <c r="J211">
        <f>IFERROR(INDEX(tblDeviceConfig[PI_Validated_By],ROW()-1),"")</f>
        <v>0</v>
      </c>
      <c r="K211">
        <f>IFERROR(INDEX(tblDeviceConfig[PI_Validated_Date],ROW()-1),"")</f>
        <v>0</v>
      </c>
      <c r="L211">
        <f t="shared" si="6"/>
        <v>0</v>
      </c>
      <c r="M211" t="str">
        <f t="shared" si="7"/>
        <v/>
      </c>
    </row>
    <row r="212" spans="1:13">
      <c r="A212">
        <f>ROW()</f>
        <v>212</v>
      </c>
      <c r="B212">
        <f>IFERROR(INDEX(tblDeviceConfig[Device Type],ROW()-1),"")</f>
        <v>0</v>
      </c>
      <c r="C212">
        <f>IFERROR(INDEX(tblDeviceConfig[Deployed],ROW()-1),"")</f>
        <v>0</v>
      </c>
      <c r="D212">
        <f>IFERROR(INDEX(tblDeviceConfig[Installed],ROW()-1),"")</f>
        <v>0</v>
      </c>
      <c r="E212">
        <f>IFERROR(INDEX(tblDeviceConfig[Cybernet Hostname],ROW()-1),"")</f>
        <v>0</v>
      </c>
      <c r="F212">
        <f>IFERROR(INDEX(tblDeviceConfig[Neuron Hostname],ROW()-1),"")</f>
        <v>0</v>
      </c>
      <c r="G212">
        <f>IFERROR(INDEX(tblDeviceConfig[Software List],ROW()-1),"")</f>
        <v>0</v>
      </c>
      <c r="H212">
        <f>IFERROR(INDEX(tblDeviceConfig[PI_Use_Case],ROW()-1),"")</f>
        <v>0</v>
      </c>
      <c r="I212">
        <f>IFERROR(INDEX(tblDeviceConfig[PI_Result],ROW()-1),"")</f>
        <v>0</v>
      </c>
      <c r="J212">
        <f>IFERROR(INDEX(tblDeviceConfig[PI_Validated_By],ROW()-1),"")</f>
        <v>0</v>
      </c>
      <c r="K212">
        <f>IFERROR(INDEX(tblDeviceConfig[PI_Validated_Date],ROW()-1),"")</f>
        <v>0</v>
      </c>
      <c r="L212">
        <f t="shared" si="6"/>
        <v>0</v>
      </c>
      <c r="M212" t="str">
        <f t="shared" si="7"/>
        <v/>
      </c>
    </row>
    <row r="213" spans="1:13">
      <c r="A213">
        <f>ROW()</f>
        <v>213</v>
      </c>
      <c r="B213">
        <f>IFERROR(INDEX(tblDeviceConfig[Device Type],ROW()-1),"")</f>
        <v>0</v>
      </c>
      <c r="C213">
        <f>IFERROR(INDEX(tblDeviceConfig[Deployed],ROW()-1),"")</f>
        <v>0</v>
      </c>
      <c r="D213">
        <f>IFERROR(INDEX(tblDeviceConfig[Installed],ROW()-1),"")</f>
        <v>0</v>
      </c>
      <c r="E213">
        <f>IFERROR(INDEX(tblDeviceConfig[Cybernet Hostname],ROW()-1),"")</f>
        <v>0</v>
      </c>
      <c r="F213">
        <f>IFERROR(INDEX(tblDeviceConfig[Neuron Hostname],ROW()-1),"")</f>
        <v>0</v>
      </c>
      <c r="G213">
        <f>IFERROR(INDEX(tblDeviceConfig[Software List],ROW()-1),"")</f>
        <v>0</v>
      </c>
      <c r="H213">
        <f>IFERROR(INDEX(tblDeviceConfig[PI_Use_Case],ROW()-1),"")</f>
        <v>0</v>
      </c>
      <c r="I213">
        <f>IFERROR(INDEX(tblDeviceConfig[PI_Result],ROW()-1),"")</f>
        <v>0</v>
      </c>
      <c r="J213">
        <f>IFERROR(INDEX(tblDeviceConfig[PI_Validated_By],ROW()-1),"")</f>
        <v>0</v>
      </c>
      <c r="K213">
        <f>IFERROR(INDEX(tblDeviceConfig[PI_Validated_Date],ROW()-1),"")</f>
        <v>0</v>
      </c>
      <c r="L213">
        <f t="shared" si="6"/>
        <v>0</v>
      </c>
      <c r="M213" t="str">
        <f t="shared" si="7"/>
        <v/>
      </c>
    </row>
    <row r="214" spans="1:13">
      <c r="A214">
        <f>ROW()</f>
        <v>214</v>
      </c>
      <c r="B214">
        <f>IFERROR(INDEX(tblDeviceConfig[Device Type],ROW()-1),"")</f>
        <v>0</v>
      </c>
      <c r="C214">
        <f>IFERROR(INDEX(tblDeviceConfig[Deployed],ROW()-1),"")</f>
        <v>0</v>
      </c>
      <c r="D214">
        <f>IFERROR(INDEX(tblDeviceConfig[Installed],ROW()-1),"")</f>
        <v>0</v>
      </c>
      <c r="E214">
        <f>IFERROR(INDEX(tblDeviceConfig[Cybernet Hostname],ROW()-1),"")</f>
        <v>0</v>
      </c>
      <c r="F214">
        <f>IFERROR(INDEX(tblDeviceConfig[Neuron Hostname],ROW()-1),"")</f>
        <v>0</v>
      </c>
      <c r="G214">
        <f>IFERROR(INDEX(tblDeviceConfig[Software List],ROW()-1),"")</f>
        <v>0</v>
      </c>
      <c r="H214">
        <f>IFERROR(INDEX(tblDeviceConfig[PI_Use_Case],ROW()-1),"")</f>
        <v>0</v>
      </c>
      <c r="I214">
        <f>IFERROR(INDEX(tblDeviceConfig[PI_Result],ROW()-1),"")</f>
        <v>0</v>
      </c>
      <c r="J214">
        <f>IFERROR(INDEX(tblDeviceConfig[PI_Validated_By],ROW()-1),"")</f>
        <v>0</v>
      </c>
      <c r="K214">
        <f>IFERROR(INDEX(tblDeviceConfig[PI_Validated_Date],ROW()-1),"")</f>
        <v>0</v>
      </c>
      <c r="L214">
        <f t="shared" si="6"/>
        <v>0</v>
      </c>
      <c r="M214" t="str">
        <f t="shared" si="7"/>
        <v/>
      </c>
    </row>
    <row r="215" spans="1:13">
      <c r="A215">
        <f>ROW()</f>
        <v>215</v>
      </c>
      <c r="B215">
        <f>IFERROR(INDEX(tblDeviceConfig[Device Type],ROW()-1),"")</f>
        <v>0</v>
      </c>
      <c r="C215">
        <f>IFERROR(INDEX(tblDeviceConfig[Deployed],ROW()-1),"")</f>
        <v>0</v>
      </c>
      <c r="D215">
        <f>IFERROR(INDEX(tblDeviceConfig[Installed],ROW()-1),"")</f>
        <v>0</v>
      </c>
      <c r="E215">
        <f>IFERROR(INDEX(tblDeviceConfig[Cybernet Hostname],ROW()-1),"")</f>
        <v>0</v>
      </c>
      <c r="F215">
        <f>IFERROR(INDEX(tblDeviceConfig[Neuron Hostname],ROW()-1),"")</f>
        <v>0</v>
      </c>
      <c r="G215">
        <f>IFERROR(INDEX(tblDeviceConfig[Software List],ROW()-1),"")</f>
        <v>0</v>
      </c>
      <c r="H215">
        <f>IFERROR(INDEX(tblDeviceConfig[PI_Use_Case],ROW()-1),"")</f>
        <v>0</v>
      </c>
      <c r="I215">
        <f>IFERROR(INDEX(tblDeviceConfig[PI_Result],ROW()-1),"")</f>
        <v>0</v>
      </c>
      <c r="J215">
        <f>IFERROR(INDEX(tblDeviceConfig[PI_Validated_By],ROW()-1),"")</f>
        <v>0</v>
      </c>
      <c r="K215">
        <f>IFERROR(INDEX(tblDeviceConfig[PI_Validated_Date],ROW()-1),"")</f>
        <v>0</v>
      </c>
      <c r="L215">
        <f t="shared" si="6"/>
        <v>0</v>
      </c>
      <c r="M215" t="str">
        <f t="shared" si="7"/>
        <v/>
      </c>
    </row>
    <row r="216" spans="1:13">
      <c r="A216">
        <f>ROW()</f>
        <v>216</v>
      </c>
      <c r="B216">
        <f>IFERROR(INDEX(tblDeviceConfig[Device Type],ROW()-1),"")</f>
        <v>0</v>
      </c>
      <c r="C216">
        <f>IFERROR(INDEX(tblDeviceConfig[Deployed],ROW()-1),"")</f>
        <v>0</v>
      </c>
      <c r="D216">
        <f>IFERROR(INDEX(tblDeviceConfig[Installed],ROW()-1),"")</f>
        <v>0</v>
      </c>
      <c r="E216">
        <f>IFERROR(INDEX(tblDeviceConfig[Cybernet Hostname],ROW()-1),"")</f>
        <v>0</v>
      </c>
      <c r="F216">
        <f>IFERROR(INDEX(tblDeviceConfig[Neuron Hostname],ROW()-1),"")</f>
        <v>0</v>
      </c>
      <c r="G216">
        <f>IFERROR(INDEX(tblDeviceConfig[Software List],ROW()-1),"")</f>
        <v>0</v>
      </c>
      <c r="H216">
        <f>IFERROR(INDEX(tblDeviceConfig[PI_Use_Case],ROW()-1),"")</f>
        <v>0</v>
      </c>
      <c r="I216">
        <f>IFERROR(INDEX(tblDeviceConfig[PI_Result],ROW()-1),"")</f>
        <v>0</v>
      </c>
      <c r="J216">
        <f>IFERROR(INDEX(tblDeviceConfig[PI_Validated_By],ROW()-1),"")</f>
        <v>0</v>
      </c>
      <c r="K216">
        <f>IFERROR(INDEX(tblDeviceConfig[PI_Validated_Date],ROW()-1),"")</f>
        <v>0</v>
      </c>
      <c r="L216">
        <f t="shared" si="6"/>
        <v>0</v>
      </c>
      <c r="M216" t="str">
        <f t="shared" si="7"/>
        <v/>
      </c>
    </row>
    <row r="217" spans="1:13">
      <c r="A217">
        <f>ROW()</f>
        <v>217</v>
      </c>
      <c r="B217">
        <f>IFERROR(INDEX(tblDeviceConfig[Device Type],ROW()-1),"")</f>
        <v>0</v>
      </c>
      <c r="C217">
        <f>IFERROR(INDEX(tblDeviceConfig[Deployed],ROW()-1),"")</f>
        <v>0</v>
      </c>
      <c r="D217">
        <f>IFERROR(INDEX(tblDeviceConfig[Installed],ROW()-1),"")</f>
        <v>0</v>
      </c>
      <c r="E217">
        <f>IFERROR(INDEX(tblDeviceConfig[Cybernet Hostname],ROW()-1),"")</f>
        <v>0</v>
      </c>
      <c r="F217">
        <f>IFERROR(INDEX(tblDeviceConfig[Neuron Hostname],ROW()-1),"")</f>
        <v>0</v>
      </c>
      <c r="G217">
        <f>IFERROR(INDEX(tblDeviceConfig[Software List],ROW()-1),"")</f>
        <v>0</v>
      </c>
      <c r="H217">
        <f>IFERROR(INDEX(tblDeviceConfig[PI_Use_Case],ROW()-1),"")</f>
        <v>0</v>
      </c>
      <c r="I217">
        <f>IFERROR(INDEX(tblDeviceConfig[PI_Result],ROW()-1),"")</f>
        <v>0</v>
      </c>
      <c r="J217">
        <f>IFERROR(INDEX(tblDeviceConfig[PI_Validated_By],ROW()-1),"")</f>
        <v>0</v>
      </c>
      <c r="K217">
        <f>IFERROR(INDEX(tblDeviceConfig[PI_Validated_Date],ROW()-1),"")</f>
        <v>0</v>
      </c>
      <c r="L217">
        <f t="shared" si="6"/>
        <v>0</v>
      </c>
      <c r="M217" t="str">
        <f t="shared" si="7"/>
        <v/>
      </c>
    </row>
    <row r="218" spans="1:13">
      <c r="A218">
        <f>ROW()</f>
        <v>218</v>
      </c>
      <c r="B218">
        <f>IFERROR(INDEX(tblDeviceConfig[Device Type],ROW()-1),"")</f>
        <v>0</v>
      </c>
      <c r="C218">
        <f>IFERROR(INDEX(tblDeviceConfig[Deployed],ROW()-1),"")</f>
        <v>0</v>
      </c>
      <c r="D218">
        <f>IFERROR(INDEX(tblDeviceConfig[Installed],ROW()-1),"")</f>
        <v>0</v>
      </c>
      <c r="E218">
        <f>IFERROR(INDEX(tblDeviceConfig[Cybernet Hostname],ROW()-1),"")</f>
        <v>0</v>
      </c>
      <c r="F218">
        <f>IFERROR(INDEX(tblDeviceConfig[Neuron Hostname],ROW()-1),"")</f>
        <v>0</v>
      </c>
      <c r="G218">
        <f>IFERROR(INDEX(tblDeviceConfig[Software List],ROW()-1),"")</f>
        <v>0</v>
      </c>
      <c r="H218">
        <f>IFERROR(INDEX(tblDeviceConfig[PI_Use_Case],ROW()-1),"")</f>
        <v>0</v>
      </c>
      <c r="I218">
        <f>IFERROR(INDEX(tblDeviceConfig[PI_Result],ROW()-1),"")</f>
        <v>0</v>
      </c>
      <c r="J218">
        <f>IFERROR(INDEX(tblDeviceConfig[PI_Validated_By],ROW()-1),"")</f>
        <v>0</v>
      </c>
      <c r="K218">
        <f>IFERROR(INDEX(tblDeviceConfig[PI_Validated_Date],ROW()-1),"")</f>
        <v>0</v>
      </c>
      <c r="L218">
        <f t="shared" si="6"/>
        <v>0</v>
      </c>
      <c r="M218" t="str">
        <f t="shared" si="7"/>
        <v/>
      </c>
    </row>
    <row r="219" spans="1:13">
      <c r="A219">
        <f>ROW()</f>
        <v>219</v>
      </c>
      <c r="B219">
        <f>IFERROR(INDEX(tblDeviceConfig[Device Type],ROW()-1),"")</f>
        <v>0</v>
      </c>
      <c r="C219">
        <f>IFERROR(INDEX(tblDeviceConfig[Deployed],ROW()-1),"")</f>
        <v>0</v>
      </c>
      <c r="D219">
        <f>IFERROR(INDEX(tblDeviceConfig[Installed],ROW()-1),"")</f>
        <v>0</v>
      </c>
      <c r="E219">
        <f>IFERROR(INDEX(tblDeviceConfig[Cybernet Hostname],ROW()-1),"")</f>
        <v>0</v>
      </c>
      <c r="F219">
        <f>IFERROR(INDEX(tblDeviceConfig[Neuron Hostname],ROW()-1),"")</f>
        <v>0</v>
      </c>
      <c r="G219">
        <f>IFERROR(INDEX(tblDeviceConfig[Software List],ROW()-1),"")</f>
        <v>0</v>
      </c>
      <c r="H219">
        <f>IFERROR(INDEX(tblDeviceConfig[PI_Use_Case],ROW()-1),"")</f>
        <v>0</v>
      </c>
      <c r="I219">
        <f>IFERROR(INDEX(tblDeviceConfig[PI_Result],ROW()-1),"")</f>
        <v>0</v>
      </c>
      <c r="J219">
        <f>IFERROR(INDEX(tblDeviceConfig[PI_Validated_By],ROW()-1),"")</f>
        <v>0</v>
      </c>
      <c r="K219">
        <f>IFERROR(INDEX(tblDeviceConfig[PI_Validated_Date],ROW()-1),"")</f>
        <v>0</v>
      </c>
      <c r="L219">
        <f t="shared" si="6"/>
        <v>0</v>
      </c>
      <c r="M219" t="str">
        <f t="shared" si="7"/>
        <v/>
      </c>
    </row>
    <row r="220" spans="1:13">
      <c r="A220">
        <f>ROW()</f>
        <v>220</v>
      </c>
      <c r="B220">
        <f>IFERROR(INDEX(tblDeviceConfig[Device Type],ROW()-1),"")</f>
        <v>0</v>
      </c>
      <c r="C220">
        <f>IFERROR(INDEX(tblDeviceConfig[Deployed],ROW()-1),"")</f>
        <v>0</v>
      </c>
      <c r="D220">
        <f>IFERROR(INDEX(tblDeviceConfig[Installed],ROW()-1),"")</f>
        <v>0</v>
      </c>
      <c r="E220">
        <f>IFERROR(INDEX(tblDeviceConfig[Cybernet Hostname],ROW()-1),"")</f>
        <v>0</v>
      </c>
      <c r="F220">
        <f>IFERROR(INDEX(tblDeviceConfig[Neuron Hostname],ROW()-1),"")</f>
        <v>0</v>
      </c>
      <c r="G220">
        <f>IFERROR(INDEX(tblDeviceConfig[Software List],ROW()-1),"")</f>
        <v>0</v>
      </c>
      <c r="H220">
        <f>IFERROR(INDEX(tblDeviceConfig[PI_Use_Case],ROW()-1),"")</f>
        <v>0</v>
      </c>
      <c r="I220">
        <f>IFERROR(INDEX(tblDeviceConfig[PI_Result],ROW()-1),"")</f>
        <v>0</v>
      </c>
      <c r="J220">
        <f>IFERROR(INDEX(tblDeviceConfig[PI_Validated_By],ROW()-1),"")</f>
        <v>0</v>
      </c>
      <c r="K220">
        <f>IFERROR(INDEX(tblDeviceConfig[PI_Validated_Date],ROW()-1),"")</f>
        <v>0</v>
      </c>
      <c r="L220">
        <f t="shared" si="6"/>
        <v>0</v>
      </c>
      <c r="M220" t="str">
        <f t="shared" si="7"/>
        <v/>
      </c>
    </row>
    <row r="221" spans="1:13">
      <c r="A221">
        <f>ROW()</f>
        <v>221</v>
      </c>
      <c r="B221">
        <f>IFERROR(INDEX(tblDeviceConfig[Device Type],ROW()-1),"")</f>
        <v>0</v>
      </c>
      <c r="C221">
        <f>IFERROR(INDEX(tblDeviceConfig[Deployed],ROW()-1),"")</f>
        <v>0</v>
      </c>
      <c r="D221">
        <f>IFERROR(INDEX(tblDeviceConfig[Installed],ROW()-1),"")</f>
        <v>0</v>
      </c>
      <c r="E221">
        <f>IFERROR(INDEX(tblDeviceConfig[Cybernet Hostname],ROW()-1),"")</f>
        <v>0</v>
      </c>
      <c r="F221">
        <f>IFERROR(INDEX(tblDeviceConfig[Neuron Hostname],ROW()-1),"")</f>
        <v>0</v>
      </c>
      <c r="G221">
        <f>IFERROR(INDEX(tblDeviceConfig[Software List],ROW()-1),"")</f>
        <v>0</v>
      </c>
      <c r="H221">
        <f>IFERROR(INDEX(tblDeviceConfig[PI_Use_Case],ROW()-1),"")</f>
        <v>0</v>
      </c>
      <c r="I221">
        <f>IFERROR(INDEX(tblDeviceConfig[PI_Result],ROW()-1),"")</f>
        <v>0</v>
      </c>
      <c r="J221">
        <f>IFERROR(INDEX(tblDeviceConfig[PI_Validated_By],ROW()-1),"")</f>
        <v>0</v>
      </c>
      <c r="K221">
        <f>IFERROR(INDEX(tblDeviceConfig[PI_Validated_Date],ROW()-1),"")</f>
        <v>0</v>
      </c>
      <c r="L221">
        <f t="shared" si="6"/>
        <v>0</v>
      </c>
      <c r="M221" t="str">
        <f t="shared" si="7"/>
        <v/>
      </c>
    </row>
    <row r="222" spans="1:13">
      <c r="A222">
        <f>ROW()</f>
        <v>222</v>
      </c>
      <c r="B222">
        <f>IFERROR(INDEX(tblDeviceConfig[Device Type],ROW()-1),"")</f>
        <v>0</v>
      </c>
      <c r="C222">
        <f>IFERROR(INDEX(tblDeviceConfig[Deployed],ROW()-1),"")</f>
        <v>0</v>
      </c>
      <c r="D222">
        <f>IFERROR(INDEX(tblDeviceConfig[Installed],ROW()-1),"")</f>
        <v>0</v>
      </c>
      <c r="E222">
        <f>IFERROR(INDEX(tblDeviceConfig[Cybernet Hostname],ROW()-1),"")</f>
        <v>0</v>
      </c>
      <c r="F222">
        <f>IFERROR(INDEX(tblDeviceConfig[Neuron Hostname],ROW()-1),"")</f>
        <v>0</v>
      </c>
      <c r="G222">
        <f>IFERROR(INDEX(tblDeviceConfig[Software List],ROW()-1),"")</f>
        <v>0</v>
      </c>
      <c r="H222">
        <f>IFERROR(INDEX(tblDeviceConfig[PI_Use_Case],ROW()-1),"")</f>
        <v>0</v>
      </c>
      <c r="I222">
        <f>IFERROR(INDEX(tblDeviceConfig[PI_Result],ROW()-1),"")</f>
        <v>0</v>
      </c>
      <c r="J222">
        <f>IFERROR(INDEX(tblDeviceConfig[PI_Validated_By],ROW()-1),"")</f>
        <v>0</v>
      </c>
      <c r="K222">
        <f>IFERROR(INDEX(tblDeviceConfig[PI_Validated_Date],ROW()-1),"")</f>
        <v>0</v>
      </c>
      <c r="L222">
        <f t="shared" si="6"/>
        <v>0</v>
      </c>
      <c r="M222" t="str">
        <f t="shared" si="7"/>
        <v/>
      </c>
    </row>
    <row r="223" spans="1:13">
      <c r="A223">
        <f>ROW()</f>
        <v>223</v>
      </c>
      <c r="B223">
        <f>IFERROR(INDEX(tblDeviceConfig[Device Type],ROW()-1),"")</f>
        <v>0</v>
      </c>
      <c r="C223">
        <f>IFERROR(INDEX(tblDeviceConfig[Deployed],ROW()-1),"")</f>
        <v>0</v>
      </c>
      <c r="D223">
        <f>IFERROR(INDEX(tblDeviceConfig[Installed],ROW()-1),"")</f>
        <v>0</v>
      </c>
      <c r="E223">
        <f>IFERROR(INDEX(tblDeviceConfig[Cybernet Hostname],ROW()-1),"")</f>
        <v>0</v>
      </c>
      <c r="F223">
        <f>IFERROR(INDEX(tblDeviceConfig[Neuron Hostname],ROW()-1),"")</f>
        <v>0</v>
      </c>
      <c r="G223">
        <f>IFERROR(INDEX(tblDeviceConfig[Software List],ROW()-1),"")</f>
        <v>0</v>
      </c>
      <c r="H223">
        <f>IFERROR(INDEX(tblDeviceConfig[PI_Use_Case],ROW()-1),"")</f>
        <v>0</v>
      </c>
      <c r="I223">
        <f>IFERROR(INDEX(tblDeviceConfig[PI_Result],ROW()-1),"")</f>
        <v>0</v>
      </c>
      <c r="J223">
        <f>IFERROR(INDEX(tblDeviceConfig[PI_Validated_By],ROW()-1),"")</f>
        <v>0</v>
      </c>
      <c r="K223">
        <f>IFERROR(INDEX(tblDeviceConfig[PI_Validated_Date],ROW()-1),"")</f>
        <v>0</v>
      </c>
      <c r="L223">
        <f t="shared" si="6"/>
        <v>0</v>
      </c>
      <c r="M223" t="str">
        <f t="shared" si="7"/>
        <v/>
      </c>
    </row>
    <row r="224" spans="1:13">
      <c r="A224">
        <f>ROW()</f>
        <v>224</v>
      </c>
      <c r="B224">
        <f>IFERROR(INDEX(tblDeviceConfig[Device Type],ROW()-1),"")</f>
        <v>0</v>
      </c>
      <c r="C224">
        <f>IFERROR(INDEX(tblDeviceConfig[Deployed],ROW()-1),"")</f>
        <v>0</v>
      </c>
      <c r="D224">
        <f>IFERROR(INDEX(tblDeviceConfig[Installed],ROW()-1),"")</f>
        <v>0</v>
      </c>
      <c r="E224">
        <f>IFERROR(INDEX(tblDeviceConfig[Cybernet Hostname],ROW()-1),"")</f>
        <v>0</v>
      </c>
      <c r="F224">
        <f>IFERROR(INDEX(tblDeviceConfig[Neuron Hostname],ROW()-1),"")</f>
        <v>0</v>
      </c>
      <c r="G224">
        <f>IFERROR(INDEX(tblDeviceConfig[Software List],ROW()-1),"")</f>
        <v>0</v>
      </c>
      <c r="H224">
        <f>IFERROR(INDEX(tblDeviceConfig[PI_Use_Case],ROW()-1),"")</f>
        <v>0</v>
      </c>
      <c r="I224">
        <f>IFERROR(INDEX(tblDeviceConfig[PI_Result],ROW()-1),"")</f>
        <v>0</v>
      </c>
      <c r="J224">
        <f>IFERROR(INDEX(tblDeviceConfig[PI_Validated_By],ROW()-1),"")</f>
        <v>0</v>
      </c>
      <c r="K224">
        <f>IFERROR(INDEX(tblDeviceConfig[PI_Validated_Date],ROW()-1),"")</f>
        <v>0</v>
      </c>
      <c r="L224">
        <f t="shared" si="6"/>
        <v>0</v>
      </c>
      <c r="M224" t="str">
        <f t="shared" si="7"/>
        <v/>
      </c>
    </row>
    <row r="225" spans="1:13">
      <c r="A225">
        <f>ROW()</f>
        <v>225</v>
      </c>
      <c r="B225">
        <f>IFERROR(INDEX(tblDeviceConfig[Device Type],ROW()-1),"")</f>
        <v>0</v>
      </c>
      <c r="C225">
        <f>IFERROR(INDEX(tblDeviceConfig[Deployed],ROW()-1),"")</f>
        <v>0</v>
      </c>
      <c r="D225">
        <f>IFERROR(INDEX(tblDeviceConfig[Installed],ROW()-1),"")</f>
        <v>0</v>
      </c>
      <c r="E225">
        <f>IFERROR(INDEX(tblDeviceConfig[Cybernet Hostname],ROW()-1),"")</f>
        <v>0</v>
      </c>
      <c r="F225">
        <f>IFERROR(INDEX(tblDeviceConfig[Neuron Hostname],ROW()-1),"")</f>
        <v>0</v>
      </c>
      <c r="G225">
        <f>IFERROR(INDEX(tblDeviceConfig[Software List],ROW()-1),"")</f>
        <v>0</v>
      </c>
      <c r="H225">
        <f>IFERROR(INDEX(tblDeviceConfig[PI_Use_Case],ROW()-1),"")</f>
        <v>0</v>
      </c>
      <c r="I225">
        <f>IFERROR(INDEX(tblDeviceConfig[PI_Result],ROW()-1),"")</f>
        <v>0</v>
      </c>
      <c r="J225">
        <f>IFERROR(INDEX(tblDeviceConfig[PI_Validated_By],ROW()-1),"")</f>
        <v>0</v>
      </c>
      <c r="K225">
        <f>IFERROR(INDEX(tblDeviceConfig[PI_Validated_Date],ROW()-1),"")</f>
        <v>0</v>
      </c>
      <c r="L225">
        <f t="shared" si="6"/>
        <v>0</v>
      </c>
      <c r="M225" t="str">
        <f t="shared" si="7"/>
        <v/>
      </c>
    </row>
    <row r="226" spans="1:13">
      <c r="A226">
        <f>ROW()</f>
        <v>226</v>
      </c>
      <c r="B226">
        <f>IFERROR(INDEX(tblDeviceConfig[Device Type],ROW()-1),"")</f>
        <v>0</v>
      </c>
      <c r="C226">
        <f>IFERROR(INDEX(tblDeviceConfig[Deployed],ROW()-1),"")</f>
        <v>0</v>
      </c>
      <c r="D226">
        <f>IFERROR(INDEX(tblDeviceConfig[Installed],ROW()-1),"")</f>
        <v>0</v>
      </c>
      <c r="E226">
        <f>IFERROR(INDEX(tblDeviceConfig[Cybernet Hostname],ROW()-1),"")</f>
        <v>0</v>
      </c>
      <c r="F226">
        <f>IFERROR(INDEX(tblDeviceConfig[Neuron Hostname],ROW()-1),"")</f>
        <v>0</v>
      </c>
      <c r="G226">
        <f>IFERROR(INDEX(tblDeviceConfig[Software List],ROW()-1),"")</f>
        <v>0</v>
      </c>
      <c r="H226">
        <f>IFERROR(INDEX(tblDeviceConfig[PI_Use_Case],ROW()-1),"")</f>
        <v>0</v>
      </c>
      <c r="I226">
        <f>IFERROR(INDEX(tblDeviceConfig[PI_Result],ROW()-1),"")</f>
        <v>0</v>
      </c>
      <c r="J226">
        <f>IFERROR(INDEX(tblDeviceConfig[PI_Validated_By],ROW()-1),"")</f>
        <v>0</v>
      </c>
      <c r="K226">
        <f>IFERROR(INDEX(tblDeviceConfig[PI_Validated_Date],ROW()-1),"")</f>
        <v>0</v>
      </c>
      <c r="L226">
        <f t="shared" si="6"/>
        <v>0</v>
      </c>
      <c r="M226" t="str">
        <f t="shared" si="7"/>
        <v/>
      </c>
    </row>
    <row r="227" spans="1:13">
      <c r="A227">
        <f>ROW()</f>
        <v>227</v>
      </c>
      <c r="B227">
        <f>IFERROR(INDEX(tblDeviceConfig[Device Type],ROW()-1),"")</f>
        <v>0</v>
      </c>
      <c r="C227">
        <f>IFERROR(INDEX(tblDeviceConfig[Deployed],ROW()-1),"")</f>
        <v>0</v>
      </c>
      <c r="D227">
        <f>IFERROR(INDEX(tblDeviceConfig[Installed],ROW()-1),"")</f>
        <v>0</v>
      </c>
      <c r="E227">
        <f>IFERROR(INDEX(tblDeviceConfig[Cybernet Hostname],ROW()-1),"")</f>
        <v>0</v>
      </c>
      <c r="F227">
        <f>IFERROR(INDEX(tblDeviceConfig[Neuron Hostname],ROW()-1),"")</f>
        <v>0</v>
      </c>
      <c r="G227">
        <f>IFERROR(INDEX(tblDeviceConfig[Software List],ROW()-1),"")</f>
        <v>0</v>
      </c>
      <c r="H227">
        <f>IFERROR(INDEX(tblDeviceConfig[PI_Use_Case],ROW()-1),"")</f>
        <v>0</v>
      </c>
      <c r="I227">
        <f>IFERROR(INDEX(tblDeviceConfig[PI_Result],ROW()-1),"")</f>
        <v>0</v>
      </c>
      <c r="J227">
        <f>IFERROR(INDEX(tblDeviceConfig[PI_Validated_By],ROW()-1),"")</f>
        <v>0</v>
      </c>
      <c r="K227">
        <f>IFERROR(INDEX(tblDeviceConfig[PI_Validated_Date],ROW()-1),"")</f>
        <v>0</v>
      </c>
      <c r="L227">
        <f t="shared" si="6"/>
        <v>0</v>
      </c>
      <c r="M227" t="str">
        <f t="shared" si="7"/>
        <v/>
      </c>
    </row>
    <row r="228" spans="1:13">
      <c r="A228">
        <f>ROW()</f>
        <v>228</v>
      </c>
      <c r="B228">
        <f>IFERROR(INDEX(tblDeviceConfig[Device Type],ROW()-1),"")</f>
        <v>0</v>
      </c>
      <c r="C228">
        <f>IFERROR(INDEX(tblDeviceConfig[Deployed],ROW()-1),"")</f>
        <v>0</v>
      </c>
      <c r="D228">
        <f>IFERROR(INDEX(tblDeviceConfig[Installed],ROW()-1),"")</f>
        <v>0</v>
      </c>
      <c r="E228">
        <f>IFERROR(INDEX(tblDeviceConfig[Cybernet Hostname],ROW()-1),"")</f>
        <v>0</v>
      </c>
      <c r="F228">
        <f>IFERROR(INDEX(tblDeviceConfig[Neuron Hostname],ROW()-1),"")</f>
        <v>0</v>
      </c>
      <c r="G228">
        <f>IFERROR(INDEX(tblDeviceConfig[Software List],ROW()-1),"")</f>
        <v>0</v>
      </c>
      <c r="H228">
        <f>IFERROR(INDEX(tblDeviceConfig[PI_Use_Case],ROW()-1),"")</f>
        <v>0</v>
      </c>
      <c r="I228">
        <f>IFERROR(INDEX(tblDeviceConfig[PI_Result],ROW()-1),"")</f>
        <v>0</v>
      </c>
      <c r="J228">
        <f>IFERROR(INDEX(tblDeviceConfig[PI_Validated_By],ROW()-1),"")</f>
        <v>0</v>
      </c>
      <c r="K228">
        <f>IFERROR(INDEX(tblDeviceConfig[PI_Validated_Date],ROW()-1),"")</f>
        <v>0</v>
      </c>
      <c r="L228">
        <f t="shared" si="6"/>
        <v>0</v>
      </c>
      <c r="M228" t="str">
        <f t="shared" si="7"/>
        <v/>
      </c>
    </row>
    <row r="229" spans="1:13">
      <c r="A229">
        <f>ROW()</f>
        <v>229</v>
      </c>
      <c r="B229">
        <f>IFERROR(INDEX(tblDeviceConfig[Device Type],ROW()-1),"")</f>
        <v>0</v>
      </c>
      <c r="C229">
        <f>IFERROR(INDEX(tblDeviceConfig[Deployed],ROW()-1),"")</f>
        <v>0</v>
      </c>
      <c r="D229">
        <f>IFERROR(INDEX(tblDeviceConfig[Installed],ROW()-1),"")</f>
        <v>0</v>
      </c>
      <c r="E229">
        <f>IFERROR(INDEX(tblDeviceConfig[Cybernet Hostname],ROW()-1),"")</f>
        <v>0</v>
      </c>
      <c r="F229">
        <f>IFERROR(INDEX(tblDeviceConfig[Neuron Hostname],ROW()-1),"")</f>
        <v>0</v>
      </c>
      <c r="G229">
        <f>IFERROR(INDEX(tblDeviceConfig[Software List],ROW()-1),"")</f>
        <v>0</v>
      </c>
      <c r="H229">
        <f>IFERROR(INDEX(tblDeviceConfig[PI_Use_Case],ROW()-1),"")</f>
        <v>0</v>
      </c>
      <c r="I229">
        <f>IFERROR(INDEX(tblDeviceConfig[PI_Result],ROW()-1),"")</f>
        <v>0</v>
      </c>
      <c r="J229">
        <f>IFERROR(INDEX(tblDeviceConfig[PI_Validated_By],ROW()-1),"")</f>
        <v>0</v>
      </c>
      <c r="K229">
        <f>IFERROR(INDEX(tblDeviceConfig[PI_Validated_Date],ROW()-1),"")</f>
        <v>0</v>
      </c>
      <c r="L229">
        <f t="shared" si="6"/>
        <v>0</v>
      </c>
      <c r="M229" t="str">
        <f t="shared" si="7"/>
        <v/>
      </c>
    </row>
    <row r="230" spans="1:13">
      <c r="A230">
        <f>ROW()</f>
        <v>230</v>
      </c>
      <c r="B230">
        <f>IFERROR(INDEX(tblDeviceConfig[Device Type],ROW()-1),"")</f>
        <v>0</v>
      </c>
      <c r="C230">
        <f>IFERROR(INDEX(tblDeviceConfig[Deployed],ROW()-1),"")</f>
        <v>0</v>
      </c>
      <c r="D230">
        <f>IFERROR(INDEX(tblDeviceConfig[Installed],ROW()-1),"")</f>
        <v>0</v>
      </c>
      <c r="E230">
        <f>IFERROR(INDEX(tblDeviceConfig[Cybernet Hostname],ROW()-1),"")</f>
        <v>0</v>
      </c>
      <c r="F230">
        <f>IFERROR(INDEX(tblDeviceConfig[Neuron Hostname],ROW()-1),"")</f>
        <v>0</v>
      </c>
      <c r="G230">
        <f>IFERROR(INDEX(tblDeviceConfig[Software List],ROW()-1),"")</f>
        <v>0</v>
      </c>
      <c r="H230">
        <f>IFERROR(INDEX(tblDeviceConfig[PI_Use_Case],ROW()-1),"")</f>
        <v>0</v>
      </c>
      <c r="I230">
        <f>IFERROR(INDEX(tblDeviceConfig[PI_Result],ROW()-1),"")</f>
        <v>0</v>
      </c>
      <c r="J230">
        <f>IFERROR(INDEX(tblDeviceConfig[PI_Validated_By],ROW()-1),"")</f>
        <v>0</v>
      </c>
      <c r="K230">
        <f>IFERROR(INDEX(tblDeviceConfig[PI_Validated_Date],ROW()-1),"")</f>
        <v>0</v>
      </c>
      <c r="L230">
        <f t="shared" si="6"/>
        <v>0</v>
      </c>
      <c r="M230" t="str">
        <f t="shared" si="7"/>
        <v/>
      </c>
    </row>
    <row r="231" spans="1:13">
      <c r="A231">
        <f>ROW()</f>
        <v>231</v>
      </c>
      <c r="B231">
        <f>IFERROR(INDEX(tblDeviceConfig[Device Type],ROW()-1),"")</f>
        <v>0</v>
      </c>
      <c r="C231">
        <f>IFERROR(INDEX(tblDeviceConfig[Deployed],ROW()-1),"")</f>
        <v>0</v>
      </c>
      <c r="D231">
        <f>IFERROR(INDEX(tblDeviceConfig[Installed],ROW()-1),"")</f>
        <v>0</v>
      </c>
      <c r="E231">
        <f>IFERROR(INDEX(tblDeviceConfig[Cybernet Hostname],ROW()-1),"")</f>
        <v>0</v>
      </c>
      <c r="F231">
        <f>IFERROR(INDEX(tblDeviceConfig[Neuron Hostname],ROW()-1),"")</f>
        <v>0</v>
      </c>
      <c r="G231">
        <f>IFERROR(INDEX(tblDeviceConfig[Software List],ROW()-1),"")</f>
        <v>0</v>
      </c>
      <c r="H231">
        <f>IFERROR(INDEX(tblDeviceConfig[PI_Use_Case],ROW()-1),"")</f>
        <v>0</v>
      </c>
      <c r="I231">
        <f>IFERROR(INDEX(tblDeviceConfig[PI_Result],ROW()-1),"")</f>
        <v>0</v>
      </c>
      <c r="J231">
        <f>IFERROR(INDEX(tblDeviceConfig[PI_Validated_By],ROW()-1),"")</f>
        <v>0</v>
      </c>
      <c r="K231">
        <f>IFERROR(INDEX(tblDeviceConfig[PI_Validated_Date],ROW()-1),"")</f>
        <v>0</v>
      </c>
      <c r="L231">
        <f t="shared" si="6"/>
        <v>0</v>
      </c>
      <c r="M231" t="str">
        <f t="shared" si="7"/>
        <v/>
      </c>
    </row>
    <row r="232" spans="1:13">
      <c r="A232">
        <f>ROW()</f>
        <v>232</v>
      </c>
      <c r="B232">
        <f>IFERROR(INDEX(tblDeviceConfig[Device Type],ROW()-1),"")</f>
        <v>0</v>
      </c>
      <c r="C232">
        <f>IFERROR(INDEX(tblDeviceConfig[Deployed],ROW()-1),"")</f>
        <v>0</v>
      </c>
      <c r="D232">
        <f>IFERROR(INDEX(tblDeviceConfig[Installed],ROW()-1),"")</f>
        <v>0</v>
      </c>
      <c r="E232">
        <f>IFERROR(INDEX(tblDeviceConfig[Cybernet Hostname],ROW()-1),"")</f>
        <v>0</v>
      </c>
      <c r="F232">
        <f>IFERROR(INDEX(tblDeviceConfig[Neuron Hostname],ROW()-1),"")</f>
        <v>0</v>
      </c>
      <c r="G232">
        <f>IFERROR(INDEX(tblDeviceConfig[Software List],ROW()-1),"")</f>
        <v>0</v>
      </c>
      <c r="H232">
        <f>IFERROR(INDEX(tblDeviceConfig[PI_Use_Case],ROW()-1),"")</f>
        <v>0</v>
      </c>
      <c r="I232">
        <f>IFERROR(INDEX(tblDeviceConfig[PI_Result],ROW()-1),"")</f>
        <v>0</v>
      </c>
      <c r="J232">
        <f>IFERROR(INDEX(tblDeviceConfig[PI_Validated_By],ROW()-1),"")</f>
        <v>0</v>
      </c>
      <c r="K232">
        <f>IFERROR(INDEX(tblDeviceConfig[PI_Validated_Date],ROW()-1),"")</f>
        <v>0</v>
      </c>
      <c r="L232">
        <f t="shared" si="6"/>
        <v>0</v>
      </c>
      <c r="M232" t="str">
        <f t="shared" si="7"/>
        <v/>
      </c>
    </row>
    <row r="233" spans="1:13">
      <c r="A233">
        <f>ROW()</f>
        <v>233</v>
      </c>
      <c r="B233">
        <f>IFERROR(INDEX(tblDeviceConfig[Device Type],ROW()-1),"")</f>
        <v>0</v>
      </c>
      <c r="C233">
        <f>IFERROR(INDEX(tblDeviceConfig[Deployed],ROW()-1),"")</f>
        <v>0</v>
      </c>
      <c r="D233">
        <f>IFERROR(INDEX(tblDeviceConfig[Installed],ROW()-1),"")</f>
        <v>0</v>
      </c>
      <c r="E233">
        <f>IFERROR(INDEX(tblDeviceConfig[Cybernet Hostname],ROW()-1),"")</f>
        <v>0</v>
      </c>
      <c r="F233">
        <f>IFERROR(INDEX(tblDeviceConfig[Neuron Hostname],ROW()-1),"")</f>
        <v>0</v>
      </c>
      <c r="G233">
        <f>IFERROR(INDEX(tblDeviceConfig[Software List],ROW()-1),"")</f>
        <v>0</v>
      </c>
      <c r="H233">
        <f>IFERROR(INDEX(tblDeviceConfig[PI_Use_Case],ROW()-1),"")</f>
        <v>0</v>
      </c>
      <c r="I233">
        <f>IFERROR(INDEX(tblDeviceConfig[PI_Result],ROW()-1),"")</f>
        <v>0</v>
      </c>
      <c r="J233">
        <f>IFERROR(INDEX(tblDeviceConfig[PI_Validated_By],ROW()-1),"")</f>
        <v>0</v>
      </c>
      <c r="K233">
        <f>IFERROR(INDEX(tblDeviceConfig[PI_Validated_Date],ROW()-1),"")</f>
        <v>0</v>
      </c>
      <c r="L233">
        <f t="shared" si="6"/>
        <v>0</v>
      </c>
      <c r="M233" t="str">
        <f t="shared" si="7"/>
        <v/>
      </c>
    </row>
    <row r="234" spans="1:13">
      <c r="A234">
        <f>ROW()</f>
        <v>234</v>
      </c>
      <c r="B234">
        <f>IFERROR(INDEX(tblDeviceConfig[Device Type],ROW()-1),"")</f>
        <v>0</v>
      </c>
      <c r="C234">
        <f>IFERROR(INDEX(tblDeviceConfig[Deployed],ROW()-1),"")</f>
        <v>0</v>
      </c>
      <c r="D234">
        <f>IFERROR(INDEX(tblDeviceConfig[Installed],ROW()-1),"")</f>
        <v>0</v>
      </c>
      <c r="E234">
        <f>IFERROR(INDEX(tblDeviceConfig[Cybernet Hostname],ROW()-1),"")</f>
        <v>0</v>
      </c>
      <c r="F234">
        <f>IFERROR(INDEX(tblDeviceConfig[Neuron Hostname],ROW()-1),"")</f>
        <v>0</v>
      </c>
      <c r="G234">
        <f>IFERROR(INDEX(tblDeviceConfig[Software List],ROW()-1),"")</f>
        <v>0</v>
      </c>
      <c r="H234">
        <f>IFERROR(INDEX(tblDeviceConfig[PI_Use_Case],ROW()-1),"")</f>
        <v>0</v>
      </c>
      <c r="I234">
        <f>IFERROR(INDEX(tblDeviceConfig[PI_Result],ROW()-1),"")</f>
        <v>0</v>
      </c>
      <c r="J234">
        <f>IFERROR(INDEX(tblDeviceConfig[PI_Validated_By],ROW()-1),"")</f>
        <v>0</v>
      </c>
      <c r="K234">
        <f>IFERROR(INDEX(tblDeviceConfig[PI_Validated_Date],ROW()-1),"")</f>
        <v>0</v>
      </c>
      <c r="L234">
        <f t="shared" si="6"/>
        <v>0</v>
      </c>
      <c r="M234" t="str">
        <f t="shared" si="7"/>
        <v/>
      </c>
    </row>
    <row r="235" spans="1:13">
      <c r="A235">
        <f>ROW()</f>
        <v>235</v>
      </c>
      <c r="B235">
        <f>IFERROR(INDEX(tblDeviceConfig[Device Type],ROW()-1),"")</f>
        <v>0</v>
      </c>
      <c r="C235">
        <f>IFERROR(INDEX(tblDeviceConfig[Deployed],ROW()-1),"")</f>
        <v>0</v>
      </c>
      <c r="D235">
        <f>IFERROR(INDEX(tblDeviceConfig[Installed],ROW()-1),"")</f>
        <v>0</v>
      </c>
      <c r="E235">
        <f>IFERROR(INDEX(tblDeviceConfig[Cybernet Hostname],ROW()-1),"")</f>
        <v>0</v>
      </c>
      <c r="F235">
        <f>IFERROR(INDEX(tblDeviceConfig[Neuron Hostname],ROW()-1),"")</f>
        <v>0</v>
      </c>
      <c r="G235">
        <f>IFERROR(INDEX(tblDeviceConfig[Software List],ROW()-1),"")</f>
        <v>0</v>
      </c>
      <c r="H235">
        <f>IFERROR(INDEX(tblDeviceConfig[PI_Use_Case],ROW()-1),"")</f>
        <v>0</v>
      </c>
      <c r="I235">
        <f>IFERROR(INDEX(tblDeviceConfig[PI_Result],ROW()-1),"")</f>
        <v>0</v>
      </c>
      <c r="J235">
        <f>IFERROR(INDEX(tblDeviceConfig[PI_Validated_By],ROW()-1),"")</f>
        <v>0</v>
      </c>
      <c r="K235">
        <f>IFERROR(INDEX(tblDeviceConfig[PI_Validated_Date],ROW()-1),"")</f>
        <v>0</v>
      </c>
      <c r="L235">
        <f t="shared" si="6"/>
        <v>0</v>
      </c>
      <c r="M235" t="str">
        <f t="shared" si="7"/>
        <v/>
      </c>
    </row>
    <row r="236" spans="1:13">
      <c r="A236">
        <f>ROW()</f>
        <v>236</v>
      </c>
      <c r="B236">
        <f>IFERROR(INDEX(tblDeviceConfig[Device Type],ROW()-1),"")</f>
        <v>0</v>
      </c>
      <c r="C236">
        <f>IFERROR(INDEX(tblDeviceConfig[Deployed],ROW()-1),"")</f>
        <v>0</v>
      </c>
      <c r="D236">
        <f>IFERROR(INDEX(tblDeviceConfig[Installed],ROW()-1),"")</f>
        <v>0</v>
      </c>
      <c r="E236">
        <f>IFERROR(INDEX(tblDeviceConfig[Cybernet Hostname],ROW()-1),"")</f>
        <v>0</v>
      </c>
      <c r="F236">
        <f>IFERROR(INDEX(tblDeviceConfig[Neuron Hostname],ROW()-1),"")</f>
        <v>0</v>
      </c>
      <c r="G236">
        <f>IFERROR(INDEX(tblDeviceConfig[Software List],ROW()-1),"")</f>
        <v>0</v>
      </c>
      <c r="H236">
        <f>IFERROR(INDEX(tblDeviceConfig[PI_Use_Case],ROW()-1),"")</f>
        <v>0</v>
      </c>
      <c r="I236">
        <f>IFERROR(INDEX(tblDeviceConfig[PI_Result],ROW()-1),"")</f>
        <v>0</v>
      </c>
      <c r="J236">
        <f>IFERROR(INDEX(tblDeviceConfig[PI_Validated_By],ROW()-1),"")</f>
        <v>0</v>
      </c>
      <c r="K236">
        <f>IFERROR(INDEX(tblDeviceConfig[PI_Validated_Date],ROW()-1),"")</f>
        <v>0</v>
      </c>
      <c r="L236">
        <f t="shared" si="6"/>
        <v>0</v>
      </c>
      <c r="M236" t="str">
        <f t="shared" si="7"/>
        <v/>
      </c>
    </row>
    <row r="237" spans="1:13">
      <c r="A237">
        <f>ROW()</f>
        <v>237</v>
      </c>
      <c r="B237">
        <f>IFERROR(INDEX(tblDeviceConfig[Device Type],ROW()-1),"")</f>
        <v>0</v>
      </c>
      <c r="C237">
        <f>IFERROR(INDEX(tblDeviceConfig[Deployed],ROW()-1),"")</f>
        <v>0</v>
      </c>
      <c r="D237">
        <f>IFERROR(INDEX(tblDeviceConfig[Installed],ROW()-1),"")</f>
        <v>0</v>
      </c>
      <c r="E237">
        <f>IFERROR(INDEX(tblDeviceConfig[Cybernet Hostname],ROW()-1),"")</f>
        <v>0</v>
      </c>
      <c r="F237">
        <f>IFERROR(INDEX(tblDeviceConfig[Neuron Hostname],ROW()-1),"")</f>
        <v>0</v>
      </c>
      <c r="G237">
        <f>IFERROR(INDEX(tblDeviceConfig[Software List],ROW()-1),"")</f>
        <v>0</v>
      </c>
      <c r="H237">
        <f>IFERROR(INDEX(tblDeviceConfig[PI_Use_Case],ROW()-1),"")</f>
        <v>0</v>
      </c>
      <c r="I237">
        <f>IFERROR(INDEX(tblDeviceConfig[PI_Result],ROW()-1),"")</f>
        <v>0</v>
      </c>
      <c r="J237">
        <f>IFERROR(INDEX(tblDeviceConfig[PI_Validated_By],ROW()-1),"")</f>
        <v>0</v>
      </c>
      <c r="K237">
        <f>IFERROR(INDEX(tblDeviceConfig[PI_Validated_Date],ROW()-1),"")</f>
        <v>0</v>
      </c>
      <c r="L237">
        <f t="shared" si="6"/>
        <v>0</v>
      </c>
      <c r="M237" t="str">
        <f t="shared" si="7"/>
        <v/>
      </c>
    </row>
    <row r="238" spans="1:13">
      <c r="A238">
        <f>ROW()</f>
        <v>238</v>
      </c>
      <c r="B238">
        <f>IFERROR(INDEX(tblDeviceConfig[Device Type],ROW()-1),"")</f>
        <v>0</v>
      </c>
      <c r="C238">
        <f>IFERROR(INDEX(tblDeviceConfig[Deployed],ROW()-1),"")</f>
        <v>0</v>
      </c>
      <c r="D238">
        <f>IFERROR(INDEX(tblDeviceConfig[Installed],ROW()-1),"")</f>
        <v>0</v>
      </c>
      <c r="E238">
        <f>IFERROR(INDEX(tblDeviceConfig[Cybernet Hostname],ROW()-1),"")</f>
        <v>0</v>
      </c>
      <c r="F238">
        <f>IFERROR(INDEX(tblDeviceConfig[Neuron Hostname],ROW()-1),"")</f>
        <v>0</v>
      </c>
      <c r="G238">
        <f>IFERROR(INDEX(tblDeviceConfig[Software List],ROW()-1),"")</f>
        <v>0</v>
      </c>
      <c r="H238">
        <f>IFERROR(INDEX(tblDeviceConfig[PI_Use_Case],ROW()-1),"")</f>
        <v>0</v>
      </c>
      <c r="I238">
        <f>IFERROR(INDEX(tblDeviceConfig[PI_Result],ROW()-1),"")</f>
        <v>0</v>
      </c>
      <c r="J238">
        <f>IFERROR(INDEX(tblDeviceConfig[PI_Validated_By],ROW()-1),"")</f>
        <v>0</v>
      </c>
      <c r="K238">
        <f>IFERROR(INDEX(tblDeviceConfig[PI_Validated_Date],ROW()-1),"")</f>
        <v>0</v>
      </c>
      <c r="L238">
        <f t="shared" si="6"/>
        <v>0</v>
      </c>
      <c r="M238" t="str">
        <f t="shared" si="7"/>
        <v/>
      </c>
    </row>
    <row r="239" spans="1:13">
      <c r="A239">
        <f>ROW()</f>
        <v>239</v>
      </c>
      <c r="B239">
        <f>IFERROR(INDEX(tblDeviceConfig[Device Type],ROW()-1),"")</f>
        <v>0</v>
      </c>
      <c r="C239">
        <f>IFERROR(INDEX(tblDeviceConfig[Deployed],ROW()-1),"")</f>
        <v>0</v>
      </c>
      <c r="D239">
        <f>IFERROR(INDEX(tblDeviceConfig[Installed],ROW()-1),"")</f>
        <v>0</v>
      </c>
      <c r="E239">
        <f>IFERROR(INDEX(tblDeviceConfig[Cybernet Hostname],ROW()-1),"")</f>
        <v>0</v>
      </c>
      <c r="F239">
        <f>IFERROR(INDEX(tblDeviceConfig[Neuron Hostname],ROW()-1),"")</f>
        <v>0</v>
      </c>
      <c r="G239">
        <f>IFERROR(INDEX(tblDeviceConfig[Software List],ROW()-1),"")</f>
        <v>0</v>
      </c>
      <c r="H239">
        <f>IFERROR(INDEX(tblDeviceConfig[PI_Use_Case],ROW()-1),"")</f>
        <v>0</v>
      </c>
      <c r="I239">
        <f>IFERROR(INDEX(tblDeviceConfig[PI_Result],ROW()-1),"")</f>
        <v>0</v>
      </c>
      <c r="J239">
        <f>IFERROR(INDEX(tblDeviceConfig[PI_Validated_By],ROW()-1),"")</f>
        <v>0</v>
      </c>
      <c r="K239">
        <f>IFERROR(INDEX(tblDeviceConfig[PI_Validated_Date],ROW()-1),"")</f>
        <v>0</v>
      </c>
      <c r="L239">
        <f t="shared" si="6"/>
        <v>0</v>
      </c>
      <c r="M239" t="str">
        <f t="shared" si="7"/>
        <v/>
      </c>
    </row>
    <row r="240" spans="1:13">
      <c r="A240">
        <f>ROW()</f>
        <v>240</v>
      </c>
      <c r="B240">
        <f>IFERROR(INDEX(tblDeviceConfig[Device Type],ROW()-1),"")</f>
        <v>0</v>
      </c>
      <c r="C240">
        <f>IFERROR(INDEX(tblDeviceConfig[Deployed],ROW()-1),"")</f>
        <v>0</v>
      </c>
      <c r="D240">
        <f>IFERROR(INDEX(tblDeviceConfig[Installed],ROW()-1),"")</f>
        <v>0</v>
      </c>
      <c r="E240">
        <f>IFERROR(INDEX(tblDeviceConfig[Cybernet Hostname],ROW()-1),"")</f>
        <v>0</v>
      </c>
      <c r="F240">
        <f>IFERROR(INDEX(tblDeviceConfig[Neuron Hostname],ROW()-1),"")</f>
        <v>0</v>
      </c>
      <c r="G240">
        <f>IFERROR(INDEX(tblDeviceConfig[Software List],ROW()-1),"")</f>
        <v>0</v>
      </c>
      <c r="H240">
        <f>IFERROR(INDEX(tblDeviceConfig[PI_Use_Case],ROW()-1),"")</f>
        <v>0</v>
      </c>
      <c r="I240">
        <f>IFERROR(INDEX(tblDeviceConfig[PI_Result],ROW()-1),"")</f>
        <v>0</v>
      </c>
      <c r="J240">
        <f>IFERROR(INDEX(tblDeviceConfig[PI_Validated_By],ROW()-1),"")</f>
        <v>0</v>
      </c>
      <c r="K240">
        <f>IFERROR(INDEX(tblDeviceConfig[PI_Validated_Date],ROW()-1),"")</f>
        <v>0</v>
      </c>
      <c r="L240">
        <f t="shared" si="6"/>
        <v>0</v>
      </c>
      <c r="M240" t="str">
        <f t="shared" si="7"/>
        <v/>
      </c>
    </row>
    <row r="241" spans="1:13">
      <c r="A241">
        <f>ROW()</f>
        <v>241</v>
      </c>
      <c r="B241">
        <f>IFERROR(INDEX(tblDeviceConfig[Device Type],ROW()-1),"")</f>
        <v>0</v>
      </c>
      <c r="C241">
        <f>IFERROR(INDEX(tblDeviceConfig[Deployed],ROW()-1),"")</f>
        <v>0</v>
      </c>
      <c r="D241">
        <f>IFERROR(INDEX(tblDeviceConfig[Installed],ROW()-1),"")</f>
        <v>0</v>
      </c>
      <c r="E241">
        <f>IFERROR(INDEX(tblDeviceConfig[Cybernet Hostname],ROW()-1),"")</f>
        <v>0</v>
      </c>
      <c r="F241">
        <f>IFERROR(INDEX(tblDeviceConfig[Neuron Hostname],ROW()-1),"")</f>
        <v>0</v>
      </c>
      <c r="G241">
        <f>IFERROR(INDEX(tblDeviceConfig[Software List],ROW()-1),"")</f>
        <v>0</v>
      </c>
      <c r="H241">
        <f>IFERROR(INDEX(tblDeviceConfig[PI_Use_Case],ROW()-1),"")</f>
        <v>0</v>
      </c>
      <c r="I241">
        <f>IFERROR(INDEX(tblDeviceConfig[PI_Result],ROW()-1),"")</f>
        <v>0</v>
      </c>
      <c r="J241">
        <f>IFERROR(INDEX(tblDeviceConfig[PI_Validated_By],ROW()-1),"")</f>
        <v>0</v>
      </c>
      <c r="K241">
        <f>IFERROR(INDEX(tblDeviceConfig[PI_Validated_Date],ROW()-1),"")</f>
        <v>0</v>
      </c>
      <c r="L241">
        <f t="shared" si="6"/>
        <v>0</v>
      </c>
      <c r="M241" t="str">
        <f t="shared" si="7"/>
        <v/>
      </c>
    </row>
    <row r="242" spans="1:13">
      <c r="A242">
        <f>ROW()</f>
        <v>242</v>
      </c>
      <c r="B242">
        <f>IFERROR(INDEX(tblDeviceConfig[Device Type],ROW()-1),"")</f>
        <v>0</v>
      </c>
      <c r="C242">
        <f>IFERROR(INDEX(tblDeviceConfig[Deployed],ROW()-1),"")</f>
        <v>0</v>
      </c>
      <c r="D242">
        <f>IFERROR(INDEX(tblDeviceConfig[Installed],ROW()-1),"")</f>
        <v>0</v>
      </c>
      <c r="E242">
        <f>IFERROR(INDEX(tblDeviceConfig[Cybernet Hostname],ROW()-1),"")</f>
        <v>0</v>
      </c>
      <c r="F242">
        <f>IFERROR(INDEX(tblDeviceConfig[Neuron Hostname],ROW()-1),"")</f>
        <v>0</v>
      </c>
      <c r="G242">
        <f>IFERROR(INDEX(tblDeviceConfig[Software List],ROW()-1),"")</f>
        <v>0</v>
      </c>
      <c r="H242">
        <f>IFERROR(INDEX(tblDeviceConfig[PI_Use_Case],ROW()-1),"")</f>
        <v>0</v>
      </c>
      <c r="I242">
        <f>IFERROR(INDEX(tblDeviceConfig[PI_Result],ROW()-1),"")</f>
        <v>0</v>
      </c>
      <c r="J242">
        <f>IFERROR(INDEX(tblDeviceConfig[PI_Validated_By],ROW()-1),"")</f>
        <v>0</v>
      </c>
      <c r="K242">
        <f>IFERROR(INDEX(tblDeviceConfig[PI_Validated_Date],ROW()-1),"")</f>
        <v>0</v>
      </c>
      <c r="L242">
        <f t="shared" si="6"/>
        <v>0</v>
      </c>
      <c r="M242" t="str">
        <f t="shared" si="7"/>
        <v/>
      </c>
    </row>
    <row r="243" spans="1:13">
      <c r="A243">
        <f>ROW()</f>
        <v>243</v>
      </c>
      <c r="B243">
        <f>IFERROR(INDEX(tblDeviceConfig[Device Type],ROW()-1),"")</f>
        <v>0</v>
      </c>
      <c r="C243">
        <f>IFERROR(INDEX(tblDeviceConfig[Deployed],ROW()-1),"")</f>
        <v>0</v>
      </c>
      <c r="D243">
        <f>IFERROR(INDEX(tblDeviceConfig[Installed],ROW()-1),"")</f>
        <v>0</v>
      </c>
      <c r="E243">
        <f>IFERROR(INDEX(tblDeviceConfig[Cybernet Hostname],ROW()-1),"")</f>
        <v>0</v>
      </c>
      <c r="F243">
        <f>IFERROR(INDEX(tblDeviceConfig[Neuron Hostname],ROW()-1),"")</f>
        <v>0</v>
      </c>
      <c r="G243">
        <f>IFERROR(INDEX(tblDeviceConfig[Software List],ROW()-1),"")</f>
        <v>0</v>
      </c>
      <c r="H243">
        <f>IFERROR(INDEX(tblDeviceConfig[PI_Use_Case],ROW()-1),"")</f>
        <v>0</v>
      </c>
      <c r="I243">
        <f>IFERROR(INDEX(tblDeviceConfig[PI_Result],ROW()-1),"")</f>
        <v>0</v>
      </c>
      <c r="J243">
        <f>IFERROR(INDEX(tblDeviceConfig[PI_Validated_By],ROW()-1),"")</f>
        <v>0</v>
      </c>
      <c r="K243">
        <f>IFERROR(INDEX(tblDeviceConfig[PI_Validated_Date],ROW()-1),"")</f>
        <v>0</v>
      </c>
      <c r="L243">
        <f t="shared" si="6"/>
        <v>0</v>
      </c>
      <c r="M243" t="str">
        <f t="shared" si="7"/>
        <v/>
      </c>
    </row>
    <row r="244" spans="1:13">
      <c r="A244">
        <f>ROW()</f>
        <v>244</v>
      </c>
      <c r="B244">
        <f>IFERROR(INDEX(tblDeviceConfig[Device Type],ROW()-1),"")</f>
        <v>0</v>
      </c>
      <c r="C244">
        <f>IFERROR(INDEX(tblDeviceConfig[Deployed],ROW()-1),"")</f>
        <v>0</v>
      </c>
      <c r="D244">
        <f>IFERROR(INDEX(tblDeviceConfig[Installed],ROW()-1),"")</f>
        <v>0</v>
      </c>
      <c r="E244">
        <f>IFERROR(INDEX(tblDeviceConfig[Cybernet Hostname],ROW()-1),"")</f>
        <v>0</v>
      </c>
      <c r="F244">
        <f>IFERROR(INDEX(tblDeviceConfig[Neuron Hostname],ROW()-1),"")</f>
        <v>0</v>
      </c>
      <c r="G244">
        <f>IFERROR(INDEX(tblDeviceConfig[Software List],ROW()-1),"")</f>
        <v>0</v>
      </c>
      <c r="H244">
        <f>IFERROR(INDEX(tblDeviceConfig[PI_Use_Case],ROW()-1),"")</f>
        <v>0</v>
      </c>
      <c r="I244">
        <f>IFERROR(INDEX(tblDeviceConfig[PI_Result],ROW()-1),"")</f>
        <v>0</v>
      </c>
      <c r="J244">
        <f>IFERROR(INDEX(tblDeviceConfig[PI_Validated_By],ROW()-1),"")</f>
        <v>0</v>
      </c>
      <c r="K244">
        <f>IFERROR(INDEX(tblDeviceConfig[PI_Validated_Date],ROW()-1),"")</f>
        <v>0</v>
      </c>
      <c r="L244">
        <f t="shared" si="6"/>
        <v>0</v>
      </c>
      <c r="M244" t="str">
        <f t="shared" si="7"/>
        <v/>
      </c>
    </row>
    <row r="245" spans="1:13">
      <c r="A245">
        <f>ROW()</f>
        <v>245</v>
      </c>
      <c r="B245">
        <f>IFERROR(INDEX(tblDeviceConfig[Device Type],ROW()-1),"")</f>
        <v>0</v>
      </c>
      <c r="C245">
        <f>IFERROR(INDEX(tblDeviceConfig[Deployed],ROW()-1),"")</f>
        <v>0</v>
      </c>
      <c r="D245">
        <f>IFERROR(INDEX(tblDeviceConfig[Installed],ROW()-1),"")</f>
        <v>0</v>
      </c>
      <c r="E245">
        <f>IFERROR(INDEX(tblDeviceConfig[Cybernet Hostname],ROW()-1),"")</f>
        <v>0</v>
      </c>
      <c r="F245">
        <f>IFERROR(INDEX(tblDeviceConfig[Neuron Hostname],ROW()-1),"")</f>
        <v>0</v>
      </c>
      <c r="G245">
        <f>IFERROR(INDEX(tblDeviceConfig[Software List],ROW()-1),"")</f>
        <v>0</v>
      </c>
      <c r="H245">
        <f>IFERROR(INDEX(tblDeviceConfig[PI_Use_Case],ROW()-1),"")</f>
        <v>0</v>
      </c>
      <c r="I245">
        <f>IFERROR(INDEX(tblDeviceConfig[PI_Result],ROW()-1),"")</f>
        <v>0</v>
      </c>
      <c r="J245">
        <f>IFERROR(INDEX(tblDeviceConfig[PI_Validated_By],ROW()-1),"")</f>
        <v>0</v>
      </c>
      <c r="K245">
        <f>IFERROR(INDEX(tblDeviceConfig[PI_Validated_Date],ROW()-1),"")</f>
        <v>0</v>
      </c>
      <c r="L245">
        <f t="shared" si="6"/>
        <v>0</v>
      </c>
      <c r="M245" t="str">
        <f t="shared" si="7"/>
        <v/>
      </c>
    </row>
    <row r="246" spans="1:13">
      <c r="A246">
        <f>ROW()</f>
        <v>246</v>
      </c>
      <c r="B246">
        <f>IFERROR(INDEX(tblDeviceConfig[Device Type],ROW()-1),"")</f>
        <v>0</v>
      </c>
      <c r="C246">
        <f>IFERROR(INDEX(tblDeviceConfig[Deployed],ROW()-1),"")</f>
        <v>0</v>
      </c>
      <c r="D246">
        <f>IFERROR(INDEX(tblDeviceConfig[Installed],ROW()-1),"")</f>
        <v>0</v>
      </c>
      <c r="E246">
        <f>IFERROR(INDEX(tblDeviceConfig[Cybernet Hostname],ROW()-1),"")</f>
        <v>0</v>
      </c>
      <c r="F246">
        <f>IFERROR(INDEX(tblDeviceConfig[Neuron Hostname],ROW()-1),"")</f>
        <v>0</v>
      </c>
      <c r="G246">
        <f>IFERROR(INDEX(tblDeviceConfig[Software List],ROW()-1),"")</f>
        <v>0</v>
      </c>
      <c r="H246">
        <f>IFERROR(INDEX(tblDeviceConfig[PI_Use_Case],ROW()-1),"")</f>
        <v>0</v>
      </c>
      <c r="I246">
        <f>IFERROR(INDEX(tblDeviceConfig[PI_Result],ROW()-1),"")</f>
        <v>0</v>
      </c>
      <c r="J246">
        <f>IFERROR(INDEX(tblDeviceConfig[PI_Validated_By],ROW()-1),"")</f>
        <v>0</v>
      </c>
      <c r="K246">
        <f>IFERROR(INDEX(tblDeviceConfig[PI_Validated_Date],ROW()-1),"")</f>
        <v>0</v>
      </c>
      <c r="L246">
        <f t="shared" si="6"/>
        <v>0</v>
      </c>
      <c r="M246" t="str">
        <f t="shared" si="7"/>
        <v/>
      </c>
    </row>
    <row r="247" spans="1:13">
      <c r="A247">
        <f>ROW()</f>
        <v>247</v>
      </c>
      <c r="B247">
        <f>IFERROR(INDEX(tblDeviceConfig[Device Type],ROW()-1),"")</f>
        <v>0</v>
      </c>
      <c r="C247">
        <f>IFERROR(INDEX(tblDeviceConfig[Deployed],ROW()-1),"")</f>
        <v>0</v>
      </c>
      <c r="D247">
        <f>IFERROR(INDEX(tblDeviceConfig[Installed],ROW()-1),"")</f>
        <v>0</v>
      </c>
      <c r="E247">
        <f>IFERROR(INDEX(tblDeviceConfig[Cybernet Hostname],ROW()-1),"")</f>
        <v>0</v>
      </c>
      <c r="F247">
        <f>IFERROR(INDEX(tblDeviceConfig[Neuron Hostname],ROW()-1),"")</f>
        <v>0</v>
      </c>
      <c r="G247">
        <f>IFERROR(INDEX(tblDeviceConfig[Software List],ROW()-1),"")</f>
        <v>0</v>
      </c>
      <c r="H247">
        <f>IFERROR(INDEX(tblDeviceConfig[PI_Use_Case],ROW()-1),"")</f>
        <v>0</v>
      </c>
      <c r="I247">
        <f>IFERROR(INDEX(tblDeviceConfig[PI_Result],ROW()-1),"")</f>
        <v>0</v>
      </c>
      <c r="J247">
        <f>IFERROR(INDEX(tblDeviceConfig[PI_Validated_By],ROW()-1),"")</f>
        <v>0</v>
      </c>
      <c r="K247">
        <f>IFERROR(INDEX(tblDeviceConfig[PI_Validated_Date],ROW()-1),"")</f>
        <v>0</v>
      </c>
      <c r="L247">
        <f t="shared" si="6"/>
        <v>0</v>
      </c>
      <c r="M247" t="str">
        <f t="shared" si="7"/>
        <v/>
      </c>
    </row>
    <row r="248" spans="1:13">
      <c r="A248">
        <f>ROW()</f>
        <v>248</v>
      </c>
      <c r="B248">
        <f>IFERROR(INDEX(tblDeviceConfig[Device Type],ROW()-1),"")</f>
        <v>0</v>
      </c>
      <c r="C248">
        <f>IFERROR(INDEX(tblDeviceConfig[Deployed],ROW()-1),"")</f>
        <v>0</v>
      </c>
      <c r="D248">
        <f>IFERROR(INDEX(tblDeviceConfig[Installed],ROW()-1),"")</f>
        <v>0</v>
      </c>
      <c r="E248">
        <f>IFERROR(INDEX(tblDeviceConfig[Cybernet Hostname],ROW()-1),"")</f>
        <v>0</v>
      </c>
      <c r="F248">
        <f>IFERROR(INDEX(tblDeviceConfig[Neuron Hostname],ROW()-1),"")</f>
        <v>0</v>
      </c>
      <c r="G248">
        <f>IFERROR(INDEX(tblDeviceConfig[Software List],ROW()-1),"")</f>
        <v>0</v>
      </c>
      <c r="H248">
        <f>IFERROR(INDEX(tblDeviceConfig[PI_Use_Case],ROW()-1),"")</f>
        <v>0</v>
      </c>
      <c r="I248">
        <f>IFERROR(INDEX(tblDeviceConfig[PI_Result],ROW()-1),"")</f>
        <v>0</v>
      </c>
      <c r="J248">
        <f>IFERROR(INDEX(tblDeviceConfig[PI_Validated_By],ROW()-1),"")</f>
        <v>0</v>
      </c>
      <c r="K248">
        <f>IFERROR(INDEX(tblDeviceConfig[PI_Validated_Date],ROW()-1),"")</f>
        <v>0</v>
      </c>
      <c r="L248">
        <f t="shared" si="6"/>
        <v>0</v>
      </c>
      <c r="M248" t="str">
        <f t="shared" si="7"/>
        <v/>
      </c>
    </row>
    <row r="249" spans="1:13">
      <c r="A249">
        <f>ROW()</f>
        <v>249</v>
      </c>
      <c r="B249">
        <f>IFERROR(INDEX(tblDeviceConfig[Device Type],ROW()-1),"")</f>
        <v>0</v>
      </c>
      <c r="C249">
        <f>IFERROR(INDEX(tblDeviceConfig[Deployed],ROW()-1),"")</f>
        <v>0</v>
      </c>
      <c r="D249">
        <f>IFERROR(INDEX(tblDeviceConfig[Installed],ROW()-1),"")</f>
        <v>0</v>
      </c>
      <c r="E249">
        <f>IFERROR(INDEX(tblDeviceConfig[Cybernet Hostname],ROW()-1),"")</f>
        <v>0</v>
      </c>
      <c r="F249">
        <f>IFERROR(INDEX(tblDeviceConfig[Neuron Hostname],ROW()-1),"")</f>
        <v>0</v>
      </c>
      <c r="G249">
        <f>IFERROR(INDEX(tblDeviceConfig[Software List],ROW()-1),"")</f>
        <v>0</v>
      </c>
      <c r="H249">
        <f>IFERROR(INDEX(tblDeviceConfig[PI_Use_Case],ROW()-1),"")</f>
        <v>0</v>
      </c>
      <c r="I249">
        <f>IFERROR(INDEX(tblDeviceConfig[PI_Result],ROW()-1),"")</f>
        <v>0</v>
      </c>
      <c r="J249">
        <f>IFERROR(INDEX(tblDeviceConfig[PI_Validated_By],ROW()-1),"")</f>
        <v>0</v>
      </c>
      <c r="K249">
        <f>IFERROR(INDEX(tblDeviceConfig[PI_Validated_Date],ROW()-1),"")</f>
        <v>0</v>
      </c>
      <c r="L249">
        <f t="shared" si="6"/>
        <v>0</v>
      </c>
      <c r="M249" t="str">
        <f t="shared" si="7"/>
        <v/>
      </c>
    </row>
    <row r="250" spans="1:13">
      <c r="A250">
        <f>ROW()</f>
        <v>250</v>
      </c>
      <c r="B250">
        <f>IFERROR(INDEX(tblDeviceConfig[Device Type],ROW()-1),"")</f>
        <v>0</v>
      </c>
      <c r="C250">
        <f>IFERROR(INDEX(tblDeviceConfig[Deployed],ROW()-1),"")</f>
        <v>0</v>
      </c>
      <c r="D250">
        <f>IFERROR(INDEX(tblDeviceConfig[Installed],ROW()-1),"")</f>
        <v>0</v>
      </c>
      <c r="E250">
        <f>IFERROR(INDEX(tblDeviceConfig[Cybernet Hostname],ROW()-1),"")</f>
        <v>0</v>
      </c>
      <c r="F250">
        <f>IFERROR(INDEX(tblDeviceConfig[Neuron Hostname],ROW()-1),"")</f>
        <v>0</v>
      </c>
      <c r="G250">
        <f>IFERROR(INDEX(tblDeviceConfig[Software List],ROW()-1),"")</f>
        <v>0</v>
      </c>
      <c r="H250">
        <f>IFERROR(INDEX(tblDeviceConfig[PI_Use_Case],ROW()-1),"")</f>
        <v>0</v>
      </c>
      <c r="I250">
        <f>IFERROR(INDEX(tblDeviceConfig[PI_Result],ROW()-1),"")</f>
        <v>0</v>
      </c>
      <c r="J250">
        <f>IFERROR(INDEX(tblDeviceConfig[PI_Validated_By],ROW()-1),"")</f>
        <v>0</v>
      </c>
      <c r="K250">
        <f>IFERROR(INDEX(tblDeviceConfig[PI_Validated_Date],ROW()-1),"")</f>
        <v>0</v>
      </c>
      <c r="L250">
        <f t="shared" si="6"/>
        <v>0</v>
      </c>
      <c r="M250" t="str">
        <f t="shared" si="7"/>
        <v/>
      </c>
    </row>
    <row r="251" spans="1:13">
      <c r="A251">
        <f>ROW()</f>
        <v>251</v>
      </c>
      <c r="B251">
        <f>IFERROR(INDEX(tblDeviceConfig[Device Type],ROW()-1),"")</f>
        <v>0</v>
      </c>
      <c r="C251">
        <f>IFERROR(INDEX(tblDeviceConfig[Deployed],ROW()-1),"")</f>
        <v>0</v>
      </c>
      <c r="D251">
        <f>IFERROR(INDEX(tblDeviceConfig[Installed],ROW()-1),"")</f>
        <v>0</v>
      </c>
      <c r="E251">
        <f>IFERROR(INDEX(tblDeviceConfig[Cybernet Hostname],ROW()-1),"")</f>
        <v>0</v>
      </c>
      <c r="F251">
        <f>IFERROR(INDEX(tblDeviceConfig[Neuron Hostname],ROW()-1),"")</f>
        <v>0</v>
      </c>
      <c r="G251">
        <f>IFERROR(INDEX(tblDeviceConfig[Software List],ROW()-1),"")</f>
        <v>0</v>
      </c>
      <c r="H251">
        <f>IFERROR(INDEX(tblDeviceConfig[PI_Use_Case],ROW()-1),"")</f>
        <v>0</v>
      </c>
      <c r="I251">
        <f>IFERROR(INDEX(tblDeviceConfig[PI_Result],ROW()-1),"")</f>
        <v>0</v>
      </c>
      <c r="J251">
        <f>IFERROR(INDEX(tblDeviceConfig[PI_Validated_By],ROW()-1),"")</f>
        <v>0</v>
      </c>
      <c r="K251">
        <f>IFERROR(INDEX(tblDeviceConfig[PI_Validated_Date],ROW()-1),"")</f>
        <v>0</v>
      </c>
      <c r="L251">
        <f t="shared" si="6"/>
        <v>0</v>
      </c>
      <c r="M251" t="str">
        <f t="shared" si="7"/>
        <v/>
      </c>
    </row>
    <row r="252" spans="1:13">
      <c r="A252">
        <f>ROW()</f>
        <v>252</v>
      </c>
      <c r="B252">
        <f>IFERROR(INDEX(tblDeviceConfig[Device Type],ROW()-1),"")</f>
        <v>0</v>
      </c>
      <c r="C252">
        <f>IFERROR(INDEX(tblDeviceConfig[Deployed],ROW()-1),"")</f>
        <v>0</v>
      </c>
      <c r="D252">
        <f>IFERROR(INDEX(tblDeviceConfig[Installed],ROW()-1),"")</f>
        <v>0</v>
      </c>
      <c r="E252">
        <f>IFERROR(INDEX(tblDeviceConfig[Cybernet Hostname],ROW()-1),"")</f>
        <v>0</v>
      </c>
      <c r="F252">
        <f>IFERROR(INDEX(tblDeviceConfig[Neuron Hostname],ROW()-1),"")</f>
        <v>0</v>
      </c>
      <c r="G252">
        <f>IFERROR(INDEX(tblDeviceConfig[Software List],ROW()-1),"")</f>
        <v>0</v>
      </c>
      <c r="H252">
        <f>IFERROR(INDEX(tblDeviceConfig[PI_Use_Case],ROW()-1),"")</f>
        <v>0</v>
      </c>
      <c r="I252">
        <f>IFERROR(INDEX(tblDeviceConfig[PI_Result],ROW()-1),"")</f>
        <v>0</v>
      </c>
      <c r="J252">
        <f>IFERROR(INDEX(tblDeviceConfig[PI_Validated_By],ROW()-1),"")</f>
        <v>0</v>
      </c>
      <c r="K252">
        <f>IFERROR(INDEX(tblDeviceConfig[PI_Validated_Date],ROW()-1),"")</f>
        <v>0</v>
      </c>
      <c r="L252">
        <f t="shared" si="6"/>
        <v>0</v>
      </c>
      <c r="M252" t="str">
        <f t="shared" si="7"/>
        <v/>
      </c>
    </row>
    <row r="253" spans="1:13">
      <c r="A253">
        <f>ROW()</f>
        <v>253</v>
      </c>
      <c r="B253">
        <f>IFERROR(INDEX(tblDeviceConfig[Device Type],ROW()-1),"")</f>
        <v>0</v>
      </c>
      <c r="C253">
        <f>IFERROR(INDEX(tblDeviceConfig[Deployed],ROW()-1),"")</f>
        <v>0</v>
      </c>
      <c r="D253">
        <f>IFERROR(INDEX(tblDeviceConfig[Installed],ROW()-1),"")</f>
        <v>0</v>
      </c>
      <c r="E253">
        <f>IFERROR(INDEX(tblDeviceConfig[Cybernet Hostname],ROW()-1),"")</f>
        <v>0</v>
      </c>
      <c r="F253">
        <f>IFERROR(INDEX(tblDeviceConfig[Neuron Hostname],ROW()-1),"")</f>
        <v>0</v>
      </c>
      <c r="G253">
        <f>IFERROR(INDEX(tblDeviceConfig[Software List],ROW()-1),"")</f>
        <v>0</v>
      </c>
      <c r="H253">
        <f>IFERROR(INDEX(tblDeviceConfig[PI_Use_Case],ROW()-1),"")</f>
        <v>0</v>
      </c>
      <c r="I253">
        <f>IFERROR(INDEX(tblDeviceConfig[PI_Result],ROW()-1),"")</f>
        <v>0</v>
      </c>
      <c r="J253">
        <f>IFERROR(INDEX(tblDeviceConfig[PI_Validated_By],ROW()-1),"")</f>
        <v>0</v>
      </c>
      <c r="K253">
        <f>IFERROR(INDEX(tblDeviceConfig[PI_Validated_Date],ROW()-1),"")</f>
        <v>0</v>
      </c>
      <c r="L253">
        <f t="shared" si="6"/>
        <v>0</v>
      </c>
      <c r="M253" t="str">
        <f t="shared" si="7"/>
        <v/>
      </c>
    </row>
    <row r="254" spans="1:13">
      <c r="A254">
        <f>ROW()</f>
        <v>254</v>
      </c>
      <c r="B254">
        <f>IFERROR(INDEX(tblDeviceConfig[Device Type],ROW()-1),"")</f>
        <v>0</v>
      </c>
      <c r="C254">
        <f>IFERROR(INDEX(tblDeviceConfig[Deployed],ROW()-1),"")</f>
        <v>0</v>
      </c>
      <c r="D254">
        <f>IFERROR(INDEX(tblDeviceConfig[Installed],ROW()-1),"")</f>
        <v>0</v>
      </c>
      <c r="E254">
        <f>IFERROR(INDEX(tblDeviceConfig[Cybernet Hostname],ROW()-1),"")</f>
        <v>0</v>
      </c>
      <c r="F254">
        <f>IFERROR(INDEX(tblDeviceConfig[Neuron Hostname],ROW()-1),"")</f>
        <v>0</v>
      </c>
      <c r="G254">
        <f>IFERROR(INDEX(tblDeviceConfig[Software List],ROW()-1),"")</f>
        <v>0</v>
      </c>
      <c r="H254">
        <f>IFERROR(INDEX(tblDeviceConfig[PI_Use_Case],ROW()-1),"")</f>
        <v>0</v>
      </c>
      <c r="I254">
        <f>IFERROR(INDEX(tblDeviceConfig[PI_Result],ROW()-1),"")</f>
        <v>0</v>
      </c>
      <c r="J254">
        <f>IFERROR(INDEX(tblDeviceConfig[PI_Validated_By],ROW()-1),"")</f>
        <v>0</v>
      </c>
      <c r="K254">
        <f>IFERROR(INDEX(tblDeviceConfig[PI_Validated_Date],ROW()-1),"")</f>
        <v>0</v>
      </c>
      <c r="L254">
        <f t="shared" si="6"/>
        <v>0</v>
      </c>
      <c r="M254" t="str">
        <f t="shared" si="7"/>
        <v/>
      </c>
    </row>
    <row r="255" spans="1:13">
      <c r="A255">
        <f>ROW()</f>
        <v>255</v>
      </c>
      <c r="B255">
        <f>IFERROR(INDEX(tblDeviceConfig[Device Type],ROW()-1),"")</f>
        <v>0</v>
      </c>
      <c r="C255">
        <f>IFERROR(INDEX(tblDeviceConfig[Deployed],ROW()-1),"")</f>
        <v>0</v>
      </c>
      <c r="D255">
        <f>IFERROR(INDEX(tblDeviceConfig[Installed],ROW()-1),"")</f>
        <v>0</v>
      </c>
      <c r="E255">
        <f>IFERROR(INDEX(tblDeviceConfig[Cybernet Hostname],ROW()-1),"")</f>
        <v>0</v>
      </c>
      <c r="F255">
        <f>IFERROR(INDEX(tblDeviceConfig[Neuron Hostname],ROW()-1),"")</f>
        <v>0</v>
      </c>
      <c r="G255">
        <f>IFERROR(INDEX(tblDeviceConfig[Software List],ROW()-1),"")</f>
        <v>0</v>
      </c>
      <c r="H255">
        <f>IFERROR(INDEX(tblDeviceConfig[PI_Use_Case],ROW()-1),"")</f>
        <v>0</v>
      </c>
      <c r="I255">
        <f>IFERROR(INDEX(tblDeviceConfig[PI_Result],ROW()-1),"")</f>
        <v>0</v>
      </c>
      <c r="J255">
        <f>IFERROR(INDEX(tblDeviceConfig[PI_Validated_By],ROW()-1),"")</f>
        <v>0</v>
      </c>
      <c r="K255">
        <f>IFERROR(INDEX(tblDeviceConfig[PI_Validated_Date],ROW()-1),"")</f>
        <v>0</v>
      </c>
      <c r="L255">
        <f t="shared" si="6"/>
        <v>0</v>
      </c>
      <c r="M255" t="str">
        <f t="shared" si="7"/>
        <v/>
      </c>
    </row>
    <row r="256" spans="1:13">
      <c r="A256">
        <f>ROW()</f>
        <v>256</v>
      </c>
      <c r="B256">
        <f>IFERROR(INDEX(tblDeviceConfig[Device Type],ROW()-1),"")</f>
        <v>0</v>
      </c>
      <c r="C256">
        <f>IFERROR(INDEX(tblDeviceConfig[Deployed],ROW()-1),"")</f>
        <v>0</v>
      </c>
      <c r="D256">
        <f>IFERROR(INDEX(tblDeviceConfig[Installed],ROW()-1),"")</f>
        <v>0</v>
      </c>
      <c r="E256">
        <f>IFERROR(INDEX(tblDeviceConfig[Cybernet Hostname],ROW()-1),"")</f>
        <v>0</v>
      </c>
      <c r="F256">
        <f>IFERROR(INDEX(tblDeviceConfig[Neuron Hostname],ROW()-1),"")</f>
        <v>0</v>
      </c>
      <c r="G256">
        <f>IFERROR(INDEX(tblDeviceConfig[Software List],ROW()-1),"")</f>
        <v>0</v>
      </c>
      <c r="H256">
        <f>IFERROR(INDEX(tblDeviceConfig[PI_Use_Case],ROW()-1),"")</f>
        <v>0</v>
      </c>
      <c r="I256">
        <f>IFERROR(INDEX(tblDeviceConfig[PI_Result],ROW()-1),"")</f>
        <v>0</v>
      </c>
      <c r="J256">
        <f>IFERROR(INDEX(tblDeviceConfig[PI_Validated_By],ROW()-1),"")</f>
        <v>0</v>
      </c>
      <c r="K256">
        <f>IFERROR(INDEX(tblDeviceConfig[PI_Validated_Date],ROW()-1),"")</f>
        <v>0</v>
      </c>
      <c r="L256">
        <f t="shared" si="6"/>
        <v>0</v>
      </c>
      <c r="M256" t="str">
        <f t="shared" si="7"/>
        <v/>
      </c>
    </row>
    <row r="257" spans="1:13">
      <c r="A257">
        <f>ROW()</f>
        <v>257</v>
      </c>
      <c r="B257">
        <f>IFERROR(INDEX(tblDeviceConfig[Device Type],ROW()-1),"")</f>
        <v>0</v>
      </c>
      <c r="C257">
        <f>IFERROR(INDEX(tblDeviceConfig[Deployed],ROW()-1),"")</f>
        <v>0</v>
      </c>
      <c r="D257">
        <f>IFERROR(INDEX(tblDeviceConfig[Installed],ROW()-1),"")</f>
        <v>0</v>
      </c>
      <c r="E257">
        <f>IFERROR(INDEX(tblDeviceConfig[Cybernet Hostname],ROW()-1),"")</f>
        <v>0</v>
      </c>
      <c r="F257">
        <f>IFERROR(INDEX(tblDeviceConfig[Neuron Hostname],ROW()-1),"")</f>
        <v>0</v>
      </c>
      <c r="G257">
        <f>IFERROR(INDEX(tblDeviceConfig[Software List],ROW()-1),"")</f>
        <v>0</v>
      </c>
      <c r="H257">
        <f>IFERROR(INDEX(tblDeviceConfig[PI_Use_Case],ROW()-1),"")</f>
        <v>0</v>
      </c>
      <c r="I257">
        <f>IFERROR(INDEX(tblDeviceConfig[PI_Result],ROW()-1),"")</f>
        <v>0</v>
      </c>
      <c r="J257">
        <f>IFERROR(INDEX(tblDeviceConfig[PI_Validated_By],ROW()-1),"")</f>
        <v>0</v>
      </c>
      <c r="K257">
        <f>IFERROR(INDEX(tblDeviceConfig[PI_Validated_Date],ROW()-1),"")</f>
        <v>0</v>
      </c>
      <c r="L257">
        <f t="shared" si="6"/>
        <v>0</v>
      </c>
      <c r="M257" t="str">
        <f t="shared" si="7"/>
        <v/>
      </c>
    </row>
    <row r="258" spans="1:13">
      <c r="A258">
        <f>ROW()</f>
        <v>258</v>
      </c>
      <c r="B258">
        <f>IFERROR(INDEX(tblDeviceConfig[Device Type],ROW()-1),"")</f>
        <v>0</v>
      </c>
      <c r="C258">
        <f>IFERROR(INDEX(tblDeviceConfig[Deployed],ROW()-1),"")</f>
        <v>0</v>
      </c>
      <c r="D258">
        <f>IFERROR(INDEX(tblDeviceConfig[Installed],ROW()-1),"")</f>
        <v>0</v>
      </c>
      <c r="E258">
        <f>IFERROR(INDEX(tblDeviceConfig[Cybernet Hostname],ROW()-1),"")</f>
        <v>0</v>
      </c>
      <c r="F258">
        <f>IFERROR(INDEX(tblDeviceConfig[Neuron Hostname],ROW()-1),"")</f>
        <v>0</v>
      </c>
      <c r="G258">
        <f>IFERROR(INDEX(tblDeviceConfig[Software List],ROW()-1),"")</f>
        <v>0</v>
      </c>
      <c r="H258">
        <f>IFERROR(INDEX(tblDeviceConfig[PI_Use_Case],ROW()-1),"")</f>
        <v>0</v>
      </c>
      <c r="I258">
        <f>IFERROR(INDEX(tblDeviceConfig[PI_Result],ROW()-1),"")</f>
        <v>0</v>
      </c>
      <c r="J258">
        <f>IFERROR(INDEX(tblDeviceConfig[PI_Validated_By],ROW()-1),"")</f>
        <v>0</v>
      </c>
      <c r="K258">
        <f>IFERROR(INDEX(tblDeviceConfig[PI_Validated_Date],ROW()-1),"")</f>
        <v>0</v>
      </c>
      <c r="L258">
        <f t="shared" ref="L258:L321" si="8">SUM(IF(AND(C258="Yes",B258="Cybernet",LEN(TRIM(E258))=0),1,0),IF(AND(C258="Yes",B258="Neuron",LEN(TRIM(F258))=0),1,0),IF(AND(C258="Yes",B258="Cybernet",LEN(TRIM(G258))=0),1,0),IF(AND(C258="Yes",B258="Cybernet",LEN(TRIM(H258))=0),1,0),IF(AND(C258="Yes",LEN(TRIM(I258))&gt;0,LEN(TRIM(J258))=0),1,0),IF(AND(C258="Yes",LEN(TRIM(J258))&gt;0,LEN(TRIM(K258))=0),1,0))</f>
        <v>0</v>
      </c>
      <c r="M258" t="str">
        <f t="shared" ref="M258:M321" si="9">(IF(AND(C258="Yes",B258="Cybernet",LEN(TRIM(E258))=0),"Missing Cybernet Hostname",""))&amp;IF(((IF(AND(C258="Yes",B258="Cybernet",LEN(TRIM(E258))=0),"Missing Cybernet Hostname","")))&lt;&gt;"",IF((IF(AND(C258="Yes",B258="Neuron",LEN(TRIM(F258))=0),"Missing Neuron Hostname",""))&lt;&gt;""," | ",""),"")&amp;(IF(AND(C258="Yes",B258="Neuron",LEN(TRIM(F258))=0),"Missing Neuron Hostname",""))&amp;IF(((IF(AND(C258="Yes",B258="Cybernet",LEN(TRIM(E258))=0),"Missing Cybernet Hostname",""))&amp;(IF(AND(C258="Yes",B258="Neuron",LEN(TRIM(F258))=0),"Missing Neuron Hostname","")))&lt;&gt;"",IF((IF(AND(C258="Yes",B258="Cybernet",LEN(TRIM(G258))=0),"Missing Software List",""))&lt;&gt;""," | ",""),"")&amp;(IF(AND(C258="Yes",B258="Cybernet",LEN(TRIM(G258))=0),"Missing Software List",""))&amp;IF(((IF(AND(C258="Yes",B258="Cybernet",LEN(TRIM(E258))=0),"Missing Cybernet Hostname",""))&amp;(IF(AND(C258="Yes",B258="Neuron",LEN(TRIM(F258))=0),"Missing Neuron Hostname",""))&amp;(IF(AND(C258="Yes",B258="Cybernet",LEN(TRIM(G258))=0),"Missing Software List","")))&lt;&gt;"",IF((IF(AND(C258="Yes",B258="Cybernet",LEN(TRIM(H258))=0),"Missing PI Use Case",""))&lt;&gt;""," | ",""),"")&amp;(IF(AND(C258="Yes",B258="Cybernet",LEN(TRIM(H258))=0),"Missing PI Use Case",""))&amp;IF(((IF(AND(C258="Yes",B258="Cybernet",LEN(TRIM(E258))=0),"Missing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Case","")))&lt;&gt;"",IF((IF(AND(C258="Yes",LEN(TRIM(I258))&gt;0,LEN(TRIM(J258))=0),"Missing PI Validated By",""))&lt;&gt;""," | ",""),"")&amp;(IF(AND(C258="Yes",LEN(TRIM(I258))&gt;0,LEN(TRIM(J258))=0),"Missing PI Validated By",""))&amp;IF(((IF(AND(C258="Yes",B258="Cybernet",LEN(TRIM(E258))=0),"Missing Cybernet Hostname",""))&amp;(IF(AND(C258="Yes",B258="Neuron",LEN(TRIM(F258))=0),"Missing Neuron Hostname",""))&amp;(IF(AND(C258="Yes",B258="Cybernet",LEN(TRIM(G258))=0),"Missing Software List",""))&amp;(IF(AND(C258="Yes",B258="Cybernet",LEN(TRIM(H258))=0),"Missing PI Use Case",""))&amp;(IF(AND(C258="Yes",LEN(TRIM(I258))&gt;0,LEN(TRIM(J258))=0),"Missing PI Validated By","")))&lt;&gt;"",IF((IF(AND(C258="Yes",LEN(TRIM(J258))&gt;0,LEN(TRIM(K258))=0),"Missing PI Validated Date",""))&lt;&gt;""," | ",""),"")&amp;(IF(AND(C258="Yes",LEN(TRIM(J258))&gt;0,LEN(TRIM(K258))=0),"Missing PI Validated Date",""))</f>
        <v/>
      </c>
    </row>
    <row r="259" spans="1:13">
      <c r="A259">
        <f>ROW()</f>
        <v>259</v>
      </c>
      <c r="B259">
        <f>IFERROR(INDEX(tblDeviceConfig[Device Type],ROW()-1),"")</f>
        <v>0</v>
      </c>
      <c r="C259">
        <f>IFERROR(INDEX(tblDeviceConfig[Deployed],ROW()-1),"")</f>
        <v>0</v>
      </c>
      <c r="D259">
        <f>IFERROR(INDEX(tblDeviceConfig[Installed],ROW()-1),"")</f>
        <v>0</v>
      </c>
      <c r="E259">
        <f>IFERROR(INDEX(tblDeviceConfig[Cybernet Hostname],ROW()-1),"")</f>
        <v>0</v>
      </c>
      <c r="F259">
        <f>IFERROR(INDEX(tblDeviceConfig[Neuron Hostname],ROW()-1),"")</f>
        <v>0</v>
      </c>
      <c r="G259">
        <f>IFERROR(INDEX(tblDeviceConfig[Software List],ROW()-1),"")</f>
        <v>0</v>
      </c>
      <c r="H259">
        <f>IFERROR(INDEX(tblDeviceConfig[PI_Use_Case],ROW()-1),"")</f>
        <v>0</v>
      </c>
      <c r="I259">
        <f>IFERROR(INDEX(tblDeviceConfig[PI_Result],ROW()-1),"")</f>
        <v>0</v>
      </c>
      <c r="J259">
        <f>IFERROR(INDEX(tblDeviceConfig[PI_Validated_By],ROW()-1),"")</f>
        <v>0</v>
      </c>
      <c r="K259">
        <f>IFERROR(INDEX(tblDeviceConfig[PI_Validated_Date],ROW()-1),"")</f>
        <v>0</v>
      </c>
      <c r="L259">
        <f t="shared" si="8"/>
        <v>0</v>
      </c>
      <c r="M259" t="str">
        <f t="shared" si="9"/>
        <v/>
      </c>
    </row>
    <row r="260" spans="1:13">
      <c r="A260">
        <f>ROW()</f>
        <v>260</v>
      </c>
      <c r="B260">
        <f>IFERROR(INDEX(tblDeviceConfig[Device Type],ROW()-1),"")</f>
        <v>0</v>
      </c>
      <c r="C260">
        <f>IFERROR(INDEX(tblDeviceConfig[Deployed],ROW()-1),"")</f>
        <v>0</v>
      </c>
      <c r="D260">
        <f>IFERROR(INDEX(tblDeviceConfig[Installed],ROW()-1),"")</f>
        <v>0</v>
      </c>
      <c r="E260">
        <f>IFERROR(INDEX(tblDeviceConfig[Cybernet Hostname],ROW()-1),"")</f>
        <v>0</v>
      </c>
      <c r="F260">
        <f>IFERROR(INDEX(tblDeviceConfig[Neuron Hostname],ROW()-1),"")</f>
        <v>0</v>
      </c>
      <c r="G260">
        <f>IFERROR(INDEX(tblDeviceConfig[Software List],ROW()-1),"")</f>
        <v>0</v>
      </c>
      <c r="H260">
        <f>IFERROR(INDEX(tblDeviceConfig[PI_Use_Case],ROW()-1),"")</f>
        <v>0</v>
      </c>
      <c r="I260">
        <f>IFERROR(INDEX(tblDeviceConfig[PI_Result],ROW()-1),"")</f>
        <v>0</v>
      </c>
      <c r="J260">
        <f>IFERROR(INDEX(tblDeviceConfig[PI_Validated_By],ROW()-1),"")</f>
        <v>0</v>
      </c>
      <c r="K260">
        <f>IFERROR(INDEX(tblDeviceConfig[PI_Validated_Date],ROW()-1),"")</f>
        <v>0</v>
      </c>
      <c r="L260">
        <f t="shared" si="8"/>
        <v>0</v>
      </c>
      <c r="M260" t="str">
        <f t="shared" si="9"/>
        <v/>
      </c>
    </row>
    <row r="261" spans="1:13">
      <c r="A261">
        <f>ROW()</f>
        <v>261</v>
      </c>
      <c r="B261">
        <f>IFERROR(INDEX(tblDeviceConfig[Device Type],ROW()-1),"")</f>
        <v>0</v>
      </c>
      <c r="C261">
        <f>IFERROR(INDEX(tblDeviceConfig[Deployed],ROW()-1),"")</f>
        <v>0</v>
      </c>
      <c r="D261">
        <f>IFERROR(INDEX(tblDeviceConfig[Installed],ROW()-1),"")</f>
        <v>0</v>
      </c>
      <c r="E261">
        <f>IFERROR(INDEX(tblDeviceConfig[Cybernet Hostname],ROW()-1),"")</f>
        <v>0</v>
      </c>
      <c r="F261">
        <f>IFERROR(INDEX(tblDeviceConfig[Neuron Hostname],ROW()-1),"")</f>
        <v>0</v>
      </c>
      <c r="G261">
        <f>IFERROR(INDEX(tblDeviceConfig[Software List],ROW()-1),"")</f>
        <v>0</v>
      </c>
      <c r="H261">
        <f>IFERROR(INDEX(tblDeviceConfig[PI_Use_Case],ROW()-1),"")</f>
        <v>0</v>
      </c>
      <c r="I261">
        <f>IFERROR(INDEX(tblDeviceConfig[PI_Result],ROW()-1),"")</f>
        <v>0</v>
      </c>
      <c r="J261">
        <f>IFERROR(INDEX(tblDeviceConfig[PI_Validated_By],ROW()-1),"")</f>
        <v>0</v>
      </c>
      <c r="K261">
        <f>IFERROR(INDEX(tblDeviceConfig[PI_Validated_Date],ROW()-1),"")</f>
        <v>0</v>
      </c>
      <c r="L261">
        <f t="shared" si="8"/>
        <v>0</v>
      </c>
      <c r="M261" t="str">
        <f t="shared" si="9"/>
        <v/>
      </c>
    </row>
    <row r="262" spans="1:13">
      <c r="A262">
        <f>ROW()</f>
        <v>262</v>
      </c>
      <c r="B262">
        <f>IFERROR(INDEX(tblDeviceConfig[Device Type],ROW()-1),"")</f>
        <v>0</v>
      </c>
      <c r="C262">
        <f>IFERROR(INDEX(tblDeviceConfig[Deployed],ROW()-1),"")</f>
        <v>0</v>
      </c>
      <c r="D262">
        <f>IFERROR(INDEX(tblDeviceConfig[Installed],ROW()-1),"")</f>
        <v>0</v>
      </c>
      <c r="E262">
        <f>IFERROR(INDEX(tblDeviceConfig[Cybernet Hostname],ROW()-1),"")</f>
        <v>0</v>
      </c>
      <c r="F262">
        <f>IFERROR(INDEX(tblDeviceConfig[Neuron Hostname],ROW()-1),"")</f>
        <v>0</v>
      </c>
      <c r="G262">
        <f>IFERROR(INDEX(tblDeviceConfig[Software List],ROW()-1),"")</f>
        <v>0</v>
      </c>
      <c r="H262">
        <f>IFERROR(INDEX(tblDeviceConfig[PI_Use_Case],ROW()-1),"")</f>
        <v>0</v>
      </c>
      <c r="I262">
        <f>IFERROR(INDEX(tblDeviceConfig[PI_Result],ROW()-1),"")</f>
        <v>0</v>
      </c>
      <c r="J262">
        <f>IFERROR(INDEX(tblDeviceConfig[PI_Validated_By],ROW()-1),"")</f>
        <v>0</v>
      </c>
      <c r="K262">
        <f>IFERROR(INDEX(tblDeviceConfig[PI_Validated_Date],ROW()-1),"")</f>
        <v>0</v>
      </c>
      <c r="L262">
        <f t="shared" si="8"/>
        <v>0</v>
      </c>
      <c r="M262" t="str">
        <f t="shared" si="9"/>
        <v/>
      </c>
    </row>
    <row r="263" spans="1:13">
      <c r="A263">
        <f>ROW()</f>
        <v>263</v>
      </c>
      <c r="B263">
        <f>IFERROR(INDEX(tblDeviceConfig[Device Type],ROW()-1),"")</f>
        <v>0</v>
      </c>
      <c r="C263">
        <f>IFERROR(INDEX(tblDeviceConfig[Deployed],ROW()-1),"")</f>
        <v>0</v>
      </c>
      <c r="D263">
        <f>IFERROR(INDEX(tblDeviceConfig[Installed],ROW()-1),"")</f>
        <v>0</v>
      </c>
      <c r="E263">
        <f>IFERROR(INDEX(tblDeviceConfig[Cybernet Hostname],ROW()-1),"")</f>
        <v>0</v>
      </c>
      <c r="F263">
        <f>IFERROR(INDEX(tblDeviceConfig[Neuron Hostname],ROW()-1),"")</f>
        <v>0</v>
      </c>
      <c r="G263">
        <f>IFERROR(INDEX(tblDeviceConfig[Software List],ROW()-1),"")</f>
        <v>0</v>
      </c>
      <c r="H263">
        <f>IFERROR(INDEX(tblDeviceConfig[PI_Use_Case],ROW()-1),"")</f>
        <v>0</v>
      </c>
      <c r="I263">
        <f>IFERROR(INDEX(tblDeviceConfig[PI_Result],ROW()-1),"")</f>
        <v>0</v>
      </c>
      <c r="J263">
        <f>IFERROR(INDEX(tblDeviceConfig[PI_Validated_By],ROW()-1),"")</f>
        <v>0</v>
      </c>
      <c r="K263">
        <f>IFERROR(INDEX(tblDeviceConfig[PI_Validated_Date],ROW()-1),"")</f>
        <v>0</v>
      </c>
      <c r="L263">
        <f t="shared" si="8"/>
        <v>0</v>
      </c>
      <c r="M263" t="str">
        <f t="shared" si="9"/>
        <v/>
      </c>
    </row>
    <row r="264" spans="1:13">
      <c r="A264">
        <f>ROW()</f>
        <v>264</v>
      </c>
      <c r="B264">
        <f>IFERROR(INDEX(tblDeviceConfig[Device Type],ROW()-1),"")</f>
        <v>0</v>
      </c>
      <c r="C264">
        <f>IFERROR(INDEX(tblDeviceConfig[Deployed],ROW()-1),"")</f>
        <v>0</v>
      </c>
      <c r="D264">
        <f>IFERROR(INDEX(tblDeviceConfig[Installed],ROW()-1),"")</f>
        <v>0</v>
      </c>
      <c r="E264">
        <f>IFERROR(INDEX(tblDeviceConfig[Cybernet Hostname],ROW()-1),"")</f>
        <v>0</v>
      </c>
      <c r="F264">
        <f>IFERROR(INDEX(tblDeviceConfig[Neuron Hostname],ROW()-1),"")</f>
        <v>0</v>
      </c>
      <c r="G264">
        <f>IFERROR(INDEX(tblDeviceConfig[Software List],ROW()-1),"")</f>
        <v>0</v>
      </c>
      <c r="H264">
        <f>IFERROR(INDEX(tblDeviceConfig[PI_Use_Case],ROW()-1),"")</f>
        <v>0</v>
      </c>
      <c r="I264">
        <f>IFERROR(INDEX(tblDeviceConfig[PI_Result],ROW()-1),"")</f>
        <v>0</v>
      </c>
      <c r="J264">
        <f>IFERROR(INDEX(tblDeviceConfig[PI_Validated_By],ROW()-1),"")</f>
        <v>0</v>
      </c>
      <c r="K264">
        <f>IFERROR(INDEX(tblDeviceConfig[PI_Validated_Date],ROW()-1),"")</f>
        <v>0</v>
      </c>
      <c r="L264">
        <f t="shared" si="8"/>
        <v>0</v>
      </c>
      <c r="M264" t="str">
        <f t="shared" si="9"/>
        <v/>
      </c>
    </row>
    <row r="265" spans="1:13">
      <c r="A265">
        <f>ROW()</f>
        <v>265</v>
      </c>
      <c r="B265">
        <f>IFERROR(INDEX(tblDeviceConfig[Device Type],ROW()-1),"")</f>
        <v>0</v>
      </c>
      <c r="C265">
        <f>IFERROR(INDEX(tblDeviceConfig[Deployed],ROW()-1),"")</f>
        <v>0</v>
      </c>
      <c r="D265">
        <f>IFERROR(INDEX(tblDeviceConfig[Installed],ROW()-1),"")</f>
        <v>0</v>
      </c>
      <c r="E265">
        <f>IFERROR(INDEX(tblDeviceConfig[Cybernet Hostname],ROW()-1),"")</f>
        <v>0</v>
      </c>
      <c r="F265">
        <f>IFERROR(INDEX(tblDeviceConfig[Neuron Hostname],ROW()-1),"")</f>
        <v>0</v>
      </c>
      <c r="G265">
        <f>IFERROR(INDEX(tblDeviceConfig[Software List],ROW()-1),"")</f>
        <v>0</v>
      </c>
      <c r="H265">
        <f>IFERROR(INDEX(tblDeviceConfig[PI_Use_Case],ROW()-1),"")</f>
        <v>0</v>
      </c>
      <c r="I265">
        <f>IFERROR(INDEX(tblDeviceConfig[PI_Result],ROW()-1),"")</f>
        <v>0</v>
      </c>
      <c r="J265">
        <f>IFERROR(INDEX(tblDeviceConfig[PI_Validated_By],ROW()-1),"")</f>
        <v>0</v>
      </c>
      <c r="K265">
        <f>IFERROR(INDEX(tblDeviceConfig[PI_Validated_Date],ROW()-1),"")</f>
        <v>0</v>
      </c>
      <c r="L265">
        <f t="shared" si="8"/>
        <v>0</v>
      </c>
      <c r="M265" t="str">
        <f t="shared" si="9"/>
        <v/>
      </c>
    </row>
    <row r="266" spans="1:13">
      <c r="A266">
        <f>ROW()</f>
        <v>266</v>
      </c>
      <c r="B266">
        <f>IFERROR(INDEX(tblDeviceConfig[Device Type],ROW()-1),"")</f>
        <v>0</v>
      </c>
      <c r="C266">
        <f>IFERROR(INDEX(tblDeviceConfig[Deployed],ROW()-1),"")</f>
        <v>0</v>
      </c>
      <c r="D266">
        <f>IFERROR(INDEX(tblDeviceConfig[Installed],ROW()-1),"")</f>
        <v>0</v>
      </c>
      <c r="E266">
        <f>IFERROR(INDEX(tblDeviceConfig[Cybernet Hostname],ROW()-1),"")</f>
        <v>0</v>
      </c>
      <c r="F266">
        <f>IFERROR(INDEX(tblDeviceConfig[Neuron Hostname],ROW()-1),"")</f>
        <v>0</v>
      </c>
      <c r="G266">
        <f>IFERROR(INDEX(tblDeviceConfig[Software List],ROW()-1),"")</f>
        <v>0</v>
      </c>
      <c r="H266">
        <f>IFERROR(INDEX(tblDeviceConfig[PI_Use_Case],ROW()-1),"")</f>
        <v>0</v>
      </c>
      <c r="I266">
        <f>IFERROR(INDEX(tblDeviceConfig[PI_Result],ROW()-1),"")</f>
        <v>0</v>
      </c>
      <c r="J266">
        <f>IFERROR(INDEX(tblDeviceConfig[PI_Validated_By],ROW()-1),"")</f>
        <v>0</v>
      </c>
      <c r="K266">
        <f>IFERROR(INDEX(tblDeviceConfig[PI_Validated_Date],ROW()-1),"")</f>
        <v>0</v>
      </c>
      <c r="L266">
        <f t="shared" si="8"/>
        <v>0</v>
      </c>
      <c r="M266" t="str">
        <f t="shared" si="9"/>
        <v/>
      </c>
    </row>
    <row r="267" spans="1:13">
      <c r="A267">
        <f>ROW()</f>
        <v>267</v>
      </c>
      <c r="B267">
        <f>IFERROR(INDEX(tblDeviceConfig[Device Type],ROW()-1),"")</f>
        <v>0</v>
      </c>
      <c r="C267">
        <f>IFERROR(INDEX(tblDeviceConfig[Deployed],ROW()-1),"")</f>
        <v>0</v>
      </c>
      <c r="D267">
        <f>IFERROR(INDEX(tblDeviceConfig[Installed],ROW()-1),"")</f>
        <v>0</v>
      </c>
      <c r="E267">
        <f>IFERROR(INDEX(tblDeviceConfig[Cybernet Hostname],ROW()-1),"")</f>
        <v>0</v>
      </c>
      <c r="F267">
        <f>IFERROR(INDEX(tblDeviceConfig[Neuron Hostname],ROW()-1),"")</f>
        <v>0</v>
      </c>
      <c r="G267">
        <f>IFERROR(INDEX(tblDeviceConfig[Software List],ROW()-1),"")</f>
        <v>0</v>
      </c>
      <c r="H267">
        <f>IFERROR(INDEX(tblDeviceConfig[PI_Use_Case],ROW()-1),"")</f>
        <v>0</v>
      </c>
      <c r="I267">
        <f>IFERROR(INDEX(tblDeviceConfig[PI_Result],ROW()-1),"")</f>
        <v>0</v>
      </c>
      <c r="J267">
        <f>IFERROR(INDEX(tblDeviceConfig[PI_Validated_By],ROW()-1),"")</f>
        <v>0</v>
      </c>
      <c r="K267">
        <f>IFERROR(INDEX(tblDeviceConfig[PI_Validated_Date],ROW()-1),"")</f>
        <v>0</v>
      </c>
      <c r="L267">
        <f t="shared" si="8"/>
        <v>0</v>
      </c>
      <c r="M267" t="str">
        <f t="shared" si="9"/>
        <v/>
      </c>
    </row>
    <row r="268" spans="1:13">
      <c r="A268">
        <f>ROW()</f>
        <v>268</v>
      </c>
      <c r="B268">
        <f>IFERROR(INDEX(tblDeviceConfig[Device Type],ROW()-1),"")</f>
        <v>0</v>
      </c>
      <c r="C268">
        <f>IFERROR(INDEX(tblDeviceConfig[Deployed],ROW()-1),"")</f>
        <v>0</v>
      </c>
      <c r="D268">
        <f>IFERROR(INDEX(tblDeviceConfig[Installed],ROW()-1),"")</f>
        <v>0</v>
      </c>
      <c r="E268">
        <f>IFERROR(INDEX(tblDeviceConfig[Cybernet Hostname],ROW()-1),"")</f>
        <v>0</v>
      </c>
      <c r="F268">
        <f>IFERROR(INDEX(tblDeviceConfig[Neuron Hostname],ROW()-1),"")</f>
        <v>0</v>
      </c>
      <c r="G268">
        <f>IFERROR(INDEX(tblDeviceConfig[Software List],ROW()-1),"")</f>
        <v>0</v>
      </c>
      <c r="H268">
        <f>IFERROR(INDEX(tblDeviceConfig[PI_Use_Case],ROW()-1),"")</f>
        <v>0</v>
      </c>
      <c r="I268">
        <f>IFERROR(INDEX(tblDeviceConfig[PI_Result],ROW()-1),"")</f>
        <v>0</v>
      </c>
      <c r="J268">
        <f>IFERROR(INDEX(tblDeviceConfig[PI_Validated_By],ROW()-1),"")</f>
        <v>0</v>
      </c>
      <c r="K268">
        <f>IFERROR(INDEX(tblDeviceConfig[PI_Validated_Date],ROW()-1),"")</f>
        <v>0</v>
      </c>
      <c r="L268">
        <f t="shared" si="8"/>
        <v>0</v>
      </c>
      <c r="M268" t="str">
        <f t="shared" si="9"/>
        <v/>
      </c>
    </row>
    <row r="269" spans="1:13">
      <c r="A269">
        <f>ROW()</f>
        <v>269</v>
      </c>
      <c r="B269">
        <f>IFERROR(INDEX(tblDeviceConfig[Device Type],ROW()-1),"")</f>
        <v>0</v>
      </c>
      <c r="C269">
        <f>IFERROR(INDEX(tblDeviceConfig[Deployed],ROW()-1),"")</f>
        <v>0</v>
      </c>
      <c r="D269">
        <f>IFERROR(INDEX(tblDeviceConfig[Installed],ROW()-1),"")</f>
        <v>0</v>
      </c>
      <c r="E269">
        <f>IFERROR(INDEX(tblDeviceConfig[Cybernet Hostname],ROW()-1),"")</f>
        <v>0</v>
      </c>
      <c r="F269">
        <f>IFERROR(INDEX(tblDeviceConfig[Neuron Hostname],ROW()-1),"")</f>
        <v>0</v>
      </c>
      <c r="G269">
        <f>IFERROR(INDEX(tblDeviceConfig[Software List],ROW()-1),"")</f>
        <v>0</v>
      </c>
      <c r="H269">
        <f>IFERROR(INDEX(tblDeviceConfig[PI_Use_Case],ROW()-1),"")</f>
        <v>0</v>
      </c>
      <c r="I269">
        <f>IFERROR(INDEX(tblDeviceConfig[PI_Result],ROW()-1),"")</f>
        <v>0</v>
      </c>
      <c r="J269">
        <f>IFERROR(INDEX(tblDeviceConfig[PI_Validated_By],ROW()-1),"")</f>
        <v>0</v>
      </c>
      <c r="K269">
        <f>IFERROR(INDEX(tblDeviceConfig[PI_Validated_Date],ROW()-1),"")</f>
        <v>0</v>
      </c>
      <c r="L269">
        <f t="shared" si="8"/>
        <v>0</v>
      </c>
      <c r="M269" t="str">
        <f t="shared" si="9"/>
        <v/>
      </c>
    </row>
    <row r="270" spans="1:13">
      <c r="A270">
        <f>ROW()</f>
        <v>270</v>
      </c>
      <c r="B270">
        <f>IFERROR(INDEX(tblDeviceConfig[Device Type],ROW()-1),"")</f>
        <v>0</v>
      </c>
      <c r="C270">
        <f>IFERROR(INDEX(tblDeviceConfig[Deployed],ROW()-1),"")</f>
        <v>0</v>
      </c>
      <c r="D270">
        <f>IFERROR(INDEX(tblDeviceConfig[Installed],ROW()-1),"")</f>
        <v>0</v>
      </c>
      <c r="E270">
        <f>IFERROR(INDEX(tblDeviceConfig[Cybernet Hostname],ROW()-1),"")</f>
        <v>0</v>
      </c>
      <c r="F270">
        <f>IFERROR(INDEX(tblDeviceConfig[Neuron Hostname],ROW()-1),"")</f>
        <v>0</v>
      </c>
      <c r="G270">
        <f>IFERROR(INDEX(tblDeviceConfig[Software List],ROW()-1),"")</f>
        <v>0</v>
      </c>
      <c r="H270">
        <f>IFERROR(INDEX(tblDeviceConfig[PI_Use_Case],ROW()-1),"")</f>
        <v>0</v>
      </c>
      <c r="I270">
        <f>IFERROR(INDEX(tblDeviceConfig[PI_Result],ROW()-1),"")</f>
        <v>0</v>
      </c>
      <c r="J270">
        <f>IFERROR(INDEX(tblDeviceConfig[PI_Validated_By],ROW()-1),"")</f>
        <v>0</v>
      </c>
      <c r="K270">
        <f>IFERROR(INDEX(tblDeviceConfig[PI_Validated_Date],ROW()-1),"")</f>
        <v>0</v>
      </c>
      <c r="L270">
        <f t="shared" si="8"/>
        <v>0</v>
      </c>
      <c r="M270" t="str">
        <f t="shared" si="9"/>
        <v/>
      </c>
    </row>
    <row r="271" spans="1:13">
      <c r="A271">
        <f>ROW()</f>
        <v>271</v>
      </c>
      <c r="B271">
        <f>IFERROR(INDEX(tblDeviceConfig[Device Type],ROW()-1),"")</f>
        <v>0</v>
      </c>
      <c r="C271">
        <f>IFERROR(INDEX(tblDeviceConfig[Deployed],ROW()-1),"")</f>
        <v>0</v>
      </c>
      <c r="D271">
        <f>IFERROR(INDEX(tblDeviceConfig[Installed],ROW()-1),"")</f>
        <v>0</v>
      </c>
      <c r="E271">
        <f>IFERROR(INDEX(tblDeviceConfig[Cybernet Hostname],ROW()-1),"")</f>
        <v>0</v>
      </c>
      <c r="F271">
        <f>IFERROR(INDEX(tblDeviceConfig[Neuron Hostname],ROW()-1),"")</f>
        <v>0</v>
      </c>
      <c r="G271">
        <f>IFERROR(INDEX(tblDeviceConfig[Software List],ROW()-1),"")</f>
        <v>0</v>
      </c>
      <c r="H271">
        <f>IFERROR(INDEX(tblDeviceConfig[PI_Use_Case],ROW()-1),"")</f>
        <v>0</v>
      </c>
      <c r="I271">
        <f>IFERROR(INDEX(tblDeviceConfig[PI_Result],ROW()-1),"")</f>
        <v>0</v>
      </c>
      <c r="J271">
        <f>IFERROR(INDEX(tblDeviceConfig[PI_Validated_By],ROW()-1),"")</f>
        <v>0</v>
      </c>
      <c r="K271">
        <f>IFERROR(INDEX(tblDeviceConfig[PI_Validated_Date],ROW()-1),"")</f>
        <v>0</v>
      </c>
      <c r="L271">
        <f t="shared" si="8"/>
        <v>0</v>
      </c>
      <c r="M271" t="str">
        <f t="shared" si="9"/>
        <v/>
      </c>
    </row>
    <row r="272" spans="1:13">
      <c r="A272">
        <f>ROW()</f>
        <v>272</v>
      </c>
      <c r="B272">
        <f>IFERROR(INDEX(tblDeviceConfig[Device Type],ROW()-1),"")</f>
        <v>0</v>
      </c>
      <c r="C272">
        <f>IFERROR(INDEX(tblDeviceConfig[Deployed],ROW()-1),"")</f>
        <v>0</v>
      </c>
      <c r="D272">
        <f>IFERROR(INDEX(tblDeviceConfig[Installed],ROW()-1),"")</f>
        <v>0</v>
      </c>
      <c r="E272">
        <f>IFERROR(INDEX(tblDeviceConfig[Cybernet Hostname],ROW()-1),"")</f>
        <v>0</v>
      </c>
      <c r="F272">
        <f>IFERROR(INDEX(tblDeviceConfig[Neuron Hostname],ROW()-1),"")</f>
        <v>0</v>
      </c>
      <c r="G272">
        <f>IFERROR(INDEX(tblDeviceConfig[Software List],ROW()-1),"")</f>
        <v>0</v>
      </c>
      <c r="H272">
        <f>IFERROR(INDEX(tblDeviceConfig[PI_Use_Case],ROW()-1),"")</f>
        <v>0</v>
      </c>
      <c r="I272">
        <f>IFERROR(INDEX(tblDeviceConfig[PI_Result],ROW()-1),"")</f>
        <v>0</v>
      </c>
      <c r="J272">
        <f>IFERROR(INDEX(tblDeviceConfig[PI_Validated_By],ROW()-1),"")</f>
        <v>0</v>
      </c>
      <c r="K272">
        <f>IFERROR(INDEX(tblDeviceConfig[PI_Validated_Date],ROW()-1),"")</f>
        <v>0</v>
      </c>
      <c r="L272">
        <f t="shared" si="8"/>
        <v>0</v>
      </c>
      <c r="M272" t="str">
        <f t="shared" si="9"/>
        <v/>
      </c>
    </row>
    <row r="273" spans="1:13">
      <c r="A273">
        <f>ROW()</f>
        <v>273</v>
      </c>
      <c r="B273">
        <f>IFERROR(INDEX(tblDeviceConfig[Device Type],ROW()-1),"")</f>
        <v>0</v>
      </c>
      <c r="C273">
        <f>IFERROR(INDEX(tblDeviceConfig[Deployed],ROW()-1),"")</f>
        <v>0</v>
      </c>
      <c r="D273">
        <f>IFERROR(INDEX(tblDeviceConfig[Installed],ROW()-1),"")</f>
        <v>0</v>
      </c>
      <c r="E273">
        <f>IFERROR(INDEX(tblDeviceConfig[Cybernet Hostname],ROW()-1),"")</f>
        <v>0</v>
      </c>
      <c r="F273">
        <f>IFERROR(INDEX(tblDeviceConfig[Neuron Hostname],ROW()-1),"")</f>
        <v>0</v>
      </c>
      <c r="G273">
        <f>IFERROR(INDEX(tblDeviceConfig[Software List],ROW()-1),"")</f>
        <v>0</v>
      </c>
      <c r="H273">
        <f>IFERROR(INDEX(tblDeviceConfig[PI_Use_Case],ROW()-1),"")</f>
        <v>0</v>
      </c>
      <c r="I273">
        <f>IFERROR(INDEX(tblDeviceConfig[PI_Result],ROW()-1),"")</f>
        <v>0</v>
      </c>
      <c r="J273">
        <f>IFERROR(INDEX(tblDeviceConfig[PI_Validated_By],ROW()-1),"")</f>
        <v>0</v>
      </c>
      <c r="K273">
        <f>IFERROR(INDEX(tblDeviceConfig[PI_Validated_Date],ROW()-1),"")</f>
        <v>0</v>
      </c>
      <c r="L273">
        <f t="shared" si="8"/>
        <v>0</v>
      </c>
      <c r="M273" t="str">
        <f t="shared" si="9"/>
        <v/>
      </c>
    </row>
    <row r="274" spans="1:13">
      <c r="A274">
        <f>ROW()</f>
        <v>274</v>
      </c>
      <c r="B274">
        <f>IFERROR(INDEX(tblDeviceConfig[Device Type],ROW()-1),"")</f>
        <v>0</v>
      </c>
      <c r="C274">
        <f>IFERROR(INDEX(tblDeviceConfig[Deployed],ROW()-1),"")</f>
        <v>0</v>
      </c>
      <c r="D274">
        <f>IFERROR(INDEX(tblDeviceConfig[Installed],ROW()-1),"")</f>
        <v>0</v>
      </c>
      <c r="E274">
        <f>IFERROR(INDEX(tblDeviceConfig[Cybernet Hostname],ROW()-1),"")</f>
        <v>0</v>
      </c>
      <c r="F274">
        <f>IFERROR(INDEX(tblDeviceConfig[Neuron Hostname],ROW()-1),"")</f>
        <v>0</v>
      </c>
      <c r="G274">
        <f>IFERROR(INDEX(tblDeviceConfig[Software List],ROW()-1),"")</f>
        <v>0</v>
      </c>
      <c r="H274">
        <f>IFERROR(INDEX(tblDeviceConfig[PI_Use_Case],ROW()-1),"")</f>
        <v>0</v>
      </c>
      <c r="I274">
        <f>IFERROR(INDEX(tblDeviceConfig[PI_Result],ROW()-1),"")</f>
        <v>0</v>
      </c>
      <c r="J274">
        <f>IFERROR(INDEX(tblDeviceConfig[PI_Validated_By],ROW()-1),"")</f>
        <v>0</v>
      </c>
      <c r="K274">
        <f>IFERROR(INDEX(tblDeviceConfig[PI_Validated_Date],ROW()-1),"")</f>
        <v>0</v>
      </c>
      <c r="L274">
        <f t="shared" si="8"/>
        <v>0</v>
      </c>
      <c r="M274" t="str">
        <f t="shared" si="9"/>
        <v/>
      </c>
    </row>
    <row r="275" spans="1:13">
      <c r="A275">
        <f>ROW()</f>
        <v>275</v>
      </c>
      <c r="B275">
        <f>IFERROR(INDEX(tblDeviceConfig[Device Type],ROW()-1),"")</f>
        <v>0</v>
      </c>
      <c r="C275">
        <f>IFERROR(INDEX(tblDeviceConfig[Deployed],ROW()-1),"")</f>
        <v>0</v>
      </c>
      <c r="D275">
        <f>IFERROR(INDEX(tblDeviceConfig[Installed],ROW()-1),"")</f>
        <v>0</v>
      </c>
      <c r="E275">
        <f>IFERROR(INDEX(tblDeviceConfig[Cybernet Hostname],ROW()-1),"")</f>
        <v>0</v>
      </c>
      <c r="F275">
        <f>IFERROR(INDEX(tblDeviceConfig[Neuron Hostname],ROW()-1),"")</f>
        <v>0</v>
      </c>
      <c r="G275">
        <f>IFERROR(INDEX(tblDeviceConfig[Software List],ROW()-1),"")</f>
        <v>0</v>
      </c>
      <c r="H275">
        <f>IFERROR(INDEX(tblDeviceConfig[PI_Use_Case],ROW()-1),"")</f>
        <v>0</v>
      </c>
      <c r="I275">
        <f>IFERROR(INDEX(tblDeviceConfig[PI_Result],ROW()-1),"")</f>
        <v>0</v>
      </c>
      <c r="J275">
        <f>IFERROR(INDEX(tblDeviceConfig[PI_Validated_By],ROW()-1),"")</f>
        <v>0</v>
      </c>
      <c r="K275">
        <f>IFERROR(INDEX(tblDeviceConfig[PI_Validated_Date],ROW()-1),"")</f>
        <v>0</v>
      </c>
      <c r="L275">
        <f t="shared" si="8"/>
        <v>0</v>
      </c>
      <c r="M275" t="str">
        <f t="shared" si="9"/>
        <v/>
      </c>
    </row>
    <row r="276" spans="1:13">
      <c r="A276">
        <f>ROW()</f>
        <v>276</v>
      </c>
      <c r="B276">
        <f>IFERROR(INDEX(tblDeviceConfig[Device Type],ROW()-1),"")</f>
        <v>0</v>
      </c>
      <c r="C276">
        <f>IFERROR(INDEX(tblDeviceConfig[Deployed],ROW()-1),"")</f>
        <v>0</v>
      </c>
      <c r="D276">
        <f>IFERROR(INDEX(tblDeviceConfig[Installed],ROW()-1),"")</f>
        <v>0</v>
      </c>
      <c r="E276">
        <f>IFERROR(INDEX(tblDeviceConfig[Cybernet Hostname],ROW()-1),"")</f>
        <v>0</v>
      </c>
      <c r="F276">
        <f>IFERROR(INDEX(tblDeviceConfig[Neuron Hostname],ROW()-1),"")</f>
        <v>0</v>
      </c>
      <c r="G276">
        <f>IFERROR(INDEX(tblDeviceConfig[Software List],ROW()-1),"")</f>
        <v>0</v>
      </c>
      <c r="H276">
        <f>IFERROR(INDEX(tblDeviceConfig[PI_Use_Case],ROW()-1),"")</f>
        <v>0</v>
      </c>
      <c r="I276">
        <f>IFERROR(INDEX(tblDeviceConfig[PI_Result],ROW()-1),"")</f>
        <v>0</v>
      </c>
      <c r="J276">
        <f>IFERROR(INDEX(tblDeviceConfig[PI_Validated_By],ROW()-1),"")</f>
        <v>0</v>
      </c>
      <c r="K276">
        <f>IFERROR(INDEX(tblDeviceConfig[PI_Validated_Date],ROW()-1),"")</f>
        <v>0</v>
      </c>
      <c r="L276">
        <f t="shared" si="8"/>
        <v>0</v>
      </c>
      <c r="M276" t="str">
        <f t="shared" si="9"/>
        <v/>
      </c>
    </row>
    <row r="277" spans="1:13">
      <c r="A277">
        <f>ROW()</f>
        <v>277</v>
      </c>
      <c r="B277">
        <f>IFERROR(INDEX(tblDeviceConfig[Device Type],ROW()-1),"")</f>
        <v>0</v>
      </c>
      <c r="C277">
        <f>IFERROR(INDEX(tblDeviceConfig[Deployed],ROW()-1),"")</f>
        <v>0</v>
      </c>
      <c r="D277">
        <f>IFERROR(INDEX(tblDeviceConfig[Installed],ROW()-1),"")</f>
        <v>0</v>
      </c>
      <c r="E277">
        <f>IFERROR(INDEX(tblDeviceConfig[Cybernet Hostname],ROW()-1),"")</f>
        <v>0</v>
      </c>
      <c r="F277">
        <f>IFERROR(INDEX(tblDeviceConfig[Neuron Hostname],ROW()-1),"")</f>
        <v>0</v>
      </c>
      <c r="G277">
        <f>IFERROR(INDEX(tblDeviceConfig[Software List],ROW()-1),"")</f>
        <v>0</v>
      </c>
      <c r="H277">
        <f>IFERROR(INDEX(tblDeviceConfig[PI_Use_Case],ROW()-1),"")</f>
        <v>0</v>
      </c>
      <c r="I277">
        <f>IFERROR(INDEX(tblDeviceConfig[PI_Result],ROW()-1),"")</f>
        <v>0</v>
      </c>
      <c r="J277">
        <f>IFERROR(INDEX(tblDeviceConfig[PI_Validated_By],ROW()-1),"")</f>
        <v>0</v>
      </c>
      <c r="K277">
        <f>IFERROR(INDEX(tblDeviceConfig[PI_Validated_Date],ROW()-1),"")</f>
        <v>0</v>
      </c>
      <c r="L277">
        <f t="shared" si="8"/>
        <v>0</v>
      </c>
      <c r="M277" t="str">
        <f t="shared" si="9"/>
        <v/>
      </c>
    </row>
    <row r="278" spans="1:13">
      <c r="A278">
        <f>ROW()</f>
        <v>278</v>
      </c>
      <c r="B278">
        <f>IFERROR(INDEX(tblDeviceConfig[Device Type],ROW()-1),"")</f>
        <v>0</v>
      </c>
      <c r="C278">
        <f>IFERROR(INDEX(tblDeviceConfig[Deployed],ROW()-1),"")</f>
        <v>0</v>
      </c>
      <c r="D278">
        <f>IFERROR(INDEX(tblDeviceConfig[Installed],ROW()-1),"")</f>
        <v>0</v>
      </c>
      <c r="E278">
        <f>IFERROR(INDEX(tblDeviceConfig[Cybernet Hostname],ROW()-1),"")</f>
        <v>0</v>
      </c>
      <c r="F278">
        <f>IFERROR(INDEX(tblDeviceConfig[Neuron Hostname],ROW()-1),"")</f>
        <v>0</v>
      </c>
      <c r="G278">
        <f>IFERROR(INDEX(tblDeviceConfig[Software List],ROW()-1),"")</f>
        <v>0</v>
      </c>
      <c r="H278">
        <f>IFERROR(INDEX(tblDeviceConfig[PI_Use_Case],ROW()-1),"")</f>
        <v>0</v>
      </c>
      <c r="I278">
        <f>IFERROR(INDEX(tblDeviceConfig[PI_Result],ROW()-1),"")</f>
        <v>0</v>
      </c>
      <c r="J278">
        <f>IFERROR(INDEX(tblDeviceConfig[PI_Validated_By],ROW()-1),"")</f>
        <v>0</v>
      </c>
      <c r="K278">
        <f>IFERROR(INDEX(tblDeviceConfig[PI_Validated_Date],ROW()-1),"")</f>
        <v>0</v>
      </c>
      <c r="L278">
        <f t="shared" si="8"/>
        <v>0</v>
      </c>
      <c r="M278" t="str">
        <f t="shared" si="9"/>
        <v/>
      </c>
    </row>
    <row r="279" spans="1:13">
      <c r="A279">
        <f>ROW()</f>
        <v>279</v>
      </c>
      <c r="B279">
        <f>IFERROR(INDEX(tblDeviceConfig[Device Type],ROW()-1),"")</f>
        <v>0</v>
      </c>
      <c r="C279">
        <f>IFERROR(INDEX(tblDeviceConfig[Deployed],ROW()-1),"")</f>
        <v>0</v>
      </c>
      <c r="D279">
        <f>IFERROR(INDEX(tblDeviceConfig[Installed],ROW()-1),"")</f>
        <v>0</v>
      </c>
      <c r="E279">
        <f>IFERROR(INDEX(tblDeviceConfig[Cybernet Hostname],ROW()-1),"")</f>
        <v>0</v>
      </c>
      <c r="F279">
        <f>IFERROR(INDEX(tblDeviceConfig[Neuron Hostname],ROW()-1),"")</f>
        <v>0</v>
      </c>
      <c r="G279">
        <f>IFERROR(INDEX(tblDeviceConfig[Software List],ROW()-1),"")</f>
        <v>0</v>
      </c>
      <c r="H279">
        <f>IFERROR(INDEX(tblDeviceConfig[PI_Use_Case],ROW()-1),"")</f>
        <v>0</v>
      </c>
      <c r="I279">
        <f>IFERROR(INDEX(tblDeviceConfig[PI_Result],ROW()-1),"")</f>
        <v>0</v>
      </c>
      <c r="J279">
        <f>IFERROR(INDEX(tblDeviceConfig[PI_Validated_By],ROW()-1),"")</f>
        <v>0</v>
      </c>
      <c r="K279">
        <f>IFERROR(INDEX(tblDeviceConfig[PI_Validated_Date],ROW()-1),"")</f>
        <v>0</v>
      </c>
      <c r="L279">
        <f t="shared" si="8"/>
        <v>0</v>
      </c>
      <c r="M279" t="str">
        <f t="shared" si="9"/>
        <v/>
      </c>
    </row>
    <row r="280" spans="1:13">
      <c r="A280">
        <f>ROW()</f>
        <v>280</v>
      </c>
      <c r="B280">
        <f>IFERROR(INDEX(tblDeviceConfig[Device Type],ROW()-1),"")</f>
        <v>0</v>
      </c>
      <c r="C280">
        <f>IFERROR(INDEX(tblDeviceConfig[Deployed],ROW()-1),"")</f>
        <v>0</v>
      </c>
      <c r="D280">
        <f>IFERROR(INDEX(tblDeviceConfig[Installed],ROW()-1),"")</f>
        <v>0</v>
      </c>
      <c r="E280">
        <f>IFERROR(INDEX(tblDeviceConfig[Cybernet Hostname],ROW()-1),"")</f>
        <v>0</v>
      </c>
      <c r="F280">
        <f>IFERROR(INDEX(tblDeviceConfig[Neuron Hostname],ROW()-1),"")</f>
        <v>0</v>
      </c>
      <c r="G280">
        <f>IFERROR(INDEX(tblDeviceConfig[Software List],ROW()-1),"")</f>
        <v>0</v>
      </c>
      <c r="H280">
        <f>IFERROR(INDEX(tblDeviceConfig[PI_Use_Case],ROW()-1),"")</f>
        <v>0</v>
      </c>
      <c r="I280">
        <f>IFERROR(INDEX(tblDeviceConfig[PI_Result],ROW()-1),"")</f>
        <v>0</v>
      </c>
      <c r="J280">
        <f>IFERROR(INDEX(tblDeviceConfig[PI_Validated_By],ROW()-1),"")</f>
        <v>0</v>
      </c>
      <c r="K280">
        <f>IFERROR(INDEX(tblDeviceConfig[PI_Validated_Date],ROW()-1),"")</f>
        <v>0</v>
      </c>
      <c r="L280">
        <f t="shared" si="8"/>
        <v>0</v>
      </c>
      <c r="M280" t="str">
        <f t="shared" si="9"/>
        <v/>
      </c>
    </row>
    <row r="281" spans="1:13">
      <c r="A281">
        <f>ROW()</f>
        <v>281</v>
      </c>
      <c r="B281">
        <f>IFERROR(INDEX(tblDeviceConfig[Device Type],ROW()-1),"")</f>
        <v>0</v>
      </c>
      <c r="C281">
        <f>IFERROR(INDEX(tblDeviceConfig[Deployed],ROW()-1),"")</f>
        <v>0</v>
      </c>
      <c r="D281">
        <f>IFERROR(INDEX(tblDeviceConfig[Installed],ROW()-1),"")</f>
        <v>0</v>
      </c>
      <c r="E281">
        <f>IFERROR(INDEX(tblDeviceConfig[Cybernet Hostname],ROW()-1),"")</f>
        <v>0</v>
      </c>
      <c r="F281">
        <f>IFERROR(INDEX(tblDeviceConfig[Neuron Hostname],ROW()-1),"")</f>
        <v>0</v>
      </c>
      <c r="G281">
        <f>IFERROR(INDEX(tblDeviceConfig[Software List],ROW()-1),"")</f>
        <v>0</v>
      </c>
      <c r="H281">
        <f>IFERROR(INDEX(tblDeviceConfig[PI_Use_Case],ROW()-1),"")</f>
        <v>0</v>
      </c>
      <c r="I281">
        <f>IFERROR(INDEX(tblDeviceConfig[PI_Result],ROW()-1),"")</f>
        <v>0</v>
      </c>
      <c r="J281">
        <f>IFERROR(INDEX(tblDeviceConfig[PI_Validated_By],ROW()-1),"")</f>
        <v>0</v>
      </c>
      <c r="K281">
        <f>IFERROR(INDEX(tblDeviceConfig[PI_Validated_Date],ROW()-1),"")</f>
        <v>0</v>
      </c>
      <c r="L281">
        <f t="shared" si="8"/>
        <v>0</v>
      </c>
      <c r="M281" t="str">
        <f t="shared" si="9"/>
        <v/>
      </c>
    </row>
    <row r="282" spans="1:13">
      <c r="A282">
        <f>ROW()</f>
        <v>282</v>
      </c>
      <c r="B282">
        <f>IFERROR(INDEX(tblDeviceConfig[Device Type],ROW()-1),"")</f>
        <v>0</v>
      </c>
      <c r="C282">
        <f>IFERROR(INDEX(tblDeviceConfig[Deployed],ROW()-1),"")</f>
        <v>0</v>
      </c>
      <c r="D282">
        <f>IFERROR(INDEX(tblDeviceConfig[Installed],ROW()-1),"")</f>
        <v>0</v>
      </c>
      <c r="E282">
        <f>IFERROR(INDEX(tblDeviceConfig[Cybernet Hostname],ROW()-1),"")</f>
        <v>0</v>
      </c>
      <c r="F282">
        <f>IFERROR(INDEX(tblDeviceConfig[Neuron Hostname],ROW()-1),"")</f>
        <v>0</v>
      </c>
      <c r="G282">
        <f>IFERROR(INDEX(tblDeviceConfig[Software List],ROW()-1),"")</f>
        <v>0</v>
      </c>
      <c r="H282">
        <f>IFERROR(INDEX(tblDeviceConfig[PI_Use_Case],ROW()-1),"")</f>
        <v>0</v>
      </c>
      <c r="I282">
        <f>IFERROR(INDEX(tblDeviceConfig[PI_Result],ROW()-1),"")</f>
        <v>0</v>
      </c>
      <c r="J282">
        <f>IFERROR(INDEX(tblDeviceConfig[PI_Validated_By],ROW()-1),"")</f>
        <v>0</v>
      </c>
      <c r="K282">
        <f>IFERROR(INDEX(tblDeviceConfig[PI_Validated_Date],ROW()-1),"")</f>
        <v>0</v>
      </c>
      <c r="L282">
        <f t="shared" si="8"/>
        <v>0</v>
      </c>
      <c r="M282" t="str">
        <f t="shared" si="9"/>
        <v/>
      </c>
    </row>
    <row r="283" spans="1:13">
      <c r="A283">
        <f>ROW()</f>
        <v>283</v>
      </c>
      <c r="B283">
        <f>IFERROR(INDEX(tblDeviceConfig[Device Type],ROW()-1),"")</f>
        <v>0</v>
      </c>
      <c r="C283">
        <f>IFERROR(INDEX(tblDeviceConfig[Deployed],ROW()-1),"")</f>
        <v>0</v>
      </c>
      <c r="D283">
        <f>IFERROR(INDEX(tblDeviceConfig[Installed],ROW()-1),"")</f>
        <v>0</v>
      </c>
      <c r="E283">
        <f>IFERROR(INDEX(tblDeviceConfig[Cybernet Hostname],ROW()-1),"")</f>
        <v>0</v>
      </c>
      <c r="F283">
        <f>IFERROR(INDEX(tblDeviceConfig[Neuron Hostname],ROW()-1),"")</f>
        <v>0</v>
      </c>
      <c r="G283">
        <f>IFERROR(INDEX(tblDeviceConfig[Software List],ROW()-1),"")</f>
        <v>0</v>
      </c>
      <c r="H283">
        <f>IFERROR(INDEX(tblDeviceConfig[PI_Use_Case],ROW()-1),"")</f>
        <v>0</v>
      </c>
      <c r="I283">
        <f>IFERROR(INDEX(tblDeviceConfig[PI_Result],ROW()-1),"")</f>
        <v>0</v>
      </c>
      <c r="J283">
        <f>IFERROR(INDEX(tblDeviceConfig[PI_Validated_By],ROW()-1),"")</f>
        <v>0</v>
      </c>
      <c r="K283">
        <f>IFERROR(INDEX(tblDeviceConfig[PI_Validated_Date],ROW()-1),"")</f>
        <v>0</v>
      </c>
      <c r="L283">
        <f t="shared" si="8"/>
        <v>0</v>
      </c>
      <c r="M283" t="str">
        <f t="shared" si="9"/>
        <v/>
      </c>
    </row>
    <row r="284" spans="1:13">
      <c r="A284">
        <f>ROW()</f>
        <v>284</v>
      </c>
      <c r="B284">
        <f>IFERROR(INDEX(tblDeviceConfig[Device Type],ROW()-1),"")</f>
        <v>0</v>
      </c>
      <c r="C284">
        <f>IFERROR(INDEX(tblDeviceConfig[Deployed],ROW()-1),"")</f>
        <v>0</v>
      </c>
      <c r="D284">
        <f>IFERROR(INDEX(tblDeviceConfig[Installed],ROW()-1),"")</f>
        <v>0</v>
      </c>
      <c r="E284">
        <f>IFERROR(INDEX(tblDeviceConfig[Cybernet Hostname],ROW()-1),"")</f>
        <v>0</v>
      </c>
      <c r="F284">
        <f>IFERROR(INDEX(tblDeviceConfig[Neuron Hostname],ROW()-1),"")</f>
        <v>0</v>
      </c>
      <c r="G284">
        <f>IFERROR(INDEX(tblDeviceConfig[Software List],ROW()-1),"")</f>
        <v>0</v>
      </c>
      <c r="H284">
        <f>IFERROR(INDEX(tblDeviceConfig[PI_Use_Case],ROW()-1),"")</f>
        <v>0</v>
      </c>
      <c r="I284">
        <f>IFERROR(INDEX(tblDeviceConfig[PI_Result],ROW()-1),"")</f>
        <v>0</v>
      </c>
      <c r="J284">
        <f>IFERROR(INDEX(tblDeviceConfig[PI_Validated_By],ROW()-1),"")</f>
        <v>0</v>
      </c>
      <c r="K284">
        <f>IFERROR(INDEX(tblDeviceConfig[PI_Validated_Date],ROW()-1),"")</f>
        <v>0</v>
      </c>
      <c r="L284">
        <f t="shared" si="8"/>
        <v>0</v>
      </c>
      <c r="M284" t="str">
        <f t="shared" si="9"/>
        <v/>
      </c>
    </row>
    <row r="285" spans="1:13">
      <c r="A285">
        <f>ROW()</f>
        <v>285</v>
      </c>
      <c r="B285">
        <f>IFERROR(INDEX(tblDeviceConfig[Device Type],ROW()-1),"")</f>
        <v>0</v>
      </c>
      <c r="C285">
        <f>IFERROR(INDEX(tblDeviceConfig[Deployed],ROW()-1),"")</f>
        <v>0</v>
      </c>
      <c r="D285">
        <f>IFERROR(INDEX(tblDeviceConfig[Installed],ROW()-1),"")</f>
        <v>0</v>
      </c>
      <c r="E285">
        <f>IFERROR(INDEX(tblDeviceConfig[Cybernet Hostname],ROW()-1),"")</f>
        <v>0</v>
      </c>
      <c r="F285">
        <f>IFERROR(INDEX(tblDeviceConfig[Neuron Hostname],ROW()-1),"")</f>
        <v>0</v>
      </c>
      <c r="G285">
        <f>IFERROR(INDEX(tblDeviceConfig[Software List],ROW()-1),"")</f>
        <v>0</v>
      </c>
      <c r="H285">
        <f>IFERROR(INDEX(tblDeviceConfig[PI_Use_Case],ROW()-1),"")</f>
        <v>0</v>
      </c>
      <c r="I285">
        <f>IFERROR(INDEX(tblDeviceConfig[PI_Result],ROW()-1),"")</f>
        <v>0</v>
      </c>
      <c r="J285">
        <f>IFERROR(INDEX(tblDeviceConfig[PI_Validated_By],ROW()-1),"")</f>
        <v>0</v>
      </c>
      <c r="K285">
        <f>IFERROR(INDEX(tblDeviceConfig[PI_Validated_Date],ROW()-1),"")</f>
        <v>0</v>
      </c>
      <c r="L285">
        <f t="shared" si="8"/>
        <v>0</v>
      </c>
      <c r="M285" t="str">
        <f t="shared" si="9"/>
        <v/>
      </c>
    </row>
    <row r="286" spans="1:13">
      <c r="A286">
        <f>ROW()</f>
        <v>286</v>
      </c>
      <c r="B286">
        <f>IFERROR(INDEX(tblDeviceConfig[Device Type],ROW()-1),"")</f>
        <v>0</v>
      </c>
      <c r="C286">
        <f>IFERROR(INDEX(tblDeviceConfig[Deployed],ROW()-1),"")</f>
        <v>0</v>
      </c>
      <c r="D286">
        <f>IFERROR(INDEX(tblDeviceConfig[Installed],ROW()-1),"")</f>
        <v>0</v>
      </c>
      <c r="E286">
        <f>IFERROR(INDEX(tblDeviceConfig[Cybernet Hostname],ROW()-1),"")</f>
        <v>0</v>
      </c>
      <c r="F286">
        <f>IFERROR(INDEX(tblDeviceConfig[Neuron Hostname],ROW()-1),"")</f>
        <v>0</v>
      </c>
      <c r="G286">
        <f>IFERROR(INDEX(tblDeviceConfig[Software List],ROW()-1),"")</f>
        <v>0</v>
      </c>
      <c r="H286">
        <f>IFERROR(INDEX(tblDeviceConfig[PI_Use_Case],ROW()-1),"")</f>
        <v>0</v>
      </c>
      <c r="I286">
        <f>IFERROR(INDEX(tblDeviceConfig[PI_Result],ROW()-1),"")</f>
        <v>0</v>
      </c>
      <c r="J286">
        <f>IFERROR(INDEX(tblDeviceConfig[PI_Validated_By],ROW()-1),"")</f>
        <v>0</v>
      </c>
      <c r="K286">
        <f>IFERROR(INDEX(tblDeviceConfig[PI_Validated_Date],ROW()-1),"")</f>
        <v>0</v>
      </c>
      <c r="L286">
        <f t="shared" si="8"/>
        <v>0</v>
      </c>
      <c r="M286" t="str">
        <f t="shared" si="9"/>
        <v/>
      </c>
    </row>
    <row r="287" spans="1:13">
      <c r="A287">
        <f>ROW()</f>
        <v>287</v>
      </c>
      <c r="B287">
        <f>IFERROR(INDEX(tblDeviceConfig[Device Type],ROW()-1),"")</f>
        <v>0</v>
      </c>
      <c r="C287">
        <f>IFERROR(INDEX(tblDeviceConfig[Deployed],ROW()-1),"")</f>
        <v>0</v>
      </c>
      <c r="D287">
        <f>IFERROR(INDEX(tblDeviceConfig[Installed],ROW()-1),"")</f>
        <v>0</v>
      </c>
      <c r="E287">
        <f>IFERROR(INDEX(tblDeviceConfig[Cybernet Hostname],ROW()-1),"")</f>
        <v>0</v>
      </c>
      <c r="F287">
        <f>IFERROR(INDEX(tblDeviceConfig[Neuron Hostname],ROW()-1),"")</f>
        <v>0</v>
      </c>
      <c r="G287">
        <f>IFERROR(INDEX(tblDeviceConfig[Software List],ROW()-1),"")</f>
        <v>0</v>
      </c>
      <c r="H287">
        <f>IFERROR(INDEX(tblDeviceConfig[PI_Use_Case],ROW()-1),"")</f>
        <v>0</v>
      </c>
      <c r="I287">
        <f>IFERROR(INDEX(tblDeviceConfig[PI_Result],ROW()-1),"")</f>
        <v>0</v>
      </c>
      <c r="J287">
        <f>IFERROR(INDEX(tblDeviceConfig[PI_Validated_By],ROW()-1),"")</f>
        <v>0</v>
      </c>
      <c r="K287">
        <f>IFERROR(INDEX(tblDeviceConfig[PI_Validated_Date],ROW()-1),"")</f>
        <v>0</v>
      </c>
      <c r="L287">
        <f t="shared" si="8"/>
        <v>0</v>
      </c>
      <c r="M287" t="str">
        <f t="shared" si="9"/>
        <v/>
      </c>
    </row>
    <row r="288" spans="1:13">
      <c r="A288">
        <f>ROW()</f>
        <v>288</v>
      </c>
      <c r="B288">
        <f>IFERROR(INDEX(tblDeviceConfig[Device Type],ROW()-1),"")</f>
        <v>0</v>
      </c>
      <c r="C288">
        <f>IFERROR(INDEX(tblDeviceConfig[Deployed],ROW()-1),"")</f>
        <v>0</v>
      </c>
      <c r="D288">
        <f>IFERROR(INDEX(tblDeviceConfig[Installed],ROW()-1),"")</f>
        <v>0</v>
      </c>
      <c r="E288">
        <f>IFERROR(INDEX(tblDeviceConfig[Cybernet Hostname],ROW()-1),"")</f>
        <v>0</v>
      </c>
      <c r="F288">
        <f>IFERROR(INDEX(tblDeviceConfig[Neuron Hostname],ROW()-1),"")</f>
        <v>0</v>
      </c>
      <c r="G288">
        <f>IFERROR(INDEX(tblDeviceConfig[Software List],ROW()-1),"")</f>
        <v>0</v>
      </c>
      <c r="H288">
        <f>IFERROR(INDEX(tblDeviceConfig[PI_Use_Case],ROW()-1),"")</f>
        <v>0</v>
      </c>
      <c r="I288">
        <f>IFERROR(INDEX(tblDeviceConfig[PI_Result],ROW()-1),"")</f>
        <v>0</v>
      </c>
      <c r="J288">
        <f>IFERROR(INDEX(tblDeviceConfig[PI_Validated_By],ROW()-1),"")</f>
        <v>0</v>
      </c>
      <c r="K288">
        <f>IFERROR(INDEX(tblDeviceConfig[PI_Validated_Date],ROW()-1),"")</f>
        <v>0</v>
      </c>
      <c r="L288">
        <f t="shared" si="8"/>
        <v>0</v>
      </c>
      <c r="M288" t="str">
        <f t="shared" si="9"/>
        <v/>
      </c>
    </row>
    <row r="289" spans="1:13">
      <c r="A289">
        <f>ROW()</f>
        <v>289</v>
      </c>
      <c r="B289">
        <f>IFERROR(INDEX(tblDeviceConfig[Device Type],ROW()-1),"")</f>
        <v>0</v>
      </c>
      <c r="C289">
        <f>IFERROR(INDEX(tblDeviceConfig[Deployed],ROW()-1),"")</f>
        <v>0</v>
      </c>
      <c r="D289">
        <f>IFERROR(INDEX(tblDeviceConfig[Installed],ROW()-1),"")</f>
        <v>0</v>
      </c>
      <c r="E289">
        <f>IFERROR(INDEX(tblDeviceConfig[Cybernet Hostname],ROW()-1),"")</f>
        <v>0</v>
      </c>
      <c r="F289">
        <f>IFERROR(INDEX(tblDeviceConfig[Neuron Hostname],ROW()-1),"")</f>
        <v>0</v>
      </c>
      <c r="G289">
        <f>IFERROR(INDEX(tblDeviceConfig[Software List],ROW()-1),"")</f>
        <v>0</v>
      </c>
      <c r="H289">
        <f>IFERROR(INDEX(tblDeviceConfig[PI_Use_Case],ROW()-1),"")</f>
        <v>0</v>
      </c>
      <c r="I289">
        <f>IFERROR(INDEX(tblDeviceConfig[PI_Result],ROW()-1),"")</f>
        <v>0</v>
      </c>
      <c r="J289">
        <f>IFERROR(INDEX(tblDeviceConfig[PI_Validated_By],ROW()-1),"")</f>
        <v>0</v>
      </c>
      <c r="K289">
        <f>IFERROR(INDEX(tblDeviceConfig[PI_Validated_Date],ROW()-1),"")</f>
        <v>0</v>
      </c>
      <c r="L289">
        <f t="shared" si="8"/>
        <v>0</v>
      </c>
      <c r="M289" t="str">
        <f t="shared" si="9"/>
        <v/>
      </c>
    </row>
    <row r="290" spans="1:13">
      <c r="A290">
        <f>ROW()</f>
        <v>290</v>
      </c>
      <c r="B290">
        <f>IFERROR(INDEX(tblDeviceConfig[Device Type],ROW()-1),"")</f>
        <v>0</v>
      </c>
      <c r="C290">
        <f>IFERROR(INDEX(tblDeviceConfig[Deployed],ROW()-1),"")</f>
        <v>0</v>
      </c>
      <c r="D290">
        <f>IFERROR(INDEX(tblDeviceConfig[Installed],ROW()-1),"")</f>
        <v>0</v>
      </c>
      <c r="E290">
        <f>IFERROR(INDEX(tblDeviceConfig[Cybernet Hostname],ROW()-1),"")</f>
        <v>0</v>
      </c>
      <c r="F290">
        <f>IFERROR(INDEX(tblDeviceConfig[Neuron Hostname],ROW()-1),"")</f>
        <v>0</v>
      </c>
      <c r="G290">
        <f>IFERROR(INDEX(tblDeviceConfig[Software List],ROW()-1),"")</f>
        <v>0</v>
      </c>
      <c r="H290">
        <f>IFERROR(INDEX(tblDeviceConfig[PI_Use_Case],ROW()-1),"")</f>
        <v>0</v>
      </c>
      <c r="I290">
        <f>IFERROR(INDEX(tblDeviceConfig[PI_Result],ROW()-1),"")</f>
        <v>0</v>
      </c>
      <c r="J290">
        <f>IFERROR(INDEX(tblDeviceConfig[PI_Validated_By],ROW()-1),"")</f>
        <v>0</v>
      </c>
      <c r="K290">
        <f>IFERROR(INDEX(tblDeviceConfig[PI_Validated_Date],ROW()-1),"")</f>
        <v>0</v>
      </c>
      <c r="L290">
        <f t="shared" si="8"/>
        <v>0</v>
      </c>
      <c r="M290" t="str">
        <f t="shared" si="9"/>
        <v/>
      </c>
    </row>
    <row r="291" spans="1:13">
      <c r="A291">
        <f>ROW()</f>
        <v>291</v>
      </c>
      <c r="B291">
        <f>IFERROR(INDEX(tblDeviceConfig[Device Type],ROW()-1),"")</f>
        <v>0</v>
      </c>
      <c r="C291">
        <f>IFERROR(INDEX(tblDeviceConfig[Deployed],ROW()-1),"")</f>
        <v>0</v>
      </c>
      <c r="D291">
        <f>IFERROR(INDEX(tblDeviceConfig[Installed],ROW()-1),"")</f>
        <v>0</v>
      </c>
      <c r="E291">
        <f>IFERROR(INDEX(tblDeviceConfig[Cybernet Hostname],ROW()-1),"")</f>
        <v>0</v>
      </c>
      <c r="F291">
        <f>IFERROR(INDEX(tblDeviceConfig[Neuron Hostname],ROW()-1),"")</f>
        <v>0</v>
      </c>
      <c r="G291">
        <f>IFERROR(INDEX(tblDeviceConfig[Software List],ROW()-1),"")</f>
        <v>0</v>
      </c>
      <c r="H291">
        <f>IFERROR(INDEX(tblDeviceConfig[PI_Use_Case],ROW()-1),"")</f>
        <v>0</v>
      </c>
      <c r="I291">
        <f>IFERROR(INDEX(tblDeviceConfig[PI_Result],ROW()-1),"")</f>
        <v>0</v>
      </c>
      <c r="J291">
        <f>IFERROR(INDEX(tblDeviceConfig[PI_Validated_By],ROW()-1),"")</f>
        <v>0</v>
      </c>
      <c r="K291">
        <f>IFERROR(INDEX(tblDeviceConfig[PI_Validated_Date],ROW()-1),"")</f>
        <v>0</v>
      </c>
      <c r="L291">
        <f t="shared" si="8"/>
        <v>0</v>
      </c>
      <c r="M291" t="str">
        <f t="shared" si="9"/>
        <v/>
      </c>
    </row>
    <row r="292" spans="1:13">
      <c r="A292">
        <f>ROW()</f>
        <v>292</v>
      </c>
      <c r="B292">
        <f>IFERROR(INDEX(tblDeviceConfig[Device Type],ROW()-1),"")</f>
        <v>0</v>
      </c>
      <c r="C292">
        <f>IFERROR(INDEX(tblDeviceConfig[Deployed],ROW()-1),"")</f>
        <v>0</v>
      </c>
      <c r="D292">
        <f>IFERROR(INDEX(tblDeviceConfig[Installed],ROW()-1),"")</f>
        <v>0</v>
      </c>
      <c r="E292">
        <f>IFERROR(INDEX(tblDeviceConfig[Cybernet Hostname],ROW()-1),"")</f>
        <v>0</v>
      </c>
      <c r="F292">
        <f>IFERROR(INDEX(tblDeviceConfig[Neuron Hostname],ROW()-1),"")</f>
        <v>0</v>
      </c>
      <c r="G292">
        <f>IFERROR(INDEX(tblDeviceConfig[Software List],ROW()-1),"")</f>
        <v>0</v>
      </c>
      <c r="H292">
        <f>IFERROR(INDEX(tblDeviceConfig[PI_Use_Case],ROW()-1),"")</f>
        <v>0</v>
      </c>
      <c r="I292">
        <f>IFERROR(INDEX(tblDeviceConfig[PI_Result],ROW()-1),"")</f>
        <v>0</v>
      </c>
      <c r="J292">
        <f>IFERROR(INDEX(tblDeviceConfig[PI_Validated_By],ROW()-1),"")</f>
        <v>0</v>
      </c>
      <c r="K292">
        <f>IFERROR(INDEX(tblDeviceConfig[PI_Validated_Date],ROW()-1),"")</f>
        <v>0</v>
      </c>
      <c r="L292">
        <f t="shared" si="8"/>
        <v>0</v>
      </c>
      <c r="M292" t="str">
        <f t="shared" si="9"/>
        <v/>
      </c>
    </row>
    <row r="293" spans="1:13">
      <c r="A293">
        <f>ROW()</f>
        <v>293</v>
      </c>
      <c r="B293">
        <f>IFERROR(INDEX(tblDeviceConfig[Device Type],ROW()-1),"")</f>
        <v>0</v>
      </c>
      <c r="C293">
        <f>IFERROR(INDEX(tblDeviceConfig[Deployed],ROW()-1),"")</f>
        <v>0</v>
      </c>
      <c r="D293">
        <f>IFERROR(INDEX(tblDeviceConfig[Installed],ROW()-1),"")</f>
        <v>0</v>
      </c>
      <c r="E293">
        <f>IFERROR(INDEX(tblDeviceConfig[Cybernet Hostname],ROW()-1),"")</f>
        <v>0</v>
      </c>
      <c r="F293">
        <f>IFERROR(INDEX(tblDeviceConfig[Neuron Hostname],ROW()-1),"")</f>
        <v>0</v>
      </c>
      <c r="G293">
        <f>IFERROR(INDEX(tblDeviceConfig[Software List],ROW()-1),"")</f>
        <v>0</v>
      </c>
      <c r="H293">
        <f>IFERROR(INDEX(tblDeviceConfig[PI_Use_Case],ROW()-1),"")</f>
        <v>0</v>
      </c>
      <c r="I293">
        <f>IFERROR(INDEX(tblDeviceConfig[PI_Result],ROW()-1),"")</f>
        <v>0</v>
      </c>
      <c r="J293">
        <f>IFERROR(INDEX(tblDeviceConfig[PI_Validated_By],ROW()-1),"")</f>
        <v>0</v>
      </c>
      <c r="K293">
        <f>IFERROR(INDEX(tblDeviceConfig[PI_Validated_Date],ROW()-1),"")</f>
        <v>0</v>
      </c>
      <c r="L293">
        <f t="shared" si="8"/>
        <v>0</v>
      </c>
      <c r="M293" t="str">
        <f t="shared" si="9"/>
        <v/>
      </c>
    </row>
    <row r="294" spans="1:13">
      <c r="A294">
        <f>ROW()</f>
        <v>294</v>
      </c>
      <c r="B294">
        <f>IFERROR(INDEX(tblDeviceConfig[Device Type],ROW()-1),"")</f>
        <v>0</v>
      </c>
      <c r="C294">
        <f>IFERROR(INDEX(tblDeviceConfig[Deployed],ROW()-1),"")</f>
        <v>0</v>
      </c>
      <c r="D294">
        <f>IFERROR(INDEX(tblDeviceConfig[Installed],ROW()-1),"")</f>
        <v>0</v>
      </c>
      <c r="E294">
        <f>IFERROR(INDEX(tblDeviceConfig[Cybernet Hostname],ROW()-1),"")</f>
        <v>0</v>
      </c>
      <c r="F294">
        <f>IFERROR(INDEX(tblDeviceConfig[Neuron Hostname],ROW()-1),"")</f>
        <v>0</v>
      </c>
      <c r="G294">
        <f>IFERROR(INDEX(tblDeviceConfig[Software List],ROW()-1),"")</f>
        <v>0</v>
      </c>
      <c r="H294">
        <f>IFERROR(INDEX(tblDeviceConfig[PI_Use_Case],ROW()-1),"")</f>
        <v>0</v>
      </c>
      <c r="I294">
        <f>IFERROR(INDEX(tblDeviceConfig[PI_Result],ROW()-1),"")</f>
        <v>0</v>
      </c>
      <c r="J294">
        <f>IFERROR(INDEX(tblDeviceConfig[PI_Validated_By],ROW()-1),"")</f>
        <v>0</v>
      </c>
      <c r="K294">
        <f>IFERROR(INDEX(tblDeviceConfig[PI_Validated_Date],ROW()-1),"")</f>
        <v>0</v>
      </c>
      <c r="L294">
        <f t="shared" si="8"/>
        <v>0</v>
      </c>
      <c r="M294" t="str">
        <f t="shared" si="9"/>
        <v/>
      </c>
    </row>
    <row r="295" spans="1:13">
      <c r="A295">
        <f>ROW()</f>
        <v>295</v>
      </c>
      <c r="B295">
        <f>IFERROR(INDEX(tblDeviceConfig[Device Type],ROW()-1),"")</f>
        <v>0</v>
      </c>
      <c r="C295">
        <f>IFERROR(INDEX(tblDeviceConfig[Deployed],ROW()-1),"")</f>
        <v>0</v>
      </c>
      <c r="D295">
        <f>IFERROR(INDEX(tblDeviceConfig[Installed],ROW()-1),"")</f>
        <v>0</v>
      </c>
      <c r="E295">
        <f>IFERROR(INDEX(tblDeviceConfig[Cybernet Hostname],ROW()-1),"")</f>
        <v>0</v>
      </c>
      <c r="F295">
        <f>IFERROR(INDEX(tblDeviceConfig[Neuron Hostname],ROW()-1),"")</f>
        <v>0</v>
      </c>
      <c r="G295">
        <f>IFERROR(INDEX(tblDeviceConfig[Software List],ROW()-1),"")</f>
        <v>0</v>
      </c>
      <c r="H295">
        <f>IFERROR(INDEX(tblDeviceConfig[PI_Use_Case],ROW()-1),"")</f>
        <v>0</v>
      </c>
      <c r="I295">
        <f>IFERROR(INDEX(tblDeviceConfig[PI_Result],ROW()-1),"")</f>
        <v>0</v>
      </c>
      <c r="J295">
        <f>IFERROR(INDEX(tblDeviceConfig[PI_Validated_By],ROW()-1),"")</f>
        <v>0</v>
      </c>
      <c r="K295">
        <f>IFERROR(INDEX(tblDeviceConfig[PI_Validated_Date],ROW()-1),"")</f>
        <v>0</v>
      </c>
      <c r="L295">
        <f t="shared" si="8"/>
        <v>0</v>
      </c>
      <c r="M295" t="str">
        <f t="shared" si="9"/>
        <v/>
      </c>
    </row>
    <row r="296" spans="1:13">
      <c r="A296">
        <f>ROW()</f>
        <v>296</v>
      </c>
      <c r="B296">
        <f>IFERROR(INDEX(tblDeviceConfig[Device Type],ROW()-1),"")</f>
        <v>0</v>
      </c>
      <c r="C296">
        <f>IFERROR(INDEX(tblDeviceConfig[Deployed],ROW()-1),"")</f>
        <v>0</v>
      </c>
      <c r="D296">
        <f>IFERROR(INDEX(tblDeviceConfig[Installed],ROW()-1),"")</f>
        <v>0</v>
      </c>
      <c r="E296">
        <f>IFERROR(INDEX(tblDeviceConfig[Cybernet Hostname],ROW()-1),"")</f>
        <v>0</v>
      </c>
      <c r="F296">
        <f>IFERROR(INDEX(tblDeviceConfig[Neuron Hostname],ROW()-1),"")</f>
        <v>0</v>
      </c>
      <c r="G296">
        <f>IFERROR(INDEX(tblDeviceConfig[Software List],ROW()-1),"")</f>
        <v>0</v>
      </c>
      <c r="H296">
        <f>IFERROR(INDEX(tblDeviceConfig[PI_Use_Case],ROW()-1),"")</f>
        <v>0</v>
      </c>
      <c r="I296">
        <f>IFERROR(INDEX(tblDeviceConfig[PI_Result],ROW()-1),"")</f>
        <v>0</v>
      </c>
      <c r="J296">
        <f>IFERROR(INDEX(tblDeviceConfig[PI_Validated_By],ROW()-1),"")</f>
        <v>0</v>
      </c>
      <c r="K296">
        <f>IFERROR(INDEX(tblDeviceConfig[PI_Validated_Date],ROW()-1),"")</f>
        <v>0</v>
      </c>
      <c r="L296">
        <f t="shared" si="8"/>
        <v>0</v>
      </c>
      <c r="M296" t="str">
        <f t="shared" si="9"/>
        <v/>
      </c>
    </row>
    <row r="297" spans="1:13">
      <c r="A297">
        <f>ROW()</f>
        <v>297</v>
      </c>
      <c r="B297">
        <f>IFERROR(INDEX(tblDeviceConfig[Device Type],ROW()-1),"")</f>
        <v>0</v>
      </c>
      <c r="C297">
        <f>IFERROR(INDEX(tblDeviceConfig[Deployed],ROW()-1),"")</f>
        <v>0</v>
      </c>
      <c r="D297">
        <f>IFERROR(INDEX(tblDeviceConfig[Installed],ROW()-1),"")</f>
        <v>0</v>
      </c>
      <c r="E297">
        <f>IFERROR(INDEX(tblDeviceConfig[Cybernet Hostname],ROW()-1),"")</f>
        <v>0</v>
      </c>
      <c r="F297">
        <f>IFERROR(INDEX(tblDeviceConfig[Neuron Hostname],ROW()-1),"")</f>
        <v>0</v>
      </c>
      <c r="G297">
        <f>IFERROR(INDEX(tblDeviceConfig[Software List],ROW()-1),"")</f>
        <v>0</v>
      </c>
      <c r="H297">
        <f>IFERROR(INDEX(tblDeviceConfig[PI_Use_Case],ROW()-1),"")</f>
        <v>0</v>
      </c>
      <c r="I297">
        <f>IFERROR(INDEX(tblDeviceConfig[PI_Result],ROW()-1),"")</f>
        <v>0</v>
      </c>
      <c r="J297">
        <f>IFERROR(INDEX(tblDeviceConfig[PI_Validated_By],ROW()-1),"")</f>
        <v>0</v>
      </c>
      <c r="K297">
        <f>IFERROR(INDEX(tblDeviceConfig[PI_Validated_Date],ROW()-1),"")</f>
        <v>0</v>
      </c>
      <c r="L297">
        <f t="shared" si="8"/>
        <v>0</v>
      </c>
      <c r="M297" t="str">
        <f t="shared" si="9"/>
        <v/>
      </c>
    </row>
    <row r="298" spans="1:13">
      <c r="A298">
        <f>ROW()</f>
        <v>298</v>
      </c>
      <c r="B298">
        <f>IFERROR(INDEX(tblDeviceConfig[Device Type],ROW()-1),"")</f>
        <v>0</v>
      </c>
      <c r="C298">
        <f>IFERROR(INDEX(tblDeviceConfig[Deployed],ROW()-1),"")</f>
        <v>0</v>
      </c>
      <c r="D298">
        <f>IFERROR(INDEX(tblDeviceConfig[Installed],ROW()-1),"")</f>
        <v>0</v>
      </c>
      <c r="E298">
        <f>IFERROR(INDEX(tblDeviceConfig[Cybernet Hostname],ROW()-1),"")</f>
        <v>0</v>
      </c>
      <c r="F298">
        <f>IFERROR(INDEX(tblDeviceConfig[Neuron Hostname],ROW()-1),"")</f>
        <v>0</v>
      </c>
      <c r="G298">
        <f>IFERROR(INDEX(tblDeviceConfig[Software List],ROW()-1),"")</f>
        <v>0</v>
      </c>
      <c r="H298">
        <f>IFERROR(INDEX(tblDeviceConfig[PI_Use_Case],ROW()-1),"")</f>
        <v>0</v>
      </c>
      <c r="I298">
        <f>IFERROR(INDEX(tblDeviceConfig[PI_Result],ROW()-1),"")</f>
        <v>0</v>
      </c>
      <c r="J298">
        <f>IFERROR(INDEX(tblDeviceConfig[PI_Validated_By],ROW()-1),"")</f>
        <v>0</v>
      </c>
      <c r="K298">
        <f>IFERROR(INDEX(tblDeviceConfig[PI_Validated_Date],ROW()-1),"")</f>
        <v>0</v>
      </c>
      <c r="L298">
        <f t="shared" si="8"/>
        <v>0</v>
      </c>
      <c r="M298" t="str">
        <f t="shared" si="9"/>
        <v/>
      </c>
    </row>
    <row r="299" spans="1:13">
      <c r="A299">
        <f>ROW()</f>
        <v>299</v>
      </c>
      <c r="B299">
        <f>IFERROR(INDEX(tblDeviceConfig[Device Type],ROW()-1),"")</f>
        <v>0</v>
      </c>
      <c r="C299">
        <f>IFERROR(INDEX(tblDeviceConfig[Deployed],ROW()-1),"")</f>
        <v>0</v>
      </c>
      <c r="D299">
        <f>IFERROR(INDEX(tblDeviceConfig[Installed],ROW()-1),"")</f>
        <v>0</v>
      </c>
      <c r="E299">
        <f>IFERROR(INDEX(tblDeviceConfig[Cybernet Hostname],ROW()-1),"")</f>
        <v>0</v>
      </c>
      <c r="F299">
        <f>IFERROR(INDEX(tblDeviceConfig[Neuron Hostname],ROW()-1),"")</f>
        <v>0</v>
      </c>
      <c r="G299">
        <f>IFERROR(INDEX(tblDeviceConfig[Software List],ROW()-1),"")</f>
        <v>0</v>
      </c>
      <c r="H299">
        <f>IFERROR(INDEX(tblDeviceConfig[PI_Use_Case],ROW()-1),"")</f>
        <v>0</v>
      </c>
      <c r="I299">
        <f>IFERROR(INDEX(tblDeviceConfig[PI_Result],ROW()-1),"")</f>
        <v>0</v>
      </c>
      <c r="J299">
        <f>IFERROR(INDEX(tblDeviceConfig[PI_Validated_By],ROW()-1),"")</f>
        <v>0</v>
      </c>
      <c r="K299">
        <f>IFERROR(INDEX(tblDeviceConfig[PI_Validated_Date],ROW()-1),"")</f>
        <v>0</v>
      </c>
      <c r="L299">
        <f t="shared" si="8"/>
        <v>0</v>
      </c>
      <c r="M299" t="str">
        <f t="shared" si="9"/>
        <v/>
      </c>
    </row>
    <row r="300" spans="1:13">
      <c r="A300">
        <f>ROW()</f>
        <v>300</v>
      </c>
      <c r="B300">
        <f>IFERROR(INDEX(tblDeviceConfig[Device Type],ROW()-1),"")</f>
        <v>0</v>
      </c>
      <c r="C300">
        <f>IFERROR(INDEX(tblDeviceConfig[Deployed],ROW()-1),"")</f>
        <v>0</v>
      </c>
      <c r="D300">
        <f>IFERROR(INDEX(tblDeviceConfig[Installed],ROW()-1),"")</f>
        <v>0</v>
      </c>
      <c r="E300">
        <f>IFERROR(INDEX(tblDeviceConfig[Cybernet Hostname],ROW()-1),"")</f>
        <v>0</v>
      </c>
      <c r="F300">
        <f>IFERROR(INDEX(tblDeviceConfig[Neuron Hostname],ROW()-1),"")</f>
        <v>0</v>
      </c>
      <c r="G300">
        <f>IFERROR(INDEX(tblDeviceConfig[Software List],ROW()-1),"")</f>
        <v>0</v>
      </c>
      <c r="H300">
        <f>IFERROR(INDEX(tblDeviceConfig[PI_Use_Case],ROW()-1),"")</f>
        <v>0</v>
      </c>
      <c r="I300">
        <f>IFERROR(INDEX(tblDeviceConfig[PI_Result],ROW()-1),"")</f>
        <v>0</v>
      </c>
      <c r="J300">
        <f>IFERROR(INDEX(tblDeviceConfig[PI_Validated_By],ROW()-1),"")</f>
        <v>0</v>
      </c>
      <c r="K300">
        <f>IFERROR(INDEX(tblDeviceConfig[PI_Validated_Date],ROW()-1),"")</f>
        <v>0</v>
      </c>
      <c r="L300">
        <f t="shared" si="8"/>
        <v>0</v>
      </c>
      <c r="M300" t="str">
        <f t="shared" si="9"/>
        <v/>
      </c>
    </row>
    <row r="301" spans="1:13">
      <c r="A301">
        <f>ROW()</f>
        <v>301</v>
      </c>
      <c r="B301">
        <f>IFERROR(INDEX(tblDeviceConfig[Device Type],ROW()-1),"")</f>
        <v>0</v>
      </c>
      <c r="C301">
        <f>IFERROR(INDEX(tblDeviceConfig[Deployed],ROW()-1),"")</f>
        <v>0</v>
      </c>
      <c r="D301">
        <f>IFERROR(INDEX(tblDeviceConfig[Installed],ROW()-1),"")</f>
        <v>0</v>
      </c>
      <c r="E301">
        <f>IFERROR(INDEX(tblDeviceConfig[Cybernet Hostname],ROW()-1),"")</f>
        <v>0</v>
      </c>
      <c r="F301">
        <f>IFERROR(INDEX(tblDeviceConfig[Neuron Hostname],ROW()-1),"")</f>
        <v>0</v>
      </c>
      <c r="G301">
        <f>IFERROR(INDEX(tblDeviceConfig[Software List],ROW()-1),"")</f>
        <v>0</v>
      </c>
      <c r="H301">
        <f>IFERROR(INDEX(tblDeviceConfig[PI_Use_Case],ROW()-1),"")</f>
        <v>0</v>
      </c>
      <c r="I301">
        <f>IFERROR(INDEX(tblDeviceConfig[PI_Result],ROW()-1),"")</f>
        <v>0</v>
      </c>
      <c r="J301">
        <f>IFERROR(INDEX(tblDeviceConfig[PI_Validated_By],ROW()-1),"")</f>
        <v>0</v>
      </c>
      <c r="K301">
        <f>IFERROR(INDEX(tblDeviceConfig[PI_Validated_Date],ROW()-1),"")</f>
        <v>0</v>
      </c>
      <c r="L301">
        <f t="shared" si="8"/>
        <v>0</v>
      </c>
      <c r="M301" t="str">
        <f t="shared" si="9"/>
        <v/>
      </c>
    </row>
    <row r="302" spans="1:13">
      <c r="A302">
        <f>ROW()</f>
        <v>302</v>
      </c>
      <c r="B302">
        <f>IFERROR(INDEX(tblDeviceConfig[Device Type],ROW()-1),"")</f>
        <v>0</v>
      </c>
      <c r="C302">
        <f>IFERROR(INDEX(tblDeviceConfig[Deployed],ROW()-1),"")</f>
        <v>0</v>
      </c>
      <c r="D302">
        <f>IFERROR(INDEX(tblDeviceConfig[Installed],ROW()-1),"")</f>
        <v>0</v>
      </c>
      <c r="E302">
        <f>IFERROR(INDEX(tblDeviceConfig[Cybernet Hostname],ROW()-1),"")</f>
        <v>0</v>
      </c>
      <c r="F302">
        <f>IFERROR(INDEX(tblDeviceConfig[Neuron Hostname],ROW()-1),"")</f>
        <v>0</v>
      </c>
      <c r="G302">
        <f>IFERROR(INDEX(tblDeviceConfig[Software List],ROW()-1),"")</f>
        <v>0</v>
      </c>
      <c r="H302">
        <f>IFERROR(INDEX(tblDeviceConfig[PI_Use_Case],ROW()-1),"")</f>
        <v>0</v>
      </c>
      <c r="I302">
        <f>IFERROR(INDEX(tblDeviceConfig[PI_Result],ROW()-1),"")</f>
        <v>0</v>
      </c>
      <c r="J302">
        <f>IFERROR(INDEX(tblDeviceConfig[PI_Validated_By],ROW()-1),"")</f>
        <v>0</v>
      </c>
      <c r="K302">
        <f>IFERROR(INDEX(tblDeviceConfig[PI_Validated_Date],ROW()-1),"")</f>
        <v>0</v>
      </c>
      <c r="L302">
        <f t="shared" si="8"/>
        <v>0</v>
      </c>
      <c r="M302" t="str">
        <f t="shared" si="9"/>
        <v/>
      </c>
    </row>
    <row r="303" spans="1:13">
      <c r="A303">
        <f>ROW()</f>
        <v>303</v>
      </c>
      <c r="B303">
        <f>IFERROR(INDEX(tblDeviceConfig[Device Type],ROW()-1),"")</f>
        <v>0</v>
      </c>
      <c r="C303">
        <f>IFERROR(INDEX(tblDeviceConfig[Deployed],ROW()-1),"")</f>
        <v>0</v>
      </c>
      <c r="D303">
        <f>IFERROR(INDEX(tblDeviceConfig[Installed],ROW()-1),"")</f>
        <v>0</v>
      </c>
      <c r="E303">
        <f>IFERROR(INDEX(tblDeviceConfig[Cybernet Hostname],ROW()-1),"")</f>
        <v>0</v>
      </c>
      <c r="F303">
        <f>IFERROR(INDEX(tblDeviceConfig[Neuron Hostname],ROW()-1),"")</f>
        <v>0</v>
      </c>
      <c r="G303">
        <f>IFERROR(INDEX(tblDeviceConfig[Software List],ROW()-1),"")</f>
        <v>0</v>
      </c>
      <c r="H303">
        <f>IFERROR(INDEX(tblDeviceConfig[PI_Use_Case],ROW()-1),"")</f>
        <v>0</v>
      </c>
      <c r="I303">
        <f>IFERROR(INDEX(tblDeviceConfig[PI_Result],ROW()-1),"")</f>
        <v>0</v>
      </c>
      <c r="J303">
        <f>IFERROR(INDEX(tblDeviceConfig[PI_Validated_By],ROW()-1),"")</f>
        <v>0</v>
      </c>
      <c r="K303">
        <f>IFERROR(INDEX(tblDeviceConfig[PI_Validated_Date],ROW()-1),"")</f>
        <v>0</v>
      </c>
      <c r="L303">
        <f t="shared" si="8"/>
        <v>0</v>
      </c>
      <c r="M303" t="str">
        <f t="shared" si="9"/>
        <v/>
      </c>
    </row>
    <row r="304" spans="1:13">
      <c r="A304">
        <f>ROW()</f>
        <v>304</v>
      </c>
      <c r="B304">
        <f>IFERROR(INDEX(tblDeviceConfig[Device Type],ROW()-1),"")</f>
        <v>0</v>
      </c>
      <c r="C304">
        <f>IFERROR(INDEX(tblDeviceConfig[Deployed],ROW()-1),"")</f>
        <v>0</v>
      </c>
      <c r="D304">
        <f>IFERROR(INDEX(tblDeviceConfig[Installed],ROW()-1),"")</f>
        <v>0</v>
      </c>
      <c r="E304">
        <f>IFERROR(INDEX(tblDeviceConfig[Cybernet Hostname],ROW()-1),"")</f>
        <v>0</v>
      </c>
      <c r="F304">
        <f>IFERROR(INDEX(tblDeviceConfig[Neuron Hostname],ROW()-1),"")</f>
        <v>0</v>
      </c>
      <c r="G304">
        <f>IFERROR(INDEX(tblDeviceConfig[Software List],ROW()-1),"")</f>
        <v>0</v>
      </c>
      <c r="H304">
        <f>IFERROR(INDEX(tblDeviceConfig[PI_Use_Case],ROW()-1),"")</f>
        <v>0</v>
      </c>
      <c r="I304">
        <f>IFERROR(INDEX(tblDeviceConfig[PI_Result],ROW()-1),"")</f>
        <v>0</v>
      </c>
      <c r="J304">
        <f>IFERROR(INDEX(tblDeviceConfig[PI_Validated_By],ROW()-1),"")</f>
        <v>0</v>
      </c>
      <c r="K304">
        <f>IFERROR(INDEX(tblDeviceConfig[PI_Validated_Date],ROW()-1),"")</f>
        <v>0</v>
      </c>
      <c r="L304">
        <f t="shared" si="8"/>
        <v>0</v>
      </c>
      <c r="M304" t="str">
        <f t="shared" si="9"/>
        <v/>
      </c>
    </row>
    <row r="305" spans="1:13">
      <c r="A305">
        <f>ROW()</f>
        <v>305</v>
      </c>
      <c r="B305">
        <f>IFERROR(INDEX(tblDeviceConfig[Device Type],ROW()-1),"")</f>
        <v>0</v>
      </c>
      <c r="C305">
        <f>IFERROR(INDEX(tblDeviceConfig[Deployed],ROW()-1),"")</f>
        <v>0</v>
      </c>
      <c r="D305">
        <f>IFERROR(INDEX(tblDeviceConfig[Installed],ROW()-1),"")</f>
        <v>0</v>
      </c>
      <c r="E305">
        <f>IFERROR(INDEX(tblDeviceConfig[Cybernet Hostname],ROW()-1),"")</f>
        <v>0</v>
      </c>
      <c r="F305">
        <f>IFERROR(INDEX(tblDeviceConfig[Neuron Hostname],ROW()-1),"")</f>
        <v>0</v>
      </c>
      <c r="G305">
        <f>IFERROR(INDEX(tblDeviceConfig[Software List],ROW()-1),"")</f>
        <v>0</v>
      </c>
      <c r="H305">
        <f>IFERROR(INDEX(tblDeviceConfig[PI_Use_Case],ROW()-1),"")</f>
        <v>0</v>
      </c>
      <c r="I305">
        <f>IFERROR(INDEX(tblDeviceConfig[PI_Result],ROW()-1),"")</f>
        <v>0</v>
      </c>
      <c r="J305">
        <f>IFERROR(INDEX(tblDeviceConfig[PI_Validated_By],ROW()-1),"")</f>
        <v>0</v>
      </c>
      <c r="K305">
        <f>IFERROR(INDEX(tblDeviceConfig[PI_Validated_Date],ROW()-1),"")</f>
        <v>0</v>
      </c>
      <c r="L305">
        <f t="shared" si="8"/>
        <v>0</v>
      </c>
      <c r="M305" t="str">
        <f t="shared" si="9"/>
        <v/>
      </c>
    </row>
    <row r="306" spans="1:13">
      <c r="A306">
        <f>ROW()</f>
        <v>306</v>
      </c>
      <c r="B306">
        <f>IFERROR(INDEX(tblDeviceConfig[Device Type],ROW()-1),"")</f>
        <v>0</v>
      </c>
      <c r="C306">
        <f>IFERROR(INDEX(tblDeviceConfig[Deployed],ROW()-1),"")</f>
        <v>0</v>
      </c>
      <c r="D306">
        <f>IFERROR(INDEX(tblDeviceConfig[Installed],ROW()-1),"")</f>
        <v>0</v>
      </c>
      <c r="E306">
        <f>IFERROR(INDEX(tblDeviceConfig[Cybernet Hostname],ROW()-1),"")</f>
        <v>0</v>
      </c>
      <c r="F306">
        <f>IFERROR(INDEX(tblDeviceConfig[Neuron Hostname],ROW()-1),"")</f>
        <v>0</v>
      </c>
      <c r="G306">
        <f>IFERROR(INDEX(tblDeviceConfig[Software List],ROW()-1),"")</f>
        <v>0</v>
      </c>
      <c r="H306">
        <f>IFERROR(INDEX(tblDeviceConfig[PI_Use_Case],ROW()-1),"")</f>
        <v>0</v>
      </c>
      <c r="I306">
        <f>IFERROR(INDEX(tblDeviceConfig[PI_Result],ROW()-1),"")</f>
        <v>0</v>
      </c>
      <c r="J306">
        <f>IFERROR(INDEX(tblDeviceConfig[PI_Validated_By],ROW()-1),"")</f>
        <v>0</v>
      </c>
      <c r="K306">
        <f>IFERROR(INDEX(tblDeviceConfig[PI_Validated_Date],ROW()-1),"")</f>
        <v>0</v>
      </c>
      <c r="L306">
        <f t="shared" si="8"/>
        <v>0</v>
      </c>
      <c r="M306" t="str">
        <f t="shared" si="9"/>
        <v/>
      </c>
    </row>
    <row r="307" spans="1:13">
      <c r="A307">
        <f>ROW()</f>
        <v>307</v>
      </c>
      <c r="B307">
        <f>IFERROR(INDEX(tblDeviceConfig[Device Type],ROW()-1),"")</f>
        <v>0</v>
      </c>
      <c r="C307">
        <f>IFERROR(INDEX(tblDeviceConfig[Deployed],ROW()-1),"")</f>
        <v>0</v>
      </c>
      <c r="D307">
        <f>IFERROR(INDEX(tblDeviceConfig[Installed],ROW()-1),"")</f>
        <v>0</v>
      </c>
      <c r="E307">
        <f>IFERROR(INDEX(tblDeviceConfig[Cybernet Hostname],ROW()-1),"")</f>
        <v>0</v>
      </c>
      <c r="F307">
        <f>IFERROR(INDEX(tblDeviceConfig[Neuron Hostname],ROW()-1),"")</f>
        <v>0</v>
      </c>
      <c r="G307">
        <f>IFERROR(INDEX(tblDeviceConfig[Software List],ROW()-1),"")</f>
        <v>0</v>
      </c>
      <c r="H307">
        <f>IFERROR(INDEX(tblDeviceConfig[PI_Use_Case],ROW()-1),"")</f>
        <v>0</v>
      </c>
      <c r="I307">
        <f>IFERROR(INDEX(tblDeviceConfig[PI_Result],ROW()-1),"")</f>
        <v>0</v>
      </c>
      <c r="J307">
        <f>IFERROR(INDEX(tblDeviceConfig[PI_Validated_By],ROW()-1),"")</f>
        <v>0</v>
      </c>
      <c r="K307">
        <f>IFERROR(INDEX(tblDeviceConfig[PI_Validated_Date],ROW()-1),"")</f>
        <v>0</v>
      </c>
      <c r="L307">
        <f t="shared" si="8"/>
        <v>0</v>
      </c>
      <c r="M307" t="str">
        <f t="shared" si="9"/>
        <v/>
      </c>
    </row>
    <row r="308" spans="1:13">
      <c r="A308">
        <f>ROW()</f>
        <v>308</v>
      </c>
      <c r="B308">
        <f>IFERROR(INDEX(tblDeviceConfig[Device Type],ROW()-1),"")</f>
        <v>0</v>
      </c>
      <c r="C308">
        <f>IFERROR(INDEX(tblDeviceConfig[Deployed],ROW()-1),"")</f>
        <v>0</v>
      </c>
      <c r="D308">
        <f>IFERROR(INDEX(tblDeviceConfig[Installed],ROW()-1),"")</f>
        <v>0</v>
      </c>
      <c r="E308">
        <f>IFERROR(INDEX(tblDeviceConfig[Cybernet Hostname],ROW()-1),"")</f>
        <v>0</v>
      </c>
      <c r="F308">
        <f>IFERROR(INDEX(tblDeviceConfig[Neuron Hostname],ROW()-1),"")</f>
        <v>0</v>
      </c>
      <c r="G308">
        <f>IFERROR(INDEX(tblDeviceConfig[Software List],ROW()-1),"")</f>
        <v>0</v>
      </c>
      <c r="H308">
        <f>IFERROR(INDEX(tblDeviceConfig[PI_Use_Case],ROW()-1),"")</f>
        <v>0</v>
      </c>
      <c r="I308">
        <f>IFERROR(INDEX(tblDeviceConfig[PI_Result],ROW()-1),"")</f>
        <v>0</v>
      </c>
      <c r="J308">
        <f>IFERROR(INDEX(tblDeviceConfig[PI_Validated_By],ROW()-1),"")</f>
        <v>0</v>
      </c>
      <c r="K308">
        <f>IFERROR(INDEX(tblDeviceConfig[PI_Validated_Date],ROW()-1),"")</f>
        <v>0</v>
      </c>
      <c r="L308">
        <f t="shared" si="8"/>
        <v>0</v>
      </c>
      <c r="M308" t="str">
        <f t="shared" si="9"/>
        <v/>
      </c>
    </row>
    <row r="309" spans="1:13">
      <c r="A309">
        <f>ROW()</f>
        <v>309</v>
      </c>
      <c r="B309">
        <f>IFERROR(INDEX(tblDeviceConfig[Device Type],ROW()-1),"")</f>
        <v>0</v>
      </c>
      <c r="C309">
        <f>IFERROR(INDEX(tblDeviceConfig[Deployed],ROW()-1),"")</f>
        <v>0</v>
      </c>
      <c r="D309">
        <f>IFERROR(INDEX(tblDeviceConfig[Installed],ROW()-1),"")</f>
        <v>0</v>
      </c>
      <c r="E309">
        <f>IFERROR(INDEX(tblDeviceConfig[Cybernet Hostname],ROW()-1),"")</f>
        <v>0</v>
      </c>
      <c r="F309">
        <f>IFERROR(INDEX(tblDeviceConfig[Neuron Hostname],ROW()-1),"")</f>
        <v>0</v>
      </c>
      <c r="G309">
        <f>IFERROR(INDEX(tblDeviceConfig[Software List],ROW()-1),"")</f>
        <v>0</v>
      </c>
      <c r="H309">
        <f>IFERROR(INDEX(tblDeviceConfig[PI_Use_Case],ROW()-1),"")</f>
        <v>0</v>
      </c>
      <c r="I309">
        <f>IFERROR(INDEX(tblDeviceConfig[PI_Result],ROW()-1),"")</f>
        <v>0</v>
      </c>
      <c r="J309">
        <f>IFERROR(INDEX(tblDeviceConfig[PI_Validated_By],ROW()-1),"")</f>
        <v>0</v>
      </c>
      <c r="K309">
        <f>IFERROR(INDEX(tblDeviceConfig[PI_Validated_Date],ROW()-1),"")</f>
        <v>0</v>
      </c>
      <c r="L309">
        <f t="shared" si="8"/>
        <v>0</v>
      </c>
      <c r="M309" t="str">
        <f t="shared" si="9"/>
        <v/>
      </c>
    </row>
    <row r="310" spans="1:13">
      <c r="A310">
        <f>ROW()</f>
        <v>310</v>
      </c>
      <c r="B310">
        <f>IFERROR(INDEX(tblDeviceConfig[Device Type],ROW()-1),"")</f>
        <v>0</v>
      </c>
      <c r="C310">
        <f>IFERROR(INDEX(tblDeviceConfig[Deployed],ROW()-1),"")</f>
        <v>0</v>
      </c>
      <c r="D310">
        <f>IFERROR(INDEX(tblDeviceConfig[Installed],ROW()-1),"")</f>
        <v>0</v>
      </c>
      <c r="E310">
        <f>IFERROR(INDEX(tblDeviceConfig[Cybernet Hostname],ROW()-1),"")</f>
        <v>0</v>
      </c>
      <c r="F310">
        <f>IFERROR(INDEX(tblDeviceConfig[Neuron Hostname],ROW()-1),"")</f>
        <v>0</v>
      </c>
      <c r="G310">
        <f>IFERROR(INDEX(tblDeviceConfig[Software List],ROW()-1),"")</f>
        <v>0</v>
      </c>
      <c r="H310">
        <f>IFERROR(INDEX(tblDeviceConfig[PI_Use_Case],ROW()-1),"")</f>
        <v>0</v>
      </c>
      <c r="I310">
        <f>IFERROR(INDEX(tblDeviceConfig[PI_Result],ROW()-1),"")</f>
        <v>0</v>
      </c>
      <c r="J310">
        <f>IFERROR(INDEX(tblDeviceConfig[PI_Validated_By],ROW()-1),"")</f>
        <v>0</v>
      </c>
      <c r="K310">
        <f>IFERROR(INDEX(tblDeviceConfig[PI_Validated_Date],ROW()-1),"")</f>
        <v>0</v>
      </c>
      <c r="L310">
        <f t="shared" si="8"/>
        <v>0</v>
      </c>
      <c r="M310" t="str">
        <f t="shared" si="9"/>
        <v/>
      </c>
    </row>
    <row r="311" spans="1:13">
      <c r="A311">
        <f>ROW()</f>
        <v>311</v>
      </c>
      <c r="B311">
        <f>IFERROR(INDEX(tblDeviceConfig[Device Type],ROW()-1),"")</f>
        <v>0</v>
      </c>
      <c r="C311">
        <f>IFERROR(INDEX(tblDeviceConfig[Deployed],ROW()-1),"")</f>
        <v>0</v>
      </c>
      <c r="D311">
        <f>IFERROR(INDEX(tblDeviceConfig[Installed],ROW()-1),"")</f>
        <v>0</v>
      </c>
      <c r="E311">
        <f>IFERROR(INDEX(tblDeviceConfig[Cybernet Hostname],ROW()-1),"")</f>
        <v>0</v>
      </c>
      <c r="F311">
        <f>IFERROR(INDEX(tblDeviceConfig[Neuron Hostname],ROW()-1),"")</f>
        <v>0</v>
      </c>
      <c r="G311">
        <f>IFERROR(INDEX(tblDeviceConfig[Software List],ROW()-1),"")</f>
        <v>0</v>
      </c>
      <c r="H311">
        <f>IFERROR(INDEX(tblDeviceConfig[PI_Use_Case],ROW()-1),"")</f>
        <v>0</v>
      </c>
      <c r="I311">
        <f>IFERROR(INDEX(tblDeviceConfig[PI_Result],ROW()-1),"")</f>
        <v>0</v>
      </c>
      <c r="J311">
        <f>IFERROR(INDEX(tblDeviceConfig[PI_Validated_By],ROW()-1),"")</f>
        <v>0</v>
      </c>
      <c r="K311">
        <f>IFERROR(INDEX(tblDeviceConfig[PI_Validated_Date],ROW()-1),"")</f>
        <v>0</v>
      </c>
      <c r="L311">
        <f t="shared" si="8"/>
        <v>0</v>
      </c>
      <c r="M311" t="str">
        <f t="shared" si="9"/>
        <v/>
      </c>
    </row>
    <row r="312" spans="1:13">
      <c r="A312">
        <f>ROW()</f>
        <v>312</v>
      </c>
      <c r="B312">
        <f>IFERROR(INDEX(tblDeviceConfig[Device Type],ROW()-1),"")</f>
        <v>0</v>
      </c>
      <c r="C312">
        <f>IFERROR(INDEX(tblDeviceConfig[Deployed],ROW()-1),"")</f>
        <v>0</v>
      </c>
      <c r="D312">
        <f>IFERROR(INDEX(tblDeviceConfig[Installed],ROW()-1),"")</f>
        <v>0</v>
      </c>
      <c r="E312">
        <f>IFERROR(INDEX(tblDeviceConfig[Cybernet Hostname],ROW()-1),"")</f>
        <v>0</v>
      </c>
      <c r="F312">
        <f>IFERROR(INDEX(tblDeviceConfig[Neuron Hostname],ROW()-1),"")</f>
        <v>0</v>
      </c>
      <c r="G312">
        <f>IFERROR(INDEX(tblDeviceConfig[Software List],ROW()-1),"")</f>
        <v>0</v>
      </c>
      <c r="H312">
        <f>IFERROR(INDEX(tblDeviceConfig[PI_Use_Case],ROW()-1),"")</f>
        <v>0</v>
      </c>
      <c r="I312">
        <f>IFERROR(INDEX(tblDeviceConfig[PI_Result],ROW()-1),"")</f>
        <v>0</v>
      </c>
      <c r="J312">
        <f>IFERROR(INDEX(tblDeviceConfig[PI_Validated_By],ROW()-1),"")</f>
        <v>0</v>
      </c>
      <c r="K312">
        <f>IFERROR(INDEX(tblDeviceConfig[PI_Validated_Date],ROW()-1),"")</f>
        <v>0</v>
      </c>
      <c r="L312">
        <f t="shared" si="8"/>
        <v>0</v>
      </c>
      <c r="M312" t="str">
        <f t="shared" si="9"/>
        <v/>
      </c>
    </row>
    <row r="313" spans="1:13">
      <c r="A313">
        <f>ROW()</f>
        <v>313</v>
      </c>
      <c r="B313">
        <f>IFERROR(INDEX(tblDeviceConfig[Device Type],ROW()-1),"")</f>
        <v>0</v>
      </c>
      <c r="C313">
        <f>IFERROR(INDEX(tblDeviceConfig[Deployed],ROW()-1),"")</f>
        <v>0</v>
      </c>
      <c r="D313">
        <f>IFERROR(INDEX(tblDeviceConfig[Installed],ROW()-1),"")</f>
        <v>0</v>
      </c>
      <c r="E313">
        <f>IFERROR(INDEX(tblDeviceConfig[Cybernet Hostname],ROW()-1),"")</f>
        <v>0</v>
      </c>
      <c r="F313">
        <f>IFERROR(INDEX(tblDeviceConfig[Neuron Hostname],ROW()-1),"")</f>
        <v>0</v>
      </c>
      <c r="G313">
        <f>IFERROR(INDEX(tblDeviceConfig[Software List],ROW()-1),"")</f>
        <v>0</v>
      </c>
      <c r="H313">
        <f>IFERROR(INDEX(tblDeviceConfig[PI_Use_Case],ROW()-1),"")</f>
        <v>0</v>
      </c>
      <c r="I313">
        <f>IFERROR(INDEX(tblDeviceConfig[PI_Result],ROW()-1),"")</f>
        <v>0</v>
      </c>
      <c r="J313">
        <f>IFERROR(INDEX(tblDeviceConfig[PI_Validated_By],ROW()-1),"")</f>
        <v>0</v>
      </c>
      <c r="K313">
        <f>IFERROR(INDEX(tblDeviceConfig[PI_Validated_Date],ROW()-1),"")</f>
        <v>0</v>
      </c>
      <c r="L313">
        <f t="shared" si="8"/>
        <v>0</v>
      </c>
      <c r="M313" t="str">
        <f t="shared" si="9"/>
        <v/>
      </c>
    </row>
    <row r="314" spans="1:13">
      <c r="A314">
        <f>ROW()</f>
        <v>314</v>
      </c>
      <c r="B314">
        <f>IFERROR(INDEX(tblDeviceConfig[Device Type],ROW()-1),"")</f>
        <v>0</v>
      </c>
      <c r="C314">
        <f>IFERROR(INDEX(tblDeviceConfig[Deployed],ROW()-1),"")</f>
        <v>0</v>
      </c>
      <c r="D314">
        <f>IFERROR(INDEX(tblDeviceConfig[Installed],ROW()-1),"")</f>
        <v>0</v>
      </c>
      <c r="E314">
        <f>IFERROR(INDEX(tblDeviceConfig[Cybernet Hostname],ROW()-1),"")</f>
        <v>0</v>
      </c>
      <c r="F314">
        <f>IFERROR(INDEX(tblDeviceConfig[Neuron Hostname],ROW()-1),"")</f>
        <v>0</v>
      </c>
      <c r="G314">
        <f>IFERROR(INDEX(tblDeviceConfig[Software List],ROW()-1),"")</f>
        <v>0</v>
      </c>
      <c r="H314">
        <f>IFERROR(INDEX(tblDeviceConfig[PI_Use_Case],ROW()-1),"")</f>
        <v>0</v>
      </c>
      <c r="I314">
        <f>IFERROR(INDEX(tblDeviceConfig[PI_Result],ROW()-1),"")</f>
        <v>0</v>
      </c>
      <c r="J314">
        <f>IFERROR(INDEX(tblDeviceConfig[PI_Validated_By],ROW()-1),"")</f>
        <v>0</v>
      </c>
      <c r="K314">
        <f>IFERROR(INDEX(tblDeviceConfig[PI_Validated_Date],ROW()-1),"")</f>
        <v>0</v>
      </c>
      <c r="L314">
        <f t="shared" si="8"/>
        <v>0</v>
      </c>
      <c r="M314" t="str">
        <f t="shared" si="9"/>
        <v/>
      </c>
    </row>
    <row r="315" spans="1:13">
      <c r="A315">
        <f>ROW()</f>
        <v>315</v>
      </c>
      <c r="B315">
        <f>IFERROR(INDEX(tblDeviceConfig[Device Type],ROW()-1),"")</f>
        <v>0</v>
      </c>
      <c r="C315">
        <f>IFERROR(INDEX(tblDeviceConfig[Deployed],ROW()-1),"")</f>
        <v>0</v>
      </c>
      <c r="D315">
        <f>IFERROR(INDEX(tblDeviceConfig[Installed],ROW()-1),"")</f>
        <v>0</v>
      </c>
      <c r="E315">
        <f>IFERROR(INDEX(tblDeviceConfig[Cybernet Hostname],ROW()-1),"")</f>
        <v>0</v>
      </c>
      <c r="F315">
        <f>IFERROR(INDEX(tblDeviceConfig[Neuron Hostname],ROW()-1),"")</f>
        <v>0</v>
      </c>
      <c r="G315">
        <f>IFERROR(INDEX(tblDeviceConfig[Software List],ROW()-1),"")</f>
        <v>0</v>
      </c>
      <c r="H315">
        <f>IFERROR(INDEX(tblDeviceConfig[PI_Use_Case],ROW()-1),"")</f>
        <v>0</v>
      </c>
      <c r="I315">
        <f>IFERROR(INDEX(tblDeviceConfig[PI_Result],ROW()-1),"")</f>
        <v>0</v>
      </c>
      <c r="J315">
        <f>IFERROR(INDEX(tblDeviceConfig[PI_Validated_By],ROW()-1),"")</f>
        <v>0</v>
      </c>
      <c r="K315">
        <f>IFERROR(INDEX(tblDeviceConfig[PI_Validated_Date],ROW()-1),"")</f>
        <v>0</v>
      </c>
      <c r="L315">
        <f t="shared" si="8"/>
        <v>0</v>
      </c>
      <c r="M315" t="str">
        <f t="shared" si="9"/>
        <v/>
      </c>
    </row>
    <row r="316" spans="1:13">
      <c r="A316">
        <f>ROW()</f>
        <v>316</v>
      </c>
      <c r="B316">
        <f>IFERROR(INDEX(tblDeviceConfig[Device Type],ROW()-1),"")</f>
        <v>0</v>
      </c>
      <c r="C316">
        <f>IFERROR(INDEX(tblDeviceConfig[Deployed],ROW()-1),"")</f>
        <v>0</v>
      </c>
      <c r="D316">
        <f>IFERROR(INDEX(tblDeviceConfig[Installed],ROW()-1),"")</f>
        <v>0</v>
      </c>
      <c r="E316">
        <f>IFERROR(INDEX(tblDeviceConfig[Cybernet Hostname],ROW()-1),"")</f>
        <v>0</v>
      </c>
      <c r="F316">
        <f>IFERROR(INDEX(tblDeviceConfig[Neuron Hostname],ROW()-1),"")</f>
        <v>0</v>
      </c>
      <c r="G316">
        <f>IFERROR(INDEX(tblDeviceConfig[Software List],ROW()-1),"")</f>
        <v>0</v>
      </c>
      <c r="H316">
        <f>IFERROR(INDEX(tblDeviceConfig[PI_Use_Case],ROW()-1),"")</f>
        <v>0</v>
      </c>
      <c r="I316">
        <f>IFERROR(INDEX(tblDeviceConfig[PI_Result],ROW()-1),"")</f>
        <v>0</v>
      </c>
      <c r="J316">
        <f>IFERROR(INDEX(tblDeviceConfig[PI_Validated_By],ROW()-1),"")</f>
        <v>0</v>
      </c>
      <c r="K316">
        <f>IFERROR(INDEX(tblDeviceConfig[PI_Validated_Date],ROW()-1),"")</f>
        <v>0</v>
      </c>
      <c r="L316">
        <f t="shared" si="8"/>
        <v>0</v>
      </c>
      <c r="M316" t="str">
        <f t="shared" si="9"/>
        <v/>
      </c>
    </row>
    <row r="317" spans="1:13">
      <c r="A317">
        <f>ROW()</f>
        <v>317</v>
      </c>
      <c r="B317">
        <f>IFERROR(INDEX(tblDeviceConfig[Device Type],ROW()-1),"")</f>
        <v>0</v>
      </c>
      <c r="C317">
        <f>IFERROR(INDEX(tblDeviceConfig[Deployed],ROW()-1),"")</f>
        <v>0</v>
      </c>
      <c r="D317">
        <f>IFERROR(INDEX(tblDeviceConfig[Installed],ROW()-1),"")</f>
        <v>0</v>
      </c>
      <c r="E317">
        <f>IFERROR(INDEX(tblDeviceConfig[Cybernet Hostname],ROW()-1),"")</f>
        <v>0</v>
      </c>
      <c r="F317">
        <f>IFERROR(INDEX(tblDeviceConfig[Neuron Hostname],ROW()-1),"")</f>
        <v>0</v>
      </c>
      <c r="G317">
        <f>IFERROR(INDEX(tblDeviceConfig[Software List],ROW()-1),"")</f>
        <v>0</v>
      </c>
      <c r="H317">
        <f>IFERROR(INDEX(tblDeviceConfig[PI_Use_Case],ROW()-1),"")</f>
        <v>0</v>
      </c>
      <c r="I317">
        <f>IFERROR(INDEX(tblDeviceConfig[PI_Result],ROW()-1),"")</f>
        <v>0</v>
      </c>
      <c r="J317">
        <f>IFERROR(INDEX(tblDeviceConfig[PI_Validated_By],ROW()-1),"")</f>
        <v>0</v>
      </c>
      <c r="K317">
        <f>IFERROR(INDEX(tblDeviceConfig[PI_Validated_Date],ROW()-1),"")</f>
        <v>0</v>
      </c>
      <c r="L317">
        <f t="shared" si="8"/>
        <v>0</v>
      </c>
      <c r="M317" t="str">
        <f t="shared" si="9"/>
        <v/>
      </c>
    </row>
    <row r="318" spans="1:13">
      <c r="A318">
        <f>ROW()</f>
        <v>318</v>
      </c>
      <c r="B318">
        <f>IFERROR(INDEX(tblDeviceConfig[Device Type],ROW()-1),"")</f>
        <v>0</v>
      </c>
      <c r="C318">
        <f>IFERROR(INDEX(tblDeviceConfig[Deployed],ROW()-1),"")</f>
        <v>0</v>
      </c>
      <c r="D318">
        <f>IFERROR(INDEX(tblDeviceConfig[Installed],ROW()-1),"")</f>
        <v>0</v>
      </c>
      <c r="E318">
        <f>IFERROR(INDEX(tblDeviceConfig[Cybernet Hostname],ROW()-1),"")</f>
        <v>0</v>
      </c>
      <c r="F318">
        <f>IFERROR(INDEX(tblDeviceConfig[Neuron Hostname],ROW()-1),"")</f>
        <v>0</v>
      </c>
      <c r="G318">
        <f>IFERROR(INDEX(tblDeviceConfig[Software List],ROW()-1),"")</f>
        <v>0</v>
      </c>
      <c r="H318">
        <f>IFERROR(INDEX(tblDeviceConfig[PI_Use_Case],ROW()-1),"")</f>
        <v>0</v>
      </c>
      <c r="I318">
        <f>IFERROR(INDEX(tblDeviceConfig[PI_Result],ROW()-1),"")</f>
        <v>0</v>
      </c>
      <c r="J318">
        <f>IFERROR(INDEX(tblDeviceConfig[PI_Validated_By],ROW()-1),"")</f>
        <v>0</v>
      </c>
      <c r="K318">
        <f>IFERROR(INDEX(tblDeviceConfig[PI_Validated_Date],ROW()-1),"")</f>
        <v>0</v>
      </c>
      <c r="L318">
        <f t="shared" si="8"/>
        <v>0</v>
      </c>
      <c r="M318" t="str">
        <f t="shared" si="9"/>
        <v/>
      </c>
    </row>
    <row r="319" spans="1:13">
      <c r="A319">
        <f>ROW()</f>
        <v>319</v>
      </c>
      <c r="B319">
        <f>IFERROR(INDEX(tblDeviceConfig[Device Type],ROW()-1),"")</f>
        <v>0</v>
      </c>
      <c r="C319">
        <f>IFERROR(INDEX(tblDeviceConfig[Deployed],ROW()-1),"")</f>
        <v>0</v>
      </c>
      <c r="D319">
        <f>IFERROR(INDEX(tblDeviceConfig[Installed],ROW()-1),"")</f>
        <v>0</v>
      </c>
      <c r="E319">
        <f>IFERROR(INDEX(tblDeviceConfig[Cybernet Hostname],ROW()-1),"")</f>
        <v>0</v>
      </c>
      <c r="F319">
        <f>IFERROR(INDEX(tblDeviceConfig[Neuron Hostname],ROW()-1),"")</f>
        <v>0</v>
      </c>
      <c r="G319">
        <f>IFERROR(INDEX(tblDeviceConfig[Software List],ROW()-1),"")</f>
        <v>0</v>
      </c>
      <c r="H319">
        <f>IFERROR(INDEX(tblDeviceConfig[PI_Use_Case],ROW()-1),"")</f>
        <v>0</v>
      </c>
      <c r="I319">
        <f>IFERROR(INDEX(tblDeviceConfig[PI_Result],ROW()-1),"")</f>
        <v>0</v>
      </c>
      <c r="J319">
        <f>IFERROR(INDEX(tblDeviceConfig[PI_Validated_By],ROW()-1),"")</f>
        <v>0</v>
      </c>
      <c r="K319">
        <f>IFERROR(INDEX(tblDeviceConfig[PI_Validated_Date],ROW()-1),"")</f>
        <v>0</v>
      </c>
      <c r="L319">
        <f t="shared" si="8"/>
        <v>0</v>
      </c>
      <c r="M319" t="str">
        <f t="shared" si="9"/>
        <v/>
      </c>
    </row>
    <row r="320" spans="1:13">
      <c r="A320">
        <f>ROW()</f>
        <v>320</v>
      </c>
      <c r="B320">
        <f>IFERROR(INDEX(tblDeviceConfig[Device Type],ROW()-1),"")</f>
        <v>0</v>
      </c>
      <c r="C320">
        <f>IFERROR(INDEX(tblDeviceConfig[Deployed],ROW()-1),"")</f>
        <v>0</v>
      </c>
      <c r="D320">
        <f>IFERROR(INDEX(tblDeviceConfig[Installed],ROW()-1),"")</f>
        <v>0</v>
      </c>
      <c r="E320">
        <f>IFERROR(INDEX(tblDeviceConfig[Cybernet Hostname],ROW()-1),"")</f>
        <v>0</v>
      </c>
      <c r="F320">
        <f>IFERROR(INDEX(tblDeviceConfig[Neuron Hostname],ROW()-1),"")</f>
        <v>0</v>
      </c>
      <c r="G320">
        <f>IFERROR(INDEX(tblDeviceConfig[Software List],ROW()-1),"")</f>
        <v>0</v>
      </c>
      <c r="H320">
        <f>IFERROR(INDEX(tblDeviceConfig[PI_Use_Case],ROW()-1),"")</f>
        <v>0</v>
      </c>
      <c r="I320">
        <f>IFERROR(INDEX(tblDeviceConfig[PI_Result],ROW()-1),"")</f>
        <v>0</v>
      </c>
      <c r="J320">
        <f>IFERROR(INDEX(tblDeviceConfig[PI_Validated_By],ROW()-1),"")</f>
        <v>0</v>
      </c>
      <c r="K320">
        <f>IFERROR(INDEX(tblDeviceConfig[PI_Validated_Date],ROW()-1),"")</f>
        <v>0</v>
      </c>
      <c r="L320">
        <f t="shared" si="8"/>
        <v>0</v>
      </c>
      <c r="M320" t="str">
        <f t="shared" si="9"/>
        <v/>
      </c>
    </row>
    <row r="321" spans="1:13">
      <c r="A321">
        <f>ROW()</f>
        <v>321</v>
      </c>
      <c r="B321">
        <f>IFERROR(INDEX(tblDeviceConfig[Device Type],ROW()-1),"")</f>
        <v>0</v>
      </c>
      <c r="C321">
        <f>IFERROR(INDEX(tblDeviceConfig[Deployed],ROW()-1),"")</f>
        <v>0</v>
      </c>
      <c r="D321">
        <f>IFERROR(INDEX(tblDeviceConfig[Installed],ROW()-1),"")</f>
        <v>0</v>
      </c>
      <c r="E321">
        <f>IFERROR(INDEX(tblDeviceConfig[Cybernet Hostname],ROW()-1),"")</f>
        <v>0</v>
      </c>
      <c r="F321">
        <f>IFERROR(INDEX(tblDeviceConfig[Neuron Hostname],ROW()-1),"")</f>
        <v>0</v>
      </c>
      <c r="G321">
        <f>IFERROR(INDEX(tblDeviceConfig[Software List],ROW()-1),"")</f>
        <v>0</v>
      </c>
      <c r="H321">
        <f>IFERROR(INDEX(tblDeviceConfig[PI_Use_Case],ROW()-1),"")</f>
        <v>0</v>
      </c>
      <c r="I321">
        <f>IFERROR(INDEX(tblDeviceConfig[PI_Result],ROW()-1),"")</f>
        <v>0</v>
      </c>
      <c r="J321">
        <f>IFERROR(INDEX(tblDeviceConfig[PI_Validated_By],ROW()-1),"")</f>
        <v>0</v>
      </c>
      <c r="K321">
        <f>IFERROR(INDEX(tblDeviceConfig[PI_Validated_Date],ROW()-1),"")</f>
        <v>0</v>
      </c>
      <c r="L321">
        <f t="shared" si="8"/>
        <v>0</v>
      </c>
      <c r="M321" t="str">
        <f t="shared" si="9"/>
        <v/>
      </c>
    </row>
    <row r="322" spans="1:13">
      <c r="A322">
        <f>ROW()</f>
        <v>322</v>
      </c>
      <c r="B322">
        <f>IFERROR(INDEX(tblDeviceConfig[Device Type],ROW()-1),"")</f>
        <v>0</v>
      </c>
      <c r="C322">
        <f>IFERROR(INDEX(tblDeviceConfig[Deployed],ROW()-1),"")</f>
        <v>0</v>
      </c>
      <c r="D322">
        <f>IFERROR(INDEX(tblDeviceConfig[Installed],ROW()-1),"")</f>
        <v>0</v>
      </c>
      <c r="E322">
        <f>IFERROR(INDEX(tblDeviceConfig[Cybernet Hostname],ROW()-1),"")</f>
        <v>0</v>
      </c>
      <c r="F322">
        <f>IFERROR(INDEX(tblDeviceConfig[Neuron Hostname],ROW()-1),"")</f>
        <v>0</v>
      </c>
      <c r="G322">
        <f>IFERROR(INDEX(tblDeviceConfig[Software List],ROW()-1),"")</f>
        <v>0</v>
      </c>
      <c r="H322">
        <f>IFERROR(INDEX(tblDeviceConfig[PI_Use_Case],ROW()-1),"")</f>
        <v>0</v>
      </c>
      <c r="I322">
        <f>IFERROR(INDEX(tblDeviceConfig[PI_Result],ROW()-1),"")</f>
        <v>0</v>
      </c>
      <c r="J322">
        <f>IFERROR(INDEX(tblDeviceConfig[PI_Validated_By],ROW()-1),"")</f>
        <v>0</v>
      </c>
      <c r="K322">
        <f>IFERROR(INDEX(tblDeviceConfig[PI_Validated_Date],ROW()-1),"")</f>
        <v>0</v>
      </c>
      <c r="L322">
        <f t="shared" ref="L322:L385" si="10">SUM(IF(AND(C322="Yes",B322="Cybernet",LEN(TRIM(E322))=0),1,0),IF(AND(C322="Yes",B322="Neuron",LEN(TRIM(F322))=0),1,0),IF(AND(C322="Yes",B322="Cybernet",LEN(TRIM(G322))=0),1,0),IF(AND(C322="Yes",B322="Cybernet",LEN(TRIM(H322))=0),1,0),IF(AND(C322="Yes",LEN(TRIM(I322))&gt;0,LEN(TRIM(J322))=0),1,0),IF(AND(C322="Yes",LEN(TRIM(J322))&gt;0,LEN(TRIM(K322))=0),1,0))</f>
        <v>0</v>
      </c>
      <c r="M322" t="str">
        <f t="shared" ref="M322:M385" si="11">(IF(AND(C322="Yes",B322="Cybernet",LEN(TRIM(E322))=0),"Missing Cybernet Hostname",""))&amp;IF(((IF(AND(C322="Yes",B322="Cybernet",LEN(TRIM(E322))=0),"Missing Cybernet Hostname","")))&lt;&gt;"",IF((IF(AND(C322="Yes",B322="Neuron",LEN(TRIM(F322))=0),"Missing Neuron Hostname",""))&lt;&gt;""," | ",""),"")&amp;(IF(AND(C322="Yes",B322="Neuron",LEN(TRIM(F322))=0),"Missing Neuron Hostname",""))&amp;IF(((IF(AND(C322="Yes",B322="Cybernet",LEN(TRIM(E322))=0),"Missing Cybernet Hostname",""))&amp;(IF(AND(C322="Yes",B322="Neuron",LEN(TRIM(F322))=0),"Missing Neuron Hostname","")))&lt;&gt;"",IF((IF(AND(C322="Yes",B322="Cybernet",LEN(TRIM(G322))=0),"Missing Software List",""))&lt;&gt;""," | ",""),"")&amp;(IF(AND(C322="Yes",B322="Cybernet",LEN(TRIM(G322))=0),"Missing Software List",""))&amp;IF(((IF(AND(C322="Yes",B322="Cybernet",LEN(TRIM(E322))=0),"Missing Cybernet Hostname",""))&amp;(IF(AND(C322="Yes",B322="Neuron",LEN(TRIM(F322))=0),"Missing Neuron Hostname",""))&amp;(IF(AND(C322="Yes",B322="Cybernet",LEN(TRIM(G322))=0),"Missing Software List","")))&lt;&gt;"",IF((IF(AND(C322="Yes",B322="Cybernet",LEN(TRIM(H322))=0),"Missing PI Use Case",""))&lt;&gt;""," | ",""),"")&amp;(IF(AND(C322="Yes",B322="Cybernet",LEN(TRIM(H322))=0),"Missing PI Use Case",""))&amp;IF(((IF(AND(C322="Yes",B322="Cybernet",LEN(TRIM(E322))=0),"Missing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Case","")))&lt;&gt;"",IF((IF(AND(C322="Yes",LEN(TRIM(I322))&gt;0,LEN(TRIM(J322))=0),"Missing PI Validated By",""))&lt;&gt;""," | ",""),"")&amp;(IF(AND(C322="Yes",LEN(TRIM(I322))&gt;0,LEN(TRIM(J322))=0),"Missing PI Validated By",""))&amp;IF(((IF(AND(C322="Yes",B322="Cybernet",LEN(TRIM(E322))=0),"Missing Cybernet Hostname",""))&amp;(IF(AND(C322="Yes",B322="Neuron",LEN(TRIM(F322))=0),"Missing Neuron Hostname",""))&amp;(IF(AND(C322="Yes",B322="Cybernet",LEN(TRIM(G322))=0),"Missing Software List",""))&amp;(IF(AND(C322="Yes",B322="Cybernet",LEN(TRIM(H322))=0),"Missing PI Use Case",""))&amp;(IF(AND(C322="Yes",LEN(TRIM(I322))&gt;0,LEN(TRIM(J322))=0),"Missing PI Validated By","")))&lt;&gt;"",IF((IF(AND(C322="Yes",LEN(TRIM(J322))&gt;0,LEN(TRIM(K322))=0),"Missing PI Validated Date",""))&lt;&gt;""," | ",""),"")&amp;(IF(AND(C322="Yes",LEN(TRIM(J322))&gt;0,LEN(TRIM(K322))=0),"Missing PI Validated Date",""))</f>
        <v/>
      </c>
    </row>
    <row r="323" spans="1:13">
      <c r="A323">
        <f>ROW()</f>
        <v>323</v>
      </c>
      <c r="B323">
        <f>IFERROR(INDEX(tblDeviceConfig[Device Type],ROW()-1),"")</f>
        <v>0</v>
      </c>
      <c r="C323">
        <f>IFERROR(INDEX(tblDeviceConfig[Deployed],ROW()-1),"")</f>
        <v>0</v>
      </c>
      <c r="D323">
        <f>IFERROR(INDEX(tblDeviceConfig[Installed],ROW()-1),"")</f>
        <v>0</v>
      </c>
      <c r="E323">
        <f>IFERROR(INDEX(tblDeviceConfig[Cybernet Hostname],ROW()-1),"")</f>
        <v>0</v>
      </c>
      <c r="F323">
        <f>IFERROR(INDEX(tblDeviceConfig[Neuron Hostname],ROW()-1),"")</f>
        <v>0</v>
      </c>
      <c r="G323">
        <f>IFERROR(INDEX(tblDeviceConfig[Software List],ROW()-1),"")</f>
        <v>0</v>
      </c>
      <c r="H323">
        <f>IFERROR(INDEX(tblDeviceConfig[PI_Use_Case],ROW()-1),"")</f>
        <v>0</v>
      </c>
      <c r="I323">
        <f>IFERROR(INDEX(tblDeviceConfig[PI_Result],ROW()-1),"")</f>
        <v>0</v>
      </c>
      <c r="J323">
        <f>IFERROR(INDEX(tblDeviceConfig[PI_Validated_By],ROW()-1),"")</f>
        <v>0</v>
      </c>
      <c r="K323">
        <f>IFERROR(INDEX(tblDeviceConfig[PI_Validated_Date],ROW()-1),"")</f>
        <v>0</v>
      </c>
      <c r="L323">
        <f t="shared" si="10"/>
        <v>0</v>
      </c>
      <c r="M323" t="str">
        <f t="shared" si="11"/>
        <v/>
      </c>
    </row>
    <row r="324" spans="1:13">
      <c r="A324">
        <f>ROW()</f>
        <v>324</v>
      </c>
      <c r="B324">
        <f>IFERROR(INDEX(tblDeviceConfig[Device Type],ROW()-1),"")</f>
        <v>0</v>
      </c>
      <c r="C324">
        <f>IFERROR(INDEX(tblDeviceConfig[Deployed],ROW()-1),"")</f>
        <v>0</v>
      </c>
      <c r="D324">
        <f>IFERROR(INDEX(tblDeviceConfig[Installed],ROW()-1),"")</f>
        <v>0</v>
      </c>
      <c r="E324">
        <f>IFERROR(INDEX(tblDeviceConfig[Cybernet Hostname],ROW()-1),"")</f>
        <v>0</v>
      </c>
      <c r="F324">
        <f>IFERROR(INDEX(tblDeviceConfig[Neuron Hostname],ROW()-1),"")</f>
        <v>0</v>
      </c>
      <c r="G324">
        <f>IFERROR(INDEX(tblDeviceConfig[Software List],ROW()-1),"")</f>
        <v>0</v>
      </c>
      <c r="H324">
        <f>IFERROR(INDEX(tblDeviceConfig[PI_Use_Case],ROW()-1),"")</f>
        <v>0</v>
      </c>
      <c r="I324">
        <f>IFERROR(INDEX(tblDeviceConfig[PI_Result],ROW()-1),"")</f>
        <v>0</v>
      </c>
      <c r="J324">
        <f>IFERROR(INDEX(tblDeviceConfig[PI_Validated_By],ROW()-1),"")</f>
        <v>0</v>
      </c>
      <c r="K324">
        <f>IFERROR(INDEX(tblDeviceConfig[PI_Validated_Date],ROW()-1),"")</f>
        <v>0</v>
      </c>
      <c r="L324">
        <f t="shared" si="10"/>
        <v>0</v>
      </c>
      <c r="M324" t="str">
        <f t="shared" si="11"/>
        <v/>
      </c>
    </row>
    <row r="325" spans="1:13">
      <c r="A325">
        <f>ROW()</f>
        <v>325</v>
      </c>
      <c r="B325">
        <f>IFERROR(INDEX(tblDeviceConfig[Device Type],ROW()-1),"")</f>
        <v>0</v>
      </c>
      <c r="C325">
        <f>IFERROR(INDEX(tblDeviceConfig[Deployed],ROW()-1),"")</f>
        <v>0</v>
      </c>
      <c r="D325">
        <f>IFERROR(INDEX(tblDeviceConfig[Installed],ROW()-1),"")</f>
        <v>0</v>
      </c>
      <c r="E325">
        <f>IFERROR(INDEX(tblDeviceConfig[Cybernet Hostname],ROW()-1),"")</f>
        <v>0</v>
      </c>
      <c r="F325">
        <f>IFERROR(INDEX(tblDeviceConfig[Neuron Hostname],ROW()-1),"")</f>
        <v>0</v>
      </c>
      <c r="G325">
        <f>IFERROR(INDEX(tblDeviceConfig[Software List],ROW()-1),"")</f>
        <v>0</v>
      </c>
      <c r="H325">
        <f>IFERROR(INDEX(tblDeviceConfig[PI_Use_Case],ROW()-1),"")</f>
        <v>0</v>
      </c>
      <c r="I325">
        <f>IFERROR(INDEX(tblDeviceConfig[PI_Result],ROW()-1),"")</f>
        <v>0</v>
      </c>
      <c r="J325">
        <f>IFERROR(INDEX(tblDeviceConfig[PI_Validated_By],ROW()-1),"")</f>
        <v>0</v>
      </c>
      <c r="K325">
        <f>IFERROR(INDEX(tblDeviceConfig[PI_Validated_Date],ROW()-1),"")</f>
        <v>0</v>
      </c>
      <c r="L325">
        <f t="shared" si="10"/>
        <v>0</v>
      </c>
      <c r="M325" t="str">
        <f t="shared" si="11"/>
        <v/>
      </c>
    </row>
    <row r="326" spans="1:13">
      <c r="A326">
        <f>ROW()</f>
        <v>326</v>
      </c>
      <c r="B326">
        <f>IFERROR(INDEX(tblDeviceConfig[Device Type],ROW()-1),"")</f>
        <v>0</v>
      </c>
      <c r="C326">
        <f>IFERROR(INDEX(tblDeviceConfig[Deployed],ROW()-1),"")</f>
        <v>0</v>
      </c>
      <c r="D326">
        <f>IFERROR(INDEX(tblDeviceConfig[Installed],ROW()-1),"")</f>
        <v>0</v>
      </c>
      <c r="E326">
        <f>IFERROR(INDEX(tblDeviceConfig[Cybernet Hostname],ROW()-1),"")</f>
        <v>0</v>
      </c>
      <c r="F326">
        <f>IFERROR(INDEX(tblDeviceConfig[Neuron Hostname],ROW()-1),"")</f>
        <v>0</v>
      </c>
      <c r="G326">
        <f>IFERROR(INDEX(tblDeviceConfig[Software List],ROW()-1),"")</f>
        <v>0</v>
      </c>
      <c r="H326">
        <f>IFERROR(INDEX(tblDeviceConfig[PI_Use_Case],ROW()-1),"")</f>
        <v>0</v>
      </c>
      <c r="I326">
        <f>IFERROR(INDEX(tblDeviceConfig[PI_Result],ROW()-1),"")</f>
        <v>0</v>
      </c>
      <c r="J326">
        <f>IFERROR(INDEX(tblDeviceConfig[PI_Validated_By],ROW()-1),"")</f>
        <v>0</v>
      </c>
      <c r="K326">
        <f>IFERROR(INDEX(tblDeviceConfig[PI_Validated_Date],ROW()-1),"")</f>
        <v>0</v>
      </c>
      <c r="L326">
        <f t="shared" si="10"/>
        <v>0</v>
      </c>
      <c r="M326" t="str">
        <f t="shared" si="11"/>
        <v/>
      </c>
    </row>
    <row r="327" spans="1:13">
      <c r="A327">
        <f>ROW()</f>
        <v>327</v>
      </c>
      <c r="B327">
        <f>IFERROR(INDEX(tblDeviceConfig[Device Type],ROW()-1),"")</f>
        <v>0</v>
      </c>
      <c r="C327">
        <f>IFERROR(INDEX(tblDeviceConfig[Deployed],ROW()-1),"")</f>
        <v>0</v>
      </c>
      <c r="D327">
        <f>IFERROR(INDEX(tblDeviceConfig[Installed],ROW()-1),"")</f>
        <v>0</v>
      </c>
      <c r="E327">
        <f>IFERROR(INDEX(tblDeviceConfig[Cybernet Hostname],ROW()-1),"")</f>
        <v>0</v>
      </c>
      <c r="F327">
        <f>IFERROR(INDEX(tblDeviceConfig[Neuron Hostname],ROW()-1),"")</f>
        <v>0</v>
      </c>
      <c r="G327">
        <f>IFERROR(INDEX(tblDeviceConfig[Software List],ROW()-1),"")</f>
        <v>0</v>
      </c>
      <c r="H327">
        <f>IFERROR(INDEX(tblDeviceConfig[PI_Use_Case],ROW()-1),"")</f>
        <v>0</v>
      </c>
      <c r="I327">
        <f>IFERROR(INDEX(tblDeviceConfig[PI_Result],ROW()-1),"")</f>
        <v>0</v>
      </c>
      <c r="J327">
        <f>IFERROR(INDEX(tblDeviceConfig[PI_Validated_By],ROW()-1),"")</f>
        <v>0</v>
      </c>
      <c r="K327">
        <f>IFERROR(INDEX(tblDeviceConfig[PI_Validated_Date],ROW()-1),"")</f>
        <v>0</v>
      </c>
      <c r="L327">
        <f t="shared" si="10"/>
        <v>0</v>
      </c>
      <c r="M327" t="str">
        <f t="shared" si="11"/>
        <v/>
      </c>
    </row>
    <row r="328" spans="1:13">
      <c r="A328">
        <f>ROW()</f>
        <v>328</v>
      </c>
      <c r="B328">
        <f>IFERROR(INDEX(tblDeviceConfig[Device Type],ROW()-1),"")</f>
        <v>0</v>
      </c>
      <c r="C328">
        <f>IFERROR(INDEX(tblDeviceConfig[Deployed],ROW()-1),"")</f>
        <v>0</v>
      </c>
      <c r="D328">
        <f>IFERROR(INDEX(tblDeviceConfig[Installed],ROW()-1),"")</f>
        <v>0</v>
      </c>
      <c r="E328">
        <f>IFERROR(INDEX(tblDeviceConfig[Cybernet Hostname],ROW()-1),"")</f>
        <v>0</v>
      </c>
      <c r="F328">
        <f>IFERROR(INDEX(tblDeviceConfig[Neuron Hostname],ROW()-1),"")</f>
        <v>0</v>
      </c>
      <c r="G328">
        <f>IFERROR(INDEX(tblDeviceConfig[Software List],ROW()-1),"")</f>
        <v>0</v>
      </c>
      <c r="H328">
        <f>IFERROR(INDEX(tblDeviceConfig[PI_Use_Case],ROW()-1),"")</f>
        <v>0</v>
      </c>
      <c r="I328">
        <f>IFERROR(INDEX(tblDeviceConfig[PI_Result],ROW()-1),"")</f>
        <v>0</v>
      </c>
      <c r="J328">
        <f>IFERROR(INDEX(tblDeviceConfig[PI_Validated_By],ROW()-1),"")</f>
        <v>0</v>
      </c>
      <c r="K328">
        <f>IFERROR(INDEX(tblDeviceConfig[PI_Validated_Date],ROW()-1),"")</f>
        <v>0</v>
      </c>
      <c r="L328">
        <f t="shared" si="10"/>
        <v>0</v>
      </c>
      <c r="M328" t="str">
        <f t="shared" si="11"/>
        <v/>
      </c>
    </row>
    <row r="329" spans="1:13">
      <c r="A329">
        <f>ROW()</f>
        <v>329</v>
      </c>
      <c r="B329">
        <f>IFERROR(INDEX(tblDeviceConfig[Device Type],ROW()-1),"")</f>
        <v>0</v>
      </c>
      <c r="C329">
        <f>IFERROR(INDEX(tblDeviceConfig[Deployed],ROW()-1),"")</f>
        <v>0</v>
      </c>
      <c r="D329">
        <f>IFERROR(INDEX(tblDeviceConfig[Installed],ROW()-1),"")</f>
        <v>0</v>
      </c>
      <c r="E329">
        <f>IFERROR(INDEX(tblDeviceConfig[Cybernet Hostname],ROW()-1),"")</f>
        <v>0</v>
      </c>
      <c r="F329">
        <f>IFERROR(INDEX(tblDeviceConfig[Neuron Hostname],ROW()-1),"")</f>
        <v>0</v>
      </c>
      <c r="G329">
        <f>IFERROR(INDEX(tblDeviceConfig[Software List],ROW()-1),"")</f>
        <v>0</v>
      </c>
      <c r="H329">
        <f>IFERROR(INDEX(tblDeviceConfig[PI_Use_Case],ROW()-1),"")</f>
        <v>0</v>
      </c>
      <c r="I329">
        <f>IFERROR(INDEX(tblDeviceConfig[PI_Result],ROW()-1),"")</f>
        <v>0</v>
      </c>
      <c r="J329">
        <f>IFERROR(INDEX(tblDeviceConfig[PI_Validated_By],ROW()-1),"")</f>
        <v>0</v>
      </c>
      <c r="K329">
        <f>IFERROR(INDEX(tblDeviceConfig[PI_Validated_Date],ROW()-1),"")</f>
        <v>0</v>
      </c>
      <c r="L329">
        <f t="shared" si="10"/>
        <v>0</v>
      </c>
      <c r="M329" t="str">
        <f t="shared" si="11"/>
        <v/>
      </c>
    </row>
    <row r="330" spans="1:13">
      <c r="A330">
        <f>ROW()</f>
        <v>330</v>
      </c>
      <c r="B330">
        <f>IFERROR(INDEX(tblDeviceConfig[Device Type],ROW()-1),"")</f>
        <v>0</v>
      </c>
      <c r="C330">
        <f>IFERROR(INDEX(tblDeviceConfig[Deployed],ROW()-1),"")</f>
        <v>0</v>
      </c>
      <c r="D330">
        <f>IFERROR(INDEX(tblDeviceConfig[Installed],ROW()-1),"")</f>
        <v>0</v>
      </c>
      <c r="E330">
        <f>IFERROR(INDEX(tblDeviceConfig[Cybernet Hostname],ROW()-1),"")</f>
        <v>0</v>
      </c>
      <c r="F330">
        <f>IFERROR(INDEX(tblDeviceConfig[Neuron Hostname],ROW()-1),"")</f>
        <v>0</v>
      </c>
      <c r="G330">
        <f>IFERROR(INDEX(tblDeviceConfig[Software List],ROW()-1),"")</f>
        <v>0</v>
      </c>
      <c r="H330">
        <f>IFERROR(INDEX(tblDeviceConfig[PI_Use_Case],ROW()-1),"")</f>
        <v>0</v>
      </c>
      <c r="I330">
        <f>IFERROR(INDEX(tblDeviceConfig[PI_Result],ROW()-1),"")</f>
        <v>0</v>
      </c>
      <c r="J330">
        <f>IFERROR(INDEX(tblDeviceConfig[PI_Validated_By],ROW()-1),"")</f>
        <v>0</v>
      </c>
      <c r="K330">
        <f>IFERROR(INDEX(tblDeviceConfig[PI_Validated_Date],ROW()-1),"")</f>
        <v>0</v>
      </c>
      <c r="L330">
        <f t="shared" si="10"/>
        <v>0</v>
      </c>
      <c r="M330" t="str">
        <f t="shared" si="11"/>
        <v/>
      </c>
    </row>
    <row r="331" spans="1:13">
      <c r="A331">
        <f>ROW()</f>
        <v>331</v>
      </c>
      <c r="B331">
        <f>IFERROR(INDEX(tblDeviceConfig[Device Type],ROW()-1),"")</f>
        <v>0</v>
      </c>
      <c r="C331">
        <f>IFERROR(INDEX(tblDeviceConfig[Deployed],ROW()-1),"")</f>
        <v>0</v>
      </c>
      <c r="D331">
        <f>IFERROR(INDEX(tblDeviceConfig[Installed],ROW()-1),"")</f>
        <v>0</v>
      </c>
      <c r="E331">
        <f>IFERROR(INDEX(tblDeviceConfig[Cybernet Hostname],ROW()-1),"")</f>
        <v>0</v>
      </c>
      <c r="F331">
        <f>IFERROR(INDEX(tblDeviceConfig[Neuron Hostname],ROW()-1),"")</f>
        <v>0</v>
      </c>
      <c r="G331">
        <f>IFERROR(INDEX(tblDeviceConfig[Software List],ROW()-1),"")</f>
        <v>0</v>
      </c>
      <c r="H331">
        <f>IFERROR(INDEX(tblDeviceConfig[PI_Use_Case],ROW()-1),"")</f>
        <v>0</v>
      </c>
      <c r="I331">
        <f>IFERROR(INDEX(tblDeviceConfig[PI_Result],ROW()-1),"")</f>
        <v>0</v>
      </c>
      <c r="J331">
        <f>IFERROR(INDEX(tblDeviceConfig[PI_Validated_By],ROW()-1),"")</f>
        <v>0</v>
      </c>
      <c r="K331">
        <f>IFERROR(INDEX(tblDeviceConfig[PI_Validated_Date],ROW()-1),"")</f>
        <v>0</v>
      </c>
      <c r="L331">
        <f t="shared" si="10"/>
        <v>0</v>
      </c>
      <c r="M331" t="str">
        <f t="shared" si="11"/>
        <v/>
      </c>
    </row>
    <row r="332" spans="1:13">
      <c r="A332">
        <f>ROW()</f>
        <v>332</v>
      </c>
      <c r="B332">
        <f>IFERROR(INDEX(tblDeviceConfig[Device Type],ROW()-1),"")</f>
        <v>0</v>
      </c>
      <c r="C332">
        <f>IFERROR(INDEX(tblDeviceConfig[Deployed],ROW()-1),"")</f>
        <v>0</v>
      </c>
      <c r="D332">
        <f>IFERROR(INDEX(tblDeviceConfig[Installed],ROW()-1),"")</f>
        <v>0</v>
      </c>
      <c r="E332">
        <f>IFERROR(INDEX(tblDeviceConfig[Cybernet Hostname],ROW()-1),"")</f>
        <v>0</v>
      </c>
      <c r="F332">
        <f>IFERROR(INDEX(tblDeviceConfig[Neuron Hostname],ROW()-1),"")</f>
        <v>0</v>
      </c>
      <c r="G332">
        <f>IFERROR(INDEX(tblDeviceConfig[Software List],ROW()-1),"")</f>
        <v>0</v>
      </c>
      <c r="H332">
        <f>IFERROR(INDEX(tblDeviceConfig[PI_Use_Case],ROW()-1),"")</f>
        <v>0</v>
      </c>
      <c r="I332">
        <f>IFERROR(INDEX(tblDeviceConfig[PI_Result],ROW()-1),"")</f>
        <v>0</v>
      </c>
      <c r="J332">
        <f>IFERROR(INDEX(tblDeviceConfig[PI_Validated_By],ROW()-1),"")</f>
        <v>0</v>
      </c>
      <c r="K332">
        <f>IFERROR(INDEX(tblDeviceConfig[PI_Validated_Date],ROW()-1),"")</f>
        <v>0</v>
      </c>
      <c r="L332">
        <f t="shared" si="10"/>
        <v>0</v>
      </c>
      <c r="M332" t="str">
        <f t="shared" si="11"/>
        <v/>
      </c>
    </row>
    <row r="333" spans="1:13">
      <c r="A333">
        <f>ROW()</f>
        <v>333</v>
      </c>
      <c r="B333">
        <f>IFERROR(INDEX(tblDeviceConfig[Device Type],ROW()-1),"")</f>
        <v>0</v>
      </c>
      <c r="C333">
        <f>IFERROR(INDEX(tblDeviceConfig[Deployed],ROW()-1),"")</f>
        <v>0</v>
      </c>
      <c r="D333">
        <f>IFERROR(INDEX(tblDeviceConfig[Installed],ROW()-1),"")</f>
        <v>0</v>
      </c>
      <c r="E333">
        <f>IFERROR(INDEX(tblDeviceConfig[Cybernet Hostname],ROW()-1),"")</f>
        <v>0</v>
      </c>
      <c r="F333">
        <f>IFERROR(INDEX(tblDeviceConfig[Neuron Hostname],ROW()-1),"")</f>
        <v>0</v>
      </c>
      <c r="G333">
        <f>IFERROR(INDEX(tblDeviceConfig[Software List],ROW()-1),"")</f>
        <v>0</v>
      </c>
      <c r="H333">
        <f>IFERROR(INDEX(tblDeviceConfig[PI_Use_Case],ROW()-1),"")</f>
        <v>0</v>
      </c>
      <c r="I333">
        <f>IFERROR(INDEX(tblDeviceConfig[PI_Result],ROW()-1),"")</f>
        <v>0</v>
      </c>
      <c r="J333">
        <f>IFERROR(INDEX(tblDeviceConfig[PI_Validated_By],ROW()-1),"")</f>
        <v>0</v>
      </c>
      <c r="K333">
        <f>IFERROR(INDEX(tblDeviceConfig[PI_Validated_Date],ROW()-1),"")</f>
        <v>0</v>
      </c>
      <c r="L333">
        <f t="shared" si="10"/>
        <v>0</v>
      </c>
      <c r="M333" t="str">
        <f t="shared" si="11"/>
        <v/>
      </c>
    </row>
    <row r="334" spans="1:13">
      <c r="A334">
        <f>ROW()</f>
        <v>334</v>
      </c>
      <c r="B334">
        <f>IFERROR(INDEX(tblDeviceConfig[Device Type],ROW()-1),"")</f>
        <v>0</v>
      </c>
      <c r="C334">
        <f>IFERROR(INDEX(tblDeviceConfig[Deployed],ROW()-1),"")</f>
        <v>0</v>
      </c>
      <c r="D334">
        <f>IFERROR(INDEX(tblDeviceConfig[Installed],ROW()-1),"")</f>
        <v>0</v>
      </c>
      <c r="E334">
        <f>IFERROR(INDEX(tblDeviceConfig[Cybernet Hostname],ROW()-1),"")</f>
        <v>0</v>
      </c>
      <c r="F334">
        <f>IFERROR(INDEX(tblDeviceConfig[Neuron Hostname],ROW()-1),"")</f>
        <v>0</v>
      </c>
      <c r="G334">
        <f>IFERROR(INDEX(tblDeviceConfig[Software List],ROW()-1),"")</f>
        <v>0</v>
      </c>
      <c r="H334">
        <f>IFERROR(INDEX(tblDeviceConfig[PI_Use_Case],ROW()-1),"")</f>
        <v>0</v>
      </c>
      <c r="I334">
        <f>IFERROR(INDEX(tblDeviceConfig[PI_Result],ROW()-1),"")</f>
        <v>0</v>
      </c>
      <c r="J334">
        <f>IFERROR(INDEX(tblDeviceConfig[PI_Validated_By],ROW()-1),"")</f>
        <v>0</v>
      </c>
      <c r="K334">
        <f>IFERROR(INDEX(tblDeviceConfig[PI_Validated_Date],ROW()-1),"")</f>
        <v>0</v>
      </c>
      <c r="L334">
        <f t="shared" si="10"/>
        <v>0</v>
      </c>
      <c r="M334" t="str">
        <f t="shared" si="11"/>
        <v/>
      </c>
    </row>
    <row r="335" spans="1:13">
      <c r="A335">
        <f>ROW()</f>
        <v>335</v>
      </c>
      <c r="B335">
        <f>IFERROR(INDEX(tblDeviceConfig[Device Type],ROW()-1),"")</f>
        <v>0</v>
      </c>
      <c r="C335">
        <f>IFERROR(INDEX(tblDeviceConfig[Deployed],ROW()-1),"")</f>
        <v>0</v>
      </c>
      <c r="D335">
        <f>IFERROR(INDEX(tblDeviceConfig[Installed],ROW()-1),"")</f>
        <v>0</v>
      </c>
      <c r="E335">
        <f>IFERROR(INDEX(tblDeviceConfig[Cybernet Hostname],ROW()-1),"")</f>
        <v>0</v>
      </c>
      <c r="F335">
        <f>IFERROR(INDEX(tblDeviceConfig[Neuron Hostname],ROW()-1),"")</f>
        <v>0</v>
      </c>
      <c r="G335">
        <f>IFERROR(INDEX(tblDeviceConfig[Software List],ROW()-1),"")</f>
        <v>0</v>
      </c>
      <c r="H335">
        <f>IFERROR(INDEX(tblDeviceConfig[PI_Use_Case],ROW()-1),"")</f>
        <v>0</v>
      </c>
      <c r="I335">
        <f>IFERROR(INDEX(tblDeviceConfig[PI_Result],ROW()-1),"")</f>
        <v>0</v>
      </c>
      <c r="J335">
        <f>IFERROR(INDEX(tblDeviceConfig[PI_Validated_By],ROW()-1),"")</f>
        <v>0</v>
      </c>
      <c r="K335">
        <f>IFERROR(INDEX(tblDeviceConfig[PI_Validated_Date],ROW()-1),"")</f>
        <v>0</v>
      </c>
      <c r="L335">
        <f t="shared" si="10"/>
        <v>0</v>
      </c>
      <c r="M335" t="str">
        <f t="shared" si="11"/>
        <v/>
      </c>
    </row>
    <row r="336" spans="1:13">
      <c r="A336">
        <f>ROW()</f>
        <v>336</v>
      </c>
      <c r="B336">
        <f>IFERROR(INDEX(tblDeviceConfig[Device Type],ROW()-1),"")</f>
        <v>0</v>
      </c>
      <c r="C336">
        <f>IFERROR(INDEX(tblDeviceConfig[Deployed],ROW()-1),"")</f>
        <v>0</v>
      </c>
      <c r="D336">
        <f>IFERROR(INDEX(tblDeviceConfig[Installed],ROW()-1),"")</f>
        <v>0</v>
      </c>
      <c r="E336">
        <f>IFERROR(INDEX(tblDeviceConfig[Cybernet Hostname],ROW()-1),"")</f>
        <v>0</v>
      </c>
      <c r="F336">
        <f>IFERROR(INDEX(tblDeviceConfig[Neuron Hostname],ROW()-1),"")</f>
        <v>0</v>
      </c>
      <c r="G336">
        <f>IFERROR(INDEX(tblDeviceConfig[Software List],ROW()-1),"")</f>
        <v>0</v>
      </c>
      <c r="H336">
        <f>IFERROR(INDEX(tblDeviceConfig[PI_Use_Case],ROW()-1),"")</f>
        <v>0</v>
      </c>
      <c r="I336">
        <f>IFERROR(INDEX(tblDeviceConfig[PI_Result],ROW()-1),"")</f>
        <v>0</v>
      </c>
      <c r="J336">
        <f>IFERROR(INDEX(tblDeviceConfig[PI_Validated_By],ROW()-1),"")</f>
        <v>0</v>
      </c>
      <c r="K336">
        <f>IFERROR(INDEX(tblDeviceConfig[PI_Validated_Date],ROW()-1),"")</f>
        <v>0</v>
      </c>
      <c r="L336">
        <f t="shared" si="10"/>
        <v>0</v>
      </c>
      <c r="M336" t="str">
        <f t="shared" si="11"/>
        <v/>
      </c>
    </row>
    <row r="337" spans="1:13">
      <c r="A337">
        <f>ROW()</f>
        <v>337</v>
      </c>
      <c r="B337">
        <f>IFERROR(INDEX(tblDeviceConfig[Device Type],ROW()-1),"")</f>
        <v>0</v>
      </c>
      <c r="C337">
        <f>IFERROR(INDEX(tblDeviceConfig[Deployed],ROW()-1),"")</f>
        <v>0</v>
      </c>
      <c r="D337">
        <f>IFERROR(INDEX(tblDeviceConfig[Installed],ROW()-1),"")</f>
        <v>0</v>
      </c>
      <c r="E337">
        <f>IFERROR(INDEX(tblDeviceConfig[Cybernet Hostname],ROW()-1),"")</f>
        <v>0</v>
      </c>
      <c r="F337">
        <f>IFERROR(INDEX(tblDeviceConfig[Neuron Hostname],ROW()-1),"")</f>
        <v>0</v>
      </c>
      <c r="G337">
        <f>IFERROR(INDEX(tblDeviceConfig[Software List],ROW()-1),"")</f>
        <v>0</v>
      </c>
      <c r="H337">
        <f>IFERROR(INDEX(tblDeviceConfig[PI_Use_Case],ROW()-1),"")</f>
        <v>0</v>
      </c>
      <c r="I337">
        <f>IFERROR(INDEX(tblDeviceConfig[PI_Result],ROW()-1),"")</f>
        <v>0</v>
      </c>
      <c r="J337">
        <f>IFERROR(INDEX(tblDeviceConfig[PI_Validated_By],ROW()-1),"")</f>
        <v>0</v>
      </c>
      <c r="K337">
        <f>IFERROR(INDEX(tblDeviceConfig[PI_Validated_Date],ROW()-1),"")</f>
        <v>0</v>
      </c>
      <c r="L337">
        <f t="shared" si="10"/>
        <v>0</v>
      </c>
      <c r="M337" t="str">
        <f t="shared" si="11"/>
        <v/>
      </c>
    </row>
    <row r="338" spans="1:13">
      <c r="A338">
        <f>ROW()</f>
        <v>338</v>
      </c>
      <c r="B338">
        <f>IFERROR(INDEX(tblDeviceConfig[Device Type],ROW()-1),"")</f>
        <v>0</v>
      </c>
      <c r="C338">
        <f>IFERROR(INDEX(tblDeviceConfig[Deployed],ROW()-1),"")</f>
        <v>0</v>
      </c>
      <c r="D338">
        <f>IFERROR(INDEX(tblDeviceConfig[Installed],ROW()-1),"")</f>
        <v>0</v>
      </c>
      <c r="E338">
        <f>IFERROR(INDEX(tblDeviceConfig[Cybernet Hostname],ROW()-1),"")</f>
        <v>0</v>
      </c>
      <c r="F338">
        <f>IFERROR(INDEX(tblDeviceConfig[Neuron Hostname],ROW()-1),"")</f>
        <v>0</v>
      </c>
      <c r="G338">
        <f>IFERROR(INDEX(tblDeviceConfig[Software List],ROW()-1),"")</f>
        <v>0</v>
      </c>
      <c r="H338">
        <f>IFERROR(INDEX(tblDeviceConfig[PI_Use_Case],ROW()-1),"")</f>
        <v>0</v>
      </c>
      <c r="I338">
        <f>IFERROR(INDEX(tblDeviceConfig[PI_Result],ROW()-1),"")</f>
        <v>0</v>
      </c>
      <c r="J338">
        <f>IFERROR(INDEX(tblDeviceConfig[PI_Validated_By],ROW()-1),"")</f>
        <v>0</v>
      </c>
      <c r="K338">
        <f>IFERROR(INDEX(tblDeviceConfig[PI_Validated_Date],ROW()-1),"")</f>
        <v>0</v>
      </c>
      <c r="L338">
        <f t="shared" si="10"/>
        <v>0</v>
      </c>
      <c r="M338" t="str">
        <f t="shared" si="11"/>
        <v/>
      </c>
    </row>
    <row r="339" spans="1:13">
      <c r="A339">
        <f>ROW()</f>
        <v>339</v>
      </c>
      <c r="B339">
        <f>IFERROR(INDEX(tblDeviceConfig[Device Type],ROW()-1),"")</f>
        <v>0</v>
      </c>
      <c r="C339">
        <f>IFERROR(INDEX(tblDeviceConfig[Deployed],ROW()-1),"")</f>
        <v>0</v>
      </c>
      <c r="D339">
        <f>IFERROR(INDEX(tblDeviceConfig[Installed],ROW()-1),"")</f>
        <v>0</v>
      </c>
      <c r="E339">
        <f>IFERROR(INDEX(tblDeviceConfig[Cybernet Hostname],ROW()-1),"")</f>
        <v>0</v>
      </c>
      <c r="F339">
        <f>IFERROR(INDEX(tblDeviceConfig[Neuron Hostname],ROW()-1),"")</f>
        <v>0</v>
      </c>
      <c r="G339">
        <f>IFERROR(INDEX(tblDeviceConfig[Software List],ROW()-1),"")</f>
        <v>0</v>
      </c>
      <c r="H339">
        <f>IFERROR(INDEX(tblDeviceConfig[PI_Use_Case],ROW()-1),"")</f>
        <v>0</v>
      </c>
      <c r="I339">
        <f>IFERROR(INDEX(tblDeviceConfig[PI_Result],ROW()-1),"")</f>
        <v>0</v>
      </c>
      <c r="J339">
        <f>IFERROR(INDEX(tblDeviceConfig[PI_Validated_By],ROW()-1),"")</f>
        <v>0</v>
      </c>
      <c r="K339">
        <f>IFERROR(INDEX(tblDeviceConfig[PI_Validated_Date],ROW()-1),"")</f>
        <v>0</v>
      </c>
      <c r="L339">
        <f t="shared" si="10"/>
        <v>0</v>
      </c>
      <c r="M339" t="str">
        <f t="shared" si="11"/>
        <v/>
      </c>
    </row>
    <row r="340" spans="1:13">
      <c r="A340">
        <f>ROW()</f>
        <v>340</v>
      </c>
      <c r="B340">
        <f>IFERROR(INDEX(tblDeviceConfig[Device Type],ROW()-1),"")</f>
        <v>0</v>
      </c>
      <c r="C340">
        <f>IFERROR(INDEX(tblDeviceConfig[Deployed],ROW()-1),"")</f>
        <v>0</v>
      </c>
      <c r="D340">
        <f>IFERROR(INDEX(tblDeviceConfig[Installed],ROW()-1),"")</f>
        <v>0</v>
      </c>
      <c r="E340">
        <f>IFERROR(INDEX(tblDeviceConfig[Cybernet Hostname],ROW()-1),"")</f>
        <v>0</v>
      </c>
      <c r="F340">
        <f>IFERROR(INDEX(tblDeviceConfig[Neuron Hostname],ROW()-1),"")</f>
        <v>0</v>
      </c>
      <c r="G340">
        <f>IFERROR(INDEX(tblDeviceConfig[Software List],ROW()-1),"")</f>
        <v>0</v>
      </c>
      <c r="H340">
        <f>IFERROR(INDEX(tblDeviceConfig[PI_Use_Case],ROW()-1),"")</f>
        <v>0</v>
      </c>
      <c r="I340">
        <f>IFERROR(INDEX(tblDeviceConfig[PI_Result],ROW()-1),"")</f>
        <v>0</v>
      </c>
      <c r="J340">
        <f>IFERROR(INDEX(tblDeviceConfig[PI_Validated_By],ROW()-1),"")</f>
        <v>0</v>
      </c>
      <c r="K340">
        <f>IFERROR(INDEX(tblDeviceConfig[PI_Validated_Date],ROW()-1),"")</f>
        <v>0</v>
      </c>
      <c r="L340">
        <f t="shared" si="10"/>
        <v>0</v>
      </c>
      <c r="M340" t="str">
        <f t="shared" si="11"/>
        <v/>
      </c>
    </row>
    <row r="341" spans="1:13">
      <c r="A341">
        <f>ROW()</f>
        <v>341</v>
      </c>
      <c r="B341">
        <f>IFERROR(INDEX(tblDeviceConfig[Device Type],ROW()-1),"")</f>
        <v>0</v>
      </c>
      <c r="C341">
        <f>IFERROR(INDEX(tblDeviceConfig[Deployed],ROW()-1),"")</f>
        <v>0</v>
      </c>
      <c r="D341">
        <f>IFERROR(INDEX(tblDeviceConfig[Installed],ROW()-1),"")</f>
        <v>0</v>
      </c>
      <c r="E341">
        <f>IFERROR(INDEX(tblDeviceConfig[Cybernet Hostname],ROW()-1),"")</f>
        <v>0</v>
      </c>
      <c r="F341">
        <f>IFERROR(INDEX(tblDeviceConfig[Neuron Hostname],ROW()-1),"")</f>
        <v>0</v>
      </c>
      <c r="G341">
        <f>IFERROR(INDEX(tblDeviceConfig[Software List],ROW()-1),"")</f>
        <v>0</v>
      </c>
      <c r="H341">
        <f>IFERROR(INDEX(tblDeviceConfig[PI_Use_Case],ROW()-1),"")</f>
        <v>0</v>
      </c>
      <c r="I341">
        <f>IFERROR(INDEX(tblDeviceConfig[PI_Result],ROW()-1),"")</f>
        <v>0</v>
      </c>
      <c r="J341">
        <f>IFERROR(INDEX(tblDeviceConfig[PI_Validated_By],ROW()-1),"")</f>
        <v>0</v>
      </c>
      <c r="K341">
        <f>IFERROR(INDEX(tblDeviceConfig[PI_Validated_Date],ROW()-1),"")</f>
        <v>0</v>
      </c>
      <c r="L341">
        <f t="shared" si="10"/>
        <v>0</v>
      </c>
      <c r="M341" t="str">
        <f t="shared" si="11"/>
        <v/>
      </c>
    </row>
    <row r="342" spans="1:13">
      <c r="A342">
        <f>ROW()</f>
        <v>342</v>
      </c>
      <c r="B342">
        <f>IFERROR(INDEX(tblDeviceConfig[Device Type],ROW()-1),"")</f>
        <v>0</v>
      </c>
      <c r="C342">
        <f>IFERROR(INDEX(tblDeviceConfig[Deployed],ROW()-1),"")</f>
        <v>0</v>
      </c>
      <c r="D342">
        <f>IFERROR(INDEX(tblDeviceConfig[Installed],ROW()-1),"")</f>
        <v>0</v>
      </c>
      <c r="E342">
        <f>IFERROR(INDEX(tblDeviceConfig[Cybernet Hostname],ROW()-1),"")</f>
        <v>0</v>
      </c>
      <c r="F342">
        <f>IFERROR(INDEX(tblDeviceConfig[Neuron Hostname],ROW()-1),"")</f>
        <v>0</v>
      </c>
      <c r="G342">
        <f>IFERROR(INDEX(tblDeviceConfig[Software List],ROW()-1),"")</f>
        <v>0</v>
      </c>
      <c r="H342">
        <f>IFERROR(INDEX(tblDeviceConfig[PI_Use_Case],ROW()-1),"")</f>
        <v>0</v>
      </c>
      <c r="I342">
        <f>IFERROR(INDEX(tblDeviceConfig[PI_Result],ROW()-1),"")</f>
        <v>0</v>
      </c>
      <c r="J342">
        <f>IFERROR(INDEX(tblDeviceConfig[PI_Validated_By],ROW()-1),"")</f>
        <v>0</v>
      </c>
      <c r="K342">
        <f>IFERROR(INDEX(tblDeviceConfig[PI_Validated_Date],ROW()-1),"")</f>
        <v>0</v>
      </c>
      <c r="L342">
        <f t="shared" si="10"/>
        <v>0</v>
      </c>
      <c r="M342" t="str">
        <f t="shared" si="11"/>
        <v/>
      </c>
    </row>
    <row r="343" spans="1:13">
      <c r="A343">
        <f>ROW()</f>
        <v>343</v>
      </c>
      <c r="B343">
        <f>IFERROR(INDEX(tblDeviceConfig[Device Type],ROW()-1),"")</f>
        <v>0</v>
      </c>
      <c r="C343">
        <f>IFERROR(INDEX(tblDeviceConfig[Deployed],ROW()-1),"")</f>
        <v>0</v>
      </c>
      <c r="D343">
        <f>IFERROR(INDEX(tblDeviceConfig[Installed],ROW()-1),"")</f>
        <v>0</v>
      </c>
      <c r="E343">
        <f>IFERROR(INDEX(tblDeviceConfig[Cybernet Hostname],ROW()-1),"")</f>
        <v>0</v>
      </c>
      <c r="F343">
        <f>IFERROR(INDEX(tblDeviceConfig[Neuron Hostname],ROW()-1),"")</f>
        <v>0</v>
      </c>
      <c r="G343">
        <f>IFERROR(INDEX(tblDeviceConfig[Software List],ROW()-1),"")</f>
        <v>0</v>
      </c>
      <c r="H343">
        <f>IFERROR(INDEX(tblDeviceConfig[PI_Use_Case],ROW()-1),"")</f>
        <v>0</v>
      </c>
      <c r="I343">
        <f>IFERROR(INDEX(tblDeviceConfig[PI_Result],ROW()-1),"")</f>
        <v>0</v>
      </c>
      <c r="J343">
        <f>IFERROR(INDEX(tblDeviceConfig[PI_Validated_By],ROW()-1),"")</f>
        <v>0</v>
      </c>
      <c r="K343">
        <f>IFERROR(INDEX(tblDeviceConfig[PI_Validated_Date],ROW()-1),"")</f>
        <v>0</v>
      </c>
      <c r="L343">
        <f t="shared" si="10"/>
        <v>0</v>
      </c>
      <c r="M343" t="str">
        <f t="shared" si="11"/>
        <v/>
      </c>
    </row>
    <row r="344" spans="1:13">
      <c r="A344">
        <f>ROW()</f>
        <v>344</v>
      </c>
      <c r="B344">
        <f>IFERROR(INDEX(tblDeviceConfig[Device Type],ROW()-1),"")</f>
        <v>0</v>
      </c>
      <c r="C344">
        <f>IFERROR(INDEX(tblDeviceConfig[Deployed],ROW()-1),"")</f>
        <v>0</v>
      </c>
      <c r="D344">
        <f>IFERROR(INDEX(tblDeviceConfig[Installed],ROW()-1),"")</f>
        <v>0</v>
      </c>
      <c r="E344">
        <f>IFERROR(INDEX(tblDeviceConfig[Cybernet Hostname],ROW()-1),"")</f>
        <v>0</v>
      </c>
      <c r="F344">
        <f>IFERROR(INDEX(tblDeviceConfig[Neuron Hostname],ROW()-1),"")</f>
        <v>0</v>
      </c>
      <c r="G344">
        <f>IFERROR(INDEX(tblDeviceConfig[Software List],ROW()-1),"")</f>
        <v>0</v>
      </c>
      <c r="H344">
        <f>IFERROR(INDEX(tblDeviceConfig[PI_Use_Case],ROW()-1),"")</f>
        <v>0</v>
      </c>
      <c r="I344">
        <f>IFERROR(INDEX(tblDeviceConfig[PI_Result],ROW()-1),"")</f>
        <v>0</v>
      </c>
      <c r="J344">
        <f>IFERROR(INDEX(tblDeviceConfig[PI_Validated_By],ROW()-1),"")</f>
        <v>0</v>
      </c>
      <c r="K344">
        <f>IFERROR(INDEX(tblDeviceConfig[PI_Validated_Date],ROW()-1),"")</f>
        <v>0</v>
      </c>
      <c r="L344">
        <f t="shared" si="10"/>
        <v>0</v>
      </c>
      <c r="M344" t="str">
        <f t="shared" si="11"/>
        <v/>
      </c>
    </row>
    <row r="345" spans="1:13">
      <c r="A345">
        <f>ROW()</f>
        <v>345</v>
      </c>
      <c r="B345">
        <f>IFERROR(INDEX(tblDeviceConfig[Device Type],ROW()-1),"")</f>
        <v>0</v>
      </c>
      <c r="C345">
        <f>IFERROR(INDEX(tblDeviceConfig[Deployed],ROW()-1),"")</f>
        <v>0</v>
      </c>
      <c r="D345">
        <f>IFERROR(INDEX(tblDeviceConfig[Installed],ROW()-1),"")</f>
        <v>0</v>
      </c>
      <c r="E345">
        <f>IFERROR(INDEX(tblDeviceConfig[Cybernet Hostname],ROW()-1),"")</f>
        <v>0</v>
      </c>
      <c r="F345">
        <f>IFERROR(INDEX(tblDeviceConfig[Neuron Hostname],ROW()-1),"")</f>
        <v>0</v>
      </c>
      <c r="G345">
        <f>IFERROR(INDEX(tblDeviceConfig[Software List],ROW()-1),"")</f>
        <v>0</v>
      </c>
      <c r="H345">
        <f>IFERROR(INDEX(tblDeviceConfig[PI_Use_Case],ROW()-1),"")</f>
        <v>0</v>
      </c>
      <c r="I345">
        <f>IFERROR(INDEX(tblDeviceConfig[PI_Result],ROW()-1),"")</f>
        <v>0</v>
      </c>
      <c r="J345">
        <f>IFERROR(INDEX(tblDeviceConfig[PI_Validated_By],ROW()-1),"")</f>
        <v>0</v>
      </c>
      <c r="K345">
        <f>IFERROR(INDEX(tblDeviceConfig[PI_Validated_Date],ROW()-1),"")</f>
        <v>0</v>
      </c>
      <c r="L345">
        <f t="shared" si="10"/>
        <v>0</v>
      </c>
      <c r="M345" t="str">
        <f t="shared" si="11"/>
        <v/>
      </c>
    </row>
    <row r="346" spans="1:13">
      <c r="A346">
        <f>ROW()</f>
        <v>346</v>
      </c>
      <c r="B346">
        <f>IFERROR(INDEX(tblDeviceConfig[Device Type],ROW()-1),"")</f>
        <v>0</v>
      </c>
      <c r="C346">
        <f>IFERROR(INDEX(tblDeviceConfig[Deployed],ROW()-1),"")</f>
        <v>0</v>
      </c>
      <c r="D346">
        <f>IFERROR(INDEX(tblDeviceConfig[Installed],ROW()-1),"")</f>
        <v>0</v>
      </c>
      <c r="E346">
        <f>IFERROR(INDEX(tblDeviceConfig[Cybernet Hostname],ROW()-1),"")</f>
        <v>0</v>
      </c>
      <c r="F346">
        <f>IFERROR(INDEX(tblDeviceConfig[Neuron Hostname],ROW()-1),"")</f>
        <v>0</v>
      </c>
      <c r="G346">
        <f>IFERROR(INDEX(tblDeviceConfig[Software List],ROW()-1),"")</f>
        <v>0</v>
      </c>
      <c r="H346">
        <f>IFERROR(INDEX(tblDeviceConfig[PI_Use_Case],ROW()-1),"")</f>
        <v>0</v>
      </c>
      <c r="I346">
        <f>IFERROR(INDEX(tblDeviceConfig[PI_Result],ROW()-1),"")</f>
        <v>0</v>
      </c>
      <c r="J346">
        <f>IFERROR(INDEX(tblDeviceConfig[PI_Validated_By],ROW()-1),"")</f>
        <v>0</v>
      </c>
      <c r="K346">
        <f>IFERROR(INDEX(tblDeviceConfig[PI_Validated_Date],ROW()-1),"")</f>
        <v>0</v>
      </c>
      <c r="L346">
        <f t="shared" si="10"/>
        <v>0</v>
      </c>
      <c r="M346" t="str">
        <f t="shared" si="11"/>
        <v/>
      </c>
    </row>
    <row r="347" spans="1:13">
      <c r="A347">
        <f>ROW()</f>
        <v>347</v>
      </c>
      <c r="B347">
        <f>IFERROR(INDEX(tblDeviceConfig[Device Type],ROW()-1),"")</f>
        <v>0</v>
      </c>
      <c r="C347">
        <f>IFERROR(INDEX(tblDeviceConfig[Deployed],ROW()-1),"")</f>
        <v>0</v>
      </c>
      <c r="D347">
        <f>IFERROR(INDEX(tblDeviceConfig[Installed],ROW()-1),"")</f>
        <v>0</v>
      </c>
      <c r="E347">
        <f>IFERROR(INDEX(tblDeviceConfig[Cybernet Hostname],ROW()-1),"")</f>
        <v>0</v>
      </c>
      <c r="F347">
        <f>IFERROR(INDEX(tblDeviceConfig[Neuron Hostname],ROW()-1),"")</f>
        <v>0</v>
      </c>
      <c r="G347">
        <f>IFERROR(INDEX(tblDeviceConfig[Software List],ROW()-1),"")</f>
        <v>0</v>
      </c>
      <c r="H347">
        <f>IFERROR(INDEX(tblDeviceConfig[PI_Use_Case],ROW()-1),"")</f>
        <v>0</v>
      </c>
      <c r="I347">
        <f>IFERROR(INDEX(tblDeviceConfig[PI_Result],ROW()-1),"")</f>
        <v>0</v>
      </c>
      <c r="J347">
        <f>IFERROR(INDEX(tblDeviceConfig[PI_Validated_By],ROW()-1),"")</f>
        <v>0</v>
      </c>
      <c r="K347">
        <f>IFERROR(INDEX(tblDeviceConfig[PI_Validated_Date],ROW()-1),"")</f>
        <v>0</v>
      </c>
      <c r="L347">
        <f t="shared" si="10"/>
        <v>0</v>
      </c>
      <c r="M347" t="str">
        <f t="shared" si="11"/>
        <v/>
      </c>
    </row>
    <row r="348" spans="1:13">
      <c r="A348">
        <f>ROW()</f>
        <v>348</v>
      </c>
      <c r="B348">
        <f>IFERROR(INDEX(tblDeviceConfig[Device Type],ROW()-1),"")</f>
        <v>0</v>
      </c>
      <c r="C348">
        <f>IFERROR(INDEX(tblDeviceConfig[Deployed],ROW()-1),"")</f>
        <v>0</v>
      </c>
      <c r="D348">
        <f>IFERROR(INDEX(tblDeviceConfig[Installed],ROW()-1),"")</f>
        <v>0</v>
      </c>
      <c r="E348">
        <f>IFERROR(INDEX(tblDeviceConfig[Cybernet Hostname],ROW()-1),"")</f>
        <v>0</v>
      </c>
      <c r="F348">
        <f>IFERROR(INDEX(tblDeviceConfig[Neuron Hostname],ROW()-1),"")</f>
        <v>0</v>
      </c>
      <c r="G348">
        <f>IFERROR(INDEX(tblDeviceConfig[Software List],ROW()-1),"")</f>
        <v>0</v>
      </c>
      <c r="H348">
        <f>IFERROR(INDEX(tblDeviceConfig[PI_Use_Case],ROW()-1),"")</f>
        <v>0</v>
      </c>
      <c r="I348">
        <f>IFERROR(INDEX(tblDeviceConfig[PI_Result],ROW()-1),"")</f>
        <v>0</v>
      </c>
      <c r="J348">
        <f>IFERROR(INDEX(tblDeviceConfig[PI_Validated_By],ROW()-1),"")</f>
        <v>0</v>
      </c>
      <c r="K348">
        <f>IFERROR(INDEX(tblDeviceConfig[PI_Validated_Date],ROW()-1),"")</f>
        <v>0</v>
      </c>
      <c r="L348">
        <f t="shared" si="10"/>
        <v>0</v>
      </c>
      <c r="M348" t="str">
        <f t="shared" si="11"/>
        <v/>
      </c>
    </row>
    <row r="349" spans="1:13">
      <c r="A349">
        <f>ROW()</f>
        <v>349</v>
      </c>
      <c r="B349">
        <f>IFERROR(INDEX(tblDeviceConfig[Device Type],ROW()-1),"")</f>
        <v>0</v>
      </c>
      <c r="C349">
        <f>IFERROR(INDEX(tblDeviceConfig[Deployed],ROW()-1),"")</f>
        <v>0</v>
      </c>
      <c r="D349">
        <f>IFERROR(INDEX(tblDeviceConfig[Installed],ROW()-1),"")</f>
        <v>0</v>
      </c>
      <c r="E349">
        <f>IFERROR(INDEX(tblDeviceConfig[Cybernet Hostname],ROW()-1),"")</f>
        <v>0</v>
      </c>
      <c r="F349">
        <f>IFERROR(INDEX(tblDeviceConfig[Neuron Hostname],ROW()-1),"")</f>
        <v>0</v>
      </c>
      <c r="G349">
        <f>IFERROR(INDEX(tblDeviceConfig[Software List],ROW()-1),"")</f>
        <v>0</v>
      </c>
      <c r="H349">
        <f>IFERROR(INDEX(tblDeviceConfig[PI_Use_Case],ROW()-1),"")</f>
        <v>0</v>
      </c>
      <c r="I349">
        <f>IFERROR(INDEX(tblDeviceConfig[PI_Result],ROW()-1),"")</f>
        <v>0</v>
      </c>
      <c r="J349">
        <f>IFERROR(INDEX(tblDeviceConfig[PI_Validated_By],ROW()-1),"")</f>
        <v>0</v>
      </c>
      <c r="K349">
        <f>IFERROR(INDEX(tblDeviceConfig[PI_Validated_Date],ROW()-1),"")</f>
        <v>0</v>
      </c>
      <c r="L349">
        <f t="shared" si="10"/>
        <v>0</v>
      </c>
      <c r="M349" t="str">
        <f t="shared" si="11"/>
        <v/>
      </c>
    </row>
    <row r="350" spans="1:13">
      <c r="A350">
        <f>ROW()</f>
        <v>350</v>
      </c>
      <c r="B350">
        <f>IFERROR(INDEX(tblDeviceConfig[Device Type],ROW()-1),"")</f>
        <v>0</v>
      </c>
      <c r="C350">
        <f>IFERROR(INDEX(tblDeviceConfig[Deployed],ROW()-1),"")</f>
        <v>0</v>
      </c>
      <c r="D350">
        <f>IFERROR(INDEX(tblDeviceConfig[Installed],ROW()-1),"")</f>
        <v>0</v>
      </c>
      <c r="E350">
        <f>IFERROR(INDEX(tblDeviceConfig[Cybernet Hostname],ROW()-1),"")</f>
        <v>0</v>
      </c>
      <c r="F350">
        <f>IFERROR(INDEX(tblDeviceConfig[Neuron Hostname],ROW()-1),"")</f>
        <v>0</v>
      </c>
      <c r="G350">
        <f>IFERROR(INDEX(tblDeviceConfig[Software List],ROW()-1),"")</f>
        <v>0</v>
      </c>
      <c r="H350">
        <f>IFERROR(INDEX(tblDeviceConfig[PI_Use_Case],ROW()-1),"")</f>
        <v>0</v>
      </c>
      <c r="I350">
        <f>IFERROR(INDEX(tblDeviceConfig[PI_Result],ROW()-1),"")</f>
        <v>0</v>
      </c>
      <c r="J350">
        <f>IFERROR(INDEX(tblDeviceConfig[PI_Validated_By],ROW()-1),"")</f>
        <v>0</v>
      </c>
      <c r="K350">
        <f>IFERROR(INDEX(tblDeviceConfig[PI_Validated_Date],ROW()-1),"")</f>
        <v>0</v>
      </c>
      <c r="L350">
        <f t="shared" si="10"/>
        <v>0</v>
      </c>
      <c r="M350" t="str">
        <f t="shared" si="11"/>
        <v/>
      </c>
    </row>
    <row r="351" spans="1:13">
      <c r="A351">
        <f>ROW()</f>
        <v>351</v>
      </c>
      <c r="B351">
        <f>IFERROR(INDEX(tblDeviceConfig[Device Type],ROW()-1),"")</f>
        <v>0</v>
      </c>
      <c r="C351">
        <f>IFERROR(INDEX(tblDeviceConfig[Deployed],ROW()-1),"")</f>
        <v>0</v>
      </c>
      <c r="D351">
        <f>IFERROR(INDEX(tblDeviceConfig[Installed],ROW()-1),"")</f>
        <v>0</v>
      </c>
      <c r="E351">
        <f>IFERROR(INDEX(tblDeviceConfig[Cybernet Hostname],ROW()-1),"")</f>
        <v>0</v>
      </c>
      <c r="F351">
        <f>IFERROR(INDEX(tblDeviceConfig[Neuron Hostname],ROW()-1),"")</f>
        <v>0</v>
      </c>
      <c r="G351">
        <f>IFERROR(INDEX(tblDeviceConfig[Software List],ROW()-1),"")</f>
        <v>0</v>
      </c>
      <c r="H351">
        <f>IFERROR(INDEX(tblDeviceConfig[PI_Use_Case],ROW()-1),"")</f>
        <v>0</v>
      </c>
      <c r="I351">
        <f>IFERROR(INDEX(tblDeviceConfig[PI_Result],ROW()-1),"")</f>
        <v>0</v>
      </c>
      <c r="J351">
        <f>IFERROR(INDEX(tblDeviceConfig[PI_Validated_By],ROW()-1),"")</f>
        <v>0</v>
      </c>
      <c r="K351">
        <f>IFERROR(INDEX(tblDeviceConfig[PI_Validated_Date],ROW()-1),"")</f>
        <v>0</v>
      </c>
      <c r="L351">
        <f t="shared" si="10"/>
        <v>0</v>
      </c>
      <c r="M351" t="str">
        <f t="shared" si="11"/>
        <v/>
      </c>
    </row>
    <row r="352" spans="1:13">
      <c r="A352">
        <f>ROW()</f>
        <v>352</v>
      </c>
      <c r="B352">
        <f>IFERROR(INDEX(tblDeviceConfig[Device Type],ROW()-1),"")</f>
        <v>0</v>
      </c>
      <c r="C352">
        <f>IFERROR(INDEX(tblDeviceConfig[Deployed],ROW()-1),"")</f>
        <v>0</v>
      </c>
      <c r="D352">
        <f>IFERROR(INDEX(tblDeviceConfig[Installed],ROW()-1),"")</f>
        <v>0</v>
      </c>
      <c r="E352">
        <f>IFERROR(INDEX(tblDeviceConfig[Cybernet Hostname],ROW()-1),"")</f>
        <v>0</v>
      </c>
      <c r="F352">
        <f>IFERROR(INDEX(tblDeviceConfig[Neuron Hostname],ROW()-1),"")</f>
        <v>0</v>
      </c>
      <c r="G352">
        <f>IFERROR(INDEX(tblDeviceConfig[Software List],ROW()-1),"")</f>
        <v>0</v>
      </c>
      <c r="H352">
        <f>IFERROR(INDEX(tblDeviceConfig[PI_Use_Case],ROW()-1),"")</f>
        <v>0</v>
      </c>
      <c r="I352">
        <f>IFERROR(INDEX(tblDeviceConfig[PI_Result],ROW()-1),"")</f>
        <v>0</v>
      </c>
      <c r="J352">
        <f>IFERROR(INDEX(tblDeviceConfig[PI_Validated_By],ROW()-1),"")</f>
        <v>0</v>
      </c>
      <c r="K352">
        <f>IFERROR(INDEX(tblDeviceConfig[PI_Validated_Date],ROW()-1),"")</f>
        <v>0</v>
      </c>
      <c r="L352">
        <f t="shared" si="10"/>
        <v>0</v>
      </c>
      <c r="M352" t="str">
        <f t="shared" si="11"/>
        <v/>
      </c>
    </row>
    <row r="353" spans="1:13">
      <c r="A353">
        <f>ROW()</f>
        <v>353</v>
      </c>
      <c r="B353">
        <f>IFERROR(INDEX(tblDeviceConfig[Device Type],ROW()-1),"")</f>
        <v>0</v>
      </c>
      <c r="C353">
        <f>IFERROR(INDEX(tblDeviceConfig[Deployed],ROW()-1),"")</f>
        <v>0</v>
      </c>
      <c r="D353">
        <f>IFERROR(INDEX(tblDeviceConfig[Installed],ROW()-1),"")</f>
        <v>0</v>
      </c>
      <c r="E353">
        <f>IFERROR(INDEX(tblDeviceConfig[Cybernet Hostname],ROW()-1),"")</f>
        <v>0</v>
      </c>
      <c r="F353">
        <f>IFERROR(INDEX(tblDeviceConfig[Neuron Hostname],ROW()-1),"")</f>
        <v>0</v>
      </c>
      <c r="G353">
        <f>IFERROR(INDEX(tblDeviceConfig[Software List],ROW()-1),"")</f>
        <v>0</v>
      </c>
      <c r="H353">
        <f>IFERROR(INDEX(tblDeviceConfig[PI_Use_Case],ROW()-1),"")</f>
        <v>0</v>
      </c>
      <c r="I353">
        <f>IFERROR(INDEX(tblDeviceConfig[PI_Result],ROW()-1),"")</f>
        <v>0</v>
      </c>
      <c r="J353">
        <f>IFERROR(INDEX(tblDeviceConfig[PI_Validated_By],ROW()-1),"")</f>
        <v>0</v>
      </c>
      <c r="K353">
        <f>IFERROR(INDEX(tblDeviceConfig[PI_Validated_Date],ROW()-1),"")</f>
        <v>0</v>
      </c>
      <c r="L353">
        <f t="shared" si="10"/>
        <v>0</v>
      </c>
      <c r="M353" t="str">
        <f t="shared" si="11"/>
        <v/>
      </c>
    </row>
    <row r="354" spans="1:13">
      <c r="A354">
        <f>ROW()</f>
        <v>354</v>
      </c>
      <c r="B354">
        <f>IFERROR(INDEX(tblDeviceConfig[Device Type],ROW()-1),"")</f>
        <v>0</v>
      </c>
      <c r="C354">
        <f>IFERROR(INDEX(tblDeviceConfig[Deployed],ROW()-1),"")</f>
        <v>0</v>
      </c>
      <c r="D354">
        <f>IFERROR(INDEX(tblDeviceConfig[Installed],ROW()-1),"")</f>
        <v>0</v>
      </c>
      <c r="E354">
        <f>IFERROR(INDEX(tblDeviceConfig[Cybernet Hostname],ROW()-1),"")</f>
        <v>0</v>
      </c>
      <c r="F354">
        <f>IFERROR(INDEX(tblDeviceConfig[Neuron Hostname],ROW()-1),"")</f>
        <v>0</v>
      </c>
      <c r="G354">
        <f>IFERROR(INDEX(tblDeviceConfig[Software List],ROW()-1),"")</f>
        <v>0</v>
      </c>
      <c r="H354">
        <f>IFERROR(INDEX(tblDeviceConfig[PI_Use_Case],ROW()-1),"")</f>
        <v>0</v>
      </c>
      <c r="I354">
        <f>IFERROR(INDEX(tblDeviceConfig[PI_Result],ROW()-1),"")</f>
        <v>0</v>
      </c>
      <c r="J354">
        <f>IFERROR(INDEX(tblDeviceConfig[PI_Validated_By],ROW()-1),"")</f>
        <v>0</v>
      </c>
      <c r="K354">
        <f>IFERROR(INDEX(tblDeviceConfig[PI_Validated_Date],ROW()-1),"")</f>
        <v>0</v>
      </c>
      <c r="L354">
        <f t="shared" si="10"/>
        <v>0</v>
      </c>
      <c r="M354" t="str">
        <f t="shared" si="11"/>
        <v/>
      </c>
    </row>
    <row r="355" spans="1:13">
      <c r="A355">
        <f>ROW()</f>
        <v>355</v>
      </c>
      <c r="B355">
        <f>IFERROR(INDEX(tblDeviceConfig[Device Type],ROW()-1),"")</f>
        <v>0</v>
      </c>
      <c r="C355">
        <f>IFERROR(INDEX(tblDeviceConfig[Deployed],ROW()-1),"")</f>
        <v>0</v>
      </c>
      <c r="D355">
        <f>IFERROR(INDEX(tblDeviceConfig[Installed],ROW()-1),"")</f>
        <v>0</v>
      </c>
      <c r="E355">
        <f>IFERROR(INDEX(tblDeviceConfig[Cybernet Hostname],ROW()-1),"")</f>
        <v>0</v>
      </c>
      <c r="F355">
        <f>IFERROR(INDEX(tblDeviceConfig[Neuron Hostname],ROW()-1),"")</f>
        <v>0</v>
      </c>
      <c r="G355">
        <f>IFERROR(INDEX(tblDeviceConfig[Software List],ROW()-1),"")</f>
        <v>0</v>
      </c>
      <c r="H355">
        <f>IFERROR(INDEX(tblDeviceConfig[PI_Use_Case],ROW()-1),"")</f>
        <v>0</v>
      </c>
      <c r="I355">
        <f>IFERROR(INDEX(tblDeviceConfig[PI_Result],ROW()-1),"")</f>
        <v>0</v>
      </c>
      <c r="J355">
        <f>IFERROR(INDEX(tblDeviceConfig[PI_Validated_By],ROW()-1),"")</f>
        <v>0</v>
      </c>
      <c r="K355">
        <f>IFERROR(INDEX(tblDeviceConfig[PI_Validated_Date],ROW()-1),"")</f>
        <v>0</v>
      </c>
      <c r="L355">
        <f t="shared" si="10"/>
        <v>0</v>
      </c>
      <c r="M355" t="str">
        <f t="shared" si="11"/>
        <v/>
      </c>
    </row>
    <row r="356" spans="1:13">
      <c r="A356">
        <f>ROW()</f>
        <v>356</v>
      </c>
      <c r="B356">
        <f>IFERROR(INDEX(tblDeviceConfig[Device Type],ROW()-1),"")</f>
        <v>0</v>
      </c>
      <c r="C356">
        <f>IFERROR(INDEX(tblDeviceConfig[Deployed],ROW()-1),"")</f>
        <v>0</v>
      </c>
      <c r="D356">
        <f>IFERROR(INDEX(tblDeviceConfig[Installed],ROW()-1),"")</f>
        <v>0</v>
      </c>
      <c r="E356">
        <f>IFERROR(INDEX(tblDeviceConfig[Cybernet Hostname],ROW()-1),"")</f>
        <v>0</v>
      </c>
      <c r="F356">
        <f>IFERROR(INDEX(tblDeviceConfig[Neuron Hostname],ROW()-1),"")</f>
        <v>0</v>
      </c>
      <c r="G356">
        <f>IFERROR(INDEX(tblDeviceConfig[Software List],ROW()-1),"")</f>
        <v>0</v>
      </c>
      <c r="H356">
        <f>IFERROR(INDEX(tblDeviceConfig[PI_Use_Case],ROW()-1),"")</f>
        <v>0</v>
      </c>
      <c r="I356">
        <f>IFERROR(INDEX(tblDeviceConfig[PI_Result],ROW()-1),"")</f>
        <v>0</v>
      </c>
      <c r="J356">
        <f>IFERROR(INDEX(tblDeviceConfig[PI_Validated_By],ROW()-1),"")</f>
        <v>0</v>
      </c>
      <c r="K356">
        <f>IFERROR(INDEX(tblDeviceConfig[PI_Validated_Date],ROW()-1),"")</f>
        <v>0</v>
      </c>
      <c r="L356">
        <f t="shared" si="10"/>
        <v>0</v>
      </c>
      <c r="M356" t="str">
        <f t="shared" si="11"/>
        <v/>
      </c>
    </row>
    <row r="357" spans="1:13">
      <c r="A357">
        <f>ROW()</f>
        <v>357</v>
      </c>
      <c r="B357">
        <f>IFERROR(INDEX(tblDeviceConfig[Device Type],ROW()-1),"")</f>
        <v>0</v>
      </c>
      <c r="C357">
        <f>IFERROR(INDEX(tblDeviceConfig[Deployed],ROW()-1),"")</f>
        <v>0</v>
      </c>
      <c r="D357">
        <f>IFERROR(INDEX(tblDeviceConfig[Installed],ROW()-1),"")</f>
        <v>0</v>
      </c>
      <c r="E357">
        <f>IFERROR(INDEX(tblDeviceConfig[Cybernet Hostname],ROW()-1),"")</f>
        <v>0</v>
      </c>
      <c r="F357">
        <f>IFERROR(INDEX(tblDeviceConfig[Neuron Hostname],ROW()-1),"")</f>
        <v>0</v>
      </c>
      <c r="G357">
        <f>IFERROR(INDEX(tblDeviceConfig[Software List],ROW()-1),"")</f>
        <v>0</v>
      </c>
      <c r="H357">
        <f>IFERROR(INDEX(tblDeviceConfig[PI_Use_Case],ROW()-1),"")</f>
        <v>0</v>
      </c>
      <c r="I357">
        <f>IFERROR(INDEX(tblDeviceConfig[PI_Result],ROW()-1),"")</f>
        <v>0</v>
      </c>
      <c r="J357">
        <f>IFERROR(INDEX(tblDeviceConfig[PI_Validated_By],ROW()-1),"")</f>
        <v>0</v>
      </c>
      <c r="K357">
        <f>IFERROR(INDEX(tblDeviceConfig[PI_Validated_Date],ROW()-1),"")</f>
        <v>0</v>
      </c>
      <c r="L357">
        <f t="shared" si="10"/>
        <v>0</v>
      </c>
      <c r="M357" t="str">
        <f t="shared" si="11"/>
        <v/>
      </c>
    </row>
    <row r="358" spans="1:13">
      <c r="A358">
        <f>ROW()</f>
        <v>358</v>
      </c>
      <c r="B358">
        <f>IFERROR(INDEX(tblDeviceConfig[Device Type],ROW()-1),"")</f>
        <v>0</v>
      </c>
      <c r="C358">
        <f>IFERROR(INDEX(tblDeviceConfig[Deployed],ROW()-1),"")</f>
        <v>0</v>
      </c>
      <c r="D358">
        <f>IFERROR(INDEX(tblDeviceConfig[Installed],ROW()-1),"")</f>
        <v>0</v>
      </c>
      <c r="E358">
        <f>IFERROR(INDEX(tblDeviceConfig[Cybernet Hostname],ROW()-1),"")</f>
        <v>0</v>
      </c>
      <c r="F358">
        <f>IFERROR(INDEX(tblDeviceConfig[Neuron Hostname],ROW()-1),"")</f>
        <v>0</v>
      </c>
      <c r="G358">
        <f>IFERROR(INDEX(tblDeviceConfig[Software List],ROW()-1),"")</f>
        <v>0</v>
      </c>
      <c r="H358">
        <f>IFERROR(INDEX(tblDeviceConfig[PI_Use_Case],ROW()-1),"")</f>
        <v>0</v>
      </c>
      <c r="I358">
        <f>IFERROR(INDEX(tblDeviceConfig[PI_Result],ROW()-1),"")</f>
        <v>0</v>
      </c>
      <c r="J358">
        <f>IFERROR(INDEX(tblDeviceConfig[PI_Validated_By],ROW()-1),"")</f>
        <v>0</v>
      </c>
      <c r="K358">
        <f>IFERROR(INDEX(tblDeviceConfig[PI_Validated_Date],ROW()-1),"")</f>
        <v>0</v>
      </c>
      <c r="L358">
        <f t="shared" si="10"/>
        <v>0</v>
      </c>
      <c r="M358" t="str">
        <f t="shared" si="11"/>
        <v/>
      </c>
    </row>
    <row r="359" spans="1:13">
      <c r="A359">
        <f>ROW()</f>
        <v>359</v>
      </c>
      <c r="B359">
        <f>IFERROR(INDEX(tblDeviceConfig[Device Type],ROW()-1),"")</f>
        <v>0</v>
      </c>
      <c r="C359">
        <f>IFERROR(INDEX(tblDeviceConfig[Deployed],ROW()-1),"")</f>
        <v>0</v>
      </c>
      <c r="D359">
        <f>IFERROR(INDEX(tblDeviceConfig[Installed],ROW()-1),"")</f>
        <v>0</v>
      </c>
      <c r="E359">
        <f>IFERROR(INDEX(tblDeviceConfig[Cybernet Hostname],ROW()-1),"")</f>
        <v>0</v>
      </c>
      <c r="F359">
        <f>IFERROR(INDEX(tblDeviceConfig[Neuron Hostname],ROW()-1),"")</f>
        <v>0</v>
      </c>
      <c r="G359">
        <f>IFERROR(INDEX(tblDeviceConfig[Software List],ROW()-1),"")</f>
        <v>0</v>
      </c>
      <c r="H359">
        <f>IFERROR(INDEX(tblDeviceConfig[PI_Use_Case],ROW()-1),"")</f>
        <v>0</v>
      </c>
      <c r="I359">
        <f>IFERROR(INDEX(tblDeviceConfig[PI_Result],ROW()-1),"")</f>
        <v>0</v>
      </c>
      <c r="J359">
        <f>IFERROR(INDEX(tblDeviceConfig[PI_Validated_By],ROW()-1),"")</f>
        <v>0</v>
      </c>
      <c r="K359">
        <f>IFERROR(INDEX(tblDeviceConfig[PI_Validated_Date],ROW()-1),"")</f>
        <v>0</v>
      </c>
      <c r="L359">
        <f t="shared" si="10"/>
        <v>0</v>
      </c>
      <c r="M359" t="str">
        <f t="shared" si="11"/>
        <v/>
      </c>
    </row>
    <row r="360" spans="1:13">
      <c r="A360">
        <f>ROW()</f>
        <v>360</v>
      </c>
      <c r="B360">
        <f>IFERROR(INDEX(tblDeviceConfig[Device Type],ROW()-1),"")</f>
        <v>0</v>
      </c>
      <c r="C360">
        <f>IFERROR(INDEX(tblDeviceConfig[Deployed],ROW()-1),"")</f>
        <v>0</v>
      </c>
      <c r="D360">
        <f>IFERROR(INDEX(tblDeviceConfig[Installed],ROW()-1),"")</f>
        <v>0</v>
      </c>
      <c r="E360">
        <f>IFERROR(INDEX(tblDeviceConfig[Cybernet Hostname],ROW()-1),"")</f>
        <v>0</v>
      </c>
      <c r="F360">
        <f>IFERROR(INDEX(tblDeviceConfig[Neuron Hostname],ROW()-1),"")</f>
        <v>0</v>
      </c>
      <c r="G360">
        <f>IFERROR(INDEX(tblDeviceConfig[Software List],ROW()-1),"")</f>
        <v>0</v>
      </c>
      <c r="H360">
        <f>IFERROR(INDEX(tblDeviceConfig[PI_Use_Case],ROW()-1),"")</f>
        <v>0</v>
      </c>
      <c r="I360">
        <f>IFERROR(INDEX(tblDeviceConfig[PI_Result],ROW()-1),"")</f>
        <v>0</v>
      </c>
      <c r="J360">
        <f>IFERROR(INDEX(tblDeviceConfig[PI_Validated_By],ROW()-1),"")</f>
        <v>0</v>
      </c>
      <c r="K360">
        <f>IFERROR(INDEX(tblDeviceConfig[PI_Validated_Date],ROW()-1),"")</f>
        <v>0</v>
      </c>
      <c r="L360">
        <f t="shared" si="10"/>
        <v>0</v>
      </c>
      <c r="M360" t="str">
        <f t="shared" si="11"/>
        <v/>
      </c>
    </row>
    <row r="361" spans="1:13">
      <c r="A361">
        <f>ROW()</f>
        <v>361</v>
      </c>
      <c r="B361">
        <f>IFERROR(INDEX(tblDeviceConfig[Device Type],ROW()-1),"")</f>
        <v>0</v>
      </c>
      <c r="C361">
        <f>IFERROR(INDEX(tblDeviceConfig[Deployed],ROW()-1),"")</f>
        <v>0</v>
      </c>
      <c r="D361">
        <f>IFERROR(INDEX(tblDeviceConfig[Installed],ROW()-1),"")</f>
        <v>0</v>
      </c>
      <c r="E361">
        <f>IFERROR(INDEX(tblDeviceConfig[Cybernet Hostname],ROW()-1),"")</f>
        <v>0</v>
      </c>
      <c r="F361">
        <f>IFERROR(INDEX(tblDeviceConfig[Neuron Hostname],ROW()-1),"")</f>
        <v>0</v>
      </c>
      <c r="G361">
        <f>IFERROR(INDEX(tblDeviceConfig[Software List],ROW()-1),"")</f>
        <v>0</v>
      </c>
      <c r="H361">
        <f>IFERROR(INDEX(tblDeviceConfig[PI_Use_Case],ROW()-1),"")</f>
        <v>0</v>
      </c>
      <c r="I361">
        <f>IFERROR(INDEX(tblDeviceConfig[PI_Result],ROW()-1),"")</f>
        <v>0</v>
      </c>
      <c r="J361">
        <f>IFERROR(INDEX(tblDeviceConfig[PI_Validated_By],ROW()-1),"")</f>
        <v>0</v>
      </c>
      <c r="K361">
        <f>IFERROR(INDEX(tblDeviceConfig[PI_Validated_Date],ROW()-1),"")</f>
        <v>0</v>
      </c>
      <c r="L361">
        <f t="shared" si="10"/>
        <v>0</v>
      </c>
      <c r="M361" t="str">
        <f t="shared" si="11"/>
        <v/>
      </c>
    </row>
    <row r="362" spans="1:13">
      <c r="A362">
        <f>ROW()</f>
        <v>362</v>
      </c>
      <c r="B362">
        <f>IFERROR(INDEX(tblDeviceConfig[Device Type],ROW()-1),"")</f>
        <v>0</v>
      </c>
      <c r="C362">
        <f>IFERROR(INDEX(tblDeviceConfig[Deployed],ROW()-1),"")</f>
        <v>0</v>
      </c>
      <c r="D362">
        <f>IFERROR(INDEX(tblDeviceConfig[Installed],ROW()-1),"")</f>
        <v>0</v>
      </c>
      <c r="E362">
        <f>IFERROR(INDEX(tblDeviceConfig[Cybernet Hostname],ROW()-1),"")</f>
        <v>0</v>
      </c>
      <c r="F362">
        <f>IFERROR(INDEX(tblDeviceConfig[Neuron Hostname],ROW()-1),"")</f>
        <v>0</v>
      </c>
      <c r="G362">
        <f>IFERROR(INDEX(tblDeviceConfig[Software List],ROW()-1),"")</f>
        <v>0</v>
      </c>
      <c r="H362">
        <f>IFERROR(INDEX(tblDeviceConfig[PI_Use_Case],ROW()-1),"")</f>
        <v>0</v>
      </c>
      <c r="I362">
        <f>IFERROR(INDEX(tblDeviceConfig[PI_Result],ROW()-1),"")</f>
        <v>0</v>
      </c>
      <c r="J362">
        <f>IFERROR(INDEX(tblDeviceConfig[PI_Validated_By],ROW()-1),"")</f>
        <v>0</v>
      </c>
      <c r="K362">
        <f>IFERROR(INDEX(tblDeviceConfig[PI_Validated_Date],ROW()-1),"")</f>
        <v>0</v>
      </c>
      <c r="L362">
        <f t="shared" si="10"/>
        <v>0</v>
      </c>
      <c r="M362" t="str">
        <f t="shared" si="11"/>
        <v/>
      </c>
    </row>
    <row r="363" spans="1:13">
      <c r="A363">
        <f>ROW()</f>
        <v>363</v>
      </c>
      <c r="B363">
        <f>IFERROR(INDEX(tblDeviceConfig[Device Type],ROW()-1),"")</f>
        <v>0</v>
      </c>
      <c r="C363">
        <f>IFERROR(INDEX(tblDeviceConfig[Deployed],ROW()-1),"")</f>
        <v>0</v>
      </c>
      <c r="D363">
        <f>IFERROR(INDEX(tblDeviceConfig[Installed],ROW()-1),"")</f>
        <v>0</v>
      </c>
      <c r="E363">
        <f>IFERROR(INDEX(tblDeviceConfig[Cybernet Hostname],ROW()-1),"")</f>
        <v>0</v>
      </c>
      <c r="F363">
        <f>IFERROR(INDEX(tblDeviceConfig[Neuron Hostname],ROW()-1),"")</f>
        <v>0</v>
      </c>
      <c r="G363">
        <f>IFERROR(INDEX(tblDeviceConfig[Software List],ROW()-1),"")</f>
        <v>0</v>
      </c>
      <c r="H363">
        <f>IFERROR(INDEX(tblDeviceConfig[PI_Use_Case],ROW()-1),"")</f>
        <v>0</v>
      </c>
      <c r="I363">
        <f>IFERROR(INDEX(tblDeviceConfig[PI_Result],ROW()-1),"")</f>
        <v>0</v>
      </c>
      <c r="J363">
        <f>IFERROR(INDEX(tblDeviceConfig[PI_Validated_By],ROW()-1),"")</f>
        <v>0</v>
      </c>
      <c r="K363">
        <f>IFERROR(INDEX(tblDeviceConfig[PI_Validated_Date],ROW()-1),"")</f>
        <v>0</v>
      </c>
      <c r="L363">
        <f t="shared" si="10"/>
        <v>0</v>
      </c>
      <c r="M363" t="str">
        <f t="shared" si="11"/>
        <v/>
      </c>
    </row>
    <row r="364" spans="1:13">
      <c r="A364">
        <f>ROW()</f>
        <v>364</v>
      </c>
      <c r="B364">
        <f>IFERROR(INDEX(tblDeviceConfig[Device Type],ROW()-1),"")</f>
        <v>0</v>
      </c>
      <c r="C364">
        <f>IFERROR(INDEX(tblDeviceConfig[Deployed],ROW()-1),"")</f>
        <v>0</v>
      </c>
      <c r="D364">
        <f>IFERROR(INDEX(tblDeviceConfig[Installed],ROW()-1),"")</f>
        <v>0</v>
      </c>
      <c r="E364">
        <f>IFERROR(INDEX(tblDeviceConfig[Cybernet Hostname],ROW()-1),"")</f>
        <v>0</v>
      </c>
      <c r="F364">
        <f>IFERROR(INDEX(tblDeviceConfig[Neuron Hostname],ROW()-1),"")</f>
        <v>0</v>
      </c>
      <c r="G364">
        <f>IFERROR(INDEX(tblDeviceConfig[Software List],ROW()-1),"")</f>
        <v>0</v>
      </c>
      <c r="H364">
        <f>IFERROR(INDEX(tblDeviceConfig[PI_Use_Case],ROW()-1),"")</f>
        <v>0</v>
      </c>
      <c r="I364">
        <f>IFERROR(INDEX(tblDeviceConfig[PI_Result],ROW()-1),"")</f>
        <v>0</v>
      </c>
      <c r="J364">
        <f>IFERROR(INDEX(tblDeviceConfig[PI_Validated_By],ROW()-1),"")</f>
        <v>0</v>
      </c>
      <c r="K364">
        <f>IFERROR(INDEX(tblDeviceConfig[PI_Validated_Date],ROW()-1),"")</f>
        <v>0</v>
      </c>
      <c r="L364">
        <f t="shared" si="10"/>
        <v>0</v>
      </c>
      <c r="M364" t="str">
        <f t="shared" si="11"/>
        <v/>
      </c>
    </row>
    <row r="365" spans="1:13">
      <c r="A365">
        <f>ROW()</f>
        <v>365</v>
      </c>
      <c r="B365">
        <f>IFERROR(INDEX(tblDeviceConfig[Device Type],ROW()-1),"")</f>
        <v>0</v>
      </c>
      <c r="C365">
        <f>IFERROR(INDEX(tblDeviceConfig[Deployed],ROW()-1),"")</f>
        <v>0</v>
      </c>
      <c r="D365">
        <f>IFERROR(INDEX(tblDeviceConfig[Installed],ROW()-1),"")</f>
        <v>0</v>
      </c>
      <c r="E365">
        <f>IFERROR(INDEX(tblDeviceConfig[Cybernet Hostname],ROW()-1),"")</f>
        <v>0</v>
      </c>
      <c r="F365">
        <f>IFERROR(INDEX(tblDeviceConfig[Neuron Hostname],ROW()-1),"")</f>
        <v>0</v>
      </c>
      <c r="G365">
        <f>IFERROR(INDEX(tblDeviceConfig[Software List],ROW()-1),"")</f>
        <v>0</v>
      </c>
      <c r="H365">
        <f>IFERROR(INDEX(tblDeviceConfig[PI_Use_Case],ROW()-1),"")</f>
        <v>0</v>
      </c>
      <c r="I365">
        <f>IFERROR(INDEX(tblDeviceConfig[PI_Result],ROW()-1),"")</f>
        <v>0</v>
      </c>
      <c r="J365">
        <f>IFERROR(INDEX(tblDeviceConfig[PI_Validated_By],ROW()-1),"")</f>
        <v>0</v>
      </c>
      <c r="K365">
        <f>IFERROR(INDEX(tblDeviceConfig[PI_Validated_Date],ROW()-1),"")</f>
        <v>0</v>
      </c>
      <c r="L365">
        <f t="shared" si="10"/>
        <v>0</v>
      </c>
      <c r="M365" t="str">
        <f t="shared" si="11"/>
        <v/>
      </c>
    </row>
    <row r="366" spans="1:13">
      <c r="A366">
        <f>ROW()</f>
        <v>366</v>
      </c>
      <c r="B366">
        <f>IFERROR(INDEX(tblDeviceConfig[Device Type],ROW()-1),"")</f>
        <v>0</v>
      </c>
      <c r="C366">
        <f>IFERROR(INDEX(tblDeviceConfig[Deployed],ROW()-1),"")</f>
        <v>0</v>
      </c>
      <c r="D366">
        <f>IFERROR(INDEX(tblDeviceConfig[Installed],ROW()-1),"")</f>
        <v>0</v>
      </c>
      <c r="E366">
        <f>IFERROR(INDEX(tblDeviceConfig[Cybernet Hostname],ROW()-1),"")</f>
        <v>0</v>
      </c>
      <c r="F366">
        <f>IFERROR(INDEX(tblDeviceConfig[Neuron Hostname],ROW()-1),"")</f>
        <v>0</v>
      </c>
      <c r="G366">
        <f>IFERROR(INDEX(tblDeviceConfig[Software List],ROW()-1),"")</f>
        <v>0</v>
      </c>
      <c r="H366">
        <f>IFERROR(INDEX(tblDeviceConfig[PI_Use_Case],ROW()-1),"")</f>
        <v>0</v>
      </c>
      <c r="I366">
        <f>IFERROR(INDEX(tblDeviceConfig[PI_Result],ROW()-1),"")</f>
        <v>0</v>
      </c>
      <c r="J366">
        <f>IFERROR(INDEX(tblDeviceConfig[PI_Validated_By],ROW()-1),"")</f>
        <v>0</v>
      </c>
      <c r="K366">
        <f>IFERROR(INDEX(tblDeviceConfig[PI_Validated_Date],ROW()-1),"")</f>
        <v>0</v>
      </c>
      <c r="L366">
        <f t="shared" si="10"/>
        <v>0</v>
      </c>
      <c r="M366" t="str">
        <f t="shared" si="11"/>
        <v/>
      </c>
    </row>
    <row r="367" spans="1:13">
      <c r="A367">
        <f>ROW()</f>
        <v>367</v>
      </c>
      <c r="B367">
        <f>IFERROR(INDEX(tblDeviceConfig[Device Type],ROW()-1),"")</f>
        <v>0</v>
      </c>
      <c r="C367">
        <f>IFERROR(INDEX(tblDeviceConfig[Deployed],ROW()-1),"")</f>
        <v>0</v>
      </c>
      <c r="D367">
        <f>IFERROR(INDEX(tblDeviceConfig[Installed],ROW()-1),"")</f>
        <v>0</v>
      </c>
      <c r="E367">
        <f>IFERROR(INDEX(tblDeviceConfig[Cybernet Hostname],ROW()-1),"")</f>
        <v>0</v>
      </c>
      <c r="F367">
        <f>IFERROR(INDEX(tblDeviceConfig[Neuron Hostname],ROW()-1),"")</f>
        <v>0</v>
      </c>
      <c r="G367">
        <f>IFERROR(INDEX(tblDeviceConfig[Software List],ROW()-1),"")</f>
        <v>0</v>
      </c>
      <c r="H367">
        <f>IFERROR(INDEX(tblDeviceConfig[PI_Use_Case],ROW()-1),"")</f>
        <v>0</v>
      </c>
      <c r="I367">
        <f>IFERROR(INDEX(tblDeviceConfig[PI_Result],ROW()-1),"")</f>
        <v>0</v>
      </c>
      <c r="J367">
        <f>IFERROR(INDEX(tblDeviceConfig[PI_Validated_By],ROW()-1),"")</f>
        <v>0</v>
      </c>
      <c r="K367">
        <f>IFERROR(INDEX(tblDeviceConfig[PI_Validated_Date],ROW()-1),"")</f>
        <v>0</v>
      </c>
      <c r="L367">
        <f t="shared" si="10"/>
        <v>0</v>
      </c>
      <c r="M367" t="str">
        <f t="shared" si="11"/>
        <v/>
      </c>
    </row>
    <row r="368" spans="1:13">
      <c r="A368">
        <f>ROW()</f>
        <v>368</v>
      </c>
      <c r="B368">
        <f>IFERROR(INDEX(tblDeviceConfig[Device Type],ROW()-1),"")</f>
        <v>0</v>
      </c>
      <c r="C368">
        <f>IFERROR(INDEX(tblDeviceConfig[Deployed],ROW()-1),"")</f>
        <v>0</v>
      </c>
      <c r="D368">
        <f>IFERROR(INDEX(tblDeviceConfig[Installed],ROW()-1),"")</f>
        <v>0</v>
      </c>
      <c r="E368">
        <f>IFERROR(INDEX(tblDeviceConfig[Cybernet Hostname],ROW()-1),"")</f>
        <v>0</v>
      </c>
      <c r="F368">
        <f>IFERROR(INDEX(tblDeviceConfig[Neuron Hostname],ROW()-1),"")</f>
        <v>0</v>
      </c>
      <c r="G368">
        <f>IFERROR(INDEX(tblDeviceConfig[Software List],ROW()-1),"")</f>
        <v>0</v>
      </c>
      <c r="H368">
        <f>IFERROR(INDEX(tblDeviceConfig[PI_Use_Case],ROW()-1),"")</f>
        <v>0</v>
      </c>
      <c r="I368">
        <f>IFERROR(INDEX(tblDeviceConfig[PI_Result],ROW()-1),"")</f>
        <v>0</v>
      </c>
      <c r="J368">
        <f>IFERROR(INDEX(tblDeviceConfig[PI_Validated_By],ROW()-1),"")</f>
        <v>0</v>
      </c>
      <c r="K368">
        <f>IFERROR(INDEX(tblDeviceConfig[PI_Validated_Date],ROW()-1),"")</f>
        <v>0</v>
      </c>
      <c r="L368">
        <f t="shared" si="10"/>
        <v>0</v>
      </c>
      <c r="M368" t="str">
        <f t="shared" si="11"/>
        <v/>
      </c>
    </row>
    <row r="369" spans="1:13">
      <c r="A369">
        <f>ROW()</f>
        <v>369</v>
      </c>
      <c r="B369">
        <f>IFERROR(INDEX(tblDeviceConfig[Device Type],ROW()-1),"")</f>
        <v>0</v>
      </c>
      <c r="C369">
        <f>IFERROR(INDEX(tblDeviceConfig[Deployed],ROW()-1),"")</f>
        <v>0</v>
      </c>
      <c r="D369">
        <f>IFERROR(INDEX(tblDeviceConfig[Installed],ROW()-1),"")</f>
        <v>0</v>
      </c>
      <c r="E369">
        <f>IFERROR(INDEX(tblDeviceConfig[Cybernet Hostname],ROW()-1),"")</f>
        <v>0</v>
      </c>
      <c r="F369">
        <f>IFERROR(INDEX(tblDeviceConfig[Neuron Hostname],ROW()-1),"")</f>
        <v>0</v>
      </c>
      <c r="G369">
        <f>IFERROR(INDEX(tblDeviceConfig[Software List],ROW()-1),"")</f>
        <v>0</v>
      </c>
      <c r="H369">
        <f>IFERROR(INDEX(tblDeviceConfig[PI_Use_Case],ROW()-1),"")</f>
        <v>0</v>
      </c>
      <c r="I369">
        <f>IFERROR(INDEX(tblDeviceConfig[PI_Result],ROW()-1),"")</f>
        <v>0</v>
      </c>
      <c r="J369">
        <f>IFERROR(INDEX(tblDeviceConfig[PI_Validated_By],ROW()-1),"")</f>
        <v>0</v>
      </c>
      <c r="K369">
        <f>IFERROR(INDEX(tblDeviceConfig[PI_Validated_Date],ROW()-1),"")</f>
        <v>0</v>
      </c>
      <c r="L369">
        <f t="shared" si="10"/>
        <v>0</v>
      </c>
      <c r="M369" t="str">
        <f t="shared" si="11"/>
        <v/>
      </c>
    </row>
    <row r="370" spans="1:13">
      <c r="A370">
        <f>ROW()</f>
        <v>370</v>
      </c>
      <c r="B370">
        <f>IFERROR(INDEX(tblDeviceConfig[Device Type],ROW()-1),"")</f>
        <v>0</v>
      </c>
      <c r="C370">
        <f>IFERROR(INDEX(tblDeviceConfig[Deployed],ROW()-1),"")</f>
        <v>0</v>
      </c>
      <c r="D370">
        <f>IFERROR(INDEX(tblDeviceConfig[Installed],ROW()-1),"")</f>
        <v>0</v>
      </c>
      <c r="E370">
        <f>IFERROR(INDEX(tblDeviceConfig[Cybernet Hostname],ROW()-1),"")</f>
        <v>0</v>
      </c>
      <c r="F370">
        <f>IFERROR(INDEX(tblDeviceConfig[Neuron Hostname],ROW()-1),"")</f>
        <v>0</v>
      </c>
      <c r="G370">
        <f>IFERROR(INDEX(tblDeviceConfig[Software List],ROW()-1),"")</f>
        <v>0</v>
      </c>
      <c r="H370">
        <f>IFERROR(INDEX(tblDeviceConfig[PI_Use_Case],ROW()-1),"")</f>
        <v>0</v>
      </c>
      <c r="I370">
        <f>IFERROR(INDEX(tblDeviceConfig[PI_Result],ROW()-1),"")</f>
        <v>0</v>
      </c>
      <c r="J370">
        <f>IFERROR(INDEX(tblDeviceConfig[PI_Validated_By],ROW()-1),"")</f>
        <v>0</v>
      </c>
      <c r="K370">
        <f>IFERROR(INDEX(tblDeviceConfig[PI_Validated_Date],ROW()-1),"")</f>
        <v>0</v>
      </c>
      <c r="L370">
        <f t="shared" si="10"/>
        <v>0</v>
      </c>
      <c r="M370" t="str">
        <f t="shared" si="11"/>
        <v/>
      </c>
    </row>
    <row r="371" spans="1:13">
      <c r="A371">
        <f>ROW()</f>
        <v>371</v>
      </c>
      <c r="B371">
        <f>IFERROR(INDEX(tblDeviceConfig[Device Type],ROW()-1),"")</f>
        <v>0</v>
      </c>
      <c r="C371">
        <f>IFERROR(INDEX(tblDeviceConfig[Deployed],ROW()-1),"")</f>
        <v>0</v>
      </c>
      <c r="D371">
        <f>IFERROR(INDEX(tblDeviceConfig[Installed],ROW()-1),"")</f>
        <v>0</v>
      </c>
      <c r="E371">
        <f>IFERROR(INDEX(tblDeviceConfig[Cybernet Hostname],ROW()-1),"")</f>
        <v>0</v>
      </c>
      <c r="F371">
        <f>IFERROR(INDEX(tblDeviceConfig[Neuron Hostname],ROW()-1),"")</f>
        <v>0</v>
      </c>
      <c r="G371">
        <f>IFERROR(INDEX(tblDeviceConfig[Software List],ROW()-1),"")</f>
        <v>0</v>
      </c>
      <c r="H371">
        <f>IFERROR(INDEX(tblDeviceConfig[PI_Use_Case],ROW()-1),"")</f>
        <v>0</v>
      </c>
      <c r="I371">
        <f>IFERROR(INDEX(tblDeviceConfig[PI_Result],ROW()-1),"")</f>
        <v>0</v>
      </c>
      <c r="J371">
        <f>IFERROR(INDEX(tblDeviceConfig[PI_Validated_By],ROW()-1),"")</f>
        <v>0</v>
      </c>
      <c r="K371">
        <f>IFERROR(INDEX(tblDeviceConfig[PI_Validated_Date],ROW()-1),"")</f>
        <v>0</v>
      </c>
      <c r="L371">
        <f t="shared" si="10"/>
        <v>0</v>
      </c>
      <c r="M371" t="str">
        <f t="shared" si="11"/>
        <v/>
      </c>
    </row>
    <row r="372" spans="1:13">
      <c r="A372">
        <f>ROW()</f>
        <v>372</v>
      </c>
      <c r="B372">
        <f>IFERROR(INDEX(tblDeviceConfig[Device Type],ROW()-1),"")</f>
        <v>0</v>
      </c>
      <c r="C372">
        <f>IFERROR(INDEX(tblDeviceConfig[Deployed],ROW()-1),"")</f>
        <v>0</v>
      </c>
      <c r="D372">
        <f>IFERROR(INDEX(tblDeviceConfig[Installed],ROW()-1),"")</f>
        <v>0</v>
      </c>
      <c r="E372">
        <f>IFERROR(INDEX(tblDeviceConfig[Cybernet Hostname],ROW()-1),"")</f>
        <v>0</v>
      </c>
      <c r="F372">
        <f>IFERROR(INDEX(tblDeviceConfig[Neuron Hostname],ROW()-1),"")</f>
        <v>0</v>
      </c>
      <c r="G372">
        <f>IFERROR(INDEX(tblDeviceConfig[Software List],ROW()-1),"")</f>
        <v>0</v>
      </c>
      <c r="H372">
        <f>IFERROR(INDEX(tblDeviceConfig[PI_Use_Case],ROW()-1),"")</f>
        <v>0</v>
      </c>
      <c r="I372">
        <f>IFERROR(INDEX(tblDeviceConfig[PI_Result],ROW()-1),"")</f>
        <v>0</v>
      </c>
      <c r="J372">
        <f>IFERROR(INDEX(tblDeviceConfig[PI_Validated_By],ROW()-1),"")</f>
        <v>0</v>
      </c>
      <c r="K372">
        <f>IFERROR(INDEX(tblDeviceConfig[PI_Validated_Date],ROW()-1),"")</f>
        <v>0</v>
      </c>
      <c r="L372">
        <f t="shared" si="10"/>
        <v>0</v>
      </c>
      <c r="M372" t="str">
        <f t="shared" si="11"/>
        <v/>
      </c>
    </row>
    <row r="373" spans="1:13">
      <c r="A373">
        <f>ROW()</f>
        <v>373</v>
      </c>
      <c r="B373">
        <f>IFERROR(INDEX(tblDeviceConfig[Device Type],ROW()-1),"")</f>
        <v>0</v>
      </c>
      <c r="C373">
        <f>IFERROR(INDEX(tblDeviceConfig[Deployed],ROW()-1),"")</f>
        <v>0</v>
      </c>
      <c r="D373">
        <f>IFERROR(INDEX(tblDeviceConfig[Installed],ROW()-1),"")</f>
        <v>0</v>
      </c>
      <c r="E373">
        <f>IFERROR(INDEX(tblDeviceConfig[Cybernet Hostname],ROW()-1),"")</f>
        <v>0</v>
      </c>
      <c r="F373">
        <f>IFERROR(INDEX(tblDeviceConfig[Neuron Hostname],ROW()-1),"")</f>
        <v>0</v>
      </c>
      <c r="G373">
        <f>IFERROR(INDEX(tblDeviceConfig[Software List],ROW()-1),"")</f>
        <v>0</v>
      </c>
      <c r="H373">
        <f>IFERROR(INDEX(tblDeviceConfig[PI_Use_Case],ROW()-1),"")</f>
        <v>0</v>
      </c>
      <c r="I373">
        <f>IFERROR(INDEX(tblDeviceConfig[PI_Result],ROW()-1),"")</f>
        <v>0</v>
      </c>
      <c r="J373">
        <f>IFERROR(INDEX(tblDeviceConfig[PI_Validated_By],ROW()-1),"")</f>
        <v>0</v>
      </c>
      <c r="K373">
        <f>IFERROR(INDEX(tblDeviceConfig[PI_Validated_Date],ROW()-1),"")</f>
        <v>0</v>
      </c>
      <c r="L373">
        <f t="shared" si="10"/>
        <v>0</v>
      </c>
      <c r="M373" t="str">
        <f t="shared" si="11"/>
        <v/>
      </c>
    </row>
    <row r="374" spans="1:13">
      <c r="A374">
        <f>ROW()</f>
        <v>374</v>
      </c>
      <c r="B374">
        <f>IFERROR(INDEX(tblDeviceConfig[Device Type],ROW()-1),"")</f>
        <v>0</v>
      </c>
      <c r="C374">
        <f>IFERROR(INDEX(tblDeviceConfig[Deployed],ROW()-1),"")</f>
        <v>0</v>
      </c>
      <c r="D374">
        <f>IFERROR(INDEX(tblDeviceConfig[Installed],ROW()-1),"")</f>
        <v>0</v>
      </c>
      <c r="E374">
        <f>IFERROR(INDEX(tblDeviceConfig[Cybernet Hostname],ROW()-1),"")</f>
        <v>0</v>
      </c>
      <c r="F374">
        <f>IFERROR(INDEX(tblDeviceConfig[Neuron Hostname],ROW()-1),"")</f>
        <v>0</v>
      </c>
      <c r="G374">
        <f>IFERROR(INDEX(tblDeviceConfig[Software List],ROW()-1),"")</f>
        <v>0</v>
      </c>
      <c r="H374">
        <f>IFERROR(INDEX(tblDeviceConfig[PI_Use_Case],ROW()-1),"")</f>
        <v>0</v>
      </c>
      <c r="I374">
        <f>IFERROR(INDEX(tblDeviceConfig[PI_Result],ROW()-1),"")</f>
        <v>0</v>
      </c>
      <c r="J374">
        <f>IFERROR(INDEX(tblDeviceConfig[PI_Validated_By],ROW()-1),"")</f>
        <v>0</v>
      </c>
      <c r="K374">
        <f>IFERROR(INDEX(tblDeviceConfig[PI_Validated_Date],ROW()-1),"")</f>
        <v>0</v>
      </c>
      <c r="L374">
        <f t="shared" si="10"/>
        <v>0</v>
      </c>
      <c r="M374" t="str">
        <f t="shared" si="11"/>
        <v/>
      </c>
    </row>
    <row r="375" spans="1:13">
      <c r="A375">
        <f>ROW()</f>
        <v>375</v>
      </c>
      <c r="B375">
        <f>IFERROR(INDEX(tblDeviceConfig[Device Type],ROW()-1),"")</f>
        <v>0</v>
      </c>
      <c r="C375">
        <f>IFERROR(INDEX(tblDeviceConfig[Deployed],ROW()-1),"")</f>
        <v>0</v>
      </c>
      <c r="D375">
        <f>IFERROR(INDEX(tblDeviceConfig[Installed],ROW()-1),"")</f>
        <v>0</v>
      </c>
      <c r="E375">
        <f>IFERROR(INDEX(tblDeviceConfig[Cybernet Hostname],ROW()-1),"")</f>
        <v>0</v>
      </c>
      <c r="F375">
        <f>IFERROR(INDEX(tblDeviceConfig[Neuron Hostname],ROW()-1),"")</f>
        <v>0</v>
      </c>
      <c r="G375">
        <f>IFERROR(INDEX(tblDeviceConfig[Software List],ROW()-1),"")</f>
        <v>0</v>
      </c>
      <c r="H375">
        <f>IFERROR(INDEX(tblDeviceConfig[PI_Use_Case],ROW()-1),"")</f>
        <v>0</v>
      </c>
      <c r="I375">
        <f>IFERROR(INDEX(tblDeviceConfig[PI_Result],ROW()-1),"")</f>
        <v>0</v>
      </c>
      <c r="J375">
        <f>IFERROR(INDEX(tblDeviceConfig[PI_Validated_By],ROW()-1),"")</f>
        <v>0</v>
      </c>
      <c r="K375">
        <f>IFERROR(INDEX(tblDeviceConfig[PI_Validated_Date],ROW()-1),"")</f>
        <v>0</v>
      </c>
      <c r="L375">
        <f t="shared" si="10"/>
        <v>0</v>
      </c>
      <c r="M375" t="str">
        <f t="shared" si="11"/>
        <v/>
      </c>
    </row>
    <row r="376" spans="1:13">
      <c r="A376">
        <f>ROW()</f>
        <v>376</v>
      </c>
      <c r="B376">
        <f>IFERROR(INDEX(tblDeviceConfig[Device Type],ROW()-1),"")</f>
        <v>0</v>
      </c>
      <c r="C376">
        <f>IFERROR(INDEX(tblDeviceConfig[Deployed],ROW()-1),"")</f>
        <v>0</v>
      </c>
      <c r="D376">
        <f>IFERROR(INDEX(tblDeviceConfig[Installed],ROW()-1),"")</f>
        <v>0</v>
      </c>
      <c r="E376">
        <f>IFERROR(INDEX(tblDeviceConfig[Cybernet Hostname],ROW()-1),"")</f>
        <v>0</v>
      </c>
      <c r="F376">
        <f>IFERROR(INDEX(tblDeviceConfig[Neuron Hostname],ROW()-1),"")</f>
        <v>0</v>
      </c>
      <c r="G376">
        <f>IFERROR(INDEX(tblDeviceConfig[Software List],ROW()-1),"")</f>
        <v>0</v>
      </c>
      <c r="H376">
        <f>IFERROR(INDEX(tblDeviceConfig[PI_Use_Case],ROW()-1),"")</f>
        <v>0</v>
      </c>
      <c r="I376">
        <f>IFERROR(INDEX(tblDeviceConfig[PI_Result],ROW()-1),"")</f>
        <v>0</v>
      </c>
      <c r="J376">
        <f>IFERROR(INDEX(tblDeviceConfig[PI_Validated_By],ROW()-1),"")</f>
        <v>0</v>
      </c>
      <c r="K376">
        <f>IFERROR(INDEX(tblDeviceConfig[PI_Validated_Date],ROW()-1),"")</f>
        <v>0</v>
      </c>
      <c r="L376">
        <f t="shared" si="10"/>
        <v>0</v>
      </c>
      <c r="M376" t="str">
        <f t="shared" si="11"/>
        <v/>
      </c>
    </row>
    <row r="377" spans="1:13">
      <c r="A377">
        <f>ROW()</f>
        <v>377</v>
      </c>
      <c r="B377">
        <f>IFERROR(INDEX(tblDeviceConfig[Device Type],ROW()-1),"")</f>
        <v>0</v>
      </c>
      <c r="C377">
        <f>IFERROR(INDEX(tblDeviceConfig[Deployed],ROW()-1),"")</f>
        <v>0</v>
      </c>
      <c r="D377">
        <f>IFERROR(INDEX(tblDeviceConfig[Installed],ROW()-1),"")</f>
        <v>0</v>
      </c>
      <c r="E377">
        <f>IFERROR(INDEX(tblDeviceConfig[Cybernet Hostname],ROW()-1),"")</f>
        <v>0</v>
      </c>
      <c r="F377">
        <f>IFERROR(INDEX(tblDeviceConfig[Neuron Hostname],ROW()-1),"")</f>
        <v>0</v>
      </c>
      <c r="G377">
        <f>IFERROR(INDEX(tblDeviceConfig[Software List],ROW()-1),"")</f>
        <v>0</v>
      </c>
      <c r="H377">
        <f>IFERROR(INDEX(tblDeviceConfig[PI_Use_Case],ROW()-1),"")</f>
        <v>0</v>
      </c>
      <c r="I377">
        <f>IFERROR(INDEX(tblDeviceConfig[PI_Result],ROW()-1),"")</f>
        <v>0</v>
      </c>
      <c r="J377">
        <f>IFERROR(INDEX(tblDeviceConfig[PI_Validated_By],ROW()-1),"")</f>
        <v>0</v>
      </c>
      <c r="K377">
        <f>IFERROR(INDEX(tblDeviceConfig[PI_Validated_Date],ROW()-1),"")</f>
        <v>0</v>
      </c>
      <c r="L377">
        <f t="shared" si="10"/>
        <v>0</v>
      </c>
      <c r="M377" t="str">
        <f t="shared" si="11"/>
        <v/>
      </c>
    </row>
    <row r="378" spans="1:13">
      <c r="A378">
        <f>ROW()</f>
        <v>378</v>
      </c>
      <c r="B378">
        <f>IFERROR(INDEX(tblDeviceConfig[Device Type],ROW()-1),"")</f>
        <v>0</v>
      </c>
      <c r="C378">
        <f>IFERROR(INDEX(tblDeviceConfig[Deployed],ROW()-1),"")</f>
        <v>0</v>
      </c>
      <c r="D378">
        <f>IFERROR(INDEX(tblDeviceConfig[Installed],ROW()-1),"")</f>
        <v>0</v>
      </c>
      <c r="E378">
        <f>IFERROR(INDEX(tblDeviceConfig[Cybernet Hostname],ROW()-1),"")</f>
        <v>0</v>
      </c>
      <c r="F378">
        <f>IFERROR(INDEX(tblDeviceConfig[Neuron Hostname],ROW()-1),"")</f>
        <v>0</v>
      </c>
      <c r="G378">
        <f>IFERROR(INDEX(tblDeviceConfig[Software List],ROW()-1),"")</f>
        <v>0</v>
      </c>
      <c r="H378">
        <f>IFERROR(INDEX(tblDeviceConfig[PI_Use_Case],ROW()-1),"")</f>
        <v>0</v>
      </c>
      <c r="I378">
        <f>IFERROR(INDEX(tblDeviceConfig[PI_Result],ROW()-1),"")</f>
        <v>0</v>
      </c>
      <c r="J378">
        <f>IFERROR(INDEX(tblDeviceConfig[PI_Validated_By],ROW()-1),"")</f>
        <v>0</v>
      </c>
      <c r="K378">
        <f>IFERROR(INDEX(tblDeviceConfig[PI_Validated_Date],ROW()-1),"")</f>
        <v>0</v>
      </c>
      <c r="L378">
        <f t="shared" si="10"/>
        <v>0</v>
      </c>
      <c r="M378" t="str">
        <f t="shared" si="11"/>
        <v/>
      </c>
    </row>
    <row r="379" spans="1:13">
      <c r="A379">
        <f>ROW()</f>
        <v>379</v>
      </c>
      <c r="B379">
        <f>IFERROR(INDEX(tblDeviceConfig[Device Type],ROW()-1),"")</f>
        <v>0</v>
      </c>
      <c r="C379">
        <f>IFERROR(INDEX(tblDeviceConfig[Deployed],ROW()-1),"")</f>
        <v>0</v>
      </c>
      <c r="D379">
        <f>IFERROR(INDEX(tblDeviceConfig[Installed],ROW()-1),"")</f>
        <v>0</v>
      </c>
      <c r="E379">
        <f>IFERROR(INDEX(tblDeviceConfig[Cybernet Hostname],ROW()-1),"")</f>
        <v>0</v>
      </c>
      <c r="F379">
        <f>IFERROR(INDEX(tblDeviceConfig[Neuron Hostname],ROW()-1),"")</f>
        <v>0</v>
      </c>
      <c r="G379">
        <f>IFERROR(INDEX(tblDeviceConfig[Software List],ROW()-1),"")</f>
        <v>0</v>
      </c>
      <c r="H379">
        <f>IFERROR(INDEX(tblDeviceConfig[PI_Use_Case],ROW()-1),"")</f>
        <v>0</v>
      </c>
      <c r="I379">
        <f>IFERROR(INDEX(tblDeviceConfig[PI_Result],ROW()-1),"")</f>
        <v>0</v>
      </c>
      <c r="J379">
        <f>IFERROR(INDEX(tblDeviceConfig[PI_Validated_By],ROW()-1),"")</f>
        <v>0</v>
      </c>
      <c r="K379">
        <f>IFERROR(INDEX(tblDeviceConfig[PI_Validated_Date],ROW()-1),"")</f>
        <v>0</v>
      </c>
      <c r="L379">
        <f t="shared" si="10"/>
        <v>0</v>
      </c>
      <c r="M379" t="str">
        <f t="shared" si="11"/>
        <v/>
      </c>
    </row>
    <row r="380" spans="1:13">
      <c r="A380">
        <f>ROW()</f>
        <v>380</v>
      </c>
      <c r="B380">
        <f>IFERROR(INDEX(tblDeviceConfig[Device Type],ROW()-1),"")</f>
        <v>0</v>
      </c>
      <c r="C380">
        <f>IFERROR(INDEX(tblDeviceConfig[Deployed],ROW()-1),"")</f>
        <v>0</v>
      </c>
      <c r="D380">
        <f>IFERROR(INDEX(tblDeviceConfig[Installed],ROW()-1),"")</f>
        <v>0</v>
      </c>
      <c r="E380">
        <f>IFERROR(INDEX(tblDeviceConfig[Cybernet Hostname],ROW()-1),"")</f>
        <v>0</v>
      </c>
      <c r="F380">
        <f>IFERROR(INDEX(tblDeviceConfig[Neuron Hostname],ROW()-1),"")</f>
        <v>0</v>
      </c>
      <c r="G380">
        <f>IFERROR(INDEX(tblDeviceConfig[Software List],ROW()-1),"")</f>
        <v>0</v>
      </c>
      <c r="H380">
        <f>IFERROR(INDEX(tblDeviceConfig[PI_Use_Case],ROW()-1),"")</f>
        <v>0</v>
      </c>
      <c r="I380">
        <f>IFERROR(INDEX(tblDeviceConfig[PI_Result],ROW()-1),"")</f>
        <v>0</v>
      </c>
      <c r="J380">
        <f>IFERROR(INDEX(tblDeviceConfig[PI_Validated_By],ROW()-1),"")</f>
        <v>0</v>
      </c>
      <c r="K380">
        <f>IFERROR(INDEX(tblDeviceConfig[PI_Validated_Date],ROW()-1),"")</f>
        <v>0</v>
      </c>
      <c r="L380">
        <f t="shared" si="10"/>
        <v>0</v>
      </c>
      <c r="M380" t="str">
        <f t="shared" si="11"/>
        <v/>
      </c>
    </row>
    <row r="381" spans="1:13">
      <c r="A381">
        <f>ROW()</f>
        <v>381</v>
      </c>
      <c r="B381">
        <f>IFERROR(INDEX(tblDeviceConfig[Device Type],ROW()-1),"")</f>
        <v>0</v>
      </c>
      <c r="C381">
        <f>IFERROR(INDEX(tblDeviceConfig[Deployed],ROW()-1),"")</f>
        <v>0</v>
      </c>
      <c r="D381">
        <f>IFERROR(INDEX(tblDeviceConfig[Installed],ROW()-1),"")</f>
        <v>0</v>
      </c>
      <c r="E381">
        <f>IFERROR(INDEX(tblDeviceConfig[Cybernet Hostname],ROW()-1),"")</f>
        <v>0</v>
      </c>
      <c r="F381">
        <f>IFERROR(INDEX(tblDeviceConfig[Neuron Hostname],ROW()-1),"")</f>
        <v>0</v>
      </c>
      <c r="G381">
        <f>IFERROR(INDEX(tblDeviceConfig[Software List],ROW()-1),"")</f>
        <v>0</v>
      </c>
      <c r="H381">
        <f>IFERROR(INDEX(tblDeviceConfig[PI_Use_Case],ROW()-1),"")</f>
        <v>0</v>
      </c>
      <c r="I381">
        <f>IFERROR(INDEX(tblDeviceConfig[PI_Result],ROW()-1),"")</f>
        <v>0</v>
      </c>
      <c r="J381">
        <f>IFERROR(INDEX(tblDeviceConfig[PI_Validated_By],ROW()-1),"")</f>
        <v>0</v>
      </c>
      <c r="K381">
        <f>IFERROR(INDEX(tblDeviceConfig[PI_Validated_Date],ROW()-1),"")</f>
        <v>0</v>
      </c>
      <c r="L381">
        <f t="shared" si="10"/>
        <v>0</v>
      </c>
      <c r="M381" t="str">
        <f t="shared" si="11"/>
        <v/>
      </c>
    </row>
    <row r="382" spans="1:13">
      <c r="A382">
        <f>ROW()</f>
        <v>382</v>
      </c>
      <c r="B382">
        <f>IFERROR(INDEX(tblDeviceConfig[Device Type],ROW()-1),"")</f>
        <v>0</v>
      </c>
      <c r="C382">
        <f>IFERROR(INDEX(tblDeviceConfig[Deployed],ROW()-1),"")</f>
        <v>0</v>
      </c>
      <c r="D382">
        <f>IFERROR(INDEX(tblDeviceConfig[Installed],ROW()-1),"")</f>
        <v>0</v>
      </c>
      <c r="E382">
        <f>IFERROR(INDEX(tblDeviceConfig[Cybernet Hostname],ROW()-1),"")</f>
        <v>0</v>
      </c>
      <c r="F382">
        <f>IFERROR(INDEX(tblDeviceConfig[Neuron Hostname],ROW()-1),"")</f>
        <v>0</v>
      </c>
      <c r="G382">
        <f>IFERROR(INDEX(tblDeviceConfig[Software List],ROW()-1),"")</f>
        <v>0</v>
      </c>
      <c r="H382">
        <f>IFERROR(INDEX(tblDeviceConfig[PI_Use_Case],ROW()-1),"")</f>
        <v>0</v>
      </c>
      <c r="I382">
        <f>IFERROR(INDEX(tblDeviceConfig[PI_Result],ROW()-1),"")</f>
        <v>0</v>
      </c>
      <c r="J382">
        <f>IFERROR(INDEX(tblDeviceConfig[PI_Validated_By],ROW()-1),"")</f>
        <v>0</v>
      </c>
      <c r="K382">
        <f>IFERROR(INDEX(tblDeviceConfig[PI_Validated_Date],ROW()-1),"")</f>
        <v>0</v>
      </c>
      <c r="L382">
        <f t="shared" si="10"/>
        <v>0</v>
      </c>
      <c r="M382" t="str">
        <f t="shared" si="11"/>
        <v/>
      </c>
    </row>
    <row r="383" spans="1:13">
      <c r="A383">
        <f>ROW()</f>
        <v>383</v>
      </c>
      <c r="B383">
        <f>IFERROR(INDEX(tblDeviceConfig[Device Type],ROW()-1),"")</f>
        <v>0</v>
      </c>
      <c r="C383">
        <f>IFERROR(INDEX(tblDeviceConfig[Deployed],ROW()-1),"")</f>
        <v>0</v>
      </c>
      <c r="D383">
        <f>IFERROR(INDEX(tblDeviceConfig[Installed],ROW()-1),"")</f>
        <v>0</v>
      </c>
      <c r="E383">
        <f>IFERROR(INDEX(tblDeviceConfig[Cybernet Hostname],ROW()-1),"")</f>
        <v>0</v>
      </c>
      <c r="F383">
        <f>IFERROR(INDEX(tblDeviceConfig[Neuron Hostname],ROW()-1),"")</f>
        <v>0</v>
      </c>
      <c r="G383">
        <f>IFERROR(INDEX(tblDeviceConfig[Software List],ROW()-1),"")</f>
        <v>0</v>
      </c>
      <c r="H383">
        <f>IFERROR(INDEX(tblDeviceConfig[PI_Use_Case],ROW()-1),"")</f>
        <v>0</v>
      </c>
      <c r="I383">
        <f>IFERROR(INDEX(tblDeviceConfig[PI_Result],ROW()-1),"")</f>
        <v>0</v>
      </c>
      <c r="J383">
        <f>IFERROR(INDEX(tblDeviceConfig[PI_Validated_By],ROW()-1),"")</f>
        <v>0</v>
      </c>
      <c r="K383">
        <f>IFERROR(INDEX(tblDeviceConfig[PI_Validated_Date],ROW()-1),"")</f>
        <v>0</v>
      </c>
      <c r="L383">
        <f t="shared" si="10"/>
        <v>0</v>
      </c>
      <c r="M383" t="str">
        <f t="shared" si="11"/>
        <v/>
      </c>
    </row>
    <row r="384" spans="1:13">
      <c r="A384">
        <f>ROW()</f>
        <v>384</v>
      </c>
      <c r="B384">
        <f>IFERROR(INDEX(tblDeviceConfig[Device Type],ROW()-1),"")</f>
        <v>0</v>
      </c>
      <c r="C384">
        <f>IFERROR(INDEX(tblDeviceConfig[Deployed],ROW()-1),"")</f>
        <v>0</v>
      </c>
      <c r="D384">
        <f>IFERROR(INDEX(tblDeviceConfig[Installed],ROW()-1),"")</f>
        <v>0</v>
      </c>
      <c r="E384">
        <f>IFERROR(INDEX(tblDeviceConfig[Cybernet Hostname],ROW()-1),"")</f>
        <v>0</v>
      </c>
      <c r="F384">
        <f>IFERROR(INDEX(tblDeviceConfig[Neuron Hostname],ROW()-1),"")</f>
        <v>0</v>
      </c>
      <c r="G384">
        <f>IFERROR(INDEX(tblDeviceConfig[Software List],ROW()-1),"")</f>
        <v>0</v>
      </c>
      <c r="H384">
        <f>IFERROR(INDEX(tblDeviceConfig[PI_Use_Case],ROW()-1),"")</f>
        <v>0</v>
      </c>
      <c r="I384">
        <f>IFERROR(INDEX(tblDeviceConfig[PI_Result],ROW()-1),"")</f>
        <v>0</v>
      </c>
      <c r="J384">
        <f>IFERROR(INDEX(tblDeviceConfig[PI_Validated_By],ROW()-1),"")</f>
        <v>0</v>
      </c>
      <c r="K384">
        <f>IFERROR(INDEX(tblDeviceConfig[PI_Validated_Date],ROW()-1),"")</f>
        <v>0</v>
      </c>
      <c r="L384">
        <f t="shared" si="10"/>
        <v>0</v>
      </c>
      <c r="M384" t="str">
        <f t="shared" si="11"/>
        <v/>
      </c>
    </row>
    <row r="385" spans="1:13">
      <c r="A385">
        <f>ROW()</f>
        <v>385</v>
      </c>
      <c r="B385">
        <f>IFERROR(INDEX(tblDeviceConfig[Device Type],ROW()-1),"")</f>
        <v>0</v>
      </c>
      <c r="C385">
        <f>IFERROR(INDEX(tblDeviceConfig[Deployed],ROW()-1),"")</f>
        <v>0</v>
      </c>
      <c r="D385">
        <f>IFERROR(INDEX(tblDeviceConfig[Installed],ROW()-1),"")</f>
        <v>0</v>
      </c>
      <c r="E385">
        <f>IFERROR(INDEX(tblDeviceConfig[Cybernet Hostname],ROW()-1),"")</f>
        <v>0</v>
      </c>
      <c r="F385">
        <f>IFERROR(INDEX(tblDeviceConfig[Neuron Hostname],ROW()-1),"")</f>
        <v>0</v>
      </c>
      <c r="G385">
        <f>IFERROR(INDEX(tblDeviceConfig[Software List],ROW()-1),"")</f>
        <v>0</v>
      </c>
      <c r="H385">
        <f>IFERROR(INDEX(tblDeviceConfig[PI_Use_Case],ROW()-1),"")</f>
        <v>0</v>
      </c>
      <c r="I385">
        <f>IFERROR(INDEX(tblDeviceConfig[PI_Result],ROW()-1),"")</f>
        <v>0</v>
      </c>
      <c r="J385">
        <f>IFERROR(INDEX(tblDeviceConfig[PI_Validated_By],ROW()-1),"")</f>
        <v>0</v>
      </c>
      <c r="K385">
        <f>IFERROR(INDEX(tblDeviceConfig[PI_Validated_Date],ROW()-1),"")</f>
        <v>0</v>
      </c>
      <c r="L385">
        <f t="shared" si="10"/>
        <v>0</v>
      </c>
      <c r="M385" t="str">
        <f t="shared" si="11"/>
        <v/>
      </c>
    </row>
    <row r="386" spans="1:13">
      <c r="A386">
        <f>ROW()</f>
        <v>386</v>
      </c>
      <c r="B386">
        <f>IFERROR(INDEX(tblDeviceConfig[Device Type],ROW()-1),"")</f>
        <v>0</v>
      </c>
      <c r="C386">
        <f>IFERROR(INDEX(tblDeviceConfig[Deployed],ROW()-1),"")</f>
        <v>0</v>
      </c>
      <c r="D386">
        <f>IFERROR(INDEX(tblDeviceConfig[Installed],ROW()-1),"")</f>
        <v>0</v>
      </c>
      <c r="E386">
        <f>IFERROR(INDEX(tblDeviceConfig[Cybernet Hostname],ROW()-1),"")</f>
        <v>0</v>
      </c>
      <c r="F386">
        <f>IFERROR(INDEX(tblDeviceConfig[Neuron Hostname],ROW()-1),"")</f>
        <v>0</v>
      </c>
      <c r="G386">
        <f>IFERROR(INDEX(tblDeviceConfig[Software List],ROW()-1),"")</f>
        <v>0</v>
      </c>
      <c r="H386">
        <f>IFERROR(INDEX(tblDeviceConfig[PI_Use_Case],ROW()-1),"")</f>
        <v>0</v>
      </c>
      <c r="I386">
        <f>IFERROR(INDEX(tblDeviceConfig[PI_Result],ROW()-1),"")</f>
        <v>0</v>
      </c>
      <c r="J386">
        <f>IFERROR(INDEX(tblDeviceConfig[PI_Validated_By],ROW()-1),"")</f>
        <v>0</v>
      </c>
      <c r="K386">
        <f>IFERROR(INDEX(tblDeviceConfig[PI_Validated_Date],ROW()-1),"")</f>
        <v>0</v>
      </c>
      <c r="L386">
        <f t="shared" ref="L386:L449" si="12">SUM(IF(AND(C386="Yes",B386="Cybernet",LEN(TRIM(E386))=0),1,0),IF(AND(C386="Yes",B386="Neuron",LEN(TRIM(F386))=0),1,0),IF(AND(C386="Yes",B386="Cybernet",LEN(TRIM(G386))=0),1,0),IF(AND(C386="Yes",B386="Cybernet",LEN(TRIM(H386))=0),1,0),IF(AND(C386="Yes",LEN(TRIM(I386))&gt;0,LEN(TRIM(J386))=0),1,0),IF(AND(C386="Yes",LEN(TRIM(J386))&gt;0,LEN(TRIM(K386))=0),1,0))</f>
        <v>0</v>
      </c>
      <c r="M386" t="str">
        <f t="shared" ref="M386:M449" si="13">(IF(AND(C386="Yes",B386="Cybernet",LEN(TRIM(E386))=0),"Missing Cybernet Hostname",""))&amp;IF(((IF(AND(C386="Yes",B386="Cybernet",LEN(TRIM(E386))=0),"Missing Cybernet Hostname","")))&lt;&gt;"",IF((IF(AND(C386="Yes",B386="Neuron",LEN(TRIM(F386))=0),"Missing Neuron Hostname",""))&lt;&gt;""," | ",""),"")&amp;(IF(AND(C386="Yes",B386="Neuron",LEN(TRIM(F386))=0),"Missing Neuron Hostname",""))&amp;IF(((IF(AND(C386="Yes",B386="Cybernet",LEN(TRIM(E386))=0),"Missing Cybernet Hostname",""))&amp;(IF(AND(C386="Yes",B386="Neuron",LEN(TRIM(F386))=0),"Missing Neuron Hostname","")))&lt;&gt;"",IF((IF(AND(C386="Yes",B386="Cybernet",LEN(TRIM(G386))=0),"Missing Software List",""))&lt;&gt;""," | ",""),"")&amp;(IF(AND(C386="Yes",B386="Cybernet",LEN(TRIM(G386))=0),"Missing Software List",""))&amp;IF(((IF(AND(C386="Yes",B386="Cybernet",LEN(TRIM(E386))=0),"Missing Cybernet Hostname",""))&amp;(IF(AND(C386="Yes",B386="Neuron",LEN(TRIM(F386))=0),"Missing Neuron Hostname",""))&amp;(IF(AND(C386="Yes",B386="Cybernet",LEN(TRIM(G386))=0),"Missing Software List","")))&lt;&gt;"",IF((IF(AND(C386="Yes",B386="Cybernet",LEN(TRIM(H386))=0),"Missing PI Use Case",""))&lt;&gt;""," | ",""),"")&amp;(IF(AND(C386="Yes",B386="Cybernet",LEN(TRIM(H386))=0),"Missing PI Use Case",""))&amp;IF(((IF(AND(C386="Yes",B386="Cybernet",LEN(TRIM(E386))=0),"Missing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Case","")))&lt;&gt;"",IF((IF(AND(C386="Yes",LEN(TRIM(I386))&gt;0,LEN(TRIM(J386))=0),"Missing PI Validated By",""))&lt;&gt;""," | ",""),"")&amp;(IF(AND(C386="Yes",LEN(TRIM(I386))&gt;0,LEN(TRIM(J386))=0),"Missing PI Validated By",""))&amp;IF(((IF(AND(C386="Yes",B386="Cybernet",LEN(TRIM(E386))=0),"Missing Cybernet Hostname",""))&amp;(IF(AND(C386="Yes",B386="Neuron",LEN(TRIM(F386))=0),"Missing Neuron Hostname",""))&amp;(IF(AND(C386="Yes",B386="Cybernet",LEN(TRIM(G386))=0),"Missing Software List",""))&amp;(IF(AND(C386="Yes",B386="Cybernet",LEN(TRIM(H386))=0),"Missing PI Use Case",""))&amp;(IF(AND(C386="Yes",LEN(TRIM(I386))&gt;0,LEN(TRIM(J386))=0),"Missing PI Validated By","")))&lt;&gt;"",IF((IF(AND(C386="Yes",LEN(TRIM(J386))&gt;0,LEN(TRIM(K386))=0),"Missing PI Validated Date",""))&lt;&gt;""," | ",""),"")&amp;(IF(AND(C386="Yes",LEN(TRIM(J386))&gt;0,LEN(TRIM(K386))=0),"Missing PI Validated Date",""))</f>
        <v/>
      </c>
    </row>
    <row r="387" spans="1:13">
      <c r="A387">
        <f>ROW()</f>
        <v>387</v>
      </c>
      <c r="B387">
        <f>IFERROR(INDEX(tblDeviceConfig[Device Type],ROW()-1),"")</f>
        <v>0</v>
      </c>
      <c r="C387">
        <f>IFERROR(INDEX(tblDeviceConfig[Deployed],ROW()-1),"")</f>
        <v>0</v>
      </c>
      <c r="D387">
        <f>IFERROR(INDEX(tblDeviceConfig[Installed],ROW()-1),"")</f>
        <v>0</v>
      </c>
      <c r="E387">
        <f>IFERROR(INDEX(tblDeviceConfig[Cybernet Hostname],ROW()-1),"")</f>
        <v>0</v>
      </c>
      <c r="F387">
        <f>IFERROR(INDEX(tblDeviceConfig[Neuron Hostname],ROW()-1),"")</f>
        <v>0</v>
      </c>
      <c r="G387">
        <f>IFERROR(INDEX(tblDeviceConfig[Software List],ROW()-1),"")</f>
        <v>0</v>
      </c>
      <c r="H387">
        <f>IFERROR(INDEX(tblDeviceConfig[PI_Use_Case],ROW()-1),"")</f>
        <v>0</v>
      </c>
      <c r="I387">
        <f>IFERROR(INDEX(tblDeviceConfig[PI_Result],ROW()-1),"")</f>
        <v>0</v>
      </c>
      <c r="J387">
        <f>IFERROR(INDEX(tblDeviceConfig[PI_Validated_By],ROW()-1),"")</f>
        <v>0</v>
      </c>
      <c r="K387">
        <f>IFERROR(INDEX(tblDeviceConfig[PI_Validated_Date],ROW()-1),"")</f>
        <v>0</v>
      </c>
      <c r="L387">
        <f t="shared" si="12"/>
        <v>0</v>
      </c>
      <c r="M387" t="str">
        <f t="shared" si="13"/>
        <v/>
      </c>
    </row>
    <row r="388" spans="1:13">
      <c r="A388">
        <f>ROW()</f>
        <v>388</v>
      </c>
      <c r="B388">
        <f>IFERROR(INDEX(tblDeviceConfig[Device Type],ROW()-1),"")</f>
        <v>0</v>
      </c>
      <c r="C388">
        <f>IFERROR(INDEX(tblDeviceConfig[Deployed],ROW()-1),"")</f>
        <v>0</v>
      </c>
      <c r="D388">
        <f>IFERROR(INDEX(tblDeviceConfig[Installed],ROW()-1),"")</f>
        <v>0</v>
      </c>
      <c r="E388">
        <f>IFERROR(INDEX(tblDeviceConfig[Cybernet Hostname],ROW()-1),"")</f>
        <v>0</v>
      </c>
      <c r="F388">
        <f>IFERROR(INDEX(tblDeviceConfig[Neuron Hostname],ROW()-1),"")</f>
        <v>0</v>
      </c>
      <c r="G388">
        <f>IFERROR(INDEX(tblDeviceConfig[Software List],ROW()-1),"")</f>
        <v>0</v>
      </c>
      <c r="H388">
        <f>IFERROR(INDEX(tblDeviceConfig[PI_Use_Case],ROW()-1),"")</f>
        <v>0</v>
      </c>
      <c r="I388">
        <f>IFERROR(INDEX(tblDeviceConfig[PI_Result],ROW()-1),"")</f>
        <v>0</v>
      </c>
      <c r="J388">
        <f>IFERROR(INDEX(tblDeviceConfig[PI_Validated_By],ROW()-1),"")</f>
        <v>0</v>
      </c>
      <c r="K388">
        <f>IFERROR(INDEX(tblDeviceConfig[PI_Validated_Date],ROW()-1),"")</f>
        <v>0</v>
      </c>
      <c r="L388">
        <f t="shared" si="12"/>
        <v>0</v>
      </c>
      <c r="M388" t="str">
        <f t="shared" si="13"/>
        <v/>
      </c>
    </row>
    <row r="389" spans="1:13">
      <c r="A389">
        <f>ROW()</f>
        <v>389</v>
      </c>
      <c r="B389">
        <f>IFERROR(INDEX(tblDeviceConfig[Device Type],ROW()-1),"")</f>
        <v>0</v>
      </c>
      <c r="C389">
        <f>IFERROR(INDEX(tblDeviceConfig[Deployed],ROW()-1),"")</f>
        <v>0</v>
      </c>
      <c r="D389">
        <f>IFERROR(INDEX(tblDeviceConfig[Installed],ROW()-1),"")</f>
        <v>0</v>
      </c>
      <c r="E389">
        <f>IFERROR(INDEX(tblDeviceConfig[Cybernet Hostname],ROW()-1),"")</f>
        <v>0</v>
      </c>
      <c r="F389">
        <f>IFERROR(INDEX(tblDeviceConfig[Neuron Hostname],ROW()-1),"")</f>
        <v>0</v>
      </c>
      <c r="G389">
        <f>IFERROR(INDEX(tblDeviceConfig[Software List],ROW()-1),"")</f>
        <v>0</v>
      </c>
      <c r="H389">
        <f>IFERROR(INDEX(tblDeviceConfig[PI_Use_Case],ROW()-1),"")</f>
        <v>0</v>
      </c>
      <c r="I389">
        <f>IFERROR(INDEX(tblDeviceConfig[PI_Result],ROW()-1),"")</f>
        <v>0</v>
      </c>
      <c r="J389">
        <f>IFERROR(INDEX(tblDeviceConfig[PI_Validated_By],ROW()-1),"")</f>
        <v>0</v>
      </c>
      <c r="K389">
        <f>IFERROR(INDEX(tblDeviceConfig[PI_Validated_Date],ROW()-1),"")</f>
        <v>0</v>
      </c>
      <c r="L389">
        <f t="shared" si="12"/>
        <v>0</v>
      </c>
      <c r="M389" t="str">
        <f t="shared" si="13"/>
        <v/>
      </c>
    </row>
    <row r="390" spans="1:13">
      <c r="A390">
        <f>ROW()</f>
        <v>390</v>
      </c>
      <c r="B390">
        <f>IFERROR(INDEX(tblDeviceConfig[Device Type],ROW()-1),"")</f>
        <v>0</v>
      </c>
      <c r="C390">
        <f>IFERROR(INDEX(tblDeviceConfig[Deployed],ROW()-1),"")</f>
        <v>0</v>
      </c>
      <c r="D390">
        <f>IFERROR(INDEX(tblDeviceConfig[Installed],ROW()-1),"")</f>
        <v>0</v>
      </c>
      <c r="E390">
        <f>IFERROR(INDEX(tblDeviceConfig[Cybernet Hostname],ROW()-1),"")</f>
        <v>0</v>
      </c>
      <c r="F390">
        <f>IFERROR(INDEX(tblDeviceConfig[Neuron Hostname],ROW()-1),"")</f>
        <v>0</v>
      </c>
      <c r="G390">
        <f>IFERROR(INDEX(tblDeviceConfig[Software List],ROW()-1),"")</f>
        <v>0</v>
      </c>
      <c r="H390">
        <f>IFERROR(INDEX(tblDeviceConfig[PI_Use_Case],ROW()-1),"")</f>
        <v>0</v>
      </c>
      <c r="I390">
        <f>IFERROR(INDEX(tblDeviceConfig[PI_Result],ROW()-1),"")</f>
        <v>0</v>
      </c>
      <c r="J390">
        <f>IFERROR(INDEX(tblDeviceConfig[PI_Validated_By],ROW()-1),"")</f>
        <v>0</v>
      </c>
      <c r="K390">
        <f>IFERROR(INDEX(tblDeviceConfig[PI_Validated_Date],ROW()-1),"")</f>
        <v>0</v>
      </c>
      <c r="L390">
        <f t="shared" si="12"/>
        <v>0</v>
      </c>
      <c r="M390" t="str">
        <f t="shared" si="13"/>
        <v/>
      </c>
    </row>
    <row r="391" spans="1:13">
      <c r="A391">
        <f>ROW()</f>
        <v>391</v>
      </c>
      <c r="B391">
        <f>IFERROR(INDEX(tblDeviceConfig[Device Type],ROW()-1),"")</f>
        <v>0</v>
      </c>
      <c r="C391">
        <f>IFERROR(INDEX(tblDeviceConfig[Deployed],ROW()-1),"")</f>
        <v>0</v>
      </c>
      <c r="D391">
        <f>IFERROR(INDEX(tblDeviceConfig[Installed],ROW()-1),"")</f>
        <v>0</v>
      </c>
      <c r="E391">
        <f>IFERROR(INDEX(tblDeviceConfig[Cybernet Hostname],ROW()-1),"")</f>
        <v>0</v>
      </c>
      <c r="F391">
        <f>IFERROR(INDEX(tblDeviceConfig[Neuron Hostname],ROW()-1),"")</f>
        <v>0</v>
      </c>
      <c r="G391">
        <f>IFERROR(INDEX(tblDeviceConfig[Software List],ROW()-1),"")</f>
        <v>0</v>
      </c>
      <c r="H391">
        <f>IFERROR(INDEX(tblDeviceConfig[PI_Use_Case],ROW()-1),"")</f>
        <v>0</v>
      </c>
      <c r="I391">
        <f>IFERROR(INDEX(tblDeviceConfig[PI_Result],ROW()-1),"")</f>
        <v>0</v>
      </c>
      <c r="J391">
        <f>IFERROR(INDEX(tblDeviceConfig[PI_Validated_By],ROW()-1),"")</f>
        <v>0</v>
      </c>
      <c r="K391">
        <f>IFERROR(INDEX(tblDeviceConfig[PI_Validated_Date],ROW()-1),"")</f>
        <v>0</v>
      </c>
      <c r="L391">
        <f t="shared" si="12"/>
        <v>0</v>
      </c>
      <c r="M391" t="str">
        <f t="shared" si="13"/>
        <v/>
      </c>
    </row>
    <row r="392" spans="1:13">
      <c r="A392">
        <f>ROW()</f>
        <v>392</v>
      </c>
      <c r="B392">
        <f>IFERROR(INDEX(tblDeviceConfig[Device Type],ROW()-1),"")</f>
        <v>0</v>
      </c>
      <c r="C392">
        <f>IFERROR(INDEX(tblDeviceConfig[Deployed],ROW()-1),"")</f>
        <v>0</v>
      </c>
      <c r="D392">
        <f>IFERROR(INDEX(tblDeviceConfig[Installed],ROW()-1),"")</f>
        <v>0</v>
      </c>
      <c r="E392">
        <f>IFERROR(INDEX(tblDeviceConfig[Cybernet Hostname],ROW()-1),"")</f>
        <v>0</v>
      </c>
      <c r="F392">
        <f>IFERROR(INDEX(tblDeviceConfig[Neuron Hostname],ROW()-1),"")</f>
        <v>0</v>
      </c>
      <c r="G392">
        <f>IFERROR(INDEX(tblDeviceConfig[Software List],ROW()-1),"")</f>
        <v>0</v>
      </c>
      <c r="H392">
        <f>IFERROR(INDEX(tblDeviceConfig[PI_Use_Case],ROW()-1),"")</f>
        <v>0</v>
      </c>
      <c r="I392">
        <f>IFERROR(INDEX(tblDeviceConfig[PI_Result],ROW()-1),"")</f>
        <v>0</v>
      </c>
      <c r="J392">
        <f>IFERROR(INDEX(tblDeviceConfig[PI_Validated_By],ROW()-1),"")</f>
        <v>0</v>
      </c>
      <c r="K392">
        <f>IFERROR(INDEX(tblDeviceConfig[PI_Validated_Date],ROW()-1),"")</f>
        <v>0</v>
      </c>
      <c r="L392">
        <f t="shared" si="12"/>
        <v>0</v>
      </c>
      <c r="M392" t="str">
        <f t="shared" si="13"/>
        <v/>
      </c>
    </row>
    <row r="393" spans="1:13">
      <c r="A393">
        <f>ROW()</f>
        <v>393</v>
      </c>
      <c r="B393">
        <f>IFERROR(INDEX(tblDeviceConfig[Device Type],ROW()-1),"")</f>
        <v>0</v>
      </c>
      <c r="C393">
        <f>IFERROR(INDEX(tblDeviceConfig[Deployed],ROW()-1),"")</f>
        <v>0</v>
      </c>
      <c r="D393">
        <f>IFERROR(INDEX(tblDeviceConfig[Installed],ROW()-1),"")</f>
        <v>0</v>
      </c>
      <c r="E393">
        <f>IFERROR(INDEX(tblDeviceConfig[Cybernet Hostname],ROW()-1),"")</f>
        <v>0</v>
      </c>
      <c r="F393">
        <f>IFERROR(INDEX(tblDeviceConfig[Neuron Hostname],ROW()-1),"")</f>
        <v>0</v>
      </c>
      <c r="G393">
        <f>IFERROR(INDEX(tblDeviceConfig[Software List],ROW()-1),"")</f>
        <v>0</v>
      </c>
      <c r="H393">
        <f>IFERROR(INDEX(tblDeviceConfig[PI_Use_Case],ROW()-1),"")</f>
        <v>0</v>
      </c>
      <c r="I393">
        <f>IFERROR(INDEX(tblDeviceConfig[PI_Result],ROW()-1),"")</f>
        <v>0</v>
      </c>
      <c r="J393">
        <f>IFERROR(INDEX(tblDeviceConfig[PI_Validated_By],ROW()-1),"")</f>
        <v>0</v>
      </c>
      <c r="K393">
        <f>IFERROR(INDEX(tblDeviceConfig[PI_Validated_Date],ROW()-1),"")</f>
        <v>0</v>
      </c>
      <c r="L393">
        <f t="shared" si="12"/>
        <v>0</v>
      </c>
      <c r="M393" t="str">
        <f t="shared" si="13"/>
        <v/>
      </c>
    </row>
    <row r="394" spans="1:13">
      <c r="A394">
        <f>ROW()</f>
        <v>394</v>
      </c>
      <c r="B394">
        <f>IFERROR(INDEX(tblDeviceConfig[Device Type],ROW()-1),"")</f>
        <v>0</v>
      </c>
      <c r="C394">
        <f>IFERROR(INDEX(tblDeviceConfig[Deployed],ROW()-1),"")</f>
        <v>0</v>
      </c>
      <c r="D394">
        <f>IFERROR(INDEX(tblDeviceConfig[Installed],ROW()-1),"")</f>
        <v>0</v>
      </c>
      <c r="E394">
        <f>IFERROR(INDEX(tblDeviceConfig[Cybernet Hostname],ROW()-1),"")</f>
        <v>0</v>
      </c>
      <c r="F394">
        <f>IFERROR(INDEX(tblDeviceConfig[Neuron Hostname],ROW()-1),"")</f>
        <v>0</v>
      </c>
      <c r="G394">
        <f>IFERROR(INDEX(tblDeviceConfig[Software List],ROW()-1),"")</f>
        <v>0</v>
      </c>
      <c r="H394">
        <f>IFERROR(INDEX(tblDeviceConfig[PI_Use_Case],ROW()-1),"")</f>
        <v>0</v>
      </c>
      <c r="I394">
        <f>IFERROR(INDEX(tblDeviceConfig[PI_Result],ROW()-1),"")</f>
        <v>0</v>
      </c>
      <c r="J394">
        <f>IFERROR(INDEX(tblDeviceConfig[PI_Validated_By],ROW()-1),"")</f>
        <v>0</v>
      </c>
      <c r="K394">
        <f>IFERROR(INDEX(tblDeviceConfig[PI_Validated_Date],ROW()-1),"")</f>
        <v>0</v>
      </c>
      <c r="L394">
        <f t="shared" si="12"/>
        <v>0</v>
      </c>
      <c r="M394" t="str">
        <f t="shared" si="13"/>
        <v/>
      </c>
    </row>
    <row r="395" spans="1:13">
      <c r="A395">
        <f>ROW()</f>
        <v>395</v>
      </c>
      <c r="B395">
        <f>IFERROR(INDEX(tblDeviceConfig[Device Type],ROW()-1),"")</f>
        <v>0</v>
      </c>
      <c r="C395">
        <f>IFERROR(INDEX(tblDeviceConfig[Deployed],ROW()-1),"")</f>
        <v>0</v>
      </c>
      <c r="D395">
        <f>IFERROR(INDEX(tblDeviceConfig[Installed],ROW()-1),"")</f>
        <v>0</v>
      </c>
      <c r="E395">
        <f>IFERROR(INDEX(tblDeviceConfig[Cybernet Hostname],ROW()-1),"")</f>
        <v>0</v>
      </c>
      <c r="F395">
        <f>IFERROR(INDEX(tblDeviceConfig[Neuron Hostname],ROW()-1),"")</f>
        <v>0</v>
      </c>
      <c r="G395">
        <f>IFERROR(INDEX(tblDeviceConfig[Software List],ROW()-1),"")</f>
        <v>0</v>
      </c>
      <c r="H395">
        <f>IFERROR(INDEX(tblDeviceConfig[PI_Use_Case],ROW()-1),"")</f>
        <v>0</v>
      </c>
      <c r="I395">
        <f>IFERROR(INDEX(tblDeviceConfig[PI_Result],ROW()-1),"")</f>
        <v>0</v>
      </c>
      <c r="J395">
        <f>IFERROR(INDEX(tblDeviceConfig[PI_Validated_By],ROW()-1),"")</f>
        <v>0</v>
      </c>
      <c r="K395">
        <f>IFERROR(INDEX(tblDeviceConfig[PI_Validated_Date],ROW()-1),"")</f>
        <v>0</v>
      </c>
      <c r="L395">
        <f t="shared" si="12"/>
        <v>0</v>
      </c>
      <c r="M395" t="str">
        <f t="shared" si="13"/>
        <v/>
      </c>
    </row>
    <row r="396" spans="1:13">
      <c r="A396">
        <f>ROW()</f>
        <v>396</v>
      </c>
      <c r="B396">
        <f>IFERROR(INDEX(tblDeviceConfig[Device Type],ROW()-1),"")</f>
        <v>0</v>
      </c>
      <c r="C396">
        <f>IFERROR(INDEX(tblDeviceConfig[Deployed],ROW()-1),"")</f>
        <v>0</v>
      </c>
      <c r="D396">
        <f>IFERROR(INDEX(tblDeviceConfig[Installed],ROW()-1),"")</f>
        <v>0</v>
      </c>
      <c r="E396">
        <f>IFERROR(INDEX(tblDeviceConfig[Cybernet Hostname],ROW()-1),"")</f>
        <v>0</v>
      </c>
      <c r="F396">
        <f>IFERROR(INDEX(tblDeviceConfig[Neuron Hostname],ROW()-1),"")</f>
        <v>0</v>
      </c>
      <c r="G396">
        <f>IFERROR(INDEX(tblDeviceConfig[Software List],ROW()-1),"")</f>
        <v>0</v>
      </c>
      <c r="H396">
        <f>IFERROR(INDEX(tblDeviceConfig[PI_Use_Case],ROW()-1),"")</f>
        <v>0</v>
      </c>
      <c r="I396">
        <f>IFERROR(INDEX(tblDeviceConfig[PI_Result],ROW()-1),"")</f>
        <v>0</v>
      </c>
      <c r="J396">
        <f>IFERROR(INDEX(tblDeviceConfig[PI_Validated_By],ROW()-1),"")</f>
        <v>0</v>
      </c>
      <c r="K396">
        <f>IFERROR(INDEX(tblDeviceConfig[PI_Validated_Date],ROW()-1),"")</f>
        <v>0</v>
      </c>
      <c r="L396">
        <f t="shared" si="12"/>
        <v>0</v>
      </c>
      <c r="M396" t="str">
        <f t="shared" si="13"/>
        <v/>
      </c>
    </row>
    <row r="397" spans="1:13">
      <c r="A397">
        <f>ROW()</f>
        <v>397</v>
      </c>
      <c r="B397">
        <f>IFERROR(INDEX(tblDeviceConfig[Device Type],ROW()-1),"")</f>
        <v>0</v>
      </c>
      <c r="C397">
        <f>IFERROR(INDEX(tblDeviceConfig[Deployed],ROW()-1),"")</f>
        <v>0</v>
      </c>
      <c r="D397">
        <f>IFERROR(INDEX(tblDeviceConfig[Installed],ROW()-1),"")</f>
        <v>0</v>
      </c>
      <c r="E397">
        <f>IFERROR(INDEX(tblDeviceConfig[Cybernet Hostname],ROW()-1),"")</f>
        <v>0</v>
      </c>
      <c r="F397">
        <f>IFERROR(INDEX(tblDeviceConfig[Neuron Hostname],ROW()-1),"")</f>
        <v>0</v>
      </c>
      <c r="G397">
        <f>IFERROR(INDEX(tblDeviceConfig[Software List],ROW()-1),"")</f>
        <v>0</v>
      </c>
      <c r="H397">
        <f>IFERROR(INDEX(tblDeviceConfig[PI_Use_Case],ROW()-1),"")</f>
        <v>0</v>
      </c>
      <c r="I397">
        <f>IFERROR(INDEX(tblDeviceConfig[PI_Result],ROW()-1),"")</f>
        <v>0</v>
      </c>
      <c r="J397">
        <f>IFERROR(INDEX(tblDeviceConfig[PI_Validated_By],ROW()-1),"")</f>
        <v>0</v>
      </c>
      <c r="K397">
        <f>IFERROR(INDEX(tblDeviceConfig[PI_Validated_Date],ROW()-1),"")</f>
        <v>0</v>
      </c>
      <c r="L397">
        <f t="shared" si="12"/>
        <v>0</v>
      </c>
      <c r="M397" t="str">
        <f t="shared" si="13"/>
        <v/>
      </c>
    </row>
    <row r="398" spans="1:13">
      <c r="A398">
        <f>ROW()</f>
        <v>398</v>
      </c>
      <c r="B398">
        <f>IFERROR(INDEX(tblDeviceConfig[Device Type],ROW()-1),"")</f>
        <v>0</v>
      </c>
      <c r="C398">
        <f>IFERROR(INDEX(tblDeviceConfig[Deployed],ROW()-1),"")</f>
        <v>0</v>
      </c>
      <c r="D398">
        <f>IFERROR(INDEX(tblDeviceConfig[Installed],ROW()-1),"")</f>
        <v>0</v>
      </c>
      <c r="E398">
        <f>IFERROR(INDEX(tblDeviceConfig[Cybernet Hostname],ROW()-1),"")</f>
        <v>0</v>
      </c>
      <c r="F398">
        <f>IFERROR(INDEX(tblDeviceConfig[Neuron Hostname],ROW()-1),"")</f>
        <v>0</v>
      </c>
      <c r="G398">
        <f>IFERROR(INDEX(tblDeviceConfig[Software List],ROW()-1),"")</f>
        <v>0</v>
      </c>
      <c r="H398">
        <f>IFERROR(INDEX(tblDeviceConfig[PI_Use_Case],ROW()-1),"")</f>
        <v>0</v>
      </c>
      <c r="I398">
        <f>IFERROR(INDEX(tblDeviceConfig[PI_Result],ROW()-1),"")</f>
        <v>0</v>
      </c>
      <c r="J398">
        <f>IFERROR(INDEX(tblDeviceConfig[PI_Validated_By],ROW()-1),"")</f>
        <v>0</v>
      </c>
      <c r="K398">
        <f>IFERROR(INDEX(tblDeviceConfig[PI_Validated_Date],ROW()-1),"")</f>
        <v>0</v>
      </c>
      <c r="L398">
        <f t="shared" si="12"/>
        <v>0</v>
      </c>
      <c r="M398" t="str">
        <f t="shared" si="13"/>
        <v/>
      </c>
    </row>
    <row r="399" spans="1:13">
      <c r="A399">
        <f>ROW()</f>
        <v>399</v>
      </c>
      <c r="B399">
        <f>IFERROR(INDEX(tblDeviceConfig[Device Type],ROW()-1),"")</f>
        <v>0</v>
      </c>
      <c r="C399">
        <f>IFERROR(INDEX(tblDeviceConfig[Deployed],ROW()-1),"")</f>
        <v>0</v>
      </c>
      <c r="D399">
        <f>IFERROR(INDEX(tblDeviceConfig[Installed],ROW()-1),"")</f>
        <v>0</v>
      </c>
      <c r="E399">
        <f>IFERROR(INDEX(tblDeviceConfig[Cybernet Hostname],ROW()-1),"")</f>
        <v>0</v>
      </c>
      <c r="F399">
        <f>IFERROR(INDEX(tblDeviceConfig[Neuron Hostname],ROW()-1),"")</f>
        <v>0</v>
      </c>
      <c r="G399">
        <f>IFERROR(INDEX(tblDeviceConfig[Software List],ROW()-1),"")</f>
        <v>0</v>
      </c>
      <c r="H399">
        <f>IFERROR(INDEX(tblDeviceConfig[PI_Use_Case],ROW()-1),"")</f>
        <v>0</v>
      </c>
      <c r="I399">
        <f>IFERROR(INDEX(tblDeviceConfig[PI_Result],ROW()-1),"")</f>
        <v>0</v>
      </c>
      <c r="J399">
        <f>IFERROR(INDEX(tblDeviceConfig[PI_Validated_By],ROW()-1),"")</f>
        <v>0</v>
      </c>
      <c r="K399">
        <f>IFERROR(INDEX(tblDeviceConfig[PI_Validated_Date],ROW()-1),"")</f>
        <v>0</v>
      </c>
      <c r="L399">
        <f t="shared" si="12"/>
        <v>0</v>
      </c>
      <c r="M399" t="str">
        <f t="shared" si="13"/>
        <v/>
      </c>
    </row>
    <row r="400" spans="1:13">
      <c r="A400">
        <f>ROW()</f>
        <v>400</v>
      </c>
      <c r="B400">
        <f>IFERROR(INDEX(tblDeviceConfig[Device Type],ROW()-1),"")</f>
        <v>0</v>
      </c>
      <c r="C400">
        <f>IFERROR(INDEX(tblDeviceConfig[Deployed],ROW()-1),"")</f>
        <v>0</v>
      </c>
      <c r="D400">
        <f>IFERROR(INDEX(tblDeviceConfig[Installed],ROW()-1),"")</f>
        <v>0</v>
      </c>
      <c r="E400">
        <f>IFERROR(INDEX(tblDeviceConfig[Cybernet Hostname],ROW()-1),"")</f>
        <v>0</v>
      </c>
      <c r="F400">
        <f>IFERROR(INDEX(tblDeviceConfig[Neuron Hostname],ROW()-1),"")</f>
        <v>0</v>
      </c>
      <c r="G400">
        <f>IFERROR(INDEX(tblDeviceConfig[Software List],ROW()-1),"")</f>
        <v>0</v>
      </c>
      <c r="H400">
        <f>IFERROR(INDEX(tblDeviceConfig[PI_Use_Case],ROW()-1),"")</f>
        <v>0</v>
      </c>
      <c r="I400">
        <f>IFERROR(INDEX(tblDeviceConfig[PI_Result],ROW()-1),"")</f>
        <v>0</v>
      </c>
      <c r="J400">
        <f>IFERROR(INDEX(tblDeviceConfig[PI_Validated_By],ROW()-1),"")</f>
        <v>0</v>
      </c>
      <c r="K400">
        <f>IFERROR(INDEX(tblDeviceConfig[PI_Validated_Date],ROW()-1),"")</f>
        <v>0</v>
      </c>
      <c r="L400">
        <f t="shared" si="12"/>
        <v>0</v>
      </c>
      <c r="M400" t="str">
        <f t="shared" si="13"/>
        <v/>
      </c>
    </row>
    <row r="401" spans="1:13">
      <c r="A401">
        <f>ROW()</f>
        <v>401</v>
      </c>
      <c r="B401">
        <f>IFERROR(INDEX(tblDeviceConfig[Device Type],ROW()-1),"")</f>
        <v>0</v>
      </c>
      <c r="C401">
        <f>IFERROR(INDEX(tblDeviceConfig[Deployed],ROW()-1),"")</f>
        <v>0</v>
      </c>
      <c r="D401">
        <f>IFERROR(INDEX(tblDeviceConfig[Installed],ROW()-1),"")</f>
        <v>0</v>
      </c>
      <c r="E401">
        <f>IFERROR(INDEX(tblDeviceConfig[Cybernet Hostname],ROW()-1),"")</f>
        <v>0</v>
      </c>
      <c r="F401">
        <f>IFERROR(INDEX(tblDeviceConfig[Neuron Hostname],ROW()-1),"")</f>
        <v>0</v>
      </c>
      <c r="G401">
        <f>IFERROR(INDEX(tblDeviceConfig[Software List],ROW()-1),"")</f>
        <v>0</v>
      </c>
      <c r="H401">
        <f>IFERROR(INDEX(tblDeviceConfig[PI_Use_Case],ROW()-1),"")</f>
        <v>0</v>
      </c>
      <c r="I401">
        <f>IFERROR(INDEX(tblDeviceConfig[PI_Result],ROW()-1),"")</f>
        <v>0</v>
      </c>
      <c r="J401">
        <f>IFERROR(INDEX(tblDeviceConfig[PI_Validated_By],ROW()-1),"")</f>
        <v>0</v>
      </c>
      <c r="K401">
        <f>IFERROR(INDEX(tblDeviceConfig[PI_Validated_Date],ROW()-1),"")</f>
        <v>0</v>
      </c>
      <c r="L401">
        <f t="shared" si="12"/>
        <v>0</v>
      </c>
      <c r="M401" t="str">
        <f t="shared" si="13"/>
        <v/>
      </c>
    </row>
    <row r="402" spans="1:13">
      <c r="A402">
        <f>ROW()</f>
        <v>402</v>
      </c>
      <c r="B402">
        <f>IFERROR(INDEX(tblDeviceConfig[Device Type],ROW()-1),"")</f>
        <v>0</v>
      </c>
      <c r="C402">
        <f>IFERROR(INDEX(tblDeviceConfig[Deployed],ROW()-1),"")</f>
        <v>0</v>
      </c>
      <c r="D402">
        <f>IFERROR(INDEX(tblDeviceConfig[Installed],ROW()-1),"")</f>
        <v>0</v>
      </c>
      <c r="E402">
        <f>IFERROR(INDEX(tblDeviceConfig[Cybernet Hostname],ROW()-1),"")</f>
        <v>0</v>
      </c>
      <c r="F402">
        <f>IFERROR(INDEX(tblDeviceConfig[Neuron Hostname],ROW()-1),"")</f>
        <v>0</v>
      </c>
      <c r="G402">
        <f>IFERROR(INDEX(tblDeviceConfig[Software List],ROW()-1),"")</f>
        <v>0</v>
      </c>
      <c r="H402">
        <f>IFERROR(INDEX(tblDeviceConfig[PI_Use_Case],ROW()-1),"")</f>
        <v>0</v>
      </c>
      <c r="I402">
        <f>IFERROR(INDEX(tblDeviceConfig[PI_Result],ROW()-1),"")</f>
        <v>0</v>
      </c>
      <c r="J402">
        <f>IFERROR(INDEX(tblDeviceConfig[PI_Validated_By],ROW()-1),"")</f>
        <v>0</v>
      </c>
      <c r="K402">
        <f>IFERROR(INDEX(tblDeviceConfig[PI_Validated_Date],ROW()-1),"")</f>
        <v>0</v>
      </c>
      <c r="L402">
        <f t="shared" si="12"/>
        <v>0</v>
      </c>
      <c r="M402" t="str">
        <f t="shared" si="13"/>
        <v/>
      </c>
    </row>
    <row r="403" spans="1:13">
      <c r="A403">
        <f>ROW()</f>
        <v>403</v>
      </c>
      <c r="B403">
        <f>IFERROR(INDEX(tblDeviceConfig[Device Type],ROW()-1),"")</f>
        <v>0</v>
      </c>
      <c r="C403">
        <f>IFERROR(INDEX(tblDeviceConfig[Deployed],ROW()-1),"")</f>
        <v>0</v>
      </c>
      <c r="D403">
        <f>IFERROR(INDEX(tblDeviceConfig[Installed],ROW()-1),"")</f>
        <v>0</v>
      </c>
      <c r="E403">
        <f>IFERROR(INDEX(tblDeviceConfig[Cybernet Hostname],ROW()-1),"")</f>
        <v>0</v>
      </c>
      <c r="F403">
        <f>IFERROR(INDEX(tblDeviceConfig[Neuron Hostname],ROW()-1),"")</f>
        <v>0</v>
      </c>
      <c r="G403">
        <f>IFERROR(INDEX(tblDeviceConfig[Software List],ROW()-1),"")</f>
        <v>0</v>
      </c>
      <c r="H403">
        <f>IFERROR(INDEX(tblDeviceConfig[PI_Use_Case],ROW()-1),"")</f>
        <v>0</v>
      </c>
      <c r="I403">
        <f>IFERROR(INDEX(tblDeviceConfig[PI_Result],ROW()-1),"")</f>
        <v>0</v>
      </c>
      <c r="J403">
        <f>IFERROR(INDEX(tblDeviceConfig[PI_Validated_By],ROW()-1),"")</f>
        <v>0</v>
      </c>
      <c r="K403">
        <f>IFERROR(INDEX(tblDeviceConfig[PI_Validated_Date],ROW()-1),"")</f>
        <v>0</v>
      </c>
      <c r="L403">
        <f t="shared" si="12"/>
        <v>0</v>
      </c>
      <c r="M403" t="str">
        <f t="shared" si="13"/>
        <v/>
      </c>
    </row>
    <row r="404" spans="1:13">
      <c r="A404">
        <f>ROW()</f>
        <v>404</v>
      </c>
      <c r="B404">
        <f>IFERROR(INDEX(tblDeviceConfig[Device Type],ROW()-1),"")</f>
        <v>0</v>
      </c>
      <c r="C404">
        <f>IFERROR(INDEX(tblDeviceConfig[Deployed],ROW()-1),"")</f>
        <v>0</v>
      </c>
      <c r="D404">
        <f>IFERROR(INDEX(tblDeviceConfig[Installed],ROW()-1),"")</f>
        <v>0</v>
      </c>
      <c r="E404">
        <f>IFERROR(INDEX(tblDeviceConfig[Cybernet Hostname],ROW()-1),"")</f>
        <v>0</v>
      </c>
      <c r="F404">
        <f>IFERROR(INDEX(tblDeviceConfig[Neuron Hostname],ROW()-1),"")</f>
        <v>0</v>
      </c>
      <c r="G404">
        <f>IFERROR(INDEX(tblDeviceConfig[Software List],ROW()-1),"")</f>
        <v>0</v>
      </c>
      <c r="H404">
        <f>IFERROR(INDEX(tblDeviceConfig[PI_Use_Case],ROW()-1),"")</f>
        <v>0</v>
      </c>
      <c r="I404">
        <f>IFERROR(INDEX(tblDeviceConfig[PI_Result],ROW()-1),"")</f>
        <v>0</v>
      </c>
      <c r="J404">
        <f>IFERROR(INDEX(tblDeviceConfig[PI_Validated_By],ROW()-1),"")</f>
        <v>0</v>
      </c>
      <c r="K404">
        <f>IFERROR(INDEX(tblDeviceConfig[PI_Validated_Date],ROW()-1),"")</f>
        <v>0</v>
      </c>
      <c r="L404">
        <f t="shared" si="12"/>
        <v>0</v>
      </c>
      <c r="M404" t="str">
        <f t="shared" si="13"/>
        <v/>
      </c>
    </row>
    <row r="405" spans="1:13">
      <c r="A405">
        <f>ROW()</f>
        <v>405</v>
      </c>
      <c r="B405">
        <f>IFERROR(INDEX(tblDeviceConfig[Device Type],ROW()-1),"")</f>
        <v>0</v>
      </c>
      <c r="C405">
        <f>IFERROR(INDEX(tblDeviceConfig[Deployed],ROW()-1),"")</f>
        <v>0</v>
      </c>
      <c r="D405">
        <f>IFERROR(INDEX(tblDeviceConfig[Installed],ROW()-1),"")</f>
        <v>0</v>
      </c>
      <c r="E405">
        <f>IFERROR(INDEX(tblDeviceConfig[Cybernet Hostname],ROW()-1),"")</f>
        <v>0</v>
      </c>
      <c r="F405">
        <f>IFERROR(INDEX(tblDeviceConfig[Neuron Hostname],ROW()-1),"")</f>
        <v>0</v>
      </c>
      <c r="G405">
        <f>IFERROR(INDEX(tblDeviceConfig[Software List],ROW()-1),"")</f>
        <v>0</v>
      </c>
      <c r="H405">
        <f>IFERROR(INDEX(tblDeviceConfig[PI_Use_Case],ROW()-1),"")</f>
        <v>0</v>
      </c>
      <c r="I405">
        <f>IFERROR(INDEX(tblDeviceConfig[PI_Result],ROW()-1),"")</f>
        <v>0</v>
      </c>
      <c r="J405">
        <f>IFERROR(INDEX(tblDeviceConfig[PI_Validated_By],ROW()-1),"")</f>
        <v>0</v>
      </c>
      <c r="K405">
        <f>IFERROR(INDEX(tblDeviceConfig[PI_Validated_Date],ROW()-1),"")</f>
        <v>0</v>
      </c>
      <c r="L405">
        <f t="shared" si="12"/>
        <v>0</v>
      </c>
      <c r="M405" t="str">
        <f t="shared" si="13"/>
        <v/>
      </c>
    </row>
    <row r="406" spans="1:13">
      <c r="A406">
        <f>ROW()</f>
        <v>406</v>
      </c>
      <c r="B406">
        <f>IFERROR(INDEX(tblDeviceConfig[Device Type],ROW()-1),"")</f>
        <v>0</v>
      </c>
      <c r="C406">
        <f>IFERROR(INDEX(tblDeviceConfig[Deployed],ROW()-1),"")</f>
        <v>0</v>
      </c>
      <c r="D406">
        <f>IFERROR(INDEX(tblDeviceConfig[Installed],ROW()-1),"")</f>
        <v>0</v>
      </c>
      <c r="E406">
        <f>IFERROR(INDEX(tblDeviceConfig[Cybernet Hostname],ROW()-1),"")</f>
        <v>0</v>
      </c>
      <c r="F406">
        <f>IFERROR(INDEX(tblDeviceConfig[Neuron Hostname],ROW()-1),"")</f>
        <v>0</v>
      </c>
      <c r="G406">
        <f>IFERROR(INDEX(tblDeviceConfig[Software List],ROW()-1),"")</f>
        <v>0</v>
      </c>
      <c r="H406">
        <f>IFERROR(INDEX(tblDeviceConfig[PI_Use_Case],ROW()-1),"")</f>
        <v>0</v>
      </c>
      <c r="I406">
        <f>IFERROR(INDEX(tblDeviceConfig[PI_Result],ROW()-1),"")</f>
        <v>0</v>
      </c>
      <c r="J406">
        <f>IFERROR(INDEX(tblDeviceConfig[PI_Validated_By],ROW()-1),"")</f>
        <v>0</v>
      </c>
      <c r="K406">
        <f>IFERROR(INDEX(tblDeviceConfig[PI_Validated_Date],ROW()-1),"")</f>
        <v>0</v>
      </c>
      <c r="L406">
        <f t="shared" si="12"/>
        <v>0</v>
      </c>
      <c r="M406" t="str">
        <f t="shared" si="13"/>
        <v/>
      </c>
    </row>
    <row r="407" spans="1:13">
      <c r="A407">
        <f>ROW()</f>
        <v>407</v>
      </c>
      <c r="B407">
        <f>IFERROR(INDEX(tblDeviceConfig[Device Type],ROW()-1),"")</f>
        <v>0</v>
      </c>
      <c r="C407">
        <f>IFERROR(INDEX(tblDeviceConfig[Deployed],ROW()-1),"")</f>
        <v>0</v>
      </c>
      <c r="D407">
        <f>IFERROR(INDEX(tblDeviceConfig[Installed],ROW()-1),"")</f>
        <v>0</v>
      </c>
      <c r="E407">
        <f>IFERROR(INDEX(tblDeviceConfig[Cybernet Hostname],ROW()-1),"")</f>
        <v>0</v>
      </c>
      <c r="F407">
        <f>IFERROR(INDEX(tblDeviceConfig[Neuron Hostname],ROW()-1),"")</f>
        <v>0</v>
      </c>
      <c r="G407">
        <f>IFERROR(INDEX(tblDeviceConfig[Software List],ROW()-1),"")</f>
        <v>0</v>
      </c>
      <c r="H407">
        <f>IFERROR(INDEX(tblDeviceConfig[PI_Use_Case],ROW()-1),"")</f>
        <v>0</v>
      </c>
      <c r="I407">
        <f>IFERROR(INDEX(tblDeviceConfig[PI_Result],ROW()-1),"")</f>
        <v>0</v>
      </c>
      <c r="J407">
        <f>IFERROR(INDEX(tblDeviceConfig[PI_Validated_By],ROW()-1),"")</f>
        <v>0</v>
      </c>
      <c r="K407">
        <f>IFERROR(INDEX(tblDeviceConfig[PI_Validated_Date],ROW()-1),"")</f>
        <v>0</v>
      </c>
      <c r="L407">
        <f t="shared" si="12"/>
        <v>0</v>
      </c>
      <c r="M407" t="str">
        <f t="shared" si="13"/>
        <v/>
      </c>
    </row>
    <row r="408" spans="1:13">
      <c r="A408">
        <f>ROW()</f>
        <v>408</v>
      </c>
      <c r="B408">
        <f>IFERROR(INDEX(tblDeviceConfig[Device Type],ROW()-1),"")</f>
        <v>0</v>
      </c>
      <c r="C408">
        <f>IFERROR(INDEX(tblDeviceConfig[Deployed],ROW()-1),"")</f>
        <v>0</v>
      </c>
      <c r="D408">
        <f>IFERROR(INDEX(tblDeviceConfig[Installed],ROW()-1),"")</f>
        <v>0</v>
      </c>
      <c r="E408">
        <f>IFERROR(INDEX(tblDeviceConfig[Cybernet Hostname],ROW()-1),"")</f>
        <v>0</v>
      </c>
      <c r="F408">
        <f>IFERROR(INDEX(tblDeviceConfig[Neuron Hostname],ROW()-1),"")</f>
        <v>0</v>
      </c>
      <c r="G408">
        <f>IFERROR(INDEX(tblDeviceConfig[Software List],ROW()-1),"")</f>
        <v>0</v>
      </c>
      <c r="H408">
        <f>IFERROR(INDEX(tblDeviceConfig[PI_Use_Case],ROW()-1),"")</f>
        <v>0</v>
      </c>
      <c r="I408">
        <f>IFERROR(INDEX(tblDeviceConfig[PI_Result],ROW()-1),"")</f>
        <v>0</v>
      </c>
      <c r="J408">
        <f>IFERROR(INDEX(tblDeviceConfig[PI_Validated_By],ROW()-1),"")</f>
        <v>0</v>
      </c>
      <c r="K408">
        <f>IFERROR(INDEX(tblDeviceConfig[PI_Validated_Date],ROW()-1),"")</f>
        <v>0</v>
      </c>
      <c r="L408">
        <f t="shared" si="12"/>
        <v>0</v>
      </c>
      <c r="M408" t="str">
        <f t="shared" si="13"/>
        <v/>
      </c>
    </row>
    <row r="409" spans="1:13">
      <c r="A409">
        <f>ROW()</f>
        <v>409</v>
      </c>
      <c r="B409">
        <f>IFERROR(INDEX(tblDeviceConfig[Device Type],ROW()-1),"")</f>
        <v>0</v>
      </c>
      <c r="C409">
        <f>IFERROR(INDEX(tblDeviceConfig[Deployed],ROW()-1),"")</f>
        <v>0</v>
      </c>
      <c r="D409">
        <f>IFERROR(INDEX(tblDeviceConfig[Installed],ROW()-1),"")</f>
        <v>0</v>
      </c>
      <c r="E409">
        <f>IFERROR(INDEX(tblDeviceConfig[Cybernet Hostname],ROW()-1),"")</f>
        <v>0</v>
      </c>
      <c r="F409">
        <f>IFERROR(INDEX(tblDeviceConfig[Neuron Hostname],ROW()-1),"")</f>
        <v>0</v>
      </c>
      <c r="G409">
        <f>IFERROR(INDEX(tblDeviceConfig[Software List],ROW()-1),"")</f>
        <v>0</v>
      </c>
      <c r="H409">
        <f>IFERROR(INDEX(tblDeviceConfig[PI_Use_Case],ROW()-1),"")</f>
        <v>0</v>
      </c>
      <c r="I409">
        <f>IFERROR(INDEX(tblDeviceConfig[PI_Result],ROW()-1),"")</f>
        <v>0</v>
      </c>
      <c r="J409">
        <f>IFERROR(INDEX(tblDeviceConfig[PI_Validated_By],ROW()-1),"")</f>
        <v>0</v>
      </c>
      <c r="K409">
        <f>IFERROR(INDEX(tblDeviceConfig[PI_Validated_Date],ROW()-1),"")</f>
        <v>0</v>
      </c>
      <c r="L409">
        <f t="shared" si="12"/>
        <v>0</v>
      </c>
      <c r="M409" t="str">
        <f t="shared" si="13"/>
        <v/>
      </c>
    </row>
    <row r="410" spans="1:13">
      <c r="A410">
        <f>ROW()</f>
        <v>410</v>
      </c>
      <c r="B410">
        <f>IFERROR(INDEX(tblDeviceConfig[Device Type],ROW()-1),"")</f>
        <v>0</v>
      </c>
      <c r="C410">
        <f>IFERROR(INDEX(tblDeviceConfig[Deployed],ROW()-1),"")</f>
        <v>0</v>
      </c>
      <c r="D410">
        <f>IFERROR(INDEX(tblDeviceConfig[Installed],ROW()-1),"")</f>
        <v>0</v>
      </c>
      <c r="E410">
        <f>IFERROR(INDEX(tblDeviceConfig[Cybernet Hostname],ROW()-1),"")</f>
        <v>0</v>
      </c>
      <c r="F410">
        <f>IFERROR(INDEX(tblDeviceConfig[Neuron Hostname],ROW()-1),"")</f>
        <v>0</v>
      </c>
      <c r="G410">
        <f>IFERROR(INDEX(tblDeviceConfig[Software List],ROW()-1),"")</f>
        <v>0</v>
      </c>
      <c r="H410">
        <f>IFERROR(INDEX(tblDeviceConfig[PI_Use_Case],ROW()-1),"")</f>
        <v>0</v>
      </c>
      <c r="I410">
        <f>IFERROR(INDEX(tblDeviceConfig[PI_Result],ROW()-1),"")</f>
        <v>0</v>
      </c>
      <c r="J410">
        <f>IFERROR(INDEX(tblDeviceConfig[PI_Validated_By],ROW()-1),"")</f>
        <v>0</v>
      </c>
      <c r="K410">
        <f>IFERROR(INDEX(tblDeviceConfig[PI_Validated_Date],ROW()-1),"")</f>
        <v>0</v>
      </c>
      <c r="L410">
        <f t="shared" si="12"/>
        <v>0</v>
      </c>
      <c r="M410" t="str">
        <f t="shared" si="13"/>
        <v/>
      </c>
    </row>
    <row r="411" spans="1:13">
      <c r="A411">
        <f>ROW()</f>
        <v>411</v>
      </c>
      <c r="B411">
        <f>IFERROR(INDEX(tblDeviceConfig[Device Type],ROW()-1),"")</f>
        <v>0</v>
      </c>
      <c r="C411">
        <f>IFERROR(INDEX(tblDeviceConfig[Deployed],ROW()-1),"")</f>
        <v>0</v>
      </c>
      <c r="D411">
        <f>IFERROR(INDEX(tblDeviceConfig[Installed],ROW()-1),"")</f>
        <v>0</v>
      </c>
      <c r="E411">
        <f>IFERROR(INDEX(tblDeviceConfig[Cybernet Hostname],ROW()-1),"")</f>
        <v>0</v>
      </c>
      <c r="F411">
        <f>IFERROR(INDEX(tblDeviceConfig[Neuron Hostname],ROW()-1),"")</f>
        <v>0</v>
      </c>
      <c r="G411">
        <f>IFERROR(INDEX(tblDeviceConfig[Software List],ROW()-1),"")</f>
        <v>0</v>
      </c>
      <c r="H411">
        <f>IFERROR(INDEX(tblDeviceConfig[PI_Use_Case],ROW()-1),"")</f>
        <v>0</v>
      </c>
      <c r="I411">
        <f>IFERROR(INDEX(tblDeviceConfig[PI_Result],ROW()-1),"")</f>
        <v>0</v>
      </c>
      <c r="J411">
        <f>IFERROR(INDEX(tblDeviceConfig[PI_Validated_By],ROW()-1),"")</f>
        <v>0</v>
      </c>
      <c r="K411">
        <f>IFERROR(INDEX(tblDeviceConfig[PI_Validated_Date],ROW()-1),"")</f>
        <v>0</v>
      </c>
      <c r="L411">
        <f t="shared" si="12"/>
        <v>0</v>
      </c>
      <c r="M411" t="str">
        <f t="shared" si="13"/>
        <v/>
      </c>
    </row>
    <row r="412" spans="1:13">
      <c r="A412">
        <f>ROW()</f>
        <v>412</v>
      </c>
      <c r="B412">
        <f>IFERROR(INDEX(tblDeviceConfig[Device Type],ROW()-1),"")</f>
        <v>0</v>
      </c>
      <c r="C412">
        <f>IFERROR(INDEX(tblDeviceConfig[Deployed],ROW()-1),"")</f>
        <v>0</v>
      </c>
      <c r="D412">
        <f>IFERROR(INDEX(tblDeviceConfig[Installed],ROW()-1),"")</f>
        <v>0</v>
      </c>
      <c r="E412">
        <f>IFERROR(INDEX(tblDeviceConfig[Cybernet Hostname],ROW()-1),"")</f>
        <v>0</v>
      </c>
      <c r="F412">
        <f>IFERROR(INDEX(tblDeviceConfig[Neuron Hostname],ROW()-1),"")</f>
        <v>0</v>
      </c>
      <c r="G412">
        <f>IFERROR(INDEX(tblDeviceConfig[Software List],ROW()-1),"")</f>
        <v>0</v>
      </c>
      <c r="H412">
        <f>IFERROR(INDEX(tblDeviceConfig[PI_Use_Case],ROW()-1),"")</f>
        <v>0</v>
      </c>
      <c r="I412">
        <f>IFERROR(INDEX(tblDeviceConfig[PI_Result],ROW()-1),"")</f>
        <v>0</v>
      </c>
      <c r="J412">
        <f>IFERROR(INDEX(tblDeviceConfig[PI_Validated_By],ROW()-1),"")</f>
        <v>0</v>
      </c>
      <c r="K412">
        <f>IFERROR(INDEX(tblDeviceConfig[PI_Validated_Date],ROW()-1),"")</f>
        <v>0</v>
      </c>
      <c r="L412">
        <f t="shared" si="12"/>
        <v>0</v>
      </c>
      <c r="M412" t="str">
        <f t="shared" si="13"/>
        <v/>
      </c>
    </row>
    <row r="413" spans="1:13">
      <c r="A413">
        <f>ROW()</f>
        <v>413</v>
      </c>
      <c r="B413">
        <f>IFERROR(INDEX(tblDeviceConfig[Device Type],ROW()-1),"")</f>
        <v>0</v>
      </c>
      <c r="C413">
        <f>IFERROR(INDEX(tblDeviceConfig[Deployed],ROW()-1),"")</f>
        <v>0</v>
      </c>
      <c r="D413">
        <f>IFERROR(INDEX(tblDeviceConfig[Installed],ROW()-1),"")</f>
        <v>0</v>
      </c>
      <c r="E413">
        <f>IFERROR(INDEX(tblDeviceConfig[Cybernet Hostname],ROW()-1),"")</f>
        <v>0</v>
      </c>
      <c r="F413">
        <f>IFERROR(INDEX(tblDeviceConfig[Neuron Hostname],ROW()-1),"")</f>
        <v>0</v>
      </c>
      <c r="G413">
        <f>IFERROR(INDEX(tblDeviceConfig[Software List],ROW()-1),"")</f>
        <v>0</v>
      </c>
      <c r="H413">
        <f>IFERROR(INDEX(tblDeviceConfig[PI_Use_Case],ROW()-1),"")</f>
        <v>0</v>
      </c>
      <c r="I413">
        <f>IFERROR(INDEX(tblDeviceConfig[PI_Result],ROW()-1),"")</f>
        <v>0</v>
      </c>
      <c r="J413">
        <f>IFERROR(INDEX(tblDeviceConfig[PI_Validated_By],ROW()-1),"")</f>
        <v>0</v>
      </c>
      <c r="K413">
        <f>IFERROR(INDEX(tblDeviceConfig[PI_Validated_Date],ROW()-1),"")</f>
        <v>0</v>
      </c>
      <c r="L413">
        <f t="shared" si="12"/>
        <v>0</v>
      </c>
      <c r="M413" t="str">
        <f t="shared" si="13"/>
        <v/>
      </c>
    </row>
    <row r="414" spans="1:13">
      <c r="A414">
        <f>ROW()</f>
        <v>414</v>
      </c>
      <c r="B414">
        <f>IFERROR(INDEX(tblDeviceConfig[Device Type],ROW()-1),"")</f>
        <v>0</v>
      </c>
      <c r="C414">
        <f>IFERROR(INDEX(tblDeviceConfig[Deployed],ROW()-1),"")</f>
        <v>0</v>
      </c>
      <c r="D414">
        <f>IFERROR(INDEX(tblDeviceConfig[Installed],ROW()-1),"")</f>
        <v>0</v>
      </c>
      <c r="E414">
        <f>IFERROR(INDEX(tblDeviceConfig[Cybernet Hostname],ROW()-1),"")</f>
        <v>0</v>
      </c>
      <c r="F414">
        <f>IFERROR(INDEX(tblDeviceConfig[Neuron Hostname],ROW()-1),"")</f>
        <v>0</v>
      </c>
      <c r="G414">
        <f>IFERROR(INDEX(tblDeviceConfig[Software List],ROW()-1),"")</f>
        <v>0</v>
      </c>
      <c r="H414">
        <f>IFERROR(INDEX(tblDeviceConfig[PI_Use_Case],ROW()-1),"")</f>
        <v>0</v>
      </c>
      <c r="I414">
        <f>IFERROR(INDEX(tblDeviceConfig[PI_Result],ROW()-1),"")</f>
        <v>0</v>
      </c>
      <c r="J414">
        <f>IFERROR(INDEX(tblDeviceConfig[PI_Validated_By],ROW()-1),"")</f>
        <v>0</v>
      </c>
      <c r="K414">
        <f>IFERROR(INDEX(tblDeviceConfig[PI_Validated_Date],ROW()-1),"")</f>
        <v>0</v>
      </c>
      <c r="L414">
        <f t="shared" si="12"/>
        <v>0</v>
      </c>
      <c r="M414" t="str">
        <f t="shared" si="13"/>
        <v/>
      </c>
    </row>
    <row r="415" spans="1:13">
      <c r="A415">
        <f>ROW()</f>
        <v>415</v>
      </c>
      <c r="B415">
        <f>IFERROR(INDEX(tblDeviceConfig[Device Type],ROW()-1),"")</f>
        <v>0</v>
      </c>
      <c r="C415">
        <f>IFERROR(INDEX(tblDeviceConfig[Deployed],ROW()-1),"")</f>
        <v>0</v>
      </c>
      <c r="D415">
        <f>IFERROR(INDEX(tblDeviceConfig[Installed],ROW()-1),"")</f>
        <v>0</v>
      </c>
      <c r="E415">
        <f>IFERROR(INDEX(tblDeviceConfig[Cybernet Hostname],ROW()-1),"")</f>
        <v>0</v>
      </c>
      <c r="F415">
        <f>IFERROR(INDEX(tblDeviceConfig[Neuron Hostname],ROW()-1),"")</f>
        <v>0</v>
      </c>
      <c r="G415">
        <f>IFERROR(INDEX(tblDeviceConfig[Software List],ROW()-1),"")</f>
        <v>0</v>
      </c>
      <c r="H415">
        <f>IFERROR(INDEX(tblDeviceConfig[PI_Use_Case],ROW()-1),"")</f>
        <v>0</v>
      </c>
      <c r="I415">
        <f>IFERROR(INDEX(tblDeviceConfig[PI_Result],ROW()-1),"")</f>
        <v>0</v>
      </c>
      <c r="J415">
        <f>IFERROR(INDEX(tblDeviceConfig[PI_Validated_By],ROW()-1),"")</f>
        <v>0</v>
      </c>
      <c r="K415">
        <f>IFERROR(INDEX(tblDeviceConfig[PI_Validated_Date],ROW()-1),"")</f>
        <v>0</v>
      </c>
      <c r="L415">
        <f t="shared" si="12"/>
        <v>0</v>
      </c>
      <c r="M415" t="str">
        <f t="shared" si="13"/>
        <v/>
      </c>
    </row>
    <row r="416" spans="1:13">
      <c r="A416">
        <f>ROW()</f>
        <v>416</v>
      </c>
      <c r="B416">
        <f>IFERROR(INDEX(tblDeviceConfig[Device Type],ROW()-1),"")</f>
        <v>0</v>
      </c>
      <c r="C416">
        <f>IFERROR(INDEX(tblDeviceConfig[Deployed],ROW()-1),"")</f>
        <v>0</v>
      </c>
      <c r="D416">
        <f>IFERROR(INDEX(tblDeviceConfig[Installed],ROW()-1),"")</f>
        <v>0</v>
      </c>
      <c r="E416">
        <f>IFERROR(INDEX(tblDeviceConfig[Cybernet Hostname],ROW()-1),"")</f>
        <v>0</v>
      </c>
      <c r="F416">
        <f>IFERROR(INDEX(tblDeviceConfig[Neuron Hostname],ROW()-1),"")</f>
        <v>0</v>
      </c>
      <c r="G416">
        <f>IFERROR(INDEX(tblDeviceConfig[Software List],ROW()-1),"")</f>
        <v>0</v>
      </c>
      <c r="H416">
        <f>IFERROR(INDEX(tblDeviceConfig[PI_Use_Case],ROW()-1),"")</f>
        <v>0</v>
      </c>
      <c r="I416">
        <f>IFERROR(INDEX(tblDeviceConfig[PI_Result],ROW()-1),"")</f>
        <v>0</v>
      </c>
      <c r="J416">
        <f>IFERROR(INDEX(tblDeviceConfig[PI_Validated_By],ROW()-1),"")</f>
        <v>0</v>
      </c>
      <c r="K416">
        <f>IFERROR(INDEX(tblDeviceConfig[PI_Validated_Date],ROW()-1),"")</f>
        <v>0</v>
      </c>
      <c r="L416">
        <f t="shared" si="12"/>
        <v>0</v>
      </c>
      <c r="M416" t="str">
        <f t="shared" si="13"/>
        <v/>
      </c>
    </row>
    <row r="417" spans="1:13">
      <c r="A417">
        <f>ROW()</f>
        <v>417</v>
      </c>
      <c r="B417">
        <f>IFERROR(INDEX(tblDeviceConfig[Device Type],ROW()-1),"")</f>
        <v>0</v>
      </c>
      <c r="C417">
        <f>IFERROR(INDEX(tblDeviceConfig[Deployed],ROW()-1),"")</f>
        <v>0</v>
      </c>
      <c r="D417">
        <f>IFERROR(INDEX(tblDeviceConfig[Installed],ROW()-1),"")</f>
        <v>0</v>
      </c>
      <c r="E417">
        <f>IFERROR(INDEX(tblDeviceConfig[Cybernet Hostname],ROW()-1),"")</f>
        <v>0</v>
      </c>
      <c r="F417">
        <f>IFERROR(INDEX(tblDeviceConfig[Neuron Hostname],ROW()-1),"")</f>
        <v>0</v>
      </c>
      <c r="G417">
        <f>IFERROR(INDEX(tblDeviceConfig[Software List],ROW()-1),"")</f>
        <v>0</v>
      </c>
      <c r="H417">
        <f>IFERROR(INDEX(tblDeviceConfig[PI_Use_Case],ROW()-1),"")</f>
        <v>0</v>
      </c>
      <c r="I417">
        <f>IFERROR(INDEX(tblDeviceConfig[PI_Result],ROW()-1),"")</f>
        <v>0</v>
      </c>
      <c r="J417">
        <f>IFERROR(INDEX(tblDeviceConfig[PI_Validated_By],ROW()-1),"")</f>
        <v>0</v>
      </c>
      <c r="K417">
        <f>IFERROR(INDEX(tblDeviceConfig[PI_Validated_Date],ROW()-1),"")</f>
        <v>0</v>
      </c>
      <c r="L417">
        <f t="shared" si="12"/>
        <v>0</v>
      </c>
      <c r="M417" t="str">
        <f t="shared" si="13"/>
        <v/>
      </c>
    </row>
    <row r="418" spans="1:13">
      <c r="A418">
        <f>ROW()</f>
        <v>418</v>
      </c>
      <c r="B418">
        <f>IFERROR(INDEX(tblDeviceConfig[Device Type],ROW()-1),"")</f>
        <v>0</v>
      </c>
      <c r="C418">
        <f>IFERROR(INDEX(tblDeviceConfig[Deployed],ROW()-1),"")</f>
        <v>0</v>
      </c>
      <c r="D418">
        <f>IFERROR(INDEX(tblDeviceConfig[Installed],ROW()-1),"")</f>
        <v>0</v>
      </c>
      <c r="E418">
        <f>IFERROR(INDEX(tblDeviceConfig[Cybernet Hostname],ROW()-1),"")</f>
        <v>0</v>
      </c>
      <c r="F418">
        <f>IFERROR(INDEX(tblDeviceConfig[Neuron Hostname],ROW()-1),"")</f>
        <v>0</v>
      </c>
      <c r="G418">
        <f>IFERROR(INDEX(tblDeviceConfig[Software List],ROW()-1),"")</f>
        <v>0</v>
      </c>
      <c r="H418">
        <f>IFERROR(INDEX(tblDeviceConfig[PI_Use_Case],ROW()-1),"")</f>
        <v>0</v>
      </c>
      <c r="I418">
        <f>IFERROR(INDEX(tblDeviceConfig[PI_Result],ROW()-1),"")</f>
        <v>0</v>
      </c>
      <c r="J418">
        <f>IFERROR(INDEX(tblDeviceConfig[PI_Validated_By],ROW()-1),"")</f>
        <v>0</v>
      </c>
      <c r="K418">
        <f>IFERROR(INDEX(tblDeviceConfig[PI_Validated_Date],ROW()-1),"")</f>
        <v>0</v>
      </c>
      <c r="L418">
        <f t="shared" si="12"/>
        <v>0</v>
      </c>
      <c r="M418" t="str">
        <f t="shared" si="13"/>
        <v/>
      </c>
    </row>
    <row r="419" spans="1:13">
      <c r="A419">
        <f>ROW()</f>
        <v>419</v>
      </c>
      <c r="B419">
        <f>IFERROR(INDEX(tblDeviceConfig[Device Type],ROW()-1),"")</f>
        <v>0</v>
      </c>
      <c r="C419">
        <f>IFERROR(INDEX(tblDeviceConfig[Deployed],ROW()-1),"")</f>
        <v>0</v>
      </c>
      <c r="D419">
        <f>IFERROR(INDEX(tblDeviceConfig[Installed],ROW()-1),"")</f>
        <v>0</v>
      </c>
      <c r="E419">
        <f>IFERROR(INDEX(tblDeviceConfig[Cybernet Hostname],ROW()-1),"")</f>
        <v>0</v>
      </c>
      <c r="F419">
        <f>IFERROR(INDEX(tblDeviceConfig[Neuron Hostname],ROW()-1),"")</f>
        <v>0</v>
      </c>
      <c r="G419">
        <f>IFERROR(INDEX(tblDeviceConfig[Software List],ROW()-1),"")</f>
        <v>0</v>
      </c>
      <c r="H419">
        <f>IFERROR(INDEX(tblDeviceConfig[PI_Use_Case],ROW()-1),"")</f>
        <v>0</v>
      </c>
      <c r="I419">
        <f>IFERROR(INDEX(tblDeviceConfig[PI_Result],ROW()-1),"")</f>
        <v>0</v>
      </c>
      <c r="J419">
        <f>IFERROR(INDEX(tblDeviceConfig[PI_Validated_By],ROW()-1),"")</f>
        <v>0</v>
      </c>
      <c r="K419">
        <f>IFERROR(INDEX(tblDeviceConfig[PI_Validated_Date],ROW()-1),"")</f>
        <v>0</v>
      </c>
      <c r="L419">
        <f t="shared" si="12"/>
        <v>0</v>
      </c>
      <c r="M419" t="str">
        <f t="shared" si="13"/>
        <v/>
      </c>
    </row>
    <row r="420" spans="1:13">
      <c r="A420">
        <f>ROW()</f>
        <v>420</v>
      </c>
      <c r="B420">
        <f>IFERROR(INDEX(tblDeviceConfig[Device Type],ROW()-1),"")</f>
        <v>0</v>
      </c>
      <c r="C420">
        <f>IFERROR(INDEX(tblDeviceConfig[Deployed],ROW()-1),"")</f>
        <v>0</v>
      </c>
      <c r="D420">
        <f>IFERROR(INDEX(tblDeviceConfig[Installed],ROW()-1),"")</f>
        <v>0</v>
      </c>
      <c r="E420">
        <f>IFERROR(INDEX(tblDeviceConfig[Cybernet Hostname],ROW()-1),"")</f>
        <v>0</v>
      </c>
      <c r="F420">
        <f>IFERROR(INDEX(tblDeviceConfig[Neuron Hostname],ROW()-1),"")</f>
        <v>0</v>
      </c>
      <c r="G420">
        <f>IFERROR(INDEX(tblDeviceConfig[Software List],ROW()-1),"")</f>
        <v>0</v>
      </c>
      <c r="H420">
        <f>IFERROR(INDEX(tblDeviceConfig[PI_Use_Case],ROW()-1),"")</f>
        <v>0</v>
      </c>
      <c r="I420">
        <f>IFERROR(INDEX(tblDeviceConfig[PI_Result],ROW()-1),"")</f>
        <v>0</v>
      </c>
      <c r="J420">
        <f>IFERROR(INDEX(tblDeviceConfig[PI_Validated_By],ROW()-1),"")</f>
        <v>0</v>
      </c>
      <c r="K420">
        <f>IFERROR(INDEX(tblDeviceConfig[PI_Validated_Date],ROW()-1),"")</f>
        <v>0</v>
      </c>
      <c r="L420">
        <f t="shared" si="12"/>
        <v>0</v>
      </c>
      <c r="M420" t="str">
        <f t="shared" si="13"/>
        <v/>
      </c>
    </row>
    <row r="421" spans="1:13">
      <c r="A421">
        <f>ROW()</f>
        <v>421</v>
      </c>
      <c r="B421">
        <f>IFERROR(INDEX(tblDeviceConfig[Device Type],ROW()-1),"")</f>
        <v>0</v>
      </c>
      <c r="C421">
        <f>IFERROR(INDEX(tblDeviceConfig[Deployed],ROW()-1),"")</f>
        <v>0</v>
      </c>
      <c r="D421">
        <f>IFERROR(INDEX(tblDeviceConfig[Installed],ROW()-1),"")</f>
        <v>0</v>
      </c>
      <c r="E421">
        <f>IFERROR(INDEX(tblDeviceConfig[Cybernet Hostname],ROW()-1),"")</f>
        <v>0</v>
      </c>
      <c r="F421">
        <f>IFERROR(INDEX(tblDeviceConfig[Neuron Hostname],ROW()-1),"")</f>
        <v>0</v>
      </c>
      <c r="G421">
        <f>IFERROR(INDEX(tblDeviceConfig[Software List],ROW()-1),"")</f>
        <v>0</v>
      </c>
      <c r="H421">
        <f>IFERROR(INDEX(tblDeviceConfig[PI_Use_Case],ROW()-1),"")</f>
        <v>0</v>
      </c>
      <c r="I421">
        <f>IFERROR(INDEX(tblDeviceConfig[PI_Result],ROW()-1),"")</f>
        <v>0</v>
      </c>
      <c r="J421">
        <f>IFERROR(INDEX(tblDeviceConfig[PI_Validated_By],ROW()-1),"")</f>
        <v>0</v>
      </c>
      <c r="K421">
        <f>IFERROR(INDEX(tblDeviceConfig[PI_Validated_Date],ROW()-1),"")</f>
        <v>0</v>
      </c>
      <c r="L421">
        <f t="shared" si="12"/>
        <v>0</v>
      </c>
      <c r="M421" t="str">
        <f t="shared" si="13"/>
        <v/>
      </c>
    </row>
    <row r="422" spans="1:13">
      <c r="A422">
        <f>ROW()</f>
        <v>422</v>
      </c>
      <c r="B422">
        <f>IFERROR(INDEX(tblDeviceConfig[Device Type],ROW()-1),"")</f>
        <v>0</v>
      </c>
      <c r="C422">
        <f>IFERROR(INDEX(tblDeviceConfig[Deployed],ROW()-1),"")</f>
        <v>0</v>
      </c>
      <c r="D422">
        <f>IFERROR(INDEX(tblDeviceConfig[Installed],ROW()-1),"")</f>
        <v>0</v>
      </c>
      <c r="E422">
        <f>IFERROR(INDEX(tblDeviceConfig[Cybernet Hostname],ROW()-1),"")</f>
        <v>0</v>
      </c>
      <c r="F422">
        <f>IFERROR(INDEX(tblDeviceConfig[Neuron Hostname],ROW()-1),"")</f>
        <v>0</v>
      </c>
      <c r="G422">
        <f>IFERROR(INDEX(tblDeviceConfig[Software List],ROW()-1),"")</f>
        <v>0</v>
      </c>
      <c r="H422">
        <f>IFERROR(INDEX(tblDeviceConfig[PI_Use_Case],ROW()-1),"")</f>
        <v>0</v>
      </c>
      <c r="I422">
        <f>IFERROR(INDEX(tblDeviceConfig[PI_Result],ROW()-1),"")</f>
        <v>0</v>
      </c>
      <c r="J422">
        <f>IFERROR(INDEX(tblDeviceConfig[PI_Validated_By],ROW()-1),"")</f>
        <v>0</v>
      </c>
      <c r="K422">
        <f>IFERROR(INDEX(tblDeviceConfig[PI_Validated_Date],ROW()-1),"")</f>
        <v>0</v>
      </c>
      <c r="L422">
        <f t="shared" si="12"/>
        <v>0</v>
      </c>
      <c r="M422" t="str">
        <f t="shared" si="13"/>
        <v/>
      </c>
    </row>
    <row r="423" spans="1:13">
      <c r="A423">
        <f>ROW()</f>
        <v>423</v>
      </c>
      <c r="B423">
        <f>IFERROR(INDEX(tblDeviceConfig[Device Type],ROW()-1),"")</f>
        <v>0</v>
      </c>
      <c r="C423">
        <f>IFERROR(INDEX(tblDeviceConfig[Deployed],ROW()-1),"")</f>
        <v>0</v>
      </c>
      <c r="D423">
        <f>IFERROR(INDEX(tblDeviceConfig[Installed],ROW()-1),"")</f>
        <v>0</v>
      </c>
      <c r="E423">
        <f>IFERROR(INDEX(tblDeviceConfig[Cybernet Hostname],ROW()-1),"")</f>
        <v>0</v>
      </c>
      <c r="F423">
        <f>IFERROR(INDEX(tblDeviceConfig[Neuron Hostname],ROW()-1),"")</f>
        <v>0</v>
      </c>
      <c r="G423">
        <f>IFERROR(INDEX(tblDeviceConfig[Software List],ROW()-1),"")</f>
        <v>0</v>
      </c>
      <c r="H423">
        <f>IFERROR(INDEX(tblDeviceConfig[PI_Use_Case],ROW()-1),"")</f>
        <v>0</v>
      </c>
      <c r="I423">
        <f>IFERROR(INDEX(tblDeviceConfig[PI_Result],ROW()-1),"")</f>
        <v>0</v>
      </c>
      <c r="J423">
        <f>IFERROR(INDEX(tblDeviceConfig[PI_Validated_By],ROW()-1),"")</f>
        <v>0</v>
      </c>
      <c r="K423">
        <f>IFERROR(INDEX(tblDeviceConfig[PI_Validated_Date],ROW()-1),"")</f>
        <v>0</v>
      </c>
      <c r="L423">
        <f t="shared" si="12"/>
        <v>0</v>
      </c>
      <c r="M423" t="str">
        <f t="shared" si="13"/>
        <v/>
      </c>
    </row>
    <row r="424" spans="1:13">
      <c r="A424">
        <f>ROW()</f>
        <v>424</v>
      </c>
      <c r="B424">
        <f>IFERROR(INDEX(tblDeviceConfig[Device Type],ROW()-1),"")</f>
        <v>0</v>
      </c>
      <c r="C424">
        <f>IFERROR(INDEX(tblDeviceConfig[Deployed],ROW()-1),"")</f>
        <v>0</v>
      </c>
      <c r="D424">
        <f>IFERROR(INDEX(tblDeviceConfig[Installed],ROW()-1),"")</f>
        <v>0</v>
      </c>
      <c r="E424">
        <f>IFERROR(INDEX(tblDeviceConfig[Cybernet Hostname],ROW()-1),"")</f>
        <v>0</v>
      </c>
      <c r="F424">
        <f>IFERROR(INDEX(tblDeviceConfig[Neuron Hostname],ROW()-1),"")</f>
        <v>0</v>
      </c>
      <c r="G424">
        <f>IFERROR(INDEX(tblDeviceConfig[Software List],ROW()-1),"")</f>
        <v>0</v>
      </c>
      <c r="H424">
        <f>IFERROR(INDEX(tblDeviceConfig[PI_Use_Case],ROW()-1),"")</f>
        <v>0</v>
      </c>
      <c r="I424">
        <f>IFERROR(INDEX(tblDeviceConfig[PI_Result],ROW()-1),"")</f>
        <v>0</v>
      </c>
      <c r="J424">
        <f>IFERROR(INDEX(tblDeviceConfig[PI_Validated_By],ROW()-1),"")</f>
        <v>0</v>
      </c>
      <c r="K424">
        <f>IFERROR(INDEX(tblDeviceConfig[PI_Validated_Date],ROW()-1),"")</f>
        <v>0</v>
      </c>
      <c r="L424">
        <f t="shared" si="12"/>
        <v>0</v>
      </c>
      <c r="M424" t="str">
        <f t="shared" si="13"/>
        <v/>
      </c>
    </row>
    <row r="425" spans="1:13">
      <c r="A425">
        <f>ROW()</f>
        <v>425</v>
      </c>
      <c r="B425">
        <f>IFERROR(INDEX(tblDeviceConfig[Device Type],ROW()-1),"")</f>
        <v>0</v>
      </c>
      <c r="C425">
        <f>IFERROR(INDEX(tblDeviceConfig[Deployed],ROW()-1),"")</f>
        <v>0</v>
      </c>
      <c r="D425">
        <f>IFERROR(INDEX(tblDeviceConfig[Installed],ROW()-1),"")</f>
        <v>0</v>
      </c>
      <c r="E425">
        <f>IFERROR(INDEX(tblDeviceConfig[Cybernet Hostname],ROW()-1),"")</f>
        <v>0</v>
      </c>
      <c r="F425">
        <f>IFERROR(INDEX(tblDeviceConfig[Neuron Hostname],ROW()-1),"")</f>
        <v>0</v>
      </c>
      <c r="G425">
        <f>IFERROR(INDEX(tblDeviceConfig[Software List],ROW()-1),"")</f>
        <v>0</v>
      </c>
      <c r="H425">
        <f>IFERROR(INDEX(tblDeviceConfig[PI_Use_Case],ROW()-1),"")</f>
        <v>0</v>
      </c>
      <c r="I425">
        <f>IFERROR(INDEX(tblDeviceConfig[PI_Result],ROW()-1),"")</f>
        <v>0</v>
      </c>
      <c r="J425">
        <f>IFERROR(INDEX(tblDeviceConfig[PI_Validated_By],ROW()-1),"")</f>
        <v>0</v>
      </c>
      <c r="K425">
        <f>IFERROR(INDEX(tblDeviceConfig[PI_Validated_Date],ROW()-1),"")</f>
        <v>0</v>
      </c>
      <c r="L425">
        <f t="shared" si="12"/>
        <v>0</v>
      </c>
      <c r="M425" t="str">
        <f t="shared" si="13"/>
        <v/>
      </c>
    </row>
    <row r="426" spans="1:13">
      <c r="A426">
        <f>ROW()</f>
        <v>426</v>
      </c>
      <c r="B426">
        <f>IFERROR(INDEX(tblDeviceConfig[Device Type],ROW()-1),"")</f>
        <v>0</v>
      </c>
      <c r="C426">
        <f>IFERROR(INDEX(tblDeviceConfig[Deployed],ROW()-1),"")</f>
        <v>0</v>
      </c>
      <c r="D426">
        <f>IFERROR(INDEX(tblDeviceConfig[Installed],ROW()-1),"")</f>
        <v>0</v>
      </c>
      <c r="E426">
        <f>IFERROR(INDEX(tblDeviceConfig[Cybernet Hostname],ROW()-1),"")</f>
        <v>0</v>
      </c>
      <c r="F426">
        <f>IFERROR(INDEX(tblDeviceConfig[Neuron Hostname],ROW()-1),"")</f>
        <v>0</v>
      </c>
      <c r="G426">
        <f>IFERROR(INDEX(tblDeviceConfig[Software List],ROW()-1),"")</f>
        <v>0</v>
      </c>
      <c r="H426">
        <f>IFERROR(INDEX(tblDeviceConfig[PI_Use_Case],ROW()-1),"")</f>
        <v>0</v>
      </c>
      <c r="I426">
        <f>IFERROR(INDEX(tblDeviceConfig[PI_Result],ROW()-1),"")</f>
        <v>0</v>
      </c>
      <c r="J426">
        <f>IFERROR(INDEX(tblDeviceConfig[PI_Validated_By],ROW()-1),"")</f>
        <v>0</v>
      </c>
      <c r="K426">
        <f>IFERROR(INDEX(tblDeviceConfig[PI_Validated_Date],ROW()-1),"")</f>
        <v>0</v>
      </c>
      <c r="L426">
        <f t="shared" si="12"/>
        <v>0</v>
      </c>
      <c r="M426" t="str">
        <f t="shared" si="13"/>
        <v/>
      </c>
    </row>
    <row r="427" spans="1:13">
      <c r="A427">
        <f>ROW()</f>
        <v>427</v>
      </c>
      <c r="B427">
        <f>IFERROR(INDEX(tblDeviceConfig[Device Type],ROW()-1),"")</f>
        <v>0</v>
      </c>
      <c r="C427">
        <f>IFERROR(INDEX(tblDeviceConfig[Deployed],ROW()-1),"")</f>
        <v>0</v>
      </c>
      <c r="D427">
        <f>IFERROR(INDEX(tblDeviceConfig[Installed],ROW()-1),"")</f>
        <v>0</v>
      </c>
      <c r="E427">
        <f>IFERROR(INDEX(tblDeviceConfig[Cybernet Hostname],ROW()-1),"")</f>
        <v>0</v>
      </c>
      <c r="F427">
        <f>IFERROR(INDEX(tblDeviceConfig[Neuron Hostname],ROW()-1),"")</f>
        <v>0</v>
      </c>
      <c r="G427">
        <f>IFERROR(INDEX(tblDeviceConfig[Software List],ROW()-1),"")</f>
        <v>0</v>
      </c>
      <c r="H427">
        <f>IFERROR(INDEX(tblDeviceConfig[PI_Use_Case],ROW()-1),"")</f>
        <v>0</v>
      </c>
      <c r="I427">
        <f>IFERROR(INDEX(tblDeviceConfig[PI_Result],ROW()-1),"")</f>
        <v>0</v>
      </c>
      <c r="J427">
        <f>IFERROR(INDEX(tblDeviceConfig[PI_Validated_By],ROW()-1),"")</f>
        <v>0</v>
      </c>
      <c r="K427">
        <f>IFERROR(INDEX(tblDeviceConfig[PI_Validated_Date],ROW()-1),"")</f>
        <v>0</v>
      </c>
      <c r="L427">
        <f t="shared" si="12"/>
        <v>0</v>
      </c>
      <c r="M427" t="str">
        <f t="shared" si="13"/>
        <v/>
      </c>
    </row>
    <row r="428" spans="1:13">
      <c r="A428">
        <f>ROW()</f>
        <v>428</v>
      </c>
      <c r="B428">
        <f>IFERROR(INDEX(tblDeviceConfig[Device Type],ROW()-1),"")</f>
        <v>0</v>
      </c>
      <c r="C428">
        <f>IFERROR(INDEX(tblDeviceConfig[Deployed],ROW()-1),"")</f>
        <v>0</v>
      </c>
      <c r="D428">
        <f>IFERROR(INDEX(tblDeviceConfig[Installed],ROW()-1),"")</f>
        <v>0</v>
      </c>
      <c r="E428">
        <f>IFERROR(INDEX(tblDeviceConfig[Cybernet Hostname],ROW()-1),"")</f>
        <v>0</v>
      </c>
      <c r="F428">
        <f>IFERROR(INDEX(tblDeviceConfig[Neuron Hostname],ROW()-1),"")</f>
        <v>0</v>
      </c>
      <c r="G428">
        <f>IFERROR(INDEX(tblDeviceConfig[Software List],ROW()-1),"")</f>
        <v>0</v>
      </c>
      <c r="H428">
        <f>IFERROR(INDEX(tblDeviceConfig[PI_Use_Case],ROW()-1),"")</f>
        <v>0</v>
      </c>
      <c r="I428">
        <f>IFERROR(INDEX(tblDeviceConfig[PI_Result],ROW()-1),"")</f>
        <v>0</v>
      </c>
      <c r="J428">
        <f>IFERROR(INDEX(tblDeviceConfig[PI_Validated_By],ROW()-1),"")</f>
        <v>0</v>
      </c>
      <c r="K428">
        <f>IFERROR(INDEX(tblDeviceConfig[PI_Validated_Date],ROW()-1),"")</f>
        <v>0</v>
      </c>
      <c r="L428">
        <f t="shared" si="12"/>
        <v>0</v>
      </c>
      <c r="M428" t="str">
        <f t="shared" si="13"/>
        <v/>
      </c>
    </row>
    <row r="429" spans="1:13">
      <c r="A429">
        <f>ROW()</f>
        <v>429</v>
      </c>
      <c r="B429">
        <f>IFERROR(INDEX(tblDeviceConfig[Device Type],ROW()-1),"")</f>
        <v>0</v>
      </c>
      <c r="C429">
        <f>IFERROR(INDEX(tblDeviceConfig[Deployed],ROW()-1),"")</f>
        <v>0</v>
      </c>
      <c r="D429">
        <f>IFERROR(INDEX(tblDeviceConfig[Installed],ROW()-1),"")</f>
        <v>0</v>
      </c>
      <c r="E429">
        <f>IFERROR(INDEX(tblDeviceConfig[Cybernet Hostname],ROW()-1),"")</f>
        <v>0</v>
      </c>
      <c r="F429">
        <f>IFERROR(INDEX(tblDeviceConfig[Neuron Hostname],ROW()-1),"")</f>
        <v>0</v>
      </c>
      <c r="G429">
        <f>IFERROR(INDEX(tblDeviceConfig[Software List],ROW()-1),"")</f>
        <v>0</v>
      </c>
      <c r="H429">
        <f>IFERROR(INDEX(tblDeviceConfig[PI_Use_Case],ROW()-1),"")</f>
        <v>0</v>
      </c>
      <c r="I429">
        <f>IFERROR(INDEX(tblDeviceConfig[PI_Result],ROW()-1),"")</f>
        <v>0</v>
      </c>
      <c r="J429">
        <f>IFERROR(INDEX(tblDeviceConfig[PI_Validated_By],ROW()-1),"")</f>
        <v>0</v>
      </c>
      <c r="K429">
        <f>IFERROR(INDEX(tblDeviceConfig[PI_Validated_Date],ROW()-1),"")</f>
        <v>0</v>
      </c>
      <c r="L429">
        <f t="shared" si="12"/>
        <v>0</v>
      </c>
      <c r="M429" t="str">
        <f t="shared" si="13"/>
        <v/>
      </c>
    </row>
    <row r="430" spans="1:13">
      <c r="A430">
        <f>ROW()</f>
        <v>430</v>
      </c>
      <c r="B430">
        <f>IFERROR(INDEX(tblDeviceConfig[Device Type],ROW()-1),"")</f>
        <v>0</v>
      </c>
      <c r="C430">
        <f>IFERROR(INDEX(tblDeviceConfig[Deployed],ROW()-1),"")</f>
        <v>0</v>
      </c>
      <c r="D430">
        <f>IFERROR(INDEX(tblDeviceConfig[Installed],ROW()-1),"")</f>
        <v>0</v>
      </c>
      <c r="E430">
        <f>IFERROR(INDEX(tblDeviceConfig[Cybernet Hostname],ROW()-1),"")</f>
        <v>0</v>
      </c>
      <c r="F430">
        <f>IFERROR(INDEX(tblDeviceConfig[Neuron Hostname],ROW()-1),"")</f>
        <v>0</v>
      </c>
      <c r="G430">
        <f>IFERROR(INDEX(tblDeviceConfig[Software List],ROW()-1),"")</f>
        <v>0</v>
      </c>
      <c r="H430">
        <f>IFERROR(INDEX(tblDeviceConfig[PI_Use_Case],ROW()-1),"")</f>
        <v>0</v>
      </c>
      <c r="I430">
        <f>IFERROR(INDEX(tblDeviceConfig[PI_Result],ROW()-1),"")</f>
        <v>0</v>
      </c>
      <c r="J430">
        <f>IFERROR(INDEX(tblDeviceConfig[PI_Validated_By],ROW()-1),"")</f>
        <v>0</v>
      </c>
      <c r="K430">
        <f>IFERROR(INDEX(tblDeviceConfig[PI_Validated_Date],ROW()-1),"")</f>
        <v>0</v>
      </c>
      <c r="L430">
        <f t="shared" si="12"/>
        <v>0</v>
      </c>
      <c r="M430" t="str">
        <f t="shared" si="13"/>
        <v/>
      </c>
    </row>
    <row r="431" spans="1:13">
      <c r="A431">
        <f>ROW()</f>
        <v>431</v>
      </c>
      <c r="B431">
        <f>IFERROR(INDEX(tblDeviceConfig[Device Type],ROW()-1),"")</f>
        <v>0</v>
      </c>
      <c r="C431">
        <f>IFERROR(INDEX(tblDeviceConfig[Deployed],ROW()-1),"")</f>
        <v>0</v>
      </c>
      <c r="D431">
        <f>IFERROR(INDEX(tblDeviceConfig[Installed],ROW()-1),"")</f>
        <v>0</v>
      </c>
      <c r="E431">
        <f>IFERROR(INDEX(tblDeviceConfig[Cybernet Hostname],ROW()-1),"")</f>
        <v>0</v>
      </c>
      <c r="F431">
        <f>IFERROR(INDEX(tblDeviceConfig[Neuron Hostname],ROW()-1),"")</f>
        <v>0</v>
      </c>
      <c r="G431">
        <f>IFERROR(INDEX(tblDeviceConfig[Software List],ROW()-1),"")</f>
        <v>0</v>
      </c>
      <c r="H431">
        <f>IFERROR(INDEX(tblDeviceConfig[PI_Use_Case],ROW()-1),"")</f>
        <v>0</v>
      </c>
      <c r="I431">
        <f>IFERROR(INDEX(tblDeviceConfig[PI_Result],ROW()-1),"")</f>
        <v>0</v>
      </c>
      <c r="J431">
        <f>IFERROR(INDEX(tblDeviceConfig[PI_Validated_By],ROW()-1),"")</f>
        <v>0</v>
      </c>
      <c r="K431">
        <f>IFERROR(INDEX(tblDeviceConfig[PI_Validated_Date],ROW()-1),"")</f>
        <v>0</v>
      </c>
      <c r="L431">
        <f t="shared" si="12"/>
        <v>0</v>
      </c>
      <c r="M431" t="str">
        <f t="shared" si="13"/>
        <v/>
      </c>
    </row>
    <row r="432" spans="1:13">
      <c r="A432">
        <f>ROW()</f>
        <v>432</v>
      </c>
      <c r="B432">
        <f>IFERROR(INDEX(tblDeviceConfig[Device Type],ROW()-1),"")</f>
        <v>0</v>
      </c>
      <c r="C432">
        <f>IFERROR(INDEX(tblDeviceConfig[Deployed],ROW()-1),"")</f>
        <v>0</v>
      </c>
      <c r="D432">
        <f>IFERROR(INDEX(tblDeviceConfig[Installed],ROW()-1),"")</f>
        <v>0</v>
      </c>
      <c r="E432">
        <f>IFERROR(INDEX(tblDeviceConfig[Cybernet Hostname],ROW()-1),"")</f>
        <v>0</v>
      </c>
      <c r="F432">
        <f>IFERROR(INDEX(tblDeviceConfig[Neuron Hostname],ROW()-1),"")</f>
        <v>0</v>
      </c>
      <c r="G432">
        <f>IFERROR(INDEX(tblDeviceConfig[Software List],ROW()-1),"")</f>
        <v>0</v>
      </c>
      <c r="H432">
        <f>IFERROR(INDEX(tblDeviceConfig[PI_Use_Case],ROW()-1),"")</f>
        <v>0</v>
      </c>
      <c r="I432">
        <f>IFERROR(INDEX(tblDeviceConfig[PI_Result],ROW()-1),"")</f>
        <v>0</v>
      </c>
      <c r="J432">
        <f>IFERROR(INDEX(tblDeviceConfig[PI_Validated_By],ROW()-1),"")</f>
        <v>0</v>
      </c>
      <c r="K432">
        <f>IFERROR(INDEX(tblDeviceConfig[PI_Validated_Date],ROW()-1),"")</f>
        <v>0</v>
      </c>
      <c r="L432">
        <f t="shared" si="12"/>
        <v>0</v>
      </c>
      <c r="M432" t="str">
        <f t="shared" si="13"/>
        <v/>
      </c>
    </row>
    <row r="433" spans="1:13">
      <c r="A433">
        <f>ROW()</f>
        <v>433</v>
      </c>
      <c r="B433">
        <f>IFERROR(INDEX(tblDeviceConfig[Device Type],ROW()-1),"")</f>
        <v>0</v>
      </c>
      <c r="C433">
        <f>IFERROR(INDEX(tblDeviceConfig[Deployed],ROW()-1),"")</f>
        <v>0</v>
      </c>
      <c r="D433">
        <f>IFERROR(INDEX(tblDeviceConfig[Installed],ROW()-1),"")</f>
        <v>0</v>
      </c>
      <c r="E433">
        <f>IFERROR(INDEX(tblDeviceConfig[Cybernet Hostname],ROW()-1),"")</f>
        <v>0</v>
      </c>
      <c r="F433">
        <f>IFERROR(INDEX(tblDeviceConfig[Neuron Hostname],ROW()-1),"")</f>
        <v>0</v>
      </c>
      <c r="G433">
        <f>IFERROR(INDEX(tblDeviceConfig[Software List],ROW()-1),"")</f>
        <v>0</v>
      </c>
      <c r="H433">
        <f>IFERROR(INDEX(tblDeviceConfig[PI_Use_Case],ROW()-1),"")</f>
        <v>0</v>
      </c>
      <c r="I433">
        <f>IFERROR(INDEX(tblDeviceConfig[PI_Result],ROW()-1),"")</f>
        <v>0</v>
      </c>
      <c r="J433">
        <f>IFERROR(INDEX(tblDeviceConfig[PI_Validated_By],ROW()-1),"")</f>
        <v>0</v>
      </c>
      <c r="K433">
        <f>IFERROR(INDEX(tblDeviceConfig[PI_Validated_Date],ROW()-1),"")</f>
        <v>0</v>
      </c>
      <c r="L433">
        <f t="shared" si="12"/>
        <v>0</v>
      </c>
      <c r="M433" t="str">
        <f t="shared" si="13"/>
        <v/>
      </c>
    </row>
    <row r="434" spans="1:13">
      <c r="A434">
        <f>ROW()</f>
        <v>434</v>
      </c>
      <c r="B434">
        <f>IFERROR(INDEX(tblDeviceConfig[Device Type],ROW()-1),"")</f>
        <v>0</v>
      </c>
      <c r="C434">
        <f>IFERROR(INDEX(tblDeviceConfig[Deployed],ROW()-1),"")</f>
        <v>0</v>
      </c>
      <c r="D434">
        <f>IFERROR(INDEX(tblDeviceConfig[Installed],ROW()-1),"")</f>
        <v>0</v>
      </c>
      <c r="E434">
        <f>IFERROR(INDEX(tblDeviceConfig[Cybernet Hostname],ROW()-1),"")</f>
        <v>0</v>
      </c>
      <c r="F434">
        <f>IFERROR(INDEX(tblDeviceConfig[Neuron Hostname],ROW()-1),"")</f>
        <v>0</v>
      </c>
      <c r="G434">
        <f>IFERROR(INDEX(tblDeviceConfig[Software List],ROW()-1),"")</f>
        <v>0</v>
      </c>
      <c r="H434">
        <f>IFERROR(INDEX(tblDeviceConfig[PI_Use_Case],ROW()-1),"")</f>
        <v>0</v>
      </c>
      <c r="I434">
        <f>IFERROR(INDEX(tblDeviceConfig[PI_Result],ROW()-1),"")</f>
        <v>0</v>
      </c>
      <c r="J434">
        <f>IFERROR(INDEX(tblDeviceConfig[PI_Validated_By],ROW()-1),"")</f>
        <v>0</v>
      </c>
      <c r="K434">
        <f>IFERROR(INDEX(tblDeviceConfig[PI_Validated_Date],ROW()-1),"")</f>
        <v>0</v>
      </c>
      <c r="L434">
        <f t="shared" si="12"/>
        <v>0</v>
      </c>
      <c r="M434" t="str">
        <f t="shared" si="13"/>
        <v/>
      </c>
    </row>
    <row r="435" spans="1:13">
      <c r="A435">
        <f>ROW()</f>
        <v>435</v>
      </c>
      <c r="B435">
        <f>IFERROR(INDEX(tblDeviceConfig[Device Type],ROW()-1),"")</f>
        <v>0</v>
      </c>
      <c r="C435">
        <f>IFERROR(INDEX(tblDeviceConfig[Deployed],ROW()-1),"")</f>
        <v>0</v>
      </c>
      <c r="D435">
        <f>IFERROR(INDEX(tblDeviceConfig[Installed],ROW()-1),"")</f>
        <v>0</v>
      </c>
      <c r="E435">
        <f>IFERROR(INDEX(tblDeviceConfig[Cybernet Hostname],ROW()-1),"")</f>
        <v>0</v>
      </c>
      <c r="F435">
        <f>IFERROR(INDEX(tblDeviceConfig[Neuron Hostname],ROW()-1),"")</f>
        <v>0</v>
      </c>
      <c r="G435">
        <f>IFERROR(INDEX(tblDeviceConfig[Software List],ROW()-1),"")</f>
        <v>0</v>
      </c>
      <c r="H435">
        <f>IFERROR(INDEX(tblDeviceConfig[PI_Use_Case],ROW()-1),"")</f>
        <v>0</v>
      </c>
      <c r="I435">
        <f>IFERROR(INDEX(tblDeviceConfig[PI_Result],ROW()-1),"")</f>
        <v>0</v>
      </c>
      <c r="J435">
        <f>IFERROR(INDEX(tblDeviceConfig[PI_Validated_By],ROW()-1),"")</f>
        <v>0</v>
      </c>
      <c r="K435">
        <f>IFERROR(INDEX(tblDeviceConfig[PI_Validated_Date],ROW()-1),"")</f>
        <v>0</v>
      </c>
      <c r="L435">
        <f t="shared" si="12"/>
        <v>0</v>
      </c>
      <c r="M435" t="str">
        <f t="shared" si="13"/>
        <v/>
      </c>
    </row>
    <row r="436" spans="1:13">
      <c r="A436">
        <f>ROW()</f>
        <v>436</v>
      </c>
      <c r="B436">
        <f>IFERROR(INDEX(tblDeviceConfig[Device Type],ROW()-1),"")</f>
        <v>0</v>
      </c>
      <c r="C436">
        <f>IFERROR(INDEX(tblDeviceConfig[Deployed],ROW()-1),"")</f>
        <v>0</v>
      </c>
      <c r="D436">
        <f>IFERROR(INDEX(tblDeviceConfig[Installed],ROW()-1),"")</f>
        <v>0</v>
      </c>
      <c r="E436">
        <f>IFERROR(INDEX(tblDeviceConfig[Cybernet Hostname],ROW()-1),"")</f>
        <v>0</v>
      </c>
      <c r="F436">
        <f>IFERROR(INDEX(tblDeviceConfig[Neuron Hostname],ROW()-1),"")</f>
        <v>0</v>
      </c>
      <c r="G436">
        <f>IFERROR(INDEX(tblDeviceConfig[Software List],ROW()-1),"")</f>
        <v>0</v>
      </c>
      <c r="H436">
        <f>IFERROR(INDEX(tblDeviceConfig[PI_Use_Case],ROW()-1),"")</f>
        <v>0</v>
      </c>
      <c r="I436">
        <f>IFERROR(INDEX(tblDeviceConfig[PI_Result],ROW()-1),"")</f>
        <v>0</v>
      </c>
      <c r="J436">
        <f>IFERROR(INDEX(tblDeviceConfig[PI_Validated_By],ROW()-1),"")</f>
        <v>0</v>
      </c>
      <c r="K436">
        <f>IFERROR(INDEX(tblDeviceConfig[PI_Validated_Date],ROW()-1),"")</f>
        <v>0</v>
      </c>
      <c r="L436">
        <f t="shared" si="12"/>
        <v>0</v>
      </c>
      <c r="M436" t="str">
        <f t="shared" si="13"/>
        <v/>
      </c>
    </row>
    <row r="437" spans="1:13">
      <c r="A437">
        <f>ROW()</f>
        <v>437</v>
      </c>
      <c r="B437">
        <f>IFERROR(INDEX(tblDeviceConfig[Device Type],ROW()-1),"")</f>
        <v>0</v>
      </c>
      <c r="C437">
        <f>IFERROR(INDEX(tblDeviceConfig[Deployed],ROW()-1),"")</f>
        <v>0</v>
      </c>
      <c r="D437">
        <f>IFERROR(INDEX(tblDeviceConfig[Installed],ROW()-1),"")</f>
        <v>0</v>
      </c>
      <c r="E437">
        <f>IFERROR(INDEX(tblDeviceConfig[Cybernet Hostname],ROW()-1),"")</f>
        <v>0</v>
      </c>
      <c r="F437">
        <f>IFERROR(INDEX(tblDeviceConfig[Neuron Hostname],ROW()-1),"")</f>
        <v>0</v>
      </c>
      <c r="G437">
        <f>IFERROR(INDEX(tblDeviceConfig[Software List],ROW()-1),"")</f>
        <v>0</v>
      </c>
      <c r="H437">
        <f>IFERROR(INDEX(tblDeviceConfig[PI_Use_Case],ROW()-1),"")</f>
        <v>0</v>
      </c>
      <c r="I437">
        <f>IFERROR(INDEX(tblDeviceConfig[PI_Result],ROW()-1),"")</f>
        <v>0</v>
      </c>
      <c r="J437">
        <f>IFERROR(INDEX(tblDeviceConfig[PI_Validated_By],ROW()-1),"")</f>
        <v>0</v>
      </c>
      <c r="K437">
        <f>IFERROR(INDEX(tblDeviceConfig[PI_Validated_Date],ROW()-1),"")</f>
        <v>0</v>
      </c>
      <c r="L437">
        <f t="shared" si="12"/>
        <v>0</v>
      </c>
      <c r="M437" t="str">
        <f t="shared" si="13"/>
        <v/>
      </c>
    </row>
    <row r="438" spans="1:13">
      <c r="A438">
        <f>ROW()</f>
        <v>438</v>
      </c>
      <c r="B438">
        <f>IFERROR(INDEX(tblDeviceConfig[Device Type],ROW()-1),"")</f>
        <v>0</v>
      </c>
      <c r="C438">
        <f>IFERROR(INDEX(tblDeviceConfig[Deployed],ROW()-1),"")</f>
        <v>0</v>
      </c>
      <c r="D438">
        <f>IFERROR(INDEX(tblDeviceConfig[Installed],ROW()-1),"")</f>
        <v>0</v>
      </c>
      <c r="E438">
        <f>IFERROR(INDEX(tblDeviceConfig[Cybernet Hostname],ROW()-1),"")</f>
        <v>0</v>
      </c>
      <c r="F438">
        <f>IFERROR(INDEX(tblDeviceConfig[Neuron Hostname],ROW()-1),"")</f>
        <v>0</v>
      </c>
      <c r="G438">
        <f>IFERROR(INDEX(tblDeviceConfig[Software List],ROW()-1),"")</f>
        <v>0</v>
      </c>
      <c r="H438">
        <f>IFERROR(INDEX(tblDeviceConfig[PI_Use_Case],ROW()-1),"")</f>
        <v>0</v>
      </c>
      <c r="I438">
        <f>IFERROR(INDEX(tblDeviceConfig[PI_Result],ROW()-1),"")</f>
        <v>0</v>
      </c>
      <c r="J438">
        <f>IFERROR(INDEX(tblDeviceConfig[PI_Validated_By],ROW()-1),"")</f>
        <v>0</v>
      </c>
      <c r="K438">
        <f>IFERROR(INDEX(tblDeviceConfig[PI_Validated_Date],ROW()-1),"")</f>
        <v>0</v>
      </c>
      <c r="L438">
        <f t="shared" si="12"/>
        <v>0</v>
      </c>
      <c r="M438" t="str">
        <f t="shared" si="13"/>
        <v/>
      </c>
    </row>
    <row r="439" spans="1:13">
      <c r="A439">
        <f>ROW()</f>
        <v>439</v>
      </c>
      <c r="B439">
        <f>IFERROR(INDEX(tblDeviceConfig[Device Type],ROW()-1),"")</f>
        <v>0</v>
      </c>
      <c r="C439">
        <f>IFERROR(INDEX(tblDeviceConfig[Deployed],ROW()-1),"")</f>
        <v>0</v>
      </c>
      <c r="D439">
        <f>IFERROR(INDEX(tblDeviceConfig[Installed],ROW()-1),"")</f>
        <v>0</v>
      </c>
      <c r="E439">
        <f>IFERROR(INDEX(tblDeviceConfig[Cybernet Hostname],ROW()-1),"")</f>
        <v>0</v>
      </c>
      <c r="F439">
        <f>IFERROR(INDEX(tblDeviceConfig[Neuron Hostname],ROW()-1),"")</f>
        <v>0</v>
      </c>
      <c r="G439">
        <f>IFERROR(INDEX(tblDeviceConfig[Software List],ROW()-1),"")</f>
        <v>0</v>
      </c>
      <c r="H439">
        <f>IFERROR(INDEX(tblDeviceConfig[PI_Use_Case],ROW()-1),"")</f>
        <v>0</v>
      </c>
      <c r="I439">
        <f>IFERROR(INDEX(tblDeviceConfig[PI_Result],ROW()-1),"")</f>
        <v>0</v>
      </c>
      <c r="J439">
        <f>IFERROR(INDEX(tblDeviceConfig[PI_Validated_By],ROW()-1),"")</f>
        <v>0</v>
      </c>
      <c r="K439">
        <f>IFERROR(INDEX(tblDeviceConfig[PI_Validated_Date],ROW()-1),"")</f>
        <v>0</v>
      </c>
      <c r="L439">
        <f t="shared" si="12"/>
        <v>0</v>
      </c>
      <c r="M439" t="str">
        <f t="shared" si="13"/>
        <v/>
      </c>
    </row>
    <row r="440" spans="1:13">
      <c r="A440">
        <f>ROW()</f>
        <v>440</v>
      </c>
      <c r="B440">
        <f>IFERROR(INDEX(tblDeviceConfig[Device Type],ROW()-1),"")</f>
        <v>0</v>
      </c>
      <c r="C440">
        <f>IFERROR(INDEX(tblDeviceConfig[Deployed],ROW()-1),"")</f>
        <v>0</v>
      </c>
      <c r="D440">
        <f>IFERROR(INDEX(tblDeviceConfig[Installed],ROW()-1),"")</f>
        <v>0</v>
      </c>
      <c r="E440">
        <f>IFERROR(INDEX(tblDeviceConfig[Cybernet Hostname],ROW()-1),"")</f>
        <v>0</v>
      </c>
      <c r="F440">
        <f>IFERROR(INDEX(tblDeviceConfig[Neuron Hostname],ROW()-1),"")</f>
        <v>0</v>
      </c>
      <c r="G440">
        <f>IFERROR(INDEX(tblDeviceConfig[Software List],ROW()-1),"")</f>
        <v>0</v>
      </c>
      <c r="H440">
        <f>IFERROR(INDEX(tblDeviceConfig[PI_Use_Case],ROW()-1),"")</f>
        <v>0</v>
      </c>
      <c r="I440">
        <f>IFERROR(INDEX(tblDeviceConfig[PI_Result],ROW()-1),"")</f>
        <v>0</v>
      </c>
      <c r="J440">
        <f>IFERROR(INDEX(tblDeviceConfig[PI_Validated_By],ROW()-1),"")</f>
        <v>0</v>
      </c>
      <c r="K440">
        <f>IFERROR(INDEX(tblDeviceConfig[PI_Validated_Date],ROW()-1),"")</f>
        <v>0</v>
      </c>
      <c r="L440">
        <f t="shared" si="12"/>
        <v>0</v>
      </c>
      <c r="M440" t="str">
        <f t="shared" si="13"/>
        <v/>
      </c>
    </row>
    <row r="441" spans="1:13">
      <c r="A441">
        <f>ROW()</f>
        <v>441</v>
      </c>
      <c r="B441">
        <f>IFERROR(INDEX(tblDeviceConfig[Device Type],ROW()-1),"")</f>
        <v>0</v>
      </c>
      <c r="C441">
        <f>IFERROR(INDEX(tblDeviceConfig[Deployed],ROW()-1),"")</f>
        <v>0</v>
      </c>
      <c r="D441">
        <f>IFERROR(INDEX(tblDeviceConfig[Installed],ROW()-1),"")</f>
        <v>0</v>
      </c>
      <c r="E441">
        <f>IFERROR(INDEX(tblDeviceConfig[Cybernet Hostname],ROW()-1),"")</f>
        <v>0</v>
      </c>
      <c r="F441">
        <f>IFERROR(INDEX(tblDeviceConfig[Neuron Hostname],ROW()-1),"")</f>
        <v>0</v>
      </c>
      <c r="G441">
        <f>IFERROR(INDEX(tblDeviceConfig[Software List],ROW()-1),"")</f>
        <v>0</v>
      </c>
      <c r="H441">
        <f>IFERROR(INDEX(tblDeviceConfig[PI_Use_Case],ROW()-1),"")</f>
        <v>0</v>
      </c>
      <c r="I441">
        <f>IFERROR(INDEX(tblDeviceConfig[PI_Result],ROW()-1),"")</f>
        <v>0</v>
      </c>
      <c r="J441">
        <f>IFERROR(INDEX(tblDeviceConfig[PI_Validated_By],ROW()-1),"")</f>
        <v>0</v>
      </c>
      <c r="K441">
        <f>IFERROR(INDEX(tblDeviceConfig[PI_Validated_Date],ROW()-1),"")</f>
        <v>0</v>
      </c>
      <c r="L441">
        <f t="shared" si="12"/>
        <v>0</v>
      </c>
      <c r="M441" t="str">
        <f t="shared" si="13"/>
        <v/>
      </c>
    </row>
    <row r="442" spans="1:13">
      <c r="A442">
        <f>ROW()</f>
        <v>442</v>
      </c>
      <c r="B442">
        <f>IFERROR(INDEX(tblDeviceConfig[Device Type],ROW()-1),"")</f>
        <v>0</v>
      </c>
      <c r="C442">
        <f>IFERROR(INDEX(tblDeviceConfig[Deployed],ROW()-1),"")</f>
        <v>0</v>
      </c>
      <c r="D442">
        <f>IFERROR(INDEX(tblDeviceConfig[Installed],ROW()-1),"")</f>
        <v>0</v>
      </c>
      <c r="E442">
        <f>IFERROR(INDEX(tblDeviceConfig[Cybernet Hostname],ROW()-1),"")</f>
        <v>0</v>
      </c>
      <c r="F442">
        <f>IFERROR(INDEX(tblDeviceConfig[Neuron Hostname],ROW()-1),"")</f>
        <v>0</v>
      </c>
      <c r="G442">
        <f>IFERROR(INDEX(tblDeviceConfig[Software List],ROW()-1),"")</f>
        <v>0</v>
      </c>
      <c r="H442">
        <f>IFERROR(INDEX(tblDeviceConfig[PI_Use_Case],ROW()-1),"")</f>
        <v>0</v>
      </c>
      <c r="I442">
        <f>IFERROR(INDEX(tblDeviceConfig[PI_Result],ROW()-1),"")</f>
        <v>0</v>
      </c>
      <c r="J442">
        <f>IFERROR(INDEX(tblDeviceConfig[PI_Validated_By],ROW()-1),"")</f>
        <v>0</v>
      </c>
      <c r="K442">
        <f>IFERROR(INDEX(tblDeviceConfig[PI_Validated_Date],ROW()-1),"")</f>
        <v>0</v>
      </c>
      <c r="L442">
        <f t="shared" si="12"/>
        <v>0</v>
      </c>
      <c r="M442" t="str">
        <f t="shared" si="13"/>
        <v/>
      </c>
    </row>
    <row r="443" spans="1:13">
      <c r="A443">
        <f>ROW()</f>
        <v>443</v>
      </c>
      <c r="B443">
        <f>IFERROR(INDEX(tblDeviceConfig[Device Type],ROW()-1),"")</f>
        <v>0</v>
      </c>
      <c r="C443">
        <f>IFERROR(INDEX(tblDeviceConfig[Deployed],ROW()-1),"")</f>
        <v>0</v>
      </c>
      <c r="D443">
        <f>IFERROR(INDEX(tblDeviceConfig[Installed],ROW()-1),"")</f>
        <v>0</v>
      </c>
      <c r="E443">
        <f>IFERROR(INDEX(tblDeviceConfig[Cybernet Hostname],ROW()-1),"")</f>
        <v>0</v>
      </c>
      <c r="F443">
        <f>IFERROR(INDEX(tblDeviceConfig[Neuron Hostname],ROW()-1),"")</f>
        <v>0</v>
      </c>
      <c r="G443">
        <f>IFERROR(INDEX(tblDeviceConfig[Software List],ROW()-1),"")</f>
        <v>0</v>
      </c>
      <c r="H443">
        <f>IFERROR(INDEX(tblDeviceConfig[PI_Use_Case],ROW()-1),"")</f>
        <v>0</v>
      </c>
      <c r="I443">
        <f>IFERROR(INDEX(tblDeviceConfig[PI_Result],ROW()-1),"")</f>
        <v>0</v>
      </c>
      <c r="J443">
        <f>IFERROR(INDEX(tblDeviceConfig[PI_Validated_By],ROW()-1),"")</f>
        <v>0</v>
      </c>
      <c r="K443">
        <f>IFERROR(INDEX(tblDeviceConfig[PI_Validated_Date],ROW()-1),"")</f>
        <v>0</v>
      </c>
      <c r="L443">
        <f t="shared" si="12"/>
        <v>0</v>
      </c>
      <c r="M443" t="str">
        <f t="shared" si="13"/>
        <v/>
      </c>
    </row>
    <row r="444" spans="1:13">
      <c r="A444">
        <f>ROW()</f>
        <v>444</v>
      </c>
      <c r="B444">
        <f>IFERROR(INDEX(tblDeviceConfig[Device Type],ROW()-1),"")</f>
        <v>0</v>
      </c>
      <c r="C444">
        <f>IFERROR(INDEX(tblDeviceConfig[Deployed],ROW()-1),"")</f>
        <v>0</v>
      </c>
      <c r="D444">
        <f>IFERROR(INDEX(tblDeviceConfig[Installed],ROW()-1),"")</f>
        <v>0</v>
      </c>
      <c r="E444">
        <f>IFERROR(INDEX(tblDeviceConfig[Cybernet Hostname],ROW()-1),"")</f>
        <v>0</v>
      </c>
      <c r="F444">
        <f>IFERROR(INDEX(tblDeviceConfig[Neuron Hostname],ROW()-1),"")</f>
        <v>0</v>
      </c>
      <c r="G444">
        <f>IFERROR(INDEX(tblDeviceConfig[Software List],ROW()-1),"")</f>
        <v>0</v>
      </c>
      <c r="H444">
        <f>IFERROR(INDEX(tblDeviceConfig[PI_Use_Case],ROW()-1),"")</f>
        <v>0</v>
      </c>
      <c r="I444">
        <f>IFERROR(INDEX(tblDeviceConfig[PI_Result],ROW()-1),"")</f>
        <v>0</v>
      </c>
      <c r="J444">
        <f>IFERROR(INDEX(tblDeviceConfig[PI_Validated_By],ROW()-1),"")</f>
        <v>0</v>
      </c>
      <c r="K444">
        <f>IFERROR(INDEX(tblDeviceConfig[PI_Validated_Date],ROW()-1),"")</f>
        <v>0</v>
      </c>
      <c r="L444">
        <f t="shared" si="12"/>
        <v>0</v>
      </c>
      <c r="M444" t="str">
        <f t="shared" si="13"/>
        <v/>
      </c>
    </row>
    <row r="445" spans="1:13">
      <c r="A445">
        <f>ROW()</f>
        <v>445</v>
      </c>
      <c r="B445">
        <f>IFERROR(INDEX(tblDeviceConfig[Device Type],ROW()-1),"")</f>
        <v>0</v>
      </c>
      <c r="C445">
        <f>IFERROR(INDEX(tblDeviceConfig[Deployed],ROW()-1),"")</f>
        <v>0</v>
      </c>
      <c r="D445">
        <f>IFERROR(INDEX(tblDeviceConfig[Installed],ROW()-1),"")</f>
        <v>0</v>
      </c>
      <c r="E445">
        <f>IFERROR(INDEX(tblDeviceConfig[Cybernet Hostname],ROW()-1),"")</f>
        <v>0</v>
      </c>
      <c r="F445">
        <f>IFERROR(INDEX(tblDeviceConfig[Neuron Hostname],ROW()-1),"")</f>
        <v>0</v>
      </c>
      <c r="G445">
        <f>IFERROR(INDEX(tblDeviceConfig[Software List],ROW()-1),"")</f>
        <v>0</v>
      </c>
      <c r="H445">
        <f>IFERROR(INDEX(tblDeviceConfig[PI_Use_Case],ROW()-1),"")</f>
        <v>0</v>
      </c>
      <c r="I445">
        <f>IFERROR(INDEX(tblDeviceConfig[PI_Result],ROW()-1),"")</f>
        <v>0</v>
      </c>
      <c r="J445">
        <f>IFERROR(INDEX(tblDeviceConfig[PI_Validated_By],ROW()-1),"")</f>
        <v>0</v>
      </c>
      <c r="K445">
        <f>IFERROR(INDEX(tblDeviceConfig[PI_Validated_Date],ROW()-1),"")</f>
        <v>0</v>
      </c>
      <c r="L445">
        <f t="shared" si="12"/>
        <v>0</v>
      </c>
      <c r="M445" t="str">
        <f t="shared" si="13"/>
        <v/>
      </c>
    </row>
    <row r="446" spans="1:13">
      <c r="A446">
        <f>ROW()</f>
        <v>446</v>
      </c>
      <c r="B446">
        <f>IFERROR(INDEX(tblDeviceConfig[Device Type],ROW()-1),"")</f>
        <v>0</v>
      </c>
      <c r="C446">
        <f>IFERROR(INDEX(tblDeviceConfig[Deployed],ROW()-1),"")</f>
        <v>0</v>
      </c>
      <c r="D446">
        <f>IFERROR(INDEX(tblDeviceConfig[Installed],ROW()-1),"")</f>
        <v>0</v>
      </c>
      <c r="E446">
        <f>IFERROR(INDEX(tblDeviceConfig[Cybernet Hostname],ROW()-1),"")</f>
        <v>0</v>
      </c>
      <c r="F446">
        <f>IFERROR(INDEX(tblDeviceConfig[Neuron Hostname],ROW()-1),"")</f>
        <v>0</v>
      </c>
      <c r="G446">
        <f>IFERROR(INDEX(tblDeviceConfig[Software List],ROW()-1),"")</f>
        <v>0</v>
      </c>
      <c r="H446">
        <f>IFERROR(INDEX(tblDeviceConfig[PI_Use_Case],ROW()-1),"")</f>
        <v>0</v>
      </c>
      <c r="I446">
        <f>IFERROR(INDEX(tblDeviceConfig[PI_Result],ROW()-1),"")</f>
        <v>0</v>
      </c>
      <c r="J446">
        <f>IFERROR(INDEX(tblDeviceConfig[PI_Validated_By],ROW()-1),"")</f>
        <v>0</v>
      </c>
      <c r="K446">
        <f>IFERROR(INDEX(tblDeviceConfig[PI_Validated_Date],ROW()-1),"")</f>
        <v>0</v>
      </c>
      <c r="L446">
        <f t="shared" si="12"/>
        <v>0</v>
      </c>
      <c r="M446" t="str">
        <f t="shared" si="13"/>
        <v/>
      </c>
    </row>
    <row r="447" spans="1:13">
      <c r="A447">
        <f>ROW()</f>
        <v>447</v>
      </c>
      <c r="B447">
        <f>IFERROR(INDEX(tblDeviceConfig[Device Type],ROW()-1),"")</f>
        <v>0</v>
      </c>
      <c r="C447">
        <f>IFERROR(INDEX(tblDeviceConfig[Deployed],ROW()-1),"")</f>
        <v>0</v>
      </c>
      <c r="D447">
        <f>IFERROR(INDEX(tblDeviceConfig[Installed],ROW()-1),"")</f>
        <v>0</v>
      </c>
      <c r="E447">
        <f>IFERROR(INDEX(tblDeviceConfig[Cybernet Hostname],ROW()-1),"")</f>
        <v>0</v>
      </c>
      <c r="F447">
        <f>IFERROR(INDEX(tblDeviceConfig[Neuron Hostname],ROW()-1),"")</f>
        <v>0</v>
      </c>
      <c r="G447">
        <f>IFERROR(INDEX(tblDeviceConfig[Software List],ROW()-1),"")</f>
        <v>0</v>
      </c>
      <c r="H447">
        <f>IFERROR(INDEX(tblDeviceConfig[PI_Use_Case],ROW()-1),"")</f>
        <v>0</v>
      </c>
      <c r="I447">
        <f>IFERROR(INDEX(tblDeviceConfig[PI_Result],ROW()-1),"")</f>
        <v>0</v>
      </c>
      <c r="J447">
        <f>IFERROR(INDEX(tblDeviceConfig[PI_Validated_By],ROW()-1),"")</f>
        <v>0</v>
      </c>
      <c r="K447">
        <f>IFERROR(INDEX(tblDeviceConfig[PI_Validated_Date],ROW()-1),"")</f>
        <v>0</v>
      </c>
      <c r="L447">
        <f t="shared" si="12"/>
        <v>0</v>
      </c>
      <c r="M447" t="str">
        <f t="shared" si="13"/>
        <v/>
      </c>
    </row>
    <row r="448" spans="1:13">
      <c r="A448">
        <f>ROW()</f>
        <v>448</v>
      </c>
      <c r="B448">
        <f>IFERROR(INDEX(tblDeviceConfig[Device Type],ROW()-1),"")</f>
        <v>0</v>
      </c>
      <c r="C448">
        <f>IFERROR(INDEX(tblDeviceConfig[Deployed],ROW()-1),"")</f>
        <v>0</v>
      </c>
      <c r="D448">
        <f>IFERROR(INDEX(tblDeviceConfig[Installed],ROW()-1),"")</f>
        <v>0</v>
      </c>
      <c r="E448">
        <f>IFERROR(INDEX(tblDeviceConfig[Cybernet Hostname],ROW()-1),"")</f>
        <v>0</v>
      </c>
      <c r="F448">
        <f>IFERROR(INDEX(tblDeviceConfig[Neuron Hostname],ROW()-1),"")</f>
        <v>0</v>
      </c>
      <c r="G448">
        <f>IFERROR(INDEX(tblDeviceConfig[Software List],ROW()-1),"")</f>
        <v>0</v>
      </c>
      <c r="H448">
        <f>IFERROR(INDEX(tblDeviceConfig[PI_Use_Case],ROW()-1),"")</f>
        <v>0</v>
      </c>
      <c r="I448">
        <f>IFERROR(INDEX(tblDeviceConfig[PI_Result],ROW()-1),"")</f>
        <v>0</v>
      </c>
      <c r="J448">
        <f>IFERROR(INDEX(tblDeviceConfig[PI_Validated_By],ROW()-1),"")</f>
        <v>0</v>
      </c>
      <c r="K448">
        <f>IFERROR(INDEX(tblDeviceConfig[PI_Validated_Date],ROW()-1),"")</f>
        <v>0</v>
      </c>
      <c r="L448">
        <f t="shared" si="12"/>
        <v>0</v>
      </c>
      <c r="M448" t="str">
        <f t="shared" si="13"/>
        <v/>
      </c>
    </row>
    <row r="449" spans="1:13">
      <c r="A449">
        <f>ROW()</f>
        <v>449</v>
      </c>
      <c r="B449">
        <f>IFERROR(INDEX(tblDeviceConfig[Device Type],ROW()-1),"")</f>
        <v>0</v>
      </c>
      <c r="C449">
        <f>IFERROR(INDEX(tblDeviceConfig[Deployed],ROW()-1),"")</f>
        <v>0</v>
      </c>
      <c r="D449">
        <f>IFERROR(INDEX(tblDeviceConfig[Installed],ROW()-1),"")</f>
        <v>0</v>
      </c>
      <c r="E449">
        <f>IFERROR(INDEX(tblDeviceConfig[Cybernet Hostname],ROW()-1),"")</f>
        <v>0</v>
      </c>
      <c r="F449">
        <f>IFERROR(INDEX(tblDeviceConfig[Neuron Hostname],ROW()-1),"")</f>
        <v>0</v>
      </c>
      <c r="G449">
        <f>IFERROR(INDEX(tblDeviceConfig[Software List],ROW()-1),"")</f>
        <v>0</v>
      </c>
      <c r="H449">
        <f>IFERROR(INDEX(tblDeviceConfig[PI_Use_Case],ROW()-1),"")</f>
        <v>0</v>
      </c>
      <c r="I449">
        <f>IFERROR(INDEX(tblDeviceConfig[PI_Result],ROW()-1),"")</f>
        <v>0</v>
      </c>
      <c r="J449">
        <f>IFERROR(INDEX(tblDeviceConfig[PI_Validated_By],ROW()-1),"")</f>
        <v>0</v>
      </c>
      <c r="K449">
        <f>IFERROR(INDEX(tblDeviceConfig[PI_Validated_Date],ROW()-1),"")</f>
        <v>0</v>
      </c>
      <c r="L449">
        <f t="shared" si="12"/>
        <v>0</v>
      </c>
      <c r="M449" t="str">
        <f t="shared" si="13"/>
        <v/>
      </c>
    </row>
    <row r="450" spans="1:13">
      <c r="A450">
        <f>ROW()</f>
        <v>450</v>
      </c>
      <c r="B450">
        <f>IFERROR(INDEX(tblDeviceConfig[Device Type],ROW()-1),"")</f>
        <v>0</v>
      </c>
      <c r="C450">
        <f>IFERROR(INDEX(tblDeviceConfig[Deployed],ROW()-1),"")</f>
        <v>0</v>
      </c>
      <c r="D450">
        <f>IFERROR(INDEX(tblDeviceConfig[Installed],ROW()-1),"")</f>
        <v>0</v>
      </c>
      <c r="E450">
        <f>IFERROR(INDEX(tblDeviceConfig[Cybernet Hostname],ROW()-1),"")</f>
        <v>0</v>
      </c>
      <c r="F450">
        <f>IFERROR(INDEX(tblDeviceConfig[Neuron Hostname],ROW()-1),"")</f>
        <v>0</v>
      </c>
      <c r="G450">
        <f>IFERROR(INDEX(tblDeviceConfig[Software List],ROW()-1),"")</f>
        <v>0</v>
      </c>
      <c r="H450">
        <f>IFERROR(INDEX(tblDeviceConfig[PI_Use_Case],ROW()-1),"")</f>
        <v>0</v>
      </c>
      <c r="I450">
        <f>IFERROR(INDEX(tblDeviceConfig[PI_Result],ROW()-1),"")</f>
        <v>0</v>
      </c>
      <c r="J450">
        <f>IFERROR(INDEX(tblDeviceConfig[PI_Validated_By],ROW()-1),"")</f>
        <v>0</v>
      </c>
      <c r="K450">
        <f>IFERROR(INDEX(tblDeviceConfig[PI_Validated_Date],ROW()-1),"")</f>
        <v>0</v>
      </c>
      <c r="L450">
        <f t="shared" ref="L450:L513" si="14">SUM(IF(AND(C450="Yes",B450="Cybernet",LEN(TRIM(E450))=0),1,0),IF(AND(C450="Yes",B450="Neuron",LEN(TRIM(F450))=0),1,0),IF(AND(C450="Yes",B450="Cybernet",LEN(TRIM(G450))=0),1,0),IF(AND(C450="Yes",B450="Cybernet",LEN(TRIM(H450))=0),1,0),IF(AND(C450="Yes",LEN(TRIM(I450))&gt;0,LEN(TRIM(J450))=0),1,0),IF(AND(C450="Yes",LEN(TRIM(J450))&gt;0,LEN(TRIM(K450))=0),1,0))</f>
        <v>0</v>
      </c>
      <c r="M450" t="str">
        <f t="shared" ref="M450:M513" si="15">(IF(AND(C450="Yes",B450="Cybernet",LEN(TRIM(E450))=0),"Missing Cybernet Hostname",""))&amp;IF(((IF(AND(C450="Yes",B450="Cybernet",LEN(TRIM(E450))=0),"Missing Cybernet Hostname","")))&lt;&gt;"",IF((IF(AND(C450="Yes",B450="Neuron",LEN(TRIM(F450))=0),"Missing Neuron Hostname",""))&lt;&gt;""," | ",""),"")&amp;(IF(AND(C450="Yes",B450="Neuron",LEN(TRIM(F450))=0),"Missing Neuron Hostname",""))&amp;IF(((IF(AND(C450="Yes",B450="Cybernet",LEN(TRIM(E450))=0),"Missing Cybernet Hostname",""))&amp;(IF(AND(C450="Yes",B450="Neuron",LEN(TRIM(F450))=0),"Missing Neuron Hostname","")))&lt;&gt;"",IF((IF(AND(C450="Yes",B450="Cybernet",LEN(TRIM(G450))=0),"Missing Software List",""))&lt;&gt;""," | ",""),"")&amp;(IF(AND(C450="Yes",B450="Cybernet",LEN(TRIM(G450))=0),"Missing Software List",""))&amp;IF(((IF(AND(C450="Yes",B450="Cybernet",LEN(TRIM(E450))=0),"Missing Cybernet Hostname",""))&amp;(IF(AND(C450="Yes",B450="Neuron",LEN(TRIM(F450))=0),"Missing Neuron Hostname",""))&amp;(IF(AND(C450="Yes",B450="Cybernet",LEN(TRIM(G450))=0),"Missing Software List","")))&lt;&gt;"",IF((IF(AND(C450="Yes",B450="Cybernet",LEN(TRIM(H450))=0),"Missing PI Use Case",""))&lt;&gt;""," | ",""),"")&amp;(IF(AND(C450="Yes",B450="Cybernet",LEN(TRIM(H450))=0),"Missing PI Use Case",""))&amp;IF(((IF(AND(C450="Yes",B450="Cybernet",LEN(TRIM(E450))=0),"Missing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Case","")))&lt;&gt;"",IF((IF(AND(C450="Yes",LEN(TRIM(I450))&gt;0,LEN(TRIM(J450))=0),"Missing PI Validated By",""))&lt;&gt;""," | ",""),"")&amp;(IF(AND(C450="Yes",LEN(TRIM(I450))&gt;0,LEN(TRIM(J450))=0),"Missing PI Validated By",""))&amp;IF(((IF(AND(C450="Yes",B450="Cybernet",LEN(TRIM(E450))=0),"Missing Cybernet Hostname",""))&amp;(IF(AND(C450="Yes",B450="Neuron",LEN(TRIM(F450))=0),"Missing Neuron Hostname",""))&amp;(IF(AND(C450="Yes",B450="Cybernet",LEN(TRIM(G450))=0),"Missing Software List",""))&amp;(IF(AND(C450="Yes",B450="Cybernet",LEN(TRIM(H450))=0),"Missing PI Use Case",""))&amp;(IF(AND(C450="Yes",LEN(TRIM(I450))&gt;0,LEN(TRIM(J450))=0),"Missing PI Validated By","")))&lt;&gt;"",IF((IF(AND(C450="Yes",LEN(TRIM(J450))&gt;0,LEN(TRIM(K450))=0),"Missing PI Validated Date",""))&lt;&gt;""," | ",""),"")&amp;(IF(AND(C450="Yes",LEN(TRIM(J450))&gt;0,LEN(TRIM(K450))=0),"Missing PI Validated Date",""))</f>
        <v/>
      </c>
    </row>
    <row r="451" spans="1:13">
      <c r="A451">
        <f>ROW()</f>
        <v>451</v>
      </c>
      <c r="B451">
        <f>IFERROR(INDEX(tblDeviceConfig[Device Type],ROW()-1),"")</f>
        <v>0</v>
      </c>
      <c r="C451">
        <f>IFERROR(INDEX(tblDeviceConfig[Deployed],ROW()-1),"")</f>
        <v>0</v>
      </c>
      <c r="D451">
        <f>IFERROR(INDEX(tblDeviceConfig[Installed],ROW()-1),"")</f>
        <v>0</v>
      </c>
      <c r="E451">
        <f>IFERROR(INDEX(tblDeviceConfig[Cybernet Hostname],ROW()-1),"")</f>
        <v>0</v>
      </c>
      <c r="F451">
        <f>IFERROR(INDEX(tblDeviceConfig[Neuron Hostname],ROW()-1),"")</f>
        <v>0</v>
      </c>
      <c r="G451">
        <f>IFERROR(INDEX(tblDeviceConfig[Software List],ROW()-1),"")</f>
        <v>0</v>
      </c>
      <c r="H451">
        <f>IFERROR(INDEX(tblDeviceConfig[PI_Use_Case],ROW()-1),"")</f>
        <v>0</v>
      </c>
      <c r="I451">
        <f>IFERROR(INDEX(tblDeviceConfig[PI_Result],ROW()-1),"")</f>
        <v>0</v>
      </c>
      <c r="J451">
        <f>IFERROR(INDEX(tblDeviceConfig[PI_Validated_By],ROW()-1),"")</f>
        <v>0</v>
      </c>
      <c r="K451">
        <f>IFERROR(INDEX(tblDeviceConfig[PI_Validated_Date],ROW()-1),"")</f>
        <v>0</v>
      </c>
      <c r="L451">
        <f t="shared" si="14"/>
        <v>0</v>
      </c>
      <c r="M451" t="str">
        <f t="shared" si="15"/>
        <v/>
      </c>
    </row>
    <row r="452" spans="1:13">
      <c r="A452">
        <f>ROW()</f>
        <v>452</v>
      </c>
      <c r="B452">
        <f>IFERROR(INDEX(tblDeviceConfig[Device Type],ROW()-1),"")</f>
        <v>0</v>
      </c>
      <c r="C452">
        <f>IFERROR(INDEX(tblDeviceConfig[Deployed],ROW()-1),"")</f>
        <v>0</v>
      </c>
      <c r="D452">
        <f>IFERROR(INDEX(tblDeviceConfig[Installed],ROW()-1),"")</f>
        <v>0</v>
      </c>
      <c r="E452">
        <f>IFERROR(INDEX(tblDeviceConfig[Cybernet Hostname],ROW()-1),"")</f>
        <v>0</v>
      </c>
      <c r="F452">
        <f>IFERROR(INDEX(tblDeviceConfig[Neuron Hostname],ROW()-1),"")</f>
        <v>0</v>
      </c>
      <c r="G452">
        <f>IFERROR(INDEX(tblDeviceConfig[Software List],ROW()-1),"")</f>
        <v>0</v>
      </c>
      <c r="H452">
        <f>IFERROR(INDEX(tblDeviceConfig[PI_Use_Case],ROW()-1),"")</f>
        <v>0</v>
      </c>
      <c r="I452">
        <f>IFERROR(INDEX(tblDeviceConfig[PI_Result],ROW()-1),"")</f>
        <v>0</v>
      </c>
      <c r="J452">
        <f>IFERROR(INDEX(tblDeviceConfig[PI_Validated_By],ROW()-1),"")</f>
        <v>0</v>
      </c>
      <c r="K452">
        <f>IFERROR(INDEX(tblDeviceConfig[PI_Validated_Date],ROW()-1),"")</f>
        <v>0</v>
      </c>
      <c r="L452">
        <f t="shared" si="14"/>
        <v>0</v>
      </c>
      <c r="M452" t="str">
        <f t="shared" si="15"/>
        <v/>
      </c>
    </row>
    <row r="453" spans="1:13">
      <c r="A453">
        <f>ROW()</f>
        <v>453</v>
      </c>
      <c r="B453">
        <f>IFERROR(INDEX(tblDeviceConfig[Device Type],ROW()-1),"")</f>
        <v>0</v>
      </c>
      <c r="C453">
        <f>IFERROR(INDEX(tblDeviceConfig[Deployed],ROW()-1),"")</f>
        <v>0</v>
      </c>
      <c r="D453">
        <f>IFERROR(INDEX(tblDeviceConfig[Installed],ROW()-1),"")</f>
        <v>0</v>
      </c>
      <c r="E453">
        <f>IFERROR(INDEX(tblDeviceConfig[Cybernet Hostname],ROW()-1),"")</f>
        <v>0</v>
      </c>
      <c r="F453">
        <f>IFERROR(INDEX(tblDeviceConfig[Neuron Hostname],ROW()-1),"")</f>
        <v>0</v>
      </c>
      <c r="G453">
        <f>IFERROR(INDEX(tblDeviceConfig[Software List],ROW()-1),"")</f>
        <v>0</v>
      </c>
      <c r="H453">
        <f>IFERROR(INDEX(tblDeviceConfig[PI_Use_Case],ROW()-1),"")</f>
        <v>0</v>
      </c>
      <c r="I453">
        <f>IFERROR(INDEX(tblDeviceConfig[PI_Result],ROW()-1),"")</f>
        <v>0</v>
      </c>
      <c r="J453">
        <f>IFERROR(INDEX(tblDeviceConfig[PI_Validated_By],ROW()-1),"")</f>
        <v>0</v>
      </c>
      <c r="K453">
        <f>IFERROR(INDEX(tblDeviceConfig[PI_Validated_Date],ROW()-1),"")</f>
        <v>0</v>
      </c>
      <c r="L453">
        <f t="shared" si="14"/>
        <v>0</v>
      </c>
      <c r="M453" t="str">
        <f t="shared" si="15"/>
        <v/>
      </c>
    </row>
    <row r="454" spans="1:13">
      <c r="A454">
        <f>ROW()</f>
        <v>454</v>
      </c>
      <c r="B454">
        <f>IFERROR(INDEX(tblDeviceConfig[Device Type],ROW()-1),"")</f>
        <v>0</v>
      </c>
      <c r="C454">
        <f>IFERROR(INDEX(tblDeviceConfig[Deployed],ROW()-1),"")</f>
        <v>0</v>
      </c>
      <c r="D454">
        <f>IFERROR(INDEX(tblDeviceConfig[Installed],ROW()-1),"")</f>
        <v>0</v>
      </c>
      <c r="E454">
        <f>IFERROR(INDEX(tblDeviceConfig[Cybernet Hostname],ROW()-1),"")</f>
        <v>0</v>
      </c>
      <c r="F454">
        <f>IFERROR(INDEX(tblDeviceConfig[Neuron Hostname],ROW()-1),"")</f>
        <v>0</v>
      </c>
      <c r="G454">
        <f>IFERROR(INDEX(tblDeviceConfig[Software List],ROW()-1),"")</f>
        <v>0</v>
      </c>
      <c r="H454">
        <f>IFERROR(INDEX(tblDeviceConfig[PI_Use_Case],ROW()-1),"")</f>
        <v>0</v>
      </c>
      <c r="I454">
        <f>IFERROR(INDEX(tblDeviceConfig[PI_Result],ROW()-1),"")</f>
        <v>0</v>
      </c>
      <c r="J454">
        <f>IFERROR(INDEX(tblDeviceConfig[PI_Validated_By],ROW()-1),"")</f>
        <v>0</v>
      </c>
      <c r="K454">
        <f>IFERROR(INDEX(tblDeviceConfig[PI_Validated_Date],ROW()-1),"")</f>
        <v>0</v>
      </c>
      <c r="L454">
        <f t="shared" si="14"/>
        <v>0</v>
      </c>
      <c r="M454" t="str">
        <f t="shared" si="15"/>
        <v/>
      </c>
    </row>
    <row r="455" spans="1:13">
      <c r="A455">
        <f>ROW()</f>
        <v>455</v>
      </c>
      <c r="B455">
        <f>IFERROR(INDEX(tblDeviceConfig[Device Type],ROW()-1),"")</f>
        <v>0</v>
      </c>
      <c r="C455">
        <f>IFERROR(INDEX(tblDeviceConfig[Deployed],ROW()-1),"")</f>
        <v>0</v>
      </c>
      <c r="D455">
        <f>IFERROR(INDEX(tblDeviceConfig[Installed],ROW()-1),"")</f>
        <v>0</v>
      </c>
      <c r="E455">
        <f>IFERROR(INDEX(tblDeviceConfig[Cybernet Hostname],ROW()-1),"")</f>
        <v>0</v>
      </c>
      <c r="F455">
        <f>IFERROR(INDEX(tblDeviceConfig[Neuron Hostname],ROW()-1),"")</f>
        <v>0</v>
      </c>
      <c r="G455">
        <f>IFERROR(INDEX(tblDeviceConfig[Software List],ROW()-1),"")</f>
        <v>0</v>
      </c>
      <c r="H455">
        <f>IFERROR(INDEX(tblDeviceConfig[PI_Use_Case],ROW()-1),"")</f>
        <v>0</v>
      </c>
      <c r="I455">
        <f>IFERROR(INDEX(tblDeviceConfig[PI_Result],ROW()-1),"")</f>
        <v>0</v>
      </c>
      <c r="J455">
        <f>IFERROR(INDEX(tblDeviceConfig[PI_Validated_By],ROW()-1),"")</f>
        <v>0</v>
      </c>
      <c r="K455">
        <f>IFERROR(INDEX(tblDeviceConfig[PI_Validated_Date],ROW()-1),"")</f>
        <v>0</v>
      </c>
      <c r="L455">
        <f t="shared" si="14"/>
        <v>0</v>
      </c>
      <c r="M455" t="str">
        <f t="shared" si="15"/>
        <v/>
      </c>
    </row>
    <row r="456" spans="1:13">
      <c r="A456">
        <f>ROW()</f>
        <v>456</v>
      </c>
      <c r="B456">
        <f>IFERROR(INDEX(tblDeviceConfig[Device Type],ROW()-1),"")</f>
        <v>0</v>
      </c>
      <c r="C456">
        <f>IFERROR(INDEX(tblDeviceConfig[Deployed],ROW()-1),"")</f>
        <v>0</v>
      </c>
      <c r="D456">
        <f>IFERROR(INDEX(tblDeviceConfig[Installed],ROW()-1),"")</f>
        <v>0</v>
      </c>
      <c r="E456">
        <f>IFERROR(INDEX(tblDeviceConfig[Cybernet Hostname],ROW()-1),"")</f>
        <v>0</v>
      </c>
      <c r="F456">
        <f>IFERROR(INDEX(tblDeviceConfig[Neuron Hostname],ROW()-1),"")</f>
        <v>0</v>
      </c>
      <c r="G456">
        <f>IFERROR(INDEX(tblDeviceConfig[Software List],ROW()-1),"")</f>
        <v>0</v>
      </c>
      <c r="H456">
        <f>IFERROR(INDEX(tblDeviceConfig[PI_Use_Case],ROW()-1),"")</f>
        <v>0</v>
      </c>
      <c r="I456">
        <f>IFERROR(INDEX(tblDeviceConfig[PI_Result],ROW()-1),"")</f>
        <v>0</v>
      </c>
      <c r="J456">
        <f>IFERROR(INDEX(tblDeviceConfig[PI_Validated_By],ROW()-1),"")</f>
        <v>0</v>
      </c>
      <c r="K456">
        <f>IFERROR(INDEX(tblDeviceConfig[PI_Validated_Date],ROW()-1),"")</f>
        <v>0</v>
      </c>
      <c r="L456">
        <f t="shared" si="14"/>
        <v>0</v>
      </c>
      <c r="M456" t="str">
        <f t="shared" si="15"/>
        <v/>
      </c>
    </row>
    <row r="457" spans="1:13">
      <c r="A457">
        <f>ROW()</f>
        <v>457</v>
      </c>
      <c r="B457">
        <f>IFERROR(INDEX(tblDeviceConfig[Device Type],ROW()-1),"")</f>
        <v>0</v>
      </c>
      <c r="C457">
        <f>IFERROR(INDEX(tblDeviceConfig[Deployed],ROW()-1),"")</f>
        <v>0</v>
      </c>
      <c r="D457">
        <f>IFERROR(INDEX(tblDeviceConfig[Installed],ROW()-1),"")</f>
        <v>0</v>
      </c>
      <c r="E457">
        <f>IFERROR(INDEX(tblDeviceConfig[Cybernet Hostname],ROW()-1),"")</f>
        <v>0</v>
      </c>
      <c r="F457">
        <f>IFERROR(INDEX(tblDeviceConfig[Neuron Hostname],ROW()-1),"")</f>
        <v>0</v>
      </c>
      <c r="G457">
        <f>IFERROR(INDEX(tblDeviceConfig[Software List],ROW()-1),"")</f>
        <v>0</v>
      </c>
      <c r="H457">
        <f>IFERROR(INDEX(tblDeviceConfig[PI_Use_Case],ROW()-1),"")</f>
        <v>0</v>
      </c>
      <c r="I457">
        <f>IFERROR(INDEX(tblDeviceConfig[PI_Result],ROW()-1),"")</f>
        <v>0</v>
      </c>
      <c r="J457">
        <f>IFERROR(INDEX(tblDeviceConfig[PI_Validated_By],ROW()-1),"")</f>
        <v>0</v>
      </c>
      <c r="K457">
        <f>IFERROR(INDEX(tblDeviceConfig[PI_Validated_Date],ROW()-1),"")</f>
        <v>0</v>
      </c>
      <c r="L457">
        <f t="shared" si="14"/>
        <v>0</v>
      </c>
      <c r="M457" t="str">
        <f t="shared" si="15"/>
        <v/>
      </c>
    </row>
    <row r="458" spans="1:13">
      <c r="A458">
        <f>ROW()</f>
        <v>458</v>
      </c>
      <c r="B458">
        <f>IFERROR(INDEX(tblDeviceConfig[Device Type],ROW()-1),"")</f>
        <v>0</v>
      </c>
      <c r="C458">
        <f>IFERROR(INDEX(tblDeviceConfig[Deployed],ROW()-1),"")</f>
        <v>0</v>
      </c>
      <c r="D458">
        <f>IFERROR(INDEX(tblDeviceConfig[Installed],ROW()-1),"")</f>
        <v>0</v>
      </c>
      <c r="E458">
        <f>IFERROR(INDEX(tblDeviceConfig[Cybernet Hostname],ROW()-1),"")</f>
        <v>0</v>
      </c>
      <c r="F458">
        <f>IFERROR(INDEX(tblDeviceConfig[Neuron Hostname],ROW()-1),"")</f>
        <v>0</v>
      </c>
      <c r="G458">
        <f>IFERROR(INDEX(tblDeviceConfig[Software List],ROW()-1),"")</f>
        <v>0</v>
      </c>
      <c r="H458">
        <f>IFERROR(INDEX(tblDeviceConfig[PI_Use_Case],ROW()-1),"")</f>
        <v>0</v>
      </c>
      <c r="I458">
        <f>IFERROR(INDEX(tblDeviceConfig[PI_Result],ROW()-1),"")</f>
        <v>0</v>
      </c>
      <c r="J458">
        <f>IFERROR(INDEX(tblDeviceConfig[PI_Validated_By],ROW()-1),"")</f>
        <v>0</v>
      </c>
      <c r="K458">
        <f>IFERROR(INDEX(tblDeviceConfig[PI_Validated_Date],ROW()-1),"")</f>
        <v>0</v>
      </c>
      <c r="L458">
        <f t="shared" si="14"/>
        <v>0</v>
      </c>
      <c r="M458" t="str">
        <f t="shared" si="15"/>
        <v/>
      </c>
    </row>
    <row r="459" spans="1:13">
      <c r="A459">
        <f>ROW()</f>
        <v>459</v>
      </c>
      <c r="B459">
        <f>IFERROR(INDEX(tblDeviceConfig[Device Type],ROW()-1),"")</f>
        <v>0</v>
      </c>
      <c r="C459">
        <f>IFERROR(INDEX(tblDeviceConfig[Deployed],ROW()-1),"")</f>
        <v>0</v>
      </c>
      <c r="D459">
        <f>IFERROR(INDEX(tblDeviceConfig[Installed],ROW()-1),"")</f>
        <v>0</v>
      </c>
      <c r="E459">
        <f>IFERROR(INDEX(tblDeviceConfig[Cybernet Hostname],ROW()-1),"")</f>
        <v>0</v>
      </c>
      <c r="F459">
        <f>IFERROR(INDEX(tblDeviceConfig[Neuron Hostname],ROW()-1),"")</f>
        <v>0</v>
      </c>
      <c r="G459">
        <f>IFERROR(INDEX(tblDeviceConfig[Software List],ROW()-1),"")</f>
        <v>0</v>
      </c>
      <c r="H459">
        <f>IFERROR(INDEX(tblDeviceConfig[PI_Use_Case],ROW()-1),"")</f>
        <v>0</v>
      </c>
      <c r="I459">
        <f>IFERROR(INDEX(tblDeviceConfig[PI_Result],ROW()-1),"")</f>
        <v>0</v>
      </c>
      <c r="J459">
        <f>IFERROR(INDEX(tblDeviceConfig[PI_Validated_By],ROW()-1),"")</f>
        <v>0</v>
      </c>
      <c r="K459">
        <f>IFERROR(INDEX(tblDeviceConfig[PI_Validated_Date],ROW()-1),"")</f>
        <v>0</v>
      </c>
      <c r="L459">
        <f t="shared" si="14"/>
        <v>0</v>
      </c>
      <c r="M459" t="str">
        <f t="shared" si="15"/>
        <v/>
      </c>
    </row>
    <row r="460" spans="1:13">
      <c r="A460">
        <f>ROW()</f>
        <v>460</v>
      </c>
      <c r="B460">
        <f>IFERROR(INDEX(tblDeviceConfig[Device Type],ROW()-1),"")</f>
        <v>0</v>
      </c>
      <c r="C460">
        <f>IFERROR(INDEX(tblDeviceConfig[Deployed],ROW()-1),"")</f>
        <v>0</v>
      </c>
      <c r="D460">
        <f>IFERROR(INDEX(tblDeviceConfig[Installed],ROW()-1),"")</f>
        <v>0</v>
      </c>
      <c r="E460">
        <f>IFERROR(INDEX(tblDeviceConfig[Cybernet Hostname],ROW()-1),"")</f>
        <v>0</v>
      </c>
      <c r="F460">
        <f>IFERROR(INDEX(tblDeviceConfig[Neuron Hostname],ROW()-1),"")</f>
        <v>0</v>
      </c>
      <c r="G460">
        <f>IFERROR(INDEX(tblDeviceConfig[Software List],ROW()-1),"")</f>
        <v>0</v>
      </c>
      <c r="H460">
        <f>IFERROR(INDEX(tblDeviceConfig[PI_Use_Case],ROW()-1),"")</f>
        <v>0</v>
      </c>
      <c r="I460">
        <f>IFERROR(INDEX(tblDeviceConfig[PI_Result],ROW()-1),"")</f>
        <v>0</v>
      </c>
      <c r="J460">
        <f>IFERROR(INDEX(tblDeviceConfig[PI_Validated_By],ROW()-1),"")</f>
        <v>0</v>
      </c>
      <c r="K460">
        <f>IFERROR(INDEX(tblDeviceConfig[PI_Validated_Date],ROW()-1),"")</f>
        <v>0</v>
      </c>
      <c r="L460">
        <f t="shared" si="14"/>
        <v>0</v>
      </c>
      <c r="M460" t="str">
        <f t="shared" si="15"/>
        <v/>
      </c>
    </row>
    <row r="461" spans="1:13">
      <c r="A461">
        <f>ROW()</f>
        <v>461</v>
      </c>
      <c r="B461">
        <f>IFERROR(INDEX(tblDeviceConfig[Device Type],ROW()-1),"")</f>
        <v>0</v>
      </c>
      <c r="C461">
        <f>IFERROR(INDEX(tblDeviceConfig[Deployed],ROW()-1),"")</f>
        <v>0</v>
      </c>
      <c r="D461">
        <f>IFERROR(INDEX(tblDeviceConfig[Installed],ROW()-1),"")</f>
        <v>0</v>
      </c>
      <c r="E461">
        <f>IFERROR(INDEX(tblDeviceConfig[Cybernet Hostname],ROW()-1),"")</f>
        <v>0</v>
      </c>
      <c r="F461">
        <f>IFERROR(INDEX(tblDeviceConfig[Neuron Hostname],ROW()-1),"")</f>
        <v>0</v>
      </c>
      <c r="G461">
        <f>IFERROR(INDEX(tblDeviceConfig[Software List],ROW()-1),"")</f>
        <v>0</v>
      </c>
      <c r="H461">
        <f>IFERROR(INDEX(tblDeviceConfig[PI_Use_Case],ROW()-1),"")</f>
        <v>0</v>
      </c>
      <c r="I461">
        <f>IFERROR(INDEX(tblDeviceConfig[PI_Result],ROW()-1),"")</f>
        <v>0</v>
      </c>
      <c r="J461">
        <f>IFERROR(INDEX(tblDeviceConfig[PI_Validated_By],ROW()-1),"")</f>
        <v>0</v>
      </c>
      <c r="K461">
        <f>IFERROR(INDEX(tblDeviceConfig[PI_Validated_Date],ROW()-1),"")</f>
        <v>0</v>
      </c>
      <c r="L461">
        <f t="shared" si="14"/>
        <v>0</v>
      </c>
      <c r="M461" t="str">
        <f t="shared" si="15"/>
        <v/>
      </c>
    </row>
    <row r="462" spans="1:13">
      <c r="A462">
        <f>ROW()</f>
        <v>462</v>
      </c>
      <c r="B462">
        <f>IFERROR(INDEX(tblDeviceConfig[Device Type],ROW()-1),"")</f>
        <v>0</v>
      </c>
      <c r="C462">
        <f>IFERROR(INDEX(tblDeviceConfig[Deployed],ROW()-1),"")</f>
        <v>0</v>
      </c>
      <c r="D462">
        <f>IFERROR(INDEX(tblDeviceConfig[Installed],ROW()-1),"")</f>
        <v>0</v>
      </c>
      <c r="E462">
        <f>IFERROR(INDEX(tblDeviceConfig[Cybernet Hostname],ROW()-1),"")</f>
        <v>0</v>
      </c>
      <c r="F462">
        <f>IFERROR(INDEX(tblDeviceConfig[Neuron Hostname],ROW()-1),"")</f>
        <v>0</v>
      </c>
      <c r="G462">
        <f>IFERROR(INDEX(tblDeviceConfig[Software List],ROW()-1),"")</f>
        <v>0</v>
      </c>
      <c r="H462">
        <f>IFERROR(INDEX(tblDeviceConfig[PI_Use_Case],ROW()-1),"")</f>
        <v>0</v>
      </c>
      <c r="I462">
        <f>IFERROR(INDEX(tblDeviceConfig[PI_Result],ROW()-1),"")</f>
        <v>0</v>
      </c>
      <c r="J462">
        <f>IFERROR(INDEX(tblDeviceConfig[PI_Validated_By],ROW()-1),"")</f>
        <v>0</v>
      </c>
      <c r="K462">
        <f>IFERROR(INDEX(tblDeviceConfig[PI_Validated_Date],ROW()-1),"")</f>
        <v>0</v>
      </c>
      <c r="L462">
        <f t="shared" si="14"/>
        <v>0</v>
      </c>
      <c r="M462" t="str">
        <f t="shared" si="15"/>
        <v/>
      </c>
    </row>
    <row r="463" spans="1:13">
      <c r="A463">
        <f>ROW()</f>
        <v>463</v>
      </c>
      <c r="B463">
        <f>IFERROR(INDEX(tblDeviceConfig[Device Type],ROW()-1),"")</f>
        <v>0</v>
      </c>
      <c r="C463">
        <f>IFERROR(INDEX(tblDeviceConfig[Deployed],ROW()-1),"")</f>
        <v>0</v>
      </c>
      <c r="D463">
        <f>IFERROR(INDEX(tblDeviceConfig[Installed],ROW()-1),"")</f>
        <v>0</v>
      </c>
      <c r="E463">
        <f>IFERROR(INDEX(tblDeviceConfig[Cybernet Hostname],ROW()-1),"")</f>
        <v>0</v>
      </c>
      <c r="F463">
        <f>IFERROR(INDEX(tblDeviceConfig[Neuron Hostname],ROW()-1),"")</f>
        <v>0</v>
      </c>
      <c r="G463">
        <f>IFERROR(INDEX(tblDeviceConfig[Software List],ROW()-1),"")</f>
        <v>0</v>
      </c>
      <c r="H463">
        <f>IFERROR(INDEX(tblDeviceConfig[PI_Use_Case],ROW()-1),"")</f>
        <v>0</v>
      </c>
      <c r="I463">
        <f>IFERROR(INDEX(tblDeviceConfig[PI_Result],ROW()-1),"")</f>
        <v>0</v>
      </c>
      <c r="J463">
        <f>IFERROR(INDEX(tblDeviceConfig[PI_Validated_By],ROW()-1),"")</f>
        <v>0</v>
      </c>
      <c r="K463">
        <f>IFERROR(INDEX(tblDeviceConfig[PI_Validated_Date],ROW()-1),"")</f>
        <v>0</v>
      </c>
      <c r="L463">
        <f t="shared" si="14"/>
        <v>0</v>
      </c>
      <c r="M463" t="str">
        <f t="shared" si="15"/>
        <v/>
      </c>
    </row>
    <row r="464" spans="1:13">
      <c r="A464">
        <f>ROW()</f>
        <v>464</v>
      </c>
      <c r="B464">
        <f>IFERROR(INDEX(tblDeviceConfig[Device Type],ROW()-1),"")</f>
        <v>0</v>
      </c>
      <c r="C464">
        <f>IFERROR(INDEX(tblDeviceConfig[Deployed],ROW()-1),"")</f>
        <v>0</v>
      </c>
      <c r="D464">
        <f>IFERROR(INDEX(tblDeviceConfig[Installed],ROW()-1),"")</f>
        <v>0</v>
      </c>
      <c r="E464">
        <f>IFERROR(INDEX(tblDeviceConfig[Cybernet Hostname],ROW()-1),"")</f>
        <v>0</v>
      </c>
      <c r="F464">
        <f>IFERROR(INDEX(tblDeviceConfig[Neuron Hostname],ROW()-1),"")</f>
        <v>0</v>
      </c>
      <c r="G464">
        <f>IFERROR(INDEX(tblDeviceConfig[Software List],ROW()-1),"")</f>
        <v>0</v>
      </c>
      <c r="H464">
        <f>IFERROR(INDEX(tblDeviceConfig[PI_Use_Case],ROW()-1),"")</f>
        <v>0</v>
      </c>
      <c r="I464">
        <f>IFERROR(INDEX(tblDeviceConfig[PI_Result],ROW()-1),"")</f>
        <v>0</v>
      </c>
      <c r="J464">
        <f>IFERROR(INDEX(tblDeviceConfig[PI_Validated_By],ROW()-1),"")</f>
        <v>0</v>
      </c>
      <c r="K464">
        <f>IFERROR(INDEX(tblDeviceConfig[PI_Validated_Date],ROW()-1),"")</f>
        <v>0</v>
      </c>
      <c r="L464">
        <f t="shared" si="14"/>
        <v>0</v>
      </c>
      <c r="M464" t="str">
        <f t="shared" si="15"/>
        <v/>
      </c>
    </row>
    <row r="465" spans="1:13">
      <c r="A465">
        <f>ROW()</f>
        <v>465</v>
      </c>
      <c r="B465">
        <f>IFERROR(INDEX(tblDeviceConfig[Device Type],ROW()-1),"")</f>
        <v>0</v>
      </c>
      <c r="C465">
        <f>IFERROR(INDEX(tblDeviceConfig[Deployed],ROW()-1),"")</f>
        <v>0</v>
      </c>
      <c r="D465">
        <f>IFERROR(INDEX(tblDeviceConfig[Installed],ROW()-1),"")</f>
        <v>0</v>
      </c>
      <c r="E465">
        <f>IFERROR(INDEX(tblDeviceConfig[Cybernet Hostname],ROW()-1),"")</f>
        <v>0</v>
      </c>
      <c r="F465">
        <f>IFERROR(INDEX(tblDeviceConfig[Neuron Hostname],ROW()-1),"")</f>
        <v>0</v>
      </c>
      <c r="G465">
        <f>IFERROR(INDEX(tblDeviceConfig[Software List],ROW()-1),"")</f>
        <v>0</v>
      </c>
      <c r="H465">
        <f>IFERROR(INDEX(tblDeviceConfig[PI_Use_Case],ROW()-1),"")</f>
        <v>0</v>
      </c>
      <c r="I465">
        <f>IFERROR(INDEX(tblDeviceConfig[PI_Result],ROW()-1),"")</f>
        <v>0</v>
      </c>
      <c r="J465">
        <f>IFERROR(INDEX(tblDeviceConfig[PI_Validated_By],ROW()-1),"")</f>
        <v>0</v>
      </c>
      <c r="K465">
        <f>IFERROR(INDEX(tblDeviceConfig[PI_Validated_Date],ROW()-1),"")</f>
        <v>0</v>
      </c>
      <c r="L465">
        <f t="shared" si="14"/>
        <v>0</v>
      </c>
      <c r="M465" t="str">
        <f t="shared" si="15"/>
        <v/>
      </c>
    </row>
    <row r="466" spans="1:13">
      <c r="A466">
        <f>ROW()</f>
        <v>466</v>
      </c>
      <c r="B466">
        <f>IFERROR(INDEX(tblDeviceConfig[Device Type],ROW()-1),"")</f>
        <v>0</v>
      </c>
      <c r="C466">
        <f>IFERROR(INDEX(tblDeviceConfig[Deployed],ROW()-1),"")</f>
        <v>0</v>
      </c>
      <c r="D466">
        <f>IFERROR(INDEX(tblDeviceConfig[Installed],ROW()-1),"")</f>
        <v>0</v>
      </c>
      <c r="E466">
        <f>IFERROR(INDEX(tblDeviceConfig[Cybernet Hostname],ROW()-1),"")</f>
        <v>0</v>
      </c>
      <c r="F466">
        <f>IFERROR(INDEX(tblDeviceConfig[Neuron Hostname],ROW()-1),"")</f>
        <v>0</v>
      </c>
      <c r="G466">
        <f>IFERROR(INDEX(tblDeviceConfig[Software List],ROW()-1),"")</f>
        <v>0</v>
      </c>
      <c r="H466">
        <f>IFERROR(INDEX(tblDeviceConfig[PI_Use_Case],ROW()-1),"")</f>
        <v>0</v>
      </c>
      <c r="I466">
        <f>IFERROR(INDEX(tblDeviceConfig[PI_Result],ROW()-1),"")</f>
        <v>0</v>
      </c>
      <c r="J466">
        <f>IFERROR(INDEX(tblDeviceConfig[PI_Validated_By],ROW()-1),"")</f>
        <v>0</v>
      </c>
      <c r="K466">
        <f>IFERROR(INDEX(tblDeviceConfig[PI_Validated_Date],ROW()-1),"")</f>
        <v>0</v>
      </c>
      <c r="L466">
        <f t="shared" si="14"/>
        <v>0</v>
      </c>
      <c r="M466" t="str">
        <f t="shared" si="15"/>
        <v/>
      </c>
    </row>
    <row r="467" spans="1:13">
      <c r="A467">
        <f>ROW()</f>
        <v>467</v>
      </c>
      <c r="B467">
        <f>IFERROR(INDEX(tblDeviceConfig[Device Type],ROW()-1),"")</f>
        <v>0</v>
      </c>
      <c r="C467">
        <f>IFERROR(INDEX(tblDeviceConfig[Deployed],ROW()-1),"")</f>
        <v>0</v>
      </c>
      <c r="D467">
        <f>IFERROR(INDEX(tblDeviceConfig[Installed],ROW()-1),"")</f>
        <v>0</v>
      </c>
      <c r="E467">
        <f>IFERROR(INDEX(tblDeviceConfig[Cybernet Hostname],ROW()-1),"")</f>
        <v>0</v>
      </c>
      <c r="F467">
        <f>IFERROR(INDEX(tblDeviceConfig[Neuron Hostname],ROW()-1),"")</f>
        <v>0</v>
      </c>
      <c r="G467">
        <f>IFERROR(INDEX(tblDeviceConfig[Software List],ROW()-1),"")</f>
        <v>0</v>
      </c>
      <c r="H467">
        <f>IFERROR(INDEX(tblDeviceConfig[PI_Use_Case],ROW()-1),"")</f>
        <v>0</v>
      </c>
      <c r="I467">
        <f>IFERROR(INDEX(tblDeviceConfig[PI_Result],ROW()-1),"")</f>
        <v>0</v>
      </c>
      <c r="J467">
        <f>IFERROR(INDEX(tblDeviceConfig[PI_Validated_By],ROW()-1),"")</f>
        <v>0</v>
      </c>
      <c r="K467">
        <f>IFERROR(INDEX(tblDeviceConfig[PI_Validated_Date],ROW()-1),"")</f>
        <v>0</v>
      </c>
      <c r="L467">
        <f t="shared" si="14"/>
        <v>0</v>
      </c>
      <c r="M467" t="str">
        <f t="shared" si="15"/>
        <v/>
      </c>
    </row>
    <row r="468" spans="1:13">
      <c r="A468">
        <f>ROW()</f>
        <v>468</v>
      </c>
      <c r="B468">
        <f>IFERROR(INDEX(tblDeviceConfig[Device Type],ROW()-1),"")</f>
        <v>0</v>
      </c>
      <c r="C468">
        <f>IFERROR(INDEX(tblDeviceConfig[Deployed],ROW()-1),"")</f>
        <v>0</v>
      </c>
      <c r="D468">
        <f>IFERROR(INDEX(tblDeviceConfig[Installed],ROW()-1),"")</f>
        <v>0</v>
      </c>
      <c r="E468">
        <f>IFERROR(INDEX(tblDeviceConfig[Cybernet Hostname],ROW()-1),"")</f>
        <v>0</v>
      </c>
      <c r="F468">
        <f>IFERROR(INDEX(tblDeviceConfig[Neuron Hostname],ROW()-1),"")</f>
        <v>0</v>
      </c>
      <c r="G468">
        <f>IFERROR(INDEX(tblDeviceConfig[Software List],ROW()-1),"")</f>
        <v>0</v>
      </c>
      <c r="H468">
        <f>IFERROR(INDEX(tblDeviceConfig[PI_Use_Case],ROW()-1),"")</f>
        <v>0</v>
      </c>
      <c r="I468">
        <f>IFERROR(INDEX(tblDeviceConfig[PI_Result],ROW()-1),"")</f>
        <v>0</v>
      </c>
      <c r="J468">
        <f>IFERROR(INDEX(tblDeviceConfig[PI_Validated_By],ROW()-1),"")</f>
        <v>0</v>
      </c>
      <c r="K468">
        <f>IFERROR(INDEX(tblDeviceConfig[PI_Validated_Date],ROW()-1),"")</f>
        <v>0</v>
      </c>
      <c r="L468">
        <f t="shared" si="14"/>
        <v>0</v>
      </c>
      <c r="M468" t="str">
        <f t="shared" si="15"/>
        <v/>
      </c>
    </row>
    <row r="469" spans="1:13">
      <c r="A469">
        <f>ROW()</f>
        <v>469</v>
      </c>
      <c r="B469">
        <f>IFERROR(INDEX(tblDeviceConfig[Device Type],ROW()-1),"")</f>
        <v>0</v>
      </c>
      <c r="C469">
        <f>IFERROR(INDEX(tblDeviceConfig[Deployed],ROW()-1),"")</f>
        <v>0</v>
      </c>
      <c r="D469">
        <f>IFERROR(INDEX(tblDeviceConfig[Installed],ROW()-1),"")</f>
        <v>0</v>
      </c>
      <c r="E469">
        <f>IFERROR(INDEX(tblDeviceConfig[Cybernet Hostname],ROW()-1),"")</f>
        <v>0</v>
      </c>
      <c r="F469">
        <f>IFERROR(INDEX(tblDeviceConfig[Neuron Hostname],ROW()-1),"")</f>
        <v>0</v>
      </c>
      <c r="G469">
        <f>IFERROR(INDEX(tblDeviceConfig[Software List],ROW()-1),"")</f>
        <v>0</v>
      </c>
      <c r="H469">
        <f>IFERROR(INDEX(tblDeviceConfig[PI_Use_Case],ROW()-1),"")</f>
        <v>0</v>
      </c>
      <c r="I469">
        <f>IFERROR(INDEX(tblDeviceConfig[PI_Result],ROW()-1),"")</f>
        <v>0</v>
      </c>
      <c r="J469">
        <f>IFERROR(INDEX(tblDeviceConfig[PI_Validated_By],ROW()-1),"")</f>
        <v>0</v>
      </c>
      <c r="K469">
        <f>IFERROR(INDEX(tblDeviceConfig[PI_Validated_Date],ROW()-1),"")</f>
        <v>0</v>
      </c>
      <c r="L469">
        <f t="shared" si="14"/>
        <v>0</v>
      </c>
      <c r="M469" t="str">
        <f t="shared" si="15"/>
        <v/>
      </c>
    </row>
    <row r="470" spans="1:13">
      <c r="A470">
        <f>ROW()</f>
        <v>470</v>
      </c>
      <c r="B470">
        <f>IFERROR(INDEX(tblDeviceConfig[Device Type],ROW()-1),"")</f>
        <v>0</v>
      </c>
      <c r="C470">
        <f>IFERROR(INDEX(tblDeviceConfig[Deployed],ROW()-1),"")</f>
        <v>0</v>
      </c>
      <c r="D470">
        <f>IFERROR(INDEX(tblDeviceConfig[Installed],ROW()-1),"")</f>
        <v>0</v>
      </c>
      <c r="E470">
        <f>IFERROR(INDEX(tblDeviceConfig[Cybernet Hostname],ROW()-1),"")</f>
        <v>0</v>
      </c>
      <c r="F470">
        <f>IFERROR(INDEX(tblDeviceConfig[Neuron Hostname],ROW()-1),"")</f>
        <v>0</v>
      </c>
      <c r="G470">
        <f>IFERROR(INDEX(tblDeviceConfig[Software List],ROW()-1),"")</f>
        <v>0</v>
      </c>
      <c r="H470">
        <f>IFERROR(INDEX(tblDeviceConfig[PI_Use_Case],ROW()-1),"")</f>
        <v>0</v>
      </c>
      <c r="I470">
        <f>IFERROR(INDEX(tblDeviceConfig[PI_Result],ROW()-1),"")</f>
        <v>0</v>
      </c>
      <c r="J470">
        <f>IFERROR(INDEX(tblDeviceConfig[PI_Validated_By],ROW()-1),"")</f>
        <v>0</v>
      </c>
      <c r="K470">
        <f>IFERROR(INDEX(tblDeviceConfig[PI_Validated_Date],ROW()-1),"")</f>
        <v>0</v>
      </c>
      <c r="L470">
        <f t="shared" si="14"/>
        <v>0</v>
      </c>
      <c r="M470" t="str">
        <f t="shared" si="15"/>
        <v/>
      </c>
    </row>
    <row r="471" spans="1:13">
      <c r="A471">
        <f>ROW()</f>
        <v>471</v>
      </c>
      <c r="B471">
        <f>IFERROR(INDEX(tblDeviceConfig[Device Type],ROW()-1),"")</f>
        <v>0</v>
      </c>
      <c r="C471">
        <f>IFERROR(INDEX(tblDeviceConfig[Deployed],ROW()-1),"")</f>
        <v>0</v>
      </c>
      <c r="D471">
        <f>IFERROR(INDEX(tblDeviceConfig[Installed],ROW()-1),"")</f>
        <v>0</v>
      </c>
      <c r="E471">
        <f>IFERROR(INDEX(tblDeviceConfig[Cybernet Hostname],ROW()-1),"")</f>
        <v>0</v>
      </c>
      <c r="F471">
        <f>IFERROR(INDEX(tblDeviceConfig[Neuron Hostname],ROW()-1),"")</f>
        <v>0</v>
      </c>
      <c r="G471">
        <f>IFERROR(INDEX(tblDeviceConfig[Software List],ROW()-1),"")</f>
        <v>0</v>
      </c>
      <c r="H471">
        <f>IFERROR(INDEX(tblDeviceConfig[PI_Use_Case],ROW()-1),"")</f>
        <v>0</v>
      </c>
      <c r="I471">
        <f>IFERROR(INDEX(tblDeviceConfig[PI_Result],ROW()-1),"")</f>
        <v>0</v>
      </c>
      <c r="J471">
        <f>IFERROR(INDEX(tblDeviceConfig[PI_Validated_By],ROW()-1),"")</f>
        <v>0</v>
      </c>
      <c r="K471">
        <f>IFERROR(INDEX(tblDeviceConfig[PI_Validated_Date],ROW()-1),"")</f>
        <v>0</v>
      </c>
      <c r="L471">
        <f t="shared" si="14"/>
        <v>0</v>
      </c>
      <c r="M471" t="str">
        <f t="shared" si="15"/>
        <v/>
      </c>
    </row>
    <row r="472" spans="1:13">
      <c r="A472">
        <f>ROW()</f>
        <v>472</v>
      </c>
      <c r="B472">
        <f>IFERROR(INDEX(tblDeviceConfig[Device Type],ROW()-1),"")</f>
        <v>0</v>
      </c>
      <c r="C472">
        <f>IFERROR(INDEX(tblDeviceConfig[Deployed],ROW()-1),"")</f>
        <v>0</v>
      </c>
      <c r="D472">
        <f>IFERROR(INDEX(tblDeviceConfig[Installed],ROW()-1),"")</f>
        <v>0</v>
      </c>
      <c r="E472">
        <f>IFERROR(INDEX(tblDeviceConfig[Cybernet Hostname],ROW()-1),"")</f>
        <v>0</v>
      </c>
      <c r="F472">
        <f>IFERROR(INDEX(tblDeviceConfig[Neuron Hostname],ROW()-1),"")</f>
        <v>0</v>
      </c>
      <c r="G472">
        <f>IFERROR(INDEX(tblDeviceConfig[Software List],ROW()-1),"")</f>
        <v>0</v>
      </c>
      <c r="H472">
        <f>IFERROR(INDEX(tblDeviceConfig[PI_Use_Case],ROW()-1),"")</f>
        <v>0</v>
      </c>
      <c r="I472">
        <f>IFERROR(INDEX(tblDeviceConfig[PI_Result],ROW()-1),"")</f>
        <v>0</v>
      </c>
      <c r="J472">
        <f>IFERROR(INDEX(tblDeviceConfig[PI_Validated_By],ROW()-1),"")</f>
        <v>0</v>
      </c>
      <c r="K472">
        <f>IFERROR(INDEX(tblDeviceConfig[PI_Validated_Date],ROW()-1),"")</f>
        <v>0</v>
      </c>
      <c r="L472">
        <f t="shared" si="14"/>
        <v>0</v>
      </c>
      <c r="M472" t="str">
        <f t="shared" si="15"/>
        <v/>
      </c>
    </row>
    <row r="473" spans="1:13">
      <c r="A473">
        <f>ROW()</f>
        <v>473</v>
      </c>
      <c r="B473">
        <f>IFERROR(INDEX(tblDeviceConfig[Device Type],ROW()-1),"")</f>
        <v>0</v>
      </c>
      <c r="C473">
        <f>IFERROR(INDEX(tblDeviceConfig[Deployed],ROW()-1),"")</f>
        <v>0</v>
      </c>
      <c r="D473">
        <f>IFERROR(INDEX(tblDeviceConfig[Installed],ROW()-1),"")</f>
        <v>0</v>
      </c>
      <c r="E473">
        <f>IFERROR(INDEX(tblDeviceConfig[Cybernet Hostname],ROW()-1),"")</f>
        <v>0</v>
      </c>
      <c r="F473">
        <f>IFERROR(INDEX(tblDeviceConfig[Neuron Hostname],ROW()-1),"")</f>
        <v>0</v>
      </c>
      <c r="G473">
        <f>IFERROR(INDEX(tblDeviceConfig[Software List],ROW()-1),"")</f>
        <v>0</v>
      </c>
      <c r="H473">
        <f>IFERROR(INDEX(tblDeviceConfig[PI_Use_Case],ROW()-1),"")</f>
        <v>0</v>
      </c>
      <c r="I473">
        <f>IFERROR(INDEX(tblDeviceConfig[PI_Result],ROW()-1),"")</f>
        <v>0</v>
      </c>
      <c r="J473">
        <f>IFERROR(INDEX(tblDeviceConfig[PI_Validated_By],ROW()-1),"")</f>
        <v>0</v>
      </c>
      <c r="K473">
        <f>IFERROR(INDEX(tblDeviceConfig[PI_Validated_Date],ROW()-1),"")</f>
        <v>0</v>
      </c>
      <c r="L473">
        <f t="shared" si="14"/>
        <v>0</v>
      </c>
      <c r="M473" t="str">
        <f t="shared" si="15"/>
        <v/>
      </c>
    </row>
    <row r="474" spans="1:13">
      <c r="A474">
        <f>ROW()</f>
        <v>474</v>
      </c>
      <c r="B474">
        <f>IFERROR(INDEX(tblDeviceConfig[Device Type],ROW()-1),"")</f>
        <v>0</v>
      </c>
      <c r="C474">
        <f>IFERROR(INDEX(tblDeviceConfig[Deployed],ROW()-1),"")</f>
        <v>0</v>
      </c>
      <c r="D474">
        <f>IFERROR(INDEX(tblDeviceConfig[Installed],ROW()-1),"")</f>
        <v>0</v>
      </c>
      <c r="E474">
        <f>IFERROR(INDEX(tblDeviceConfig[Cybernet Hostname],ROW()-1),"")</f>
        <v>0</v>
      </c>
      <c r="F474">
        <f>IFERROR(INDEX(tblDeviceConfig[Neuron Hostname],ROW()-1),"")</f>
        <v>0</v>
      </c>
      <c r="G474">
        <f>IFERROR(INDEX(tblDeviceConfig[Software List],ROW()-1),"")</f>
        <v>0</v>
      </c>
      <c r="H474">
        <f>IFERROR(INDEX(tblDeviceConfig[PI_Use_Case],ROW()-1),"")</f>
        <v>0</v>
      </c>
      <c r="I474">
        <f>IFERROR(INDEX(tblDeviceConfig[PI_Result],ROW()-1),"")</f>
        <v>0</v>
      </c>
      <c r="J474">
        <f>IFERROR(INDEX(tblDeviceConfig[PI_Validated_By],ROW()-1),"")</f>
        <v>0</v>
      </c>
      <c r="K474">
        <f>IFERROR(INDEX(tblDeviceConfig[PI_Validated_Date],ROW()-1),"")</f>
        <v>0</v>
      </c>
      <c r="L474">
        <f t="shared" si="14"/>
        <v>0</v>
      </c>
      <c r="M474" t="str">
        <f t="shared" si="15"/>
        <v/>
      </c>
    </row>
    <row r="475" spans="1:13">
      <c r="A475">
        <f>ROW()</f>
        <v>475</v>
      </c>
      <c r="B475">
        <f>IFERROR(INDEX(tblDeviceConfig[Device Type],ROW()-1),"")</f>
        <v>0</v>
      </c>
      <c r="C475">
        <f>IFERROR(INDEX(tblDeviceConfig[Deployed],ROW()-1),"")</f>
        <v>0</v>
      </c>
      <c r="D475">
        <f>IFERROR(INDEX(tblDeviceConfig[Installed],ROW()-1),"")</f>
        <v>0</v>
      </c>
      <c r="E475">
        <f>IFERROR(INDEX(tblDeviceConfig[Cybernet Hostname],ROW()-1),"")</f>
        <v>0</v>
      </c>
      <c r="F475">
        <f>IFERROR(INDEX(tblDeviceConfig[Neuron Hostname],ROW()-1),"")</f>
        <v>0</v>
      </c>
      <c r="G475">
        <f>IFERROR(INDEX(tblDeviceConfig[Software List],ROW()-1),"")</f>
        <v>0</v>
      </c>
      <c r="H475">
        <f>IFERROR(INDEX(tblDeviceConfig[PI_Use_Case],ROW()-1),"")</f>
        <v>0</v>
      </c>
      <c r="I475">
        <f>IFERROR(INDEX(tblDeviceConfig[PI_Result],ROW()-1),"")</f>
        <v>0</v>
      </c>
      <c r="J475">
        <f>IFERROR(INDEX(tblDeviceConfig[PI_Validated_By],ROW()-1),"")</f>
        <v>0</v>
      </c>
      <c r="K475">
        <f>IFERROR(INDEX(tblDeviceConfig[PI_Validated_Date],ROW()-1),"")</f>
        <v>0</v>
      </c>
      <c r="L475">
        <f t="shared" si="14"/>
        <v>0</v>
      </c>
      <c r="M475" t="str">
        <f t="shared" si="15"/>
        <v/>
      </c>
    </row>
    <row r="476" spans="1:13">
      <c r="A476">
        <f>ROW()</f>
        <v>476</v>
      </c>
      <c r="B476">
        <f>IFERROR(INDEX(tblDeviceConfig[Device Type],ROW()-1),"")</f>
        <v>0</v>
      </c>
      <c r="C476">
        <f>IFERROR(INDEX(tblDeviceConfig[Deployed],ROW()-1),"")</f>
        <v>0</v>
      </c>
      <c r="D476">
        <f>IFERROR(INDEX(tblDeviceConfig[Installed],ROW()-1),"")</f>
        <v>0</v>
      </c>
      <c r="E476">
        <f>IFERROR(INDEX(tblDeviceConfig[Cybernet Hostname],ROW()-1),"")</f>
        <v>0</v>
      </c>
      <c r="F476">
        <f>IFERROR(INDEX(tblDeviceConfig[Neuron Hostname],ROW()-1),"")</f>
        <v>0</v>
      </c>
      <c r="G476">
        <f>IFERROR(INDEX(tblDeviceConfig[Software List],ROW()-1),"")</f>
        <v>0</v>
      </c>
      <c r="H476">
        <f>IFERROR(INDEX(tblDeviceConfig[PI_Use_Case],ROW()-1),"")</f>
        <v>0</v>
      </c>
      <c r="I476">
        <f>IFERROR(INDEX(tblDeviceConfig[PI_Result],ROW()-1),"")</f>
        <v>0</v>
      </c>
      <c r="J476">
        <f>IFERROR(INDEX(tblDeviceConfig[PI_Validated_By],ROW()-1),"")</f>
        <v>0</v>
      </c>
      <c r="K476">
        <f>IFERROR(INDEX(tblDeviceConfig[PI_Validated_Date],ROW()-1),"")</f>
        <v>0</v>
      </c>
      <c r="L476">
        <f t="shared" si="14"/>
        <v>0</v>
      </c>
      <c r="M476" t="str">
        <f t="shared" si="15"/>
        <v/>
      </c>
    </row>
    <row r="477" spans="1:13">
      <c r="A477">
        <f>ROW()</f>
        <v>477</v>
      </c>
      <c r="B477">
        <f>IFERROR(INDEX(tblDeviceConfig[Device Type],ROW()-1),"")</f>
        <v>0</v>
      </c>
      <c r="C477">
        <f>IFERROR(INDEX(tblDeviceConfig[Deployed],ROW()-1),"")</f>
        <v>0</v>
      </c>
      <c r="D477">
        <f>IFERROR(INDEX(tblDeviceConfig[Installed],ROW()-1),"")</f>
        <v>0</v>
      </c>
      <c r="E477">
        <f>IFERROR(INDEX(tblDeviceConfig[Cybernet Hostname],ROW()-1),"")</f>
        <v>0</v>
      </c>
      <c r="F477">
        <f>IFERROR(INDEX(tblDeviceConfig[Neuron Hostname],ROW()-1),"")</f>
        <v>0</v>
      </c>
      <c r="G477">
        <f>IFERROR(INDEX(tblDeviceConfig[Software List],ROW()-1),"")</f>
        <v>0</v>
      </c>
      <c r="H477">
        <f>IFERROR(INDEX(tblDeviceConfig[PI_Use_Case],ROW()-1),"")</f>
        <v>0</v>
      </c>
      <c r="I477">
        <f>IFERROR(INDEX(tblDeviceConfig[PI_Result],ROW()-1),"")</f>
        <v>0</v>
      </c>
      <c r="J477">
        <f>IFERROR(INDEX(tblDeviceConfig[PI_Validated_By],ROW()-1),"")</f>
        <v>0</v>
      </c>
      <c r="K477">
        <f>IFERROR(INDEX(tblDeviceConfig[PI_Validated_Date],ROW()-1),"")</f>
        <v>0</v>
      </c>
      <c r="L477">
        <f t="shared" si="14"/>
        <v>0</v>
      </c>
      <c r="M477" t="str">
        <f t="shared" si="15"/>
        <v/>
      </c>
    </row>
    <row r="478" spans="1:13">
      <c r="A478">
        <f>ROW()</f>
        <v>478</v>
      </c>
      <c r="B478">
        <f>IFERROR(INDEX(tblDeviceConfig[Device Type],ROW()-1),"")</f>
        <v>0</v>
      </c>
      <c r="C478">
        <f>IFERROR(INDEX(tblDeviceConfig[Deployed],ROW()-1),"")</f>
        <v>0</v>
      </c>
      <c r="D478">
        <f>IFERROR(INDEX(tblDeviceConfig[Installed],ROW()-1),"")</f>
        <v>0</v>
      </c>
      <c r="E478">
        <f>IFERROR(INDEX(tblDeviceConfig[Cybernet Hostname],ROW()-1),"")</f>
        <v>0</v>
      </c>
      <c r="F478">
        <f>IFERROR(INDEX(tblDeviceConfig[Neuron Hostname],ROW()-1),"")</f>
        <v>0</v>
      </c>
      <c r="G478">
        <f>IFERROR(INDEX(tblDeviceConfig[Software List],ROW()-1),"")</f>
        <v>0</v>
      </c>
      <c r="H478">
        <f>IFERROR(INDEX(tblDeviceConfig[PI_Use_Case],ROW()-1),"")</f>
        <v>0</v>
      </c>
      <c r="I478">
        <f>IFERROR(INDEX(tblDeviceConfig[PI_Result],ROW()-1),"")</f>
        <v>0</v>
      </c>
      <c r="J478">
        <f>IFERROR(INDEX(tblDeviceConfig[PI_Validated_By],ROW()-1),"")</f>
        <v>0</v>
      </c>
      <c r="K478">
        <f>IFERROR(INDEX(tblDeviceConfig[PI_Validated_Date],ROW()-1),"")</f>
        <v>0</v>
      </c>
      <c r="L478">
        <f t="shared" si="14"/>
        <v>0</v>
      </c>
      <c r="M478" t="str">
        <f t="shared" si="15"/>
        <v/>
      </c>
    </row>
    <row r="479" spans="1:13">
      <c r="A479">
        <f>ROW()</f>
        <v>479</v>
      </c>
      <c r="B479">
        <f>IFERROR(INDEX(tblDeviceConfig[Device Type],ROW()-1),"")</f>
        <v>0</v>
      </c>
      <c r="C479">
        <f>IFERROR(INDEX(tblDeviceConfig[Deployed],ROW()-1),"")</f>
        <v>0</v>
      </c>
      <c r="D479">
        <f>IFERROR(INDEX(tblDeviceConfig[Installed],ROW()-1),"")</f>
        <v>0</v>
      </c>
      <c r="E479">
        <f>IFERROR(INDEX(tblDeviceConfig[Cybernet Hostname],ROW()-1),"")</f>
        <v>0</v>
      </c>
      <c r="F479">
        <f>IFERROR(INDEX(tblDeviceConfig[Neuron Hostname],ROW()-1),"")</f>
        <v>0</v>
      </c>
      <c r="G479">
        <f>IFERROR(INDEX(tblDeviceConfig[Software List],ROW()-1),"")</f>
        <v>0</v>
      </c>
      <c r="H479">
        <f>IFERROR(INDEX(tblDeviceConfig[PI_Use_Case],ROW()-1),"")</f>
        <v>0</v>
      </c>
      <c r="I479">
        <f>IFERROR(INDEX(tblDeviceConfig[PI_Result],ROW()-1),"")</f>
        <v>0</v>
      </c>
      <c r="J479">
        <f>IFERROR(INDEX(tblDeviceConfig[PI_Validated_By],ROW()-1),"")</f>
        <v>0</v>
      </c>
      <c r="K479">
        <f>IFERROR(INDEX(tblDeviceConfig[PI_Validated_Date],ROW()-1),"")</f>
        <v>0</v>
      </c>
      <c r="L479">
        <f t="shared" si="14"/>
        <v>0</v>
      </c>
      <c r="M479" t="str">
        <f t="shared" si="15"/>
        <v/>
      </c>
    </row>
    <row r="480" spans="1:13">
      <c r="A480">
        <f>ROW()</f>
        <v>480</v>
      </c>
      <c r="B480">
        <f>IFERROR(INDEX(tblDeviceConfig[Device Type],ROW()-1),"")</f>
        <v>0</v>
      </c>
      <c r="C480">
        <f>IFERROR(INDEX(tblDeviceConfig[Deployed],ROW()-1),"")</f>
        <v>0</v>
      </c>
      <c r="D480">
        <f>IFERROR(INDEX(tblDeviceConfig[Installed],ROW()-1),"")</f>
        <v>0</v>
      </c>
      <c r="E480">
        <f>IFERROR(INDEX(tblDeviceConfig[Cybernet Hostname],ROW()-1),"")</f>
        <v>0</v>
      </c>
      <c r="F480">
        <f>IFERROR(INDEX(tblDeviceConfig[Neuron Hostname],ROW()-1),"")</f>
        <v>0</v>
      </c>
      <c r="G480">
        <f>IFERROR(INDEX(tblDeviceConfig[Software List],ROW()-1),"")</f>
        <v>0</v>
      </c>
      <c r="H480">
        <f>IFERROR(INDEX(tblDeviceConfig[PI_Use_Case],ROW()-1),"")</f>
        <v>0</v>
      </c>
      <c r="I480">
        <f>IFERROR(INDEX(tblDeviceConfig[PI_Result],ROW()-1),"")</f>
        <v>0</v>
      </c>
      <c r="J480">
        <f>IFERROR(INDEX(tblDeviceConfig[PI_Validated_By],ROW()-1),"")</f>
        <v>0</v>
      </c>
      <c r="K480">
        <f>IFERROR(INDEX(tblDeviceConfig[PI_Validated_Date],ROW()-1),"")</f>
        <v>0</v>
      </c>
      <c r="L480">
        <f t="shared" si="14"/>
        <v>0</v>
      </c>
      <c r="M480" t="str">
        <f t="shared" si="15"/>
        <v/>
      </c>
    </row>
    <row r="481" spans="1:13">
      <c r="A481">
        <f>ROW()</f>
        <v>481</v>
      </c>
      <c r="B481">
        <f>IFERROR(INDEX(tblDeviceConfig[Device Type],ROW()-1),"")</f>
        <v>0</v>
      </c>
      <c r="C481">
        <f>IFERROR(INDEX(tblDeviceConfig[Deployed],ROW()-1),"")</f>
        <v>0</v>
      </c>
      <c r="D481">
        <f>IFERROR(INDEX(tblDeviceConfig[Installed],ROW()-1),"")</f>
        <v>0</v>
      </c>
      <c r="E481">
        <f>IFERROR(INDEX(tblDeviceConfig[Cybernet Hostname],ROW()-1),"")</f>
        <v>0</v>
      </c>
      <c r="F481">
        <f>IFERROR(INDEX(tblDeviceConfig[Neuron Hostname],ROW()-1),"")</f>
        <v>0</v>
      </c>
      <c r="G481">
        <f>IFERROR(INDEX(tblDeviceConfig[Software List],ROW()-1),"")</f>
        <v>0</v>
      </c>
      <c r="H481">
        <f>IFERROR(INDEX(tblDeviceConfig[PI_Use_Case],ROW()-1),"")</f>
        <v>0</v>
      </c>
      <c r="I481">
        <f>IFERROR(INDEX(tblDeviceConfig[PI_Result],ROW()-1),"")</f>
        <v>0</v>
      </c>
      <c r="J481">
        <f>IFERROR(INDEX(tblDeviceConfig[PI_Validated_By],ROW()-1),"")</f>
        <v>0</v>
      </c>
      <c r="K481">
        <f>IFERROR(INDEX(tblDeviceConfig[PI_Validated_Date],ROW()-1),"")</f>
        <v>0</v>
      </c>
      <c r="L481">
        <f t="shared" si="14"/>
        <v>0</v>
      </c>
      <c r="M481" t="str">
        <f t="shared" si="15"/>
        <v/>
      </c>
    </row>
    <row r="482" spans="1:13">
      <c r="A482">
        <f>ROW()</f>
        <v>482</v>
      </c>
      <c r="B482">
        <f>IFERROR(INDEX(tblDeviceConfig[Device Type],ROW()-1),"")</f>
        <v>0</v>
      </c>
      <c r="C482">
        <f>IFERROR(INDEX(tblDeviceConfig[Deployed],ROW()-1),"")</f>
        <v>0</v>
      </c>
      <c r="D482">
        <f>IFERROR(INDEX(tblDeviceConfig[Installed],ROW()-1),"")</f>
        <v>0</v>
      </c>
      <c r="E482">
        <f>IFERROR(INDEX(tblDeviceConfig[Cybernet Hostname],ROW()-1),"")</f>
        <v>0</v>
      </c>
      <c r="F482">
        <f>IFERROR(INDEX(tblDeviceConfig[Neuron Hostname],ROW()-1),"")</f>
        <v>0</v>
      </c>
      <c r="G482">
        <f>IFERROR(INDEX(tblDeviceConfig[Software List],ROW()-1),"")</f>
        <v>0</v>
      </c>
      <c r="H482">
        <f>IFERROR(INDEX(tblDeviceConfig[PI_Use_Case],ROW()-1),"")</f>
        <v>0</v>
      </c>
      <c r="I482">
        <f>IFERROR(INDEX(tblDeviceConfig[PI_Result],ROW()-1),"")</f>
        <v>0</v>
      </c>
      <c r="J482">
        <f>IFERROR(INDEX(tblDeviceConfig[PI_Validated_By],ROW()-1),"")</f>
        <v>0</v>
      </c>
      <c r="K482">
        <f>IFERROR(INDEX(tblDeviceConfig[PI_Validated_Date],ROW()-1),"")</f>
        <v>0</v>
      </c>
      <c r="L482">
        <f t="shared" si="14"/>
        <v>0</v>
      </c>
      <c r="M482" t="str">
        <f t="shared" si="15"/>
        <v/>
      </c>
    </row>
    <row r="483" spans="1:13">
      <c r="A483">
        <f>ROW()</f>
        <v>483</v>
      </c>
      <c r="B483">
        <f>IFERROR(INDEX(tblDeviceConfig[Device Type],ROW()-1),"")</f>
        <v>0</v>
      </c>
      <c r="C483">
        <f>IFERROR(INDEX(tblDeviceConfig[Deployed],ROW()-1),"")</f>
        <v>0</v>
      </c>
      <c r="D483">
        <f>IFERROR(INDEX(tblDeviceConfig[Installed],ROW()-1),"")</f>
        <v>0</v>
      </c>
      <c r="E483">
        <f>IFERROR(INDEX(tblDeviceConfig[Cybernet Hostname],ROW()-1),"")</f>
        <v>0</v>
      </c>
      <c r="F483">
        <f>IFERROR(INDEX(tblDeviceConfig[Neuron Hostname],ROW()-1),"")</f>
        <v>0</v>
      </c>
      <c r="G483">
        <f>IFERROR(INDEX(tblDeviceConfig[Software List],ROW()-1),"")</f>
        <v>0</v>
      </c>
      <c r="H483">
        <f>IFERROR(INDEX(tblDeviceConfig[PI_Use_Case],ROW()-1),"")</f>
        <v>0</v>
      </c>
      <c r="I483">
        <f>IFERROR(INDEX(tblDeviceConfig[PI_Result],ROW()-1),"")</f>
        <v>0</v>
      </c>
      <c r="J483">
        <f>IFERROR(INDEX(tblDeviceConfig[PI_Validated_By],ROW()-1),"")</f>
        <v>0</v>
      </c>
      <c r="K483">
        <f>IFERROR(INDEX(tblDeviceConfig[PI_Validated_Date],ROW()-1),"")</f>
        <v>0</v>
      </c>
      <c r="L483">
        <f t="shared" si="14"/>
        <v>0</v>
      </c>
      <c r="M483" t="str">
        <f t="shared" si="15"/>
        <v/>
      </c>
    </row>
    <row r="484" spans="1:13">
      <c r="A484">
        <f>ROW()</f>
        <v>484</v>
      </c>
      <c r="B484">
        <f>IFERROR(INDEX(tblDeviceConfig[Device Type],ROW()-1),"")</f>
        <v>0</v>
      </c>
      <c r="C484">
        <f>IFERROR(INDEX(tblDeviceConfig[Deployed],ROW()-1),"")</f>
        <v>0</v>
      </c>
      <c r="D484">
        <f>IFERROR(INDEX(tblDeviceConfig[Installed],ROW()-1),"")</f>
        <v>0</v>
      </c>
      <c r="E484">
        <f>IFERROR(INDEX(tblDeviceConfig[Cybernet Hostname],ROW()-1),"")</f>
        <v>0</v>
      </c>
      <c r="F484">
        <f>IFERROR(INDEX(tblDeviceConfig[Neuron Hostname],ROW()-1),"")</f>
        <v>0</v>
      </c>
      <c r="G484">
        <f>IFERROR(INDEX(tblDeviceConfig[Software List],ROW()-1),"")</f>
        <v>0</v>
      </c>
      <c r="H484">
        <f>IFERROR(INDEX(tblDeviceConfig[PI_Use_Case],ROW()-1),"")</f>
        <v>0</v>
      </c>
      <c r="I484">
        <f>IFERROR(INDEX(tblDeviceConfig[PI_Result],ROW()-1),"")</f>
        <v>0</v>
      </c>
      <c r="J484">
        <f>IFERROR(INDEX(tblDeviceConfig[PI_Validated_By],ROW()-1),"")</f>
        <v>0</v>
      </c>
      <c r="K484">
        <f>IFERROR(INDEX(tblDeviceConfig[PI_Validated_Date],ROW()-1),"")</f>
        <v>0</v>
      </c>
      <c r="L484">
        <f t="shared" si="14"/>
        <v>0</v>
      </c>
      <c r="M484" t="str">
        <f t="shared" si="15"/>
        <v/>
      </c>
    </row>
    <row r="485" spans="1:13">
      <c r="A485">
        <f>ROW()</f>
        <v>485</v>
      </c>
      <c r="B485">
        <f>IFERROR(INDEX(tblDeviceConfig[Device Type],ROW()-1),"")</f>
        <v>0</v>
      </c>
      <c r="C485">
        <f>IFERROR(INDEX(tblDeviceConfig[Deployed],ROW()-1),"")</f>
        <v>0</v>
      </c>
      <c r="D485">
        <f>IFERROR(INDEX(tblDeviceConfig[Installed],ROW()-1),"")</f>
        <v>0</v>
      </c>
      <c r="E485">
        <f>IFERROR(INDEX(tblDeviceConfig[Cybernet Hostname],ROW()-1),"")</f>
        <v>0</v>
      </c>
      <c r="F485">
        <f>IFERROR(INDEX(tblDeviceConfig[Neuron Hostname],ROW()-1),"")</f>
        <v>0</v>
      </c>
      <c r="G485">
        <f>IFERROR(INDEX(tblDeviceConfig[Software List],ROW()-1),"")</f>
        <v>0</v>
      </c>
      <c r="H485">
        <f>IFERROR(INDEX(tblDeviceConfig[PI_Use_Case],ROW()-1),"")</f>
        <v>0</v>
      </c>
      <c r="I485">
        <f>IFERROR(INDEX(tblDeviceConfig[PI_Result],ROW()-1),"")</f>
        <v>0</v>
      </c>
      <c r="J485">
        <f>IFERROR(INDEX(tblDeviceConfig[PI_Validated_By],ROW()-1),"")</f>
        <v>0</v>
      </c>
      <c r="K485">
        <f>IFERROR(INDEX(tblDeviceConfig[PI_Validated_Date],ROW()-1),"")</f>
        <v>0</v>
      </c>
      <c r="L485">
        <f t="shared" si="14"/>
        <v>0</v>
      </c>
      <c r="M485" t="str">
        <f t="shared" si="15"/>
        <v/>
      </c>
    </row>
    <row r="486" spans="1:13">
      <c r="A486">
        <f>ROW()</f>
        <v>486</v>
      </c>
      <c r="B486">
        <f>IFERROR(INDEX(tblDeviceConfig[Device Type],ROW()-1),"")</f>
        <v>0</v>
      </c>
      <c r="C486">
        <f>IFERROR(INDEX(tblDeviceConfig[Deployed],ROW()-1),"")</f>
        <v>0</v>
      </c>
      <c r="D486">
        <f>IFERROR(INDEX(tblDeviceConfig[Installed],ROW()-1),"")</f>
        <v>0</v>
      </c>
      <c r="E486">
        <f>IFERROR(INDEX(tblDeviceConfig[Cybernet Hostname],ROW()-1),"")</f>
        <v>0</v>
      </c>
      <c r="F486">
        <f>IFERROR(INDEX(tblDeviceConfig[Neuron Hostname],ROW()-1),"")</f>
        <v>0</v>
      </c>
      <c r="G486">
        <f>IFERROR(INDEX(tblDeviceConfig[Software List],ROW()-1),"")</f>
        <v>0</v>
      </c>
      <c r="H486">
        <f>IFERROR(INDEX(tblDeviceConfig[PI_Use_Case],ROW()-1),"")</f>
        <v>0</v>
      </c>
      <c r="I486">
        <f>IFERROR(INDEX(tblDeviceConfig[PI_Result],ROW()-1),"")</f>
        <v>0</v>
      </c>
      <c r="J486">
        <f>IFERROR(INDEX(tblDeviceConfig[PI_Validated_By],ROW()-1),"")</f>
        <v>0</v>
      </c>
      <c r="K486">
        <f>IFERROR(INDEX(tblDeviceConfig[PI_Validated_Date],ROW()-1),"")</f>
        <v>0</v>
      </c>
      <c r="L486">
        <f t="shared" si="14"/>
        <v>0</v>
      </c>
      <c r="M486" t="str">
        <f t="shared" si="15"/>
        <v/>
      </c>
    </row>
    <row r="487" spans="1:13">
      <c r="A487">
        <f>ROW()</f>
        <v>487</v>
      </c>
      <c r="B487">
        <f>IFERROR(INDEX(tblDeviceConfig[Device Type],ROW()-1),"")</f>
        <v>0</v>
      </c>
      <c r="C487">
        <f>IFERROR(INDEX(tblDeviceConfig[Deployed],ROW()-1),"")</f>
        <v>0</v>
      </c>
      <c r="D487">
        <f>IFERROR(INDEX(tblDeviceConfig[Installed],ROW()-1),"")</f>
        <v>0</v>
      </c>
      <c r="E487">
        <f>IFERROR(INDEX(tblDeviceConfig[Cybernet Hostname],ROW()-1),"")</f>
        <v>0</v>
      </c>
      <c r="F487">
        <f>IFERROR(INDEX(tblDeviceConfig[Neuron Hostname],ROW()-1),"")</f>
        <v>0</v>
      </c>
      <c r="G487">
        <f>IFERROR(INDEX(tblDeviceConfig[Software List],ROW()-1),"")</f>
        <v>0</v>
      </c>
      <c r="H487">
        <f>IFERROR(INDEX(tblDeviceConfig[PI_Use_Case],ROW()-1),"")</f>
        <v>0</v>
      </c>
      <c r="I487">
        <f>IFERROR(INDEX(tblDeviceConfig[PI_Result],ROW()-1),"")</f>
        <v>0</v>
      </c>
      <c r="J487">
        <f>IFERROR(INDEX(tblDeviceConfig[PI_Validated_By],ROW()-1),"")</f>
        <v>0</v>
      </c>
      <c r="K487">
        <f>IFERROR(INDEX(tblDeviceConfig[PI_Validated_Date],ROW()-1),"")</f>
        <v>0</v>
      </c>
      <c r="L487">
        <f t="shared" si="14"/>
        <v>0</v>
      </c>
      <c r="M487" t="str">
        <f t="shared" si="15"/>
        <v/>
      </c>
    </row>
    <row r="488" spans="1:13">
      <c r="A488">
        <f>ROW()</f>
        <v>488</v>
      </c>
      <c r="B488">
        <f>IFERROR(INDEX(tblDeviceConfig[Device Type],ROW()-1),"")</f>
        <v>0</v>
      </c>
      <c r="C488">
        <f>IFERROR(INDEX(tblDeviceConfig[Deployed],ROW()-1),"")</f>
        <v>0</v>
      </c>
      <c r="D488">
        <f>IFERROR(INDEX(tblDeviceConfig[Installed],ROW()-1),"")</f>
        <v>0</v>
      </c>
      <c r="E488">
        <f>IFERROR(INDEX(tblDeviceConfig[Cybernet Hostname],ROW()-1),"")</f>
        <v>0</v>
      </c>
      <c r="F488">
        <f>IFERROR(INDEX(tblDeviceConfig[Neuron Hostname],ROW()-1),"")</f>
        <v>0</v>
      </c>
      <c r="G488">
        <f>IFERROR(INDEX(tblDeviceConfig[Software List],ROW()-1),"")</f>
        <v>0</v>
      </c>
      <c r="H488">
        <f>IFERROR(INDEX(tblDeviceConfig[PI_Use_Case],ROW()-1),"")</f>
        <v>0</v>
      </c>
      <c r="I488">
        <f>IFERROR(INDEX(tblDeviceConfig[PI_Result],ROW()-1),"")</f>
        <v>0</v>
      </c>
      <c r="J488">
        <f>IFERROR(INDEX(tblDeviceConfig[PI_Validated_By],ROW()-1),"")</f>
        <v>0</v>
      </c>
      <c r="K488">
        <f>IFERROR(INDEX(tblDeviceConfig[PI_Validated_Date],ROW()-1),"")</f>
        <v>0</v>
      </c>
      <c r="L488">
        <f t="shared" si="14"/>
        <v>0</v>
      </c>
      <c r="M488" t="str">
        <f t="shared" si="15"/>
        <v/>
      </c>
    </row>
    <row r="489" spans="1:13">
      <c r="A489">
        <f>ROW()</f>
        <v>489</v>
      </c>
      <c r="B489">
        <f>IFERROR(INDEX(tblDeviceConfig[Device Type],ROW()-1),"")</f>
        <v>0</v>
      </c>
      <c r="C489">
        <f>IFERROR(INDEX(tblDeviceConfig[Deployed],ROW()-1),"")</f>
        <v>0</v>
      </c>
      <c r="D489">
        <f>IFERROR(INDEX(tblDeviceConfig[Installed],ROW()-1),"")</f>
        <v>0</v>
      </c>
      <c r="E489">
        <f>IFERROR(INDEX(tblDeviceConfig[Cybernet Hostname],ROW()-1),"")</f>
        <v>0</v>
      </c>
      <c r="F489">
        <f>IFERROR(INDEX(tblDeviceConfig[Neuron Hostname],ROW()-1),"")</f>
        <v>0</v>
      </c>
      <c r="G489">
        <f>IFERROR(INDEX(tblDeviceConfig[Software List],ROW()-1),"")</f>
        <v>0</v>
      </c>
      <c r="H489">
        <f>IFERROR(INDEX(tblDeviceConfig[PI_Use_Case],ROW()-1),"")</f>
        <v>0</v>
      </c>
      <c r="I489">
        <f>IFERROR(INDEX(tblDeviceConfig[PI_Result],ROW()-1),"")</f>
        <v>0</v>
      </c>
      <c r="J489">
        <f>IFERROR(INDEX(tblDeviceConfig[PI_Validated_By],ROW()-1),"")</f>
        <v>0</v>
      </c>
      <c r="K489">
        <f>IFERROR(INDEX(tblDeviceConfig[PI_Validated_Date],ROW()-1),"")</f>
        <v>0</v>
      </c>
      <c r="L489">
        <f t="shared" si="14"/>
        <v>0</v>
      </c>
      <c r="M489" t="str">
        <f t="shared" si="15"/>
        <v/>
      </c>
    </row>
    <row r="490" spans="1:13">
      <c r="A490">
        <f>ROW()</f>
        <v>490</v>
      </c>
      <c r="B490">
        <f>IFERROR(INDEX(tblDeviceConfig[Device Type],ROW()-1),"")</f>
        <v>0</v>
      </c>
      <c r="C490">
        <f>IFERROR(INDEX(tblDeviceConfig[Deployed],ROW()-1),"")</f>
        <v>0</v>
      </c>
      <c r="D490">
        <f>IFERROR(INDEX(tblDeviceConfig[Installed],ROW()-1),"")</f>
        <v>0</v>
      </c>
      <c r="E490">
        <f>IFERROR(INDEX(tblDeviceConfig[Cybernet Hostname],ROW()-1),"")</f>
        <v>0</v>
      </c>
      <c r="F490">
        <f>IFERROR(INDEX(tblDeviceConfig[Neuron Hostname],ROW()-1),"")</f>
        <v>0</v>
      </c>
      <c r="G490">
        <f>IFERROR(INDEX(tblDeviceConfig[Software List],ROW()-1),"")</f>
        <v>0</v>
      </c>
      <c r="H490">
        <f>IFERROR(INDEX(tblDeviceConfig[PI_Use_Case],ROW()-1),"")</f>
        <v>0</v>
      </c>
      <c r="I490">
        <f>IFERROR(INDEX(tblDeviceConfig[PI_Result],ROW()-1),"")</f>
        <v>0</v>
      </c>
      <c r="J490">
        <f>IFERROR(INDEX(tblDeviceConfig[PI_Validated_By],ROW()-1),"")</f>
        <v>0</v>
      </c>
      <c r="K490">
        <f>IFERROR(INDEX(tblDeviceConfig[PI_Validated_Date],ROW()-1),"")</f>
        <v>0</v>
      </c>
      <c r="L490">
        <f t="shared" si="14"/>
        <v>0</v>
      </c>
      <c r="M490" t="str">
        <f t="shared" si="15"/>
        <v/>
      </c>
    </row>
    <row r="491" spans="1:13">
      <c r="A491">
        <f>ROW()</f>
        <v>491</v>
      </c>
      <c r="B491">
        <f>IFERROR(INDEX(tblDeviceConfig[Device Type],ROW()-1),"")</f>
        <v>0</v>
      </c>
      <c r="C491">
        <f>IFERROR(INDEX(tblDeviceConfig[Deployed],ROW()-1),"")</f>
        <v>0</v>
      </c>
      <c r="D491">
        <f>IFERROR(INDEX(tblDeviceConfig[Installed],ROW()-1),"")</f>
        <v>0</v>
      </c>
      <c r="E491">
        <f>IFERROR(INDEX(tblDeviceConfig[Cybernet Hostname],ROW()-1),"")</f>
        <v>0</v>
      </c>
      <c r="F491">
        <f>IFERROR(INDEX(tblDeviceConfig[Neuron Hostname],ROW()-1),"")</f>
        <v>0</v>
      </c>
      <c r="G491">
        <f>IFERROR(INDEX(tblDeviceConfig[Software List],ROW()-1),"")</f>
        <v>0</v>
      </c>
      <c r="H491">
        <f>IFERROR(INDEX(tblDeviceConfig[PI_Use_Case],ROW()-1),"")</f>
        <v>0</v>
      </c>
      <c r="I491">
        <f>IFERROR(INDEX(tblDeviceConfig[PI_Result],ROW()-1),"")</f>
        <v>0</v>
      </c>
      <c r="J491">
        <f>IFERROR(INDEX(tblDeviceConfig[PI_Validated_By],ROW()-1),"")</f>
        <v>0</v>
      </c>
      <c r="K491">
        <f>IFERROR(INDEX(tblDeviceConfig[PI_Validated_Date],ROW()-1),"")</f>
        <v>0</v>
      </c>
      <c r="L491">
        <f t="shared" si="14"/>
        <v>0</v>
      </c>
      <c r="M491" t="str">
        <f t="shared" si="15"/>
        <v/>
      </c>
    </row>
    <row r="492" spans="1:13">
      <c r="A492">
        <f>ROW()</f>
        <v>492</v>
      </c>
      <c r="B492">
        <f>IFERROR(INDEX(tblDeviceConfig[Device Type],ROW()-1),"")</f>
        <v>0</v>
      </c>
      <c r="C492">
        <f>IFERROR(INDEX(tblDeviceConfig[Deployed],ROW()-1),"")</f>
        <v>0</v>
      </c>
      <c r="D492">
        <f>IFERROR(INDEX(tblDeviceConfig[Installed],ROW()-1),"")</f>
        <v>0</v>
      </c>
      <c r="E492">
        <f>IFERROR(INDEX(tblDeviceConfig[Cybernet Hostname],ROW()-1),"")</f>
        <v>0</v>
      </c>
      <c r="F492">
        <f>IFERROR(INDEX(tblDeviceConfig[Neuron Hostname],ROW()-1),"")</f>
        <v>0</v>
      </c>
      <c r="G492">
        <f>IFERROR(INDEX(tblDeviceConfig[Software List],ROW()-1),"")</f>
        <v>0</v>
      </c>
      <c r="H492">
        <f>IFERROR(INDEX(tblDeviceConfig[PI_Use_Case],ROW()-1),"")</f>
        <v>0</v>
      </c>
      <c r="I492">
        <f>IFERROR(INDEX(tblDeviceConfig[PI_Result],ROW()-1),"")</f>
        <v>0</v>
      </c>
      <c r="J492">
        <f>IFERROR(INDEX(tblDeviceConfig[PI_Validated_By],ROW()-1),"")</f>
        <v>0</v>
      </c>
      <c r="K492">
        <f>IFERROR(INDEX(tblDeviceConfig[PI_Validated_Date],ROW()-1),"")</f>
        <v>0</v>
      </c>
      <c r="L492">
        <f t="shared" si="14"/>
        <v>0</v>
      </c>
      <c r="M492" t="str">
        <f t="shared" si="15"/>
        <v/>
      </c>
    </row>
    <row r="493" spans="1:13">
      <c r="A493">
        <f>ROW()</f>
        <v>493</v>
      </c>
      <c r="B493">
        <f>IFERROR(INDEX(tblDeviceConfig[Device Type],ROW()-1),"")</f>
        <v>0</v>
      </c>
      <c r="C493">
        <f>IFERROR(INDEX(tblDeviceConfig[Deployed],ROW()-1),"")</f>
        <v>0</v>
      </c>
      <c r="D493">
        <f>IFERROR(INDEX(tblDeviceConfig[Installed],ROW()-1),"")</f>
        <v>0</v>
      </c>
      <c r="E493">
        <f>IFERROR(INDEX(tblDeviceConfig[Cybernet Hostname],ROW()-1),"")</f>
        <v>0</v>
      </c>
      <c r="F493">
        <f>IFERROR(INDEX(tblDeviceConfig[Neuron Hostname],ROW()-1),"")</f>
        <v>0</v>
      </c>
      <c r="G493">
        <f>IFERROR(INDEX(tblDeviceConfig[Software List],ROW()-1),"")</f>
        <v>0</v>
      </c>
      <c r="H493">
        <f>IFERROR(INDEX(tblDeviceConfig[PI_Use_Case],ROW()-1),"")</f>
        <v>0</v>
      </c>
      <c r="I493">
        <f>IFERROR(INDEX(tblDeviceConfig[PI_Result],ROW()-1),"")</f>
        <v>0</v>
      </c>
      <c r="J493">
        <f>IFERROR(INDEX(tblDeviceConfig[PI_Validated_By],ROW()-1),"")</f>
        <v>0</v>
      </c>
      <c r="K493">
        <f>IFERROR(INDEX(tblDeviceConfig[PI_Validated_Date],ROW()-1),"")</f>
        <v>0</v>
      </c>
      <c r="L493">
        <f t="shared" si="14"/>
        <v>0</v>
      </c>
      <c r="M493" t="str">
        <f t="shared" si="15"/>
        <v/>
      </c>
    </row>
    <row r="494" spans="1:13">
      <c r="A494">
        <f>ROW()</f>
        <v>494</v>
      </c>
      <c r="B494">
        <f>IFERROR(INDEX(tblDeviceConfig[Device Type],ROW()-1),"")</f>
        <v>0</v>
      </c>
      <c r="C494">
        <f>IFERROR(INDEX(tblDeviceConfig[Deployed],ROW()-1),"")</f>
        <v>0</v>
      </c>
      <c r="D494">
        <f>IFERROR(INDEX(tblDeviceConfig[Installed],ROW()-1),"")</f>
        <v>0</v>
      </c>
      <c r="E494">
        <f>IFERROR(INDEX(tblDeviceConfig[Cybernet Hostname],ROW()-1),"")</f>
        <v>0</v>
      </c>
      <c r="F494">
        <f>IFERROR(INDEX(tblDeviceConfig[Neuron Hostname],ROW()-1),"")</f>
        <v>0</v>
      </c>
      <c r="G494">
        <f>IFERROR(INDEX(tblDeviceConfig[Software List],ROW()-1),"")</f>
        <v>0</v>
      </c>
      <c r="H494">
        <f>IFERROR(INDEX(tblDeviceConfig[PI_Use_Case],ROW()-1),"")</f>
        <v>0</v>
      </c>
      <c r="I494">
        <f>IFERROR(INDEX(tblDeviceConfig[PI_Result],ROW()-1),"")</f>
        <v>0</v>
      </c>
      <c r="J494">
        <f>IFERROR(INDEX(tblDeviceConfig[PI_Validated_By],ROW()-1),"")</f>
        <v>0</v>
      </c>
      <c r="K494">
        <f>IFERROR(INDEX(tblDeviceConfig[PI_Validated_Date],ROW()-1),"")</f>
        <v>0</v>
      </c>
      <c r="L494">
        <f t="shared" si="14"/>
        <v>0</v>
      </c>
      <c r="M494" t="str">
        <f t="shared" si="15"/>
        <v/>
      </c>
    </row>
    <row r="495" spans="1:13">
      <c r="A495">
        <f>ROW()</f>
        <v>495</v>
      </c>
      <c r="B495">
        <f>IFERROR(INDEX(tblDeviceConfig[Device Type],ROW()-1),"")</f>
        <v>0</v>
      </c>
      <c r="C495">
        <f>IFERROR(INDEX(tblDeviceConfig[Deployed],ROW()-1),"")</f>
        <v>0</v>
      </c>
      <c r="D495">
        <f>IFERROR(INDEX(tblDeviceConfig[Installed],ROW()-1),"")</f>
        <v>0</v>
      </c>
      <c r="E495">
        <f>IFERROR(INDEX(tblDeviceConfig[Cybernet Hostname],ROW()-1),"")</f>
        <v>0</v>
      </c>
      <c r="F495">
        <f>IFERROR(INDEX(tblDeviceConfig[Neuron Hostname],ROW()-1),"")</f>
        <v>0</v>
      </c>
      <c r="G495">
        <f>IFERROR(INDEX(tblDeviceConfig[Software List],ROW()-1),"")</f>
        <v>0</v>
      </c>
      <c r="H495">
        <f>IFERROR(INDEX(tblDeviceConfig[PI_Use_Case],ROW()-1),"")</f>
        <v>0</v>
      </c>
      <c r="I495">
        <f>IFERROR(INDEX(tblDeviceConfig[PI_Result],ROW()-1),"")</f>
        <v>0</v>
      </c>
      <c r="J495">
        <f>IFERROR(INDEX(tblDeviceConfig[PI_Validated_By],ROW()-1),"")</f>
        <v>0</v>
      </c>
      <c r="K495">
        <f>IFERROR(INDEX(tblDeviceConfig[PI_Validated_Date],ROW()-1),"")</f>
        <v>0</v>
      </c>
      <c r="L495">
        <f t="shared" si="14"/>
        <v>0</v>
      </c>
      <c r="M495" t="str">
        <f t="shared" si="15"/>
        <v/>
      </c>
    </row>
    <row r="496" spans="1:13">
      <c r="A496">
        <f>ROW()</f>
        <v>496</v>
      </c>
      <c r="B496">
        <f>IFERROR(INDEX(tblDeviceConfig[Device Type],ROW()-1),"")</f>
        <v>0</v>
      </c>
      <c r="C496">
        <f>IFERROR(INDEX(tblDeviceConfig[Deployed],ROW()-1),"")</f>
        <v>0</v>
      </c>
      <c r="D496">
        <f>IFERROR(INDEX(tblDeviceConfig[Installed],ROW()-1),"")</f>
        <v>0</v>
      </c>
      <c r="E496">
        <f>IFERROR(INDEX(tblDeviceConfig[Cybernet Hostname],ROW()-1),"")</f>
        <v>0</v>
      </c>
      <c r="F496">
        <f>IFERROR(INDEX(tblDeviceConfig[Neuron Hostname],ROW()-1),"")</f>
        <v>0</v>
      </c>
      <c r="G496">
        <f>IFERROR(INDEX(tblDeviceConfig[Software List],ROW()-1),"")</f>
        <v>0</v>
      </c>
      <c r="H496">
        <f>IFERROR(INDEX(tblDeviceConfig[PI_Use_Case],ROW()-1),"")</f>
        <v>0</v>
      </c>
      <c r="I496">
        <f>IFERROR(INDEX(tblDeviceConfig[PI_Result],ROW()-1),"")</f>
        <v>0</v>
      </c>
      <c r="J496">
        <f>IFERROR(INDEX(tblDeviceConfig[PI_Validated_By],ROW()-1),"")</f>
        <v>0</v>
      </c>
      <c r="K496">
        <f>IFERROR(INDEX(tblDeviceConfig[PI_Validated_Date],ROW()-1),"")</f>
        <v>0</v>
      </c>
      <c r="L496">
        <f t="shared" si="14"/>
        <v>0</v>
      </c>
      <c r="M496" t="str">
        <f t="shared" si="15"/>
        <v/>
      </c>
    </row>
    <row r="497" spans="1:13">
      <c r="A497">
        <f>ROW()</f>
        <v>497</v>
      </c>
      <c r="B497">
        <f>IFERROR(INDEX(tblDeviceConfig[Device Type],ROW()-1),"")</f>
        <v>0</v>
      </c>
      <c r="C497">
        <f>IFERROR(INDEX(tblDeviceConfig[Deployed],ROW()-1),"")</f>
        <v>0</v>
      </c>
      <c r="D497">
        <f>IFERROR(INDEX(tblDeviceConfig[Installed],ROW()-1),"")</f>
        <v>0</v>
      </c>
      <c r="E497">
        <f>IFERROR(INDEX(tblDeviceConfig[Cybernet Hostname],ROW()-1),"")</f>
        <v>0</v>
      </c>
      <c r="F497">
        <f>IFERROR(INDEX(tblDeviceConfig[Neuron Hostname],ROW()-1),"")</f>
        <v>0</v>
      </c>
      <c r="G497">
        <f>IFERROR(INDEX(tblDeviceConfig[Software List],ROW()-1),"")</f>
        <v>0</v>
      </c>
      <c r="H497">
        <f>IFERROR(INDEX(tblDeviceConfig[PI_Use_Case],ROW()-1),"")</f>
        <v>0</v>
      </c>
      <c r="I497">
        <f>IFERROR(INDEX(tblDeviceConfig[PI_Result],ROW()-1),"")</f>
        <v>0</v>
      </c>
      <c r="J497">
        <f>IFERROR(INDEX(tblDeviceConfig[PI_Validated_By],ROW()-1),"")</f>
        <v>0</v>
      </c>
      <c r="K497">
        <f>IFERROR(INDEX(tblDeviceConfig[PI_Validated_Date],ROW()-1),"")</f>
        <v>0</v>
      </c>
      <c r="L497">
        <f t="shared" si="14"/>
        <v>0</v>
      </c>
      <c r="M497" t="str">
        <f t="shared" si="15"/>
        <v/>
      </c>
    </row>
    <row r="498" spans="1:13">
      <c r="A498">
        <f>ROW()</f>
        <v>498</v>
      </c>
      <c r="B498">
        <f>IFERROR(INDEX(tblDeviceConfig[Device Type],ROW()-1),"")</f>
        <v>0</v>
      </c>
      <c r="C498">
        <f>IFERROR(INDEX(tblDeviceConfig[Deployed],ROW()-1),"")</f>
        <v>0</v>
      </c>
      <c r="D498">
        <f>IFERROR(INDEX(tblDeviceConfig[Installed],ROW()-1),"")</f>
        <v>0</v>
      </c>
      <c r="E498">
        <f>IFERROR(INDEX(tblDeviceConfig[Cybernet Hostname],ROW()-1),"")</f>
        <v>0</v>
      </c>
      <c r="F498">
        <f>IFERROR(INDEX(tblDeviceConfig[Neuron Hostname],ROW()-1),"")</f>
        <v>0</v>
      </c>
      <c r="G498">
        <f>IFERROR(INDEX(tblDeviceConfig[Software List],ROW()-1),"")</f>
        <v>0</v>
      </c>
      <c r="H498">
        <f>IFERROR(INDEX(tblDeviceConfig[PI_Use_Case],ROW()-1),"")</f>
        <v>0</v>
      </c>
      <c r="I498">
        <f>IFERROR(INDEX(tblDeviceConfig[PI_Result],ROW()-1),"")</f>
        <v>0</v>
      </c>
      <c r="J498">
        <f>IFERROR(INDEX(tblDeviceConfig[PI_Validated_By],ROW()-1),"")</f>
        <v>0</v>
      </c>
      <c r="K498">
        <f>IFERROR(INDEX(tblDeviceConfig[PI_Validated_Date],ROW()-1),"")</f>
        <v>0</v>
      </c>
      <c r="L498">
        <f t="shared" si="14"/>
        <v>0</v>
      </c>
      <c r="M498" t="str">
        <f t="shared" si="15"/>
        <v/>
      </c>
    </row>
    <row r="499" spans="1:13">
      <c r="A499">
        <f>ROW()</f>
        <v>499</v>
      </c>
      <c r="B499">
        <f>IFERROR(INDEX(tblDeviceConfig[Device Type],ROW()-1),"")</f>
        <v>0</v>
      </c>
      <c r="C499">
        <f>IFERROR(INDEX(tblDeviceConfig[Deployed],ROW()-1),"")</f>
        <v>0</v>
      </c>
      <c r="D499">
        <f>IFERROR(INDEX(tblDeviceConfig[Installed],ROW()-1),"")</f>
        <v>0</v>
      </c>
      <c r="E499">
        <f>IFERROR(INDEX(tblDeviceConfig[Cybernet Hostname],ROW()-1),"")</f>
        <v>0</v>
      </c>
      <c r="F499">
        <f>IFERROR(INDEX(tblDeviceConfig[Neuron Hostname],ROW()-1),"")</f>
        <v>0</v>
      </c>
      <c r="G499">
        <f>IFERROR(INDEX(tblDeviceConfig[Software List],ROW()-1),"")</f>
        <v>0</v>
      </c>
      <c r="H499">
        <f>IFERROR(INDEX(tblDeviceConfig[PI_Use_Case],ROW()-1),"")</f>
        <v>0</v>
      </c>
      <c r="I499">
        <f>IFERROR(INDEX(tblDeviceConfig[PI_Result],ROW()-1),"")</f>
        <v>0</v>
      </c>
      <c r="J499">
        <f>IFERROR(INDEX(tblDeviceConfig[PI_Validated_By],ROW()-1),"")</f>
        <v>0</v>
      </c>
      <c r="K499">
        <f>IFERROR(INDEX(tblDeviceConfig[PI_Validated_Date],ROW()-1),"")</f>
        <v>0</v>
      </c>
      <c r="L499">
        <f t="shared" si="14"/>
        <v>0</v>
      </c>
      <c r="M499" t="str">
        <f t="shared" si="15"/>
        <v/>
      </c>
    </row>
    <row r="500" spans="1:13">
      <c r="A500">
        <f>ROW()</f>
        <v>500</v>
      </c>
      <c r="B500">
        <f>IFERROR(INDEX(tblDeviceConfig[Device Type],ROW()-1),"")</f>
        <v>0</v>
      </c>
      <c r="C500">
        <f>IFERROR(INDEX(tblDeviceConfig[Deployed],ROW()-1),"")</f>
        <v>0</v>
      </c>
      <c r="D500">
        <f>IFERROR(INDEX(tblDeviceConfig[Installed],ROW()-1),"")</f>
        <v>0</v>
      </c>
      <c r="E500">
        <f>IFERROR(INDEX(tblDeviceConfig[Cybernet Hostname],ROW()-1),"")</f>
        <v>0</v>
      </c>
      <c r="F500">
        <f>IFERROR(INDEX(tblDeviceConfig[Neuron Hostname],ROW()-1),"")</f>
        <v>0</v>
      </c>
      <c r="G500">
        <f>IFERROR(INDEX(tblDeviceConfig[Software List],ROW()-1),"")</f>
        <v>0</v>
      </c>
      <c r="H500">
        <f>IFERROR(INDEX(tblDeviceConfig[PI_Use_Case],ROW()-1),"")</f>
        <v>0</v>
      </c>
      <c r="I500">
        <f>IFERROR(INDEX(tblDeviceConfig[PI_Result],ROW()-1),"")</f>
        <v>0</v>
      </c>
      <c r="J500">
        <f>IFERROR(INDEX(tblDeviceConfig[PI_Validated_By],ROW()-1),"")</f>
        <v>0</v>
      </c>
      <c r="K500">
        <f>IFERROR(INDEX(tblDeviceConfig[PI_Validated_Date],ROW()-1),"")</f>
        <v>0</v>
      </c>
      <c r="L500">
        <f t="shared" si="14"/>
        <v>0</v>
      </c>
      <c r="M500" t="str">
        <f t="shared" si="15"/>
        <v/>
      </c>
    </row>
    <row r="501" spans="1:13">
      <c r="A501">
        <f>ROW()</f>
        <v>501</v>
      </c>
      <c r="B501">
        <f>IFERROR(INDEX(tblDeviceConfig[Device Type],ROW()-1),"")</f>
        <v>0</v>
      </c>
      <c r="C501">
        <f>IFERROR(INDEX(tblDeviceConfig[Deployed],ROW()-1),"")</f>
        <v>0</v>
      </c>
      <c r="D501">
        <f>IFERROR(INDEX(tblDeviceConfig[Installed],ROW()-1),"")</f>
        <v>0</v>
      </c>
      <c r="E501">
        <f>IFERROR(INDEX(tblDeviceConfig[Cybernet Hostname],ROW()-1),"")</f>
        <v>0</v>
      </c>
      <c r="F501">
        <f>IFERROR(INDEX(tblDeviceConfig[Neuron Hostname],ROW()-1),"")</f>
        <v>0</v>
      </c>
      <c r="G501">
        <f>IFERROR(INDEX(tblDeviceConfig[Software List],ROW()-1),"")</f>
        <v>0</v>
      </c>
      <c r="H501">
        <f>IFERROR(INDEX(tblDeviceConfig[PI_Use_Case],ROW()-1),"")</f>
        <v>0</v>
      </c>
      <c r="I501">
        <f>IFERROR(INDEX(tblDeviceConfig[PI_Result],ROW()-1),"")</f>
        <v>0</v>
      </c>
      <c r="J501">
        <f>IFERROR(INDEX(tblDeviceConfig[PI_Validated_By],ROW()-1),"")</f>
        <v>0</v>
      </c>
      <c r="K501">
        <f>IFERROR(INDEX(tblDeviceConfig[PI_Validated_Date],ROW()-1),"")</f>
        <v>0</v>
      </c>
      <c r="L501">
        <f t="shared" si="14"/>
        <v>0</v>
      </c>
      <c r="M501" t="str">
        <f t="shared" si="15"/>
        <v/>
      </c>
    </row>
    <row r="502" spans="1:13">
      <c r="A502">
        <f>ROW()</f>
        <v>502</v>
      </c>
      <c r="B502">
        <f>IFERROR(INDEX(tblDeviceConfig[Device Type],ROW()-1),"")</f>
        <v>0</v>
      </c>
      <c r="C502">
        <f>IFERROR(INDEX(tblDeviceConfig[Deployed],ROW()-1),"")</f>
        <v>0</v>
      </c>
      <c r="D502">
        <f>IFERROR(INDEX(tblDeviceConfig[Installed],ROW()-1),"")</f>
        <v>0</v>
      </c>
      <c r="E502">
        <f>IFERROR(INDEX(tblDeviceConfig[Cybernet Hostname],ROW()-1),"")</f>
        <v>0</v>
      </c>
      <c r="F502">
        <f>IFERROR(INDEX(tblDeviceConfig[Neuron Hostname],ROW()-1),"")</f>
        <v>0</v>
      </c>
      <c r="G502">
        <f>IFERROR(INDEX(tblDeviceConfig[Software List],ROW()-1),"")</f>
        <v>0</v>
      </c>
      <c r="H502">
        <f>IFERROR(INDEX(tblDeviceConfig[PI_Use_Case],ROW()-1),"")</f>
        <v>0</v>
      </c>
      <c r="I502">
        <f>IFERROR(INDEX(tblDeviceConfig[PI_Result],ROW()-1),"")</f>
        <v>0</v>
      </c>
      <c r="J502">
        <f>IFERROR(INDEX(tblDeviceConfig[PI_Validated_By],ROW()-1),"")</f>
        <v>0</v>
      </c>
      <c r="K502">
        <f>IFERROR(INDEX(tblDeviceConfig[PI_Validated_Date],ROW()-1),"")</f>
        <v>0</v>
      </c>
      <c r="L502">
        <f t="shared" si="14"/>
        <v>0</v>
      </c>
      <c r="M502" t="str">
        <f t="shared" si="15"/>
        <v/>
      </c>
    </row>
    <row r="503" spans="1:13">
      <c r="A503">
        <f>ROW()</f>
        <v>503</v>
      </c>
      <c r="B503">
        <f>IFERROR(INDEX(tblDeviceConfig[Device Type],ROW()-1),"")</f>
        <v>0</v>
      </c>
      <c r="C503">
        <f>IFERROR(INDEX(tblDeviceConfig[Deployed],ROW()-1),"")</f>
        <v>0</v>
      </c>
      <c r="D503">
        <f>IFERROR(INDEX(tblDeviceConfig[Installed],ROW()-1),"")</f>
        <v>0</v>
      </c>
      <c r="E503">
        <f>IFERROR(INDEX(tblDeviceConfig[Cybernet Hostname],ROW()-1),"")</f>
        <v>0</v>
      </c>
      <c r="F503">
        <f>IFERROR(INDEX(tblDeviceConfig[Neuron Hostname],ROW()-1),"")</f>
        <v>0</v>
      </c>
      <c r="G503">
        <f>IFERROR(INDEX(tblDeviceConfig[Software List],ROW()-1),"")</f>
        <v>0</v>
      </c>
      <c r="H503">
        <f>IFERROR(INDEX(tblDeviceConfig[PI_Use_Case],ROW()-1),"")</f>
        <v>0</v>
      </c>
      <c r="I503">
        <f>IFERROR(INDEX(tblDeviceConfig[PI_Result],ROW()-1),"")</f>
        <v>0</v>
      </c>
      <c r="J503">
        <f>IFERROR(INDEX(tblDeviceConfig[PI_Validated_By],ROW()-1),"")</f>
        <v>0</v>
      </c>
      <c r="K503">
        <f>IFERROR(INDEX(tblDeviceConfig[PI_Validated_Date],ROW()-1),"")</f>
        <v>0</v>
      </c>
      <c r="L503">
        <f t="shared" si="14"/>
        <v>0</v>
      </c>
      <c r="M503" t="str">
        <f t="shared" si="15"/>
        <v/>
      </c>
    </row>
    <row r="504" spans="1:13">
      <c r="A504">
        <f>ROW()</f>
        <v>504</v>
      </c>
      <c r="B504">
        <f>IFERROR(INDEX(tblDeviceConfig[Device Type],ROW()-1),"")</f>
        <v>0</v>
      </c>
      <c r="C504">
        <f>IFERROR(INDEX(tblDeviceConfig[Deployed],ROW()-1),"")</f>
        <v>0</v>
      </c>
      <c r="D504">
        <f>IFERROR(INDEX(tblDeviceConfig[Installed],ROW()-1),"")</f>
        <v>0</v>
      </c>
      <c r="E504">
        <f>IFERROR(INDEX(tblDeviceConfig[Cybernet Hostname],ROW()-1),"")</f>
        <v>0</v>
      </c>
      <c r="F504">
        <f>IFERROR(INDEX(tblDeviceConfig[Neuron Hostname],ROW()-1),"")</f>
        <v>0</v>
      </c>
      <c r="G504">
        <f>IFERROR(INDEX(tblDeviceConfig[Software List],ROW()-1),"")</f>
        <v>0</v>
      </c>
      <c r="H504">
        <f>IFERROR(INDEX(tblDeviceConfig[PI_Use_Case],ROW()-1),"")</f>
        <v>0</v>
      </c>
      <c r="I504">
        <f>IFERROR(INDEX(tblDeviceConfig[PI_Result],ROW()-1),"")</f>
        <v>0</v>
      </c>
      <c r="J504">
        <f>IFERROR(INDEX(tblDeviceConfig[PI_Validated_By],ROW()-1),"")</f>
        <v>0</v>
      </c>
      <c r="K504">
        <f>IFERROR(INDEX(tblDeviceConfig[PI_Validated_Date],ROW()-1),"")</f>
        <v>0</v>
      </c>
      <c r="L504">
        <f t="shared" si="14"/>
        <v>0</v>
      </c>
      <c r="M504" t="str">
        <f t="shared" si="15"/>
        <v/>
      </c>
    </row>
    <row r="505" spans="1:13">
      <c r="A505">
        <f>ROW()</f>
        <v>505</v>
      </c>
      <c r="B505">
        <f>IFERROR(INDEX(tblDeviceConfig[Device Type],ROW()-1),"")</f>
        <v>0</v>
      </c>
      <c r="C505">
        <f>IFERROR(INDEX(tblDeviceConfig[Deployed],ROW()-1),"")</f>
        <v>0</v>
      </c>
      <c r="D505">
        <f>IFERROR(INDEX(tblDeviceConfig[Installed],ROW()-1),"")</f>
        <v>0</v>
      </c>
      <c r="E505">
        <f>IFERROR(INDEX(tblDeviceConfig[Cybernet Hostname],ROW()-1),"")</f>
        <v>0</v>
      </c>
      <c r="F505">
        <f>IFERROR(INDEX(tblDeviceConfig[Neuron Hostname],ROW()-1),"")</f>
        <v>0</v>
      </c>
      <c r="G505">
        <f>IFERROR(INDEX(tblDeviceConfig[Software List],ROW()-1),"")</f>
        <v>0</v>
      </c>
      <c r="H505">
        <f>IFERROR(INDEX(tblDeviceConfig[PI_Use_Case],ROW()-1),"")</f>
        <v>0</v>
      </c>
      <c r="I505">
        <f>IFERROR(INDEX(tblDeviceConfig[PI_Result],ROW()-1),"")</f>
        <v>0</v>
      </c>
      <c r="J505">
        <f>IFERROR(INDEX(tblDeviceConfig[PI_Validated_By],ROW()-1),"")</f>
        <v>0</v>
      </c>
      <c r="K505">
        <f>IFERROR(INDEX(tblDeviceConfig[PI_Validated_Date],ROW()-1),"")</f>
        <v>0</v>
      </c>
      <c r="L505">
        <f t="shared" si="14"/>
        <v>0</v>
      </c>
      <c r="M505" t="str">
        <f t="shared" si="15"/>
        <v/>
      </c>
    </row>
    <row r="506" spans="1:13">
      <c r="A506">
        <f>ROW()</f>
        <v>506</v>
      </c>
      <c r="B506">
        <f>IFERROR(INDEX(tblDeviceConfig[Device Type],ROW()-1),"")</f>
        <v>0</v>
      </c>
      <c r="C506">
        <f>IFERROR(INDEX(tblDeviceConfig[Deployed],ROW()-1),"")</f>
        <v>0</v>
      </c>
      <c r="D506">
        <f>IFERROR(INDEX(tblDeviceConfig[Installed],ROW()-1),"")</f>
        <v>0</v>
      </c>
      <c r="E506">
        <f>IFERROR(INDEX(tblDeviceConfig[Cybernet Hostname],ROW()-1),"")</f>
        <v>0</v>
      </c>
      <c r="F506">
        <f>IFERROR(INDEX(tblDeviceConfig[Neuron Hostname],ROW()-1),"")</f>
        <v>0</v>
      </c>
      <c r="G506">
        <f>IFERROR(INDEX(tblDeviceConfig[Software List],ROW()-1),"")</f>
        <v>0</v>
      </c>
      <c r="H506">
        <f>IFERROR(INDEX(tblDeviceConfig[PI_Use_Case],ROW()-1),"")</f>
        <v>0</v>
      </c>
      <c r="I506">
        <f>IFERROR(INDEX(tblDeviceConfig[PI_Result],ROW()-1),"")</f>
        <v>0</v>
      </c>
      <c r="J506">
        <f>IFERROR(INDEX(tblDeviceConfig[PI_Validated_By],ROW()-1),"")</f>
        <v>0</v>
      </c>
      <c r="K506">
        <f>IFERROR(INDEX(tblDeviceConfig[PI_Validated_Date],ROW()-1),"")</f>
        <v>0</v>
      </c>
      <c r="L506">
        <f t="shared" si="14"/>
        <v>0</v>
      </c>
      <c r="M506" t="str">
        <f t="shared" si="15"/>
        <v/>
      </c>
    </row>
    <row r="507" spans="1:13">
      <c r="A507">
        <f>ROW()</f>
        <v>507</v>
      </c>
      <c r="B507">
        <f>IFERROR(INDEX(tblDeviceConfig[Device Type],ROW()-1),"")</f>
        <v>0</v>
      </c>
      <c r="C507">
        <f>IFERROR(INDEX(tblDeviceConfig[Deployed],ROW()-1),"")</f>
        <v>0</v>
      </c>
      <c r="D507">
        <f>IFERROR(INDEX(tblDeviceConfig[Installed],ROW()-1),"")</f>
        <v>0</v>
      </c>
      <c r="E507">
        <f>IFERROR(INDEX(tblDeviceConfig[Cybernet Hostname],ROW()-1),"")</f>
        <v>0</v>
      </c>
      <c r="F507">
        <f>IFERROR(INDEX(tblDeviceConfig[Neuron Hostname],ROW()-1),"")</f>
        <v>0</v>
      </c>
      <c r="G507">
        <f>IFERROR(INDEX(tblDeviceConfig[Software List],ROW()-1),"")</f>
        <v>0</v>
      </c>
      <c r="H507">
        <f>IFERROR(INDEX(tblDeviceConfig[PI_Use_Case],ROW()-1),"")</f>
        <v>0</v>
      </c>
      <c r="I507">
        <f>IFERROR(INDEX(tblDeviceConfig[PI_Result],ROW()-1),"")</f>
        <v>0</v>
      </c>
      <c r="J507">
        <f>IFERROR(INDEX(tblDeviceConfig[PI_Validated_By],ROW()-1),"")</f>
        <v>0</v>
      </c>
      <c r="K507">
        <f>IFERROR(INDEX(tblDeviceConfig[PI_Validated_Date],ROW()-1),"")</f>
        <v>0</v>
      </c>
      <c r="L507">
        <f t="shared" si="14"/>
        <v>0</v>
      </c>
      <c r="M507" t="str">
        <f t="shared" si="15"/>
        <v/>
      </c>
    </row>
    <row r="508" spans="1:13">
      <c r="A508">
        <f>ROW()</f>
        <v>508</v>
      </c>
      <c r="B508">
        <f>IFERROR(INDEX(tblDeviceConfig[Device Type],ROW()-1),"")</f>
        <v>0</v>
      </c>
      <c r="C508">
        <f>IFERROR(INDEX(tblDeviceConfig[Deployed],ROW()-1),"")</f>
        <v>0</v>
      </c>
      <c r="D508">
        <f>IFERROR(INDEX(tblDeviceConfig[Installed],ROW()-1),"")</f>
        <v>0</v>
      </c>
      <c r="E508">
        <f>IFERROR(INDEX(tblDeviceConfig[Cybernet Hostname],ROW()-1),"")</f>
        <v>0</v>
      </c>
      <c r="F508">
        <f>IFERROR(INDEX(tblDeviceConfig[Neuron Hostname],ROW()-1),"")</f>
        <v>0</v>
      </c>
      <c r="G508">
        <f>IFERROR(INDEX(tblDeviceConfig[Software List],ROW()-1),"")</f>
        <v>0</v>
      </c>
      <c r="H508">
        <f>IFERROR(INDEX(tblDeviceConfig[PI_Use_Case],ROW()-1),"")</f>
        <v>0</v>
      </c>
      <c r="I508">
        <f>IFERROR(INDEX(tblDeviceConfig[PI_Result],ROW()-1),"")</f>
        <v>0</v>
      </c>
      <c r="J508">
        <f>IFERROR(INDEX(tblDeviceConfig[PI_Validated_By],ROW()-1),"")</f>
        <v>0</v>
      </c>
      <c r="K508">
        <f>IFERROR(INDEX(tblDeviceConfig[PI_Validated_Date],ROW()-1),"")</f>
        <v>0</v>
      </c>
      <c r="L508">
        <f t="shared" si="14"/>
        <v>0</v>
      </c>
      <c r="M508" t="str">
        <f t="shared" si="15"/>
        <v/>
      </c>
    </row>
    <row r="509" spans="1:13">
      <c r="A509">
        <f>ROW()</f>
        <v>509</v>
      </c>
      <c r="B509">
        <f>IFERROR(INDEX(tblDeviceConfig[Device Type],ROW()-1),"")</f>
        <v>0</v>
      </c>
      <c r="C509">
        <f>IFERROR(INDEX(tblDeviceConfig[Deployed],ROW()-1),"")</f>
        <v>0</v>
      </c>
      <c r="D509">
        <f>IFERROR(INDEX(tblDeviceConfig[Installed],ROW()-1),"")</f>
        <v>0</v>
      </c>
      <c r="E509">
        <f>IFERROR(INDEX(tblDeviceConfig[Cybernet Hostname],ROW()-1),"")</f>
        <v>0</v>
      </c>
      <c r="F509">
        <f>IFERROR(INDEX(tblDeviceConfig[Neuron Hostname],ROW()-1),"")</f>
        <v>0</v>
      </c>
      <c r="G509">
        <f>IFERROR(INDEX(tblDeviceConfig[Software List],ROW()-1),"")</f>
        <v>0</v>
      </c>
      <c r="H509">
        <f>IFERROR(INDEX(tblDeviceConfig[PI_Use_Case],ROW()-1),"")</f>
        <v>0</v>
      </c>
      <c r="I509">
        <f>IFERROR(INDEX(tblDeviceConfig[PI_Result],ROW()-1),"")</f>
        <v>0</v>
      </c>
      <c r="J509">
        <f>IFERROR(INDEX(tblDeviceConfig[PI_Validated_By],ROW()-1),"")</f>
        <v>0</v>
      </c>
      <c r="K509">
        <f>IFERROR(INDEX(tblDeviceConfig[PI_Validated_Date],ROW()-1),"")</f>
        <v>0</v>
      </c>
      <c r="L509">
        <f t="shared" si="14"/>
        <v>0</v>
      </c>
      <c r="M509" t="str">
        <f t="shared" si="15"/>
        <v/>
      </c>
    </row>
    <row r="510" spans="1:13">
      <c r="A510">
        <f>ROW()</f>
        <v>510</v>
      </c>
      <c r="B510">
        <f>IFERROR(INDEX(tblDeviceConfig[Device Type],ROW()-1),"")</f>
        <v>0</v>
      </c>
      <c r="C510">
        <f>IFERROR(INDEX(tblDeviceConfig[Deployed],ROW()-1),"")</f>
        <v>0</v>
      </c>
      <c r="D510">
        <f>IFERROR(INDEX(tblDeviceConfig[Installed],ROW()-1),"")</f>
        <v>0</v>
      </c>
      <c r="E510">
        <f>IFERROR(INDEX(tblDeviceConfig[Cybernet Hostname],ROW()-1),"")</f>
        <v>0</v>
      </c>
      <c r="F510">
        <f>IFERROR(INDEX(tblDeviceConfig[Neuron Hostname],ROW()-1),"")</f>
        <v>0</v>
      </c>
      <c r="G510">
        <f>IFERROR(INDEX(tblDeviceConfig[Software List],ROW()-1),"")</f>
        <v>0</v>
      </c>
      <c r="H510">
        <f>IFERROR(INDEX(tblDeviceConfig[PI_Use_Case],ROW()-1),"")</f>
        <v>0</v>
      </c>
      <c r="I510">
        <f>IFERROR(INDEX(tblDeviceConfig[PI_Result],ROW()-1),"")</f>
        <v>0</v>
      </c>
      <c r="J510">
        <f>IFERROR(INDEX(tblDeviceConfig[PI_Validated_By],ROW()-1),"")</f>
        <v>0</v>
      </c>
      <c r="K510">
        <f>IFERROR(INDEX(tblDeviceConfig[PI_Validated_Date],ROW()-1),"")</f>
        <v>0</v>
      </c>
      <c r="L510">
        <f t="shared" si="14"/>
        <v>0</v>
      </c>
      <c r="M510" t="str">
        <f t="shared" si="15"/>
        <v/>
      </c>
    </row>
    <row r="511" spans="1:13">
      <c r="A511">
        <f>ROW()</f>
        <v>511</v>
      </c>
      <c r="B511">
        <f>IFERROR(INDEX(tblDeviceConfig[Device Type],ROW()-1),"")</f>
        <v>0</v>
      </c>
      <c r="C511">
        <f>IFERROR(INDEX(tblDeviceConfig[Deployed],ROW()-1),"")</f>
        <v>0</v>
      </c>
      <c r="D511">
        <f>IFERROR(INDEX(tblDeviceConfig[Installed],ROW()-1),"")</f>
        <v>0</v>
      </c>
      <c r="E511">
        <f>IFERROR(INDEX(tblDeviceConfig[Cybernet Hostname],ROW()-1),"")</f>
        <v>0</v>
      </c>
      <c r="F511">
        <f>IFERROR(INDEX(tblDeviceConfig[Neuron Hostname],ROW()-1),"")</f>
        <v>0</v>
      </c>
      <c r="G511">
        <f>IFERROR(INDEX(tblDeviceConfig[Software List],ROW()-1),"")</f>
        <v>0</v>
      </c>
      <c r="H511">
        <f>IFERROR(INDEX(tblDeviceConfig[PI_Use_Case],ROW()-1),"")</f>
        <v>0</v>
      </c>
      <c r="I511">
        <f>IFERROR(INDEX(tblDeviceConfig[PI_Result],ROW()-1),"")</f>
        <v>0</v>
      </c>
      <c r="J511">
        <f>IFERROR(INDEX(tblDeviceConfig[PI_Validated_By],ROW()-1),"")</f>
        <v>0</v>
      </c>
      <c r="K511">
        <f>IFERROR(INDEX(tblDeviceConfig[PI_Validated_Date],ROW()-1),"")</f>
        <v>0</v>
      </c>
      <c r="L511">
        <f t="shared" si="14"/>
        <v>0</v>
      </c>
      <c r="M511" t="str">
        <f t="shared" si="15"/>
        <v/>
      </c>
    </row>
    <row r="512" spans="1:13">
      <c r="A512">
        <f>ROW()</f>
        <v>512</v>
      </c>
      <c r="B512">
        <f>IFERROR(INDEX(tblDeviceConfig[Device Type],ROW()-1),"")</f>
        <v>0</v>
      </c>
      <c r="C512">
        <f>IFERROR(INDEX(tblDeviceConfig[Deployed],ROW()-1),"")</f>
        <v>0</v>
      </c>
      <c r="D512">
        <f>IFERROR(INDEX(tblDeviceConfig[Installed],ROW()-1),"")</f>
        <v>0</v>
      </c>
      <c r="E512">
        <f>IFERROR(INDEX(tblDeviceConfig[Cybernet Hostname],ROW()-1),"")</f>
        <v>0</v>
      </c>
      <c r="F512">
        <f>IFERROR(INDEX(tblDeviceConfig[Neuron Hostname],ROW()-1),"")</f>
        <v>0</v>
      </c>
      <c r="G512">
        <f>IFERROR(INDEX(tblDeviceConfig[Software List],ROW()-1),"")</f>
        <v>0</v>
      </c>
      <c r="H512">
        <f>IFERROR(INDEX(tblDeviceConfig[PI_Use_Case],ROW()-1),"")</f>
        <v>0</v>
      </c>
      <c r="I512">
        <f>IFERROR(INDEX(tblDeviceConfig[PI_Result],ROW()-1),"")</f>
        <v>0</v>
      </c>
      <c r="J512">
        <f>IFERROR(INDEX(tblDeviceConfig[PI_Validated_By],ROW()-1),"")</f>
        <v>0</v>
      </c>
      <c r="K512">
        <f>IFERROR(INDEX(tblDeviceConfig[PI_Validated_Date],ROW()-1),"")</f>
        <v>0</v>
      </c>
      <c r="L512">
        <f t="shared" si="14"/>
        <v>0</v>
      </c>
      <c r="M512" t="str">
        <f t="shared" si="15"/>
        <v/>
      </c>
    </row>
    <row r="513" spans="1:13">
      <c r="A513">
        <f>ROW()</f>
        <v>513</v>
      </c>
      <c r="B513">
        <f>IFERROR(INDEX(tblDeviceConfig[Device Type],ROW()-1),"")</f>
        <v>0</v>
      </c>
      <c r="C513">
        <f>IFERROR(INDEX(tblDeviceConfig[Deployed],ROW()-1),"")</f>
        <v>0</v>
      </c>
      <c r="D513">
        <f>IFERROR(INDEX(tblDeviceConfig[Installed],ROW()-1),"")</f>
        <v>0</v>
      </c>
      <c r="E513">
        <f>IFERROR(INDEX(tblDeviceConfig[Cybernet Hostname],ROW()-1),"")</f>
        <v>0</v>
      </c>
      <c r="F513">
        <f>IFERROR(INDEX(tblDeviceConfig[Neuron Hostname],ROW()-1),"")</f>
        <v>0</v>
      </c>
      <c r="G513">
        <f>IFERROR(INDEX(tblDeviceConfig[Software List],ROW()-1),"")</f>
        <v>0</v>
      </c>
      <c r="H513">
        <f>IFERROR(INDEX(tblDeviceConfig[PI_Use_Case],ROW()-1),"")</f>
        <v>0</v>
      </c>
      <c r="I513">
        <f>IFERROR(INDEX(tblDeviceConfig[PI_Result],ROW()-1),"")</f>
        <v>0</v>
      </c>
      <c r="J513">
        <f>IFERROR(INDEX(tblDeviceConfig[PI_Validated_By],ROW()-1),"")</f>
        <v>0</v>
      </c>
      <c r="K513">
        <f>IFERROR(INDEX(tblDeviceConfig[PI_Validated_Date],ROW()-1),"")</f>
        <v>0</v>
      </c>
      <c r="L513">
        <f t="shared" si="14"/>
        <v>0</v>
      </c>
      <c r="M513" t="str">
        <f t="shared" si="15"/>
        <v/>
      </c>
    </row>
    <row r="514" spans="1:13">
      <c r="A514">
        <f>ROW()</f>
        <v>514</v>
      </c>
      <c r="B514">
        <f>IFERROR(INDEX(tblDeviceConfig[Device Type],ROW()-1),"")</f>
        <v>0</v>
      </c>
      <c r="C514">
        <f>IFERROR(INDEX(tblDeviceConfig[Deployed],ROW()-1),"")</f>
        <v>0</v>
      </c>
      <c r="D514">
        <f>IFERROR(INDEX(tblDeviceConfig[Installed],ROW()-1),"")</f>
        <v>0</v>
      </c>
      <c r="E514">
        <f>IFERROR(INDEX(tblDeviceConfig[Cybernet Hostname],ROW()-1),"")</f>
        <v>0</v>
      </c>
      <c r="F514">
        <f>IFERROR(INDEX(tblDeviceConfig[Neuron Hostname],ROW()-1),"")</f>
        <v>0</v>
      </c>
      <c r="G514">
        <f>IFERROR(INDEX(tblDeviceConfig[Software List],ROW()-1),"")</f>
        <v>0</v>
      </c>
      <c r="H514">
        <f>IFERROR(INDEX(tblDeviceConfig[PI_Use_Case],ROW()-1),"")</f>
        <v>0</v>
      </c>
      <c r="I514">
        <f>IFERROR(INDEX(tblDeviceConfig[PI_Result],ROW()-1),"")</f>
        <v>0</v>
      </c>
      <c r="J514">
        <f>IFERROR(INDEX(tblDeviceConfig[PI_Validated_By],ROW()-1),"")</f>
        <v>0</v>
      </c>
      <c r="K514">
        <f>IFERROR(INDEX(tblDeviceConfig[PI_Validated_Date],ROW()-1),"")</f>
        <v>0</v>
      </c>
      <c r="L514">
        <f t="shared" ref="L514:L528" si="16">SUM(IF(AND(C514="Yes",B514="Cybernet",LEN(TRIM(E514))=0),1,0),IF(AND(C514="Yes",B514="Neuron",LEN(TRIM(F514))=0),1,0),IF(AND(C514="Yes",B514="Cybernet",LEN(TRIM(G514))=0),1,0),IF(AND(C514="Yes",B514="Cybernet",LEN(TRIM(H514))=0),1,0),IF(AND(C514="Yes",LEN(TRIM(I514))&gt;0,LEN(TRIM(J514))=0),1,0),IF(AND(C514="Yes",LEN(TRIM(J514))&gt;0,LEN(TRIM(K514))=0),1,0))</f>
        <v>0</v>
      </c>
      <c r="M514" t="str">
        <f t="shared" ref="M514:M528" si="17">(IF(AND(C514="Yes",B514="Cybernet",LEN(TRIM(E514))=0),"Missing Cybernet Hostname",""))&amp;IF(((IF(AND(C514="Yes",B514="Cybernet",LEN(TRIM(E514))=0),"Missing Cybernet Hostname","")))&lt;&gt;"",IF((IF(AND(C514="Yes",B514="Neuron",LEN(TRIM(F514))=0),"Missing Neuron Hostname",""))&lt;&gt;""," | ",""),"")&amp;(IF(AND(C514="Yes",B514="Neuron",LEN(TRIM(F514))=0),"Missing Neuron Hostname",""))&amp;IF(((IF(AND(C514="Yes",B514="Cybernet",LEN(TRIM(E514))=0),"Missing Cybernet Hostname",""))&amp;(IF(AND(C514="Yes",B514="Neuron",LEN(TRIM(F514))=0),"Missing Neuron Hostname","")))&lt;&gt;"",IF((IF(AND(C514="Yes",B514="Cybernet",LEN(TRIM(G514))=0),"Missing Software List",""))&lt;&gt;""," | ",""),"")&amp;(IF(AND(C514="Yes",B514="Cybernet",LEN(TRIM(G514))=0),"Missing Software List",""))&amp;IF(((IF(AND(C514="Yes",B514="Cybernet",LEN(TRIM(E514))=0),"Missing Cybernet Hostname",""))&amp;(IF(AND(C514="Yes",B514="Neuron",LEN(TRIM(F514))=0),"Missing Neuron Hostname",""))&amp;(IF(AND(C514="Yes",B514="Cybernet",LEN(TRIM(G514))=0),"Missing Software List","")))&lt;&gt;"",IF((IF(AND(C514="Yes",B514="Cybernet",LEN(TRIM(H514))=0),"Missing PI Use Case",""))&lt;&gt;""," | ",""),"")&amp;(IF(AND(C514="Yes",B514="Cybernet",LEN(TRIM(H514))=0),"Missing PI Use Case",""))&amp;IF(((IF(AND(C514="Yes",B514="Cybernet",LEN(TRIM(E514))=0),"Missing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Case","")))&lt;&gt;"",IF((IF(AND(C514="Yes",LEN(TRIM(I514))&gt;0,LEN(TRIM(J514))=0),"Missing PI Validated By",""))&lt;&gt;""," | ",""),"")&amp;(IF(AND(C514="Yes",LEN(TRIM(I514))&gt;0,LEN(TRIM(J514))=0),"Missing PI Validated By",""))&amp;IF(((IF(AND(C514="Yes",B514="Cybernet",LEN(TRIM(E514))=0),"Missing Cybernet Hostname",""))&amp;(IF(AND(C514="Yes",B514="Neuron",LEN(TRIM(F514))=0),"Missing Neuron Hostname",""))&amp;(IF(AND(C514="Yes",B514="Cybernet",LEN(TRIM(G514))=0),"Missing Software List",""))&amp;(IF(AND(C514="Yes",B514="Cybernet",LEN(TRIM(H514))=0),"Missing PI Use Case",""))&amp;(IF(AND(C514="Yes",LEN(TRIM(I514))&gt;0,LEN(TRIM(J514))=0),"Missing PI Validated By","")))&lt;&gt;"",IF((IF(AND(C514="Yes",LEN(TRIM(J514))&gt;0,LEN(TRIM(K514))=0),"Missing PI Validated Date",""))&lt;&gt;""," | ",""),"")&amp;(IF(AND(C514="Yes",LEN(TRIM(J514))&gt;0,LEN(TRIM(K514))=0),"Missing PI Validated Date",""))</f>
        <v/>
      </c>
    </row>
    <row r="515" spans="1:13">
      <c r="A515">
        <f>ROW()</f>
        <v>515</v>
      </c>
      <c r="B515">
        <f>IFERROR(INDEX(tblDeviceConfig[Device Type],ROW()-1),"")</f>
        <v>0</v>
      </c>
      <c r="C515">
        <f>IFERROR(INDEX(tblDeviceConfig[Deployed],ROW()-1),"")</f>
        <v>0</v>
      </c>
      <c r="D515">
        <f>IFERROR(INDEX(tblDeviceConfig[Installed],ROW()-1),"")</f>
        <v>0</v>
      </c>
      <c r="E515">
        <f>IFERROR(INDEX(tblDeviceConfig[Cybernet Hostname],ROW()-1),"")</f>
        <v>0</v>
      </c>
      <c r="F515">
        <f>IFERROR(INDEX(tblDeviceConfig[Neuron Hostname],ROW()-1),"")</f>
        <v>0</v>
      </c>
      <c r="G515">
        <f>IFERROR(INDEX(tblDeviceConfig[Software List],ROW()-1),"")</f>
        <v>0</v>
      </c>
      <c r="H515">
        <f>IFERROR(INDEX(tblDeviceConfig[PI_Use_Case],ROW()-1),"")</f>
        <v>0</v>
      </c>
      <c r="I515">
        <f>IFERROR(INDEX(tblDeviceConfig[PI_Result],ROW()-1),"")</f>
        <v>0</v>
      </c>
      <c r="J515">
        <f>IFERROR(INDEX(tblDeviceConfig[PI_Validated_By],ROW()-1),"")</f>
        <v>0</v>
      </c>
      <c r="K515">
        <f>IFERROR(INDEX(tblDeviceConfig[PI_Validated_Date],ROW()-1),"")</f>
        <v>0</v>
      </c>
      <c r="L515">
        <f t="shared" si="16"/>
        <v>0</v>
      </c>
      <c r="M515" t="str">
        <f t="shared" si="17"/>
        <v/>
      </c>
    </row>
    <row r="516" spans="1:13">
      <c r="A516">
        <f>ROW()</f>
        <v>516</v>
      </c>
      <c r="B516">
        <f>IFERROR(INDEX(tblDeviceConfig[Device Type],ROW()-1),"")</f>
        <v>0</v>
      </c>
      <c r="C516">
        <f>IFERROR(INDEX(tblDeviceConfig[Deployed],ROW()-1),"")</f>
        <v>0</v>
      </c>
      <c r="D516">
        <f>IFERROR(INDEX(tblDeviceConfig[Installed],ROW()-1),"")</f>
        <v>0</v>
      </c>
      <c r="E516">
        <f>IFERROR(INDEX(tblDeviceConfig[Cybernet Hostname],ROW()-1),"")</f>
        <v>0</v>
      </c>
      <c r="F516">
        <f>IFERROR(INDEX(tblDeviceConfig[Neuron Hostname],ROW()-1),"")</f>
        <v>0</v>
      </c>
      <c r="G516">
        <f>IFERROR(INDEX(tblDeviceConfig[Software List],ROW()-1),"")</f>
        <v>0</v>
      </c>
      <c r="H516">
        <f>IFERROR(INDEX(tblDeviceConfig[PI_Use_Case],ROW()-1),"")</f>
        <v>0</v>
      </c>
      <c r="I516">
        <f>IFERROR(INDEX(tblDeviceConfig[PI_Result],ROW()-1),"")</f>
        <v>0</v>
      </c>
      <c r="J516">
        <f>IFERROR(INDEX(tblDeviceConfig[PI_Validated_By],ROW()-1),"")</f>
        <v>0</v>
      </c>
      <c r="K516">
        <f>IFERROR(INDEX(tblDeviceConfig[PI_Validated_Date],ROW()-1),"")</f>
        <v>0</v>
      </c>
      <c r="L516">
        <f t="shared" si="16"/>
        <v>0</v>
      </c>
      <c r="M516" t="str">
        <f t="shared" si="17"/>
        <v/>
      </c>
    </row>
    <row r="517" spans="1:13">
      <c r="A517">
        <f>ROW()</f>
        <v>517</v>
      </c>
      <c r="B517">
        <f>IFERROR(INDEX(tblDeviceConfig[Device Type],ROW()-1),"")</f>
        <v>0</v>
      </c>
      <c r="C517">
        <f>IFERROR(INDEX(tblDeviceConfig[Deployed],ROW()-1),"")</f>
        <v>0</v>
      </c>
      <c r="D517">
        <f>IFERROR(INDEX(tblDeviceConfig[Installed],ROW()-1),"")</f>
        <v>0</v>
      </c>
      <c r="E517">
        <f>IFERROR(INDEX(tblDeviceConfig[Cybernet Hostname],ROW()-1),"")</f>
        <v>0</v>
      </c>
      <c r="F517">
        <f>IFERROR(INDEX(tblDeviceConfig[Neuron Hostname],ROW()-1),"")</f>
        <v>0</v>
      </c>
      <c r="G517">
        <f>IFERROR(INDEX(tblDeviceConfig[Software List],ROW()-1),"")</f>
        <v>0</v>
      </c>
      <c r="H517">
        <f>IFERROR(INDEX(tblDeviceConfig[PI_Use_Case],ROW()-1),"")</f>
        <v>0</v>
      </c>
      <c r="I517">
        <f>IFERROR(INDEX(tblDeviceConfig[PI_Result],ROW()-1),"")</f>
        <v>0</v>
      </c>
      <c r="J517">
        <f>IFERROR(INDEX(tblDeviceConfig[PI_Validated_By],ROW()-1),"")</f>
        <v>0</v>
      </c>
      <c r="K517">
        <f>IFERROR(INDEX(tblDeviceConfig[PI_Validated_Date],ROW()-1),"")</f>
        <v>0</v>
      </c>
      <c r="L517">
        <f t="shared" si="16"/>
        <v>0</v>
      </c>
      <c r="M517" t="str">
        <f t="shared" si="17"/>
        <v/>
      </c>
    </row>
    <row r="518" spans="1:13">
      <c r="A518">
        <f>ROW()</f>
        <v>518</v>
      </c>
      <c r="B518">
        <f>IFERROR(INDEX(tblDeviceConfig[Device Type],ROW()-1),"")</f>
        <v>0</v>
      </c>
      <c r="C518">
        <f>IFERROR(INDEX(tblDeviceConfig[Deployed],ROW()-1),"")</f>
        <v>0</v>
      </c>
      <c r="D518">
        <f>IFERROR(INDEX(tblDeviceConfig[Installed],ROW()-1),"")</f>
        <v>0</v>
      </c>
      <c r="E518">
        <f>IFERROR(INDEX(tblDeviceConfig[Cybernet Hostname],ROW()-1),"")</f>
        <v>0</v>
      </c>
      <c r="F518">
        <f>IFERROR(INDEX(tblDeviceConfig[Neuron Hostname],ROW()-1),"")</f>
        <v>0</v>
      </c>
      <c r="G518">
        <f>IFERROR(INDEX(tblDeviceConfig[Software List],ROW()-1),"")</f>
        <v>0</v>
      </c>
      <c r="H518">
        <f>IFERROR(INDEX(tblDeviceConfig[PI_Use_Case],ROW()-1),"")</f>
        <v>0</v>
      </c>
      <c r="I518">
        <f>IFERROR(INDEX(tblDeviceConfig[PI_Result],ROW()-1),"")</f>
        <v>0</v>
      </c>
      <c r="J518">
        <f>IFERROR(INDEX(tblDeviceConfig[PI_Validated_By],ROW()-1),"")</f>
        <v>0</v>
      </c>
      <c r="K518">
        <f>IFERROR(INDEX(tblDeviceConfig[PI_Validated_Date],ROW()-1),"")</f>
        <v>0</v>
      </c>
      <c r="L518">
        <f t="shared" si="16"/>
        <v>0</v>
      </c>
      <c r="M518" t="str">
        <f t="shared" si="17"/>
        <v/>
      </c>
    </row>
    <row r="519" spans="1:13">
      <c r="A519">
        <f>ROW()</f>
        <v>519</v>
      </c>
      <c r="B519">
        <f>IFERROR(INDEX(tblDeviceConfig[Device Type],ROW()-1),"")</f>
        <v>0</v>
      </c>
      <c r="C519">
        <f>IFERROR(INDEX(tblDeviceConfig[Deployed],ROW()-1),"")</f>
        <v>0</v>
      </c>
      <c r="D519">
        <f>IFERROR(INDEX(tblDeviceConfig[Installed],ROW()-1),"")</f>
        <v>0</v>
      </c>
      <c r="E519">
        <f>IFERROR(INDEX(tblDeviceConfig[Cybernet Hostname],ROW()-1),"")</f>
        <v>0</v>
      </c>
      <c r="F519">
        <f>IFERROR(INDEX(tblDeviceConfig[Neuron Hostname],ROW()-1),"")</f>
        <v>0</v>
      </c>
      <c r="G519">
        <f>IFERROR(INDEX(tblDeviceConfig[Software List],ROW()-1),"")</f>
        <v>0</v>
      </c>
      <c r="H519">
        <f>IFERROR(INDEX(tblDeviceConfig[PI_Use_Case],ROW()-1),"")</f>
        <v>0</v>
      </c>
      <c r="I519">
        <f>IFERROR(INDEX(tblDeviceConfig[PI_Result],ROW()-1),"")</f>
        <v>0</v>
      </c>
      <c r="J519">
        <f>IFERROR(INDEX(tblDeviceConfig[PI_Validated_By],ROW()-1),"")</f>
        <v>0</v>
      </c>
      <c r="K519">
        <f>IFERROR(INDEX(tblDeviceConfig[PI_Validated_Date],ROW()-1),"")</f>
        <v>0</v>
      </c>
      <c r="L519">
        <f t="shared" si="16"/>
        <v>0</v>
      </c>
      <c r="M519" t="str">
        <f t="shared" si="17"/>
        <v/>
      </c>
    </row>
    <row r="520" spans="1:13">
      <c r="A520">
        <f>ROW()</f>
        <v>520</v>
      </c>
      <c r="B520">
        <f>IFERROR(INDEX(tblDeviceConfig[Device Type],ROW()-1),"")</f>
        <v>0</v>
      </c>
      <c r="C520">
        <f>IFERROR(INDEX(tblDeviceConfig[Deployed],ROW()-1),"")</f>
        <v>0</v>
      </c>
      <c r="D520">
        <f>IFERROR(INDEX(tblDeviceConfig[Installed],ROW()-1),"")</f>
        <v>0</v>
      </c>
      <c r="E520">
        <f>IFERROR(INDEX(tblDeviceConfig[Cybernet Hostname],ROW()-1),"")</f>
        <v>0</v>
      </c>
      <c r="F520">
        <f>IFERROR(INDEX(tblDeviceConfig[Neuron Hostname],ROW()-1),"")</f>
        <v>0</v>
      </c>
      <c r="G520">
        <f>IFERROR(INDEX(tblDeviceConfig[Software List],ROW()-1),"")</f>
        <v>0</v>
      </c>
      <c r="H520">
        <f>IFERROR(INDEX(tblDeviceConfig[PI_Use_Case],ROW()-1),"")</f>
        <v>0</v>
      </c>
      <c r="I520">
        <f>IFERROR(INDEX(tblDeviceConfig[PI_Result],ROW()-1),"")</f>
        <v>0</v>
      </c>
      <c r="J520">
        <f>IFERROR(INDEX(tblDeviceConfig[PI_Validated_By],ROW()-1),"")</f>
        <v>0</v>
      </c>
      <c r="K520">
        <f>IFERROR(INDEX(tblDeviceConfig[PI_Validated_Date],ROW()-1),"")</f>
        <v>0</v>
      </c>
      <c r="L520">
        <f t="shared" si="16"/>
        <v>0</v>
      </c>
      <c r="M520" t="str">
        <f t="shared" si="17"/>
        <v/>
      </c>
    </row>
    <row r="521" spans="1:13">
      <c r="A521">
        <f>ROW()</f>
        <v>521</v>
      </c>
      <c r="B521">
        <f>IFERROR(INDEX(tblDeviceConfig[Device Type],ROW()-1),"")</f>
        <v>0</v>
      </c>
      <c r="C521">
        <f>IFERROR(INDEX(tblDeviceConfig[Deployed],ROW()-1),"")</f>
        <v>0</v>
      </c>
      <c r="D521">
        <f>IFERROR(INDEX(tblDeviceConfig[Installed],ROW()-1),"")</f>
        <v>0</v>
      </c>
      <c r="E521">
        <f>IFERROR(INDEX(tblDeviceConfig[Cybernet Hostname],ROW()-1),"")</f>
        <v>0</v>
      </c>
      <c r="F521">
        <f>IFERROR(INDEX(tblDeviceConfig[Neuron Hostname],ROW()-1),"")</f>
        <v>0</v>
      </c>
      <c r="G521">
        <f>IFERROR(INDEX(tblDeviceConfig[Software List],ROW()-1),"")</f>
        <v>0</v>
      </c>
      <c r="H521">
        <f>IFERROR(INDEX(tblDeviceConfig[PI_Use_Case],ROW()-1),"")</f>
        <v>0</v>
      </c>
      <c r="I521">
        <f>IFERROR(INDEX(tblDeviceConfig[PI_Result],ROW()-1),"")</f>
        <v>0</v>
      </c>
      <c r="J521">
        <f>IFERROR(INDEX(tblDeviceConfig[PI_Validated_By],ROW()-1),"")</f>
        <v>0</v>
      </c>
      <c r="K521">
        <f>IFERROR(INDEX(tblDeviceConfig[PI_Validated_Date],ROW()-1),"")</f>
        <v>0</v>
      </c>
      <c r="L521">
        <f t="shared" si="16"/>
        <v>0</v>
      </c>
      <c r="M521" t="str">
        <f t="shared" si="17"/>
        <v/>
      </c>
    </row>
    <row r="522" spans="1:13">
      <c r="A522">
        <f>ROW()</f>
        <v>522</v>
      </c>
      <c r="B522">
        <f>IFERROR(INDEX(tblDeviceConfig[Device Type],ROW()-1),"")</f>
        <v>0</v>
      </c>
      <c r="C522">
        <f>IFERROR(INDEX(tblDeviceConfig[Deployed],ROW()-1),"")</f>
        <v>0</v>
      </c>
      <c r="D522">
        <f>IFERROR(INDEX(tblDeviceConfig[Installed],ROW()-1),"")</f>
        <v>0</v>
      </c>
      <c r="E522">
        <f>IFERROR(INDEX(tblDeviceConfig[Cybernet Hostname],ROW()-1),"")</f>
        <v>0</v>
      </c>
      <c r="F522">
        <f>IFERROR(INDEX(tblDeviceConfig[Neuron Hostname],ROW()-1),"")</f>
        <v>0</v>
      </c>
      <c r="G522">
        <f>IFERROR(INDEX(tblDeviceConfig[Software List],ROW()-1),"")</f>
        <v>0</v>
      </c>
      <c r="H522">
        <f>IFERROR(INDEX(tblDeviceConfig[PI_Use_Case],ROW()-1),"")</f>
        <v>0</v>
      </c>
      <c r="I522">
        <f>IFERROR(INDEX(tblDeviceConfig[PI_Result],ROW()-1),"")</f>
        <v>0</v>
      </c>
      <c r="J522">
        <f>IFERROR(INDEX(tblDeviceConfig[PI_Validated_By],ROW()-1),"")</f>
        <v>0</v>
      </c>
      <c r="K522">
        <f>IFERROR(INDEX(tblDeviceConfig[PI_Validated_Date],ROW()-1),"")</f>
        <v>0</v>
      </c>
      <c r="L522">
        <f t="shared" si="16"/>
        <v>0</v>
      </c>
      <c r="M522" t="str">
        <f t="shared" si="17"/>
        <v/>
      </c>
    </row>
    <row r="523" spans="1:13">
      <c r="A523">
        <f>ROW()</f>
        <v>523</v>
      </c>
      <c r="B523">
        <f>IFERROR(INDEX(tblDeviceConfig[Device Type],ROW()-1),"")</f>
        <v>0</v>
      </c>
      <c r="C523">
        <f>IFERROR(INDEX(tblDeviceConfig[Deployed],ROW()-1),"")</f>
        <v>0</v>
      </c>
      <c r="D523">
        <f>IFERROR(INDEX(tblDeviceConfig[Installed],ROW()-1),"")</f>
        <v>0</v>
      </c>
      <c r="E523">
        <f>IFERROR(INDEX(tblDeviceConfig[Cybernet Hostname],ROW()-1),"")</f>
        <v>0</v>
      </c>
      <c r="F523">
        <f>IFERROR(INDEX(tblDeviceConfig[Neuron Hostname],ROW()-1),"")</f>
        <v>0</v>
      </c>
      <c r="G523">
        <f>IFERROR(INDEX(tblDeviceConfig[Software List],ROW()-1),"")</f>
        <v>0</v>
      </c>
      <c r="H523">
        <f>IFERROR(INDEX(tblDeviceConfig[PI_Use_Case],ROW()-1),"")</f>
        <v>0</v>
      </c>
      <c r="I523">
        <f>IFERROR(INDEX(tblDeviceConfig[PI_Result],ROW()-1),"")</f>
        <v>0</v>
      </c>
      <c r="J523">
        <f>IFERROR(INDEX(tblDeviceConfig[PI_Validated_By],ROW()-1),"")</f>
        <v>0</v>
      </c>
      <c r="K523">
        <f>IFERROR(INDEX(tblDeviceConfig[PI_Validated_Date],ROW()-1),"")</f>
        <v>0</v>
      </c>
      <c r="L523">
        <f t="shared" si="16"/>
        <v>0</v>
      </c>
      <c r="M523" t="str">
        <f t="shared" si="17"/>
        <v/>
      </c>
    </row>
    <row r="524" spans="1:13">
      <c r="A524">
        <f>ROW()</f>
        <v>524</v>
      </c>
      <c r="B524">
        <f>IFERROR(INDEX(tblDeviceConfig[Device Type],ROW()-1),"")</f>
        <v>0</v>
      </c>
      <c r="C524">
        <f>IFERROR(INDEX(tblDeviceConfig[Deployed],ROW()-1),"")</f>
        <v>0</v>
      </c>
      <c r="D524">
        <f>IFERROR(INDEX(tblDeviceConfig[Installed],ROW()-1),"")</f>
        <v>0</v>
      </c>
      <c r="E524">
        <f>IFERROR(INDEX(tblDeviceConfig[Cybernet Hostname],ROW()-1),"")</f>
        <v>0</v>
      </c>
      <c r="F524">
        <f>IFERROR(INDEX(tblDeviceConfig[Neuron Hostname],ROW()-1),"")</f>
        <v>0</v>
      </c>
      <c r="G524">
        <f>IFERROR(INDEX(tblDeviceConfig[Software List],ROW()-1),"")</f>
        <v>0</v>
      </c>
      <c r="H524">
        <f>IFERROR(INDEX(tblDeviceConfig[PI_Use_Case],ROW()-1),"")</f>
        <v>0</v>
      </c>
      <c r="I524">
        <f>IFERROR(INDEX(tblDeviceConfig[PI_Result],ROW()-1),"")</f>
        <v>0</v>
      </c>
      <c r="J524">
        <f>IFERROR(INDEX(tblDeviceConfig[PI_Validated_By],ROW()-1),"")</f>
        <v>0</v>
      </c>
      <c r="K524">
        <f>IFERROR(INDEX(tblDeviceConfig[PI_Validated_Date],ROW()-1),"")</f>
        <v>0</v>
      </c>
      <c r="L524">
        <f t="shared" si="16"/>
        <v>0</v>
      </c>
      <c r="M524" t="str">
        <f t="shared" si="17"/>
        <v/>
      </c>
    </row>
    <row r="525" spans="1:13">
      <c r="A525">
        <f>ROW()</f>
        <v>525</v>
      </c>
      <c r="B525">
        <f>IFERROR(INDEX(tblDeviceConfig[Device Type],ROW()-1),"")</f>
        <v>0</v>
      </c>
      <c r="C525">
        <f>IFERROR(INDEX(tblDeviceConfig[Deployed],ROW()-1),"")</f>
        <v>0</v>
      </c>
      <c r="D525">
        <f>IFERROR(INDEX(tblDeviceConfig[Installed],ROW()-1),"")</f>
        <v>0</v>
      </c>
      <c r="E525">
        <f>IFERROR(INDEX(tblDeviceConfig[Cybernet Hostname],ROW()-1),"")</f>
        <v>0</v>
      </c>
      <c r="F525">
        <f>IFERROR(INDEX(tblDeviceConfig[Neuron Hostname],ROW()-1),"")</f>
        <v>0</v>
      </c>
      <c r="G525">
        <f>IFERROR(INDEX(tblDeviceConfig[Software List],ROW()-1),"")</f>
        <v>0</v>
      </c>
      <c r="H525">
        <f>IFERROR(INDEX(tblDeviceConfig[PI_Use_Case],ROW()-1),"")</f>
        <v>0</v>
      </c>
      <c r="I525">
        <f>IFERROR(INDEX(tblDeviceConfig[PI_Result],ROW()-1),"")</f>
        <v>0</v>
      </c>
      <c r="J525">
        <f>IFERROR(INDEX(tblDeviceConfig[PI_Validated_By],ROW()-1),"")</f>
        <v>0</v>
      </c>
      <c r="K525">
        <f>IFERROR(INDEX(tblDeviceConfig[PI_Validated_Date],ROW()-1),"")</f>
        <v>0</v>
      </c>
      <c r="L525">
        <f t="shared" si="16"/>
        <v>0</v>
      </c>
      <c r="M525" t="str">
        <f t="shared" si="17"/>
        <v/>
      </c>
    </row>
    <row r="526" spans="1:13">
      <c r="A526">
        <f>ROW()</f>
        <v>526</v>
      </c>
      <c r="B526">
        <f>IFERROR(INDEX(tblDeviceConfig[Device Type],ROW()-1),"")</f>
        <v>0</v>
      </c>
      <c r="C526">
        <f>IFERROR(INDEX(tblDeviceConfig[Deployed],ROW()-1),"")</f>
        <v>0</v>
      </c>
      <c r="D526">
        <f>IFERROR(INDEX(tblDeviceConfig[Installed],ROW()-1),"")</f>
        <v>0</v>
      </c>
      <c r="E526">
        <f>IFERROR(INDEX(tblDeviceConfig[Cybernet Hostname],ROW()-1),"")</f>
        <v>0</v>
      </c>
      <c r="F526">
        <f>IFERROR(INDEX(tblDeviceConfig[Neuron Hostname],ROW()-1),"")</f>
        <v>0</v>
      </c>
      <c r="G526">
        <f>IFERROR(INDEX(tblDeviceConfig[Software List],ROW()-1),"")</f>
        <v>0</v>
      </c>
      <c r="H526">
        <f>IFERROR(INDEX(tblDeviceConfig[PI_Use_Case],ROW()-1),"")</f>
        <v>0</v>
      </c>
      <c r="I526">
        <f>IFERROR(INDEX(tblDeviceConfig[PI_Result],ROW()-1),"")</f>
        <v>0</v>
      </c>
      <c r="J526">
        <f>IFERROR(INDEX(tblDeviceConfig[PI_Validated_By],ROW()-1),"")</f>
        <v>0</v>
      </c>
      <c r="K526">
        <f>IFERROR(INDEX(tblDeviceConfig[PI_Validated_Date],ROW()-1),"")</f>
        <v>0</v>
      </c>
      <c r="L526">
        <f t="shared" si="16"/>
        <v>0</v>
      </c>
      <c r="M526" t="str">
        <f t="shared" si="17"/>
        <v/>
      </c>
    </row>
    <row r="527" spans="1:13">
      <c r="A527">
        <f>ROW()</f>
        <v>527</v>
      </c>
      <c r="B527">
        <f>IFERROR(INDEX(tblDeviceConfig[Device Type],ROW()-1),"")</f>
        <v>0</v>
      </c>
      <c r="C527">
        <f>IFERROR(INDEX(tblDeviceConfig[Deployed],ROW()-1),"")</f>
        <v>0</v>
      </c>
      <c r="D527">
        <f>IFERROR(INDEX(tblDeviceConfig[Installed],ROW()-1),"")</f>
        <v>0</v>
      </c>
      <c r="E527">
        <f>IFERROR(INDEX(tblDeviceConfig[Cybernet Hostname],ROW()-1),"")</f>
        <v>0</v>
      </c>
      <c r="F527">
        <f>IFERROR(INDEX(tblDeviceConfig[Neuron Hostname],ROW()-1),"")</f>
        <v>0</v>
      </c>
      <c r="G527">
        <f>IFERROR(INDEX(tblDeviceConfig[Software List],ROW()-1),"")</f>
        <v>0</v>
      </c>
      <c r="H527">
        <f>IFERROR(INDEX(tblDeviceConfig[PI_Use_Case],ROW()-1),"")</f>
        <v>0</v>
      </c>
      <c r="I527">
        <f>IFERROR(INDEX(tblDeviceConfig[PI_Result],ROW()-1),"")</f>
        <v>0</v>
      </c>
      <c r="J527">
        <f>IFERROR(INDEX(tblDeviceConfig[PI_Validated_By],ROW()-1),"")</f>
        <v>0</v>
      </c>
      <c r="K527">
        <f>IFERROR(INDEX(tblDeviceConfig[PI_Validated_Date],ROW()-1),"")</f>
        <v>0</v>
      </c>
      <c r="L527">
        <f t="shared" si="16"/>
        <v>0</v>
      </c>
      <c r="M527" t="str">
        <f t="shared" si="17"/>
        <v/>
      </c>
    </row>
    <row r="528" spans="1:13">
      <c r="A528">
        <f>ROW()</f>
        <v>528</v>
      </c>
      <c r="B528">
        <f>IFERROR(INDEX(tblDeviceConfig[Device Type],ROW()-1),"")</f>
        <v>0</v>
      </c>
      <c r="C528">
        <f>IFERROR(INDEX(tblDeviceConfig[Deployed],ROW()-1),"")</f>
        <v>0</v>
      </c>
      <c r="D528">
        <f>IFERROR(INDEX(tblDeviceConfig[Installed],ROW()-1),"")</f>
        <v>0</v>
      </c>
      <c r="E528">
        <f>IFERROR(INDEX(tblDeviceConfig[Cybernet Hostname],ROW()-1),"")</f>
        <v>0</v>
      </c>
      <c r="F528">
        <f>IFERROR(INDEX(tblDeviceConfig[Neuron Hostname],ROW()-1),"")</f>
        <v>0</v>
      </c>
      <c r="G528">
        <f>IFERROR(INDEX(tblDeviceConfig[Software List],ROW()-1),"")</f>
        <v>0</v>
      </c>
      <c r="H528">
        <f>IFERROR(INDEX(tblDeviceConfig[PI_Use_Case],ROW()-1),"")</f>
        <v>0</v>
      </c>
      <c r="I528">
        <f>IFERROR(INDEX(tblDeviceConfig[PI_Result],ROW()-1),"")</f>
        <v>0</v>
      </c>
      <c r="J528">
        <f>IFERROR(INDEX(tblDeviceConfig[PI_Validated_By],ROW()-1),"")</f>
        <v>0</v>
      </c>
      <c r="K528">
        <f>IFERROR(INDEX(tblDeviceConfig[PI_Validated_Date],ROW()-1),"")</f>
        <v>0</v>
      </c>
      <c r="L528">
        <f t="shared" si="16"/>
        <v>0</v>
      </c>
      <c r="M528" t="str">
        <f t="shared" si="17"/>
        <v/>
      </c>
    </row>
  </sheetData>
  <conditionalFormatting sqref="L2:L528">
    <cfRule type="expression" dxfId="49" priority="2">
      <formula>$L2&gt;0</formula>
    </cfRule>
    <cfRule type="expression" dxfId="48" priority="3">
      <formula>$L2=0</formula>
    </cfRule>
  </conditionalFormatting>
  <conditionalFormatting sqref="M2:M528">
    <cfRule type="expression" dxfId="47" priority="4">
      <formula>$L2&gt;0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18" customWidth="1"/>
    <col min="3" max="4" width="22" customWidth="1"/>
    <col min="5" max="5" width="10" customWidth="1"/>
    <col min="6" max="7" width="12" customWidth="1"/>
    <col min="8" max="8" width="120" customWidth="1"/>
    <col min="9" max="9" width="40" customWidth="1"/>
  </cols>
  <sheetData>
    <row r="1" spans="1:9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>
      <c r="A2" t="s">
        <v>22</v>
      </c>
      <c r="B2" t="s">
        <v>23</v>
      </c>
      <c r="C2" t="s">
        <v>24</v>
      </c>
      <c r="D2" t="s">
        <v>25</v>
      </c>
      <c r="E2">
        <v>2</v>
      </c>
      <c r="F2" t="s">
        <v>26</v>
      </c>
      <c r="G2">
        <v>44</v>
      </c>
      <c r="H2" t="s">
        <v>27</v>
      </c>
      <c r="I2" t="s">
        <v>28</v>
      </c>
    </row>
    <row r="3" spans="1:9">
      <c r="A3" t="s">
        <v>22</v>
      </c>
      <c r="B3" t="s">
        <v>23</v>
      </c>
      <c r="C3" t="s">
        <v>24</v>
      </c>
      <c r="D3" t="s">
        <v>25</v>
      </c>
      <c r="E3">
        <v>3</v>
      </c>
      <c r="F3" t="s">
        <v>29</v>
      </c>
      <c r="G3">
        <v>43</v>
      </c>
      <c r="H3" t="s">
        <v>30</v>
      </c>
      <c r="I3" t="s">
        <v>31</v>
      </c>
    </row>
    <row r="4" spans="1:9">
      <c r="A4" t="s">
        <v>22</v>
      </c>
      <c r="B4" t="s">
        <v>23</v>
      </c>
      <c r="C4" t="s">
        <v>32</v>
      </c>
      <c r="D4" t="s">
        <v>25</v>
      </c>
      <c r="E4">
        <v>4</v>
      </c>
      <c r="F4" t="s">
        <v>26</v>
      </c>
      <c r="G4">
        <v>42</v>
      </c>
      <c r="H4" t="s">
        <v>33</v>
      </c>
      <c r="I4" t="s">
        <v>34</v>
      </c>
    </row>
    <row r="5" spans="1:9">
      <c r="A5" t="s">
        <v>35</v>
      </c>
      <c r="C5" t="s">
        <v>36</v>
      </c>
      <c r="D5" t="s">
        <v>25</v>
      </c>
      <c r="E5">
        <v>1</v>
      </c>
      <c r="F5" t="s">
        <v>37</v>
      </c>
      <c r="G5">
        <v>37</v>
      </c>
      <c r="I5" t="s">
        <v>38</v>
      </c>
    </row>
    <row r="6" spans="1:9">
      <c r="A6" t="s">
        <v>35</v>
      </c>
      <c r="C6" t="s">
        <v>36</v>
      </c>
      <c r="D6" t="s">
        <v>25</v>
      </c>
      <c r="E6">
        <v>2</v>
      </c>
      <c r="F6" t="s">
        <v>39</v>
      </c>
      <c r="G6">
        <v>36</v>
      </c>
      <c r="I6" t="s">
        <v>38</v>
      </c>
    </row>
    <row r="7" spans="1:9">
      <c r="A7" t="s">
        <v>35</v>
      </c>
      <c r="C7" t="s">
        <v>40</v>
      </c>
      <c r="D7" t="s">
        <v>25</v>
      </c>
      <c r="E7">
        <v>3</v>
      </c>
      <c r="F7" t="s">
        <v>41</v>
      </c>
      <c r="G7">
        <v>41</v>
      </c>
      <c r="I7" t="s">
        <v>38</v>
      </c>
    </row>
    <row r="8" spans="1:9">
      <c r="A8" t="s">
        <v>35</v>
      </c>
      <c r="C8" t="s">
        <v>40</v>
      </c>
      <c r="D8" t="s">
        <v>25</v>
      </c>
      <c r="E8">
        <v>4</v>
      </c>
      <c r="F8" t="s">
        <v>42</v>
      </c>
      <c r="G8">
        <v>40</v>
      </c>
      <c r="I8" t="s">
        <v>38</v>
      </c>
    </row>
    <row r="9" spans="1:9">
      <c r="A9" t="s">
        <v>35</v>
      </c>
      <c r="C9" t="s">
        <v>40</v>
      </c>
      <c r="D9" t="s">
        <v>25</v>
      </c>
      <c r="E9">
        <v>5</v>
      </c>
      <c r="F9" t="s">
        <v>43</v>
      </c>
      <c r="G9">
        <v>39</v>
      </c>
      <c r="I9" t="s">
        <v>38</v>
      </c>
    </row>
    <row r="10" spans="1:9">
      <c r="A10" t="s">
        <v>35</v>
      </c>
      <c r="C10" t="s">
        <v>40</v>
      </c>
      <c r="D10" t="s">
        <v>25</v>
      </c>
      <c r="E10">
        <v>6</v>
      </c>
      <c r="F10" t="s">
        <v>44</v>
      </c>
      <c r="G10">
        <v>38</v>
      </c>
      <c r="I10" t="s">
        <v>45</v>
      </c>
    </row>
    <row r="11" spans="1:9">
      <c r="A11" t="s">
        <v>46</v>
      </c>
      <c r="C11" t="s">
        <v>47</v>
      </c>
      <c r="D11" t="s">
        <v>25</v>
      </c>
      <c r="E11">
        <v>1</v>
      </c>
      <c r="F11" t="s">
        <v>48</v>
      </c>
      <c r="G11">
        <v>35</v>
      </c>
      <c r="I11" t="s">
        <v>38</v>
      </c>
    </row>
    <row r="12" spans="1:9">
      <c r="A12" t="s">
        <v>46</v>
      </c>
      <c r="C12" t="s">
        <v>47</v>
      </c>
      <c r="D12" t="s">
        <v>25</v>
      </c>
      <c r="E12">
        <v>2</v>
      </c>
      <c r="F12" t="s">
        <v>49</v>
      </c>
      <c r="G12">
        <v>34</v>
      </c>
      <c r="I12" t="s">
        <v>38</v>
      </c>
    </row>
    <row r="13" spans="1:9">
      <c r="A13" t="s">
        <v>46</v>
      </c>
      <c r="C13" t="s">
        <v>50</v>
      </c>
      <c r="D13" t="s">
        <v>25</v>
      </c>
      <c r="E13">
        <v>3</v>
      </c>
      <c r="F13" t="s">
        <v>51</v>
      </c>
      <c r="G13">
        <v>33</v>
      </c>
      <c r="I13" t="s">
        <v>38</v>
      </c>
    </row>
    <row r="14" spans="1:9">
      <c r="A14" t="s">
        <v>46</v>
      </c>
      <c r="C14" t="s">
        <v>50</v>
      </c>
      <c r="D14" t="s">
        <v>25</v>
      </c>
      <c r="E14">
        <v>4</v>
      </c>
      <c r="F14" t="s">
        <v>43</v>
      </c>
      <c r="G14">
        <v>32</v>
      </c>
      <c r="I14" t="s">
        <v>38</v>
      </c>
    </row>
    <row r="15" spans="1:9">
      <c r="A15" t="s">
        <v>46</v>
      </c>
      <c r="C15" t="s">
        <v>52</v>
      </c>
      <c r="D15" t="s">
        <v>25</v>
      </c>
      <c r="E15">
        <v>116</v>
      </c>
      <c r="F15" t="s">
        <v>53</v>
      </c>
      <c r="G15">
        <v>31</v>
      </c>
      <c r="I15" t="s">
        <v>38</v>
      </c>
    </row>
    <row r="16" spans="1:9">
      <c r="A16" t="s">
        <v>46</v>
      </c>
      <c r="C16" t="s">
        <v>52</v>
      </c>
      <c r="D16" t="s">
        <v>25</v>
      </c>
      <c r="E16">
        <v>117</v>
      </c>
      <c r="F16" t="s">
        <v>54</v>
      </c>
      <c r="G16">
        <v>30</v>
      </c>
      <c r="I16" t="s">
        <v>38</v>
      </c>
    </row>
    <row r="17" spans="1:9">
      <c r="A17" t="s">
        <v>55</v>
      </c>
      <c r="C17" t="s">
        <v>56</v>
      </c>
      <c r="D17" t="s">
        <v>25</v>
      </c>
      <c r="E17">
        <v>1</v>
      </c>
      <c r="F17" t="s">
        <v>57</v>
      </c>
      <c r="G17">
        <v>29</v>
      </c>
      <c r="I17" t="s">
        <v>38</v>
      </c>
    </row>
    <row r="18" spans="1:9">
      <c r="A18" t="s">
        <v>55</v>
      </c>
      <c r="C18" t="s">
        <v>56</v>
      </c>
      <c r="D18" t="s">
        <v>25</v>
      </c>
      <c r="E18">
        <v>4</v>
      </c>
      <c r="F18" t="s">
        <v>58</v>
      </c>
      <c r="G18">
        <v>28</v>
      </c>
      <c r="I18" t="s">
        <v>45</v>
      </c>
    </row>
    <row r="19" spans="1:9">
      <c r="A19" t="s">
        <v>59</v>
      </c>
      <c r="C19" t="s">
        <v>60</v>
      </c>
      <c r="D19" t="s">
        <v>25</v>
      </c>
      <c r="E19">
        <v>3</v>
      </c>
      <c r="F19" t="s">
        <v>61</v>
      </c>
      <c r="G19">
        <v>27</v>
      </c>
      <c r="I19" t="s">
        <v>45</v>
      </c>
    </row>
    <row r="20" spans="1:9">
      <c r="A20" t="s">
        <v>62</v>
      </c>
      <c r="C20" t="s">
        <v>63</v>
      </c>
      <c r="D20" t="s">
        <v>25</v>
      </c>
      <c r="E20">
        <v>1</v>
      </c>
      <c r="F20" t="s">
        <v>64</v>
      </c>
      <c r="G20">
        <v>26</v>
      </c>
      <c r="I20" t="s">
        <v>38</v>
      </c>
    </row>
    <row r="21" spans="1:9">
      <c r="A21" t="s">
        <v>62</v>
      </c>
      <c r="C21" t="s">
        <v>63</v>
      </c>
      <c r="D21" t="s">
        <v>25</v>
      </c>
      <c r="E21">
        <v>2</v>
      </c>
      <c r="F21" t="s">
        <v>65</v>
      </c>
      <c r="G21">
        <v>25</v>
      </c>
      <c r="I21" t="s">
        <v>38</v>
      </c>
    </row>
    <row r="22" spans="1:9">
      <c r="A22" t="s">
        <v>62</v>
      </c>
      <c r="C22" t="s">
        <v>63</v>
      </c>
      <c r="D22" t="s">
        <v>25</v>
      </c>
      <c r="E22">
        <v>3</v>
      </c>
      <c r="F22" t="s">
        <v>66</v>
      </c>
      <c r="G22">
        <v>24</v>
      </c>
      <c r="I22" t="s">
        <v>38</v>
      </c>
    </row>
    <row r="23" spans="1:9">
      <c r="A23" t="s">
        <v>62</v>
      </c>
      <c r="C23" t="s">
        <v>63</v>
      </c>
      <c r="D23" t="s">
        <v>25</v>
      </c>
      <c r="E23">
        <v>4</v>
      </c>
      <c r="F23" t="s">
        <v>67</v>
      </c>
      <c r="G23">
        <v>23</v>
      </c>
      <c r="I23" t="s">
        <v>45</v>
      </c>
    </row>
    <row r="24" spans="1:9">
      <c r="A24" t="s">
        <v>68</v>
      </c>
      <c r="B24" t="s">
        <v>69</v>
      </c>
      <c r="C24" t="s">
        <v>70</v>
      </c>
      <c r="D24" t="s">
        <v>25</v>
      </c>
      <c r="E24">
        <v>1</v>
      </c>
      <c r="F24" t="s">
        <v>71</v>
      </c>
      <c r="G24">
        <v>0</v>
      </c>
      <c r="H24" t="s">
        <v>72</v>
      </c>
      <c r="I24" t="s">
        <v>28</v>
      </c>
    </row>
    <row r="25" spans="1:9">
      <c r="A25" t="s">
        <v>68</v>
      </c>
      <c r="B25" t="s">
        <v>69</v>
      </c>
      <c r="C25" t="s">
        <v>73</v>
      </c>
      <c r="D25" t="s">
        <v>25</v>
      </c>
      <c r="E25">
        <v>2</v>
      </c>
      <c r="F25" t="s">
        <v>74</v>
      </c>
      <c r="G25">
        <v>5</v>
      </c>
      <c r="H25" t="s">
        <v>75</v>
      </c>
      <c r="I25" t="s">
        <v>34</v>
      </c>
    </row>
    <row r="26" spans="1:9">
      <c r="A26" t="s">
        <v>68</v>
      </c>
      <c r="B26" t="s">
        <v>69</v>
      </c>
      <c r="C26" t="s">
        <v>76</v>
      </c>
      <c r="D26" t="s">
        <v>25</v>
      </c>
      <c r="E26">
        <v>3</v>
      </c>
      <c r="F26" t="s">
        <v>77</v>
      </c>
      <c r="G26">
        <v>5</v>
      </c>
      <c r="H26" t="s">
        <v>78</v>
      </c>
      <c r="I26" t="s">
        <v>34</v>
      </c>
    </row>
    <row r="27" spans="1:9">
      <c r="A27" t="s">
        <v>68</v>
      </c>
      <c r="B27" t="s">
        <v>69</v>
      </c>
      <c r="C27" t="s">
        <v>79</v>
      </c>
      <c r="D27" t="s">
        <v>25</v>
      </c>
      <c r="E27">
        <v>4</v>
      </c>
      <c r="F27" t="s">
        <v>80</v>
      </c>
      <c r="G27">
        <v>5</v>
      </c>
      <c r="H27" t="s">
        <v>81</v>
      </c>
      <c r="I27" t="s">
        <v>34</v>
      </c>
    </row>
    <row r="28" spans="1:9">
      <c r="A28" t="s">
        <v>68</v>
      </c>
      <c r="B28" t="s">
        <v>69</v>
      </c>
      <c r="C28" t="s">
        <v>82</v>
      </c>
      <c r="D28" t="s">
        <v>25</v>
      </c>
      <c r="E28">
        <v>5</v>
      </c>
      <c r="F28" t="s">
        <v>83</v>
      </c>
      <c r="G28">
        <v>45</v>
      </c>
      <c r="H28" t="s">
        <v>84</v>
      </c>
      <c r="I28" t="s">
        <v>85</v>
      </c>
    </row>
    <row r="29" spans="1:9">
      <c r="A29" t="s">
        <v>86</v>
      </c>
      <c r="B29" t="s">
        <v>87</v>
      </c>
      <c r="C29" t="s">
        <v>88</v>
      </c>
      <c r="D29" t="s">
        <v>25</v>
      </c>
      <c r="E29">
        <v>8</v>
      </c>
      <c r="F29" t="s">
        <v>89</v>
      </c>
      <c r="G29">
        <v>6</v>
      </c>
      <c r="I29" t="s">
        <v>31</v>
      </c>
    </row>
    <row r="30" spans="1:9">
      <c r="A30" t="s">
        <v>86</v>
      </c>
      <c r="B30" t="s">
        <v>87</v>
      </c>
      <c r="C30" t="s">
        <v>88</v>
      </c>
      <c r="D30" t="s">
        <v>25</v>
      </c>
      <c r="E30">
        <v>9</v>
      </c>
      <c r="F30" t="s">
        <v>90</v>
      </c>
      <c r="G30">
        <v>5</v>
      </c>
      <c r="I30" t="s">
        <v>34</v>
      </c>
    </row>
    <row r="31" spans="1:9">
      <c r="A31" t="s">
        <v>86</v>
      </c>
      <c r="B31" t="s">
        <v>87</v>
      </c>
      <c r="C31" t="s">
        <v>91</v>
      </c>
      <c r="D31" t="s">
        <v>25</v>
      </c>
      <c r="E31">
        <v>10</v>
      </c>
      <c r="F31" t="s">
        <v>92</v>
      </c>
      <c r="G31">
        <v>4</v>
      </c>
      <c r="I31" t="s">
        <v>28</v>
      </c>
    </row>
    <row r="32" spans="1:9">
      <c r="A32" t="s">
        <v>86</v>
      </c>
      <c r="B32" t="s">
        <v>87</v>
      </c>
      <c r="C32" t="s">
        <v>93</v>
      </c>
      <c r="D32" t="s">
        <v>25</v>
      </c>
      <c r="E32">
        <v>11</v>
      </c>
      <c r="F32" t="s">
        <v>94</v>
      </c>
      <c r="G32">
        <v>3</v>
      </c>
      <c r="I32" t="s">
        <v>95</v>
      </c>
    </row>
    <row r="33" spans="1:9">
      <c r="A33" t="s">
        <v>86</v>
      </c>
      <c r="B33" t="s">
        <v>87</v>
      </c>
      <c r="C33" t="s">
        <v>96</v>
      </c>
      <c r="D33" t="s">
        <v>25</v>
      </c>
      <c r="E33">
        <v>12</v>
      </c>
      <c r="F33" t="s">
        <v>97</v>
      </c>
      <c r="G33">
        <v>2</v>
      </c>
      <c r="I33" t="s">
        <v>95</v>
      </c>
    </row>
    <row r="34" spans="1:9">
      <c r="A34" t="s">
        <v>86</v>
      </c>
      <c r="B34" t="s">
        <v>87</v>
      </c>
      <c r="C34" t="s">
        <v>98</v>
      </c>
      <c r="D34" t="s">
        <v>25</v>
      </c>
      <c r="E34">
        <v>13</v>
      </c>
      <c r="F34" t="s">
        <v>99</v>
      </c>
      <c r="G34">
        <v>1</v>
      </c>
      <c r="I34" t="s">
        <v>31</v>
      </c>
    </row>
    <row r="35" spans="1:9">
      <c r="A35" t="s">
        <v>86</v>
      </c>
      <c r="B35" t="s">
        <v>87</v>
      </c>
      <c r="C35" t="s">
        <v>98</v>
      </c>
      <c r="D35" t="s">
        <v>25</v>
      </c>
      <c r="E35">
        <v>14</v>
      </c>
      <c r="F35" t="s">
        <v>100</v>
      </c>
      <c r="G35">
        <v>0</v>
      </c>
      <c r="I35" t="s">
        <v>28</v>
      </c>
    </row>
    <row r="36" spans="1:9">
      <c r="A36" t="s">
        <v>101</v>
      </c>
      <c r="C36" t="s">
        <v>102</v>
      </c>
      <c r="D36" t="s">
        <v>103</v>
      </c>
      <c r="E36">
        <v>1</v>
      </c>
      <c r="F36" t="s">
        <v>104</v>
      </c>
      <c r="G36">
        <v>12</v>
      </c>
    </row>
    <row r="37" spans="1:9">
      <c r="A37" t="s">
        <v>101</v>
      </c>
      <c r="C37" t="s">
        <v>105</v>
      </c>
      <c r="D37" t="s">
        <v>103</v>
      </c>
      <c r="E37">
        <v>2</v>
      </c>
      <c r="F37" t="s">
        <v>106</v>
      </c>
      <c r="G37">
        <v>11</v>
      </c>
    </row>
    <row r="38" spans="1:9">
      <c r="A38" t="s">
        <v>101</v>
      </c>
      <c r="C38" t="s">
        <v>105</v>
      </c>
      <c r="D38" t="s">
        <v>103</v>
      </c>
      <c r="E38">
        <v>3</v>
      </c>
      <c r="F38" t="s">
        <v>107</v>
      </c>
      <c r="G38">
        <v>10</v>
      </c>
    </row>
    <row r="39" spans="1:9">
      <c r="A39" t="s">
        <v>101</v>
      </c>
      <c r="C39" t="s">
        <v>105</v>
      </c>
      <c r="D39" t="s">
        <v>103</v>
      </c>
      <c r="E39">
        <v>4</v>
      </c>
      <c r="F39" t="s">
        <v>108</v>
      </c>
      <c r="G39">
        <v>9</v>
      </c>
    </row>
    <row r="40" spans="1:9">
      <c r="A40" t="s">
        <v>101</v>
      </c>
      <c r="C40" t="s">
        <v>105</v>
      </c>
      <c r="D40" t="s">
        <v>103</v>
      </c>
      <c r="E40">
        <v>5</v>
      </c>
      <c r="F40" t="s">
        <v>109</v>
      </c>
      <c r="G40">
        <v>8</v>
      </c>
    </row>
    <row r="41" spans="1:9">
      <c r="A41" t="s">
        <v>101</v>
      </c>
      <c r="C41" t="s">
        <v>110</v>
      </c>
      <c r="D41" t="s">
        <v>103</v>
      </c>
      <c r="E41">
        <v>6</v>
      </c>
      <c r="F41" t="s">
        <v>111</v>
      </c>
      <c r="G41">
        <v>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0"/>
  <sheetViews>
    <sheetView workbookViewId="0">
      <selection sqref="A1:D1"/>
    </sheetView>
  </sheetViews>
  <sheetFormatPr defaultRowHeight="15"/>
  <cols>
    <col min="1" max="1" width="28" customWidth="1"/>
    <col min="2" max="2" width="90" customWidth="1"/>
    <col min="3" max="3" width="28" customWidth="1"/>
    <col min="4" max="4" width="34" customWidth="1"/>
  </cols>
  <sheetData>
    <row r="1" spans="1:4" ht="21" customHeight="1">
      <c r="A1" s="77" t="s">
        <v>112</v>
      </c>
      <c r="B1" s="80"/>
      <c r="C1" s="80"/>
      <c r="D1" s="80"/>
    </row>
    <row r="2" spans="1:4" ht="15" customHeight="1">
      <c r="A2" s="78" t="s">
        <v>113</v>
      </c>
      <c r="B2" s="80"/>
      <c r="C2" s="80"/>
      <c r="D2" s="80"/>
    </row>
    <row r="3" spans="1:4" ht="15" customHeight="1">
      <c r="A3" s="66"/>
      <c r="B3" s="66"/>
      <c r="C3" s="66"/>
      <c r="D3" s="66"/>
    </row>
    <row r="4" spans="1:4" ht="15.75" customHeight="1">
      <c r="A4" s="51" t="s">
        <v>114</v>
      </c>
      <c r="B4" s="51" t="s">
        <v>115</v>
      </c>
      <c r="C4" s="51" t="s">
        <v>116</v>
      </c>
      <c r="D4" s="51" t="s">
        <v>117</v>
      </c>
    </row>
    <row r="5" spans="1:4" ht="15" customHeight="1">
      <c r="A5" s="52" t="s">
        <v>35</v>
      </c>
      <c r="B5" s="52" t="s">
        <v>118</v>
      </c>
      <c r="C5" s="52" t="s">
        <v>119</v>
      </c>
      <c r="D5" s="52" t="s">
        <v>120</v>
      </c>
    </row>
    <row r="6" spans="1:4" ht="15" customHeight="1">
      <c r="A6" s="52" t="s">
        <v>55</v>
      </c>
      <c r="B6" s="52" t="s">
        <v>121</v>
      </c>
      <c r="C6" s="52" t="s">
        <v>122</v>
      </c>
      <c r="D6" s="52" t="s">
        <v>123</v>
      </c>
    </row>
    <row r="7" spans="1:4" ht="15" customHeight="1">
      <c r="A7" s="52" t="s">
        <v>46</v>
      </c>
      <c r="B7" s="52" t="s">
        <v>124</v>
      </c>
      <c r="C7" s="52" t="s">
        <v>125</v>
      </c>
      <c r="D7" s="52" t="s">
        <v>126</v>
      </c>
    </row>
    <row r="8" spans="1:4" ht="15" customHeight="1">
      <c r="A8" s="52" t="s">
        <v>59</v>
      </c>
      <c r="B8" s="52" t="s">
        <v>127</v>
      </c>
      <c r="C8" s="52" t="s">
        <v>128</v>
      </c>
      <c r="D8" s="52" t="s">
        <v>129</v>
      </c>
    </row>
    <row r="9" spans="1:4" ht="15" customHeight="1">
      <c r="A9" s="52" t="s">
        <v>62</v>
      </c>
      <c r="B9" s="52" t="s">
        <v>130</v>
      </c>
      <c r="C9" s="52" t="s">
        <v>131</v>
      </c>
      <c r="D9" s="52" t="s">
        <v>132</v>
      </c>
    </row>
    <row r="10" spans="1:4" ht="15" customHeight="1">
      <c r="A10" s="52" t="s">
        <v>133</v>
      </c>
      <c r="B10" s="52" t="s">
        <v>68</v>
      </c>
      <c r="C10" s="52" t="s">
        <v>134</v>
      </c>
      <c r="D10" s="52" t="s">
        <v>135</v>
      </c>
    </row>
    <row r="11" spans="1:4" ht="15" customHeight="1">
      <c r="A11" s="66"/>
      <c r="B11" s="66"/>
      <c r="C11" s="66"/>
      <c r="D11" s="66"/>
    </row>
    <row r="12" spans="1:4" ht="15" customHeight="1">
      <c r="A12" s="66"/>
      <c r="B12" s="66"/>
      <c r="C12" s="66"/>
      <c r="D12" s="66"/>
    </row>
    <row r="13" spans="1:4" ht="15.75" customHeight="1">
      <c r="A13" s="76" t="s">
        <v>136</v>
      </c>
      <c r="B13" s="80"/>
      <c r="C13" s="80"/>
      <c r="D13" s="80"/>
    </row>
    <row r="14" spans="1:4" ht="15" customHeight="1">
      <c r="A14" s="66" t="s">
        <v>137</v>
      </c>
      <c r="B14" s="75" t="s">
        <v>138</v>
      </c>
      <c r="C14" s="80"/>
      <c r="D14" s="80"/>
    </row>
    <row r="15" spans="1:4" ht="15" customHeight="1">
      <c r="A15" s="66" t="s">
        <v>139</v>
      </c>
      <c r="B15" s="75" t="s">
        <v>140</v>
      </c>
      <c r="C15" s="80"/>
      <c r="D15" s="80"/>
    </row>
    <row r="16" spans="1:4" ht="15" customHeight="1">
      <c r="A16" s="66" t="s">
        <v>141</v>
      </c>
      <c r="B16" s="75" t="s">
        <v>142</v>
      </c>
      <c r="C16" s="80"/>
      <c r="D16" s="80"/>
    </row>
    <row r="17" spans="1:4" ht="15" customHeight="1">
      <c r="A17" s="66" t="s">
        <v>143</v>
      </c>
      <c r="B17" s="75" t="s">
        <v>144</v>
      </c>
      <c r="C17" s="80"/>
      <c r="D17" s="80"/>
    </row>
    <row r="18" spans="1:4" ht="15" customHeight="1">
      <c r="A18" s="66" t="s">
        <v>145</v>
      </c>
      <c r="B18" s="75" t="s">
        <v>146</v>
      </c>
      <c r="C18" s="80"/>
      <c r="D18" s="80"/>
    </row>
    <row r="19" spans="1:4">
      <c r="A19" s="66"/>
      <c r="B19" s="66"/>
      <c r="C19" s="66"/>
      <c r="D19" s="66"/>
    </row>
    <row r="20" spans="1:4" ht="15.75" customHeight="1">
      <c r="A20" s="76" t="s">
        <v>147</v>
      </c>
      <c r="B20" s="80"/>
      <c r="C20" s="80"/>
      <c r="D20" s="80"/>
    </row>
    <row r="21" spans="1:4" ht="15" customHeight="1">
      <c r="A21" s="75" t="s">
        <v>148</v>
      </c>
      <c r="B21" s="80"/>
      <c r="C21" s="80"/>
      <c r="D21" s="80"/>
    </row>
    <row r="22" spans="1:4" ht="15" customHeight="1">
      <c r="A22" s="75" t="s">
        <v>149</v>
      </c>
      <c r="B22" s="80"/>
      <c r="C22" s="80"/>
      <c r="D22" s="80"/>
    </row>
    <row r="23" spans="1:4" ht="15" customHeight="1">
      <c r="A23" s="75" t="s">
        <v>150</v>
      </c>
      <c r="B23" s="80"/>
      <c r="C23" s="80"/>
      <c r="D23" s="80"/>
    </row>
    <row r="24" spans="1:4" ht="15" customHeight="1">
      <c r="A24" s="75" t="s">
        <v>151</v>
      </c>
      <c r="B24" s="80"/>
      <c r="C24" s="80"/>
      <c r="D24" s="80"/>
    </row>
    <row r="25" spans="1:4" ht="15" customHeight="1">
      <c r="A25" s="75" t="s">
        <v>152</v>
      </c>
      <c r="B25" s="80"/>
      <c r="C25" s="80"/>
      <c r="D25" s="80"/>
    </row>
    <row r="26" spans="1:4" ht="41.25" customHeight="1">
      <c r="A26" s="66" t="s">
        <v>153</v>
      </c>
      <c r="B26" s="66"/>
      <c r="C26" s="66"/>
      <c r="D26" s="66"/>
    </row>
    <row r="27" spans="1:4" ht="15.75" customHeight="1">
      <c r="A27" s="76" t="s">
        <v>154</v>
      </c>
      <c r="B27" s="80"/>
      <c r="C27" s="80"/>
      <c r="D27" s="80"/>
    </row>
    <row r="28" spans="1:4" ht="15" customHeight="1">
      <c r="A28" s="75"/>
      <c r="B28" s="80"/>
      <c r="C28" s="80"/>
      <c r="D28" s="80"/>
    </row>
    <row r="29" spans="1:4" ht="15" customHeight="1">
      <c r="A29" s="75" t="s">
        <v>155</v>
      </c>
      <c r="B29" s="80"/>
      <c r="C29" s="80"/>
      <c r="D29" s="80"/>
    </row>
    <row r="30" spans="1:4" ht="15" customHeight="1">
      <c r="A30" s="75" t="s">
        <v>156</v>
      </c>
      <c r="B30" s="80"/>
      <c r="C30" s="80"/>
      <c r="D30" s="80"/>
    </row>
    <row r="31" spans="1:4" ht="15" customHeight="1">
      <c r="A31" s="75" t="s">
        <v>157</v>
      </c>
      <c r="B31" s="80"/>
      <c r="C31" s="80"/>
      <c r="D31" s="80"/>
    </row>
    <row r="32" spans="1:4" ht="94.5" customHeight="1">
      <c r="A32" s="66" t="s">
        <v>158</v>
      </c>
      <c r="B32" s="66"/>
      <c r="C32" s="66"/>
      <c r="D32" s="66"/>
    </row>
    <row r="33" spans="1:4" ht="94.5" customHeight="1">
      <c r="A33" s="66" t="s">
        <v>159</v>
      </c>
      <c r="B33" s="66"/>
      <c r="C33" s="66"/>
      <c r="D33" s="66"/>
    </row>
    <row r="34" spans="1:4" ht="68.25" customHeight="1">
      <c r="A34" s="66" t="s">
        <v>160</v>
      </c>
      <c r="B34" s="66"/>
      <c r="C34" s="66"/>
      <c r="D34" s="66"/>
    </row>
    <row r="35" spans="1:4" ht="68.25" customHeight="1">
      <c r="A35" s="66" t="s">
        <v>161</v>
      </c>
      <c r="B35" s="66"/>
      <c r="C35" s="66"/>
      <c r="D35" s="66"/>
    </row>
    <row r="36" spans="1:4">
      <c r="A36" s="66"/>
      <c r="B36" s="66"/>
      <c r="C36" s="66"/>
      <c r="D36" s="66"/>
    </row>
    <row r="37" spans="1:4" ht="27.75" customHeight="1">
      <c r="A37" s="66" t="s">
        <v>162</v>
      </c>
      <c r="B37" s="66"/>
      <c r="C37" s="66"/>
      <c r="D37" s="66"/>
    </row>
    <row r="38" spans="1:4" ht="54.75" customHeight="1">
      <c r="A38" s="66" t="s">
        <v>163</v>
      </c>
      <c r="B38" s="66"/>
      <c r="C38" s="66"/>
      <c r="D38" s="66"/>
    </row>
    <row r="39" spans="1:4" ht="54.75" customHeight="1">
      <c r="A39" s="66" t="s">
        <v>164</v>
      </c>
      <c r="B39" s="66"/>
      <c r="C39" s="66"/>
      <c r="D39" s="66"/>
    </row>
    <row r="40" spans="1:4" ht="68.25" customHeight="1">
      <c r="A40" s="66" t="s">
        <v>165</v>
      </c>
      <c r="B40" s="66"/>
      <c r="C40" s="66"/>
      <c r="D40" s="66"/>
    </row>
    <row r="41" spans="1:4" ht="68.25" customHeight="1">
      <c r="A41" s="66" t="s">
        <v>166</v>
      </c>
      <c r="B41" s="66"/>
      <c r="C41" s="66"/>
      <c r="D41" s="66"/>
    </row>
    <row r="42" spans="1:4" ht="54.75" customHeight="1">
      <c r="A42" s="66" t="s">
        <v>167</v>
      </c>
      <c r="B42" s="66"/>
      <c r="C42" s="66"/>
      <c r="D42" s="66"/>
    </row>
    <row r="43" spans="1:4" ht="54.75" customHeight="1">
      <c r="A43" s="66" t="s">
        <v>168</v>
      </c>
      <c r="B43" s="66"/>
      <c r="C43" s="66"/>
      <c r="D43" s="66"/>
    </row>
    <row r="44" spans="1:4">
      <c r="A44" s="66"/>
      <c r="B44" s="66"/>
      <c r="C44" s="66"/>
      <c r="D44" s="66"/>
    </row>
    <row r="45" spans="1:4" ht="75">
      <c r="A45" s="74" t="s">
        <v>169</v>
      </c>
      <c r="B45" s="66"/>
      <c r="C45" s="66"/>
      <c r="D45" s="66"/>
    </row>
    <row r="46" spans="1:4" ht="45">
      <c r="A46" s="66" t="s">
        <v>170</v>
      </c>
      <c r="B46" s="66"/>
      <c r="C46" s="66"/>
      <c r="D46" s="66"/>
    </row>
    <row r="47" spans="1:4" ht="60">
      <c r="A47" s="66" t="s">
        <v>171</v>
      </c>
      <c r="B47" s="66"/>
      <c r="C47" s="66"/>
      <c r="D47" s="66"/>
    </row>
    <row r="48" spans="1:4" ht="60">
      <c r="A48" s="66" t="s">
        <v>172</v>
      </c>
      <c r="B48" s="66"/>
      <c r="C48" s="66"/>
      <c r="D48" s="66"/>
    </row>
    <row r="49" spans="1:4" ht="75">
      <c r="A49" s="66" t="s">
        <v>173</v>
      </c>
      <c r="B49" s="66"/>
      <c r="C49" s="66"/>
      <c r="D49" s="66"/>
    </row>
    <row r="50" spans="1:4" ht="75">
      <c r="A50" s="66" t="s">
        <v>174</v>
      </c>
      <c r="B50" s="66"/>
      <c r="C50" s="66"/>
      <c r="D50" s="66"/>
    </row>
    <row r="51" spans="1:4">
      <c r="A51" s="66" t="s">
        <v>175</v>
      </c>
      <c r="B51" s="66"/>
      <c r="C51" s="66"/>
      <c r="D51" s="66"/>
    </row>
    <row r="52" spans="1:4">
      <c r="A52" s="66"/>
      <c r="B52" s="66"/>
      <c r="C52" s="66"/>
      <c r="D52" s="66"/>
    </row>
    <row r="53" spans="1:4" ht="60">
      <c r="A53" s="74" t="s">
        <v>176</v>
      </c>
      <c r="B53" s="66"/>
      <c r="C53" s="66"/>
      <c r="D53" s="66"/>
    </row>
    <row r="54" spans="1:4" ht="60">
      <c r="A54" s="66" t="s">
        <v>177</v>
      </c>
      <c r="B54" s="66"/>
      <c r="C54" s="66"/>
      <c r="D54" s="66"/>
    </row>
    <row r="55" spans="1:4" ht="60">
      <c r="A55" s="66" t="s">
        <v>178</v>
      </c>
      <c r="B55" s="66"/>
      <c r="C55" s="66"/>
      <c r="D55" s="66"/>
    </row>
    <row r="56" spans="1:4">
      <c r="A56" s="66" t="s">
        <v>179</v>
      </c>
      <c r="B56" s="66"/>
      <c r="C56" s="66"/>
      <c r="D56" s="66"/>
    </row>
    <row r="57" spans="1:4">
      <c r="A57" s="66"/>
      <c r="B57" s="66"/>
      <c r="C57" s="66"/>
      <c r="D57" s="66"/>
    </row>
    <row r="58" spans="1:4">
      <c r="A58" s="66"/>
      <c r="B58" s="66"/>
      <c r="C58" s="66"/>
      <c r="D58" s="66"/>
    </row>
    <row r="59" spans="1:4">
      <c r="A59" s="66"/>
      <c r="B59" s="66"/>
      <c r="C59" s="66"/>
      <c r="D59" s="66"/>
    </row>
    <row r="60" spans="1:4">
      <c r="A60" s="66"/>
      <c r="B60" s="66"/>
      <c r="C60" s="66"/>
      <c r="D60" s="66"/>
    </row>
    <row r="61" spans="1:4">
      <c r="A61" s="66"/>
      <c r="B61" s="66"/>
      <c r="C61" s="66"/>
      <c r="D61" s="66"/>
    </row>
    <row r="62" spans="1:4">
      <c r="A62" s="66"/>
      <c r="B62" s="66"/>
      <c r="C62" s="66"/>
      <c r="D62" s="66"/>
    </row>
    <row r="63" spans="1:4">
      <c r="A63" s="66"/>
      <c r="B63" s="66"/>
      <c r="C63" s="66"/>
      <c r="D63" s="66"/>
    </row>
    <row r="64" spans="1:4">
      <c r="A64" s="66"/>
      <c r="B64" s="66"/>
      <c r="C64" s="66"/>
      <c r="D64" s="66"/>
    </row>
    <row r="65" spans="1:4">
      <c r="A65" s="66"/>
      <c r="B65" s="66"/>
      <c r="C65" s="66"/>
      <c r="D65" s="66"/>
    </row>
    <row r="66" spans="1:4">
      <c r="A66" s="66"/>
      <c r="B66" s="66"/>
      <c r="C66" s="66"/>
      <c r="D66" s="66"/>
    </row>
    <row r="67" spans="1:4">
      <c r="A67" s="66"/>
      <c r="B67" s="66"/>
      <c r="C67" s="66"/>
      <c r="D67" s="66"/>
    </row>
    <row r="68" spans="1:4">
      <c r="A68" s="66"/>
      <c r="B68" s="66"/>
      <c r="C68" s="66"/>
      <c r="D68" s="66"/>
    </row>
    <row r="69" spans="1:4">
      <c r="A69" s="66"/>
      <c r="B69" s="66"/>
      <c r="C69" s="66"/>
      <c r="D69" s="66"/>
    </row>
    <row r="70" spans="1:4">
      <c r="A70" s="66"/>
      <c r="B70" s="66"/>
      <c r="C70" s="66"/>
      <c r="D70" s="66"/>
    </row>
    <row r="71" spans="1:4">
      <c r="A71" s="66"/>
      <c r="B71" s="66"/>
      <c r="C71" s="66"/>
      <c r="D71" s="66"/>
    </row>
    <row r="72" spans="1:4">
      <c r="A72" s="66"/>
      <c r="B72" s="66"/>
      <c r="C72" s="66"/>
      <c r="D72" s="66"/>
    </row>
    <row r="73" spans="1:4">
      <c r="A73" s="66"/>
      <c r="B73" s="66"/>
      <c r="C73" s="66"/>
      <c r="D73" s="66"/>
    </row>
    <row r="74" spans="1:4">
      <c r="A74" s="66"/>
      <c r="B74" s="66"/>
      <c r="C74" s="66"/>
      <c r="D74" s="66"/>
    </row>
    <row r="75" spans="1:4">
      <c r="A75" s="66"/>
      <c r="B75" s="66"/>
      <c r="C75" s="66"/>
      <c r="D75" s="66"/>
    </row>
    <row r="76" spans="1:4">
      <c r="A76" s="66"/>
      <c r="B76" s="66"/>
      <c r="C76" s="66"/>
      <c r="D76" s="66"/>
    </row>
    <row r="77" spans="1:4">
      <c r="A77" s="66"/>
      <c r="B77" s="66"/>
      <c r="C77" s="66"/>
      <c r="D77" s="66"/>
    </row>
    <row r="78" spans="1:4">
      <c r="A78" s="66"/>
      <c r="B78" s="66"/>
      <c r="C78" s="66"/>
      <c r="D78" s="66"/>
    </row>
    <row r="79" spans="1:4">
      <c r="A79" s="66"/>
      <c r="B79" s="66"/>
      <c r="C79" s="66"/>
      <c r="D79" s="66"/>
    </row>
    <row r="80" spans="1:4">
      <c r="A80" s="66"/>
      <c r="B80" s="66"/>
      <c r="C80" s="66"/>
      <c r="D80" s="66"/>
    </row>
  </sheetData>
  <mergeCells count="19">
    <mergeCell ref="A1:D1"/>
    <mergeCell ref="A25:D25"/>
    <mergeCell ref="B16:D16"/>
    <mergeCell ref="A27:D27"/>
    <mergeCell ref="A21:D21"/>
    <mergeCell ref="B18:D18"/>
    <mergeCell ref="A2:D2"/>
    <mergeCell ref="A29:D29"/>
    <mergeCell ref="A28:D28"/>
    <mergeCell ref="A13:D13"/>
    <mergeCell ref="A31:D31"/>
    <mergeCell ref="A30:D30"/>
    <mergeCell ref="A24:D24"/>
    <mergeCell ref="B15:D15"/>
    <mergeCell ref="A23:D23"/>
    <mergeCell ref="B14:D14"/>
    <mergeCell ref="A22:D22"/>
    <mergeCell ref="A20:D20"/>
    <mergeCell ref="B17:D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59999389629810485"/>
  </sheetPr>
  <dimension ref="A1:Z3000"/>
  <sheetViews>
    <sheetView workbookViewId="0">
      <pane xSplit="3" ySplit="1" topLeftCell="J4" activePane="bottomRight" state="frozen"/>
      <selection pane="bottomRight"/>
      <selection pane="bottomLeft"/>
      <selection pane="topRight"/>
    </sheetView>
  </sheetViews>
  <sheetFormatPr defaultRowHeight="15"/>
  <cols>
    <col min="1" max="1" width="16.28515625" customWidth="1"/>
    <col min="2" max="2" width="30" customWidth="1"/>
    <col min="3" max="3" width="28" customWidth="1"/>
    <col min="4" max="4" width="29.140625" customWidth="1"/>
    <col min="5" max="5" width="14" customWidth="1"/>
    <col min="6" max="6" width="12" customWidth="1"/>
    <col min="7" max="7" width="10" customWidth="1"/>
    <col min="8" max="8" width="14" customWidth="1"/>
    <col min="9" max="9" width="22" customWidth="1"/>
    <col min="10" max="10" width="34" customWidth="1"/>
    <col min="11" max="11" width="14" customWidth="1"/>
    <col min="12" max="12" width="16" customWidth="1"/>
    <col min="13" max="14" width="18" customWidth="1"/>
    <col min="15" max="15" width="10" hidden="1" customWidth="1"/>
    <col min="16" max="16" width="14" hidden="1" customWidth="1"/>
    <col min="17" max="17" width="18" hidden="1" customWidth="1"/>
    <col min="18" max="18" width="16" hidden="1" customWidth="1"/>
    <col min="19" max="19" width="13" hidden="1" customWidth="1"/>
  </cols>
  <sheetData>
    <row r="1" spans="1:26" ht="30.75" customHeight="1">
      <c r="A1" s="67" t="s">
        <v>180</v>
      </c>
      <c r="B1" s="67" t="s">
        <v>181</v>
      </c>
      <c r="C1" s="67" t="s">
        <v>182</v>
      </c>
      <c r="D1" s="67" t="s">
        <v>183</v>
      </c>
      <c r="E1" s="67" t="s">
        <v>184</v>
      </c>
      <c r="F1" s="67" t="s">
        <v>185</v>
      </c>
      <c r="G1" s="67" t="s">
        <v>186</v>
      </c>
      <c r="H1" s="67" t="s">
        <v>187</v>
      </c>
      <c r="I1" s="67" t="s">
        <v>188</v>
      </c>
      <c r="J1" s="67" t="s">
        <v>189</v>
      </c>
      <c r="K1" s="67" t="s">
        <v>190</v>
      </c>
      <c r="L1" s="67" t="s">
        <v>191</v>
      </c>
      <c r="M1" s="67" t="s">
        <v>192</v>
      </c>
      <c r="N1" s="67" t="s">
        <v>193</v>
      </c>
      <c r="O1" s="67" t="s">
        <v>194</v>
      </c>
      <c r="P1" s="67" t="s">
        <v>195</v>
      </c>
      <c r="Q1" s="67" t="s">
        <v>196</v>
      </c>
      <c r="R1" s="67" t="s">
        <v>197</v>
      </c>
      <c r="S1" s="67" t="s">
        <v>198</v>
      </c>
      <c r="T1" s="67" t="s">
        <v>199</v>
      </c>
      <c r="U1" s="67" t="s">
        <v>200</v>
      </c>
      <c r="V1" s="67" t="s">
        <v>201</v>
      </c>
      <c r="W1" s="67" t="s">
        <v>202</v>
      </c>
      <c r="X1" s="67" t="s">
        <v>203</v>
      </c>
      <c r="Y1" s="67" t="s">
        <v>204</v>
      </c>
      <c r="Z1" s="67" t="s">
        <v>205</v>
      </c>
    </row>
    <row r="2" spans="1:26" ht="45.75" customHeight="1">
      <c r="A2" s="4" t="s">
        <v>206</v>
      </c>
      <c r="B2" s="31" t="s">
        <v>207</v>
      </c>
      <c r="C2" t="s">
        <v>208</v>
      </c>
      <c r="D2" t="str">
        <f>IF($C2="","",IFERROR(LOOKUP(2,1/('03_Warehouse_Movements'!$C$2:$C$500=$A2),'03_Warehouse_Movements'!$E$2:$E$500),$C2))</f>
        <v>ACTIVE</v>
      </c>
      <c r="E2" t="s">
        <v>209</v>
      </c>
      <c r="F2" t="s">
        <v>210</v>
      </c>
      <c r="G2" s="32">
        <v>7</v>
      </c>
      <c r="H2" s="3" t="str">
        <f t="shared" ref="H2:H65" si="0">IF(AND($F2="TEMP",$G2&gt;0,$M2&lt;&gt;""),$M2+$G2,"")</f>
        <v/>
      </c>
      <c r="I2" s="3" t="s">
        <v>211</v>
      </c>
      <c r="J2" s="4" t="s">
        <v>212</v>
      </c>
      <c r="K2" s="3">
        <v>46053</v>
      </c>
      <c r="L2" s="4" t="s">
        <v>213</v>
      </c>
      <c r="M2" s="68" t="str">
        <f>IF($C2="","",IFERROR(LOOKUP(2,1/('03_Warehouse_Movements'!$C$2:$C$500=$A2),'03_Warehouse_Movements'!$A$2:$A$500),""))</f>
        <v/>
      </c>
      <c r="N2" s="4" t="str">
        <f>IF($C2="","",IFERROR(LOOKUP(2,1/('03_Warehouse_Movements'!$C$2:$C$500=$A2),'03_Warehouse_Movements'!$H$2:$H$500),""))</f>
        <v/>
      </c>
      <c r="O2" s="4" t="str">
        <f t="shared" ref="O2:O65" si="1">A2</f>
        <v>OVERFLOW-RICH-CYBERNETS-CFAM-CCMC</v>
      </c>
      <c r="P2" s="69">
        <v>46284</v>
      </c>
      <c r="Q2" s="70">
        <v>144180</v>
      </c>
      <c r="R2" s="33"/>
      <c r="V2" t="s">
        <v>214</v>
      </c>
      <c r="W2">
        <f>IF($A2="","",COUNTIF('07_Pallet_Contents'!$A$2:$A$3000,$A2))</f>
        <v>0</v>
      </c>
      <c r="X2">
        <f>IF($A2="","",SUMIF('07_Pallet_Contents'!$A$2:$A$3000,$A2,'07_Pallet_Contents'!$D$2:$D$3000))</f>
        <v>0</v>
      </c>
      <c r="Y2">
        <f>IF($A2="","",SUMIF('07_Pallet_Contents'!$A$2:$A$3000,$A2,'07_Pallet_Contents'!$I$2:$I$3000))</f>
        <v>0</v>
      </c>
      <c r="Z2" t="str">
        <f>IF($A2="","",IF(COUNTIF('07_Pallet_Contents'!$A$2:$A$3000,$A2)&gt;0,"Yes",""))</f>
        <v/>
      </c>
    </row>
    <row r="3" spans="1:26" ht="27.75" customHeight="1">
      <c r="A3" s="4" t="s">
        <v>215</v>
      </c>
      <c r="B3" s="31"/>
      <c r="C3" t="s">
        <v>216</v>
      </c>
      <c r="D3" t="str">
        <f>IF($C3="","",IFERROR(LOOKUP(2,1/('03_Warehouse_Movements'!$C$2:$C$500=$A3),'03_Warehouse_Movements'!$E$2:$E$500),$C3))</f>
        <v>STAGED</v>
      </c>
      <c r="E3" t="s">
        <v>217</v>
      </c>
      <c r="F3" t="s">
        <v>218</v>
      </c>
      <c r="G3" s="32"/>
      <c r="H3" s="3" t="str">
        <f t="shared" si="0"/>
        <v/>
      </c>
      <c r="I3" s="3" t="s">
        <v>219</v>
      </c>
      <c r="J3" s="4" t="s">
        <v>220</v>
      </c>
      <c r="K3" s="3">
        <v>46052</v>
      </c>
      <c r="L3" s="4" t="s">
        <v>221</v>
      </c>
      <c r="M3" s="68" t="str">
        <f>IF($C3="","",IFERROR(LOOKUP(2,1/('03_Warehouse_Movements'!$C$2:$C$500=$A3),'03_Warehouse_Movements'!$A$2:$A$500),""))</f>
        <v/>
      </c>
      <c r="N3" s="4" t="str">
        <f>IF($C3="","",IFERROR(LOOKUP(2,1/('03_Warehouse_Movements'!$C$2:$C$500=$A3),'03_Warehouse_Movements'!$H$2:$H$500),""))</f>
        <v/>
      </c>
      <c r="O3" s="4" t="str">
        <f t="shared" si="1"/>
        <v>WH-STAGE-IN</v>
      </c>
      <c r="Q3" s="34"/>
      <c r="R3" s="33"/>
      <c r="V3" t="s">
        <v>222</v>
      </c>
      <c r="W3">
        <f>IF($A2="","",COUNTIF('07_Pallet_Contents'!$A$2:$A$3000,$A2))</f>
        <v>0</v>
      </c>
      <c r="X3">
        <f>IF($A2="","",SUMIF('07_Pallet_Contents'!$A$2:$A$3000,$A2,'07_Pallet_Contents'!$D$2:$D$3000))</f>
        <v>0</v>
      </c>
      <c r="Y3">
        <f>IF($A2="","",SUMIF('07_Pallet_Contents'!$A$2:$A$3000,$A2,'07_Pallet_Contents'!$I$2:$I$3000))</f>
        <v>0</v>
      </c>
      <c r="Z3" t="str">
        <f>IF($A2="","",IF(COUNTIF('07_Pallet_Contents'!$A$2:$A$3000,$A2)&gt;0,"Yes",""))</f>
        <v/>
      </c>
    </row>
    <row r="4" spans="1:26" ht="30.75" customHeight="1">
      <c r="A4" s="4" t="s">
        <v>223</v>
      </c>
      <c r="B4" s="4" t="s">
        <v>224</v>
      </c>
      <c r="C4" t="s">
        <v>225</v>
      </c>
      <c r="D4" t="str">
        <f>IF($C4="","",IFERROR(LOOKUP(2,1/('03_Warehouse_Movements'!$C$2:$C$500=$A4),'03_Warehouse_Movements'!$E$2:$E$500),$C4))</f>
        <v>UNSAFE</v>
      </c>
      <c r="E4" t="s">
        <v>209</v>
      </c>
      <c r="F4" t="s">
        <v>226</v>
      </c>
      <c r="G4" s="32"/>
      <c r="H4" s="3" t="str">
        <f t="shared" si="0"/>
        <v/>
      </c>
      <c r="I4" s="3" t="s">
        <v>227</v>
      </c>
      <c r="J4" s="4" t="s">
        <v>228</v>
      </c>
      <c r="K4" s="3">
        <v>46046</v>
      </c>
      <c r="L4" s="4" t="s">
        <v>213</v>
      </c>
      <c r="M4" s="68" t="str">
        <f>IF($C4="","",IFERROR(LOOKUP(2,1/('03_Warehouse_Movements'!$C$2:$C$500=$A4),'03_Warehouse_Movements'!$A$2:$A$500),""))</f>
        <v/>
      </c>
      <c r="N4" s="4" t="str">
        <f>IF($C4="","",IFERROR(LOOKUP(2,1/('03_Warehouse_Movements'!$C$2:$C$500=$A4),'03_Warehouse_Movements'!$H$2:$H$500),""))</f>
        <v/>
      </c>
      <c r="O4" s="35" t="str">
        <f t="shared" si="1"/>
        <v>OVERFLOW-CHRIS-UMAIR_TICKETS-</v>
      </c>
      <c r="Q4" s="34"/>
      <c r="R4" s="33"/>
      <c r="U4" s="70">
        <v>46046</v>
      </c>
      <c r="V4" t="s">
        <v>229</v>
      </c>
      <c r="W4">
        <f>IF($A2="","",COUNTIF('07_Pallet_Contents'!$A$2:$A$3000,$A2))</f>
        <v>0</v>
      </c>
      <c r="X4">
        <f>IF($A2="","",SUMIF('07_Pallet_Contents'!$A$2:$A$3000,$A2,'07_Pallet_Contents'!$D$2:$D$3000))</f>
        <v>0</v>
      </c>
      <c r="Y4">
        <f>IF($A2="","",SUMIF('07_Pallet_Contents'!$A$2:$A$3000,$A2,'07_Pallet_Contents'!$I$2:$I$3000))</f>
        <v>0</v>
      </c>
      <c r="Z4" t="str">
        <f>IF($A2="","",IF(COUNTIF('07_Pallet_Contents'!$A$2:$A$3000,$A2)&gt;0,"Yes",""))</f>
        <v/>
      </c>
    </row>
    <row r="5" spans="1:26" ht="27.75" customHeight="1">
      <c r="A5" s="4" t="s">
        <v>230</v>
      </c>
      <c r="B5" s="4" t="s">
        <v>231</v>
      </c>
      <c r="C5" t="s">
        <v>231</v>
      </c>
      <c r="D5" t="str">
        <f>IF($C5="","",IFERROR(LOOKUP(2,1/('03_Warehouse_Movements'!$C$2:$C$500=$A5),'03_Warehouse_Movements'!$E$2:$E$500),$C5))</f>
        <v>48x T24i-30</v>
      </c>
      <c r="E5" t="s">
        <v>209</v>
      </c>
      <c r="F5" t="s">
        <v>218</v>
      </c>
      <c r="G5" s="32"/>
      <c r="H5" s="3" t="str">
        <f t="shared" si="0"/>
        <v/>
      </c>
      <c r="I5" s="3" t="s">
        <v>232</v>
      </c>
      <c r="J5" s="4" t="s">
        <v>220</v>
      </c>
      <c r="K5" s="3">
        <v>46051</v>
      </c>
      <c r="L5" s="4" t="s">
        <v>233</v>
      </c>
      <c r="M5" s="68" t="str">
        <f>IF($C5="","",IFERROR(LOOKUP(2,1/('03_Warehouse_Movements'!$C$2:$C$500=$A5),'03_Warehouse_Movements'!$A$2:$A$500),""))</f>
        <v/>
      </c>
      <c r="N5" s="4" t="str">
        <f>IF($C5="","",IFERROR(LOOKUP(2,1/('03_Warehouse_Movements'!$C$2:$C$500=$A5),'03_Warehouse_Movements'!$H$2:$H$500),""))</f>
        <v/>
      </c>
      <c r="O5" s="35" t="str">
        <f t="shared" si="1"/>
        <v>WH-Z1-AisleO-Bay10-Level1</v>
      </c>
      <c r="Q5" s="34"/>
      <c r="R5" s="33"/>
      <c r="U5" s="70">
        <v>46051</v>
      </c>
      <c r="V5" t="s">
        <v>234</v>
      </c>
      <c r="W5">
        <f>IF($A2="","",COUNTIF('07_Pallet_Contents'!$A$2:$A$3000,$A2))</f>
        <v>0</v>
      </c>
      <c r="X5">
        <f>IF($A2="","",SUMIF('07_Pallet_Contents'!$A$2:$A$3000,$A2,'07_Pallet_Contents'!$D$2:$D$3000))</f>
        <v>0</v>
      </c>
      <c r="Y5">
        <f>IF($A2="","",SUMIF('07_Pallet_Contents'!$A$2:$A$3000,$A2,'07_Pallet_Contents'!$I$2:$I$3000))</f>
        <v>0</v>
      </c>
      <c r="Z5" t="str">
        <f>IF($A2="","",IF(COUNTIF('07_Pallet_Contents'!$A$2:$A$3000,$A2)&gt;0,"Yes",""))</f>
        <v/>
      </c>
    </row>
    <row r="6" spans="1:26" ht="30.75" customHeight="1">
      <c r="A6" s="4" t="s">
        <v>235</v>
      </c>
      <c r="B6" s="4" t="s">
        <v>236</v>
      </c>
      <c r="C6" t="s">
        <v>237</v>
      </c>
      <c r="D6" t="str">
        <f>IF($C6="","",IFERROR(LOOKUP(2,1/('03_Warehouse_Movements'!$C$2:$C$500=$A6),'03_Warehouse_Movements'!$E$2:$E$500),$C6))</f>
        <v>capsule &amp; GCX</v>
      </c>
      <c r="E6" t="s">
        <v>209</v>
      </c>
      <c r="F6" t="s">
        <v>218</v>
      </c>
      <c r="G6" s="32"/>
      <c r="H6" s="3" t="str">
        <f t="shared" si="0"/>
        <v/>
      </c>
      <c r="I6" s="3" t="s">
        <v>238</v>
      </c>
      <c r="J6" s="4" t="s">
        <v>239</v>
      </c>
      <c r="K6" s="3">
        <v>46059</v>
      </c>
      <c r="L6" s="4" t="s">
        <v>240</v>
      </c>
      <c r="M6" s="68" t="str">
        <f>IF($C6="","",IFERROR(LOOKUP(2,1/('03_Warehouse_Movements'!$C$2:$C$500=$A6),'03_Warehouse_Movements'!$A$2:$A$500),""))</f>
        <v/>
      </c>
      <c r="N6" s="4" t="str">
        <f>IF($C6="","",IFERROR(LOOKUP(2,1/('03_Warehouse_Movements'!$C$2:$C$500=$A6),'03_Warehouse_Movements'!$H$2:$H$500),""))</f>
        <v/>
      </c>
      <c r="O6" s="4" t="str">
        <f t="shared" si="1"/>
        <v>Northwell Capsule &amp; GCX</v>
      </c>
      <c r="Q6" s="34"/>
      <c r="R6" s="33"/>
      <c r="W6">
        <f>IF($A2="","",COUNTIF('07_Pallet_Contents'!$A$2:$A$3000,$A2))</f>
        <v>0</v>
      </c>
      <c r="X6">
        <f>IF($A2="","",SUMIF('07_Pallet_Contents'!$A$2:$A$3000,$A2,'07_Pallet_Contents'!$D$2:$D$3000))</f>
        <v>0</v>
      </c>
      <c r="Y6">
        <f>IF($A2="","",SUMIF('07_Pallet_Contents'!$A$2:$A$3000,$A2,'07_Pallet_Contents'!$I$2:$I$3000))</f>
        <v>0</v>
      </c>
      <c r="Z6" t="str">
        <f>IF($A2="","",IF(COUNTIF('07_Pallet_Contents'!$A$2:$A$3000,$A2)&gt;0,"Yes",""))</f>
        <v/>
      </c>
    </row>
    <row r="7" spans="1:26" ht="30.75" customHeight="1">
      <c r="A7" s="4" t="s">
        <v>241</v>
      </c>
      <c r="B7" s="4"/>
      <c r="C7" t="s">
        <v>242</v>
      </c>
      <c r="D7" t="str">
        <f>IF($C7="","",IFERROR(LOOKUP(2,1/('03_Warehouse_Movements'!$C$2:$C$500=$A7),'03_Warehouse_Movements'!$E$2:$E$500),$C7))</f>
        <v>19x T24 Thinkvision Monitor 63CFMAR1US</v>
      </c>
      <c r="E7" t="s">
        <v>217</v>
      </c>
      <c r="F7" t="s">
        <v>218</v>
      </c>
      <c r="G7" s="32"/>
      <c r="H7" s="3" t="str">
        <f t="shared" si="0"/>
        <v/>
      </c>
      <c r="I7" s="4" t="s">
        <v>243</v>
      </c>
      <c r="K7" s="3">
        <v>46052</v>
      </c>
      <c r="L7" s="4" t="s">
        <v>233</v>
      </c>
      <c r="M7" s="68" t="str">
        <f>IF($C7="","",IFERROR(LOOKUP(2,1/('03_Warehouse_Movements'!$C$2:$C$500=$A7),'03_Warehouse_Movements'!$A$2:$A$500),""))</f>
        <v/>
      </c>
      <c r="N7" s="4" t="str">
        <f>IF($C7="","",IFERROR(LOOKUP(2,1/('03_Warehouse_Movements'!$C$2:$C$500=$A7),'03_Warehouse_Movements'!$H$2:$H$500),""))</f>
        <v/>
      </c>
      <c r="O7" s="4" t="str">
        <f t="shared" si="1"/>
        <v>WH-Z1-NOOverflow</v>
      </c>
      <c r="Q7" s="34"/>
      <c r="R7" s="33"/>
      <c r="W7">
        <f>IF($A2="","",COUNTIF('07_Pallet_Contents'!$A$2:$A$3000,$A2))</f>
        <v>0</v>
      </c>
      <c r="X7">
        <f>IF($A2="","",SUMIF('07_Pallet_Contents'!$A$2:$A$3000,$A2,'07_Pallet_Contents'!$D$2:$D$3000))</f>
        <v>0</v>
      </c>
      <c r="Y7">
        <f>IF($A2="","",SUMIF('07_Pallet_Contents'!$A$2:$A$3000,$A2,'07_Pallet_Contents'!$I$2:$I$3000))</f>
        <v>0</v>
      </c>
      <c r="Z7" t="str">
        <f>IF($A2="","",IF(COUNTIF('07_Pallet_Contents'!$A$2:$A$3000,$A2)&gt;0,"Yes",""))</f>
        <v/>
      </c>
    </row>
    <row r="8" spans="1:26" ht="27.75" customHeight="1">
      <c r="A8" s="4" t="s">
        <v>244</v>
      </c>
      <c r="B8" s="4"/>
      <c r="C8" t="s">
        <v>245</v>
      </c>
      <c r="D8" t="str">
        <f>IF($C8="","",IFERROR(LOOKUP(2,1/('03_Warehouse_Movements'!$C$2:$C$500=$A8),'03_Warehouse_Movements'!$E$2:$E$500),$C8))</f>
        <v>TEMP</v>
      </c>
      <c r="E8" t="s">
        <v>217</v>
      </c>
      <c r="F8" t="s">
        <v>246</v>
      </c>
      <c r="G8" s="32">
        <v>14</v>
      </c>
      <c r="H8" s="3" t="str">
        <f t="shared" si="0"/>
        <v/>
      </c>
      <c r="I8" s="3" t="s">
        <v>232</v>
      </c>
      <c r="J8" s="4" t="s">
        <v>220</v>
      </c>
      <c r="K8" s="3">
        <v>46052</v>
      </c>
      <c r="L8" s="4" t="s">
        <v>233</v>
      </c>
      <c r="M8" s="68" t="str">
        <f>IF($C8="","",IFERROR(LOOKUP(2,1/('03_Warehouse_Movements'!$C$2:$C$500=$A8),'03_Warehouse_Movements'!$A$2:$A$500),""))</f>
        <v/>
      </c>
      <c r="N8" s="4" t="str">
        <f>IF($C8="","",IFERROR(LOOKUP(2,1/('03_Warehouse_Movements'!$C$2:$C$500=$A8),'03_Warehouse_Movements'!$H$2:$H$500),""))</f>
        <v/>
      </c>
      <c r="O8" s="4" t="str">
        <f t="shared" si="1"/>
        <v>WH-Z1-AisleO-Bay7-Level1</v>
      </c>
      <c r="Q8" s="34"/>
      <c r="R8" s="33"/>
      <c r="W8">
        <f>IF($A2="","",COUNTIF('07_Pallet_Contents'!$A$2:$A$3000,$A2))</f>
        <v>0</v>
      </c>
      <c r="X8">
        <f>IF($A2="","",SUMIF('07_Pallet_Contents'!$A$2:$A$3000,$A2,'07_Pallet_Contents'!$D$2:$D$3000))</f>
        <v>0</v>
      </c>
      <c r="Y8">
        <f>IF($A2="","",SUMIF('07_Pallet_Contents'!$A$2:$A$3000,$A2,'07_Pallet_Contents'!$I$2:$I$3000))</f>
        <v>0</v>
      </c>
      <c r="Z8" t="str">
        <f>IF($A2="","",IF(COUNTIF('07_Pallet_Contents'!$A$2:$A$3000,$A2)&gt;0,"Yes",""))</f>
        <v/>
      </c>
    </row>
    <row r="9" spans="1:26" ht="27.75" customHeight="1">
      <c r="A9" s="4" t="s">
        <v>247</v>
      </c>
      <c r="B9" s="4" t="s">
        <v>248</v>
      </c>
      <c r="C9" t="s">
        <v>249</v>
      </c>
      <c r="D9" t="str">
        <f>IF($C9="","",IFERROR(LOOKUP(2,1/('03_Warehouse_Movements'!$C$2:$C$500=$A9),'03_Warehouse_Movements'!$E$2:$E$500),$C9))</f>
        <v>SAMPLE: Power Supplies</v>
      </c>
      <c r="E9" t="s">
        <v>209</v>
      </c>
      <c r="F9" t="s">
        <v>218</v>
      </c>
      <c r="G9" s="32"/>
      <c r="H9" s="3" t="str">
        <f t="shared" si="0"/>
        <v/>
      </c>
      <c r="I9" s="3" t="s">
        <v>250</v>
      </c>
      <c r="J9" s="4" t="s">
        <v>220</v>
      </c>
      <c r="K9" s="3">
        <v>46052</v>
      </c>
      <c r="L9" s="4" t="s">
        <v>221</v>
      </c>
      <c r="M9" s="68" t="str">
        <f>IF($C9="","",IFERROR(LOOKUP(2,1/('03_Warehouse_Movements'!$C$2:$C$500=$A9),'03_Warehouse_Movements'!$A$2:$A$500),""))</f>
        <v/>
      </c>
      <c r="N9" s="4" t="str">
        <f>IF($C9="","",IFERROR(LOOKUP(2,1/('03_Warehouse_Movements'!$C$2:$C$500=$A9),'03_Warehouse_Movements'!$H$2:$H$500),""))</f>
        <v/>
      </c>
      <c r="O9" s="4" t="str">
        <f t="shared" si="1"/>
        <v>OVERFLOW-SAMPLE-PO1007-CAT3-PAL008</v>
      </c>
      <c r="Q9" s="34"/>
      <c r="R9" s="33"/>
      <c r="W9">
        <f>IF($A2="","",COUNTIF('07_Pallet_Contents'!$A$2:$A$3000,$A2))</f>
        <v>0</v>
      </c>
      <c r="X9">
        <f>IF($A2="","",SUMIF('07_Pallet_Contents'!$A$2:$A$3000,$A2,'07_Pallet_Contents'!$D$2:$D$3000))</f>
        <v>0</v>
      </c>
      <c r="Y9">
        <f>IF($A2="","",SUMIF('07_Pallet_Contents'!$A$2:$A$3000,$A2,'07_Pallet_Contents'!$I$2:$I$3000))</f>
        <v>0</v>
      </c>
      <c r="Z9" t="str">
        <f>IF($A2="","",IF(COUNTIF('07_Pallet_Contents'!$A$2:$A$3000,$A2)&gt;0,"Yes",""))</f>
        <v/>
      </c>
    </row>
    <row r="10" spans="1:26" ht="27.75" customHeight="1">
      <c r="A10" s="4" t="s">
        <v>251</v>
      </c>
      <c r="B10" s="4"/>
      <c r="C10" t="s">
        <v>252</v>
      </c>
      <c r="D10" t="str">
        <f>IF($C10="","",IFERROR(LOOKUP(2,1/('03_Warehouse_Movements'!$C$2:$C$500=$A10),'03_Warehouse_Movements'!$E$2:$E$500),$C10))</f>
        <v>SAMPLE: Imaging Equipment</v>
      </c>
      <c r="E10" t="s">
        <v>209</v>
      </c>
      <c r="F10" t="s">
        <v>218</v>
      </c>
      <c r="G10" s="32"/>
      <c r="H10" s="3" t="str">
        <f t="shared" si="0"/>
        <v/>
      </c>
      <c r="I10" s="3" t="s">
        <v>253</v>
      </c>
      <c r="J10" s="4" t="s">
        <v>220</v>
      </c>
      <c r="K10" s="3">
        <v>46052</v>
      </c>
      <c r="L10" s="4" t="s">
        <v>221</v>
      </c>
      <c r="M10" s="68" t="str">
        <f>IF($C10="","",IFERROR(LOOKUP(2,1/('03_Warehouse_Movements'!$C$2:$C$500=$A10),'03_Warehouse_Movements'!$A$2:$A$500),""))</f>
        <v/>
      </c>
      <c r="N10" s="4" t="str">
        <f>IF($C10="","",IFERROR(LOOKUP(2,1/('03_Warehouse_Movements'!$C$2:$C$500=$A10),'03_Warehouse_Movements'!$H$2:$H$500),""))</f>
        <v/>
      </c>
      <c r="O10" s="4" t="str">
        <f t="shared" si="1"/>
        <v>WH-Z1-AisleA-Bay1-Level6</v>
      </c>
      <c r="Q10" s="34"/>
      <c r="R10" s="33"/>
      <c r="W10">
        <f>IF($A2="","",COUNTIF('07_Pallet_Contents'!$A$2:$A$3000,$A2))</f>
        <v>0</v>
      </c>
      <c r="X10">
        <f>IF($A2="","",SUMIF('07_Pallet_Contents'!$A$2:$A$3000,$A2,'07_Pallet_Contents'!$D$2:$D$3000))</f>
        <v>0</v>
      </c>
      <c r="Y10">
        <f>IF($A2="","",SUMIF('07_Pallet_Contents'!$A$2:$A$3000,$A2,'07_Pallet_Contents'!$I$2:$I$3000))</f>
        <v>0</v>
      </c>
      <c r="Z10" t="str">
        <f>IF($A2="","",IF(COUNTIF('07_Pallet_Contents'!$A$2:$A$3000,$A2)&gt;0,"Yes",""))</f>
        <v/>
      </c>
    </row>
    <row r="11" spans="1:26" ht="27.75" customHeight="1">
      <c r="A11" s="4" t="s">
        <v>254</v>
      </c>
      <c r="B11" s="4"/>
      <c r="C11" t="s">
        <v>255</v>
      </c>
      <c r="D11" t="str">
        <f>IF($C11="","",IFERROR(LOOKUP(2,1/('03_Warehouse_Movements'!$C$2:$C$500=$A11),'03_Warehouse_Movements'!$E$2:$E$500),$C11))</f>
        <v>SAMPLE: Misc Hardware</v>
      </c>
      <c r="E11" t="s">
        <v>209</v>
      </c>
      <c r="F11" t="s">
        <v>218</v>
      </c>
      <c r="G11" s="32"/>
      <c r="H11" s="3" t="str">
        <f t="shared" si="0"/>
        <v/>
      </c>
      <c r="I11" s="3" t="s">
        <v>256</v>
      </c>
      <c r="J11" s="4" t="s">
        <v>220</v>
      </c>
      <c r="K11" s="3">
        <v>46052</v>
      </c>
      <c r="L11" s="4" t="s">
        <v>221</v>
      </c>
      <c r="M11" s="68" t="str">
        <f>IF($C11="","",IFERROR(LOOKUP(2,1/('03_Warehouse_Movements'!$C$2:$C$500=$A11),'03_Warehouse_Movements'!$A$2:$A$500),""))</f>
        <v/>
      </c>
      <c r="N11" s="4" t="str">
        <f>IF($C11="","",IFERROR(LOOKUP(2,1/('03_Warehouse_Movements'!$C$2:$C$500=$A11),'03_Warehouse_Movements'!$H$2:$H$500),""))</f>
        <v/>
      </c>
      <c r="O11" s="4" t="str">
        <f t="shared" si="1"/>
        <v>WH-Z1-AisleA-Bay1-Level7</v>
      </c>
      <c r="Q11" s="34" t="s">
        <v>257</v>
      </c>
      <c r="R11" s="33"/>
      <c r="W11">
        <f>IF($A2="","",COUNTIF('07_Pallet_Contents'!$A$2:$A$3000,$A2))</f>
        <v>0</v>
      </c>
      <c r="X11">
        <f>IF($A2="","",SUMIF('07_Pallet_Contents'!$A$2:$A$3000,$A2,'07_Pallet_Contents'!$D$2:$D$3000))</f>
        <v>0</v>
      </c>
      <c r="Y11">
        <f>IF($A2="","",SUMIF('07_Pallet_Contents'!$A$2:$A$3000,$A2,'07_Pallet_Contents'!$I$2:$I$3000))</f>
        <v>0</v>
      </c>
      <c r="Z11" t="str">
        <f>IF($A2="","",IF(COUNTIF('07_Pallet_Contents'!$A$2:$A$3000,$A2)&gt;0,"Yes",""))</f>
        <v/>
      </c>
    </row>
    <row r="12" spans="1:26" ht="27.75" customHeight="1">
      <c r="A12" s="4" t="s">
        <v>258</v>
      </c>
      <c r="B12" s="4"/>
      <c r="C12" t="s">
        <v>259</v>
      </c>
      <c r="D12" t="str">
        <f>IF($C12="","",IFERROR(LOOKUP(2,1/('03_Warehouse_Movements'!$C$2:$C$500=$A12),'03_Warehouse_Movements'!$E$2:$E$500),$C12))</f>
        <v>SAMPLE: Dell Devices</v>
      </c>
      <c r="E12" t="s">
        <v>209</v>
      </c>
      <c r="F12" t="s">
        <v>218</v>
      </c>
      <c r="G12" s="32"/>
      <c r="H12" s="3" t="str">
        <f t="shared" si="0"/>
        <v/>
      </c>
      <c r="I12" s="3" t="s">
        <v>260</v>
      </c>
      <c r="J12" s="4" t="s">
        <v>220</v>
      </c>
      <c r="K12" s="3">
        <v>46052</v>
      </c>
      <c r="L12" s="4" t="s">
        <v>221</v>
      </c>
      <c r="M12" s="68" t="str">
        <f>IF($C12="","",IFERROR(LOOKUP(2,1/('03_Warehouse_Movements'!$C$2:$C$500=$A12),'03_Warehouse_Movements'!$A$2:$A$500),""))</f>
        <v/>
      </c>
      <c r="N12" s="4" t="str">
        <f>IF($C12="","",IFERROR(LOOKUP(2,1/('03_Warehouse_Movements'!$C$2:$C$500=$A12),'03_Warehouse_Movements'!$H$2:$H$500),""))</f>
        <v/>
      </c>
      <c r="O12" s="4" t="str">
        <f t="shared" si="1"/>
        <v>WH-Z1-AisleA-Bay1-Level8</v>
      </c>
      <c r="Q12" s="34"/>
      <c r="R12" s="33"/>
      <c r="W12">
        <f>IF($A2="","",COUNTIF('07_Pallet_Contents'!$A$2:$A$3000,$A2))</f>
        <v>0</v>
      </c>
      <c r="X12">
        <f>IF($A2="","",SUMIF('07_Pallet_Contents'!$A$2:$A$3000,$A2,'07_Pallet_Contents'!$D$2:$D$3000))</f>
        <v>0</v>
      </c>
      <c r="Y12">
        <f>IF($A2="","",SUMIF('07_Pallet_Contents'!$A$2:$A$3000,$A2,'07_Pallet_Contents'!$I$2:$I$3000))</f>
        <v>0</v>
      </c>
      <c r="Z12" t="str">
        <f>IF($A2="","",IF(COUNTIF('07_Pallet_Contents'!$A$2:$A$3000,$A2)&gt;0,"Yes",""))</f>
        <v/>
      </c>
    </row>
    <row r="13" spans="1:26" ht="27.75" customHeight="1">
      <c r="A13" s="4" t="s">
        <v>261</v>
      </c>
      <c r="B13" s="4"/>
      <c r="C13" t="s">
        <v>262</v>
      </c>
      <c r="D13" t="str">
        <f>IF($C13="","",IFERROR(LOOKUP(2,1/('03_Warehouse_Movements'!$C$2:$C$500=$A13),'03_Warehouse_Movements'!$E$2:$E$500),$C13))</f>
        <v>PAL-0000013</v>
      </c>
      <c r="E13" t="s">
        <v>209</v>
      </c>
      <c r="F13" t="s">
        <v>218</v>
      </c>
      <c r="G13" s="32"/>
      <c r="H13" s="3" t="str">
        <f t="shared" si="0"/>
        <v/>
      </c>
      <c r="I13" s="3" t="s">
        <v>219</v>
      </c>
      <c r="J13" s="4" t="s">
        <v>220</v>
      </c>
      <c r="K13" s="3">
        <v>46052</v>
      </c>
      <c r="L13" s="4" t="s">
        <v>221</v>
      </c>
      <c r="M13" s="68" t="str">
        <f>IF($C13="","",IFERROR(LOOKUP(2,1/('03_Warehouse_Movements'!$C$2:$C$500=$A13),'03_Warehouse_Movements'!$A$2:$A$500),""))</f>
        <v/>
      </c>
      <c r="N13" s="4" t="str">
        <f>IF($C13="","",IFERROR(LOOKUP(2,1/('03_Warehouse_Movements'!$C$2:$C$500=$A13),'03_Warehouse_Movements'!$H$2:$H$500),""))</f>
        <v/>
      </c>
      <c r="O13" s="4" t="str">
        <f t="shared" si="1"/>
        <v>WH-Z1-AisleA-Bay1-Level9</v>
      </c>
      <c r="Q13" s="34"/>
      <c r="R13" s="33"/>
      <c r="W13">
        <f>IF($A2="","",COUNTIF('07_Pallet_Contents'!$A$2:$A$3000,$A2))</f>
        <v>0</v>
      </c>
      <c r="X13">
        <f>IF($A2="","",SUMIF('07_Pallet_Contents'!$A$2:$A$3000,$A2,'07_Pallet_Contents'!$D$2:$D$3000))</f>
        <v>0</v>
      </c>
      <c r="Y13">
        <f>IF($A2="","",SUMIF('07_Pallet_Contents'!$A$2:$A$3000,$A2,'07_Pallet_Contents'!$I$2:$I$3000))</f>
        <v>0</v>
      </c>
      <c r="Z13" t="str">
        <f>IF($A2="","",IF(COUNTIF('07_Pallet_Contents'!$A$2:$A$3000,$A2)&gt;0,"Yes",""))</f>
        <v/>
      </c>
    </row>
    <row r="14" spans="1:26" ht="27.75" customHeight="1">
      <c r="A14" s="4" t="s">
        <v>263</v>
      </c>
      <c r="B14" s="4"/>
      <c r="C14" t="s">
        <v>264</v>
      </c>
      <c r="D14" t="str">
        <f>IF($C14="","",IFERROR(LOOKUP(2,1/('03_Warehouse_Movements'!$C$2:$C$500=$A14),'03_Warehouse_Movements'!$E$2:$E$500),$C14))</f>
        <v>SAMPLE: Cables &amp; Adapters</v>
      </c>
      <c r="E14" t="s">
        <v>209</v>
      </c>
      <c r="F14" t="s">
        <v>246</v>
      </c>
      <c r="G14" s="32">
        <v>14</v>
      </c>
      <c r="H14" s="3" t="str">
        <f t="shared" si="0"/>
        <v/>
      </c>
      <c r="I14" s="3" t="s">
        <v>265</v>
      </c>
      <c r="J14" s="4" t="s">
        <v>220</v>
      </c>
      <c r="K14" s="3">
        <v>46052</v>
      </c>
      <c r="L14" s="4" t="s">
        <v>221</v>
      </c>
      <c r="M14" s="68" t="str">
        <f>IF($C14="","",IFERROR(LOOKUP(2,1/('03_Warehouse_Movements'!$C$2:$C$500=$A14),'03_Warehouse_Movements'!$A$2:$A$500),""))</f>
        <v/>
      </c>
      <c r="N14" s="4" t="str">
        <f>IF($C14="","",IFERROR(LOOKUP(2,1/('03_Warehouse_Movements'!$C$2:$C$500=$A14),'03_Warehouse_Movements'!$H$2:$H$500),""))</f>
        <v/>
      </c>
      <c r="O14" s="4" t="str">
        <f t="shared" si="1"/>
        <v>WH-Z1-AisleA-Bay1-Level10</v>
      </c>
      <c r="Q14" s="34"/>
      <c r="R14" s="33"/>
      <c r="W14">
        <f>IF($A2="","",COUNTIF('07_Pallet_Contents'!$A$2:$A$3000,$A2))</f>
        <v>0</v>
      </c>
      <c r="X14">
        <f>IF($A2="","",SUMIF('07_Pallet_Contents'!$A$2:$A$3000,$A2,'07_Pallet_Contents'!$D$2:$D$3000))</f>
        <v>0</v>
      </c>
      <c r="Y14">
        <f>IF($A2="","",SUMIF('07_Pallet_Contents'!$A$2:$A$3000,$A2,'07_Pallet_Contents'!$I$2:$I$3000))</f>
        <v>0</v>
      </c>
      <c r="Z14" t="str">
        <f>IF($A2="","",IF(COUNTIF('07_Pallet_Contents'!$A$2:$A$3000,$A2)&gt;0,"Yes",""))</f>
        <v/>
      </c>
    </row>
    <row r="15" spans="1:26" ht="27.75" customHeight="1">
      <c r="A15" s="4" t="s">
        <v>266</v>
      </c>
      <c r="B15" s="4"/>
      <c r="C15" t="s">
        <v>267</v>
      </c>
      <c r="D15" t="str">
        <f>IF($C15="","",IFERROR(LOOKUP(2,1/('03_Warehouse_Movements'!$C$2:$C$500=$A15),'03_Warehouse_Movements'!$E$2:$E$500),$C15))</f>
        <v>SAMPLE: Racks &amp; Rails</v>
      </c>
      <c r="E15" t="s">
        <v>209</v>
      </c>
      <c r="F15" t="s">
        <v>218</v>
      </c>
      <c r="G15" s="32"/>
      <c r="H15" s="3" t="str">
        <f t="shared" si="0"/>
        <v/>
      </c>
      <c r="I15" s="3" t="s">
        <v>268</v>
      </c>
      <c r="J15" s="4" t="s">
        <v>220</v>
      </c>
      <c r="K15" s="3">
        <v>46052</v>
      </c>
      <c r="L15" s="4" t="s">
        <v>221</v>
      </c>
      <c r="M15" s="68" t="str">
        <f>IF($C15="","",IFERROR(LOOKUP(2,1/('03_Warehouse_Movements'!$C$2:$C$500=$A15),'03_Warehouse_Movements'!$A$2:$A$500),""))</f>
        <v/>
      </c>
      <c r="N15" s="4" t="str">
        <f>IF($C15="","",IFERROR(LOOKUP(2,1/('03_Warehouse_Movements'!$C$2:$C$500=$A15),'03_Warehouse_Movements'!$H$2:$H$500),""))</f>
        <v/>
      </c>
      <c r="O15" s="4" t="str">
        <f t="shared" si="1"/>
        <v>WH-Z1-AisleA-Bay1-Level11</v>
      </c>
      <c r="Q15" s="34"/>
      <c r="R15" s="33"/>
      <c r="W15">
        <f>IF($A2="","",COUNTIF('07_Pallet_Contents'!$A$2:$A$3000,$A2))</f>
        <v>0</v>
      </c>
      <c r="X15">
        <f>IF($A2="","",SUMIF('07_Pallet_Contents'!$A$2:$A$3000,$A2,'07_Pallet_Contents'!$D$2:$D$3000))</f>
        <v>0</v>
      </c>
      <c r="Y15">
        <f>IF($A2="","",SUMIF('07_Pallet_Contents'!$A$2:$A$3000,$A2,'07_Pallet_Contents'!$I$2:$I$3000))</f>
        <v>0</v>
      </c>
      <c r="Z15" t="str">
        <f>IF($A2="","",IF(COUNTIF('07_Pallet_Contents'!$A$2:$A$3000,$A2)&gt;0,"Yes",""))</f>
        <v/>
      </c>
    </row>
    <row r="16" spans="1:26" ht="27.75" customHeight="1">
      <c r="A16" s="4" t="s">
        <v>269</v>
      </c>
      <c r="B16" s="4" t="s">
        <v>270</v>
      </c>
      <c r="C16" t="s">
        <v>271</v>
      </c>
      <c r="D16" t="str">
        <f>IF($C16="","",IFERROR(LOOKUP(2,1/('03_Warehouse_Movements'!$C$2:$C$500=$A16),'03_Warehouse_Movements'!$E$2:$E$500),$C16))</f>
        <v>SAMPLE: Networking Gear</v>
      </c>
      <c r="E16" t="s">
        <v>209</v>
      </c>
      <c r="F16" t="s">
        <v>218</v>
      </c>
      <c r="G16" s="32"/>
      <c r="H16" s="3" t="str">
        <f t="shared" si="0"/>
        <v/>
      </c>
      <c r="I16" s="3" t="s">
        <v>272</v>
      </c>
      <c r="J16" s="4" t="s">
        <v>220</v>
      </c>
      <c r="K16" s="3">
        <v>46052</v>
      </c>
      <c r="L16" s="4" t="s">
        <v>221</v>
      </c>
      <c r="M16" s="68" t="str">
        <f>IF($C16="","",IFERROR(LOOKUP(2,1/('03_Warehouse_Movements'!$C$2:$C$500=$A16),'03_Warehouse_Movements'!$A$2:$A$500),""))</f>
        <v/>
      </c>
      <c r="N16" s="4" t="str">
        <f>IF($C16="","",IFERROR(LOOKUP(2,1/('03_Warehouse_Movements'!$C$2:$C$500=$A16),'03_Warehouse_Movements'!$H$2:$H$500),""))</f>
        <v/>
      </c>
      <c r="O16" s="4" t="str">
        <f t="shared" si="1"/>
        <v>OVERFLOW-SAMPLE-PO1014-CAT5-PAL015</v>
      </c>
      <c r="Q16" s="34"/>
      <c r="R16" s="33"/>
      <c r="W16">
        <f>IF($A2="","",COUNTIF('07_Pallet_Contents'!$A$2:$A$3000,$A2))</f>
        <v>0</v>
      </c>
      <c r="X16">
        <f>IF($A2="","",SUMIF('07_Pallet_Contents'!$A$2:$A$3000,$A2,'07_Pallet_Contents'!$D$2:$D$3000))</f>
        <v>0</v>
      </c>
      <c r="Y16">
        <f>IF($A2="","",SUMIF('07_Pallet_Contents'!$A$2:$A$3000,$A2,'07_Pallet_Contents'!$I$2:$I$3000))</f>
        <v>0</v>
      </c>
      <c r="Z16" t="str">
        <f>IF($A2="","",IF(COUNTIF('07_Pallet_Contents'!$A$2:$A$3000,$A2)&gt;0,"Yes",""))</f>
        <v/>
      </c>
    </row>
    <row r="17" spans="1:26" ht="27.75" customHeight="1">
      <c r="A17" s="4" t="s">
        <v>273</v>
      </c>
      <c r="B17" s="4"/>
      <c r="C17" t="s">
        <v>274</v>
      </c>
      <c r="D17" t="str">
        <f>IF($C17="","",IFERROR(LOOKUP(2,1/('03_Warehouse_Movements'!$C$2:$C$500=$A17),'03_Warehouse_Movements'!$E$2:$E$500),$C17))</f>
        <v>SAMPLE: Keyboards &amp; Mice</v>
      </c>
      <c r="E17" t="s">
        <v>209</v>
      </c>
      <c r="F17" t="s">
        <v>218</v>
      </c>
      <c r="G17" s="32"/>
      <c r="H17" s="3" t="str">
        <f t="shared" si="0"/>
        <v/>
      </c>
      <c r="I17" s="3" t="s">
        <v>275</v>
      </c>
      <c r="J17" s="4" t="s">
        <v>220</v>
      </c>
      <c r="K17" s="3">
        <v>46052</v>
      </c>
      <c r="L17" s="4" t="s">
        <v>221</v>
      </c>
      <c r="M17" s="68" t="str">
        <f>IF($C17="","",IFERROR(LOOKUP(2,1/('03_Warehouse_Movements'!$C$2:$C$500=$A17),'03_Warehouse_Movements'!$A$2:$A$500),""))</f>
        <v/>
      </c>
      <c r="N17" s="4" t="str">
        <f>IF($C17="","",IFERROR(LOOKUP(2,1/('03_Warehouse_Movements'!$C$2:$C$500=$A17),'03_Warehouse_Movements'!$H$2:$H$500),""))</f>
        <v/>
      </c>
      <c r="O17" s="4" t="str">
        <f t="shared" si="1"/>
        <v>WH-Z1-AisleA-Bay1-Level13</v>
      </c>
      <c r="Q17" s="34"/>
      <c r="R17" s="33"/>
      <c r="W17">
        <f>IF($A2="","",COUNTIF('07_Pallet_Contents'!$A$2:$A$3000,$A2))</f>
        <v>0</v>
      </c>
      <c r="X17">
        <f>IF($A2="","",SUMIF('07_Pallet_Contents'!$A$2:$A$3000,$A2,'07_Pallet_Contents'!$D$2:$D$3000))</f>
        <v>0</v>
      </c>
      <c r="Y17">
        <f>IF($A2="","",SUMIF('07_Pallet_Contents'!$A$2:$A$3000,$A2,'07_Pallet_Contents'!$I$2:$I$3000))</f>
        <v>0</v>
      </c>
      <c r="Z17" t="str">
        <f>IF($A2="","",IF(COUNTIF('07_Pallet_Contents'!$A$2:$A$3000,$A2)&gt;0,"Yes",""))</f>
        <v/>
      </c>
    </row>
    <row r="18" spans="1:26" ht="27.75" customHeight="1">
      <c r="A18" s="4" t="s">
        <v>276</v>
      </c>
      <c r="B18" s="4"/>
      <c r="C18" t="s">
        <v>277</v>
      </c>
      <c r="D18" t="str">
        <f>IF($C18="","",IFERROR(LOOKUP(2,1/('03_Warehouse_Movements'!$C$2:$C$500=$A18),'03_Warehouse_Movements'!$E$2:$E$500),$C18))</f>
        <v>SAMPLE: Spare Parts</v>
      </c>
      <c r="E18" t="s">
        <v>209</v>
      </c>
      <c r="F18" t="s">
        <v>218</v>
      </c>
      <c r="G18" s="32"/>
      <c r="H18" s="3" t="str">
        <f t="shared" si="0"/>
        <v/>
      </c>
      <c r="I18" s="3" t="s">
        <v>278</v>
      </c>
      <c r="J18" s="4" t="s">
        <v>220</v>
      </c>
      <c r="K18" s="3">
        <v>46052</v>
      </c>
      <c r="L18" s="4" t="s">
        <v>221</v>
      </c>
      <c r="M18" s="68" t="str">
        <f>IF($C18="","",IFERROR(LOOKUP(2,1/('03_Warehouse_Movements'!$C$2:$C$500=$A18),'03_Warehouse_Movements'!$A$2:$A$500),""))</f>
        <v/>
      </c>
      <c r="N18" s="4" t="str">
        <f>IF($C18="","",IFERROR(LOOKUP(2,1/('03_Warehouse_Movements'!$C$2:$C$500=$A18),'03_Warehouse_Movements'!$H$2:$H$500),""))</f>
        <v/>
      </c>
      <c r="O18" s="4" t="str">
        <f t="shared" si="1"/>
        <v>WH-Z1-AisleA-Bay1-Level14</v>
      </c>
      <c r="Q18" s="34"/>
      <c r="R18" s="33"/>
      <c r="W18">
        <f>IF($A2="","",COUNTIF('07_Pallet_Contents'!$A$2:$A$3000,$A2))</f>
        <v>0</v>
      </c>
      <c r="X18">
        <f>IF($A2="","",SUMIF('07_Pallet_Contents'!$A$2:$A$3000,$A2,'07_Pallet_Contents'!$D$2:$D$3000))</f>
        <v>0</v>
      </c>
      <c r="Y18">
        <f>IF($A2="","",SUMIF('07_Pallet_Contents'!$A$2:$A$3000,$A2,'07_Pallet_Contents'!$I$2:$I$3000))</f>
        <v>0</v>
      </c>
      <c r="Z18" t="str">
        <f>IF($A2="","",IF(COUNTIF('07_Pallet_Contents'!$A$2:$A$3000,$A2)&gt;0,"Yes",""))</f>
        <v/>
      </c>
    </row>
    <row r="19" spans="1:26" ht="27.75" customHeight="1">
      <c r="A19" s="4" t="s">
        <v>279</v>
      </c>
      <c r="B19" s="4"/>
      <c r="C19" t="s">
        <v>280</v>
      </c>
      <c r="D19" t="str">
        <f>IF($C19="","",IFERROR(LOOKUP(2,1/('03_Warehouse_Movements'!$C$2:$C$500=$A19),'03_Warehouse_Movements'!$E$2:$E$500),$C19))</f>
        <v>PAL-0000019</v>
      </c>
      <c r="E19" t="s">
        <v>209</v>
      </c>
      <c r="F19" t="s">
        <v>218</v>
      </c>
      <c r="G19" s="32"/>
      <c r="H19" s="3" t="str">
        <f t="shared" si="0"/>
        <v/>
      </c>
      <c r="I19" s="3" t="s">
        <v>250</v>
      </c>
      <c r="J19" s="4" t="s">
        <v>220</v>
      </c>
      <c r="K19" s="3">
        <v>46052</v>
      </c>
      <c r="L19" s="4" t="s">
        <v>221</v>
      </c>
      <c r="M19" s="68" t="str">
        <f>IF($C19="","",IFERROR(LOOKUP(2,1/('03_Warehouse_Movements'!$C$2:$C$500=$A19),'03_Warehouse_Movements'!$A$2:$A$500),""))</f>
        <v/>
      </c>
      <c r="N19" s="4" t="str">
        <f>IF($C19="","",IFERROR(LOOKUP(2,1/('03_Warehouse_Movements'!$C$2:$C$500=$A19),'03_Warehouse_Movements'!$H$2:$H$500),""))</f>
        <v/>
      </c>
      <c r="O19" s="4" t="str">
        <f t="shared" si="1"/>
        <v>WH-Z1-AisleA-Bay1-Level15</v>
      </c>
      <c r="Q19" s="34"/>
      <c r="R19" s="33"/>
      <c r="W19">
        <f>IF($A2="","",COUNTIF('07_Pallet_Contents'!$A$2:$A$3000,$A2))</f>
        <v>0</v>
      </c>
      <c r="X19">
        <f>IF($A2="","",SUMIF('07_Pallet_Contents'!$A$2:$A$3000,$A2,'07_Pallet_Contents'!$D$2:$D$3000))</f>
        <v>0</v>
      </c>
      <c r="Y19">
        <f>IF($A2="","",SUMIF('07_Pallet_Contents'!$A$2:$A$3000,$A2,'07_Pallet_Contents'!$I$2:$I$3000))</f>
        <v>0</v>
      </c>
      <c r="Z19" t="str">
        <f>IF($A2="","",IF(COUNTIF('07_Pallet_Contents'!$A$2:$A$3000,$A2)&gt;0,"Yes",""))</f>
        <v/>
      </c>
    </row>
    <row r="20" spans="1:26" ht="27.75" customHeight="1">
      <c r="A20" s="4" t="s">
        <v>281</v>
      </c>
      <c r="B20" s="4"/>
      <c r="C20" t="s">
        <v>282</v>
      </c>
      <c r="D20" t="str">
        <f>IF($C20="","",IFERROR(LOOKUP(2,1/('03_Warehouse_Movements'!$C$2:$C$500=$A20),'03_Warehouse_Movements'!$E$2:$E$500),$C20))</f>
        <v>PAL-0000020</v>
      </c>
      <c r="E20" t="s">
        <v>209</v>
      </c>
      <c r="F20" t="s">
        <v>246</v>
      </c>
      <c r="G20" s="32">
        <v>14</v>
      </c>
      <c r="H20" s="3" t="str">
        <f t="shared" si="0"/>
        <v/>
      </c>
      <c r="I20" s="3" t="s">
        <v>253</v>
      </c>
      <c r="J20" s="4" t="s">
        <v>220</v>
      </c>
      <c r="K20" s="3">
        <v>46052</v>
      </c>
      <c r="L20" s="4" t="s">
        <v>221</v>
      </c>
      <c r="M20" s="68" t="str">
        <f>IF($C20="","",IFERROR(LOOKUP(2,1/('03_Warehouse_Movements'!$C$2:$C$500=$A20),'03_Warehouse_Movements'!$A$2:$A$500),""))</f>
        <v/>
      </c>
      <c r="N20" s="4" t="str">
        <f>IF($C20="","",IFERROR(LOOKUP(2,1/('03_Warehouse_Movements'!$C$2:$C$500=$A20),'03_Warehouse_Movements'!$H$2:$H$500),""))</f>
        <v/>
      </c>
      <c r="O20" s="4" t="str">
        <f t="shared" si="1"/>
        <v>WH-Z1-AisleA-Bay1-Level16</v>
      </c>
      <c r="Q20" s="34"/>
      <c r="R20" s="33"/>
      <c r="W20">
        <f>IF($A2="","",COUNTIF('07_Pallet_Contents'!$A$2:$A$3000,$A2))</f>
        <v>0</v>
      </c>
      <c r="X20">
        <f>IF($A2="","",SUMIF('07_Pallet_Contents'!$A$2:$A$3000,$A2,'07_Pallet_Contents'!$D$2:$D$3000))</f>
        <v>0</v>
      </c>
      <c r="Y20">
        <f>IF($A2="","",SUMIF('07_Pallet_Contents'!$A$2:$A$3000,$A2,'07_Pallet_Contents'!$I$2:$I$3000))</f>
        <v>0</v>
      </c>
      <c r="Z20" t="str">
        <f>IF($A2="","",IF(COUNTIF('07_Pallet_Contents'!$A$2:$A$3000,$A2)&gt;0,"Yes",""))</f>
        <v/>
      </c>
    </row>
    <row r="21" spans="1:26" ht="27.75" customHeight="1">
      <c r="A21" s="4" t="s">
        <v>283</v>
      </c>
      <c r="B21" s="4"/>
      <c r="C21" t="s">
        <v>284</v>
      </c>
      <c r="D21" t="str">
        <f>IF($C21="","",IFERROR(LOOKUP(2,1/('03_Warehouse_Movements'!$C$2:$C$500=$A21),'03_Warehouse_Movements'!$E$2:$E$500),$C21))</f>
        <v>PAL-0000021</v>
      </c>
      <c r="E21" t="s">
        <v>209</v>
      </c>
      <c r="F21" t="s">
        <v>218</v>
      </c>
      <c r="G21" s="32"/>
      <c r="H21" s="3" t="str">
        <f t="shared" si="0"/>
        <v/>
      </c>
      <c r="I21" s="3" t="s">
        <v>256</v>
      </c>
      <c r="J21" s="4" t="s">
        <v>220</v>
      </c>
      <c r="K21" s="3">
        <v>46052</v>
      </c>
      <c r="L21" s="4" t="s">
        <v>221</v>
      </c>
      <c r="M21" s="68" t="str">
        <f>IF($C21="","",IFERROR(LOOKUP(2,1/('03_Warehouse_Movements'!$C$2:$C$500=$A21),'03_Warehouse_Movements'!$A$2:$A$500),""))</f>
        <v/>
      </c>
      <c r="N21" s="4" t="str">
        <f>IF($C21="","",IFERROR(LOOKUP(2,1/('03_Warehouse_Movements'!$C$2:$C$500=$A21),'03_Warehouse_Movements'!$H$2:$H$500),""))</f>
        <v/>
      </c>
      <c r="O21" s="4" t="str">
        <f t="shared" si="1"/>
        <v>WH-Z1-AisleA-Bay1-Level17</v>
      </c>
      <c r="Q21" s="34"/>
      <c r="R21" s="33"/>
      <c r="W21">
        <f>IF($A2="","",COUNTIF('07_Pallet_Contents'!$A$2:$A$3000,$A2))</f>
        <v>0</v>
      </c>
      <c r="X21">
        <f>IF($A2="","",SUMIF('07_Pallet_Contents'!$A$2:$A$3000,$A2,'07_Pallet_Contents'!$D$2:$D$3000))</f>
        <v>0</v>
      </c>
      <c r="Y21">
        <f>IF($A2="","",SUMIF('07_Pallet_Contents'!$A$2:$A$3000,$A2,'07_Pallet_Contents'!$I$2:$I$3000))</f>
        <v>0</v>
      </c>
      <c r="Z21" t="str">
        <f>IF($A2="","",IF(COUNTIF('07_Pallet_Contents'!$A$2:$A$3000,$A2)&gt;0,"Yes",""))</f>
        <v/>
      </c>
    </row>
    <row r="22" spans="1:26" ht="27.75" customHeight="1">
      <c r="A22" s="4" t="s">
        <v>285</v>
      </c>
      <c r="B22" s="4"/>
      <c r="C22" t="s">
        <v>286</v>
      </c>
      <c r="D22" t="str">
        <f>IF($C22="","",IFERROR(LOOKUP(2,1/('03_Warehouse_Movements'!$C$2:$C$500=$A22),'03_Warehouse_Movements'!$E$2:$E$500),$C22))</f>
        <v>PAL-0000022</v>
      </c>
      <c r="E22" t="s">
        <v>209</v>
      </c>
      <c r="F22" t="s">
        <v>218</v>
      </c>
      <c r="G22" s="32"/>
      <c r="H22" s="3" t="str">
        <f t="shared" si="0"/>
        <v/>
      </c>
      <c r="I22" s="3" t="s">
        <v>260</v>
      </c>
      <c r="J22" s="4" t="s">
        <v>220</v>
      </c>
      <c r="K22" s="3">
        <v>46052</v>
      </c>
      <c r="L22" s="4" t="s">
        <v>221</v>
      </c>
      <c r="M22" s="68" t="str">
        <f>IF($C22="","",IFERROR(LOOKUP(2,1/('03_Warehouse_Movements'!$C$2:$C$500=$A22),'03_Warehouse_Movements'!$A$2:$A$500),""))</f>
        <v/>
      </c>
      <c r="N22" s="4" t="str">
        <f>IF($C22="","",IFERROR(LOOKUP(2,1/('03_Warehouse_Movements'!$C$2:$C$500=$A22),'03_Warehouse_Movements'!$H$2:$H$500),""))</f>
        <v/>
      </c>
      <c r="O22" s="4" t="str">
        <f t="shared" si="1"/>
        <v>WH-Z1-AisleA-Bay1-Level18</v>
      </c>
      <c r="Q22" s="34"/>
      <c r="R22" s="33"/>
      <c r="W22">
        <f>IF($A2="","",COUNTIF('07_Pallet_Contents'!$A$2:$A$3000,$A2))</f>
        <v>0</v>
      </c>
      <c r="X22">
        <f>IF($A2="","",SUMIF('07_Pallet_Contents'!$A$2:$A$3000,$A2,'07_Pallet_Contents'!$D$2:$D$3000))</f>
        <v>0</v>
      </c>
      <c r="Y22">
        <f>IF($A2="","",SUMIF('07_Pallet_Contents'!$A$2:$A$3000,$A2,'07_Pallet_Contents'!$I$2:$I$3000))</f>
        <v>0</v>
      </c>
      <c r="Z22" t="str">
        <f>IF($A2="","",IF(COUNTIF('07_Pallet_Contents'!$A$2:$A$3000,$A2)&gt;0,"Yes",""))</f>
        <v/>
      </c>
    </row>
    <row r="23" spans="1:26" ht="27.75" customHeight="1">
      <c r="A23" s="4" t="s">
        <v>287</v>
      </c>
      <c r="B23" s="4" t="s">
        <v>288</v>
      </c>
      <c r="C23" t="s">
        <v>289</v>
      </c>
      <c r="D23" t="str">
        <f>IF($C23="","",IFERROR(LOOKUP(2,1/('03_Warehouse_Movements'!$C$2:$C$500=$A23),'03_Warehouse_Movements'!$E$2:$E$500),$C23))</f>
        <v>PAL-0000023</v>
      </c>
      <c r="E23" t="s">
        <v>209</v>
      </c>
      <c r="F23" t="s">
        <v>218</v>
      </c>
      <c r="G23" s="32"/>
      <c r="H23" s="3" t="str">
        <f t="shared" si="0"/>
        <v/>
      </c>
      <c r="I23" s="3" t="s">
        <v>219</v>
      </c>
      <c r="J23" s="4" t="s">
        <v>220</v>
      </c>
      <c r="K23" s="3">
        <v>46052</v>
      </c>
      <c r="L23" s="4" t="s">
        <v>221</v>
      </c>
      <c r="M23" s="68" t="str">
        <f>IF($C23="","",IFERROR(LOOKUP(2,1/('03_Warehouse_Movements'!$C$2:$C$500=$A23),'03_Warehouse_Movements'!$A$2:$A$500),""))</f>
        <v/>
      </c>
      <c r="N23" s="4" t="str">
        <f>IF($C23="","",IFERROR(LOOKUP(2,1/('03_Warehouse_Movements'!$C$2:$C$500=$A23),'03_Warehouse_Movements'!$H$2:$H$500),""))</f>
        <v/>
      </c>
      <c r="O23" s="4" t="str">
        <f t="shared" si="1"/>
        <v>OVERFLOW-SAMPLE-PO1021-CAT2-PAL022</v>
      </c>
      <c r="Q23" s="34"/>
      <c r="R23" s="33"/>
      <c r="W23">
        <f>IF($A2="","",COUNTIF('07_Pallet_Contents'!$A$2:$A$3000,$A2))</f>
        <v>0</v>
      </c>
      <c r="X23">
        <f>IF($A2="","",SUMIF('07_Pallet_Contents'!$A$2:$A$3000,$A2,'07_Pallet_Contents'!$D$2:$D$3000))</f>
        <v>0</v>
      </c>
      <c r="Y23">
        <f>IF($A2="","",SUMIF('07_Pallet_Contents'!$A$2:$A$3000,$A2,'07_Pallet_Contents'!$I$2:$I$3000))</f>
        <v>0</v>
      </c>
      <c r="Z23" t="str">
        <f>IF($A2="","",IF(COUNTIF('07_Pallet_Contents'!$A$2:$A$3000,$A2)&gt;0,"Yes",""))</f>
        <v/>
      </c>
    </row>
    <row r="24" spans="1:26" ht="27.75" customHeight="1">
      <c r="A24" s="4" t="s">
        <v>290</v>
      </c>
      <c r="B24" s="4"/>
      <c r="C24" t="s">
        <v>291</v>
      </c>
      <c r="D24" t="str">
        <f>IF($C24="","",IFERROR(LOOKUP(2,1/('03_Warehouse_Movements'!$C$2:$C$500=$A24),'03_Warehouse_Movements'!$E$2:$E$500),$C24))</f>
        <v>PAL-0000024</v>
      </c>
      <c r="E24" t="s">
        <v>209</v>
      </c>
      <c r="F24" t="s">
        <v>218</v>
      </c>
      <c r="G24" s="32"/>
      <c r="H24" s="3" t="str">
        <f t="shared" si="0"/>
        <v/>
      </c>
      <c r="I24" s="3" t="s">
        <v>265</v>
      </c>
      <c r="J24" s="4" t="s">
        <v>220</v>
      </c>
      <c r="K24" s="3">
        <v>46052</v>
      </c>
      <c r="L24" s="4" t="s">
        <v>221</v>
      </c>
      <c r="M24" s="68" t="str">
        <f>IF($C24="","",IFERROR(LOOKUP(2,1/('03_Warehouse_Movements'!$C$2:$C$500=$A24),'03_Warehouse_Movements'!$A$2:$A$500),""))</f>
        <v/>
      </c>
      <c r="N24" s="4" t="str">
        <f>IF($C24="","",IFERROR(LOOKUP(2,1/('03_Warehouse_Movements'!$C$2:$C$500=$A24),'03_Warehouse_Movements'!$H$2:$H$500),""))</f>
        <v/>
      </c>
      <c r="O24" s="4" t="str">
        <f t="shared" si="1"/>
        <v>WH-Z1-AisleA-Bay1-Level20</v>
      </c>
      <c r="Q24" s="34"/>
      <c r="R24" s="33"/>
      <c r="W24">
        <f>IF($A2="","",COUNTIF('07_Pallet_Contents'!$A$2:$A$3000,$A2))</f>
        <v>0</v>
      </c>
      <c r="X24">
        <f>IF($A2="","",SUMIF('07_Pallet_Contents'!$A$2:$A$3000,$A2,'07_Pallet_Contents'!$D$2:$D$3000))</f>
        <v>0</v>
      </c>
      <c r="Y24">
        <f>IF($A2="","",SUMIF('07_Pallet_Contents'!$A$2:$A$3000,$A2,'07_Pallet_Contents'!$I$2:$I$3000))</f>
        <v>0</v>
      </c>
      <c r="Z24" t="str">
        <f>IF($A2="","",IF(COUNTIF('07_Pallet_Contents'!$A$2:$A$3000,$A2)&gt;0,"Yes",""))</f>
        <v/>
      </c>
    </row>
    <row r="25" spans="1:26" ht="27.75" customHeight="1">
      <c r="A25" s="4" t="s">
        <v>292</v>
      </c>
      <c r="B25" s="4"/>
      <c r="C25" t="s">
        <v>293</v>
      </c>
      <c r="D25" t="str">
        <f>IF($C25="","",IFERROR(LOOKUP(2,1/('03_Warehouse_Movements'!$C$2:$C$500=$A25),'03_Warehouse_Movements'!$E$2:$E$500),$C25))</f>
        <v>PAL-0000025</v>
      </c>
      <c r="E25" t="s">
        <v>209</v>
      </c>
      <c r="F25" t="s">
        <v>218</v>
      </c>
      <c r="G25" s="32"/>
      <c r="H25" s="3" t="str">
        <f t="shared" si="0"/>
        <v/>
      </c>
      <c r="I25" s="3" t="s">
        <v>268</v>
      </c>
      <c r="J25" s="4" t="s">
        <v>220</v>
      </c>
      <c r="K25" s="3">
        <v>46052</v>
      </c>
      <c r="L25" s="4" t="s">
        <v>221</v>
      </c>
      <c r="M25" s="68" t="str">
        <f>IF($C25="","",IFERROR(LOOKUP(2,1/('03_Warehouse_Movements'!$C$2:$C$500=$A25),'03_Warehouse_Movements'!$A$2:$A$500),""))</f>
        <v/>
      </c>
      <c r="N25" s="4" t="str">
        <f>IF($C25="","",IFERROR(LOOKUP(2,1/('03_Warehouse_Movements'!$C$2:$C$500=$A25),'03_Warehouse_Movements'!$H$2:$H$500),""))</f>
        <v/>
      </c>
      <c r="O25" s="4" t="str">
        <f t="shared" si="1"/>
        <v>WH-Z1-AisleB-Bay1-Level1</v>
      </c>
      <c r="Q25" s="34"/>
      <c r="R25" s="33"/>
      <c r="W25">
        <f>IF($A2="","",COUNTIF('07_Pallet_Contents'!$A$2:$A$3000,$A2))</f>
        <v>0</v>
      </c>
      <c r="X25">
        <f>IF($A2="","",SUMIF('07_Pallet_Contents'!$A$2:$A$3000,$A2,'07_Pallet_Contents'!$D$2:$D$3000))</f>
        <v>0</v>
      </c>
      <c r="Y25">
        <f>IF($A2="","",SUMIF('07_Pallet_Contents'!$A$2:$A$3000,$A2,'07_Pallet_Contents'!$I$2:$I$3000))</f>
        <v>0</v>
      </c>
      <c r="Z25" t="str">
        <f>IF($A2="","",IF(COUNTIF('07_Pallet_Contents'!$A$2:$A$3000,$A2)&gt;0,"Yes",""))</f>
        <v/>
      </c>
    </row>
    <row r="26" spans="1:26" ht="27.75" customHeight="1">
      <c r="A26" s="4" t="s">
        <v>294</v>
      </c>
      <c r="B26" s="4"/>
      <c r="C26" t="s">
        <v>295</v>
      </c>
      <c r="D26" t="str">
        <f>IF($C26="","",IFERROR(LOOKUP(2,1/('03_Warehouse_Movements'!$C$2:$C$500=$A26),'03_Warehouse_Movements'!$E$2:$E$500),$C26))</f>
        <v>PAL-0000026</v>
      </c>
      <c r="E26" t="s">
        <v>209</v>
      </c>
      <c r="F26" t="s">
        <v>246</v>
      </c>
      <c r="G26" s="32">
        <v>14</v>
      </c>
      <c r="H26" s="3" t="str">
        <f t="shared" si="0"/>
        <v/>
      </c>
      <c r="I26" s="3" t="s">
        <v>272</v>
      </c>
      <c r="J26" s="4" t="s">
        <v>220</v>
      </c>
      <c r="K26" s="3">
        <v>46052</v>
      </c>
      <c r="L26" s="4" t="s">
        <v>221</v>
      </c>
      <c r="M26" s="68" t="str">
        <f>IF($C26="","",IFERROR(LOOKUP(2,1/('03_Warehouse_Movements'!$C$2:$C$500=$A26),'03_Warehouse_Movements'!$A$2:$A$500),""))</f>
        <v/>
      </c>
      <c r="N26" s="4" t="str">
        <f>IF($C26="","",IFERROR(LOOKUP(2,1/('03_Warehouse_Movements'!$C$2:$C$500=$A26),'03_Warehouse_Movements'!$H$2:$H$500),""))</f>
        <v/>
      </c>
      <c r="O26" s="4" t="str">
        <f t="shared" si="1"/>
        <v>WH-Z1-AisleB-Bay1-Level2</v>
      </c>
      <c r="Q26" s="34"/>
      <c r="R26" s="33"/>
      <c r="W26">
        <f>IF($A2="","",COUNTIF('07_Pallet_Contents'!$A$2:$A$3000,$A2))</f>
        <v>0</v>
      </c>
      <c r="X26">
        <f>IF($A2="","",SUMIF('07_Pallet_Contents'!$A$2:$A$3000,$A2,'07_Pallet_Contents'!$D$2:$D$3000))</f>
        <v>0</v>
      </c>
      <c r="Y26">
        <f>IF($A2="","",SUMIF('07_Pallet_Contents'!$A$2:$A$3000,$A2,'07_Pallet_Contents'!$I$2:$I$3000))</f>
        <v>0</v>
      </c>
      <c r="Z26" t="str">
        <f>IF($A2="","",IF(COUNTIF('07_Pallet_Contents'!$A$2:$A$3000,$A2)&gt;0,"Yes",""))</f>
        <v/>
      </c>
    </row>
    <row r="27" spans="1:26" ht="27.75" customHeight="1">
      <c r="A27" s="4" t="s">
        <v>296</v>
      </c>
      <c r="B27" s="4"/>
      <c r="C27" t="s">
        <v>297</v>
      </c>
      <c r="D27" t="str">
        <f>IF($C27="","",IFERROR(LOOKUP(2,1/('03_Warehouse_Movements'!$C$2:$C$500=$A27),'03_Warehouse_Movements'!$E$2:$E$500),$C27))</f>
        <v>PAL-0000027</v>
      </c>
      <c r="E27" t="s">
        <v>209</v>
      </c>
      <c r="F27" t="s">
        <v>218</v>
      </c>
      <c r="G27" s="32"/>
      <c r="H27" s="3" t="str">
        <f t="shared" si="0"/>
        <v/>
      </c>
      <c r="I27" s="3" t="s">
        <v>275</v>
      </c>
      <c r="J27" s="4" t="s">
        <v>220</v>
      </c>
      <c r="K27" s="3">
        <v>46052</v>
      </c>
      <c r="L27" s="4" t="s">
        <v>221</v>
      </c>
      <c r="M27" s="68" t="str">
        <f>IF($C27="","",IFERROR(LOOKUP(2,1/('03_Warehouse_Movements'!$C$2:$C$500=$A27),'03_Warehouse_Movements'!$A$2:$A$500),""))</f>
        <v/>
      </c>
      <c r="N27" s="4" t="str">
        <f>IF($C27="","",IFERROR(LOOKUP(2,1/('03_Warehouse_Movements'!$C$2:$C$500=$A27),'03_Warehouse_Movements'!$H$2:$H$500),""))</f>
        <v/>
      </c>
      <c r="O27" s="4" t="str">
        <f t="shared" si="1"/>
        <v>WH-Z1-AisleB-Bay1-Level3</v>
      </c>
      <c r="Q27" s="34"/>
      <c r="R27" s="33"/>
      <c r="W27">
        <f>IF($A2="","",COUNTIF('07_Pallet_Contents'!$A$2:$A$3000,$A2))</f>
        <v>0</v>
      </c>
      <c r="X27">
        <f>IF($A2="","",SUMIF('07_Pallet_Contents'!$A$2:$A$3000,$A2,'07_Pallet_Contents'!$D$2:$D$3000))</f>
        <v>0</v>
      </c>
      <c r="Y27">
        <f>IF($A2="","",SUMIF('07_Pallet_Contents'!$A$2:$A$3000,$A2,'07_Pallet_Contents'!$I$2:$I$3000))</f>
        <v>0</v>
      </c>
      <c r="Z27" t="str">
        <f>IF($A2="","",IF(COUNTIF('07_Pallet_Contents'!$A$2:$A$3000,$A2)&gt;0,"Yes",""))</f>
        <v/>
      </c>
    </row>
    <row r="28" spans="1:26" ht="27.75" customHeight="1">
      <c r="A28" s="4" t="s">
        <v>298</v>
      </c>
      <c r="B28" s="4"/>
      <c r="C28" t="s">
        <v>299</v>
      </c>
      <c r="D28" t="str">
        <f>IF($C28="","",IFERROR(LOOKUP(2,1/('03_Warehouse_Movements'!$C$2:$C$500=$A28),'03_Warehouse_Movements'!$E$2:$E$500),$C28))</f>
        <v>PAL-0000028</v>
      </c>
      <c r="E28" t="s">
        <v>209</v>
      </c>
      <c r="F28" t="s">
        <v>218</v>
      </c>
      <c r="G28" s="32"/>
      <c r="H28" s="3" t="str">
        <f t="shared" si="0"/>
        <v/>
      </c>
      <c r="I28" s="3" t="s">
        <v>278</v>
      </c>
      <c r="J28" s="4" t="s">
        <v>220</v>
      </c>
      <c r="K28" s="3">
        <v>46052</v>
      </c>
      <c r="L28" s="4" t="s">
        <v>221</v>
      </c>
      <c r="M28" s="68" t="str">
        <f>IF($C28="","",IFERROR(LOOKUP(2,1/('03_Warehouse_Movements'!$C$2:$C$500=$A28),'03_Warehouse_Movements'!$A$2:$A$500),""))</f>
        <v/>
      </c>
      <c r="N28" s="4" t="str">
        <f>IF($C28="","",IFERROR(LOOKUP(2,1/('03_Warehouse_Movements'!$C$2:$C$500=$A28),'03_Warehouse_Movements'!$H$2:$H$500),""))</f>
        <v/>
      </c>
      <c r="O28" s="4" t="str">
        <f t="shared" si="1"/>
        <v>WH-Z1-AisleB-Bay1-Level4</v>
      </c>
      <c r="Q28" s="34"/>
      <c r="R28" s="33"/>
      <c r="W28">
        <f>IF($A2="","",COUNTIF('07_Pallet_Contents'!$A$2:$A$3000,$A2))</f>
        <v>0</v>
      </c>
      <c r="X28">
        <f>IF($A2="","",SUMIF('07_Pallet_Contents'!$A$2:$A$3000,$A2,'07_Pallet_Contents'!$D$2:$D$3000))</f>
        <v>0</v>
      </c>
      <c r="Y28">
        <f>IF($A2="","",SUMIF('07_Pallet_Contents'!$A$2:$A$3000,$A2,'07_Pallet_Contents'!$I$2:$I$3000))</f>
        <v>0</v>
      </c>
      <c r="Z28" t="str">
        <f>IF($A2="","",IF(COUNTIF('07_Pallet_Contents'!$A$2:$A$3000,$A2)&gt;0,"Yes",""))</f>
        <v/>
      </c>
    </row>
    <row r="29" spans="1:26" ht="27.75" customHeight="1">
      <c r="A29" s="4" t="s">
        <v>300</v>
      </c>
      <c r="B29" s="4"/>
      <c r="C29" t="s">
        <v>301</v>
      </c>
      <c r="D29" t="str">
        <f>IF($C29="","",IFERROR(LOOKUP(2,1/('03_Warehouse_Movements'!$C$2:$C$500=$A29),'03_Warehouse_Movements'!$E$2:$E$500),$C29))</f>
        <v>PAL-0000029</v>
      </c>
      <c r="E29" t="s">
        <v>209</v>
      </c>
      <c r="F29" t="s">
        <v>218</v>
      </c>
      <c r="G29" s="32"/>
      <c r="H29" s="3" t="str">
        <f t="shared" si="0"/>
        <v/>
      </c>
      <c r="I29" s="3" t="s">
        <v>250</v>
      </c>
      <c r="J29" s="4" t="s">
        <v>220</v>
      </c>
      <c r="K29" s="3">
        <v>46052</v>
      </c>
      <c r="L29" s="4" t="s">
        <v>221</v>
      </c>
      <c r="M29" s="68" t="str">
        <f>IF($C29="","",IFERROR(LOOKUP(2,1/('03_Warehouse_Movements'!$C$2:$C$500=$A29),'03_Warehouse_Movements'!$A$2:$A$500),""))</f>
        <v/>
      </c>
      <c r="N29" s="4" t="str">
        <f>IF($C29="","",IFERROR(LOOKUP(2,1/('03_Warehouse_Movements'!$C$2:$C$500=$A29),'03_Warehouse_Movements'!$H$2:$H$500),""))</f>
        <v/>
      </c>
      <c r="O29" s="4" t="str">
        <f t="shared" si="1"/>
        <v>WH-Z1-AisleB-Bay1-Level5</v>
      </c>
      <c r="Q29" s="34"/>
      <c r="R29" s="33"/>
      <c r="W29">
        <f>IF($A2="","",COUNTIF('07_Pallet_Contents'!$A$2:$A$3000,$A2))</f>
        <v>0</v>
      </c>
      <c r="X29">
        <f>IF($A2="","",SUMIF('07_Pallet_Contents'!$A$2:$A$3000,$A2,'07_Pallet_Contents'!$D$2:$D$3000))</f>
        <v>0</v>
      </c>
      <c r="Y29">
        <f>IF($A2="","",SUMIF('07_Pallet_Contents'!$A$2:$A$3000,$A2,'07_Pallet_Contents'!$I$2:$I$3000))</f>
        <v>0</v>
      </c>
      <c r="Z29" t="str">
        <f>IF($A2="","",IF(COUNTIF('07_Pallet_Contents'!$A$2:$A$3000,$A2)&gt;0,"Yes",""))</f>
        <v/>
      </c>
    </row>
    <row r="30" spans="1:26" ht="27.75" customHeight="1">
      <c r="A30" s="4" t="s">
        <v>302</v>
      </c>
      <c r="B30" s="4" t="s">
        <v>303</v>
      </c>
      <c r="C30" t="s">
        <v>304</v>
      </c>
      <c r="D30" t="str">
        <f>IF($C30="","",IFERROR(LOOKUP(2,1/('03_Warehouse_Movements'!$C$2:$C$500=$A30),'03_Warehouse_Movements'!$E$2:$E$500),$C30))</f>
        <v>PAL-0000030</v>
      </c>
      <c r="E30" t="s">
        <v>209</v>
      </c>
      <c r="F30" t="s">
        <v>218</v>
      </c>
      <c r="G30" s="32"/>
      <c r="H30" s="3" t="str">
        <f t="shared" si="0"/>
        <v/>
      </c>
      <c r="I30" s="3" t="s">
        <v>253</v>
      </c>
      <c r="J30" s="4" t="s">
        <v>220</v>
      </c>
      <c r="K30" s="3">
        <v>46052</v>
      </c>
      <c r="L30" s="4" t="s">
        <v>221</v>
      </c>
      <c r="M30" s="68" t="str">
        <f>IF($C30="","",IFERROR(LOOKUP(2,1/('03_Warehouse_Movements'!$C$2:$C$500=$A30),'03_Warehouse_Movements'!$A$2:$A$500),""))</f>
        <v/>
      </c>
      <c r="N30" s="4" t="str">
        <f>IF($C30="","",IFERROR(LOOKUP(2,1/('03_Warehouse_Movements'!$C$2:$C$500=$A30),'03_Warehouse_Movements'!$H$2:$H$500),""))</f>
        <v/>
      </c>
      <c r="O30" s="4" t="str">
        <f t="shared" si="1"/>
        <v>OVERFLOW-SAMPLE-PO1028-CAT4-PAL029</v>
      </c>
      <c r="Q30" s="34"/>
      <c r="R30" s="33"/>
      <c r="W30">
        <f>IF($A2="","",COUNTIF('07_Pallet_Contents'!$A$2:$A$3000,$A2))</f>
        <v>0</v>
      </c>
      <c r="X30">
        <f>IF($A2="","",SUMIF('07_Pallet_Contents'!$A$2:$A$3000,$A2,'07_Pallet_Contents'!$D$2:$D$3000))</f>
        <v>0</v>
      </c>
      <c r="Y30">
        <f>IF($A2="","",SUMIF('07_Pallet_Contents'!$A$2:$A$3000,$A2,'07_Pallet_Contents'!$I$2:$I$3000))</f>
        <v>0</v>
      </c>
      <c r="Z30" t="str">
        <f>IF($A2="","",IF(COUNTIF('07_Pallet_Contents'!$A$2:$A$3000,$A2)&gt;0,"Yes",""))</f>
        <v/>
      </c>
    </row>
    <row r="31" spans="1:26" ht="27.75" customHeight="1">
      <c r="A31" s="4" t="s">
        <v>305</v>
      </c>
      <c r="B31" s="4"/>
      <c r="C31" t="s">
        <v>306</v>
      </c>
      <c r="D31" t="str">
        <f>IF($C31="","",IFERROR(LOOKUP(2,1/('03_Warehouse_Movements'!$C$2:$C$500=$A31),'03_Warehouse_Movements'!$E$2:$E$500),$C31))</f>
        <v>PAL-0000031</v>
      </c>
      <c r="E31" t="s">
        <v>209</v>
      </c>
      <c r="F31" t="s">
        <v>218</v>
      </c>
      <c r="G31" s="32"/>
      <c r="H31" s="3" t="str">
        <f t="shared" si="0"/>
        <v/>
      </c>
      <c r="I31" s="3" t="s">
        <v>256</v>
      </c>
      <c r="J31" s="4" t="s">
        <v>220</v>
      </c>
      <c r="K31" s="3">
        <v>46052</v>
      </c>
      <c r="L31" s="4" t="s">
        <v>221</v>
      </c>
      <c r="M31" s="68" t="str">
        <f>IF($C31="","",IFERROR(LOOKUP(2,1/('03_Warehouse_Movements'!$C$2:$C$500=$A31),'03_Warehouse_Movements'!$A$2:$A$500),""))</f>
        <v/>
      </c>
      <c r="N31" s="4" t="str">
        <f>IF($C31="","",IFERROR(LOOKUP(2,1/('03_Warehouse_Movements'!$C$2:$C$500=$A31),'03_Warehouse_Movements'!$H$2:$H$500),""))</f>
        <v/>
      </c>
      <c r="O31" s="4" t="str">
        <f t="shared" si="1"/>
        <v>WH-Z1-AisleB-Bay1-Level7</v>
      </c>
      <c r="Q31" s="34"/>
      <c r="R31" s="33"/>
      <c r="W31">
        <f>IF($A2="","",COUNTIF('07_Pallet_Contents'!$A$2:$A$3000,$A2))</f>
        <v>0</v>
      </c>
      <c r="X31">
        <f>IF($A2="","",SUMIF('07_Pallet_Contents'!$A$2:$A$3000,$A2,'07_Pallet_Contents'!$D$2:$D$3000))</f>
        <v>0</v>
      </c>
      <c r="Y31">
        <f>IF($A2="","",SUMIF('07_Pallet_Contents'!$A$2:$A$3000,$A2,'07_Pallet_Contents'!$I$2:$I$3000))</f>
        <v>0</v>
      </c>
      <c r="Z31" t="str">
        <f>IF($A2="","",IF(COUNTIF('07_Pallet_Contents'!$A$2:$A$3000,$A2)&gt;0,"Yes",""))</f>
        <v/>
      </c>
    </row>
    <row r="32" spans="1:26" ht="27.75" customHeight="1">
      <c r="A32" s="4" t="s">
        <v>307</v>
      </c>
      <c r="B32" s="4"/>
      <c r="C32" t="s">
        <v>308</v>
      </c>
      <c r="D32" t="str">
        <f>IF($C32="","",IFERROR(LOOKUP(2,1/('03_Warehouse_Movements'!$C$2:$C$500=$A32),'03_Warehouse_Movements'!$E$2:$E$500),$C32))</f>
        <v>PAL-0000032</v>
      </c>
      <c r="E32" t="s">
        <v>209</v>
      </c>
      <c r="F32" t="s">
        <v>246</v>
      </c>
      <c r="G32" s="32">
        <v>14</v>
      </c>
      <c r="H32" s="3" t="str">
        <f t="shared" si="0"/>
        <v/>
      </c>
      <c r="I32" s="3" t="s">
        <v>260</v>
      </c>
      <c r="J32" s="4" t="s">
        <v>220</v>
      </c>
      <c r="K32" s="3">
        <v>46052</v>
      </c>
      <c r="L32" s="4" t="s">
        <v>221</v>
      </c>
      <c r="M32" s="68" t="str">
        <f>IF($C32="","",IFERROR(LOOKUP(2,1/('03_Warehouse_Movements'!$C$2:$C$500=$A32),'03_Warehouse_Movements'!$A$2:$A$500),""))</f>
        <v/>
      </c>
      <c r="N32" s="4" t="str">
        <f>IF($C32="","",IFERROR(LOOKUP(2,1/('03_Warehouse_Movements'!$C$2:$C$500=$A32),'03_Warehouse_Movements'!$H$2:$H$500),""))</f>
        <v/>
      </c>
      <c r="O32" s="4" t="str">
        <f t="shared" si="1"/>
        <v>WH-Z1-AisleB-Bay1-Level8</v>
      </c>
      <c r="Q32" s="34"/>
      <c r="R32" s="33"/>
      <c r="W32">
        <f>IF($A2="","",COUNTIF('07_Pallet_Contents'!$A$2:$A$3000,$A2))</f>
        <v>0</v>
      </c>
      <c r="X32">
        <f>IF($A2="","",SUMIF('07_Pallet_Contents'!$A$2:$A$3000,$A2,'07_Pallet_Contents'!$D$2:$D$3000))</f>
        <v>0</v>
      </c>
      <c r="Y32">
        <f>IF($A2="","",SUMIF('07_Pallet_Contents'!$A$2:$A$3000,$A2,'07_Pallet_Contents'!$I$2:$I$3000))</f>
        <v>0</v>
      </c>
      <c r="Z32" t="str">
        <f>IF($A2="","",IF(COUNTIF('07_Pallet_Contents'!$A$2:$A$3000,$A2)&gt;0,"Yes",""))</f>
        <v/>
      </c>
    </row>
    <row r="33" spans="1:26" ht="27.75" customHeight="1">
      <c r="A33" s="4" t="s">
        <v>309</v>
      </c>
      <c r="B33" s="4"/>
      <c r="C33" t="s">
        <v>310</v>
      </c>
      <c r="D33" t="str">
        <f>IF($C33="","",IFERROR(LOOKUP(2,1/('03_Warehouse_Movements'!$C$2:$C$500=$A33),'03_Warehouse_Movements'!$E$2:$E$500),$C33))</f>
        <v>PAL-0000033</v>
      </c>
      <c r="E33" t="s">
        <v>209</v>
      </c>
      <c r="F33" t="s">
        <v>218</v>
      </c>
      <c r="G33" s="32"/>
      <c r="H33" s="3" t="str">
        <f t="shared" si="0"/>
        <v/>
      </c>
      <c r="I33" s="3" t="s">
        <v>219</v>
      </c>
      <c r="J33" s="4" t="s">
        <v>220</v>
      </c>
      <c r="K33" s="3">
        <v>46052</v>
      </c>
      <c r="L33" s="4" t="s">
        <v>221</v>
      </c>
      <c r="M33" s="68" t="str">
        <f>IF($C33="","",IFERROR(LOOKUP(2,1/('03_Warehouse_Movements'!$C$2:$C$500=$A33),'03_Warehouse_Movements'!$A$2:$A$500),""))</f>
        <v/>
      </c>
      <c r="N33" s="4" t="str">
        <f>IF($C33="","",IFERROR(LOOKUP(2,1/('03_Warehouse_Movements'!$C$2:$C$500=$A33),'03_Warehouse_Movements'!$H$2:$H$500),""))</f>
        <v/>
      </c>
      <c r="O33" s="4" t="str">
        <f t="shared" si="1"/>
        <v>WH-Z1-AisleB-Bay1-Level9</v>
      </c>
      <c r="Q33" s="34"/>
      <c r="R33" s="33"/>
      <c r="W33">
        <f>IF($A2="","",COUNTIF('07_Pallet_Contents'!$A$2:$A$3000,$A2))</f>
        <v>0</v>
      </c>
      <c r="X33">
        <f>IF($A2="","",SUMIF('07_Pallet_Contents'!$A$2:$A$3000,$A2,'07_Pallet_Contents'!$D$2:$D$3000))</f>
        <v>0</v>
      </c>
      <c r="Y33">
        <f>IF($A2="","",SUMIF('07_Pallet_Contents'!$A$2:$A$3000,$A2,'07_Pallet_Contents'!$I$2:$I$3000))</f>
        <v>0</v>
      </c>
      <c r="Z33" t="str">
        <f>IF($A2="","",IF(COUNTIF('07_Pallet_Contents'!$A$2:$A$3000,$A2)&gt;0,"Yes",""))</f>
        <v/>
      </c>
    </row>
    <row r="34" spans="1:26" ht="27.75" customHeight="1">
      <c r="A34" s="4" t="s">
        <v>311</v>
      </c>
      <c r="B34" s="4"/>
      <c r="C34" t="s">
        <v>312</v>
      </c>
      <c r="D34" t="str">
        <f>IF($C34="","",IFERROR(LOOKUP(2,1/('03_Warehouse_Movements'!$C$2:$C$500=$A34),'03_Warehouse_Movements'!$E$2:$E$500),$C34))</f>
        <v>PAL-0000034</v>
      </c>
      <c r="E34" t="s">
        <v>209</v>
      </c>
      <c r="F34" t="s">
        <v>218</v>
      </c>
      <c r="G34" s="32"/>
      <c r="H34" s="3" t="str">
        <f t="shared" si="0"/>
        <v/>
      </c>
      <c r="I34" s="3" t="s">
        <v>265</v>
      </c>
      <c r="J34" s="4" t="s">
        <v>220</v>
      </c>
      <c r="K34" s="3">
        <v>46052</v>
      </c>
      <c r="L34" s="4" t="s">
        <v>221</v>
      </c>
      <c r="M34" s="68" t="str">
        <f>IF($C34="","",IFERROR(LOOKUP(2,1/('03_Warehouse_Movements'!$C$2:$C$500=$A34),'03_Warehouse_Movements'!$A$2:$A$500),""))</f>
        <v/>
      </c>
      <c r="N34" s="4" t="str">
        <f>IF($C34="","",IFERROR(LOOKUP(2,1/('03_Warehouse_Movements'!$C$2:$C$500=$A34),'03_Warehouse_Movements'!$H$2:$H$500),""))</f>
        <v/>
      </c>
      <c r="O34" s="4" t="str">
        <f t="shared" si="1"/>
        <v>WH-Z1-AisleB-Bay1-Level10</v>
      </c>
      <c r="Q34" s="34"/>
      <c r="R34" s="33"/>
      <c r="W34">
        <f>IF($A2="","",COUNTIF('07_Pallet_Contents'!$A$2:$A$3000,$A2))</f>
        <v>0</v>
      </c>
      <c r="X34">
        <f>IF($A2="","",SUMIF('07_Pallet_Contents'!$A$2:$A$3000,$A2,'07_Pallet_Contents'!$D$2:$D$3000))</f>
        <v>0</v>
      </c>
      <c r="Y34">
        <f>IF($A2="","",SUMIF('07_Pallet_Contents'!$A$2:$A$3000,$A2,'07_Pallet_Contents'!$I$2:$I$3000))</f>
        <v>0</v>
      </c>
      <c r="Z34" t="str">
        <f>IF($A2="","",IF(COUNTIF('07_Pallet_Contents'!$A$2:$A$3000,$A2)&gt;0,"Yes",""))</f>
        <v/>
      </c>
    </row>
    <row r="35" spans="1:26" ht="27.75" customHeight="1">
      <c r="A35" s="4" t="s">
        <v>313</v>
      </c>
      <c r="B35" s="4"/>
      <c r="C35" t="s">
        <v>314</v>
      </c>
      <c r="D35" t="str">
        <f>IF($C35="","",IFERROR(LOOKUP(2,1/('03_Warehouse_Movements'!$C$2:$C$500=$A35),'03_Warehouse_Movements'!$E$2:$E$500),$C35))</f>
        <v>PAL-0000035</v>
      </c>
      <c r="E35" t="s">
        <v>209</v>
      </c>
      <c r="F35" t="s">
        <v>218</v>
      </c>
      <c r="G35" s="32"/>
      <c r="H35" s="3" t="str">
        <f t="shared" si="0"/>
        <v/>
      </c>
      <c r="I35" s="3" t="s">
        <v>268</v>
      </c>
      <c r="J35" s="4" t="s">
        <v>220</v>
      </c>
      <c r="K35" s="3">
        <v>46052</v>
      </c>
      <c r="L35" s="4" t="s">
        <v>221</v>
      </c>
      <c r="M35" s="68" t="str">
        <f>IF($C35="","",IFERROR(LOOKUP(2,1/('03_Warehouse_Movements'!$C$2:$C$500=$A35),'03_Warehouse_Movements'!$A$2:$A$500),""))</f>
        <v/>
      </c>
      <c r="N35" s="4" t="str">
        <f>IF($C35="","",IFERROR(LOOKUP(2,1/('03_Warehouse_Movements'!$C$2:$C$500=$A35),'03_Warehouse_Movements'!$H$2:$H$500),""))</f>
        <v/>
      </c>
      <c r="O35" s="4" t="str">
        <f t="shared" si="1"/>
        <v>WH-Z1-AisleB-Bay1-Level11</v>
      </c>
      <c r="Q35" s="34"/>
      <c r="R35" s="33"/>
      <c r="W35">
        <f>IF($A2="","",COUNTIF('07_Pallet_Contents'!$A$2:$A$3000,$A2))</f>
        <v>0</v>
      </c>
      <c r="X35">
        <f>IF($A2="","",SUMIF('07_Pallet_Contents'!$A$2:$A$3000,$A2,'07_Pallet_Contents'!$D$2:$D$3000))</f>
        <v>0</v>
      </c>
      <c r="Y35">
        <f>IF($A2="","",SUMIF('07_Pallet_Contents'!$A$2:$A$3000,$A2,'07_Pallet_Contents'!$I$2:$I$3000))</f>
        <v>0</v>
      </c>
      <c r="Z35" t="str">
        <f>IF($A2="","",IF(COUNTIF('07_Pallet_Contents'!$A$2:$A$3000,$A2)&gt;0,"Yes",""))</f>
        <v/>
      </c>
    </row>
    <row r="36" spans="1:26" ht="27.75" customHeight="1">
      <c r="A36" s="4" t="s">
        <v>315</v>
      </c>
      <c r="B36" s="4"/>
      <c r="C36" t="s">
        <v>316</v>
      </c>
      <c r="D36" t="str">
        <f>IF($C36="","",IFERROR(LOOKUP(2,1/('03_Warehouse_Movements'!$C$2:$C$500=$A36),'03_Warehouse_Movements'!$E$2:$E$500),$C36))</f>
        <v>PAL-0000036</v>
      </c>
      <c r="E36" t="s">
        <v>209</v>
      </c>
      <c r="F36" t="s">
        <v>218</v>
      </c>
      <c r="G36" s="32"/>
      <c r="H36" s="3" t="str">
        <f t="shared" si="0"/>
        <v/>
      </c>
      <c r="I36" s="3" t="s">
        <v>272</v>
      </c>
      <c r="J36" s="4" t="s">
        <v>220</v>
      </c>
      <c r="K36" s="3">
        <v>46052</v>
      </c>
      <c r="L36" s="4" t="s">
        <v>221</v>
      </c>
      <c r="M36" s="68" t="str">
        <f>IF($C36="","",IFERROR(LOOKUP(2,1/('03_Warehouse_Movements'!$C$2:$C$500=$A36),'03_Warehouse_Movements'!$A$2:$A$500),""))</f>
        <v/>
      </c>
      <c r="N36" s="4" t="str">
        <f>IF($C36="","",IFERROR(LOOKUP(2,1/('03_Warehouse_Movements'!$C$2:$C$500=$A36),'03_Warehouse_Movements'!$H$2:$H$500),""))</f>
        <v/>
      </c>
      <c r="O36" s="4" t="str">
        <f t="shared" si="1"/>
        <v>WH-Z1-AisleB-Bay1-Level12</v>
      </c>
      <c r="Q36" s="34"/>
      <c r="R36" s="33"/>
      <c r="W36">
        <f>IF($A2="","",COUNTIF('07_Pallet_Contents'!$A$2:$A$3000,$A2))</f>
        <v>0</v>
      </c>
      <c r="X36">
        <f>IF($A2="","",SUMIF('07_Pallet_Contents'!$A$2:$A$3000,$A2,'07_Pallet_Contents'!$D$2:$D$3000))</f>
        <v>0</v>
      </c>
      <c r="Y36">
        <f>IF($A2="","",SUMIF('07_Pallet_Contents'!$A$2:$A$3000,$A2,'07_Pallet_Contents'!$I$2:$I$3000))</f>
        <v>0</v>
      </c>
      <c r="Z36" t="str">
        <f>IF($A2="","",IF(COUNTIF('07_Pallet_Contents'!$A$2:$A$3000,$A2)&gt;0,"Yes",""))</f>
        <v/>
      </c>
    </row>
    <row r="37" spans="1:26" ht="27.75" customHeight="1">
      <c r="A37" s="4" t="s">
        <v>317</v>
      </c>
      <c r="B37" s="4" t="s">
        <v>318</v>
      </c>
      <c r="C37" t="s">
        <v>319</v>
      </c>
      <c r="D37" t="str">
        <f>IF($C37="","",IFERROR(LOOKUP(2,1/('03_Warehouse_Movements'!$C$2:$C$500=$A37),'03_Warehouse_Movements'!$E$2:$E$500),$C37))</f>
        <v>PAL-0000037</v>
      </c>
      <c r="E37" t="s">
        <v>209</v>
      </c>
      <c r="F37" t="s">
        <v>218</v>
      </c>
      <c r="G37" s="32"/>
      <c r="H37" s="3" t="str">
        <f t="shared" si="0"/>
        <v/>
      </c>
      <c r="I37" s="3" t="s">
        <v>275</v>
      </c>
      <c r="J37" s="4" t="s">
        <v>220</v>
      </c>
      <c r="K37" s="3">
        <v>46052</v>
      </c>
      <c r="L37" s="4" t="s">
        <v>221</v>
      </c>
      <c r="M37" s="68" t="str">
        <f>IF($C37="","",IFERROR(LOOKUP(2,1/('03_Warehouse_Movements'!$C$2:$C$500=$A37),'03_Warehouse_Movements'!$A$2:$A$500),""))</f>
        <v/>
      </c>
      <c r="N37" s="4" t="str">
        <f>IF($C37="","",IFERROR(LOOKUP(2,1/('03_Warehouse_Movements'!$C$2:$C$500=$A37),'03_Warehouse_Movements'!$H$2:$H$500),""))</f>
        <v/>
      </c>
      <c r="O37" s="4" t="str">
        <f t="shared" si="1"/>
        <v>OVERFLOW-SAMPLE-PO1035-CAT1-PAL036</v>
      </c>
      <c r="Q37" s="34"/>
      <c r="R37" s="33"/>
      <c r="W37">
        <f>IF($A2="","",COUNTIF('07_Pallet_Contents'!$A$2:$A$3000,$A2))</f>
        <v>0</v>
      </c>
      <c r="X37">
        <f>IF($A2="","",SUMIF('07_Pallet_Contents'!$A$2:$A$3000,$A2,'07_Pallet_Contents'!$D$2:$D$3000))</f>
        <v>0</v>
      </c>
      <c r="Y37">
        <f>IF($A2="","",SUMIF('07_Pallet_Contents'!$A$2:$A$3000,$A2,'07_Pallet_Contents'!$I$2:$I$3000))</f>
        <v>0</v>
      </c>
      <c r="Z37" t="str">
        <f>IF($A2="","",IF(COUNTIF('07_Pallet_Contents'!$A$2:$A$3000,$A2)&gt;0,"Yes",""))</f>
        <v/>
      </c>
    </row>
    <row r="38" spans="1:26" ht="27.75" customHeight="1">
      <c r="A38" s="4" t="s">
        <v>320</v>
      </c>
      <c r="B38" s="4"/>
      <c r="C38" t="s">
        <v>321</v>
      </c>
      <c r="D38" t="str">
        <f>IF($C38="","",IFERROR(LOOKUP(2,1/('03_Warehouse_Movements'!$C$2:$C$500=$A38),'03_Warehouse_Movements'!$E$2:$E$500),$C38))</f>
        <v>PAL-0000038</v>
      </c>
      <c r="E38" t="s">
        <v>209</v>
      </c>
      <c r="F38" t="s">
        <v>246</v>
      </c>
      <c r="G38" s="32">
        <v>14</v>
      </c>
      <c r="H38" s="3" t="str">
        <f t="shared" si="0"/>
        <v/>
      </c>
      <c r="I38" s="3" t="s">
        <v>278</v>
      </c>
      <c r="J38" s="4" t="s">
        <v>220</v>
      </c>
      <c r="K38" s="3">
        <v>46052</v>
      </c>
      <c r="L38" s="4" t="s">
        <v>221</v>
      </c>
      <c r="M38" s="68" t="str">
        <f>IF($C38="","",IFERROR(LOOKUP(2,1/('03_Warehouse_Movements'!$C$2:$C$500=$A38),'03_Warehouse_Movements'!$A$2:$A$500),""))</f>
        <v/>
      </c>
      <c r="N38" s="4" t="str">
        <f>IF($C38="","",IFERROR(LOOKUP(2,1/('03_Warehouse_Movements'!$C$2:$C$500=$A38),'03_Warehouse_Movements'!$H$2:$H$500),""))</f>
        <v/>
      </c>
      <c r="O38" s="4" t="str">
        <f t="shared" si="1"/>
        <v>WH-Z1-AisleB-Bay1-Level14</v>
      </c>
      <c r="Q38" s="34"/>
      <c r="R38" s="33"/>
      <c r="W38">
        <f>IF($A2="","",COUNTIF('07_Pallet_Contents'!$A$2:$A$3000,$A2))</f>
        <v>0</v>
      </c>
      <c r="X38">
        <f>IF($A2="","",SUMIF('07_Pallet_Contents'!$A$2:$A$3000,$A2,'07_Pallet_Contents'!$D$2:$D$3000))</f>
        <v>0</v>
      </c>
      <c r="Y38">
        <f>IF($A2="","",SUMIF('07_Pallet_Contents'!$A$2:$A$3000,$A2,'07_Pallet_Contents'!$I$2:$I$3000))</f>
        <v>0</v>
      </c>
      <c r="Z38" t="str">
        <f>IF($A2="","",IF(COUNTIF('07_Pallet_Contents'!$A$2:$A$3000,$A2)&gt;0,"Yes",""))</f>
        <v/>
      </c>
    </row>
    <row r="39" spans="1:26" ht="27.75" customHeight="1">
      <c r="A39" s="4" t="s">
        <v>322</v>
      </c>
      <c r="B39" s="4"/>
      <c r="C39" t="s">
        <v>323</v>
      </c>
      <c r="D39" t="str">
        <f>IF($C39="","",IFERROR(LOOKUP(2,1/('03_Warehouse_Movements'!$C$2:$C$500=$A39),'03_Warehouse_Movements'!$E$2:$E$500),$C39))</f>
        <v>PAL-0000039</v>
      </c>
      <c r="E39" t="s">
        <v>209</v>
      </c>
      <c r="F39" t="s">
        <v>218</v>
      </c>
      <c r="G39" s="32"/>
      <c r="H39" s="3" t="str">
        <f t="shared" si="0"/>
        <v/>
      </c>
      <c r="I39" s="3" t="s">
        <v>250</v>
      </c>
      <c r="J39" s="4" t="s">
        <v>220</v>
      </c>
      <c r="K39" s="3">
        <v>46052</v>
      </c>
      <c r="L39" s="4" t="s">
        <v>221</v>
      </c>
      <c r="M39" s="68" t="str">
        <f>IF($C39="","",IFERROR(LOOKUP(2,1/('03_Warehouse_Movements'!$C$2:$C$500=$A39),'03_Warehouse_Movements'!$A$2:$A$500),""))</f>
        <v/>
      </c>
      <c r="N39" s="4" t="str">
        <f>IF($C39="","",IFERROR(LOOKUP(2,1/('03_Warehouse_Movements'!$C$2:$C$500=$A39),'03_Warehouse_Movements'!$H$2:$H$500),""))</f>
        <v/>
      </c>
      <c r="O39" s="4" t="str">
        <f t="shared" si="1"/>
        <v>WH-Z1-AisleB-Bay1-Level15</v>
      </c>
      <c r="Q39" s="34"/>
      <c r="R39" s="33"/>
      <c r="W39">
        <f>IF($A2="","",COUNTIF('07_Pallet_Contents'!$A$2:$A$3000,$A2))</f>
        <v>0</v>
      </c>
      <c r="X39">
        <f>IF($A2="","",SUMIF('07_Pallet_Contents'!$A$2:$A$3000,$A2,'07_Pallet_Contents'!$D$2:$D$3000))</f>
        <v>0</v>
      </c>
      <c r="Y39">
        <f>IF($A2="","",SUMIF('07_Pallet_Contents'!$A$2:$A$3000,$A2,'07_Pallet_Contents'!$I$2:$I$3000))</f>
        <v>0</v>
      </c>
      <c r="Z39" t="str">
        <f>IF($A2="","",IF(COUNTIF('07_Pallet_Contents'!$A$2:$A$3000,$A2)&gt;0,"Yes",""))</f>
        <v/>
      </c>
    </row>
    <row r="40" spans="1:26" ht="27.75" customHeight="1">
      <c r="A40" s="4" t="s">
        <v>324</v>
      </c>
      <c r="B40" s="4"/>
      <c r="C40" t="s">
        <v>325</v>
      </c>
      <c r="D40" t="str">
        <f>IF($C40="","",IFERROR(LOOKUP(2,1/('03_Warehouse_Movements'!$C$2:$C$500=$A40),'03_Warehouse_Movements'!$E$2:$E$500),$C40))</f>
        <v>PAL-0000040</v>
      </c>
      <c r="E40" t="s">
        <v>209</v>
      </c>
      <c r="F40" t="s">
        <v>218</v>
      </c>
      <c r="G40" s="32"/>
      <c r="H40" s="3" t="str">
        <f t="shared" si="0"/>
        <v/>
      </c>
      <c r="I40" s="3" t="s">
        <v>253</v>
      </c>
      <c r="J40" s="4" t="s">
        <v>220</v>
      </c>
      <c r="K40" s="3">
        <v>46052</v>
      </c>
      <c r="L40" s="4" t="s">
        <v>221</v>
      </c>
      <c r="M40" s="68" t="str">
        <f>IF($C40="","",IFERROR(LOOKUP(2,1/('03_Warehouse_Movements'!$C$2:$C$500=$A40),'03_Warehouse_Movements'!$A$2:$A$500),""))</f>
        <v/>
      </c>
      <c r="N40" s="4" t="str">
        <f>IF($C40="","",IFERROR(LOOKUP(2,1/('03_Warehouse_Movements'!$C$2:$C$500=$A40),'03_Warehouse_Movements'!$H$2:$H$500),""))</f>
        <v/>
      </c>
      <c r="O40" s="4" t="str">
        <f t="shared" si="1"/>
        <v>WH-Z1-AisleB-Bay1-Level16</v>
      </c>
      <c r="Q40" s="34"/>
      <c r="R40" s="33"/>
      <c r="W40">
        <f>IF($A2="","",COUNTIF('07_Pallet_Contents'!$A$2:$A$3000,$A2))</f>
        <v>0</v>
      </c>
      <c r="X40">
        <f>IF($A2="","",SUMIF('07_Pallet_Contents'!$A$2:$A$3000,$A2,'07_Pallet_Contents'!$D$2:$D$3000))</f>
        <v>0</v>
      </c>
      <c r="Y40">
        <f>IF($A2="","",SUMIF('07_Pallet_Contents'!$A$2:$A$3000,$A2,'07_Pallet_Contents'!$I$2:$I$3000))</f>
        <v>0</v>
      </c>
      <c r="Z40" t="str">
        <f>IF($A2="","",IF(COUNTIF('07_Pallet_Contents'!$A$2:$A$3000,$A2)&gt;0,"Yes",""))</f>
        <v/>
      </c>
    </row>
    <row r="41" spans="1:26" ht="27.75" customHeight="1">
      <c r="A41" s="4" t="s">
        <v>326</v>
      </c>
      <c r="B41" s="4"/>
      <c r="C41" t="s">
        <v>327</v>
      </c>
      <c r="D41" t="str">
        <f>IF($C41="","",IFERROR(LOOKUP(2,1/('03_Warehouse_Movements'!$C$2:$C$500=$A41),'03_Warehouse_Movements'!$E$2:$E$500),$C41))</f>
        <v>PAL-0000041</v>
      </c>
      <c r="E41" t="s">
        <v>209</v>
      </c>
      <c r="F41" t="s">
        <v>218</v>
      </c>
      <c r="G41" s="32"/>
      <c r="H41" s="3" t="str">
        <f t="shared" si="0"/>
        <v/>
      </c>
      <c r="I41" s="3" t="s">
        <v>256</v>
      </c>
      <c r="J41" s="4" t="s">
        <v>220</v>
      </c>
      <c r="K41" s="3">
        <v>46052</v>
      </c>
      <c r="L41" s="4" t="s">
        <v>221</v>
      </c>
      <c r="M41" s="68" t="str">
        <f>IF($C41="","",IFERROR(LOOKUP(2,1/('03_Warehouse_Movements'!$C$2:$C$500=$A41),'03_Warehouse_Movements'!$A$2:$A$500),""))</f>
        <v/>
      </c>
      <c r="N41" s="4" t="str">
        <f>IF($C41="","",IFERROR(LOOKUP(2,1/('03_Warehouse_Movements'!$C$2:$C$500=$A41),'03_Warehouse_Movements'!$H$2:$H$500),""))</f>
        <v/>
      </c>
      <c r="O41" s="4" t="str">
        <f t="shared" si="1"/>
        <v>WH-Z1-AisleB-Bay1-Level17</v>
      </c>
      <c r="Q41" s="34"/>
      <c r="R41" s="33"/>
      <c r="W41">
        <f>IF($A2="","",COUNTIF('07_Pallet_Contents'!$A$2:$A$3000,$A2))</f>
        <v>0</v>
      </c>
      <c r="X41">
        <f>IF($A2="","",SUMIF('07_Pallet_Contents'!$A$2:$A$3000,$A2,'07_Pallet_Contents'!$D$2:$D$3000))</f>
        <v>0</v>
      </c>
      <c r="Y41">
        <f>IF($A2="","",SUMIF('07_Pallet_Contents'!$A$2:$A$3000,$A2,'07_Pallet_Contents'!$I$2:$I$3000))</f>
        <v>0</v>
      </c>
      <c r="Z41" t="str">
        <f>IF($A2="","",IF(COUNTIF('07_Pallet_Contents'!$A$2:$A$3000,$A2)&gt;0,"Yes",""))</f>
        <v/>
      </c>
    </row>
    <row r="42" spans="1:26" ht="27.75" customHeight="1">
      <c r="A42" s="4" t="s">
        <v>328</v>
      </c>
      <c r="B42" s="4"/>
      <c r="C42" t="s">
        <v>329</v>
      </c>
      <c r="D42" t="str">
        <f>IF($C42="","",IFERROR(LOOKUP(2,1/('03_Warehouse_Movements'!$C$2:$C$500=$A42),'03_Warehouse_Movements'!$E$2:$E$500),$C42))</f>
        <v>PAL-0000042</v>
      </c>
      <c r="E42" t="s">
        <v>209</v>
      </c>
      <c r="F42" t="s">
        <v>218</v>
      </c>
      <c r="G42" s="32"/>
      <c r="H42" s="3" t="str">
        <f t="shared" si="0"/>
        <v/>
      </c>
      <c r="I42" s="3" t="s">
        <v>260</v>
      </c>
      <c r="J42" s="4" t="s">
        <v>220</v>
      </c>
      <c r="K42" s="3">
        <v>46052</v>
      </c>
      <c r="L42" s="4" t="s">
        <v>221</v>
      </c>
      <c r="M42" s="68" t="str">
        <f>IF($C42="","",IFERROR(LOOKUP(2,1/('03_Warehouse_Movements'!$C$2:$C$500=$A42),'03_Warehouse_Movements'!$A$2:$A$500),""))</f>
        <v/>
      </c>
      <c r="N42" s="4" t="str">
        <f>IF($C42="","",IFERROR(LOOKUP(2,1/('03_Warehouse_Movements'!$C$2:$C$500=$A42),'03_Warehouse_Movements'!$H$2:$H$500),""))</f>
        <v/>
      </c>
      <c r="O42" s="4" t="str">
        <f t="shared" si="1"/>
        <v>WH-Z1-AisleB-Bay1-Level18</v>
      </c>
      <c r="Q42" s="34"/>
      <c r="R42" s="33"/>
      <c r="W42">
        <f>IF($A2="","",COUNTIF('07_Pallet_Contents'!$A$2:$A$3000,$A2))</f>
        <v>0</v>
      </c>
      <c r="X42">
        <f>IF($A2="","",SUMIF('07_Pallet_Contents'!$A$2:$A$3000,$A2,'07_Pallet_Contents'!$D$2:$D$3000))</f>
        <v>0</v>
      </c>
      <c r="Y42">
        <f>IF($A2="","",SUMIF('07_Pallet_Contents'!$A$2:$A$3000,$A2,'07_Pallet_Contents'!$I$2:$I$3000))</f>
        <v>0</v>
      </c>
      <c r="Z42" t="str">
        <f>IF($A2="","",IF(COUNTIF('07_Pallet_Contents'!$A$2:$A$3000,$A2)&gt;0,"Yes",""))</f>
        <v/>
      </c>
    </row>
    <row r="43" spans="1:26" ht="27.75" customHeight="1">
      <c r="A43" s="4" t="s">
        <v>330</v>
      </c>
      <c r="B43" s="4"/>
      <c r="C43" t="s">
        <v>331</v>
      </c>
      <c r="D43" t="str">
        <f>IF($C43="","",IFERROR(LOOKUP(2,1/('03_Warehouse_Movements'!$C$2:$C$500=$A43),'03_Warehouse_Movements'!$E$2:$E$500),$C43))</f>
        <v>PAL-0000043</v>
      </c>
      <c r="E43" t="s">
        <v>209</v>
      </c>
      <c r="F43" t="s">
        <v>218</v>
      </c>
      <c r="G43" s="32"/>
      <c r="H43" s="3" t="str">
        <f t="shared" si="0"/>
        <v/>
      </c>
      <c r="I43" s="3" t="s">
        <v>219</v>
      </c>
      <c r="J43" s="4" t="s">
        <v>220</v>
      </c>
      <c r="K43" s="3">
        <v>46052</v>
      </c>
      <c r="L43" s="4" t="s">
        <v>221</v>
      </c>
      <c r="M43" s="68" t="str">
        <f>IF($C43="","",IFERROR(LOOKUP(2,1/('03_Warehouse_Movements'!$C$2:$C$500=$A43),'03_Warehouse_Movements'!$A$2:$A$500),""))</f>
        <v/>
      </c>
      <c r="N43" s="4" t="str">
        <f>IF($C43="","",IFERROR(LOOKUP(2,1/('03_Warehouse_Movements'!$C$2:$C$500=$A43),'03_Warehouse_Movements'!$H$2:$H$500),""))</f>
        <v/>
      </c>
      <c r="O43" s="4" t="str">
        <f t="shared" si="1"/>
        <v>WH-Z1-AisleB-Bay1-Level19</v>
      </c>
      <c r="Q43" s="34"/>
      <c r="R43" s="33"/>
      <c r="W43">
        <f>IF($A2="","",COUNTIF('07_Pallet_Contents'!$A$2:$A$3000,$A2))</f>
        <v>0</v>
      </c>
      <c r="X43">
        <f>IF($A2="","",SUMIF('07_Pallet_Contents'!$A$2:$A$3000,$A2,'07_Pallet_Contents'!$D$2:$D$3000))</f>
        <v>0</v>
      </c>
      <c r="Y43">
        <f>IF($A2="","",SUMIF('07_Pallet_Contents'!$A$2:$A$3000,$A2,'07_Pallet_Contents'!$I$2:$I$3000))</f>
        <v>0</v>
      </c>
      <c r="Z43" t="str">
        <f>IF($A2="","",IF(COUNTIF('07_Pallet_Contents'!$A$2:$A$3000,$A2)&gt;0,"Yes",""))</f>
        <v/>
      </c>
    </row>
    <row r="44" spans="1:26" ht="27.75" customHeight="1">
      <c r="A44" s="4" t="s">
        <v>332</v>
      </c>
      <c r="B44" s="4" t="s">
        <v>333</v>
      </c>
      <c r="C44" t="s">
        <v>334</v>
      </c>
      <c r="D44" t="str">
        <f>IF($C44="","",IFERROR(LOOKUP(2,1/('03_Warehouse_Movements'!$C$2:$C$500=$A44),'03_Warehouse_Movements'!$E$2:$E$500),$C44))</f>
        <v>PAL-0000044</v>
      </c>
      <c r="E44" t="s">
        <v>209</v>
      </c>
      <c r="F44" t="s">
        <v>246</v>
      </c>
      <c r="G44" s="32">
        <v>14</v>
      </c>
      <c r="H44" s="3" t="str">
        <f t="shared" si="0"/>
        <v/>
      </c>
      <c r="I44" s="3" t="s">
        <v>265</v>
      </c>
      <c r="J44" s="4" t="s">
        <v>220</v>
      </c>
      <c r="K44" s="3">
        <v>46052</v>
      </c>
      <c r="L44" s="4" t="s">
        <v>221</v>
      </c>
      <c r="M44" s="68" t="str">
        <f>IF($C44="","",IFERROR(LOOKUP(2,1/('03_Warehouse_Movements'!$C$2:$C$500=$A44),'03_Warehouse_Movements'!$A$2:$A$500),""))</f>
        <v/>
      </c>
      <c r="N44" s="4" t="str">
        <f>IF($C44="","",IFERROR(LOOKUP(2,1/('03_Warehouse_Movements'!$C$2:$C$500=$A44),'03_Warehouse_Movements'!$H$2:$H$500),""))</f>
        <v/>
      </c>
      <c r="O44" s="4" t="str">
        <f t="shared" si="1"/>
        <v>OVERFLOW-SAMPLE-PO1042-CAT3-PAL043</v>
      </c>
      <c r="Q44" s="34"/>
      <c r="R44" s="33"/>
      <c r="W44">
        <f>IF($A2="","",COUNTIF('07_Pallet_Contents'!$A$2:$A$3000,$A2))</f>
        <v>0</v>
      </c>
      <c r="X44">
        <f>IF($A2="","",SUMIF('07_Pallet_Contents'!$A$2:$A$3000,$A2,'07_Pallet_Contents'!$D$2:$D$3000))</f>
        <v>0</v>
      </c>
      <c r="Y44">
        <f>IF($A2="","",SUMIF('07_Pallet_Contents'!$A$2:$A$3000,$A2,'07_Pallet_Contents'!$I$2:$I$3000))</f>
        <v>0</v>
      </c>
      <c r="Z44" t="str">
        <f>IF($A2="","",IF(COUNTIF('07_Pallet_Contents'!$A$2:$A$3000,$A2)&gt;0,"Yes",""))</f>
        <v/>
      </c>
    </row>
    <row r="45" spans="1:26" ht="27.75" customHeight="1">
      <c r="A45" s="4" t="s">
        <v>335</v>
      </c>
      <c r="B45" s="4"/>
      <c r="C45" t="s">
        <v>336</v>
      </c>
      <c r="D45" t="str">
        <f>IF($C45="","",IFERROR(LOOKUP(2,1/('03_Warehouse_Movements'!$C$2:$C$500=$A45),'03_Warehouse_Movements'!$E$2:$E$500),$C45))</f>
        <v>PAL-0000045</v>
      </c>
      <c r="E45" t="s">
        <v>209</v>
      </c>
      <c r="F45" t="s">
        <v>218</v>
      </c>
      <c r="G45" s="32"/>
      <c r="H45" s="3" t="str">
        <f t="shared" si="0"/>
        <v/>
      </c>
      <c r="I45" s="3" t="s">
        <v>268</v>
      </c>
      <c r="J45" s="4" t="s">
        <v>220</v>
      </c>
      <c r="K45" s="3">
        <v>46052</v>
      </c>
      <c r="L45" s="4" t="s">
        <v>221</v>
      </c>
      <c r="M45" s="68" t="str">
        <f>IF($C45="","",IFERROR(LOOKUP(2,1/('03_Warehouse_Movements'!$C$2:$C$500=$A45),'03_Warehouse_Movements'!$A$2:$A$500),""))</f>
        <v/>
      </c>
      <c r="N45" s="4" t="str">
        <f>IF($C45="","",IFERROR(LOOKUP(2,1/('03_Warehouse_Movements'!$C$2:$C$500=$A45),'03_Warehouse_Movements'!$H$2:$H$500),""))</f>
        <v/>
      </c>
      <c r="O45" s="4" t="str">
        <f t="shared" si="1"/>
        <v>WH-Z1-AisleC-Bay1-Level1</v>
      </c>
      <c r="Q45" s="34"/>
      <c r="R45" s="33"/>
      <c r="W45">
        <f>IF($A2="","",COUNTIF('07_Pallet_Contents'!$A$2:$A$3000,$A2))</f>
        <v>0</v>
      </c>
      <c r="X45">
        <f>IF($A2="","",SUMIF('07_Pallet_Contents'!$A$2:$A$3000,$A2,'07_Pallet_Contents'!$D$2:$D$3000))</f>
        <v>0</v>
      </c>
      <c r="Y45">
        <f>IF($A2="","",SUMIF('07_Pallet_Contents'!$A$2:$A$3000,$A2,'07_Pallet_Contents'!$I$2:$I$3000))</f>
        <v>0</v>
      </c>
      <c r="Z45" t="str">
        <f>IF($A2="","",IF(COUNTIF('07_Pallet_Contents'!$A$2:$A$3000,$A2)&gt;0,"Yes",""))</f>
        <v/>
      </c>
    </row>
    <row r="46" spans="1:26" ht="27.75" customHeight="1">
      <c r="A46" s="4" t="s">
        <v>337</v>
      </c>
      <c r="B46" s="4"/>
      <c r="C46" t="s">
        <v>338</v>
      </c>
      <c r="D46" t="str">
        <f>IF($C46="","",IFERROR(LOOKUP(2,1/('03_Warehouse_Movements'!$C$2:$C$500=$A46),'03_Warehouse_Movements'!$E$2:$E$500),$C46))</f>
        <v>PAL-0000046</v>
      </c>
      <c r="E46" t="s">
        <v>209</v>
      </c>
      <c r="F46" t="s">
        <v>218</v>
      </c>
      <c r="G46" s="32"/>
      <c r="H46" s="3" t="str">
        <f t="shared" si="0"/>
        <v/>
      </c>
      <c r="I46" s="3" t="s">
        <v>272</v>
      </c>
      <c r="J46" s="4" t="s">
        <v>220</v>
      </c>
      <c r="K46" s="3">
        <v>46052</v>
      </c>
      <c r="L46" s="4" t="s">
        <v>221</v>
      </c>
      <c r="M46" s="68" t="str">
        <f>IF($C46="","",IFERROR(LOOKUP(2,1/('03_Warehouse_Movements'!$C$2:$C$500=$A46),'03_Warehouse_Movements'!$A$2:$A$500),""))</f>
        <v/>
      </c>
      <c r="N46" s="4" t="str">
        <f>IF($C46="","",IFERROR(LOOKUP(2,1/('03_Warehouse_Movements'!$C$2:$C$500=$A46),'03_Warehouse_Movements'!$H$2:$H$500),""))</f>
        <v/>
      </c>
      <c r="O46" s="4" t="str">
        <f t="shared" si="1"/>
        <v>WH-Z1-AisleC-Bay1-Level2</v>
      </c>
      <c r="Q46" s="34"/>
      <c r="R46" s="33"/>
      <c r="W46">
        <f>IF($A2="","",COUNTIF('07_Pallet_Contents'!$A$2:$A$3000,$A2))</f>
        <v>0</v>
      </c>
      <c r="X46">
        <f>IF($A2="","",SUMIF('07_Pallet_Contents'!$A$2:$A$3000,$A2,'07_Pallet_Contents'!$D$2:$D$3000))</f>
        <v>0</v>
      </c>
      <c r="Y46">
        <f>IF($A2="","",SUMIF('07_Pallet_Contents'!$A$2:$A$3000,$A2,'07_Pallet_Contents'!$I$2:$I$3000))</f>
        <v>0</v>
      </c>
      <c r="Z46" t="str">
        <f>IF($A2="","",IF(COUNTIF('07_Pallet_Contents'!$A$2:$A$3000,$A2)&gt;0,"Yes",""))</f>
        <v/>
      </c>
    </row>
    <row r="47" spans="1:26" ht="27.75" customHeight="1">
      <c r="A47" s="4" t="s">
        <v>339</v>
      </c>
      <c r="B47" s="4"/>
      <c r="C47" t="s">
        <v>340</v>
      </c>
      <c r="D47" t="str">
        <f>IF($C47="","",IFERROR(LOOKUP(2,1/('03_Warehouse_Movements'!$C$2:$C$500=$A47),'03_Warehouse_Movements'!$E$2:$E$500),$C47))</f>
        <v>PAL-0000047</v>
      </c>
      <c r="E47" t="s">
        <v>209</v>
      </c>
      <c r="F47" t="s">
        <v>218</v>
      </c>
      <c r="G47" s="32"/>
      <c r="H47" s="3" t="str">
        <f t="shared" si="0"/>
        <v/>
      </c>
      <c r="I47" s="3" t="s">
        <v>275</v>
      </c>
      <c r="J47" s="4" t="s">
        <v>220</v>
      </c>
      <c r="K47" s="3">
        <v>46052</v>
      </c>
      <c r="L47" s="4" t="s">
        <v>221</v>
      </c>
      <c r="M47" s="68" t="str">
        <f>IF($C47="","",IFERROR(LOOKUP(2,1/('03_Warehouse_Movements'!$C$2:$C$500=$A47),'03_Warehouse_Movements'!$A$2:$A$500),""))</f>
        <v/>
      </c>
      <c r="N47" s="4" t="str">
        <f>IF($C47="","",IFERROR(LOOKUP(2,1/('03_Warehouse_Movements'!$C$2:$C$500=$A47),'03_Warehouse_Movements'!$H$2:$H$500),""))</f>
        <v/>
      </c>
      <c r="O47" s="4" t="str">
        <f t="shared" si="1"/>
        <v>WH-Z1-AisleC-Bay1-Level3</v>
      </c>
      <c r="Q47" s="34"/>
      <c r="R47" s="33"/>
      <c r="W47">
        <f>IF($A2="","",COUNTIF('07_Pallet_Contents'!$A$2:$A$3000,$A2))</f>
        <v>0</v>
      </c>
      <c r="X47">
        <f>IF($A2="","",SUMIF('07_Pallet_Contents'!$A$2:$A$3000,$A2,'07_Pallet_Contents'!$D$2:$D$3000))</f>
        <v>0</v>
      </c>
      <c r="Y47">
        <f>IF($A2="","",SUMIF('07_Pallet_Contents'!$A$2:$A$3000,$A2,'07_Pallet_Contents'!$I$2:$I$3000))</f>
        <v>0</v>
      </c>
      <c r="Z47" t="str">
        <f>IF($A2="","",IF(COUNTIF('07_Pallet_Contents'!$A$2:$A$3000,$A2)&gt;0,"Yes",""))</f>
        <v/>
      </c>
    </row>
    <row r="48" spans="1:26" ht="27.75" customHeight="1">
      <c r="A48" s="4" t="s">
        <v>341</v>
      </c>
      <c r="B48" s="4"/>
      <c r="C48" t="s">
        <v>342</v>
      </c>
      <c r="D48" t="str">
        <f>IF($C48="","",IFERROR(LOOKUP(2,1/('03_Warehouse_Movements'!$C$2:$C$500=$A48),'03_Warehouse_Movements'!$E$2:$E$500),$C48))</f>
        <v>PAL-0000048</v>
      </c>
      <c r="E48" t="s">
        <v>209</v>
      </c>
      <c r="F48" t="s">
        <v>218</v>
      </c>
      <c r="G48" s="32"/>
      <c r="H48" s="3" t="str">
        <f t="shared" si="0"/>
        <v/>
      </c>
      <c r="I48" s="3" t="s">
        <v>278</v>
      </c>
      <c r="J48" s="4" t="s">
        <v>220</v>
      </c>
      <c r="K48" s="3">
        <v>46052</v>
      </c>
      <c r="L48" s="4" t="s">
        <v>221</v>
      </c>
      <c r="M48" s="68" t="str">
        <f>IF($C48="","",IFERROR(LOOKUP(2,1/('03_Warehouse_Movements'!$C$2:$C$500=$A48),'03_Warehouse_Movements'!$A$2:$A$500),""))</f>
        <v/>
      </c>
      <c r="N48" s="4" t="str">
        <f>IF($C48="","",IFERROR(LOOKUP(2,1/('03_Warehouse_Movements'!$C$2:$C$500=$A48),'03_Warehouse_Movements'!$H$2:$H$500),""))</f>
        <v/>
      </c>
      <c r="O48" s="4" t="str">
        <f t="shared" si="1"/>
        <v>WH-Z1-AisleC-Bay1-Level4</v>
      </c>
      <c r="Q48" s="34"/>
      <c r="R48" s="33"/>
      <c r="W48">
        <f>IF($A2="","",COUNTIF('07_Pallet_Contents'!$A$2:$A$3000,$A2))</f>
        <v>0</v>
      </c>
      <c r="X48">
        <f>IF($A2="","",SUMIF('07_Pallet_Contents'!$A$2:$A$3000,$A2,'07_Pallet_Contents'!$D$2:$D$3000))</f>
        <v>0</v>
      </c>
      <c r="Y48">
        <f>IF($A2="","",SUMIF('07_Pallet_Contents'!$A$2:$A$3000,$A2,'07_Pallet_Contents'!$I$2:$I$3000))</f>
        <v>0</v>
      </c>
      <c r="Z48" t="str">
        <f>IF($A2="","",IF(COUNTIF('07_Pallet_Contents'!$A$2:$A$3000,$A2)&gt;0,"Yes",""))</f>
        <v/>
      </c>
    </row>
    <row r="49" spans="1:26" ht="27.75" customHeight="1">
      <c r="A49" s="4" t="s">
        <v>343</v>
      </c>
      <c r="B49" s="4"/>
      <c r="C49" t="s">
        <v>344</v>
      </c>
      <c r="D49" t="str">
        <f>IF($C49="","",IFERROR(LOOKUP(2,1/('03_Warehouse_Movements'!$C$2:$C$500=$A49),'03_Warehouse_Movements'!$E$2:$E$500),$C49))</f>
        <v>PAL-0000049</v>
      </c>
      <c r="E49" t="s">
        <v>209</v>
      </c>
      <c r="F49" t="s">
        <v>218</v>
      </c>
      <c r="G49" s="32"/>
      <c r="H49" s="3" t="str">
        <f t="shared" si="0"/>
        <v/>
      </c>
      <c r="I49" s="3" t="s">
        <v>250</v>
      </c>
      <c r="J49" s="4" t="s">
        <v>220</v>
      </c>
      <c r="K49" s="3">
        <v>46052</v>
      </c>
      <c r="L49" s="4" t="s">
        <v>221</v>
      </c>
      <c r="M49" s="68" t="str">
        <f>IF($C49="","",IFERROR(LOOKUP(2,1/('03_Warehouse_Movements'!$C$2:$C$500=$A49),'03_Warehouse_Movements'!$A$2:$A$500),""))</f>
        <v/>
      </c>
      <c r="N49" s="4" t="str">
        <f>IF($C49="","",IFERROR(LOOKUP(2,1/('03_Warehouse_Movements'!$C$2:$C$500=$A49),'03_Warehouse_Movements'!$H$2:$H$500),""))</f>
        <v/>
      </c>
      <c r="O49" s="4" t="str">
        <f t="shared" si="1"/>
        <v>WH-Z1-AisleC-Bay1-Level5</v>
      </c>
      <c r="Q49" s="34"/>
      <c r="R49" s="33"/>
      <c r="W49">
        <f>IF($A2="","",COUNTIF('07_Pallet_Contents'!$A$2:$A$3000,$A2))</f>
        <v>0</v>
      </c>
      <c r="X49">
        <f>IF($A2="","",SUMIF('07_Pallet_Contents'!$A$2:$A$3000,$A2,'07_Pallet_Contents'!$D$2:$D$3000))</f>
        <v>0</v>
      </c>
      <c r="Y49">
        <f>IF($A2="","",SUMIF('07_Pallet_Contents'!$A$2:$A$3000,$A2,'07_Pallet_Contents'!$I$2:$I$3000))</f>
        <v>0</v>
      </c>
      <c r="Z49" t="str">
        <f>IF($A2="","",IF(COUNTIF('07_Pallet_Contents'!$A$2:$A$3000,$A2)&gt;0,"Yes",""))</f>
        <v/>
      </c>
    </row>
    <row r="50" spans="1:26" ht="27.75" customHeight="1">
      <c r="A50" s="4" t="s">
        <v>345</v>
      </c>
      <c r="B50" s="4"/>
      <c r="C50" t="s">
        <v>346</v>
      </c>
      <c r="D50" t="str">
        <f>IF($C50="","",IFERROR(LOOKUP(2,1/('03_Warehouse_Movements'!$C$2:$C$500=$A50),'03_Warehouse_Movements'!$E$2:$E$500),$C50))</f>
        <v>PAL-0000050</v>
      </c>
      <c r="E50" t="s">
        <v>209</v>
      </c>
      <c r="F50" t="s">
        <v>246</v>
      </c>
      <c r="G50" s="32">
        <v>14</v>
      </c>
      <c r="H50" s="3" t="str">
        <f t="shared" si="0"/>
        <v/>
      </c>
      <c r="I50" s="3" t="s">
        <v>253</v>
      </c>
      <c r="J50" s="4" t="s">
        <v>220</v>
      </c>
      <c r="K50" s="3">
        <v>46052</v>
      </c>
      <c r="L50" s="4" t="s">
        <v>221</v>
      </c>
      <c r="M50" s="68" t="str">
        <f>IF($C50="","",IFERROR(LOOKUP(2,1/('03_Warehouse_Movements'!$C$2:$C$500=$A50),'03_Warehouse_Movements'!$A$2:$A$500),""))</f>
        <v/>
      </c>
      <c r="N50" s="4" t="str">
        <f>IF($C50="","",IFERROR(LOOKUP(2,1/('03_Warehouse_Movements'!$C$2:$C$500=$A50),'03_Warehouse_Movements'!$H$2:$H$500),""))</f>
        <v/>
      </c>
      <c r="O50" s="4" t="str">
        <f t="shared" si="1"/>
        <v>WH-Z1-AisleC-Bay1-Level6</v>
      </c>
      <c r="Q50" s="34"/>
      <c r="R50" s="33"/>
      <c r="W50">
        <f>IF($A2="","",COUNTIF('07_Pallet_Contents'!$A$2:$A$3000,$A2))</f>
        <v>0</v>
      </c>
      <c r="X50">
        <f>IF($A2="","",SUMIF('07_Pallet_Contents'!$A$2:$A$3000,$A2,'07_Pallet_Contents'!$D$2:$D$3000))</f>
        <v>0</v>
      </c>
      <c r="Y50">
        <f>IF($A2="","",SUMIF('07_Pallet_Contents'!$A$2:$A$3000,$A2,'07_Pallet_Contents'!$I$2:$I$3000))</f>
        <v>0</v>
      </c>
      <c r="Z50" t="str">
        <f>IF($A2="","",IF(COUNTIF('07_Pallet_Contents'!$A$2:$A$3000,$A2)&gt;0,"Yes",""))</f>
        <v/>
      </c>
    </row>
    <row r="51" spans="1:26" ht="27.75" customHeight="1">
      <c r="A51" s="4" t="s">
        <v>347</v>
      </c>
      <c r="B51" s="4" t="s">
        <v>348</v>
      </c>
      <c r="C51" t="s">
        <v>349</v>
      </c>
      <c r="D51" t="str">
        <f>IF($C51="","",IFERROR(LOOKUP(2,1/('03_Warehouse_Movements'!$C$2:$C$500=$A51),'03_Warehouse_Movements'!$E$2:$E$500),$C51))</f>
        <v>RETIRED</v>
      </c>
      <c r="E51" t="s">
        <v>350</v>
      </c>
      <c r="F51" t="s">
        <v>218</v>
      </c>
      <c r="G51" s="32"/>
      <c r="H51" s="3" t="str">
        <f t="shared" si="0"/>
        <v/>
      </c>
      <c r="I51" s="3" t="s">
        <v>256</v>
      </c>
      <c r="J51" s="4" t="s">
        <v>220</v>
      </c>
      <c r="K51" s="3">
        <v>46052</v>
      </c>
      <c r="L51" s="4" t="s">
        <v>221</v>
      </c>
      <c r="M51" s="68" t="str">
        <f>IF($C51="","",IFERROR(LOOKUP(2,1/('03_Warehouse_Movements'!$C$2:$C$500=$A51),'03_Warehouse_Movements'!$A$2:$A$500),""))</f>
        <v/>
      </c>
      <c r="N51" s="4" t="str">
        <f>IF($C51="","",IFERROR(LOOKUP(2,1/('03_Warehouse_Movements'!$C$2:$C$500=$A51),'03_Warehouse_Movements'!$H$2:$H$500),""))</f>
        <v/>
      </c>
      <c r="O51" s="4" t="str">
        <f t="shared" si="1"/>
        <v>OVERFLOW-SAMPLE-PO1049-CAT5-PAL050</v>
      </c>
      <c r="Q51" s="34"/>
      <c r="R51" s="33"/>
      <c r="W51">
        <f>IF($A2="","",COUNTIF('07_Pallet_Contents'!$A$2:$A$3000,$A2))</f>
        <v>0</v>
      </c>
      <c r="X51">
        <f>IF($A2="","",SUMIF('07_Pallet_Contents'!$A$2:$A$3000,$A2,'07_Pallet_Contents'!$D$2:$D$3000))</f>
        <v>0</v>
      </c>
      <c r="Y51">
        <f>IF($A2="","",SUMIF('07_Pallet_Contents'!$A$2:$A$3000,$A2,'07_Pallet_Contents'!$I$2:$I$3000))</f>
        <v>0</v>
      </c>
      <c r="Z51" t="str">
        <f>IF($A2="","",IF(COUNTIF('07_Pallet_Contents'!$A$2:$A$3000,$A2)&gt;0,"Yes",""))</f>
        <v/>
      </c>
    </row>
    <row r="52" spans="1:26" ht="27.75" customHeight="1">
      <c r="A52" s="4" t="s">
        <v>351</v>
      </c>
      <c r="B52" s="4"/>
      <c r="C52" t="s">
        <v>352</v>
      </c>
      <c r="D52" t="str">
        <f>IF($C52="","",IFERROR(LOOKUP(2,1/('03_Warehouse_Movements'!$C$2:$C$500=$A52),'03_Warehouse_Movements'!$E$2:$E$500),$C52))</f>
        <v>PAL-0000052</v>
      </c>
      <c r="E52" t="s">
        <v>350</v>
      </c>
      <c r="F52" t="s">
        <v>218</v>
      </c>
      <c r="G52" s="32"/>
      <c r="H52" s="3" t="str">
        <f t="shared" si="0"/>
        <v/>
      </c>
      <c r="I52" s="3" t="s">
        <v>260</v>
      </c>
      <c r="J52" s="4" t="s">
        <v>220</v>
      </c>
      <c r="K52" s="3">
        <v>46052</v>
      </c>
      <c r="L52" s="4" t="s">
        <v>221</v>
      </c>
      <c r="M52" s="68" t="str">
        <f>IF($C52="","",IFERROR(LOOKUP(2,1/('03_Warehouse_Movements'!$C$2:$C$500=$A52),'03_Warehouse_Movements'!$A$2:$A$500),""))</f>
        <v/>
      </c>
      <c r="N52" s="4" t="str">
        <f>IF($C52="","",IFERROR(LOOKUP(2,1/('03_Warehouse_Movements'!$C$2:$C$500=$A52),'03_Warehouse_Movements'!$H$2:$H$500),""))</f>
        <v/>
      </c>
      <c r="O52" s="4" t="str">
        <f t="shared" si="1"/>
        <v>WH-Z1-AisleC-Bay1-Level8</v>
      </c>
      <c r="Q52" s="34"/>
      <c r="R52" s="33"/>
      <c r="W52">
        <f>IF($A2="","",COUNTIF('07_Pallet_Contents'!$A$2:$A$3000,$A2))</f>
        <v>0</v>
      </c>
      <c r="X52">
        <f>IF($A2="","",SUMIF('07_Pallet_Contents'!$A$2:$A$3000,$A2,'07_Pallet_Contents'!$D$2:$D$3000))</f>
        <v>0</v>
      </c>
      <c r="Y52">
        <f>IF($A2="","",SUMIF('07_Pallet_Contents'!$A$2:$A$3000,$A2,'07_Pallet_Contents'!$I$2:$I$3000))</f>
        <v>0</v>
      </c>
      <c r="Z52" t="str">
        <f>IF($A2="","",IF(COUNTIF('07_Pallet_Contents'!$A$2:$A$3000,$A2)&gt;0,"Yes",""))</f>
        <v/>
      </c>
    </row>
    <row r="53" spans="1:26" ht="27.75" customHeight="1">
      <c r="A53" s="4" t="s">
        <v>353</v>
      </c>
      <c r="B53" s="4"/>
      <c r="C53" t="s">
        <v>354</v>
      </c>
      <c r="D53" t="str">
        <f>IF($C53="","",IFERROR(LOOKUP(2,1/('03_Warehouse_Movements'!$C$2:$C$500=$A53),'03_Warehouse_Movements'!$E$2:$E$500),$C53))</f>
        <v>PAL-0000053</v>
      </c>
      <c r="E53" t="s">
        <v>209</v>
      </c>
      <c r="F53" t="s">
        <v>218</v>
      </c>
      <c r="G53" s="32"/>
      <c r="H53" s="3" t="str">
        <f t="shared" si="0"/>
        <v/>
      </c>
      <c r="I53" s="3" t="s">
        <v>219</v>
      </c>
      <c r="J53" s="4" t="s">
        <v>220</v>
      </c>
      <c r="K53" s="3">
        <v>46052</v>
      </c>
      <c r="L53" s="4" t="s">
        <v>221</v>
      </c>
      <c r="M53" s="68" t="str">
        <f>IF($C53="","",IFERROR(LOOKUP(2,1/('03_Warehouse_Movements'!$C$2:$C$500=$A53),'03_Warehouse_Movements'!$A$2:$A$500),""))</f>
        <v/>
      </c>
      <c r="N53" s="4" t="str">
        <f>IF($C53="","",IFERROR(LOOKUP(2,1/('03_Warehouse_Movements'!$C$2:$C$500=$A53),'03_Warehouse_Movements'!$H$2:$H$500),""))</f>
        <v/>
      </c>
      <c r="O53" s="4" t="str">
        <f t="shared" si="1"/>
        <v>WH-Z1-AisleC-Bay1-Level9</v>
      </c>
      <c r="Q53" s="34"/>
      <c r="R53" s="33"/>
      <c r="W53">
        <f>IF($A2="","",COUNTIF('07_Pallet_Contents'!$A$2:$A$3000,$A2))</f>
        <v>0</v>
      </c>
      <c r="X53">
        <f>IF($A2="","",SUMIF('07_Pallet_Contents'!$A$2:$A$3000,$A2,'07_Pallet_Contents'!$D$2:$D$3000))</f>
        <v>0</v>
      </c>
      <c r="Y53">
        <f>IF($A2="","",SUMIF('07_Pallet_Contents'!$A$2:$A$3000,$A2,'07_Pallet_Contents'!$I$2:$I$3000))</f>
        <v>0</v>
      </c>
      <c r="Z53" t="str">
        <f>IF($A2="","",IF(COUNTIF('07_Pallet_Contents'!$A$2:$A$3000,$A2)&gt;0,"Yes",""))</f>
        <v/>
      </c>
    </row>
    <row r="54" spans="1:26" ht="27.75" customHeight="1">
      <c r="A54" s="4" t="s">
        <v>355</v>
      </c>
      <c r="B54" s="4"/>
      <c r="C54" t="s">
        <v>356</v>
      </c>
      <c r="D54" t="str">
        <f>IF($C54="","",IFERROR(LOOKUP(2,1/('03_Warehouse_Movements'!$C$2:$C$500=$A54),'03_Warehouse_Movements'!$E$2:$E$500),$C54))</f>
        <v>PAL-0000054</v>
      </c>
      <c r="E54" t="s">
        <v>209</v>
      </c>
      <c r="F54" t="s">
        <v>218</v>
      </c>
      <c r="G54" s="32"/>
      <c r="H54" s="3" t="str">
        <f t="shared" si="0"/>
        <v/>
      </c>
      <c r="I54" s="3" t="s">
        <v>265</v>
      </c>
      <c r="J54" s="4" t="s">
        <v>220</v>
      </c>
      <c r="K54" s="3">
        <v>46052</v>
      </c>
      <c r="L54" s="4" t="s">
        <v>221</v>
      </c>
      <c r="M54" s="68" t="str">
        <f>IF($C54="","",IFERROR(LOOKUP(2,1/('03_Warehouse_Movements'!$C$2:$C$500=$A54),'03_Warehouse_Movements'!$A$2:$A$500),""))</f>
        <v/>
      </c>
      <c r="N54" s="4" t="str">
        <f>IF($C54="","",IFERROR(LOOKUP(2,1/('03_Warehouse_Movements'!$C$2:$C$500=$A54),'03_Warehouse_Movements'!$H$2:$H$500),""))</f>
        <v/>
      </c>
      <c r="O54" s="4" t="str">
        <f t="shared" si="1"/>
        <v>WH-Z1-AisleC-Bay1-Level10</v>
      </c>
      <c r="Q54" s="34"/>
      <c r="R54" s="33"/>
      <c r="W54">
        <f>IF($A2="","",COUNTIF('07_Pallet_Contents'!$A$2:$A$3000,$A2))</f>
        <v>0</v>
      </c>
      <c r="X54">
        <f>IF($A2="","",SUMIF('07_Pallet_Contents'!$A$2:$A$3000,$A2,'07_Pallet_Contents'!$D$2:$D$3000))</f>
        <v>0</v>
      </c>
      <c r="Y54">
        <f>IF($A2="","",SUMIF('07_Pallet_Contents'!$A$2:$A$3000,$A2,'07_Pallet_Contents'!$I$2:$I$3000))</f>
        <v>0</v>
      </c>
      <c r="Z54" t="str">
        <f>IF($A2="","",IF(COUNTIF('07_Pallet_Contents'!$A$2:$A$3000,$A2)&gt;0,"Yes",""))</f>
        <v/>
      </c>
    </row>
    <row r="55" spans="1:26" ht="27.75" customHeight="1">
      <c r="A55" s="4" t="s">
        <v>357</v>
      </c>
      <c r="B55" s="4"/>
      <c r="C55" t="s">
        <v>358</v>
      </c>
      <c r="D55" t="str">
        <f>IF($C55="","",IFERROR(LOOKUP(2,1/('03_Warehouse_Movements'!$C$2:$C$500=$A55),'03_Warehouse_Movements'!$E$2:$E$500),$C55))</f>
        <v>PAL-0000055</v>
      </c>
      <c r="E55" t="s">
        <v>209</v>
      </c>
      <c r="F55" t="s">
        <v>218</v>
      </c>
      <c r="G55" s="32"/>
      <c r="H55" s="3" t="str">
        <f t="shared" si="0"/>
        <v/>
      </c>
      <c r="I55" s="3" t="s">
        <v>268</v>
      </c>
      <c r="J55" s="4" t="s">
        <v>220</v>
      </c>
      <c r="K55" s="3">
        <v>46052</v>
      </c>
      <c r="L55" s="4" t="s">
        <v>221</v>
      </c>
      <c r="M55" s="68" t="str">
        <f>IF($C55="","",IFERROR(LOOKUP(2,1/('03_Warehouse_Movements'!$C$2:$C$500=$A55),'03_Warehouse_Movements'!$A$2:$A$500),""))</f>
        <v/>
      </c>
      <c r="N55" s="4" t="str">
        <f>IF($C55="","",IFERROR(LOOKUP(2,1/('03_Warehouse_Movements'!$C$2:$C$500=$A55),'03_Warehouse_Movements'!$H$2:$H$500),""))</f>
        <v/>
      </c>
      <c r="O55" s="4" t="str">
        <f t="shared" si="1"/>
        <v>WH-Z1-AisleC-Bay1-Level11</v>
      </c>
      <c r="Q55" s="34"/>
      <c r="R55" s="33"/>
      <c r="W55">
        <f>IF($A2="","",COUNTIF('07_Pallet_Contents'!$A$2:$A$3000,$A2))</f>
        <v>0</v>
      </c>
      <c r="X55">
        <f>IF($A2="","",SUMIF('07_Pallet_Contents'!$A$2:$A$3000,$A2,'07_Pallet_Contents'!$D$2:$D$3000))</f>
        <v>0</v>
      </c>
      <c r="Y55">
        <f>IF($A2="","",SUMIF('07_Pallet_Contents'!$A$2:$A$3000,$A2,'07_Pallet_Contents'!$I$2:$I$3000))</f>
        <v>0</v>
      </c>
      <c r="Z55" t="str">
        <f>IF($A2="","",IF(COUNTIF('07_Pallet_Contents'!$A$2:$A$3000,$A2)&gt;0,"Yes",""))</f>
        <v/>
      </c>
    </row>
    <row r="56" spans="1:26" ht="27.75" customHeight="1">
      <c r="A56" s="4" t="s">
        <v>359</v>
      </c>
      <c r="B56" s="4"/>
      <c r="C56" t="s">
        <v>360</v>
      </c>
      <c r="D56" t="str">
        <f>IF($C56="","",IFERROR(LOOKUP(2,1/('03_Warehouse_Movements'!$C$2:$C$500=$A56),'03_Warehouse_Movements'!$E$2:$E$500),$C56))</f>
        <v>PAL-0000056</v>
      </c>
      <c r="E56" t="s">
        <v>209</v>
      </c>
      <c r="F56" t="s">
        <v>246</v>
      </c>
      <c r="G56" s="32">
        <v>14</v>
      </c>
      <c r="H56" s="3" t="str">
        <f t="shared" si="0"/>
        <v/>
      </c>
      <c r="I56" s="3" t="s">
        <v>272</v>
      </c>
      <c r="J56" s="4" t="s">
        <v>220</v>
      </c>
      <c r="K56" s="3">
        <v>46052</v>
      </c>
      <c r="L56" s="4" t="s">
        <v>221</v>
      </c>
      <c r="M56" s="68" t="str">
        <f>IF($C56="","",IFERROR(LOOKUP(2,1/('03_Warehouse_Movements'!$C$2:$C$500=$A56),'03_Warehouse_Movements'!$A$2:$A$500),""))</f>
        <v/>
      </c>
      <c r="N56" s="4" t="str">
        <f>IF($C56="","",IFERROR(LOOKUP(2,1/('03_Warehouse_Movements'!$C$2:$C$500=$A56),'03_Warehouse_Movements'!$H$2:$H$500),""))</f>
        <v/>
      </c>
      <c r="O56" s="4" t="str">
        <f t="shared" si="1"/>
        <v>WH-Z1-AisleC-Bay1-Level12</v>
      </c>
      <c r="Q56" s="34"/>
      <c r="R56" s="33"/>
      <c r="W56">
        <f>IF($A2="","",COUNTIF('07_Pallet_Contents'!$A$2:$A$3000,$A2))</f>
        <v>0</v>
      </c>
      <c r="X56">
        <f>IF($A2="","",SUMIF('07_Pallet_Contents'!$A$2:$A$3000,$A2,'07_Pallet_Contents'!$D$2:$D$3000))</f>
        <v>0</v>
      </c>
      <c r="Y56">
        <f>IF($A2="","",SUMIF('07_Pallet_Contents'!$A$2:$A$3000,$A2,'07_Pallet_Contents'!$I$2:$I$3000))</f>
        <v>0</v>
      </c>
      <c r="Z56" t="str">
        <f>IF($A2="","",IF(COUNTIF('07_Pallet_Contents'!$A$2:$A$3000,$A2)&gt;0,"Yes",""))</f>
        <v/>
      </c>
    </row>
    <row r="57" spans="1:26" ht="27.75" customHeight="1">
      <c r="A57" s="4" t="s">
        <v>361</v>
      </c>
      <c r="B57" s="4"/>
      <c r="C57" t="s">
        <v>362</v>
      </c>
      <c r="D57" t="str">
        <f>IF($C57="","",IFERROR(LOOKUP(2,1/('03_Warehouse_Movements'!$C$2:$C$500=$A57),'03_Warehouse_Movements'!$E$2:$E$500),$C57))</f>
        <v>PAL-0000057</v>
      </c>
      <c r="E57" t="s">
        <v>209</v>
      </c>
      <c r="F57" t="s">
        <v>218</v>
      </c>
      <c r="G57" s="32"/>
      <c r="H57" s="3" t="str">
        <f t="shared" si="0"/>
        <v/>
      </c>
      <c r="I57" s="3" t="s">
        <v>275</v>
      </c>
      <c r="J57" s="4" t="s">
        <v>220</v>
      </c>
      <c r="K57" s="3">
        <v>46052</v>
      </c>
      <c r="L57" s="4" t="s">
        <v>221</v>
      </c>
      <c r="M57" s="68" t="str">
        <f>IF($C57="","",IFERROR(LOOKUP(2,1/('03_Warehouse_Movements'!$C$2:$C$500=$A57),'03_Warehouse_Movements'!$A$2:$A$500),""))</f>
        <v/>
      </c>
      <c r="N57" s="4" t="str">
        <f>IF($C57="","",IFERROR(LOOKUP(2,1/('03_Warehouse_Movements'!$C$2:$C$500=$A57),'03_Warehouse_Movements'!$H$2:$H$500),""))</f>
        <v/>
      </c>
      <c r="O57" s="4" t="str">
        <f t="shared" si="1"/>
        <v>WH-Z1-AisleC-Bay1-Level13</v>
      </c>
      <c r="Q57" s="34"/>
      <c r="R57" s="33"/>
      <c r="W57">
        <f>IF($A2="","",COUNTIF('07_Pallet_Contents'!$A$2:$A$3000,$A2))</f>
        <v>0</v>
      </c>
      <c r="X57">
        <f>IF($A2="","",SUMIF('07_Pallet_Contents'!$A$2:$A$3000,$A2,'07_Pallet_Contents'!$D$2:$D$3000))</f>
        <v>0</v>
      </c>
      <c r="Y57">
        <f>IF($A2="","",SUMIF('07_Pallet_Contents'!$A$2:$A$3000,$A2,'07_Pallet_Contents'!$I$2:$I$3000))</f>
        <v>0</v>
      </c>
      <c r="Z57" t="str">
        <f>IF($A2="","",IF(COUNTIF('07_Pallet_Contents'!$A$2:$A$3000,$A2)&gt;0,"Yes",""))</f>
        <v/>
      </c>
    </row>
    <row r="58" spans="1:26" ht="27.75" customHeight="1">
      <c r="A58" s="4" t="s">
        <v>363</v>
      </c>
      <c r="B58" s="4" t="s">
        <v>364</v>
      </c>
      <c r="C58" t="s">
        <v>365</v>
      </c>
      <c r="D58" t="str">
        <f>IF($C58="","",IFERROR(LOOKUP(2,1/('03_Warehouse_Movements'!$C$2:$C$500=$A58),'03_Warehouse_Movements'!$E$2:$E$500),$C58))</f>
        <v>PAL-0000058</v>
      </c>
      <c r="E58" t="s">
        <v>209</v>
      </c>
      <c r="F58" t="s">
        <v>218</v>
      </c>
      <c r="G58" s="32"/>
      <c r="H58" s="3" t="str">
        <f t="shared" si="0"/>
        <v/>
      </c>
      <c r="I58" s="3" t="s">
        <v>278</v>
      </c>
      <c r="J58" s="4" t="s">
        <v>220</v>
      </c>
      <c r="K58" s="3">
        <v>46052</v>
      </c>
      <c r="L58" s="4" t="s">
        <v>221</v>
      </c>
      <c r="M58" s="68" t="str">
        <f>IF($C58="","",IFERROR(LOOKUP(2,1/('03_Warehouse_Movements'!$C$2:$C$500=$A58),'03_Warehouse_Movements'!$A$2:$A$500),""))</f>
        <v/>
      </c>
      <c r="N58" s="4" t="str">
        <f>IF($C58="","",IFERROR(LOOKUP(2,1/('03_Warehouse_Movements'!$C$2:$C$500=$A58),'03_Warehouse_Movements'!$H$2:$H$500),""))</f>
        <v/>
      </c>
      <c r="O58" s="4" t="str">
        <f t="shared" si="1"/>
        <v>OVERFLOW-SAMPLE-PO1056-CAT2-PAL057</v>
      </c>
      <c r="Q58" s="34"/>
      <c r="R58" s="33"/>
      <c r="W58">
        <f>IF($A2="","",COUNTIF('07_Pallet_Contents'!$A$2:$A$3000,$A2))</f>
        <v>0</v>
      </c>
      <c r="X58">
        <f>IF($A2="","",SUMIF('07_Pallet_Contents'!$A$2:$A$3000,$A2,'07_Pallet_Contents'!$D$2:$D$3000))</f>
        <v>0</v>
      </c>
      <c r="Y58">
        <f>IF($A2="","",SUMIF('07_Pallet_Contents'!$A$2:$A$3000,$A2,'07_Pallet_Contents'!$I$2:$I$3000))</f>
        <v>0</v>
      </c>
      <c r="Z58" t="str">
        <f>IF($A2="","",IF(COUNTIF('07_Pallet_Contents'!$A$2:$A$3000,$A2)&gt;0,"Yes",""))</f>
        <v/>
      </c>
    </row>
    <row r="59" spans="1:26" ht="27.75" customHeight="1">
      <c r="A59" s="4" t="s">
        <v>366</v>
      </c>
      <c r="B59" s="4"/>
      <c r="C59" t="s">
        <v>367</v>
      </c>
      <c r="D59" t="str">
        <f>IF($C59="","",IFERROR(LOOKUP(2,1/('03_Warehouse_Movements'!$C$2:$C$500=$A59),'03_Warehouse_Movements'!$E$2:$E$500),$C59))</f>
        <v>PAL-0000059</v>
      </c>
      <c r="E59" t="s">
        <v>209</v>
      </c>
      <c r="F59" t="s">
        <v>218</v>
      </c>
      <c r="G59" s="32"/>
      <c r="H59" s="3" t="str">
        <f t="shared" si="0"/>
        <v/>
      </c>
      <c r="I59" s="3" t="s">
        <v>250</v>
      </c>
      <c r="J59" s="4" t="s">
        <v>220</v>
      </c>
      <c r="K59" s="3">
        <v>46052</v>
      </c>
      <c r="L59" s="4" t="s">
        <v>221</v>
      </c>
      <c r="M59" s="68" t="str">
        <f>IF($C59="","",IFERROR(LOOKUP(2,1/('03_Warehouse_Movements'!$C$2:$C$500=$A59),'03_Warehouse_Movements'!$A$2:$A$500),""))</f>
        <v/>
      </c>
      <c r="N59" s="4" t="str">
        <f>IF($C59="","",IFERROR(LOOKUP(2,1/('03_Warehouse_Movements'!$C$2:$C$500=$A59),'03_Warehouse_Movements'!$H$2:$H$500),""))</f>
        <v/>
      </c>
      <c r="O59" s="4" t="str">
        <f t="shared" si="1"/>
        <v>WH-Z1-AisleC-Bay1-Level15</v>
      </c>
      <c r="Q59" s="34"/>
      <c r="R59" s="33"/>
      <c r="W59">
        <f>IF($A2="","",COUNTIF('07_Pallet_Contents'!$A$2:$A$3000,$A2))</f>
        <v>0</v>
      </c>
      <c r="X59">
        <f>IF($A2="","",SUMIF('07_Pallet_Contents'!$A$2:$A$3000,$A2,'07_Pallet_Contents'!$D$2:$D$3000))</f>
        <v>0</v>
      </c>
      <c r="Y59">
        <f>IF($A2="","",SUMIF('07_Pallet_Contents'!$A$2:$A$3000,$A2,'07_Pallet_Contents'!$I$2:$I$3000))</f>
        <v>0</v>
      </c>
      <c r="Z59" t="str">
        <f>IF($A2="","",IF(COUNTIF('07_Pallet_Contents'!$A$2:$A$3000,$A2)&gt;0,"Yes",""))</f>
        <v/>
      </c>
    </row>
    <row r="60" spans="1:26" ht="27.75" customHeight="1">
      <c r="A60" s="4" t="s">
        <v>368</v>
      </c>
      <c r="B60" s="4"/>
      <c r="C60" t="s">
        <v>369</v>
      </c>
      <c r="D60" t="str">
        <f>IF($C60="","",IFERROR(LOOKUP(2,1/('03_Warehouse_Movements'!$C$2:$C$500=$A60),'03_Warehouse_Movements'!$E$2:$E$500),$C60))</f>
        <v>PAL-0000060</v>
      </c>
      <c r="E60" t="s">
        <v>209</v>
      </c>
      <c r="F60" t="s">
        <v>218</v>
      </c>
      <c r="G60" s="32"/>
      <c r="H60" s="3" t="str">
        <f t="shared" si="0"/>
        <v/>
      </c>
      <c r="I60" s="3" t="s">
        <v>253</v>
      </c>
      <c r="J60" s="4" t="s">
        <v>220</v>
      </c>
      <c r="K60" s="3">
        <v>46052</v>
      </c>
      <c r="L60" s="4" t="s">
        <v>221</v>
      </c>
      <c r="M60" s="68" t="str">
        <f>IF($C60="","",IFERROR(LOOKUP(2,1/('03_Warehouse_Movements'!$C$2:$C$500=$A60),'03_Warehouse_Movements'!$A$2:$A$500),""))</f>
        <v/>
      </c>
      <c r="N60" s="4" t="str">
        <f>IF($C60="","",IFERROR(LOOKUP(2,1/('03_Warehouse_Movements'!$C$2:$C$500=$A60),'03_Warehouse_Movements'!$H$2:$H$500),""))</f>
        <v/>
      </c>
      <c r="O60" s="4" t="str">
        <f t="shared" si="1"/>
        <v>WH-Z1-AisleC-Bay1-Level16</v>
      </c>
      <c r="Q60" s="34"/>
      <c r="R60" s="33"/>
      <c r="W60">
        <f>IF($A2="","",COUNTIF('07_Pallet_Contents'!$A$2:$A$3000,$A2))</f>
        <v>0</v>
      </c>
      <c r="X60">
        <f>IF($A2="","",SUMIF('07_Pallet_Contents'!$A$2:$A$3000,$A2,'07_Pallet_Contents'!$D$2:$D$3000))</f>
        <v>0</v>
      </c>
      <c r="Y60">
        <f>IF($A2="","",SUMIF('07_Pallet_Contents'!$A$2:$A$3000,$A2,'07_Pallet_Contents'!$I$2:$I$3000))</f>
        <v>0</v>
      </c>
      <c r="Z60" t="str">
        <f>IF($A2="","",IF(COUNTIF('07_Pallet_Contents'!$A$2:$A$3000,$A2)&gt;0,"Yes",""))</f>
        <v/>
      </c>
    </row>
    <row r="61" spans="1:26" ht="27.75" customHeight="1">
      <c r="A61" s="4" t="s">
        <v>370</v>
      </c>
      <c r="B61" s="4"/>
      <c r="C61" t="s">
        <v>371</v>
      </c>
      <c r="D61" t="str">
        <f>IF($C61="","",IFERROR(LOOKUP(2,1/('03_Warehouse_Movements'!$C$2:$C$500=$A61),'03_Warehouse_Movements'!$E$2:$E$500),$C61))</f>
        <v>PAL-0000061</v>
      </c>
      <c r="E61" t="s">
        <v>209</v>
      </c>
      <c r="F61" t="s">
        <v>218</v>
      </c>
      <c r="G61" s="32"/>
      <c r="H61" s="3" t="str">
        <f t="shared" si="0"/>
        <v/>
      </c>
      <c r="I61" s="3" t="s">
        <v>256</v>
      </c>
      <c r="J61" s="4" t="s">
        <v>220</v>
      </c>
      <c r="K61" s="3">
        <v>46052</v>
      </c>
      <c r="L61" s="4" t="s">
        <v>221</v>
      </c>
      <c r="M61" s="68" t="str">
        <f>IF($C61="","",IFERROR(LOOKUP(2,1/('03_Warehouse_Movements'!$C$2:$C$500=$A61),'03_Warehouse_Movements'!$A$2:$A$500),""))</f>
        <v/>
      </c>
      <c r="N61" s="4" t="str">
        <f>IF($C61="","",IFERROR(LOOKUP(2,1/('03_Warehouse_Movements'!$C$2:$C$500=$A61),'03_Warehouse_Movements'!$H$2:$H$500),""))</f>
        <v/>
      </c>
      <c r="O61" s="4" t="str">
        <f t="shared" si="1"/>
        <v>WH-Z1-AisleC-Bay1-Level17</v>
      </c>
      <c r="Q61" s="34"/>
      <c r="R61" s="33"/>
      <c r="W61">
        <f>IF($A2="","",COUNTIF('07_Pallet_Contents'!$A$2:$A$3000,$A2))</f>
        <v>0</v>
      </c>
      <c r="X61">
        <f>IF($A2="","",SUMIF('07_Pallet_Contents'!$A$2:$A$3000,$A2,'07_Pallet_Contents'!$D$2:$D$3000))</f>
        <v>0</v>
      </c>
      <c r="Y61">
        <f>IF($A2="","",SUMIF('07_Pallet_Contents'!$A$2:$A$3000,$A2,'07_Pallet_Contents'!$I$2:$I$3000))</f>
        <v>0</v>
      </c>
      <c r="Z61" t="str">
        <f>IF($A2="","",IF(COUNTIF('07_Pallet_Contents'!$A$2:$A$3000,$A2)&gt;0,"Yes",""))</f>
        <v/>
      </c>
    </row>
    <row r="62" spans="1:26" ht="27.75" customHeight="1">
      <c r="A62" s="4" t="s">
        <v>372</v>
      </c>
      <c r="B62" s="4"/>
      <c r="D62" t="str">
        <f>IF($C62="","",IFERROR(LOOKUP(2,1/('03_Warehouse_Movements'!$C$2:$C$500=$A62),'03_Warehouse_Movements'!$E$2:$E$500),$C62))</f>
        <v/>
      </c>
      <c r="E62" t="s">
        <v>209</v>
      </c>
      <c r="G62" s="32"/>
      <c r="H62" s="3" t="str">
        <f t="shared" si="0"/>
        <v/>
      </c>
      <c r="I62" s="3"/>
      <c r="J62" s="4"/>
      <c r="K62" s="3"/>
      <c r="L62" s="4"/>
      <c r="M62" s="68" t="str">
        <f>IF($C62="","",IFERROR(LOOKUP(2,1/('03_Warehouse_Movements'!$C$2:$C$500=$A62),'03_Warehouse_Movements'!$A$2:$A$500),""))</f>
        <v/>
      </c>
      <c r="N62" s="4" t="str">
        <f>IF($C62="","",IFERROR(LOOKUP(2,1/('03_Warehouse_Movements'!$C$2:$C$500=$A62),'03_Warehouse_Movements'!$H$2:$H$500),""))</f>
        <v/>
      </c>
      <c r="O62" s="4" t="str">
        <f t="shared" si="1"/>
        <v>PAL-0000062</v>
      </c>
      <c r="Q62" s="34"/>
      <c r="R62" s="33"/>
      <c r="W62">
        <f>IF($A2="","",COUNTIF('07_Pallet_Contents'!$A$2:$A$3000,$A2))</f>
        <v>0</v>
      </c>
      <c r="X62">
        <f>IF($A2="","",SUMIF('07_Pallet_Contents'!$A$2:$A$3000,$A2,'07_Pallet_Contents'!$D$2:$D$3000))</f>
        <v>0</v>
      </c>
      <c r="Y62">
        <f>IF($A2="","",SUMIF('07_Pallet_Contents'!$A$2:$A$3000,$A2,'07_Pallet_Contents'!$I$2:$I$3000))</f>
        <v>0</v>
      </c>
      <c r="Z62" t="str">
        <f>IF($A2="","",IF(COUNTIF('07_Pallet_Contents'!$A$2:$A$3000,$A2)&gt;0,"Yes",""))</f>
        <v/>
      </c>
    </row>
    <row r="63" spans="1:26" ht="27.75" customHeight="1">
      <c r="A63" s="4" t="s">
        <v>373</v>
      </c>
      <c r="B63" s="4"/>
      <c r="D63" t="str">
        <f>IF($C63="","",IFERROR(LOOKUP(2,1/('03_Warehouse_Movements'!$C$2:$C$500=$A63),'03_Warehouse_Movements'!$E$2:$E$500),$C63))</f>
        <v/>
      </c>
      <c r="E63" t="s">
        <v>209</v>
      </c>
      <c r="G63" s="32"/>
      <c r="H63" s="3" t="str">
        <f t="shared" si="0"/>
        <v/>
      </c>
      <c r="I63" s="3"/>
      <c r="J63" s="4"/>
      <c r="K63" s="3"/>
      <c r="L63" s="4"/>
      <c r="M63" s="68" t="str">
        <f>IF($C63="","",IFERROR(LOOKUP(2,1/('03_Warehouse_Movements'!$C$2:$C$500=$A63),'03_Warehouse_Movements'!$A$2:$A$500),""))</f>
        <v/>
      </c>
      <c r="N63" s="4" t="str">
        <f>IF($C63="","",IFERROR(LOOKUP(2,1/('03_Warehouse_Movements'!$C$2:$C$500=$A63),'03_Warehouse_Movements'!$H$2:$H$500),""))</f>
        <v/>
      </c>
      <c r="O63" s="4" t="str">
        <f t="shared" si="1"/>
        <v>PAL-0000063</v>
      </c>
      <c r="Q63" s="34"/>
      <c r="R63" s="33"/>
      <c r="W63">
        <f>IF($A2="","",COUNTIF('07_Pallet_Contents'!$A$2:$A$3000,$A2))</f>
        <v>0</v>
      </c>
      <c r="X63">
        <f>IF($A2="","",SUMIF('07_Pallet_Contents'!$A$2:$A$3000,$A2,'07_Pallet_Contents'!$D$2:$D$3000))</f>
        <v>0</v>
      </c>
      <c r="Y63">
        <f>IF($A2="","",SUMIF('07_Pallet_Contents'!$A$2:$A$3000,$A2,'07_Pallet_Contents'!$I$2:$I$3000))</f>
        <v>0</v>
      </c>
      <c r="Z63" t="str">
        <f>IF($A2="","",IF(COUNTIF('07_Pallet_Contents'!$A$2:$A$3000,$A2)&gt;0,"Yes",""))</f>
        <v/>
      </c>
    </row>
    <row r="64" spans="1:26" ht="27.75" customHeight="1">
      <c r="A64" s="4" t="s">
        <v>374</v>
      </c>
      <c r="B64" s="4"/>
      <c r="D64" t="str">
        <f>IF($C64="","",IFERROR(LOOKUP(2,1/('03_Warehouse_Movements'!$C$2:$C$500=$A64),'03_Warehouse_Movements'!$E$2:$E$500),$C64))</f>
        <v/>
      </c>
      <c r="E64" t="s">
        <v>209</v>
      </c>
      <c r="G64" s="32"/>
      <c r="H64" s="3" t="str">
        <f t="shared" si="0"/>
        <v/>
      </c>
      <c r="I64" s="3"/>
      <c r="J64" s="4"/>
      <c r="K64" s="3"/>
      <c r="L64" s="4"/>
      <c r="M64" s="68" t="str">
        <f>IF($C64="","",IFERROR(LOOKUP(2,1/('03_Warehouse_Movements'!$C$2:$C$500=$A64),'03_Warehouse_Movements'!$A$2:$A$500),""))</f>
        <v/>
      </c>
      <c r="N64" s="4" t="str">
        <f>IF($C64="","",IFERROR(LOOKUP(2,1/('03_Warehouse_Movements'!$C$2:$C$500=$A64),'03_Warehouse_Movements'!$H$2:$H$500),""))</f>
        <v/>
      </c>
      <c r="O64" s="4" t="str">
        <f t="shared" si="1"/>
        <v>PAL-0000064</v>
      </c>
      <c r="Q64" s="34"/>
      <c r="R64" s="33"/>
      <c r="W64">
        <f>IF($A2="","",COUNTIF('07_Pallet_Contents'!$A$2:$A$3000,$A2))</f>
        <v>0</v>
      </c>
      <c r="X64">
        <f>IF($A2="","",SUMIF('07_Pallet_Contents'!$A$2:$A$3000,$A2,'07_Pallet_Contents'!$D$2:$D$3000))</f>
        <v>0</v>
      </c>
      <c r="Y64">
        <f>IF($A2="","",SUMIF('07_Pallet_Contents'!$A$2:$A$3000,$A2,'07_Pallet_Contents'!$I$2:$I$3000))</f>
        <v>0</v>
      </c>
      <c r="Z64" t="str">
        <f>IF($A2="","",IF(COUNTIF('07_Pallet_Contents'!$A$2:$A$3000,$A2)&gt;0,"Yes",""))</f>
        <v/>
      </c>
    </row>
    <row r="65" spans="1:26" ht="27.75" customHeight="1">
      <c r="A65" s="4" t="s">
        <v>375</v>
      </c>
      <c r="B65" s="4"/>
      <c r="D65" t="str">
        <f>IF($C65="","",IFERROR(LOOKUP(2,1/('03_Warehouse_Movements'!$C$2:$C$500=$A65),'03_Warehouse_Movements'!$E$2:$E$500),$C65))</f>
        <v/>
      </c>
      <c r="E65" t="s">
        <v>209</v>
      </c>
      <c r="G65" s="32"/>
      <c r="H65" s="3" t="str">
        <f t="shared" si="0"/>
        <v/>
      </c>
      <c r="I65" s="3"/>
      <c r="J65" s="4"/>
      <c r="K65" s="3"/>
      <c r="L65" s="4"/>
      <c r="M65" s="68" t="str">
        <f>IF($C65="","",IFERROR(LOOKUP(2,1/('03_Warehouse_Movements'!$C$2:$C$500=$A65),'03_Warehouse_Movements'!$A$2:$A$500),""))</f>
        <v/>
      </c>
      <c r="N65" s="4" t="str">
        <f>IF($C65="","",IFERROR(LOOKUP(2,1/('03_Warehouse_Movements'!$C$2:$C$500=$A65),'03_Warehouse_Movements'!$H$2:$H$500),""))</f>
        <v/>
      </c>
      <c r="O65" s="4" t="str">
        <f t="shared" si="1"/>
        <v>PAL-0000065</v>
      </c>
      <c r="Q65" s="34"/>
      <c r="R65" s="33"/>
      <c r="W65">
        <f>IF($A2="","",COUNTIF('07_Pallet_Contents'!$A$2:$A$3000,$A2))</f>
        <v>0</v>
      </c>
      <c r="X65">
        <f>IF($A2="","",SUMIF('07_Pallet_Contents'!$A$2:$A$3000,$A2,'07_Pallet_Contents'!$D$2:$D$3000))</f>
        <v>0</v>
      </c>
      <c r="Y65">
        <f>IF($A2="","",SUMIF('07_Pallet_Contents'!$A$2:$A$3000,$A2,'07_Pallet_Contents'!$I$2:$I$3000))</f>
        <v>0</v>
      </c>
      <c r="Z65" t="str">
        <f>IF($A2="","",IF(COUNTIF('07_Pallet_Contents'!$A$2:$A$3000,$A2)&gt;0,"Yes",""))</f>
        <v/>
      </c>
    </row>
    <row r="66" spans="1:26" ht="27.75" customHeight="1">
      <c r="A66" s="4" t="s">
        <v>376</v>
      </c>
      <c r="B66" s="4"/>
      <c r="D66" t="str">
        <f>IF($C66="","",IFERROR(LOOKUP(2,1/('03_Warehouse_Movements'!$C$2:$C$500=$A66),'03_Warehouse_Movements'!$E$2:$E$500),$C66))</f>
        <v/>
      </c>
      <c r="E66" t="s">
        <v>209</v>
      </c>
      <c r="G66" s="32"/>
      <c r="H66" s="3" t="str">
        <f t="shared" ref="H66:H129" si="2">IF(AND($F66="TEMP",$G66&gt;0,$M66&lt;&gt;""),$M66+$G66,"")</f>
        <v/>
      </c>
      <c r="I66" s="3"/>
      <c r="J66" s="4"/>
      <c r="K66" s="3"/>
      <c r="L66" s="4"/>
      <c r="M66" s="68" t="str">
        <f>IF($C66="","",IFERROR(LOOKUP(2,1/('03_Warehouse_Movements'!$C$2:$C$500=$A66),'03_Warehouse_Movements'!$A$2:$A$500),""))</f>
        <v/>
      </c>
      <c r="N66" s="4" t="str">
        <f>IF($C66="","",IFERROR(LOOKUP(2,1/('03_Warehouse_Movements'!$C$2:$C$500=$A66),'03_Warehouse_Movements'!$H$2:$H$500),""))</f>
        <v/>
      </c>
      <c r="O66" s="4" t="str">
        <f t="shared" ref="O66:O129" si="3">A66</f>
        <v>PAL-0000066</v>
      </c>
      <c r="Q66" s="34"/>
      <c r="R66" s="33"/>
      <c r="W66">
        <f>IF($A2="","",COUNTIF('07_Pallet_Contents'!$A$2:$A$3000,$A2))</f>
        <v>0</v>
      </c>
      <c r="X66">
        <f>IF($A2="","",SUMIF('07_Pallet_Contents'!$A$2:$A$3000,$A2,'07_Pallet_Contents'!$D$2:$D$3000))</f>
        <v>0</v>
      </c>
      <c r="Y66">
        <f>IF($A2="","",SUMIF('07_Pallet_Contents'!$A$2:$A$3000,$A2,'07_Pallet_Contents'!$I$2:$I$3000))</f>
        <v>0</v>
      </c>
      <c r="Z66" t="str">
        <f>IF($A2="","",IF(COUNTIF('07_Pallet_Contents'!$A$2:$A$3000,$A2)&gt;0,"Yes",""))</f>
        <v/>
      </c>
    </row>
    <row r="67" spans="1:26" ht="27.75" customHeight="1">
      <c r="A67" s="4" t="s">
        <v>377</v>
      </c>
      <c r="B67" s="4"/>
      <c r="D67" t="str">
        <f>IF($C67="","",IFERROR(LOOKUP(2,1/('03_Warehouse_Movements'!$C$2:$C$500=$A67),'03_Warehouse_Movements'!$E$2:$E$500),$C67))</f>
        <v/>
      </c>
      <c r="E67" t="s">
        <v>209</v>
      </c>
      <c r="G67" s="32"/>
      <c r="H67" s="3" t="str">
        <f t="shared" si="2"/>
        <v/>
      </c>
      <c r="I67" s="3"/>
      <c r="J67" s="4"/>
      <c r="K67" s="3"/>
      <c r="L67" s="4"/>
      <c r="M67" s="68" t="str">
        <f>IF($C67="","",IFERROR(LOOKUP(2,1/('03_Warehouse_Movements'!$C$2:$C$500=$A67),'03_Warehouse_Movements'!$A$2:$A$500),""))</f>
        <v/>
      </c>
      <c r="N67" s="4" t="str">
        <f>IF($C67="","",IFERROR(LOOKUP(2,1/('03_Warehouse_Movements'!$C$2:$C$500=$A67),'03_Warehouse_Movements'!$H$2:$H$500),""))</f>
        <v/>
      </c>
      <c r="O67" s="4" t="str">
        <f t="shared" si="3"/>
        <v>PAL-0000067</v>
      </c>
      <c r="Q67" s="34"/>
      <c r="R67" s="33"/>
      <c r="W67">
        <f>IF($A2="","",COUNTIF('07_Pallet_Contents'!$A$2:$A$3000,$A2))</f>
        <v>0</v>
      </c>
      <c r="X67">
        <f>IF($A2="","",SUMIF('07_Pallet_Contents'!$A$2:$A$3000,$A2,'07_Pallet_Contents'!$D$2:$D$3000))</f>
        <v>0</v>
      </c>
      <c r="Y67">
        <f>IF($A2="","",SUMIF('07_Pallet_Contents'!$A$2:$A$3000,$A2,'07_Pallet_Contents'!$I$2:$I$3000))</f>
        <v>0</v>
      </c>
      <c r="Z67" t="str">
        <f>IF($A2="","",IF(COUNTIF('07_Pallet_Contents'!$A$2:$A$3000,$A2)&gt;0,"Yes",""))</f>
        <v/>
      </c>
    </row>
    <row r="68" spans="1:26" ht="27.75" customHeight="1">
      <c r="A68" s="4" t="s">
        <v>378</v>
      </c>
      <c r="B68" s="4"/>
      <c r="D68" t="str">
        <f>IF($C68="","",IFERROR(LOOKUP(2,1/('03_Warehouse_Movements'!$C$2:$C$500=$A68),'03_Warehouse_Movements'!$E$2:$E$500),$C68))</f>
        <v/>
      </c>
      <c r="E68" t="s">
        <v>209</v>
      </c>
      <c r="G68" s="32"/>
      <c r="H68" s="3" t="str">
        <f t="shared" si="2"/>
        <v/>
      </c>
      <c r="I68" s="3"/>
      <c r="J68" s="4"/>
      <c r="K68" s="3"/>
      <c r="L68" s="4"/>
      <c r="M68" s="68" t="str">
        <f>IF($C68="","",IFERROR(LOOKUP(2,1/('03_Warehouse_Movements'!$C$2:$C$500=$A68),'03_Warehouse_Movements'!$A$2:$A$500),""))</f>
        <v/>
      </c>
      <c r="N68" s="4" t="str">
        <f>IF($C68="","",IFERROR(LOOKUP(2,1/('03_Warehouse_Movements'!$C$2:$C$500=$A68),'03_Warehouse_Movements'!$H$2:$H$500),""))</f>
        <v/>
      </c>
      <c r="O68" s="4" t="str">
        <f t="shared" si="3"/>
        <v>PAL-0000068</v>
      </c>
      <c r="Q68" s="34"/>
      <c r="R68" s="33"/>
      <c r="W68">
        <f>IF($A2="","",COUNTIF('07_Pallet_Contents'!$A$2:$A$3000,$A2))</f>
        <v>0</v>
      </c>
      <c r="X68">
        <f>IF($A2="","",SUMIF('07_Pallet_Contents'!$A$2:$A$3000,$A2,'07_Pallet_Contents'!$D$2:$D$3000))</f>
        <v>0</v>
      </c>
      <c r="Y68">
        <f>IF($A2="","",SUMIF('07_Pallet_Contents'!$A$2:$A$3000,$A2,'07_Pallet_Contents'!$I$2:$I$3000))</f>
        <v>0</v>
      </c>
      <c r="Z68" t="str">
        <f>IF($A2="","",IF(COUNTIF('07_Pallet_Contents'!$A$2:$A$3000,$A2)&gt;0,"Yes",""))</f>
        <v/>
      </c>
    </row>
    <row r="69" spans="1:26" ht="27.75" customHeight="1">
      <c r="A69" s="4" t="s">
        <v>379</v>
      </c>
      <c r="B69" s="4"/>
      <c r="D69" t="str">
        <f>IF($C69="","",IFERROR(LOOKUP(2,1/('03_Warehouse_Movements'!$C$2:$C$500=$A69),'03_Warehouse_Movements'!$E$2:$E$500),$C69))</f>
        <v/>
      </c>
      <c r="E69" t="s">
        <v>209</v>
      </c>
      <c r="G69" s="32"/>
      <c r="H69" s="3" t="str">
        <f t="shared" si="2"/>
        <v/>
      </c>
      <c r="I69" s="3"/>
      <c r="J69" s="4"/>
      <c r="K69" s="3"/>
      <c r="L69" s="4"/>
      <c r="M69" s="68" t="str">
        <f>IF($C69="","",IFERROR(LOOKUP(2,1/('03_Warehouse_Movements'!$C$2:$C$500=$A69),'03_Warehouse_Movements'!$A$2:$A$500),""))</f>
        <v/>
      </c>
      <c r="N69" s="4" t="str">
        <f>IF($C69="","",IFERROR(LOOKUP(2,1/('03_Warehouse_Movements'!$C$2:$C$500=$A69),'03_Warehouse_Movements'!$H$2:$H$500),""))</f>
        <v/>
      </c>
      <c r="O69" s="4" t="str">
        <f t="shared" si="3"/>
        <v>PAL-0000069</v>
      </c>
      <c r="Q69" s="34"/>
      <c r="R69" s="33"/>
      <c r="W69">
        <f>IF($A2="","",COUNTIF('07_Pallet_Contents'!$A$2:$A$3000,$A2))</f>
        <v>0</v>
      </c>
      <c r="X69">
        <f>IF($A2="","",SUMIF('07_Pallet_Contents'!$A$2:$A$3000,$A2,'07_Pallet_Contents'!$D$2:$D$3000))</f>
        <v>0</v>
      </c>
      <c r="Y69">
        <f>IF($A2="","",SUMIF('07_Pallet_Contents'!$A$2:$A$3000,$A2,'07_Pallet_Contents'!$I$2:$I$3000))</f>
        <v>0</v>
      </c>
      <c r="Z69" t="str">
        <f>IF($A2="","",IF(COUNTIF('07_Pallet_Contents'!$A$2:$A$3000,$A2)&gt;0,"Yes",""))</f>
        <v/>
      </c>
    </row>
    <row r="70" spans="1:26" ht="27.75" customHeight="1">
      <c r="A70" s="4" t="s">
        <v>380</v>
      </c>
      <c r="B70" s="4"/>
      <c r="D70" t="str">
        <f>IF($C70="","",IFERROR(LOOKUP(2,1/('03_Warehouse_Movements'!$C$2:$C$500=$A70),'03_Warehouse_Movements'!$E$2:$E$500),$C70))</f>
        <v/>
      </c>
      <c r="E70" t="s">
        <v>209</v>
      </c>
      <c r="G70" s="32"/>
      <c r="H70" s="3" t="str">
        <f t="shared" si="2"/>
        <v/>
      </c>
      <c r="I70" s="3"/>
      <c r="J70" s="4"/>
      <c r="K70" s="3"/>
      <c r="L70" s="4"/>
      <c r="M70" s="68" t="str">
        <f>IF($C70="","",IFERROR(LOOKUP(2,1/('03_Warehouse_Movements'!$C$2:$C$500=$A70),'03_Warehouse_Movements'!$A$2:$A$500),""))</f>
        <v/>
      </c>
      <c r="N70" s="4" t="str">
        <f>IF($C70="","",IFERROR(LOOKUP(2,1/('03_Warehouse_Movements'!$C$2:$C$500=$A70),'03_Warehouse_Movements'!$H$2:$H$500),""))</f>
        <v/>
      </c>
      <c r="O70" s="4" t="str">
        <f t="shared" si="3"/>
        <v>PAL-0000070</v>
      </c>
      <c r="Q70" s="34"/>
      <c r="R70" s="33"/>
      <c r="W70">
        <f>IF($A2="","",COUNTIF('07_Pallet_Contents'!$A$2:$A$3000,$A2))</f>
        <v>0</v>
      </c>
      <c r="X70">
        <f>IF($A2="","",SUMIF('07_Pallet_Contents'!$A$2:$A$3000,$A2,'07_Pallet_Contents'!$D$2:$D$3000))</f>
        <v>0</v>
      </c>
      <c r="Y70">
        <f>IF($A2="","",SUMIF('07_Pallet_Contents'!$A$2:$A$3000,$A2,'07_Pallet_Contents'!$I$2:$I$3000))</f>
        <v>0</v>
      </c>
      <c r="Z70" t="str">
        <f>IF($A2="","",IF(COUNTIF('07_Pallet_Contents'!$A$2:$A$3000,$A2)&gt;0,"Yes",""))</f>
        <v/>
      </c>
    </row>
    <row r="71" spans="1:26" ht="27.75" customHeight="1">
      <c r="A71" s="4" t="s">
        <v>381</v>
      </c>
      <c r="B71" s="4"/>
      <c r="D71" t="str">
        <f>IF($C71="","",IFERROR(LOOKUP(2,1/('03_Warehouse_Movements'!$C$2:$C$500=$A71),'03_Warehouse_Movements'!$E$2:$E$500),$C71))</f>
        <v/>
      </c>
      <c r="E71" t="s">
        <v>209</v>
      </c>
      <c r="G71" s="32"/>
      <c r="H71" s="3" t="str">
        <f t="shared" si="2"/>
        <v/>
      </c>
      <c r="I71" s="3"/>
      <c r="J71" s="4"/>
      <c r="K71" s="3"/>
      <c r="L71" s="4"/>
      <c r="M71" s="68" t="str">
        <f>IF($C71="","",IFERROR(LOOKUP(2,1/('03_Warehouse_Movements'!$C$2:$C$500=$A71),'03_Warehouse_Movements'!$A$2:$A$500),""))</f>
        <v/>
      </c>
      <c r="N71" s="4" t="str">
        <f>IF($C71="","",IFERROR(LOOKUP(2,1/('03_Warehouse_Movements'!$C$2:$C$500=$A71),'03_Warehouse_Movements'!$H$2:$H$500),""))</f>
        <v/>
      </c>
      <c r="O71" s="4" t="str">
        <f t="shared" si="3"/>
        <v>PAL-0000071</v>
      </c>
      <c r="Q71" s="34"/>
      <c r="R71" s="33"/>
      <c r="W71">
        <f>IF($A2="","",COUNTIF('07_Pallet_Contents'!$A$2:$A$3000,$A2))</f>
        <v>0</v>
      </c>
      <c r="X71">
        <f>IF($A2="","",SUMIF('07_Pallet_Contents'!$A$2:$A$3000,$A2,'07_Pallet_Contents'!$D$2:$D$3000))</f>
        <v>0</v>
      </c>
      <c r="Y71">
        <f>IF($A2="","",SUMIF('07_Pallet_Contents'!$A$2:$A$3000,$A2,'07_Pallet_Contents'!$I$2:$I$3000))</f>
        <v>0</v>
      </c>
      <c r="Z71" t="str">
        <f>IF($A2="","",IF(COUNTIF('07_Pallet_Contents'!$A$2:$A$3000,$A2)&gt;0,"Yes",""))</f>
        <v/>
      </c>
    </row>
    <row r="72" spans="1:26" ht="27.75" customHeight="1">
      <c r="A72" s="4" t="s">
        <v>382</v>
      </c>
      <c r="B72" s="4"/>
      <c r="D72" t="str">
        <f>IF($C72="","",IFERROR(LOOKUP(2,1/('03_Warehouse_Movements'!$C$2:$C$500=$A72),'03_Warehouse_Movements'!$E$2:$E$500),$C72))</f>
        <v/>
      </c>
      <c r="E72" t="s">
        <v>209</v>
      </c>
      <c r="G72" s="32"/>
      <c r="H72" s="3" t="str">
        <f t="shared" si="2"/>
        <v/>
      </c>
      <c r="I72" s="3"/>
      <c r="J72" s="4"/>
      <c r="K72" s="3"/>
      <c r="L72" s="4"/>
      <c r="M72" s="68" t="str">
        <f>IF($C72="","",IFERROR(LOOKUP(2,1/('03_Warehouse_Movements'!$C$2:$C$500=$A72),'03_Warehouse_Movements'!$A$2:$A$500),""))</f>
        <v/>
      </c>
      <c r="N72" s="4" t="str">
        <f>IF($C72="","",IFERROR(LOOKUP(2,1/('03_Warehouse_Movements'!$C$2:$C$500=$A72),'03_Warehouse_Movements'!$H$2:$H$500),""))</f>
        <v/>
      </c>
      <c r="O72" s="4" t="str">
        <f t="shared" si="3"/>
        <v>PAL-0000072</v>
      </c>
      <c r="Q72" s="34"/>
      <c r="R72" s="33"/>
      <c r="W72">
        <f>IF($A2="","",COUNTIF('07_Pallet_Contents'!$A$2:$A$3000,$A2))</f>
        <v>0</v>
      </c>
      <c r="X72">
        <f>IF($A2="","",SUMIF('07_Pallet_Contents'!$A$2:$A$3000,$A2,'07_Pallet_Contents'!$D$2:$D$3000))</f>
        <v>0</v>
      </c>
      <c r="Y72">
        <f>IF($A2="","",SUMIF('07_Pallet_Contents'!$A$2:$A$3000,$A2,'07_Pallet_Contents'!$I$2:$I$3000))</f>
        <v>0</v>
      </c>
      <c r="Z72" t="str">
        <f>IF($A2="","",IF(COUNTIF('07_Pallet_Contents'!$A$2:$A$3000,$A2)&gt;0,"Yes",""))</f>
        <v/>
      </c>
    </row>
    <row r="73" spans="1:26" ht="27.75" customHeight="1">
      <c r="A73" s="4" t="s">
        <v>383</v>
      </c>
      <c r="B73" s="4"/>
      <c r="D73" t="str">
        <f>IF($C73="","",IFERROR(LOOKUP(2,1/('03_Warehouse_Movements'!$C$2:$C$500=$A73),'03_Warehouse_Movements'!$E$2:$E$500),$C73))</f>
        <v/>
      </c>
      <c r="E73" t="s">
        <v>209</v>
      </c>
      <c r="G73" s="32"/>
      <c r="H73" s="3" t="str">
        <f t="shared" si="2"/>
        <v/>
      </c>
      <c r="I73" s="3"/>
      <c r="J73" s="4"/>
      <c r="K73" s="3"/>
      <c r="L73" s="4"/>
      <c r="M73" s="68" t="str">
        <f>IF($C73="","",IFERROR(LOOKUP(2,1/('03_Warehouse_Movements'!$C$2:$C$500=$A73),'03_Warehouse_Movements'!$A$2:$A$500),""))</f>
        <v/>
      </c>
      <c r="N73" s="4" t="str">
        <f>IF($C73="","",IFERROR(LOOKUP(2,1/('03_Warehouse_Movements'!$C$2:$C$500=$A73),'03_Warehouse_Movements'!$H$2:$H$500),""))</f>
        <v/>
      </c>
      <c r="O73" s="4" t="str">
        <f t="shared" si="3"/>
        <v>PAL-0000073</v>
      </c>
      <c r="Q73" s="34"/>
      <c r="R73" s="33"/>
      <c r="W73">
        <f>IF($A2="","",COUNTIF('07_Pallet_Contents'!$A$2:$A$3000,$A2))</f>
        <v>0</v>
      </c>
      <c r="X73">
        <f>IF($A2="","",SUMIF('07_Pallet_Contents'!$A$2:$A$3000,$A2,'07_Pallet_Contents'!$D$2:$D$3000))</f>
        <v>0</v>
      </c>
      <c r="Y73">
        <f>IF($A2="","",SUMIF('07_Pallet_Contents'!$A$2:$A$3000,$A2,'07_Pallet_Contents'!$I$2:$I$3000))</f>
        <v>0</v>
      </c>
      <c r="Z73" t="str">
        <f>IF($A2="","",IF(COUNTIF('07_Pallet_Contents'!$A$2:$A$3000,$A2)&gt;0,"Yes",""))</f>
        <v/>
      </c>
    </row>
    <row r="74" spans="1:26" ht="27.75" customHeight="1">
      <c r="A74" s="4" t="s">
        <v>384</v>
      </c>
      <c r="B74" s="4"/>
      <c r="D74" t="str">
        <f>IF($C74="","",IFERROR(LOOKUP(2,1/('03_Warehouse_Movements'!$C$2:$C$500=$A74),'03_Warehouse_Movements'!$E$2:$E$500),$C74))</f>
        <v/>
      </c>
      <c r="E74" t="s">
        <v>209</v>
      </c>
      <c r="G74" s="32"/>
      <c r="H74" s="3" t="str">
        <f t="shared" si="2"/>
        <v/>
      </c>
      <c r="I74" s="3"/>
      <c r="J74" s="4"/>
      <c r="K74" s="3"/>
      <c r="L74" s="4"/>
      <c r="M74" s="68" t="str">
        <f>IF($C74="","",IFERROR(LOOKUP(2,1/('03_Warehouse_Movements'!$C$2:$C$500=$A74),'03_Warehouse_Movements'!$A$2:$A$500),""))</f>
        <v/>
      </c>
      <c r="N74" s="4" t="str">
        <f>IF($C74="","",IFERROR(LOOKUP(2,1/('03_Warehouse_Movements'!$C$2:$C$500=$A74),'03_Warehouse_Movements'!$H$2:$H$500),""))</f>
        <v/>
      </c>
      <c r="O74" s="4" t="str">
        <f t="shared" si="3"/>
        <v>PAL-0000074</v>
      </c>
      <c r="Q74" s="34"/>
      <c r="R74" s="33"/>
      <c r="W74">
        <f>IF($A2="","",COUNTIF('07_Pallet_Contents'!$A$2:$A$3000,$A2))</f>
        <v>0</v>
      </c>
      <c r="X74">
        <f>IF($A2="","",SUMIF('07_Pallet_Contents'!$A$2:$A$3000,$A2,'07_Pallet_Contents'!$D$2:$D$3000))</f>
        <v>0</v>
      </c>
      <c r="Y74">
        <f>IF($A2="","",SUMIF('07_Pallet_Contents'!$A$2:$A$3000,$A2,'07_Pallet_Contents'!$I$2:$I$3000))</f>
        <v>0</v>
      </c>
      <c r="Z74" t="str">
        <f>IF($A2="","",IF(COUNTIF('07_Pallet_Contents'!$A$2:$A$3000,$A2)&gt;0,"Yes",""))</f>
        <v/>
      </c>
    </row>
    <row r="75" spans="1:26" ht="27.75" customHeight="1">
      <c r="A75" s="4" t="s">
        <v>385</v>
      </c>
      <c r="B75" s="4"/>
      <c r="D75" t="str">
        <f>IF($C75="","",IFERROR(LOOKUP(2,1/('03_Warehouse_Movements'!$C$2:$C$500=$A75),'03_Warehouse_Movements'!$E$2:$E$500),$C75))</f>
        <v/>
      </c>
      <c r="E75" t="s">
        <v>209</v>
      </c>
      <c r="G75" s="32"/>
      <c r="H75" s="3" t="str">
        <f t="shared" si="2"/>
        <v/>
      </c>
      <c r="I75" s="3"/>
      <c r="J75" s="4"/>
      <c r="K75" s="3"/>
      <c r="L75" s="4"/>
      <c r="M75" s="68" t="str">
        <f>IF($C75="","",IFERROR(LOOKUP(2,1/('03_Warehouse_Movements'!$C$2:$C$500=$A75),'03_Warehouse_Movements'!$A$2:$A$500),""))</f>
        <v/>
      </c>
      <c r="N75" s="4" t="str">
        <f>IF($C75="","",IFERROR(LOOKUP(2,1/('03_Warehouse_Movements'!$C$2:$C$500=$A75),'03_Warehouse_Movements'!$H$2:$H$500),""))</f>
        <v/>
      </c>
      <c r="O75" s="4" t="str">
        <f t="shared" si="3"/>
        <v>PAL-0000075</v>
      </c>
      <c r="Q75" s="34"/>
      <c r="R75" s="33"/>
      <c r="W75">
        <f>IF($A2="","",COUNTIF('07_Pallet_Contents'!$A$2:$A$3000,$A2))</f>
        <v>0</v>
      </c>
      <c r="X75">
        <f>IF($A2="","",SUMIF('07_Pallet_Contents'!$A$2:$A$3000,$A2,'07_Pallet_Contents'!$D$2:$D$3000))</f>
        <v>0</v>
      </c>
      <c r="Y75">
        <f>IF($A2="","",SUMIF('07_Pallet_Contents'!$A$2:$A$3000,$A2,'07_Pallet_Contents'!$I$2:$I$3000))</f>
        <v>0</v>
      </c>
      <c r="Z75" t="str">
        <f>IF($A2="","",IF(COUNTIF('07_Pallet_Contents'!$A$2:$A$3000,$A2)&gt;0,"Yes",""))</f>
        <v/>
      </c>
    </row>
    <row r="76" spans="1:26" ht="27.75" customHeight="1">
      <c r="A76" s="4" t="s">
        <v>386</v>
      </c>
      <c r="B76" s="4"/>
      <c r="D76" t="str">
        <f>IF($C76="","",IFERROR(LOOKUP(2,1/('03_Warehouse_Movements'!$C$2:$C$500=$A76),'03_Warehouse_Movements'!$E$2:$E$500),$C76))</f>
        <v/>
      </c>
      <c r="E76" t="s">
        <v>209</v>
      </c>
      <c r="G76" s="32"/>
      <c r="H76" s="3" t="str">
        <f t="shared" si="2"/>
        <v/>
      </c>
      <c r="I76" s="3"/>
      <c r="J76" s="4"/>
      <c r="K76" s="3"/>
      <c r="L76" s="4"/>
      <c r="M76" s="68" t="str">
        <f>IF($C76="","",IFERROR(LOOKUP(2,1/('03_Warehouse_Movements'!$C$2:$C$500=$A76),'03_Warehouse_Movements'!$A$2:$A$500),""))</f>
        <v/>
      </c>
      <c r="N76" s="4" t="str">
        <f>IF($C76="","",IFERROR(LOOKUP(2,1/('03_Warehouse_Movements'!$C$2:$C$500=$A76),'03_Warehouse_Movements'!$H$2:$H$500),""))</f>
        <v/>
      </c>
      <c r="O76" s="4" t="str">
        <f t="shared" si="3"/>
        <v>PAL-0000076</v>
      </c>
      <c r="Q76" s="34"/>
      <c r="R76" s="33"/>
      <c r="W76">
        <f>IF($A2="","",COUNTIF('07_Pallet_Contents'!$A$2:$A$3000,$A2))</f>
        <v>0</v>
      </c>
      <c r="X76">
        <f>IF($A2="","",SUMIF('07_Pallet_Contents'!$A$2:$A$3000,$A2,'07_Pallet_Contents'!$D$2:$D$3000))</f>
        <v>0</v>
      </c>
      <c r="Y76">
        <f>IF($A2="","",SUMIF('07_Pallet_Contents'!$A$2:$A$3000,$A2,'07_Pallet_Contents'!$I$2:$I$3000))</f>
        <v>0</v>
      </c>
      <c r="Z76" t="str">
        <f>IF($A2="","",IF(COUNTIF('07_Pallet_Contents'!$A$2:$A$3000,$A2)&gt;0,"Yes",""))</f>
        <v/>
      </c>
    </row>
    <row r="77" spans="1:26" ht="27.75" customHeight="1">
      <c r="A77" s="4" t="s">
        <v>387</v>
      </c>
      <c r="B77" s="4"/>
      <c r="D77" t="str">
        <f>IF($C77="","",IFERROR(LOOKUP(2,1/('03_Warehouse_Movements'!$C$2:$C$500=$A77),'03_Warehouse_Movements'!$E$2:$E$500),$C77))</f>
        <v/>
      </c>
      <c r="E77" t="s">
        <v>209</v>
      </c>
      <c r="G77" s="32"/>
      <c r="H77" s="3" t="str">
        <f t="shared" si="2"/>
        <v/>
      </c>
      <c r="I77" s="3"/>
      <c r="J77" s="4"/>
      <c r="K77" s="3"/>
      <c r="L77" s="4"/>
      <c r="M77" s="68" t="str">
        <f>IF($C77="","",IFERROR(LOOKUP(2,1/('03_Warehouse_Movements'!$C$2:$C$500=$A77),'03_Warehouse_Movements'!$A$2:$A$500),""))</f>
        <v/>
      </c>
      <c r="N77" s="4" t="str">
        <f>IF($C77="","",IFERROR(LOOKUP(2,1/('03_Warehouse_Movements'!$C$2:$C$500=$A77),'03_Warehouse_Movements'!$H$2:$H$500),""))</f>
        <v/>
      </c>
      <c r="O77" s="4" t="str">
        <f t="shared" si="3"/>
        <v>PAL-0000077</v>
      </c>
      <c r="Q77" s="34"/>
      <c r="R77" s="33"/>
      <c r="W77">
        <f>IF($A2="","",COUNTIF('07_Pallet_Contents'!$A$2:$A$3000,$A2))</f>
        <v>0</v>
      </c>
      <c r="X77">
        <f>IF($A2="","",SUMIF('07_Pallet_Contents'!$A$2:$A$3000,$A2,'07_Pallet_Contents'!$D$2:$D$3000))</f>
        <v>0</v>
      </c>
      <c r="Y77">
        <f>IF($A2="","",SUMIF('07_Pallet_Contents'!$A$2:$A$3000,$A2,'07_Pallet_Contents'!$I$2:$I$3000))</f>
        <v>0</v>
      </c>
      <c r="Z77" t="str">
        <f>IF($A2="","",IF(COUNTIF('07_Pallet_Contents'!$A$2:$A$3000,$A2)&gt;0,"Yes",""))</f>
        <v/>
      </c>
    </row>
    <row r="78" spans="1:26" ht="27.75" customHeight="1">
      <c r="A78" s="4" t="s">
        <v>388</v>
      </c>
      <c r="B78" s="4"/>
      <c r="D78" t="str">
        <f>IF($C78="","",IFERROR(LOOKUP(2,1/('03_Warehouse_Movements'!$C$2:$C$500=$A78),'03_Warehouse_Movements'!$E$2:$E$500),$C78))</f>
        <v/>
      </c>
      <c r="E78" t="s">
        <v>209</v>
      </c>
      <c r="G78" s="32"/>
      <c r="H78" s="3" t="str">
        <f t="shared" si="2"/>
        <v/>
      </c>
      <c r="I78" s="3"/>
      <c r="J78" s="4"/>
      <c r="K78" s="3"/>
      <c r="L78" s="4"/>
      <c r="M78" s="68" t="str">
        <f>IF($C78="","",IFERROR(LOOKUP(2,1/('03_Warehouse_Movements'!$C$2:$C$500=$A78),'03_Warehouse_Movements'!$A$2:$A$500),""))</f>
        <v/>
      </c>
      <c r="N78" s="4" t="str">
        <f>IF($C78="","",IFERROR(LOOKUP(2,1/('03_Warehouse_Movements'!$C$2:$C$500=$A78),'03_Warehouse_Movements'!$H$2:$H$500),""))</f>
        <v/>
      </c>
      <c r="O78" s="4" t="str">
        <f t="shared" si="3"/>
        <v>PAL-0000078</v>
      </c>
      <c r="Q78" s="34"/>
      <c r="R78" s="33"/>
      <c r="W78">
        <f>IF($A2="","",COUNTIF('07_Pallet_Contents'!$A$2:$A$3000,$A2))</f>
        <v>0</v>
      </c>
      <c r="X78">
        <f>IF($A2="","",SUMIF('07_Pallet_Contents'!$A$2:$A$3000,$A2,'07_Pallet_Contents'!$D$2:$D$3000))</f>
        <v>0</v>
      </c>
      <c r="Y78">
        <f>IF($A2="","",SUMIF('07_Pallet_Contents'!$A$2:$A$3000,$A2,'07_Pallet_Contents'!$I$2:$I$3000))</f>
        <v>0</v>
      </c>
      <c r="Z78" t="str">
        <f>IF($A2="","",IF(COUNTIF('07_Pallet_Contents'!$A$2:$A$3000,$A2)&gt;0,"Yes",""))</f>
        <v/>
      </c>
    </row>
    <row r="79" spans="1:26" ht="27.75" customHeight="1">
      <c r="A79" s="4" t="s">
        <v>389</v>
      </c>
      <c r="B79" s="4"/>
      <c r="D79" t="str">
        <f>IF($C79="","",IFERROR(LOOKUP(2,1/('03_Warehouse_Movements'!$C$2:$C$500=$A79),'03_Warehouse_Movements'!$E$2:$E$500),$C79))</f>
        <v/>
      </c>
      <c r="E79" t="s">
        <v>209</v>
      </c>
      <c r="G79" s="32"/>
      <c r="H79" s="3" t="str">
        <f t="shared" si="2"/>
        <v/>
      </c>
      <c r="I79" s="3"/>
      <c r="J79" s="4"/>
      <c r="K79" s="3"/>
      <c r="L79" s="4"/>
      <c r="M79" s="68" t="str">
        <f>IF($C79="","",IFERROR(LOOKUP(2,1/('03_Warehouse_Movements'!$C$2:$C$500=$A79),'03_Warehouse_Movements'!$A$2:$A$500),""))</f>
        <v/>
      </c>
      <c r="N79" s="4" t="str">
        <f>IF($C79="","",IFERROR(LOOKUP(2,1/('03_Warehouse_Movements'!$C$2:$C$500=$A79),'03_Warehouse_Movements'!$H$2:$H$500),""))</f>
        <v/>
      </c>
      <c r="O79" s="4" t="str">
        <f t="shared" si="3"/>
        <v>PAL-0000079</v>
      </c>
      <c r="Q79" s="34"/>
      <c r="R79" s="33"/>
      <c r="W79">
        <f>IF($A2="","",COUNTIF('07_Pallet_Contents'!$A$2:$A$3000,$A2))</f>
        <v>0</v>
      </c>
      <c r="X79">
        <f>IF($A2="","",SUMIF('07_Pallet_Contents'!$A$2:$A$3000,$A2,'07_Pallet_Contents'!$D$2:$D$3000))</f>
        <v>0</v>
      </c>
      <c r="Y79">
        <f>IF($A2="","",SUMIF('07_Pallet_Contents'!$A$2:$A$3000,$A2,'07_Pallet_Contents'!$I$2:$I$3000))</f>
        <v>0</v>
      </c>
      <c r="Z79" t="str">
        <f>IF($A2="","",IF(COUNTIF('07_Pallet_Contents'!$A$2:$A$3000,$A2)&gt;0,"Yes",""))</f>
        <v/>
      </c>
    </row>
    <row r="80" spans="1:26" ht="27.75" customHeight="1">
      <c r="A80" s="4" t="s">
        <v>390</v>
      </c>
      <c r="B80" s="4"/>
      <c r="D80" t="str">
        <f>IF($C80="","",IFERROR(LOOKUP(2,1/('03_Warehouse_Movements'!$C$2:$C$500=$A80),'03_Warehouse_Movements'!$E$2:$E$500),$C80))</f>
        <v/>
      </c>
      <c r="E80" t="s">
        <v>209</v>
      </c>
      <c r="G80" s="32"/>
      <c r="H80" s="3" t="str">
        <f t="shared" si="2"/>
        <v/>
      </c>
      <c r="I80" s="3"/>
      <c r="J80" s="4"/>
      <c r="K80" s="3"/>
      <c r="L80" s="4"/>
      <c r="M80" s="68" t="str">
        <f>IF($C80="","",IFERROR(LOOKUP(2,1/('03_Warehouse_Movements'!$C$2:$C$500=$A80),'03_Warehouse_Movements'!$A$2:$A$500),""))</f>
        <v/>
      </c>
      <c r="N80" s="4" t="str">
        <f>IF($C80="","",IFERROR(LOOKUP(2,1/('03_Warehouse_Movements'!$C$2:$C$500=$A80),'03_Warehouse_Movements'!$H$2:$H$500),""))</f>
        <v/>
      </c>
      <c r="O80" s="4" t="str">
        <f t="shared" si="3"/>
        <v>PAL-0000080</v>
      </c>
      <c r="Q80" s="34"/>
      <c r="R80" s="33"/>
      <c r="W80">
        <f>IF($A2="","",COUNTIF('07_Pallet_Contents'!$A$2:$A$3000,$A2))</f>
        <v>0</v>
      </c>
      <c r="X80">
        <f>IF($A2="","",SUMIF('07_Pallet_Contents'!$A$2:$A$3000,$A2,'07_Pallet_Contents'!$D$2:$D$3000))</f>
        <v>0</v>
      </c>
      <c r="Y80">
        <f>IF($A2="","",SUMIF('07_Pallet_Contents'!$A$2:$A$3000,$A2,'07_Pallet_Contents'!$I$2:$I$3000))</f>
        <v>0</v>
      </c>
      <c r="Z80" t="str">
        <f>IF($A2="","",IF(COUNTIF('07_Pallet_Contents'!$A$2:$A$3000,$A2)&gt;0,"Yes",""))</f>
        <v/>
      </c>
    </row>
    <row r="81" spans="1:26" ht="27.75" customHeight="1">
      <c r="A81" s="4" t="s">
        <v>391</v>
      </c>
      <c r="B81" s="4"/>
      <c r="D81" t="str">
        <f>IF($C81="","",IFERROR(LOOKUP(2,1/('03_Warehouse_Movements'!$C$2:$C$500=$A81),'03_Warehouse_Movements'!$E$2:$E$500),$C81))</f>
        <v/>
      </c>
      <c r="E81" t="s">
        <v>209</v>
      </c>
      <c r="G81" s="32"/>
      <c r="H81" s="3" t="str">
        <f t="shared" si="2"/>
        <v/>
      </c>
      <c r="I81" s="3"/>
      <c r="J81" s="4"/>
      <c r="K81" s="3"/>
      <c r="L81" s="4"/>
      <c r="M81" s="68" t="str">
        <f>IF($C81="","",IFERROR(LOOKUP(2,1/('03_Warehouse_Movements'!$C$2:$C$500=$A81),'03_Warehouse_Movements'!$A$2:$A$500),""))</f>
        <v/>
      </c>
      <c r="N81" s="4" t="str">
        <f>IF($C81="","",IFERROR(LOOKUP(2,1/('03_Warehouse_Movements'!$C$2:$C$500=$A81),'03_Warehouse_Movements'!$H$2:$H$500),""))</f>
        <v/>
      </c>
      <c r="O81" s="4" t="str">
        <f t="shared" si="3"/>
        <v>PAL-0000081</v>
      </c>
      <c r="Q81" s="34"/>
      <c r="R81" s="33"/>
      <c r="W81">
        <f>IF($A2="","",COUNTIF('07_Pallet_Contents'!$A$2:$A$3000,$A2))</f>
        <v>0</v>
      </c>
      <c r="X81">
        <f>IF($A2="","",SUMIF('07_Pallet_Contents'!$A$2:$A$3000,$A2,'07_Pallet_Contents'!$D$2:$D$3000))</f>
        <v>0</v>
      </c>
      <c r="Y81">
        <f>IF($A2="","",SUMIF('07_Pallet_Contents'!$A$2:$A$3000,$A2,'07_Pallet_Contents'!$I$2:$I$3000))</f>
        <v>0</v>
      </c>
      <c r="Z81" t="str">
        <f>IF($A2="","",IF(COUNTIF('07_Pallet_Contents'!$A$2:$A$3000,$A2)&gt;0,"Yes",""))</f>
        <v/>
      </c>
    </row>
    <row r="82" spans="1:26" ht="27.75" customHeight="1">
      <c r="A82" s="4" t="s">
        <v>392</v>
      </c>
      <c r="B82" s="4"/>
      <c r="D82" t="str">
        <f>IF($C82="","",IFERROR(LOOKUP(2,1/('03_Warehouse_Movements'!$C$2:$C$500=$A82),'03_Warehouse_Movements'!$E$2:$E$500),$C82))</f>
        <v/>
      </c>
      <c r="E82" t="s">
        <v>209</v>
      </c>
      <c r="G82" s="32"/>
      <c r="H82" s="3" t="str">
        <f t="shared" si="2"/>
        <v/>
      </c>
      <c r="I82" s="3"/>
      <c r="J82" s="4"/>
      <c r="K82" s="3"/>
      <c r="L82" s="4"/>
      <c r="M82" s="68" t="str">
        <f>IF($C82="","",IFERROR(LOOKUP(2,1/('03_Warehouse_Movements'!$C$2:$C$500=$A82),'03_Warehouse_Movements'!$A$2:$A$500),""))</f>
        <v/>
      </c>
      <c r="N82" s="4" t="str">
        <f>IF($C82="","",IFERROR(LOOKUP(2,1/('03_Warehouse_Movements'!$C$2:$C$500=$A82),'03_Warehouse_Movements'!$H$2:$H$500),""))</f>
        <v/>
      </c>
      <c r="O82" s="4" t="str">
        <f t="shared" si="3"/>
        <v>PAL-0000082</v>
      </c>
      <c r="Q82" s="34"/>
      <c r="R82" s="33"/>
      <c r="W82">
        <f>IF($A2="","",COUNTIF('07_Pallet_Contents'!$A$2:$A$3000,$A2))</f>
        <v>0</v>
      </c>
      <c r="X82">
        <f>IF($A2="","",SUMIF('07_Pallet_Contents'!$A$2:$A$3000,$A2,'07_Pallet_Contents'!$D$2:$D$3000))</f>
        <v>0</v>
      </c>
      <c r="Y82">
        <f>IF($A2="","",SUMIF('07_Pallet_Contents'!$A$2:$A$3000,$A2,'07_Pallet_Contents'!$I$2:$I$3000))</f>
        <v>0</v>
      </c>
      <c r="Z82" t="str">
        <f>IF($A2="","",IF(COUNTIF('07_Pallet_Contents'!$A$2:$A$3000,$A2)&gt;0,"Yes",""))</f>
        <v/>
      </c>
    </row>
    <row r="83" spans="1:26" ht="27.75" customHeight="1">
      <c r="A83" s="4" t="s">
        <v>393</v>
      </c>
      <c r="B83" s="4"/>
      <c r="D83" t="str">
        <f>IF($C83="","",IFERROR(LOOKUP(2,1/('03_Warehouse_Movements'!$C$2:$C$500=$A83),'03_Warehouse_Movements'!$E$2:$E$500),$C83))</f>
        <v/>
      </c>
      <c r="E83" t="s">
        <v>209</v>
      </c>
      <c r="G83" s="32"/>
      <c r="H83" s="3" t="str">
        <f t="shared" si="2"/>
        <v/>
      </c>
      <c r="I83" s="3"/>
      <c r="J83" s="4"/>
      <c r="K83" s="3"/>
      <c r="L83" s="4"/>
      <c r="M83" s="68" t="str">
        <f>IF($C83="","",IFERROR(LOOKUP(2,1/('03_Warehouse_Movements'!$C$2:$C$500=$A83),'03_Warehouse_Movements'!$A$2:$A$500),""))</f>
        <v/>
      </c>
      <c r="N83" s="4" t="str">
        <f>IF($C83="","",IFERROR(LOOKUP(2,1/('03_Warehouse_Movements'!$C$2:$C$500=$A83),'03_Warehouse_Movements'!$H$2:$H$500),""))</f>
        <v/>
      </c>
      <c r="O83" s="4" t="str">
        <f t="shared" si="3"/>
        <v>PAL-0000083</v>
      </c>
      <c r="Q83" s="34"/>
      <c r="R83" s="33"/>
      <c r="W83">
        <f>IF($A2="","",COUNTIF('07_Pallet_Contents'!$A$2:$A$3000,$A2))</f>
        <v>0</v>
      </c>
      <c r="X83">
        <f>IF($A2="","",SUMIF('07_Pallet_Contents'!$A$2:$A$3000,$A2,'07_Pallet_Contents'!$D$2:$D$3000))</f>
        <v>0</v>
      </c>
      <c r="Y83">
        <f>IF($A2="","",SUMIF('07_Pallet_Contents'!$A$2:$A$3000,$A2,'07_Pallet_Contents'!$I$2:$I$3000))</f>
        <v>0</v>
      </c>
      <c r="Z83" t="str">
        <f>IF($A2="","",IF(COUNTIF('07_Pallet_Contents'!$A$2:$A$3000,$A2)&gt;0,"Yes",""))</f>
        <v/>
      </c>
    </row>
    <row r="84" spans="1:26" ht="27.75" customHeight="1">
      <c r="A84" s="4" t="s">
        <v>394</v>
      </c>
      <c r="B84" s="4"/>
      <c r="D84" t="str">
        <f>IF($C84="","",IFERROR(LOOKUP(2,1/('03_Warehouse_Movements'!$C$2:$C$500=$A84),'03_Warehouse_Movements'!$E$2:$E$500),$C84))</f>
        <v/>
      </c>
      <c r="E84" t="s">
        <v>209</v>
      </c>
      <c r="G84" s="32"/>
      <c r="H84" s="3" t="str">
        <f t="shared" si="2"/>
        <v/>
      </c>
      <c r="I84" s="3"/>
      <c r="J84" s="4"/>
      <c r="K84" s="3"/>
      <c r="L84" s="4"/>
      <c r="M84" s="68" t="str">
        <f>IF($C84="","",IFERROR(LOOKUP(2,1/('03_Warehouse_Movements'!$C$2:$C$500=$A84),'03_Warehouse_Movements'!$A$2:$A$500),""))</f>
        <v/>
      </c>
      <c r="N84" s="4" t="str">
        <f>IF($C84="","",IFERROR(LOOKUP(2,1/('03_Warehouse_Movements'!$C$2:$C$500=$A84),'03_Warehouse_Movements'!$H$2:$H$500),""))</f>
        <v/>
      </c>
      <c r="O84" s="4" t="str">
        <f t="shared" si="3"/>
        <v>PAL-0000084</v>
      </c>
      <c r="Q84" s="34"/>
      <c r="R84" s="33"/>
      <c r="W84">
        <f>IF($A2="","",COUNTIF('07_Pallet_Contents'!$A$2:$A$3000,$A2))</f>
        <v>0</v>
      </c>
      <c r="X84">
        <f>IF($A2="","",SUMIF('07_Pallet_Contents'!$A$2:$A$3000,$A2,'07_Pallet_Contents'!$D$2:$D$3000))</f>
        <v>0</v>
      </c>
      <c r="Y84">
        <f>IF($A2="","",SUMIF('07_Pallet_Contents'!$A$2:$A$3000,$A2,'07_Pallet_Contents'!$I$2:$I$3000))</f>
        <v>0</v>
      </c>
      <c r="Z84" t="str">
        <f>IF($A2="","",IF(COUNTIF('07_Pallet_Contents'!$A$2:$A$3000,$A2)&gt;0,"Yes",""))</f>
        <v/>
      </c>
    </row>
    <row r="85" spans="1:26" ht="27.75" customHeight="1">
      <c r="A85" s="4" t="s">
        <v>395</v>
      </c>
      <c r="B85" s="4"/>
      <c r="D85" t="str">
        <f>IF($C85="","",IFERROR(LOOKUP(2,1/('03_Warehouse_Movements'!$C$2:$C$500=$A85),'03_Warehouse_Movements'!$E$2:$E$500),$C85))</f>
        <v/>
      </c>
      <c r="E85" t="s">
        <v>209</v>
      </c>
      <c r="G85" s="32"/>
      <c r="H85" s="3" t="str">
        <f t="shared" si="2"/>
        <v/>
      </c>
      <c r="I85" s="3"/>
      <c r="J85" s="4"/>
      <c r="K85" s="3"/>
      <c r="L85" s="4"/>
      <c r="M85" s="68" t="str">
        <f>IF($C85="","",IFERROR(LOOKUP(2,1/('03_Warehouse_Movements'!$C$2:$C$500=$A85),'03_Warehouse_Movements'!$A$2:$A$500),""))</f>
        <v/>
      </c>
      <c r="N85" s="4" t="str">
        <f>IF($C85="","",IFERROR(LOOKUP(2,1/('03_Warehouse_Movements'!$C$2:$C$500=$A85),'03_Warehouse_Movements'!$H$2:$H$500),""))</f>
        <v/>
      </c>
      <c r="O85" s="4" t="str">
        <f t="shared" si="3"/>
        <v>PAL-0000085</v>
      </c>
      <c r="Q85" s="34"/>
      <c r="R85" s="33"/>
      <c r="W85">
        <f>IF($A2="","",COUNTIF('07_Pallet_Contents'!$A$2:$A$3000,$A2))</f>
        <v>0</v>
      </c>
      <c r="X85">
        <f>IF($A2="","",SUMIF('07_Pallet_Contents'!$A$2:$A$3000,$A2,'07_Pallet_Contents'!$D$2:$D$3000))</f>
        <v>0</v>
      </c>
      <c r="Y85">
        <f>IF($A2="","",SUMIF('07_Pallet_Contents'!$A$2:$A$3000,$A2,'07_Pallet_Contents'!$I$2:$I$3000))</f>
        <v>0</v>
      </c>
      <c r="Z85" t="str">
        <f>IF($A2="","",IF(COUNTIF('07_Pallet_Contents'!$A$2:$A$3000,$A2)&gt;0,"Yes",""))</f>
        <v/>
      </c>
    </row>
    <row r="86" spans="1:26" ht="27.75" customHeight="1">
      <c r="A86" s="4" t="s">
        <v>396</v>
      </c>
      <c r="B86" s="4"/>
      <c r="D86" t="str">
        <f>IF($C86="","",IFERROR(LOOKUP(2,1/('03_Warehouse_Movements'!$C$2:$C$500=$A86),'03_Warehouse_Movements'!$E$2:$E$500),$C86))</f>
        <v/>
      </c>
      <c r="E86" t="s">
        <v>209</v>
      </c>
      <c r="G86" s="32"/>
      <c r="H86" s="3" t="str">
        <f t="shared" si="2"/>
        <v/>
      </c>
      <c r="I86" s="3"/>
      <c r="J86" s="4"/>
      <c r="K86" s="3"/>
      <c r="L86" s="4"/>
      <c r="M86" s="68" t="str">
        <f>IF($C86="","",IFERROR(LOOKUP(2,1/('03_Warehouse_Movements'!$C$2:$C$500=$A86),'03_Warehouse_Movements'!$A$2:$A$500),""))</f>
        <v/>
      </c>
      <c r="N86" s="4" t="str">
        <f>IF($C86="","",IFERROR(LOOKUP(2,1/('03_Warehouse_Movements'!$C$2:$C$500=$A86),'03_Warehouse_Movements'!$H$2:$H$500),""))</f>
        <v/>
      </c>
      <c r="O86" s="4" t="str">
        <f t="shared" si="3"/>
        <v>PAL-0000086</v>
      </c>
      <c r="Q86" s="34"/>
      <c r="R86" s="33"/>
      <c r="W86">
        <f>IF($A2="","",COUNTIF('07_Pallet_Contents'!$A$2:$A$3000,$A2))</f>
        <v>0</v>
      </c>
      <c r="X86">
        <f>IF($A2="","",SUMIF('07_Pallet_Contents'!$A$2:$A$3000,$A2,'07_Pallet_Contents'!$D$2:$D$3000))</f>
        <v>0</v>
      </c>
      <c r="Y86">
        <f>IF($A2="","",SUMIF('07_Pallet_Contents'!$A$2:$A$3000,$A2,'07_Pallet_Contents'!$I$2:$I$3000))</f>
        <v>0</v>
      </c>
      <c r="Z86" t="str">
        <f>IF($A2="","",IF(COUNTIF('07_Pallet_Contents'!$A$2:$A$3000,$A2)&gt;0,"Yes",""))</f>
        <v/>
      </c>
    </row>
    <row r="87" spans="1:26" ht="27.75" customHeight="1">
      <c r="A87" s="4" t="s">
        <v>397</v>
      </c>
      <c r="B87" s="4"/>
      <c r="D87" t="str">
        <f>IF($C87="","",IFERROR(LOOKUP(2,1/('03_Warehouse_Movements'!$C$2:$C$500=$A87),'03_Warehouse_Movements'!$E$2:$E$500),$C87))</f>
        <v/>
      </c>
      <c r="E87" t="s">
        <v>209</v>
      </c>
      <c r="G87" s="32"/>
      <c r="H87" s="3" t="str">
        <f t="shared" si="2"/>
        <v/>
      </c>
      <c r="I87" s="3"/>
      <c r="J87" s="4"/>
      <c r="K87" s="3"/>
      <c r="L87" s="4"/>
      <c r="M87" s="68" t="str">
        <f>IF($C87="","",IFERROR(LOOKUP(2,1/('03_Warehouse_Movements'!$C$2:$C$500=$A87),'03_Warehouse_Movements'!$A$2:$A$500),""))</f>
        <v/>
      </c>
      <c r="N87" s="4" t="str">
        <f>IF($C87="","",IFERROR(LOOKUP(2,1/('03_Warehouse_Movements'!$C$2:$C$500=$A87),'03_Warehouse_Movements'!$H$2:$H$500),""))</f>
        <v/>
      </c>
      <c r="O87" s="4" t="str">
        <f t="shared" si="3"/>
        <v>PAL-0000087</v>
      </c>
      <c r="Q87" s="34"/>
      <c r="R87" s="33"/>
      <c r="W87">
        <f>IF($A2="","",COUNTIF('07_Pallet_Contents'!$A$2:$A$3000,$A2))</f>
        <v>0</v>
      </c>
      <c r="X87">
        <f>IF($A2="","",SUMIF('07_Pallet_Contents'!$A$2:$A$3000,$A2,'07_Pallet_Contents'!$D$2:$D$3000))</f>
        <v>0</v>
      </c>
      <c r="Y87">
        <f>IF($A2="","",SUMIF('07_Pallet_Contents'!$A$2:$A$3000,$A2,'07_Pallet_Contents'!$I$2:$I$3000))</f>
        <v>0</v>
      </c>
      <c r="Z87" t="str">
        <f>IF($A2="","",IF(COUNTIF('07_Pallet_Contents'!$A$2:$A$3000,$A2)&gt;0,"Yes",""))</f>
        <v/>
      </c>
    </row>
    <row r="88" spans="1:26" ht="27.75" customHeight="1">
      <c r="A88" s="4" t="s">
        <v>398</v>
      </c>
      <c r="B88" s="4"/>
      <c r="D88" t="str">
        <f>IF($C88="","",IFERROR(LOOKUP(2,1/('03_Warehouse_Movements'!$C$2:$C$500=$A88),'03_Warehouse_Movements'!$E$2:$E$500),$C88))</f>
        <v/>
      </c>
      <c r="E88" t="s">
        <v>209</v>
      </c>
      <c r="G88" s="32"/>
      <c r="H88" s="3" t="str">
        <f t="shared" si="2"/>
        <v/>
      </c>
      <c r="I88" s="3"/>
      <c r="J88" s="4"/>
      <c r="K88" s="3"/>
      <c r="L88" s="4"/>
      <c r="M88" s="68" t="str">
        <f>IF($C88="","",IFERROR(LOOKUP(2,1/('03_Warehouse_Movements'!$C$2:$C$500=$A88),'03_Warehouse_Movements'!$A$2:$A$500),""))</f>
        <v/>
      </c>
      <c r="N88" s="4" t="str">
        <f>IF($C88="","",IFERROR(LOOKUP(2,1/('03_Warehouse_Movements'!$C$2:$C$500=$A88),'03_Warehouse_Movements'!$H$2:$H$500),""))</f>
        <v/>
      </c>
      <c r="O88" s="4" t="str">
        <f t="shared" si="3"/>
        <v>PAL-0000088</v>
      </c>
      <c r="Q88" s="34"/>
      <c r="R88" s="33"/>
      <c r="W88">
        <f>IF($A2="","",COUNTIF('07_Pallet_Contents'!$A$2:$A$3000,$A2))</f>
        <v>0</v>
      </c>
      <c r="X88">
        <f>IF($A2="","",SUMIF('07_Pallet_Contents'!$A$2:$A$3000,$A2,'07_Pallet_Contents'!$D$2:$D$3000))</f>
        <v>0</v>
      </c>
      <c r="Y88">
        <f>IF($A2="","",SUMIF('07_Pallet_Contents'!$A$2:$A$3000,$A2,'07_Pallet_Contents'!$I$2:$I$3000))</f>
        <v>0</v>
      </c>
      <c r="Z88" t="str">
        <f>IF($A2="","",IF(COUNTIF('07_Pallet_Contents'!$A$2:$A$3000,$A2)&gt;0,"Yes",""))</f>
        <v/>
      </c>
    </row>
    <row r="89" spans="1:26" ht="27.75" customHeight="1">
      <c r="A89" s="4" t="s">
        <v>399</v>
      </c>
      <c r="B89" s="4"/>
      <c r="D89" t="str">
        <f>IF($C89="","",IFERROR(LOOKUP(2,1/('03_Warehouse_Movements'!$C$2:$C$500=$A89),'03_Warehouse_Movements'!$E$2:$E$500),$C89))</f>
        <v/>
      </c>
      <c r="E89" t="s">
        <v>209</v>
      </c>
      <c r="G89" s="32"/>
      <c r="H89" s="3" t="str">
        <f t="shared" si="2"/>
        <v/>
      </c>
      <c r="I89" s="3"/>
      <c r="J89" s="4"/>
      <c r="K89" s="3"/>
      <c r="L89" s="4"/>
      <c r="M89" s="68" t="str">
        <f>IF($C89="","",IFERROR(LOOKUP(2,1/('03_Warehouse_Movements'!$C$2:$C$500=$A89),'03_Warehouse_Movements'!$A$2:$A$500),""))</f>
        <v/>
      </c>
      <c r="N89" s="4" t="str">
        <f>IF($C89="","",IFERROR(LOOKUP(2,1/('03_Warehouse_Movements'!$C$2:$C$500=$A89),'03_Warehouse_Movements'!$H$2:$H$500),""))</f>
        <v/>
      </c>
      <c r="O89" s="4" t="str">
        <f t="shared" si="3"/>
        <v>PAL-0000089</v>
      </c>
      <c r="Q89" s="34"/>
      <c r="R89" s="33"/>
      <c r="W89">
        <f>IF($A2="","",COUNTIF('07_Pallet_Contents'!$A$2:$A$3000,$A2))</f>
        <v>0</v>
      </c>
      <c r="X89">
        <f>IF($A2="","",SUMIF('07_Pallet_Contents'!$A$2:$A$3000,$A2,'07_Pallet_Contents'!$D$2:$D$3000))</f>
        <v>0</v>
      </c>
      <c r="Y89">
        <f>IF($A2="","",SUMIF('07_Pallet_Contents'!$A$2:$A$3000,$A2,'07_Pallet_Contents'!$I$2:$I$3000))</f>
        <v>0</v>
      </c>
      <c r="Z89" t="str">
        <f>IF($A2="","",IF(COUNTIF('07_Pallet_Contents'!$A$2:$A$3000,$A2)&gt;0,"Yes",""))</f>
        <v/>
      </c>
    </row>
    <row r="90" spans="1:26" ht="27.75" customHeight="1">
      <c r="A90" s="4" t="s">
        <v>400</v>
      </c>
      <c r="B90" s="4"/>
      <c r="D90" t="str">
        <f>IF($C90="","",IFERROR(LOOKUP(2,1/('03_Warehouse_Movements'!$C$2:$C$500=$A90),'03_Warehouse_Movements'!$E$2:$E$500),$C90))</f>
        <v/>
      </c>
      <c r="E90" t="s">
        <v>209</v>
      </c>
      <c r="G90" s="32"/>
      <c r="H90" s="3" t="str">
        <f t="shared" si="2"/>
        <v/>
      </c>
      <c r="I90" s="3"/>
      <c r="J90" s="4"/>
      <c r="K90" s="3"/>
      <c r="L90" s="4"/>
      <c r="M90" s="68" t="str">
        <f>IF($C90="","",IFERROR(LOOKUP(2,1/('03_Warehouse_Movements'!$C$2:$C$500=$A90),'03_Warehouse_Movements'!$A$2:$A$500),""))</f>
        <v/>
      </c>
      <c r="N90" s="4" t="str">
        <f>IF($C90="","",IFERROR(LOOKUP(2,1/('03_Warehouse_Movements'!$C$2:$C$500=$A90),'03_Warehouse_Movements'!$H$2:$H$500),""))</f>
        <v/>
      </c>
      <c r="O90" s="4" t="str">
        <f t="shared" si="3"/>
        <v>PAL-0000090</v>
      </c>
      <c r="Q90" s="34"/>
      <c r="R90" s="33"/>
      <c r="W90">
        <f>IF($A2="","",COUNTIF('07_Pallet_Contents'!$A$2:$A$3000,$A2))</f>
        <v>0</v>
      </c>
      <c r="X90">
        <f>IF($A2="","",SUMIF('07_Pallet_Contents'!$A$2:$A$3000,$A2,'07_Pallet_Contents'!$D$2:$D$3000))</f>
        <v>0</v>
      </c>
      <c r="Y90">
        <f>IF($A2="","",SUMIF('07_Pallet_Contents'!$A$2:$A$3000,$A2,'07_Pallet_Contents'!$I$2:$I$3000))</f>
        <v>0</v>
      </c>
      <c r="Z90" t="str">
        <f>IF($A2="","",IF(COUNTIF('07_Pallet_Contents'!$A$2:$A$3000,$A2)&gt;0,"Yes",""))</f>
        <v/>
      </c>
    </row>
    <row r="91" spans="1:26" ht="27.75" customHeight="1">
      <c r="A91" s="4" t="s">
        <v>401</v>
      </c>
      <c r="B91" s="4"/>
      <c r="D91" t="str">
        <f>IF($C91="","",IFERROR(LOOKUP(2,1/('03_Warehouse_Movements'!$C$2:$C$500=$A91),'03_Warehouse_Movements'!$E$2:$E$500),$C91))</f>
        <v/>
      </c>
      <c r="E91" t="s">
        <v>209</v>
      </c>
      <c r="G91" s="32"/>
      <c r="H91" s="3" t="str">
        <f t="shared" si="2"/>
        <v/>
      </c>
      <c r="I91" s="3"/>
      <c r="J91" s="4"/>
      <c r="K91" s="3"/>
      <c r="L91" s="4"/>
      <c r="M91" s="68" t="str">
        <f>IF($C91="","",IFERROR(LOOKUP(2,1/('03_Warehouse_Movements'!$C$2:$C$500=$A91),'03_Warehouse_Movements'!$A$2:$A$500),""))</f>
        <v/>
      </c>
      <c r="N91" s="4" t="str">
        <f>IF($C91="","",IFERROR(LOOKUP(2,1/('03_Warehouse_Movements'!$C$2:$C$500=$A91),'03_Warehouse_Movements'!$H$2:$H$500),""))</f>
        <v/>
      </c>
      <c r="O91" s="4" t="str">
        <f t="shared" si="3"/>
        <v>PAL-0000091</v>
      </c>
      <c r="Q91" s="34"/>
      <c r="R91" s="33"/>
      <c r="W91">
        <f>IF($A2="","",COUNTIF('07_Pallet_Contents'!$A$2:$A$3000,$A2))</f>
        <v>0</v>
      </c>
      <c r="X91">
        <f>IF($A2="","",SUMIF('07_Pallet_Contents'!$A$2:$A$3000,$A2,'07_Pallet_Contents'!$D$2:$D$3000))</f>
        <v>0</v>
      </c>
      <c r="Y91">
        <f>IF($A2="","",SUMIF('07_Pallet_Contents'!$A$2:$A$3000,$A2,'07_Pallet_Contents'!$I$2:$I$3000))</f>
        <v>0</v>
      </c>
      <c r="Z91" t="str">
        <f>IF($A2="","",IF(COUNTIF('07_Pallet_Contents'!$A$2:$A$3000,$A2)&gt;0,"Yes",""))</f>
        <v/>
      </c>
    </row>
    <row r="92" spans="1:26" ht="27.75" customHeight="1">
      <c r="A92" s="4" t="s">
        <v>402</v>
      </c>
      <c r="B92" s="4"/>
      <c r="D92" t="str">
        <f>IF($C92="","",IFERROR(LOOKUP(2,1/('03_Warehouse_Movements'!$C$2:$C$500=$A92),'03_Warehouse_Movements'!$E$2:$E$500),$C92))</f>
        <v/>
      </c>
      <c r="E92" t="s">
        <v>209</v>
      </c>
      <c r="G92" s="32"/>
      <c r="H92" s="3" t="str">
        <f t="shared" si="2"/>
        <v/>
      </c>
      <c r="I92" s="3"/>
      <c r="J92" s="4"/>
      <c r="K92" s="3"/>
      <c r="L92" s="4"/>
      <c r="M92" s="68" t="str">
        <f>IF($C92="","",IFERROR(LOOKUP(2,1/('03_Warehouse_Movements'!$C$2:$C$500=$A92),'03_Warehouse_Movements'!$A$2:$A$500),""))</f>
        <v/>
      </c>
      <c r="N92" s="4" t="str">
        <f>IF($C92="","",IFERROR(LOOKUP(2,1/('03_Warehouse_Movements'!$C$2:$C$500=$A92),'03_Warehouse_Movements'!$H$2:$H$500),""))</f>
        <v/>
      </c>
      <c r="O92" s="4" t="str">
        <f t="shared" si="3"/>
        <v>PAL-0000092</v>
      </c>
      <c r="Q92" s="34"/>
      <c r="R92" s="33"/>
      <c r="W92">
        <f>IF($A2="","",COUNTIF('07_Pallet_Contents'!$A$2:$A$3000,$A2))</f>
        <v>0</v>
      </c>
      <c r="X92">
        <f>IF($A2="","",SUMIF('07_Pallet_Contents'!$A$2:$A$3000,$A2,'07_Pallet_Contents'!$D$2:$D$3000))</f>
        <v>0</v>
      </c>
      <c r="Y92">
        <f>IF($A2="","",SUMIF('07_Pallet_Contents'!$A$2:$A$3000,$A2,'07_Pallet_Contents'!$I$2:$I$3000))</f>
        <v>0</v>
      </c>
      <c r="Z92" t="str">
        <f>IF($A2="","",IF(COUNTIF('07_Pallet_Contents'!$A$2:$A$3000,$A2)&gt;0,"Yes",""))</f>
        <v/>
      </c>
    </row>
    <row r="93" spans="1:26" ht="27.75" customHeight="1">
      <c r="A93" s="4" t="s">
        <v>403</v>
      </c>
      <c r="B93" s="4"/>
      <c r="D93" t="str">
        <f>IF($C93="","",IFERROR(LOOKUP(2,1/('03_Warehouse_Movements'!$C$2:$C$500=$A93),'03_Warehouse_Movements'!$E$2:$E$500),$C93))</f>
        <v/>
      </c>
      <c r="E93" t="s">
        <v>209</v>
      </c>
      <c r="G93" s="32"/>
      <c r="H93" s="3" t="str">
        <f t="shared" si="2"/>
        <v/>
      </c>
      <c r="I93" s="3"/>
      <c r="J93" s="4"/>
      <c r="K93" s="3"/>
      <c r="L93" s="4"/>
      <c r="M93" s="68" t="str">
        <f>IF($C93="","",IFERROR(LOOKUP(2,1/('03_Warehouse_Movements'!$C$2:$C$500=$A93),'03_Warehouse_Movements'!$A$2:$A$500),""))</f>
        <v/>
      </c>
      <c r="N93" s="4" t="str">
        <f>IF($C93="","",IFERROR(LOOKUP(2,1/('03_Warehouse_Movements'!$C$2:$C$500=$A93),'03_Warehouse_Movements'!$H$2:$H$500),""))</f>
        <v/>
      </c>
      <c r="O93" s="4" t="str">
        <f t="shared" si="3"/>
        <v>PAL-0000093</v>
      </c>
      <c r="Q93" s="34"/>
      <c r="R93" s="33"/>
      <c r="W93">
        <f>IF($A2="","",COUNTIF('07_Pallet_Contents'!$A$2:$A$3000,$A2))</f>
        <v>0</v>
      </c>
      <c r="X93">
        <f>IF($A2="","",SUMIF('07_Pallet_Contents'!$A$2:$A$3000,$A2,'07_Pallet_Contents'!$D$2:$D$3000))</f>
        <v>0</v>
      </c>
      <c r="Y93">
        <f>IF($A2="","",SUMIF('07_Pallet_Contents'!$A$2:$A$3000,$A2,'07_Pallet_Contents'!$I$2:$I$3000))</f>
        <v>0</v>
      </c>
      <c r="Z93" t="str">
        <f>IF($A2="","",IF(COUNTIF('07_Pallet_Contents'!$A$2:$A$3000,$A2)&gt;0,"Yes",""))</f>
        <v/>
      </c>
    </row>
    <row r="94" spans="1:26" ht="27.75" customHeight="1">
      <c r="A94" s="4" t="s">
        <v>404</v>
      </c>
      <c r="B94" s="4"/>
      <c r="D94" t="str">
        <f>IF($C94="","",IFERROR(LOOKUP(2,1/('03_Warehouse_Movements'!$C$2:$C$500=$A94),'03_Warehouse_Movements'!$E$2:$E$500),$C94))</f>
        <v/>
      </c>
      <c r="E94" t="s">
        <v>209</v>
      </c>
      <c r="G94" s="32"/>
      <c r="H94" s="3" t="str">
        <f t="shared" si="2"/>
        <v/>
      </c>
      <c r="I94" s="3"/>
      <c r="J94" s="4"/>
      <c r="K94" s="3"/>
      <c r="L94" s="4"/>
      <c r="M94" s="68" t="str">
        <f>IF($C94="","",IFERROR(LOOKUP(2,1/('03_Warehouse_Movements'!$C$2:$C$500=$A94),'03_Warehouse_Movements'!$A$2:$A$500),""))</f>
        <v/>
      </c>
      <c r="N94" s="4" t="str">
        <f>IF($C94="","",IFERROR(LOOKUP(2,1/('03_Warehouse_Movements'!$C$2:$C$500=$A94),'03_Warehouse_Movements'!$H$2:$H$500),""))</f>
        <v/>
      </c>
      <c r="O94" s="4" t="str">
        <f t="shared" si="3"/>
        <v>PAL-0000094</v>
      </c>
      <c r="Q94" s="34"/>
      <c r="R94" s="33"/>
      <c r="W94">
        <f>IF($A2="","",COUNTIF('07_Pallet_Contents'!$A$2:$A$3000,$A2))</f>
        <v>0</v>
      </c>
      <c r="X94">
        <f>IF($A2="","",SUMIF('07_Pallet_Contents'!$A$2:$A$3000,$A2,'07_Pallet_Contents'!$D$2:$D$3000))</f>
        <v>0</v>
      </c>
      <c r="Y94">
        <f>IF($A2="","",SUMIF('07_Pallet_Contents'!$A$2:$A$3000,$A2,'07_Pallet_Contents'!$I$2:$I$3000))</f>
        <v>0</v>
      </c>
      <c r="Z94" t="str">
        <f>IF($A2="","",IF(COUNTIF('07_Pallet_Contents'!$A$2:$A$3000,$A2)&gt;0,"Yes",""))</f>
        <v/>
      </c>
    </row>
    <row r="95" spans="1:26" ht="27.75" customHeight="1">
      <c r="A95" s="4" t="s">
        <v>405</v>
      </c>
      <c r="B95" s="4"/>
      <c r="D95" t="str">
        <f>IF($C95="","",IFERROR(LOOKUP(2,1/('03_Warehouse_Movements'!$C$2:$C$500=$A95),'03_Warehouse_Movements'!$E$2:$E$500),$C95))</f>
        <v/>
      </c>
      <c r="E95" t="s">
        <v>209</v>
      </c>
      <c r="G95" s="32"/>
      <c r="H95" s="3" t="str">
        <f t="shared" si="2"/>
        <v/>
      </c>
      <c r="I95" s="3"/>
      <c r="J95" s="4"/>
      <c r="K95" s="3"/>
      <c r="L95" s="4"/>
      <c r="M95" s="68" t="str">
        <f>IF($C95="","",IFERROR(LOOKUP(2,1/('03_Warehouse_Movements'!$C$2:$C$500=$A95),'03_Warehouse_Movements'!$A$2:$A$500),""))</f>
        <v/>
      </c>
      <c r="N95" s="4" t="str">
        <f>IF($C95="","",IFERROR(LOOKUP(2,1/('03_Warehouse_Movements'!$C$2:$C$500=$A95),'03_Warehouse_Movements'!$H$2:$H$500),""))</f>
        <v/>
      </c>
      <c r="O95" s="4" t="str">
        <f t="shared" si="3"/>
        <v>PAL-0000095</v>
      </c>
      <c r="Q95" s="34"/>
      <c r="R95" s="33"/>
      <c r="W95">
        <f>IF($A2="","",COUNTIF('07_Pallet_Contents'!$A$2:$A$3000,$A2))</f>
        <v>0</v>
      </c>
      <c r="X95">
        <f>IF($A2="","",SUMIF('07_Pallet_Contents'!$A$2:$A$3000,$A2,'07_Pallet_Contents'!$D$2:$D$3000))</f>
        <v>0</v>
      </c>
      <c r="Y95">
        <f>IF($A2="","",SUMIF('07_Pallet_Contents'!$A$2:$A$3000,$A2,'07_Pallet_Contents'!$I$2:$I$3000))</f>
        <v>0</v>
      </c>
      <c r="Z95" t="str">
        <f>IF($A2="","",IF(COUNTIF('07_Pallet_Contents'!$A$2:$A$3000,$A2)&gt;0,"Yes",""))</f>
        <v/>
      </c>
    </row>
    <row r="96" spans="1:26" ht="27.75" customHeight="1">
      <c r="A96" s="4" t="s">
        <v>406</v>
      </c>
      <c r="B96" s="4"/>
      <c r="D96" t="str">
        <f>IF($C96="","",IFERROR(LOOKUP(2,1/('03_Warehouse_Movements'!$C$2:$C$500=$A96),'03_Warehouse_Movements'!$E$2:$E$500),$C96))</f>
        <v/>
      </c>
      <c r="E96" t="s">
        <v>209</v>
      </c>
      <c r="G96" s="32"/>
      <c r="H96" s="3" t="str">
        <f t="shared" si="2"/>
        <v/>
      </c>
      <c r="I96" s="3"/>
      <c r="J96" s="4"/>
      <c r="K96" s="3"/>
      <c r="L96" s="4"/>
      <c r="M96" s="68" t="str">
        <f>IF($C96="","",IFERROR(LOOKUP(2,1/('03_Warehouse_Movements'!$C$2:$C$500=$A96),'03_Warehouse_Movements'!$A$2:$A$500),""))</f>
        <v/>
      </c>
      <c r="N96" s="4" t="str">
        <f>IF($C96="","",IFERROR(LOOKUP(2,1/('03_Warehouse_Movements'!$C$2:$C$500=$A96),'03_Warehouse_Movements'!$H$2:$H$500),""))</f>
        <v/>
      </c>
      <c r="O96" s="4" t="str">
        <f t="shared" si="3"/>
        <v>PAL-0000096</v>
      </c>
      <c r="Q96" s="34"/>
      <c r="R96" s="33"/>
      <c r="W96">
        <f>IF($A2="","",COUNTIF('07_Pallet_Contents'!$A$2:$A$3000,$A2))</f>
        <v>0</v>
      </c>
      <c r="X96">
        <f>IF($A2="","",SUMIF('07_Pallet_Contents'!$A$2:$A$3000,$A2,'07_Pallet_Contents'!$D$2:$D$3000))</f>
        <v>0</v>
      </c>
      <c r="Y96">
        <f>IF($A2="","",SUMIF('07_Pallet_Contents'!$A$2:$A$3000,$A2,'07_Pallet_Contents'!$I$2:$I$3000))</f>
        <v>0</v>
      </c>
      <c r="Z96" t="str">
        <f>IF($A2="","",IF(COUNTIF('07_Pallet_Contents'!$A$2:$A$3000,$A2)&gt;0,"Yes",""))</f>
        <v/>
      </c>
    </row>
    <row r="97" spans="1:26" ht="27.75" customHeight="1">
      <c r="A97" s="4" t="s">
        <v>407</v>
      </c>
      <c r="B97" s="4"/>
      <c r="D97" t="str">
        <f>IF($C97="","",IFERROR(LOOKUP(2,1/('03_Warehouse_Movements'!$C$2:$C$500=$A97),'03_Warehouse_Movements'!$E$2:$E$500),$C97))</f>
        <v/>
      </c>
      <c r="E97" t="s">
        <v>209</v>
      </c>
      <c r="G97" s="32"/>
      <c r="H97" s="3" t="str">
        <f t="shared" si="2"/>
        <v/>
      </c>
      <c r="I97" s="3"/>
      <c r="J97" s="4"/>
      <c r="K97" s="3"/>
      <c r="L97" s="4"/>
      <c r="M97" s="68" t="str">
        <f>IF($C97="","",IFERROR(LOOKUP(2,1/('03_Warehouse_Movements'!$C$2:$C$500=$A97),'03_Warehouse_Movements'!$A$2:$A$500),""))</f>
        <v/>
      </c>
      <c r="N97" s="4" t="str">
        <f>IF($C97="","",IFERROR(LOOKUP(2,1/('03_Warehouse_Movements'!$C$2:$C$500=$A97),'03_Warehouse_Movements'!$H$2:$H$500),""))</f>
        <v/>
      </c>
      <c r="O97" s="4" t="str">
        <f t="shared" si="3"/>
        <v>PAL-0000097</v>
      </c>
      <c r="Q97" s="34"/>
      <c r="R97" s="33"/>
      <c r="W97">
        <f>IF($A2="","",COUNTIF('07_Pallet_Contents'!$A$2:$A$3000,$A2))</f>
        <v>0</v>
      </c>
      <c r="X97">
        <f>IF($A2="","",SUMIF('07_Pallet_Contents'!$A$2:$A$3000,$A2,'07_Pallet_Contents'!$D$2:$D$3000))</f>
        <v>0</v>
      </c>
      <c r="Y97">
        <f>IF($A2="","",SUMIF('07_Pallet_Contents'!$A$2:$A$3000,$A2,'07_Pallet_Contents'!$I$2:$I$3000))</f>
        <v>0</v>
      </c>
      <c r="Z97" t="str">
        <f>IF($A2="","",IF(COUNTIF('07_Pallet_Contents'!$A$2:$A$3000,$A2)&gt;0,"Yes",""))</f>
        <v/>
      </c>
    </row>
    <row r="98" spans="1:26" ht="27.75" customHeight="1">
      <c r="A98" s="4" t="s">
        <v>408</v>
      </c>
      <c r="B98" s="4"/>
      <c r="D98" t="str">
        <f>IF($C98="","",IFERROR(LOOKUP(2,1/('03_Warehouse_Movements'!$C$2:$C$500=$A98),'03_Warehouse_Movements'!$E$2:$E$500),$C98))</f>
        <v/>
      </c>
      <c r="E98" t="s">
        <v>209</v>
      </c>
      <c r="G98" s="32"/>
      <c r="H98" s="3" t="str">
        <f t="shared" si="2"/>
        <v/>
      </c>
      <c r="I98" s="3"/>
      <c r="J98" s="4"/>
      <c r="K98" s="3"/>
      <c r="L98" s="4"/>
      <c r="M98" s="68" t="str">
        <f>IF($C98="","",IFERROR(LOOKUP(2,1/('03_Warehouse_Movements'!$C$2:$C$500=$A98),'03_Warehouse_Movements'!$A$2:$A$500),""))</f>
        <v/>
      </c>
      <c r="N98" s="4" t="str">
        <f>IF($C98="","",IFERROR(LOOKUP(2,1/('03_Warehouse_Movements'!$C$2:$C$500=$A98),'03_Warehouse_Movements'!$H$2:$H$500),""))</f>
        <v/>
      </c>
      <c r="O98" s="4" t="str">
        <f t="shared" si="3"/>
        <v>PAL-0000098</v>
      </c>
      <c r="Q98" s="34"/>
      <c r="R98" s="33"/>
      <c r="W98">
        <f>IF($A2="","",COUNTIF('07_Pallet_Contents'!$A$2:$A$3000,$A2))</f>
        <v>0</v>
      </c>
      <c r="X98">
        <f>IF($A2="","",SUMIF('07_Pallet_Contents'!$A$2:$A$3000,$A2,'07_Pallet_Contents'!$D$2:$D$3000))</f>
        <v>0</v>
      </c>
      <c r="Y98">
        <f>IF($A2="","",SUMIF('07_Pallet_Contents'!$A$2:$A$3000,$A2,'07_Pallet_Contents'!$I$2:$I$3000))</f>
        <v>0</v>
      </c>
      <c r="Z98" t="str">
        <f>IF($A2="","",IF(COUNTIF('07_Pallet_Contents'!$A$2:$A$3000,$A2)&gt;0,"Yes",""))</f>
        <v/>
      </c>
    </row>
    <row r="99" spans="1:26" ht="27.75" customHeight="1">
      <c r="A99" s="4" t="s">
        <v>409</v>
      </c>
      <c r="B99" s="4"/>
      <c r="D99" t="str">
        <f>IF($C99="","",IFERROR(LOOKUP(2,1/('03_Warehouse_Movements'!$C$2:$C$500=$A99),'03_Warehouse_Movements'!$E$2:$E$500),$C99))</f>
        <v/>
      </c>
      <c r="E99" t="s">
        <v>209</v>
      </c>
      <c r="G99" s="32"/>
      <c r="H99" s="3" t="str">
        <f t="shared" si="2"/>
        <v/>
      </c>
      <c r="I99" s="3"/>
      <c r="J99" s="4"/>
      <c r="K99" s="3"/>
      <c r="L99" s="4"/>
      <c r="M99" s="68" t="str">
        <f>IF($C99="","",IFERROR(LOOKUP(2,1/('03_Warehouse_Movements'!$C$2:$C$500=$A99),'03_Warehouse_Movements'!$A$2:$A$500),""))</f>
        <v/>
      </c>
      <c r="N99" s="4" t="str">
        <f>IF($C99="","",IFERROR(LOOKUP(2,1/('03_Warehouse_Movements'!$C$2:$C$500=$A99),'03_Warehouse_Movements'!$H$2:$H$500),""))</f>
        <v/>
      </c>
      <c r="O99" s="4" t="str">
        <f t="shared" si="3"/>
        <v>PAL-0000099</v>
      </c>
      <c r="Q99" s="34"/>
      <c r="R99" s="33"/>
      <c r="W99">
        <f>IF($A2="","",COUNTIF('07_Pallet_Contents'!$A$2:$A$3000,$A2))</f>
        <v>0</v>
      </c>
      <c r="X99">
        <f>IF($A2="","",SUMIF('07_Pallet_Contents'!$A$2:$A$3000,$A2,'07_Pallet_Contents'!$D$2:$D$3000))</f>
        <v>0</v>
      </c>
      <c r="Y99">
        <f>IF($A2="","",SUMIF('07_Pallet_Contents'!$A$2:$A$3000,$A2,'07_Pallet_Contents'!$I$2:$I$3000))</f>
        <v>0</v>
      </c>
      <c r="Z99" t="str">
        <f>IF($A2="","",IF(COUNTIF('07_Pallet_Contents'!$A$2:$A$3000,$A2)&gt;0,"Yes",""))</f>
        <v/>
      </c>
    </row>
    <row r="100" spans="1:26" ht="27.75" customHeight="1">
      <c r="A100" s="4" t="s">
        <v>410</v>
      </c>
      <c r="B100" s="4"/>
      <c r="D100" t="str">
        <f>IF($C100="","",IFERROR(LOOKUP(2,1/('03_Warehouse_Movements'!$C$2:$C$500=$A100),'03_Warehouse_Movements'!$E$2:$E$500),$C100))</f>
        <v/>
      </c>
      <c r="E100" t="s">
        <v>209</v>
      </c>
      <c r="G100" s="32"/>
      <c r="H100" s="3" t="str">
        <f t="shared" si="2"/>
        <v/>
      </c>
      <c r="I100" s="3"/>
      <c r="J100" s="4"/>
      <c r="K100" s="3"/>
      <c r="L100" s="4"/>
      <c r="M100" s="68" t="str">
        <f>IF($C100="","",IFERROR(LOOKUP(2,1/('03_Warehouse_Movements'!$C$2:$C$500=$A100),'03_Warehouse_Movements'!$A$2:$A$500),""))</f>
        <v/>
      </c>
      <c r="N100" s="4" t="str">
        <f>IF($C100="","",IFERROR(LOOKUP(2,1/('03_Warehouse_Movements'!$C$2:$C$500=$A100),'03_Warehouse_Movements'!$H$2:$H$500),""))</f>
        <v/>
      </c>
      <c r="O100" s="4" t="str">
        <f t="shared" si="3"/>
        <v>PAL-0000100</v>
      </c>
      <c r="Q100" s="34"/>
      <c r="R100" s="33"/>
      <c r="W100">
        <f>IF($A2="","",COUNTIF('07_Pallet_Contents'!$A$2:$A$3000,$A2))</f>
        <v>0</v>
      </c>
      <c r="X100">
        <f>IF($A2="","",SUMIF('07_Pallet_Contents'!$A$2:$A$3000,$A2,'07_Pallet_Contents'!$D$2:$D$3000))</f>
        <v>0</v>
      </c>
      <c r="Y100">
        <f>IF($A2="","",SUMIF('07_Pallet_Contents'!$A$2:$A$3000,$A2,'07_Pallet_Contents'!$I$2:$I$3000))</f>
        <v>0</v>
      </c>
      <c r="Z100" t="str">
        <f>IF($A2="","",IF(COUNTIF('07_Pallet_Contents'!$A$2:$A$3000,$A2)&gt;0,"Yes",""))</f>
        <v/>
      </c>
    </row>
    <row r="101" spans="1:26" ht="27.75" customHeight="1">
      <c r="A101" s="4" t="s">
        <v>411</v>
      </c>
      <c r="B101" s="4"/>
      <c r="D101" t="str">
        <f>IF($C101="","",IFERROR(LOOKUP(2,1/('03_Warehouse_Movements'!$C$2:$C$500=$A101),'03_Warehouse_Movements'!$E$2:$E$500),$C101))</f>
        <v/>
      </c>
      <c r="E101" t="s">
        <v>209</v>
      </c>
      <c r="G101" s="32"/>
      <c r="H101" s="3" t="str">
        <f t="shared" si="2"/>
        <v/>
      </c>
      <c r="I101" s="3"/>
      <c r="J101" s="4"/>
      <c r="K101" s="3"/>
      <c r="L101" s="4"/>
      <c r="M101" s="68" t="str">
        <f>IF($C101="","",IFERROR(LOOKUP(2,1/('03_Warehouse_Movements'!$C$2:$C$500=$A101),'03_Warehouse_Movements'!$A$2:$A$500),""))</f>
        <v/>
      </c>
      <c r="N101" s="4" t="str">
        <f>IF($C101="","",IFERROR(LOOKUP(2,1/('03_Warehouse_Movements'!$C$2:$C$500=$A101),'03_Warehouse_Movements'!$H$2:$H$500),""))</f>
        <v/>
      </c>
      <c r="O101" s="4" t="str">
        <f t="shared" si="3"/>
        <v>PAL-0000101</v>
      </c>
      <c r="Q101" s="34"/>
      <c r="R101" s="33"/>
      <c r="W101">
        <f>IF($A2="","",COUNTIF('07_Pallet_Contents'!$A$2:$A$3000,$A2))</f>
        <v>0</v>
      </c>
      <c r="X101">
        <f>IF($A2="","",SUMIF('07_Pallet_Contents'!$A$2:$A$3000,$A2,'07_Pallet_Contents'!$D$2:$D$3000))</f>
        <v>0</v>
      </c>
      <c r="Y101">
        <f>IF($A2="","",SUMIF('07_Pallet_Contents'!$A$2:$A$3000,$A2,'07_Pallet_Contents'!$I$2:$I$3000))</f>
        <v>0</v>
      </c>
      <c r="Z101" t="str">
        <f>IF($A2="","",IF(COUNTIF('07_Pallet_Contents'!$A$2:$A$3000,$A2)&gt;0,"Yes",""))</f>
        <v/>
      </c>
    </row>
    <row r="102" spans="1:26" ht="27.75" customHeight="1">
      <c r="A102" s="4" t="s">
        <v>412</v>
      </c>
      <c r="B102" s="4"/>
      <c r="D102" t="str">
        <f>IF($C102="","",IFERROR(LOOKUP(2,1/('03_Warehouse_Movements'!$C$2:$C$500=$A102),'03_Warehouse_Movements'!$E$2:$E$500),$C102))</f>
        <v/>
      </c>
      <c r="E102" t="s">
        <v>209</v>
      </c>
      <c r="G102" s="32"/>
      <c r="H102" s="3" t="str">
        <f t="shared" si="2"/>
        <v/>
      </c>
      <c r="I102" s="3"/>
      <c r="J102" s="4"/>
      <c r="K102" s="3"/>
      <c r="L102" s="4"/>
      <c r="M102" s="68" t="str">
        <f>IF($C102="","",IFERROR(LOOKUP(2,1/('03_Warehouse_Movements'!$C$2:$C$500=$A102),'03_Warehouse_Movements'!$A$2:$A$500),""))</f>
        <v/>
      </c>
      <c r="N102" s="4" t="str">
        <f>IF($C102="","",IFERROR(LOOKUP(2,1/('03_Warehouse_Movements'!$C$2:$C$500=$A102),'03_Warehouse_Movements'!$H$2:$H$500),""))</f>
        <v/>
      </c>
      <c r="O102" s="4" t="str">
        <f t="shared" si="3"/>
        <v>PAL-0000102</v>
      </c>
      <c r="Q102" s="34"/>
      <c r="R102" s="33"/>
      <c r="W102">
        <f>IF($A2="","",COUNTIF('07_Pallet_Contents'!$A$2:$A$3000,$A2))</f>
        <v>0</v>
      </c>
      <c r="X102">
        <f>IF($A2="","",SUMIF('07_Pallet_Contents'!$A$2:$A$3000,$A2,'07_Pallet_Contents'!$D$2:$D$3000))</f>
        <v>0</v>
      </c>
      <c r="Y102">
        <f>IF($A2="","",SUMIF('07_Pallet_Contents'!$A$2:$A$3000,$A2,'07_Pallet_Contents'!$I$2:$I$3000))</f>
        <v>0</v>
      </c>
      <c r="Z102" t="str">
        <f>IF($A2="","",IF(COUNTIF('07_Pallet_Contents'!$A$2:$A$3000,$A2)&gt;0,"Yes",""))</f>
        <v/>
      </c>
    </row>
    <row r="103" spans="1:26" ht="27.75" customHeight="1">
      <c r="A103" s="4" t="s">
        <v>413</v>
      </c>
      <c r="B103" s="4"/>
      <c r="D103" t="str">
        <f>IF($C103="","",IFERROR(LOOKUP(2,1/('03_Warehouse_Movements'!$C$2:$C$500=$A103),'03_Warehouse_Movements'!$E$2:$E$500),$C103))</f>
        <v/>
      </c>
      <c r="E103" t="s">
        <v>209</v>
      </c>
      <c r="G103" s="32"/>
      <c r="H103" s="3" t="str">
        <f t="shared" si="2"/>
        <v/>
      </c>
      <c r="I103" s="3"/>
      <c r="J103" s="4"/>
      <c r="K103" s="3"/>
      <c r="L103" s="4"/>
      <c r="M103" s="68" t="str">
        <f>IF($C103="","",IFERROR(LOOKUP(2,1/('03_Warehouse_Movements'!$C$2:$C$500=$A103),'03_Warehouse_Movements'!$A$2:$A$500),""))</f>
        <v/>
      </c>
      <c r="N103" s="4" t="str">
        <f>IF($C103="","",IFERROR(LOOKUP(2,1/('03_Warehouse_Movements'!$C$2:$C$500=$A103),'03_Warehouse_Movements'!$H$2:$H$500),""))</f>
        <v/>
      </c>
      <c r="O103" s="4" t="str">
        <f t="shared" si="3"/>
        <v>PAL-0000103</v>
      </c>
      <c r="Q103" s="34"/>
      <c r="R103" s="33"/>
      <c r="W103">
        <f>IF($A2="","",COUNTIF('07_Pallet_Contents'!$A$2:$A$3000,$A2))</f>
        <v>0</v>
      </c>
      <c r="X103">
        <f>IF($A2="","",SUMIF('07_Pallet_Contents'!$A$2:$A$3000,$A2,'07_Pallet_Contents'!$D$2:$D$3000))</f>
        <v>0</v>
      </c>
      <c r="Y103">
        <f>IF($A2="","",SUMIF('07_Pallet_Contents'!$A$2:$A$3000,$A2,'07_Pallet_Contents'!$I$2:$I$3000))</f>
        <v>0</v>
      </c>
      <c r="Z103" t="str">
        <f>IF($A2="","",IF(COUNTIF('07_Pallet_Contents'!$A$2:$A$3000,$A2)&gt;0,"Yes",""))</f>
        <v/>
      </c>
    </row>
    <row r="104" spans="1:26" ht="27.75" customHeight="1">
      <c r="A104" s="4" t="s">
        <v>414</v>
      </c>
      <c r="B104" s="4"/>
      <c r="D104" t="str">
        <f>IF($C104="","",IFERROR(LOOKUP(2,1/('03_Warehouse_Movements'!$C$2:$C$500=$A104),'03_Warehouse_Movements'!$E$2:$E$500),$C104))</f>
        <v/>
      </c>
      <c r="E104" t="s">
        <v>209</v>
      </c>
      <c r="G104" s="32"/>
      <c r="H104" s="3" t="str">
        <f t="shared" si="2"/>
        <v/>
      </c>
      <c r="I104" s="3"/>
      <c r="J104" s="4"/>
      <c r="K104" s="3"/>
      <c r="L104" s="4"/>
      <c r="M104" s="68" t="str">
        <f>IF($C104="","",IFERROR(LOOKUP(2,1/('03_Warehouse_Movements'!$C$2:$C$500=$A104),'03_Warehouse_Movements'!$A$2:$A$500),""))</f>
        <v/>
      </c>
      <c r="N104" s="4" t="str">
        <f>IF($C104="","",IFERROR(LOOKUP(2,1/('03_Warehouse_Movements'!$C$2:$C$500=$A104),'03_Warehouse_Movements'!$H$2:$H$500),""))</f>
        <v/>
      </c>
      <c r="O104" s="4" t="str">
        <f t="shared" si="3"/>
        <v>PAL-0000104</v>
      </c>
      <c r="Q104" s="34"/>
      <c r="R104" s="33"/>
      <c r="W104">
        <f>IF($A2="","",COUNTIF('07_Pallet_Contents'!$A$2:$A$3000,$A2))</f>
        <v>0</v>
      </c>
      <c r="X104">
        <f>IF($A2="","",SUMIF('07_Pallet_Contents'!$A$2:$A$3000,$A2,'07_Pallet_Contents'!$D$2:$D$3000))</f>
        <v>0</v>
      </c>
      <c r="Y104">
        <f>IF($A2="","",SUMIF('07_Pallet_Contents'!$A$2:$A$3000,$A2,'07_Pallet_Contents'!$I$2:$I$3000))</f>
        <v>0</v>
      </c>
      <c r="Z104" t="str">
        <f>IF($A2="","",IF(COUNTIF('07_Pallet_Contents'!$A$2:$A$3000,$A2)&gt;0,"Yes",""))</f>
        <v/>
      </c>
    </row>
    <row r="105" spans="1:26" ht="27.75" customHeight="1">
      <c r="A105" s="4" t="s">
        <v>415</v>
      </c>
      <c r="B105" s="4"/>
      <c r="D105" t="str">
        <f>IF($C105="","",IFERROR(LOOKUP(2,1/('03_Warehouse_Movements'!$C$2:$C$500=$A105),'03_Warehouse_Movements'!$E$2:$E$500),$C105))</f>
        <v/>
      </c>
      <c r="E105" t="s">
        <v>209</v>
      </c>
      <c r="G105" s="32"/>
      <c r="H105" s="3" t="str">
        <f t="shared" si="2"/>
        <v/>
      </c>
      <c r="I105" s="3"/>
      <c r="J105" s="4"/>
      <c r="K105" s="3"/>
      <c r="L105" s="4"/>
      <c r="M105" s="68" t="str">
        <f>IF($C105="","",IFERROR(LOOKUP(2,1/('03_Warehouse_Movements'!$C$2:$C$500=$A105),'03_Warehouse_Movements'!$A$2:$A$500),""))</f>
        <v/>
      </c>
      <c r="N105" s="4" t="str">
        <f>IF($C105="","",IFERROR(LOOKUP(2,1/('03_Warehouse_Movements'!$C$2:$C$500=$A105),'03_Warehouse_Movements'!$H$2:$H$500),""))</f>
        <v/>
      </c>
      <c r="O105" s="4" t="str">
        <f t="shared" si="3"/>
        <v>PAL-0000105</v>
      </c>
      <c r="Q105" s="34"/>
      <c r="R105" s="33"/>
      <c r="W105">
        <f>IF($A2="","",COUNTIF('07_Pallet_Contents'!$A$2:$A$3000,$A2))</f>
        <v>0</v>
      </c>
      <c r="X105">
        <f>IF($A2="","",SUMIF('07_Pallet_Contents'!$A$2:$A$3000,$A2,'07_Pallet_Contents'!$D$2:$D$3000))</f>
        <v>0</v>
      </c>
      <c r="Y105">
        <f>IF($A2="","",SUMIF('07_Pallet_Contents'!$A$2:$A$3000,$A2,'07_Pallet_Contents'!$I$2:$I$3000))</f>
        <v>0</v>
      </c>
      <c r="Z105" t="str">
        <f>IF($A2="","",IF(COUNTIF('07_Pallet_Contents'!$A$2:$A$3000,$A2)&gt;0,"Yes",""))</f>
        <v/>
      </c>
    </row>
    <row r="106" spans="1:26" ht="27.75" customHeight="1">
      <c r="A106" s="4" t="s">
        <v>416</v>
      </c>
      <c r="B106" s="4"/>
      <c r="D106" t="str">
        <f>IF($C106="","",IFERROR(LOOKUP(2,1/('03_Warehouse_Movements'!$C$2:$C$500=$A106),'03_Warehouse_Movements'!$E$2:$E$500),$C106))</f>
        <v/>
      </c>
      <c r="E106" t="s">
        <v>209</v>
      </c>
      <c r="G106" s="32"/>
      <c r="H106" s="3" t="str">
        <f t="shared" si="2"/>
        <v/>
      </c>
      <c r="I106" s="3"/>
      <c r="J106" s="4"/>
      <c r="K106" s="3"/>
      <c r="L106" s="4"/>
      <c r="M106" s="68" t="str">
        <f>IF($C106="","",IFERROR(LOOKUP(2,1/('03_Warehouse_Movements'!$C$2:$C$500=$A106),'03_Warehouse_Movements'!$A$2:$A$500),""))</f>
        <v/>
      </c>
      <c r="N106" s="4" t="str">
        <f>IF($C106="","",IFERROR(LOOKUP(2,1/('03_Warehouse_Movements'!$C$2:$C$500=$A106),'03_Warehouse_Movements'!$H$2:$H$500),""))</f>
        <v/>
      </c>
      <c r="O106" s="4" t="str">
        <f t="shared" si="3"/>
        <v>PAL-0000106</v>
      </c>
      <c r="Q106" s="34"/>
      <c r="R106" s="33"/>
      <c r="W106">
        <f>IF($A2="","",COUNTIF('07_Pallet_Contents'!$A$2:$A$3000,$A2))</f>
        <v>0</v>
      </c>
      <c r="X106">
        <f>IF($A2="","",SUMIF('07_Pallet_Contents'!$A$2:$A$3000,$A2,'07_Pallet_Contents'!$D$2:$D$3000))</f>
        <v>0</v>
      </c>
      <c r="Y106">
        <f>IF($A2="","",SUMIF('07_Pallet_Contents'!$A$2:$A$3000,$A2,'07_Pallet_Contents'!$I$2:$I$3000))</f>
        <v>0</v>
      </c>
      <c r="Z106" t="str">
        <f>IF($A2="","",IF(COUNTIF('07_Pallet_Contents'!$A$2:$A$3000,$A2)&gt;0,"Yes",""))</f>
        <v/>
      </c>
    </row>
    <row r="107" spans="1:26" ht="27.75" customHeight="1">
      <c r="A107" s="4" t="s">
        <v>417</v>
      </c>
      <c r="B107" s="4"/>
      <c r="D107" t="str">
        <f>IF($C107="","",IFERROR(LOOKUP(2,1/('03_Warehouse_Movements'!$C$2:$C$500=$A107),'03_Warehouse_Movements'!$E$2:$E$500),$C107))</f>
        <v/>
      </c>
      <c r="E107" t="s">
        <v>209</v>
      </c>
      <c r="G107" s="32"/>
      <c r="H107" s="3" t="str">
        <f t="shared" si="2"/>
        <v/>
      </c>
      <c r="I107" s="3"/>
      <c r="J107" s="4"/>
      <c r="K107" s="3"/>
      <c r="L107" s="4"/>
      <c r="M107" s="68" t="str">
        <f>IF($C107="","",IFERROR(LOOKUP(2,1/('03_Warehouse_Movements'!$C$2:$C$500=$A107),'03_Warehouse_Movements'!$A$2:$A$500),""))</f>
        <v/>
      </c>
      <c r="N107" s="4" t="str">
        <f>IF($C107="","",IFERROR(LOOKUP(2,1/('03_Warehouse_Movements'!$C$2:$C$500=$A107),'03_Warehouse_Movements'!$H$2:$H$500),""))</f>
        <v/>
      </c>
      <c r="O107" s="4" t="str">
        <f t="shared" si="3"/>
        <v>PAL-0000107</v>
      </c>
      <c r="Q107" s="34"/>
      <c r="R107" s="33"/>
      <c r="W107">
        <f>IF($A2="","",COUNTIF('07_Pallet_Contents'!$A$2:$A$3000,$A2))</f>
        <v>0</v>
      </c>
      <c r="X107">
        <f>IF($A2="","",SUMIF('07_Pallet_Contents'!$A$2:$A$3000,$A2,'07_Pallet_Contents'!$D$2:$D$3000))</f>
        <v>0</v>
      </c>
      <c r="Y107">
        <f>IF($A2="","",SUMIF('07_Pallet_Contents'!$A$2:$A$3000,$A2,'07_Pallet_Contents'!$I$2:$I$3000))</f>
        <v>0</v>
      </c>
      <c r="Z107" t="str">
        <f>IF($A2="","",IF(COUNTIF('07_Pallet_Contents'!$A$2:$A$3000,$A2)&gt;0,"Yes",""))</f>
        <v/>
      </c>
    </row>
    <row r="108" spans="1:26" ht="27.75" customHeight="1">
      <c r="A108" s="4" t="s">
        <v>418</v>
      </c>
      <c r="B108" s="4"/>
      <c r="D108" t="str">
        <f>IF($C108="","",IFERROR(LOOKUP(2,1/('03_Warehouse_Movements'!$C$2:$C$500=$A108),'03_Warehouse_Movements'!$E$2:$E$500),$C108))</f>
        <v/>
      </c>
      <c r="E108" t="s">
        <v>209</v>
      </c>
      <c r="G108" s="32"/>
      <c r="H108" s="3" t="str">
        <f t="shared" si="2"/>
        <v/>
      </c>
      <c r="I108" s="3"/>
      <c r="J108" s="4"/>
      <c r="K108" s="3"/>
      <c r="L108" s="4"/>
      <c r="M108" s="68" t="str">
        <f>IF($C108="","",IFERROR(LOOKUP(2,1/('03_Warehouse_Movements'!$C$2:$C$500=$A108),'03_Warehouse_Movements'!$A$2:$A$500),""))</f>
        <v/>
      </c>
      <c r="N108" s="4" t="str">
        <f>IF($C108="","",IFERROR(LOOKUP(2,1/('03_Warehouse_Movements'!$C$2:$C$500=$A108),'03_Warehouse_Movements'!$H$2:$H$500),""))</f>
        <v/>
      </c>
      <c r="O108" s="4" t="str">
        <f t="shared" si="3"/>
        <v>PAL-0000108</v>
      </c>
      <c r="Q108" s="34"/>
      <c r="R108" s="33"/>
      <c r="W108">
        <f>IF($A2="","",COUNTIF('07_Pallet_Contents'!$A$2:$A$3000,$A2))</f>
        <v>0</v>
      </c>
      <c r="X108">
        <f>IF($A2="","",SUMIF('07_Pallet_Contents'!$A$2:$A$3000,$A2,'07_Pallet_Contents'!$D$2:$D$3000))</f>
        <v>0</v>
      </c>
      <c r="Y108">
        <f>IF($A2="","",SUMIF('07_Pallet_Contents'!$A$2:$A$3000,$A2,'07_Pallet_Contents'!$I$2:$I$3000))</f>
        <v>0</v>
      </c>
      <c r="Z108" t="str">
        <f>IF($A2="","",IF(COUNTIF('07_Pallet_Contents'!$A$2:$A$3000,$A2)&gt;0,"Yes",""))</f>
        <v/>
      </c>
    </row>
    <row r="109" spans="1:26" ht="27.75" customHeight="1">
      <c r="A109" s="4" t="s">
        <v>419</v>
      </c>
      <c r="B109" s="4"/>
      <c r="D109" t="str">
        <f>IF($C109="","",IFERROR(LOOKUP(2,1/('03_Warehouse_Movements'!$C$2:$C$500=$A109),'03_Warehouse_Movements'!$E$2:$E$500),$C109))</f>
        <v/>
      </c>
      <c r="E109" t="s">
        <v>209</v>
      </c>
      <c r="G109" s="32"/>
      <c r="H109" s="3" t="str">
        <f t="shared" si="2"/>
        <v/>
      </c>
      <c r="I109" s="3"/>
      <c r="J109" s="4"/>
      <c r="K109" s="3"/>
      <c r="L109" s="4"/>
      <c r="M109" s="68" t="str">
        <f>IF($C109="","",IFERROR(LOOKUP(2,1/('03_Warehouse_Movements'!$C$2:$C$500=$A109),'03_Warehouse_Movements'!$A$2:$A$500),""))</f>
        <v/>
      </c>
      <c r="N109" s="4" t="str">
        <f>IF($C109="","",IFERROR(LOOKUP(2,1/('03_Warehouse_Movements'!$C$2:$C$500=$A109),'03_Warehouse_Movements'!$H$2:$H$500),""))</f>
        <v/>
      </c>
      <c r="O109" s="4" t="str">
        <f t="shared" si="3"/>
        <v>PAL-0000109</v>
      </c>
      <c r="Q109" s="34"/>
      <c r="R109" s="33"/>
      <c r="W109">
        <f>IF($A2="","",COUNTIF('07_Pallet_Contents'!$A$2:$A$3000,$A2))</f>
        <v>0</v>
      </c>
      <c r="X109">
        <f>IF($A2="","",SUMIF('07_Pallet_Contents'!$A$2:$A$3000,$A2,'07_Pallet_Contents'!$D$2:$D$3000))</f>
        <v>0</v>
      </c>
      <c r="Y109">
        <f>IF($A2="","",SUMIF('07_Pallet_Contents'!$A$2:$A$3000,$A2,'07_Pallet_Contents'!$I$2:$I$3000))</f>
        <v>0</v>
      </c>
      <c r="Z109" t="str">
        <f>IF($A2="","",IF(COUNTIF('07_Pallet_Contents'!$A$2:$A$3000,$A2)&gt;0,"Yes",""))</f>
        <v/>
      </c>
    </row>
    <row r="110" spans="1:26" ht="27.75" customHeight="1">
      <c r="A110" s="4" t="s">
        <v>420</v>
      </c>
      <c r="B110" s="4"/>
      <c r="D110" t="str">
        <f>IF($C110="","",IFERROR(LOOKUP(2,1/('03_Warehouse_Movements'!$C$2:$C$500=$A110),'03_Warehouse_Movements'!$E$2:$E$500),$C110))</f>
        <v/>
      </c>
      <c r="E110" t="s">
        <v>209</v>
      </c>
      <c r="G110" s="32"/>
      <c r="H110" s="3" t="str">
        <f t="shared" si="2"/>
        <v/>
      </c>
      <c r="I110" s="3"/>
      <c r="J110" s="4"/>
      <c r="K110" s="3"/>
      <c r="L110" s="4"/>
      <c r="M110" s="68" t="str">
        <f>IF($C110="","",IFERROR(LOOKUP(2,1/('03_Warehouse_Movements'!$C$2:$C$500=$A110),'03_Warehouse_Movements'!$A$2:$A$500),""))</f>
        <v/>
      </c>
      <c r="N110" s="4" t="str">
        <f>IF($C110="","",IFERROR(LOOKUP(2,1/('03_Warehouse_Movements'!$C$2:$C$500=$A110),'03_Warehouse_Movements'!$H$2:$H$500),""))</f>
        <v/>
      </c>
      <c r="O110" s="4" t="str">
        <f t="shared" si="3"/>
        <v>PAL-0000110</v>
      </c>
      <c r="Q110" s="34"/>
      <c r="R110" s="33"/>
      <c r="W110">
        <f>IF($A2="","",COUNTIF('07_Pallet_Contents'!$A$2:$A$3000,$A2))</f>
        <v>0</v>
      </c>
      <c r="X110">
        <f>IF($A2="","",SUMIF('07_Pallet_Contents'!$A$2:$A$3000,$A2,'07_Pallet_Contents'!$D$2:$D$3000))</f>
        <v>0</v>
      </c>
      <c r="Y110">
        <f>IF($A2="","",SUMIF('07_Pallet_Contents'!$A$2:$A$3000,$A2,'07_Pallet_Contents'!$I$2:$I$3000))</f>
        <v>0</v>
      </c>
      <c r="Z110" t="str">
        <f>IF($A2="","",IF(COUNTIF('07_Pallet_Contents'!$A$2:$A$3000,$A2)&gt;0,"Yes",""))</f>
        <v/>
      </c>
    </row>
    <row r="111" spans="1:26" ht="27.75" customHeight="1">
      <c r="A111" s="4" t="s">
        <v>421</v>
      </c>
      <c r="B111" s="4"/>
      <c r="D111" t="str">
        <f>IF($C111="","",IFERROR(LOOKUP(2,1/('03_Warehouse_Movements'!$C$2:$C$500=$A111),'03_Warehouse_Movements'!$E$2:$E$500),$C111))</f>
        <v/>
      </c>
      <c r="E111" t="s">
        <v>209</v>
      </c>
      <c r="G111" s="32"/>
      <c r="H111" s="3" t="str">
        <f t="shared" si="2"/>
        <v/>
      </c>
      <c r="I111" s="3"/>
      <c r="J111" s="4"/>
      <c r="K111" s="3"/>
      <c r="L111" s="4"/>
      <c r="M111" s="68" t="str">
        <f>IF($C111="","",IFERROR(LOOKUP(2,1/('03_Warehouse_Movements'!$C$2:$C$500=$A111),'03_Warehouse_Movements'!$A$2:$A$500),""))</f>
        <v/>
      </c>
      <c r="N111" s="4" t="str">
        <f>IF($C111="","",IFERROR(LOOKUP(2,1/('03_Warehouse_Movements'!$C$2:$C$500=$A111),'03_Warehouse_Movements'!$H$2:$H$500),""))</f>
        <v/>
      </c>
      <c r="O111" s="4" t="str">
        <f t="shared" si="3"/>
        <v>PAL-0000111</v>
      </c>
      <c r="Q111" s="34"/>
      <c r="R111" s="33"/>
      <c r="W111">
        <f>IF($A2="","",COUNTIF('07_Pallet_Contents'!$A$2:$A$3000,$A2))</f>
        <v>0</v>
      </c>
      <c r="X111">
        <f>IF($A2="","",SUMIF('07_Pallet_Contents'!$A$2:$A$3000,$A2,'07_Pallet_Contents'!$D$2:$D$3000))</f>
        <v>0</v>
      </c>
      <c r="Y111">
        <f>IF($A2="","",SUMIF('07_Pallet_Contents'!$A$2:$A$3000,$A2,'07_Pallet_Contents'!$I$2:$I$3000))</f>
        <v>0</v>
      </c>
      <c r="Z111" t="str">
        <f>IF($A2="","",IF(COUNTIF('07_Pallet_Contents'!$A$2:$A$3000,$A2)&gt;0,"Yes",""))</f>
        <v/>
      </c>
    </row>
    <row r="112" spans="1:26" ht="27.75" customHeight="1">
      <c r="A112" s="4" t="s">
        <v>422</v>
      </c>
      <c r="B112" s="4"/>
      <c r="D112" t="str">
        <f>IF($C112="","",IFERROR(LOOKUP(2,1/('03_Warehouse_Movements'!$C$2:$C$500=$A112),'03_Warehouse_Movements'!$E$2:$E$500),$C112))</f>
        <v/>
      </c>
      <c r="E112" t="s">
        <v>209</v>
      </c>
      <c r="G112" s="32"/>
      <c r="H112" s="3" t="str">
        <f t="shared" si="2"/>
        <v/>
      </c>
      <c r="I112" s="3"/>
      <c r="J112" s="4"/>
      <c r="K112" s="3"/>
      <c r="L112" s="4"/>
      <c r="M112" s="68" t="str">
        <f>IF($C112="","",IFERROR(LOOKUP(2,1/('03_Warehouse_Movements'!$C$2:$C$500=$A112),'03_Warehouse_Movements'!$A$2:$A$500),""))</f>
        <v/>
      </c>
      <c r="N112" s="4" t="str">
        <f>IF($C112="","",IFERROR(LOOKUP(2,1/('03_Warehouse_Movements'!$C$2:$C$500=$A112),'03_Warehouse_Movements'!$H$2:$H$500),""))</f>
        <v/>
      </c>
      <c r="O112" s="4" t="str">
        <f t="shared" si="3"/>
        <v>PAL-0000112</v>
      </c>
      <c r="Q112" s="34"/>
      <c r="R112" s="33"/>
      <c r="W112">
        <f>IF($A2="","",COUNTIF('07_Pallet_Contents'!$A$2:$A$3000,$A2))</f>
        <v>0</v>
      </c>
      <c r="X112">
        <f>IF($A2="","",SUMIF('07_Pallet_Contents'!$A$2:$A$3000,$A2,'07_Pallet_Contents'!$D$2:$D$3000))</f>
        <v>0</v>
      </c>
      <c r="Y112">
        <f>IF($A2="","",SUMIF('07_Pallet_Contents'!$A$2:$A$3000,$A2,'07_Pallet_Contents'!$I$2:$I$3000))</f>
        <v>0</v>
      </c>
      <c r="Z112" t="str">
        <f>IF($A2="","",IF(COUNTIF('07_Pallet_Contents'!$A$2:$A$3000,$A2)&gt;0,"Yes",""))</f>
        <v/>
      </c>
    </row>
    <row r="113" spans="1:26" ht="27.75" customHeight="1">
      <c r="A113" s="4" t="s">
        <v>423</v>
      </c>
      <c r="B113" s="4"/>
      <c r="D113" t="str">
        <f>IF($C113="","",IFERROR(LOOKUP(2,1/('03_Warehouse_Movements'!$C$2:$C$500=$A113),'03_Warehouse_Movements'!$E$2:$E$500),$C113))</f>
        <v/>
      </c>
      <c r="E113" t="s">
        <v>209</v>
      </c>
      <c r="G113" s="32"/>
      <c r="H113" s="3" t="str">
        <f t="shared" si="2"/>
        <v/>
      </c>
      <c r="I113" s="3"/>
      <c r="J113" s="4"/>
      <c r="K113" s="3"/>
      <c r="L113" s="4"/>
      <c r="M113" s="68" t="str">
        <f>IF($C113="","",IFERROR(LOOKUP(2,1/('03_Warehouse_Movements'!$C$2:$C$500=$A113),'03_Warehouse_Movements'!$A$2:$A$500),""))</f>
        <v/>
      </c>
      <c r="N113" s="4" t="str">
        <f>IF($C113="","",IFERROR(LOOKUP(2,1/('03_Warehouse_Movements'!$C$2:$C$500=$A113),'03_Warehouse_Movements'!$H$2:$H$500),""))</f>
        <v/>
      </c>
      <c r="O113" s="4" t="str">
        <f t="shared" si="3"/>
        <v>PAL-0000113</v>
      </c>
      <c r="Q113" s="34"/>
      <c r="R113" s="33"/>
      <c r="W113">
        <f>IF($A2="","",COUNTIF('07_Pallet_Contents'!$A$2:$A$3000,$A2))</f>
        <v>0</v>
      </c>
      <c r="X113">
        <f>IF($A2="","",SUMIF('07_Pallet_Contents'!$A$2:$A$3000,$A2,'07_Pallet_Contents'!$D$2:$D$3000))</f>
        <v>0</v>
      </c>
      <c r="Y113">
        <f>IF($A2="","",SUMIF('07_Pallet_Contents'!$A$2:$A$3000,$A2,'07_Pallet_Contents'!$I$2:$I$3000))</f>
        <v>0</v>
      </c>
      <c r="Z113" t="str">
        <f>IF($A2="","",IF(COUNTIF('07_Pallet_Contents'!$A$2:$A$3000,$A2)&gt;0,"Yes",""))</f>
        <v/>
      </c>
    </row>
    <row r="114" spans="1:26" ht="27.75" customHeight="1">
      <c r="A114" s="4" t="s">
        <v>424</v>
      </c>
      <c r="B114" s="4"/>
      <c r="D114" t="str">
        <f>IF($C114="","",IFERROR(LOOKUP(2,1/('03_Warehouse_Movements'!$C$2:$C$500=$A114),'03_Warehouse_Movements'!$E$2:$E$500),$C114))</f>
        <v/>
      </c>
      <c r="E114" t="s">
        <v>209</v>
      </c>
      <c r="G114" s="32"/>
      <c r="H114" s="3" t="str">
        <f t="shared" si="2"/>
        <v/>
      </c>
      <c r="I114" s="3"/>
      <c r="J114" s="4"/>
      <c r="K114" s="3"/>
      <c r="L114" s="4"/>
      <c r="M114" s="68" t="str">
        <f>IF($C114="","",IFERROR(LOOKUP(2,1/('03_Warehouse_Movements'!$C$2:$C$500=$A114),'03_Warehouse_Movements'!$A$2:$A$500),""))</f>
        <v/>
      </c>
      <c r="N114" s="4" t="str">
        <f>IF($C114="","",IFERROR(LOOKUP(2,1/('03_Warehouse_Movements'!$C$2:$C$500=$A114),'03_Warehouse_Movements'!$H$2:$H$500),""))</f>
        <v/>
      </c>
      <c r="O114" s="4" t="str">
        <f t="shared" si="3"/>
        <v>PAL-0000114</v>
      </c>
      <c r="Q114" s="34"/>
      <c r="R114" s="33"/>
      <c r="W114">
        <f>IF($A2="","",COUNTIF('07_Pallet_Contents'!$A$2:$A$3000,$A2))</f>
        <v>0</v>
      </c>
      <c r="X114">
        <f>IF($A2="","",SUMIF('07_Pallet_Contents'!$A$2:$A$3000,$A2,'07_Pallet_Contents'!$D$2:$D$3000))</f>
        <v>0</v>
      </c>
      <c r="Y114">
        <f>IF($A2="","",SUMIF('07_Pallet_Contents'!$A$2:$A$3000,$A2,'07_Pallet_Contents'!$I$2:$I$3000))</f>
        <v>0</v>
      </c>
      <c r="Z114" t="str">
        <f>IF($A2="","",IF(COUNTIF('07_Pallet_Contents'!$A$2:$A$3000,$A2)&gt;0,"Yes",""))</f>
        <v/>
      </c>
    </row>
    <row r="115" spans="1:26" ht="27.75" customHeight="1">
      <c r="A115" s="4" t="s">
        <v>425</v>
      </c>
      <c r="B115" s="4"/>
      <c r="D115" t="str">
        <f>IF($C115="","",IFERROR(LOOKUP(2,1/('03_Warehouse_Movements'!$C$2:$C$500=$A115),'03_Warehouse_Movements'!$E$2:$E$500),$C115))</f>
        <v/>
      </c>
      <c r="E115" t="s">
        <v>209</v>
      </c>
      <c r="G115" s="32"/>
      <c r="H115" s="3" t="str">
        <f t="shared" si="2"/>
        <v/>
      </c>
      <c r="I115" s="3"/>
      <c r="J115" s="4"/>
      <c r="K115" s="3"/>
      <c r="L115" s="4"/>
      <c r="M115" s="68" t="str">
        <f>IF($C115="","",IFERROR(LOOKUP(2,1/('03_Warehouse_Movements'!$C$2:$C$500=$A115),'03_Warehouse_Movements'!$A$2:$A$500),""))</f>
        <v/>
      </c>
      <c r="N115" s="4" t="str">
        <f>IF($C115="","",IFERROR(LOOKUP(2,1/('03_Warehouse_Movements'!$C$2:$C$500=$A115),'03_Warehouse_Movements'!$H$2:$H$500),""))</f>
        <v/>
      </c>
      <c r="O115" s="4" t="str">
        <f t="shared" si="3"/>
        <v>PAL-0000115</v>
      </c>
      <c r="Q115" s="34"/>
      <c r="R115" s="33"/>
      <c r="W115">
        <f>IF($A2="","",COUNTIF('07_Pallet_Contents'!$A$2:$A$3000,$A2))</f>
        <v>0</v>
      </c>
      <c r="X115">
        <f>IF($A2="","",SUMIF('07_Pallet_Contents'!$A$2:$A$3000,$A2,'07_Pallet_Contents'!$D$2:$D$3000))</f>
        <v>0</v>
      </c>
      <c r="Y115">
        <f>IF($A2="","",SUMIF('07_Pallet_Contents'!$A$2:$A$3000,$A2,'07_Pallet_Contents'!$I$2:$I$3000))</f>
        <v>0</v>
      </c>
      <c r="Z115" t="str">
        <f>IF($A2="","",IF(COUNTIF('07_Pallet_Contents'!$A$2:$A$3000,$A2)&gt;0,"Yes",""))</f>
        <v/>
      </c>
    </row>
    <row r="116" spans="1:26" ht="27.75" customHeight="1">
      <c r="A116" s="4" t="s">
        <v>426</v>
      </c>
      <c r="B116" s="4"/>
      <c r="D116" t="str">
        <f>IF($C116="","",IFERROR(LOOKUP(2,1/('03_Warehouse_Movements'!$C$2:$C$500=$A116),'03_Warehouse_Movements'!$E$2:$E$500),$C116))</f>
        <v/>
      </c>
      <c r="E116" t="s">
        <v>209</v>
      </c>
      <c r="G116" s="32"/>
      <c r="H116" s="3" t="str">
        <f t="shared" si="2"/>
        <v/>
      </c>
      <c r="I116" s="3"/>
      <c r="J116" s="4"/>
      <c r="K116" s="3"/>
      <c r="L116" s="4"/>
      <c r="M116" s="68" t="str">
        <f>IF($C116="","",IFERROR(LOOKUP(2,1/('03_Warehouse_Movements'!$C$2:$C$500=$A116),'03_Warehouse_Movements'!$A$2:$A$500),""))</f>
        <v/>
      </c>
      <c r="N116" s="4" t="str">
        <f>IF($C116="","",IFERROR(LOOKUP(2,1/('03_Warehouse_Movements'!$C$2:$C$500=$A116),'03_Warehouse_Movements'!$H$2:$H$500),""))</f>
        <v/>
      </c>
      <c r="O116" s="4" t="str">
        <f t="shared" si="3"/>
        <v>PAL-0000116</v>
      </c>
      <c r="Q116" s="34"/>
      <c r="R116" s="33"/>
      <c r="W116">
        <f>IF($A2="","",COUNTIF('07_Pallet_Contents'!$A$2:$A$3000,$A2))</f>
        <v>0</v>
      </c>
      <c r="X116">
        <f>IF($A2="","",SUMIF('07_Pallet_Contents'!$A$2:$A$3000,$A2,'07_Pallet_Contents'!$D$2:$D$3000))</f>
        <v>0</v>
      </c>
      <c r="Y116">
        <f>IF($A2="","",SUMIF('07_Pallet_Contents'!$A$2:$A$3000,$A2,'07_Pallet_Contents'!$I$2:$I$3000))</f>
        <v>0</v>
      </c>
      <c r="Z116" t="str">
        <f>IF($A2="","",IF(COUNTIF('07_Pallet_Contents'!$A$2:$A$3000,$A2)&gt;0,"Yes",""))</f>
        <v/>
      </c>
    </row>
    <row r="117" spans="1:26" ht="27.75" customHeight="1">
      <c r="A117" s="4" t="s">
        <v>427</v>
      </c>
      <c r="B117" s="4"/>
      <c r="D117" t="str">
        <f>IF($C117="","",IFERROR(LOOKUP(2,1/('03_Warehouse_Movements'!$C$2:$C$500=$A117),'03_Warehouse_Movements'!$E$2:$E$500),$C117))</f>
        <v/>
      </c>
      <c r="E117" t="s">
        <v>209</v>
      </c>
      <c r="G117" s="32"/>
      <c r="H117" s="3" t="str">
        <f t="shared" si="2"/>
        <v/>
      </c>
      <c r="I117" s="3"/>
      <c r="J117" s="4"/>
      <c r="K117" s="3"/>
      <c r="L117" s="4"/>
      <c r="M117" s="68" t="str">
        <f>IF($C117="","",IFERROR(LOOKUP(2,1/('03_Warehouse_Movements'!$C$2:$C$500=$A117),'03_Warehouse_Movements'!$A$2:$A$500),""))</f>
        <v/>
      </c>
      <c r="N117" s="4" t="str">
        <f>IF($C117="","",IFERROR(LOOKUP(2,1/('03_Warehouse_Movements'!$C$2:$C$500=$A117),'03_Warehouse_Movements'!$H$2:$H$500),""))</f>
        <v/>
      </c>
      <c r="O117" s="4" t="str">
        <f t="shared" si="3"/>
        <v>PAL-0000117</v>
      </c>
      <c r="Q117" s="34"/>
      <c r="R117" s="33"/>
      <c r="W117">
        <f>IF($A2="","",COUNTIF('07_Pallet_Contents'!$A$2:$A$3000,$A2))</f>
        <v>0</v>
      </c>
      <c r="X117">
        <f>IF($A2="","",SUMIF('07_Pallet_Contents'!$A$2:$A$3000,$A2,'07_Pallet_Contents'!$D$2:$D$3000))</f>
        <v>0</v>
      </c>
      <c r="Y117">
        <f>IF($A2="","",SUMIF('07_Pallet_Contents'!$A$2:$A$3000,$A2,'07_Pallet_Contents'!$I$2:$I$3000))</f>
        <v>0</v>
      </c>
      <c r="Z117" t="str">
        <f>IF($A2="","",IF(COUNTIF('07_Pallet_Contents'!$A$2:$A$3000,$A2)&gt;0,"Yes",""))</f>
        <v/>
      </c>
    </row>
    <row r="118" spans="1:26" ht="27.75" customHeight="1">
      <c r="A118" s="4" t="s">
        <v>428</v>
      </c>
      <c r="B118" s="4"/>
      <c r="D118" t="str">
        <f>IF($C118="","",IFERROR(LOOKUP(2,1/('03_Warehouse_Movements'!$C$2:$C$500=$A118),'03_Warehouse_Movements'!$E$2:$E$500),$C118))</f>
        <v/>
      </c>
      <c r="E118" t="s">
        <v>209</v>
      </c>
      <c r="G118" s="32"/>
      <c r="H118" s="3" t="str">
        <f t="shared" si="2"/>
        <v/>
      </c>
      <c r="I118" s="3"/>
      <c r="J118" s="4"/>
      <c r="K118" s="3"/>
      <c r="L118" s="4"/>
      <c r="M118" s="68" t="str">
        <f>IF($C118="","",IFERROR(LOOKUP(2,1/('03_Warehouse_Movements'!$C$2:$C$500=$A118),'03_Warehouse_Movements'!$A$2:$A$500),""))</f>
        <v/>
      </c>
      <c r="N118" s="4" t="str">
        <f>IF($C118="","",IFERROR(LOOKUP(2,1/('03_Warehouse_Movements'!$C$2:$C$500=$A118),'03_Warehouse_Movements'!$H$2:$H$500),""))</f>
        <v/>
      </c>
      <c r="O118" s="4" t="str">
        <f t="shared" si="3"/>
        <v>PAL-0000118</v>
      </c>
      <c r="Q118" s="34"/>
      <c r="R118" s="33"/>
      <c r="W118">
        <f>IF($A2="","",COUNTIF('07_Pallet_Contents'!$A$2:$A$3000,$A2))</f>
        <v>0</v>
      </c>
      <c r="X118">
        <f>IF($A2="","",SUMIF('07_Pallet_Contents'!$A$2:$A$3000,$A2,'07_Pallet_Contents'!$D$2:$D$3000))</f>
        <v>0</v>
      </c>
      <c r="Y118">
        <f>IF($A2="","",SUMIF('07_Pallet_Contents'!$A$2:$A$3000,$A2,'07_Pallet_Contents'!$I$2:$I$3000))</f>
        <v>0</v>
      </c>
      <c r="Z118" t="str">
        <f>IF($A2="","",IF(COUNTIF('07_Pallet_Contents'!$A$2:$A$3000,$A2)&gt;0,"Yes",""))</f>
        <v/>
      </c>
    </row>
    <row r="119" spans="1:26" ht="27.75" customHeight="1">
      <c r="A119" s="4" t="s">
        <v>429</v>
      </c>
      <c r="B119" s="4"/>
      <c r="D119" t="str">
        <f>IF($C119="","",IFERROR(LOOKUP(2,1/('03_Warehouse_Movements'!$C$2:$C$500=$A119),'03_Warehouse_Movements'!$E$2:$E$500),$C119))</f>
        <v/>
      </c>
      <c r="E119" t="s">
        <v>209</v>
      </c>
      <c r="G119" s="32"/>
      <c r="H119" s="3" t="str">
        <f t="shared" si="2"/>
        <v/>
      </c>
      <c r="I119" s="3"/>
      <c r="J119" s="4"/>
      <c r="K119" s="3"/>
      <c r="L119" s="4"/>
      <c r="M119" s="68" t="str">
        <f>IF($C119="","",IFERROR(LOOKUP(2,1/('03_Warehouse_Movements'!$C$2:$C$500=$A119),'03_Warehouse_Movements'!$A$2:$A$500),""))</f>
        <v/>
      </c>
      <c r="N119" s="4" t="str">
        <f>IF($C119="","",IFERROR(LOOKUP(2,1/('03_Warehouse_Movements'!$C$2:$C$500=$A119),'03_Warehouse_Movements'!$H$2:$H$500),""))</f>
        <v/>
      </c>
      <c r="O119" s="4" t="str">
        <f t="shared" si="3"/>
        <v>PAL-0000119</v>
      </c>
      <c r="Q119" s="34"/>
      <c r="R119" s="33"/>
      <c r="W119">
        <f>IF($A2="","",COUNTIF('07_Pallet_Contents'!$A$2:$A$3000,$A2))</f>
        <v>0</v>
      </c>
      <c r="X119">
        <f>IF($A2="","",SUMIF('07_Pallet_Contents'!$A$2:$A$3000,$A2,'07_Pallet_Contents'!$D$2:$D$3000))</f>
        <v>0</v>
      </c>
      <c r="Y119">
        <f>IF($A2="","",SUMIF('07_Pallet_Contents'!$A$2:$A$3000,$A2,'07_Pallet_Contents'!$I$2:$I$3000))</f>
        <v>0</v>
      </c>
      <c r="Z119" t="str">
        <f>IF($A2="","",IF(COUNTIF('07_Pallet_Contents'!$A$2:$A$3000,$A2)&gt;0,"Yes",""))</f>
        <v/>
      </c>
    </row>
    <row r="120" spans="1:26" ht="27.75" customHeight="1">
      <c r="A120" s="4" t="s">
        <v>430</v>
      </c>
      <c r="B120" s="4"/>
      <c r="D120" t="str">
        <f>IF($C120="","",IFERROR(LOOKUP(2,1/('03_Warehouse_Movements'!$C$2:$C$500=$A120),'03_Warehouse_Movements'!$E$2:$E$500),$C120))</f>
        <v/>
      </c>
      <c r="E120" t="s">
        <v>209</v>
      </c>
      <c r="G120" s="32"/>
      <c r="H120" s="3" t="str">
        <f t="shared" si="2"/>
        <v/>
      </c>
      <c r="I120" s="3"/>
      <c r="J120" s="4"/>
      <c r="K120" s="3"/>
      <c r="L120" s="4"/>
      <c r="M120" s="68" t="str">
        <f>IF($C120="","",IFERROR(LOOKUP(2,1/('03_Warehouse_Movements'!$C$2:$C$500=$A120),'03_Warehouse_Movements'!$A$2:$A$500),""))</f>
        <v/>
      </c>
      <c r="N120" s="4" t="str">
        <f>IF($C120="","",IFERROR(LOOKUP(2,1/('03_Warehouse_Movements'!$C$2:$C$500=$A120),'03_Warehouse_Movements'!$H$2:$H$500),""))</f>
        <v/>
      </c>
      <c r="O120" s="4" t="str">
        <f t="shared" si="3"/>
        <v>PAL-0000120</v>
      </c>
      <c r="Q120" s="34"/>
      <c r="R120" s="33"/>
      <c r="W120">
        <f>IF($A2="","",COUNTIF('07_Pallet_Contents'!$A$2:$A$3000,$A2))</f>
        <v>0</v>
      </c>
      <c r="X120">
        <f>IF($A2="","",SUMIF('07_Pallet_Contents'!$A$2:$A$3000,$A2,'07_Pallet_Contents'!$D$2:$D$3000))</f>
        <v>0</v>
      </c>
      <c r="Y120">
        <f>IF($A2="","",SUMIF('07_Pallet_Contents'!$A$2:$A$3000,$A2,'07_Pallet_Contents'!$I$2:$I$3000))</f>
        <v>0</v>
      </c>
      <c r="Z120" t="str">
        <f>IF($A2="","",IF(COUNTIF('07_Pallet_Contents'!$A$2:$A$3000,$A2)&gt;0,"Yes",""))</f>
        <v/>
      </c>
    </row>
    <row r="121" spans="1:26" ht="27.75" customHeight="1">
      <c r="A121" s="4" t="s">
        <v>431</v>
      </c>
      <c r="B121" s="4"/>
      <c r="D121" t="str">
        <f>IF($C121="","",IFERROR(LOOKUP(2,1/('03_Warehouse_Movements'!$C$2:$C$500=$A121),'03_Warehouse_Movements'!$E$2:$E$500),$C121))</f>
        <v/>
      </c>
      <c r="E121" t="s">
        <v>209</v>
      </c>
      <c r="G121" s="32"/>
      <c r="H121" s="3" t="str">
        <f t="shared" si="2"/>
        <v/>
      </c>
      <c r="I121" s="3"/>
      <c r="J121" s="4"/>
      <c r="K121" s="3"/>
      <c r="L121" s="4"/>
      <c r="M121" s="68" t="str">
        <f>IF($C121="","",IFERROR(LOOKUP(2,1/('03_Warehouse_Movements'!$C$2:$C$500=$A121),'03_Warehouse_Movements'!$A$2:$A$500),""))</f>
        <v/>
      </c>
      <c r="N121" s="4" t="str">
        <f>IF($C121="","",IFERROR(LOOKUP(2,1/('03_Warehouse_Movements'!$C$2:$C$500=$A121),'03_Warehouse_Movements'!$H$2:$H$500),""))</f>
        <v/>
      </c>
      <c r="O121" s="4" t="str">
        <f t="shared" si="3"/>
        <v>PAL-0000121</v>
      </c>
      <c r="Q121" s="34"/>
      <c r="R121" s="33"/>
      <c r="W121">
        <f>IF($A2="","",COUNTIF('07_Pallet_Contents'!$A$2:$A$3000,$A2))</f>
        <v>0</v>
      </c>
      <c r="X121">
        <f>IF($A2="","",SUMIF('07_Pallet_Contents'!$A$2:$A$3000,$A2,'07_Pallet_Contents'!$D$2:$D$3000))</f>
        <v>0</v>
      </c>
      <c r="Y121">
        <f>IF($A2="","",SUMIF('07_Pallet_Contents'!$A$2:$A$3000,$A2,'07_Pallet_Contents'!$I$2:$I$3000))</f>
        <v>0</v>
      </c>
      <c r="Z121" t="str">
        <f>IF($A2="","",IF(COUNTIF('07_Pallet_Contents'!$A$2:$A$3000,$A2)&gt;0,"Yes",""))</f>
        <v/>
      </c>
    </row>
    <row r="122" spans="1:26" ht="27.75" customHeight="1">
      <c r="A122" s="4" t="s">
        <v>432</v>
      </c>
      <c r="B122" s="4"/>
      <c r="D122" t="str">
        <f>IF($C122="","",IFERROR(LOOKUP(2,1/('03_Warehouse_Movements'!$C$2:$C$500=$A122),'03_Warehouse_Movements'!$E$2:$E$500),$C122))</f>
        <v/>
      </c>
      <c r="E122" t="s">
        <v>209</v>
      </c>
      <c r="G122" s="32"/>
      <c r="H122" s="3" t="str">
        <f t="shared" si="2"/>
        <v/>
      </c>
      <c r="I122" s="3"/>
      <c r="J122" s="4"/>
      <c r="K122" s="3"/>
      <c r="L122" s="4"/>
      <c r="M122" s="68" t="str">
        <f>IF($C122="","",IFERROR(LOOKUP(2,1/('03_Warehouse_Movements'!$C$2:$C$500=$A122),'03_Warehouse_Movements'!$A$2:$A$500),""))</f>
        <v/>
      </c>
      <c r="N122" s="4" t="str">
        <f>IF($C122="","",IFERROR(LOOKUP(2,1/('03_Warehouse_Movements'!$C$2:$C$500=$A122),'03_Warehouse_Movements'!$H$2:$H$500),""))</f>
        <v/>
      </c>
      <c r="O122" s="4" t="str">
        <f t="shared" si="3"/>
        <v>PAL-0000122</v>
      </c>
      <c r="Q122" s="34"/>
      <c r="R122" s="33"/>
      <c r="W122">
        <f>IF($A2="","",COUNTIF('07_Pallet_Contents'!$A$2:$A$3000,$A2))</f>
        <v>0</v>
      </c>
      <c r="X122">
        <f>IF($A2="","",SUMIF('07_Pallet_Contents'!$A$2:$A$3000,$A2,'07_Pallet_Contents'!$D$2:$D$3000))</f>
        <v>0</v>
      </c>
      <c r="Y122">
        <f>IF($A2="","",SUMIF('07_Pallet_Contents'!$A$2:$A$3000,$A2,'07_Pallet_Contents'!$I$2:$I$3000))</f>
        <v>0</v>
      </c>
      <c r="Z122" t="str">
        <f>IF($A2="","",IF(COUNTIF('07_Pallet_Contents'!$A$2:$A$3000,$A2)&gt;0,"Yes",""))</f>
        <v/>
      </c>
    </row>
    <row r="123" spans="1:26" ht="27.75" customHeight="1">
      <c r="A123" s="4" t="s">
        <v>433</v>
      </c>
      <c r="B123" s="4"/>
      <c r="D123" t="str">
        <f>IF($C123="","",IFERROR(LOOKUP(2,1/('03_Warehouse_Movements'!$C$2:$C$500=$A123),'03_Warehouse_Movements'!$E$2:$E$500),$C123))</f>
        <v/>
      </c>
      <c r="E123" t="s">
        <v>209</v>
      </c>
      <c r="G123" s="32"/>
      <c r="H123" s="3" t="str">
        <f t="shared" si="2"/>
        <v/>
      </c>
      <c r="I123" s="3"/>
      <c r="J123" s="4"/>
      <c r="K123" s="3"/>
      <c r="L123" s="4"/>
      <c r="M123" s="68" t="str">
        <f>IF($C123="","",IFERROR(LOOKUP(2,1/('03_Warehouse_Movements'!$C$2:$C$500=$A123),'03_Warehouse_Movements'!$A$2:$A$500),""))</f>
        <v/>
      </c>
      <c r="N123" s="4" t="str">
        <f>IF($C123="","",IFERROR(LOOKUP(2,1/('03_Warehouse_Movements'!$C$2:$C$500=$A123),'03_Warehouse_Movements'!$H$2:$H$500),""))</f>
        <v/>
      </c>
      <c r="O123" s="4" t="str">
        <f t="shared" si="3"/>
        <v>PAL-0000123</v>
      </c>
      <c r="Q123" s="34"/>
      <c r="R123" s="33"/>
      <c r="W123">
        <f>IF($A2="","",COUNTIF('07_Pallet_Contents'!$A$2:$A$3000,$A2))</f>
        <v>0</v>
      </c>
      <c r="X123">
        <f>IF($A2="","",SUMIF('07_Pallet_Contents'!$A$2:$A$3000,$A2,'07_Pallet_Contents'!$D$2:$D$3000))</f>
        <v>0</v>
      </c>
      <c r="Y123">
        <f>IF($A2="","",SUMIF('07_Pallet_Contents'!$A$2:$A$3000,$A2,'07_Pallet_Contents'!$I$2:$I$3000))</f>
        <v>0</v>
      </c>
      <c r="Z123" t="str">
        <f>IF($A2="","",IF(COUNTIF('07_Pallet_Contents'!$A$2:$A$3000,$A2)&gt;0,"Yes",""))</f>
        <v/>
      </c>
    </row>
    <row r="124" spans="1:26" ht="27.75" customHeight="1">
      <c r="A124" s="4" t="s">
        <v>434</v>
      </c>
      <c r="B124" s="4"/>
      <c r="D124" t="str">
        <f>IF($C124="","",IFERROR(LOOKUP(2,1/('03_Warehouse_Movements'!$C$2:$C$500=$A124),'03_Warehouse_Movements'!$E$2:$E$500),$C124))</f>
        <v/>
      </c>
      <c r="E124" t="s">
        <v>209</v>
      </c>
      <c r="G124" s="32"/>
      <c r="H124" s="3" t="str">
        <f t="shared" si="2"/>
        <v/>
      </c>
      <c r="I124" s="3"/>
      <c r="J124" s="4"/>
      <c r="K124" s="3"/>
      <c r="L124" s="4"/>
      <c r="M124" s="68" t="str">
        <f>IF($C124="","",IFERROR(LOOKUP(2,1/('03_Warehouse_Movements'!$C$2:$C$500=$A124),'03_Warehouse_Movements'!$A$2:$A$500),""))</f>
        <v/>
      </c>
      <c r="N124" s="4" t="str">
        <f>IF($C124="","",IFERROR(LOOKUP(2,1/('03_Warehouse_Movements'!$C$2:$C$500=$A124),'03_Warehouse_Movements'!$H$2:$H$500),""))</f>
        <v/>
      </c>
      <c r="O124" s="4" t="str">
        <f t="shared" si="3"/>
        <v>PAL-0000124</v>
      </c>
      <c r="Q124" s="34"/>
      <c r="R124" s="33"/>
      <c r="W124">
        <f>IF($A2="","",COUNTIF('07_Pallet_Contents'!$A$2:$A$3000,$A2))</f>
        <v>0</v>
      </c>
      <c r="X124">
        <f>IF($A2="","",SUMIF('07_Pallet_Contents'!$A$2:$A$3000,$A2,'07_Pallet_Contents'!$D$2:$D$3000))</f>
        <v>0</v>
      </c>
      <c r="Y124">
        <f>IF($A2="","",SUMIF('07_Pallet_Contents'!$A$2:$A$3000,$A2,'07_Pallet_Contents'!$I$2:$I$3000))</f>
        <v>0</v>
      </c>
      <c r="Z124" t="str">
        <f>IF($A2="","",IF(COUNTIF('07_Pallet_Contents'!$A$2:$A$3000,$A2)&gt;0,"Yes",""))</f>
        <v/>
      </c>
    </row>
    <row r="125" spans="1:26" ht="27.75" customHeight="1">
      <c r="A125" s="4" t="s">
        <v>435</v>
      </c>
      <c r="B125" s="4"/>
      <c r="D125" t="str">
        <f>IF($C125="","",IFERROR(LOOKUP(2,1/('03_Warehouse_Movements'!$C$2:$C$500=$A125),'03_Warehouse_Movements'!$E$2:$E$500),$C125))</f>
        <v/>
      </c>
      <c r="E125" t="s">
        <v>209</v>
      </c>
      <c r="G125" s="32"/>
      <c r="H125" s="3" t="str">
        <f t="shared" si="2"/>
        <v/>
      </c>
      <c r="I125" s="3"/>
      <c r="J125" s="4"/>
      <c r="K125" s="3"/>
      <c r="L125" s="4"/>
      <c r="M125" s="68" t="str">
        <f>IF($C125="","",IFERROR(LOOKUP(2,1/('03_Warehouse_Movements'!$C$2:$C$500=$A125),'03_Warehouse_Movements'!$A$2:$A$500),""))</f>
        <v/>
      </c>
      <c r="N125" s="4" t="str">
        <f>IF($C125="","",IFERROR(LOOKUP(2,1/('03_Warehouse_Movements'!$C$2:$C$500=$A125),'03_Warehouse_Movements'!$H$2:$H$500),""))</f>
        <v/>
      </c>
      <c r="O125" s="4" t="str">
        <f t="shared" si="3"/>
        <v>PAL-0000125</v>
      </c>
      <c r="Q125" s="34"/>
      <c r="R125" s="33"/>
      <c r="W125">
        <f>IF($A2="","",COUNTIF('07_Pallet_Contents'!$A$2:$A$3000,$A2))</f>
        <v>0</v>
      </c>
      <c r="X125">
        <f>IF($A2="","",SUMIF('07_Pallet_Contents'!$A$2:$A$3000,$A2,'07_Pallet_Contents'!$D$2:$D$3000))</f>
        <v>0</v>
      </c>
      <c r="Y125">
        <f>IF($A2="","",SUMIF('07_Pallet_Contents'!$A$2:$A$3000,$A2,'07_Pallet_Contents'!$I$2:$I$3000))</f>
        <v>0</v>
      </c>
      <c r="Z125" t="str">
        <f>IF($A2="","",IF(COUNTIF('07_Pallet_Contents'!$A$2:$A$3000,$A2)&gt;0,"Yes",""))</f>
        <v/>
      </c>
    </row>
    <row r="126" spans="1:26" ht="27.75" customHeight="1">
      <c r="A126" s="4" t="s">
        <v>436</v>
      </c>
      <c r="B126" s="4"/>
      <c r="D126" t="str">
        <f>IF($C126="","",IFERROR(LOOKUP(2,1/('03_Warehouse_Movements'!$C$2:$C$500=$A126),'03_Warehouse_Movements'!$E$2:$E$500),$C126))</f>
        <v/>
      </c>
      <c r="E126" t="s">
        <v>209</v>
      </c>
      <c r="G126" s="32"/>
      <c r="H126" s="3" t="str">
        <f t="shared" si="2"/>
        <v/>
      </c>
      <c r="I126" s="3"/>
      <c r="J126" s="4"/>
      <c r="K126" s="3"/>
      <c r="L126" s="4"/>
      <c r="M126" s="68" t="str">
        <f>IF($C126="","",IFERROR(LOOKUP(2,1/('03_Warehouse_Movements'!$C$2:$C$500=$A126),'03_Warehouse_Movements'!$A$2:$A$500),""))</f>
        <v/>
      </c>
      <c r="N126" s="4" t="str">
        <f>IF($C126="","",IFERROR(LOOKUP(2,1/('03_Warehouse_Movements'!$C$2:$C$500=$A126),'03_Warehouse_Movements'!$H$2:$H$500),""))</f>
        <v/>
      </c>
      <c r="O126" s="4" t="str">
        <f t="shared" si="3"/>
        <v>PAL-0000126</v>
      </c>
      <c r="Q126" s="34"/>
      <c r="R126" s="33"/>
      <c r="W126">
        <f>IF($A2="","",COUNTIF('07_Pallet_Contents'!$A$2:$A$3000,$A2))</f>
        <v>0</v>
      </c>
      <c r="X126">
        <f>IF($A2="","",SUMIF('07_Pallet_Contents'!$A$2:$A$3000,$A2,'07_Pallet_Contents'!$D$2:$D$3000))</f>
        <v>0</v>
      </c>
      <c r="Y126">
        <f>IF($A2="","",SUMIF('07_Pallet_Contents'!$A$2:$A$3000,$A2,'07_Pallet_Contents'!$I$2:$I$3000))</f>
        <v>0</v>
      </c>
      <c r="Z126" t="str">
        <f>IF($A2="","",IF(COUNTIF('07_Pallet_Contents'!$A$2:$A$3000,$A2)&gt;0,"Yes",""))</f>
        <v/>
      </c>
    </row>
    <row r="127" spans="1:26" ht="27.75" customHeight="1">
      <c r="A127" s="4" t="s">
        <v>437</v>
      </c>
      <c r="B127" s="4"/>
      <c r="D127" t="str">
        <f>IF($C127="","",IFERROR(LOOKUP(2,1/('03_Warehouse_Movements'!$C$2:$C$500=$A127),'03_Warehouse_Movements'!$E$2:$E$500),$C127))</f>
        <v/>
      </c>
      <c r="E127" t="s">
        <v>209</v>
      </c>
      <c r="G127" s="32"/>
      <c r="H127" s="3" t="str">
        <f t="shared" si="2"/>
        <v/>
      </c>
      <c r="I127" s="3"/>
      <c r="J127" s="4"/>
      <c r="K127" s="3"/>
      <c r="L127" s="4"/>
      <c r="M127" s="68" t="str">
        <f>IF($C127="","",IFERROR(LOOKUP(2,1/('03_Warehouse_Movements'!$C$2:$C$500=$A127),'03_Warehouse_Movements'!$A$2:$A$500),""))</f>
        <v/>
      </c>
      <c r="N127" s="4" t="str">
        <f>IF($C127="","",IFERROR(LOOKUP(2,1/('03_Warehouse_Movements'!$C$2:$C$500=$A127),'03_Warehouse_Movements'!$H$2:$H$500),""))</f>
        <v/>
      </c>
      <c r="O127" s="4" t="str">
        <f t="shared" si="3"/>
        <v>PAL-0000127</v>
      </c>
      <c r="Q127" s="34"/>
      <c r="R127" s="33"/>
      <c r="W127">
        <f>IF($A2="","",COUNTIF('07_Pallet_Contents'!$A$2:$A$3000,$A2))</f>
        <v>0</v>
      </c>
      <c r="X127">
        <f>IF($A2="","",SUMIF('07_Pallet_Contents'!$A$2:$A$3000,$A2,'07_Pallet_Contents'!$D$2:$D$3000))</f>
        <v>0</v>
      </c>
      <c r="Y127">
        <f>IF($A2="","",SUMIF('07_Pallet_Contents'!$A$2:$A$3000,$A2,'07_Pallet_Contents'!$I$2:$I$3000))</f>
        <v>0</v>
      </c>
      <c r="Z127" t="str">
        <f>IF($A2="","",IF(COUNTIF('07_Pallet_Contents'!$A$2:$A$3000,$A2)&gt;0,"Yes",""))</f>
        <v/>
      </c>
    </row>
    <row r="128" spans="1:26" ht="27.75" customHeight="1">
      <c r="A128" s="4" t="s">
        <v>438</v>
      </c>
      <c r="B128" s="4"/>
      <c r="D128" t="str">
        <f>IF($C128="","",IFERROR(LOOKUP(2,1/('03_Warehouse_Movements'!$C$2:$C$500=$A128),'03_Warehouse_Movements'!$E$2:$E$500),$C128))</f>
        <v/>
      </c>
      <c r="E128" t="s">
        <v>209</v>
      </c>
      <c r="G128" s="32"/>
      <c r="H128" s="3" t="str">
        <f t="shared" si="2"/>
        <v/>
      </c>
      <c r="I128" s="3"/>
      <c r="J128" s="4"/>
      <c r="K128" s="3"/>
      <c r="L128" s="4"/>
      <c r="M128" s="68" t="str">
        <f>IF($C128="","",IFERROR(LOOKUP(2,1/('03_Warehouse_Movements'!$C$2:$C$500=$A128),'03_Warehouse_Movements'!$A$2:$A$500),""))</f>
        <v/>
      </c>
      <c r="N128" s="4" t="str">
        <f>IF($C128="","",IFERROR(LOOKUP(2,1/('03_Warehouse_Movements'!$C$2:$C$500=$A128),'03_Warehouse_Movements'!$H$2:$H$500),""))</f>
        <v/>
      </c>
      <c r="O128" s="4" t="str">
        <f t="shared" si="3"/>
        <v>PAL-0000128</v>
      </c>
      <c r="Q128" s="34"/>
      <c r="R128" s="33"/>
      <c r="W128">
        <f>IF($A2="","",COUNTIF('07_Pallet_Contents'!$A$2:$A$3000,$A2))</f>
        <v>0</v>
      </c>
      <c r="X128">
        <f>IF($A2="","",SUMIF('07_Pallet_Contents'!$A$2:$A$3000,$A2,'07_Pallet_Contents'!$D$2:$D$3000))</f>
        <v>0</v>
      </c>
      <c r="Y128">
        <f>IF($A2="","",SUMIF('07_Pallet_Contents'!$A$2:$A$3000,$A2,'07_Pallet_Contents'!$I$2:$I$3000))</f>
        <v>0</v>
      </c>
      <c r="Z128" t="str">
        <f>IF($A2="","",IF(COUNTIF('07_Pallet_Contents'!$A$2:$A$3000,$A2)&gt;0,"Yes",""))</f>
        <v/>
      </c>
    </row>
    <row r="129" spans="1:26" ht="27.75" customHeight="1">
      <c r="A129" s="4" t="s">
        <v>439</v>
      </c>
      <c r="B129" s="4"/>
      <c r="D129" t="str">
        <f>IF($C129="","",IFERROR(LOOKUP(2,1/('03_Warehouse_Movements'!$C$2:$C$500=$A129),'03_Warehouse_Movements'!$E$2:$E$500),$C129))</f>
        <v/>
      </c>
      <c r="E129" t="s">
        <v>209</v>
      </c>
      <c r="G129" s="32"/>
      <c r="H129" s="3" t="str">
        <f t="shared" si="2"/>
        <v/>
      </c>
      <c r="I129" s="3"/>
      <c r="J129" s="4"/>
      <c r="K129" s="3"/>
      <c r="L129" s="4"/>
      <c r="M129" s="68" t="str">
        <f>IF($C129="","",IFERROR(LOOKUP(2,1/('03_Warehouse_Movements'!$C$2:$C$500=$A129),'03_Warehouse_Movements'!$A$2:$A$500),""))</f>
        <v/>
      </c>
      <c r="N129" s="4" t="str">
        <f>IF($C129="","",IFERROR(LOOKUP(2,1/('03_Warehouse_Movements'!$C$2:$C$500=$A129),'03_Warehouse_Movements'!$H$2:$H$500),""))</f>
        <v/>
      </c>
      <c r="O129" s="4" t="str">
        <f t="shared" si="3"/>
        <v>PAL-0000129</v>
      </c>
      <c r="Q129" s="34"/>
      <c r="R129" s="33"/>
      <c r="W129">
        <f>IF($A2="","",COUNTIF('07_Pallet_Contents'!$A$2:$A$3000,$A2))</f>
        <v>0</v>
      </c>
      <c r="X129">
        <f>IF($A2="","",SUMIF('07_Pallet_Contents'!$A$2:$A$3000,$A2,'07_Pallet_Contents'!$D$2:$D$3000))</f>
        <v>0</v>
      </c>
      <c r="Y129">
        <f>IF($A2="","",SUMIF('07_Pallet_Contents'!$A$2:$A$3000,$A2,'07_Pallet_Contents'!$I$2:$I$3000))</f>
        <v>0</v>
      </c>
      <c r="Z129" t="str">
        <f>IF($A2="","",IF(COUNTIF('07_Pallet_Contents'!$A$2:$A$3000,$A2)&gt;0,"Yes",""))</f>
        <v/>
      </c>
    </row>
    <row r="130" spans="1:26" ht="27.75" customHeight="1">
      <c r="A130" s="4" t="s">
        <v>440</v>
      </c>
      <c r="B130" s="4"/>
      <c r="D130" t="str">
        <f>IF($C130="","",IFERROR(LOOKUP(2,1/('03_Warehouse_Movements'!$C$2:$C$500=$A130),'03_Warehouse_Movements'!$E$2:$E$500),$C130))</f>
        <v/>
      </c>
      <c r="E130" t="s">
        <v>209</v>
      </c>
      <c r="G130" s="32"/>
      <c r="H130" s="3" t="str">
        <f t="shared" ref="H130:H193" si="4">IF(AND($F130="TEMP",$G130&gt;0,$M130&lt;&gt;""),$M130+$G130,"")</f>
        <v/>
      </c>
      <c r="I130" s="3"/>
      <c r="J130" s="4"/>
      <c r="K130" s="3"/>
      <c r="L130" s="4"/>
      <c r="M130" s="68" t="str">
        <f>IF($C130="","",IFERROR(LOOKUP(2,1/('03_Warehouse_Movements'!$C$2:$C$500=$A130),'03_Warehouse_Movements'!$A$2:$A$500),""))</f>
        <v/>
      </c>
      <c r="N130" s="4" t="str">
        <f>IF($C130="","",IFERROR(LOOKUP(2,1/('03_Warehouse_Movements'!$C$2:$C$500=$A130),'03_Warehouse_Movements'!$H$2:$H$500),""))</f>
        <v/>
      </c>
      <c r="O130" s="4" t="str">
        <f t="shared" ref="O130:O193" si="5">A130</f>
        <v>PAL-0000130</v>
      </c>
      <c r="Q130" s="34"/>
      <c r="R130" s="33"/>
      <c r="W130">
        <f>IF($A2="","",COUNTIF('07_Pallet_Contents'!$A$2:$A$3000,$A2))</f>
        <v>0</v>
      </c>
      <c r="X130">
        <f>IF($A2="","",SUMIF('07_Pallet_Contents'!$A$2:$A$3000,$A2,'07_Pallet_Contents'!$D$2:$D$3000))</f>
        <v>0</v>
      </c>
      <c r="Y130">
        <f>IF($A2="","",SUMIF('07_Pallet_Contents'!$A$2:$A$3000,$A2,'07_Pallet_Contents'!$I$2:$I$3000))</f>
        <v>0</v>
      </c>
      <c r="Z130" t="str">
        <f>IF($A2="","",IF(COUNTIF('07_Pallet_Contents'!$A$2:$A$3000,$A2)&gt;0,"Yes",""))</f>
        <v/>
      </c>
    </row>
    <row r="131" spans="1:26" ht="27.75" customHeight="1">
      <c r="A131" s="4" t="s">
        <v>441</v>
      </c>
      <c r="B131" s="4"/>
      <c r="D131" t="str">
        <f>IF($C131="","",IFERROR(LOOKUP(2,1/('03_Warehouse_Movements'!$C$2:$C$500=$A131),'03_Warehouse_Movements'!$E$2:$E$500),$C131))</f>
        <v/>
      </c>
      <c r="E131" t="s">
        <v>209</v>
      </c>
      <c r="G131" s="32"/>
      <c r="H131" s="3" t="str">
        <f t="shared" si="4"/>
        <v/>
      </c>
      <c r="I131" s="3"/>
      <c r="J131" s="4"/>
      <c r="K131" s="3"/>
      <c r="L131" s="4"/>
      <c r="M131" s="68" t="str">
        <f>IF($C131="","",IFERROR(LOOKUP(2,1/('03_Warehouse_Movements'!$C$2:$C$500=$A131),'03_Warehouse_Movements'!$A$2:$A$500),""))</f>
        <v/>
      </c>
      <c r="N131" s="4" t="str">
        <f>IF($C131="","",IFERROR(LOOKUP(2,1/('03_Warehouse_Movements'!$C$2:$C$500=$A131),'03_Warehouse_Movements'!$H$2:$H$500),""))</f>
        <v/>
      </c>
      <c r="O131" s="4" t="str">
        <f t="shared" si="5"/>
        <v>PAL-0000131</v>
      </c>
      <c r="Q131" s="34"/>
      <c r="R131" s="33"/>
      <c r="W131">
        <f>IF($A2="","",COUNTIF('07_Pallet_Contents'!$A$2:$A$3000,$A2))</f>
        <v>0</v>
      </c>
      <c r="X131">
        <f>IF($A2="","",SUMIF('07_Pallet_Contents'!$A$2:$A$3000,$A2,'07_Pallet_Contents'!$D$2:$D$3000))</f>
        <v>0</v>
      </c>
      <c r="Y131">
        <f>IF($A2="","",SUMIF('07_Pallet_Contents'!$A$2:$A$3000,$A2,'07_Pallet_Contents'!$I$2:$I$3000))</f>
        <v>0</v>
      </c>
      <c r="Z131" t="str">
        <f>IF($A2="","",IF(COUNTIF('07_Pallet_Contents'!$A$2:$A$3000,$A2)&gt;0,"Yes",""))</f>
        <v/>
      </c>
    </row>
    <row r="132" spans="1:26" ht="27.75" customHeight="1">
      <c r="A132" s="4" t="s">
        <v>442</v>
      </c>
      <c r="B132" s="4"/>
      <c r="D132" t="str">
        <f>IF($C132="","",IFERROR(LOOKUP(2,1/('03_Warehouse_Movements'!$C$2:$C$500=$A132),'03_Warehouse_Movements'!$E$2:$E$500),$C132))</f>
        <v/>
      </c>
      <c r="E132" t="s">
        <v>209</v>
      </c>
      <c r="G132" s="32"/>
      <c r="H132" s="3" t="str">
        <f t="shared" si="4"/>
        <v/>
      </c>
      <c r="I132" s="3"/>
      <c r="J132" s="4"/>
      <c r="K132" s="3"/>
      <c r="L132" s="4"/>
      <c r="M132" s="68" t="str">
        <f>IF($C132="","",IFERROR(LOOKUP(2,1/('03_Warehouse_Movements'!$C$2:$C$500=$A132),'03_Warehouse_Movements'!$A$2:$A$500),""))</f>
        <v/>
      </c>
      <c r="N132" s="4" t="str">
        <f>IF($C132="","",IFERROR(LOOKUP(2,1/('03_Warehouse_Movements'!$C$2:$C$500=$A132),'03_Warehouse_Movements'!$H$2:$H$500),""))</f>
        <v/>
      </c>
      <c r="O132" s="4" t="str">
        <f t="shared" si="5"/>
        <v>PAL-0000132</v>
      </c>
      <c r="Q132" s="34"/>
      <c r="R132" s="33"/>
      <c r="W132">
        <f>IF($A2="","",COUNTIF('07_Pallet_Contents'!$A$2:$A$3000,$A2))</f>
        <v>0</v>
      </c>
      <c r="X132">
        <f>IF($A2="","",SUMIF('07_Pallet_Contents'!$A$2:$A$3000,$A2,'07_Pallet_Contents'!$D$2:$D$3000))</f>
        <v>0</v>
      </c>
      <c r="Y132">
        <f>IF($A2="","",SUMIF('07_Pallet_Contents'!$A$2:$A$3000,$A2,'07_Pallet_Contents'!$I$2:$I$3000))</f>
        <v>0</v>
      </c>
      <c r="Z132" t="str">
        <f>IF($A2="","",IF(COUNTIF('07_Pallet_Contents'!$A$2:$A$3000,$A2)&gt;0,"Yes",""))</f>
        <v/>
      </c>
    </row>
    <row r="133" spans="1:26" ht="27.75" customHeight="1">
      <c r="A133" s="4" t="s">
        <v>443</v>
      </c>
      <c r="B133" s="4"/>
      <c r="D133" t="str">
        <f>IF($C133="","",IFERROR(LOOKUP(2,1/('03_Warehouse_Movements'!$C$2:$C$500=$A133),'03_Warehouse_Movements'!$E$2:$E$500),$C133))</f>
        <v/>
      </c>
      <c r="E133" t="s">
        <v>209</v>
      </c>
      <c r="G133" s="32"/>
      <c r="H133" s="3" t="str">
        <f t="shared" si="4"/>
        <v/>
      </c>
      <c r="I133" s="3"/>
      <c r="J133" s="4"/>
      <c r="K133" s="3"/>
      <c r="L133" s="4"/>
      <c r="M133" s="68" t="str">
        <f>IF($C133="","",IFERROR(LOOKUP(2,1/('03_Warehouse_Movements'!$C$2:$C$500=$A133),'03_Warehouse_Movements'!$A$2:$A$500),""))</f>
        <v/>
      </c>
      <c r="N133" s="4" t="str">
        <f>IF($C133="","",IFERROR(LOOKUP(2,1/('03_Warehouse_Movements'!$C$2:$C$500=$A133),'03_Warehouse_Movements'!$H$2:$H$500),""))</f>
        <v/>
      </c>
      <c r="O133" s="4" t="str">
        <f t="shared" si="5"/>
        <v>PAL-0000133</v>
      </c>
      <c r="Q133" s="34"/>
      <c r="R133" s="33"/>
      <c r="W133">
        <f>IF($A2="","",COUNTIF('07_Pallet_Contents'!$A$2:$A$3000,$A2))</f>
        <v>0</v>
      </c>
      <c r="X133">
        <f>IF($A2="","",SUMIF('07_Pallet_Contents'!$A$2:$A$3000,$A2,'07_Pallet_Contents'!$D$2:$D$3000))</f>
        <v>0</v>
      </c>
      <c r="Y133">
        <f>IF($A2="","",SUMIF('07_Pallet_Contents'!$A$2:$A$3000,$A2,'07_Pallet_Contents'!$I$2:$I$3000))</f>
        <v>0</v>
      </c>
      <c r="Z133" t="str">
        <f>IF($A2="","",IF(COUNTIF('07_Pallet_Contents'!$A$2:$A$3000,$A2)&gt;0,"Yes",""))</f>
        <v/>
      </c>
    </row>
    <row r="134" spans="1:26" ht="27.75" customHeight="1">
      <c r="A134" s="4" t="s">
        <v>444</v>
      </c>
      <c r="B134" s="4"/>
      <c r="D134" t="str">
        <f>IF($C134="","",IFERROR(LOOKUP(2,1/('03_Warehouse_Movements'!$C$2:$C$500=$A134),'03_Warehouse_Movements'!$E$2:$E$500),$C134))</f>
        <v/>
      </c>
      <c r="E134" t="s">
        <v>209</v>
      </c>
      <c r="G134" s="32"/>
      <c r="H134" s="3" t="str">
        <f t="shared" si="4"/>
        <v/>
      </c>
      <c r="I134" s="3"/>
      <c r="J134" s="4"/>
      <c r="K134" s="3"/>
      <c r="L134" s="4"/>
      <c r="M134" s="68" t="str">
        <f>IF($C134="","",IFERROR(LOOKUP(2,1/('03_Warehouse_Movements'!$C$2:$C$500=$A134),'03_Warehouse_Movements'!$A$2:$A$500),""))</f>
        <v/>
      </c>
      <c r="N134" s="4" t="str">
        <f>IF($C134="","",IFERROR(LOOKUP(2,1/('03_Warehouse_Movements'!$C$2:$C$500=$A134),'03_Warehouse_Movements'!$H$2:$H$500),""))</f>
        <v/>
      </c>
      <c r="O134" s="4" t="str">
        <f t="shared" si="5"/>
        <v>PAL-0000134</v>
      </c>
      <c r="Q134" s="34"/>
      <c r="R134" s="33"/>
      <c r="W134">
        <f>IF($A2="","",COUNTIF('07_Pallet_Contents'!$A$2:$A$3000,$A2))</f>
        <v>0</v>
      </c>
      <c r="X134">
        <f>IF($A2="","",SUMIF('07_Pallet_Contents'!$A$2:$A$3000,$A2,'07_Pallet_Contents'!$D$2:$D$3000))</f>
        <v>0</v>
      </c>
      <c r="Y134">
        <f>IF($A2="","",SUMIF('07_Pallet_Contents'!$A$2:$A$3000,$A2,'07_Pallet_Contents'!$I$2:$I$3000))</f>
        <v>0</v>
      </c>
      <c r="Z134" t="str">
        <f>IF($A2="","",IF(COUNTIF('07_Pallet_Contents'!$A$2:$A$3000,$A2)&gt;0,"Yes",""))</f>
        <v/>
      </c>
    </row>
    <row r="135" spans="1:26" ht="27.75" customHeight="1">
      <c r="A135" s="4" t="s">
        <v>445</v>
      </c>
      <c r="B135" s="4"/>
      <c r="D135" t="str">
        <f>IF($C135="","",IFERROR(LOOKUP(2,1/('03_Warehouse_Movements'!$C$2:$C$500=$A135),'03_Warehouse_Movements'!$E$2:$E$500),$C135))</f>
        <v/>
      </c>
      <c r="E135" t="s">
        <v>209</v>
      </c>
      <c r="G135" s="32"/>
      <c r="H135" s="3" t="str">
        <f t="shared" si="4"/>
        <v/>
      </c>
      <c r="I135" s="3"/>
      <c r="J135" s="4"/>
      <c r="K135" s="3"/>
      <c r="L135" s="4"/>
      <c r="M135" s="68" t="str">
        <f>IF($C135="","",IFERROR(LOOKUP(2,1/('03_Warehouse_Movements'!$C$2:$C$500=$A135),'03_Warehouse_Movements'!$A$2:$A$500),""))</f>
        <v/>
      </c>
      <c r="N135" s="4" t="str">
        <f>IF($C135="","",IFERROR(LOOKUP(2,1/('03_Warehouse_Movements'!$C$2:$C$500=$A135),'03_Warehouse_Movements'!$H$2:$H$500),""))</f>
        <v/>
      </c>
      <c r="O135" s="4" t="str">
        <f t="shared" si="5"/>
        <v>PAL-0000135</v>
      </c>
      <c r="Q135" s="34"/>
      <c r="R135" s="33"/>
      <c r="W135">
        <f>IF($A2="","",COUNTIF('07_Pallet_Contents'!$A$2:$A$3000,$A2))</f>
        <v>0</v>
      </c>
      <c r="X135">
        <f>IF($A2="","",SUMIF('07_Pallet_Contents'!$A$2:$A$3000,$A2,'07_Pallet_Contents'!$D$2:$D$3000))</f>
        <v>0</v>
      </c>
      <c r="Y135">
        <f>IF($A2="","",SUMIF('07_Pallet_Contents'!$A$2:$A$3000,$A2,'07_Pallet_Contents'!$I$2:$I$3000))</f>
        <v>0</v>
      </c>
      <c r="Z135" t="str">
        <f>IF($A2="","",IF(COUNTIF('07_Pallet_Contents'!$A$2:$A$3000,$A2)&gt;0,"Yes",""))</f>
        <v/>
      </c>
    </row>
    <row r="136" spans="1:26" ht="27.75" customHeight="1">
      <c r="A136" s="4" t="s">
        <v>446</v>
      </c>
      <c r="B136" s="4"/>
      <c r="D136" t="str">
        <f>IF($C136="","",IFERROR(LOOKUP(2,1/('03_Warehouse_Movements'!$C$2:$C$500=$A136),'03_Warehouse_Movements'!$E$2:$E$500),$C136))</f>
        <v/>
      </c>
      <c r="E136" t="s">
        <v>209</v>
      </c>
      <c r="G136" s="32"/>
      <c r="H136" s="3" t="str">
        <f t="shared" si="4"/>
        <v/>
      </c>
      <c r="I136" s="3"/>
      <c r="J136" s="4"/>
      <c r="K136" s="3"/>
      <c r="L136" s="4"/>
      <c r="M136" s="68" t="str">
        <f>IF($C136="","",IFERROR(LOOKUP(2,1/('03_Warehouse_Movements'!$C$2:$C$500=$A136),'03_Warehouse_Movements'!$A$2:$A$500),""))</f>
        <v/>
      </c>
      <c r="N136" s="4" t="str">
        <f>IF($C136="","",IFERROR(LOOKUP(2,1/('03_Warehouse_Movements'!$C$2:$C$500=$A136),'03_Warehouse_Movements'!$H$2:$H$500),""))</f>
        <v/>
      </c>
      <c r="O136" s="4" t="str">
        <f t="shared" si="5"/>
        <v>PAL-0000136</v>
      </c>
      <c r="Q136" s="34"/>
      <c r="R136" s="33"/>
      <c r="W136">
        <f>IF($A2="","",COUNTIF('07_Pallet_Contents'!$A$2:$A$3000,$A2))</f>
        <v>0</v>
      </c>
      <c r="X136">
        <f>IF($A2="","",SUMIF('07_Pallet_Contents'!$A$2:$A$3000,$A2,'07_Pallet_Contents'!$D$2:$D$3000))</f>
        <v>0</v>
      </c>
      <c r="Y136">
        <f>IF($A2="","",SUMIF('07_Pallet_Contents'!$A$2:$A$3000,$A2,'07_Pallet_Contents'!$I$2:$I$3000))</f>
        <v>0</v>
      </c>
      <c r="Z136" t="str">
        <f>IF($A2="","",IF(COUNTIF('07_Pallet_Contents'!$A$2:$A$3000,$A2)&gt;0,"Yes",""))</f>
        <v/>
      </c>
    </row>
    <row r="137" spans="1:26" ht="27.75" customHeight="1">
      <c r="A137" s="4" t="s">
        <v>447</v>
      </c>
      <c r="B137" s="4"/>
      <c r="D137" t="str">
        <f>IF($C137="","",IFERROR(LOOKUP(2,1/('03_Warehouse_Movements'!$C$2:$C$500=$A137),'03_Warehouse_Movements'!$E$2:$E$500),$C137))</f>
        <v/>
      </c>
      <c r="E137" t="s">
        <v>209</v>
      </c>
      <c r="G137" s="32"/>
      <c r="H137" s="3" t="str">
        <f t="shared" si="4"/>
        <v/>
      </c>
      <c r="I137" s="3"/>
      <c r="J137" s="4"/>
      <c r="K137" s="3"/>
      <c r="L137" s="4"/>
      <c r="M137" s="68" t="str">
        <f>IF($C137="","",IFERROR(LOOKUP(2,1/('03_Warehouse_Movements'!$C$2:$C$500=$A137),'03_Warehouse_Movements'!$A$2:$A$500),""))</f>
        <v/>
      </c>
      <c r="N137" s="4" t="str">
        <f>IF($C137="","",IFERROR(LOOKUP(2,1/('03_Warehouse_Movements'!$C$2:$C$500=$A137),'03_Warehouse_Movements'!$H$2:$H$500),""))</f>
        <v/>
      </c>
      <c r="O137" s="4" t="str">
        <f t="shared" si="5"/>
        <v>PAL-0000137</v>
      </c>
      <c r="Q137" s="34"/>
      <c r="R137" s="33"/>
      <c r="W137">
        <f>IF($A2="","",COUNTIF('07_Pallet_Contents'!$A$2:$A$3000,$A2))</f>
        <v>0</v>
      </c>
      <c r="X137">
        <f>IF($A2="","",SUMIF('07_Pallet_Contents'!$A$2:$A$3000,$A2,'07_Pallet_Contents'!$D$2:$D$3000))</f>
        <v>0</v>
      </c>
      <c r="Y137">
        <f>IF($A2="","",SUMIF('07_Pallet_Contents'!$A$2:$A$3000,$A2,'07_Pallet_Contents'!$I$2:$I$3000))</f>
        <v>0</v>
      </c>
      <c r="Z137" t="str">
        <f>IF($A2="","",IF(COUNTIF('07_Pallet_Contents'!$A$2:$A$3000,$A2)&gt;0,"Yes",""))</f>
        <v/>
      </c>
    </row>
    <row r="138" spans="1:26" ht="27.75" customHeight="1">
      <c r="A138" s="4" t="s">
        <v>448</v>
      </c>
      <c r="B138" s="4"/>
      <c r="D138" t="str">
        <f>IF($C138="","",IFERROR(LOOKUP(2,1/('03_Warehouse_Movements'!$C$2:$C$500=$A138),'03_Warehouse_Movements'!$E$2:$E$500),$C138))</f>
        <v/>
      </c>
      <c r="E138" t="s">
        <v>209</v>
      </c>
      <c r="G138" s="32"/>
      <c r="H138" s="3" t="str">
        <f t="shared" si="4"/>
        <v/>
      </c>
      <c r="I138" s="3"/>
      <c r="J138" s="4"/>
      <c r="K138" s="3"/>
      <c r="L138" s="4"/>
      <c r="M138" s="68" t="str">
        <f>IF($C138="","",IFERROR(LOOKUP(2,1/('03_Warehouse_Movements'!$C$2:$C$500=$A138),'03_Warehouse_Movements'!$A$2:$A$500),""))</f>
        <v/>
      </c>
      <c r="N138" s="4" t="str">
        <f>IF($C138="","",IFERROR(LOOKUP(2,1/('03_Warehouse_Movements'!$C$2:$C$500=$A138),'03_Warehouse_Movements'!$H$2:$H$500),""))</f>
        <v/>
      </c>
      <c r="O138" s="4" t="str">
        <f t="shared" si="5"/>
        <v>PAL-0000138</v>
      </c>
      <c r="Q138" s="34"/>
      <c r="R138" s="33"/>
      <c r="W138">
        <f>IF($A2="","",COUNTIF('07_Pallet_Contents'!$A$2:$A$3000,$A2))</f>
        <v>0</v>
      </c>
      <c r="X138">
        <f>IF($A2="","",SUMIF('07_Pallet_Contents'!$A$2:$A$3000,$A2,'07_Pallet_Contents'!$D$2:$D$3000))</f>
        <v>0</v>
      </c>
      <c r="Y138">
        <f>IF($A2="","",SUMIF('07_Pallet_Contents'!$A$2:$A$3000,$A2,'07_Pallet_Contents'!$I$2:$I$3000))</f>
        <v>0</v>
      </c>
      <c r="Z138" t="str">
        <f>IF($A2="","",IF(COUNTIF('07_Pallet_Contents'!$A$2:$A$3000,$A2)&gt;0,"Yes",""))</f>
        <v/>
      </c>
    </row>
    <row r="139" spans="1:26" ht="27.75" customHeight="1">
      <c r="A139" s="4" t="s">
        <v>449</v>
      </c>
      <c r="B139" s="4"/>
      <c r="D139" t="str">
        <f>IF($C139="","",IFERROR(LOOKUP(2,1/('03_Warehouse_Movements'!$C$2:$C$500=$A139),'03_Warehouse_Movements'!$E$2:$E$500),$C139))</f>
        <v/>
      </c>
      <c r="E139" t="s">
        <v>209</v>
      </c>
      <c r="G139" s="32"/>
      <c r="H139" s="3" t="str">
        <f t="shared" si="4"/>
        <v/>
      </c>
      <c r="I139" s="3"/>
      <c r="J139" s="4"/>
      <c r="K139" s="3"/>
      <c r="L139" s="4"/>
      <c r="M139" s="68" t="str">
        <f>IF($C139="","",IFERROR(LOOKUP(2,1/('03_Warehouse_Movements'!$C$2:$C$500=$A139),'03_Warehouse_Movements'!$A$2:$A$500),""))</f>
        <v/>
      </c>
      <c r="N139" s="4" t="str">
        <f>IF($C139="","",IFERROR(LOOKUP(2,1/('03_Warehouse_Movements'!$C$2:$C$500=$A139),'03_Warehouse_Movements'!$H$2:$H$500),""))</f>
        <v/>
      </c>
      <c r="O139" s="4" t="str">
        <f t="shared" si="5"/>
        <v>PAL-0000139</v>
      </c>
      <c r="Q139" s="34"/>
      <c r="R139" s="33"/>
      <c r="W139">
        <f>IF($A2="","",COUNTIF('07_Pallet_Contents'!$A$2:$A$3000,$A2))</f>
        <v>0</v>
      </c>
      <c r="X139">
        <f>IF($A2="","",SUMIF('07_Pallet_Contents'!$A$2:$A$3000,$A2,'07_Pallet_Contents'!$D$2:$D$3000))</f>
        <v>0</v>
      </c>
      <c r="Y139">
        <f>IF($A2="","",SUMIF('07_Pallet_Contents'!$A$2:$A$3000,$A2,'07_Pallet_Contents'!$I$2:$I$3000))</f>
        <v>0</v>
      </c>
      <c r="Z139" t="str">
        <f>IF($A2="","",IF(COUNTIF('07_Pallet_Contents'!$A$2:$A$3000,$A2)&gt;0,"Yes",""))</f>
        <v/>
      </c>
    </row>
    <row r="140" spans="1:26" ht="27.75" customHeight="1">
      <c r="A140" s="4" t="s">
        <v>450</v>
      </c>
      <c r="B140" s="4"/>
      <c r="D140" t="str">
        <f>IF($C140="","",IFERROR(LOOKUP(2,1/('03_Warehouse_Movements'!$C$2:$C$500=$A140),'03_Warehouse_Movements'!$E$2:$E$500),$C140))</f>
        <v/>
      </c>
      <c r="E140" t="s">
        <v>209</v>
      </c>
      <c r="G140" s="32"/>
      <c r="H140" s="3" t="str">
        <f t="shared" si="4"/>
        <v/>
      </c>
      <c r="I140" s="3"/>
      <c r="J140" s="4"/>
      <c r="K140" s="3"/>
      <c r="L140" s="4"/>
      <c r="M140" s="68" t="str">
        <f>IF($C140="","",IFERROR(LOOKUP(2,1/('03_Warehouse_Movements'!$C$2:$C$500=$A140),'03_Warehouse_Movements'!$A$2:$A$500),""))</f>
        <v/>
      </c>
      <c r="N140" s="4" t="str">
        <f>IF($C140="","",IFERROR(LOOKUP(2,1/('03_Warehouse_Movements'!$C$2:$C$500=$A140),'03_Warehouse_Movements'!$H$2:$H$500),""))</f>
        <v/>
      </c>
      <c r="O140" s="4" t="str">
        <f t="shared" si="5"/>
        <v>PAL-0000140</v>
      </c>
      <c r="Q140" s="34"/>
      <c r="R140" s="33"/>
      <c r="W140">
        <f>IF($A2="","",COUNTIF('07_Pallet_Contents'!$A$2:$A$3000,$A2))</f>
        <v>0</v>
      </c>
      <c r="X140">
        <f>IF($A2="","",SUMIF('07_Pallet_Contents'!$A$2:$A$3000,$A2,'07_Pallet_Contents'!$D$2:$D$3000))</f>
        <v>0</v>
      </c>
      <c r="Y140">
        <f>IF($A2="","",SUMIF('07_Pallet_Contents'!$A$2:$A$3000,$A2,'07_Pallet_Contents'!$I$2:$I$3000))</f>
        <v>0</v>
      </c>
      <c r="Z140" t="str">
        <f>IF($A2="","",IF(COUNTIF('07_Pallet_Contents'!$A$2:$A$3000,$A2)&gt;0,"Yes",""))</f>
        <v/>
      </c>
    </row>
    <row r="141" spans="1:26" ht="27.75" customHeight="1">
      <c r="A141" s="4" t="s">
        <v>451</v>
      </c>
      <c r="B141" s="4"/>
      <c r="D141" t="str">
        <f>IF($C141="","",IFERROR(LOOKUP(2,1/('03_Warehouse_Movements'!$C$2:$C$500=$A141),'03_Warehouse_Movements'!$E$2:$E$500),$C141))</f>
        <v/>
      </c>
      <c r="E141" t="s">
        <v>209</v>
      </c>
      <c r="G141" s="32"/>
      <c r="H141" s="3" t="str">
        <f t="shared" si="4"/>
        <v/>
      </c>
      <c r="I141" s="3"/>
      <c r="J141" s="4"/>
      <c r="K141" s="3"/>
      <c r="L141" s="4"/>
      <c r="M141" s="68" t="str">
        <f>IF($C141="","",IFERROR(LOOKUP(2,1/('03_Warehouse_Movements'!$C$2:$C$500=$A141),'03_Warehouse_Movements'!$A$2:$A$500),""))</f>
        <v/>
      </c>
      <c r="N141" s="4" t="str">
        <f>IF($C141="","",IFERROR(LOOKUP(2,1/('03_Warehouse_Movements'!$C$2:$C$500=$A141),'03_Warehouse_Movements'!$H$2:$H$500),""))</f>
        <v/>
      </c>
      <c r="O141" s="4" t="str">
        <f t="shared" si="5"/>
        <v>PAL-0000141</v>
      </c>
      <c r="Q141" s="34"/>
      <c r="R141" s="33"/>
      <c r="W141">
        <f>IF($A2="","",COUNTIF('07_Pallet_Contents'!$A$2:$A$3000,$A2))</f>
        <v>0</v>
      </c>
      <c r="X141">
        <f>IF($A2="","",SUMIF('07_Pallet_Contents'!$A$2:$A$3000,$A2,'07_Pallet_Contents'!$D$2:$D$3000))</f>
        <v>0</v>
      </c>
      <c r="Y141">
        <f>IF($A2="","",SUMIF('07_Pallet_Contents'!$A$2:$A$3000,$A2,'07_Pallet_Contents'!$I$2:$I$3000))</f>
        <v>0</v>
      </c>
      <c r="Z141" t="str">
        <f>IF($A2="","",IF(COUNTIF('07_Pallet_Contents'!$A$2:$A$3000,$A2)&gt;0,"Yes",""))</f>
        <v/>
      </c>
    </row>
    <row r="142" spans="1:26" ht="27.75" customHeight="1">
      <c r="A142" s="4" t="s">
        <v>452</v>
      </c>
      <c r="B142" s="4"/>
      <c r="D142" t="str">
        <f>IF($C142="","",IFERROR(LOOKUP(2,1/('03_Warehouse_Movements'!$C$2:$C$500=$A142),'03_Warehouse_Movements'!$E$2:$E$500),$C142))</f>
        <v/>
      </c>
      <c r="E142" t="s">
        <v>209</v>
      </c>
      <c r="G142" s="32"/>
      <c r="H142" s="3" t="str">
        <f t="shared" si="4"/>
        <v/>
      </c>
      <c r="I142" s="3"/>
      <c r="J142" s="4"/>
      <c r="K142" s="3"/>
      <c r="L142" s="4"/>
      <c r="M142" s="68" t="str">
        <f>IF($C142="","",IFERROR(LOOKUP(2,1/('03_Warehouse_Movements'!$C$2:$C$500=$A142),'03_Warehouse_Movements'!$A$2:$A$500),""))</f>
        <v/>
      </c>
      <c r="N142" s="4" t="str">
        <f>IF($C142="","",IFERROR(LOOKUP(2,1/('03_Warehouse_Movements'!$C$2:$C$500=$A142),'03_Warehouse_Movements'!$H$2:$H$500),""))</f>
        <v/>
      </c>
      <c r="O142" s="4" t="str">
        <f t="shared" si="5"/>
        <v>PAL-0000142</v>
      </c>
      <c r="Q142" s="34"/>
      <c r="R142" s="33"/>
      <c r="W142">
        <f>IF($A2="","",COUNTIF('07_Pallet_Contents'!$A$2:$A$3000,$A2))</f>
        <v>0</v>
      </c>
      <c r="X142">
        <f>IF($A2="","",SUMIF('07_Pallet_Contents'!$A$2:$A$3000,$A2,'07_Pallet_Contents'!$D$2:$D$3000))</f>
        <v>0</v>
      </c>
      <c r="Y142">
        <f>IF($A2="","",SUMIF('07_Pallet_Contents'!$A$2:$A$3000,$A2,'07_Pallet_Contents'!$I$2:$I$3000))</f>
        <v>0</v>
      </c>
      <c r="Z142" t="str">
        <f>IF($A2="","",IF(COUNTIF('07_Pallet_Contents'!$A$2:$A$3000,$A2)&gt;0,"Yes",""))</f>
        <v/>
      </c>
    </row>
    <row r="143" spans="1:26" ht="27.75" customHeight="1">
      <c r="A143" s="4" t="s">
        <v>453</v>
      </c>
      <c r="B143" s="4"/>
      <c r="D143" t="str">
        <f>IF($C143="","",IFERROR(LOOKUP(2,1/('03_Warehouse_Movements'!$C$2:$C$500=$A143),'03_Warehouse_Movements'!$E$2:$E$500),$C143))</f>
        <v/>
      </c>
      <c r="E143" t="s">
        <v>209</v>
      </c>
      <c r="G143" s="32"/>
      <c r="H143" s="3" t="str">
        <f t="shared" si="4"/>
        <v/>
      </c>
      <c r="I143" s="3"/>
      <c r="J143" s="4"/>
      <c r="K143" s="3"/>
      <c r="L143" s="4"/>
      <c r="M143" s="68" t="str">
        <f>IF($C143="","",IFERROR(LOOKUP(2,1/('03_Warehouse_Movements'!$C$2:$C$500=$A143),'03_Warehouse_Movements'!$A$2:$A$500),""))</f>
        <v/>
      </c>
      <c r="N143" s="4" t="str">
        <f>IF($C143="","",IFERROR(LOOKUP(2,1/('03_Warehouse_Movements'!$C$2:$C$500=$A143),'03_Warehouse_Movements'!$H$2:$H$500),""))</f>
        <v/>
      </c>
      <c r="O143" s="4" t="str">
        <f t="shared" si="5"/>
        <v>PAL-0000143</v>
      </c>
      <c r="Q143" s="34"/>
      <c r="R143" s="33"/>
      <c r="W143">
        <f>IF($A2="","",COUNTIF('07_Pallet_Contents'!$A$2:$A$3000,$A2))</f>
        <v>0</v>
      </c>
      <c r="X143">
        <f>IF($A2="","",SUMIF('07_Pallet_Contents'!$A$2:$A$3000,$A2,'07_Pallet_Contents'!$D$2:$D$3000))</f>
        <v>0</v>
      </c>
      <c r="Y143">
        <f>IF($A2="","",SUMIF('07_Pallet_Contents'!$A$2:$A$3000,$A2,'07_Pallet_Contents'!$I$2:$I$3000))</f>
        <v>0</v>
      </c>
      <c r="Z143" t="str">
        <f>IF($A2="","",IF(COUNTIF('07_Pallet_Contents'!$A$2:$A$3000,$A2)&gt;0,"Yes",""))</f>
        <v/>
      </c>
    </row>
    <row r="144" spans="1:26" ht="27.75" customHeight="1">
      <c r="A144" s="4" t="s">
        <v>454</v>
      </c>
      <c r="B144" s="4"/>
      <c r="D144" t="str">
        <f>IF($C144="","",IFERROR(LOOKUP(2,1/('03_Warehouse_Movements'!$C$2:$C$500=$A144),'03_Warehouse_Movements'!$E$2:$E$500),$C144))</f>
        <v/>
      </c>
      <c r="E144" t="s">
        <v>209</v>
      </c>
      <c r="G144" s="32"/>
      <c r="H144" s="3" t="str">
        <f t="shared" si="4"/>
        <v/>
      </c>
      <c r="I144" s="3"/>
      <c r="J144" s="4"/>
      <c r="K144" s="3"/>
      <c r="L144" s="4"/>
      <c r="M144" s="68" t="str">
        <f>IF($C144="","",IFERROR(LOOKUP(2,1/('03_Warehouse_Movements'!$C$2:$C$500=$A144),'03_Warehouse_Movements'!$A$2:$A$500),""))</f>
        <v/>
      </c>
      <c r="N144" s="4" t="str">
        <f>IF($C144="","",IFERROR(LOOKUP(2,1/('03_Warehouse_Movements'!$C$2:$C$500=$A144),'03_Warehouse_Movements'!$H$2:$H$500),""))</f>
        <v/>
      </c>
      <c r="O144" s="4" t="str">
        <f t="shared" si="5"/>
        <v>PAL-0000144</v>
      </c>
      <c r="Q144" s="34"/>
      <c r="R144" s="33"/>
      <c r="W144">
        <f>IF($A2="","",COUNTIF('07_Pallet_Contents'!$A$2:$A$3000,$A2))</f>
        <v>0</v>
      </c>
      <c r="X144">
        <f>IF($A2="","",SUMIF('07_Pallet_Contents'!$A$2:$A$3000,$A2,'07_Pallet_Contents'!$D$2:$D$3000))</f>
        <v>0</v>
      </c>
      <c r="Y144">
        <f>IF($A2="","",SUMIF('07_Pallet_Contents'!$A$2:$A$3000,$A2,'07_Pallet_Contents'!$I$2:$I$3000))</f>
        <v>0</v>
      </c>
      <c r="Z144" t="str">
        <f>IF($A2="","",IF(COUNTIF('07_Pallet_Contents'!$A$2:$A$3000,$A2)&gt;0,"Yes",""))</f>
        <v/>
      </c>
    </row>
    <row r="145" spans="1:26" ht="27.75" customHeight="1">
      <c r="A145" s="4" t="s">
        <v>455</v>
      </c>
      <c r="B145" s="4"/>
      <c r="D145" t="str">
        <f>IF($C145="","",IFERROR(LOOKUP(2,1/('03_Warehouse_Movements'!$C$2:$C$500=$A145),'03_Warehouse_Movements'!$E$2:$E$500),$C145))</f>
        <v/>
      </c>
      <c r="E145" t="s">
        <v>209</v>
      </c>
      <c r="G145" s="32"/>
      <c r="H145" s="3" t="str">
        <f t="shared" si="4"/>
        <v/>
      </c>
      <c r="I145" s="3"/>
      <c r="J145" s="4"/>
      <c r="K145" s="3"/>
      <c r="L145" s="4"/>
      <c r="M145" s="68" t="str">
        <f>IF($C145="","",IFERROR(LOOKUP(2,1/('03_Warehouse_Movements'!$C$2:$C$500=$A145),'03_Warehouse_Movements'!$A$2:$A$500),""))</f>
        <v/>
      </c>
      <c r="N145" s="4" t="str">
        <f>IF($C145="","",IFERROR(LOOKUP(2,1/('03_Warehouse_Movements'!$C$2:$C$500=$A145),'03_Warehouse_Movements'!$H$2:$H$500),""))</f>
        <v/>
      </c>
      <c r="O145" s="4" t="str">
        <f t="shared" si="5"/>
        <v>PAL-0000145</v>
      </c>
      <c r="Q145" s="34"/>
      <c r="R145" s="33"/>
      <c r="W145">
        <f>IF($A2="","",COUNTIF('07_Pallet_Contents'!$A$2:$A$3000,$A2))</f>
        <v>0</v>
      </c>
      <c r="X145">
        <f>IF($A2="","",SUMIF('07_Pallet_Contents'!$A$2:$A$3000,$A2,'07_Pallet_Contents'!$D$2:$D$3000))</f>
        <v>0</v>
      </c>
      <c r="Y145">
        <f>IF($A2="","",SUMIF('07_Pallet_Contents'!$A$2:$A$3000,$A2,'07_Pallet_Contents'!$I$2:$I$3000))</f>
        <v>0</v>
      </c>
      <c r="Z145" t="str">
        <f>IF($A2="","",IF(COUNTIF('07_Pallet_Contents'!$A$2:$A$3000,$A2)&gt;0,"Yes",""))</f>
        <v/>
      </c>
    </row>
    <row r="146" spans="1:26" ht="27.75" customHeight="1">
      <c r="A146" s="4" t="s">
        <v>456</v>
      </c>
      <c r="B146" s="4"/>
      <c r="D146" t="str">
        <f>IF($C146="","",IFERROR(LOOKUP(2,1/('03_Warehouse_Movements'!$C$2:$C$500=$A146),'03_Warehouse_Movements'!$E$2:$E$500),$C146))</f>
        <v/>
      </c>
      <c r="E146" t="s">
        <v>209</v>
      </c>
      <c r="G146" s="32"/>
      <c r="H146" s="3" t="str">
        <f t="shared" si="4"/>
        <v/>
      </c>
      <c r="I146" s="3"/>
      <c r="J146" s="4"/>
      <c r="K146" s="3"/>
      <c r="L146" s="4"/>
      <c r="M146" s="68" t="str">
        <f>IF($C146="","",IFERROR(LOOKUP(2,1/('03_Warehouse_Movements'!$C$2:$C$500=$A146),'03_Warehouse_Movements'!$A$2:$A$500),""))</f>
        <v/>
      </c>
      <c r="N146" s="4" t="str">
        <f>IF($C146="","",IFERROR(LOOKUP(2,1/('03_Warehouse_Movements'!$C$2:$C$500=$A146),'03_Warehouse_Movements'!$H$2:$H$500),""))</f>
        <v/>
      </c>
      <c r="O146" s="4" t="str">
        <f t="shared" si="5"/>
        <v>PAL-0000146</v>
      </c>
      <c r="Q146" s="34"/>
      <c r="R146" s="33"/>
      <c r="W146">
        <f>IF($A2="","",COUNTIF('07_Pallet_Contents'!$A$2:$A$3000,$A2))</f>
        <v>0</v>
      </c>
      <c r="X146">
        <f>IF($A2="","",SUMIF('07_Pallet_Contents'!$A$2:$A$3000,$A2,'07_Pallet_Contents'!$D$2:$D$3000))</f>
        <v>0</v>
      </c>
      <c r="Y146">
        <f>IF($A2="","",SUMIF('07_Pallet_Contents'!$A$2:$A$3000,$A2,'07_Pallet_Contents'!$I$2:$I$3000))</f>
        <v>0</v>
      </c>
      <c r="Z146" t="str">
        <f>IF($A2="","",IF(COUNTIF('07_Pallet_Contents'!$A$2:$A$3000,$A2)&gt;0,"Yes",""))</f>
        <v/>
      </c>
    </row>
    <row r="147" spans="1:26" ht="27.75" customHeight="1">
      <c r="A147" s="4" t="s">
        <v>457</v>
      </c>
      <c r="B147" s="4"/>
      <c r="D147" t="str">
        <f>IF($C147="","",IFERROR(LOOKUP(2,1/('03_Warehouse_Movements'!$C$2:$C$500=$A147),'03_Warehouse_Movements'!$E$2:$E$500),$C147))</f>
        <v/>
      </c>
      <c r="E147" t="s">
        <v>209</v>
      </c>
      <c r="G147" s="32"/>
      <c r="H147" s="3" t="str">
        <f t="shared" si="4"/>
        <v/>
      </c>
      <c r="I147" s="3"/>
      <c r="J147" s="4"/>
      <c r="K147" s="3"/>
      <c r="L147" s="4"/>
      <c r="M147" s="68" t="str">
        <f>IF($C147="","",IFERROR(LOOKUP(2,1/('03_Warehouse_Movements'!$C$2:$C$500=$A147),'03_Warehouse_Movements'!$A$2:$A$500),""))</f>
        <v/>
      </c>
      <c r="N147" s="4" t="str">
        <f>IF($C147="","",IFERROR(LOOKUP(2,1/('03_Warehouse_Movements'!$C$2:$C$500=$A147),'03_Warehouse_Movements'!$H$2:$H$500),""))</f>
        <v/>
      </c>
      <c r="O147" s="4" t="str">
        <f t="shared" si="5"/>
        <v>PAL-0000147</v>
      </c>
      <c r="Q147" s="34"/>
      <c r="R147" s="33"/>
      <c r="W147">
        <f>IF($A2="","",COUNTIF('07_Pallet_Contents'!$A$2:$A$3000,$A2))</f>
        <v>0</v>
      </c>
      <c r="X147">
        <f>IF($A2="","",SUMIF('07_Pallet_Contents'!$A$2:$A$3000,$A2,'07_Pallet_Contents'!$D$2:$D$3000))</f>
        <v>0</v>
      </c>
      <c r="Y147">
        <f>IF($A2="","",SUMIF('07_Pallet_Contents'!$A$2:$A$3000,$A2,'07_Pallet_Contents'!$I$2:$I$3000))</f>
        <v>0</v>
      </c>
      <c r="Z147" t="str">
        <f>IF($A2="","",IF(COUNTIF('07_Pallet_Contents'!$A$2:$A$3000,$A2)&gt;0,"Yes",""))</f>
        <v/>
      </c>
    </row>
    <row r="148" spans="1:26" ht="27.75" customHeight="1">
      <c r="A148" s="4" t="s">
        <v>458</v>
      </c>
      <c r="B148" s="4"/>
      <c r="D148" t="str">
        <f>IF($C148="","",IFERROR(LOOKUP(2,1/('03_Warehouse_Movements'!$C$2:$C$500=$A148),'03_Warehouse_Movements'!$E$2:$E$500),$C148))</f>
        <v/>
      </c>
      <c r="E148" t="s">
        <v>209</v>
      </c>
      <c r="G148" s="32"/>
      <c r="H148" s="3" t="str">
        <f t="shared" si="4"/>
        <v/>
      </c>
      <c r="I148" s="3"/>
      <c r="J148" s="4"/>
      <c r="K148" s="3"/>
      <c r="L148" s="4"/>
      <c r="M148" s="68" t="str">
        <f>IF($C148="","",IFERROR(LOOKUP(2,1/('03_Warehouse_Movements'!$C$2:$C$500=$A148),'03_Warehouse_Movements'!$A$2:$A$500),""))</f>
        <v/>
      </c>
      <c r="N148" s="4" t="str">
        <f>IF($C148="","",IFERROR(LOOKUP(2,1/('03_Warehouse_Movements'!$C$2:$C$500=$A148),'03_Warehouse_Movements'!$H$2:$H$500),""))</f>
        <v/>
      </c>
      <c r="O148" s="4" t="str">
        <f t="shared" si="5"/>
        <v>PAL-0000148</v>
      </c>
      <c r="Q148" s="34"/>
      <c r="R148" s="33"/>
      <c r="W148">
        <f>IF($A2="","",COUNTIF('07_Pallet_Contents'!$A$2:$A$3000,$A2))</f>
        <v>0</v>
      </c>
      <c r="X148">
        <f>IF($A2="","",SUMIF('07_Pallet_Contents'!$A$2:$A$3000,$A2,'07_Pallet_Contents'!$D$2:$D$3000))</f>
        <v>0</v>
      </c>
      <c r="Y148">
        <f>IF($A2="","",SUMIF('07_Pallet_Contents'!$A$2:$A$3000,$A2,'07_Pallet_Contents'!$I$2:$I$3000))</f>
        <v>0</v>
      </c>
      <c r="Z148" t="str">
        <f>IF($A2="","",IF(COUNTIF('07_Pallet_Contents'!$A$2:$A$3000,$A2)&gt;0,"Yes",""))</f>
        <v/>
      </c>
    </row>
    <row r="149" spans="1:26" ht="27.75" customHeight="1">
      <c r="A149" s="4" t="s">
        <v>459</v>
      </c>
      <c r="B149" s="4"/>
      <c r="D149" t="str">
        <f>IF($C149="","",IFERROR(LOOKUP(2,1/('03_Warehouse_Movements'!$C$2:$C$500=$A149),'03_Warehouse_Movements'!$E$2:$E$500),$C149))</f>
        <v/>
      </c>
      <c r="E149" t="s">
        <v>209</v>
      </c>
      <c r="G149" s="32"/>
      <c r="H149" s="3" t="str">
        <f t="shared" si="4"/>
        <v/>
      </c>
      <c r="I149" s="3"/>
      <c r="J149" s="4"/>
      <c r="K149" s="3"/>
      <c r="L149" s="4"/>
      <c r="M149" s="68" t="str">
        <f>IF($C149="","",IFERROR(LOOKUP(2,1/('03_Warehouse_Movements'!$C$2:$C$500=$A149),'03_Warehouse_Movements'!$A$2:$A$500),""))</f>
        <v/>
      </c>
      <c r="N149" s="4" t="str">
        <f>IF($C149="","",IFERROR(LOOKUP(2,1/('03_Warehouse_Movements'!$C$2:$C$500=$A149),'03_Warehouse_Movements'!$H$2:$H$500),""))</f>
        <v/>
      </c>
      <c r="O149" s="4" t="str">
        <f t="shared" si="5"/>
        <v>PAL-0000149</v>
      </c>
      <c r="Q149" s="34"/>
      <c r="R149" s="33"/>
      <c r="W149">
        <f>IF($A2="","",COUNTIF('07_Pallet_Contents'!$A$2:$A$3000,$A2))</f>
        <v>0</v>
      </c>
      <c r="X149">
        <f>IF($A2="","",SUMIF('07_Pallet_Contents'!$A$2:$A$3000,$A2,'07_Pallet_Contents'!$D$2:$D$3000))</f>
        <v>0</v>
      </c>
      <c r="Y149">
        <f>IF($A2="","",SUMIF('07_Pallet_Contents'!$A$2:$A$3000,$A2,'07_Pallet_Contents'!$I$2:$I$3000))</f>
        <v>0</v>
      </c>
      <c r="Z149" t="str">
        <f>IF($A2="","",IF(COUNTIF('07_Pallet_Contents'!$A$2:$A$3000,$A2)&gt;0,"Yes",""))</f>
        <v/>
      </c>
    </row>
    <row r="150" spans="1:26" ht="27.75" customHeight="1">
      <c r="A150" s="4" t="s">
        <v>460</v>
      </c>
      <c r="B150" s="4"/>
      <c r="D150" t="str">
        <f>IF($C150="","",IFERROR(LOOKUP(2,1/('03_Warehouse_Movements'!$C$2:$C$500=$A150),'03_Warehouse_Movements'!$E$2:$E$500),$C150))</f>
        <v/>
      </c>
      <c r="E150" t="s">
        <v>209</v>
      </c>
      <c r="G150" s="32"/>
      <c r="H150" s="3" t="str">
        <f t="shared" si="4"/>
        <v/>
      </c>
      <c r="I150" s="3"/>
      <c r="J150" s="4"/>
      <c r="K150" s="3"/>
      <c r="L150" s="4"/>
      <c r="M150" s="68" t="str">
        <f>IF($C150="","",IFERROR(LOOKUP(2,1/('03_Warehouse_Movements'!$C$2:$C$500=$A150),'03_Warehouse_Movements'!$A$2:$A$500),""))</f>
        <v/>
      </c>
      <c r="N150" s="4" t="str">
        <f>IF($C150="","",IFERROR(LOOKUP(2,1/('03_Warehouse_Movements'!$C$2:$C$500=$A150),'03_Warehouse_Movements'!$H$2:$H$500),""))</f>
        <v/>
      </c>
      <c r="O150" s="4" t="str">
        <f t="shared" si="5"/>
        <v>PAL-0000150</v>
      </c>
      <c r="Q150" s="34"/>
      <c r="R150" s="33"/>
      <c r="W150">
        <f>IF($A2="","",COUNTIF('07_Pallet_Contents'!$A$2:$A$3000,$A2))</f>
        <v>0</v>
      </c>
      <c r="X150">
        <f>IF($A2="","",SUMIF('07_Pallet_Contents'!$A$2:$A$3000,$A2,'07_Pallet_Contents'!$D$2:$D$3000))</f>
        <v>0</v>
      </c>
      <c r="Y150">
        <f>IF($A2="","",SUMIF('07_Pallet_Contents'!$A$2:$A$3000,$A2,'07_Pallet_Contents'!$I$2:$I$3000))</f>
        <v>0</v>
      </c>
      <c r="Z150" t="str">
        <f>IF($A2="","",IF(COUNTIF('07_Pallet_Contents'!$A$2:$A$3000,$A2)&gt;0,"Yes",""))</f>
        <v/>
      </c>
    </row>
    <row r="151" spans="1:26" ht="27.75" customHeight="1">
      <c r="A151" s="4" t="s">
        <v>461</v>
      </c>
      <c r="B151" s="4"/>
      <c r="D151" t="str">
        <f>IF($C151="","",IFERROR(LOOKUP(2,1/('03_Warehouse_Movements'!$C$2:$C$500=$A151),'03_Warehouse_Movements'!$E$2:$E$500),$C151))</f>
        <v/>
      </c>
      <c r="E151" t="s">
        <v>209</v>
      </c>
      <c r="G151" s="32"/>
      <c r="H151" s="3" t="str">
        <f t="shared" si="4"/>
        <v/>
      </c>
      <c r="I151" s="3"/>
      <c r="J151" s="4"/>
      <c r="K151" s="3"/>
      <c r="L151" s="4"/>
      <c r="M151" s="68" t="str">
        <f>IF($C151="","",IFERROR(LOOKUP(2,1/('03_Warehouse_Movements'!$C$2:$C$500=$A151),'03_Warehouse_Movements'!$A$2:$A$500),""))</f>
        <v/>
      </c>
      <c r="N151" s="4" t="str">
        <f>IF($C151="","",IFERROR(LOOKUP(2,1/('03_Warehouse_Movements'!$C$2:$C$500=$A151),'03_Warehouse_Movements'!$H$2:$H$500),""))</f>
        <v/>
      </c>
      <c r="O151" s="4" t="str">
        <f t="shared" si="5"/>
        <v>PAL-0000151</v>
      </c>
      <c r="Q151" s="34"/>
      <c r="R151" s="33"/>
      <c r="W151">
        <f>IF($A2="","",COUNTIF('07_Pallet_Contents'!$A$2:$A$3000,$A2))</f>
        <v>0</v>
      </c>
      <c r="X151">
        <f>IF($A2="","",SUMIF('07_Pallet_Contents'!$A$2:$A$3000,$A2,'07_Pallet_Contents'!$D$2:$D$3000))</f>
        <v>0</v>
      </c>
      <c r="Y151">
        <f>IF($A2="","",SUMIF('07_Pallet_Contents'!$A$2:$A$3000,$A2,'07_Pallet_Contents'!$I$2:$I$3000))</f>
        <v>0</v>
      </c>
      <c r="Z151" t="str">
        <f>IF($A2="","",IF(COUNTIF('07_Pallet_Contents'!$A$2:$A$3000,$A2)&gt;0,"Yes",""))</f>
        <v/>
      </c>
    </row>
    <row r="152" spans="1:26" ht="27.75" customHeight="1">
      <c r="A152" s="4" t="s">
        <v>462</v>
      </c>
      <c r="B152" s="4"/>
      <c r="D152" t="str">
        <f>IF($C152="","",IFERROR(LOOKUP(2,1/('03_Warehouse_Movements'!$C$2:$C$500=$A152),'03_Warehouse_Movements'!$E$2:$E$500),$C152))</f>
        <v/>
      </c>
      <c r="E152" t="s">
        <v>209</v>
      </c>
      <c r="G152" s="32"/>
      <c r="H152" s="3" t="str">
        <f t="shared" si="4"/>
        <v/>
      </c>
      <c r="I152" s="3"/>
      <c r="J152" s="4"/>
      <c r="K152" s="3"/>
      <c r="L152" s="4"/>
      <c r="M152" s="68" t="str">
        <f>IF($C152="","",IFERROR(LOOKUP(2,1/('03_Warehouse_Movements'!$C$2:$C$500=$A152),'03_Warehouse_Movements'!$A$2:$A$500),""))</f>
        <v/>
      </c>
      <c r="N152" s="4" t="str">
        <f>IF($C152="","",IFERROR(LOOKUP(2,1/('03_Warehouse_Movements'!$C$2:$C$500=$A152),'03_Warehouse_Movements'!$H$2:$H$500),""))</f>
        <v/>
      </c>
      <c r="O152" s="4" t="str">
        <f t="shared" si="5"/>
        <v>PAL-0000152</v>
      </c>
      <c r="Q152" s="34"/>
      <c r="R152" s="33"/>
      <c r="W152">
        <f>IF($A2="","",COUNTIF('07_Pallet_Contents'!$A$2:$A$3000,$A2))</f>
        <v>0</v>
      </c>
      <c r="X152">
        <f>IF($A2="","",SUMIF('07_Pallet_Contents'!$A$2:$A$3000,$A2,'07_Pallet_Contents'!$D$2:$D$3000))</f>
        <v>0</v>
      </c>
      <c r="Y152">
        <f>IF($A2="","",SUMIF('07_Pallet_Contents'!$A$2:$A$3000,$A2,'07_Pallet_Contents'!$I$2:$I$3000))</f>
        <v>0</v>
      </c>
      <c r="Z152" t="str">
        <f>IF($A2="","",IF(COUNTIF('07_Pallet_Contents'!$A$2:$A$3000,$A2)&gt;0,"Yes",""))</f>
        <v/>
      </c>
    </row>
    <row r="153" spans="1:26" ht="27.75" customHeight="1">
      <c r="A153" s="4" t="s">
        <v>463</v>
      </c>
      <c r="B153" s="4"/>
      <c r="D153" t="str">
        <f>IF($C153="","",IFERROR(LOOKUP(2,1/('03_Warehouse_Movements'!$C$2:$C$500=$A153),'03_Warehouse_Movements'!$E$2:$E$500),$C153))</f>
        <v/>
      </c>
      <c r="E153" t="s">
        <v>209</v>
      </c>
      <c r="G153" s="32"/>
      <c r="H153" s="3" t="str">
        <f t="shared" si="4"/>
        <v/>
      </c>
      <c r="I153" s="3"/>
      <c r="J153" s="4"/>
      <c r="K153" s="3"/>
      <c r="L153" s="4"/>
      <c r="M153" s="68" t="str">
        <f>IF($C153="","",IFERROR(LOOKUP(2,1/('03_Warehouse_Movements'!$C$2:$C$500=$A153),'03_Warehouse_Movements'!$A$2:$A$500),""))</f>
        <v/>
      </c>
      <c r="N153" s="4" t="str">
        <f>IF($C153="","",IFERROR(LOOKUP(2,1/('03_Warehouse_Movements'!$C$2:$C$500=$A153),'03_Warehouse_Movements'!$H$2:$H$500),""))</f>
        <v/>
      </c>
      <c r="O153" s="4" t="str">
        <f t="shared" si="5"/>
        <v>PAL-0000153</v>
      </c>
      <c r="Q153" s="34"/>
      <c r="R153" s="33"/>
      <c r="W153">
        <f>IF($A2="","",COUNTIF('07_Pallet_Contents'!$A$2:$A$3000,$A2))</f>
        <v>0</v>
      </c>
      <c r="X153">
        <f>IF($A2="","",SUMIF('07_Pallet_Contents'!$A$2:$A$3000,$A2,'07_Pallet_Contents'!$D$2:$D$3000))</f>
        <v>0</v>
      </c>
      <c r="Y153">
        <f>IF($A2="","",SUMIF('07_Pallet_Contents'!$A$2:$A$3000,$A2,'07_Pallet_Contents'!$I$2:$I$3000))</f>
        <v>0</v>
      </c>
      <c r="Z153" t="str">
        <f>IF($A2="","",IF(COUNTIF('07_Pallet_Contents'!$A$2:$A$3000,$A2)&gt;0,"Yes",""))</f>
        <v/>
      </c>
    </row>
    <row r="154" spans="1:26" ht="27.75" customHeight="1">
      <c r="A154" s="4" t="s">
        <v>464</v>
      </c>
      <c r="B154" s="4"/>
      <c r="D154" t="str">
        <f>IF($C154="","",IFERROR(LOOKUP(2,1/('03_Warehouse_Movements'!$C$2:$C$500=$A154),'03_Warehouse_Movements'!$E$2:$E$500),$C154))</f>
        <v/>
      </c>
      <c r="E154" t="s">
        <v>209</v>
      </c>
      <c r="G154" s="32"/>
      <c r="H154" s="3" t="str">
        <f t="shared" si="4"/>
        <v/>
      </c>
      <c r="I154" s="3"/>
      <c r="J154" s="4"/>
      <c r="K154" s="3"/>
      <c r="L154" s="4"/>
      <c r="M154" s="68" t="str">
        <f>IF($C154="","",IFERROR(LOOKUP(2,1/('03_Warehouse_Movements'!$C$2:$C$500=$A154),'03_Warehouse_Movements'!$A$2:$A$500),""))</f>
        <v/>
      </c>
      <c r="N154" s="4" t="str">
        <f>IF($C154="","",IFERROR(LOOKUP(2,1/('03_Warehouse_Movements'!$C$2:$C$500=$A154),'03_Warehouse_Movements'!$H$2:$H$500),""))</f>
        <v/>
      </c>
      <c r="O154" s="4" t="str">
        <f t="shared" si="5"/>
        <v>PAL-0000154</v>
      </c>
      <c r="Q154" s="34"/>
      <c r="R154" s="33"/>
      <c r="W154">
        <f>IF($A2="","",COUNTIF('07_Pallet_Contents'!$A$2:$A$3000,$A2))</f>
        <v>0</v>
      </c>
      <c r="X154">
        <f>IF($A2="","",SUMIF('07_Pallet_Contents'!$A$2:$A$3000,$A2,'07_Pallet_Contents'!$D$2:$D$3000))</f>
        <v>0</v>
      </c>
      <c r="Y154">
        <f>IF($A2="","",SUMIF('07_Pallet_Contents'!$A$2:$A$3000,$A2,'07_Pallet_Contents'!$I$2:$I$3000))</f>
        <v>0</v>
      </c>
      <c r="Z154" t="str">
        <f>IF($A2="","",IF(COUNTIF('07_Pallet_Contents'!$A$2:$A$3000,$A2)&gt;0,"Yes",""))</f>
        <v/>
      </c>
    </row>
    <row r="155" spans="1:26" ht="27.75" customHeight="1">
      <c r="A155" s="4" t="s">
        <v>465</v>
      </c>
      <c r="B155" s="4"/>
      <c r="D155" t="str">
        <f>IF($C155="","",IFERROR(LOOKUP(2,1/('03_Warehouse_Movements'!$C$2:$C$500=$A155),'03_Warehouse_Movements'!$E$2:$E$500),$C155))</f>
        <v/>
      </c>
      <c r="E155" t="s">
        <v>209</v>
      </c>
      <c r="G155" s="32"/>
      <c r="H155" s="3" t="str">
        <f t="shared" si="4"/>
        <v/>
      </c>
      <c r="I155" s="3"/>
      <c r="J155" s="4"/>
      <c r="K155" s="3"/>
      <c r="L155" s="4"/>
      <c r="M155" s="68" t="str">
        <f>IF($C155="","",IFERROR(LOOKUP(2,1/('03_Warehouse_Movements'!$C$2:$C$500=$A155),'03_Warehouse_Movements'!$A$2:$A$500),""))</f>
        <v/>
      </c>
      <c r="N155" s="4" t="str">
        <f>IF($C155="","",IFERROR(LOOKUP(2,1/('03_Warehouse_Movements'!$C$2:$C$500=$A155),'03_Warehouse_Movements'!$H$2:$H$500),""))</f>
        <v/>
      </c>
      <c r="O155" s="4" t="str">
        <f t="shared" si="5"/>
        <v>PAL-0000155</v>
      </c>
      <c r="Q155" s="34"/>
      <c r="R155" s="33"/>
      <c r="W155">
        <f>IF($A2="","",COUNTIF('07_Pallet_Contents'!$A$2:$A$3000,$A2))</f>
        <v>0</v>
      </c>
      <c r="X155">
        <f>IF($A2="","",SUMIF('07_Pallet_Contents'!$A$2:$A$3000,$A2,'07_Pallet_Contents'!$D$2:$D$3000))</f>
        <v>0</v>
      </c>
      <c r="Y155">
        <f>IF($A2="","",SUMIF('07_Pallet_Contents'!$A$2:$A$3000,$A2,'07_Pallet_Contents'!$I$2:$I$3000))</f>
        <v>0</v>
      </c>
      <c r="Z155" t="str">
        <f>IF($A2="","",IF(COUNTIF('07_Pallet_Contents'!$A$2:$A$3000,$A2)&gt;0,"Yes",""))</f>
        <v/>
      </c>
    </row>
    <row r="156" spans="1:26" ht="27.75" customHeight="1">
      <c r="A156" s="4" t="s">
        <v>466</v>
      </c>
      <c r="B156" s="4"/>
      <c r="D156" t="str">
        <f>IF($C156="","",IFERROR(LOOKUP(2,1/('03_Warehouse_Movements'!$C$2:$C$500=$A156),'03_Warehouse_Movements'!$E$2:$E$500),$C156))</f>
        <v/>
      </c>
      <c r="E156" t="s">
        <v>209</v>
      </c>
      <c r="G156" s="32"/>
      <c r="H156" s="3" t="str">
        <f t="shared" si="4"/>
        <v/>
      </c>
      <c r="I156" s="3"/>
      <c r="J156" s="4"/>
      <c r="K156" s="3"/>
      <c r="L156" s="4"/>
      <c r="M156" s="68" t="str">
        <f>IF($C156="","",IFERROR(LOOKUP(2,1/('03_Warehouse_Movements'!$C$2:$C$500=$A156),'03_Warehouse_Movements'!$A$2:$A$500),""))</f>
        <v/>
      </c>
      <c r="N156" s="4" t="str">
        <f>IF($C156="","",IFERROR(LOOKUP(2,1/('03_Warehouse_Movements'!$C$2:$C$500=$A156),'03_Warehouse_Movements'!$H$2:$H$500),""))</f>
        <v/>
      </c>
      <c r="O156" s="4" t="str">
        <f t="shared" si="5"/>
        <v>PAL-0000156</v>
      </c>
      <c r="Q156" s="34"/>
      <c r="R156" s="33"/>
      <c r="W156">
        <f>IF($A2="","",COUNTIF('07_Pallet_Contents'!$A$2:$A$3000,$A2))</f>
        <v>0</v>
      </c>
      <c r="X156">
        <f>IF($A2="","",SUMIF('07_Pallet_Contents'!$A$2:$A$3000,$A2,'07_Pallet_Contents'!$D$2:$D$3000))</f>
        <v>0</v>
      </c>
      <c r="Y156">
        <f>IF($A2="","",SUMIF('07_Pallet_Contents'!$A$2:$A$3000,$A2,'07_Pallet_Contents'!$I$2:$I$3000))</f>
        <v>0</v>
      </c>
      <c r="Z156" t="str">
        <f>IF($A2="","",IF(COUNTIF('07_Pallet_Contents'!$A$2:$A$3000,$A2)&gt;0,"Yes",""))</f>
        <v/>
      </c>
    </row>
    <row r="157" spans="1:26" ht="27.75" customHeight="1">
      <c r="A157" s="4" t="s">
        <v>467</v>
      </c>
      <c r="B157" s="4"/>
      <c r="D157" t="str">
        <f>IF($C157="","",IFERROR(LOOKUP(2,1/('03_Warehouse_Movements'!$C$2:$C$500=$A157),'03_Warehouse_Movements'!$E$2:$E$500),$C157))</f>
        <v/>
      </c>
      <c r="E157" t="s">
        <v>209</v>
      </c>
      <c r="G157" s="32"/>
      <c r="H157" s="3" t="str">
        <f t="shared" si="4"/>
        <v/>
      </c>
      <c r="I157" s="3"/>
      <c r="J157" s="4"/>
      <c r="K157" s="3"/>
      <c r="L157" s="4"/>
      <c r="M157" s="68" t="str">
        <f>IF($C157="","",IFERROR(LOOKUP(2,1/('03_Warehouse_Movements'!$C$2:$C$500=$A157),'03_Warehouse_Movements'!$A$2:$A$500),""))</f>
        <v/>
      </c>
      <c r="N157" s="4" t="str">
        <f>IF($C157="","",IFERROR(LOOKUP(2,1/('03_Warehouse_Movements'!$C$2:$C$500=$A157),'03_Warehouse_Movements'!$H$2:$H$500),""))</f>
        <v/>
      </c>
      <c r="O157" s="4" t="str">
        <f t="shared" si="5"/>
        <v>PAL-0000157</v>
      </c>
      <c r="Q157" s="34"/>
      <c r="R157" s="33"/>
      <c r="W157">
        <f>IF($A2="","",COUNTIF('07_Pallet_Contents'!$A$2:$A$3000,$A2))</f>
        <v>0</v>
      </c>
      <c r="X157">
        <f>IF($A2="","",SUMIF('07_Pallet_Contents'!$A$2:$A$3000,$A2,'07_Pallet_Contents'!$D$2:$D$3000))</f>
        <v>0</v>
      </c>
      <c r="Y157">
        <f>IF($A2="","",SUMIF('07_Pallet_Contents'!$A$2:$A$3000,$A2,'07_Pallet_Contents'!$I$2:$I$3000))</f>
        <v>0</v>
      </c>
      <c r="Z157" t="str">
        <f>IF($A2="","",IF(COUNTIF('07_Pallet_Contents'!$A$2:$A$3000,$A2)&gt;0,"Yes",""))</f>
        <v/>
      </c>
    </row>
    <row r="158" spans="1:26" ht="27.75" customHeight="1">
      <c r="A158" s="4" t="s">
        <v>468</v>
      </c>
      <c r="B158" s="4"/>
      <c r="D158" t="str">
        <f>IF($C158="","",IFERROR(LOOKUP(2,1/('03_Warehouse_Movements'!$C$2:$C$500=$A158),'03_Warehouse_Movements'!$E$2:$E$500),$C158))</f>
        <v/>
      </c>
      <c r="E158" t="s">
        <v>209</v>
      </c>
      <c r="G158" s="32"/>
      <c r="H158" s="3" t="str">
        <f t="shared" si="4"/>
        <v/>
      </c>
      <c r="I158" s="3"/>
      <c r="J158" s="4"/>
      <c r="K158" s="3"/>
      <c r="L158" s="4"/>
      <c r="M158" s="68" t="str">
        <f>IF($C158="","",IFERROR(LOOKUP(2,1/('03_Warehouse_Movements'!$C$2:$C$500=$A158),'03_Warehouse_Movements'!$A$2:$A$500),""))</f>
        <v/>
      </c>
      <c r="N158" s="4" t="str">
        <f>IF($C158="","",IFERROR(LOOKUP(2,1/('03_Warehouse_Movements'!$C$2:$C$500=$A158),'03_Warehouse_Movements'!$H$2:$H$500),""))</f>
        <v/>
      </c>
      <c r="O158" s="4" t="str">
        <f t="shared" si="5"/>
        <v>PAL-0000158</v>
      </c>
      <c r="Q158" s="34"/>
      <c r="R158" s="33"/>
      <c r="W158">
        <f>IF($A2="","",COUNTIF('07_Pallet_Contents'!$A$2:$A$3000,$A2))</f>
        <v>0</v>
      </c>
      <c r="X158">
        <f>IF($A2="","",SUMIF('07_Pallet_Contents'!$A$2:$A$3000,$A2,'07_Pallet_Contents'!$D$2:$D$3000))</f>
        <v>0</v>
      </c>
      <c r="Y158">
        <f>IF($A2="","",SUMIF('07_Pallet_Contents'!$A$2:$A$3000,$A2,'07_Pallet_Contents'!$I$2:$I$3000))</f>
        <v>0</v>
      </c>
      <c r="Z158" t="str">
        <f>IF($A2="","",IF(COUNTIF('07_Pallet_Contents'!$A$2:$A$3000,$A2)&gt;0,"Yes",""))</f>
        <v/>
      </c>
    </row>
    <row r="159" spans="1:26" ht="27.75" customHeight="1">
      <c r="A159" s="4" t="s">
        <v>469</v>
      </c>
      <c r="B159" s="4"/>
      <c r="D159" t="str">
        <f>IF($C159="","",IFERROR(LOOKUP(2,1/('03_Warehouse_Movements'!$C$2:$C$500=$A159),'03_Warehouse_Movements'!$E$2:$E$500),$C159))</f>
        <v/>
      </c>
      <c r="E159" t="s">
        <v>209</v>
      </c>
      <c r="G159" s="32"/>
      <c r="H159" s="3" t="str">
        <f t="shared" si="4"/>
        <v/>
      </c>
      <c r="I159" s="3"/>
      <c r="J159" s="4"/>
      <c r="K159" s="3"/>
      <c r="L159" s="4"/>
      <c r="M159" s="68" t="str">
        <f>IF($C159="","",IFERROR(LOOKUP(2,1/('03_Warehouse_Movements'!$C$2:$C$500=$A159),'03_Warehouse_Movements'!$A$2:$A$500),""))</f>
        <v/>
      </c>
      <c r="N159" s="4" t="str">
        <f>IF($C159="","",IFERROR(LOOKUP(2,1/('03_Warehouse_Movements'!$C$2:$C$500=$A159),'03_Warehouse_Movements'!$H$2:$H$500),""))</f>
        <v/>
      </c>
      <c r="O159" s="4" t="str">
        <f t="shared" si="5"/>
        <v>PAL-0000159</v>
      </c>
      <c r="Q159" s="34"/>
      <c r="R159" s="33"/>
      <c r="W159">
        <f>IF($A2="","",COUNTIF('07_Pallet_Contents'!$A$2:$A$3000,$A2))</f>
        <v>0</v>
      </c>
      <c r="X159">
        <f>IF($A2="","",SUMIF('07_Pallet_Contents'!$A$2:$A$3000,$A2,'07_Pallet_Contents'!$D$2:$D$3000))</f>
        <v>0</v>
      </c>
      <c r="Y159">
        <f>IF($A2="","",SUMIF('07_Pallet_Contents'!$A$2:$A$3000,$A2,'07_Pallet_Contents'!$I$2:$I$3000))</f>
        <v>0</v>
      </c>
      <c r="Z159" t="str">
        <f>IF($A2="","",IF(COUNTIF('07_Pallet_Contents'!$A$2:$A$3000,$A2)&gt;0,"Yes",""))</f>
        <v/>
      </c>
    </row>
    <row r="160" spans="1:26" ht="27.75" customHeight="1">
      <c r="A160" s="4" t="s">
        <v>470</v>
      </c>
      <c r="B160" s="4"/>
      <c r="D160" t="str">
        <f>IF($C160="","",IFERROR(LOOKUP(2,1/('03_Warehouse_Movements'!$C$2:$C$500=$A160),'03_Warehouse_Movements'!$E$2:$E$500),$C160))</f>
        <v/>
      </c>
      <c r="E160" t="s">
        <v>209</v>
      </c>
      <c r="G160" s="32"/>
      <c r="H160" s="3" t="str">
        <f t="shared" si="4"/>
        <v/>
      </c>
      <c r="I160" s="3"/>
      <c r="J160" s="4"/>
      <c r="K160" s="3"/>
      <c r="L160" s="4"/>
      <c r="M160" s="68" t="str">
        <f>IF($C160="","",IFERROR(LOOKUP(2,1/('03_Warehouse_Movements'!$C$2:$C$500=$A160),'03_Warehouse_Movements'!$A$2:$A$500),""))</f>
        <v/>
      </c>
      <c r="N160" s="4" t="str">
        <f>IF($C160="","",IFERROR(LOOKUP(2,1/('03_Warehouse_Movements'!$C$2:$C$500=$A160),'03_Warehouse_Movements'!$H$2:$H$500),""))</f>
        <v/>
      </c>
      <c r="O160" s="4" t="str">
        <f t="shared" si="5"/>
        <v>PAL-0000160</v>
      </c>
      <c r="Q160" s="34"/>
      <c r="R160" s="33"/>
      <c r="W160">
        <f>IF($A2="","",COUNTIF('07_Pallet_Contents'!$A$2:$A$3000,$A2))</f>
        <v>0</v>
      </c>
      <c r="X160">
        <f>IF($A2="","",SUMIF('07_Pallet_Contents'!$A$2:$A$3000,$A2,'07_Pallet_Contents'!$D$2:$D$3000))</f>
        <v>0</v>
      </c>
      <c r="Y160">
        <f>IF($A2="","",SUMIF('07_Pallet_Contents'!$A$2:$A$3000,$A2,'07_Pallet_Contents'!$I$2:$I$3000))</f>
        <v>0</v>
      </c>
      <c r="Z160" t="str">
        <f>IF($A2="","",IF(COUNTIF('07_Pallet_Contents'!$A$2:$A$3000,$A2)&gt;0,"Yes",""))</f>
        <v/>
      </c>
    </row>
    <row r="161" spans="1:26" ht="27.75" customHeight="1">
      <c r="A161" s="4" t="s">
        <v>471</v>
      </c>
      <c r="B161" s="4"/>
      <c r="D161" t="str">
        <f>IF($C161="","",IFERROR(LOOKUP(2,1/('03_Warehouse_Movements'!$C$2:$C$500=$A161),'03_Warehouse_Movements'!$E$2:$E$500),$C161))</f>
        <v/>
      </c>
      <c r="E161" t="s">
        <v>209</v>
      </c>
      <c r="G161" s="32"/>
      <c r="H161" s="3" t="str">
        <f t="shared" si="4"/>
        <v/>
      </c>
      <c r="I161" s="3"/>
      <c r="J161" s="4"/>
      <c r="K161" s="3"/>
      <c r="L161" s="4"/>
      <c r="M161" s="68" t="str">
        <f>IF($C161="","",IFERROR(LOOKUP(2,1/('03_Warehouse_Movements'!$C$2:$C$500=$A161),'03_Warehouse_Movements'!$A$2:$A$500),""))</f>
        <v/>
      </c>
      <c r="N161" s="4" t="str">
        <f>IF($C161="","",IFERROR(LOOKUP(2,1/('03_Warehouse_Movements'!$C$2:$C$500=$A161),'03_Warehouse_Movements'!$H$2:$H$500),""))</f>
        <v/>
      </c>
      <c r="O161" s="4" t="str">
        <f t="shared" si="5"/>
        <v>PAL-0000161</v>
      </c>
      <c r="Q161" s="34"/>
      <c r="R161" s="33"/>
      <c r="W161">
        <f>IF($A2="","",COUNTIF('07_Pallet_Contents'!$A$2:$A$3000,$A2))</f>
        <v>0</v>
      </c>
      <c r="X161">
        <f>IF($A2="","",SUMIF('07_Pallet_Contents'!$A$2:$A$3000,$A2,'07_Pallet_Contents'!$D$2:$D$3000))</f>
        <v>0</v>
      </c>
      <c r="Y161">
        <f>IF($A2="","",SUMIF('07_Pallet_Contents'!$A$2:$A$3000,$A2,'07_Pallet_Contents'!$I$2:$I$3000))</f>
        <v>0</v>
      </c>
      <c r="Z161" t="str">
        <f>IF($A2="","",IF(COUNTIF('07_Pallet_Contents'!$A$2:$A$3000,$A2)&gt;0,"Yes",""))</f>
        <v/>
      </c>
    </row>
    <row r="162" spans="1:26" ht="27.75" customHeight="1">
      <c r="A162" s="4" t="s">
        <v>472</v>
      </c>
      <c r="B162" s="4"/>
      <c r="D162" t="str">
        <f>IF($C162="","",IFERROR(LOOKUP(2,1/('03_Warehouse_Movements'!$C$2:$C$500=$A162),'03_Warehouse_Movements'!$E$2:$E$500),$C162))</f>
        <v/>
      </c>
      <c r="E162" t="s">
        <v>209</v>
      </c>
      <c r="G162" s="32"/>
      <c r="H162" s="3" t="str">
        <f t="shared" si="4"/>
        <v/>
      </c>
      <c r="I162" s="3"/>
      <c r="J162" s="4"/>
      <c r="K162" s="3"/>
      <c r="L162" s="4"/>
      <c r="M162" s="68" t="str">
        <f>IF($C162="","",IFERROR(LOOKUP(2,1/('03_Warehouse_Movements'!$C$2:$C$500=$A162),'03_Warehouse_Movements'!$A$2:$A$500),""))</f>
        <v/>
      </c>
      <c r="N162" s="4" t="str">
        <f>IF($C162="","",IFERROR(LOOKUP(2,1/('03_Warehouse_Movements'!$C$2:$C$500=$A162),'03_Warehouse_Movements'!$H$2:$H$500),""))</f>
        <v/>
      </c>
      <c r="O162" s="4" t="str">
        <f t="shared" si="5"/>
        <v>PAL-0000162</v>
      </c>
      <c r="Q162" s="34"/>
      <c r="R162" s="33"/>
      <c r="W162">
        <f>IF($A2="","",COUNTIF('07_Pallet_Contents'!$A$2:$A$3000,$A2))</f>
        <v>0</v>
      </c>
      <c r="X162">
        <f>IF($A2="","",SUMIF('07_Pallet_Contents'!$A$2:$A$3000,$A2,'07_Pallet_Contents'!$D$2:$D$3000))</f>
        <v>0</v>
      </c>
      <c r="Y162">
        <f>IF($A2="","",SUMIF('07_Pallet_Contents'!$A$2:$A$3000,$A2,'07_Pallet_Contents'!$I$2:$I$3000))</f>
        <v>0</v>
      </c>
      <c r="Z162" t="str">
        <f>IF($A2="","",IF(COUNTIF('07_Pallet_Contents'!$A$2:$A$3000,$A2)&gt;0,"Yes",""))</f>
        <v/>
      </c>
    </row>
    <row r="163" spans="1:26" ht="27.75" customHeight="1">
      <c r="A163" s="4" t="s">
        <v>473</v>
      </c>
      <c r="B163" s="4"/>
      <c r="D163" t="str">
        <f>IF($C163="","",IFERROR(LOOKUP(2,1/('03_Warehouse_Movements'!$C$2:$C$500=$A163),'03_Warehouse_Movements'!$E$2:$E$500),$C163))</f>
        <v/>
      </c>
      <c r="E163" t="s">
        <v>209</v>
      </c>
      <c r="G163" s="32"/>
      <c r="H163" s="3" t="str">
        <f t="shared" si="4"/>
        <v/>
      </c>
      <c r="I163" s="3"/>
      <c r="J163" s="4"/>
      <c r="K163" s="3"/>
      <c r="L163" s="4"/>
      <c r="M163" s="68" t="str">
        <f>IF($C163="","",IFERROR(LOOKUP(2,1/('03_Warehouse_Movements'!$C$2:$C$500=$A163),'03_Warehouse_Movements'!$A$2:$A$500),""))</f>
        <v/>
      </c>
      <c r="N163" s="4" t="str">
        <f>IF($C163="","",IFERROR(LOOKUP(2,1/('03_Warehouse_Movements'!$C$2:$C$500=$A163),'03_Warehouse_Movements'!$H$2:$H$500),""))</f>
        <v/>
      </c>
      <c r="O163" s="4" t="str">
        <f t="shared" si="5"/>
        <v>PAL-0000163</v>
      </c>
      <c r="Q163" s="34"/>
      <c r="R163" s="33"/>
      <c r="W163">
        <f>IF($A2="","",COUNTIF('07_Pallet_Contents'!$A$2:$A$3000,$A2))</f>
        <v>0</v>
      </c>
      <c r="X163">
        <f>IF($A2="","",SUMIF('07_Pallet_Contents'!$A$2:$A$3000,$A2,'07_Pallet_Contents'!$D$2:$D$3000))</f>
        <v>0</v>
      </c>
      <c r="Y163">
        <f>IF($A2="","",SUMIF('07_Pallet_Contents'!$A$2:$A$3000,$A2,'07_Pallet_Contents'!$I$2:$I$3000))</f>
        <v>0</v>
      </c>
      <c r="Z163" t="str">
        <f>IF($A2="","",IF(COUNTIF('07_Pallet_Contents'!$A$2:$A$3000,$A2)&gt;0,"Yes",""))</f>
        <v/>
      </c>
    </row>
    <row r="164" spans="1:26" ht="27.75" customHeight="1">
      <c r="A164" s="4" t="s">
        <v>474</v>
      </c>
      <c r="B164" s="4"/>
      <c r="D164" t="str">
        <f>IF($C164="","",IFERROR(LOOKUP(2,1/('03_Warehouse_Movements'!$C$2:$C$500=$A164),'03_Warehouse_Movements'!$E$2:$E$500),$C164))</f>
        <v/>
      </c>
      <c r="E164" t="s">
        <v>209</v>
      </c>
      <c r="G164" s="32"/>
      <c r="H164" s="3" t="str">
        <f t="shared" si="4"/>
        <v/>
      </c>
      <c r="I164" s="3"/>
      <c r="J164" s="4"/>
      <c r="K164" s="3"/>
      <c r="L164" s="4"/>
      <c r="M164" s="68" t="str">
        <f>IF($C164="","",IFERROR(LOOKUP(2,1/('03_Warehouse_Movements'!$C$2:$C$500=$A164),'03_Warehouse_Movements'!$A$2:$A$500),""))</f>
        <v/>
      </c>
      <c r="N164" s="4" t="str">
        <f>IF($C164="","",IFERROR(LOOKUP(2,1/('03_Warehouse_Movements'!$C$2:$C$500=$A164),'03_Warehouse_Movements'!$H$2:$H$500),""))</f>
        <v/>
      </c>
      <c r="O164" s="4" t="str">
        <f t="shared" si="5"/>
        <v>PAL-0000164</v>
      </c>
      <c r="Q164" s="34"/>
      <c r="R164" s="33"/>
      <c r="W164">
        <f>IF($A2="","",COUNTIF('07_Pallet_Contents'!$A$2:$A$3000,$A2))</f>
        <v>0</v>
      </c>
      <c r="X164">
        <f>IF($A2="","",SUMIF('07_Pallet_Contents'!$A$2:$A$3000,$A2,'07_Pallet_Contents'!$D$2:$D$3000))</f>
        <v>0</v>
      </c>
      <c r="Y164">
        <f>IF($A2="","",SUMIF('07_Pallet_Contents'!$A$2:$A$3000,$A2,'07_Pallet_Contents'!$I$2:$I$3000))</f>
        <v>0</v>
      </c>
      <c r="Z164" t="str">
        <f>IF($A2="","",IF(COUNTIF('07_Pallet_Contents'!$A$2:$A$3000,$A2)&gt;0,"Yes",""))</f>
        <v/>
      </c>
    </row>
    <row r="165" spans="1:26" ht="27.75" customHeight="1">
      <c r="A165" s="4" t="s">
        <v>475</v>
      </c>
      <c r="B165" s="4"/>
      <c r="D165" t="str">
        <f>IF($C165="","",IFERROR(LOOKUP(2,1/('03_Warehouse_Movements'!$C$2:$C$500=$A165),'03_Warehouse_Movements'!$E$2:$E$500),$C165))</f>
        <v/>
      </c>
      <c r="E165" t="s">
        <v>209</v>
      </c>
      <c r="G165" s="32"/>
      <c r="H165" s="3" t="str">
        <f t="shared" si="4"/>
        <v/>
      </c>
      <c r="I165" s="3"/>
      <c r="J165" s="4"/>
      <c r="K165" s="3"/>
      <c r="L165" s="4"/>
      <c r="M165" s="68" t="str">
        <f>IF($C165="","",IFERROR(LOOKUP(2,1/('03_Warehouse_Movements'!$C$2:$C$500=$A165),'03_Warehouse_Movements'!$A$2:$A$500),""))</f>
        <v/>
      </c>
      <c r="N165" s="4" t="str">
        <f>IF($C165="","",IFERROR(LOOKUP(2,1/('03_Warehouse_Movements'!$C$2:$C$500=$A165),'03_Warehouse_Movements'!$H$2:$H$500),""))</f>
        <v/>
      </c>
      <c r="O165" s="4" t="str">
        <f t="shared" si="5"/>
        <v>PAL-0000165</v>
      </c>
      <c r="Q165" s="34"/>
      <c r="R165" s="33"/>
      <c r="W165">
        <f>IF($A2="","",COUNTIF('07_Pallet_Contents'!$A$2:$A$3000,$A2))</f>
        <v>0</v>
      </c>
      <c r="X165">
        <f>IF($A2="","",SUMIF('07_Pallet_Contents'!$A$2:$A$3000,$A2,'07_Pallet_Contents'!$D$2:$D$3000))</f>
        <v>0</v>
      </c>
      <c r="Y165">
        <f>IF($A2="","",SUMIF('07_Pallet_Contents'!$A$2:$A$3000,$A2,'07_Pallet_Contents'!$I$2:$I$3000))</f>
        <v>0</v>
      </c>
      <c r="Z165" t="str">
        <f>IF($A2="","",IF(COUNTIF('07_Pallet_Contents'!$A$2:$A$3000,$A2)&gt;0,"Yes",""))</f>
        <v/>
      </c>
    </row>
    <row r="166" spans="1:26" ht="27.75" customHeight="1">
      <c r="A166" s="4" t="s">
        <v>476</v>
      </c>
      <c r="B166" s="4"/>
      <c r="D166" t="str">
        <f>IF($C166="","",IFERROR(LOOKUP(2,1/('03_Warehouse_Movements'!$C$2:$C$500=$A166),'03_Warehouse_Movements'!$E$2:$E$500),$C166))</f>
        <v/>
      </c>
      <c r="E166" t="s">
        <v>209</v>
      </c>
      <c r="G166" s="32"/>
      <c r="H166" s="3" t="str">
        <f t="shared" si="4"/>
        <v/>
      </c>
      <c r="I166" s="3"/>
      <c r="J166" s="4"/>
      <c r="K166" s="3"/>
      <c r="L166" s="4"/>
      <c r="M166" s="68" t="str">
        <f>IF($C166="","",IFERROR(LOOKUP(2,1/('03_Warehouse_Movements'!$C$2:$C$500=$A166),'03_Warehouse_Movements'!$A$2:$A$500),""))</f>
        <v/>
      </c>
      <c r="N166" s="4" t="str">
        <f>IF($C166="","",IFERROR(LOOKUP(2,1/('03_Warehouse_Movements'!$C$2:$C$500=$A166),'03_Warehouse_Movements'!$H$2:$H$500),""))</f>
        <v/>
      </c>
      <c r="O166" s="4" t="str">
        <f t="shared" si="5"/>
        <v>PAL-0000166</v>
      </c>
      <c r="Q166" s="34"/>
      <c r="R166" s="33"/>
      <c r="W166">
        <f>IF($A2="","",COUNTIF('07_Pallet_Contents'!$A$2:$A$3000,$A2))</f>
        <v>0</v>
      </c>
      <c r="X166">
        <f>IF($A2="","",SUMIF('07_Pallet_Contents'!$A$2:$A$3000,$A2,'07_Pallet_Contents'!$D$2:$D$3000))</f>
        <v>0</v>
      </c>
      <c r="Y166">
        <f>IF($A2="","",SUMIF('07_Pallet_Contents'!$A$2:$A$3000,$A2,'07_Pallet_Contents'!$I$2:$I$3000))</f>
        <v>0</v>
      </c>
      <c r="Z166" t="str">
        <f>IF($A2="","",IF(COUNTIF('07_Pallet_Contents'!$A$2:$A$3000,$A2)&gt;0,"Yes",""))</f>
        <v/>
      </c>
    </row>
    <row r="167" spans="1:26" ht="27.75" customHeight="1">
      <c r="A167" s="4" t="s">
        <v>477</v>
      </c>
      <c r="B167" s="4"/>
      <c r="D167" t="str">
        <f>IF($C167="","",IFERROR(LOOKUP(2,1/('03_Warehouse_Movements'!$C$2:$C$500=$A167),'03_Warehouse_Movements'!$E$2:$E$500),$C167))</f>
        <v/>
      </c>
      <c r="E167" t="s">
        <v>209</v>
      </c>
      <c r="G167" s="32"/>
      <c r="H167" s="3" t="str">
        <f t="shared" si="4"/>
        <v/>
      </c>
      <c r="I167" s="3"/>
      <c r="J167" s="4"/>
      <c r="K167" s="3"/>
      <c r="L167" s="4"/>
      <c r="M167" s="68" t="str">
        <f>IF($C167="","",IFERROR(LOOKUP(2,1/('03_Warehouse_Movements'!$C$2:$C$500=$A167),'03_Warehouse_Movements'!$A$2:$A$500),""))</f>
        <v/>
      </c>
      <c r="N167" s="4" t="str">
        <f>IF($C167="","",IFERROR(LOOKUP(2,1/('03_Warehouse_Movements'!$C$2:$C$500=$A167),'03_Warehouse_Movements'!$H$2:$H$500),""))</f>
        <v/>
      </c>
      <c r="O167" s="4" t="str">
        <f t="shared" si="5"/>
        <v>PAL-0000167</v>
      </c>
      <c r="Q167" s="34"/>
      <c r="R167" s="33"/>
      <c r="W167">
        <f>IF($A2="","",COUNTIF('07_Pallet_Contents'!$A$2:$A$3000,$A2))</f>
        <v>0</v>
      </c>
      <c r="X167">
        <f>IF($A2="","",SUMIF('07_Pallet_Contents'!$A$2:$A$3000,$A2,'07_Pallet_Contents'!$D$2:$D$3000))</f>
        <v>0</v>
      </c>
      <c r="Y167">
        <f>IF($A2="","",SUMIF('07_Pallet_Contents'!$A$2:$A$3000,$A2,'07_Pallet_Contents'!$I$2:$I$3000))</f>
        <v>0</v>
      </c>
      <c r="Z167" t="str">
        <f>IF($A2="","",IF(COUNTIF('07_Pallet_Contents'!$A$2:$A$3000,$A2)&gt;0,"Yes",""))</f>
        <v/>
      </c>
    </row>
    <row r="168" spans="1:26" ht="27.75" customHeight="1">
      <c r="A168" s="4" t="s">
        <v>478</v>
      </c>
      <c r="B168" s="4"/>
      <c r="D168" t="str">
        <f>IF($C168="","",IFERROR(LOOKUP(2,1/('03_Warehouse_Movements'!$C$2:$C$500=$A168),'03_Warehouse_Movements'!$E$2:$E$500),$C168))</f>
        <v/>
      </c>
      <c r="E168" t="s">
        <v>209</v>
      </c>
      <c r="G168" s="32"/>
      <c r="H168" s="3" t="str">
        <f t="shared" si="4"/>
        <v/>
      </c>
      <c r="I168" s="3"/>
      <c r="J168" s="4"/>
      <c r="K168" s="3"/>
      <c r="L168" s="4"/>
      <c r="M168" s="68" t="str">
        <f>IF($C168="","",IFERROR(LOOKUP(2,1/('03_Warehouse_Movements'!$C$2:$C$500=$A168),'03_Warehouse_Movements'!$A$2:$A$500),""))</f>
        <v/>
      </c>
      <c r="N168" s="4" t="str">
        <f>IF($C168="","",IFERROR(LOOKUP(2,1/('03_Warehouse_Movements'!$C$2:$C$500=$A168),'03_Warehouse_Movements'!$H$2:$H$500),""))</f>
        <v/>
      </c>
      <c r="O168" s="4" t="str">
        <f t="shared" si="5"/>
        <v>PAL-0000168</v>
      </c>
      <c r="Q168" s="34"/>
      <c r="R168" s="33"/>
      <c r="W168">
        <f>IF($A2="","",COUNTIF('07_Pallet_Contents'!$A$2:$A$3000,$A2))</f>
        <v>0</v>
      </c>
      <c r="X168">
        <f>IF($A2="","",SUMIF('07_Pallet_Contents'!$A$2:$A$3000,$A2,'07_Pallet_Contents'!$D$2:$D$3000))</f>
        <v>0</v>
      </c>
      <c r="Y168">
        <f>IF($A2="","",SUMIF('07_Pallet_Contents'!$A$2:$A$3000,$A2,'07_Pallet_Contents'!$I$2:$I$3000))</f>
        <v>0</v>
      </c>
      <c r="Z168" t="str">
        <f>IF($A2="","",IF(COUNTIF('07_Pallet_Contents'!$A$2:$A$3000,$A2)&gt;0,"Yes",""))</f>
        <v/>
      </c>
    </row>
    <row r="169" spans="1:26" ht="27.75" customHeight="1">
      <c r="A169" s="4" t="s">
        <v>479</v>
      </c>
      <c r="B169" s="4"/>
      <c r="D169" t="str">
        <f>IF($C169="","",IFERROR(LOOKUP(2,1/('03_Warehouse_Movements'!$C$2:$C$500=$A169),'03_Warehouse_Movements'!$E$2:$E$500),$C169))</f>
        <v/>
      </c>
      <c r="E169" t="s">
        <v>209</v>
      </c>
      <c r="G169" s="32"/>
      <c r="H169" s="3" t="str">
        <f t="shared" si="4"/>
        <v/>
      </c>
      <c r="I169" s="3"/>
      <c r="J169" s="4"/>
      <c r="K169" s="3"/>
      <c r="L169" s="4"/>
      <c r="M169" s="68" t="str">
        <f>IF($C169="","",IFERROR(LOOKUP(2,1/('03_Warehouse_Movements'!$C$2:$C$500=$A169),'03_Warehouse_Movements'!$A$2:$A$500),""))</f>
        <v/>
      </c>
      <c r="N169" s="4" t="str">
        <f>IF($C169="","",IFERROR(LOOKUP(2,1/('03_Warehouse_Movements'!$C$2:$C$500=$A169),'03_Warehouse_Movements'!$H$2:$H$500),""))</f>
        <v/>
      </c>
      <c r="O169" s="4" t="str">
        <f t="shared" si="5"/>
        <v>PAL-0000169</v>
      </c>
      <c r="Q169" s="34"/>
      <c r="R169" s="33"/>
      <c r="W169">
        <f>IF($A2="","",COUNTIF('07_Pallet_Contents'!$A$2:$A$3000,$A2))</f>
        <v>0</v>
      </c>
      <c r="X169">
        <f>IF($A2="","",SUMIF('07_Pallet_Contents'!$A$2:$A$3000,$A2,'07_Pallet_Contents'!$D$2:$D$3000))</f>
        <v>0</v>
      </c>
      <c r="Y169">
        <f>IF($A2="","",SUMIF('07_Pallet_Contents'!$A$2:$A$3000,$A2,'07_Pallet_Contents'!$I$2:$I$3000))</f>
        <v>0</v>
      </c>
      <c r="Z169" t="str">
        <f>IF($A2="","",IF(COUNTIF('07_Pallet_Contents'!$A$2:$A$3000,$A2)&gt;0,"Yes",""))</f>
        <v/>
      </c>
    </row>
    <row r="170" spans="1:26" ht="27.75" customHeight="1">
      <c r="A170" s="4" t="s">
        <v>480</v>
      </c>
      <c r="B170" s="4"/>
      <c r="D170" t="str">
        <f>IF($C170="","",IFERROR(LOOKUP(2,1/('03_Warehouse_Movements'!$C$2:$C$500=$A170),'03_Warehouse_Movements'!$E$2:$E$500),$C170))</f>
        <v/>
      </c>
      <c r="E170" t="s">
        <v>209</v>
      </c>
      <c r="G170" s="32"/>
      <c r="H170" s="3" t="str">
        <f t="shared" si="4"/>
        <v/>
      </c>
      <c r="I170" s="3"/>
      <c r="J170" s="4"/>
      <c r="K170" s="3"/>
      <c r="L170" s="4"/>
      <c r="M170" s="68" t="str">
        <f>IF($C170="","",IFERROR(LOOKUP(2,1/('03_Warehouse_Movements'!$C$2:$C$500=$A170),'03_Warehouse_Movements'!$A$2:$A$500),""))</f>
        <v/>
      </c>
      <c r="N170" s="4" t="str">
        <f>IF($C170="","",IFERROR(LOOKUP(2,1/('03_Warehouse_Movements'!$C$2:$C$500=$A170),'03_Warehouse_Movements'!$H$2:$H$500),""))</f>
        <v/>
      </c>
      <c r="O170" s="4" t="str">
        <f t="shared" si="5"/>
        <v>PAL-0000170</v>
      </c>
      <c r="Q170" s="34"/>
      <c r="R170" s="33"/>
      <c r="W170">
        <f>IF($A2="","",COUNTIF('07_Pallet_Contents'!$A$2:$A$3000,$A2))</f>
        <v>0</v>
      </c>
      <c r="X170">
        <f>IF($A2="","",SUMIF('07_Pallet_Contents'!$A$2:$A$3000,$A2,'07_Pallet_Contents'!$D$2:$D$3000))</f>
        <v>0</v>
      </c>
      <c r="Y170">
        <f>IF($A2="","",SUMIF('07_Pallet_Contents'!$A$2:$A$3000,$A2,'07_Pallet_Contents'!$I$2:$I$3000))</f>
        <v>0</v>
      </c>
      <c r="Z170" t="str">
        <f>IF($A2="","",IF(COUNTIF('07_Pallet_Contents'!$A$2:$A$3000,$A2)&gt;0,"Yes",""))</f>
        <v/>
      </c>
    </row>
    <row r="171" spans="1:26" ht="27.75" customHeight="1">
      <c r="A171" s="4" t="s">
        <v>481</v>
      </c>
      <c r="B171" s="4"/>
      <c r="D171" t="str">
        <f>IF($C171="","",IFERROR(LOOKUP(2,1/('03_Warehouse_Movements'!$C$2:$C$500=$A171),'03_Warehouse_Movements'!$E$2:$E$500),$C171))</f>
        <v/>
      </c>
      <c r="E171" t="s">
        <v>209</v>
      </c>
      <c r="G171" s="32"/>
      <c r="H171" s="3" t="str">
        <f t="shared" si="4"/>
        <v/>
      </c>
      <c r="I171" s="3"/>
      <c r="J171" s="4"/>
      <c r="K171" s="3"/>
      <c r="L171" s="4"/>
      <c r="M171" s="68" t="str">
        <f>IF($C171="","",IFERROR(LOOKUP(2,1/('03_Warehouse_Movements'!$C$2:$C$500=$A171),'03_Warehouse_Movements'!$A$2:$A$500),""))</f>
        <v/>
      </c>
      <c r="N171" s="4" t="str">
        <f>IF($C171="","",IFERROR(LOOKUP(2,1/('03_Warehouse_Movements'!$C$2:$C$500=$A171),'03_Warehouse_Movements'!$H$2:$H$500),""))</f>
        <v/>
      </c>
      <c r="O171" s="4" t="str">
        <f t="shared" si="5"/>
        <v>PAL-0000171</v>
      </c>
      <c r="Q171" s="34"/>
      <c r="R171" s="33"/>
      <c r="W171">
        <f>IF($A2="","",COUNTIF('07_Pallet_Contents'!$A$2:$A$3000,$A2))</f>
        <v>0</v>
      </c>
      <c r="X171">
        <f>IF($A2="","",SUMIF('07_Pallet_Contents'!$A$2:$A$3000,$A2,'07_Pallet_Contents'!$D$2:$D$3000))</f>
        <v>0</v>
      </c>
      <c r="Y171">
        <f>IF($A2="","",SUMIF('07_Pallet_Contents'!$A$2:$A$3000,$A2,'07_Pallet_Contents'!$I$2:$I$3000))</f>
        <v>0</v>
      </c>
      <c r="Z171" t="str">
        <f>IF($A2="","",IF(COUNTIF('07_Pallet_Contents'!$A$2:$A$3000,$A2)&gt;0,"Yes",""))</f>
        <v/>
      </c>
    </row>
    <row r="172" spans="1:26" ht="27.75" customHeight="1">
      <c r="A172" s="4" t="s">
        <v>482</v>
      </c>
      <c r="B172" s="4"/>
      <c r="D172" t="str">
        <f>IF($C172="","",IFERROR(LOOKUP(2,1/('03_Warehouse_Movements'!$C$2:$C$500=$A172),'03_Warehouse_Movements'!$E$2:$E$500),$C172))</f>
        <v/>
      </c>
      <c r="E172" t="s">
        <v>209</v>
      </c>
      <c r="G172" s="32"/>
      <c r="H172" s="3" t="str">
        <f t="shared" si="4"/>
        <v/>
      </c>
      <c r="I172" s="3"/>
      <c r="J172" s="4"/>
      <c r="K172" s="3"/>
      <c r="L172" s="4"/>
      <c r="M172" s="68" t="str">
        <f>IF($C172="","",IFERROR(LOOKUP(2,1/('03_Warehouse_Movements'!$C$2:$C$500=$A172),'03_Warehouse_Movements'!$A$2:$A$500),""))</f>
        <v/>
      </c>
      <c r="N172" s="4" t="str">
        <f>IF($C172="","",IFERROR(LOOKUP(2,1/('03_Warehouse_Movements'!$C$2:$C$500=$A172),'03_Warehouse_Movements'!$H$2:$H$500),""))</f>
        <v/>
      </c>
      <c r="O172" s="4" t="str">
        <f t="shared" si="5"/>
        <v>PAL-0000172</v>
      </c>
      <c r="Q172" s="34"/>
      <c r="R172" s="33"/>
      <c r="W172">
        <f>IF($A2="","",COUNTIF('07_Pallet_Contents'!$A$2:$A$3000,$A2))</f>
        <v>0</v>
      </c>
      <c r="X172">
        <f>IF($A2="","",SUMIF('07_Pallet_Contents'!$A$2:$A$3000,$A2,'07_Pallet_Contents'!$D$2:$D$3000))</f>
        <v>0</v>
      </c>
      <c r="Y172">
        <f>IF($A2="","",SUMIF('07_Pallet_Contents'!$A$2:$A$3000,$A2,'07_Pallet_Contents'!$I$2:$I$3000))</f>
        <v>0</v>
      </c>
      <c r="Z172" t="str">
        <f>IF($A2="","",IF(COUNTIF('07_Pallet_Contents'!$A$2:$A$3000,$A2)&gt;0,"Yes",""))</f>
        <v/>
      </c>
    </row>
    <row r="173" spans="1:26" ht="27.75" customHeight="1">
      <c r="A173" s="4" t="s">
        <v>483</v>
      </c>
      <c r="B173" s="4"/>
      <c r="D173" t="str">
        <f>IF($C173="","",IFERROR(LOOKUP(2,1/('03_Warehouse_Movements'!$C$2:$C$500=$A173),'03_Warehouse_Movements'!$E$2:$E$500),$C173))</f>
        <v/>
      </c>
      <c r="E173" t="s">
        <v>209</v>
      </c>
      <c r="G173" s="32"/>
      <c r="H173" s="3" t="str">
        <f t="shared" si="4"/>
        <v/>
      </c>
      <c r="I173" s="3"/>
      <c r="J173" s="4"/>
      <c r="K173" s="3"/>
      <c r="L173" s="4"/>
      <c r="M173" s="68" t="str">
        <f>IF($C173="","",IFERROR(LOOKUP(2,1/('03_Warehouse_Movements'!$C$2:$C$500=$A173),'03_Warehouse_Movements'!$A$2:$A$500),""))</f>
        <v/>
      </c>
      <c r="N173" s="4" t="str">
        <f>IF($C173="","",IFERROR(LOOKUP(2,1/('03_Warehouse_Movements'!$C$2:$C$500=$A173),'03_Warehouse_Movements'!$H$2:$H$500),""))</f>
        <v/>
      </c>
      <c r="O173" s="4" t="str">
        <f t="shared" si="5"/>
        <v>PAL-0000173</v>
      </c>
      <c r="Q173" s="34"/>
      <c r="R173" s="33"/>
      <c r="W173">
        <f>IF($A2="","",COUNTIF('07_Pallet_Contents'!$A$2:$A$3000,$A2))</f>
        <v>0</v>
      </c>
      <c r="X173">
        <f>IF($A2="","",SUMIF('07_Pallet_Contents'!$A$2:$A$3000,$A2,'07_Pallet_Contents'!$D$2:$D$3000))</f>
        <v>0</v>
      </c>
      <c r="Y173">
        <f>IF($A2="","",SUMIF('07_Pallet_Contents'!$A$2:$A$3000,$A2,'07_Pallet_Contents'!$I$2:$I$3000))</f>
        <v>0</v>
      </c>
      <c r="Z173" t="str">
        <f>IF($A2="","",IF(COUNTIF('07_Pallet_Contents'!$A$2:$A$3000,$A2)&gt;0,"Yes",""))</f>
        <v/>
      </c>
    </row>
    <row r="174" spans="1:26" ht="27.75" customHeight="1">
      <c r="A174" s="4" t="s">
        <v>484</v>
      </c>
      <c r="B174" s="4"/>
      <c r="D174" t="str">
        <f>IF($C174="","",IFERROR(LOOKUP(2,1/('03_Warehouse_Movements'!$C$2:$C$500=$A174),'03_Warehouse_Movements'!$E$2:$E$500),$C174))</f>
        <v/>
      </c>
      <c r="E174" t="s">
        <v>209</v>
      </c>
      <c r="G174" s="32"/>
      <c r="H174" s="3" t="str">
        <f t="shared" si="4"/>
        <v/>
      </c>
      <c r="I174" s="3"/>
      <c r="J174" s="4"/>
      <c r="K174" s="3"/>
      <c r="L174" s="4"/>
      <c r="M174" s="68" t="str">
        <f>IF($C174="","",IFERROR(LOOKUP(2,1/('03_Warehouse_Movements'!$C$2:$C$500=$A174),'03_Warehouse_Movements'!$A$2:$A$500),""))</f>
        <v/>
      </c>
      <c r="N174" s="4" t="str">
        <f>IF($C174="","",IFERROR(LOOKUP(2,1/('03_Warehouse_Movements'!$C$2:$C$500=$A174),'03_Warehouse_Movements'!$H$2:$H$500),""))</f>
        <v/>
      </c>
      <c r="O174" s="4" t="str">
        <f t="shared" si="5"/>
        <v>PAL-0000174</v>
      </c>
      <c r="Q174" s="34"/>
      <c r="R174" s="33"/>
      <c r="W174">
        <f>IF($A2="","",COUNTIF('07_Pallet_Contents'!$A$2:$A$3000,$A2))</f>
        <v>0</v>
      </c>
      <c r="X174">
        <f>IF($A2="","",SUMIF('07_Pallet_Contents'!$A$2:$A$3000,$A2,'07_Pallet_Contents'!$D$2:$D$3000))</f>
        <v>0</v>
      </c>
      <c r="Y174">
        <f>IF($A2="","",SUMIF('07_Pallet_Contents'!$A$2:$A$3000,$A2,'07_Pallet_Contents'!$I$2:$I$3000))</f>
        <v>0</v>
      </c>
      <c r="Z174" t="str">
        <f>IF($A2="","",IF(COUNTIF('07_Pallet_Contents'!$A$2:$A$3000,$A2)&gt;0,"Yes",""))</f>
        <v/>
      </c>
    </row>
    <row r="175" spans="1:26" ht="27.75" customHeight="1">
      <c r="A175" s="4" t="s">
        <v>485</v>
      </c>
      <c r="B175" s="4"/>
      <c r="D175" t="str">
        <f>IF($C175="","",IFERROR(LOOKUP(2,1/('03_Warehouse_Movements'!$C$2:$C$500=$A175),'03_Warehouse_Movements'!$E$2:$E$500),$C175))</f>
        <v/>
      </c>
      <c r="E175" t="s">
        <v>209</v>
      </c>
      <c r="G175" s="32"/>
      <c r="H175" s="3" t="str">
        <f t="shared" si="4"/>
        <v/>
      </c>
      <c r="I175" s="3"/>
      <c r="J175" s="4"/>
      <c r="K175" s="3"/>
      <c r="L175" s="4"/>
      <c r="M175" s="68" t="str">
        <f>IF($C175="","",IFERROR(LOOKUP(2,1/('03_Warehouse_Movements'!$C$2:$C$500=$A175),'03_Warehouse_Movements'!$A$2:$A$500),""))</f>
        <v/>
      </c>
      <c r="N175" s="4" t="str">
        <f>IF($C175="","",IFERROR(LOOKUP(2,1/('03_Warehouse_Movements'!$C$2:$C$500=$A175),'03_Warehouse_Movements'!$H$2:$H$500),""))</f>
        <v/>
      </c>
      <c r="O175" s="4" t="str">
        <f t="shared" si="5"/>
        <v>PAL-0000175</v>
      </c>
      <c r="Q175" s="34"/>
      <c r="R175" s="33"/>
      <c r="W175">
        <f>IF($A2="","",COUNTIF('07_Pallet_Contents'!$A$2:$A$3000,$A2))</f>
        <v>0</v>
      </c>
      <c r="X175">
        <f>IF($A2="","",SUMIF('07_Pallet_Contents'!$A$2:$A$3000,$A2,'07_Pallet_Contents'!$D$2:$D$3000))</f>
        <v>0</v>
      </c>
      <c r="Y175">
        <f>IF($A2="","",SUMIF('07_Pallet_Contents'!$A$2:$A$3000,$A2,'07_Pallet_Contents'!$I$2:$I$3000))</f>
        <v>0</v>
      </c>
      <c r="Z175" t="str">
        <f>IF($A2="","",IF(COUNTIF('07_Pallet_Contents'!$A$2:$A$3000,$A2)&gt;0,"Yes",""))</f>
        <v/>
      </c>
    </row>
    <row r="176" spans="1:26" ht="27.75" customHeight="1">
      <c r="A176" s="4" t="s">
        <v>486</v>
      </c>
      <c r="B176" s="4"/>
      <c r="D176" t="str">
        <f>IF($C176="","",IFERROR(LOOKUP(2,1/('03_Warehouse_Movements'!$C$2:$C$500=$A176),'03_Warehouse_Movements'!$E$2:$E$500),$C176))</f>
        <v/>
      </c>
      <c r="E176" t="s">
        <v>209</v>
      </c>
      <c r="G176" s="32"/>
      <c r="H176" s="3" t="str">
        <f t="shared" si="4"/>
        <v/>
      </c>
      <c r="I176" s="3"/>
      <c r="J176" s="4"/>
      <c r="K176" s="3"/>
      <c r="L176" s="4"/>
      <c r="M176" s="68" t="str">
        <f>IF($C176="","",IFERROR(LOOKUP(2,1/('03_Warehouse_Movements'!$C$2:$C$500=$A176),'03_Warehouse_Movements'!$A$2:$A$500),""))</f>
        <v/>
      </c>
      <c r="N176" s="4" t="str">
        <f>IF($C176="","",IFERROR(LOOKUP(2,1/('03_Warehouse_Movements'!$C$2:$C$500=$A176),'03_Warehouse_Movements'!$H$2:$H$500),""))</f>
        <v/>
      </c>
      <c r="O176" s="4" t="str">
        <f t="shared" si="5"/>
        <v>PAL-0000176</v>
      </c>
      <c r="Q176" s="34"/>
      <c r="R176" s="33"/>
      <c r="W176">
        <f>IF($A2="","",COUNTIF('07_Pallet_Contents'!$A$2:$A$3000,$A2))</f>
        <v>0</v>
      </c>
      <c r="X176">
        <f>IF($A2="","",SUMIF('07_Pallet_Contents'!$A$2:$A$3000,$A2,'07_Pallet_Contents'!$D$2:$D$3000))</f>
        <v>0</v>
      </c>
      <c r="Y176">
        <f>IF($A2="","",SUMIF('07_Pallet_Contents'!$A$2:$A$3000,$A2,'07_Pallet_Contents'!$I$2:$I$3000))</f>
        <v>0</v>
      </c>
      <c r="Z176" t="str">
        <f>IF($A2="","",IF(COUNTIF('07_Pallet_Contents'!$A$2:$A$3000,$A2)&gt;0,"Yes",""))</f>
        <v/>
      </c>
    </row>
    <row r="177" spans="1:26" ht="27.75" customHeight="1">
      <c r="A177" s="4" t="s">
        <v>487</v>
      </c>
      <c r="B177" s="4"/>
      <c r="D177" t="str">
        <f>IF($C177="","",IFERROR(LOOKUP(2,1/('03_Warehouse_Movements'!$C$2:$C$500=$A177),'03_Warehouse_Movements'!$E$2:$E$500),$C177))</f>
        <v/>
      </c>
      <c r="E177" t="s">
        <v>209</v>
      </c>
      <c r="G177" s="32"/>
      <c r="H177" s="3" t="str">
        <f t="shared" si="4"/>
        <v/>
      </c>
      <c r="I177" s="3"/>
      <c r="J177" s="4"/>
      <c r="K177" s="3"/>
      <c r="L177" s="4"/>
      <c r="M177" s="68" t="str">
        <f>IF($C177="","",IFERROR(LOOKUP(2,1/('03_Warehouse_Movements'!$C$2:$C$500=$A177),'03_Warehouse_Movements'!$A$2:$A$500),""))</f>
        <v/>
      </c>
      <c r="N177" s="4" t="str">
        <f>IF($C177="","",IFERROR(LOOKUP(2,1/('03_Warehouse_Movements'!$C$2:$C$500=$A177),'03_Warehouse_Movements'!$H$2:$H$500),""))</f>
        <v/>
      </c>
      <c r="O177" s="4" t="str">
        <f t="shared" si="5"/>
        <v>PAL-0000177</v>
      </c>
      <c r="Q177" s="34"/>
      <c r="R177" s="33"/>
      <c r="W177">
        <f>IF($A2="","",COUNTIF('07_Pallet_Contents'!$A$2:$A$3000,$A2))</f>
        <v>0</v>
      </c>
      <c r="X177">
        <f>IF($A2="","",SUMIF('07_Pallet_Contents'!$A$2:$A$3000,$A2,'07_Pallet_Contents'!$D$2:$D$3000))</f>
        <v>0</v>
      </c>
      <c r="Y177">
        <f>IF($A2="","",SUMIF('07_Pallet_Contents'!$A$2:$A$3000,$A2,'07_Pallet_Contents'!$I$2:$I$3000))</f>
        <v>0</v>
      </c>
      <c r="Z177" t="str">
        <f>IF($A2="","",IF(COUNTIF('07_Pallet_Contents'!$A$2:$A$3000,$A2)&gt;0,"Yes",""))</f>
        <v/>
      </c>
    </row>
    <row r="178" spans="1:26" ht="27.75" customHeight="1">
      <c r="A178" s="4" t="s">
        <v>488</v>
      </c>
      <c r="B178" s="4"/>
      <c r="D178" t="str">
        <f>IF($C178="","",IFERROR(LOOKUP(2,1/('03_Warehouse_Movements'!$C$2:$C$500=$A178),'03_Warehouse_Movements'!$E$2:$E$500),$C178))</f>
        <v/>
      </c>
      <c r="E178" t="s">
        <v>209</v>
      </c>
      <c r="G178" s="32"/>
      <c r="H178" s="3" t="str">
        <f t="shared" si="4"/>
        <v/>
      </c>
      <c r="I178" s="3"/>
      <c r="J178" s="4"/>
      <c r="K178" s="3"/>
      <c r="L178" s="4"/>
      <c r="M178" s="68" t="str">
        <f>IF($C178="","",IFERROR(LOOKUP(2,1/('03_Warehouse_Movements'!$C$2:$C$500=$A178),'03_Warehouse_Movements'!$A$2:$A$500),""))</f>
        <v/>
      </c>
      <c r="N178" s="4" t="str">
        <f>IF($C178="","",IFERROR(LOOKUP(2,1/('03_Warehouse_Movements'!$C$2:$C$500=$A178),'03_Warehouse_Movements'!$H$2:$H$500),""))</f>
        <v/>
      </c>
      <c r="O178" s="4" t="str">
        <f t="shared" si="5"/>
        <v>PAL-0000178</v>
      </c>
      <c r="Q178" s="34"/>
      <c r="R178" s="33"/>
      <c r="W178">
        <f>IF($A2="","",COUNTIF('07_Pallet_Contents'!$A$2:$A$3000,$A2))</f>
        <v>0</v>
      </c>
      <c r="X178">
        <f>IF($A2="","",SUMIF('07_Pallet_Contents'!$A$2:$A$3000,$A2,'07_Pallet_Contents'!$D$2:$D$3000))</f>
        <v>0</v>
      </c>
      <c r="Y178">
        <f>IF($A2="","",SUMIF('07_Pallet_Contents'!$A$2:$A$3000,$A2,'07_Pallet_Contents'!$I$2:$I$3000))</f>
        <v>0</v>
      </c>
      <c r="Z178" t="str">
        <f>IF($A2="","",IF(COUNTIF('07_Pallet_Contents'!$A$2:$A$3000,$A2)&gt;0,"Yes",""))</f>
        <v/>
      </c>
    </row>
    <row r="179" spans="1:26" ht="27.75" customHeight="1">
      <c r="A179" s="4" t="s">
        <v>489</v>
      </c>
      <c r="B179" s="4"/>
      <c r="D179" t="str">
        <f>IF($C179="","",IFERROR(LOOKUP(2,1/('03_Warehouse_Movements'!$C$2:$C$500=$A179),'03_Warehouse_Movements'!$E$2:$E$500),$C179))</f>
        <v/>
      </c>
      <c r="E179" t="s">
        <v>209</v>
      </c>
      <c r="G179" s="32"/>
      <c r="H179" s="3" t="str">
        <f t="shared" si="4"/>
        <v/>
      </c>
      <c r="I179" s="3"/>
      <c r="J179" s="4"/>
      <c r="K179" s="3"/>
      <c r="L179" s="4"/>
      <c r="M179" s="68" t="str">
        <f>IF($C179="","",IFERROR(LOOKUP(2,1/('03_Warehouse_Movements'!$C$2:$C$500=$A179),'03_Warehouse_Movements'!$A$2:$A$500),""))</f>
        <v/>
      </c>
      <c r="N179" s="4" t="str">
        <f>IF($C179="","",IFERROR(LOOKUP(2,1/('03_Warehouse_Movements'!$C$2:$C$500=$A179),'03_Warehouse_Movements'!$H$2:$H$500),""))</f>
        <v/>
      </c>
      <c r="O179" s="4" t="str">
        <f t="shared" si="5"/>
        <v>PAL-0000179</v>
      </c>
      <c r="Q179" s="34"/>
      <c r="R179" s="33"/>
      <c r="W179">
        <f>IF($A2="","",COUNTIF('07_Pallet_Contents'!$A$2:$A$3000,$A2))</f>
        <v>0</v>
      </c>
      <c r="X179">
        <f>IF($A2="","",SUMIF('07_Pallet_Contents'!$A$2:$A$3000,$A2,'07_Pallet_Contents'!$D$2:$D$3000))</f>
        <v>0</v>
      </c>
      <c r="Y179">
        <f>IF($A2="","",SUMIF('07_Pallet_Contents'!$A$2:$A$3000,$A2,'07_Pallet_Contents'!$I$2:$I$3000))</f>
        <v>0</v>
      </c>
      <c r="Z179" t="str">
        <f>IF($A2="","",IF(COUNTIF('07_Pallet_Contents'!$A$2:$A$3000,$A2)&gt;0,"Yes",""))</f>
        <v/>
      </c>
    </row>
    <row r="180" spans="1:26" ht="27.75" customHeight="1">
      <c r="A180" s="4" t="s">
        <v>490</v>
      </c>
      <c r="B180" s="4"/>
      <c r="D180" t="str">
        <f>IF($C180="","",IFERROR(LOOKUP(2,1/('03_Warehouse_Movements'!$C$2:$C$500=$A180),'03_Warehouse_Movements'!$E$2:$E$500),$C180))</f>
        <v/>
      </c>
      <c r="E180" t="s">
        <v>209</v>
      </c>
      <c r="G180" s="32"/>
      <c r="H180" s="3" t="str">
        <f t="shared" si="4"/>
        <v/>
      </c>
      <c r="I180" s="3"/>
      <c r="J180" s="4"/>
      <c r="K180" s="3"/>
      <c r="L180" s="4"/>
      <c r="M180" s="68" t="str">
        <f>IF($C180="","",IFERROR(LOOKUP(2,1/('03_Warehouse_Movements'!$C$2:$C$500=$A180),'03_Warehouse_Movements'!$A$2:$A$500),""))</f>
        <v/>
      </c>
      <c r="N180" s="4" t="str">
        <f>IF($C180="","",IFERROR(LOOKUP(2,1/('03_Warehouse_Movements'!$C$2:$C$500=$A180),'03_Warehouse_Movements'!$H$2:$H$500),""))</f>
        <v/>
      </c>
      <c r="O180" s="4" t="str">
        <f t="shared" si="5"/>
        <v>PAL-0000180</v>
      </c>
      <c r="Q180" s="34"/>
      <c r="R180" s="33"/>
      <c r="W180">
        <f>IF($A2="","",COUNTIF('07_Pallet_Contents'!$A$2:$A$3000,$A2))</f>
        <v>0</v>
      </c>
      <c r="X180">
        <f>IF($A2="","",SUMIF('07_Pallet_Contents'!$A$2:$A$3000,$A2,'07_Pallet_Contents'!$D$2:$D$3000))</f>
        <v>0</v>
      </c>
      <c r="Y180">
        <f>IF($A2="","",SUMIF('07_Pallet_Contents'!$A$2:$A$3000,$A2,'07_Pallet_Contents'!$I$2:$I$3000))</f>
        <v>0</v>
      </c>
      <c r="Z180" t="str">
        <f>IF($A2="","",IF(COUNTIF('07_Pallet_Contents'!$A$2:$A$3000,$A2)&gt;0,"Yes",""))</f>
        <v/>
      </c>
    </row>
    <row r="181" spans="1:26" ht="27.75" customHeight="1">
      <c r="A181" s="4" t="s">
        <v>491</v>
      </c>
      <c r="B181" s="4"/>
      <c r="D181" t="str">
        <f>IF($C181="","",IFERROR(LOOKUP(2,1/('03_Warehouse_Movements'!$C$2:$C$500=$A181),'03_Warehouse_Movements'!$E$2:$E$500),$C181))</f>
        <v/>
      </c>
      <c r="E181" t="s">
        <v>209</v>
      </c>
      <c r="G181" s="32"/>
      <c r="H181" s="3" t="str">
        <f t="shared" si="4"/>
        <v/>
      </c>
      <c r="I181" s="3"/>
      <c r="J181" s="4"/>
      <c r="K181" s="3"/>
      <c r="L181" s="4"/>
      <c r="M181" s="68" t="str">
        <f>IF($C181="","",IFERROR(LOOKUP(2,1/('03_Warehouse_Movements'!$C$2:$C$500=$A181),'03_Warehouse_Movements'!$A$2:$A$500),""))</f>
        <v/>
      </c>
      <c r="N181" s="4" t="str">
        <f>IF($C181="","",IFERROR(LOOKUP(2,1/('03_Warehouse_Movements'!$C$2:$C$500=$A181),'03_Warehouse_Movements'!$H$2:$H$500),""))</f>
        <v/>
      </c>
      <c r="O181" s="4" t="str">
        <f t="shared" si="5"/>
        <v>PAL-0000181</v>
      </c>
      <c r="Q181" s="34"/>
      <c r="R181" s="33"/>
      <c r="W181">
        <f>IF($A2="","",COUNTIF('07_Pallet_Contents'!$A$2:$A$3000,$A2))</f>
        <v>0</v>
      </c>
      <c r="X181">
        <f>IF($A2="","",SUMIF('07_Pallet_Contents'!$A$2:$A$3000,$A2,'07_Pallet_Contents'!$D$2:$D$3000))</f>
        <v>0</v>
      </c>
      <c r="Y181">
        <f>IF($A2="","",SUMIF('07_Pallet_Contents'!$A$2:$A$3000,$A2,'07_Pallet_Contents'!$I$2:$I$3000))</f>
        <v>0</v>
      </c>
      <c r="Z181" t="str">
        <f>IF($A2="","",IF(COUNTIF('07_Pallet_Contents'!$A$2:$A$3000,$A2)&gt;0,"Yes",""))</f>
        <v/>
      </c>
    </row>
    <row r="182" spans="1:26" ht="27.75" customHeight="1">
      <c r="A182" s="4" t="s">
        <v>492</v>
      </c>
      <c r="B182" s="4"/>
      <c r="D182" t="str">
        <f>IF($C182="","",IFERROR(LOOKUP(2,1/('03_Warehouse_Movements'!$C$2:$C$500=$A182),'03_Warehouse_Movements'!$E$2:$E$500),$C182))</f>
        <v/>
      </c>
      <c r="E182" t="s">
        <v>209</v>
      </c>
      <c r="G182" s="32"/>
      <c r="H182" s="3" t="str">
        <f t="shared" si="4"/>
        <v/>
      </c>
      <c r="I182" s="3"/>
      <c r="J182" s="4"/>
      <c r="K182" s="3"/>
      <c r="L182" s="4"/>
      <c r="M182" s="68" t="str">
        <f>IF($C182="","",IFERROR(LOOKUP(2,1/('03_Warehouse_Movements'!$C$2:$C$500=$A182),'03_Warehouse_Movements'!$A$2:$A$500),""))</f>
        <v/>
      </c>
      <c r="N182" s="4" t="str">
        <f>IF($C182="","",IFERROR(LOOKUP(2,1/('03_Warehouse_Movements'!$C$2:$C$500=$A182),'03_Warehouse_Movements'!$H$2:$H$500),""))</f>
        <v/>
      </c>
      <c r="O182" s="4" t="str">
        <f t="shared" si="5"/>
        <v>PAL-0000182</v>
      </c>
      <c r="Q182" s="34"/>
      <c r="R182" s="33"/>
      <c r="W182">
        <f>IF($A2="","",COUNTIF('07_Pallet_Contents'!$A$2:$A$3000,$A2))</f>
        <v>0</v>
      </c>
      <c r="X182">
        <f>IF($A2="","",SUMIF('07_Pallet_Contents'!$A$2:$A$3000,$A2,'07_Pallet_Contents'!$D$2:$D$3000))</f>
        <v>0</v>
      </c>
      <c r="Y182">
        <f>IF($A2="","",SUMIF('07_Pallet_Contents'!$A$2:$A$3000,$A2,'07_Pallet_Contents'!$I$2:$I$3000))</f>
        <v>0</v>
      </c>
      <c r="Z182" t="str">
        <f>IF($A2="","",IF(COUNTIF('07_Pallet_Contents'!$A$2:$A$3000,$A2)&gt;0,"Yes",""))</f>
        <v/>
      </c>
    </row>
    <row r="183" spans="1:26" ht="27.75" customHeight="1">
      <c r="A183" s="4" t="s">
        <v>493</v>
      </c>
      <c r="B183" s="4"/>
      <c r="D183" t="str">
        <f>IF($C183="","",IFERROR(LOOKUP(2,1/('03_Warehouse_Movements'!$C$2:$C$500=$A183),'03_Warehouse_Movements'!$E$2:$E$500),$C183))</f>
        <v/>
      </c>
      <c r="E183" t="s">
        <v>209</v>
      </c>
      <c r="G183" s="32"/>
      <c r="H183" s="3" t="str">
        <f t="shared" si="4"/>
        <v/>
      </c>
      <c r="I183" s="3"/>
      <c r="J183" s="4"/>
      <c r="K183" s="3"/>
      <c r="L183" s="4"/>
      <c r="M183" s="68" t="str">
        <f>IF($C183="","",IFERROR(LOOKUP(2,1/('03_Warehouse_Movements'!$C$2:$C$500=$A183),'03_Warehouse_Movements'!$A$2:$A$500),""))</f>
        <v/>
      </c>
      <c r="N183" s="4" t="str">
        <f>IF($C183="","",IFERROR(LOOKUP(2,1/('03_Warehouse_Movements'!$C$2:$C$500=$A183),'03_Warehouse_Movements'!$H$2:$H$500),""))</f>
        <v/>
      </c>
      <c r="O183" s="4" t="str">
        <f t="shared" si="5"/>
        <v>PAL-0000183</v>
      </c>
      <c r="Q183" s="34"/>
      <c r="R183" s="33"/>
      <c r="W183">
        <f>IF($A2="","",COUNTIF('07_Pallet_Contents'!$A$2:$A$3000,$A2))</f>
        <v>0</v>
      </c>
      <c r="X183">
        <f>IF($A2="","",SUMIF('07_Pallet_Contents'!$A$2:$A$3000,$A2,'07_Pallet_Contents'!$D$2:$D$3000))</f>
        <v>0</v>
      </c>
      <c r="Y183">
        <f>IF($A2="","",SUMIF('07_Pallet_Contents'!$A$2:$A$3000,$A2,'07_Pallet_Contents'!$I$2:$I$3000))</f>
        <v>0</v>
      </c>
      <c r="Z183" t="str">
        <f>IF($A2="","",IF(COUNTIF('07_Pallet_Contents'!$A$2:$A$3000,$A2)&gt;0,"Yes",""))</f>
        <v/>
      </c>
    </row>
    <row r="184" spans="1:26" ht="27.75" customHeight="1">
      <c r="A184" s="4" t="s">
        <v>494</v>
      </c>
      <c r="B184" s="4"/>
      <c r="D184" t="str">
        <f>IF($C184="","",IFERROR(LOOKUP(2,1/('03_Warehouse_Movements'!$C$2:$C$500=$A184),'03_Warehouse_Movements'!$E$2:$E$500),$C184))</f>
        <v/>
      </c>
      <c r="E184" t="s">
        <v>209</v>
      </c>
      <c r="G184" s="32"/>
      <c r="H184" s="3" t="str">
        <f t="shared" si="4"/>
        <v/>
      </c>
      <c r="I184" s="3"/>
      <c r="J184" s="4"/>
      <c r="K184" s="3"/>
      <c r="L184" s="4"/>
      <c r="M184" s="68" t="str">
        <f>IF($C184="","",IFERROR(LOOKUP(2,1/('03_Warehouse_Movements'!$C$2:$C$500=$A184),'03_Warehouse_Movements'!$A$2:$A$500),""))</f>
        <v/>
      </c>
      <c r="N184" s="4" t="str">
        <f>IF($C184="","",IFERROR(LOOKUP(2,1/('03_Warehouse_Movements'!$C$2:$C$500=$A184),'03_Warehouse_Movements'!$H$2:$H$500),""))</f>
        <v/>
      </c>
      <c r="O184" s="4" t="str">
        <f t="shared" si="5"/>
        <v>PAL-0000184</v>
      </c>
      <c r="Q184" s="34"/>
      <c r="R184" s="33"/>
      <c r="W184">
        <f>IF($A2="","",COUNTIF('07_Pallet_Contents'!$A$2:$A$3000,$A2))</f>
        <v>0</v>
      </c>
      <c r="X184">
        <f>IF($A2="","",SUMIF('07_Pallet_Contents'!$A$2:$A$3000,$A2,'07_Pallet_Contents'!$D$2:$D$3000))</f>
        <v>0</v>
      </c>
      <c r="Y184">
        <f>IF($A2="","",SUMIF('07_Pallet_Contents'!$A$2:$A$3000,$A2,'07_Pallet_Contents'!$I$2:$I$3000))</f>
        <v>0</v>
      </c>
      <c r="Z184" t="str">
        <f>IF($A2="","",IF(COUNTIF('07_Pallet_Contents'!$A$2:$A$3000,$A2)&gt;0,"Yes",""))</f>
        <v/>
      </c>
    </row>
    <row r="185" spans="1:26" ht="27.75" customHeight="1">
      <c r="A185" s="4" t="s">
        <v>495</v>
      </c>
      <c r="B185" s="4"/>
      <c r="D185" t="str">
        <f>IF($C185="","",IFERROR(LOOKUP(2,1/('03_Warehouse_Movements'!$C$2:$C$500=$A185),'03_Warehouse_Movements'!$E$2:$E$500),$C185))</f>
        <v/>
      </c>
      <c r="E185" t="s">
        <v>209</v>
      </c>
      <c r="G185" s="32"/>
      <c r="H185" s="3" t="str">
        <f t="shared" si="4"/>
        <v/>
      </c>
      <c r="I185" s="3"/>
      <c r="J185" s="4"/>
      <c r="K185" s="3"/>
      <c r="L185" s="4"/>
      <c r="M185" s="68" t="str">
        <f>IF($C185="","",IFERROR(LOOKUP(2,1/('03_Warehouse_Movements'!$C$2:$C$500=$A185),'03_Warehouse_Movements'!$A$2:$A$500),""))</f>
        <v/>
      </c>
      <c r="N185" s="4" t="str">
        <f>IF($C185="","",IFERROR(LOOKUP(2,1/('03_Warehouse_Movements'!$C$2:$C$500=$A185),'03_Warehouse_Movements'!$H$2:$H$500),""))</f>
        <v/>
      </c>
      <c r="O185" s="4" t="str">
        <f t="shared" si="5"/>
        <v>PAL-0000185</v>
      </c>
      <c r="Q185" s="34"/>
      <c r="R185" s="33"/>
      <c r="W185">
        <f>IF($A2="","",COUNTIF('07_Pallet_Contents'!$A$2:$A$3000,$A2))</f>
        <v>0</v>
      </c>
      <c r="X185">
        <f>IF($A2="","",SUMIF('07_Pallet_Contents'!$A$2:$A$3000,$A2,'07_Pallet_Contents'!$D$2:$D$3000))</f>
        <v>0</v>
      </c>
      <c r="Y185">
        <f>IF($A2="","",SUMIF('07_Pallet_Contents'!$A$2:$A$3000,$A2,'07_Pallet_Contents'!$I$2:$I$3000))</f>
        <v>0</v>
      </c>
      <c r="Z185" t="str">
        <f>IF($A2="","",IF(COUNTIF('07_Pallet_Contents'!$A$2:$A$3000,$A2)&gt;0,"Yes",""))</f>
        <v/>
      </c>
    </row>
    <row r="186" spans="1:26" ht="27.75" customHeight="1">
      <c r="A186" s="4" t="s">
        <v>496</v>
      </c>
      <c r="B186" s="4"/>
      <c r="D186" t="str">
        <f>IF($C186="","",IFERROR(LOOKUP(2,1/('03_Warehouse_Movements'!$C$2:$C$500=$A186),'03_Warehouse_Movements'!$E$2:$E$500),$C186))</f>
        <v/>
      </c>
      <c r="E186" t="s">
        <v>209</v>
      </c>
      <c r="G186" s="32"/>
      <c r="H186" s="3" t="str">
        <f t="shared" si="4"/>
        <v/>
      </c>
      <c r="I186" s="3"/>
      <c r="J186" s="4"/>
      <c r="K186" s="3"/>
      <c r="L186" s="4"/>
      <c r="M186" s="68" t="str">
        <f>IF($C186="","",IFERROR(LOOKUP(2,1/('03_Warehouse_Movements'!$C$2:$C$500=$A186),'03_Warehouse_Movements'!$A$2:$A$500),""))</f>
        <v/>
      </c>
      <c r="N186" s="4" t="str">
        <f>IF($C186="","",IFERROR(LOOKUP(2,1/('03_Warehouse_Movements'!$C$2:$C$500=$A186),'03_Warehouse_Movements'!$H$2:$H$500),""))</f>
        <v/>
      </c>
      <c r="O186" s="4" t="str">
        <f t="shared" si="5"/>
        <v>PAL-0000186</v>
      </c>
      <c r="Q186" s="34"/>
      <c r="R186" s="33"/>
      <c r="W186">
        <f>IF($A2="","",COUNTIF('07_Pallet_Contents'!$A$2:$A$3000,$A2))</f>
        <v>0</v>
      </c>
      <c r="X186">
        <f>IF($A2="","",SUMIF('07_Pallet_Contents'!$A$2:$A$3000,$A2,'07_Pallet_Contents'!$D$2:$D$3000))</f>
        <v>0</v>
      </c>
      <c r="Y186">
        <f>IF($A2="","",SUMIF('07_Pallet_Contents'!$A$2:$A$3000,$A2,'07_Pallet_Contents'!$I$2:$I$3000))</f>
        <v>0</v>
      </c>
      <c r="Z186" t="str">
        <f>IF($A2="","",IF(COUNTIF('07_Pallet_Contents'!$A$2:$A$3000,$A2)&gt;0,"Yes",""))</f>
        <v/>
      </c>
    </row>
    <row r="187" spans="1:26" ht="27.75" customHeight="1">
      <c r="A187" s="4" t="s">
        <v>497</v>
      </c>
      <c r="B187" s="4"/>
      <c r="D187" t="str">
        <f>IF($C187="","",IFERROR(LOOKUP(2,1/('03_Warehouse_Movements'!$C$2:$C$500=$A187),'03_Warehouse_Movements'!$E$2:$E$500),$C187))</f>
        <v/>
      </c>
      <c r="E187" t="s">
        <v>209</v>
      </c>
      <c r="G187" s="32"/>
      <c r="H187" s="3" t="str">
        <f t="shared" si="4"/>
        <v/>
      </c>
      <c r="I187" s="3"/>
      <c r="J187" s="4"/>
      <c r="K187" s="3"/>
      <c r="L187" s="4"/>
      <c r="M187" s="68" t="str">
        <f>IF($C187="","",IFERROR(LOOKUP(2,1/('03_Warehouse_Movements'!$C$2:$C$500=$A187),'03_Warehouse_Movements'!$A$2:$A$500),""))</f>
        <v/>
      </c>
      <c r="N187" s="4" t="str">
        <f>IF($C187="","",IFERROR(LOOKUP(2,1/('03_Warehouse_Movements'!$C$2:$C$500=$A187),'03_Warehouse_Movements'!$H$2:$H$500),""))</f>
        <v/>
      </c>
      <c r="O187" s="4" t="str">
        <f t="shared" si="5"/>
        <v>PAL-0000187</v>
      </c>
      <c r="Q187" s="34"/>
      <c r="R187" s="33"/>
      <c r="W187">
        <f>IF($A2="","",COUNTIF('07_Pallet_Contents'!$A$2:$A$3000,$A2))</f>
        <v>0</v>
      </c>
      <c r="X187">
        <f>IF($A2="","",SUMIF('07_Pallet_Contents'!$A$2:$A$3000,$A2,'07_Pallet_Contents'!$D$2:$D$3000))</f>
        <v>0</v>
      </c>
      <c r="Y187">
        <f>IF($A2="","",SUMIF('07_Pallet_Contents'!$A$2:$A$3000,$A2,'07_Pallet_Contents'!$I$2:$I$3000))</f>
        <v>0</v>
      </c>
      <c r="Z187" t="str">
        <f>IF($A2="","",IF(COUNTIF('07_Pallet_Contents'!$A$2:$A$3000,$A2)&gt;0,"Yes",""))</f>
        <v/>
      </c>
    </row>
    <row r="188" spans="1:26" ht="27.75" customHeight="1">
      <c r="A188" s="4" t="s">
        <v>498</v>
      </c>
      <c r="B188" s="4"/>
      <c r="D188" t="str">
        <f>IF($C188="","",IFERROR(LOOKUP(2,1/('03_Warehouse_Movements'!$C$2:$C$500=$A188),'03_Warehouse_Movements'!$E$2:$E$500),$C188))</f>
        <v/>
      </c>
      <c r="E188" t="s">
        <v>209</v>
      </c>
      <c r="G188" s="32"/>
      <c r="H188" s="3" t="str">
        <f t="shared" si="4"/>
        <v/>
      </c>
      <c r="I188" s="3"/>
      <c r="J188" s="4"/>
      <c r="K188" s="3"/>
      <c r="L188" s="4"/>
      <c r="M188" s="68" t="str">
        <f>IF($C188="","",IFERROR(LOOKUP(2,1/('03_Warehouse_Movements'!$C$2:$C$500=$A188),'03_Warehouse_Movements'!$A$2:$A$500),""))</f>
        <v/>
      </c>
      <c r="N188" s="4" t="str">
        <f>IF($C188="","",IFERROR(LOOKUP(2,1/('03_Warehouse_Movements'!$C$2:$C$500=$A188),'03_Warehouse_Movements'!$H$2:$H$500),""))</f>
        <v/>
      </c>
      <c r="O188" s="4" t="str">
        <f t="shared" si="5"/>
        <v>PAL-0000188</v>
      </c>
      <c r="Q188" s="34"/>
      <c r="R188" s="33"/>
      <c r="W188">
        <f>IF($A2="","",COUNTIF('07_Pallet_Contents'!$A$2:$A$3000,$A2))</f>
        <v>0</v>
      </c>
      <c r="X188">
        <f>IF($A2="","",SUMIF('07_Pallet_Contents'!$A$2:$A$3000,$A2,'07_Pallet_Contents'!$D$2:$D$3000))</f>
        <v>0</v>
      </c>
      <c r="Y188">
        <f>IF($A2="","",SUMIF('07_Pallet_Contents'!$A$2:$A$3000,$A2,'07_Pallet_Contents'!$I$2:$I$3000))</f>
        <v>0</v>
      </c>
      <c r="Z188" t="str">
        <f>IF($A2="","",IF(COUNTIF('07_Pallet_Contents'!$A$2:$A$3000,$A2)&gt;0,"Yes",""))</f>
        <v/>
      </c>
    </row>
    <row r="189" spans="1:26" ht="27.75" customHeight="1">
      <c r="A189" s="4" t="s">
        <v>499</v>
      </c>
      <c r="B189" s="4"/>
      <c r="D189" t="str">
        <f>IF($C189="","",IFERROR(LOOKUP(2,1/('03_Warehouse_Movements'!$C$2:$C$500=$A189),'03_Warehouse_Movements'!$E$2:$E$500),$C189))</f>
        <v/>
      </c>
      <c r="E189" t="s">
        <v>209</v>
      </c>
      <c r="G189" s="32"/>
      <c r="H189" s="3" t="str">
        <f t="shared" si="4"/>
        <v/>
      </c>
      <c r="I189" s="3"/>
      <c r="J189" s="4"/>
      <c r="K189" s="3"/>
      <c r="L189" s="4"/>
      <c r="M189" s="68" t="str">
        <f>IF($C189="","",IFERROR(LOOKUP(2,1/('03_Warehouse_Movements'!$C$2:$C$500=$A189),'03_Warehouse_Movements'!$A$2:$A$500),""))</f>
        <v/>
      </c>
      <c r="N189" s="4" t="str">
        <f>IF($C189="","",IFERROR(LOOKUP(2,1/('03_Warehouse_Movements'!$C$2:$C$500=$A189),'03_Warehouse_Movements'!$H$2:$H$500),""))</f>
        <v/>
      </c>
      <c r="O189" s="4" t="str">
        <f t="shared" si="5"/>
        <v>PAL-0000189</v>
      </c>
      <c r="Q189" s="34"/>
      <c r="R189" s="33"/>
      <c r="W189">
        <f>IF($A2="","",COUNTIF('07_Pallet_Contents'!$A$2:$A$3000,$A2))</f>
        <v>0</v>
      </c>
      <c r="X189">
        <f>IF($A2="","",SUMIF('07_Pallet_Contents'!$A$2:$A$3000,$A2,'07_Pallet_Contents'!$D$2:$D$3000))</f>
        <v>0</v>
      </c>
      <c r="Y189">
        <f>IF($A2="","",SUMIF('07_Pallet_Contents'!$A$2:$A$3000,$A2,'07_Pallet_Contents'!$I$2:$I$3000))</f>
        <v>0</v>
      </c>
      <c r="Z189" t="str">
        <f>IF($A2="","",IF(COUNTIF('07_Pallet_Contents'!$A$2:$A$3000,$A2)&gt;0,"Yes",""))</f>
        <v/>
      </c>
    </row>
    <row r="190" spans="1:26" ht="27.75" customHeight="1">
      <c r="A190" s="4" t="s">
        <v>500</v>
      </c>
      <c r="B190" s="4"/>
      <c r="D190" t="str">
        <f>IF($C190="","",IFERROR(LOOKUP(2,1/('03_Warehouse_Movements'!$C$2:$C$500=$A190),'03_Warehouse_Movements'!$E$2:$E$500),$C190))</f>
        <v/>
      </c>
      <c r="E190" t="s">
        <v>209</v>
      </c>
      <c r="G190" s="32"/>
      <c r="H190" s="3" t="str">
        <f t="shared" si="4"/>
        <v/>
      </c>
      <c r="I190" s="3"/>
      <c r="J190" s="4"/>
      <c r="K190" s="3"/>
      <c r="L190" s="4"/>
      <c r="M190" s="68" t="str">
        <f>IF($C190="","",IFERROR(LOOKUP(2,1/('03_Warehouse_Movements'!$C$2:$C$500=$A190),'03_Warehouse_Movements'!$A$2:$A$500),""))</f>
        <v/>
      </c>
      <c r="N190" s="4" t="str">
        <f>IF($C190="","",IFERROR(LOOKUP(2,1/('03_Warehouse_Movements'!$C$2:$C$500=$A190),'03_Warehouse_Movements'!$H$2:$H$500),""))</f>
        <v/>
      </c>
      <c r="O190" s="4" t="str">
        <f t="shared" si="5"/>
        <v>PAL-0000190</v>
      </c>
      <c r="Q190" s="34"/>
      <c r="R190" s="33"/>
      <c r="W190">
        <f>IF($A2="","",COUNTIF('07_Pallet_Contents'!$A$2:$A$3000,$A2))</f>
        <v>0</v>
      </c>
      <c r="X190">
        <f>IF($A2="","",SUMIF('07_Pallet_Contents'!$A$2:$A$3000,$A2,'07_Pallet_Contents'!$D$2:$D$3000))</f>
        <v>0</v>
      </c>
      <c r="Y190">
        <f>IF($A2="","",SUMIF('07_Pallet_Contents'!$A$2:$A$3000,$A2,'07_Pallet_Contents'!$I$2:$I$3000))</f>
        <v>0</v>
      </c>
      <c r="Z190" t="str">
        <f>IF($A2="","",IF(COUNTIF('07_Pallet_Contents'!$A$2:$A$3000,$A2)&gt;0,"Yes",""))</f>
        <v/>
      </c>
    </row>
    <row r="191" spans="1:26" ht="27.75" customHeight="1">
      <c r="A191" s="4" t="s">
        <v>501</v>
      </c>
      <c r="B191" s="4"/>
      <c r="D191" t="str">
        <f>IF($C191="","",IFERROR(LOOKUP(2,1/('03_Warehouse_Movements'!$C$2:$C$500=$A191),'03_Warehouse_Movements'!$E$2:$E$500),$C191))</f>
        <v/>
      </c>
      <c r="E191" t="s">
        <v>209</v>
      </c>
      <c r="G191" s="32"/>
      <c r="H191" s="3" t="str">
        <f t="shared" si="4"/>
        <v/>
      </c>
      <c r="I191" s="3"/>
      <c r="J191" s="4"/>
      <c r="K191" s="3"/>
      <c r="L191" s="4"/>
      <c r="M191" s="68" t="str">
        <f>IF($C191="","",IFERROR(LOOKUP(2,1/('03_Warehouse_Movements'!$C$2:$C$500=$A191),'03_Warehouse_Movements'!$A$2:$A$500),""))</f>
        <v/>
      </c>
      <c r="N191" s="4" t="str">
        <f>IF($C191="","",IFERROR(LOOKUP(2,1/('03_Warehouse_Movements'!$C$2:$C$500=$A191),'03_Warehouse_Movements'!$H$2:$H$500),""))</f>
        <v/>
      </c>
      <c r="O191" s="4" t="str">
        <f t="shared" si="5"/>
        <v>PAL-0000191</v>
      </c>
      <c r="Q191" s="34"/>
      <c r="R191" s="33"/>
      <c r="W191">
        <f>IF($A2="","",COUNTIF('07_Pallet_Contents'!$A$2:$A$3000,$A2))</f>
        <v>0</v>
      </c>
      <c r="X191">
        <f>IF($A2="","",SUMIF('07_Pallet_Contents'!$A$2:$A$3000,$A2,'07_Pallet_Contents'!$D$2:$D$3000))</f>
        <v>0</v>
      </c>
      <c r="Y191">
        <f>IF($A2="","",SUMIF('07_Pallet_Contents'!$A$2:$A$3000,$A2,'07_Pallet_Contents'!$I$2:$I$3000))</f>
        <v>0</v>
      </c>
      <c r="Z191" t="str">
        <f>IF($A2="","",IF(COUNTIF('07_Pallet_Contents'!$A$2:$A$3000,$A2)&gt;0,"Yes",""))</f>
        <v/>
      </c>
    </row>
    <row r="192" spans="1:26" ht="27.75" customHeight="1">
      <c r="A192" s="4" t="s">
        <v>502</v>
      </c>
      <c r="B192" s="4"/>
      <c r="D192" t="str">
        <f>IF($C192="","",IFERROR(LOOKUP(2,1/('03_Warehouse_Movements'!$C$2:$C$500=$A192),'03_Warehouse_Movements'!$E$2:$E$500),$C192))</f>
        <v/>
      </c>
      <c r="E192" t="s">
        <v>209</v>
      </c>
      <c r="G192" s="32"/>
      <c r="H192" s="3" t="str">
        <f t="shared" si="4"/>
        <v/>
      </c>
      <c r="I192" s="3"/>
      <c r="J192" s="4"/>
      <c r="K192" s="3"/>
      <c r="L192" s="4"/>
      <c r="M192" s="68" t="str">
        <f>IF($C192="","",IFERROR(LOOKUP(2,1/('03_Warehouse_Movements'!$C$2:$C$500=$A192),'03_Warehouse_Movements'!$A$2:$A$500),""))</f>
        <v/>
      </c>
      <c r="N192" s="4" t="str">
        <f>IF($C192="","",IFERROR(LOOKUP(2,1/('03_Warehouse_Movements'!$C$2:$C$500=$A192),'03_Warehouse_Movements'!$H$2:$H$500),""))</f>
        <v/>
      </c>
      <c r="O192" s="4" t="str">
        <f t="shared" si="5"/>
        <v>PAL-0000192</v>
      </c>
      <c r="Q192" s="34"/>
      <c r="R192" s="33"/>
      <c r="W192">
        <f>IF($A2="","",COUNTIF('07_Pallet_Contents'!$A$2:$A$3000,$A2))</f>
        <v>0</v>
      </c>
      <c r="X192">
        <f>IF($A2="","",SUMIF('07_Pallet_Contents'!$A$2:$A$3000,$A2,'07_Pallet_Contents'!$D$2:$D$3000))</f>
        <v>0</v>
      </c>
      <c r="Y192">
        <f>IF($A2="","",SUMIF('07_Pallet_Contents'!$A$2:$A$3000,$A2,'07_Pallet_Contents'!$I$2:$I$3000))</f>
        <v>0</v>
      </c>
      <c r="Z192" t="str">
        <f>IF($A2="","",IF(COUNTIF('07_Pallet_Contents'!$A$2:$A$3000,$A2)&gt;0,"Yes",""))</f>
        <v/>
      </c>
    </row>
    <row r="193" spans="1:26" ht="27.75" customHeight="1">
      <c r="A193" s="4" t="s">
        <v>503</v>
      </c>
      <c r="B193" s="4"/>
      <c r="D193" t="str">
        <f>IF($C193="","",IFERROR(LOOKUP(2,1/('03_Warehouse_Movements'!$C$2:$C$500=$A193),'03_Warehouse_Movements'!$E$2:$E$500),$C193))</f>
        <v/>
      </c>
      <c r="E193" t="s">
        <v>209</v>
      </c>
      <c r="G193" s="32"/>
      <c r="H193" s="3" t="str">
        <f t="shared" si="4"/>
        <v/>
      </c>
      <c r="I193" s="3"/>
      <c r="J193" s="4"/>
      <c r="K193" s="3"/>
      <c r="L193" s="4"/>
      <c r="M193" s="68" t="str">
        <f>IF($C193="","",IFERROR(LOOKUP(2,1/('03_Warehouse_Movements'!$C$2:$C$500=$A193),'03_Warehouse_Movements'!$A$2:$A$500),""))</f>
        <v/>
      </c>
      <c r="N193" s="4" t="str">
        <f>IF($C193="","",IFERROR(LOOKUP(2,1/('03_Warehouse_Movements'!$C$2:$C$500=$A193),'03_Warehouse_Movements'!$H$2:$H$500),""))</f>
        <v/>
      </c>
      <c r="O193" s="4" t="str">
        <f t="shared" si="5"/>
        <v>PAL-0000193</v>
      </c>
      <c r="Q193" s="34"/>
      <c r="R193" s="33"/>
      <c r="W193">
        <f>IF($A2="","",COUNTIF('07_Pallet_Contents'!$A$2:$A$3000,$A2))</f>
        <v>0</v>
      </c>
      <c r="X193">
        <f>IF($A2="","",SUMIF('07_Pallet_Contents'!$A$2:$A$3000,$A2,'07_Pallet_Contents'!$D$2:$D$3000))</f>
        <v>0</v>
      </c>
      <c r="Y193">
        <f>IF($A2="","",SUMIF('07_Pallet_Contents'!$A$2:$A$3000,$A2,'07_Pallet_Contents'!$I$2:$I$3000))</f>
        <v>0</v>
      </c>
      <c r="Z193" t="str">
        <f>IF($A2="","",IF(COUNTIF('07_Pallet_Contents'!$A$2:$A$3000,$A2)&gt;0,"Yes",""))</f>
        <v/>
      </c>
    </row>
    <row r="194" spans="1:26" ht="27.75" customHeight="1">
      <c r="A194" s="4" t="s">
        <v>504</v>
      </c>
      <c r="B194" s="4"/>
      <c r="D194" t="str">
        <f>IF($C194="","",IFERROR(LOOKUP(2,1/('03_Warehouse_Movements'!$C$2:$C$500=$A194),'03_Warehouse_Movements'!$E$2:$E$500),$C194))</f>
        <v/>
      </c>
      <c r="E194" t="s">
        <v>209</v>
      </c>
      <c r="G194" s="32"/>
      <c r="H194" s="3" t="str">
        <f t="shared" ref="H194:H257" si="6">IF(AND($F194="TEMP",$G194&gt;0,$M194&lt;&gt;""),$M194+$G194,"")</f>
        <v/>
      </c>
      <c r="I194" s="3"/>
      <c r="J194" s="4"/>
      <c r="K194" s="3"/>
      <c r="L194" s="4"/>
      <c r="M194" s="68" t="str">
        <f>IF($C194="","",IFERROR(LOOKUP(2,1/('03_Warehouse_Movements'!$C$2:$C$500=$A194),'03_Warehouse_Movements'!$A$2:$A$500),""))</f>
        <v/>
      </c>
      <c r="N194" s="4" t="str">
        <f>IF($C194="","",IFERROR(LOOKUP(2,1/('03_Warehouse_Movements'!$C$2:$C$500=$A194),'03_Warehouse_Movements'!$H$2:$H$500),""))</f>
        <v/>
      </c>
      <c r="O194" s="4" t="str">
        <f t="shared" ref="O194:O257" si="7">A194</f>
        <v>PAL-0000194</v>
      </c>
      <c r="Q194" s="34"/>
      <c r="R194" s="33"/>
      <c r="W194">
        <f>IF($A2="","",COUNTIF('07_Pallet_Contents'!$A$2:$A$3000,$A2))</f>
        <v>0</v>
      </c>
      <c r="X194">
        <f>IF($A2="","",SUMIF('07_Pallet_Contents'!$A$2:$A$3000,$A2,'07_Pallet_Contents'!$D$2:$D$3000))</f>
        <v>0</v>
      </c>
      <c r="Y194">
        <f>IF($A2="","",SUMIF('07_Pallet_Contents'!$A$2:$A$3000,$A2,'07_Pallet_Contents'!$I$2:$I$3000))</f>
        <v>0</v>
      </c>
      <c r="Z194" t="str">
        <f>IF($A2="","",IF(COUNTIF('07_Pallet_Contents'!$A$2:$A$3000,$A2)&gt;0,"Yes",""))</f>
        <v/>
      </c>
    </row>
    <row r="195" spans="1:26" ht="27.75" customHeight="1">
      <c r="A195" s="4" t="s">
        <v>505</v>
      </c>
      <c r="B195" s="4"/>
      <c r="D195" t="str">
        <f>IF($C195="","",IFERROR(LOOKUP(2,1/('03_Warehouse_Movements'!$C$2:$C$500=$A195),'03_Warehouse_Movements'!$E$2:$E$500),$C195))</f>
        <v/>
      </c>
      <c r="E195" t="s">
        <v>209</v>
      </c>
      <c r="G195" s="32"/>
      <c r="H195" s="3" t="str">
        <f t="shared" si="6"/>
        <v/>
      </c>
      <c r="I195" s="3"/>
      <c r="J195" s="4"/>
      <c r="K195" s="3"/>
      <c r="L195" s="4"/>
      <c r="M195" s="68" t="str">
        <f>IF($C195="","",IFERROR(LOOKUP(2,1/('03_Warehouse_Movements'!$C$2:$C$500=$A195),'03_Warehouse_Movements'!$A$2:$A$500),""))</f>
        <v/>
      </c>
      <c r="N195" s="4" t="str">
        <f>IF($C195="","",IFERROR(LOOKUP(2,1/('03_Warehouse_Movements'!$C$2:$C$500=$A195),'03_Warehouse_Movements'!$H$2:$H$500),""))</f>
        <v/>
      </c>
      <c r="O195" s="4" t="str">
        <f t="shared" si="7"/>
        <v>PAL-0000195</v>
      </c>
      <c r="Q195" s="34"/>
      <c r="R195" s="33"/>
      <c r="W195">
        <f>IF($A2="","",COUNTIF('07_Pallet_Contents'!$A$2:$A$3000,$A2))</f>
        <v>0</v>
      </c>
      <c r="X195">
        <f>IF($A2="","",SUMIF('07_Pallet_Contents'!$A$2:$A$3000,$A2,'07_Pallet_Contents'!$D$2:$D$3000))</f>
        <v>0</v>
      </c>
      <c r="Y195">
        <f>IF($A2="","",SUMIF('07_Pallet_Contents'!$A$2:$A$3000,$A2,'07_Pallet_Contents'!$I$2:$I$3000))</f>
        <v>0</v>
      </c>
      <c r="Z195" t="str">
        <f>IF($A2="","",IF(COUNTIF('07_Pallet_Contents'!$A$2:$A$3000,$A2)&gt;0,"Yes",""))</f>
        <v/>
      </c>
    </row>
    <row r="196" spans="1:26" ht="27.75" customHeight="1">
      <c r="A196" s="4" t="s">
        <v>506</v>
      </c>
      <c r="B196" s="4"/>
      <c r="D196" t="str">
        <f>IF($C196="","",IFERROR(LOOKUP(2,1/('03_Warehouse_Movements'!$C$2:$C$500=$A196),'03_Warehouse_Movements'!$E$2:$E$500),$C196))</f>
        <v/>
      </c>
      <c r="E196" t="s">
        <v>209</v>
      </c>
      <c r="G196" s="32"/>
      <c r="H196" s="3" t="str">
        <f t="shared" si="6"/>
        <v/>
      </c>
      <c r="I196" s="3"/>
      <c r="J196" s="4"/>
      <c r="K196" s="3"/>
      <c r="L196" s="4"/>
      <c r="M196" s="68" t="str">
        <f>IF($C196="","",IFERROR(LOOKUP(2,1/('03_Warehouse_Movements'!$C$2:$C$500=$A196),'03_Warehouse_Movements'!$A$2:$A$500),""))</f>
        <v/>
      </c>
      <c r="N196" s="4" t="str">
        <f>IF($C196="","",IFERROR(LOOKUP(2,1/('03_Warehouse_Movements'!$C$2:$C$500=$A196),'03_Warehouse_Movements'!$H$2:$H$500),""))</f>
        <v/>
      </c>
      <c r="O196" s="4" t="str">
        <f t="shared" si="7"/>
        <v>PAL-0000196</v>
      </c>
      <c r="Q196" s="34"/>
      <c r="R196" s="33"/>
      <c r="W196">
        <f>IF($A2="","",COUNTIF('07_Pallet_Contents'!$A$2:$A$3000,$A2))</f>
        <v>0</v>
      </c>
      <c r="X196">
        <f>IF($A2="","",SUMIF('07_Pallet_Contents'!$A$2:$A$3000,$A2,'07_Pallet_Contents'!$D$2:$D$3000))</f>
        <v>0</v>
      </c>
      <c r="Y196">
        <f>IF($A2="","",SUMIF('07_Pallet_Contents'!$A$2:$A$3000,$A2,'07_Pallet_Contents'!$I$2:$I$3000))</f>
        <v>0</v>
      </c>
      <c r="Z196" t="str">
        <f>IF($A2="","",IF(COUNTIF('07_Pallet_Contents'!$A$2:$A$3000,$A2)&gt;0,"Yes",""))</f>
        <v/>
      </c>
    </row>
    <row r="197" spans="1:26" ht="27.75" customHeight="1">
      <c r="A197" s="4" t="s">
        <v>507</v>
      </c>
      <c r="B197" s="4"/>
      <c r="D197" t="str">
        <f>IF($C197="","",IFERROR(LOOKUP(2,1/('03_Warehouse_Movements'!$C$2:$C$500=$A197),'03_Warehouse_Movements'!$E$2:$E$500),$C197))</f>
        <v/>
      </c>
      <c r="E197" t="s">
        <v>209</v>
      </c>
      <c r="G197" s="32"/>
      <c r="H197" s="3" t="str">
        <f t="shared" si="6"/>
        <v/>
      </c>
      <c r="I197" s="3"/>
      <c r="J197" s="4"/>
      <c r="K197" s="3"/>
      <c r="L197" s="4"/>
      <c r="M197" s="68" t="str">
        <f>IF($C197="","",IFERROR(LOOKUP(2,1/('03_Warehouse_Movements'!$C$2:$C$500=$A197),'03_Warehouse_Movements'!$A$2:$A$500),""))</f>
        <v/>
      </c>
      <c r="N197" s="4" t="str">
        <f>IF($C197="","",IFERROR(LOOKUP(2,1/('03_Warehouse_Movements'!$C$2:$C$500=$A197),'03_Warehouse_Movements'!$H$2:$H$500),""))</f>
        <v/>
      </c>
      <c r="O197" s="4" t="str">
        <f t="shared" si="7"/>
        <v>PAL-0000197</v>
      </c>
      <c r="Q197" s="34"/>
      <c r="R197" s="33"/>
      <c r="W197">
        <f>IF($A2="","",COUNTIF('07_Pallet_Contents'!$A$2:$A$3000,$A2))</f>
        <v>0</v>
      </c>
      <c r="X197">
        <f>IF($A2="","",SUMIF('07_Pallet_Contents'!$A$2:$A$3000,$A2,'07_Pallet_Contents'!$D$2:$D$3000))</f>
        <v>0</v>
      </c>
      <c r="Y197">
        <f>IF($A2="","",SUMIF('07_Pallet_Contents'!$A$2:$A$3000,$A2,'07_Pallet_Contents'!$I$2:$I$3000))</f>
        <v>0</v>
      </c>
      <c r="Z197" t="str">
        <f>IF($A2="","",IF(COUNTIF('07_Pallet_Contents'!$A$2:$A$3000,$A2)&gt;0,"Yes",""))</f>
        <v/>
      </c>
    </row>
    <row r="198" spans="1:26" ht="27.75" customHeight="1">
      <c r="A198" s="4" t="s">
        <v>508</v>
      </c>
      <c r="B198" s="4"/>
      <c r="D198" t="str">
        <f>IF($C198="","",IFERROR(LOOKUP(2,1/('03_Warehouse_Movements'!$C$2:$C$500=$A198),'03_Warehouse_Movements'!$E$2:$E$500),$C198))</f>
        <v/>
      </c>
      <c r="E198" t="s">
        <v>209</v>
      </c>
      <c r="G198" s="32"/>
      <c r="H198" s="3" t="str">
        <f t="shared" si="6"/>
        <v/>
      </c>
      <c r="I198" s="3"/>
      <c r="J198" s="4"/>
      <c r="K198" s="3"/>
      <c r="L198" s="4"/>
      <c r="M198" s="68" t="str">
        <f>IF($C198="","",IFERROR(LOOKUP(2,1/('03_Warehouse_Movements'!$C$2:$C$500=$A198),'03_Warehouse_Movements'!$A$2:$A$500),""))</f>
        <v/>
      </c>
      <c r="N198" s="4" t="str">
        <f>IF($C198="","",IFERROR(LOOKUP(2,1/('03_Warehouse_Movements'!$C$2:$C$500=$A198),'03_Warehouse_Movements'!$H$2:$H$500),""))</f>
        <v/>
      </c>
      <c r="O198" s="4" t="str">
        <f t="shared" si="7"/>
        <v>PAL-0000198</v>
      </c>
      <c r="Q198" s="34"/>
      <c r="R198" s="33"/>
      <c r="W198">
        <f>IF($A2="","",COUNTIF('07_Pallet_Contents'!$A$2:$A$3000,$A2))</f>
        <v>0</v>
      </c>
      <c r="X198">
        <f>IF($A2="","",SUMIF('07_Pallet_Contents'!$A$2:$A$3000,$A2,'07_Pallet_Contents'!$D$2:$D$3000))</f>
        <v>0</v>
      </c>
      <c r="Y198">
        <f>IF($A2="","",SUMIF('07_Pallet_Contents'!$A$2:$A$3000,$A2,'07_Pallet_Contents'!$I$2:$I$3000))</f>
        <v>0</v>
      </c>
      <c r="Z198" t="str">
        <f>IF($A2="","",IF(COUNTIF('07_Pallet_Contents'!$A$2:$A$3000,$A2)&gt;0,"Yes",""))</f>
        <v/>
      </c>
    </row>
    <row r="199" spans="1:26" ht="27.75" customHeight="1">
      <c r="A199" s="4" t="s">
        <v>509</v>
      </c>
      <c r="B199" s="4"/>
      <c r="D199" t="str">
        <f>IF($C199="","",IFERROR(LOOKUP(2,1/('03_Warehouse_Movements'!$C$2:$C$500=$A199),'03_Warehouse_Movements'!$E$2:$E$500),$C199))</f>
        <v/>
      </c>
      <c r="E199" t="s">
        <v>209</v>
      </c>
      <c r="G199" s="32"/>
      <c r="H199" s="3" t="str">
        <f t="shared" si="6"/>
        <v/>
      </c>
      <c r="I199" s="3"/>
      <c r="J199" s="4"/>
      <c r="K199" s="3"/>
      <c r="L199" s="4"/>
      <c r="M199" s="68" t="str">
        <f>IF($C199="","",IFERROR(LOOKUP(2,1/('03_Warehouse_Movements'!$C$2:$C$500=$A199),'03_Warehouse_Movements'!$A$2:$A$500),""))</f>
        <v/>
      </c>
      <c r="N199" s="4" t="str">
        <f>IF($C199="","",IFERROR(LOOKUP(2,1/('03_Warehouse_Movements'!$C$2:$C$500=$A199),'03_Warehouse_Movements'!$H$2:$H$500),""))</f>
        <v/>
      </c>
      <c r="O199" s="4" t="str">
        <f t="shared" si="7"/>
        <v>PAL-0000199</v>
      </c>
      <c r="Q199" s="34"/>
      <c r="R199" s="33"/>
      <c r="W199">
        <f>IF($A2="","",COUNTIF('07_Pallet_Contents'!$A$2:$A$3000,$A2))</f>
        <v>0</v>
      </c>
      <c r="X199">
        <f>IF($A2="","",SUMIF('07_Pallet_Contents'!$A$2:$A$3000,$A2,'07_Pallet_Contents'!$D$2:$D$3000))</f>
        <v>0</v>
      </c>
      <c r="Y199">
        <f>IF($A2="","",SUMIF('07_Pallet_Contents'!$A$2:$A$3000,$A2,'07_Pallet_Contents'!$I$2:$I$3000))</f>
        <v>0</v>
      </c>
      <c r="Z199" t="str">
        <f>IF($A2="","",IF(COUNTIF('07_Pallet_Contents'!$A$2:$A$3000,$A2)&gt;0,"Yes",""))</f>
        <v/>
      </c>
    </row>
    <row r="200" spans="1:26">
      <c r="A200" s="4" t="s">
        <v>510</v>
      </c>
      <c r="B200" s="31"/>
      <c r="D200" t="str">
        <f>IF($C200="","",IFERROR(LOOKUP(2,1/('03_Warehouse_Movements'!$C$2:$C$500=$A200),'03_Warehouse_Movements'!$E$2:$E$500),$C200))</f>
        <v/>
      </c>
      <c r="E200" t="s">
        <v>209</v>
      </c>
      <c r="G200" s="34"/>
      <c r="H200" s="33" t="str">
        <f t="shared" si="6"/>
        <v/>
      </c>
      <c r="I200" s="31"/>
      <c r="J200" s="31"/>
      <c r="K200" s="33"/>
      <c r="M200" s="69" t="str">
        <f>IF($C200="","",IFERROR(LOOKUP(2,1/('03_Warehouse_Movements'!$C$2:$C$500=$A200),'03_Warehouse_Movements'!$A$2:$A$500),""))</f>
        <v/>
      </c>
      <c r="N200" t="str">
        <f>IF($C200="","",IFERROR(LOOKUP(2,1/('03_Warehouse_Movements'!$C$2:$C$500=$A200),'03_Warehouse_Movements'!$H$2:$H$500),""))</f>
        <v/>
      </c>
      <c r="O200" t="str">
        <f t="shared" si="7"/>
        <v>PAL-0000200</v>
      </c>
      <c r="Q200" s="34"/>
      <c r="R200" s="33"/>
      <c r="W200">
        <f>IF($A2="","",COUNTIF('07_Pallet_Contents'!$A$2:$A$3000,$A2))</f>
        <v>0</v>
      </c>
      <c r="X200">
        <f>IF($A2="","",SUMIF('07_Pallet_Contents'!$A$2:$A$3000,$A2,'07_Pallet_Contents'!$D$2:$D$3000))</f>
        <v>0</v>
      </c>
      <c r="Y200">
        <f>IF($A2="","",SUMIF('07_Pallet_Contents'!$A$2:$A$3000,$A2,'07_Pallet_Contents'!$I$2:$I$3000))</f>
        <v>0</v>
      </c>
      <c r="Z200" t="str">
        <f>IF($A2="","",IF(COUNTIF('07_Pallet_Contents'!$A$2:$A$3000,$A2)&gt;0,"Yes",""))</f>
        <v/>
      </c>
    </row>
    <row r="201" spans="1:26">
      <c r="A201" s="4" t="s">
        <v>511</v>
      </c>
      <c r="B201" s="31"/>
      <c r="D201" t="str">
        <f>IF($C201="","",IFERROR(LOOKUP(2,1/('03_Warehouse_Movements'!$C$2:$C$500=$A201),'03_Warehouse_Movements'!$E$2:$E$500),$C201))</f>
        <v/>
      </c>
      <c r="E201" t="s">
        <v>209</v>
      </c>
      <c r="G201" s="34"/>
      <c r="H201" s="33" t="str">
        <f t="shared" si="6"/>
        <v/>
      </c>
      <c r="I201" s="31"/>
      <c r="J201" s="31"/>
      <c r="K201" s="33"/>
      <c r="M201" s="69" t="str">
        <f>IF($C201="","",IFERROR(LOOKUP(2,1/('03_Warehouse_Movements'!$C$2:$C$500=$A201),'03_Warehouse_Movements'!$A$2:$A$500),""))</f>
        <v/>
      </c>
      <c r="N201" t="str">
        <f>IF($C201="","",IFERROR(LOOKUP(2,1/('03_Warehouse_Movements'!$C$2:$C$500=$A201),'03_Warehouse_Movements'!$H$2:$H$500),""))</f>
        <v/>
      </c>
      <c r="O201" t="str">
        <f t="shared" si="7"/>
        <v>PAL-0000201</v>
      </c>
      <c r="Q201" s="34"/>
      <c r="R201" s="33"/>
      <c r="W201">
        <f>IF($A2="","",COUNTIF('07_Pallet_Contents'!$A$2:$A$3000,$A2))</f>
        <v>0</v>
      </c>
      <c r="X201">
        <f>IF($A2="","",SUMIF('07_Pallet_Contents'!$A$2:$A$3000,$A2,'07_Pallet_Contents'!$D$2:$D$3000))</f>
        <v>0</v>
      </c>
      <c r="Y201">
        <f>IF($A2="","",SUMIF('07_Pallet_Contents'!$A$2:$A$3000,$A2,'07_Pallet_Contents'!$I$2:$I$3000))</f>
        <v>0</v>
      </c>
      <c r="Z201" t="str">
        <f>IF($A2="","",IF(COUNTIF('07_Pallet_Contents'!$A$2:$A$3000,$A2)&gt;0,"Yes",""))</f>
        <v/>
      </c>
    </row>
    <row r="202" spans="1:26">
      <c r="A202" s="4" t="s">
        <v>512</v>
      </c>
      <c r="B202" s="31"/>
      <c r="D202" t="str">
        <f>IF($C202="","",IFERROR(LOOKUP(2,1/('03_Warehouse_Movements'!$C$2:$C$500=$A202),'03_Warehouse_Movements'!$E$2:$E$500),$C202))</f>
        <v/>
      </c>
      <c r="E202" t="s">
        <v>209</v>
      </c>
      <c r="G202" s="34"/>
      <c r="H202" s="33" t="str">
        <f t="shared" si="6"/>
        <v/>
      </c>
      <c r="I202" s="31"/>
      <c r="J202" s="31"/>
      <c r="K202" s="33"/>
      <c r="M202" s="69" t="str">
        <f>IF($C202="","",IFERROR(LOOKUP(2,1/('03_Warehouse_Movements'!$C$2:$C$500=$A202),'03_Warehouse_Movements'!$A$2:$A$500),""))</f>
        <v/>
      </c>
      <c r="N202" t="str">
        <f>IF($C202="","",IFERROR(LOOKUP(2,1/('03_Warehouse_Movements'!$C$2:$C$500=$A202),'03_Warehouse_Movements'!$H$2:$H$500),""))</f>
        <v/>
      </c>
      <c r="O202" t="str">
        <f t="shared" si="7"/>
        <v>PAL-0000202</v>
      </c>
      <c r="Q202" s="34"/>
      <c r="R202" s="33"/>
      <c r="W202">
        <f>IF($A2="","",COUNTIF('07_Pallet_Contents'!$A$2:$A$3000,$A2))</f>
        <v>0</v>
      </c>
      <c r="X202">
        <f>IF($A2="","",SUMIF('07_Pallet_Contents'!$A$2:$A$3000,$A2,'07_Pallet_Contents'!$D$2:$D$3000))</f>
        <v>0</v>
      </c>
      <c r="Y202">
        <f>IF($A2="","",SUMIF('07_Pallet_Contents'!$A$2:$A$3000,$A2,'07_Pallet_Contents'!$I$2:$I$3000))</f>
        <v>0</v>
      </c>
      <c r="Z202" t="str">
        <f>IF($A2="","",IF(COUNTIF('07_Pallet_Contents'!$A$2:$A$3000,$A2)&gt;0,"Yes",""))</f>
        <v/>
      </c>
    </row>
    <row r="203" spans="1:26">
      <c r="A203" s="4" t="s">
        <v>513</v>
      </c>
      <c r="B203" s="31"/>
      <c r="D203" t="str">
        <f>IF($C203="","",IFERROR(LOOKUP(2,1/('03_Warehouse_Movements'!$C$2:$C$500=$A203),'03_Warehouse_Movements'!$E$2:$E$500),$C203))</f>
        <v/>
      </c>
      <c r="E203" t="s">
        <v>209</v>
      </c>
      <c r="G203" s="34"/>
      <c r="H203" s="33" t="str">
        <f t="shared" si="6"/>
        <v/>
      </c>
      <c r="I203" s="31"/>
      <c r="J203" s="31"/>
      <c r="K203" s="33"/>
      <c r="M203" s="69" t="str">
        <f>IF($C203="","",IFERROR(LOOKUP(2,1/('03_Warehouse_Movements'!$C$2:$C$500=$A203),'03_Warehouse_Movements'!$A$2:$A$500),""))</f>
        <v/>
      </c>
      <c r="N203" t="str">
        <f>IF($C203="","",IFERROR(LOOKUP(2,1/('03_Warehouse_Movements'!$C$2:$C$500=$A203),'03_Warehouse_Movements'!$H$2:$H$500),""))</f>
        <v/>
      </c>
      <c r="O203" t="str">
        <f t="shared" si="7"/>
        <v>PAL-0000203</v>
      </c>
      <c r="Q203" s="34"/>
      <c r="R203" s="33"/>
      <c r="W203">
        <f>IF($A2="","",COUNTIF('07_Pallet_Contents'!$A$2:$A$3000,$A2))</f>
        <v>0</v>
      </c>
      <c r="X203">
        <f>IF($A2="","",SUMIF('07_Pallet_Contents'!$A$2:$A$3000,$A2,'07_Pallet_Contents'!$D$2:$D$3000))</f>
        <v>0</v>
      </c>
      <c r="Y203">
        <f>IF($A2="","",SUMIF('07_Pallet_Contents'!$A$2:$A$3000,$A2,'07_Pallet_Contents'!$I$2:$I$3000))</f>
        <v>0</v>
      </c>
      <c r="Z203" t="str">
        <f>IF($A2="","",IF(COUNTIF('07_Pallet_Contents'!$A$2:$A$3000,$A2)&gt;0,"Yes",""))</f>
        <v/>
      </c>
    </row>
    <row r="204" spans="1:26">
      <c r="A204" s="4" t="s">
        <v>514</v>
      </c>
      <c r="B204" s="31"/>
      <c r="D204" t="str">
        <f>IF($C204="","",IFERROR(LOOKUP(2,1/('03_Warehouse_Movements'!$C$2:$C$500=$A204),'03_Warehouse_Movements'!$E$2:$E$500),$C204))</f>
        <v/>
      </c>
      <c r="E204" t="s">
        <v>209</v>
      </c>
      <c r="G204" s="34"/>
      <c r="H204" s="33" t="str">
        <f t="shared" si="6"/>
        <v/>
      </c>
      <c r="I204" s="31"/>
      <c r="J204" s="31"/>
      <c r="K204" s="33"/>
      <c r="M204" s="69" t="str">
        <f>IF($C204="","",IFERROR(LOOKUP(2,1/('03_Warehouse_Movements'!$C$2:$C$500=$A204),'03_Warehouse_Movements'!$A$2:$A$500),""))</f>
        <v/>
      </c>
      <c r="N204" t="str">
        <f>IF($C204="","",IFERROR(LOOKUP(2,1/('03_Warehouse_Movements'!$C$2:$C$500=$A204),'03_Warehouse_Movements'!$H$2:$H$500),""))</f>
        <v/>
      </c>
      <c r="O204" t="str">
        <f t="shared" si="7"/>
        <v>PAL-0000204</v>
      </c>
      <c r="Q204" s="34"/>
      <c r="R204" s="33"/>
      <c r="W204">
        <f>IF($A2="","",COUNTIF('07_Pallet_Contents'!$A$2:$A$3000,$A2))</f>
        <v>0</v>
      </c>
      <c r="X204">
        <f>IF($A2="","",SUMIF('07_Pallet_Contents'!$A$2:$A$3000,$A2,'07_Pallet_Contents'!$D$2:$D$3000))</f>
        <v>0</v>
      </c>
      <c r="Y204">
        <f>IF($A2="","",SUMIF('07_Pallet_Contents'!$A$2:$A$3000,$A2,'07_Pallet_Contents'!$I$2:$I$3000))</f>
        <v>0</v>
      </c>
      <c r="Z204" t="str">
        <f>IF($A2="","",IF(COUNTIF('07_Pallet_Contents'!$A$2:$A$3000,$A2)&gt;0,"Yes",""))</f>
        <v/>
      </c>
    </row>
    <row r="205" spans="1:26">
      <c r="A205" s="4" t="s">
        <v>515</v>
      </c>
      <c r="B205" s="31"/>
      <c r="D205" t="str">
        <f>IF($C205="","",IFERROR(LOOKUP(2,1/('03_Warehouse_Movements'!$C$2:$C$500=$A205),'03_Warehouse_Movements'!$E$2:$E$500),$C205))</f>
        <v/>
      </c>
      <c r="E205" t="s">
        <v>209</v>
      </c>
      <c r="G205" s="34"/>
      <c r="H205" s="33" t="str">
        <f t="shared" si="6"/>
        <v/>
      </c>
      <c r="I205" s="31"/>
      <c r="J205" s="31"/>
      <c r="K205" s="33"/>
      <c r="M205" s="69" t="str">
        <f>IF($C205="","",IFERROR(LOOKUP(2,1/('03_Warehouse_Movements'!$C$2:$C$500=$A205),'03_Warehouse_Movements'!$A$2:$A$500),""))</f>
        <v/>
      </c>
      <c r="N205" t="str">
        <f>IF($C205="","",IFERROR(LOOKUP(2,1/('03_Warehouse_Movements'!$C$2:$C$500=$A205),'03_Warehouse_Movements'!$H$2:$H$500),""))</f>
        <v/>
      </c>
      <c r="O205" t="str">
        <f t="shared" si="7"/>
        <v>PAL-0000205</v>
      </c>
      <c r="Q205" s="34"/>
      <c r="R205" s="33"/>
      <c r="W205">
        <f>IF($A2="","",COUNTIF('07_Pallet_Contents'!$A$2:$A$3000,$A2))</f>
        <v>0</v>
      </c>
      <c r="X205">
        <f>IF($A2="","",SUMIF('07_Pallet_Contents'!$A$2:$A$3000,$A2,'07_Pallet_Contents'!$D$2:$D$3000))</f>
        <v>0</v>
      </c>
      <c r="Y205">
        <f>IF($A2="","",SUMIF('07_Pallet_Contents'!$A$2:$A$3000,$A2,'07_Pallet_Contents'!$I$2:$I$3000))</f>
        <v>0</v>
      </c>
      <c r="Z205" t="str">
        <f>IF($A2="","",IF(COUNTIF('07_Pallet_Contents'!$A$2:$A$3000,$A2)&gt;0,"Yes",""))</f>
        <v/>
      </c>
    </row>
    <row r="206" spans="1:26">
      <c r="A206" s="4" t="s">
        <v>516</v>
      </c>
      <c r="B206" s="31"/>
      <c r="D206" t="str">
        <f>IF($C206="","",IFERROR(LOOKUP(2,1/('03_Warehouse_Movements'!$C$2:$C$500=$A206),'03_Warehouse_Movements'!$E$2:$E$500),$C206))</f>
        <v/>
      </c>
      <c r="E206" t="s">
        <v>209</v>
      </c>
      <c r="G206" s="34"/>
      <c r="H206" s="33" t="str">
        <f t="shared" si="6"/>
        <v/>
      </c>
      <c r="I206" s="31"/>
      <c r="J206" s="31"/>
      <c r="K206" s="33"/>
      <c r="M206" s="69" t="str">
        <f>IF($C206="","",IFERROR(LOOKUP(2,1/('03_Warehouse_Movements'!$C$2:$C$500=$A206),'03_Warehouse_Movements'!$A$2:$A$500),""))</f>
        <v/>
      </c>
      <c r="N206" t="str">
        <f>IF($C206="","",IFERROR(LOOKUP(2,1/('03_Warehouse_Movements'!$C$2:$C$500=$A206),'03_Warehouse_Movements'!$H$2:$H$500),""))</f>
        <v/>
      </c>
      <c r="O206" t="str">
        <f t="shared" si="7"/>
        <v>PAL-0000206</v>
      </c>
      <c r="Q206" s="34"/>
      <c r="R206" s="33"/>
      <c r="W206">
        <f>IF($A2="","",COUNTIF('07_Pallet_Contents'!$A$2:$A$3000,$A2))</f>
        <v>0</v>
      </c>
      <c r="X206">
        <f>IF($A2="","",SUMIF('07_Pallet_Contents'!$A$2:$A$3000,$A2,'07_Pallet_Contents'!$D$2:$D$3000))</f>
        <v>0</v>
      </c>
      <c r="Y206">
        <f>IF($A2="","",SUMIF('07_Pallet_Contents'!$A$2:$A$3000,$A2,'07_Pallet_Contents'!$I$2:$I$3000))</f>
        <v>0</v>
      </c>
      <c r="Z206" t="str">
        <f>IF($A2="","",IF(COUNTIF('07_Pallet_Contents'!$A$2:$A$3000,$A2)&gt;0,"Yes",""))</f>
        <v/>
      </c>
    </row>
    <row r="207" spans="1:26">
      <c r="A207" s="4" t="s">
        <v>517</v>
      </c>
      <c r="B207" s="31"/>
      <c r="D207" t="str">
        <f>IF($C207="","",IFERROR(LOOKUP(2,1/('03_Warehouse_Movements'!$C$2:$C$500=$A207),'03_Warehouse_Movements'!$E$2:$E$500),$C207))</f>
        <v/>
      </c>
      <c r="E207" t="s">
        <v>209</v>
      </c>
      <c r="G207" s="34"/>
      <c r="H207" s="33" t="str">
        <f t="shared" si="6"/>
        <v/>
      </c>
      <c r="I207" s="31"/>
      <c r="J207" s="31"/>
      <c r="K207" s="33"/>
      <c r="M207" s="69" t="str">
        <f>IF($C207="","",IFERROR(LOOKUP(2,1/('03_Warehouse_Movements'!$C$2:$C$500=$A207),'03_Warehouse_Movements'!$A$2:$A$500),""))</f>
        <v/>
      </c>
      <c r="N207" t="str">
        <f>IF($C207="","",IFERROR(LOOKUP(2,1/('03_Warehouse_Movements'!$C$2:$C$500=$A207),'03_Warehouse_Movements'!$H$2:$H$500),""))</f>
        <v/>
      </c>
      <c r="O207" t="str">
        <f t="shared" si="7"/>
        <v>PAL-0000207</v>
      </c>
      <c r="Q207" s="34"/>
      <c r="R207" s="33"/>
      <c r="W207">
        <f>IF($A2="","",COUNTIF('07_Pallet_Contents'!$A$2:$A$3000,$A2))</f>
        <v>0</v>
      </c>
      <c r="X207">
        <f>IF($A2="","",SUMIF('07_Pallet_Contents'!$A$2:$A$3000,$A2,'07_Pallet_Contents'!$D$2:$D$3000))</f>
        <v>0</v>
      </c>
      <c r="Y207">
        <f>IF($A2="","",SUMIF('07_Pallet_Contents'!$A$2:$A$3000,$A2,'07_Pallet_Contents'!$I$2:$I$3000))</f>
        <v>0</v>
      </c>
      <c r="Z207" t="str">
        <f>IF($A2="","",IF(COUNTIF('07_Pallet_Contents'!$A$2:$A$3000,$A2)&gt;0,"Yes",""))</f>
        <v/>
      </c>
    </row>
    <row r="208" spans="1:26">
      <c r="A208" s="4" t="s">
        <v>518</v>
      </c>
      <c r="B208" s="31"/>
      <c r="D208" t="str">
        <f>IF($C208="","",IFERROR(LOOKUP(2,1/('03_Warehouse_Movements'!$C$2:$C$500=$A208),'03_Warehouse_Movements'!$E$2:$E$500),$C208))</f>
        <v/>
      </c>
      <c r="E208" t="s">
        <v>209</v>
      </c>
      <c r="G208" s="34"/>
      <c r="H208" s="33" t="str">
        <f t="shared" si="6"/>
        <v/>
      </c>
      <c r="I208" s="31"/>
      <c r="J208" s="31"/>
      <c r="K208" s="33"/>
      <c r="M208" s="69" t="str">
        <f>IF($C208="","",IFERROR(LOOKUP(2,1/('03_Warehouse_Movements'!$C$2:$C$500=$A208),'03_Warehouse_Movements'!$A$2:$A$500),""))</f>
        <v/>
      </c>
      <c r="N208" t="str">
        <f>IF($C208="","",IFERROR(LOOKUP(2,1/('03_Warehouse_Movements'!$C$2:$C$500=$A208),'03_Warehouse_Movements'!$H$2:$H$500),""))</f>
        <v/>
      </c>
      <c r="O208" t="str">
        <f t="shared" si="7"/>
        <v>PAL-0000208</v>
      </c>
      <c r="Q208" s="34"/>
      <c r="R208" s="33"/>
      <c r="W208">
        <f>IF($A2="","",COUNTIF('07_Pallet_Contents'!$A$2:$A$3000,$A2))</f>
        <v>0</v>
      </c>
      <c r="X208">
        <f>IF($A2="","",SUMIF('07_Pallet_Contents'!$A$2:$A$3000,$A2,'07_Pallet_Contents'!$D$2:$D$3000))</f>
        <v>0</v>
      </c>
      <c r="Y208">
        <f>IF($A2="","",SUMIF('07_Pallet_Contents'!$A$2:$A$3000,$A2,'07_Pallet_Contents'!$I$2:$I$3000))</f>
        <v>0</v>
      </c>
      <c r="Z208" t="str">
        <f>IF($A2="","",IF(COUNTIF('07_Pallet_Contents'!$A$2:$A$3000,$A2)&gt;0,"Yes",""))</f>
        <v/>
      </c>
    </row>
    <row r="209" spans="1:26">
      <c r="A209" s="4" t="s">
        <v>519</v>
      </c>
      <c r="B209" s="31"/>
      <c r="D209" t="str">
        <f>IF($C209="","",IFERROR(LOOKUP(2,1/('03_Warehouse_Movements'!$C$2:$C$500=$A209),'03_Warehouse_Movements'!$E$2:$E$500),$C209))</f>
        <v/>
      </c>
      <c r="E209" t="s">
        <v>209</v>
      </c>
      <c r="G209" s="34"/>
      <c r="H209" s="33" t="str">
        <f t="shared" si="6"/>
        <v/>
      </c>
      <c r="I209" s="31"/>
      <c r="J209" s="31"/>
      <c r="K209" s="33"/>
      <c r="M209" s="69" t="str">
        <f>IF($C209="","",IFERROR(LOOKUP(2,1/('03_Warehouse_Movements'!$C$2:$C$500=$A209),'03_Warehouse_Movements'!$A$2:$A$500),""))</f>
        <v/>
      </c>
      <c r="N209" t="str">
        <f>IF($C209="","",IFERROR(LOOKUP(2,1/('03_Warehouse_Movements'!$C$2:$C$500=$A209),'03_Warehouse_Movements'!$H$2:$H$500),""))</f>
        <v/>
      </c>
      <c r="O209" t="str">
        <f t="shared" si="7"/>
        <v>PAL-0000209</v>
      </c>
      <c r="Q209" s="34"/>
      <c r="R209" s="33"/>
      <c r="W209">
        <f>IF($A2="","",COUNTIF('07_Pallet_Contents'!$A$2:$A$3000,$A2))</f>
        <v>0</v>
      </c>
      <c r="X209">
        <f>IF($A2="","",SUMIF('07_Pallet_Contents'!$A$2:$A$3000,$A2,'07_Pallet_Contents'!$D$2:$D$3000))</f>
        <v>0</v>
      </c>
      <c r="Y209">
        <f>IF($A2="","",SUMIF('07_Pallet_Contents'!$A$2:$A$3000,$A2,'07_Pallet_Contents'!$I$2:$I$3000))</f>
        <v>0</v>
      </c>
      <c r="Z209" t="str">
        <f>IF($A2="","",IF(COUNTIF('07_Pallet_Contents'!$A$2:$A$3000,$A2)&gt;0,"Yes",""))</f>
        <v/>
      </c>
    </row>
    <row r="210" spans="1:26">
      <c r="A210" s="4" t="s">
        <v>520</v>
      </c>
      <c r="B210" s="31"/>
      <c r="D210" t="str">
        <f>IF($C210="","",IFERROR(LOOKUP(2,1/('03_Warehouse_Movements'!$C$2:$C$500=$A210),'03_Warehouse_Movements'!$E$2:$E$500),$C210))</f>
        <v/>
      </c>
      <c r="E210" t="s">
        <v>209</v>
      </c>
      <c r="G210" s="34"/>
      <c r="H210" s="33" t="str">
        <f t="shared" si="6"/>
        <v/>
      </c>
      <c r="I210" s="31"/>
      <c r="J210" s="31"/>
      <c r="K210" s="33"/>
      <c r="M210" s="69" t="str">
        <f>IF($C210="","",IFERROR(LOOKUP(2,1/('03_Warehouse_Movements'!$C$2:$C$500=$A210),'03_Warehouse_Movements'!$A$2:$A$500),""))</f>
        <v/>
      </c>
      <c r="N210" t="str">
        <f>IF($C210="","",IFERROR(LOOKUP(2,1/('03_Warehouse_Movements'!$C$2:$C$500=$A210),'03_Warehouse_Movements'!$H$2:$H$500),""))</f>
        <v/>
      </c>
      <c r="O210" t="str">
        <f t="shared" si="7"/>
        <v>PAL-0000210</v>
      </c>
      <c r="Q210" s="34"/>
      <c r="R210" s="33"/>
      <c r="W210">
        <f>IF($A2="","",COUNTIF('07_Pallet_Contents'!$A$2:$A$3000,$A2))</f>
        <v>0</v>
      </c>
      <c r="X210">
        <f>IF($A2="","",SUMIF('07_Pallet_Contents'!$A$2:$A$3000,$A2,'07_Pallet_Contents'!$D$2:$D$3000))</f>
        <v>0</v>
      </c>
      <c r="Y210">
        <f>IF($A2="","",SUMIF('07_Pallet_Contents'!$A$2:$A$3000,$A2,'07_Pallet_Contents'!$I$2:$I$3000))</f>
        <v>0</v>
      </c>
      <c r="Z210" t="str">
        <f>IF($A2="","",IF(COUNTIF('07_Pallet_Contents'!$A$2:$A$3000,$A2)&gt;0,"Yes",""))</f>
        <v/>
      </c>
    </row>
    <row r="211" spans="1:26">
      <c r="A211" s="4" t="s">
        <v>521</v>
      </c>
      <c r="B211" s="31"/>
      <c r="D211" t="str">
        <f>IF($C211="","",IFERROR(LOOKUP(2,1/('03_Warehouse_Movements'!$C$2:$C$500=$A211),'03_Warehouse_Movements'!$E$2:$E$500),$C211))</f>
        <v/>
      </c>
      <c r="E211" t="s">
        <v>209</v>
      </c>
      <c r="G211" s="34"/>
      <c r="H211" s="33" t="str">
        <f t="shared" si="6"/>
        <v/>
      </c>
      <c r="I211" s="31"/>
      <c r="J211" s="31"/>
      <c r="K211" s="33"/>
      <c r="M211" s="69" t="str">
        <f>IF($C211="","",IFERROR(LOOKUP(2,1/('03_Warehouse_Movements'!$C$2:$C$500=$A211),'03_Warehouse_Movements'!$A$2:$A$500),""))</f>
        <v/>
      </c>
      <c r="N211" t="str">
        <f>IF($C211="","",IFERROR(LOOKUP(2,1/('03_Warehouse_Movements'!$C$2:$C$500=$A211),'03_Warehouse_Movements'!$H$2:$H$500),""))</f>
        <v/>
      </c>
      <c r="O211" t="str">
        <f t="shared" si="7"/>
        <v>PAL-0000211</v>
      </c>
      <c r="Q211" s="34"/>
      <c r="R211" s="33"/>
      <c r="W211">
        <f>IF($A2="","",COUNTIF('07_Pallet_Contents'!$A$2:$A$3000,$A2))</f>
        <v>0</v>
      </c>
      <c r="X211">
        <f>IF($A2="","",SUMIF('07_Pallet_Contents'!$A$2:$A$3000,$A2,'07_Pallet_Contents'!$D$2:$D$3000))</f>
        <v>0</v>
      </c>
      <c r="Y211">
        <f>IF($A2="","",SUMIF('07_Pallet_Contents'!$A$2:$A$3000,$A2,'07_Pallet_Contents'!$I$2:$I$3000))</f>
        <v>0</v>
      </c>
      <c r="Z211" t="str">
        <f>IF($A2="","",IF(COUNTIF('07_Pallet_Contents'!$A$2:$A$3000,$A2)&gt;0,"Yes",""))</f>
        <v/>
      </c>
    </row>
    <row r="212" spans="1:26">
      <c r="A212" s="4" t="s">
        <v>522</v>
      </c>
      <c r="B212" s="31"/>
      <c r="D212" t="str">
        <f>IF($C212="","",IFERROR(LOOKUP(2,1/('03_Warehouse_Movements'!$C$2:$C$500=$A212),'03_Warehouse_Movements'!$E$2:$E$500),$C212))</f>
        <v/>
      </c>
      <c r="E212" t="s">
        <v>209</v>
      </c>
      <c r="G212" s="34"/>
      <c r="H212" s="33" t="str">
        <f t="shared" si="6"/>
        <v/>
      </c>
      <c r="I212" s="31"/>
      <c r="J212" s="31"/>
      <c r="K212" s="33"/>
      <c r="M212" s="69" t="str">
        <f>IF($C212="","",IFERROR(LOOKUP(2,1/('03_Warehouse_Movements'!$C$2:$C$500=$A212),'03_Warehouse_Movements'!$A$2:$A$500),""))</f>
        <v/>
      </c>
      <c r="N212" t="str">
        <f>IF($C212="","",IFERROR(LOOKUP(2,1/('03_Warehouse_Movements'!$C$2:$C$500=$A212),'03_Warehouse_Movements'!$H$2:$H$500),""))</f>
        <v/>
      </c>
      <c r="O212" t="str">
        <f t="shared" si="7"/>
        <v>PAL-0000212</v>
      </c>
      <c r="Q212" s="34"/>
      <c r="R212" s="33"/>
      <c r="W212">
        <f>IF($A2="","",COUNTIF('07_Pallet_Contents'!$A$2:$A$3000,$A2))</f>
        <v>0</v>
      </c>
      <c r="X212">
        <f>IF($A2="","",SUMIF('07_Pallet_Contents'!$A$2:$A$3000,$A2,'07_Pallet_Contents'!$D$2:$D$3000))</f>
        <v>0</v>
      </c>
      <c r="Y212">
        <f>IF($A2="","",SUMIF('07_Pallet_Contents'!$A$2:$A$3000,$A2,'07_Pallet_Contents'!$I$2:$I$3000))</f>
        <v>0</v>
      </c>
      <c r="Z212" t="str">
        <f>IF($A2="","",IF(COUNTIF('07_Pallet_Contents'!$A$2:$A$3000,$A2)&gt;0,"Yes",""))</f>
        <v/>
      </c>
    </row>
    <row r="213" spans="1:26">
      <c r="A213" s="4" t="s">
        <v>523</v>
      </c>
      <c r="B213" s="31"/>
      <c r="D213" t="str">
        <f>IF($C213="","",IFERROR(LOOKUP(2,1/('03_Warehouse_Movements'!$C$2:$C$500=$A213),'03_Warehouse_Movements'!$E$2:$E$500),$C213))</f>
        <v/>
      </c>
      <c r="E213" t="s">
        <v>209</v>
      </c>
      <c r="G213" s="34"/>
      <c r="H213" s="33" t="str">
        <f t="shared" si="6"/>
        <v/>
      </c>
      <c r="I213" s="31"/>
      <c r="J213" s="31"/>
      <c r="K213" s="33"/>
      <c r="M213" s="69" t="str">
        <f>IF($C213="","",IFERROR(LOOKUP(2,1/('03_Warehouse_Movements'!$C$2:$C$500=$A213),'03_Warehouse_Movements'!$A$2:$A$500),""))</f>
        <v/>
      </c>
      <c r="N213" t="str">
        <f>IF($C213="","",IFERROR(LOOKUP(2,1/('03_Warehouse_Movements'!$C$2:$C$500=$A213),'03_Warehouse_Movements'!$H$2:$H$500),""))</f>
        <v/>
      </c>
      <c r="O213" t="str">
        <f t="shared" si="7"/>
        <v>PAL-0000213</v>
      </c>
      <c r="Q213" s="34"/>
      <c r="R213" s="33"/>
      <c r="W213">
        <f>IF($A2="","",COUNTIF('07_Pallet_Contents'!$A$2:$A$3000,$A2))</f>
        <v>0</v>
      </c>
      <c r="X213">
        <f>IF($A2="","",SUMIF('07_Pallet_Contents'!$A$2:$A$3000,$A2,'07_Pallet_Contents'!$D$2:$D$3000))</f>
        <v>0</v>
      </c>
      <c r="Y213">
        <f>IF($A2="","",SUMIF('07_Pallet_Contents'!$A$2:$A$3000,$A2,'07_Pallet_Contents'!$I$2:$I$3000))</f>
        <v>0</v>
      </c>
      <c r="Z213" t="str">
        <f>IF($A2="","",IF(COUNTIF('07_Pallet_Contents'!$A$2:$A$3000,$A2)&gt;0,"Yes",""))</f>
        <v/>
      </c>
    </row>
    <row r="214" spans="1:26">
      <c r="A214" s="4" t="s">
        <v>524</v>
      </c>
      <c r="B214" s="31"/>
      <c r="D214" t="str">
        <f>IF($C214="","",IFERROR(LOOKUP(2,1/('03_Warehouse_Movements'!$C$2:$C$500=$A214),'03_Warehouse_Movements'!$E$2:$E$500),$C214))</f>
        <v/>
      </c>
      <c r="E214" t="s">
        <v>209</v>
      </c>
      <c r="G214" s="34"/>
      <c r="H214" s="33" t="str">
        <f t="shared" si="6"/>
        <v/>
      </c>
      <c r="I214" s="31"/>
      <c r="J214" s="31"/>
      <c r="K214" s="33"/>
      <c r="M214" s="69" t="str">
        <f>IF($C214="","",IFERROR(LOOKUP(2,1/('03_Warehouse_Movements'!$C$2:$C$500=$A214),'03_Warehouse_Movements'!$A$2:$A$500),""))</f>
        <v/>
      </c>
      <c r="N214" t="str">
        <f>IF($C214="","",IFERROR(LOOKUP(2,1/('03_Warehouse_Movements'!$C$2:$C$500=$A214),'03_Warehouse_Movements'!$H$2:$H$500),""))</f>
        <v/>
      </c>
      <c r="O214" t="str">
        <f t="shared" si="7"/>
        <v>PAL-0000214</v>
      </c>
      <c r="Q214" s="34"/>
      <c r="R214" s="33"/>
      <c r="W214">
        <f>IF($A2="","",COUNTIF('07_Pallet_Contents'!$A$2:$A$3000,$A2))</f>
        <v>0</v>
      </c>
      <c r="X214">
        <f>IF($A2="","",SUMIF('07_Pallet_Contents'!$A$2:$A$3000,$A2,'07_Pallet_Contents'!$D$2:$D$3000))</f>
        <v>0</v>
      </c>
      <c r="Y214">
        <f>IF($A2="","",SUMIF('07_Pallet_Contents'!$A$2:$A$3000,$A2,'07_Pallet_Contents'!$I$2:$I$3000))</f>
        <v>0</v>
      </c>
      <c r="Z214" t="str">
        <f>IF($A2="","",IF(COUNTIF('07_Pallet_Contents'!$A$2:$A$3000,$A2)&gt;0,"Yes",""))</f>
        <v/>
      </c>
    </row>
    <row r="215" spans="1:26">
      <c r="A215" s="4" t="s">
        <v>525</v>
      </c>
      <c r="B215" s="31"/>
      <c r="D215" t="str">
        <f>IF($C215="","",IFERROR(LOOKUP(2,1/('03_Warehouse_Movements'!$C$2:$C$500=$A215),'03_Warehouse_Movements'!$E$2:$E$500),$C215))</f>
        <v/>
      </c>
      <c r="E215" t="s">
        <v>209</v>
      </c>
      <c r="G215" s="34"/>
      <c r="H215" s="33" t="str">
        <f t="shared" si="6"/>
        <v/>
      </c>
      <c r="I215" s="31"/>
      <c r="J215" s="31"/>
      <c r="K215" s="33"/>
      <c r="M215" s="69" t="str">
        <f>IF($C215="","",IFERROR(LOOKUP(2,1/('03_Warehouse_Movements'!$C$2:$C$500=$A215),'03_Warehouse_Movements'!$A$2:$A$500),""))</f>
        <v/>
      </c>
      <c r="N215" t="str">
        <f>IF($C215="","",IFERROR(LOOKUP(2,1/('03_Warehouse_Movements'!$C$2:$C$500=$A215),'03_Warehouse_Movements'!$H$2:$H$500),""))</f>
        <v/>
      </c>
      <c r="O215" t="str">
        <f t="shared" si="7"/>
        <v>PAL-0000215</v>
      </c>
      <c r="Q215" s="34"/>
      <c r="R215" s="33"/>
      <c r="W215">
        <f>IF($A2="","",COUNTIF('07_Pallet_Contents'!$A$2:$A$3000,$A2))</f>
        <v>0</v>
      </c>
      <c r="X215">
        <f>IF($A2="","",SUMIF('07_Pallet_Contents'!$A$2:$A$3000,$A2,'07_Pallet_Contents'!$D$2:$D$3000))</f>
        <v>0</v>
      </c>
      <c r="Y215">
        <f>IF($A2="","",SUMIF('07_Pallet_Contents'!$A$2:$A$3000,$A2,'07_Pallet_Contents'!$I$2:$I$3000))</f>
        <v>0</v>
      </c>
      <c r="Z215" t="str">
        <f>IF($A2="","",IF(COUNTIF('07_Pallet_Contents'!$A$2:$A$3000,$A2)&gt;0,"Yes",""))</f>
        <v/>
      </c>
    </row>
    <row r="216" spans="1:26">
      <c r="A216" s="4" t="s">
        <v>526</v>
      </c>
      <c r="B216" s="31"/>
      <c r="D216" t="str">
        <f>IF($C216="","",IFERROR(LOOKUP(2,1/('03_Warehouse_Movements'!$C$2:$C$500=$A216),'03_Warehouse_Movements'!$E$2:$E$500),$C216))</f>
        <v/>
      </c>
      <c r="E216" t="s">
        <v>209</v>
      </c>
      <c r="G216" s="34"/>
      <c r="H216" s="33" t="str">
        <f t="shared" si="6"/>
        <v/>
      </c>
      <c r="I216" s="31"/>
      <c r="J216" s="31"/>
      <c r="K216" s="33"/>
      <c r="M216" s="69" t="str">
        <f>IF($C216="","",IFERROR(LOOKUP(2,1/('03_Warehouse_Movements'!$C$2:$C$500=$A216),'03_Warehouse_Movements'!$A$2:$A$500),""))</f>
        <v/>
      </c>
      <c r="N216" t="str">
        <f>IF($C216="","",IFERROR(LOOKUP(2,1/('03_Warehouse_Movements'!$C$2:$C$500=$A216),'03_Warehouse_Movements'!$H$2:$H$500),""))</f>
        <v/>
      </c>
      <c r="O216" t="str">
        <f t="shared" si="7"/>
        <v>PAL-0000216</v>
      </c>
      <c r="Q216" s="34"/>
      <c r="R216" s="33"/>
      <c r="W216">
        <f>IF($A2="","",COUNTIF('07_Pallet_Contents'!$A$2:$A$3000,$A2))</f>
        <v>0</v>
      </c>
      <c r="X216">
        <f>IF($A2="","",SUMIF('07_Pallet_Contents'!$A$2:$A$3000,$A2,'07_Pallet_Contents'!$D$2:$D$3000))</f>
        <v>0</v>
      </c>
      <c r="Y216">
        <f>IF($A2="","",SUMIF('07_Pallet_Contents'!$A$2:$A$3000,$A2,'07_Pallet_Contents'!$I$2:$I$3000))</f>
        <v>0</v>
      </c>
      <c r="Z216" t="str">
        <f>IF($A2="","",IF(COUNTIF('07_Pallet_Contents'!$A$2:$A$3000,$A2)&gt;0,"Yes",""))</f>
        <v/>
      </c>
    </row>
    <row r="217" spans="1:26">
      <c r="A217" s="4" t="s">
        <v>527</v>
      </c>
      <c r="B217" s="31"/>
      <c r="D217" t="str">
        <f>IF($C217="","",IFERROR(LOOKUP(2,1/('03_Warehouse_Movements'!$C$2:$C$500=$A217),'03_Warehouse_Movements'!$E$2:$E$500),$C217))</f>
        <v/>
      </c>
      <c r="E217" t="s">
        <v>209</v>
      </c>
      <c r="G217" s="34"/>
      <c r="H217" s="33" t="str">
        <f t="shared" si="6"/>
        <v/>
      </c>
      <c r="I217" s="31"/>
      <c r="J217" s="31"/>
      <c r="K217" s="33"/>
      <c r="M217" s="69" t="str">
        <f>IF($C217="","",IFERROR(LOOKUP(2,1/('03_Warehouse_Movements'!$C$2:$C$500=$A217),'03_Warehouse_Movements'!$A$2:$A$500),""))</f>
        <v/>
      </c>
      <c r="N217" t="str">
        <f>IF($C217="","",IFERROR(LOOKUP(2,1/('03_Warehouse_Movements'!$C$2:$C$500=$A217),'03_Warehouse_Movements'!$H$2:$H$500),""))</f>
        <v/>
      </c>
      <c r="O217" t="str">
        <f t="shared" si="7"/>
        <v>PAL-0000217</v>
      </c>
      <c r="Q217" s="34"/>
      <c r="R217" s="33"/>
      <c r="W217">
        <f>IF($A2="","",COUNTIF('07_Pallet_Contents'!$A$2:$A$3000,$A2))</f>
        <v>0</v>
      </c>
      <c r="X217">
        <f>IF($A2="","",SUMIF('07_Pallet_Contents'!$A$2:$A$3000,$A2,'07_Pallet_Contents'!$D$2:$D$3000))</f>
        <v>0</v>
      </c>
      <c r="Y217">
        <f>IF($A2="","",SUMIF('07_Pallet_Contents'!$A$2:$A$3000,$A2,'07_Pallet_Contents'!$I$2:$I$3000))</f>
        <v>0</v>
      </c>
      <c r="Z217" t="str">
        <f>IF($A2="","",IF(COUNTIF('07_Pallet_Contents'!$A$2:$A$3000,$A2)&gt;0,"Yes",""))</f>
        <v/>
      </c>
    </row>
    <row r="218" spans="1:26">
      <c r="A218" s="4" t="s">
        <v>528</v>
      </c>
      <c r="B218" s="31"/>
      <c r="D218" t="str">
        <f>IF($C218="","",IFERROR(LOOKUP(2,1/('03_Warehouse_Movements'!$C$2:$C$500=$A218),'03_Warehouse_Movements'!$E$2:$E$500),$C218))</f>
        <v/>
      </c>
      <c r="E218" t="s">
        <v>209</v>
      </c>
      <c r="G218" s="34"/>
      <c r="H218" s="33" t="str">
        <f t="shared" si="6"/>
        <v/>
      </c>
      <c r="I218" s="31"/>
      <c r="J218" s="31"/>
      <c r="K218" s="33"/>
      <c r="M218" s="69" t="str">
        <f>IF($C218="","",IFERROR(LOOKUP(2,1/('03_Warehouse_Movements'!$C$2:$C$500=$A218),'03_Warehouse_Movements'!$A$2:$A$500),""))</f>
        <v/>
      </c>
      <c r="N218" t="str">
        <f>IF($C218="","",IFERROR(LOOKUP(2,1/('03_Warehouse_Movements'!$C$2:$C$500=$A218),'03_Warehouse_Movements'!$H$2:$H$500),""))</f>
        <v/>
      </c>
      <c r="O218" t="str">
        <f t="shared" si="7"/>
        <v>PAL-0000218</v>
      </c>
      <c r="Q218" s="34"/>
      <c r="R218" s="33"/>
      <c r="W218">
        <f>IF($A2="","",COUNTIF('07_Pallet_Contents'!$A$2:$A$3000,$A2))</f>
        <v>0</v>
      </c>
      <c r="X218">
        <f>IF($A2="","",SUMIF('07_Pallet_Contents'!$A$2:$A$3000,$A2,'07_Pallet_Contents'!$D$2:$D$3000))</f>
        <v>0</v>
      </c>
      <c r="Y218">
        <f>IF($A2="","",SUMIF('07_Pallet_Contents'!$A$2:$A$3000,$A2,'07_Pallet_Contents'!$I$2:$I$3000))</f>
        <v>0</v>
      </c>
      <c r="Z218" t="str">
        <f>IF($A2="","",IF(COUNTIF('07_Pallet_Contents'!$A$2:$A$3000,$A2)&gt;0,"Yes",""))</f>
        <v/>
      </c>
    </row>
    <row r="219" spans="1:26">
      <c r="A219" s="4" t="s">
        <v>529</v>
      </c>
      <c r="B219" s="31"/>
      <c r="D219" t="str">
        <f>IF($C219="","",IFERROR(LOOKUP(2,1/('03_Warehouse_Movements'!$C$2:$C$500=$A219),'03_Warehouse_Movements'!$E$2:$E$500),$C219))</f>
        <v/>
      </c>
      <c r="E219" t="s">
        <v>209</v>
      </c>
      <c r="G219" s="34"/>
      <c r="H219" s="33" t="str">
        <f t="shared" si="6"/>
        <v/>
      </c>
      <c r="I219" s="31"/>
      <c r="J219" s="31"/>
      <c r="K219" s="33"/>
      <c r="M219" s="69" t="str">
        <f>IF($C219="","",IFERROR(LOOKUP(2,1/('03_Warehouse_Movements'!$C$2:$C$500=$A219),'03_Warehouse_Movements'!$A$2:$A$500),""))</f>
        <v/>
      </c>
      <c r="N219" t="str">
        <f>IF($C219="","",IFERROR(LOOKUP(2,1/('03_Warehouse_Movements'!$C$2:$C$500=$A219),'03_Warehouse_Movements'!$H$2:$H$500),""))</f>
        <v/>
      </c>
      <c r="O219" t="str">
        <f t="shared" si="7"/>
        <v>PAL-0000219</v>
      </c>
      <c r="Q219" s="34"/>
      <c r="R219" s="33"/>
      <c r="W219">
        <f>IF($A2="","",COUNTIF('07_Pallet_Contents'!$A$2:$A$3000,$A2))</f>
        <v>0</v>
      </c>
      <c r="X219">
        <f>IF($A2="","",SUMIF('07_Pallet_Contents'!$A$2:$A$3000,$A2,'07_Pallet_Contents'!$D$2:$D$3000))</f>
        <v>0</v>
      </c>
      <c r="Y219">
        <f>IF($A2="","",SUMIF('07_Pallet_Contents'!$A$2:$A$3000,$A2,'07_Pallet_Contents'!$I$2:$I$3000))</f>
        <v>0</v>
      </c>
      <c r="Z219" t="str">
        <f>IF($A2="","",IF(COUNTIF('07_Pallet_Contents'!$A$2:$A$3000,$A2)&gt;0,"Yes",""))</f>
        <v/>
      </c>
    </row>
    <row r="220" spans="1:26">
      <c r="A220" s="4" t="s">
        <v>530</v>
      </c>
      <c r="B220" s="31"/>
      <c r="D220" t="str">
        <f>IF($C220="","",IFERROR(LOOKUP(2,1/('03_Warehouse_Movements'!$C$2:$C$500=$A220),'03_Warehouse_Movements'!$E$2:$E$500),$C220))</f>
        <v/>
      </c>
      <c r="E220" t="s">
        <v>209</v>
      </c>
      <c r="G220" s="34"/>
      <c r="H220" s="33" t="str">
        <f t="shared" si="6"/>
        <v/>
      </c>
      <c r="I220" s="31"/>
      <c r="J220" s="31"/>
      <c r="K220" s="33"/>
      <c r="M220" s="69" t="str">
        <f>IF($C220="","",IFERROR(LOOKUP(2,1/('03_Warehouse_Movements'!$C$2:$C$500=$A220),'03_Warehouse_Movements'!$A$2:$A$500),""))</f>
        <v/>
      </c>
      <c r="N220" t="str">
        <f>IF($C220="","",IFERROR(LOOKUP(2,1/('03_Warehouse_Movements'!$C$2:$C$500=$A220),'03_Warehouse_Movements'!$H$2:$H$500),""))</f>
        <v/>
      </c>
      <c r="O220" t="str">
        <f t="shared" si="7"/>
        <v>PAL-0000220</v>
      </c>
      <c r="Q220" s="34"/>
      <c r="R220" s="33"/>
      <c r="W220">
        <f>IF($A2="","",COUNTIF('07_Pallet_Contents'!$A$2:$A$3000,$A2))</f>
        <v>0</v>
      </c>
      <c r="X220">
        <f>IF($A2="","",SUMIF('07_Pallet_Contents'!$A$2:$A$3000,$A2,'07_Pallet_Contents'!$D$2:$D$3000))</f>
        <v>0</v>
      </c>
      <c r="Y220">
        <f>IF($A2="","",SUMIF('07_Pallet_Contents'!$A$2:$A$3000,$A2,'07_Pallet_Contents'!$I$2:$I$3000))</f>
        <v>0</v>
      </c>
      <c r="Z220" t="str">
        <f>IF($A2="","",IF(COUNTIF('07_Pallet_Contents'!$A$2:$A$3000,$A2)&gt;0,"Yes",""))</f>
        <v/>
      </c>
    </row>
    <row r="221" spans="1:26">
      <c r="A221" s="4" t="s">
        <v>531</v>
      </c>
      <c r="B221" s="31"/>
      <c r="D221" t="str">
        <f>IF($C221="","",IFERROR(LOOKUP(2,1/('03_Warehouse_Movements'!$C$2:$C$500=$A221),'03_Warehouse_Movements'!$E$2:$E$500),$C221))</f>
        <v/>
      </c>
      <c r="E221" t="s">
        <v>209</v>
      </c>
      <c r="G221" s="34"/>
      <c r="H221" s="33" t="str">
        <f t="shared" si="6"/>
        <v/>
      </c>
      <c r="I221" s="31"/>
      <c r="J221" s="31"/>
      <c r="K221" s="33"/>
      <c r="M221" s="69" t="str">
        <f>IF($C221="","",IFERROR(LOOKUP(2,1/('03_Warehouse_Movements'!$C$2:$C$500=$A221),'03_Warehouse_Movements'!$A$2:$A$500),""))</f>
        <v/>
      </c>
      <c r="N221" t="str">
        <f>IF($C221="","",IFERROR(LOOKUP(2,1/('03_Warehouse_Movements'!$C$2:$C$500=$A221),'03_Warehouse_Movements'!$H$2:$H$500),""))</f>
        <v/>
      </c>
      <c r="O221" t="str">
        <f t="shared" si="7"/>
        <v>PAL-0000221</v>
      </c>
      <c r="Q221" s="34"/>
      <c r="R221" s="33"/>
      <c r="W221">
        <f>IF($A2="","",COUNTIF('07_Pallet_Contents'!$A$2:$A$3000,$A2))</f>
        <v>0</v>
      </c>
      <c r="X221">
        <f>IF($A2="","",SUMIF('07_Pallet_Contents'!$A$2:$A$3000,$A2,'07_Pallet_Contents'!$D$2:$D$3000))</f>
        <v>0</v>
      </c>
      <c r="Y221">
        <f>IF($A2="","",SUMIF('07_Pallet_Contents'!$A$2:$A$3000,$A2,'07_Pallet_Contents'!$I$2:$I$3000))</f>
        <v>0</v>
      </c>
      <c r="Z221" t="str">
        <f>IF($A2="","",IF(COUNTIF('07_Pallet_Contents'!$A$2:$A$3000,$A2)&gt;0,"Yes",""))</f>
        <v/>
      </c>
    </row>
    <row r="222" spans="1:26">
      <c r="A222" s="4" t="s">
        <v>532</v>
      </c>
      <c r="B222" s="31"/>
      <c r="D222" t="str">
        <f>IF($C222="","",IFERROR(LOOKUP(2,1/('03_Warehouse_Movements'!$C$2:$C$500=$A222),'03_Warehouse_Movements'!$E$2:$E$500),$C222))</f>
        <v/>
      </c>
      <c r="E222" t="s">
        <v>209</v>
      </c>
      <c r="G222" s="34"/>
      <c r="H222" s="33" t="str">
        <f t="shared" si="6"/>
        <v/>
      </c>
      <c r="I222" s="31"/>
      <c r="J222" s="31"/>
      <c r="K222" s="33"/>
      <c r="M222" s="69" t="str">
        <f>IF($C222="","",IFERROR(LOOKUP(2,1/('03_Warehouse_Movements'!$C$2:$C$500=$A222),'03_Warehouse_Movements'!$A$2:$A$500),""))</f>
        <v/>
      </c>
      <c r="N222" t="str">
        <f>IF($C222="","",IFERROR(LOOKUP(2,1/('03_Warehouse_Movements'!$C$2:$C$500=$A222),'03_Warehouse_Movements'!$H$2:$H$500),""))</f>
        <v/>
      </c>
      <c r="O222" t="str">
        <f t="shared" si="7"/>
        <v>PAL-0000222</v>
      </c>
      <c r="Q222" s="34"/>
      <c r="R222" s="33"/>
      <c r="W222">
        <f>IF($A2="","",COUNTIF('07_Pallet_Contents'!$A$2:$A$3000,$A2))</f>
        <v>0</v>
      </c>
      <c r="X222">
        <f>IF($A2="","",SUMIF('07_Pallet_Contents'!$A$2:$A$3000,$A2,'07_Pallet_Contents'!$D$2:$D$3000))</f>
        <v>0</v>
      </c>
      <c r="Y222">
        <f>IF($A2="","",SUMIF('07_Pallet_Contents'!$A$2:$A$3000,$A2,'07_Pallet_Contents'!$I$2:$I$3000))</f>
        <v>0</v>
      </c>
      <c r="Z222" t="str">
        <f>IF($A2="","",IF(COUNTIF('07_Pallet_Contents'!$A$2:$A$3000,$A2)&gt;0,"Yes",""))</f>
        <v/>
      </c>
    </row>
    <row r="223" spans="1:26">
      <c r="A223" s="4" t="s">
        <v>533</v>
      </c>
      <c r="B223" s="31"/>
      <c r="D223" t="str">
        <f>IF($C223="","",IFERROR(LOOKUP(2,1/('03_Warehouse_Movements'!$C$2:$C$500=$A223),'03_Warehouse_Movements'!$E$2:$E$500),$C223))</f>
        <v/>
      </c>
      <c r="E223" t="s">
        <v>209</v>
      </c>
      <c r="G223" s="34"/>
      <c r="H223" s="33" t="str">
        <f t="shared" si="6"/>
        <v/>
      </c>
      <c r="I223" s="31"/>
      <c r="J223" s="31"/>
      <c r="K223" s="33"/>
      <c r="M223" s="69" t="str">
        <f>IF($C223="","",IFERROR(LOOKUP(2,1/('03_Warehouse_Movements'!$C$2:$C$500=$A223),'03_Warehouse_Movements'!$A$2:$A$500),""))</f>
        <v/>
      </c>
      <c r="N223" t="str">
        <f>IF($C223="","",IFERROR(LOOKUP(2,1/('03_Warehouse_Movements'!$C$2:$C$500=$A223),'03_Warehouse_Movements'!$H$2:$H$500),""))</f>
        <v/>
      </c>
      <c r="O223" t="str">
        <f t="shared" si="7"/>
        <v>PAL-0000223</v>
      </c>
      <c r="Q223" s="34"/>
      <c r="R223" s="33"/>
      <c r="W223">
        <f>IF($A2="","",COUNTIF('07_Pallet_Contents'!$A$2:$A$3000,$A2))</f>
        <v>0</v>
      </c>
      <c r="X223">
        <f>IF($A2="","",SUMIF('07_Pallet_Contents'!$A$2:$A$3000,$A2,'07_Pallet_Contents'!$D$2:$D$3000))</f>
        <v>0</v>
      </c>
      <c r="Y223">
        <f>IF($A2="","",SUMIF('07_Pallet_Contents'!$A$2:$A$3000,$A2,'07_Pallet_Contents'!$I$2:$I$3000))</f>
        <v>0</v>
      </c>
      <c r="Z223" t="str">
        <f>IF($A2="","",IF(COUNTIF('07_Pallet_Contents'!$A$2:$A$3000,$A2)&gt;0,"Yes",""))</f>
        <v/>
      </c>
    </row>
    <row r="224" spans="1:26">
      <c r="A224" s="4" t="s">
        <v>534</v>
      </c>
      <c r="B224" s="31"/>
      <c r="D224" t="str">
        <f>IF($C224="","",IFERROR(LOOKUP(2,1/('03_Warehouse_Movements'!$C$2:$C$500=$A224),'03_Warehouse_Movements'!$E$2:$E$500),$C224))</f>
        <v/>
      </c>
      <c r="E224" t="s">
        <v>209</v>
      </c>
      <c r="G224" s="34"/>
      <c r="H224" s="33" t="str">
        <f t="shared" si="6"/>
        <v/>
      </c>
      <c r="I224" s="31"/>
      <c r="J224" s="31"/>
      <c r="K224" s="33"/>
      <c r="M224" s="69" t="str">
        <f>IF($C224="","",IFERROR(LOOKUP(2,1/('03_Warehouse_Movements'!$C$2:$C$500=$A224),'03_Warehouse_Movements'!$A$2:$A$500),""))</f>
        <v/>
      </c>
      <c r="N224" t="str">
        <f>IF($C224="","",IFERROR(LOOKUP(2,1/('03_Warehouse_Movements'!$C$2:$C$500=$A224),'03_Warehouse_Movements'!$H$2:$H$500),""))</f>
        <v/>
      </c>
      <c r="O224" t="str">
        <f t="shared" si="7"/>
        <v>PAL-0000224</v>
      </c>
      <c r="Q224" s="34"/>
      <c r="R224" s="33"/>
      <c r="W224">
        <f>IF($A2="","",COUNTIF('07_Pallet_Contents'!$A$2:$A$3000,$A2))</f>
        <v>0</v>
      </c>
      <c r="X224">
        <f>IF($A2="","",SUMIF('07_Pallet_Contents'!$A$2:$A$3000,$A2,'07_Pallet_Contents'!$D$2:$D$3000))</f>
        <v>0</v>
      </c>
      <c r="Y224">
        <f>IF($A2="","",SUMIF('07_Pallet_Contents'!$A$2:$A$3000,$A2,'07_Pallet_Contents'!$I$2:$I$3000))</f>
        <v>0</v>
      </c>
      <c r="Z224" t="str">
        <f>IF($A2="","",IF(COUNTIF('07_Pallet_Contents'!$A$2:$A$3000,$A2)&gt;0,"Yes",""))</f>
        <v/>
      </c>
    </row>
    <row r="225" spans="1:26">
      <c r="A225" s="4" t="s">
        <v>535</v>
      </c>
      <c r="B225" s="31"/>
      <c r="D225" t="str">
        <f>IF($C225="","",IFERROR(LOOKUP(2,1/('03_Warehouse_Movements'!$C$2:$C$500=$A225),'03_Warehouse_Movements'!$E$2:$E$500),$C225))</f>
        <v/>
      </c>
      <c r="E225" t="s">
        <v>209</v>
      </c>
      <c r="G225" s="34"/>
      <c r="H225" s="33" t="str">
        <f t="shared" si="6"/>
        <v/>
      </c>
      <c r="I225" s="31"/>
      <c r="J225" s="31"/>
      <c r="K225" s="33"/>
      <c r="M225" s="69" t="str">
        <f>IF($C225="","",IFERROR(LOOKUP(2,1/('03_Warehouse_Movements'!$C$2:$C$500=$A225),'03_Warehouse_Movements'!$A$2:$A$500),""))</f>
        <v/>
      </c>
      <c r="N225" t="str">
        <f>IF($C225="","",IFERROR(LOOKUP(2,1/('03_Warehouse_Movements'!$C$2:$C$500=$A225),'03_Warehouse_Movements'!$H$2:$H$500),""))</f>
        <v/>
      </c>
      <c r="O225" t="str">
        <f t="shared" si="7"/>
        <v>PAL-0000225</v>
      </c>
      <c r="Q225" s="34"/>
      <c r="R225" s="33"/>
      <c r="W225">
        <f>IF($A2="","",COUNTIF('07_Pallet_Contents'!$A$2:$A$3000,$A2))</f>
        <v>0</v>
      </c>
      <c r="X225">
        <f>IF($A2="","",SUMIF('07_Pallet_Contents'!$A$2:$A$3000,$A2,'07_Pallet_Contents'!$D$2:$D$3000))</f>
        <v>0</v>
      </c>
      <c r="Y225">
        <f>IF($A2="","",SUMIF('07_Pallet_Contents'!$A$2:$A$3000,$A2,'07_Pallet_Contents'!$I$2:$I$3000))</f>
        <v>0</v>
      </c>
      <c r="Z225" t="str">
        <f>IF($A2="","",IF(COUNTIF('07_Pallet_Contents'!$A$2:$A$3000,$A2)&gt;0,"Yes",""))</f>
        <v/>
      </c>
    </row>
    <row r="226" spans="1:26">
      <c r="A226" s="4" t="s">
        <v>536</v>
      </c>
      <c r="B226" s="31"/>
      <c r="D226" t="str">
        <f>IF($C226="","",IFERROR(LOOKUP(2,1/('03_Warehouse_Movements'!$C$2:$C$500=$A226),'03_Warehouse_Movements'!$E$2:$E$500),$C226))</f>
        <v/>
      </c>
      <c r="E226" t="s">
        <v>209</v>
      </c>
      <c r="G226" s="34"/>
      <c r="H226" s="33" t="str">
        <f t="shared" si="6"/>
        <v/>
      </c>
      <c r="I226" s="31"/>
      <c r="J226" s="31"/>
      <c r="K226" s="33"/>
      <c r="M226" s="69" t="str">
        <f>IF($C226="","",IFERROR(LOOKUP(2,1/('03_Warehouse_Movements'!$C$2:$C$500=$A226),'03_Warehouse_Movements'!$A$2:$A$500),""))</f>
        <v/>
      </c>
      <c r="N226" t="str">
        <f>IF($C226="","",IFERROR(LOOKUP(2,1/('03_Warehouse_Movements'!$C$2:$C$500=$A226),'03_Warehouse_Movements'!$H$2:$H$500),""))</f>
        <v/>
      </c>
      <c r="O226" t="str">
        <f t="shared" si="7"/>
        <v>PAL-0000226</v>
      </c>
      <c r="Q226" s="34"/>
      <c r="R226" s="33"/>
      <c r="W226">
        <f>IF($A2="","",COUNTIF('07_Pallet_Contents'!$A$2:$A$3000,$A2))</f>
        <v>0</v>
      </c>
      <c r="X226">
        <f>IF($A2="","",SUMIF('07_Pallet_Contents'!$A$2:$A$3000,$A2,'07_Pallet_Contents'!$D$2:$D$3000))</f>
        <v>0</v>
      </c>
      <c r="Y226">
        <f>IF($A2="","",SUMIF('07_Pallet_Contents'!$A$2:$A$3000,$A2,'07_Pallet_Contents'!$I$2:$I$3000))</f>
        <v>0</v>
      </c>
      <c r="Z226" t="str">
        <f>IF($A2="","",IF(COUNTIF('07_Pallet_Contents'!$A$2:$A$3000,$A2)&gt;0,"Yes",""))</f>
        <v/>
      </c>
    </row>
    <row r="227" spans="1:26">
      <c r="A227" s="4" t="s">
        <v>537</v>
      </c>
      <c r="B227" s="31"/>
      <c r="D227" t="str">
        <f>IF($C227="","",IFERROR(LOOKUP(2,1/('03_Warehouse_Movements'!$C$2:$C$500=$A227),'03_Warehouse_Movements'!$E$2:$E$500),$C227))</f>
        <v/>
      </c>
      <c r="E227" t="s">
        <v>209</v>
      </c>
      <c r="G227" s="34"/>
      <c r="H227" s="33" t="str">
        <f t="shared" si="6"/>
        <v/>
      </c>
      <c r="I227" s="31"/>
      <c r="J227" s="31"/>
      <c r="K227" s="33"/>
      <c r="M227" s="69" t="str">
        <f>IF($C227="","",IFERROR(LOOKUP(2,1/('03_Warehouse_Movements'!$C$2:$C$500=$A227),'03_Warehouse_Movements'!$A$2:$A$500),""))</f>
        <v/>
      </c>
      <c r="N227" t="str">
        <f>IF($C227="","",IFERROR(LOOKUP(2,1/('03_Warehouse_Movements'!$C$2:$C$500=$A227),'03_Warehouse_Movements'!$H$2:$H$500),""))</f>
        <v/>
      </c>
      <c r="O227" t="str">
        <f t="shared" si="7"/>
        <v>PAL-0000227</v>
      </c>
      <c r="Q227" s="34"/>
      <c r="R227" s="33"/>
      <c r="W227">
        <f>IF($A2="","",COUNTIF('07_Pallet_Contents'!$A$2:$A$3000,$A2))</f>
        <v>0</v>
      </c>
      <c r="X227">
        <f>IF($A2="","",SUMIF('07_Pallet_Contents'!$A$2:$A$3000,$A2,'07_Pallet_Contents'!$D$2:$D$3000))</f>
        <v>0</v>
      </c>
      <c r="Y227">
        <f>IF($A2="","",SUMIF('07_Pallet_Contents'!$A$2:$A$3000,$A2,'07_Pallet_Contents'!$I$2:$I$3000))</f>
        <v>0</v>
      </c>
      <c r="Z227" t="str">
        <f>IF($A2="","",IF(COUNTIF('07_Pallet_Contents'!$A$2:$A$3000,$A2)&gt;0,"Yes",""))</f>
        <v/>
      </c>
    </row>
    <row r="228" spans="1:26">
      <c r="A228" s="4" t="s">
        <v>538</v>
      </c>
      <c r="B228" s="31"/>
      <c r="D228" t="str">
        <f>IF($C228="","",IFERROR(LOOKUP(2,1/('03_Warehouse_Movements'!$C$2:$C$500=$A228),'03_Warehouse_Movements'!$E$2:$E$500),$C228))</f>
        <v/>
      </c>
      <c r="E228" t="s">
        <v>209</v>
      </c>
      <c r="G228" s="34"/>
      <c r="H228" s="33" t="str">
        <f t="shared" si="6"/>
        <v/>
      </c>
      <c r="I228" s="31"/>
      <c r="J228" s="31"/>
      <c r="K228" s="33"/>
      <c r="M228" s="69" t="str">
        <f>IF($C228="","",IFERROR(LOOKUP(2,1/('03_Warehouse_Movements'!$C$2:$C$500=$A228),'03_Warehouse_Movements'!$A$2:$A$500),""))</f>
        <v/>
      </c>
      <c r="N228" t="str">
        <f>IF($C228="","",IFERROR(LOOKUP(2,1/('03_Warehouse_Movements'!$C$2:$C$500=$A228),'03_Warehouse_Movements'!$H$2:$H$500),""))</f>
        <v/>
      </c>
      <c r="O228" t="str">
        <f t="shared" si="7"/>
        <v>PAL-0000228</v>
      </c>
      <c r="Q228" s="34"/>
      <c r="R228" s="33"/>
      <c r="W228">
        <f>IF($A2="","",COUNTIF('07_Pallet_Contents'!$A$2:$A$3000,$A2))</f>
        <v>0</v>
      </c>
      <c r="X228">
        <f>IF($A2="","",SUMIF('07_Pallet_Contents'!$A$2:$A$3000,$A2,'07_Pallet_Contents'!$D$2:$D$3000))</f>
        <v>0</v>
      </c>
      <c r="Y228">
        <f>IF($A2="","",SUMIF('07_Pallet_Contents'!$A$2:$A$3000,$A2,'07_Pallet_Contents'!$I$2:$I$3000))</f>
        <v>0</v>
      </c>
      <c r="Z228" t="str">
        <f>IF($A2="","",IF(COUNTIF('07_Pallet_Contents'!$A$2:$A$3000,$A2)&gt;0,"Yes",""))</f>
        <v/>
      </c>
    </row>
    <row r="229" spans="1:26">
      <c r="A229" s="4" t="s">
        <v>539</v>
      </c>
      <c r="B229" s="31"/>
      <c r="D229" t="str">
        <f>IF($C229="","",IFERROR(LOOKUP(2,1/('03_Warehouse_Movements'!$C$2:$C$500=$A229),'03_Warehouse_Movements'!$E$2:$E$500),$C229))</f>
        <v/>
      </c>
      <c r="E229" t="s">
        <v>209</v>
      </c>
      <c r="G229" s="34"/>
      <c r="H229" s="33" t="str">
        <f t="shared" si="6"/>
        <v/>
      </c>
      <c r="I229" s="31"/>
      <c r="J229" s="31"/>
      <c r="K229" s="33"/>
      <c r="M229" s="69" t="str">
        <f>IF($C229="","",IFERROR(LOOKUP(2,1/('03_Warehouse_Movements'!$C$2:$C$500=$A229),'03_Warehouse_Movements'!$A$2:$A$500),""))</f>
        <v/>
      </c>
      <c r="N229" t="str">
        <f>IF($C229="","",IFERROR(LOOKUP(2,1/('03_Warehouse_Movements'!$C$2:$C$500=$A229),'03_Warehouse_Movements'!$H$2:$H$500),""))</f>
        <v/>
      </c>
      <c r="O229" t="str">
        <f t="shared" si="7"/>
        <v>PAL-0000229</v>
      </c>
      <c r="Q229" s="34"/>
      <c r="R229" s="33"/>
      <c r="W229">
        <f>IF($A2="","",COUNTIF('07_Pallet_Contents'!$A$2:$A$3000,$A2))</f>
        <v>0</v>
      </c>
      <c r="X229">
        <f>IF($A2="","",SUMIF('07_Pallet_Contents'!$A$2:$A$3000,$A2,'07_Pallet_Contents'!$D$2:$D$3000))</f>
        <v>0</v>
      </c>
      <c r="Y229">
        <f>IF($A2="","",SUMIF('07_Pallet_Contents'!$A$2:$A$3000,$A2,'07_Pallet_Contents'!$I$2:$I$3000))</f>
        <v>0</v>
      </c>
      <c r="Z229" t="str">
        <f>IF($A2="","",IF(COUNTIF('07_Pallet_Contents'!$A$2:$A$3000,$A2)&gt;0,"Yes",""))</f>
        <v/>
      </c>
    </row>
    <row r="230" spans="1:26">
      <c r="A230" s="4" t="s">
        <v>540</v>
      </c>
      <c r="B230" s="31"/>
      <c r="D230" t="str">
        <f>IF($C230="","",IFERROR(LOOKUP(2,1/('03_Warehouse_Movements'!$C$2:$C$500=$A230),'03_Warehouse_Movements'!$E$2:$E$500),$C230))</f>
        <v/>
      </c>
      <c r="E230" t="s">
        <v>209</v>
      </c>
      <c r="G230" s="34"/>
      <c r="H230" s="33" t="str">
        <f t="shared" si="6"/>
        <v/>
      </c>
      <c r="I230" s="31"/>
      <c r="J230" s="31"/>
      <c r="K230" s="33"/>
      <c r="M230" s="69" t="str">
        <f>IF($C230="","",IFERROR(LOOKUP(2,1/('03_Warehouse_Movements'!$C$2:$C$500=$A230),'03_Warehouse_Movements'!$A$2:$A$500),""))</f>
        <v/>
      </c>
      <c r="N230" t="str">
        <f>IF($C230="","",IFERROR(LOOKUP(2,1/('03_Warehouse_Movements'!$C$2:$C$500=$A230),'03_Warehouse_Movements'!$H$2:$H$500),""))</f>
        <v/>
      </c>
      <c r="O230" t="str">
        <f t="shared" si="7"/>
        <v>PAL-0000230</v>
      </c>
      <c r="Q230" s="34"/>
      <c r="R230" s="33"/>
      <c r="W230">
        <f>IF($A2="","",COUNTIF('07_Pallet_Contents'!$A$2:$A$3000,$A2))</f>
        <v>0</v>
      </c>
      <c r="X230">
        <f>IF($A2="","",SUMIF('07_Pallet_Contents'!$A$2:$A$3000,$A2,'07_Pallet_Contents'!$D$2:$D$3000))</f>
        <v>0</v>
      </c>
      <c r="Y230">
        <f>IF($A2="","",SUMIF('07_Pallet_Contents'!$A$2:$A$3000,$A2,'07_Pallet_Contents'!$I$2:$I$3000))</f>
        <v>0</v>
      </c>
      <c r="Z230" t="str">
        <f>IF($A2="","",IF(COUNTIF('07_Pallet_Contents'!$A$2:$A$3000,$A2)&gt;0,"Yes",""))</f>
        <v/>
      </c>
    </row>
    <row r="231" spans="1:26">
      <c r="A231" s="4" t="s">
        <v>541</v>
      </c>
      <c r="B231" s="31"/>
      <c r="D231" t="str">
        <f>IF($C231="","",IFERROR(LOOKUP(2,1/('03_Warehouse_Movements'!$C$2:$C$500=$A231),'03_Warehouse_Movements'!$E$2:$E$500),$C231))</f>
        <v/>
      </c>
      <c r="E231" t="s">
        <v>209</v>
      </c>
      <c r="G231" s="34"/>
      <c r="H231" s="33" t="str">
        <f t="shared" si="6"/>
        <v/>
      </c>
      <c r="I231" s="31"/>
      <c r="J231" s="31"/>
      <c r="K231" s="33"/>
      <c r="M231" s="69" t="str">
        <f>IF($C231="","",IFERROR(LOOKUP(2,1/('03_Warehouse_Movements'!$C$2:$C$500=$A231),'03_Warehouse_Movements'!$A$2:$A$500),""))</f>
        <v/>
      </c>
      <c r="N231" t="str">
        <f>IF($C231="","",IFERROR(LOOKUP(2,1/('03_Warehouse_Movements'!$C$2:$C$500=$A231),'03_Warehouse_Movements'!$H$2:$H$500),""))</f>
        <v/>
      </c>
      <c r="O231" t="str">
        <f t="shared" si="7"/>
        <v>PAL-0000231</v>
      </c>
      <c r="Q231" s="34"/>
      <c r="R231" s="33"/>
      <c r="W231">
        <f>IF($A2="","",COUNTIF('07_Pallet_Contents'!$A$2:$A$3000,$A2))</f>
        <v>0</v>
      </c>
      <c r="X231">
        <f>IF($A2="","",SUMIF('07_Pallet_Contents'!$A$2:$A$3000,$A2,'07_Pallet_Contents'!$D$2:$D$3000))</f>
        <v>0</v>
      </c>
      <c r="Y231">
        <f>IF($A2="","",SUMIF('07_Pallet_Contents'!$A$2:$A$3000,$A2,'07_Pallet_Contents'!$I$2:$I$3000))</f>
        <v>0</v>
      </c>
      <c r="Z231" t="str">
        <f>IF($A2="","",IF(COUNTIF('07_Pallet_Contents'!$A$2:$A$3000,$A2)&gt;0,"Yes",""))</f>
        <v/>
      </c>
    </row>
    <row r="232" spans="1:26">
      <c r="A232" s="4" t="s">
        <v>542</v>
      </c>
      <c r="B232" s="31"/>
      <c r="D232" t="str">
        <f>IF($C232="","",IFERROR(LOOKUP(2,1/('03_Warehouse_Movements'!$C$2:$C$500=$A232),'03_Warehouse_Movements'!$E$2:$E$500),$C232))</f>
        <v/>
      </c>
      <c r="E232" t="s">
        <v>209</v>
      </c>
      <c r="G232" s="34"/>
      <c r="H232" s="33" t="str">
        <f t="shared" si="6"/>
        <v/>
      </c>
      <c r="I232" s="31"/>
      <c r="J232" s="31"/>
      <c r="K232" s="33"/>
      <c r="M232" s="69" t="str">
        <f>IF($C232="","",IFERROR(LOOKUP(2,1/('03_Warehouse_Movements'!$C$2:$C$500=$A232),'03_Warehouse_Movements'!$A$2:$A$500),""))</f>
        <v/>
      </c>
      <c r="N232" t="str">
        <f>IF($C232="","",IFERROR(LOOKUP(2,1/('03_Warehouse_Movements'!$C$2:$C$500=$A232),'03_Warehouse_Movements'!$H$2:$H$500),""))</f>
        <v/>
      </c>
      <c r="O232" t="str">
        <f t="shared" si="7"/>
        <v>PAL-0000232</v>
      </c>
      <c r="Q232" s="34"/>
      <c r="R232" s="33"/>
      <c r="W232">
        <f>IF($A2="","",COUNTIF('07_Pallet_Contents'!$A$2:$A$3000,$A2))</f>
        <v>0</v>
      </c>
      <c r="X232">
        <f>IF($A2="","",SUMIF('07_Pallet_Contents'!$A$2:$A$3000,$A2,'07_Pallet_Contents'!$D$2:$D$3000))</f>
        <v>0</v>
      </c>
      <c r="Y232">
        <f>IF($A2="","",SUMIF('07_Pallet_Contents'!$A$2:$A$3000,$A2,'07_Pallet_Contents'!$I$2:$I$3000))</f>
        <v>0</v>
      </c>
      <c r="Z232" t="str">
        <f>IF($A2="","",IF(COUNTIF('07_Pallet_Contents'!$A$2:$A$3000,$A2)&gt;0,"Yes",""))</f>
        <v/>
      </c>
    </row>
    <row r="233" spans="1:26">
      <c r="A233" s="4" t="s">
        <v>543</v>
      </c>
      <c r="B233" s="31"/>
      <c r="D233" t="str">
        <f>IF($C233="","",IFERROR(LOOKUP(2,1/('03_Warehouse_Movements'!$C$2:$C$500=$A233),'03_Warehouse_Movements'!$E$2:$E$500),$C233))</f>
        <v/>
      </c>
      <c r="E233" t="s">
        <v>209</v>
      </c>
      <c r="G233" s="34"/>
      <c r="H233" s="33" t="str">
        <f t="shared" si="6"/>
        <v/>
      </c>
      <c r="I233" s="31"/>
      <c r="J233" s="31"/>
      <c r="K233" s="33"/>
      <c r="M233" s="69" t="str">
        <f>IF($C233="","",IFERROR(LOOKUP(2,1/('03_Warehouse_Movements'!$C$2:$C$500=$A233),'03_Warehouse_Movements'!$A$2:$A$500),""))</f>
        <v/>
      </c>
      <c r="N233" t="str">
        <f>IF($C233="","",IFERROR(LOOKUP(2,1/('03_Warehouse_Movements'!$C$2:$C$500=$A233),'03_Warehouse_Movements'!$H$2:$H$500),""))</f>
        <v/>
      </c>
      <c r="O233" t="str">
        <f t="shared" si="7"/>
        <v>PAL-0000233</v>
      </c>
      <c r="Q233" s="34"/>
      <c r="R233" s="33"/>
      <c r="W233">
        <f>IF($A2="","",COUNTIF('07_Pallet_Contents'!$A$2:$A$3000,$A2))</f>
        <v>0</v>
      </c>
      <c r="X233">
        <f>IF($A2="","",SUMIF('07_Pallet_Contents'!$A$2:$A$3000,$A2,'07_Pallet_Contents'!$D$2:$D$3000))</f>
        <v>0</v>
      </c>
      <c r="Y233">
        <f>IF($A2="","",SUMIF('07_Pallet_Contents'!$A$2:$A$3000,$A2,'07_Pallet_Contents'!$I$2:$I$3000))</f>
        <v>0</v>
      </c>
      <c r="Z233" t="str">
        <f>IF($A2="","",IF(COUNTIF('07_Pallet_Contents'!$A$2:$A$3000,$A2)&gt;0,"Yes",""))</f>
        <v/>
      </c>
    </row>
    <row r="234" spans="1:26">
      <c r="A234" s="4" t="s">
        <v>544</v>
      </c>
      <c r="B234" s="31"/>
      <c r="D234" t="str">
        <f>IF($C234="","",IFERROR(LOOKUP(2,1/('03_Warehouse_Movements'!$C$2:$C$500=$A234),'03_Warehouse_Movements'!$E$2:$E$500),$C234))</f>
        <v/>
      </c>
      <c r="E234" t="s">
        <v>209</v>
      </c>
      <c r="G234" s="34"/>
      <c r="H234" s="33" t="str">
        <f t="shared" si="6"/>
        <v/>
      </c>
      <c r="I234" s="31"/>
      <c r="J234" s="31"/>
      <c r="K234" s="33"/>
      <c r="M234" s="69" t="str">
        <f>IF($C234="","",IFERROR(LOOKUP(2,1/('03_Warehouse_Movements'!$C$2:$C$500=$A234),'03_Warehouse_Movements'!$A$2:$A$500),""))</f>
        <v/>
      </c>
      <c r="N234" t="str">
        <f>IF($C234="","",IFERROR(LOOKUP(2,1/('03_Warehouse_Movements'!$C$2:$C$500=$A234),'03_Warehouse_Movements'!$H$2:$H$500),""))</f>
        <v/>
      </c>
      <c r="O234" t="str">
        <f t="shared" si="7"/>
        <v>PAL-0000234</v>
      </c>
      <c r="Q234" s="34"/>
      <c r="R234" s="33"/>
      <c r="W234">
        <f>IF($A2="","",COUNTIF('07_Pallet_Contents'!$A$2:$A$3000,$A2))</f>
        <v>0</v>
      </c>
      <c r="X234">
        <f>IF($A2="","",SUMIF('07_Pallet_Contents'!$A$2:$A$3000,$A2,'07_Pallet_Contents'!$D$2:$D$3000))</f>
        <v>0</v>
      </c>
      <c r="Y234">
        <f>IF($A2="","",SUMIF('07_Pallet_Contents'!$A$2:$A$3000,$A2,'07_Pallet_Contents'!$I$2:$I$3000))</f>
        <v>0</v>
      </c>
      <c r="Z234" t="str">
        <f>IF($A2="","",IF(COUNTIF('07_Pallet_Contents'!$A$2:$A$3000,$A2)&gt;0,"Yes",""))</f>
        <v/>
      </c>
    </row>
    <row r="235" spans="1:26">
      <c r="A235" s="4" t="s">
        <v>545</v>
      </c>
      <c r="B235" s="31"/>
      <c r="D235" t="str">
        <f>IF($C235="","",IFERROR(LOOKUP(2,1/('03_Warehouse_Movements'!$C$2:$C$500=$A235),'03_Warehouse_Movements'!$E$2:$E$500),$C235))</f>
        <v/>
      </c>
      <c r="E235" t="s">
        <v>209</v>
      </c>
      <c r="G235" s="34"/>
      <c r="H235" s="33" t="str">
        <f t="shared" si="6"/>
        <v/>
      </c>
      <c r="I235" s="31"/>
      <c r="J235" s="31"/>
      <c r="K235" s="33"/>
      <c r="M235" s="69" t="str">
        <f>IF($C235="","",IFERROR(LOOKUP(2,1/('03_Warehouse_Movements'!$C$2:$C$500=$A235),'03_Warehouse_Movements'!$A$2:$A$500),""))</f>
        <v/>
      </c>
      <c r="N235" t="str">
        <f>IF($C235="","",IFERROR(LOOKUP(2,1/('03_Warehouse_Movements'!$C$2:$C$500=$A235),'03_Warehouse_Movements'!$H$2:$H$500),""))</f>
        <v/>
      </c>
      <c r="O235" t="str">
        <f t="shared" si="7"/>
        <v>PAL-0000235</v>
      </c>
      <c r="Q235" s="34"/>
      <c r="R235" s="33"/>
      <c r="W235">
        <f>IF($A2="","",COUNTIF('07_Pallet_Contents'!$A$2:$A$3000,$A2))</f>
        <v>0</v>
      </c>
      <c r="X235">
        <f>IF($A2="","",SUMIF('07_Pallet_Contents'!$A$2:$A$3000,$A2,'07_Pallet_Contents'!$D$2:$D$3000))</f>
        <v>0</v>
      </c>
      <c r="Y235">
        <f>IF($A2="","",SUMIF('07_Pallet_Contents'!$A$2:$A$3000,$A2,'07_Pallet_Contents'!$I$2:$I$3000))</f>
        <v>0</v>
      </c>
      <c r="Z235" t="str">
        <f>IF($A2="","",IF(COUNTIF('07_Pallet_Contents'!$A$2:$A$3000,$A2)&gt;0,"Yes",""))</f>
        <v/>
      </c>
    </row>
    <row r="236" spans="1:26">
      <c r="A236" s="4" t="s">
        <v>546</v>
      </c>
      <c r="B236" s="31"/>
      <c r="D236" t="str">
        <f>IF($C236="","",IFERROR(LOOKUP(2,1/('03_Warehouse_Movements'!$C$2:$C$500=$A236),'03_Warehouse_Movements'!$E$2:$E$500),$C236))</f>
        <v/>
      </c>
      <c r="E236" t="s">
        <v>209</v>
      </c>
      <c r="G236" s="34"/>
      <c r="H236" s="33" t="str">
        <f t="shared" si="6"/>
        <v/>
      </c>
      <c r="I236" s="31"/>
      <c r="J236" s="31"/>
      <c r="K236" s="33"/>
      <c r="M236" s="69" t="str">
        <f>IF($C236="","",IFERROR(LOOKUP(2,1/('03_Warehouse_Movements'!$C$2:$C$500=$A236),'03_Warehouse_Movements'!$A$2:$A$500),""))</f>
        <v/>
      </c>
      <c r="N236" t="str">
        <f>IF($C236="","",IFERROR(LOOKUP(2,1/('03_Warehouse_Movements'!$C$2:$C$500=$A236),'03_Warehouse_Movements'!$H$2:$H$500),""))</f>
        <v/>
      </c>
      <c r="O236" t="str">
        <f t="shared" si="7"/>
        <v>PAL-0000236</v>
      </c>
      <c r="Q236" s="34"/>
      <c r="R236" s="33"/>
      <c r="W236">
        <f>IF($A2="","",COUNTIF('07_Pallet_Contents'!$A$2:$A$3000,$A2))</f>
        <v>0</v>
      </c>
      <c r="X236">
        <f>IF($A2="","",SUMIF('07_Pallet_Contents'!$A$2:$A$3000,$A2,'07_Pallet_Contents'!$D$2:$D$3000))</f>
        <v>0</v>
      </c>
      <c r="Y236">
        <f>IF($A2="","",SUMIF('07_Pallet_Contents'!$A$2:$A$3000,$A2,'07_Pallet_Contents'!$I$2:$I$3000))</f>
        <v>0</v>
      </c>
      <c r="Z236" t="str">
        <f>IF($A2="","",IF(COUNTIF('07_Pallet_Contents'!$A$2:$A$3000,$A2)&gt;0,"Yes",""))</f>
        <v/>
      </c>
    </row>
    <row r="237" spans="1:26">
      <c r="A237" s="4" t="s">
        <v>547</v>
      </c>
      <c r="B237" s="31"/>
      <c r="D237" t="str">
        <f>IF($C237="","",IFERROR(LOOKUP(2,1/('03_Warehouse_Movements'!$C$2:$C$500=$A237),'03_Warehouse_Movements'!$E$2:$E$500),$C237))</f>
        <v/>
      </c>
      <c r="E237" t="s">
        <v>209</v>
      </c>
      <c r="G237" s="34"/>
      <c r="H237" s="33" t="str">
        <f t="shared" si="6"/>
        <v/>
      </c>
      <c r="I237" s="31"/>
      <c r="J237" s="31"/>
      <c r="K237" s="33"/>
      <c r="M237" s="69" t="str">
        <f>IF($C237="","",IFERROR(LOOKUP(2,1/('03_Warehouse_Movements'!$C$2:$C$500=$A237),'03_Warehouse_Movements'!$A$2:$A$500),""))</f>
        <v/>
      </c>
      <c r="N237" t="str">
        <f>IF($C237="","",IFERROR(LOOKUP(2,1/('03_Warehouse_Movements'!$C$2:$C$500=$A237),'03_Warehouse_Movements'!$H$2:$H$500),""))</f>
        <v/>
      </c>
      <c r="O237" t="str">
        <f t="shared" si="7"/>
        <v>PAL-0000237</v>
      </c>
      <c r="Q237" s="34"/>
      <c r="R237" s="33"/>
      <c r="W237">
        <f>IF($A2="","",COUNTIF('07_Pallet_Contents'!$A$2:$A$3000,$A2))</f>
        <v>0</v>
      </c>
      <c r="X237">
        <f>IF($A2="","",SUMIF('07_Pallet_Contents'!$A$2:$A$3000,$A2,'07_Pallet_Contents'!$D$2:$D$3000))</f>
        <v>0</v>
      </c>
      <c r="Y237">
        <f>IF($A2="","",SUMIF('07_Pallet_Contents'!$A$2:$A$3000,$A2,'07_Pallet_Contents'!$I$2:$I$3000))</f>
        <v>0</v>
      </c>
      <c r="Z237" t="str">
        <f>IF($A2="","",IF(COUNTIF('07_Pallet_Contents'!$A$2:$A$3000,$A2)&gt;0,"Yes",""))</f>
        <v/>
      </c>
    </row>
    <row r="238" spans="1:26">
      <c r="A238" s="4" t="s">
        <v>548</v>
      </c>
      <c r="B238" s="31"/>
      <c r="D238" t="str">
        <f>IF($C238="","",IFERROR(LOOKUP(2,1/('03_Warehouse_Movements'!$C$2:$C$500=$A238),'03_Warehouse_Movements'!$E$2:$E$500),$C238))</f>
        <v/>
      </c>
      <c r="E238" t="s">
        <v>209</v>
      </c>
      <c r="G238" s="34"/>
      <c r="H238" s="33" t="str">
        <f t="shared" si="6"/>
        <v/>
      </c>
      <c r="I238" s="31"/>
      <c r="J238" s="31"/>
      <c r="K238" s="33"/>
      <c r="M238" s="69" t="str">
        <f>IF($C238="","",IFERROR(LOOKUP(2,1/('03_Warehouse_Movements'!$C$2:$C$500=$A238),'03_Warehouse_Movements'!$A$2:$A$500),""))</f>
        <v/>
      </c>
      <c r="N238" t="str">
        <f>IF($C238="","",IFERROR(LOOKUP(2,1/('03_Warehouse_Movements'!$C$2:$C$500=$A238),'03_Warehouse_Movements'!$H$2:$H$500),""))</f>
        <v/>
      </c>
      <c r="O238" t="str">
        <f t="shared" si="7"/>
        <v>PAL-0000238</v>
      </c>
      <c r="Q238" s="34"/>
      <c r="R238" s="33"/>
      <c r="W238">
        <f>IF($A2="","",COUNTIF('07_Pallet_Contents'!$A$2:$A$3000,$A2))</f>
        <v>0</v>
      </c>
      <c r="X238">
        <f>IF($A2="","",SUMIF('07_Pallet_Contents'!$A$2:$A$3000,$A2,'07_Pallet_Contents'!$D$2:$D$3000))</f>
        <v>0</v>
      </c>
      <c r="Y238">
        <f>IF($A2="","",SUMIF('07_Pallet_Contents'!$A$2:$A$3000,$A2,'07_Pallet_Contents'!$I$2:$I$3000))</f>
        <v>0</v>
      </c>
      <c r="Z238" t="str">
        <f>IF($A2="","",IF(COUNTIF('07_Pallet_Contents'!$A$2:$A$3000,$A2)&gt;0,"Yes",""))</f>
        <v/>
      </c>
    </row>
    <row r="239" spans="1:26">
      <c r="A239" s="4" t="s">
        <v>549</v>
      </c>
      <c r="B239" s="31"/>
      <c r="D239" t="str">
        <f>IF($C239="","",IFERROR(LOOKUP(2,1/('03_Warehouse_Movements'!$C$2:$C$500=$A239),'03_Warehouse_Movements'!$E$2:$E$500),$C239))</f>
        <v/>
      </c>
      <c r="E239" t="s">
        <v>209</v>
      </c>
      <c r="G239" s="34"/>
      <c r="H239" s="33" t="str">
        <f t="shared" si="6"/>
        <v/>
      </c>
      <c r="I239" s="31"/>
      <c r="J239" s="31"/>
      <c r="K239" s="33"/>
      <c r="M239" s="69" t="str">
        <f>IF($C239="","",IFERROR(LOOKUP(2,1/('03_Warehouse_Movements'!$C$2:$C$500=$A239),'03_Warehouse_Movements'!$A$2:$A$500),""))</f>
        <v/>
      </c>
      <c r="N239" t="str">
        <f>IF($C239="","",IFERROR(LOOKUP(2,1/('03_Warehouse_Movements'!$C$2:$C$500=$A239),'03_Warehouse_Movements'!$H$2:$H$500),""))</f>
        <v/>
      </c>
      <c r="O239" t="str">
        <f t="shared" si="7"/>
        <v>PAL-0000239</v>
      </c>
      <c r="Q239" s="34"/>
      <c r="R239" s="33"/>
      <c r="W239">
        <f>IF($A2="","",COUNTIF('07_Pallet_Contents'!$A$2:$A$3000,$A2))</f>
        <v>0</v>
      </c>
      <c r="X239">
        <f>IF($A2="","",SUMIF('07_Pallet_Contents'!$A$2:$A$3000,$A2,'07_Pallet_Contents'!$D$2:$D$3000))</f>
        <v>0</v>
      </c>
      <c r="Y239">
        <f>IF($A2="","",SUMIF('07_Pallet_Contents'!$A$2:$A$3000,$A2,'07_Pallet_Contents'!$I$2:$I$3000))</f>
        <v>0</v>
      </c>
      <c r="Z239" t="str">
        <f>IF($A2="","",IF(COUNTIF('07_Pallet_Contents'!$A$2:$A$3000,$A2)&gt;0,"Yes",""))</f>
        <v/>
      </c>
    </row>
    <row r="240" spans="1:26">
      <c r="A240" s="4" t="s">
        <v>550</v>
      </c>
      <c r="B240" s="31"/>
      <c r="D240" t="str">
        <f>IF($C240="","",IFERROR(LOOKUP(2,1/('03_Warehouse_Movements'!$C$2:$C$500=$A240),'03_Warehouse_Movements'!$E$2:$E$500),$C240))</f>
        <v/>
      </c>
      <c r="E240" t="s">
        <v>209</v>
      </c>
      <c r="G240" s="34"/>
      <c r="H240" s="33" t="str">
        <f t="shared" si="6"/>
        <v/>
      </c>
      <c r="I240" s="31"/>
      <c r="J240" s="31"/>
      <c r="K240" s="33"/>
      <c r="M240" s="69" t="str">
        <f>IF($C240="","",IFERROR(LOOKUP(2,1/('03_Warehouse_Movements'!$C$2:$C$500=$A240),'03_Warehouse_Movements'!$A$2:$A$500),""))</f>
        <v/>
      </c>
      <c r="N240" t="str">
        <f>IF($C240="","",IFERROR(LOOKUP(2,1/('03_Warehouse_Movements'!$C$2:$C$500=$A240),'03_Warehouse_Movements'!$H$2:$H$500),""))</f>
        <v/>
      </c>
      <c r="O240" t="str">
        <f t="shared" si="7"/>
        <v>PAL-0000240</v>
      </c>
      <c r="Q240" s="34"/>
      <c r="R240" s="33"/>
      <c r="W240">
        <f>IF($A2="","",COUNTIF('07_Pallet_Contents'!$A$2:$A$3000,$A2))</f>
        <v>0</v>
      </c>
      <c r="X240">
        <f>IF($A2="","",SUMIF('07_Pallet_Contents'!$A$2:$A$3000,$A2,'07_Pallet_Contents'!$D$2:$D$3000))</f>
        <v>0</v>
      </c>
      <c r="Y240">
        <f>IF($A2="","",SUMIF('07_Pallet_Contents'!$A$2:$A$3000,$A2,'07_Pallet_Contents'!$I$2:$I$3000))</f>
        <v>0</v>
      </c>
      <c r="Z240" t="str">
        <f>IF($A2="","",IF(COUNTIF('07_Pallet_Contents'!$A$2:$A$3000,$A2)&gt;0,"Yes",""))</f>
        <v/>
      </c>
    </row>
    <row r="241" spans="1:26">
      <c r="A241" s="4" t="s">
        <v>551</v>
      </c>
      <c r="B241" s="31"/>
      <c r="D241" t="str">
        <f>IF($C241="","",IFERROR(LOOKUP(2,1/('03_Warehouse_Movements'!$C$2:$C$500=$A241),'03_Warehouse_Movements'!$E$2:$E$500),$C241))</f>
        <v/>
      </c>
      <c r="E241" t="s">
        <v>209</v>
      </c>
      <c r="G241" s="34"/>
      <c r="H241" s="33" t="str">
        <f t="shared" si="6"/>
        <v/>
      </c>
      <c r="I241" s="31"/>
      <c r="J241" s="31"/>
      <c r="K241" s="33"/>
      <c r="M241" s="69" t="str">
        <f>IF($C241="","",IFERROR(LOOKUP(2,1/('03_Warehouse_Movements'!$C$2:$C$500=$A241),'03_Warehouse_Movements'!$A$2:$A$500),""))</f>
        <v/>
      </c>
      <c r="N241" t="str">
        <f>IF($C241="","",IFERROR(LOOKUP(2,1/('03_Warehouse_Movements'!$C$2:$C$500=$A241),'03_Warehouse_Movements'!$H$2:$H$500),""))</f>
        <v/>
      </c>
      <c r="O241" t="str">
        <f t="shared" si="7"/>
        <v>PAL-0000241</v>
      </c>
      <c r="Q241" s="34"/>
      <c r="R241" s="33"/>
      <c r="W241">
        <f>IF($A2="","",COUNTIF('07_Pallet_Contents'!$A$2:$A$3000,$A2))</f>
        <v>0</v>
      </c>
      <c r="X241">
        <f>IF($A2="","",SUMIF('07_Pallet_Contents'!$A$2:$A$3000,$A2,'07_Pallet_Contents'!$D$2:$D$3000))</f>
        <v>0</v>
      </c>
      <c r="Y241">
        <f>IF($A2="","",SUMIF('07_Pallet_Contents'!$A$2:$A$3000,$A2,'07_Pallet_Contents'!$I$2:$I$3000))</f>
        <v>0</v>
      </c>
      <c r="Z241" t="str">
        <f>IF($A2="","",IF(COUNTIF('07_Pallet_Contents'!$A$2:$A$3000,$A2)&gt;0,"Yes",""))</f>
        <v/>
      </c>
    </row>
    <row r="242" spans="1:26">
      <c r="A242" s="4" t="s">
        <v>552</v>
      </c>
      <c r="B242" s="31"/>
      <c r="D242" t="str">
        <f>IF($C242="","",IFERROR(LOOKUP(2,1/('03_Warehouse_Movements'!$C$2:$C$500=$A242),'03_Warehouse_Movements'!$E$2:$E$500),$C242))</f>
        <v/>
      </c>
      <c r="E242" t="s">
        <v>209</v>
      </c>
      <c r="G242" s="34"/>
      <c r="H242" s="33" t="str">
        <f t="shared" si="6"/>
        <v/>
      </c>
      <c r="I242" s="31"/>
      <c r="J242" s="31"/>
      <c r="K242" s="33"/>
      <c r="M242" s="69" t="str">
        <f>IF($C242="","",IFERROR(LOOKUP(2,1/('03_Warehouse_Movements'!$C$2:$C$500=$A242),'03_Warehouse_Movements'!$A$2:$A$500),""))</f>
        <v/>
      </c>
      <c r="N242" t="str">
        <f>IF($C242="","",IFERROR(LOOKUP(2,1/('03_Warehouse_Movements'!$C$2:$C$500=$A242),'03_Warehouse_Movements'!$H$2:$H$500),""))</f>
        <v/>
      </c>
      <c r="O242" t="str">
        <f t="shared" si="7"/>
        <v>PAL-0000242</v>
      </c>
      <c r="Q242" s="34"/>
      <c r="R242" s="33"/>
      <c r="W242">
        <f>IF($A2="","",COUNTIF('07_Pallet_Contents'!$A$2:$A$3000,$A2))</f>
        <v>0</v>
      </c>
      <c r="X242">
        <f>IF($A2="","",SUMIF('07_Pallet_Contents'!$A$2:$A$3000,$A2,'07_Pallet_Contents'!$D$2:$D$3000))</f>
        <v>0</v>
      </c>
      <c r="Y242">
        <f>IF($A2="","",SUMIF('07_Pallet_Contents'!$A$2:$A$3000,$A2,'07_Pallet_Contents'!$I$2:$I$3000))</f>
        <v>0</v>
      </c>
      <c r="Z242" t="str">
        <f>IF($A2="","",IF(COUNTIF('07_Pallet_Contents'!$A$2:$A$3000,$A2)&gt;0,"Yes",""))</f>
        <v/>
      </c>
    </row>
    <row r="243" spans="1:26">
      <c r="A243" s="4" t="s">
        <v>553</v>
      </c>
      <c r="B243" s="31"/>
      <c r="D243" t="str">
        <f>IF($C243="","",IFERROR(LOOKUP(2,1/('03_Warehouse_Movements'!$C$2:$C$500=$A243),'03_Warehouse_Movements'!$E$2:$E$500),$C243))</f>
        <v/>
      </c>
      <c r="E243" t="s">
        <v>209</v>
      </c>
      <c r="G243" s="34"/>
      <c r="H243" s="33" t="str">
        <f t="shared" si="6"/>
        <v/>
      </c>
      <c r="I243" s="31"/>
      <c r="J243" s="31"/>
      <c r="K243" s="33"/>
      <c r="M243" s="69" t="str">
        <f>IF($C243="","",IFERROR(LOOKUP(2,1/('03_Warehouse_Movements'!$C$2:$C$500=$A243),'03_Warehouse_Movements'!$A$2:$A$500),""))</f>
        <v/>
      </c>
      <c r="N243" t="str">
        <f>IF($C243="","",IFERROR(LOOKUP(2,1/('03_Warehouse_Movements'!$C$2:$C$500=$A243),'03_Warehouse_Movements'!$H$2:$H$500),""))</f>
        <v/>
      </c>
      <c r="O243" t="str">
        <f t="shared" si="7"/>
        <v>PAL-0000243</v>
      </c>
      <c r="Q243" s="34"/>
      <c r="R243" s="33"/>
      <c r="W243">
        <f>IF($A2="","",COUNTIF('07_Pallet_Contents'!$A$2:$A$3000,$A2))</f>
        <v>0</v>
      </c>
      <c r="X243">
        <f>IF($A2="","",SUMIF('07_Pallet_Contents'!$A$2:$A$3000,$A2,'07_Pallet_Contents'!$D$2:$D$3000))</f>
        <v>0</v>
      </c>
      <c r="Y243">
        <f>IF($A2="","",SUMIF('07_Pallet_Contents'!$A$2:$A$3000,$A2,'07_Pallet_Contents'!$I$2:$I$3000))</f>
        <v>0</v>
      </c>
      <c r="Z243" t="str">
        <f>IF($A2="","",IF(COUNTIF('07_Pallet_Contents'!$A$2:$A$3000,$A2)&gt;0,"Yes",""))</f>
        <v/>
      </c>
    </row>
    <row r="244" spans="1:26">
      <c r="A244" s="4" t="s">
        <v>554</v>
      </c>
      <c r="B244" s="31"/>
      <c r="D244" t="str">
        <f>IF($C244="","",IFERROR(LOOKUP(2,1/('03_Warehouse_Movements'!$C$2:$C$500=$A244),'03_Warehouse_Movements'!$E$2:$E$500),$C244))</f>
        <v/>
      </c>
      <c r="E244" t="s">
        <v>209</v>
      </c>
      <c r="G244" s="34"/>
      <c r="H244" s="33" t="str">
        <f t="shared" si="6"/>
        <v/>
      </c>
      <c r="I244" s="31"/>
      <c r="J244" s="31"/>
      <c r="K244" s="33"/>
      <c r="M244" s="69" t="str">
        <f>IF($C244="","",IFERROR(LOOKUP(2,1/('03_Warehouse_Movements'!$C$2:$C$500=$A244),'03_Warehouse_Movements'!$A$2:$A$500),""))</f>
        <v/>
      </c>
      <c r="N244" t="str">
        <f>IF($C244="","",IFERROR(LOOKUP(2,1/('03_Warehouse_Movements'!$C$2:$C$500=$A244),'03_Warehouse_Movements'!$H$2:$H$500),""))</f>
        <v/>
      </c>
      <c r="O244" t="str">
        <f t="shared" si="7"/>
        <v>PAL-0000244</v>
      </c>
      <c r="Q244" s="34"/>
      <c r="R244" s="33"/>
      <c r="W244">
        <f>IF($A2="","",COUNTIF('07_Pallet_Contents'!$A$2:$A$3000,$A2))</f>
        <v>0</v>
      </c>
      <c r="X244">
        <f>IF($A2="","",SUMIF('07_Pallet_Contents'!$A$2:$A$3000,$A2,'07_Pallet_Contents'!$D$2:$D$3000))</f>
        <v>0</v>
      </c>
      <c r="Y244">
        <f>IF($A2="","",SUMIF('07_Pallet_Contents'!$A$2:$A$3000,$A2,'07_Pallet_Contents'!$I$2:$I$3000))</f>
        <v>0</v>
      </c>
      <c r="Z244" t="str">
        <f>IF($A2="","",IF(COUNTIF('07_Pallet_Contents'!$A$2:$A$3000,$A2)&gt;0,"Yes",""))</f>
        <v/>
      </c>
    </row>
    <row r="245" spans="1:26">
      <c r="A245" s="4" t="s">
        <v>555</v>
      </c>
      <c r="B245" s="31"/>
      <c r="D245" t="str">
        <f>IF($C245="","",IFERROR(LOOKUP(2,1/('03_Warehouse_Movements'!$C$2:$C$500=$A245),'03_Warehouse_Movements'!$E$2:$E$500),$C245))</f>
        <v/>
      </c>
      <c r="E245" t="s">
        <v>209</v>
      </c>
      <c r="G245" s="34"/>
      <c r="H245" s="33" t="str">
        <f t="shared" si="6"/>
        <v/>
      </c>
      <c r="I245" s="31"/>
      <c r="J245" s="31"/>
      <c r="K245" s="33"/>
      <c r="M245" s="69" t="str">
        <f>IF($C245="","",IFERROR(LOOKUP(2,1/('03_Warehouse_Movements'!$C$2:$C$500=$A245),'03_Warehouse_Movements'!$A$2:$A$500),""))</f>
        <v/>
      </c>
      <c r="N245" t="str">
        <f>IF($C245="","",IFERROR(LOOKUP(2,1/('03_Warehouse_Movements'!$C$2:$C$500=$A245),'03_Warehouse_Movements'!$H$2:$H$500),""))</f>
        <v/>
      </c>
      <c r="O245" t="str">
        <f t="shared" si="7"/>
        <v>PAL-0000245</v>
      </c>
      <c r="Q245" s="34"/>
      <c r="R245" s="33"/>
      <c r="W245">
        <f>IF($A2="","",COUNTIF('07_Pallet_Contents'!$A$2:$A$3000,$A2))</f>
        <v>0</v>
      </c>
      <c r="X245">
        <f>IF($A2="","",SUMIF('07_Pallet_Contents'!$A$2:$A$3000,$A2,'07_Pallet_Contents'!$D$2:$D$3000))</f>
        <v>0</v>
      </c>
      <c r="Y245">
        <f>IF($A2="","",SUMIF('07_Pallet_Contents'!$A$2:$A$3000,$A2,'07_Pallet_Contents'!$I$2:$I$3000))</f>
        <v>0</v>
      </c>
      <c r="Z245" t="str">
        <f>IF($A2="","",IF(COUNTIF('07_Pallet_Contents'!$A$2:$A$3000,$A2)&gt;0,"Yes",""))</f>
        <v/>
      </c>
    </row>
    <row r="246" spans="1:26">
      <c r="A246" s="4" t="s">
        <v>556</v>
      </c>
      <c r="B246" s="31"/>
      <c r="D246" t="str">
        <f>IF($C246="","",IFERROR(LOOKUP(2,1/('03_Warehouse_Movements'!$C$2:$C$500=$A246),'03_Warehouse_Movements'!$E$2:$E$500),$C246))</f>
        <v/>
      </c>
      <c r="E246" t="s">
        <v>209</v>
      </c>
      <c r="G246" s="34"/>
      <c r="H246" s="33" t="str">
        <f t="shared" si="6"/>
        <v/>
      </c>
      <c r="I246" s="31"/>
      <c r="J246" s="31"/>
      <c r="K246" s="33"/>
      <c r="M246" s="69" t="str">
        <f>IF($C246="","",IFERROR(LOOKUP(2,1/('03_Warehouse_Movements'!$C$2:$C$500=$A246),'03_Warehouse_Movements'!$A$2:$A$500),""))</f>
        <v/>
      </c>
      <c r="N246" t="str">
        <f>IF($C246="","",IFERROR(LOOKUP(2,1/('03_Warehouse_Movements'!$C$2:$C$500=$A246),'03_Warehouse_Movements'!$H$2:$H$500),""))</f>
        <v/>
      </c>
      <c r="O246" t="str">
        <f t="shared" si="7"/>
        <v>PAL-0000246</v>
      </c>
      <c r="Q246" s="34"/>
      <c r="R246" s="33"/>
      <c r="W246">
        <f>IF($A2="","",COUNTIF('07_Pallet_Contents'!$A$2:$A$3000,$A2))</f>
        <v>0</v>
      </c>
      <c r="X246">
        <f>IF($A2="","",SUMIF('07_Pallet_Contents'!$A$2:$A$3000,$A2,'07_Pallet_Contents'!$D$2:$D$3000))</f>
        <v>0</v>
      </c>
      <c r="Y246">
        <f>IF($A2="","",SUMIF('07_Pallet_Contents'!$A$2:$A$3000,$A2,'07_Pallet_Contents'!$I$2:$I$3000))</f>
        <v>0</v>
      </c>
      <c r="Z246" t="str">
        <f>IF($A2="","",IF(COUNTIF('07_Pallet_Contents'!$A$2:$A$3000,$A2)&gt;0,"Yes",""))</f>
        <v/>
      </c>
    </row>
    <row r="247" spans="1:26">
      <c r="A247" s="4" t="s">
        <v>557</v>
      </c>
      <c r="B247" s="31"/>
      <c r="D247" t="str">
        <f>IF($C247="","",IFERROR(LOOKUP(2,1/('03_Warehouse_Movements'!$C$2:$C$500=$A247),'03_Warehouse_Movements'!$E$2:$E$500),$C247))</f>
        <v/>
      </c>
      <c r="E247" t="s">
        <v>209</v>
      </c>
      <c r="G247" s="34"/>
      <c r="H247" s="33" t="str">
        <f t="shared" si="6"/>
        <v/>
      </c>
      <c r="I247" s="31"/>
      <c r="J247" s="31"/>
      <c r="K247" s="33"/>
      <c r="M247" s="69" t="str">
        <f>IF($C247="","",IFERROR(LOOKUP(2,1/('03_Warehouse_Movements'!$C$2:$C$500=$A247),'03_Warehouse_Movements'!$A$2:$A$500),""))</f>
        <v/>
      </c>
      <c r="N247" t="str">
        <f>IF($C247="","",IFERROR(LOOKUP(2,1/('03_Warehouse_Movements'!$C$2:$C$500=$A247),'03_Warehouse_Movements'!$H$2:$H$500),""))</f>
        <v/>
      </c>
      <c r="O247" t="str">
        <f t="shared" si="7"/>
        <v>PAL-0000247</v>
      </c>
      <c r="Q247" s="34"/>
      <c r="R247" s="33"/>
      <c r="W247">
        <f>IF($A2="","",COUNTIF('07_Pallet_Contents'!$A$2:$A$3000,$A2))</f>
        <v>0</v>
      </c>
      <c r="X247">
        <f>IF($A2="","",SUMIF('07_Pallet_Contents'!$A$2:$A$3000,$A2,'07_Pallet_Contents'!$D$2:$D$3000))</f>
        <v>0</v>
      </c>
      <c r="Y247">
        <f>IF($A2="","",SUMIF('07_Pallet_Contents'!$A$2:$A$3000,$A2,'07_Pallet_Contents'!$I$2:$I$3000))</f>
        <v>0</v>
      </c>
      <c r="Z247" t="str">
        <f>IF($A2="","",IF(COUNTIF('07_Pallet_Contents'!$A$2:$A$3000,$A2)&gt;0,"Yes",""))</f>
        <v/>
      </c>
    </row>
    <row r="248" spans="1:26">
      <c r="A248" s="4" t="s">
        <v>558</v>
      </c>
      <c r="B248" s="31"/>
      <c r="D248" t="str">
        <f>IF($C248="","",IFERROR(LOOKUP(2,1/('03_Warehouse_Movements'!$C$2:$C$500=$A248),'03_Warehouse_Movements'!$E$2:$E$500),$C248))</f>
        <v/>
      </c>
      <c r="E248" t="s">
        <v>209</v>
      </c>
      <c r="G248" s="34"/>
      <c r="H248" s="33" t="str">
        <f t="shared" si="6"/>
        <v/>
      </c>
      <c r="I248" s="31"/>
      <c r="J248" s="31"/>
      <c r="K248" s="33"/>
      <c r="M248" s="69" t="str">
        <f>IF($C248="","",IFERROR(LOOKUP(2,1/('03_Warehouse_Movements'!$C$2:$C$500=$A248),'03_Warehouse_Movements'!$A$2:$A$500),""))</f>
        <v/>
      </c>
      <c r="N248" t="str">
        <f>IF($C248="","",IFERROR(LOOKUP(2,1/('03_Warehouse_Movements'!$C$2:$C$500=$A248),'03_Warehouse_Movements'!$H$2:$H$500),""))</f>
        <v/>
      </c>
      <c r="O248" t="str">
        <f t="shared" si="7"/>
        <v>PAL-0000248</v>
      </c>
      <c r="Q248" s="34"/>
      <c r="R248" s="33"/>
      <c r="W248">
        <f>IF($A2="","",COUNTIF('07_Pallet_Contents'!$A$2:$A$3000,$A2))</f>
        <v>0</v>
      </c>
      <c r="X248">
        <f>IF($A2="","",SUMIF('07_Pallet_Contents'!$A$2:$A$3000,$A2,'07_Pallet_Contents'!$D$2:$D$3000))</f>
        <v>0</v>
      </c>
      <c r="Y248">
        <f>IF($A2="","",SUMIF('07_Pallet_Contents'!$A$2:$A$3000,$A2,'07_Pallet_Contents'!$I$2:$I$3000))</f>
        <v>0</v>
      </c>
      <c r="Z248" t="str">
        <f>IF($A2="","",IF(COUNTIF('07_Pallet_Contents'!$A$2:$A$3000,$A2)&gt;0,"Yes",""))</f>
        <v/>
      </c>
    </row>
    <row r="249" spans="1:26">
      <c r="A249" s="4" t="s">
        <v>559</v>
      </c>
      <c r="B249" s="31"/>
      <c r="D249" t="str">
        <f>IF($C249="","",IFERROR(LOOKUP(2,1/('03_Warehouse_Movements'!$C$2:$C$500=$A249),'03_Warehouse_Movements'!$E$2:$E$500),$C249))</f>
        <v/>
      </c>
      <c r="E249" t="s">
        <v>209</v>
      </c>
      <c r="G249" s="34"/>
      <c r="H249" s="33" t="str">
        <f t="shared" si="6"/>
        <v/>
      </c>
      <c r="I249" s="31"/>
      <c r="J249" s="31"/>
      <c r="K249" s="33"/>
      <c r="M249" s="69" t="str">
        <f>IF($C249="","",IFERROR(LOOKUP(2,1/('03_Warehouse_Movements'!$C$2:$C$500=$A249),'03_Warehouse_Movements'!$A$2:$A$500),""))</f>
        <v/>
      </c>
      <c r="N249" t="str">
        <f>IF($C249="","",IFERROR(LOOKUP(2,1/('03_Warehouse_Movements'!$C$2:$C$500=$A249),'03_Warehouse_Movements'!$H$2:$H$500),""))</f>
        <v/>
      </c>
      <c r="O249" t="str">
        <f t="shared" si="7"/>
        <v>PAL-0000249</v>
      </c>
      <c r="Q249" s="34"/>
      <c r="R249" s="33"/>
      <c r="W249">
        <f>IF($A2="","",COUNTIF('07_Pallet_Contents'!$A$2:$A$3000,$A2))</f>
        <v>0</v>
      </c>
      <c r="X249">
        <f>IF($A2="","",SUMIF('07_Pallet_Contents'!$A$2:$A$3000,$A2,'07_Pallet_Contents'!$D$2:$D$3000))</f>
        <v>0</v>
      </c>
      <c r="Y249">
        <f>IF($A2="","",SUMIF('07_Pallet_Contents'!$A$2:$A$3000,$A2,'07_Pallet_Contents'!$I$2:$I$3000))</f>
        <v>0</v>
      </c>
      <c r="Z249" t="str">
        <f>IF($A2="","",IF(COUNTIF('07_Pallet_Contents'!$A$2:$A$3000,$A2)&gt;0,"Yes",""))</f>
        <v/>
      </c>
    </row>
    <row r="250" spans="1:26">
      <c r="A250" s="4" t="s">
        <v>560</v>
      </c>
      <c r="B250" s="31"/>
      <c r="D250" t="str">
        <f>IF($C250="","",IFERROR(LOOKUP(2,1/('03_Warehouse_Movements'!$C$2:$C$500=$A250),'03_Warehouse_Movements'!$E$2:$E$500),$C250))</f>
        <v/>
      </c>
      <c r="E250" t="s">
        <v>209</v>
      </c>
      <c r="G250" s="34"/>
      <c r="H250" s="33" t="str">
        <f t="shared" si="6"/>
        <v/>
      </c>
      <c r="I250" s="31"/>
      <c r="J250" s="31"/>
      <c r="K250" s="33"/>
      <c r="M250" s="69" t="str">
        <f>IF($C250="","",IFERROR(LOOKUP(2,1/('03_Warehouse_Movements'!$C$2:$C$500=$A250),'03_Warehouse_Movements'!$A$2:$A$500),""))</f>
        <v/>
      </c>
      <c r="N250" t="str">
        <f>IF($C250="","",IFERROR(LOOKUP(2,1/('03_Warehouse_Movements'!$C$2:$C$500=$A250),'03_Warehouse_Movements'!$H$2:$H$500),""))</f>
        <v/>
      </c>
      <c r="O250" t="str">
        <f t="shared" si="7"/>
        <v>PAL-0000250</v>
      </c>
      <c r="Q250" s="34"/>
      <c r="R250" s="33"/>
      <c r="W250">
        <f>IF($A2="","",COUNTIF('07_Pallet_Contents'!$A$2:$A$3000,$A2))</f>
        <v>0</v>
      </c>
      <c r="X250">
        <f>IF($A2="","",SUMIF('07_Pallet_Contents'!$A$2:$A$3000,$A2,'07_Pallet_Contents'!$D$2:$D$3000))</f>
        <v>0</v>
      </c>
      <c r="Y250">
        <f>IF($A2="","",SUMIF('07_Pallet_Contents'!$A$2:$A$3000,$A2,'07_Pallet_Contents'!$I$2:$I$3000))</f>
        <v>0</v>
      </c>
      <c r="Z250" t="str">
        <f>IF($A2="","",IF(COUNTIF('07_Pallet_Contents'!$A$2:$A$3000,$A2)&gt;0,"Yes",""))</f>
        <v/>
      </c>
    </row>
    <row r="251" spans="1:26">
      <c r="A251" s="4" t="s">
        <v>561</v>
      </c>
      <c r="B251" s="31"/>
      <c r="D251" t="str">
        <f>IF($C251="","",IFERROR(LOOKUP(2,1/('03_Warehouse_Movements'!$C$2:$C$500=$A251),'03_Warehouse_Movements'!$E$2:$E$500),$C251))</f>
        <v/>
      </c>
      <c r="E251" t="s">
        <v>209</v>
      </c>
      <c r="G251" s="34"/>
      <c r="H251" s="33" t="str">
        <f t="shared" si="6"/>
        <v/>
      </c>
      <c r="I251" s="31"/>
      <c r="J251" s="31"/>
      <c r="K251" s="33"/>
      <c r="M251" s="69" t="str">
        <f>IF($C251="","",IFERROR(LOOKUP(2,1/('03_Warehouse_Movements'!$C$2:$C$500=$A251),'03_Warehouse_Movements'!$A$2:$A$500),""))</f>
        <v/>
      </c>
      <c r="N251" t="str">
        <f>IF($C251="","",IFERROR(LOOKUP(2,1/('03_Warehouse_Movements'!$C$2:$C$500=$A251),'03_Warehouse_Movements'!$H$2:$H$500),""))</f>
        <v/>
      </c>
      <c r="O251" t="str">
        <f t="shared" si="7"/>
        <v>PAL-0000251</v>
      </c>
      <c r="Q251" s="34"/>
      <c r="R251" s="33"/>
      <c r="W251">
        <f>IF($A2="","",COUNTIF('07_Pallet_Contents'!$A$2:$A$3000,$A2))</f>
        <v>0</v>
      </c>
      <c r="X251">
        <f>IF($A2="","",SUMIF('07_Pallet_Contents'!$A$2:$A$3000,$A2,'07_Pallet_Contents'!$D$2:$D$3000))</f>
        <v>0</v>
      </c>
      <c r="Y251">
        <f>IF($A2="","",SUMIF('07_Pallet_Contents'!$A$2:$A$3000,$A2,'07_Pallet_Contents'!$I$2:$I$3000))</f>
        <v>0</v>
      </c>
      <c r="Z251" t="str">
        <f>IF($A2="","",IF(COUNTIF('07_Pallet_Contents'!$A$2:$A$3000,$A2)&gt;0,"Yes",""))</f>
        <v/>
      </c>
    </row>
    <row r="252" spans="1:26">
      <c r="A252" s="4" t="s">
        <v>562</v>
      </c>
      <c r="B252" s="31"/>
      <c r="D252" t="str">
        <f>IF($C252="","",IFERROR(LOOKUP(2,1/('03_Warehouse_Movements'!$C$2:$C$500=$A252),'03_Warehouse_Movements'!$E$2:$E$500),$C252))</f>
        <v/>
      </c>
      <c r="E252" t="s">
        <v>209</v>
      </c>
      <c r="G252" s="34"/>
      <c r="H252" s="33" t="str">
        <f t="shared" si="6"/>
        <v/>
      </c>
      <c r="I252" s="31"/>
      <c r="J252" s="31"/>
      <c r="K252" s="33"/>
      <c r="M252" s="69" t="str">
        <f>IF($C252="","",IFERROR(LOOKUP(2,1/('03_Warehouse_Movements'!$C$2:$C$500=$A252),'03_Warehouse_Movements'!$A$2:$A$500),""))</f>
        <v/>
      </c>
      <c r="N252" t="str">
        <f>IF($C252="","",IFERROR(LOOKUP(2,1/('03_Warehouse_Movements'!$C$2:$C$500=$A252),'03_Warehouse_Movements'!$H$2:$H$500),""))</f>
        <v/>
      </c>
      <c r="O252" t="str">
        <f t="shared" si="7"/>
        <v>PAL-0000252</v>
      </c>
      <c r="Q252" s="34"/>
      <c r="R252" s="33"/>
      <c r="W252">
        <f>IF($A2="","",COUNTIF('07_Pallet_Contents'!$A$2:$A$3000,$A2))</f>
        <v>0</v>
      </c>
      <c r="X252">
        <f>IF($A2="","",SUMIF('07_Pallet_Contents'!$A$2:$A$3000,$A2,'07_Pallet_Contents'!$D$2:$D$3000))</f>
        <v>0</v>
      </c>
      <c r="Y252">
        <f>IF($A2="","",SUMIF('07_Pallet_Contents'!$A$2:$A$3000,$A2,'07_Pallet_Contents'!$I$2:$I$3000))</f>
        <v>0</v>
      </c>
      <c r="Z252" t="str">
        <f>IF($A2="","",IF(COUNTIF('07_Pallet_Contents'!$A$2:$A$3000,$A2)&gt;0,"Yes",""))</f>
        <v/>
      </c>
    </row>
    <row r="253" spans="1:26">
      <c r="A253" s="4" t="s">
        <v>563</v>
      </c>
      <c r="B253" s="31"/>
      <c r="D253" t="str">
        <f>IF($C253="","",IFERROR(LOOKUP(2,1/('03_Warehouse_Movements'!$C$2:$C$500=$A253),'03_Warehouse_Movements'!$E$2:$E$500),$C253))</f>
        <v/>
      </c>
      <c r="E253" t="s">
        <v>209</v>
      </c>
      <c r="G253" s="34"/>
      <c r="H253" s="33" t="str">
        <f t="shared" si="6"/>
        <v/>
      </c>
      <c r="I253" s="31"/>
      <c r="J253" s="31"/>
      <c r="K253" s="33"/>
      <c r="M253" s="69" t="str">
        <f>IF($C253="","",IFERROR(LOOKUP(2,1/('03_Warehouse_Movements'!$C$2:$C$500=$A253),'03_Warehouse_Movements'!$A$2:$A$500),""))</f>
        <v/>
      </c>
      <c r="N253" t="str">
        <f>IF($C253="","",IFERROR(LOOKUP(2,1/('03_Warehouse_Movements'!$C$2:$C$500=$A253),'03_Warehouse_Movements'!$H$2:$H$500),""))</f>
        <v/>
      </c>
      <c r="O253" t="str">
        <f t="shared" si="7"/>
        <v>PAL-0000253</v>
      </c>
      <c r="Q253" s="34"/>
      <c r="R253" s="33"/>
      <c r="W253">
        <f>IF($A2="","",COUNTIF('07_Pallet_Contents'!$A$2:$A$3000,$A2))</f>
        <v>0</v>
      </c>
      <c r="X253">
        <f>IF($A2="","",SUMIF('07_Pallet_Contents'!$A$2:$A$3000,$A2,'07_Pallet_Contents'!$D$2:$D$3000))</f>
        <v>0</v>
      </c>
      <c r="Y253">
        <f>IF($A2="","",SUMIF('07_Pallet_Contents'!$A$2:$A$3000,$A2,'07_Pallet_Contents'!$I$2:$I$3000))</f>
        <v>0</v>
      </c>
      <c r="Z253" t="str">
        <f>IF($A2="","",IF(COUNTIF('07_Pallet_Contents'!$A$2:$A$3000,$A2)&gt;0,"Yes",""))</f>
        <v/>
      </c>
    </row>
    <row r="254" spans="1:26">
      <c r="A254" s="4" t="s">
        <v>564</v>
      </c>
      <c r="B254" s="31"/>
      <c r="D254" t="str">
        <f>IF($C254="","",IFERROR(LOOKUP(2,1/('03_Warehouse_Movements'!$C$2:$C$500=$A254),'03_Warehouse_Movements'!$E$2:$E$500),$C254))</f>
        <v/>
      </c>
      <c r="E254" t="s">
        <v>209</v>
      </c>
      <c r="G254" s="34"/>
      <c r="H254" s="33" t="str">
        <f t="shared" si="6"/>
        <v/>
      </c>
      <c r="I254" s="31"/>
      <c r="J254" s="31"/>
      <c r="K254" s="33"/>
      <c r="M254" s="69" t="str">
        <f>IF($C254="","",IFERROR(LOOKUP(2,1/('03_Warehouse_Movements'!$C$2:$C$500=$A254),'03_Warehouse_Movements'!$A$2:$A$500),""))</f>
        <v/>
      </c>
      <c r="N254" t="str">
        <f>IF($C254="","",IFERROR(LOOKUP(2,1/('03_Warehouse_Movements'!$C$2:$C$500=$A254),'03_Warehouse_Movements'!$H$2:$H$500),""))</f>
        <v/>
      </c>
      <c r="O254" t="str">
        <f t="shared" si="7"/>
        <v>PAL-0000254</v>
      </c>
      <c r="Q254" s="34"/>
      <c r="R254" s="33"/>
      <c r="W254">
        <f>IF($A2="","",COUNTIF('07_Pallet_Contents'!$A$2:$A$3000,$A2))</f>
        <v>0</v>
      </c>
      <c r="X254">
        <f>IF($A2="","",SUMIF('07_Pallet_Contents'!$A$2:$A$3000,$A2,'07_Pallet_Contents'!$D$2:$D$3000))</f>
        <v>0</v>
      </c>
      <c r="Y254">
        <f>IF($A2="","",SUMIF('07_Pallet_Contents'!$A$2:$A$3000,$A2,'07_Pallet_Contents'!$I$2:$I$3000))</f>
        <v>0</v>
      </c>
      <c r="Z254" t="str">
        <f>IF($A2="","",IF(COUNTIF('07_Pallet_Contents'!$A$2:$A$3000,$A2)&gt;0,"Yes",""))</f>
        <v/>
      </c>
    </row>
    <row r="255" spans="1:26">
      <c r="A255" s="4" t="s">
        <v>565</v>
      </c>
      <c r="B255" s="31"/>
      <c r="D255" t="str">
        <f>IF($C255="","",IFERROR(LOOKUP(2,1/('03_Warehouse_Movements'!$C$2:$C$500=$A255),'03_Warehouse_Movements'!$E$2:$E$500),$C255))</f>
        <v/>
      </c>
      <c r="E255" t="s">
        <v>209</v>
      </c>
      <c r="G255" s="34"/>
      <c r="H255" s="33" t="str">
        <f t="shared" si="6"/>
        <v/>
      </c>
      <c r="I255" s="31"/>
      <c r="J255" s="31"/>
      <c r="K255" s="33"/>
      <c r="M255" s="69" t="str">
        <f>IF($C255="","",IFERROR(LOOKUP(2,1/('03_Warehouse_Movements'!$C$2:$C$500=$A255),'03_Warehouse_Movements'!$A$2:$A$500),""))</f>
        <v/>
      </c>
      <c r="N255" t="str">
        <f>IF($C255="","",IFERROR(LOOKUP(2,1/('03_Warehouse_Movements'!$C$2:$C$500=$A255),'03_Warehouse_Movements'!$H$2:$H$500),""))</f>
        <v/>
      </c>
      <c r="O255" t="str">
        <f t="shared" si="7"/>
        <v>PAL-0000255</v>
      </c>
      <c r="Q255" s="34"/>
      <c r="R255" s="33"/>
      <c r="W255">
        <f>IF($A2="","",COUNTIF('07_Pallet_Contents'!$A$2:$A$3000,$A2))</f>
        <v>0</v>
      </c>
      <c r="X255">
        <f>IF($A2="","",SUMIF('07_Pallet_Contents'!$A$2:$A$3000,$A2,'07_Pallet_Contents'!$D$2:$D$3000))</f>
        <v>0</v>
      </c>
      <c r="Y255">
        <f>IF($A2="","",SUMIF('07_Pallet_Contents'!$A$2:$A$3000,$A2,'07_Pallet_Contents'!$I$2:$I$3000))</f>
        <v>0</v>
      </c>
      <c r="Z255" t="str">
        <f>IF($A2="","",IF(COUNTIF('07_Pallet_Contents'!$A$2:$A$3000,$A2)&gt;0,"Yes",""))</f>
        <v/>
      </c>
    </row>
    <row r="256" spans="1:26">
      <c r="A256" s="4" t="s">
        <v>566</v>
      </c>
      <c r="B256" s="31"/>
      <c r="D256" t="str">
        <f>IF($C256="","",IFERROR(LOOKUP(2,1/('03_Warehouse_Movements'!$C$2:$C$500=$A256),'03_Warehouse_Movements'!$E$2:$E$500),$C256))</f>
        <v/>
      </c>
      <c r="E256" t="s">
        <v>209</v>
      </c>
      <c r="G256" s="34"/>
      <c r="H256" s="33" t="str">
        <f t="shared" si="6"/>
        <v/>
      </c>
      <c r="I256" s="31"/>
      <c r="J256" s="31"/>
      <c r="K256" s="33"/>
      <c r="M256" s="69" t="str">
        <f>IF($C256="","",IFERROR(LOOKUP(2,1/('03_Warehouse_Movements'!$C$2:$C$500=$A256),'03_Warehouse_Movements'!$A$2:$A$500),""))</f>
        <v/>
      </c>
      <c r="N256" t="str">
        <f>IF($C256="","",IFERROR(LOOKUP(2,1/('03_Warehouse_Movements'!$C$2:$C$500=$A256),'03_Warehouse_Movements'!$H$2:$H$500),""))</f>
        <v/>
      </c>
      <c r="O256" t="str">
        <f t="shared" si="7"/>
        <v>PAL-0000256</v>
      </c>
      <c r="Q256" s="34"/>
      <c r="R256" s="33"/>
      <c r="W256">
        <f>IF($A2="","",COUNTIF('07_Pallet_Contents'!$A$2:$A$3000,$A2))</f>
        <v>0</v>
      </c>
      <c r="X256">
        <f>IF($A2="","",SUMIF('07_Pallet_Contents'!$A$2:$A$3000,$A2,'07_Pallet_Contents'!$D$2:$D$3000))</f>
        <v>0</v>
      </c>
      <c r="Y256">
        <f>IF($A2="","",SUMIF('07_Pallet_Contents'!$A$2:$A$3000,$A2,'07_Pallet_Contents'!$I$2:$I$3000))</f>
        <v>0</v>
      </c>
      <c r="Z256" t="str">
        <f>IF($A2="","",IF(COUNTIF('07_Pallet_Contents'!$A$2:$A$3000,$A2)&gt;0,"Yes",""))</f>
        <v/>
      </c>
    </row>
    <row r="257" spans="1:26">
      <c r="A257" s="4" t="s">
        <v>567</v>
      </c>
      <c r="B257" s="31"/>
      <c r="D257" t="str">
        <f>IF($C257="","",IFERROR(LOOKUP(2,1/('03_Warehouse_Movements'!$C$2:$C$500=$A257),'03_Warehouse_Movements'!$E$2:$E$500),$C257))</f>
        <v/>
      </c>
      <c r="E257" t="s">
        <v>209</v>
      </c>
      <c r="G257" s="34"/>
      <c r="H257" s="33" t="str">
        <f t="shared" si="6"/>
        <v/>
      </c>
      <c r="I257" s="31"/>
      <c r="J257" s="31"/>
      <c r="K257" s="33"/>
      <c r="M257" s="69" t="str">
        <f>IF($C257="","",IFERROR(LOOKUP(2,1/('03_Warehouse_Movements'!$C$2:$C$500=$A257),'03_Warehouse_Movements'!$A$2:$A$500),""))</f>
        <v/>
      </c>
      <c r="N257" t="str">
        <f>IF($C257="","",IFERROR(LOOKUP(2,1/('03_Warehouse_Movements'!$C$2:$C$500=$A257),'03_Warehouse_Movements'!$H$2:$H$500),""))</f>
        <v/>
      </c>
      <c r="O257" t="str">
        <f t="shared" si="7"/>
        <v>PAL-0000257</v>
      </c>
      <c r="Q257" s="34"/>
      <c r="R257" s="33"/>
      <c r="W257">
        <f>IF($A2="","",COUNTIF('07_Pallet_Contents'!$A$2:$A$3000,$A2))</f>
        <v>0</v>
      </c>
      <c r="X257">
        <f>IF($A2="","",SUMIF('07_Pallet_Contents'!$A$2:$A$3000,$A2,'07_Pallet_Contents'!$D$2:$D$3000))</f>
        <v>0</v>
      </c>
      <c r="Y257">
        <f>IF($A2="","",SUMIF('07_Pallet_Contents'!$A$2:$A$3000,$A2,'07_Pallet_Contents'!$I$2:$I$3000))</f>
        <v>0</v>
      </c>
      <c r="Z257" t="str">
        <f>IF($A2="","",IF(COUNTIF('07_Pallet_Contents'!$A$2:$A$3000,$A2)&gt;0,"Yes",""))</f>
        <v/>
      </c>
    </row>
    <row r="258" spans="1:26">
      <c r="A258" s="4" t="s">
        <v>568</v>
      </c>
      <c r="B258" s="31"/>
      <c r="D258" t="str">
        <f>IF($C258="","",IFERROR(LOOKUP(2,1/('03_Warehouse_Movements'!$C$2:$C$500=$A258),'03_Warehouse_Movements'!$E$2:$E$500),$C258))</f>
        <v/>
      </c>
      <c r="E258" t="s">
        <v>209</v>
      </c>
      <c r="G258" s="34"/>
      <c r="H258" s="33" t="str">
        <f t="shared" ref="H258:H321" si="8">IF(AND($F258="TEMP",$G258&gt;0,$M258&lt;&gt;""),$M258+$G258,"")</f>
        <v/>
      </c>
      <c r="I258" s="31"/>
      <c r="J258" s="31"/>
      <c r="K258" s="33"/>
      <c r="M258" s="69" t="str">
        <f>IF($C258="","",IFERROR(LOOKUP(2,1/('03_Warehouse_Movements'!$C$2:$C$500=$A258),'03_Warehouse_Movements'!$A$2:$A$500),""))</f>
        <v/>
      </c>
      <c r="N258" t="str">
        <f>IF($C258="","",IFERROR(LOOKUP(2,1/('03_Warehouse_Movements'!$C$2:$C$500=$A258),'03_Warehouse_Movements'!$H$2:$H$500),""))</f>
        <v/>
      </c>
      <c r="O258" t="str">
        <f t="shared" ref="O258:O321" si="9">A258</f>
        <v>PAL-0000258</v>
      </c>
      <c r="Q258" s="34"/>
      <c r="R258" s="33"/>
      <c r="W258">
        <f>IF($A2="","",COUNTIF('07_Pallet_Contents'!$A$2:$A$3000,$A2))</f>
        <v>0</v>
      </c>
      <c r="X258">
        <f>IF($A2="","",SUMIF('07_Pallet_Contents'!$A$2:$A$3000,$A2,'07_Pallet_Contents'!$D$2:$D$3000))</f>
        <v>0</v>
      </c>
      <c r="Y258">
        <f>IF($A2="","",SUMIF('07_Pallet_Contents'!$A$2:$A$3000,$A2,'07_Pallet_Contents'!$I$2:$I$3000))</f>
        <v>0</v>
      </c>
      <c r="Z258" t="str">
        <f>IF($A2="","",IF(COUNTIF('07_Pallet_Contents'!$A$2:$A$3000,$A2)&gt;0,"Yes",""))</f>
        <v/>
      </c>
    </row>
    <row r="259" spans="1:26">
      <c r="A259" s="4" t="s">
        <v>569</v>
      </c>
      <c r="B259" s="31"/>
      <c r="D259" t="str">
        <f>IF($C259="","",IFERROR(LOOKUP(2,1/('03_Warehouse_Movements'!$C$2:$C$500=$A259),'03_Warehouse_Movements'!$E$2:$E$500),$C259))</f>
        <v/>
      </c>
      <c r="E259" t="s">
        <v>209</v>
      </c>
      <c r="G259" s="34"/>
      <c r="H259" s="33" t="str">
        <f t="shared" si="8"/>
        <v/>
      </c>
      <c r="I259" s="31"/>
      <c r="J259" s="31"/>
      <c r="K259" s="33"/>
      <c r="M259" s="69" t="str">
        <f>IF($C259="","",IFERROR(LOOKUP(2,1/('03_Warehouse_Movements'!$C$2:$C$500=$A259),'03_Warehouse_Movements'!$A$2:$A$500),""))</f>
        <v/>
      </c>
      <c r="N259" t="str">
        <f>IF($C259="","",IFERROR(LOOKUP(2,1/('03_Warehouse_Movements'!$C$2:$C$500=$A259),'03_Warehouse_Movements'!$H$2:$H$500),""))</f>
        <v/>
      </c>
      <c r="O259" t="str">
        <f t="shared" si="9"/>
        <v>PAL-0000259</v>
      </c>
      <c r="Q259" s="34"/>
      <c r="R259" s="33"/>
      <c r="W259">
        <f>IF($A2="","",COUNTIF('07_Pallet_Contents'!$A$2:$A$3000,$A2))</f>
        <v>0</v>
      </c>
      <c r="X259">
        <f>IF($A2="","",SUMIF('07_Pallet_Contents'!$A$2:$A$3000,$A2,'07_Pallet_Contents'!$D$2:$D$3000))</f>
        <v>0</v>
      </c>
      <c r="Y259">
        <f>IF($A2="","",SUMIF('07_Pallet_Contents'!$A$2:$A$3000,$A2,'07_Pallet_Contents'!$I$2:$I$3000))</f>
        <v>0</v>
      </c>
      <c r="Z259" t="str">
        <f>IF($A2="","",IF(COUNTIF('07_Pallet_Contents'!$A$2:$A$3000,$A2)&gt;0,"Yes",""))</f>
        <v/>
      </c>
    </row>
    <row r="260" spans="1:26">
      <c r="A260" s="4" t="s">
        <v>570</v>
      </c>
      <c r="B260" s="31"/>
      <c r="D260" t="str">
        <f>IF($C260="","",IFERROR(LOOKUP(2,1/('03_Warehouse_Movements'!$C$2:$C$500=$A260),'03_Warehouse_Movements'!$E$2:$E$500),$C260))</f>
        <v/>
      </c>
      <c r="E260" t="s">
        <v>209</v>
      </c>
      <c r="G260" s="34"/>
      <c r="H260" s="33" t="str">
        <f t="shared" si="8"/>
        <v/>
      </c>
      <c r="I260" s="31"/>
      <c r="J260" s="31"/>
      <c r="K260" s="33"/>
      <c r="M260" s="69" t="str">
        <f>IF($C260="","",IFERROR(LOOKUP(2,1/('03_Warehouse_Movements'!$C$2:$C$500=$A260),'03_Warehouse_Movements'!$A$2:$A$500),""))</f>
        <v/>
      </c>
      <c r="N260" t="str">
        <f>IF($C260="","",IFERROR(LOOKUP(2,1/('03_Warehouse_Movements'!$C$2:$C$500=$A260),'03_Warehouse_Movements'!$H$2:$H$500),""))</f>
        <v/>
      </c>
      <c r="O260" t="str">
        <f t="shared" si="9"/>
        <v>PAL-0000260</v>
      </c>
      <c r="Q260" s="34"/>
      <c r="R260" s="33"/>
      <c r="W260">
        <f>IF($A2="","",COUNTIF('07_Pallet_Contents'!$A$2:$A$3000,$A2))</f>
        <v>0</v>
      </c>
      <c r="X260">
        <f>IF($A2="","",SUMIF('07_Pallet_Contents'!$A$2:$A$3000,$A2,'07_Pallet_Contents'!$D$2:$D$3000))</f>
        <v>0</v>
      </c>
      <c r="Y260">
        <f>IF($A2="","",SUMIF('07_Pallet_Contents'!$A$2:$A$3000,$A2,'07_Pallet_Contents'!$I$2:$I$3000))</f>
        <v>0</v>
      </c>
      <c r="Z260" t="str">
        <f>IF($A2="","",IF(COUNTIF('07_Pallet_Contents'!$A$2:$A$3000,$A2)&gt;0,"Yes",""))</f>
        <v/>
      </c>
    </row>
    <row r="261" spans="1:26">
      <c r="A261" s="4" t="s">
        <v>571</v>
      </c>
      <c r="B261" s="31"/>
      <c r="D261" t="str">
        <f>IF($C261="","",IFERROR(LOOKUP(2,1/('03_Warehouse_Movements'!$C$2:$C$500=$A261),'03_Warehouse_Movements'!$E$2:$E$500),$C261))</f>
        <v/>
      </c>
      <c r="E261" t="s">
        <v>209</v>
      </c>
      <c r="G261" s="34"/>
      <c r="H261" s="33" t="str">
        <f t="shared" si="8"/>
        <v/>
      </c>
      <c r="I261" s="31"/>
      <c r="J261" s="31"/>
      <c r="K261" s="33"/>
      <c r="M261" s="69" t="str">
        <f>IF($C261="","",IFERROR(LOOKUP(2,1/('03_Warehouse_Movements'!$C$2:$C$500=$A261),'03_Warehouse_Movements'!$A$2:$A$500),""))</f>
        <v/>
      </c>
      <c r="N261" t="str">
        <f>IF($C261="","",IFERROR(LOOKUP(2,1/('03_Warehouse_Movements'!$C$2:$C$500=$A261),'03_Warehouse_Movements'!$H$2:$H$500),""))</f>
        <v/>
      </c>
      <c r="O261" t="str">
        <f t="shared" si="9"/>
        <v>PAL-0000261</v>
      </c>
      <c r="Q261" s="34"/>
      <c r="R261" s="33"/>
      <c r="W261">
        <f>IF($A2="","",COUNTIF('07_Pallet_Contents'!$A$2:$A$3000,$A2))</f>
        <v>0</v>
      </c>
      <c r="X261">
        <f>IF($A2="","",SUMIF('07_Pallet_Contents'!$A$2:$A$3000,$A2,'07_Pallet_Contents'!$D$2:$D$3000))</f>
        <v>0</v>
      </c>
      <c r="Y261">
        <f>IF($A2="","",SUMIF('07_Pallet_Contents'!$A$2:$A$3000,$A2,'07_Pallet_Contents'!$I$2:$I$3000))</f>
        <v>0</v>
      </c>
      <c r="Z261" t="str">
        <f>IF($A2="","",IF(COUNTIF('07_Pallet_Contents'!$A$2:$A$3000,$A2)&gt;0,"Yes",""))</f>
        <v/>
      </c>
    </row>
    <row r="262" spans="1:26">
      <c r="A262" s="4" t="s">
        <v>572</v>
      </c>
      <c r="B262" s="31"/>
      <c r="D262" t="str">
        <f>IF($C262="","",IFERROR(LOOKUP(2,1/('03_Warehouse_Movements'!$C$2:$C$500=$A262),'03_Warehouse_Movements'!$E$2:$E$500),$C262))</f>
        <v/>
      </c>
      <c r="E262" t="s">
        <v>209</v>
      </c>
      <c r="G262" s="34"/>
      <c r="H262" s="33" t="str">
        <f t="shared" si="8"/>
        <v/>
      </c>
      <c r="I262" s="31"/>
      <c r="J262" s="31"/>
      <c r="K262" s="33"/>
      <c r="M262" s="69" t="str">
        <f>IF($C262="","",IFERROR(LOOKUP(2,1/('03_Warehouse_Movements'!$C$2:$C$500=$A262),'03_Warehouse_Movements'!$A$2:$A$500),""))</f>
        <v/>
      </c>
      <c r="N262" t="str">
        <f>IF($C262="","",IFERROR(LOOKUP(2,1/('03_Warehouse_Movements'!$C$2:$C$500=$A262),'03_Warehouse_Movements'!$H$2:$H$500),""))</f>
        <v/>
      </c>
      <c r="O262" t="str">
        <f t="shared" si="9"/>
        <v>PAL-0000262</v>
      </c>
      <c r="Q262" s="34"/>
      <c r="R262" s="33"/>
      <c r="W262">
        <f>IF($A2="","",COUNTIF('07_Pallet_Contents'!$A$2:$A$3000,$A2))</f>
        <v>0</v>
      </c>
      <c r="X262">
        <f>IF($A2="","",SUMIF('07_Pallet_Contents'!$A$2:$A$3000,$A2,'07_Pallet_Contents'!$D$2:$D$3000))</f>
        <v>0</v>
      </c>
      <c r="Y262">
        <f>IF($A2="","",SUMIF('07_Pallet_Contents'!$A$2:$A$3000,$A2,'07_Pallet_Contents'!$I$2:$I$3000))</f>
        <v>0</v>
      </c>
      <c r="Z262" t="str">
        <f>IF($A2="","",IF(COUNTIF('07_Pallet_Contents'!$A$2:$A$3000,$A2)&gt;0,"Yes",""))</f>
        <v/>
      </c>
    </row>
    <row r="263" spans="1:26">
      <c r="A263" s="4" t="s">
        <v>573</v>
      </c>
      <c r="B263" s="31"/>
      <c r="D263" t="str">
        <f>IF($C263="","",IFERROR(LOOKUP(2,1/('03_Warehouse_Movements'!$C$2:$C$500=$A263),'03_Warehouse_Movements'!$E$2:$E$500),$C263))</f>
        <v/>
      </c>
      <c r="E263" t="s">
        <v>209</v>
      </c>
      <c r="G263" s="34"/>
      <c r="H263" s="33" t="str">
        <f t="shared" si="8"/>
        <v/>
      </c>
      <c r="I263" s="31"/>
      <c r="J263" s="31"/>
      <c r="K263" s="33"/>
      <c r="M263" s="69" t="str">
        <f>IF($C263="","",IFERROR(LOOKUP(2,1/('03_Warehouse_Movements'!$C$2:$C$500=$A263),'03_Warehouse_Movements'!$A$2:$A$500),""))</f>
        <v/>
      </c>
      <c r="N263" t="str">
        <f>IF($C263="","",IFERROR(LOOKUP(2,1/('03_Warehouse_Movements'!$C$2:$C$500=$A263),'03_Warehouse_Movements'!$H$2:$H$500),""))</f>
        <v/>
      </c>
      <c r="O263" t="str">
        <f t="shared" si="9"/>
        <v>PAL-0000263</v>
      </c>
      <c r="Q263" s="34"/>
      <c r="R263" s="33"/>
      <c r="W263">
        <f>IF($A2="","",COUNTIF('07_Pallet_Contents'!$A$2:$A$3000,$A2))</f>
        <v>0</v>
      </c>
      <c r="X263">
        <f>IF($A2="","",SUMIF('07_Pallet_Contents'!$A$2:$A$3000,$A2,'07_Pallet_Contents'!$D$2:$D$3000))</f>
        <v>0</v>
      </c>
      <c r="Y263">
        <f>IF($A2="","",SUMIF('07_Pallet_Contents'!$A$2:$A$3000,$A2,'07_Pallet_Contents'!$I$2:$I$3000))</f>
        <v>0</v>
      </c>
      <c r="Z263" t="str">
        <f>IF($A2="","",IF(COUNTIF('07_Pallet_Contents'!$A$2:$A$3000,$A2)&gt;0,"Yes",""))</f>
        <v/>
      </c>
    </row>
    <row r="264" spans="1:26">
      <c r="A264" s="4" t="s">
        <v>574</v>
      </c>
      <c r="B264" s="31"/>
      <c r="D264" t="str">
        <f>IF($C264="","",IFERROR(LOOKUP(2,1/('03_Warehouse_Movements'!$C$2:$C$500=$A264),'03_Warehouse_Movements'!$E$2:$E$500),$C264))</f>
        <v/>
      </c>
      <c r="E264" t="s">
        <v>209</v>
      </c>
      <c r="G264" s="34"/>
      <c r="H264" s="33" t="str">
        <f t="shared" si="8"/>
        <v/>
      </c>
      <c r="I264" s="31"/>
      <c r="J264" s="31"/>
      <c r="K264" s="33"/>
      <c r="M264" s="69" t="str">
        <f>IF($C264="","",IFERROR(LOOKUP(2,1/('03_Warehouse_Movements'!$C$2:$C$500=$A264),'03_Warehouse_Movements'!$A$2:$A$500),""))</f>
        <v/>
      </c>
      <c r="N264" t="str">
        <f>IF($C264="","",IFERROR(LOOKUP(2,1/('03_Warehouse_Movements'!$C$2:$C$500=$A264),'03_Warehouse_Movements'!$H$2:$H$500),""))</f>
        <v/>
      </c>
      <c r="O264" t="str">
        <f t="shared" si="9"/>
        <v>PAL-0000264</v>
      </c>
      <c r="Q264" s="34"/>
      <c r="R264" s="33"/>
      <c r="W264">
        <f>IF($A2="","",COUNTIF('07_Pallet_Contents'!$A$2:$A$3000,$A2))</f>
        <v>0</v>
      </c>
      <c r="X264">
        <f>IF($A2="","",SUMIF('07_Pallet_Contents'!$A$2:$A$3000,$A2,'07_Pallet_Contents'!$D$2:$D$3000))</f>
        <v>0</v>
      </c>
      <c r="Y264">
        <f>IF($A2="","",SUMIF('07_Pallet_Contents'!$A$2:$A$3000,$A2,'07_Pallet_Contents'!$I$2:$I$3000))</f>
        <v>0</v>
      </c>
      <c r="Z264" t="str">
        <f>IF($A2="","",IF(COUNTIF('07_Pallet_Contents'!$A$2:$A$3000,$A2)&gt;0,"Yes",""))</f>
        <v/>
      </c>
    </row>
    <row r="265" spans="1:26">
      <c r="A265" s="4" t="s">
        <v>575</v>
      </c>
      <c r="B265" s="31"/>
      <c r="D265" t="str">
        <f>IF($C265="","",IFERROR(LOOKUP(2,1/('03_Warehouse_Movements'!$C$2:$C$500=$A265),'03_Warehouse_Movements'!$E$2:$E$500),$C265))</f>
        <v/>
      </c>
      <c r="E265" t="s">
        <v>209</v>
      </c>
      <c r="G265" s="34"/>
      <c r="H265" s="33" t="str">
        <f t="shared" si="8"/>
        <v/>
      </c>
      <c r="I265" s="31"/>
      <c r="J265" s="31"/>
      <c r="K265" s="33"/>
      <c r="M265" s="69" t="str">
        <f>IF($C265="","",IFERROR(LOOKUP(2,1/('03_Warehouse_Movements'!$C$2:$C$500=$A265),'03_Warehouse_Movements'!$A$2:$A$500),""))</f>
        <v/>
      </c>
      <c r="N265" t="str">
        <f>IF($C265="","",IFERROR(LOOKUP(2,1/('03_Warehouse_Movements'!$C$2:$C$500=$A265),'03_Warehouse_Movements'!$H$2:$H$500),""))</f>
        <v/>
      </c>
      <c r="O265" t="str">
        <f t="shared" si="9"/>
        <v>PAL-0000265</v>
      </c>
      <c r="Q265" s="34"/>
      <c r="R265" s="33"/>
      <c r="W265">
        <f>IF($A2="","",COUNTIF('07_Pallet_Contents'!$A$2:$A$3000,$A2))</f>
        <v>0</v>
      </c>
      <c r="X265">
        <f>IF($A2="","",SUMIF('07_Pallet_Contents'!$A$2:$A$3000,$A2,'07_Pallet_Contents'!$D$2:$D$3000))</f>
        <v>0</v>
      </c>
      <c r="Y265">
        <f>IF($A2="","",SUMIF('07_Pallet_Contents'!$A$2:$A$3000,$A2,'07_Pallet_Contents'!$I$2:$I$3000))</f>
        <v>0</v>
      </c>
      <c r="Z265" t="str">
        <f>IF($A2="","",IF(COUNTIF('07_Pallet_Contents'!$A$2:$A$3000,$A2)&gt;0,"Yes",""))</f>
        <v/>
      </c>
    </row>
    <row r="266" spans="1:26">
      <c r="A266" s="4" t="s">
        <v>576</v>
      </c>
      <c r="B266" s="31"/>
      <c r="D266" t="str">
        <f>IF($C266="","",IFERROR(LOOKUP(2,1/('03_Warehouse_Movements'!$C$2:$C$500=$A266),'03_Warehouse_Movements'!$E$2:$E$500),$C266))</f>
        <v/>
      </c>
      <c r="E266" t="s">
        <v>209</v>
      </c>
      <c r="G266" s="34"/>
      <c r="H266" s="33" t="str">
        <f t="shared" si="8"/>
        <v/>
      </c>
      <c r="I266" s="31"/>
      <c r="J266" s="31"/>
      <c r="K266" s="33"/>
      <c r="M266" s="69" t="str">
        <f>IF($C266="","",IFERROR(LOOKUP(2,1/('03_Warehouse_Movements'!$C$2:$C$500=$A266),'03_Warehouse_Movements'!$A$2:$A$500),""))</f>
        <v/>
      </c>
      <c r="N266" t="str">
        <f>IF($C266="","",IFERROR(LOOKUP(2,1/('03_Warehouse_Movements'!$C$2:$C$500=$A266),'03_Warehouse_Movements'!$H$2:$H$500),""))</f>
        <v/>
      </c>
      <c r="O266" t="str">
        <f t="shared" si="9"/>
        <v>PAL-0000266</v>
      </c>
      <c r="Q266" s="34"/>
      <c r="R266" s="33"/>
      <c r="W266">
        <f>IF($A2="","",COUNTIF('07_Pallet_Contents'!$A$2:$A$3000,$A2))</f>
        <v>0</v>
      </c>
      <c r="X266">
        <f>IF($A2="","",SUMIF('07_Pallet_Contents'!$A$2:$A$3000,$A2,'07_Pallet_Contents'!$D$2:$D$3000))</f>
        <v>0</v>
      </c>
      <c r="Y266">
        <f>IF($A2="","",SUMIF('07_Pallet_Contents'!$A$2:$A$3000,$A2,'07_Pallet_Contents'!$I$2:$I$3000))</f>
        <v>0</v>
      </c>
      <c r="Z266" t="str">
        <f>IF($A2="","",IF(COUNTIF('07_Pallet_Contents'!$A$2:$A$3000,$A2)&gt;0,"Yes",""))</f>
        <v/>
      </c>
    </row>
    <row r="267" spans="1:26">
      <c r="A267" s="4" t="s">
        <v>577</v>
      </c>
      <c r="B267" s="31"/>
      <c r="D267" t="str">
        <f>IF($C267="","",IFERROR(LOOKUP(2,1/('03_Warehouse_Movements'!$C$2:$C$500=$A267),'03_Warehouse_Movements'!$E$2:$E$500),$C267))</f>
        <v/>
      </c>
      <c r="E267" t="s">
        <v>209</v>
      </c>
      <c r="G267" s="34"/>
      <c r="H267" s="33" t="str">
        <f t="shared" si="8"/>
        <v/>
      </c>
      <c r="I267" s="31"/>
      <c r="J267" s="31"/>
      <c r="K267" s="33"/>
      <c r="M267" s="69" t="str">
        <f>IF($C267="","",IFERROR(LOOKUP(2,1/('03_Warehouse_Movements'!$C$2:$C$500=$A267),'03_Warehouse_Movements'!$A$2:$A$500),""))</f>
        <v/>
      </c>
      <c r="N267" t="str">
        <f>IF($C267="","",IFERROR(LOOKUP(2,1/('03_Warehouse_Movements'!$C$2:$C$500=$A267),'03_Warehouse_Movements'!$H$2:$H$500),""))</f>
        <v/>
      </c>
      <c r="O267" t="str">
        <f t="shared" si="9"/>
        <v>PAL-0000267</v>
      </c>
      <c r="Q267" s="34"/>
      <c r="R267" s="33"/>
      <c r="W267">
        <f>IF($A2="","",COUNTIF('07_Pallet_Contents'!$A$2:$A$3000,$A2))</f>
        <v>0</v>
      </c>
      <c r="X267">
        <f>IF($A2="","",SUMIF('07_Pallet_Contents'!$A$2:$A$3000,$A2,'07_Pallet_Contents'!$D$2:$D$3000))</f>
        <v>0</v>
      </c>
      <c r="Y267">
        <f>IF($A2="","",SUMIF('07_Pallet_Contents'!$A$2:$A$3000,$A2,'07_Pallet_Contents'!$I$2:$I$3000))</f>
        <v>0</v>
      </c>
      <c r="Z267" t="str">
        <f>IF($A2="","",IF(COUNTIF('07_Pallet_Contents'!$A$2:$A$3000,$A2)&gt;0,"Yes",""))</f>
        <v/>
      </c>
    </row>
    <row r="268" spans="1:26">
      <c r="A268" s="4" t="s">
        <v>578</v>
      </c>
      <c r="B268" s="31"/>
      <c r="D268" t="str">
        <f>IF($C268="","",IFERROR(LOOKUP(2,1/('03_Warehouse_Movements'!$C$2:$C$500=$A268),'03_Warehouse_Movements'!$E$2:$E$500),$C268))</f>
        <v/>
      </c>
      <c r="E268" t="s">
        <v>209</v>
      </c>
      <c r="G268" s="34"/>
      <c r="H268" s="33" t="str">
        <f t="shared" si="8"/>
        <v/>
      </c>
      <c r="I268" s="31"/>
      <c r="J268" s="31"/>
      <c r="K268" s="33"/>
      <c r="M268" s="69" t="str">
        <f>IF($C268="","",IFERROR(LOOKUP(2,1/('03_Warehouse_Movements'!$C$2:$C$500=$A268),'03_Warehouse_Movements'!$A$2:$A$500),""))</f>
        <v/>
      </c>
      <c r="N268" t="str">
        <f>IF($C268="","",IFERROR(LOOKUP(2,1/('03_Warehouse_Movements'!$C$2:$C$500=$A268),'03_Warehouse_Movements'!$H$2:$H$500),""))</f>
        <v/>
      </c>
      <c r="O268" t="str">
        <f t="shared" si="9"/>
        <v>PAL-0000268</v>
      </c>
      <c r="Q268" s="34"/>
      <c r="R268" s="33"/>
      <c r="W268">
        <f>IF($A2="","",COUNTIF('07_Pallet_Contents'!$A$2:$A$3000,$A2))</f>
        <v>0</v>
      </c>
      <c r="X268">
        <f>IF($A2="","",SUMIF('07_Pallet_Contents'!$A$2:$A$3000,$A2,'07_Pallet_Contents'!$D$2:$D$3000))</f>
        <v>0</v>
      </c>
      <c r="Y268">
        <f>IF($A2="","",SUMIF('07_Pallet_Contents'!$A$2:$A$3000,$A2,'07_Pallet_Contents'!$I$2:$I$3000))</f>
        <v>0</v>
      </c>
      <c r="Z268" t="str">
        <f>IF($A2="","",IF(COUNTIF('07_Pallet_Contents'!$A$2:$A$3000,$A2)&gt;0,"Yes",""))</f>
        <v/>
      </c>
    </row>
    <row r="269" spans="1:26">
      <c r="A269" s="4" t="s">
        <v>579</v>
      </c>
      <c r="B269" s="31"/>
      <c r="D269" t="str">
        <f>IF($C269="","",IFERROR(LOOKUP(2,1/('03_Warehouse_Movements'!$C$2:$C$500=$A269),'03_Warehouse_Movements'!$E$2:$E$500),$C269))</f>
        <v/>
      </c>
      <c r="E269" t="s">
        <v>209</v>
      </c>
      <c r="G269" s="34"/>
      <c r="H269" s="33" t="str">
        <f t="shared" si="8"/>
        <v/>
      </c>
      <c r="I269" s="31"/>
      <c r="J269" s="31"/>
      <c r="K269" s="33"/>
      <c r="M269" s="69" t="str">
        <f>IF($C269="","",IFERROR(LOOKUP(2,1/('03_Warehouse_Movements'!$C$2:$C$500=$A269),'03_Warehouse_Movements'!$A$2:$A$500),""))</f>
        <v/>
      </c>
      <c r="N269" t="str">
        <f>IF($C269="","",IFERROR(LOOKUP(2,1/('03_Warehouse_Movements'!$C$2:$C$500=$A269),'03_Warehouse_Movements'!$H$2:$H$500),""))</f>
        <v/>
      </c>
      <c r="O269" t="str">
        <f t="shared" si="9"/>
        <v>PAL-0000269</v>
      </c>
      <c r="Q269" s="34"/>
      <c r="R269" s="33"/>
      <c r="W269">
        <f>IF($A2="","",COUNTIF('07_Pallet_Contents'!$A$2:$A$3000,$A2))</f>
        <v>0</v>
      </c>
      <c r="X269">
        <f>IF($A2="","",SUMIF('07_Pallet_Contents'!$A$2:$A$3000,$A2,'07_Pallet_Contents'!$D$2:$D$3000))</f>
        <v>0</v>
      </c>
      <c r="Y269">
        <f>IF($A2="","",SUMIF('07_Pallet_Contents'!$A$2:$A$3000,$A2,'07_Pallet_Contents'!$I$2:$I$3000))</f>
        <v>0</v>
      </c>
      <c r="Z269" t="str">
        <f>IF($A2="","",IF(COUNTIF('07_Pallet_Contents'!$A$2:$A$3000,$A2)&gt;0,"Yes",""))</f>
        <v/>
      </c>
    </row>
    <row r="270" spans="1:26">
      <c r="A270" s="4" t="s">
        <v>580</v>
      </c>
      <c r="B270" s="31"/>
      <c r="D270" t="str">
        <f>IF($C270="","",IFERROR(LOOKUP(2,1/('03_Warehouse_Movements'!$C$2:$C$500=$A270),'03_Warehouse_Movements'!$E$2:$E$500),$C270))</f>
        <v/>
      </c>
      <c r="E270" t="s">
        <v>209</v>
      </c>
      <c r="G270" s="34"/>
      <c r="H270" s="33" t="str">
        <f t="shared" si="8"/>
        <v/>
      </c>
      <c r="I270" s="31"/>
      <c r="J270" s="31"/>
      <c r="K270" s="33"/>
      <c r="M270" s="69" t="str">
        <f>IF($C270="","",IFERROR(LOOKUP(2,1/('03_Warehouse_Movements'!$C$2:$C$500=$A270),'03_Warehouse_Movements'!$A$2:$A$500),""))</f>
        <v/>
      </c>
      <c r="N270" t="str">
        <f>IF($C270="","",IFERROR(LOOKUP(2,1/('03_Warehouse_Movements'!$C$2:$C$500=$A270),'03_Warehouse_Movements'!$H$2:$H$500),""))</f>
        <v/>
      </c>
      <c r="O270" t="str">
        <f t="shared" si="9"/>
        <v>PAL-0000270</v>
      </c>
      <c r="Q270" s="34"/>
      <c r="R270" s="33"/>
      <c r="W270">
        <f>IF($A2="","",COUNTIF('07_Pallet_Contents'!$A$2:$A$3000,$A2))</f>
        <v>0</v>
      </c>
      <c r="X270">
        <f>IF($A2="","",SUMIF('07_Pallet_Contents'!$A$2:$A$3000,$A2,'07_Pallet_Contents'!$D$2:$D$3000))</f>
        <v>0</v>
      </c>
      <c r="Y270">
        <f>IF($A2="","",SUMIF('07_Pallet_Contents'!$A$2:$A$3000,$A2,'07_Pallet_Contents'!$I$2:$I$3000))</f>
        <v>0</v>
      </c>
      <c r="Z270" t="str">
        <f>IF($A2="","",IF(COUNTIF('07_Pallet_Contents'!$A$2:$A$3000,$A2)&gt;0,"Yes",""))</f>
        <v/>
      </c>
    </row>
    <row r="271" spans="1:26">
      <c r="A271" s="4" t="s">
        <v>581</v>
      </c>
      <c r="B271" s="31"/>
      <c r="D271" t="str">
        <f>IF($C271="","",IFERROR(LOOKUP(2,1/('03_Warehouse_Movements'!$C$2:$C$500=$A271),'03_Warehouse_Movements'!$E$2:$E$500),$C271))</f>
        <v/>
      </c>
      <c r="E271" t="s">
        <v>209</v>
      </c>
      <c r="G271" s="34"/>
      <c r="H271" s="33" t="str">
        <f t="shared" si="8"/>
        <v/>
      </c>
      <c r="I271" s="31"/>
      <c r="J271" s="31"/>
      <c r="K271" s="33"/>
      <c r="M271" s="69" t="str">
        <f>IF($C271="","",IFERROR(LOOKUP(2,1/('03_Warehouse_Movements'!$C$2:$C$500=$A271),'03_Warehouse_Movements'!$A$2:$A$500),""))</f>
        <v/>
      </c>
      <c r="N271" t="str">
        <f>IF($C271="","",IFERROR(LOOKUP(2,1/('03_Warehouse_Movements'!$C$2:$C$500=$A271),'03_Warehouse_Movements'!$H$2:$H$500),""))</f>
        <v/>
      </c>
      <c r="O271" t="str">
        <f t="shared" si="9"/>
        <v>PAL-0000271</v>
      </c>
      <c r="Q271" s="34"/>
      <c r="R271" s="33"/>
      <c r="W271">
        <f>IF($A2="","",COUNTIF('07_Pallet_Contents'!$A$2:$A$3000,$A2))</f>
        <v>0</v>
      </c>
      <c r="X271">
        <f>IF($A2="","",SUMIF('07_Pallet_Contents'!$A$2:$A$3000,$A2,'07_Pallet_Contents'!$D$2:$D$3000))</f>
        <v>0</v>
      </c>
      <c r="Y271">
        <f>IF($A2="","",SUMIF('07_Pallet_Contents'!$A$2:$A$3000,$A2,'07_Pallet_Contents'!$I$2:$I$3000))</f>
        <v>0</v>
      </c>
      <c r="Z271" t="str">
        <f>IF($A2="","",IF(COUNTIF('07_Pallet_Contents'!$A$2:$A$3000,$A2)&gt;0,"Yes",""))</f>
        <v/>
      </c>
    </row>
    <row r="272" spans="1:26">
      <c r="A272" s="4" t="s">
        <v>582</v>
      </c>
      <c r="B272" s="31"/>
      <c r="D272" t="str">
        <f>IF($C272="","",IFERROR(LOOKUP(2,1/('03_Warehouse_Movements'!$C$2:$C$500=$A272),'03_Warehouse_Movements'!$E$2:$E$500),$C272))</f>
        <v/>
      </c>
      <c r="E272" t="s">
        <v>209</v>
      </c>
      <c r="G272" s="34"/>
      <c r="H272" s="33" t="str">
        <f t="shared" si="8"/>
        <v/>
      </c>
      <c r="I272" s="31"/>
      <c r="J272" s="31"/>
      <c r="K272" s="33"/>
      <c r="M272" s="69" t="str">
        <f>IF($C272="","",IFERROR(LOOKUP(2,1/('03_Warehouse_Movements'!$C$2:$C$500=$A272),'03_Warehouse_Movements'!$A$2:$A$500),""))</f>
        <v/>
      </c>
      <c r="N272" t="str">
        <f>IF($C272="","",IFERROR(LOOKUP(2,1/('03_Warehouse_Movements'!$C$2:$C$500=$A272),'03_Warehouse_Movements'!$H$2:$H$500),""))</f>
        <v/>
      </c>
      <c r="O272" t="str">
        <f t="shared" si="9"/>
        <v>PAL-0000272</v>
      </c>
      <c r="Q272" s="34"/>
      <c r="R272" s="33"/>
      <c r="W272">
        <f>IF($A2="","",COUNTIF('07_Pallet_Contents'!$A$2:$A$3000,$A2))</f>
        <v>0</v>
      </c>
      <c r="X272">
        <f>IF($A2="","",SUMIF('07_Pallet_Contents'!$A$2:$A$3000,$A2,'07_Pallet_Contents'!$D$2:$D$3000))</f>
        <v>0</v>
      </c>
      <c r="Y272">
        <f>IF($A2="","",SUMIF('07_Pallet_Contents'!$A$2:$A$3000,$A2,'07_Pallet_Contents'!$I$2:$I$3000))</f>
        <v>0</v>
      </c>
      <c r="Z272" t="str">
        <f>IF($A2="","",IF(COUNTIF('07_Pallet_Contents'!$A$2:$A$3000,$A2)&gt;0,"Yes",""))</f>
        <v/>
      </c>
    </row>
    <row r="273" spans="1:26">
      <c r="A273" s="4" t="s">
        <v>583</v>
      </c>
      <c r="B273" s="31"/>
      <c r="D273" t="str">
        <f>IF($C273="","",IFERROR(LOOKUP(2,1/('03_Warehouse_Movements'!$C$2:$C$500=$A273),'03_Warehouse_Movements'!$E$2:$E$500),$C273))</f>
        <v/>
      </c>
      <c r="E273" t="s">
        <v>209</v>
      </c>
      <c r="G273" s="34"/>
      <c r="H273" s="33" t="str">
        <f t="shared" si="8"/>
        <v/>
      </c>
      <c r="I273" s="31"/>
      <c r="J273" s="31"/>
      <c r="K273" s="33"/>
      <c r="M273" s="69" t="str">
        <f>IF($C273="","",IFERROR(LOOKUP(2,1/('03_Warehouse_Movements'!$C$2:$C$500=$A273),'03_Warehouse_Movements'!$A$2:$A$500),""))</f>
        <v/>
      </c>
      <c r="N273" t="str">
        <f>IF($C273="","",IFERROR(LOOKUP(2,1/('03_Warehouse_Movements'!$C$2:$C$500=$A273),'03_Warehouse_Movements'!$H$2:$H$500),""))</f>
        <v/>
      </c>
      <c r="O273" t="str">
        <f t="shared" si="9"/>
        <v>PAL-0000273</v>
      </c>
      <c r="Q273" s="34"/>
      <c r="R273" s="33"/>
      <c r="W273">
        <f>IF($A2="","",COUNTIF('07_Pallet_Contents'!$A$2:$A$3000,$A2))</f>
        <v>0</v>
      </c>
      <c r="X273">
        <f>IF($A2="","",SUMIF('07_Pallet_Contents'!$A$2:$A$3000,$A2,'07_Pallet_Contents'!$D$2:$D$3000))</f>
        <v>0</v>
      </c>
      <c r="Y273">
        <f>IF($A2="","",SUMIF('07_Pallet_Contents'!$A$2:$A$3000,$A2,'07_Pallet_Contents'!$I$2:$I$3000))</f>
        <v>0</v>
      </c>
      <c r="Z273" t="str">
        <f>IF($A2="","",IF(COUNTIF('07_Pallet_Contents'!$A$2:$A$3000,$A2)&gt;0,"Yes",""))</f>
        <v/>
      </c>
    </row>
    <row r="274" spans="1:26">
      <c r="A274" s="4" t="s">
        <v>584</v>
      </c>
      <c r="B274" s="31"/>
      <c r="D274" t="str">
        <f>IF($C274="","",IFERROR(LOOKUP(2,1/('03_Warehouse_Movements'!$C$2:$C$500=$A274),'03_Warehouse_Movements'!$E$2:$E$500),$C274))</f>
        <v/>
      </c>
      <c r="E274" t="s">
        <v>209</v>
      </c>
      <c r="G274" s="34"/>
      <c r="H274" s="33" t="str">
        <f t="shared" si="8"/>
        <v/>
      </c>
      <c r="I274" s="31"/>
      <c r="J274" s="31"/>
      <c r="K274" s="33"/>
      <c r="M274" s="69" t="str">
        <f>IF($C274="","",IFERROR(LOOKUP(2,1/('03_Warehouse_Movements'!$C$2:$C$500=$A274),'03_Warehouse_Movements'!$A$2:$A$500),""))</f>
        <v/>
      </c>
      <c r="N274" t="str">
        <f>IF($C274="","",IFERROR(LOOKUP(2,1/('03_Warehouse_Movements'!$C$2:$C$500=$A274),'03_Warehouse_Movements'!$H$2:$H$500),""))</f>
        <v/>
      </c>
      <c r="O274" t="str">
        <f t="shared" si="9"/>
        <v>PAL-0000274</v>
      </c>
      <c r="Q274" s="34"/>
      <c r="R274" s="33"/>
      <c r="W274">
        <f>IF($A2="","",COUNTIF('07_Pallet_Contents'!$A$2:$A$3000,$A2))</f>
        <v>0</v>
      </c>
      <c r="X274">
        <f>IF($A2="","",SUMIF('07_Pallet_Contents'!$A$2:$A$3000,$A2,'07_Pallet_Contents'!$D$2:$D$3000))</f>
        <v>0</v>
      </c>
      <c r="Y274">
        <f>IF($A2="","",SUMIF('07_Pallet_Contents'!$A$2:$A$3000,$A2,'07_Pallet_Contents'!$I$2:$I$3000))</f>
        <v>0</v>
      </c>
      <c r="Z274" t="str">
        <f>IF($A2="","",IF(COUNTIF('07_Pallet_Contents'!$A$2:$A$3000,$A2)&gt;0,"Yes",""))</f>
        <v/>
      </c>
    </row>
    <row r="275" spans="1:26">
      <c r="A275" s="4" t="s">
        <v>585</v>
      </c>
      <c r="B275" s="31"/>
      <c r="D275" t="str">
        <f>IF($C275="","",IFERROR(LOOKUP(2,1/('03_Warehouse_Movements'!$C$2:$C$500=$A275),'03_Warehouse_Movements'!$E$2:$E$500),$C275))</f>
        <v/>
      </c>
      <c r="E275" t="s">
        <v>209</v>
      </c>
      <c r="G275" s="34"/>
      <c r="H275" s="33" t="str">
        <f t="shared" si="8"/>
        <v/>
      </c>
      <c r="I275" s="31"/>
      <c r="J275" s="31"/>
      <c r="K275" s="33"/>
      <c r="M275" s="69" t="str">
        <f>IF($C275="","",IFERROR(LOOKUP(2,1/('03_Warehouse_Movements'!$C$2:$C$500=$A275),'03_Warehouse_Movements'!$A$2:$A$500),""))</f>
        <v/>
      </c>
      <c r="N275" t="str">
        <f>IF($C275="","",IFERROR(LOOKUP(2,1/('03_Warehouse_Movements'!$C$2:$C$500=$A275),'03_Warehouse_Movements'!$H$2:$H$500),""))</f>
        <v/>
      </c>
      <c r="O275" t="str">
        <f t="shared" si="9"/>
        <v>PAL-0000275</v>
      </c>
      <c r="Q275" s="34"/>
      <c r="R275" s="33"/>
      <c r="W275">
        <f>IF($A2="","",COUNTIF('07_Pallet_Contents'!$A$2:$A$3000,$A2))</f>
        <v>0</v>
      </c>
      <c r="X275">
        <f>IF($A2="","",SUMIF('07_Pallet_Contents'!$A$2:$A$3000,$A2,'07_Pallet_Contents'!$D$2:$D$3000))</f>
        <v>0</v>
      </c>
      <c r="Y275">
        <f>IF($A2="","",SUMIF('07_Pallet_Contents'!$A$2:$A$3000,$A2,'07_Pallet_Contents'!$I$2:$I$3000))</f>
        <v>0</v>
      </c>
      <c r="Z275" t="str">
        <f>IF($A2="","",IF(COUNTIF('07_Pallet_Contents'!$A$2:$A$3000,$A2)&gt;0,"Yes",""))</f>
        <v/>
      </c>
    </row>
    <row r="276" spans="1:26">
      <c r="A276" s="4" t="s">
        <v>586</v>
      </c>
      <c r="B276" s="31"/>
      <c r="D276" t="str">
        <f>IF($C276="","",IFERROR(LOOKUP(2,1/('03_Warehouse_Movements'!$C$2:$C$500=$A276),'03_Warehouse_Movements'!$E$2:$E$500),$C276))</f>
        <v/>
      </c>
      <c r="E276" t="s">
        <v>209</v>
      </c>
      <c r="G276" s="34"/>
      <c r="H276" s="33" t="str">
        <f t="shared" si="8"/>
        <v/>
      </c>
      <c r="I276" s="31"/>
      <c r="J276" s="31"/>
      <c r="K276" s="33"/>
      <c r="M276" s="69" t="str">
        <f>IF($C276="","",IFERROR(LOOKUP(2,1/('03_Warehouse_Movements'!$C$2:$C$500=$A276),'03_Warehouse_Movements'!$A$2:$A$500),""))</f>
        <v/>
      </c>
      <c r="N276" t="str">
        <f>IF($C276="","",IFERROR(LOOKUP(2,1/('03_Warehouse_Movements'!$C$2:$C$500=$A276),'03_Warehouse_Movements'!$H$2:$H$500),""))</f>
        <v/>
      </c>
      <c r="O276" t="str">
        <f t="shared" si="9"/>
        <v>PAL-0000276</v>
      </c>
      <c r="Q276" s="34"/>
      <c r="R276" s="33"/>
      <c r="W276">
        <f>IF($A2="","",COUNTIF('07_Pallet_Contents'!$A$2:$A$3000,$A2))</f>
        <v>0</v>
      </c>
      <c r="X276">
        <f>IF($A2="","",SUMIF('07_Pallet_Contents'!$A$2:$A$3000,$A2,'07_Pallet_Contents'!$D$2:$D$3000))</f>
        <v>0</v>
      </c>
      <c r="Y276">
        <f>IF($A2="","",SUMIF('07_Pallet_Contents'!$A$2:$A$3000,$A2,'07_Pallet_Contents'!$I$2:$I$3000))</f>
        <v>0</v>
      </c>
      <c r="Z276" t="str">
        <f>IF($A2="","",IF(COUNTIF('07_Pallet_Contents'!$A$2:$A$3000,$A2)&gt;0,"Yes",""))</f>
        <v/>
      </c>
    </row>
    <row r="277" spans="1:26">
      <c r="A277" s="4" t="s">
        <v>587</v>
      </c>
      <c r="B277" s="31"/>
      <c r="D277" t="str">
        <f>IF($C277="","",IFERROR(LOOKUP(2,1/('03_Warehouse_Movements'!$C$2:$C$500=$A277),'03_Warehouse_Movements'!$E$2:$E$500),$C277))</f>
        <v/>
      </c>
      <c r="E277" t="s">
        <v>209</v>
      </c>
      <c r="G277" s="34"/>
      <c r="H277" s="33" t="str">
        <f t="shared" si="8"/>
        <v/>
      </c>
      <c r="I277" s="31"/>
      <c r="J277" s="31"/>
      <c r="K277" s="33"/>
      <c r="M277" s="69" t="str">
        <f>IF($C277="","",IFERROR(LOOKUP(2,1/('03_Warehouse_Movements'!$C$2:$C$500=$A277),'03_Warehouse_Movements'!$A$2:$A$500),""))</f>
        <v/>
      </c>
      <c r="N277" t="str">
        <f>IF($C277="","",IFERROR(LOOKUP(2,1/('03_Warehouse_Movements'!$C$2:$C$500=$A277),'03_Warehouse_Movements'!$H$2:$H$500),""))</f>
        <v/>
      </c>
      <c r="O277" t="str">
        <f t="shared" si="9"/>
        <v>PAL-0000277</v>
      </c>
      <c r="Q277" s="34"/>
      <c r="R277" s="33"/>
      <c r="W277">
        <f>IF($A2="","",COUNTIF('07_Pallet_Contents'!$A$2:$A$3000,$A2))</f>
        <v>0</v>
      </c>
      <c r="X277">
        <f>IF($A2="","",SUMIF('07_Pallet_Contents'!$A$2:$A$3000,$A2,'07_Pallet_Contents'!$D$2:$D$3000))</f>
        <v>0</v>
      </c>
      <c r="Y277">
        <f>IF($A2="","",SUMIF('07_Pallet_Contents'!$A$2:$A$3000,$A2,'07_Pallet_Contents'!$I$2:$I$3000))</f>
        <v>0</v>
      </c>
      <c r="Z277" t="str">
        <f>IF($A2="","",IF(COUNTIF('07_Pallet_Contents'!$A$2:$A$3000,$A2)&gt;0,"Yes",""))</f>
        <v/>
      </c>
    </row>
    <row r="278" spans="1:26">
      <c r="A278" s="4" t="s">
        <v>588</v>
      </c>
      <c r="B278" s="31"/>
      <c r="D278" t="str">
        <f>IF($C278="","",IFERROR(LOOKUP(2,1/('03_Warehouse_Movements'!$C$2:$C$500=$A278),'03_Warehouse_Movements'!$E$2:$E$500),$C278))</f>
        <v/>
      </c>
      <c r="E278" t="s">
        <v>209</v>
      </c>
      <c r="G278" s="34"/>
      <c r="H278" s="33" t="str">
        <f t="shared" si="8"/>
        <v/>
      </c>
      <c r="I278" s="31"/>
      <c r="J278" s="31"/>
      <c r="K278" s="33"/>
      <c r="M278" s="69" t="str">
        <f>IF($C278="","",IFERROR(LOOKUP(2,1/('03_Warehouse_Movements'!$C$2:$C$500=$A278),'03_Warehouse_Movements'!$A$2:$A$500),""))</f>
        <v/>
      </c>
      <c r="N278" t="str">
        <f>IF($C278="","",IFERROR(LOOKUP(2,1/('03_Warehouse_Movements'!$C$2:$C$500=$A278),'03_Warehouse_Movements'!$H$2:$H$500),""))</f>
        <v/>
      </c>
      <c r="O278" t="str">
        <f t="shared" si="9"/>
        <v>PAL-0000278</v>
      </c>
      <c r="Q278" s="34"/>
      <c r="R278" s="33"/>
      <c r="W278">
        <f>IF($A2="","",COUNTIF('07_Pallet_Contents'!$A$2:$A$3000,$A2))</f>
        <v>0</v>
      </c>
      <c r="X278">
        <f>IF($A2="","",SUMIF('07_Pallet_Contents'!$A$2:$A$3000,$A2,'07_Pallet_Contents'!$D$2:$D$3000))</f>
        <v>0</v>
      </c>
      <c r="Y278">
        <f>IF($A2="","",SUMIF('07_Pallet_Contents'!$A$2:$A$3000,$A2,'07_Pallet_Contents'!$I$2:$I$3000))</f>
        <v>0</v>
      </c>
      <c r="Z278" t="str">
        <f>IF($A2="","",IF(COUNTIF('07_Pallet_Contents'!$A$2:$A$3000,$A2)&gt;0,"Yes",""))</f>
        <v/>
      </c>
    </row>
    <row r="279" spans="1:26">
      <c r="A279" s="4" t="s">
        <v>589</v>
      </c>
      <c r="B279" s="31"/>
      <c r="D279" t="str">
        <f>IF($C279="","",IFERROR(LOOKUP(2,1/('03_Warehouse_Movements'!$C$2:$C$500=$A279),'03_Warehouse_Movements'!$E$2:$E$500),$C279))</f>
        <v/>
      </c>
      <c r="E279" t="s">
        <v>209</v>
      </c>
      <c r="G279" s="34"/>
      <c r="H279" s="33" t="str">
        <f t="shared" si="8"/>
        <v/>
      </c>
      <c r="I279" s="31"/>
      <c r="J279" s="31"/>
      <c r="K279" s="33"/>
      <c r="M279" s="69" t="str">
        <f>IF($C279="","",IFERROR(LOOKUP(2,1/('03_Warehouse_Movements'!$C$2:$C$500=$A279),'03_Warehouse_Movements'!$A$2:$A$500),""))</f>
        <v/>
      </c>
      <c r="N279" t="str">
        <f>IF($C279="","",IFERROR(LOOKUP(2,1/('03_Warehouse_Movements'!$C$2:$C$500=$A279),'03_Warehouse_Movements'!$H$2:$H$500),""))</f>
        <v/>
      </c>
      <c r="O279" t="str">
        <f t="shared" si="9"/>
        <v>PAL-0000279</v>
      </c>
      <c r="Q279" s="34"/>
      <c r="R279" s="33"/>
      <c r="W279">
        <f>IF($A2="","",COUNTIF('07_Pallet_Contents'!$A$2:$A$3000,$A2))</f>
        <v>0</v>
      </c>
      <c r="X279">
        <f>IF($A2="","",SUMIF('07_Pallet_Contents'!$A$2:$A$3000,$A2,'07_Pallet_Contents'!$D$2:$D$3000))</f>
        <v>0</v>
      </c>
      <c r="Y279">
        <f>IF($A2="","",SUMIF('07_Pallet_Contents'!$A$2:$A$3000,$A2,'07_Pallet_Contents'!$I$2:$I$3000))</f>
        <v>0</v>
      </c>
      <c r="Z279" t="str">
        <f>IF($A2="","",IF(COUNTIF('07_Pallet_Contents'!$A$2:$A$3000,$A2)&gt;0,"Yes",""))</f>
        <v/>
      </c>
    </row>
    <row r="280" spans="1:26">
      <c r="A280" s="4" t="s">
        <v>590</v>
      </c>
      <c r="B280" s="31"/>
      <c r="D280" t="str">
        <f>IF($C280="","",IFERROR(LOOKUP(2,1/('03_Warehouse_Movements'!$C$2:$C$500=$A280),'03_Warehouse_Movements'!$E$2:$E$500),$C280))</f>
        <v/>
      </c>
      <c r="E280" t="s">
        <v>209</v>
      </c>
      <c r="G280" s="34"/>
      <c r="H280" s="33" t="str">
        <f t="shared" si="8"/>
        <v/>
      </c>
      <c r="I280" s="31"/>
      <c r="J280" s="31"/>
      <c r="K280" s="33"/>
      <c r="M280" s="69" t="str">
        <f>IF($C280="","",IFERROR(LOOKUP(2,1/('03_Warehouse_Movements'!$C$2:$C$500=$A280),'03_Warehouse_Movements'!$A$2:$A$500),""))</f>
        <v/>
      </c>
      <c r="N280" t="str">
        <f>IF($C280="","",IFERROR(LOOKUP(2,1/('03_Warehouse_Movements'!$C$2:$C$500=$A280),'03_Warehouse_Movements'!$H$2:$H$500),""))</f>
        <v/>
      </c>
      <c r="O280" t="str">
        <f t="shared" si="9"/>
        <v>PAL-0000280</v>
      </c>
      <c r="Q280" s="34"/>
      <c r="R280" s="33"/>
      <c r="W280">
        <f>IF($A2="","",COUNTIF('07_Pallet_Contents'!$A$2:$A$3000,$A2))</f>
        <v>0</v>
      </c>
      <c r="X280">
        <f>IF($A2="","",SUMIF('07_Pallet_Contents'!$A$2:$A$3000,$A2,'07_Pallet_Contents'!$D$2:$D$3000))</f>
        <v>0</v>
      </c>
      <c r="Y280">
        <f>IF($A2="","",SUMIF('07_Pallet_Contents'!$A$2:$A$3000,$A2,'07_Pallet_Contents'!$I$2:$I$3000))</f>
        <v>0</v>
      </c>
      <c r="Z280" t="str">
        <f>IF($A2="","",IF(COUNTIF('07_Pallet_Contents'!$A$2:$A$3000,$A2)&gt;0,"Yes",""))</f>
        <v/>
      </c>
    </row>
    <row r="281" spans="1:26">
      <c r="A281" s="4" t="s">
        <v>591</v>
      </c>
      <c r="B281" s="31"/>
      <c r="D281" t="str">
        <f>IF($C281="","",IFERROR(LOOKUP(2,1/('03_Warehouse_Movements'!$C$2:$C$500=$A281),'03_Warehouse_Movements'!$E$2:$E$500),$C281))</f>
        <v/>
      </c>
      <c r="E281" t="s">
        <v>209</v>
      </c>
      <c r="G281" s="34"/>
      <c r="H281" s="33" t="str">
        <f t="shared" si="8"/>
        <v/>
      </c>
      <c r="I281" s="31"/>
      <c r="J281" s="31"/>
      <c r="K281" s="33"/>
      <c r="M281" s="69" t="str">
        <f>IF($C281="","",IFERROR(LOOKUP(2,1/('03_Warehouse_Movements'!$C$2:$C$500=$A281),'03_Warehouse_Movements'!$A$2:$A$500),""))</f>
        <v/>
      </c>
      <c r="N281" t="str">
        <f>IF($C281="","",IFERROR(LOOKUP(2,1/('03_Warehouse_Movements'!$C$2:$C$500=$A281),'03_Warehouse_Movements'!$H$2:$H$500),""))</f>
        <v/>
      </c>
      <c r="O281" t="str">
        <f t="shared" si="9"/>
        <v>PAL-0000281</v>
      </c>
      <c r="Q281" s="34"/>
      <c r="R281" s="33"/>
      <c r="W281">
        <f>IF($A2="","",COUNTIF('07_Pallet_Contents'!$A$2:$A$3000,$A2))</f>
        <v>0</v>
      </c>
      <c r="X281">
        <f>IF($A2="","",SUMIF('07_Pallet_Contents'!$A$2:$A$3000,$A2,'07_Pallet_Contents'!$D$2:$D$3000))</f>
        <v>0</v>
      </c>
      <c r="Y281">
        <f>IF($A2="","",SUMIF('07_Pallet_Contents'!$A$2:$A$3000,$A2,'07_Pallet_Contents'!$I$2:$I$3000))</f>
        <v>0</v>
      </c>
      <c r="Z281" t="str">
        <f>IF($A2="","",IF(COUNTIF('07_Pallet_Contents'!$A$2:$A$3000,$A2)&gt;0,"Yes",""))</f>
        <v/>
      </c>
    </row>
    <row r="282" spans="1:26">
      <c r="A282" s="4" t="s">
        <v>592</v>
      </c>
      <c r="B282" s="31"/>
      <c r="D282" t="str">
        <f>IF($C282="","",IFERROR(LOOKUP(2,1/('03_Warehouse_Movements'!$C$2:$C$500=$A282),'03_Warehouse_Movements'!$E$2:$E$500),$C282))</f>
        <v/>
      </c>
      <c r="E282" t="s">
        <v>209</v>
      </c>
      <c r="G282" s="34"/>
      <c r="H282" s="33" t="str">
        <f t="shared" si="8"/>
        <v/>
      </c>
      <c r="I282" s="31"/>
      <c r="J282" s="31"/>
      <c r="K282" s="33"/>
      <c r="M282" s="69" t="str">
        <f>IF($C282="","",IFERROR(LOOKUP(2,1/('03_Warehouse_Movements'!$C$2:$C$500=$A282),'03_Warehouse_Movements'!$A$2:$A$500),""))</f>
        <v/>
      </c>
      <c r="N282" t="str">
        <f>IF($C282="","",IFERROR(LOOKUP(2,1/('03_Warehouse_Movements'!$C$2:$C$500=$A282),'03_Warehouse_Movements'!$H$2:$H$500),""))</f>
        <v/>
      </c>
      <c r="O282" t="str">
        <f t="shared" si="9"/>
        <v>PAL-0000282</v>
      </c>
      <c r="Q282" s="34"/>
      <c r="R282" s="33"/>
      <c r="W282">
        <f>IF($A2="","",COUNTIF('07_Pallet_Contents'!$A$2:$A$3000,$A2))</f>
        <v>0</v>
      </c>
      <c r="X282">
        <f>IF($A2="","",SUMIF('07_Pallet_Contents'!$A$2:$A$3000,$A2,'07_Pallet_Contents'!$D$2:$D$3000))</f>
        <v>0</v>
      </c>
      <c r="Y282">
        <f>IF($A2="","",SUMIF('07_Pallet_Contents'!$A$2:$A$3000,$A2,'07_Pallet_Contents'!$I$2:$I$3000))</f>
        <v>0</v>
      </c>
      <c r="Z282" t="str">
        <f>IF($A2="","",IF(COUNTIF('07_Pallet_Contents'!$A$2:$A$3000,$A2)&gt;0,"Yes",""))</f>
        <v/>
      </c>
    </row>
    <row r="283" spans="1:26">
      <c r="A283" s="4" t="s">
        <v>593</v>
      </c>
      <c r="B283" s="31"/>
      <c r="D283" t="str">
        <f>IF($C283="","",IFERROR(LOOKUP(2,1/('03_Warehouse_Movements'!$C$2:$C$500=$A283),'03_Warehouse_Movements'!$E$2:$E$500),$C283))</f>
        <v/>
      </c>
      <c r="E283" t="s">
        <v>209</v>
      </c>
      <c r="G283" s="34"/>
      <c r="H283" s="33" t="str">
        <f t="shared" si="8"/>
        <v/>
      </c>
      <c r="I283" s="31"/>
      <c r="J283" s="31"/>
      <c r="K283" s="33"/>
      <c r="M283" s="69" t="str">
        <f>IF($C283="","",IFERROR(LOOKUP(2,1/('03_Warehouse_Movements'!$C$2:$C$500=$A283),'03_Warehouse_Movements'!$A$2:$A$500),""))</f>
        <v/>
      </c>
      <c r="N283" t="str">
        <f>IF($C283="","",IFERROR(LOOKUP(2,1/('03_Warehouse_Movements'!$C$2:$C$500=$A283),'03_Warehouse_Movements'!$H$2:$H$500),""))</f>
        <v/>
      </c>
      <c r="O283" t="str">
        <f t="shared" si="9"/>
        <v>PAL-0000283</v>
      </c>
      <c r="Q283" s="34"/>
      <c r="R283" s="33"/>
      <c r="W283">
        <f>IF($A2="","",COUNTIF('07_Pallet_Contents'!$A$2:$A$3000,$A2))</f>
        <v>0</v>
      </c>
      <c r="X283">
        <f>IF($A2="","",SUMIF('07_Pallet_Contents'!$A$2:$A$3000,$A2,'07_Pallet_Contents'!$D$2:$D$3000))</f>
        <v>0</v>
      </c>
      <c r="Y283">
        <f>IF($A2="","",SUMIF('07_Pallet_Contents'!$A$2:$A$3000,$A2,'07_Pallet_Contents'!$I$2:$I$3000))</f>
        <v>0</v>
      </c>
      <c r="Z283" t="str">
        <f>IF($A2="","",IF(COUNTIF('07_Pallet_Contents'!$A$2:$A$3000,$A2)&gt;0,"Yes",""))</f>
        <v/>
      </c>
    </row>
    <row r="284" spans="1:26">
      <c r="A284" s="4" t="s">
        <v>594</v>
      </c>
      <c r="B284" s="31"/>
      <c r="D284" t="str">
        <f>IF($C284="","",IFERROR(LOOKUP(2,1/('03_Warehouse_Movements'!$C$2:$C$500=$A284),'03_Warehouse_Movements'!$E$2:$E$500),$C284))</f>
        <v/>
      </c>
      <c r="E284" t="s">
        <v>209</v>
      </c>
      <c r="G284" s="34"/>
      <c r="H284" s="33" t="str">
        <f t="shared" si="8"/>
        <v/>
      </c>
      <c r="I284" s="31"/>
      <c r="J284" s="31"/>
      <c r="K284" s="33"/>
      <c r="M284" s="69" t="str">
        <f>IF($C284="","",IFERROR(LOOKUP(2,1/('03_Warehouse_Movements'!$C$2:$C$500=$A284),'03_Warehouse_Movements'!$A$2:$A$500),""))</f>
        <v/>
      </c>
      <c r="N284" t="str">
        <f>IF($C284="","",IFERROR(LOOKUP(2,1/('03_Warehouse_Movements'!$C$2:$C$500=$A284),'03_Warehouse_Movements'!$H$2:$H$500),""))</f>
        <v/>
      </c>
      <c r="O284" t="str">
        <f t="shared" si="9"/>
        <v>PAL-0000284</v>
      </c>
      <c r="Q284" s="34"/>
      <c r="R284" s="33"/>
      <c r="W284">
        <f>IF($A2="","",COUNTIF('07_Pallet_Contents'!$A$2:$A$3000,$A2))</f>
        <v>0</v>
      </c>
      <c r="X284">
        <f>IF($A2="","",SUMIF('07_Pallet_Contents'!$A$2:$A$3000,$A2,'07_Pallet_Contents'!$D$2:$D$3000))</f>
        <v>0</v>
      </c>
      <c r="Y284">
        <f>IF($A2="","",SUMIF('07_Pallet_Contents'!$A$2:$A$3000,$A2,'07_Pallet_Contents'!$I$2:$I$3000))</f>
        <v>0</v>
      </c>
      <c r="Z284" t="str">
        <f>IF($A2="","",IF(COUNTIF('07_Pallet_Contents'!$A$2:$A$3000,$A2)&gt;0,"Yes",""))</f>
        <v/>
      </c>
    </row>
    <row r="285" spans="1:26">
      <c r="A285" s="4" t="s">
        <v>595</v>
      </c>
      <c r="B285" s="31"/>
      <c r="D285" t="str">
        <f>IF($C285="","",IFERROR(LOOKUP(2,1/('03_Warehouse_Movements'!$C$2:$C$500=$A285),'03_Warehouse_Movements'!$E$2:$E$500),$C285))</f>
        <v/>
      </c>
      <c r="E285" t="s">
        <v>209</v>
      </c>
      <c r="G285" s="34"/>
      <c r="H285" s="33" t="str">
        <f t="shared" si="8"/>
        <v/>
      </c>
      <c r="I285" s="31"/>
      <c r="J285" s="31"/>
      <c r="K285" s="33"/>
      <c r="M285" s="69" t="str">
        <f>IF($C285="","",IFERROR(LOOKUP(2,1/('03_Warehouse_Movements'!$C$2:$C$500=$A285),'03_Warehouse_Movements'!$A$2:$A$500),""))</f>
        <v/>
      </c>
      <c r="N285" t="str">
        <f>IF($C285="","",IFERROR(LOOKUP(2,1/('03_Warehouse_Movements'!$C$2:$C$500=$A285),'03_Warehouse_Movements'!$H$2:$H$500),""))</f>
        <v/>
      </c>
      <c r="O285" t="str">
        <f t="shared" si="9"/>
        <v>PAL-0000285</v>
      </c>
      <c r="Q285" s="34"/>
      <c r="R285" s="33"/>
      <c r="W285">
        <f>IF($A2="","",COUNTIF('07_Pallet_Contents'!$A$2:$A$3000,$A2))</f>
        <v>0</v>
      </c>
      <c r="X285">
        <f>IF($A2="","",SUMIF('07_Pallet_Contents'!$A$2:$A$3000,$A2,'07_Pallet_Contents'!$D$2:$D$3000))</f>
        <v>0</v>
      </c>
      <c r="Y285">
        <f>IF($A2="","",SUMIF('07_Pallet_Contents'!$A$2:$A$3000,$A2,'07_Pallet_Contents'!$I$2:$I$3000))</f>
        <v>0</v>
      </c>
      <c r="Z285" t="str">
        <f>IF($A2="","",IF(COUNTIF('07_Pallet_Contents'!$A$2:$A$3000,$A2)&gt;0,"Yes",""))</f>
        <v/>
      </c>
    </row>
    <row r="286" spans="1:26">
      <c r="A286" s="4" t="s">
        <v>596</v>
      </c>
      <c r="B286" s="31"/>
      <c r="D286" t="str">
        <f>IF($C286="","",IFERROR(LOOKUP(2,1/('03_Warehouse_Movements'!$C$2:$C$500=$A286),'03_Warehouse_Movements'!$E$2:$E$500),$C286))</f>
        <v/>
      </c>
      <c r="E286" t="s">
        <v>209</v>
      </c>
      <c r="G286" s="34"/>
      <c r="H286" s="33" t="str">
        <f t="shared" si="8"/>
        <v/>
      </c>
      <c r="I286" s="31"/>
      <c r="J286" s="31"/>
      <c r="K286" s="33"/>
      <c r="M286" s="69" t="str">
        <f>IF($C286="","",IFERROR(LOOKUP(2,1/('03_Warehouse_Movements'!$C$2:$C$500=$A286),'03_Warehouse_Movements'!$A$2:$A$500),""))</f>
        <v/>
      </c>
      <c r="N286" t="str">
        <f>IF($C286="","",IFERROR(LOOKUP(2,1/('03_Warehouse_Movements'!$C$2:$C$500=$A286),'03_Warehouse_Movements'!$H$2:$H$500),""))</f>
        <v/>
      </c>
      <c r="O286" t="str">
        <f t="shared" si="9"/>
        <v>PAL-0000286</v>
      </c>
      <c r="Q286" s="34"/>
      <c r="R286" s="33"/>
      <c r="W286">
        <f>IF($A2="","",COUNTIF('07_Pallet_Contents'!$A$2:$A$3000,$A2))</f>
        <v>0</v>
      </c>
      <c r="X286">
        <f>IF($A2="","",SUMIF('07_Pallet_Contents'!$A$2:$A$3000,$A2,'07_Pallet_Contents'!$D$2:$D$3000))</f>
        <v>0</v>
      </c>
      <c r="Y286">
        <f>IF($A2="","",SUMIF('07_Pallet_Contents'!$A$2:$A$3000,$A2,'07_Pallet_Contents'!$I$2:$I$3000))</f>
        <v>0</v>
      </c>
      <c r="Z286" t="str">
        <f>IF($A2="","",IF(COUNTIF('07_Pallet_Contents'!$A$2:$A$3000,$A2)&gt;0,"Yes",""))</f>
        <v/>
      </c>
    </row>
    <row r="287" spans="1:26">
      <c r="A287" s="4" t="s">
        <v>597</v>
      </c>
      <c r="B287" s="31"/>
      <c r="D287" t="str">
        <f>IF($C287="","",IFERROR(LOOKUP(2,1/('03_Warehouse_Movements'!$C$2:$C$500=$A287),'03_Warehouse_Movements'!$E$2:$E$500),$C287))</f>
        <v/>
      </c>
      <c r="E287" t="s">
        <v>209</v>
      </c>
      <c r="G287" s="34"/>
      <c r="H287" s="33" t="str">
        <f t="shared" si="8"/>
        <v/>
      </c>
      <c r="I287" s="31"/>
      <c r="J287" s="31"/>
      <c r="K287" s="33"/>
      <c r="M287" s="69" t="str">
        <f>IF($C287="","",IFERROR(LOOKUP(2,1/('03_Warehouse_Movements'!$C$2:$C$500=$A287),'03_Warehouse_Movements'!$A$2:$A$500),""))</f>
        <v/>
      </c>
      <c r="N287" t="str">
        <f>IF($C287="","",IFERROR(LOOKUP(2,1/('03_Warehouse_Movements'!$C$2:$C$500=$A287),'03_Warehouse_Movements'!$H$2:$H$500),""))</f>
        <v/>
      </c>
      <c r="O287" t="str">
        <f t="shared" si="9"/>
        <v>PAL-0000287</v>
      </c>
      <c r="Q287" s="34"/>
      <c r="R287" s="33"/>
      <c r="W287">
        <f>IF($A2="","",COUNTIF('07_Pallet_Contents'!$A$2:$A$3000,$A2))</f>
        <v>0</v>
      </c>
      <c r="X287">
        <f>IF($A2="","",SUMIF('07_Pallet_Contents'!$A$2:$A$3000,$A2,'07_Pallet_Contents'!$D$2:$D$3000))</f>
        <v>0</v>
      </c>
      <c r="Y287">
        <f>IF($A2="","",SUMIF('07_Pallet_Contents'!$A$2:$A$3000,$A2,'07_Pallet_Contents'!$I$2:$I$3000))</f>
        <v>0</v>
      </c>
      <c r="Z287" t="str">
        <f>IF($A2="","",IF(COUNTIF('07_Pallet_Contents'!$A$2:$A$3000,$A2)&gt;0,"Yes",""))</f>
        <v/>
      </c>
    </row>
    <row r="288" spans="1:26">
      <c r="A288" s="4" t="s">
        <v>598</v>
      </c>
      <c r="B288" s="31"/>
      <c r="D288" t="str">
        <f>IF($C288="","",IFERROR(LOOKUP(2,1/('03_Warehouse_Movements'!$C$2:$C$500=$A288),'03_Warehouse_Movements'!$E$2:$E$500),$C288))</f>
        <v/>
      </c>
      <c r="E288" t="s">
        <v>209</v>
      </c>
      <c r="G288" s="34"/>
      <c r="H288" s="33" t="str">
        <f t="shared" si="8"/>
        <v/>
      </c>
      <c r="I288" s="31"/>
      <c r="J288" s="31"/>
      <c r="K288" s="33"/>
      <c r="M288" s="69" t="str">
        <f>IF($C288="","",IFERROR(LOOKUP(2,1/('03_Warehouse_Movements'!$C$2:$C$500=$A288),'03_Warehouse_Movements'!$A$2:$A$500),""))</f>
        <v/>
      </c>
      <c r="N288" t="str">
        <f>IF($C288="","",IFERROR(LOOKUP(2,1/('03_Warehouse_Movements'!$C$2:$C$500=$A288),'03_Warehouse_Movements'!$H$2:$H$500),""))</f>
        <v/>
      </c>
      <c r="O288" t="str">
        <f t="shared" si="9"/>
        <v>PAL-0000288</v>
      </c>
      <c r="Q288" s="34"/>
      <c r="R288" s="33"/>
      <c r="W288">
        <f>IF($A2="","",COUNTIF('07_Pallet_Contents'!$A$2:$A$3000,$A2))</f>
        <v>0</v>
      </c>
      <c r="X288">
        <f>IF($A2="","",SUMIF('07_Pallet_Contents'!$A$2:$A$3000,$A2,'07_Pallet_Contents'!$D$2:$D$3000))</f>
        <v>0</v>
      </c>
      <c r="Y288">
        <f>IF($A2="","",SUMIF('07_Pallet_Contents'!$A$2:$A$3000,$A2,'07_Pallet_Contents'!$I$2:$I$3000))</f>
        <v>0</v>
      </c>
      <c r="Z288" t="str">
        <f>IF($A2="","",IF(COUNTIF('07_Pallet_Contents'!$A$2:$A$3000,$A2)&gt;0,"Yes",""))</f>
        <v/>
      </c>
    </row>
    <row r="289" spans="1:26">
      <c r="A289" s="4" t="s">
        <v>599</v>
      </c>
      <c r="B289" s="31"/>
      <c r="D289" t="str">
        <f>IF($C289="","",IFERROR(LOOKUP(2,1/('03_Warehouse_Movements'!$C$2:$C$500=$A289),'03_Warehouse_Movements'!$E$2:$E$500),$C289))</f>
        <v/>
      </c>
      <c r="E289" t="s">
        <v>209</v>
      </c>
      <c r="G289" s="34"/>
      <c r="H289" s="33" t="str">
        <f t="shared" si="8"/>
        <v/>
      </c>
      <c r="I289" s="31"/>
      <c r="J289" s="31"/>
      <c r="K289" s="33"/>
      <c r="M289" s="69" t="str">
        <f>IF($C289="","",IFERROR(LOOKUP(2,1/('03_Warehouse_Movements'!$C$2:$C$500=$A289),'03_Warehouse_Movements'!$A$2:$A$500),""))</f>
        <v/>
      </c>
      <c r="N289" t="str">
        <f>IF($C289="","",IFERROR(LOOKUP(2,1/('03_Warehouse_Movements'!$C$2:$C$500=$A289),'03_Warehouse_Movements'!$H$2:$H$500),""))</f>
        <v/>
      </c>
      <c r="O289" t="str">
        <f t="shared" si="9"/>
        <v>PAL-0000289</v>
      </c>
      <c r="Q289" s="34"/>
      <c r="R289" s="33"/>
      <c r="W289">
        <f>IF($A2="","",COUNTIF('07_Pallet_Contents'!$A$2:$A$3000,$A2))</f>
        <v>0</v>
      </c>
      <c r="X289">
        <f>IF($A2="","",SUMIF('07_Pallet_Contents'!$A$2:$A$3000,$A2,'07_Pallet_Contents'!$D$2:$D$3000))</f>
        <v>0</v>
      </c>
      <c r="Y289">
        <f>IF($A2="","",SUMIF('07_Pallet_Contents'!$A$2:$A$3000,$A2,'07_Pallet_Contents'!$I$2:$I$3000))</f>
        <v>0</v>
      </c>
      <c r="Z289" t="str">
        <f>IF($A2="","",IF(COUNTIF('07_Pallet_Contents'!$A$2:$A$3000,$A2)&gt;0,"Yes",""))</f>
        <v/>
      </c>
    </row>
    <row r="290" spans="1:26">
      <c r="A290" s="4" t="s">
        <v>600</v>
      </c>
      <c r="B290" s="31"/>
      <c r="D290" t="str">
        <f>IF($C290="","",IFERROR(LOOKUP(2,1/('03_Warehouse_Movements'!$C$2:$C$500=$A290),'03_Warehouse_Movements'!$E$2:$E$500),$C290))</f>
        <v/>
      </c>
      <c r="E290" t="s">
        <v>209</v>
      </c>
      <c r="G290" s="34"/>
      <c r="H290" s="33" t="str">
        <f t="shared" si="8"/>
        <v/>
      </c>
      <c r="I290" s="31"/>
      <c r="J290" s="31"/>
      <c r="K290" s="33"/>
      <c r="M290" s="69" t="str">
        <f>IF($C290="","",IFERROR(LOOKUP(2,1/('03_Warehouse_Movements'!$C$2:$C$500=$A290),'03_Warehouse_Movements'!$A$2:$A$500),""))</f>
        <v/>
      </c>
      <c r="N290" t="str">
        <f>IF($C290="","",IFERROR(LOOKUP(2,1/('03_Warehouse_Movements'!$C$2:$C$500=$A290),'03_Warehouse_Movements'!$H$2:$H$500),""))</f>
        <v/>
      </c>
      <c r="O290" t="str">
        <f t="shared" si="9"/>
        <v>PAL-0000290</v>
      </c>
      <c r="Q290" s="34"/>
      <c r="R290" s="33"/>
      <c r="W290">
        <f>IF($A2="","",COUNTIF('07_Pallet_Contents'!$A$2:$A$3000,$A2))</f>
        <v>0</v>
      </c>
      <c r="X290">
        <f>IF($A2="","",SUMIF('07_Pallet_Contents'!$A$2:$A$3000,$A2,'07_Pallet_Contents'!$D$2:$D$3000))</f>
        <v>0</v>
      </c>
      <c r="Y290">
        <f>IF($A2="","",SUMIF('07_Pallet_Contents'!$A$2:$A$3000,$A2,'07_Pallet_Contents'!$I$2:$I$3000))</f>
        <v>0</v>
      </c>
      <c r="Z290" t="str">
        <f>IF($A2="","",IF(COUNTIF('07_Pallet_Contents'!$A$2:$A$3000,$A2)&gt;0,"Yes",""))</f>
        <v/>
      </c>
    </row>
    <row r="291" spans="1:26">
      <c r="A291" s="4" t="s">
        <v>601</v>
      </c>
      <c r="B291" s="31"/>
      <c r="D291" t="str">
        <f>IF($C291="","",IFERROR(LOOKUP(2,1/('03_Warehouse_Movements'!$C$2:$C$500=$A291),'03_Warehouse_Movements'!$E$2:$E$500),$C291))</f>
        <v/>
      </c>
      <c r="E291" t="s">
        <v>209</v>
      </c>
      <c r="G291" s="34"/>
      <c r="H291" s="33" t="str">
        <f t="shared" si="8"/>
        <v/>
      </c>
      <c r="I291" s="31"/>
      <c r="J291" s="31"/>
      <c r="K291" s="33"/>
      <c r="M291" s="69" t="str">
        <f>IF($C291="","",IFERROR(LOOKUP(2,1/('03_Warehouse_Movements'!$C$2:$C$500=$A291),'03_Warehouse_Movements'!$A$2:$A$500),""))</f>
        <v/>
      </c>
      <c r="N291" t="str">
        <f>IF($C291="","",IFERROR(LOOKUP(2,1/('03_Warehouse_Movements'!$C$2:$C$500=$A291),'03_Warehouse_Movements'!$H$2:$H$500),""))</f>
        <v/>
      </c>
      <c r="O291" t="str">
        <f t="shared" si="9"/>
        <v>PAL-0000291</v>
      </c>
      <c r="Q291" s="34"/>
      <c r="R291" s="33"/>
      <c r="W291">
        <f>IF($A2="","",COUNTIF('07_Pallet_Contents'!$A$2:$A$3000,$A2))</f>
        <v>0</v>
      </c>
      <c r="X291">
        <f>IF($A2="","",SUMIF('07_Pallet_Contents'!$A$2:$A$3000,$A2,'07_Pallet_Contents'!$D$2:$D$3000))</f>
        <v>0</v>
      </c>
      <c r="Y291">
        <f>IF($A2="","",SUMIF('07_Pallet_Contents'!$A$2:$A$3000,$A2,'07_Pallet_Contents'!$I$2:$I$3000))</f>
        <v>0</v>
      </c>
      <c r="Z291" t="str">
        <f>IF($A2="","",IF(COUNTIF('07_Pallet_Contents'!$A$2:$A$3000,$A2)&gt;0,"Yes",""))</f>
        <v/>
      </c>
    </row>
    <row r="292" spans="1:26">
      <c r="A292" s="4" t="s">
        <v>602</v>
      </c>
      <c r="B292" s="31"/>
      <c r="D292" t="str">
        <f>IF($C292="","",IFERROR(LOOKUP(2,1/('03_Warehouse_Movements'!$C$2:$C$500=$A292),'03_Warehouse_Movements'!$E$2:$E$500),$C292))</f>
        <v/>
      </c>
      <c r="E292" t="s">
        <v>209</v>
      </c>
      <c r="G292" s="34"/>
      <c r="H292" s="33" t="str">
        <f t="shared" si="8"/>
        <v/>
      </c>
      <c r="I292" s="31"/>
      <c r="J292" s="31"/>
      <c r="K292" s="33"/>
      <c r="M292" s="69" t="str">
        <f>IF($C292="","",IFERROR(LOOKUP(2,1/('03_Warehouse_Movements'!$C$2:$C$500=$A292),'03_Warehouse_Movements'!$A$2:$A$500),""))</f>
        <v/>
      </c>
      <c r="N292" t="str">
        <f>IF($C292="","",IFERROR(LOOKUP(2,1/('03_Warehouse_Movements'!$C$2:$C$500=$A292),'03_Warehouse_Movements'!$H$2:$H$500),""))</f>
        <v/>
      </c>
      <c r="O292" t="str">
        <f t="shared" si="9"/>
        <v>PAL-0000292</v>
      </c>
      <c r="Q292" s="34"/>
      <c r="R292" s="33"/>
      <c r="W292">
        <f>IF($A2="","",COUNTIF('07_Pallet_Contents'!$A$2:$A$3000,$A2))</f>
        <v>0</v>
      </c>
      <c r="X292">
        <f>IF($A2="","",SUMIF('07_Pallet_Contents'!$A$2:$A$3000,$A2,'07_Pallet_Contents'!$D$2:$D$3000))</f>
        <v>0</v>
      </c>
      <c r="Y292">
        <f>IF($A2="","",SUMIF('07_Pallet_Contents'!$A$2:$A$3000,$A2,'07_Pallet_Contents'!$I$2:$I$3000))</f>
        <v>0</v>
      </c>
      <c r="Z292" t="str">
        <f>IF($A2="","",IF(COUNTIF('07_Pallet_Contents'!$A$2:$A$3000,$A2)&gt;0,"Yes",""))</f>
        <v/>
      </c>
    </row>
    <row r="293" spans="1:26">
      <c r="A293" s="4" t="s">
        <v>603</v>
      </c>
      <c r="B293" s="31"/>
      <c r="D293" t="str">
        <f>IF($C293="","",IFERROR(LOOKUP(2,1/('03_Warehouse_Movements'!$C$2:$C$500=$A293),'03_Warehouse_Movements'!$E$2:$E$500),$C293))</f>
        <v/>
      </c>
      <c r="E293" t="s">
        <v>209</v>
      </c>
      <c r="G293" s="34"/>
      <c r="H293" s="33" t="str">
        <f t="shared" si="8"/>
        <v/>
      </c>
      <c r="I293" s="31"/>
      <c r="J293" s="31"/>
      <c r="K293" s="33"/>
      <c r="M293" s="69" t="str">
        <f>IF($C293="","",IFERROR(LOOKUP(2,1/('03_Warehouse_Movements'!$C$2:$C$500=$A293),'03_Warehouse_Movements'!$A$2:$A$500),""))</f>
        <v/>
      </c>
      <c r="N293" t="str">
        <f>IF($C293="","",IFERROR(LOOKUP(2,1/('03_Warehouse_Movements'!$C$2:$C$500=$A293),'03_Warehouse_Movements'!$H$2:$H$500),""))</f>
        <v/>
      </c>
      <c r="O293" t="str">
        <f t="shared" si="9"/>
        <v>PAL-0000293</v>
      </c>
      <c r="Q293" s="34"/>
      <c r="R293" s="33"/>
      <c r="W293">
        <f>IF($A2="","",COUNTIF('07_Pallet_Contents'!$A$2:$A$3000,$A2))</f>
        <v>0</v>
      </c>
      <c r="X293">
        <f>IF($A2="","",SUMIF('07_Pallet_Contents'!$A$2:$A$3000,$A2,'07_Pallet_Contents'!$D$2:$D$3000))</f>
        <v>0</v>
      </c>
      <c r="Y293">
        <f>IF($A2="","",SUMIF('07_Pallet_Contents'!$A$2:$A$3000,$A2,'07_Pallet_Contents'!$I$2:$I$3000))</f>
        <v>0</v>
      </c>
      <c r="Z293" t="str">
        <f>IF($A2="","",IF(COUNTIF('07_Pallet_Contents'!$A$2:$A$3000,$A2)&gt;0,"Yes",""))</f>
        <v/>
      </c>
    </row>
    <row r="294" spans="1:26">
      <c r="A294" s="4" t="s">
        <v>604</v>
      </c>
      <c r="B294" s="31"/>
      <c r="D294" t="str">
        <f>IF($C294="","",IFERROR(LOOKUP(2,1/('03_Warehouse_Movements'!$C$2:$C$500=$A294),'03_Warehouse_Movements'!$E$2:$E$500),$C294))</f>
        <v/>
      </c>
      <c r="E294" t="s">
        <v>209</v>
      </c>
      <c r="G294" s="34"/>
      <c r="H294" s="33" t="str">
        <f t="shared" si="8"/>
        <v/>
      </c>
      <c r="I294" s="31"/>
      <c r="J294" s="31"/>
      <c r="K294" s="33"/>
      <c r="M294" s="69" t="str">
        <f>IF($C294="","",IFERROR(LOOKUP(2,1/('03_Warehouse_Movements'!$C$2:$C$500=$A294),'03_Warehouse_Movements'!$A$2:$A$500),""))</f>
        <v/>
      </c>
      <c r="N294" t="str">
        <f>IF($C294="","",IFERROR(LOOKUP(2,1/('03_Warehouse_Movements'!$C$2:$C$500=$A294),'03_Warehouse_Movements'!$H$2:$H$500),""))</f>
        <v/>
      </c>
      <c r="O294" t="str">
        <f t="shared" si="9"/>
        <v>PAL-0000294</v>
      </c>
      <c r="Q294" s="34"/>
      <c r="R294" s="33"/>
      <c r="W294">
        <f>IF($A2="","",COUNTIF('07_Pallet_Contents'!$A$2:$A$3000,$A2))</f>
        <v>0</v>
      </c>
      <c r="X294">
        <f>IF($A2="","",SUMIF('07_Pallet_Contents'!$A$2:$A$3000,$A2,'07_Pallet_Contents'!$D$2:$D$3000))</f>
        <v>0</v>
      </c>
      <c r="Y294">
        <f>IF($A2="","",SUMIF('07_Pallet_Contents'!$A$2:$A$3000,$A2,'07_Pallet_Contents'!$I$2:$I$3000))</f>
        <v>0</v>
      </c>
      <c r="Z294" t="str">
        <f>IF($A2="","",IF(COUNTIF('07_Pallet_Contents'!$A$2:$A$3000,$A2)&gt;0,"Yes",""))</f>
        <v/>
      </c>
    </row>
    <row r="295" spans="1:26">
      <c r="A295" s="4" t="s">
        <v>605</v>
      </c>
      <c r="B295" s="31"/>
      <c r="D295" t="str">
        <f>IF($C295="","",IFERROR(LOOKUP(2,1/('03_Warehouse_Movements'!$C$2:$C$500=$A295),'03_Warehouse_Movements'!$E$2:$E$500),$C295))</f>
        <v/>
      </c>
      <c r="E295" t="s">
        <v>209</v>
      </c>
      <c r="G295" s="34"/>
      <c r="H295" s="33" t="str">
        <f t="shared" si="8"/>
        <v/>
      </c>
      <c r="I295" s="31"/>
      <c r="J295" s="31"/>
      <c r="K295" s="33"/>
      <c r="M295" s="69" t="str">
        <f>IF($C295="","",IFERROR(LOOKUP(2,1/('03_Warehouse_Movements'!$C$2:$C$500=$A295),'03_Warehouse_Movements'!$A$2:$A$500),""))</f>
        <v/>
      </c>
      <c r="N295" t="str">
        <f>IF($C295="","",IFERROR(LOOKUP(2,1/('03_Warehouse_Movements'!$C$2:$C$500=$A295),'03_Warehouse_Movements'!$H$2:$H$500),""))</f>
        <v/>
      </c>
      <c r="O295" t="str">
        <f t="shared" si="9"/>
        <v>PAL-0000295</v>
      </c>
      <c r="Q295" s="34"/>
      <c r="R295" s="33"/>
      <c r="W295">
        <f>IF($A2="","",COUNTIF('07_Pallet_Contents'!$A$2:$A$3000,$A2))</f>
        <v>0</v>
      </c>
      <c r="X295">
        <f>IF($A2="","",SUMIF('07_Pallet_Contents'!$A$2:$A$3000,$A2,'07_Pallet_Contents'!$D$2:$D$3000))</f>
        <v>0</v>
      </c>
      <c r="Y295">
        <f>IF($A2="","",SUMIF('07_Pallet_Contents'!$A$2:$A$3000,$A2,'07_Pallet_Contents'!$I$2:$I$3000))</f>
        <v>0</v>
      </c>
      <c r="Z295" t="str">
        <f>IF($A2="","",IF(COUNTIF('07_Pallet_Contents'!$A$2:$A$3000,$A2)&gt;0,"Yes",""))</f>
        <v/>
      </c>
    </row>
    <row r="296" spans="1:26">
      <c r="A296" s="4" t="s">
        <v>606</v>
      </c>
      <c r="B296" s="31"/>
      <c r="D296" t="str">
        <f>IF($C296="","",IFERROR(LOOKUP(2,1/('03_Warehouse_Movements'!$C$2:$C$500=$A296),'03_Warehouse_Movements'!$E$2:$E$500),$C296))</f>
        <v/>
      </c>
      <c r="E296" t="s">
        <v>209</v>
      </c>
      <c r="G296" s="34"/>
      <c r="H296" s="33" t="str">
        <f t="shared" si="8"/>
        <v/>
      </c>
      <c r="I296" s="31"/>
      <c r="J296" s="31"/>
      <c r="K296" s="33"/>
      <c r="M296" s="69" t="str">
        <f>IF($C296="","",IFERROR(LOOKUP(2,1/('03_Warehouse_Movements'!$C$2:$C$500=$A296),'03_Warehouse_Movements'!$A$2:$A$500),""))</f>
        <v/>
      </c>
      <c r="N296" t="str">
        <f>IF($C296="","",IFERROR(LOOKUP(2,1/('03_Warehouse_Movements'!$C$2:$C$500=$A296),'03_Warehouse_Movements'!$H$2:$H$500),""))</f>
        <v/>
      </c>
      <c r="O296" t="str">
        <f t="shared" si="9"/>
        <v>PAL-0000296</v>
      </c>
      <c r="Q296" s="34"/>
      <c r="R296" s="33"/>
      <c r="W296">
        <f>IF($A2="","",COUNTIF('07_Pallet_Contents'!$A$2:$A$3000,$A2))</f>
        <v>0</v>
      </c>
      <c r="X296">
        <f>IF($A2="","",SUMIF('07_Pallet_Contents'!$A$2:$A$3000,$A2,'07_Pallet_Contents'!$D$2:$D$3000))</f>
        <v>0</v>
      </c>
      <c r="Y296">
        <f>IF($A2="","",SUMIF('07_Pallet_Contents'!$A$2:$A$3000,$A2,'07_Pallet_Contents'!$I$2:$I$3000))</f>
        <v>0</v>
      </c>
      <c r="Z296" t="str">
        <f>IF($A2="","",IF(COUNTIF('07_Pallet_Contents'!$A$2:$A$3000,$A2)&gt;0,"Yes",""))</f>
        <v/>
      </c>
    </row>
    <row r="297" spans="1:26">
      <c r="A297" s="4" t="s">
        <v>607</v>
      </c>
      <c r="B297" s="31"/>
      <c r="D297" t="str">
        <f>IF($C297="","",IFERROR(LOOKUP(2,1/('03_Warehouse_Movements'!$C$2:$C$500=$A297),'03_Warehouse_Movements'!$E$2:$E$500),$C297))</f>
        <v/>
      </c>
      <c r="E297" t="s">
        <v>209</v>
      </c>
      <c r="G297" s="34"/>
      <c r="H297" s="33" t="str">
        <f t="shared" si="8"/>
        <v/>
      </c>
      <c r="I297" s="31"/>
      <c r="J297" s="31"/>
      <c r="K297" s="33"/>
      <c r="M297" s="69" t="str">
        <f>IF($C297="","",IFERROR(LOOKUP(2,1/('03_Warehouse_Movements'!$C$2:$C$500=$A297),'03_Warehouse_Movements'!$A$2:$A$500),""))</f>
        <v/>
      </c>
      <c r="N297" t="str">
        <f>IF($C297="","",IFERROR(LOOKUP(2,1/('03_Warehouse_Movements'!$C$2:$C$500=$A297),'03_Warehouse_Movements'!$H$2:$H$500),""))</f>
        <v/>
      </c>
      <c r="O297" t="str">
        <f t="shared" si="9"/>
        <v>PAL-0000297</v>
      </c>
      <c r="Q297" s="34"/>
      <c r="R297" s="33"/>
      <c r="W297">
        <f>IF($A2="","",COUNTIF('07_Pallet_Contents'!$A$2:$A$3000,$A2))</f>
        <v>0</v>
      </c>
      <c r="X297">
        <f>IF($A2="","",SUMIF('07_Pallet_Contents'!$A$2:$A$3000,$A2,'07_Pallet_Contents'!$D$2:$D$3000))</f>
        <v>0</v>
      </c>
      <c r="Y297">
        <f>IF($A2="","",SUMIF('07_Pallet_Contents'!$A$2:$A$3000,$A2,'07_Pallet_Contents'!$I$2:$I$3000))</f>
        <v>0</v>
      </c>
      <c r="Z297" t="str">
        <f>IF($A2="","",IF(COUNTIF('07_Pallet_Contents'!$A$2:$A$3000,$A2)&gt;0,"Yes",""))</f>
        <v/>
      </c>
    </row>
    <row r="298" spans="1:26">
      <c r="A298" s="4" t="s">
        <v>608</v>
      </c>
      <c r="B298" s="31"/>
      <c r="D298" t="str">
        <f>IF($C298="","",IFERROR(LOOKUP(2,1/('03_Warehouse_Movements'!$C$2:$C$500=$A298),'03_Warehouse_Movements'!$E$2:$E$500),$C298))</f>
        <v/>
      </c>
      <c r="E298" t="s">
        <v>209</v>
      </c>
      <c r="G298" s="34"/>
      <c r="H298" s="33" t="str">
        <f t="shared" si="8"/>
        <v/>
      </c>
      <c r="I298" s="31"/>
      <c r="J298" s="31"/>
      <c r="K298" s="33"/>
      <c r="M298" s="69" t="str">
        <f>IF($C298="","",IFERROR(LOOKUP(2,1/('03_Warehouse_Movements'!$C$2:$C$500=$A298),'03_Warehouse_Movements'!$A$2:$A$500),""))</f>
        <v/>
      </c>
      <c r="N298" t="str">
        <f>IF($C298="","",IFERROR(LOOKUP(2,1/('03_Warehouse_Movements'!$C$2:$C$500=$A298),'03_Warehouse_Movements'!$H$2:$H$500),""))</f>
        <v/>
      </c>
      <c r="O298" t="str">
        <f t="shared" si="9"/>
        <v>PAL-0000298</v>
      </c>
      <c r="Q298" s="34"/>
      <c r="R298" s="33"/>
      <c r="W298">
        <f>IF($A2="","",COUNTIF('07_Pallet_Contents'!$A$2:$A$3000,$A2))</f>
        <v>0</v>
      </c>
      <c r="X298">
        <f>IF($A2="","",SUMIF('07_Pallet_Contents'!$A$2:$A$3000,$A2,'07_Pallet_Contents'!$D$2:$D$3000))</f>
        <v>0</v>
      </c>
      <c r="Y298">
        <f>IF($A2="","",SUMIF('07_Pallet_Contents'!$A$2:$A$3000,$A2,'07_Pallet_Contents'!$I$2:$I$3000))</f>
        <v>0</v>
      </c>
      <c r="Z298" t="str">
        <f>IF($A2="","",IF(COUNTIF('07_Pallet_Contents'!$A$2:$A$3000,$A2)&gt;0,"Yes",""))</f>
        <v/>
      </c>
    </row>
    <row r="299" spans="1:26">
      <c r="A299" s="4" t="s">
        <v>609</v>
      </c>
      <c r="B299" s="31"/>
      <c r="D299" t="str">
        <f>IF($C299="","",IFERROR(LOOKUP(2,1/('03_Warehouse_Movements'!$C$2:$C$500=$A299),'03_Warehouse_Movements'!$E$2:$E$500),$C299))</f>
        <v/>
      </c>
      <c r="E299" t="s">
        <v>209</v>
      </c>
      <c r="G299" s="34"/>
      <c r="H299" s="33" t="str">
        <f t="shared" si="8"/>
        <v/>
      </c>
      <c r="I299" s="31"/>
      <c r="J299" s="31"/>
      <c r="K299" s="33"/>
      <c r="M299" s="69" t="str">
        <f>IF($C299="","",IFERROR(LOOKUP(2,1/('03_Warehouse_Movements'!$C$2:$C$500=$A299),'03_Warehouse_Movements'!$A$2:$A$500),""))</f>
        <v/>
      </c>
      <c r="N299" t="str">
        <f>IF($C299="","",IFERROR(LOOKUP(2,1/('03_Warehouse_Movements'!$C$2:$C$500=$A299),'03_Warehouse_Movements'!$H$2:$H$500),""))</f>
        <v/>
      </c>
      <c r="O299" t="str">
        <f t="shared" si="9"/>
        <v>PAL-0000299</v>
      </c>
      <c r="Q299" s="34"/>
      <c r="R299" s="33"/>
      <c r="W299">
        <f>IF($A2="","",COUNTIF('07_Pallet_Contents'!$A$2:$A$3000,$A2))</f>
        <v>0</v>
      </c>
      <c r="X299">
        <f>IF($A2="","",SUMIF('07_Pallet_Contents'!$A$2:$A$3000,$A2,'07_Pallet_Contents'!$D$2:$D$3000))</f>
        <v>0</v>
      </c>
      <c r="Y299">
        <f>IF($A2="","",SUMIF('07_Pallet_Contents'!$A$2:$A$3000,$A2,'07_Pallet_Contents'!$I$2:$I$3000))</f>
        <v>0</v>
      </c>
      <c r="Z299" t="str">
        <f>IF($A2="","",IF(COUNTIF('07_Pallet_Contents'!$A$2:$A$3000,$A2)&gt;0,"Yes",""))</f>
        <v/>
      </c>
    </row>
    <row r="300" spans="1:26">
      <c r="A300" s="4" t="s">
        <v>610</v>
      </c>
      <c r="B300" s="31"/>
      <c r="D300" t="str">
        <f>IF($C300="","",IFERROR(LOOKUP(2,1/('03_Warehouse_Movements'!$C$2:$C$500=$A300),'03_Warehouse_Movements'!$E$2:$E$500),$C300))</f>
        <v/>
      </c>
      <c r="E300" t="s">
        <v>209</v>
      </c>
      <c r="G300" s="34"/>
      <c r="H300" s="33" t="str">
        <f t="shared" si="8"/>
        <v/>
      </c>
      <c r="I300" s="31"/>
      <c r="J300" s="31"/>
      <c r="K300" s="33"/>
      <c r="M300" s="69" t="str">
        <f>IF($C300="","",IFERROR(LOOKUP(2,1/('03_Warehouse_Movements'!$C$2:$C$500=$A300),'03_Warehouse_Movements'!$A$2:$A$500),""))</f>
        <v/>
      </c>
      <c r="N300" t="str">
        <f>IF($C300="","",IFERROR(LOOKUP(2,1/('03_Warehouse_Movements'!$C$2:$C$500=$A300),'03_Warehouse_Movements'!$H$2:$H$500),""))</f>
        <v/>
      </c>
      <c r="O300" t="str">
        <f t="shared" si="9"/>
        <v>PAL-0000300</v>
      </c>
      <c r="Q300" s="34"/>
      <c r="R300" s="33"/>
      <c r="W300">
        <f>IF($A2="","",COUNTIF('07_Pallet_Contents'!$A$2:$A$3000,$A2))</f>
        <v>0</v>
      </c>
      <c r="X300">
        <f>IF($A2="","",SUMIF('07_Pallet_Contents'!$A$2:$A$3000,$A2,'07_Pallet_Contents'!$D$2:$D$3000))</f>
        <v>0</v>
      </c>
      <c r="Y300">
        <f>IF($A2="","",SUMIF('07_Pallet_Contents'!$A$2:$A$3000,$A2,'07_Pallet_Contents'!$I$2:$I$3000))</f>
        <v>0</v>
      </c>
      <c r="Z300" t="str">
        <f>IF($A2="","",IF(COUNTIF('07_Pallet_Contents'!$A$2:$A$3000,$A2)&gt;0,"Yes",""))</f>
        <v/>
      </c>
    </row>
    <row r="301" spans="1:26">
      <c r="A301" s="4" t="s">
        <v>611</v>
      </c>
      <c r="B301" s="31"/>
      <c r="D301" t="str">
        <f>IF($C301="","",IFERROR(LOOKUP(2,1/('03_Warehouse_Movements'!$C$2:$C$500=$A301),'03_Warehouse_Movements'!$E$2:$E$500),$C301))</f>
        <v/>
      </c>
      <c r="E301" t="s">
        <v>209</v>
      </c>
      <c r="G301" s="34"/>
      <c r="H301" s="33" t="str">
        <f t="shared" si="8"/>
        <v/>
      </c>
      <c r="I301" s="31"/>
      <c r="J301" s="31"/>
      <c r="K301" s="33"/>
      <c r="M301" s="69" t="str">
        <f>IF($C301="","",IFERROR(LOOKUP(2,1/('03_Warehouse_Movements'!$C$2:$C$500=$A301),'03_Warehouse_Movements'!$A$2:$A$500),""))</f>
        <v/>
      </c>
      <c r="N301" t="str">
        <f>IF($C301="","",IFERROR(LOOKUP(2,1/('03_Warehouse_Movements'!$C$2:$C$500=$A301),'03_Warehouse_Movements'!$H$2:$H$500),""))</f>
        <v/>
      </c>
      <c r="O301" t="str">
        <f t="shared" si="9"/>
        <v>PAL-0000301</v>
      </c>
      <c r="Q301" s="34"/>
      <c r="R301" s="33"/>
      <c r="W301">
        <f>IF($A2="","",COUNTIF('07_Pallet_Contents'!$A$2:$A$3000,$A2))</f>
        <v>0</v>
      </c>
      <c r="X301">
        <f>IF($A2="","",SUMIF('07_Pallet_Contents'!$A$2:$A$3000,$A2,'07_Pallet_Contents'!$D$2:$D$3000))</f>
        <v>0</v>
      </c>
      <c r="Y301">
        <f>IF($A2="","",SUMIF('07_Pallet_Contents'!$A$2:$A$3000,$A2,'07_Pallet_Contents'!$I$2:$I$3000))</f>
        <v>0</v>
      </c>
      <c r="Z301" t="str">
        <f>IF($A2="","",IF(COUNTIF('07_Pallet_Contents'!$A$2:$A$3000,$A2)&gt;0,"Yes",""))</f>
        <v/>
      </c>
    </row>
    <row r="302" spans="1:26">
      <c r="A302" s="4" t="s">
        <v>612</v>
      </c>
      <c r="B302" s="31"/>
      <c r="D302" t="str">
        <f>IF($C302="","",IFERROR(LOOKUP(2,1/('03_Warehouse_Movements'!$C$2:$C$500=$A302),'03_Warehouse_Movements'!$E$2:$E$500),$C302))</f>
        <v/>
      </c>
      <c r="E302" t="s">
        <v>209</v>
      </c>
      <c r="G302" s="34"/>
      <c r="H302" s="33" t="str">
        <f t="shared" si="8"/>
        <v/>
      </c>
      <c r="I302" s="31"/>
      <c r="J302" s="31"/>
      <c r="K302" s="33"/>
      <c r="M302" s="69" t="str">
        <f>IF($C302="","",IFERROR(LOOKUP(2,1/('03_Warehouse_Movements'!$C$2:$C$500=$A302),'03_Warehouse_Movements'!$A$2:$A$500),""))</f>
        <v/>
      </c>
      <c r="N302" t="str">
        <f>IF($C302="","",IFERROR(LOOKUP(2,1/('03_Warehouse_Movements'!$C$2:$C$500=$A302),'03_Warehouse_Movements'!$H$2:$H$500),""))</f>
        <v/>
      </c>
      <c r="O302" t="str">
        <f t="shared" si="9"/>
        <v>PAL-0000302</v>
      </c>
      <c r="Q302" s="34"/>
      <c r="R302" s="33"/>
      <c r="W302">
        <f>IF($A2="","",COUNTIF('07_Pallet_Contents'!$A$2:$A$3000,$A2))</f>
        <v>0</v>
      </c>
      <c r="X302">
        <f>IF($A2="","",SUMIF('07_Pallet_Contents'!$A$2:$A$3000,$A2,'07_Pallet_Contents'!$D$2:$D$3000))</f>
        <v>0</v>
      </c>
      <c r="Y302">
        <f>IF($A2="","",SUMIF('07_Pallet_Contents'!$A$2:$A$3000,$A2,'07_Pallet_Contents'!$I$2:$I$3000))</f>
        <v>0</v>
      </c>
      <c r="Z302" t="str">
        <f>IF($A2="","",IF(COUNTIF('07_Pallet_Contents'!$A$2:$A$3000,$A2)&gt;0,"Yes",""))</f>
        <v/>
      </c>
    </row>
    <row r="303" spans="1:26">
      <c r="A303" s="4" t="s">
        <v>613</v>
      </c>
      <c r="B303" s="31"/>
      <c r="D303" t="str">
        <f>IF($C303="","",IFERROR(LOOKUP(2,1/('03_Warehouse_Movements'!$C$2:$C$500=$A303),'03_Warehouse_Movements'!$E$2:$E$500),$C303))</f>
        <v/>
      </c>
      <c r="E303" t="s">
        <v>209</v>
      </c>
      <c r="G303" s="34"/>
      <c r="H303" s="33" t="str">
        <f t="shared" si="8"/>
        <v/>
      </c>
      <c r="I303" s="31"/>
      <c r="J303" s="31"/>
      <c r="K303" s="33"/>
      <c r="M303" s="69" t="str">
        <f>IF($C303="","",IFERROR(LOOKUP(2,1/('03_Warehouse_Movements'!$C$2:$C$500=$A303),'03_Warehouse_Movements'!$A$2:$A$500),""))</f>
        <v/>
      </c>
      <c r="N303" t="str">
        <f>IF($C303="","",IFERROR(LOOKUP(2,1/('03_Warehouse_Movements'!$C$2:$C$500=$A303),'03_Warehouse_Movements'!$H$2:$H$500),""))</f>
        <v/>
      </c>
      <c r="O303" t="str">
        <f t="shared" si="9"/>
        <v>PAL-0000303</v>
      </c>
      <c r="Q303" s="34"/>
      <c r="R303" s="33"/>
      <c r="W303">
        <f>IF($A2="","",COUNTIF('07_Pallet_Contents'!$A$2:$A$3000,$A2))</f>
        <v>0</v>
      </c>
      <c r="X303">
        <f>IF($A2="","",SUMIF('07_Pallet_Contents'!$A$2:$A$3000,$A2,'07_Pallet_Contents'!$D$2:$D$3000))</f>
        <v>0</v>
      </c>
      <c r="Y303">
        <f>IF($A2="","",SUMIF('07_Pallet_Contents'!$A$2:$A$3000,$A2,'07_Pallet_Contents'!$I$2:$I$3000))</f>
        <v>0</v>
      </c>
      <c r="Z303" t="str">
        <f>IF($A2="","",IF(COUNTIF('07_Pallet_Contents'!$A$2:$A$3000,$A2)&gt;0,"Yes",""))</f>
        <v/>
      </c>
    </row>
    <row r="304" spans="1:26">
      <c r="A304" s="4" t="s">
        <v>614</v>
      </c>
      <c r="B304" s="31"/>
      <c r="D304" t="str">
        <f>IF($C304="","",IFERROR(LOOKUP(2,1/('03_Warehouse_Movements'!$C$2:$C$500=$A304),'03_Warehouse_Movements'!$E$2:$E$500),$C304))</f>
        <v/>
      </c>
      <c r="E304" t="s">
        <v>209</v>
      </c>
      <c r="G304" s="34"/>
      <c r="H304" s="33" t="str">
        <f t="shared" si="8"/>
        <v/>
      </c>
      <c r="I304" s="31"/>
      <c r="J304" s="31"/>
      <c r="K304" s="33"/>
      <c r="M304" s="69" t="str">
        <f>IF($C304="","",IFERROR(LOOKUP(2,1/('03_Warehouse_Movements'!$C$2:$C$500=$A304),'03_Warehouse_Movements'!$A$2:$A$500),""))</f>
        <v/>
      </c>
      <c r="N304" t="str">
        <f>IF($C304="","",IFERROR(LOOKUP(2,1/('03_Warehouse_Movements'!$C$2:$C$500=$A304),'03_Warehouse_Movements'!$H$2:$H$500),""))</f>
        <v/>
      </c>
      <c r="O304" t="str">
        <f t="shared" si="9"/>
        <v>PAL-0000304</v>
      </c>
      <c r="Q304" s="34"/>
      <c r="R304" s="33"/>
      <c r="W304">
        <f>IF($A2="","",COUNTIF('07_Pallet_Contents'!$A$2:$A$3000,$A2))</f>
        <v>0</v>
      </c>
      <c r="X304">
        <f>IF($A2="","",SUMIF('07_Pallet_Contents'!$A$2:$A$3000,$A2,'07_Pallet_Contents'!$D$2:$D$3000))</f>
        <v>0</v>
      </c>
      <c r="Y304">
        <f>IF($A2="","",SUMIF('07_Pallet_Contents'!$A$2:$A$3000,$A2,'07_Pallet_Contents'!$I$2:$I$3000))</f>
        <v>0</v>
      </c>
      <c r="Z304" t="str">
        <f>IF($A2="","",IF(COUNTIF('07_Pallet_Contents'!$A$2:$A$3000,$A2)&gt;0,"Yes",""))</f>
        <v/>
      </c>
    </row>
    <row r="305" spans="1:26">
      <c r="A305" s="4" t="s">
        <v>615</v>
      </c>
      <c r="B305" s="31"/>
      <c r="D305" t="str">
        <f>IF($C305="","",IFERROR(LOOKUP(2,1/('03_Warehouse_Movements'!$C$2:$C$500=$A305),'03_Warehouse_Movements'!$E$2:$E$500),$C305))</f>
        <v/>
      </c>
      <c r="E305" t="s">
        <v>209</v>
      </c>
      <c r="G305" s="34"/>
      <c r="H305" s="33" t="str">
        <f t="shared" si="8"/>
        <v/>
      </c>
      <c r="I305" s="31"/>
      <c r="J305" s="31"/>
      <c r="K305" s="33"/>
      <c r="M305" s="69" t="str">
        <f>IF($C305="","",IFERROR(LOOKUP(2,1/('03_Warehouse_Movements'!$C$2:$C$500=$A305),'03_Warehouse_Movements'!$A$2:$A$500),""))</f>
        <v/>
      </c>
      <c r="N305" t="str">
        <f>IF($C305="","",IFERROR(LOOKUP(2,1/('03_Warehouse_Movements'!$C$2:$C$500=$A305),'03_Warehouse_Movements'!$H$2:$H$500),""))</f>
        <v/>
      </c>
      <c r="O305" t="str">
        <f t="shared" si="9"/>
        <v>PAL-0000305</v>
      </c>
      <c r="Q305" s="34"/>
      <c r="R305" s="33"/>
      <c r="W305">
        <f>IF($A2="","",COUNTIF('07_Pallet_Contents'!$A$2:$A$3000,$A2))</f>
        <v>0</v>
      </c>
      <c r="X305">
        <f>IF($A2="","",SUMIF('07_Pallet_Contents'!$A$2:$A$3000,$A2,'07_Pallet_Contents'!$D$2:$D$3000))</f>
        <v>0</v>
      </c>
      <c r="Y305">
        <f>IF($A2="","",SUMIF('07_Pallet_Contents'!$A$2:$A$3000,$A2,'07_Pallet_Contents'!$I$2:$I$3000))</f>
        <v>0</v>
      </c>
      <c r="Z305" t="str">
        <f>IF($A2="","",IF(COUNTIF('07_Pallet_Contents'!$A$2:$A$3000,$A2)&gt;0,"Yes",""))</f>
        <v/>
      </c>
    </row>
    <row r="306" spans="1:26">
      <c r="A306" s="4" t="s">
        <v>616</v>
      </c>
      <c r="B306" s="31"/>
      <c r="D306" t="str">
        <f>IF($C306="","",IFERROR(LOOKUP(2,1/('03_Warehouse_Movements'!$C$2:$C$500=$A306),'03_Warehouse_Movements'!$E$2:$E$500),$C306))</f>
        <v/>
      </c>
      <c r="E306" t="s">
        <v>209</v>
      </c>
      <c r="G306" s="34"/>
      <c r="H306" s="33" t="str">
        <f t="shared" si="8"/>
        <v/>
      </c>
      <c r="I306" s="31"/>
      <c r="J306" s="31"/>
      <c r="K306" s="33"/>
      <c r="M306" s="69" t="str">
        <f>IF($C306="","",IFERROR(LOOKUP(2,1/('03_Warehouse_Movements'!$C$2:$C$500=$A306),'03_Warehouse_Movements'!$A$2:$A$500),""))</f>
        <v/>
      </c>
      <c r="N306" t="str">
        <f>IF($C306="","",IFERROR(LOOKUP(2,1/('03_Warehouse_Movements'!$C$2:$C$500=$A306),'03_Warehouse_Movements'!$H$2:$H$500),""))</f>
        <v/>
      </c>
      <c r="O306" t="str">
        <f t="shared" si="9"/>
        <v>PAL-0000306</v>
      </c>
      <c r="Q306" s="34"/>
      <c r="R306" s="33"/>
      <c r="W306">
        <f>IF($A2="","",COUNTIF('07_Pallet_Contents'!$A$2:$A$3000,$A2))</f>
        <v>0</v>
      </c>
      <c r="X306">
        <f>IF($A2="","",SUMIF('07_Pallet_Contents'!$A$2:$A$3000,$A2,'07_Pallet_Contents'!$D$2:$D$3000))</f>
        <v>0</v>
      </c>
      <c r="Y306">
        <f>IF($A2="","",SUMIF('07_Pallet_Contents'!$A$2:$A$3000,$A2,'07_Pallet_Contents'!$I$2:$I$3000))</f>
        <v>0</v>
      </c>
      <c r="Z306" t="str">
        <f>IF($A2="","",IF(COUNTIF('07_Pallet_Contents'!$A$2:$A$3000,$A2)&gt;0,"Yes",""))</f>
        <v/>
      </c>
    </row>
    <row r="307" spans="1:26">
      <c r="A307" s="4" t="s">
        <v>617</v>
      </c>
      <c r="B307" s="31"/>
      <c r="D307" t="str">
        <f>IF($C307="","",IFERROR(LOOKUP(2,1/('03_Warehouse_Movements'!$C$2:$C$500=$A307),'03_Warehouse_Movements'!$E$2:$E$500),$C307))</f>
        <v/>
      </c>
      <c r="E307" t="s">
        <v>209</v>
      </c>
      <c r="G307" s="34"/>
      <c r="H307" s="33" t="str">
        <f t="shared" si="8"/>
        <v/>
      </c>
      <c r="I307" s="31"/>
      <c r="J307" s="31"/>
      <c r="K307" s="33"/>
      <c r="M307" s="69" t="str">
        <f>IF($C307="","",IFERROR(LOOKUP(2,1/('03_Warehouse_Movements'!$C$2:$C$500=$A307),'03_Warehouse_Movements'!$A$2:$A$500),""))</f>
        <v/>
      </c>
      <c r="N307" t="str">
        <f>IF($C307="","",IFERROR(LOOKUP(2,1/('03_Warehouse_Movements'!$C$2:$C$500=$A307),'03_Warehouse_Movements'!$H$2:$H$500),""))</f>
        <v/>
      </c>
      <c r="O307" t="str">
        <f t="shared" si="9"/>
        <v>PAL-0000307</v>
      </c>
      <c r="Q307" s="34"/>
      <c r="R307" s="33"/>
      <c r="W307">
        <f>IF($A2="","",COUNTIF('07_Pallet_Contents'!$A$2:$A$3000,$A2))</f>
        <v>0</v>
      </c>
      <c r="X307">
        <f>IF($A2="","",SUMIF('07_Pallet_Contents'!$A$2:$A$3000,$A2,'07_Pallet_Contents'!$D$2:$D$3000))</f>
        <v>0</v>
      </c>
      <c r="Y307">
        <f>IF($A2="","",SUMIF('07_Pallet_Contents'!$A$2:$A$3000,$A2,'07_Pallet_Contents'!$I$2:$I$3000))</f>
        <v>0</v>
      </c>
      <c r="Z307" t="str">
        <f>IF($A2="","",IF(COUNTIF('07_Pallet_Contents'!$A$2:$A$3000,$A2)&gt;0,"Yes",""))</f>
        <v/>
      </c>
    </row>
    <row r="308" spans="1:26">
      <c r="A308" s="4" t="s">
        <v>618</v>
      </c>
      <c r="B308" s="31"/>
      <c r="D308" t="str">
        <f>IF($C308="","",IFERROR(LOOKUP(2,1/('03_Warehouse_Movements'!$C$2:$C$500=$A308),'03_Warehouse_Movements'!$E$2:$E$500),$C308))</f>
        <v/>
      </c>
      <c r="E308" t="s">
        <v>209</v>
      </c>
      <c r="G308" s="34"/>
      <c r="H308" s="33" t="str">
        <f t="shared" si="8"/>
        <v/>
      </c>
      <c r="I308" s="31"/>
      <c r="J308" s="31"/>
      <c r="K308" s="33"/>
      <c r="M308" s="69" t="str">
        <f>IF($C308="","",IFERROR(LOOKUP(2,1/('03_Warehouse_Movements'!$C$2:$C$500=$A308),'03_Warehouse_Movements'!$A$2:$A$500),""))</f>
        <v/>
      </c>
      <c r="N308" t="str">
        <f>IF($C308="","",IFERROR(LOOKUP(2,1/('03_Warehouse_Movements'!$C$2:$C$500=$A308),'03_Warehouse_Movements'!$H$2:$H$500),""))</f>
        <v/>
      </c>
      <c r="O308" t="str">
        <f t="shared" si="9"/>
        <v>PAL-0000308</v>
      </c>
      <c r="Q308" s="34"/>
      <c r="R308" s="33"/>
      <c r="W308">
        <f>IF($A2="","",COUNTIF('07_Pallet_Contents'!$A$2:$A$3000,$A2))</f>
        <v>0</v>
      </c>
      <c r="X308">
        <f>IF($A2="","",SUMIF('07_Pallet_Contents'!$A$2:$A$3000,$A2,'07_Pallet_Contents'!$D$2:$D$3000))</f>
        <v>0</v>
      </c>
      <c r="Y308">
        <f>IF($A2="","",SUMIF('07_Pallet_Contents'!$A$2:$A$3000,$A2,'07_Pallet_Contents'!$I$2:$I$3000))</f>
        <v>0</v>
      </c>
      <c r="Z308" t="str">
        <f>IF($A2="","",IF(COUNTIF('07_Pallet_Contents'!$A$2:$A$3000,$A2)&gt;0,"Yes",""))</f>
        <v/>
      </c>
    </row>
    <row r="309" spans="1:26">
      <c r="A309" s="4" t="s">
        <v>619</v>
      </c>
      <c r="B309" s="31"/>
      <c r="D309" t="str">
        <f>IF($C309="","",IFERROR(LOOKUP(2,1/('03_Warehouse_Movements'!$C$2:$C$500=$A309),'03_Warehouse_Movements'!$E$2:$E$500),$C309))</f>
        <v/>
      </c>
      <c r="E309" t="s">
        <v>209</v>
      </c>
      <c r="G309" s="34"/>
      <c r="H309" s="33" t="str">
        <f t="shared" si="8"/>
        <v/>
      </c>
      <c r="I309" s="31"/>
      <c r="J309" s="31"/>
      <c r="K309" s="33"/>
      <c r="M309" s="69" t="str">
        <f>IF($C309="","",IFERROR(LOOKUP(2,1/('03_Warehouse_Movements'!$C$2:$C$500=$A309),'03_Warehouse_Movements'!$A$2:$A$500),""))</f>
        <v/>
      </c>
      <c r="N309" t="str">
        <f>IF($C309="","",IFERROR(LOOKUP(2,1/('03_Warehouse_Movements'!$C$2:$C$500=$A309),'03_Warehouse_Movements'!$H$2:$H$500),""))</f>
        <v/>
      </c>
      <c r="O309" t="str">
        <f t="shared" si="9"/>
        <v>PAL-0000309</v>
      </c>
      <c r="Q309" s="34"/>
      <c r="R309" s="33"/>
      <c r="W309">
        <f>IF($A2="","",COUNTIF('07_Pallet_Contents'!$A$2:$A$3000,$A2))</f>
        <v>0</v>
      </c>
      <c r="X309">
        <f>IF($A2="","",SUMIF('07_Pallet_Contents'!$A$2:$A$3000,$A2,'07_Pallet_Contents'!$D$2:$D$3000))</f>
        <v>0</v>
      </c>
      <c r="Y309">
        <f>IF($A2="","",SUMIF('07_Pallet_Contents'!$A$2:$A$3000,$A2,'07_Pallet_Contents'!$I$2:$I$3000))</f>
        <v>0</v>
      </c>
      <c r="Z309" t="str">
        <f>IF($A2="","",IF(COUNTIF('07_Pallet_Contents'!$A$2:$A$3000,$A2)&gt;0,"Yes",""))</f>
        <v/>
      </c>
    </row>
    <row r="310" spans="1:26">
      <c r="A310" s="4" t="s">
        <v>620</v>
      </c>
      <c r="B310" s="31"/>
      <c r="D310" t="str">
        <f>IF($C310="","",IFERROR(LOOKUP(2,1/('03_Warehouse_Movements'!$C$2:$C$500=$A310),'03_Warehouse_Movements'!$E$2:$E$500),$C310))</f>
        <v/>
      </c>
      <c r="E310" t="s">
        <v>209</v>
      </c>
      <c r="G310" s="34"/>
      <c r="H310" s="33" t="str">
        <f t="shared" si="8"/>
        <v/>
      </c>
      <c r="I310" s="31"/>
      <c r="J310" s="31"/>
      <c r="K310" s="33"/>
      <c r="M310" s="69" t="str">
        <f>IF($C310="","",IFERROR(LOOKUP(2,1/('03_Warehouse_Movements'!$C$2:$C$500=$A310),'03_Warehouse_Movements'!$A$2:$A$500),""))</f>
        <v/>
      </c>
      <c r="N310" t="str">
        <f>IF($C310="","",IFERROR(LOOKUP(2,1/('03_Warehouse_Movements'!$C$2:$C$500=$A310),'03_Warehouse_Movements'!$H$2:$H$500),""))</f>
        <v/>
      </c>
      <c r="O310" t="str">
        <f t="shared" si="9"/>
        <v>PAL-0000310</v>
      </c>
      <c r="Q310" s="34"/>
      <c r="R310" s="33"/>
      <c r="W310">
        <f>IF($A2="","",COUNTIF('07_Pallet_Contents'!$A$2:$A$3000,$A2))</f>
        <v>0</v>
      </c>
      <c r="X310">
        <f>IF($A2="","",SUMIF('07_Pallet_Contents'!$A$2:$A$3000,$A2,'07_Pallet_Contents'!$D$2:$D$3000))</f>
        <v>0</v>
      </c>
      <c r="Y310">
        <f>IF($A2="","",SUMIF('07_Pallet_Contents'!$A$2:$A$3000,$A2,'07_Pallet_Contents'!$I$2:$I$3000))</f>
        <v>0</v>
      </c>
      <c r="Z310" t="str">
        <f>IF($A2="","",IF(COUNTIF('07_Pallet_Contents'!$A$2:$A$3000,$A2)&gt;0,"Yes",""))</f>
        <v/>
      </c>
    </row>
    <row r="311" spans="1:26">
      <c r="A311" s="4" t="s">
        <v>621</v>
      </c>
      <c r="B311" s="31"/>
      <c r="D311" t="str">
        <f>IF($C311="","",IFERROR(LOOKUP(2,1/('03_Warehouse_Movements'!$C$2:$C$500=$A311),'03_Warehouse_Movements'!$E$2:$E$500),$C311))</f>
        <v/>
      </c>
      <c r="E311" t="s">
        <v>209</v>
      </c>
      <c r="G311" s="34"/>
      <c r="H311" s="33" t="str">
        <f t="shared" si="8"/>
        <v/>
      </c>
      <c r="I311" s="31"/>
      <c r="J311" s="31"/>
      <c r="K311" s="33"/>
      <c r="M311" s="69" t="str">
        <f>IF($C311="","",IFERROR(LOOKUP(2,1/('03_Warehouse_Movements'!$C$2:$C$500=$A311),'03_Warehouse_Movements'!$A$2:$A$500),""))</f>
        <v/>
      </c>
      <c r="N311" t="str">
        <f>IF($C311="","",IFERROR(LOOKUP(2,1/('03_Warehouse_Movements'!$C$2:$C$500=$A311),'03_Warehouse_Movements'!$H$2:$H$500),""))</f>
        <v/>
      </c>
      <c r="O311" t="str">
        <f t="shared" si="9"/>
        <v>PAL-0000311</v>
      </c>
      <c r="Q311" s="34"/>
      <c r="R311" s="33"/>
      <c r="W311">
        <f>IF($A2="","",COUNTIF('07_Pallet_Contents'!$A$2:$A$3000,$A2))</f>
        <v>0</v>
      </c>
      <c r="X311">
        <f>IF($A2="","",SUMIF('07_Pallet_Contents'!$A$2:$A$3000,$A2,'07_Pallet_Contents'!$D$2:$D$3000))</f>
        <v>0</v>
      </c>
      <c r="Y311">
        <f>IF($A2="","",SUMIF('07_Pallet_Contents'!$A$2:$A$3000,$A2,'07_Pallet_Contents'!$I$2:$I$3000))</f>
        <v>0</v>
      </c>
      <c r="Z311" t="str">
        <f>IF($A2="","",IF(COUNTIF('07_Pallet_Contents'!$A$2:$A$3000,$A2)&gt;0,"Yes",""))</f>
        <v/>
      </c>
    </row>
    <row r="312" spans="1:26">
      <c r="A312" s="4" t="s">
        <v>622</v>
      </c>
      <c r="B312" s="31"/>
      <c r="D312" t="str">
        <f>IF($C312="","",IFERROR(LOOKUP(2,1/('03_Warehouse_Movements'!$C$2:$C$500=$A312),'03_Warehouse_Movements'!$E$2:$E$500),$C312))</f>
        <v/>
      </c>
      <c r="E312" t="s">
        <v>209</v>
      </c>
      <c r="G312" s="34"/>
      <c r="H312" s="33" t="str">
        <f t="shared" si="8"/>
        <v/>
      </c>
      <c r="I312" s="31"/>
      <c r="J312" s="31"/>
      <c r="K312" s="33"/>
      <c r="M312" s="69" t="str">
        <f>IF($C312="","",IFERROR(LOOKUP(2,1/('03_Warehouse_Movements'!$C$2:$C$500=$A312),'03_Warehouse_Movements'!$A$2:$A$500),""))</f>
        <v/>
      </c>
      <c r="N312" t="str">
        <f>IF($C312="","",IFERROR(LOOKUP(2,1/('03_Warehouse_Movements'!$C$2:$C$500=$A312),'03_Warehouse_Movements'!$H$2:$H$500),""))</f>
        <v/>
      </c>
      <c r="O312" t="str">
        <f t="shared" si="9"/>
        <v>PAL-0000312</v>
      </c>
      <c r="Q312" s="34"/>
      <c r="R312" s="33"/>
      <c r="W312">
        <f>IF($A2="","",COUNTIF('07_Pallet_Contents'!$A$2:$A$3000,$A2))</f>
        <v>0</v>
      </c>
      <c r="X312">
        <f>IF($A2="","",SUMIF('07_Pallet_Contents'!$A$2:$A$3000,$A2,'07_Pallet_Contents'!$D$2:$D$3000))</f>
        <v>0</v>
      </c>
      <c r="Y312">
        <f>IF($A2="","",SUMIF('07_Pallet_Contents'!$A$2:$A$3000,$A2,'07_Pallet_Contents'!$I$2:$I$3000))</f>
        <v>0</v>
      </c>
      <c r="Z312" t="str">
        <f>IF($A2="","",IF(COUNTIF('07_Pallet_Contents'!$A$2:$A$3000,$A2)&gt;0,"Yes",""))</f>
        <v/>
      </c>
    </row>
    <row r="313" spans="1:26">
      <c r="A313" s="4" t="s">
        <v>623</v>
      </c>
      <c r="B313" s="31"/>
      <c r="D313" t="str">
        <f>IF($C313="","",IFERROR(LOOKUP(2,1/('03_Warehouse_Movements'!$C$2:$C$500=$A313),'03_Warehouse_Movements'!$E$2:$E$500),$C313))</f>
        <v/>
      </c>
      <c r="E313" t="s">
        <v>209</v>
      </c>
      <c r="G313" s="34"/>
      <c r="H313" s="33" t="str">
        <f t="shared" si="8"/>
        <v/>
      </c>
      <c r="I313" s="31"/>
      <c r="J313" s="31"/>
      <c r="K313" s="33"/>
      <c r="M313" s="69" t="str">
        <f>IF($C313="","",IFERROR(LOOKUP(2,1/('03_Warehouse_Movements'!$C$2:$C$500=$A313),'03_Warehouse_Movements'!$A$2:$A$500),""))</f>
        <v/>
      </c>
      <c r="N313" t="str">
        <f>IF($C313="","",IFERROR(LOOKUP(2,1/('03_Warehouse_Movements'!$C$2:$C$500=$A313),'03_Warehouse_Movements'!$H$2:$H$500),""))</f>
        <v/>
      </c>
      <c r="O313" t="str">
        <f t="shared" si="9"/>
        <v>PAL-0000313</v>
      </c>
      <c r="Q313" s="34"/>
      <c r="R313" s="33"/>
      <c r="W313">
        <f>IF($A2="","",COUNTIF('07_Pallet_Contents'!$A$2:$A$3000,$A2))</f>
        <v>0</v>
      </c>
      <c r="X313">
        <f>IF($A2="","",SUMIF('07_Pallet_Contents'!$A$2:$A$3000,$A2,'07_Pallet_Contents'!$D$2:$D$3000))</f>
        <v>0</v>
      </c>
      <c r="Y313">
        <f>IF($A2="","",SUMIF('07_Pallet_Contents'!$A$2:$A$3000,$A2,'07_Pallet_Contents'!$I$2:$I$3000))</f>
        <v>0</v>
      </c>
      <c r="Z313" t="str">
        <f>IF($A2="","",IF(COUNTIF('07_Pallet_Contents'!$A$2:$A$3000,$A2)&gt;0,"Yes",""))</f>
        <v/>
      </c>
    </row>
    <row r="314" spans="1:26">
      <c r="A314" s="4" t="s">
        <v>624</v>
      </c>
      <c r="B314" s="31"/>
      <c r="D314" t="str">
        <f>IF($C314="","",IFERROR(LOOKUP(2,1/('03_Warehouse_Movements'!$C$2:$C$500=$A314),'03_Warehouse_Movements'!$E$2:$E$500),$C314))</f>
        <v/>
      </c>
      <c r="E314" t="s">
        <v>209</v>
      </c>
      <c r="G314" s="34"/>
      <c r="H314" s="33" t="str">
        <f t="shared" si="8"/>
        <v/>
      </c>
      <c r="I314" s="31"/>
      <c r="J314" s="31"/>
      <c r="K314" s="33"/>
      <c r="M314" s="69" t="str">
        <f>IF($C314="","",IFERROR(LOOKUP(2,1/('03_Warehouse_Movements'!$C$2:$C$500=$A314),'03_Warehouse_Movements'!$A$2:$A$500),""))</f>
        <v/>
      </c>
      <c r="N314" t="str">
        <f>IF($C314="","",IFERROR(LOOKUP(2,1/('03_Warehouse_Movements'!$C$2:$C$500=$A314),'03_Warehouse_Movements'!$H$2:$H$500),""))</f>
        <v/>
      </c>
      <c r="O314" t="str">
        <f t="shared" si="9"/>
        <v>PAL-0000314</v>
      </c>
      <c r="Q314" s="34"/>
      <c r="R314" s="33"/>
      <c r="W314">
        <f>IF($A2="","",COUNTIF('07_Pallet_Contents'!$A$2:$A$3000,$A2))</f>
        <v>0</v>
      </c>
      <c r="X314">
        <f>IF($A2="","",SUMIF('07_Pallet_Contents'!$A$2:$A$3000,$A2,'07_Pallet_Contents'!$D$2:$D$3000))</f>
        <v>0</v>
      </c>
      <c r="Y314">
        <f>IF($A2="","",SUMIF('07_Pallet_Contents'!$A$2:$A$3000,$A2,'07_Pallet_Contents'!$I$2:$I$3000))</f>
        <v>0</v>
      </c>
      <c r="Z314" t="str">
        <f>IF($A2="","",IF(COUNTIF('07_Pallet_Contents'!$A$2:$A$3000,$A2)&gt;0,"Yes",""))</f>
        <v/>
      </c>
    </row>
    <row r="315" spans="1:26">
      <c r="A315" s="4" t="s">
        <v>625</v>
      </c>
      <c r="B315" s="31"/>
      <c r="D315" t="str">
        <f>IF($C315="","",IFERROR(LOOKUP(2,1/('03_Warehouse_Movements'!$C$2:$C$500=$A315),'03_Warehouse_Movements'!$E$2:$E$500),$C315))</f>
        <v/>
      </c>
      <c r="E315" t="s">
        <v>209</v>
      </c>
      <c r="G315" s="34"/>
      <c r="H315" s="33" t="str">
        <f t="shared" si="8"/>
        <v/>
      </c>
      <c r="I315" s="31"/>
      <c r="J315" s="31"/>
      <c r="K315" s="33"/>
      <c r="M315" s="69" t="str">
        <f>IF($C315="","",IFERROR(LOOKUP(2,1/('03_Warehouse_Movements'!$C$2:$C$500=$A315),'03_Warehouse_Movements'!$A$2:$A$500),""))</f>
        <v/>
      </c>
      <c r="N315" t="str">
        <f>IF($C315="","",IFERROR(LOOKUP(2,1/('03_Warehouse_Movements'!$C$2:$C$500=$A315),'03_Warehouse_Movements'!$H$2:$H$500),""))</f>
        <v/>
      </c>
      <c r="O315" t="str">
        <f t="shared" si="9"/>
        <v>PAL-0000315</v>
      </c>
      <c r="Q315" s="34"/>
      <c r="R315" s="33"/>
      <c r="W315">
        <f>IF($A2="","",COUNTIF('07_Pallet_Contents'!$A$2:$A$3000,$A2))</f>
        <v>0</v>
      </c>
      <c r="X315">
        <f>IF($A2="","",SUMIF('07_Pallet_Contents'!$A$2:$A$3000,$A2,'07_Pallet_Contents'!$D$2:$D$3000))</f>
        <v>0</v>
      </c>
      <c r="Y315">
        <f>IF($A2="","",SUMIF('07_Pallet_Contents'!$A$2:$A$3000,$A2,'07_Pallet_Contents'!$I$2:$I$3000))</f>
        <v>0</v>
      </c>
      <c r="Z315" t="str">
        <f>IF($A2="","",IF(COUNTIF('07_Pallet_Contents'!$A$2:$A$3000,$A2)&gt;0,"Yes",""))</f>
        <v/>
      </c>
    </row>
    <row r="316" spans="1:26">
      <c r="A316" s="4" t="s">
        <v>626</v>
      </c>
      <c r="B316" s="31"/>
      <c r="D316" t="str">
        <f>IF($C316="","",IFERROR(LOOKUP(2,1/('03_Warehouse_Movements'!$C$2:$C$500=$A316),'03_Warehouse_Movements'!$E$2:$E$500),$C316))</f>
        <v/>
      </c>
      <c r="E316" t="s">
        <v>209</v>
      </c>
      <c r="G316" s="34"/>
      <c r="H316" s="33" t="str">
        <f t="shared" si="8"/>
        <v/>
      </c>
      <c r="I316" s="31"/>
      <c r="J316" s="31"/>
      <c r="K316" s="33"/>
      <c r="M316" s="69" t="str">
        <f>IF($C316="","",IFERROR(LOOKUP(2,1/('03_Warehouse_Movements'!$C$2:$C$500=$A316),'03_Warehouse_Movements'!$A$2:$A$500),""))</f>
        <v/>
      </c>
      <c r="N316" t="str">
        <f>IF($C316="","",IFERROR(LOOKUP(2,1/('03_Warehouse_Movements'!$C$2:$C$500=$A316),'03_Warehouse_Movements'!$H$2:$H$500),""))</f>
        <v/>
      </c>
      <c r="O316" t="str">
        <f t="shared" si="9"/>
        <v>PAL-0000316</v>
      </c>
      <c r="Q316" s="34"/>
      <c r="R316" s="33"/>
      <c r="W316">
        <f>IF($A2="","",COUNTIF('07_Pallet_Contents'!$A$2:$A$3000,$A2))</f>
        <v>0</v>
      </c>
      <c r="X316">
        <f>IF($A2="","",SUMIF('07_Pallet_Contents'!$A$2:$A$3000,$A2,'07_Pallet_Contents'!$D$2:$D$3000))</f>
        <v>0</v>
      </c>
      <c r="Y316">
        <f>IF($A2="","",SUMIF('07_Pallet_Contents'!$A$2:$A$3000,$A2,'07_Pallet_Contents'!$I$2:$I$3000))</f>
        <v>0</v>
      </c>
      <c r="Z316" t="str">
        <f>IF($A2="","",IF(COUNTIF('07_Pallet_Contents'!$A$2:$A$3000,$A2)&gt;0,"Yes",""))</f>
        <v/>
      </c>
    </row>
    <row r="317" spans="1:26">
      <c r="A317" s="4" t="s">
        <v>627</v>
      </c>
      <c r="B317" s="31"/>
      <c r="D317" t="str">
        <f>IF($C317="","",IFERROR(LOOKUP(2,1/('03_Warehouse_Movements'!$C$2:$C$500=$A317),'03_Warehouse_Movements'!$E$2:$E$500),$C317))</f>
        <v/>
      </c>
      <c r="E317" t="s">
        <v>209</v>
      </c>
      <c r="G317" s="34"/>
      <c r="H317" s="33" t="str">
        <f t="shared" si="8"/>
        <v/>
      </c>
      <c r="I317" s="31"/>
      <c r="J317" s="31"/>
      <c r="K317" s="33"/>
      <c r="M317" s="69" t="str">
        <f>IF($C317="","",IFERROR(LOOKUP(2,1/('03_Warehouse_Movements'!$C$2:$C$500=$A317),'03_Warehouse_Movements'!$A$2:$A$500),""))</f>
        <v/>
      </c>
      <c r="N317" t="str">
        <f>IF($C317="","",IFERROR(LOOKUP(2,1/('03_Warehouse_Movements'!$C$2:$C$500=$A317),'03_Warehouse_Movements'!$H$2:$H$500),""))</f>
        <v/>
      </c>
      <c r="O317" t="str">
        <f t="shared" si="9"/>
        <v>PAL-0000317</v>
      </c>
      <c r="Q317" s="34"/>
      <c r="R317" s="33"/>
      <c r="W317">
        <f>IF($A2="","",COUNTIF('07_Pallet_Contents'!$A$2:$A$3000,$A2))</f>
        <v>0</v>
      </c>
      <c r="X317">
        <f>IF($A2="","",SUMIF('07_Pallet_Contents'!$A$2:$A$3000,$A2,'07_Pallet_Contents'!$D$2:$D$3000))</f>
        <v>0</v>
      </c>
      <c r="Y317">
        <f>IF($A2="","",SUMIF('07_Pallet_Contents'!$A$2:$A$3000,$A2,'07_Pallet_Contents'!$I$2:$I$3000))</f>
        <v>0</v>
      </c>
      <c r="Z317" t="str">
        <f>IF($A2="","",IF(COUNTIF('07_Pallet_Contents'!$A$2:$A$3000,$A2)&gt;0,"Yes",""))</f>
        <v/>
      </c>
    </row>
    <row r="318" spans="1:26">
      <c r="A318" s="4" t="s">
        <v>628</v>
      </c>
      <c r="B318" s="31"/>
      <c r="D318" t="str">
        <f>IF($C318="","",IFERROR(LOOKUP(2,1/('03_Warehouse_Movements'!$C$2:$C$500=$A318),'03_Warehouse_Movements'!$E$2:$E$500),$C318))</f>
        <v/>
      </c>
      <c r="E318" t="s">
        <v>209</v>
      </c>
      <c r="G318" s="34"/>
      <c r="H318" s="33" t="str">
        <f t="shared" si="8"/>
        <v/>
      </c>
      <c r="I318" s="31"/>
      <c r="J318" s="31"/>
      <c r="K318" s="33"/>
      <c r="M318" s="69" t="str">
        <f>IF($C318="","",IFERROR(LOOKUP(2,1/('03_Warehouse_Movements'!$C$2:$C$500=$A318),'03_Warehouse_Movements'!$A$2:$A$500),""))</f>
        <v/>
      </c>
      <c r="N318" t="str">
        <f>IF($C318="","",IFERROR(LOOKUP(2,1/('03_Warehouse_Movements'!$C$2:$C$500=$A318),'03_Warehouse_Movements'!$H$2:$H$500),""))</f>
        <v/>
      </c>
      <c r="O318" t="str">
        <f t="shared" si="9"/>
        <v>PAL-0000318</v>
      </c>
      <c r="Q318" s="34"/>
      <c r="R318" s="33"/>
      <c r="W318">
        <f>IF($A2="","",COUNTIF('07_Pallet_Contents'!$A$2:$A$3000,$A2))</f>
        <v>0</v>
      </c>
      <c r="X318">
        <f>IF($A2="","",SUMIF('07_Pallet_Contents'!$A$2:$A$3000,$A2,'07_Pallet_Contents'!$D$2:$D$3000))</f>
        <v>0</v>
      </c>
      <c r="Y318">
        <f>IF($A2="","",SUMIF('07_Pallet_Contents'!$A$2:$A$3000,$A2,'07_Pallet_Contents'!$I$2:$I$3000))</f>
        <v>0</v>
      </c>
      <c r="Z318" t="str">
        <f>IF($A2="","",IF(COUNTIF('07_Pallet_Contents'!$A$2:$A$3000,$A2)&gt;0,"Yes",""))</f>
        <v/>
      </c>
    </row>
    <row r="319" spans="1:26">
      <c r="A319" s="4" t="s">
        <v>629</v>
      </c>
      <c r="B319" s="31"/>
      <c r="D319" t="str">
        <f>IF($C319="","",IFERROR(LOOKUP(2,1/('03_Warehouse_Movements'!$C$2:$C$500=$A319),'03_Warehouse_Movements'!$E$2:$E$500),$C319))</f>
        <v/>
      </c>
      <c r="E319" t="s">
        <v>209</v>
      </c>
      <c r="G319" s="34"/>
      <c r="H319" s="33" t="str">
        <f t="shared" si="8"/>
        <v/>
      </c>
      <c r="I319" s="31"/>
      <c r="J319" s="31"/>
      <c r="K319" s="33"/>
      <c r="M319" s="69" t="str">
        <f>IF($C319="","",IFERROR(LOOKUP(2,1/('03_Warehouse_Movements'!$C$2:$C$500=$A319),'03_Warehouse_Movements'!$A$2:$A$500),""))</f>
        <v/>
      </c>
      <c r="N319" t="str">
        <f>IF($C319="","",IFERROR(LOOKUP(2,1/('03_Warehouse_Movements'!$C$2:$C$500=$A319),'03_Warehouse_Movements'!$H$2:$H$500),""))</f>
        <v/>
      </c>
      <c r="O319" t="str">
        <f t="shared" si="9"/>
        <v>PAL-0000319</v>
      </c>
      <c r="Q319" s="34"/>
      <c r="R319" s="33"/>
      <c r="W319">
        <f>IF($A2="","",COUNTIF('07_Pallet_Contents'!$A$2:$A$3000,$A2))</f>
        <v>0</v>
      </c>
      <c r="X319">
        <f>IF($A2="","",SUMIF('07_Pallet_Contents'!$A$2:$A$3000,$A2,'07_Pallet_Contents'!$D$2:$D$3000))</f>
        <v>0</v>
      </c>
      <c r="Y319">
        <f>IF($A2="","",SUMIF('07_Pallet_Contents'!$A$2:$A$3000,$A2,'07_Pallet_Contents'!$I$2:$I$3000))</f>
        <v>0</v>
      </c>
      <c r="Z319" t="str">
        <f>IF($A2="","",IF(COUNTIF('07_Pallet_Contents'!$A$2:$A$3000,$A2)&gt;0,"Yes",""))</f>
        <v/>
      </c>
    </row>
    <row r="320" spans="1:26">
      <c r="A320" s="4" t="s">
        <v>630</v>
      </c>
      <c r="B320" s="31"/>
      <c r="D320" t="str">
        <f>IF($C320="","",IFERROR(LOOKUP(2,1/('03_Warehouse_Movements'!$C$2:$C$500=$A320),'03_Warehouse_Movements'!$E$2:$E$500),$C320))</f>
        <v/>
      </c>
      <c r="E320" t="s">
        <v>209</v>
      </c>
      <c r="G320" s="34"/>
      <c r="H320" s="33" t="str">
        <f t="shared" si="8"/>
        <v/>
      </c>
      <c r="I320" s="31"/>
      <c r="J320" s="31"/>
      <c r="K320" s="33"/>
      <c r="M320" s="69" t="str">
        <f>IF($C320="","",IFERROR(LOOKUP(2,1/('03_Warehouse_Movements'!$C$2:$C$500=$A320),'03_Warehouse_Movements'!$A$2:$A$500),""))</f>
        <v/>
      </c>
      <c r="N320" t="str">
        <f>IF($C320="","",IFERROR(LOOKUP(2,1/('03_Warehouse_Movements'!$C$2:$C$500=$A320),'03_Warehouse_Movements'!$H$2:$H$500),""))</f>
        <v/>
      </c>
      <c r="O320" t="str">
        <f t="shared" si="9"/>
        <v>PAL-0000320</v>
      </c>
      <c r="Q320" s="34"/>
      <c r="R320" s="33"/>
      <c r="W320">
        <f>IF($A2="","",COUNTIF('07_Pallet_Contents'!$A$2:$A$3000,$A2))</f>
        <v>0</v>
      </c>
      <c r="X320">
        <f>IF($A2="","",SUMIF('07_Pallet_Contents'!$A$2:$A$3000,$A2,'07_Pallet_Contents'!$D$2:$D$3000))</f>
        <v>0</v>
      </c>
      <c r="Y320">
        <f>IF($A2="","",SUMIF('07_Pallet_Contents'!$A$2:$A$3000,$A2,'07_Pallet_Contents'!$I$2:$I$3000))</f>
        <v>0</v>
      </c>
      <c r="Z320" t="str">
        <f>IF($A2="","",IF(COUNTIF('07_Pallet_Contents'!$A$2:$A$3000,$A2)&gt;0,"Yes",""))</f>
        <v/>
      </c>
    </row>
    <row r="321" spans="1:26">
      <c r="A321" s="4" t="s">
        <v>631</v>
      </c>
      <c r="B321" s="31"/>
      <c r="D321" t="str">
        <f>IF($C321="","",IFERROR(LOOKUP(2,1/('03_Warehouse_Movements'!$C$2:$C$500=$A321),'03_Warehouse_Movements'!$E$2:$E$500),$C321))</f>
        <v/>
      </c>
      <c r="E321" t="s">
        <v>209</v>
      </c>
      <c r="G321" s="34"/>
      <c r="H321" s="33" t="str">
        <f t="shared" si="8"/>
        <v/>
      </c>
      <c r="I321" s="31"/>
      <c r="J321" s="31"/>
      <c r="K321" s="33"/>
      <c r="M321" s="69" t="str">
        <f>IF($C321="","",IFERROR(LOOKUP(2,1/('03_Warehouse_Movements'!$C$2:$C$500=$A321),'03_Warehouse_Movements'!$A$2:$A$500),""))</f>
        <v/>
      </c>
      <c r="N321" t="str">
        <f>IF($C321="","",IFERROR(LOOKUP(2,1/('03_Warehouse_Movements'!$C$2:$C$500=$A321),'03_Warehouse_Movements'!$H$2:$H$500),""))</f>
        <v/>
      </c>
      <c r="O321" t="str">
        <f t="shared" si="9"/>
        <v>PAL-0000321</v>
      </c>
      <c r="Q321" s="34"/>
      <c r="R321" s="33"/>
      <c r="W321">
        <f>IF($A2="","",COUNTIF('07_Pallet_Contents'!$A$2:$A$3000,$A2))</f>
        <v>0</v>
      </c>
      <c r="X321">
        <f>IF($A2="","",SUMIF('07_Pallet_Contents'!$A$2:$A$3000,$A2,'07_Pallet_Contents'!$D$2:$D$3000))</f>
        <v>0</v>
      </c>
      <c r="Y321">
        <f>IF($A2="","",SUMIF('07_Pallet_Contents'!$A$2:$A$3000,$A2,'07_Pallet_Contents'!$I$2:$I$3000))</f>
        <v>0</v>
      </c>
      <c r="Z321" t="str">
        <f>IF($A2="","",IF(COUNTIF('07_Pallet_Contents'!$A$2:$A$3000,$A2)&gt;0,"Yes",""))</f>
        <v/>
      </c>
    </row>
    <row r="322" spans="1:26">
      <c r="A322" s="4" t="s">
        <v>632</v>
      </c>
      <c r="B322" s="31"/>
      <c r="D322" t="str">
        <f>IF($C322="","",IFERROR(LOOKUP(2,1/('03_Warehouse_Movements'!$C$2:$C$500=$A322),'03_Warehouse_Movements'!$E$2:$E$500),$C322))</f>
        <v/>
      </c>
      <c r="E322" t="s">
        <v>209</v>
      </c>
      <c r="G322" s="34"/>
      <c r="H322" s="33" t="str">
        <f t="shared" ref="H322:H385" si="10">IF(AND($F322="TEMP",$G322&gt;0,$M322&lt;&gt;""),$M322+$G322,"")</f>
        <v/>
      </c>
      <c r="I322" s="31"/>
      <c r="J322" s="31"/>
      <c r="K322" s="33"/>
      <c r="M322" s="69" t="str">
        <f>IF($C322="","",IFERROR(LOOKUP(2,1/('03_Warehouse_Movements'!$C$2:$C$500=$A322),'03_Warehouse_Movements'!$A$2:$A$500),""))</f>
        <v/>
      </c>
      <c r="N322" t="str">
        <f>IF($C322="","",IFERROR(LOOKUP(2,1/('03_Warehouse_Movements'!$C$2:$C$500=$A322),'03_Warehouse_Movements'!$H$2:$H$500),""))</f>
        <v/>
      </c>
      <c r="O322" t="str">
        <f t="shared" ref="O322:O385" si="11">A322</f>
        <v>PAL-0000322</v>
      </c>
      <c r="Q322" s="34"/>
      <c r="R322" s="33"/>
      <c r="W322">
        <f>IF($A2="","",COUNTIF('07_Pallet_Contents'!$A$2:$A$3000,$A2))</f>
        <v>0</v>
      </c>
      <c r="X322">
        <f>IF($A2="","",SUMIF('07_Pallet_Contents'!$A$2:$A$3000,$A2,'07_Pallet_Contents'!$D$2:$D$3000))</f>
        <v>0</v>
      </c>
      <c r="Y322">
        <f>IF($A2="","",SUMIF('07_Pallet_Contents'!$A$2:$A$3000,$A2,'07_Pallet_Contents'!$I$2:$I$3000))</f>
        <v>0</v>
      </c>
      <c r="Z322" t="str">
        <f>IF($A2="","",IF(COUNTIF('07_Pallet_Contents'!$A$2:$A$3000,$A2)&gt;0,"Yes",""))</f>
        <v/>
      </c>
    </row>
    <row r="323" spans="1:26">
      <c r="A323" s="4" t="s">
        <v>633</v>
      </c>
      <c r="B323" s="31"/>
      <c r="D323" t="str">
        <f>IF($C323="","",IFERROR(LOOKUP(2,1/('03_Warehouse_Movements'!$C$2:$C$500=$A323),'03_Warehouse_Movements'!$E$2:$E$500),$C323))</f>
        <v/>
      </c>
      <c r="E323" t="s">
        <v>209</v>
      </c>
      <c r="G323" s="34"/>
      <c r="H323" s="33" t="str">
        <f t="shared" si="10"/>
        <v/>
      </c>
      <c r="I323" s="31"/>
      <c r="J323" s="31"/>
      <c r="K323" s="33"/>
      <c r="M323" s="69" t="str">
        <f>IF($C323="","",IFERROR(LOOKUP(2,1/('03_Warehouse_Movements'!$C$2:$C$500=$A323),'03_Warehouse_Movements'!$A$2:$A$500),""))</f>
        <v/>
      </c>
      <c r="N323" t="str">
        <f>IF($C323="","",IFERROR(LOOKUP(2,1/('03_Warehouse_Movements'!$C$2:$C$500=$A323),'03_Warehouse_Movements'!$H$2:$H$500),""))</f>
        <v/>
      </c>
      <c r="O323" t="str">
        <f t="shared" si="11"/>
        <v>PAL-0000323</v>
      </c>
      <c r="Q323" s="34"/>
      <c r="R323" s="33"/>
      <c r="W323">
        <f>IF($A2="","",COUNTIF('07_Pallet_Contents'!$A$2:$A$3000,$A2))</f>
        <v>0</v>
      </c>
      <c r="X323">
        <f>IF($A2="","",SUMIF('07_Pallet_Contents'!$A$2:$A$3000,$A2,'07_Pallet_Contents'!$D$2:$D$3000))</f>
        <v>0</v>
      </c>
      <c r="Y323">
        <f>IF($A2="","",SUMIF('07_Pallet_Contents'!$A$2:$A$3000,$A2,'07_Pallet_Contents'!$I$2:$I$3000))</f>
        <v>0</v>
      </c>
      <c r="Z323" t="str">
        <f>IF($A2="","",IF(COUNTIF('07_Pallet_Contents'!$A$2:$A$3000,$A2)&gt;0,"Yes",""))</f>
        <v/>
      </c>
    </row>
    <row r="324" spans="1:26">
      <c r="A324" s="4" t="s">
        <v>634</v>
      </c>
      <c r="B324" s="31"/>
      <c r="D324" t="str">
        <f>IF($C324="","",IFERROR(LOOKUP(2,1/('03_Warehouse_Movements'!$C$2:$C$500=$A324),'03_Warehouse_Movements'!$E$2:$E$500),$C324))</f>
        <v/>
      </c>
      <c r="E324" t="s">
        <v>209</v>
      </c>
      <c r="G324" s="34"/>
      <c r="H324" s="33" t="str">
        <f t="shared" si="10"/>
        <v/>
      </c>
      <c r="I324" s="31"/>
      <c r="J324" s="31"/>
      <c r="K324" s="33"/>
      <c r="M324" s="69" t="str">
        <f>IF($C324="","",IFERROR(LOOKUP(2,1/('03_Warehouse_Movements'!$C$2:$C$500=$A324),'03_Warehouse_Movements'!$A$2:$A$500),""))</f>
        <v/>
      </c>
      <c r="N324" t="str">
        <f>IF($C324="","",IFERROR(LOOKUP(2,1/('03_Warehouse_Movements'!$C$2:$C$500=$A324),'03_Warehouse_Movements'!$H$2:$H$500),""))</f>
        <v/>
      </c>
      <c r="O324" t="str">
        <f t="shared" si="11"/>
        <v>PAL-0000324</v>
      </c>
      <c r="Q324" s="34"/>
      <c r="R324" s="33"/>
      <c r="W324">
        <f>IF($A2="","",COUNTIF('07_Pallet_Contents'!$A$2:$A$3000,$A2))</f>
        <v>0</v>
      </c>
      <c r="X324">
        <f>IF($A2="","",SUMIF('07_Pallet_Contents'!$A$2:$A$3000,$A2,'07_Pallet_Contents'!$D$2:$D$3000))</f>
        <v>0</v>
      </c>
      <c r="Y324">
        <f>IF($A2="","",SUMIF('07_Pallet_Contents'!$A$2:$A$3000,$A2,'07_Pallet_Contents'!$I$2:$I$3000))</f>
        <v>0</v>
      </c>
      <c r="Z324" t="str">
        <f>IF($A2="","",IF(COUNTIF('07_Pallet_Contents'!$A$2:$A$3000,$A2)&gt;0,"Yes",""))</f>
        <v/>
      </c>
    </row>
    <row r="325" spans="1:26">
      <c r="A325" s="4" t="s">
        <v>635</v>
      </c>
      <c r="B325" s="31"/>
      <c r="D325" t="str">
        <f>IF($C325="","",IFERROR(LOOKUP(2,1/('03_Warehouse_Movements'!$C$2:$C$500=$A325),'03_Warehouse_Movements'!$E$2:$E$500),$C325))</f>
        <v/>
      </c>
      <c r="E325" t="s">
        <v>209</v>
      </c>
      <c r="G325" s="34"/>
      <c r="H325" s="33" t="str">
        <f t="shared" si="10"/>
        <v/>
      </c>
      <c r="I325" s="31"/>
      <c r="J325" s="31"/>
      <c r="K325" s="33"/>
      <c r="M325" s="69" t="str">
        <f>IF($C325="","",IFERROR(LOOKUP(2,1/('03_Warehouse_Movements'!$C$2:$C$500=$A325),'03_Warehouse_Movements'!$A$2:$A$500),""))</f>
        <v/>
      </c>
      <c r="N325" t="str">
        <f>IF($C325="","",IFERROR(LOOKUP(2,1/('03_Warehouse_Movements'!$C$2:$C$500=$A325),'03_Warehouse_Movements'!$H$2:$H$500),""))</f>
        <v/>
      </c>
      <c r="O325" t="str">
        <f t="shared" si="11"/>
        <v>PAL-0000325</v>
      </c>
      <c r="Q325" s="34"/>
      <c r="R325" s="33"/>
      <c r="W325">
        <f>IF($A2="","",COUNTIF('07_Pallet_Contents'!$A$2:$A$3000,$A2))</f>
        <v>0</v>
      </c>
      <c r="X325">
        <f>IF($A2="","",SUMIF('07_Pallet_Contents'!$A$2:$A$3000,$A2,'07_Pallet_Contents'!$D$2:$D$3000))</f>
        <v>0</v>
      </c>
      <c r="Y325">
        <f>IF($A2="","",SUMIF('07_Pallet_Contents'!$A$2:$A$3000,$A2,'07_Pallet_Contents'!$I$2:$I$3000))</f>
        <v>0</v>
      </c>
      <c r="Z325" t="str">
        <f>IF($A2="","",IF(COUNTIF('07_Pallet_Contents'!$A$2:$A$3000,$A2)&gt;0,"Yes",""))</f>
        <v/>
      </c>
    </row>
    <row r="326" spans="1:26">
      <c r="A326" s="4" t="s">
        <v>636</v>
      </c>
      <c r="B326" s="31"/>
      <c r="D326" t="str">
        <f>IF($C326="","",IFERROR(LOOKUP(2,1/('03_Warehouse_Movements'!$C$2:$C$500=$A326),'03_Warehouse_Movements'!$E$2:$E$500),$C326))</f>
        <v/>
      </c>
      <c r="E326" t="s">
        <v>209</v>
      </c>
      <c r="G326" s="34"/>
      <c r="H326" s="33" t="str">
        <f t="shared" si="10"/>
        <v/>
      </c>
      <c r="I326" s="31"/>
      <c r="J326" s="31"/>
      <c r="K326" s="33"/>
      <c r="M326" s="69" t="str">
        <f>IF($C326="","",IFERROR(LOOKUP(2,1/('03_Warehouse_Movements'!$C$2:$C$500=$A326),'03_Warehouse_Movements'!$A$2:$A$500),""))</f>
        <v/>
      </c>
      <c r="N326" t="str">
        <f>IF($C326="","",IFERROR(LOOKUP(2,1/('03_Warehouse_Movements'!$C$2:$C$500=$A326),'03_Warehouse_Movements'!$H$2:$H$500),""))</f>
        <v/>
      </c>
      <c r="O326" t="str">
        <f t="shared" si="11"/>
        <v>PAL-0000326</v>
      </c>
      <c r="Q326" s="34"/>
      <c r="R326" s="33"/>
      <c r="W326">
        <f>IF($A2="","",COUNTIF('07_Pallet_Contents'!$A$2:$A$3000,$A2))</f>
        <v>0</v>
      </c>
      <c r="X326">
        <f>IF($A2="","",SUMIF('07_Pallet_Contents'!$A$2:$A$3000,$A2,'07_Pallet_Contents'!$D$2:$D$3000))</f>
        <v>0</v>
      </c>
      <c r="Y326">
        <f>IF($A2="","",SUMIF('07_Pallet_Contents'!$A$2:$A$3000,$A2,'07_Pallet_Contents'!$I$2:$I$3000))</f>
        <v>0</v>
      </c>
      <c r="Z326" t="str">
        <f>IF($A2="","",IF(COUNTIF('07_Pallet_Contents'!$A$2:$A$3000,$A2)&gt;0,"Yes",""))</f>
        <v/>
      </c>
    </row>
    <row r="327" spans="1:26">
      <c r="A327" s="4" t="s">
        <v>637</v>
      </c>
      <c r="B327" s="31"/>
      <c r="D327" t="str">
        <f>IF($C327="","",IFERROR(LOOKUP(2,1/('03_Warehouse_Movements'!$C$2:$C$500=$A327),'03_Warehouse_Movements'!$E$2:$E$500),$C327))</f>
        <v/>
      </c>
      <c r="E327" t="s">
        <v>209</v>
      </c>
      <c r="G327" s="34"/>
      <c r="H327" s="33" t="str">
        <f t="shared" si="10"/>
        <v/>
      </c>
      <c r="I327" s="31"/>
      <c r="J327" s="31"/>
      <c r="K327" s="33"/>
      <c r="M327" s="69" t="str">
        <f>IF($C327="","",IFERROR(LOOKUP(2,1/('03_Warehouse_Movements'!$C$2:$C$500=$A327),'03_Warehouse_Movements'!$A$2:$A$500),""))</f>
        <v/>
      </c>
      <c r="N327" t="str">
        <f>IF($C327="","",IFERROR(LOOKUP(2,1/('03_Warehouse_Movements'!$C$2:$C$500=$A327),'03_Warehouse_Movements'!$H$2:$H$500),""))</f>
        <v/>
      </c>
      <c r="O327" t="str">
        <f t="shared" si="11"/>
        <v>PAL-0000327</v>
      </c>
      <c r="Q327" s="34"/>
      <c r="R327" s="33"/>
      <c r="W327">
        <f>IF($A2="","",COUNTIF('07_Pallet_Contents'!$A$2:$A$3000,$A2))</f>
        <v>0</v>
      </c>
      <c r="X327">
        <f>IF($A2="","",SUMIF('07_Pallet_Contents'!$A$2:$A$3000,$A2,'07_Pallet_Contents'!$D$2:$D$3000))</f>
        <v>0</v>
      </c>
      <c r="Y327">
        <f>IF($A2="","",SUMIF('07_Pallet_Contents'!$A$2:$A$3000,$A2,'07_Pallet_Contents'!$I$2:$I$3000))</f>
        <v>0</v>
      </c>
      <c r="Z327" t="str">
        <f>IF($A2="","",IF(COUNTIF('07_Pallet_Contents'!$A$2:$A$3000,$A2)&gt;0,"Yes",""))</f>
        <v/>
      </c>
    </row>
    <row r="328" spans="1:26">
      <c r="A328" s="4" t="s">
        <v>638</v>
      </c>
      <c r="B328" s="31"/>
      <c r="D328" t="str">
        <f>IF($C328="","",IFERROR(LOOKUP(2,1/('03_Warehouse_Movements'!$C$2:$C$500=$A328),'03_Warehouse_Movements'!$E$2:$E$500),$C328))</f>
        <v/>
      </c>
      <c r="E328" t="s">
        <v>209</v>
      </c>
      <c r="G328" s="34"/>
      <c r="H328" s="33" t="str">
        <f t="shared" si="10"/>
        <v/>
      </c>
      <c r="I328" s="31"/>
      <c r="J328" s="31"/>
      <c r="K328" s="33"/>
      <c r="M328" s="69" t="str">
        <f>IF($C328="","",IFERROR(LOOKUP(2,1/('03_Warehouse_Movements'!$C$2:$C$500=$A328),'03_Warehouse_Movements'!$A$2:$A$500),""))</f>
        <v/>
      </c>
      <c r="N328" t="str">
        <f>IF($C328="","",IFERROR(LOOKUP(2,1/('03_Warehouse_Movements'!$C$2:$C$500=$A328),'03_Warehouse_Movements'!$H$2:$H$500),""))</f>
        <v/>
      </c>
      <c r="O328" t="str">
        <f t="shared" si="11"/>
        <v>PAL-0000328</v>
      </c>
      <c r="Q328" s="34"/>
      <c r="R328" s="33"/>
      <c r="W328">
        <f>IF($A2="","",COUNTIF('07_Pallet_Contents'!$A$2:$A$3000,$A2))</f>
        <v>0</v>
      </c>
      <c r="X328">
        <f>IF($A2="","",SUMIF('07_Pallet_Contents'!$A$2:$A$3000,$A2,'07_Pallet_Contents'!$D$2:$D$3000))</f>
        <v>0</v>
      </c>
      <c r="Y328">
        <f>IF($A2="","",SUMIF('07_Pallet_Contents'!$A$2:$A$3000,$A2,'07_Pallet_Contents'!$I$2:$I$3000))</f>
        <v>0</v>
      </c>
      <c r="Z328" t="str">
        <f>IF($A2="","",IF(COUNTIF('07_Pallet_Contents'!$A$2:$A$3000,$A2)&gt;0,"Yes",""))</f>
        <v/>
      </c>
    </row>
    <row r="329" spans="1:26">
      <c r="A329" s="4" t="s">
        <v>639</v>
      </c>
      <c r="B329" s="31"/>
      <c r="D329" t="str">
        <f>IF($C329="","",IFERROR(LOOKUP(2,1/('03_Warehouse_Movements'!$C$2:$C$500=$A329),'03_Warehouse_Movements'!$E$2:$E$500),$C329))</f>
        <v/>
      </c>
      <c r="E329" t="s">
        <v>209</v>
      </c>
      <c r="G329" s="34"/>
      <c r="H329" s="33" t="str">
        <f t="shared" si="10"/>
        <v/>
      </c>
      <c r="I329" s="31"/>
      <c r="J329" s="31"/>
      <c r="K329" s="33"/>
      <c r="M329" s="69" t="str">
        <f>IF($C329="","",IFERROR(LOOKUP(2,1/('03_Warehouse_Movements'!$C$2:$C$500=$A329),'03_Warehouse_Movements'!$A$2:$A$500),""))</f>
        <v/>
      </c>
      <c r="N329" t="str">
        <f>IF($C329="","",IFERROR(LOOKUP(2,1/('03_Warehouse_Movements'!$C$2:$C$500=$A329),'03_Warehouse_Movements'!$H$2:$H$500),""))</f>
        <v/>
      </c>
      <c r="O329" t="str">
        <f t="shared" si="11"/>
        <v>PAL-0000329</v>
      </c>
      <c r="Q329" s="34"/>
      <c r="R329" s="33"/>
      <c r="W329">
        <f>IF($A2="","",COUNTIF('07_Pallet_Contents'!$A$2:$A$3000,$A2))</f>
        <v>0</v>
      </c>
      <c r="X329">
        <f>IF($A2="","",SUMIF('07_Pallet_Contents'!$A$2:$A$3000,$A2,'07_Pallet_Contents'!$D$2:$D$3000))</f>
        <v>0</v>
      </c>
      <c r="Y329">
        <f>IF($A2="","",SUMIF('07_Pallet_Contents'!$A$2:$A$3000,$A2,'07_Pallet_Contents'!$I$2:$I$3000))</f>
        <v>0</v>
      </c>
      <c r="Z329" t="str">
        <f>IF($A2="","",IF(COUNTIF('07_Pallet_Contents'!$A$2:$A$3000,$A2)&gt;0,"Yes",""))</f>
        <v/>
      </c>
    </row>
    <row r="330" spans="1:26">
      <c r="A330" s="4" t="s">
        <v>640</v>
      </c>
      <c r="B330" s="31"/>
      <c r="D330" t="str">
        <f>IF($C330="","",IFERROR(LOOKUP(2,1/('03_Warehouse_Movements'!$C$2:$C$500=$A330),'03_Warehouse_Movements'!$E$2:$E$500),$C330))</f>
        <v/>
      </c>
      <c r="E330" t="s">
        <v>209</v>
      </c>
      <c r="G330" s="34"/>
      <c r="H330" s="33" t="str">
        <f t="shared" si="10"/>
        <v/>
      </c>
      <c r="I330" s="31"/>
      <c r="J330" s="31"/>
      <c r="K330" s="33"/>
      <c r="M330" s="69" t="str">
        <f>IF($C330="","",IFERROR(LOOKUP(2,1/('03_Warehouse_Movements'!$C$2:$C$500=$A330),'03_Warehouse_Movements'!$A$2:$A$500),""))</f>
        <v/>
      </c>
      <c r="N330" t="str">
        <f>IF($C330="","",IFERROR(LOOKUP(2,1/('03_Warehouse_Movements'!$C$2:$C$500=$A330),'03_Warehouse_Movements'!$H$2:$H$500),""))</f>
        <v/>
      </c>
      <c r="O330" t="str">
        <f t="shared" si="11"/>
        <v>PAL-0000330</v>
      </c>
      <c r="Q330" s="34"/>
      <c r="R330" s="33"/>
      <c r="W330">
        <f>IF($A2="","",COUNTIF('07_Pallet_Contents'!$A$2:$A$3000,$A2))</f>
        <v>0</v>
      </c>
      <c r="X330">
        <f>IF($A2="","",SUMIF('07_Pallet_Contents'!$A$2:$A$3000,$A2,'07_Pallet_Contents'!$D$2:$D$3000))</f>
        <v>0</v>
      </c>
      <c r="Y330">
        <f>IF($A2="","",SUMIF('07_Pallet_Contents'!$A$2:$A$3000,$A2,'07_Pallet_Contents'!$I$2:$I$3000))</f>
        <v>0</v>
      </c>
      <c r="Z330" t="str">
        <f>IF($A2="","",IF(COUNTIF('07_Pallet_Contents'!$A$2:$A$3000,$A2)&gt;0,"Yes",""))</f>
        <v/>
      </c>
    </row>
    <row r="331" spans="1:26">
      <c r="A331" s="4" t="s">
        <v>641</v>
      </c>
      <c r="B331" s="31"/>
      <c r="D331" t="str">
        <f>IF($C331="","",IFERROR(LOOKUP(2,1/('03_Warehouse_Movements'!$C$2:$C$500=$A331),'03_Warehouse_Movements'!$E$2:$E$500),$C331))</f>
        <v/>
      </c>
      <c r="E331" t="s">
        <v>209</v>
      </c>
      <c r="G331" s="34"/>
      <c r="H331" s="33" t="str">
        <f t="shared" si="10"/>
        <v/>
      </c>
      <c r="I331" s="31"/>
      <c r="J331" s="31"/>
      <c r="K331" s="33"/>
      <c r="M331" s="69" t="str">
        <f>IF($C331="","",IFERROR(LOOKUP(2,1/('03_Warehouse_Movements'!$C$2:$C$500=$A331),'03_Warehouse_Movements'!$A$2:$A$500),""))</f>
        <v/>
      </c>
      <c r="N331" t="str">
        <f>IF($C331="","",IFERROR(LOOKUP(2,1/('03_Warehouse_Movements'!$C$2:$C$500=$A331),'03_Warehouse_Movements'!$H$2:$H$500),""))</f>
        <v/>
      </c>
      <c r="O331" t="str">
        <f t="shared" si="11"/>
        <v>PAL-0000331</v>
      </c>
      <c r="Q331" s="34"/>
      <c r="R331" s="33"/>
      <c r="W331">
        <f>IF($A2="","",COUNTIF('07_Pallet_Contents'!$A$2:$A$3000,$A2))</f>
        <v>0</v>
      </c>
      <c r="X331">
        <f>IF($A2="","",SUMIF('07_Pallet_Contents'!$A$2:$A$3000,$A2,'07_Pallet_Contents'!$D$2:$D$3000))</f>
        <v>0</v>
      </c>
      <c r="Y331">
        <f>IF($A2="","",SUMIF('07_Pallet_Contents'!$A$2:$A$3000,$A2,'07_Pallet_Contents'!$I$2:$I$3000))</f>
        <v>0</v>
      </c>
      <c r="Z331" t="str">
        <f>IF($A2="","",IF(COUNTIF('07_Pallet_Contents'!$A$2:$A$3000,$A2)&gt;0,"Yes",""))</f>
        <v/>
      </c>
    </row>
    <row r="332" spans="1:26">
      <c r="A332" s="4" t="s">
        <v>642</v>
      </c>
      <c r="B332" s="31"/>
      <c r="D332" t="str">
        <f>IF($C332="","",IFERROR(LOOKUP(2,1/('03_Warehouse_Movements'!$C$2:$C$500=$A332),'03_Warehouse_Movements'!$E$2:$E$500),$C332))</f>
        <v/>
      </c>
      <c r="E332" t="s">
        <v>209</v>
      </c>
      <c r="G332" s="34"/>
      <c r="H332" s="33" t="str">
        <f t="shared" si="10"/>
        <v/>
      </c>
      <c r="I332" s="31"/>
      <c r="J332" s="31"/>
      <c r="K332" s="33"/>
      <c r="M332" s="69" t="str">
        <f>IF($C332="","",IFERROR(LOOKUP(2,1/('03_Warehouse_Movements'!$C$2:$C$500=$A332),'03_Warehouse_Movements'!$A$2:$A$500),""))</f>
        <v/>
      </c>
      <c r="N332" t="str">
        <f>IF($C332="","",IFERROR(LOOKUP(2,1/('03_Warehouse_Movements'!$C$2:$C$500=$A332),'03_Warehouse_Movements'!$H$2:$H$500),""))</f>
        <v/>
      </c>
      <c r="O332" t="str">
        <f t="shared" si="11"/>
        <v>PAL-0000332</v>
      </c>
      <c r="Q332" s="34"/>
      <c r="R332" s="33"/>
      <c r="W332">
        <f>IF($A2="","",COUNTIF('07_Pallet_Contents'!$A$2:$A$3000,$A2))</f>
        <v>0</v>
      </c>
      <c r="X332">
        <f>IF($A2="","",SUMIF('07_Pallet_Contents'!$A$2:$A$3000,$A2,'07_Pallet_Contents'!$D$2:$D$3000))</f>
        <v>0</v>
      </c>
      <c r="Y332">
        <f>IF($A2="","",SUMIF('07_Pallet_Contents'!$A$2:$A$3000,$A2,'07_Pallet_Contents'!$I$2:$I$3000))</f>
        <v>0</v>
      </c>
      <c r="Z332" t="str">
        <f>IF($A2="","",IF(COUNTIF('07_Pallet_Contents'!$A$2:$A$3000,$A2)&gt;0,"Yes",""))</f>
        <v/>
      </c>
    </row>
    <row r="333" spans="1:26">
      <c r="A333" s="4" t="s">
        <v>643</v>
      </c>
      <c r="B333" s="31"/>
      <c r="D333" t="str">
        <f>IF($C333="","",IFERROR(LOOKUP(2,1/('03_Warehouse_Movements'!$C$2:$C$500=$A333),'03_Warehouse_Movements'!$E$2:$E$500),$C333))</f>
        <v/>
      </c>
      <c r="E333" t="s">
        <v>209</v>
      </c>
      <c r="G333" s="34"/>
      <c r="H333" s="33" t="str">
        <f t="shared" si="10"/>
        <v/>
      </c>
      <c r="I333" s="31"/>
      <c r="J333" s="31"/>
      <c r="K333" s="33"/>
      <c r="M333" s="69" t="str">
        <f>IF($C333="","",IFERROR(LOOKUP(2,1/('03_Warehouse_Movements'!$C$2:$C$500=$A333),'03_Warehouse_Movements'!$A$2:$A$500),""))</f>
        <v/>
      </c>
      <c r="N333" t="str">
        <f>IF($C333="","",IFERROR(LOOKUP(2,1/('03_Warehouse_Movements'!$C$2:$C$500=$A333),'03_Warehouse_Movements'!$H$2:$H$500),""))</f>
        <v/>
      </c>
      <c r="O333" t="str">
        <f t="shared" si="11"/>
        <v>PAL-0000333</v>
      </c>
      <c r="Q333" s="34"/>
      <c r="R333" s="33"/>
      <c r="W333">
        <f>IF($A2="","",COUNTIF('07_Pallet_Contents'!$A$2:$A$3000,$A2))</f>
        <v>0</v>
      </c>
      <c r="X333">
        <f>IF($A2="","",SUMIF('07_Pallet_Contents'!$A$2:$A$3000,$A2,'07_Pallet_Contents'!$D$2:$D$3000))</f>
        <v>0</v>
      </c>
      <c r="Y333">
        <f>IF($A2="","",SUMIF('07_Pallet_Contents'!$A$2:$A$3000,$A2,'07_Pallet_Contents'!$I$2:$I$3000))</f>
        <v>0</v>
      </c>
      <c r="Z333" t="str">
        <f>IF($A2="","",IF(COUNTIF('07_Pallet_Contents'!$A$2:$A$3000,$A2)&gt;0,"Yes",""))</f>
        <v/>
      </c>
    </row>
    <row r="334" spans="1:26">
      <c r="A334" s="4" t="s">
        <v>644</v>
      </c>
      <c r="B334" s="31"/>
      <c r="D334" t="str">
        <f>IF($C334="","",IFERROR(LOOKUP(2,1/('03_Warehouse_Movements'!$C$2:$C$500=$A334),'03_Warehouse_Movements'!$E$2:$E$500),$C334))</f>
        <v/>
      </c>
      <c r="E334" t="s">
        <v>209</v>
      </c>
      <c r="G334" s="34"/>
      <c r="H334" s="33" t="str">
        <f t="shared" si="10"/>
        <v/>
      </c>
      <c r="I334" s="31"/>
      <c r="J334" s="31"/>
      <c r="K334" s="33"/>
      <c r="M334" s="69" t="str">
        <f>IF($C334="","",IFERROR(LOOKUP(2,1/('03_Warehouse_Movements'!$C$2:$C$500=$A334),'03_Warehouse_Movements'!$A$2:$A$500),""))</f>
        <v/>
      </c>
      <c r="N334" t="str">
        <f>IF($C334="","",IFERROR(LOOKUP(2,1/('03_Warehouse_Movements'!$C$2:$C$500=$A334),'03_Warehouse_Movements'!$H$2:$H$500),""))</f>
        <v/>
      </c>
      <c r="O334" t="str">
        <f t="shared" si="11"/>
        <v>PAL-0000334</v>
      </c>
      <c r="Q334" s="34"/>
      <c r="R334" s="33"/>
      <c r="W334">
        <f>IF($A2="","",COUNTIF('07_Pallet_Contents'!$A$2:$A$3000,$A2))</f>
        <v>0</v>
      </c>
      <c r="X334">
        <f>IF($A2="","",SUMIF('07_Pallet_Contents'!$A$2:$A$3000,$A2,'07_Pallet_Contents'!$D$2:$D$3000))</f>
        <v>0</v>
      </c>
      <c r="Y334">
        <f>IF($A2="","",SUMIF('07_Pallet_Contents'!$A$2:$A$3000,$A2,'07_Pallet_Contents'!$I$2:$I$3000))</f>
        <v>0</v>
      </c>
      <c r="Z334" t="str">
        <f>IF($A2="","",IF(COUNTIF('07_Pallet_Contents'!$A$2:$A$3000,$A2)&gt;0,"Yes",""))</f>
        <v/>
      </c>
    </row>
    <row r="335" spans="1:26">
      <c r="A335" s="4" t="s">
        <v>645</v>
      </c>
      <c r="B335" s="31"/>
      <c r="D335" t="str">
        <f>IF($C335="","",IFERROR(LOOKUP(2,1/('03_Warehouse_Movements'!$C$2:$C$500=$A335),'03_Warehouse_Movements'!$E$2:$E$500),$C335))</f>
        <v/>
      </c>
      <c r="E335" t="s">
        <v>209</v>
      </c>
      <c r="G335" s="34"/>
      <c r="H335" s="33" t="str">
        <f t="shared" si="10"/>
        <v/>
      </c>
      <c r="I335" s="31"/>
      <c r="J335" s="31"/>
      <c r="K335" s="33"/>
      <c r="M335" s="69" t="str">
        <f>IF($C335="","",IFERROR(LOOKUP(2,1/('03_Warehouse_Movements'!$C$2:$C$500=$A335),'03_Warehouse_Movements'!$A$2:$A$500),""))</f>
        <v/>
      </c>
      <c r="N335" t="str">
        <f>IF($C335="","",IFERROR(LOOKUP(2,1/('03_Warehouse_Movements'!$C$2:$C$500=$A335),'03_Warehouse_Movements'!$H$2:$H$500),""))</f>
        <v/>
      </c>
      <c r="O335" t="str">
        <f t="shared" si="11"/>
        <v>PAL-0000335</v>
      </c>
      <c r="Q335" s="34"/>
      <c r="R335" s="33"/>
      <c r="W335">
        <f>IF($A2="","",COUNTIF('07_Pallet_Contents'!$A$2:$A$3000,$A2))</f>
        <v>0</v>
      </c>
      <c r="X335">
        <f>IF($A2="","",SUMIF('07_Pallet_Contents'!$A$2:$A$3000,$A2,'07_Pallet_Contents'!$D$2:$D$3000))</f>
        <v>0</v>
      </c>
      <c r="Y335">
        <f>IF($A2="","",SUMIF('07_Pallet_Contents'!$A$2:$A$3000,$A2,'07_Pallet_Contents'!$I$2:$I$3000))</f>
        <v>0</v>
      </c>
      <c r="Z335" t="str">
        <f>IF($A2="","",IF(COUNTIF('07_Pallet_Contents'!$A$2:$A$3000,$A2)&gt;0,"Yes",""))</f>
        <v/>
      </c>
    </row>
    <row r="336" spans="1:26">
      <c r="A336" s="4" t="s">
        <v>646</v>
      </c>
      <c r="B336" s="31"/>
      <c r="D336" t="str">
        <f>IF($C336="","",IFERROR(LOOKUP(2,1/('03_Warehouse_Movements'!$C$2:$C$500=$A336),'03_Warehouse_Movements'!$E$2:$E$500),$C336))</f>
        <v/>
      </c>
      <c r="E336" t="s">
        <v>209</v>
      </c>
      <c r="G336" s="34"/>
      <c r="H336" s="33" t="str">
        <f t="shared" si="10"/>
        <v/>
      </c>
      <c r="I336" s="31"/>
      <c r="J336" s="31"/>
      <c r="K336" s="33"/>
      <c r="M336" s="69" t="str">
        <f>IF($C336="","",IFERROR(LOOKUP(2,1/('03_Warehouse_Movements'!$C$2:$C$500=$A336),'03_Warehouse_Movements'!$A$2:$A$500),""))</f>
        <v/>
      </c>
      <c r="N336" t="str">
        <f>IF($C336="","",IFERROR(LOOKUP(2,1/('03_Warehouse_Movements'!$C$2:$C$500=$A336),'03_Warehouse_Movements'!$H$2:$H$500),""))</f>
        <v/>
      </c>
      <c r="O336" t="str">
        <f t="shared" si="11"/>
        <v>PAL-0000336</v>
      </c>
      <c r="Q336" s="34"/>
      <c r="R336" s="33"/>
      <c r="W336">
        <f>IF($A2="","",COUNTIF('07_Pallet_Contents'!$A$2:$A$3000,$A2))</f>
        <v>0</v>
      </c>
      <c r="X336">
        <f>IF($A2="","",SUMIF('07_Pallet_Contents'!$A$2:$A$3000,$A2,'07_Pallet_Contents'!$D$2:$D$3000))</f>
        <v>0</v>
      </c>
      <c r="Y336">
        <f>IF($A2="","",SUMIF('07_Pallet_Contents'!$A$2:$A$3000,$A2,'07_Pallet_Contents'!$I$2:$I$3000))</f>
        <v>0</v>
      </c>
      <c r="Z336" t="str">
        <f>IF($A2="","",IF(COUNTIF('07_Pallet_Contents'!$A$2:$A$3000,$A2)&gt;0,"Yes",""))</f>
        <v/>
      </c>
    </row>
    <row r="337" spans="1:26">
      <c r="A337" s="4" t="s">
        <v>647</v>
      </c>
      <c r="B337" s="31"/>
      <c r="D337" t="str">
        <f>IF($C337="","",IFERROR(LOOKUP(2,1/('03_Warehouse_Movements'!$C$2:$C$500=$A337),'03_Warehouse_Movements'!$E$2:$E$500),$C337))</f>
        <v/>
      </c>
      <c r="E337" t="s">
        <v>209</v>
      </c>
      <c r="G337" s="34"/>
      <c r="H337" s="33" t="str">
        <f t="shared" si="10"/>
        <v/>
      </c>
      <c r="I337" s="31"/>
      <c r="J337" s="31"/>
      <c r="K337" s="33"/>
      <c r="M337" s="69" t="str">
        <f>IF($C337="","",IFERROR(LOOKUP(2,1/('03_Warehouse_Movements'!$C$2:$C$500=$A337),'03_Warehouse_Movements'!$A$2:$A$500),""))</f>
        <v/>
      </c>
      <c r="N337" t="str">
        <f>IF($C337="","",IFERROR(LOOKUP(2,1/('03_Warehouse_Movements'!$C$2:$C$500=$A337),'03_Warehouse_Movements'!$H$2:$H$500),""))</f>
        <v/>
      </c>
      <c r="O337" t="str">
        <f t="shared" si="11"/>
        <v>PAL-0000337</v>
      </c>
      <c r="Q337" s="34"/>
      <c r="R337" s="33"/>
      <c r="W337">
        <f>IF($A2="","",COUNTIF('07_Pallet_Contents'!$A$2:$A$3000,$A2))</f>
        <v>0</v>
      </c>
      <c r="X337">
        <f>IF($A2="","",SUMIF('07_Pallet_Contents'!$A$2:$A$3000,$A2,'07_Pallet_Contents'!$D$2:$D$3000))</f>
        <v>0</v>
      </c>
      <c r="Y337">
        <f>IF($A2="","",SUMIF('07_Pallet_Contents'!$A$2:$A$3000,$A2,'07_Pallet_Contents'!$I$2:$I$3000))</f>
        <v>0</v>
      </c>
      <c r="Z337" t="str">
        <f>IF($A2="","",IF(COUNTIF('07_Pallet_Contents'!$A$2:$A$3000,$A2)&gt;0,"Yes",""))</f>
        <v/>
      </c>
    </row>
    <row r="338" spans="1:26">
      <c r="A338" s="4" t="s">
        <v>648</v>
      </c>
      <c r="B338" s="31"/>
      <c r="D338" t="str">
        <f>IF($C338="","",IFERROR(LOOKUP(2,1/('03_Warehouse_Movements'!$C$2:$C$500=$A338),'03_Warehouse_Movements'!$E$2:$E$500),$C338))</f>
        <v/>
      </c>
      <c r="E338" t="s">
        <v>209</v>
      </c>
      <c r="G338" s="34"/>
      <c r="H338" s="33" t="str">
        <f t="shared" si="10"/>
        <v/>
      </c>
      <c r="I338" s="31"/>
      <c r="J338" s="31"/>
      <c r="K338" s="33"/>
      <c r="M338" s="69" t="str">
        <f>IF($C338="","",IFERROR(LOOKUP(2,1/('03_Warehouse_Movements'!$C$2:$C$500=$A338),'03_Warehouse_Movements'!$A$2:$A$500),""))</f>
        <v/>
      </c>
      <c r="N338" t="str">
        <f>IF($C338="","",IFERROR(LOOKUP(2,1/('03_Warehouse_Movements'!$C$2:$C$500=$A338),'03_Warehouse_Movements'!$H$2:$H$500),""))</f>
        <v/>
      </c>
      <c r="O338" t="str">
        <f t="shared" si="11"/>
        <v>PAL-0000338</v>
      </c>
      <c r="Q338" s="34"/>
      <c r="R338" s="33"/>
      <c r="W338">
        <f>IF($A2="","",COUNTIF('07_Pallet_Contents'!$A$2:$A$3000,$A2))</f>
        <v>0</v>
      </c>
      <c r="X338">
        <f>IF($A2="","",SUMIF('07_Pallet_Contents'!$A$2:$A$3000,$A2,'07_Pallet_Contents'!$D$2:$D$3000))</f>
        <v>0</v>
      </c>
      <c r="Y338">
        <f>IF($A2="","",SUMIF('07_Pallet_Contents'!$A$2:$A$3000,$A2,'07_Pallet_Contents'!$I$2:$I$3000))</f>
        <v>0</v>
      </c>
      <c r="Z338" t="str">
        <f>IF($A2="","",IF(COUNTIF('07_Pallet_Contents'!$A$2:$A$3000,$A2)&gt;0,"Yes",""))</f>
        <v/>
      </c>
    </row>
    <row r="339" spans="1:26">
      <c r="A339" s="4" t="s">
        <v>649</v>
      </c>
      <c r="B339" s="31"/>
      <c r="D339" t="str">
        <f>IF($C339="","",IFERROR(LOOKUP(2,1/('03_Warehouse_Movements'!$C$2:$C$500=$A339),'03_Warehouse_Movements'!$E$2:$E$500),$C339))</f>
        <v/>
      </c>
      <c r="E339" t="s">
        <v>209</v>
      </c>
      <c r="G339" s="34"/>
      <c r="H339" s="33" t="str">
        <f t="shared" si="10"/>
        <v/>
      </c>
      <c r="I339" s="31"/>
      <c r="J339" s="31"/>
      <c r="K339" s="33"/>
      <c r="M339" s="69" t="str">
        <f>IF($C339="","",IFERROR(LOOKUP(2,1/('03_Warehouse_Movements'!$C$2:$C$500=$A339),'03_Warehouse_Movements'!$A$2:$A$500),""))</f>
        <v/>
      </c>
      <c r="N339" t="str">
        <f>IF($C339="","",IFERROR(LOOKUP(2,1/('03_Warehouse_Movements'!$C$2:$C$500=$A339),'03_Warehouse_Movements'!$H$2:$H$500),""))</f>
        <v/>
      </c>
      <c r="O339" t="str">
        <f t="shared" si="11"/>
        <v>PAL-0000339</v>
      </c>
      <c r="Q339" s="34"/>
      <c r="R339" s="33"/>
      <c r="W339">
        <f>IF($A2="","",COUNTIF('07_Pallet_Contents'!$A$2:$A$3000,$A2))</f>
        <v>0</v>
      </c>
      <c r="X339">
        <f>IF($A2="","",SUMIF('07_Pallet_Contents'!$A$2:$A$3000,$A2,'07_Pallet_Contents'!$D$2:$D$3000))</f>
        <v>0</v>
      </c>
      <c r="Y339">
        <f>IF($A2="","",SUMIF('07_Pallet_Contents'!$A$2:$A$3000,$A2,'07_Pallet_Contents'!$I$2:$I$3000))</f>
        <v>0</v>
      </c>
      <c r="Z339" t="str">
        <f>IF($A2="","",IF(COUNTIF('07_Pallet_Contents'!$A$2:$A$3000,$A2)&gt;0,"Yes",""))</f>
        <v/>
      </c>
    </row>
    <row r="340" spans="1:26">
      <c r="A340" s="4" t="s">
        <v>650</v>
      </c>
      <c r="B340" s="31"/>
      <c r="D340" t="str">
        <f>IF($C340="","",IFERROR(LOOKUP(2,1/('03_Warehouse_Movements'!$C$2:$C$500=$A340),'03_Warehouse_Movements'!$E$2:$E$500),$C340))</f>
        <v/>
      </c>
      <c r="E340" t="s">
        <v>209</v>
      </c>
      <c r="G340" s="34"/>
      <c r="H340" s="33" t="str">
        <f t="shared" si="10"/>
        <v/>
      </c>
      <c r="I340" s="31"/>
      <c r="J340" s="31"/>
      <c r="K340" s="33"/>
      <c r="M340" s="69" t="str">
        <f>IF($C340="","",IFERROR(LOOKUP(2,1/('03_Warehouse_Movements'!$C$2:$C$500=$A340),'03_Warehouse_Movements'!$A$2:$A$500),""))</f>
        <v/>
      </c>
      <c r="N340" t="str">
        <f>IF($C340="","",IFERROR(LOOKUP(2,1/('03_Warehouse_Movements'!$C$2:$C$500=$A340),'03_Warehouse_Movements'!$H$2:$H$500),""))</f>
        <v/>
      </c>
      <c r="O340" t="str">
        <f t="shared" si="11"/>
        <v>PAL-0000340</v>
      </c>
      <c r="Q340" s="34"/>
      <c r="R340" s="33"/>
      <c r="W340">
        <f>IF($A2="","",COUNTIF('07_Pallet_Contents'!$A$2:$A$3000,$A2))</f>
        <v>0</v>
      </c>
      <c r="X340">
        <f>IF($A2="","",SUMIF('07_Pallet_Contents'!$A$2:$A$3000,$A2,'07_Pallet_Contents'!$D$2:$D$3000))</f>
        <v>0</v>
      </c>
      <c r="Y340">
        <f>IF($A2="","",SUMIF('07_Pallet_Contents'!$A$2:$A$3000,$A2,'07_Pallet_Contents'!$I$2:$I$3000))</f>
        <v>0</v>
      </c>
      <c r="Z340" t="str">
        <f>IF($A2="","",IF(COUNTIF('07_Pallet_Contents'!$A$2:$A$3000,$A2)&gt;0,"Yes",""))</f>
        <v/>
      </c>
    </row>
    <row r="341" spans="1:26">
      <c r="A341" s="4" t="s">
        <v>651</v>
      </c>
      <c r="B341" s="31"/>
      <c r="D341" t="str">
        <f>IF($C341="","",IFERROR(LOOKUP(2,1/('03_Warehouse_Movements'!$C$2:$C$500=$A341),'03_Warehouse_Movements'!$E$2:$E$500),$C341))</f>
        <v/>
      </c>
      <c r="E341" t="s">
        <v>209</v>
      </c>
      <c r="G341" s="34"/>
      <c r="H341" s="33" t="str">
        <f t="shared" si="10"/>
        <v/>
      </c>
      <c r="I341" s="31"/>
      <c r="J341" s="31"/>
      <c r="K341" s="33"/>
      <c r="M341" s="69" t="str">
        <f>IF($C341="","",IFERROR(LOOKUP(2,1/('03_Warehouse_Movements'!$C$2:$C$500=$A341),'03_Warehouse_Movements'!$A$2:$A$500),""))</f>
        <v/>
      </c>
      <c r="N341" t="str">
        <f>IF($C341="","",IFERROR(LOOKUP(2,1/('03_Warehouse_Movements'!$C$2:$C$500=$A341),'03_Warehouse_Movements'!$H$2:$H$500),""))</f>
        <v/>
      </c>
      <c r="O341" t="str">
        <f t="shared" si="11"/>
        <v>PAL-0000341</v>
      </c>
      <c r="Q341" s="34"/>
      <c r="R341" s="33"/>
      <c r="W341">
        <f>IF($A2="","",COUNTIF('07_Pallet_Contents'!$A$2:$A$3000,$A2))</f>
        <v>0</v>
      </c>
      <c r="X341">
        <f>IF($A2="","",SUMIF('07_Pallet_Contents'!$A$2:$A$3000,$A2,'07_Pallet_Contents'!$D$2:$D$3000))</f>
        <v>0</v>
      </c>
      <c r="Y341">
        <f>IF($A2="","",SUMIF('07_Pallet_Contents'!$A$2:$A$3000,$A2,'07_Pallet_Contents'!$I$2:$I$3000))</f>
        <v>0</v>
      </c>
      <c r="Z341" t="str">
        <f>IF($A2="","",IF(COUNTIF('07_Pallet_Contents'!$A$2:$A$3000,$A2)&gt;0,"Yes",""))</f>
        <v/>
      </c>
    </row>
    <row r="342" spans="1:26">
      <c r="A342" s="4" t="s">
        <v>652</v>
      </c>
      <c r="B342" s="31"/>
      <c r="D342" t="str">
        <f>IF($C342="","",IFERROR(LOOKUP(2,1/('03_Warehouse_Movements'!$C$2:$C$500=$A342),'03_Warehouse_Movements'!$E$2:$E$500),$C342))</f>
        <v/>
      </c>
      <c r="E342" t="s">
        <v>209</v>
      </c>
      <c r="G342" s="34"/>
      <c r="H342" s="33" t="str">
        <f t="shared" si="10"/>
        <v/>
      </c>
      <c r="I342" s="31"/>
      <c r="J342" s="31"/>
      <c r="K342" s="33"/>
      <c r="M342" s="69" t="str">
        <f>IF($C342="","",IFERROR(LOOKUP(2,1/('03_Warehouse_Movements'!$C$2:$C$500=$A342),'03_Warehouse_Movements'!$A$2:$A$500),""))</f>
        <v/>
      </c>
      <c r="N342" t="str">
        <f>IF($C342="","",IFERROR(LOOKUP(2,1/('03_Warehouse_Movements'!$C$2:$C$500=$A342),'03_Warehouse_Movements'!$H$2:$H$500),""))</f>
        <v/>
      </c>
      <c r="O342" t="str">
        <f t="shared" si="11"/>
        <v>PAL-0000342</v>
      </c>
      <c r="Q342" s="34"/>
      <c r="R342" s="33"/>
      <c r="W342">
        <f>IF($A2="","",COUNTIF('07_Pallet_Contents'!$A$2:$A$3000,$A2))</f>
        <v>0</v>
      </c>
      <c r="X342">
        <f>IF($A2="","",SUMIF('07_Pallet_Contents'!$A$2:$A$3000,$A2,'07_Pallet_Contents'!$D$2:$D$3000))</f>
        <v>0</v>
      </c>
      <c r="Y342">
        <f>IF($A2="","",SUMIF('07_Pallet_Contents'!$A$2:$A$3000,$A2,'07_Pallet_Contents'!$I$2:$I$3000))</f>
        <v>0</v>
      </c>
      <c r="Z342" t="str">
        <f>IF($A2="","",IF(COUNTIF('07_Pallet_Contents'!$A$2:$A$3000,$A2)&gt;0,"Yes",""))</f>
        <v/>
      </c>
    </row>
    <row r="343" spans="1:26">
      <c r="A343" s="4" t="s">
        <v>653</v>
      </c>
      <c r="B343" s="31"/>
      <c r="D343" t="str">
        <f>IF($C343="","",IFERROR(LOOKUP(2,1/('03_Warehouse_Movements'!$C$2:$C$500=$A343),'03_Warehouse_Movements'!$E$2:$E$500),$C343))</f>
        <v/>
      </c>
      <c r="E343" t="s">
        <v>209</v>
      </c>
      <c r="G343" s="34"/>
      <c r="H343" s="33" t="str">
        <f t="shared" si="10"/>
        <v/>
      </c>
      <c r="I343" s="31"/>
      <c r="J343" s="31"/>
      <c r="K343" s="33"/>
      <c r="M343" s="69" t="str">
        <f>IF($C343="","",IFERROR(LOOKUP(2,1/('03_Warehouse_Movements'!$C$2:$C$500=$A343),'03_Warehouse_Movements'!$A$2:$A$500),""))</f>
        <v/>
      </c>
      <c r="N343" t="str">
        <f>IF($C343="","",IFERROR(LOOKUP(2,1/('03_Warehouse_Movements'!$C$2:$C$500=$A343),'03_Warehouse_Movements'!$H$2:$H$500),""))</f>
        <v/>
      </c>
      <c r="O343" t="str">
        <f t="shared" si="11"/>
        <v>PAL-0000343</v>
      </c>
      <c r="Q343" s="34"/>
      <c r="R343" s="33"/>
      <c r="W343">
        <f>IF($A2="","",COUNTIF('07_Pallet_Contents'!$A$2:$A$3000,$A2))</f>
        <v>0</v>
      </c>
      <c r="X343">
        <f>IF($A2="","",SUMIF('07_Pallet_Contents'!$A$2:$A$3000,$A2,'07_Pallet_Contents'!$D$2:$D$3000))</f>
        <v>0</v>
      </c>
      <c r="Y343">
        <f>IF($A2="","",SUMIF('07_Pallet_Contents'!$A$2:$A$3000,$A2,'07_Pallet_Contents'!$I$2:$I$3000))</f>
        <v>0</v>
      </c>
      <c r="Z343" t="str">
        <f>IF($A2="","",IF(COUNTIF('07_Pallet_Contents'!$A$2:$A$3000,$A2)&gt;0,"Yes",""))</f>
        <v/>
      </c>
    </row>
    <row r="344" spans="1:26">
      <c r="A344" s="4" t="s">
        <v>654</v>
      </c>
      <c r="B344" s="31"/>
      <c r="D344" t="str">
        <f>IF($C344="","",IFERROR(LOOKUP(2,1/('03_Warehouse_Movements'!$C$2:$C$500=$A344),'03_Warehouse_Movements'!$E$2:$E$500),$C344))</f>
        <v/>
      </c>
      <c r="E344" t="s">
        <v>209</v>
      </c>
      <c r="G344" s="34"/>
      <c r="H344" s="33" t="str">
        <f t="shared" si="10"/>
        <v/>
      </c>
      <c r="I344" s="31"/>
      <c r="J344" s="31"/>
      <c r="K344" s="33"/>
      <c r="M344" s="69" t="str">
        <f>IF($C344="","",IFERROR(LOOKUP(2,1/('03_Warehouse_Movements'!$C$2:$C$500=$A344),'03_Warehouse_Movements'!$A$2:$A$500),""))</f>
        <v/>
      </c>
      <c r="N344" t="str">
        <f>IF($C344="","",IFERROR(LOOKUP(2,1/('03_Warehouse_Movements'!$C$2:$C$500=$A344),'03_Warehouse_Movements'!$H$2:$H$500),""))</f>
        <v/>
      </c>
      <c r="O344" t="str">
        <f t="shared" si="11"/>
        <v>PAL-0000344</v>
      </c>
      <c r="Q344" s="34"/>
      <c r="R344" s="33"/>
      <c r="W344">
        <f>IF($A2="","",COUNTIF('07_Pallet_Contents'!$A$2:$A$3000,$A2))</f>
        <v>0</v>
      </c>
      <c r="X344">
        <f>IF($A2="","",SUMIF('07_Pallet_Contents'!$A$2:$A$3000,$A2,'07_Pallet_Contents'!$D$2:$D$3000))</f>
        <v>0</v>
      </c>
      <c r="Y344">
        <f>IF($A2="","",SUMIF('07_Pallet_Contents'!$A$2:$A$3000,$A2,'07_Pallet_Contents'!$I$2:$I$3000))</f>
        <v>0</v>
      </c>
      <c r="Z344" t="str">
        <f>IF($A2="","",IF(COUNTIF('07_Pallet_Contents'!$A$2:$A$3000,$A2)&gt;0,"Yes",""))</f>
        <v/>
      </c>
    </row>
    <row r="345" spans="1:26">
      <c r="A345" s="4" t="s">
        <v>655</v>
      </c>
      <c r="B345" s="31"/>
      <c r="D345" t="str">
        <f>IF($C345="","",IFERROR(LOOKUP(2,1/('03_Warehouse_Movements'!$C$2:$C$500=$A345),'03_Warehouse_Movements'!$E$2:$E$500),$C345))</f>
        <v/>
      </c>
      <c r="E345" t="s">
        <v>209</v>
      </c>
      <c r="G345" s="34"/>
      <c r="H345" s="33" t="str">
        <f t="shared" si="10"/>
        <v/>
      </c>
      <c r="I345" s="31"/>
      <c r="J345" s="31"/>
      <c r="K345" s="33"/>
      <c r="M345" s="69" t="str">
        <f>IF($C345="","",IFERROR(LOOKUP(2,1/('03_Warehouse_Movements'!$C$2:$C$500=$A345),'03_Warehouse_Movements'!$A$2:$A$500),""))</f>
        <v/>
      </c>
      <c r="N345" t="str">
        <f>IF($C345="","",IFERROR(LOOKUP(2,1/('03_Warehouse_Movements'!$C$2:$C$500=$A345),'03_Warehouse_Movements'!$H$2:$H$500),""))</f>
        <v/>
      </c>
      <c r="O345" t="str">
        <f t="shared" si="11"/>
        <v>PAL-0000345</v>
      </c>
      <c r="Q345" s="34"/>
      <c r="R345" s="33"/>
      <c r="W345">
        <f>IF($A2="","",COUNTIF('07_Pallet_Contents'!$A$2:$A$3000,$A2))</f>
        <v>0</v>
      </c>
      <c r="X345">
        <f>IF($A2="","",SUMIF('07_Pallet_Contents'!$A$2:$A$3000,$A2,'07_Pallet_Contents'!$D$2:$D$3000))</f>
        <v>0</v>
      </c>
      <c r="Y345">
        <f>IF($A2="","",SUMIF('07_Pallet_Contents'!$A$2:$A$3000,$A2,'07_Pallet_Contents'!$I$2:$I$3000))</f>
        <v>0</v>
      </c>
      <c r="Z345" t="str">
        <f>IF($A2="","",IF(COUNTIF('07_Pallet_Contents'!$A$2:$A$3000,$A2)&gt;0,"Yes",""))</f>
        <v/>
      </c>
    </row>
    <row r="346" spans="1:26">
      <c r="A346" s="4" t="s">
        <v>656</v>
      </c>
      <c r="B346" s="31"/>
      <c r="D346" t="str">
        <f>IF($C346="","",IFERROR(LOOKUP(2,1/('03_Warehouse_Movements'!$C$2:$C$500=$A346),'03_Warehouse_Movements'!$E$2:$E$500),$C346))</f>
        <v/>
      </c>
      <c r="E346" t="s">
        <v>209</v>
      </c>
      <c r="G346" s="34"/>
      <c r="H346" s="33" t="str">
        <f t="shared" si="10"/>
        <v/>
      </c>
      <c r="I346" s="31"/>
      <c r="J346" s="31"/>
      <c r="K346" s="33"/>
      <c r="M346" s="69" t="str">
        <f>IF($C346="","",IFERROR(LOOKUP(2,1/('03_Warehouse_Movements'!$C$2:$C$500=$A346),'03_Warehouse_Movements'!$A$2:$A$500),""))</f>
        <v/>
      </c>
      <c r="N346" t="str">
        <f>IF($C346="","",IFERROR(LOOKUP(2,1/('03_Warehouse_Movements'!$C$2:$C$500=$A346),'03_Warehouse_Movements'!$H$2:$H$500),""))</f>
        <v/>
      </c>
      <c r="O346" t="str">
        <f t="shared" si="11"/>
        <v>PAL-0000346</v>
      </c>
      <c r="Q346" s="34"/>
      <c r="R346" s="33"/>
      <c r="W346">
        <f>IF($A2="","",COUNTIF('07_Pallet_Contents'!$A$2:$A$3000,$A2))</f>
        <v>0</v>
      </c>
      <c r="X346">
        <f>IF($A2="","",SUMIF('07_Pallet_Contents'!$A$2:$A$3000,$A2,'07_Pallet_Contents'!$D$2:$D$3000))</f>
        <v>0</v>
      </c>
      <c r="Y346">
        <f>IF($A2="","",SUMIF('07_Pallet_Contents'!$A$2:$A$3000,$A2,'07_Pallet_Contents'!$I$2:$I$3000))</f>
        <v>0</v>
      </c>
      <c r="Z346" t="str">
        <f>IF($A2="","",IF(COUNTIF('07_Pallet_Contents'!$A$2:$A$3000,$A2)&gt;0,"Yes",""))</f>
        <v/>
      </c>
    </row>
    <row r="347" spans="1:26">
      <c r="A347" s="4" t="s">
        <v>657</v>
      </c>
      <c r="B347" s="31"/>
      <c r="D347" t="str">
        <f>IF($C347="","",IFERROR(LOOKUP(2,1/('03_Warehouse_Movements'!$C$2:$C$500=$A347),'03_Warehouse_Movements'!$E$2:$E$500),$C347))</f>
        <v/>
      </c>
      <c r="E347" t="s">
        <v>209</v>
      </c>
      <c r="G347" s="34"/>
      <c r="H347" s="33" t="str">
        <f t="shared" si="10"/>
        <v/>
      </c>
      <c r="I347" s="31"/>
      <c r="J347" s="31"/>
      <c r="K347" s="33"/>
      <c r="M347" s="69" t="str">
        <f>IF($C347="","",IFERROR(LOOKUP(2,1/('03_Warehouse_Movements'!$C$2:$C$500=$A347),'03_Warehouse_Movements'!$A$2:$A$500),""))</f>
        <v/>
      </c>
      <c r="N347" t="str">
        <f>IF($C347="","",IFERROR(LOOKUP(2,1/('03_Warehouse_Movements'!$C$2:$C$500=$A347),'03_Warehouse_Movements'!$H$2:$H$500),""))</f>
        <v/>
      </c>
      <c r="O347" t="str">
        <f t="shared" si="11"/>
        <v>PAL-0000347</v>
      </c>
      <c r="Q347" s="34"/>
      <c r="R347" s="33"/>
      <c r="W347">
        <f>IF($A2="","",COUNTIF('07_Pallet_Contents'!$A$2:$A$3000,$A2))</f>
        <v>0</v>
      </c>
      <c r="X347">
        <f>IF($A2="","",SUMIF('07_Pallet_Contents'!$A$2:$A$3000,$A2,'07_Pallet_Contents'!$D$2:$D$3000))</f>
        <v>0</v>
      </c>
      <c r="Y347">
        <f>IF($A2="","",SUMIF('07_Pallet_Contents'!$A$2:$A$3000,$A2,'07_Pallet_Contents'!$I$2:$I$3000))</f>
        <v>0</v>
      </c>
      <c r="Z347" t="str">
        <f>IF($A2="","",IF(COUNTIF('07_Pallet_Contents'!$A$2:$A$3000,$A2)&gt;0,"Yes",""))</f>
        <v/>
      </c>
    </row>
    <row r="348" spans="1:26">
      <c r="A348" s="4" t="s">
        <v>658</v>
      </c>
      <c r="B348" s="31"/>
      <c r="D348" t="str">
        <f>IF($C348="","",IFERROR(LOOKUP(2,1/('03_Warehouse_Movements'!$C$2:$C$500=$A348),'03_Warehouse_Movements'!$E$2:$E$500),$C348))</f>
        <v/>
      </c>
      <c r="E348" t="s">
        <v>209</v>
      </c>
      <c r="G348" s="34"/>
      <c r="H348" s="33" t="str">
        <f t="shared" si="10"/>
        <v/>
      </c>
      <c r="I348" s="31"/>
      <c r="J348" s="31"/>
      <c r="K348" s="33"/>
      <c r="M348" s="69" t="str">
        <f>IF($C348="","",IFERROR(LOOKUP(2,1/('03_Warehouse_Movements'!$C$2:$C$500=$A348),'03_Warehouse_Movements'!$A$2:$A$500),""))</f>
        <v/>
      </c>
      <c r="N348" t="str">
        <f>IF($C348="","",IFERROR(LOOKUP(2,1/('03_Warehouse_Movements'!$C$2:$C$500=$A348),'03_Warehouse_Movements'!$H$2:$H$500),""))</f>
        <v/>
      </c>
      <c r="O348" t="str">
        <f t="shared" si="11"/>
        <v>PAL-0000348</v>
      </c>
      <c r="Q348" s="34"/>
      <c r="R348" s="33"/>
      <c r="W348">
        <f>IF($A2="","",COUNTIF('07_Pallet_Contents'!$A$2:$A$3000,$A2))</f>
        <v>0</v>
      </c>
      <c r="X348">
        <f>IF($A2="","",SUMIF('07_Pallet_Contents'!$A$2:$A$3000,$A2,'07_Pallet_Contents'!$D$2:$D$3000))</f>
        <v>0</v>
      </c>
      <c r="Y348">
        <f>IF($A2="","",SUMIF('07_Pallet_Contents'!$A$2:$A$3000,$A2,'07_Pallet_Contents'!$I$2:$I$3000))</f>
        <v>0</v>
      </c>
      <c r="Z348" t="str">
        <f>IF($A2="","",IF(COUNTIF('07_Pallet_Contents'!$A$2:$A$3000,$A2)&gt;0,"Yes",""))</f>
        <v/>
      </c>
    </row>
    <row r="349" spans="1:26">
      <c r="A349" s="4" t="s">
        <v>659</v>
      </c>
      <c r="B349" s="31"/>
      <c r="D349" t="str">
        <f>IF($C349="","",IFERROR(LOOKUP(2,1/('03_Warehouse_Movements'!$C$2:$C$500=$A349),'03_Warehouse_Movements'!$E$2:$E$500),$C349))</f>
        <v/>
      </c>
      <c r="E349" t="s">
        <v>209</v>
      </c>
      <c r="G349" s="34"/>
      <c r="H349" s="33" t="str">
        <f t="shared" si="10"/>
        <v/>
      </c>
      <c r="I349" s="31"/>
      <c r="J349" s="31"/>
      <c r="K349" s="33"/>
      <c r="M349" s="69" t="str">
        <f>IF($C349="","",IFERROR(LOOKUP(2,1/('03_Warehouse_Movements'!$C$2:$C$500=$A349),'03_Warehouse_Movements'!$A$2:$A$500),""))</f>
        <v/>
      </c>
      <c r="N349" t="str">
        <f>IF($C349="","",IFERROR(LOOKUP(2,1/('03_Warehouse_Movements'!$C$2:$C$500=$A349),'03_Warehouse_Movements'!$H$2:$H$500),""))</f>
        <v/>
      </c>
      <c r="O349" t="str">
        <f t="shared" si="11"/>
        <v>PAL-0000349</v>
      </c>
      <c r="Q349" s="34"/>
      <c r="R349" s="33"/>
      <c r="W349">
        <f>IF($A2="","",COUNTIF('07_Pallet_Contents'!$A$2:$A$3000,$A2))</f>
        <v>0</v>
      </c>
      <c r="X349">
        <f>IF($A2="","",SUMIF('07_Pallet_Contents'!$A$2:$A$3000,$A2,'07_Pallet_Contents'!$D$2:$D$3000))</f>
        <v>0</v>
      </c>
      <c r="Y349">
        <f>IF($A2="","",SUMIF('07_Pallet_Contents'!$A$2:$A$3000,$A2,'07_Pallet_Contents'!$I$2:$I$3000))</f>
        <v>0</v>
      </c>
      <c r="Z349" t="str">
        <f>IF($A2="","",IF(COUNTIF('07_Pallet_Contents'!$A$2:$A$3000,$A2)&gt;0,"Yes",""))</f>
        <v/>
      </c>
    </row>
    <row r="350" spans="1:26">
      <c r="A350" s="4" t="s">
        <v>660</v>
      </c>
      <c r="B350" s="31"/>
      <c r="D350" t="str">
        <f>IF($C350="","",IFERROR(LOOKUP(2,1/('03_Warehouse_Movements'!$C$2:$C$500=$A350),'03_Warehouse_Movements'!$E$2:$E$500),$C350))</f>
        <v/>
      </c>
      <c r="E350" t="s">
        <v>209</v>
      </c>
      <c r="G350" s="34"/>
      <c r="H350" s="33" t="str">
        <f t="shared" si="10"/>
        <v/>
      </c>
      <c r="I350" s="31"/>
      <c r="J350" s="31"/>
      <c r="K350" s="33"/>
      <c r="M350" s="69" t="str">
        <f>IF($C350="","",IFERROR(LOOKUP(2,1/('03_Warehouse_Movements'!$C$2:$C$500=$A350),'03_Warehouse_Movements'!$A$2:$A$500),""))</f>
        <v/>
      </c>
      <c r="N350" t="str">
        <f>IF($C350="","",IFERROR(LOOKUP(2,1/('03_Warehouse_Movements'!$C$2:$C$500=$A350),'03_Warehouse_Movements'!$H$2:$H$500),""))</f>
        <v/>
      </c>
      <c r="O350" t="str">
        <f t="shared" si="11"/>
        <v>PAL-0000350</v>
      </c>
      <c r="Q350" s="34"/>
      <c r="R350" s="33"/>
      <c r="W350">
        <f>IF($A2="","",COUNTIF('07_Pallet_Contents'!$A$2:$A$3000,$A2))</f>
        <v>0</v>
      </c>
      <c r="X350">
        <f>IF($A2="","",SUMIF('07_Pallet_Contents'!$A$2:$A$3000,$A2,'07_Pallet_Contents'!$D$2:$D$3000))</f>
        <v>0</v>
      </c>
      <c r="Y350">
        <f>IF($A2="","",SUMIF('07_Pallet_Contents'!$A$2:$A$3000,$A2,'07_Pallet_Contents'!$I$2:$I$3000))</f>
        <v>0</v>
      </c>
      <c r="Z350" t="str">
        <f>IF($A2="","",IF(COUNTIF('07_Pallet_Contents'!$A$2:$A$3000,$A2)&gt;0,"Yes",""))</f>
        <v/>
      </c>
    </row>
    <row r="351" spans="1:26">
      <c r="A351" s="4" t="s">
        <v>661</v>
      </c>
      <c r="B351" s="31"/>
      <c r="D351" t="str">
        <f>IF($C351="","",IFERROR(LOOKUP(2,1/('03_Warehouse_Movements'!$C$2:$C$500=$A351),'03_Warehouse_Movements'!$E$2:$E$500),$C351))</f>
        <v/>
      </c>
      <c r="E351" t="s">
        <v>209</v>
      </c>
      <c r="G351" s="34"/>
      <c r="H351" s="33" t="str">
        <f t="shared" si="10"/>
        <v/>
      </c>
      <c r="I351" s="31"/>
      <c r="J351" s="31"/>
      <c r="K351" s="33"/>
      <c r="M351" s="69" t="str">
        <f>IF($C351="","",IFERROR(LOOKUP(2,1/('03_Warehouse_Movements'!$C$2:$C$500=$A351),'03_Warehouse_Movements'!$A$2:$A$500),""))</f>
        <v/>
      </c>
      <c r="N351" t="str">
        <f>IF($C351="","",IFERROR(LOOKUP(2,1/('03_Warehouse_Movements'!$C$2:$C$500=$A351),'03_Warehouse_Movements'!$H$2:$H$500),""))</f>
        <v/>
      </c>
      <c r="O351" t="str">
        <f t="shared" si="11"/>
        <v>PAL-0000351</v>
      </c>
      <c r="Q351" s="34"/>
      <c r="R351" s="33"/>
      <c r="W351">
        <f>IF($A2="","",COUNTIF('07_Pallet_Contents'!$A$2:$A$3000,$A2))</f>
        <v>0</v>
      </c>
      <c r="X351">
        <f>IF($A2="","",SUMIF('07_Pallet_Contents'!$A$2:$A$3000,$A2,'07_Pallet_Contents'!$D$2:$D$3000))</f>
        <v>0</v>
      </c>
      <c r="Y351">
        <f>IF($A2="","",SUMIF('07_Pallet_Contents'!$A$2:$A$3000,$A2,'07_Pallet_Contents'!$I$2:$I$3000))</f>
        <v>0</v>
      </c>
      <c r="Z351" t="str">
        <f>IF($A2="","",IF(COUNTIF('07_Pallet_Contents'!$A$2:$A$3000,$A2)&gt;0,"Yes",""))</f>
        <v/>
      </c>
    </row>
    <row r="352" spans="1:26">
      <c r="A352" s="4" t="s">
        <v>662</v>
      </c>
      <c r="B352" s="31"/>
      <c r="D352" t="str">
        <f>IF($C352="","",IFERROR(LOOKUP(2,1/('03_Warehouse_Movements'!$C$2:$C$500=$A352),'03_Warehouse_Movements'!$E$2:$E$500),$C352))</f>
        <v/>
      </c>
      <c r="E352" t="s">
        <v>209</v>
      </c>
      <c r="G352" s="34"/>
      <c r="H352" s="33" t="str">
        <f t="shared" si="10"/>
        <v/>
      </c>
      <c r="I352" s="31"/>
      <c r="J352" s="31"/>
      <c r="K352" s="33"/>
      <c r="M352" s="69" t="str">
        <f>IF($C352="","",IFERROR(LOOKUP(2,1/('03_Warehouse_Movements'!$C$2:$C$500=$A352),'03_Warehouse_Movements'!$A$2:$A$500),""))</f>
        <v/>
      </c>
      <c r="N352" t="str">
        <f>IF($C352="","",IFERROR(LOOKUP(2,1/('03_Warehouse_Movements'!$C$2:$C$500=$A352),'03_Warehouse_Movements'!$H$2:$H$500),""))</f>
        <v/>
      </c>
      <c r="O352" t="str">
        <f t="shared" si="11"/>
        <v>PAL-0000352</v>
      </c>
      <c r="Q352" s="34"/>
      <c r="R352" s="33"/>
      <c r="W352">
        <f>IF($A2="","",COUNTIF('07_Pallet_Contents'!$A$2:$A$3000,$A2))</f>
        <v>0</v>
      </c>
      <c r="X352">
        <f>IF($A2="","",SUMIF('07_Pallet_Contents'!$A$2:$A$3000,$A2,'07_Pallet_Contents'!$D$2:$D$3000))</f>
        <v>0</v>
      </c>
      <c r="Y352">
        <f>IF($A2="","",SUMIF('07_Pallet_Contents'!$A$2:$A$3000,$A2,'07_Pallet_Contents'!$I$2:$I$3000))</f>
        <v>0</v>
      </c>
      <c r="Z352" t="str">
        <f>IF($A2="","",IF(COUNTIF('07_Pallet_Contents'!$A$2:$A$3000,$A2)&gt;0,"Yes",""))</f>
        <v/>
      </c>
    </row>
    <row r="353" spans="1:26">
      <c r="A353" s="4" t="s">
        <v>663</v>
      </c>
      <c r="B353" s="31"/>
      <c r="D353" t="str">
        <f>IF($C353="","",IFERROR(LOOKUP(2,1/('03_Warehouse_Movements'!$C$2:$C$500=$A353),'03_Warehouse_Movements'!$E$2:$E$500),$C353))</f>
        <v/>
      </c>
      <c r="E353" t="s">
        <v>209</v>
      </c>
      <c r="G353" s="34"/>
      <c r="H353" s="33" t="str">
        <f t="shared" si="10"/>
        <v/>
      </c>
      <c r="I353" s="31"/>
      <c r="J353" s="31"/>
      <c r="K353" s="33"/>
      <c r="M353" s="69" t="str">
        <f>IF($C353="","",IFERROR(LOOKUP(2,1/('03_Warehouse_Movements'!$C$2:$C$500=$A353),'03_Warehouse_Movements'!$A$2:$A$500),""))</f>
        <v/>
      </c>
      <c r="N353" t="str">
        <f>IF($C353="","",IFERROR(LOOKUP(2,1/('03_Warehouse_Movements'!$C$2:$C$500=$A353),'03_Warehouse_Movements'!$H$2:$H$500),""))</f>
        <v/>
      </c>
      <c r="O353" t="str">
        <f t="shared" si="11"/>
        <v>PAL-0000353</v>
      </c>
      <c r="Q353" s="34"/>
      <c r="R353" s="33"/>
      <c r="W353">
        <f>IF($A2="","",COUNTIF('07_Pallet_Contents'!$A$2:$A$3000,$A2))</f>
        <v>0</v>
      </c>
      <c r="X353">
        <f>IF($A2="","",SUMIF('07_Pallet_Contents'!$A$2:$A$3000,$A2,'07_Pallet_Contents'!$D$2:$D$3000))</f>
        <v>0</v>
      </c>
      <c r="Y353">
        <f>IF($A2="","",SUMIF('07_Pallet_Contents'!$A$2:$A$3000,$A2,'07_Pallet_Contents'!$I$2:$I$3000))</f>
        <v>0</v>
      </c>
      <c r="Z353" t="str">
        <f>IF($A2="","",IF(COUNTIF('07_Pallet_Contents'!$A$2:$A$3000,$A2)&gt;0,"Yes",""))</f>
        <v/>
      </c>
    </row>
    <row r="354" spans="1:26">
      <c r="A354" s="4" t="s">
        <v>664</v>
      </c>
      <c r="B354" s="31"/>
      <c r="D354" t="str">
        <f>IF($C354="","",IFERROR(LOOKUP(2,1/('03_Warehouse_Movements'!$C$2:$C$500=$A354),'03_Warehouse_Movements'!$E$2:$E$500),$C354))</f>
        <v/>
      </c>
      <c r="E354" t="s">
        <v>209</v>
      </c>
      <c r="G354" s="34"/>
      <c r="H354" s="33" t="str">
        <f t="shared" si="10"/>
        <v/>
      </c>
      <c r="I354" s="31"/>
      <c r="J354" s="31"/>
      <c r="K354" s="33"/>
      <c r="M354" s="69" t="str">
        <f>IF($C354="","",IFERROR(LOOKUP(2,1/('03_Warehouse_Movements'!$C$2:$C$500=$A354),'03_Warehouse_Movements'!$A$2:$A$500),""))</f>
        <v/>
      </c>
      <c r="N354" t="str">
        <f>IF($C354="","",IFERROR(LOOKUP(2,1/('03_Warehouse_Movements'!$C$2:$C$500=$A354),'03_Warehouse_Movements'!$H$2:$H$500),""))</f>
        <v/>
      </c>
      <c r="O354" t="str">
        <f t="shared" si="11"/>
        <v>PAL-0000354</v>
      </c>
      <c r="Q354" s="34"/>
      <c r="R354" s="33"/>
      <c r="W354">
        <f>IF($A2="","",COUNTIF('07_Pallet_Contents'!$A$2:$A$3000,$A2))</f>
        <v>0</v>
      </c>
      <c r="X354">
        <f>IF($A2="","",SUMIF('07_Pallet_Contents'!$A$2:$A$3000,$A2,'07_Pallet_Contents'!$D$2:$D$3000))</f>
        <v>0</v>
      </c>
      <c r="Y354">
        <f>IF($A2="","",SUMIF('07_Pallet_Contents'!$A$2:$A$3000,$A2,'07_Pallet_Contents'!$I$2:$I$3000))</f>
        <v>0</v>
      </c>
      <c r="Z354" t="str">
        <f>IF($A2="","",IF(COUNTIF('07_Pallet_Contents'!$A$2:$A$3000,$A2)&gt;0,"Yes",""))</f>
        <v/>
      </c>
    </row>
    <row r="355" spans="1:26">
      <c r="A355" s="4" t="s">
        <v>665</v>
      </c>
      <c r="B355" s="31"/>
      <c r="D355" t="str">
        <f>IF($C355="","",IFERROR(LOOKUP(2,1/('03_Warehouse_Movements'!$C$2:$C$500=$A355),'03_Warehouse_Movements'!$E$2:$E$500),$C355))</f>
        <v/>
      </c>
      <c r="E355" t="s">
        <v>209</v>
      </c>
      <c r="G355" s="34"/>
      <c r="H355" s="33" t="str">
        <f t="shared" si="10"/>
        <v/>
      </c>
      <c r="I355" s="31"/>
      <c r="J355" s="31"/>
      <c r="K355" s="33"/>
      <c r="M355" s="69" t="str">
        <f>IF($C355="","",IFERROR(LOOKUP(2,1/('03_Warehouse_Movements'!$C$2:$C$500=$A355),'03_Warehouse_Movements'!$A$2:$A$500),""))</f>
        <v/>
      </c>
      <c r="N355" t="str">
        <f>IF($C355="","",IFERROR(LOOKUP(2,1/('03_Warehouse_Movements'!$C$2:$C$500=$A355),'03_Warehouse_Movements'!$H$2:$H$500),""))</f>
        <v/>
      </c>
      <c r="O355" t="str">
        <f t="shared" si="11"/>
        <v>PAL-0000355</v>
      </c>
      <c r="Q355" s="34"/>
      <c r="R355" s="33"/>
      <c r="W355">
        <f>IF($A2="","",COUNTIF('07_Pallet_Contents'!$A$2:$A$3000,$A2))</f>
        <v>0</v>
      </c>
      <c r="X355">
        <f>IF($A2="","",SUMIF('07_Pallet_Contents'!$A$2:$A$3000,$A2,'07_Pallet_Contents'!$D$2:$D$3000))</f>
        <v>0</v>
      </c>
      <c r="Y355">
        <f>IF($A2="","",SUMIF('07_Pallet_Contents'!$A$2:$A$3000,$A2,'07_Pallet_Contents'!$I$2:$I$3000))</f>
        <v>0</v>
      </c>
      <c r="Z355" t="str">
        <f>IF($A2="","",IF(COUNTIF('07_Pallet_Contents'!$A$2:$A$3000,$A2)&gt;0,"Yes",""))</f>
        <v/>
      </c>
    </row>
    <row r="356" spans="1:26">
      <c r="A356" s="4" t="s">
        <v>666</v>
      </c>
      <c r="B356" s="31"/>
      <c r="D356" t="str">
        <f>IF($C356="","",IFERROR(LOOKUP(2,1/('03_Warehouse_Movements'!$C$2:$C$500=$A356),'03_Warehouse_Movements'!$E$2:$E$500),$C356))</f>
        <v/>
      </c>
      <c r="E356" t="s">
        <v>209</v>
      </c>
      <c r="G356" s="34"/>
      <c r="H356" s="33" t="str">
        <f t="shared" si="10"/>
        <v/>
      </c>
      <c r="I356" s="31"/>
      <c r="J356" s="31"/>
      <c r="K356" s="33"/>
      <c r="M356" s="69" t="str">
        <f>IF($C356="","",IFERROR(LOOKUP(2,1/('03_Warehouse_Movements'!$C$2:$C$500=$A356),'03_Warehouse_Movements'!$A$2:$A$500),""))</f>
        <v/>
      </c>
      <c r="N356" t="str">
        <f>IF($C356="","",IFERROR(LOOKUP(2,1/('03_Warehouse_Movements'!$C$2:$C$500=$A356),'03_Warehouse_Movements'!$H$2:$H$500),""))</f>
        <v/>
      </c>
      <c r="O356" t="str">
        <f t="shared" si="11"/>
        <v>PAL-0000356</v>
      </c>
      <c r="Q356" s="34"/>
      <c r="R356" s="33"/>
      <c r="W356">
        <f>IF($A2="","",COUNTIF('07_Pallet_Contents'!$A$2:$A$3000,$A2))</f>
        <v>0</v>
      </c>
      <c r="X356">
        <f>IF($A2="","",SUMIF('07_Pallet_Contents'!$A$2:$A$3000,$A2,'07_Pallet_Contents'!$D$2:$D$3000))</f>
        <v>0</v>
      </c>
      <c r="Y356">
        <f>IF($A2="","",SUMIF('07_Pallet_Contents'!$A$2:$A$3000,$A2,'07_Pallet_Contents'!$I$2:$I$3000))</f>
        <v>0</v>
      </c>
      <c r="Z356" t="str">
        <f>IF($A2="","",IF(COUNTIF('07_Pallet_Contents'!$A$2:$A$3000,$A2)&gt;0,"Yes",""))</f>
        <v/>
      </c>
    </row>
    <row r="357" spans="1:26">
      <c r="A357" s="4" t="s">
        <v>667</v>
      </c>
      <c r="B357" s="31"/>
      <c r="D357" t="str">
        <f>IF($C357="","",IFERROR(LOOKUP(2,1/('03_Warehouse_Movements'!$C$2:$C$500=$A357),'03_Warehouse_Movements'!$E$2:$E$500),$C357))</f>
        <v/>
      </c>
      <c r="E357" t="s">
        <v>209</v>
      </c>
      <c r="G357" s="34"/>
      <c r="H357" s="33" t="str">
        <f t="shared" si="10"/>
        <v/>
      </c>
      <c r="I357" s="31"/>
      <c r="J357" s="31"/>
      <c r="K357" s="33"/>
      <c r="M357" s="69" t="str">
        <f>IF($C357="","",IFERROR(LOOKUP(2,1/('03_Warehouse_Movements'!$C$2:$C$500=$A357),'03_Warehouse_Movements'!$A$2:$A$500),""))</f>
        <v/>
      </c>
      <c r="N357" t="str">
        <f>IF($C357="","",IFERROR(LOOKUP(2,1/('03_Warehouse_Movements'!$C$2:$C$500=$A357),'03_Warehouse_Movements'!$H$2:$H$500),""))</f>
        <v/>
      </c>
      <c r="O357" t="str">
        <f t="shared" si="11"/>
        <v>PAL-0000357</v>
      </c>
      <c r="Q357" s="34"/>
      <c r="R357" s="33"/>
      <c r="W357">
        <f>IF($A2="","",COUNTIF('07_Pallet_Contents'!$A$2:$A$3000,$A2))</f>
        <v>0</v>
      </c>
      <c r="X357">
        <f>IF($A2="","",SUMIF('07_Pallet_Contents'!$A$2:$A$3000,$A2,'07_Pallet_Contents'!$D$2:$D$3000))</f>
        <v>0</v>
      </c>
      <c r="Y357">
        <f>IF($A2="","",SUMIF('07_Pallet_Contents'!$A$2:$A$3000,$A2,'07_Pallet_Contents'!$I$2:$I$3000))</f>
        <v>0</v>
      </c>
      <c r="Z357" t="str">
        <f>IF($A2="","",IF(COUNTIF('07_Pallet_Contents'!$A$2:$A$3000,$A2)&gt;0,"Yes",""))</f>
        <v/>
      </c>
    </row>
    <row r="358" spans="1:26">
      <c r="A358" s="4" t="s">
        <v>668</v>
      </c>
      <c r="B358" s="31"/>
      <c r="D358" t="str">
        <f>IF($C358="","",IFERROR(LOOKUP(2,1/('03_Warehouse_Movements'!$C$2:$C$500=$A358),'03_Warehouse_Movements'!$E$2:$E$500),$C358))</f>
        <v/>
      </c>
      <c r="E358" t="s">
        <v>209</v>
      </c>
      <c r="G358" s="34"/>
      <c r="H358" s="33" t="str">
        <f t="shared" si="10"/>
        <v/>
      </c>
      <c r="I358" s="31"/>
      <c r="J358" s="31"/>
      <c r="K358" s="33"/>
      <c r="M358" s="69" t="str">
        <f>IF($C358="","",IFERROR(LOOKUP(2,1/('03_Warehouse_Movements'!$C$2:$C$500=$A358),'03_Warehouse_Movements'!$A$2:$A$500),""))</f>
        <v/>
      </c>
      <c r="N358" t="str">
        <f>IF($C358="","",IFERROR(LOOKUP(2,1/('03_Warehouse_Movements'!$C$2:$C$500=$A358),'03_Warehouse_Movements'!$H$2:$H$500),""))</f>
        <v/>
      </c>
      <c r="O358" t="str">
        <f t="shared" si="11"/>
        <v>PAL-0000358</v>
      </c>
      <c r="Q358" s="34"/>
      <c r="R358" s="33"/>
      <c r="W358">
        <f>IF($A2="","",COUNTIF('07_Pallet_Contents'!$A$2:$A$3000,$A2))</f>
        <v>0</v>
      </c>
      <c r="X358">
        <f>IF($A2="","",SUMIF('07_Pallet_Contents'!$A$2:$A$3000,$A2,'07_Pallet_Contents'!$D$2:$D$3000))</f>
        <v>0</v>
      </c>
      <c r="Y358">
        <f>IF($A2="","",SUMIF('07_Pallet_Contents'!$A$2:$A$3000,$A2,'07_Pallet_Contents'!$I$2:$I$3000))</f>
        <v>0</v>
      </c>
      <c r="Z358" t="str">
        <f>IF($A2="","",IF(COUNTIF('07_Pallet_Contents'!$A$2:$A$3000,$A2)&gt;0,"Yes",""))</f>
        <v/>
      </c>
    </row>
    <row r="359" spans="1:26">
      <c r="A359" s="4" t="s">
        <v>669</v>
      </c>
      <c r="B359" s="31"/>
      <c r="D359" t="str">
        <f>IF($C359="","",IFERROR(LOOKUP(2,1/('03_Warehouse_Movements'!$C$2:$C$500=$A359),'03_Warehouse_Movements'!$E$2:$E$500),$C359))</f>
        <v/>
      </c>
      <c r="E359" t="s">
        <v>209</v>
      </c>
      <c r="G359" s="34"/>
      <c r="H359" s="33" t="str">
        <f t="shared" si="10"/>
        <v/>
      </c>
      <c r="I359" s="31"/>
      <c r="J359" s="31"/>
      <c r="K359" s="33"/>
      <c r="M359" s="69" t="str">
        <f>IF($C359="","",IFERROR(LOOKUP(2,1/('03_Warehouse_Movements'!$C$2:$C$500=$A359),'03_Warehouse_Movements'!$A$2:$A$500),""))</f>
        <v/>
      </c>
      <c r="N359" t="str">
        <f>IF($C359="","",IFERROR(LOOKUP(2,1/('03_Warehouse_Movements'!$C$2:$C$500=$A359),'03_Warehouse_Movements'!$H$2:$H$500),""))</f>
        <v/>
      </c>
      <c r="O359" t="str">
        <f t="shared" si="11"/>
        <v>PAL-0000359</v>
      </c>
      <c r="Q359" s="34"/>
      <c r="R359" s="33"/>
      <c r="W359">
        <f>IF($A2="","",COUNTIF('07_Pallet_Contents'!$A$2:$A$3000,$A2))</f>
        <v>0</v>
      </c>
      <c r="X359">
        <f>IF($A2="","",SUMIF('07_Pallet_Contents'!$A$2:$A$3000,$A2,'07_Pallet_Contents'!$D$2:$D$3000))</f>
        <v>0</v>
      </c>
      <c r="Y359">
        <f>IF($A2="","",SUMIF('07_Pallet_Contents'!$A$2:$A$3000,$A2,'07_Pallet_Contents'!$I$2:$I$3000))</f>
        <v>0</v>
      </c>
      <c r="Z359" t="str">
        <f>IF($A2="","",IF(COUNTIF('07_Pallet_Contents'!$A$2:$A$3000,$A2)&gt;0,"Yes",""))</f>
        <v/>
      </c>
    </row>
    <row r="360" spans="1:26">
      <c r="A360" s="4" t="s">
        <v>670</v>
      </c>
      <c r="B360" s="31"/>
      <c r="D360" t="str">
        <f>IF($C360="","",IFERROR(LOOKUP(2,1/('03_Warehouse_Movements'!$C$2:$C$500=$A360),'03_Warehouse_Movements'!$E$2:$E$500),$C360))</f>
        <v/>
      </c>
      <c r="E360" t="s">
        <v>209</v>
      </c>
      <c r="G360" s="34"/>
      <c r="H360" s="33" t="str">
        <f t="shared" si="10"/>
        <v/>
      </c>
      <c r="I360" s="31"/>
      <c r="J360" s="31"/>
      <c r="K360" s="33"/>
      <c r="M360" s="69" t="str">
        <f>IF($C360="","",IFERROR(LOOKUP(2,1/('03_Warehouse_Movements'!$C$2:$C$500=$A360),'03_Warehouse_Movements'!$A$2:$A$500),""))</f>
        <v/>
      </c>
      <c r="N360" t="str">
        <f>IF($C360="","",IFERROR(LOOKUP(2,1/('03_Warehouse_Movements'!$C$2:$C$500=$A360),'03_Warehouse_Movements'!$H$2:$H$500),""))</f>
        <v/>
      </c>
      <c r="O360" t="str">
        <f t="shared" si="11"/>
        <v>PAL-0000360</v>
      </c>
      <c r="Q360" s="34"/>
      <c r="R360" s="33"/>
      <c r="W360">
        <f>IF($A2="","",COUNTIF('07_Pallet_Contents'!$A$2:$A$3000,$A2))</f>
        <v>0</v>
      </c>
      <c r="X360">
        <f>IF($A2="","",SUMIF('07_Pallet_Contents'!$A$2:$A$3000,$A2,'07_Pallet_Contents'!$D$2:$D$3000))</f>
        <v>0</v>
      </c>
      <c r="Y360">
        <f>IF($A2="","",SUMIF('07_Pallet_Contents'!$A$2:$A$3000,$A2,'07_Pallet_Contents'!$I$2:$I$3000))</f>
        <v>0</v>
      </c>
      <c r="Z360" t="str">
        <f>IF($A2="","",IF(COUNTIF('07_Pallet_Contents'!$A$2:$A$3000,$A2)&gt;0,"Yes",""))</f>
        <v/>
      </c>
    </row>
    <row r="361" spans="1:26">
      <c r="A361" s="4" t="s">
        <v>671</v>
      </c>
      <c r="B361" s="31"/>
      <c r="D361" t="str">
        <f>IF($C361="","",IFERROR(LOOKUP(2,1/('03_Warehouse_Movements'!$C$2:$C$500=$A361),'03_Warehouse_Movements'!$E$2:$E$500),$C361))</f>
        <v/>
      </c>
      <c r="E361" t="s">
        <v>209</v>
      </c>
      <c r="G361" s="34"/>
      <c r="H361" s="33" t="str">
        <f t="shared" si="10"/>
        <v/>
      </c>
      <c r="I361" s="31"/>
      <c r="J361" s="31"/>
      <c r="K361" s="33"/>
      <c r="M361" s="69" t="str">
        <f>IF($C361="","",IFERROR(LOOKUP(2,1/('03_Warehouse_Movements'!$C$2:$C$500=$A361),'03_Warehouse_Movements'!$A$2:$A$500),""))</f>
        <v/>
      </c>
      <c r="N361" t="str">
        <f>IF($C361="","",IFERROR(LOOKUP(2,1/('03_Warehouse_Movements'!$C$2:$C$500=$A361),'03_Warehouse_Movements'!$H$2:$H$500),""))</f>
        <v/>
      </c>
      <c r="O361" t="str">
        <f t="shared" si="11"/>
        <v>PAL-0000361</v>
      </c>
      <c r="Q361" s="34"/>
      <c r="R361" s="33"/>
      <c r="W361">
        <f>IF($A2="","",COUNTIF('07_Pallet_Contents'!$A$2:$A$3000,$A2))</f>
        <v>0</v>
      </c>
      <c r="X361">
        <f>IF($A2="","",SUMIF('07_Pallet_Contents'!$A$2:$A$3000,$A2,'07_Pallet_Contents'!$D$2:$D$3000))</f>
        <v>0</v>
      </c>
      <c r="Y361">
        <f>IF($A2="","",SUMIF('07_Pallet_Contents'!$A$2:$A$3000,$A2,'07_Pallet_Contents'!$I$2:$I$3000))</f>
        <v>0</v>
      </c>
      <c r="Z361" t="str">
        <f>IF($A2="","",IF(COUNTIF('07_Pallet_Contents'!$A$2:$A$3000,$A2)&gt;0,"Yes",""))</f>
        <v/>
      </c>
    </row>
    <row r="362" spans="1:26">
      <c r="A362" s="4" t="s">
        <v>672</v>
      </c>
      <c r="B362" s="31"/>
      <c r="D362" t="str">
        <f>IF($C362="","",IFERROR(LOOKUP(2,1/('03_Warehouse_Movements'!$C$2:$C$500=$A362),'03_Warehouse_Movements'!$E$2:$E$500),$C362))</f>
        <v/>
      </c>
      <c r="E362" t="s">
        <v>209</v>
      </c>
      <c r="G362" s="34"/>
      <c r="H362" s="33" t="str">
        <f t="shared" si="10"/>
        <v/>
      </c>
      <c r="I362" s="31"/>
      <c r="J362" s="31"/>
      <c r="K362" s="33"/>
      <c r="M362" s="69" t="str">
        <f>IF($C362="","",IFERROR(LOOKUP(2,1/('03_Warehouse_Movements'!$C$2:$C$500=$A362),'03_Warehouse_Movements'!$A$2:$A$500),""))</f>
        <v/>
      </c>
      <c r="N362" t="str">
        <f>IF($C362="","",IFERROR(LOOKUP(2,1/('03_Warehouse_Movements'!$C$2:$C$500=$A362),'03_Warehouse_Movements'!$H$2:$H$500),""))</f>
        <v/>
      </c>
      <c r="O362" t="str">
        <f t="shared" si="11"/>
        <v>PAL-0000362</v>
      </c>
      <c r="Q362" s="34"/>
      <c r="R362" s="33"/>
      <c r="W362">
        <f>IF($A2="","",COUNTIF('07_Pallet_Contents'!$A$2:$A$3000,$A2))</f>
        <v>0</v>
      </c>
      <c r="X362">
        <f>IF($A2="","",SUMIF('07_Pallet_Contents'!$A$2:$A$3000,$A2,'07_Pallet_Contents'!$D$2:$D$3000))</f>
        <v>0</v>
      </c>
      <c r="Y362">
        <f>IF($A2="","",SUMIF('07_Pallet_Contents'!$A$2:$A$3000,$A2,'07_Pallet_Contents'!$I$2:$I$3000))</f>
        <v>0</v>
      </c>
      <c r="Z362" t="str">
        <f>IF($A2="","",IF(COUNTIF('07_Pallet_Contents'!$A$2:$A$3000,$A2)&gt;0,"Yes",""))</f>
        <v/>
      </c>
    </row>
    <row r="363" spans="1:26">
      <c r="A363" s="4" t="s">
        <v>673</v>
      </c>
      <c r="B363" s="31"/>
      <c r="D363" t="str">
        <f>IF($C363="","",IFERROR(LOOKUP(2,1/('03_Warehouse_Movements'!$C$2:$C$500=$A363),'03_Warehouse_Movements'!$E$2:$E$500),$C363))</f>
        <v/>
      </c>
      <c r="E363" t="s">
        <v>209</v>
      </c>
      <c r="G363" s="34"/>
      <c r="H363" s="33" t="str">
        <f t="shared" si="10"/>
        <v/>
      </c>
      <c r="I363" s="31"/>
      <c r="J363" s="31"/>
      <c r="K363" s="33"/>
      <c r="M363" s="69" t="str">
        <f>IF($C363="","",IFERROR(LOOKUP(2,1/('03_Warehouse_Movements'!$C$2:$C$500=$A363),'03_Warehouse_Movements'!$A$2:$A$500),""))</f>
        <v/>
      </c>
      <c r="N363" t="str">
        <f>IF($C363="","",IFERROR(LOOKUP(2,1/('03_Warehouse_Movements'!$C$2:$C$500=$A363),'03_Warehouse_Movements'!$H$2:$H$500),""))</f>
        <v/>
      </c>
      <c r="O363" t="str">
        <f t="shared" si="11"/>
        <v>PAL-0000363</v>
      </c>
      <c r="Q363" s="34"/>
      <c r="R363" s="33"/>
      <c r="W363">
        <f>IF($A2="","",COUNTIF('07_Pallet_Contents'!$A$2:$A$3000,$A2))</f>
        <v>0</v>
      </c>
      <c r="X363">
        <f>IF($A2="","",SUMIF('07_Pallet_Contents'!$A$2:$A$3000,$A2,'07_Pallet_Contents'!$D$2:$D$3000))</f>
        <v>0</v>
      </c>
      <c r="Y363">
        <f>IF($A2="","",SUMIF('07_Pallet_Contents'!$A$2:$A$3000,$A2,'07_Pallet_Contents'!$I$2:$I$3000))</f>
        <v>0</v>
      </c>
      <c r="Z363" t="str">
        <f>IF($A2="","",IF(COUNTIF('07_Pallet_Contents'!$A$2:$A$3000,$A2)&gt;0,"Yes",""))</f>
        <v/>
      </c>
    </row>
    <row r="364" spans="1:26">
      <c r="A364" s="4" t="s">
        <v>674</v>
      </c>
      <c r="B364" s="31"/>
      <c r="D364" t="str">
        <f>IF($C364="","",IFERROR(LOOKUP(2,1/('03_Warehouse_Movements'!$C$2:$C$500=$A364),'03_Warehouse_Movements'!$E$2:$E$500),$C364))</f>
        <v/>
      </c>
      <c r="E364" t="s">
        <v>209</v>
      </c>
      <c r="G364" s="34"/>
      <c r="H364" s="33" t="str">
        <f t="shared" si="10"/>
        <v/>
      </c>
      <c r="I364" s="31"/>
      <c r="J364" s="31"/>
      <c r="K364" s="33"/>
      <c r="M364" s="69" t="str">
        <f>IF($C364="","",IFERROR(LOOKUP(2,1/('03_Warehouse_Movements'!$C$2:$C$500=$A364),'03_Warehouse_Movements'!$A$2:$A$500),""))</f>
        <v/>
      </c>
      <c r="N364" t="str">
        <f>IF($C364="","",IFERROR(LOOKUP(2,1/('03_Warehouse_Movements'!$C$2:$C$500=$A364),'03_Warehouse_Movements'!$H$2:$H$500),""))</f>
        <v/>
      </c>
      <c r="O364" t="str">
        <f t="shared" si="11"/>
        <v>PAL-0000364</v>
      </c>
      <c r="Q364" s="34"/>
      <c r="R364" s="33"/>
      <c r="W364">
        <f>IF($A2="","",COUNTIF('07_Pallet_Contents'!$A$2:$A$3000,$A2))</f>
        <v>0</v>
      </c>
      <c r="X364">
        <f>IF($A2="","",SUMIF('07_Pallet_Contents'!$A$2:$A$3000,$A2,'07_Pallet_Contents'!$D$2:$D$3000))</f>
        <v>0</v>
      </c>
      <c r="Y364">
        <f>IF($A2="","",SUMIF('07_Pallet_Contents'!$A$2:$A$3000,$A2,'07_Pallet_Contents'!$I$2:$I$3000))</f>
        <v>0</v>
      </c>
      <c r="Z364" t="str">
        <f>IF($A2="","",IF(COUNTIF('07_Pallet_Contents'!$A$2:$A$3000,$A2)&gt;0,"Yes",""))</f>
        <v/>
      </c>
    </row>
    <row r="365" spans="1:26">
      <c r="A365" s="4" t="s">
        <v>675</v>
      </c>
      <c r="B365" s="31"/>
      <c r="D365" t="str">
        <f>IF($C365="","",IFERROR(LOOKUP(2,1/('03_Warehouse_Movements'!$C$2:$C$500=$A365),'03_Warehouse_Movements'!$E$2:$E$500),$C365))</f>
        <v/>
      </c>
      <c r="E365" t="s">
        <v>209</v>
      </c>
      <c r="G365" s="34"/>
      <c r="H365" s="33" t="str">
        <f t="shared" si="10"/>
        <v/>
      </c>
      <c r="I365" s="31"/>
      <c r="J365" s="31"/>
      <c r="K365" s="33"/>
      <c r="M365" s="69" t="str">
        <f>IF($C365="","",IFERROR(LOOKUP(2,1/('03_Warehouse_Movements'!$C$2:$C$500=$A365),'03_Warehouse_Movements'!$A$2:$A$500),""))</f>
        <v/>
      </c>
      <c r="N365" t="str">
        <f>IF($C365="","",IFERROR(LOOKUP(2,1/('03_Warehouse_Movements'!$C$2:$C$500=$A365),'03_Warehouse_Movements'!$H$2:$H$500),""))</f>
        <v/>
      </c>
      <c r="O365" t="str">
        <f t="shared" si="11"/>
        <v>PAL-0000365</v>
      </c>
      <c r="Q365" s="34"/>
      <c r="R365" s="33"/>
      <c r="W365">
        <f>IF($A2="","",COUNTIF('07_Pallet_Contents'!$A$2:$A$3000,$A2))</f>
        <v>0</v>
      </c>
      <c r="X365">
        <f>IF($A2="","",SUMIF('07_Pallet_Contents'!$A$2:$A$3000,$A2,'07_Pallet_Contents'!$D$2:$D$3000))</f>
        <v>0</v>
      </c>
      <c r="Y365">
        <f>IF($A2="","",SUMIF('07_Pallet_Contents'!$A$2:$A$3000,$A2,'07_Pallet_Contents'!$I$2:$I$3000))</f>
        <v>0</v>
      </c>
      <c r="Z365" t="str">
        <f>IF($A2="","",IF(COUNTIF('07_Pallet_Contents'!$A$2:$A$3000,$A2)&gt;0,"Yes",""))</f>
        <v/>
      </c>
    </row>
    <row r="366" spans="1:26">
      <c r="A366" s="4" t="s">
        <v>676</v>
      </c>
      <c r="B366" s="31"/>
      <c r="D366" t="str">
        <f>IF($C366="","",IFERROR(LOOKUP(2,1/('03_Warehouse_Movements'!$C$2:$C$500=$A366),'03_Warehouse_Movements'!$E$2:$E$500),$C366))</f>
        <v/>
      </c>
      <c r="E366" t="s">
        <v>209</v>
      </c>
      <c r="G366" s="34"/>
      <c r="H366" s="33" t="str">
        <f t="shared" si="10"/>
        <v/>
      </c>
      <c r="I366" s="31"/>
      <c r="J366" s="31"/>
      <c r="K366" s="33"/>
      <c r="M366" s="69" t="str">
        <f>IF($C366="","",IFERROR(LOOKUP(2,1/('03_Warehouse_Movements'!$C$2:$C$500=$A366),'03_Warehouse_Movements'!$A$2:$A$500),""))</f>
        <v/>
      </c>
      <c r="N366" t="str">
        <f>IF($C366="","",IFERROR(LOOKUP(2,1/('03_Warehouse_Movements'!$C$2:$C$500=$A366),'03_Warehouse_Movements'!$H$2:$H$500),""))</f>
        <v/>
      </c>
      <c r="O366" t="str">
        <f t="shared" si="11"/>
        <v>PAL-0000366</v>
      </c>
      <c r="Q366" s="34"/>
      <c r="R366" s="33"/>
      <c r="W366">
        <f>IF($A2="","",COUNTIF('07_Pallet_Contents'!$A$2:$A$3000,$A2))</f>
        <v>0</v>
      </c>
      <c r="X366">
        <f>IF($A2="","",SUMIF('07_Pallet_Contents'!$A$2:$A$3000,$A2,'07_Pallet_Contents'!$D$2:$D$3000))</f>
        <v>0</v>
      </c>
      <c r="Y366">
        <f>IF($A2="","",SUMIF('07_Pallet_Contents'!$A$2:$A$3000,$A2,'07_Pallet_Contents'!$I$2:$I$3000))</f>
        <v>0</v>
      </c>
      <c r="Z366" t="str">
        <f>IF($A2="","",IF(COUNTIF('07_Pallet_Contents'!$A$2:$A$3000,$A2)&gt;0,"Yes",""))</f>
        <v/>
      </c>
    </row>
    <row r="367" spans="1:26">
      <c r="A367" s="4" t="s">
        <v>677</v>
      </c>
      <c r="B367" s="31"/>
      <c r="D367" t="str">
        <f>IF($C367="","",IFERROR(LOOKUP(2,1/('03_Warehouse_Movements'!$C$2:$C$500=$A367),'03_Warehouse_Movements'!$E$2:$E$500),$C367))</f>
        <v/>
      </c>
      <c r="E367" t="s">
        <v>209</v>
      </c>
      <c r="G367" s="34"/>
      <c r="H367" s="33" t="str">
        <f t="shared" si="10"/>
        <v/>
      </c>
      <c r="I367" s="31"/>
      <c r="J367" s="31"/>
      <c r="K367" s="33"/>
      <c r="M367" s="69" t="str">
        <f>IF($C367="","",IFERROR(LOOKUP(2,1/('03_Warehouse_Movements'!$C$2:$C$500=$A367),'03_Warehouse_Movements'!$A$2:$A$500),""))</f>
        <v/>
      </c>
      <c r="N367" t="str">
        <f>IF($C367="","",IFERROR(LOOKUP(2,1/('03_Warehouse_Movements'!$C$2:$C$500=$A367),'03_Warehouse_Movements'!$H$2:$H$500),""))</f>
        <v/>
      </c>
      <c r="O367" t="str">
        <f t="shared" si="11"/>
        <v>PAL-0000367</v>
      </c>
      <c r="Q367" s="34"/>
      <c r="R367" s="33"/>
      <c r="W367">
        <f>IF($A2="","",COUNTIF('07_Pallet_Contents'!$A$2:$A$3000,$A2))</f>
        <v>0</v>
      </c>
      <c r="X367">
        <f>IF($A2="","",SUMIF('07_Pallet_Contents'!$A$2:$A$3000,$A2,'07_Pallet_Contents'!$D$2:$D$3000))</f>
        <v>0</v>
      </c>
      <c r="Y367">
        <f>IF($A2="","",SUMIF('07_Pallet_Contents'!$A$2:$A$3000,$A2,'07_Pallet_Contents'!$I$2:$I$3000))</f>
        <v>0</v>
      </c>
      <c r="Z367" t="str">
        <f>IF($A2="","",IF(COUNTIF('07_Pallet_Contents'!$A$2:$A$3000,$A2)&gt;0,"Yes",""))</f>
        <v/>
      </c>
    </row>
    <row r="368" spans="1:26">
      <c r="A368" s="4" t="s">
        <v>678</v>
      </c>
      <c r="B368" s="31"/>
      <c r="D368" t="str">
        <f>IF($C368="","",IFERROR(LOOKUP(2,1/('03_Warehouse_Movements'!$C$2:$C$500=$A368),'03_Warehouse_Movements'!$E$2:$E$500),$C368))</f>
        <v/>
      </c>
      <c r="E368" t="s">
        <v>209</v>
      </c>
      <c r="G368" s="34"/>
      <c r="H368" s="33" t="str">
        <f t="shared" si="10"/>
        <v/>
      </c>
      <c r="I368" s="31"/>
      <c r="J368" s="31"/>
      <c r="K368" s="33"/>
      <c r="M368" s="69" t="str">
        <f>IF($C368="","",IFERROR(LOOKUP(2,1/('03_Warehouse_Movements'!$C$2:$C$500=$A368),'03_Warehouse_Movements'!$A$2:$A$500),""))</f>
        <v/>
      </c>
      <c r="N368" t="str">
        <f>IF($C368="","",IFERROR(LOOKUP(2,1/('03_Warehouse_Movements'!$C$2:$C$500=$A368),'03_Warehouse_Movements'!$H$2:$H$500),""))</f>
        <v/>
      </c>
      <c r="O368" t="str">
        <f t="shared" si="11"/>
        <v>PAL-0000368</v>
      </c>
      <c r="Q368" s="34"/>
      <c r="R368" s="33"/>
      <c r="W368">
        <f>IF($A2="","",COUNTIF('07_Pallet_Contents'!$A$2:$A$3000,$A2))</f>
        <v>0</v>
      </c>
      <c r="X368">
        <f>IF($A2="","",SUMIF('07_Pallet_Contents'!$A$2:$A$3000,$A2,'07_Pallet_Contents'!$D$2:$D$3000))</f>
        <v>0</v>
      </c>
      <c r="Y368">
        <f>IF($A2="","",SUMIF('07_Pallet_Contents'!$A$2:$A$3000,$A2,'07_Pallet_Contents'!$I$2:$I$3000))</f>
        <v>0</v>
      </c>
      <c r="Z368" t="str">
        <f>IF($A2="","",IF(COUNTIF('07_Pallet_Contents'!$A$2:$A$3000,$A2)&gt;0,"Yes",""))</f>
        <v/>
      </c>
    </row>
    <row r="369" spans="1:26">
      <c r="A369" s="4" t="s">
        <v>679</v>
      </c>
      <c r="B369" s="31"/>
      <c r="D369" t="str">
        <f>IF($C369="","",IFERROR(LOOKUP(2,1/('03_Warehouse_Movements'!$C$2:$C$500=$A369),'03_Warehouse_Movements'!$E$2:$E$500),$C369))</f>
        <v/>
      </c>
      <c r="E369" t="s">
        <v>209</v>
      </c>
      <c r="G369" s="34"/>
      <c r="H369" s="33" t="str">
        <f t="shared" si="10"/>
        <v/>
      </c>
      <c r="I369" s="31"/>
      <c r="J369" s="31"/>
      <c r="K369" s="33"/>
      <c r="M369" s="69" t="str">
        <f>IF($C369="","",IFERROR(LOOKUP(2,1/('03_Warehouse_Movements'!$C$2:$C$500=$A369),'03_Warehouse_Movements'!$A$2:$A$500),""))</f>
        <v/>
      </c>
      <c r="N369" t="str">
        <f>IF($C369="","",IFERROR(LOOKUP(2,1/('03_Warehouse_Movements'!$C$2:$C$500=$A369),'03_Warehouse_Movements'!$H$2:$H$500),""))</f>
        <v/>
      </c>
      <c r="O369" t="str">
        <f t="shared" si="11"/>
        <v>PAL-0000369</v>
      </c>
      <c r="Q369" s="34"/>
      <c r="R369" s="33"/>
      <c r="W369">
        <f>IF($A2="","",COUNTIF('07_Pallet_Contents'!$A$2:$A$3000,$A2))</f>
        <v>0</v>
      </c>
      <c r="X369">
        <f>IF($A2="","",SUMIF('07_Pallet_Contents'!$A$2:$A$3000,$A2,'07_Pallet_Contents'!$D$2:$D$3000))</f>
        <v>0</v>
      </c>
      <c r="Y369">
        <f>IF($A2="","",SUMIF('07_Pallet_Contents'!$A$2:$A$3000,$A2,'07_Pallet_Contents'!$I$2:$I$3000))</f>
        <v>0</v>
      </c>
      <c r="Z369" t="str">
        <f>IF($A2="","",IF(COUNTIF('07_Pallet_Contents'!$A$2:$A$3000,$A2)&gt;0,"Yes",""))</f>
        <v/>
      </c>
    </row>
    <row r="370" spans="1:26">
      <c r="A370" s="4" t="s">
        <v>680</v>
      </c>
      <c r="B370" s="31"/>
      <c r="D370" t="str">
        <f>IF($C370="","",IFERROR(LOOKUP(2,1/('03_Warehouse_Movements'!$C$2:$C$500=$A370),'03_Warehouse_Movements'!$E$2:$E$500),$C370))</f>
        <v/>
      </c>
      <c r="E370" t="s">
        <v>209</v>
      </c>
      <c r="G370" s="34"/>
      <c r="H370" s="33" t="str">
        <f t="shared" si="10"/>
        <v/>
      </c>
      <c r="I370" s="31"/>
      <c r="J370" s="31"/>
      <c r="K370" s="33"/>
      <c r="M370" s="69" t="str">
        <f>IF($C370="","",IFERROR(LOOKUP(2,1/('03_Warehouse_Movements'!$C$2:$C$500=$A370),'03_Warehouse_Movements'!$A$2:$A$500),""))</f>
        <v/>
      </c>
      <c r="N370" t="str">
        <f>IF($C370="","",IFERROR(LOOKUP(2,1/('03_Warehouse_Movements'!$C$2:$C$500=$A370),'03_Warehouse_Movements'!$H$2:$H$500),""))</f>
        <v/>
      </c>
      <c r="O370" t="str">
        <f t="shared" si="11"/>
        <v>PAL-0000370</v>
      </c>
      <c r="Q370" s="34"/>
      <c r="R370" s="33"/>
      <c r="W370">
        <f>IF($A2="","",COUNTIF('07_Pallet_Contents'!$A$2:$A$3000,$A2))</f>
        <v>0</v>
      </c>
      <c r="X370">
        <f>IF($A2="","",SUMIF('07_Pallet_Contents'!$A$2:$A$3000,$A2,'07_Pallet_Contents'!$D$2:$D$3000))</f>
        <v>0</v>
      </c>
      <c r="Y370">
        <f>IF($A2="","",SUMIF('07_Pallet_Contents'!$A$2:$A$3000,$A2,'07_Pallet_Contents'!$I$2:$I$3000))</f>
        <v>0</v>
      </c>
      <c r="Z370" t="str">
        <f>IF($A2="","",IF(COUNTIF('07_Pallet_Contents'!$A$2:$A$3000,$A2)&gt;0,"Yes",""))</f>
        <v/>
      </c>
    </row>
    <row r="371" spans="1:26">
      <c r="A371" s="4" t="s">
        <v>681</v>
      </c>
      <c r="B371" s="31"/>
      <c r="D371" t="str">
        <f>IF($C371="","",IFERROR(LOOKUP(2,1/('03_Warehouse_Movements'!$C$2:$C$500=$A371),'03_Warehouse_Movements'!$E$2:$E$500),$C371))</f>
        <v/>
      </c>
      <c r="E371" t="s">
        <v>209</v>
      </c>
      <c r="G371" s="34"/>
      <c r="H371" s="33" t="str">
        <f t="shared" si="10"/>
        <v/>
      </c>
      <c r="I371" s="31"/>
      <c r="J371" s="31"/>
      <c r="K371" s="33"/>
      <c r="M371" s="69" t="str">
        <f>IF($C371="","",IFERROR(LOOKUP(2,1/('03_Warehouse_Movements'!$C$2:$C$500=$A371),'03_Warehouse_Movements'!$A$2:$A$500),""))</f>
        <v/>
      </c>
      <c r="N371" t="str">
        <f>IF($C371="","",IFERROR(LOOKUP(2,1/('03_Warehouse_Movements'!$C$2:$C$500=$A371),'03_Warehouse_Movements'!$H$2:$H$500),""))</f>
        <v/>
      </c>
      <c r="O371" t="str">
        <f t="shared" si="11"/>
        <v>PAL-0000371</v>
      </c>
      <c r="Q371" s="34"/>
      <c r="R371" s="33"/>
      <c r="W371">
        <f>IF($A2="","",COUNTIF('07_Pallet_Contents'!$A$2:$A$3000,$A2))</f>
        <v>0</v>
      </c>
      <c r="X371">
        <f>IF($A2="","",SUMIF('07_Pallet_Contents'!$A$2:$A$3000,$A2,'07_Pallet_Contents'!$D$2:$D$3000))</f>
        <v>0</v>
      </c>
      <c r="Y371">
        <f>IF($A2="","",SUMIF('07_Pallet_Contents'!$A$2:$A$3000,$A2,'07_Pallet_Contents'!$I$2:$I$3000))</f>
        <v>0</v>
      </c>
      <c r="Z371" t="str">
        <f>IF($A2="","",IF(COUNTIF('07_Pallet_Contents'!$A$2:$A$3000,$A2)&gt;0,"Yes",""))</f>
        <v/>
      </c>
    </row>
    <row r="372" spans="1:26">
      <c r="A372" s="4" t="s">
        <v>682</v>
      </c>
      <c r="B372" s="31"/>
      <c r="D372" t="str">
        <f>IF($C372="","",IFERROR(LOOKUP(2,1/('03_Warehouse_Movements'!$C$2:$C$500=$A372),'03_Warehouse_Movements'!$E$2:$E$500),$C372))</f>
        <v/>
      </c>
      <c r="E372" t="s">
        <v>209</v>
      </c>
      <c r="G372" s="34"/>
      <c r="H372" s="33" t="str">
        <f t="shared" si="10"/>
        <v/>
      </c>
      <c r="I372" s="31"/>
      <c r="J372" s="31"/>
      <c r="K372" s="33"/>
      <c r="M372" s="69" t="str">
        <f>IF($C372="","",IFERROR(LOOKUP(2,1/('03_Warehouse_Movements'!$C$2:$C$500=$A372),'03_Warehouse_Movements'!$A$2:$A$500),""))</f>
        <v/>
      </c>
      <c r="N372" t="str">
        <f>IF($C372="","",IFERROR(LOOKUP(2,1/('03_Warehouse_Movements'!$C$2:$C$500=$A372),'03_Warehouse_Movements'!$H$2:$H$500),""))</f>
        <v/>
      </c>
      <c r="O372" t="str">
        <f t="shared" si="11"/>
        <v>PAL-0000372</v>
      </c>
      <c r="Q372" s="34"/>
      <c r="R372" s="33"/>
      <c r="W372">
        <f>IF($A2="","",COUNTIF('07_Pallet_Contents'!$A$2:$A$3000,$A2))</f>
        <v>0</v>
      </c>
      <c r="X372">
        <f>IF($A2="","",SUMIF('07_Pallet_Contents'!$A$2:$A$3000,$A2,'07_Pallet_Contents'!$D$2:$D$3000))</f>
        <v>0</v>
      </c>
      <c r="Y372">
        <f>IF($A2="","",SUMIF('07_Pallet_Contents'!$A$2:$A$3000,$A2,'07_Pallet_Contents'!$I$2:$I$3000))</f>
        <v>0</v>
      </c>
      <c r="Z372" t="str">
        <f>IF($A2="","",IF(COUNTIF('07_Pallet_Contents'!$A$2:$A$3000,$A2)&gt;0,"Yes",""))</f>
        <v/>
      </c>
    </row>
    <row r="373" spans="1:26">
      <c r="A373" s="4" t="s">
        <v>683</v>
      </c>
      <c r="B373" s="31"/>
      <c r="D373" t="str">
        <f>IF($C373="","",IFERROR(LOOKUP(2,1/('03_Warehouse_Movements'!$C$2:$C$500=$A373),'03_Warehouse_Movements'!$E$2:$E$500),$C373))</f>
        <v/>
      </c>
      <c r="E373" t="s">
        <v>209</v>
      </c>
      <c r="G373" s="34"/>
      <c r="H373" s="33" t="str">
        <f t="shared" si="10"/>
        <v/>
      </c>
      <c r="I373" s="31"/>
      <c r="J373" s="31"/>
      <c r="K373" s="33"/>
      <c r="M373" s="69" t="str">
        <f>IF($C373="","",IFERROR(LOOKUP(2,1/('03_Warehouse_Movements'!$C$2:$C$500=$A373),'03_Warehouse_Movements'!$A$2:$A$500),""))</f>
        <v/>
      </c>
      <c r="N373" t="str">
        <f>IF($C373="","",IFERROR(LOOKUP(2,1/('03_Warehouse_Movements'!$C$2:$C$500=$A373),'03_Warehouse_Movements'!$H$2:$H$500),""))</f>
        <v/>
      </c>
      <c r="O373" t="str">
        <f t="shared" si="11"/>
        <v>PAL-0000373</v>
      </c>
      <c r="Q373" s="34"/>
      <c r="R373" s="33"/>
      <c r="W373">
        <f>IF($A2="","",COUNTIF('07_Pallet_Contents'!$A$2:$A$3000,$A2))</f>
        <v>0</v>
      </c>
      <c r="X373">
        <f>IF($A2="","",SUMIF('07_Pallet_Contents'!$A$2:$A$3000,$A2,'07_Pallet_Contents'!$D$2:$D$3000))</f>
        <v>0</v>
      </c>
      <c r="Y373">
        <f>IF($A2="","",SUMIF('07_Pallet_Contents'!$A$2:$A$3000,$A2,'07_Pallet_Contents'!$I$2:$I$3000))</f>
        <v>0</v>
      </c>
      <c r="Z373" t="str">
        <f>IF($A2="","",IF(COUNTIF('07_Pallet_Contents'!$A$2:$A$3000,$A2)&gt;0,"Yes",""))</f>
        <v/>
      </c>
    </row>
    <row r="374" spans="1:26">
      <c r="A374" s="4" t="s">
        <v>684</v>
      </c>
      <c r="B374" s="31"/>
      <c r="D374" t="str">
        <f>IF($C374="","",IFERROR(LOOKUP(2,1/('03_Warehouse_Movements'!$C$2:$C$500=$A374),'03_Warehouse_Movements'!$E$2:$E$500),$C374))</f>
        <v/>
      </c>
      <c r="E374" t="s">
        <v>209</v>
      </c>
      <c r="G374" s="34"/>
      <c r="H374" s="33" t="str">
        <f t="shared" si="10"/>
        <v/>
      </c>
      <c r="I374" s="31"/>
      <c r="J374" s="31"/>
      <c r="K374" s="33"/>
      <c r="M374" s="69" t="str">
        <f>IF($C374="","",IFERROR(LOOKUP(2,1/('03_Warehouse_Movements'!$C$2:$C$500=$A374),'03_Warehouse_Movements'!$A$2:$A$500),""))</f>
        <v/>
      </c>
      <c r="N374" t="str">
        <f>IF($C374="","",IFERROR(LOOKUP(2,1/('03_Warehouse_Movements'!$C$2:$C$500=$A374),'03_Warehouse_Movements'!$H$2:$H$500),""))</f>
        <v/>
      </c>
      <c r="O374" t="str">
        <f t="shared" si="11"/>
        <v>PAL-0000374</v>
      </c>
      <c r="Q374" s="34"/>
      <c r="R374" s="33"/>
      <c r="W374">
        <f>IF($A2="","",COUNTIF('07_Pallet_Contents'!$A$2:$A$3000,$A2))</f>
        <v>0</v>
      </c>
      <c r="X374">
        <f>IF($A2="","",SUMIF('07_Pallet_Contents'!$A$2:$A$3000,$A2,'07_Pallet_Contents'!$D$2:$D$3000))</f>
        <v>0</v>
      </c>
      <c r="Y374">
        <f>IF($A2="","",SUMIF('07_Pallet_Contents'!$A$2:$A$3000,$A2,'07_Pallet_Contents'!$I$2:$I$3000))</f>
        <v>0</v>
      </c>
      <c r="Z374" t="str">
        <f>IF($A2="","",IF(COUNTIF('07_Pallet_Contents'!$A$2:$A$3000,$A2)&gt;0,"Yes",""))</f>
        <v/>
      </c>
    </row>
    <row r="375" spans="1:26">
      <c r="A375" s="4" t="s">
        <v>685</v>
      </c>
      <c r="B375" s="31"/>
      <c r="D375" t="str">
        <f>IF($C375="","",IFERROR(LOOKUP(2,1/('03_Warehouse_Movements'!$C$2:$C$500=$A375),'03_Warehouse_Movements'!$E$2:$E$500),$C375))</f>
        <v/>
      </c>
      <c r="E375" t="s">
        <v>209</v>
      </c>
      <c r="G375" s="34"/>
      <c r="H375" s="33" t="str">
        <f t="shared" si="10"/>
        <v/>
      </c>
      <c r="I375" s="31"/>
      <c r="J375" s="31"/>
      <c r="K375" s="33"/>
      <c r="M375" s="69" t="str">
        <f>IF($C375="","",IFERROR(LOOKUP(2,1/('03_Warehouse_Movements'!$C$2:$C$500=$A375),'03_Warehouse_Movements'!$A$2:$A$500),""))</f>
        <v/>
      </c>
      <c r="N375" t="str">
        <f>IF($C375="","",IFERROR(LOOKUP(2,1/('03_Warehouse_Movements'!$C$2:$C$500=$A375),'03_Warehouse_Movements'!$H$2:$H$500),""))</f>
        <v/>
      </c>
      <c r="O375" t="str">
        <f t="shared" si="11"/>
        <v>PAL-0000375</v>
      </c>
      <c r="Q375" s="34"/>
      <c r="R375" s="33"/>
      <c r="W375">
        <f>IF($A2="","",COUNTIF('07_Pallet_Contents'!$A$2:$A$3000,$A2))</f>
        <v>0</v>
      </c>
      <c r="X375">
        <f>IF($A2="","",SUMIF('07_Pallet_Contents'!$A$2:$A$3000,$A2,'07_Pallet_Contents'!$D$2:$D$3000))</f>
        <v>0</v>
      </c>
      <c r="Y375">
        <f>IF($A2="","",SUMIF('07_Pallet_Contents'!$A$2:$A$3000,$A2,'07_Pallet_Contents'!$I$2:$I$3000))</f>
        <v>0</v>
      </c>
      <c r="Z375" t="str">
        <f>IF($A2="","",IF(COUNTIF('07_Pallet_Contents'!$A$2:$A$3000,$A2)&gt;0,"Yes",""))</f>
        <v/>
      </c>
    </row>
    <row r="376" spans="1:26">
      <c r="A376" s="4" t="s">
        <v>686</v>
      </c>
      <c r="B376" s="31"/>
      <c r="D376" t="str">
        <f>IF($C376="","",IFERROR(LOOKUP(2,1/('03_Warehouse_Movements'!$C$2:$C$500=$A376),'03_Warehouse_Movements'!$E$2:$E$500),$C376))</f>
        <v/>
      </c>
      <c r="E376" t="s">
        <v>209</v>
      </c>
      <c r="G376" s="34"/>
      <c r="H376" s="33" t="str">
        <f t="shared" si="10"/>
        <v/>
      </c>
      <c r="I376" s="31"/>
      <c r="J376" s="31"/>
      <c r="K376" s="33"/>
      <c r="M376" s="69" t="str">
        <f>IF($C376="","",IFERROR(LOOKUP(2,1/('03_Warehouse_Movements'!$C$2:$C$500=$A376),'03_Warehouse_Movements'!$A$2:$A$500),""))</f>
        <v/>
      </c>
      <c r="N376" t="str">
        <f>IF($C376="","",IFERROR(LOOKUP(2,1/('03_Warehouse_Movements'!$C$2:$C$500=$A376),'03_Warehouse_Movements'!$H$2:$H$500),""))</f>
        <v/>
      </c>
      <c r="O376" t="str">
        <f t="shared" si="11"/>
        <v>PAL-0000376</v>
      </c>
      <c r="Q376" s="34"/>
      <c r="R376" s="33"/>
      <c r="W376">
        <f>IF($A2="","",COUNTIF('07_Pallet_Contents'!$A$2:$A$3000,$A2))</f>
        <v>0</v>
      </c>
      <c r="X376">
        <f>IF($A2="","",SUMIF('07_Pallet_Contents'!$A$2:$A$3000,$A2,'07_Pallet_Contents'!$D$2:$D$3000))</f>
        <v>0</v>
      </c>
      <c r="Y376">
        <f>IF($A2="","",SUMIF('07_Pallet_Contents'!$A$2:$A$3000,$A2,'07_Pallet_Contents'!$I$2:$I$3000))</f>
        <v>0</v>
      </c>
      <c r="Z376" t="str">
        <f>IF($A2="","",IF(COUNTIF('07_Pallet_Contents'!$A$2:$A$3000,$A2)&gt;0,"Yes",""))</f>
        <v/>
      </c>
    </row>
    <row r="377" spans="1:26">
      <c r="A377" s="4" t="s">
        <v>687</v>
      </c>
      <c r="B377" s="31"/>
      <c r="D377" t="str">
        <f>IF($C377="","",IFERROR(LOOKUP(2,1/('03_Warehouse_Movements'!$C$2:$C$500=$A377),'03_Warehouse_Movements'!$E$2:$E$500),$C377))</f>
        <v/>
      </c>
      <c r="E377" t="s">
        <v>209</v>
      </c>
      <c r="G377" s="34"/>
      <c r="H377" s="33" t="str">
        <f t="shared" si="10"/>
        <v/>
      </c>
      <c r="I377" s="31"/>
      <c r="J377" s="31"/>
      <c r="K377" s="33"/>
      <c r="M377" s="69" t="str">
        <f>IF($C377="","",IFERROR(LOOKUP(2,1/('03_Warehouse_Movements'!$C$2:$C$500=$A377),'03_Warehouse_Movements'!$A$2:$A$500),""))</f>
        <v/>
      </c>
      <c r="N377" t="str">
        <f>IF($C377="","",IFERROR(LOOKUP(2,1/('03_Warehouse_Movements'!$C$2:$C$500=$A377),'03_Warehouse_Movements'!$H$2:$H$500),""))</f>
        <v/>
      </c>
      <c r="O377" t="str">
        <f t="shared" si="11"/>
        <v>PAL-0000377</v>
      </c>
      <c r="Q377" s="34"/>
      <c r="R377" s="33"/>
      <c r="W377">
        <f>IF($A2="","",COUNTIF('07_Pallet_Contents'!$A$2:$A$3000,$A2))</f>
        <v>0</v>
      </c>
      <c r="X377">
        <f>IF($A2="","",SUMIF('07_Pallet_Contents'!$A$2:$A$3000,$A2,'07_Pallet_Contents'!$D$2:$D$3000))</f>
        <v>0</v>
      </c>
      <c r="Y377">
        <f>IF($A2="","",SUMIF('07_Pallet_Contents'!$A$2:$A$3000,$A2,'07_Pallet_Contents'!$I$2:$I$3000))</f>
        <v>0</v>
      </c>
      <c r="Z377" t="str">
        <f>IF($A2="","",IF(COUNTIF('07_Pallet_Contents'!$A$2:$A$3000,$A2)&gt;0,"Yes",""))</f>
        <v/>
      </c>
    </row>
    <row r="378" spans="1:26">
      <c r="A378" s="4" t="s">
        <v>688</v>
      </c>
      <c r="B378" s="31"/>
      <c r="D378" t="str">
        <f>IF($C378="","",IFERROR(LOOKUP(2,1/('03_Warehouse_Movements'!$C$2:$C$500=$A378),'03_Warehouse_Movements'!$E$2:$E$500),$C378))</f>
        <v/>
      </c>
      <c r="E378" t="s">
        <v>209</v>
      </c>
      <c r="G378" s="34"/>
      <c r="H378" s="33" t="str">
        <f t="shared" si="10"/>
        <v/>
      </c>
      <c r="I378" s="31"/>
      <c r="J378" s="31"/>
      <c r="K378" s="33"/>
      <c r="M378" s="69" t="str">
        <f>IF($C378="","",IFERROR(LOOKUP(2,1/('03_Warehouse_Movements'!$C$2:$C$500=$A378),'03_Warehouse_Movements'!$A$2:$A$500),""))</f>
        <v/>
      </c>
      <c r="N378" t="str">
        <f>IF($C378="","",IFERROR(LOOKUP(2,1/('03_Warehouse_Movements'!$C$2:$C$500=$A378),'03_Warehouse_Movements'!$H$2:$H$500),""))</f>
        <v/>
      </c>
      <c r="O378" t="str">
        <f t="shared" si="11"/>
        <v>PAL-0000378</v>
      </c>
      <c r="Q378" s="34"/>
      <c r="R378" s="33"/>
      <c r="W378">
        <f>IF($A2="","",COUNTIF('07_Pallet_Contents'!$A$2:$A$3000,$A2))</f>
        <v>0</v>
      </c>
      <c r="X378">
        <f>IF($A2="","",SUMIF('07_Pallet_Contents'!$A$2:$A$3000,$A2,'07_Pallet_Contents'!$D$2:$D$3000))</f>
        <v>0</v>
      </c>
      <c r="Y378">
        <f>IF($A2="","",SUMIF('07_Pallet_Contents'!$A$2:$A$3000,$A2,'07_Pallet_Contents'!$I$2:$I$3000))</f>
        <v>0</v>
      </c>
      <c r="Z378" t="str">
        <f>IF($A2="","",IF(COUNTIF('07_Pallet_Contents'!$A$2:$A$3000,$A2)&gt;0,"Yes",""))</f>
        <v/>
      </c>
    </row>
    <row r="379" spans="1:26">
      <c r="A379" s="4" t="s">
        <v>689</v>
      </c>
      <c r="B379" s="31"/>
      <c r="D379" t="str">
        <f>IF($C379="","",IFERROR(LOOKUP(2,1/('03_Warehouse_Movements'!$C$2:$C$500=$A379),'03_Warehouse_Movements'!$E$2:$E$500),$C379))</f>
        <v/>
      </c>
      <c r="E379" t="s">
        <v>209</v>
      </c>
      <c r="G379" s="34"/>
      <c r="H379" s="33" t="str">
        <f t="shared" si="10"/>
        <v/>
      </c>
      <c r="I379" s="31"/>
      <c r="J379" s="31"/>
      <c r="K379" s="33"/>
      <c r="M379" s="69" t="str">
        <f>IF($C379="","",IFERROR(LOOKUP(2,1/('03_Warehouse_Movements'!$C$2:$C$500=$A379),'03_Warehouse_Movements'!$A$2:$A$500),""))</f>
        <v/>
      </c>
      <c r="N379" t="str">
        <f>IF($C379="","",IFERROR(LOOKUP(2,1/('03_Warehouse_Movements'!$C$2:$C$500=$A379),'03_Warehouse_Movements'!$H$2:$H$500),""))</f>
        <v/>
      </c>
      <c r="O379" t="str">
        <f t="shared" si="11"/>
        <v>PAL-0000379</v>
      </c>
      <c r="Q379" s="34"/>
      <c r="R379" s="33"/>
      <c r="W379">
        <f>IF($A2="","",COUNTIF('07_Pallet_Contents'!$A$2:$A$3000,$A2))</f>
        <v>0</v>
      </c>
      <c r="X379">
        <f>IF($A2="","",SUMIF('07_Pallet_Contents'!$A$2:$A$3000,$A2,'07_Pallet_Contents'!$D$2:$D$3000))</f>
        <v>0</v>
      </c>
      <c r="Y379">
        <f>IF($A2="","",SUMIF('07_Pallet_Contents'!$A$2:$A$3000,$A2,'07_Pallet_Contents'!$I$2:$I$3000))</f>
        <v>0</v>
      </c>
      <c r="Z379" t="str">
        <f>IF($A2="","",IF(COUNTIF('07_Pallet_Contents'!$A$2:$A$3000,$A2)&gt;0,"Yes",""))</f>
        <v/>
      </c>
    </row>
    <row r="380" spans="1:26">
      <c r="A380" s="4" t="s">
        <v>690</v>
      </c>
      <c r="B380" s="31"/>
      <c r="D380" t="str">
        <f>IF($C380="","",IFERROR(LOOKUP(2,1/('03_Warehouse_Movements'!$C$2:$C$500=$A380),'03_Warehouse_Movements'!$E$2:$E$500),$C380))</f>
        <v/>
      </c>
      <c r="E380" t="s">
        <v>209</v>
      </c>
      <c r="G380" s="34"/>
      <c r="H380" s="33" t="str">
        <f t="shared" si="10"/>
        <v/>
      </c>
      <c r="I380" s="31"/>
      <c r="J380" s="31"/>
      <c r="K380" s="33"/>
      <c r="M380" s="69" t="str">
        <f>IF($C380="","",IFERROR(LOOKUP(2,1/('03_Warehouse_Movements'!$C$2:$C$500=$A380),'03_Warehouse_Movements'!$A$2:$A$500),""))</f>
        <v/>
      </c>
      <c r="N380" t="str">
        <f>IF($C380="","",IFERROR(LOOKUP(2,1/('03_Warehouse_Movements'!$C$2:$C$500=$A380),'03_Warehouse_Movements'!$H$2:$H$500),""))</f>
        <v/>
      </c>
      <c r="O380" t="str">
        <f t="shared" si="11"/>
        <v>PAL-0000380</v>
      </c>
      <c r="Q380" s="34"/>
      <c r="R380" s="33"/>
      <c r="W380">
        <f>IF($A2="","",COUNTIF('07_Pallet_Contents'!$A$2:$A$3000,$A2))</f>
        <v>0</v>
      </c>
      <c r="X380">
        <f>IF($A2="","",SUMIF('07_Pallet_Contents'!$A$2:$A$3000,$A2,'07_Pallet_Contents'!$D$2:$D$3000))</f>
        <v>0</v>
      </c>
      <c r="Y380">
        <f>IF($A2="","",SUMIF('07_Pallet_Contents'!$A$2:$A$3000,$A2,'07_Pallet_Contents'!$I$2:$I$3000))</f>
        <v>0</v>
      </c>
      <c r="Z380" t="str">
        <f>IF($A2="","",IF(COUNTIF('07_Pallet_Contents'!$A$2:$A$3000,$A2)&gt;0,"Yes",""))</f>
        <v/>
      </c>
    </row>
    <row r="381" spans="1:26">
      <c r="A381" s="4" t="s">
        <v>691</v>
      </c>
      <c r="B381" s="31"/>
      <c r="D381" t="str">
        <f>IF($C381="","",IFERROR(LOOKUP(2,1/('03_Warehouse_Movements'!$C$2:$C$500=$A381),'03_Warehouse_Movements'!$E$2:$E$500),$C381))</f>
        <v/>
      </c>
      <c r="E381" t="s">
        <v>209</v>
      </c>
      <c r="G381" s="34"/>
      <c r="H381" s="33" t="str">
        <f t="shared" si="10"/>
        <v/>
      </c>
      <c r="I381" s="31"/>
      <c r="J381" s="31"/>
      <c r="K381" s="33"/>
      <c r="M381" s="69" t="str">
        <f>IF($C381="","",IFERROR(LOOKUP(2,1/('03_Warehouse_Movements'!$C$2:$C$500=$A381),'03_Warehouse_Movements'!$A$2:$A$500),""))</f>
        <v/>
      </c>
      <c r="N381" t="str">
        <f>IF($C381="","",IFERROR(LOOKUP(2,1/('03_Warehouse_Movements'!$C$2:$C$500=$A381),'03_Warehouse_Movements'!$H$2:$H$500),""))</f>
        <v/>
      </c>
      <c r="O381" t="str">
        <f t="shared" si="11"/>
        <v>PAL-0000381</v>
      </c>
      <c r="Q381" s="34"/>
      <c r="R381" s="33"/>
      <c r="W381">
        <f>IF($A2="","",COUNTIF('07_Pallet_Contents'!$A$2:$A$3000,$A2))</f>
        <v>0</v>
      </c>
      <c r="X381">
        <f>IF($A2="","",SUMIF('07_Pallet_Contents'!$A$2:$A$3000,$A2,'07_Pallet_Contents'!$D$2:$D$3000))</f>
        <v>0</v>
      </c>
      <c r="Y381">
        <f>IF($A2="","",SUMIF('07_Pallet_Contents'!$A$2:$A$3000,$A2,'07_Pallet_Contents'!$I$2:$I$3000))</f>
        <v>0</v>
      </c>
      <c r="Z381" t="str">
        <f>IF($A2="","",IF(COUNTIF('07_Pallet_Contents'!$A$2:$A$3000,$A2)&gt;0,"Yes",""))</f>
        <v/>
      </c>
    </row>
    <row r="382" spans="1:26">
      <c r="A382" s="4" t="s">
        <v>692</v>
      </c>
      <c r="B382" s="31"/>
      <c r="D382" t="str">
        <f>IF($C382="","",IFERROR(LOOKUP(2,1/('03_Warehouse_Movements'!$C$2:$C$500=$A382),'03_Warehouse_Movements'!$E$2:$E$500),$C382))</f>
        <v/>
      </c>
      <c r="E382" t="s">
        <v>209</v>
      </c>
      <c r="G382" s="34"/>
      <c r="H382" s="33" t="str">
        <f t="shared" si="10"/>
        <v/>
      </c>
      <c r="I382" s="31"/>
      <c r="J382" s="31"/>
      <c r="K382" s="33"/>
      <c r="M382" s="69" t="str">
        <f>IF($C382="","",IFERROR(LOOKUP(2,1/('03_Warehouse_Movements'!$C$2:$C$500=$A382),'03_Warehouse_Movements'!$A$2:$A$500),""))</f>
        <v/>
      </c>
      <c r="N382" t="str">
        <f>IF($C382="","",IFERROR(LOOKUP(2,1/('03_Warehouse_Movements'!$C$2:$C$500=$A382),'03_Warehouse_Movements'!$H$2:$H$500),""))</f>
        <v/>
      </c>
      <c r="O382" t="str">
        <f t="shared" si="11"/>
        <v>PAL-0000382</v>
      </c>
      <c r="Q382" s="34"/>
      <c r="R382" s="33"/>
      <c r="W382">
        <f>IF($A2="","",COUNTIF('07_Pallet_Contents'!$A$2:$A$3000,$A2))</f>
        <v>0</v>
      </c>
      <c r="X382">
        <f>IF($A2="","",SUMIF('07_Pallet_Contents'!$A$2:$A$3000,$A2,'07_Pallet_Contents'!$D$2:$D$3000))</f>
        <v>0</v>
      </c>
      <c r="Y382">
        <f>IF($A2="","",SUMIF('07_Pallet_Contents'!$A$2:$A$3000,$A2,'07_Pallet_Contents'!$I$2:$I$3000))</f>
        <v>0</v>
      </c>
      <c r="Z382" t="str">
        <f>IF($A2="","",IF(COUNTIF('07_Pallet_Contents'!$A$2:$A$3000,$A2)&gt;0,"Yes",""))</f>
        <v/>
      </c>
    </row>
    <row r="383" spans="1:26">
      <c r="A383" s="4" t="s">
        <v>693</v>
      </c>
      <c r="B383" s="31"/>
      <c r="D383" t="str">
        <f>IF($C383="","",IFERROR(LOOKUP(2,1/('03_Warehouse_Movements'!$C$2:$C$500=$A383),'03_Warehouse_Movements'!$E$2:$E$500),$C383))</f>
        <v/>
      </c>
      <c r="E383" t="s">
        <v>209</v>
      </c>
      <c r="G383" s="34"/>
      <c r="H383" s="33" t="str">
        <f t="shared" si="10"/>
        <v/>
      </c>
      <c r="I383" s="31"/>
      <c r="J383" s="31"/>
      <c r="K383" s="33"/>
      <c r="M383" s="69" t="str">
        <f>IF($C383="","",IFERROR(LOOKUP(2,1/('03_Warehouse_Movements'!$C$2:$C$500=$A383),'03_Warehouse_Movements'!$A$2:$A$500),""))</f>
        <v/>
      </c>
      <c r="N383" t="str">
        <f>IF($C383="","",IFERROR(LOOKUP(2,1/('03_Warehouse_Movements'!$C$2:$C$500=$A383),'03_Warehouse_Movements'!$H$2:$H$500),""))</f>
        <v/>
      </c>
      <c r="O383" t="str">
        <f t="shared" si="11"/>
        <v>PAL-0000383</v>
      </c>
      <c r="Q383" s="34"/>
      <c r="R383" s="33"/>
      <c r="W383">
        <f>IF($A2="","",COUNTIF('07_Pallet_Contents'!$A$2:$A$3000,$A2))</f>
        <v>0</v>
      </c>
      <c r="X383">
        <f>IF($A2="","",SUMIF('07_Pallet_Contents'!$A$2:$A$3000,$A2,'07_Pallet_Contents'!$D$2:$D$3000))</f>
        <v>0</v>
      </c>
      <c r="Y383">
        <f>IF($A2="","",SUMIF('07_Pallet_Contents'!$A$2:$A$3000,$A2,'07_Pallet_Contents'!$I$2:$I$3000))</f>
        <v>0</v>
      </c>
      <c r="Z383" t="str">
        <f>IF($A2="","",IF(COUNTIF('07_Pallet_Contents'!$A$2:$A$3000,$A2)&gt;0,"Yes",""))</f>
        <v/>
      </c>
    </row>
    <row r="384" spans="1:26">
      <c r="A384" s="4" t="s">
        <v>694</v>
      </c>
      <c r="B384" s="31"/>
      <c r="D384" t="str">
        <f>IF($C384="","",IFERROR(LOOKUP(2,1/('03_Warehouse_Movements'!$C$2:$C$500=$A384),'03_Warehouse_Movements'!$E$2:$E$500),$C384))</f>
        <v/>
      </c>
      <c r="E384" t="s">
        <v>209</v>
      </c>
      <c r="G384" s="34"/>
      <c r="H384" s="33" t="str">
        <f t="shared" si="10"/>
        <v/>
      </c>
      <c r="I384" s="31"/>
      <c r="J384" s="31"/>
      <c r="K384" s="33"/>
      <c r="M384" s="69" t="str">
        <f>IF($C384="","",IFERROR(LOOKUP(2,1/('03_Warehouse_Movements'!$C$2:$C$500=$A384),'03_Warehouse_Movements'!$A$2:$A$500),""))</f>
        <v/>
      </c>
      <c r="N384" t="str">
        <f>IF($C384="","",IFERROR(LOOKUP(2,1/('03_Warehouse_Movements'!$C$2:$C$500=$A384),'03_Warehouse_Movements'!$H$2:$H$500),""))</f>
        <v/>
      </c>
      <c r="O384" t="str">
        <f t="shared" si="11"/>
        <v>PAL-0000384</v>
      </c>
      <c r="Q384" s="34"/>
      <c r="R384" s="33"/>
      <c r="W384">
        <f>IF($A2="","",COUNTIF('07_Pallet_Contents'!$A$2:$A$3000,$A2))</f>
        <v>0</v>
      </c>
      <c r="X384">
        <f>IF($A2="","",SUMIF('07_Pallet_Contents'!$A$2:$A$3000,$A2,'07_Pallet_Contents'!$D$2:$D$3000))</f>
        <v>0</v>
      </c>
      <c r="Y384">
        <f>IF($A2="","",SUMIF('07_Pallet_Contents'!$A$2:$A$3000,$A2,'07_Pallet_Contents'!$I$2:$I$3000))</f>
        <v>0</v>
      </c>
      <c r="Z384" t="str">
        <f>IF($A2="","",IF(COUNTIF('07_Pallet_Contents'!$A$2:$A$3000,$A2)&gt;0,"Yes",""))</f>
        <v/>
      </c>
    </row>
    <row r="385" spans="1:26">
      <c r="A385" s="4" t="s">
        <v>695</v>
      </c>
      <c r="B385" s="31"/>
      <c r="D385" t="str">
        <f>IF($C385="","",IFERROR(LOOKUP(2,1/('03_Warehouse_Movements'!$C$2:$C$500=$A385),'03_Warehouse_Movements'!$E$2:$E$500),$C385))</f>
        <v/>
      </c>
      <c r="E385" t="s">
        <v>209</v>
      </c>
      <c r="G385" s="34"/>
      <c r="H385" s="33" t="str">
        <f t="shared" si="10"/>
        <v/>
      </c>
      <c r="I385" s="31"/>
      <c r="J385" s="31"/>
      <c r="K385" s="33"/>
      <c r="M385" s="69" t="str">
        <f>IF($C385="","",IFERROR(LOOKUP(2,1/('03_Warehouse_Movements'!$C$2:$C$500=$A385),'03_Warehouse_Movements'!$A$2:$A$500),""))</f>
        <v/>
      </c>
      <c r="N385" t="str">
        <f>IF($C385="","",IFERROR(LOOKUP(2,1/('03_Warehouse_Movements'!$C$2:$C$500=$A385),'03_Warehouse_Movements'!$H$2:$H$500),""))</f>
        <v/>
      </c>
      <c r="O385" t="str">
        <f t="shared" si="11"/>
        <v>PAL-0000385</v>
      </c>
      <c r="Q385" s="34"/>
      <c r="R385" s="33"/>
      <c r="W385">
        <f>IF($A2="","",COUNTIF('07_Pallet_Contents'!$A$2:$A$3000,$A2))</f>
        <v>0</v>
      </c>
      <c r="X385">
        <f>IF($A2="","",SUMIF('07_Pallet_Contents'!$A$2:$A$3000,$A2,'07_Pallet_Contents'!$D$2:$D$3000))</f>
        <v>0</v>
      </c>
      <c r="Y385">
        <f>IF($A2="","",SUMIF('07_Pallet_Contents'!$A$2:$A$3000,$A2,'07_Pallet_Contents'!$I$2:$I$3000))</f>
        <v>0</v>
      </c>
      <c r="Z385" t="str">
        <f>IF($A2="","",IF(COUNTIF('07_Pallet_Contents'!$A$2:$A$3000,$A2)&gt;0,"Yes",""))</f>
        <v/>
      </c>
    </row>
    <row r="386" spans="1:26">
      <c r="A386" s="4" t="s">
        <v>696</v>
      </c>
      <c r="B386" s="31"/>
      <c r="D386" t="str">
        <f>IF($C386="","",IFERROR(LOOKUP(2,1/('03_Warehouse_Movements'!$C$2:$C$500=$A386),'03_Warehouse_Movements'!$E$2:$E$500),$C386))</f>
        <v/>
      </c>
      <c r="E386" t="s">
        <v>209</v>
      </c>
      <c r="G386" s="34"/>
      <c r="H386" s="33" t="str">
        <f t="shared" ref="H386:H449" si="12">IF(AND($F386="TEMP",$G386&gt;0,$M386&lt;&gt;""),$M386+$G386,"")</f>
        <v/>
      </c>
      <c r="I386" s="31"/>
      <c r="J386" s="31"/>
      <c r="K386" s="33"/>
      <c r="M386" s="69" t="str">
        <f>IF($C386="","",IFERROR(LOOKUP(2,1/('03_Warehouse_Movements'!$C$2:$C$500=$A386),'03_Warehouse_Movements'!$A$2:$A$500),""))</f>
        <v/>
      </c>
      <c r="N386" t="str">
        <f>IF($C386="","",IFERROR(LOOKUP(2,1/('03_Warehouse_Movements'!$C$2:$C$500=$A386),'03_Warehouse_Movements'!$H$2:$H$500),""))</f>
        <v/>
      </c>
      <c r="O386" t="str">
        <f t="shared" ref="O386:O449" si="13">A386</f>
        <v>PAL-0000386</v>
      </c>
      <c r="Q386" s="34"/>
      <c r="R386" s="33"/>
      <c r="W386">
        <f>IF($A2="","",COUNTIF('07_Pallet_Contents'!$A$2:$A$3000,$A2))</f>
        <v>0</v>
      </c>
      <c r="X386">
        <f>IF($A2="","",SUMIF('07_Pallet_Contents'!$A$2:$A$3000,$A2,'07_Pallet_Contents'!$D$2:$D$3000))</f>
        <v>0</v>
      </c>
      <c r="Y386">
        <f>IF($A2="","",SUMIF('07_Pallet_Contents'!$A$2:$A$3000,$A2,'07_Pallet_Contents'!$I$2:$I$3000))</f>
        <v>0</v>
      </c>
      <c r="Z386" t="str">
        <f>IF($A2="","",IF(COUNTIF('07_Pallet_Contents'!$A$2:$A$3000,$A2)&gt;0,"Yes",""))</f>
        <v/>
      </c>
    </row>
    <row r="387" spans="1:26">
      <c r="A387" s="4" t="s">
        <v>697</v>
      </c>
      <c r="B387" s="31"/>
      <c r="D387" t="str">
        <f>IF($C387="","",IFERROR(LOOKUP(2,1/('03_Warehouse_Movements'!$C$2:$C$500=$A387),'03_Warehouse_Movements'!$E$2:$E$500),$C387))</f>
        <v/>
      </c>
      <c r="E387" t="s">
        <v>209</v>
      </c>
      <c r="G387" s="34"/>
      <c r="H387" s="33" t="str">
        <f t="shared" si="12"/>
        <v/>
      </c>
      <c r="I387" s="31"/>
      <c r="J387" s="31"/>
      <c r="K387" s="33"/>
      <c r="M387" s="69" t="str">
        <f>IF($C387="","",IFERROR(LOOKUP(2,1/('03_Warehouse_Movements'!$C$2:$C$500=$A387),'03_Warehouse_Movements'!$A$2:$A$500),""))</f>
        <v/>
      </c>
      <c r="N387" t="str">
        <f>IF($C387="","",IFERROR(LOOKUP(2,1/('03_Warehouse_Movements'!$C$2:$C$500=$A387),'03_Warehouse_Movements'!$H$2:$H$500),""))</f>
        <v/>
      </c>
      <c r="O387" t="str">
        <f t="shared" si="13"/>
        <v>PAL-0000387</v>
      </c>
      <c r="Q387" s="34"/>
      <c r="R387" s="33"/>
      <c r="W387">
        <f>IF($A2="","",COUNTIF('07_Pallet_Contents'!$A$2:$A$3000,$A2))</f>
        <v>0</v>
      </c>
      <c r="X387">
        <f>IF($A2="","",SUMIF('07_Pallet_Contents'!$A$2:$A$3000,$A2,'07_Pallet_Contents'!$D$2:$D$3000))</f>
        <v>0</v>
      </c>
      <c r="Y387">
        <f>IF($A2="","",SUMIF('07_Pallet_Contents'!$A$2:$A$3000,$A2,'07_Pallet_Contents'!$I$2:$I$3000))</f>
        <v>0</v>
      </c>
      <c r="Z387" t="str">
        <f>IF($A2="","",IF(COUNTIF('07_Pallet_Contents'!$A$2:$A$3000,$A2)&gt;0,"Yes",""))</f>
        <v/>
      </c>
    </row>
    <row r="388" spans="1:26">
      <c r="A388" s="4" t="s">
        <v>698</v>
      </c>
      <c r="B388" s="31"/>
      <c r="D388" t="str">
        <f>IF($C388="","",IFERROR(LOOKUP(2,1/('03_Warehouse_Movements'!$C$2:$C$500=$A388),'03_Warehouse_Movements'!$E$2:$E$500),$C388))</f>
        <v/>
      </c>
      <c r="E388" t="s">
        <v>209</v>
      </c>
      <c r="G388" s="34"/>
      <c r="H388" s="33" t="str">
        <f t="shared" si="12"/>
        <v/>
      </c>
      <c r="I388" s="31"/>
      <c r="J388" s="31"/>
      <c r="K388" s="33"/>
      <c r="M388" s="69" t="str">
        <f>IF($C388="","",IFERROR(LOOKUP(2,1/('03_Warehouse_Movements'!$C$2:$C$500=$A388),'03_Warehouse_Movements'!$A$2:$A$500),""))</f>
        <v/>
      </c>
      <c r="N388" t="str">
        <f>IF($C388="","",IFERROR(LOOKUP(2,1/('03_Warehouse_Movements'!$C$2:$C$500=$A388),'03_Warehouse_Movements'!$H$2:$H$500),""))</f>
        <v/>
      </c>
      <c r="O388" t="str">
        <f t="shared" si="13"/>
        <v>PAL-0000388</v>
      </c>
      <c r="Q388" s="34"/>
      <c r="R388" s="33"/>
      <c r="W388">
        <f>IF($A2="","",COUNTIF('07_Pallet_Contents'!$A$2:$A$3000,$A2))</f>
        <v>0</v>
      </c>
      <c r="X388">
        <f>IF($A2="","",SUMIF('07_Pallet_Contents'!$A$2:$A$3000,$A2,'07_Pallet_Contents'!$D$2:$D$3000))</f>
        <v>0</v>
      </c>
      <c r="Y388">
        <f>IF($A2="","",SUMIF('07_Pallet_Contents'!$A$2:$A$3000,$A2,'07_Pallet_Contents'!$I$2:$I$3000))</f>
        <v>0</v>
      </c>
      <c r="Z388" t="str">
        <f>IF($A2="","",IF(COUNTIF('07_Pallet_Contents'!$A$2:$A$3000,$A2)&gt;0,"Yes",""))</f>
        <v/>
      </c>
    </row>
    <row r="389" spans="1:26">
      <c r="A389" s="4" t="s">
        <v>699</v>
      </c>
      <c r="B389" s="31"/>
      <c r="D389" t="str">
        <f>IF($C389="","",IFERROR(LOOKUP(2,1/('03_Warehouse_Movements'!$C$2:$C$500=$A389),'03_Warehouse_Movements'!$E$2:$E$500),$C389))</f>
        <v/>
      </c>
      <c r="E389" t="s">
        <v>209</v>
      </c>
      <c r="G389" s="34"/>
      <c r="H389" s="33" t="str">
        <f t="shared" si="12"/>
        <v/>
      </c>
      <c r="I389" s="31"/>
      <c r="J389" s="31"/>
      <c r="K389" s="33"/>
      <c r="M389" s="69" t="str">
        <f>IF($C389="","",IFERROR(LOOKUP(2,1/('03_Warehouse_Movements'!$C$2:$C$500=$A389),'03_Warehouse_Movements'!$A$2:$A$500),""))</f>
        <v/>
      </c>
      <c r="N389" t="str">
        <f>IF($C389="","",IFERROR(LOOKUP(2,1/('03_Warehouse_Movements'!$C$2:$C$500=$A389),'03_Warehouse_Movements'!$H$2:$H$500),""))</f>
        <v/>
      </c>
      <c r="O389" t="str">
        <f t="shared" si="13"/>
        <v>PAL-0000389</v>
      </c>
      <c r="Q389" s="34"/>
      <c r="R389" s="33"/>
      <c r="W389">
        <f>IF($A2="","",COUNTIF('07_Pallet_Contents'!$A$2:$A$3000,$A2))</f>
        <v>0</v>
      </c>
      <c r="X389">
        <f>IF($A2="","",SUMIF('07_Pallet_Contents'!$A$2:$A$3000,$A2,'07_Pallet_Contents'!$D$2:$D$3000))</f>
        <v>0</v>
      </c>
      <c r="Y389">
        <f>IF($A2="","",SUMIF('07_Pallet_Contents'!$A$2:$A$3000,$A2,'07_Pallet_Contents'!$I$2:$I$3000))</f>
        <v>0</v>
      </c>
      <c r="Z389" t="str">
        <f>IF($A2="","",IF(COUNTIF('07_Pallet_Contents'!$A$2:$A$3000,$A2)&gt;0,"Yes",""))</f>
        <v/>
      </c>
    </row>
    <row r="390" spans="1:26">
      <c r="A390" s="4" t="s">
        <v>700</v>
      </c>
      <c r="B390" s="31"/>
      <c r="D390" t="str">
        <f>IF($C390="","",IFERROR(LOOKUP(2,1/('03_Warehouse_Movements'!$C$2:$C$500=$A390),'03_Warehouse_Movements'!$E$2:$E$500),$C390))</f>
        <v/>
      </c>
      <c r="E390" t="s">
        <v>209</v>
      </c>
      <c r="G390" s="34"/>
      <c r="H390" s="33" t="str">
        <f t="shared" si="12"/>
        <v/>
      </c>
      <c r="I390" s="31"/>
      <c r="J390" s="31"/>
      <c r="K390" s="33"/>
      <c r="M390" s="69" t="str">
        <f>IF($C390="","",IFERROR(LOOKUP(2,1/('03_Warehouse_Movements'!$C$2:$C$500=$A390),'03_Warehouse_Movements'!$A$2:$A$500),""))</f>
        <v/>
      </c>
      <c r="N390" t="str">
        <f>IF($C390="","",IFERROR(LOOKUP(2,1/('03_Warehouse_Movements'!$C$2:$C$500=$A390),'03_Warehouse_Movements'!$H$2:$H$500),""))</f>
        <v/>
      </c>
      <c r="O390" t="str">
        <f t="shared" si="13"/>
        <v>PAL-0000390</v>
      </c>
      <c r="Q390" s="34"/>
      <c r="R390" s="33"/>
      <c r="W390">
        <f>IF($A2="","",COUNTIF('07_Pallet_Contents'!$A$2:$A$3000,$A2))</f>
        <v>0</v>
      </c>
      <c r="X390">
        <f>IF($A2="","",SUMIF('07_Pallet_Contents'!$A$2:$A$3000,$A2,'07_Pallet_Contents'!$D$2:$D$3000))</f>
        <v>0</v>
      </c>
      <c r="Y390">
        <f>IF($A2="","",SUMIF('07_Pallet_Contents'!$A$2:$A$3000,$A2,'07_Pallet_Contents'!$I$2:$I$3000))</f>
        <v>0</v>
      </c>
      <c r="Z390" t="str">
        <f>IF($A2="","",IF(COUNTIF('07_Pallet_Contents'!$A$2:$A$3000,$A2)&gt;0,"Yes",""))</f>
        <v/>
      </c>
    </row>
    <row r="391" spans="1:26">
      <c r="A391" s="4" t="s">
        <v>701</v>
      </c>
      <c r="B391" s="31"/>
      <c r="D391" t="str">
        <f>IF($C391="","",IFERROR(LOOKUP(2,1/('03_Warehouse_Movements'!$C$2:$C$500=$A391),'03_Warehouse_Movements'!$E$2:$E$500),$C391))</f>
        <v/>
      </c>
      <c r="E391" t="s">
        <v>209</v>
      </c>
      <c r="G391" s="34"/>
      <c r="H391" s="33" t="str">
        <f t="shared" si="12"/>
        <v/>
      </c>
      <c r="I391" s="31"/>
      <c r="J391" s="31"/>
      <c r="K391" s="33"/>
      <c r="M391" s="69" t="str">
        <f>IF($C391="","",IFERROR(LOOKUP(2,1/('03_Warehouse_Movements'!$C$2:$C$500=$A391),'03_Warehouse_Movements'!$A$2:$A$500),""))</f>
        <v/>
      </c>
      <c r="N391" t="str">
        <f>IF($C391="","",IFERROR(LOOKUP(2,1/('03_Warehouse_Movements'!$C$2:$C$500=$A391),'03_Warehouse_Movements'!$H$2:$H$500),""))</f>
        <v/>
      </c>
      <c r="O391" t="str">
        <f t="shared" si="13"/>
        <v>PAL-0000391</v>
      </c>
      <c r="Q391" s="34"/>
      <c r="R391" s="33"/>
      <c r="W391">
        <f>IF($A2="","",COUNTIF('07_Pallet_Contents'!$A$2:$A$3000,$A2))</f>
        <v>0</v>
      </c>
      <c r="X391">
        <f>IF($A2="","",SUMIF('07_Pallet_Contents'!$A$2:$A$3000,$A2,'07_Pallet_Contents'!$D$2:$D$3000))</f>
        <v>0</v>
      </c>
      <c r="Y391">
        <f>IF($A2="","",SUMIF('07_Pallet_Contents'!$A$2:$A$3000,$A2,'07_Pallet_Contents'!$I$2:$I$3000))</f>
        <v>0</v>
      </c>
      <c r="Z391" t="str">
        <f>IF($A2="","",IF(COUNTIF('07_Pallet_Contents'!$A$2:$A$3000,$A2)&gt;0,"Yes",""))</f>
        <v/>
      </c>
    </row>
    <row r="392" spans="1:26">
      <c r="A392" s="4" t="s">
        <v>702</v>
      </c>
      <c r="B392" s="31"/>
      <c r="D392" t="str">
        <f>IF($C392="","",IFERROR(LOOKUP(2,1/('03_Warehouse_Movements'!$C$2:$C$500=$A392),'03_Warehouse_Movements'!$E$2:$E$500),$C392))</f>
        <v/>
      </c>
      <c r="E392" t="s">
        <v>209</v>
      </c>
      <c r="G392" s="34"/>
      <c r="H392" s="33" t="str">
        <f t="shared" si="12"/>
        <v/>
      </c>
      <c r="I392" s="31"/>
      <c r="J392" s="31"/>
      <c r="K392" s="33"/>
      <c r="M392" s="69" t="str">
        <f>IF($C392="","",IFERROR(LOOKUP(2,1/('03_Warehouse_Movements'!$C$2:$C$500=$A392),'03_Warehouse_Movements'!$A$2:$A$500),""))</f>
        <v/>
      </c>
      <c r="N392" t="str">
        <f>IF($C392="","",IFERROR(LOOKUP(2,1/('03_Warehouse_Movements'!$C$2:$C$500=$A392),'03_Warehouse_Movements'!$H$2:$H$500),""))</f>
        <v/>
      </c>
      <c r="O392" t="str">
        <f t="shared" si="13"/>
        <v>PAL-0000392</v>
      </c>
      <c r="Q392" s="34"/>
      <c r="R392" s="33"/>
      <c r="W392">
        <f>IF($A2="","",COUNTIF('07_Pallet_Contents'!$A$2:$A$3000,$A2))</f>
        <v>0</v>
      </c>
      <c r="X392">
        <f>IF($A2="","",SUMIF('07_Pallet_Contents'!$A$2:$A$3000,$A2,'07_Pallet_Contents'!$D$2:$D$3000))</f>
        <v>0</v>
      </c>
      <c r="Y392">
        <f>IF($A2="","",SUMIF('07_Pallet_Contents'!$A$2:$A$3000,$A2,'07_Pallet_Contents'!$I$2:$I$3000))</f>
        <v>0</v>
      </c>
      <c r="Z392" t="str">
        <f>IF($A2="","",IF(COUNTIF('07_Pallet_Contents'!$A$2:$A$3000,$A2)&gt;0,"Yes",""))</f>
        <v/>
      </c>
    </row>
    <row r="393" spans="1:26">
      <c r="A393" s="4" t="s">
        <v>703</v>
      </c>
      <c r="B393" s="31"/>
      <c r="D393" t="str">
        <f>IF($C393="","",IFERROR(LOOKUP(2,1/('03_Warehouse_Movements'!$C$2:$C$500=$A393),'03_Warehouse_Movements'!$E$2:$E$500),$C393))</f>
        <v/>
      </c>
      <c r="E393" t="s">
        <v>209</v>
      </c>
      <c r="G393" s="34"/>
      <c r="H393" s="33" t="str">
        <f t="shared" si="12"/>
        <v/>
      </c>
      <c r="I393" s="31"/>
      <c r="J393" s="31"/>
      <c r="K393" s="33"/>
      <c r="M393" s="69" t="str">
        <f>IF($C393="","",IFERROR(LOOKUP(2,1/('03_Warehouse_Movements'!$C$2:$C$500=$A393),'03_Warehouse_Movements'!$A$2:$A$500),""))</f>
        <v/>
      </c>
      <c r="N393" t="str">
        <f>IF($C393="","",IFERROR(LOOKUP(2,1/('03_Warehouse_Movements'!$C$2:$C$500=$A393),'03_Warehouse_Movements'!$H$2:$H$500),""))</f>
        <v/>
      </c>
      <c r="O393" t="str">
        <f t="shared" si="13"/>
        <v>PAL-0000393</v>
      </c>
      <c r="Q393" s="34"/>
      <c r="R393" s="33"/>
      <c r="W393">
        <f>IF($A2="","",COUNTIF('07_Pallet_Contents'!$A$2:$A$3000,$A2))</f>
        <v>0</v>
      </c>
      <c r="X393">
        <f>IF($A2="","",SUMIF('07_Pallet_Contents'!$A$2:$A$3000,$A2,'07_Pallet_Contents'!$D$2:$D$3000))</f>
        <v>0</v>
      </c>
      <c r="Y393">
        <f>IF($A2="","",SUMIF('07_Pallet_Contents'!$A$2:$A$3000,$A2,'07_Pallet_Contents'!$I$2:$I$3000))</f>
        <v>0</v>
      </c>
      <c r="Z393" t="str">
        <f>IF($A2="","",IF(COUNTIF('07_Pallet_Contents'!$A$2:$A$3000,$A2)&gt;0,"Yes",""))</f>
        <v/>
      </c>
    </row>
    <row r="394" spans="1:26">
      <c r="A394" s="4" t="s">
        <v>704</v>
      </c>
      <c r="B394" s="31"/>
      <c r="D394" t="str">
        <f>IF($C394="","",IFERROR(LOOKUP(2,1/('03_Warehouse_Movements'!$C$2:$C$500=$A394),'03_Warehouse_Movements'!$E$2:$E$500),$C394))</f>
        <v/>
      </c>
      <c r="E394" t="s">
        <v>209</v>
      </c>
      <c r="G394" s="34"/>
      <c r="H394" s="33" t="str">
        <f t="shared" si="12"/>
        <v/>
      </c>
      <c r="I394" s="31"/>
      <c r="J394" s="31"/>
      <c r="K394" s="33"/>
      <c r="M394" s="69" t="str">
        <f>IF($C394="","",IFERROR(LOOKUP(2,1/('03_Warehouse_Movements'!$C$2:$C$500=$A394),'03_Warehouse_Movements'!$A$2:$A$500),""))</f>
        <v/>
      </c>
      <c r="N394" t="str">
        <f>IF($C394="","",IFERROR(LOOKUP(2,1/('03_Warehouse_Movements'!$C$2:$C$500=$A394),'03_Warehouse_Movements'!$H$2:$H$500),""))</f>
        <v/>
      </c>
      <c r="O394" t="str">
        <f t="shared" si="13"/>
        <v>PAL-0000394</v>
      </c>
      <c r="Q394" s="34"/>
      <c r="R394" s="33"/>
      <c r="W394">
        <f>IF($A2="","",COUNTIF('07_Pallet_Contents'!$A$2:$A$3000,$A2))</f>
        <v>0</v>
      </c>
      <c r="X394">
        <f>IF($A2="","",SUMIF('07_Pallet_Contents'!$A$2:$A$3000,$A2,'07_Pallet_Contents'!$D$2:$D$3000))</f>
        <v>0</v>
      </c>
      <c r="Y394">
        <f>IF($A2="","",SUMIF('07_Pallet_Contents'!$A$2:$A$3000,$A2,'07_Pallet_Contents'!$I$2:$I$3000))</f>
        <v>0</v>
      </c>
      <c r="Z394" t="str">
        <f>IF($A2="","",IF(COUNTIF('07_Pallet_Contents'!$A$2:$A$3000,$A2)&gt;0,"Yes",""))</f>
        <v/>
      </c>
    </row>
    <row r="395" spans="1:26">
      <c r="A395" s="4" t="s">
        <v>705</v>
      </c>
      <c r="B395" s="31"/>
      <c r="D395" t="str">
        <f>IF($C395="","",IFERROR(LOOKUP(2,1/('03_Warehouse_Movements'!$C$2:$C$500=$A395),'03_Warehouse_Movements'!$E$2:$E$500),$C395))</f>
        <v/>
      </c>
      <c r="E395" t="s">
        <v>209</v>
      </c>
      <c r="G395" s="34"/>
      <c r="H395" s="33" t="str">
        <f t="shared" si="12"/>
        <v/>
      </c>
      <c r="I395" s="31"/>
      <c r="J395" s="31"/>
      <c r="K395" s="33"/>
      <c r="M395" s="69" t="str">
        <f>IF($C395="","",IFERROR(LOOKUP(2,1/('03_Warehouse_Movements'!$C$2:$C$500=$A395),'03_Warehouse_Movements'!$A$2:$A$500),""))</f>
        <v/>
      </c>
      <c r="N395" t="str">
        <f>IF($C395="","",IFERROR(LOOKUP(2,1/('03_Warehouse_Movements'!$C$2:$C$500=$A395),'03_Warehouse_Movements'!$H$2:$H$500),""))</f>
        <v/>
      </c>
      <c r="O395" t="str">
        <f t="shared" si="13"/>
        <v>PAL-0000395</v>
      </c>
      <c r="Q395" s="34"/>
      <c r="R395" s="33"/>
      <c r="W395">
        <f>IF($A2="","",COUNTIF('07_Pallet_Contents'!$A$2:$A$3000,$A2))</f>
        <v>0</v>
      </c>
      <c r="X395">
        <f>IF($A2="","",SUMIF('07_Pallet_Contents'!$A$2:$A$3000,$A2,'07_Pallet_Contents'!$D$2:$D$3000))</f>
        <v>0</v>
      </c>
      <c r="Y395">
        <f>IF($A2="","",SUMIF('07_Pallet_Contents'!$A$2:$A$3000,$A2,'07_Pallet_Contents'!$I$2:$I$3000))</f>
        <v>0</v>
      </c>
      <c r="Z395" t="str">
        <f>IF($A2="","",IF(COUNTIF('07_Pallet_Contents'!$A$2:$A$3000,$A2)&gt;0,"Yes",""))</f>
        <v/>
      </c>
    </row>
    <row r="396" spans="1:26">
      <c r="A396" s="4" t="s">
        <v>706</v>
      </c>
      <c r="B396" s="31"/>
      <c r="D396" t="str">
        <f>IF($C396="","",IFERROR(LOOKUP(2,1/('03_Warehouse_Movements'!$C$2:$C$500=$A396),'03_Warehouse_Movements'!$E$2:$E$500),$C396))</f>
        <v/>
      </c>
      <c r="E396" t="s">
        <v>209</v>
      </c>
      <c r="G396" s="34"/>
      <c r="H396" s="33" t="str">
        <f t="shared" si="12"/>
        <v/>
      </c>
      <c r="I396" s="31"/>
      <c r="J396" s="31"/>
      <c r="K396" s="33"/>
      <c r="M396" s="69" t="str">
        <f>IF($C396="","",IFERROR(LOOKUP(2,1/('03_Warehouse_Movements'!$C$2:$C$500=$A396),'03_Warehouse_Movements'!$A$2:$A$500),""))</f>
        <v/>
      </c>
      <c r="N396" t="str">
        <f>IF($C396="","",IFERROR(LOOKUP(2,1/('03_Warehouse_Movements'!$C$2:$C$500=$A396),'03_Warehouse_Movements'!$H$2:$H$500),""))</f>
        <v/>
      </c>
      <c r="O396" t="str">
        <f t="shared" si="13"/>
        <v>PAL-0000396</v>
      </c>
      <c r="Q396" s="34"/>
      <c r="R396" s="33"/>
      <c r="W396">
        <f>IF($A2="","",COUNTIF('07_Pallet_Contents'!$A$2:$A$3000,$A2))</f>
        <v>0</v>
      </c>
      <c r="X396">
        <f>IF($A2="","",SUMIF('07_Pallet_Contents'!$A$2:$A$3000,$A2,'07_Pallet_Contents'!$D$2:$D$3000))</f>
        <v>0</v>
      </c>
      <c r="Y396">
        <f>IF($A2="","",SUMIF('07_Pallet_Contents'!$A$2:$A$3000,$A2,'07_Pallet_Contents'!$I$2:$I$3000))</f>
        <v>0</v>
      </c>
      <c r="Z396" t="str">
        <f>IF($A2="","",IF(COUNTIF('07_Pallet_Contents'!$A$2:$A$3000,$A2)&gt;0,"Yes",""))</f>
        <v/>
      </c>
    </row>
    <row r="397" spans="1:26">
      <c r="A397" s="4" t="s">
        <v>707</v>
      </c>
      <c r="B397" s="31"/>
      <c r="D397" t="str">
        <f>IF($C397="","",IFERROR(LOOKUP(2,1/('03_Warehouse_Movements'!$C$2:$C$500=$A397),'03_Warehouse_Movements'!$E$2:$E$500),$C397))</f>
        <v/>
      </c>
      <c r="E397" t="s">
        <v>209</v>
      </c>
      <c r="G397" s="34"/>
      <c r="H397" s="33" t="str">
        <f t="shared" si="12"/>
        <v/>
      </c>
      <c r="I397" s="31"/>
      <c r="J397" s="31"/>
      <c r="K397" s="33"/>
      <c r="M397" s="69" t="str">
        <f>IF($C397="","",IFERROR(LOOKUP(2,1/('03_Warehouse_Movements'!$C$2:$C$500=$A397),'03_Warehouse_Movements'!$A$2:$A$500),""))</f>
        <v/>
      </c>
      <c r="N397" t="str">
        <f>IF($C397="","",IFERROR(LOOKUP(2,1/('03_Warehouse_Movements'!$C$2:$C$500=$A397),'03_Warehouse_Movements'!$H$2:$H$500),""))</f>
        <v/>
      </c>
      <c r="O397" t="str">
        <f t="shared" si="13"/>
        <v>PAL-0000397</v>
      </c>
      <c r="Q397" s="34"/>
      <c r="R397" s="33"/>
      <c r="W397">
        <f>IF($A2="","",COUNTIF('07_Pallet_Contents'!$A$2:$A$3000,$A2))</f>
        <v>0</v>
      </c>
      <c r="X397">
        <f>IF($A2="","",SUMIF('07_Pallet_Contents'!$A$2:$A$3000,$A2,'07_Pallet_Contents'!$D$2:$D$3000))</f>
        <v>0</v>
      </c>
      <c r="Y397">
        <f>IF($A2="","",SUMIF('07_Pallet_Contents'!$A$2:$A$3000,$A2,'07_Pallet_Contents'!$I$2:$I$3000))</f>
        <v>0</v>
      </c>
      <c r="Z397" t="str">
        <f>IF($A2="","",IF(COUNTIF('07_Pallet_Contents'!$A$2:$A$3000,$A2)&gt;0,"Yes",""))</f>
        <v/>
      </c>
    </row>
    <row r="398" spans="1:26">
      <c r="A398" s="4" t="s">
        <v>708</v>
      </c>
      <c r="B398" s="31"/>
      <c r="D398" t="str">
        <f>IF($C398="","",IFERROR(LOOKUP(2,1/('03_Warehouse_Movements'!$C$2:$C$500=$A398),'03_Warehouse_Movements'!$E$2:$E$500),$C398))</f>
        <v/>
      </c>
      <c r="E398" t="s">
        <v>209</v>
      </c>
      <c r="G398" s="34"/>
      <c r="H398" s="33" t="str">
        <f t="shared" si="12"/>
        <v/>
      </c>
      <c r="I398" s="31"/>
      <c r="J398" s="31"/>
      <c r="K398" s="33"/>
      <c r="M398" s="69" t="str">
        <f>IF($C398="","",IFERROR(LOOKUP(2,1/('03_Warehouse_Movements'!$C$2:$C$500=$A398),'03_Warehouse_Movements'!$A$2:$A$500),""))</f>
        <v/>
      </c>
      <c r="N398" t="str">
        <f>IF($C398="","",IFERROR(LOOKUP(2,1/('03_Warehouse_Movements'!$C$2:$C$500=$A398),'03_Warehouse_Movements'!$H$2:$H$500),""))</f>
        <v/>
      </c>
      <c r="O398" t="str">
        <f t="shared" si="13"/>
        <v>PAL-0000398</v>
      </c>
      <c r="Q398" s="34"/>
      <c r="R398" s="33"/>
      <c r="W398">
        <f>IF($A2="","",COUNTIF('07_Pallet_Contents'!$A$2:$A$3000,$A2))</f>
        <v>0</v>
      </c>
      <c r="X398">
        <f>IF($A2="","",SUMIF('07_Pallet_Contents'!$A$2:$A$3000,$A2,'07_Pallet_Contents'!$D$2:$D$3000))</f>
        <v>0</v>
      </c>
      <c r="Y398">
        <f>IF($A2="","",SUMIF('07_Pallet_Contents'!$A$2:$A$3000,$A2,'07_Pallet_Contents'!$I$2:$I$3000))</f>
        <v>0</v>
      </c>
      <c r="Z398" t="str">
        <f>IF($A2="","",IF(COUNTIF('07_Pallet_Contents'!$A$2:$A$3000,$A2)&gt;0,"Yes",""))</f>
        <v/>
      </c>
    </row>
    <row r="399" spans="1:26">
      <c r="A399" s="4" t="s">
        <v>709</v>
      </c>
      <c r="B399" s="31"/>
      <c r="D399" t="str">
        <f>IF($C399="","",IFERROR(LOOKUP(2,1/('03_Warehouse_Movements'!$C$2:$C$500=$A399),'03_Warehouse_Movements'!$E$2:$E$500),$C399))</f>
        <v/>
      </c>
      <c r="E399" t="s">
        <v>209</v>
      </c>
      <c r="G399" s="34"/>
      <c r="H399" s="33" t="str">
        <f t="shared" si="12"/>
        <v/>
      </c>
      <c r="I399" s="31"/>
      <c r="J399" s="31"/>
      <c r="K399" s="33"/>
      <c r="M399" s="69" t="str">
        <f>IF($C399="","",IFERROR(LOOKUP(2,1/('03_Warehouse_Movements'!$C$2:$C$500=$A399),'03_Warehouse_Movements'!$A$2:$A$500),""))</f>
        <v/>
      </c>
      <c r="N399" t="str">
        <f>IF($C399="","",IFERROR(LOOKUP(2,1/('03_Warehouse_Movements'!$C$2:$C$500=$A399),'03_Warehouse_Movements'!$H$2:$H$500),""))</f>
        <v/>
      </c>
      <c r="O399" t="str">
        <f t="shared" si="13"/>
        <v>PAL-0000399</v>
      </c>
      <c r="Q399" s="34"/>
      <c r="R399" s="33"/>
      <c r="W399">
        <f>IF($A2="","",COUNTIF('07_Pallet_Contents'!$A$2:$A$3000,$A2))</f>
        <v>0</v>
      </c>
      <c r="X399">
        <f>IF($A2="","",SUMIF('07_Pallet_Contents'!$A$2:$A$3000,$A2,'07_Pallet_Contents'!$D$2:$D$3000))</f>
        <v>0</v>
      </c>
      <c r="Y399">
        <f>IF($A2="","",SUMIF('07_Pallet_Contents'!$A$2:$A$3000,$A2,'07_Pallet_Contents'!$I$2:$I$3000))</f>
        <v>0</v>
      </c>
      <c r="Z399" t="str">
        <f>IF($A2="","",IF(COUNTIF('07_Pallet_Contents'!$A$2:$A$3000,$A2)&gt;0,"Yes",""))</f>
        <v/>
      </c>
    </row>
    <row r="400" spans="1:26">
      <c r="A400" s="4" t="s">
        <v>710</v>
      </c>
      <c r="B400" s="31"/>
      <c r="D400" t="str">
        <f>IF($C400="","",IFERROR(LOOKUP(2,1/('03_Warehouse_Movements'!$C$2:$C$500=$A400),'03_Warehouse_Movements'!$E$2:$E$500),$C400))</f>
        <v/>
      </c>
      <c r="E400" t="s">
        <v>209</v>
      </c>
      <c r="G400" s="34"/>
      <c r="H400" s="33" t="str">
        <f t="shared" si="12"/>
        <v/>
      </c>
      <c r="I400" s="31"/>
      <c r="J400" s="31"/>
      <c r="K400" s="33"/>
      <c r="M400" s="69" t="str">
        <f>IF($C400="","",IFERROR(LOOKUP(2,1/('03_Warehouse_Movements'!$C$2:$C$500=$A400),'03_Warehouse_Movements'!$A$2:$A$500),""))</f>
        <v/>
      </c>
      <c r="N400" t="str">
        <f>IF($C400="","",IFERROR(LOOKUP(2,1/('03_Warehouse_Movements'!$C$2:$C$500=$A400),'03_Warehouse_Movements'!$H$2:$H$500),""))</f>
        <v/>
      </c>
      <c r="O400" t="str">
        <f t="shared" si="13"/>
        <v>PAL-0000400</v>
      </c>
      <c r="Q400" s="34"/>
      <c r="R400" s="33"/>
      <c r="W400">
        <f>IF($A2="","",COUNTIF('07_Pallet_Contents'!$A$2:$A$3000,$A2))</f>
        <v>0</v>
      </c>
      <c r="X400">
        <f>IF($A2="","",SUMIF('07_Pallet_Contents'!$A$2:$A$3000,$A2,'07_Pallet_Contents'!$D$2:$D$3000))</f>
        <v>0</v>
      </c>
      <c r="Y400">
        <f>IF($A2="","",SUMIF('07_Pallet_Contents'!$A$2:$A$3000,$A2,'07_Pallet_Contents'!$I$2:$I$3000))</f>
        <v>0</v>
      </c>
      <c r="Z400" t="str">
        <f>IF($A2="","",IF(COUNTIF('07_Pallet_Contents'!$A$2:$A$3000,$A2)&gt;0,"Yes",""))</f>
        <v/>
      </c>
    </row>
    <row r="401" spans="1:26">
      <c r="A401" s="4" t="s">
        <v>711</v>
      </c>
      <c r="B401" s="31"/>
      <c r="D401" t="str">
        <f>IF($C401="","",IFERROR(LOOKUP(2,1/('03_Warehouse_Movements'!$C$2:$C$500=$A401),'03_Warehouse_Movements'!$E$2:$E$500),$C401))</f>
        <v/>
      </c>
      <c r="E401" t="s">
        <v>209</v>
      </c>
      <c r="G401" s="34"/>
      <c r="H401" s="33" t="str">
        <f t="shared" si="12"/>
        <v/>
      </c>
      <c r="I401" s="31"/>
      <c r="J401" s="31"/>
      <c r="K401" s="33"/>
      <c r="M401" s="69" t="str">
        <f>IF($C401="","",IFERROR(LOOKUP(2,1/('03_Warehouse_Movements'!$C$2:$C$500=$A401),'03_Warehouse_Movements'!$A$2:$A$500),""))</f>
        <v/>
      </c>
      <c r="N401" t="str">
        <f>IF($C401="","",IFERROR(LOOKUP(2,1/('03_Warehouse_Movements'!$C$2:$C$500=$A401),'03_Warehouse_Movements'!$H$2:$H$500),""))</f>
        <v/>
      </c>
      <c r="O401" t="str">
        <f t="shared" si="13"/>
        <v>PAL-0000401</v>
      </c>
      <c r="Q401" s="34"/>
      <c r="R401" s="33"/>
      <c r="W401">
        <f>IF($A2="","",COUNTIF('07_Pallet_Contents'!$A$2:$A$3000,$A2))</f>
        <v>0</v>
      </c>
      <c r="X401">
        <f>IF($A2="","",SUMIF('07_Pallet_Contents'!$A$2:$A$3000,$A2,'07_Pallet_Contents'!$D$2:$D$3000))</f>
        <v>0</v>
      </c>
      <c r="Y401">
        <f>IF($A2="","",SUMIF('07_Pallet_Contents'!$A$2:$A$3000,$A2,'07_Pallet_Contents'!$I$2:$I$3000))</f>
        <v>0</v>
      </c>
      <c r="Z401" t="str">
        <f>IF($A2="","",IF(COUNTIF('07_Pallet_Contents'!$A$2:$A$3000,$A2)&gt;0,"Yes",""))</f>
        <v/>
      </c>
    </row>
    <row r="402" spans="1:26">
      <c r="A402" s="4" t="s">
        <v>712</v>
      </c>
      <c r="B402" s="31"/>
      <c r="D402" t="str">
        <f>IF($C402="","",IFERROR(LOOKUP(2,1/('03_Warehouse_Movements'!$C$2:$C$500=$A402),'03_Warehouse_Movements'!$E$2:$E$500),$C402))</f>
        <v/>
      </c>
      <c r="E402" t="s">
        <v>209</v>
      </c>
      <c r="G402" s="34"/>
      <c r="H402" s="33" t="str">
        <f t="shared" si="12"/>
        <v/>
      </c>
      <c r="I402" s="31"/>
      <c r="J402" s="31"/>
      <c r="K402" s="33"/>
      <c r="M402" s="69" t="str">
        <f>IF($C402="","",IFERROR(LOOKUP(2,1/('03_Warehouse_Movements'!$C$2:$C$500=$A402),'03_Warehouse_Movements'!$A$2:$A$500),""))</f>
        <v/>
      </c>
      <c r="N402" t="str">
        <f>IF($C402="","",IFERROR(LOOKUP(2,1/('03_Warehouse_Movements'!$C$2:$C$500=$A402),'03_Warehouse_Movements'!$H$2:$H$500),""))</f>
        <v/>
      </c>
      <c r="O402" t="str">
        <f t="shared" si="13"/>
        <v>PAL-0000402</v>
      </c>
      <c r="Q402" s="34"/>
      <c r="R402" s="33"/>
      <c r="W402">
        <f>IF($A2="","",COUNTIF('07_Pallet_Contents'!$A$2:$A$3000,$A2))</f>
        <v>0</v>
      </c>
      <c r="X402">
        <f>IF($A2="","",SUMIF('07_Pallet_Contents'!$A$2:$A$3000,$A2,'07_Pallet_Contents'!$D$2:$D$3000))</f>
        <v>0</v>
      </c>
      <c r="Y402">
        <f>IF($A2="","",SUMIF('07_Pallet_Contents'!$A$2:$A$3000,$A2,'07_Pallet_Contents'!$I$2:$I$3000))</f>
        <v>0</v>
      </c>
      <c r="Z402" t="str">
        <f>IF($A2="","",IF(COUNTIF('07_Pallet_Contents'!$A$2:$A$3000,$A2)&gt;0,"Yes",""))</f>
        <v/>
      </c>
    </row>
    <row r="403" spans="1:26">
      <c r="A403" s="4" t="s">
        <v>713</v>
      </c>
      <c r="B403" s="31"/>
      <c r="D403" t="str">
        <f>IF($C403="","",IFERROR(LOOKUP(2,1/('03_Warehouse_Movements'!$C$2:$C$500=$A403),'03_Warehouse_Movements'!$E$2:$E$500),$C403))</f>
        <v/>
      </c>
      <c r="E403" t="s">
        <v>209</v>
      </c>
      <c r="G403" s="34"/>
      <c r="H403" s="33" t="str">
        <f t="shared" si="12"/>
        <v/>
      </c>
      <c r="I403" s="31"/>
      <c r="J403" s="31"/>
      <c r="K403" s="33"/>
      <c r="M403" s="69" t="str">
        <f>IF($C403="","",IFERROR(LOOKUP(2,1/('03_Warehouse_Movements'!$C$2:$C$500=$A403),'03_Warehouse_Movements'!$A$2:$A$500),""))</f>
        <v/>
      </c>
      <c r="N403" t="str">
        <f>IF($C403="","",IFERROR(LOOKUP(2,1/('03_Warehouse_Movements'!$C$2:$C$500=$A403),'03_Warehouse_Movements'!$H$2:$H$500),""))</f>
        <v/>
      </c>
      <c r="O403" t="str">
        <f t="shared" si="13"/>
        <v>PAL-0000403</v>
      </c>
      <c r="Q403" s="34"/>
      <c r="R403" s="33"/>
      <c r="W403">
        <f>IF($A2="","",COUNTIF('07_Pallet_Contents'!$A$2:$A$3000,$A2))</f>
        <v>0</v>
      </c>
      <c r="X403">
        <f>IF($A2="","",SUMIF('07_Pallet_Contents'!$A$2:$A$3000,$A2,'07_Pallet_Contents'!$D$2:$D$3000))</f>
        <v>0</v>
      </c>
      <c r="Y403">
        <f>IF($A2="","",SUMIF('07_Pallet_Contents'!$A$2:$A$3000,$A2,'07_Pallet_Contents'!$I$2:$I$3000))</f>
        <v>0</v>
      </c>
      <c r="Z403" t="str">
        <f>IF($A2="","",IF(COUNTIF('07_Pallet_Contents'!$A$2:$A$3000,$A2)&gt;0,"Yes",""))</f>
        <v/>
      </c>
    </row>
    <row r="404" spans="1:26">
      <c r="A404" s="4" t="s">
        <v>714</v>
      </c>
      <c r="B404" s="31"/>
      <c r="D404" t="str">
        <f>IF($C404="","",IFERROR(LOOKUP(2,1/('03_Warehouse_Movements'!$C$2:$C$500=$A404),'03_Warehouse_Movements'!$E$2:$E$500),$C404))</f>
        <v/>
      </c>
      <c r="E404" t="s">
        <v>209</v>
      </c>
      <c r="G404" s="34"/>
      <c r="H404" s="33" t="str">
        <f t="shared" si="12"/>
        <v/>
      </c>
      <c r="I404" s="31"/>
      <c r="J404" s="31"/>
      <c r="K404" s="33"/>
      <c r="M404" s="69" t="str">
        <f>IF($C404="","",IFERROR(LOOKUP(2,1/('03_Warehouse_Movements'!$C$2:$C$500=$A404),'03_Warehouse_Movements'!$A$2:$A$500),""))</f>
        <v/>
      </c>
      <c r="N404" t="str">
        <f>IF($C404="","",IFERROR(LOOKUP(2,1/('03_Warehouse_Movements'!$C$2:$C$500=$A404),'03_Warehouse_Movements'!$H$2:$H$500),""))</f>
        <v/>
      </c>
      <c r="O404" t="str">
        <f t="shared" si="13"/>
        <v>PAL-0000404</v>
      </c>
      <c r="Q404" s="34"/>
      <c r="R404" s="33"/>
      <c r="W404">
        <f>IF($A2="","",COUNTIF('07_Pallet_Contents'!$A$2:$A$3000,$A2))</f>
        <v>0</v>
      </c>
      <c r="X404">
        <f>IF($A2="","",SUMIF('07_Pallet_Contents'!$A$2:$A$3000,$A2,'07_Pallet_Contents'!$D$2:$D$3000))</f>
        <v>0</v>
      </c>
      <c r="Y404">
        <f>IF($A2="","",SUMIF('07_Pallet_Contents'!$A$2:$A$3000,$A2,'07_Pallet_Contents'!$I$2:$I$3000))</f>
        <v>0</v>
      </c>
      <c r="Z404" t="str">
        <f>IF($A2="","",IF(COUNTIF('07_Pallet_Contents'!$A$2:$A$3000,$A2)&gt;0,"Yes",""))</f>
        <v/>
      </c>
    </row>
    <row r="405" spans="1:26">
      <c r="A405" s="4" t="s">
        <v>715</v>
      </c>
      <c r="B405" s="31"/>
      <c r="D405" t="str">
        <f>IF($C405="","",IFERROR(LOOKUP(2,1/('03_Warehouse_Movements'!$C$2:$C$500=$A405),'03_Warehouse_Movements'!$E$2:$E$500),$C405))</f>
        <v/>
      </c>
      <c r="E405" t="s">
        <v>209</v>
      </c>
      <c r="G405" s="34"/>
      <c r="H405" s="33" t="str">
        <f t="shared" si="12"/>
        <v/>
      </c>
      <c r="I405" s="31"/>
      <c r="J405" s="31"/>
      <c r="K405" s="33"/>
      <c r="M405" s="69" t="str">
        <f>IF($C405="","",IFERROR(LOOKUP(2,1/('03_Warehouse_Movements'!$C$2:$C$500=$A405),'03_Warehouse_Movements'!$A$2:$A$500),""))</f>
        <v/>
      </c>
      <c r="N405" t="str">
        <f>IF($C405="","",IFERROR(LOOKUP(2,1/('03_Warehouse_Movements'!$C$2:$C$500=$A405),'03_Warehouse_Movements'!$H$2:$H$500),""))</f>
        <v/>
      </c>
      <c r="O405" t="str">
        <f t="shared" si="13"/>
        <v>PAL-0000405</v>
      </c>
      <c r="Q405" s="34"/>
      <c r="R405" s="33"/>
      <c r="W405">
        <f>IF($A2="","",COUNTIF('07_Pallet_Contents'!$A$2:$A$3000,$A2))</f>
        <v>0</v>
      </c>
      <c r="X405">
        <f>IF($A2="","",SUMIF('07_Pallet_Contents'!$A$2:$A$3000,$A2,'07_Pallet_Contents'!$D$2:$D$3000))</f>
        <v>0</v>
      </c>
      <c r="Y405">
        <f>IF($A2="","",SUMIF('07_Pallet_Contents'!$A$2:$A$3000,$A2,'07_Pallet_Contents'!$I$2:$I$3000))</f>
        <v>0</v>
      </c>
      <c r="Z405" t="str">
        <f>IF($A2="","",IF(COUNTIF('07_Pallet_Contents'!$A$2:$A$3000,$A2)&gt;0,"Yes",""))</f>
        <v/>
      </c>
    </row>
    <row r="406" spans="1:26">
      <c r="A406" s="4" t="s">
        <v>716</v>
      </c>
      <c r="B406" s="31"/>
      <c r="D406" t="str">
        <f>IF($C406="","",IFERROR(LOOKUP(2,1/('03_Warehouse_Movements'!$C$2:$C$500=$A406),'03_Warehouse_Movements'!$E$2:$E$500),$C406))</f>
        <v/>
      </c>
      <c r="E406" t="s">
        <v>209</v>
      </c>
      <c r="G406" s="34"/>
      <c r="H406" s="33" t="str">
        <f t="shared" si="12"/>
        <v/>
      </c>
      <c r="I406" s="31"/>
      <c r="J406" s="31"/>
      <c r="K406" s="33"/>
      <c r="M406" s="69" t="str">
        <f>IF($C406="","",IFERROR(LOOKUP(2,1/('03_Warehouse_Movements'!$C$2:$C$500=$A406),'03_Warehouse_Movements'!$A$2:$A$500),""))</f>
        <v/>
      </c>
      <c r="N406" t="str">
        <f>IF($C406="","",IFERROR(LOOKUP(2,1/('03_Warehouse_Movements'!$C$2:$C$500=$A406),'03_Warehouse_Movements'!$H$2:$H$500),""))</f>
        <v/>
      </c>
      <c r="O406" t="str">
        <f t="shared" si="13"/>
        <v>PAL-0000406</v>
      </c>
      <c r="Q406" s="34"/>
      <c r="R406" s="33"/>
      <c r="W406">
        <f>IF($A2="","",COUNTIF('07_Pallet_Contents'!$A$2:$A$3000,$A2))</f>
        <v>0</v>
      </c>
      <c r="X406">
        <f>IF($A2="","",SUMIF('07_Pallet_Contents'!$A$2:$A$3000,$A2,'07_Pallet_Contents'!$D$2:$D$3000))</f>
        <v>0</v>
      </c>
      <c r="Y406">
        <f>IF($A2="","",SUMIF('07_Pallet_Contents'!$A$2:$A$3000,$A2,'07_Pallet_Contents'!$I$2:$I$3000))</f>
        <v>0</v>
      </c>
      <c r="Z406" t="str">
        <f>IF($A2="","",IF(COUNTIF('07_Pallet_Contents'!$A$2:$A$3000,$A2)&gt;0,"Yes",""))</f>
        <v/>
      </c>
    </row>
    <row r="407" spans="1:26">
      <c r="A407" s="4" t="s">
        <v>717</v>
      </c>
      <c r="B407" s="31"/>
      <c r="D407" t="str">
        <f>IF($C407="","",IFERROR(LOOKUP(2,1/('03_Warehouse_Movements'!$C$2:$C$500=$A407),'03_Warehouse_Movements'!$E$2:$E$500),$C407))</f>
        <v/>
      </c>
      <c r="E407" t="s">
        <v>209</v>
      </c>
      <c r="G407" s="34"/>
      <c r="H407" s="33" t="str">
        <f t="shared" si="12"/>
        <v/>
      </c>
      <c r="I407" s="31"/>
      <c r="J407" s="31"/>
      <c r="K407" s="33"/>
      <c r="M407" s="69" t="str">
        <f>IF($C407="","",IFERROR(LOOKUP(2,1/('03_Warehouse_Movements'!$C$2:$C$500=$A407),'03_Warehouse_Movements'!$A$2:$A$500),""))</f>
        <v/>
      </c>
      <c r="N407" t="str">
        <f>IF($C407="","",IFERROR(LOOKUP(2,1/('03_Warehouse_Movements'!$C$2:$C$500=$A407),'03_Warehouse_Movements'!$H$2:$H$500),""))</f>
        <v/>
      </c>
      <c r="O407" t="str">
        <f t="shared" si="13"/>
        <v>PAL-0000407</v>
      </c>
      <c r="Q407" s="34"/>
      <c r="R407" s="33"/>
      <c r="W407">
        <f>IF($A2="","",COUNTIF('07_Pallet_Contents'!$A$2:$A$3000,$A2))</f>
        <v>0</v>
      </c>
      <c r="X407">
        <f>IF($A2="","",SUMIF('07_Pallet_Contents'!$A$2:$A$3000,$A2,'07_Pallet_Contents'!$D$2:$D$3000))</f>
        <v>0</v>
      </c>
      <c r="Y407">
        <f>IF($A2="","",SUMIF('07_Pallet_Contents'!$A$2:$A$3000,$A2,'07_Pallet_Contents'!$I$2:$I$3000))</f>
        <v>0</v>
      </c>
      <c r="Z407" t="str">
        <f>IF($A2="","",IF(COUNTIF('07_Pallet_Contents'!$A$2:$A$3000,$A2)&gt;0,"Yes",""))</f>
        <v/>
      </c>
    </row>
    <row r="408" spans="1:26">
      <c r="A408" s="4" t="s">
        <v>718</v>
      </c>
      <c r="B408" s="31"/>
      <c r="D408" t="str">
        <f>IF($C408="","",IFERROR(LOOKUP(2,1/('03_Warehouse_Movements'!$C$2:$C$500=$A408),'03_Warehouse_Movements'!$E$2:$E$500),$C408))</f>
        <v/>
      </c>
      <c r="E408" t="s">
        <v>209</v>
      </c>
      <c r="G408" s="34"/>
      <c r="H408" s="33" t="str">
        <f t="shared" si="12"/>
        <v/>
      </c>
      <c r="I408" s="31"/>
      <c r="J408" s="31"/>
      <c r="K408" s="33"/>
      <c r="M408" s="69" t="str">
        <f>IF($C408="","",IFERROR(LOOKUP(2,1/('03_Warehouse_Movements'!$C$2:$C$500=$A408),'03_Warehouse_Movements'!$A$2:$A$500),""))</f>
        <v/>
      </c>
      <c r="N408" t="str">
        <f>IF($C408="","",IFERROR(LOOKUP(2,1/('03_Warehouse_Movements'!$C$2:$C$500=$A408),'03_Warehouse_Movements'!$H$2:$H$500),""))</f>
        <v/>
      </c>
      <c r="O408" t="str">
        <f t="shared" si="13"/>
        <v>PAL-0000408</v>
      </c>
      <c r="Q408" s="34"/>
      <c r="R408" s="33"/>
      <c r="W408">
        <f>IF($A2="","",COUNTIF('07_Pallet_Contents'!$A$2:$A$3000,$A2))</f>
        <v>0</v>
      </c>
      <c r="X408">
        <f>IF($A2="","",SUMIF('07_Pallet_Contents'!$A$2:$A$3000,$A2,'07_Pallet_Contents'!$D$2:$D$3000))</f>
        <v>0</v>
      </c>
      <c r="Y408">
        <f>IF($A2="","",SUMIF('07_Pallet_Contents'!$A$2:$A$3000,$A2,'07_Pallet_Contents'!$I$2:$I$3000))</f>
        <v>0</v>
      </c>
      <c r="Z408" t="str">
        <f>IF($A2="","",IF(COUNTIF('07_Pallet_Contents'!$A$2:$A$3000,$A2)&gt;0,"Yes",""))</f>
        <v/>
      </c>
    </row>
    <row r="409" spans="1:26">
      <c r="A409" s="4" t="s">
        <v>719</v>
      </c>
      <c r="B409" s="31"/>
      <c r="D409" t="str">
        <f>IF($C409="","",IFERROR(LOOKUP(2,1/('03_Warehouse_Movements'!$C$2:$C$500=$A409),'03_Warehouse_Movements'!$E$2:$E$500),$C409))</f>
        <v/>
      </c>
      <c r="E409" t="s">
        <v>209</v>
      </c>
      <c r="G409" s="34"/>
      <c r="H409" s="33" t="str">
        <f t="shared" si="12"/>
        <v/>
      </c>
      <c r="I409" s="31"/>
      <c r="J409" s="31"/>
      <c r="K409" s="33"/>
      <c r="M409" s="69" t="str">
        <f>IF($C409="","",IFERROR(LOOKUP(2,1/('03_Warehouse_Movements'!$C$2:$C$500=$A409),'03_Warehouse_Movements'!$A$2:$A$500),""))</f>
        <v/>
      </c>
      <c r="N409" t="str">
        <f>IF($C409="","",IFERROR(LOOKUP(2,1/('03_Warehouse_Movements'!$C$2:$C$500=$A409),'03_Warehouse_Movements'!$H$2:$H$500),""))</f>
        <v/>
      </c>
      <c r="O409" t="str">
        <f t="shared" si="13"/>
        <v>PAL-0000409</v>
      </c>
      <c r="Q409" s="34"/>
      <c r="R409" s="33"/>
      <c r="W409">
        <f>IF($A2="","",COUNTIF('07_Pallet_Contents'!$A$2:$A$3000,$A2))</f>
        <v>0</v>
      </c>
      <c r="X409">
        <f>IF($A2="","",SUMIF('07_Pallet_Contents'!$A$2:$A$3000,$A2,'07_Pallet_Contents'!$D$2:$D$3000))</f>
        <v>0</v>
      </c>
      <c r="Y409">
        <f>IF($A2="","",SUMIF('07_Pallet_Contents'!$A$2:$A$3000,$A2,'07_Pallet_Contents'!$I$2:$I$3000))</f>
        <v>0</v>
      </c>
      <c r="Z409" t="str">
        <f>IF($A2="","",IF(COUNTIF('07_Pallet_Contents'!$A$2:$A$3000,$A2)&gt;0,"Yes",""))</f>
        <v/>
      </c>
    </row>
    <row r="410" spans="1:26">
      <c r="A410" s="4" t="s">
        <v>720</v>
      </c>
      <c r="B410" s="31"/>
      <c r="D410" t="str">
        <f>IF($C410="","",IFERROR(LOOKUP(2,1/('03_Warehouse_Movements'!$C$2:$C$500=$A410),'03_Warehouse_Movements'!$E$2:$E$500),$C410))</f>
        <v/>
      </c>
      <c r="E410" t="s">
        <v>209</v>
      </c>
      <c r="G410" s="34"/>
      <c r="H410" s="33" t="str">
        <f t="shared" si="12"/>
        <v/>
      </c>
      <c r="I410" s="31"/>
      <c r="J410" s="31"/>
      <c r="K410" s="33"/>
      <c r="M410" s="69" t="str">
        <f>IF($C410="","",IFERROR(LOOKUP(2,1/('03_Warehouse_Movements'!$C$2:$C$500=$A410),'03_Warehouse_Movements'!$A$2:$A$500),""))</f>
        <v/>
      </c>
      <c r="N410" t="str">
        <f>IF($C410="","",IFERROR(LOOKUP(2,1/('03_Warehouse_Movements'!$C$2:$C$500=$A410),'03_Warehouse_Movements'!$H$2:$H$500),""))</f>
        <v/>
      </c>
      <c r="O410" t="str">
        <f t="shared" si="13"/>
        <v>PAL-0000410</v>
      </c>
      <c r="Q410" s="34"/>
      <c r="R410" s="33"/>
      <c r="W410">
        <f>IF($A2="","",COUNTIF('07_Pallet_Contents'!$A$2:$A$3000,$A2))</f>
        <v>0</v>
      </c>
      <c r="X410">
        <f>IF($A2="","",SUMIF('07_Pallet_Contents'!$A$2:$A$3000,$A2,'07_Pallet_Contents'!$D$2:$D$3000))</f>
        <v>0</v>
      </c>
      <c r="Y410">
        <f>IF($A2="","",SUMIF('07_Pallet_Contents'!$A$2:$A$3000,$A2,'07_Pallet_Contents'!$I$2:$I$3000))</f>
        <v>0</v>
      </c>
      <c r="Z410" t="str">
        <f>IF($A2="","",IF(COUNTIF('07_Pallet_Contents'!$A$2:$A$3000,$A2)&gt;0,"Yes",""))</f>
        <v/>
      </c>
    </row>
    <row r="411" spans="1:26">
      <c r="A411" s="4" t="s">
        <v>721</v>
      </c>
      <c r="B411" s="31"/>
      <c r="D411" t="str">
        <f>IF($C411="","",IFERROR(LOOKUP(2,1/('03_Warehouse_Movements'!$C$2:$C$500=$A411),'03_Warehouse_Movements'!$E$2:$E$500),$C411))</f>
        <v/>
      </c>
      <c r="E411" t="s">
        <v>209</v>
      </c>
      <c r="G411" s="34"/>
      <c r="H411" s="33" t="str">
        <f t="shared" si="12"/>
        <v/>
      </c>
      <c r="I411" s="31"/>
      <c r="J411" s="31"/>
      <c r="K411" s="33"/>
      <c r="M411" s="69" t="str">
        <f>IF($C411="","",IFERROR(LOOKUP(2,1/('03_Warehouse_Movements'!$C$2:$C$500=$A411),'03_Warehouse_Movements'!$A$2:$A$500),""))</f>
        <v/>
      </c>
      <c r="N411" t="str">
        <f>IF($C411="","",IFERROR(LOOKUP(2,1/('03_Warehouse_Movements'!$C$2:$C$500=$A411),'03_Warehouse_Movements'!$H$2:$H$500),""))</f>
        <v/>
      </c>
      <c r="O411" t="str">
        <f t="shared" si="13"/>
        <v>PAL-0000411</v>
      </c>
      <c r="Q411" s="34"/>
      <c r="R411" s="33"/>
      <c r="W411">
        <f>IF($A2="","",COUNTIF('07_Pallet_Contents'!$A$2:$A$3000,$A2))</f>
        <v>0</v>
      </c>
      <c r="X411">
        <f>IF($A2="","",SUMIF('07_Pallet_Contents'!$A$2:$A$3000,$A2,'07_Pallet_Contents'!$D$2:$D$3000))</f>
        <v>0</v>
      </c>
      <c r="Y411">
        <f>IF($A2="","",SUMIF('07_Pallet_Contents'!$A$2:$A$3000,$A2,'07_Pallet_Contents'!$I$2:$I$3000))</f>
        <v>0</v>
      </c>
      <c r="Z411" t="str">
        <f>IF($A2="","",IF(COUNTIF('07_Pallet_Contents'!$A$2:$A$3000,$A2)&gt;0,"Yes",""))</f>
        <v/>
      </c>
    </row>
    <row r="412" spans="1:26">
      <c r="A412" s="4" t="s">
        <v>722</v>
      </c>
      <c r="B412" s="31"/>
      <c r="D412" t="str">
        <f>IF($C412="","",IFERROR(LOOKUP(2,1/('03_Warehouse_Movements'!$C$2:$C$500=$A412),'03_Warehouse_Movements'!$E$2:$E$500),$C412))</f>
        <v/>
      </c>
      <c r="E412" t="s">
        <v>209</v>
      </c>
      <c r="G412" s="34"/>
      <c r="H412" s="33" t="str">
        <f t="shared" si="12"/>
        <v/>
      </c>
      <c r="I412" s="31"/>
      <c r="J412" s="31"/>
      <c r="K412" s="33"/>
      <c r="M412" s="69" t="str">
        <f>IF($C412="","",IFERROR(LOOKUP(2,1/('03_Warehouse_Movements'!$C$2:$C$500=$A412),'03_Warehouse_Movements'!$A$2:$A$500),""))</f>
        <v/>
      </c>
      <c r="N412" t="str">
        <f>IF($C412="","",IFERROR(LOOKUP(2,1/('03_Warehouse_Movements'!$C$2:$C$500=$A412),'03_Warehouse_Movements'!$H$2:$H$500),""))</f>
        <v/>
      </c>
      <c r="O412" t="str">
        <f t="shared" si="13"/>
        <v>PAL-0000412</v>
      </c>
      <c r="Q412" s="34"/>
      <c r="R412" s="33"/>
      <c r="W412">
        <f>IF($A2="","",COUNTIF('07_Pallet_Contents'!$A$2:$A$3000,$A2))</f>
        <v>0</v>
      </c>
      <c r="X412">
        <f>IF($A2="","",SUMIF('07_Pallet_Contents'!$A$2:$A$3000,$A2,'07_Pallet_Contents'!$D$2:$D$3000))</f>
        <v>0</v>
      </c>
      <c r="Y412">
        <f>IF($A2="","",SUMIF('07_Pallet_Contents'!$A$2:$A$3000,$A2,'07_Pallet_Contents'!$I$2:$I$3000))</f>
        <v>0</v>
      </c>
      <c r="Z412" t="str">
        <f>IF($A2="","",IF(COUNTIF('07_Pallet_Contents'!$A$2:$A$3000,$A2)&gt;0,"Yes",""))</f>
        <v/>
      </c>
    </row>
    <row r="413" spans="1:26">
      <c r="A413" s="4" t="s">
        <v>723</v>
      </c>
      <c r="B413" s="31"/>
      <c r="D413" t="str">
        <f>IF($C413="","",IFERROR(LOOKUP(2,1/('03_Warehouse_Movements'!$C$2:$C$500=$A413),'03_Warehouse_Movements'!$E$2:$E$500),$C413))</f>
        <v/>
      </c>
      <c r="E413" t="s">
        <v>209</v>
      </c>
      <c r="G413" s="34"/>
      <c r="H413" s="33" t="str">
        <f t="shared" si="12"/>
        <v/>
      </c>
      <c r="I413" s="31"/>
      <c r="J413" s="31"/>
      <c r="K413" s="33"/>
      <c r="M413" s="69" t="str">
        <f>IF($C413="","",IFERROR(LOOKUP(2,1/('03_Warehouse_Movements'!$C$2:$C$500=$A413),'03_Warehouse_Movements'!$A$2:$A$500),""))</f>
        <v/>
      </c>
      <c r="N413" t="str">
        <f>IF($C413="","",IFERROR(LOOKUP(2,1/('03_Warehouse_Movements'!$C$2:$C$500=$A413),'03_Warehouse_Movements'!$H$2:$H$500),""))</f>
        <v/>
      </c>
      <c r="O413" t="str">
        <f t="shared" si="13"/>
        <v>PAL-0000413</v>
      </c>
      <c r="Q413" s="34"/>
      <c r="R413" s="33"/>
      <c r="W413">
        <f>IF($A2="","",COUNTIF('07_Pallet_Contents'!$A$2:$A$3000,$A2))</f>
        <v>0</v>
      </c>
      <c r="X413">
        <f>IF($A2="","",SUMIF('07_Pallet_Contents'!$A$2:$A$3000,$A2,'07_Pallet_Contents'!$D$2:$D$3000))</f>
        <v>0</v>
      </c>
      <c r="Y413">
        <f>IF($A2="","",SUMIF('07_Pallet_Contents'!$A$2:$A$3000,$A2,'07_Pallet_Contents'!$I$2:$I$3000))</f>
        <v>0</v>
      </c>
      <c r="Z413" t="str">
        <f>IF($A2="","",IF(COUNTIF('07_Pallet_Contents'!$A$2:$A$3000,$A2)&gt;0,"Yes",""))</f>
        <v/>
      </c>
    </row>
    <row r="414" spans="1:26">
      <c r="A414" s="4" t="s">
        <v>724</v>
      </c>
      <c r="B414" s="31"/>
      <c r="D414" t="str">
        <f>IF($C414="","",IFERROR(LOOKUP(2,1/('03_Warehouse_Movements'!$C$2:$C$500=$A414),'03_Warehouse_Movements'!$E$2:$E$500),$C414))</f>
        <v/>
      </c>
      <c r="E414" t="s">
        <v>209</v>
      </c>
      <c r="G414" s="34"/>
      <c r="H414" s="33" t="str">
        <f t="shared" si="12"/>
        <v/>
      </c>
      <c r="I414" s="31"/>
      <c r="J414" s="31"/>
      <c r="K414" s="33"/>
      <c r="M414" s="69" t="str">
        <f>IF($C414="","",IFERROR(LOOKUP(2,1/('03_Warehouse_Movements'!$C$2:$C$500=$A414),'03_Warehouse_Movements'!$A$2:$A$500),""))</f>
        <v/>
      </c>
      <c r="N414" t="str">
        <f>IF($C414="","",IFERROR(LOOKUP(2,1/('03_Warehouse_Movements'!$C$2:$C$500=$A414),'03_Warehouse_Movements'!$H$2:$H$500),""))</f>
        <v/>
      </c>
      <c r="O414" t="str">
        <f t="shared" si="13"/>
        <v>PAL-0000414</v>
      </c>
      <c r="Q414" s="34"/>
      <c r="R414" s="33"/>
      <c r="W414">
        <f>IF($A2="","",COUNTIF('07_Pallet_Contents'!$A$2:$A$3000,$A2))</f>
        <v>0</v>
      </c>
      <c r="X414">
        <f>IF($A2="","",SUMIF('07_Pallet_Contents'!$A$2:$A$3000,$A2,'07_Pallet_Contents'!$D$2:$D$3000))</f>
        <v>0</v>
      </c>
      <c r="Y414">
        <f>IF($A2="","",SUMIF('07_Pallet_Contents'!$A$2:$A$3000,$A2,'07_Pallet_Contents'!$I$2:$I$3000))</f>
        <v>0</v>
      </c>
      <c r="Z414" t="str">
        <f>IF($A2="","",IF(COUNTIF('07_Pallet_Contents'!$A$2:$A$3000,$A2)&gt;0,"Yes",""))</f>
        <v/>
      </c>
    </row>
    <row r="415" spans="1:26">
      <c r="A415" s="4" t="s">
        <v>725</v>
      </c>
      <c r="B415" s="31"/>
      <c r="D415" t="str">
        <f>IF($C415="","",IFERROR(LOOKUP(2,1/('03_Warehouse_Movements'!$C$2:$C$500=$A415),'03_Warehouse_Movements'!$E$2:$E$500),$C415))</f>
        <v/>
      </c>
      <c r="E415" t="s">
        <v>209</v>
      </c>
      <c r="G415" s="34"/>
      <c r="H415" s="33" t="str">
        <f t="shared" si="12"/>
        <v/>
      </c>
      <c r="I415" s="31"/>
      <c r="J415" s="31"/>
      <c r="K415" s="33"/>
      <c r="M415" s="69" t="str">
        <f>IF($C415="","",IFERROR(LOOKUP(2,1/('03_Warehouse_Movements'!$C$2:$C$500=$A415),'03_Warehouse_Movements'!$A$2:$A$500),""))</f>
        <v/>
      </c>
      <c r="N415" t="str">
        <f>IF($C415="","",IFERROR(LOOKUP(2,1/('03_Warehouse_Movements'!$C$2:$C$500=$A415),'03_Warehouse_Movements'!$H$2:$H$500),""))</f>
        <v/>
      </c>
      <c r="O415" t="str">
        <f t="shared" si="13"/>
        <v>PAL-0000415</v>
      </c>
      <c r="Q415" s="34"/>
      <c r="R415" s="33"/>
      <c r="W415">
        <f>IF($A2="","",COUNTIF('07_Pallet_Contents'!$A$2:$A$3000,$A2))</f>
        <v>0</v>
      </c>
      <c r="X415">
        <f>IF($A2="","",SUMIF('07_Pallet_Contents'!$A$2:$A$3000,$A2,'07_Pallet_Contents'!$D$2:$D$3000))</f>
        <v>0</v>
      </c>
      <c r="Y415">
        <f>IF($A2="","",SUMIF('07_Pallet_Contents'!$A$2:$A$3000,$A2,'07_Pallet_Contents'!$I$2:$I$3000))</f>
        <v>0</v>
      </c>
      <c r="Z415" t="str">
        <f>IF($A2="","",IF(COUNTIF('07_Pallet_Contents'!$A$2:$A$3000,$A2)&gt;0,"Yes",""))</f>
        <v/>
      </c>
    </row>
    <row r="416" spans="1:26">
      <c r="A416" s="4" t="s">
        <v>726</v>
      </c>
      <c r="B416" s="31"/>
      <c r="D416" t="str">
        <f>IF($C416="","",IFERROR(LOOKUP(2,1/('03_Warehouse_Movements'!$C$2:$C$500=$A416),'03_Warehouse_Movements'!$E$2:$E$500),$C416))</f>
        <v/>
      </c>
      <c r="E416" t="s">
        <v>209</v>
      </c>
      <c r="G416" s="34"/>
      <c r="H416" s="33" t="str">
        <f t="shared" si="12"/>
        <v/>
      </c>
      <c r="I416" s="31"/>
      <c r="J416" s="31"/>
      <c r="K416" s="33"/>
      <c r="M416" s="69" t="str">
        <f>IF($C416="","",IFERROR(LOOKUP(2,1/('03_Warehouse_Movements'!$C$2:$C$500=$A416),'03_Warehouse_Movements'!$A$2:$A$500),""))</f>
        <v/>
      </c>
      <c r="N416" t="str">
        <f>IF($C416="","",IFERROR(LOOKUP(2,1/('03_Warehouse_Movements'!$C$2:$C$500=$A416),'03_Warehouse_Movements'!$H$2:$H$500),""))</f>
        <v/>
      </c>
      <c r="O416" t="str">
        <f t="shared" si="13"/>
        <v>PAL-0000416</v>
      </c>
      <c r="Q416" s="34"/>
      <c r="R416" s="33"/>
      <c r="W416">
        <f>IF($A2="","",COUNTIF('07_Pallet_Contents'!$A$2:$A$3000,$A2))</f>
        <v>0</v>
      </c>
      <c r="X416">
        <f>IF($A2="","",SUMIF('07_Pallet_Contents'!$A$2:$A$3000,$A2,'07_Pallet_Contents'!$D$2:$D$3000))</f>
        <v>0</v>
      </c>
      <c r="Y416">
        <f>IF($A2="","",SUMIF('07_Pallet_Contents'!$A$2:$A$3000,$A2,'07_Pallet_Contents'!$I$2:$I$3000))</f>
        <v>0</v>
      </c>
      <c r="Z416" t="str">
        <f>IF($A2="","",IF(COUNTIF('07_Pallet_Contents'!$A$2:$A$3000,$A2)&gt;0,"Yes",""))</f>
        <v/>
      </c>
    </row>
    <row r="417" spans="1:26">
      <c r="A417" s="4" t="s">
        <v>727</v>
      </c>
      <c r="B417" s="31"/>
      <c r="D417" t="str">
        <f>IF($C417="","",IFERROR(LOOKUP(2,1/('03_Warehouse_Movements'!$C$2:$C$500=$A417),'03_Warehouse_Movements'!$E$2:$E$500),$C417))</f>
        <v/>
      </c>
      <c r="E417" t="s">
        <v>209</v>
      </c>
      <c r="G417" s="34"/>
      <c r="H417" s="33" t="str">
        <f t="shared" si="12"/>
        <v/>
      </c>
      <c r="I417" s="31"/>
      <c r="J417" s="31"/>
      <c r="K417" s="33"/>
      <c r="M417" s="69" t="str">
        <f>IF($C417="","",IFERROR(LOOKUP(2,1/('03_Warehouse_Movements'!$C$2:$C$500=$A417),'03_Warehouse_Movements'!$A$2:$A$500),""))</f>
        <v/>
      </c>
      <c r="N417" t="str">
        <f>IF($C417="","",IFERROR(LOOKUP(2,1/('03_Warehouse_Movements'!$C$2:$C$500=$A417),'03_Warehouse_Movements'!$H$2:$H$500),""))</f>
        <v/>
      </c>
      <c r="O417" t="str">
        <f t="shared" si="13"/>
        <v>PAL-0000417</v>
      </c>
      <c r="Q417" s="34"/>
      <c r="R417" s="33"/>
      <c r="W417">
        <f>IF($A2="","",COUNTIF('07_Pallet_Contents'!$A$2:$A$3000,$A2))</f>
        <v>0</v>
      </c>
      <c r="X417">
        <f>IF($A2="","",SUMIF('07_Pallet_Contents'!$A$2:$A$3000,$A2,'07_Pallet_Contents'!$D$2:$D$3000))</f>
        <v>0</v>
      </c>
      <c r="Y417">
        <f>IF($A2="","",SUMIF('07_Pallet_Contents'!$A$2:$A$3000,$A2,'07_Pallet_Contents'!$I$2:$I$3000))</f>
        <v>0</v>
      </c>
      <c r="Z417" t="str">
        <f>IF($A2="","",IF(COUNTIF('07_Pallet_Contents'!$A$2:$A$3000,$A2)&gt;0,"Yes",""))</f>
        <v/>
      </c>
    </row>
    <row r="418" spans="1:26">
      <c r="A418" s="4" t="s">
        <v>728</v>
      </c>
      <c r="B418" s="31"/>
      <c r="D418" t="str">
        <f>IF($C418="","",IFERROR(LOOKUP(2,1/('03_Warehouse_Movements'!$C$2:$C$500=$A418),'03_Warehouse_Movements'!$E$2:$E$500),$C418))</f>
        <v/>
      </c>
      <c r="E418" t="s">
        <v>209</v>
      </c>
      <c r="G418" s="34"/>
      <c r="H418" s="33" t="str">
        <f t="shared" si="12"/>
        <v/>
      </c>
      <c r="I418" s="31"/>
      <c r="J418" s="31"/>
      <c r="K418" s="33"/>
      <c r="M418" s="69" t="str">
        <f>IF($C418="","",IFERROR(LOOKUP(2,1/('03_Warehouse_Movements'!$C$2:$C$500=$A418),'03_Warehouse_Movements'!$A$2:$A$500),""))</f>
        <v/>
      </c>
      <c r="N418" t="str">
        <f>IF($C418="","",IFERROR(LOOKUP(2,1/('03_Warehouse_Movements'!$C$2:$C$500=$A418),'03_Warehouse_Movements'!$H$2:$H$500),""))</f>
        <v/>
      </c>
      <c r="O418" t="str">
        <f t="shared" si="13"/>
        <v>PAL-0000418</v>
      </c>
      <c r="Q418" s="34"/>
      <c r="R418" s="33"/>
      <c r="W418">
        <f>IF($A2="","",COUNTIF('07_Pallet_Contents'!$A$2:$A$3000,$A2))</f>
        <v>0</v>
      </c>
      <c r="X418">
        <f>IF($A2="","",SUMIF('07_Pallet_Contents'!$A$2:$A$3000,$A2,'07_Pallet_Contents'!$D$2:$D$3000))</f>
        <v>0</v>
      </c>
      <c r="Y418">
        <f>IF($A2="","",SUMIF('07_Pallet_Contents'!$A$2:$A$3000,$A2,'07_Pallet_Contents'!$I$2:$I$3000))</f>
        <v>0</v>
      </c>
      <c r="Z418" t="str">
        <f>IF($A2="","",IF(COUNTIF('07_Pallet_Contents'!$A$2:$A$3000,$A2)&gt;0,"Yes",""))</f>
        <v/>
      </c>
    </row>
    <row r="419" spans="1:26">
      <c r="A419" s="4" t="s">
        <v>729</v>
      </c>
      <c r="B419" s="31"/>
      <c r="D419" t="str">
        <f>IF($C419="","",IFERROR(LOOKUP(2,1/('03_Warehouse_Movements'!$C$2:$C$500=$A419),'03_Warehouse_Movements'!$E$2:$E$500),$C419))</f>
        <v/>
      </c>
      <c r="E419" t="s">
        <v>209</v>
      </c>
      <c r="G419" s="34"/>
      <c r="H419" s="33" t="str">
        <f t="shared" si="12"/>
        <v/>
      </c>
      <c r="I419" s="31"/>
      <c r="J419" s="31"/>
      <c r="K419" s="33"/>
      <c r="M419" s="69" t="str">
        <f>IF($C419="","",IFERROR(LOOKUP(2,1/('03_Warehouse_Movements'!$C$2:$C$500=$A419),'03_Warehouse_Movements'!$A$2:$A$500),""))</f>
        <v/>
      </c>
      <c r="N419" t="str">
        <f>IF($C419="","",IFERROR(LOOKUP(2,1/('03_Warehouse_Movements'!$C$2:$C$500=$A419),'03_Warehouse_Movements'!$H$2:$H$500),""))</f>
        <v/>
      </c>
      <c r="O419" t="str">
        <f t="shared" si="13"/>
        <v>PAL-0000419</v>
      </c>
      <c r="Q419" s="34"/>
      <c r="R419" s="33"/>
      <c r="W419">
        <f>IF($A2="","",COUNTIF('07_Pallet_Contents'!$A$2:$A$3000,$A2))</f>
        <v>0</v>
      </c>
      <c r="X419">
        <f>IF($A2="","",SUMIF('07_Pallet_Contents'!$A$2:$A$3000,$A2,'07_Pallet_Contents'!$D$2:$D$3000))</f>
        <v>0</v>
      </c>
      <c r="Y419">
        <f>IF($A2="","",SUMIF('07_Pallet_Contents'!$A$2:$A$3000,$A2,'07_Pallet_Contents'!$I$2:$I$3000))</f>
        <v>0</v>
      </c>
      <c r="Z419" t="str">
        <f>IF($A2="","",IF(COUNTIF('07_Pallet_Contents'!$A$2:$A$3000,$A2)&gt;0,"Yes",""))</f>
        <v/>
      </c>
    </row>
    <row r="420" spans="1:26">
      <c r="A420" s="4" t="s">
        <v>730</v>
      </c>
      <c r="B420" s="31"/>
      <c r="D420" t="str">
        <f>IF($C420="","",IFERROR(LOOKUP(2,1/('03_Warehouse_Movements'!$C$2:$C$500=$A420),'03_Warehouse_Movements'!$E$2:$E$500),$C420))</f>
        <v/>
      </c>
      <c r="E420" t="s">
        <v>209</v>
      </c>
      <c r="G420" s="34"/>
      <c r="H420" s="33" t="str">
        <f t="shared" si="12"/>
        <v/>
      </c>
      <c r="I420" s="31"/>
      <c r="J420" s="31"/>
      <c r="K420" s="33"/>
      <c r="M420" s="69" t="str">
        <f>IF($C420="","",IFERROR(LOOKUP(2,1/('03_Warehouse_Movements'!$C$2:$C$500=$A420),'03_Warehouse_Movements'!$A$2:$A$500),""))</f>
        <v/>
      </c>
      <c r="N420" t="str">
        <f>IF($C420="","",IFERROR(LOOKUP(2,1/('03_Warehouse_Movements'!$C$2:$C$500=$A420),'03_Warehouse_Movements'!$H$2:$H$500),""))</f>
        <v/>
      </c>
      <c r="O420" t="str">
        <f t="shared" si="13"/>
        <v>PAL-0000420</v>
      </c>
      <c r="Q420" s="34"/>
      <c r="R420" s="33"/>
      <c r="W420">
        <f>IF($A2="","",COUNTIF('07_Pallet_Contents'!$A$2:$A$3000,$A2))</f>
        <v>0</v>
      </c>
      <c r="X420">
        <f>IF($A2="","",SUMIF('07_Pallet_Contents'!$A$2:$A$3000,$A2,'07_Pallet_Contents'!$D$2:$D$3000))</f>
        <v>0</v>
      </c>
      <c r="Y420">
        <f>IF($A2="","",SUMIF('07_Pallet_Contents'!$A$2:$A$3000,$A2,'07_Pallet_Contents'!$I$2:$I$3000))</f>
        <v>0</v>
      </c>
      <c r="Z420" t="str">
        <f>IF($A2="","",IF(COUNTIF('07_Pallet_Contents'!$A$2:$A$3000,$A2)&gt;0,"Yes",""))</f>
        <v/>
      </c>
    </row>
    <row r="421" spans="1:26">
      <c r="A421" s="4" t="s">
        <v>731</v>
      </c>
      <c r="B421" s="31"/>
      <c r="D421" t="str">
        <f>IF($C421="","",IFERROR(LOOKUP(2,1/('03_Warehouse_Movements'!$C$2:$C$500=$A421),'03_Warehouse_Movements'!$E$2:$E$500),$C421))</f>
        <v/>
      </c>
      <c r="E421" t="s">
        <v>209</v>
      </c>
      <c r="G421" s="34"/>
      <c r="H421" s="33" t="str">
        <f t="shared" si="12"/>
        <v/>
      </c>
      <c r="I421" s="31"/>
      <c r="J421" s="31"/>
      <c r="K421" s="33"/>
      <c r="M421" s="69" t="str">
        <f>IF($C421="","",IFERROR(LOOKUP(2,1/('03_Warehouse_Movements'!$C$2:$C$500=$A421),'03_Warehouse_Movements'!$A$2:$A$500),""))</f>
        <v/>
      </c>
      <c r="N421" t="str">
        <f>IF($C421="","",IFERROR(LOOKUP(2,1/('03_Warehouse_Movements'!$C$2:$C$500=$A421),'03_Warehouse_Movements'!$H$2:$H$500),""))</f>
        <v/>
      </c>
      <c r="O421" t="str">
        <f t="shared" si="13"/>
        <v>PAL-0000421</v>
      </c>
      <c r="Q421" s="34"/>
      <c r="R421" s="33"/>
      <c r="W421">
        <f>IF($A2="","",COUNTIF('07_Pallet_Contents'!$A$2:$A$3000,$A2))</f>
        <v>0</v>
      </c>
      <c r="X421">
        <f>IF($A2="","",SUMIF('07_Pallet_Contents'!$A$2:$A$3000,$A2,'07_Pallet_Contents'!$D$2:$D$3000))</f>
        <v>0</v>
      </c>
      <c r="Y421">
        <f>IF($A2="","",SUMIF('07_Pallet_Contents'!$A$2:$A$3000,$A2,'07_Pallet_Contents'!$I$2:$I$3000))</f>
        <v>0</v>
      </c>
      <c r="Z421" t="str">
        <f>IF($A2="","",IF(COUNTIF('07_Pallet_Contents'!$A$2:$A$3000,$A2)&gt;0,"Yes",""))</f>
        <v/>
      </c>
    </row>
    <row r="422" spans="1:26">
      <c r="A422" s="4" t="s">
        <v>732</v>
      </c>
      <c r="B422" s="31"/>
      <c r="D422" t="str">
        <f>IF($C422="","",IFERROR(LOOKUP(2,1/('03_Warehouse_Movements'!$C$2:$C$500=$A422),'03_Warehouse_Movements'!$E$2:$E$500),$C422))</f>
        <v/>
      </c>
      <c r="E422" t="s">
        <v>209</v>
      </c>
      <c r="G422" s="34"/>
      <c r="H422" s="33" t="str">
        <f t="shared" si="12"/>
        <v/>
      </c>
      <c r="I422" s="31"/>
      <c r="J422" s="31"/>
      <c r="K422" s="33"/>
      <c r="M422" s="69" t="str">
        <f>IF($C422="","",IFERROR(LOOKUP(2,1/('03_Warehouse_Movements'!$C$2:$C$500=$A422),'03_Warehouse_Movements'!$A$2:$A$500),""))</f>
        <v/>
      </c>
      <c r="N422" t="str">
        <f>IF($C422="","",IFERROR(LOOKUP(2,1/('03_Warehouse_Movements'!$C$2:$C$500=$A422),'03_Warehouse_Movements'!$H$2:$H$500),""))</f>
        <v/>
      </c>
      <c r="O422" t="str">
        <f t="shared" si="13"/>
        <v>PAL-0000422</v>
      </c>
      <c r="Q422" s="34"/>
      <c r="R422" s="33"/>
      <c r="W422">
        <f>IF($A2="","",COUNTIF('07_Pallet_Contents'!$A$2:$A$3000,$A2))</f>
        <v>0</v>
      </c>
      <c r="X422">
        <f>IF($A2="","",SUMIF('07_Pallet_Contents'!$A$2:$A$3000,$A2,'07_Pallet_Contents'!$D$2:$D$3000))</f>
        <v>0</v>
      </c>
      <c r="Y422">
        <f>IF($A2="","",SUMIF('07_Pallet_Contents'!$A$2:$A$3000,$A2,'07_Pallet_Contents'!$I$2:$I$3000))</f>
        <v>0</v>
      </c>
      <c r="Z422" t="str">
        <f>IF($A2="","",IF(COUNTIF('07_Pallet_Contents'!$A$2:$A$3000,$A2)&gt;0,"Yes",""))</f>
        <v/>
      </c>
    </row>
    <row r="423" spans="1:26">
      <c r="A423" s="4" t="s">
        <v>733</v>
      </c>
      <c r="B423" s="31"/>
      <c r="D423" t="str">
        <f>IF($C423="","",IFERROR(LOOKUP(2,1/('03_Warehouse_Movements'!$C$2:$C$500=$A423),'03_Warehouse_Movements'!$E$2:$E$500),$C423))</f>
        <v/>
      </c>
      <c r="E423" t="s">
        <v>209</v>
      </c>
      <c r="G423" s="34"/>
      <c r="H423" s="33" t="str">
        <f t="shared" si="12"/>
        <v/>
      </c>
      <c r="I423" s="31"/>
      <c r="J423" s="31"/>
      <c r="K423" s="33"/>
      <c r="M423" s="69" t="str">
        <f>IF($C423="","",IFERROR(LOOKUP(2,1/('03_Warehouse_Movements'!$C$2:$C$500=$A423),'03_Warehouse_Movements'!$A$2:$A$500),""))</f>
        <v/>
      </c>
      <c r="N423" t="str">
        <f>IF($C423="","",IFERROR(LOOKUP(2,1/('03_Warehouse_Movements'!$C$2:$C$500=$A423),'03_Warehouse_Movements'!$H$2:$H$500),""))</f>
        <v/>
      </c>
      <c r="O423" t="str">
        <f t="shared" si="13"/>
        <v>PAL-0000423</v>
      </c>
      <c r="Q423" s="34"/>
      <c r="R423" s="33"/>
      <c r="W423">
        <f>IF($A2="","",COUNTIF('07_Pallet_Contents'!$A$2:$A$3000,$A2))</f>
        <v>0</v>
      </c>
      <c r="X423">
        <f>IF($A2="","",SUMIF('07_Pallet_Contents'!$A$2:$A$3000,$A2,'07_Pallet_Contents'!$D$2:$D$3000))</f>
        <v>0</v>
      </c>
      <c r="Y423">
        <f>IF($A2="","",SUMIF('07_Pallet_Contents'!$A$2:$A$3000,$A2,'07_Pallet_Contents'!$I$2:$I$3000))</f>
        <v>0</v>
      </c>
      <c r="Z423" t="str">
        <f>IF($A2="","",IF(COUNTIF('07_Pallet_Contents'!$A$2:$A$3000,$A2)&gt;0,"Yes",""))</f>
        <v/>
      </c>
    </row>
    <row r="424" spans="1:26">
      <c r="A424" s="4" t="s">
        <v>734</v>
      </c>
      <c r="B424" s="31"/>
      <c r="D424" t="str">
        <f>IF($C424="","",IFERROR(LOOKUP(2,1/('03_Warehouse_Movements'!$C$2:$C$500=$A424),'03_Warehouse_Movements'!$E$2:$E$500),$C424))</f>
        <v/>
      </c>
      <c r="E424" t="s">
        <v>209</v>
      </c>
      <c r="G424" s="34"/>
      <c r="H424" s="33" t="str">
        <f t="shared" si="12"/>
        <v/>
      </c>
      <c r="I424" s="31"/>
      <c r="J424" s="31"/>
      <c r="K424" s="33"/>
      <c r="M424" s="69" t="str">
        <f>IF($C424="","",IFERROR(LOOKUP(2,1/('03_Warehouse_Movements'!$C$2:$C$500=$A424),'03_Warehouse_Movements'!$A$2:$A$500),""))</f>
        <v/>
      </c>
      <c r="N424" t="str">
        <f>IF($C424="","",IFERROR(LOOKUP(2,1/('03_Warehouse_Movements'!$C$2:$C$500=$A424),'03_Warehouse_Movements'!$H$2:$H$500),""))</f>
        <v/>
      </c>
      <c r="O424" t="str">
        <f t="shared" si="13"/>
        <v>PAL-0000424</v>
      </c>
      <c r="Q424" s="34"/>
      <c r="R424" s="33"/>
      <c r="W424">
        <f>IF($A2="","",COUNTIF('07_Pallet_Contents'!$A$2:$A$3000,$A2))</f>
        <v>0</v>
      </c>
      <c r="X424">
        <f>IF($A2="","",SUMIF('07_Pallet_Contents'!$A$2:$A$3000,$A2,'07_Pallet_Contents'!$D$2:$D$3000))</f>
        <v>0</v>
      </c>
      <c r="Y424">
        <f>IF($A2="","",SUMIF('07_Pallet_Contents'!$A$2:$A$3000,$A2,'07_Pallet_Contents'!$I$2:$I$3000))</f>
        <v>0</v>
      </c>
      <c r="Z424" t="str">
        <f>IF($A2="","",IF(COUNTIF('07_Pallet_Contents'!$A$2:$A$3000,$A2)&gt;0,"Yes",""))</f>
        <v/>
      </c>
    </row>
    <row r="425" spans="1:26">
      <c r="A425" s="4" t="s">
        <v>735</v>
      </c>
      <c r="B425" s="31"/>
      <c r="D425" t="str">
        <f>IF($C425="","",IFERROR(LOOKUP(2,1/('03_Warehouse_Movements'!$C$2:$C$500=$A425),'03_Warehouse_Movements'!$E$2:$E$500),$C425))</f>
        <v/>
      </c>
      <c r="E425" t="s">
        <v>209</v>
      </c>
      <c r="G425" s="34"/>
      <c r="H425" s="33" t="str">
        <f t="shared" si="12"/>
        <v/>
      </c>
      <c r="I425" s="31"/>
      <c r="J425" s="31"/>
      <c r="K425" s="33"/>
      <c r="M425" s="69" t="str">
        <f>IF($C425="","",IFERROR(LOOKUP(2,1/('03_Warehouse_Movements'!$C$2:$C$500=$A425),'03_Warehouse_Movements'!$A$2:$A$500),""))</f>
        <v/>
      </c>
      <c r="N425" t="str">
        <f>IF($C425="","",IFERROR(LOOKUP(2,1/('03_Warehouse_Movements'!$C$2:$C$500=$A425),'03_Warehouse_Movements'!$H$2:$H$500),""))</f>
        <v/>
      </c>
      <c r="O425" t="str">
        <f t="shared" si="13"/>
        <v>PAL-0000425</v>
      </c>
      <c r="Q425" s="34"/>
      <c r="R425" s="33"/>
      <c r="W425">
        <f>IF($A2="","",COUNTIF('07_Pallet_Contents'!$A$2:$A$3000,$A2))</f>
        <v>0</v>
      </c>
      <c r="X425">
        <f>IF($A2="","",SUMIF('07_Pallet_Contents'!$A$2:$A$3000,$A2,'07_Pallet_Contents'!$D$2:$D$3000))</f>
        <v>0</v>
      </c>
      <c r="Y425">
        <f>IF($A2="","",SUMIF('07_Pallet_Contents'!$A$2:$A$3000,$A2,'07_Pallet_Contents'!$I$2:$I$3000))</f>
        <v>0</v>
      </c>
      <c r="Z425" t="str">
        <f>IF($A2="","",IF(COUNTIF('07_Pallet_Contents'!$A$2:$A$3000,$A2)&gt;0,"Yes",""))</f>
        <v/>
      </c>
    </row>
    <row r="426" spans="1:26">
      <c r="A426" s="4" t="s">
        <v>736</v>
      </c>
      <c r="B426" s="31"/>
      <c r="D426" t="str">
        <f>IF($C426="","",IFERROR(LOOKUP(2,1/('03_Warehouse_Movements'!$C$2:$C$500=$A426),'03_Warehouse_Movements'!$E$2:$E$500),$C426))</f>
        <v/>
      </c>
      <c r="E426" t="s">
        <v>209</v>
      </c>
      <c r="G426" s="34"/>
      <c r="H426" s="33" t="str">
        <f t="shared" si="12"/>
        <v/>
      </c>
      <c r="I426" s="31"/>
      <c r="J426" s="31"/>
      <c r="K426" s="33"/>
      <c r="M426" s="69" t="str">
        <f>IF($C426="","",IFERROR(LOOKUP(2,1/('03_Warehouse_Movements'!$C$2:$C$500=$A426),'03_Warehouse_Movements'!$A$2:$A$500),""))</f>
        <v/>
      </c>
      <c r="N426" t="str">
        <f>IF($C426="","",IFERROR(LOOKUP(2,1/('03_Warehouse_Movements'!$C$2:$C$500=$A426),'03_Warehouse_Movements'!$H$2:$H$500),""))</f>
        <v/>
      </c>
      <c r="O426" t="str">
        <f t="shared" si="13"/>
        <v>PAL-0000426</v>
      </c>
      <c r="Q426" s="34"/>
      <c r="R426" s="33"/>
      <c r="W426">
        <f>IF($A2="","",COUNTIF('07_Pallet_Contents'!$A$2:$A$3000,$A2))</f>
        <v>0</v>
      </c>
      <c r="X426">
        <f>IF($A2="","",SUMIF('07_Pallet_Contents'!$A$2:$A$3000,$A2,'07_Pallet_Contents'!$D$2:$D$3000))</f>
        <v>0</v>
      </c>
      <c r="Y426">
        <f>IF($A2="","",SUMIF('07_Pallet_Contents'!$A$2:$A$3000,$A2,'07_Pallet_Contents'!$I$2:$I$3000))</f>
        <v>0</v>
      </c>
      <c r="Z426" t="str">
        <f>IF($A2="","",IF(COUNTIF('07_Pallet_Contents'!$A$2:$A$3000,$A2)&gt;0,"Yes",""))</f>
        <v/>
      </c>
    </row>
    <row r="427" spans="1:26">
      <c r="A427" s="4" t="s">
        <v>737</v>
      </c>
      <c r="B427" s="31"/>
      <c r="D427" t="str">
        <f>IF($C427="","",IFERROR(LOOKUP(2,1/('03_Warehouse_Movements'!$C$2:$C$500=$A427),'03_Warehouse_Movements'!$E$2:$E$500),$C427))</f>
        <v/>
      </c>
      <c r="E427" t="s">
        <v>209</v>
      </c>
      <c r="G427" s="34"/>
      <c r="H427" s="33" t="str">
        <f t="shared" si="12"/>
        <v/>
      </c>
      <c r="I427" s="31"/>
      <c r="J427" s="31"/>
      <c r="K427" s="33"/>
      <c r="M427" s="69" t="str">
        <f>IF($C427="","",IFERROR(LOOKUP(2,1/('03_Warehouse_Movements'!$C$2:$C$500=$A427),'03_Warehouse_Movements'!$A$2:$A$500),""))</f>
        <v/>
      </c>
      <c r="N427" t="str">
        <f>IF($C427="","",IFERROR(LOOKUP(2,1/('03_Warehouse_Movements'!$C$2:$C$500=$A427),'03_Warehouse_Movements'!$H$2:$H$500),""))</f>
        <v/>
      </c>
      <c r="O427" t="str">
        <f t="shared" si="13"/>
        <v>PAL-0000427</v>
      </c>
      <c r="Q427" s="34"/>
      <c r="R427" s="33"/>
      <c r="W427">
        <f>IF($A2="","",COUNTIF('07_Pallet_Contents'!$A$2:$A$3000,$A2))</f>
        <v>0</v>
      </c>
      <c r="X427">
        <f>IF($A2="","",SUMIF('07_Pallet_Contents'!$A$2:$A$3000,$A2,'07_Pallet_Contents'!$D$2:$D$3000))</f>
        <v>0</v>
      </c>
      <c r="Y427">
        <f>IF($A2="","",SUMIF('07_Pallet_Contents'!$A$2:$A$3000,$A2,'07_Pallet_Contents'!$I$2:$I$3000))</f>
        <v>0</v>
      </c>
      <c r="Z427" t="str">
        <f>IF($A2="","",IF(COUNTIF('07_Pallet_Contents'!$A$2:$A$3000,$A2)&gt;0,"Yes",""))</f>
        <v/>
      </c>
    </row>
    <row r="428" spans="1:26">
      <c r="A428" s="4" t="s">
        <v>738</v>
      </c>
      <c r="B428" s="31"/>
      <c r="D428" t="str">
        <f>IF($C428="","",IFERROR(LOOKUP(2,1/('03_Warehouse_Movements'!$C$2:$C$500=$A428),'03_Warehouse_Movements'!$E$2:$E$500),$C428))</f>
        <v/>
      </c>
      <c r="E428" t="s">
        <v>209</v>
      </c>
      <c r="G428" s="34"/>
      <c r="H428" s="33" t="str">
        <f t="shared" si="12"/>
        <v/>
      </c>
      <c r="I428" s="31"/>
      <c r="J428" s="31"/>
      <c r="K428" s="33"/>
      <c r="M428" s="69" t="str">
        <f>IF($C428="","",IFERROR(LOOKUP(2,1/('03_Warehouse_Movements'!$C$2:$C$500=$A428),'03_Warehouse_Movements'!$A$2:$A$500),""))</f>
        <v/>
      </c>
      <c r="N428" t="str">
        <f>IF($C428="","",IFERROR(LOOKUP(2,1/('03_Warehouse_Movements'!$C$2:$C$500=$A428),'03_Warehouse_Movements'!$H$2:$H$500),""))</f>
        <v/>
      </c>
      <c r="O428" t="str">
        <f t="shared" si="13"/>
        <v>PAL-0000428</v>
      </c>
      <c r="Q428" s="34"/>
      <c r="R428" s="33"/>
      <c r="W428">
        <f>IF($A2="","",COUNTIF('07_Pallet_Contents'!$A$2:$A$3000,$A2))</f>
        <v>0</v>
      </c>
      <c r="X428">
        <f>IF($A2="","",SUMIF('07_Pallet_Contents'!$A$2:$A$3000,$A2,'07_Pallet_Contents'!$D$2:$D$3000))</f>
        <v>0</v>
      </c>
      <c r="Y428">
        <f>IF($A2="","",SUMIF('07_Pallet_Contents'!$A$2:$A$3000,$A2,'07_Pallet_Contents'!$I$2:$I$3000))</f>
        <v>0</v>
      </c>
      <c r="Z428" t="str">
        <f>IF($A2="","",IF(COUNTIF('07_Pallet_Contents'!$A$2:$A$3000,$A2)&gt;0,"Yes",""))</f>
        <v/>
      </c>
    </row>
    <row r="429" spans="1:26">
      <c r="A429" s="4" t="s">
        <v>739</v>
      </c>
      <c r="B429" s="31"/>
      <c r="D429" t="str">
        <f>IF($C429="","",IFERROR(LOOKUP(2,1/('03_Warehouse_Movements'!$C$2:$C$500=$A429),'03_Warehouse_Movements'!$E$2:$E$500),$C429))</f>
        <v/>
      </c>
      <c r="E429" t="s">
        <v>209</v>
      </c>
      <c r="G429" s="34"/>
      <c r="H429" s="33" t="str">
        <f t="shared" si="12"/>
        <v/>
      </c>
      <c r="I429" s="31"/>
      <c r="J429" s="31"/>
      <c r="K429" s="33"/>
      <c r="M429" s="69" t="str">
        <f>IF($C429="","",IFERROR(LOOKUP(2,1/('03_Warehouse_Movements'!$C$2:$C$500=$A429),'03_Warehouse_Movements'!$A$2:$A$500),""))</f>
        <v/>
      </c>
      <c r="N429" t="str">
        <f>IF($C429="","",IFERROR(LOOKUP(2,1/('03_Warehouse_Movements'!$C$2:$C$500=$A429),'03_Warehouse_Movements'!$H$2:$H$500),""))</f>
        <v/>
      </c>
      <c r="O429" t="str">
        <f t="shared" si="13"/>
        <v>PAL-0000429</v>
      </c>
      <c r="Q429" s="34"/>
      <c r="R429" s="33"/>
      <c r="W429">
        <f>IF($A2="","",COUNTIF('07_Pallet_Contents'!$A$2:$A$3000,$A2))</f>
        <v>0</v>
      </c>
      <c r="X429">
        <f>IF($A2="","",SUMIF('07_Pallet_Contents'!$A$2:$A$3000,$A2,'07_Pallet_Contents'!$D$2:$D$3000))</f>
        <v>0</v>
      </c>
      <c r="Y429">
        <f>IF($A2="","",SUMIF('07_Pallet_Contents'!$A$2:$A$3000,$A2,'07_Pallet_Contents'!$I$2:$I$3000))</f>
        <v>0</v>
      </c>
      <c r="Z429" t="str">
        <f>IF($A2="","",IF(COUNTIF('07_Pallet_Contents'!$A$2:$A$3000,$A2)&gt;0,"Yes",""))</f>
        <v/>
      </c>
    </row>
    <row r="430" spans="1:26">
      <c r="A430" s="4" t="s">
        <v>740</v>
      </c>
      <c r="B430" s="31"/>
      <c r="D430" t="str">
        <f>IF($C430="","",IFERROR(LOOKUP(2,1/('03_Warehouse_Movements'!$C$2:$C$500=$A430),'03_Warehouse_Movements'!$E$2:$E$500),$C430))</f>
        <v/>
      </c>
      <c r="E430" t="s">
        <v>209</v>
      </c>
      <c r="G430" s="34"/>
      <c r="H430" s="33" t="str">
        <f t="shared" si="12"/>
        <v/>
      </c>
      <c r="I430" s="31"/>
      <c r="J430" s="31"/>
      <c r="K430" s="33"/>
      <c r="M430" s="69" t="str">
        <f>IF($C430="","",IFERROR(LOOKUP(2,1/('03_Warehouse_Movements'!$C$2:$C$500=$A430),'03_Warehouse_Movements'!$A$2:$A$500),""))</f>
        <v/>
      </c>
      <c r="N430" t="str">
        <f>IF($C430="","",IFERROR(LOOKUP(2,1/('03_Warehouse_Movements'!$C$2:$C$500=$A430),'03_Warehouse_Movements'!$H$2:$H$500),""))</f>
        <v/>
      </c>
      <c r="O430" t="str">
        <f t="shared" si="13"/>
        <v>PAL-0000430</v>
      </c>
      <c r="Q430" s="34"/>
      <c r="R430" s="33"/>
      <c r="W430">
        <f>IF($A2="","",COUNTIF('07_Pallet_Contents'!$A$2:$A$3000,$A2))</f>
        <v>0</v>
      </c>
      <c r="X430">
        <f>IF($A2="","",SUMIF('07_Pallet_Contents'!$A$2:$A$3000,$A2,'07_Pallet_Contents'!$D$2:$D$3000))</f>
        <v>0</v>
      </c>
      <c r="Y430">
        <f>IF($A2="","",SUMIF('07_Pallet_Contents'!$A$2:$A$3000,$A2,'07_Pallet_Contents'!$I$2:$I$3000))</f>
        <v>0</v>
      </c>
      <c r="Z430" t="str">
        <f>IF($A2="","",IF(COUNTIF('07_Pallet_Contents'!$A$2:$A$3000,$A2)&gt;0,"Yes",""))</f>
        <v/>
      </c>
    </row>
    <row r="431" spans="1:26">
      <c r="A431" s="4" t="s">
        <v>741</v>
      </c>
      <c r="B431" s="31"/>
      <c r="D431" t="str">
        <f>IF($C431="","",IFERROR(LOOKUP(2,1/('03_Warehouse_Movements'!$C$2:$C$500=$A431),'03_Warehouse_Movements'!$E$2:$E$500),$C431))</f>
        <v/>
      </c>
      <c r="E431" t="s">
        <v>209</v>
      </c>
      <c r="G431" s="34"/>
      <c r="H431" s="33" t="str">
        <f t="shared" si="12"/>
        <v/>
      </c>
      <c r="I431" s="31"/>
      <c r="J431" s="31"/>
      <c r="K431" s="33"/>
      <c r="M431" s="69" t="str">
        <f>IF($C431="","",IFERROR(LOOKUP(2,1/('03_Warehouse_Movements'!$C$2:$C$500=$A431),'03_Warehouse_Movements'!$A$2:$A$500),""))</f>
        <v/>
      </c>
      <c r="N431" t="str">
        <f>IF($C431="","",IFERROR(LOOKUP(2,1/('03_Warehouse_Movements'!$C$2:$C$500=$A431),'03_Warehouse_Movements'!$H$2:$H$500),""))</f>
        <v/>
      </c>
      <c r="O431" t="str">
        <f t="shared" si="13"/>
        <v>PAL-0000431</v>
      </c>
      <c r="Q431" s="34"/>
      <c r="R431" s="33"/>
      <c r="W431">
        <f>IF($A2="","",COUNTIF('07_Pallet_Contents'!$A$2:$A$3000,$A2))</f>
        <v>0</v>
      </c>
      <c r="X431">
        <f>IF($A2="","",SUMIF('07_Pallet_Contents'!$A$2:$A$3000,$A2,'07_Pallet_Contents'!$D$2:$D$3000))</f>
        <v>0</v>
      </c>
      <c r="Y431">
        <f>IF($A2="","",SUMIF('07_Pallet_Contents'!$A$2:$A$3000,$A2,'07_Pallet_Contents'!$I$2:$I$3000))</f>
        <v>0</v>
      </c>
      <c r="Z431" t="str">
        <f>IF($A2="","",IF(COUNTIF('07_Pallet_Contents'!$A$2:$A$3000,$A2)&gt;0,"Yes",""))</f>
        <v/>
      </c>
    </row>
    <row r="432" spans="1:26">
      <c r="A432" s="4" t="s">
        <v>742</v>
      </c>
      <c r="B432" s="31"/>
      <c r="D432" t="str">
        <f>IF($C432="","",IFERROR(LOOKUP(2,1/('03_Warehouse_Movements'!$C$2:$C$500=$A432),'03_Warehouse_Movements'!$E$2:$E$500),$C432))</f>
        <v/>
      </c>
      <c r="E432" t="s">
        <v>209</v>
      </c>
      <c r="G432" s="34"/>
      <c r="H432" s="33" t="str">
        <f t="shared" si="12"/>
        <v/>
      </c>
      <c r="I432" s="31"/>
      <c r="J432" s="31"/>
      <c r="K432" s="33"/>
      <c r="M432" s="69" t="str">
        <f>IF($C432="","",IFERROR(LOOKUP(2,1/('03_Warehouse_Movements'!$C$2:$C$500=$A432),'03_Warehouse_Movements'!$A$2:$A$500),""))</f>
        <v/>
      </c>
      <c r="N432" t="str">
        <f>IF($C432="","",IFERROR(LOOKUP(2,1/('03_Warehouse_Movements'!$C$2:$C$500=$A432),'03_Warehouse_Movements'!$H$2:$H$500),""))</f>
        <v/>
      </c>
      <c r="O432" t="str">
        <f t="shared" si="13"/>
        <v>PAL-0000432</v>
      </c>
      <c r="Q432" s="34"/>
      <c r="R432" s="33"/>
      <c r="W432">
        <f>IF($A2="","",COUNTIF('07_Pallet_Contents'!$A$2:$A$3000,$A2))</f>
        <v>0</v>
      </c>
      <c r="X432">
        <f>IF($A2="","",SUMIF('07_Pallet_Contents'!$A$2:$A$3000,$A2,'07_Pallet_Contents'!$D$2:$D$3000))</f>
        <v>0</v>
      </c>
      <c r="Y432">
        <f>IF($A2="","",SUMIF('07_Pallet_Contents'!$A$2:$A$3000,$A2,'07_Pallet_Contents'!$I$2:$I$3000))</f>
        <v>0</v>
      </c>
      <c r="Z432" t="str">
        <f>IF($A2="","",IF(COUNTIF('07_Pallet_Contents'!$A$2:$A$3000,$A2)&gt;0,"Yes",""))</f>
        <v/>
      </c>
    </row>
    <row r="433" spans="1:26">
      <c r="A433" s="4" t="s">
        <v>743</v>
      </c>
      <c r="B433" s="31"/>
      <c r="D433" t="str">
        <f>IF($C433="","",IFERROR(LOOKUP(2,1/('03_Warehouse_Movements'!$C$2:$C$500=$A433),'03_Warehouse_Movements'!$E$2:$E$500),$C433))</f>
        <v/>
      </c>
      <c r="E433" t="s">
        <v>209</v>
      </c>
      <c r="G433" s="34"/>
      <c r="H433" s="33" t="str">
        <f t="shared" si="12"/>
        <v/>
      </c>
      <c r="I433" s="31"/>
      <c r="J433" s="31"/>
      <c r="K433" s="33"/>
      <c r="M433" s="69" t="str">
        <f>IF($C433="","",IFERROR(LOOKUP(2,1/('03_Warehouse_Movements'!$C$2:$C$500=$A433),'03_Warehouse_Movements'!$A$2:$A$500),""))</f>
        <v/>
      </c>
      <c r="N433" t="str">
        <f>IF($C433="","",IFERROR(LOOKUP(2,1/('03_Warehouse_Movements'!$C$2:$C$500=$A433),'03_Warehouse_Movements'!$H$2:$H$500),""))</f>
        <v/>
      </c>
      <c r="O433" t="str">
        <f t="shared" si="13"/>
        <v>PAL-0000433</v>
      </c>
      <c r="Q433" s="34"/>
      <c r="R433" s="33"/>
      <c r="W433">
        <f>IF($A2="","",COUNTIF('07_Pallet_Contents'!$A$2:$A$3000,$A2))</f>
        <v>0</v>
      </c>
      <c r="X433">
        <f>IF($A2="","",SUMIF('07_Pallet_Contents'!$A$2:$A$3000,$A2,'07_Pallet_Contents'!$D$2:$D$3000))</f>
        <v>0</v>
      </c>
      <c r="Y433">
        <f>IF($A2="","",SUMIF('07_Pallet_Contents'!$A$2:$A$3000,$A2,'07_Pallet_Contents'!$I$2:$I$3000))</f>
        <v>0</v>
      </c>
      <c r="Z433" t="str">
        <f>IF($A2="","",IF(COUNTIF('07_Pallet_Contents'!$A$2:$A$3000,$A2)&gt;0,"Yes",""))</f>
        <v/>
      </c>
    </row>
    <row r="434" spans="1:26">
      <c r="A434" s="4" t="s">
        <v>744</v>
      </c>
      <c r="B434" s="31"/>
      <c r="D434" t="str">
        <f>IF($C434="","",IFERROR(LOOKUP(2,1/('03_Warehouse_Movements'!$C$2:$C$500=$A434),'03_Warehouse_Movements'!$E$2:$E$500),$C434))</f>
        <v/>
      </c>
      <c r="E434" t="s">
        <v>209</v>
      </c>
      <c r="G434" s="34"/>
      <c r="H434" s="33" t="str">
        <f t="shared" si="12"/>
        <v/>
      </c>
      <c r="I434" s="31"/>
      <c r="J434" s="31"/>
      <c r="K434" s="33"/>
      <c r="M434" s="69" t="str">
        <f>IF($C434="","",IFERROR(LOOKUP(2,1/('03_Warehouse_Movements'!$C$2:$C$500=$A434),'03_Warehouse_Movements'!$A$2:$A$500),""))</f>
        <v/>
      </c>
      <c r="N434" t="str">
        <f>IF($C434="","",IFERROR(LOOKUP(2,1/('03_Warehouse_Movements'!$C$2:$C$500=$A434),'03_Warehouse_Movements'!$H$2:$H$500),""))</f>
        <v/>
      </c>
      <c r="O434" t="str">
        <f t="shared" si="13"/>
        <v>PAL-0000434</v>
      </c>
      <c r="Q434" s="34"/>
      <c r="R434" s="33"/>
      <c r="W434">
        <f>IF($A2="","",COUNTIF('07_Pallet_Contents'!$A$2:$A$3000,$A2))</f>
        <v>0</v>
      </c>
      <c r="X434">
        <f>IF($A2="","",SUMIF('07_Pallet_Contents'!$A$2:$A$3000,$A2,'07_Pallet_Contents'!$D$2:$D$3000))</f>
        <v>0</v>
      </c>
      <c r="Y434">
        <f>IF($A2="","",SUMIF('07_Pallet_Contents'!$A$2:$A$3000,$A2,'07_Pallet_Contents'!$I$2:$I$3000))</f>
        <v>0</v>
      </c>
      <c r="Z434" t="str">
        <f>IF($A2="","",IF(COUNTIF('07_Pallet_Contents'!$A$2:$A$3000,$A2)&gt;0,"Yes",""))</f>
        <v/>
      </c>
    </row>
    <row r="435" spans="1:26">
      <c r="A435" s="4" t="s">
        <v>745</v>
      </c>
      <c r="B435" s="31"/>
      <c r="D435" t="str">
        <f>IF($C435="","",IFERROR(LOOKUP(2,1/('03_Warehouse_Movements'!$C$2:$C$500=$A435),'03_Warehouse_Movements'!$E$2:$E$500),$C435))</f>
        <v/>
      </c>
      <c r="E435" t="s">
        <v>209</v>
      </c>
      <c r="G435" s="34"/>
      <c r="H435" s="33" t="str">
        <f t="shared" si="12"/>
        <v/>
      </c>
      <c r="I435" s="31"/>
      <c r="J435" s="31"/>
      <c r="K435" s="33"/>
      <c r="M435" s="69" t="str">
        <f>IF($C435="","",IFERROR(LOOKUP(2,1/('03_Warehouse_Movements'!$C$2:$C$500=$A435),'03_Warehouse_Movements'!$A$2:$A$500),""))</f>
        <v/>
      </c>
      <c r="N435" t="str">
        <f>IF($C435="","",IFERROR(LOOKUP(2,1/('03_Warehouse_Movements'!$C$2:$C$500=$A435),'03_Warehouse_Movements'!$H$2:$H$500),""))</f>
        <v/>
      </c>
      <c r="O435" t="str">
        <f t="shared" si="13"/>
        <v>PAL-0000435</v>
      </c>
      <c r="Q435" s="34"/>
      <c r="R435" s="33"/>
      <c r="W435">
        <f>IF($A2="","",COUNTIF('07_Pallet_Contents'!$A$2:$A$3000,$A2))</f>
        <v>0</v>
      </c>
      <c r="X435">
        <f>IF($A2="","",SUMIF('07_Pallet_Contents'!$A$2:$A$3000,$A2,'07_Pallet_Contents'!$D$2:$D$3000))</f>
        <v>0</v>
      </c>
      <c r="Y435">
        <f>IF($A2="","",SUMIF('07_Pallet_Contents'!$A$2:$A$3000,$A2,'07_Pallet_Contents'!$I$2:$I$3000))</f>
        <v>0</v>
      </c>
      <c r="Z435" t="str">
        <f>IF($A2="","",IF(COUNTIF('07_Pallet_Contents'!$A$2:$A$3000,$A2)&gt;0,"Yes",""))</f>
        <v/>
      </c>
    </row>
    <row r="436" spans="1:26">
      <c r="A436" s="4" t="s">
        <v>746</v>
      </c>
      <c r="B436" s="31"/>
      <c r="D436" t="str">
        <f>IF($C436="","",IFERROR(LOOKUP(2,1/('03_Warehouse_Movements'!$C$2:$C$500=$A436),'03_Warehouse_Movements'!$E$2:$E$500),$C436))</f>
        <v/>
      </c>
      <c r="E436" t="s">
        <v>209</v>
      </c>
      <c r="G436" s="34"/>
      <c r="H436" s="33" t="str">
        <f t="shared" si="12"/>
        <v/>
      </c>
      <c r="I436" s="31"/>
      <c r="J436" s="31"/>
      <c r="K436" s="33"/>
      <c r="M436" s="69" t="str">
        <f>IF($C436="","",IFERROR(LOOKUP(2,1/('03_Warehouse_Movements'!$C$2:$C$500=$A436),'03_Warehouse_Movements'!$A$2:$A$500),""))</f>
        <v/>
      </c>
      <c r="N436" t="str">
        <f>IF($C436="","",IFERROR(LOOKUP(2,1/('03_Warehouse_Movements'!$C$2:$C$500=$A436),'03_Warehouse_Movements'!$H$2:$H$500),""))</f>
        <v/>
      </c>
      <c r="O436" t="str">
        <f t="shared" si="13"/>
        <v>PAL-0000436</v>
      </c>
      <c r="Q436" s="34"/>
      <c r="R436" s="33"/>
      <c r="W436">
        <f>IF($A2="","",COUNTIF('07_Pallet_Contents'!$A$2:$A$3000,$A2))</f>
        <v>0</v>
      </c>
      <c r="X436">
        <f>IF($A2="","",SUMIF('07_Pallet_Contents'!$A$2:$A$3000,$A2,'07_Pallet_Contents'!$D$2:$D$3000))</f>
        <v>0</v>
      </c>
      <c r="Y436">
        <f>IF($A2="","",SUMIF('07_Pallet_Contents'!$A$2:$A$3000,$A2,'07_Pallet_Contents'!$I$2:$I$3000))</f>
        <v>0</v>
      </c>
      <c r="Z436" t="str">
        <f>IF($A2="","",IF(COUNTIF('07_Pallet_Contents'!$A$2:$A$3000,$A2)&gt;0,"Yes",""))</f>
        <v/>
      </c>
    </row>
    <row r="437" spans="1:26">
      <c r="A437" s="4" t="s">
        <v>747</v>
      </c>
      <c r="B437" s="31"/>
      <c r="D437" t="str">
        <f>IF($C437="","",IFERROR(LOOKUP(2,1/('03_Warehouse_Movements'!$C$2:$C$500=$A437),'03_Warehouse_Movements'!$E$2:$E$500),$C437))</f>
        <v/>
      </c>
      <c r="E437" t="s">
        <v>209</v>
      </c>
      <c r="G437" s="34"/>
      <c r="H437" s="33" t="str">
        <f t="shared" si="12"/>
        <v/>
      </c>
      <c r="I437" s="31"/>
      <c r="J437" s="31"/>
      <c r="K437" s="33"/>
      <c r="M437" s="69" t="str">
        <f>IF($C437="","",IFERROR(LOOKUP(2,1/('03_Warehouse_Movements'!$C$2:$C$500=$A437),'03_Warehouse_Movements'!$A$2:$A$500),""))</f>
        <v/>
      </c>
      <c r="N437" t="str">
        <f>IF($C437="","",IFERROR(LOOKUP(2,1/('03_Warehouse_Movements'!$C$2:$C$500=$A437),'03_Warehouse_Movements'!$H$2:$H$500),""))</f>
        <v/>
      </c>
      <c r="O437" t="str">
        <f t="shared" si="13"/>
        <v>PAL-0000437</v>
      </c>
      <c r="Q437" s="34"/>
      <c r="R437" s="33"/>
      <c r="W437">
        <f>IF($A2="","",COUNTIF('07_Pallet_Contents'!$A$2:$A$3000,$A2))</f>
        <v>0</v>
      </c>
      <c r="X437">
        <f>IF($A2="","",SUMIF('07_Pallet_Contents'!$A$2:$A$3000,$A2,'07_Pallet_Contents'!$D$2:$D$3000))</f>
        <v>0</v>
      </c>
      <c r="Y437">
        <f>IF($A2="","",SUMIF('07_Pallet_Contents'!$A$2:$A$3000,$A2,'07_Pallet_Contents'!$I$2:$I$3000))</f>
        <v>0</v>
      </c>
      <c r="Z437" t="str">
        <f>IF($A2="","",IF(COUNTIF('07_Pallet_Contents'!$A$2:$A$3000,$A2)&gt;0,"Yes",""))</f>
        <v/>
      </c>
    </row>
    <row r="438" spans="1:26">
      <c r="A438" s="4" t="s">
        <v>748</v>
      </c>
      <c r="B438" s="31"/>
      <c r="D438" t="str">
        <f>IF($C438="","",IFERROR(LOOKUP(2,1/('03_Warehouse_Movements'!$C$2:$C$500=$A438),'03_Warehouse_Movements'!$E$2:$E$500),$C438))</f>
        <v/>
      </c>
      <c r="E438" t="s">
        <v>209</v>
      </c>
      <c r="G438" s="34"/>
      <c r="H438" s="33" t="str">
        <f t="shared" si="12"/>
        <v/>
      </c>
      <c r="I438" s="31"/>
      <c r="J438" s="31"/>
      <c r="K438" s="33"/>
      <c r="M438" s="69" t="str">
        <f>IF($C438="","",IFERROR(LOOKUP(2,1/('03_Warehouse_Movements'!$C$2:$C$500=$A438),'03_Warehouse_Movements'!$A$2:$A$500),""))</f>
        <v/>
      </c>
      <c r="N438" t="str">
        <f>IF($C438="","",IFERROR(LOOKUP(2,1/('03_Warehouse_Movements'!$C$2:$C$500=$A438),'03_Warehouse_Movements'!$H$2:$H$500),""))</f>
        <v/>
      </c>
      <c r="O438" t="str">
        <f t="shared" si="13"/>
        <v>PAL-0000438</v>
      </c>
      <c r="Q438" s="34"/>
      <c r="R438" s="33"/>
      <c r="W438">
        <f>IF($A2="","",COUNTIF('07_Pallet_Contents'!$A$2:$A$3000,$A2))</f>
        <v>0</v>
      </c>
      <c r="X438">
        <f>IF($A2="","",SUMIF('07_Pallet_Contents'!$A$2:$A$3000,$A2,'07_Pallet_Contents'!$D$2:$D$3000))</f>
        <v>0</v>
      </c>
      <c r="Y438">
        <f>IF($A2="","",SUMIF('07_Pallet_Contents'!$A$2:$A$3000,$A2,'07_Pallet_Contents'!$I$2:$I$3000))</f>
        <v>0</v>
      </c>
      <c r="Z438" t="str">
        <f>IF($A2="","",IF(COUNTIF('07_Pallet_Contents'!$A$2:$A$3000,$A2)&gt;0,"Yes",""))</f>
        <v/>
      </c>
    </row>
    <row r="439" spans="1:26">
      <c r="A439" s="4" t="s">
        <v>749</v>
      </c>
      <c r="B439" s="31"/>
      <c r="D439" t="str">
        <f>IF($C439="","",IFERROR(LOOKUP(2,1/('03_Warehouse_Movements'!$C$2:$C$500=$A439),'03_Warehouse_Movements'!$E$2:$E$500),$C439))</f>
        <v/>
      </c>
      <c r="E439" t="s">
        <v>209</v>
      </c>
      <c r="G439" s="34"/>
      <c r="H439" s="33" t="str">
        <f t="shared" si="12"/>
        <v/>
      </c>
      <c r="I439" s="31"/>
      <c r="J439" s="31"/>
      <c r="K439" s="33"/>
      <c r="M439" s="69" t="str">
        <f>IF($C439="","",IFERROR(LOOKUP(2,1/('03_Warehouse_Movements'!$C$2:$C$500=$A439),'03_Warehouse_Movements'!$A$2:$A$500),""))</f>
        <v/>
      </c>
      <c r="N439" t="str">
        <f>IF($C439="","",IFERROR(LOOKUP(2,1/('03_Warehouse_Movements'!$C$2:$C$500=$A439),'03_Warehouse_Movements'!$H$2:$H$500),""))</f>
        <v/>
      </c>
      <c r="O439" t="str">
        <f t="shared" si="13"/>
        <v>PAL-0000439</v>
      </c>
      <c r="Q439" s="34"/>
      <c r="R439" s="33"/>
      <c r="W439">
        <f>IF($A2="","",COUNTIF('07_Pallet_Contents'!$A$2:$A$3000,$A2))</f>
        <v>0</v>
      </c>
      <c r="X439">
        <f>IF($A2="","",SUMIF('07_Pallet_Contents'!$A$2:$A$3000,$A2,'07_Pallet_Contents'!$D$2:$D$3000))</f>
        <v>0</v>
      </c>
      <c r="Y439">
        <f>IF($A2="","",SUMIF('07_Pallet_Contents'!$A$2:$A$3000,$A2,'07_Pallet_Contents'!$I$2:$I$3000))</f>
        <v>0</v>
      </c>
      <c r="Z439" t="str">
        <f>IF($A2="","",IF(COUNTIF('07_Pallet_Contents'!$A$2:$A$3000,$A2)&gt;0,"Yes",""))</f>
        <v/>
      </c>
    </row>
    <row r="440" spans="1:26">
      <c r="A440" s="4" t="s">
        <v>750</v>
      </c>
      <c r="B440" s="31"/>
      <c r="D440" t="str">
        <f>IF($C440="","",IFERROR(LOOKUP(2,1/('03_Warehouse_Movements'!$C$2:$C$500=$A440),'03_Warehouse_Movements'!$E$2:$E$500),$C440))</f>
        <v/>
      </c>
      <c r="E440" t="s">
        <v>209</v>
      </c>
      <c r="G440" s="34"/>
      <c r="H440" s="33" t="str">
        <f t="shared" si="12"/>
        <v/>
      </c>
      <c r="I440" s="31"/>
      <c r="J440" s="31"/>
      <c r="K440" s="33"/>
      <c r="M440" s="69" t="str">
        <f>IF($C440="","",IFERROR(LOOKUP(2,1/('03_Warehouse_Movements'!$C$2:$C$500=$A440),'03_Warehouse_Movements'!$A$2:$A$500),""))</f>
        <v/>
      </c>
      <c r="N440" t="str">
        <f>IF($C440="","",IFERROR(LOOKUP(2,1/('03_Warehouse_Movements'!$C$2:$C$500=$A440),'03_Warehouse_Movements'!$H$2:$H$500),""))</f>
        <v/>
      </c>
      <c r="O440" t="str">
        <f t="shared" si="13"/>
        <v>PAL-0000440</v>
      </c>
      <c r="Q440" s="34"/>
      <c r="R440" s="33"/>
      <c r="W440">
        <f>IF($A2="","",COUNTIF('07_Pallet_Contents'!$A$2:$A$3000,$A2))</f>
        <v>0</v>
      </c>
      <c r="X440">
        <f>IF($A2="","",SUMIF('07_Pallet_Contents'!$A$2:$A$3000,$A2,'07_Pallet_Contents'!$D$2:$D$3000))</f>
        <v>0</v>
      </c>
      <c r="Y440">
        <f>IF($A2="","",SUMIF('07_Pallet_Contents'!$A$2:$A$3000,$A2,'07_Pallet_Contents'!$I$2:$I$3000))</f>
        <v>0</v>
      </c>
      <c r="Z440" t="str">
        <f>IF($A2="","",IF(COUNTIF('07_Pallet_Contents'!$A$2:$A$3000,$A2)&gt;0,"Yes",""))</f>
        <v/>
      </c>
    </row>
    <row r="441" spans="1:26">
      <c r="A441" s="4" t="s">
        <v>751</v>
      </c>
      <c r="B441" s="31"/>
      <c r="D441" t="str">
        <f>IF($C441="","",IFERROR(LOOKUP(2,1/('03_Warehouse_Movements'!$C$2:$C$500=$A441),'03_Warehouse_Movements'!$E$2:$E$500),$C441))</f>
        <v/>
      </c>
      <c r="E441" t="s">
        <v>209</v>
      </c>
      <c r="G441" s="34"/>
      <c r="H441" s="33" t="str">
        <f t="shared" si="12"/>
        <v/>
      </c>
      <c r="I441" s="31"/>
      <c r="J441" s="31"/>
      <c r="K441" s="33"/>
      <c r="M441" s="69" t="str">
        <f>IF($C441="","",IFERROR(LOOKUP(2,1/('03_Warehouse_Movements'!$C$2:$C$500=$A441),'03_Warehouse_Movements'!$A$2:$A$500),""))</f>
        <v/>
      </c>
      <c r="N441" t="str">
        <f>IF($C441="","",IFERROR(LOOKUP(2,1/('03_Warehouse_Movements'!$C$2:$C$500=$A441),'03_Warehouse_Movements'!$H$2:$H$500),""))</f>
        <v/>
      </c>
      <c r="O441" t="str">
        <f t="shared" si="13"/>
        <v>PAL-0000441</v>
      </c>
      <c r="Q441" s="34"/>
      <c r="R441" s="33"/>
      <c r="W441">
        <f>IF($A2="","",COUNTIF('07_Pallet_Contents'!$A$2:$A$3000,$A2))</f>
        <v>0</v>
      </c>
      <c r="X441">
        <f>IF($A2="","",SUMIF('07_Pallet_Contents'!$A$2:$A$3000,$A2,'07_Pallet_Contents'!$D$2:$D$3000))</f>
        <v>0</v>
      </c>
      <c r="Y441">
        <f>IF($A2="","",SUMIF('07_Pallet_Contents'!$A$2:$A$3000,$A2,'07_Pallet_Contents'!$I$2:$I$3000))</f>
        <v>0</v>
      </c>
      <c r="Z441" t="str">
        <f>IF($A2="","",IF(COUNTIF('07_Pallet_Contents'!$A$2:$A$3000,$A2)&gt;0,"Yes",""))</f>
        <v/>
      </c>
    </row>
    <row r="442" spans="1:26">
      <c r="A442" s="4" t="s">
        <v>752</v>
      </c>
      <c r="B442" s="31"/>
      <c r="D442" t="str">
        <f>IF($C442="","",IFERROR(LOOKUP(2,1/('03_Warehouse_Movements'!$C$2:$C$500=$A442),'03_Warehouse_Movements'!$E$2:$E$500),$C442))</f>
        <v/>
      </c>
      <c r="E442" t="s">
        <v>209</v>
      </c>
      <c r="G442" s="34"/>
      <c r="H442" s="33" t="str">
        <f t="shared" si="12"/>
        <v/>
      </c>
      <c r="I442" s="31"/>
      <c r="J442" s="31"/>
      <c r="K442" s="33"/>
      <c r="M442" s="69" t="str">
        <f>IF($C442="","",IFERROR(LOOKUP(2,1/('03_Warehouse_Movements'!$C$2:$C$500=$A442),'03_Warehouse_Movements'!$A$2:$A$500),""))</f>
        <v/>
      </c>
      <c r="N442" t="str">
        <f>IF($C442="","",IFERROR(LOOKUP(2,1/('03_Warehouse_Movements'!$C$2:$C$500=$A442),'03_Warehouse_Movements'!$H$2:$H$500),""))</f>
        <v/>
      </c>
      <c r="O442" t="str">
        <f t="shared" si="13"/>
        <v>PAL-0000442</v>
      </c>
      <c r="Q442" s="34"/>
      <c r="R442" s="33"/>
      <c r="W442">
        <f>IF($A2="","",COUNTIF('07_Pallet_Contents'!$A$2:$A$3000,$A2))</f>
        <v>0</v>
      </c>
      <c r="X442">
        <f>IF($A2="","",SUMIF('07_Pallet_Contents'!$A$2:$A$3000,$A2,'07_Pallet_Contents'!$D$2:$D$3000))</f>
        <v>0</v>
      </c>
      <c r="Y442">
        <f>IF($A2="","",SUMIF('07_Pallet_Contents'!$A$2:$A$3000,$A2,'07_Pallet_Contents'!$I$2:$I$3000))</f>
        <v>0</v>
      </c>
      <c r="Z442" t="str">
        <f>IF($A2="","",IF(COUNTIF('07_Pallet_Contents'!$A$2:$A$3000,$A2)&gt;0,"Yes",""))</f>
        <v/>
      </c>
    </row>
    <row r="443" spans="1:26">
      <c r="A443" s="4" t="s">
        <v>753</v>
      </c>
      <c r="B443" s="31"/>
      <c r="D443" t="str">
        <f>IF($C443="","",IFERROR(LOOKUP(2,1/('03_Warehouse_Movements'!$C$2:$C$500=$A443),'03_Warehouse_Movements'!$E$2:$E$500),$C443))</f>
        <v/>
      </c>
      <c r="E443" t="s">
        <v>209</v>
      </c>
      <c r="G443" s="34"/>
      <c r="H443" s="33" t="str">
        <f t="shared" si="12"/>
        <v/>
      </c>
      <c r="I443" s="31"/>
      <c r="J443" s="31"/>
      <c r="K443" s="33"/>
      <c r="M443" s="69" t="str">
        <f>IF($C443="","",IFERROR(LOOKUP(2,1/('03_Warehouse_Movements'!$C$2:$C$500=$A443),'03_Warehouse_Movements'!$A$2:$A$500),""))</f>
        <v/>
      </c>
      <c r="N443" t="str">
        <f>IF($C443="","",IFERROR(LOOKUP(2,1/('03_Warehouse_Movements'!$C$2:$C$500=$A443),'03_Warehouse_Movements'!$H$2:$H$500),""))</f>
        <v/>
      </c>
      <c r="O443" t="str">
        <f t="shared" si="13"/>
        <v>PAL-0000443</v>
      </c>
      <c r="Q443" s="34"/>
      <c r="R443" s="33"/>
      <c r="W443">
        <f>IF($A2="","",COUNTIF('07_Pallet_Contents'!$A$2:$A$3000,$A2))</f>
        <v>0</v>
      </c>
      <c r="X443">
        <f>IF($A2="","",SUMIF('07_Pallet_Contents'!$A$2:$A$3000,$A2,'07_Pallet_Contents'!$D$2:$D$3000))</f>
        <v>0</v>
      </c>
      <c r="Y443">
        <f>IF($A2="","",SUMIF('07_Pallet_Contents'!$A$2:$A$3000,$A2,'07_Pallet_Contents'!$I$2:$I$3000))</f>
        <v>0</v>
      </c>
      <c r="Z443" t="str">
        <f>IF($A2="","",IF(COUNTIF('07_Pallet_Contents'!$A$2:$A$3000,$A2)&gt;0,"Yes",""))</f>
        <v/>
      </c>
    </row>
    <row r="444" spans="1:26">
      <c r="A444" s="4" t="s">
        <v>754</v>
      </c>
      <c r="B444" s="31"/>
      <c r="D444" t="str">
        <f>IF($C444="","",IFERROR(LOOKUP(2,1/('03_Warehouse_Movements'!$C$2:$C$500=$A444),'03_Warehouse_Movements'!$E$2:$E$500),$C444))</f>
        <v/>
      </c>
      <c r="E444" t="s">
        <v>209</v>
      </c>
      <c r="G444" s="34"/>
      <c r="H444" s="33" t="str">
        <f t="shared" si="12"/>
        <v/>
      </c>
      <c r="I444" s="31"/>
      <c r="J444" s="31"/>
      <c r="K444" s="33"/>
      <c r="M444" s="69" t="str">
        <f>IF($C444="","",IFERROR(LOOKUP(2,1/('03_Warehouse_Movements'!$C$2:$C$500=$A444),'03_Warehouse_Movements'!$A$2:$A$500),""))</f>
        <v/>
      </c>
      <c r="N444" t="str">
        <f>IF($C444="","",IFERROR(LOOKUP(2,1/('03_Warehouse_Movements'!$C$2:$C$500=$A444),'03_Warehouse_Movements'!$H$2:$H$500),""))</f>
        <v/>
      </c>
      <c r="O444" t="str">
        <f t="shared" si="13"/>
        <v>PAL-0000444</v>
      </c>
      <c r="Q444" s="34"/>
      <c r="R444" s="33"/>
      <c r="W444">
        <f>IF($A2="","",COUNTIF('07_Pallet_Contents'!$A$2:$A$3000,$A2))</f>
        <v>0</v>
      </c>
      <c r="X444">
        <f>IF($A2="","",SUMIF('07_Pallet_Contents'!$A$2:$A$3000,$A2,'07_Pallet_Contents'!$D$2:$D$3000))</f>
        <v>0</v>
      </c>
      <c r="Y444">
        <f>IF($A2="","",SUMIF('07_Pallet_Contents'!$A$2:$A$3000,$A2,'07_Pallet_Contents'!$I$2:$I$3000))</f>
        <v>0</v>
      </c>
      <c r="Z444" t="str">
        <f>IF($A2="","",IF(COUNTIF('07_Pallet_Contents'!$A$2:$A$3000,$A2)&gt;0,"Yes",""))</f>
        <v/>
      </c>
    </row>
    <row r="445" spans="1:26">
      <c r="A445" s="4" t="s">
        <v>755</v>
      </c>
      <c r="B445" s="31"/>
      <c r="D445" t="str">
        <f>IF($C445="","",IFERROR(LOOKUP(2,1/('03_Warehouse_Movements'!$C$2:$C$500=$A445),'03_Warehouse_Movements'!$E$2:$E$500),$C445))</f>
        <v/>
      </c>
      <c r="E445" t="s">
        <v>209</v>
      </c>
      <c r="G445" s="34"/>
      <c r="H445" s="33" t="str">
        <f t="shared" si="12"/>
        <v/>
      </c>
      <c r="I445" s="31"/>
      <c r="J445" s="31"/>
      <c r="K445" s="33"/>
      <c r="M445" s="69" t="str">
        <f>IF($C445="","",IFERROR(LOOKUP(2,1/('03_Warehouse_Movements'!$C$2:$C$500=$A445),'03_Warehouse_Movements'!$A$2:$A$500),""))</f>
        <v/>
      </c>
      <c r="N445" t="str">
        <f>IF($C445="","",IFERROR(LOOKUP(2,1/('03_Warehouse_Movements'!$C$2:$C$500=$A445),'03_Warehouse_Movements'!$H$2:$H$500),""))</f>
        <v/>
      </c>
      <c r="O445" t="str">
        <f t="shared" si="13"/>
        <v>PAL-0000445</v>
      </c>
      <c r="Q445" s="34"/>
      <c r="R445" s="33"/>
      <c r="W445">
        <f>IF($A2="","",COUNTIF('07_Pallet_Contents'!$A$2:$A$3000,$A2))</f>
        <v>0</v>
      </c>
      <c r="X445">
        <f>IF($A2="","",SUMIF('07_Pallet_Contents'!$A$2:$A$3000,$A2,'07_Pallet_Contents'!$D$2:$D$3000))</f>
        <v>0</v>
      </c>
      <c r="Y445">
        <f>IF($A2="","",SUMIF('07_Pallet_Contents'!$A$2:$A$3000,$A2,'07_Pallet_Contents'!$I$2:$I$3000))</f>
        <v>0</v>
      </c>
      <c r="Z445" t="str">
        <f>IF($A2="","",IF(COUNTIF('07_Pallet_Contents'!$A$2:$A$3000,$A2)&gt;0,"Yes",""))</f>
        <v/>
      </c>
    </row>
    <row r="446" spans="1:26">
      <c r="A446" s="4" t="s">
        <v>756</v>
      </c>
      <c r="B446" s="31"/>
      <c r="D446" t="str">
        <f>IF($C446="","",IFERROR(LOOKUP(2,1/('03_Warehouse_Movements'!$C$2:$C$500=$A446),'03_Warehouse_Movements'!$E$2:$E$500),$C446))</f>
        <v/>
      </c>
      <c r="E446" t="s">
        <v>209</v>
      </c>
      <c r="G446" s="34"/>
      <c r="H446" s="33" t="str">
        <f t="shared" si="12"/>
        <v/>
      </c>
      <c r="I446" s="31"/>
      <c r="J446" s="31"/>
      <c r="K446" s="33"/>
      <c r="M446" s="69" t="str">
        <f>IF($C446="","",IFERROR(LOOKUP(2,1/('03_Warehouse_Movements'!$C$2:$C$500=$A446),'03_Warehouse_Movements'!$A$2:$A$500),""))</f>
        <v/>
      </c>
      <c r="N446" t="str">
        <f>IF($C446="","",IFERROR(LOOKUP(2,1/('03_Warehouse_Movements'!$C$2:$C$500=$A446),'03_Warehouse_Movements'!$H$2:$H$500),""))</f>
        <v/>
      </c>
      <c r="O446" t="str">
        <f t="shared" si="13"/>
        <v>PAL-0000446</v>
      </c>
      <c r="Q446" s="34"/>
      <c r="R446" s="33"/>
      <c r="W446">
        <f>IF($A2="","",COUNTIF('07_Pallet_Contents'!$A$2:$A$3000,$A2))</f>
        <v>0</v>
      </c>
      <c r="X446">
        <f>IF($A2="","",SUMIF('07_Pallet_Contents'!$A$2:$A$3000,$A2,'07_Pallet_Contents'!$D$2:$D$3000))</f>
        <v>0</v>
      </c>
      <c r="Y446">
        <f>IF($A2="","",SUMIF('07_Pallet_Contents'!$A$2:$A$3000,$A2,'07_Pallet_Contents'!$I$2:$I$3000))</f>
        <v>0</v>
      </c>
      <c r="Z446" t="str">
        <f>IF($A2="","",IF(COUNTIF('07_Pallet_Contents'!$A$2:$A$3000,$A2)&gt;0,"Yes",""))</f>
        <v/>
      </c>
    </row>
    <row r="447" spans="1:26">
      <c r="A447" s="4" t="s">
        <v>757</v>
      </c>
      <c r="B447" s="31"/>
      <c r="D447" t="str">
        <f>IF($C447="","",IFERROR(LOOKUP(2,1/('03_Warehouse_Movements'!$C$2:$C$500=$A447),'03_Warehouse_Movements'!$E$2:$E$500),$C447))</f>
        <v/>
      </c>
      <c r="E447" t="s">
        <v>209</v>
      </c>
      <c r="G447" s="34"/>
      <c r="H447" s="33" t="str">
        <f t="shared" si="12"/>
        <v/>
      </c>
      <c r="I447" s="31"/>
      <c r="J447" s="31"/>
      <c r="K447" s="33"/>
      <c r="M447" s="69" t="str">
        <f>IF($C447="","",IFERROR(LOOKUP(2,1/('03_Warehouse_Movements'!$C$2:$C$500=$A447),'03_Warehouse_Movements'!$A$2:$A$500),""))</f>
        <v/>
      </c>
      <c r="N447" t="str">
        <f>IF($C447="","",IFERROR(LOOKUP(2,1/('03_Warehouse_Movements'!$C$2:$C$500=$A447),'03_Warehouse_Movements'!$H$2:$H$500),""))</f>
        <v/>
      </c>
      <c r="O447" t="str">
        <f t="shared" si="13"/>
        <v>PAL-0000447</v>
      </c>
      <c r="Q447" s="34"/>
      <c r="R447" s="33"/>
      <c r="W447">
        <f>IF($A2="","",COUNTIF('07_Pallet_Contents'!$A$2:$A$3000,$A2))</f>
        <v>0</v>
      </c>
      <c r="X447">
        <f>IF($A2="","",SUMIF('07_Pallet_Contents'!$A$2:$A$3000,$A2,'07_Pallet_Contents'!$D$2:$D$3000))</f>
        <v>0</v>
      </c>
      <c r="Y447">
        <f>IF($A2="","",SUMIF('07_Pallet_Contents'!$A$2:$A$3000,$A2,'07_Pallet_Contents'!$I$2:$I$3000))</f>
        <v>0</v>
      </c>
      <c r="Z447" t="str">
        <f>IF($A2="","",IF(COUNTIF('07_Pallet_Contents'!$A$2:$A$3000,$A2)&gt;0,"Yes",""))</f>
        <v/>
      </c>
    </row>
    <row r="448" spans="1:26">
      <c r="A448" s="4" t="s">
        <v>758</v>
      </c>
      <c r="B448" s="31"/>
      <c r="D448" t="str">
        <f>IF($C448="","",IFERROR(LOOKUP(2,1/('03_Warehouse_Movements'!$C$2:$C$500=$A448),'03_Warehouse_Movements'!$E$2:$E$500),$C448))</f>
        <v/>
      </c>
      <c r="E448" t="s">
        <v>209</v>
      </c>
      <c r="G448" s="34"/>
      <c r="H448" s="33" t="str">
        <f t="shared" si="12"/>
        <v/>
      </c>
      <c r="I448" s="31"/>
      <c r="J448" s="31"/>
      <c r="K448" s="33"/>
      <c r="M448" s="69" t="str">
        <f>IF($C448="","",IFERROR(LOOKUP(2,1/('03_Warehouse_Movements'!$C$2:$C$500=$A448),'03_Warehouse_Movements'!$A$2:$A$500),""))</f>
        <v/>
      </c>
      <c r="N448" t="str">
        <f>IF($C448="","",IFERROR(LOOKUP(2,1/('03_Warehouse_Movements'!$C$2:$C$500=$A448),'03_Warehouse_Movements'!$H$2:$H$500),""))</f>
        <v/>
      </c>
      <c r="O448" t="str">
        <f t="shared" si="13"/>
        <v>PAL-0000448</v>
      </c>
      <c r="Q448" s="34"/>
      <c r="R448" s="33"/>
      <c r="W448">
        <f>IF($A2="","",COUNTIF('07_Pallet_Contents'!$A$2:$A$3000,$A2))</f>
        <v>0</v>
      </c>
      <c r="X448">
        <f>IF($A2="","",SUMIF('07_Pallet_Contents'!$A$2:$A$3000,$A2,'07_Pallet_Contents'!$D$2:$D$3000))</f>
        <v>0</v>
      </c>
      <c r="Y448">
        <f>IF($A2="","",SUMIF('07_Pallet_Contents'!$A$2:$A$3000,$A2,'07_Pallet_Contents'!$I$2:$I$3000))</f>
        <v>0</v>
      </c>
      <c r="Z448" t="str">
        <f>IF($A2="","",IF(COUNTIF('07_Pallet_Contents'!$A$2:$A$3000,$A2)&gt;0,"Yes",""))</f>
        <v/>
      </c>
    </row>
    <row r="449" spans="1:26">
      <c r="A449" s="4" t="s">
        <v>759</v>
      </c>
      <c r="B449" s="31"/>
      <c r="D449" t="str">
        <f>IF($C449="","",IFERROR(LOOKUP(2,1/('03_Warehouse_Movements'!$C$2:$C$500=$A449),'03_Warehouse_Movements'!$E$2:$E$500),$C449))</f>
        <v/>
      </c>
      <c r="E449" t="s">
        <v>209</v>
      </c>
      <c r="G449" s="34"/>
      <c r="H449" s="33" t="str">
        <f t="shared" si="12"/>
        <v/>
      </c>
      <c r="I449" s="31"/>
      <c r="J449" s="31"/>
      <c r="K449" s="33"/>
      <c r="M449" s="69" t="str">
        <f>IF($C449="","",IFERROR(LOOKUP(2,1/('03_Warehouse_Movements'!$C$2:$C$500=$A449),'03_Warehouse_Movements'!$A$2:$A$500),""))</f>
        <v/>
      </c>
      <c r="N449" t="str">
        <f>IF($C449="","",IFERROR(LOOKUP(2,1/('03_Warehouse_Movements'!$C$2:$C$500=$A449),'03_Warehouse_Movements'!$H$2:$H$500),""))</f>
        <v/>
      </c>
      <c r="O449" t="str">
        <f t="shared" si="13"/>
        <v>PAL-0000449</v>
      </c>
      <c r="Q449" s="34"/>
      <c r="R449" s="33"/>
      <c r="W449">
        <f>IF($A2="","",COUNTIF('07_Pallet_Contents'!$A$2:$A$3000,$A2))</f>
        <v>0</v>
      </c>
      <c r="X449">
        <f>IF($A2="","",SUMIF('07_Pallet_Contents'!$A$2:$A$3000,$A2,'07_Pallet_Contents'!$D$2:$D$3000))</f>
        <v>0</v>
      </c>
      <c r="Y449">
        <f>IF($A2="","",SUMIF('07_Pallet_Contents'!$A$2:$A$3000,$A2,'07_Pallet_Contents'!$I$2:$I$3000))</f>
        <v>0</v>
      </c>
      <c r="Z449" t="str">
        <f>IF($A2="","",IF(COUNTIF('07_Pallet_Contents'!$A$2:$A$3000,$A2)&gt;0,"Yes",""))</f>
        <v/>
      </c>
    </row>
    <row r="450" spans="1:26">
      <c r="A450" s="4" t="s">
        <v>760</v>
      </c>
      <c r="B450" s="31"/>
      <c r="D450" t="str">
        <f>IF($C450="","",IFERROR(LOOKUP(2,1/('03_Warehouse_Movements'!$C$2:$C$500=$A450),'03_Warehouse_Movements'!$E$2:$E$500),$C450))</f>
        <v/>
      </c>
      <c r="E450" t="s">
        <v>209</v>
      </c>
      <c r="G450" s="34"/>
      <c r="H450" s="33" t="str">
        <f t="shared" ref="H450:H513" si="14">IF(AND($F450="TEMP",$G450&gt;0,$M450&lt;&gt;""),$M450+$G450,"")</f>
        <v/>
      </c>
      <c r="I450" s="31"/>
      <c r="J450" s="31"/>
      <c r="K450" s="33"/>
      <c r="M450" s="69" t="str">
        <f>IF($C450="","",IFERROR(LOOKUP(2,1/('03_Warehouse_Movements'!$C$2:$C$500=$A450),'03_Warehouse_Movements'!$A$2:$A$500),""))</f>
        <v/>
      </c>
      <c r="N450" t="str">
        <f>IF($C450="","",IFERROR(LOOKUP(2,1/('03_Warehouse_Movements'!$C$2:$C$500=$A450),'03_Warehouse_Movements'!$H$2:$H$500),""))</f>
        <v/>
      </c>
      <c r="O450" t="str">
        <f t="shared" ref="O450:O500" si="15">A450</f>
        <v>PAL-0000450</v>
      </c>
      <c r="Q450" s="34"/>
      <c r="R450" s="33"/>
      <c r="W450">
        <f>IF($A2="","",COUNTIF('07_Pallet_Contents'!$A$2:$A$3000,$A2))</f>
        <v>0</v>
      </c>
      <c r="X450">
        <f>IF($A2="","",SUMIF('07_Pallet_Contents'!$A$2:$A$3000,$A2,'07_Pallet_Contents'!$D$2:$D$3000))</f>
        <v>0</v>
      </c>
      <c r="Y450">
        <f>IF($A2="","",SUMIF('07_Pallet_Contents'!$A$2:$A$3000,$A2,'07_Pallet_Contents'!$I$2:$I$3000))</f>
        <v>0</v>
      </c>
      <c r="Z450" t="str">
        <f>IF($A2="","",IF(COUNTIF('07_Pallet_Contents'!$A$2:$A$3000,$A2)&gt;0,"Yes",""))</f>
        <v/>
      </c>
    </row>
    <row r="451" spans="1:26">
      <c r="A451" s="4" t="s">
        <v>761</v>
      </c>
      <c r="B451" s="31"/>
      <c r="D451" t="str">
        <f>IF($C451="","",IFERROR(LOOKUP(2,1/('03_Warehouse_Movements'!$C$2:$C$500=$A451),'03_Warehouse_Movements'!$E$2:$E$500),$C451))</f>
        <v/>
      </c>
      <c r="E451" t="s">
        <v>209</v>
      </c>
      <c r="G451" s="34"/>
      <c r="H451" s="33" t="str">
        <f t="shared" si="14"/>
        <v/>
      </c>
      <c r="I451" s="31"/>
      <c r="J451" s="31"/>
      <c r="K451" s="33"/>
      <c r="M451" s="69" t="str">
        <f>IF($C451="","",IFERROR(LOOKUP(2,1/('03_Warehouse_Movements'!$C$2:$C$500=$A451),'03_Warehouse_Movements'!$A$2:$A$500),""))</f>
        <v/>
      </c>
      <c r="N451" t="str">
        <f>IF($C451="","",IFERROR(LOOKUP(2,1/('03_Warehouse_Movements'!$C$2:$C$500=$A451),'03_Warehouse_Movements'!$H$2:$H$500),""))</f>
        <v/>
      </c>
      <c r="O451" t="str">
        <f t="shared" si="15"/>
        <v>PAL-0000451</v>
      </c>
      <c r="Q451" s="34"/>
      <c r="R451" s="33"/>
      <c r="W451">
        <f>IF($A2="","",COUNTIF('07_Pallet_Contents'!$A$2:$A$3000,$A2))</f>
        <v>0</v>
      </c>
      <c r="X451">
        <f>IF($A2="","",SUMIF('07_Pallet_Contents'!$A$2:$A$3000,$A2,'07_Pallet_Contents'!$D$2:$D$3000))</f>
        <v>0</v>
      </c>
      <c r="Y451">
        <f>IF($A2="","",SUMIF('07_Pallet_Contents'!$A$2:$A$3000,$A2,'07_Pallet_Contents'!$I$2:$I$3000))</f>
        <v>0</v>
      </c>
      <c r="Z451" t="str">
        <f>IF($A2="","",IF(COUNTIF('07_Pallet_Contents'!$A$2:$A$3000,$A2)&gt;0,"Yes",""))</f>
        <v/>
      </c>
    </row>
    <row r="452" spans="1:26">
      <c r="A452" s="4" t="s">
        <v>762</v>
      </c>
      <c r="B452" s="31"/>
      <c r="D452" t="str">
        <f>IF($C452="","",IFERROR(LOOKUP(2,1/('03_Warehouse_Movements'!$C$2:$C$500=$A452),'03_Warehouse_Movements'!$E$2:$E$500),$C452))</f>
        <v/>
      </c>
      <c r="E452" t="s">
        <v>209</v>
      </c>
      <c r="G452" s="34"/>
      <c r="H452" s="33" t="str">
        <f t="shared" si="14"/>
        <v/>
      </c>
      <c r="I452" s="31"/>
      <c r="J452" s="31"/>
      <c r="K452" s="33"/>
      <c r="M452" s="69" t="str">
        <f>IF($C452="","",IFERROR(LOOKUP(2,1/('03_Warehouse_Movements'!$C$2:$C$500=$A452),'03_Warehouse_Movements'!$A$2:$A$500),""))</f>
        <v/>
      </c>
      <c r="N452" t="str">
        <f>IF($C452="","",IFERROR(LOOKUP(2,1/('03_Warehouse_Movements'!$C$2:$C$500=$A452),'03_Warehouse_Movements'!$H$2:$H$500),""))</f>
        <v/>
      </c>
      <c r="O452" t="str">
        <f t="shared" si="15"/>
        <v>PAL-0000452</v>
      </c>
      <c r="Q452" s="34"/>
      <c r="R452" s="33"/>
      <c r="W452">
        <f>IF($A2="","",COUNTIF('07_Pallet_Contents'!$A$2:$A$3000,$A2))</f>
        <v>0</v>
      </c>
      <c r="X452">
        <f>IF($A2="","",SUMIF('07_Pallet_Contents'!$A$2:$A$3000,$A2,'07_Pallet_Contents'!$D$2:$D$3000))</f>
        <v>0</v>
      </c>
      <c r="Y452">
        <f>IF($A2="","",SUMIF('07_Pallet_Contents'!$A$2:$A$3000,$A2,'07_Pallet_Contents'!$I$2:$I$3000))</f>
        <v>0</v>
      </c>
      <c r="Z452" t="str">
        <f>IF($A2="","",IF(COUNTIF('07_Pallet_Contents'!$A$2:$A$3000,$A2)&gt;0,"Yes",""))</f>
        <v/>
      </c>
    </row>
    <row r="453" spans="1:26">
      <c r="A453" s="4" t="s">
        <v>763</v>
      </c>
      <c r="B453" s="31"/>
      <c r="D453" t="str">
        <f>IF($C453="","",IFERROR(LOOKUP(2,1/('03_Warehouse_Movements'!$C$2:$C$500=$A453),'03_Warehouse_Movements'!$E$2:$E$500),$C453))</f>
        <v/>
      </c>
      <c r="E453" t="s">
        <v>209</v>
      </c>
      <c r="G453" s="34"/>
      <c r="H453" s="33" t="str">
        <f t="shared" si="14"/>
        <v/>
      </c>
      <c r="I453" s="31"/>
      <c r="J453" s="31"/>
      <c r="K453" s="33"/>
      <c r="M453" s="69" t="str">
        <f>IF($C453="","",IFERROR(LOOKUP(2,1/('03_Warehouse_Movements'!$C$2:$C$500=$A453),'03_Warehouse_Movements'!$A$2:$A$500),""))</f>
        <v/>
      </c>
      <c r="N453" t="str">
        <f>IF($C453="","",IFERROR(LOOKUP(2,1/('03_Warehouse_Movements'!$C$2:$C$500=$A453),'03_Warehouse_Movements'!$H$2:$H$500),""))</f>
        <v/>
      </c>
      <c r="O453" t="str">
        <f t="shared" si="15"/>
        <v>PAL-0000453</v>
      </c>
      <c r="Q453" s="34"/>
      <c r="R453" s="33"/>
      <c r="W453">
        <f>IF($A2="","",COUNTIF('07_Pallet_Contents'!$A$2:$A$3000,$A2))</f>
        <v>0</v>
      </c>
      <c r="X453">
        <f>IF($A2="","",SUMIF('07_Pallet_Contents'!$A$2:$A$3000,$A2,'07_Pallet_Contents'!$D$2:$D$3000))</f>
        <v>0</v>
      </c>
      <c r="Y453">
        <f>IF($A2="","",SUMIF('07_Pallet_Contents'!$A$2:$A$3000,$A2,'07_Pallet_Contents'!$I$2:$I$3000))</f>
        <v>0</v>
      </c>
      <c r="Z453" t="str">
        <f>IF($A2="","",IF(COUNTIF('07_Pallet_Contents'!$A$2:$A$3000,$A2)&gt;0,"Yes",""))</f>
        <v/>
      </c>
    </row>
    <row r="454" spans="1:26">
      <c r="A454" s="4" t="s">
        <v>764</v>
      </c>
      <c r="B454" s="31"/>
      <c r="D454" t="str">
        <f>IF($C454="","",IFERROR(LOOKUP(2,1/('03_Warehouse_Movements'!$C$2:$C$500=$A454),'03_Warehouse_Movements'!$E$2:$E$500),$C454))</f>
        <v/>
      </c>
      <c r="E454" t="s">
        <v>209</v>
      </c>
      <c r="G454" s="34"/>
      <c r="H454" s="33" t="str">
        <f t="shared" si="14"/>
        <v/>
      </c>
      <c r="I454" s="31"/>
      <c r="J454" s="31"/>
      <c r="K454" s="33"/>
      <c r="M454" s="69" t="str">
        <f>IF($C454="","",IFERROR(LOOKUP(2,1/('03_Warehouse_Movements'!$C$2:$C$500=$A454),'03_Warehouse_Movements'!$A$2:$A$500),""))</f>
        <v/>
      </c>
      <c r="N454" t="str">
        <f>IF($C454="","",IFERROR(LOOKUP(2,1/('03_Warehouse_Movements'!$C$2:$C$500=$A454),'03_Warehouse_Movements'!$H$2:$H$500),""))</f>
        <v/>
      </c>
      <c r="O454" t="str">
        <f t="shared" si="15"/>
        <v>PAL-0000454</v>
      </c>
      <c r="Q454" s="34"/>
      <c r="R454" s="33"/>
      <c r="W454">
        <f>IF($A2="","",COUNTIF('07_Pallet_Contents'!$A$2:$A$3000,$A2))</f>
        <v>0</v>
      </c>
      <c r="X454">
        <f>IF($A2="","",SUMIF('07_Pallet_Contents'!$A$2:$A$3000,$A2,'07_Pallet_Contents'!$D$2:$D$3000))</f>
        <v>0</v>
      </c>
      <c r="Y454">
        <f>IF($A2="","",SUMIF('07_Pallet_Contents'!$A$2:$A$3000,$A2,'07_Pallet_Contents'!$I$2:$I$3000))</f>
        <v>0</v>
      </c>
      <c r="Z454" t="str">
        <f>IF($A2="","",IF(COUNTIF('07_Pallet_Contents'!$A$2:$A$3000,$A2)&gt;0,"Yes",""))</f>
        <v/>
      </c>
    </row>
    <row r="455" spans="1:26">
      <c r="A455" s="4" t="s">
        <v>765</v>
      </c>
      <c r="B455" s="31"/>
      <c r="D455" t="str">
        <f>IF($C455="","",IFERROR(LOOKUP(2,1/('03_Warehouse_Movements'!$C$2:$C$500=$A455),'03_Warehouse_Movements'!$E$2:$E$500),$C455))</f>
        <v/>
      </c>
      <c r="E455" t="s">
        <v>209</v>
      </c>
      <c r="G455" s="34"/>
      <c r="H455" s="33" t="str">
        <f t="shared" si="14"/>
        <v/>
      </c>
      <c r="I455" s="31"/>
      <c r="J455" s="31"/>
      <c r="K455" s="33"/>
      <c r="M455" s="69" t="str">
        <f>IF($C455="","",IFERROR(LOOKUP(2,1/('03_Warehouse_Movements'!$C$2:$C$500=$A455),'03_Warehouse_Movements'!$A$2:$A$500),""))</f>
        <v/>
      </c>
      <c r="N455" t="str">
        <f>IF($C455="","",IFERROR(LOOKUP(2,1/('03_Warehouse_Movements'!$C$2:$C$500=$A455),'03_Warehouse_Movements'!$H$2:$H$500),""))</f>
        <v/>
      </c>
      <c r="O455" t="str">
        <f t="shared" si="15"/>
        <v>PAL-0000455</v>
      </c>
      <c r="Q455" s="34"/>
      <c r="R455" s="33"/>
      <c r="W455">
        <f>IF($A2="","",COUNTIF('07_Pallet_Contents'!$A$2:$A$3000,$A2))</f>
        <v>0</v>
      </c>
      <c r="X455">
        <f>IF($A2="","",SUMIF('07_Pallet_Contents'!$A$2:$A$3000,$A2,'07_Pallet_Contents'!$D$2:$D$3000))</f>
        <v>0</v>
      </c>
      <c r="Y455">
        <f>IF($A2="","",SUMIF('07_Pallet_Contents'!$A$2:$A$3000,$A2,'07_Pallet_Contents'!$I$2:$I$3000))</f>
        <v>0</v>
      </c>
      <c r="Z455" t="str">
        <f>IF($A2="","",IF(COUNTIF('07_Pallet_Contents'!$A$2:$A$3000,$A2)&gt;0,"Yes",""))</f>
        <v/>
      </c>
    </row>
    <row r="456" spans="1:26">
      <c r="A456" s="4" t="s">
        <v>766</v>
      </c>
      <c r="B456" s="31"/>
      <c r="D456" t="str">
        <f>IF($C456="","",IFERROR(LOOKUP(2,1/('03_Warehouse_Movements'!$C$2:$C$500=$A456),'03_Warehouse_Movements'!$E$2:$E$500),$C456))</f>
        <v/>
      </c>
      <c r="E456" t="s">
        <v>209</v>
      </c>
      <c r="G456" s="34"/>
      <c r="H456" s="33" t="str">
        <f t="shared" si="14"/>
        <v/>
      </c>
      <c r="I456" s="31"/>
      <c r="J456" s="31"/>
      <c r="K456" s="33"/>
      <c r="M456" s="69" t="str">
        <f>IF($C456="","",IFERROR(LOOKUP(2,1/('03_Warehouse_Movements'!$C$2:$C$500=$A456),'03_Warehouse_Movements'!$A$2:$A$500),""))</f>
        <v/>
      </c>
      <c r="N456" t="str">
        <f>IF($C456="","",IFERROR(LOOKUP(2,1/('03_Warehouse_Movements'!$C$2:$C$500=$A456),'03_Warehouse_Movements'!$H$2:$H$500),""))</f>
        <v/>
      </c>
      <c r="O456" t="str">
        <f t="shared" si="15"/>
        <v>PAL-0000456</v>
      </c>
      <c r="Q456" s="34"/>
      <c r="R456" s="33"/>
      <c r="W456">
        <f>IF($A2="","",COUNTIF('07_Pallet_Contents'!$A$2:$A$3000,$A2))</f>
        <v>0</v>
      </c>
      <c r="X456">
        <f>IF($A2="","",SUMIF('07_Pallet_Contents'!$A$2:$A$3000,$A2,'07_Pallet_Contents'!$D$2:$D$3000))</f>
        <v>0</v>
      </c>
      <c r="Y456">
        <f>IF($A2="","",SUMIF('07_Pallet_Contents'!$A$2:$A$3000,$A2,'07_Pallet_Contents'!$I$2:$I$3000))</f>
        <v>0</v>
      </c>
      <c r="Z456" t="str">
        <f>IF($A2="","",IF(COUNTIF('07_Pallet_Contents'!$A$2:$A$3000,$A2)&gt;0,"Yes",""))</f>
        <v/>
      </c>
    </row>
    <row r="457" spans="1:26">
      <c r="A457" s="4" t="s">
        <v>767</v>
      </c>
      <c r="B457" s="31"/>
      <c r="D457" t="str">
        <f>IF($C457="","",IFERROR(LOOKUP(2,1/('03_Warehouse_Movements'!$C$2:$C$500=$A457),'03_Warehouse_Movements'!$E$2:$E$500),$C457))</f>
        <v/>
      </c>
      <c r="E457" t="s">
        <v>209</v>
      </c>
      <c r="G457" s="34"/>
      <c r="H457" s="33" t="str">
        <f t="shared" si="14"/>
        <v/>
      </c>
      <c r="I457" s="31"/>
      <c r="J457" s="31"/>
      <c r="K457" s="33"/>
      <c r="M457" s="69" t="str">
        <f>IF($C457="","",IFERROR(LOOKUP(2,1/('03_Warehouse_Movements'!$C$2:$C$500=$A457),'03_Warehouse_Movements'!$A$2:$A$500),""))</f>
        <v/>
      </c>
      <c r="N457" t="str">
        <f>IF($C457="","",IFERROR(LOOKUP(2,1/('03_Warehouse_Movements'!$C$2:$C$500=$A457),'03_Warehouse_Movements'!$H$2:$H$500),""))</f>
        <v/>
      </c>
      <c r="O457" t="str">
        <f t="shared" si="15"/>
        <v>PAL-0000457</v>
      </c>
      <c r="Q457" s="34"/>
      <c r="R457" s="33"/>
      <c r="W457">
        <f>IF($A2="","",COUNTIF('07_Pallet_Contents'!$A$2:$A$3000,$A2))</f>
        <v>0</v>
      </c>
      <c r="X457">
        <f>IF($A2="","",SUMIF('07_Pallet_Contents'!$A$2:$A$3000,$A2,'07_Pallet_Contents'!$D$2:$D$3000))</f>
        <v>0</v>
      </c>
      <c r="Y457">
        <f>IF($A2="","",SUMIF('07_Pallet_Contents'!$A$2:$A$3000,$A2,'07_Pallet_Contents'!$I$2:$I$3000))</f>
        <v>0</v>
      </c>
      <c r="Z457" t="str">
        <f>IF($A2="","",IF(COUNTIF('07_Pallet_Contents'!$A$2:$A$3000,$A2)&gt;0,"Yes",""))</f>
        <v/>
      </c>
    </row>
    <row r="458" spans="1:26">
      <c r="A458" s="4" t="s">
        <v>768</v>
      </c>
      <c r="B458" s="31"/>
      <c r="D458" t="str">
        <f>IF($C458="","",IFERROR(LOOKUP(2,1/('03_Warehouse_Movements'!$C$2:$C$500=$A458),'03_Warehouse_Movements'!$E$2:$E$500),$C458))</f>
        <v/>
      </c>
      <c r="E458" t="s">
        <v>209</v>
      </c>
      <c r="G458" s="34"/>
      <c r="H458" s="33" t="str">
        <f t="shared" si="14"/>
        <v/>
      </c>
      <c r="I458" s="31"/>
      <c r="J458" s="31"/>
      <c r="K458" s="33"/>
      <c r="M458" s="69" t="str">
        <f>IF($C458="","",IFERROR(LOOKUP(2,1/('03_Warehouse_Movements'!$C$2:$C$500=$A458),'03_Warehouse_Movements'!$A$2:$A$500),""))</f>
        <v/>
      </c>
      <c r="N458" t="str">
        <f>IF($C458="","",IFERROR(LOOKUP(2,1/('03_Warehouse_Movements'!$C$2:$C$500=$A458),'03_Warehouse_Movements'!$H$2:$H$500),""))</f>
        <v/>
      </c>
      <c r="O458" t="str">
        <f t="shared" si="15"/>
        <v>PAL-0000458</v>
      </c>
      <c r="Q458" s="34"/>
      <c r="R458" s="33"/>
      <c r="W458">
        <f>IF($A2="","",COUNTIF('07_Pallet_Contents'!$A$2:$A$3000,$A2))</f>
        <v>0</v>
      </c>
      <c r="X458">
        <f>IF($A2="","",SUMIF('07_Pallet_Contents'!$A$2:$A$3000,$A2,'07_Pallet_Contents'!$D$2:$D$3000))</f>
        <v>0</v>
      </c>
      <c r="Y458">
        <f>IF($A2="","",SUMIF('07_Pallet_Contents'!$A$2:$A$3000,$A2,'07_Pallet_Contents'!$I$2:$I$3000))</f>
        <v>0</v>
      </c>
      <c r="Z458" t="str">
        <f>IF($A2="","",IF(COUNTIF('07_Pallet_Contents'!$A$2:$A$3000,$A2)&gt;0,"Yes",""))</f>
        <v/>
      </c>
    </row>
    <row r="459" spans="1:26">
      <c r="A459" s="4" t="s">
        <v>769</v>
      </c>
      <c r="B459" s="31"/>
      <c r="D459" t="str">
        <f>IF($C459="","",IFERROR(LOOKUP(2,1/('03_Warehouse_Movements'!$C$2:$C$500=$A459),'03_Warehouse_Movements'!$E$2:$E$500),$C459))</f>
        <v/>
      </c>
      <c r="E459" t="s">
        <v>209</v>
      </c>
      <c r="G459" s="34"/>
      <c r="H459" s="33" t="str">
        <f t="shared" si="14"/>
        <v/>
      </c>
      <c r="I459" s="31"/>
      <c r="J459" s="31"/>
      <c r="K459" s="33"/>
      <c r="M459" s="69" t="str">
        <f>IF($C459="","",IFERROR(LOOKUP(2,1/('03_Warehouse_Movements'!$C$2:$C$500=$A459),'03_Warehouse_Movements'!$A$2:$A$500),""))</f>
        <v/>
      </c>
      <c r="N459" t="str">
        <f>IF($C459="","",IFERROR(LOOKUP(2,1/('03_Warehouse_Movements'!$C$2:$C$500=$A459),'03_Warehouse_Movements'!$H$2:$H$500),""))</f>
        <v/>
      </c>
      <c r="O459" t="str">
        <f t="shared" si="15"/>
        <v>PAL-0000459</v>
      </c>
      <c r="Q459" s="34"/>
      <c r="R459" s="33"/>
      <c r="W459">
        <f>IF($A2="","",COUNTIF('07_Pallet_Contents'!$A$2:$A$3000,$A2))</f>
        <v>0</v>
      </c>
      <c r="X459">
        <f>IF($A2="","",SUMIF('07_Pallet_Contents'!$A$2:$A$3000,$A2,'07_Pallet_Contents'!$D$2:$D$3000))</f>
        <v>0</v>
      </c>
      <c r="Y459">
        <f>IF($A2="","",SUMIF('07_Pallet_Contents'!$A$2:$A$3000,$A2,'07_Pallet_Contents'!$I$2:$I$3000))</f>
        <v>0</v>
      </c>
      <c r="Z459" t="str">
        <f>IF($A2="","",IF(COUNTIF('07_Pallet_Contents'!$A$2:$A$3000,$A2)&gt;0,"Yes",""))</f>
        <v/>
      </c>
    </row>
    <row r="460" spans="1:26">
      <c r="A460" s="4" t="s">
        <v>770</v>
      </c>
      <c r="B460" s="31"/>
      <c r="D460" t="str">
        <f>IF($C460="","",IFERROR(LOOKUP(2,1/('03_Warehouse_Movements'!$C$2:$C$500=$A460),'03_Warehouse_Movements'!$E$2:$E$500),$C460))</f>
        <v/>
      </c>
      <c r="E460" t="s">
        <v>209</v>
      </c>
      <c r="G460" s="34"/>
      <c r="H460" s="33" t="str">
        <f t="shared" si="14"/>
        <v/>
      </c>
      <c r="I460" s="31"/>
      <c r="J460" s="31"/>
      <c r="K460" s="33"/>
      <c r="M460" s="69" t="str">
        <f>IF($C460="","",IFERROR(LOOKUP(2,1/('03_Warehouse_Movements'!$C$2:$C$500=$A460),'03_Warehouse_Movements'!$A$2:$A$500),""))</f>
        <v/>
      </c>
      <c r="N460" t="str">
        <f>IF($C460="","",IFERROR(LOOKUP(2,1/('03_Warehouse_Movements'!$C$2:$C$500=$A460),'03_Warehouse_Movements'!$H$2:$H$500),""))</f>
        <v/>
      </c>
      <c r="O460" t="str">
        <f t="shared" si="15"/>
        <v>PAL-0000460</v>
      </c>
      <c r="Q460" s="34"/>
      <c r="R460" s="33"/>
      <c r="W460">
        <f>IF($A2="","",COUNTIF('07_Pallet_Contents'!$A$2:$A$3000,$A2))</f>
        <v>0</v>
      </c>
      <c r="X460">
        <f>IF($A2="","",SUMIF('07_Pallet_Contents'!$A$2:$A$3000,$A2,'07_Pallet_Contents'!$D$2:$D$3000))</f>
        <v>0</v>
      </c>
      <c r="Y460">
        <f>IF($A2="","",SUMIF('07_Pallet_Contents'!$A$2:$A$3000,$A2,'07_Pallet_Contents'!$I$2:$I$3000))</f>
        <v>0</v>
      </c>
      <c r="Z460" t="str">
        <f>IF($A2="","",IF(COUNTIF('07_Pallet_Contents'!$A$2:$A$3000,$A2)&gt;0,"Yes",""))</f>
        <v/>
      </c>
    </row>
    <row r="461" spans="1:26">
      <c r="A461" s="4" t="s">
        <v>771</v>
      </c>
      <c r="B461" s="31"/>
      <c r="D461" t="str">
        <f>IF($C461="","",IFERROR(LOOKUP(2,1/('03_Warehouse_Movements'!$C$2:$C$500=$A461),'03_Warehouse_Movements'!$E$2:$E$500),$C461))</f>
        <v/>
      </c>
      <c r="E461" t="s">
        <v>209</v>
      </c>
      <c r="G461" s="34"/>
      <c r="H461" s="33" t="str">
        <f t="shared" si="14"/>
        <v/>
      </c>
      <c r="I461" s="31"/>
      <c r="J461" s="31"/>
      <c r="K461" s="33"/>
      <c r="M461" s="69" t="str">
        <f>IF($C461="","",IFERROR(LOOKUP(2,1/('03_Warehouse_Movements'!$C$2:$C$500=$A461),'03_Warehouse_Movements'!$A$2:$A$500),""))</f>
        <v/>
      </c>
      <c r="N461" t="str">
        <f>IF($C461="","",IFERROR(LOOKUP(2,1/('03_Warehouse_Movements'!$C$2:$C$500=$A461),'03_Warehouse_Movements'!$H$2:$H$500),""))</f>
        <v/>
      </c>
      <c r="O461" t="str">
        <f t="shared" si="15"/>
        <v>PAL-0000461</v>
      </c>
      <c r="Q461" s="34"/>
      <c r="R461" s="33"/>
      <c r="W461">
        <f>IF($A2="","",COUNTIF('07_Pallet_Contents'!$A$2:$A$3000,$A2))</f>
        <v>0</v>
      </c>
      <c r="X461">
        <f>IF($A2="","",SUMIF('07_Pallet_Contents'!$A$2:$A$3000,$A2,'07_Pallet_Contents'!$D$2:$D$3000))</f>
        <v>0</v>
      </c>
      <c r="Y461">
        <f>IF($A2="","",SUMIF('07_Pallet_Contents'!$A$2:$A$3000,$A2,'07_Pallet_Contents'!$I$2:$I$3000))</f>
        <v>0</v>
      </c>
      <c r="Z461" t="str">
        <f>IF($A2="","",IF(COUNTIF('07_Pallet_Contents'!$A$2:$A$3000,$A2)&gt;0,"Yes",""))</f>
        <v/>
      </c>
    </row>
    <row r="462" spans="1:26">
      <c r="A462" s="4" t="s">
        <v>772</v>
      </c>
      <c r="B462" s="31"/>
      <c r="D462" t="str">
        <f>IF($C462="","",IFERROR(LOOKUP(2,1/('03_Warehouse_Movements'!$C$2:$C$500=$A462),'03_Warehouse_Movements'!$E$2:$E$500),$C462))</f>
        <v/>
      </c>
      <c r="E462" t="s">
        <v>209</v>
      </c>
      <c r="G462" s="34"/>
      <c r="H462" s="33" t="str">
        <f t="shared" si="14"/>
        <v/>
      </c>
      <c r="I462" s="31"/>
      <c r="J462" s="31"/>
      <c r="K462" s="33"/>
      <c r="M462" s="69" t="str">
        <f>IF($C462="","",IFERROR(LOOKUP(2,1/('03_Warehouse_Movements'!$C$2:$C$500=$A462),'03_Warehouse_Movements'!$A$2:$A$500),""))</f>
        <v/>
      </c>
      <c r="N462" t="str">
        <f>IF($C462="","",IFERROR(LOOKUP(2,1/('03_Warehouse_Movements'!$C$2:$C$500=$A462),'03_Warehouse_Movements'!$H$2:$H$500),""))</f>
        <v/>
      </c>
      <c r="O462" t="str">
        <f t="shared" si="15"/>
        <v>PAL-0000462</v>
      </c>
      <c r="Q462" s="34"/>
      <c r="R462" s="33"/>
      <c r="W462">
        <f>IF($A2="","",COUNTIF('07_Pallet_Contents'!$A$2:$A$3000,$A2))</f>
        <v>0</v>
      </c>
      <c r="X462">
        <f>IF($A2="","",SUMIF('07_Pallet_Contents'!$A$2:$A$3000,$A2,'07_Pallet_Contents'!$D$2:$D$3000))</f>
        <v>0</v>
      </c>
      <c r="Y462">
        <f>IF($A2="","",SUMIF('07_Pallet_Contents'!$A$2:$A$3000,$A2,'07_Pallet_Contents'!$I$2:$I$3000))</f>
        <v>0</v>
      </c>
      <c r="Z462" t="str">
        <f>IF($A2="","",IF(COUNTIF('07_Pallet_Contents'!$A$2:$A$3000,$A2)&gt;0,"Yes",""))</f>
        <v/>
      </c>
    </row>
    <row r="463" spans="1:26">
      <c r="A463" s="4" t="s">
        <v>773</v>
      </c>
      <c r="B463" s="31"/>
      <c r="D463" t="str">
        <f>IF($C463="","",IFERROR(LOOKUP(2,1/('03_Warehouse_Movements'!$C$2:$C$500=$A463),'03_Warehouse_Movements'!$E$2:$E$500),$C463))</f>
        <v/>
      </c>
      <c r="E463" t="s">
        <v>209</v>
      </c>
      <c r="G463" s="34"/>
      <c r="H463" s="33" t="str">
        <f t="shared" si="14"/>
        <v/>
      </c>
      <c r="I463" s="31"/>
      <c r="J463" s="31"/>
      <c r="K463" s="33"/>
      <c r="M463" s="69" t="str">
        <f>IF($C463="","",IFERROR(LOOKUP(2,1/('03_Warehouse_Movements'!$C$2:$C$500=$A463),'03_Warehouse_Movements'!$A$2:$A$500),""))</f>
        <v/>
      </c>
      <c r="N463" t="str">
        <f>IF($C463="","",IFERROR(LOOKUP(2,1/('03_Warehouse_Movements'!$C$2:$C$500=$A463),'03_Warehouse_Movements'!$H$2:$H$500),""))</f>
        <v/>
      </c>
      <c r="O463" t="str">
        <f t="shared" si="15"/>
        <v>PAL-0000463</v>
      </c>
      <c r="Q463" s="34"/>
      <c r="R463" s="33"/>
      <c r="W463">
        <f>IF($A2="","",COUNTIF('07_Pallet_Contents'!$A$2:$A$3000,$A2))</f>
        <v>0</v>
      </c>
      <c r="X463">
        <f>IF($A2="","",SUMIF('07_Pallet_Contents'!$A$2:$A$3000,$A2,'07_Pallet_Contents'!$D$2:$D$3000))</f>
        <v>0</v>
      </c>
      <c r="Y463">
        <f>IF($A2="","",SUMIF('07_Pallet_Contents'!$A$2:$A$3000,$A2,'07_Pallet_Contents'!$I$2:$I$3000))</f>
        <v>0</v>
      </c>
      <c r="Z463" t="str">
        <f>IF($A2="","",IF(COUNTIF('07_Pallet_Contents'!$A$2:$A$3000,$A2)&gt;0,"Yes",""))</f>
        <v/>
      </c>
    </row>
    <row r="464" spans="1:26">
      <c r="A464" s="4" t="s">
        <v>774</v>
      </c>
      <c r="B464" s="31"/>
      <c r="D464" t="str">
        <f>IF($C464="","",IFERROR(LOOKUP(2,1/('03_Warehouse_Movements'!$C$2:$C$500=$A464),'03_Warehouse_Movements'!$E$2:$E$500),$C464))</f>
        <v/>
      </c>
      <c r="E464" t="s">
        <v>209</v>
      </c>
      <c r="G464" s="34"/>
      <c r="H464" s="33" t="str">
        <f t="shared" si="14"/>
        <v/>
      </c>
      <c r="I464" s="31"/>
      <c r="J464" s="31"/>
      <c r="K464" s="33"/>
      <c r="M464" s="69" t="str">
        <f>IF($C464="","",IFERROR(LOOKUP(2,1/('03_Warehouse_Movements'!$C$2:$C$500=$A464),'03_Warehouse_Movements'!$A$2:$A$500),""))</f>
        <v/>
      </c>
      <c r="N464" t="str">
        <f>IF($C464="","",IFERROR(LOOKUP(2,1/('03_Warehouse_Movements'!$C$2:$C$500=$A464),'03_Warehouse_Movements'!$H$2:$H$500),""))</f>
        <v/>
      </c>
      <c r="O464" t="str">
        <f t="shared" si="15"/>
        <v>PAL-0000464</v>
      </c>
      <c r="Q464" s="34"/>
      <c r="R464" s="33"/>
      <c r="W464">
        <f>IF($A2="","",COUNTIF('07_Pallet_Contents'!$A$2:$A$3000,$A2))</f>
        <v>0</v>
      </c>
      <c r="X464">
        <f>IF($A2="","",SUMIF('07_Pallet_Contents'!$A$2:$A$3000,$A2,'07_Pallet_Contents'!$D$2:$D$3000))</f>
        <v>0</v>
      </c>
      <c r="Y464">
        <f>IF($A2="","",SUMIF('07_Pallet_Contents'!$A$2:$A$3000,$A2,'07_Pallet_Contents'!$I$2:$I$3000))</f>
        <v>0</v>
      </c>
      <c r="Z464" t="str">
        <f>IF($A2="","",IF(COUNTIF('07_Pallet_Contents'!$A$2:$A$3000,$A2)&gt;0,"Yes",""))</f>
        <v/>
      </c>
    </row>
    <row r="465" spans="1:26">
      <c r="A465" s="4" t="s">
        <v>775</v>
      </c>
      <c r="B465" s="31"/>
      <c r="D465" t="str">
        <f>IF($C465="","",IFERROR(LOOKUP(2,1/('03_Warehouse_Movements'!$C$2:$C$500=$A465),'03_Warehouse_Movements'!$E$2:$E$500),$C465))</f>
        <v/>
      </c>
      <c r="E465" t="s">
        <v>209</v>
      </c>
      <c r="G465" s="34"/>
      <c r="H465" s="33" t="str">
        <f t="shared" si="14"/>
        <v/>
      </c>
      <c r="I465" s="31"/>
      <c r="J465" s="31"/>
      <c r="K465" s="33"/>
      <c r="M465" s="69" t="str">
        <f>IF($C465="","",IFERROR(LOOKUP(2,1/('03_Warehouse_Movements'!$C$2:$C$500=$A465),'03_Warehouse_Movements'!$A$2:$A$500),""))</f>
        <v/>
      </c>
      <c r="N465" t="str">
        <f>IF($C465="","",IFERROR(LOOKUP(2,1/('03_Warehouse_Movements'!$C$2:$C$500=$A465),'03_Warehouse_Movements'!$H$2:$H$500),""))</f>
        <v/>
      </c>
      <c r="O465" t="str">
        <f t="shared" si="15"/>
        <v>PAL-0000465</v>
      </c>
      <c r="Q465" s="34"/>
      <c r="R465" s="33"/>
      <c r="W465">
        <f>IF($A2="","",COUNTIF('07_Pallet_Contents'!$A$2:$A$3000,$A2))</f>
        <v>0</v>
      </c>
      <c r="X465">
        <f>IF($A2="","",SUMIF('07_Pallet_Contents'!$A$2:$A$3000,$A2,'07_Pallet_Contents'!$D$2:$D$3000))</f>
        <v>0</v>
      </c>
      <c r="Y465">
        <f>IF($A2="","",SUMIF('07_Pallet_Contents'!$A$2:$A$3000,$A2,'07_Pallet_Contents'!$I$2:$I$3000))</f>
        <v>0</v>
      </c>
      <c r="Z465" t="str">
        <f>IF($A2="","",IF(COUNTIF('07_Pallet_Contents'!$A$2:$A$3000,$A2)&gt;0,"Yes",""))</f>
        <v/>
      </c>
    </row>
    <row r="466" spans="1:26">
      <c r="A466" s="4" t="s">
        <v>776</v>
      </c>
      <c r="B466" s="31"/>
      <c r="D466" t="str">
        <f>IF($C466="","",IFERROR(LOOKUP(2,1/('03_Warehouse_Movements'!$C$2:$C$500=$A466),'03_Warehouse_Movements'!$E$2:$E$500),$C466))</f>
        <v/>
      </c>
      <c r="E466" t="s">
        <v>209</v>
      </c>
      <c r="G466" s="34"/>
      <c r="H466" s="33" t="str">
        <f t="shared" si="14"/>
        <v/>
      </c>
      <c r="I466" s="31"/>
      <c r="J466" s="31"/>
      <c r="K466" s="33"/>
      <c r="M466" s="69" t="str">
        <f>IF($C466="","",IFERROR(LOOKUP(2,1/('03_Warehouse_Movements'!$C$2:$C$500=$A466),'03_Warehouse_Movements'!$A$2:$A$500),""))</f>
        <v/>
      </c>
      <c r="N466" t="str">
        <f>IF($C466="","",IFERROR(LOOKUP(2,1/('03_Warehouse_Movements'!$C$2:$C$500=$A466),'03_Warehouse_Movements'!$H$2:$H$500),""))</f>
        <v/>
      </c>
      <c r="O466" t="str">
        <f t="shared" si="15"/>
        <v>PAL-0000466</v>
      </c>
      <c r="Q466" s="34"/>
      <c r="R466" s="33"/>
      <c r="W466">
        <f>IF($A2="","",COUNTIF('07_Pallet_Contents'!$A$2:$A$3000,$A2))</f>
        <v>0</v>
      </c>
      <c r="X466">
        <f>IF($A2="","",SUMIF('07_Pallet_Contents'!$A$2:$A$3000,$A2,'07_Pallet_Contents'!$D$2:$D$3000))</f>
        <v>0</v>
      </c>
      <c r="Y466">
        <f>IF($A2="","",SUMIF('07_Pallet_Contents'!$A$2:$A$3000,$A2,'07_Pallet_Contents'!$I$2:$I$3000))</f>
        <v>0</v>
      </c>
      <c r="Z466" t="str">
        <f>IF($A2="","",IF(COUNTIF('07_Pallet_Contents'!$A$2:$A$3000,$A2)&gt;0,"Yes",""))</f>
        <v/>
      </c>
    </row>
    <row r="467" spans="1:26">
      <c r="A467" s="4" t="s">
        <v>777</v>
      </c>
      <c r="B467" s="31"/>
      <c r="D467" t="str">
        <f>IF($C467="","",IFERROR(LOOKUP(2,1/('03_Warehouse_Movements'!$C$2:$C$500=$A467),'03_Warehouse_Movements'!$E$2:$E$500),$C467))</f>
        <v/>
      </c>
      <c r="E467" t="s">
        <v>209</v>
      </c>
      <c r="G467" s="34"/>
      <c r="H467" s="33" t="str">
        <f t="shared" si="14"/>
        <v/>
      </c>
      <c r="I467" s="31"/>
      <c r="J467" s="31"/>
      <c r="K467" s="33"/>
      <c r="M467" s="69" t="str">
        <f>IF($C467="","",IFERROR(LOOKUP(2,1/('03_Warehouse_Movements'!$C$2:$C$500=$A467),'03_Warehouse_Movements'!$A$2:$A$500),""))</f>
        <v/>
      </c>
      <c r="N467" t="str">
        <f>IF($C467="","",IFERROR(LOOKUP(2,1/('03_Warehouse_Movements'!$C$2:$C$500=$A467),'03_Warehouse_Movements'!$H$2:$H$500),""))</f>
        <v/>
      </c>
      <c r="O467" t="str">
        <f t="shared" si="15"/>
        <v>PAL-0000467</v>
      </c>
      <c r="Q467" s="34"/>
      <c r="R467" s="33"/>
      <c r="W467">
        <f>IF($A2="","",COUNTIF('07_Pallet_Contents'!$A$2:$A$3000,$A2))</f>
        <v>0</v>
      </c>
      <c r="X467">
        <f>IF($A2="","",SUMIF('07_Pallet_Contents'!$A$2:$A$3000,$A2,'07_Pallet_Contents'!$D$2:$D$3000))</f>
        <v>0</v>
      </c>
      <c r="Y467">
        <f>IF($A2="","",SUMIF('07_Pallet_Contents'!$A$2:$A$3000,$A2,'07_Pallet_Contents'!$I$2:$I$3000))</f>
        <v>0</v>
      </c>
      <c r="Z467" t="str">
        <f>IF($A2="","",IF(COUNTIF('07_Pallet_Contents'!$A$2:$A$3000,$A2)&gt;0,"Yes",""))</f>
        <v/>
      </c>
    </row>
    <row r="468" spans="1:26">
      <c r="A468" s="4" t="s">
        <v>778</v>
      </c>
      <c r="B468" s="31"/>
      <c r="D468" t="str">
        <f>IF($C468="","",IFERROR(LOOKUP(2,1/('03_Warehouse_Movements'!$C$2:$C$500=$A468),'03_Warehouse_Movements'!$E$2:$E$500),$C468))</f>
        <v/>
      </c>
      <c r="E468" t="s">
        <v>209</v>
      </c>
      <c r="G468" s="34"/>
      <c r="H468" s="33" t="str">
        <f t="shared" si="14"/>
        <v/>
      </c>
      <c r="I468" s="31"/>
      <c r="J468" s="31"/>
      <c r="K468" s="33"/>
      <c r="M468" s="69" t="str">
        <f>IF($C468="","",IFERROR(LOOKUP(2,1/('03_Warehouse_Movements'!$C$2:$C$500=$A468),'03_Warehouse_Movements'!$A$2:$A$500),""))</f>
        <v/>
      </c>
      <c r="N468" t="str">
        <f>IF($C468="","",IFERROR(LOOKUP(2,1/('03_Warehouse_Movements'!$C$2:$C$500=$A468),'03_Warehouse_Movements'!$H$2:$H$500),""))</f>
        <v/>
      </c>
      <c r="O468" t="str">
        <f t="shared" si="15"/>
        <v>PAL-0000468</v>
      </c>
      <c r="Q468" s="34"/>
      <c r="R468" s="33"/>
      <c r="W468">
        <f>IF($A2="","",COUNTIF('07_Pallet_Contents'!$A$2:$A$3000,$A2))</f>
        <v>0</v>
      </c>
      <c r="X468">
        <f>IF($A2="","",SUMIF('07_Pallet_Contents'!$A$2:$A$3000,$A2,'07_Pallet_Contents'!$D$2:$D$3000))</f>
        <v>0</v>
      </c>
      <c r="Y468">
        <f>IF($A2="","",SUMIF('07_Pallet_Contents'!$A$2:$A$3000,$A2,'07_Pallet_Contents'!$I$2:$I$3000))</f>
        <v>0</v>
      </c>
      <c r="Z468" t="str">
        <f>IF($A2="","",IF(COUNTIF('07_Pallet_Contents'!$A$2:$A$3000,$A2)&gt;0,"Yes",""))</f>
        <v/>
      </c>
    </row>
    <row r="469" spans="1:26">
      <c r="A469" s="4" t="s">
        <v>779</v>
      </c>
      <c r="B469" s="31"/>
      <c r="D469" t="str">
        <f>IF($C469="","",IFERROR(LOOKUP(2,1/('03_Warehouse_Movements'!$C$2:$C$500=$A469),'03_Warehouse_Movements'!$E$2:$E$500),$C469))</f>
        <v/>
      </c>
      <c r="E469" t="s">
        <v>209</v>
      </c>
      <c r="G469" s="34"/>
      <c r="H469" s="33" t="str">
        <f t="shared" si="14"/>
        <v/>
      </c>
      <c r="I469" s="31"/>
      <c r="J469" s="31"/>
      <c r="K469" s="33"/>
      <c r="M469" s="69" t="str">
        <f>IF($C469="","",IFERROR(LOOKUP(2,1/('03_Warehouse_Movements'!$C$2:$C$500=$A469),'03_Warehouse_Movements'!$A$2:$A$500),""))</f>
        <v/>
      </c>
      <c r="N469" t="str">
        <f>IF($C469="","",IFERROR(LOOKUP(2,1/('03_Warehouse_Movements'!$C$2:$C$500=$A469),'03_Warehouse_Movements'!$H$2:$H$500),""))</f>
        <v/>
      </c>
      <c r="O469" t="str">
        <f t="shared" si="15"/>
        <v>PAL-0000469</v>
      </c>
      <c r="Q469" s="34"/>
      <c r="R469" s="33"/>
      <c r="W469">
        <f>IF($A2="","",COUNTIF('07_Pallet_Contents'!$A$2:$A$3000,$A2))</f>
        <v>0</v>
      </c>
      <c r="X469">
        <f>IF($A2="","",SUMIF('07_Pallet_Contents'!$A$2:$A$3000,$A2,'07_Pallet_Contents'!$D$2:$D$3000))</f>
        <v>0</v>
      </c>
      <c r="Y469">
        <f>IF($A2="","",SUMIF('07_Pallet_Contents'!$A$2:$A$3000,$A2,'07_Pallet_Contents'!$I$2:$I$3000))</f>
        <v>0</v>
      </c>
      <c r="Z469" t="str">
        <f>IF($A2="","",IF(COUNTIF('07_Pallet_Contents'!$A$2:$A$3000,$A2)&gt;0,"Yes",""))</f>
        <v/>
      </c>
    </row>
    <row r="470" spans="1:26">
      <c r="A470" s="4" t="s">
        <v>780</v>
      </c>
      <c r="B470" s="31"/>
      <c r="D470" t="str">
        <f>IF($C470="","",IFERROR(LOOKUP(2,1/('03_Warehouse_Movements'!$C$2:$C$500=$A470),'03_Warehouse_Movements'!$E$2:$E$500),$C470))</f>
        <v/>
      </c>
      <c r="E470" t="s">
        <v>209</v>
      </c>
      <c r="G470" s="34"/>
      <c r="H470" s="33" t="str">
        <f t="shared" si="14"/>
        <v/>
      </c>
      <c r="I470" s="31"/>
      <c r="J470" s="31"/>
      <c r="K470" s="33"/>
      <c r="M470" s="69" t="str">
        <f>IF($C470="","",IFERROR(LOOKUP(2,1/('03_Warehouse_Movements'!$C$2:$C$500=$A470),'03_Warehouse_Movements'!$A$2:$A$500),""))</f>
        <v/>
      </c>
      <c r="N470" t="str">
        <f>IF($C470="","",IFERROR(LOOKUP(2,1/('03_Warehouse_Movements'!$C$2:$C$500=$A470),'03_Warehouse_Movements'!$H$2:$H$500),""))</f>
        <v/>
      </c>
      <c r="O470" t="str">
        <f t="shared" si="15"/>
        <v>PAL-0000470</v>
      </c>
      <c r="Q470" s="34"/>
      <c r="R470" s="33"/>
      <c r="W470">
        <f>IF($A2="","",COUNTIF('07_Pallet_Contents'!$A$2:$A$3000,$A2))</f>
        <v>0</v>
      </c>
      <c r="X470">
        <f>IF($A2="","",SUMIF('07_Pallet_Contents'!$A$2:$A$3000,$A2,'07_Pallet_Contents'!$D$2:$D$3000))</f>
        <v>0</v>
      </c>
      <c r="Y470">
        <f>IF($A2="","",SUMIF('07_Pallet_Contents'!$A$2:$A$3000,$A2,'07_Pallet_Contents'!$I$2:$I$3000))</f>
        <v>0</v>
      </c>
      <c r="Z470" t="str">
        <f>IF($A2="","",IF(COUNTIF('07_Pallet_Contents'!$A$2:$A$3000,$A2)&gt;0,"Yes",""))</f>
        <v/>
      </c>
    </row>
    <row r="471" spans="1:26">
      <c r="A471" s="4" t="s">
        <v>781</v>
      </c>
      <c r="B471" s="31"/>
      <c r="D471" t="str">
        <f>IF($C471="","",IFERROR(LOOKUP(2,1/('03_Warehouse_Movements'!$C$2:$C$500=$A471),'03_Warehouse_Movements'!$E$2:$E$500),$C471))</f>
        <v/>
      </c>
      <c r="E471" t="s">
        <v>209</v>
      </c>
      <c r="G471" s="34"/>
      <c r="H471" s="33" t="str">
        <f t="shared" si="14"/>
        <v/>
      </c>
      <c r="I471" s="31"/>
      <c r="J471" s="31"/>
      <c r="K471" s="33"/>
      <c r="M471" s="69" t="str">
        <f>IF($C471="","",IFERROR(LOOKUP(2,1/('03_Warehouse_Movements'!$C$2:$C$500=$A471),'03_Warehouse_Movements'!$A$2:$A$500),""))</f>
        <v/>
      </c>
      <c r="N471" t="str">
        <f>IF($C471="","",IFERROR(LOOKUP(2,1/('03_Warehouse_Movements'!$C$2:$C$500=$A471),'03_Warehouse_Movements'!$H$2:$H$500),""))</f>
        <v/>
      </c>
      <c r="O471" t="str">
        <f t="shared" si="15"/>
        <v>PAL-0000471</v>
      </c>
      <c r="Q471" s="34"/>
      <c r="R471" s="33"/>
      <c r="W471">
        <f>IF($A2="","",COUNTIF('07_Pallet_Contents'!$A$2:$A$3000,$A2))</f>
        <v>0</v>
      </c>
      <c r="X471">
        <f>IF($A2="","",SUMIF('07_Pallet_Contents'!$A$2:$A$3000,$A2,'07_Pallet_Contents'!$D$2:$D$3000))</f>
        <v>0</v>
      </c>
      <c r="Y471">
        <f>IF($A2="","",SUMIF('07_Pallet_Contents'!$A$2:$A$3000,$A2,'07_Pallet_Contents'!$I$2:$I$3000))</f>
        <v>0</v>
      </c>
      <c r="Z471" t="str">
        <f>IF($A2="","",IF(COUNTIF('07_Pallet_Contents'!$A$2:$A$3000,$A2)&gt;0,"Yes",""))</f>
        <v/>
      </c>
    </row>
    <row r="472" spans="1:26">
      <c r="A472" s="4" t="s">
        <v>782</v>
      </c>
      <c r="B472" s="31"/>
      <c r="D472" t="str">
        <f>IF($C472="","",IFERROR(LOOKUP(2,1/('03_Warehouse_Movements'!$C$2:$C$500=$A472),'03_Warehouse_Movements'!$E$2:$E$500),$C472))</f>
        <v/>
      </c>
      <c r="E472" t="s">
        <v>209</v>
      </c>
      <c r="G472" s="34"/>
      <c r="H472" s="33" t="str">
        <f t="shared" si="14"/>
        <v/>
      </c>
      <c r="I472" s="31"/>
      <c r="J472" s="31"/>
      <c r="K472" s="33"/>
      <c r="M472" s="69" t="str">
        <f>IF($C472="","",IFERROR(LOOKUP(2,1/('03_Warehouse_Movements'!$C$2:$C$500=$A472),'03_Warehouse_Movements'!$A$2:$A$500),""))</f>
        <v/>
      </c>
      <c r="N472" t="str">
        <f>IF($C472="","",IFERROR(LOOKUP(2,1/('03_Warehouse_Movements'!$C$2:$C$500=$A472),'03_Warehouse_Movements'!$H$2:$H$500),""))</f>
        <v/>
      </c>
      <c r="O472" t="str">
        <f t="shared" si="15"/>
        <v>PAL-0000472</v>
      </c>
      <c r="Q472" s="34"/>
      <c r="R472" s="33"/>
      <c r="W472">
        <f>IF($A2="","",COUNTIF('07_Pallet_Contents'!$A$2:$A$3000,$A2))</f>
        <v>0</v>
      </c>
      <c r="X472">
        <f>IF($A2="","",SUMIF('07_Pallet_Contents'!$A$2:$A$3000,$A2,'07_Pallet_Contents'!$D$2:$D$3000))</f>
        <v>0</v>
      </c>
      <c r="Y472">
        <f>IF($A2="","",SUMIF('07_Pallet_Contents'!$A$2:$A$3000,$A2,'07_Pallet_Contents'!$I$2:$I$3000))</f>
        <v>0</v>
      </c>
      <c r="Z472" t="str">
        <f>IF($A2="","",IF(COUNTIF('07_Pallet_Contents'!$A$2:$A$3000,$A2)&gt;0,"Yes",""))</f>
        <v/>
      </c>
    </row>
    <row r="473" spans="1:26">
      <c r="A473" s="4" t="s">
        <v>783</v>
      </c>
      <c r="B473" s="31"/>
      <c r="D473" t="str">
        <f>IF($C473="","",IFERROR(LOOKUP(2,1/('03_Warehouse_Movements'!$C$2:$C$500=$A473),'03_Warehouse_Movements'!$E$2:$E$500),$C473))</f>
        <v/>
      </c>
      <c r="E473" t="s">
        <v>209</v>
      </c>
      <c r="G473" s="34"/>
      <c r="H473" s="33" t="str">
        <f t="shared" si="14"/>
        <v/>
      </c>
      <c r="I473" s="31"/>
      <c r="J473" s="31"/>
      <c r="K473" s="33"/>
      <c r="M473" s="69" t="str">
        <f>IF($C473="","",IFERROR(LOOKUP(2,1/('03_Warehouse_Movements'!$C$2:$C$500=$A473),'03_Warehouse_Movements'!$A$2:$A$500),""))</f>
        <v/>
      </c>
      <c r="N473" t="str">
        <f>IF($C473="","",IFERROR(LOOKUP(2,1/('03_Warehouse_Movements'!$C$2:$C$500=$A473),'03_Warehouse_Movements'!$H$2:$H$500),""))</f>
        <v/>
      </c>
      <c r="O473" t="str">
        <f t="shared" si="15"/>
        <v>PAL-0000473</v>
      </c>
      <c r="Q473" s="34"/>
      <c r="R473" s="33"/>
      <c r="W473">
        <f>IF($A2="","",COUNTIF('07_Pallet_Contents'!$A$2:$A$3000,$A2))</f>
        <v>0</v>
      </c>
      <c r="X473">
        <f>IF($A2="","",SUMIF('07_Pallet_Contents'!$A$2:$A$3000,$A2,'07_Pallet_Contents'!$D$2:$D$3000))</f>
        <v>0</v>
      </c>
      <c r="Y473">
        <f>IF($A2="","",SUMIF('07_Pallet_Contents'!$A$2:$A$3000,$A2,'07_Pallet_Contents'!$I$2:$I$3000))</f>
        <v>0</v>
      </c>
      <c r="Z473" t="str">
        <f>IF($A2="","",IF(COUNTIF('07_Pallet_Contents'!$A$2:$A$3000,$A2)&gt;0,"Yes",""))</f>
        <v/>
      </c>
    </row>
    <row r="474" spans="1:26">
      <c r="A474" s="4" t="s">
        <v>784</v>
      </c>
      <c r="B474" s="31"/>
      <c r="D474" t="str">
        <f>IF($C474="","",IFERROR(LOOKUP(2,1/('03_Warehouse_Movements'!$C$2:$C$500=$A474),'03_Warehouse_Movements'!$E$2:$E$500),$C474))</f>
        <v/>
      </c>
      <c r="E474" t="s">
        <v>209</v>
      </c>
      <c r="G474" s="34"/>
      <c r="H474" s="33" t="str">
        <f t="shared" si="14"/>
        <v/>
      </c>
      <c r="I474" s="31"/>
      <c r="J474" s="31"/>
      <c r="K474" s="33"/>
      <c r="M474" s="69" t="str">
        <f>IF($C474="","",IFERROR(LOOKUP(2,1/('03_Warehouse_Movements'!$C$2:$C$500=$A474),'03_Warehouse_Movements'!$A$2:$A$500),""))</f>
        <v/>
      </c>
      <c r="N474" t="str">
        <f>IF($C474="","",IFERROR(LOOKUP(2,1/('03_Warehouse_Movements'!$C$2:$C$500=$A474),'03_Warehouse_Movements'!$H$2:$H$500),""))</f>
        <v/>
      </c>
      <c r="O474" t="str">
        <f t="shared" si="15"/>
        <v>PAL-0000474</v>
      </c>
      <c r="Q474" s="34"/>
      <c r="R474" s="33"/>
      <c r="W474">
        <f>IF($A2="","",COUNTIF('07_Pallet_Contents'!$A$2:$A$3000,$A2))</f>
        <v>0</v>
      </c>
      <c r="X474">
        <f>IF($A2="","",SUMIF('07_Pallet_Contents'!$A$2:$A$3000,$A2,'07_Pallet_Contents'!$D$2:$D$3000))</f>
        <v>0</v>
      </c>
      <c r="Y474">
        <f>IF($A2="","",SUMIF('07_Pallet_Contents'!$A$2:$A$3000,$A2,'07_Pallet_Contents'!$I$2:$I$3000))</f>
        <v>0</v>
      </c>
      <c r="Z474" t="str">
        <f>IF($A2="","",IF(COUNTIF('07_Pallet_Contents'!$A$2:$A$3000,$A2)&gt;0,"Yes",""))</f>
        <v/>
      </c>
    </row>
    <row r="475" spans="1:26">
      <c r="A475" s="4" t="s">
        <v>785</v>
      </c>
      <c r="B475" s="31"/>
      <c r="D475" t="str">
        <f>IF($C475="","",IFERROR(LOOKUP(2,1/('03_Warehouse_Movements'!$C$2:$C$500=$A475),'03_Warehouse_Movements'!$E$2:$E$500),$C475))</f>
        <v/>
      </c>
      <c r="E475" t="s">
        <v>209</v>
      </c>
      <c r="G475" s="34"/>
      <c r="H475" s="33" t="str">
        <f t="shared" si="14"/>
        <v/>
      </c>
      <c r="I475" s="31"/>
      <c r="J475" s="31"/>
      <c r="K475" s="33"/>
      <c r="M475" s="69" t="str">
        <f>IF($C475="","",IFERROR(LOOKUP(2,1/('03_Warehouse_Movements'!$C$2:$C$500=$A475),'03_Warehouse_Movements'!$A$2:$A$500),""))</f>
        <v/>
      </c>
      <c r="N475" t="str">
        <f>IF($C475="","",IFERROR(LOOKUP(2,1/('03_Warehouse_Movements'!$C$2:$C$500=$A475),'03_Warehouse_Movements'!$H$2:$H$500),""))</f>
        <v/>
      </c>
      <c r="O475" t="str">
        <f t="shared" si="15"/>
        <v>PAL-0000475</v>
      </c>
      <c r="Q475" s="34"/>
      <c r="R475" s="33"/>
      <c r="W475">
        <f>IF($A2="","",COUNTIF('07_Pallet_Contents'!$A$2:$A$3000,$A2))</f>
        <v>0</v>
      </c>
      <c r="X475">
        <f>IF($A2="","",SUMIF('07_Pallet_Contents'!$A$2:$A$3000,$A2,'07_Pallet_Contents'!$D$2:$D$3000))</f>
        <v>0</v>
      </c>
      <c r="Y475">
        <f>IF($A2="","",SUMIF('07_Pallet_Contents'!$A$2:$A$3000,$A2,'07_Pallet_Contents'!$I$2:$I$3000))</f>
        <v>0</v>
      </c>
      <c r="Z475" t="str">
        <f>IF($A2="","",IF(COUNTIF('07_Pallet_Contents'!$A$2:$A$3000,$A2)&gt;0,"Yes",""))</f>
        <v/>
      </c>
    </row>
    <row r="476" spans="1:26">
      <c r="A476" s="4" t="s">
        <v>786</v>
      </c>
      <c r="B476" s="31"/>
      <c r="D476" t="str">
        <f>IF($C476="","",IFERROR(LOOKUP(2,1/('03_Warehouse_Movements'!$C$2:$C$500=$A476),'03_Warehouse_Movements'!$E$2:$E$500),$C476))</f>
        <v/>
      </c>
      <c r="E476" t="s">
        <v>209</v>
      </c>
      <c r="G476" s="34"/>
      <c r="H476" s="33" t="str">
        <f t="shared" si="14"/>
        <v/>
      </c>
      <c r="I476" s="31"/>
      <c r="J476" s="31"/>
      <c r="K476" s="33"/>
      <c r="M476" s="69" t="str">
        <f>IF($C476="","",IFERROR(LOOKUP(2,1/('03_Warehouse_Movements'!$C$2:$C$500=$A476),'03_Warehouse_Movements'!$A$2:$A$500),""))</f>
        <v/>
      </c>
      <c r="N476" t="str">
        <f>IF($C476="","",IFERROR(LOOKUP(2,1/('03_Warehouse_Movements'!$C$2:$C$500=$A476),'03_Warehouse_Movements'!$H$2:$H$500),""))</f>
        <v/>
      </c>
      <c r="O476" t="str">
        <f t="shared" si="15"/>
        <v>PAL-0000476</v>
      </c>
      <c r="Q476" s="34"/>
      <c r="R476" s="33"/>
      <c r="W476">
        <f>IF($A2="","",COUNTIF('07_Pallet_Contents'!$A$2:$A$3000,$A2))</f>
        <v>0</v>
      </c>
      <c r="X476">
        <f>IF($A2="","",SUMIF('07_Pallet_Contents'!$A$2:$A$3000,$A2,'07_Pallet_Contents'!$D$2:$D$3000))</f>
        <v>0</v>
      </c>
      <c r="Y476">
        <f>IF($A2="","",SUMIF('07_Pallet_Contents'!$A$2:$A$3000,$A2,'07_Pallet_Contents'!$I$2:$I$3000))</f>
        <v>0</v>
      </c>
      <c r="Z476" t="str">
        <f>IF($A2="","",IF(COUNTIF('07_Pallet_Contents'!$A$2:$A$3000,$A2)&gt;0,"Yes",""))</f>
        <v/>
      </c>
    </row>
    <row r="477" spans="1:26">
      <c r="A477" s="4" t="s">
        <v>787</v>
      </c>
      <c r="B477" s="31"/>
      <c r="D477" t="str">
        <f>IF($C477="","",IFERROR(LOOKUP(2,1/('03_Warehouse_Movements'!$C$2:$C$500=$A477),'03_Warehouse_Movements'!$E$2:$E$500),$C477))</f>
        <v/>
      </c>
      <c r="E477" t="s">
        <v>209</v>
      </c>
      <c r="G477" s="34"/>
      <c r="H477" s="33" t="str">
        <f t="shared" si="14"/>
        <v/>
      </c>
      <c r="I477" s="31"/>
      <c r="J477" s="31"/>
      <c r="K477" s="33"/>
      <c r="M477" s="69" t="str">
        <f>IF($C477="","",IFERROR(LOOKUP(2,1/('03_Warehouse_Movements'!$C$2:$C$500=$A477),'03_Warehouse_Movements'!$A$2:$A$500),""))</f>
        <v/>
      </c>
      <c r="N477" t="str">
        <f>IF($C477="","",IFERROR(LOOKUP(2,1/('03_Warehouse_Movements'!$C$2:$C$500=$A477),'03_Warehouse_Movements'!$H$2:$H$500),""))</f>
        <v/>
      </c>
      <c r="O477" t="str">
        <f t="shared" si="15"/>
        <v>PAL-0000477</v>
      </c>
      <c r="Q477" s="34"/>
      <c r="R477" s="33"/>
      <c r="W477">
        <f>IF($A2="","",COUNTIF('07_Pallet_Contents'!$A$2:$A$3000,$A2))</f>
        <v>0</v>
      </c>
      <c r="X477">
        <f>IF($A2="","",SUMIF('07_Pallet_Contents'!$A$2:$A$3000,$A2,'07_Pallet_Contents'!$D$2:$D$3000))</f>
        <v>0</v>
      </c>
      <c r="Y477">
        <f>IF($A2="","",SUMIF('07_Pallet_Contents'!$A$2:$A$3000,$A2,'07_Pallet_Contents'!$I$2:$I$3000))</f>
        <v>0</v>
      </c>
      <c r="Z477" t="str">
        <f>IF($A2="","",IF(COUNTIF('07_Pallet_Contents'!$A$2:$A$3000,$A2)&gt;0,"Yes",""))</f>
        <v/>
      </c>
    </row>
    <row r="478" spans="1:26">
      <c r="A478" s="4" t="s">
        <v>788</v>
      </c>
      <c r="B478" s="31"/>
      <c r="D478" t="str">
        <f>IF($C478="","",IFERROR(LOOKUP(2,1/('03_Warehouse_Movements'!$C$2:$C$500=$A478),'03_Warehouse_Movements'!$E$2:$E$500),$C478))</f>
        <v/>
      </c>
      <c r="E478" t="s">
        <v>209</v>
      </c>
      <c r="G478" s="34"/>
      <c r="H478" s="33" t="str">
        <f t="shared" si="14"/>
        <v/>
      </c>
      <c r="I478" s="31"/>
      <c r="J478" s="31"/>
      <c r="K478" s="33"/>
      <c r="M478" s="69" t="str">
        <f>IF($C478="","",IFERROR(LOOKUP(2,1/('03_Warehouse_Movements'!$C$2:$C$500=$A478),'03_Warehouse_Movements'!$A$2:$A$500),""))</f>
        <v/>
      </c>
      <c r="N478" t="str">
        <f>IF($C478="","",IFERROR(LOOKUP(2,1/('03_Warehouse_Movements'!$C$2:$C$500=$A478),'03_Warehouse_Movements'!$H$2:$H$500),""))</f>
        <v/>
      </c>
      <c r="O478" t="str">
        <f t="shared" si="15"/>
        <v>PAL-0000478</v>
      </c>
      <c r="Q478" s="34"/>
      <c r="R478" s="33"/>
      <c r="W478">
        <f>IF($A2="","",COUNTIF('07_Pallet_Contents'!$A$2:$A$3000,$A2))</f>
        <v>0</v>
      </c>
      <c r="X478">
        <f>IF($A2="","",SUMIF('07_Pallet_Contents'!$A$2:$A$3000,$A2,'07_Pallet_Contents'!$D$2:$D$3000))</f>
        <v>0</v>
      </c>
      <c r="Y478">
        <f>IF($A2="","",SUMIF('07_Pallet_Contents'!$A$2:$A$3000,$A2,'07_Pallet_Contents'!$I$2:$I$3000))</f>
        <v>0</v>
      </c>
      <c r="Z478" t="str">
        <f>IF($A2="","",IF(COUNTIF('07_Pallet_Contents'!$A$2:$A$3000,$A2)&gt;0,"Yes",""))</f>
        <v/>
      </c>
    </row>
    <row r="479" spans="1:26">
      <c r="A479" s="4" t="s">
        <v>789</v>
      </c>
      <c r="B479" s="31"/>
      <c r="D479" t="str">
        <f>IF($C479="","",IFERROR(LOOKUP(2,1/('03_Warehouse_Movements'!$C$2:$C$500=$A479),'03_Warehouse_Movements'!$E$2:$E$500),$C479))</f>
        <v/>
      </c>
      <c r="E479" t="s">
        <v>209</v>
      </c>
      <c r="G479" s="34"/>
      <c r="H479" s="33" t="str">
        <f t="shared" si="14"/>
        <v/>
      </c>
      <c r="I479" s="31"/>
      <c r="J479" s="31"/>
      <c r="K479" s="33"/>
      <c r="M479" s="69" t="str">
        <f>IF($C479="","",IFERROR(LOOKUP(2,1/('03_Warehouse_Movements'!$C$2:$C$500=$A479),'03_Warehouse_Movements'!$A$2:$A$500),""))</f>
        <v/>
      </c>
      <c r="N479" t="str">
        <f>IF($C479="","",IFERROR(LOOKUP(2,1/('03_Warehouse_Movements'!$C$2:$C$500=$A479),'03_Warehouse_Movements'!$H$2:$H$500),""))</f>
        <v/>
      </c>
      <c r="O479" t="str">
        <f t="shared" si="15"/>
        <v>PAL-0000479</v>
      </c>
      <c r="Q479" s="34"/>
      <c r="R479" s="33"/>
      <c r="W479">
        <f>IF($A2="","",COUNTIF('07_Pallet_Contents'!$A$2:$A$3000,$A2))</f>
        <v>0</v>
      </c>
      <c r="X479">
        <f>IF($A2="","",SUMIF('07_Pallet_Contents'!$A$2:$A$3000,$A2,'07_Pallet_Contents'!$D$2:$D$3000))</f>
        <v>0</v>
      </c>
      <c r="Y479">
        <f>IF($A2="","",SUMIF('07_Pallet_Contents'!$A$2:$A$3000,$A2,'07_Pallet_Contents'!$I$2:$I$3000))</f>
        <v>0</v>
      </c>
      <c r="Z479" t="str">
        <f>IF($A2="","",IF(COUNTIF('07_Pallet_Contents'!$A$2:$A$3000,$A2)&gt;0,"Yes",""))</f>
        <v/>
      </c>
    </row>
    <row r="480" spans="1:26">
      <c r="A480" s="4" t="s">
        <v>790</v>
      </c>
      <c r="B480" s="31"/>
      <c r="D480" t="str">
        <f>IF($C480="","",IFERROR(LOOKUP(2,1/('03_Warehouse_Movements'!$C$2:$C$500=$A480),'03_Warehouse_Movements'!$E$2:$E$500),$C480))</f>
        <v/>
      </c>
      <c r="E480" t="s">
        <v>209</v>
      </c>
      <c r="G480" s="34"/>
      <c r="H480" s="33" t="str">
        <f t="shared" si="14"/>
        <v/>
      </c>
      <c r="I480" s="31"/>
      <c r="J480" s="31"/>
      <c r="K480" s="33"/>
      <c r="M480" s="69" t="str">
        <f>IF($C480="","",IFERROR(LOOKUP(2,1/('03_Warehouse_Movements'!$C$2:$C$500=$A480),'03_Warehouse_Movements'!$A$2:$A$500),""))</f>
        <v/>
      </c>
      <c r="N480" t="str">
        <f>IF($C480="","",IFERROR(LOOKUP(2,1/('03_Warehouse_Movements'!$C$2:$C$500=$A480),'03_Warehouse_Movements'!$H$2:$H$500),""))</f>
        <v/>
      </c>
      <c r="O480" t="str">
        <f t="shared" si="15"/>
        <v>PAL-0000480</v>
      </c>
      <c r="Q480" s="34"/>
      <c r="R480" s="33"/>
      <c r="W480">
        <f>IF($A2="","",COUNTIF('07_Pallet_Contents'!$A$2:$A$3000,$A2))</f>
        <v>0</v>
      </c>
      <c r="X480">
        <f>IF($A2="","",SUMIF('07_Pallet_Contents'!$A$2:$A$3000,$A2,'07_Pallet_Contents'!$D$2:$D$3000))</f>
        <v>0</v>
      </c>
      <c r="Y480">
        <f>IF($A2="","",SUMIF('07_Pallet_Contents'!$A$2:$A$3000,$A2,'07_Pallet_Contents'!$I$2:$I$3000))</f>
        <v>0</v>
      </c>
      <c r="Z480" t="str">
        <f>IF($A2="","",IF(COUNTIF('07_Pallet_Contents'!$A$2:$A$3000,$A2)&gt;0,"Yes",""))</f>
        <v/>
      </c>
    </row>
    <row r="481" spans="1:26">
      <c r="A481" s="4" t="s">
        <v>791</v>
      </c>
      <c r="B481" s="31"/>
      <c r="D481" t="str">
        <f>IF($C481="","",IFERROR(LOOKUP(2,1/('03_Warehouse_Movements'!$C$2:$C$500=$A481),'03_Warehouse_Movements'!$E$2:$E$500),$C481))</f>
        <v/>
      </c>
      <c r="E481" t="s">
        <v>209</v>
      </c>
      <c r="G481" s="34"/>
      <c r="H481" s="33" t="str">
        <f t="shared" si="14"/>
        <v/>
      </c>
      <c r="I481" s="31"/>
      <c r="J481" s="31"/>
      <c r="K481" s="33"/>
      <c r="M481" s="69" t="str">
        <f>IF($C481="","",IFERROR(LOOKUP(2,1/('03_Warehouse_Movements'!$C$2:$C$500=$A481),'03_Warehouse_Movements'!$A$2:$A$500),""))</f>
        <v/>
      </c>
      <c r="N481" t="str">
        <f>IF($C481="","",IFERROR(LOOKUP(2,1/('03_Warehouse_Movements'!$C$2:$C$500=$A481),'03_Warehouse_Movements'!$H$2:$H$500),""))</f>
        <v/>
      </c>
      <c r="O481" t="str">
        <f t="shared" si="15"/>
        <v>PAL-0000481</v>
      </c>
      <c r="Q481" s="34"/>
      <c r="R481" s="33"/>
      <c r="W481">
        <f>IF($A2="","",COUNTIF('07_Pallet_Contents'!$A$2:$A$3000,$A2))</f>
        <v>0</v>
      </c>
      <c r="X481">
        <f>IF($A2="","",SUMIF('07_Pallet_Contents'!$A$2:$A$3000,$A2,'07_Pallet_Contents'!$D$2:$D$3000))</f>
        <v>0</v>
      </c>
      <c r="Y481">
        <f>IF($A2="","",SUMIF('07_Pallet_Contents'!$A$2:$A$3000,$A2,'07_Pallet_Contents'!$I$2:$I$3000))</f>
        <v>0</v>
      </c>
      <c r="Z481" t="str">
        <f>IF($A2="","",IF(COUNTIF('07_Pallet_Contents'!$A$2:$A$3000,$A2)&gt;0,"Yes",""))</f>
        <v/>
      </c>
    </row>
    <row r="482" spans="1:26">
      <c r="A482" s="4" t="s">
        <v>792</v>
      </c>
      <c r="B482" s="31"/>
      <c r="D482" t="str">
        <f>IF($C482="","",IFERROR(LOOKUP(2,1/('03_Warehouse_Movements'!$C$2:$C$500=$A482),'03_Warehouse_Movements'!$E$2:$E$500),$C482))</f>
        <v/>
      </c>
      <c r="E482" t="s">
        <v>209</v>
      </c>
      <c r="G482" s="34"/>
      <c r="H482" s="33" t="str">
        <f t="shared" si="14"/>
        <v/>
      </c>
      <c r="I482" s="31"/>
      <c r="J482" s="31"/>
      <c r="K482" s="33"/>
      <c r="M482" s="69" t="str">
        <f>IF($C482="","",IFERROR(LOOKUP(2,1/('03_Warehouse_Movements'!$C$2:$C$500=$A482),'03_Warehouse_Movements'!$A$2:$A$500),""))</f>
        <v/>
      </c>
      <c r="N482" t="str">
        <f>IF($C482="","",IFERROR(LOOKUP(2,1/('03_Warehouse_Movements'!$C$2:$C$500=$A482),'03_Warehouse_Movements'!$H$2:$H$500),""))</f>
        <v/>
      </c>
      <c r="O482" t="str">
        <f t="shared" si="15"/>
        <v>PAL-0000482</v>
      </c>
      <c r="Q482" s="34"/>
      <c r="R482" s="33"/>
      <c r="W482">
        <f>IF($A2="","",COUNTIF('07_Pallet_Contents'!$A$2:$A$3000,$A2))</f>
        <v>0</v>
      </c>
      <c r="X482">
        <f>IF($A2="","",SUMIF('07_Pallet_Contents'!$A$2:$A$3000,$A2,'07_Pallet_Contents'!$D$2:$D$3000))</f>
        <v>0</v>
      </c>
      <c r="Y482">
        <f>IF($A2="","",SUMIF('07_Pallet_Contents'!$A$2:$A$3000,$A2,'07_Pallet_Contents'!$I$2:$I$3000))</f>
        <v>0</v>
      </c>
      <c r="Z482" t="str">
        <f>IF($A2="","",IF(COUNTIF('07_Pallet_Contents'!$A$2:$A$3000,$A2)&gt;0,"Yes",""))</f>
        <v/>
      </c>
    </row>
    <row r="483" spans="1:26">
      <c r="A483" s="4" t="s">
        <v>793</v>
      </c>
      <c r="B483" s="31"/>
      <c r="D483" t="str">
        <f>IF($C483="","",IFERROR(LOOKUP(2,1/('03_Warehouse_Movements'!$C$2:$C$500=$A483),'03_Warehouse_Movements'!$E$2:$E$500),$C483))</f>
        <v/>
      </c>
      <c r="E483" t="s">
        <v>209</v>
      </c>
      <c r="G483" s="34"/>
      <c r="H483" s="33" t="str">
        <f t="shared" si="14"/>
        <v/>
      </c>
      <c r="I483" s="31"/>
      <c r="J483" s="31"/>
      <c r="K483" s="33"/>
      <c r="M483" s="69" t="str">
        <f>IF($C483="","",IFERROR(LOOKUP(2,1/('03_Warehouse_Movements'!$C$2:$C$500=$A483),'03_Warehouse_Movements'!$A$2:$A$500),""))</f>
        <v/>
      </c>
      <c r="N483" t="str">
        <f>IF($C483="","",IFERROR(LOOKUP(2,1/('03_Warehouse_Movements'!$C$2:$C$500=$A483),'03_Warehouse_Movements'!$H$2:$H$500),""))</f>
        <v/>
      </c>
      <c r="O483" t="str">
        <f t="shared" si="15"/>
        <v>PAL-0000483</v>
      </c>
      <c r="Q483" s="34"/>
      <c r="R483" s="33"/>
      <c r="W483">
        <f>IF($A2="","",COUNTIF('07_Pallet_Contents'!$A$2:$A$3000,$A2))</f>
        <v>0</v>
      </c>
      <c r="X483">
        <f>IF($A2="","",SUMIF('07_Pallet_Contents'!$A$2:$A$3000,$A2,'07_Pallet_Contents'!$D$2:$D$3000))</f>
        <v>0</v>
      </c>
      <c r="Y483">
        <f>IF($A2="","",SUMIF('07_Pallet_Contents'!$A$2:$A$3000,$A2,'07_Pallet_Contents'!$I$2:$I$3000))</f>
        <v>0</v>
      </c>
      <c r="Z483" t="str">
        <f>IF($A2="","",IF(COUNTIF('07_Pallet_Contents'!$A$2:$A$3000,$A2)&gt;0,"Yes",""))</f>
        <v/>
      </c>
    </row>
    <row r="484" spans="1:26">
      <c r="A484" s="4" t="s">
        <v>794</v>
      </c>
      <c r="B484" s="31"/>
      <c r="D484" t="str">
        <f>IF($C484="","",IFERROR(LOOKUP(2,1/('03_Warehouse_Movements'!$C$2:$C$500=$A484),'03_Warehouse_Movements'!$E$2:$E$500),$C484))</f>
        <v/>
      </c>
      <c r="E484" t="s">
        <v>209</v>
      </c>
      <c r="G484" s="34"/>
      <c r="H484" s="33" t="str">
        <f t="shared" si="14"/>
        <v/>
      </c>
      <c r="I484" s="31"/>
      <c r="J484" s="31"/>
      <c r="K484" s="33"/>
      <c r="M484" s="69" t="str">
        <f>IF($C484="","",IFERROR(LOOKUP(2,1/('03_Warehouse_Movements'!$C$2:$C$500=$A484),'03_Warehouse_Movements'!$A$2:$A$500),""))</f>
        <v/>
      </c>
      <c r="N484" t="str">
        <f>IF($C484="","",IFERROR(LOOKUP(2,1/('03_Warehouse_Movements'!$C$2:$C$500=$A484),'03_Warehouse_Movements'!$H$2:$H$500),""))</f>
        <v/>
      </c>
      <c r="O484" t="str">
        <f t="shared" si="15"/>
        <v>PAL-0000484</v>
      </c>
      <c r="Q484" s="34"/>
      <c r="R484" s="33"/>
      <c r="W484">
        <f>IF($A2="","",COUNTIF('07_Pallet_Contents'!$A$2:$A$3000,$A2))</f>
        <v>0</v>
      </c>
      <c r="X484">
        <f>IF($A2="","",SUMIF('07_Pallet_Contents'!$A$2:$A$3000,$A2,'07_Pallet_Contents'!$D$2:$D$3000))</f>
        <v>0</v>
      </c>
      <c r="Y484">
        <f>IF($A2="","",SUMIF('07_Pallet_Contents'!$A$2:$A$3000,$A2,'07_Pallet_Contents'!$I$2:$I$3000))</f>
        <v>0</v>
      </c>
      <c r="Z484" t="str">
        <f>IF($A2="","",IF(COUNTIF('07_Pallet_Contents'!$A$2:$A$3000,$A2)&gt;0,"Yes",""))</f>
        <v/>
      </c>
    </row>
    <row r="485" spans="1:26">
      <c r="A485" s="4" t="s">
        <v>795</v>
      </c>
      <c r="B485" s="31"/>
      <c r="D485" t="str">
        <f>IF($C485="","",IFERROR(LOOKUP(2,1/('03_Warehouse_Movements'!$C$2:$C$500=$A485),'03_Warehouse_Movements'!$E$2:$E$500),$C485))</f>
        <v/>
      </c>
      <c r="E485" t="s">
        <v>209</v>
      </c>
      <c r="G485" s="34"/>
      <c r="H485" s="33" t="str">
        <f t="shared" si="14"/>
        <v/>
      </c>
      <c r="I485" s="31"/>
      <c r="J485" s="31"/>
      <c r="K485" s="33"/>
      <c r="M485" s="69" t="str">
        <f>IF($C485="","",IFERROR(LOOKUP(2,1/('03_Warehouse_Movements'!$C$2:$C$500=$A485),'03_Warehouse_Movements'!$A$2:$A$500),""))</f>
        <v/>
      </c>
      <c r="N485" t="str">
        <f>IF($C485="","",IFERROR(LOOKUP(2,1/('03_Warehouse_Movements'!$C$2:$C$500=$A485),'03_Warehouse_Movements'!$H$2:$H$500),""))</f>
        <v/>
      </c>
      <c r="O485" t="str">
        <f t="shared" si="15"/>
        <v>PAL-0000485</v>
      </c>
      <c r="Q485" s="34"/>
      <c r="R485" s="33"/>
      <c r="W485">
        <f>IF($A2="","",COUNTIF('07_Pallet_Contents'!$A$2:$A$3000,$A2))</f>
        <v>0</v>
      </c>
      <c r="X485">
        <f>IF($A2="","",SUMIF('07_Pallet_Contents'!$A$2:$A$3000,$A2,'07_Pallet_Contents'!$D$2:$D$3000))</f>
        <v>0</v>
      </c>
      <c r="Y485">
        <f>IF($A2="","",SUMIF('07_Pallet_Contents'!$A$2:$A$3000,$A2,'07_Pallet_Contents'!$I$2:$I$3000))</f>
        <v>0</v>
      </c>
      <c r="Z485" t="str">
        <f>IF($A2="","",IF(COUNTIF('07_Pallet_Contents'!$A$2:$A$3000,$A2)&gt;0,"Yes",""))</f>
        <v/>
      </c>
    </row>
    <row r="486" spans="1:26">
      <c r="A486" s="4" t="s">
        <v>796</v>
      </c>
      <c r="B486" s="31"/>
      <c r="D486" t="str">
        <f>IF($C486="","",IFERROR(LOOKUP(2,1/('03_Warehouse_Movements'!$C$2:$C$500=$A486),'03_Warehouse_Movements'!$E$2:$E$500),$C486))</f>
        <v/>
      </c>
      <c r="E486" t="s">
        <v>209</v>
      </c>
      <c r="G486" s="34"/>
      <c r="H486" s="33" t="str">
        <f t="shared" si="14"/>
        <v/>
      </c>
      <c r="I486" s="31"/>
      <c r="J486" s="31"/>
      <c r="K486" s="33"/>
      <c r="M486" s="69" t="str">
        <f>IF($C486="","",IFERROR(LOOKUP(2,1/('03_Warehouse_Movements'!$C$2:$C$500=$A486),'03_Warehouse_Movements'!$A$2:$A$500),""))</f>
        <v/>
      </c>
      <c r="N486" t="str">
        <f>IF($C486="","",IFERROR(LOOKUP(2,1/('03_Warehouse_Movements'!$C$2:$C$500=$A486),'03_Warehouse_Movements'!$H$2:$H$500),""))</f>
        <v/>
      </c>
      <c r="O486" t="str">
        <f t="shared" si="15"/>
        <v>PAL-0000486</v>
      </c>
      <c r="Q486" s="34"/>
      <c r="R486" s="33"/>
      <c r="W486">
        <f>IF($A2="","",COUNTIF('07_Pallet_Contents'!$A$2:$A$3000,$A2))</f>
        <v>0</v>
      </c>
      <c r="X486">
        <f>IF($A2="","",SUMIF('07_Pallet_Contents'!$A$2:$A$3000,$A2,'07_Pallet_Contents'!$D$2:$D$3000))</f>
        <v>0</v>
      </c>
      <c r="Y486">
        <f>IF($A2="","",SUMIF('07_Pallet_Contents'!$A$2:$A$3000,$A2,'07_Pallet_Contents'!$I$2:$I$3000))</f>
        <v>0</v>
      </c>
      <c r="Z486" t="str">
        <f>IF($A2="","",IF(COUNTIF('07_Pallet_Contents'!$A$2:$A$3000,$A2)&gt;0,"Yes",""))</f>
        <v/>
      </c>
    </row>
    <row r="487" spans="1:26">
      <c r="A487" s="4" t="s">
        <v>797</v>
      </c>
      <c r="B487" s="31"/>
      <c r="D487" t="str">
        <f>IF($C487="","",IFERROR(LOOKUP(2,1/('03_Warehouse_Movements'!$C$2:$C$500=$A487),'03_Warehouse_Movements'!$E$2:$E$500),$C487))</f>
        <v/>
      </c>
      <c r="E487" t="s">
        <v>209</v>
      </c>
      <c r="G487" s="34"/>
      <c r="H487" s="33" t="str">
        <f t="shared" si="14"/>
        <v/>
      </c>
      <c r="I487" s="31"/>
      <c r="J487" s="31"/>
      <c r="K487" s="33"/>
      <c r="M487" s="69" t="str">
        <f>IF($C487="","",IFERROR(LOOKUP(2,1/('03_Warehouse_Movements'!$C$2:$C$500=$A487),'03_Warehouse_Movements'!$A$2:$A$500),""))</f>
        <v/>
      </c>
      <c r="N487" t="str">
        <f>IF($C487="","",IFERROR(LOOKUP(2,1/('03_Warehouse_Movements'!$C$2:$C$500=$A487),'03_Warehouse_Movements'!$H$2:$H$500),""))</f>
        <v/>
      </c>
      <c r="O487" t="str">
        <f t="shared" si="15"/>
        <v>PAL-0000487</v>
      </c>
      <c r="Q487" s="34"/>
      <c r="R487" s="33"/>
      <c r="W487">
        <f>IF($A2="","",COUNTIF('07_Pallet_Contents'!$A$2:$A$3000,$A2))</f>
        <v>0</v>
      </c>
      <c r="X487">
        <f>IF($A2="","",SUMIF('07_Pallet_Contents'!$A$2:$A$3000,$A2,'07_Pallet_Contents'!$D$2:$D$3000))</f>
        <v>0</v>
      </c>
      <c r="Y487">
        <f>IF($A2="","",SUMIF('07_Pallet_Contents'!$A$2:$A$3000,$A2,'07_Pallet_Contents'!$I$2:$I$3000))</f>
        <v>0</v>
      </c>
      <c r="Z487" t="str">
        <f>IF($A2="","",IF(COUNTIF('07_Pallet_Contents'!$A$2:$A$3000,$A2)&gt;0,"Yes",""))</f>
        <v/>
      </c>
    </row>
    <row r="488" spans="1:26">
      <c r="A488" s="4" t="s">
        <v>798</v>
      </c>
      <c r="B488" s="31"/>
      <c r="D488" t="str">
        <f>IF($C488="","",IFERROR(LOOKUP(2,1/('03_Warehouse_Movements'!$C$2:$C$500=$A488),'03_Warehouse_Movements'!$E$2:$E$500),$C488))</f>
        <v/>
      </c>
      <c r="E488" t="s">
        <v>209</v>
      </c>
      <c r="G488" s="34"/>
      <c r="H488" s="33" t="str">
        <f t="shared" si="14"/>
        <v/>
      </c>
      <c r="I488" s="31"/>
      <c r="J488" s="31"/>
      <c r="K488" s="33"/>
      <c r="M488" s="69" t="str">
        <f>IF($C488="","",IFERROR(LOOKUP(2,1/('03_Warehouse_Movements'!$C$2:$C$500=$A488),'03_Warehouse_Movements'!$A$2:$A$500),""))</f>
        <v/>
      </c>
      <c r="N488" t="str">
        <f>IF($C488="","",IFERROR(LOOKUP(2,1/('03_Warehouse_Movements'!$C$2:$C$500=$A488),'03_Warehouse_Movements'!$H$2:$H$500),""))</f>
        <v/>
      </c>
      <c r="O488" t="str">
        <f t="shared" si="15"/>
        <v>PAL-0000488</v>
      </c>
      <c r="Q488" s="34"/>
      <c r="R488" s="33"/>
      <c r="W488">
        <f>IF($A2="","",COUNTIF('07_Pallet_Contents'!$A$2:$A$3000,$A2))</f>
        <v>0</v>
      </c>
      <c r="X488">
        <f>IF($A2="","",SUMIF('07_Pallet_Contents'!$A$2:$A$3000,$A2,'07_Pallet_Contents'!$D$2:$D$3000))</f>
        <v>0</v>
      </c>
      <c r="Y488">
        <f>IF($A2="","",SUMIF('07_Pallet_Contents'!$A$2:$A$3000,$A2,'07_Pallet_Contents'!$I$2:$I$3000))</f>
        <v>0</v>
      </c>
      <c r="Z488" t="str">
        <f>IF($A2="","",IF(COUNTIF('07_Pallet_Contents'!$A$2:$A$3000,$A2)&gt;0,"Yes",""))</f>
        <v/>
      </c>
    </row>
    <row r="489" spans="1:26">
      <c r="A489" s="4" t="s">
        <v>799</v>
      </c>
      <c r="B489" s="31"/>
      <c r="D489" t="str">
        <f>IF($C489="","",IFERROR(LOOKUP(2,1/('03_Warehouse_Movements'!$C$2:$C$500=$A489),'03_Warehouse_Movements'!$E$2:$E$500),$C489))</f>
        <v/>
      </c>
      <c r="E489" t="s">
        <v>209</v>
      </c>
      <c r="G489" s="34"/>
      <c r="H489" s="33" t="str">
        <f t="shared" si="14"/>
        <v/>
      </c>
      <c r="I489" s="31"/>
      <c r="J489" s="31"/>
      <c r="K489" s="33"/>
      <c r="M489" s="69" t="str">
        <f>IF($C489="","",IFERROR(LOOKUP(2,1/('03_Warehouse_Movements'!$C$2:$C$500=$A489),'03_Warehouse_Movements'!$A$2:$A$500),""))</f>
        <v/>
      </c>
      <c r="N489" t="str">
        <f>IF($C489="","",IFERROR(LOOKUP(2,1/('03_Warehouse_Movements'!$C$2:$C$500=$A489),'03_Warehouse_Movements'!$H$2:$H$500),""))</f>
        <v/>
      </c>
      <c r="O489" t="str">
        <f t="shared" si="15"/>
        <v>PAL-0000489</v>
      </c>
      <c r="Q489" s="34"/>
      <c r="R489" s="33"/>
      <c r="W489">
        <f>IF($A2="","",COUNTIF('07_Pallet_Contents'!$A$2:$A$3000,$A2))</f>
        <v>0</v>
      </c>
      <c r="X489">
        <f>IF($A2="","",SUMIF('07_Pallet_Contents'!$A$2:$A$3000,$A2,'07_Pallet_Contents'!$D$2:$D$3000))</f>
        <v>0</v>
      </c>
      <c r="Y489">
        <f>IF($A2="","",SUMIF('07_Pallet_Contents'!$A$2:$A$3000,$A2,'07_Pallet_Contents'!$I$2:$I$3000))</f>
        <v>0</v>
      </c>
      <c r="Z489" t="str">
        <f>IF($A2="","",IF(COUNTIF('07_Pallet_Contents'!$A$2:$A$3000,$A2)&gt;0,"Yes",""))</f>
        <v/>
      </c>
    </row>
    <row r="490" spans="1:26">
      <c r="A490" s="4" t="s">
        <v>800</v>
      </c>
      <c r="B490" s="31"/>
      <c r="D490" t="str">
        <f>IF($C490="","",IFERROR(LOOKUP(2,1/('03_Warehouse_Movements'!$C$2:$C$500=$A490),'03_Warehouse_Movements'!$E$2:$E$500),$C490))</f>
        <v/>
      </c>
      <c r="E490" t="s">
        <v>209</v>
      </c>
      <c r="G490" s="34"/>
      <c r="H490" s="33" t="str">
        <f t="shared" si="14"/>
        <v/>
      </c>
      <c r="I490" s="31"/>
      <c r="J490" s="31"/>
      <c r="K490" s="33"/>
      <c r="M490" s="69" t="str">
        <f>IF($C490="","",IFERROR(LOOKUP(2,1/('03_Warehouse_Movements'!$C$2:$C$500=$A490),'03_Warehouse_Movements'!$A$2:$A$500),""))</f>
        <v/>
      </c>
      <c r="N490" t="str">
        <f>IF($C490="","",IFERROR(LOOKUP(2,1/('03_Warehouse_Movements'!$C$2:$C$500=$A490),'03_Warehouse_Movements'!$H$2:$H$500),""))</f>
        <v/>
      </c>
      <c r="O490" t="str">
        <f t="shared" si="15"/>
        <v>PAL-0000490</v>
      </c>
      <c r="Q490" s="34"/>
      <c r="R490" s="33"/>
      <c r="W490">
        <f>IF($A2="","",COUNTIF('07_Pallet_Contents'!$A$2:$A$3000,$A2))</f>
        <v>0</v>
      </c>
      <c r="X490">
        <f>IF($A2="","",SUMIF('07_Pallet_Contents'!$A$2:$A$3000,$A2,'07_Pallet_Contents'!$D$2:$D$3000))</f>
        <v>0</v>
      </c>
      <c r="Y490">
        <f>IF($A2="","",SUMIF('07_Pallet_Contents'!$A$2:$A$3000,$A2,'07_Pallet_Contents'!$I$2:$I$3000))</f>
        <v>0</v>
      </c>
      <c r="Z490" t="str">
        <f>IF($A2="","",IF(COUNTIF('07_Pallet_Contents'!$A$2:$A$3000,$A2)&gt;0,"Yes",""))</f>
        <v/>
      </c>
    </row>
    <row r="491" spans="1:26">
      <c r="A491" s="4" t="s">
        <v>801</v>
      </c>
      <c r="B491" s="31"/>
      <c r="D491" t="str">
        <f>IF($C491="","",IFERROR(LOOKUP(2,1/('03_Warehouse_Movements'!$C$2:$C$500=$A491),'03_Warehouse_Movements'!$E$2:$E$500),$C491))</f>
        <v/>
      </c>
      <c r="E491" t="s">
        <v>209</v>
      </c>
      <c r="G491" s="34"/>
      <c r="H491" s="33" t="str">
        <f t="shared" si="14"/>
        <v/>
      </c>
      <c r="I491" s="31"/>
      <c r="J491" s="31"/>
      <c r="K491" s="33"/>
      <c r="M491" s="69" t="str">
        <f>IF($C491="","",IFERROR(LOOKUP(2,1/('03_Warehouse_Movements'!$C$2:$C$500=$A491),'03_Warehouse_Movements'!$A$2:$A$500),""))</f>
        <v/>
      </c>
      <c r="N491" t="str">
        <f>IF($C491="","",IFERROR(LOOKUP(2,1/('03_Warehouse_Movements'!$C$2:$C$500=$A491),'03_Warehouse_Movements'!$H$2:$H$500),""))</f>
        <v/>
      </c>
      <c r="O491" t="str">
        <f t="shared" si="15"/>
        <v>PAL-0000491</v>
      </c>
      <c r="Q491" s="34"/>
      <c r="R491" s="33"/>
      <c r="W491">
        <f>IF($A2="","",COUNTIF('07_Pallet_Contents'!$A$2:$A$3000,$A2))</f>
        <v>0</v>
      </c>
      <c r="X491">
        <f>IF($A2="","",SUMIF('07_Pallet_Contents'!$A$2:$A$3000,$A2,'07_Pallet_Contents'!$D$2:$D$3000))</f>
        <v>0</v>
      </c>
      <c r="Y491">
        <f>IF($A2="","",SUMIF('07_Pallet_Contents'!$A$2:$A$3000,$A2,'07_Pallet_Contents'!$I$2:$I$3000))</f>
        <v>0</v>
      </c>
      <c r="Z491" t="str">
        <f>IF($A2="","",IF(COUNTIF('07_Pallet_Contents'!$A$2:$A$3000,$A2)&gt;0,"Yes",""))</f>
        <v/>
      </c>
    </row>
    <row r="492" spans="1:26">
      <c r="A492" s="4" t="s">
        <v>802</v>
      </c>
      <c r="B492" s="31"/>
      <c r="D492" t="str">
        <f>IF($C492="","",IFERROR(LOOKUP(2,1/('03_Warehouse_Movements'!$C$2:$C$500=$A492),'03_Warehouse_Movements'!$E$2:$E$500),$C492))</f>
        <v/>
      </c>
      <c r="E492" t="s">
        <v>209</v>
      </c>
      <c r="G492" s="34"/>
      <c r="H492" s="33" t="str">
        <f t="shared" si="14"/>
        <v/>
      </c>
      <c r="I492" s="31"/>
      <c r="J492" s="31"/>
      <c r="K492" s="33"/>
      <c r="M492" s="69" t="str">
        <f>IF($C492="","",IFERROR(LOOKUP(2,1/('03_Warehouse_Movements'!$C$2:$C$500=$A492),'03_Warehouse_Movements'!$A$2:$A$500),""))</f>
        <v/>
      </c>
      <c r="N492" t="str">
        <f>IF($C492="","",IFERROR(LOOKUP(2,1/('03_Warehouse_Movements'!$C$2:$C$500=$A492),'03_Warehouse_Movements'!$H$2:$H$500),""))</f>
        <v/>
      </c>
      <c r="O492" t="str">
        <f t="shared" si="15"/>
        <v>PAL-0000492</v>
      </c>
      <c r="Q492" s="34"/>
      <c r="R492" s="33"/>
      <c r="W492">
        <f>IF($A2="","",COUNTIF('07_Pallet_Contents'!$A$2:$A$3000,$A2))</f>
        <v>0</v>
      </c>
      <c r="X492">
        <f>IF($A2="","",SUMIF('07_Pallet_Contents'!$A$2:$A$3000,$A2,'07_Pallet_Contents'!$D$2:$D$3000))</f>
        <v>0</v>
      </c>
      <c r="Y492">
        <f>IF($A2="","",SUMIF('07_Pallet_Contents'!$A$2:$A$3000,$A2,'07_Pallet_Contents'!$I$2:$I$3000))</f>
        <v>0</v>
      </c>
      <c r="Z492" t="str">
        <f>IF($A2="","",IF(COUNTIF('07_Pallet_Contents'!$A$2:$A$3000,$A2)&gt;0,"Yes",""))</f>
        <v/>
      </c>
    </row>
    <row r="493" spans="1:26">
      <c r="A493" s="4" t="s">
        <v>803</v>
      </c>
      <c r="B493" s="31"/>
      <c r="D493" t="str">
        <f>IF($C493="","",IFERROR(LOOKUP(2,1/('03_Warehouse_Movements'!$C$2:$C$500=$A493),'03_Warehouse_Movements'!$E$2:$E$500),$C493))</f>
        <v/>
      </c>
      <c r="E493" t="s">
        <v>209</v>
      </c>
      <c r="G493" s="34"/>
      <c r="H493" s="33" t="str">
        <f t="shared" si="14"/>
        <v/>
      </c>
      <c r="I493" s="31"/>
      <c r="J493" s="31"/>
      <c r="K493" s="33"/>
      <c r="M493" s="69" t="str">
        <f>IF($C493="","",IFERROR(LOOKUP(2,1/('03_Warehouse_Movements'!$C$2:$C$500=$A493),'03_Warehouse_Movements'!$A$2:$A$500),""))</f>
        <v/>
      </c>
      <c r="N493" t="str">
        <f>IF($C493="","",IFERROR(LOOKUP(2,1/('03_Warehouse_Movements'!$C$2:$C$500=$A493),'03_Warehouse_Movements'!$H$2:$H$500),""))</f>
        <v/>
      </c>
      <c r="O493" t="str">
        <f t="shared" si="15"/>
        <v>PAL-0000493</v>
      </c>
      <c r="Q493" s="34"/>
      <c r="R493" s="33"/>
      <c r="W493">
        <f>IF($A2="","",COUNTIF('07_Pallet_Contents'!$A$2:$A$3000,$A2))</f>
        <v>0</v>
      </c>
      <c r="X493">
        <f>IF($A2="","",SUMIF('07_Pallet_Contents'!$A$2:$A$3000,$A2,'07_Pallet_Contents'!$D$2:$D$3000))</f>
        <v>0</v>
      </c>
      <c r="Y493">
        <f>IF($A2="","",SUMIF('07_Pallet_Contents'!$A$2:$A$3000,$A2,'07_Pallet_Contents'!$I$2:$I$3000))</f>
        <v>0</v>
      </c>
      <c r="Z493" t="str">
        <f>IF($A2="","",IF(COUNTIF('07_Pallet_Contents'!$A$2:$A$3000,$A2)&gt;0,"Yes",""))</f>
        <v/>
      </c>
    </row>
    <row r="494" spans="1:26">
      <c r="A494" s="4" t="s">
        <v>804</v>
      </c>
      <c r="B494" s="31"/>
      <c r="D494" t="str">
        <f>IF($C494="","",IFERROR(LOOKUP(2,1/('03_Warehouse_Movements'!$C$2:$C$500=$A494),'03_Warehouse_Movements'!$E$2:$E$500),$C494))</f>
        <v/>
      </c>
      <c r="E494" t="s">
        <v>209</v>
      </c>
      <c r="G494" s="34"/>
      <c r="H494" s="33" t="str">
        <f t="shared" si="14"/>
        <v/>
      </c>
      <c r="I494" s="31"/>
      <c r="J494" s="31"/>
      <c r="K494" s="33"/>
      <c r="M494" s="69" t="str">
        <f>IF($C494="","",IFERROR(LOOKUP(2,1/('03_Warehouse_Movements'!$C$2:$C$500=$A494),'03_Warehouse_Movements'!$A$2:$A$500),""))</f>
        <v/>
      </c>
      <c r="N494" t="str">
        <f>IF($C494="","",IFERROR(LOOKUP(2,1/('03_Warehouse_Movements'!$C$2:$C$500=$A494),'03_Warehouse_Movements'!$H$2:$H$500),""))</f>
        <v/>
      </c>
      <c r="O494" t="str">
        <f t="shared" si="15"/>
        <v>PAL-0000494</v>
      </c>
      <c r="Q494" s="34"/>
      <c r="R494" s="33"/>
      <c r="W494">
        <f>IF($A2="","",COUNTIF('07_Pallet_Contents'!$A$2:$A$3000,$A2))</f>
        <v>0</v>
      </c>
      <c r="X494">
        <f>IF($A2="","",SUMIF('07_Pallet_Contents'!$A$2:$A$3000,$A2,'07_Pallet_Contents'!$D$2:$D$3000))</f>
        <v>0</v>
      </c>
      <c r="Y494">
        <f>IF($A2="","",SUMIF('07_Pallet_Contents'!$A$2:$A$3000,$A2,'07_Pallet_Contents'!$I$2:$I$3000))</f>
        <v>0</v>
      </c>
      <c r="Z494" t="str">
        <f>IF($A2="","",IF(COUNTIF('07_Pallet_Contents'!$A$2:$A$3000,$A2)&gt;0,"Yes",""))</f>
        <v/>
      </c>
    </row>
    <row r="495" spans="1:26">
      <c r="A495" s="4" t="s">
        <v>805</v>
      </c>
      <c r="B495" s="31"/>
      <c r="D495" t="str">
        <f>IF($C495="","",IFERROR(LOOKUP(2,1/('03_Warehouse_Movements'!$C$2:$C$500=$A495),'03_Warehouse_Movements'!$E$2:$E$500),$C495))</f>
        <v/>
      </c>
      <c r="E495" t="s">
        <v>209</v>
      </c>
      <c r="G495" s="34"/>
      <c r="H495" s="33" t="str">
        <f t="shared" si="14"/>
        <v/>
      </c>
      <c r="I495" s="31"/>
      <c r="J495" s="31"/>
      <c r="K495" s="33"/>
      <c r="M495" s="69" t="str">
        <f>IF($C495="","",IFERROR(LOOKUP(2,1/('03_Warehouse_Movements'!$C$2:$C$500=$A495),'03_Warehouse_Movements'!$A$2:$A$500),""))</f>
        <v/>
      </c>
      <c r="N495" t="str">
        <f>IF($C495="","",IFERROR(LOOKUP(2,1/('03_Warehouse_Movements'!$C$2:$C$500=$A495),'03_Warehouse_Movements'!$H$2:$H$500),""))</f>
        <v/>
      </c>
      <c r="O495" t="str">
        <f t="shared" si="15"/>
        <v>PAL-0000495</v>
      </c>
      <c r="Q495" s="34"/>
      <c r="R495" s="33"/>
      <c r="W495">
        <f>IF($A2="","",COUNTIF('07_Pallet_Contents'!$A$2:$A$3000,$A2))</f>
        <v>0</v>
      </c>
      <c r="X495">
        <f>IF($A2="","",SUMIF('07_Pallet_Contents'!$A$2:$A$3000,$A2,'07_Pallet_Contents'!$D$2:$D$3000))</f>
        <v>0</v>
      </c>
      <c r="Y495">
        <f>IF($A2="","",SUMIF('07_Pallet_Contents'!$A$2:$A$3000,$A2,'07_Pallet_Contents'!$I$2:$I$3000))</f>
        <v>0</v>
      </c>
      <c r="Z495" t="str">
        <f>IF($A2="","",IF(COUNTIF('07_Pallet_Contents'!$A$2:$A$3000,$A2)&gt;0,"Yes",""))</f>
        <v/>
      </c>
    </row>
    <row r="496" spans="1:26">
      <c r="A496" s="4" t="s">
        <v>806</v>
      </c>
      <c r="B496" s="31"/>
      <c r="D496" t="str">
        <f>IF($C496="","",IFERROR(LOOKUP(2,1/('03_Warehouse_Movements'!$C$2:$C$500=$A496),'03_Warehouse_Movements'!$E$2:$E$500),$C496))</f>
        <v/>
      </c>
      <c r="E496" t="s">
        <v>209</v>
      </c>
      <c r="G496" s="34"/>
      <c r="H496" s="33" t="str">
        <f t="shared" si="14"/>
        <v/>
      </c>
      <c r="I496" s="31"/>
      <c r="J496" s="31"/>
      <c r="K496" s="33"/>
      <c r="M496" s="69" t="str">
        <f>IF($C496="","",IFERROR(LOOKUP(2,1/('03_Warehouse_Movements'!$C$2:$C$500=$A496),'03_Warehouse_Movements'!$A$2:$A$500),""))</f>
        <v/>
      </c>
      <c r="N496" t="str">
        <f>IF($C496="","",IFERROR(LOOKUP(2,1/('03_Warehouse_Movements'!$C$2:$C$500=$A496),'03_Warehouse_Movements'!$H$2:$H$500),""))</f>
        <v/>
      </c>
      <c r="O496" t="str">
        <f t="shared" si="15"/>
        <v>PAL-0000496</v>
      </c>
      <c r="Q496" s="34"/>
      <c r="R496" s="33"/>
      <c r="W496">
        <f>IF($A2="","",COUNTIF('07_Pallet_Contents'!$A$2:$A$3000,$A2))</f>
        <v>0</v>
      </c>
      <c r="X496">
        <f>IF($A2="","",SUMIF('07_Pallet_Contents'!$A$2:$A$3000,$A2,'07_Pallet_Contents'!$D$2:$D$3000))</f>
        <v>0</v>
      </c>
      <c r="Y496">
        <f>IF($A2="","",SUMIF('07_Pallet_Contents'!$A$2:$A$3000,$A2,'07_Pallet_Contents'!$I$2:$I$3000))</f>
        <v>0</v>
      </c>
      <c r="Z496" t="str">
        <f>IF($A2="","",IF(COUNTIF('07_Pallet_Contents'!$A$2:$A$3000,$A2)&gt;0,"Yes",""))</f>
        <v/>
      </c>
    </row>
    <row r="497" spans="1:26">
      <c r="A497" s="4" t="s">
        <v>807</v>
      </c>
      <c r="B497" s="31"/>
      <c r="D497" t="str">
        <f>IF($C497="","",IFERROR(LOOKUP(2,1/('03_Warehouse_Movements'!$C$2:$C$500=$A497),'03_Warehouse_Movements'!$E$2:$E$500),$C497))</f>
        <v/>
      </c>
      <c r="E497" t="s">
        <v>209</v>
      </c>
      <c r="G497" s="34"/>
      <c r="H497" s="33" t="str">
        <f t="shared" si="14"/>
        <v/>
      </c>
      <c r="I497" s="31"/>
      <c r="J497" s="31"/>
      <c r="K497" s="33"/>
      <c r="M497" s="69" t="str">
        <f>IF($C497="","",IFERROR(LOOKUP(2,1/('03_Warehouse_Movements'!$C$2:$C$500=$A497),'03_Warehouse_Movements'!$A$2:$A$500),""))</f>
        <v/>
      </c>
      <c r="N497" t="str">
        <f>IF($C497="","",IFERROR(LOOKUP(2,1/('03_Warehouse_Movements'!$C$2:$C$500=$A497),'03_Warehouse_Movements'!$H$2:$H$500),""))</f>
        <v/>
      </c>
      <c r="O497" t="str">
        <f t="shared" si="15"/>
        <v>PAL-0000497</v>
      </c>
      <c r="Q497" s="34"/>
      <c r="R497" s="33"/>
      <c r="W497">
        <f>IF($A2="","",COUNTIF('07_Pallet_Contents'!$A$2:$A$3000,$A2))</f>
        <v>0</v>
      </c>
      <c r="X497">
        <f>IF($A2="","",SUMIF('07_Pallet_Contents'!$A$2:$A$3000,$A2,'07_Pallet_Contents'!$D$2:$D$3000))</f>
        <v>0</v>
      </c>
      <c r="Y497">
        <f>IF($A2="","",SUMIF('07_Pallet_Contents'!$A$2:$A$3000,$A2,'07_Pallet_Contents'!$I$2:$I$3000))</f>
        <v>0</v>
      </c>
      <c r="Z497" t="str">
        <f>IF($A2="","",IF(COUNTIF('07_Pallet_Contents'!$A$2:$A$3000,$A2)&gt;0,"Yes",""))</f>
        <v/>
      </c>
    </row>
    <row r="498" spans="1:26">
      <c r="A498" s="4" t="s">
        <v>808</v>
      </c>
      <c r="B498" s="31"/>
      <c r="D498" t="str">
        <f>IF($C498="","",IFERROR(LOOKUP(2,1/('03_Warehouse_Movements'!$C$2:$C$500=$A498),'03_Warehouse_Movements'!$E$2:$E$500),$C498))</f>
        <v/>
      </c>
      <c r="E498" t="s">
        <v>209</v>
      </c>
      <c r="G498" s="34"/>
      <c r="H498" s="33" t="str">
        <f t="shared" si="14"/>
        <v/>
      </c>
      <c r="I498" s="31"/>
      <c r="J498" s="31"/>
      <c r="K498" s="33"/>
      <c r="M498" s="69" t="str">
        <f>IF($C498="","",IFERROR(LOOKUP(2,1/('03_Warehouse_Movements'!$C$2:$C$500=$A498),'03_Warehouse_Movements'!$A$2:$A$500),""))</f>
        <v/>
      </c>
      <c r="N498" t="str">
        <f>IF($C498="","",IFERROR(LOOKUP(2,1/('03_Warehouse_Movements'!$C$2:$C$500=$A498),'03_Warehouse_Movements'!$H$2:$H$500),""))</f>
        <v/>
      </c>
      <c r="O498" t="str">
        <f t="shared" si="15"/>
        <v>PAL-0000498</v>
      </c>
      <c r="Q498" s="34"/>
      <c r="R498" s="33"/>
      <c r="W498">
        <f>IF($A2="","",COUNTIF('07_Pallet_Contents'!$A$2:$A$3000,$A2))</f>
        <v>0</v>
      </c>
      <c r="X498">
        <f>IF($A2="","",SUMIF('07_Pallet_Contents'!$A$2:$A$3000,$A2,'07_Pallet_Contents'!$D$2:$D$3000))</f>
        <v>0</v>
      </c>
      <c r="Y498">
        <f>IF($A2="","",SUMIF('07_Pallet_Contents'!$A$2:$A$3000,$A2,'07_Pallet_Contents'!$I$2:$I$3000))</f>
        <v>0</v>
      </c>
      <c r="Z498" t="str">
        <f>IF($A2="","",IF(COUNTIF('07_Pallet_Contents'!$A$2:$A$3000,$A2)&gt;0,"Yes",""))</f>
        <v/>
      </c>
    </row>
    <row r="499" spans="1:26">
      <c r="A499" s="4" t="s">
        <v>809</v>
      </c>
      <c r="B499" s="31"/>
      <c r="D499" t="str">
        <f>IF($C499="","",IFERROR(LOOKUP(2,1/('03_Warehouse_Movements'!$C$2:$C$500=$A499),'03_Warehouse_Movements'!$E$2:$E$500),$C499))</f>
        <v/>
      </c>
      <c r="E499" t="s">
        <v>209</v>
      </c>
      <c r="G499" s="34"/>
      <c r="H499" s="33" t="str">
        <f t="shared" si="14"/>
        <v/>
      </c>
      <c r="I499" s="31"/>
      <c r="J499" s="31"/>
      <c r="K499" s="33"/>
      <c r="M499" s="69" t="str">
        <f>IF($C499="","",IFERROR(LOOKUP(2,1/('03_Warehouse_Movements'!$C$2:$C$500=$A499),'03_Warehouse_Movements'!$A$2:$A$500),""))</f>
        <v/>
      </c>
      <c r="N499" t="str">
        <f>IF($C499="","",IFERROR(LOOKUP(2,1/('03_Warehouse_Movements'!$C$2:$C$500=$A499),'03_Warehouse_Movements'!$H$2:$H$500),""))</f>
        <v/>
      </c>
      <c r="O499" t="str">
        <f t="shared" si="15"/>
        <v>PAL-0000499</v>
      </c>
      <c r="Q499" s="34"/>
      <c r="R499" s="33"/>
      <c r="W499">
        <f>IF($A2="","",COUNTIF('07_Pallet_Contents'!$A$2:$A$3000,$A2))</f>
        <v>0</v>
      </c>
      <c r="X499">
        <f>IF($A2="","",SUMIF('07_Pallet_Contents'!$A$2:$A$3000,$A2,'07_Pallet_Contents'!$D$2:$D$3000))</f>
        <v>0</v>
      </c>
      <c r="Y499">
        <f>IF($A2="","",SUMIF('07_Pallet_Contents'!$A$2:$A$3000,$A2,'07_Pallet_Contents'!$I$2:$I$3000))</f>
        <v>0</v>
      </c>
      <c r="Z499" t="str">
        <f>IF($A2="","",IF(COUNTIF('07_Pallet_Contents'!$A$2:$A$3000,$A2)&gt;0,"Yes",""))</f>
        <v/>
      </c>
    </row>
    <row r="500" spans="1:26">
      <c r="A500" s="4" t="s">
        <v>810</v>
      </c>
      <c r="B500" s="31"/>
      <c r="D500" t="str">
        <f>IF($C500="","",IFERROR(LOOKUP(2,1/('03_Warehouse_Movements'!$C$2:$C$500=$A500),'03_Warehouse_Movements'!$E$2:$E$500),$C500))</f>
        <v/>
      </c>
      <c r="E500" t="s">
        <v>209</v>
      </c>
      <c r="G500" s="34"/>
      <c r="H500" s="33" t="str">
        <f t="shared" si="14"/>
        <v/>
      </c>
      <c r="I500" s="31"/>
      <c r="J500" s="31"/>
      <c r="K500" s="33"/>
      <c r="M500" s="69" t="str">
        <f>IF($C500="","",IFERROR(LOOKUP(2,1/('03_Warehouse_Movements'!$C$2:$C$500=$A500),'03_Warehouse_Movements'!$A$2:$A$500),""))</f>
        <v/>
      </c>
      <c r="N500" t="str">
        <f>IF($C500="","",IFERROR(LOOKUP(2,1/('03_Warehouse_Movements'!$C$2:$C$500=$A500),'03_Warehouse_Movements'!$H$2:$H$500),""))</f>
        <v/>
      </c>
      <c r="O500" t="str">
        <f t="shared" si="15"/>
        <v>PAL-0000500</v>
      </c>
      <c r="Q500" s="34"/>
      <c r="R500" s="33"/>
      <c r="W500">
        <f>IF($A2="","",COUNTIF('07_Pallet_Contents'!$A$2:$A$3000,$A2))</f>
        <v>0</v>
      </c>
      <c r="X500">
        <f>IF($A2="","",SUMIF('07_Pallet_Contents'!$A$2:$A$3000,$A2,'07_Pallet_Contents'!$D$2:$D$3000))</f>
        <v>0</v>
      </c>
      <c r="Y500">
        <f>IF($A2="","",SUMIF('07_Pallet_Contents'!$A$2:$A$3000,$A2,'07_Pallet_Contents'!$I$2:$I$3000))</f>
        <v>0</v>
      </c>
      <c r="Z500" t="str">
        <f>IF($A2="","",IF(COUNTIF('07_Pallet_Contents'!$A$2:$A$3000,$A2)&gt;0,"Yes",""))</f>
        <v/>
      </c>
    </row>
    <row r="501" spans="1:26">
      <c r="A501" s="4" t="s">
        <v>811</v>
      </c>
      <c r="B501" s="31"/>
      <c r="G501" s="34"/>
      <c r="H501" s="33" t="str">
        <f t="shared" si="14"/>
        <v/>
      </c>
      <c r="I501" s="31"/>
      <c r="J501" s="31"/>
      <c r="K501" s="33"/>
      <c r="W501">
        <f>IF($A2="","",COUNTIF('07_Pallet_Contents'!$A$2:$A$3000,$A2))</f>
        <v>0</v>
      </c>
      <c r="X501">
        <f>IF($A2="","",SUMIF('07_Pallet_Contents'!$A$2:$A$3000,$A2,'07_Pallet_Contents'!$D$2:$D$3000))</f>
        <v>0</v>
      </c>
      <c r="Y501">
        <f>IF($A2="","",SUMIF('07_Pallet_Contents'!$A$2:$A$3000,$A2,'07_Pallet_Contents'!$I$2:$I$3000))</f>
        <v>0</v>
      </c>
      <c r="Z501" t="str">
        <f>IF($A2="","",IF(COUNTIF('07_Pallet_Contents'!$A$2:$A$3000,$A2)&gt;0,"Yes",""))</f>
        <v/>
      </c>
    </row>
    <row r="502" spans="1:26">
      <c r="A502" t="s">
        <v>812</v>
      </c>
      <c r="B502" s="31"/>
      <c r="G502" s="34"/>
      <c r="H502" s="33" t="str">
        <f t="shared" si="14"/>
        <v/>
      </c>
      <c r="I502" s="31"/>
      <c r="J502" s="31"/>
      <c r="K502" s="33"/>
      <c r="W502">
        <f>IF($A2="","",COUNTIF('07_Pallet_Contents'!$A$2:$A$3000,$A2))</f>
        <v>0</v>
      </c>
      <c r="X502">
        <f>IF($A2="","",SUMIF('07_Pallet_Contents'!$A$2:$A$3000,$A2,'07_Pallet_Contents'!$D$2:$D$3000))</f>
        <v>0</v>
      </c>
      <c r="Y502">
        <f>IF($A2="","",SUMIF('07_Pallet_Contents'!$A$2:$A$3000,$A2,'07_Pallet_Contents'!$I$2:$I$3000))</f>
        <v>0</v>
      </c>
      <c r="Z502" t="str">
        <f>IF($A2="","",IF(COUNTIF('07_Pallet_Contents'!$A$2:$A$3000,$A2)&gt;0,"Yes",""))</f>
        <v/>
      </c>
    </row>
    <row r="503" spans="1:26">
      <c r="B503" s="31"/>
      <c r="G503" s="34"/>
      <c r="H503" s="33" t="str">
        <f t="shared" si="14"/>
        <v/>
      </c>
      <c r="I503" s="31"/>
      <c r="J503" s="31"/>
      <c r="K503" s="33"/>
      <c r="W503">
        <f>IF($A2="","",COUNTIF('07_Pallet_Contents'!$A$2:$A$3000,$A2))</f>
        <v>0</v>
      </c>
      <c r="X503">
        <f>IF($A2="","",SUMIF('07_Pallet_Contents'!$A$2:$A$3000,$A2,'07_Pallet_Contents'!$D$2:$D$3000))</f>
        <v>0</v>
      </c>
      <c r="Y503">
        <f>IF($A2="","",SUMIF('07_Pallet_Contents'!$A$2:$A$3000,$A2,'07_Pallet_Contents'!$I$2:$I$3000))</f>
        <v>0</v>
      </c>
      <c r="Z503" t="str">
        <f>IF($A2="","",IF(COUNTIF('07_Pallet_Contents'!$A$2:$A$3000,$A2)&gt;0,"Yes",""))</f>
        <v/>
      </c>
    </row>
    <row r="504" spans="1:26">
      <c r="B504" s="31"/>
      <c r="G504" s="34"/>
      <c r="H504" s="33" t="str">
        <f t="shared" si="14"/>
        <v/>
      </c>
      <c r="I504" s="31"/>
      <c r="J504" s="31"/>
      <c r="K504" s="33"/>
      <c r="W504">
        <f>IF($A2="","",COUNTIF('07_Pallet_Contents'!$A$2:$A$3000,$A2))</f>
        <v>0</v>
      </c>
      <c r="X504">
        <f>IF($A2="","",SUMIF('07_Pallet_Contents'!$A$2:$A$3000,$A2,'07_Pallet_Contents'!$D$2:$D$3000))</f>
        <v>0</v>
      </c>
      <c r="Y504">
        <f>IF($A2="","",SUMIF('07_Pallet_Contents'!$A$2:$A$3000,$A2,'07_Pallet_Contents'!$I$2:$I$3000))</f>
        <v>0</v>
      </c>
      <c r="Z504" t="str">
        <f>IF($A2="","",IF(COUNTIF('07_Pallet_Contents'!$A$2:$A$3000,$A2)&gt;0,"Yes",""))</f>
        <v/>
      </c>
    </row>
    <row r="505" spans="1:26">
      <c r="B505" s="31"/>
      <c r="G505" s="34"/>
      <c r="H505" s="33" t="str">
        <f t="shared" si="14"/>
        <v/>
      </c>
      <c r="I505" s="31"/>
      <c r="J505" s="31"/>
      <c r="K505" s="33"/>
      <c r="W505">
        <f>IF($A2="","",COUNTIF('07_Pallet_Contents'!$A$2:$A$3000,$A2))</f>
        <v>0</v>
      </c>
      <c r="X505">
        <f>IF($A2="","",SUMIF('07_Pallet_Contents'!$A$2:$A$3000,$A2,'07_Pallet_Contents'!$D$2:$D$3000))</f>
        <v>0</v>
      </c>
      <c r="Y505">
        <f>IF($A2="","",SUMIF('07_Pallet_Contents'!$A$2:$A$3000,$A2,'07_Pallet_Contents'!$I$2:$I$3000))</f>
        <v>0</v>
      </c>
      <c r="Z505" t="str">
        <f>IF($A2="","",IF(COUNTIF('07_Pallet_Contents'!$A$2:$A$3000,$A2)&gt;0,"Yes",""))</f>
        <v/>
      </c>
    </row>
    <row r="506" spans="1:26">
      <c r="B506" s="31"/>
      <c r="G506" s="34"/>
      <c r="H506" s="33" t="str">
        <f t="shared" si="14"/>
        <v/>
      </c>
      <c r="I506" s="31"/>
      <c r="J506" s="31"/>
      <c r="K506" s="33"/>
      <c r="W506">
        <f>IF($A2="","",COUNTIF('07_Pallet_Contents'!$A$2:$A$3000,$A2))</f>
        <v>0</v>
      </c>
      <c r="X506">
        <f>IF($A2="","",SUMIF('07_Pallet_Contents'!$A$2:$A$3000,$A2,'07_Pallet_Contents'!$D$2:$D$3000))</f>
        <v>0</v>
      </c>
      <c r="Y506">
        <f>IF($A2="","",SUMIF('07_Pallet_Contents'!$A$2:$A$3000,$A2,'07_Pallet_Contents'!$I$2:$I$3000))</f>
        <v>0</v>
      </c>
      <c r="Z506" t="str">
        <f>IF($A2="","",IF(COUNTIF('07_Pallet_Contents'!$A$2:$A$3000,$A2)&gt;0,"Yes",""))</f>
        <v/>
      </c>
    </row>
    <row r="507" spans="1:26">
      <c r="B507" s="31"/>
      <c r="G507" s="34"/>
      <c r="H507" s="33" t="str">
        <f t="shared" si="14"/>
        <v/>
      </c>
      <c r="I507" s="31"/>
      <c r="J507" s="31"/>
      <c r="K507" s="33"/>
      <c r="W507">
        <f>IF($A2="","",COUNTIF('07_Pallet_Contents'!$A$2:$A$3000,$A2))</f>
        <v>0</v>
      </c>
      <c r="X507">
        <f>IF($A2="","",SUMIF('07_Pallet_Contents'!$A$2:$A$3000,$A2,'07_Pallet_Contents'!$D$2:$D$3000))</f>
        <v>0</v>
      </c>
      <c r="Y507">
        <f>IF($A2="","",SUMIF('07_Pallet_Contents'!$A$2:$A$3000,$A2,'07_Pallet_Contents'!$I$2:$I$3000))</f>
        <v>0</v>
      </c>
      <c r="Z507" t="str">
        <f>IF($A2="","",IF(COUNTIF('07_Pallet_Contents'!$A$2:$A$3000,$A2)&gt;0,"Yes",""))</f>
        <v/>
      </c>
    </row>
    <row r="508" spans="1:26">
      <c r="B508" s="31"/>
      <c r="G508" s="34"/>
      <c r="H508" s="33" t="str">
        <f t="shared" si="14"/>
        <v/>
      </c>
      <c r="I508" s="31"/>
      <c r="J508" s="31"/>
      <c r="K508" s="33"/>
      <c r="W508">
        <f>IF($A2="","",COUNTIF('07_Pallet_Contents'!$A$2:$A$3000,$A2))</f>
        <v>0</v>
      </c>
      <c r="X508">
        <f>IF($A2="","",SUMIF('07_Pallet_Contents'!$A$2:$A$3000,$A2,'07_Pallet_Contents'!$D$2:$D$3000))</f>
        <v>0</v>
      </c>
      <c r="Y508">
        <f>IF($A2="","",SUMIF('07_Pallet_Contents'!$A$2:$A$3000,$A2,'07_Pallet_Contents'!$I$2:$I$3000))</f>
        <v>0</v>
      </c>
      <c r="Z508" t="str">
        <f>IF($A2="","",IF(COUNTIF('07_Pallet_Contents'!$A$2:$A$3000,$A2)&gt;0,"Yes",""))</f>
        <v/>
      </c>
    </row>
    <row r="509" spans="1:26">
      <c r="B509" s="31"/>
      <c r="G509" s="34"/>
      <c r="H509" s="33" t="str">
        <f t="shared" si="14"/>
        <v/>
      </c>
      <c r="I509" s="31"/>
      <c r="J509" s="31"/>
      <c r="K509" s="33"/>
      <c r="W509">
        <f>IF($A2="","",COUNTIF('07_Pallet_Contents'!$A$2:$A$3000,$A2))</f>
        <v>0</v>
      </c>
      <c r="X509">
        <f>IF($A2="","",SUMIF('07_Pallet_Contents'!$A$2:$A$3000,$A2,'07_Pallet_Contents'!$D$2:$D$3000))</f>
        <v>0</v>
      </c>
      <c r="Y509">
        <f>IF($A2="","",SUMIF('07_Pallet_Contents'!$A$2:$A$3000,$A2,'07_Pallet_Contents'!$I$2:$I$3000))</f>
        <v>0</v>
      </c>
      <c r="Z509" t="str">
        <f>IF($A2="","",IF(COUNTIF('07_Pallet_Contents'!$A$2:$A$3000,$A2)&gt;0,"Yes",""))</f>
        <v/>
      </c>
    </row>
    <row r="510" spans="1:26">
      <c r="B510" s="31"/>
      <c r="G510" s="34"/>
      <c r="H510" s="33" t="str">
        <f t="shared" si="14"/>
        <v/>
      </c>
      <c r="I510" s="31"/>
      <c r="J510" s="31"/>
      <c r="K510" s="33"/>
      <c r="W510">
        <f>IF($A2="","",COUNTIF('07_Pallet_Contents'!$A$2:$A$3000,$A2))</f>
        <v>0</v>
      </c>
      <c r="X510">
        <f>IF($A2="","",SUMIF('07_Pallet_Contents'!$A$2:$A$3000,$A2,'07_Pallet_Contents'!$D$2:$D$3000))</f>
        <v>0</v>
      </c>
      <c r="Y510">
        <f>IF($A2="","",SUMIF('07_Pallet_Contents'!$A$2:$A$3000,$A2,'07_Pallet_Contents'!$I$2:$I$3000))</f>
        <v>0</v>
      </c>
      <c r="Z510" t="str">
        <f>IF($A2="","",IF(COUNTIF('07_Pallet_Contents'!$A$2:$A$3000,$A2)&gt;0,"Yes",""))</f>
        <v/>
      </c>
    </row>
    <row r="511" spans="1:26">
      <c r="B511" s="31"/>
      <c r="G511" s="34"/>
      <c r="H511" s="33" t="str">
        <f t="shared" si="14"/>
        <v/>
      </c>
      <c r="I511" s="31"/>
      <c r="J511" s="31"/>
      <c r="K511" s="33"/>
      <c r="W511">
        <f>IF($A2="","",COUNTIF('07_Pallet_Contents'!$A$2:$A$3000,$A2))</f>
        <v>0</v>
      </c>
      <c r="X511">
        <f>IF($A2="","",SUMIF('07_Pallet_Contents'!$A$2:$A$3000,$A2,'07_Pallet_Contents'!$D$2:$D$3000))</f>
        <v>0</v>
      </c>
      <c r="Y511">
        <f>IF($A2="","",SUMIF('07_Pallet_Contents'!$A$2:$A$3000,$A2,'07_Pallet_Contents'!$I$2:$I$3000))</f>
        <v>0</v>
      </c>
      <c r="Z511" t="str">
        <f>IF($A2="","",IF(COUNTIF('07_Pallet_Contents'!$A$2:$A$3000,$A2)&gt;0,"Yes",""))</f>
        <v/>
      </c>
    </row>
    <row r="512" spans="1:26">
      <c r="B512" s="31"/>
      <c r="G512" s="34"/>
      <c r="H512" s="33" t="str">
        <f t="shared" si="14"/>
        <v/>
      </c>
      <c r="I512" s="31"/>
      <c r="J512" s="31"/>
      <c r="K512" s="33"/>
      <c r="W512">
        <f>IF($A2="","",COUNTIF('07_Pallet_Contents'!$A$2:$A$3000,$A2))</f>
        <v>0</v>
      </c>
      <c r="X512">
        <f>IF($A2="","",SUMIF('07_Pallet_Contents'!$A$2:$A$3000,$A2,'07_Pallet_Contents'!$D$2:$D$3000))</f>
        <v>0</v>
      </c>
      <c r="Y512">
        <f>IF($A2="","",SUMIF('07_Pallet_Contents'!$A$2:$A$3000,$A2,'07_Pallet_Contents'!$I$2:$I$3000))</f>
        <v>0</v>
      </c>
      <c r="Z512" t="str">
        <f>IF($A2="","",IF(COUNTIF('07_Pallet_Contents'!$A$2:$A$3000,$A2)&gt;0,"Yes",""))</f>
        <v/>
      </c>
    </row>
    <row r="513" spans="2:26">
      <c r="B513" s="31"/>
      <c r="G513" s="34"/>
      <c r="H513" s="33" t="str">
        <f t="shared" si="14"/>
        <v/>
      </c>
      <c r="I513" s="31"/>
      <c r="J513" s="31"/>
      <c r="K513" s="33"/>
      <c r="W513">
        <f>IF($A2="","",COUNTIF('07_Pallet_Contents'!$A$2:$A$3000,$A2))</f>
        <v>0</v>
      </c>
      <c r="X513">
        <f>IF($A2="","",SUMIF('07_Pallet_Contents'!$A$2:$A$3000,$A2,'07_Pallet_Contents'!$D$2:$D$3000))</f>
        <v>0</v>
      </c>
      <c r="Y513">
        <f>IF($A2="","",SUMIF('07_Pallet_Contents'!$A$2:$A$3000,$A2,'07_Pallet_Contents'!$I$2:$I$3000))</f>
        <v>0</v>
      </c>
      <c r="Z513" t="str">
        <f>IF($A2="","",IF(COUNTIF('07_Pallet_Contents'!$A$2:$A$3000,$A2)&gt;0,"Yes",""))</f>
        <v/>
      </c>
    </row>
    <row r="514" spans="2:26">
      <c r="B514" s="31"/>
      <c r="G514" s="34"/>
      <c r="H514" s="33" t="str">
        <f t="shared" ref="H514:H577" si="16">IF(AND($F514="TEMP",$G514&gt;0,$M514&lt;&gt;""),$M514+$G514,"")</f>
        <v/>
      </c>
      <c r="I514" s="31"/>
      <c r="J514" s="31"/>
      <c r="K514" s="33"/>
      <c r="W514">
        <f>IF($A2="","",COUNTIF('07_Pallet_Contents'!$A$2:$A$3000,$A2))</f>
        <v>0</v>
      </c>
      <c r="X514">
        <f>IF($A2="","",SUMIF('07_Pallet_Contents'!$A$2:$A$3000,$A2,'07_Pallet_Contents'!$D$2:$D$3000))</f>
        <v>0</v>
      </c>
      <c r="Y514">
        <f>IF($A2="","",SUMIF('07_Pallet_Contents'!$A$2:$A$3000,$A2,'07_Pallet_Contents'!$I$2:$I$3000))</f>
        <v>0</v>
      </c>
      <c r="Z514" t="str">
        <f>IF($A2="","",IF(COUNTIF('07_Pallet_Contents'!$A$2:$A$3000,$A2)&gt;0,"Yes",""))</f>
        <v/>
      </c>
    </row>
    <row r="515" spans="2:26">
      <c r="B515" s="31"/>
      <c r="G515" s="34"/>
      <c r="H515" s="33" t="str">
        <f t="shared" si="16"/>
        <v/>
      </c>
      <c r="I515" s="31"/>
      <c r="J515" s="31"/>
      <c r="K515" s="33"/>
      <c r="W515">
        <f>IF($A2="","",COUNTIF('07_Pallet_Contents'!$A$2:$A$3000,$A2))</f>
        <v>0</v>
      </c>
      <c r="X515">
        <f>IF($A2="","",SUMIF('07_Pallet_Contents'!$A$2:$A$3000,$A2,'07_Pallet_Contents'!$D$2:$D$3000))</f>
        <v>0</v>
      </c>
      <c r="Y515">
        <f>IF($A2="","",SUMIF('07_Pallet_Contents'!$A$2:$A$3000,$A2,'07_Pallet_Contents'!$I$2:$I$3000))</f>
        <v>0</v>
      </c>
      <c r="Z515" t="str">
        <f>IF($A2="","",IF(COUNTIF('07_Pallet_Contents'!$A$2:$A$3000,$A2)&gt;0,"Yes",""))</f>
        <v/>
      </c>
    </row>
    <row r="516" spans="2:26">
      <c r="B516" s="31"/>
      <c r="G516" s="34"/>
      <c r="H516" s="33" t="str">
        <f t="shared" si="16"/>
        <v/>
      </c>
      <c r="I516" s="31"/>
      <c r="J516" s="31"/>
      <c r="K516" s="33"/>
      <c r="W516">
        <f>IF($A2="","",COUNTIF('07_Pallet_Contents'!$A$2:$A$3000,$A2))</f>
        <v>0</v>
      </c>
      <c r="X516">
        <f>IF($A2="","",SUMIF('07_Pallet_Contents'!$A$2:$A$3000,$A2,'07_Pallet_Contents'!$D$2:$D$3000))</f>
        <v>0</v>
      </c>
      <c r="Y516">
        <f>IF($A2="","",SUMIF('07_Pallet_Contents'!$A$2:$A$3000,$A2,'07_Pallet_Contents'!$I$2:$I$3000))</f>
        <v>0</v>
      </c>
      <c r="Z516" t="str">
        <f>IF($A2="","",IF(COUNTIF('07_Pallet_Contents'!$A$2:$A$3000,$A2)&gt;0,"Yes",""))</f>
        <v/>
      </c>
    </row>
    <row r="517" spans="2:26">
      <c r="B517" s="31"/>
      <c r="G517" s="34"/>
      <c r="H517" s="33" t="str">
        <f t="shared" si="16"/>
        <v/>
      </c>
      <c r="I517" s="31"/>
      <c r="J517" s="31"/>
      <c r="K517" s="33"/>
      <c r="W517">
        <f>IF($A2="","",COUNTIF('07_Pallet_Contents'!$A$2:$A$3000,$A2))</f>
        <v>0</v>
      </c>
      <c r="X517">
        <f>IF($A2="","",SUMIF('07_Pallet_Contents'!$A$2:$A$3000,$A2,'07_Pallet_Contents'!$D$2:$D$3000))</f>
        <v>0</v>
      </c>
      <c r="Y517">
        <f>IF($A2="","",SUMIF('07_Pallet_Contents'!$A$2:$A$3000,$A2,'07_Pallet_Contents'!$I$2:$I$3000))</f>
        <v>0</v>
      </c>
      <c r="Z517" t="str">
        <f>IF($A2="","",IF(COUNTIF('07_Pallet_Contents'!$A$2:$A$3000,$A2)&gt;0,"Yes",""))</f>
        <v/>
      </c>
    </row>
    <row r="518" spans="2:26">
      <c r="B518" s="31"/>
      <c r="G518" s="34"/>
      <c r="H518" s="33" t="str">
        <f t="shared" si="16"/>
        <v/>
      </c>
      <c r="I518" s="31"/>
      <c r="J518" s="31"/>
      <c r="K518" s="33"/>
      <c r="W518">
        <f>IF($A2="","",COUNTIF('07_Pallet_Contents'!$A$2:$A$3000,$A2))</f>
        <v>0</v>
      </c>
      <c r="X518">
        <f>IF($A2="","",SUMIF('07_Pallet_Contents'!$A$2:$A$3000,$A2,'07_Pallet_Contents'!$D$2:$D$3000))</f>
        <v>0</v>
      </c>
      <c r="Y518">
        <f>IF($A2="","",SUMIF('07_Pallet_Contents'!$A$2:$A$3000,$A2,'07_Pallet_Contents'!$I$2:$I$3000))</f>
        <v>0</v>
      </c>
      <c r="Z518" t="str">
        <f>IF($A2="","",IF(COUNTIF('07_Pallet_Contents'!$A$2:$A$3000,$A2)&gt;0,"Yes",""))</f>
        <v/>
      </c>
    </row>
    <row r="519" spans="2:26">
      <c r="B519" s="31"/>
      <c r="G519" s="34"/>
      <c r="H519" s="33" t="str">
        <f t="shared" si="16"/>
        <v/>
      </c>
      <c r="I519" s="31"/>
      <c r="J519" s="31"/>
      <c r="K519" s="33"/>
      <c r="W519">
        <f>IF($A2="","",COUNTIF('07_Pallet_Contents'!$A$2:$A$3000,$A2))</f>
        <v>0</v>
      </c>
      <c r="X519">
        <f>IF($A2="","",SUMIF('07_Pallet_Contents'!$A$2:$A$3000,$A2,'07_Pallet_Contents'!$D$2:$D$3000))</f>
        <v>0</v>
      </c>
      <c r="Y519">
        <f>IF($A2="","",SUMIF('07_Pallet_Contents'!$A$2:$A$3000,$A2,'07_Pallet_Contents'!$I$2:$I$3000))</f>
        <v>0</v>
      </c>
      <c r="Z519" t="str">
        <f>IF($A2="","",IF(COUNTIF('07_Pallet_Contents'!$A$2:$A$3000,$A2)&gt;0,"Yes",""))</f>
        <v/>
      </c>
    </row>
    <row r="520" spans="2:26">
      <c r="B520" s="31"/>
      <c r="G520" s="34"/>
      <c r="H520" s="33" t="str">
        <f t="shared" si="16"/>
        <v/>
      </c>
      <c r="I520" s="31"/>
      <c r="J520" s="31"/>
      <c r="K520" s="33"/>
      <c r="W520">
        <f>IF($A2="","",COUNTIF('07_Pallet_Contents'!$A$2:$A$3000,$A2))</f>
        <v>0</v>
      </c>
      <c r="X520">
        <f>IF($A2="","",SUMIF('07_Pallet_Contents'!$A$2:$A$3000,$A2,'07_Pallet_Contents'!$D$2:$D$3000))</f>
        <v>0</v>
      </c>
      <c r="Y520">
        <f>IF($A2="","",SUMIF('07_Pallet_Contents'!$A$2:$A$3000,$A2,'07_Pallet_Contents'!$I$2:$I$3000))</f>
        <v>0</v>
      </c>
      <c r="Z520" t="str">
        <f>IF($A2="","",IF(COUNTIF('07_Pallet_Contents'!$A$2:$A$3000,$A2)&gt;0,"Yes",""))</f>
        <v/>
      </c>
    </row>
    <row r="521" spans="2:26">
      <c r="B521" s="31"/>
      <c r="G521" s="34"/>
      <c r="H521" s="33" t="str">
        <f t="shared" si="16"/>
        <v/>
      </c>
      <c r="I521" s="31"/>
      <c r="J521" s="31"/>
      <c r="K521" s="33"/>
      <c r="W521">
        <f>IF($A2="","",COUNTIF('07_Pallet_Contents'!$A$2:$A$3000,$A2))</f>
        <v>0</v>
      </c>
      <c r="X521">
        <f>IF($A2="","",SUMIF('07_Pallet_Contents'!$A$2:$A$3000,$A2,'07_Pallet_Contents'!$D$2:$D$3000))</f>
        <v>0</v>
      </c>
      <c r="Y521">
        <f>IF($A2="","",SUMIF('07_Pallet_Contents'!$A$2:$A$3000,$A2,'07_Pallet_Contents'!$I$2:$I$3000))</f>
        <v>0</v>
      </c>
      <c r="Z521" t="str">
        <f>IF($A2="","",IF(COUNTIF('07_Pallet_Contents'!$A$2:$A$3000,$A2)&gt;0,"Yes",""))</f>
        <v/>
      </c>
    </row>
    <row r="522" spans="2:26">
      <c r="B522" s="31"/>
      <c r="G522" s="34"/>
      <c r="H522" s="33" t="str">
        <f t="shared" si="16"/>
        <v/>
      </c>
      <c r="I522" s="31"/>
      <c r="J522" s="31"/>
      <c r="K522" s="33"/>
      <c r="W522">
        <f>IF($A2="","",COUNTIF('07_Pallet_Contents'!$A$2:$A$3000,$A2))</f>
        <v>0</v>
      </c>
      <c r="X522">
        <f>IF($A2="","",SUMIF('07_Pallet_Contents'!$A$2:$A$3000,$A2,'07_Pallet_Contents'!$D$2:$D$3000))</f>
        <v>0</v>
      </c>
      <c r="Y522">
        <f>IF($A2="","",SUMIF('07_Pallet_Contents'!$A$2:$A$3000,$A2,'07_Pallet_Contents'!$I$2:$I$3000))</f>
        <v>0</v>
      </c>
      <c r="Z522" t="str">
        <f>IF($A2="","",IF(COUNTIF('07_Pallet_Contents'!$A$2:$A$3000,$A2)&gt;0,"Yes",""))</f>
        <v/>
      </c>
    </row>
    <row r="523" spans="2:26">
      <c r="B523" s="31"/>
      <c r="G523" s="34"/>
      <c r="H523" s="33" t="str">
        <f t="shared" si="16"/>
        <v/>
      </c>
      <c r="I523" s="31"/>
      <c r="J523" s="31"/>
      <c r="K523" s="33"/>
      <c r="W523">
        <f>IF($A2="","",COUNTIF('07_Pallet_Contents'!$A$2:$A$3000,$A2))</f>
        <v>0</v>
      </c>
      <c r="X523">
        <f>IF($A2="","",SUMIF('07_Pallet_Contents'!$A$2:$A$3000,$A2,'07_Pallet_Contents'!$D$2:$D$3000))</f>
        <v>0</v>
      </c>
      <c r="Y523">
        <f>IF($A2="","",SUMIF('07_Pallet_Contents'!$A$2:$A$3000,$A2,'07_Pallet_Contents'!$I$2:$I$3000))</f>
        <v>0</v>
      </c>
      <c r="Z523" t="str">
        <f>IF($A2="","",IF(COUNTIF('07_Pallet_Contents'!$A$2:$A$3000,$A2)&gt;0,"Yes",""))</f>
        <v/>
      </c>
    </row>
    <row r="524" spans="2:26">
      <c r="B524" s="31"/>
      <c r="G524" s="34"/>
      <c r="H524" s="33" t="str">
        <f t="shared" si="16"/>
        <v/>
      </c>
      <c r="I524" s="31"/>
      <c r="J524" s="31"/>
      <c r="K524" s="33"/>
      <c r="W524">
        <f>IF($A2="","",COUNTIF('07_Pallet_Contents'!$A$2:$A$3000,$A2))</f>
        <v>0</v>
      </c>
      <c r="X524">
        <f>IF($A2="","",SUMIF('07_Pallet_Contents'!$A$2:$A$3000,$A2,'07_Pallet_Contents'!$D$2:$D$3000))</f>
        <v>0</v>
      </c>
      <c r="Y524">
        <f>IF($A2="","",SUMIF('07_Pallet_Contents'!$A$2:$A$3000,$A2,'07_Pallet_Contents'!$I$2:$I$3000))</f>
        <v>0</v>
      </c>
      <c r="Z524" t="str">
        <f>IF($A2="","",IF(COUNTIF('07_Pallet_Contents'!$A$2:$A$3000,$A2)&gt;0,"Yes",""))</f>
        <v/>
      </c>
    </row>
    <row r="525" spans="2:26">
      <c r="B525" s="31"/>
      <c r="G525" s="34"/>
      <c r="H525" s="33" t="str">
        <f t="shared" si="16"/>
        <v/>
      </c>
      <c r="I525" s="31"/>
      <c r="J525" s="31"/>
      <c r="K525" s="33"/>
      <c r="W525">
        <f>IF($A2="","",COUNTIF('07_Pallet_Contents'!$A$2:$A$3000,$A2))</f>
        <v>0</v>
      </c>
      <c r="X525">
        <f>IF($A2="","",SUMIF('07_Pallet_Contents'!$A$2:$A$3000,$A2,'07_Pallet_Contents'!$D$2:$D$3000))</f>
        <v>0</v>
      </c>
      <c r="Y525">
        <f>IF($A2="","",SUMIF('07_Pallet_Contents'!$A$2:$A$3000,$A2,'07_Pallet_Contents'!$I$2:$I$3000))</f>
        <v>0</v>
      </c>
      <c r="Z525" t="str">
        <f>IF($A2="","",IF(COUNTIF('07_Pallet_Contents'!$A$2:$A$3000,$A2)&gt;0,"Yes",""))</f>
        <v/>
      </c>
    </row>
    <row r="526" spans="2:26">
      <c r="B526" s="31"/>
      <c r="G526" s="34"/>
      <c r="H526" s="33" t="str">
        <f t="shared" si="16"/>
        <v/>
      </c>
      <c r="I526" s="31"/>
      <c r="J526" s="31"/>
      <c r="K526" s="33"/>
      <c r="W526">
        <f>IF($A2="","",COUNTIF('07_Pallet_Contents'!$A$2:$A$3000,$A2))</f>
        <v>0</v>
      </c>
      <c r="X526">
        <f>IF($A2="","",SUMIF('07_Pallet_Contents'!$A$2:$A$3000,$A2,'07_Pallet_Contents'!$D$2:$D$3000))</f>
        <v>0</v>
      </c>
      <c r="Y526">
        <f>IF($A2="","",SUMIF('07_Pallet_Contents'!$A$2:$A$3000,$A2,'07_Pallet_Contents'!$I$2:$I$3000))</f>
        <v>0</v>
      </c>
      <c r="Z526" t="str">
        <f>IF($A2="","",IF(COUNTIF('07_Pallet_Contents'!$A$2:$A$3000,$A2)&gt;0,"Yes",""))</f>
        <v/>
      </c>
    </row>
    <row r="527" spans="2:26">
      <c r="B527" s="31"/>
      <c r="G527" s="34"/>
      <c r="H527" s="33" t="str">
        <f t="shared" si="16"/>
        <v/>
      </c>
      <c r="I527" s="31"/>
      <c r="J527" s="31"/>
      <c r="K527" s="33"/>
      <c r="W527">
        <f>IF($A2="","",COUNTIF('07_Pallet_Contents'!$A$2:$A$3000,$A2))</f>
        <v>0</v>
      </c>
      <c r="X527">
        <f>IF($A2="","",SUMIF('07_Pallet_Contents'!$A$2:$A$3000,$A2,'07_Pallet_Contents'!$D$2:$D$3000))</f>
        <v>0</v>
      </c>
      <c r="Y527">
        <f>IF($A2="","",SUMIF('07_Pallet_Contents'!$A$2:$A$3000,$A2,'07_Pallet_Contents'!$I$2:$I$3000))</f>
        <v>0</v>
      </c>
      <c r="Z527" t="str">
        <f>IF($A2="","",IF(COUNTIF('07_Pallet_Contents'!$A$2:$A$3000,$A2)&gt;0,"Yes",""))</f>
        <v/>
      </c>
    </row>
    <row r="528" spans="2:26">
      <c r="B528" s="31"/>
      <c r="G528" s="34"/>
      <c r="H528" s="33" t="str">
        <f t="shared" si="16"/>
        <v/>
      </c>
      <c r="I528" s="31"/>
      <c r="J528" s="31"/>
      <c r="K528" s="33"/>
      <c r="W528">
        <f>IF($A2="","",COUNTIF('07_Pallet_Contents'!$A$2:$A$3000,$A2))</f>
        <v>0</v>
      </c>
      <c r="X528">
        <f>IF($A2="","",SUMIF('07_Pallet_Contents'!$A$2:$A$3000,$A2,'07_Pallet_Contents'!$D$2:$D$3000))</f>
        <v>0</v>
      </c>
      <c r="Y528">
        <f>IF($A2="","",SUMIF('07_Pallet_Contents'!$A$2:$A$3000,$A2,'07_Pallet_Contents'!$I$2:$I$3000))</f>
        <v>0</v>
      </c>
      <c r="Z528" t="str">
        <f>IF($A2="","",IF(COUNTIF('07_Pallet_Contents'!$A$2:$A$3000,$A2)&gt;0,"Yes",""))</f>
        <v/>
      </c>
    </row>
    <row r="529" spans="2:26">
      <c r="B529" s="31"/>
      <c r="G529" s="34"/>
      <c r="H529" s="33" t="str">
        <f t="shared" si="16"/>
        <v/>
      </c>
      <c r="I529" s="31"/>
      <c r="J529" s="31"/>
      <c r="K529" s="33"/>
      <c r="W529">
        <f>IF($A2="","",COUNTIF('07_Pallet_Contents'!$A$2:$A$3000,$A2))</f>
        <v>0</v>
      </c>
      <c r="X529">
        <f>IF($A2="","",SUMIF('07_Pallet_Contents'!$A$2:$A$3000,$A2,'07_Pallet_Contents'!$D$2:$D$3000))</f>
        <v>0</v>
      </c>
      <c r="Y529">
        <f>IF($A2="","",SUMIF('07_Pallet_Contents'!$A$2:$A$3000,$A2,'07_Pallet_Contents'!$I$2:$I$3000))</f>
        <v>0</v>
      </c>
      <c r="Z529" t="str">
        <f>IF($A2="","",IF(COUNTIF('07_Pallet_Contents'!$A$2:$A$3000,$A2)&gt;0,"Yes",""))</f>
        <v/>
      </c>
    </row>
    <row r="530" spans="2:26">
      <c r="B530" s="31"/>
      <c r="G530" s="34"/>
      <c r="H530" s="33" t="str">
        <f t="shared" si="16"/>
        <v/>
      </c>
      <c r="I530" s="31"/>
      <c r="J530" s="31"/>
      <c r="K530" s="33"/>
      <c r="W530">
        <f>IF($A2="","",COUNTIF('07_Pallet_Contents'!$A$2:$A$3000,$A2))</f>
        <v>0</v>
      </c>
      <c r="X530">
        <f>IF($A2="","",SUMIF('07_Pallet_Contents'!$A$2:$A$3000,$A2,'07_Pallet_Contents'!$D$2:$D$3000))</f>
        <v>0</v>
      </c>
      <c r="Y530">
        <f>IF($A2="","",SUMIF('07_Pallet_Contents'!$A$2:$A$3000,$A2,'07_Pallet_Contents'!$I$2:$I$3000))</f>
        <v>0</v>
      </c>
      <c r="Z530" t="str">
        <f>IF($A2="","",IF(COUNTIF('07_Pallet_Contents'!$A$2:$A$3000,$A2)&gt;0,"Yes",""))</f>
        <v/>
      </c>
    </row>
    <row r="531" spans="2:26">
      <c r="B531" s="31"/>
      <c r="G531" s="34"/>
      <c r="H531" s="33" t="str">
        <f t="shared" si="16"/>
        <v/>
      </c>
      <c r="I531" s="31"/>
      <c r="J531" s="31"/>
      <c r="K531" s="33"/>
      <c r="W531">
        <f>IF($A2="","",COUNTIF('07_Pallet_Contents'!$A$2:$A$3000,$A2))</f>
        <v>0</v>
      </c>
      <c r="X531">
        <f>IF($A2="","",SUMIF('07_Pallet_Contents'!$A$2:$A$3000,$A2,'07_Pallet_Contents'!$D$2:$D$3000))</f>
        <v>0</v>
      </c>
      <c r="Y531">
        <f>IF($A2="","",SUMIF('07_Pallet_Contents'!$A$2:$A$3000,$A2,'07_Pallet_Contents'!$I$2:$I$3000))</f>
        <v>0</v>
      </c>
      <c r="Z531" t="str">
        <f>IF($A2="","",IF(COUNTIF('07_Pallet_Contents'!$A$2:$A$3000,$A2)&gt;0,"Yes",""))</f>
        <v/>
      </c>
    </row>
    <row r="532" spans="2:26">
      <c r="B532" s="31"/>
      <c r="G532" s="34"/>
      <c r="H532" s="33" t="str">
        <f t="shared" si="16"/>
        <v/>
      </c>
      <c r="I532" s="31"/>
      <c r="J532" s="31"/>
      <c r="K532" s="33"/>
      <c r="W532">
        <f>IF($A2="","",COUNTIF('07_Pallet_Contents'!$A$2:$A$3000,$A2))</f>
        <v>0</v>
      </c>
      <c r="X532">
        <f>IF($A2="","",SUMIF('07_Pallet_Contents'!$A$2:$A$3000,$A2,'07_Pallet_Contents'!$D$2:$D$3000))</f>
        <v>0</v>
      </c>
      <c r="Y532">
        <f>IF($A2="","",SUMIF('07_Pallet_Contents'!$A$2:$A$3000,$A2,'07_Pallet_Contents'!$I$2:$I$3000))</f>
        <v>0</v>
      </c>
      <c r="Z532" t="str">
        <f>IF($A2="","",IF(COUNTIF('07_Pallet_Contents'!$A$2:$A$3000,$A2)&gt;0,"Yes",""))</f>
        <v/>
      </c>
    </row>
    <row r="533" spans="2:26">
      <c r="B533" s="31"/>
      <c r="G533" s="34"/>
      <c r="H533" s="33" t="str">
        <f t="shared" si="16"/>
        <v/>
      </c>
      <c r="I533" s="31"/>
      <c r="J533" s="31"/>
      <c r="K533" s="33"/>
      <c r="W533">
        <f>IF($A2="","",COUNTIF('07_Pallet_Contents'!$A$2:$A$3000,$A2))</f>
        <v>0</v>
      </c>
      <c r="X533">
        <f>IF($A2="","",SUMIF('07_Pallet_Contents'!$A$2:$A$3000,$A2,'07_Pallet_Contents'!$D$2:$D$3000))</f>
        <v>0</v>
      </c>
      <c r="Y533">
        <f>IF($A2="","",SUMIF('07_Pallet_Contents'!$A$2:$A$3000,$A2,'07_Pallet_Contents'!$I$2:$I$3000))</f>
        <v>0</v>
      </c>
      <c r="Z533" t="str">
        <f>IF($A2="","",IF(COUNTIF('07_Pallet_Contents'!$A$2:$A$3000,$A2)&gt;0,"Yes",""))</f>
        <v/>
      </c>
    </row>
    <row r="534" spans="2:26">
      <c r="B534" s="31"/>
      <c r="G534" s="34"/>
      <c r="H534" s="33" t="str">
        <f t="shared" si="16"/>
        <v/>
      </c>
      <c r="I534" s="31"/>
      <c r="J534" s="31"/>
      <c r="K534" s="33"/>
      <c r="W534">
        <f>IF($A2="","",COUNTIF('07_Pallet_Contents'!$A$2:$A$3000,$A2))</f>
        <v>0</v>
      </c>
      <c r="X534">
        <f>IF($A2="","",SUMIF('07_Pallet_Contents'!$A$2:$A$3000,$A2,'07_Pallet_Contents'!$D$2:$D$3000))</f>
        <v>0</v>
      </c>
      <c r="Y534">
        <f>IF($A2="","",SUMIF('07_Pallet_Contents'!$A$2:$A$3000,$A2,'07_Pallet_Contents'!$I$2:$I$3000))</f>
        <v>0</v>
      </c>
      <c r="Z534" t="str">
        <f>IF($A2="","",IF(COUNTIF('07_Pallet_Contents'!$A$2:$A$3000,$A2)&gt;0,"Yes",""))</f>
        <v/>
      </c>
    </row>
    <row r="535" spans="2:26">
      <c r="B535" s="31"/>
      <c r="G535" s="34"/>
      <c r="H535" s="33" t="str">
        <f t="shared" si="16"/>
        <v/>
      </c>
      <c r="I535" s="31"/>
      <c r="J535" s="31"/>
      <c r="K535" s="33"/>
      <c r="W535">
        <f>IF($A2="","",COUNTIF('07_Pallet_Contents'!$A$2:$A$3000,$A2))</f>
        <v>0</v>
      </c>
      <c r="X535">
        <f>IF($A2="","",SUMIF('07_Pallet_Contents'!$A$2:$A$3000,$A2,'07_Pallet_Contents'!$D$2:$D$3000))</f>
        <v>0</v>
      </c>
      <c r="Y535">
        <f>IF($A2="","",SUMIF('07_Pallet_Contents'!$A$2:$A$3000,$A2,'07_Pallet_Contents'!$I$2:$I$3000))</f>
        <v>0</v>
      </c>
      <c r="Z535" t="str">
        <f>IF($A2="","",IF(COUNTIF('07_Pallet_Contents'!$A$2:$A$3000,$A2)&gt;0,"Yes",""))</f>
        <v/>
      </c>
    </row>
    <row r="536" spans="2:26">
      <c r="B536" s="31"/>
      <c r="G536" s="34"/>
      <c r="H536" s="33" t="str">
        <f t="shared" si="16"/>
        <v/>
      </c>
      <c r="I536" s="31"/>
      <c r="J536" s="31"/>
      <c r="K536" s="33"/>
      <c r="W536">
        <f>IF($A2="","",COUNTIF('07_Pallet_Contents'!$A$2:$A$3000,$A2))</f>
        <v>0</v>
      </c>
      <c r="X536">
        <f>IF($A2="","",SUMIF('07_Pallet_Contents'!$A$2:$A$3000,$A2,'07_Pallet_Contents'!$D$2:$D$3000))</f>
        <v>0</v>
      </c>
      <c r="Y536">
        <f>IF($A2="","",SUMIF('07_Pallet_Contents'!$A$2:$A$3000,$A2,'07_Pallet_Contents'!$I$2:$I$3000))</f>
        <v>0</v>
      </c>
      <c r="Z536" t="str">
        <f>IF($A2="","",IF(COUNTIF('07_Pallet_Contents'!$A$2:$A$3000,$A2)&gt;0,"Yes",""))</f>
        <v/>
      </c>
    </row>
    <row r="537" spans="2:26">
      <c r="B537" s="31"/>
      <c r="G537" s="34"/>
      <c r="H537" s="33" t="str">
        <f t="shared" si="16"/>
        <v/>
      </c>
      <c r="I537" s="31"/>
      <c r="J537" s="31"/>
      <c r="K537" s="33"/>
      <c r="W537">
        <f>IF($A2="","",COUNTIF('07_Pallet_Contents'!$A$2:$A$3000,$A2))</f>
        <v>0</v>
      </c>
      <c r="X537">
        <f>IF($A2="","",SUMIF('07_Pallet_Contents'!$A$2:$A$3000,$A2,'07_Pallet_Contents'!$D$2:$D$3000))</f>
        <v>0</v>
      </c>
      <c r="Y537">
        <f>IF($A2="","",SUMIF('07_Pallet_Contents'!$A$2:$A$3000,$A2,'07_Pallet_Contents'!$I$2:$I$3000))</f>
        <v>0</v>
      </c>
      <c r="Z537" t="str">
        <f>IF($A2="","",IF(COUNTIF('07_Pallet_Contents'!$A$2:$A$3000,$A2)&gt;0,"Yes",""))</f>
        <v/>
      </c>
    </row>
    <row r="538" spans="2:26">
      <c r="B538" s="31"/>
      <c r="G538" s="34"/>
      <c r="H538" s="33" t="str">
        <f t="shared" si="16"/>
        <v/>
      </c>
      <c r="I538" s="31"/>
      <c r="J538" s="31"/>
      <c r="K538" s="33"/>
      <c r="W538">
        <f>IF($A2="","",COUNTIF('07_Pallet_Contents'!$A$2:$A$3000,$A2))</f>
        <v>0</v>
      </c>
      <c r="X538">
        <f>IF($A2="","",SUMIF('07_Pallet_Contents'!$A$2:$A$3000,$A2,'07_Pallet_Contents'!$D$2:$D$3000))</f>
        <v>0</v>
      </c>
      <c r="Y538">
        <f>IF($A2="","",SUMIF('07_Pallet_Contents'!$A$2:$A$3000,$A2,'07_Pallet_Contents'!$I$2:$I$3000))</f>
        <v>0</v>
      </c>
      <c r="Z538" t="str">
        <f>IF($A2="","",IF(COUNTIF('07_Pallet_Contents'!$A$2:$A$3000,$A2)&gt;0,"Yes",""))</f>
        <v/>
      </c>
    </row>
    <row r="539" spans="2:26">
      <c r="B539" s="31"/>
      <c r="G539" s="34"/>
      <c r="H539" s="33" t="str">
        <f t="shared" si="16"/>
        <v/>
      </c>
      <c r="I539" s="31"/>
      <c r="J539" s="31"/>
      <c r="K539" s="33"/>
      <c r="W539">
        <f>IF($A2="","",COUNTIF('07_Pallet_Contents'!$A$2:$A$3000,$A2))</f>
        <v>0</v>
      </c>
      <c r="X539">
        <f>IF($A2="","",SUMIF('07_Pallet_Contents'!$A$2:$A$3000,$A2,'07_Pallet_Contents'!$D$2:$D$3000))</f>
        <v>0</v>
      </c>
      <c r="Y539">
        <f>IF($A2="","",SUMIF('07_Pallet_Contents'!$A$2:$A$3000,$A2,'07_Pallet_Contents'!$I$2:$I$3000))</f>
        <v>0</v>
      </c>
      <c r="Z539" t="str">
        <f>IF($A2="","",IF(COUNTIF('07_Pallet_Contents'!$A$2:$A$3000,$A2)&gt;0,"Yes",""))</f>
        <v/>
      </c>
    </row>
    <row r="540" spans="2:26">
      <c r="B540" s="31"/>
      <c r="G540" s="34"/>
      <c r="H540" s="33" t="str">
        <f t="shared" si="16"/>
        <v/>
      </c>
      <c r="I540" s="31"/>
      <c r="J540" s="31"/>
      <c r="K540" s="33"/>
      <c r="W540">
        <f>IF($A2="","",COUNTIF('07_Pallet_Contents'!$A$2:$A$3000,$A2))</f>
        <v>0</v>
      </c>
      <c r="X540">
        <f>IF($A2="","",SUMIF('07_Pallet_Contents'!$A$2:$A$3000,$A2,'07_Pallet_Contents'!$D$2:$D$3000))</f>
        <v>0</v>
      </c>
      <c r="Y540">
        <f>IF($A2="","",SUMIF('07_Pallet_Contents'!$A$2:$A$3000,$A2,'07_Pallet_Contents'!$I$2:$I$3000))</f>
        <v>0</v>
      </c>
      <c r="Z540" t="str">
        <f>IF($A2="","",IF(COUNTIF('07_Pallet_Contents'!$A$2:$A$3000,$A2)&gt;0,"Yes",""))</f>
        <v/>
      </c>
    </row>
    <row r="541" spans="2:26">
      <c r="B541" s="31"/>
      <c r="G541" s="34"/>
      <c r="H541" s="33" t="str">
        <f t="shared" si="16"/>
        <v/>
      </c>
      <c r="I541" s="31"/>
      <c r="J541" s="31"/>
      <c r="K541" s="33"/>
      <c r="W541">
        <f>IF($A2="","",COUNTIF('07_Pallet_Contents'!$A$2:$A$3000,$A2))</f>
        <v>0</v>
      </c>
      <c r="X541">
        <f>IF($A2="","",SUMIF('07_Pallet_Contents'!$A$2:$A$3000,$A2,'07_Pallet_Contents'!$D$2:$D$3000))</f>
        <v>0</v>
      </c>
      <c r="Y541">
        <f>IF($A2="","",SUMIF('07_Pallet_Contents'!$A$2:$A$3000,$A2,'07_Pallet_Contents'!$I$2:$I$3000))</f>
        <v>0</v>
      </c>
      <c r="Z541" t="str">
        <f>IF($A2="","",IF(COUNTIF('07_Pallet_Contents'!$A$2:$A$3000,$A2)&gt;0,"Yes",""))</f>
        <v/>
      </c>
    </row>
    <row r="542" spans="2:26">
      <c r="B542" s="31"/>
      <c r="G542" s="34"/>
      <c r="H542" s="33" t="str">
        <f t="shared" si="16"/>
        <v/>
      </c>
      <c r="I542" s="31"/>
      <c r="J542" s="31"/>
      <c r="K542" s="33"/>
      <c r="W542">
        <f>IF($A2="","",COUNTIF('07_Pallet_Contents'!$A$2:$A$3000,$A2))</f>
        <v>0</v>
      </c>
      <c r="X542">
        <f>IF($A2="","",SUMIF('07_Pallet_Contents'!$A$2:$A$3000,$A2,'07_Pallet_Contents'!$D$2:$D$3000))</f>
        <v>0</v>
      </c>
      <c r="Y542">
        <f>IF($A2="","",SUMIF('07_Pallet_Contents'!$A$2:$A$3000,$A2,'07_Pallet_Contents'!$I$2:$I$3000))</f>
        <v>0</v>
      </c>
      <c r="Z542" t="str">
        <f>IF($A2="","",IF(COUNTIF('07_Pallet_Contents'!$A$2:$A$3000,$A2)&gt;0,"Yes",""))</f>
        <v/>
      </c>
    </row>
    <row r="543" spans="2:26">
      <c r="B543" s="31"/>
      <c r="G543" s="34"/>
      <c r="H543" s="33" t="str">
        <f t="shared" si="16"/>
        <v/>
      </c>
      <c r="I543" s="31"/>
      <c r="J543" s="31"/>
      <c r="K543" s="33"/>
      <c r="W543">
        <f>IF($A2="","",COUNTIF('07_Pallet_Contents'!$A$2:$A$3000,$A2))</f>
        <v>0</v>
      </c>
      <c r="X543">
        <f>IF($A2="","",SUMIF('07_Pallet_Contents'!$A$2:$A$3000,$A2,'07_Pallet_Contents'!$D$2:$D$3000))</f>
        <v>0</v>
      </c>
      <c r="Y543">
        <f>IF($A2="","",SUMIF('07_Pallet_Contents'!$A$2:$A$3000,$A2,'07_Pallet_Contents'!$I$2:$I$3000))</f>
        <v>0</v>
      </c>
      <c r="Z543" t="str">
        <f>IF($A2="","",IF(COUNTIF('07_Pallet_Contents'!$A$2:$A$3000,$A2)&gt;0,"Yes",""))</f>
        <v/>
      </c>
    </row>
    <row r="544" spans="2:26">
      <c r="B544" s="31"/>
      <c r="G544" s="34"/>
      <c r="H544" s="33" t="str">
        <f t="shared" si="16"/>
        <v/>
      </c>
      <c r="I544" s="31"/>
      <c r="J544" s="31"/>
      <c r="K544" s="33"/>
      <c r="W544">
        <f>IF($A2="","",COUNTIF('07_Pallet_Contents'!$A$2:$A$3000,$A2))</f>
        <v>0</v>
      </c>
      <c r="X544">
        <f>IF($A2="","",SUMIF('07_Pallet_Contents'!$A$2:$A$3000,$A2,'07_Pallet_Contents'!$D$2:$D$3000))</f>
        <v>0</v>
      </c>
      <c r="Y544">
        <f>IF($A2="","",SUMIF('07_Pallet_Contents'!$A$2:$A$3000,$A2,'07_Pallet_Contents'!$I$2:$I$3000))</f>
        <v>0</v>
      </c>
      <c r="Z544" t="str">
        <f>IF($A2="","",IF(COUNTIF('07_Pallet_Contents'!$A$2:$A$3000,$A2)&gt;0,"Yes",""))</f>
        <v/>
      </c>
    </row>
    <row r="545" spans="2:26">
      <c r="B545" s="31"/>
      <c r="G545" s="34"/>
      <c r="H545" s="33" t="str">
        <f t="shared" si="16"/>
        <v/>
      </c>
      <c r="I545" s="31"/>
      <c r="J545" s="31"/>
      <c r="K545" s="33"/>
      <c r="W545">
        <f>IF($A2="","",COUNTIF('07_Pallet_Contents'!$A$2:$A$3000,$A2))</f>
        <v>0</v>
      </c>
      <c r="X545">
        <f>IF($A2="","",SUMIF('07_Pallet_Contents'!$A$2:$A$3000,$A2,'07_Pallet_Contents'!$D$2:$D$3000))</f>
        <v>0</v>
      </c>
      <c r="Y545">
        <f>IF($A2="","",SUMIF('07_Pallet_Contents'!$A$2:$A$3000,$A2,'07_Pallet_Contents'!$I$2:$I$3000))</f>
        <v>0</v>
      </c>
      <c r="Z545" t="str">
        <f>IF($A2="","",IF(COUNTIF('07_Pallet_Contents'!$A$2:$A$3000,$A2)&gt;0,"Yes",""))</f>
        <v/>
      </c>
    </row>
    <row r="546" spans="2:26">
      <c r="B546" s="31"/>
      <c r="G546" s="34"/>
      <c r="H546" s="33" t="str">
        <f t="shared" si="16"/>
        <v/>
      </c>
      <c r="I546" s="31"/>
      <c r="J546" s="31"/>
      <c r="K546" s="33"/>
      <c r="W546">
        <f>IF($A2="","",COUNTIF('07_Pallet_Contents'!$A$2:$A$3000,$A2))</f>
        <v>0</v>
      </c>
      <c r="X546">
        <f>IF($A2="","",SUMIF('07_Pallet_Contents'!$A$2:$A$3000,$A2,'07_Pallet_Contents'!$D$2:$D$3000))</f>
        <v>0</v>
      </c>
      <c r="Y546">
        <f>IF($A2="","",SUMIF('07_Pallet_Contents'!$A$2:$A$3000,$A2,'07_Pallet_Contents'!$I$2:$I$3000))</f>
        <v>0</v>
      </c>
      <c r="Z546" t="str">
        <f>IF($A2="","",IF(COUNTIF('07_Pallet_Contents'!$A$2:$A$3000,$A2)&gt;0,"Yes",""))</f>
        <v/>
      </c>
    </row>
    <row r="547" spans="2:26">
      <c r="B547" s="31"/>
      <c r="G547" s="34"/>
      <c r="H547" s="33" t="str">
        <f t="shared" si="16"/>
        <v/>
      </c>
      <c r="I547" s="31"/>
      <c r="J547" s="31"/>
      <c r="K547" s="33"/>
      <c r="W547">
        <f>IF($A2="","",COUNTIF('07_Pallet_Contents'!$A$2:$A$3000,$A2))</f>
        <v>0</v>
      </c>
      <c r="X547">
        <f>IF($A2="","",SUMIF('07_Pallet_Contents'!$A$2:$A$3000,$A2,'07_Pallet_Contents'!$D$2:$D$3000))</f>
        <v>0</v>
      </c>
      <c r="Y547">
        <f>IF($A2="","",SUMIF('07_Pallet_Contents'!$A$2:$A$3000,$A2,'07_Pallet_Contents'!$I$2:$I$3000))</f>
        <v>0</v>
      </c>
      <c r="Z547" t="str">
        <f>IF($A2="","",IF(COUNTIF('07_Pallet_Contents'!$A$2:$A$3000,$A2)&gt;0,"Yes",""))</f>
        <v/>
      </c>
    </row>
    <row r="548" spans="2:26">
      <c r="B548" s="31"/>
      <c r="G548" s="34"/>
      <c r="H548" s="33" t="str">
        <f t="shared" si="16"/>
        <v/>
      </c>
      <c r="I548" s="31"/>
      <c r="J548" s="31"/>
      <c r="K548" s="33"/>
      <c r="W548">
        <f>IF($A2="","",COUNTIF('07_Pallet_Contents'!$A$2:$A$3000,$A2))</f>
        <v>0</v>
      </c>
      <c r="X548">
        <f>IF($A2="","",SUMIF('07_Pallet_Contents'!$A$2:$A$3000,$A2,'07_Pallet_Contents'!$D$2:$D$3000))</f>
        <v>0</v>
      </c>
      <c r="Y548">
        <f>IF($A2="","",SUMIF('07_Pallet_Contents'!$A$2:$A$3000,$A2,'07_Pallet_Contents'!$I$2:$I$3000))</f>
        <v>0</v>
      </c>
      <c r="Z548" t="str">
        <f>IF($A2="","",IF(COUNTIF('07_Pallet_Contents'!$A$2:$A$3000,$A2)&gt;0,"Yes",""))</f>
        <v/>
      </c>
    </row>
    <row r="549" spans="2:26">
      <c r="B549" s="31"/>
      <c r="G549" s="34"/>
      <c r="H549" s="33" t="str">
        <f t="shared" si="16"/>
        <v/>
      </c>
      <c r="I549" s="31"/>
      <c r="J549" s="31"/>
      <c r="K549" s="33"/>
      <c r="W549">
        <f>IF($A2="","",COUNTIF('07_Pallet_Contents'!$A$2:$A$3000,$A2))</f>
        <v>0</v>
      </c>
      <c r="X549">
        <f>IF($A2="","",SUMIF('07_Pallet_Contents'!$A$2:$A$3000,$A2,'07_Pallet_Contents'!$D$2:$D$3000))</f>
        <v>0</v>
      </c>
      <c r="Y549">
        <f>IF($A2="","",SUMIF('07_Pallet_Contents'!$A$2:$A$3000,$A2,'07_Pallet_Contents'!$I$2:$I$3000))</f>
        <v>0</v>
      </c>
      <c r="Z549" t="str">
        <f>IF($A2="","",IF(COUNTIF('07_Pallet_Contents'!$A$2:$A$3000,$A2)&gt;0,"Yes",""))</f>
        <v/>
      </c>
    </row>
    <row r="550" spans="2:26">
      <c r="B550" s="31"/>
      <c r="G550" s="34"/>
      <c r="H550" s="33" t="str">
        <f t="shared" si="16"/>
        <v/>
      </c>
      <c r="I550" s="31"/>
      <c r="J550" s="31"/>
      <c r="K550" s="33"/>
      <c r="W550">
        <f>IF($A2="","",COUNTIF('07_Pallet_Contents'!$A$2:$A$3000,$A2))</f>
        <v>0</v>
      </c>
      <c r="X550">
        <f>IF($A2="","",SUMIF('07_Pallet_Contents'!$A$2:$A$3000,$A2,'07_Pallet_Contents'!$D$2:$D$3000))</f>
        <v>0</v>
      </c>
      <c r="Y550">
        <f>IF($A2="","",SUMIF('07_Pallet_Contents'!$A$2:$A$3000,$A2,'07_Pallet_Contents'!$I$2:$I$3000))</f>
        <v>0</v>
      </c>
      <c r="Z550" t="str">
        <f>IF($A2="","",IF(COUNTIF('07_Pallet_Contents'!$A$2:$A$3000,$A2)&gt;0,"Yes",""))</f>
        <v/>
      </c>
    </row>
    <row r="551" spans="2:26">
      <c r="B551" s="31"/>
      <c r="G551" s="34"/>
      <c r="H551" s="33" t="str">
        <f t="shared" si="16"/>
        <v/>
      </c>
      <c r="I551" s="31"/>
      <c r="J551" s="31"/>
      <c r="K551" s="33"/>
      <c r="W551">
        <f>IF($A2="","",COUNTIF('07_Pallet_Contents'!$A$2:$A$3000,$A2))</f>
        <v>0</v>
      </c>
      <c r="X551">
        <f>IF($A2="","",SUMIF('07_Pallet_Contents'!$A$2:$A$3000,$A2,'07_Pallet_Contents'!$D$2:$D$3000))</f>
        <v>0</v>
      </c>
      <c r="Y551">
        <f>IF($A2="","",SUMIF('07_Pallet_Contents'!$A$2:$A$3000,$A2,'07_Pallet_Contents'!$I$2:$I$3000))</f>
        <v>0</v>
      </c>
      <c r="Z551" t="str">
        <f>IF($A2="","",IF(COUNTIF('07_Pallet_Contents'!$A$2:$A$3000,$A2)&gt;0,"Yes",""))</f>
        <v/>
      </c>
    </row>
    <row r="552" spans="2:26">
      <c r="B552" s="31"/>
      <c r="G552" s="34"/>
      <c r="H552" s="33" t="str">
        <f t="shared" si="16"/>
        <v/>
      </c>
      <c r="I552" s="31"/>
      <c r="J552" s="31"/>
      <c r="K552" s="33"/>
      <c r="W552">
        <f>IF($A2="","",COUNTIF('07_Pallet_Contents'!$A$2:$A$3000,$A2))</f>
        <v>0</v>
      </c>
      <c r="X552">
        <f>IF($A2="","",SUMIF('07_Pallet_Contents'!$A$2:$A$3000,$A2,'07_Pallet_Contents'!$D$2:$D$3000))</f>
        <v>0</v>
      </c>
      <c r="Y552">
        <f>IF($A2="","",SUMIF('07_Pallet_Contents'!$A$2:$A$3000,$A2,'07_Pallet_Contents'!$I$2:$I$3000))</f>
        <v>0</v>
      </c>
      <c r="Z552" t="str">
        <f>IF($A2="","",IF(COUNTIF('07_Pallet_Contents'!$A$2:$A$3000,$A2)&gt;0,"Yes",""))</f>
        <v/>
      </c>
    </row>
    <row r="553" spans="2:26">
      <c r="B553" s="31"/>
      <c r="G553" s="34"/>
      <c r="H553" s="33" t="str">
        <f t="shared" si="16"/>
        <v/>
      </c>
      <c r="I553" s="31"/>
      <c r="J553" s="31"/>
      <c r="K553" s="33"/>
      <c r="W553">
        <f>IF($A2="","",COUNTIF('07_Pallet_Contents'!$A$2:$A$3000,$A2))</f>
        <v>0</v>
      </c>
      <c r="X553">
        <f>IF($A2="","",SUMIF('07_Pallet_Contents'!$A$2:$A$3000,$A2,'07_Pallet_Contents'!$D$2:$D$3000))</f>
        <v>0</v>
      </c>
      <c r="Y553">
        <f>IF($A2="","",SUMIF('07_Pallet_Contents'!$A$2:$A$3000,$A2,'07_Pallet_Contents'!$I$2:$I$3000))</f>
        <v>0</v>
      </c>
      <c r="Z553" t="str">
        <f>IF($A2="","",IF(COUNTIF('07_Pallet_Contents'!$A$2:$A$3000,$A2)&gt;0,"Yes",""))</f>
        <v/>
      </c>
    </row>
    <row r="554" spans="2:26">
      <c r="B554" s="31"/>
      <c r="G554" s="34"/>
      <c r="H554" s="33" t="str">
        <f t="shared" si="16"/>
        <v/>
      </c>
      <c r="I554" s="31"/>
      <c r="J554" s="31"/>
      <c r="K554" s="33"/>
      <c r="W554">
        <f>IF($A2="","",COUNTIF('07_Pallet_Contents'!$A$2:$A$3000,$A2))</f>
        <v>0</v>
      </c>
      <c r="X554">
        <f>IF($A2="","",SUMIF('07_Pallet_Contents'!$A$2:$A$3000,$A2,'07_Pallet_Contents'!$D$2:$D$3000))</f>
        <v>0</v>
      </c>
      <c r="Y554">
        <f>IF($A2="","",SUMIF('07_Pallet_Contents'!$A$2:$A$3000,$A2,'07_Pallet_Contents'!$I$2:$I$3000))</f>
        <v>0</v>
      </c>
      <c r="Z554" t="str">
        <f>IF($A2="","",IF(COUNTIF('07_Pallet_Contents'!$A$2:$A$3000,$A2)&gt;0,"Yes",""))</f>
        <v/>
      </c>
    </row>
    <row r="555" spans="2:26">
      <c r="B555" s="31"/>
      <c r="G555" s="34"/>
      <c r="H555" s="33" t="str">
        <f t="shared" si="16"/>
        <v/>
      </c>
      <c r="I555" s="31"/>
      <c r="J555" s="31"/>
      <c r="K555" s="33"/>
      <c r="W555">
        <f>IF($A2="","",COUNTIF('07_Pallet_Contents'!$A$2:$A$3000,$A2))</f>
        <v>0</v>
      </c>
      <c r="X555">
        <f>IF($A2="","",SUMIF('07_Pallet_Contents'!$A$2:$A$3000,$A2,'07_Pallet_Contents'!$D$2:$D$3000))</f>
        <v>0</v>
      </c>
      <c r="Y555">
        <f>IF($A2="","",SUMIF('07_Pallet_Contents'!$A$2:$A$3000,$A2,'07_Pallet_Contents'!$I$2:$I$3000))</f>
        <v>0</v>
      </c>
      <c r="Z555" t="str">
        <f>IF($A2="","",IF(COUNTIF('07_Pallet_Contents'!$A$2:$A$3000,$A2)&gt;0,"Yes",""))</f>
        <v/>
      </c>
    </row>
    <row r="556" spans="2:26">
      <c r="B556" s="31"/>
      <c r="G556" s="34"/>
      <c r="H556" s="33" t="str">
        <f t="shared" si="16"/>
        <v/>
      </c>
      <c r="I556" s="31"/>
      <c r="J556" s="31"/>
      <c r="K556" s="33"/>
      <c r="W556">
        <f>IF($A2="","",COUNTIF('07_Pallet_Contents'!$A$2:$A$3000,$A2))</f>
        <v>0</v>
      </c>
      <c r="X556">
        <f>IF($A2="","",SUMIF('07_Pallet_Contents'!$A$2:$A$3000,$A2,'07_Pallet_Contents'!$D$2:$D$3000))</f>
        <v>0</v>
      </c>
      <c r="Y556">
        <f>IF($A2="","",SUMIF('07_Pallet_Contents'!$A$2:$A$3000,$A2,'07_Pallet_Contents'!$I$2:$I$3000))</f>
        <v>0</v>
      </c>
      <c r="Z556" t="str">
        <f>IF($A2="","",IF(COUNTIF('07_Pallet_Contents'!$A$2:$A$3000,$A2)&gt;0,"Yes",""))</f>
        <v/>
      </c>
    </row>
    <row r="557" spans="2:26">
      <c r="B557" s="31"/>
      <c r="G557" s="34"/>
      <c r="H557" s="33" t="str">
        <f t="shared" si="16"/>
        <v/>
      </c>
      <c r="I557" s="31"/>
      <c r="J557" s="31"/>
      <c r="K557" s="33"/>
      <c r="W557">
        <f>IF($A2="","",COUNTIF('07_Pallet_Contents'!$A$2:$A$3000,$A2))</f>
        <v>0</v>
      </c>
      <c r="X557">
        <f>IF($A2="","",SUMIF('07_Pallet_Contents'!$A$2:$A$3000,$A2,'07_Pallet_Contents'!$D$2:$D$3000))</f>
        <v>0</v>
      </c>
      <c r="Y557">
        <f>IF($A2="","",SUMIF('07_Pallet_Contents'!$A$2:$A$3000,$A2,'07_Pallet_Contents'!$I$2:$I$3000))</f>
        <v>0</v>
      </c>
      <c r="Z557" t="str">
        <f>IF($A2="","",IF(COUNTIF('07_Pallet_Contents'!$A$2:$A$3000,$A2)&gt;0,"Yes",""))</f>
        <v/>
      </c>
    </row>
    <row r="558" spans="2:26">
      <c r="B558" s="31"/>
      <c r="G558" s="34"/>
      <c r="H558" s="33" t="str">
        <f t="shared" si="16"/>
        <v/>
      </c>
      <c r="I558" s="31"/>
      <c r="J558" s="31"/>
      <c r="K558" s="33"/>
      <c r="W558">
        <f>IF($A2="","",COUNTIF('07_Pallet_Contents'!$A$2:$A$3000,$A2))</f>
        <v>0</v>
      </c>
      <c r="X558">
        <f>IF($A2="","",SUMIF('07_Pallet_Contents'!$A$2:$A$3000,$A2,'07_Pallet_Contents'!$D$2:$D$3000))</f>
        <v>0</v>
      </c>
      <c r="Y558">
        <f>IF($A2="","",SUMIF('07_Pallet_Contents'!$A$2:$A$3000,$A2,'07_Pallet_Contents'!$I$2:$I$3000))</f>
        <v>0</v>
      </c>
      <c r="Z558" t="str">
        <f>IF($A2="","",IF(COUNTIF('07_Pallet_Contents'!$A$2:$A$3000,$A2)&gt;0,"Yes",""))</f>
        <v/>
      </c>
    </row>
    <row r="559" spans="2:26">
      <c r="B559" s="31"/>
      <c r="G559" s="34"/>
      <c r="H559" s="33" t="str">
        <f t="shared" si="16"/>
        <v/>
      </c>
      <c r="I559" s="31"/>
      <c r="J559" s="31"/>
      <c r="K559" s="33"/>
      <c r="W559">
        <f>IF($A2="","",COUNTIF('07_Pallet_Contents'!$A$2:$A$3000,$A2))</f>
        <v>0</v>
      </c>
      <c r="X559">
        <f>IF($A2="","",SUMIF('07_Pallet_Contents'!$A$2:$A$3000,$A2,'07_Pallet_Contents'!$D$2:$D$3000))</f>
        <v>0</v>
      </c>
      <c r="Y559">
        <f>IF($A2="","",SUMIF('07_Pallet_Contents'!$A$2:$A$3000,$A2,'07_Pallet_Contents'!$I$2:$I$3000))</f>
        <v>0</v>
      </c>
      <c r="Z559" t="str">
        <f>IF($A2="","",IF(COUNTIF('07_Pallet_Contents'!$A$2:$A$3000,$A2)&gt;0,"Yes",""))</f>
        <v/>
      </c>
    </row>
    <row r="560" spans="2:26">
      <c r="B560" s="31"/>
      <c r="G560" s="34"/>
      <c r="H560" s="33" t="str">
        <f t="shared" si="16"/>
        <v/>
      </c>
      <c r="I560" s="31"/>
      <c r="J560" s="31"/>
      <c r="K560" s="33"/>
      <c r="W560">
        <f>IF($A2="","",COUNTIF('07_Pallet_Contents'!$A$2:$A$3000,$A2))</f>
        <v>0</v>
      </c>
      <c r="X560">
        <f>IF($A2="","",SUMIF('07_Pallet_Contents'!$A$2:$A$3000,$A2,'07_Pallet_Contents'!$D$2:$D$3000))</f>
        <v>0</v>
      </c>
      <c r="Y560">
        <f>IF($A2="","",SUMIF('07_Pallet_Contents'!$A$2:$A$3000,$A2,'07_Pallet_Contents'!$I$2:$I$3000))</f>
        <v>0</v>
      </c>
      <c r="Z560" t="str">
        <f>IF($A2="","",IF(COUNTIF('07_Pallet_Contents'!$A$2:$A$3000,$A2)&gt;0,"Yes",""))</f>
        <v/>
      </c>
    </row>
    <row r="561" spans="2:26">
      <c r="B561" s="31"/>
      <c r="G561" s="34"/>
      <c r="H561" s="33" t="str">
        <f t="shared" si="16"/>
        <v/>
      </c>
      <c r="I561" s="31"/>
      <c r="J561" s="31"/>
      <c r="K561" s="33"/>
      <c r="W561">
        <f>IF($A2="","",COUNTIF('07_Pallet_Contents'!$A$2:$A$3000,$A2))</f>
        <v>0</v>
      </c>
      <c r="X561">
        <f>IF($A2="","",SUMIF('07_Pallet_Contents'!$A$2:$A$3000,$A2,'07_Pallet_Contents'!$D$2:$D$3000))</f>
        <v>0</v>
      </c>
      <c r="Y561">
        <f>IF($A2="","",SUMIF('07_Pallet_Contents'!$A$2:$A$3000,$A2,'07_Pallet_Contents'!$I$2:$I$3000))</f>
        <v>0</v>
      </c>
      <c r="Z561" t="str">
        <f>IF($A2="","",IF(COUNTIF('07_Pallet_Contents'!$A$2:$A$3000,$A2)&gt;0,"Yes",""))</f>
        <v/>
      </c>
    </row>
    <row r="562" spans="2:26">
      <c r="B562" s="31"/>
      <c r="G562" s="34"/>
      <c r="H562" s="33" t="str">
        <f t="shared" si="16"/>
        <v/>
      </c>
      <c r="I562" s="31"/>
      <c r="J562" s="31"/>
      <c r="K562" s="33"/>
      <c r="W562">
        <f>IF($A2="","",COUNTIF('07_Pallet_Contents'!$A$2:$A$3000,$A2))</f>
        <v>0</v>
      </c>
      <c r="X562">
        <f>IF($A2="","",SUMIF('07_Pallet_Contents'!$A$2:$A$3000,$A2,'07_Pallet_Contents'!$D$2:$D$3000))</f>
        <v>0</v>
      </c>
      <c r="Y562">
        <f>IF($A2="","",SUMIF('07_Pallet_Contents'!$A$2:$A$3000,$A2,'07_Pallet_Contents'!$I$2:$I$3000))</f>
        <v>0</v>
      </c>
      <c r="Z562" t="str">
        <f>IF($A2="","",IF(COUNTIF('07_Pallet_Contents'!$A$2:$A$3000,$A2)&gt;0,"Yes",""))</f>
        <v/>
      </c>
    </row>
    <row r="563" spans="2:26">
      <c r="B563" s="31"/>
      <c r="G563" s="34"/>
      <c r="H563" s="33" t="str">
        <f t="shared" si="16"/>
        <v/>
      </c>
      <c r="I563" s="31"/>
      <c r="J563" s="31"/>
      <c r="K563" s="33"/>
      <c r="W563">
        <f>IF($A2="","",COUNTIF('07_Pallet_Contents'!$A$2:$A$3000,$A2))</f>
        <v>0</v>
      </c>
      <c r="X563">
        <f>IF($A2="","",SUMIF('07_Pallet_Contents'!$A$2:$A$3000,$A2,'07_Pallet_Contents'!$D$2:$D$3000))</f>
        <v>0</v>
      </c>
      <c r="Y563">
        <f>IF($A2="","",SUMIF('07_Pallet_Contents'!$A$2:$A$3000,$A2,'07_Pallet_Contents'!$I$2:$I$3000))</f>
        <v>0</v>
      </c>
      <c r="Z563" t="str">
        <f>IF($A2="","",IF(COUNTIF('07_Pallet_Contents'!$A$2:$A$3000,$A2)&gt;0,"Yes",""))</f>
        <v/>
      </c>
    </row>
    <row r="564" spans="2:26">
      <c r="B564" s="31"/>
      <c r="G564" s="34"/>
      <c r="H564" s="33" t="str">
        <f t="shared" si="16"/>
        <v/>
      </c>
      <c r="I564" s="31"/>
      <c r="J564" s="31"/>
      <c r="K564" s="33"/>
      <c r="W564">
        <f>IF($A2="","",COUNTIF('07_Pallet_Contents'!$A$2:$A$3000,$A2))</f>
        <v>0</v>
      </c>
      <c r="X564">
        <f>IF($A2="","",SUMIF('07_Pallet_Contents'!$A$2:$A$3000,$A2,'07_Pallet_Contents'!$D$2:$D$3000))</f>
        <v>0</v>
      </c>
      <c r="Y564">
        <f>IF($A2="","",SUMIF('07_Pallet_Contents'!$A$2:$A$3000,$A2,'07_Pallet_Contents'!$I$2:$I$3000))</f>
        <v>0</v>
      </c>
      <c r="Z564" t="str">
        <f>IF($A2="","",IF(COUNTIF('07_Pallet_Contents'!$A$2:$A$3000,$A2)&gt;0,"Yes",""))</f>
        <v/>
      </c>
    </row>
    <row r="565" spans="2:26">
      <c r="B565" s="31"/>
      <c r="G565" s="34"/>
      <c r="H565" s="33" t="str">
        <f t="shared" si="16"/>
        <v/>
      </c>
      <c r="I565" s="31"/>
      <c r="J565" s="31"/>
      <c r="K565" s="33"/>
      <c r="W565">
        <f>IF($A2="","",COUNTIF('07_Pallet_Contents'!$A$2:$A$3000,$A2))</f>
        <v>0</v>
      </c>
      <c r="X565">
        <f>IF($A2="","",SUMIF('07_Pallet_Contents'!$A$2:$A$3000,$A2,'07_Pallet_Contents'!$D$2:$D$3000))</f>
        <v>0</v>
      </c>
      <c r="Y565">
        <f>IF($A2="","",SUMIF('07_Pallet_Contents'!$A$2:$A$3000,$A2,'07_Pallet_Contents'!$I$2:$I$3000))</f>
        <v>0</v>
      </c>
      <c r="Z565" t="str">
        <f>IF($A2="","",IF(COUNTIF('07_Pallet_Contents'!$A$2:$A$3000,$A2)&gt;0,"Yes",""))</f>
        <v/>
      </c>
    </row>
    <row r="566" spans="2:26">
      <c r="B566" s="31"/>
      <c r="G566" s="34"/>
      <c r="H566" s="33" t="str">
        <f t="shared" si="16"/>
        <v/>
      </c>
      <c r="I566" s="31"/>
      <c r="J566" s="31"/>
      <c r="K566" s="33"/>
      <c r="W566">
        <f>IF($A2="","",COUNTIF('07_Pallet_Contents'!$A$2:$A$3000,$A2))</f>
        <v>0</v>
      </c>
      <c r="X566">
        <f>IF($A2="","",SUMIF('07_Pallet_Contents'!$A$2:$A$3000,$A2,'07_Pallet_Contents'!$D$2:$D$3000))</f>
        <v>0</v>
      </c>
      <c r="Y566">
        <f>IF($A2="","",SUMIF('07_Pallet_Contents'!$A$2:$A$3000,$A2,'07_Pallet_Contents'!$I$2:$I$3000))</f>
        <v>0</v>
      </c>
      <c r="Z566" t="str">
        <f>IF($A2="","",IF(COUNTIF('07_Pallet_Contents'!$A$2:$A$3000,$A2)&gt;0,"Yes",""))</f>
        <v/>
      </c>
    </row>
    <row r="567" spans="2:26">
      <c r="B567" s="31"/>
      <c r="G567" s="34"/>
      <c r="H567" s="33" t="str">
        <f t="shared" si="16"/>
        <v/>
      </c>
      <c r="I567" s="31"/>
      <c r="J567" s="31"/>
      <c r="K567" s="33"/>
      <c r="W567">
        <f>IF($A2="","",COUNTIF('07_Pallet_Contents'!$A$2:$A$3000,$A2))</f>
        <v>0</v>
      </c>
      <c r="X567">
        <f>IF($A2="","",SUMIF('07_Pallet_Contents'!$A$2:$A$3000,$A2,'07_Pallet_Contents'!$D$2:$D$3000))</f>
        <v>0</v>
      </c>
      <c r="Y567">
        <f>IF($A2="","",SUMIF('07_Pallet_Contents'!$A$2:$A$3000,$A2,'07_Pallet_Contents'!$I$2:$I$3000))</f>
        <v>0</v>
      </c>
      <c r="Z567" t="str">
        <f>IF($A2="","",IF(COUNTIF('07_Pallet_Contents'!$A$2:$A$3000,$A2)&gt;0,"Yes",""))</f>
        <v/>
      </c>
    </row>
    <row r="568" spans="2:26">
      <c r="B568" s="31"/>
      <c r="G568" s="34"/>
      <c r="H568" s="33" t="str">
        <f t="shared" si="16"/>
        <v/>
      </c>
      <c r="I568" s="31"/>
      <c r="J568" s="31"/>
      <c r="K568" s="33"/>
      <c r="W568">
        <f>IF($A2="","",COUNTIF('07_Pallet_Contents'!$A$2:$A$3000,$A2))</f>
        <v>0</v>
      </c>
      <c r="X568">
        <f>IF($A2="","",SUMIF('07_Pallet_Contents'!$A$2:$A$3000,$A2,'07_Pallet_Contents'!$D$2:$D$3000))</f>
        <v>0</v>
      </c>
      <c r="Y568">
        <f>IF($A2="","",SUMIF('07_Pallet_Contents'!$A$2:$A$3000,$A2,'07_Pallet_Contents'!$I$2:$I$3000))</f>
        <v>0</v>
      </c>
      <c r="Z568" t="str">
        <f>IF($A2="","",IF(COUNTIF('07_Pallet_Contents'!$A$2:$A$3000,$A2)&gt;0,"Yes",""))</f>
        <v/>
      </c>
    </row>
    <row r="569" spans="2:26">
      <c r="B569" s="31"/>
      <c r="G569" s="34"/>
      <c r="H569" s="33" t="str">
        <f t="shared" si="16"/>
        <v/>
      </c>
      <c r="I569" s="31"/>
      <c r="J569" s="31"/>
      <c r="K569" s="33"/>
      <c r="W569">
        <f>IF($A2="","",COUNTIF('07_Pallet_Contents'!$A$2:$A$3000,$A2))</f>
        <v>0</v>
      </c>
      <c r="X569">
        <f>IF($A2="","",SUMIF('07_Pallet_Contents'!$A$2:$A$3000,$A2,'07_Pallet_Contents'!$D$2:$D$3000))</f>
        <v>0</v>
      </c>
      <c r="Y569">
        <f>IF($A2="","",SUMIF('07_Pallet_Contents'!$A$2:$A$3000,$A2,'07_Pallet_Contents'!$I$2:$I$3000))</f>
        <v>0</v>
      </c>
      <c r="Z569" t="str">
        <f>IF($A2="","",IF(COUNTIF('07_Pallet_Contents'!$A$2:$A$3000,$A2)&gt;0,"Yes",""))</f>
        <v/>
      </c>
    </row>
    <row r="570" spans="2:26">
      <c r="B570" s="31"/>
      <c r="G570" s="34"/>
      <c r="H570" s="33" t="str">
        <f t="shared" si="16"/>
        <v/>
      </c>
      <c r="I570" s="31"/>
      <c r="J570" s="31"/>
      <c r="K570" s="33"/>
      <c r="W570">
        <f>IF($A2="","",COUNTIF('07_Pallet_Contents'!$A$2:$A$3000,$A2))</f>
        <v>0</v>
      </c>
      <c r="X570">
        <f>IF($A2="","",SUMIF('07_Pallet_Contents'!$A$2:$A$3000,$A2,'07_Pallet_Contents'!$D$2:$D$3000))</f>
        <v>0</v>
      </c>
      <c r="Y570">
        <f>IF($A2="","",SUMIF('07_Pallet_Contents'!$A$2:$A$3000,$A2,'07_Pallet_Contents'!$I$2:$I$3000))</f>
        <v>0</v>
      </c>
      <c r="Z570" t="str">
        <f>IF($A2="","",IF(COUNTIF('07_Pallet_Contents'!$A$2:$A$3000,$A2)&gt;0,"Yes",""))</f>
        <v/>
      </c>
    </row>
    <row r="571" spans="2:26">
      <c r="B571" s="31"/>
      <c r="G571" s="34"/>
      <c r="H571" s="33" t="str">
        <f t="shared" si="16"/>
        <v/>
      </c>
      <c r="I571" s="31"/>
      <c r="J571" s="31"/>
      <c r="K571" s="33"/>
      <c r="W571">
        <f>IF($A2="","",COUNTIF('07_Pallet_Contents'!$A$2:$A$3000,$A2))</f>
        <v>0</v>
      </c>
      <c r="X571">
        <f>IF($A2="","",SUMIF('07_Pallet_Contents'!$A$2:$A$3000,$A2,'07_Pallet_Contents'!$D$2:$D$3000))</f>
        <v>0</v>
      </c>
      <c r="Y571">
        <f>IF($A2="","",SUMIF('07_Pallet_Contents'!$A$2:$A$3000,$A2,'07_Pallet_Contents'!$I$2:$I$3000))</f>
        <v>0</v>
      </c>
      <c r="Z571" t="str">
        <f>IF($A2="","",IF(COUNTIF('07_Pallet_Contents'!$A$2:$A$3000,$A2)&gt;0,"Yes",""))</f>
        <v/>
      </c>
    </row>
    <row r="572" spans="2:26">
      <c r="B572" s="31"/>
      <c r="G572" s="34"/>
      <c r="H572" s="33" t="str">
        <f t="shared" si="16"/>
        <v/>
      </c>
      <c r="I572" s="31"/>
      <c r="J572" s="31"/>
      <c r="K572" s="33"/>
      <c r="W572">
        <f>IF($A2="","",COUNTIF('07_Pallet_Contents'!$A$2:$A$3000,$A2))</f>
        <v>0</v>
      </c>
      <c r="X572">
        <f>IF($A2="","",SUMIF('07_Pallet_Contents'!$A$2:$A$3000,$A2,'07_Pallet_Contents'!$D$2:$D$3000))</f>
        <v>0</v>
      </c>
      <c r="Y572">
        <f>IF($A2="","",SUMIF('07_Pallet_Contents'!$A$2:$A$3000,$A2,'07_Pallet_Contents'!$I$2:$I$3000))</f>
        <v>0</v>
      </c>
      <c r="Z572" t="str">
        <f>IF($A2="","",IF(COUNTIF('07_Pallet_Contents'!$A$2:$A$3000,$A2)&gt;0,"Yes",""))</f>
        <v/>
      </c>
    </row>
    <row r="573" spans="2:26">
      <c r="B573" s="31"/>
      <c r="G573" s="34"/>
      <c r="H573" s="33" t="str">
        <f t="shared" si="16"/>
        <v/>
      </c>
      <c r="I573" s="31"/>
      <c r="J573" s="31"/>
      <c r="K573" s="33"/>
      <c r="W573">
        <f>IF($A2="","",COUNTIF('07_Pallet_Contents'!$A$2:$A$3000,$A2))</f>
        <v>0</v>
      </c>
      <c r="X573">
        <f>IF($A2="","",SUMIF('07_Pallet_Contents'!$A$2:$A$3000,$A2,'07_Pallet_Contents'!$D$2:$D$3000))</f>
        <v>0</v>
      </c>
      <c r="Y573">
        <f>IF($A2="","",SUMIF('07_Pallet_Contents'!$A$2:$A$3000,$A2,'07_Pallet_Contents'!$I$2:$I$3000))</f>
        <v>0</v>
      </c>
      <c r="Z573" t="str">
        <f>IF($A2="","",IF(COUNTIF('07_Pallet_Contents'!$A$2:$A$3000,$A2)&gt;0,"Yes",""))</f>
        <v/>
      </c>
    </row>
    <row r="574" spans="2:26">
      <c r="B574" s="31"/>
      <c r="G574" s="34"/>
      <c r="H574" s="33" t="str">
        <f t="shared" si="16"/>
        <v/>
      </c>
      <c r="I574" s="31"/>
      <c r="J574" s="31"/>
      <c r="K574" s="33"/>
      <c r="W574">
        <f>IF($A2="","",COUNTIF('07_Pallet_Contents'!$A$2:$A$3000,$A2))</f>
        <v>0</v>
      </c>
      <c r="X574">
        <f>IF($A2="","",SUMIF('07_Pallet_Contents'!$A$2:$A$3000,$A2,'07_Pallet_Contents'!$D$2:$D$3000))</f>
        <v>0</v>
      </c>
      <c r="Y574">
        <f>IF($A2="","",SUMIF('07_Pallet_Contents'!$A$2:$A$3000,$A2,'07_Pallet_Contents'!$I$2:$I$3000))</f>
        <v>0</v>
      </c>
      <c r="Z574" t="str">
        <f>IF($A2="","",IF(COUNTIF('07_Pallet_Contents'!$A$2:$A$3000,$A2)&gt;0,"Yes",""))</f>
        <v/>
      </c>
    </row>
    <row r="575" spans="2:26">
      <c r="B575" s="31"/>
      <c r="G575" s="34"/>
      <c r="H575" s="33" t="str">
        <f t="shared" si="16"/>
        <v/>
      </c>
      <c r="I575" s="31"/>
      <c r="J575" s="31"/>
      <c r="K575" s="33"/>
      <c r="W575">
        <f>IF($A2="","",COUNTIF('07_Pallet_Contents'!$A$2:$A$3000,$A2))</f>
        <v>0</v>
      </c>
      <c r="X575">
        <f>IF($A2="","",SUMIF('07_Pallet_Contents'!$A$2:$A$3000,$A2,'07_Pallet_Contents'!$D$2:$D$3000))</f>
        <v>0</v>
      </c>
      <c r="Y575">
        <f>IF($A2="","",SUMIF('07_Pallet_Contents'!$A$2:$A$3000,$A2,'07_Pallet_Contents'!$I$2:$I$3000))</f>
        <v>0</v>
      </c>
      <c r="Z575" t="str">
        <f>IF($A2="","",IF(COUNTIF('07_Pallet_Contents'!$A$2:$A$3000,$A2)&gt;0,"Yes",""))</f>
        <v/>
      </c>
    </row>
    <row r="576" spans="2:26">
      <c r="B576" s="31"/>
      <c r="G576" s="34"/>
      <c r="H576" s="33" t="str">
        <f t="shared" si="16"/>
        <v/>
      </c>
      <c r="I576" s="31"/>
      <c r="J576" s="31"/>
      <c r="K576" s="33"/>
      <c r="W576">
        <f>IF($A2="","",COUNTIF('07_Pallet_Contents'!$A$2:$A$3000,$A2))</f>
        <v>0</v>
      </c>
      <c r="X576">
        <f>IF($A2="","",SUMIF('07_Pallet_Contents'!$A$2:$A$3000,$A2,'07_Pallet_Contents'!$D$2:$D$3000))</f>
        <v>0</v>
      </c>
      <c r="Y576">
        <f>IF($A2="","",SUMIF('07_Pallet_Contents'!$A$2:$A$3000,$A2,'07_Pallet_Contents'!$I$2:$I$3000))</f>
        <v>0</v>
      </c>
      <c r="Z576" t="str">
        <f>IF($A2="","",IF(COUNTIF('07_Pallet_Contents'!$A$2:$A$3000,$A2)&gt;0,"Yes",""))</f>
        <v/>
      </c>
    </row>
    <row r="577" spans="2:26">
      <c r="B577" s="31"/>
      <c r="G577" s="34"/>
      <c r="H577" s="33" t="str">
        <f t="shared" si="16"/>
        <v/>
      </c>
      <c r="I577" s="31"/>
      <c r="J577" s="31"/>
      <c r="K577" s="33"/>
      <c r="W577">
        <f>IF($A2="","",COUNTIF('07_Pallet_Contents'!$A$2:$A$3000,$A2))</f>
        <v>0</v>
      </c>
      <c r="X577">
        <f>IF($A2="","",SUMIF('07_Pallet_Contents'!$A$2:$A$3000,$A2,'07_Pallet_Contents'!$D$2:$D$3000))</f>
        <v>0</v>
      </c>
      <c r="Y577">
        <f>IF($A2="","",SUMIF('07_Pallet_Contents'!$A$2:$A$3000,$A2,'07_Pallet_Contents'!$I$2:$I$3000))</f>
        <v>0</v>
      </c>
      <c r="Z577" t="str">
        <f>IF($A2="","",IF(COUNTIF('07_Pallet_Contents'!$A$2:$A$3000,$A2)&gt;0,"Yes",""))</f>
        <v/>
      </c>
    </row>
    <row r="578" spans="2:26">
      <c r="B578" s="31"/>
      <c r="G578" s="34"/>
      <c r="H578" s="33" t="str">
        <f t="shared" ref="H578:H641" si="17">IF(AND($F578="TEMP",$G578&gt;0,$M578&lt;&gt;""),$M578+$G578,"")</f>
        <v/>
      </c>
      <c r="I578" s="31"/>
      <c r="J578" s="31"/>
      <c r="K578" s="33"/>
      <c r="W578">
        <f>IF($A2="","",COUNTIF('07_Pallet_Contents'!$A$2:$A$3000,$A2))</f>
        <v>0</v>
      </c>
      <c r="X578">
        <f>IF($A2="","",SUMIF('07_Pallet_Contents'!$A$2:$A$3000,$A2,'07_Pallet_Contents'!$D$2:$D$3000))</f>
        <v>0</v>
      </c>
      <c r="Y578">
        <f>IF($A2="","",SUMIF('07_Pallet_Contents'!$A$2:$A$3000,$A2,'07_Pallet_Contents'!$I$2:$I$3000))</f>
        <v>0</v>
      </c>
      <c r="Z578" t="str">
        <f>IF($A2="","",IF(COUNTIF('07_Pallet_Contents'!$A$2:$A$3000,$A2)&gt;0,"Yes",""))</f>
        <v/>
      </c>
    </row>
    <row r="579" spans="2:26">
      <c r="B579" s="31"/>
      <c r="G579" s="34"/>
      <c r="H579" s="33" t="str">
        <f t="shared" si="17"/>
        <v/>
      </c>
      <c r="I579" s="31"/>
      <c r="J579" s="31"/>
      <c r="K579" s="33"/>
      <c r="W579">
        <f>IF($A2="","",COUNTIF('07_Pallet_Contents'!$A$2:$A$3000,$A2))</f>
        <v>0</v>
      </c>
      <c r="X579">
        <f>IF($A2="","",SUMIF('07_Pallet_Contents'!$A$2:$A$3000,$A2,'07_Pallet_Contents'!$D$2:$D$3000))</f>
        <v>0</v>
      </c>
      <c r="Y579">
        <f>IF($A2="","",SUMIF('07_Pallet_Contents'!$A$2:$A$3000,$A2,'07_Pallet_Contents'!$I$2:$I$3000))</f>
        <v>0</v>
      </c>
      <c r="Z579" t="str">
        <f>IF($A2="","",IF(COUNTIF('07_Pallet_Contents'!$A$2:$A$3000,$A2)&gt;0,"Yes",""))</f>
        <v/>
      </c>
    </row>
    <row r="580" spans="2:26">
      <c r="B580" s="31"/>
      <c r="G580" s="34"/>
      <c r="H580" s="33" t="str">
        <f t="shared" si="17"/>
        <v/>
      </c>
      <c r="I580" s="31"/>
      <c r="J580" s="31"/>
      <c r="K580" s="33"/>
      <c r="W580">
        <f>IF($A2="","",COUNTIF('07_Pallet_Contents'!$A$2:$A$3000,$A2))</f>
        <v>0</v>
      </c>
      <c r="X580">
        <f>IF($A2="","",SUMIF('07_Pallet_Contents'!$A$2:$A$3000,$A2,'07_Pallet_Contents'!$D$2:$D$3000))</f>
        <v>0</v>
      </c>
      <c r="Y580">
        <f>IF($A2="","",SUMIF('07_Pallet_Contents'!$A$2:$A$3000,$A2,'07_Pallet_Contents'!$I$2:$I$3000))</f>
        <v>0</v>
      </c>
      <c r="Z580" t="str">
        <f>IF($A2="","",IF(COUNTIF('07_Pallet_Contents'!$A$2:$A$3000,$A2)&gt;0,"Yes",""))</f>
        <v/>
      </c>
    </row>
    <row r="581" spans="2:26">
      <c r="B581" s="31"/>
      <c r="G581" s="34"/>
      <c r="H581" s="33" t="str">
        <f t="shared" si="17"/>
        <v/>
      </c>
      <c r="I581" s="31"/>
      <c r="J581" s="31"/>
      <c r="K581" s="33"/>
      <c r="W581">
        <f>IF($A2="","",COUNTIF('07_Pallet_Contents'!$A$2:$A$3000,$A2))</f>
        <v>0</v>
      </c>
      <c r="X581">
        <f>IF($A2="","",SUMIF('07_Pallet_Contents'!$A$2:$A$3000,$A2,'07_Pallet_Contents'!$D$2:$D$3000))</f>
        <v>0</v>
      </c>
      <c r="Y581">
        <f>IF($A2="","",SUMIF('07_Pallet_Contents'!$A$2:$A$3000,$A2,'07_Pallet_Contents'!$I$2:$I$3000))</f>
        <v>0</v>
      </c>
      <c r="Z581" t="str">
        <f>IF($A2="","",IF(COUNTIF('07_Pallet_Contents'!$A$2:$A$3000,$A2)&gt;0,"Yes",""))</f>
        <v/>
      </c>
    </row>
    <row r="582" spans="2:26">
      <c r="B582" s="31"/>
      <c r="G582" s="34"/>
      <c r="H582" s="33" t="str">
        <f t="shared" si="17"/>
        <v/>
      </c>
      <c r="I582" s="31"/>
      <c r="J582" s="31"/>
      <c r="K582" s="33"/>
      <c r="W582">
        <f>IF($A2="","",COUNTIF('07_Pallet_Contents'!$A$2:$A$3000,$A2))</f>
        <v>0</v>
      </c>
      <c r="X582">
        <f>IF($A2="","",SUMIF('07_Pallet_Contents'!$A$2:$A$3000,$A2,'07_Pallet_Contents'!$D$2:$D$3000))</f>
        <v>0</v>
      </c>
      <c r="Y582">
        <f>IF($A2="","",SUMIF('07_Pallet_Contents'!$A$2:$A$3000,$A2,'07_Pallet_Contents'!$I$2:$I$3000))</f>
        <v>0</v>
      </c>
      <c r="Z582" t="str">
        <f>IF($A2="","",IF(COUNTIF('07_Pallet_Contents'!$A$2:$A$3000,$A2)&gt;0,"Yes",""))</f>
        <v/>
      </c>
    </row>
    <row r="583" spans="2:26">
      <c r="B583" s="31"/>
      <c r="G583" s="34"/>
      <c r="H583" s="33" t="str">
        <f t="shared" si="17"/>
        <v/>
      </c>
      <c r="I583" s="31"/>
      <c r="J583" s="31"/>
      <c r="K583" s="33"/>
      <c r="W583">
        <f>IF($A2="","",COUNTIF('07_Pallet_Contents'!$A$2:$A$3000,$A2))</f>
        <v>0</v>
      </c>
      <c r="X583">
        <f>IF($A2="","",SUMIF('07_Pallet_Contents'!$A$2:$A$3000,$A2,'07_Pallet_Contents'!$D$2:$D$3000))</f>
        <v>0</v>
      </c>
      <c r="Y583">
        <f>IF($A2="","",SUMIF('07_Pallet_Contents'!$A$2:$A$3000,$A2,'07_Pallet_Contents'!$I$2:$I$3000))</f>
        <v>0</v>
      </c>
      <c r="Z583" t="str">
        <f>IF($A2="","",IF(COUNTIF('07_Pallet_Contents'!$A$2:$A$3000,$A2)&gt;0,"Yes",""))</f>
        <v/>
      </c>
    </row>
    <row r="584" spans="2:26">
      <c r="B584" s="31"/>
      <c r="G584" s="34"/>
      <c r="H584" s="33" t="str">
        <f t="shared" si="17"/>
        <v/>
      </c>
      <c r="I584" s="31"/>
      <c r="J584" s="31"/>
      <c r="K584" s="33"/>
      <c r="W584">
        <f>IF($A2="","",COUNTIF('07_Pallet_Contents'!$A$2:$A$3000,$A2))</f>
        <v>0</v>
      </c>
      <c r="X584">
        <f>IF($A2="","",SUMIF('07_Pallet_Contents'!$A$2:$A$3000,$A2,'07_Pallet_Contents'!$D$2:$D$3000))</f>
        <v>0</v>
      </c>
      <c r="Y584">
        <f>IF($A2="","",SUMIF('07_Pallet_Contents'!$A$2:$A$3000,$A2,'07_Pallet_Contents'!$I$2:$I$3000))</f>
        <v>0</v>
      </c>
      <c r="Z584" t="str">
        <f>IF($A2="","",IF(COUNTIF('07_Pallet_Contents'!$A$2:$A$3000,$A2)&gt;0,"Yes",""))</f>
        <v/>
      </c>
    </row>
    <row r="585" spans="2:26">
      <c r="B585" s="31"/>
      <c r="G585" s="34"/>
      <c r="H585" s="33" t="str">
        <f t="shared" si="17"/>
        <v/>
      </c>
      <c r="I585" s="31"/>
      <c r="J585" s="31"/>
      <c r="K585" s="33"/>
      <c r="W585">
        <f>IF($A2="","",COUNTIF('07_Pallet_Contents'!$A$2:$A$3000,$A2))</f>
        <v>0</v>
      </c>
      <c r="X585">
        <f>IF($A2="","",SUMIF('07_Pallet_Contents'!$A$2:$A$3000,$A2,'07_Pallet_Contents'!$D$2:$D$3000))</f>
        <v>0</v>
      </c>
      <c r="Y585">
        <f>IF($A2="","",SUMIF('07_Pallet_Contents'!$A$2:$A$3000,$A2,'07_Pallet_Contents'!$I$2:$I$3000))</f>
        <v>0</v>
      </c>
      <c r="Z585" t="str">
        <f>IF($A2="","",IF(COUNTIF('07_Pallet_Contents'!$A$2:$A$3000,$A2)&gt;0,"Yes",""))</f>
        <v/>
      </c>
    </row>
    <row r="586" spans="2:26">
      <c r="B586" s="31"/>
      <c r="G586" s="34"/>
      <c r="H586" s="33" t="str">
        <f t="shared" si="17"/>
        <v/>
      </c>
      <c r="I586" s="31"/>
      <c r="J586" s="31"/>
      <c r="K586" s="33"/>
      <c r="W586">
        <f>IF($A2="","",COUNTIF('07_Pallet_Contents'!$A$2:$A$3000,$A2))</f>
        <v>0</v>
      </c>
      <c r="X586">
        <f>IF($A2="","",SUMIF('07_Pallet_Contents'!$A$2:$A$3000,$A2,'07_Pallet_Contents'!$D$2:$D$3000))</f>
        <v>0</v>
      </c>
      <c r="Y586">
        <f>IF($A2="","",SUMIF('07_Pallet_Contents'!$A$2:$A$3000,$A2,'07_Pallet_Contents'!$I$2:$I$3000))</f>
        <v>0</v>
      </c>
      <c r="Z586" t="str">
        <f>IF($A2="","",IF(COUNTIF('07_Pallet_Contents'!$A$2:$A$3000,$A2)&gt;0,"Yes",""))</f>
        <v/>
      </c>
    </row>
    <row r="587" spans="2:26">
      <c r="B587" s="31"/>
      <c r="G587" s="34"/>
      <c r="H587" s="33" t="str">
        <f t="shared" si="17"/>
        <v/>
      </c>
      <c r="I587" s="31"/>
      <c r="J587" s="31"/>
      <c r="K587" s="33"/>
      <c r="W587">
        <f>IF($A2="","",COUNTIF('07_Pallet_Contents'!$A$2:$A$3000,$A2))</f>
        <v>0</v>
      </c>
      <c r="X587">
        <f>IF($A2="","",SUMIF('07_Pallet_Contents'!$A$2:$A$3000,$A2,'07_Pallet_Contents'!$D$2:$D$3000))</f>
        <v>0</v>
      </c>
      <c r="Y587">
        <f>IF($A2="","",SUMIF('07_Pallet_Contents'!$A$2:$A$3000,$A2,'07_Pallet_Contents'!$I$2:$I$3000))</f>
        <v>0</v>
      </c>
      <c r="Z587" t="str">
        <f>IF($A2="","",IF(COUNTIF('07_Pallet_Contents'!$A$2:$A$3000,$A2)&gt;0,"Yes",""))</f>
        <v/>
      </c>
    </row>
    <row r="588" spans="2:26">
      <c r="B588" s="31"/>
      <c r="G588" s="34"/>
      <c r="H588" s="33" t="str">
        <f t="shared" si="17"/>
        <v/>
      </c>
      <c r="I588" s="31"/>
      <c r="J588" s="31"/>
      <c r="K588" s="33"/>
      <c r="W588">
        <f>IF($A2="","",COUNTIF('07_Pallet_Contents'!$A$2:$A$3000,$A2))</f>
        <v>0</v>
      </c>
      <c r="X588">
        <f>IF($A2="","",SUMIF('07_Pallet_Contents'!$A$2:$A$3000,$A2,'07_Pallet_Contents'!$D$2:$D$3000))</f>
        <v>0</v>
      </c>
      <c r="Y588">
        <f>IF($A2="","",SUMIF('07_Pallet_Contents'!$A$2:$A$3000,$A2,'07_Pallet_Contents'!$I$2:$I$3000))</f>
        <v>0</v>
      </c>
      <c r="Z588" t="str">
        <f>IF($A2="","",IF(COUNTIF('07_Pallet_Contents'!$A$2:$A$3000,$A2)&gt;0,"Yes",""))</f>
        <v/>
      </c>
    </row>
    <row r="589" spans="2:26">
      <c r="B589" s="31"/>
      <c r="G589" s="34"/>
      <c r="H589" s="33" t="str">
        <f t="shared" si="17"/>
        <v/>
      </c>
      <c r="I589" s="31"/>
      <c r="J589" s="31"/>
      <c r="K589" s="33"/>
      <c r="W589">
        <f>IF($A2="","",COUNTIF('07_Pallet_Contents'!$A$2:$A$3000,$A2))</f>
        <v>0</v>
      </c>
      <c r="X589">
        <f>IF($A2="","",SUMIF('07_Pallet_Contents'!$A$2:$A$3000,$A2,'07_Pallet_Contents'!$D$2:$D$3000))</f>
        <v>0</v>
      </c>
      <c r="Y589">
        <f>IF($A2="","",SUMIF('07_Pallet_Contents'!$A$2:$A$3000,$A2,'07_Pallet_Contents'!$I$2:$I$3000))</f>
        <v>0</v>
      </c>
      <c r="Z589" t="str">
        <f>IF($A2="","",IF(COUNTIF('07_Pallet_Contents'!$A$2:$A$3000,$A2)&gt;0,"Yes",""))</f>
        <v/>
      </c>
    </row>
    <row r="590" spans="2:26">
      <c r="B590" s="31"/>
      <c r="G590" s="34"/>
      <c r="H590" s="33" t="str">
        <f t="shared" si="17"/>
        <v/>
      </c>
      <c r="I590" s="31"/>
      <c r="J590" s="31"/>
      <c r="K590" s="33"/>
      <c r="W590">
        <f>IF($A2="","",COUNTIF('07_Pallet_Contents'!$A$2:$A$3000,$A2))</f>
        <v>0</v>
      </c>
      <c r="X590">
        <f>IF($A2="","",SUMIF('07_Pallet_Contents'!$A$2:$A$3000,$A2,'07_Pallet_Contents'!$D$2:$D$3000))</f>
        <v>0</v>
      </c>
      <c r="Y590">
        <f>IF($A2="","",SUMIF('07_Pallet_Contents'!$A$2:$A$3000,$A2,'07_Pallet_Contents'!$I$2:$I$3000))</f>
        <v>0</v>
      </c>
      <c r="Z590" t="str">
        <f>IF($A2="","",IF(COUNTIF('07_Pallet_Contents'!$A$2:$A$3000,$A2)&gt;0,"Yes",""))</f>
        <v/>
      </c>
    </row>
    <row r="591" spans="2:26">
      <c r="B591" s="31"/>
      <c r="G591" s="34"/>
      <c r="H591" s="33" t="str">
        <f t="shared" si="17"/>
        <v/>
      </c>
      <c r="I591" s="31"/>
      <c r="J591" s="31"/>
      <c r="K591" s="33"/>
      <c r="W591">
        <f>IF($A2="","",COUNTIF('07_Pallet_Contents'!$A$2:$A$3000,$A2))</f>
        <v>0</v>
      </c>
      <c r="X591">
        <f>IF($A2="","",SUMIF('07_Pallet_Contents'!$A$2:$A$3000,$A2,'07_Pallet_Contents'!$D$2:$D$3000))</f>
        <v>0</v>
      </c>
      <c r="Y591">
        <f>IF($A2="","",SUMIF('07_Pallet_Contents'!$A$2:$A$3000,$A2,'07_Pallet_Contents'!$I$2:$I$3000))</f>
        <v>0</v>
      </c>
      <c r="Z591" t="str">
        <f>IF($A2="","",IF(COUNTIF('07_Pallet_Contents'!$A$2:$A$3000,$A2)&gt;0,"Yes",""))</f>
        <v/>
      </c>
    </row>
    <row r="592" spans="2:26">
      <c r="B592" s="31"/>
      <c r="G592" s="34"/>
      <c r="H592" s="33" t="str">
        <f t="shared" si="17"/>
        <v/>
      </c>
      <c r="I592" s="31"/>
      <c r="J592" s="31"/>
      <c r="K592" s="33"/>
      <c r="W592">
        <f>IF($A2="","",COUNTIF('07_Pallet_Contents'!$A$2:$A$3000,$A2))</f>
        <v>0</v>
      </c>
      <c r="X592">
        <f>IF($A2="","",SUMIF('07_Pallet_Contents'!$A$2:$A$3000,$A2,'07_Pallet_Contents'!$D$2:$D$3000))</f>
        <v>0</v>
      </c>
      <c r="Y592">
        <f>IF($A2="","",SUMIF('07_Pallet_Contents'!$A$2:$A$3000,$A2,'07_Pallet_Contents'!$I$2:$I$3000))</f>
        <v>0</v>
      </c>
      <c r="Z592" t="str">
        <f>IF($A2="","",IF(COUNTIF('07_Pallet_Contents'!$A$2:$A$3000,$A2)&gt;0,"Yes",""))</f>
        <v/>
      </c>
    </row>
    <row r="593" spans="2:26">
      <c r="B593" s="31"/>
      <c r="G593" s="34"/>
      <c r="H593" s="33" t="str">
        <f t="shared" si="17"/>
        <v/>
      </c>
      <c r="I593" s="31"/>
      <c r="J593" s="31"/>
      <c r="K593" s="33"/>
      <c r="W593">
        <f>IF($A2="","",COUNTIF('07_Pallet_Contents'!$A$2:$A$3000,$A2))</f>
        <v>0</v>
      </c>
      <c r="X593">
        <f>IF($A2="","",SUMIF('07_Pallet_Contents'!$A$2:$A$3000,$A2,'07_Pallet_Contents'!$D$2:$D$3000))</f>
        <v>0</v>
      </c>
      <c r="Y593">
        <f>IF($A2="","",SUMIF('07_Pallet_Contents'!$A$2:$A$3000,$A2,'07_Pallet_Contents'!$I$2:$I$3000))</f>
        <v>0</v>
      </c>
      <c r="Z593" t="str">
        <f>IF($A2="","",IF(COUNTIF('07_Pallet_Contents'!$A$2:$A$3000,$A2)&gt;0,"Yes",""))</f>
        <v/>
      </c>
    </row>
    <row r="594" spans="2:26">
      <c r="B594" s="31"/>
      <c r="G594" s="34"/>
      <c r="H594" s="33" t="str">
        <f t="shared" si="17"/>
        <v/>
      </c>
      <c r="I594" s="31"/>
      <c r="J594" s="31"/>
      <c r="K594" s="33"/>
      <c r="W594">
        <f>IF($A2="","",COUNTIF('07_Pallet_Contents'!$A$2:$A$3000,$A2))</f>
        <v>0</v>
      </c>
      <c r="X594">
        <f>IF($A2="","",SUMIF('07_Pallet_Contents'!$A$2:$A$3000,$A2,'07_Pallet_Contents'!$D$2:$D$3000))</f>
        <v>0</v>
      </c>
      <c r="Y594">
        <f>IF($A2="","",SUMIF('07_Pallet_Contents'!$A$2:$A$3000,$A2,'07_Pallet_Contents'!$I$2:$I$3000))</f>
        <v>0</v>
      </c>
      <c r="Z594" t="str">
        <f>IF($A2="","",IF(COUNTIF('07_Pallet_Contents'!$A$2:$A$3000,$A2)&gt;0,"Yes",""))</f>
        <v/>
      </c>
    </row>
    <row r="595" spans="2:26">
      <c r="B595" s="31"/>
      <c r="G595" s="34"/>
      <c r="H595" s="33" t="str">
        <f t="shared" si="17"/>
        <v/>
      </c>
      <c r="I595" s="31"/>
      <c r="J595" s="31"/>
      <c r="K595" s="33"/>
      <c r="W595">
        <f>IF($A2="","",COUNTIF('07_Pallet_Contents'!$A$2:$A$3000,$A2))</f>
        <v>0</v>
      </c>
      <c r="X595">
        <f>IF($A2="","",SUMIF('07_Pallet_Contents'!$A$2:$A$3000,$A2,'07_Pallet_Contents'!$D$2:$D$3000))</f>
        <v>0</v>
      </c>
      <c r="Y595">
        <f>IF($A2="","",SUMIF('07_Pallet_Contents'!$A$2:$A$3000,$A2,'07_Pallet_Contents'!$I$2:$I$3000))</f>
        <v>0</v>
      </c>
      <c r="Z595" t="str">
        <f>IF($A2="","",IF(COUNTIF('07_Pallet_Contents'!$A$2:$A$3000,$A2)&gt;0,"Yes",""))</f>
        <v/>
      </c>
    </row>
    <row r="596" spans="2:26">
      <c r="B596" s="31"/>
      <c r="G596" s="34"/>
      <c r="H596" s="33" t="str">
        <f t="shared" si="17"/>
        <v/>
      </c>
      <c r="I596" s="31"/>
      <c r="J596" s="31"/>
      <c r="K596" s="33"/>
      <c r="W596">
        <f>IF($A2="","",COUNTIF('07_Pallet_Contents'!$A$2:$A$3000,$A2))</f>
        <v>0</v>
      </c>
      <c r="X596">
        <f>IF($A2="","",SUMIF('07_Pallet_Contents'!$A$2:$A$3000,$A2,'07_Pallet_Contents'!$D$2:$D$3000))</f>
        <v>0</v>
      </c>
      <c r="Y596">
        <f>IF($A2="","",SUMIF('07_Pallet_Contents'!$A$2:$A$3000,$A2,'07_Pallet_Contents'!$I$2:$I$3000))</f>
        <v>0</v>
      </c>
      <c r="Z596" t="str">
        <f>IF($A2="","",IF(COUNTIF('07_Pallet_Contents'!$A$2:$A$3000,$A2)&gt;0,"Yes",""))</f>
        <v/>
      </c>
    </row>
    <row r="597" spans="2:26">
      <c r="B597" s="31"/>
      <c r="G597" s="34"/>
      <c r="H597" s="33" t="str">
        <f t="shared" si="17"/>
        <v/>
      </c>
      <c r="I597" s="31"/>
      <c r="J597" s="31"/>
      <c r="K597" s="33"/>
      <c r="W597">
        <f>IF($A2="","",COUNTIF('07_Pallet_Contents'!$A$2:$A$3000,$A2))</f>
        <v>0</v>
      </c>
      <c r="X597">
        <f>IF($A2="","",SUMIF('07_Pallet_Contents'!$A$2:$A$3000,$A2,'07_Pallet_Contents'!$D$2:$D$3000))</f>
        <v>0</v>
      </c>
      <c r="Y597">
        <f>IF($A2="","",SUMIF('07_Pallet_Contents'!$A$2:$A$3000,$A2,'07_Pallet_Contents'!$I$2:$I$3000))</f>
        <v>0</v>
      </c>
      <c r="Z597" t="str">
        <f>IF($A2="","",IF(COUNTIF('07_Pallet_Contents'!$A$2:$A$3000,$A2)&gt;0,"Yes",""))</f>
        <v/>
      </c>
    </row>
    <row r="598" spans="2:26">
      <c r="B598" s="31"/>
      <c r="G598" s="34"/>
      <c r="H598" s="33" t="str">
        <f t="shared" si="17"/>
        <v/>
      </c>
      <c r="I598" s="31"/>
      <c r="J598" s="31"/>
      <c r="K598" s="33"/>
      <c r="W598">
        <f>IF($A2="","",COUNTIF('07_Pallet_Contents'!$A$2:$A$3000,$A2))</f>
        <v>0</v>
      </c>
      <c r="X598">
        <f>IF($A2="","",SUMIF('07_Pallet_Contents'!$A$2:$A$3000,$A2,'07_Pallet_Contents'!$D$2:$D$3000))</f>
        <v>0</v>
      </c>
      <c r="Y598">
        <f>IF($A2="","",SUMIF('07_Pallet_Contents'!$A$2:$A$3000,$A2,'07_Pallet_Contents'!$I$2:$I$3000))</f>
        <v>0</v>
      </c>
      <c r="Z598" t="str">
        <f>IF($A2="","",IF(COUNTIF('07_Pallet_Contents'!$A$2:$A$3000,$A2)&gt;0,"Yes",""))</f>
        <v/>
      </c>
    </row>
    <row r="599" spans="2:26">
      <c r="B599" s="31"/>
      <c r="G599" s="34"/>
      <c r="H599" s="33" t="str">
        <f t="shared" si="17"/>
        <v/>
      </c>
      <c r="I599" s="31"/>
      <c r="J599" s="31"/>
      <c r="K599" s="33"/>
      <c r="W599">
        <f>IF($A2="","",COUNTIF('07_Pallet_Contents'!$A$2:$A$3000,$A2))</f>
        <v>0</v>
      </c>
      <c r="X599">
        <f>IF($A2="","",SUMIF('07_Pallet_Contents'!$A$2:$A$3000,$A2,'07_Pallet_Contents'!$D$2:$D$3000))</f>
        <v>0</v>
      </c>
      <c r="Y599">
        <f>IF($A2="","",SUMIF('07_Pallet_Contents'!$A$2:$A$3000,$A2,'07_Pallet_Contents'!$I$2:$I$3000))</f>
        <v>0</v>
      </c>
      <c r="Z599" t="str">
        <f>IF($A2="","",IF(COUNTIF('07_Pallet_Contents'!$A$2:$A$3000,$A2)&gt;0,"Yes",""))</f>
        <v/>
      </c>
    </row>
    <row r="600" spans="2:26">
      <c r="B600" s="31"/>
      <c r="G600" s="34"/>
      <c r="H600" s="33" t="str">
        <f t="shared" si="17"/>
        <v/>
      </c>
      <c r="I600" s="31"/>
      <c r="J600" s="31"/>
      <c r="K600" s="33"/>
      <c r="W600">
        <f>IF($A2="","",COUNTIF('07_Pallet_Contents'!$A$2:$A$3000,$A2))</f>
        <v>0</v>
      </c>
      <c r="X600">
        <f>IF($A2="","",SUMIF('07_Pallet_Contents'!$A$2:$A$3000,$A2,'07_Pallet_Contents'!$D$2:$D$3000))</f>
        <v>0</v>
      </c>
      <c r="Y600">
        <f>IF($A2="","",SUMIF('07_Pallet_Contents'!$A$2:$A$3000,$A2,'07_Pallet_Contents'!$I$2:$I$3000))</f>
        <v>0</v>
      </c>
      <c r="Z600" t="str">
        <f>IF($A2="","",IF(COUNTIF('07_Pallet_Contents'!$A$2:$A$3000,$A2)&gt;0,"Yes",""))</f>
        <v/>
      </c>
    </row>
    <row r="601" spans="2:26">
      <c r="B601" s="31"/>
      <c r="G601" s="34"/>
      <c r="H601" s="33" t="str">
        <f t="shared" si="17"/>
        <v/>
      </c>
      <c r="I601" s="31"/>
      <c r="J601" s="31"/>
      <c r="K601" s="33"/>
      <c r="W601">
        <f>IF($A2="","",COUNTIF('07_Pallet_Contents'!$A$2:$A$3000,$A2))</f>
        <v>0</v>
      </c>
      <c r="X601">
        <f>IF($A2="","",SUMIF('07_Pallet_Contents'!$A$2:$A$3000,$A2,'07_Pallet_Contents'!$D$2:$D$3000))</f>
        <v>0</v>
      </c>
      <c r="Y601">
        <f>IF($A2="","",SUMIF('07_Pallet_Contents'!$A$2:$A$3000,$A2,'07_Pallet_Contents'!$I$2:$I$3000))</f>
        <v>0</v>
      </c>
      <c r="Z601" t="str">
        <f>IF($A2="","",IF(COUNTIF('07_Pallet_Contents'!$A$2:$A$3000,$A2)&gt;0,"Yes",""))</f>
        <v/>
      </c>
    </row>
    <row r="602" spans="2:26">
      <c r="B602" s="31"/>
      <c r="G602" s="34"/>
      <c r="H602" s="33" t="str">
        <f t="shared" si="17"/>
        <v/>
      </c>
      <c r="I602" s="31"/>
      <c r="J602" s="31"/>
      <c r="K602" s="33"/>
      <c r="W602">
        <f>IF($A2="","",COUNTIF('07_Pallet_Contents'!$A$2:$A$3000,$A2))</f>
        <v>0</v>
      </c>
      <c r="X602">
        <f>IF($A2="","",SUMIF('07_Pallet_Contents'!$A$2:$A$3000,$A2,'07_Pallet_Contents'!$D$2:$D$3000))</f>
        <v>0</v>
      </c>
      <c r="Y602">
        <f>IF($A2="","",SUMIF('07_Pallet_Contents'!$A$2:$A$3000,$A2,'07_Pallet_Contents'!$I$2:$I$3000))</f>
        <v>0</v>
      </c>
      <c r="Z602" t="str">
        <f>IF($A2="","",IF(COUNTIF('07_Pallet_Contents'!$A$2:$A$3000,$A2)&gt;0,"Yes",""))</f>
        <v/>
      </c>
    </row>
    <row r="603" spans="2:26">
      <c r="B603" s="31"/>
      <c r="G603" s="34"/>
      <c r="H603" s="33" t="str">
        <f t="shared" si="17"/>
        <v/>
      </c>
      <c r="I603" s="31"/>
      <c r="J603" s="31"/>
      <c r="K603" s="33"/>
      <c r="W603">
        <f>IF($A2="","",COUNTIF('07_Pallet_Contents'!$A$2:$A$3000,$A2))</f>
        <v>0</v>
      </c>
      <c r="X603">
        <f>IF($A2="","",SUMIF('07_Pallet_Contents'!$A$2:$A$3000,$A2,'07_Pallet_Contents'!$D$2:$D$3000))</f>
        <v>0</v>
      </c>
      <c r="Y603">
        <f>IF($A2="","",SUMIF('07_Pallet_Contents'!$A$2:$A$3000,$A2,'07_Pallet_Contents'!$I$2:$I$3000))</f>
        <v>0</v>
      </c>
      <c r="Z603" t="str">
        <f>IF($A2="","",IF(COUNTIF('07_Pallet_Contents'!$A$2:$A$3000,$A2)&gt;0,"Yes",""))</f>
        <v/>
      </c>
    </row>
    <row r="604" spans="2:26">
      <c r="B604" s="31"/>
      <c r="G604" s="34"/>
      <c r="H604" s="33" t="str">
        <f t="shared" si="17"/>
        <v/>
      </c>
      <c r="I604" s="31"/>
      <c r="J604" s="31"/>
      <c r="K604" s="33"/>
      <c r="W604">
        <f>IF($A2="","",COUNTIF('07_Pallet_Contents'!$A$2:$A$3000,$A2))</f>
        <v>0</v>
      </c>
      <c r="X604">
        <f>IF($A2="","",SUMIF('07_Pallet_Contents'!$A$2:$A$3000,$A2,'07_Pallet_Contents'!$D$2:$D$3000))</f>
        <v>0</v>
      </c>
      <c r="Y604">
        <f>IF($A2="","",SUMIF('07_Pallet_Contents'!$A$2:$A$3000,$A2,'07_Pallet_Contents'!$I$2:$I$3000))</f>
        <v>0</v>
      </c>
      <c r="Z604" t="str">
        <f>IF($A2="","",IF(COUNTIF('07_Pallet_Contents'!$A$2:$A$3000,$A2)&gt;0,"Yes",""))</f>
        <v/>
      </c>
    </row>
    <row r="605" spans="2:26">
      <c r="B605" s="31"/>
      <c r="G605" s="34"/>
      <c r="H605" s="33" t="str">
        <f t="shared" si="17"/>
        <v/>
      </c>
      <c r="I605" s="31"/>
      <c r="J605" s="31"/>
      <c r="K605" s="33"/>
      <c r="W605">
        <f>IF($A2="","",COUNTIF('07_Pallet_Contents'!$A$2:$A$3000,$A2))</f>
        <v>0</v>
      </c>
      <c r="X605">
        <f>IF($A2="","",SUMIF('07_Pallet_Contents'!$A$2:$A$3000,$A2,'07_Pallet_Contents'!$D$2:$D$3000))</f>
        <v>0</v>
      </c>
      <c r="Y605">
        <f>IF($A2="","",SUMIF('07_Pallet_Contents'!$A$2:$A$3000,$A2,'07_Pallet_Contents'!$I$2:$I$3000))</f>
        <v>0</v>
      </c>
      <c r="Z605" t="str">
        <f>IF($A2="","",IF(COUNTIF('07_Pallet_Contents'!$A$2:$A$3000,$A2)&gt;0,"Yes",""))</f>
        <v/>
      </c>
    </row>
    <row r="606" spans="2:26">
      <c r="B606" s="31"/>
      <c r="G606" s="34"/>
      <c r="H606" s="33" t="str">
        <f t="shared" si="17"/>
        <v/>
      </c>
      <c r="I606" s="31"/>
      <c r="J606" s="31"/>
      <c r="K606" s="33"/>
      <c r="W606">
        <f>IF($A2="","",COUNTIF('07_Pallet_Contents'!$A$2:$A$3000,$A2))</f>
        <v>0</v>
      </c>
      <c r="X606">
        <f>IF($A2="","",SUMIF('07_Pallet_Contents'!$A$2:$A$3000,$A2,'07_Pallet_Contents'!$D$2:$D$3000))</f>
        <v>0</v>
      </c>
      <c r="Y606">
        <f>IF($A2="","",SUMIF('07_Pallet_Contents'!$A$2:$A$3000,$A2,'07_Pallet_Contents'!$I$2:$I$3000))</f>
        <v>0</v>
      </c>
      <c r="Z606" t="str">
        <f>IF($A2="","",IF(COUNTIF('07_Pallet_Contents'!$A$2:$A$3000,$A2)&gt;0,"Yes",""))</f>
        <v/>
      </c>
    </row>
    <row r="607" spans="2:26">
      <c r="B607" s="31"/>
      <c r="G607" s="34"/>
      <c r="H607" s="33" t="str">
        <f t="shared" si="17"/>
        <v/>
      </c>
      <c r="I607" s="31"/>
      <c r="J607" s="31"/>
      <c r="K607" s="33"/>
      <c r="W607">
        <f>IF($A2="","",COUNTIF('07_Pallet_Contents'!$A$2:$A$3000,$A2))</f>
        <v>0</v>
      </c>
      <c r="X607">
        <f>IF($A2="","",SUMIF('07_Pallet_Contents'!$A$2:$A$3000,$A2,'07_Pallet_Contents'!$D$2:$D$3000))</f>
        <v>0</v>
      </c>
      <c r="Y607">
        <f>IF($A2="","",SUMIF('07_Pallet_Contents'!$A$2:$A$3000,$A2,'07_Pallet_Contents'!$I$2:$I$3000))</f>
        <v>0</v>
      </c>
      <c r="Z607" t="str">
        <f>IF($A2="","",IF(COUNTIF('07_Pallet_Contents'!$A$2:$A$3000,$A2)&gt;0,"Yes",""))</f>
        <v/>
      </c>
    </row>
    <row r="608" spans="2:26">
      <c r="B608" s="31"/>
      <c r="G608" s="34"/>
      <c r="H608" s="33" t="str">
        <f t="shared" si="17"/>
        <v/>
      </c>
      <c r="I608" s="31"/>
      <c r="J608" s="31"/>
      <c r="K608" s="33"/>
      <c r="W608">
        <f>IF($A2="","",COUNTIF('07_Pallet_Contents'!$A$2:$A$3000,$A2))</f>
        <v>0</v>
      </c>
      <c r="X608">
        <f>IF($A2="","",SUMIF('07_Pallet_Contents'!$A$2:$A$3000,$A2,'07_Pallet_Contents'!$D$2:$D$3000))</f>
        <v>0</v>
      </c>
      <c r="Y608">
        <f>IF($A2="","",SUMIF('07_Pallet_Contents'!$A$2:$A$3000,$A2,'07_Pallet_Contents'!$I$2:$I$3000))</f>
        <v>0</v>
      </c>
      <c r="Z608" t="str">
        <f>IF($A2="","",IF(COUNTIF('07_Pallet_Contents'!$A$2:$A$3000,$A2)&gt;0,"Yes",""))</f>
        <v/>
      </c>
    </row>
    <row r="609" spans="2:26">
      <c r="B609" s="31"/>
      <c r="G609" s="34"/>
      <c r="H609" s="33" t="str">
        <f t="shared" si="17"/>
        <v/>
      </c>
      <c r="I609" s="31"/>
      <c r="J609" s="31"/>
      <c r="K609" s="33"/>
      <c r="W609">
        <f>IF($A2="","",COUNTIF('07_Pallet_Contents'!$A$2:$A$3000,$A2))</f>
        <v>0</v>
      </c>
      <c r="X609">
        <f>IF($A2="","",SUMIF('07_Pallet_Contents'!$A$2:$A$3000,$A2,'07_Pallet_Contents'!$D$2:$D$3000))</f>
        <v>0</v>
      </c>
      <c r="Y609">
        <f>IF($A2="","",SUMIF('07_Pallet_Contents'!$A$2:$A$3000,$A2,'07_Pallet_Contents'!$I$2:$I$3000))</f>
        <v>0</v>
      </c>
      <c r="Z609" t="str">
        <f>IF($A2="","",IF(COUNTIF('07_Pallet_Contents'!$A$2:$A$3000,$A2)&gt;0,"Yes",""))</f>
        <v/>
      </c>
    </row>
    <row r="610" spans="2:26">
      <c r="B610" s="31"/>
      <c r="G610" s="34"/>
      <c r="H610" s="33" t="str">
        <f t="shared" si="17"/>
        <v/>
      </c>
      <c r="I610" s="31"/>
      <c r="J610" s="31"/>
      <c r="K610" s="33"/>
      <c r="W610">
        <f>IF($A2="","",COUNTIF('07_Pallet_Contents'!$A$2:$A$3000,$A2))</f>
        <v>0</v>
      </c>
      <c r="X610">
        <f>IF($A2="","",SUMIF('07_Pallet_Contents'!$A$2:$A$3000,$A2,'07_Pallet_Contents'!$D$2:$D$3000))</f>
        <v>0</v>
      </c>
      <c r="Y610">
        <f>IF($A2="","",SUMIF('07_Pallet_Contents'!$A$2:$A$3000,$A2,'07_Pallet_Contents'!$I$2:$I$3000))</f>
        <v>0</v>
      </c>
      <c r="Z610" t="str">
        <f>IF($A2="","",IF(COUNTIF('07_Pallet_Contents'!$A$2:$A$3000,$A2)&gt;0,"Yes",""))</f>
        <v/>
      </c>
    </row>
    <row r="611" spans="2:26">
      <c r="B611" s="31"/>
      <c r="G611" s="34"/>
      <c r="H611" s="33" t="str">
        <f t="shared" si="17"/>
        <v/>
      </c>
      <c r="I611" s="31"/>
      <c r="J611" s="31"/>
      <c r="K611" s="33"/>
      <c r="W611">
        <f>IF($A2="","",COUNTIF('07_Pallet_Contents'!$A$2:$A$3000,$A2))</f>
        <v>0</v>
      </c>
      <c r="X611">
        <f>IF($A2="","",SUMIF('07_Pallet_Contents'!$A$2:$A$3000,$A2,'07_Pallet_Contents'!$D$2:$D$3000))</f>
        <v>0</v>
      </c>
      <c r="Y611">
        <f>IF($A2="","",SUMIF('07_Pallet_Contents'!$A$2:$A$3000,$A2,'07_Pallet_Contents'!$I$2:$I$3000))</f>
        <v>0</v>
      </c>
      <c r="Z611" t="str">
        <f>IF($A2="","",IF(COUNTIF('07_Pallet_Contents'!$A$2:$A$3000,$A2)&gt;0,"Yes",""))</f>
        <v/>
      </c>
    </row>
    <row r="612" spans="2:26">
      <c r="B612" s="31"/>
      <c r="G612" s="34"/>
      <c r="H612" s="33" t="str">
        <f t="shared" si="17"/>
        <v/>
      </c>
      <c r="I612" s="31"/>
      <c r="J612" s="31"/>
      <c r="K612" s="33"/>
      <c r="W612">
        <f>IF($A2="","",COUNTIF('07_Pallet_Contents'!$A$2:$A$3000,$A2))</f>
        <v>0</v>
      </c>
      <c r="X612">
        <f>IF($A2="","",SUMIF('07_Pallet_Contents'!$A$2:$A$3000,$A2,'07_Pallet_Contents'!$D$2:$D$3000))</f>
        <v>0</v>
      </c>
      <c r="Y612">
        <f>IF($A2="","",SUMIF('07_Pallet_Contents'!$A$2:$A$3000,$A2,'07_Pallet_Contents'!$I$2:$I$3000))</f>
        <v>0</v>
      </c>
      <c r="Z612" t="str">
        <f>IF($A2="","",IF(COUNTIF('07_Pallet_Contents'!$A$2:$A$3000,$A2)&gt;0,"Yes",""))</f>
        <v/>
      </c>
    </row>
    <row r="613" spans="2:26">
      <c r="B613" s="31"/>
      <c r="G613" s="34"/>
      <c r="H613" s="33" t="str">
        <f t="shared" si="17"/>
        <v/>
      </c>
      <c r="I613" s="31"/>
      <c r="J613" s="31"/>
      <c r="K613" s="33"/>
      <c r="W613">
        <f>IF($A2="","",COUNTIF('07_Pallet_Contents'!$A$2:$A$3000,$A2))</f>
        <v>0</v>
      </c>
      <c r="X613">
        <f>IF($A2="","",SUMIF('07_Pallet_Contents'!$A$2:$A$3000,$A2,'07_Pallet_Contents'!$D$2:$D$3000))</f>
        <v>0</v>
      </c>
      <c r="Y613">
        <f>IF($A2="","",SUMIF('07_Pallet_Contents'!$A$2:$A$3000,$A2,'07_Pallet_Contents'!$I$2:$I$3000))</f>
        <v>0</v>
      </c>
      <c r="Z613" t="str">
        <f>IF($A2="","",IF(COUNTIF('07_Pallet_Contents'!$A$2:$A$3000,$A2)&gt;0,"Yes",""))</f>
        <v/>
      </c>
    </row>
    <row r="614" spans="2:26">
      <c r="B614" s="31"/>
      <c r="G614" s="34"/>
      <c r="H614" s="33" t="str">
        <f t="shared" si="17"/>
        <v/>
      </c>
      <c r="I614" s="31"/>
      <c r="J614" s="31"/>
      <c r="K614" s="33"/>
      <c r="W614">
        <f>IF($A2="","",COUNTIF('07_Pallet_Contents'!$A$2:$A$3000,$A2))</f>
        <v>0</v>
      </c>
      <c r="X614">
        <f>IF($A2="","",SUMIF('07_Pallet_Contents'!$A$2:$A$3000,$A2,'07_Pallet_Contents'!$D$2:$D$3000))</f>
        <v>0</v>
      </c>
      <c r="Y614">
        <f>IF($A2="","",SUMIF('07_Pallet_Contents'!$A$2:$A$3000,$A2,'07_Pallet_Contents'!$I$2:$I$3000))</f>
        <v>0</v>
      </c>
      <c r="Z614" t="str">
        <f>IF($A2="","",IF(COUNTIF('07_Pallet_Contents'!$A$2:$A$3000,$A2)&gt;0,"Yes",""))</f>
        <v/>
      </c>
    </row>
    <row r="615" spans="2:26">
      <c r="B615" s="31"/>
      <c r="G615" s="34"/>
      <c r="H615" s="33" t="str">
        <f t="shared" si="17"/>
        <v/>
      </c>
      <c r="I615" s="31"/>
      <c r="J615" s="31"/>
      <c r="K615" s="33"/>
      <c r="W615">
        <f>IF($A2="","",COUNTIF('07_Pallet_Contents'!$A$2:$A$3000,$A2))</f>
        <v>0</v>
      </c>
      <c r="X615">
        <f>IF($A2="","",SUMIF('07_Pallet_Contents'!$A$2:$A$3000,$A2,'07_Pallet_Contents'!$D$2:$D$3000))</f>
        <v>0</v>
      </c>
      <c r="Y615">
        <f>IF($A2="","",SUMIF('07_Pallet_Contents'!$A$2:$A$3000,$A2,'07_Pallet_Contents'!$I$2:$I$3000))</f>
        <v>0</v>
      </c>
      <c r="Z615" t="str">
        <f>IF($A2="","",IF(COUNTIF('07_Pallet_Contents'!$A$2:$A$3000,$A2)&gt;0,"Yes",""))</f>
        <v/>
      </c>
    </row>
    <row r="616" spans="2:26">
      <c r="B616" s="31"/>
      <c r="G616" s="34"/>
      <c r="H616" s="33" t="str">
        <f t="shared" si="17"/>
        <v/>
      </c>
      <c r="I616" s="31"/>
      <c r="J616" s="31"/>
      <c r="K616" s="33"/>
      <c r="W616">
        <f>IF($A2="","",COUNTIF('07_Pallet_Contents'!$A$2:$A$3000,$A2))</f>
        <v>0</v>
      </c>
      <c r="X616">
        <f>IF($A2="","",SUMIF('07_Pallet_Contents'!$A$2:$A$3000,$A2,'07_Pallet_Contents'!$D$2:$D$3000))</f>
        <v>0</v>
      </c>
      <c r="Y616">
        <f>IF($A2="","",SUMIF('07_Pallet_Contents'!$A$2:$A$3000,$A2,'07_Pallet_Contents'!$I$2:$I$3000))</f>
        <v>0</v>
      </c>
      <c r="Z616" t="str">
        <f>IF($A2="","",IF(COUNTIF('07_Pallet_Contents'!$A$2:$A$3000,$A2)&gt;0,"Yes",""))</f>
        <v/>
      </c>
    </row>
    <row r="617" spans="2:26">
      <c r="B617" s="31"/>
      <c r="G617" s="34"/>
      <c r="H617" s="33" t="str">
        <f t="shared" si="17"/>
        <v/>
      </c>
      <c r="I617" s="31"/>
      <c r="J617" s="31"/>
      <c r="K617" s="33"/>
      <c r="W617">
        <f>IF($A2="","",COUNTIF('07_Pallet_Contents'!$A$2:$A$3000,$A2))</f>
        <v>0</v>
      </c>
      <c r="X617">
        <f>IF($A2="","",SUMIF('07_Pallet_Contents'!$A$2:$A$3000,$A2,'07_Pallet_Contents'!$D$2:$D$3000))</f>
        <v>0</v>
      </c>
      <c r="Y617">
        <f>IF($A2="","",SUMIF('07_Pallet_Contents'!$A$2:$A$3000,$A2,'07_Pallet_Contents'!$I$2:$I$3000))</f>
        <v>0</v>
      </c>
      <c r="Z617" t="str">
        <f>IF($A2="","",IF(COUNTIF('07_Pallet_Contents'!$A$2:$A$3000,$A2)&gt;0,"Yes",""))</f>
        <v/>
      </c>
    </row>
    <row r="618" spans="2:26">
      <c r="B618" s="31"/>
      <c r="G618" s="34"/>
      <c r="H618" s="33" t="str">
        <f t="shared" si="17"/>
        <v/>
      </c>
      <c r="I618" s="31"/>
      <c r="J618" s="31"/>
      <c r="K618" s="33"/>
      <c r="W618">
        <f>IF($A2="","",COUNTIF('07_Pallet_Contents'!$A$2:$A$3000,$A2))</f>
        <v>0</v>
      </c>
      <c r="X618">
        <f>IF($A2="","",SUMIF('07_Pallet_Contents'!$A$2:$A$3000,$A2,'07_Pallet_Contents'!$D$2:$D$3000))</f>
        <v>0</v>
      </c>
      <c r="Y618">
        <f>IF($A2="","",SUMIF('07_Pallet_Contents'!$A$2:$A$3000,$A2,'07_Pallet_Contents'!$I$2:$I$3000))</f>
        <v>0</v>
      </c>
      <c r="Z618" t="str">
        <f>IF($A2="","",IF(COUNTIF('07_Pallet_Contents'!$A$2:$A$3000,$A2)&gt;0,"Yes",""))</f>
        <v/>
      </c>
    </row>
    <row r="619" spans="2:26">
      <c r="B619" s="31"/>
      <c r="G619" s="34"/>
      <c r="H619" s="33" t="str">
        <f t="shared" si="17"/>
        <v/>
      </c>
      <c r="I619" s="31"/>
      <c r="J619" s="31"/>
      <c r="K619" s="33"/>
      <c r="W619">
        <f>IF($A2="","",COUNTIF('07_Pallet_Contents'!$A$2:$A$3000,$A2))</f>
        <v>0</v>
      </c>
      <c r="X619">
        <f>IF($A2="","",SUMIF('07_Pallet_Contents'!$A$2:$A$3000,$A2,'07_Pallet_Contents'!$D$2:$D$3000))</f>
        <v>0</v>
      </c>
      <c r="Y619">
        <f>IF($A2="","",SUMIF('07_Pallet_Contents'!$A$2:$A$3000,$A2,'07_Pallet_Contents'!$I$2:$I$3000))</f>
        <v>0</v>
      </c>
      <c r="Z619" t="str">
        <f>IF($A2="","",IF(COUNTIF('07_Pallet_Contents'!$A$2:$A$3000,$A2)&gt;0,"Yes",""))</f>
        <v/>
      </c>
    </row>
    <row r="620" spans="2:26">
      <c r="B620" s="31"/>
      <c r="G620" s="34"/>
      <c r="H620" s="33" t="str">
        <f t="shared" si="17"/>
        <v/>
      </c>
      <c r="I620" s="31"/>
      <c r="J620" s="31"/>
      <c r="K620" s="33"/>
      <c r="W620">
        <f>IF($A2="","",COUNTIF('07_Pallet_Contents'!$A$2:$A$3000,$A2))</f>
        <v>0</v>
      </c>
      <c r="X620">
        <f>IF($A2="","",SUMIF('07_Pallet_Contents'!$A$2:$A$3000,$A2,'07_Pallet_Contents'!$D$2:$D$3000))</f>
        <v>0</v>
      </c>
      <c r="Y620">
        <f>IF($A2="","",SUMIF('07_Pallet_Contents'!$A$2:$A$3000,$A2,'07_Pallet_Contents'!$I$2:$I$3000))</f>
        <v>0</v>
      </c>
      <c r="Z620" t="str">
        <f>IF($A2="","",IF(COUNTIF('07_Pallet_Contents'!$A$2:$A$3000,$A2)&gt;0,"Yes",""))</f>
        <v/>
      </c>
    </row>
    <row r="621" spans="2:26">
      <c r="B621" s="31"/>
      <c r="G621" s="34"/>
      <c r="H621" s="33" t="str">
        <f t="shared" si="17"/>
        <v/>
      </c>
      <c r="I621" s="31"/>
      <c r="J621" s="31"/>
      <c r="K621" s="33"/>
      <c r="W621">
        <f>IF($A2="","",COUNTIF('07_Pallet_Contents'!$A$2:$A$3000,$A2))</f>
        <v>0</v>
      </c>
      <c r="X621">
        <f>IF($A2="","",SUMIF('07_Pallet_Contents'!$A$2:$A$3000,$A2,'07_Pallet_Contents'!$D$2:$D$3000))</f>
        <v>0</v>
      </c>
      <c r="Y621">
        <f>IF($A2="","",SUMIF('07_Pallet_Contents'!$A$2:$A$3000,$A2,'07_Pallet_Contents'!$I$2:$I$3000))</f>
        <v>0</v>
      </c>
      <c r="Z621" t="str">
        <f>IF($A2="","",IF(COUNTIF('07_Pallet_Contents'!$A$2:$A$3000,$A2)&gt;0,"Yes",""))</f>
        <v/>
      </c>
    </row>
    <row r="622" spans="2:26">
      <c r="B622" s="31"/>
      <c r="G622" s="34"/>
      <c r="H622" s="33" t="str">
        <f t="shared" si="17"/>
        <v/>
      </c>
      <c r="I622" s="31"/>
      <c r="J622" s="31"/>
      <c r="K622" s="33"/>
      <c r="W622">
        <f>IF($A2="","",COUNTIF('07_Pallet_Contents'!$A$2:$A$3000,$A2))</f>
        <v>0</v>
      </c>
      <c r="X622">
        <f>IF($A2="","",SUMIF('07_Pallet_Contents'!$A$2:$A$3000,$A2,'07_Pallet_Contents'!$D$2:$D$3000))</f>
        <v>0</v>
      </c>
      <c r="Y622">
        <f>IF($A2="","",SUMIF('07_Pallet_Contents'!$A$2:$A$3000,$A2,'07_Pallet_Contents'!$I$2:$I$3000))</f>
        <v>0</v>
      </c>
      <c r="Z622" t="str">
        <f>IF($A2="","",IF(COUNTIF('07_Pallet_Contents'!$A$2:$A$3000,$A2)&gt;0,"Yes",""))</f>
        <v/>
      </c>
    </row>
    <row r="623" spans="2:26">
      <c r="B623" s="31"/>
      <c r="G623" s="34"/>
      <c r="H623" s="33" t="str">
        <f t="shared" si="17"/>
        <v/>
      </c>
      <c r="I623" s="31"/>
      <c r="J623" s="31"/>
      <c r="K623" s="33"/>
      <c r="W623">
        <f>IF($A2="","",COUNTIF('07_Pallet_Contents'!$A$2:$A$3000,$A2))</f>
        <v>0</v>
      </c>
      <c r="X623">
        <f>IF($A2="","",SUMIF('07_Pallet_Contents'!$A$2:$A$3000,$A2,'07_Pallet_Contents'!$D$2:$D$3000))</f>
        <v>0</v>
      </c>
      <c r="Y623">
        <f>IF($A2="","",SUMIF('07_Pallet_Contents'!$A$2:$A$3000,$A2,'07_Pallet_Contents'!$I$2:$I$3000))</f>
        <v>0</v>
      </c>
      <c r="Z623" t="str">
        <f>IF($A2="","",IF(COUNTIF('07_Pallet_Contents'!$A$2:$A$3000,$A2)&gt;0,"Yes",""))</f>
        <v/>
      </c>
    </row>
    <row r="624" spans="2:26">
      <c r="B624" s="31"/>
      <c r="G624" s="34"/>
      <c r="H624" s="33" t="str">
        <f t="shared" si="17"/>
        <v/>
      </c>
      <c r="I624" s="31"/>
      <c r="J624" s="31"/>
      <c r="K624" s="33"/>
      <c r="W624">
        <f>IF($A2="","",COUNTIF('07_Pallet_Contents'!$A$2:$A$3000,$A2))</f>
        <v>0</v>
      </c>
      <c r="X624">
        <f>IF($A2="","",SUMIF('07_Pallet_Contents'!$A$2:$A$3000,$A2,'07_Pallet_Contents'!$D$2:$D$3000))</f>
        <v>0</v>
      </c>
      <c r="Y624">
        <f>IF($A2="","",SUMIF('07_Pallet_Contents'!$A$2:$A$3000,$A2,'07_Pallet_Contents'!$I$2:$I$3000))</f>
        <v>0</v>
      </c>
      <c r="Z624" t="str">
        <f>IF($A2="","",IF(COUNTIF('07_Pallet_Contents'!$A$2:$A$3000,$A2)&gt;0,"Yes",""))</f>
        <v/>
      </c>
    </row>
    <row r="625" spans="2:26">
      <c r="B625" s="31"/>
      <c r="G625" s="34"/>
      <c r="H625" s="33" t="str">
        <f t="shared" si="17"/>
        <v/>
      </c>
      <c r="I625" s="31"/>
      <c r="J625" s="31"/>
      <c r="K625" s="33"/>
      <c r="W625">
        <f>IF($A2="","",COUNTIF('07_Pallet_Contents'!$A$2:$A$3000,$A2))</f>
        <v>0</v>
      </c>
      <c r="X625">
        <f>IF($A2="","",SUMIF('07_Pallet_Contents'!$A$2:$A$3000,$A2,'07_Pallet_Contents'!$D$2:$D$3000))</f>
        <v>0</v>
      </c>
      <c r="Y625">
        <f>IF($A2="","",SUMIF('07_Pallet_Contents'!$A$2:$A$3000,$A2,'07_Pallet_Contents'!$I$2:$I$3000))</f>
        <v>0</v>
      </c>
      <c r="Z625" t="str">
        <f>IF($A2="","",IF(COUNTIF('07_Pallet_Contents'!$A$2:$A$3000,$A2)&gt;0,"Yes",""))</f>
        <v/>
      </c>
    </row>
    <row r="626" spans="2:26">
      <c r="B626" s="31"/>
      <c r="G626" s="34"/>
      <c r="H626" s="33" t="str">
        <f t="shared" si="17"/>
        <v/>
      </c>
      <c r="I626" s="31"/>
      <c r="J626" s="31"/>
      <c r="K626" s="33"/>
      <c r="W626">
        <f>IF($A2="","",COUNTIF('07_Pallet_Contents'!$A$2:$A$3000,$A2))</f>
        <v>0</v>
      </c>
      <c r="X626">
        <f>IF($A2="","",SUMIF('07_Pallet_Contents'!$A$2:$A$3000,$A2,'07_Pallet_Contents'!$D$2:$D$3000))</f>
        <v>0</v>
      </c>
      <c r="Y626">
        <f>IF($A2="","",SUMIF('07_Pallet_Contents'!$A$2:$A$3000,$A2,'07_Pallet_Contents'!$I$2:$I$3000))</f>
        <v>0</v>
      </c>
      <c r="Z626" t="str">
        <f>IF($A2="","",IF(COUNTIF('07_Pallet_Contents'!$A$2:$A$3000,$A2)&gt;0,"Yes",""))</f>
        <v/>
      </c>
    </row>
    <row r="627" spans="2:26">
      <c r="B627" s="31"/>
      <c r="G627" s="34"/>
      <c r="H627" s="33" t="str">
        <f t="shared" si="17"/>
        <v/>
      </c>
      <c r="I627" s="31"/>
      <c r="J627" s="31"/>
      <c r="K627" s="33"/>
      <c r="W627">
        <f>IF($A2="","",COUNTIF('07_Pallet_Contents'!$A$2:$A$3000,$A2))</f>
        <v>0</v>
      </c>
      <c r="X627">
        <f>IF($A2="","",SUMIF('07_Pallet_Contents'!$A$2:$A$3000,$A2,'07_Pallet_Contents'!$D$2:$D$3000))</f>
        <v>0</v>
      </c>
      <c r="Y627">
        <f>IF($A2="","",SUMIF('07_Pallet_Contents'!$A$2:$A$3000,$A2,'07_Pallet_Contents'!$I$2:$I$3000))</f>
        <v>0</v>
      </c>
      <c r="Z627" t="str">
        <f>IF($A2="","",IF(COUNTIF('07_Pallet_Contents'!$A$2:$A$3000,$A2)&gt;0,"Yes",""))</f>
        <v/>
      </c>
    </row>
    <row r="628" spans="2:26">
      <c r="B628" s="31"/>
      <c r="G628" s="34"/>
      <c r="H628" s="33" t="str">
        <f t="shared" si="17"/>
        <v/>
      </c>
      <c r="I628" s="31"/>
      <c r="J628" s="31"/>
      <c r="K628" s="33"/>
      <c r="W628">
        <f>IF($A2="","",COUNTIF('07_Pallet_Contents'!$A$2:$A$3000,$A2))</f>
        <v>0</v>
      </c>
      <c r="X628">
        <f>IF($A2="","",SUMIF('07_Pallet_Contents'!$A$2:$A$3000,$A2,'07_Pallet_Contents'!$D$2:$D$3000))</f>
        <v>0</v>
      </c>
      <c r="Y628">
        <f>IF($A2="","",SUMIF('07_Pallet_Contents'!$A$2:$A$3000,$A2,'07_Pallet_Contents'!$I$2:$I$3000))</f>
        <v>0</v>
      </c>
      <c r="Z628" t="str">
        <f>IF($A2="","",IF(COUNTIF('07_Pallet_Contents'!$A$2:$A$3000,$A2)&gt;0,"Yes",""))</f>
        <v/>
      </c>
    </row>
    <row r="629" spans="2:26">
      <c r="B629" s="31"/>
      <c r="G629" s="34"/>
      <c r="H629" s="33" t="str">
        <f t="shared" si="17"/>
        <v/>
      </c>
      <c r="I629" s="31"/>
      <c r="J629" s="31"/>
      <c r="K629" s="33"/>
      <c r="W629">
        <f>IF($A2="","",COUNTIF('07_Pallet_Contents'!$A$2:$A$3000,$A2))</f>
        <v>0</v>
      </c>
      <c r="X629">
        <f>IF($A2="","",SUMIF('07_Pallet_Contents'!$A$2:$A$3000,$A2,'07_Pallet_Contents'!$D$2:$D$3000))</f>
        <v>0</v>
      </c>
      <c r="Y629">
        <f>IF($A2="","",SUMIF('07_Pallet_Contents'!$A$2:$A$3000,$A2,'07_Pallet_Contents'!$I$2:$I$3000))</f>
        <v>0</v>
      </c>
      <c r="Z629" t="str">
        <f>IF($A2="","",IF(COUNTIF('07_Pallet_Contents'!$A$2:$A$3000,$A2)&gt;0,"Yes",""))</f>
        <v/>
      </c>
    </row>
    <row r="630" spans="2:26">
      <c r="B630" s="31"/>
      <c r="G630" s="34"/>
      <c r="H630" s="33" t="str">
        <f t="shared" si="17"/>
        <v/>
      </c>
      <c r="I630" s="31"/>
      <c r="J630" s="31"/>
      <c r="K630" s="33"/>
      <c r="W630">
        <f>IF($A2="","",COUNTIF('07_Pallet_Contents'!$A$2:$A$3000,$A2))</f>
        <v>0</v>
      </c>
      <c r="X630">
        <f>IF($A2="","",SUMIF('07_Pallet_Contents'!$A$2:$A$3000,$A2,'07_Pallet_Contents'!$D$2:$D$3000))</f>
        <v>0</v>
      </c>
      <c r="Y630">
        <f>IF($A2="","",SUMIF('07_Pallet_Contents'!$A$2:$A$3000,$A2,'07_Pallet_Contents'!$I$2:$I$3000))</f>
        <v>0</v>
      </c>
      <c r="Z630" t="str">
        <f>IF($A2="","",IF(COUNTIF('07_Pallet_Contents'!$A$2:$A$3000,$A2)&gt;0,"Yes",""))</f>
        <v/>
      </c>
    </row>
    <row r="631" spans="2:26">
      <c r="B631" s="31"/>
      <c r="G631" s="34"/>
      <c r="H631" s="33" t="str">
        <f t="shared" si="17"/>
        <v/>
      </c>
      <c r="I631" s="31"/>
      <c r="J631" s="31"/>
      <c r="K631" s="33"/>
      <c r="W631">
        <f>IF($A2="","",COUNTIF('07_Pallet_Contents'!$A$2:$A$3000,$A2))</f>
        <v>0</v>
      </c>
      <c r="X631">
        <f>IF($A2="","",SUMIF('07_Pallet_Contents'!$A$2:$A$3000,$A2,'07_Pallet_Contents'!$D$2:$D$3000))</f>
        <v>0</v>
      </c>
      <c r="Y631">
        <f>IF($A2="","",SUMIF('07_Pallet_Contents'!$A$2:$A$3000,$A2,'07_Pallet_Contents'!$I$2:$I$3000))</f>
        <v>0</v>
      </c>
      <c r="Z631" t="str">
        <f>IF($A2="","",IF(COUNTIF('07_Pallet_Contents'!$A$2:$A$3000,$A2)&gt;0,"Yes",""))</f>
        <v/>
      </c>
    </row>
    <row r="632" spans="2:26">
      <c r="B632" s="31"/>
      <c r="G632" s="34"/>
      <c r="H632" s="33" t="str">
        <f t="shared" si="17"/>
        <v/>
      </c>
      <c r="I632" s="31"/>
      <c r="J632" s="31"/>
      <c r="K632" s="33"/>
      <c r="W632">
        <f>IF($A2="","",COUNTIF('07_Pallet_Contents'!$A$2:$A$3000,$A2))</f>
        <v>0</v>
      </c>
      <c r="X632">
        <f>IF($A2="","",SUMIF('07_Pallet_Contents'!$A$2:$A$3000,$A2,'07_Pallet_Contents'!$D$2:$D$3000))</f>
        <v>0</v>
      </c>
      <c r="Y632">
        <f>IF($A2="","",SUMIF('07_Pallet_Contents'!$A$2:$A$3000,$A2,'07_Pallet_Contents'!$I$2:$I$3000))</f>
        <v>0</v>
      </c>
      <c r="Z632" t="str">
        <f>IF($A2="","",IF(COUNTIF('07_Pallet_Contents'!$A$2:$A$3000,$A2)&gt;0,"Yes",""))</f>
        <v/>
      </c>
    </row>
    <row r="633" spans="2:26">
      <c r="B633" s="31"/>
      <c r="G633" s="34"/>
      <c r="H633" s="33" t="str">
        <f t="shared" si="17"/>
        <v/>
      </c>
      <c r="I633" s="31"/>
      <c r="J633" s="31"/>
      <c r="K633" s="33"/>
      <c r="W633">
        <f>IF($A2="","",COUNTIF('07_Pallet_Contents'!$A$2:$A$3000,$A2))</f>
        <v>0</v>
      </c>
      <c r="X633">
        <f>IF($A2="","",SUMIF('07_Pallet_Contents'!$A$2:$A$3000,$A2,'07_Pallet_Contents'!$D$2:$D$3000))</f>
        <v>0</v>
      </c>
      <c r="Y633">
        <f>IF($A2="","",SUMIF('07_Pallet_Contents'!$A$2:$A$3000,$A2,'07_Pallet_Contents'!$I$2:$I$3000))</f>
        <v>0</v>
      </c>
      <c r="Z633" t="str">
        <f>IF($A2="","",IF(COUNTIF('07_Pallet_Contents'!$A$2:$A$3000,$A2)&gt;0,"Yes",""))</f>
        <v/>
      </c>
    </row>
    <row r="634" spans="2:26">
      <c r="B634" s="31"/>
      <c r="G634" s="34"/>
      <c r="H634" s="33" t="str">
        <f t="shared" si="17"/>
        <v/>
      </c>
      <c r="I634" s="31"/>
      <c r="J634" s="31"/>
      <c r="K634" s="33"/>
      <c r="W634">
        <f>IF($A2="","",COUNTIF('07_Pallet_Contents'!$A$2:$A$3000,$A2))</f>
        <v>0</v>
      </c>
      <c r="X634">
        <f>IF($A2="","",SUMIF('07_Pallet_Contents'!$A$2:$A$3000,$A2,'07_Pallet_Contents'!$D$2:$D$3000))</f>
        <v>0</v>
      </c>
      <c r="Y634">
        <f>IF($A2="","",SUMIF('07_Pallet_Contents'!$A$2:$A$3000,$A2,'07_Pallet_Contents'!$I$2:$I$3000))</f>
        <v>0</v>
      </c>
      <c r="Z634" t="str">
        <f>IF($A2="","",IF(COUNTIF('07_Pallet_Contents'!$A$2:$A$3000,$A2)&gt;0,"Yes",""))</f>
        <v/>
      </c>
    </row>
    <row r="635" spans="2:26">
      <c r="B635" s="31"/>
      <c r="G635" s="34"/>
      <c r="H635" s="33" t="str">
        <f t="shared" si="17"/>
        <v/>
      </c>
      <c r="I635" s="31"/>
      <c r="J635" s="31"/>
      <c r="K635" s="33"/>
      <c r="W635">
        <f>IF($A2="","",COUNTIF('07_Pallet_Contents'!$A$2:$A$3000,$A2))</f>
        <v>0</v>
      </c>
      <c r="X635">
        <f>IF($A2="","",SUMIF('07_Pallet_Contents'!$A$2:$A$3000,$A2,'07_Pallet_Contents'!$D$2:$D$3000))</f>
        <v>0</v>
      </c>
      <c r="Y635">
        <f>IF($A2="","",SUMIF('07_Pallet_Contents'!$A$2:$A$3000,$A2,'07_Pallet_Contents'!$I$2:$I$3000))</f>
        <v>0</v>
      </c>
      <c r="Z635" t="str">
        <f>IF($A2="","",IF(COUNTIF('07_Pallet_Contents'!$A$2:$A$3000,$A2)&gt;0,"Yes",""))</f>
        <v/>
      </c>
    </row>
    <row r="636" spans="2:26">
      <c r="B636" s="31"/>
      <c r="G636" s="34"/>
      <c r="H636" s="33" t="str">
        <f t="shared" si="17"/>
        <v/>
      </c>
      <c r="I636" s="31"/>
      <c r="J636" s="31"/>
      <c r="K636" s="33"/>
      <c r="W636">
        <f>IF($A2="","",COUNTIF('07_Pallet_Contents'!$A$2:$A$3000,$A2))</f>
        <v>0</v>
      </c>
      <c r="X636">
        <f>IF($A2="","",SUMIF('07_Pallet_Contents'!$A$2:$A$3000,$A2,'07_Pallet_Contents'!$D$2:$D$3000))</f>
        <v>0</v>
      </c>
      <c r="Y636">
        <f>IF($A2="","",SUMIF('07_Pallet_Contents'!$A$2:$A$3000,$A2,'07_Pallet_Contents'!$I$2:$I$3000))</f>
        <v>0</v>
      </c>
      <c r="Z636" t="str">
        <f>IF($A2="","",IF(COUNTIF('07_Pallet_Contents'!$A$2:$A$3000,$A2)&gt;0,"Yes",""))</f>
        <v/>
      </c>
    </row>
    <row r="637" spans="2:26">
      <c r="B637" s="31"/>
      <c r="G637" s="34"/>
      <c r="H637" s="33" t="str">
        <f t="shared" si="17"/>
        <v/>
      </c>
      <c r="I637" s="31"/>
      <c r="J637" s="31"/>
      <c r="K637" s="33"/>
      <c r="W637">
        <f>IF($A2="","",COUNTIF('07_Pallet_Contents'!$A$2:$A$3000,$A2))</f>
        <v>0</v>
      </c>
      <c r="X637">
        <f>IF($A2="","",SUMIF('07_Pallet_Contents'!$A$2:$A$3000,$A2,'07_Pallet_Contents'!$D$2:$D$3000))</f>
        <v>0</v>
      </c>
      <c r="Y637">
        <f>IF($A2="","",SUMIF('07_Pallet_Contents'!$A$2:$A$3000,$A2,'07_Pallet_Contents'!$I$2:$I$3000))</f>
        <v>0</v>
      </c>
      <c r="Z637" t="str">
        <f>IF($A2="","",IF(COUNTIF('07_Pallet_Contents'!$A$2:$A$3000,$A2)&gt;0,"Yes",""))</f>
        <v/>
      </c>
    </row>
    <row r="638" spans="2:26">
      <c r="B638" s="31"/>
      <c r="G638" s="34"/>
      <c r="H638" s="33" t="str">
        <f t="shared" si="17"/>
        <v/>
      </c>
      <c r="I638" s="31"/>
      <c r="J638" s="31"/>
      <c r="K638" s="33"/>
      <c r="W638">
        <f>IF($A2="","",COUNTIF('07_Pallet_Contents'!$A$2:$A$3000,$A2))</f>
        <v>0</v>
      </c>
      <c r="X638">
        <f>IF($A2="","",SUMIF('07_Pallet_Contents'!$A$2:$A$3000,$A2,'07_Pallet_Contents'!$D$2:$D$3000))</f>
        <v>0</v>
      </c>
      <c r="Y638">
        <f>IF($A2="","",SUMIF('07_Pallet_Contents'!$A$2:$A$3000,$A2,'07_Pallet_Contents'!$I$2:$I$3000))</f>
        <v>0</v>
      </c>
      <c r="Z638" t="str">
        <f>IF($A2="","",IF(COUNTIF('07_Pallet_Contents'!$A$2:$A$3000,$A2)&gt;0,"Yes",""))</f>
        <v/>
      </c>
    </row>
    <row r="639" spans="2:26">
      <c r="B639" s="31"/>
      <c r="G639" s="34"/>
      <c r="H639" s="33" t="str">
        <f t="shared" si="17"/>
        <v/>
      </c>
      <c r="I639" s="31"/>
      <c r="J639" s="31"/>
      <c r="K639" s="33"/>
      <c r="W639">
        <f>IF($A2="","",COUNTIF('07_Pallet_Contents'!$A$2:$A$3000,$A2))</f>
        <v>0</v>
      </c>
      <c r="X639">
        <f>IF($A2="","",SUMIF('07_Pallet_Contents'!$A$2:$A$3000,$A2,'07_Pallet_Contents'!$D$2:$D$3000))</f>
        <v>0</v>
      </c>
      <c r="Y639">
        <f>IF($A2="","",SUMIF('07_Pallet_Contents'!$A$2:$A$3000,$A2,'07_Pallet_Contents'!$I$2:$I$3000))</f>
        <v>0</v>
      </c>
      <c r="Z639" t="str">
        <f>IF($A2="","",IF(COUNTIF('07_Pallet_Contents'!$A$2:$A$3000,$A2)&gt;0,"Yes",""))</f>
        <v/>
      </c>
    </row>
    <row r="640" spans="2:26">
      <c r="B640" s="31"/>
      <c r="G640" s="34"/>
      <c r="H640" s="33" t="str">
        <f t="shared" si="17"/>
        <v/>
      </c>
      <c r="I640" s="31"/>
      <c r="J640" s="31"/>
      <c r="K640" s="33"/>
      <c r="W640">
        <f>IF($A2="","",COUNTIF('07_Pallet_Contents'!$A$2:$A$3000,$A2))</f>
        <v>0</v>
      </c>
      <c r="X640">
        <f>IF($A2="","",SUMIF('07_Pallet_Contents'!$A$2:$A$3000,$A2,'07_Pallet_Contents'!$D$2:$D$3000))</f>
        <v>0</v>
      </c>
      <c r="Y640">
        <f>IF($A2="","",SUMIF('07_Pallet_Contents'!$A$2:$A$3000,$A2,'07_Pallet_Contents'!$I$2:$I$3000))</f>
        <v>0</v>
      </c>
      <c r="Z640" t="str">
        <f>IF($A2="","",IF(COUNTIF('07_Pallet_Contents'!$A$2:$A$3000,$A2)&gt;0,"Yes",""))</f>
        <v/>
      </c>
    </row>
    <row r="641" spans="2:26">
      <c r="B641" s="31"/>
      <c r="G641" s="34"/>
      <c r="H641" s="33" t="str">
        <f t="shared" si="17"/>
        <v/>
      </c>
      <c r="I641" s="31"/>
      <c r="J641" s="31"/>
      <c r="K641" s="33"/>
      <c r="W641">
        <f>IF($A2="","",COUNTIF('07_Pallet_Contents'!$A$2:$A$3000,$A2))</f>
        <v>0</v>
      </c>
      <c r="X641">
        <f>IF($A2="","",SUMIF('07_Pallet_Contents'!$A$2:$A$3000,$A2,'07_Pallet_Contents'!$D$2:$D$3000))</f>
        <v>0</v>
      </c>
      <c r="Y641">
        <f>IF($A2="","",SUMIF('07_Pallet_Contents'!$A$2:$A$3000,$A2,'07_Pallet_Contents'!$I$2:$I$3000))</f>
        <v>0</v>
      </c>
      <c r="Z641" t="str">
        <f>IF($A2="","",IF(COUNTIF('07_Pallet_Contents'!$A$2:$A$3000,$A2)&gt;0,"Yes",""))</f>
        <v/>
      </c>
    </row>
    <row r="642" spans="2:26">
      <c r="B642" s="31"/>
      <c r="G642" s="34"/>
      <c r="H642" s="33" t="str">
        <f t="shared" ref="H642:H705" si="18">IF(AND($F642="TEMP",$G642&gt;0,$M642&lt;&gt;""),$M642+$G642,"")</f>
        <v/>
      </c>
      <c r="I642" s="31"/>
      <c r="J642" s="31"/>
      <c r="K642" s="33"/>
      <c r="W642">
        <f>IF($A2="","",COUNTIF('07_Pallet_Contents'!$A$2:$A$3000,$A2))</f>
        <v>0</v>
      </c>
      <c r="X642">
        <f>IF($A2="","",SUMIF('07_Pallet_Contents'!$A$2:$A$3000,$A2,'07_Pallet_Contents'!$D$2:$D$3000))</f>
        <v>0</v>
      </c>
      <c r="Y642">
        <f>IF($A2="","",SUMIF('07_Pallet_Contents'!$A$2:$A$3000,$A2,'07_Pallet_Contents'!$I$2:$I$3000))</f>
        <v>0</v>
      </c>
      <c r="Z642" t="str">
        <f>IF($A2="","",IF(COUNTIF('07_Pallet_Contents'!$A$2:$A$3000,$A2)&gt;0,"Yes",""))</f>
        <v/>
      </c>
    </row>
    <row r="643" spans="2:26">
      <c r="B643" s="31"/>
      <c r="G643" s="34"/>
      <c r="H643" s="33" t="str">
        <f t="shared" si="18"/>
        <v/>
      </c>
      <c r="I643" s="31"/>
      <c r="J643" s="31"/>
      <c r="K643" s="33"/>
      <c r="W643">
        <f>IF($A2="","",COUNTIF('07_Pallet_Contents'!$A$2:$A$3000,$A2))</f>
        <v>0</v>
      </c>
      <c r="X643">
        <f>IF($A2="","",SUMIF('07_Pallet_Contents'!$A$2:$A$3000,$A2,'07_Pallet_Contents'!$D$2:$D$3000))</f>
        <v>0</v>
      </c>
      <c r="Y643">
        <f>IF($A2="","",SUMIF('07_Pallet_Contents'!$A$2:$A$3000,$A2,'07_Pallet_Contents'!$I$2:$I$3000))</f>
        <v>0</v>
      </c>
      <c r="Z643" t="str">
        <f>IF($A2="","",IF(COUNTIF('07_Pallet_Contents'!$A$2:$A$3000,$A2)&gt;0,"Yes",""))</f>
        <v/>
      </c>
    </row>
    <row r="644" spans="2:26">
      <c r="B644" s="31"/>
      <c r="G644" s="34"/>
      <c r="H644" s="33" t="str">
        <f t="shared" si="18"/>
        <v/>
      </c>
      <c r="I644" s="31"/>
      <c r="J644" s="31"/>
      <c r="K644" s="33"/>
      <c r="W644">
        <f>IF($A2="","",COUNTIF('07_Pallet_Contents'!$A$2:$A$3000,$A2))</f>
        <v>0</v>
      </c>
      <c r="X644">
        <f>IF($A2="","",SUMIF('07_Pallet_Contents'!$A$2:$A$3000,$A2,'07_Pallet_Contents'!$D$2:$D$3000))</f>
        <v>0</v>
      </c>
      <c r="Y644">
        <f>IF($A2="","",SUMIF('07_Pallet_Contents'!$A$2:$A$3000,$A2,'07_Pallet_Contents'!$I$2:$I$3000))</f>
        <v>0</v>
      </c>
      <c r="Z644" t="str">
        <f>IF($A2="","",IF(COUNTIF('07_Pallet_Contents'!$A$2:$A$3000,$A2)&gt;0,"Yes",""))</f>
        <v/>
      </c>
    </row>
    <row r="645" spans="2:26">
      <c r="B645" s="31"/>
      <c r="G645" s="34"/>
      <c r="H645" s="33" t="str">
        <f t="shared" si="18"/>
        <v/>
      </c>
      <c r="I645" s="31"/>
      <c r="J645" s="31"/>
      <c r="K645" s="33"/>
      <c r="W645">
        <f>IF($A2="","",COUNTIF('07_Pallet_Contents'!$A$2:$A$3000,$A2))</f>
        <v>0</v>
      </c>
      <c r="X645">
        <f>IF($A2="","",SUMIF('07_Pallet_Contents'!$A$2:$A$3000,$A2,'07_Pallet_Contents'!$D$2:$D$3000))</f>
        <v>0</v>
      </c>
      <c r="Y645">
        <f>IF($A2="","",SUMIF('07_Pallet_Contents'!$A$2:$A$3000,$A2,'07_Pallet_Contents'!$I$2:$I$3000))</f>
        <v>0</v>
      </c>
      <c r="Z645" t="str">
        <f>IF($A2="","",IF(COUNTIF('07_Pallet_Contents'!$A$2:$A$3000,$A2)&gt;0,"Yes",""))</f>
        <v/>
      </c>
    </row>
    <row r="646" spans="2:26">
      <c r="B646" s="31"/>
      <c r="G646" s="34"/>
      <c r="H646" s="33" t="str">
        <f t="shared" si="18"/>
        <v/>
      </c>
      <c r="I646" s="31"/>
      <c r="J646" s="31"/>
      <c r="K646" s="33"/>
      <c r="W646">
        <f>IF($A2="","",COUNTIF('07_Pallet_Contents'!$A$2:$A$3000,$A2))</f>
        <v>0</v>
      </c>
      <c r="X646">
        <f>IF($A2="","",SUMIF('07_Pallet_Contents'!$A$2:$A$3000,$A2,'07_Pallet_Contents'!$D$2:$D$3000))</f>
        <v>0</v>
      </c>
      <c r="Y646">
        <f>IF($A2="","",SUMIF('07_Pallet_Contents'!$A$2:$A$3000,$A2,'07_Pallet_Contents'!$I$2:$I$3000))</f>
        <v>0</v>
      </c>
      <c r="Z646" t="str">
        <f>IF($A2="","",IF(COUNTIF('07_Pallet_Contents'!$A$2:$A$3000,$A2)&gt;0,"Yes",""))</f>
        <v/>
      </c>
    </row>
    <row r="647" spans="2:26">
      <c r="B647" s="31"/>
      <c r="G647" s="34"/>
      <c r="H647" s="33" t="str">
        <f t="shared" si="18"/>
        <v/>
      </c>
      <c r="I647" s="31"/>
      <c r="J647" s="31"/>
      <c r="K647" s="33"/>
      <c r="W647">
        <f>IF($A2="","",COUNTIF('07_Pallet_Contents'!$A$2:$A$3000,$A2))</f>
        <v>0</v>
      </c>
      <c r="X647">
        <f>IF($A2="","",SUMIF('07_Pallet_Contents'!$A$2:$A$3000,$A2,'07_Pallet_Contents'!$D$2:$D$3000))</f>
        <v>0</v>
      </c>
      <c r="Y647">
        <f>IF($A2="","",SUMIF('07_Pallet_Contents'!$A$2:$A$3000,$A2,'07_Pallet_Contents'!$I$2:$I$3000))</f>
        <v>0</v>
      </c>
      <c r="Z647" t="str">
        <f>IF($A2="","",IF(COUNTIF('07_Pallet_Contents'!$A$2:$A$3000,$A2)&gt;0,"Yes",""))</f>
        <v/>
      </c>
    </row>
    <row r="648" spans="2:26">
      <c r="B648" s="31"/>
      <c r="G648" s="34"/>
      <c r="H648" s="33" t="str">
        <f t="shared" si="18"/>
        <v/>
      </c>
      <c r="I648" s="31"/>
      <c r="J648" s="31"/>
      <c r="K648" s="33"/>
      <c r="W648">
        <f>IF($A2="","",COUNTIF('07_Pallet_Contents'!$A$2:$A$3000,$A2))</f>
        <v>0</v>
      </c>
      <c r="X648">
        <f>IF($A2="","",SUMIF('07_Pallet_Contents'!$A$2:$A$3000,$A2,'07_Pallet_Contents'!$D$2:$D$3000))</f>
        <v>0</v>
      </c>
      <c r="Y648">
        <f>IF($A2="","",SUMIF('07_Pallet_Contents'!$A$2:$A$3000,$A2,'07_Pallet_Contents'!$I$2:$I$3000))</f>
        <v>0</v>
      </c>
      <c r="Z648" t="str">
        <f>IF($A2="","",IF(COUNTIF('07_Pallet_Contents'!$A$2:$A$3000,$A2)&gt;0,"Yes",""))</f>
        <v/>
      </c>
    </row>
    <row r="649" spans="2:26">
      <c r="B649" s="31"/>
      <c r="G649" s="34"/>
      <c r="H649" s="33" t="str">
        <f t="shared" si="18"/>
        <v/>
      </c>
      <c r="I649" s="31"/>
      <c r="J649" s="31"/>
      <c r="K649" s="33"/>
      <c r="W649">
        <f>IF($A2="","",COUNTIF('07_Pallet_Contents'!$A$2:$A$3000,$A2))</f>
        <v>0</v>
      </c>
      <c r="X649">
        <f>IF($A2="","",SUMIF('07_Pallet_Contents'!$A$2:$A$3000,$A2,'07_Pallet_Contents'!$D$2:$D$3000))</f>
        <v>0</v>
      </c>
      <c r="Y649">
        <f>IF($A2="","",SUMIF('07_Pallet_Contents'!$A$2:$A$3000,$A2,'07_Pallet_Contents'!$I$2:$I$3000))</f>
        <v>0</v>
      </c>
      <c r="Z649" t="str">
        <f>IF($A2="","",IF(COUNTIF('07_Pallet_Contents'!$A$2:$A$3000,$A2)&gt;0,"Yes",""))</f>
        <v/>
      </c>
    </row>
    <row r="650" spans="2:26">
      <c r="B650" s="31"/>
      <c r="G650" s="34"/>
      <c r="H650" s="33" t="str">
        <f t="shared" si="18"/>
        <v/>
      </c>
      <c r="I650" s="31"/>
      <c r="J650" s="31"/>
      <c r="K650" s="33"/>
      <c r="W650">
        <f>IF($A2="","",COUNTIF('07_Pallet_Contents'!$A$2:$A$3000,$A2))</f>
        <v>0</v>
      </c>
      <c r="X650">
        <f>IF($A2="","",SUMIF('07_Pallet_Contents'!$A$2:$A$3000,$A2,'07_Pallet_Contents'!$D$2:$D$3000))</f>
        <v>0</v>
      </c>
      <c r="Y650">
        <f>IF($A2="","",SUMIF('07_Pallet_Contents'!$A$2:$A$3000,$A2,'07_Pallet_Contents'!$I$2:$I$3000))</f>
        <v>0</v>
      </c>
      <c r="Z650" t="str">
        <f>IF($A2="","",IF(COUNTIF('07_Pallet_Contents'!$A$2:$A$3000,$A2)&gt;0,"Yes",""))</f>
        <v/>
      </c>
    </row>
    <row r="651" spans="2:26">
      <c r="B651" s="31"/>
      <c r="G651" s="34"/>
      <c r="H651" s="33" t="str">
        <f t="shared" si="18"/>
        <v/>
      </c>
      <c r="I651" s="31"/>
      <c r="J651" s="31"/>
      <c r="K651" s="33"/>
      <c r="W651">
        <f>IF($A2="","",COUNTIF('07_Pallet_Contents'!$A$2:$A$3000,$A2))</f>
        <v>0</v>
      </c>
      <c r="X651">
        <f>IF($A2="","",SUMIF('07_Pallet_Contents'!$A$2:$A$3000,$A2,'07_Pallet_Contents'!$D$2:$D$3000))</f>
        <v>0</v>
      </c>
      <c r="Y651">
        <f>IF($A2="","",SUMIF('07_Pallet_Contents'!$A$2:$A$3000,$A2,'07_Pallet_Contents'!$I$2:$I$3000))</f>
        <v>0</v>
      </c>
      <c r="Z651" t="str">
        <f>IF($A2="","",IF(COUNTIF('07_Pallet_Contents'!$A$2:$A$3000,$A2)&gt;0,"Yes",""))</f>
        <v/>
      </c>
    </row>
    <row r="652" spans="2:26">
      <c r="B652" s="31"/>
      <c r="G652" s="34"/>
      <c r="H652" s="33" t="str">
        <f t="shared" si="18"/>
        <v/>
      </c>
      <c r="I652" s="31"/>
      <c r="J652" s="31"/>
      <c r="K652" s="33"/>
      <c r="W652">
        <f>IF($A2="","",COUNTIF('07_Pallet_Contents'!$A$2:$A$3000,$A2))</f>
        <v>0</v>
      </c>
      <c r="X652">
        <f>IF($A2="","",SUMIF('07_Pallet_Contents'!$A$2:$A$3000,$A2,'07_Pallet_Contents'!$D$2:$D$3000))</f>
        <v>0</v>
      </c>
      <c r="Y652">
        <f>IF($A2="","",SUMIF('07_Pallet_Contents'!$A$2:$A$3000,$A2,'07_Pallet_Contents'!$I$2:$I$3000))</f>
        <v>0</v>
      </c>
      <c r="Z652" t="str">
        <f>IF($A2="","",IF(COUNTIF('07_Pallet_Contents'!$A$2:$A$3000,$A2)&gt;0,"Yes",""))</f>
        <v/>
      </c>
    </row>
    <row r="653" spans="2:26">
      <c r="B653" s="31"/>
      <c r="G653" s="34"/>
      <c r="H653" s="33" t="str">
        <f t="shared" si="18"/>
        <v/>
      </c>
      <c r="I653" s="31"/>
      <c r="J653" s="31"/>
      <c r="K653" s="33"/>
      <c r="W653">
        <f>IF($A2="","",COUNTIF('07_Pallet_Contents'!$A$2:$A$3000,$A2))</f>
        <v>0</v>
      </c>
      <c r="X653">
        <f>IF($A2="","",SUMIF('07_Pallet_Contents'!$A$2:$A$3000,$A2,'07_Pallet_Contents'!$D$2:$D$3000))</f>
        <v>0</v>
      </c>
      <c r="Y653">
        <f>IF($A2="","",SUMIF('07_Pallet_Contents'!$A$2:$A$3000,$A2,'07_Pallet_Contents'!$I$2:$I$3000))</f>
        <v>0</v>
      </c>
      <c r="Z653" t="str">
        <f>IF($A2="","",IF(COUNTIF('07_Pallet_Contents'!$A$2:$A$3000,$A2)&gt;0,"Yes",""))</f>
        <v/>
      </c>
    </row>
    <row r="654" spans="2:26">
      <c r="B654" s="31"/>
      <c r="G654" s="34"/>
      <c r="H654" s="33" t="str">
        <f t="shared" si="18"/>
        <v/>
      </c>
      <c r="I654" s="31"/>
      <c r="J654" s="31"/>
      <c r="K654" s="33"/>
      <c r="W654">
        <f>IF($A2="","",COUNTIF('07_Pallet_Contents'!$A$2:$A$3000,$A2))</f>
        <v>0</v>
      </c>
      <c r="X654">
        <f>IF($A2="","",SUMIF('07_Pallet_Contents'!$A$2:$A$3000,$A2,'07_Pallet_Contents'!$D$2:$D$3000))</f>
        <v>0</v>
      </c>
      <c r="Y654">
        <f>IF($A2="","",SUMIF('07_Pallet_Contents'!$A$2:$A$3000,$A2,'07_Pallet_Contents'!$I$2:$I$3000))</f>
        <v>0</v>
      </c>
      <c r="Z654" t="str">
        <f>IF($A2="","",IF(COUNTIF('07_Pallet_Contents'!$A$2:$A$3000,$A2)&gt;0,"Yes",""))</f>
        <v/>
      </c>
    </row>
    <row r="655" spans="2:26">
      <c r="B655" s="31"/>
      <c r="G655" s="34"/>
      <c r="H655" s="33" t="str">
        <f t="shared" si="18"/>
        <v/>
      </c>
      <c r="I655" s="31"/>
      <c r="J655" s="31"/>
      <c r="K655" s="33"/>
      <c r="W655">
        <f>IF($A2="","",COUNTIF('07_Pallet_Contents'!$A$2:$A$3000,$A2))</f>
        <v>0</v>
      </c>
      <c r="X655">
        <f>IF($A2="","",SUMIF('07_Pallet_Contents'!$A$2:$A$3000,$A2,'07_Pallet_Contents'!$D$2:$D$3000))</f>
        <v>0</v>
      </c>
      <c r="Y655">
        <f>IF($A2="","",SUMIF('07_Pallet_Contents'!$A$2:$A$3000,$A2,'07_Pallet_Contents'!$I$2:$I$3000))</f>
        <v>0</v>
      </c>
      <c r="Z655" t="str">
        <f>IF($A2="","",IF(COUNTIF('07_Pallet_Contents'!$A$2:$A$3000,$A2)&gt;0,"Yes",""))</f>
        <v/>
      </c>
    </row>
    <row r="656" spans="2:26">
      <c r="B656" s="31"/>
      <c r="G656" s="34"/>
      <c r="H656" s="33" t="str">
        <f t="shared" si="18"/>
        <v/>
      </c>
      <c r="I656" s="31"/>
      <c r="J656" s="31"/>
      <c r="K656" s="33"/>
      <c r="W656">
        <f>IF($A2="","",COUNTIF('07_Pallet_Contents'!$A$2:$A$3000,$A2))</f>
        <v>0</v>
      </c>
      <c r="X656">
        <f>IF($A2="","",SUMIF('07_Pallet_Contents'!$A$2:$A$3000,$A2,'07_Pallet_Contents'!$D$2:$D$3000))</f>
        <v>0</v>
      </c>
      <c r="Y656">
        <f>IF($A2="","",SUMIF('07_Pallet_Contents'!$A$2:$A$3000,$A2,'07_Pallet_Contents'!$I$2:$I$3000))</f>
        <v>0</v>
      </c>
      <c r="Z656" t="str">
        <f>IF($A2="","",IF(COUNTIF('07_Pallet_Contents'!$A$2:$A$3000,$A2)&gt;0,"Yes",""))</f>
        <v/>
      </c>
    </row>
    <row r="657" spans="2:26">
      <c r="B657" s="31"/>
      <c r="G657" s="34"/>
      <c r="H657" s="33" t="str">
        <f t="shared" si="18"/>
        <v/>
      </c>
      <c r="I657" s="31"/>
      <c r="J657" s="31"/>
      <c r="K657" s="33"/>
      <c r="W657">
        <f>IF($A2="","",COUNTIF('07_Pallet_Contents'!$A$2:$A$3000,$A2))</f>
        <v>0</v>
      </c>
      <c r="X657">
        <f>IF($A2="","",SUMIF('07_Pallet_Contents'!$A$2:$A$3000,$A2,'07_Pallet_Contents'!$D$2:$D$3000))</f>
        <v>0</v>
      </c>
      <c r="Y657">
        <f>IF($A2="","",SUMIF('07_Pallet_Contents'!$A$2:$A$3000,$A2,'07_Pallet_Contents'!$I$2:$I$3000))</f>
        <v>0</v>
      </c>
      <c r="Z657" t="str">
        <f>IF($A2="","",IF(COUNTIF('07_Pallet_Contents'!$A$2:$A$3000,$A2)&gt;0,"Yes",""))</f>
        <v/>
      </c>
    </row>
    <row r="658" spans="2:26">
      <c r="B658" s="31"/>
      <c r="G658" s="34"/>
      <c r="H658" s="33" t="str">
        <f t="shared" si="18"/>
        <v/>
      </c>
      <c r="I658" s="31"/>
      <c r="J658" s="31"/>
      <c r="K658" s="33"/>
      <c r="W658">
        <f>IF($A2="","",COUNTIF('07_Pallet_Contents'!$A$2:$A$3000,$A2))</f>
        <v>0</v>
      </c>
      <c r="X658">
        <f>IF($A2="","",SUMIF('07_Pallet_Contents'!$A$2:$A$3000,$A2,'07_Pallet_Contents'!$D$2:$D$3000))</f>
        <v>0</v>
      </c>
      <c r="Y658">
        <f>IF($A2="","",SUMIF('07_Pallet_Contents'!$A$2:$A$3000,$A2,'07_Pallet_Contents'!$I$2:$I$3000))</f>
        <v>0</v>
      </c>
      <c r="Z658" t="str">
        <f>IF($A2="","",IF(COUNTIF('07_Pallet_Contents'!$A$2:$A$3000,$A2)&gt;0,"Yes",""))</f>
        <v/>
      </c>
    </row>
    <row r="659" spans="2:26">
      <c r="B659" s="31"/>
      <c r="G659" s="34"/>
      <c r="H659" s="33" t="str">
        <f t="shared" si="18"/>
        <v/>
      </c>
      <c r="I659" s="31"/>
      <c r="J659" s="31"/>
      <c r="K659" s="33"/>
      <c r="W659">
        <f>IF($A2="","",COUNTIF('07_Pallet_Contents'!$A$2:$A$3000,$A2))</f>
        <v>0</v>
      </c>
      <c r="X659">
        <f>IF($A2="","",SUMIF('07_Pallet_Contents'!$A$2:$A$3000,$A2,'07_Pallet_Contents'!$D$2:$D$3000))</f>
        <v>0</v>
      </c>
      <c r="Y659">
        <f>IF($A2="","",SUMIF('07_Pallet_Contents'!$A$2:$A$3000,$A2,'07_Pallet_Contents'!$I$2:$I$3000))</f>
        <v>0</v>
      </c>
      <c r="Z659" t="str">
        <f>IF($A2="","",IF(COUNTIF('07_Pallet_Contents'!$A$2:$A$3000,$A2)&gt;0,"Yes",""))</f>
        <v/>
      </c>
    </row>
    <row r="660" spans="2:26">
      <c r="B660" s="31"/>
      <c r="G660" s="34"/>
      <c r="H660" s="33" t="str">
        <f t="shared" si="18"/>
        <v/>
      </c>
      <c r="I660" s="31"/>
      <c r="J660" s="31"/>
      <c r="K660" s="33"/>
      <c r="W660">
        <f>IF($A2="","",COUNTIF('07_Pallet_Contents'!$A$2:$A$3000,$A2))</f>
        <v>0</v>
      </c>
      <c r="X660">
        <f>IF($A2="","",SUMIF('07_Pallet_Contents'!$A$2:$A$3000,$A2,'07_Pallet_Contents'!$D$2:$D$3000))</f>
        <v>0</v>
      </c>
      <c r="Y660">
        <f>IF($A2="","",SUMIF('07_Pallet_Contents'!$A$2:$A$3000,$A2,'07_Pallet_Contents'!$I$2:$I$3000))</f>
        <v>0</v>
      </c>
      <c r="Z660" t="str">
        <f>IF($A2="","",IF(COUNTIF('07_Pallet_Contents'!$A$2:$A$3000,$A2)&gt;0,"Yes",""))</f>
        <v/>
      </c>
    </row>
    <row r="661" spans="2:26">
      <c r="B661" s="31"/>
      <c r="G661" s="34"/>
      <c r="H661" s="33" t="str">
        <f t="shared" si="18"/>
        <v/>
      </c>
      <c r="I661" s="31"/>
      <c r="J661" s="31"/>
      <c r="K661" s="33"/>
      <c r="W661">
        <f>IF($A2="","",COUNTIF('07_Pallet_Contents'!$A$2:$A$3000,$A2))</f>
        <v>0</v>
      </c>
      <c r="X661">
        <f>IF($A2="","",SUMIF('07_Pallet_Contents'!$A$2:$A$3000,$A2,'07_Pallet_Contents'!$D$2:$D$3000))</f>
        <v>0</v>
      </c>
      <c r="Y661">
        <f>IF($A2="","",SUMIF('07_Pallet_Contents'!$A$2:$A$3000,$A2,'07_Pallet_Contents'!$I$2:$I$3000))</f>
        <v>0</v>
      </c>
      <c r="Z661" t="str">
        <f>IF($A2="","",IF(COUNTIF('07_Pallet_Contents'!$A$2:$A$3000,$A2)&gt;0,"Yes",""))</f>
        <v/>
      </c>
    </row>
    <row r="662" spans="2:26">
      <c r="B662" s="31"/>
      <c r="G662" s="34"/>
      <c r="H662" s="33" t="str">
        <f t="shared" si="18"/>
        <v/>
      </c>
      <c r="I662" s="31"/>
      <c r="J662" s="31"/>
      <c r="K662" s="33"/>
      <c r="W662">
        <f>IF($A2="","",COUNTIF('07_Pallet_Contents'!$A$2:$A$3000,$A2))</f>
        <v>0</v>
      </c>
      <c r="X662">
        <f>IF($A2="","",SUMIF('07_Pallet_Contents'!$A$2:$A$3000,$A2,'07_Pallet_Contents'!$D$2:$D$3000))</f>
        <v>0</v>
      </c>
      <c r="Y662">
        <f>IF($A2="","",SUMIF('07_Pallet_Contents'!$A$2:$A$3000,$A2,'07_Pallet_Contents'!$I$2:$I$3000))</f>
        <v>0</v>
      </c>
      <c r="Z662" t="str">
        <f>IF($A2="","",IF(COUNTIF('07_Pallet_Contents'!$A$2:$A$3000,$A2)&gt;0,"Yes",""))</f>
        <v/>
      </c>
    </row>
    <row r="663" spans="2:26">
      <c r="B663" s="31"/>
      <c r="G663" s="34"/>
      <c r="H663" s="33" t="str">
        <f t="shared" si="18"/>
        <v/>
      </c>
      <c r="I663" s="31"/>
      <c r="J663" s="31"/>
      <c r="K663" s="33"/>
      <c r="W663">
        <f>IF($A2="","",COUNTIF('07_Pallet_Contents'!$A$2:$A$3000,$A2))</f>
        <v>0</v>
      </c>
      <c r="X663">
        <f>IF($A2="","",SUMIF('07_Pallet_Contents'!$A$2:$A$3000,$A2,'07_Pallet_Contents'!$D$2:$D$3000))</f>
        <v>0</v>
      </c>
      <c r="Y663">
        <f>IF($A2="","",SUMIF('07_Pallet_Contents'!$A$2:$A$3000,$A2,'07_Pallet_Contents'!$I$2:$I$3000))</f>
        <v>0</v>
      </c>
      <c r="Z663" t="str">
        <f>IF($A2="","",IF(COUNTIF('07_Pallet_Contents'!$A$2:$A$3000,$A2)&gt;0,"Yes",""))</f>
        <v/>
      </c>
    </row>
    <row r="664" spans="2:26">
      <c r="B664" s="31"/>
      <c r="G664" s="34"/>
      <c r="H664" s="33" t="str">
        <f t="shared" si="18"/>
        <v/>
      </c>
      <c r="I664" s="31"/>
      <c r="J664" s="31"/>
      <c r="K664" s="33"/>
      <c r="W664">
        <f>IF($A2="","",COUNTIF('07_Pallet_Contents'!$A$2:$A$3000,$A2))</f>
        <v>0</v>
      </c>
      <c r="X664">
        <f>IF($A2="","",SUMIF('07_Pallet_Contents'!$A$2:$A$3000,$A2,'07_Pallet_Contents'!$D$2:$D$3000))</f>
        <v>0</v>
      </c>
      <c r="Y664">
        <f>IF($A2="","",SUMIF('07_Pallet_Contents'!$A$2:$A$3000,$A2,'07_Pallet_Contents'!$I$2:$I$3000))</f>
        <v>0</v>
      </c>
      <c r="Z664" t="str">
        <f>IF($A2="","",IF(COUNTIF('07_Pallet_Contents'!$A$2:$A$3000,$A2)&gt;0,"Yes",""))</f>
        <v/>
      </c>
    </row>
    <row r="665" spans="2:26">
      <c r="B665" s="31"/>
      <c r="G665" s="34"/>
      <c r="H665" s="33" t="str">
        <f t="shared" si="18"/>
        <v/>
      </c>
      <c r="I665" s="31"/>
      <c r="J665" s="31"/>
      <c r="K665" s="33"/>
      <c r="W665">
        <f>IF($A2="","",COUNTIF('07_Pallet_Contents'!$A$2:$A$3000,$A2))</f>
        <v>0</v>
      </c>
      <c r="X665">
        <f>IF($A2="","",SUMIF('07_Pallet_Contents'!$A$2:$A$3000,$A2,'07_Pallet_Contents'!$D$2:$D$3000))</f>
        <v>0</v>
      </c>
      <c r="Y665">
        <f>IF($A2="","",SUMIF('07_Pallet_Contents'!$A$2:$A$3000,$A2,'07_Pallet_Contents'!$I$2:$I$3000))</f>
        <v>0</v>
      </c>
      <c r="Z665" t="str">
        <f>IF($A2="","",IF(COUNTIF('07_Pallet_Contents'!$A$2:$A$3000,$A2)&gt;0,"Yes",""))</f>
        <v/>
      </c>
    </row>
    <row r="666" spans="2:26">
      <c r="B666" s="31"/>
      <c r="G666" s="34"/>
      <c r="H666" s="33" t="str">
        <f t="shared" si="18"/>
        <v/>
      </c>
      <c r="I666" s="31"/>
      <c r="J666" s="31"/>
      <c r="K666" s="33"/>
      <c r="W666">
        <f>IF($A2="","",COUNTIF('07_Pallet_Contents'!$A$2:$A$3000,$A2))</f>
        <v>0</v>
      </c>
      <c r="X666">
        <f>IF($A2="","",SUMIF('07_Pallet_Contents'!$A$2:$A$3000,$A2,'07_Pallet_Contents'!$D$2:$D$3000))</f>
        <v>0</v>
      </c>
      <c r="Y666">
        <f>IF($A2="","",SUMIF('07_Pallet_Contents'!$A$2:$A$3000,$A2,'07_Pallet_Contents'!$I$2:$I$3000))</f>
        <v>0</v>
      </c>
      <c r="Z666" t="str">
        <f>IF($A2="","",IF(COUNTIF('07_Pallet_Contents'!$A$2:$A$3000,$A2)&gt;0,"Yes",""))</f>
        <v/>
      </c>
    </row>
    <row r="667" spans="2:26">
      <c r="B667" s="31"/>
      <c r="G667" s="34"/>
      <c r="H667" s="33" t="str">
        <f t="shared" si="18"/>
        <v/>
      </c>
      <c r="I667" s="31"/>
      <c r="J667" s="31"/>
      <c r="K667" s="33"/>
      <c r="W667">
        <f>IF($A2="","",COUNTIF('07_Pallet_Contents'!$A$2:$A$3000,$A2))</f>
        <v>0</v>
      </c>
      <c r="X667">
        <f>IF($A2="","",SUMIF('07_Pallet_Contents'!$A$2:$A$3000,$A2,'07_Pallet_Contents'!$D$2:$D$3000))</f>
        <v>0</v>
      </c>
      <c r="Y667">
        <f>IF($A2="","",SUMIF('07_Pallet_Contents'!$A$2:$A$3000,$A2,'07_Pallet_Contents'!$I$2:$I$3000))</f>
        <v>0</v>
      </c>
      <c r="Z667" t="str">
        <f>IF($A2="","",IF(COUNTIF('07_Pallet_Contents'!$A$2:$A$3000,$A2)&gt;0,"Yes",""))</f>
        <v/>
      </c>
    </row>
    <row r="668" spans="2:26">
      <c r="B668" s="31"/>
      <c r="G668" s="34"/>
      <c r="H668" s="33" t="str">
        <f t="shared" si="18"/>
        <v/>
      </c>
      <c r="I668" s="31"/>
      <c r="J668" s="31"/>
      <c r="K668" s="33"/>
      <c r="W668">
        <f>IF($A2="","",COUNTIF('07_Pallet_Contents'!$A$2:$A$3000,$A2))</f>
        <v>0</v>
      </c>
      <c r="X668">
        <f>IF($A2="","",SUMIF('07_Pallet_Contents'!$A$2:$A$3000,$A2,'07_Pallet_Contents'!$D$2:$D$3000))</f>
        <v>0</v>
      </c>
      <c r="Y668">
        <f>IF($A2="","",SUMIF('07_Pallet_Contents'!$A$2:$A$3000,$A2,'07_Pallet_Contents'!$I$2:$I$3000))</f>
        <v>0</v>
      </c>
      <c r="Z668" t="str">
        <f>IF($A2="","",IF(COUNTIF('07_Pallet_Contents'!$A$2:$A$3000,$A2)&gt;0,"Yes",""))</f>
        <v/>
      </c>
    </row>
    <row r="669" spans="2:26">
      <c r="B669" s="31"/>
      <c r="G669" s="34"/>
      <c r="H669" s="33" t="str">
        <f t="shared" si="18"/>
        <v/>
      </c>
      <c r="I669" s="31"/>
      <c r="J669" s="31"/>
      <c r="K669" s="33"/>
      <c r="W669">
        <f>IF($A2="","",COUNTIF('07_Pallet_Contents'!$A$2:$A$3000,$A2))</f>
        <v>0</v>
      </c>
      <c r="X669">
        <f>IF($A2="","",SUMIF('07_Pallet_Contents'!$A$2:$A$3000,$A2,'07_Pallet_Contents'!$D$2:$D$3000))</f>
        <v>0</v>
      </c>
      <c r="Y669">
        <f>IF($A2="","",SUMIF('07_Pallet_Contents'!$A$2:$A$3000,$A2,'07_Pallet_Contents'!$I$2:$I$3000))</f>
        <v>0</v>
      </c>
      <c r="Z669" t="str">
        <f>IF($A2="","",IF(COUNTIF('07_Pallet_Contents'!$A$2:$A$3000,$A2)&gt;0,"Yes",""))</f>
        <v/>
      </c>
    </row>
    <row r="670" spans="2:26">
      <c r="B670" s="31"/>
      <c r="G670" s="34"/>
      <c r="H670" s="33" t="str">
        <f t="shared" si="18"/>
        <v/>
      </c>
      <c r="I670" s="31"/>
      <c r="J670" s="31"/>
      <c r="K670" s="33"/>
      <c r="W670">
        <f>IF($A2="","",COUNTIF('07_Pallet_Contents'!$A$2:$A$3000,$A2))</f>
        <v>0</v>
      </c>
      <c r="X670">
        <f>IF($A2="","",SUMIF('07_Pallet_Contents'!$A$2:$A$3000,$A2,'07_Pallet_Contents'!$D$2:$D$3000))</f>
        <v>0</v>
      </c>
      <c r="Y670">
        <f>IF($A2="","",SUMIF('07_Pallet_Contents'!$A$2:$A$3000,$A2,'07_Pallet_Contents'!$I$2:$I$3000))</f>
        <v>0</v>
      </c>
      <c r="Z670" t="str">
        <f>IF($A2="","",IF(COUNTIF('07_Pallet_Contents'!$A$2:$A$3000,$A2)&gt;0,"Yes",""))</f>
        <v/>
      </c>
    </row>
    <row r="671" spans="2:26">
      <c r="B671" s="31"/>
      <c r="G671" s="34"/>
      <c r="H671" s="33" t="str">
        <f t="shared" si="18"/>
        <v/>
      </c>
      <c r="I671" s="31"/>
      <c r="J671" s="31"/>
      <c r="K671" s="33"/>
      <c r="W671">
        <f>IF($A2="","",COUNTIF('07_Pallet_Contents'!$A$2:$A$3000,$A2))</f>
        <v>0</v>
      </c>
      <c r="X671">
        <f>IF($A2="","",SUMIF('07_Pallet_Contents'!$A$2:$A$3000,$A2,'07_Pallet_Contents'!$D$2:$D$3000))</f>
        <v>0</v>
      </c>
      <c r="Y671">
        <f>IF($A2="","",SUMIF('07_Pallet_Contents'!$A$2:$A$3000,$A2,'07_Pallet_Contents'!$I$2:$I$3000))</f>
        <v>0</v>
      </c>
      <c r="Z671" t="str">
        <f>IF($A2="","",IF(COUNTIF('07_Pallet_Contents'!$A$2:$A$3000,$A2)&gt;0,"Yes",""))</f>
        <v/>
      </c>
    </row>
    <row r="672" spans="2:26">
      <c r="B672" s="31"/>
      <c r="G672" s="34"/>
      <c r="H672" s="33" t="str">
        <f t="shared" si="18"/>
        <v/>
      </c>
      <c r="I672" s="31"/>
      <c r="J672" s="31"/>
      <c r="K672" s="33"/>
      <c r="W672">
        <f>IF($A2="","",COUNTIF('07_Pallet_Contents'!$A$2:$A$3000,$A2))</f>
        <v>0</v>
      </c>
      <c r="X672">
        <f>IF($A2="","",SUMIF('07_Pallet_Contents'!$A$2:$A$3000,$A2,'07_Pallet_Contents'!$D$2:$D$3000))</f>
        <v>0</v>
      </c>
      <c r="Y672">
        <f>IF($A2="","",SUMIF('07_Pallet_Contents'!$A$2:$A$3000,$A2,'07_Pallet_Contents'!$I$2:$I$3000))</f>
        <v>0</v>
      </c>
      <c r="Z672" t="str">
        <f>IF($A2="","",IF(COUNTIF('07_Pallet_Contents'!$A$2:$A$3000,$A2)&gt;0,"Yes",""))</f>
        <v/>
      </c>
    </row>
    <row r="673" spans="2:26">
      <c r="B673" s="31"/>
      <c r="G673" s="34"/>
      <c r="H673" s="33" t="str">
        <f t="shared" si="18"/>
        <v/>
      </c>
      <c r="I673" s="31"/>
      <c r="J673" s="31"/>
      <c r="K673" s="33"/>
      <c r="W673">
        <f>IF($A2="","",COUNTIF('07_Pallet_Contents'!$A$2:$A$3000,$A2))</f>
        <v>0</v>
      </c>
      <c r="X673">
        <f>IF($A2="","",SUMIF('07_Pallet_Contents'!$A$2:$A$3000,$A2,'07_Pallet_Contents'!$D$2:$D$3000))</f>
        <v>0</v>
      </c>
      <c r="Y673">
        <f>IF($A2="","",SUMIF('07_Pallet_Contents'!$A$2:$A$3000,$A2,'07_Pallet_Contents'!$I$2:$I$3000))</f>
        <v>0</v>
      </c>
      <c r="Z673" t="str">
        <f>IF($A2="","",IF(COUNTIF('07_Pallet_Contents'!$A$2:$A$3000,$A2)&gt;0,"Yes",""))</f>
        <v/>
      </c>
    </row>
    <row r="674" spans="2:26">
      <c r="B674" s="31"/>
      <c r="G674" s="34"/>
      <c r="H674" s="33" t="str">
        <f t="shared" si="18"/>
        <v/>
      </c>
      <c r="I674" s="31"/>
      <c r="J674" s="31"/>
      <c r="K674" s="33"/>
      <c r="W674">
        <f>IF($A2="","",COUNTIF('07_Pallet_Contents'!$A$2:$A$3000,$A2))</f>
        <v>0</v>
      </c>
      <c r="X674">
        <f>IF($A2="","",SUMIF('07_Pallet_Contents'!$A$2:$A$3000,$A2,'07_Pallet_Contents'!$D$2:$D$3000))</f>
        <v>0</v>
      </c>
      <c r="Y674">
        <f>IF($A2="","",SUMIF('07_Pallet_Contents'!$A$2:$A$3000,$A2,'07_Pallet_Contents'!$I$2:$I$3000))</f>
        <v>0</v>
      </c>
      <c r="Z674" t="str">
        <f>IF($A2="","",IF(COUNTIF('07_Pallet_Contents'!$A$2:$A$3000,$A2)&gt;0,"Yes",""))</f>
        <v/>
      </c>
    </row>
    <row r="675" spans="2:26">
      <c r="B675" s="31"/>
      <c r="G675" s="34"/>
      <c r="H675" s="33" t="str">
        <f t="shared" si="18"/>
        <v/>
      </c>
      <c r="I675" s="31"/>
      <c r="J675" s="31"/>
      <c r="K675" s="33"/>
      <c r="W675">
        <f>IF($A2="","",COUNTIF('07_Pallet_Contents'!$A$2:$A$3000,$A2))</f>
        <v>0</v>
      </c>
      <c r="X675">
        <f>IF($A2="","",SUMIF('07_Pallet_Contents'!$A$2:$A$3000,$A2,'07_Pallet_Contents'!$D$2:$D$3000))</f>
        <v>0</v>
      </c>
      <c r="Y675">
        <f>IF($A2="","",SUMIF('07_Pallet_Contents'!$A$2:$A$3000,$A2,'07_Pallet_Contents'!$I$2:$I$3000))</f>
        <v>0</v>
      </c>
      <c r="Z675" t="str">
        <f>IF($A2="","",IF(COUNTIF('07_Pallet_Contents'!$A$2:$A$3000,$A2)&gt;0,"Yes",""))</f>
        <v/>
      </c>
    </row>
    <row r="676" spans="2:26">
      <c r="B676" s="31"/>
      <c r="G676" s="34"/>
      <c r="H676" s="33" t="str">
        <f t="shared" si="18"/>
        <v/>
      </c>
      <c r="I676" s="31"/>
      <c r="J676" s="31"/>
      <c r="K676" s="33"/>
      <c r="W676">
        <f>IF($A2="","",COUNTIF('07_Pallet_Contents'!$A$2:$A$3000,$A2))</f>
        <v>0</v>
      </c>
      <c r="X676">
        <f>IF($A2="","",SUMIF('07_Pallet_Contents'!$A$2:$A$3000,$A2,'07_Pallet_Contents'!$D$2:$D$3000))</f>
        <v>0</v>
      </c>
      <c r="Y676">
        <f>IF($A2="","",SUMIF('07_Pallet_Contents'!$A$2:$A$3000,$A2,'07_Pallet_Contents'!$I$2:$I$3000))</f>
        <v>0</v>
      </c>
      <c r="Z676" t="str">
        <f>IF($A2="","",IF(COUNTIF('07_Pallet_Contents'!$A$2:$A$3000,$A2)&gt;0,"Yes",""))</f>
        <v/>
      </c>
    </row>
    <row r="677" spans="2:26">
      <c r="B677" s="31"/>
      <c r="G677" s="34"/>
      <c r="H677" s="33" t="str">
        <f t="shared" si="18"/>
        <v/>
      </c>
      <c r="I677" s="31"/>
      <c r="J677" s="31"/>
      <c r="K677" s="33"/>
      <c r="W677">
        <f>IF($A2="","",COUNTIF('07_Pallet_Contents'!$A$2:$A$3000,$A2))</f>
        <v>0</v>
      </c>
      <c r="X677">
        <f>IF($A2="","",SUMIF('07_Pallet_Contents'!$A$2:$A$3000,$A2,'07_Pallet_Contents'!$D$2:$D$3000))</f>
        <v>0</v>
      </c>
      <c r="Y677">
        <f>IF($A2="","",SUMIF('07_Pallet_Contents'!$A$2:$A$3000,$A2,'07_Pallet_Contents'!$I$2:$I$3000))</f>
        <v>0</v>
      </c>
      <c r="Z677" t="str">
        <f>IF($A2="","",IF(COUNTIF('07_Pallet_Contents'!$A$2:$A$3000,$A2)&gt;0,"Yes",""))</f>
        <v/>
      </c>
    </row>
    <row r="678" spans="2:26">
      <c r="B678" s="31"/>
      <c r="G678" s="34"/>
      <c r="H678" s="33" t="str">
        <f t="shared" si="18"/>
        <v/>
      </c>
      <c r="I678" s="31"/>
      <c r="J678" s="31"/>
      <c r="K678" s="33"/>
      <c r="W678">
        <f>IF($A2="","",COUNTIF('07_Pallet_Contents'!$A$2:$A$3000,$A2))</f>
        <v>0</v>
      </c>
      <c r="X678">
        <f>IF($A2="","",SUMIF('07_Pallet_Contents'!$A$2:$A$3000,$A2,'07_Pallet_Contents'!$D$2:$D$3000))</f>
        <v>0</v>
      </c>
      <c r="Y678">
        <f>IF($A2="","",SUMIF('07_Pallet_Contents'!$A$2:$A$3000,$A2,'07_Pallet_Contents'!$I$2:$I$3000))</f>
        <v>0</v>
      </c>
      <c r="Z678" t="str">
        <f>IF($A2="","",IF(COUNTIF('07_Pallet_Contents'!$A$2:$A$3000,$A2)&gt;0,"Yes",""))</f>
        <v/>
      </c>
    </row>
    <row r="679" spans="2:26">
      <c r="B679" s="31"/>
      <c r="G679" s="34"/>
      <c r="H679" s="33" t="str">
        <f t="shared" si="18"/>
        <v/>
      </c>
      <c r="I679" s="31"/>
      <c r="J679" s="31"/>
      <c r="K679" s="33"/>
      <c r="W679">
        <f>IF($A2="","",COUNTIF('07_Pallet_Contents'!$A$2:$A$3000,$A2))</f>
        <v>0</v>
      </c>
      <c r="X679">
        <f>IF($A2="","",SUMIF('07_Pallet_Contents'!$A$2:$A$3000,$A2,'07_Pallet_Contents'!$D$2:$D$3000))</f>
        <v>0</v>
      </c>
      <c r="Y679">
        <f>IF($A2="","",SUMIF('07_Pallet_Contents'!$A$2:$A$3000,$A2,'07_Pallet_Contents'!$I$2:$I$3000))</f>
        <v>0</v>
      </c>
      <c r="Z679" t="str">
        <f>IF($A2="","",IF(COUNTIF('07_Pallet_Contents'!$A$2:$A$3000,$A2)&gt;0,"Yes",""))</f>
        <v/>
      </c>
    </row>
    <row r="680" spans="2:26">
      <c r="B680" s="31"/>
      <c r="G680" s="34"/>
      <c r="H680" s="33" t="str">
        <f t="shared" si="18"/>
        <v/>
      </c>
      <c r="I680" s="31"/>
      <c r="J680" s="31"/>
      <c r="K680" s="33"/>
      <c r="W680">
        <f>IF($A2="","",COUNTIF('07_Pallet_Contents'!$A$2:$A$3000,$A2))</f>
        <v>0</v>
      </c>
      <c r="X680">
        <f>IF($A2="","",SUMIF('07_Pallet_Contents'!$A$2:$A$3000,$A2,'07_Pallet_Contents'!$D$2:$D$3000))</f>
        <v>0</v>
      </c>
      <c r="Y680">
        <f>IF($A2="","",SUMIF('07_Pallet_Contents'!$A$2:$A$3000,$A2,'07_Pallet_Contents'!$I$2:$I$3000))</f>
        <v>0</v>
      </c>
      <c r="Z680" t="str">
        <f>IF($A2="","",IF(COUNTIF('07_Pallet_Contents'!$A$2:$A$3000,$A2)&gt;0,"Yes",""))</f>
        <v/>
      </c>
    </row>
    <row r="681" spans="2:26">
      <c r="B681" s="31"/>
      <c r="G681" s="34"/>
      <c r="H681" s="33" t="str">
        <f t="shared" si="18"/>
        <v/>
      </c>
      <c r="I681" s="31"/>
      <c r="J681" s="31"/>
      <c r="K681" s="33"/>
      <c r="W681">
        <f>IF($A2="","",COUNTIF('07_Pallet_Contents'!$A$2:$A$3000,$A2))</f>
        <v>0</v>
      </c>
      <c r="X681">
        <f>IF($A2="","",SUMIF('07_Pallet_Contents'!$A$2:$A$3000,$A2,'07_Pallet_Contents'!$D$2:$D$3000))</f>
        <v>0</v>
      </c>
      <c r="Y681">
        <f>IF($A2="","",SUMIF('07_Pallet_Contents'!$A$2:$A$3000,$A2,'07_Pallet_Contents'!$I$2:$I$3000))</f>
        <v>0</v>
      </c>
      <c r="Z681" t="str">
        <f>IF($A2="","",IF(COUNTIF('07_Pallet_Contents'!$A$2:$A$3000,$A2)&gt;0,"Yes",""))</f>
        <v/>
      </c>
    </row>
    <row r="682" spans="2:26">
      <c r="B682" s="31"/>
      <c r="G682" s="34"/>
      <c r="H682" s="33" t="str">
        <f t="shared" si="18"/>
        <v/>
      </c>
      <c r="I682" s="31"/>
      <c r="J682" s="31"/>
      <c r="K682" s="33"/>
      <c r="W682">
        <f>IF($A2="","",COUNTIF('07_Pallet_Contents'!$A$2:$A$3000,$A2))</f>
        <v>0</v>
      </c>
      <c r="X682">
        <f>IF($A2="","",SUMIF('07_Pallet_Contents'!$A$2:$A$3000,$A2,'07_Pallet_Contents'!$D$2:$D$3000))</f>
        <v>0</v>
      </c>
      <c r="Y682">
        <f>IF($A2="","",SUMIF('07_Pallet_Contents'!$A$2:$A$3000,$A2,'07_Pallet_Contents'!$I$2:$I$3000))</f>
        <v>0</v>
      </c>
      <c r="Z682" t="str">
        <f>IF($A2="","",IF(COUNTIF('07_Pallet_Contents'!$A$2:$A$3000,$A2)&gt;0,"Yes",""))</f>
        <v/>
      </c>
    </row>
    <row r="683" spans="2:26">
      <c r="B683" s="31"/>
      <c r="G683" s="34"/>
      <c r="H683" s="33" t="str">
        <f t="shared" si="18"/>
        <v/>
      </c>
      <c r="I683" s="31"/>
      <c r="J683" s="31"/>
      <c r="K683" s="33"/>
      <c r="W683">
        <f>IF($A2="","",COUNTIF('07_Pallet_Contents'!$A$2:$A$3000,$A2))</f>
        <v>0</v>
      </c>
      <c r="X683">
        <f>IF($A2="","",SUMIF('07_Pallet_Contents'!$A$2:$A$3000,$A2,'07_Pallet_Contents'!$D$2:$D$3000))</f>
        <v>0</v>
      </c>
      <c r="Y683">
        <f>IF($A2="","",SUMIF('07_Pallet_Contents'!$A$2:$A$3000,$A2,'07_Pallet_Contents'!$I$2:$I$3000))</f>
        <v>0</v>
      </c>
      <c r="Z683" t="str">
        <f>IF($A2="","",IF(COUNTIF('07_Pallet_Contents'!$A$2:$A$3000,$A2)&gt;0,"Yes",""))</f>
        <v/>
      </c>
    </row>
    <row r="684" spans="2:26">
      <c r="B684" s="31"/>
      <c r="G684" s="34"/>
      <c r="H684" s="33" t="str">
        <f t="shared" si="18"/>
        <v/>
      </c>
      <c r="I684" s="31"/>
      <c r="J684" s="31"/>
      <c r="K684" s="33"/>
      <c r="W684">
        <f>IF($A2="","",COUNTIF('07_Pallet_Contents'!$A$2:$A$3000,$A2))</f>
        <v>0</v>
      </c>
      <c r="X684">
        <f>IF($A2="","",SUMIF('07_Pallet_Contents'!$A$2:$A$3000,$A2,'07_Pallet_Contents'!$D$2:$D$3000))</f>
        <v>0</v>
      </c>
      <c r="Y684">
        <f>IF($A2="","",SUMIF('07_Pallet_Contents'!$A$2:$A$3000,$A2,'07_Pallet_Contents'!$I$2:$I$3000))</f>
        <v>0</v>
      </c>
      <c r="Z684" t="str">
        <f>IF($A2="","",IF(COUNTIF('07_Pallet_Contents'!$A$2:$A$3000,$A2)&gt;0,"Yes",""))</f>
        <v/>
      </c>
    </row>
    <row r="685" spans="2:26">
      <c r="B685" s="31"/>
      <c r="G685" s="34"/>
      <c r="H685" s="33" t="str">
        <f t="shared" si="18"/>
        <v/>
      </c>
      <c r="I685" s="31"/>
      <c r="J685" s="31"/>
      <c r="K685" s="33"/>
      <c r="W685">
        <f>IF($A2="","",COUNTIF('07_Pallet_Contents'!$A$2:$A$3000,$A2))</f>
        <v>0</v>
      </c>
      <c r="X685">
        <f>IF($A2="","",SUMIF('07_Pallet_Contents'!$A$2:$A$3000,$A2,'07_Pallet_Contents'!$D$2:$D$3000))</f>
        <v>0</v>
      </c>
      <c r="Y685">
        <f>IF($A2="","",SUMIF('07_Pallet_Contents'!$A$2:$A$3000,$A2,'07_Pallet_Contents'!$I$2:$I$3000))</f>
        <v>0</v>
      </c>
      <c r="Z685" t="str">
        <f>IF($A2="","",IF(COUNTIF('07_Pallet_Contents'!$A$2:$A$3000,$A2)&gt;0,"Yes",""))</f>
        <v/>
      </c>
    </row>
    <row r="686" spans="2:26">
      <c r="B686" s="31"/>
      <c r="G686" s="34"/>
      <c r="H686" s="33" t="str">
        <f t="shared" si="18"/>
        <v/>
      </c>
      <c r="I686" s="31"/>
      <c r="J686" s="31"/>
      <c r="K686" s="33"/>
      <c r="W686">
        <f>IF($A2="","",COUNTIF('07_Pallet_Contents'!$A$2:$A$3000,$A2))</f>
        <v>0</v>
      </c>
      <c r="X686">
        <f>IF($A2="","",SUMIF('07_Pallet_Contents'!$A$2:$A$3000,$A2,'07_Pallet_Contents'!$D$2:$D$3000))</f>
        <v>0</v>
      </c>
      <c r="Y686">
        <f>IF($A2="","",SUMIF('07_Pallet_Contents'!$A$2:$A$3000,$A2,'07_Pallet_Contents'!$I$2:$I$3000))</f>
        <v>0</v>
      </c>
      <c r="Z686" t="str">
        <f>IF($A2="","",IF(COUNTIF('07_Pallet_Contents'!$A$2:$A$3000,$A2)&gt;0,"Yes",""))</f>
        <v/>
      </c>
    </row>
    <row r="687" spans="2:26">
      <c r="B687" s="31"/>
      <c r="G687" s="34"/>
      <c r="H687" s="33" t="str">
        <f t="shared" si="18"/>
        <v/>
      </c>
      <c r="I687" s="31"/>
      <c r="J687" s="31"/>
      <c r="K687" s="33"/>
      <c r="W687">
        <f>IF($A2="","",COUNTIF('07_Pallet_Contents'!$A$2:$A$3000,$A2))</f>
        <v>0</v>
      </c>
      <c r="X687">
        <f>IF($A2="","",SUMIF('07_Pallet_Contents'!$A$2:$A$3000,$A2,'07_Pallet_Contents'!$D$2:$D$3000))</f>
        <v>0</v>
      </c>
      <c r="Y687">
        <f>IF($A2="","",SUMIF('07_Pallet_Contents'!$A$2:$A$3000,$A2,'07_Pallet_Contents'!$I$2:$I$3000))</f>
        <v>0</v>
      </c>
      <c r="Z687" t="str">
        <f>IF($A2="","",IF(COUNTIF('07_Pallet_Contents'!$A$2:$A$3000,$A2)&gt;0,"Yes",""))</f>
        <v/>
      </c>
    </row>
    <row r="688" spans="2:26">
      <c r="B688" s="31"/>
      <c r="G688" s="34"/>
      <c r="H688" s="33" t="str">
        <f t="shared" si="18"/>
        <v/>
      </c>
      <c r="I688" s="31"/>
      <c r="J688" s="31"/>
      <c r="K688" s="33"/>
      <c r="W688">
        <f>IF($A2="","",COUNTIF('07_Pallet_Contents'!$A$2:$A$3000,$A2))</f>
        <v>0</v>
      </c>
      <c r="X688">
        <f>IF($A2="","",SUMIF('07_Pallet_Contents'!$A$2:$A$3000,$A2,'07_Pallet_Contents'!$D$2:$D$3000))</f>
        <v>0</v>
      </c>
      <c r="Y688">
        <f>IF($A2="","",SUMIF('07_Pallet_Contents'!$A$2:$A$3000,$A2,'07_Pallet_Contents'!$I$2:$I$3000))</f>
        <v>0</v>
      </c>
      <c r="Z688" t="str">
        <f>IF($A2="","",IF(COUNTIF('07_Pallet_Contents'!$A$2:$A$3000,$A2)&gt;0,"Yes",""))</f>
        <v/>
      </c>
    </row>
    <row r="689" spans="2:26">
      <c r="B689" s="31"/>
      <c r="G689" s="34"/>
      <c r="H689" s="33" t="str">
        <f t="shared" si="18"/>
        <v/>
      </c>
      <c r="I689" s="31"/>
      <c r="J689" s="31"/>
      <c r="K689" s="33"/>
      <c r="W689">
        <f>IF($A2="","",COUNTIF('07_Pallet_Contents'!$A$2:$A$3000,$A2))</f>
        <v>0</v>
      </c>
      <c r="X689">
        <f>IF($A2="","",SUMIF('07_Pallet_Contents'!$A$2:$A$3000,$A2,'07_Pallet_Contents'!$D$2:$D$3000))</f>
        <v>0</v>
      </c>
      <c r="Y689">
        <f>IF($A2="","",SUMIF('07_Pallet_Contents'!$A$2:$A$3000,$A2,'07_Pallet_Contents'!$I$2:$I$3000))</f>
        <v>0</v>
      </c>
      <c r="Z689" t="str">
        <f>IF($A2="","",IF(COUNTIF('07_Pallet_Contents'!$A$2:$A$3000,$A2)&gt;0,"Yes",""))</f>
        <v/>
      </c>
    </row>
    <row r="690" spans="2:26">
      <c r="B690" s="31"/>
      <c r="G690" s="34"/>
      <c r="H690" s="33" t="str">
        <f t="shared" si="18"/>
        <v/>
      </c>
      <c r="I690" s="31"/>
      <c r="J690" s="31"/>
      <c r="K690" s="33"/>
      <c r="W690">
        <f>IF($A2="","",COUNTIF('07_Pallet_Contents'!$A$2:$A$3000,$A2))</f>
        <v>0</v>
      </c>
      <c r="X690">
        <f>IF($A2="","",SUMIF('07_Pallet_Contents'!$A$2:$A$3000,$A2,'07_Pallet_Contents'!$D$2:$D$3000))</f>
        <v>0</v>
      </c>
      <c r="Y690">
        <f>IF($A2="","",SUMIF('07_Pallet_Contents'!$A$2:$A$3000,$A2,'07_Pallet_Contents'!$I$2:$I$3000))</f>
        <v>0</v>
      </c>
      <c r="Z690" t="str">
        <f>IF($A2="","",IF(COUNTIF('07_Pallet_Contents'!$A$2:$A$3000,$A2)&gt;0,"Yes",""))</f>
        <v/>
      </c>
    </row>
    <row r="691" spans="2:26">
      <c r="B691" s="31"/>
      <c r="G691" s="34"/>
      <c r="H691" s="33" t="str">
        <f t="shared" si="18"/>
        <v/>
      </c>
      <c r="I691" s="31"/>
      <c r="J691" s="31"/>
      <c r="K691" s="33"/>
      <c r="W691">
        <f>IF($A2="","",COUNTIF('07_Pallet_Contents'!$A$2:$A$3000,$A2))</f>
        <v>0</v>
      </c>
      <c r="X691">
        <f>IF($A2="","",SUMIF('07_Pallet_Contents'!$A$2:$A$3000,$A2,'07_Pallet_Contents'!$D$2:$D$3000))</f>
        <v>0</v>
      </c>
      <c r="Y691">
        <f>IF($A2="","",SUMIF('07_Pallet_Contents'!$A$2:$A$3000,$A2,'07_Pallet_Contents'!$I$2:$I$3000))</f>
        <v>0</v>
      </c>
      <c r="Z691" t="str">
        <f>IF($A2="","",IF(COUNTIF('07_Pallet_Contents'!$A$2:$A$3000,$A2)&gt;0,"Yes",""))</f>
        <v/>
      </c>
    </row>
    <row r="692" spans="2:26">
      <c r="B692" s="31"/>
      <c r="G692" s="34"/>
      <c r="H692" s="33" t="str">
        <f t="shared" si="18"/>
        <v/>
      </c>
      <c r="I692" s="31"/>
      <c r="J692" s="31"/>
      <c r="K692" s="33"/>
      <c r="W692">
        <f>IF($A2="","",COUNTIF('07_Pallet_Contents'!$A$2:$A$3000,$A2))</f>
        <v>0</v>
      </c>
      <c r="X692">
        <f>IF($A2="","",SUMIF('07_Pallet_Contents'!$A$2:$A$3000,$A2,'07_Pallet_Contents'!$D$2:$D$3000))</f>
        <v>0</v>
      </c>
      <c r="Y692">
        <f>IF($A2="","",SUMIF('07_Pallet_Contents'!$A$2:$A$3000,$A2,'07_Pallet_Contents'!$I$2:$I$3000))</f>
        <v>0</v>
      </c>
      <c r="Z692" t="str">
        <f>IF($A2="","",IF(COUNTIF('07_Pallet_Contents'!$A$2:$A$3000,$A2)&gt;0,"Yes",""))</f>
        <v/>
      </c>
    </row>
    <row r="693" spans="2:26">
      <c r="B693" s="31"/>
      <c r="G693" s="34"/>
      <c r="H693" s="33" t="str">
        <f t="shared" si="18"/>
        <v/>
      </c>
      <c r="I693" s="31"/>
      <c r="J693" s="31"/>
      <c r="K693" s="33"/>
      <c r="W693">
        <f>IF($A2="","",COUNTIF('07_Pallet_Contents'!$A$2:$A$3000,$A2))</f>
        <v>0</v>
      </c>
      <c r="X693">
        <f>IF($A2="","",SUMIF('07_Pallet_Contents'!$A$2:$A$3000,$A2,'07_Pallet_Contents'!$D$2:$D$3000))</f>
        <v>0</v>
      </c>
      <c r="Y693">
        <f>IF($A2="","",SUMIF('07_Pallet_Contents'!$A$2:$A$3000,$A2,'07_Pallet_Contents'!$I$2:$I$3000))</f>
        <v>0</v>
      </c>
      <c r="Z693" t="str">
        <f>IF($A2="","",IF(COUNTIF('07_Pallet_Contents'!$A$2:$A$3000,$A2)&gt;0,"Yes",""))</f>
        <v/>
      </c>
    </row>
    <row r="694" spans="2:26">
      <c r="B694" s="31"/>
      <c r="G694" s="34"/>
      <c r="H694" s="33" t="str">
        <f t="shared" si="18"/>
        <v/>
      </c>
      <c r="I694" s="31"/>
      <c r="J694" s="31"/>
      <c r="K694" s="33"/>
      <c r="W694">
        <f>IF($A2="","",COUNTIF('07_Pallet_Contents'!$A$2:$A$3000,$A2))</f>
        <v>0</v>
      </c>
      <c r="X694">
        <f>IF($A2="","",SUMIF('07_Pallet_Contents'!$A$2:$A$3000,$A2,'07_Pallet_Contents'!$D$2:$D$3000))</f>
        <v>0</v>
      </c>
      <c r="Y694">
        <f>IF($A2="","",SUMIF('07_Pallet_Contents'!$A$2:$A$3000,$A2,'07_Pallet_Contents'!$I$2:$I$3000))</f>
        <v>0</v>
      </c>
      <c r="Z694" t="str">
        <f>IF($A2="","",IF(COUNTIF('07_Pallet_Contents'!$A$2:$A$3000,$A2)&gt;0,"Yes",""))</f>
        <v/>
      </c>
    </row>
    <row r="695" spans="2:26">
      <c r="B695" s="31"/>
      <c r="G695" s="34"/>
      <c r="H695" s="33" t="str">
        <f t="shared" si="18"/>
        <v/>
      </c>
      <c r="I695" s="31"/>
      <c r="J695" s="31"/>
      <c r="K695" s="33"/>
      <c r="W695">
        <f>IF($A2="","",COUNTIF('07_Pallet_Contents'!$A$2:$A$3000,$A2))</f>
        <v>0</v>
      </c>
      <c r="X695">
        <f>IF($A2="","",SUMIF('07_Pallet_Contents'!$A$2:$A$3000,$A2,'07_Pallet_Contents'!$D$2:$D$3000))</f>
        <v>0</v>
      </c>
      <c r="Y695">
        <f>IF($A2="","",SUMIF('07_Pallet_Contents'!$A$2:$A$3000,$A2,'07_Pallet_Contents'!$I$2:$I$3000))</f>
        <v>0</v>
      </c>
      <c r="Z695" t="str">
        <f>IF($A2="","",IF(COUNTIF('07_Pallet_Contents'!$A$2:$A$3000,$A2)&gt;0,"Yes",""))</f>
        <v/>
      </c>
    </row>
    <row r="696" spans="2:26">
      <c r="B696" s="31"/>
      <c r="G696" s="34"/>
      <c r="H696" s="33" t="str">
        <f t="shared" si="18"/>
        <v/>
      </c>
      <c r="I696" s="31"/>
      <c r="J696" s="31"/>
      <c r="K696" s="33"/>
      <c r="W696">
        <f>IF($A2="","",COUNTIF('07_Pallet_Contents'!$A$2:$A$3000,$A2))</f>
        <v>0</v>
      </c>
      <c r="X696">
        <f>IF($A2="","",SUMIF('07_Pallet_Contents'!$A$2:$A$3000,$A2,'07_Pallet_Contents'!$D$2:$D$3000))</f>
        <v>0</v>
      </c>
      <c r="Y696">
        <f>IF($A2="","",SUMIF('07_Pallet_Contents'!$A$2:$A$3000,$A2,'07_Pallet_Contents'!$I$2:$I$3000))</f>
        <v>0</v>
      </c>
      <c r="Z696" t="str">
        <f>IF($A2="","",IF(COUNTIF('07_Pallet_Contents'!$A$2:$A$3000,$A2)&gt;0,"Yes",""))</f>
        <v/>
      </c>
    </row>
    <row r="697" spans="2:26">
      <c r="B697" s="31"/>
      <c r="G697" s="34"/>
      <c r="H697" s="33" t="str">
        <f t="shared" si="18"/>
        <v/>
      </c>
      <c r="I697" s="31"/>
      <c r="J697" s="31"/>
      <c r="K697" s="33"/>
      <c r="W697">
        <f>IF($A2="","",COUNTIF('07_Pallet_Contents'!$A$2:$A$3000,$A2))</f>
        <v>0</v>
      </c>
      <c r="X697">
        <f>IF($A2="","",SUMIF('07_Pallet_Contents'!$A$2:$A$3000,$A2,'07_Pallet_Contents'!$D$2:$D$3000))</f>
        <v>0</v>
      </c>
      <c r="Y697">
        <f>IF($A2="","",SUMIF('07_Pallet_Contents'!$A$2:$A$3000,$A2,'07_Pallet_Contents'!$I$2:$I$3000))</f>
        <v>0</v>
      </c>
      <c r="Z697" t="str">
        <f>IF($A2="","",IF(COUNTIF('07_Pallet_Contents'!$A$2:$A$3000,$A2)&gt;0,"Yes",""))</f>
        <v/>
      </c>
    </row>
    <row r="698" spans="2:26">
      <c r="B698" s="31"/>
      <c r="G698" s="34"/>
      <c r="H698" s="33" t="str">
        <f t="shared" si="18"/>
        <v/>
      </c>
      <c r="I698" s="31"/>
      <c r="J698" s="31"/>
      <c r="K698" s="33"/>
      <c r="W698">
        <f>IF($A2="","",COUNTIF('07_Pallet_Contents'!$A$2:$A$3000,$A2))</f>
        <v>0</v>
      </c>
      <c r="X698">
        <f>IF($A2="","",SUMIF('07_Pallet_Contents'!$A$2:$A$3000,$A2,'07_Pallet_Contents'!$D$2:$D$3000))</f>
        <v>0</v>
      </c>
      <c r="Y698">
        <f>IF($A2="","",SUMIF('07_Pallet_Contents'!$A$2:$A$3000,$A2,'07_Pallet_Contents'!$I$2:$I$3000))</f>
        <v>0</v>
      </c>
      <c r="Z698" t="str">
        <f>IF($A2="","",IF(COUNTIF('07_Pallet_Contents'!$A$2:$A$3000,$A2)&gt;0,"Yes",""))</f>
        <v/>
      </c>
    </row>
    <row r="699" spans="2:26">
      <c r="B699" s="31"/>
      <c r="G699" s="34"/>
      <c r="H699" s="33" t="str">
        <f t="shared" si="18"/>
        <v/>
      </c>
      <c r="I699" s="31"/>
      <c r="J699" s="31"/>
      <c r="K699" s="33"/>
      <c r="W699">
        <f>IF($A2="","",COUNTIF('07_Pallet_Contents'!$A$2:$A$3000,$A2))</f>
        <v>0</v>
      </c>
      <c r="X699">
        <f>IF($A2="","",SUMIF('07_Pallet_Contents'!$A$2:$A$3000,$A2,'07_Pallet_Contents'!$D$2:$D$3000))</f>
        <v>0</v>
      </c>
      <c r="Y699">
        <f>IF($A2="","",SUMIF('07_Pallet_Contents'!$A$2:$A$3000,$A2,'07_Pallet_Contents'!$I$2:$I$3000))</f>
        <v>0</v>
      </c>
      <c r="Z699" t="str">
        <f>IF($A2="","",IF(COUNTIF('07_Pallet_Contents'!$A$2:$A$3000,$A2)&gt;0,"Yes",""))</f>
        <v/>
      </c>
    </row>
    <row r="700" spans="2:26">
      <c r="B700" s="31"/>
      <c r="G700" s="34"/>
      <c r="H700" s="33" t="str">
        <f t="shared" si="18"/>
        <v/>
      </c>
      <c r="I700" s="31"/>
      <c r="J700" s="31"/>
      <c r="K700" s="33"/>
      <c r="W700">
        <f>IF($A2="","",COUNTIF('07_Pallet_Contents'!$A$2:$A$3000,$A2))</f>
        <v>0</v>
      </c>
      <c r="X700">
        <f>IF($A2="","",SUMIF('07_Pallet_Contents'!$A$2:$A$3000,$A2,'07_Pallet_Contents'!$D$2:$D$3000))</f>
        <v>0</v>
      </c>
      <c r="Y700">
        <f>IF($A2="","",SUMIF('07_Pallet_Contents'!$A$2:$A$3000,$A2,'07_Pallet_Contents'!$I$2:$I$3000))</f>
        <v>0</v>
      </c>
      <c r="Z700" t="str">
        <f>IF($A2="","",IF(COUNTIF('07_Pallet_Contents'!$A$2:$A$3000,$A2)&gt;0,"Yes",""))</f>
        <v/>
      </c>
    </row>
    <row r="701" spans="2:26">
      <c r="B701" s="31"/>
      <c r="G701" s="34"/>
      <c r="H701" s="33" t="str">
        <f t="shared" si="18"/>
        <v/>
      </c>
      <c r="I701" s="31"/>
      <c r="J701" s="31"/>
      <c r="K701" s="33"/>
      <c r="W701">
        <f>IF($A2="","",COUNTIF('07_Pallet_Contents'!$A$2:$A$3000,$A2))</f>
        <v>0</v>
      </c>
      <c r="X701">
        <f>IF($A2="","",SUMIF('07_Pallet_Contents'!$A$2:$A$3000,$A2,'07_Pallet_Contents'!$D$2:$D$3000))</f>
        <v>0</v>
      </c>
      <c r="Y701">
        <f>IF($A2="","",SUMIF('07_Pallet_Contents'!$A$2:$A$3000,$A2,'07_Pallet_Contents'!$I$2:$I$3000))</f>
        <v>0</v>
      </c>
      <c r="Z701" t="str">
        <f>IF($A2="","",IF(COUNTIF('07_Pallet_Contents'!$A$2:$A$3000,$A2)&gt;0,"Yes",""))</f>
        <v/>
      </c>
    </row>
    <row r="702" spans="2:26">
      <c r="B702" s="31"/>
      <c r="G702" s="34"/>
      <c r="H702" s="33" t="str">
        <f t="shared" si="18"/>
        <v/>
      </c>
      <c r="I702" s="31"/>
      <c r="J702" s="31"/>
      <c r="K702" s="33"/>
      <c r="W702">
        <f>IF($A2="","",COUNTIF('07_Pallet_Contents'!$A$2:$A$3000,$A2))</f>
        <v>0</v>
      </c>
      <c r="X702">
        <f>IF($A2="","",SUMIF('07_Pallet_Contents'!$A$2:$A$3000,$A2,'07_Pallet_Contents'!$D$2:$D$3000))</f>
        <v>0</v>
      </c>
      <c r="Y702">
        <f>IF($A2="","",SUMIF('07_Pallet_Contents'!$A$2:$A$3000,$A2,'07_Pallet_Contents'!$I$2:$I$3000))</f>
        <v>0</v>
      </c>
      <c r="Z702" t="str">
        <f>IF($A2="","",IF(COUNTIF('07_Pallet_Contents'!$A$2:$A$3000,$A2)&gt;0,"Yes",""))</f>
        <v/>
      </c>
    </row>
    <row r="703" spans="2:26">
      <c r="B703" s="31"/>
      <c r="G703" s="34"/>
      <c r="H703" s="33" t="str">
        <f t="shared" si="18"/>
        <v/>
      </c>
      <c r="I703" s="31"/>
      <c r="J703" s="31"/>
      <c r="K703" s="33"/>
      <c r="W703">
        <f>IF($A2="","",COUNTIF('07_Pallet_Contents'!$A$2:$A$3000,$A2))</f>
        <v>0</v>
      </c>
      <c r="X703">
        <f>IF($A2="","",SUMIF('07_Pallet_Contents'!$A$2:$A$3000,$A2,'07_Pallet_Contents'!$D$2:$D$3000))</f>
        <v>0</v>
      </c>
      <c r="Y703">
        <f>IF($A2="","",SUMIF('07_Pallet_Contents'!$A$2:$A$3000,$A2,'07_Pallet_Contents'!$I$2:$I$3000))</f>
        <v>0</v>
      </c>
      <c r="Z703" t="str">
        <f>IF($A2="","",IF(COUNTIF('07_Pallet_Contents'!$A$2:$A$3000,$A2)&gt;0,"Yes",""))</f>
        <v/>
      </c>
    </row>
    <row r="704" spans="2:26">
      <c r="B704" s="31"/>
      <c r="G704" s="34"/>
      <c r="H704" s="33" t="str">
        <f t="shared" si="18"/>
        <v/>
      </c>
      <c r="I704" s="31"/>
      <c r="J704" s="31"/>
      <c r="K704" s="33"/>
      <c r="W704">
        <f>IF($A2="","",COUNTIF('07_Pallet_Contents'!$A$2:$A$3000,$A2))</f>
        <v>0</v>
      </c>
      <c r="X704">
        <f>IF($A2="","",SUMIF('07_Pallet_Contents'!$A$2:$A$3000,$A2,'07_Pallet_Contents'!$D$2:$D$3000))</f>
        <v>0</v>
      </c>
      <c r="Y704">
        <f>IF($A2="","",SUMIF('07_Pallet_Contents'!$A$2:$A$3000,$A2,'07_Pallet_Contents'!$I$2:$I$3000))</f>
        <v>0</v>
      </c>
      <c r="Z704" t="str">
        <f>IF($A2="","",IF(COUNTIF('07_Pallet_Contents'!$A$2:$A$3000,$A2)&gt;0,"Yes",""))</f>
        <v/>
      </c>
    </row>
    <row r="705" spans="2:26">
      <c r="B705" s="31"/>
      <c r="G705" s="34"/>
      <c r="H705" s="33" t="str">
        <f t="shared" si="18"/>
        <v/>
      </c>
      <c r="I705" s="31"/>
      <c r="J705" s="31"/>
      <c r="K705" s="33"/>
      <c r="W705">
        <f>IF($A2="","",COUNTIF('07_Pallet_Contents'!$A$2:$A$3000,$A2))</f>
        <v>0</v>
      </c>
      <c r="X705">
        <f>IF($A2="","",SUMIF('07_Pallet_Contents'!$A$2:$A$3000,$A2,'07_Pallet_Contents'!$D$2:$D$3000))</f>
        <v>0</v>
      </c>
      <c r="Y705">
        <f>IF($A2="","",SUMIF('07_Pallet_Contents'!$A$2:$A$3000,$A2,'07_Pallet_Contents'!$I$2:$I$3000))</f>
        <v>0</v>
      </c>
      <c r="Z705" t="str">
        <f>IF($A2="","",IF(COUNTIF('07_Pallet_Contents'!$A$2:$A$3000,$A2)&gt;0,"Yes",""))</f>
        <v/>
      </c>
    </row>
    <row r="706" spans="2:26">
      <c r="B706" s="31"/>
      <c r="G706" s="34"/>
      <c r="H706" s="33" t="str">
        <f t="shared" ref="H706:H769" si="19">IF(AND($F706="TEMP",$G706&gt;0,$M706&lt;&gt;""),$M706+$G706,"")</f>
        <v/>
      </c>
      <c r="I706" s="31"/>
      <c r="J706" s="31"/>
      <c r="K706" s="33"/>
      <c r="W706">
        <f>IF($A2="","",COUNTIF('07_Pallet_Contents'!$A$2:$A$3000,$A2))</f>
        <v>0</v>
      </c>
      <c r="X706">
        <f>IF($A2="","",SUMIF('07_Pallet_Contents'!$A$2:$A$3000,$A2,'07_Pallet_Contents'!$D$2:$D$3000))</f>
        <v>0</v>
      </c>
      <c r="Y706">
        <f>IF($A2="","",SUMIF('07_Pallet_Contents'!$A$2:$A$3000,$A2,'07_Pallet_Contents'!$I$2:$I$3000))</f>
        <v>0</v>
      </c>
      <c r="Z706" t="str">
        <f>IF($A2="","",IF(COUNTIF('07_Pallet_Contents'!$A$2:$A$3000,$A2)&gt;0,"Yes",""))</f>
        <v/>
      </c>
    </row>
    <row r="707" spans="2:26">
      <c r="B707" s="31"/>
      <c r="G707" s="34"/>
      <c r="H707" s="33" t="str">
        <f t="shared" si="19"/>
        <v/>
      </c>
      <c r="I707" s="31"/>
      <c r="J707" s="31"/>
      <c r="K707" s="33"/>
      <c r="W707">
        <f>IF($A2="","",COUNTIF('07_Pallet_Contents'!$A$2:$A$3000,$A2))</f>
        <v>0</v>
      </c>
      <c r="X707">
        <f>IF($A2="","",SUMIF('07_Pallet_Contents'!$A$2:$A$3000,$A2,'07_Pallet_Contents'!$D$2:$D$3000))</f>
        <v>0</v>
      </c>
      <c r="Y707">
        <f>IF($A2="","",SUMIF('07_Pallet_Contents'!$A$2:$A$3000,$A2,'07_Pallet_Contents'!$I$2:$I$3000))</f>
        <v>0</v>
      </c>
      <c r="Z707" t="str">
        <f>IF($A2="","",IF(COUNTIF('07_Pallet_Contents'!$A$2:$A$3000,$A2)&gt;0,"Yes",""))</f>
        <v/>
      </c>
    </row>
    <row r="708" spans="2:26">
      <c r="B708" s="31"/>
      <c r="G708" s="34"/>
      <c r="H708" s="33" t="str">
        <f t="shared" si="19"/>
        <v/>
      </c>
      <c r="I708" s="31"/>
      <c r="J708" s="31"/>
      <c r="K708" s="33"/>
      <c r="W708">
        <f>IF($A2="","",COUNTIF('07_Pallet_Contents'!$A$2:$A$3000,$A2))</f>
        <v>0</v>
      </c>
      <c r="X708">
        <f>IF($A2="","",SUMIF('07_Pallet_Contents'!$A$2:$A$3000,$A2,'07_Pallet_Contents'!$D$2:$D$3000))</f>
        <v>0</v>
      </c>
      <c r="Y708">
        <f>IF($A2="","",SUMIF('07_Pallet_Contents'!$A$2:$A$3000,$A2,'07_Pallet_Contents'!$I$2:$I$3000))</f>
        <v>0</v>
      </c>
      <c r="Z708" t="str">
        <f>IF($A2="","",IF(COUNTIF('07_Pallet_Contents'!$A$2:$A$3000,$A2)&gt;0,"Yes",""))</f>
        <v/>
      </c>
    </row>
    <row r="709" spans="2:26">
      <c r="B709" s="31"/>
      <c r="G709" s="34"/>
      <c r="H709" s="33" t="str">
        <f t="shared" si="19"/>
        <v/>
      </c>
      <c r="I709" s="31"/>
      <c r="J709" s="31"/>
      <c r="K709" s="33"/>
      <c r="W709">
        <f>IF($A2="","",COUNTIF('07_Pallet_Contents'!$A$2:$A$3000,$A2))</f>
        <v>0</v>
      </c>
      <c r="X709">
        <f>IF($A2="","",SUMIF('07_Pallet_Contents'!$A$2:$A$3000,$A2,'07_Pallet_Contents'!$D$2:$D$3000))</f>
        <v>0</v>
      </c>
      <c r="Y709">
        <f>IF($A2="","",SUMIF('07_Pallet_Contents'!$A$2:$A$3000,$A2,'07_Pallet_Contents'!$I$2:$I$3000))</f>
        <v>0</v>
      </c>
      <c r="Z709" t="str">
        <f>IF($A2="","",IF(COUNTIF('07_Pallet_Contents'!$A$2:$A$3000,$A2)&gt;0,"Yes",""))</f>
        <v/>
      </c>
    </row>
    <row r="710" spans="2:26">
      <c r="B710" s="31"/>
      <c r="G710" s="34"/>
      <c r="H710" s="33" t="str">
        <f t="shared" si="19"/>
        <v/>
      </c>
      <c r="I710" s="31"/>
      <c r="J710" s="31"/>
      <c r="K710" s="33"/>
      <c r="W710">
        <f>IF($A2="","",COUNTIF('07_Pallet_Contents'!$A$2:$A$3000,$A2))</f>
        <v>0</v>
      </c>
      <c r="X710">
        <f>IF($A2="","",SUMIF('07_Pallet_Contents'!$A$2:$A$3000,$A2,'07_Pallet_Contents'!$D$2:$D$3000))</f>
        <v>0</v>
      </c>
      <c r="Y710">
        <f>IF($A2="","",SUMIF('07_Pallet_Contents'!$A$2:$A$3000,$A2,'07_Pallet_Contents'!$I$2:$I$3000))</f>
        <v>0</v>
      </c>
      <c r="Z710" t="str">
        <f>IF($A2="","",IF(COUNTIF('07_Pallet_Contents'!$A$2:$A$3000,$A2)&gt;0,"Yes",""))</f>
        <v/>
      </c>
    </row>
    <row r="711" spans="2:26">
      <c r="B711" s="31"/>
      <c r="G711" s="34"/>
      <c r="H711" s="33" t="str">
        <f t="shared" si="19"/>
        <v/>
      </c>
      <c r="I711" s="31"/>
      <c r="J711" s="31"/>
      <c r="K711" s="33"/>
      <c r="W711">
        <f>IF($A2="","",COUNTIF('07_Pallet_Contents'!$A$2:$A$3000,$A2))</f>
        <v>0</v>
      </c>
      <c r="X711">
        <f>IF($A2="","",SUMIF('07_Pallet_Contents'!$A$2:$A$3000,$A2,'07_Pallet_Contents'!$D$2:$D$3000))</f>
        <v>0</v>
      </c>
      <c r="Y711">
        <f>IF($A2="","",SUMIF('07_Pallet_Contents'!$A$2:$A$3000,$A2,'07_Pallet_Contents'!$I$2:$I$3000))</f>
        <v>0</v>
      </c>
      <c r="Z711" t="str">
        <f>IF($A2="","",IF(COUNTIF('07_Pallet_Contents'!$A$2:$A$3000,$A2)&gt;0,"Yes",""))</f>
        <v/>
      </c>
    </row>
    <row r="712" spans="2:26">
      <c r="B712" s="31"/>
      <c r="G712" s="34"/>
      <c r="H712" s="33" t="str">
        <f t="shared" si="19"/>
        <v/>
      </c>
      <c r="I712" s="31"/>
      <c r="J712" s="31"/>
      <c r="K712" s="33"/>
      <c r="W712">
        <f>IF($A2="","",COUNTIF('07_Pallet_Contents'!$A$2:$A$3000,$A2))</f>
        <v>0</v>
      </c>
      <c r="X712">
        <f>IF($A2="","",SUMIF('07_Pallet_Contents'!$A$2:$A$3000,$A2,'07_Pallet_Contents'!$D$2:$D$3000))</f>
        <v>0</v>
      </c>
      <c r="Y712">
        <f>IF($A2="","",SUMIF('07_Pallet_Contents'!$A$2:$A$3000,$A2,'07_Pallet_Contents'!$I$2:$I$3000))</f>
        <v>0</v>
      </c>
      <c r="Z712" t="str">
        <f>IF($A2="","",IF(COUNTIF('07_Pallet_Contents'!$A$2:$A$3000,$A2)&gt;0,"Yes",""))</f>
        <v/>
      </c>
    </row>
    <row r="713" spans="2:26">
      <c r="B713" s="31"/>
      <c r="G713" s="34"/>
      <c r="H713" s="33" t="str">
        <f t="shared" si="19"/>
        <v/>
      </c>
      <c r="I713" s="31"/>
      <c r="J713" s="31"/>
      <c r="K713" s="33"/>
      <c r="W713">
        <f>IF($A2="","",COUNTIF('07_Pallet_Contents'!$A$2:$A$3000,$A2))</f>
        <v>0</v>
      </c>
      <c r="X713">
        <f>IF($A2="","",SUMIF('07_Pallet_Contents'!$A$2:$A$3000,$A2,'07_Pallet_Contents'!$D$2:$D$3000))</f>
        <v>0</v>
      </c>
      <c r="Y713">
        <f>IF($A2="","",SUMIF('07_Pallet_Contents'!$A$2:$A$3000,$A2,'07_Pallet_Contents'!$I$2:$I$3000))</f>
        <v>0</v>
      </c>
      <c r="Z713" t="str">
        <f>IF($A2="","",IF(COUNTIF('07_Pallet_Contents'!$A$2:$A$3000,$A2)&gt;0,"Yes",""))</f>
        <v/>
      </c>
    </row>
    <row r="714" spans="2:26">
      <c r="B714" s="31"/>
      <c r="G714" s="34"/>
      <c r="H714" s="33" t="str">
        <f t="shared" si="19"/>
        <v/>
      </c>
      <c r="I714" s="31"/>
      <c r="J714" s="31"/>
      <c r="K714" s="33"/>
      <c r="W714">
        <f>IF($A2="","",COUNTIF('07_Pallet_Contents'!$A$2:$A$3000,$A2))</f>
        <v>0</v>
      </c>
      <c r="X714">
        <f>IF($A2="","",SUMIF('07_Pallet_Contents'!$A$2:$A$3000,$A2,'07_Pallet_Contents'!$D$2:$D$3000))</f>
        <v>0</v>
      </c>
      <c r="Y714">
        <f>IF($A2="","",SUMIF('07_Pallet_Contents'!$A$2:$A$3000,$A2,'07_Pallet_Contents'!$I$2:$I$3000))</f>
        <v>0</v>
      </c>
      <c r="Z714" t="str">
        <f>IF($A2="","",IF(COUNTIF('07_Pallet_Contents'!$A$2:$A$3000,$A2)&gt;0,"Yes",""))</f>
        <v/>
      </c>
    </row>
    <row r="715" spans="2:26">
      <c r="B715" s="31"/>
      <c r="G715" s="34"/>
      <c r="H715" s="33" t="str">
        <f t="shared" si="19"/>
        <v/>
      </c>
      <c r="I715" s="31"/>
      <c r="J715" s="31"/>
      <c r="K715" s="33"/>
      <c r="W715">
        <f>IF($A2="","",COUNTIF('07_Pallet_Contents'!$A$2:$A$3000,$A2))</f>
        <v>0</v>
      </c>
      <c r="X715">
        <f>IF($A2="","",SUMIF('07_Pallet_Contents'!$A$2:$A$3000,$A2,'07_Pallet_Contents'!$D$2:$D$3000))</f>
        <v>0</v>
      </c>
      <c r="Y715">
        <f>IF($A2="","",SUMIF('07_Pallet_Contents'!$A$2:$A$3000,$A2,'07_Pallet_Contents'!$I$2:$I$3000))</f>
        <v>0</v>
      </c>
      <c r="Z715" t="str">
        <f>IF($A2="","",IF(COUNTIF('07_Pallet_Contents'!$A$2:$A$3000,$A2)&gt;0,"Yes",""))</f>
        <v/>
      </c>
    </row>
    <row r="716" spans="2:26">
      <c r="B716" s="31"/>
      <c r="G716" s="34"/>
      <c r="H716" s="33" t="str">
        <f t="shared" si="19"/>
        <v/>
      </c>
      <c r="I716" s="31"/>
      <c r="J716" s="31"/>
      <c r="K716" s="33"/>
      <c r="W716">
        <f>IF($A2="","",COUNTIF('07_Pallet_Contents'!$A$2:$A$3000,$A2))</f>
        <v>0</v>
      </c>
      <c r="X716">
        <f>IF($A2="","",SUMIF('07_Pallet_Contents'!$A$2:$A$3000,$A2,'07_Pallet_Contents'!$D$2:$D$3000))</f>
        <v>0</v>
      </c>
      <c r="Y716">
        <f>IF($A2="","",SUMIF('07_Pallet_Contents'!$A$2:$A$3000,$A2,'07_Pallet_Contents'!$I$2:$I$3000))</f>
        <v>0</v>
      </c>
      <c r="Z716" t="str">
        <f>IF($A2="","",IF(COUNTIF('07_Pallet_Contents'!$A$2:$A$3000,$A2)&gt;0,"Yes",""))</f>
        <v/>
      </c>
    </row>
    <row r="717" spans="2:26">
      <c r="B717" s="31"/>
      <c r="G717" s="34"/>
      <c r="H717" s="33" t="str">
        <f t="shared" si="19"/>
        <v/>
      </c>
      <c r="I717" s="31"/>
      <c r="J717" s="31"/>
      <c r="K717" s="33"/>
      <c r="W717">
        <f>IF($A2="","",COUNTIF('07_Pallet_Contents'!$A$2:$A$3000,$A2))</f>
        <v>0</v>
      </c>
      <c r="X717">
        <f>IF($A2="","",SUMIF('07_Pallet_Contents'!$A$2:$A$3000,$A2,'07_Pallet_Contents'!$D$2:$D$3000))</f>
        <v>0</v>
      </c>
      <c r="Y717">
        <f>IF($A2="","",SUMIF('07_Pallet_Contents'!$A$2:$A$3000,$A2,'07_Pallet_Contents'!$I$2:$I$3000))</f>
        <v>0</v>
      </c>
      <c r="Z717" t="str">
        <f>IF($A2="","",IF(COUNTIF('07_Pallet_Contents'!$A$2:$A$3000,$A2)&gt;0,"Yes",""))</f>
        <v/>
      </c>
    </row>
    <row r="718" spans="2:26">
      <c r="B718" s="31"/>
      <c r="G718" s="34"/>
      <c r="H718" s="33" t="str">
        <f t="shared" si="19"/>
        <v/>
      </c>
      <c r="I718" s="31"/>
      <c r="J718" s="31"/>
      <c r="K718" s="33"/>
      <c r="W718">
        <f>IF($A2="","",COUNTIF('07_Pallet_Contents'!$A$2:$A$3000,$A2))</f>
        <v>0</v>
      </c>
      <c r="X718">
        <f>IF($A2="","",SUMIF('07_Pallet_Contents'!$A$2:$A$3000,$A2,'07_Pallet_Contents'!$D$2:$D$3000))</f>
        <v>0</v>
      </c>
      <c r="Y718">
        <f>IF($A2="","",SUMIF('07_Pallet_Contents'!$A$2:$A$3000,$A2,'07_Pallet_Contents'!$I$2:$I$3000))</f>
        <v>0</v>
      </c>
      <c r="Z718" t="str">
        <f>IF($A2="","",IF(COUNTIF('07_Pallet_Contents'!$A$2:$A$3000,$A2)&gt;0,"Yes",""))</f>
        <v/>
      </c>
    </row>
    <row r="719" spans="2:26">
      <c r="B719" s="31"/>
      <c r="G719" s="34"/>
      <c r="H719" s="33" t="str">
        <f t="shared" si="19"/>
        <v/>
      </c>
      <c r="I719" s="31"/>
      <c r="J719" s="31"/>
      <c r="K719" s="33"/>
      <c r="W719">
        <f>IF($A2="","",COUNTIF('07_Pallet_Contents'!$A$2:$A$3000,$A2))</f>
        <v>0</v>
      </c>
      <c r="X719">
        <f>IF($A2="","",SUMIF('07_Pallet_Contents'!$A$2:$A$3000,$A2,'07_Pallet_Contents'!$D$2:$D$3000))</f>
        <v>0</v>
      </c>
      <c r="Y719">
        <f>IF($A2="","",SUMIF('07_Pallet_Contents'!$A$2:$A$3000,$A2,'07_Pallet_Contents'!$I$2:$I$3000))</f>
        <v>0</v>
      </c>
      <c r="Z719" t="str">
        <f>IF($A2="","",IF(COUNTIF('07_Pallet_Contents'!$A$2:$A$3000,$A2)&gt;0,"Yes",""))</f>
        <v/>
      </c>
    </row>
    <row r="720" spans="2:26">
      <c r="B720" s="31"/>
      <c r="G720" s="34"/>
      <c r="H720" s="33" t="str">
        <f t="shared" si="19"/>
        <v/>
      </c>
      <c r="I720" s="31"/>
      <c r="J720" s="31"/>
      <c r="K720" s="33"/>
      <c r="W720">
        <f>IF($A2="","",COUNTIF('07_Pallet_Contents'!$A$2:$A$3000,$A2))</f>
        <v>0</v>
      </c>
      <c r="X720">
        <f>IF($A2="","",SUMIF('07_Pallet_Contents'!$A$2:$A$3000,$A2,'07_Pallet_Contents'!$D$2:$D$3000))</f>
        <v>0</v>
      </c>
      <c r="Y720">
        <f>IF($A2="","",SUMIF('07_Pallet_Contents'!$A$2:$A$3000,$A2,'07_Pallet_Contents'!$I$2:$I$3000))</f>
        <v>0</v>
      </c>
      <c r="Z720" t="str">
        <f>IF($A2="","",IF(COUNTIF('07_Pallet_Contents'!$A$2:$A$3000,$A2)&gt;0,"Yes",""))</f>
        <v/>
      </c>
    </row>
    <row r="721" spans="2:26">
      <c r="B721" s="31"/>
      <c r="G721" s="34"/>
      <c r="H721" s="33" t="str">
        <f t="shared" si="19"/>
        <v/>
      </c>
      <c r="I721" s="31"/>
      <c r="J721" s="31"/>
      <c r="K721" s="33"/>
      <c r="W721">
        <f>IF($A2="","",COUNTIF('07_Pallet_Contents'!$A$2:$A$3000,$A2))</f>
        <v>0</v>
      </c>
      <c r="X721">
        <f>IF($A2="","",SUMIF('07_Pallet_Contents'!$A$2:$A$3000,$A2,'07_Pallet_Contents'!$D$2:$D$3000))</f>
        <v>0</v>
      </c>
      <c r="Y721">
        <f>IF($A2="","",SUMIF('07_Pallet_Contents'!$A$2:$A$3000,$A2,'07_Pallet_Contents'!$I$2:$I$3000))</f>
        <v>0</v>
      </c>
      <c r="Z721" t="str">
        <f>IF($A2="","",IF(COUNTIF('07_Pallet_Contents'!$A$2:$A$3000,$A2)&gt;0,"Yes",""))</f>
        <v/>
      </c>
    </row>
    <row r="722" spans="2:26">
      <c r="B722" s="31"/>
      <c r="G722" s="34"/>
      <c r="H722" s="33" t="str">
        <f t="shared" si="19"/>
        <v/>
      </c>
      <c r="I722" s="31"/>
      <c r="J722" s="31"/>
      <c r="K722" s="33"/>
      <c r="W722">
        <f>IF($A2="","",COUNTIF('07_Pallet_Contents'!$A$2:$A$3000,$A2))</f>
        <v>0</v>
      </c>
      <c r="X722">
        <f>IF($A2="","",SUMIF('07_Pallet_Contents'!$A$2:$A$3000,$A2,'07_Pallet_Contents'!$D$2:$D$3000))</f>
        <v>0</v>
      </c>
      <c r="Y722">
        <f>IF($A2="","",SUMIF('07_Pallet_Contents'!$A$2:$A$3000,$A2,'07_Pallet_Contents'!$I$2:$I$3000))</f>
        <v>0</v>
      </c>
      <c r="Z722" t="str">
        <f>IF($A2="","",IF(COUNTIF('07_Pallet_Contents'!$A$2:$A$3000,$A2)&gt;0,"Yes",""))</f>
        <v/>
      </c>
    </row>
    <row r="723" spans="2:26">
      <c r="B723" s="31"/>
      <c r="G723" s="34"/>
      <c r="H723" s="33" t="str">
        <f t="shared" si="19"/>
        <v/>
      </c>
      <c r="I723" s="31"/>
      <c r="J723" s="31"/>
      <c r="K723" s="33"/>
      <c r="W723">
        <f>IF($A2="","",COUNTIF('07_Pallet_Contents'!$A$2:$A$3000,$A2))</f>
        <v>0</v>
      </c>
      <c r="X723">
        <f>IF($A2="","",SUMIF('07_Pallet_Contents'!$A$2:$A$3000,$A2,'07_Pallet_Contents'!$D$2:$D$3000))</f>
        <v>0</v>
      </c>
      <c r="Y723">
        <f>IF($A2="","",SUMIF('07_Pallet_Contents'!$A$2:$A$3000,$A2,'07_Pallet_Contents'!$I$2:$I$3000))</f>
        <v>0</v>
      </c>
      <c r="Z723" t="str">
        <f>IF($A2="","",IF(COUNTIF('07_Pallet_Contents'!$A$2:$A$3000,$A2)&gt;0,"Yes",""))</f>
        <v/>
      </c>
    </row>
    <row r="724" spans="2:26">
      <c r="B724" s="31"/>
      <c r="G724" s="34"/>
      <c r="H724" s="33" t="str">
        <f t="shared" si="19"/>
        <v/>
      </c>
      <c r="I724" s="31"/>
      <c r="J724" s="31"/>
      <c r="K724" s="33"/>
      <c r="W724">
        <f>IF($A2="","",COUNTIF('07_Pallet_Contents'!$A$2:$A$3000,$A2))</f>
        <v>0</v>
      </c>
      <c r="X724">
        <f>IF($A2="","",SUMIF('07_Pallet_Contents'!$A$2:$A$3000,$A2,'07_Pallet_Contents'!$D$2:$D$3000))</f>
        <v>0</v>
      </c>
      <c r="Y724">
        <f>IF($A2="","",SUMIF('07_Pallet_Contents'!$A$2:$A$3000,$A2,'07_Pallet_Contents'!$I$2:$I$3000))</f>
        <v>0</v>
      </c>
      <c r="Z724" t="str">
        <f>IF($A2="","",IF(COUNTIF('07_Pallet_Contents'!$A$2:$A$3000,$A2)&gt;0,"Yes",""))</f>
        <v/>
      </c>
    </row>
    <row r="725" spans="2:26">
      <c r="B725" s="31"/>
      <c r="G725" s="34"/>
      <c r="H725" s="33" t="str">
        <f t="shared" si="19"/>
        <v/>
      </c>
      <c r="I725" s="31"/>
      <c r="J725" s="31"/>
      <c r="K725" s="33"/>
      <c r="W725">
        <f>IF($A2="","",COUNTIF('07_Pallet_Contents'!$A$2:$A$3000,$A2))</f>
        <v>0</v>
      </c>
      <c r="X725">
        <f>IF($A2="","",SUMIF('07_Pallet_Contents'!$A$2:$A$3000,$A2,'07_Pallet_Contents'!$D$2:$D$3000))</f>
        <v>0</v>
      </c>
      <c r="Y725">
        <f>IF($A2="","",SUMIF('07_Pallet_Contents'!$A$2:$A$3000,$A2,'07_Pallet_Contents'!$I$2:$I$3000))</f>
        <v>0</v>
      </c>
      <c r="Z725" t="str">
        <f>IF($A2="","",IF(COUNTIF('07_Pallet_Contents'!$A$2:$A$3000,$A2)&gt;0,"Yes",""))</f>
        <v/>
      </c>
    </row>
    <row r="726" spans="2:26">
      <c r="B726" s="31"/>
      <c r="G726" s="34"/>
      <c r="H726" s="33" t="str">
        <f t="shared" si="19"/>
        <v/>
      </c>
      <c r="I726" s="31"/>
      <c r="J726" s="31"/>
      <c r="K726" s="33"/>
      <c r="W726">
        <f>IF($A2="","",COUNTIF('07_Pallet_Contents'!$A$2:$A$3000,$A2))</f>
        <v>0</v>
      </c>
      <c r="X726">
        <f>IF($A2="","",SUMIF('07_Pallet_Contents'!$A$2:$A$3000,$A2,'07_Pallet_Contents'!$D$2:$D$3000))</f>
        <v>0</v>
      </c>
      <c r="Y726">
        <f>IF($A2="","",SUMIF('07_Pallet_Contents'!$A$2:$A$3000,$A2,'07_Pallet_Contents'!$I$2:$I$3000))</f>
        <v>0</v>
      </c>
      <c r="Z726" t="str">
        <f>IF($A2="","",IF(COUNTIF('07_Pallet_Contents'!$A$2:$A$3000,$A2)&gt;0,"Yes",""))</f>
        <v/>
      </c>
    </row>
    <row r="727" spans="2:26">
      <c r="B727" s="31"/>
      <c r="G727" s="34"/>
      <c r="H727" s="33" t="str">
        <f t="shared" si="19"/>
        <v/>
      </c>
      <c r="I727" s="31"/>
      <c r="J727" s="31"/>
      <c r="K727" s="33"/>
      <c r="W727">
        <f>IF($A2="","",COUNTIF('07_Pallet_Contents'!$A$2:$A$3000,$A2))</f>
        <v>0</v>
      </c>
      <c r="X727">
        <f>IF($A2="","",SUMIF('07_Pallet_Contents'!$A$2:$A$3000,$A2,'07_Pallet_Contents'!$D$2:$D$3000))</f>
        <v>0</v>
      </c>
      <c r="Y727">
        <f>IF($A2="","",SUMIF('07_Pallet_Contents'!$A$2:$A$3000,$A2,'07_Pallet_Contents'!$I$2:$I$3000))</f>
        <v>0</v>
      </c>
      <c r="Z727" t="str">
        <f>IF($A2="","",IF(COUNTIF('07_Pallet_Contents'!$A$2:$A$3000,$A2)&gt;0,"Yes",""))</f>
        <v/>
      </c>
    </row>
    <row r="728" spans="2:26">
      <c r="B728" s="31"/>
      <c r="G728" s="34"/>
      <c r="H728" s="33" t="str">
        <f t="shared" si="19"/>
        <v/>
      </c>
      <c r="I728" s="31"/>
      <c r="J728" s="31"/>
      <c r="K728" s="33"/>
      <c r="W728">
        <f>IF($A2="","",COUNTIF('07_Pallet_Contents'!$A$2:$A$3000,$A2))</f>
        <v>0</v>
      </c>
      <c r="X728">
        <f>IF($A2="","",SUMIF('07_Pallet_Contents'!$A$2:$A$3000,$A2,'07_Pallet_Contents'!$D$2:$D$3000))</f>
        <v>0</v>
      </c>
      <c r="Y728">
        <f>IF($A2="","",SUMIF('07_Pallet_Contents'!$A$2:$A$3000,$A2,'07_Pallet_Contents'!$I$2:$I$3000))</f>
        <v>0</v>
      </c>
      <c r="Z728" t="str">
        <f>IF($A2="","",IF(COUNTIF('07_Pallet_Contents'!$A$2:$A$3000,$A2)&gt;0,"Yes",""))</f>
        <v/>
      </c>
    </row>
    <row r="729" spans="2:26">
      <c r="B729" s="31"/>
      <c r="G729" s="34"/>
      <c r="H729" s="33" t="str">
        <f t="shared" si="19"/>
        <v/>
      </c>
      <c r="I729" s="31"/>
      <c r="J729" s="31"/>
      <c r="K729" s="33"/>
      <c r="W729">
        <f>IF($A2="","",COUNTIF('07_Pallet_Contents'!$A$2:$A$3000,$A2))</f>
        <v>0</v>
      </c>
      <c r="X729">
        <f>IF($A2="","",SUMIF('07_Pallet_Contents'!$A$2:$A$3000,$A2,'07_Pallet_Contents'!$D$2:$D$3000))</f>
        <v>0</v>
      </c>
      <c r="Y729">
        <f>IF($A2="","",SUMIF('07_Pallet_Contents'!$A$2:$A$3000,$A2,'07_Pallet_Contents'!$I$2:$I$3000))</f>
        <v>0</v>
      </c>
      <c r="Z729" t="str">
        <f>IF($A2="","",IF(COUNTIF('07_Pallet_Contents'!$A$2:$A$3000,$A2)&gt;0,"Yes",""))</f>
        <v/>
      </c>
    </row>
    <row r="730" spans="2:26">
      <c r="B730" s="31"/>
      <c r="G730" s="34"/>
      <c r="H730" s="33" t="str">
        <f t="shared" si="19"/>
        <v/>
      </c>
      <c r="I730" s="31"/>
      <c r="J730" s="31"/>
      <c r="K730" s="33"/>
      <c r="W730">
        <f>IF($A2="","",COUNTIF('07_Pallet_Contents'!$A$2:$A$3000,$A2))</f>
        <v>0</v>
      </c>
      <c r="X730">
        <f>IF($A2="","",SUMIF('07_Pallet_Contents'!$A$2:$A$3000,$A2,'07_Pallet_Contents'!$D$2:$D$3000))</f>
        <v>0</v>
      </c>
      <c r="Y730">
        <f>IF($A2="","",SUMIF('07_Pallet_Contents'!$A$2:$A$3000,$A2,'07_Pallet_Contents'!$I$2:$I$3000))</f>
        <v>0</v>
      </c>
      <c r="Z730" t="str">
        <f>IF($A2="","",IF(COUNTIF('07_Pallet_Contents'!$A$2:$A$3000,$A2)&gt;0,"Yes",""))</f>
        <v/>
      </c>
    </row>
    <row r="731" spans="2:26">
      <c r="B731" s="31"/>
      <c r="G731" s="34"/>
      <c r="H731" s="33" t="str">
        <f t="shared" si="19"/>
        <v/>
      </c>
      <c r="I731" s="31"/>
      <c r="J731" s="31"/>
      <c r="K731" s="33"/>
      <c r="W731">
        <f>IF($A2="","",COUNTIF('07_Pallet_Contents'!$A$2:$A$3000,$A2))</f>
        <v>0</v>
      </c>
      <c r="X731">
        <f>IF($A2="","",SUMIF('07_Pallet_Contents'!$A$2:$A$3000,$A2,'07_Pallet_Contents'!$D$2:$D$3000))</f>
        <v>0</v>
      </c>
      <c r="Y731">
        <f>IF($A2="","",SUMIF('07_Pallet_Contents'!$A$2:$A$3000,$A2,'07_Pallet_Contents'!$I$2:$I$3000))</f>
        <v>0</v>
      </c>
      <c r="Z731" t="str">
        <f>IF($A2="","",IF(COUNTIF('07_Pallet_Contents'!$A$2:$A$3000,$A2)&gt;0,"Yes",""))</f>
        <v/>
      </c>
    </row>
    <row r="732" spans="2:26">
      <c r="B732" s="31"/>
      <c r="G732" s="34"/>
      <c r="H732" s="33" t="str">
        <f t="shared" si="19"/>
        <v/>
      </c>
      <c r="I732" s="31"/>
      <c r="J732" s="31"/>
      <c r="K732" s="33"/>
      <c r="W732">
        <f>IF($A2="","",COUNTIF('07_Pallet_Contents'!$A$2:$A$3000,$A2))</f>
        <v>0</v>
      </c>
      <c r="X732">
        <f>IF($A2="","",SUMIF('07_Pallet_Contents'!$A$2:$A$3000,$A2,'07_Pallet_Contents'!$D$2:$D$3000))</f>
        <v>0</v>
      </c>
      <c r="Y732">
        <f>IF($A2="","",SUMIF('07_Pallet_Contents'!$A$2:$A$3000,$A2,'07_Pallet_Contents'!$I$2:$I$3000))</f>
        <v>0</v>
      </c>
      <c r="Z732" t="str">
        <f>IF($A2="","",IF(COUNTIF('07_Pallet_Contents'!$A$2:$A$3000,$A2)&gt;0,"Yes",""))</f>
        <v/>
      </c>
    </row>
    <row r="733" spans="2:26">
      <c r="B733" s="31"/>
      <c r="G733" s="34"/>
      <c r="H733" s="33" t="str">
        <f t="shared" si="19"/>
        <v/>
      </c>
      <c r="I733" s="31"/>
      <c r="J733" s="31"/>
      <c r="K733" s="33"/>
      <c r="W733">
        <f>IF($A2="","",COUNTIF('07_Pallet_Contents'!$A$2:$A$3000,$A2))</f>
        <v>0</v>
      </c>
      <c r="X733">
        <f>IF($A2="","",SUMIF('07_Pallet_Contents'!$A$2:$A$3000,$A2,'07_Pallet_Contents'!$D$2:$D$3000))</f>
        <v>0</v>
      </c>
      <c r="Y733">
        <f>IF($A2="","",SUMIF('07_Pallet_Contents'!$A$2:$A$3000,$A2,'07_Pallet_Contents'!$I$2:$I$3000))</f>
        <v>0</v>
      </c>
      <c r="Z733" t="str">
        <f>IF($A2="","",IF(COUNTIF('07_Pallet_Contents'!$A$2:$A$3000,$A2)&gt;0,"Yes",""))</f>
        <v/>
      </c>
    </row>
    <row r="734" spans="2:26">
      <c r="B734" s="31"/>
      <c r="G734" s="34"/>
      <c r="H734" s="33" t="str">
        <f t="shared" si="19"/>
        <v/>
      </c>
      <c r="I734" s="31"/>
      <c r="J734" s="31"/>
      <c r="K734" s="33"/>
      <c r="W734">
        <f>IF($A2="","",COUNTIF('07_Pallet_Contents'!$A$2:$A$3000,$A2))</f>
        <v>0</v>
      </c>
      <c r="X734">
        <f>IF($A2="","",SUMIF('07_Pallet_Contents'!$A$2:$A$3000,$A2,'07_Pallet_Contents'!$D$2:$D$3000))</f>
        <v>0</v>
      </c>
      <c r="Y734">
        <f>IF($A2="","",SUMIF('07_Pallet_Contents'!$A$2:$A$3000,$A2,'07_Pallet_Contents'!$I$2:$I$3000))</f>
        <v>0</v>
      </c>
      <c r="Z734" t="str">
        <f>IF($A2="","",IF(COUNTIF('07_Pallet_Contents'!$A$2:$A$3000,$A2)&gt;0,"Yes",""))</f>
        <v/>
      </c>
    </row>
    <row r="735" spans="2:26">
      <c r="B735" s="31"/>
      <c r="G735" s="34"/>
      <c r="H735" s="33" t="str">
        <f t="shared" si="19"/>
        <v/>
      </c>
      <c r="I735" s="31"/>
      <c r="J735" s="31"/>
      <c r="K735" s="33"/>
      <c r="W735">
        <f>IF($A2="","",COUNTIF('07_Pallet_Contents'!$A$2:$A$3000,$A2))</f>
        <v>0</v>
      </c>
      <c r="X735">
        <f>IF($A2="","",SUMIF('07_Pallet_Contents'!$A$2:$A$3000,$A2,'07_Pallet_Contents'!$D$2:$D$3000))</f>
        <v>0</v>
      </c>
      <c r="Y735">
        <f>IF($A2="","",SUMIF('07_Pallet_Contents'!$A$2:$A$3000,$A2,'07_Pallet_Contents'!$I$2:$I$3000))</f>
        <v>0</v>
      </c>
      <c r="Z735" t="str">
        <f>IF($A2="","",IF(COUNTIF('07_Pallet_Contents'!$A$2:$A$3000,$A2)&gt;0,"Yes",""))</f>
        <v/>
      </c>
    </row>
    <row r="736" spans="2:26">
      <c r="B736" s="31"/>
      <c r="G736" s="34"/>
      <c r="H736" s="33" t="str">
        <f t="shared" si="19"/>
        <v/>
      </c>
      <c r="I736" s="31"/>
      <c r="J736" s="31"/>
      <c r="K736" s="33"/>
      <c r="W736">
        <f>IF($A2="","",COUNTIF('07_Pallet_Contents'!$A$2:$A$3000,$A2))</f>
        <v>0</v>
      </c>
      <c r="X736">
        <f>IF($A2="","",SUMIF('07_Pallet_Contents'!$A$2:$A$3000,$A2,'07_Pallet_Contents'!$D$2:$D$3000))</f>
        <v>0</v>
      </c>
      <c r="Y736">
        <f>IF($A2="","",SUMIF('07_Pallet_Contents'!$A$2:$A$3000,$A2,'07_Pallet_Contents'!$I$2:$I$3000))</f>
        <v>0</v>
      </c>
      <c r="Z736" t="str">
        <f>IF($A2="","",IF(COUNTIF('07_Pallet_Contents'!$A$2:$A$3000,$A2)&gt;0,"Yes",""))</f>
        <v/>
      </c>
    </row>
    <row r="737" spans="2:26">
      <c r="B737" s="31"/>
      <c r="G737" s="34"/>
      <c r="H737" s="33" t="str">
        <f t="shared" si="19"/>
        <v/>
      </c>
      <c r="I737" s="31"/>
      <c r="J737" s="31"/>
      <c r="K737" s="33"/>
      <c r="W737">
        <f>IF($A2="","",COUNTIF('07_Pallet_Contents'!$A$2:$A$3000,$A2))</f>
        <v>0</v>
      </c>
      <c r="X737">
        <f>IF($A2="","",SUMIF('07_Pallet_Contents'!$A$2:$A$3000,$A2,'07_Pallet_Contents'!$D$2:$D$3000))</f>
        <v>0</v>
      </c>
      <c r="Y737">
        <f>IF($A2="","",SUMIF('07_Pallet_Contents'!$A$2:$A$3000,$A2,'07_Pallet_Contents'!$I$2:$I$3000))</f>
        <v>0</v>
      </c>
      <c r="Z737" t="str">
        <f>IF($A2="","",IF(COUNTIF('07_Pallet_Contents'!$A$2:$A$3000,$A2)&gt;0,"Yes",""))</f>
        <v/>
      </c>
    </row>
    <row r="738" spans="2:26">
      <c r="B738" s="31"/>
      <c r="G738" s="34"/>
      <c r="H738" s="33" t="str">
        <f t="shared" si="19"/>
        <v/>
      </c>
      <c r="I738" s="31"/>
      <c r="J738" s="31"/>
      <c r="K738" s="33"/>
      <c r="W738">
        <f>IF($A2="","",COUNTIF('07_Pallet_Contents'!$A$2:$A$3000,$A2))</f>
        <v>0</v>
      </c>
      <c r="X738">
        <f>IF($A2="","",SUMIF('07_Pallet_Contents'!$A$2:$A$3000,$A2,'07_Pallet_Contents'!$D$2:$D$3000))</f>
        <v>0</v>
      </c>
      <c r="Y738">
        <f>IF($A2="","",SUMIF('07_Pallet_Contents'!$A$2:$A$3000,$A2,'07_Pallet_Contents'!$I$2:$I$3000))</f>
        <v>0</v>
      </c>
      <c r="Z738" t="str">
        <f>IF($A2="","",IF(COUNTIF('07_Pallet_Contents'!$A$2:$A$3000,$A2)&gt;0,"Yes",""))</f>
        <v/>
      </c>
    </row>
    <row r="739" spans="2:26">
      <c r="B739" s="31"/>
      <c r="G739" s="34"/>
      <c r="H739" s="33" t="str">
        <f t="shared" si="19"/>
        <v/>
      </c>
      <c r="I739" s="31"/>
      <c r="J739" s="31"/>
      <c r="K739" s="33"/>
      <c r="W739">
        <f>IF($A2="","",COUNTIF('07_Pallet_Contents'!$A$2:$A$3000,$A2))</f>
        <v>0</v>
      </c>
      <c r="X739">
        <f>IF($A2="","",SUMIF('07_Pallet_Contents'!$A$2:$A$3000,$A2,'07_Pallet_Contents'!$D$2:$D$3000))</f>
        <v>0</v>
      </c>
      <c r="Y739">
        <f>IF($A2="","",SUMIF('07_Pallet_Contents'!$A$2:$A$3000,$A2,'07_Pallet_Contents'!$I$2:$I$3000))</f>
        <v>0</v>
      </c>
      <c r="Z739" t="str">
        <f>IF($A2="","",IF(COUNTIF('07_Pallet_Contents'!$A$2:$A$3000,$A2)&gt;0,"Yes",""))</f>
        <v/>
      </c>
    </row>
    <row r="740" spans="2:26">
      <c r="B740" s="31"/>
      <c r="G740" s="34"/>
      <c r="H740" s="33" t="str">
        <f t="shared" si="19"/>
        <v/>
      </c>
      <c r="I740" s="31"/>
      <c r="J740" s="31"/>
      <c r="K740" s="33"/>
      <c r="W740">
        <f>IF($A2="","",COUNTIF('07_Pallet_Contents'!$A$2:$A$3000,$A2))</f>
        <v>0</v>
      </c>
      <c r="X740">
        <f>IF($A2="","",SUMIF('07_Pallet_Contents'!$A$2:$A$3000,$A2,'07_Pallet_Contents'!$D$2:$D$3000))</f>
        <v>0</v>
      </c>
      <c r="Y740">
        <f>IF($A2="","",SUMIF('07_Pallet_Contents'!$A$2:$A$3000,$A2,'07_Pallet_Contents'!$I$2:$I$3000))</f>
        <v>0</v>
      </c>
      <c r="Z740" t="str">
        <f>IF($A2="","",IF(COUNTIF('07_Pallet_Contents'!$A$2:$A$3000,$A2)&gt;0,"Yes",""))</f>
        <v/>
      </c>
    </row>
    <row r="741" spans="2:26">
      <c r="B741" s="31"/>
      <c r="G741" s="34"/>
      <c r="H741" s="33" t="str">
        <f t="shared" si="19"/>
        <v/>
      </c>
      <c r="I741" s="31"/>
      <c r="J741" s="31"/>
      <c r="K741" s="33"/>
      <c r="W741">
        <f>IF($A2="","",COUNTIF('07_Pallet_Contents'!$A$2:$A$3000,$A2))</f>
        <v>0</v>
      </c>
      <c r="X741">
        <f>IF($A2="","",SUMIF('07_Pallet_Contents'!$A$2:$A$3000,$A2,'07_Pallet_Contents'!$D$2:$D$3000))</f>
        <v>0</v>
      </c>
      <c r="Y741">
        <f>IF($A2="","",SUMIF('07_Pallet_Contents'!$A$2:$A$3000,$A2,'07_Pallet_Contents'!$I$2:$I$3000))</f>
        <v>0</v>
      </c>
      <c r="Z741" t="str">
        <f>IF($A2="","",IF(COUNTIF('07_Pallet_Contents'!$A$2:$A$3000,$A2)&gt;0,"Yes",""))</f>
        <v/>
      </c>
    </row>
    <row r="742" spans="2:26">
      <c r="B742" s="31"/>
      <c r="G742" s="34"/>
      <c r="H742" s="33" t="str">
        <f t="shared" si="19"/>
        <v/>
      </c>
      <c r="I742" s="31"/>
      <c r="J742" s="31"/>
      <c r="K742" s="33"/>
      <c r="W742">
        <f>IF($A2="","",COUNTIF('07_Pallet_Contents'!$A$2:$A$3000,$A2))</f>
        <v>0</v>
      </c>
      <c r="X742">
        <f>IF($A2="","",SUMIF('07_Pallet_Contents'!$A$2:$A$3000,$A2,'07_Pallet_Contents'!$D$2:$D$3000))</f>
        <v>0</v>
      </c>
      <c r="Y742">
        <f>IF($A2="","",SUMIF('07_Pallet_Contents'!$A$2:$A$3000,$A2,'07_Pallet_Contents'!$I$2:$I$3000))</f>
        <v>0</v>
      </c>
      <c r="Z742" t="str">
        <f>IF($A2="","",IF(COUNTIF('07_Pallet_Contents'!$A$2:$A$3000,$A2)&gt;0,"Yes",""))</f>
        <v/>
      </c>
    </row>
    <row r="743" spans="2:26">
      <c r="B743" s="31"/>
      <c r="G743" s="34"/>
      <c r="H743" s="33" t="str">
        <f t="shared" si="19"/>
        <v/>
      </c>
      <c r="I743" s="31"/>
      <c r="J743" s="31"/>
      <c r="K743" s="33"/>
      <c r="W743">
        <f>IF($A2="","",COUNTIF('07_Pallet_Contents'!$A$2:$A$3000,$A2))</f>
        <v>0</v>
      </c>
      <c r="X743">
        <f>IF($A2="","",SUMIF('07_Pallet_Contents'!$A$2:$A$3000,$A2,'07_Pallet_Contents'!$D$2:$D$3000))</f>
        <v>0</v>
      </c>
      <c r="Y743">
        <f>IF($A2="","",SUMIF('07_Pallet_Contents'!$A$2:$A$3000,$A2,'07_Pallet_Contents'!$I$2:$I$3000))</f>
        <v>0</v>
      </c>
      <c r="Z743" t="str">
        <f>IF($A2="","",IF(COUNTIF('07_Pallet_Contents'!$A$2:$A$3000,$A2)&gt;0,"Yes",""))</f>
        <v/>
      </c>
    </row>
    <row r="744" spans="2:26">
      <c r="B744" s="31"/>
      <c r="G744" s="34"/>
      <c r="H744" s="33" t="str">
        <f t="shared" si="19"/>
        <v/>
      </c>
      <c r="I744" s="31"/>
      <c r="J744" s="31"/>
      <c r="K744" s="33"/>
      <c r="W744">
        <f>IF($A2="","",COUNTIF('07_Pallet_Contents'!$A$2:$A$3000,$A2))</f>
        <v>0</v>
      </c>
      <c r="X744">
        <f>IF($A2="","",SUMIF('07_Pallet_Contents'!$A$2:$A$3000,$A2,'07_Pallet_Contents'!$D$2:$D$3000))</f>
        <v>0</v>
      </c>
      <c r="Y744">
        <f>IF($A2="","",SUMIF('07_Pallet_Contents'!$A$2:$A$3000,$A2,'07_Pallet_Contents'!$I$2:$I$3000))</f>
        <v>0</v>
      </c>
      <c r="Z744" t="str">
        <f>IF($A2="","",IF(COUNTIF('07_Pallet_Contents'!$A$2:$A$3000,$A2)&gt;0,"Yes",""))</f>
        <v/>
      </c>
    </row>
    <row r="745" spans="2:26">
      <c r="B745" s="31"/>
      <c r="G745" s="34"/>
      <c r="H745" s="33" t="str">
        <f t="shared" si="19"/>
        <v/>
      </c>
      <c r="I745" s="31"/>
      <c r="J745" s="31"/>
      <c r="K745" s="33"/>
      <c r="W745">
        <f>IF($A2="","",COUNTIF('07_Pallet_Contents'!$A$2:$A$3000,$A2))</f>
        <v>0</v>
      </c>
      <c r="X745">
        <f>IF($A2="","",SUMIF('07_Pallet_Contents'!$A$2:$A$3000,$A2,'07_Pallet_Contents'!$D$2:$D$3000))</f>
        <v>0</v>
      </c>
      <c r="Y745">
        <f>IF($A2="","",SUMIF('07_Pallet_Contents'!$A$2:$A$3000,$A2,'07_Pallet_Contents'!$I$2:$I$3000))</f>
        <v>0</v>
      </c>
      <c r="Z745" t="str">
        <f>IF($A2="","",IF(COUNTIF('07_Pallet_Contents'!$A$2:$A$3000,$A2)&gt;0,"Yes",""))</f>
        <v/>
      </c>
    </row>
    <row r="746" spans="2:26">
      <c r="B746" s="31"/>
      <c r="G746" s="34"/>
      <c r="H746" s="33" t="str">
        <f t="shared" si="19"/>
        <v/>
      </c>
      <c r="I746" s="31"/>
      <c r="J746" s="31"/>
      <c r="K746" s="33"/>
      <c r="W746">
        <f>IF($A2="","",COUNTIF('07_Pallet_Contents'!$A$2:$A$3000,$A2))</f>
        <v>0</v>
      </c>
      <c r="X746">
        <f>IF($A2="","",SUMIF('07_Pallet_Contents'!$A$2:$A$3000,$A2,'07_Pallet_Contents'!$D$2:$D$3000))</f>
        <v>0</v>
      </c>
      <c r="Y746">
        <f>IF($A2="","",SUMIF('07_Pallet_Contents'!$A$2:$A$3000,$A2,'07_Pallet_Contents'!$I$2:$I$3000))</f>
        <v>0</v>
      </c>
      <c r="Z746" t="str">
        <f>IF($A2="","",IF(COUNTIF('07_Pallet_Contents'!$A$2:$A$3000,$A2)&gt;0,"Yes",""))</f>
        <v/>
      </c>
    </row>
    <row r="747" spans="2:26">
      <c r="B747" s="31"/>
      <c r="G747" s="34"/>
      <c r="H747" s="33" t="str">
        <f t="shared" si="19"/>
        <v/>
      </c>
      <c r="I747" s="31"/>
      <c r="J747" s="31"/>
      <c r="K747" s="33"/>
      <c r="W747">
        <f>IF($A2="","",COUNTIF('07_Pallet_Contents'!$A$2:$A$3000,$A2))</f>
        <v>0</v>
      </c>
      <c r="X747">
        <f>IF($A2="","",SUMIF('07_Pallet_Contents'!$A$2:$A$3000,$A2,'07_Pallet_Contents'!$D$2:$D$3000))</f>
        <v>0</v>
      </c>
      <c r="Y747">
        <f>IF($A2="","",SUMIF('07_Pallet_Contents'!$A$2:$A$3000,$A2,'07_Pallet_Contents'!$I$2:$I$3000))</f>
        <v>0</v>
      </c>
      <c r="Z747" t="str">
        <f>IF($A2="","",IF(COUNTIF('07_Pallet_Contents'!$A$2:$A$3000,$A2)&gt;0,"Yes",""))</f>
        <v/>
      </c>
    </row>
    <row r="748" spans="2:26">
      <c r="B748" s="31"/>
      <c r="G748" s="34"/>
      <c r="H748" s="33" t="str">
        <f t="shared" si="19"/>
        <v/>
      </c>
      <c r="I748" s="31"/>
      <c r="J748" s="31"/>
      <c r="K748" s="33"/>
      <c r="W748">
        <f>IF($A2="","",COUNTIF('07_Pallet_Contents'!$A$2:$A$3000,$A2))</f>
        <v>0</v>
      </c>
      <c r="X748">
        <f>IF($A2="","",SUMIF('07_Pallet_Contents'!$A$2:$A$3000,$A2,'07_Pallet_Contents'!$D$2:$D$3000))</f>
        <v>0</v>
      </c>
      <c r="Y748">
        <f>IF($A2="","",SUMIF('07_Pallet_Contents'!$A$2:$A$3000,$A2,'07_Pallet_Contents'!$I$2:$I$3000))</f>
        <v>0</v>
      </c>
      <c r="Z748" t="str">
        <f>IF($A2="","",IF(COUNTIF('07_Pallet_Contents'!$A$2:$A$3000,$A2)&gt;0,"Yes",""))</f>
        <v/>
      </c>
    </row>
    <row r="749" spans="2:26">
      <c r="B749" s="31"/>
      <c r="G749" s="34"/>
      <c r="H749" s="33" t="str">
        <f t="shared" si="19"/>
        <v/>
      </c>
      <c r="I749" s="31"/>
      <c r="J749" s="31"/>
      <c r="K749" s="33"/>
      <c r="W749">
        <f>IF($A2="","",COUNTIF('07_Pallet_Contents'!$A$2:$A$3000,$A2))</f>
        <v>0</v>
      </c>
      <c r="X749">
        <f>IF($A2="","",SUMIF('07_Pallet_Contents'!$A$2:$A$3000,$A2,'07_Pallet_Contents'!$D$2:$D$3000))</f>
        <v>0</v>
      </c>
      <c r="Y749">
        <f>IF($A2="","",SUMIF('07_Pallet_Contents'!$A$2:$A$3000,$A2,'07_Pallet_Contents'!$I$2:$I$3000))</f>
        <v>0</v>
      </c>
      <c r="Z749" t="str">
        <f>IF($A2="","",IF(COUNTIF('07_Pallet_Contents'!$A$2:$A$3000,$A2)&gt;0,"Yes",""))</f>
        <v/>
      </c>
    </row>
    <row r="750" spans="2:26">
      <c r="B750" s="31"/>
      <c r="G750" s="34"/>
      <c r="H750" s="33" t="str">
        <f t="shared" si="19"/>
        <v/>
      </c>
      <c r="I750" s="31"/>
      <c r="J750" s="31"/>
      <c r="K750" s="33"/>
      <c r="W750">
        <f>IF($A2="","",COUNTIF('07_Pallet_Contents'!$A$2:$A$3000,$A2))</f>
        <v>0</v>
      </c>
      <c r="X750">
        <f>IF($A2="","",SUMIF('07_Pallet_Contents'!$A$2:$A$3000,$A2,'07_Pallet_Contents'!$D$2:$D$3000))</f>
        <v>0</v>
      </c>
      <c r="Y750">
        <f>IF($A2="","",SUMIF('07_Pallet_Contents'!$A$2:$A$3000,$A2,'07_Pallet_Contents'!$I$2:$I$3000))</f>
        <v>0</v>
      </c>
      <c r="Z750" t="str">
        <f>IF($A2="","",IF(COUNTIF('07_Pallet_Contents'!$A$2:$A$3000,$A2)&gt;0,"Yes",""))</f>
        <v/>
      </c>
    </row>
    <row r="751" spans="2:26">
      <c r="B751" s="31"/>
      <c r="G751" s="34"/>
      <c r="H751" s="33" t="str">
        <f t="shared" si="19"/>
        <v/>
      </c>
      <c r="I751" s="31"/>
      <c r="J751" s="31"/>
      <c r="K751" s="33"/>
      <c r="W751">
        <f>IF($A2="","",COUNTIF('07_Pallet_Contents'!$A$2:$A$3000,$A2))</f>
        <v>0</v>
      </c>
      <c r="X751">
        <f>IF($A2="","",SUMIF('07_Pallet_Contents'!$A$2:$A$3000,$A2,'07_Pallet_Contents'!$D$2:$D$3000))</f>
        <v>0</v>
      </c>
      <c r="Y751">
        <f>IF($A2="","",SUMIF('07_Pallet_Contents'!$A$2:$A$3000,$A2,'07_Pallet_Contents'!$I$2:$I$3000))</f>
        <v>0</v>
      </c>
      <c r="Z751" t="str">
        <f>IF($A2="","",IF(COUNTIF('07_Pallet_Contents'!$A$2:$A$3000,$A2)&gt;0,"Yes",""))</f>
        <v/>
      </c>
    </row>
    <row r="752" spans="2:26">
      <c r="B752" s="31"/>
      <c r="G752" s="34"/>
      <c r="H752" s="33" t="str">
        <f t="shared" si="19"/>
        <v/>
      </c>
      <c r="I752" s="31"/>
      <c r="J752" s="31"/>
      <c r="K752" s="33"/>
      <c r="W752">
        <f>IF($A2="","",COUNTIF('07_Pallet_Contents'!$A$2:$A$3000,$A2))</f>
        <v>0</v>
      </c>
      <c r="X752">
        <f>IF($A2="","",SUMIF('07_Pallet_Contents'!$A$2:$A$3000,$A2,'07_Pallet_Contents'!$D$2:$D$3000))</f>
        <v>0</v>
      </c>
      <c r="Y752">
        <f>IF($A2="","",SUMIF('07_Pallet_Contents'!$A$2:$A$3000,$A2,'07_Pallet_Contents'!$I$2:$I$3000))</f>
        <v>0</v>
      </c>
      <c r="Z752" t="str">
        <f>IF($A2="","",IF(COUNTIF('07_Pallet_Contents'!$A$2:$A$3000,$A2)&gt;0,"Yes",""))</f>
        <v/>
      </c>
    </row>
    <row r="753" spans="2:26">
      <c r="B753" s="31"/>
      <c r="G753" s="34"/>
      <c r="H753" s="33" t="str">
        <f t="shared" si="19"/>
        <v/>
      </c>
      <c r="I753" s="31"/>
      <c r="J753" s="31"/>
      <c r="K753" s="33"/>
      <c r="W753">
        <f>IF($A2="","",COUNTIF('07_Pallet_Contents'!$A$2:$A$3000,$A2))</f>
        <v>0</v>
      </c>
      <c r="X753">
        <f>IF($A2="","",SUMIF('07_Pallet_Contents'!$A$2:$A$3000,$A2,'07_Pallet_Contents'!$D$2:$D$3000))</f>
        <v>0</v>
      </c>
      <c r="Y753">
        <f>IF($A2="","",SUMIF('07_Pallet_Contents'!$A$2:$A$3000,$A2,'07_Pallet_Contents'!$I$2:$I$3000))</f>
        <v>0</v>
      </c>
      <c r="Z753" t="str">
        <f>IF($A2="","",IF(COUNTIF('07_Pallet_Contents'!$A$2:$A$3000,$A2)&gt;0,"Yes",""))</f>
        <v/>
      </c>
    </row>
    <row r="754" spans="2:26">
      <c r="B754" s="31"/>
      <c r="G754" s="34"/>
      <c r="H754" s="33" t="str">
        <f t="shared" si="19"/>
        <v/>
      </c>
      <c r="I754" s="31"/>
      <c r="J754" s="31"/>
      <c r="K754" s="33"/>
      <c r="W754">
        <f>IF($A2="","",COUNTIF('07_Pallet_Contents'!$A$2:$A$3000,$A2))</f>
        <v>0</v>
      </c>
      <c r="X754">
        <f>IF($A2="","",SUMIF('07_Pallet_Contents'!$A$2:$A$3000,$A2,'07_Pallet_Contents'!$D$2:$D$3000))</f>
        <v>0</v>
      </c>
      <c r="Y754">
        <f>IF($A2="","",SUMIF('07_Pallet_Contents'!$A$2:$A$3000,$A2,'07_Pallet_Contents'!$I$2:$I$3000))</f>
        <v>0</v>
      </c>
      <c r="Z754" t="str">
        <f>IF($A2="","",IF(COUNTIF('07_Pallet_Contents'!$A$2:$A$3000,$A2)&gt;0,"Yes",""))</f>
        <v/>
      </c>
    </row>
    <row r="755" spans="2:26">
      <c r="B755" s="31"/>
      <c r="G755" s="34"/>
      <c r="H755" s="33" t="str">
        <f t="shared" si="19"/>
        <v/>
      </c>
      <c r="I755" s="31"/>
      <c r="J755" s="31"/>
      <c r="K755" s="33"/>
      <c r="W755">
        <f>IF($A2="","",COUNTIF('07_Pallet_Contents'!$A$2:$A$3000,$A2))</f>
        <v>0</v>
      </c>
      <c r="X755">
        <f>IF($A2="","",SUMIF('07_Pallet_Contents'!$A$2:$A$3000,$A2,'07_Pallet_Contents'!$D$2:$D$3000))</f>
        <v>0</v>
      </c>
      <c r="Y755">
        <f>IF($A2="","",SUMIF('07_Pallet_Contents'!$A$2:$A$3000,$A2,'07_Pallet_Contents'!$I$2:$I$3000))</f>
        <v>0</v>
      </c>
      <c r="Z755" t="str">
        <f>IF($A2="","",IF(COUNTIF('07_Pallet_Contents'!$A$2:$A$3000,$A2)&gt;0,"Yes",""))</f>
        <v/>
      </c>
    </row>
    <row r="756" spans="2:26">
      <c r="B756" s="31"/>
      <c r="G756" s="34"/>
      <c r="H756" s="33" t="str">
        <f t="shared" si="19"/>
        <v/>
      </c>
      <c r="I756" s="31"/>
      <c r="J756" s="31"/>
      <c r="K756" s="33"/>
      <c r="W756">
        <f>IF($A2="","",COUNTIF('07_Pallet_Contents'!$A$2:$A$3000,$A2))</f>
        <v>0</v>
      </c>
      <c r="X756">
        <f>IF($A2="","",SUMIF('07_Pallet_Contents'!$A$2:$A$3000,$A2,'07_Pallet_Contents'!$D$2:$D$3000))</f>
        <v>0</v>
      </c>
      <c r="Y756">
        <f>IF($A2="","",SUMIF('07_Pallet_Contents'!$A$2:$A$3000,$A2,'07_Pallet_Contents'!$I$2:$I$3000))</f>
        <v>0</v>
      </c>
      <c r="Z756" t="str">
        <f>IF($A2="","",IF(COUNTIF('07_Pallet_Contents'!$A$2:$A$3000,$A2)&gt;0,"Yes",""))</f>
        <v/>
      </c>
    </row>
    <row r="757" spans="2:26">
      <c r="B757" s="31"/>
      <c r="G757" s="34"/>
      <c r="H757" s="33" t="str">
        <f t="shared" si="19"/>
        <v/>
      </c>
      <c r="I757" s="31"/>
      <c r="J757" s="31"/>
      <c r="K757" s="33"/>
      <c r="W757">
        <f>IF($A2="","",COUNTIF('07_Pallet_Contents'!$A$2:$A$3000,$A2))</f>
        <v>0</v>
      </c>
      <c r="X757">
        <f>IF($A2="","",SUMIF('07_Pallet_Contents'!$A$2:$A$3000,$A2,'07_Pallet_Contents'!$D$2:$D$3000))</f>
        <v>0</v>
      </c>
      <c r="Y757">
        <f>IF($A2="","",SUMIF('07_Pallet_Contents'!$A$2:$A$3000,$A2,'07_Pallet_Contents'!$I$2:$I$3000))</f>
        <v>0</v>
      </c>
      <c r="Z757" t="str">
        <f>IF($A2="","",IF(COUNTIF('07_Pallet_Contents'!$A$2:$A$3000,$A2)&gt;0,"Yes",""))</f>
        <v/>
      </c>
    </row>
    <row r="758" spans="2:26">
      <c r="B758" s="31"/>
      <c r="G758" s="34"/>
      <c r="H758" s="33" t="str">
        <f t="shared" si="19"/>
        <v/>
      </c>
      <c r="I758" s="31"/>
      <c r="J758" s="31"/>
      <c r="K758" s="33"/>
      <c r="W758">
        <f>IF($A2="","",COUNTIF('07_Pallet_Contents'!$A$2:$A$3000,$A2))</f>
        <v>0</v>
      </c>
      <c r="X758">
        <f>IF($A2="","",SUMIF('07_Pallet_Contents'!$A$2:$A$3000,$A2,'07_Pallet_Contents'!$D$2:$D$3000))</f>
        <v>0</v>
      </c>
      <c r="Y758">
        <f>IF($A2="","",SUMIF('07_Pallet_Contents'!$A$2:$A$3000,$A2,'07_Pallet_Contents'!$I$2:$I$3000))</f>
        <v>0</v>
      </c>
      <c r="Z758" t="str">
        <f>IF($A2="","",IF(COUNTIF('07_Pallet_Contents'!$A$2:$A$3000,$A2)&gt;0,"Yes",""))</f>
        <v/>
      </c>
    </row>
    <row r="759" spans="2:26">
      <c r="B759" s="31"/>
      <c r="G759" s="34"/>
      <c r="H759" s="33" t="str">
        <f t="shared" si="19"/>
        <v/>
      </c>
      <c r="I759" s="31"/>
      <c r="J759" s="31"/>
      <c r="K759" s="33"/>
      <c r="W759">
        <f>IF($A2="","",COUNTIF('07_Pallet_Contents'!$A$2:$A$3000,$A2))</f>
        <v>0</v>
      </c>
      <c r="X759">
        <f>IF($A2="","",SUMIF('07_Pallet_Contents'!$A$2:$A$3000,$A2,'07_Pallet_Contents'!$D$2:$D$3000))</f>
        <v>0</v>
      </c>
      <c r="Y759">
        <f>IF($A2="","",SUMIF('07_Pallet_Contents'!$A$2:$A$3000,$A2,'07_Pallet_Contents'!$I$2:$I$3000))</f>
        <v>0</v>
      </c>
      <c r="Z759" t="str">
        <f>IF($A2="","",IF(COUNTIF('07_Pallet_Contents'!$A$2:$A$3000,$A2)&gt;0,"Yes",""))</f>
        <v/>
      </c>
    </row>
    <row r="760" spans="2:26">
      <c r="B760" s="31"/>
      <c r="G760" s="34"/>
      <c r="H760" s="33" t="str">
        <f t="shared" si="19"/>
        <v/>
      </c>
      <c r="I760" s="31"/>
      <c r="J760" s="31"/>
      <c r="K760" s="33"/>
      <c r="W760">
        <f>IF($A2="","",COUNTIF('07_Pallet_Contents'!$A$2:$A$3000,$A2))</f>
        <v>0</v>
      </c>
      <c r="X760">
        <f>IF($A2="","",SUMIF('07_Pallet_Contents'!$A$2:$A$3000,$A2,'07_Pallet_Contents'!$D$2:$D$3000))</f>
        <v>0</v>
      </c>
      <c r="Y760">
        <f>IF($A2="","",SUMIF('07_Pallet_Contents'!$A$2:$A$3000,$A2,'07_Pallet_Contents'!$I$2:$I$3000))</f>
        <v>0</v>
      </c>
      <c r="Z760" t="str">
        <f>IF($A2="","",IF(COUNTIF('07_Pallet_Contents'!$A$2:$A$3000,$A2)&gt;0,"Yes",""))</f>
        <v/>
      </c>
    </row>
    <row r="761" spans="2:26">
      <c r="B761" s="31"/>
      <c r="G761" s="34"/>
      <c r="H761" s="33" t="str">
        <f t="shared" si="19"/>
        <v/>
      </c>
      <c r="I761" s="31"/>
      <c r="J761" s="31"/>
      <c r="K761" s="33"/>
      <c r="W761">
        <f>IF($A2="","",COUNTIF('07_Pallet_Contents'!$A$2:$A$3000,$A2))</f>
        <v>0</v>
      </c>
      <c r="X761">
        <f>IF($A2="","",SUMIF('07_Pallet_Contents'!$A$2:$A$3000,$A2,'07_Pallet_Contents'!$D$2:$D$3000))</f>
        <v>0</v>
      </c>
      <c r="Y761">
        <f>IF($A2="","",SUMIF('07_Pallet_Contents'!$A$2:$A$3000,$A2,'07_Pallet_Contents'!$I$2:$I$3000))</f>
        <v>0</v>
      </c>
      <c r="Z761" t="str">
        <f>IF($A2="","",IF(COUNTIF('07_Pallet_Contents'!$A$2:$A$3000,$A2)&gt;0,"Yes",""))</f>
        <v/>
      </c>
    </row>
    <row r="762" spans="2:26">
      <c r="B762" s="31"/>
      <c r="G762" s="34"/>
      <c r="H762" s="33" t="str">
        <f t="shared" si="19"/>
        <v/>
      </c>
      <c r="I762" s="31"/>
      <c r="J762" s="31"/>
      <c r="K762" s="33"/>
      <c r="W762">
        <f>IF($A2="","",COUNTIF('07_Pallet_Contents'!$A$2:$A$3000,$A2))</f>
        <v>0</v>
      </c>
      <c r="X762">
        <f>IF($A2="","",SUMIF('07_Pallet_Contents'!$A$2:$A$3000,$A2,'07_Pallet_Contents'!$D$2:$D$3000))</f>
        <v>0</v>
      </c>
      <c r="Y762">
        <f>IF($A2="","",SUMIF('07_Pallet_Contents'!$A$2:$A$3000,$A2,'07_Pallet_Contents'!$I$2:$I$3000))</f>
        <v>0</v>
      </c>
      <c r="Z762" t="str">
        <f>IF($A2="","",IF(COUNTIF('07_Pallet_Contents'!$A$2:$A$3000,$A2)&gt;0,"Yes",""))</f>
        <v/>
      </c>
    </row>
    <row r="763" spans="2:26">
      <c r="B763" s="31"/>
      <c r="G763" s="34"/>
      <c r="H763" s="33" t="str">
        <f t="shared" si="19"/>
        <v/>
      </c>
      <c r="I763" s="31"/>
      <c r="J763" s="31"/>
      <c r="K763" s="33"/>
      <c r="W763">
        <f>IF($A2="","",COUNTIF('07_Pallet_Contents'!$A$2:$A$3000,$A2))</f>
        <v>0</v>
      </c>
      <c r="X763">
        <f>IF($A2="","",SUMIF('07_Pallet_Contents'!$A$2:$A$3000,$A2,'07_Pallet_Contents'!$D$2:$D$3000))</f>
        <v>0</v>
      </c>
      <c r="Y763">
        <f>IF($A2="","",SUMIF('07_Pallet_Contents'!$A$2:$A$3000,$A2,'07_Pallet_Contents'!$I$2:$I$3000))</f>
        <v>0</v>
      </c>
      <c r="Z763" t="str">
        <f>IF($A2="","",IF(COUNTIF('07_Pallet_Contents'!$A$2:$A$3000,$A2)&gt;0,"Yes",""))</f>
        <v/>
      </c>
    </row>
    <row r="764" spans="2:26">
      <c r="B764" s="31"/>
      <c r="G764" s="34"/>
      <c r="H764" s="33" t="str">
        <f t="shared" si="19"/>
        <v/>
      </c>
      <c r="I764" s="31"/>
      <c r="J764" s="31"/>
      <c r="K764" s="33"/>
      <c r="W764">
        <f>IF($A2="","",COUNTIF('07_Pallet_Contents'!$A$2:$A$3000,$A2))</f>
        <v>0</v>
      </c>
      <c r="X764">
        <f>IF($A2="","",SUMIF('07_Pallet_Contents'!$A$2:$A$3000,$A2,'07_Pallet_Contents'!$D$2:$D$3000))</f>
        <v>0</v>
      </c>
      <c r="Y764">
        <f>IF($A2="","",SUMIF('07_Pallet_Contents'!$A$2:$A$3000,$A2,'07_Pallet_Contents'!$I$2:$I$3000))</f>
        <v>0</v>
      </c>
      <c r="Z764" t="str">
        <f>IF($A2="","",IF(COUNTIF('07_Pallet_Contents'!$A$2:$A$3000,$A2)&gt;0,"Yes",""))</f>
        <v/>
      </c>
    </row>
    <row r="765" spans="2:26">
      <c r="B765" s="31"/>
      <c r="G765" s="34"/>
      <c r="H765" s="33" t="str">
        <f t="shared" si="19"/>
        <v/>
      </c>
      <c r="I765" s="31"/>
      <c r="J765" s="31"/>
      <c r="K765" s="33"/>
      <c r="W765">
        <f>IF($A2="","",COUNTIF('07_Pallet_Contents'!$A$2:$A$3000,$A2))</f>
        <v>0</v>
      </c>
      <c r="X765">
        <f>IF($A2="","",SUMIF('07_Pallet_Contents'!$A$2:$A$3000,$A2,'07_Pallet_Contents'!$D$2:$D$3000))</f>
        <v>0</v>
      </c>
      <c r="Y765">
        <f>IF($A2="","",SUMIF('07_Pallet_Contents'!$A$2:$A$3000,$A2,'07_Pallet_Contents'!$I$2:$I$3000))</f>
        <v>0</v>
      </c>
      <c r="Z765" t="str">
        <f>IF($A2="","",IF(COUNTIF('07_Pallet_Contents'!$A$2:$A$3000,$A2)&gt;0,"Yes",""))</f>
        <v/>
      </c>
    </row>
    <row r="766" spans="2:26">
      <c r="B766" s="31"/>
      <c r="G766" s="34"/>
      <c r="H766" s="33" t="str">
        <f t="shared" si="19"/>
        <v/>
      </c>
      <c r="I766" s="31"/>
      <c r="J766" s="31"/>
      <c r="K766" s="33"/>
      <c r="W766">
        <f>IF($A2="","",COUNTIF('07_Pallet_Contents'!$A$2:$A$3000,$A2))</f>
        <v>0</v>
      </c>
      <c r="X766">
        <f>IF($A2="","",SUMIF('07_Pallet_Contents'!$A$2:$A$3000,$A2,'07_Pallet_Contents'!$D$2:$D$3000))</f>
        <v>0</v>
      </c>
      <c r="Y766">
        <f>IF($A2="","",SUMIF('07_Pallet_Contents'!$A$2:$A$3000,$A2,'07_Pallet_Contents'!$I$2:$I$3000))</f>
        <v>0</v>
      </c>
      <c r="Z766" t="str">
        <f>IF($A2="","",IF(COUNTIF('07_Pallet_Contents'!$A$2:$A$3000,$A2)&gt;0,"Yes",""))</f>
        <v/>
      </c>
    </row>
    <row r="767" spans="2:26">
      <c r="B767" s="31"/>
      <c r="G767" s="34"/>
      <c r="H767" s="33" t="str">
        <f t="shared" si="19"/>
        <v/>
      </c>
      <c r="I767" s="31"/>
      <c r="J767" s="31"/>
      <c r="K767" s="33"/>
      <c r="W767">
        <f>IF($A2="","",COUNTIF('07_Pallet_Contents'!$A$2:$A$3000,$A2))</f>
        <v>0</v>
      </c>
      <c r="X767">
        <f>IF($A2="","",SUMIF('07_Pallet_Contents'!$A$2:$A$3000,$A2,'07_Pallet_Contents'!$D$2:$D$3000))</f>
        <v>0</v>
      </c>
      <c r="Y767">
        <f>IF($A2="","",SUMIF('07_Pallet_Contents'!$A$2:$A$3000,$A2,'07_Pallet_Contents'!$I$2:$I$3000))</f>
        <v>0</v>
      </c>
      <c r="Z767" t="str">
        <f>IF($A2="","",IF(COUNTIF('07_Pallet_Contents'!$A$2:$A$3000,$A2)&gt;0,"Yes",""))</f>
        <v/>
      </c>
    </row>
    <row r="768" spans="2:26">
      <c r="B768" s="31"/>
      <c r="G768" s="34"/>
      <c r="H768" s="33" t="str">
        <f t="shared" si="19"/>
        <v/>
      </c>
      <c r="I768" s="31"/>
      <c r="J768" s="31"/>
      <c r="K768" s="33"/>
      <c r="W768">
        <f>IF($A2="","",COUNTIF('07_Pallet_Contents'!$A$2:$A$3000,$A2))</f>
        <v>0</v>
      </c>
      <c r="X768">
        <f>IF($A2="","",SUMIF('07_Pallet_Contents'!$A$2:$A$3000,$A2,'07_Pallet_Contents'!$D$2:$D$3000))</f>
        <v>0</v>
      </c>
      <c r="Y768">
        <f>IF($A2="","",SUMIF('07_Pallet_Contents'!$A$2:$A$3000,$A2,'07_Pallet_Contents'!$I$2:$I$3000))</f>
        <v>0</v>
      </c>
      <c r="Z768" t="str">
        <f>IF($A2="","",IF(COUNTIF('07_Pallet_Contents'!$A$2:$A$3000,$A2)&gt;0,"Yes",""))</f>
        <v/>
      </c>
    </row>
    <row r="769" spans="2:26">
      <c r="B769" s="31"/>
      <c r="G769" s="34"/>
      <c r="H769" s="33" t="str">
        <f t="shared" si="19"/>
        <v/>
      </c>
      <c r="I769" s="31"/>
      <c r="J769" s="31"/>
      <c r="K769" s="33"/>
      <c r="W769">
        <f>IF($A2="","",COUNTIF('07_Pallet_Contents'!$A$2:$A$3000,$A2))</f>
        <v>0</v>
      </c>
      <c r="X769">
        <f>IF($A2="","",SUMIF('07_Pallet_Contents'!$A$2:$A$3000,$A2,'07_Pallet_Contents'!$D$2:$D$3000))</f>
        <v>0</v>
      </c>
      <c r="Y769">
        <f>IF($A2="","",SUMIF('07_Pallet_Contents'!$A$2:$A$3000,$A2,'07_Pallet_Contents'!$I$2:$I$3000))</f>
        <v>0</v>
      </c>
      <c r="Z769" t="str">
        <f>IF($A2="","",IF(COUNTIF('07_Pallet_Contents'!$A$2:$A$3000,$A2)&gt;0,"Yes",""))</f>
        <v/>
      </c>
    </row>
    <row r="770" spans="2:26">
      <c r="B770" s="31"/>
      <c r="G770" s="34"/>
      <c r="H770" s="33" t="str">
        <f t="shared" ref="H770:H833" si="20">IF(AND($F770="TEMP",$G770&gt;0,$M770&lt;&gt;""),$M770+$G770,"")</f>
        <v/>
      </c>
      <c r="I770" s="31"/>
      <c r="J770" s="31"/>
      <c r="K770" s="33"/>
      <c r="W770">
        <f>IF($A2="","",COUNTIF('07_Pallet_Contents'!$A$2:$A$3000,$A2))</f>
        <v>0</v>
      </c>
      <c r="X770">
        <f>IF($A2="","",SUMIF('07_Pallet_Contents'!$A$2:$A$3000,$A2,'07_Pallet_Contents'!$D$2:$D$3000))</f>
        <v>0</v>
      </c>
      <c r="Y770">
        <f>IF($A2="","",SUMIF('07_Pallet_Contents'!$A$2:$A$3000,$A2,'07_Pallet_Contents'!$I$2:$I$3000))</f>
        <v>0</v>
      </c>
      <c r="Z770" t="str">
        <f>IF($A2="","",IF(COUNTIF('07_Pallet_Contents'!$A$2:$A$3000,$A2)&gt;0,"Yes",""))</f>
        <v/>
      </c>
    </row>
    <row r="771" spans="2:26">
      <c r="B771" s="31"/>
      <c r="G771" s="34"/>
      <c r="H771" s="33" t="str">
        <f t="shared" si="20"/>
        <v/>
      </c>
      <c r="I771" s="31"/>
      <c r="J771" s="31"/>
      <c r="K771" s="33"/>
      <c r="W771">
        <f>IF($A2="","",COUNTIF('07_Pallet_Contents'!$A$2:$A$3000,$A2))</f>
        <v>0</v>
      </c>
      <c r="X771">
        <f>IF($A2="","",SUMIF('07_Pallet_Contents'!$A$2:$A$3000,$A2,'07_Pallet_Contents'!$D$2:$D$3000))</f>
        <v>0</v>
      </c>
      <c r="Y771">
        <f>IF($A2="","",SUMIF('07_Pallet_Contents'!$A$2:$A$3000,$A2,'07_Pallet_Contents'!$I$2:$I$3000))</f>
        <v>0</v>
      </c>
      <c r="Z771" t="str">
        <f>IF($A2="","",IF(COUNTIF('07_Pallet_Contents'!$A$2:$A$3000,$A2)&gt;0,"Yes",""))</f>
        <v/>
      </c>
    </row>
    <row r="772" spans="2:26">
      <c r="B772" s="31"/>
      <c r="G772" s="34"/>
      <c r="H772" s="33" t="str">
        <f t="shared" si="20"/>
        <v/>
      </c>
      <c r="I772" s="31"/>
      <c r="J772" s="31"/>
      <c r="K772" s="33"/>
      <c r="W772">
        <f>IF($A2="","",COUNTIF('07_Pallet_Contents'!$A$2:$A$3000,$A2))</f>
        <v>0</v>
      </c>
      <c r="X772">
        <f>IF($A2="","",SUMIF('07_Pallet_Contents'!$A$2:$A$3000,$A2,'07_Pallet_Contents'!$D$2:$D$3000))</f>
        <v>0</v>
      </c>
      <c r="Y772">
        <f>IF($A2="","",SUMIF('07_Pallet_Contents'!$A$2:$A$3000,$A2,'07_Pallet_Contents'!$I$2:$I$3000))</f>
        <v>0</v>
      </c>
      <c r="Z772" t="str">
        <f>IF($A2="","",IF(COUNTIF('07_Pallet_Contents'!$A$2:$A$3000,$A2)&gt;0,"Yes",""))</f>
        <v/>
      </c>
    </row>
    <row r="773" spans="2:26">
      <c r="B773" s="31"/>
      <c r="G773" s="34"/>
      <c r="H773" s="33" t="str">
        <f t="shared" si="20"/>
        <v/>
      </c>
      <c r="I773" s="31"/>
      <c r="J773" s="31"/>
      <c r="K773" s="33"/>
      <c r="W773">
        <f>IF($A2="","",COUNTIF('07_Pallet_Contents'!$A$2:$A$3000,$A2))</f>
        <v>0</v>
      </c>
      <c r="X773">
        <f>IF($A2="","",SUMIF('07_Pallet_Contents'!$A$2:$A$3000,$A2,'07_Pallet_Contents'!$D$2:$D$3000))</f>
        <v>0</v>
      </c>
      <c r="Y773">
        <f>IF($A2="","",SUMIF('07_Pallet_Contents'!$A$2:$A$3000,$A2,'07_Pallet_Contents'!$I$2:$I$3000))</f>
        <v>0</v>
      </c>
      <c r="Z773" t="str">
        <f>IF($A2="","",IF(COUNTIF('07_Pallet_Contents'!$A$2:$A$3000,$A2)&gt;0,"Yes",""))</f>
        <v/>
      </c>
    </row>
    <row r="774" spans="2:26">
      <c r="B774" s="31"/>
      <c r="G774" s="34"/>
      <c r="H774" s="33" t="str">
        <f t="shared" si="20"/>
        <v/>
      </c>
      <c r="I774" s="31"/>
      <c r="J774" s="31"/>
      <c r="K774" s="33"/>
      <c r="W774">
        <f>IF($A2="","",COUNTIF('07_Pallet_Contents'!$A$2:$A$3000,$A2))</f>
        <v>0</v>
      </c>
      <c r="X774">
        <f>IF($A2="","",SUMIF('07_Pallet_Contents'!$A$2:$A$3000,$A2,'07_Pallet_Contents'!$D$2:$D$3000))</f>
        <v>0</v>
      </c>
      <c r="Y774">
        <f>IF($A2="","",SUMIF('07_Pallet_Contents'!$A$2:$A$3000,$A2,'07_Pallet_Contents'!$I$2:$I$3000))</f>
        <v>0</v>
      </c>
      <c r="Z774" t="str">
        <f>IF($A2="","",IF(COUNTIF('07_Pallet_Contents'!$A$2:$A$3000,$A2)&gt;0,"Yes",""))</f>
        <v/>
      </c>
    </row>
    <row r="775" spans="2:26">
      <c r="B775" s="31"/>
      <c r="G775" s="34"/>
      <c r="H775" s="33" t="str">
        <f t="shared" si="20"/>
        <v/>
      </c>
      <c r="I775" s="31"/>
      <c r="J775" s="31"/>
      <c r="K775" s="33"/>
      <c r="W775">
        <f>IF($A2="","",COUNTIF('07_Pallet_Contents'!$A$2:$A$3000,$A2))</f>
        <v>0</v>
      </c>
      <c r="X775">
        <f>IF($A2="","",SUMIF('07_Pallet_Contents'!$A$2:$A$3000,$A2,'07_Pallet_Contents'!$D$2:$D$3000))</f>
        <v>0</v>
      </c>
      <c r="Y775">
        <f>IF($A2="","",SUMIF('07_Pallet_Contents'!$A$2:$A$3000,$A2,'07_Pallet_Contents'!$I$2:$I$3000))</f>
        <v>0</v>
      </c>
      <c r="Z775" t="str">
        <f>IF($A2="","",IF(COUNTIF('07_Pallet_Contents'!$A$2:$A$3000,$A2)&gt;0,"Yes",""))</f>
        <v/>
      </c>
    </row>
    <row r="776" spans="2:26">
      <c r="B776" s="31"/>
      <c r="G776" s="34"/>
      <c r="H776" s="33" t="str">
        <f t="shared" si="20"/>
        <v/>
      </c>
      <c r="I776" s="31"/>
      <c r="J776" s="31"/>
      <c r="K776" s="33"/>
      <c r="W776">
        <f>IF($A2="","",COUNTIF('07_Pallet_Contents'!$A$2:$A$3000,$A2))</f>
        <v>0</v>
      </c>
      <c r="X776">
        <f>IF($A2="","",SUMIF('07_Pallet_Contents'!$A$2:$A$3000,$A2,'07_Pallet_Contents'!$D$2:$D$3000))</f>
        <v>0</v>
      </c>
      <c r="Y776">
        <f>IF($A2="","",SUMIF('07_Pallet_Contents'!$A$2:$A$3000,$A2,'07_Pallet_Contents'!$I$2:$I$3000))</f>
        <v>0</v>
      </c>
      <c r="Z776" t="str">
        <f>IF($A2="","",IF(COUNTIF('07_Pallet_Contents'!$A$2:$A$3000,$A2)&gt;0,"Yes",""))</f>
        <v/>
      </c>
    </row>
    <row r="777" spans="2:26">
      <c r="B777" s="31"/>
      <c r="G777" s="34"/>
      <c r="H777" s="33" t="str">
        <f t="shared" si="20"/>
        <v/>
      </c>
      <c r="I777" s="31"/>
      <c r="J777" s="31"/>
      <c r="K777" s="33"/>
      <c r="W777">
        <f>IF($A2="","",COUNTIF('07_Pallet_Contents'!$A$2:$A$3000,$A2))</f>
        <v>0</v>
      </c>
      <c r="X777">
        <f>IF($A2="","",SUMIF('07_Pallet_Contents'!$A$2:$A$3000,$A2,'07_Pallet_Contents'!$D$2:$D$3000))</f>
        <v>0</v>
      </c>
      <c r="Y777">
        <f>IF($A2="","",SUMIF('07_Pallet_Contents'!$A$2:$A$3000,$A2,'07_Pallet_Contents'!$I$2:$I$3000))</f>
        <v>0</v>
      </c>
      <c r="Z777" t="str">
        <f>IF($A2="","",IF(COUNTIF('07_Pallet_Contents'!$A$2:$A$3000,$A2)&gt;0,"Yes",""))</f>
        <v/>
      </c>
    </row>
    <row r="778" spans="2:26">
      <c r="B778" s="31"/>
      <c r="G778" s="34"/>
      <c r="H778" s="33" t="str">
        <f t="shared" si="20"/>
        <v/>
      </c>
      <c r="I778" s="31"/>
      <c r="J778" s="31"/>
      <c r="K778" s="33"/>
      <c r="W778">
        <f>IF($A2="","",COUNTIF('07_Pallet_Contents'!$A$2:$A$3000,$A2))</f>
        <v>0</v>
      </c>
      <c r="X778">
        <f>IF($A2="","",SUMIF('07_Pallet_Contents'!$A$2:$A$3000,$A2,'07_Pallet_Contents'!$D$2:$D$3000))</f>
        <v>0</v>
      </c>
      <c r="Y778">
        <f>IF($A2="","",SUMIF('07_Pallet_Contents'!$A$2:$A$3000,$A2,'07_Pallet_Contents'!$I$2:$I$3000))</f>
        <v>0</v>
      </c>
      <c r="Z778" t="str">
        <f>IF($A2="","",IF(COUNTIF('07_Pallet_Contents'!$A$2:$A$3000,$A2)&gt;0,"Yes",""))</f>
        <v/>
      </c>
    </row>
    <row r="779" spans="2:26">
      <c r="B779" s="31"/>
      <c r="G779" s="34"/>
      <c r="H779" s="33" t="str">
        <f t="shared" si="20"/>
        <v/>
      </c>
      <c r="I779" s="31"/>
      <c r="J779" s="31"/>
      <c r="K779" s="33"/>
      <c r="W779">
        <f>IF($A2="","",COUNTIF('07_Pallet_Contents'!$A$2:$A$3000,$A2))</f>
        <v>0</v>
      </c>
      <c r="X779">
        <f>IF($A2="","",SUMIF('07_Pallet_Contents'!$A$2:$A$3000,$A2,'07_Pallet_Contents'!$D$2:$D$3000))</f>
        <v>0</v>
      </c>
      <c r="Y779">
        <f>IF($A2="","",SUMIF('07_Pallet_Contents'!$A$2:$A$3000,$A2,'07_Pallet_Contents'!$I$2:$I$3000))</f>
        <v>0</v>
      </c>
      <c r="Z779" t="str">
        <f>IF($A2="","",IF(COUNTIF('07_Pallet_Contents'!$A$2:$A$3000,$A2)&gt;0,"Yes",""))</f>
        <v/>
      </c>
    </row>
    <row r="780" spans="2:26">
      <c r="B780" s="31"/>
      <c r="G780" s="34"/>
      <c r="H780" s="33" t="str">
        <f t="shared" si="20"/>
        <v/>
      </c>
      <c r="I780" s="31"/>
      <c r="J780" s="31"/>
      <c r="K780" s="33"/>
      <c r="W780">
        <f>IF($A2="","",COUNTIF('07_Pallet_Contents'!$A$2:$A$3000,$A2))</f>
        <v>0</v>
      </c>
      <c r="X780">
        <f>IF($A2="","",SUMIF('07_Pallet_Contents'!$A$2:$A$3000,$A2,'07_Pallet_Contents'!$D$2:$D$3000))</f>
        <v>0</v>
      </c>
      <c r="Y780">
        <f>IF($A2="","",SUMIF('07_Pallet_Contents'!$A$2:$A$3000,$A2,'07_Pallet_Contents'!$I$2:$I$3000))</f>
        <v>0</v>
      </c>
      <c r="Z780" t="str">
        <f>IF($A2="","",IF(COUNTIF('07_Pallet_Contents'!$A$2:$A$3000,$A2)&gt;0,"Yes",""))</f>
        <v/>
      </c>
    </row>
    <row r="781" spans="2:26">
      <c r="B781" s="31"/>
      <c r="G781" s="34"/>
      <c r="H781" s="33" t="str">
        <f t="shared" si="20"/>
        <v/>
      </c>
      <c r="I781" s="31"/>
      <c r="J781" s="31"/>
      <c r="K781" s="33"/>
      <c r="W781">
        <f>IF($A2="","",COUNTIF('07_Pallet_Contents'!$A$2:$A$3000,$A2))</f>
        <v>0</v>
      </c>
      <c r="X781">
        <f>IF($A2="","",SUMIF('07_Pallet_Contents'!$A$2:$A$3000,$A2,'07_Pallet_Contents'!$D$2:$D$3000))</f>
        <v>0</v>
      </c>
      <c r="Y781">
        <f>IF($A2="","",SUMIF('07_Pallet_Contents'!$A$2:$A$3000,$A2,'07_Pallet_Contents'!$I$2:$I$3000))</f>
        <v>0</v>
      </c>
      <c r="Z781" t="str">
        <f>IF($A2="","",IF(COUNTIF('07_Pallet_Contents'!$A$2:$A$3000,$A2)&gt;0,"Yes",""))</f>
        <v/>
      </c>
    </row>
    <row r="782" spans="2:26">
      <c r="B782" s="31"/>
      <c r="G782" s="34"/>
      <c r="H782" s="33" t="str">
        <f t="shared" si="20"/>
        <v/>
      </c>
      <c r="I782" s="31"/>
      <c r="J782" s="31"/>
      <c r="K782" s="33"/>
      <c r="W782">
        <f>IF($A2="","",COUNTIF('07_Pallet_Contents'!$A$2:$A$3000,$A2))</f>
        <v>0</v>
      </c>
      <c r="X782">
        <f>IF($A2="","",SUMIF('07_Pallet_Contents'!$A$2:$A$3000,$A2,'07_Pallet_Contents'!$D$2:$D$3000))</f>
        <v>0</v>
      </c>
      <c r="Y782">
        <f>IF($A2="","",SUMIF('07_Pallet_Contents'!$A$2:$A$3000,$A2,'07_Pallet_Contents'!$I$2:$I$3000))</f>
        <v>0</v>
      </c>
      <c r="Z782" t="str">
        <f>IF($A2="","",IF(COUNTIF('07_Pallet_Contents'!$A$2:$A$3000,$A2)&gt;0,"Yes",""))</f>
        <v/>
      </c>
    </row>
    <row r="783" spans="2:26">
      <c r="B783" s="31"/>
      <c r="G783" s="34"/>
      <c r="H783" s="33" t="str">
        <f t="shared" si="20"/>
        <v/>
      </c>
      <c r="I783" s="31"/>
      <c r="J783" s="31"/>
      <c r="K783" s="33"/>
      <c r="W783">
        <f>IF($A2="","",COUNTIF('07_Pallet_Contents'!$A$2:$A$3000,$A2))</f>
        <v>0</v>
      </c>
      <c r="X783">
        <f>IF($A2="","",SUMIF('07_Pallet_Contents'!$A$2:$A$3000,$A2,'07_Pallet_Contents'!$D$2:$D$3000))</f>
        <v>0</v>
      </c>
      <c r="Y783">
        <f>IF($A2="","",SUMIF('07_Pallet_Contents'!$A$2:$A$3000,$A2,'07_Pallet_Contents'!$I$2:$I$3000))</f>
        <v>0</v>
      </c>
      <c r="Z783" t="str">
        <f>IF($A2="","",IF(COUNTIF('07_Pallet_Contents'!$A$2:$A$3000,$A2)&gt;0,"Yes",""))</f>
        <v/>
      </c>
    </row>
    <row r="784" spans="2:26">
      <c r="B784" s="31"/>
      <c r="G784" s="34"/>
      <c r="H784" s="33" t="str">
        <f t="shared" si="20"/>
        <v/>
      </c>
      <c r="I784" s="31"/>
      <c r="J784" s="31"/>
      <c r="K784" s="33"/>
      <c r="W784">
        <f>IF($A2="","",COUNTIF('07_Pallet_Contents'!$A$2:$A$3000,$A2))</f>
        <v>0</v>
      </c>
      <c r="X784">
        <f>IF($A2="","",SUMIF('07_Pallet_Contents'!$A$2:$A$3000,$A2,'07_Pallet_Contents'!$D$2:$D$3000))</f>
        <v>0</v>
      </c>
      <c r="Y784">
        <f>IF($A2="","",SUMIF('07_Pallet_Contents'!$A$2:$A$3000,$A2,'07_Pallet_Contents'!$I$2:$I$3000))</f>
        <v>0</v>
      </c>
      <c r="Z784" t="str">
        <f>IF($A2="","",IF(COUNTIF('07_Pallet_Contents'!$A$2:$A$3000,$A2)&gt;0,"Yes",""))</f>
        <v/>
      </c>
    </row>
    <row r="785" spans="2:26">
      <c r="B785" s="31"/>
      <c r="G785" s="34"/>
      <c r="H785" s="33" t="str">
        <f t="shared" si="20"/>
        <v/>
      </c>
      <c r="I785" s="31"/>
      <c r="J785" s="31"/>
      <c r="K785" s="33"/>
      <c r="W785">
        <f>IF($A2="","",COUNTIF('07_Pallet_Contents'!$A$2:$A$3000,$A2))</f>
        <v>0</v>
      </c>
      <c r="X785">
        <f>IF($A2="","",SUMIF('07_Pallet_Contents'!$A$2:$A$3000,$A2,'07_Pallet_Contents'!$D$2:$D$3000))</f>
        <v>0</v>
      </c>
      <c r="Y785">
        <f>IF($A2="","",SUMIF('07_Pallet_Contents'!$A$2:$A$3000,$A2,'07_Pallet_Contents'!$I$2:$I$3000))</f>
        <v>0</v>
      </c>
      <c r="Z785" t="str">
        <f>IF($A2="","",IF(COUNTIF('07_Pallet_Contents'!$A$2:$A$3000,$A2)&gt;0,"Yes",""))</f>
        <v/>
      </c>
    </row>
    <row r="786" spans="2:26">
      <c r="B786" s="31"/>
      <c r="G786" s="34"/>
      <c r="H786" s="33" t="str">
        <f t="shared" si="20"/>
        <v/>
      </c>
      <c r="I786" s="31"/>
      <c r="J786" s="31"/>
      <c r="K786" s="33"/>
      <c r="W786">
        <f>IF($A2="","",COUNTIF('07_Pallet_Contents'!$A$2:$A$3000,$A2))</f>
        <v>0</v>
      </c>
      <c r="X786">
        <f>IF($A2="","",SUMIF('07_Pallet_Contents'!$A$2:$A$3000,$A2,'07_Pallet_Contents'!$D$2:$D$3000))</f>
        <v>0</v>
      </c>
      <c r="Y786">
        <f>IF($A2="","",SUMIF('07_Pallet_Contents'!$A$2:$A$3000,$A2,'07_Pallet_Contents'!$I$2:$I$3000))</f>
        <v>0</v>
      </c>
      <c r="Z786" t="str">
        <f>IF($A2="","",IF(COUNTIF('07_Pallet_Contents'!$A$2:$A$3000,$A2)&gt;0,"Yes",""))</f>
        <v/>
      </c>
    </row>
    <row r="787" spans="2:26">
      <c r="B787" s="31"/>
      <c r="G787" s="34"/>
      <c r="H787" s="33" t="str">
        <f t="shared" si="20"/>
        <v/>
      </c>
      <c r="I787" s="31"/>
      <c r="J787" s="31"/>
      <c r="K787" s="33"/>
      <c r="W787">
        <f>IF($A2="","",COUNTIF('07_Pallet_Contents'!$A$2:$A$3000,$A2))</f>
        <v>0</v>
      </c>
      <c r="X787">
        <f>IF($A2="","",SUMIF('07_Pallet_Contents'!$A$2:$A$3000,$A2,'07_Pallet_Contents'!$D$2:$D$3000))</f>
        <v>0</v>
      </c>
      <c r="Y787">
        <f>IF($A2="","",SUMIF('07_Pallet_Contents'!$A$2:$A$3000,$A2,'07_Pallet_Contents'!$I$2:$I$3000))</f>
        <v>0</v>
      </c>
      <c r="Z787" t="str">
        <f>IF($A2="","",IF(COUNTIF('07_Pallet_Contents'!$A$2:$A$3000,$A2)&gt;0,"Yes",""))</f>
        <v/>
      </c>
    </row>
    <row r="788" spans="2:26">
      <c r="B788" s="31"/>
      <c r="G788" s="34"/>
      <c r="H788" s="33" t="str">
        <f t="shared" si="20"/>
        <v/>
      </c>
      <c r="I788" s="31"/>
      <c r="J788" s="31"/>
      <c r="K788" s="33"/>
      <c r="W788">
        <f>IF($A2="","",COUNTIF('07_Pallet_Contents'!$A$2:$A$3000,$A2))</f>
        <v>0</v>
      </c>
      <c r="X788">
        <f>IF($A2="","",SUMIF('07_Pallet_Contents'!$A$2:$A$3000,$A2,'07_Pallet_Contents'!$D$2:$D$3000))</f>
        <v>0</v>
      </c>
      <c r="Y788">
        <f>IF($A2="","",SUMIF('07_Pallet_Contents'!$A$2:$A$3000,$A2,'07_Pallet_Contents'!$I$2:$I$3000))</f>
        <v>0</v>
      </c>
      <c r="Z788" t="str">
        <f>IF($A2="","",IF(COUNTIF('07_Pallet_Contents'!$A$2:$A$3000,$A2)&gt;0,"Yes",""))</f>
        <v/>
      </c>
    </row>
    <row r="789" spans="2:26">
      <c r="B789" s="31"/>
      <c r="G789" s="34"/>
      <c r="H789" s="33" t="str">
        <f t="shared" si="20"/>
        <v/>
      </c>
      <c r="I789" s="31"/>
      <c r="J789" s="31"/>
      <c r="K789" s="33"/>
      <c r="W789">
        <f>IF($A2="","",COUNTIF('07_Pallet_Contents'!$A$2:$A$3000,$A2))</f>
        <v>0</v>
      </c>
      <c r="X789">
        <f>IF($A2="","",SUMIF('07_Pallet_Contents'!$A$2:$A$3000,$A2,'07_Pallet_Contents'!$D$2:$D$3000))</f>
        <v>0</v>
      </c>
      <c r="Y789">
        <f>IF($A2="","",SUMIF('07_Pallet_Contents'!$A$2:$A$3000,$A2,'07_Pallet_Contents'!$I$2:$I$3000))</f>
        <v>0</v>
      </c>
      <c r="Z789" t="str">
        <f>IF($A2="","",IF(COUNTIF('07_Pallet_Contents'!$A$2:$A$3000,$A2)&gt;0,"Yes",""))</f>
        <v/>
      </c>
    </row>
    <row r="790" spans="2:26">
      <c r="B790" s="31"/>
      <c r="G790" s="34"/>
      <c r="H790" s="33" t="str">
        <f t="shared" si="20"/>
        <v/>
      </c>
      <c r="I790" s="31"/>
      <c r="J790" s="31"/>
      <c r="K790" s="33"/>
      <c r="W790">
        <f>IF($A2="","",COUNTIF('07_Pallet_Contents'!$A$2:$A$3000,$A2))</f>
        <v>0</v>
      </c>
      <c r="X790">
        <f>IF($A2="","",SUMIF('07_Pallet_Contents'!$A$2:$A$3000,$A2,'07_Pallet_Contents'!$D$2:$D$3000))</f>
        <v>0</v>
      </c>
      <c r="Y790">
        <f>IF($A2="","",SUMIF('07_Pallet_Contents'!$A$2:$A$3000,$A2,'07_Pallet_Contents'!$I$2:$I$3000))</f>
        <v>0</v>
      </c>
      <c r="Z790" t="str">
        <f>IF($A2="","",IF(COUNTIF('07_Pallet_Contents'!$A$2:$A$3000,$A2)&gt;0,"Yes",""))</f>
        <v/>
      </c>
    </row>
    <row r="791" spans="2:26">
      <c r="B791" s="31"/>
      <c r="G791" s="34"/>
      <c r="H791" s="33" t="str">
        <f t="shared" si="20"/>
        <v/>
      </c>
      <c r="I791" s="31"/>
      <c r="J791" s="31"/>
      <c r="K791" s="33"/>
      <c r="W791">
        <f>IF($A2="","",COUNTIF('07_Pallet_Contents'!$A$2:$A$3000,$A2))</f>
        <v>0</v>
      </c>
      <c r="X791">
        <f>IF($A2="","",SUMIF('07_Pallet_Contents'!$A$2:$A$3000,$A2,'07_Pallet_Contents'!$D$2:$D$3000))</f>
        <v>0</v>
      </c>
      <c r="Y791">
        <f>IF($A2="","",SUMIF('07_Pallet_Contents'!$A$2:$A$3000,$A2,'07_Pallet_Contents'!$I$2:$I$3000))</f>
        <v>0</v>
      </c>
      <c r="Z791" t="str">
        <f>IF($A2="","",IF(COUNTIF('07_Pallet_Contents'!$A$2:$A$3000,$A2)&gt;0,"Yes",""))</f>
        <v/>
      </c>
    </row>
    <row r="792" spans="2:26">
      <c r="B792" s="31"/>
      <c r="G792" s="34"/>
      <c r="H792" s="33" t="str">
        <f t="shared" si="20"/>
        <v/>
      </c>
      <c r="I792" s="31"/>
      <c r="J792" s="31"/>
      <c r="K792" s="33"/>
      <c r="W792">
        <f>IF($A2="","",COUNTIF('07_Pallet_Contents'!$A$2:$A$3000,$A2))</f>
        <v>0</v>
      </c>
      <c r="X792">
        <f>IF($A2="","",SUMIF('07_Pallet_Contents'!$A$2:$A$3000,$A2,'07_Pallet_Contents'!$D$2:$D$3000))</f>
        <v>0</v>
      </c>
      <c r="Y792">
        <f>IF($A2="","",SUMIF('07_Pallet_Contents'!$A$2:$A$3000,$A2,'07_Pallet_Contents'!$I$2:$I$3000))</f>
        <v>0</v>
      </c>
      <c r="Z792" t="str">
        <f>IF($A2="","",IF(COUNTIF('07_Pallet_Contents'!$A$2:$A$3000,$A2)&gt;0,"Yes",""))</f>
        <v/>
      </c>
    </row>
    <row r="793" spans="2:26">
      <c r="B793" s="31"/>
      <c r="G793" s="34"/>
      <c r="H793" s="33" t="str">
        <f t="shared" si="20"/>
        <v/>
      </c>
      <c r="I793" s="31"/>
      <c r="J793" s="31"/>
      <c r="K793" s="33"/>
      <c r="W793">
        <f>IF($A2="","",COUNTIF('07_Pallet_Contents'!$A$2:$A$3000,$A2))</f>
        <v>0</v>
      </c>
      <c r="X793">
        <f>IF($A2="","",SUMIF('07_Pallet_Contents'!$A$2:$A$3000,$A2,'07_Pallet_Contents'!$D$2:$D$3000))</f>
        <v>0</v>
      </c>
      <c r="Y793">
        <f>IF($A2="","",SUMIF('07_Pallet_Contents'!$A$2:$A$3000,$A2,'07_Pallet_Contents'!$I$2:$I$3000))</f>
        <v>0</v>
      </c>
      <c r="Z793" t="str">
        <f>IF($A2="","",IF(COUNTIF('07_Pallet_Contents'!$A$2:$A$3000,$A2)&gt;0,"Yes",""))</f>
        <v/>
      </c>
    </row>
    <row r="794" spans="2:26">
      <c r="B794" s="31"/>
      <c r="G794" s="34"/>
      <c r="H794" s="33" t="str">
        <f t="shared" si="20"/>
        <v/>
      </c>
      <c r="I794" s="31"/>
      <c r="J794" s="31"/>
      <c r="K794" s="33"/>
      <c r="W794">
        <f>IF($A2="","",COUNTIF('07_Pallet_Contents'!$A$2:$A$3000,$A2))</f>
        <v>0</v>
      </c>
      <c r="X794">
        <f>IF($A2="","",SUMIF('07_Pallet_Contents'!$A$2:$A$3000,$A2,'07_Pallet_Contents'!$D$2:$D$3000))</f>
        <v>0</v>
      </c>
      <c r="Y794">
        <f>IF($A2="","",SUMIF('07_Pallet_Contents'!$A$2:$A$3000,$A2,'07_Pallet_Contents'!$I$2:$I$3000))</f>
        <v>0</v>
      </c>
      <c r="Z794" t="str">
        <f>IF($A2="","",IF(COUNTIF('07_Pallet_Contents'!$A$2:$A$3000,$A2)&gt;0,"Yes",""))</f>
        <v/>
      </c>
    </row>
    <row r="795" spans="2:26">
      <c r="B795" s="31"/>
      <c r="G795" s="34"/>
      <c r="H795" s="33" t="str">
        <f t="shared" si="20"/>
        <v/>
      </c>
      <c r="I795" s="31"/>
      <c r="J795" s="31"/>
      <c r="K795" s="33"/>
      <c r="W795">
        <f>IF($A2="","",COUNTIF('07_Pallet_Contents'!$A$2:$A$3000,$A2))</f>
        <v>0</v>
      </c>
      <c r="X795">
        <f>IF($A2="","",SUMIF('07_Pallet_Contents'!$A$2:$A$3000,$A2,'07_Pallet_Contents'!$D$2:$D$3000))</f>
        <v>0</v>
      </c>
      <c r="Y795">
        <f>IF($A2="","",SUMIF('07_Pallet_Contents'!$A$2:$A$3000,$A2,'07_Pallet_Contents'!$I$2:$I$3000))</f>
        <v>0</v>
      </c>
      <c r="Z795" t="str">
        <f>IF($A2="","",IF(COUNTIF('07_Pallet_Contents'!$A$2:$A$3000,$A2)&gt;0,"Yes",""))</f>
        <v/>
      </c>
    </row>
    <row r="796" spans="2:26">
      <c r="B796" s="31"/>
      <c r="G796" s="34"/>
      <c r="H796" s="33" t="str">
        <f t="shared" si="20"/>
        <v/>
      </c>
      <c r="I796" s="31"/>
      <c r="J796" s="31"/>
      <c r="K796" s="33"/>
      <c r="W796">
        <f>IF($A2="","",COUNTIF('07_Pallet_Contents'!$A$2:$A$3000,$A2))</f>
        <v>0</v>
      </c>
      <c r="X796">
        <f>IF($A2="","",SUMIF('07_Pallet_Contents'!$A$2:$A$3000,$A2,'07_Pallet_Contents'!$D$2:$D$3000))</f>
        <v>0</v>
      </c>
      <c r="Y796">
        <f>IF($A2="","",SUMIF('07_Pallet_Contents'!$A$2:$A$3000,$A2,'07_Pallet_Contents'!$I$2:$I$3000))</f>
        <v>0</v>
      </c>
      <c r="Z796" t="str">
        <f>IF($A2="","",IF(COUNTIF('07_Pallet_Contents'!$A$2:$A$3000,$A2)&gt;0,"Yes",""))</f>
        <v/>
      </c>
    </row>
    <row r="797" spans="2:26">
      <c r="B797" s="31"/>
      <c r="G797" s="34"/>
      <c r="H797" s="33" t="str">
        <f t="shared" si="20"/>
        <v/>
      </c>
      <c r="I797" s="31"/>
      <c r="J797" s="31"/>
      <c r="K797" s="33"/>
      <c r="W797">
        <f>IF($A2="","",COUNTIF('07_Pallet_Contents'!$A$2:$A$3000,$A2))</f>
        <v>0</v>
      </c>
      <c r="X797">
        <f>IF($A2="","",SUMIF('07_Pallet_Contents'!$A$2:$A$3000,$A2,'07_Pallet_Contents'!$D$2:$D$3000))</f>
        <v>0</v>
      </c>
      <c r="Y797">
        <f>IF($A2="","",SUMIF('07_Pallet_Contents'!$A$2:$A$3000,$A2,'07_Pallet_Contents'!$I$2:$I$3000))</f>
        <v>0</v>
      </c>
      <c r="Z797" t="str">
        <f>IF($A2="","",IF(COUNTIF('07_Pallet_Contents'!$A$2:$A$3000,$A2)&gt;0,"Yes",""))</f>
        <v/>
      </c>
    </row>
    <row r="798" spans="2:26">
      <c r="B798" s="31"/>
      <c r="G798" s="34"/>
      <c r="H798" s="33" t="str">
        <f t="shared" si="20"/>
        <v/>
      </c>
      <c r="I798" s="31"/>
      <c r="J798" s="31"/>
      <c r="K798" s="33"/>
      <c r="W798">
        <f>IF($A2="","",COUNTIF('07_Pallet_Contents'!$A$2:$A$3000,$A2))</f>
        <v>0</v>
      </c>
      <c r="X798">
        <f>IF($A2="","",SUMIF('07_Pallet_Contents'!$A$2:$A$3000,$A2,'07_Pallet_Contents'!$D$2:$D$3000))</f>
        <v>0</v>
      </c>
      <c r="Y798">
        <f>IF($A2="","",SUMIF('07_Pallet_Contents'!$A$2:$A$3000,$A2,'07_Pallet_Contents'!$I$2:$I$3000))</f>
        <v>0</v>
      </c>
      <c r="Z798" t="str">
        <f>IF($A2="","",IF(COUNTIF('07_Pallet_Contents'!$A$2:$A$3000,$A2)&gt;0,"Yes",""))</f>
        <v/>
      </c>
    </row>
    <row r="799" spans="2:26">
      <c r="B799" s="31"/>
      <c r="G799" s="34"/>
      <c r="H799" s="33" t="str">
        <f t="shared" si="20"/>
        <v/>
      </c>
      <c r="I799" s="31"/>
      <c r="J799" s="31"/>
      <c r="K799" s="33"/>
      <c r="W799">
        <f>IF($A2="","",COUNTIF('07_Pallet_Contents'!$A$2:$A$3000,$A2))</f>
        <v>0</v>
      </c>
      <c r="X799">
        <f>IF($A2="","",SUMIF('07_Pallet_Contents'!$A$2:$A$3000,$A2,'07_Pallet_Contents'!$D$2:$D$3000))</f>
        <v>0</v>
      </c>
      <c r="Y799">
        <f>IF($A2="","",SUMIF('07_Pallet_Contents'!$A$2:$A$3000,$A2,'07_Pallet_Contents'!$I$2:$I$3000))</f>
        <v>0</v>
      </c>
      <c r="Z799" t="str">
        <f>IF($A2="","",IF(COUNTIF('07_Pallet_Contents'!$A$2:$A$3000,$A2)&gt;0,"Yes",""))</f>
        <v/>
      </c>
    </row>
    <row r="800" spans="2:26">
      <c r="B800" s="31"/>
      <c r="G800" s="34"/>
      <c r="H800" s="33" t="str">
        <f t="shared" si="20"/>
        <v/>
      </c>
      <c r="I800" s="31"/>
      <c r="J800" s="31"/>
      <c r="K800" s="33"/>
      <c r="W800">
        <f>IF($A2="","",COUNTIF('07_Pallet_Contents'!$A$2:$A$3000,$A2))</f>
        <v>0</v>
      </c>
      <c r="X800">
        <f>IF($A2="","",SUMIF('07_Pallet_Contents'!$A$2:$A$3000,$A2,'07_Pallet_Contents'!$D$2:$D$3000))</f>
        <v>0</v>
      </c>
      <c r="Y800">
        <f>IF($A2="","",SUMIF('07_Pallet_Contents'!$A$2:$A$3000,$A2,'07_Pallet_Contents'!$I$2:$I$3000))</f>
        <v>0</v>
      </c>
      <c r="Z800" t="str">
        <f>IF($A2="","",IF(COUNTIF('07_Pallet_Contents'!$A$2:$A$3000,$A2)&gt;0,"Yes",""))</f>
        <v/>
      </c>
    </row>
    <row r="801" spans="2:26">
      <c r="B801" s="31"/>
      <c r="G801" s="34"/>
      <c r="H801" s="33" t="str">
        <f t="shared" si="20"/>
        <v/>
      </c>
      <c r="I801" s="31"/>
      <c r="J801" s="31"/>
      <c r="K801" s="33"/>
      <c r="W801">
        <f>IF($A2="","",COUNTIF('07_Pallet_Contents'!$A$2:$A$3000,$A2))</f>
        <v>0</v>
      </c>
      <c r="X801">
        <f>IF($A2="","",SUMIF('07_Pallet_Contents'!$A$2:$A$3000,$A2,'07_Pallet_Contents'!$D$2:$D$3000))</f>
        <v>0</v>
      </c>
      <c r="Y801">
        <f>IF($A2="","",SUMIF('07_Pallet_Contents'!$A$2:$A$3000,$A2,'07_Pallet_Contents'!$I$2:$I$3000))</f>
        <v>0</v>
      </c>
      <c r="Z801" t="str">
        <f>IF($A2="","",IF(COUNTIF('07_Pallet_Contents'!$A$2:$A$3000,$A2)&gt;0,"Yes",""))</f>
        <v/>
      </c>
    </row>
    <row r="802" spans="2:26">
      <c r="B802" s="31"/>
      <c r="G802" s="34"/>
      <c r="H802" s="33" t="str">
        <f t="shared" si="20"/>
        <v/>
      </c>
      <c r="I802" s="31"/>
      <c r="J802" s="31"/>
      <c r="K802" s="33"/>
      <c r="W802">
        <f>IF($A2="","",COUNTIF('07_Pallet_Contents'!$A$2:$A$3000,$A2))</f>
        <v>0</v>
      </c>
      <c r="X802">
        <f>IF($A2="","",SUMIF('07_Pallet_Contents'!$A$2:$A$3000,$A2,'07_Pallet_Contents'!$D$2:$D$3000))</f>
        <v>0</v>
      </c>
      <c r="Y802">
        <f>IF($A2="","",SUMIF('07_Pallet_Contents'!$A$2:$A$3000,$A2,'07_Pallet_Contents'!$I$2:$I$3000))</f>
        <v>0</v>
      </c>
      <c r="Z802" t="str">
        <f>IF($A2="","",IF(COUNTIF('07_Pallet_Contents'!$A$2:$A$3000,$A2)&gt;0,"Yes",""))</f>
        <v/>
      </c>
    </row>
    <row r="803" spans="2:26">
      <c r="B803" s="31"/>
      <c r="G803" s="34"/>
      <c r="H803" s="33" t="str">
        <f t="shared" si="20"/>
        <v/>
      </c>
      <c r="I803" s="31"/>
      <c r="J803" s="31"/>
      <c r="K803" s="33"/>
      <c r="W803">
        <f>IF($A2="","",COUNTIF('07_Pallet_Contents'!$A$2:$A$3000,$A2))</f>
        <v>0</v>
      </c>
      <c r="X803">
        <f>IF($A2="","",SUMIF('07_Pallet_Contents'!$A$2:$A$3000,$A2,'07_Pallet_Contents'!$D$2:$D$3000))</f>
        <v>0</v>
      </c>
      <c r="Y803">
        <f>IF($A2="","",SUMIF('07_Pallet_Contents'!$A$2:$A$3000,$A2,'07_Pallet_Contents'!$I$2:$I$3000))</f>
        <v>0</v>
      </c>
      <c r="Z803" t="str">
        <f>IF($A2="","",IF(COUNTIF('07_Pallet_Contents'!$A$2:$A$3000,$A2)&gt;0,"Yes",""))</f>
        <v/>
      </c>
    </row>
    <row r="804" spans="2:26">
      <c r="B804" s="31"/>
      <c r="G804" s="34"/>
      <c r="H804" s="33" t="str">
        <f t="shared" si="20"/>
        <v/>
      </c>
      <c r="I804" s="31"/>
      <c r="J804" s="31"/>
      <c r="K804" s="33"/>
      <c r="W804">
        <f>IF($A2="","",COUNTIF('07_Pallet_Contents'!$A$2:$A$3000,$A2))</f>
        <v>0</v>
      </c>
      <c r="X804">
        <f>IF($A2="","",SUMIF('07_Pallet_Contents'!$A$2:$A$3000,$A2,'07_Pallet_Contents'!$D$2:$D$3000))</f>
        <v>0</v>
      </c>
      <c r="Y804">
        <f>IF($A2="","",SUMIF('07_Pallet_Contents'!$A$2:$A$3000,$A2,'07_Pallet_Contents'!$I$2:$I$3000))</f>
        <v>0</v>
      </c>
      <c r="Z804" t="str">
        <f>IF($A2="","",IF(COUNTIF('07_Pallet_Contents'!$A$2:$A$3000,$A2)&gt;0,"Yes",""))</f>
        <v/>
      </c>
    </row>
    <row r="805" spans="2:26">
      <c r="B805" s="31"/>
      <c r="G805" s="34"/>
      <c r="H805" s="33" t="str">
        <f t="shared" si="20"/>
        <v/>
      </c>
      <c r="I805" s="31"/>
      <c r="J805" s="31"/>
      <c r="K805" s="33"/>
      <c r="W805">
        <f>IF($A2="","",COUNTIF('07_Pallet_Contents'!$A$2:$A$3000,$A2))</f>
        <v>0</v>
      </c>
      <c r="X805">
        <f>IF($A2="","",SUMIF('07_Pallet_Contents'!$A$2:$A$3000,$A2,'07_Pallet_Contents'!$D$2:$D$3000))</f>
        <v>0</v>
      </c>
      <c r="Y805">
        <f>IF($A2="","",SUMIF('07_Pallet_Contents'!$A$2:$A$3000,$A2,'07_Pallet_Contents'!$I$2:$I$3000))</f>
        <v>0</v>
      </c>
      <c r="Z805" t="str">
        <f>IF($A2="","",IF(COUNTIF('07_Pallet_Contents'!$A$2:$A$3000,$A2)&gt;0,"Yes",""))</f>
        <v/>
      </c>
    </row>
    <row r="806" spans="2:26">
      <c r="B806" s="31"/>
      <c r="G806" s="34"/>
      <c r="H806" s="33" t="str">
        <f t="shared" si="20"/>
        <v/>
      </c>
      <c r="I806" s="31"/>
      <c r="J806" s="31"/>
      <c r="K806" s="33"/>
      <c r="W806">
        <f>IF($A2="","",COUNTIF('07_Pallet_Contents'!$A$2:$A$3000,$A2))</f>
        <v>0</v>
      </c>
      <c r="X806">
        <f>IF($A2="","",SUMIF('07_Pallet_Contents'!$A$2:$A$3000,$A2,'07_Pallet_Contents'!$D$2:$D$3000))</f>
        <v>0</v>
      </c>
      <c r="Y806">
        <f>IF($A2="","",SUMIF('07_Pallet_Contents'!$A$2:$A$3000,$A2,'07_Pallet_Contents'!$I$2:$I$3000))</f>
        <v>0</v>
      </c>
      <c r="Z806" t="str">
        <f>IF($A2="","",IF(COUNTIF('07_Pallet_Contents'!$A$2:$A$3000,$A2)&gt;0,"Yes",""))</f>
        <v/>
      </c>
    </row>
    <row r="807" spans="2:26">
      <c r="B807" s="31"/>
      <c r="G807" s="34"/>
      <c r="H807" s="33" t="str">
        <f t="shared" si="20"/>
        <v/>
      </c>
      <c r="I807" s="31"/>
      <c r="J807" s="31"/>
      <c r="K807" s="33"/>
      <c r="W807">
        <f>IF($A2="","",COUNTIF('07_Pallet_Contents'!$A$2:$A$3000,$A2))</f>
        <v>0</v>
      </c>
      <c r="X807">
        <f>IF($A2="","",SUMIF('07_Pallet_Contents'!$A$2:$A$3000,$A2,'07_Pallet_Contents'!$D$2:$D$3000))</f>
        <v>0</v>
      </c>
      <c r="Y807">
        <f>IF($A2="","",SUMIF('07_Pallet_Contents'!$A$2:$A$3000,$A2,'07_Pallet_Contents'!$I$2:$I$3000))</f>
        <v>0</v>
      </c>
      <c r="Z807" t="str">
        <f>IF($A2="","",IF(COUNTIF('07_Pallet_Contents'!$A$2:$A$3000,$A2)&gt;0,"Yes",""))</f>
        <v/>
      </c>
    </row>
    <row r="808" spans="2:26">
      <c r="B808" s="31"/>
      <c r="G808" s="34"/>
      <c r="H808" s="33" t="str">
        <f t="shared" si="20"/>
        <v/>
      </c>
      <c r="I808" s="31"/>
      <c r="J808" s="31"/>
      <c r="K808" s="33"/>
      <c r="W808">
        <f>IF($A2="","",COUNTIF('07_Pallet_Contents'!$A$2:$A$3000,$A2))</f>
        <v>0</v>
      </c>
      <c r="X808">
        <f>IF($A2="","",SUMIF('07_Pallet_Contents'!$A$2:$A$3000,$A2,'07_Pallet_Contents'!$D$2:$D$3000))</f>
        <v>0</v>
      </c>
      <c r="Y808">
        <f>IF($A2="","",SUMIF('07_Pallet_Contents'!$A$2:$A$3000,$A2,'07_Pallet_Contents'!$I$2:$I$3000))</f>
        <v>0</v>
      </c>
      <c r="Z808" t="str">
        <f>IF($A2="","",IF(COUNTIF('07_Pallet_Contents'!$A$2:$A$3000,$A2)&gt;0,"Yes",""))</f>
        <v/>
      </c>
    </row>
    <row r="809" spans="2:26">
      <c r="B809" s="31"/>
      <c r="G809" s="34"/>
      <c r="H809" s="33" t="str">
        <f t="shared" si="20"/>
        <v/>
      </c>
      <c r="I809" s="31"/>
      <c r="J809" s="31"/>
      <c r="K809" s="33"/>
      <c r="W809">
        <f>IF($A2="","",COUNTIF('07_Pallet_Contents'!$A$2:$A$3000,$A2))</f>
        <v>0</v>
      </c>
      <c r="X809">
        <f>IF($A2="","",SUMIF('07_Pallet_Contents'!$A$2:$A$3000,$A2,'07_Pallet_Contents'!$D$2:$D$3000))</f>
        <v>0</v>
      </c>
      <c r="Y809">
        <f>IF($A2="","",SUMIF('07_Pallet_Contents'!$A$2:$A$3000,$A2,'07_Pallet_Contents'!$I$2:$I$3000))</f>
        <v>0</v>
      </c>
      <c r="Z809" t="str">
        <f>IF($A2="","",IF(COUNTIF('07_Pallet_Contents'!$A$2:$A$3000,$A2)&gt;0,"Yes",""))</f>
        <v/>
      </c>
    </row>
    <row r="810" spans="2:26">
      <c r="B810" s="31"/>
      <c r="G810" s="34"/>
      <c r="H810" s="33" t="str">
        <f t="shared" si="20"/>
        <v/>
      </c>
      <c r="I810" s="31"/>
      <c r="J810" s="31"/>
      <c r="K810" s="33"/>
      <c r="W810">
        <f>IF($A2="","",COUNTIF('07_Pallet_Contents'!$A$2:$A$3000,$A2))</f>
        <v>0</v>
      </c>
      <c r="X810">
        <f>IF($A2="","",SUMIF('07_Pallet_Contents'!$A$2:$A$3000,$A2,'07_Pallet_Contents'!$D$2:$D$3000))</f>
        <v>0</v>
      </c>
      <c r="Y810">
        <f>IF($A2="","",SUMIF('07_Pallet_Contents'!$A$2:$A$3000,$A2,'07_Pallet_Contents'!$I$2:$I$3000))</f>
        <v>0</v>
      </c>
      <c r="Z810" t="str">
        <f>IF($A2="","",IF(COUNTIF('07_Pallet_Contents'!$A$2:$A$3000,$A2)&gt;0,"Yes",""))</f>
        <v/>
      </c>
    </row>
    <row r="811" spans="2:26">
      <c r="B811" s="31"/>
      <c r="G811" s="34"/>
      <c r="H811" s="33" t="str">
        <f t="shared" si="20"/>
        <v/>
      </c>
      <c r="I811" s="31"/>
      <c r="J811" s="31"/>
      <c r="K811" s="33"/>
      <c r="W811">
        <f>IF($A2="","",COUNTIF('07_Pallet_Contents'!$A$2:$A$3000,$A2))</f>
        <v>0</v>
      </c>
      <c r="X811">
        <f>IF($A2="","",SUMIF('07_Pallet_Contents'!$A$2:$A$3000,$A2,'07_Pallet_Contents'!$D$2:$D$3000))</f>
        <v>0</v>
      </c>
      <c r="Y811">
        <f>IF($A2="","",SUMIF('07_Pallet_Contents'!$A$2:$A$3000,$A2,'07_Pallet_Contents'!$I$2:$I$3000))</f>
        <v>0</v>
      </c>
      <c r="Z811" t="str">
        <f>IF($A2="","",IF(COUNTIF('07_Pallet_Contents'!$A$2:$A$3000,$A2)&gt;0,"Yes",""))</f>
        <v/>
      </c>
    </row>
    <row r="812" spans="2:26">
      <c r="B812" s="31"/>
      <c r="G812" s="34"/>
      <c r="H812" s="33" t="str">
        <f t="shared" si="20"/>
        <v/>
      </c>
      <c r="I812" s="31"/>
      <c r="J812" s="31"/>
      <c r="K812" s="33"/>
      <c r="W812">
        <f>IF($A2="","",COUNTIF('07_Pallet_Contents'!$A$2:$A$3000,$A2))</f>
        <v>0</v>
      </c>
      <c r="X812">
        <f>IF($A2="","",SUMIF('07_Pallet_Contents'!$A$2:$A$3000,$A2,'07_Pallet_Contents'!$D$2:$D$3000))</f>
        <v>0</v>
      </c>
      <c r="Y812">
        <f>IF($A2="","",SUMIF('07_Pallet_Contents'!$A$2:$A$3000,$A2,'07_Pallet_Contents'!$I$2:$I$3000))</f>
        <v>0</v>
      </c>
      <c r="Z812" t="str">
        <f>IF($A2="","",IF(COUNTIF('07_Pallet_Contents'!$A$2:$A$3000,$A2)&gt;0,"Yes",""))</f>
        <v/>
      </c>
    </row>
    <row r="813" spans="2:26">
      <c r="B813" s="31"/>
      <c r="G813" s="34"/>
      <c r="H813" s="33" t="str">
        <f t="shared" si="20"/>
        <v/>
      </c>
      <c r="I813" s="31"/>
      <c r="J813" s="31"/>
      <c r="K813" s="33"/>
      <c r="W813">
        <f>IF($A2="","",COUNTIF('07_Pallet_Contents'!$A$2:$A$3000,$A2))</f>
        <v>0</v>
      </c>
      <c r="X813">
        <f>IF($A2="","",SUMIF('07_Pallet_Contents'!$A$2:$A$3000,$A2,'07_Pallet_Contents'!$D$2:$D$3000))</f>
        <v>0</v>
      </c>
      <c r="Y813">
        <f>IF($A2="","",SUMIF('07_Pallet_Contents'!$A$2:$A$3000,$A2,'07_Pallet_Contents'!$I$2:$I$3000))</f>
        <v>0</v>
      </c>
      <c r="Z813" t="str">
        <f>IF($A2="","",IF(COUNTIF('07_Pallet_Contents'!$A$2:$A$3000,$A2)&gt;0,"Yes",""))</f>
        <v/>
      </c>
    </row>
    <row r="814" spans="2:26">
      <c r="B814" s="31"/>
      <c r="G814" s="34"/>
      <c r="H814" s="33" t="str">
        <f t="shared" si="20"/>
        <v/>
      </c>
      <c r="I814" s="31"/>
      <c r="J814" s="31"/>
      <c r="K814" s="33"/>
      <c r="W814">
        <f>IF($A2="","",COUNTIF('07_Pallet_Contents'!$A$2:$A$3000,$A2))</f>
        <v>0</v>
      </c>
      <c r="X814">
        <f>IF($A2="","",SUMIF('07_Pallet_Contents'!$A$2:$A$3000,$A2,'07_Pallet_Contents'!$D$2:$D$3000))</f>
        <v>0</v>
      </c>
      <c r="Y814">
        <f>IF($A2="","",SUMIF('07_Pallet_Contents'!$A$2:$A$3000,$A2,'07_Pallet_Contents'!$I$2:$I$3000))</f>
        <v>0</v>
      </c>
      <c r="Z814" t="str">
        <f>IF($A2="","",IF(COUNTIF('07_Pallet_Contents'!$A$2:$A$3000,$A2)&gt;0,"Yes",""))</f>
        <v/>
      </c>
    </row>
    <row r="815" spans="2:26">
      <c r="B815" s="31"/>
      <c r="G815" s="34"/>
      <c r="H815" s="33" t="str">
        <f t="shared" si="20"/>
        <v/>
      </c>
      <c r="I815" s="31"/>
      <c r="J815" s="31"/>
      <c r="K815" s="33"/>
      <c r="W815">
        <f>IF($A2="","",COUNTIF('07_Pallet_Contents'!$A$2:$A$3000,$A2))</f>
        <v>0</v>
      </c>
      <c r="X815">
        <f>IF($A2="","",SUMIF('07_Pallet_Contents'!$A$2:$A$3000,$A2,'07_Pallet_Contents'!$D$2:$D$3000))</f>
        <v>0</v>
      </c>
      <c r="Y815">
        <f>IF($A2="","",SUMIF('07_Pallet_Contents'!$A$2:$A$3000,$A2,'07_Pallet_Contents'!$I$2:$I$3000))</f>
        <v>0</v>
      </c>
      <c r="Z815" t="str">
        <f>IF($A2="","",IF(COUNTIF('07_Pallet_Contents'!$A$2:$A$3000,$A2)&gt;0,"Yes",""))</f>
        <v/>
      </c>
    </row>
    <row r="816" spans="2:26">
      <c r="B816" s="31"/>
      <c r="G816" s="34"/>
      <c r="H816" s="33" t="str">
        <f t="shared" si="20"/>
        <v/>
      </c>
      <c r="I816" s="31"/>
      <c r="J816" s="31"/>
      <c r="K816" s="33"/>
      <c r="W816">
        <f>IF($A2="","",COUNTIF('07_Pallet_Contents'!$A$2:$A$3000,$A2))</f>
        <v>0</v>
      </c>
      <c r="X816">
        <f>IF($A2="","",SUMIF('07_Pallet_Contents'!$A$2:$A$3000,$A2,'07_Pallet_Contents'!$D$2:$D$3000))</f>
        <v>0</v>
      </c>
      <c r="Y816">
        <f>IF($A2="","",SUMIF('07_Pallet_Contents'!$A$2:$A$3000,$A2,'07_Pallet_Contents'!$I$2:$I$3000))</f>
        <v>0</v>
      </c>
      <c r="Z816" t="str">
        <f>IF($A2="","",IF(COUNTIF('07_Pallet_Contents'!$A$2:$A$3000,$A2)&gt;0,"Yes",""))</f>
        <v/>
      </c>
    </row>
    <row r="817" spans="2:26">
      <c r="B817" s="31"/>
      <c r="G817" s="34"/>
      <c r="H817" s="33" t="str">
        <f t="shared" si="20"/>
        <v/>
      </c>
      <c r="I817" s="31"/>
      <c r="J817" s="31"/>
      <c r="K817" s="33"/>
      <c r="W817">
        <f>IF($A2="","",COUNTIF('07_Pallet_Contents'!$A$2:$A$3000,$A2))</f>
        <v>0</v>
      </c>
      <c r="X817">
        <f>IF($A2="","",SUMIF('07_Pallet_Contents'!$A$2:$A$3000,$A2,'07_Pallet_Contents'!$D$2:$D$3000))</f>
        <v>0</v>
      </c>
      <c r="Y817">
        <f>IF($A2="","",SUMIF('07_Pallet_Contents'!$A$2:$A$3000,$A2,'07_Pallet_Contents'!$I$2:$I$3000))</f>
        <v>0</v>
      </c>
      <c r="Z817" t="str">
        <f>IF($A2="","",IF(COUNTIF('07_Pallet_Contents'!$A$2:$A$3000,$A2)&gt;0,"Yes",""))</f>
        <v/>
      </c>
    </row>
    <row r="818" spans="2:26">
      <c r="B818" s="31"/>
      <c r="G818" s="34"/>
      <c r="H818" s="33" t="str">
        <f t="shared" si="20"/>
        <v/>
      </c>
      <c r="I818" s="31"/>
      <c r="J818" s="31"/>
      <c r="K818" s="33"/>
      <c r="W818">
        <f>IF($A2="","",COUNTIF('07_Pallet_Contents'!$A$2:$A$3000,$A2))</f>
        <v>0</v>
      </c>
      <c r="X818">
        <f>IF($A2="","",SUMIF('07_Pallet_Contents'!$A$2:$A$3000,$A2,'07_Pallet_Contents'!$D$2:$D$3000))</f>
        <v>0</v>
      </c>
      <c r="Y818">
        <f>IF($A2="","",SUMIF('07_Pallet_Contents'!$A$2:$A$3000,$A2,'07_Pallet_Contents'!$I$2:$I$3000))</f>
        <v>0</v>
      </c>
      <c r="Z818" t="str">
        <f>IF($A2="","",IF(COUNTIF('07_Pallet_Contents'!$A$2:$A$3000,$A2)&gt;0,"Yes",""))</f>
        <v/>
      </c>
    </row>
    <row r="819" spans="2:26">
      <c r="B819" s="31"/>
      <c r="G819" s="34"/>
      <c r="H819" s="33" t="str">
        <f t="shared" si="20"/>
        <v/>
      </c>
      <c r="I819" s="31"/>
      <c r="J819" s="31"/>
      <c r="K819" s="33"/>
      <c r="W819">
        <f>IF($A2="","",COUNTIF('07_Pallet_Contents'!$A$2:$A$3000,$A2))</f>
        <v>0</v>
      </c>
      <c r="X819">
        <f>IF($A2="","",SUMIF('07_Pallet_Contents'!$A$2:$A$3000,$A2,'07_Pallet_Contents'!$D$2:$D$3000))</f>
        <v>0</v>
      </c>
      <c r="Y819">
        <f>IF($A2="","",SUMIF('07_Pallet_Contents'!$A$2:$A$3000,$A2,'07_Pallet_Contents'!$I$2:$I$3000))</f>
        <v>0</v>
      </c>
      <c r="Z819" t="str">
        <f>IF($A2="","",IF(COUNTIF('07_Pallet_Contents'!$A$2:$A$3000,$A2)&gt;0,"Yes",""))</f>
        <v/>
      </c>
    </row>
    <row r="820" spans="2:26">
      <c r="B820" s="31"/>
      <c r="G820" s="34"/>
      <c r="H820" s="33" t="str">
        <f t="shared" si="20"/>
        <v/>
      </c>
      <c r="I820" s="31"/>
      <c r="J820" s="31"/>
      <c r="K820" s="33"/>
      <c r="W820">
        <f>IF($A2="","",COUNTIF('07_Pallet_Contents'!$A$2:$A$3000,$A2))</f>
        <v>0</v>
      </c>
      <c r="X820">
        <f>IF($A2="","",SUMIF('07_Pallet_Contents'!$A$2:$A$3000,$A2,'07_Pallet_Contents'!$D$2:$D$3000))</f>
        <v>0</v>
      </c>
      <c r="Y820">
        <f>IF($A2="","",SUMIF('07_Pallet_Contents'!$A$2:$A$3000,$A2,'07_Pallet_Contents'!$I$2:$I$3000))</f>
        <v>0</v>
      </c>
      <c r="Z820" t="str">
        <f>IF($A2="","",IF(COUNTIF('07_Pallet_Contents'!$A$2:$A$3000,$A2)&gt;0,"Yes",""))</f>
        <v/>
      </c>
    </row>
    <row r="821" spans="2:26">
      <c r="B821" s="31"/>
      <c r="G821" s="34"/>
      <c r="H821" s="33" t="str">
        <f t="shared" si="20"/>
        <v/>
      </c>
      <c r="I821" s="31"/>
      <c r="J821" s="31"/>
      <c r="K821" s="33"/>
      <c r="W821">
        <f>IF($A2="","",COUNTIF('07_Pallet_Contents'!$A$2:$A$3000,$A2))</f>
        <v>0</v>
      </c>
      <c r="X821">
        <f>IF($A2="","",SUMIF('07_Pallet_Contents'!$A$2:$A$3000,$A2,'07_Pallet_Contents'!$D$2:$D$3000))</f>
        <v>0</v>
      </c>
      <c r="Y821">
        <f>IF($A2="","",SUMIF('07_Pallet_Contents'!$A$2:$A$3000,$A2,'07_Pallet_Contents'!$I$2:$I$3000))</f>
        <v>0</v>
      </c>
      <c r="Z821" t="str">
        <f>IF($A2="","",IF(COUNTIF('07_Pallet_Contents'!$A$2:$A$3000,$A2)&gt;0,"Yes",""))</f>
        <v/>
      </c>
    </row>
    <row r="822" spans="2:26">
      <c r="B822" s="31"/>
      <c r="G822" s="34"/>
      <c r="H822" s="33" t="str">
        <f t="shared" si="20"/>
        <v/>
      </c>
      <c r="I822" s="31"/>
      <c r="J822" s="31"/>
      <c r="K822" s="33"/>
      <c r="W822">
        <f>IF($A2="","",COUNTIF('07_Pallet_Contents'!$A$2:$A$3000,$A2))</f>
        <v>0</v>
      </c>
      <c r="X822">
        <f>IF($A2="","",SUMIF('07_Pallet_Contents'!$A$2:$A$3000,$A2,'07_Pallet_Contents'!$D$2:$D$3000))</f>
        <v>0</v>
      </c>
      <c r="Y822">
        <f>IF($A2="","",SUMIF('07_Pallet_Contents'!$A$2:$A$3000,$A2,'07_Pallet_Contents'!$I$2:$I$3000))</f>
        <v>0</v>
      </c>
      <c r="Z822" t="str">
        <f>IF($A2="","",IF(COUNTIF('07_Pallet_Contents'!$A$2:$A$3000,$A2)&gt;0,"Yes",""))</f>
        <v/>
      </c>
    </row>
    <row r="823" spans="2:26">
      <c r="B823" s="31"/>
      <c r="G823" s="34"/>
      <c r="H823" s="33" t="str">
        <f t="shared" si="20"/>
        <v/>
      </c>
      <c r="I823" s="31"/>
      <c r="J823" s="31"/>
      <c r="K823" s="33"/>
      <c r="W823">
        <f>IF($A2="","",COUNTIF('07_Pallet_Contents'!$A$2:$A$3000,$A2))</f>
        <v>0</v>
      </c>
      <c r="X823">
        <f>IF($A2="","",SUMIF('07_Pallet_Contents'!$A$2:$A$3000,$A2,'07_Pallet_Contents'!$D$2:$D$3000))</f>
        <v>0</v>
      </c>
      <c r="Y823">
        <f>IF($A2="","",SUMIF('07_Pallet_Contents'!$A$2:$A$3000,$A2,'07_Pallet_Contents'!$I$2:$I$3000))</f>
        <v>0</v>
      </c>
      <c r="Z823" t="str">
        <f>IF($A2="","",IF(COUNTIF('07_Pallet_Contents'!$A$2:$A$3000,$A2)&gt;0,"Yes",""))</f>
        <v/>
      </c>
    </row>
    <row r="824" spans="2:26">
      <c r="B824" s="31"/>
      <c r="G824" s="34"/>
      <c r="H824" s="33" t="str">
        <f t="shared" si="20"/>
        <v/>
      </c>
      <c r="I824" s="31"/>
      <c r="J824" s="31"/>
      <c r="K824" s="33"/>
      <c r="W824">
        <f>IF($A2="","",COUNTIF('07_Pallet_Contents'!$A$2:$A$3000,$A2))</f>
        <v>0</v>
      </c>
      <c r="X824">
        <f>IF($A2="","",SUMIF('07_Pallet_Contents'!$A$2:$A$3000,$A2,'07_Pallet_Contents'!$D$2:$D$3000))</f>
        <v>0</v>
      </c>
      <c r="Y824">
        <f>IF($A2="","",SUMIF('07_Pallet_Contents'!$A$2:$A$3000,$A2,'07_Pallet_Contents'!$I$2:$I$3000))</f>
        <v>0</v>
      </c>
      <c r="Z824" t="str">
        <f>IF($A2="","",IF(COUNTIF('07_Pallet_Contents'!$A$2:$A$3000,$A2)&gt;0,"Yes",""))</f>
        <v/>
      </c>
    </row>
    <row r="825" spans="2:26">
      <c r="B825" s="31"/>
      <c r="G825" s="34"/>
      <c r="H825" s="33" t="str">
        <f t="shared" si="20"/>
        <v/>
      </c>
      <c r="I825" s="31"/>
      <c r="J825" s="31"/>
      <c r="K825" s="33"/>
      <c r="W825">
        <f>IF($A2="","",COUNTIF('07_Pallet_Contents'!$A$2:$A$3000,$A2))</f>
        <v>0</v>
      </c>
      <c r="X825">
        <f>IF($A2="","",SUMIF('07_Pallet_Contents'!$A$2:$A$3000,$A2,'07_Pallet_Contents'!$D$2:$D$3000))</f>
        <v>0</v>
      </c>
      <c r="Y825">
        <f>IF($A2="","",SUMIF('07_Pallet_Contents'!$A$2:$A$3000,$A2,'07_Pallet_Contents'!$I$2:$I$3000))</f>
        <v>0</v>
      </c>
      <c r="Z825" t="str">
        <f>IF($A2="","",IF(COUNTIF('07_Pallet_Contents'!$A$2:$A$3000,$A2)&gt;0,"Yes",""))</f>
        <v/>
      </c>
    </row>
    <row r="826" spans="2:26">
      <c r="B826" s="31"/>
      <c r="G826" s="34"/>
      <c r="H826" s="33" t="str">
        <f t="shared" si="20"/>
        <v/>
      </c>
      <c r="I826" s="31"/>
      <c r="J826" s="31"/>
      <c r="K826" s="33"/>
      <c r="W826">
        <f>IF($A2="","",COUNTIF('07_Pallet_Contents'!$A$2:$A$3000,$A2))</f>
        <v>0</v>
      </c>
      <c r="X826">
        <f>IF($A2="","",SUMIF('07_Pallet_Contents'!$A$2:$A$3000,$A2,'07_Pallet_Contents'!$D$2:$D$3000))</f>
        <v>0</v>
      </c>
      <c r="Y826">
        <f>IF($A2="","",SUMIF('07_Pallet_Contents'!$A$2:$A$3000,$A2,'07_Pallet_Contents'!$I$2:$I$3000))</f>
        <v>0</v>
      </c>
      <c r="Z826" t="str">
        <f>IF($A2="","",IF(COUNTIF('07_Pallet_Contents'!$A$2:$A$3000,$A2)&gt;0,"Yes",""))</f>
        <v/>
      </c>
    </row>
    <row r="827" spans="2:26">
      <c r="B827" s="31"/>
      <c r="G827" s="34"/>
      <c r="H827" s="33" t="str">
        <f t="shared" si="20"/>
        <v/>
      </c>
      <c r="I827" s="31"/>
      <c r="J827" s="31"/>
      <c r="K827" s="33"/>
      <c r="W827">
        <f>IF($A2="","",COUNTIF('07_Pallet_Contents'!$A$2:$A$3000,$A2))</f>
        <v>0</v>
      </c>
      <c r="X827">
        <f>IF($A2="","",SUMIF('07_Pallet_Contents'!$A$2:$A$3000,$A2,'07_Pallet_Contents'!$D$2:$D$3000))</f>
        <v>0</v>
      </c>
      <c r="Y827">
        <f>IF($A2="","",SUMIF('07_Pallet_Contents'!$A$2:$A$3000,$A2,'07_Pallet_Contents'!$I$2:$I$3000))</f>
        <v>0</v>
      </c>
      <c r="Z827" t="str">
        <f>IF($A2="","",IF(COUNTIF('07_Pallet_Contents'!$A$2:$A$3000,$A2)&gt;0,"Yes",""))</f>
        <v/>
      </c>
    </row>
    <row r="828" spans="2:26">
      <c r="B828" s="31"/>
      <c r="G828" s="34"/>
      <c r="H828" s="33" t="str">
        <f t="shared" si="20"/>
        <v/>
      </c>
      <c r="I828" s="31"/>
      <c r="J828" s="31"/>
      <c r="K828" s="33"/>
      <c r="W828">
        <f>IF($A2="","",COUNTIF('07_Pallet_Contents'!$A$2:$A$3000,$A2))</f>
        <v>0</v>
      </c>
      <c r="X828">
        <f>IF($A2="","",SUMIF('07_Pallet_Contents'!$A$2:$A$3000,$A2,'07_Pallet_Contents'!$D$2:$D$3000))</f>
        <v>0</v>
      </c>
      <c r="Y828">
        <f>IF($A2="","",SUMIF('07_Pallet_Contents'!$A$2:$A$3000,$A2,'07_Pallet_Contents'!$I$2:$I$3000))</f>
        <v>0</v>
      </c>
      <c r="Z828" t="str">
        <f>IF($A2="","",IF(COUNTIF('07_Pallet_Contents'!$A$2:$A$3000,$A2)&gt;0,"Yes",""))</f>
        <v/>
      </c>
    </row>
    <row r="829" spans="2:26">
      <c r="B829" s="31"/>
      <c r="G829" s="34"/>
      <c r="H829" s="33" t="str">
        <f t="shared" si="20"/>
        <v/>
      </c>
      <c r="I829" s="31"/>
      <c r="J829" s="31"/>
      <c r="K829" s="33"/>
      <c r="W829">
        <f>IF($A2="","",COUNTIF('07_Pallet_Contents'!$A$2:$A$3000,$A2))</f>
        <v>0</v>
      </c>
      <c r="X829">
        <f>IF($A2="","",SUMIF('07_Pallet_Contents'!$A$2:$A$3000,$A2,'07_Pallet_Contents'!$D$2:$D$3000))</f>
        <v>0</v>
      </c>
      <c r="Y829">
        <f>IF($A2="","",SUMIF('07_Pallet_Contents'!$A$2:$A$3000,$A2,'07_Pallet_Contents'!$I$2:$I$3000))</f>
        <v>0</v>
      </c>
      <c r="Z829" t="str">
        <f>IF($A2="","",IF(COUNTIF('07_Pallet_Contents'!$A$2:$A$3000,$A2)&gt;0,"Yes",""))</f>
        <v/>
      </c>
    </row>
    <row r="830" spans="2:26">
      <c r="B830" s="31"/>
      <c r="G830" s="34"/>
      <c r="H830" s="33" t="str">
        <f t="shared" si="20"/>
        <v/>
      </c>
      <c r="I830" s="31"/>
      <c r="J830" s="31"/>
      <c r="K830" s="33"/>
      <c r="W830">
        <f>IF($A2="","",COUNTIF('07_Pallet_Contents'!$A$2:$A$3000,$A2))</f>
        <v>0</v>
      </c>
      <c r="X830">
        <f>IF($A2="","",SUMIF('07_Pallet_Contents'!$A$2:$A$3000,$A2,'07_Pallet_Contents'!$D$2:$D$3000))</f>
        <v>0</v>
      </c>
      <c r="Y830">
        <f>IF($A2="","",SUMIF('07_Pallet_Contents'!$A$2:$A$3000,$A2,'07_Pallet_Contents'!$I$2:$I$3000))</f>
        <v>0</v>
      </c>
      <c r="Z830" t="str">
        <f>IF($A2="","",IF(COUNTIF('07_Pallet_Contents'!$A$2:$A$3000,$A2)&gt;0,"Yes",""))</f>
        <v/>
      </c>
    </row>
    <row r="831" spans="2:26">
      <c r="B831" s="31"/>
      <c r="G831" s="34"/>
      <c r="H831" s="33" t="str">
        <f t="shared" si="20"/>
        <v/>
      </c>
      <c r="I831" s="31"/>
      <c r="J831" s="31"/>
      <c r="K831" s="33"/>
      <c r="W831">
        <f>IF($A2="","",COUNTIF('07_Pallet_Contents'!$A$2:$A$3000,$A2))</f>
        <v>0</v>
      </c>
      <c r="X831">
        <f>IF($A2="","",SUMIF('07_Pallet_Contents'!$A$2:$A$3000,$A2,'07_Pallet_Contents'!$D$2:$D$3000))</f>
        <v>0</v>
      </c>
      <c r="Y831">
        <f>IF($A2="","",SUMIF('07_Pallet_Contents'!$A$2:$A$3000,$A2,'07_Pallet_Contents'!$I$2:$I$3000))</f>
        <v>0</v>
      </c>
      <c r="Z831" t="str">
        <f>IF($A2="","",IF(COUNTIF('07_Pallet_Contents'!$A$2:$A$3000,$A2)&gt;0,"Yes",""))</f>
        <v/>
      </c>
    </row>
    <row r="832" spans="2:26">
      <c r="B832" s="31"/>
      <c r="G832" s="34"/>
      <c r="H832" s="33" t="str">
        <f t="shared" si="20"/>
        <v/>
      </c>
      <c r="I832" s="31"/>
      <c r="J832" s="31"/>
      <c r="K832" s="33"/>
      <c r="W832">
        <f>IF($A2="","",COUNTIF('07_Pallet_Contents'!$A$2:$A$3000,$A2))</f>
        <v>0</v>
      </c>
      <c r="X832">
        <f>IF($A2="","",SUMIF('07_Pallet_Contents'!$A$2:$A$3000,$A2,'07_Pallet_Contents'!$D$2:$D$3000))</f>
        <v>0</v>
      </c>
      <c r="Y832">
        <f>IF($A2="","",SUMIF('07_Pallet_Contents'!$A$2:$A$3000,$A2,'07_Pallet_Contents'!$I$2:$I$3000))</f>
        <v>0</v>
      </c>
      <c r="Z832" t="str">
        <f>IF($A2="","",IF(COUNTIF('07_Pallet_Contents'!$A$2:$A$3000,$A2)&gt;0,"Yes",""))</f>
        <v/>
      </c>
    </row>
    <row r="833" spans="2:26">
      <c r="B833" s="31"/>
      <c r="G833" s="34"/>
      <c r="H833" s="33" t="str">
        <f t="shared" si="20"/>
        <v/>
      </c>
      <c r="I833" s="31"/>
      <c r="J833" s="31"/>
      <c r="K833" s="33"/>
      <c r="W833">
        <f>IF($A2="","",COUNTIF('07_Pallet_Contents'!$A$2:$A$3000,$A2))</f>
        <v>0</v>
      </c>
      <c r="X833">
        <f>IF($A2="","",SUMIF('07_Pallet_Contents'!$A$2:$A$3000,$A2,'07_Pallet_Contents'!$D$2:$D$3000))</f>
        <v>0</v>
      </c>
      <c r="Y833">
        <f>IF($A2="","",SUMIF('07_Pallet_Contents'!$A$2:$A$3000,$A2,'07_Pallet_Contents'!$I$2:$I$3000))</f>
        <v>0</v>
      </c>
      <c r="Z833" t="str">
        <f>IF($A2="","",IF(COUNTIF('07_Pallet_Contents'!$A$2:$A$3000,$A2)&gt;0,"Yes",""))</f>
        <v/>
      </c>
    </row>
    <row r="834" spans="2:26">
      <c r="B834" s="31"/>
      <c r="G834" s="34"/>
      <c r="H834" s="33" t="str">
        <f t="shared" ref="H834:H897" si="21">IF(AND($F834="TEMP",$G834&gt;0,$M834&lt;&gt;""),$M834+$G834,"")</f>
        <v/>
      </c>
      <c r="I834" s="31"/>
      <c r="J834" s="31"/>
      <c r="K834" s="33"/>
      <c r="W834">
        <f>IF($A2="","",COUNTIF('07_Pallet_Contents'!$A$2:$A$3000,$A2))</f>
        <v>0</v>
      </c>
      <c r="X834">
        <f>IF($A2="","",SUMIF('07_Pallet_Contents'!$A$2:$A$3000,$A2,'07_Pallet_Contents'!$D$2:$D$3000))</f>
        <v>0</v>
      </c>
      <c r="Y834">
        <f>IF($A2="","",SUMIF('07_Pallet_Contents'!$A$2:$A$3000,$A2,'07_Pallet_Contents'!$I$2:$I$3000))</f>
        <v>0</v>
      </c>
      <c r="Z834" t="str">
        <f>IF($A2="","",IF(COUNTIF('07_Pallet_Contents'!$A$2:$A$3000,$A2)&gt;0,"Yes",""))</f>
        <v/>
      </c>
    </row>
    <row r="835" spans="2:26">
      <c r="B835" s="31"/>
      <c r="G835" s="34"/>
      <c r="H835" s="33" t="str">
        <f t="shared" si="21"/>
        <v/>
      </c>
      <c r="I835" s="31"/>
      <c r="J835" s="31"/>
      <c r="K835" s="33"/>
      <c r="W835">
        <f>IF($A2="","",COUNTIF('07_Pallet_Contents'!$A$2:$A$3000,$A2))</f>
        <v>0</v>
      </c>
      <c r="X835">
        <f>IF($A2="","",SUMIF('07_Pallet_Contents'!$A$2:$A$3000,$A2,'07_Pallet_Contents'!$D$2:$D$3000))</f>
        <v>0</v>
      </c>
      <c r="Y835">
        <f>IF($A2="","",SUMIF('07_Pallet_Contents'!$A$2:$A$3000,$A2,'07_Pallet_Contents'!$I$2:$I$3000))</f>
        <v>0</v>
      </c>
      <c r="Z835" t="str">
        <f>IF($A2="","",IF(COUNTIF('07_Pallet_Contents'!$A$2:$A$3000,$A2)&gt;0,"Yes",""))</f>
        <v/>
      </c>
    </row>
    <row r="836" spans="2:26">
      <c r="B836" s="31"/>
      <c r="G836" s="34"/>
      <c r="H836" s="33" t="str">
        <f t="shared" si="21"/>
        <v/>
      </c>
      <c r="I836" s="31"/>
      <c r="J836" s="31"/>
      <c r="K836" s="33"/>
      <c r="W836">
        <f>IF($A2="","",COUNTIF('07_Pallet_Contents'!$A$2:$A$3000,$A2))</f>
        <v>0</v>
      </c>
      <c r="X836">
        <f>IF($A2="","",SUMIF('07_Pallet_Contents'!$A$2:$A$3000,$A2,'07_Pallet_Contents'!$D$2:$D$3000))</f>
        <v>0</v>
      </c>
      <c r="Y836">
        <f>IF($A2="","",SUMIF('07_Pallet_Contents'!$A$2:$A$3000,$A2,'07_Pallet_Contents'!$I$2:$I$3000))</f>
        <v>0</v>
      </c>
      <c r="Z836" t="str">
        <f>IF($A2="","",IF(COUNTIF('07_Pallet_Contents'!$A$2:$A$3000,$A2)&gt;0,"Yes",""))</f>
        <v/>
      </c>
    </row>
    <row r="837" spans="2:26">
      <c r="B837" s="31"/>
      <c r="G837" s="34"/>
      <c r="H837" s="33" t="str">
        <f t="shared" si="21"/>
        <v/>
      </c>
      <c r="I837" s="31"/>
      <c r="J837" s="31"/>
      <c r="K837" s="33"/>
      <c r="W837">
        <f>IF($A2="","",COUNTIF('07_Pallet_Contents'!$A$2:$A$3000,$A2))</f>
        <v>0</v>
      </c>
      <c r="X837">
        <f>IF($A2="","",SUMIF('07_Pallet_Contents'!$A$2:$A$3000,$A2,'07_Pallet_Contents'!$D$2:$D$3000))</f>
        <v>0</v>
      </c>
      <c r="Y837">
        <f>IF($A2="","",SUMIF('07_Pallet_Contents'!$A$2:$A$3000,$A2,'07_Pallet_Contents'!$I$2:$I$3000))</f>
        <v>0</v>
      </c>
      <c r="Z837" t="str">
        <f>IF($A2="","",IF(COUNTIF('07_Pallet_Contents'!$A$2:$A$3000,$A2)&gt;0,"Yes",""))</f>
        <v/>
      </c>
    </row>
    <row r="838" spans="2:26">
      <c r="B838" s="31"/>
      <c r="G838" s="34"/>
      <c r="H838" s="33" t="str">
        <f t="shared" si="21"/>
        <v/>
      </c>
      <c r="I838" s="31"/>
      <c r="J838" s="31"/>
      <c r="K838" s="33"/>
      <c r="W838">
        <f>IF($A2="","",COUNTIF('07_Pallet_Contents'!$A$2:$A$3000,$A2))</f>
        <v>0</v>
      </c>
      <c r="X838">
        <f>IF($A2="","",SUMIF('07_Pallet_Contents'!$A$2:$A$3000,$A2,'07_Pallet_Contents'!$D$2:$D$3000))</f>
        <v>0</v>
      </c>
      <c r="Y838">
        <f>IF($A2="","",SUMIF('07_Pallet_Contents'!$A$2:$A$3000,$A2,'07_Pallet_Contents'!$I$2:$I$3000))</f>
        <v>0</v>
      </c>
      <c r="Z838" t="str">
        <f>IF($A2="","",IF(COUNTIF('07_Pallet_Contents'!$A$2:$A$3000,$A2)&gt;0,"Yes",""))</f>
        <v/>
      </c>
    </row>
    <row r="839" spans="2:26">
      <c r="B839" s="31"/>
      <c r="G839" s="34"/>
      <c r="H839" s="33" t="str">
        <f t="shared" si="21"/>
        <v/>
      </c>
      <c r="I839" s="31"/>
      <c r="J839" s="31"/>
      <c r="K839" s="33"/>
      <c r="W839">
        <f>IF($A2="","",COUNTIF('07_Pallet_Contents'!$A$2:$A$3000,$A2))</f>
        <v>0</v>
      </c>
      <c r="X839">
        <f>IF($A2="","",SUMIF('07_Pallet_Contents'!$A$2:$A$3000,$A2,'07_Pallet_Contents'!$D$2:$D$3000))</f>
        <v>0</v>
      </c>
      <c r="Y839">
        <f>IF($A2="","",SUMIF('07_Pallet_Contents'!$A$2:$A$3000,$A2,'07_Pallet_Contents'!$I$2:$I$3000))</f>
        <v>0</v>
      </c>
      <c r="Z839" t="str">
        <f>IF($A2="","",IF(COUNTIF('07_Pallet_Contents'!$A$2:$A$3000,$A2)&gt;0,"Yes",""))</f>
        <v/>
      </c>
    </row>
    <row r="840" spans="2:26">
      <c r="B840" s="31"/>
      <c r="G840" s="34"/>
      <c r="H840" s="33" t="str">
        <f t="shared" si="21"/>
        <v/>
      </c>
      <c r="I840" s="31"/>
      <c r="J840" s="31"/>
      <c r="K840" s="33"/>
      <c r="W840">
        <f>IF($A2="","",COUNTIF('07_Pallet_Contents'!$A$2:$A$3000,$A2))</f>
        <v>0</v>
      </c>
      <c r="X840">
        <f>IF($A2="","",SUMIF('07_Pallet_Contents'!$A$2:$A$3000,$A2,'07_Pallet_Contents'!$D$2:$D$3000))</f>
        <v>0</v>
      </c>
      <c r="Y840">
        <f>IF($A2="","",SUMIF('07_Pallet_Contents'!$A$2:$A$3000,$A2,'07_Pallet_Contents'!$I$2:$I$3000))</f>
        <v>0</v>
      </c>
      <c r="Z840" t="str">
        <f>IF($A2="","",IF(COUNTIF('07_Pallet_Contents'!$A$2:$A$3000,$A2)&gt;0,"Yes",""))</f>
        <v/>
      </c>
    </row>
    <row r="841" spans="2:26">
      <c r="B841" s="31"/>
      <c r="G841" s="34"/>
      <c r="H841" s="33" t="str">
        <f t="shared" si="21"/>
        <v/>
      </c>
      <c r="I841" s="31"/>
      <c r="J841" s="31"/>
      <c r="K841" s="33"/>
      <c r="W841">
        <f>IF($A2="","",COUNTIF('07_Pallet_Contents'!$A$2:$A$3000,$A2))</f>
        <v>0</v>
      </c>
      <c r="X841">
        <f>IF($A2="","",SUMIF('07_Pallet_Contents'!$A$2:$A$3000,$A2,'07_Pallet_Contents'!$D$2:$D$3000))</f>
        <v>0</v>
      </c>
      <c r="Y841">
        <f>IF($A2="","",SUMIF('07_Pallet_Contents'!$A$2:$A$3000,$A2,'07_Pallet_Contents'!$I$2:$I$3000))</f>
        <v>0</v>
      </c>
      <c r="Z841" t="str">
        <f>IF($A2="","",IF(COUNTIF('07_Pallet_Contents'!$A$2:$A$3000,$A2)&gt;0,"Yes",""))</f>
        <v/>
      </c>
    </row>
    <row r="842" spans="2:26">
      <c r="B842" s="31"/>
      <c r="G842" s="34"/>
      <c r="H842" s="33" t="str">
        <f t="shared" si="21"/>
        <v/>
      </c>
      <c r="I842" s="31"/>
      <c r="J842" s="31"/>
      <c r="K842" s="33"/>
      <c r="W842">
        <f>IF($A2="","",COUNTIF('07_Pallet_Contents'!$A$2:$A$3000,$A2))</f>
        <v>0</v>
      </c>
      <c r="X842">
        <f>IF($A2="","",SUMIF('07_Pallet_Contents'!$A$2:$A$3000,$A2,'07_Pallet_Contents'!$D$2:$D$3000))</f>
        <v>0</v>
      </c>
      <c r="Y842">
        <f>IF($A2="","",SUMIF('07_Pallet_Contents'!$A$2:$A$3000,$A2,'07_Pallet_Contents'!$I$2:$I$3000))</f>
        <v>0</v>
      </c>
      <c r="Z842" t="str">
        <f>IF($A2="","",IF(COUNTIF('07_Pallet_Contents'!$A$2:$A$3000,$A2)&gt;0,"Yes",""))</f>
        <v/>
      </c>
    </row>
    <row r="843" spans="2:26">
      <c r="B843" s="31"/>
      <c r="G843" s="34"/>
      <c r="H843" s="33" t="str">
        <f t="shared" si="21"/>
        <v/>
      </c>
      <c r="I843" s="31"/>
      <c r="J843" s="31"/>
      <c r="K843" s="33"/>
      <c r="W843">
        <f>IF($A2="","",COUNTIF('07_Pallet_Contents'!$A$2:$A$3000,$A2))</f>
        <v>0</v>
      </c>
      <c r="X843">
        <f>IF($A2="","",SUMIF('07_Pallet_Contents'!$A$2:$A$3000,$A2,'07_Pallet_Contents'!$D$2:$D$3000))</f>
        <v>0</v>
      </c>
      <c r="Y843">
        <f>IF($A2="","",SUMIF('07_Pallet_Contents'!$A$2:$A$3000,$A2,'07_Pallet_Contents'!$I$2:$I$3000))</f>
        <v>0</v>
      </c>
      <c r="Z843" t="str">
        <f>IF($A2="","",IF(COUNTIF('07_Pallet_Contents'!$A$2:$A$3000,$A2)&gt;0,"Yes",""))</f>
        <v/>
      </c>
    </row>
    <row r="844" spans="2:26">
      <c r="B844" s="31"/>
      <c r="G844" s="34"/>
      <c r="H844" s="33" t="str">
        <f t="shared" si="21"/>
        <v/>
      </c>
      <c r="I844" s="31"/>
      <c r="J844" s="31"/>
      <c r="K844" s="33"/>
      <c r="W844">
        <f>IF($A2="","",COUNTIF('07_Pallet_Contents'!$A$2:$A$3000,$A2))</f>
        <v>0</v>
      </c>
      <c r="X844">
        <f>IF($A2="","",SUMIF('07_Pallet_Contents'!$A$2:$A$3000,$A2,'07_Pallet_Contents'!$D$2:$D$3000))</f>
        <v>0</v>
      </c>
      <c r="Y844">
        <f>IF($A2="","",SUMIF('07_Pallet_Contents'!$A$2:$A$3000,$A2,'07_Pallet_Contents'!$I$2:$I$3000))</f>
        <v>0</v>
      </c>
      <c r="Z844" t="str">
        <f>IF($A2="","",IF(COUNTIF('07_Pallet_Contents'!$A$2:$A$3000,$A2)&gt;0,"Yes",""))</f>
        <v/>
      </c>
    </row>
    <row r="845" spans="2:26">
      <c r="B845" s="31"/>
      <c r="G845" s="34"/>
      <c r="H845" s="33" t="str">
        <f t="shared" si="21"/>
        <v/>
      </c>
      <c r="I845" s="31"/>
      <c r="J845" s="31"/>
      <c r="K845" s="33"/>
      <c r="W845">
        <f>IF($A2="","",COUNTIF('07_Pallet_Contents'!$A$2:$A$3000,$A2))</f>
        <v>0</v>
      </c>
      <c r="X845">
        <f>IF($A2="","",SUMIF('07_Pallet_Contents'!$A$2:$A$3000,$A2,'07_Pallet_Contents'!$D$2:$D$3000))</f>
        <v>0</v>
      </c>
      <c r="Y845">
        <f>IF($A2="","",SUMIF('07_Pallet_Contents'!$A$2:$A$3000,$A2,'07_Pallet_Contents'!$I$2:$I$3000))</f>
        <v>0</v>
      </c>
      <c r="Z845" t="str">
        <f>IF($A2="","",IF(COUNTIF('07_Pallet_Contents'!$A$2:$A$3000,$A2)&gt;0,"Yes",""))</f>
        <v/>
      </c>
    </row>
    <row r="846" spans="2:26">
      <c r="B846" s="31"/>
      <c r="G846" s="34"/>
      <c r="H846" s="33" t="str">
        <f t="shared" si="21"/>
        <v/>
      </c>
      <c r="I846" s="31"/>
      <c r="J846" s="31"/>
      <c r="K846" s="33"/>
      <c r="W846">
        <f>IF($A2="","",COUNTIF('07_Pallet_Contents'!$A$2:$A$3000,$A2))</f>
        <v>0</v>
      </c>
      <c r="X846">
        <f>IF($A2="","",SUMIF('07_Pallet_Contents'!$A$2:$A$3000,$A2,'07_Pallet_Contents'!$D$2:$D$3000))</f>
        <v>0</v>
      </c>
      <c r="Y846">
        <f>IF($A2="","",SUMIF('07_Pallet_Contents'!$A$2:$A$3000,$A2,'07_Pallet_Contents'!$I$2:$I$3000))</f>
        <v>0</v>
      </c>
      <c r="Z846" t="str">
        <f>IF($A2="","",IF(COUNTIF('07_Pallet_Contents'!$A$2:$A$3000,$A2)&gt;0,"Yes",""))</f>
        <v/>
      </c>
    </row>
    <row r="847" spans="2:26">
      <c r="B847" s="31"/>
      <c r="G847" s="34"/>
      <c r="H847" s="33" t="str">
        <f t="shared" si="21"/>
        <v/>
      </c>
      <c r="I847" s="31"/>
      <c r="J847" s="31"/>
      <c r="K847" s="33"/>
      <c r="W847">
        <f>IF($A2="","",COUNTIF('07_Pallet_Contents'!$A$2:$A$3000,$A2))</f>
        <v>0</v>
      </c>
      <c r="X847">
        <f>IF($A2="","",SUMIF('07_Pallet_Contents'!$A$2:$A$3000,$A2,'07_Pallet_Contents'!$D$2:$D$3000))</f>
        <v>0</v>
      </c>
      <c r="Y847">
        <f>IF($A2="","",SUMIF('07_Pallet_Contents'!$A$2:$A$3000,$A2,'07_Pallet_Contents'!$I$2:$I$3000))</f>
        <v>0</v>
      </c>
      <c r="Z847" t="str">
        <f>IF($A2="","",IF(COUNTIF('07_Pallet_Contents'!$A$2:$A$3000,$A2)&gt;0,"Yes",""))</f>
        <v/>
      </c>
    </row>
    <row r="848" spans="2:26">
      <c r="B848" s="31"/>
      <c r="G848" s="34"/>
      <c r="H848" s="33" t="str">
        <f t="shared" si="21"/>
        <v/>
      </c>
      <c r="I848" s="31"/>
      <c r="J848" s="31"/>
      <c r="K848" s="33"/>
      <c r="W848">
        <f>IF($A2="","",COUNTIF('07_Pallet_Contents'!$A$2:$A$3000,$A2))</f>
        <v>0</v>
      </c>
      <c r="X848">
        <f>IF($A2="","",SUMIF('07_Pallet_Contents'!$A$2:$A$3000,$A2,'07_Pallet_Contents'!$D$2:$D$3000))</f>
        <v>0</v>
      </c>
      <c r="Y848">
        <f>IF($A2="","",SUMIF('07_Pallet_Contents'!$A$2:$A$3000,$A2,'07_Pallet_Contents'!$I$2:$I$3000))</f>
        <v>0</v>
      </c>
      <c r="Z848" t="str">
        <f>IF($A2="","",IF(COUNTIF('07_Pallet_Contents'!$A$2:$A$3000,$A2)&gt;0,"Yes",""))</f>
        <v/>
      </c>
    </row>
    <row r="849" spans="2:26">
      <c r="B849" s="31"/>
      <c r="G849" s="34"/>
      <c r="H849" s="33" t="str">
        <f t="shared" si="21"/>
        <v/>
      </c>
      <c r="I849" s="31"/>
      <c r="J849" s="31"/>
      <c r="K849" s="33"/>
      <c r="W849">
        <f>IF($A2="","",COUNTIF('07_Pallet_Contents'!$A$2:$A$3000,$A2))</f>
        <v>0</v>
      </c>
      <c r="X849">
        <f>IF($A2="","",SUMIF('07_Pallet_Contents'!$A$2:$A$3000,$A2,'07_Pallet_Contents'!$D$2:$D$3000))</f>
        <v>0</v>
      </c>
      <c r="Y849">
        <f>IF($A2="","",SUMIF('07_Pallet_Contents'!$A$2:$A$3000,$A2,'07_Pallet_Contents'!$I$2:$I$3000))</f>
        <v>0</v>
      </c>
      <c r="Z849" t="str">
        <f>IF($A2="","",IF(COUNTIF('07_Pallet_Contents'!$A$2:$A$3000,$A2)&gt;0,"Yes",""))</f>
        <v/>
      </c>
    </row>
    <row r="850" spans="2:26">
      <c r="B850" s="31"/>
      <c r="G850" s="34"/>
      <c r="H850" s="33" t="str">
        <f t="shared" si="21"/>
        <v/>
      </c>
      <c r="I850" s="31"/>
      <c r="J850" s="31"/>
      <c r="K850" s="33"/>
      <c r="W850">
        <f>IF($A2="","",COUNTIF('07_Pallet_Contents'!$A$2:$A$3000,$A2))</f>
        <v>0</v>
      </c>
      <c r="X850">
        <f>IF($A2="","",SUMIF('07_Pallet_Contents'!$A$2:$A$3000,$A2,'07_Pallet_Contents'!$D$2:$D$3000))</f>
        <v>0</v>
      </c>
      <c r="Y850">
        <f>IF($A2="","",SUMIF('07_Pallet_Contents'!$A$2:$A$3000,$A2,'07_Pallet_Contents'!$I$2:$I$3000))</f>
        <v>0</v>
      </c>
      <c r="Z850" t="str">
        <f>IF($A2="","",IF(COUNTIF('07_Pallet_Contents'!$A$2:$A$3000,$A2)&gt;0,"Yes",""))</f>
        <v/>
      </c>
    </row>
    <row r="851" spans="2:26">
      <c r="B851" s="31"/>
      <c r="G851" s="34"/>
      <c r="H851" s="33" t="str">
        <f t="shared" si="21"/>
        <v/>
      </c>
      <c r="I851" s="31"/>
      <c r="J851" s="31"/>
      <c r="K851" s="33"/>
      <c r="W851">
        <f>IF($A2="","",COUNTIF('07_Pallet_Contents'!$A$2:$A$3000,$A2))</f>
        <v>0</v>
      </c>
      <c r="X851">
        <f>IF($A2="","",SUMIF('07_Pallet_Contents'!$A$2:$A$3000,$A2,'07_Pallet_Contents'!$D$2:$D$3000))</f>
        <v>0</v>
      </c>
      <c r="Y851">
        <f>IF($A2="","",SUMIF('07_Pallet_Contents'!$A$2:$A$3000,$A2,'07_Pallet_Contents'!$I$2:$I$3000))</f>
        <v>0</v>
      </c>
      <c r="Z851" t="str">
        <f>IF($A2="","",IF(COUNTIF('07_Pallet_Contents'!$A$2:$A$3000,$A2)&gt;0,"Yes",""))</f>
        <v/>
      </c>
    </row>
    <row r="852" spans="2:26">
      <c r="B852" s="31"/>
      <c r="G852" s="34"/>
      <c r="H852" s="33" t="str">
        <f t="shared" si="21"/>
        <v/>
      </c>
      <c r="I852" s="31"/>
      <c r="J852" s="31"/>
      <c r="K852" s="33"/>
      <c r="W852">
        <f>IF($A2="","",COUNTIF('07_Pallet_Contents'!$A$2:$A$3000,$A2))</f>
        <v>0</v>
      </c>
      <c r="X852">
        <f>IF($A2="","",SUMIF('07_Pallet_Contents'!$A$2:$A$3000,$A2,'07_Pallet_Contents'!$D$2:$D$3000))</f>
        <v>0</v>
      </c>
      <c r="Y852">
        <f>IF($A2="","",SUMIF('07_Pallet_Contents'!$A$2:$A$3000,$A2,'07_Pallet_Contents'!$I$2:$I$3000))</f>
        <v>0</v>
      </c>
      <c r="Z852" t="str">
        <f>IF($A2="","",IF(COUNTIF('07_Pallet_Contents'!$A$2:$A$3000,$A2)&gt;0,"Yes",""))</f>
        <v/>
      </c>
    </row>
    <row r="853" spans="2:26">
      <c r="B853" s="31"/>
      <c r="G853" s="34"/>
      <c r="H853" s="33" t="str">
        <f t="shared" si="21"/>
        <v/>
      </c>
      <c r="I853" s="31"/>
      <c r="J853" s="31"/>
      <c r="K853" s="33"/>
      <c r="W853">
        <f>IF($A2="","",COUNTIF('07_Pallet_Contents'!$A$2:$A$3000,$A2))</f>
        <v>0</v>
      </c>
      <c r="X853">
        <f>IF($A2="","",SUMIF('07_Pallet_Contents'!$A$2:$A$3000,$A2,'07_Pallet_Contents'!$D$2:$D$3000))</f>
        <v>0</v>
      </c>
      <c r="Y853">
        <f>IF($A2="","",SUMIF('07_Pallet_Contents'!$A$2:$A$3000,$A2,'07_Pallet_Contents'!$I$2:$I$3000))</f>
        <v>0</v>
      </c>
      <c r="Z853" t="str">
        <f>IF($A2="","",IF(COUNTIF('07_Pallet_Contents'!$A$2:$A$3000,$A2)&gt;0,"Yes",""))</f>
        <v/>
      </c>
    </row>
    <row r="854" spans="2:26">
      <c r="B854" s="31"/>
      <c r="G854" s="34"/>
      <c r="H854" s="33" t="str">
        <f t="shared" si="21"/>
        <v/>
      </c>
      <c r="I854" s="31"/>
      <c r="J854" s="31"/>
      <c r="K854" s="33"/>
      <c r="W854">
        <f>IF($A2="","",COUNTIF('07_Pallet_Contents'!$A$2:$A$3000,$A2))</f>
        <v>0</v>
      </c>
      <c r="X854">
        <f>IF($A2="","",SUMIF('07_Pallet_Contents'!$A$2:$A$3000,$A2,'07_Pallet_Contents'!$D$2:$D$3000))</f>
        <v>0</v>
      </c>
      <c r="Y854">
        <f>IF($A2="","",SUMIF('07_Pallet_Contents'!$A$2:$A$3000,$A2,'07_Pallet_Contents'!$I$2:$I$3000))</f>
        <v>0</v>
      </c>
      <c r="Z854" t="str">
        <f>IF($A2="","",IF(COUNTIF('07_Pallet_Contents'!$A$2:$A$3000,$A2)&gt;0,"Yes",""))</f>
        <v/>
      </c>
    </row>
    <row r="855" spans="2:26">
      <c r="B855" s="31"/>
      <c r="G855" s="34"/>
      <c r="H855" s="33" t="str">
        <f t="shared" si="21"/>
        <v/>
      </c>
      <c r="I855" s="31"/>
      <c r="J855" s="31"/>
      <c r="K855" s="33"/>
      <c r="W855">
        <f>IF($A2="","",COUNTIF('07_Pallet_Contents'!$A$2:$A$3000,$A2))</f>
        <v>0</v>
      </c>
      <c r="X855">
        <f>IF($A2="","",SUMIF('07_Pallet_Contents'!$A$2:$A$3000,$A2,'07_Pallet_Contents'!$D$2:$D$3000))</f>
        <v>0</v>
      </c>
      <c r="Y855">
        <f>IF($A2="","",SUMIF('07_Pallet_Contents'!$A$2:$A$3000,$A2,'07_Pallet_Contents'!$I$2:$I$3000))</f>
        <v>0</v>
      </c>
      <c r="Z855" t="str">
        <f>IF($A2="","",IF(COUNTIF('07_Pallet_Contents'!$A$2:$A$3000,$A2)&gt;0,"Yes",""))</f>
        <v/>
      </c>
    </row>
    <row r="856" spans="2:26">
      <c r="B856" s="31"/>
      <c r="G856" s="34"/>
      <c r="H856" s="33" t="str">
        <f t="shared" si="21"/>
        <v/>
      </c>
      <c r="I856" s="31"/>
      <c r="J856" s="31"/>
      <c r="K856" s="33"/>
      <c r="W856">
        <f>IF($A2="","",COUNTIF('07_Pallet_Contents'!$A$2:$A$3000,$A2))</f>
        <v>0</v>
      </c>
      <c r="X856">
        <f>IF($A2="","",SUMIF('07_Pallet_Contents'!$A$2:$A$3000,$A2,'07_Pallet_Contents'!$D$2:$D$3000))</f>
        <v>0</v>
      </c>
      <c r="Y856">
        <f>IF($A2="","",SUMIF('07_Pallet_Contents'!$A$2:$A$3000,$A2,'07_Pallet_Contents'!$I$2:$I$3000))</f>
        <v>0</v>
      </c>
      <c r="Z856" t="str">
        <f>IF($A2="","",IF(COUNTIF('07_Pallet_Contents'!$A$2:$A$3000,$A2)&gt;0,"Yes",""))</f>
        <v/>
      </c>
    </row>
    <row r="857" spans="2:26">
      <c r="B857" s="31"/>
      <c r="G857" s="34"/>
      <c r="H857" s="33" t="str">
        <f t="shared" si="21"/>
        <v/>
      </c>
      <c r="I857" s="31"/>
      <c r="J857" s="31"/>
      <c r="K857" s="33"/>
      <c r="W857">
        <f>IF($A2="","",COUNTIF('07_Pallet_Contents'!$A$2:$A$3000,$A2))</f>
        <v>0</v>
      </c>
      <c r="X857">
        <f>IF($A2="","",SUMIF('07_Pallet_Contents'!$A$2:$A$3000,$A2,'07_Pallet_Contents'!$D$2:$D$3000))</f>
        <v>0</v>
      </c>
      <c r="Y857">
        <f>IF($A2="","",SUMIF('07_Pallet_Contents'!$A$2:$A$3000,$A2,'07_Pallet_Contents'!$I$2:$I$3000))</f>
        <v>0</v>
      </c>
      <c r="Z857" t="str">
        <f>IF($A2="","",IF(COUNTIF('07_Pallet_Contents'!$A$2:$A$3000,$A2)&gt;0,"Yes",""))</f>
        <v/>
      </c>
    </row>
    <row r="858" spans="2:26">
      <c r="B858" s="31"/>
      <c r="G858" s="34"/>
      <c r="H858" s="33" t="str">
        <f t="shared" si="21"/>
        <v/>
      </c>
      <c r="I858" s="31"/>
      <c r="J858" s="31"/>
      <c r="K858" s="33"/>
      <c r="W858">
        <f>IF($A2="","",COUNTIF('07_Pallet_Contents'!$A$2:$A$3000,$A2))</f>
        <v>0</v>
      </c>
      <c r="X858">
        <f>IF($A2="","",SUMIF('07_Pallet_Contents'!$A$2:$A$3000,$A2,'07_Pallet_Contents'!$D$2:$D$3000))</f>
        <v>0</v>
      </c>
      <c r="Y858">
        <f>IF($A2="","",SUMIF('07_Pallet_Contents'!$A$2:$A$3000,$A2,'07_Pallet_Contents'!$I$2:$I$3000))</f>
        <v>0</v>
      </c>
      <c r="Z858" t="str">
        <f>IF($A2="","",IF(COUNTIF('07_Pallet_Contents'!$A$2:$A$3000,$A2)&gt;0,"Yes",""))</f>
        <v/>
      </c>
    </row>
    <row r="859" spans="2:26">
      <c r="B859" s="31"/>
      <c r="G859" s="34"/>
      <c r="H859" s="33" t="str">
        <f t="shared" si="21"/>
        <v/>
      </c>
      <c r="I859" s="31"/>
      <c r="J859" s="31"/>
      <c r="K859" s="33"/>
      <c r="W859">
        <f>IF($A2="","",COUNTIF('07_Pallet_Contents'!$A$2:$A$3000,$A2))</f>
        <v>0</v>
      </c>
      <c r="X859">
        <f>IF($A2="","",SUMIF('07_Pallet_Contents'!$A$2:$A$3000,$A2,'07_Pallet_Contents'!$D$2:$D$3000))</f>
        <v>0</v>
      </c>
      <c r="Y859">
        <f>IF($A2="","",SUMIF('07_Pallet_Contents'!$A$2:$A$3000,$A2,'07_Pallet_Contents'!$I$2:$I$3000))</f>
        <v>0</v>
      </c>
      <c r="Z859" t="str">
        <f>IF($A2="","",IF(COUNTIF('07_Pallet_Contents'!$A$2:$A$3000,$A2)&gt;0,"Yes",""))</f>
        <v/>
      </c>
    </row>
    <row r="860" spans="2:26">
      <c r="B860" s="31"/>
      <c r="G860" s="34"/>
      <c r="H860" s="33" t="str">
        <f t="shared" si="21"/>
        <v/>
      </c>
      <c r="I860" s="31"/>
      <c r="J860" s="31"/>
      <c r="K860" s="33"/>
      <c r="W860">
        <f>IF($A2="","",COUNTIF('07_Pallet_Contents'!$A$2:$A$3000,$A2))</f>
        <v>0</v>
      </c>
      <c r="X860">
        <f>IF($A2="","",SUMIF('07_Pallet_Contents'!$A$2:$A$3000,$A2,'07_Pallet_Contents'!$D$2:$D$3000))</f>
        <v>0</v>
      </c>
      <c r="Y860">
        <f>IF($A2="","",SUMIF('07_Pallet_Contents'!$A$2:$A$3000,$A2,'07_Pallet_Contents'!$I$2:$I$3000))</f>
        <v>0</v>
      </c>
      <c r="Z860" t="str">
        <f>IF($A2="","",IF(COUNTIF('07_Pallet_Contents'!$A$2:$A$3000,$A2)&gt;0,"Yes",""))</f>
        <v/>
      </c>
    </row>
    <row r="861" spans="2:26">
      <c r="B861" s="31"/>
      <c r="G861" s="34"/>
      <c r="H861" s="33" t="str">
        <f t="shared" si="21"/>
        <v/>
      </c>
      <c r="I861" s="31"/>
      <c r="J861" s="31"/>
      <c r="K861" s="33"/>
      <c r="W861">
        <f>IF($A2="","",COUNTIF('07_Pallet_Contents'!$A$2:$A$3000,$A2))</f>
        <v>0</v>
      </c>
      <c r="X861">
        <f>IF($A2="","",SUMIF('07_Pallet_Contents'!$A$2:$A$3000,$A2,'07_Pallet_Contents'!$D$2:$D$3000))</f>
        <v>0</v>
      </c>
      <c r="Y861">
        <f>IF($A2="","",SUMIF('07_Pallet_Contents'!$A$2:$A$3000,$A2,'07_Pallet_Contents'!$I$2:$I$3000))</f>
        <v>0</v>
      </c>
      <c r="Z861" t="str">
        <f>IF($A2="","",IF(COUNTIF('07_Pallet_Contents'!$A$2:$A$3000,$A2)&gt;0,"Yes",""))</f>
        <v/>
      </c>
    </row>
    <row r="862" spans="2:26">
      <c r="B862" s="31"/>
      <c r="G862" s="34"/>
      <c r="H862" s="33" t="str">
        <f t="shared" si="21"/>
        <v/>
      </c>
      <c r="I862" s="31"/>
      <c r="J862" s="31"/>
      <c r="K862" s="33"/>
      <c r="W862">
        <f>IF($A2="","",COUNTIF('07_Pallet_Contents'!$A$2:$A$3000,$A2))</f>
        <v>0</v>
      </c>
      <c r="X862">
        <f>IF($A2="","",SUMIF('07_Pallet_Contents'!$A$2:$A$3000,$A2,'07_Pallet_Contents'!$D$2:$D$3000))</f>
        <v>0</v>
      </c>
      <c r="Y862">
        <f>IF($A2="","",SUMIF('07_Pallet_Contents'!$A$2:$A$3000,$A2,'07_Pallet_Contents'!$I$2:$I$3000))</f>
        <v>0</v>
      </c>
      <c r="Z862" t="str">
        <f>IF($A2="","",IF(COUNTIF('07_Pallet_Contents'!$A$2:$A$3000,$A2)&gt;0,"Yes",""))</f>
        <v/>
      </c>
    </row>
    <row r="863" spans="2:26">
      <c r="B863" s="31"/>
      <c r="G863" s="34"/>
      <c r="H863" s="33" t="str">
        <f t="shared" si="21"/>
        <v/>
      </c>
      <c r="I863" s="31"/>
      <c r="J863" s="31"/>
      <c r="K863" s="33"/>
      <c r="W863">
        <f>IF($A2="","",COUNTIF('07_Pallet_Contents'!$A$2:$A$3000,$A2))</f>
        <v>0</v>
      </c>
      <c r="X863">
        <f>IF($A2="","",SUMIF('07_Pallet_Contents'!$A$2:$A$3000,$A2,'07_Pallet_Contents'!$D$2:$D$3000))</f>
        <v>0</v>
      </c>
      <c r="Y863">
        <f>IF($A2="","",SUMIF('07_Pallet_Contents'!$A$2:$A$3000,$A2,'07_Pallet_Contents'!$I$2:$I$3000))</f>
        <v>0</v>
      </c>
      <c r="Z863" t="str">
        <f>IF($A2="","",IF(COUNTIF('07_Pallet_Contents'!$A$2:$A$3000,$A2)&gt;0,"Yes",""))</f>
        <v/>
      </c>
    </row>
    <row r="864" spans="2:26">
      <c r="B864" s="31"/>
      <c r="G864" s="34"/>
      <c r="H864" s="33" t="str">
        <f t="shared" si="21"/>
        <v/>
      </c>
      <c r="I864" s="31"/>
      <c r="J864" s="31"/>
      <c r="K864" s="33"/>
      <c r="W864">
        <f>IF($A2="","",COUNTIF('07_Pallet_Contents'!$A$2:$A$3000,$A2))</f>
        <v>0</v>
      </c>
      <c r="X864">
        <f>IF($A2="","",SUMIF('07_Pallet_Contents'!$A$2:$A$3000,$A2,'07_Pallet_Contents'!$D$2:$D$3000))</f>
        <v>0</v>
      </c>
      <c r="Y864">
        <f>IF($A2="","",SUMIF('07_Pallet_Contents'!$A$2:$A$3000,$A2,'07_Pallet_Contents'!$I$2:$I$3000))</f>
        <v>0</v>
      </c>
      <c r="Z864" t="str">
        <f>IF($A2="","",IF(COUNTIF('07_Pallet_Contents'!$A$2:$A$3000,$A2)&gt;0,"Yes",""))</f>
        <v/>
      </c>
    </row>
    <row r="865" spans="2:26">
      <c r="B865" s="31"/>
      <c r="G865" s="34"/>
      <c r="H865" s="33" t="str">
        <f t="shared" si="21"/>
        <v/>
      </c>
      <c r="I865" s="31"/>
      <c r="J865" s="31"/>
      <c r="K865" s="33"/>
      <c r="W865">
        <f>IF($A2="","",COUNTIF('07_Pallet_Contents'!$A$2:$A$3000,$A2))</f>
        <v>0</v>
      </c>
      <c r="X865">
        <f>IF($A2="","",SUMIF('07_Pallet_Contents'!$A$2:$A$3000,$A2,'07_Pallet_Contents'!$D$2:$D$3000))</f>
        <v>0</v>
      </c>
      <c r="Y865">
        <f>IF($A2="","",SUMIF('07_Pallet_Contents'!$A$2:$A$3000,$A2,'07_Pallet_Contents'!$I$2:$I$3000))</f>
        <v>0</v>
      </c>
      <c r="Z865" t="str">
        <f>IF($A2="","",IF(COUNTIF('07_Pallet_Contents'!$A$2:$A$3000,$A2)&gt;0,"Yes",""))</f>
        <v/>
      </c>
    </row>
    <row r="866" spans="2:26">
      <c r="B866" s="31"/>
      <c r="G866" s="34"/>
      <c r="H866" s="33" t="str">
        <f t="shared" si="21"/>
        <v/>
      </c>
      <c r="I866" s="31"/>
      <c r="J866" s="31"/>
      <c r="K866" s="33"/>
      <c r="W866">
        <f>IF($A2="","",COUNTIF('07_Pallet_Contents'!$A$2:$A$3000,$A2))</f>
        <v>0</v>
      </c>
      <c r="X866">
        <f>IF($A2="","",SUMIF('07_Pallet_Contents'!$A$2:$A$3000,$A2,'07_Pallet_Contents'!$D$2:$D$3000))</f>
        <v>0</v>
      </c>
      <c r="Y866">
        <f>IF($A2="","",SUMIF('07_Pallet_Contents'!$A$2:$A$3000,$A2,'07_Pallet_Contents'!$I$2:$I$3000))</f>
        <v>0</v>
      </c>
      <c r="Z866" t="str">
        <f>IF($A2="","",IF(COUNTIF('07_Pallet_Contents'!$A$2:$A$3000,$A2)&gt;0,"Yes",""))</f>
        <v/>
      </c>
    </row>
    <row r="867" spans="2:26">
      <c r="B867" s="31"/>
      <c r="G867" s="34"/>
      <c r="H867" s="33" t="str">
        <f t="shared" si="21"/>
        <v/>
      </c>
      <c r="I867" s="31"/>
      <c r="J867" s="31"/>
      <c r="K867" s="33"/>
      <c r="W867">
        <f>IF($A2="","",COUNTIF('07_Pallet_Contents'!$A$2:$A$3000,$A2))</f>
        <v>0</v>
      </c>
      <c r="X867">
        <f>IF($A2="","",SUMIF('07_Pallet_Contents'!$A$2:$A$3000,$A2,'07_Pallet_Contents'!$D$2:$D$3000))</f>
        <v>0</v>
      </c>
      <c r="Y867">
        <f>IF($A2="","",SUMIF('07_Pallet_Contents'!$A$2:$A$3000,$A2,'07_Pallet_Contents'!$I$2:$I$3000))</f>
        <v>0</v>
      </c>
      <c r="Z867" t="str">
        <f>IF($A2="","",IF(COUNTIF('07_Pallet_Contents'!$A$2:$A$3000,$A2)&gt;0,"Yes",""))</f>
        <v/>
      </c>
    </row>
    <row r="868" spans="2:26">
      <c r="B868" s="31"/>
      <c r="G868" s="34"/>
      <c r="H868" s="33" t="str">
        <f t="shared" si="21"/>
        <v/>
      </c>
      <c r="I868" s="31"/>
      <c r="J868" s="31"/>
      <c r="K868" s="33"/>
      <c r="W868">
        <f>IF($A2="","",COUNTIF('07_Pallet_Contents'!$A$2:$A$3000,$A2))</f>
        <v>0</v>
      </c>
      <c r="X868">
        <f>IF($A2="","",SUMIF('07_Pallet_Contents'!$A$2:$A$3000,$A2,'07_Pallet_Contents'!$D$2:$D$3000))</f>
        <v>0</v>
      </c>
      <c r="Y868">
        <f>IF($A2="","",SUMIF('07_Pallet_Contents'!$A$2:$A$3000,$A2,'07_Pallet_Contents'!$I$2:$I$3000))</f>
        <v>0</v>
      </c>
      <c r="Z868" t="str">
        <f>IF($A2="","",IF(COUNTIF('07_Pallet_Contents'!$A$2:$A$3000,$A2)&gt;0,"Yes",""))</f>
        <v/>
      </c>
    </row>
    <row r="869" spans="2:26">
      <c r="B869" s="31"/>
      <c r="G869" s="34"/>
      <c r="H869" s="33" t="str">
        <f t="shared" si="21"/>
        <v/>
      </c>
      <c r="I869" s="31"/>
      <c r="J869" s="31"/>
      <c r="K869" s="33"/>
      <c r="W869">
        <f>IF($A2="","",COUNTIF('07_Pallet_Contents'!$A$2:$A$3000,$A2))</f>
        <v>0</v>
      </c>
      <c r="X869">
        <f>IF($A2="","",SUMIF('07_Pallet_Contents'!$A$2:$A$3000,$A2,'07_Pallet_Contents'!$D$2:$D$3000))</f>
        <v>0</v>
      </c>
      <c r="Y869">
        <f>IF($A2="","",SUMIF('07_Pallet_Contents'!$A$2:$A$3000,$A2,'07_Pallet_Contents'!$I$2:$I$3000))</f>
        <v>0</v>
      </c>
      <c r="Z869" t="str">
        <f>IF($A2="","",IF(COUNTIF('07_Pallet_Contents'!$A$2:$A$3000,$A2)&gt;0,"Yes",""))</f>
        <v/>
      </c>
    </row>
    <row r="870" spans="2:26">
      <c r="B870" s="31"/>
      <c r="G870" s="34"/>
      <c r="H870" s="33" t="str">
        <f t="shared" si="21"/>
        <v/>
      </c>
      <c r="I870" s="31"/>
      <c r="J870" s="31"/>
      <c r="K870" s="33"/>
      <c r="W870">
        <f>IF($A2="","",COUNTIF('07_Pallet_Contents'!$A$2:$A$3000,$A2))</f>
        <v>0</v>
      </c>
      <c r="X870">
        <f>IF($A2="","",SUMIF('07_Pallet_Contents'!$A$2:$A$3000,$A2,'07_Pallet_Contents'!$D$2:$D$3000))</f>
        <v>0</v>
      </c>
      <c r="Y870">
        <f>IF($A2="","",SUMIF('07_Pallet_Contents'!$A$2:$A$3000,$A2,'07_Pallet_Contents'!$I$2:$I$3000))</f>
        <v>0</v>
      </c>
      <c r="Z870" t="str">
        <f>IF($A2="","",IF(COUNTIF('07_Pallet_Contents'!$A$2:$A$3000,$A2)&gt;0,"Yes",""))</f>
        <v/>
      </c>
    </row>
    <row r="871" spans="2:26">
      <c r="B871" s="31"/>
      <c r="G871" s="34"/>
      <c r="H871" s="33" t="str">
        <f t="shared" si="21"/>
        <v/>
      </c>
      <c r="I871" s="31"/>
      <c r="J871" s="31"/>
      <c r="K871" s="33"/>
      <c r="W871">
        <f>IF($A2="","",COUNTIF('07_Pallet_Contents'!$A$2:$A$3000,$A2))</f>
        <v>0</v>
      </c>
      <c r="X871">
        <f>IF($A2="","",SUMIF('07_Pallet_Contents'!$A$2:$A$3000,$A2,'07_Pallet_Contents'!$D$2:$D$3000))</f>
        <v>0</v>
      </c>
      <c r="Y871">
        <f>IF($A2="","",SUMIF('07_Pallet_Contents'!$A$2:$A$3000,$A2,'07_Pallet_Contents'!$I$2:$I$3000))</f>
        <v>0</v>
      </c>
      <c r="Z871" t="str">
        <f>IF($A2="","",IF(COUNTIF('07_Pallet_Contents'!$A$2:$A$3000,$A2)&gt;0,"Yes",""))</f>
        <v/>
      </c>
    </row>
    <row r="872" spans="2:26">
      <c r="B872" s="31"/>
      <c r="G872" s="34"/>
      <c r="H872" s="33" t="str">
        <f t="shared" si="21"/>
        <v/>
      </c>
      <c r="I872" s="31"/>
      <c r="J872" s="31"/>
      <c r="K872" s="33"/>
      <c r="W872">
        <f>IF($A2="","",COUNTIF('07_Pallet_Contents'!$A$2:$A$3000,$A2))</f>
        <v>0</v>
      </c>
      <c r="X872">
        <f>IF($A2="","",SUMIF('07_Pallet_Contents'!$A$2:$A$3000,$A2,'07_Pallet_Contents'!$D$2:$D$3000))</f>
        <v>0</v>
      </c>
      <c r="Y872">
        <f>IF($A2="","",SUMIF('07_Pallet_Contents'!$A$2:$A$3000,$A2,'07_Pallet_Contents'!$I$2:$I$3000))</f>
        <v>0</v>
      </c>
      <c r="Z872" t="str">
        <f>IF($A2="","",IF(COUNTIF('07_Pallet_Contents'!$A$2:$A$3000,$A2)&gt;0,"Yes",""))</f>
        <v/>
      </c>
    </row>
    <row r="873" spans="2:26">
      <c r="B873" s="31"/>
      <c r="G873" s="34"/>
      <c r="H873" s="33" t="str">
        <f t="shared" si="21"/>
        <v/>
      </c>
      <c r="I873" s="31"/>
      <c r="J873" s="31"/>
      <c r="K873" s="33"/>
      <c r="W873">
        <f>IF($A2="","",COUNTIF('07_Pallet_Contents'!$A$2:$A$3000,$A2))</f>
        <v>0</v>
      </c>
      <c r="X873">
        <f>IF($A2="","",SUMIF('07_Pallet_Contents'!$A$2:$A$3000,$A2,'07_Pallet_Contents'!$D$2:$D$3000))</f>
        <v>0</v>
      </c>
      <c r="Y873">
        <f>IF($A2="","",SUMIF('07_Pallet_Contents'!$A$2:$A$3000,$A2,'07_Pallet_Contents'!$I$2:$I$3000))</f>
        <v>0</v>
      </c>
      <c r="Z873" t="str">
        <f>IF($A2="","",IF(COUNTIF('07_Pallet_Contents'!$A$2:$A$3000,$A2)&gt;0,"Yes",""))</f>
        <v/>
      </c>
    </row>
    <row r="874" spans="2:26">
      <c r="B874" s="31"/>
      <c r="G874" s="34"/>
      <c r="H874" s="33" t="str">
        <f t="shared" si="21"/>
        <v/>
      </c>
      <c r="I874" s="31"/>
      <c r="J874" s="31"/>
      <c r="K874" s="33"/>
      <c r="W874">
        <f>IF($A2="","",COUNTIF('07_Pallet_Contents'!$A$2:$A$3000,$A2))</f>
        <v>0</v>
      </c>
      <c r="X874">
        <f>IF($A2="","",SUMIF('07_Pallet_Contents'!$A$2:$A$3000,$A2,'07_Pallet_Contents'!$D$2:$D$3000))</f>
        <v>0</v>
      </c>
      <c r="Y874">
        <f>IF($A2="","",SUMIF('07_Pallet_Contents'!$A$2:$A$3000,$A2,'07_Pallet_Contents'!$I$2:$I$3000))</f>
        <v>0</v>
      </c>
      <c r="Z874" t="str">
        <f>IF($A2="","",IF(COUNTIF('07_Pallet_Contents'!$A$2:$A$3000,$A2)&gt;0,"Yes",""))</f>
        <v/>
      </c>
    </row>
    <row r="875" spans="2:26">
      <c r="B875" s="31"/>
      <c r="G875" s="34"/>
      <c r="H875" s="33" t="str">
        <f t="shared" si="21"/>
        <v/>
      </c>
      <c r="I875" s="31"/>
      <c r="J875" s="31"/>
      <c r="K875" s="33"/>
      <c r="W875">
        <f>IF($A2="","",COUNTIF('07_Pallet_Contents'!$A$2:$A$3000,$A2))</f>
        <v>0</v>
      </c>
      <c r="X875">
        <f>IF($A2="","",SUMIF('07_Pallet_Contents'!$A$2:$A$3000,$A2,'07_Pallet_Contents'!$D$2:$D$3000))</f>
        <v>0</v>
      </c>
      <c r="Y875">
        <f>IF($A2="","",SUMIF('07_Pallet_Contents'!$A$2:$A$3000,$A2,'07_Pallet_Contents'!$I$2:$I$3000))</f>
        <v>0</v>
      </c>
      <c r="Z875" t="str">
        <f>IF($A2="","",IF(COUNTIF('07_Pallet_Contents'!$A$2:$A$3000,$A2)&gt;0,"Yes",""))</f>
        <v/>
      </c>
    </row>
    <row r="876" spans="2:26">
      <c r="B876" s="31"/>
      <c r="G876" s="34"/>
      <c r="H876" s="33" t="str">
        <f t="shared" si="21"/>
        <v/>
      </c>
      <c r="I876" s="31"/>
      <c r="J876" s="31"/>
      <c r="K876" s="33"/>
      <c r="W876">
        <f>IF($A2="","",COUNTIF('07_Pallet_Contents'!$A$2:$A$3000,$A2))</f>
        <v>0</v>
      </c>
      <c r="X876">
        <f>IF($A2="","",SUMIF('07_Pallet_Contents'!$A$2:$A$3000,$A2,'07_Pallet_Contents'!$D$2:$D$3000))</f>
        <v>0</v>
      </c>
      <c r="Y876">
        <f>IF($A2="","",SUMIF('07_Pallet_Contents'!$A$2:$A$3000,$A2,'07_Pallet_Contents'!$I$2:$I$3000))</f>
        <v>0</v>
      </c>
      <c r="Z876" t="str">
        <f>IF($A2="","",IF(COUNTIF('07_Pallet_Contents'!$A$2:$A$3000,$A2)&gt;0,"Yes",""))</f>
        <v/>
      </c>
    </row>
    <row r="877" spans="2:26">
      <c r="B877" s="31"/>
      <c r="G877" s="34"/>
      <c r="H877" s="33" t="str">
        <f t="shared" si="21"/>
        <v/>
      </c>
      <c r="I877" s="31"/>
      <c r="J877" s="31"/>
      <c r="K877" s="33"/>
      <c r="W877">
        <f>IF($A2="","",COUNTIF('07_Pallet_Contents'!$A$2:$A$3000,$A2))</f>
        <v>0</v>
      </c>
      <c r="X877">
        <f>IF($A2="","",SUMIF('07_Pallet_Contents'!$A$2:$A$3000,$A2,'07_Pallet_Contents'!$D$2:$D$3000))</f>
        <v>0</v>
      </c>
      <c r="Y877">
        <f>IF($A2="","",SUMIF('07_Pallet_Contents'!$A$2:$A$3000,$A2,'07_Pallet_Contents'!$I$2:$I$3000))</f>
        <v>0</v>
      </c>
      <c r="Z877" t="str">
        <f>IF($A2="","",IF(COUNTIF('07_Pallet_Contents'!$A$2:$A$3000,$A2)&gt;0,"Yes",""))</f>
        <v/>
      </c>
    </row>
    <row r="878" spans="2:26">
      <c r="B878" s="31"/>
      <c r="G878" s="34"/>
      <c r="H878" s="33" t="str">
        <f t="shared" si="21"/>
        <v/>
      </c>
      <c r="I878" s="31"/>
      <c r="J878" s="31"/>
      <c r="K878" s="33"/>
      <c r="W878">
        <f>IF($A2="","",COUNTIF('07_Pallet_Contents'!$A$2:$A$3000,$A2))</f>
        <v>0</v>
      </c>
      <c r="X878">
        <f>IF($A2="","",SUMIF('07_Pallet_Contents'!$A$2:$A$3000,$A2,'07_Pallet_Contents'!$D$2:$D$3000))</f>
        <v>0</v>
      </c>
      <c r="Y878">
        <f>IF($A2="","",SUMIF('07_Pallet_Contents'!$A$2:$A$3000,$A2,'07_Pallet_Contents'!$I$2:$I$3000))</f>
        <v>0</v>
      </c>
      <c r="Z878" t="str">
        <f>IF($A2="","",IF(COUNTIF('07_Pallet_Contents'!$A$2:$A$3000,$A2)&gt;0,"Yes",""))</f>
        <v/>
      </c>
    </row>
    <row r="879" spans="2:26">
      <c r="B879" s="31"/>
      <c r="G879" s="34"/>
      <c r="H879" s="33" t="str">
        <f t="shared" si="21"/>
        <v/>
      </c>
      <c r="I879" s="31"/>
      <c r="J879" s="31"/>
      <c r="K879" s="33"/>
      <c r="W879">
        <f>IF($A2="","",COUNTIF('07_Pallet_Contents'!$A$2:$A$3000,$A2))</f>
        <v>0</v>
      </c>
      <c r="X879">
        <f>IF($A2="","",SUMIF('07_Pallet_Contents'!$A$2:$A$3000,$A2,'07_Pallet_Contents'!$D$2:$D$3000))</f>
        <v>0</v>
      </c>
      <c r="Y879">
        <f>IF($A2="","",SUMIF('07_Pallet_Contents'!$A$2:$A$3000,$A2,'07_Pallet_Contents'!$I$2:$I$3000))</f>
        <v>0</v>
      </c>
      <c r="Z879" t="str">
        <f>IF($A2="","",IF(COUNTIF('07_Pallet_Contents'!$A$2:$A$3000,$A2)&gt;0,"Yes",""))</f>
        <v/>
      </c>
    </row>
    <row r="880" spans="2:26">
      <c r="B880" s="31"/>
      <c r="G880" s="34"/>
      <c r="H880" s="33" t="str">
        <f t="shared" si="21"/>
        <v/>
      </c>
      <c r="I880" s="31"/>
      <c r="J880" s="31"/>
      <c r="K880" s="33"/>
      <c r="W880">
        <f>IF($A2="","",COUNTIF('07_Pallet_Contents'!$A$2:$A$3000,$A2))</f>
        <v>0</v>
      </c>
      <c r="X880">
        <f>IF($A2="","",SUMIF('07_Pallet_Contents'!$A$2:$A$3000,$A2,'07_Pallet_Contents'!$D$2:$D$3000))</f>
        <v>0</v>
      </c>
      <c r="Y880">
        <f>IF($A2="","",SUMIF('07_Pallet_Contents'!$A$2:$A$3000,$A2,'07_Pallet_Contents'!$I$2:$I$3000))</f>
        <v>0</v>
      </c>
      <c r="Z880" t="str">
        <f>IF($A2="","",IF(COUNTIF('07_Pallet_Contents'!$A$2:$A$3000,$A2)&gt;0,"Yes",""))</f>
        <v/>
      </c>
    </row>
    <row r="881" spans="2:26">
      <c r="B881" s="31"/>
      <c r="G881" s="34"/>
      <c r="H881" s="33" t="str">
        <f t="shared" si="21"/>
        <v/>
      </c>
      <c r="I881" s="31"/>
      <c r="J881" s="31"/>
      <c r="K881" s="33"/>
      <c r="W881">
        <f>IF($A2="","",COUNTIF('07_Pallet_Contents'!$A$2:$A$3000,$A2))</f>
        <v>0</v>
      </c>
      <c r="X881">
        <f>IF($A2="","",SUMIF('07_Pallet_Contents'!$A$2:$A$3000,$A2,'07_Pallet_Contents'!$D$2:$D$3000))</f>
        <v>0</v>
      </c>
      <c r="Y881">
        <f>IF($A2="","",SUMIF('07_Pallet_Contents'!$A$2:$A$3000,$A2,'07_Pallet_Contents'!$I$2:$I$3000))</f>
        <v>0</v>
      </c>
      <c r="Z881" t="str">
        <f>IF($A2="","",IF(COUNTIF('07_Pallet_Contents'!$A$2:$A$3000,$A2)&gt;0,"Yes",""))</f>
        <v/>
      </c>
    </row>
    <row r="882" spans="2:26">
      <c r="B882" s="31"/>
      <c r="G882" s="34"/>
      <c r="H882" s="33" t="str">
        <f t="shared" si="21"/>
        <v/>
      </c>
      <c r="I882" s="31"/>
      <c r="J882" s="31"/>
      <c r="K882" s="33"/>
      <c r="W882">
        <f>IF($A2="","",COUNTIF('07_Pallet_Contents'!$A$2:$A$3000,$A2))</f>
        <v>0</v>
      </c>
      <c r="X882">
        <f>IF($A2="","",SUMIF('07_Pallet_Contents'!$A$2:$A$3000,$A2,'07_Pallet_Contents'!$D$2:$D$3000))</f>
        <v>0</v>
      </c>
      <c r="Y882">
        <f>IF($A2="","",SUMIF('07_Pallet_Contents'!$A$2:$A$3000,$A2,'07_Pallet_Contents'!$I$2:$I$3000))</f>
        <v>0</v>
      </c>
      <c r="Z882" t="str">
        <f>IF($A2="","",IF(COUNTIF('07_Pallet_Contents'!$A$2:$A$3000,$A2)&gt;0,"Yes",""))</f>
        <v/>
      </c>
    </row>
    <row r="883" spans="2:26">
      <c r="B883" s="31"/>
      <c r="G883" s="34"/>
      <c r="H883" s="33" t="str">
        <f t="shared" si="21"/>
        <v/>
      </c>
      <c r="I883" s="31"/>
      <c r="J883" s="31"/>
      <c r="K883" s="33"/>
      <c r="W883">
        <f>IF($A2="","",COUNTIF('07_Pallet_Contents'!$A$2:$A$3000,$A2))</f>
        <v>0</v>
      </c>
      <c r="X883">
        <f>IF($A2="","",SUMIF('07_Pallet_Contents'!$A$2:$A$3000,$A2,'07_Pallet_Contents'!$D$2:$D$3000))</f>
        <v>0</v>
      </c>
      <c r="Y883">
        <f>IF($A2="","",SUMIF('07_Pallet_Contents'!$A$2:$A$3000,$A2,'07_Pallet_Contents'!$I$2:$I$3000))</f>
        <v>0</v>
      </c>
      <c r="Z883" t="str">
        <f>IF($A2="","",IF(COUNTIF('07_Pallet_Contents'!$A$2:$A$3000,$A2)&gt;0,"Yes",""))</f>
        <v/>
      </c>
    </row>
    <row r="884" spans="2:26">
      <c r="B884" s="31"/>
      <c r="G884" s="34"/>
      <c r="H884" s="33" t="str">
        <f t="shared" si="21"/>
        <v/>
      </c>
      <c r="I884" s="31"/>
      <c r="J884" s="31"/>
      <c r="K884" s="33"/>
      <c r="W884">
        <f>IF($A2="","",COUNTIF('07_Pallet_Contents'!$A$2:$A$3000,$A2))</f>
        <v>0</v>
      </c>
      <c r="X884">
        <f>IF($A2="","",SUMIF('07_Pallet_Contents'!$A$2:$A$3000,$A2,'07_Pallet_Contents'!$D$2:$D$3000))</f>
        <v>0</v>
      </c>
      <c r="Y884">
        <f>IF($A2="","",SUMIF('07_Pallet_Contents'!$A$2:$A$3000,$A2,'07_Pallet_Contents'!$I$2:$I$3000))</f>
        <v>0</v>
      </c>
      <c r="Z884" t="str">
        <f>IF($A2="","",IF(COUNTIF('07_Pallet_Contents'!$A$2:$A$3000,$A2)&gt;0,"Yes",""))</f>
        <v/>
      </c>
    </row>
    <row r="885" spans="2:26">
      <c r="B885" s="31"/>
      <c r="G885" s="34"/>
      <c r="H885" s="33" t="str">
        <f t="shared" si="21"/>
        <v/>
      </c>
      <c r="I885" s="31"/>
      <c r="J885" s="31"/>
      <c r="K885" s="33"/>
      <c r="W885">
        <f>IF($A2="","",COUNTIF('07_Pallet_Contents'!$A$2:$A$3000,$A2))</f>
        <v>0</v>
      </c>
      <c r="X885">
        <f>IF($A2="","",SUMIF('07_Pallet_Contents'!$A$2:$A$3000,$A2,'07_Pallet_Contents'!$D$2:$D$3000))</f>
        <v>0</v>
      </c>
      <c r="Y885">
        <f>IF($A2="","",SUMIF('07_Pallet_Contents'!$A$2:$A$3000,$A2,'07_Pallet_Contents'!$I$2:$I$3000))</f>
        <v>0</v>
      </c>
      <c r="Z885" t="str">
        <f>IF($A2="","",IF(COUNTIF('07_Pallet_Contents'!$A$2:$A$3000,$A2)&gt;0,"Yes",""))</f>
        <v/>
      </c>
    </row>
    <row r="886" spans="2:26">
      <c r="B886" s="31"/>
      <c r="G886" s="34"/>
      <c r="H886" s="33" t="str">
        <f t="shared" si="21"/>
        <v/>
      </c>
      <c r="I886" s="31"/>
      <c r="J886" s="31"/>
      <c r="K886" s="33"/>
      <c r="W886">
        <f>IF($A2="","",COUNTIF('07_Pallet_Contents'!$A$2:$A$3000,$A2))</f>
        <v>0</v>
      </c>
      <c r="X886">
        <f>IF($A2="","",SUMIF('07_Pallet_Contents'!$A$2:$A$3000,$A2,'07_Pallet_Contents'!$D$2:$D$3000))</f>
        <v>0</v>
      </c>
      <c r="Y886">
        <f>IF($A2="","",SUMIF('07_Pallet_Contents'!$A$2:$A$3000,$A2,'07_Pallet_Contents'!$I$2:$I$3000))</f>
        <v>0</v>
      </c>
      <c r="Z886" t="str">
        <f>IF($A2="","",IF(COUNTIF('07_Pallet_Contents'!$A$2:$A$3000,$A2)&gt;0,"Yes",""))</f>
        <v/>
      </c>
    </row>
    <row r="887" spans="2:26">
      <c r="B887" s="31"/>
      <c r="G887" s="34"/>
      <c r="H887" s="33" t="str">
        <f t="shared" si="21"/>
        <v/>
      </c>
      <c r="I887" s="31"/>
      <c r="J887" s="31"/>
      <c r="K887" s="33"/>
      <c r="W887">
        <f>IF($A2="","",COUNTIF('07_Pallet_Contents'!$A$2:$A$3000,$A2))</f>
        <v>0</v>
      </c>
      <c r="X887">
        <f>IF($A2="","",SUMIF('07_Pallet_Contents'!$A$2:$A$3000,$A2,'07_Pallet_Contents'!$D$2:$D$3000))</f>
        <v>0</v>
      </c>
      <c r="Y887">
        <f>IF($A2="","",SUMIF('07_Pallet_Contents'!$A$2:$A$3000,$A2,'07_Pallet_Contents'!$I$2:$I$3000))</f>
        <v>0</v>
      </c>
      <c r="Z887" t="str">
        <f>IF($A2="","",IF(COUNTIF('07_Pallet_Contents'!$A$2:$A$3000,$A2)&gt;0,"Yes",""))</f>
        <v/>
      </c>
    </row>
    <row r="888" spans="2:26">
      <c r="B888" s="31"/>
      <c r="G888" s="34"/>
      <c r="H888" s="33" t="str">
        <f t="shared" si="21"/>
        <v/>
      </c>
      <c r="I888" s="31"/>
      <c r="J888" s="31"/>
      <c r="K888" s="33"/>
      <c r="W888">
        <f>IF($A2="","",COUNTIF('07_Pallet_Contents'!$A$2:$A$3000,$A2))</f>
        <v>0</v>
      </c>
      <c r="X888">
        <f>IF($A2="","",SUMIF('07_Pallet_Contents'!$A$2:$A$3000,$A2,'07_Pallet_Contents'!$D$2:$D$3000))</f>
        <v>0</v>
      </c>
      <c r="Y888">
        <f>IF($A2="","",SUMIF('07_Pallet_Contents'!$A$2:$A$3000,$A2,'07_Pallet_Contents'!$I$2:$I$3000))</f>
        <v>0</v>
      </c>
      <c r="Z888" t="str">
        <f>IF($A2="","",IF(COUNTIF('07_Pallet_Contents'!$A$2:$A$3000,$A2)&gt;0,"Yes",""))</f>
        <v/>
      </c>
    </row>
    <row r="889" spans="2:26">
      <c r="B889" s="31"/>
      <c r="G889" s="34"/>
      <c r="H889" s="33" t="str">
        <f t="shared" si="21"/>
        <v/>
      </c>
      <c r="I889" s="31"/>
      <c r="J889" s="31"/>
      <c r="K889" s="33"/>
      <c r="W889">
        <f>IF($A2="","",COUNTIF('07_Pallet_Contents'!$A$2:$A$3000,$A2))</f>
        <v>0</v>
      </c>
      <c r="X889">
        <f>IF($A2="","",SUMIF('07_Pallet_Contents'!$A$2:$A$3000,$A2,'07_Pallet_Contents'!$D$2:$D$3000))</f>
        <v>0</v>
      </c>
      <c r="Y889">
        <f>IF($A2="","",SUMIF('07_Pallet_Contents'!$A$2:$A$3000,$A2,'07_Pallet_Contents'!$I$2:$I$3000))</f>
        <v>0</v>
      </c>
      <c r="Z889" t="str">
        <f>IF($A2="","",IF(COUNTIF('07_Pallet_Contents'!$A$2:$A$3000,$A2)&gt;0,"Yes",""))</f>
        <v/>
      </c>
    </row>
    <row r="890" spans="2:26">
      <c r="B890" s="31"/>
      <c r="G890" s="34"/>
      <c r="H890" s="33" t="str">
        <f t="shared" si="21"/>
        <v/>
      </c>
      <c r="I890" s="31"/>
      <c r="J890" s="31"/>
      <c r="K890" s="33"/>
      <c r="W890">
        <f>IF($A2="","",COUNTIF('07_Pallet_Contents'!$A$2:$A$3000,$A2))</f>
        <v>0</v>
      </c>
      <c r="X890">
        <f>IF($A2="","",SUMIF('07_Pallet_Contents'!$A$2:$A$3000,$A2,'07_Pallet_Contents'!$D$2:$D$3000))</f>
        <v>0</v>
      </c>
      <c r="Y890">
        <f>IF($A2="","",SUMIF('07_Pallet_Contents'!$A$2:$A$3000,$A2,'07_Pallet_Contents'!$I$2:$I$3000))</f>
        <v>0</v>
      </c>
      <c r="Z890" t="str">
        <f>IF($A2="","",IF(COUNTIF('07_Pallet_Contents'!$A$2:$A$3000,$A2)&gt;0,"Yes",""))</f>
        <v/>
      </c>
    </row>
    <row r="891" spans="2:26">
      <c r="B891" s="31"/>
      <c r="G891" s="34"/>
      <c r="H891" s="33" t="str">
        <f t="shared" si="21"/>
        <v/>
      </c>
      <c r="I891" s="31"/>
      <c r="J891" s="31"/>
      <c r="K891" s="33"/>
      <c r="W891">
        <f>IF($A2="","",COUNTIF('07_Pallet_Contents'!$A$2:$A$3000,$A2))</f>
        <v>0</v>
      </c>
      <c r="X891">
        <f>IF($A2="","",SUMIF('07_Pallet_Contents'!$A$2:$A$3000,$A2,'07_Pallet_Contents'!$D$2:$D$3000))</f>
        <v>0</v>
      </c>
      <c r="Y891">
        <f>IF($A2="","",SUMIF('07_Pallet_Contents'!$A$2:$A$3000,$A2,'07_Pallet_Contents'!$I$2:$I$3000))</f>
        <v>0</v>
      </c>
      <c r="Z891" t="str">
        <f>IF($A2="","",IF(COUNTIF('07_Pallet_Contents'!$A$2:$A$3000,$A2)&gt;0,"Yes",""))</f>
        <v/>
      </c>
    </row>
    <row r="892" spans="2:26">
      <c r="B892" s="31"/>
      <c r="G892" s="34"/>
      <c r="H892" s="33" t="str">
        <f t="shared" si="21"/>
        <v/>
      </c>
      <c r="I892" s="31"/>
      <c r="J892" s="31"/>
      <c r="K892" s="33"/>
      <c r="W892">
        <f>IF($A2="","",COUNTIF('07_Pallet_Contents'!$A$2:$A$3000,$A2))</f>
        <v>0</v>
      </c>
      <c r="X892">
        <f>IF($A2="","",SUMIF('07_Pallet_Contents'!$A$2:$A$3000,$A2,'07_Pallet_Contents'!$D$2:$D$3000))</f>
        <v>0</v>
      </c>
      <c r="Y892">
        <f>IF($A2="","",SUMIF('07_Pallet_Contents'!$A$2:$A$3000,$A2,'07_Pallet_Contents'!$I$2:$I$3000))</f>
        <v>0</v>
      </c>
      <c r="Z892" t="str">
        <f>IF($A2="","",IF(COUNTIF('07_Pallet_Contents'!$A$2:$A$3000,$A2)&gt;0,"Yes",""))</f>
        <v/>
      </c>
    </row>
    <row r="893" spans="2:26">
      <c r="B893" s="31"/>
      <c r="G893" s="34"/>
      <c r="H893" s="33" t="str">
        <f t="shared" si="21"/>
        <v/>
      </c>
      <c r="I893" s="31"/>
      <c r="J893" s="31"/>
      <c r="K893" s="33"/>
      <c r="W893">
        <f>IF($A2="","",COUNTIF('07_Pallet_Contents'!$A$2:$A$3000,$A2))</f>
        <v>0</v>
      </c>
      <c r="X893">
        <f>IF($A2="","",SUMIF('07_Pallet_Contents'!$A$2:$A$3000,$A2,'07_Pallet_Contents'!$D$2:$D$3000))</f>
        <v>0</v>
      </c>
      <c r="Y893">
        <f>IF($A2="","",SUMIF('07_Pallet_Contents'!$A$2:$A$3000,$A2,'07_Pallet_Contents'!$I$2:$I$3000))</f>
        <v>0</v>
      </c>
      <c r="Z893" t="str">
        <f>IF($A2="","",IF(COUNTIF('07_Pallet_Contents'!$A$2:$A$3000,$A2)&gt;0,"Yes",""))</f>
        <v/>
      </c>
    </row>
    <row r="894" spans="2:26">
      <c r="B894" s="31"/>
      <c r="G894" s="34"/>
      <c r="H894" s="33" t="str">
        <f t="shared" si="21"/>
        <v/>
      </c>
      <c r="I894" s="31"/>
      <c r="J894" s="31"/>
      <c r="K894" s="33"/>
      <c r="W894">
        <f>IF($A2="","",COUNTIF('07_Pallet_Contents'!$A$2:$A$3000,$A2))</f>
        <v>0</v>
      </c>
      <c r="X894">
        <f>IF($A2="","",SUMIF('07_Pallet_Contents'!$A$2:$A$3000,$A2,'07_Pallet_Contents'!$D$2:$D$3000))</f>
        <v>0</v>
      </c>
      <c r="Y894">
        <f>IF($A2="","",SUMIF('07_Pallet_Contents'!$A$2:$A$3000,$A2,'07_Pallet_Contents'!$I$2:$I$3000))</f>
        <v>0</v>
      </c>
      <c r="Z894" t="str">
        <f>IF($A2="","",IF(COUNTIF('07_Pallet_Contents'!$A$2:$A$3000,$A2)&gt;0,"Yes",""))</f>
        <v/>
      </c>
    </row>
    <row r="895" spans="2:26">
      <c r="B895" s="31"/>
      <c r="G895" s="34"/>
      <c r="H895" s="33" t="str">
        <f t="shared" si="21"/>
        <v/>
      </c>
      <c r="I895" s="31"/>
      <c r="J895" s="31"/>
      <c r="K895" s="33"/>
      <c r="W895">
        <f>IF($A2="","",COUNTIF('07_Pallet_Contents'!$A$2:$A$3000,$A2))</f>
        <v>0</v>
      </c>
      <c r="X895">
        <f>IF($A2="","",SUMIF('07_Pallet_Contents'!$A$2:$A$3000,$A2,'07_Pallet_Contents'!$D$2:$D$3000))</f>
        <v>0</v>
      </c>
      <c r="Y895">
        <f>IF($A2="","",SUMIF('07_Pallet_Contents'!$A$2:$A$3000,$A2,'07_Pallet_Contents'!$I$2:$I$3000))</f>
        <v>0</v>
      </c>
      <c r="Z895" t="str">
        <f>IF($A2="","",IF(COUNTIF('07_Pallet_Contents'!$A$2:$A$3000,$A2)&gt;0,"Yes",""))</f>
        <v/>
      </c>
    </row>
    <row r="896" spans="2:26">
      <c r="B896" s="31"/>
      <c r="G896" s="34"/>
      <c r="H896" s="33" t="str">
        <f t="shared" si="21"/>
        <v/>
      </c>
      <c r="I896" s="31"/>
      <c r="J896" s="31"/>
      <c r="K896" s="33"/>
      <c r="W896">
        <f>IF($A2="","",COUNTIF('07_Pallet_Contents'!$A$2:$A$3000,$A2))</f>
        <v>0</v>
      </c>
      <c r="X896">
        <f>IF($A2="","",SUMIF('07_Pallet_Contents'!$A$2:$A$3000,$A2,'07_Pallet_Contents'!$D$2:$D$3000))</f>
        <v>0</v>
      </c>
      <c r="Y896">
        <f>IF($A2="","",SUMIF('07_Pallet_Contents'!$A$2:$A$3000,$A2,'07_Pallet_Contents'!$I$2:$I$3000))</f>
        <v>0</v>
      </c>
      <c r="Z896" t="str">
        <f>IF($A2="","",IF(COUNTIF('07_Pallet_Contents'!$A$2:$A$3000,$A2)&gt;0,"Yes",""))</f>
        <v/>
      </c>
    </row>
    <row r="897" spans="2:26">
      <c r="B897" s="31"/>
      <c r="G897" s="34"/>
      <c r="H897" s="33" t="str">
        <f t="shared" si="21"/>
        <v/>
      </c>
      <c r="I897" s="31"/>
      <c r="J897" s="31"/>
      <c r="K897" s="33"/>
      <c r="W897">
        <f>IF($A2="","",COUNTIF('07_Pallet_Contents'!$A$2:$A$3000,$A2))</f>
        <v>0</v>
      </c>
      <c r="X897">
        <f>IF($A2="","",SUMIF('07_Pallet_Contents'!$A$2:$A$3000,$A2,'07_Pallet_Contents'!$D$2:$D$3000))</f>
        <v>0</v>
      </c>
      <c r="Y897">
        <f>IF($A2="","",SUMIF('07_Pallet_Contents'!$A$2:$A$3000,$A2,'07_Pallet_Contents'!$I$2:$I$3000))</f>
        <v>0</v>
      </c>
      <c r="Z897" t="str">
        <f>IF($A2="","",IF(COUNTIF('07_Pallet_Contents'!$A$2:$A$3000,$A2)&gt;0,"Yes",""))</f>
        <v/>
      </c>
    </row>
    <row r="898" spans="2:26">
      <c r="B898" s="31"/>
      <c r="G898" s="34"/>
      <c r="H898" s="33" t="str">
        <f t="shared" ref="H898:H961" si="22">IF(AND($F898="TEMP",$G898&gt;0,$M898&lt;&gt;""),$M898+$G898,"")</f>
        <v/>
      </c>
      <c r="I898" s="31"/>
      <c r="J898" s="31"/>
      <c r="K898" s="33"/>
      <c r="W898">
        <f>IF($A2="","",COUNTIF('07_Pallet_Contents'!$A$2:$A$3000,$A2))</f>
        <v>0</v>
      </c>
      <c r="X898">
        <f>IF($A2="","",SUMIF('07_Pallet_Contents'!$A$2:$A$3000,$A2,'07_Pallet_Contents'!$D$2:$D$3000))</f>
        <v>0</v>
      </c>
      <c r="Y898">
        <f>IF($A2="","",SUMIF('07_Pallet_Contents'!$A$2:$A$3000,$A2,'07_Pallet_Contents'!$I$2:$I$3000))</f>
        <v>0</v>
      </c>
      <c r="Z898" t="str">
        <f>IF($A2="","",IF(COUNTIF('07_Pallet_Contents'!$A$2:$A$3000,$A2)&gt;0,"Yes",""))</f>
        <v/>
      </c>
    </row>
    <row r="899" spans="2:26">
      <c r="B899" s="31"/>
      <c r="G899" s="34"/>
      <c r="H899" s="33" t="str">
        <f t="shared" si="22"/>
        <v/>
      </c>
      <c r="I899" s="31"/>
      <c r="J899" s="31"/>
      <c r="K899" s="33"/>
      <c r="W899">
        <f>IF($A2="","",COUNTIF('07_Pallet_Contents'!$A$2:$A$3000,$A2))</f>
        <v>0</v>
      </c>
      <c r="X899">
        <f>IF($A2="","",SUMIF('07_Pallet_Contents'!$A$2:$A$3000,$A2,'07_Pallet_Contents'!$D$2:$D$3000))</f>
        <v>0</v>
      </c>
      <c r="Y899">
        <f>IF($A2="","",SUMIF('07_Pallet_Contents'!$A$2:$A$3000,$A2,'07_Pallet_Contents'!$I$2:$I$3000))</f>
        <v>0</v>
      </c>
      <c r="Z899" t="str">
        <f>IF($A2="","",IF(COUNTIF('07_Pallet_Contents'!$A$2:$A$3000,$A2)&gt;0,"Yes",""))</f>
        <v/>
      </c>
    </row>
    <row r="900" spans="2:26">
      <c r="B900" s="31"/>
      <c r="G900" s="34"/>
      <c r="H900" s="33" t="str">
        <f t="shared" si="22"/>
        <v/>
      </c>
      <c r="I900" s="31"/>
      <c r="J900" s="31"/>
      <c r="K900" s="33"/>
      <c r="W900">
        <f>IF($A2="","",COUNTIF('07_Pallet_Contents'!$A$2:$A$3000,$A2))</f>
        <v>0</v>
      </c>
      <c r="X900">
        <f>IF($A2="","",SUMIF('07_Pallet_Contents'!$A$2:$A$3000,$A2,'07_Pallet_Contents'!$D$2:$D$3000))</f>
        <v>0</v>
      </c>
      <c r="Y900">
        <f>IF($A2="","",SUMIF('07_Pallet_Contents'!$A$2:$A$3000,$A2,'07_Pallet_Contents'!$I$2:$I$3000))</f>
        <v>0</v>
      </c>
      <c r="Z900" t="str">
        <f>IF($A2="","",IF(COUNTIF('07_Pallet_Contents'!$A$2:$A$3000,$A2)&gt;0,"Yes",""))</f>
        <v/>
      </c>
    </row>
    <row r="901" spans="2:26">
      <c r="B901" s="31"/>
      <c r="G901" s="34"/>
      <c r="H901" s="33" t="str">
        <f t="shared" si="22"/>
        <v/>
      </c>
      <c r="I901" s="31"/>
      <c r="J901" s="31"/>
      <c r="K901" s="33"/>
      <c r="W901">
        <f>IF($A2="","",COUNTIF('07_Pallet_Contents'!$A$2:$A$3000,$A2))</f>
        <v>0</v>
      </c>
      <c r="X901">
        <f>IF($A2="","",SUMIF('07_Pallet_Contents'!$A$2:$A$3000,$A2,'07_Pallet_Contents'!$D$2:$D$3000))</f>
        <v>0</v>
      </c>
      <c r="Y901">
        <f>IF($A2="","",SUMIF('07_Pallet_Contents'!$A$2:$A$3000,$A2,'07_Pallet_Contents'!$I$2:$I$3000))</f>
        <v>0</v>
      </c>
      <c r="Z901" t="str">
        <f>IF($A2="","",IF(COUNTIF('07_Pallet_Contents'!$A$2:$A$3000,$A2)&gt;0,"Yes",""))</f>
        <v/>
      </c>
    </row>
    <row r="902" spans="2:26">
      <c r="B902" s="31"/>
      <c r="G902" s="34"/>
      <c r="H902" s="33" t="str">
        <f t="shared" si="22"/>
        <v/>
      </c>
      <c r="I902" s="31"/>
      <c r="J902" s="31"/>
      <c r="K902" s="33"/>
      <c r="W902">
        <f>IF($A2="","",COUNTIF('07_Pallet_Contents'!$A$2:$A$3000,$A2))</f>
        <v>0</v>
      </c>
      <c r="X902">
        <f>IF($A2="","",SUMIF('07_Pallet_Contents'!$A$2:$A$3000,$A2,'07_Pallet_Contents'!$D$2:$D$3000))</f>
        <v>0</v>
      </c>
      <c r="Y902">
        <f>IF($A2="","",SUMIF('07_Pallet_Contents'!$A$2:$A$3000,$A2,'07_Pallet_Contents'!$I$2:$I$3000))</f>
        <v>0</v>
      </c>
      <c r="Z902" t="str">
        <f>IF($A2="","",IF(COUNTIF('07_Pallet_Contents'!$A$2:$A$3000,$A2)&gt;0,"Yes",""))</f>
        <v/>
      </c>
    </row>
    <row r="903" spans="2:26">
      <c r="B903" s="31"/>
      <c r="G903" s="34"/>
      <c r="H903" s="33" t="str">
        <f t="shared" si="22"/>
        <v/>
      </c>
      <c r="I903" s="31"/>
      <c r="J903" s="31"/>
      <c r="K903" s="33"/>
      <c r="W903">
        <f>IF($A2="","",COUNTIF('07_Pallet_Contents'!$A$2:$A$3000,$A2))</f>
        <v>0</v>
      </c>
      <c r="X903">
        <f>IF($A2="","",SUMIF('07_Pallet_Contents'!$A$2:$A$3000,$A2,'07_Pallet_Contents'!$D$2:$D$3000))</f>
        <v>0</v>
      </c>
      <c r="Y903">
        <f>IF($A2="","",SUMIF('07_Pallet_Contents'!$A$2:$A$3000,$A2,'07_Pallet_Contents'!$I$2:$I$3000))</f>
        <v>0</v>
      </c>
      <c r="Z903" t="str">
        <f>IF($A2="","",IF(COUNTIF('07_Pallet_Contents'!$A$2:$A$3000,$A2)&gt;0,"Yes",""))</f>
        <v/>
      </c>
    </row>
    <row r="904" spans="2:26">
      <c r="B904" s="31"/>
      <c r="G904" s="34"/>
      <c r="H904" s="33" t="str">
        <f t="shared" si="22"/>
        <v/>
      </c>
      <c r="I904" s="31"/>
      <c r="J904" s="31"/>
      <c r="K904" s="33"/>
      <c r="W904">
        <f>IF($A2="","",COUNTIF('07_Pallet_Contents'!$A$2:$A$3000,$A2))</f>
        <v>0</v>
      </c>
      <c r="X904">
        <f>IF($A2="","",SUMIF('07_Pallet_Contents'!$A$2:$A$3000,$A2,'07_Pallet_Contents'!$D$2:$D$3000))</f>
        <v>0</v>
      </c>
      <c r="Y904">
        <f>IF($A2="","",SUMIF('07_Pallet_Contents'!$A$2:$A$3000,$A2,'07_Pallet_Contents'!$I$2:$I$3000))</f>
        <v>0</v>
      </c>
      <c r="Z904" t="str">
        <f>IF($A2="","",IF(COUNTIF('07_Pallet_Contents'!$A$2:$A$3000,$A2)&gt;0,"Yes",""))</f>
        <v/>
      </c>
    </row>
    <row r="905" spans="2:26">
      <c r="B905" s="31"/>
      <c r="G905" s="34"/>
      <c r="H905" s="33" t="str">
        <f t="shared" si="22"/>
        <v/>
      </c>
      <c r="I905" s="31"/>
      <c r="J905" s="31"/>
      <c r="K905" s="33"/>
      <c r="W905">
        <f>IF($A2="","",COUNTIF('07_Pallet_Contents'!$A$2:$A$3000,$A2))</f>
        <v>0</v>
      </c>
      <c r="X905">
        <f>IF($A2="","",SUMIF('07_Pallet_Contents'!$A$2:$A$3000,$A2,'07_Pallet_Contents'!$D$2:$D$3000))</f>
        <v>0</v>
      </c>
      <c r="Y905">
        <f>IF($A2="","",SUMIF('07_Pallet_Contents'!$A$2:$A$3000,$A2,'07_Pallet_Contents'!$I$2:$I$3000))</f>
        <v>0</v>
      </c>
      <c r="Z905" t="str">
        <f>IF($A2="","",IF(COUNTIF('07_Pallet_Contents'!$A$2:$A$3000,$A2)&gt;0,"Yes",""))</f>
        <v/>
      </c>
    </row>
    <row r="906" spans="2:26">
      <c r="B906" s="31"/>
      <c r="G906" s="34"/>
      <c r="H906" s="33" t="str">
        <f t="shared" si="22"/>
        <v/>
      </c>
      <c r="I906" s="31"/>
      <c r="J906" s="31"/>
      <c r="K906" s="33"/>
      <c r="W906">
        <f>IF($A2="","",COUNTIF('07_Pallet_Contents'!$A$2:$A$3000,$A2))</f>
        <v>0</v>
      </c>
      <c r="X906">
        <f>IF($A2="","",SUMIF('07_Pallet_Contents'!$A$2:$A$3000,$A2,'07_Pallet_Contents'!$D$2:$D$3000))</f>
        <v>0</v>
      </c>
      <c r="Y906">
        <f>IF($A2="","",SUMIF('07_Pallet_Contents'!$A$2:$A$3000,$A2,'07_Pallet_Contents'!$I$2:$I$3000))</f>
        <v>0</v>
      </c>
      <c r="Z906" t="str">
        <f>IF($A2="","",IF(COUNTIF('07_Pallet_Contents'!$A$2:$A$3000,$A2)&gt;0,"Yes",""))</f>
        <v/>
      </c>
    </row>
    <row r="907" spans="2:26">
      <c r="B907" s="31"/>
      <c r="G907" s="34"/>
      <c r="H907" s="33" t="str">
        <f t="shared" si="22"/>
        <v/>
      </c>
      <c r="I907" s="31"/>
      <c r="J907" s="31"/>
      <c r="K907" s="33"/>
      <c r="W907">
        <f>IF($A2="","",COUNTIF('07_Pallet_Contents'!$A$2:$A$3000,$A2))</f>
        <v>0</v>
      </c>
      <c r="X907">
        <f>IF($A2="","",SUMIF('07_Pallet_Contents'!$A$2:$A$3000,$A2,'07_Pallet_Contents'!$D$2:$D$3000))</f>
        <v>0</v>
      </c>
      <c r="Y907">
        <f>IF($A2="","",SUMIF('07_Pallet_Contents'!$A$2:$A$3000,$A2,'07_Pallet_Contents'!$I$2:$I$3000))</f>
        <v>0</v>
      </c>
      <c r="Z907" t="str">
        <f>IF($A2="","",IF(COUNTIF('07_Pallet_Contents'!$A$2:$A$3000,$A2)&gt;0,"Yes",""))</f>
        <v/>
      </c>
    </row>
    <row r="908" spans="2:26">
      <c r="B908" s="31"/>
      <c r="G908" s="34"/>
      <c r="H908" s="33" t="str">
        <f t="shared" si="22"/>
        <v/>
      </c>
      <c r="I908" s="31"/>
      <c r="J908" s="31"/>
      <c r="K908" s="33"/>
      <c r="W908">
        <f>IF($A2="","",COUNTIF('07_Pallet_Contents'!$A$2:$A$3000,$A2))</f>
        <v>0</v>
      </c>
      <c r="X908">
        <f>IF($A2="","",SUMIF('07_Pallet_Contents'!$A$2:$A$3000,$A2,'07_Pallet_Contents'!$D$2:$D$3000))</f>
        <v>0</v>
      </c>
      <c r="Y908">
        <f>IF($A2="","",SUMIF('07_Pallet_Contents'!$A$2:$A$3000,$A2,'07_Pallet_Contents'!$I$2:$I$3000))</f>
        <v>0</v>
      </c>
      <c r="Z908" t="str">
        <f>IF($A2="","",IF(COUNTIF('07_Pallet_Contents'!$A$2:$A$3000,$A2)&gt;0,"Yes",""))</f>
        <v/>
      </c>
    </row>
    <row r="909" spans="2:26">
      <c r="B909" s="31"/>
      <c r="G909" s="34"/>
      <c r="H909" s="33" t="str">
        <f t="shared" si="22"/>
        <v/>
      </c>
      <c r="I909" s="31"/>
      <c r="J909" s="31"/>
      <c r="K909" s="33"/>
      <c r="W909">
        <f>IF($A2="","",COUNTIF('07_Pallet_Contents'!$A$2:$A$3000,$A2))</f>
        <v>0</v>
      </c>
      <c r="X909">
        <f>IF($A2="","",SUMIF('07_Pallet_Contents'!$A$2:$A$3000,$A2,'07_Pallet_Contents'!$D$2:$D$3000))</f>
        <v>0</v>
      </c>
      <c r="Y909">
        <f>IF($A2="","",SUMIF('07_Pallet_Contents'!$A$2:$A$3000,$A2,'07_Pallet_Contents'!$I$2:$I$3000))</f>
        <v>0</v>
      </c>
      <c r="Z909" t="str">
        <f>IF($A2="","",IF(COUNTIF('07_Pallet_Contents'!$A$2:$A$3000,$A2)&gt;0,"Yes",""))</f>
        <v/>
      </c>
    </row>
    <row r="910" spans="2:26">
      <c r="B910" s="31"/>
      <c r="G910" s="34"/>
      <c r="H910" s="33" t="str">
        <f t="shared" si="22"/>
        <v/>
      </c>
      <c r="I910" s="31"/>
      <c r="J910" s="31"/>
      <c r="K910" s="33"/>
      <c r="W910">
        <f>IF($A2="","",COUNTIF('07_Pallet_Contents'!$A$2:$A$3000,$A2))</f>
        <v>0</v>
      </c>
      <c r="X910">
        <f>IF($A2="","",SUMIF('07_Pallet_Contents'!$A$2:$A$3000,$A2,'07_Pallet_Contents'!$D$2:$D$3000))</f>
        <v>0</v>
      </c>
      <c r="Y910">
        <f>IF($A2="","",SUMIF('07_Pallet_Contents'!$A$2:$A$3000,$A2,'07_Pallet_Contents'!$I$2:$I$3000))</f>
        <v>0</v>
      </c>
      <c r="Z910" t="str">
        <f>IF($A2="","",IF(COUNTIF('07_Pallet_Contents'!$A$2:$A$3000,$A2)&gt;0,"Yes",""))</f>
        <v/>
      </c>
    </row>
    <row r="911" spans="2:26">
      <c r="B911" s="31"/>
      <c r="G911" s="34"/>
      <c r="H911" s="33" t="str">
        <f t="shared" si="22"/>
        <v/>
      </c>
      <c r="I911" s="31"/>
      <c r="J911" s="31"/>
      <c r="K911" s="33"/>
      <c r="W911">
        <f>IF($A2="","",COUNTIF('07_Pallet_Contents'!$A$2:$A$3000,$A2))</f>
        <v>0</v>
      </c>
      <c r="X911">
        <f>IF($A2="","",SUMIF('07_Pallet_Contents'!$A$2:$A$3000,$A2,'07_Pallet_Contents'!$D$2:$D$3000))</f>
        <v>0</v>
      </c>
      <c r="Y911">
        <f>IF($A2="","",SUMIF('07_Pallet_Contents'!$A$2:$A$3000,$A2,'07_Pallet_Contents'!$I$2:$I$3000))</f>
        <v>0</v>
      </c>
      <c r="Z911" t="str">
        <f>IF($A2="","",IF(COUNTIF('07_Pallet_Contents'!$A$2:$A$3000,$A2)&gt;0,"Yes",""))</f>
        <v/>
      </c>
    </row>
    <row r="912" spans="2:26">
      <c r="B912" s="31"/>
      <c r="G912" s="34"/>
      <c r="H912" s="33" t="str">
        <f t="shared" si="22"/>
        <v/>
      </c>
      <c r="I912" s="31"/>
      <c r="J912" s="31"/>
      <c r="K912" s="33"/>
      <c r="W912">
        <f>IF($A2="","",COUNTIF('07_Pallet_Contents'!$A$2:$A$3000,$A2))</f>
        <v>0</v>
      </c>
      <c r="X912">
        <f>IF($A2="","",SUMIF('07_Pallet_Contents'!$A$2:$A$3000,$A2,'07_Pallet_Contents'!$D$2:$D$3000))</f>
        <v>0</v>
      </c>
      <c r="Y912">
        <f>IF($A2="","",SUMIF('07_Pallet_Contents'!$A$2:$A$3000,$A2,'07_Pallet_Contents'!$I$2:$I$3000))</f>
        <v>0</v>
      </c>
      <c r="Z912" t="str">
        <f>IF($A2="","",IF(COUNTIF('07_Pallet_Contents'!$A$2:$A$3000,$A2)&gt;0,"Yes",""))</f>
        <v/>
      </c>
    </row>
    <row r="913" spans="2:26">
      <c r="B913" s="31"/>
      <c r="G913" s="34"/>
      <c r="H913" s="33" t="str">
        <f t="shared" si="22"/>
        <v/>
      </c>
      <c r="I913" s="31"/>
      <c r="J913" s="31"/>
      <c r="K913" s="33"/>
      <c r="W913">
        <f>IF($A2="","",COUNTIF('07_Pallet_Contents'!$A$2:$A$3000,$A2))</f>
        <v>0</v>
      </c>
      <c r="X913">
        <f>IF($A2="","",SUMIF('07_Pallet_Contents'!$A$2:$A$3000,$A2,'07_Pallet_Contents'!$D$2:$D$3000))</f>
        <v>0</v>
      </c>
      <c r="Y913">
        <f>IF($A2="","",SUMIF('07_Pallet_Contents'!$A$2:$A$3000,$A2,'07_Pallet_Contents'!$I$2:$I$3000))</f>
        <v>0</v>
      </c>
      <c r="Z913" t="str">
        <f>IF($A2="","",IF(COUNTIF('07_Pallet_Contents'!$A$2:$A$3000,$A2)&gt;0,"Yes",""))</f>
        <v/>
      </c>
    </row>
    <row r="914" spans="2:26">
      <c r="B914" s="31"/>
      <c r="G914" s="34"/>
      <c r="H914" s="33" t="str">
        <f t="shared" si="22"/>
        <v/>
      </c>
      <c r="I914" s="31"/>
      <c r="J914" s="31"/>
      <c r="K914" s="33"/>
      <c r="W914">
        <f>IF($A2="","",COUNTIF('07_Pallet_Contents'!$A$2:$A$3000,$A2))</f>
        <v>0</v>
      </c>
      <c r="X914">
        <f>IF($A2="","",SUMIF('07_Pallet_Contents'!$A$2:$A$3000,$A2,'07_Pallet_Contents'!$D$2:$D$3000))</f>
        <v>0</v>
      </c>
      <c r="Y914">
        <f>IF($A2="","",SUMIF('07_Pallet_Contents'!$A$2:$A$3000,$A2,'07_Pallet_Contents'!$I$2:$I$3000))</f>
        <v>0</v>
      </c>
      <c r="Z914" t="str">
        <f>IF($A2="","",IF(COUNTIF('07_Pallet_Contents'!$A$2:$A$3000,$A2)&gt;0,"Yes",""))</f>
        <v/>
      </c>
    </row>
    <row r="915" spans="2:26">
      <c r="B915" s="31"/>
      <c r="G915" s="34"/>
      <c r="H915" s="33" t="str">
        <f t="shared" si="22"/>
        <v/>
      </c>
      <c r="I915" s="31"/>
      <c r="J915" s="31"/>
      <c r="K915" s="33"/>
      <c r="W915">
        <f>IF($A2="","",COUNTIF('07_Pallet_Contents'!$A$2:$A$3000,$A2))</f>
        <v>0</v>
      </c>
      <c r="X915">
        <f>IF($A2="","",SUMIF('07_Pallet_Contents'!$A$2:$A$3000,$A2,'07_Pallet_Contents'!$D$2:$D$3000))</f>
        <v>0</v>
      </c>
      <c r="Y915">
        <f>IF($A2="","",SUMIF('07_Pallet_Contents'!$A$2:$A$3000,$A2,'07_Pallet_Contents'!$I$2:$I$3000))</f>
        <v>0</v>
      </c>
      <c r="Z915" t="str">
        <f>IF($A2="","",IF(COUNTIF('07_Pallet_Contents'!$A$2:$A$3000,$A2)&gt;0,"Yes",""))</f>
        <v/>
      </c>
    </row>
    <row r="916" spans="2:26">
      <c r="B916" s="31"/>
      <c r="G916" s="34"/>
      <c r="H916" s="33" t="str">
        <f t="shared" si="22"/>
        <v/>
      </c>
      <c r="I916" s="31"/>
      <c r="J916" s="31"/>
      <c r="K916" s="33"/>
      <c r="W916">
        <f>IF($A2="","",COUNTIF('07_Pallet_Contents'!$A$2:$A$3000,$A2))</f>
        <v>0</v>
      </c>
      <c r="X916">
        <f>IF($A2="","",SUMIF('07_Pallet_Contents'!$A$2:$A$3000,$A2,'07_Pallet_Contents'!$D$2:$D$3000))</f>
        <v>0</v>
      </c>
      <c r="Y916">
        <f>IF($A2="","",SUMIF('07_Pallet_Contents'!$A$2:$A$3000,$A2,'07_Pallet_Contents'!$I$2:$I$3000))</f>
        <v>0</v>
      </c>
      <c r="Z916" t="str">
        <f>IF($A2="","",IF(COUNTIF('07_Pallet_Contents'!$A$2:$A$3000,$A2)&gt;0,"Yes",""))</f>
        <v/>
      </c>
    </row>
    <row r="917" spans="2:26">
      <c r="B917" s="31"/>
      <c r="G917" s="34"/>
      <c r="H917" s="33" t="str">
        <f t="shared" si="22"/>
        <v/>
      </c>
      <c r="I917" s="31"/>
      <c r="J917" s="31"/>
      <c r="K917" s="33"/>
      <c r="W917">
        <f>IF($A2="","",COUNTIF('07_Pallet_Contents'!$A$2:$A$3000,$A2))</f>
        <v>0</v>
      </c>
      <c r="X917">
        <f>IF($A2="","",SUMIF('07_Pallet_Contents'!$A$2:$A$3000,$A2,'07_Pallet_Contents'!$D$2:$D$3000))</f>
        <v>0</v>
      </c>
      <c r="Y917">
        <f>IF($A2="","",SUMIF('07_Pallet_Contents'!$A$2:$A$3000,$A2,'07_Pallet_Contents'!$I$2:$I$3000))</f>
        <v>0</v>
      </c>
      <c r="Z917" t="str">
        <f>IF($A2="","",IF(COUNTIF('07_Pallet_Contents'!$A$2:$A$3000,$A2)&gt;0,"Yes",""))</f>
        <v/>
      </c>
    </row>
    <row r="918" spans="2:26">
      <c r="B918" s="31"/>
      <c r="G918" s="34"/>
      <c r="H918" s="33" t="str">
        <f t="shared" si="22"/>
        <v/>
      </c>
      <c r="I918" s="31"/>
      <c r="J918" s="31"/>
      <c r="K918" s="33"/>
      <c r="W918">
        <f>IF($A2="","",COUNTIF('07_Pallet_Contents'!$A$2:$A$3000,$A2))</f>
        <v>0</v>
      </c>
      <c r="X918">
        <f>IF($A2="","",SUMIF('07_Pallet_Contents'!$A$2:$A$3000,$A2,'07_Pallet_Contents'!$D$2:$D$3000))</f>
        <v>0</v>
      </c>
      <c r="Y918">
        <f>IF($A2="","",SUMIF('07_Pallet_Contents'!$A$2:$A$3000,$A2,'07_Pallet_Contents'!$I$2:$I$3000))</f>
        <v>0</v>
      </c>
      <c r="Z918" t="str">
        <f>IF($A2="","",IF(COUNTIF('07_Pallet_Contents'!$A$2:$A$3000,$A2)&gt;0,"Yes",""))</f>
        <v/>
      </c>
    </row>
    <row r="919" spans="2:26">
      <c r="B919" s="31"/>
      <c r="G919" s="34"/>
      <c r="H919" s="33" t="str">
        <f t="shared" si="22"/>
        <v/>
      </c>
      <c r="I919" s="31"/>
      <c r="J919" s="31"/>
      <c r="K919" s="33"/>
      <c r="W919">
        <f>IF($A2="","",COUNTIF('07_Pallet_Contents'!$A$2:$A$3000,$A2))</f>
        <v>0</v>
      </c>
      <c r="X919">
        <f>IF($A2="","",SUMIF('07_Pallet_Contents'!$A$2:$A$3000,$A2,'07_Pallet_Contents'!$D$2:$D$3000))</f>
        <v>0</v>
      </c>
      <c r="Y919">
        <f>IF($A2="","",SUMIF('07_Pallet_Contents'!$A$2:$A$3000,$A2,'07_Pallet_Contents'!$I$2:$I$3000))</f>
        <v>0</v>
      </c>
      <c r="Z919" t="str">
        <f>IF($A2="","",IF(COUNTIF('07_Pallet_Contents'!$A$2:$A$3000,$A2)&gt;0,"Yes",""))</f>
        <v/>
      </c>
    </row>
    <row r="920" spans="2:26">
      <c r="B920" s="31"/>
      <c r="G920" s="34"/>
      <c r="H920" s="33" t="str">
        <f t="shared" si="22"/>
        <v/>
      </c>
      <c r="I920" s="31"/>
      <c r="J920" s="31"/>
      <c r="K920" s="33"/>
      <c r="W920">
        <f>IF($A2="","",COUNTIF('07_Pallet_Contents'!$A$2:$A$3000,$A2))</f>
        <v>0</v>
      </c>
      <c r="X920">
        <f>IF($A2="","",SUMIF('07_Pallet_Contents'!$A$2:$A$3000,$A2,'07_Pallet_Contents'!$D$2:$D$3000))</f>
        <v>0</v>
      </c>
      <c r="Y920">
        <f>IF($A2="","",SUMIF('07_Pallet_Contents'!$A$2:$A$3000,$A2,'07_Pallet_Contents'!$I$2:$I$3000))</f>
        <v>0</v>
      </c>
      <c r="Z920" t="str">
        <f>IF($A2="","",IF(COUNTIF('07_Pallet_Contents'!$A$2:$A$3000,$A2)&gt;0,"Yes",""))</f>
        <v/>
      </c>
    </row>
    <row r="921" spans="2:26">
      <c r="B921" s="31"/>
      <c r="G921" s="34"/>
      <c r="H921" s="33" t="str">
        <f t="shared" si="22"/>
        <v/>
      </c>
      <c r="I921" s="31"/>
      <c r="J921" s="31"/>
      <c r="K921" s="33"/>
      <c r="W921">
        <f>IF($A2="","",COUNTIF('07_Pallet_Contents'!$A$2:$A$3000,$A2))</f>
        <v>0</v>
      </c>
      <c r="X921">
        <f>IF($A2="","",SUMIF('07_Pallet_Contents'!$A$2:$A$3000,$A2,'07_Pallet_Contents'!$D$2:$D$3000))</f>
        <v>0</v>
      </c>
      <c r="Y921">
        <f>IF($A2="","",SUMIF('07_Pallet_Contents'!$A$2:$A$3000,$A2,'07_Pallet_Contents'!$I$2:$I$3000))</f>
        <v>0</v>
      </c>
      <c r="Z921" t="str">
        <f>IF($A2="","",IF(COUNTIF('07_Pallet_Contents'!$A$2:$A$3000,$A2)&gt;0,"Yes",""))</f>
        <v/>
      </c>
    </row>
    <row r="922" spans="2:26">
      <c r="B922" s="31"/>
      <c r="G922" s="34"/>
      <c r="H922" s="33" t="str">
        <f t="shared" si="22"/>
        <v/>
      </c>
      <c r="I922" s="31"/>
      <c r="J922" s="31"/>
      <c r="K922" s="33"/>
      <c r="W922">
        <f>IF($A2="","",COUNTIF('07_Pallet_Contents'!$A$2:$A$3000,$A2))</f>
        <v>0</v>
      </c>
      <c r="X922">
        <f>IF($A2="","",SUMIF('07_Pallet_Contents'!$A$2:$A$3000,$A2,'07_Pallet_Contents'!$D$2:$D$3000))</f>
        <v>0</v>
      </c>
      <c r="Y922">
        <f>IF($A2="","",SUMIF('07_Pallet_Contents'!$A$2:$A$3000,$A2,'07_Pallet_Contents'!$I$2:$I$3000))</f>
        <v>0</v>
      </c>
      <c r="Z922" t="str">
        <f>IF($A2="","",IF(COUNTIF('07_Pallet_Contents'!$A$2:$A$3000,$A2)&gt;0,"Yes",""))</f>
        <v/>
      </c>
    </row>
    <row r="923" spans="2:26">
      <c r="B923" s="31"/>
      <c r="G923" s="34"/>
      <c r="H923" s="33" t="str">
        <f t="shared" si="22"/>
        <v/>
      </c>
      <c r="I923" s="31"/>
      <c r="J923" s="31"/>
      <c r="K923" s="33"/>
      <c r="W923">
        <f>IF($A2="","",COUNTIF('07_Pallet_Contents'!$A$2:$A$3000,$A2))</f>
        <v>0</v>
      </c>
      <c r="X923">
        <f>IF($A2="","",SUMIF('07_Pallet_Contents'!$A$2:$A$3000,$A2,'07_Pallet_Contents'!$D$2:$D$3000))</f>
        <v>0</v>
      </c>
      <c r="Y923">
        <f>IF($A2="","",SUMIF('07_Pallet_Contents'!$A$2:$A$3000,$A2,'07_Pallet_Contents'!$I$2:$I$3000))</f>
        <v>0</v>
      </c>
      <c r="Z923" t="str">
        <f>IF($A2="","",IF(COUNTIF('07_Pallet_Contents'!$A$2:$A$3000,$A2)&gt;0,"Yes",""))</f>
        <v/>
      </c>
    </row>
    <row r="924" spans="2:26">
      <c r="B924" s="31"/>
      <c r="G924" s="34"/>
      <c r="H924" s="33" t="str">
        <f t="shared" si="22"/>
        <v/>
      </c>
      <c r="I924" s="31"/>
      <c r="J924" s="31"/>
      <c r="K924" s="33"/>
      <c r="W924">
        <f>IF($A2="","",COUNTIF('07_Pallet_Contents'!$A$2:$A$3000,$A2))</f>
        <v>0</v>
      </c>
      <c r="X924">
        <f>IF($A2="","",SUMIF('07_Pallet_Contents'!$A$2:$A$3000,$A2,'07_Pallet_Contents'!$D$2:$D$3000))</f>
        <v>0</v>
      </c>
      <c r="Y924">
        <f>IF($A2="","",SUMIF('07_Pallet_Contents'!$A$2:$A$3000,$A2,'07_Pallet_Contents'!$I$2:$I$3000))</f>
        <v>0</v>
      </c>
      <c r="Z924" t="str">
        <f>IF($A2="","",IF(COUNTIF('07_Pallet_Contents'!$A$2:$A$3000,$A2)&gt;0,"Yes",""))</f>
        <v/>
      </c>
    </row>
    <row r="925" spans="2:26">
      <c r="B925" s="31"/>
      <c r="G925" s="34"/>
      <c r="H925" s="33" t="str">
        <f t="shared" si="22"/>
        <v/>
      </c>
      <c r="I925" s="31"/>
      <c r="J925" s="31"/>
      <c r="K925" s="33"/>
      <c r="W925">
        <f>IF($A2="","",COUNTIF('07_Pallet_Contents'!$A$2:$A$3000,$A2))</f>
        <v>0</v>
      </c>
      <c r="X925">
        <f>IF($A2="","",SUMIF('07_Pallet_Contents'!$A$2:$A$3000,$A2,'07_Pallet_Contents'!$D$2:$D$3000))</f>
        <v>0</v>
      </c>
      <c r="Y925">
        <f>IF($A2="","",SUMIF('07_Pallet_Contents'!$A$2:$A$3000,$A2,'07_Pallet_Contents'!$I$2:$I$3000))</f>
        <v>0</v>
      </c>
      <c r="Z925" t="str">
        <f>IF($A2="","",IF(COUNTIF('07_Pallet_Contents'!$A$2:$A$3000,$A2)&gt;0,"Yes",""))</f>
        <v/>
      </c>
    </row>
    <row r="926" spans="2:26">
      <c r="B926" s="31"/>
      <c r="G926" s="34"/>
      <c r="H926" s="33" t="str">
        <f t="shared" si="22"/>
        <v/>
      </c>
      <c r="I926" s="31"/>
      <c r="J926" s="31"/>
      <c r="K926" s="33"/>
      <c r="W926">
        <f>IF($A2="","",COUNTIF('07_Pallet_Contents'!$A$2:$A$3000,$A2))</f>
        <v>0</v>
      </c>
      <c r="X926">
        <f>IF($A2="","",SUMIF('07_Pallet_Contents'!$A$2:$A$3000,$A2,'07_Pallet_Contents'!$D$2:$D$3000))</f>
        <v>0</v>
      </c>
      <c r="Y926">
        <f>IF($A2="","",SUMIF('07_Pallet_Contents'!$A$2:$A$3000,$A2,'07_Pallet_Contents'!$I$2:$I$3000))</f>
        <v>0</v>
      </c>
      <c r="Z926" t="str">
        <f>IF($A2="","",IF(COUNTIF('07_Pallet_Contents'!$A$2:$A$3000,$A2)&gt;0,"Yes",""))</f>
        <v/>
      </c>
    </row>
    <row r="927" spans="2:26">
      <c r="B927" s="31"/>
      <c r="G927" s="34"/>
      <c r="H927" s="33" t="str">
        <f t="shared" si="22"/>
        <v/>
      </c>
      <c r="I927" s="31"/>
      <c r="J927" s="31"/>
      <c r="K927" s="33"/>
      <c r="W927">
        <f>IF($A2="","",COUNTIF('07_Pallet_Contents'!$A$2:$A$3000,$A2))</f>
        <v>0</v>
      </c>
      <c r="X927">
        <f>IF($A2="","",SUMIF('07_Pallet_Contents'!$A$2:$A$3000,$A2,'07_Pallet_Contents'!$D$2:$D$3000))</f>
        <v>0</v>
      </c>
      <c r="Y927">
        <f>IF($A2="","",SUMIF('07_Pallet_Contents'!$A$2:$A$3000,$A2,'07_Pallet_Contents'!$I$2:$I$3000))</f>
        <v>0</v>
      </c>
      <c r="Z927" t="str">
        <f>IF($A2="","",IF(COUNTIF('07_Pallet_Contents'!$A$2:$A$3000,$A2)&gt;0,"Yes",""))</f>
        <v/>
      </c>
    </row>
    <row r="928" spans="2:26">
      <c r="B928" s="31"/>
      <c r="G928" s="34"/>
      <c r="H928" s="33" t="str">
        <f t="shared" si="22"/>
        <v/>
      </c>
      <c r="I928" s="31"/>
      <c r="J928" s="31"/>
      <c r="K928" s="33"/>
      <c r="W928">
        <f>IF($A2="","",COUNTIF('07_Pallet_Contents'!$A$2:$A$3000,$A2))</f>
        <v>0</v>
      </c>
      <c r="X928">
        <f>IF($A2="","",SUMIF('07_Pallet_Contents'!$A$2:$A$3000,$A2,'07_Pallet_Contents'!$D$2:$D$3000))</f>
        <v>0</v>
      </c>
      <c r="Y928">
        <f>IF($A2="","",SUMIF('07_Pallet_Contents'!$A$2:$A$3000,$A2,'07_Pallet_Contents'!$I$2:$I$3000))</f>
        <v>0</v>
      </c>
      <c r="Z928" t="str">
        <f>IF($A2="","",IF(COUNTIF('07_Pallet_Contents'!$A$2:$A$3000,$A2)&gt;0,"Yes",""))</f>
        <v/>
      </c>
    </row>
    <row r="929" spans="2:26">
      <c r="B929" s="31"/>
      <c r="G929" s="34"/>
      <c r="H929" s="33" t="str">
        <f t="shared" si="22"/>
        <v/>
      </c>
      <c r="I929" s="31"/>
      <c r="J929" s="31"/>
      <c r="K929" s="33"/>
      <c r="W929">
        <f>IF($A2="","",COUNTIF('07_Pallet_Contents'!$A$2:$A$3000,$A2))</f>
        <v>0</v>
      </c>
      <c r="X929">
        <f>IF($A2="","",SUMIF('07_Pallet_Contents'!$A$2:$A$3000,$A2,'07_Pallet_Contents'!$D$2:$D$3000))</f>
        <v>0</v>
      </c>
      <c r="Y929">
        <f>IF($A2="","",SUMIF('07_Pallet_Contents'!$A$2:$A$3000,$A2,'07_Pallet_Contents'!$I$2:$I$3000))</f>
        <v>0</v>
      </c>
      <c r="Z929" t="str">
        <f>IF($A2="","",IF(COUNTIF('07_Pallet_Contents'!$A$2:$A$3000,$A2)&gt;0,"Yes",""))</f>
        <v/>
      </c>
    </row>
    <row r="930" spans="2:26">
      <c r="B930" s="31"/>
      <c r="G930" s="34"/>
      <c r="H930" s="33" t="str">
        <f t="shared" si="22"/>
        <v/>
      </c>
      <c r="I930" s="31"/>
      <c r="J930" s="31"/>
      <c r="K930" s="33"/>
      <c r="W930">
        <f>IF($A2="","",COUNTIF('07_Pallet_Contents'!$A$2:$A$3000,$A2))</f>
        <v>0</v>
      </c>
      <c r="X930">
        <f>IF($A2="","",SUMIF('07_Pallet_Contents'!$A$2:$A$3000,$A2,'07_Pallet_Contents'!$D$2:$D$3000))</f>
        <v>0</v>
      </c>
      <c r="Y930">
        <f>IF($A2="","",SUMIF('07_Pallet_Contents'!$A$2:$A$3000,$A2,'07_Pallet_Contents'!$I$2:$I$3000))</f>
        <v>0</v>
      </c>
      <c r="Z930" t="str">
        <f>IF($A2="","",IF(COUNTIF('07_Pallet_Contents'!$A$2:$A$3000,$A2)&gt;0,"Yes",""))</f>
        <v/>
      </c>
    </row>
    <row r="931" spans="2:26">
      <c r="B931" s="31"/>
      <c r="G931" s="34"/>
      <c r="H931" s="33" t="str">
        <f t="shared" si="22"/>
        <v/>
      </c>
      <c r="I931" s="31"/>
      <c r="J931" s="31"/>
      <c r="K931" s="33"/>
      <c r="W931">
        <f>IF($A2="","",COUNTIF('07_Pallet_Contents'!$A$2:$A$3000,$A2))</f>
        <v>0</v>
      </c>
      <c r="X931">
        <f>IF($A2="","",SUMIF('07_Pallet_Contents'!$A$2:$A$3000,$A2,'07_Pallet_Contents'!$D$2:$D$3000))</f>
        <v>0</v>
      </c>
      <c r="Y931">
        <f>IF($A2="","",SUMIF('07_Pallet_Contents'!$A$2:$A$3000,$A2,'07_Pallet_Contents'!$I$2:$I$3000))</f>
        <v>0</v>
      </c>
      <c r="Z931" t="str">
        <f>IF($A2="","",IF(COUNTIF('07_Pallet_Contents'!$A$2:$A$3000,$A2)&gt;0,"Yes",""))</f>
        <v/>
      </c>
    </row>
    <row r="932" spans="2:26">
      <c r="B932" s="31"/>
      <c r="G932" s="34"/>
      <c r="H932" s="33" t="str">
        <f t="shared" si="22"/>
        <v/>
      </c>
      <c r="I932" s="31"/>
      <c r="J932" s="31"/>
      <c r="K932" s="33"/>
      <c r="W932">
        <f>IF($A2="","",COUNTIF('07_Pallet_Contents'!$A$2:$A$3000,$A2))</f>
        <v>0</v>
      </c>
      <c r="X932">
        <f>IF($A2="","",SUMIF('07_Pallet_Contents'!$A$2:$A$3000,$A2,'07_Pallet_Contents'!$D$2:$D$3000))</f>
        <v>0</v>
      </c>
      <c r="Y932">
        <f>IF($A2="","",SUMIF('07_Pallet_Contents'!$A$2:$A$3000,$A2,'07_Pallet_Contents'!$I$2:$I$3000))</f>
        <v>0</v>
      </c>
      <c r="Z932" t="str">
        <f>IF($A2="","",IF(COUNTIF('07_Pallet_Contents'!$A$2:$A$3000,$A2)&gt;0,"Yes",""))</f>
        <v/>
      </c>
    </row>
    <row r="933" spans="2:26">
      <c r="B933" s="31"/>
      <c r="G933" s="34"/>
      <c r="H933" s="33" t="str">
        <f t="shared" si="22"/>
        <v/>
      </c>
      <c r="I933" s="31"/>
      <c r="J933" s="31"/>
      <c r="K933" s="33"/>
      <c r="W933">
        <f>IF($A2="","",COUNTIF('07_Pallet_Contents'!$A$2:$A$3000,$A2))</f>
        <v>0</v>
      </c>
      <c r="X933">
        <f>IF($A2="","",SUMIF('07_Pallet_Contents'!$A$2:$A$3000,$A2,'07_Pallet_Contents'!$D$2:$D$3000))</f>
        <v>0</v>
      </c>
      <c r="Y933">
        <f>IF($A2="","",SUMIF('07_Pallet_Contents'!$A$2:$A$3000,$A2,'07_Pallet_Contents'!$I$2:$I$3000))</f>
        <v>0</v>
      </c>
      <c r="Z933" t="str">
        <f>IF($A2="","",IF(COUNTIF('07_Pallet_Contents'!$A$2:$A$3000,$A2)&gt;0,"Yes",""))</f>
        <v/>
      </c>
    </row>
    <row r="934" spans="2:26">
      <c r="B934" s="31"/>
      <c r="G934" s="34"/>
      <c r="H934" s="33" t="str">
        <f t="shared" si="22"/>
        <v/>
      </c>
      <c r="I934" s="31"/>
      <c r="J934" s="31"/>
      <c r="K934" s="33"/>
      <c r="W934">
        <f>IF($A2="","",COUNTIF('07_Pallet_Contents'!$A$2:$A$3000,$A2))</f>
        <v>0</v>
      </c>
      <c r="X934">
        <f>IF($A2="","",SUMIF('07_Pallet_Contents'!$A$2:$A$3000,$A2,'07_Pallet_Contents'!$D$2:$D$3000))</f>
        <v>0</v>
      </c>
      <c r="Y934">
        <f>IF($A2="","",SUMIF('07_Pallet_Contents'!$A$2:$A$3000,$A2,'07_Pallet_Contents'!$I$2:$I$3000))</f>
        <v>0</v>
      </c>
      <c r="Z934" t="str">
        <f>IF($A2="","",IF(COUNTIF('07_Pallet_Contents'!$A$2:$A$3000,$A2)&gt;0,"Yes",""))</f>
        <v/>
      </c>
    </row>
    <row r="935" spans="2:26">
      <c r="B935" s="31"/>
      <c r="G935" s="34"/>
      <c r="H935" s="33" t="str">
        <f t="shared" si="22"/>
        <v/>
      </c>
      <c r="I935" s="31"/>
      <c r="J935" s="31"/>
      <c r="K935" s="33"/>
      <c r="W935">
        <f>IF($A2="","",COUNTIF('07_Pallet_Contents'!$A$2:$A$3000,$A2))</f>
        <v>0</v>
      </c>
      <c r="X935">
        <f>IF($A2="","",SUMIF('07_Pallet_Contents'!$A$2:$A$3000,$A2,'07_Pallet_Contents'!$D$2:$D$3000))</f>
        <v>0</v>
      </c>
      <c r="Y935">
        <f>IF($A2="","",SUMIF('07_Pallet_Contents'!$A$2:$A$3000,$A2,'07_Pallet_Contents'!$I$2:$I$3000))</f>
        <v>0</v>
      </c>
      <c r="Z935" t="str">
        <f>IF($A2="","",IF(COUNTIF('07_Pallet_Contents'!$A$2:$A$3000,$A2)&gt;0,"Yes",""))</f>
        <v/>
      </c>
    </row>
    <row r="936" spans="2:26">
      <c r="B936" s="31"/>
      <c r="G936" s="34"/>
      <c r="H936" s="33" t="str">
        <f t="shared" si="22"/>
        <v/>
      </c>
      <c r="I936" s="31"/>
      <c r="J936" s="31"/>
      <c r="K936" s="33"/>
      <c r="W936">
        <f>IF($A2="","",COUNTIF('07_Pallet_Contents'!$A$2:$A$3000,$A2))</f>
        <v>0</v>
      </c>
      <c r="X936">
        <f>IF($A2="","",SUMIF('07_Pallet_Contents'!$A$2:$A$3000,$A2,'07_Pallet_Contents'!$D$2:$D$3000))</f>
        <v>0</v>
      </c>
      <c r="Y936">
        <f>IF($A2="","",SUMIF('07_Pallet_Contents'!$A$2:$A$3000,$A2,'07_Pallet_Contents'!$I$2:$I$3000))</f>
        <v>0</v>
      </c>
      <c r="Z936" t="str">
        <f>IF($A2="","",IF(COUNTIF('07_Pallet_Contents'!$A$2:$A$3000,$A2)&gt;0,"Yes",""))</f>
        <v/>
      </c>
    </row>
    <row r="937" spans="2:26">
      <c r="B937" s="31"/>
      <c r="G937" s="34"/>
      <c r="H937" s="33" t="str">
        <f t="shared" si="22"/>
        <v/>
      </c>
      <c r="I937" s="31"/>
      <c r="J937" s="31"/>
      <c r="K937" s="33"/>
      <c r="W937">
        <f>IF($A2="","",COUNTIF('07_Pallet_Contents'!$A$2:$A$3000,$A2))</f>
        <v>0</v>
      </c>
      <c r="X937">
        <f>IF($A2="","",SUMIF('07_Pallet_Contents'!$A$2:$A$3000,$A2,'07_Pallet_Contents'!$D$2:$D$3000))</f>
        <v>0</v>
      </c>
      <c r="Y937">
        <f>IF($A2="","",SUMIF('07_Pallet_Contents'!$A$2:$A$3000,$A2,'07_Pallet_Contents'!$I$2:$I$3000))</f>
        <v>0</v>
      </c>
      <c r="Z937" t="str">
        <f>IF($A2="","",IF(COUNTIF('07_Pallet_Contents'!$A$2:$A$3000,$A2)&gt;0,"Yes",""))</f>
        <v/>
      </c>
    </row>
    <row r="938" spans="2:26">
      <c r="B938" s="31"/>
      <c r="G938" s="34"/>
      <c r="H938" s="33" t="str">
        <f t="shared" si="22"/>
        <v/>
      </c>
      <c r="I938" s="31"/>
      <c r="J938" s="31"/>
      <c r="K938" s="33"/>
      <c r="W938">
        <f>IF($A2="","",COUNTIF('07_Pallet_Contents'!$A$2:$A$3000,$A2))</f>
        <v>0</v>
      </c>
      <c r="X938">
        <f>IF($A2="","",SUMIF('07_Pallet_Contents'!$A$2:$A$3000,$A2,'07_Pallet_Contents'!$D$2:$D$3000))</f>
        <v>0</v>
      </c>
      <c r="Y938">
        <f>IF($A2="","",SUMIF('07_Pallet_Contents'!$A$2:$A$3000,$A2,'07_Pallet_Contents'!$I$2:$I$3000))</f>
        <v>0</v>
      </c>
      <c r="Z938" t="str">
        <f>IF($A2="","",IF(COUNTIF('07_Pallet_Contents'!$A$2:$A$3000,$A2)&gt;0,"Yes",""))</f>
        <v/>
      </c>
    </row>
    <row r="939" spans="2:26">
      <c r="B939" s="31"/>
      <c r="G939" s="34"/>
      <c r="H939" s="33" t="str">
        <f t="shared" si="22"/>
        <v/>
      </c>
      <c r="I939" s="31"/>
      <c r="J939" s="31"/>
      <c r="K939" s="33"/>
      <c r="W939">
        <f>IF($A2="","",COUNTIF('07_Pallet_Contents'!$A$2:$A$3000,$A2))</f>
        <v>0</v>
      </c>
      <c r="X939">
        <f>IF($A2="","",SUMIF('07_Pallet_Contents'!$A$2:$A$3000,$A2,'07_Pallet_Contents'!$D$2:$D$3000))</f>
        <v>0</v>
      </c>
      <c r="Y939">
        <f>IF($A2="","",SUMIF('07_Pallet_Contents'!$A$2:$A$3000,$A2,'07_Pallet_Contents'!$I$2:$I$3000))</f>
        <v>0</v>
      </c>
      <c r="Z939" t="str">
        <f>IF($A2="","",IF(COUNTIF('07_Pallet_Contents'!$A$2:$A$3000,$A2)&gt;0,"Yes",""))</f>
        <v/>
      </c>
    </row>
    <row r="940" spans="2:26">
      <c r="B940" s="31"/>
      <c r="G940" s="34"/>
      <c r="H940" s="33" t="str">
        <f t="shared" si="22"/>
        <v/>
      </c>
      <c r="I940" s="31"/>
      <c r="J940" s="31"/>
      <c r="K940" s="33"/>
      <c r="W940">
        <f>IF($A2="","",COUNTIF('07_Pallet_Contents'!$A$2:$A$3000,$A2))</f>
        <v>0</v>
      </c>
      <c r="X940">
        <f>IF($A2="","",SUMIF('07_Pallet_Contents'!$A$2:$A$3000,$A2,'07_Pallet_Contents'!$D$2:$D$3000))</f>
        <v>0</v>
      </c>
      <c r="Y940">
        <f>IF($A2="","",SUMIF('07_Pallet_Contents'!$A$2:$A$3000,$A2,'07_Pallet_Contents'!$I$2:$I$3000))</f>
        <v>0</v>
      </c>
      <c r="Z940" t="str">
        <f>IF($A2="","",IF(COUNTIF('07_Pallet_Contents'!$A$2:$A$3000,$A2)&gt;0,"Yes",""))</f>
        <v/>
      </c>
    </row>
    <row r="941" spans="2:26">
      <c r="B941" s="31"/>
      <c r="G941" s="34"/>
      <c r="H941" s="33" t="str">
        <f t="shared" si="22"/>
        <v/>
      </c>
      <c r="I941" s="31"/>
      <c r="J941" s="31"/>
      <c r="K941" s="33"/>
      <c r="W941">
        <f>IF($A2="","",COUNTIF('07_Pallet_Contents'!$A$2:$A$3000,$A2))</f>
        <v>0</v>
      </c>
      <c r="X941">
        <f>IF($A2="","",SUMIF('07_Pallet_Contents'!$A$2:$A$3000,$A2,'07_Pallet_Contents'!$D$2:$D$3000))</f>
        <v>0</v>
      </c>
      <c r="Y941">
        <f>IF($A2="","",SUMIF('07_Pallet_Contents'!$A$2:$A$3000,$A2,'07_Pallet_Contents'!$I$2:$I$3000))</f>
        <v>0</v>
      </c>
      <c r="Z941" t="str">
        <f>IF($A2="","",IF(COUNTIF('07_Pallet_Contents'!$A$2:$A$3000,$A2)&gt;0,"Yes",""))</f>
        <v/>
      </c>
    </row>
    <row r="942" spans="2:26">
      <c r="B942" s="31"/>
      <c r="G942" s="34"/>
      <c r="H942" s="33" t="str">
        <f t="shared" si="22"/>
        <v/>
      </c>
      <c r="I942" s="31"/>
      <c r="J942" s="31"/>
      <c r="K942" s="33"/>
      <c r="W942">
        <f>IF($A2="","",COUNTIF('07_Pallet_Contents'!$A$2:$A$3000,$A2))</f>
        <v>0</v>
      </c>
      <c r="X942">
        <f>IF($A2="","",SUMIF('07_Pallet_Contents'!$A$2:$A$3000,$A2,'07_Pallet_Contents'!$D$2:$D$3000))</f>
        <v>0</v>
      </c>
      <c r="Y942">
        <f>IF($A2="","",SUMIF('07_Pallet_Contents'!$A$2:$A$3000,$A2,'07_Pallet_Contents'!$I$2:$I$3000))</f>
        <v>0</v>
      </c>
      <c r="Z942" t="str">
        <f>IF($A2="","",IF(COUNTIF('07_Pallet_Contents'!$A$2:$A$3000,$A2)&gt;0,"Yes",""))</f>
        <v/>
      </c>
    </row>
    <row r="943" spans="2:26">
      <c r="B943" s="31"/>
      <c r="G943" s="34"/>
      <c r="H943" s="33" t="str">
        <f t="shared" si="22"/>
        <v/>
      </c>
      <c r="I943" s="31"/>
      <c r="J943" s="31"/>
      <c r="K943" s="33"/>
      <c r="W943">
        <f>IF($A2="","",COUNTIF('07_Pallet_Contents'!$A$2:$A$3000,$A2))</f>
        <v>0</v>
      </c>
      <c r="X943">
        <f>IF($A2="","",SUMIF('07_Pallet_Contents'!$A$2:$A$3000,$A2,'07_Pallet_Contents'!$D$2:$D$3000))</f>
        <v>0</v>
      </c>
      <c r="Y943">
        <f>IF($A2="","",SUMIF('07_Pallet_Contents'!$A$2:$A$3000,$A2,'07_Pallet_Contents'!$I$2:$I$3000))</f>
        <v>0</v>
      </c>
      <c r="Z943" t="str">
        <f>IF($A2="","",IF(COUNTIF('07_Pallet_Contents'!$A$2:$A$3000,$A2)&gt;0,"Yes",""))</f>
        <v/>
      </c>
    </row>
    <row r="944" spans="2:26">
      <c r="B944" s="31"/>
      <c r="G944" s="34"/>
      <c r="H944" s="33" t="str">
        <f t="shared" si="22"/>
        <v/>
      </c>
      <c r="I944" s="31"/>
      <c r="J944" s="31"/>
      <c r="K944" s="33"/>
      <c r="W944">
        <f>IF($A2="","",COUNTIF('07_Pallet_Contents'!$A$2:$A$3000,$A2))</f>
        <v>0</v>
      </c>
      <c r="X944">
        <f>IF($A2="","",SUMIF('07_Pallet_Contents'!$A$2:$A$3000,$A2,'07_Pallet_Contents'!$D$2:$D$3000))</f>
        <v>0</v>
      </c>
      <c r="Y944">
        <f>IF($A2="","",SUMIF('07_Pallet_Contents'!$A$2:$A$3000,$A2,'07_Pallet_Contents'!$I$2:$I$3000))</f>
        <v>0</v>
      </c>
      <c r="Z944" t="str">
        <f>IF($A2="","",IF(COUNTIF('07_Pallet_Contents'!$A$2:$A$3000,$A2)&gt;0,"Yes",""))</f>
        <v/>
      </c>
    </row>
    <row r="945" spans="2:26">
      <c r="B945" s="31"/>
      <c r="G945" s="34"/>
      <c r="H945" s="33" t="str">
        <f t="shared" si="22"/>
        <v/>
      </c>
      <c r="I945" s="31"/>
      <c r="J945" s="31"/>
      <c r="K945" s="33"/>
      <c r="W945">
        <f>IF($A2="","",COUNTIF('07_Pallet_Contents'!$A$2:$A$3000,$A2))</f>
        <v>0</v>
      </c>
      <c r="X945">
        <f>IF($A2="","",SUMIF('07_Pallet_Contents'!$A$2:$A$3000,$A2,'07_Pallet_Contents'!$D$2:$D$3000))</f>
        <v>0</v>
      </c>
      <c r="Y945">
        <f>IF($A2="","",SUMIF('07_Pallet_Contents'!$A$2:$A$3000,$A2,'07_Pallet_Contents'!$I$2:$I$3000))</f>
        <v>0</v>
      </c>
      <c r="Z945" t="str">
        <f>IF($A2="","",IF(COUNTIF('07_Pallet_Contents'!$A$2:$A$3000,$A2)&gt;0,"Yes",""))</f>
        <v/>
      </c>
    </row>
    <row r="946" spans="2:26">
      <c r="B946" s="31"/>
      <c r="G946" s="34"/>
      <c r="H946" s="33" t="str">
        <f t="shared" si="22"/>
        <v/>
      </c>
      <c r="I946" s="31"/>
      <c r="J946" s="31"/>
      <c r="K946" s="33"/>
      <c r="W946">
        <f>IF($A2="","",COUNTIF('07_Pallet_Contents'!$A$2:$A$3000,$A2))</f>
        <v>0</v>
      </c>
      <c r="X946">
        <f>IF($A2="","",SUMIF('07_Pallet_Contents'!$A$2:$A$3000,$A2,'07_Pallet_Contents'!$D$2:$D$3000))</f>
        <v>0</v>
      </c>
      <c r="Y946">
        <f>IF($A2="","",SUMIF('07_Pallet_Contents'!$A$2:$A$3000,$A2,'07_Pallet_Contents'!$I$2:$I$3000))</f>
        <v>0</v>
      </c>
      <c r="Z946" t="str">
        <f>IF($A2="","",IF(COUNTIF('07_Pallet_Contents'!$A$2:$A$3000,$A2)&gt;0,"Yes",""))</f>
        <v/>
      </c>
    </row>
    <row r="947" spans="2:26">
      <c r="B947" s="31"/>
      <c r="G947" s="34"/>
      <c r="H947" s="33" t="str">
        <f t="shared" si="22"/>
        <v/>
      </c>
      <c r="I947" s="31"/>
      <c r="J947" s="31"/>
      <c r="K947" s="33"/>
      <c r="W947">
        <f>IF($A2="","",COUNTIF('07_Pallet_Contents'!$A$2:$A$3000,$A2))</f>
        <v>0</v>
      </c>
      <c r="X947">
        <f>IF($A2="","",SUMIF('07_Pallet_Contents'!$A$2:$A$3000,$A2,'07_Pallet_Contents'!$D$2:$D$3000))</f>
        <v>0</v>
      </c>
      <c r="Y947">
        <f>IF($A2="","",SUMIF('07_Pallet_Contents'!$A$2:$A$3000,$A2,'07_Pallet_Contents'!$I$2:$I$3000))</f>
        <v>0</v>
      </c>
      <c r="Z947" t="str">
        <f>IF($A2="","",IF(COUNTIF('07_Pallet_Contents'!$A$2:$A$3000,$A2)&gt;0,"Yes",""))</f>
        <v/>
      </c>
    </row>
    <row r="948" spans="2:26">
      <c r="B948" s="31"/>
      <c r="G948" s="34"/>
      <c r="H948" s="33" t="str">
        <f t="shared" si="22"/>
        <v/>
      </c>
      <c r="I948" s="31"/>
      <c r="J948" s="31"/>
      <c r="K948" s="33"/>
      <c r="W948">
        <f>IF($A2="","",COUNTIF('07_Pallet_Contents'!$A$2:$A$3000,$A2))</f>
        <v>0</v>
      </c>
      <c r="X948">
        <f>IF($A2="","",SUMIF('07_Pallet_Contents'!$A$2:$A$3000,$A2,'07_Pallet_Contents'!$D$2:$D$3000))</f>
        <v>0</v>
      </c>
      <c r="Y948">
        <f>IF($A2="","",SUMIF('07_Pallet_Contents'!$A$2:$A$3000,$A2,'07_Pallet_Contents'!$I$2:$I$3000))</f>
        <v>0</v>
      </c>
      <c r="Z948" t="str">
        <f>IF($A2="","",IF(COUNTIF('07_Pallet_Contents'!$A$2:$A$3000,$A2)&gt;0,"Yes",""))</f>
        <v/>
      </c>
    </row>
    <row r="949" spans="2:26">
      <c r="B949" s="31"/>
      <c r="G949" s="34"/>
      <c r="H949" s="33" t="str">
        <f t="shared" si="22"/>
        <v/>
      </c>
      <c r="I949" s="31"/>
      <c r="J949" s="31"/>
      <c r="K949" s="33"/>
      <c r="W949">
        <f>IF($A2="","",COUNTIF('07_Pallet_Contents'!$A$2:$A$3000,$A2))</f>
        <v>0</v>
      </c>
      <c r="X949">
        <f>IF($A2="","",SUMIF('07_Pallet_Contents'!$A$2:$A$3000,$A2,'07_Pallet_Contents'!$D$2:$D$3000))</f>
        <v>0</v>
      </c>
      <c r="Y949">
        <f>IF($A2="","",SUMIF('07_Pallet_Contents'!$A$2:$A$3000,$A2,'07_Pallet_Contents'!$I$2:$I$3000))</f>
        <v>0</v>
      </c>
      <c r="Z949" t="str">
        <f>IF($A2="","",IF(COUNTIF('07_Pallet_Contents'!$A$2:$A$3000,$A2)&gt;0,"Yes",""))</f>
        <v/>
      </c>
    </row>
    <row r="950" spans="2:26">
      <c r="B950" s="31"/>
      <c r="G950" s="34"/>
      <c r="H950" s="33" t="str">
        <f t="shared" si="22"/>
        <v/>
      </c>
      <c r="I950" s="31"/>
      <c r="J950" s="31"/>
      <c r="K950" s="33"/>
      <c r="W950">
        <f>IF($A2="","",COUNTIF('07_Pallet_Contents'!$A$2:$A$3000,$A2))</f>
        <v>0</v>
      </c>
      <c r="X950">
        <f>IF($A2="","",SUMIF('07_Pallet_Contents'!$A$2:$A$3000,$A2,'07_Pallet_Contents'!$D$2:$D$3000))</f>
        <v>0</v>
      </c>
      <c r="Y950">
        <f>IF($A2="","",SUMIF('07_Pallet_Contents'!$A$2:$A$3000,$A2,'07_Pallet_Contents'!$I$2:$I$3000))</f>
        <v>0</v>
      </c>
      <c r="Z950" t="str">
        <f>IF($A2="","",IF(COUNTIF('07_Pallet_Contents'!$A$2:$A$3000,$A2)&gt;0,"Yes",""))</f>
        <v/>
      </c>
    </row>
    <row r="951" spans="2:26">
      <c r="B951" s="31"/>
      <c r="G951" s="34"/>
      <c r="H951" s="33" t="str">
        <f t="shared" si="22"/>
        <v/>
      </c>
      <c r="I951" s="31"/>
      <c r="J951" s="31"/>
      <c r="K951" s="33"/>
      <c r="W951">
        <f>IF($A2="","",COUNTIF('07_Pallet_Contents'!$A$2:$A$3000,$A2))</f>
        <v>0</v>
      </c>
      <c r="X951">
        <f>IF($A2="","",SUMIF('07_Pallet_Contents'!$A$2:$A$3000,$A2,'07_Pallet_Contents'!$D$2:$D$3000))</f>
        <v>0</v>
      </c>
      <c r="Y951">
        <f>IF($A2="","",SUMIF('07_Pallet_Contents'!$A$2:$A$3000,$A2,'07_Pallet_Contents'!$I$2:$I$3000))</f>
        <v>0</v>
      </c>
      <c r="Z951" t="str">
        <f>IF($A2="","",IF(COUNTIF('07_Pallet_Contents'!$A$2:$A$3000,$A2)&gt;0,"Yes",""))</f>
        <v/>
      </c>
    </row>
    <row r="952" spans="2:26">
      <c r="B952" s="31"/>
      <c r="G952" s="34"/>
      <c r="H952" s="33" t="str">
        <f t="shared" si="22"/>
        <v/>
      </c>
      <c r="I952" s="31"/>
      <c r="J952" s="31"/>
      <c r="K952" s="33"/>
      <c r="W952">
        <f>IF($A2="","",COUNTIF('07_Pallet_Contents'!$A$2:$A$3000,$A2))</f>
        <v>0</v>
      </c>
      <c r="X952">
        <f>IF($A2="","",SUMIF('07_Pallet_Contents'!$A$2:$A$3000,$A2,'07_Pallet_Contents'!$D$2:$D$3000))</f>
        <v>0</v>
      </c>
      <c r="Y952">
        <f>IF($A2="","",SUMIF('07_Pallet_Contents'!$A$2:$A$3000,$A2,'07_Pallet_Contents'!$I$2:$I$3000))</f>
        <v>0</v>
      </c>
      <c r="Z952" t="str">
        <f>IF($A2="","",IF(COUNTIF('07_Pallet_Contents'!$A$2:$A$3000,$A2)&gt;0,"Yes",""))</f>
        <v/>
      </c>
    </row>
    <row r="953" spans="2:26">
      <c r="B953" s="31"/>
      <c r="G953" s="34"/>
      <c r="H953" s="33" t="str">
        <f t="shared" si="22"/>
        <v/>
      </c>
      <c r="I953" s="31"/>
      <c r="J953" s="31"/>
      <c r="K953" s="33"/>
      <c r="W953">
        <f>IF($A2="","",COUNTIF('07_Pallet_Contents'!$A$2:$A$3000,$A2))</f>
        <v>0</v>
      </c>
      <c r="X953">
        <f>IF($A2="","",SUMIF('07_Pallet_Contents'!$A$2:$A$3000,$A2,'07_Pallet_Contents'!$D$2:$D$3000))</f>
        <v>0</v>
      </c>
      <c r="Y953">
        <f>IF($A2="","",SUMIF('07_Pallet_Contents'!$A$2:$A$3000,$A2,'07_Pallet_Contents'!$I$2:$I$3000))</f>
        <v>0</v>
      </c>
      <c r="Z953" t="str">
        <f>IF($A2="","",IF(COUNTIF('07_Pallet_Contents'!$A$2:$A$3000,$A2)&gt;0,"Yes",""))</f>
        <v/>
      </c>
    </row>
    <row r="954" spans="2:26">
      <c r="B954" s="31"/>
      <c r="G954" s="34"/>
      <c r="H954" s="33" t="str">
        <f t="shared" si="22"/>
        <v/>
      </c>
      <c r="I954" s="31"/>
      <c r="J954" s="31"/>
      <c r="K954" s="33"/>
      <c r="W954">
        <f>IF($A2="","",COUNTIF('07_Pallet_Contents'!$A$2:$A$3000,$A2))</f>
        <v>0</v>
      </c>
      <c r="X954">
        <f>IF($A2="","",SUMIF('07_Pallet_Contents'!$A$2:$A$3000,$A2,'07_Pallet_Contents'!$D$2:$D$3000))</f>
        <v>0</v>
      </c>
      <c r="Y954">
        <f>IF($A2="","",SUMIF('07_Pallet_Contents'!$A$2:$A$3000,$A2,'07_Pallet_Contents'!$I$2:$I$3000))</f>
        <v>0</v>
      </c>
      <c r="Z954" t="str">
        <f>IF($A2="","",IF(COUNTIF('07_Pallet_Contents'!$A$2:$A$3000,$A2)&gt;0,"Yes",""))</f>
        <v/>
      </c>
    </row>
    <row r="955" spans="2:26">
      <c r="B955" s="31"/>
      <c r="G955" s="34"/>
      <c r="H955" s="33" t="str">
        <f t="shared" si="22"/>
        <v/>
      </c>
      <c r="I955" s="31"/>
      <c r="J955" s="31"/>
      <c r="K955" s="33"/>
      <c r="W955">
        <f>IF($A2="","",COUNTIF('07_Pallet_Contents'!$A$2:$A$3000,$A2))</f>
        <v>0</v>
      </c>
      <c r="X955">
        <f>IF($A2="","",SUMIF('07_Pallet_Contents'!$A$2:$A$3000,$A2,'07_Pallet_Contents'!$D$2:$D$3000))</f>
        <v>0</v>
      </c>
      <c r="Y955">
        <f>IF($A2="","",SUMIF('07_Pallet_Contents'!$A$2:$A$3000,$A2,'07_Pallet_Contents'!$I$2:$I$3000))</f>
        <v>0</v>
      </c>
      <c r="Z955" t="str">
        <f>IF($A2="","",IF(COUNTIF('07_Pallet_Contents'!$A$2:$A$3000,$A2)&gt;0,"Yes",""))</f>
        <v/>
      </c>
    </row>
    <row r="956" spans="2:26">
      <c r="B956" s="31"/>
      <c r="G956" s="34"/>
      <c r="H956" s="33" t="str">
        <f t="shared" si="22"/>
        <v/>
      </c>
      <c r="I956" s="31"/>
      <c r="J956" s="31"/>
      <c r="K956" s="33"/>
      <c r="W956">
        <f>IF($A2="","",COUNTIF('07_Pallet_Contents'!$A$2:$A$3000,$A2))</f>
        <v>0</v>
      </c>
      <c r="X956">
        <f>IF($A2="","",SUMIF('07_Pallet_Contents'!$A$2:$A$3000,$A2,'07_Pallet_Contents'!$D$2:$D$3000))</f>
        <v>0</v>
      </c>
      <c r="Y956">
        <f>IF($A2="","",SUMIF('07_Pallet_Contents'!$A$2:$A$3000,$A2,'07_Pallet_Contents'!$I$2:$I$3000))</f>
        <v>0</v>
      </c>
      <c r="Z956" t="str">
        <f>IF($A2="","",IF(COUNTIF('07_Pallet_Contents'!$A$2:$A$3000,$A2)&gt;0,"Yes",""))</f>
        <v/>
      </c>
    </row>
    <row r="957" spans="2:26">
      <c r="B957" s="31"/>
      <c r="G957" s="34"/>
      <c r="H957" s="33" t="str">
        <f t="shared" si="22"/>
        <v/>
      </c>
      <c r="I957" s="31"/>
      <c r="J957" s="31"/>
      <c r="K957" s="33"/>
      <c r="W957">
        <f>IF($A2="","",COUNTIF('07_Pallet_Contents'!$A$2:$A$3000,$A2))</f>
        <v>0</v>
      </c>
      <c r="X957">
        <f>IF($A2="","",SUMIF('07_Pallet_Contents'!$A$2:$A$3000,$A2,'07_Pallet_Contents'!$D$2:$D$3000))</f>
        <v>0</v>
      </c>
      <c r="Y957">
        <f>IF($A2="","",SUMIF('07_Pallet_Contents'!$A$2:$A$3000,$A2,'07_Pallet_Contents'!$I$2:$I$3000))</f>
        <v>0</v>
      </c>
      <c r="Z957" t="str">
        <f>IF($A2="","",IF(COUNTIF('07_Pallet_Contents'!$A$2:$A$3000,$A2)&gt;0,"Yes",""))</f>
        <v/>
      </c>
    </row>
    <row r="958" spans="2:26">
      <c r="B958" s="31"/>
      <c r="G958" s="34"/>
      <c r="H958" s="33" t="str">
        <f t="shared" si="22"/>
        <v/>
      </c>
      <c r="I958" s="31"/>
      <c r="J958" s="31"/>
      <c r="K958" s="33"/>
      <c r="W958">
        <f>IF($A2="","",COUNTIF('07_Pallet_Contents'!$A$2:$A$3000,$A2))</f>
        <v>0</v>
      </c>
      <c r="X958">
        <f>IF($A2="","",SUMIF('07_Pallet_Contents'!$A$2:$A$3000,$A2,'07_Pallet_Contents'!$D$2:$D$3000))</f>
        <v>0</v>
      </c>
      <c r="Y958">
        <f>IF($A2="","",SUMIF('07_Pallet_Contents'!$A$2:$A$3000,$A2,'07_Pallet_Contents'!$I$2:$I$3000))</f>
        <v>0</v>
      </c>
      <c r="Z958" t="str">
        <f>IF($A2="","",IF(COUNTIF('07_Pallet_Contents'!$A$2:$A$3000,$A2)&gt;0,"Yes",""))</f>
        <v/>
      </c>
    </row>
    <row r="959" spans="2:26">
      <c r="B959" s="31"/>
      <c r="G959" s="34"/>
      <c r="H959" s="33" t="str">
        <f t="shared" si="22"/>
        <v/>
      </c>
      <c r="I959" s="31"/>
      <c r="J959" s="31"/>
      <c r="K959" s="33"/>
      <c r="W959">
        <f>IF($A2="","",COUNTIF('07_Pallet_Contents'!$A$2:$A$3000,$A2))</f>
        <v>0</v>
      </c>
      <c r="X959">
        <f>IF($A2="","",SUMIF('07_Pallet_Contents'!$A$2:$A$3000,$A2,'07_Pallet_Contents'!$D$2:$D$3000))</f>
        <v>0</v>
      </c>
      <c r="Y959">
        <f>IF($A2="","",SUMIF('07_Pallet_Contents'!$A$2:$A$3000,$A2,'07_Pallet_Contents'!$I$2:$I$3000))</f>
        <v>0</v>
      </c>
      <c r="Z959" t="str">
        <f>IF($A2="","",IF(COUNTIF('07_Pallet_Contents'!$A$2:$A$3000,$A2)&gt;0,"Yes",""))</f>
        <v/>
      </c>
    </row>
    <row r="960" spans="2:26">
      <c r="B960" s="31"/>
      <c r="G960" s="34"/>
      <c r="H960" s="33" t="str">
        <f t="shared" si="22"/>
        <v/>
      </c>
      <c r="I960" s="31"/>
      <c r="J960" s="31"/>
      <c r="K960" s="33"/>
      <c r="W960">
        <f>IF($A2="","",COUNTIF('07_Pallet_Contents'!$A$2:$A$3000,$A2))</f>
        <v>0</v>
      </c>
      <c r="X960">
        <f>IF($A2="","",SUMIF('07_Pallet_Contents'!$A$2:$A$3000,$A2,'07_Pallet_Contents'!$D$2:$D$3000))</f>
        <v>0</v>
      </c>
      <c r="Y960">
        <f>IF($A2="","",SUMIF('07_Pallet_Contents'!$A$2:$A$3000,$A2,'07_Pallet_Contents'!$I$2:$I$3000))</f>
        <v>0</v>
      </c>
      <c r="Z960" t="str">
        <f>IF($A2="","",IF(COUNTIF('07_Pallet_Contents'!$A$2:$A$3000,$A2)&gt;0,"Yes",""))</f>
        <v/>
      </c>
    </row>
    <row r="961" spans="2:26">
      <c r="B961" s="31"/>
      <c r="G961" s="34"/>
      <c r="H961" s="33" t="str">
        <f t="shared" si="22"/>
        <v/>
      </c>
      <c r="I961" s="31"/>
      <c r="J961" s="31"/>
      <c r="K961" s="33"/>
      <c r="W961">
        <f>IF($A2="","",COUNTIF('07_Pallet_Contents'!$A$2:$A$3000,$A2))</f>
        <v>0</v>
      </c>
      <c r="X961">
        <f>IF($A2="","",SUMIF('07_Pallet_Contents'!$A$2:$A$3000,$A2,'07_Pallet_Contents'!$D$2:$D$3000))</f>
        <v>0</v>
      </c>
      <c r="Y961">
        <f>IF($A2="","",SUMIF('07_Pallet_Contents'!$A$2:$A$3000,$A2,'07_Pallet_Contents'!$I$2:$I$3000))</f>
        <v>0</v>
      </c>
      <c r="Z961" t="str">
        <f>IF($A2="","",IF(COUNTIF('07_Pallet_Contents'!$A$2:$A$3000,$A2)&gt;0,"Yes",""))</f>
        <v/>
      </c>
    </row>
    <row r="962" spans="2:26">
      <c r="B962" s="31"/>
      <c r="G962" s="34"/>
      <c r="H962" s="33" t="str">
        <f t="shared" ref="H962:H1025" si="23">IF(AND($F962="TEMP",$G962&gt;0,$M962&lt;&gt;""),$M962+$G962,"")</f>
        <v/>
      </c>
      <c r="I962" s="31"/>
      <c r="J962" s="31"/>
      <c r="K962" s="33"/>
      <c r="W962">
        <f>IF($A2="","",COUNTIF('07_Pallet_Contents'!$A$2:$A$3000,$A2))</f>
        <v>0</v>
      </c>
      <c r="X962">
        <f>IF($A2="","",SUMIF('07_Pallet_Contents'!$A$2:$A$3000,$A2,'07_Pallet_Contents'!$D$2:$D$3000))</f>
        <v>0</v>
      </c>
      <c r="Y962">
        <f>IF($A2="","",SUMIF('07_Pallet_Contents'!$A$2:$A$3000,$A2,'07_Pallet_Contents'!$I$2:$I$3000))</f>
        <v>0</v>
      </c>
      <c r="Z962" t="str">
        <f>IF($A2="","",IF(COUNTIF('07_Pallet_Contents'!$A$2:$A$3000,$A2)&gt;0,"Yes",""))</f>
        <v/>
      </c>
    </row>
    <row r="963" spans="2:26">
      <c r="B963" s="31"/>
      <c r="G963" s="34"/>
      <c r="H963" s="33" t="str">
        <f t="shared" si="23"/>
        <v/>
      </c>
      <c r="I963" s="31"/>
      <c r="J963" s="31"/>
      <c r="K963" s="33"/>
      <c r="W963">
        <f>IF($A2="","",COUNTIF('07_Pallet_Contents'!$A$2:$A$3000,$A2))</f>
        <v>0</v>
      </c>
      <c r="X963">
        <f>IF($A2="","",SUMIF('07_Pallet_Contents'!$A$2:$A$3000,$A2,'07_Pallet_Contents'!$D$2:$D$3000))</f>
        <v>0</v>
      </c>
      <c r="Y963">
        <f>IF($A2="","",SUMIF('07_Pallet_Contents'!$A$2:$A$3000,$A2,'07_Pallet_Contents'!$I$2:$I$3000))</f>
        <v>0</v>
      </c>
      <c r="Z963" t="str">
        <f>IF($A2="","",IF(COUNTIF('07_Pallet_Contents'!$A$2:$A$3000,$A2)&gt;0,"Yes",""))</f>
        <v/>
      </c>
    </row>
    <row r="964" spans="2:26">
      <c r="B964" s="31"/>
      <c r="G964" s="34"/>
      <c r="H964" s="33" t="str">
        <f t="shared" si="23"/>
        <v/>
      </c>
      <c r="I964" s="31"/>
      <c r="J964" s="31"/>
      <c r="K964" s="33"/>
      <c r="W964">
        <f>IF($A2="","",COUNTIF('07_Pallet_Contents'!$A$2:$A$3000,$A2))</f>
        <v>0</v>
      </c>
      <c r="X964">
        <f>IF($A2="","",SUMIF('07_Pallet_Contents'!$A$2:$A$3000,$A2,'07_Pallet_Contents'!$D$2:$D$3000))</f>
        <v>0</v>
      </c>
      <c r="Y964">
        <f>IF($A2="","",SUMIF('07_Pallet_Contents'!$A$2:$A$3000,$A2,'07_Pallet_Contents'!$I$2:$I$3000))</f>
        <v>0</v>
      </c>
      <c r="Z964" t="str">
        <f>IF($A2="","",IF(COUNTIF('07_Pallet_Contents'!$A$2:$A$3000,$A2)&gt;0,"Yes",""))</f>
        <v/>
      </c>
    </row>
    <row r="965" spans="2:26">
      <c r="B965" s="31"/>
      <c r="G965" s="34"/>
      <c r="H965" s="33" t="str">
        <f t="shared" si="23"/>
        <v/>
      </c>
      <c r="I965" s="31"/>
      <c r="J965" s="31"/>
      <c r="K965" s="33"/>
      <c r="W965">
        <f>IF($A2="","",COUNTIF('07_Pallet_Contents'!$A$2:$A$3000,$A2))</f>
        <v>0</v>
      </c>
      <c r="X965">
        <f>IF($A2="","",SUMIF('07_Pallet_Contents'!$A$2:$A$3000,$A2,'07_Pallet_Contents'!$D$2:$D$3000))</f>
        <v>0</v>
      </c>
      <c r="Y965">
        <f>IF($A2="","",SUMIF('07_Pallet_Contents'!$A$2:$A$3000,$A2,'07_Pallet_Contents'!$I$2:$I$3000))</f>
        <v>0</v>
      </c>
      <c r="Z965" t="str">
        <f>IF($A2="","",IF(COUNTIF('07_Pallet_Contents'!$A$2:$A$3000,$A2)&gt;0,"Yes",""))</f>
        <v/>
      </c>
    </row>
    <row r="966" spans="2:26">
      <c r="B966" s="31"/>
      <c r="G966" s="34"/>
      <c r="H966" s="33" t="str">
        <f t="shared" si="23"/>
        <v/>
      </c>
      <c r="I966" s="31"/>
      <c r="J966" s="31"/>
      <c r="K966" s="33"/>
      <c r="W966">
        <f>IF($A2="","",COUNTIF('07_Pallet_Contents'!$A$2:$A$3000,$A2))</f>
        <v>0</v>
      </c>
      <c r="X966">
        <f>IF($A2="","",SUMIF('07_Pallet_Contents'!$A$2:$A$3000,$A2,'07_Pallet_Contents'!$D$2:$D$3000))</f>
        <v>0</v>
      </c>
      <c r="Y966">
        <f>IF($A2="","",SUMIF('07_Pallet_Contents'!$A$2:$A$3000,$A2,'07_Pallet_Contents'!$I$2:$I$3000))</f>
        <v>0</v>
      </c>
      <c r="Z966" t="str">
        <f>IF($A2="","",IF(COUNTIF('07_Pallet_Contents'!$A$2:$A$3000,$A2)&gt;0,"Yes",""))</f>
        <v/>
      </c>
    </row>
    <row r="967" spans="2:26">
      <c r="B967" s="31"/>
      <c r="G967" s="34"/>
      <c r="H967" s="33" t="str">
        <f t="shared" si="23"/>
        <v/>
      </c>
      <c r="I967" s="31"/>
      <c r="J967" s="31"/>
      <c r="K967" s="33"/>
      <c r="W967">
        <f>IF($A2="","",COUNTIF('07_Pallet_Contents'!$A$2:$A$3000,$A2))</f>
        <v>0</v>
      </c>
      <c r="X967">
        <f>IF($A2="","",SUMIF('07_Pallet_Contents'!$A$2:$A$3000,$A2,'07_Pallet_Contents'!$D$2:$D$3000))</f>
        <v>0</v>
      </c>
      <c r="Y967">
        <f>IF($A2="","",SUMIF('07_Pallet_Contents'!$A$2:$A$3000,$A2,'07_Pallet_Contents'!$I$2:$I$3000))</f>
        <v>0</v>
      </c>
      <c r="Z967" t="str">
        <f>IF($A2="","",IF(COUNTIF('07_Pallet_Contents'!$A$2:$A$3000,$A2)&gt;0,"Yes",""))</f>
        <v/>
      </c>
    </row>
    <row r="968" spans="2:26">
      <c r="B968" s="31"/>
      <c r="G968" s="34"/>
      <c r="H968" s="33" t="str">
        <f t="shared" si="23"/>
        <v/>
      </c>
      <c r="I968" s="31"/>
      <c r="J968" s="31"/>
      <c r="K968" s="33"/>
      <c r="W968">
        <f>IF($A2="","",COUNTIF('07_Pallet_Contents'!$A$2:$A$3000,$A2))</f>
        <v>0</v>
      </c>
      <c r="X968">
        <f>IF($A2="","",SUMIF('07_Pallet_Contents'!$A$2:$A$3000,$A2,'07_Pallet_Contents'!$D$2:$D$3000))</f>
        <v>0</v>
      </c>
      <c r="Y968">
        <f>IF($A2="","",SUMIF('07_Pallet_Contents'!$A$2:$A$3000,$A2,'07_Pallet_Contents'!$I$2:$I$3000))</f>
        <v>0</v>
      </c>
      <c r="Z968" t="str">
        <f>IF($A2="","",IF(COUNTIF('07_Pallet_Contents'!$A$2:$A$3000,$A2)&gt;0,"Yes",""))</f>
        <v/>
      </c>
    </row>
    <row r="969" spans="2:26">
      <c r="B969" s="31"/>
      <c r="G969" s="34"/>
      <c r="H969" s="33" t="str">
        <f t="shared" si="23"/>
        <v/>
      </c>
      <c r="I969" s="31"/>
      <c r="J969" s="31"/>
      <c r="K969" s="33"/>
      <c r="W969">
        <f>IF($A2="","",COUNTIF('07_Pallet_Contents'!$A$2:$A$3000,$A2))</f>
        <v>0</v>
      </c>
      <c r="X969">
        <f>IF($A2="","",SUMIF('07_Pallet_Contents'!$A$2:$A$3000,$A2,'07_Pallet_Contents'!$D$2:$D$3000))</f>
        <v>0</v>
      </c>
      <c r="Y969">
        <f>IF($A2="","",SUMIF('07_Pallet_Contents'!$A$2:$A$3000,$A2,'07_Pallet_Contents'!$I$2:$I$3000))</f>
        <v>0</v>
      </c>
      <c r="Z969" t="str">
        <f>IF($A2="","",IF(COUNTIF('07_Pallet_Contents'!$A$2:$A$3000,$A2)&gt;0,"Yes",""))</f>
        <v/>
      </c>
    </row>
    <row r="970" spans="2:26">
      <c r="B970" s="31"/>
      <c r="G970" s="34"/>
      <c r="H970" s="33" t="str">
        <f t="shared" si="23"/>
        <v/>
      </c>
      <c r="I970" s="31"/>
      <c r="J970" s="31"/>
      <c r="K970" s="33"/>
      <c r="W970">
        <f>IF($A2="","",COUNTIF('07_Pallet_Contents'!$A$2:$A$3000,$A2))</f>
        <v>0</v>
      </c>
      <c r="X970">
        <f>IF($A2="","",SUMIF('07_Pallet_Contents'!$A$2:$A$3000,$A2,'07_Pallet_Contents'!$D$2:$D$3000))</f>
        <v>0</v>
      </c>
      <c r="Y970">
        <f>IF($A2="","",SUMIF('07_Pallet_Contents'!$A$2:$A$3000,$A2,'07_Pallet_Contents'!$I$2:$I$3000))</f>
        <v>0</v>
      </c>
      <c r="Z970" t="str">
        <f>IF($A2="","",IF(COUNTIF('07_Pallet_Contents'!$A$2:$A$3000,$A2)&gt;0,"Yes",""))</f>
        <v/>
      </c>
    </row>
    <row r="971" spans="2:26">
      <c r="B971" s="31"/>
      <c r="G971" s="34"/>
      <c r="H971" s="33" t="str">
        <f t="shared" si="23"/>
        <v/>
      </c>
      <c r="I971" s="31"/>
      <c r="J971" s="31"/>
      <c r="K971" s="33"/>
      <c r="W971">
        <f>IF($A2="","",COUNTIF('07_Pallet_Contents'!$A$2:$A$3000,$A2))</f>
        <v>0</v>
      </c>
      <c r="X971">
        <f>IF($A2="","",SUMIF('07_Pallet_Contents'!$A$2:$A$3000,$A2,'07_Pallet_Contents'!$D$2:$D$3000))</f>
        <v>0</v>
      </c>
      <c r="Y971">
        <f>IF($A2="","",SUMIF('07_Pallet_Contents'!$A$2:$A$3000,$A2,'07_Pallet_Contents'!$I$2:$I$3000))</f>
        <v>0</v>
      </c>
      <c r="Z971" t="str">
        <f>IF($A2="","",IF(COUNTIF('07_Pallet_Contents'!$A$2:$A$3000,$A2)&gt;0,"Yes",""))</f>
        <v/>
      </c>
    </row>
    <row r="972" spans="2:26">
      <c r="B972" s="31"/>
      <c r="G972" s="34"/>
      <c r="H972" s="33" t="str">
        <f t="shared" si="23"/>
        <v/>
      </c>
      <c r="I972" s="31"/>
      <c r="J972" s="31"/>
      <c r="K972" s="33"/>
      <c r="W972">
        <f>IF($A2="","",COUNTIF('07_Pallet_Contents'!$A$2:$A$3000,$A2))</f>
        <v>0</v>
      </c>
      <c r="X972">
        <f>IF($A2="","",SUMIF('07_Pallet_Contents'!$A$2:$A$3000,$A2,'07_Pallet_Contents'!$D$2:$D$3000))</f>
        <v>0</v>
      </c>
      <c r="Y972">
        <f>IF($A2="","",SUMIF('07_Pallet_Contents'!$A$2:$A$3000,$A2,'07_Pallet_Contents'!$I$2:$I$3000))</f>
        <v>0</v>
      </c>
      <c r="Z972" t="str">
        <f>IF($A2="","",IF(COUNTIF('07_Pallet_Contents'!$A$2:$A$3000,$A2)&gt;0,"Yes",""))</f>
        <v/>
      </c>
    </row>
    <row r="973" spans="2:26">
      <c r="B973" s="31"/>
      <c r="G973" s="34"/>
      <c r="H973" s="33" t="str">
        <f t="shared" si="23"/>
        <v/>
      </c>
      <c r="I973" s="31"/>
      <c r="J973" s="31"/>
      <c r="K973" s="33"/>
      <c r="W973">
        <f>IF($A2="","",COUNTIF('07_Pallet_Contents'!$A$2:$A$3000,$A2))</f>
        <v>0</v>
      </c>
      <c r="X973">
        <f>IF($A2="","",SUMIF('07_Pallet_Contents'!$A$2:$A$3000,$A2,'07_Pallet_Contents'!$D$2:$D$3000))</f>
        <v>0</v>
      </c>
      <c r="Y973">
        <f>IF($A2="","",SUMIF('07_Pallet_Contents'!$A$2:$A$3000,$A2,'07_Pallet_Contents'!$I$2:$I$3000))</f>
        <v>0</v>
      </c>
      <c r="Z973" t="str">
        <f>IF($A2="","",IF(COUNTIF('07_Pallet_Contents'!$A$2:$A$3000,$A2)&gt;0,"Yes",""))</f>
        <v/>
      </c>
    </row>
    <row r="974" spans="2:26">
      <c r="B974" s="31"/>
      <c r="G974" s="34"/>
      <c r="H974" s="33" t="str">
        <f t="shared" si="23"/>
        <v/>
      </c>
      <c r="I974" s="31"/>
      <c r="J974" s="31"/>
      <c r="K974" s="33"/>
      <c r="W974">
        <f>IF($A2="","",COUNTIF('07_Pallet_Contents'!$A$2:$A$3000,$A2))</f>
        <v>0</v>
      </c>
      <c r="X974">
        <f>IF($A2="","",SUMIF('07_Pallet_Contents'!$A$2:$A$3000,$A2,'07_Pallet_Contents'!$D$2:$D$3000))</f>
        <v>0</v>
      </c>
      <c r="Y974">
        <f>IF($A2="","",SUMIF('07_Pallet_Contents'!$A$2:$A$3000,$A2,'07_Pallet_Contents'!$I$2:$I$3000))</f>
        <v>0</v>
      </c>
      <c r="Z974" t="str">
        <f>IF($A2="","",IF(COUNTIF('07_Pallet_Contents'!$A$2:$A$3000,$A2)&gt;0,"Yes",""))</f>
        <v/>
      </c>
    </row>
    <row r="975" spans="2:26">
      <c r="B975" s="31"/>
      <c r="G975" s="34"/>
      <c r="H975" s="33" t="str">
        <f t="shared" si="23"/>
        <v/>
      </c>
      <c r="I975" s="31"/>
      <c r="J975" s="31"/>
      <c r="K975" s="33"/>
      <c r="W975">
        <f>IF($A2="","",COUNTIF('07_Pallet_Contents'!$A$2:$A$3000,$A2))</f>
        <v>0</v>
      </c>
      <c r="X975">
        <f>IF($A2="","",SUMIF('07_Pallet_Contents'!$A$2:$A$3000,$A2,'07_Pallet_Contents'!$D$2:$D$3000))</f>
        <v>0</v>
      </c>
      <c r="Y975">
        <f>IF($A2="","",SUMIF('07_Pallet_Contents'!$A$2:$A$3000,$A2,'07_Pallet_Contents'!$I$2:$I$3000))</f>
        <v>0</v>
      </c>
      <c r="Z975" t="str">
        <f>IF($A2="","",IF(COUNTIF('07_Pallet_Contents'!$A$2:$A$3000,$A2)&gt;0,"Yes",""))</f>
        <v/>
      </c>
    </row>
    <row r="976" spans="2:26">
      <c r="B976" s="31"/>
      <c r="G976" s="34"/>
      <c r="H976" s="33" t="str">
        <f t="shared" si="23"/>
        <v/>
      </c>
      <c r="I976" s="31"/>
      <c r="J976" s="31"/>
      <c r="K976" s="33"/>
      <c r="W976">
        <f>IF($A2="","",COUNTIF('07_Pallet_Contents'!$A$2:$A$3000,$A2))</f>
        <v>0</v>
      </c>
      <c r="X976">
        <f>IF($A2="","",SUMIF('07_Pallet_Contents'!$A$2:$A$3000,$A2,'07_Pallet_Contents'!$D$2:$D$3000))</f>
        <v>0</v>
      </c>
      <c r="Y976">
        <f>IF($A2="","",SUMIF('07_Pallet_Contents'!$A$2:$A$3000,$A2,'07_Pallet_Contents'!$I$2:$I$3000))</f>
        <v>0</v>
      </c>
      <c r="Z976" t="str">
        <f>IF($A2="","",IF(COUNTIF('07_Pallet_Contents'!$A$2:$A$3000,$A2)&gt;0,"Yes",""))</f>
        <v/>
      </c>
    </row>
    <row r="977" spans="2:26">
      <c r="B977" s="31"/>
      <c r="G977" s="34"/>
      <c r="H977" s="33" t="str">
        <f t="shared" si="23"/>
        <v/>
      </c>
      <c r="I977" s="31"/>
      <c r="J977" s="31"/>
      <c r="K977" s="33"/>
      <c r="W977">
        <f>IF($A2="","",COUNTIF('07_Pallet_Contents'!$A$2:$A$3000,$A2))</f>
        <v>0</v>
      </c>
      <c r="X977">
        <f>IF($A2="","",SUMIF('07_Pallet_Contents'!$A$2:$A$3000,$A2,'07_Pallet_Contents'!$D$2:$D$3000))</f>
        <v>0</v>
      </c>
      <c r="Y977">
        <f>IF($A2="","",SUMIF('07_Pallet_Contents'!$A$2:$A$3000,$A2,'07_Pallet_Contents'!$I$2:$I$3000))</f>
        <v>0</v>
      </c>
      <c r="Z977" t="str">
        <f>IF($A2="","",IF(COUNTIF('07_Pallet_Contents'!$A$2:$A$3000,$A2)&gt;0,"Yes",""))</f>
        <v/>
      </c>
    </row>
    <row r="978" spans="2:26">
      <c r="B978" s="31"/>
      <c r="G978" s="34"/>
      <c r="H978" s="33" t="str">
        <f t="shared" si="23"/>
        <v/>
      </c>
      <c r="I978" s="31"/>
      <c r="J978" s="31"/>
      <c r="K978" s="33"/>
      <c r="W978">
        <f>IF($A2="","",COUNTIF('07_Pallet_Contents'!$A$2:$A$3000,$A2))</f>
        <v>0</v>
      </c>
      <c r="X978">
        <f>IF($A2="","",SUMIF('07_Pallet_Contents'!$A$2:$A$3000,$A2,'07_Pallet_Contents'!$D$2:$D$3000))</f>
        <v>0</v>
      </c>
      <c r="Y978">
        <f>IF($A2="","",SUMIF('07_Pallet_Contents'!$A$2:$A$3000,$A2,'07_Pallet_Contents'!$I$2:$I$3000))</f>
        <v>0</v>
      </c>
      <c r="Z978" t="str">
        <f>IF($A2="","",IF(COUNTIF('07_Pallet_Contents'!$A$2:$A$3000,$A2)&gt;0,"Yes",""))</f>
        <v/>
      </c>
    </row>
    <row r="979" spans="2:26">
      <c r="B979" s="31"/>
      <c r="G979" s="34"/>
      <c r="H979" s="33" t="str">
        <f t="shared" si="23"/>
        <v/>
      </c>
      <c r="I979" s="31"/>
      <c r="J979" s="31"/>
      <c r="K979" s="33"/>
      <c r="W979">
        <f>IF($A2="","",COUNTIF('07_Pallet_Contents'!$A$2:$A$3000,$A2))</f>
        <v>0</v>
      </c>
      <c r="X979">
        <f>IF($A2="","",SUMIF('07_Pallet_Contents'!$A$2:$A$3000,$A2,'07_Pallet_Contents'!$D$2:$D$3000))</f>
        <v>0</v>
      </c>
      <c r="Y979">
        <f>IF($A2="","",SUMIF('07_Pallet_Contents'!$A$2:$A$3000,$A2,'07_Pallet_Contents'!$I$2:$I$3000))</f>
        <v>0</v>
      </c>
      <c r="Z979" t="str">
        <f>IF($A2="","",IF(COUNTIF('07_Pallet_Contents'!$A$2:$A$3000,$A2)&gt;0,"Yes",""))</f>
        <v/>
      </c>
    </row>
    <row r="980" spans="2:26">
      <c r="B980" s="31"/>
      <c r="G980" s="34"/>
      <c r="H980" s="33" t="str">
        <f t="shared" si="23"/>
        <v/>
      </c>
      <c r="I980" s="31"/>
      <c r="J980" s="31"/>
      <c r="K980" s="33"/>
      <c r="W980">
        <f>IF($A2="","",COUNTIF('07_Pallet_Contents'!$A$2:$A$3000,$A2))</f>
        <v>0</v>
      </c>
      <c r="X980">
        <f>IF($A2="","",SUMIF('07_Pallet_Contents'!$A$2:$A$3000,$A2,'07_Pallet_Contents'!$D$2:$D$3000))</f>
        <v>0</v>
      </c>
      <c r="Y980">
        <f>IF($A2="","",SUMIF('07_Pallet_Contents'!$A$2:$A$3000,$A2,'07_Pallet_Contents'!$I$2:$I$3000))</f>
        <v>0</v>
      </c>
      <c r="Z980" t="str">
        <f>IF($A2="","",IF(COUNTIF('07_Pallet_Contents'!$A$2:$A$3000,$A2)&gt;0,"Yes",""))</f>
        <v/>
      </c>
    </row>
    <row r="981" spans="2:26">
      <c r="B981" s="31"/>
      <c r="G981" s="34"/>
      <c r="H981" s="33" t="str">
        <f t="shared" si="23"/>
        <v/>
      </c>
      <c r="I981" s="31"/>
      <c r="J981" s="31"/>
      <c r="K981" s="33"/>
      <c r="W981">
        <f>IF($A2="","",COUNTIF('07_Pallet_Contents'!$A$2:$A$3000,$A2))</f>
        <v>0</v>
      </c>
      <c r="X981">
        <f>IF($A2="","",SUMIF('07_Pallet_Contents'!$A$2:$A$3000,$A2,'07_Pallet_Contents'!$D$2:$D$3000))</f>
        <v>0</v>
      </c>
      <c r="Y981">
        <f>IF($A2="","",SUMIF('07_Pallet_Contents'!$A$2:$A$3000,$A2,'07_Pallet_Contents'!$I$2:$I$3000))</f>
        <v>0</v>
      </c>
      <c r="Z981" t="str">
        <f>IF($A2="","",IF(COUNTIF('07_Pallet_Contents'!$A$2:$A$3000,$A2)&gt;0,"Yes",""))</f>
        <v/>
      </c>
    </row>
    <row r="982" spans="2:26">
      <c r="B982" s="31"/>
      <c r="G982" s="34"/>
      <c r="H982" s="33" t="str">
        <f t="shared" si="23"/>
        <v/>
      </c>
      <c r="I982" s="31"/>
      <c r="J982" s="31"/>
      <c r="K982" s="33"/>
      <c r="W982">
        <f>IF($A2="","",COUNTIF('07_Pallet_Contents'!$A$2:$A$3000,$A2))</f>
        <v>0</v>
      </c>
      <c r="X982">
        <f>IF($A2="","",SUMIF('07_Pallet_Contents'!$A$2:$A$3000,$A2,'07_Pallet_Contents'!$D$2:$D$3000))</f>
        <v>0</v>
      </c>
      <c r="Y982">
        <f>IF($A2="","",SUMIF('07_Pallet_Contents'!$A$2:$A$3000,$A2,'07_Pallet_Contents'!$I$2:$I$3000))</f>
        <v>0</v>
      </c>
      <c r="Z982" t="str">
        <f>IF($A2="","",IF(COUNTIF('07_Pallet_Contents'!$A$2:$A$3000,$A2)&gt;0,"Yes",""))</f>
        <v/>
      </c>
    </row>
    <row r="983" spans="2:26">
      <c r="B983" s="31"/>
      <c r="G983" s="34"/>
      <c r="H983" s="33" t="str">
        <f t="shared" si="23"/>
        <v/>
      </c>
      <c r="I983" s="31"/>
      <c r="J983" s="31"/>
      <c r="K983" s="33"/>
      <c r="W983">
        <f>IF($A2="","",COUNTIF('07_Pallet_Contents'!$A$2:$A$3000,$A2))</f>
        <v>0</v>
      </c>
      <c r="X983">
        <f>IF($A2="","",SUMIF('07_Pallet_Contents'!$A$2:$A$3000,$A2,'07_Pallet_Contents'!$D$2:$D$3000))</f>
        <v>0</v>
      </c>
      <c r="Y983">
        <f>IF($A2="","",SUMIF('07_Pallet_Contents'!$A$2:$A$3000,$A2,'07_Pallet_Contents'!$I$2:$I$3000))</f>
        <v>0</v>
      </c>
      <c r="Z983" t="str">
        <f>IF($A2="","",IF(COUNTIF('07_Pallet_Contents'!$A$2:$A$3000,$A2)&gt;0,"Yes",""))</f>
        <v/>
      </c>
    </row>
    <row r="984" spans="2:26">
      <c r="B984" s="31"/>
      <c r="G984" s="34"/>
      <c r="H984" s="33" t="str">
        <f t="shared" si="23"/>
        <v/>
      </c>
      <c r="I984" s="31"/>
      <c r="J984" s="31"/>
      <c r="K984" s="33"/>
      <c r="W984">
        <f>IF($A2="","",COUNTIF('07_Pallet_Contents'!$A$2:$A$3000,$A2))</f>
        <v>0</v>
      </c>
      <c r="X984">
        <f>IF($A2="","",SUMIF('07_Pallet_Contents'!$A$2:$A$3000,$A2,'07_Pallet_Contents'!$D$2:$D$3000))</f>
        <v>0</v>
      </c>
      <c r="Y984">
        <f>IF($A2="","",SUMIF('07_Pallet_Contents'!$A$2:$A$3000,$A2,'07_Pallet_Contents'!$I$2:$I$3000))</f>
        <v>0</v>
      </c>
      <c r="Z984" t="str">
        <f>IF($A2="","",IF(COUNTIF('07_Pallet_Contents'!$A$2:$A$3000,$A2)&gt;0,"Yes",""))</f>
        <v/>
      </c>
    </row>
    <row r="985" spans="2:26">
      <c r="B985" s="31"/>
      <c r="G985" s="34"/>
      <c r="H985" s="33" t="str">
        <f t="shared" si="23"/>
        <v/>
      </c>
      <c r="I985" s="31"/>
      <c r="J985" s="31"/>
      <c r="K985" s="33"/>
      <c r="W985">
        <f>IF($A2="","",COUNTIF('07_Pallet_Contents'!$A$2:$A$3000,$A2))</f>
        <v>0</v>
      </c>
      <c r="X985">
        <f>IF($A2="","",SUMIF('07_Pallet_Contents'!$A$2:$A$3000,$A2,'07_Pallet_Contents'!$D$2:$D$3000))</f>
        <v>0</v>
      </c>
      <c r="Y985">
        <f>IF($A2="","",SUMIF('07_Pallet_Contents'!$A$2:$A$3000,$A2,'07_Pallet_Contents'!$I$2:$I$3000))</f>
        <v>0</v>
      </c>
      <c r="Z985" t="str">
        <f>IF($A2="","",IF(COUNTIF('07_Pallet_Contents'!$A$2:$A$3000,$A2)&gt;0,"Yes",""))</f>
        <v/>
      </c>
    </row>
    <row r="986" spans="2:26">
      <c r="B986" s="31"/>
      <c r="G986" s="34"/>
      <c r="H986" s="33" t="str">
        <f t="shared" si="23"/>
        <v/>
      </c>
      <c r="I986" s="31"/>
      <c r="J986" s="31"/>
      <c r="K986" s="33"/>
      <c r="W986">
        <f>IF($A2="","",COUNTIF('07_Pallet_Contents'!$A$2:$A$3000,$A2))</f>
        <v>0</v>
      </c>
      <c r="X986">
        <f>IF($A2="","",SUMIF('07_Pallet_Contents'!$A$2:$A$3000,$A2,'07_Pallet_Contents'!$D$2:$D$3000))</f>
        <v>0</v>
      </c>
      <c r="Y986">
        <f>IF($A2="","",SUMIF('07_Pallet_Contents'!$A$2:$A$3000,$A2,'07_Pallet_Contents'!$I$2:$I$3000))</f>
        <v>0</v>
      </c>
      <c r="Z986" t="str">
        <f>IF($A2="","",IF(COUNTIF('07_Pallet_Contents'!$A$2:$A$3000,$A2)&gt;0,"Yes",""))</f>
        <v/>
      </c>
    </row>
    <row r="987" spans="2:26">
      <c r="B987" s="31"/>
      <c r="G987" s="34"/>
      <c r="H987" s="33" t="str">
        <f t="shared" si="23"/>
        <v/>
      </c>
      <c r="I987" s="31"/>
      <c r="J987" s="31"/>
      <c r="K987" s="33"/>
      <c r="W987">
        <f>IF($A2="","",COUNTIF('07_Pallet_Contents'!$A$2:$A$3000,$A2))</f>
        <v>0</v>
      </c>
      <c r="X987">
        <f>IF($A2="","",SUMIF('07_Pallet_Contents'!$A$2:$A$3000,$A2,'07_Pallet_Contents'!$D$2:$D$3000))</f>
        <v>0</v>
      </c>
      <c r="Y987">
        <f>IF($A2="","",SUMIF('07_Pallet_Contents'!$A$2:$A$3000,$A2,'07_Pallet_Contents'!$I$2:$I$3000))</f>
        <v>0</v>
      </c>
      <c r="Z987" t="str">
        <f>IF($A2="","",IF(COUNTIF('07_Pallet_Contents'!$A$2:$A$3000,$A2)&gt;0,"Yes",""))</f>
        <v/>
      </c>
    </row>
    <row r="988" spans="2:26">
      <c r="B988" s="31"/>
      <c r="G988" s="34"/>
      <c r="H988" s="33" t="str">
        <f t="shared" si="23"/>
        <v/>
      </c>
      <c r="I988" s="31"/>
      <c r="J988" s="31"/>
      <c r="K988" s="33"/>
      <c r="W988">
        <f>IF($A2="","",COUNTIF('07_Pallet_Contents'!$A$2:$A$3000,$A2))</f>
        <v>0</v>
      </c>
      <c r="X988">
        <f>IF($A2="","",SUMIF('07_Pallet_Contents'!$A$2:$A$3000,$A2,'07_Pallet_Contents'!$D$2:$D$3000))</f>
        <v>0</v>
      </c>
      <c r="Y988">
        <f>IF($A2="","",SUMIF('07_Pallet_Contents'!$A$2:$A$3000,$A2,'07_Pallet_Contents'!$I$2:$I$3000))</f>
        <v>0</v>
      </c>
      <c r="Z988" t="str">
        <f>IF($A2="","",IF(COUNTIF('07_Pallet_Contents'!$A$2:$A$3000,$A2)&gt;0,"Yes",""))</f>
        <v/>
      </c>
    </row>
    <row r="989" spans="2:26">
      <c r="B989" s="31"/>
      <c r="G989" s="34"/>
      <c r="H989" s="33" t="str">
        <f t="shared" si="23"/>
        <v/>
      </c>
      <c r="I989" s="31"/>
      <c r="J989" s="31"/>
      <c r="K989" s="33"/>
      <c r="W989">
        <f>IF($A2="","",COUNTIF('07_Pallet_Contents'!$A$2:$A$3000,$A2))</f>
        <v>0</v>
      </c>
      <c r="X989">
        <f>IF($A2="","",SUMIF('07_Pallet_Contents'!$A$2:$A$3000,$A2,'07_Pallet_Contents'!$D$2:$D$3000))</f>
        <v>0</v>
      </c>
      <c r="Y989">
        <f>IF($A2="","",SUMIF('07_Pallet_Contents'!$A$2:$A$3000,$A2,'07_Pallet_Contents'!$I$2:$I$3000))</f>
        <v>0</v>
      </c>
      <c r="Z989" t="str">
        <f>IF($A2="","",IF(COUNTIF('07_Pallet_Contents'!$A$2:$A$3000,$A2)&gt;0,"Yes",""))</f>
        <v/>
      </c>
    </row>
    <row r="990" spans="2:26">
      <c r="B990" s="31"/>
      <c r="G990" s="34"/>
      <c r="H990" s="33" t="str">
        <f t="shared" si="23"/>
        <v/>
      </c>
      <c r="I990" s="31"/>
      <c r="J990" s="31"/>
      <c r="K990" s="33"/>
      <c r="W990">
        <f>IF($A2="","",COUNTIF('07_Pallet_Contents'!$A$2:$A$3000,$A2))</f>
        <v>0</v>
      </c>
      <c r="X990">
        <f>IF($A2="","",SUMIF('07_Pallet_Contents'!$A$2:$A$3000,$A2,'07_Pallet_Contents'!$D$2:$D$3000))</f>
        <v>0</v>
      </c>
      <c r="Y990">
        <f>IF($A2="","",SUMIF('07_Pallet_Contents'!$A$2:$A$3000,$A2,'07_Pallet_Contents'!$I$2:$I$3000))</f>
        <v>0</v>
      </c>
      <c r="Z990" t="str">
        <f>IF($A2="","",IF(COUNTIF('07_Pallet_Contents'!$A$2:$A$3000,$A2)&gt;0,"Yes",""))</f>
        <v/>
      </c>
    </row>
    <row r="991" spans="2:26">
      <c r="B991" s="31"/>
      <c r="G991" s="34"/>
      <c r="H991" s="33" t="str">
        <f t="shared" si="23"/>
        <v/>
      </c>
      <c r="I991" s="31"/>
      <c r="J991" s="31"/>
      <c r="K991" s="33"/>
      <c r="W991">
        <f>IF($A2="","",COUNTIF('07_Pallet_Contents'!$A$2:$A$3000,$A2))</f>
        <v>0</v>
      </c>
      <c r="X991">
        <f>IF($A2="","",SUMIF('07_Pallet_Contents'!$A$2:$A$3000,$A2,'07_Pallet_Contents'!$D$2:$D$3000))</f>
        <v>0</v>
      </c>
      <c r="Y991">
        <f>IF($A2="","",SUMIF('07_Pallet_Contents'!$A$2:$A$3000,$A2,'07_Pallet_Contents'!$I$2:$I$3000))</f>
        <v>0</v>
      </c>
      <c r="Z991" t="str">
        <f>IF($A2="","",IF(COUNTIF('07_Pallet_Contents'!$A$2:$A$3000,$A2)&gt;0,"Yes",""))</f>
        <v/>
      </c>
    </row>
    <row r="992" spans="2:26">
      <c r="B992" s="31"/>
      <c r="G992" s="34"/>
      <c r="H992" s="33" t="str">
        <f t="shared" si="23"/>
        <v/>
      </c>
      <c r="I992" s="31"/>
      <c r="J992" s="31"/>
      <c r="K992" s="33"/>
      <c r="W992">
        <f>IF($A2="","",COUNTIF('07_Pallet_Contents'!$A$2:$A$3000,$A2))</f>
        <v>0</v>
      </c>
      <c r="X992">
        <f>IF($A2="","",SUMIF('07_Pallet_Contents'!$A$2:$A$3000,$A2,'07_Pallet_Contents'!$D$2:$D$3000))</f>
        <v>0</v>
      </c>
      <c r="Y992">
        <f>IF($A2="","",SUMIF('07_Pallet_Contents'!$A$2:$A$3000,$A2,'07_Pallet_Contents'!$I$2:$I$3000))</f>
        <v>0</v>
      </c>
      <c r="Z992" t="str">
        <f>IF($A2="","",IF(COUNTIF('07_Pallet_Contents'!$A$2:$A$3000,$A2)&gt;0,"Yes",""))</f>
        <v/>
      </c>
    </row>
    <row r="993" spans="2:26">
      <c r="B993" s="31"/>
      <c r="G993" s="34"/>
      <c r="H993" s="33" t="str">
        <f t="shared" si="23"/>
        <v/>
      </c>
      <c r="I993" s="31"/>
      <c r="J993" s="31"/>
      <c r="K993" s="33"/>
      <c r="W993">
        <f>IF($A2="","",COUNTIF('07_Pallet_Contents'!$A$2:$A$3000,$A2))</f>
        <v>0</v>
      </c>
      <c r="X993">
        <f>IF($A2="","",SUMIF('07_Pallet_Contents'!$A$2:$A$3000,$A2,'07_Pallet_Contents'!$D$2:$D$3000))</f>
        <v>0</v>
      </c>
      <c r="Y993">
        <f>IF($A2="","",SUMIF('07_Pallet_Contents'!$A$2:$A$3000,$A2,'07_Pallet_Contents'!$I$2:$I$3000))</f>
        <v>0</v>
      </c>
      <c r="Z993" t="str">
        <f>IF($A2="","",IF(COUNTIF('07_Pallet_Contents'!$A$2:$A$3000,$A2)&gt;0,"Yes",""))</f>
        <v/>
      </c>
    </row>
    <row r="994" spans="2:26">
      <c r="B994" s="31"/>
      <c r="G994" s="34"/>
      <c r="H994" s="33" t="str">
        <f t="shared" si="23"/>
        <v/>
      </c>
      <c r="I994" s="31"/>
      <c r="J994" s="31"/>
      <c r="K994" s="33"/>
      <c r="W994">
        <f>IF($A2="","",COUNTIF('07_Pallet_Contents'!$A$2:$A$3000,$A2))</f>
        <v>0</v>
      </c>
      <c r="X994">
        <f>IF($A2="","",SUMIF('07_Pallet_Contents'!$A$2:$A$3000,$A2,'07_Pallet_Contents'!$D$2:$D$3000))</f>
        <v>0</v>
      </c>
      <c r="Y994">
        <f>IF($A2="","",SUMIF('07_Pallet_Contents'!$A$2:$A$3000,$A2,'07_Pallet_Contents'!$I$2:$I$3000))</f>
        <v>0</v>
      </c>
      <c r="Z994" t="str">
        <f>IF($A2="","",IF(COUNTIF('07_Pallet_Contents'!$A$2:$A$3000,$A2)&gt;0,"Yes",""))</f>
        <v/>
      </c>
    </row>
    <row r="995" spans="2:26">
      <c r="B995" s="31"/>
      <c r="G995" s="34"/>
      <c r="H995" s="33" t="str">
        <f t="shared" si="23"/>
        <v/>
      </c>
      <c r="I995" s="31"/>
      <c r="J995" s="31"/>
      <c r="K995" s="33"/>
      <c r="W995">
        <f>IF($A2="","",COUNTIF('07_Pallet_Contents'!$A$2:$A$3000,$A2))</f>
        <v>0</v>
      </c>
      <c r="X995">
        <f>IF($A2="","",SUMIF('07_Pallet_Contents'!$A$2:$A$3000,$A2,'07_Pallet_Contents'!$D$2:$D$3000))</f>
        <v>0</v>
      </c>
      <c r="Y995">
        <f>IF($A2="","",SUMIF('07_Pallet_Contents'!$A$2:$A$3000,$A2,'07_Pallet_Contents'!$I$2:$I$3000))</f>
        <v>0</v>
      </c>
      <c r="Z995" t="str">
        <f>IF($A2="","",IF(COUNTIF('07_Pallet_Contents'!$A$2:$A$3000,$A2)&gt;0,"Yes",""))</f>
        <v/>
      </c>
    </row>
    <row r="996" spans="2:26">
      <c r="B996" s="31"/>
      <c r="G996" s="34"/>
      <c r="H996" s="33" t="str">
        <f t="shared" si="23"/>
        <v/>
      </c>
      <c r="I996" s="31"/>
      <c r="J996" s="31"/>
      <c r="K996" s="33"/>
      <c r="W996">
        <f>IF($A2="","",COUNTIF('07_Pallet_Contents'!$A$2:$A$3000,$A2))</f>
        <v>0</v>
      </c>
      <c r="X996">
        <f>IF($A2="","",SUMIF('07_Pallet_Contents'!$A$2:$A$3000,$A2,'07_Pallet_Contents'!$D$2:$D$3000))</f>
        <v>0</v>
      </c>
      <c r="Y996">
        <f>IF($A2="","",SUMIF('07_Pallet_Contents'!$A$2:$A$3000,$A2,'07_Pallet_Contents'!$I$2:$I$3000))</f>
        <v>0</v>
      </c>
      <c r="Z996" t="str">
        <f>IF($A2="","",IF(COUNTIF('07_Pallet_Contents'!$A$2:$A$3000,$A2)&gt;0,"Yes",""))</f>
        <v/>
      </c>
    </row>
    <row r="997" spans="2:26">
      <c r="B997" s="31"/>
      <c r="G997" s="34"/>
      <c r="H997" s="33" t="str">
        <f t="shared" si="23"/>
        <v/>
      </c>
      <c r="I997" s="31"/>
      <c r="J997" s="31"/>
      <c r="K997" s="33"/>
      <c r="W997">
        <f>IF($A2="","",COUNTIF('07_Pallet_Contents'!$A$2:$A$3000,$A2))</f>
        <v>0</v>
      </c>
      <c r="X997">
        <f>IF($A2="","",SUMIF('07_Pallet_Contents'!$A$2:$A$3000,$A2,'07_Pallet_Contents'!$D$2:$D$3000))</f>
        <v>0</v>
      </c>
      <c r="Y997">
        <f>IF($A2="","",SUMIF('07_Pallet_Contents'!$A$2:$A$3000,$A2,'07_Pallet_Contents'!$I$2:$I$3000))</f>
        <v>0</v>
      </c>
      <c r="Z997" t="str">
        <f>IF($A2="","",IF(COUNTIF('07_Pallet_Contents'!$A$2:$A$3000,$A2)&gt;0,"Yes",""))</f>
        <v/>
      </c>
    </row>
    <row r="998" spans="2:26">
      <c r="B998" s="31"/>
      <c r="G998" s="34"/>
      <c r="H998" s="33" t="str">
        <f t="shared" si="23"/>
        <v/>
      </c>
      <c r="I998" s="31"/>
      <c r="J998" s="31"/>
      <c r="K998" s="33"/>
      <c r="W998">
        <f>IF($A2="","",COUNTIF('07_Pallet_Contents'!$A$2:$A$3000,$A2))</f>
        <v>0</v>
      </c>
      <c r="X998">
        <f>IF($A2="","",SUMIF('07_Pallet_Contents'!$A$2:$A$3000,$A2,'07_Pallet_Contents'!$D$2:$D$3000))</f>
        <v>0</v>
      </c>
      <c r="Y998">
        <f>IF($A2="","",SUMIF('07_Pallet_Contents'!$A$2:$A$3000,$A2,'07_Pallet_Contents'!$I$2:$I$3000))</f>
        <v>0</v>
      </c>
      <c r="Z998" t="str">
        <f>IF($A2="","",IF(COUNTIF('07_Pallet_Contents'!$A$2:$A$3000,$A2)&gt;0,"Yes",""))</f>
        <v/>
      </c>
    </row>
    <row r="999" spans="2:26">
      <c r="B999" s="31"/>
      <c r="G999" s="34"/>
      <c r="H999" s="33" t="str">
        <f t="shared" si="23"/>
        <v/>
      </c>
      <c r="I999" s="31"/>
      <c r="J999" s="31"/>
      <c r="K999" s="33"/>
      <c r="W999">
        <f>IF($A2="","",COUNTIF('07_Pallet_Contents'!$A$2:$A$3000,$A2))</f>
        <v>0</v>
      </c>
      <c r="X999">
        <f>IF($A2="","",SUMIF('07_Pallet_Contents'!$A$2:$A$3000,$A2,'07_Pallet_Contents'!$D$2:$D$3000))</f>
        <v>0</v>
      </c>
      <c r="Y999">
        <f>IF($A2="","",SUMIF('07_Pallet_Contents'!$A$2:$A$3000,$A2,'07_Pallet_Contents'!$I$2:$I$3000))</f>
        <v>0</v>
      </c>
      <c r="Z999" t="str">
        <f>IF($A2="","",IF(COUNTIF('07_Pallet_Contents'!$A$2:$A$3000,$A2)&gt;0,"Yes",""))</f>
        <v/>
      </c>
    </row>
    <row r="1000" spans="2:26">
      <c r="B1000" s="31"/>
      <c r="G1000" s="34"/>
      <c r="H1000" s="33" t="str">
        <f t="shared" si="23"/>
        <v/>
      </c>
      <c r="I1000" s="31"/>
      <c r="J1000" s="31"/>
      <c r="K1000" s="33"/>
      <c r="W1000">
        <f>IF($A2="","",COUNTIF('07_Pallet_Contents'!$A$2:$A$3000,$A2))</f>
        <v>0</v>
      </c>
      <c r="X1000">
        <f>IF($A2="","",SUMIF('07_Pallet_Contents'!$A$2:$A$3000,$A2,'07_Pallet_Contents'!$D$2:$D$3000))</f>
        <v>0</v>
      </c>
      <c r="Y1000">
        <f>IF($A2="","",SUMIF('07_Pallet_Contents'!$A$2:$A$3000,$A2,'07_Pallet_Contents'!$I$2:$I$3000))</f>
        <v>0</v>
      </c>
      <c r="Z1000" t="str">
        <f>IF($A2="","",IF(COUNTIF('07_Pallet_Contents'!$A$2:$A$3000,$A2)&gt;0,"Yes",""))</f>
        <v/>
      </c>
    </row>
    <row r="1001" spans="2:26">
      <c r="B1001" s="31"/>
      <c r="G1001" s="34"/>
      <c r="H1001" s="33" t="str">
        <f t="shared" si="23"/>
        <v/>
      </c>
      <c r="I1001" s="31"/>
      <c r="J1001" s="31"/>
      <c r="K1001" s="33"/>
      <c r="W1001">
        <f>IF($A2="","",COUNTIF('07_Pallet_Contents'!$A$2:$A$3000,$A2))</f>
        <v>0</v>
      </c>
      <c r="X1001">
        <f>IF($A2="","",SUMIF('07_Pallet_Contents'!$A$2:$A$3000,$A2,'07_Pallet_Contents'!$D$2:$D$3000))</f>
        <v>0</v>
      </c>
      <c r="Y1001">
        <f>IF($A2="","",SUMIF('07_Pallet_Contents'!$A$2:$A$3000,$A2,'07_Pallet_Contents'!$I$2:$I$3000))</f>
        <v>0</v>
      </c>
      <c r="Z1001" t="str">
        <f>IF($A2="","",IF(COUNTIF('07_Pallet_Contents'!$A$2:$A$3000,$A2)&gt;0,"Yes",""))</f>
        <v/>
      </c>
    </row>
    <row r="1002" spans="2:26">
      <c r="B1002" s="31"/>
      <c r="G1002" s="34"/>
      <c r="H1002" s="33" t="str">
        <f t="shared" si="23"/>
        <v/>
      </c>
      <c r="I1002" s="31"/>
      <c r="J1002" s="31"/>
      <c r="K1002" s="33"/>
      <c r="W1002">
        <f>IF($A2="","",COUNTIF('07_Pallet_Contents'!$A$2:$A$3000,$A2))</f>
        <v>0</v>
      </c>
      <c r="X1002">
        <f>IF($A2="","",SUMIF('07_Pallet_Contents'!$A$2:$A$3000,$A2,'07_Pallet_Contents'!$D$2:$D$3000))</f>
        <v>0</v>
      </c>
      <c r="Y1002">
        <f>IF($A2="","",SUMIF('07_Pallet_Contents'!$A$2:$A$3000,$A2,'07_Pallet_Contents'!$I$2:$I$3000))</f>
        <v>0</v>
      </c>
      <c r="Z1002" t="str">
        <f>IF($A2="","",IF(COUNTIF('07_Pallet_Contents'!$A$2:$A$3000,$A2)&gt;0,"Yes",""))</f>
        <v/>
      </c>
    </row>
    <row r="1003" spans="2:26">
      <c r="B1003" s="31"/>
      <c r="G1003" s="34"/>
      <c r="H1003" s="33" t="str">
        <f t="shared" si="23"/>
        <v/>
      </c>
      <c r="I1003" s="31"/>
      <c r="J1003" s="31"/>
      <c r="K1003" s="33"/>
      <c r="W1003">
        <f>IF($A2="","",COUNTIF('07_Pallet_Contents'!$A$2:$A$3000,$A2))</f>
        <v>0</v>
      </c>
      <c r="X1003">
        <f>IF($A2="","",SUMIF('07_Pallet_Contents'!$A$2:$A$3000,$A2,'07_Pallet_Contents'!$D$2:$D$3000))</f>
        <v>0</v>
      </c>
      <c r="Y1003">
        <f>IF($A2="","",SUMIF('07_Pallet_Contents'!$A$2:$A$3000,$A2,'07_Pallet_Contents'!$I$2:$I$3000))</f>
        <v>0</v>
      </c>
      <c r="Z1003" t="str">
        <f>IF($A2="","",IF(COUNTIF('07_Pallet_Contents'!$A$2:$A$3000,$A2)&gt;0,"Yes",""))</f>
        <v/>
      </c>
    </row>
    <row r="1004" spans="2:26">
      <c r="B1004" s="31"/>
      <c r="G1004" s="34"/>
      <c r="H1004" s="33" t="str">
        <f t="shared" si="23"/>
        <v/>
      </c>
      <c r="I1004" s="31"/>
      <c r="J1004" s="31"/>
      <c r="K1004" s="33"/>
      <c r="W1004">
        <f>IF($A2="","",COUNTIF('07_Pallet_Contents'!$A$2:$A$3000,$A2))</f>
        <v>0</v>
      </c>
      <c r="X1004">
        <f>IF($A2="","",SUMIF('07_Pallet_Contents'!$A$2:$A$3000,$A2,'07_Pallet_Contents'!$D$2:$D$3000))</f>
        <v>0</v>
      </c>
      <c r="Y1004">
        <f>IF($A2="","",SUMIF('07_Pallet_Contents'!$A$2:$A$3000,$A2,'07_Pallet_Contents'!$I$2:$I$3000))</f>
        <v>0</v>
      </c>
      <c r="Z1004" t="str">
        <f>IF($A2="","",IF(COUNTIF('07_Pallet_Contents'!$A$2:$A$3000,$A2)&gt;0,"Yes",""))</f>
        <v/>
      </c>
    </row>
    <row r="1005" spans="2:26">
      <c r="B1005" s="31"/>
      <c r="G1005" s="34"/>
      <c r="H1005" s="33" t="str">
        <f t="shared" si="23"/>
        <v/>
      </c>
      <c r="I1005" s="31"/>
      <c r="J1005" s="31"/>
      <c r="K1005" s="33"/>
      <c r="W1005">
        <f>IF($A2="","",COUNTIF('07_Pallet_Contents'!$A$2:$A$3000,$A2))</f>
        <v>0</v>
      </c>
      <c r="X1005">
        <f>IF($A2="","",SUMIF('07_Pallet_Contents'!$A$2:$A$3000,$A2,'07_Pallet_Contents'!$D$2:$D$3000))</f>
        <v>0</v>
      </c>
      <c r="Y1005">
        <f>IF($A2="","",SUMIF('07_Pallet_Contents'!$A$2:$A$3000,$A2,'07_Pallet_Contents'!$I$2:$I$3000))</f>
        <v>0</v>
      </c>
      <c r="Z1005" t="str">
        <f>IF($A2="","",IF(COUNTIF('07_Pallet_Contents'!$A$2:$A$3000,$A2)&gt;0,"Yes",""))</f>
        <v/>
      </c>
    </row>
    <row r="1006" spans="2:26">
      <c r="B1006" s="31"/>
      <c r="G1006" s="34"/>
      <c r="H1006" s="33" t="str">
        <f t="shared" si="23"/>
        <v/>
      </c>
      <c r="I1006" s="31"/>
      <c r="J1006" s="31"/>
      <c r="K1006" s="33"/>
      <c r="W1006">
        <f>IF($A2="","",COUNTIF('07_Pallet_Contents'!$A$2:$A$3000,$A2))</f>
        <v>0</v>
      </c>
      <c r="X1006">
        <f>IF($A2="","",SUMIF('07_Pallet_Contents'!$A$2:$A$3000,$A2,'07_Pallet_Contents'!$D$2:$D$3000))</f>
        <v>0</v>
      </c>
      <c r="Y1006">
        <f>IF($A2="","",SUMIF('07_Pallet_Contents'!$A$2:$A$3000,$A2,'07_Pallet_Contents'!$I$2:$I$3000))</f>
        <v>0</v>
      </c>
      <c r="Z1006" t="str">
        <f>IF($A2="","",IF(COUNTIF('07_Pallet_Contents'!$A$2:$A$3000,$A2)&gt;0,"Yes",""))</f>
        <v/>
      </c>
    </row>
    <row r="1007" spans="2:26">
      <c r="B1007" s="31"/>
      <c r="G1007" s="34"/>
      <c r="H1007" s="33" t="str">
        <f t="shared" si="23"/>
        <v/>
      </c>
      <c r="I1007" s="31"/>
      <c r="J1007" s="31"/>
      <c r="K1007" s="33"/>
      <c r="W1007">
        <f>IF($A2="","",COUNTIF('07_Pallet_Contents'!$A$2:$A$3000,$A2))</f>
        <v>0</v>
      </c>
      <c r="X1007">
        <f>IF($A2="","",SUMIF('07_Pallet_Contents'!$A$2:$A$3000,$A2,'07_Pallet_Contents'!$D$2:$D$3000))</f>
        <v>0</v>
      </c>
      <c r="Y1007">
        <f>IF($A2="","",SUMIF('07_Pallet_Contents'!$A$2:$A$3000,$A2,'07_Pallet_Contents'!$I$2:$I$3000))</f>
        <v>0</v>
      </c>
      <c r="Z1007" t="str">
        <f>IF($A2="","",IF(COUNTIF('07_Pallet_Contents'!$A$2:$A$3000,$A2)&gt;0,"Yes",""))</f>
        <v/>
      </c>
    </row>
    <row r="1008" spans="2:26">
      <c r="B1008" s="31"/>
      <c r="G1008" s="34"/>
      <c r="H1008" s="33" t="str">
        <f t="shared" si="23"/>
        <v/>
      </c>
      <c r="I1008" s="31"/>
      <c r="J1008" s="31"/>
      <c r="K1008" s="33"/>
      <c r="W1008">
        <f>IF($A2="","",COUNTIF('07_Pallet_Contents'!$A$2:$A$3000,$A2))</f>
        <v>0</v>
      </c>
      <c r="X1008">
        <f>IF($A2="","",SUMIF('07_Pallet_Contents'!$A$2:$A$3000,$A2,'07_Pallet_Contents'!$D$2:$D$3000))</f>
        <v>0</v>
      </c>
      <c r="Y1008">
        <f>IF($A2="","",SUMIF('07_Pallet_Contents'!$A$2:$A$3000,$A2,'07_Pallet_Contents'!$I$2:$I$3000))</f>
        <v>0</v>
      </c>
      <c r="Z1008" t="str">
        <f>IF($A2="","",IF(COUNTIF('07_Pallet_Contents'!$A$2:$A$3000,$A2)&gt;0,"Yes",""))</f>
        <v/>
      </c>
    </row>
    <row r="1009" spans="2:26">
      <c r="B1009" s="31"/>
      <c r="G1009" s="34"/>
      <c r="H1009" s="33" t="str">
        <f t="shared" si="23"/>
        <v/>
      </c>
      <c r="I1009" s="31"/>
      <c r="J1009" s="31"/>
      <c r="K1009" s="33"/>
      <c r="W1009">
        <f>IF($A2="","",COUNTIF('07_Pallet_Contents'!$A$2:$A$3000,$A2))</f>
        <v>0</v>
      </c>
      <c r="X1009">
        <f>IF($A2="","",SUMIF('07_Pallet_Contents'!$A$2:$A$3000,$A2,'07_Pallet_Contents'!$D$2:$D$3000))</f>
        <v>0</v>
      </c>
      <c r="Y1009">
        <f>IF($A2="","",SUMIF('07_Pallet_Contents'!$A$2:$A$3000,$A2,'07_Pallet_Contents'!$I$2:$I$3000))</f>
        <v>0</v>
      </c>
      <c r="Z1009" t="str">
        <f>IF($A2="","",IF(COUNTIF('07_Pallet_Contents'!$A$2:$A$3000,$A2)&gt;0,"Yes",""))</f>
        <v/>
      </c>
    </row>
    <row r="1010" spans="2:26">
      <c r="B1010" s="31"/>
      <c r="G1010" s="34"/>
      <c r="H1010" s="33" t="str">
        <f t="shared" si="23"/>
        <v/>
      </c>
      <c r="I1010" s="31"/>
      <c r="J1010" s="31"/>
      <c r="K1010" s="33"/>
      <c r="W1010">
        <f>IF($A2="","",COUNTIF('07_Pallet_Contents'!$A$2:$A$3000,$A2))</f>
        <v>0</v>
      </c>
      <c r="X1010">
        <f>IF($A2="","",SUMIF('07_Pallet_Contents'!$A$2:$A$3000,$A2,'07_Pallet_Contents'!$D$2:$D$3000))</f>
        <v>0</v>
      </c>
      <c r="Y1010">
        <f>IF($A2="","",SUMIF('07_Pallet_Contents'!$A$2:$A$3000,$A2,'07_Pallet_Contents'!$I$2:$I$3000))</f>
        <v>0</v>
      </c>
      <c r="Z1010" t="str">
        <f>IF($A2="","",IF(COUNTIF('07_Pallet_Contents'!$A$2:$A$3000,$A2)&gt;0,"Yes",""))</f>
        <v/>
      </c>
    </row>
    <row r="1011" spans="2:26">
      <c r="B1011" s="31"/>
      <c r="G1011" s="34"/>
      <c r="H1011" s="33" t="str">
        <f t="shared" si="23"/>
        <v/>
      </c>
      <c r="I1011" s="31"/>
      <c r="J1011" s="31"/>
      <c r="K1011" s="33"/>
      <c r="W1011">
        <f>IF($A2="","",COUNTIF('07_Pallet_Contents'!$A$2:$A$3000,$A2))</f>
        <v>0</v>
      </c>
      <c r="X1011">
        <f>IF($A2="","",SUMIF('07_Pallet_Contents'!$A$2:$A$3000,$A2,'07_Pallet_Contents'!$D$2:$D$3000))</f>
        <v>0</v>
      </c>
      <c r="Y1011">
        <f>IF($A2="","",SUMIF('07_Pallet_Contents'!$A$2:$A$3000,$A2,'07_Pallet_Contents'!$I$2:$I$3000))</f>
        <v>0</v>
      </c>
      <c r="Z1011" t="str">
        <f>IF($A2="","",IF(COUNTIF('07_Pallet_Contents'!$A$2:$A$3000,$A2)&gt;0,"Yes",""))</f>
        <v/>
      </c>
    </row>
    <row r="1012" spans="2:26">
      <c r="B1012" s="31"/>
      <c r="G1012" s="34"/>
      <c r="H1012" s="33" t="str">
        <f t="shared" si="23"/>
        <v/>
      </c>
      <c r="I1012" s="31"/>
      <c r="J1012" s="31"/>
      <c r="K1012" s="33"/>
      <c r="W1012">
        <f>IF($A2="","",COUNTIF('07_Pallet_Contents'!$A$2:$A$3000,$A2))</f>
        <v>0</v>
      </c>
      <c r="X1012">
        <f>IF($A2="","",SUMIF('07_Pallet_Contents'!$A$2:$A$3000,$A2,'07_Pallet_Contents'!$D$2:$D$3000))</f>
        <v>0</v>
      </c>
      <c r="Y1012">
        <f>IF($A2="","",SUMIF('07_Pallet_Contents'!$A$2:$A$3000,$A2,'07_Pallet_Contents'!$I$2:$I$3000))</f>
        <v>0</v>
      </c>
      <c r="Z1012" t="str">
        <f>IF($A2="","",IF(COUNTIF('07_Pallet_Contents'!$A$2:$A$3000,$A2)&gt;0,"Yes",""))</f>
        <v/>
      </c>
    </row>
    <row r="1013" spans="2:26">
      <c r="B1013" s="31"/>
      <c r="G1013" s="34"/>
      <c r="H1013" s="33" t="str">
        <f t="shared" si="23"/>
        <v/>
      </c>
      <c r="I1013" s="31"/>
      <c r="J1013" s="31"/>
      <c r="K1013" s="33"/>
      <c r="W1013">
        <f>IF($A2="","",COUNTIF('07_Pallet_Contents'!$A$2:$A$3000,$A2))</f>
        <v>0</v>
      </c>
      <c r="X1013">
        <f>IF($A2="","",SUMIF('07_Pallet_Contents'!$A$2:$A$3000,$A2,'07_Pallet_Contents'!$D$2:$D$3000))</f>
        <v>0</v>
      </c>
      <c r="Y1013">
        <f>IF($A2="","",SUMIF('07_Pallet_Contents'!$A$2:$A$3000,$A2,'07_Pallet_Contents'!$I$2:$I$3000))</f>
        <v>0</v>
      </c>
      <c r="Z1013" t="str">
        <f>IF($A2="","",IF(COUNTIF('07_Pallet_Contents'!$A$2:$A$3000,$A2)&gt;0,"Yes",""))</f>
        <v/>
      </c>
    </row>
    <row r="1014" spans="2:26">
      <c r="B1014" s="31"/>
      <c r="G1014" s="34"/>
      <c r="H1014" s="33" t="str">
        <f t="shared" si="23"/>
        <v/>
      </c>
      <c r="I1014" s="31"/>
      <c r="J1014" s="31"/>
      <c r="K1014" s="33"/>
      <c r="W1014">
        <f>IF($A2="","",COUNTIF('07_Pallet_Contents'!$A$2:$A$3000,$A2))</f>
        <v>0</v>
      </c>
      <c r="X1014">
        <f>IF($A2="","",SUMIF('07_Pallet_Contents'!$A$2:$A$3000,$A2,'07_Pallet_Contents'!$D$2:$D$3000))</f>
        <v>0</v>
      </c>
      <c r="Y1014">
        <f>IF($A2="","",SUMIF('07_Pallet_Contents'!$A$2:$A$3000,$A2,'07_Pallet_Contents'!$I$2:$I$3000))</f>
        <v>0</v>
      </c>
      <c r="Z1014" t="str">
        <f>IF($A2="","",IF(COUNTIF('07_Pallet_Contents'!$A$2:$A$3000,$A2)&gt;0,"Yes",""))</f>
        <v/>
      </c>
    </row>
    <row r="1015" spans="2:26">
      <c r="B1015" s="31"/>
      <c r="G1015" s="34"/>
      <c r="H1015" s="33" t="str">
        <f t="shared" si="23"/>
        <v/>
      </c>
      <c r="I1015" s="31"/>
      <c r="J1015" s="31"/>
      <c r="K1015" s="33"/>
      <c r="W1015">
        <f>IF($A2="","",COUNTIF('07_Pallet_Contents'!$A$2:$A$3000,$A2))</f>
        <v>0</v>
      </c>
      <c r="X1015">
        <f>IF($A2="","",SUMIF('07_Pallet_Contents'!$A$2:$A$3000,$A2,'07_Pallet_Contents'!$D$2:$D$3000))</f>
        <v>0</v>
      </c>
      <c r="Y1015">
        <f>IF($A2="","",SUMIF('07_Pallet_Contents'!$A$2:$A$3000,$A2,'07_Pallet_Contents'!$I$2:$I$3000))</f>
        <v>0</v>
      </c>
      <c r="Z1015" t="str">
        <f>IF($A2="","",IF(COUNTIF('07_Pallet_Contents'!$A$2:$A$3000,$A2)&gt;0,"Yes",""))</f>
        <v/>
      </c>
    </row>
    <row r="1016" spans="2:26">
      <c r="B1016" s="31"/>
      <c r="G1016" s="34"/>
      <c r="H1016" s="33" t="str">
        <f t="shared" si="23"/>
        <v/>
      </c>
      <c r="I1016" s="31"/>
      <c r="J1016" s="31"/>
      <c r="K1016" s="33"/>
      <c r="W1016">
        <f>IF($A2="","",COUNTIF('07_Pallet_Contents'!$A$2:$A$3000,$A2))</f>
        <v>0</v>
      </c>
      <c r="X1016">
        <f>IF($A2="","",SUMIF('07_Pallet_Contents'!$A$2:$A$3000,$A2,'07_Pallet_Contents'!$D$2:$D$3000))</f>
        <v>0</v>
      </c>
      <c r="Y1016">
        <f>IF($A2="","",SUMIF('07_Pallet_Contents'!$A$2:$A$3000,$A2,'07_Pallet_Contents'!$I$2:$I$3000))</f>
        <v>0</v>
      </c>
      <c r="Z1016" t="str">
        <f>IF($A2="","",IF(COUNTIF('07_Pallet_Contents'!$A$2:$A$3000,$A2)&gt;0,"Yes",""))</f>
        <v/>
      </c>
    </row>
    <row r="1017" spans="2:26">
      <c r="B1017" s="31"/>
      <c r="G1017" s="34"/>
      <c r="H1017" s="33" t="str">
        <f t="shared" si="23"/>
        <v/>
      </c>
      <c r="I1017" s="31"/>
      <c r="J1017" s="31"/>
      <c r="K1017" s="33"/>
      <c r="W1017">
        <f>IF($A2="","",COUNTIF('07_Pallet_Contents'!$A$2:$A$3000,$A2))</f>
        <v>0</v>
      </c>
      <c r="X1017">
        <f>IF($A2="","",SUMIF('07_Pallet_Contents'!$A$2:$A$3000,$A2,'07_Pallet_Contents'!$D$2:$D$3000))</f>
        <v>0</v>
      </c>
      <c r="Y1017">
        <f>IF($A2="","",SUMIF('07_Pallet_Contents'!$A$2:$A$3000,$A2,'07_Pallet_Contents'!$I$2:$I$3000))</f>
        <v>0</v>
      </c>
      <c r="Z1017" t="str">
        <f>IF($A2="","",IF(COUNTIF('07_Pallet_Contents'!$A$2:$A$3000,$A2)&gt;0,"Yes",""))</f>
        <v/>
      </c>
    </row>
    <row r="1018" spans="2:26">
      <c r="B1018" s="31"/>
      <c r="G1018" s="34"/>
      <c r="H1018" s="33" t="str">
        <f t="shared" si="23"/>
        <v/>
      </c>
      <c r="I1018" s="31"/>
      <c r="J1018" s="31"/>
      <c r="K1018" s="33"/>
      <c r="W1018">
        <f>IF($A2="","",COUNTIF('07_Pallet_Contents'!$A$2:$A$3000,$A2))</f>
        <v>0</v>
      </c>
      <c r="X1018">
        <f>IF($A2="","",SUMIF('07_Pallet_Contents'!$A$2:$A$3000,$A2,'07_Pallet_Contents'!$D$2:$D$3000))</f>
        <v>0</v>
      </c>
      <c r="Y1018">
        <f>IF($A2="","",SUMIF('07_Pallet_Contents'!$A$2:$A$3000,$A2,'07_Pallet_Contents'!$I$2:$I$3000))</f>
        <v>0</v>
      </c>
      <c r="Z1018" t="str">
        <f>IF($A2="","",IF(COUNTIF('07_Pallet_Contents'!$A$2:$A$3000,$A2)&gt;0,"Yes",""))</f>
        <v/>
      </c>
    </row>
    <row r="1019" spans="2:26">
      <c r="B1019" s="31"/>
      <c r="G1019" s="34"/>
      <c r="H1019" s="33" t="str">
        <f t="shared" si="23"/>
        <v/>
      </c>
      <c r="I1019" s="31"/>
      <c r="J1019" s="31"/>
      <c r="K1019" s="33"/>
      <c r="W1019">
        <f>IF($A2="","",COUNTIF('07_Pallet_Contents'!$A$2:$A$3000,$A2))</f>
        <v>0</v>
      </c>
      <c r="X1019">
        <f>IF($A2="","",SUMIF('07_Pallet_Contents'!$A$2:$A$3000,$A2,'07_Pallet_Contents'!$D$2:$D$3000))</f>
        <v>0</v>
      </c>
      <c r="Y1019">
        <f>IF($A2="","",SUMIF('07_Pallet_Contents'!$A$2:$A$3000,$A2,'07_Pallet_Contents'!$I$2:$I$3000))</f>
        <v>0</v>
      </c>
      <c r="Z1019" t="str">
        <f>IF($A2="","",IF(COUNTIF('07_Pallet_Contents'!$A$2:$A$3000,$A2)&gt;0,"Yes",""))</f>
        <v/>
      </c>
    </row>
    <row r="1020" spans="2:26">
      <c r="B1020" s="31"/>
      <c r="G1020" s="34"/>
      <c r="H1020" s="33" t="str">
        <f t="shared" si="23"/>
        <v/>
      </c>
      <c r="I1020" s="31"/>
      <c r="J1020" s="31"/>
      <c r="K1020" s="33"/>
      <c r="W1020">
        <f>IF($A2="","",COUNTIF('07_Pallet_Contents'!$A$2:$A$3000,$A2))</f>
        <v>0</v>
      </c>
      <c r="X1020">
        <f>IF($A2="","",SUMIF('07_Pallet_Contents'!$A$2:$A$3000,$A2,'07_Pallet_Contents'!$D$2:$D$3000))</f>
        <v>0</v>
      </c>
      <c r="Y1020">
        <f>IF($A2="","",SUMIF('07_Pallet_Contents'!$A$2:$A$3000,$A2,'07_Pallet_Contents'!$I$2:$I$3000))</f>
        <v>0</v>
      </c>
      <c r="Z1020" t="str">
        <f>IF($A2="","",IF(COUNTIF('07_Pallet_Contents'!$A$2:$A$3000,$A2)&gt;0,"Yes",""))</f>
        <v/>
      </c>
    </row>
    <row r="1021" spans="2:26">
      <c r="B1021" s="31"/>
      <c r="G1021" s="34"/>
      <c r="H1021" s="33" t="str">
        <f t="shared" si="23"/>
        <v/>
      </c>
      <c r="I1021" s="31"/>
      <c r="J1021" s="31"/>
      <c r="K1021" s="33"/>
      <c r="W1021">
        <f>IF($A2="","",COUNTIF('07_Pallet_Contents'!$A$2:$A$3000,$A2))</f>
        <v>0</v>
      </c>
      <c r="X1021">
        <f>IF($A2="","",SUMIF('07_Pallet_Contents'!$A$2:$A$3000,$A2,'07_Pallet_Contents'!$D$2:$D$3000))</f>
        <v>0</v>
      </c>
      <c r="Y1021">
        <f>IF($A2="","",SUMIF('07_Pallet_Contents'!$A$2:$A$3000,$A2,'07_Pallet_Contents'!$I$2:$I$3000))</f>
        <v>0</v>
      </c>
      <c r="Z1021" t="str">
        <f>IF($A2="","",IF(COUNTIF('07_Pallet_Contents'!$A$2:$A$3000,$A2)&gt;0,"Yes",""))</f>
        <v/>
      </c>
    </row>
    <row r="1022" spans="2:26">
      <c r="B1022" s="31"/>
      <c r="G1022" s="34"/>
      <c r="H1022" s="33" t="str">
        <f t="shared" si="23"/>
        <v/>
      </c>
      <c r="I1022" s="31"/>
      <c r="J1022" s="31"/>
      <c r="K1022" s="33"/>
      <c r="W1022">
        <f>IF($A2="","",COUNTIF('07_Pallet_Contents'!$A$2:$A$3000,$A2))</f>
        <v>0</v>
      </c>
      <c r="X1022">
        <f>IF($A2="","",SUMIF('07_Pallet_Contents'!$A$2:$A$3000,$A2,'07_Pallet_Contents'!$D$2:$D$3000))</f>
        <v>0</v>
      </c>
      <c r="Y1022">
        <f>IF($A2="","",SUMIF('07_Pallet_Contents'!$A$2:$A$3000,$A2,'07_Pallet_Contents'!$I$2:$I$3000))</f>
        <v>0</v>
      </c>
      <c r="Z1022" t="str">
        <f>IF($A2="","",IF(COUNTIF('07_Pallet_Contents'!$A$2:$A$3000,$A2)&gt;0,"Yes",""))</f>
        <v/>
      </c>
    </row>
    <row r="1023" spans="2:26">
      <c r="B1023" s="31"/>
      <c r="G1023" s="34"/>
      <c r="H1023" s="33" t="str">
        <f t="shared" si="23"/>
        <v/>
      </c>
      <c r="I1023" s="31"/>
      <c r="J1023" s="31"/>
      <c r="K1023" s="33"/>
      <c r="W1023">
        <f>IF($A2="","",COUNTIF('07_Pallet_Contents'!$A$2:$A$3000,$A2))</f>
        <v>0</v>
      </c>
      <c r="X1023">
        <f>IF($A2="","",SUMIF('07_Pallet_Contents'!$A$2:$A$3000,$A2,'07_Pallet_Contents'!$D$2:$D$3000))</f>
        <v>0</v>
      </c>
      <c r="Y1023">
        <f>IF($A2="","",SUMIF('07_Pallet_Contents'!$A$2:$A$3000,$A2,'07_Pallet_Contents'!$I$2:$I$3000))</f>
        <v>0</v>
      </c>
      <c r="Z1023" t="str">
        <f>IF($A2="","",IF(COUNTIF('07_Pallet_Contents'!$A$2:$A$3000,$A2)&gt;0,"Yes",""))</f>
        <v/>
      </c>
    </row>
    <row r="1024" spans="2:26">
      <c r="B1024" s="31"/>
      <c r="G1024" s="34"/>
      <c r="H1024" s="33" t="str">
        <f t="shared" si="23"/>
        <v/>
      </c>
      <c r="I1024" s="31"/>
      <c r="J1024" s="31"/>
      <c r="K1024" s="33"/>
      <c r="W1024">
        <f>IF($A2="","",COUNTIF('07_Pallet_Contents'!$A$2:$A$3000,$A2))</f>
        <v>0</v>
      </c>
      <c r="X1024">
        <f>IF($A2="","",SUMIF('07_Pallet_Contents'!$A$2:$A$3000,$A2,'07_Pallet_Contents'!$D$2:$D$3000))</f>
        <v>0</v>
      </c>
      <c r="Y1024">
        <f>IF($A2="","",SUMIF('07_Pallet_Contents'!$A$2:$A$3000,$A2,'07_Pallet_Contents'!$I$2:$I$3000))</f>
        <v>0</v>
      </c>
      <c r="Z1024" t="str">
        <f>IF($A2="","",IF(COUNTIF('07_Pallet_Contents'!$A$2:$A$3000,$A2)&gt;0,"Yes",""))</f>
        <v/>
      </c>
    </row>
    <row r="1025" spans="2:26">
      <c r="B1025" s="31"/>
      <c r="G1025" s="34"/>
      <c r="H1025" s="33" t="str">
        <f t="shared" si="23"/>
        <v/>
      </c>
      <c r="I1025" s="31"/>
      <c r="J1025" s="31"/>
      <c r="K1025" s="33"/>
      <c r="W1025">
        <f>IF($A2="","",COUNTIF('07_Pallet_Contents'!$A$2:$A$3000,$A2))</f>
        <v>0</v>
      </c>
      <c r="X1025">
        <f>IF($A2="","",SUMIF('07_Pallet_Contents'!$A$2:$A$3000,$A2,'07_Pallet_Contents'!$D$2:$D$3000))</f>
        <v>0</v>
      </c>
      <c r="Y1025">
        <f>IF($A2="","",SUMIF('07_Pallet_Contents'!$A$2:$A$3000,$A2,'07_Pallet_Contents'!$I$2:$I$3000))</f>
        <v>0</v>
      </c>
      <c r="Z1025" t="str">
        <f>IF($A2="","",IF(COUNTIF('07_Pallet_Contents'!$A$2:$A$3000,$A2)&gt;0,"Yes",""))</f>
        <v/>
      </c>
    </row>
    <row r="1026" spans="2:26">
      <c r="B1026" s="31"/>
      <c r="G1026" s="34"/>
      <c r="H1026" s="33" t="str">
        <f t="shared" ref="H1026:H1089" si="24">IF(AND($F1026="TEMP",$G1026&gt;0,$M1026&lt;&gt;""),$M1026+$G1026,"")</f>
        <v/>
      </c>
      <c r="I1026" s="31"/>
      <c r="J1026" s="31"/>
      <c r="K1026" s="33"/>
      <c r="W1026">
        <f>IF($A2="","",COUNTIF('07_Pallet_Contents'!$A$2:$A$3000,$A2))</f>
        <v>0</v>
      </c>
      <c r="X1026">
        <f>IF($A2="","",SUMIF('07_Pallet_Contents'!$A$2:$A$3000,$A2,'07_Pallet_Contents'!$D$2:$D$3000))</f>
        <v>0</v>
      </c>
      <c r="Y1026">
        <f>IF($A2="","",SUMIF('07_Pallet_Contents'!$A$2:$A$3000,$A2,'07_Pallet_Contents'!$I$2:$I$3000))</f>
        <v>0</v>
      </c>
      <c r="Z1026" t="str">
        <f>IF($A2="","",IF(COUNTIF('07_Pallet_Contents'!$A$2:$A$3000,$A2)&gt;0,"Yes",""))</f>
        <v/>
      </c>
    </row>
    <row r="1027" spans="2:26">
      <c r="B1027" s="31"/>
      <c r="G1027" s="34"/>
      <c r="H1027" s="33" t="str">
        <f t="shared" si="24"/>
        <v/>
      </c>
      <c r="I1027" s="31"/>
      <c r="J1027" s="31"/>
      <c r="K1027" s="33"/>
      <c r="W1027">
        <f>IF($A2="","",COUNTIF('07_Pallet_Contents'!$A$2:$A$3000,$A2))</f>
        <v>0</v>
      </c>
      <c r="X1027">
        <f>IF($A2="","",SUMIF('07_Pallet_Contents'!$A$2:$A$3000,$A2,'07_Pallet_Contents'!$D$2:$D$3000))</f>
        <v>0</v>
      </c>
      <c r="Y1027">
        <f>IF($A2="","",SUMIF('07_Pallet_Contents'!$A$2:$A$3000,$A2,'07_Pallet_Contents'!$I$2:$I$3000))</f>
        <v>0</v>
      </c>
      <c r="Z1027" t="str">
        <f>IF($A2="","",IF(COUNTIF('07_Pallet_Contents'!$A$2:$A$3000,$A2)&gt;0,"Yes",""))</f>
        <v/>
      </c>
    </row>
    <row r="1028" spans="2:26">
      <c r="B1028" s="31"/>
      <c r="G1028" s="34"/>
      <c r="H1028" s="33" t="str">
        <f t="shared" si="24"/>
        <v/>
      </c>
      <c r="I1028" s="31"/>
      <c r="J1028" s="31"/>
      <c r="K1028" s="33"/>
      <c r="W1028">
        <f>IF($A2="","",COUNTIF('07_Pallet_Contents'!$A$2:$A$3000,$A2))</f>
        <v>0</v>
      </c>
      <c r="X1028">
        <f>IF($A2="","",SUMIF('07_Pallet_Contents'!$A$2:$A$3000,$A2,'07_Pallet_Contents'!$D$2:$D$3000))</f>
        <v>0</v>
      </c>
      <c r="Y1028">
        <f>IF($A2="","",SUMIF('07_Pallet_Contents'!$A$2:$A$3000,$A2,'07_Pallet_Contents'!$I$2:$I$3000))</f>
        <v>0</v>
      </c>
      <c r="Z1028" t="str">
        <f>IF($A2="","",IF(COUNTIF('07_Pallet_Contents'!$A$2:$A$3000,$A2)&gt;0,"Yes",""))</f>
        <v/>
      </c>
    </row>
    <row r="1029" spans="2:26">
      <c r="B1029" s="31"/>
      <c r="G1029" s="34"/>
      <c r="H1029" s="33" t="str">
        <f t="shared" si="24"/>
        <v/>
      </c>
      <c r="I1029" s="31"/>
      <c r="J1029" s="31"/>
      <c r="K1029" s="33"/>
      <c r="W1029">
        <f>IF($A2="","",COUNTIF('07_Pallet_Contents'!$A$2:$A$3000,$A2))</f>
        <v>0</v>
      </c>
      <c r="X1029">
        <f>IF($A2="","",SUMIF('07_Pallet_Contents'!$A$2:$A$3000,$A2,'07_Pallet_Contents'!$D$2:$D$3000))</f>
        <v>0</v>
      </c>
      <c r="Y1029">
        <f>IF($A2="","",SUMIF('07_Pallet_Contents'!$A$2:$A$3000,$A2,'07_Pallet_Contents'!$I$2:$I$3000))</f>
        <v>0</v>
      </c>
      <c r="Z1029" t="str">
        <f>IF($A2="","",IF(COUNTIF('07_Pallet_Contents'!$A$2:$A$3000,$A2)&gt;0,"Yes",""))</f>
        <v/>
      </c>
    </row>
    <row r="1030" spans="2:26">
      <c r="B1030" s="31"/>
      <c r="G1030" s="34"/>
      <c r="H1030" s="33" t="str">
        <f t="shared" si="24"/>
        <v/>
      </c>
      <c r="I1030" s="31"/>
      <c r="J1030" s="31"/>
      <c r="K1030" s="33"/>
      <c r="W1030">
        <f>IF($A2="","",COUNTIF('07_Pallet_Contents'!$A$2:$A$3000,$A2))</f>
        <v>0</v>
      </c>
      <c r="X1030">
        <f>IF($A2="","",SUMIF('07_Pallet_Contents'!$A$2:$A$3000,$A2,'07_Pallet_Contents'!$D$2:$D$3000))</f>
        <v>0</v>
      </c>
      <c r="Y1030">
        <f>IF($A2="","",SUMIF('07_Pallet_Contents'!$A$2:$A$3000,$A2,'07_Pallet_Contents'!$I$2:$I$3000))</f>
        <v>0</v>
      </c>
      <c r="Z1030" t="str">
        <f>IF($A2="","",IF(COUNTIF('07_Pallet_Contents'!$A$2:$A$3000,$A2)&gt;0,"Yes",""))</f>
        <v/>
      </c>
    </row>
    <row r="1031" spans="2:26">
      <c r="B1031" s="31"/>
      <c r="G1031" s="34"/>
      <c r="H1031" s="33" t="str">
        <f t="shared" si="24"/>
        <v/>
      </c>
      <c r="I1031" s="31"/>
      <c r="J1031" s="31"/>
      <c r="K1031" s="33"/>
      <c r="W1031">
        <f>IF($A2="","",COUNTIF('07_Pallet_Contents'!$A$2:$A$3000,$A2))</f>
        <v>0</v>
      </c>
      <c r="X1031">
        <f>IF($A2="","",SUMIF('07_Pallet_Contents'!$A$2:$A$3000,$A2,'07_Pallet_Contents'!$D$2:$D$3000))</f>
        <v>0</v>
      </c>
      <c r="Y1031">
        <f>IF($A2="","",SUMIF('07_Pallet_Contents'!$A$2:$A$3000,$A2,'07_Pallet_Contents'!$I$2:$I$3000))</f>
        <v>0</v>
      </c>
      <c r="Z1031" t="str">
        <f>IF($A2="","",IF(COUNTIF('07_Pallet_Contents'!$A$2:$A$3000,$A2)&gt;0,"Yes",""))</f>
        <v/>
      </c>
    </row>
    <row r="1032" spans="2:26">
      <c r="B1032" s="31"/>
      <c r="G1032" s="34"/>
      <c r="H1032" s="33" t="str">
        <f t="shared" si="24"/>
        <v/>
      </c>
      <c r="I1032" s="31"/>
      <c r="J1032" s="31"/>
      <c r="K1032" s="33"/>
      <c r="W1032">
        <f>IF($A2="","",COUNTIF('07_Pallet_Contents'!$A$2:$A$3000,$A2))</f>
        <v>0</v>
      </c>
      <c r="X1032">
        <f>IF($A2="","",SUMIF('07_Pallet_Contents'!$A$2:$A$3000,$A2,'07_Pallet_Contents'!$D$2:$D$3000))</f>
        <v>0</v>
      </c>
      <c r="Y1032">
        <f>IF($A2="","",SUMIF('07_Pallet_Contents'!$A$2:$A$3000,$A2,'07_Pallet_Contents'!$I$2:$I$3000))</f>
        <v>0</v>
      </c>
      <c r="Z1032" t="str">
        <f>IF($A2="","",IF(COUNTIF('07_Pallet_Contents'!$A$2:$A$3000,$A2)&gt;0,"Yes",""))</f>
        <v/>
      </c>
    </row>
    <row r="1033" spans="2:26">
      <c r="B1033" s="31"/>
      <c r="G1033" s="34"/>
      <c r="H1033" s="33" t="str">
        <f t="shared" si="24"/>
        <v/>
      </c>
      <c r="I1033" s="31"/>
      <c r="J1033" s="31"/>
      <c r="K1033" s="33"/>
      <c r="W1033">
        <f>IF($A2="","",COUNTIF('07_Pallet_Contents'!$A$2:$A$3000,$A2))</f>
        <v>0</v>
      </c>
      <c r="X1033">
        <f>IF($A2="","",SUMIF('07_Pallet_Contents'!$A$2:$A$3000,$A2,'07_Pallet_Contents'!$D$2:$D$3000))</f>
        <v>0</v>
      </c>
      <c r="Y1033">
        <f>IF($A2="","",SUMIF('07_Pallet_Contents'!$A$2:$A$3000,$A2,'07_Pallet_Contents'!$I$2:$I$3000))</f>
        <v>0</v>
      </c>
      <c r="Z1033" t="str">
        <f>IF($A2="","",IF(COUNTIF('07_Pallet_Contents'!$A$2:$A$3000,$A2)&gt;0,"Yes",""))</f>
        <v/>
      </c>
    </row>
    <row r="1034" spans="2:26">
      <c r="B1034" s="31"/>
      <c r="G1034" s="34"/>
      <c r="H1034" s="33" t="str">
        <f t="shared" si="24"/>
        <v/>
      </c>
      <c r="I1034" s="31"/>
      <c r="J1034" s="31"/>
      <c r="K1034" s="33"/>
      <c r="W1034">
        <f>IF($A2="","",COUNTIF('07_Pallet_Contents'!$A$2:$A$3000,$A2))</f>
        <v>0</v>
      </c>
      <c r="X1034">
        <f>IF($A2="","",SUMIF('07_Pallet_Contents'!$A$2:$A$3000,$A2,'07_Pallet_Contents'!$D$2:$D$3000))</f>
        <v>0</v>
      </c>
      <c r="Y1034">
        <f>IF($A2="","",SUMIF('07_Pallet_Contents'!$A$2:$A$3000,$A2,'07_Pallet_Contents'!$I$2:$I$3000))</f>
        <v>0</v>
      </c>
      <c r="Z1034" t="str">
        <f>IF($A2="","",IF(COUNTIF('07_Pallet_Contents'!$A$2:$A$3000,$A2)&gt;0,"Yes",""))</f>
        <v/>
      </c>
    </row>
    <row r="1035" spans="2:26">
      <c r="B1035" s="31"/>
      <c r="G1035" s="34"/>
      <c r="H1035" s="33" t="str">
        <f t="shared" si="24"/>
        <v/>
      </c>
      <c r="I1035" s="31"/>
      <c r="J1035" s="31"/>
      <c r="K1035" s="33"/>
      <c r="W1035">
        <f>IF($A2="","",COUNTIF('07_Pallet_Contents'!$A$2:$A$3000,$A2))</f>
        <v>0</v>
      </c>
      <c r="X1035">
        <f>IF($A2="","",SUMIF('07_Pallet_Contents'!$A$2:$A$3000,$A2,'07_Pallet_Contents'!$D$2:$D$3000))</f>
        <v>0</v>
      </c>
      <c r="Y1035">
        <f>IF($A2="","",SUMIF('07_Pallet_Contents'!$A$2:$A$3000,$A2,'07_Pallet_Contents'!$I$2:$I$3000))</f>
        <v>0</v>
      </c>
      <c r="Z1035" t="str">
        <f>IF($A2="","",IF(COUNTIF('07_Pallet_Contents'!$A$2:$A$3000,$A2)&gt;0,"Yes",""))</f>
        <v/>
      </c>
    </row>
    <row r="1036" spans="2:26">
      <c r="B1036" s="31"/>
      <c r="G1036" s="34"/>
      <c r="H1036" s="33" t="str">
        <f t="shared" si="24"/>
        <v/>
      </c>
      <c r="I1036" s="31"/>
      <c r="J1036" s="31"/>
      <c r="K1036" s="33"/>
      <c r="W1036">
        <f>IF($A2="","",COUNTIF('07_Pallet_Contents'!$A$2:$A$3000,$A2))</f>
        <v>0</v>
      </c>
      <c r="X1036">
        <f>IF($A2="","",SUMIF('07_Pallet_Contents'!$A$2:$A$3000,$A2,'07_Pallet_Contents'!$D$2:$D$3000))</f>
        <v>0</v>
      </c>
      <c r="Y1036">
        <f>IF($A2="","",SUMIF('07_Pallet_Contents'!$A$2:$A$3000,$A2,'07_Pallet_Contents'!$I$2:$I$3000))</f>
        <v>0</v>
      </c>
      <c r="Z1036" t="str">
        <f>IF($A2="","",IF(COUNTIF('07_Pallet_Contents'!$A$2:$A$3000,$A2)&gt;0,"Yes",""))</f>
        <v/>
      </c>
    </row>
    <row r="1037" spans="2:26">
      <c r="B1037" s="31"/>
      <c r="G1037" s="34"/>
      <c r="H1037" s="33" t="str">
        <f t="shared" si="24"/>
        <v/>
      </c>
      <c r="I1037" s="31"/>
      <c r="J1037" s="31"/>
      <c r="K1037" s="33"/>
      <c r="W1037">
        <f>IF($A2="","",COUNTIF('07_Pallet_Contents'!$A$2:$A$3000,$A2))</f>
        <v>0</v>
      </c>
      <c r="X1037">
        <f>IF($A2="","",SUMIF('07_Pallet_Contents'!$A$2:$A$3000,$A2,'07_Pallet_Contents'!$D$2:$D$3000))</f>
        <v>0</v>
      </c>
      <c r="Y1037">
        <f>IF($A2="","",SUMIF('07_Pallet_Contents'!$A$2:$A$3000,$A2,'07_Pallet_Contents'!$I$2:$I$3000))</f>
        <v>0</v>
      </c>
      <c r="Z1037" t="str">
        <f>IF($A2="","",IF(COUNTIF('07_Pallet_Contents'!$A$2:$A$3000,$A2)&gt;0,"Yes",""))</f>
        <v/>
      </c>
    </row>
    <row r="1038" spans="2:26">
      <c r="B1038" s="31"/>
      <c r="G1038" s="34"/>
      <c r="H1038" s="33" t="str">
        <f t="shared" si="24"/>
        <v/>
      </c>
      <c r="I1038" s="31"/>
      <c r="J1038" s="31"/>
      <c r="K1038" s="33"/>
      <c r="W1038">
        <f>IF($A2="","",COUNTIF('07_Pallet_Contents'!$A$2:$A$3000,$A2))</f>
        <v>0</v>
      </c>
      <c r="X1038">
        <f>IF($A2="","",SUMIF('07_Pallet_Contents'!$A$2:$A$3000,$A2,'07_Pallet_Contents'!$D$2:$D$3000))</f>
        <v>0</v>
      </c>
      <c r="Y1038">
        <f>IF($A2="","",SUMIF('07_Pallet_Contents'!$A$2:$A$3000,$A2,'07_Pallet_Contents'!$I$2:$I$3000))</f>
        <v>0</v>
      </c>
      <c r="Z1038" t="str">
        <f>IF($A2="","",IF(COUNTIF('07_Pallet_Contents'!$A$2:$A$3000,$A2)&gt;0,"Yes",""))</f>
        <v/>
      </c>
    </row>
    <row r="1039" spans="2:26">
      <c r="B1039" s="31"/>
      <c r="G1039" s="34"/>
      <c r="H1039" s="33" t="str">
        <f t="shared" si="24"/>
        <v/>
      </c>
      <c r="I1039" s="31"/>
      <c r="J1039" s="31"/>
      <c r="K1039" s="33"/>
      <c r="W1039">
        <f>IF($A2="","",COUNTIF('07_Pallet_Contents'!$A$2:$A$3000,$A2))</f>
        <v>0</v>
      </c>
      <c r="X1039">
        <f>IF($A2="","",SUMIF('07_Pallet_Contents'!$A$2:$A$3000,$A2,'07_Pallet_Contents'!$D$2:$D$3000))</f>
        <v>0</v>
      </c>
      <c r="Y1039">
        <f>IF($A2="","",SUMIF('07_Pallet_Contents'!$A$2:$A$3000,$A2,'07_Pallet_Contents'!$I$2:$I$3000))</f>
        <v>0</v>
      </c>
      <c r="Z1039" t="str">
        <f>IF($A2="","",IF(COUNTIF('07_Pallet_Contents'!$A$2:$A$3000,$A2)&gt;0,"Yes",""))</f>
        <v/>
      </c>
    </row>
    <row r="1040" spans="2:26">
      <c r="B1040" s="31"/>
      <c r="G1040" s="34"/>
      <c r="H1040" s="33" t="str">
        <f t="shared" si="24"/>
        <v/>
      </c>
      <c r="I1040" s="31"/>
      <c r="J1040" s="31"/>
      <c r="K1040" s="33"/>
      <c r="W1040">
        <f>IF($A2="","",COUNTIF('07_Pallet_Contents'!$A$2:$A$3000,$A2))</f>
        <v>0</v>
      </c>
      <c r="X1040">
        <f>IF($A2="","",SUMIF('07_Pallet_Contents'!$A$2:$A$3000,$A2,'07_Pallet_Contents'!$D$2:$D$3000))</f>
        <v>0</v>
      </c>
      <c r="Y1040">
        <f>IF($A2="","",SUMIF('07_Pallet_Contents'!$A$2:$A$3000,$A2,'07_Pallet_Contents'!$I$2:$I$3000))</f>
        <v>0</v>
      </c>
      <c r="Z1040" t="str">
        <f>IF($A2="","",IF(COUNTIF('07_Pallet_Contents'!$A$2:$A$3000,$A2)&gt;0,"Yes",""))</f>
        <v/>
      </c>
    </row>
    <row r="1041" spans="2:26">
      <c r="B1041" s="31"/>
      <c r="G1041" s="34"/>
      <c r="H1041" s="33" t="str">
        <f t="shared" si="24"/>
        <v/>
      </c>
      <c r="I1041" s="31"/>
      <c r="J1041" s="31"/>
      <c r="K1041" s="33"/>
      <c r="W1041">
        <f>IF($A2="","",COUNTIF('07_Pallet_Contents'!$A$2:$A$3000,$A2))</f>
        <v>0</v>
      </c>
      <c r="X1041">
        <f>IF($A2="","",SUMIF('07_Pallet_Contents'!$A$2:$A$3000,$A2,'07_Pallet_Contents'!$D$2:$D$3000))</f>
        <v>0</v>
      </c>
      <c r="Y1041">
        <f>IF($A2="","",SUMIF('07_Pallet_Contents'!$A$2:$A$3000,$A2,'07_Pallet_Contents'!$I$2:$I$3000))</f>
        <v>0</v>
      </c>
      <c r="Z1041" t="str">
        <f>IF($A2="","",IF(COUNTIF('07_Pallet_Contents'!$A$2:$A$3000,$A2)&gt;0,"Yes",""))</f>
        <v/>
      </c>
    </row>
    <row r="1042" spans="2:26">
      <c r="B1042" s="31"/>
      <c r="G1042" s="34"/>
      <c r="H1042" s="33" t="str">
        <f t="shared" si="24"/>
        <v/>
      </c>
      <c r="I1042" s="31"/>
      <c r="J1042" s="31"/>
      <c r="K1042" s="33"/>
      <c r="W1042">
        <f>IF($A2="","",COUNTIF('07_Pallet_Contents'!$A$2:$A$3000,$A2))</f>
        <v>0</v>
      </c>
      <c r="X1042">
        <f>IF($A2="","",SUMIF('07_Pallet_Contents'!$A$2:$A$3000,$A2,'07_Pallet_Contents'!$D$2:$D$3000))</f>
        <v>0</v>
      </c>
      <c r="Y1042">
        <f>IF($A2="","",SUMIF('07_Pallet_Contents'!$A$2:$A$3000,$A2,'07_Pallet_Contents'!$I$2:$I$3000))</f>
        <v>0</v>
      </c>
      <c r="Z1042" t="str">
        <f>IF($A2="","",IF(COUNTIF('07_Pallet_Contents'!$A$2:$A$3000,$A2)&gt;0,"Yes",""))</f>
        <v/>
      </c>
    </row>
    <row r="1043" spans="2:26">
      <c r="B1043" s="31"/>
      <c r="G1043" s="34"/>
      <c r="H1043" s="33" t="str">
        <f t="shared" si="24"/>
        <v/>
      </c>
      <c r="I1043" s="31"/>
      <c r="J1043" s="31"/>
      <c r="K1043" s="33"/>
      <c r="W1043">
        <f>IF($A2="","",COUNTIF('07_Pallet_Contents'!$A$2:$A$3000,$A2))</f>
        <v>0</v>
      </c>
      <c r="X1043">
        <f>IF($A2="","",SUMIF('07_Pallet_Contents'!$A$2:$A$3000,$A2,'07_Pallet_Contents'!$D$2:$D$3000))</f>
        <v>0</v>
      </c>
      <c r="Y1043">
        <f>IF($A2="","",SUMIF('07_Pallet_Contents'!$A$2:$A$3000,$A2,'07_Pallet_Contents'!$I$2:$I$3000))</f>
        <v>0</v>
      </c>
      <c r="Z1043" t="str">
        <f>IF($A2="","",IF(COUNTIF('07_Pallet_Contents'!$A$2:$A$3000,$A2)&gt;0,"Yes",""))</f>
        <v/>
      </c>
    </row>
    <row r="1044" spans="2:26">
      <c r="B1044" s="31"/>
      <c r="G1044" s="34"/>
      <c r="H1044" s="33" t="str">
        <f t="shared" si="24"/>
        <v/>
      </c>
      <c r="I1044" s="31"/>
      <c r="J1044" s="31"/>
      <c r="K1044" s="33"/>
      <c r="W1044">
        <f>IF($A2="","",COUNTIF('07_Pallet_Contents'!$A$2:$A$3000,$A2))</f>
        <v>0</v>
      </c>
      <c r="X1044">
        <f>IF($A2="","",SUMIF('07_Pallet_Contents'!$A$2:$A$3000,$A2,'07_Pallet_Contents'!$D$2:$D$3000))</f>
        <v>0</v>
      </c>
      <c r="Y1044">
        <f>IF($A2="","",SUMIF('07_Pallet_Contents'!$A$2:$A$3000,$A2,'07_Pallet_Contents'!$I$2:$I$3000))</f>
        <v>0</v>
      </c>
      <c r="Z1044" t="str">
        <f>IF($A2="","",IF(COUNTIF('07_Pallet_Contents'!$A$2:$A$3000,$A2)&gt;0,"Yes",""))</f>
        <v/>
      </c>
    </row>
    <row r="1045" spans="2:26">
      <c r="B1045" s="31"/>
      <c r="G1045" s="34"/>
      <c r="H1045" s="33" t="str">
        <f t="shared" si="24"/>
        <v/>
      </c>
      <c r="I1045" s="31"/>
      <c r="J1045" s="31"/>
      <c r="K1045" s="33"/>
      <c r="W1045">
        <f>IF($A2="","",COUNTIF('07_Pallet_Contents'!$A$2:$A$3000,$A2))</f>
        <v>0</v>
      </c>
      <c r="X1045">
        <f>IF($A2="","",SUMIF('07_Pallet_Contents'!$A$2:$A$3000,$A2,'07_Pallet_Contents'!$D$2:$D$3000))</f>
        <v>0</v>
      </c>
      <c r="Y1045">
        <f>IF($A2="","",SUMIF('07_Pallet_Contents'!$A$2:$A$3000,$A2,'07_Pallet_Contents'!$I$2:$I$3000))</f>
        <v>0</v>
      </c>
      <c r="Z1045" t="str">
        <f>IF($A2="","",IF(COUNTIF('07_Pallet_Contents'!$A$2:$A$3000,$A2)&gt;0,"Yes",""))</f>
        <v/>
      </c>
    </row>
    <row r="1046" spans="2:26">
      <c r="B1046" s="31"/>
      <c r="G1046" s="34"/>
      <c r="H1046" s="33" t="str">
        <f t="shared" si="24"/>
        <v/>
      </c>
      <c r="I1046" s="31"/>
      <c r="J1046" s="31"/>
      <c r="K1046" s="33"/>
      <c r="W1046">
        <f>IF($A2="","",COUNTIF('07_Pallet_Contents'!$A$2:$A$3000,$A2))</f>
        <v>0</v>
      </c>
      <c r="X1046">
        <f>IF($A2="","",SUMIF('07_Pallet_Contents'!$A$2:$A$3000,$A2,'07_Pallet_Contents'!$D$2:$D$3000))</f>
        <v>0</v>
      </c>
      <c r="Y1046">
        <f>IF($A2="","",SUMIF('07_Pallet_Contents'!$A$2:$A$3000,$A2,'07_Pallet_Contents'!$I$2:$I$3000))</f>
        <v>0</v>
      </c>
      <c r="Z1046" t="str">
        <f>IF($A2="","",IF(COUNTIF('07_Pallet_Contents'!$A$2:$A$3000,$A2)&gt;0,"Yes",""))</f>
        <v/>
      </c>
    </row>
    <row r="1047" spans="2:26">
      <c r="B1047" s="31"/>
      <c r="G1047" s="34"/>
      <c r="H1047" s="33" t="str">
        <f t="shared" si="24"/>
        <v/>
      </c>
      <c r="I1047" s="31"/>
      <c r="J1047" s="31"/>
      <c r="K1047" s="33"/>
      <c r="W1047">
        <f>IF($A2="","",COUNTIF('07_Pallet_Contents'!$A$2:$A$3000,$A2))</f>
        <v>0</v>
      </c>
      <c r="X1047">
        <f>IF($A2="","",SUMIF('07_Pallet_Contents'!$A$2:$A$3000,$A2,'07_Pallet_Contents'!$D$2:$D$3000))</f>
        <v>0</v>
      </c>
      <c r="Y1047">
        <f>IF($A2="","",SUMIF('07_Pallet_Contents'!$A$2:$A$3000,$A2,'07_Pallet_Contents'!$I$2:$I$3000))</f>
        <v>0</v>
      </c>
      <c r="Z1047" t="str">
        <f>IF($A2="","",IF(COUNTIF('07_Pallet_Contents'!$A$2:$A$3000,$A2)&gt;0,"Yes",""))</f>
        <v/>
      </c>
    </row>
    <row r="1048" spans="2:26">
      <c r="B1048" s="31"/>
      <c r="G1048" s="34"/>
      <c r="H1048" s="33" t="str">
        <f t="shared" si="24"/>
        <v/>
      </c>
      <c r="I1048" s="31"/>
      <c r="J1048" s="31"/>
      <c r="K1048" s="33"/>
      <c r="W1048">
        <f>IF($A2="","",COUNTIF('07_Pallet_Contents'!$A$2:$A$3000,$A2))</f>
        <v>0</v>
      </c>
      <c r="X1048">
        <f>IF($A2="","",SUMIF('07_Pallet_Contents'!$A$2:$A$3000,$A2,'07_Pallet_Contents'!$D$2:$D$3000))</f>
        <v>0</v>
      </c>
      <c r="Y1048">
        <f>IF($A2="","",SUMIF('07_Pallet_Contents'!$A$2:$A$3000,$A2,'07_Pallet_Contents'!$I$2:$I$3000))</f>
        <v>0</v>
      </c>
      <c r="Z1048" t="str">
        <f>IF($A2="","",IF(COUNTIF('07_Pallet_Contents'!$A$2:$A$3000,$A2)&gt;0,"Yes",""))</f>
        <v/>
      </c>
    </row>
    <row r="1049" spans="2:26">
      <c r="B1049" s="31"/>
      <c r="G1049" s="34"/>
      <c r="H1049" s="33" t="str">
        <f t="shared" si="24"/>
        <v/>
      </c>
      <c r="I1049" s="31"/>
      <c r="J1049" s="31"/>
      <c r="K1049" s="33"/>
      <c r="W1049">
        <f>IF($A2="","",COUNTIF('07_Pallet_Contents'!$A$2:$A$3000,$A2))</f>
        <v>0</v>
      </c>
      <c r="X1049">
        <f>IF($A2="","",SUMIF('07_Pallet_Contents'!$A$2:$A$3000,$A2,'07_Pallet_Contents'!$D$2:$D$3000))</f>
        <v>0</v>
      </c>
      <c r="Y1049">
        <f>IF($A2="","",SUMIF('07_Pallet_Contents'!$A$2:$A$3000,$A2,'07_Pallet_Contents'!$I$2:$I$3000))</f>
        <v>0</v>
      </c>
      <c r="Z1049" t="str">
        <f>IF($A2="","",IF(COUNTIF('07_Pallet_Contents'!$A$2:$A$3000,$A2)&gt;0,"Yes",""))</f>
        <v/>
      </c>
    </row>
    <row r="1050" spans="2:26">
      <c r="B1050" s="31"/>
      <c r="G1050" s="34"/>
      <c r="H1050" s="33" t="str">
        <f t="shared" si="24"/>
        <v/>
      </c>
      <c r="I1050" s="31"/>
      <c r="J1050" s="31"/>
      <c r="K1050" s="33"/>
      <c r="W1050">
        <f>IF($A2="","",COUNTIF('07_Pallet_Contents'!$A$2:$A$3000,$A2))</f>
        <v>0</v>
      </c>
      <c r="X1050">
        <f>IF($A2="","",SUMIF('07_Pallet_Contents'!$A$2:$A$3000,$A2,'07_Pallet_Contents'!$D$2:$D$3000))</f>
        <v>0</v>
      </c>
      <c r="Y1050">
        <f>IF($A2="","",SUMIF('07_Pallet_Contents'!$A$2:$A$3000,$A2,'07_Pallet_Contents'!$I$2:$I$3000))</f>
        <v>0</v>
      </c>
      <c r="Z1050" t="str">
        <f>IF($A2="","",IF(COUNTIF('07_Pallet_Contents'!$A$2:$A$3000,$A2)&gt;0,"Yes",""))</f>
        <v/>
      </c>
    </row>
    <row r="1051" spans="2:26">
      <c r="B1051" s="31"/>
      <c r="G1051" s="34"/>
      <c r="H1051" s="33" t="str">
        <f t="shared" si="24"/>
        <v/>
      </c>
      <c r="I1051" s="31"/>
      <c r="J1051" s="31"/>
      <c r="K1051" s="33"/>
      <c r="W1051">
        <f>IF($A2="","",COUNTIF('07_Pallet_Contents'!$A$2:$A$3000,$A2))</f>
        <v>0</v>
      </c>
      <c r="X1051">
        <f>IF($A2="","",SUMIF('07_Pallet_Contents'!$A$2:$A$3000,$A2,'07_Pallet_Contents'!$D$2:$D$3000))</f>
        <v>0</v>
      </c>
      <c r="Y1051">
        <f>IF($A2="","",SUMIF('07_Pallet_Contents'!$A$2:$A$3000,$A2,'07_Pallet_Contents'!$I$2:$I$3000))</f>
        <v>0</v>
      </c>
      <c r="Z1051" t="str">
        <f>IF($A2="","",IF(COUNTIF('07_Pallet_Contents'!$A$2:$A$3000,$A2)&gt;0,"Yes",""))</f>
        <v/>
      </c>
    </row>
    <row r="1052" spans="2:26">
      <c r="B1052" s="31"/>
      <c r="G1052" s="34"/>
      <c r="H1052" s="33" t="str">
        <f t="shared" si="24"/>
        <v/>
      </c>
      <c r="I1052" s="31"/>
      <c r="J1052" s="31"/>
      <c r="K1052" s="33"/>
      <c r="W1052">
        <f>IF($A2="","",COUNTIF('07_Pallet_Contents'!$A$2:$A$3000,$A2))</f>
        <v>0</v>
      </c>
      <c r="X1052">
        <f>IF($A2="","",SUMIF('07_Pallet_Contents'!$A$2:$A$3000,$A2,'07_Pallet_Contents'!$D$2:$D$3000))</f>
        <v>0</v>
      </c>
      <c r="Y1052">
        <f>IF($A2="","",SUMIF('07_Pallet_Contents'!$A$2:$A$3000,$A2,'07_Pallet_Contents'!$I$2:$I$3000))</f>
        <v>0</v>
      </c>
      <c r="Z1052" t="str">
        <f>IF($A2="","",IF(COUNTIF('07_Pallet_Contents'!$A$2:$A$3000,$A2)&gt;0,"Yes",""))</f>
        <v/>
      </c>
    </row>
    <row r="1053" spans="2:26">
      <c r="B1053" s="31"/>
      <c r="G1053" s="34"/>
      <c r="H1053" s="33" t="str">
        <f t="shared" si="24"/>
        <v/>
      </c>
      <c r="I1053" s="31"/>
      <c r="J1053" s="31"/>
      <c r="K1053" s="33"/>
      <c r="W1053">
        <f>IF($A2="","",COUNTIF('07_Pallet_Contents'!$A$2:$A$3000,$A2))</f>
        <v>0</v>
      </c>
      <c r="X1053">
        <f>IF($A2="","",SUMIF('07_Pallet_Contents'!$A$2:$A$3000,$A2,'07_Pallet_Contents'!$D$2:$D$3000))</f>
        <v>0</v>
      </c>
      <c r="Y1053">
        <f>IF($A2="","",SUMIF('07_Pallet_Contents'!$A$2:$A$3000,$A2,'07_Pallet_Contents'!$I$2:$I$3000))</f>
        <v>0</v>
      </c>
      <c r="Z1053" t="str">
        <f>IF($A2="","",IF(COUNTIF('07_Pallet_Contents'!$A$2:$A$3000,$A2)&gt;0,"Yes",""))</f>
        <v/>
      </c>
    </row>
    <row r="1054" spans="2:26">
      <c r="B1054" s="31"/>
      <c r="G1054" s="34"/>
      <c r="H1054" s="33" t="str">
        <f t="shared" si="24"/>
        <v/>
      </c>
      <c r="I1054" s="31"/>
      <c r="J1054" s="31"/>
      <c r="K1054" s="33"/>
      <c r="W1054">
        <f>IF($A2="","",COUNTIF('07_Pallet_Contents'!$A$2:$A$3000,$A2))</f>
        <v>0</v>
      </c>
      <c r="X1054">
        <f>IF($A2="","",SUMIF('07_Pallet_Contents'!$A$2:$A$3000,$A2,'07_Pallet_Contents'!$D$2:$D$3000))</f>
        <v>0</v>
      </c>
      <c r="Y1054">
        <f>IF($A2="","",SUMIF('07_Pallet_Contents'!$A$2:$A$3000,$A2,'07_Pallet_Contents'!$I$2:$I$3000))</f>
        <v>0</v>
      </c>
      <c r="Z1054" t="str">
        <f>IF($A2="","",IF(COUNTIF('07_Pallet_Contents'!$A$2:$A$3000,$A2)&gt;0,"Yes",""))</f>
        <v/>
      </c>
    </row>
    <row r="1055" spans="2:26">
      <c r="B1055" s="31"/>
      <c r="G1055" s="34"/>
      <c r="H1055" s="33" t="str">
        <f t="shared" si="24"/>
        <v/>
      </c>
      <c r="I1055" s="31"/>
      <c r="J1055" s="31"/>
      <c r="K1055" s="33"/>
      <c r="W1055">
        <f>IF($A2="","",COUNTIF('07_Pallet_Contents'!$A$2:$A$3000,$A2))</f>
        <v>0</v>
      </c>
      <c r="X1055">
        <f>IF($A2="","",SUMIF('07_Pallet_Contents'!$A$2:$A$3000,$A2,'07_Pallet_Contents'!$D$2:$D$3000))</f>
        <v>0</v>
      </c>
      <c r="Y1055">
        <f>IF($A2="","",SUMIF('07_Pallet_Contents'!$A$2:$A$3000,$A2,'07_Pallet_Contents'!$I$2:$I$3000))</f>
        <v>0</v>
      </c>
      <c r="Z1055" t="str">
        <f>IF($A2="","",IF(COUNTIF('07_Pallet_Contents'!$A$2:$A$3000,$A2)&gt;0,"Yes",""))</f>
        <v/>
      </c>
    </row>
    <row r="1056" spans="2:26">
      <c r="B1056" s="31"/>
      <c r="G1056" s="34"/>
      <c r="H1056" s="33" t="str">
        <f t="shared" si="24"/>
        <v/>
      </c>
      <c r="I1056" s="31"/>
      <c r="J1056" s="31"/>
      <c r="K1056" s="33"/>
      <c r="W1056">
        <f>IF($A2="","",COUNTIF('07_Pallet_Contents'!$A$2:$A$3000,$A2))</f>
        <v>0</v>
      </c>
      <c r="X1056">
        <f>IF($A2="","",SUMIF('07_Pallet_Contents'!$A$2:$A$3000,$A2,'07_Pallet_Contents'!$D$2:$D$3000))</f>
        <v>0</v>
      </c>
      <c r="Y1056">
        <f>IF($A2="","",SUMIF('07_Pallet_Contents'!$A$2:$A$3000,$A2,'07_Pallet_Contents'!$I$2:$I$3000))</f>
        <v>0</v>
      </c>
      <c r="Z1056" t="str">
        <f>IF($A2="","",IF(COUNTIF('07_Pallet_Contents'!$A$2:$A$3000,$A2)&gt;0,"Yes",""))</f>
        <v/>
      </c>
    </row>
    <row r="1057" spans="2:26">
      <c r="B1057" s="31"/>
      <c r="G1057" s="34"/>
      <c r="H1057" s="33" t="str">
        <f t="shared" si="24"/>
        <v/>
      </c>
      <c r="I1057" s="31"/>
      <c r="J1057" s="31"/>
      <c r="K1057" s="33"/>
      <c r="W1057">
        <f>IF($A2="","",COUNTIF('07_Pallet_Contents'!$A$2:$A$3000,$A2))</f>
        <v>0</v>
      </c>
      <c r="X1057">
        <f>IF($A2="","",SUMIF('07_Pallet_Contents'!$A$2:$A$3000,$A2,'07_Pallet_Contents'!$D$2:$D$3000))</f>
        <v>0</v>
      </c>
      <c r="Y1057">
        <f>IF($A2="","",SUMIF('07_Pallet_Contents'!$A$2:$A$3000,$A2,'07_Pallet_Contents'!$I$2:$I$3000))</f>
        <v>0</v>
      </c>
      <c r="Z1057" t="str">
        <f>IF($A2="","",IF(COUNTIF('07_Pallet_Contents'!$A$2:$A$3000,$A2)&gt;0,"Yes",""))</f>
        <v/>
      </c>
    </row>
    <row r="1058" spans="2:26">
      <c r="B1058" s="31"/>
      <c r="G1058" s="34"/>
      <c r="H1058" s="33" t="str">
        <f t="shared" si="24"/>
        <v/>
      </c>
      <c r="I1058" s="31"/>
      <c r="J1058" s="31"/>
      <c r="K1058" s="33"/>
      <c r="W1058">
        <f>IF($A2="","",COUNTIF('07_Pallet_Contents'!$A$2:$A$3000,$A2))</f>
        <v>0</v>
      </c>
      <c r="X1058">
        <f>IF($A2="","",SUMIF('07_Pallet_Contents'!$A$2:$A$3000,$A2,'07_Pallet_Contents'!$D$2:$D$3000))</f>
        <v>0</v>
      </c>
      <c r="Y1058">
        <f>IF($A2="","",SUMIF('07_Pallet_Contents'!$A$2:$A$3000,$A2,'07_Pallet_Contents'!$I$2:$I$3000))</f>
        <v>0</v>
      </c>
      <c r="Z1058" t="str">
        <f>IF($A2="","",IF(COUNTIF('07_Pallet_Contents'!$A$2:$A$3000,$A2)&gt;0,"Yes",""))</f>
        <v/>
      </c>
    </row>
    <row r="1059" spans="2:26">
      <c r="B1059" s="31"/>
      <c r="G1059" s="34"/>
      <c r="H1059" s="33" t="str">
        <f t="shared" si="24"/>
        <v/>
      </c>
      <c r="I1059" s="31"/>
      <c r="J1059" s="31"/>
      <c r="K1059" s="33"/>
      <c r="W1059">
        <f>IF($A2="","",COUNTIF('07_Pallet_Contents'!$A$2:$A$3000,$A2))</f>
        <v>0</v>
      </c>
      <c r="X1059">
        <f>IF($A2="","",SUMIF('07_Pallet_Contents'!$A$2:$A$3000,$A2,'07_Pallet_Contents'!$D$2:$D$3000))</f>
        <v>0</v>
      </c>
      <c r="Y1059">
        <f>IF($A2="","",SUMIF('07_Pallet_Contents'!$A$2:$A$3000,$A2,'07_Pallet_Contents'!$I$2:$I$3000))</f>
        <v>0</v>
      </c>
      <c r="Z1059" t="str">
        <f>IF($A2="","",IF(COUNTIF('07_Pallet_Contents'!$A$2:$A$3000,$A2)&gt;0,"Yes",""))</f>
        <v/>
      </c>
    </row>
    <row r="1060" spans="2:26">
      <c r="B1060" s="31"/>
      <c r="G1060" s="34"/>
      <c r="H1060" s="33" t="str">
        <f t="shared" si="24"/>
        <v/>
      </c>
      <c r="I1060" s="31"/>
      <c r="J1060" s="31"/>
      <c r="K1060" s="33"/>
      <c r="W1060">
        <f>IF($A2="","",COUNTIF('07_Pallet_Contents'!$A$2:$A$3000,$A2))</f>
        <v>0</v>
      </c>
      <c r="X1060">
        <f>IF($A2="","",SUMIF('07_Pallet_Contents'!$A$2:$A$3000,$A2,'07_Pallet_Contents'!$D$2:$D$3000))</f>
        <v>0</v>
      </c>
      <c r="Y1060">
        <f>IF($A2="","",SUMIF('07_Pallet_Contents'!$A$2:$A$3000,$A2,'07_Pallet_Contents'!$I$2:$I$3000))</f>
        <v>0</v>
      </c>
      <c r="Z1060" t="str">
        <f>IF($A2="","",IF(COUNTIF('07_Pallet_Contents'!$A$2:$A$3000,$A2)&gt;0,"Yes",""))</f>
        <v/>
      </c>
    </row>
    <row r="1061" spans="2:26">
      <c r="B1061" s="31"/>
      <c r="G1061" s="34"/>
      <c r="H1061" s="33" t="str">
        <f t="shared" si="24"/>
        <v/>
      </c>
      <c r="I1061" s="31"/>
      <c r="J1061" s="31"/>
      <c r="K1061" s="33"/>
      <c r="W1061">
        <f>IF($A2="","",COUNTIF('07_Pallet_Contents'!$A$2:$A$3000,$A2))</f>
        <v>0</v>
      </c>
      <c r="X1061">
        <f>IF($A2="","",SUMIF('07_Pallet_Contents'!$A$2:$A$3000,$A2,'07_Pallet_Contents'!$D$2:$D$3000))</f>
        <v>0</v>
      </c>
      <c r="Y1061">
        <f>IF($A2="","",SUMIF('07_Pallet_Contents'!$A$2:$A$3000,$A2,'07_Pallet_Contents'!$I$2:$I$3000))</f>
        <v>0</v>
      </c>
      <c r="Z1061" t="str">
        <f>IF($A2="","",IF(COUNTIF('07_Pallet_Contents'!$A$2:$A$3000,$A2)&gt;0,"Yes",""))</f>
        <v/>
      </c>
    </row>
    <row r="1062" spans="2:26">
      <c r="B1062" s="31"/>
      <c r="G1062" s="34"/>
      <c r="H1062" s="33" t="str">
        <f t="shared" si="24"/>
        <v/>
      </c>
      <c r="I1062" s="31"/>
      <c r="J1062" s="31"/>
      <c r="K1062" s="33"/>
      <c r="W1062">
        <f>IF($A2="","",COUNTIF('07_Pallet_Contents'!$A$2:$A$3000,$A2))</f>
        <v>0</v>
      </c>
      <c r="X1062">
        <f>IF($A2="","",SUMIF('07_Pallet_Contents'!$A$2:$A$3000,$A2,'07_Pallet_Contents'!$D$2:$D$3000))</f>
        <v>0</v>
      </c>
      <c r="Y1062">
        <f>IF($A2="","",SUMIF('07_Pallet_Contents'!$A$2:$A$3000,$A2,'07_Pallet_Contents'!$I$2:$I$3000))</f>
        <v>0</v>
      </c>
      <c r="Z1062" t="str">
        <f>IF($A2="","",IF(COUNTIF('07_Pallet_Contents'!$A$2:$A$3000,$A2)&gt;0,"Yes",""))</f>
        <v/>
      </c>
    </row>
    <row r="1063" spans="2:26">
      <c r="B1063" s="31"/>
      <c r="G1063" s="34"/>
      <c r="H1063" s="33" t="str">
        <f t="shared" si="24"/>
        <v/>
      </c>
      <c r="I1063" s="31"/>
      <c r="J1063" s="31"/>
      <c r="K1063" s="33"/>
      <c r="W1063">
        <f>IF($A2="","",COUNTIF('07_Pallet_Contents'!$A$2:$A$3000,$A2))</f>
        <v>0</v>
      </c>
      <c r="X1063">
        <f>IF($A2="","",SUMIF('07_Pallet_Contents'!$A$2:$A$3000,$A2,'07_Pallet_Contents'!$D$2:$D$3000))</f>
        <v>0</v>
      </c>
      <c r="Y1063">
        <f>IF($A2="","",SUMIF('07_Pallet_Contents'!$A$2:$A$3000,$A2,'07_Pallet_Contents'!$I$2:$I$3000))</f>
        <v>0</v>
      </c>
      <c r="Z1063" t="str">
        <f>IF($A2="","",IF(COUNTIF('07_Pallet_Contents'!$A$2:$A$3000,$A2)&gt;0,"Yes",""))</f>
        <v/>
      </c>
    </row>
    <row r="1064" spans="2:26">
      <c r="B1064" s="31"/>
      <c r="G1064" s="34"/>
      <c r="H1064" s="33" t="str">
        <f t="shared" si="24"/>
        <v/>
      </c>
      <c r="I1064" s="31"/>
      <c r="J1064" s="31"/>
      <c r="K1064" s="33"/>
      <c r="W1064">
        <f>IF($A2="","",COUNTIF('07_Pallet_Contents'!$A$2:$A$3000,$A2))</f>
        <v>0</v>
      </c>
      <c r="X1064">
        <f>IF($A2="","",SUMIF('07_Pallet_Contents'!$A$2:$A$3000,$A2,'07_Pallet_Contents'!$D$2:$D$3000))</f>
        <v>0</v>
      </c>
      <c r="Y1064">
        <f>IF($A2="","",SUMIF('07_Pallet_Contents'!$A$2:$A$3000,$A2,'07_Pallet_Contents'!$I$2:$I$3000))</f>
        <v>0</v>
      </c>
      <c r="Z1064" t="str">
        <f>IF($A2="","",IF(COUNTIF('07_Pallet_Contents'!$A$2:$A$3000,$A2)&gt;0,"Yes",""))</f>
        <v/>
      </c>
    </row>
    <row r="1065" spans="2:26">
      <c r="B1065" s="31"/>
      <c r="G1065" s="34"/>
      <c r="H1065" s="33" t="str">
        <f t="shared" si="24"/>
        <v/>
      </c>
      <c r="I1065" s="31"/>
      <c r="J1065" s="31"/>
      <c r="K1065" s="33"/>
      <c r="W1065">
        <f>IF($A2="","",COUNTIF('07_Pallet_Contents'!$A$2:$A$3000,$A2))</f>
        <v>0</v>
      </c>
      <c r="X1065">
        <f>IF($A2="","",SUMIF('07_Pallet_Contents'!$A$2:$A$3000,$A2,'07_Pallet_Contents'!$D$2:$D$3000))</f>
        <v>0</v>
      </c>
      <c r="Y1065">
        <f>IF($A2="","",SUMIF('07_Pallet_Contents'!$A$2:$A$3000,$A2,'07_Pallet_Contents'!$I$2:$I$3000))</f>
        <v>0</v>
      </c>
      <c r="Z1065" t="str">
        <f>IF($A2="","",IF(COUNTIF('07_Pallet_Contents'!$A$2:$A$3000,$A2)&gt;0,"Yes",""))</f>
        <v/>
      </c>
    </row>
    <row r="1066" spans="2:26">
      <c r="B1066" s="31"/>
      <c r="G1066" s="34"/>
      <c r="H1066" s="33" t="str">
        <f t="shared" si="24"/>
        <v/>
      </c>
      <c r="I1066" s="31"/>
      <c r="J1066" s="31"/>
      <c r="K1066" s="33"/>
      <c r="W1066">
        <f>IF($A2="","",COUNTIF('07_Pallet_Contents'!$A$2:$A$3000,$A2))</f>
        <v>0</v>
      </c>
      <c r="X1066">
        <f>IF($A2="","",SUMIF('07_Pallet_Contents'!$A$2:$A$3000,$A2,'07_Pallet_Contents'!$D$2:$D$3000))</f>
        <v>0</v>
      </c>
      <c r="Y1066">
        <f>IF($A2="","",SUMIF('07_Pallet_Contents'!$A$2:$A$3000,$A2,'07_Pallet_Contents'!$I$2:$I$3000))</f>
        <v>0</v>
      </c>
      <c r="Z1066" t="str">
        <f>IF($A2="","",IF(COUNTIF('07_Pallet_Contents'!$A$2:$A$3000,$A2)&gt;0,"Yes",""))</f>
        <v/>
      </c>
    </row>
    <row r="1067" spans="2:26">
      <c r="B1067" s="31"/>
      <c r="G1067" s="34"/>
      <c r="H1067" s="33" t="str">
        <f t="shared" si="24"/>
        <v/>
      </c>
      <c r="I1067" s="31"/>
      <c r="J1067" s="31"/>
      <c r="K1067" s="33"/>
      <c r="W1067">
        <f>IF($A2="","",COUNTIF('07_Pallet_Contents'!$A$2:$A$3000,$A2))</f>
        <v>0</v>
      </c>
      <c r="X1067">
        <f>IF($A2="","",SUMIF('07_Pallet_Contents'!$A$2:$A$3000,$A2,'07_Pallet_Contents'!$D$2:$D$3000))</f>
        <v>0</v>
      </c>
      <c r="Y1067">
        <f>IF($A2="","",SUMIF('07_Pallet_Contents'!$A$2:$A$3000,$A2,'07_Pallet_Contents'!$I$2:$I$3000))</f>
        <v>0</v>
      </c>
      <c r="Z1067" t="str">
        <f>IF($A2="","",IF(COUNTIF('07_Pallet_Contents'!$A$2:$A$3000,$A2)&gt;0,"Yes",""))</f>
        <v/>
      </c>
    </row>
    <row r="1068" spans="2:26">
      <c r="B1068" s="31"/>
      <c r="G1068" s="34"/>
      <c r="H1068" s="33" t="str">
        <f t="shared" si="24"/>
        <v/>
      </c>
      <c r="I1068" s="31"/>
      <c r="J1068" s="31"/>
      <c r="K1068" s="33"/>
      <c r="W1068">
        <f>IF($A2="","",COUNTIF('07_Pallet_Contents'!$A$2:$A$3000,$A2))</f>
        <v>0</v>
      </c>
      <c r="X1068">
        <f>IF($A2="","",SUMIF('07_Pallet_Contents'!$A$2:$A$3000,$A2,'07_Pallet_Contents'!$D$2:$D$3000))</f>
        <v>0</v>
      </c>
      <c r="Y1068">
        <f>IF($A2="","",SUMIF('07_Pallet_Contents'!$A$2:$A$3000,$A2,'07_Pallet_Contents'!$I$2:$I$3000))</f>
        <v>0</v>
      </c>
      <c r="Z1068" t="str">
        <f>IF($A2="","",IF(COUNTIF('07_Pallet_Contents'!$A$2:$A$3000,$A2)&gt;0,"Yes",""))</f>
        <v/>
      </c>
    </row>
    <row r="1069" spans="2:26">
      <c r="B1069" s="31"/>
      <c r="G1069" s="34"/>
      <c r="H1069" s="33" t="str">
        <f t="shared" si="24"/>
        <v/>
      </c>
      <c r="I1069" s="31"/>
      <c r="J1069" s="31"/>
      <c r="K1069" s="33"/>
      <c r="W1069">
        <f>IF($A2="","",COUNTIF('07_Pallet_Contents'!$A$2:$A$3000,$A2))</f>
        <v>0</v>
      </c>
      <c r="X1069">
        <f>IF($A2="","",SUMIF('07_Pallet_Contents'!$A$2:$A$3000,$A2,'07_Pallet_Contents'!$D$2:$D$3000))</f>
        <v>0</v>
      </c>
      <c r="Y1069">
        <f>IF($A2="","",SUMIF('07_Pallet_Contents'!$A$2:$A$3000,$A2,'07_Pallet_Contents'!$I$2:$I$3000))</f>
        <v>0</v>
      </c>
      <c r="Z1069" t="str">
        <f>IF($A2="","",IF(COUNTIF('07_Pallet_Contents'!$A$2:$A$3000,$A2)&gt;0,"Yes",""))</f>
        <v/>
      </c>
    </row>
    <row r="1070" spans="2:26">
      <c r="B1070" s="31"/>
      <c r="G1070" s="34"/>
      <c r="H1070" s="33" t="str">
        <f t="shared" si="24"/>
        <v/>
      </c>
      <c r="I1070" s="31"/>
      <c r="J1070" s="31"/>
      <c r="K1070" s="33"/>
      <c r="W1070">
        <f>IF($A2="","",COUNTIF('07_Pallet_Contents'!$A$2:$A$3000,$A2))</f>
        <v>0</v>
      </c>
      <c r="X1070">
        <f>IF($A2="","",SUMIF('07_Pallet_Contents'!$A$2:$A$3000,$A2,'07_Pallet_Contents'!$D$2:$D$3000))</f>
        <v>0</v>
      </c>
      <c r="Y1070">
        <f>IF($A2="","",SUMIF('07_Pallet_Contents'!$A$2:$A$3000,$A2,'07_Pallet_Contents'!$I$2:$I$3000))</f>
        <v>0</v>
      </c>
      <c r="Z1070" t="str">
        <f>IF($A2="","",IF(COUNTIF('07_Pallet_Contents'!$A$2:$A$3000,$A2)&gt;0,"Yes",""))</f>
        <v/>
      </c>
    </row>
    <row r="1071" spans="2:26">
      <c r="B1071" s="31"/>
      <c r="G1071" s="34"/>
      <c r="H1071" s="33" t="str">
        <f t="shared" si="24"/>
        <v/>
      </c>
      <c r="I1071" s="31"/>
      <c r="J1071" s="31"/>
      <c r="K1071" s="33"/>
      <c r="W1071">
        <f>IF($A2="","",COUNTIF('07_Pallet_Contents'!$A$2:$A$3000,$A2))</f>
        <v>0</v>
      </c>
      <c r="X1071">
        <f>IF($A2="","",SUMIF('07_Pallet_Contents'!$A$2:$A$3000,$A2,'07_Pallet_Contents'!$D$2:$D$3000))</f>
        <v>0</v>
      </c>
      <c r="Y1071">
        <f>IF($A2="","",SUMIF('07_Pallet_Contents'!$A$2:$A$3000,$A2,'07_Pallet_Contents'!$I$2:$I$3000))</f>
        <v>0</v>
      </c>
      <c r="Z1071" t="str">
        <f>IF($A2="","",IF(COUNTIF('07_Pallet_Contents'!$A$2:$A$3000,$A2)&gt;0,"Yes",""))</f>
        <v/>
      </c>
    </row>
    <row r="1072" spans="2:26">
      <c r="B1072" s="31"/>
      <c r="G1072" s="34"/>
      <c r="H1072" s="33" t="str">
        <f t="shared" si="24"/>
        <v/>
      </c>
      <c r="I1072" s="31"/>
      <c r="J1072" s="31"/>
      <c r="K1072" s="33"/>
      <c r="W1072">
        <f>IF($A2="","",COUNTIF('07_Pallet_Contents'!$A$2:$A$3000,$A2))</f>
        <v>0</v>
      </c>
      <c r="X1072">
        <f>IF($A2="","",SUMIF('07_Pallet_Contents'!$A$2:$A$3000,$A2,'07_Pallet_Contents'!$D$2:$D$3000))</f>
        <v>0</v>
      </c>
      <c r="Y1072">
        <f>IF($A2="","",SUMIF('07_Pallet_Contents'!$A$2:$A$3000,$A2,'07_Pallet_Contents'!$I$2:$I$3000))</f>
        <v>0</v>
      </c>
      <c r="Z1072" t="str">
        <f>IF($A2="","",IF(COUNTIF('07_Pallet_Contents'!$A$2:$A$3000,$A2)&gt;0,"Yes",""))</f>
        <v/>
      </c>
    </row>
    <row r="1073" spans="2:26">
      <c r="B1073" s="31"/>
      <c r="G1073" s="34"/>
      <c r="H1073" s="33" t="str">
        <f t="shared" si="24"/>
        <v/>
      </c>
      <c r="I1073" s="31"/>
      <c r="J1073" s="31"/>
      <c r="K1073" s="33"/>
      <c r="W1073">
        <f>IF($A2="","",COUNTIF('07_Pallet_Contents'!$A$2:$A$3000,$A2))</f>
        <v>0</v>
      </c>
      <c r="X1073">
        <f>IF($A2="","",SUMIF('07_Pallet_Contents'!$A$2:$A$3000,$A2,'07_Pallet_Contents'!$D$2:$D$3000))</f>
        <v>0</v>
      </c>
      <c r="Y1073">
        <f>IF($A2="","",SUMIF('07_Pallet_Contents'!$A$2:$A$3000,$A2,'07_Pallet_Contents'!$I$2:$I$3000))</f>
        <v>0</v>
      </c>
      <c r="Z1073" t="str">
        <f>IF($A2="","",IF(COUNTIF('07_Pallet_Contents'!$A$2:$A$3000,$A2)&gt;0,"Yes",""))</f>
        <v/>
      </c>
    </row>
    <row r="1074" spans="2:26">
      <c r="B1074" s="31"/>
      <c r="G1074" s="34"/>
      <c r="H1074" s="33" t="str">
        <f t="shared" si="24"/>
        <v/>
      </c>
      <c r="I1074" s="31"/>
      <c r="J1074" s="31"/>
      <c r="K1074" s="33"/>
      <c r="W1074">
        <f>IF($A2="","",COUNTIF('07_Pallet_Contents'!$A$2:$A$3000,$A2))</f>
        <v>0</v>
      </c>
      <c r="X1074">
        <f>IF($A2="","",SUMIF('07_Pallet_Contents'!$A$2:$A$3000,$A2,'07_Pallet_Contents'!$D$2:$D$3000))</f>
        <v>0</v>
      </c>
      <c r="Y1074">
        <f>IF($A2="","",SUMIF('07_Pallet_Contents'!$A$2:$A$3000,$A2,'07_Pallet_Contents'!$I$2:$I$3000))</f>
        <v>0</v>
      </c>
      <c r="Z1074" t="str">
        <f>IF($A2="","",IF(COUNTIF('07_Pallet_Contents'!$A$2:$A$3000,$A2)&gt;0,"Yes",""))</f>
        <v/>
      </c>
    </row>
    <row r="1075" spans="2:26">
      <c r="B1075" s="31"/>
      <c r="G1075" s="34"/>
      <c r="H1075" s="33" t="str">
        <f t="shared" si="24"/>
        <v/>
      </c>
      <c r="I1075" s="31"/>
      <c r="J1075" s="31"/>
      <c r="K1075" s="33"/>
      <c r="W1075">
        <f>IF($A2="","",COUNTIF('07_Pallet_Contents'!$A$2:$A$3000,$A2))</f>
        <v>0</v>
      </c>
      <c r="X1075">
        <f>IF($A2="","",SUMIF('07_Pallet_Contents'!$A$2:$A$3000,$A2,'07_Pallet_Contents'!$D$2:$D$3000))</f>
        <v>0</v>
      </c>
      <c r="Y1075">
        <f>IF($A2="","",SUMIF('07_Pallet_Contents'!$A$2:$A$3000,$A2,'07_Pallet_Contents'!$I$2:$I$3000))</f>
        <v>0</v>
      </c>
      <c r="Z1075" t="str">
        <f>IF($A2="","",IF(COUNTIF('07_Pallet_Contents'!$A$2:$A$3000,$A2)&gt;0,"Yes",""))</f>
        <v/>
      </c>
    </row>
    <row r="1076" spans="2:26">
      <c r="B1076" s="31"/>
      <c r="G1076" s="34"/>
      <c r="H1076" s="33" t="str">
        <f t="shared" si="24"/>
        <v/>
      </c>
      <c r="I1076" s="31"/>
      <c r="J1076" s="31"/>
      <c r="K1076" s="33"/>
      <c r="W1076">
        <f>IF($A2="","",COUNTIF('07_Pallet_Contents'!$A$2:$A$3000,$A2))</f>
        <v>0</v>
      </c>
      <c r="X1076">
        <f>IF($A2="","",SUMIF('07_Pallet_Contents'!$A$2:$A$3000,$A2,'07_Pallet_Contents'!$D$2:$D$3000))</f>
        <v>0</v>
      </c>
      <c r="Y1076">
        <f>IF($A2="","",SUMIF('07_Pallet_Contents'!$A$2:$A$3000,$A2,'07_Pallet_Contents'!$I$2:$I$3000))</f>
        <v>0</v>
      </c>
      <c r="Z1076" t="str">
        <f>IF($A2="","",IF(COUNTIF('07_Pallet_Contents'!$A$2:$A$3000,$A2)&gt;0,"Yes",""))</f>
        <v/>
      </c>
    </row>
    <row r="1077" spans="2:26">
      <c r="B1077" s="31"/>
      <c r="G1077" s="34"/>
      <c r="H1077" s="33" t="str">
        <f t="shared" si="24"/>
        <v/>
      </c>
      <c r="I1077" s="31"/>
      <c r="J1077" s="31"/>
      <c r="K1077" s="33"/>
      <c r="W1077">
        <f>IF($A2="","",COUNTIF('07_Pallet_Contents'!$A$2:$A$3000,$A2))</f>
        <v>0</v>
      </c>
      <c r="X1077">
        <f>IF($A2="","",SUMIF('07_Pallet_Contents'!$A$2:$A$3000,$A2,'07_Pallet_Contents'!$D$2:$D$3000))</f>
        <v>0</v>
      </c>
      <c r="Y1077">
        <f>IF($A2="","",SUMIF('07_Pallet_Contents'!$A$2:$A$3000,$A2,'07_Pallet_Contents'!$I$2:$I$3000))</f>
        <v>0</v>
      </c>
      <c r="Z1077" t="str">
        <f>IF($A2="","",IF(COUNTIF('07_Pallet_Contents'!$A$2:$A$3000,$A2)&gt;0,"Yes",""))</f>
        <v/>
      </c>
    </row>
    <row r="1078" spans="2:26">
      <c r="B1078" s="31"/>
      <c r="G1078" s="34"/>
      <c r="H1078" s="33" t="str">
        <f t="shared" si="24"/>
        <v/>
      </c>
      <c r="I1078" s="31"/>
      <c r="J1078" s="31"/>
      <c r="K1078" s="33"/>
      <c r="W1078">
        <f>IF($A2="","",COUNTIF('07_Pallet_Contents'!$A$2:$A$3000,$A2))</f>
        <v>0</v>
      </c>
      <c r="X1078">
        <f>IF($A2="","",SUMIF('07_Pallet_Contents'!$A$2:$A$3000,$A2,'07_Pallet_Contents'!$D$2:$D$3000))</f>
        <v>0</v>
      </c>
      <c r="Y1078">
        <f>IF($A2="","",SUMIF('07_Pallet_Contents'!$A$2:$A$3000,$A2,'07_Pallet_Contents'!$I$2:$I$3000))</f>
        <v>0</v>
      </c>
      <c r="Z1078" t="str">
        <f>IF($A2="","",IF(COUNTIF('07_Pallet_Contents'!$A$2:$A$3000,$A2)&gt;0,"Yes",""))</f>
        <v/>
      </c>
    </row>
    <row r="1079" spans="2:26">
      <c r="B1079" s="31"/>
      <c r="G1079" s="34"/>
      <c r="H1079" s="33" t="str">
        <f t="shared" si="24"/>
        <v/>
      </c>
      <c r="I1079" s="31"/>
      <c r="J1079" s="31"/>
      <c r="K1079" s="33"/>
      <c r="W1079">
        <f>IF($A2="","",COUNTIF('07_Pallet_Contents'!$A$2:$A$3000,$A2))</f>
        <v>0</v>
      </c>
      <c r="X1079">
        <f>IF($A2="","",SUMIF('07_Pallet_Contents'!$A$2:$A$3000,$A2,'07_Pallet_Contents'!$D$2:$D$3000))</f>
        <v>0</v>
      </c>
      <c r="Y1079">
        <f>IF($A2="","",SUMIF('07_Pallet_Contents'!$A$2:$A$3000,$A2,'07_Pallet_Contents'!$I$2:$I$3000))</f>
        <v>0</v>
      </c>
      <c r="Z1079" t="str">
        <f>IF($A2="","",IF(COUNTIF('07_Pallet_Contents'!$A$2:$A$3000,$A2)&gt;0,"Yes",""))</f>
        <v/>
      </c>
    </row>
    <row r="1080" spans="2:26">
      <c r="B1080" s="31"/>
      <c r="G1080" s="34"/>
      <c r="H1080" s="33" t="str">
        <f t="shared" si="24"/>
        <v/>
      </c>
      <c r="I1080" s="31"/>
      <c r="J1080" s="31"/>
      <c r="K1080" s="33"/>
      <c r="W1080">
        <f>IF($A2="","",COUNTIF('07_Pallet_Contents'!$A$2:$A$3000,$A2))</f>
        <v>0</v>
      </c>
      <c r="X1080">
        <f>IF($A2="","",SUMIF('07_Pallet_Contents'!$A$2:$A$3000,$A2,'07_Pallet_Contents'!$D$2:$D$3000))</f>
        <v>0</v>
      </c>
      <c r="Y1080">
        <f>IF($A2="","",SUMIF('07_Pallet_Contents'!$A$2:$A$3000,$A2,'07_Pallet_Contents'!$I$2:$I$3000))</f>
        <v>0</v>
      </c>
      <c r="Z1080" t="str">
        <f>IF($A2="","",IF(COUNTIF('07_Pallet_Contents'!$A$2:$A$3000,$A2)&gt;0,"Yes",""))</f>
        <v/>
      </c>
    </row>
    <row r="1081" spans="2:26">
      <c r="B1081" s="31"/>
      <c r="G1081" s="34"/>
      <c r="H1081" s="33" t="str">
        <f t="shared" si="24"/>
        <v/>
      </c>
      <c r="I1081" s="31"/>
      <c r="J1081" s="31"/>
      <c r="K1081" s="33"/>
      <c r="W1081">
        <f>IF($A2="","",COUNTIF('07_Pallet_Contents'!$A$2:$A$3000,$A2))</f>
        <v>0</v>
      </c>
      <c r="X1081">
        <f>IF($A2="","",SUMIF('07_Pallet_Contents'!$A$2:$A$3000,$A2,'07_Pallet_Contents'!$D$2:$D$3000))</f>
        <v>0</v>
      </c>
      <c r="Y1081">
        <f>IF($A2="","",SUMIF('07_Pallet_Contents'!$A$2:$A$3000,$A2,'07_Pallet_Contents'!$I$2:$I$3000))</f>
        <v>0</v>
      </c>
      <c r="Z1081" t="str">
        <f>IF($A2="","",IF(COUNTIF('07_Pallet_Contents'!$A$2:$A$3000,$A2)&gt;0,"Yes",""))</f>
        <v/>
      </c>
    </row>
    <row r="1082" spans="2:26">
      <c r="B1082" s="31"/>
      <c r="G1082" s="34"/>
      <c r="H1082" s="33" t="str">
        <f t="shared" si="24"/>
        <v/>
      </c>
      <c r="I1082" s="31"/>
      <c r="J1082" s="31"/>
      <c r="K1082" s="33"/>
      <c r="W1082">
        <f>IF($A2="","",COUNTIF('07_Pallet_Contents'!$A$2:$A$3000,$A2))</f>
        <v>0</v>
      </c>
      <c r="X1082">
        <f>IF($A2="","",SUMIF('07_Pallet_Contents'!$A$2:$A$3000,$A2,'07_Pallet_Contents'!$D$2:$D$3000))</f>
        <v>0</v>
      </c>
      <c r="Y1082">
        <f>IF($A2="","",SUMIF('07_Pallet_Contents'!$A$2:$A$3000,$A2,'07_Pallet_Contents'!$I$2:$I$3000))</f>
        <v>0</v>
      </c>
      <c r="Z1082" t="str">
        <f>IF($A2="","",IF(COUNTIF('07_Pallet_Contents'!$A$2:$A$3000,$A2)&gt;0,"Yes",""))</f>
        <v/>
      </c>
    </row>
    <row r="1083" spans="2:26">
      <c r="B1083" s="31"/>
      <c r="G1083" s="34"/>
      <c r="H1083" s="33" t="str">
        <f t="shared" si="24"/>
        <v/>
      </c>
      <c r="I1083" s="31"/>
      <c r="J1083" s="31"/>
      <c r="K1083" s="33"/>
      <c r="W1083">
        <f>IF($A2="","",COUNTIF('07_Pallet_Contents'!$A$2:$A$3000,$A2))</f>
        <v>0</v>
      </c>
      <c r="X1083">
        <f>IF($A2="","",SUMIF('07_Pallet_Contents'!$A$2:$A$3000,$A2,'07_Pallet_Contents'!$D$2:$D$3000))</f>
        <v>0</v>
      </c>
      <c r="Y1083">
        <f>IF($A2="","",SUMIF('07_Pallet_Contents'!$A$2:$A$3000,$A2,'07_Pallet_Contents'!$I$2:$I$3000))</f>
        <v>0</v>
      </c>
      <c r="Z1083" t="str">
        <f>IF($A2="","",IF(COUNTIF('07_Pallet_Contents'!$A$2:$A$3000,$A2)&gt;0,"Yes",""))</f>
        <v/>
      </c>
    </row>
    <row r="1084" spans="2:26">
      <c r="B1084" s="31"/>
      <c r="G1084" s="34"/>
      <c r="H1084" s="33" t="str">
        <f t="shared" si="24"/>
        <v/>
      </c>
      <c r="I1084" s="31"/>
      <c r="J1084" s="31"/>
      <c r="K1084" s="33"/>
      <c r="W1084">
        <f>IF($A2="","",COUNTIF('07_Pallet_Contents'!$A$2:$A$3000,$A2))</f>
        <v>0</v>
      </c>
      <c r="X1084">
        <f>IF($A2="","",SUMIF('07_Pallet_Contents'!$A$2:$A$3000,$A2,'07_Pallet_Contents'!$D$2:$D$3000))</f>
        <v>0</v>
      </c>
      <c r="Y1084">
        <f>IF($A2="","",SUMIF('07_Pallet_Contents'!$A$2:$A$3000,$A2,'07_Pallet_Contents'!$I$2:$I$3000))</f>
        <v>0</v>
      </c>
      <c r="Z1084" t="str">
        <f>IF($A2="","",IF(COUNTIF('07_Pallet_Contents'!$A$2:$A$3000,$A2)&gt;0,"Yes",""))</f>
        <v/>
      </c>
    </row>
    <row r="1085" spans="2:26">
      <c r="B1085" s="31"/>
      <c r="G1085" s="34"/>
      <c r="H1085" s="33" t="str">
        <f t="shared" si="24"/>
        <v/>
      </c>
      <c r="I1085" s="31"/>
      <c r="J1085" s="31"/>
      <c r="K1085" s="33"/>
      <c r="W1085">
        <f>IF($A2="","",COUNTIF('07_Pallet_Contents'!$A$2:$A$3000,$A2))</f>
        <v>0</v>
      </c>
      <c r="X1085">
        <f>IF($A2="","",SUMIF('07_Pallet_Contents'!$A$2:$A$3000,$A2,'07_Pallet_Contents'!$D$2:$D$3000))</f>
        <v>0</v>
      </c>
      <c r="Y1085">
        <f>IF($A2="","",SUMIF('07_Pallet_Contents'!$A$2:$A$3000,$A2,'07_Pallet_Contents'!$I$2:$I$3000))</f>
        <v>0</v>
      </c>
      <c r="Z1085" t="str">
        <f>IF($A2="","",IF(COUNTIF('07_Pallet_Contents'!$A$2:$A$3000,$A2)&gt;0,"Yes",""))</f>
        <v/>
      </c>
    </row>
    <row r="1086" spans="2:26">
      <c r="B1086" s="31"/>
      <c r="G1086" s="34"/>
      <c r="H1086" s="33" t="str">
        <f t="shared" si="24"/>
        <v/>
      </c>
      <c r="I1086" s="31"/>
      <c r="J1086" s="31"/>
      <c r="K1086" s="33"/>
      <c r="W1086">
        <f>IF($A2="","",COUNTIF('07_Pallet_Contents'!$A$2:$A$3000,$A2))</f>
        <v>0</v>
      </c>
      <c r="X1086">
        <f>IF($A2="","",SUMIF('07_Pallet_Contents'!$A$2:$A$3000,$A2,'07_Pallet_Contents'!$D$2:$D$3000))</f>
        <v>0</v>
      </c>
      <c r="Y1086">
        <f>IF($A2="","",SUMIF('07_Pallet_Contents'!$A$2:$A$3000,$A2,'07_Pallet_Contents'!$I$2:$I$3000))</f>
        <v>0</v>
      </c>
      <c r="Z1086" t="str">
        <f>IF($A2="","",IF(COUNTIF('07_Pallet_Contents'!$A$2:$A$3000,$A2)&gt;0,"Yes",""))</f>
        <v/>
      </c>
    </row>
    <row r="1087" spans="2:26">
      <c r="B1087" s="31"/>
      <c r="G1087" s="34"/>
      <c r="H1087" s="33" t="str">
        <f t="shared" si="24"/>
        <v/>
      </c>
      <c r="I1087" s="31"/>
      <c r="J1087" s="31"/>
      <c r="K1087" s="33"/>
      <c r="W1087">
        <f>IF($A2="","",COUNTIF('07_Pallet_Contents'!$A$2:$A$3000,$A2))</f>
        <v>0</v>
      </c>
      <c r="X1087">
        <f>IF($A2="","",SUMIF('07_Pallet_Contents'!$A$2:$A$3000,$A2,'07_Pallet_Contents'!$D$2:$D$3000))</f>
        <v>0</v>
      </c>
      <c r="Y1087">
        <f>IF($A2="","",SUMIF('07_Pallet_Contents'!$A$2:$A$3000,$A2,'07_Pallet_Contents'!$I$2:$I$3000))</f>
        <v>0</v>
      </c>
      <c r="Z1087" t="str">
        <f>IF($A2="","",IF(COUNTIF('07_Pallet_Contents'!$A$2:$A$3000,$A2)&gt;0,"Yes",""))</f>
        <v/>
      </c>
    </row>
    <row r="1088" spans="2:26">
      <c r="B1088" s="31"/>
      <c r="G1088" s="34"/>
      <c r="H1088" s="33" t="str">
        <f t="shared" si="24"/>
        <v/>
      </c>
      <c r="I1088" s="31"/>
      <c r="J1088" s="31"/>
      <c r="K1088" s="33"/>
      <c r="W1088">
        <f>IF($A2="","",COUNTIF('07_Pallet_Contents'!$A$2:$A$3000,$A2))</f>
        <v>0</v>
      </c>
      <c r="X1088">
        <f>IF($A2="","",SUMIF('07_Pallet_Contents'!$A$2:$A$3000,$A2,'07_Pallet_Contents'!$D$2:$D$3000))</f>
        <v>0</v>
      </c>
      <c r="Y1088">
        <f>IF($A2="","",SUMIF('07_Pallet_Contents'!$A$2:$A$3000,$A2,'07_Pallet_Contents'!$I$2:$I$3000))</f>
        <v>0</v>
      </c>
      <c r="Z1088" t="str">
        <f>IF($A2="","",IF(COUNTIF('07_Pallet_Contents'!$A$2:$A$3000,$A2)&gt;0,"Yes",""))</f>
        <v/>
      </c>
    </row>
    <row r="1089" spans="2:26">
      <c r="B1089" s="31"/>
      <c r="G1089" s="34"/>
      <c r="H1089" s="33" t="str">
        <f t="shared" si="24"/>
        <v/>
      </c>
      <c r="I1089" s="31"/>
      <c r="J1089" s="31"/>
      <c r="K1089" s="33"/>
      <c r="W1089">
        <f>IF($A2="","",COUNTIF('07_Pallet_Contents'!$A$2:$A$3000,$A2))</f>
        <v>0</v>
      </c>
      <c r="X1089">
        <f>IF($A2="","",SUMIF('07_Pallet_Contents'!$A$2:$A$3000,$A2,'07_Pallet_Contents'!$D$2:$D$3000))</f>
        <v>0</v>
      </c>
      <c r="Y1089">
        <f>IF($A2="","",SUMIF('07_Pallet_Contents'!$A$2:$A$3000,$A2,'07_Pallet_Contents'!$I$2:$I$3000))</f>
        <v>0</v>
      </c>
      <c r="Z1089" t="str">
        <f>IF($A2="","",IF(COUNTIF('07_Pallet_Contents'!$A$2:$A$3000,$A2)&gt;0,"Yes",""))</f>
        <v/>
      </c>
    </row>
    <row r="1090" spans="2:26">
      <c r="B1090" s="31"/>
      <c r="G1090" s="34"/>
      <c r="H1090" s="33" t="str">
        <f t="shared" ref="H1090:H1153" si="25">IF(AND($F1090="TEMP",$G1090&gt;0,$M1090&lt;&gt;""),$M1090+$G1090,"")</f>
        <v/>
      </c>
      <c r="I1090" s="31"/>
      <c r="J1090" s="31"/>
      <c r="K1090" s="33"/>
      <c r="W1090">
        <f>IF($A2="","",COUNTIF('07_Pallet_Contents'!$A$2:$A$3000,$A2))</f>
        <v>0</v>
      </c>
      <c r="X1090">
        <f>IF($A2="","",SUMIF('07_Pallet_Contents'!$A$2:$A$3000,$A2,'07_Pallet_Contents'!$D$2:$D$3000))</f>
        <v>0</v>
      </c>
      <c r="Y1090">
        <f>IF($A2="","",SUMIF('07_Pallet_Contents'!$A$2:$A$3000,$A2,'07_Pallet_Contents'!$I$2:$I$3000))</f>
        <v>0</v>
      </c>
      <c r="Z1090" t="str">
        <f>IF($A2="","",IF(COUNTIF('07_Pallet_Contents'!$A$2:$A$3000,$A2)&gt;0,"Yes",""))</f>
        <v/>
      </c>
    </row>
    <row r="1091" spans="2:26">
      <c r="B1091" s="31"/>
      <c r="G1091" s="34"/>
      <c r="H1091" s="33" t="str">
        <f t="shared" si="25"/>
        <v/>
      </c>
      <c r="I1091" s="31"/>
      <c r="J1091" s="31"/>
      <c r="K1091" s="33"/>
      <c r="W1091">
        <f>IF($A2="","",COUNTIF('07_Pallet_Contents'!$A$2:$A$3000,$A2))</f>
        <v>0</v>
      </c>
      <c r="X1091">
        <f>IF($A2="","",SUMIF('07_Pallet_Contents'!$A$2:$A$3000,$A2,'07_Pallet_Contents'!$D$2:$D$3000))</f>
        <v>0</v>
      </c>
      <c r="Y1091">
        <f>IF($A2="","",SUMIF('07_Pallet_Contents'!$A$2:$A$3000,$A2,'07_Pallet_Contents'!$I$2:$I$3000))</f>
        <v>0</v>
      </c>
      <c r="Z1091" t="str">
        <f>IF($A2="","",IF(COUNTIF('07_Pallet_Contents'!$A$2:$A$3000,$A2)&gt;0,"Yes",""))</f>
        <v/>
      </c>
    </row>
    <row r="1092" spans="2:26">
      <c r="B1092" s="31"/>
      <c r="G1092" s="34"/>
      <c r="H1092" s="33" t="str">
        <f t="shared" si="25"/>
        <v/>
      </c>
      <c r="I1092" s="31"/>
      <c r="J1092" s="31"/>
      <c r="K1092" s="33"/>
      <c r="W1092">
        <f>IF($A2="","",COUNTIF('07_Pallet_Contents'!$A$2:$A$3000,$A2))</f>
        <v>0</v>
      </c>
      <c r="X1092">
        <f>IF($A2="","",SUMIF('07_Pallet_Contents'!$A$2:$A$3000,$A2,'07_Pallet_Contents'!$D$2:$D$3000))</f>
        <v>0</v>
      </c>
      <c r="Y1092">
        <f>IF($A2="","",SUMIF('07_Pallet_Contents'!$A$2:$A$3000,$A2,'07_Pallet_Contents'!$I$2:$I$3000))</f>
        <v>0</v>
      </c>
      <c r="Z1092" t="str">
        <f>IF($A2="","",IF(COUNTIF('07_Pallet_Contents'!$A$2:$A$3000,$A2)&gt;0,"Yes",""))</f>
        <v/>
      </c>
    </row>
    <row r="1093" spans="2:26">
      <c r="B1093" s="31"/>
      <c r="G1093" s="34"/>
      <c r="H1093" s="33" t="str">
        <f t="shared" si="25"/>
        <v/>
      </c>
      <c r="I1093" s="31"/>
      <c r="J1093" s="31"/>
      <c r="K1093" s="33"/>
      <c r="W1093">
        <f>IF($A2="","",COUNTIF('07_Pallet_Contents'!$A$2:$A$3000,$A2))</f>
        <v>0</v>
      </c>
      <c r="X1093">
        <f>IF($A2="","",SUMIF('07_Pallet_Contents'!$A$2:$A$3000,$A2,'07_Pallet_Contents'!$D$2:$D$3000))</f>
        <v>0</v>
      </c>
      <c r="Y1093">
        <f>IF($A2="","",SUMIF('07_Pallet_Contents'!$A$2:$A$3000,$A2,'07_Pallet_Contents'!$I$2:$I$3000))</f>
        <v>0</v>
      </c>
      <c r="Z1093" t="str">
        <f>IF($A2="","",IF(COUNTIF('07_Pallet_Contents'!$A$2:$A$3000,$A2)&gt;0,"Yes",""))</f>
        <v/>
      </c>
    </row>
    <row r="1094" spans="2:26">
      <c r="B1094" s="31"/>
      <c r="G1094" s="34"/>
      <c r="H1094" s="33" t="str">
        <f t="shared" si="25"/>
        <v/>
      </c>
      <c r="I1094" s="31"/>
      <c r="J1094" s="31"/>
      <c r="K1094" s="33"/>
      <c r="W1094">
        <f>IF($A2="","",COUNTIF('07_Pallet_Contents'!$A$2:$A$3000,$A2))</f>
        <v>0</v>
      </c>
      <c r="X1094">
        <f>IF($A2="","",SUMIF('07_Pallet_Contents'!$A$2:$A$3000,$A2,'07_Pallet_Contents'!$D$2:$D$3000))</f>
        <v>0</v>
      </c>
      <c r="Y1094">
        <f>IF($A2="","",SUMIF('07_Pallet_Contents'!$A$2:$A$3000,$A2,'07_Pallet_Contents'!$I$2:$I$3000))</f>
        <v>0</v>
      </c>
      <c r="Z1094" t="str">
        <f>IF($A2="","",IF(COUNTIF('07_Pallet_Contents'!$A$2:$A$3000,$A2)&gt;0,"Yes",""))</f>
        <v/>
      </c>
    </row>
    <row r="1095" spans="2:26">
      <c r="B1095" s="31"/>
      <c r="G1095" s="34"/>
      <c r="H1095" s="33" t="str">
        <f t="shared" si="25"/>
        <v/>
      </c>
      <c r="I1095" s="31"/>
      <c r="J1095" s="31"/>
      <c r="K1095" s="33"/>
      <c r="W1095">
        <f>IF($A2="","",COUNTIF('07_Pallet_Contents'!$A$2:$A$3000,$A2))</f>
        <v>0</v>
      </c>
      <c r="X1095">
        <f>IF($A2="","",SUMIF('07_Pallet_Contents'!$A$2:$A$3000,$A2,'07_Pallet_Contents'!$D$2:$D$3000))</f>
        <v>0</v>
      </c>
      <c r="Y1095">
        <f>IF($A2="","",SUMIF('07_Pallet_Contents'!$A$2:$A$3000,$A2,'07_Pallet_Contents'!$I$2:$I$3000))</f>
        <v>0</v>
      </c>
      <c r="Z1095" t="str">
        <f>IF($A2="","",IF(COUNTIF('07_Pallet_Contents'!$A$2:$A$3000,$A2)&gt;0,"Yes",""))</f>
        <v/>
      </c>
    </row>
    <row r="1096" spans="2:26">
      <c r="B1096" s="31"/>
      <c r="G1096" s="34"/>
      <c r="H1096" s="33" t="str">
        <f t="shared" si="25"/>
        <v/>
      </c>
      <c r="I1096" s="31"/>
      <c r="J1096" s="31"/>
      <c r="K1096" s="33"/>
      <c r="W1096">
        <f>IF($A2="","",COUNTIF('07_Pallet_Contents'!$A$2:$A$3000,$A2))</f>
        <v>0</v>
      </c>
      <c r="X1096">
        <f>IF($A2="","",SUMIF('07_Pallet_Contents'!$A$2:$A$3000,$A2,'07_Pallet_Contents'!$D$2:$D$3000))</f>
        <v>0</v>
      </c>
      <c r="Y1096">
        <f>IF($A2="","",SUMIF('07_Pallet_Contents'!$A$2:$A$3000,$A2,'07_Pallet_Contents'!$I$2:$I$3000))</f>
        <v>0</v>
      </c>
      <c r="Z1096" t="str">
        <f>IF($A2="","",IF(COUNTIF('07_Pallet_Contents'!$A$2:$A$3000,$A2)&gt;0,"Yes",""))</f>
        <v/>
      </c>
    </row>
    <row r="1097" spans="2:26">
      <c r="B1097" s="31"/>
      <c r="G1097" s="34"/>
      <c r="H1097" s="33" t="str">
        <f t="shared" si="25"/>
        <v/>
      </c>
      <c r="I1097" s="31"/>
      <c r="J1097" s="31"/>
      <c r="K1097" s="33"/>
      <c r="W1097">
        <f>IF($A2="","",COUNTIF('07_Pallet_Contents'!$A$2:$A$3000,$A2))</f>
        <v>0</v>
      </c>
      <c r="X1097">
        <f>IF($A2="","",SUMIF('07_Pallet_Contents'!$A$2:$A$3000,$A2,'07_Pallet_Contents'!$D$2:$D$3000))</f>
        <v>0</v>
      </c>
      <c r="Y1097">
        <f>IF($A2="","",SUMIF('07_Pallet_Contents'!$A$2:$A$3000,$A2,'07_Pallet_Contents'!$I$2:$I$3000))</f>
        <v>0</v>
      </c>
      <c r="Z1097" t="str">
        <f>IF($A2="","",IF(COUNTIF('07_Pallet_Contents'!$A$2:$A$3000,$A2)&gt;0,"Yes",""))</f>
        <v/>
      </c>
    </row>
    <row r="1098" spans="2:26">
      <c r="B1098" s="31"/>
      <c r="G1098" s="34"/>
      <c r="H1098" s="33" t="str">
        <f t="shared" si="25"/>
        <v/>
      </c>
      <c r="I1098" s="31"/>
      <c r="J1098" s="31"/>
      <c r="K1098" s="33"/>
      <c r="W1098">
        <f>IF($A2="","",COUNTIF('07_Pallet_Contents'!$A$2:$A$3000,$A2))</f>
        <v>0</v>
      </c>
      <c r="X1098">
        <f>IF($A2="","",SUMIF('07_Pallet_Contents'!$A$2:$A$3000,$A2,'07_Pallet_Contents'!$D$2:$D$3000))</f>
        <v>0</v>
      </c>
      <c r="Y1098">
        <f>IF($A2="","",SUMIF('07_Pallet_Contents'!$A$2:$A$3000,$A2,'07_Pallet_Contents'!$I$2:$I$3000))</f>
        <v>0</v>
      </c>
      <c r="Z1098" t="str">
        <f>IF($A2="","",IF(COUNTIF('07_Pallet_Contents'!$A$2:$A$3000,$A2)&gt;0,"Yes",""))</f>
        <v/>
      </c>
    </row>
    <row r="1099" spans="2:26">
      <c r="B1099" s="31"/>
      <c r="G1099" s="34"/>
      <c r="H1099" s="33" t="str">
        <f t="shared" si="25"/>
        <v/>
      </c>
      <c r="I1099" s="31"/>
      <c r="J1099" s="31"/>
      <c r="K1099" s="33"/>
      <c r="W1099">
        <f>IF($A2="","",COUNTIF('07_Pallet_Contents'!$A$2:$A$3000,$A2))</f>
        <v>0</v>
      </c>
      <c r="X1099">
        <f>IF($A2="","",SUMIF('07_Pallet_Contents'!$A$2:$A$3000,$A2,'07_Pallet_Contents'!$D$2:$D$3000))</f>
        <v>0</v>
      </c>
      <c r="Y1099">
        <f>IF($A2="","",SUMIF('07_Pallet_Contents'!$A$2:$A$3000,$A2,'07_Pallet_Contents'!$I$2:$I$3000))</f>
        <v>0</v>
      </c>
      <c r="Z1099" t="str">
        <f>IF($A2="","",IF(COUNTIF('07_Pallet_Contents'!$A$2:$A$3000,$A2)&gt;0,"Yes",""))</f>
        <v/>
      </c>
    </row>
    <row r="1100" spans="2:26">
      <c r="B1100" s="31"/>
      <c r="G1100" s="34"/>
      <c r="H1100" s="33" t="str">
        <f t="shared" si="25"/>
        <v/>
      </c>
      <c r="I1100" s="31"/>
      <c r="J1100" s="31"/>
      <c r="K1100" s="33"/>
      <c r="W1100">
        <f>IF($A2="","",COUNTIF('07_Pallet_Contents'!$A$2:$A$3000,$A2))</f>
        <v>0</v>
      </c>
      <c r="X1100">
        <f>IF($A2="","",SUMIF('07_Pallet_Contents'!$A$2:$A$3000,$A2,'07_Pallet_Contents'!$D$2:$D$3000))</f>
        <v>0</v>
      </c>
      <c r="Y1100">
        <f>IF($A2="","",SUMIF('07_Pallet_Contents'!$A$2:$A$3000,$A2,'07_Pallet_Contents'!$I$2:$I$3000))</f>
        <v>0</v>
      </c>
      <c r="Z1100" t="str">
        <f>IF($A2="","",IF(COUNTIF('07_Pallet_Contents'!$A$2:$A$3000,$A2)&gt;0,"Yes",""))</f>
        <v/>
      </c>
    </row>
    <row r="1101" spans="2:26">
      <c r="B1101" s="31"/>
      <c r="G1101" s="34"/>
      <c r="H1101" s="33" t="str">
        <f t="shared" si="25"/>
        <v/>
      </c>
      <c r="I1101" s="31"/>
      <c r="J1101" s="31"/>
      <c r="K1101" s="33"/>
      <c r="W1101">
        <f>IF($A2="","",COUNTIF('07_Pallet_Contents'!$A$2:$A$3000,$A2))</f>
        <v>0</v>
      </c>
      <c r="X1101">
        <f>IF($A2="","",SUMIF('07_Pallet_Contents'!$A$2:$A$3000,$A2,'07_Pallet_Contents'!$D$2:$D$3000))</f>
        <v>0</v>
      </c>
      <c r="Y1101">
        <f>IF($A2="","",SUMIF('07_Pallet_Contents'!$A$2:$A$3000,$A2,'07_Pallet_Contents'!$I$2:$I$3000))</f>
        <v>0</v>
      </c>
      <c r="Z1101" t="str">
        <f>IF($A2="","",IF(COUNTIF('07_Pallet_Contents'!$A$2:$A$3000,$A2)&gt;0,"Yes",""))</f>
        <v/>
      </c>
    </row>
    <row r="1102" spans="2:26">
      <c r="B1102" s="31"/>
      <c r="G1102" s="34"/>
      <c r="H1102" s="33" t="str">
        <f t="shared" si="25"/>
        <v/>
      </c>
      <c r="I1102" s="31"/>
      <c r="J1102" s="31"/>
      <c r="K1102" s="33"/>
      <c r="W1102">
        <f>IF($A2="","",COUNTIF('07_Pallet_Contents'!$A$2:$A$3000,$A2))</f>
        <v>0</v>
      </c>
      <c r="X1102">
        <f>IF($A2="","",SUMIF('07_Pallet_Contents'!$A$2:$A$3000,$A2,'07_Pallet_Contents'!$D$2:$D$3000))</f>
        <v>0</v>
      </c>
      <c r="Y1102">
        <f>IF($A2="","",SUMIF('07_Pallet_Contents'!$A$2:$A$3000,$A2,'07_Pallet_Contents'!$I$2:$I$3000))</f>
        <v>0</v>
      </c>
      <c r="Z1102" t="str">
        <f>IF($A2="","",IF(COUNTIF('07_Pallet_Contents'!$A$2:$A$3000,$A2)&gt;0,"Yes",""))</f>
        <v/>
      </c>
    </row>
    <row r="1103" spans="2:26">
      <c r="B1103" s="31"/>
      <c r="G1103" s="34"/>
      <c r="H1103" s="33" t="str">
        <f t="shared" si="25"/>
        <v/>
      </c>
      <c r="I1103" s="31"/>
      <c r="J1103" s="31"/>
      <c r="K1103" s="33"/>
      <c r="W1103">
        <f>IF($A2="","",COUNTIF('07_Pallet_Contents'!$A$2:$A$3000,$A2))</f>
        <v>0</v>
      </c>
      <c r="X1103">
        <f>IF($A2="","",SUMIF('07_Pallet_Contents'!$A$2:$A$3000,$A2,'07_Pallet_Contents'!$D$2:$D$3000))</f>
        <v>0</v>
      </c>
      <c r="Y1103">
        <f>IF($A2="","",SUMIF('07_Pallet_Contents'!$A$2:$A$3000,$A2,'07_Pallet_Contents'!$I$2:$I$3000))</f>
        <v>0</v>
      </c>
      <c r="Z1103" t="str">
        <f>IF($A2="","",IF(COUNTIF('07_Pallet_Contents'!$A$2:$A$3000,$A2)&gt;0,"Yes",""))</f>
        <v/>
      </c>
    </row>
    <row r="1104" spans="2:26">
      <c r="B1104" s="31"/>
      <c r="G1104" s="34"/>
      <c r="H1104" s="33" t="str">
        <f t="shared" si="25"/>
        <v/>
      </c>
      <c r="I1104" s="31"/>
      <c r="J1104" s="31"/>
      <c r="K1104" s="33"/>
      <c r="W1104">
        <f>IF($A2="","",COUNTIF('07_Pallet_Contents'!$A$2:$A$3000,$A2))</f>
        <v>0</v>
      </c>
      <c r="X1104">
        <f>IF($A2="","",SUMIF('07_Pallet_Contents'!$A$2:$A$3000,$A2,'07_Pallet_Contents'!$D$2:$D$3000))</f>
        <v>0</v>
      </c>
      <c r="Y1104">
        <f>IF($A2="","",SUMIF('07_Pallet_Contents'!$A$2:$A$3000,$A2,'07_Pallet_Contents'!$I$2:$I$3000))</f>
        <v>0</v>
      </c>
      <c r="Z1104" t="str">
        <f>IF($A2="","",IF(COUNTIF('07_Pallet_Contents'!$A$2:$A$3000,$A2)&gt;0,"Yes",""))</f>
        <v/>
      </c>
    </row>
    <row r="1105" spans="2:26">
      <c r="B1105" s="31"/>
      <c r="G1105" s="34"/>
      <c r="H1105" s="33" t="str">
        <f t="shared" si="25"/>
        <v/>
      </c>
      <c r="I1105" s="31"/>
      <c r="J1105" s="31"/>
      <c r="K1105" s="33"/>
      <c r="W1105">
        <f>IF($A2="","",COUNTIF('07_Pallet_Contents'!$A$2:$A$3000,$A2))</f>
        <v>0</v>
      </c>
      <c r="X1105">
        <f>IF($A2="","",SUMIF('07_Pallet_Contents'!$A$2:$A$3000,$A2,'07_Pallet_Contents'!$D$2:$D$3000))</f>
        <v>0</v>
      </c>
      <c r="Y1105">
        <f>IF($A2="","",SUMIF('07_Pallet_Contents'!$A$2:$A$3000,$A2,'07_Pallet_Contents'!$I$2:$I$3000))</f>
        <v>0</v>
      </c>
      <c r="Z1105" t="str">
        <f>IF($A2="","",IF(COUNTIF('07_Pallet_Contents'!$A$2:$A$3000,$A2)&gt;0,"Yes",""))</f>
        <v/>
      </c>
    </row>
    <row r="1106" spans="2:26">
      <c r="B1106" s="31"/>
      <c r="G1106" s="34"/>
      <c r="H1106" s="33" t="str">
        <f t="shared" si="25"/>
        <v/>
      </c>
      <c r="I1106" s="31"/>
      <c r="J1106" s="31"/>
      <c r="K1106" s="33"/>
      <c r="W1106">
        <f>IF($A2="","",COUNTIF('07_Pallet_Contents'!$A$2:$A$3000,$A2))</f>
        <v>0</v>
      </c>
      <c r="X1106">
        <f>IF($A2="","",SUMIF('07_Pallet_Contents'!$A$2:$A$3000,$A2,'07_Pallet_Contents'!$D$2:$D$3000))</f>
        <v>0</v>
      </c>
      <c r="Y1106">
        <f>IF($A2="","",SUMIF('07_Pallet_Contents'!$A$2:$A$3000,$A2,'07_Pallet_Contents'!$I$2:$I$3000))</f>
        <v>0</v>
      </c>
      <c r="Z1106" t="str">
        <f>IF($A2="","",IF(COUNTIF('07_Pallet_Contents'!$A$2:$A$3000,$A2)&gt;0,"Yes",""))</f>
        <v/>
      </c>
    </row>
    <row r="1107" spans="2:26">
      <c r="B1107" s="31"/>
      <c r="G1107" s="34"/>
      <c r="H1107" s="33" t="str">
        <f t="shared" si="25"/>
        <v/>
      </c>
      <c r="I1107" s="31"/>
      <c r="J1107" s="31"/>
      <c r="K1107" s="33"/>
      <c r="W1107">
        <f>IF($A2="","",COUNTIF('07_Pallet_Contents'!$A$2:$A$3000,$A2))</f>
        <v>0</v>
      </c>
      <c r="X1107">
        <f>IF($A2="","",SUMIF('07_Pallet_Contents'!$A$2:$A$3000,$A2,'07_Pallet_Contents'!$D$2:$D$3000))</f>
        <v>0</v>
      </c>
      <c r="Y1107">
        <f>IF($A2="","",SUMIF('07_Pallet_Contents'!$A$2:$A$3000,$A2,'07_Pallet_Contents'!$I$2:$I$3000))</f>
        <v>0</v>
      </c>
      <c r="Z1107" t="str">
        <f>IF($A2="","",IF(COUNTIF('07_Pallet_Contents'!$A$2:$A$3000,$A2)&gt;0,"Yes",""))</f>
        <v/>
      </c>
    </row>
    <row r="1108" spans="2:26">
      <c r="B1108" s="31"/>
      <c r="G1108" s="34"/>
      <c r="H1108" s="33" t="str">
        <f t="shared" si="25"/>
        <v/>
      </c>
      <c r="I1108" s="31"/>
      <c r="J1108" s="31"/>
      <c r="K1108" s="33"/>
      <c r="W1108">
        <f>IF($A2="","",COUNTIF('07_Pallet_Contents'!$A$2:$A$3000,$A2))</f>
        <v>0</v>
      </c>
      <c r="X1108">
        <f>IF($A2="","",SUMIF('07_Pallet_Contents'!$A$2:$A$3000,$A2,'07_Pallet_Contents'!$D$2:$D$3000))</f>
        <v>0</v>
      </c>
      <c r="Y1108">
        <f>IF($A2="","",SUMIF('07_Pallet_Contents'!$A$2:$A$3000,$A2,'07_Pallet_Contents'!$I$2:$I$3000))</f>
        <v>0</v>
      </c>
      <c r="Z1108" t="str">
        <f>IF($A2="","",IF(COUNTIF('07_Pallet_Contents'!$A$2:$A$3000,$A2)&gt;0,"Yes",""))</f>
        <v/>
      </c>
    </row>
    <row r="1109" spans="2:26">
      <c r="B1109" s="31"/>
      <c r="G1109" s="34"/>
      <c r="H1109" s="33" t="str">
        <f t="shared" si="25"/>
        <v/>
      </c>
      <c r="I1109" s="31"/>
      <c r="J1109" s="31"/>
      <c r="K1109" s="33"/>
      <c r="W1109">
        <f>IF($A2="","",COUNTIF('07_Pallet_Contents'!$A$2:$A$3000,$A2))</f>
        <v>0</v>
      </c>
      <c r="X1109">
        <f>IF($A2="","",SUMIF('07_Pallet_Contents'!$A$2:$A$3000,$A2,'07_Pallet_Contents'!$D$2:$D$3000))</f>
        <v>0</v>
      </c>
      <c r="Y1109">
        <f>IF($A2="","",SUMIF('07_Pallet_Contents'!$A$2:$A$3000,$A2,'07_Pallet_Contents'!$I$2:$I$3000))</f>
        <v>0</v>
      </c>
      <c r="Z1109" t="str">
        <f>IF($A2="","",IF(COUNTIF('07_Pallet_Contents'!$A$2:$A$3000,$A2)&gt;0,"Yes",""))</f>
        <v/>
      </c>
    </row>
    <row r="1110" spans="2:26">
      <c r="B1110" s="31"/>
      <c r="G1110" s="34"/>
      <c r="H1110" s="33" t="str">
        <f t="shared" si="25"/>
        <v/>
      </c>
      <c r="I1110" s="31"/>
      <c r="J1110" s="31"/>
      <c r="K1110" s="33"/>
      <c r="W1110">
        <f>IF($A2="","",COUNTIF('07_Pallet_Contents'!$A$2:$A$3000,$A2))</f>
        <v>0</v>
      </c>
      <c r="X1110">
        <f>IF($A2="","",SUMIF('07_Pallet_Contents'!$A$2:$A$3000,$A2,'07_Pallet_Contents'!$D$2:$D$3000))</f>
        <v>0</v>
      </c>
      <c r="Y1110">
        <f>IF($A2="","",SUMIF('07_Pallet_Contents'!$A$2:$A$3000,$A2,'07_Pallet_Contents'!$I$2:$I$3000))</f>
        <v>0</v>
      </c>
      <c r="Z1110" t="str">
        <f>IF($A2="","",IF(COUNTIF('07_Pallet_Contents'!$A$2:$A$3000,$A2)&gt;0,"Yes",""))</f>
        <v/>
      </c>
    </row>
    <row r="1111" spans="2:26">
      <c r="B1111" s="31"/>
      <c r="G1111" s="34"/>
      <c r="H1111" s="33" t="str">
        <f t="shared" si="25"/>
        <v/>
      </c>
      <c r="I1111" s="31"/>
      <c r="J1111" s="31"/>
      <c r="K1111" s="33"/>
      <c r="W1111">
        <f>IF($A2="","",COUNTIF('07_Pallet_Contents'!$A$2:$A$3000,$A2))</f>
        <v>0</v>
      </c>
      <c r="X1111">
        <f>IF($A2="","",SUMIF('07_Pallet_Contents'!$A$2:$A$3000,$A2,'07_Pallet_Contents'!$D$2:$D$3000))</f>
        <v>0</v>
      </c>
      <c r="Y1111">
        <f>IF($A2="","",SUMIF('07_Pallet_Contents'!$A$2:$A$3000,$A2,'07_Pallet_Contents'!$I$2:$I$3000))</f>
        <v>0</v>
      </c>
      <c r="Z1111" t="str">
        <f>IF($A2="","",IF(COUNTIF('07_Pallet_Contents'!$A$2:$A$3000,$A2)&gt;0,"Yes",""))</f>
        <v/>
      </c>
    </row>
    <row r="1112" spans="2:26">
      <c r="B1112" s="31"/>
      <c r="G1112" s="34"/>
      <c r="H1112" s="33" t="str">
        <f t="shared" si="25"/>
        <v/>
      </c>
      <c r="I1112" s="31"/>
      <c r="J1112" s="31"/>
      <c r="K1112" s="33"/>
      <c r="W1112">
        <f>IF($A2="","",COUNTIF('07_Pallet_Contents'!$A$2:$A$3000,$A2))</f>
        <v>0</v>
      </c>
      <c r="X1112">
        <f>IF($A2="","",SUMIF('07_Pallet_Contents'!$A$2:$A$3000,$A2,'07_Pallet_Contents'!$D$2:$D$3000))</f>
        <v>0</v>
      </c>
      <c r="Y1112">
        <f>IF($A2="","",SUMIF('07_Pallet_Contents'!$A$2:$A$3000,$A2,'07_Pallet_Contents'!$I$2:$I$3000))</f>
        <v>0</v>
      </c>
      <c r="Z1112" t="str">
        <f>IF($A2="","",IF(COUNTIF('07_Pallet_Contents'!$A$2:$A$3000,$A2)&gt;0,"Yes",""))</f>
        <v/>
      </c>
    </row>
    <row r="1113" spans="2:26">
      <c r="B1113" s="31"/>
      <c r="G1113" s="34"/>
      <c r="H1113" s="33" t="str">
        <f t="shared" si="25"/>
        <v/>
      </c>
      <c r="I1113" s="31"/>
      <c r="J1113" s="31"/>
      <c r="K1113" s="33"/>
      <c r="W1113">
        <f>IF($A2="","",COUNTIF('07_Pallet_Contents'!$A$2:$A$3000,$A2))</f>
        <v>0</v>
      </c>
      <c r="X1113">
        <f>IF($A2="","",SUMIF('07_Pallet_Contents'!$A$2:$A$3000,$A2,'07_Pallet_Contents'!$D$2:$D$3000))</f>
        <v>0</v>
      </c>
      <c r="Y1113">
        <f>IF($A2="","",SUMIF('07_Pallet_Contents'!$A$2:$A$3000,$A2,'07_Pallet_Contents'!$I$2:$I$3000))</f>
        <v>0</v>
      </c>
      <c r="Z1113" t="str">
        <f>IF($A2="","",IF(COUNTIF('07_Pallet_Contents'!$A$2:$A$3000,$A2)&gt;0,"Yes",""))</f>
        <v/>
      </c>
    </row>
    <row r="1114" spans="2:26">
      <c r="B1114" s="31"/>
      <c r="G1114" s="34"/>
      <c r="H1114" s="33" t="str">
        <f t="shared" si="25"/>
        <v/>
      </c>
      <c r="I1114" s="31"/>
      <c r="J1114" s="31"/>
      <c r="K1114" s="33"/>
      <c r="W1114">
        <f>IF($A2="","",COUNTIF('07_Pallet_Contents'!$A$2:$A$3000,$A2))</f>
        <v>0</v>
      </c>
      <c r="X1114">
        <f>IF($A2="","",SUMIF('07_Pallet_Contents'!$A$2:$A$3000,$A2,'07_Pallet_Contents'!$D$2:$D$3000))</f>
        <v>0</v>
      </c>
      <c r="Y1114">
        <f>IF($A2="","",SUMIF('07_Pallet_Contents'!$A$2:$A$3000,$A2,'07_Pallet_Contents'!$I$2:$I$3000))</f>
        <v>0</v>
      </c>
      <c r="Z1114" t="str">
        <f>IF($A2="","",IF(COUNTIF('07_Pallet_Contents'!$A$2:$A$3000,$A2)&gt;0,"Yes",""))</f>
        <v/>
      </c>
    </row>
    <row r="1115" spans="2:26">
      <c r="B1115" s="31"/>
      <c r="G1115" s="34"/>
      <c r="H1115" s="33" t="str">
        <f t="shared" si="25"/>
        <v/>
      </c>
      <c r="I1115" s="31"/>
      <c r="J1115" s="31"/>
      <c r="K1115" s="33"/>
      <c r="W1115">
        <f>IF($A2="","",COUNTIF('07_Pallet_Contents'!$A$2:$A$3000,$A2))</f>
        <v>0</v>
      </c>
      <c r="X1115">
        <f>IF($A2="","",SUMIF('07_Pallet_Contents'!$A$2:$A$3000,$A2,'07_Pallet_Contents'!$D$2:$D$3000))</f>
        <v>0</v>
      </c>
      <c r="Y1115">
        <f>IF($A2="","",SUMIF('07_Pallet_Contents'!$A$2:$A$3000,$A2,'07_Pallet_Contents'!$I$2:$I$3000))</f>
        <v>0</v>
      </c>
      <c r="Z1115" t="str">
        <f>IF($A2="","",IF(COUNTIF('07_Pallet_Contents'!$A$2:$A$3000,$A2)&gt;0,"Yes",""))</f>
        <v/>
      </c>
    </row>
    <row r="1116" spans="2:26">
      <c r="B1116" s="31"/>
      <c r="G1116" s="34"/>
      <c r="H1116" s="33" t="str">
        <f t="shared" si="25"/>
        <v/>
      </c>
      <c r="I1116" s="31"/>
      <c r="J1116" s="31"/>
      <c r="K1116" s="33"/>
      <c r="W1116">
        <f>IF($A2="","",COUNTIF('07_Pallet_Contents'!$A$2:$A$3000,$A2))</f>
        <v>0</v>
      </c>
      <c r="X1116">
        <f>IF($A2="","",SUMIF('07_Pallet_Contents'!$A$2:$A$3000,$A2,'07_Pallet_Contents'!$D$2:$D$3000))</f>
        <v>0</v>
      </c>
      <c r="Y1116">
        <f>IF($A2="","",SUMIF('07_Pallet_Contents'!$A$2:$A$3000,$A2,'07_Pallet_Contents'!$I$2:$I$3000))</f>
        <v>0</v>
      </c>
      <c r="Z1116" t="str">
        <f>IF($A2="","",IF(COUNTIF('07_Pallet_Contents'!$A$2:$A$3000,$A2)&gt;0,"Yes",""))</f>
        <v/>
      </c>
    </row>
    <row r="1117" spans="2:26">
      <c r="B1117" s="31"/>
      <c r="G1117" s="34"/>
      <c r="H1117" s="33" t="str">
        <f t="shared" si="25"/>
        <v/>
      </c>
      <c r="I1117" s="31"/>
      <c r="J1117" s="31"/>
      <c r="K1117" s="33"/>
      <c r="W1117">
        <f>IF($A2="","",COUNTIF('07_Pallet_Contents'!$A$2:$A$3000,$A2))</f>
        <v>0</v>
      </c>
      <c r="X1117">
        <f>IF($A2="","",SUMIF('07_Pallet_Contents'!$A$2:$A$3000,$A2,'07_Pallet_Contents'!$D$2:$D$3000))</f>
        <v>0</v>
      </c>
      <c r="Y1117">
        <f>IF($A2="","",SUMIF('07_Pallet_Contents'!$A$2:$A$3000,$A2,'07_Pallet_Contents'!$I$2:$I$3000))</f>
        <v>0</v>
      </c>
      <c r="Z1117" t="str">
        <f>IF($A2="","",IF(COUNTIF('07_Pallet_Contents'!$A$2:$A$3000,$A2)&gt;0,"Yes",""))</f>
        <v/>
      </c>
    </row>
    <row r="1118" spans="2:26">
      <c r="B1118" s="31"/>
      <c r="G1118" s="34"/>
      <c r="H1118" s="33" t="str">
        <f t="shared" si="25"/>
        <v/>
      </c>
      <c r="I1118" s="31"/>
      <c r="J1118" s="31"/>
      <c r="K1118" s="33"/>
      <c r="W1118">
        <f>IF($A2="","",COUNTIF('07_Pallet_Contents'!$A$2:$A$3000,$A2))</f>
        <v>0</v>
      </c>
      <c r="X1118">
        <f>IF($A2="","",SUMIF('07_Pallet_Contents'!$A$2:$A$3000,$A2,'07_Pallet_Contents'!$D$2:$D$3000))</f>
        <v>0</v>
      </c>
      <c r="Y1118">
        <f>IF($A2="","",SUMIF('07_Pallet_Contents'!$A$2:$A$3000,$A2,'07_Pallet_Contents'!$I$2:$I$3000))</f>
        <v>0</v>
      </c>
      <c r="Z1118" t="str">
        <f>IF($A2="","",IF(COUNTIF('07_Pallet_Contents'!$A$2:$A$3000,$A2)&gt;0,"Yes",""))</f>
        <v/>
      </c>
    </row>
    <row r="1119" spans="2:26">
      <c r="B1119" s="31"/>
      <c r="G1119" s="34"/>
      <c r="H1119" s="33" t="str">
        <f t="shared" si="25"/>
        <v/>
      </c>
      <c r="I1119" s="31"/>
      <c r="J1119" s="31"/>
      <c r="K1119" s="33"/>
      <c r="W1119">
        <f>IF($A2="","",COUNTIF('07_Pallet_Contents'!$A$2:$A$3000,$A2))</f>
        <v>0</v>
      </c>
      <c r="X1119">
        <f>IF($A2="","",SUMIF('07_Pallet_Contents'!$A$2:$A$3000,$A2,'07_Pallet_Contents'!$D$2:$D$3000))</f>
        <v>0</v>
      </c>
      <c r="Y1119">
        <f>IF($A2="","",SUMIF('07_Pallet_Contents'!$A$2:$A$3000,$A2,'07_Pallet_Contents'!$I$2:$I$3000))</f>
        <v>0</v>
      </c>
      <c r="Z1119" t="str">
        <f>IF($A2="","",IF(COUNTIF('07_Pallet_Contents'!$A$2:$A$3000,$A2)&gt;0,"Yes",""))</f>
        <v/>
      </c>
    </row>
    <row r="1120" spans="2:26">
      <c r="B1120" s="31"/>
      <c r="G1120" s="34"/>
      <c r="H1120" s="33" t="str">
        <f t="shared" si="25"/>
        <v/>
      </c>
      <c r="I1120" s="31"/>
      <c r="J1120" s="31"/>
      <c r="K1120" s="33"/>
      <c r="W1120">
        <f>IF($A2="","",COUNTIF('07_Pallet_Contents'!$A$2:$A$3000,$A2))</f>
        <v>0</v>
      </c>
      <c r="X1120">
        <f>IF($A2="","",SUMIF('07_Pallet_Contents'!$A$2:$A$3000,$A2,'07_Pallet_Contents'!$D$2:$D$3000))</f>
        <v>0</v>
      </c>
      <c r="Y1120">
        <f>IF($A2="","",SUMIF('07_Pallet_Contents'!$A$2:$A$3000,$A2,'07_Pallet_Contents'!$I$2:$I$3000))</f>
        <v>0</v>
      </c>
      <c r="Z1120" t="str">
        <f>IF($A2="","",IF(COUNTIF('07_Pallet_Contents'!$A$2:$A$3000,$A2)&gt;0,"Yes",""))</f>
        <v/>
      </c>
    </row>
    <row r="1121" spans="2:26">
      <c r="B1121" s="31"/>
      <c r="G1121" s="34"/>
      <c r="H1121" s="33" t="str">
        <f t="shared" si="25"/>
        <v/>
      </c>
      <c r="I1121" s="31"/>
      <c r="J1121" s="31"/>
      <c r="K1121" s="33"/>
      <c r="W1121">
        <f>IF($A2="","",COUNTIF('07_Pallet_Contents'!$A$2:$A$3000,$A2))</f>
        <v>0</v>
      </c>
      <c r="X1121">
        <f>IF($A2="","",SUMIF('07_Pallet_Contents'!$A$2:$A$3000,$A2,'07_Pallet_Contents'!$D$2:$D$3000))</f>
        <v>0</v>
      </c>
      <c r="Y1121">
        <f>IF($A2="","",SUMIF('07_Pallet_Contents'!$A$2:$A$3000,$A2,'07_Pallet_Contents'!$I$2:$I$3000))</f>
        <v>0</v>
      </c>
      <c r="Z1121" t="str">
        <f>IF($A2="","",IF(COUNTIF('07_Pallet_Contents'!$A$2:$A$3000,$A2)&gt;0,"Yes",""))</f>
        <v/>
      </c>
    </row>
    <row r="1122" spans="2:26">
      <c r="B1122" s="31"/>
      <c r="G1122" s="34"/>
      <c r="H1122" s="33" t="str">
        <f t="shared" si="25"/>
        <v/>
      </c>
      <c r="I1122" s="31"/>
      <c r="J1122" s="31"/>
      <c r="K1122" s="33"/>
      <c r="W1122">
        <f>IF($A2="","",COUNTIF('07_Pallet_Contents'!$A$2:$A$3000,$A2))</f>
        <v>0</v>
      </c>
      <c r="X1122">
        <f>IF($A2="","",SUMIF('07_Pallet_Contents'!$A$2:$A$3000,$A2,'07_Pallet_Contents'!$D$2:$D$3000))</f>
        <v>0</v>
      </c>
      <c r="Y1122">
        <f>IF($A2="","",SUMIF('07_Pallet_Contents'!$A$2:$A$3000,$A2,'07_Pallet_Contents'!$I$2:$I$3000))</f>
        <v>0</v>
      </c>
      <c r="Z1122" t="str">
        <f>IF($A2="","",IF(COUNTIF('07_Pallet_Contents'!$A$2:$A$3000,$A2)&gt;0,"Yes",""))</f>
        <v/>
      </c>
    </row>
    <row r="1123" spans="2:26">
      <c r="B1123" s="31"/>
      <c r="G1123" s="34"/>
      <c r="H1123" s="33" t="str">
        <f t="shared" si="25"/>
        <v/>
      </c>
      <c r="I1123" s="31"/>
      <c r="J1123" s="31"/>
      <c r="K1123" s="33"/>
      <c r="W1123">
        <f>IF($A2="","",COUNTIF('07_Pallet_Contents'!$A$2:$A$3000,$A2))</f>
        <v>0</v>
      </c>
      <c r="X1123">
        <f>IF($A2="","",SUMIF('07_Pallet_Contents'!$A$2:$A$3000,$A2,'07_Pallet_Contents'!$D$2:$D$3000))</f>
        <v>0</v>
      </c>
      <c r="Y1123">
        <f>IF($A2="","",SUMIF('07_Pallet_Contents'!$A$2:$A$3000,$A2,'07_Pallet_Contents'!$I$2:$I$3000))</f>
        <v>0</v>
      </c>
      <c r="Z1123" t="str">
        <f>IF($A2="","",IF(COUNTIF('07_Pallet_Contents'!$A$2:$A$3000,$A2)&gt;0,"Yes",""))</f>
        <v/>
      </c>
    </row>
    <row r="1124" spans="2:26">
      <c r="B1124" s="31"/>
      <c r="G1124" s="34"/>
      <c r="H1124" s="33" t="str">
        <f t="shared" si="25"/>
        <v/>
      </c>
      <c r="I1124" s="31"/>
      <c r="J1124" s="31"/>
      <c r="K1124" s="33"/>
      <c r="W1124">
        <f>IF($A2="","",COUNTIF('07_Pallet_Contents'!$A$2:$A$3000,$A2))</f>
        <v>0</v>
      </c>
      <c r="X1124">
        <f>IF($A2="","",SUMIF('07_Pallet_Contents'!$A$2:$A$3000,$A2,'07_Pallet_Contents'!$D$2:$D$3000))</f>
        <v>0</v>
      </c>
      <c r="Y1124">
        <f>IF($A2="","",SUMIF('07_Pallet_Contents'!$A$2:$A$3000,$A2,'07_Pallet_Contents'!$I$2:$I$3000))</f>
        <v>0</v>
      </c>
      <c r="Z1124" t="str">
        <f>IF($A2="","",IF(COUNTIF('07_Pallet_Contents'!$A$2:$A$3000,$A2)&gt;0,"Yes",""))</f>
        <v/>
      </c>
    </row>
    <row r="1125" spans="2:26">
      <c r="B1125" s="31"/>
      <c r="G1125" s="34"/>
      <c r="H1125" s="33" t="str">
        <f t="shared" si="25"/>
        <v/>
      </c>
      <c r="I1125" s="31"/>
      <c r="J1125" s="31"/>
      <c r="K1125" s="33"/>
      <c r="W1125">
        <f>IF($A2="","",COUNTIF('07_Pallet_Contents'!$A$2:$A$3000,$A2))</f>
        <v>0</v>
      </c>
      <c r="X1125">
        <f>IF($A2="","",SUMIF('07_Pallet_Contents'!$A$2:$A$3000,$A2,'07_Pallet_Contents'!$D$2:$D$3000))</f>
        <v>0</v>
      </c>
      <c r="Y1125">
        <f>IF($A2="","",SUMIF('07_Pallet_Contents'!$A$2:$A$3000,$A2,'07_Pallet_Contents'!$I$2:$I$3000))</f>
        <v>0</v>
      </c>
      <c r="Z1125" t="str">
        <f>IF($A2="","",IF(COUNTIF('07_Pallet_Contents'!$A$2:$A$3000,$A2)&gt;0,"Yes",""))</f>
        <v/>
      </c>
    </row>
    <row r="1126" spans="2:26">
      <c r="B1126" s="31"/>
      <c r="G1126" s="34"/>
      <c r="H1126" s="33" t="str">
        <f t="shared" si="25"/>
        <v/>
      </c>
      <c r="I1126" s="31"/>
      <c r="J1126" s="31"/>
      <c r="K1126" s="33"/>
      <c r="W1126">
        <f>IF($A2="","",COUNTIF('07_Pallet_Contents'!$A$2:$A$3000,$A2))</f>
        <v>0</v>
      </c>
      <c r="X1126">
        <f>IF($A2="","",SUMIF('07_Pallet_Contents'!$A$2:$A$3000,$A2,'07_Pallet_Contents'!$D$2:$D$3000))</f>
        <v>0</v>
      </c>
      <c r="Y1126">
        <f>IF($A2="","",SUMIF('07_Pallet_Contents'!$A$2:$A$3000,$A2,'07_Pallet_Contents'!$I$2:$I$3000))</f>
        <v>0</v>
      </c>
      <c r="Z1126" t="str">
        <f>IF($A2="","",IF(COUNTIF('07_Pallet_Contents'!$A$2:$A$3000,$A2)&gt;0,"Yes",""))</f>
        <v/>
      </c>
    </row>
    <row r="1127" spans="2:26">
      <c r="B1127" s="31"/>
      <c r="G1127" s="34"/>
      <c r="H1127" s="33" t="str">
        <f t="shared" si="25"/>
        <v/>
      </c>
      <c r="I1127" s="31"/>
      <c r="J1127" s="31"/>
      <c r="K1127" s="33"/>
      <c r="W1127">
        <f>IF($A2="","",COUNTIF('07_Pallet_Contents'!$A$2:$A$3000,$A2))</f>
        <v>0</v>
      </c>
      <c r="X1127">
        <f>IF($A2="","",SUMIF('07_Pallet_Contents'!$A$2:$A$3000,$A2,'07_Pallet_Contents'!$D$2:$D$3000))</f>
        <v>0</v>
      </c>
      <c r="Y1127">
        <f>IF($A2="","",SUMIF('07_Pallet_Contents'!$A$2:$A$3000,$A2,'07_Pallet_Contents'!$I$2:$I$3000))</f>
        <v>0</v>
      </c>
      <c r="Z1127" t="str">
        <f>IF($A2="","",IF(COUNTIF('07_Pallet_Contents'!$A$2:$A$3000,$A2)&gt;0,"Yes",""))</f>
        <v/>
      </c>
    </row>
    <row r="1128" spans="2:26">
      <c r="B1128" s="31"/>
      <c r="G1128" s="34"/>
      <c r="H1128" s="33" t="str">
        <f t="shared" si="25"/>
        <v/>
      </c>
      <c r="I1128" s="31"/>
      <c r="J1128" s="31"/>
      <c r="K1128" s="33"/>
      <c r="W1128">
        <f>IF($A2="","",COUNTIF('07_Pallet_Contents'!$A$2:$A$3000,$A2))</f>
        <v>0</v>
      </c>
      <c r="X1128">
        <f>IF($A2="","",SUMIF('07_Pallet_Contents'!$A$2:$A$3000,$A2,'07_Pallet_Contents'!$D$2:$D$3000))</f>
        <v>0</v>
      </c>
      <c r="Y1128">
        <f>IF($A2="","",SUMIF('07_Pallet_Contents'!$A$2:$A$3000,$A2,'07_Pallet_Contents'!$I$2:$I$3000))</f>
        <v>0</v>
      </c>
      <c r="Z1128" t="str">
        <f>IF($A2="","",IF(COUNTIF('07_Pallet_Contents'!$A$2:$A$3000,$A2)&gt;0,"Yes",""))</f>
        <v/>
      </c>
    </row>
    <row r="1129" spans="2:26">
      <c r="B1129" s="31"/>
      <c r="G1129" s="34"/>
      <c r="H1129" s="33" t="str">
        <f t="shared" si="25"/>
        <v/>
      </c>
      <c r="I1129" s="31"/>
      <c r="J1129" s="31"/>
      <c r="K1129" s="33"/>
      <c r="W1129">
        <f>IF($A2="","",COUNTIF('07_Pallet_Contents'!$A$2:$A$3000,$A2))</f>
        <v>0</v>
      </c>
      <c r="X1129">
        <f>IF($A2="","",SUMIF('07_Pallet_Contents'!$A$2:$A$3000,$A2,'07_Pallet_Contents'!$D$2:$D$3000))</f>
        <v>0</v>
      </c>
      <c r="Y1129">
        <f>IF($A2="","",SUMIF('07_Pallet_Contents'!$A$2:$A$3000,$A2,'07_Pallet_Contents'!$I$2:$I$3000))</f>
        <v>0</v>
      </c>
      <c r="Z1129" t="str">
        <f>IF($A2="","",IF(COUNTIF('07_Pallet_Contents'!$A$2:$A$3000,$A2)&gt;0,"Yes",""))</f>
        <v/>
      </c>
    </row>
    <row r="1130" spans="2:26">
      <c r="B1130" s="31"/>
      <c r="G1130" s="34"/>
      <c r="H1130" s="33" t="str">
        <f t="shared" si="25"/>
        <v/>
      </c>
      <c r="I1130" s="31"/>
      <c r="J1130" s="31"/>
      <c r="K1130" s="33"/>
      <c r="W1130">
        <f>IF($A2="","",COUNTIF('07_Pallet_Contents'!$A$2:$A$3000,$A2))</f>
        <v>0</v>
      </c>
      <c r="X1130">
        <f>IF($A2="","",SUMIF('07_Pallet_Contents'!$A$2:$A$3000,$A2,'07_Pallet_Contents'!$D$2:$D$3000))</f>
        <v>0</v>
      </c>
      <c r="Y1130">
        <f>IF($A2="","",SUMIF('07_Pallet_Contents'!$A$2:$A$3000,$A2,'07_Pallet_Contents'!$I$2:$I$3000))</f>
        <v>0</v>
      </c>
      <c r="Z1130" t="str">
        <f>IF($A2="","",IF(COUNTIF('07_Pallet_Contents'!$A$2:$A$3000,$A2)&gt;0,"Yes",""))</f>
        <v/>
      </c>
    </row>
    <row r="1131" spans="2:26">
      <c r="B1131" s="31"/>
      <c r="G1131" s="34"/>
      <c r="H1131" s="33" t="str">
        <f t="shared" si="25"/>
        <v/>
      </c>
      <c r="I1131" s="31"/>
      <c r="J1131" s="31"/>
      <c r="K1131" s="33"/>
      <c r="W1131">
        <f>IF($A2="","",COUNTIF('07_Pallet_Contents'!$A$2:$A$3000,$A2))</f>
        <v>0</v>
      </c>
      <c r="X1131">
        <f>IF($A2="","",SUMIF('07_Pallet_Contents'!$A$2:$A$3000,$A2,'07_Pallet_Contents'!$D$2:$D$3000))</f>
        <v>0</v>
      </c>
      <c r="Y1131">
        <f>IF($A2="","",SUMIF('07_Pallet_Contents'!$A$2:$A$3000,$A2,'07_Pallet_Contents'!$I$2:$I$3000))</f>
        <v>0</v>
      </c>
      <c r="Z1131" t="str">
        <f>IF($A2="","",IF(COUNTIF('07_Pallet_Contents'!$A$2:$A$3000,$A2)&gt;0,"Yes",""))</f>
        <v/>
      </c>
    </row>
    <row r="1132" spans="2:26">
      <c r="B1132" s="31"/>
      <c r="G1132" s="34"/>
      <c r="H1132" s="33" t="str">
        <f t="shared" si="25"/>
        <v/>
      </c>
      <c r="I1132" s="31"/>
      <c r="J1132" s="31"/>
      <c r="K1132" s="33"/>
      <c r="W1132">
        <f>IF($A2="","",COUNTIF('07_Pallet_Contents'!$A$2:$A$3000,$A2))</f>
        <v>0</v>
      </c>
      <c r="X1132">
        <f>IF($A2="","",SUMIF('07_Pallet_Contents'!$A$2:$A$3000,$A2,'07_Pallet_Contents'!$D$2:$D$3000))</f>
        <v>0</v>
      </c>
      <c r="Y1132">
        <f>IF($A2="","",SUMIF('07_Pallet_Contents'!$A$2:$A$3000,$A2,'07_Pallet_Contents'!$I$2:$I$3000))</f>
        <v>0</v>
      </c>
      <c r="Z1132" t="str">
        <f>IF($A2="","",IF(COUNTIF('07_Pallet_Contents'!$A$2:$A$3000,$A2)&gt;0,"Yes",""))</f>
        <v/>
      </c>
    </row>
    <row r="1133" spans="2:26">
      <c r="B1133" s="31"/>
      <c r="G1133" s="34"/>
      <c r="H1133" s="33" t="str">
        <f t="shared" si="25"/>
        <v/>
      </c>
      <c r="I1133" s="31"/>
      <c r="J1133" s="31"/>
      <c r="K1133" s="33"/>
      <c r="W1133">
        <f>IF($A2="","",COUNTIF('07_Pallet_Contents'!$A$2:$A$3000,$A2))</f>
        <v>0</v>
      </c>
      <c r="X1133">
        <f>IF($A2="","",SUMIF('07_Pallet_Contents'!$A$2:$A$3000,$A2,'07_Pallet_Contents'!$D$2:$D$3000))</f>
        <v>0</v>
      </c>
      <c r="Y1133">
        <f>IF($A2="","",SUMIF('07_Pallet_Contents'!$A$2:$A$3000,$A2,'07_Pallet_Contents'!$I$2:$I$3000))</f>
        <v>0</v>
      </c>
      <c r="Z1133" t="str">
        <f>IF($A2="","",IF(COUNTIF('07_Pallet_Contents'!$A$2:$A$3000,$A2)&gt;0,"Yes",""))</f>
        <v/>
      </c>
    </row>
    <row r="1134" spans="2:26">
      <c r="B1134" s="31"/>
      <c r="G1134" s="34"/>
      <c r="H1134" s="33" t="str">
        <f t="shared" si="25"/>
        <v/>
      </c>
      <c r="I1134" s="31"/>
      <c r="J1134" s="31"/>
      <c r="K1134" s="33"/>
      <c r="W1134">
        <f>IF($A2="","",COUNTIF('07_Pallet_Contents'!$A$2:$A$3000,$A2))</f>
        <v>0</v>
      </c>
      <c r="X1134">
        <f>IF($A2="","",SUMIF('07_Pallet_Contents'!$A$2:$A$3000,$A2,'07_Pallet_Contents'!$D$2:$D$3000))</f>
        <v>0</v>
      </c>
      <c r="Y1134">
        <f>IF($A2="","",SUMIF('07_Pallet_Contents'!$A$2:$A$3000,$A2,'07_Pallet_Contents'!$I$2:$I$3000))</f>
        <v>0</v>
      </c>
      <c r="Z1134" t="str">
        <f>IF($A2="","",IF(COUNTIF('07_Pallet_Contents'!$A$2:$A$3000,$A2)&gt;0,"Yes",""))</f>
        <v/>
      </c>
    </row>
    <row r="1135" spans="2:26">
      <c r="B1135" s="31"/>
      <c r="G1135" s="34"/>
      <c r="H1135" s="33" t="str">
        <f t="shared" si="25"/>
        <v/>
      </c>
      <c r="I1135" s="31"/>
      <c r="J1135" s="31"/>
      <c r="K1135" s="33"/>
      <c r="W1135">
        <f>IF($A2="","",COUNTIF('07_Pallet_Contents'!$A$2:$A$3000,$A2))</f>
        <v>0</v>
      </c>
      <c r="X1135">
        <f>IF($A2="","",SUMIF('07_Pallet_Contents'!$A$2:$A$3000,$A2,'07_Pallet_Contents'!$D$2:$D$3000))</f>
        <v>0</v>
      </c>
      <c r="Y1135">
        <f>IF($A2="","",SUMIF('07_Pallet_Contents'!$A$2:$A$3000,$A2,'07_Pallet_Contents'!$I$2:$I$3000))</f>
        <v>0</v>
      </c>
      <c r="Z1135" t="str">
        <f>IF($A2="","",IF(COUNTIF('07_Pallet_Contents'!$A$2:$A$3000,$A2)&gt;0,"Yes",""))</f>
        <v/>
      </c>
    </row>
    <row r="1136" spans="2:26">
      <c r="B1136" s="31"/>
      <c r="G1136" s="34"/>
      <c r="H1136" s="33" t="str">
        <f t="shared" si="25"/>
        <v/>
      </c>
      <c r="I1136" s="31"/>
      <c r="J1136" s="31"/>
      <c r="K1136" s="33"/>
      <c r="W1136">
        <f>IF($A2="","",COUNTIF('07_Pallet_Contents'!$A$2:$A$3000,$A2))</f>
        <v>0</v>
      </c>
      <c r="X1136">
        <f>IF($A2="","",SUMIF('07_Pallet_Contents'!$A$2:$A$3000,$A2,'07_Pallet_Contents'!$D$2:$D$3000))</f>
        <v>0</v>
      </c>
      <c r="Y1136">
        <f>IF($A2="","",SUMIF('07_Pallet_Contents'!$A$2:$A$3000,$A2,'07_Pallet_Contents'!$I$2:$I$3000))</f>
        <v>0</v>
      </c>
      <c r="Z1136" t="str">
        <f>IF($A2="","",IF(COUNTIF('07_Pallet_Contents'!$A$2:$A$3000,$A2)&gt;0,"Yes",""))</f>
        <v/>
      </c>
    </row>
    <row r="1137" spans="2:26">
      <c r="B1137" s="31"/>
      <c r="G1137" s="34"/>
      <c r="H1137" s="33" t="str">
        <f t="shared" si="25"/>
        <v/>
      </c>
      <c r="I1137" s="31"/>
      <c r="J1137" s="31"/>
      <c r="K1137" s="33"/>
      <c r="W1137">
        <f>IF($A2="","",COUNTIF('07_Pallet_Contents'!$A$2:$A$3000,$A2))</f>
        <v>0</v>
      </c>
      <c r="X1137">
        <f>IF($A2="","",SUMIF('07_Pallet_Contents'!$A$2:$A$3000,$A2,'07_Pallet_Contents'!$D$2:$D$3000))</f>
        <v>0</v>
      </c>
      <c r="Y1137">
        <f>IF($A2="","",SUMIF('07_Pallet_Contents'!$A$2:$A$3000,$A2,'07_Pallet_Contents'!$I$2:$I$3000))</f>
        <v>0</v>
      </c>
      <c r="Z1137" t="str">
        <f>IF($A2="","",IF(COUNTIF('07_Pallet_Contents'!$A$2:$A$3000,$A2)&gt;0,"Yes",""))</f>
        <v/>
      </c>
    </row>
    <row r="1138" spans="2:26">
      <c r="B1138" s="31"/>
      <c r="G1138" s="34"/>
      <c r="H1138" s="33" t="str">
        <f t="shared" si="25"/>
        <v/>
      </c>
      <c r="I1138" s="31"/>
      <c r="J1138" s="31"/>
      <c r="K1138" s="33"/>
      <c r="W1138">
        <f>IF($A2="","",COUNTIF('07_Pallet_Contents'!$A$2:$A$3000,$A2))</f>
        <v>0</v>
      </c>
      <c r="X1138">
        <f>IF($A2="","",SUMIF('07_Pallet_Contents'!$A$2:$A$3000,$A2,'07_Pallet_Contents'!$D$2:$D$3000))</f>
        <v>0</v>
      </c>
      <c r="Y1138">
        <f>IF($A2="","",SUMIF('07_Pallet_Contents'!$A$2:$A$3000,$A2,'07_Pallet_Contents'!$I$2:$I$3000))</f>
        <v>0</v>
      </c>
      <c r="Z1138" t="str">
        <f>IF($A2="","",IF(COUNTIF('07_Pallet_Contents'!$A$2:$A$3000,$A2)&gt;0,"Yes",""))</f>
        <v/>
      </c>
    </row>
    <row r="1139" spans="2:26">
      <c r="B1139" s="31"/>
      <c r="G1139" s="34"/>
      <c r="H1139" s="33" t="str">
        <f t="shared" si="25"/>
        <v/>
      </c>
      <c r="I1139" s="31"/>
      <c r="J1139" s="31"/>
      <c r="K1139" s="33"/>
      <c r="W1139">
        <f>IF($A2="","",COUNTIF('07_Pallet_Contents'!$A$2:$A$3000,$A2))</f>
        <v>0</v>
      </c>
      <c r="X1139">
        <f>IF($A2="","",SUMIF('07_Pallet_Contents'!$A$2:$A$3000,$A2,'07_Pallet_Contents'!$D$2:$D$3000))</f>
        <v>0</v>
      </c>
      <c r="Y1139">
        <f>IF($A2="","",SUMIF('07_Pallet_Contents'!$A$2:$A$3000,$A2,'07_Pallet_Contents'!$I$2:$I$3000))</f>
        <v>0</v>
      </c>
      <c r="Z1139" t="str">
        <f>IF($A2="","",IF(COUNTIF('07_Pallet_Contents'!$A$2:$A$3000,$A2)&gt;0,"Yes",""))</f>
        <v/>
      </c>
    </row>
    <row r="1140" spans="2:26">
      <c r="B1140" s="31"/>
      <c r="G1140" s="34"/>
      <c r="H1140" s="33" t="str">
        <f t="shared" si="25"/>
        <v/>
      </c>
      <c r="I1140" s="31"/>
      <c r="J1140" s="31"/>
      <c r="K1140" s="33"/>
      <c r="W1140">
        <f>IF($A2="","",COUNTIF('07_Pallet_Contents'!$A$2:$A$3000,$A2))</f>
        <v>0</v>
      </c>
      <c r="X1140">
        <f>IF($A2="","",SUMIF('07_Pallet_Contents'!$A$2:$A$3000,$A2,'07_Pallet_Contents'!$D$2:$D$3000))</f>
        <v>0</v>
      </c>
      <c r="Y1140">
        <f>IF($A2="","",SUMIF('07_Pallet_Contents'!$A$2:$A$3000,$A2,'07_Pallet_Contents'!$I$2:$I$3000))</f>
        <v>0</v>
      </c>
      <c r="Z1140" t="str">
        <f>IF($A2="","",IF(COUNTIF('07_Pallet_Contents'!$A$2:$A$3000,$A2)&gt;0,"Yes",""))</f>
        <v/>
      </c>
    </row>
    <row r="1141" spans="2:26">
      <c r="B1141" s="31"/>
      <c r="G1141" s="34"/>
      <c r="H1141" s="33" t="str">
        <f t="shared" si="25"/>
        <v/>
      </c>
      <c r="I1141" s="31"/>
      <c r="J1141" s="31"/>
      <c r="K1141" s="33"/>
      <c r="W1141">
        <f>IF($A2="","",COUNTIF('07_Pallet_Contents'!$A$2:$A$3000,$A2))</f>
        <v>0</v>
      </c>
      <c r="X1141">
        <f>IF($A2="","",SUMIF('07_Pallet_Contents'!$A$2:$A$3000,$A2,'07_Pallet_Contents'!$D$2:$D$3000))</f>
        <v>0</v>
      </c>
      <c r="Y1141">
        <f>IF($A2="","",SUMIF('07_Pallet_Contents'!$A$2:$A$3000,$A2,'07_Pallet_Contents'!$I$2:$I$3000))</f>
        <v>0</v>
      </c>
      <c r="Z1141" t="str">
        <f>IF($A2="","",IF(COUNTIF('07_Pallet_Contents'!$A$2:$A$3000,$A2)&gt;0,"Yes",""))</f>
        <v/>
      </c>
    </row>
    <row r="1142" spans="2:26">
      <c r="B1142" s="31"/>
      <c r="G1142" s="34"/>
      <c r="H1142" s="33" t="str">
        <f t="shared" si="25"/>
        <v/>
      </c>
      <c r="I1142" s="31"/>
      <c r="J1142" s="31"/>
      <c r="K1142" s="33"/>
      <c r="W1142">
        <f>IF($A2="","",COUNTIF('07_Pallet_Contents'!$A$2:$A$3000,$A2))</f>
        <v>0</v>
      </c>
      <c r="X1142">
        <f>IF($A2="","",SUMIF('07_Pallet_Contents'!$A$2:$A$3000,$A2,'07_Pallet_Contents'!$D$2:$D$3000))</f>
        <v>0</v>
      </c>
      <c r="Y1142">
        <f>IF($A2="","",SUMIF('07_Pallet_Contents'!$A$2:$A$3000,$A2,'07_Pallet_Contents'!$I$2:$I$3000))</f>
        <v>0</v>
      </c>
      <c r="Z1142" t="str">
        <f>IF($A2="","",IF(COUNTIF('07_Pallet_Contents'!$A$2:$A$3000,$A2)&gt;0,"Yes",""))</f>
        <v/>
      </c>
    </row>
    <row r="1143" spans="2:26">
      <c r="B1143" s="31"/>
      <c r="G1143" s="34"/>
      <c r="H1143" s="33" t="str">
        <f t="shared" si="25"/>
        <v/>
      </c>
      <c r="I1143" s="31"/>
      <c r="J1143" s="31"/>
      <c r="K1143" s="33"/>
      <c r="W1143">
        <f>IF($A2="","",COUNTIF('07_Pallet_Contents'!$A$2:$A$3000,$A2))</f>
        <v>0</v>
      </c>
      <c r="X1143">
        <f>IF($A2="","",SUMIF('07_Pallet_Contents'!$A$2:$A$3000,$A2,'07_Pallet_Contents'!$D$2:$D$3000))</f>
        <v>0</v>
      </c>
      <c r="Y1143">
        <f>IF($A2="","",SUMIF('07_Pallet_Contents'!$A$2:$A$3000,$A2,'07_Pallet_Contents'!$I$2:$I$3000))</f>
        <v>0</v>
      </c>
      <c r="Z1143" t="str">
        <f>IF($A2="","",IF(COUNTIF('07_Pallet_Contents'!$A$2:$A$3000,$A2)&gt;0,"Yes",""))</f>
        <v/>
      </c>
    </row>
    <row r="1144" spans="2:26">
      <c r="B1144" s="31"/>
      <c r="G1144" s="34"/>
      <c r="H1144" s="33" t="str">
        <f t="shared" si="25"/>
        <v/>
      </c>
      <c r="I1144" s="31"/>
      <c r="J1144" s="31"/>
      <c r="K1144" s="33"/>
      <c r="W1144">
        <f>IF($A2="","",COUNTIF('07_Pallet_Contents'!$A$2:$A$3000,$A2))</f>
        <v>0</v>
      </c>
      <c r="X1144">
        <f>IF($A2="","",SUMIF('07_Pallet_Contents'!$A$2:$A$3000,$A2,'07_Pallet_Contents'!$D$2:$D$3000))</f>
        <v>0</v>
      </c>
      <c r="Y1144">
        <f>IF($A2="","",SUMIF('07_Pallet_Contents'!$A$2:$A$3000,$A2,'07_Pallet_Contents'!$I$2:$I$3000))</f>
        <v>0</v>
      </c>
      <c r="Z1144" t="str">
        <f>IF($A2="","",IF(COUNTIF('07_Pallet_Contents'!$A$2:$A$3000,$A2)&gt;0,"Yes",""))</f>
        <v/>
      </c>
    </row>
    <row r="1145" spans="2:26">
      <c r="B1145" s="31"/>
      <c r="G1145" s="34"/>
      <c r="H1145" s="33" t="str">
        <f t="shared" si="25"/>
        <v/>
      </c>
      <c r="I1145" s="31"/>
      <c r="J1145" s="31"/>
      <c r="K1145" s="33"/>
      <c r="W1145">
        <f>IF($A2="","",COUNTIF('07_Pallet_Contents'!$A$2:$A$3000,$A2))</f>
        <v>0</v>
      </c>
      <c r="X1145">
        <f>IF($A2="","",SUMIF('07_Pallet_Contents'!$A$2:$A$3000,$A2,'07_Pallet_Contents'!$D$2:$D$3000))</f>
        <v>0</v>
      </c>
      <c r="Y1145">
        <f>IF($A2="","",SUMIF('07_Pallet_Contents'!$A$2:$A$3000,$A2,'07_Pallet_Contents'!$I$2:$I$3000))</f>
        <v>0</v>
      </c>
      <c r="Z1145" t="str">
        <f>IF($A2="","",IF(COUNTIF('07_Pallet_Contents'!$A$2:$A$3000,$A2)&gt;0,"Yes",""))</f>
        <v/>
      </c>
    </row>
    <row r="1146" spans="2:26">
      <c r="B1146" s="31"/>
      <c r="G1146" s="34"/>
      <c r="H1146" s="33" t="str">
        <f t="shared" si="25"/>
        <v/>
      </c>
      <c r="I1146" s="31"/>
      <c r="J1146" s="31"/>
      <c r="K1146" s="33"/>
      <c r="W1146">
        <f>IF($A2="","",COUNTIF('07_Pallet_Contents'!$A$2:$A$3000,$A2))</f>
        <v>0</v>
      </c>
      <c r="X1146">
        <f>IF($A2="","",SUMIF('07_Pallet_Contents'!$A$2:$A$3000,$A2,'07_Pallet_Contents'!$D$2:$D$3000))</f>
        <v>0</v>
      </c>
      <c r="Y1146">
        <f>IF($A2="","",SUMIF('07_Pallet_Contents'!$A$2:$A$3000,$A2,'07_Pallet_Contents'!$I$2:$I$3000))</f>
        <v>0</v>
      </c>
      <c r="Z1146" t="str">
        <f>IF($A2="","",IF(COUNTIF('07_Pallet_Contents'!$A$2:$A$3000,$A2)&gt;0,"Yes",""))</f>
        <v/>
      </c>
    </row>
    <row r="1147" spans="2:26">
      <c r="B1147" s="31"/>
      <c r="G1147" s="34"/>
      <c r="H1147" s="33" t="str">
        <f t="shared" si="25"/>
        <v/>
      </c>
      <c r="I1147" s="31"/>
      <c r="J1147" s="31"/>
      <c r="K1147" s="33"/>
      <c r="W1147">
        <f>IF($A2="","",COUNTIF('07_Pallet_Contents'!$A$2:$A$3000,$A2))</f>
        <v>0</v>
      </c>
      <c r="X1147">
        <f>IF($A2="","",SUMIF('07_Pallet_Contents'!$A$2:$A$3000,$A2,'07_Pallet_Contents'!$D$2:$D$3000))</f>
        <v>0</v>
      </c>
      <c r="Y1147">
        <f>IF($A2="","",SUMIF('07_Pallet_Contents'!$A$2:$A$3000,$A2,'07_Pallet_Contents'!$I$2:$I$3000))</f>
        <v>0</v>
      </c>
      <c r="Z1147" t="str">
        <f>IF($A2="","",IF(COUNTIF('07_Pallet_Contents'!$A$2:$A$3000,$A2)&gt;0,"Yes",""))</f>
        <v/>
      </c>
    </row>
    <row r="1148" spans="2:26">
      <c r="B1148" s="31"/>
      <c r="G1148" s="34"/>
      <c r="H1148" s="33" t="str">
        <f t="shared" si="25"/>
        <v/>
      </c>
      <c r="I1148" s="31"/>
      <c r="J1148" s="31"/>
      <c r="K1148" s="33"/>
      <c r="W1148">
        <f>IF($A2="","",COUNTIF('07_Pallet_Contents'!$A$2:$A$3000,$A2))</f>
        <v>0</v>
      </c>
      <c r="X1148">
        <f>IF($A2="","",SUMIF('07_Pallet_Contents'!$A$2:$A$3000,$A2,'07_Pallet_Contents'!$D$2:$D$3000))</f>
        <v>0</v>
      </c>
      <c r="Y1148">
        <f>IF($A2="","",SUMIF('07_Pallet_Contents'!$A$2:$A$3000,$A2,'07_Pallet_Contents'!$I$2:$I$3000))</f>
        <v>0</v>
      </c>
      <c r="Z1148" t="str">
        <f>IF($A2="","",IF(COUNTIF('07_Pallet_Contents'!$A$2:$A$3000,$A2)&gt;0,"Yes",""))</f>
        <v/>
      </c>
    </row>
    <row r="1149" spans="2:26">
      <c r="B1149" s="31"/>
      <c r="G1149" s="34"/>
      <c r="H1149" s="33" t="str">
        <f t="shared" si="25"/>
        <v/>
      </c>
      <c r="I1149" s="31"/>
      <c r="J1149" s="31"/>
      <c r="K1149" s="33"/>
      <c r="W1149">
        <f>IF($A2="","",COUNTIF('07_Pallet_Contents'!$A$2:$A$3000,$A2))</f>
        <v>0</v>
      </c>
      <c r="X1149">
        <f>IF($A2="","",SUMIF('07_Pallet_Contents'!$A$2:$A$3000,$A2,'07_Pallet_Contents'!$D$2:$D$3000))</f>
        <v>0</v>
      </c>
      <c r="Y1149">
        <f>IF($A2="","",SUMIF('07_Pallet_Contents'!$A$2:$A$3000,$A2,'07_Pallet_Contents'!$I$2:$I$3000))</f>
        <v>0</v>
      </c>
      <c r="Z1149" t="str">
        <f>IF($A2="","",IF(COUNTIF('07_Pallet_Contents'!$A$2:$A$3000,$A2)&gt;0,"Yes",""))</f>
        <v/>
      </c>
    </row>
    <row r="1150" spans="2:26">
      <c r="B1150" s="31"/>
      <c r="G1150" s="34"/>
      <c r="H1150" s="33" t="str">
        <f t="shared" si="25"/>
        <v/>
      </c>
      <c r="I1150" s="31"/>
      <c r="J1150" s="31"/>
      <c r="K1150" s="33"/>
      <c r="W1150">
        <f>IF($A2="","",COUNTIF('07_Pallet_Contents'!$A$2:$A$3000,$A2))</f>
        <v>0</v>
      </c>
      <c r="X1150">
        <f>IF($A2="","",SUMIF('07_Pallet_Contents'!$A$2:$A$3000,$A2,'07_Pallet_Contents'!$D$2:$D$3000))</f>
        <v>0</v>
      </c>
      <c r="Y1150">
        <f>IF($A2="","",SUMIF('07_Pallet_Contents'!$A$2:$A$3000,$A2,'07_Pallet_Contents'!$I$2:$I$3000))</f>
        <v>0</v>
      </c>
      <c r="Z1150" t="str">
        <f>IF($A2="","",IF(COUNTIF('07_Pallet_Contents'!$A$2:$A$3000,$A2)&gt;0,"Yes",""))</f>
        <v/>
      </c>
    </row>
    <row r="1151" spans="2:26">
      <c r="B1151" s="31"/>
      <c r="G1151" s="34"/>
      <c r="H1151" s="33" t="str">
        <f t="shared" si="25"/>
        <v/>
      </c>
      <c r="I1151" s="31"/>
      <c r="J1151" s="31"/>
      <c r="K1151" s="33"/>
      <c r="W1151">
        <f>IF($A2="","",COUNTIF('07_Pallet_Contents'!$A$2:$A$3000,$A2))</f>
        <v>0</v>
      </c>
      <c r="X1151">
        <f>IF($A2="","",SUMIF('07_Pallet_Contents'!$A$2:$A$3000,$A2,'07_Pallet_Contents'!$D$2:$D$3000))</f>
        <v>0</v>
      </c>
      <c r="Y1151">
        <f>IF($A2="","",SUMIF('07_Pallet_Contents'!$A$2:$A$3000,$A2,'07_Pallet_Contents'!$I$2:$I$3000))</f>
        <v>0</v>
      </c>
      <c r="Z1151" t="str">
        <f>IF($A2="","",IF(COUNTIF('07_Pallet_Contents'!$A$2:$A$3000,$A2)&gt;0,"Yes",""))</f>
        <v/>
      </c>
    </row>
    <row r="1152" spans="2:26">
      <c r="B1152" s="31"/>
      <c r="G1152" s="34"/>
      <c r="H1152" s="33" t="str">
        <f t="shared" si="25"/>
        <v/>
      </c>
      <c r="I1152" s="31"/>
      <c r="J1152" s="31"/>
      <c r="K1152" s="33"/>
      <c r="W1152">
        <f>IF($A2="","",COUNTIF('07_Pallet_Contents'!$A$2:$A$3000,$A2))</f>
        <v>0</v>
      </c>
      <c r="X1152">
        <f>IF($A2="","",SUMIF('07_Pallet_Contents'!$A$2:$A$3000,$A2,'07_Pallet_Contents'!$D$2:$D$3000))</f>
        <v>0</v>
      </c>
      <c r="Y1152">
        <f>IF($A2="","",SUMIF('07_Pallet_Contents'!$A$2:$A$3000,$A2,'07_Pallet_Contents'!$I$2:$I$3000))</f>
        <v>0</v>
      </c>
      <c r="Z1152" t="str">
        <f>IF($A2="","",IF(COUNTIF('07_Pallet_Contents'!$A$2:$A$3000,$A2)&gt;0,"Yes",""))</f>
        <v/>
      </c>
    </row>
    <row r="1153" spans="2:26">
      <c r="B1153" s="31"/>
      <c r="G1153" s="34"/>
      <c r="H1153" s="33" t="str">
        <f t="shared" si="25"/>
        <v/>
      </c>
      <c r="I1153" s="31"/>
      <c r="J1153" s="31"/>
      <c r="K1153" s="33"/>
      <c r="W1153">
        <f>IF($A2="","",COUNTIF('07_Pallet_Contents'!$A$2:$A$3000,$A2))</f>
        <v>0</v>
      </c>
      <c r="X1153">
        <f>IF($A2="","",SUMIF('07_Pallet_Contents'!$A$2:$A$3000,$A2,'07_Pallet_Contents'!$D$2:$D$3000))</f>
        <v>0</v>
      </c>
      <c r="Y1153">
        <f>IF($A2="","",SUMIF('07_Pallet_Contents'!$A$2:$A$3000,$A2,'07_Pallet_Contents'!$I$2:$I$3000))</f>
        <v>0</v>
      </c>
      <c r="Z1153" t="str">
        <f>IF($A2="","",IF(COUNTIF('07_Pallet_Contents'!$A$2:$A$3000,$A2)&gt;0,"Yes",""))</f>
        <v/>
      </c>
    </row>
    <row r="1154" spans="2:26">
      <c r="B1154" s="31"/>
      <c r="G1154" s="34"/>
      <c r="H1154" s="33" t="str">
        <f t="shared" ref="H1154:H1217" si="26">IF(AND($F1154="TEMP",$G1154&gt;0,$M1154&lt;&gt;""),$M1154+$G1154,"")</f>
        <v/>
      </c>
      <c r="I1154" s="31"/>
      <c r="J1154" s="31"/>
      <c r="K1154" s="33"/>
      <c r="W1154">
        <f>IF($A2="","",COUNTIF('07_Pallet_Contents'!$A$2:$A$3000,$A2))</f>
        <v>0</v>
      </c>
      <c r="X1154">
        <f>IF($A2="","",SUMIF('07_Pallet_Contents'!$A$2:$A$3000,$A2,'07_Pallet_Contents'!$D$2:$D$3000))</f>
        <v>0</v>
      </c>
      <c r="Y1154">
        <f>IF($A2="","",SUMIF('07_Pallet_Contents'!$A$2:$A$3000,$A2,'07_Pallet_Contents'!$I$2:$I$3000))</f>
        <v>0</v>
      </c>
      <c r="Z1154" t="str">
        <f>IF($A2="","",IF(COUNTIF('07_Pallet_Contents'!$A$2:$A$3000,$A2)&gt;0,"Yes",""))</f>
        <v/>
      </c>
    </row>
    <row r="1155" spans="2:26">
      <c r="B1155" s="31"/>
      <c r="G1155" s="34"/>
      <c r="H1155" s="33" t="str">
        <f t="shared" si="26"/>
        <v/>
      </c>
      <c r="I1155" s="31"/>
      <c r="J1155" s="31"/>
      <c r="K1155" s="33"/>
      <c r="W1155">
        <f>IF($A2="","",COUNTIF('07_Pallet_Contents'!$A$2:$A$3000,$A2))</f>
        <v>0</v>
      </c>
      <c r="X1155">
        <f>IF($A2="","",SUMIF('07_Pallet_Contents'!$A$2:$A$3000,$A2,'07_Pallet_Contents'!$D$2:$D$3000))</f>
        <v>0</v>
      </c>
      <c r="Y1155">
        <f>IF($A2="","",SUMIF('07_Pallet_Contents'!$A$2:$A$3000,$A2,'07_Pallet_Contents'!$I$2:$I$3000))</f>
        <v>0</v>
      </c>
      <c r="Z1155" t="str">
        <f>IF($A2="","",IF(COUNTIF('07_Pallet_Contents'!$A$2:$A$3000,$A2)&gt;0,"Yes",""))</f>
        <v/>
      </c>
    </row>
    <row r="1156" spans="2:26">
      <c r="B1156" s="31"/>
      <c r="G1156" s="34"/>
      <c r="H1156" s="33" t="str">
        <f t="shared" si="26"/>
        <v/>
      </c>
      <c r="I1156" s="31"/>
      <c r="J1156" s="31"/>
      <c r="K1156" s="33"/>
      <c r="W1156">
        <f>IF($A2="","",COUNTIF('07_Pallet_Contents'!$A$2:$A$3000,$A2))</f>
        <v>0</v>
      </c>
      <c r="X1156">
        <f>IF($A2="","",SUMIF('07_Pallet_Contents'!$A$2:$A$3000,$A2,'07_Pallet_Contents'!$D$2:$D$3000))</f>
        <v>0</v>
      </c>
      <c r="Y1156">
        <f>IF($A2="","",SUMIF('07_Pallet_Contents'!$A$2:$A$3000,$A2,'07_Pallet_Contents'!$I$2:$I$3000))</f>
        <v>0</v>
      </c>
      <c r="Z1156" t="str">
        <f>IF($A2="","",IF(COUNTIF('07_Pallet_Contents'!$A$2:$A$3000,$A2)&gt;0,"Yes",""))</f>
        <v/>
      </c>
    </row>
    <row r="1157" spans="2:26">
      <c r="B1157" s="31"/>
      <c r="G1157" s="34"/>
      <c r="H1157" s="33" t="str">
        <f t="shared" si="26"/>
        <v/>
      </c>
      <c r="I1157" s="31"/>
      <c r="J1157" s="31"/>
      <c r="K1157" s="33"/>
      <c r="W1157">
        <f>IF($A2="","",COUNTIF('07_Pallet_Contents'!$A$2:$A$3000,$A2))</f>
        <v>0</v>
      </c>
      <c r="X1157">
        <f>IF($A2="","",SUMIF('07_Pallet_Contents'!$A$2:$A$3000,$A2,'07_Pallet_Contents'!$D$2:$D$3000))</f>
        <v>0</v>
      </c>
      <c r="Y1157">
        <f>IF($A2="","",SUMIF('07_Pallet_Contents'!$A$2:$A$3000,$A2,'07_Pallet_Contents'!$I$2:$I$3000))</f>
        <v>0</v>
      </c>
      <c r="Z1157" t="str">
        <f>IF($A2="","",IF(COUNTIF('07_Pallet_Contents'!$A$2:$A$3000,$A2)&gt;0,"Yes",""))</f>
        <v/>
      </c>
    </row>
    <row r="1158" spans="2:26">
      <c r="B1158" s="31"/>
      <c r="G1158" s="34"/>
      <c r="H1158" s="33" t="str">
        <f t="shared" si="26"/>
        <v/>
      </c>
      <c r="I1158" s="31"/>
      <c r="J1158" s="31"/>
      <c r="K1158" s="33"/>
      <c r="W1158">
        <f>IF($A2="","",COUNTIF('07_Pallet_Contents'!$A$2:$A$3000,$A2))</f>
        <v>0</v>
      </c>
      <c r="X1158">
        <f>IF($A2="","",SUMIF('07_Pallet_Contents'!$A$2:$A$3000,$A2,'07_Pallet_Contents'!$D$2:$D$3000))</f>
        <v>0</v>
      </c>
      <c r="Y1158">
        <f>IF($A2="","",SUMIF('07_Pallet_Contents'!$A$2:$A$3000,$A2,'07_Pallet_Contents'!$I$2:$I$3000))</f>
        <v>0</v>
      </c>
      <c r="Z1158" t="str">
        <f>IF($A2="","",IF(COUNTIF('07_Pallet_Contents'!$A$2:$A$3000,$A2)&gt;0,"Yes",""))</f>
        <v/>
      </c>
    </row>
    <row r="1159" spans="2:26">
      <c r="B1159" s="31"/>
      <c r="G1159" s="34"/>
      <c r="H1159" s="33" t="str">
        <f t="shared" si="26"/>
        <v/>
      </c>
      <c r="I1159" s="31"/>
      <c r="J1159" s="31"/>
      <c r="K1159" s="33"/>
      <c r="W1159">
        <f>IF($A2="","",COUNTIF('07_Pallet_Contents'!$A$2:$A$3000,$A2))</f>
        <v>0</v>
      </c>
      <c r="X1159">
        <f>IF($A2="","",SUMIF('07_Pallet_Contents'!$A$2:$A$3000,$A2,'07_Pallet_Contents'!$D$2:$D$3000))</f>
        <v>0</v>
      </c>
      <c r="Y1159">
        <f>IF($A2="","",SUMIF('07_Pallet_Contents'!$A$2:$A$3000,$A2,'07_Pallet_Contents'!$I$2:$I$3000))</f>
        <v>0</v>
      </c>
      <c r="Z1159" t="str">
        <f>IF($A2="","",IF(COUNTIF('07_Pallet_Contents'!$A$2:$A$3000,$A2)&gt;0,"Yes",""))</f>
        <v/>
      </c>
    </row>
    <row r="1160" spans="2:26">
      <c r="B1160" s="31"/>
      <c r="G1160" s="34"/>
      <c r="H1160" s="33" t="str">
        <f t="shared" si="26"/>
        <v/>
      </c>
      <c r="I1160" s="31"/>
      <c r="J1160" s="31"/>
      <c r="K1160" s="33"/>
      <c r="W1160">
        <f>IF($A2="","",COUNTIF('07_Pallet_Contents'!$A$2:$A$3000,$A2))</f>
        <v>0</v>
      </c>
      <c r="X1160">
        <f>IF($A2="","",SUMIF('07_Pallet_Contents'!$A$2:$A$3000,$A2,'07_Pallet_Contents'!$D$2:$D$3000))</f>
        <v>0</v>
      </c>
      <c r="Y1160">
        <f>IF($A2="","",SUMIF('07_Pallet_Contents'!$A$2:$A$3000,$A2,'07_Pallet_Contents'!$I$2:$I$3000))</f>
        <v>0</v>
      </c>
      <c r="Z1160" t="str">
        <f>IF($A2="","",IF(COUNTIF('07_Pallet_Contents'!$A$2:$A$3000,$A2)&gt;0,"Yes",""))</f>
        <v/>
      </c>
    </row>
    <row r="1161" spans="2:26">
      <c r="B1161" s="31"/>
      <c r="G1161" s="34"/>
      <c r="H1161" s="33" t="str">
        <f t="shared" si="26"/>
        <v/>
      </c>
      <c r="I1161" s="31"/>
      <c r="J1161" s="31"/>
      <c r="K1161" s="33"/>
      <c r="W1161">
        <f>IF($A2="","",COUNTIF('07_Pallet_Contents'!$A$2:$A$3000,$A2))</f>
        <v>0</v>
      </c>
      <c r="X1161">
        <f>IF($A2="","",SUMIF('07_Pallet_Contents'!$A$2:$A$3000,$A2,'07_Pallet_Contents'!$D$2:$D$3000))</f>
        <v>0</v>
      </c>
      <c r="Y1161">
        <f>IF($A2="","",SUMIF('07_Pallet_Contents'!$A$2:$A$3000,$A2,'07_Pallet_Contents'!$I$2:$I$3000))</f>
        <v>0</v>
      </c>
      <c r="Z1161" t="str">
        <f>IF($A2="","",IF(COUNTIF('07_Pallet_Contents'!$A$2:$A$3000,$A2)&gt;0,"Yes",""))</f>
        <v/>
      </c>
    </row>
    <row r="1162" spans="2:26">
      <c r="B1162" s="31"/>
      <c r="G1162" s="34"/>
      <c r="H1162" s="33" t="str">
        <f t="shared" si="26"/>
        <v/>
      </c>
      <c r="I1162" s="31"/>
      <c r="J1162" s="31"/>
      <c r="K1162" s="33"/>
      <c r="W1162">
        <f>IF($A2="","",COUNTIF('07_Pallet_Contents'!$A$2:$A$3000,$A2))</f>
        <v>0</v>
      </c>
      <c r="X1162">
        <f>IF($A2="","",SUMIF('07_Pallet_Contents'!$A$2:$A$3000,$A2,'07_Pallet_Contents'!$D$2:$D$3000))</f>
        <v>0</v>
      </c>
      <c r="Y1162">
        <f>IF($A2="","",SUMIF('07_Pallet_Contents'!$A$2:$A$3000,$A2,'07_Pallet_Contents'!$I$2:$I$3000))</f>
        <v>0</v>
      </c>
      <c r="Z1162" t="str">
        <f>IF($A2="","",IF(COUNTIF('07_Pallet_Contents'!$A$2:$A$3000,$A2)&gt;0,"Yes",""))</f>
        <v/>
      </c>
    </row>
    <row r="1163" spans="2:26">
      <c r="B1163" s="31"/>
      <c r="G1163" s="34"/>
      <c r="H1163" s="33" t="str">
        <f t="shared" si="26"/>
        <v/>
      </c>
      <c r="I1163" s="31"/>
      <c r="J1163" s="31"/>
      <c r="K1163" s="33"/>
      <c r="W1163">
        <f>IF($A2="","",COUNTIF('07_Pallet_Contents'!$A$2:$A$3000,$A2))</f>
        <v>0</v>
      </c>
      <c r="X1163">
        <f>IF($A2="","",SUMIF('07_Pallet_Contents'!$A$2:$A$3000,$A2,'07_Pallet_Contents'!$D$2:$D$3000))</f>
        <v>0</v>
      </c>
      <c r="Y1163">
        <f>IF($A2="","",SUMIF('07_Pallet_Contents'!$A$2:$A$3000,$A2,'07_Pallet_Contents'!$I$2:$I$3000))</f>
        <v>0</v>
      </c>
      <c r="Z1163" t="str">
        <f>IF($A2="","",IF(COUNTIF('07_Pallet_Contents'!$A$2:$A$3000,$A2)&gt;0,"Yes",""))</f>
        <v/>
      </c>
    </row>
    <row r="1164" spans="2:26">
      <c r="B1164" s="31"/>
      <c r="G1164" s="34"/>
      <c r="H1164" s="33" t="str">
        <f t="shared" si="26"/>
        <v/>
      </c>
      <c r="I1164" s="31"/>
      <c r="J1164" s="31"/>
      <c r="K1164" s="33"/>
      <c r="W1164">
        <f>IF($A2="","",COUNTIF('07_Pallet_Contents'!$A$2:$A$3000,$A2))</f>
        <v>0</v>
      </c>
      <c r="X1164">
        <f>IF($A2="","",SUMIF('07_Pallet_Contents'!$A$2:$A$3000,$A2,'07_Pallet_Contents'!$D$2:$D$3000))</f>
        <v>0</v>
      </c>
      <c r="Y1164">
        <f>IF($A2="","",SUMIF('07_Pallet_Contents'!$A$2:$A$3000,$A2,'07_Pallet_Contents'!$I$2:$I$3000))</f>
        <v>0</v>
      </c>
      <c r="Z1164" t="str">
        <f>IF($A2="","",IF(COUNTIF('07_Pallet_Contents'!$A$2:$A$3000,$A2)&gt;0,"Yes",""))</f>
        <v/>
      </c>
    </row>
    <row r="1165" spans="2:26">
      <c r="B1165" s="31"/>
      <c r="G1165" s="34"/>
      <c r="H1165" s="33" t="str">
        <f t="shared" si="26"/>
        <v/>
      </c>
      <c r="I1165" s="31"/>
      <c r="J1165" s="31"/>
      <c r="K1165" s="33"/>
      <c r="W1165">
        <f>IF($A2="","",COUNTIF('07_Pallet_Contents'!$A$2:$A$3000,$A2))</f>
        <v>0</v>
      </c>
      <c r="X1165">
        <f>IF($A2="","",SUMIF('07_Pallet_Contents'!$A$2:$A$3000,$A2,'07_Pallet_Contents'!$D$2:$D$3000))</f>
        <v>0</v>
      </c>
      <c r="Y1165">
        <f>IF($A2="","",SUMIF('07_Pallet_Contents'!$A$2:$A$3000,$A2,'07_Pallet_Contents'!$I$2:$I$3000))</f>
        <v>0</v>
      </c>
      <c r="Z1165" t="str">
        <f>IF($A2="","",IF(COUNTIF('07_Pallet_Contents'!$A$2:$A$3000,$A2)&gt;0,"Yes",""))</f>
        <v/>
      </c>
    </row>
    <row r="1166" spans="2:26">
      <c r="B1166" s="31"/>
      <c r="G1166" s="34"/>
      <c r="H1166" s="33" t="str">
        <f t="shared" si="26"/>
        <v/>
      </c>
      <c r="I1166" s="31"/>
      <c r="J1166" s="31"/>
      <c r="K1166" s="33"/>
      <c r="W1166">
        <f>IF($A2="","",COUNTIF('07_Pallet_Contents'!$A$2:$A$3000,$A2))</f>
        <v>0</v>
      </c>
      <c r="X1166">
        <f>IF($A2="","",SUMIF('07_Pallet_Contents'!$A$2:$A$3000,$A2,'07_Pallet_Contents'!$D$2:$D$3000))</f>
        <v>0</v>
      </c>
      <c r="Y1166">
        <f>IF($A2="","",SUMIF('07_Pallet_Contents'!$A$2:$A$3000,$A2,'07_Pallet_Contents'!$I$2:$I$3000))</f>
        <v>0</v>
      </c>
      <c r="Z1166" t="str">
        <f>IF($A2="","",IF(COUNTIF('07_Pallet_Contents'!$A$2:$A$3000,$A2)&gt;0,"Yes",""))</f>
        <v/>
      </c>
    </row>
    <row r="1167" spans="2:26">
      <c r="B1167" s="31"/>
      <c r="G1167" s="34"/>
      <c r="H1167" s="33" t="str">
        <f t="shared" si="26"/>
        <v/>
      </c>
      <c r="I1167" s="31"/>
      <c r="J1167" s="31"/>
      <c r="K1167" s="33"/>
      <c r="W1167">
        <f>IF($A2="","",COUNTIF('07_Pallet_Contents'!$A$2:$A$3000,$A2))</f>
        <v>0</v>
      </c>
      <c r="X1167">
        <f>IF($A2="","",SUMIF('07_Pallet_Contents'!$A$2:$A$3000,$A2,'07_Pallet_Contents'!$D$2:$D$3000))</f>
        <v>0</v>
      </c>
      <c r="Y1167">
        <f>IF($A2="","",SUMIF('07_Pallet_Contents'!$A$2:$A$3000,$A2,'07_Pallet_Contents'!$I$2:$I$3000))</f>
        <v>0</v>
      </c>
      <c r="Z1167" t="str">
        <f>IF($A2="","",IF(COUNTIF('07_Pallet_Contents'!$A$2:$A$3000,$A2)&gt;0,"Yes",""))</f>
        <v/>
      </c>
    </row>
    <row r="1168" spans="2:26">
      <c r="B1168" s="31"/>
      <c r="G1168" s="34"/>
      <c r="H1168" s="33" t="str">
        <f t="shared" si="26"/>
        <v/>
      </c>
      <c r="I1168" s="31"/>
      <c r="J1168" s="31"/>
      <c r="K1168" s="33"/>
      <c r="W1168">
        <f>IF($A2="","",COUNTIF('07_Pallet_Contents'!$A$2:$A$3000,$A2))</f>
        <v>0</v>
      </c>
      <c r="X1168">
        <f>IF($A2="","",SUMIF('07_Pallet_Contents'!$A$2:$A$3000,$A2,'07_Pallet_Contents'!$D$2:$D$3000))</f>
        <v>0</v>
      </c>
      <c r="Y1168">
        <f>IF($A2="","",SUMIF('07_Pallet_Contents'!$A$2:$A$3000,$A2,'07_Pallet_Contents'!$I$2:$I$3000))</f>
        <v>0</v>
      </c>
      <c r="Z1168" t="str">
        <f>IF($A2="","",IF(COUNTIF('07_Pallet_Contents'!$A$2:$A$3000,$A2)&gt;0,"Yes",""))</f>
        <v/>
      </c>
    </row>
    <row r="1169" spans="2:26">
      <c r="B1169" s="31"/>
      <c r="G1169" s="34"/>
      <c r="H1169" s="33" t="str">
        <f t="shared" si="26"/>
        <v/>
      </c>
      <c r="I1169" s="31"/>
      <c r="J1169" s="31"/>
      <c r="K1169" s="33"/>
      <c r="W1169">
        <f>IF($A2="","",COUNTIF('07_Pallet_Contents'!$A$2:$A$3000,$A2))</f>
        <v>0</v>
      </c>
      <c r="X1169">
        <f>IF($A2="","",SUMIF('07_Pallet_Contents'!$A$2:$A$3000,$A2,'07_Pallet_Contents'!$D$2:$D$3000))</f>
        <v>0</v>
      </c>
      <c r="Y1169">
        <f>IF($A2="","",SUMIF('07_Pallet_Contents'!$A$2:$A$3000,$A2,'07_Pallet_Contents'!$I$2:$I$3000))</f>
        <v>0</v>
      </c>
      <c r="Z1169" t="str">
        <f>IF($A2="","",IF(COUNTIF('07_Pallet_Contents'!$A$2:$A$3000,$A2)&gt;0,"Yes",""))</f>
        <v/>
      </c>
    </row>
    <row r="1170" spans="2:26">
      <c r="B1170" s="31"/>
      <c r="G1170" s="34"/>
      <c r="H1170" s="33" t="str">
        <f t="shared" si="26"/>
        <v/>
      </c>
      <c r="I1170" s="31"/>
      <c r="J1170" s="31"/>
      <c r="K1170" s="33"/>
      <c r="W1170">
        <f>IF($A2="","",COUNTIF('07_Pallet_Contents'!$A$2:$A$3000,$A2))</f>
        <v>0</v>
      </c>
      <c r="X1170">
        <f>IF($A2="","",SUMIF('07_Pallet_Contents'!$A$2:$A$3000,$A2,'07_Pallet_Contents'!$D$2:$D$3000))</f>
        <v>0</v>
      </c>
      <c r="Y1170">
        <f>IF($A2="","",SUMIF('07_Pallet_Contents'!$A$2:$A$3000,$A2,'07_Pallet_Contents'!$I$2:$I$3000))</f>
        <v>0</v>
      </c>
      <c r="Z1170" t="str">
        <f>IF($A2="","",IF(COUNTIF('07_Pallet_Contents'!$A$2:$A$3000,$A2)&gt;0,"Yes",""))</f>
        <v/>
      </c>
    </row>
    <row r="1171" spans="2:26">
      <c r="B1171" s="31"/>
      <c r="G1171" s="34"/>
      <c r="H1171" s="33" t="str">
        <f t="shared" si="26"/>
        <v/>
      </c>
      <c r="I1171" s="31"/>
      <c r="J1171" s="31"/>
      <c r="K1171" s="33"/>
      <c r="W1171">
        <f>IF($A2="","",COUNTIF('07_Pallet_Contents'!$A$2:$A$3000,$A2))</f>
        <v>0</v>
      </c>
      <c r="X1171">
        <f>IF($A2="","",SUMIF('07_Pallet_Contents'!$A$2:$A$3000,$A2,'07_Pallet_Contents'!$D$2:$D$3000))</f>
        <v>0</v>
      </c>
      <c r="Y1171">
        <f>IF($A2="","",SUMIF('07_Pallet_Contents'!$A$2:$A$3000,$A2,'07_Pallet_Contents'!$I$2:$I$3000))</f>
        <v>0</v>
      </c>
      <c r="Z1171" t="str">
        <f>IF($A2="","",IF(COUNTIF('07_Pallet_Contents'!$A$2:$A$3000,$A2)&gt;0,"Yes",""))</f>
        <v/>
      </c>
    </row>
    <row r="1172" spans="2:26">
      <c r="B1172" s="31"/>
      <c r="G1172" s="34"/>
      <c r="H1172" s="33" t="str">
        <f t="shared" si="26"/>
        <v/>
      </c>
      <c r="I1172" s="31"/>
      <c r="J1172" s="31"/>
      <c r="K1172" s="33"/>
      <c r="W1172">
        <f>IF($A2="","",COUNTIF('07_Pallet_Contents'!$A$2:$A$3000,$A2))</f>
        <v>0</v>
      </c>
      <c r="X1172">
        <f>IF($A2="","",SUMIF('07_Pallet_Contents'!$A$2:$A$3000,$A2,'07_Pallet_Contents'!$D$2:$D$3000))</f>
        <v>0</v>
      </c>
      <c r="Y1172">
        <f>IF($A2="","",SUMIF('07_Pallet_Contents'!$A$2:$A$3000,$A2,'07_Pallet_Contents'!$I$2:$I$3000))</f>
        <v>0</v>
      </c>
      <c r="Z1172" t="str">
        <f>IF($A2="","",IF(COUNTIF('07_Pallet_Contents'!$A$2:$A$3000,$A2)&gt;0,"Yes",""))</f>
        <v/>
      </c>
    </row>
    <row r="1173" spans="2:26">
      <c r="B1173" s="31"/>
      <c r="G1173" s="34"/>
      <c r="H1173" s="33" t="str">
        <f t="shared" si="26"/>
        <v/>
      </c>
      <c r="I1173" s="31"/>
      <c r="J1173" s="31"/>
      <c r="K1173" s="33"/>
      <c r="W1173">
        <f>IF($A2="","",COUNTIF('07_Pallet_Contents'!$A$2:$A$3000,$A2))</f>
        <v>0</v>
      </c>
      <c r="X1173">
        <f>IF($A2="","",SUMIF('07_Pallet_Contents'!$A$2:$A$3000,$A2,'07_Pallet_Contents'!$D$2:$D$3000))</f>
        <v>0</v>
      </c>
      <c r="Y1173">
        <f>IF($A2="","",SUMIF('07_Pallet_Contents'!$A$2:$A$3000,$A2,'07_Pallet_Contents'!$I$2:$I$3000))</f>
        <v>0</v>
      </c>
      <c r="Z1173" t="str">
        <f>IF($A2="","",IF(COUNTIF('07_Pallet_Contents'!$A$2:$A$3000,$A2)&gt;0,"Yes",""))</f>
        <v/>
      </c>
    </row>
    <row r="1174" spans="2:26">
      <c r="B1174" s="31"/>
      <c r="G1174" s="34"/>
      <c r="H1174" s="33" t="str">
        <f t="shared" si="26"/>
        <v/>
      </c>
      <c r="I1174" s="31"/>
      <c r="J1174" s="31"/>
      <c r="K1174" s="33"/>
      <c r="W1174">
        <f>IF($A2="","",COUNTIF('07_Pallet_Contents'!$A$2:$A$3000,$A2))</f>
        <v>0</v>
      </c>
      <c r="X1174">
        <f>IF($A2="","",SUMIF('07_Pallet_Contents'!$A$2:$A$3000,$A2,'07_Pallet_Contents'!$D$2:$D$3000))</f>
        <v>0</v>
      </c>
      <c r="Y1174">
        <f>IF($A2="","",SUMIF('07_Pallet_Contents'!$A$2:$A$3000,$A2,'07_Pallet_Contents'!$I$2:$I$3000))</f>
        <v>0</v>
      </c>
      <c r="Z1174" t="str">
        <f>IF($A2="","",IF(COUNTIF('07_Pallet_Contents'!$A$2:$A$3000,$A2)&gt;0,"Yes",""))</f>
        <v/>
      </c>
    </row>
    <row r="1175" spans="2:26">
      <c r="B1175" s="31"/>
      <c r="G1175" s="34"/>
      <c r="H1175" s="33" t="str">
        <f t="shared" si="26"/>
        <v/>
      </c>
      <c r="I1175" s="31"/>
      <c r="J1175" s="31"/>
      <c r="K1175" s="33"/>
      <c r="W1175">
        <f>IF($A2="","",COUNTIF('07_Pallet_Contents'!$A$2:$A$3000,$A2))</f>
        <v>0</v>
      </c>
      <c r="X1175">
        <f>IF($A2="","",SUMIF('07_Pallet_Contents'!$A$2:$A$3000,$A2,'07_Pallet_Contents'!$D$2:$D$3000))</f>
        <v>0</v>
      </c>
      <c r="Y1175">
        <f>IF($A2="","",SUMIF('07_Pallet_Contents'!$A$2:$A$3000,$A2,'07_Pallet_Contents'!$I$2:$I$3000))</f>
        <v>0</v>
      </c>
      <c r="Z1175" t="str">
        <f>IF($A2="","",IF(COUNTIF('07_Pallet_Contents'!$A$2:$A$3000,$A2)&gt;0,"Yes",""))</f>
        <v/>
      </c>
    </row>
    <row r="1176" spans="2:26">
      <c r="B1176" s="31"/>
      <c r="G1176" s="34"/>
      <c r="H1176" s="33" t="str">
        <f t="shared" si="26"/>
        <v/>
      </c>
      <c r="I1176" s="31"/>
      <c r="J1176" s="31"/>
      <c r="K1176" s="33"/>
      <c r="W1176">
        <f>IF($A2="","",COUNTIF('07_Pallet_Contents'!$A$2:$A$3000,$A2))</f>
        <v>0</v>
      </c>
      <c r="X1176">
        <f>IF($A2="","",SUMIF('07_Pallet_Contents'!$A$2:$A$3000,$A2,'07_Pallet_Contents'!$D$2:$D$3000))</f>
        <v>0</v>
      </c>
      <c r="Y1176">
        <f>IF($A2="","",SUMIF('07_Pallet_Contents'!$A$2:$A$3000,$A2,'07_Pallet_Contents'!$I$2:$I$3000))</f>
        <v>0</v>
      </c>
      <c r="Z1176" t="str">
        <f>IF($A2="","",IF(COUNTIF('07_Pallet_Contents'!$A$2:$A$3000,$A2)&gt;0,"Yes",""))</f>
        <v/>
      </c>
    </row>
    <row r="1177" spans="2:26">
      <c r="B1177" s="31"/>
      <c r="G1177" s="34"/>
      <c r="H1177" s="33" t="str">
        <f t="shared" si="26"/>
        <v/>
      </c>
      <c r="I1177" s="31"/>
      <c r="J1177" s="31"/>
      <c r="K1177" s="33"/>
      <c r="W1177">
        <f>IF($A2="","",COUNTIF('07_Pallet_Contents'!$A$2:$A$3000,$A2))</f>
        <v>0</v>
      </c>
      <c r="X1177">
        <f>IF($A2="","",SUMIF('07_Pallet_Contents'!$A$2:$A$3000,$A2,'07_Pallet_Contents'!$D$2:$D$3000))</f>
        <v>0</v>
      </c>
      <c r="Y1177">
        <f>IF($A2="","",SUMIF('07_Pallet_Contents'!$A$2:$A$3000,$A2,'07_Pallet_Contents'!$I$2:$I$3000))</f>
        <v>0</v>
      </c>
      <c r="Z1177" t="str">
        <f>IF($A2="","",IF(COUNTIF('07_Pallet_Contents'!$A$2:$A$3000,$A2)&gt;0,"Yes",""))</f>
        <v/>
      </c>
    </row>
    <row r="1178" spans="2:26">
      <c r="B1178" s="31"/>
      <c r="G1178" s="34"/>
      <c r="H1178" s="33" t="str">
        <f t="shared" si="26"/>
        <v/>
      </c>
      <c r="I1178" s="31"/>
      <c r="J1178" s="31"/>
      <c r="K1178" s="33"/>
      <c r="W1178">
        <f>IF($A2="","",COUNTIF('07_Pallet_Contents'!$A$2:$A$3000,$A2))</f>
        <v>0</v>
      </c>
      <c r="X1178">
        <f>IF($A2="","",SUMIF('07_Pallet_Contents'!$A$2:$A$3000,$A2,'07_Pallet_Contents'!$D$2:$D$3000))</f>
        <v>0</v>
      </c>
      <c r="Y1178">
        <f>IF($A2="","",SUMIF('07_Pallet_Contents'!$A$2:$A$3000,$A2,'07_Pallet_Contents'!$I$2:$I$3000))</f>
        <v>0</v>
      </c>
      <c r="Z1178" t="str">
        <f>IF($A2="","",IF(COUNTIF('07_Pallet_Contents'!$A$2:$A$3000,$A2)&gt;0,"Yes",""))</f>
        <v/>
      </c>
    </row>
    <row r="1179" spans="2:26">
      <c r="B1179" s="31"/>
      <c r="G1179" s="34"/>
      <c r="H1179" s="33" t="str">
        <f t="shared" si="26"/>
        <v/>
      </c>
      <c r="I1179" s="31"/>
      <c r="J1179" s="31"/>
      <c r="K1179" s="33"/>
      <c r="W1179">
        <f>IF($A2="","",COUNTIF('07_Pallet_Contents'!$A$2:$A$3000,$A2))</f>
        <v>0</v>
      </c>
      <c r="X1179">
        <f>IF($A2="","",SUMIF('07_Pallet_Contents'!$A$2:$A$3000,$A2,'07_Pallet_Contents'!$D$2:$D$3000))</f>
        <v>0</v>
      </c>
      <c r="Y1179">
        <f>IF($A2="","",SUMIF('07_Pallet_Contents'!$A$2:$A$3000,$A2,'07_Pallet_Contents'!$I$2:$I$3000))</f>
        <v>0</v>
      </c>
      <c r="Z1179" t="str">
        <f>IF($A2="","",IF(COUNTIF('07_Pallet_Contents'!$A$2:$A$3000,$A2)&gt;0,"Yes",""))</f>
        <v/>
      </c>
    </row>
    <row r="1180" spans="2:26">
      <c r="B1180" s="31"/>
      <c r="G1180" s="34"/>
      <c r="H1180" s="33" t="str">
        <f t="shared" si="26"/>
        <v/>
      </c>
      <c r="I1180" s="31"/>
      <c r="J1180" s="31"/>
      <c r="K1180" s="33"/>
      <c r="W1180">
        <f>IF($A2="","",COUNTIF('07_Pallet_Contents'!$A$2:$A$3000,$A2))</f>
        <v>0</v>
      </c>
      <c r="X1180">
        <f>IF($A2="","",SUMIF('07_Pallet_Contents'!$A$2:$A$3000,$A2,'07_Pallet_Contents'!$D$2:$D$3000))</f>
        <v>0</v>
      </c>
      <c r="Y1180">
        <f>IF($A2="","",SUMIF('07_Pallet_Contents'!$A$2:$A$3000,$A2,'07_Pallet_Contents'!$I$2:$I$3000))</f>
        <v>0</v>
      </c>
      <c r="Z1180" t="str">
        <f>IF($A2="","",IF(COUNTIF('07_Pallet_Contents'!$A$2:$A$3000,$A2)&gt;0,"Yes",""))</f>
        <v/>
      </c>
    </row>
    <row r="1181" spans="2:26">
      <c r="B1181" s="31"/>
      <c r="G1181" s="34"/>
      <c r="H1181" s="33" t="str">
        <f t="shared" si="26"/>
        <v/>
      </c>
      <c r="I1181" s="31"/>
      <c r="J1181" s="31"/>
      <c r="K1181" s="33"/>
      <c r="W1181">
        <f>IF($A2="","",COUNTIF('07_Pallet_Contents'!$A$2:$A$3000,$A2))</f>
        <v>0</v>
      </c>
      <c r="X1181">
        <f>IF($A2="","",SUMIF('07_Pallet_Contents'!$A$2:$A$3000,$A2,'07_Pallet_Contents'!$D$2:$D$3000))</f>
        <v>0</v>
      </c>
      <c r="Y1181">
        <f>IF($A2="","",SUMIF('07_Pallet_Contents'!$A$2:$A$3000,$A2,'07_Pallet_Contents'!$I$2:$I$3000))</f>
        <v>0</v>
      </c>
      <c r="Z1181" t="str">
        <f>IF($A2="","",IF(COUNTIF('07_Pallet_Contents'!$A$2:$A$3000,$A2)&gt;0,"Yes",""))</f>
        <v/>
      </c>
    </row>
    <row r="1182" spans="2:26">
      <c r="B1182" s="31"/>
      <c r="G1182" s="34"/>
      <c r="H1182" s="33" t="str">
        <f t="shared" si="26"/>
        <v/>
      </c>
      <c r="I1182" s="31"/>
      <c r="J1182" s="31"/>
      <c r="K1182" s="33"/>
      <c r="W1182">
        <f>IF($A2="","",COUNTIF('07_Pallet_Contents'!$A$2:$A$3000,$A2))</f>
        <v>0</v>
      </c>
      <c r="X1182">
        <f>IF($A2="","",SUMIF('07_Pallet_Contents'!$A$2:$A$3000,$A2,'07_Pallet_Contents'!$D$2:$D$3000))</f>
        <v>0</v>
      </c>
      <c r="Y1182">
        <f>IF($A2="","",SUMIF('07_Pallet_Contents'!$A$2:$A$3000,$A2,'07_Pallet_Contents'!$I$2:$I$3000))</f>
        <v>0</v>
      </c>
      <c r="Z1182" t="str">
        <f>IF($A2="","",IF(COUNTIF('07_Pallet_Contents'!$A$2:$A$3000,$A2)&gt;0,"Yes",""))</f>
        <v/>
      </c>
    </row>
    <row r="1183" spans="2:26">
      <c r="B1183" s="31"/>
      <c r="G1183" s="34"/>
      <c r="H1183" s="33" t="str">
        <f t="shared" si="26"/>
        <v/>
      </c>
      <c r="I1183" s="31"/>
      <c r="J1183" s="31"/>
      <c r="K1183" s="33"/>
      <c r="W1183">
        <f>IF($A2="","",COUNTIF('07_Pallet_Contents'!$A$2:$A$3000,$A2))</f>
        <v>0</v>
      </c>
      <c r="X1183">
        <f>IF($A2="","",SUMIF('07_Pallet_Contents'!$A$2:$A$3000,$A2,'07_Pallet_Contents'!$D$2:$D$3000))</f>
        <v>0</v>
      </c>
      <c r="Y1183">
        <f>IF($A2="","",SUMIF('07_Pallet_Contents'!$A$2:$A$3000,$A2,'07_Pallet_Contents'!$I$2:$I$3000))</f>
        <v>0</v>
      </c>
      <c r="Z1183" t="str">
        <f>IF($A2="","",IF(COUNTIF('07_Pallet_Contents'!$A$2:$A$3000,$A2)&gt;0,"Yes",""))</f>
        <v/>
      </c>
    </row>
    <row r="1184" spans="2:26">
      <c r="B1184" s="31"/>
      <c r="G1184" s="34"/>
      <c r="H1184" s="33" t="str">
        <f t="shared" si="26"/>
        <v/>
      </c>
      <c r="I1184" s="31"/>
      <c r="J1184" s="31"/>
      <c r="K1184" s="33"/>
      <c r="W1184">
        <f>IF($A2="","",COUNTIF('07_Pallet_Contents'!$A$2:$A$3000,$A2))</f>
        <v>0</v>
      </c>
      <c r="X1184">
        <f>IF($A2="","",SUMIF('07_Pallet_Contents'!$A$2:$A$3000,$A2,'07_Pallet_Contents'!$D$2:$D$3000))</f>
        <v>0</v>
      </c>
      <c r="Y1184">
        <f>IF($A2="","",SUMIF('07_Pallet_Contents'!$A$2:$A$3000,$A2,'07_Pallet_Contents'!$I$2:$I$3000))</f>
        <v>0</v>
      </c>
      <c r="Z1184" t="str">
        <f>IF($A2="","",IF(COUNTIF('07_Pallet_Contents'!$A$2:$A$3000,$A2)&gt;0,"Yes",""))</f>
        <v/>
      </c>
    </row>
    <row r="1185" spans="2:26">
      <c r="B1185" s="31"/>
      <c r="G1185" s="34"/>
      <c r="H1185" s="33" t="str">
        <f t="shared" si="26"/>
        <v/>
      </c>
      <c r="I1185" s="31"/>
      <c r="J1185" s="31"/>
      <c r="K1185" s="33"/>
      <c r="W1185">
        <f>IF($A2="","",COUNTIF('07_Pallet_Contents'!$A$2:$A$3000,$A2))</f>
        <v>0</v>
      </c>
      <c r="X1185">
        <f>IF($A2="","",SUMIF('07_Pallet_Contents'!$A$2:$A$3000,$A2,'07_Pallet_Contents'!$D$2:$D$3000))</f>
        <v>0</v>
      </c>
      <c r="Y1185">
        <f>IF($A2="","",SUMIF('07_Pallet_Contents'!$A$2:$A$3000,$A2,'07_Pallet_Contents'!$I$2:$I$3000))</f>
        <v>0</v>
      </c>
      <c r="Z1185" t="str">
        <f>IF($A2="","",IF(COUNTIF('07_Pallet_Contents'!$A$2:$A$3000,$A2)&gt;0,"Yes",""))</f>
        <v/>
      </c>
    </row>
    <row r="1186" spans="2:26">
      <c r="B1186" s="31"/>
      <c r="G1186" s="34"/>
      <c r="H1186" s="33" t="str">
        <f t="shared" si="26"/>
        <v/>
      </c>
      <c r="I1186" s="31"/>
      <c r="J1186" s="31"/>
      <c r="K1186" s="33"/>
      <c r="W1186">
        <f>IF($A2="","",COUNTIF('07_Pallet_Contents'!$A$2:$A$3000,$A2))</f>
        <v>0</v>
      </c>
      <c r="X1186">
        <f>IF($A2="","",SUMIF('07_Pallet_Contents'!$A$2:$A$3000,$A2,'07_Pallet_Contents'!$D$2:$D$3000))</f>
        <v>0</v>
      </c>
      <c r="Y1186">
        <f>IF($A2="","",SUMIF('07_Pallet_Contents'!$A$2:$A$3000,$A2,'07_Pallet_Contents'!$I$2:$I$3000))</f>
        <v>0</v>
      </c>
      <c r="Z1186" t="str">
        <f>IF($A2="","",IF(COUNTIF('07_Pallet_Contents'!$A$2:$A$3000,$A2)&gt;0,"Yes",""))</f>
        <v/>
      </c>
    </row>
    <row r="1187" spans="2:26">
      <c r="B1187" s="31"/>
      <c r="G1187" s="34"/>
      <c r="H1187" s="33" t="str">
        <f t="shared" si="26"/>
        <v/>
      </c>
      <c r="I1187" s="31"/>
      <c r="J1187" s="31"/>
      <c r="K1187" s="33"/>
      <c r="W1187">
        <f>IF($A2="","",COUNTIF('07_Pallet_Contents'!$A$2:$A$3000,$A2))</f>
        <v>0</v>
      </c>
      <c r="X1187">
        <f>IF($A2="","",SUMIF('07_Pallet_Contents'!$A$2:$A$3000,$A2,'07_Pallet_Contents'!$D$2:$D$3000))</f>
        <v>0</v>
      </c>
      <c r="Y1187">
        <f>IF($A2="","",SUMIF('07_Pallet_Contents'!$A$2:$A$3000,$A2,'07_Pallet_Contents'!$I$2:$I$3000))</f>
        <v>0</v>
      </c>
      <c r="Z1187" t="str">
        <f>IF($A2="","",IF(COUNTIF('07_Pallet_Contents'!$A$2:$A$3000,$A2)&gt;0,"Yes",""))</f>
        <v/>
      </c>
    </row>
    <row r="1188" spans="2:26">
      <c r="B1188" s="31"/>
      <c r="G1188" s="34"/>
      <c r="H1188" s="33" t="str">
        <f t="shared" si="26"/>
        <v/>
      </c>
      <c r="I1188" s="31"/>
      <c r="J1188" s="31"/>
      <c r="K1188" s="33"/>
      <c r="W1188">
        <f>IF($A2="","",COUNTIF('07_Pallet_Contents'!$A$2:$A$3000,$A2))</f>
        <v>0</v>
      </c>
      <c r="X1188">
        <f>IF($A2="","",SUMIF('07_Pallet_Contents'!$A$2:$A$3000,$A2,'07_Pallet_Contents'!$D$2:$D$3000))</f>
        <v>0</v>
      </c>
      <c r="Y1188">
        <f>IF($A2="","",SUMIF('07_Pallet_Contents'!$A$2:$A$3000,$A2,'07_Pallet_Contents'!$I$2:$I$3000))</f>
        <v>0</v>
      </c>
      <c r="Z1188" t="str">
        <f>IF($A2="","",IF(COUNTIF('07_Pallet_Contents'!$A$2:$A$3000,$A2)&gt;0,"Yes",""))</f>
        <v/>
      </c>
    </row>
    <row r="1189" spans="2:26">
      <c r="B1189" s="31"/>
      <c r="G1189" s="34"/>
      <c r="H1189" s="33" t="str">
        <f t="shared" si="26"/>
        <v/>
      </c>
      <c r="I1189" s="31"/>
      <c r="J1189" s="31"/>
      <c r="K1189" s="33"/>
      <c r="W1189">
        <f>IF($A2="","",COUNTIF('07_Pallet_Contents'!$A$2:$A$3000,$A2))</f>
        <v>0</v>
      </c>
      <c r="X1189">
        <f>IF($A2="","",SUMIF('07_Pallet_Contents'!$A$2:$A$3000,$A2,'07_Pallet_Contents'!$D$2:$D$3000))</f>
        <v>0</v>
      </c>
      <c r="Y1189">
        <f>IF($A2="","",SUMIF('07_Pallet_Contents'!$A$2:$A$3000,$A2,'07_Pallet_Contents'!$I$2:$I$3000))</f>
        <v>0</v>
      </c>
      <c r="Z1189" t="str">
        <f>IF($A2="","",IF(COUNTIF('07_Pallet_Contents'!$A$2:$A$3000,$A2)&gt;0,"Yes",""))</f>
        <v/>
      </c>
    </row>
    <row r="1190" spans="2:26">
      <c r="B1190" s="31"/>
      <c r="G1190" s="34"/>
      <c r="H1190" s="33" t="str">
        <f t="shared" si="26"/>
        <v/>
      </c>
      <c r="I1190" s="31"/>
      <c r="J1190" s="31"/>
      <c r="K1190" s="33"/>
      <c r="W1190">
        <f>IF($A2="","",COUNTIF('07_Pallet_Contents'!$A$2:$A$3000,$A2))</f>
        <v>0</v>
      </c>
      <c r="X1190">
        <f>IF($A2="","",SUMIF('07_Pallet_Contents'!$A$2:$A$3000,$A2,'07_Pallet_Contents'!$D$2:$D$3000))</f>
        <v>0</v>
      </c>
      <c r="Y1190">
        <f>IF($A2="","",SUMIF('07_Pallet_Contents'!$A$2:$A$3000,$A2,'07_Pallet_Contents'!$I$2:$I$3000))</f>
        <v>0</v>
      </c>
      <c r="Z1190" t="str">
        <f>IF($A2="","",IF(COUNTIF('07_Pallet_Contents'!$A$2:$A$3000,$A2)&gt;0,"Yes",""))</f>
        <v/>
      </c>
    </row>
    <row r="1191" spans="2:26">
      <c r="B1191" s="31"/>
      <c r="G1191" s="34"/>
      <c r="H1191" s="33" t="str">
        <f t="shared" si="26"/>
        <v/>
      </c>
      <c r="I1191" s="31"/>
      <c r="J1191" s="31"/>
      <c r="K1191" s="33"/>
      <c r="W1191">
        <f>IF($A2="","",COUNTIF('07_Pallet_Contents'!$A$2:$A$3000,$A2))</f>
        <v>0</v>
      </c>
      <c r="X1191">
        <f>IF($A2="","",SUMIF('07_Pallet_Contents'!$A$2:$A$3000,$A2,'07_Pallet_Contents'!$D$2:$D$3000))</f>
        <v>0</v>
      </c>
      <c r="Y1191">
        <f>IF($A2="","",SUMIF('07_Pallet_Contents'!$A$2:$A$3000,$A2,'07_Pallet_Contents'!$I$2:$I$3000))</f>
        <v>0</v>
      </c>
      <c r="Z1191" t="str">
        <f>IF($A2="","",IF(COUNTIF('07_Pallet_Contents'!$A$2:$A$3000,$A2)&gt;0,"Yes",""))</f>
        <v/>
      </c>
    </row>
    <row r="1192" spans="2:26">
      <c r="B1192" s="31"/>
      <c r="G1192" s="34"/>
      <c r="H1192" s="33" t="str">
        <f t="shared" si="26"/>
        <v/>
      </c>
      <c r="I1192" s="31"/>
      <c r="J1192" s="31"/>
      <c r="K1192" s="33"/>
      <c r="W1192">
        <f>IF($A2="","",COUNTIF('07_Pallet_Contents'!$A$2:$A$3000,$A2))</f>
        <v>0</v>
      </c>
      <c r="X1192">
        <f>IF($A2="","",SUMIF('07_Pallet_Contents'!$A$2:$A$3000,$A2,'07_Pallet_Contents'!$D$2:$D$3000))</f>
        <v>0</v>
      </c>
      <c r="Y1192">
        <f>IF($A2="","",SUMIF('07_Pallet_Contents'!$A$2:$A$3000,$A2,'07_Pallet_Contents'!$I$2:$I$3000))</f>
        <v>0</v>
      </c>
      <c r="Z1192" t="str">
        <f>IF($A2="","",IF(COUNTIF('07_Pallet_Contents'!$A$2:$A$3000,$A2)&gt;0,"Yes",""))</f>
        <v/>
      </c>
    </row>
    <row r="1193" spans="2:26">
      <c r="B1193" s="31"/>
      <c r="G1193" s="34"/>
      <c r="H1193" s="33" t="str">
        <f t="shared" si="26"/>
        <v/>
      </c>
      <c r="I1193" s="31"/>
      <c r="J1193" s="31"/>
      <c r="K1193" s="33"/>
      <c r="W1193">
        <f>IF($A2="","",COUNTIF('07_Pallet_Contents'!$A$2:$A$3000,$A2))</f>
        <v>0</v>
      </c>
      <c r="X1193">
        <f>IF($A2="","",SUMIF('07_Pallet_Contents'!$A$2:$A$3000,$A2,'07_Pallet_Contents'!$D$2:$D$3000))</f>
        <v>0</v>
      </c>
      <c r="Y1193">
        <f>IF($A2="","",SUMIF('07_Pallet_Contents'!$A$2:$A$3000,$A2,'07_Pallet_Contents'!$I$2:$I$3000))</f>
        <v>0</v>
      </c>
      <c r="Z1193" t="str">
        <f>IF($A2="","",IF(COUNTIF('07_Pallet_Contents'!$A$2:$A$3000,$A2)&gt;0,"Yes",""))</f>
        <v/>
      </c>
    </row>
    <row r="1194" spans="2:26">
      <c r="B1194" s="31"/>
      <c r="G1194" s="34"/>
      <c r="H1194" s="33" t="str">
        <f t="shared" si="26"/>
        <v/>
      </c>
      <c r="I1194" s="31"/>
      <c r="J1194" s="31"/>
      <c r="K1194" s="33"/>
      <c r="W1194">
        <f>IF($A2="","",COUNTIF('07_Pallet_Contents'!$A$2:$A$3000,$A2))</f>
        <v>0</v>
      </c>
      <c r="X1194">
        <f>IF($A2="","",SUMIF('07_Pallet_Contents'!$A$2:$A$3000,$A2,'07_Pallet_Contents'!$D$2:$D$3000))</f>
        <v>0</v>
      </c>
      <c r="Y1194">
        <f>IF($A2="","",SUMIF('07_Pallet_Contents'!$A$2:$A$3000,$A2,'07_Pallet_Contents'!$I$2:$I$3000))</f>
        <v>0</v>
      </c>
      <c r="Z1194" t="str">
        <f>IF($A2="","",IF(COUNTIF('07_Pallet_Contents'!$A$2:$A$3000,$A2)&gt;0,"Yes",""))</f>
        <v/>
      </c>
    </row>
    <row r="1195" spans="2:26">
      <c r="B1195" s="31"/>
      <c r="G1195" s="34"/>
      <c r="H1195" s="33" t="str">
        <f t="shared" si="26"/>
        <v/>
      </c>
      <c r="I1195" s="31"/>
      <c r="J1195" s="31"/>
      <c r="K1195" s="33"/>
      <c r="W1195">
        <f>IF($A2="","",COUNTIF('07_Pallet_Contents'!$A$2:$A$3000,$A2))</f>
        <v>0</v>
      </c>
      <c r="X1195">
        <f>IF($A2="","",SUMIF('07_Pallet_Contents'!$A$2:$A$3000,$A2,'07_Pallet_Contents'!$D$2:$D$3000))</f>
        <v>0</v>
      </c>
      <c r="Y1195">
        <f>IF($A2="","",SUMIF('07_Pallet_Contents'!$A$2:$A$3000,$A2,'07_Pallet_Contents'!$I$2:$I$3000))</f>
        <v>0</v>
      </c>
      <c r="Z1195" t="str">
        <f>IF($A2="","",IF(COUNTIF('07_Pallet_Contents'!$A$2:$A$3000,$A2)&gt;0,"Yes",""))</f>
        <v/>
      </c>
    </row>
    <row r="1196" spans="2:26">
      <c r="B1196" s="31"/>
      <c r="G1196" s="34"/>
      <c r="H1196" s="33" t="str">
        <f t="shared" si="26"/>
        <v/>
      </c>
      <c r="I1196" s="31"/>
      <c r="J1196" s="31"/>
      <c r="K1196" s="33"/>
      <c r="W1196">
        <f>IF($A2="","",COUNTIF('07_Pallet_Contents'!$A$2:$A$3000,$A2))</f>
        <v>0</v>
      </c>
      <c r="X1196">
        <f>IF($A2="","",SUMIF('07_Pallet_Contents'!$A$2:$A$3000,$A2,'07_Pallet_Contents'!$D$2:$D$3000))</f>
        <v>0</v>
      </c>
      <c r="Y1196">
        <f>IF($A2="","",SUMIF('07_Pallet_Contents'!$A$2:$A$3000,$A2,'07_Pallet_Contents'!$I$2:$I$3000))</f>
        <v>0</v>
      </c>
      <c r="Z1196" t="str">
        <f>IF($A2="","",IF(COUNTIF('07_Pallet_Contents'!$A$2:$A$3000,$A2)&gt;0,"Yes",""))</f>
        <v/>
      </c>
    </row>
    <row r="1197" spans="2:26">
      <c r="B1197" s="31"/>
      <c r="G1197" s="34"/>
      <c r="H1197" s="33" t="str">
        <f t="shared" si="26"/>
        <v/>
      </c>
      <c r="I1197" s="31"/>
      <c r="J1197" s="31"/>
      <c r="K1197" s="33"/>
      <c r="W1197">
        <f>IF($A2="","",COUNTIF('07_Pallet_Contents'!$A$2:$A$3000,$A2))</f>
        <v>0</v>
      </c>
      <c r="X1197">
        <f>IF($A2="","",SUMIF('07_Pallet_Contents'!$A$2:$A$3000,$A2,'07_Pallet_Contents'!$D$2:$D$3000))</f>
        <v>0</v>
      </c>
      <c r="Y1197">
        <f>IF($A2="","",SUMIF('07_Pallet_Contents'!$A$2:$A$3000,$A2,'07_Pallet_Contents'!$I$2:$I$3000))</f>
        <v>0</v>
      </c>
      <c r="Z1197" t="str">
        <f>IF($A2="","",IF(COUNTIF('07_Pallet_Contents'!$A$2:$A$3000,$A2)&gt;0,"Yes",""))</f>
        <v/>
      </c>
    </row>
    <row r="1198" spans="2:26">
      <c r="B1198" s="31"/>
      <c r="G1198" s="34"/>
      <c r="H1198" s="33" t="str">
        <f t="shared" si="26"/>
        <v/>
      </c>
      <c r="I1198" s="31"/>
      <c r="J1198" s="31"/>
      <c r="K1198" s="33"/>
      <c r="W1198">
        <f>IF($A2="","",COUNTIF('07_Pallet_Contents'!$A$2:$A$3000,$A2))</f>
        <v>0</v>
      </c>
      <c r="X1198">
        <f>IF($A2="","",SUMIF('07_Pallet_Contents'!$A$2:$A$3000,$A2,'07_Pallet_Contents'!$D$2:$D$3000))</f>
        <v>0</v>
      </c>
      <c r="Y1198">
        <f>IF($A2="","",SUMIF('07_Pallet_Contents'!$A$2:$A$3000,$A2,'07_Pallet_Contents'!$I$2:$I$3000))</f>
        <v>0</v>
      </c>
      <c r="Z1198" t="str">
        <f>IF($A2="","",IF(COUNTIF('07_Pallet_Contents'!$A$2:$A$3000,$A2)&gt;0,"Yes",""))</f>
        <v/>
      </c>
    </row>
    <row r="1199" spans="2:26">
      <c r="B1199" s="31"/>
      <c r="G1199" s="34"/>
      <c r="H1199" s="33" t="str">
        <f t="shared" si="26"/>
        <v/>
      </c>
      <c r="I1199" s="31"/>
      <c r="J1199" s="31"/>
      <c r="K1199" s="33"/>
      <c r="W1199">
        <f>IF($A2="","",COUNTIF('07_Pallet_Contents'!$A$2:$A$3000,$A2))</f>
        <v>0</v>
      </c>
      <c r="X1199">
        <f>IF($A2="","",SUMIF('07_Pallet_Contents'!$A$2:$A$3000,$A2,'07_Pallet_Contents'!$D$2:$D$3000))</f>
        <v>0</v>
      </c>
      <c r="Y1199">
        <f>IF($A2="","",SUMIF('07_Pallet_Contents'!$A$2:$A$3000,$A2,'07_Pallet_Contents'!$I$2:$I$3000))</f>
        <v>0</v>
      </c>
      <c r="Z1199" t="str">
        <f>IF($A2="","",IF(COUNTIF('07_Pallet_Contents'!$A$2:$A$3000,$A2)&gt;0,"Yes",""))</f>
        <v/>
      </c>
    </row>
    <row r="1200" spans="2:26">
      <c r="B1200" s="31"/>
      <c r="G1200" s="34"/>
      <c r="H1200" s="33" t="str">
        <f t="shared" si="26"/>
        <v/>
      </c>
      <c r="I1200" s="31"/>
      <c r="J1200" s="31"/>
      <c r="K1200" s="33"/>
      <c r="W1200">
        <f>IF($A2="","",COUNTIF('07_Pallet_Contents'!$A$2:$A$3000,$A2))</f>
        <v>0</v>
      </c>
      <c r="X1200">
        <f>IF($A2="","",SUMIF('07_Pallet_Contents'!$A$2:$A$3000,$A2,'07_Pallet_Contents'!$D$2:$D$3000))</f>
        <v>0</v>
      </c>
      <c r="Y1200">
        <f>IF($A2="","",SUMIF('07_Pallet_Contents'!$A$2:$A$3000,$A2,'07_Pallet_Contents'!$I$2:$I$3000))</f>
        <v>0</v>
      </c>
      <c r="Z1200" t="str">
        <f>IF($A2="","",IF(COUNTIF('07_Pallet_Contents'!$A$2:$A$3000,$A2)&gt;0,"Yes",""))</f>
        <v/>
      </c>
    </row>
    <row r="1201" spans="2:26">
      <c r="B1201" s="31"/>
      <c r="G1201" s="34"/>
      <c r="H1201" s="33" t="str">
        <f t="shared" si="26"/>
        <v/>
      </c>
      <c r="I1201" s="31"/>
      <c r="J1201" s="31"/>
      <c r="K1201" s="33"/>
      <c r="W1201">
        <f>IF($A2="","",COUNTIF('07_Pallet_Contents'!$A$2:$A$3000,$A2))</f>
        <v>0</v>
      </c>
      <c r="X1201">
        <f>IF($A2="","",SUMIF('07_Pallet_Contents'!$A$2:$A$3000,$A2,'07_Pallet_Contents'!$D$2:$D$3000))</f>
        <v>0</v>
      </c>
      <c r="Y1201">
        <f>IF($A2="","",SUMIF('07_Pallet_Contents'!$A$2:$A$3000,$A2,'07_Pallet_Contents'!$I$2:$I$3000))</f>
        <v>0</v>
      </c>
      <c r="Z1201" t="str">
        <f>IF($A2="","",IF(COUNTIF('07_Pallet_Contents'!$A$2:$A$3000,$A2)&gt;0,"Yes",""))</f>
        <v/>
      </c>
    </row>
    <row r="1202" spans="2:26">
      <c r="B1202" s="31"/>
      <c r="G1202" s="34"/>
      <c r="H1202" s="33" t="str">
        <f t="shared" si="26"/>
        <v/>
      </c>
      <c r="I1202" s="31"/>
      <c r="J1202" s="31"/>
      <c r="K1202" s="33"/>
      <c r="W1202">
        <f>IF($A2="","",COUNTIF('07_Pallet_Contents'!$A$2:$A$3000,$A2))</f>
        <v>0</v>
      </c>
      <c r="X1202">
        <f>IF($A2="","",SUMIF('07_Pallet_Contents'!$A$2:$A$3000,$A2,'07_Pallet_Contents'!$D$2:$D$3000))</f>
        <v>0</v>
      </c>
      <c r="Y1202">
        <f>IF($A2="","",SUMIF('07_Pallet_Contents'!$A$2:$A$3000,$A2,'07_Pallet_Contents'!$I$2:$I$3000))</f>
        <v>0</v>
      </c>
      <c r="Z1202" t="str">
        <f>IF($A2="","",IF(COUNTIF('07_Pallet_Contents'!$A$2:$A$3000,$A2)&gt;0,"Yes",""))</f>
        <v/>
      </c>
    </row>
    <row r="1203" spans="2:26">
      <c r="B1203" s="31"/>
      <c r="G1203" s="34"/>
      <c r="H1203" s="33" t="str">
        <f t="shared" si="26"/>
        <v/>
      </c>
      <c r="I1203" s="31"/>
      <c r="J1203" s="31"/>
      <c r="K1203" s="33"/>
      <c r="W1203">
        <f>IF($A2="","",COUNTIF('07_Pallet_Contents'!$A$2:$A$3000,$A2))</f>
        <v>0</v>
      </c>
      <c r="X1203">
        <f>IF($A2="","",SUMIF('07_Pallet_Contents'!$A$2:$A$3000,$A2,'07_Pallet_Contents'!$D$2:$D$3000))</f>
        <v>0</v>
      </c>
      <c r="Y1203">
        <f>IF($A2="","",SUMIF('07_Pallet_Contents'!$A$2:$A$3000,$A2,'07_Pallet_Contents'!$I$2:$I$3000))</f>
        <v>0</v>
      </c>
      <c r="Z1203" t="str">
        <f>IF($A2="","",IF(COUNTIF('07_Pallet_Contents'!$A$2:$A$3000,$A2)&gt;0,"Yes",""))</f>
        <v/>
      </c>
    </row>
    <row r="1204" spans="2:26">
      <c r="B1204" s="31"/>
      <c r="G1204" s="34"/>
      <c r="H1204" s="33" t="str">
        <f t="shared" si="26"/>
        <v/>
      </c>
      <c r="I1204" s="31"/>
      <c r="J1204" s="31"/>
      <c r="K1204" s="33"/>
      <c r="W1204">
        <f>IF($A2="","",COUNTIF('07_Pallet_Contents'!$A$2:$A$3000,$A2))</f>
        <v>0</v>
      </c>
      <c r="X1204">
        <f>IF($A2="","",SUMIF('07_Pallet_Contents'!$A$2:$A$3000,$A2,'07_Pallet_Contents'!$D$2:$D$3000))</f>
        <v>0</v>
      </c>
      <c r="Y1204">
        <f>IF($A2="","",SUMIF('07_Pallet_Contents'!$A$2:$A$3000,$A2,'07_Pallet_Contents'!$I$2:$I$3000))</f>
        <v>0</v>
      </c>
      <c r="Z1204" t="str">
        <f>IF($A2="","",IF(COUNTIF('07_Pallet_Contents'!$A$2:$A$3000,$A2)&gt;0,"Yes",""))</f>
        <v/>
      </c>
    </row>
    <row r="1205" spans="2:26">
      <c r="B1205" s="31"/>
      <c r="G1205" s="34"/>
      <c r="H1205" s="33" t="str">
        <f t="shared" si="26"/>
        <v/>
      </c>
      <c r="I1205" s="31"/>
      <c r="J1205" s="31"/>
      <c r="K1205" s="33"/>
      <c r="W1205">
        <f>IF($A2="","",COUNTIF('07_Pallet_Contents'!$A$2:$A$3000,$A2))</f>
        <v>0</v>
      </c>
      <c r="X1205">
        <f>IF($A2="","",SUMIF('07_Pallet_Contents'!$A$2:$A$3000,$A2,'07_Pallet_Contents'!$D$2:$D$3000))</f>
        <v>0</v>
      </c>
      <c r="Y1205">
        <f>IF($A2="","",SUMIF('07_Pallet_Contents'!$A$2:$A$3000,$A2,'07_Pallet_Contents'!$I$2:$I$3000))</f>
        <v>0</v>
      </c>
      <c r="Z1205" t="str">
        <f>IF($A2="","",IF(COUNTIF('07_Pallet_Contents'!$A$2:$A$3000,$A2)&gt;0,"Yes",""))</f>
        <v/>
      </c>
    </row>
    <row r="1206" spans="2:26">
      <c r="B1206" s="31"/>
      <c r="G1206" s="34"/>
      <c r="H1206" s="33" t="str">
        <f t="shared" si="26"/>
        <v/>
      </c>
      <c r="I1206" s="31"/>
      <c r="J1206" s="31"/>
      <c r="K1206" s="33"/>
      <c r="W1206">
        <f>IF($A2="","",COUNTIF('07_Pallet_Contents'!$A$2:$A$3000,$A2))</f>
        <v>0</v>
      </c>
      <c r="X1206">
        <f>IF($A2="","",SUMIF('07_Pallet_Contents'!$A$2:$A$3000,$A2,'07_Pallet_Contents'!$D$2:$D$3000))</f>
        <v>0</v>
      </c>
      <c r="Y1206">
        <f>IF($A2="","",SUMIF('07_Pallet_Contents'!$A$2:$A$3000,$A2,'07_Pallet_Contents'!$I$2:$I$3000))</f>
        <v>0</v>
      </c>
      <c r="Z1206" t="str">
        <f>IF($A2="","",IF(COUNTIF('07_Pallet_Contents'!$A$2:$A$3000,$A2)&gt;0,"Yes",""))</f>
        <v/>
      </c>
    </row>
    <row r="1207" spans="2:26">
      <c r="B1207" s="31"/>
      <c r="G1207" s="34"/>
      <c r="H1207" s="33" t="str">
        <f t="shared" si="26"/>
        <v/>
      </c>
      <c r="I1207" s="31"/>
      <c r="J1207" s="31"/>
      <c r="K1207" s="33"/>
      <c r="W1207">
        <f>IF($A2="","",COUNTIF('07_Pallet_Contents'!$A$2:$A$3000,$A2))</f>
        <v>0</v>
      </c>
      <c r="X1207">
        <f>IF($A2="","",SUMIF('07_Pallet_Contents'!$A$2:$A$3000,$A2,'07_Pallet_Contents'!$D$2:$D$3000))</f>
        <v>0</v>
      </c>
      <c r="Y1207">
        <f>IF($A2="","",SUMIF('07_Pallet_Contents'!$A$2:$A$3000,$A2,'07_Pallet_Contents'!$I$2:$I$3000))</f>
        <v>0</v>
      </c>
      <c r="Z1207" t="str">
        <f>IF($A2="","",IF(COUNTIF('07_Pallet_Contents'!$A$2:$A$3000,$A2)&gt;0,"Yes",""))</f>
        <v/>
      </c>
    </row>
    <row r="1208" spans="2:26">
      <c r="B1208" s="31"/>
      <c r="G1208" s="34"/>
      <c r="H1208" s="33" t="str">
        <f t="shared" si="26"/>
        <v/>
      </c>
      <c r="I1208" s="31"/>
      <c r="J1208" s="31"/>
      <c r="K1208" s="33"/>
      <c r="W1208">
        <f>IF($A2="","",COUNTIF('07_Pallet_Contents'!$A$2:$A$3000,$A2))</f>
        <v>0</v>
      </c>
      <c r="X1208">
        <f>IF($A2="","",SUMIF('07_Pallet_Contents'!$A$2:$A$3000,$A2,'07_Pallet_Contents'!$D$2:$D$3000))</f>
        <v>0</v>
      </c>
      <c r="Y1208">
        <f>IF($A2="","",SUMIF('07_Pallet_Contents'!$A$2:$A$3000,$A2,'07_Pallet_Contents'!$I$2:$I$3000))</f>
        <v>0</v>
      </c>
      <c r="Z1208" t="str">
        <f>IF($A2="","",IF(COUNTIF('07_Pallet_Contents'!$A$2:$A$3000,$A2)&gt;0,"Yes",""))</f>
        <v/>
      </c>
    </row>
    <row r="1209" spans="2:26">
      <c r="B1209" s="31"/>
      <c r="G1209" s="34"/>
      <c r="H1209" s="33" t="str">
        <f t="shared" si="26"/>
        <v/>
      </c>
      <c r="I1209" s="31"/>
      <c r="J1209" s="31"/>
      <c r="K1209" s="33"/>
      <c r="W1209">
        <f>IF($A2="","",COUNTIF('07_Pallet_Contents'!$A$2:$A$3000,$A2))</f>
        <v>0</v>
      </c>
      <c r="X1209">
        <f>IF($A2="","",SUMIF('07_Pallet_Contents'!$A$2:$A$3000,$A2,'07_Pallet_Contents'!$D$2:$D$3000))</f>
        <v>0</v>
      </c>
      <c r="Y1209">
        <f>IF($A2="","",SUMIF('07_Pallet_Contents'!$A$2:$A$3000,$A2,'07_Pallet_Contents'!$I$2:$I$3000))</f>
        <v>0</v>
      </c>
      <c r="Z1209" t="str">
        <f>IF($A2="","",IF(COUNTIF('07_Pallet_Contents'!$A$2:$A$3000,$A2)&gt;0,"Yes",""))</f>
        <v/>
      </c>
    </row>
    <row r="1210" spans="2:26">
      <c r="B1210" s="31"/>
      <c r="G1210" s="34"/>
      <c r="H1210" s="33" t="str">
        <f t="shared" si="26"/>
        <v/>
      </c>
      <c r="I1210" s="31"/>
      <c r="J1210" s="31"/>
      <c r="K1210" s="33"/>
      <c r="W1210">
        <f>IF($A2="","",COUNTIF('07_Pallet_Contents'!$A$2:$A$3000,$A2))</f>
        <v>0</v>
      </c>
      <c r="X1210">
        <f>IF($A2="","",SUMIF('07_Pallet_Contents'!$A$2:$A$3000,$A2,'07_Pallet_Contents'!$D$2:$D$3000))</f>
        <v>0</v>
      </c>
      <c r="Y1210">
        <f>IF($A2="","",SUMIF('07_Pallet_Contents'!$A$2:$A$3000,$A2,'07_Pallet_Contents'!$I$2:$I$3000))</f>
        <v>0</v>
      </c>
      <c r="Z1210" t="str">
        <f>IF($A2="","",IF(COUNTIF('07_Pallet_Contents'!$A$2:$A$3000,$A2)&gt;0,"Yes",""))</f>
        <v/>
      </c>
    </row>
    <row r="1211" spans="2:26">
      <c r="B1211" s="31"/>
      <c r="G1211" s="34"/>
      <c r="H1211" s="33" t="str">
        <f t="shared" si="26"/>
        <v/>
      </c>
      <c r="I1211" s="31"/>
      <c r="J1211" s="31"/>
      <c r="K1211" s="33"/>
      <c r="W1211">
        <f>IF($A2="","",COUNTIF('07_Pallet_Contents'!$A$2:$A$3000,$A2))</f>
        <v>0</v>
      </c>
      <c r="X1211">
        <f>IF($A2="","",SUMIF('07_Pallet_Contents'!$A$2:$A$3000,$A2,'07_Pallet_Contents'!$D$2:$D$3000))</f>
        <v>0</v>
      </c>
      <c r="Y1211">
        <f>IF($A2="","",SUMIF('07_Pallet_Contents'!$A$2:$A$3000,$A2,'07_Pallet_Contents'!$I$2:$I$3000))</f>
        <v>0</v>
      </c>
      <c r="Z1211" t="str">
        <f>IF($A2="","",IF(COUNTIF('07_Pallet_Contents'!$A$2:$A$3000,$A2)&gt;0,"Yes",""))</f>
        <v/>
      </c>
    </row>
    <row r="1212" spans="2:26">
      <c r="B1212" s="31"/>
      <c r="G1212" s="34"/>
      <c r="H1212" s="33" t="str">
        <f t="shared" si="26"/>
        <v/>
      </c>
      <c r="I1212" s="31"/>
      <c r="J1212" s="31"/>
      <c r="K1212" s="33"/>
      <c r="W1212">
        <f>IF($A2="","",COUNTIF('07_Pallet_Contents'!$A$2:$A$3000,$A2))</f>
        <v>0</v>
      </c>
      <c r="X1212">
        <f>IF($A2="","",SUMIF('07_Pallet_Contents'!$A$2:$A$3000,$A2,'07_Pallet_Contents'!$D$2:$D$3000))</f>
        <v>0</v>
      </c>
      <c r="Y1212">
        <f>IF($A2="","",SUMIF('07_Pallet_Contents'!$A$2:$A$3000,$A2,'07_Pallet_Contents'!$I$2:$I$3000))</f>
        <v>0</v>
      </c>
      <c r="Z1212" t="str">
        <f>IF($A2="","",IF(COUNTIF('07_Pallet_Contents'!$A$2:$A$3000,$A2)&gt;0,"Yes",""))</f>
        <v/>
      </c>
    </row>
    <row r="1213" spans="2:26">
      <c r="B1213" s="31"/>
      <c r="G1213" s="34"/>
      <c r="H1213" s="33" t="str">
        <f t="shared" si="26"/>
        <v/>
      </c>
      <c r="I1213" s="31"/>
      <c r="J1213" s="31"/>
      <c r="K1213" s="33"/>
      <c r="W1213">
        <f>IF($A2="","",COUNTIF('07_Pallet_Contents'!$A$2:$A$3000,$A2))</f>
        <v>0</v>
      </c>
      <c r="X1213">
        <f>IF($A2="","",SUMIF('07_Pallet_Contents'!$A$2:$A$3000,$A2,'07_Pallet_Contents'!$D$2:$D$3000))</f>
        <v>0</v>
      </c>
      <c r="Y1213">
        <f>IF($A2="","",SUMIF('07_Pallet_Contents'!$A$2:$A$3000,$A2,'07_Pallet_Contents'!$I$2:$I$3000))</f>
        <v>0</v>
      </c>
      <c r="Z1213" t="str">
        <f>IF($A2="","",IF(COUNTIF('07_Pallet_Contents'!$A$2:$A$3000,$A2)&gt;0,"Yes",""))</f>
        <v/>
      </c>
    </row>
    <row r="1214" spans="2:26">
      <c r="B1214" s="31"/>
      <c r="G1214" s="34"/>
      <c r="H1214" s="33" t="str">
        <f t="shared" si="26"/>
        <v/>
      </c>
      <c r="I1214" s="31"/>
      <c r="J1214" s="31"/>
      <c r="K1214" s="33"/>
      <c r="W1214">
        <f>IF($A2="","",COUNTIF('07_Pallet_Contents'!$A$2:$A$3000,$A2))</f>
        <v>0</v>
      </c>
      <c r="X1214">
        <f>IF($A2="","",SUMIF('07_Pallet_Contents'!$A$2:$A$3000,$A2,'07_Pallet_Contents'!$D$2:$D$3000))</f>
        <v>0</v>
      </c>
      <c r="Y1214">
        <f>IF($A2="","",SUMIF('07_Pallet_Contents'!$A$2:$A$3000,$A2,'07_Pallet_Contents'!$I$2:$I$3000))</f>
        <v>0</v>
      </c>
      <c r="Z1214" t="str">
        <f>IF($A2="","",IF(COUNTIF('07_Pallet_Contents'!$A$2:$A$3000,$A2)&gt;0,"Yes",""))</f>
        <v/>
      </c>
    </row>
    <row r="1215" spans="2:26">
      <c r="B1215" s="31"/>
      <c r="G1215" s="34"/>
      <c r="H1215" s="33" t="str">
        <f t="shared" si="26"/>
        <v/>
      </c>
      <c r="I1215" s="31"/>
      <c r="J1215" s="31"/>
      <c r="K1215" s="33"/>
      <c r="W1215">
        <f>IF($A2="","",COUNTIF('07_Pallet_Contents'!$A$2:$A$3000,$A2))</f>
        <v>0</v>
      </c>
      <c r="X1215">
        <f>IF($A2="","",SUMIF('07_Pallet_Contents'!$A$2:$A$3000,$A2,'07_Pallet_Contents'!$D$2:$D$3000))</f>
        <v>0</v>
      </c>
      <c r="Y1215">
        <f>IF($A2="","",SUMIF('07_Pallet_Contents'!$A$2:$A$3000,$A2,'07_Pallet_Contents'!$I$2:$I$3000))</f>
        <v>0</v>
      </c>
      <c r="Z1215" t="str">
        <f>IF($A2="","",IF(COUNTIF('07_Pallet_Contents'!$A$2:$A$3000,$A2)&gt;0,"Yes",""))</f>
        <v/>
      </c>
    </row>
    <row r="1216" spans="2:26">
      <c r="B1216" s="31"/>
      <c r="G1216" s="34"/>
      <c r="H1216" s="33" t="str">
        <f t="shared" si="26"/>
        <v/>
      </c>
      <c r="I1216" s="31"/>
      <c r="J1216" s="31"/>
      <c r="K1216" s="33"/>
      <c r="W1216">
        <f>IF($A2="","",COUNTIF('07_Pallet_Contents'!$A$2:$A$3000,$A2))</f>
        <v>0</v>
      </c>
      <c r="X1216">
        <f>IF($A2="","",SUMIF('07_Pallet_Contents'!$A$2:$A$3000,$A2,'07_Pallet_Contents'!$D$2:$D$3000))</f>
        <v>0</v>
      </c>
      <c r="Y1216">
        <f>IF($A2="","",SUMIF('07_Pallet_Contents'!$A$2:$A$3000,$A2,'07_Pallet_Contents'!$I$2:$I$3000))</f>
        <v>0</v>
      </c>
      <c r="Z1216" t="str">
        <f>IF($A2="","",IF(COUNTIF('07_Pallet_Contents'!$A$2:$A$3000,$A2)&gt;0,"Yes",""))</f>
        <v/>
      </c>
    </row>
    <row r="1217" spans="2:26">
      <c r="B1217" s="31"/>
      <c r="G1217" s="34"/>
      <c r="H1217" s="33" t="str">
        <f t="shared" si="26"/>
        <v/>
      </c>
      <c r="I1217" s="31"/>
      <c r="J1217" s="31"/>
      <c r="K1217" s="33"/>
      <c r="W1217">
        <f>IF($A2="","",COUNTIF('07_Pallet_Contents'!$A$2:$A$3000,$A2))</f>
        <v>0</v>
      </c>
      <c r="X1217">
        <f>IF($A2="","",SUMIF('07_Pallet_Contents'!$A$2:$A$3000,$A2,'07_Pallet_Contents'!$D$2:$D$3000))</f>
        <v>0</v>
      </c>
      <c r="Y1217">
        <f>IF($A2="","",SUMIF('07_Pallet_Contents'!$A$2:$A$3000,$A2,'07_Pallet_Contents'!$I$2:$I$3000))</f>
        <v>0</v>
      </c>
      <c r="Z1217" t="str">
        <f>IF($A2="","",IF(COUNTIF('07_Pallet_Contents'!$A$2:$A$3000,$A2)&gt;0,"Yes",""))</f>
        <v/>
      </c>
    </row>
    <row r="1218" spans="2:26">
      <c r="B1218" s="31"/>
      <c r="G1218" s="34"/>
      <c r="H1218" s="33" t="str">
        <f t="shared" ref="H1218:H1281" si="27">IF(AND($F1218="TEMP",$G1218&gt;0,$M1218&lt;&gt;""),$M1218+$G1218,"")</f>
        <v/>
      </c>
      <c r="I1218" s="31"/>
      <c r="J1218" s="31"/>
      <c r="K1218" s="33"/>
      <c r="W1218">
        <f>IF($A2="","",COUNTIF('07_Pallet_Contents'!$A$2:$A$3000,$A2))</f>
        <v>0</v>
      </c>
      <c r="X1218">
        <f>IF($A2="","",SUMIF('07_Pallet_Contents'!$A$2:$A$3000,$A2,'07_Pallet_Contents'!$D$2:$D$3000))</f>
        <v>0</v>
      </c>
      <c r="Y1218">
        <f>IF($A2="","",SUMIF('07_Pallet_Contents'!$A$2:$A$3000,$A2,'07_Pallet_Contents'!$I$2:$I$3000))</f>
        <v>0</v>
      </c>
      <c r="Z1218" t="str">
        <f>IF($A2="","",IF(COUNTIF('07_Pallet_Contents'!$A$2:$A$3000,$A2)&gt;0,"Yes",""))</f>
        <v/>
      </c>
    </row>
    <row r="1219" spans="2:26">
      <c r="B1219" s="31"/>
      <c r="G1219" s="34"/>
      <c r="H1219" s="33" t="str">
        <f t="shared" si="27"/>
        <v/>
      </c>
      <c r="I1219" s="31"/>
      <c r="J1219" s="31"/>
      <c r="K1219" s="33"/>
      <c r="W1219">
        <f>IF($A2="","",COUNTIF('07_Pallet_Contents'!$A$2:$A$3000,$A2))</f>
        <v>0</v>
      </c>
      <c r="X1219">
        <f>IF($A2="","",SUMIF('07_Pallet_Contents'!$A$2:$A$3000,$A2,'07_Pallet_Contents'!$D$2:$D$3000))</f>
        <v>0</v>
      </c>
      <c r="Y1219">
        <f>IF($A2="","",SUMIF('07_Pallet_Contents'!$A$2:$A$3000,$A2,'07_Pallet_Contents'!$I$2:$I$3000))</f>
        <v>0</v>
      </c>
      <c r="Z1219" t="str">
        <f>IF($A2="","",IF(COUNTIF('07_Pallet_Contents'!$A$2:$A$3000,$A2)&gt;0,"Yes",""))</f>
        <v/>
      </c>
    </row>
    <row r="1220" spans="2:26">
      <c r="B1220" s="31"/>
      <c r="G1220" s="34"/>
      <c r="H1220" s="33" t="str">
        <f t="shared" si="27"/>
        <v/>
      </c>
      <c r="I1220" s="31"/>
      <c r="J1220" s="31"/>
      <c r="K1220" s="33"/>
      <c r="W1220">
        <f>IF($A2="","",COUNTIF('07_Pallet_Contents'!$A$2:$A$3000,$A2))</f>
        <v>0</v>
      </c>
      <c r="X1220">
        <f>IF($A2="","",SUMIF('07_Pallet_Contents'!$A$2:$A$3000,$A2,'07_Pallet_Contents'!$D$2:$D$3000))</f>
        <v>0</v>
      </c>
      <c r="Y1220">
        <f>IF($A2="","",SUMIF('07_Pallet_Contents'!$A$2:$A$3000,$A2,'07_Pallet_Contents'!$I$2:$I$3000))</f>
        <v>0</v>
      </c>
      <c r="Z1220" t="str">
        <f>IF($A2="","",IF(COUNTIF('07_Pallet_Contents'!$A$2:$A$3000,$A2)&gt;0,"Yes",""))</f>
        <v/>
      </c>
    </row>
    <row r="1221" spans="2:26">
      <c r="B1221" s="31"/>
      <c r="G1221" s="34"/>
      <c r="H1221" s="33" t="str">
        <f t="shared" si="27"/>
        <v/>
      </c>
      <c r="I1221" s="31"/>
      <c r="J1221" s="31"/>
      <c r="K1221" s="33"/>
      <c r="W1221">
        <f>IF($A2="","",COUNTIF('07_Pallet_Contents'!$A$2:$A$3000,$A2))</f>
        <v>0</v>
      </c>
      <c r="X1221">
        <f>IF($A2="","",SUMIF('07_Pallet_Contents'!$A$2:$A$3000,$A2,'07_Pallet_Contents'!$D$2:$D$3000))</f>
        <v>0</v>
      </c>
      <c r="Y1221">
        <f>IF($A2="","",SUMIF('07_Pallet_Contents'!$A$2:$A$3000,$A2,'07_Pallet_Contents'!$I$2:$I$3000))</f>
        <v>0</v>
      </c>
      <c r="Z1221" t="str">
        <f>IF($A2="","",IF(COUNTIF('07_Pallet_Contents'!$A$2:$A$3000,$A2)&gt;0,"Yes",""))</f>
        <v/>
      </c>
    </row>
    <row r="1222" spans="2:26">
      <c r="B1222" s="31"/>
      <c r="G1222" s="34"/>
      <c r="H1222" s="33" t="str">
        <f t="shared" si="27"/>
        <v/>
      </c>
      <c r="I1222" s="31"/>
      <c r="J1222" s="31"/>
      <c r="K1222" s="33"/>
      <c r="W1222">
        <f>IF($A2="","",COUNTIF('07_Pallet_Contents'!$A$2:$A$3000,$A2))</f>
        <v>0</v>
      </c>
      <c r="X1222">
        <f>IF($A2="","",SUMIF('07_Pallet_Contents'!$A$2:$A$3000,$A2,'07_Pallet_Contents'!$D$2:$D$3000))</f>
        <v>0</v>
      </c>
      <c r="Y1222">
        <f>IF($A2="","",SUMIF('07_Pallet_Contents'!$A$2:$A$3000,$A2,'07_Pallet_Contents'!$I$2:$I$3000))</f>
        <v>0</v>
      </c>
      <c r="Z1222" t="str">
        <f>IF($A2="","",IF(COUNTIF('07_Pallet_Contents'!$A$2:$A$3000,$A2)&gt;0,"Yes",""))</f>
        <v/>
      </c>
    </row>
    <row r="1223" spans="2:26">
      <c r="B1223" s="31"/>
      <c r="G1223" s="34"/>
      <c r="H1223" s="33" t="str">
        <f t="shared" si="27"/>
        <v/>
      </c>
      <c r="I1223" s="31"/>
      <c r="J1223" s="31"/>
      <c r="K1223" s="33"/>
      <c r="W1223">
        <f>IF($A2="","",COUNTIF('07_Pallet_Contents'!$A$2:$A$3000,$A2))</f>
        <v>0</v>
      </c>
      <c r="X1223">
        <f>IF($A2="","",SUMIF('07_Pallet_Contents'!$A$2:$A$3000,$A2,'07_Pallet_Contents'!$D$2:$D$3000))</f>
        <v>0</v>
      </c>
      <c r="Y1223">
        <f>IF($A2="","",SUMIF('07_Pallet_Contents'!$A$2:$A$3000,$A2,'07_Pallet_Contents'!$I$2:$I$3000))</f>
        <v>0</v>
      </c>
      <c r="Z1223" t="str">
        <f>IF($A2="","",IF(COUNTIF('07_Pallet_Contents'!$A$2:$A$3000,$A2)&gt;0,"Yes",""))</f>
        <v/>
      </c>
    </row>
    <row r="1224" spans="2:26">
      <c r="B1224" s="31"/>
      <c r="G1224" s="34"/>
      <c r="H1224" s="33" t="str">
        <f t="shared" si="27"/>
        <v/>
      </c>
      <c r="I1224" s="31"/>
      <c r="J1224" s="31"/>
      <c r="K1224" s="33"/>
      <c r="W1224">
        <f>IF($A2="","",COUNTIF('07_Pallet_Contents'!$A$2:$A$3000,$A2))</f>
        <v>0</v>
      </c>
      <c r="X1224">
        <f>IF($A2="","",SUMIF('07_Pallet_Contents'!$A$2:$A$3000,$A2,'07_Pallet_Contents'!$D$2:$D$3000))</f>
        <v>0</v>
      </c>
      <c r="Y1224">
        <f>IF($A2="","",SUMIF('07_Pallet_Contents'!$A$2:$A$3000,$A2,'07_Pallet_Contents'!$I$2:$I$3000))</f>
        <v>0</v>
      </c>
      <c r="Z1224" t="str">
        <f>IF($A2="","",IF(COUNTIF('07_Pallet_Contents'!$A$2:$A$3000,$A2)&gt;0,"Yes",""))</f>
        <v/>
      </c>
    </row>
    <row r="1225" spans="2:26">
      <c r="B1225" s="31"/>
      <c r="G1225" s="34"/>
      <c r="H1225" s="33" t="str">
        <f t="shared" si="27"/>
        <v/>
      </c>
      <c r="I1225" s="31"/>
      <c r="J1225" s="31"/>
      <c r="K1225" s="33"/>
      <c r="W1225">
        <f>IF($A2="","",COUNTIF('07_Pallet_Contents'!$A$2:$A$3000,$A2))</f>
        <v>0</v>
      </c>
      <c r="X1225">
        <f>IF($A2="","",SUMIF('07_Pallet_Contents'!$A$2:$A$3000,$A2,'07_Pallet_Contents'!$D$2:$D$3000))</f>
        <v>0</v>
      </c>
      <c r="Y1225">
        <f>IF($A2="","",SUMIF('07_Pallet_Contents'!$A$2:$A$3000,$A2,'07_Pallet_Contents'!$I$2:$I$3000))</f>
        <v>0</v>
      </c>
      <c r="Z1225" t="str">
        <f>IF($A2="","",IF(COUNTIF('07_Pallet_Contents'!$A$2:$A$3000,$A2)&gt;0,"Yes",""))</f>
        <v/>
      </c>
    </row>
    <row r="1226" spans="2:26">
      <c r="B1226" s="31"/>
      <c r="G1226" s="34"/>
      <c r="H1226" s="33" t="str">
        <f t="shared" si="27"/>
        <v/>
      </c>
      <c r="I1226" s="31"/>
      <c r="J1226" s="31"/>
      <c r="K1226" s="33"/>
      <c r="W1226">
        <f>IF($A2="","",COUNTIF('07_Pallet_Contents'!$A$2:$A$3000,$A2))</f>
        <v>0</v>
      </c>
      <c r="X1226">
        <f>IF($A2="","",SUMIF('07_Pallet_Contents'!$A$2:$A$3000,$A2,'07_Pallet_Contents'!$D$2:$D$3000))</f>
        <v>0</v>
      </c>
      <c r="Y1226">
        <f>IF($A2="","",SUMIF('07_Pallet_Contents'!$A$2:$A$3000,$A2,'07_Pallet_Contents'!$I$2:$I$3000))</f>
        <v>0</v>
      </c>
      <c r="Z1226" t="str">
        <f>IF($A2="","",IF(COUNTIF('07_Pallet_Contents'!$A$2:$A$3000,$A2)&gt;0,"Yes",""))</f>
        <v/>
      </c>
    </row>
    <row r="1227" spans="2:26">
      <c r="B1227" s="31"/>
      <c r="G1227" s="34"/>
      <c r="H1227" s="33" t="str">
        <f t="shared" si="27"/>
        <v/>
      </c>
      <c r="I1227" s="31"/>
      <c r="J1227" s="31"/>
      <c r="K1227" s="33"/>
      <c r="W1227">
        <f>IF($A2="","",COUNTIF('07_Pallet_Contents'!$A$2:$A$3000,$A2))</f>
        <v>0</v>
      </c>
      <c r="X1227">
        <f>IF($A2="","",SUMIF('07_Pallet_Contents'!$A$2:$A$3000,$A2,'07_Pallet_Contents'!$D$2:$D$3000))</f>
        <v>0</v>
      </c>
      <c r="Y1227">
        <f>IF($A2="","",SUMIF('07_Pallet_Contents'!$A$2:$A$3000,$A2,'07_Pallet_Contents'!$I$2:$I$3000))</f>
        <v>0</v>
      </c>
      <c r="Z1227" t="str">
        <f>IF($A2="","",IF(COUNTIF('07_Pallet_Contents'!$A$2:$A$3000,$A2)&gt;0,"Yes",""))</f>
        <v/>
      </c>
    </row>
    <row r="1228" spans="2:26">
      <c r="B1228" s="31"/>
      <c r="G1228" s="34"/>
      <c r="H1228" s="33" t="str">
        <f t="shared" si="27"/>
        <v/>
      </c>
      <c r="I1228" s="31"/>
      <c r="J1228" s="31"/>
      <c r="K1228" s="33"/>
      <c r="W1228">
        <f>IF($A2="","",COUNTIF('07_Pallet_Contents'!$A$2:$A$3000,$A2))</f>
        <v>0</v>
      </c>
      <c r="X1228">
        <f>IF($A2="","",SUMIF('07_Pallet_Contents'!$A$2:$A$3000,$A2,'07_Pallet_Contents'!$D$2:$D$3000))</f>
        <v>0</v>
      </c>
      <c r="Y1228">
        <f>IF($A2="","",SUMIF('07_Pallet_Contents'!$A$2:$A$3000,$A2,'07_Pallet_Contents'!$I$2:$I$3000))</f>
        <v>0</v>
      </c>
      <c r="Z1228" t="str">
        <f>IF($A2="","",IF(COUNTIF('07_Pallet_Contents'!$A$2:$A$3000,$A2)&gt;0,"Yes",""))</f>
        <v/>
      </c>
    </row>
    <row r="1229" spans="2:26">
      <c r="B1229" s="31"/>
      <c r="G1229" s="34"/>
      <c r="H1229" s="33" t="str">
        <f t="shared" si="27"/>
        <v/>
      </c>
      <c r="I1229" s="31"/>
      <c r="J1229" s="31"/>
      <c r="K1229" s="33"/>
      <c r="W1229">
        <f>IF($A2="","",COUNTIF('07_Pallet_Contents'!$A$2:$A$3000,$A2))</f>
        <v>0</v>
      </c>
      <c r="X1229">
        <f>IF($A2="","",SUMIF('07_Pallet_Contents'!$A$2:$A$3000,$A2,'07_Pallet_Contents'!$D$2:$D$3000))</f>
        <v>0</v>
      </c>
      <c r="Y1229">
        <f>IF($A2="","",SUMIF('07_Pallet_Contents'!$A$2:$A$3000,$A2,'07_Pallet_Contents'!$I$2:$I$3000))</f>
        <v>0</v>
      </c>
      <c r="Z1229" t="str">
        <f>IF($A2="","",IF(COUNTIF('07_Pallet_Contents'!$A$2:$A$3000,$A2)&gt;0,"Yes",""))</f>
        <v/>
      </c>
    </row>
    <row r="1230" spans="2:26">
      <c r="B1230" s="31"/>
      <c r="G1230" s="34"/>
      <c r="H1230" s="33" t="str">
        <f t="shared" si="27"/>
        <v/>
      </c>
      <c r="I1230" s="31"/>
      <c r="J1230" s="31"/>
      <c r="K1230" s="33"/>
      <c r="W1230">
        <f>IF($A2="","",COUNTIF('07_Pallet_Contents'!$A$2:$A$3000,$A2))</f>
        <v>0</v>
      </c>
      <c r="X1230">
        <f>IF($A2="","",SUMIF('07_Pallet_Contents'!$A$2:$A$3000,$A2,'07_Pallet_Contents'!$D$2:$D$3000))</f>
        <v>0</v>
      </c>
      <c r="Y1230">
        <f>IF($A2="","",SUMIF('07_Pallet_Contents'!$A$2:$A$3000,$A2,'07_Pallet_Contents'!$I$2:$I$3000))</f>
        <v>0</v>
      </c>
      <c r="Z1230" t="str">
        <f>IF($A2="","",IF(COUNTIF('07_Pallet_Contents'!$A$2:$A$3000,$A2)&gt;0,"Yes",""))</f>
        <v/>
      </c>
    </row>
    <row r="1231" spans="2:26">
      <c r="B1231" s="31"/>
      <c r="G1231" s="34"/>
      <c r="H1231" s="33" t="str">
        <f t="shared" si="27"/>
        <v/>
      </c>
      <c r="I1231" s="31"/>
      <c r="J1231" s="31"/>
      <c r="K1231" s="33"/>
      <c r="W1231">
        <f>IF($A2="","",COUNTIF('07_Pallet_Contents'!$A$2:$A$3000,$A2))</f>
        <v>0</v>
      </c>
      <c r="X1231">
        <f>IF($A2="","",SUMIF('07_Pallet_Contents'!$A$2:$A$3000,$A2,'07_Pallet_Contents'!$D$2:$D$3000))</f>
        <v>0</v>
      </c>
      <c r="Y1231">
        <f>IF($A2="","",SUMIF('07_Pallet_Contents'!$A$2:$A$3000,$A2,'07_Pallet_Contents'!$I$2:$I$3000))</f>
        <v>0</v>
      </c>
      <c r="Z1231" t="str">
        <f>IF($A2="","",IF(COUNTIF('07_Pallet_Contents'!$A$2:$A$3000,$A2)&gt;0,"Yes",""))</f>
        <v/>
      </c>
    </row>
    <row r="1232" spans="2:26">
      <c r="B1232" s="31"/>
      <c r="G1232" s="34"/>
      <c r="H1232" s="33" t="str">
        <f t="shared" si="27"/>
        <v/>
      </c>
      <c r="I1232" s="31"/>
      <c r="J1232" s="31"/>
      <c r="K1232" s="33"/>
      <c r="W1232">
        <f>IF($A2="","",COUNTIF('07_Pallet_Contents'!$A$2:$A$3000,$A2))</f>
        <v>0</v>
      </c>
      <c r="X1232">
        <f>IF($A2="","",SUMIF('07_Pallet_Contents'!$A$2:$A$3000,$A2,'07_Pallet_Contents'!$D$2:$D$3000))</f>
        <v>0</v>
      </c>
      <c r="Y1232">
        <f>IF($A2="","",SUMIF('07_Pallet_Contents'!$A$2:$A$3000,$A2,'07_Pallet_Contents'!$I$2:$I$3000))</f>
        <v>0</v>
      </c>
      <c r="Z1232" t="str">
        <f>IF($A2="","",IF(COUNTIF('07_Pallet_Contents'!$A$2:$A$3000,$A2)&gt;0,"Yes",""))</f>
        <v/>
      </c>
    </row>
    <row r="1233" spans="2:26">
      <c r="B1233" s="31"/>
      <c r="G1233" s="34"/>
      <c r="H1233" s="33" t="str">
        <f t="shared" si="27"/>
        <v/>
      </c>
      <c r="I1233" s="31"/>
      <c r="J1233" s="31"/>
      <c r="K1233" s="33"/>
      <c r="W1233">
        <f>IF($A2="","",COUNTIF('07_Pallet_Contents'!$A$2:$A$3000,$A2))</f>
        <v>0</v>
      </c>
      <c r="X1233">
        <f>IF($A2="","",SUMIF('07_Pallet_Contents'!$A$2:$A$3000,$A2,'07_Pallet_Contents'!$D$2:$D$3000))</f>
        <v>0</v>
      </c>
      <c r="Y1233">
        <f>IF($A2="","",SUMIF('07_Pallet_Contents'!$A$2:$A$3000,$A2,'07_Pallet_Contents'!$I$2:$I$3000))</f>
        <v>0</v>
      </c>
      <c r="Z1233" t="str">
        <f>IF($A2="","",IF(COUNTIF('07_Pallet_Contents'!$A$2:$A$3000,$A2)&gt;0,"Yes",""))</f>
        <v/>
      </c>
    </row>
    <row r="1234" spans="2:26">
      <c r="B1234" s="31"/>
      <c r="G1234" s="34"/>
      <c r="H1234" s="33" t="str">
        <f t="shared" si="27"/>
        <v/>
      </c>
      <c r="I1234" s="31"/>
      <c r="J1234" s="31"/>
      <c r="K1234" s="33"/>
      <c r="W1234">
        <f>IF($A2="","",COUNTIF('07_Pallet_Contents'!$A$2:$A$3000,$A2))</f>
        <v>0</v>
      </c>
      <c r="X1234">
        <f>IF($A2="","",SUMIF('07_Pallet_Contents'!$A$2:$A$3000,$A2,'07_Pallet_Contents'!$D$2:$D$3000))</f>
        <v>0</v>
      </c>
      <c r="Y1234">
        <f>IF($A2="","",SUMIF('07_Pallet_Contents'!$A$2:$A$3000,$A2,'07_Pallet_Contents'!$I$2:$I$3000))</f>
        <v>0</v>
      </c>
      <c r="Z1234" t="str">
        <f>IF($A2="","",IF(COUNTIF('07_Pallet_Contents'!$A$2:$A$3000,$A2)&gt;0,"Yes",""))</f>
        <v/>
      </c>
    </row>
    <row r="1235" spans="2:26">
      <c r="B1235" s="31"/>
      <c r="G1235" s="34"/>
      <c r="H1235" s="33" t="str">
        <f t="shared" si="27"/>
        <v/>
      </c>
      <c r="I1235" s="31"/>
      <c r="J1235" s="31"/>
      <c r="K1235" s="33"/>
      <c r="W1235">
        <f>IF($A2="","",COUNTIF('07_Pallet_Contents'!$A$2:$A$3000,$A2))</f>
        <v>0</v>
      </c>
      <c r="X1235">
        <f>IF($A2="","",SUMIF('07_Pallet_Contents'!$A$2:$A$3000,$A2,'07_Pallet_Contents'!$D$2:$D$3000))</f>
        <v>0</v>
      </c>
      <c r="Y1235">
        <f>IF($A2="","",SUMIF('07_Pallet_Contents'!$A$2:$A$3000,$A2,'07_Pallet_Contents'!$I$2:$I$3000))</f>
        <v>0</v>
      </c>
      <c r="Z1235" t="str">
        <f>IF($A2="","",IF(COUNTIF('07_Pallet_Contents'!$A$2:$A$3000,$A2)&gt;0,"Yes",""))</f>
        <v/>
      </c>
    </row>
    <row r="1236" spans="2:26">
      <c r="B1236" s="31"/>
      <c r="G1236" s="34"/>
      <c r="H1236" s="33" t="str">
        <f t="shared" si="27"/>
        <v/>
      </c>
      <c r="I1236" s="31"/>
      <c r="J1236" s="31"/>
      <c r="K1236" s="33"/>
      <c r="W1236">
        <f>IF($A2="","",COUNTIF('07_Pallet_Contents'!$A$2:$A$3000,$A2))</f>
        <v>0</v>
      </c>
      <c r="X1236">
        <f>IF($A2="","",SUMIF('07_Pallet_Contents'!$A$2:$A$3000,$A2,'07_Pallet_Contents'!$D$2:$D$3000))</f>
        <v>0</v>
      </c>
      <c r="Y1236">
        <f>IF($A2="","",SUMIF('07_Pallet_Contents'!$A$2:$A$3000,$A2,'07_Pallet_Contents'!$I$2:$I$3000))</f>
        <v>0</v>
      </c>
      <c r="Z1236" t="str">
        <f>IF($A2="","",IF(COUNTIF('07_Pallet_Contents'!$A$2:$A$3000,$A2)&gt;0,"Yes",""))</f>
        <v/>
      </c>
    </row>
    <row r="1237" spans="2:26">
      <c r="B1237" s="31"/>
      <c r="G1237" s="34"/>
      <c r="H1237" s="33" t="str">
        <f t="shared" si="27"/>
        <v/>
      </c>
      <c r="I1237" s="31"/>
      <c r="J1237" s="31"/>
      <c r="K1237" s="33"/>
      <c r="W1237">
        <f>IF($A2="","",COUNTIF('07_Pallet_Contents'!$A$2:$A$3000,$A2))</f>
        <v>0</v>
      </c>
      <c r="X1237">
        <f>IF($A2="","",SUMIF('07_Pallet_Contents'!$A$2:$A$3000,$A2,'07_Pallet_Contents'!$D$2:$D$3000))</f>
        <v>0</v>
      </c>
      <c r="Y1237">
        <f>IF($A2="","",SUMIF('07_Pallet_Contents'!$A$2:$A$3000,$A2,'07_Pallet_Contents'!$I$2:$I$3000))</f>
        <v>0</v>
      </c>
      <c r="Z1237" t="str">
        <f>IF($A2="","",IF(COUNTIF('07_Pallet_Contents'!$A$2:$A$3000,$A2)&gt;0,"Yes",""))</f>
        <v/>
      </c>
    </row>
    <row r="1238" spans="2:26">
      <c r="B1238" s="31"/>
      <c r="G1238" s="34"/>
      <c r="H1238" s="33" t="str">
        <f t="shared" si="27"/>
        <v/>
      </c>
      <c r="I1238" s="31"/>
      <c r="J1238" s="31"/>
      <c r="K1238" s="33"/>
      <c r="W1238">
        <f>IF($A2="","",COUNTIF('07_Pallet_Contents'!$A$2:$A$3000,$A2))</f>
        <v>0</v>
      </c>
      <c r="X1238">
        <f>IF($A2="","",SUMIF('07_Pallet_Contents'!$A$2:$A$3000,$A2,'07_Pallet_Contents'!$D$2:$D$3000))</f>
        <v>0</v>
      </c>
      <c r="Y1238">
        <f>IF($A2="","",SUMIF('07_Pallet_Contents'!$A$2:$A$3000,$A2,'07_Pallet_Contents'!$I$2:$I$3000))</f>
        <v>0</v>
      </c>
      <c r="Z1238" t="str">
        <f>IF($A2="","",IF(COUNTIF('07_Pallet_Contents'!$A$2:$A$3000,$A2)&gt;0,"Yes",""))</f>
        <v/>
      </c>
    </row>
    <row r="1239" spans="2:26">
      <c r="B1239" s="31"/>
      <c r="G1239" s="34"/>
      <c r="H1239" s="33" t="str">
        <f t="shared" si="27"/>
        <v/>
      </c>
      <c r="I1239" s="31"/>
      <c r="J1239" s="31"/>
      <c r="K1239" s="33"/>
      <c r="W1239">
        <f>IF($A2="","",COUNTIF('07_Pallet_Contents'!$A$2:$A$3000,$A2))</f>
        <v>0</v>
      </c>
      <c r="X1239">
        <f>IF($A2="","",SUMIF('07_Pallet_Contents'!$A$2:$A$3000,$A2,'07_Pallet_Contents'!$D$2:$D$3000))</f>
        <v>0</v>
      </c>
      <c r="Y1239">
        <f>IF($A2="","",SUMIF('07_Pallet_Contents'!$A$2:$A$3000,$A2,'07_Pallet_Contents'!$I$2:$I$3000))</f>
        <v>0</v>
      </c>
      <c r="Z1239" t="str">
        <f>IF($A2="","",IF(COUNTIF('07_Pallet_Contents'!$A$2:$A$3000,$A2)&gt;0,"Yes",""))</f>
        <v/>
      </c>
    </row>
    <row r="1240" spans="2:26">
      <c r="B1240" s="31"/>
      <c r="G1240" s="34"/>
      <c r="H1240" s="33" t="str">
        <f t="shared" si="27"/>
        <v/>
      </c>
      <c r="I1240" s="31"/>
      <c r="J1240" s="31"/>
      <c r="K1240" s="33"/>
      <c r="W1240">
        <f>IF($A2="","",COUNTIF('07_Pallet_Contents'!$A$2:$A$3000,$A2))</f>
        <v>0</v>
      </c>
      <c r="X1240">
        <f>IF($A2="","",SUMIF('07_Pallet_Contents'!$A$2:$A$3000,$A2,'07_Pallet_Contents'!$D$2:$D$3000))</f>
        <v>0</v>
      </c>
      <c r="Y1240">
        <f>IF($A2="","",SUMIF('07_Pallet_Contents'!$A$2:$A$3000,$A2,'07_Pallet_Contents'!$I$2:$I$3000))</f>
        <v>0</v>
      </c>
      <c r="Z1240" t="str">
        <f>IF($A2="","",IF(COUNTIF('07_Pallet_Contents'!$A$2:$A$3000,$A2)&gt;0,"Yes",""))</f>
        <v/>
      </c>
    </row>
    <row r="1241" spans="2:26">
      <c r="B1241" s="31"/>
      <c r="G1241" s="34"/>
      <c r="H1241" s="33" t="str">
        <f t="shared" si="27"/>
        <v/>
      </c>
      <c r="I1241" s="31"/>
      <c r="J1241" s="31"/>
      <c r="K1241" s="33"/>
      <c r="W1241">
        <f>IF($A2="","",COUNTIF('07_Pallet_Contents'!$A$2:$A$3000,$A2))</f>
        <v>0</v>
      </c>
      <c r="X1241">
        <f>IF($A2="","",SUMIF('07_Pallet_Contents'!$A$2:$A$3000,$A2,'07_Pallet_Contents'!$D$2:$D$3000))</f>
        <v>0</v>
      </c>
      <c r="Y1241">
        <f>IF($A2="","",SUMIF('07_Pallet_Contents'!$A$2:$A$3000,$A2,'07_Pallet_Contents'!$I$2:$I$3000))</f>
        <v>0</v>
      </c>
      <c r="Z1241" t="str">
        <f>IF($A2="","",IF(COUNTIF('07_Pallet_Contents'!$A$2:$A$3000,$A2)&gt;0,"Yes",""))</f>
        <v/>
      </c>
    </row>
    <row r="1242" spans="2:26">
      <c r="B1242" s="31"/>
      <c r="G1242" s="34"/>
      <c r="H1242" s="33" t="str">
        <f t="shared" si="27"/>
        <v/>
      </c>
      <c r="I1242" s="31"/>
      <c r="J1242" s="31"/>
      <c r="K1242" s="33"/>
      <c r="W1242">
        <f>IF($A2="","",COUNTIF('07_Pallet_Contents'!$A$2:$A$3000,$A2))</f>
        <v>0</v>
      </c>
      <c r="X1242">
        <f>IF($A2="","",SUMIF('07_Pallet_Contents'!$A$2:$A$3000,$A2,'07_Pallet_Contents'!$D$2:$D$3000))</f>
        <v>0</v>
      </c>
      <c r="Y1242">
        <f>IF($A2="","",SUMIF('07_Pallet_Contents'!$A$2:$A$3000,$A2,'07_Pallet_Contents'!$I$2:$I$3000))</f>
        <v>0</v>
      </c>
      <c r="Z1242" t="str">
        <f>IF($A2="","",IF(COUNTIF('07_Pallet_Contents'!$A$2:$A$3000,$A2)&gt;0,"Yes",""))</f>
        <v/>
      </c>
    </row>
    <row r="1243" spans="2:26">
      <c r="B1243" s="31"/>
      <c r="G1243" s="34"/>
      <c r="H1243" s="33" t="str">
        <f t="shared" si="27"/>
        <v/>
      </c>
      <c r="I1243" s="31"/>
      <c r="J1243" s="31"/>
      <c r="K1243" s="33"/>
      <c r="W1243">
        <f>IF($A2="","",COUNTIF('07_Pallet_Contents'!$A$2:$A$3000,$A2))</f>
        <v>0</v>
      </c>
      <c r="X1243">
        <f>IF($A2="","",SUMIF('07_Pallet_Contents'!$A$2:$A$3000,$A2,'07_Pallet_Contents'!$D$2:$D$3000))</f>
        <v>0</v>
      </c>
      <c r="Y1243">
        <f>IF($A2="","",SUMIF('07_Pallet_Contents'!$A$2:$A$3000,$A2,'07_Pallet_Contents'!$I$2:$I$3000))</f>
        <v>0</v>
      </c>
      <c r="Z1243" t="str">
        <f>IF($A2="","",IF(COUNTIF('07_Pallet_Contents'!$A$2:$A$3000,$A2)&gt;0,"Yes",""))</f>
        <v/>
      </c>
    </row>
    <row r="1244" spans="2:26">
      <c r="B1244" s="31"/>
      <c r="G1244" s="34"/>
      <c r="H1244" s="33" t="str">
        <f t="shared" si="27"/>
        <v/>
      </c>
      <c r="I1244" s="31"/>
      <c r="J1244" s="31"/>
      <c r="K1244" s="33"/>
      <c r="W1244">
        <f>IF($A2="","",COUNTIF('07_Pallet_Contents'!$A$2:$A$3000,$A2))</f>
        <v>0</v>
      </c>
      <c r="X1244">
        <f>IF($A2="","",SUMIF('07_Pallet_Contents'!$A$2:$A$3000,$A2,'07_Pallet_Contents'!$D$2:$D$3000))</f>
        <v>0</v>
      </c>
      <c r="Y1244">
        <f>IF($A2="","",SUMIF('07_Pallet_Contents'!$A$2:$A$3000,$A2,'07_Pallet_Contents'!$I$2:$I$3000))</f>
        <v>0</v>
      </c>
      <c r="Z1244" t="str">
        <f>IF($A2="","",IF(COUNTIF('07_Pallet_Contents'!$A$2:$A$3000,$A2)&gt;0,"Yes",""))</f>
        <v/>
      </c>
    </row>
    <row r="1245" spans="2:26">
      <c r="B1245" s="31"/>
      <c r="G1245" s="34"/>
      <c r="H1245" s="33" t="str">
        <f t="shared" si="27"/>
        <v/>
      </c>
      <c r="I1245" s="31"/>
      <c r="J1245" s="31"/>
      <c r="K1245" s="33"/>
      <c r="W1245">
        <f>IF($A2="","",COUNTIF('07_Pallet_Contents'!$A$2:$A$3000,$A2))</f>
        <v>0</v>
      </c>
      <c r="X1245">
        <f>IF($A2="","",SUMIF('07_Pallet_Contents'!$A$2:$A$3000,$A2,'07_Pallet_Contents'!$D$2:$D$3000))</f>
        <v>0</v>
      </c>
      <c r="Y1245">
        <f>IF($A2="","",SUMIF('07_Pallet_Contents'!$A$2:$A$3000,$A2,'07_Pallet_Contents'!$I$2:$I$3000))</f>
        <v>0</v>
      </c>
      <c r="Z1245" t="str">
        <f>IF($A2="","",IF(COUNTIF('07_Pallet_Contents'!$A$2:$A$3000,$A2)&gt;0,"Yes",""))</f>
        <v/>
      </c>
    </row>
    <row r="1246" spans="2:26">
      <c r="B1246" s="31"/>
      <c r="G1246" s="34"/>
      <c r="H1246" s="33" t="str">
        <f t="shared" si="27"/>
        <v/>
      </c>
      <c r="I1246" s="31"/>
      <c r="J1246" s="31"/>
      <c r="K1246" s="33"/>
      <c r="W1246">
        <f>IF($A2="","",COUNTIF('07_Pallet_Contents'!$A$2:$A$3000,$A2))</f>
        <v>0</v>
      </c>
      <c r="X1246">
        <f>IF($A2="","",SUMIF('07_Pallet_Contents'!$A$2:$A$3000,$A2,'07_Pallet_Contents'!$D$2:$D$3000))</f>
        <v>0</v>
      </c>
      <c r="Y1246">
        <f>IF($A2="","",SUMIF('07_Pallet_Contents'!$A$2:$A$3000,$A2,'07_Pallet_Contents'!$I$2:$I$3000))</f>
        <v>0</v>
      </c>
      <c r="Z1246" t="str">
        <f>IF($A2="","",IF(COUNTIF('07_Pallet_Contents'!$A$2:$A$3000,$A2)&gt;0,"Yes",""))</f>
        <v/>
      </c>
    </row>
    <row r="1247" spans="2:26">
      <c r="B1247" s="31"/>
      <c r="G1247" s="34"/>
      <c r="H1247" s="33" t="str">
        <f t="shared" si="27"/>
        <v/>
      </c>
      <c r="I1247" s="31"/>
      <c r="J1247" s="31"/>
      <c r="K1247" s="33"/>
      <c r="W1247">
        <f>IF($A2="","",COUNTIF('07_Pallet_Contents'!$A$2:$A$3000,$A2))</f>
        <v>0</v>
      </c>
      <c r="X1247">
        <f>IF($A2="","",SUMIF('07_Pallet_Contents'!$A$2:$A$3000,$A2,'07_Pallet_Contents'!$D$2:$D$3000))</f>
        <v>0</v>
      </c>
      <c r="Y1247">
        <f>IF($A2="","",SUMIF('07_Pallet_Contents'!$A$2:$A$3000,$A2,'07_Pallet_Contents'!$I$2:$I$3000))</f>
        <v>0</v>
      </c>
      <c r="Z1247" t="str">
        <f>IF($A2="","",IF(COUNTIF('07_Pallet_Contents'!$A$2:$A$3000,$A2)&gt;0,"Yes",""))</f>
        <v/>
      </c>
    </row>
    <row r="1248" spans="2:26">
      <c r="B1248" s="31"/>
      <c r="G1248" s="34"/>
      <c r="H1248" s="33" t="str">
        <f t="shared" si="27"/>
        <v/>
      </c>
      <c r="I1248" s="31"/>
      <c r="J1248" s="31"/>
      <c r="K1248" s="33"/>
      <c r="W1248">
        <f>IF($A2="","",COUNTIF('07_Pallet_Contents'!$A$2:$A$3000,$A2))</f>
        <v>0</v>
      </c>
      <c r="X1248">
        <f>IF($A2="","",SUMIF('07_Pallet_Contents'!$A$2:$A$3000,$A2,'07_Pallet_Contents'!$D$2:$D$3000))</f>
        <v>0</v>
      </c>
      <c r="Y1248">
        <f>IF($A2="","",SUMIF('07_Pallet_Contents'!$A$2:$A$3000,$A2,'07_Pallet_Contents'!$I$2:$I$3000))</f>
        <v>0</v>
      </c>
      <c r="Z1248" t="str">
        <f>IF($A2="","",IF(COUNTIF('07_Pallet_Contents'!$A$2:$A$3000,$A2)&gt;0,"Yes",""))</f>
        <v/>
      </c>
    </row>
    <row r="1249" spans="2:26">
      <c r="B1249" s="31"/>
      <c r="G1249" s="34"/>
      <c r="H1249" s="33" t="str">
        <f t="shared" si="27"/>
        <v/>
      </c>
      <c r="I1249" s="31"/>
      <c r="J1249" s="31"/>
      <c r="K1249" s="33"/>
      <c r="W1249">
        <f>IF($A2="","",COUNTIF('07_Pallet_Contents'!$A$2:$A$3000,$A2))</f>
        <v>0</v>
      </c>
      <c r="X1249">
        <f>IF($A2="","",SUMIF('07_Pallet_Contents'!$A$2:$A$3000,$A2,'07_Pallet_Contents'!$D$2:$D$3000))</f>
        <v>0</v>
      </c>
      <c r="Y1249">
        <f>IF($A2="","",SUMIF('07_Pallet_Contents'!$A$2:$A$3000,$A2,'07_Pallet_Contents'!$I$2:$I$3000))</f>
        <v>0</v>
      </c>
      <c r="Z1249" t="str">
        <f>IF($A2="","",IF(COUNTIF('07_Pallet_Contents'!$A$2:$A$3000,$A2)&gt;0,"Yes",""))</f>
        <v/>
      </c>
    </row>
    <row r="1250" spans="2:26">
      <c r="B1250" s="31"/>
      <c r="G1250" s="34"/>
      <c r="H1250" s="33" t="str">
        <f t="shared" si="27"/>
        <v/>
      </c>
      <c r="I1250" s="31"/>
      <c r="J1250" s="31"/>
      <c r="K1250" s="33"/>
      <c r="W1250">
        <f>IF($A2="","",COUNTIF('07_Pallet_Contents'!$A$2:$A$3000,$A2))</f>
        <v>0</v>
      </c>
      <c r="X1250">
        <f>IF($A2="","",SUMIF('07_Pallet_Contents'!$A$2:$A$3000,$A2,'07_Pallet_Contents'!$D$2:$D$3000))</f>
        <v>0</v>
      </c>
      <c r="Y1250">
        <f>IF($A2="","",SUMIF('07_Pallet_Contents'!$A$2:$A$3000,$A2,'07_Pallet_Contents'!$I$2:$I$3000))</f>
        <v>0</v>
      </c>
      <c r="Z1250" t="str">
        <f>IF($A2="","",IF(COUNTIF('07_Pallet_Contents'!$A$2:$A$3000,$A2)&gt;0,"Yes",""))</f>
        <v/>
      </c>
    </row>
    <row r="1251" spans="2:26">
      <c r="B1251" s="31"/>
      <c r="G1251" s="34"/>
      <c r="H1251" s="33" t="str">
        <f t="shared" si="27"/>
        <v/>
      </c>
      <c r="I1251" s="31"/>
      <c r="J1251" s="31"/>
      <c r="K1251" s="33"/>
      <c r="W1251">
        <f>IF($A2="","",COUNTIF('07_Pallet_Contents'!$A$2:$A$3000,$A2))</f>
        <v>0</v>
      </c>
      <c r="X1251">
        <f>IF($A2="","",SUMIF('07_Pallet_Contents'!$A$2:$A$3000,$A2,'07_Pallet_Contents'!$D$2:$D$3000))</f>
        <v>0</v>
      </c>
      <c r="Y1251">
        <f>IF($A2="","",SUMIF('07_Pallet_Contents'!$A$2:$A$3000,$A2,'07_Pallet_Contents'!$I$2:$I$3000))</f>
        <v>0</v>
      </c>
      <c r="Z1251" t="str">
        <f>IF($A2="","",IF(COUNTIF('07_Pallet_Contents'!$A$2:$A$3000,$A2)&gt;0,"Yes",""))</f>
        <v/>
      </c>
    </row>
    <row r="1252" spans="2:26">
      <c r="B1252" s="31"/>
      <c r="G1252" s="34"/>
      <c r="H1252" s="33" t="str">
        <f t="shared" si="27"/>
        <v/>
      </c>
      <c r="I1252" s="31"/>
      <c r="J1252" s="31"/>
      <c r="K1252" s="33"/>
      <c r="W1252">
        <f>IF($A2="","",COUNTIF('07_Pallet_Contents'!$A$2:$A$3000,$A2))</f>
        <v>0</v>
      </c>
      <c r="X1252">
        <f>IF($A2="","",SUMIF('07_Pallet_Contents'!$A$2:$A$3000,$A2,'07_Pallet_Contents'!$D$2:$D$3000))</f>
        <v>0</v>
      </c>
      <c r="Y1252">
        <f>IF($A2="","",SUMIF('07_Pallet_Contents'!$A$2:$A$3000,$A2,'07_Pallet_Contents'!$I$2:$I$3000))</f>
        <v>0</v>
      </c>
      <c r="Z1252" t="str">
        <f>IF($A2="","",IF(COUNTIF('07_Pallet_Contents'!$A$2:$A$3000,$A2)&gt;0,"Yes",""))</f>
        <v/>
      </c>
    </row>
    <row r="1253" spans="2:26">
      <c r="B1253" s="31"/>
      <c r="G1253" s="34"/>
      <c r="H1253" s="33" t="str">
        <f t="shared" si="27"/>
        <v/>
      </c>
      <c r="I1253" s="31"/>
      <c r="J1253" s="31"/>
      <c r="K1253" s="33"/>
      <c r="W1253">
        <f>IF($A2="","",COUNTIF('07_Pallet_Contents'!$A$2:$A$3000,$A2))</f>
        <v>0</v>
      </c>
      <c r="X1253">
        <f>IF($A2="","",SUMIF('07_Pallet_Contents'!$A$2:$A$3000,$A2,'07_Pallet_Contents'!$D$2:$D$3000))</f>
        <v>0</v>
      </c>
      <c r="Y1253">
        <f>IF($A2="","",SUMIF('07_Pallet_Contents'!$A$2:$A$3000,$A2,'07_Pallet_Contents'!$I$2:$I$3000))</f>
        <v>0</v>
      </c>
      <c r="Z1253" t="str">
        <f>IF($A2="","",IF(COUNTIF('07_Pallet_Contents'!$A$2:$A$3000,$A2)&gt;0,"Yes",""))</f>
        <v/>
      </c>
    </row>
    <row r="1254" spans="2:26">
      <c r="B1254" s="31"/>
      <c r="G1254" s="34"/>
      <c r="H1254" s="33" t="str">
        <f t="shared" si="27"/>
        <v/>
      </c>
      <c r="I1254" s="31"/>
      <c r="J1254" s="31"/>
      <c r="K1254" s="33"/>
      <c r="W1254">
        <f>IF($A2="","",COUNTIF('07_Pallet_Contents'!$A$2:$A$3000,$A2))</f>
        <v>0</v>
      </c>
      <c r="X1254">
        <f>IF($A2="","",SUMIF('07_Pallet_Contents'!$A$2:$A$3000,$A2,'07_Pallet_Contents'!$D$2:$D$3000))</f>
        <v>0</v>
      </c>
      <c r="Y1254">
        <f>IF($A2="","",SUMIF('07_Pallet_Contents'!$A$2:$A$3000,$A2,'07_Pallet_Contents'!$I$2:$I$3000))</f>
        <v>0</v>
      </c>
      <c r="Z1254" t="str">
        <f>IF($A2="","",IF(COUNTIF('07_Pallet_Contents'!$A$2:$A$3000,$A2)&gt;0,"Yes",""))</f>
        <v/>
      </c>
    </row>
    <row r="1255" spans="2:26">
      <c r="B1255" s="31"/>
      <c r="G1255" s="34"/>
      <c r="H1255" s="33" t="str">
        <f t="shared" si="27"/>
        <v/>
      </c>
      <c r="I1255" s="31"/>
      <c r="J1255" s="31"/>
      <c r="K1255" s="33"/>
      <c r="W1255">
        <f>IF($A2="","",COUNTIF('07_Pallet_Contents'!$A$2:$A$3000,$A2))</f>
        <v>0</v>
      </c>
      <c r="X1255">
        <f>IF($A2="","",SUMIF('07_Pallet_Contents'!$A$2:$A$3000,$A2,'07_Pallet_Contents'!$D$2:$D$3000))</f>
        <v>0</v>
      </c>
      <c r="Y1255">
        <f>IF($A2="","",SUMIF('07_Pallet_Contents'!$A$2:$A$3000,$A2,'07_Pallet_Contents'!$I$2:$I$3000))</f>
        <v>0</v>
      </c>
      <c r="Z1255" t="str">
        <f>IF($A2="","",IF(COUNTIF('07_Pallet_Contents'!$A$2:$A$3000,$A2)&gt;0,"Yes",""))</f>
        <v/>
      </c>
    </row>
    <row r="1256" spans="2:26">
      <c r="B1256" s="31"/>
      <c r="G1256" s="34"/>
      <c r="H1256" s="33" t="str">
        <f t="shared" si="27"/>
        <v/>
      </c>
      <c r="I1256" s="31"/>
      <c r="J1256" s="31"/>
      <c r="K1256" s="33"/>
      <c r="W1256">
        <f>IF($A2="","",COUNTIF('07_Pallet_Contents'!$A$2:$A$3000,$A2))</f>
        <v>0</v>
      </c>
      <c r="X1256">
        <f>IF($A2="","",SUMIF('07_Pallet_Contents'!$A$2:$A$3000,$A2,'07_Pallet_Contents'!$D$2:$D$3000))</f>
        <v>0</v>
      </c>
      <c r="Y1256">
        <f>IF($A2="","",SUMIF('07_Pallet_Contents'!$A$2:$A$3000,$A2,'07_Pallet_Contents'!$I$2:$I$3000))</f>
        <v>0</v>
      </c>
      <c r="Z1256" t="str">
        <f>IF($A2="","",IF(COUNTIF('07_Pallet_Contents'!$A$2:$A$3000,$A2)&gt;0,"Yes",""))</f>
        <v/>
      </c>
    </row>
    <row r="1257" spans="2:26">
      <c r="B1257" s="31"/>
      <c r="G1257" s="34"/>
      <c r="H1257" s="33" t="str">
        <f t="shared" si="27"/>
        <v/>
      </c>
      <c r="I1257" s="31"/>
      <c r="J1257" s="31"/>
      <c r="K1257" s="33"/>
      <c r="W1257">
        <f>IF($A2="","",COUNTIF('07_Pallet_Contents'!$A$2:$A$3000,$A2))</f>
        <v>0</v>
      </c>
      <c r="X1257">
        <f>IF($A2="","",SUMIF('07_Pallet_Contents'!$A$2:$A$3000,$A2,'07_Pallet_Contents'!$D$2:$D$3000))</f>
        <v>0</v>
      </c>
      <c r="Y1257">
        <f>IF($A2="","",SUMIF('07_Pallet_Contents'!$A$2:$A$3000,$A2,'07_Pallet_Contents'!$I$2:$I$3000))</f>
        <v>0</v>
      </c>
      <c r="Z1257" t="str">
        <f>IF($A2="","",IF(COUNTIF('07_Pallet_Contents'!$A$2:$A$3000,$A2)&gt;0,"Yes",""))</f>
        <v/>
      </c>
    </row>
    <row r="1258" spans="2:26">
      <c r="B1258" s="31"/>
      <c r="G1258" s="34"/>
      <c r="H1258" s="33" t="str">
        <f t="shared" si="27"/>
        <v/>
      </c>
      <c r="I1258" s="31"/>
      <c r="J1258" s="31"/>
      <c r="K1258" s="33"/>
      <c r="W1258">
        <f>IF($A2="","",COUNTIF('07_Pallet_Contents'!$A$2:$A$3000,$A2))</f>
        <v>0</v>
      </c>
      <c r="X1258">
        <f>IF($A2="","",SUMIF('07_Pallet_Contents'!$A$2:$A$3000,$A2,'07_Pallet_Contents'!$D$2:$D$3000))</f>
        <v>0</v>
      </c>
      <c r="Y1258">
        <f>IF($A2="","",SUMIF('07_Pallet_Contents'!$A$2:$A$3000,$A2,'07_Pallet_Contents'!$I$2:$I$3000))</f>
        <v>0</v>
      </c>
      <c r="Z1258" t="str">
        <f>IF($A2="","",IF(COUNTIF('07_Pallet_Contents'!$A$2:$A$3000,$A2)&gt;0,"Yes",""))</f>
        <v/>
      </c>
    </row>
    <row r="1259" spans="2:26">
      <c r="B1259" s="31"/>
      <c r="G1259" s="34"/>
      <c r="H1259" s="33" t="str">
        <f t="shared" si="27"/>
        <v/>
      </c>
      <c r="I1259" s="31"/>
      <c r="J1259" s="31"/>
      <c r="K1259" s="33"/>
      <c r="W1259">
        <f>IF($A2="","",COUNTIF('07_Pallet_Contents'!$A$2:$A$3000,$A2))</f>
        <v>0</v>
      </c>
      <c r="X1259">
        <f>IF($A2="","",SUMIF('07_Pallet_Contents'!$A$2:$A$3000,$A2,'07_Pallet_Contents'!$D$2:$D$3000))</f>
        <v>0</v>
      </c>
      <c r="Y1259">
        <f>IF($A2="","",SUMIF('07_Pallet_Contents'!$A$2:$A$3000,$A2,'07_Pallet_Contents'!$I$2:$I$3000))</f>
        <v>0</v>
      </c>
      <c r="Z1259" t="str">
        <f>IF($A2="","",IF(COUNTIF('07_Pallet_Contents'!$A$2:$A$3000,$A2)&gt;0,"Yes",""))</f>
        <v/>
      </c>
    </row>
    <row r="1260" spans="2:26">
      <c r="B1260" s="31"/>
      <c r="G1260" s="34"/>
      <c r="H1260" s="33" t="str">
        <f t="shared" si="27"/>
        <v/>
      </c>
      <c r="I1260" s="31"/>
      <c r="J1260" s="31"/>
      <c r="K1260" s="33"/>
      <c r="W1260">
        <f>IF($A2="","",COUNTIF('07_Pallet_Contents'!$A$2:$A$3000,$A2))</f>
        <v>0</v>
      </c>
      <c r="X1260">
        <f>IF($A2="","",SUMIF('07_Pallet_Contents'!$A$2:$A$3000,$A2,'07_Pallet_Contents'!$D$2:$D$3000))</f>
        <v>0</v>
      </c>
      <c r="Y1260">
        <f>IF($A2="","",SUMIF('07_Pallet_Contents'!$A$2:$A$3000,$A2,'07_Pallet_Contents'!$I$2:$I$3000))</f>
        <v>0</v>
      </c>
      <c r="Z1260" t="str">
        <f>IF($A2="","",IF(COUNTIF('07_Pallet_Contents'!$A$2:$A$3000,$A2)&gt;0,"Yes",""))</f>
        <v/>
      </c>
    </row>
    <row r="1261" spans="2:26">
      <c r="B1261" s="31"/>
      <c r="G1261" s="34"/>
      <c r="H1261" s="33" t="str">
        <f t="shared" si="27"/>
        <v/>
      </c>
      <c r="I1261" s="31"/>
      <c r="J1261" s="31"/>
      <c r="K1261" s="33"/>
      <c r="W1261">
        <f>IF($A2="","",COUNTIF('07_Pallet_Contents'!$A$2:$A$3000,$A2))</f>
        <v>0</v>
      </c>
      <c r="X1261">
        <f>IF($A2="","",SUMIF('07_Pallet_Contents'!$A$2:$A$3000,$A2,'07_Pallet_Contents'!$D$2:$D$3000))</f>
        <v>0</v>
      </c>
      <c r="Y1261">
        <f>IF($A2="","",SUMIF('07_Pallet_Contents'!$A$2:$A$3000,$A2,'07_Pallet_Contents'!$I$2:$I$3000))</f>
        <v>0</v>
      </c>
      <c r="Z1261" t="str">
        <f>IF($A2="","",IF(COUNTIF('07_Pallet_Contents'!$A$2:$A$3000,$A2)&gt;0,"Yes",""))</f>
        <v/>
      </c>
    </row>
    <row r="1262" spans="2:26">
      <c r="B1262" s="31"/>
      <c r="G1262" s="34"/>
      <c r="H1262" s="33" t="str">
        <f t="shared" si="27"/>
        <v/>
      </c>
      <c r="I1262" s="31"/>
      <c r="J1262" s="31"/>
      <c r="K1262" s="33"/>
      <c r="W1262">
        <f>IF($A2="","",COUNTIF('07_Pallet_Contents'!$A$2:$A$3000,$A2))</f>
        <v>0</v>
      </c>
      <c r="X1262">
        <f>IF($A2="","",SUMIF('07_Pallet_Contents'!$A$2:$A$3000,$A2,'07_Pallet_Contents'!$D$2:$D$3000))</f>
        <v>0</v>
      </c>
      <c r="Y1262">
        <f>IF($A2="","",SUMIF('07_Pallet_Contents'!$A$2:$A$3000,$A2,'07_Pallet_Contents'!$I$2:$I$3000))</f>
        <v>0</v>
      </c>
      <c r="Z1262" t="str">
        <f>IF($A2="","",IF(COUNTIF('07_Pallet_Contents'!$A$2:$A$3000,$A2)&gt;0,"Yes",""))</f>
        <v/>
      </c>
    </row>
    <row r="1263" spans="2:26">
      <c r="B1263" s="31"/>
      <c r="G1263" s="34"/>
      <c r="H1263" s="33" t="str">
        <f t="shared" si="27"/>
        <v/>
      </c>
      <c r="I1263" s="31"/>
      <c r="J1263" s="31"/>
      <c r="K1263" s="33"/>
      <c r="W1263">
        <f>IF($A2="","",COUNTIF('07_Pallet_Contents'!$A$2:$A$3000,$A2))</f>
        <v>0</v>
      </c>
      <c r="X1263">
        <f>IF($A2="","",SUMIF('07_Pallet_Contents'!$A$2:$A$3000,$A2,'07_Pallet_Contents'!$D$2:$D$3000))</f>
        <v>0</v>
      </c>
      <c r="Y1263">
        <f>IF($A2="","",SUMIF('07_Pallet_Contents'!$A$2:$A$3000,$A2,'07_Pallet_Contents'!$I$2:$I$3000))</f>
        <v>0</v>
      </c>
      <c r="Z1263" t="str">
        <f>IF($A2="","",IF(COUNTIF('07_Pallet_Contents'!$A$2:$A$3000,$A2)&gt;0,"Yes",""))</f>
        <v/>
      </c>
    </row>
    <row r="1264" spans="2:26">
      <c r="B1264" s="31"/>
      <c r="G1264" s="34"/>
      <c r="H1264" s="33" t="str">
        <f t="shared" si="27"/>
        <v/>
      </c>
      <c r="I1264" s="31"/>
      <c r="J1264" s="31"/>
      <c r="K1264" s="33"/>
      <c r="W1264">
        <f>IF($A2="","",COUNTIF('07_Pallet_Contents'!$A$2:$A$3000,$A2))</f>
        <v>0</v>
      </c>
      <c r="X1264">
        <f>IF($A2="","",SUMIF('07_Pallet_Contents'!$A$2:$A$3000,$A2,'07_Pallet_Contents'!$D$2:$D$3000))</f>
        <v>0</v>
      </c>
      <c r="Y1264">
        <f>IF($A2="","",SUMIF('07_Pallet_Contents'!$A$2:$A$3000,$A2,'07_Pallet_Contents'!$I$2:$I$3000))</f>
        <v>0</v>
      </c>
      <c r="Z1264" t="str">
        <f>IF($A2="","",IF(COUNTIF('07_Pallet_Contents'!$A$2:$A$3000,$A2)&gt;0,"Yes",""))</f>
        <v/>
      </c>
    </row>
    <row r="1265" spans="2:26">
      <c r="B1265" s="31"/>
      <c r="G1265" s="34"/>
      <c r="H1265" s="33" t="str">
        <f t="shared" si="27"/>
        <v/>
      </c>
      <c r="I1265" s="31"/>
      <c r="J1265" s="31"/>
      <c r="K1265" s="33"/>
      <c r="W1265">
        <f>IF($A2="","",COUNTIF('07_Pallet_Contents'!$A$2:$A$3000,$A2))</f>
        <v>0</v>
      </c>
      <c r="X1265">
        <f>IF($A2="","",SUMIF('07_Pallet_Contents'!$A$2:$A$3000,$A2,'07_Pallet_Contents'!$D$2:$D$3000))</f>
        <v>0</v>
      </c>
      <c r="Y1265">
        <f>IF($A2="","",SUMIF('07_Pallet_Contents'!$A$2:$A$3000,$A2,'07_Pallet_Contents'!$I$2:$I$3000))</f>
        <v>0</v>
      </c>
      <c r="Z1265" t="str">
        <f>IF($A2="","",IF(COUNTIF('07_Pallet_Contents'!$A$2:$A$3000,$A2)&gt;0,"Yes",""))</f>
        <v/>
      </c>
    </row>
    <row r="1266" spans="2:26">
      <c r="B1266" s="31"/>
      <c r="G1266" s="34"/>
      <c r="H1266" s="33" t="str">
        <f t="shared" si="27"/>
        <v/>
      </c>
      <c r="I1266" s="31"/>
      <c r="J1266" s="31"/>
      <c r="K1266" s="33"/>
      <c r="W1266">
        <f>IF($A2="","",COUNTIF('07_Pallet_Contents'!$A$2:$A$3000,$A2))</f>
        <v>0</v>
      </c>
      <c r="X1266">
        <f>IF($A2="","",SUMIF('07_Pallet_Contents'!$A$2:$A$3000,$A2,'07_Pallet_Contents'!$D$2:$D$3000))</f>
        <v>0</v>
      </c>
      <c r="Y1266">
        <f>IF($A2="","",SUMIF('07_Pallet_Contents'!$A$2:$A$3000,$A2,'07_Pallet_Contents'!$I$2:$I$3000))</f>
        <v>0</v>
      </c>
      <c r="Z1266" t="str">
        <f>IF($A2="","",IF(COUNTIF('07_Pallet_Contents'!$A$2:$A$3000,$A2)&gt;0,"Yes",""))</f>
        <v/>
      </c>
    </row>
    <row r="1267" spans="2:26">
      <c r="B1267" s="31"/>
      <c r="G1267" s="34"/>
      <c r="H1267" s="33" t="str">
        <f t="shared" si="27"/>
        <v/>
      </c>
      <c r="I1267" s="31"/>
      <c r="J1267" s="31"/>
      <c r="K1267" s="33"/>
      <c r="W1267">
        <f>IF($A2="","",COUNTIF('07_Pallet_Contents'!$A$2:$A$3000,$A2))</f>
        <v>0</v>
      </c>
      <c r="X1267">
        <f>IF($A2="","",SUMIF('07_Pallet_Contents'!$A$2:$A$3000,$A2,'07_Pallet_Contents'!$D$2:$D$3000))</f>
        <v>0</v>
      </c>
      <c r="Y1267">
        <f>IF($A2="","",SUMIF('07_Pallet_Contents'!$A$2:$A$3000,$A2,'07_Pallet_Contents'!$I$2:$I$3000))</f>
        <v>0</v>
      </c>
      <c r="Z1267" t="str">
        <f>IF($A2="","",IF(COUNTIF('07_Pallet_Contents'!$A$2:$A$3000,$A2)&gt;0,"Yes",""))</f>
        <v/>
      </c>
    </row>
    <row r="1268" spans="2:26">
      <c r="B1268" s="31"/>
      <c r="G1268" s="34"/>
      <c r="H1268" s="33" t="str">
        <f t="shared" si="27"/>
        <v/>
      </c>
      <c r="I1268" s="31"/>
      <c r="J1268" s="31"/>
      <c r="K1268" s="33"/>
      <c r="W1268">
        <f>IF($A2="","",COUNTIF('07_Pallet_Contents'!$A$2:$A$3000,$A2))</f>
        <v>0</v>
      </c>
      <c r="X1268">
        <f>IF($A2="","",SUMIF('07_Pallet_Contents'!$A$2:$A$3000,$A2,'07_Pallet_Contents'!$D$2:$D$3000))</f>
        <v>0</v>
      </c>
      <c r="Y1268">
        <f>IF($A2="","",SUMIF('07_Pallet_Contents'!$A$2:$A$3000,$A2,'07_Pallet_Contents'!$I$2:$I$3000))</f>
        <v>0</v>
      </c>
      <c r="Z1268" t="str">
        <f>IF($A2="","",IF(COUNTIF('07_Pallet_Contents'!$A$2:$A$3000,$A2)&gt;0,"Yes",""))</f>
        <v/>
      </c>
    </row>
    <row r="1269" spans="2:26">
      <c r="B1269" s="31"/>
      <c r="G1269" s="34"/>
      <c r="H1269" s="33" t="str">
        <f t="shared" si="27"/>
        <v/>
      </c>
      <c r="I1269" s="31"/>
      <c r="J1269" s="31"/>
      <c r="K1269" s="33"/>
      <c r="W1269">
        <f>IF($A2="","",COUNTIF('07_Pallet_Contents'!$A$2:$A$3000,$A2))</f>
        <v>0</v>
      </c>
      <c r="X1269">
        <f>IF($A2="","",SUMIF('07_Pallet_Contents'!$A$2:$A$3000,$A2,'07_Pallet_Contents'!$D$2:$D$3000))</f>
        <v>0</v>
      </c>
      <c r="Y1269">
        <f>IF($A2="","",SUMIF('07_Pallet_Contents'!$A$2:$A$3000,$A2,'07_Pallet_Contents'!$I$2:$I$3000))</f>
        <v>0</v>
      </c>
      <c r="Z1269" t="str">
        <f>IF($A2="","",IF(COUNTIF('07_Pallet_Contents'!$A$2:$A$3000,$A2)&gt;0,"Yes",""))</f>
        <v/>
      </c>
    </row>
    <row r="1270" spans="2:26">
      <c r="B1270" s="31"/>
      <c r="G1270" s="34"/>
      <c r="H1270" s="33" t="str">
        <f t="shared" si="27"/>
        <v/>
      </c>
      <c r="I1270" s="31"/>
      <c r="J1270" s="31"/>
      <c r="K1270" s="33"/>
      <c r="W1270">
        <f>IF($A2="","",COUNTIF('07_Pallet_Contents'!$A$2:$A$3000,$A2))</f>
        <v>0</v>
      </c>
      <c r="X1270">
        <f>IF($A2="","",SUMIF('07_Pallet_Contents'!$A$2:$A$3000,$A2,'07_Pallet_Contents'!$D$2:$D$3000))</f>
        <v>0</v>
      </c>
      <c r="Y1270">
        <f>IF($A2="","",SUMIF('07_Pallet_Contents'!$A$2:$A$3000,$A2,'07_Pallet_Contents'!$I$2:$I$3000))</f>
        <v>0</v>
      </c>
      <c r="Z1270" t="str">
        <f>IF($A2="","",IF(COUNTIF('07_Pallet_Contents'!$A$2:$A$3000,$A2)&gt;0,"Yes",""))</f>
        <v/>
      </c>
    </row>
    <row r="1271" spans="2:26">
      <c r="B1271" s="31"/>
      <c r="G1271" s="34"/>
      <c r="H1271" s="33" t="str">
        <f t="shared" si="27"/>
        <v/>
      </c>
      <c r="I1271" s="31"/>
      <c r="J1271" s="31"/>
      <c r="K1271" s="33"/>
      <c r="W1271">
        <f>IF($A2="","",COUNTIF('07_Pallet_Contents'!$A$2:$A$3000,$A2))</f>
        <v>0</v>
      </c>
      <c r="X1271">
        <f>IF($A2="","",SUMIF('07_Pallet_Contents'!$A$2:$A$3000,$A2,'07_Pallet_Contents'!$D$2:$D$3000))</f>
        <v>0</v>
      </c>
      <c r="Y1271">
        <f>IF($A2="","",SUMIF('07_Pallet_Contents'!$A$2:$A$3000,$A2,'07_Pallet_Contents'!$I$2:$I$3000))</f>
        <v>0</v>
      </c>
      <c r="Z1271" t="str">
        <f>IF($A2="","",IF(COUNTIF('07_Pallet_Contents'!$A$2:$A$3000,$A2)&gt;0,"Yes",""))</f>
        <v/>
      </c>
    </row>
    <row r="1272" spans="2:26">
      <c r="B1272" s="31"/>
      <c r="G1272" s="34"/>
      <c r="H1272" s="33" t="str">
        <f t="shared" si="27"/>
        <v/>
      </c>
      <c r="I1272" s="31"/>
      <c r="J1272" s="31"/>
      <c r="K1272" s="33"/>
      <c r="W1272">
        <f>IF($A2="","",COUNTIF('07_Pallet_Contents'!$A$2:$A$3000,$A2))</f>
        <v>0</v>
      </c>
      <c r="X1272">
        <f>IF($A2="","",SUMIF('07_Pallet_Contents'!$A$2:$A$3000,$A2,'07_Pallet_Contents'!$D$2:$D$3000))</f>
        <v>0</v>
      </c>
      <c r="Y1272">
        <f>IF($A2="","",SUMIF('07_Pallet_Contents'!$A$2:$A$3000,$A2,'07_Pallet_Contents'!$I$2:$I$3000))</f>
        <v>0</v>
      </c>
      <c r="Z1272" t="str">
        <f>IF($A2="","",IF(COUNTIF('07_Pallet_Contents'!$A$2:$A$3000,$A2)&gt;0,"Yes",""))</f>
        <v/>
      </c>
    </row>
    <row r="1273" spans="2:26">
      <c r="B1273" s="31"/>
      <c r="G1273" s="34"/>
      <c r="H1273" s="33" t="str">
        <f t="shared" si="27"/>
        <v/>
      </c>
      <c r="I1273" s="31"/>
      <c r="J1273" s="31"/>
      <c r="K1273" s="33"/>
      <c r="W1273">
        <f>IF($A2="","",COUNTIF('07_Pallet_Contents'!$A$2:$A$3000,$A2))</f>
        <v>0</v>
      </c>
      <c r="X1273">
        <f>IF($A2="","",SUMIF('07_Pallet_Contents'!$A$2:$A$3000,$A2,'07_Pallet_Contents'!$D$2:$D$3000))</f>
        <v>0</v>
      </c>
      <c r="Y1273">
        <f>IF($A2="","",SUMIF('07_Pallet_Contents'!$A$2:$A$3000,$A2,'07_Pallet_Contents'!$I$2:$I$3000))</f>
        <v>0</v>
      </c>
      <c r="Z1273" t="str">
        <f>IF($A2="","",IF(COUNTIF('07_Pallet_Contents'!$A$2:$A$3000,$A2)&gt;0,"Yes",""))</f>
        <v/>
      </c>
    </row>
    <row r="1274" spans="2:26">
      <c r="B1274" s="31"/>
      <c r="G1274" s="34"/>
      <c r="H1274" s="33" t="str">
        <f t="shared" si="27"/>
        <v/>
      </c>
      <c r="I1274" s="31"/>
      <c r="J1274" s="31"/>
      <c r="K1274" s="33"/>
      <c r="W1274">
        <f>IF($A2="","",COUNTIF('07_Pallet_Contents'!$A$2:$A$3000,$A2))</f>
        <v>0</v>
      </c>
      <c r="X1274">
        <f>IF($A2="","",SUMIF('07_Pallet_Contents'!$A$2:$A$3000,$A2,'07_Pallet_Contents'!$D$2:$D$3000))</f>
        <v>0</v>
      </c>
      <c r="Y1274">
        <f>IF($A2="","",SUMIF('07_Pallet_Contents'!$A$2:$A$3000,$A2,'07_Pallet_Contents'!$I$2:$I$3000))</f>
        <v>0</v>
      </c>
      <c r="Z1274" t="str">
        <f>IF($A2="","",IF(COUNTIF('07_Pallet_Contents'!$A$2:$A$3000,$A2)&gt;0,"Yes",""))</f>
        <v/>
      </c>
    </row>
    <row r="1275" spans="2:26">
      <c r="B1275" s="31"/>
      <c r="G1275" s="34"/>
      <c r="H1275" s="33" t="str">
        <f t="shared" si="27"/>
        <v/>
      </c>
      <c r="I1275" s="31"/>
      <c r="J1275" s="31"/>
      <c r="K1275" s="33"/>
      <c r="W1275">
        <f>IF($A2="","",COUNTIF('07_Pallet_Contents'!$A$2:$A$3000,$A2))</f>
        <v>0</v>
      </c>
      <c r="X1275">
        <f>IF($A2="","",SUMIF('07_Pallet_Contents'!$A$2:$A$3000,$A2,'07_Pallet_Contents'!$D$2:$D$3000))</f>
        <v>0</v>
      </c>
      <c r="Y1275">
        <f>IF($A2="","",SUMIF('07_Pallet_Contents'!$A$2:$A$3000,$A2,'07_Pallet_Contents'!$I$2:$I$3000))</f>
        <v>0</v>
      </c>
      <c r="Z1275" t="str">
        <f>IF($A2="","",IF(COUNTIF('07_Pallet_Contents'!$A$2:$A$3000,$A2)&gt;0,"Yes",""))</f>
        <v/>
      </c>
    </row>
    <row r="1276" spans="2:26">
      <c r="B1276" s="31"/>
      <c r="G1276" s="34"/>
      <c r="H1276" s="33" t="str">
        <f t="shared" si="27"/>
        <v/>
      </c>
      <c r="I1276" s="31"/>
      <c r="J1276" s="31"/>
      <c r="K1276" s="33"/>
      <c r="W1276">
        <f>IF($A2="","",COUNTIF('07_Pallet_Contents'!$A$2:$A$3000,$A2))</f>
        <v>0</v>
      </c>
      <c r="X1276">
        <f>IF($A2="","",SUMIF('07_Pallet_Contents'!$A$2:$A$3000,$A2,'07_Pallet_Contents'!$D$2:$D$3000))</f>
        <v>0</v>
      </c>
      <c r="Y1276">
        <f>IF($A2="","",SUMIF('07_Pallet_Contents'!$A$2:$A$3000,$A2,'07_Pallet_Contents'!$I$2:$I$3000))</f>
        <v>0</v>
      </c>
      <c r="Z1276" t="str">
        <f>IF($A2="","",IF(COUNTIF('07_Pallet_Contents'!$A$2:$A$3000,$A2)&gt;0,"Yes",""))</f>
        <v/>
      </c>
    </row>
    <row r="1277" spans="2:26">
      <c r="B1277" s="31"/>
      <c r="G1277" s="34"/>
      <c r="H1277" s="33" t="str">
        <f t="shared" si="27"/>
        <v/>
      </c>
      <c r="I1277" s="31"/>
      <c r="J1277" s="31"/>
      <c r="K1277" s="33"/>
      <c r="W1277">
        <f>IF($A2="","",COUNTIF('07_Pallet_Contents'!$A$2:$A$3000,$A2))</f>
        <v>0</v>
      </c>
      <c r="X1277">
        <f>IF($A2="","",SUMIF('07_Pallet_Contents'!$A$2:$A$3000,$A2,'07_Pallet_Contents'!$D$2:$D$3000))</f>
        <v>0</v>
      </c>
      <c r="Y1277">
        <f>IF($A2="","",SUMIF('07_Pallet_Contents'!$A$2:$A$3000,$A2,'07_Pallet_Contents'!$I$2:$I$3000))</f>
        <v>0</v>
      </c>
      <c r="Z1277" t="str">
        <f>IF($A2="","",IF(COUNTIF('07_Pallet_Contents'!$A$2:$A$3000,$A2)&gt;0,"Yes",""))</f>
        <v/>
      </c>
    </row>
    <row r="1278" spans="2:26">
      <c r="B1278" s="31"/>
      <c r="G1278" s="34"/>
      <c r="H1278" s="33" t="str">
        <f t="shared" si="27"/>
        <v/>
      </c>
      <c r="I1278" s="31"/>
      <c r="J1278" s="31"/>
      <c r="K1278" s="33"/>
      <c r="W1278">
        <f>IF($A2="","",COUNTIF('07_Pallet_Contents'!$A$2:$A$3000,$A2))</f>
        <v>0</v>
      </c>
      <c r="X1278">
        <f>IF($A2="","",SUMIF('07_Pallet_Contents'!$A$2:$A$3000,$A2,'07_Pallet_Contents'!$D$2:$D$3000))</f>
        <v>0</v>
      </c>
      <c r="Y1278">
        <f>IF($A2="","",SUMIF('07_Pallet_Contents'!$A$2:$A$3000,$A2,'07_Pallet_Contents'!$I$2:$I$3000))</f>
        <v>0</v>
      </c>
      <c r="Z1278" t="str">
        <f>IF($A2="","",IF(COUNTIF('07_Pallet_Contents'!$A$2:$A$3000,$A2)&gt;0,"Yes",""))</f>
        <v/>
      </c>
    </row>
    <row r="1279" spans="2:26">
      <c r="B1279" s="31"/>
      <c r="G1279" s="34"/>
      <c r="H1279" s="33" t="str">
        <f t="shared" si="27"/>
        <v/>
      </c>
      <c r="I1279" s="31"/>
      <c r="J1279" s="31"/>
      <c r="K1279" s="33"/>
      <c r="W1279">
        <f>IF($A2="","",COUNTIF('07_Pallet_Contents'!$A$2:$A$3000,$A2))</f>
        <v>0</v>
      </c>
      <c r="X1279">
        <f>IF($A2="","",SUMIF('07_Pallet_Contents'!$A$2:$A$3000,$A2,'07_Pallet_Contents'!$D$2:$D$3000))</f>
        <v>0</v>
      </c>
      <c r="Y1279">
        <f>IF($A2="","",SUMIF('07_Pallet_Contents'!$A$2:$A$3000,$A2,'07_Pallet_Contents'!$I$2:$I$3000))</f>
        <v>0</v>
      </c>
      <c r="Z1279" t="str">
        <f>IF($A2="","",IF(COUNTIF('07_Pallet_Contents'!$A$2:$A$3000,$A2)&gt;0,"Yes",""))</f>
        <v/>
      </c>
    </row>
    <row r="1280" spans="2:26">
      <c r="B1280" s="31"/>
      <c r="G1280" s="34"/>
      <c r="H1280" s="33" t="str">
        <f t="shared" si="27"/>
        <v/>
      </c>
      <c r="I1280" s="31"/>
      <c r="J1280" s="31"/>
      <c r="K1280" s="33"/>
      <c r="W1280">
        <f>IF($A2="","",COUNTIF('07_Pallet_Contents'!$A$2:$A$3000,$A2))</f>
        <v>0</v>
      </c>
      <c r="X1280">
        <f>IF($A2="","",SUMIF('07_Pallet_Contents'!$A$2:$A$3000,$A2,'07_Pallet_Contents'!$D$2:$D$3000))</f>
        <v>0</v>
      </c>
      <c r="Y1280">
        <f>IF($A2="","",SUMIF('07_Pallet_Contents'!$A$2:$A$3000,$A2,'07_Pallet_Contents'!$I$2:$I$3000))</f>
        <v>0</v>
      </c>
      <c r="Z1280" t="str">
        <f>IF($A2="","",IF(COUNTIF('07_Pallet_Contents'!$A$2:$A$3000,$A2)&gt;0,"Yes",""))</f>
        <v/>
      </c>
    </row>
    <row r="1281" spans="2:26">
      <c r="B1281" s="31"/>
      <c r="G1281" s="34"/>
      <c r="H1281" s="33" t="str">
        <f t="shared" si="27"/>
        <v/>
      </c>
      <c r="I1281" s="31"/>
      <c r="J1281" s="31"/>
      <c r="K1281" s="33"/>
      <c r="W1281">
        <f>IF($A2="","",COUNTIF('07_Pallet_Contents'!$A$2:$A$3000,$A2))</f>
        <v>0</v>
      </c>
      <c r="X1281">
        <f>IF($A2="","",SUMIF('07_Pallet_Contents'!$A$2:$A$3000,$A2,'07_Pallet_Contents'!$D$2:$D$3000))</f>
        <v>0</v>
      </c>
      <c r="Y1281">
        <f>IF($A2="","",SUMIF('07_Pallet_Contents'!$A$2:$A$3000,$A2,'07_Pallet_Contents'!$I$2:$I$3000))</f>
        <v>0</v>
      </c>
      <c r="Z1281" t="str">
        <f>IF($A2="","",IF(COUNTIF('07_Pallet_Contents'!$A$2:$A$3000,$A2)&gt;0,"Yes",""))</f>
        <v/>
      </c>
    </row>
    <row r="1282" spans="2:26">
      <c r="B1282" s="31"/>
      <c r="G1282" s="34"/>
      <c r="H1282" s="33" t="str">
        <f t="shared" ref="H1282:H1345" si="28">IF(AND($F1282="TEMP",$G1282&gt;0,$M1282&lt;&gt;""),$M1282+$G1282,"")</f>
        <v/>
      </c>
      <c r="I1282" s="31"/>
      <c r="J1282" s="31"/>
      <c r="K1282" s="33"/>
      <c r="W1282">
        <f>IF($A2="","",COUNTIF('07_Pallet_Contents'!$A$2:$A$3000,$A2))</f>
        <v>0</v>
      </c>
      <c r="X1282">
        <f>IF($A2="","",SUMIF('07_Pallet_Contents'!$A$2:$A$3000,$A2,'07_Pallet_Contents'!$D$2:$D$3000))</f>
        <v>0</v>
      </c>
      <c r="Y1282">
        <f>IF($A2="","",SUMIF('07_Pallet_Contents'!$A$2:$A$3000,$A2,'07_Pallet_Contents'!$I$2:$I$3000))</f>
        <v>0</v>
      </c>
      <c r="Z1282" t="str">
        <f>IF($A2="","",IF(COUNTIF('07_Pallet_Contents'!$A$2:$A$3000,$A2)&gt;0,"Yes",""))</f>
        <v/>
      </c>
    </row>
    <row r="1283" spans="2:26">
      <c r="B1283" s="31"/>
      <c r="G1283" s="34"/>
      <c r="H1283" s="33" t="str">
        <f t="shared" si="28"/>
        <v/>
      </c>
      <c r="I1283" s="31"/>
      <c r="J1283" s="31"/>
      <c r="K1283" s="33"/>
      <c r="W1283">
        <f>IF($A2="","",COUNTIF('07_Pallet_Contents'!$A$2:$A$3000,$A2))</f>
        <v>0</v>
      </c>
      <c r="X1283">
        <f>IF($A2="","",SUMIF('07_Pallet_Contents'!$A$2:$A$3000,$A2,'07_Pallet_Contents'!$D$2:$D$3000))</f>
        <v>0</v>
      </c>
      <c r="Y1283">
        <f>IF($A2="","",SUMIF('07_Pallet_Contents'!$A$2:$A$3000,$A2,'07_Pallet_Contents'!$I$2:$I$3000))</f>
        <v>0</v>
      </c>
      <c r="Z1283" t="str">
        <f>IF($A2="","",IF(COUNTIF('07_Pallet_Contents'!$A$2:$A$3000,$A2)&gt;0,"Yes",""))</f>
        <v/>
      </c>
    </row>
    <row r="1284" spans="2:26">
      <c r="B1284" s="31"/>
      <c r="G1284" s="34"/>
      <c r="H1284" s="33" t="str">
        <f t="shared" si="28"/>
        <v/>
      </c>
      <c r="I1284" s="31"/>
      <c r="J1284" s="31"/>
      <c r="K1284" s="33"/>
      <c r="W1284">
        <f>IF($A2="","",COUNTIF('07_Pallet_Contents'!$A$2:$A$3000,$A2))</f>
        <v>0</v>
      </c>
      <c r="X1284">
        <f>IF($A2="","",SUMIF('07_Pallet_Contents'!$A$2:$A$3000,$A2,'07_Pallet_Contents'!$D$2:$D$3000))</f>
        <v>0</v>
      </c>
      <c r="Y1284">
        <f>IF($A2="","",SUMIF('07_Pallet_Contents'!$A$2:$A$3000,$A2,'07_Pallet_Contents'!$I$2:$I$3000))</f>
        <v>0</v>
      </c>
      <c r="Z1284" t="str">
        <f>IF($A2="","",IF(COUNTIF('07_Pallet_Contents'!$A$2:$A$3000,$A2)&gt;0,"Yes",""))</f>
        <v/>
      </c>
    </row>
    <row r="1285" spans="2:26">
      <c r="B1285" s="31"/>
      <c r="G1285" s="34"/>
      <c r="H1285" s="33" t="str">
        <f t="shared" si="28"/>
        <v/>
      </c>
      <c r="I1285" s="31"/>
      <c r="J1285" s="31"/>
      <c r="K1285" s="33"/>
      <c r="W1285">
        <f>IF($A2="","",COUNTIF('07_Pallet_Contents'!$A$2:$A$3000,$A2))</f>
        <v>0</v>
      </c>
      <c r="X1285">
        <f>IF($A2="","",SUMIF('07_Pallet_Contents'!$A$2:$A$3000,$A2,'07_Pallet_Contents'!$D$2:$D$3000))</f>
        <v>0</v>
      </c>
      <c r="Y1285">
        <f>IF($A2="","",SUMIF('07_Pallet_Contents'!$A$2:$A$3000,$A2,'07_Pallet_Contents'!$I$2:$I$3000))</f>
        <v>0</v>
      </c>
      <c r="Z1285" t="str">
        <f>IF($A2="","",IF(COUNTIF('07_Pallet_Contents'!$A$2:$A$3000,$A2)&gt;0,"Yes",""))</f>
        <v/>
      </c>
    </row>
    <row r="1286" spans="2:26">
      <c r="B1286" s="31"/>
      <c r="G1286" s="34"/>
      <c r="H1286" s="33" t="str">
        <f t="shared" si="28"/>
        <v/>
      </c>
      <c r="I1286" s="31"/>
      <c r="J1286" s="31"/>
      <c r="K1286" s="33"/>
      <c r="W1286">
        <f>IF($A2="","",COUNTIF('07_Pallet_Contents'!$A$2:$A$3000,$A2))</f>
        <v>0</v>
      </c>
      <c r="X1286">
        <f>IF($A2="","",SUMIF('07_Pallet_Contents'!$A$2:$A$3000,$A2,'07_Pallet_Contents'!$D$2:$D$3000))</f>
        <v>0</v>
      </c>
      <c r="Y1286">
        <f>IF($A2="","",SUMIF('07_Pallet_Contents'!$A$2:$A$3000,$A2,'07_Pallet_Contents'!$I$2:$I$3000))</f>
        <v>0</v>
      </c>
      <c r="Z1286" t="str">
        <f>IF($A2="","",IF(COUNTIF('07_Pallet_Contents'!$A$2:$A$3000,$A2)&gt;0,"Yes",""))</f>
        <v/>
      </c>
    </row>
    <row r="1287" spans="2:26">
      <c r="B1287" s="31"/>
      <c r="G1287" s="34"/>
      <c r="H1287" s="33" t="str">
        <f t="shared" si="28"/>
        <v/>
      </c>
      <c r="I1287" s="31"/>
      <c r="J1287" s="31"/>
      <c r="K1287" s="33"/>
      <c r="W1287">
        <f>IF($A2="","",COUNTIF('07_Pallet_Contents'!$A$2:$A$3000,$A2))</f>
        <v>0</v>
      </c>
      <c r="X1287">
        <f>IF($A2="","",SUMIF('07_Pallet_Contents'!$A$2:$A$3000,$A2,'07_Pallet_Contents'!$D$2:$D$3000))</f>
        <v>0</v>
      </c>
      <c r="Y1287">
        <f>IF($A2="","",SUMIF('07_Pallet_Contents'!$A$2:$A$3000,$A2,'07_Pallet_Contents'!$I$2:$I$3000))</f>
        <v>0</v>
      </c>
      <c r="Z1287" t="str">
        <f>IF($A2="","",IF(COUNTIF('07_Pallet_Contents'!$A$2:$A$3000,$A2)&gt;0,"Yes",""))</f>
        <v/>
      </c>
    </row>
    <row r="1288" spans="2:26">
      <c r="B1288" s="31"/>
      <c r="G1288" s="34"/>
      <c r="H1288" s="33" t="str">
        <f t="shared" si="28"/>
        <v/>
      </c>
      <c r="I1288" s="31"/>
      <c r="J1288" s="31"/>
      <c r="K1288" s="33"/>
      <c r="W1288">
        <f>IF($A2="","",COUNTIF('07_Pallet_Contents'!$A$2:$A$3000,$A2))</f>
        <v>0</v>
      </c>
      <c r="X1288">
        <f>IF($A2="","",SUMIF('07_Pallet_Contents'!$A$2:$A$3000,$A2,'07_Pallet_Contents'!$D$2:$D$3000))</f>
        <v>0</v>
      </c>
      <c r="Y1288">
        <f>IF($A2="","",SUMIF('07_Pallet_Contents'!$A$2:$A$3000,$A2,'07_Pallet_Contents'!$I$2:$I$3000))</f>
        <v>0</v>
      </c>
      <c r="Z1288" t="str">
        <f>IF($A2="","",IF(COUNTIF('07_Pallet_Contents'!$A$2:$A$3000,$A2)&gt;0,"Yes",""))</f>
        <v/>
      </c>
    </row>
    <row r="1289" spans="2:26">
      <c r="B1289" s="31"/>
      <c r="G1289" s="34"/>
      <c r="H1289" s="33" t="str">
        <f t="shared" si="28"/>
        <v/>
      </c>
      <c r="I1289" s="31"/>
      <c r="J1289" s="31"/>
      <c r="K1289" s="33"/>
      <c r="W1289">
        <f>IF($A2="","",COUNTIF('07_Pallet_Contents'!$A$2:$A$3000,$A2))</f>
        <v>0</v>
      </c>
      <c r="X1289">
        <f>IF($A2="","",SUMIF('07_Pallet_Contents'!$A$2:$A$3000,$A2,'07_Pallet_Contents'!$D$2:$D$3000))</f>
        <v>0</v>
      </c>
      <c r="Y1289">
        <f>IF($A2="","",SUMIF('07_Pallet_Contents'!$A$2:$A$3000,$A2,'07_Pallet_Contents'!$I$2:$I$3000))</f>
        <v>0</v>
      </c>
      <c r="Z1289" t="str">
        <f>IF($A2="","",IF(COUNTIF('07_Pallet_Contents'!$A$2:$A$3000,$A2)&gt;0,"Yes",""))</f>
        <v/>
      </c>
    </row>
    <row r="1290" spans="2:26">
      <c r="B1290" s="31"/>
      <c r="G1290" s="34"/>
      <c r="H1290" s="33" t="str">
        <f t="shared" si="28"/>
        <v/>
      </c>
      <c r="I1290" s="31"/>
      <c r="J1290" s="31"/>
      <c r="K1290" s="33"/>
      <c r="W1290">
        <f>IF($A2="","",COUNTIF('07_Pallet_Contents'!$A$2:$A$3000,$A2))</f>
        <v>0</v>
      </c>
      <c r="X1290">
        <f>IF($A2="","",SUMIF('07_Pallet_Contents'!$A$2:$A$3000,$A2,'07_Pallet_Contents'!$D$2:$D$3000))</f>
        <v>0</v>
      </c>
      <c r="Y1290">
        <f>IF($A2="","",SUMIF('07_Pallet_Contents'!$A$2:$A$3000,$A2,'07_Pallet_Contents'!$I$2:$I$3000))</f>
        <v>0</v>
      </c>
      <c r="Z1290" t="str">
        <f>IF($A2="","",IF(COUNTIF('07_Pallet_Contents'!$A$2:$A$3000,$A2)&gt;0,"Yes",""))</f>
        <v/>
      </c>
    </row>
    <row r="1291" spans="2:26">
      <c r="B1291" s="31"/>
      <c r="G1291" s="34"/>
      <c r="H1291" s="33" t="str">
        <f t="shared" si="28"/>
        <v/>
      </c>
      <c r="I1291" s="31"/>
      <c r="J1291" s="31"/>
      <c r="K1291" s="33"/>
      <c r="W1291">
        <f>IF($A2="","",COUNTIF('07_Pallet_Contents'!$A$2:$A$3000,$A2))</f>
        <v>0</v>
      </c>
      <c r="X1291">
        <f>IF($A2="","",SUMIF('07_Pallet_Contents'!$A$2:$A$3000,$A2,'07_Pallet_Contents'!$D$2:$D$3000))</f>
        <v>0</v>
      </c>
      <c r="Y1291">
        <f>IF($A2="","",SUMIF('07_Pallet_Contents'!$A$2:$A$3000,$A2,'07_Pallet_Contents'!$I$2:$I$3000))</f>
        <v>0</v>
      </c>
      <c r="Z1291" t="str">
        <f>IF($A2="","",IF(COUNTIF('07_Pallet_Contents'!$A$2:$A$3000,$A2)&gt;0,"Yes",""))</f>
        <v/>
      </c>
    </row>
    <row r="1292" spans="2:26">
      <c r="B1292" s="31"/>
      <c r="G1292" s="34"/>
      <c r="H1292" s="33" t="str">
        <f t="shared" si="28"/>
        <v/>
      </c>
      <c r="I1292" s="31"/>
      <c r="J1292" s="31"/>
      <c r="K1292" s="33"/>
      <c r="W1292">
        <f>IF($A2="","",COUNTIF('07_Pallet_Contents'!$A$2:$A$3000,$A2))</f>
        <v>0</v>
      </c>
      <c r="X1292">
        <f>IF($A2="","",SUMIF('07_Pallet_Contents'!$A$2:$A$3000,$A2,'07_Pallet_Contents'!$D$2:$D$3000))</f>
        <v>0</v>
      </c>
      <c r="Y1292">
        <f>IF($A2="","",SUMIF('07_Pallet_Contents'!$A$2:$A$3000,$A2,'07_Pallet_Contents'!$I$2:$I$3000))</f>
        <v>0</v>
      </c>
      <c r="Z1292" t="str">
        <f>IF($A2="","",IF(COUNTIF('07_Pallet_Contents'!$A$2:$A$3000,$A2)&gt;0,"Yes",""))</f>
        <v/>
      </c>
    </row>
    <row r="1293" spans="2:26">
      <c r="B1293" s="31"/>
      <c r="G1293" s="34"/>
      <c r="H1293" s="33" t="str">
        <f t="shared" si="28"/>
        <v/>
      </c>
      <c r="I1293" s="31"/>
      <c r="J1293" s="31"/>
      <c r="K1293" s="33"/>
      <c r="W1293">
        <f>IF($A2="","",COUNTIF('07_Pallet_Contents'!$A$2:$A$3000,$A2))</f>
        <v>0</v>
      </c>
      <c r="X1293">
        <f>IF($A2="","",SUMIF('07_Pallet_Contents'!$A$2:$A$3000,$A2,'07_Pallet_Contents'!$D$2:$D$3000))</f>
        <v>0</v>
      </c>
      <c r="Y1293">
        <f>IF($A2="","",SUMIF('07_Pallet_Contents'!$A$2:$A$3000,$A2,'07_Pallet_Contents'!$I$2:$I$3000))</f>
        <v>0</v>
      </c>
      <c r="Z1293" t="str">
        <f>IF($A2="","",IF(COUNTIF('07_Pallet_Contents'!$A$2:$A$3000,$A2)&gt;0,"Yes",""))</f>
        <v/>
      </c>
    </row>
    <row r="1294" spans="2:26">
      <c r="B1294" s="31"/>
      <c r="G1294" s="34"/>
      <c r="H1294" s="33" t="str">
        <f t="shared" si="28"/>
        <v/>
      </c>
      <c r="I1294" s="31"/>
      <c r="J1294" s="31"/>
      <c r="K1294" s="33"/>
      <c r="W1294">
        <f>IF($A2="","",COUNTIF('07_Pallet_Contents'!$A$2:$A$3000,$A2))</f>
        <v>0</v>
      </c>
      <c r="X1294">
        <f>IF($A2="","",SUMIF('07_Pallet_Contents'!$A$2:$A$3000,$A2,'07_Pallet_Contents'!$D$2:$D$3000))</f>
        <v>0</v>
      </c>
      <c r="Y1294">
        <f>IF($A2="","",SUMIF('07_Pallet_Contents'!$A$2:$A$3000,$A2,'07_Pallet_Contents'!$I$2:$I$3000))</f>
        <v>0</v>
      </c>
      <c r="Z1294" t="str">
        <f>IF($A2="","",IF(COUNTIF('07_Pallet_Contents'!$A$2:$A$3000,$A2)&gt;0,"Yes",""))</f>
        <v/>
      </c>
    </row>
    <row r="1295" spans="2:26">
      <c r="B1295" s="31"/>
      <c r="G1295" s="34"/>
      <c r="H1295" s="33" t="str">
        <f t="shared" si="28"/>
        <v/>
      </c>
      <c r="I1295" s="31"/>
      <c r="J1295" s="31"/>
      <c r="K1295" s="33"/>
      <c r="W1295">
        <f>IF($A2="","",COUNTIF('07_Pallet_Contents'!$A$2:$A$3000,$A2))</f>
        <v>0</v>
      </c>
      <c r="X1295">
        <f>IF($A2="","",SUMIF('07_Pallet_Contents'!$A$2:$A$3000,$A2,'07_Pallet_Contents'!$D$2:$D$3000))</f>
        <v>0</v>
      </c>
      <c r="Y1295">
        <f>IF($A2="","",SUMIF('07_Pallet_Contents'!$A$2:$A$3000,$A2,'07_Pallet_Contents'!$I$2:$I$3000))</f>
        <v>0</v>
      </c>
      <c r="Z1295" t="str">
        <f>IF($A2="","",IF(COUNTIF('07_Pallet_Contents'!$A$2:$A$3000,$A2)&gt;0,"Yes",""))</f>
        <v/>
      </c>
    </row>
    <row r="1296" spans="2:26">
      <c r="B1296" s="31"/>
      <c r="G1296" s="34"/>
      <c r="H1296" s="33" t="str">
        <f t="shared" si="28"/>
        <v/>
      </c>
      <c r="I1296" s="31"/>
      <c r="J1296" s="31"/>
      <c r="K1296" s="33"/>
      <c r="W1296">
        <f>IF($A2="","",COUNTIF('07_Pallet_Contents'!$A$2:$A$3000,$A2))</f>
        <v>0</v>
      </c>
      <c r="X1296">
        <f>IF($A2="","",SUMIF('07_Pallet_Contents'!$A$2:$A$3000,$A2,'07_Pallet_Contents'!$D$2:$D$3000))</f>
        <v>0</v>
      </c>
      <c r="Y1296">
        <f>IF($A2="","",SUMIF('07_Pallet_Contents'!$A$2:$A$3000,$A2,'07_Pallet_Contents'!$I$2:$I$3000))</f>
        <v>0</v>
      </c>
      <c r="Z1296" t="str">
        <f>IF($A2="","",IF(COUNTIF('07_Pallet_Contents'!$A$2:$A$3000,$A2)&gt;0,"Yes",""))</f>
        <v/>
      </c>
    </row>
    <row r="1297" spans="2:26">
      <c r="B1297" s="31"/>
      <c r="G1297" s="34"/>
      <c r="H1297" s="33" t="str">
        <f t="shared" si="28"/>
        <v/>
      </c>
      <c r="I1297" s="31"/>
      <c r="J1297" s="31"/>
      <c r="K1297" s="33"/>
      <c r="W1297">
        <f>IF($A2="","",COUNTIF('07_Pallet_Contents'!$A$2:$A$3000,$A2))</f>
        <v>0</v>
      </c>
      <c r="X1297">
        <f>IF($A2="","",SUMIF('07_Pallet_Contents'!$A$2:$A$3000,$A2,'07_Pallet_Contents'!$D$2:$D$3000))</f>
        <v>0</v>
      </c>
      <c r="Y1297">
        <f>IF($A2="","",SUMIF('07_Pallet_Contents'!$A$2:$A$3000,$A2,'07_Pallet_Contents'!$I$2:$I$3000))</f>
        <v>0</v>
      </c>
      <c r="Z1297" t="str">
        <f>IF($A2="","",IF(COUNTIF('07_Pallet_Contents'!$A$2:$A$3000,$A2)&gt;0,"Yes",""))</f>
        <v/>
      </c>
    </row>
    <row r="1298" spans="2:26">
      <c r="B1298" s="31"/>
      <c r="G1298" s="34"/>
      <c r="H1298" s="33" t="str">
        <f t="shared" si="28"/>
        <v/>
      </c>
      <c r="I1298" s="31"/>
      <c r="J1298" s="31"/>
      <c r="K1298" s="33"/>
      <c r="W1298">
        <f>IF($A2="","",COUNTIF('07_Pallet_Contents'!$A$2:$A$3000,$A2))</f>
        <v>0</v>
      </c>
      <c r="X1298">
        <f>IF($A2="","",SUMIF('07_Pallet_Contents'!$A$2:$A$3000,$A2,'07_Pallet_Contents'!$D$2:$D$3000))</f>
        <v>0</v>
      </c>
      <c r="Y1298">
        <f>IF($A2="","",SUMIF('07_Pallet_Contents'!$A$2:$A$3000,$A2,'07_Pallet_Contents'!$I$2:$I$3000))</f>
        <v>0</v>
      </c>
      <c r="Z1298" t="str">
        <f>IF($A2="","",IF(COUNTIF('07_Pallet_Contents'!$A$2:$A$3000,$A2)&gt;0,"Yes",""))</f>
        <v/>
      </c>
    </row>
    <row r="1299" spans="2:26">
      <c r="B1299" s="31"/>
      <c r="G1299" s="34"/>
      <c r="H1299" s="33" t="str">
        <f t="shared" si="28"/>
        <v/>
      </c>
      <c r="I1299" s="31"/>
      <c r="J1299" s="31"/>
      <c r="K1299" s="33"/>
      <c r="W1299">
        <f>IF($A2="","",COUNTIF('07_Pallet_Contents'!$A$2:$A$3000,$A2))</f>
        <v>0</v>
      </c>
      <c r="X1299">
        <f>IF($A2="","",SUMIF('07_Pallet_Contents'!$A$2:$A$3000,$A2,'07_Pallet_Contents'!$D$2:$D$3000))</f>
        <v>0</v>
      </c>
      <c r="Y1299">
        <f>IF($A2="","",SUMIF('07_Pallet_Contents'!$A$2:$A$3000,$A2,'07_Pallet_Contents'!$I$2:$I$3000))</f>
        <v>0</v>
      </c>
      <c r="Z1299" t="str">
        <f>IF($A2="","",IF(COUNTIF('07_Pallet_Contents'!$A$2:$A$3000,$A2)&gt;0,"Yes",""))</f>
        <v/>
      </c>
    </row>
    <row r="1300" spans="2:26">
      <c r="B1300" s="31"/>
      <c r="G1300" s="34"/>
      <c r="H1300" s="33" t="str">
        <f t="shared" si="28"/>
        <v/>
      </c>
      <c r="I1300" s="31"/>
      <c r="J1300" s="31"/>
      <c r="K1300" s="33"/>
      <c r="W1300">
        <f>IF($A2="","",COUNTIF('07_Pallet_Contents'!$A$2:$A$3000,$A2))</f>
        <v>0</v>
      </c>
      <c r="X1300">
        <f>IF($A2="","",SUMIF('07_Pallet_Contents'!$A$2:$A$3000,$A2,'07_Pallet_Contents'!$D$2:$D$3000))</f>
        <v>0</v>
      </c>
      <c r="Y1300">
        <f>IF($A2="","",SUMIF('07_Pallet_Contents'!$A$2:$A$3000,$A2,'07_Pallet_Contents'!$I$2:$I$3000))</f>
        <v>0</v>
      </c>
      <c r="Z1300" t="str">
        <f>IF($A2="","",IF(COUNTIF('07_Pallet_Contents'!$A$2:$A$3000,$A2)&gt;0,"Yes",""))</f>
        <v/>
      </c>
    </row>
    <row r="1301" spans="2:26">
      <c r="B1301" s="31"/>
      <c r="G1301" s="34"/>
      <c r="H1301" s="33" t="str">
        <f t="shared" si="28"/>
        <v/>
      </c>
      <c r="I1301" s="31"/>
      <c r="J1301" s="31"/>
      <c r="K1301" s="33"/>
      <c r="W1301">
        <f>IF($A2="","",COUNTIF('07_Pallet_Contents'!$A$2:$A$3000,$A2))</f>
        <v>0</v>
      </c>
      <c r="X1301">
        <f>IF($A2="","",SUMIF('07_Pallet_Contents'!$A$2:$A$3000,$A2,'07_Pallet_Contents'!$D$2:$D$3000))</f>
        <v>0</v>
      </c>
      <c r="Y1301">
        <f>IF($A2="","",SUMIF('07_Pallet_Contents'!$A$2:$A$3000,$A2,'07_Pallet_Contents'!$I$2:$I$3000))</f>
        <v>0</v>
      </c>
      <c r="Z1301" t="str">
        <f>IF($A2="","",IF(COUNTIF('07_Pallet_Contents'!$A$2:$A$3000,$A2)&gt;0,"Yes",""))</f>
        <v/>
      </c>
    </row>
    <row r="1302" spans="2:26">
      <c r="B1302" s="31"/>
      <c r="G1302" s="34"/>
      <c r="H1302" s="33" t="str">
        <f t="shared" si="28"/>
        <v/>
      </c>
      <c r="I1302" s="31"/>
      <c r="J1302" s="31"/>
      <c r="K1302" s="33"/>
      <c r="W1302">
        <f>IF($A2="","",COUNTIF('07_Pallet_Contents'!$A$2:$A$3000,$A2))</f>
        <v>0</v>
      </c>
      <c r="X1302">
        <f>IF($A2="","",SUMIF('07_Pallet_Contents'!$A$2:$A$3000,$A2,'07_Pallet_Contents'!$D$2:$D$3000))</f>
        <v>0</v>
      </c>
      <c r="Y1302">
        <f>IF($A2="","",SUMIF('07_Pallet_Contents'!$A$2:$A$3000,$A2,'07_Pallet_Contents'!$I$2:$I$3000))</f>
        <v>0</v>
      </c>
      <c r="Z1302" t="str">
        <f>IF($A2="","",IF(COUNTIF('07_Pallet_Contents'!$A$2:$A$3000,$A2)&gt;0,"Yes",""))</f>
        <v/>
      </c>
    </row>
    <row r="1303" spans="2:26">
      <c r="B1303" s="31"/>
      <c r="G1303" s="34"/>
      <c r="H1303" s="33" t="str">
        <f t="shared" si="28"/>
        <v/>
      </c>
      <c r="I1303" s="31"/>
      <c r="J1303" s="31"/>
      <c r="K1303" s="33"/>
      <c r="W1303">
        <f>IF($A2="","",COUNTIF('07_Pallet_Contents'!$A$2:$A$3000,$A2))</f>
        <v>0</v>
      </c>
      <c r="X1303">
        <f>IF($A2="","",SUMIF('07_Pallet_Contents'!$A$2:$A$3000,$A2,'07_Pallet_Contents'!$D$2:$D$3000))</f>
        <v>0</v>
      </c>
      <c r="Y1303">
        <f>IF($A2="","",SUMIF('07_Pallet_Contents'!$A$2:$A$3000,$A2,'07_Pallet_Contents'!$I$2:$I$3000))</f>
        <v>0</v>
      </c>
      <c r="Z1303" t="str">
        <f>IF($A2="","",IF(COUNTIF('07_Pallet_Contents'!$A$2:$A$3000,$A2)&gt;0,"Yes",""))</f>
        <v/>
      </c>
    </row>
    <row r="1304" spans="2:26">
      <c r="B1304" s="31"/>
      <c r="G1304" s="34"/>
      <c r="H1304" s="33" t="str">
        <f t="shared" si="28"/>
        <v/>
      </c>
      <c r="I1304" s="31"/>
      <c r="J1304" s="31"/>
      <c r="K1304" s="33"/>
      <c r="W1304">
        <f>IF($A2="","",COUNTIF('07_Pallet_Contents'!$A$2:$A$3000,$A2))</f>
        <v>0</v>
      </c>
      <c r="X1304">
        <f>IF($A2="","",SUMIF('07_Pallet_Contents'!$A$2:$A$3000,$A2,'07_Pallet_Contents'!$D$2:$D$3000))</f>
        <v>0</v>
      </c>
      <c r="Y1304">
        <f>IF($A2="","",SUMIF('07_Pallet_Contents'!$A$2:$A$3000,$A2,'07_Pallet_Contents'!$I$2:$I$3000))</f>
        <v>0</v>
      </c>
      <c r="Z1304" t="str">
        <f>IF($A2="","",IF(COUNTIF('07_Pallet_Contents'!$A$2:$A$3000,$A2)&gt;0,"Yes",""))</f>
        <v/>
      </c>
    </row>
    <row r="1305" spans="2:26">
      <c r="B1305" s="31"/>
      <c r="G1305" s="34"/>
      <c r="H1305" s="33" t="str">
        <f t="shared" si="28"/>
        <v/>
      </c>
      <c r="I1305" s="31"/>
      <c r="J1305" s="31"/>
      <c r="K1305" s="33"/>
      <c r="W1305">
        <f>IF($A2="","",COUNTIF('07_Pallet_Contents'!$A$2:$A$3000,$A2))</f>
        <v>0</v>
      </c>
      <c r="X1305">
        <f>IF($A2="","",SUMIF('07_Pallet_Contents'!$A$2:$A$3000,$A2,'07_Pallet_Contents'!$D$2:$D$3000))</f>
        <v>0</v>
      </c>
      <c r="Y1305">
        <f>IF($A2="","",SUMIF('07_Pallet_Contents'!$A$2:$A$3000,$A2,'07_Pallet_Contents'!$I$2:$I$3000))</f>
        <v>0</v>
      </c>
      <c r="Z1305" t="str">
        <f>IF($A2="","",IF(COUNTIF('07_Pallet_Contents'!$A$2:$A$3000,$A2)&gt;0,"Yes",""))</f>
        <v/>
      </c>
    </row>
    <row r="1306" spans="2:26">
      <c r="B1306" s="31"/>
      <c r="G1306" s="34"/>
      <c r="H1306" s="33" t="str">
        <f t="shared" si="28"/>
        <v/>
      </c>
      <c r="I1306" s="31"/>
      <c r="J1306" s="31"/>
      <c r="K1306" s="33"/>
      <c r="W1306">
        <f>IF($A2="","",COUNTIF('07_Pallet_Contents'!$A$2:$A$3000,$A2))</f>
        <v>0</v>
      </c>
      <c r="X1306">
        <f>IF($A2="","",SUMIF('07_Pallet_Contents'!$A$2:$A$3000,$A2,'07_Pallet_Contents'!$D$2:$D$3000))</f>
        <v>0</v>
      </c>
      <c r="Y1306">
        <f>IF($A2="","",SUMIF('07_Pallet_Contents'!$A$2:$A$3000,$A2,'07_Pallet_Contents'!$I$2:$I$3000))</f>
        <v>0</v>
      </c>
      <c r="Z1306" t="str">
        <f>IF($A2="","",IF(COUNTIF('07_Pallet_Contents'!$A$2:$A$3000,$A2)&gt;0,"Yes",""))</f>
        <v/>
      </c>
    </row>
    <row r="1307" spans="2:26">
      <c r="B1307" s="31"/>
      <c r="G1307" s="34"/>
      <c r="H1307" s="33" t="str">
        <f t="shared" si="28"/>
        <v/>
      </c>
      <c r="I1307" s="31"/>
      <c r="J1307" s="31"/>
      <c r="K1307" s="33"/>
      <c r="W1307">
        <f>IF($A2="","",COUNTIF('07_Pallet_Contents'!$A$2:$A$3000,$A2))</f>
        <v>0</v>
      </c>
      <c r="X1307">
        <f>IF($A2="","",SUMIF('07_Pallet_Contents'!$A$2:$A$3000,$A2,'07_Pallet_Contents'!$D$2:$D$3000))</f>
        <v>0</v>
      </c>
      <c r="Y1307">
        <f>IF($A2="","",SUMIF('07_Pallet_Contents'!$A$2:$A$3000,$A2,'07_Pallet_Contents'!$I$2:$I$3000))</f>
        <v>0</v>
      </c>
      <c r="Z1307" t="str">
        <f>IF($A2="","",IF(COUNTIF('07_Pallet_Contents'!$A$2:$A$3000,$A2)&gt;0,"Yes",""))</f>
        <v/>
      </c>
    </row>
    <row r="1308" spans="2:26">
      <c r="B1308" s="31"/>
      <c r="G1308" s="34"/>
      <c r="H1308" s="33" t="str">
        <f t="shared" si="28"/>
        <v/>
      </c>
      <c r="I1308" s="31"/>
      <c r="J1308" s="31"/>
      <c r="K1308" s="33"/>
      <c r="W1308">
        <f>IF($A2="","",COUNTIF('07_Pallet_Contents'!$A$2:$A$3000,$A2))</f>
        <v>0</v>
      </c>
      <c r="X1308">
        <f>IF($A2="","",SUMIF('07_Pallet_Contents'!$A$2:$A$3000,$A2,'07_Pallet_Contents'!$D$2:$D$3000))</f>
        <v>0</v>
      </c>
      <c r="Y1308">
        <f>IF($A2="","",SUMIF('07_Pallet_Contents'!$A$2:$A$3000,$A2,'07_Pallet_Contents'!$I$2:$I$3000))</f>
        <v>0</v>
      </c>
      <c r="Z1308" t="str">
        <f>IF($A2="","",IF(COUNTIF('07_Pallet_Contents'!$A$2:$A$3000,$A2)&gt;0,"Yes",""))</f>
        <v/>
      </c>
    </row>
    <row r="1309" spans="2:26">
      <c r="B1309" s="31"/>
      <c r="G1309" s="34"/>
      <c r="H1309" s="33" t="str">
        <f t="shared" si="28"/>
        <v/>
      </c>
      <c r="I1309" s="31"/>
      <c r="J1309" s="31"/>
      <c r="K1309" s="33"/>
      <c r="W1309">
        <f>IF($A2="","",COUNTIF('07_Pallet_Contents'!$A$2:$A$3000,$A2))</f>
        <v>0</v>
      </c>
      <c r="X1309">
        <f>IF($A2="","",SUMIF('07_Pallet_Contents'!$A$2:$A$3000,$A2,'07_Pallet_Contents'!$D$2:$D$3000))</f>
        <v>0</v>
      </c>
      <c r="Y1309">
        <f>IF($A2="","",SUMIF('07_Pallet_Contents'!$A$2:$A$3000,$A2,'07_Pallet_Contents'!$I$2:$I$3000))</f>
        <v>0</v>
      </c>
      <c r="Z1309" t="str">
        <f>IF($A2="","",IF(COUNTIF('07_Pallet_Contents'!$A$2:$A$3000,$A2)&gt;0,"Yes",""))</f>
        <v/>
      </c>
    </row>
    <row r="1310" spans="2:26">
      <c r="B1310" s="31"/>
      <c r="G1310" s="34"/>
      <c r="H1310" s="33" t="str">
        <f t="shared" si="28"/>
        <v/>
      </c>
      <c r="I1310" s="31"/>
      <c r="J1310" s="31"/>
      <c r="K1310" s="33"/>
      <c r="W1310">
        <f>IF($A2="","",COUNTIF('07_Pallet_Contents'!$A$2:$A$3000,$A2))</f>
        <v>0</v>
      </c>
      <c r="X1310">
        <f>IF($A2="","",SUMIF('07_Pallet_Contents'!$A$2:$A$3000,$A2,'07_Pallet_Contents'!$D$2:$D$3000))</f>
        <v>0</v>
      </c>
      <c r="Y1310">
        <f>IF($A2="","",SUMIF('07_Pallet_Contents'!$A$2:$A$3000,$A2,'07_Pallet_Contents'!$I$2:$I$3000))</f>
        <v>0</v>
      </c>
      <c r="Z1310" t="str">
        <f>IF($A2="","",IF(COUNTIF('07_Pallet_Contents'!$A$2:$A$3000,$A2)&gt;0,"Yes",""))</f>
        <v/>
      </c>
    </row>
    <row r="1311" spans="2:26">
      <c r="B1311" s="31"/>
      <c r="G1311" s="34"/>
      <c r="H1311" s="33" t="str">
        <f t="shared" si="28"/>
        <v/>
      </c>
      <c r="I1311" s="31"/>
      <c r="J1311" s="31"/>
      <c r="K1311" s="33"/>
      <c r="W1311">
        <f>IF($A2="","",COUNTIF('07_Pallet_Contents'!$A$2:$A$3000,$A2))</f>
        <v>0</v>
      </c>
      <c r="X1311">
        <f>IF($A2="","",SUMIF('07_Pallet_Contents'!$A$2:$A$3000,$A2,'07_Pallet_Contents'!$D$2:$D$3000))</f>
        <v>0</v>
      </c>
      <c r="Y1311">
        <f>IF($A2="","",SUMIF('07_Pallet_Contents'!$A$2:$A$3000,$A2,'07_Pallet_Contents'!$I$2:$I$3000))</f>
        <v>0</v>
      </c>
      <c r="Z1311" t="str">
        <f>IF($A2="","",IF(COUNTIF('07_Pallet_Contents'!$A$2:$A$3000,$A2)&gt;0,"Yes",""))</f>
        <v/>
      </c>
    </row>
    <row r="1312" spans="2:26">
      <c r="B1312" s="31"/>
      <c r="G1312" s="34"/>
      <c r="H1312" s="33" t="str">
        <f t="shared" si="28"/>
        <v/>
      </c>
      <c r="I1312" s="31"/>
      <c r="J1312" s="31"/>
      <c r="K1312" s="33"/>
      <c r="W1312">
        <f>IF($A2="","",COUNTIF('07_Pallet_Contents'!$A$2:$A$3000,$A2))</f>
        <v>0</v>
      </c>
      <c r="X1312">
        <f>IF($A2="","",SUMIF('07_Pallet_Contents'!$A$2:$A$3000,$A2,'07_Pallet_Contents'!$D$2:$D$3000))</f>
        <v>0</v>
      </c>
      <c r="Y1312">
        <f>IF($A2="","",SUMIF('07_Pallet_Contents'!$A$2:$A$3000,$A2,'07_Pallet_Contents'!$I$2:$I$3000))</f>
        <v>0</v>
      </c>
      <c r="Z1312" t="str">
        <f>IF($A2="","",IF(COUNTIF('07_Pallet_Contents'!$A$2:$A$3000,$A2)&gt;0,"Yes",""))</f>
        <v/>
      </c>
    </row>
    <row r="1313" spans="2:26">
      <c r="B1313" s="31"/>
      <c r="G1313" s="34"/>
      <c r="H1313" s="33" t="str">
        <f t="shared" si="28"/>
        <v/>
      </c>
      <c r="I1313" s="31"/>
      <c r="J1313" s="31"/>
      <c r="K1313" s="33"/>
      <c r="W1313">
        <f>IF($A2="","",COUNTIF('07_Pallet_Contents'!$A$2:$A$3000,$A2))</f>
        <v>0</v>
      </c>
      <c r="X1313">
        <f>IF($A2="","",SUMIF('07_Pallet_Contents'!$A$2:$A$3000,$A2,'07_Pallet_Contents'!$D$2:$D$3000))</f>
        <v>0</v>
      </c>
      <c r="Y1313">
        <f>IF($A2="","",SUMIF('07_Pallet_Contents'!$A$2:$A$3000,$A2,'07_Pallet_Contents'!$I$2:$I$3000))</f>
        <v>0</v>
      </c>
      <c r="Z1313" t="str">
        <f>IF($A2="","",IF(COUNTIF('07_Pallet_Contents'!$A$2:$A$3000,$A2)&gt;0,"Yes",""))</f>
        <v/>
      </c>
    </row>
    <row r="1314" spans="2:26">
      <c r="B1314" s="31"/>
      <c r="G1314" s="34"/>
      <c r="H1314" s="33" t="str">
        <f t="shared" si="28"/>
        <v/>
      </c>
      <c r="I1314" s="31"/>
      <c r="J1314" s="31"/>
      <c r="K1314" s="33"/>
      <c r="W1314">
        <f>IF($A2="","",COUNTIF('07_Pallet_Contents'!$A$2:$A$3000,$A2))</f>
        <v>0</v>
      </c>
      <c r="X1314">
        <f>IF($A2="","",SUMIF('07_Pallet_Contents'!$A$2:$A$3000,$A2,'07_Pallet_Contents'!$D$2:$D$3000))</f>
        <v>0</v>
      </c>
      <c r="Y1314">
        <f>IF($A2="","",SUMIF('07_Pallet_Contents'!$A$2:$A$3000,$A2,'07_Pallet_Contents'!$I$2:$I$3000))</f>
        <v>0</v>
      </c>
      <c r="Z1314" t="str">
        <f>IF($A2="","",IF(COUNTIF('07_Pallet_Contents'!$A$2:$A$3000,$A2)&gt;0,"Yes",""))</f>
        <v/>
      </c>
    </row>
    <row r="1315" spans="2:26">
      <c r="B1315" s="31"/>
      <c r="G1315" s="34"/>
      <c r="H1315" s="33" t="str">
        <f t="shared" si="28"/>
        <v/>
      </c>
      <c r="I1315" s="31"/>
      <c r="J1315" s="31"/>
      <c r="K1315" s="33"/>
      <c r="W1315">
        <f>IF($A2="","",COUNTIF('07_Pallet_Contents'!$A$2:$A$3000,$A2))</f>
        <v>0</v>
      </c>
      <c r="X1315">
        <f>IF($A2="","",SUMIF('07_Pallet_Contents'!$A$2:$A$3000,$A2,'07_Pallet_Contents'!$D$2:$D$3000))</f>
        <v>0</v>
      </c>
      <c r="Y1315">
        <f>IF($A2="","",SUMIF('07_Pallet_Contents'!$A$2:$A$3000,$A2,'07_Pallet_Contents'!$I$2:$I$3000))</f>
        <v>0</v>
      </c>
      <c r="Z1315" t="str">
        <f>IF($A2="","",IF(COUNTIF('07_Pallet_Contents'!$A$2:$A$3000,$A2)&gt;0,"Yes",""))</f>
        <v/>
      </c>
    </row>
    <row r="1316" spans="2:26">
      <c r="B1316" s="31"/>
      <c r="G1316" s="34"/>
      <c r="H1316" s="33" t="str">
        <f t="shared" si="28"/>
        <v/>
      </c>
      <c r="I1316" s="31"/>
      <c r="J1316" s="31"/>
      <c r="K1316" s="33"/>
      <c r="W1316">
        <f>IF($A2="","",COUNTIF('07_Pallet_Contents'!$A$2:$A$3000,$A2))</f>
        <v>0</v>
      </c>
      <c r="X1316">
        <f>IF($A2="","",SUMIF('07_Pallet_Contents'!$A$2:$A$3000,$A2,'07_Pallet_Contents'!$D$2:$D$3000))</f>
        <v>0</v>
      </c>
      <c r="Y1316">
        <f>IF($A2="","",SUMIF('07_Pallet_Contents'!$A$2:$A$3000,$A2,'07_Pallet_Contents'!$I$2:$I$3000))</f>
        <v>0</v>
      </c>
      <c r="Z1316" t="str">
        <f>IF($A2="","",IF(COUNTIF('07_Pallet_Contents'!$A$2:$A$3000,$A2)&gt;0,"Yes",""))</f>
        <v/>
      </c>
    </row>
    <row r="1317" spans="2:26">
      <c r="B1317" s="31"/>
      <c r="G1317" s="34"/>
      <c r="H1317" s="33" t="str">
        <f t="shared" si="28"/>
        <v/>
      </c>
      <c r="I1317" s="31"/>
      <c r="J1317" s="31"/>
      <c r="K1317" s="33"/>
      <c r="W1317">
        <f>IF($A2="","",COUNTIF('07_Pallet_Contents'!$A$2:$A$3000,$A2))</f>
        <v>0</v>
      </c>
      <c r="X1317">
        <f>IF($A2="","",SUMIF('07_Pallet_Contents'!$A$2:$A$3000,$A2,'07_Pallet_Contents'!$D$2:$D$3000))</f>
        <v>0</v>
      </c>
      <c r="Y1317">
        <f>IF($A2="","",SUMIF('07_Pallet_Contents'!$A$2:$A$3000,$A2,'07_Pallet_Contents'!$I$2:$I$3000))</f>
        <v>0</v>
      </c>
      <c r="Z1317" t="str">
        <f>IF($A2="","",IF(COUNTIF('07_Pallet_Contents'!$A$2:$A$3000,$A2)&gt;0,"Yes",""))</f>
        <v/>
      </c>
    </row>
    <row r="1318" spans="2:26">
      <c r="B1318" s="31"/>
      <c r="G1318" s="34"/>
      <c r="H1318" s="33" t="str">
        <f t="shared" si="28"/>
        <v/>
      </c>
      <c r="I1318" s="31"/>
      <c r="J1318" s="31"/>
      <c r="K1318" s="33"/>
      <c r="W1318">
        <f>IF($A2="","",COUNTIF('07_Pallet_Contents'!$A$2:$A$3000,$A2))</f>
        <v>0</v>
      </c>
      <c r="X1318">
        <f>IF($A2="","",SUMIF('07_Pallet_Contents'!$A$2:$A$3000,$A2,'07_Pallet_Contents'!$D$2:$D$3000))</f>
        <v>0</v>
      </c>
      <c r="Y1318">
        <f>IF($A2="","",SUMIF('07_Pallet_Contents'!$A$2:$A$3000,$A2,'07_Pallet_Contents'!$I$2:$I$3000))</f>
        <v>0</v>
      </c>
      <c r="Z1318" t="str">
        <f>IF($A2="","",IF(COUNTIF('07_Pallet_Contents'!$A$2:$A$3000,$A2)&gt;0,"Yes",""))</f>
        <v/>
      </c>
    </row>
    <row r="1319" spans="2:26">
      <c r="B1319" s="31"/>
      <c r="G1319" s="34"/>
      <c r="H1319" s="33" t="str">
        <f t="shared" si="28"/>
        <v/>
      </c>
      <c r="I1319" s="31"/>
      <c r="J1319" s="31"/>
      <c r="K1319" s="33"/>
      <c r="W1319">
        <f>IF($A2="","",COUNTIF('07_Pallet_Contents'!$A$2:$A$3000,$A2))</f>
        <v>0</v>
      </c>
      <c r="X1319">
        <f>IF($A2="","",SUMIF('07_Pallet_Contents'!$A$2:$A$3000,$A2,'07_Pallet_Contents'!$D$2:$D$3000))</f>
        <v>0</v>
      </c>
      <c r="Y1319">
        <f>IF($A2="","",SUMIF('07_Pallet_Contents'!$A$2:$A$3000,$A2,'07_Pallet_Contents'!$I$2:$I$3000))</f>
        <v>0</v>
      </c>
      <c r="Z1319" t="str">
        <f>IF($A2="","",IF(COUNTIF('07_Pallet_Contents'!$A$2:$A$3000,$A2)&gt;0,"Yes",""))</f>
        <v/>
      </c>
    </row>
    <row r="1320" spans="2:26">
      <c r="B1320" s="31"/>
      <c r="G1320" s="34"/>
      <c r="H1320" s="33" t="str">
        <f t="shared" si="28"/>
        <v/>
      </c>
      <c r="I1320" s="31"/>
      <c r="J1320" s="31"/>
      <c r="K1320" s="33"/>
      <c r="W1320">
        <f>IF($A2="","",COUNTIF('07_Pallet_Contents'!$A$2:$A$3000,$A2))</f>
        <v>0</v>
      </c>
      <c r="X1320">
        <f>IF($A2="","",SUMIF('07_Pallet_Contents'!$A$2:$A$3000,$A2,'07_Pallet_Contents'!$D$2:$D$3000))</f>
        <v>0</v>
      </c>
      <c r="Y1320">
        <f>IF($A2="","",SUMIF('07_Pallet_Contents'!$A$2:$A$3000,$A2,'07_Pallet_Contents'!$I$2:$I$3000))</f>
        <v>0</v>
      </c>
      <c r="Z1320" t="str">
        <f>IF($A2="","",IF(COUNTIF('07_Pallet_Contents'!$A$2:$A$3000,$A2)&gt;0,"Yes",""))</f>
        <v/>
      </c>
    </row>
    <row r="1321" spans="2:26">
      <c r="B1321" s="31"/>
      <c r="G1321" s="34"/>
      <c r="H1321" s="33" t="str">
        <f t="shared" si="28"/>
        <v/>
      </c>
      <c r="I1321" s="31"/>
      <c r="J1321" s="31"/>
      <c r="K1321" s="33"/>
      <c r="W1321">
        <f>IF($A2="","",COUNTIF('07_Pallet_Contents'!$A$2:$A$3000,$A2))</f>
        <v>0</v>
      </c>
      <c r="X1321">
        <f>IF($A2="","",SUMIF('07_Pallet_Contents'!$A$2:$A$3000,$A2,'07_Pallet_Contents'!$D$2:$D$3000))</f>
        <v>0</v>
      </c>
      <c r="Y1321">
        <f>IF($A2="","",SUMIF('07_Pallet_Contents'!$A$2:$A$3000,$A2,'07_Pallet_Contents'!$I$2:$I$3000))</f>
        <v>0</v>
      </c>
      <c r="Z1321" t="str">
        <f>IF($A2="","",IF(COUNTIF('07_Pallet_Contents'!$A$2:$A$3000,$A2)&gt;0,"Yes",""))</f>
        <v/>
      </c>
    </row>
    <row r="1322" spans="2:26">
      <c r="B1322" s="31"/>
      <c r="G1322" s="34"/>
      <c r="H1322" s="33" t="str">
        <f t="shared" si="28"/>
        <v/>
      </c>
      <c r="I1322" s="31"/>
      <c r="J1322" s="31"/>
      <c r="K1322" s="33"/>
      <c r="W1322">
        <f>IF($A2="","",COUNTIF('07_Pallet_Contents'!$A$2:$A$3000,$A2))</f>
        <v>0</v>
      </c>
      <c r="X1322">
        <f>IF($A2="","",SUMIF('07_Pallet_Contents'!$A$2:$A$3000,$A2,'07_Pallet_Contents'!$D$2:$D$3000))</f>
        <v>0</v>
      </c>
      <c r="Y1322">
        <f>IF($A2="","",SUMIF('07_Pallet_Contents'!$A$2:$A$3000,$A2,'07_Pallet_Contents'!$I$2:$I$3000))</f>
        <v>0</v>
      </c>
      <c r="Z1322" t="str">
        <f>IF($A2="","",IF(COUNTIF('07_Pallet_Contents'!$A$2:$A$3000,$A2)&gt;0,"Yes",""))</f>
        <v/>
      </c>
    </row>
    <row r="1323" spans="2:26">
      <c r="B1323" s="31"/>
      <c r="G1323" s="34"/>
      <c r="H1323" s="33" t="str">
        <f t="shared" si="28"/>
        <v/>
      </c>
      <c r="I1323" s="31"/>
      <c r="J1323" s="31"/>
      <c r="K1323" s="33"/>
      <c r="W1323">
        <f>IF($A2="","",COUNTIF('07_Pallet_Contents'!$A$2:$A$3000,$A2))</f>
        <v>0</v>
      </c>
      <c r="X1323">
        <f>IF($A2="","",SUMIF('07_Pallet_Contents'!$A$2:$A$3000,$A2,'07_Pallet_Contents'!$D$2:$D$3000))</f>
        <v>0</v>
      </c>
      <c r="Y1323">
        <f>IF($A2="","",SUMIF('07_Pallet_Contents'!$A$2:$A$3000,$A2,'07_Pallet_Contents'!$I$2:$I$3000))</f>
        <v>0</v>
      </c>
      <c r="Z1323" t="str">
        <f>IF($A2="","",IF(COUNTIF('07_Pallet_Contents'!$A$2:$A$3000,$A2)&gt;0,"Yes",""))</f>
        <v/>
      </c>
    </row>
    <row r="1324" spans="2:26">
      <c r="B1324" s="31"/>
      <c r="G1324" s="34"/>
      <c r="H1324" s="33" t="str">
        <f t="shared" si="28"/>
        <v/>
      </c>
      <c r="I1324" s="31"/>
      <c r="J1324" s="31"/>
      <c r="K1324" s="33"/>
      <c r="W1324">
        <f>IF($A2="","",COUNTIF('07_Pallet_Contents'!$A$2:$A$3000,$A2))</f>
        <v>0</v>
      </c>
      <c r="X1324">
        <f>IF($A2="","",SUMIF('07_Pallet_Contents'!$A$2:$A$3000,$A2,'07_Pallet_Contents'!$D$2:$D$3000))</f>
        <v>0</v>
      </c>
      <c r="Y1324">
        <f>IF($A2="","",SUMIF('07_Pallet_Contents'!$A$2:$A$3000,$A2,'07_Pallet_Contents'!$I$2:$I$3000))</f>
        <v>0</v>
      </c>
      <c r="Z1324" t="str">
        <f>IF($A2="","",IF(COUNTIF('07_Pallet_Contents'!$A$2:$A$3000,$A2)&gt;0,"Yes",""))</f>
        <v/>
      </c>
    </row>
    <row r="1325" spans="2:26">
      <c r="B1325" s="31"/>
      <c r="G1325" s="34"/>
      <c r="H1325" s="33" t="str">
        <f t="shared" si="28"/>
        <v/>
      </c>
      <c r="I1325" s="31"/>
      <c r="J1325" s="31"/>
      <c r="K1325" s="33"/>
      <c r="W1325">
        <f>IF($A2="","",COUNTIF('07_Pallet_Contents'!$A$2:$A$3000,$A2))</f>
        <v>0</v>
      </c>
      <c r="X1325">
        <f>IF($A2="","",SUMIF('07_Pallet_Contents'!$A$2:$A$3000,$A2,'07_Pallet_Contents'!$D$2:$D$3000))</f>
        <v>0</v>
      </c>
      <c r="Y1325">
        <f>IF($A2="","",SUMIF('07_Pallet_Contents'!$A$2:$A$3000,$A2,'07_Pallet_Contents'!$I$2:$I$3000))</f>
        <v>0</v>
      </c>
      <c r="Z1325" t="str">
        <f>IF($A2="","",IF(COUNTIF('07_Pallet_Contents'!$A$2:$A$3000,$A2)&gt;0,"Yes",""))</f>
        <v/>
      </c>
    </row>
    <row r="1326" spans="2:26">
      <c r="B1326" s="31"/>
      <c r="G1326" s="34"/>
      <c r="H1326" s="33" t="str">
        <f t="shared" si="28"/>
        <v/>
      </c>
      <c r="I1326" s="31"/>
      <c r="J1326" s="31"/>
      <c r="K1326" s="33"/>
      <c r="W1326">
        <f>IF($A2="","",COUNTIF('07_Pallet_Contents'!$A$2:$A$3000,$A2))</f>
        <v>0</v>
      </c>
      <c r="X1326">
        <f>IF($A2="","",SUMIF('07_Pallet_Contents'!$A$2:$A$3000,$A2,'07_Pallet_Contents'!$D$2:$D$3000))</f>
        <v>0</v>
      </c>
      <c r="Y1326">
        <f>IF($A2="","",SUMIF('07_Pallet_Contents'!$A$2:$A$3000,$A2,'07_Pallet_Contents'!$I$2:$I$3000))</f>
        <v>0</v>
      </c>
      <c r="Z1326" t="str">
        <f>IF($A2="","",IF(COUNTIF('07_Pallet_Contents'!$A$2:$A$3000,$A2)&gt;0,"Yes",""))</f>
        <v/>
      </c>
    </row>
    <row r="1327" spans="2:26">
      <c r="B1327" s="31"/>
      <c r="G1327" s="34"/>
      <c r="H1327" s="33" t="str">
        <f t="shared" si="28"/>
        <v/>
      </c>
      <c r="I1327" s="31"/>
      <c r="J1327" s="31"/>
      <c r="K1327" s="33"/>
      <c r="W1327">
        <f>IF($A2="","",COUNTIF('07_Pallet_Contents'!$A$2:$A$3000,$A2))</f>
        <v>0</v>
      </c>
      <c r="X1327">
        <f>IF($A2="","",SUMIF('07_Pallet_Contents'!$A$2:$A$3000,$A2,'07_Pallet_Contents'!$D$2:$D$3000))</f>
        <v>0</v>
      </c>
      <c r="Y1327">
        <f>IF($A2="","",SUMIF('07_Pallet_Contents'!$A$2:$A$3000,$A2,'07_Pallet_Contents'!$I$2:$I$3000))</f>
        <v>0</v>
      </c>
      <c r="Z1327" t="str">
        <f>IF($A2="","",IF(COUNTIF('07_Pallet_Contents'!$A$2:$A$3000,$A2)&gt;0,"Yes",""))</f>
        <v/>
      </c>
    </row>
    <row r="1328" spans="2:26">
      <c r="B1328" s="31"/>
      <c r="G1328" s="34"/>
      <c r="H1328" s="33" t="str">
        <f t="shared" si="28"/>
        <v/>
      </c>
      <c r="I1328" s="31"/>
      <c r="J1328" s="31"/>
      <c r="K1328" s="33"/>
      <c r="W1328">
        <f>IF($A2="","",COUNTIF('07_Pallet_Contents'!$A$2:$A$3000,$A2))</f>
        <v>0</v>
      </c>
      <c r="X1328">
        <f>IF($A2="","",SUMIF('07_Pallet_Contents'!$A$2:$A$3000,$A2,'07_Pallet_Contents'!$D$2:$D$3000))</f>
        <v>0</v>
      </c>
      <c r="Y1328">
        <f>IF($A2="","",SUMIF('07_Pallet_Contents'!$A$2:$A$3000,$A2,'07_Pallet_Contents'!$I$2:$I$3000))</f>
        <v>0</v>
      </c>
      <c r="Z1328" t="str">
        <f>IF($A2="","",IF(COUNTIF('07_Pallet_Contents'!$A$2:$A$3000,$A2)&gt;0,"Yes",""))</f>
        <v/>
      </c>
    </row>
    <row r="1329" spans="2:26">
      <c r="B1329" s="31"/>
      <c r="G1329" s="34"/>
      <c r="H1329" s="33" t="str">
        <f t="shared" si="28"/>
        <v/>
      </c>
      <c r="I1329" s="31"/>
      <c r="J1329" s="31"/>
      <c r="K1329" s="33"/>
      <c r="W1329">
        <f>IF($A2="","",COUNTIF('07_Pallet_Contents'!$A$2:$A$3000,$A2))</f>
        <v>0</v>
      </c>
      <c r="X1329">
        <f>IF($A2="","",SUMIF('07_Pallet_Contents'!$A$2:$A$3000,$A2,'07_Pallet_Contents'!$D$2:$D$3000))</f>
        <v>0</v>
      </c>
      <c r="Y1329">
        <f>IF($A2="","",SUMIF('07_Pallet_Contents'!$A$2:$A$3000,$A2,'07_Pallet_Contents'!$I$2:$I$3000))</f>
        <v>0</v>
      </c>
      <c r="Z1329" t="str">
        <f>IF($A2="","",IF(COUNTIF('07_Pallet_Contents'!$A$2:$A$3000,$A2)&gt;0,"Yes",""))</f>
        <v/>
      </c>
    </row>
    <row r="1330" spans="2:26">
      <c r="B1330" s="31"/>
      <c r="G1330" s="34"/>
      <c r="H1330" s="33" t="str">
        <f t="shared" si="28"/>
        <v/>
      </c>
      <c r="I1330" s="31"/>
      <c r="J1330" s="31"/>
      <c r="K1330" s="33"/>
      <c r="W1330">
        <f>IF($A2="","",COUNTIF('07_Pallet_Contents'!$A$2:$A$3000,$A2))</f>
        <v>0</v>
      </c>
      <c r="X1330">
        <f>IF($A2="","",SUMIF('07_Pallet_Contents'!$A$2:$A$3000,$A2,'07_Pallet_Contents'!$D$2:$D$3000))</f>
        <v>0</v>
      </c>
      <c r="Y1330">
        <f>IF($A2="","",SUMIF('07_Pallet_Contents'!$A$2:$A$3000,$A2,'07_Pallet_Contents'!$I$2:$I$3000))</f>
        <v>0</v>
      </c>
      <c r="Z1330" t="str">
        <f>IF($A2="","",IF(COUNTIF('07_Pallet_Contents'!$A$2:$A$3000,$A2)&gt;0,"Yes",""))</f>
        <v/>
      </c>
    </row>
    <row r="1331" spans="2:26">
      <c r="B1331" s="31"/>
      <c r="G1331" s="34"/>
      <c r="H1331" s="33" t="str">
        <f t="shared" si="28"/>
        <v/>
      </c>
      <c r="I1331" s="31"/>
      <c r="J1331" s="31"/>
      <c r="K1331" s="33"/>
      <c r="W1331">
        <f>IF($A2="","",COUNTIF('07_Pallet_Contents'!$A$2:$A$3000,$A2))</f>
        <v>0</v>
      </c>
      <c r="X1331">
        <f>IF($A2="","",SUMIF('07_Pallet_Contents'!$A$2:$A$3000,$A2,'07_Pallet_Contents'!$D$2:$D$3000))</f>
        <v>0</v>
      </c>
      <c r="Y1331">
        <f>IF($A2="","",SUMIF('07_Pallet_Contents'!$A$2:$A$3000,$A2,'07_Pallet_Contents'!$I$2:$I$3000))</f>
        <v>0</v>
      </c>
      <c r="Z1331" t="str">
        <f>IF($A2="","",IF(COUNTIF('07_Pallet_Contents'!$A$2:$A$3000,$A2)&gt;0,"Yes",""))</f>
        <v/>
      </c>
    </row>
    <row r="1332" spans="2:26">
      <c r="B1332" s="31"/>
      <c r="G1332" s="34"/>
      <c r="H1332" s="33" t="str">
        <f t="shared" si="28"/>
        <v/>
      </c>
      <c r="I1332" s="31"/>
      <c r="J1332" s="31"/>
      <c r="K1332" s="33"/>
      <c r="W1332">
        <f>IF($A2="","",COUNTIF('07_Pallet_Contents'!$A$2:$A$3000,$A2))</f>
        <v>0</v>
      </c>
      <c r="X1332">
        <f>IF($A2="","",SUMIF('07_Pallet_Contents'!$A$2:$A$3000,$A2,'07_Pallet_Contents'!$D$2:$D$3000))</f>
        <v>0</v>
      </c>
      <c r="Y1332">
        <f>IF($A2="","",SUMIF('07_Pallet_Contents'!$A$2:$A$3000,$A2,'07_Pallet_Contents'!$I$2:$I$3000))</f>
        <v>0</v>
      </c>
      <c r="Z1332" t="str">
        <f>IF($A2="","",IF(COUNTIF('07_Pallet_Contents'!$A$2:$A$3000,$A2)&gt;0,"Yes",""))</f>
        <v/>
      </c>
    </row>
    <row r="1333" spans="2:26">
      <c r="B1333" s="31"/>
      <c r="G1333" s="34"/>
      <c r="H1333" s="33" t="str">
        <f t="shared" si="28"/>
        <v/>
      </c>
      <c r="I1333" s="31"/>
      <c r="J1333" s="31"/>
      <c r="K1333" s="33"/>
      <c r="W1333">
        <f>IF($A2="","",COUNTIF('07_Pallet_Contents'!$A$2:$A$3000,$A2))</f>
        <v>0</v>
      </c>
      <c r="X1333">
        <f>IF($A2="","",SUMIF('07_Pallet_Contents'!$A$2:$A$3000,$A2,'07_Pallet_Contents'!$D$2:$D$3000))</f>
        <v>0</v>
      </c>
      <c r="Y1333">
        <f>IF($A2="","",SUMIF('07_Pallet_Contents'!$A$2:$A$3000,$A2,'07_Pallet_Contents'!$I$2:$I$3000))</f>
        <v>0</v>
      </c>
      <c r="Z1333" t="str">
        <f>IF($A2="","",IF(COUNTIF('07_Pallet_Contents'!$A$2:$A$3000,$A2)&gt;0,"Yes",""))</f>
        <v/>
      </c>
    </row>
    <row r="1334" spans="2:26">
      <c r="B1334" s="31"/>
      <c r="G1334" s="34"/>
      <c r="H1334" s="33" t="str">
        <f t="shared" si="28"/>
        <v/>
      </c>
      <c r="I1334" s="31"/>
      <c r="J1334" s="31"/>
      <c r="K1334" s="33"/>
      <c r="W1334">
        <f>IF($A2="","",COUNTIF('07_Pallet_Contents'!$A$2:$A$3000,$A2))</f>
        <v>0</v>
      </c>
      <c r="X1334">
        <f>IF($A2="","",SUMIF('07_Pallet_Contents'!$A$2:$A$3000,$A2,'07_Pallet_Contents'!$D$2:$D$3000))</f>
        <v>0</v>
      </c>
      <c r="Y1334">
        <f>IF($A2="","",SUMIF('07_Pallet_Contents'!$A$2:$A$3000,$A2,'07_Pallet_Contents'!$I$2:$I$3000))</f>
        <v>0</v>
      </c>
      <c r="Z1334" t="str">
        <f>IF($A2="","",IF(COUNTIF('07_Pallet_Contents'!$A$2:$A$3000,$A2)&gt;0,"Yes",""))</f>
        <v/>
      </c>
    </row>
    <row r="1335" spans="2:26">
      <c r="B1335" s="31"/>
      <c r="G1335" s="34"/>
      <c r="H1335" s="33" t="str">
        <f t="shared" si="28"/>
        <v/>
      </c>
      <c r="I1335" s="31"/>
      <c r="J1335" s="31"/>
      <c r="K1335" s="33"/>
      <c r="W1335">
        <f>IF($A2="","",COUNTIF('07_Pallet_Contents'!$A$2:$A$3000,$A2))</f>
        <v>0</v>
      </c>
      <c r="X1335">
        <f>IF($A2="","",SUMIF('07_Pallet_Contents'!$A$2:$A$3000,$A2,'07_Pallet_Contents'!$D$2:$D$3000))</f>
        <v>0</v>
      </c>
      <c r="Y1335">
        <f>IF($A2="","",SUMIF('07_Pallet_Contents'!$A$2:$A$3000,$A2,'07_Pallet_Contents'!$I$2:$I$3000))</f>
        <v>0</v>
      </c>
      <c r="Z1335" t="str">
        <f>IF($A2="","",IF(COUNTIF('07_Pallet_Contents'!$A$2:$A$3000,$A2)&gt;0,"Yes",""))</f>
        <v/>
      </c>
    </row>
    <row r="1336" spans="2:26">
      <c r="B1336" s="31"/>
      <c r="G1336" s="34"/>
      <c r="H1336" s="33" t="str">
        <f t="shared" si="28"/>
        <v/>
      </c>
      <c r="I1336" s="31"/>
      <c r="J1336" s="31"/>
      <c r="K1336" s="33"/>
      <c r="W1336">
        <f>IF($A2="","",COUNTIF('07_Pallet_Contents'!$A$2:$A$3000,$A2))</f>
        <v>0</v>
      </c>
      <c r="X1336">
        <f>IF($A2="","",SUMIF('07_Pallet_Contents'!$A$2:$A$3000,$A2,'07_Pallet_Contents'!$D$2:$D$3000))</f>
        <v>0</v>
      </c>
      <c r="Y1336">
        <f>IF($A2="","",SUMIF('07_Pallet_Contents'!$A$2:$A$3000,$A2,'07_Pallet_Contents'!$I$2:$I$3000))</f>
        <v>0</v>
      </c>
      <c r="Z1336" t="str">
        <f>IF($A2="","",IF(COUNTIF('07_Pallet_Contents'!$A$2:$A$3000,$A2)&gt;0,"Yes",""))</f>
        <v/>
      </c>
    </row>
    <row r="1337" spans="2:26">
      <c r="B1337" s="31"/>
      <c r="G1337" s="34"/>
      <c r="H1337" s="33" t="str">
        <f t="shared" si="28"/>
        <v/>
      </c>
      <c r="I1337" s="31"/>
      <c r="J1337" s="31"/>
      <c r="K1337" s="33"/>
      <c r="W1337">
        <f>IF($A2="","",COUNTIF('07_Pallet_Contents'!$A$2:$A$3000,$A2))</f>
        <v>0</v>
      </c>
      <c r="X1337">
        <f>IF($A2="","",SUMIF('07_Pallet_Contents'!$A$2:$A$3000,$A2,'07_Pallet_Contents'!$D$2:$D$3000))</f>
        <v>0</v>
      </c>
      <c r="Y1337">
        <f>IF($A2="","",SUMIF('07_Pallet_Contents'!$A$2:$A$3000,$A2,'07_Pallet_Contents'!$I$2:$I$3000))</f>
        <v>0</v>
      </c>
      <c r="Z1337" t="str">
        <f>IF($A2="","",IF(COUNTIF('07_Pallet_Contents'!$A$2:$A$3000,$A2)&gt;0,"Yes",""))</f>
        <v/>
      </c>
    </row>
    <row r="1338" spans="2:26">
      <c r="B1338" s="31"/>
      <c r="G1338" s="34"/>
      <c r="H1338" s="33" t="str">
        <f t="shared" si="28"/>
        <v/>
      </c>
      <c r="I1338" s="31"/>
      <c r="J1338" s="31"/>
      <c r="K1338" s="33"/>
      <c r="W1338">
        <f>IF($A2="","",COUNTIF('07_Pallet_Contents'!$A$2:$A$3000,$A2))</f>
        <v>0</v>
      </c>
      <c r="X1338">
        <f>IF($A2="","",SUMIF('07_Pallet_Contents'!$A$2:$A$3000,$A2,'07_Pallet_Contents'!$D$2:$D$3000))</f>
        <v>0</v>
      </c>
      <c r="Y1338">
        <f>IF($A2="","",SUMIF('07_Pallet_Contents'!$A$2:$A$3000,$A2,'07_Pallet_Contents'!$I$2:$I$3000))</f>
        <v>0</v>
      </c>
      <c r="Z1338" t="str">
        <f>IF($A2="","",IF(COUNTIF('07_Pallet_Contents'!$A$2:$A$3000,$A2)&gt;0,"Yes",""))</f>
        <v/>
      </c>
    </row>
    <row r="1339" spans="2:26">
      <c r="B1339" s="31"/>
      <c r="G1339" s="34"/>
      <c r="H1339" s="33" t="str">
        <f t="shared" si="28"/>
        <v/>
      </c>
      <c r="I1339" s="31"/>
      <c r="J1339" s="31"/>
      <c r="K1339" s="33"/>
      <c r="W1339">
        <f>IF($A2="","",COUNTIF('07_Pallet_Contents'!$A$2:$A$3000,$A2))</f>
        <v>0</v>
      </c>
      <c r="X1339">
        <f>IF($A2="","",SUMIF('07_Pallet_Contents'!$A$2:$A$3000,$A2,'07_Pallet_Contents'!$D$2:$D$3000))</f>
        <v>0</v>
      </c>
      <c r="Y1339">
        <f>IF($A2="","",SUMIF('07_Pallet_Contents'!$A$2:$A$3000,$A2,'07_Pallet_Contents'!$I$2:$I$3000))</f>
        <v>0</v>
      </c>
      <c r="Z1339" t="str">
        <f>IF($A2="","",IF(COUNTIF('07_Pallet_Contents'!$A$2:$A$3000,$A2)&gt;0,"Yes",""))</f>
        <v/>
      </c>
    </row>
    <row r="1340" spans="2:26">
      <c r="B1340" s="31"/>
      <c r="G1340" s="34"/>
      <c r="H1340" s="33" t="str">
        <f t="shared" si="28"/>
        <v/>
      </c>
      <c r="I1340" s="31"/>
      <c r="J1340" s="31"/>
      <c r="K1340" s="33"/>
      <c r="W1340">
        <f>IF($A2="","",COUNTIF('07_Pallet_Contents'!$A$2:$A$3000,$A2))</f>
        <v>0</v>
      </c>
      <c r="X1340">
        <f>IF($A2="","",SUMIF('07_Pallet_Contents'!$A$2:$A$3000,$A2,'07_Pallet_Contents'!$D$2:$D$3000))</f>
        <v>0</v>
      </c>
      <c r="Y1340">
        <f>IF($A2="","",SUMIF('07_Pallet_Contents'!$A$2:$A$3000,$A2,'07_Pallet_Contents'!$I$2:$I$3000))</f>
        <v>0</v>
      </c>
      <c r="Z1340" t="str">
        <f>IF($A2="","",IF(COUNTIF('07_Pallet_Contents'!$A$2:$A$3000,$A2)&gt;0,"Yes",""))</f>
        <v/>
      </c>
    </row>
    <row r="1341" spans="2:26">
      <c r="B1341" s="31"/>
      <c r="G1341" s="34"/>
      <c r="H1341" s="33" t="str">
        <f t="shared" si="28"/>
        <v/>
      </c>
      <c r="I1341" s="31"/>
      <c r="J1341" s="31"/>
      <c r="K1341" s="33"/>
      <c r="W1341">
        <f>IF($A2="","",COUNTIF('07_Pallet_Contents'!$A$2:$A$3000,$A2))</f>
        <v>0</v>
      </c>
      <c r="X1341">
        <f>IF($A2="","",SUMIF('07_Pallet_Contents'!$A$2:$A$3000,$A2,'07_Pallet_Contents'!$D$2:$D$3000))</f>
        <v>0</v>
      </c>
      <c r="Y1341">
        <f>IF($A2="","",SUMIF('07_Pallet_Contents'!$A$2:$A$3000,$A2,'07_Pallet_Contents'!$I$2:$I$3000))</f>
        <v>0</v>
      </c>
      <c r="Z1341" t="str">
        <f>IF($A2="","",IF(COUNTIF('07_Pallet_Contents'!$A$2:$A$3000,$A2)&gt;0,"Yes",""))</f>
        <v/>
      </c>
    </row>
    <row r="1342" spans="2:26">
      <c r="B1342" s="31"/>
      <c r="G1342" s="34"/>
      <c r="H1342" s="33" t="str">
        <f t="shared" si="28"/>
        <v/>
      </c>
      <c r="I1342" s="31"/>
      <c r="J1342" s="31"/>
      <c r="K1342" s="33"/>
      <c r="W1342">
        <f>IF($A2="","",COUNTIF('07_Pallet_Contents'!$A$2:$A$3000,$A2))</f>
        <v>0</v>
      </c>
      <c r="X1342">
        <f>IF($A2="","",SUMIF('07_Pallet_Contents'!$A$2:$A$3000,$A2,'07_Pallet_Contents'!$D$2:$D$3000))</f>
        <v>0</v>
      </c>
      <c r="Y1342">
        <f>IF($A2="","",SUMIF('07_Pallet_Contents'!$A$2:$A$3000,$A2,'07_Pallet_Contents'!$I$2:$I$3000))</f>
        <v>0</v>
      </c>
      <c r="Z1342" t="str">
        <f>IF($A2="","",IF(COUNTIF('07_Pallet_Contents'!$A$2:$A$3000,$A2)&gt;0,"Yes",""))</f>
        <v/>
      </c>
    </row>
    <row r="1343" spans="2:26">
      <c r="B1343" s="31"/>
      <c r="G1343" s="34"/>
      <c r="H1343" s="33" t="str">
        <f t="shared" si="28"/>
        <v/>
      </c>
      <c r="I1343" s="31"/>
      <c r="J1343" s="31"/>
      <c r="K1343" s="33"/>
      <c r="W1343">
        <f>IF($A2="","",COUNTIF('07_Pallet_Contents'!$A$2:$A$3000,$A2))</f>
        <v>0</v>
      </c>
      <c r="X1343">
        <f>IF($A2="","",SUMIF('07_Pallet_Contents'!$A$2:$A$3000,$A2,'07_Pallet_Contents'!$D$2:$D$3000))</f>
        <v>0</v>
      </c>
      <c r="Y1343">
        <f>IF($A2="","",SUMIF('07_Pallet_Contents'!$A$2:$A$3000,$A2,'07_Pallet_Contents'!$I$2:$I$3000))</f>
        <v>0</v>
      </c>
      <c r="Z1343" t="str">
        <f>IF($A2="","",IF(COUNTIF('07_Pallet_Contents'!$A$2:$A$3000,$A2)&gt;0,"Yes",""))</f>
        <v/>
      </c>
    </row>
    <row r="1344" spans="2:26">
      <c r="B1344" s="31"/>
      <c r="G1344" s="34"/>
      <c r="H1344" s="33" t="str">
        <f t="shared" si="28"/>
        <v/>
      </c>
      <c r="I1344" s="31"/>
      <c r="J1344" s="31"/>
      <c r="K1344" s="33"/>
      <c r="W1344">
        <f>IF($A2="","",COUNTIF('07_Pallet_Contents'!$A$2:$A$3000,$A2))</f>
        <v>0</v>
      </c>
      <c r="X1344">
        <f>IF($A2="","",SUMIF('07_Pallet_Contents'!$A$2:$A$3000,$A2,'07_Pallet_Contents'!$D$2:$D$3000))</f>
        <v>0</v>
      </c>
      <c r="Y1344">
        <f>IF($A2="","",SUMIF('07_Pallet_Contents'!$A$2:$A$3000,$A2,'07_Pallet_Contents'!$I$2:$I$3000))</f>
        <v>0</v>
      </c>
      <c r="Z1344" t="str">
        <f>IF($A2="","",IF(COUNTIF('07_Pallet_Contents'!$A$2:$A$3000,$A2)&gt;0,"Yes",""))</f>
        <v/>
      </c>
    </row>
    <row r="1345" spans="2:26">
      <c r="B1345" s="31"/>
      <c r="G1345" s="34"/>
      <c r="H1345" s="33" t="str">
        <f t="shared" si="28"/>
        <v/>
      </c>
      <c r="I1345" s="31"/>
      <c r="J1345" s="31"/>
      <c r="K1345" s="33"/>
      <c r="W1345">
        <f>IF($A2="","",COUNTIF('07_Pallet_Contents'!$A$2:$A$3000,$A2))</f>
        <v>0</v>
      </c>
      <c r="X1345">
        <f>IF($A2="","",SUMIF('07_Pallet_Contents'!$A$2:$A$3000,$A2,'07_Pallet_Contents'!$D$2:$D$3000))</f>
        <v>0</v>
      </c>
      <c r="Y1345">
        <f>IF($A2="","",SUMIF('07_Pallet_Contents'!$A$2:$A$3000,$A2,'07_Pallet_Contents'!$I$2:$I$3000))</f>
        <v>0</v>
      </c>
      <c r="Z1345" t="str">
        <f>IF($A2="","",IF(COUNTIF('07_Pallet_Contents'!$A$2:$A$3000,$A2)&gt;0,"Yes",""))</f>
        <v/>
      </c>
    </row>
    <row r="1346" spans="2:26">
      <c r="B1346" s="31"/>
      <c r="G1346" s="34"/>
      <c r="H1346" s="33" t="str">
        <f t="shared" ref="H1346:H1409" si="29">IF(AND($F1346="TEMP",$G1346&gt;0,$M1346&lt;&gt;""),$M1346+$G1346,"")</f>
        <v/>
      </c>
      <c r="I1346" s="31"/>
      <c r="J1346" s="31"/>
      <c r="K1346" s="33"/>
      <c r="W1346">
        <f>IF($A2="","",COUNTIF('07_Pallet_Contents'!$A$2:$A$3000,$A2))</f>
        <v>0</v>
      </c>
      <c r="X1346">
        <f>IF($A2="","",SUMIF('07_Pallet_Contents'!$A$2:$A$3000,$A2,'07_Pallet_Contents'!$D$2:$D$3000))</f>
        <v>0</v>
      </c>
      <c r="Y1346">
        <f>IF($A2="","",SUMIF('07_Pallet_Contents'!$A$2:$A$3000,$A2,'07_Pallet_Contents'!$I$2:$I$3000))</f>
        <v>0</v>
      </c>
      <c r="Z1346" t="str">
        <f>IF($A2="","",IF(COUNTIF('07_Pallet_Contents'!$A$2:$A$3000,$A2)&gt;0,"Yes",""))</f>
        <v/>
      </c>
    </row>
    <row r="1347" spans="2:26">
      <c r="B1347" s="31"/>
      <c r="G1347" s="34"/>
      <c r="H1347" s="33" t="str">
        <f t="shared" si="29"/>
        <v/>
      </c>
      <c r="I1347" s="31"/>
      <c r="J1347" s="31"/>
      <c r="K1347" s="33"/>
      <c r="W1347">
        <f>IF($A2="","",COUNTIF('07_Pallet_Contents'!$A$2:$A$3000,$A2))</f>
        <v>0</v>
      </c>
      <c r="X1347">
        <f>IF($A2="","",SUMIF('07_Pallet_Contents'!$A$2:$A$3000,$A2,'07_Pallet_Contents'!$D$2:$D$3000))</f>
        <v>0</v>
      </c>
      <c r="Y1347">
        <f>IF($A2="","",SUMIF('07_Pallet_Contents'!$A$2:$A$3000,$A2,'07_Pallet_Contents'!$I$2:$I$3000))</f>
        <v>0</v>
      </c>
      <c r="Z1347" t="str">
        <f>IF($A2="","",IF(COUNTIF('07_Pallet_Contents'!$A$2:$A$3000,$A2)&gt;0,"Yes",""))</f>
        <v/>
      </c>
    </row>
    <row r="1348" spans="2:26">
      <c r="B1348" s="31"/>
      <c r="G1348" s="34"/>
      <c r="H1348" s="33" t="str">
        <f t="shared" si="29"/>
        <v/>
      </c>
      <c r="I1348" s="31"/>
      <c r="J1348" s="31"/>
      <c r="K1348" s="33"/>
      <c r="W1348">
        <f>IF($A2="","",COUNTIF('07_Pallet_Contents'!$A$2:$A$3000,$A2))</f>
        <v>0</v>
      </c>
      <c r="X1348">
        <f>IF($A2="","",SUMIF('07_Pallet_Contents'!$A$2:$A$3000,$A2,'07_Pallet_Contents'!$D$2:$D$3000))</f>
        <v>0</v>
      </c>
      <c r="Y1348">
        <f>IF($A2="","",SUMIF('07_Pallet_Contents'!$A$2:$A$3000,$A2,'07_Pallet_Contents'!$I$2:$I$3000))</f>
        <v>0</v>
      </c>
      <c r="Z1348" t="str">
        <f>IF($A2="","",IF(COUNTIF('07_Pallet_Contents'!$A$2:$A$3000,$A2)&gt;0,"Yes",""))</f>
        <v/>
      </c>
    </row>
    <row r="1349" spans="2:26">
      <c r="B1349" s="31"/>
      <c r="G1349" s="34"/>
      <c r="H1349" s="33" t="str">
        <f t="shared" si="29"/>
        <v/>
      </c>
      <c r="I1349" s="31"/>
      <c r="J1349" s="31"/>
      <c r="K1349" s="33"/>
      <c r="W1349">
        <f>IF($A2="","",COUNTIF('07_Pallet_Contents'!$A$2:$A$3000,$A2))</f>
        <v>0</v>
      </c>
      <c r="X1349">
        <f>IF($A2="","",SUMIF('07_Pallet_Contents'!$A$2:$A$3000,$A2,'07_Pallet_Contents'!$D$2:$D$3000))</f>
        <v>0</v>
      </c>
      <c r="Y1349">
        <f>IF($A2="","",SUMIF('07_Pallet_Contents'!$A$2:$A$3000,$A2,'07_Pallet_Contents'!$I$2:$I$3000))</f>
        <v>0</v>
      </c>
      <c r="Z1349" t="str">
        <f>IF($A2="","",IF(COUNTIF('07_Pallet_Contents'!$A$2:$A$3000,$A2)&gt;0,"Yes",""))</f>
        <v/>
      </c>
    </row>
    <row r="1350" spans="2:26">
      <c r="B1350" s="31"/>
      <c r="G1350" s="34"/>
      <c r="H1350" s="33" t="str">
        <f t="shared" si="29"/>
        <v/>
      </c>
      <c r="I1350" s="31"/>
      <c r="J1350" s="31"/>
      <c r="K1350" s="33"/>
      <c r="W1350">
        <f>IF($A2="","",COUNTIF('07_Pallet_Contents'!$A$2:$A$3000,$A2))</f>
        <v>0</v>
      </c>
      <c r="X1350">
        <f>IF($A2="","",SUMIF('07_Pallet_Contents'!$A$2:$A$3000,$A2,'07_Pallet_Contents'!$D$2:$D$3000))</f>
        <v>0</v>
      </c>
      <c r="Y1350">
        <f>IF($A2="","",SUMIF('07_Pallet_Contents'!$A$2:$A$3000,$A2,'07_Pallet_Contents'!$I$2:$I$3000))</f>
        <v>0</v>
      </c>
      <c r="Z1350" t="str">
        <f>IF($A2="","",IF(COUNTIF('07_Pallet_Contents'!$A$2:$A$3000,$A2)&gt;0,"Yes",""))</f>
        <v/>
      </c>
    </row>
    <row r="1351" spans="2:26">
      <c r="B1351" s="31"/>
      <c r="G1351" s="34"/>
      <c r="H1351" s="33" t="str">
        <f t="shared" si="29"/>
        <v/>
      </c>
      <c r="I1351" s="31"/>
      <c r="J1351" s="31"/>
      <c r="K1351" s="33"/>
      <c r="W1351">
        <f>IF($A2="","",COUNTIF('07_Pallet_Contents'!$A$2:$A$3000,$A2))</f>
        <v>0</v>
      </c>
      <c r="X1351">
        <f>IF($A2="","",SUMIF('07_Pallet_Contents'!$A$2:$A$3000,$A2,'07_Pallet_Contents'!$D$2:$D$3000))</f>
        <v>0</v>
      </c>
      <c r="Y1351">
        <f>IF($A2="","",SUMIF('07_Pallet_Contents'!$A$2:$A$3000,$A2,'07_Pallet_Contents'!$I$2:$I$3000))</f>
        <v>0</v>
      </c>
      <c r="Z1351" t="str">
        <f>IF($A2="","",IF(COUNTIF('07_Pallet_Contents'!$A$2:$A$3000,$A2)&gt;0,"Yes",""))</f>
        <v/>
      </c>
    </row>
    <row r="1352" spans="2:26">
      <c r="B1352" s="31"/>
      <c r="G1352" s="34"/>
      <c r="H1352" s="33" t="str">
        <f t="shared" si="29"/>
        <v/>
      </c>
      <c r="I1352" s="31"/>
      <c r="J1352" s="31"/>
      <c r="K1352" s="33"/>
      <c r="W1352">
        <f>IF($A2="","",COUNTIF('07_Pallet_Contents'!$A$2:$A$3000,$A2))</f>
        <v>0</v>
      </c>
      <c r="X1352">
        <f>IF($A2="","",SUMIF('07_Pallet_Contents'!$A$2:$A$3000,$A2,'07_Pallet_Contents'!$D$2:$D$3000))</f>
        <v>0</v>
      </c>
      <c r="Y1352">
        <f>IF($A2="","",SUMIF('07_Pallet_Contents'!$A$2:$A$3000,$A2,'07_Pallet_Contents'!$I$2:$I$3000))</f>
        <v>0</v>
      </c>
      <c r="Z1352" t="str">
        <f>IF($A2="","",IF(COUNTIF('07_Pallet_Contents'!$A$2:$A$3000,$A2)&gt;0,"Yes",""))</f>
        <v/>
      </c>
    </row>
    <row r="1353" spans="2:26">
      <c r="B1353" s="31"/>
      <c r="G1353" s="34"/>
      <c r="H1353" s="33" t="str">
        <f t="shared" si="29"/>
        <v/>
      </c>
      <c r="I1353" s="31"/>
      <c r="J1353" s="31"/>
      <c r="K1353" s="33"/>
      <c r="W1353">
        <f>IF($A2="","",COUNTIF('07_Pallet_Contents'!$A$2:$A$3000,$A2))</f>
        <v>0</v>
      </c>
      <c r="X1353">
        <f>IF($A2="","",SUMIF('07_Pallet_Contents'!$A$2:$A$3000,$A2,'07_Pallet_Contents'!$D$2:$D$3000))</f>
        <v>0</v>
      </c>
      <c r="Y1353">
        <f>IF($A2="","",SUMIF('07_Pallet_Contents'!$A$2:$A$3000,$A2,'07_Pallet_Contents'!$I$2:$I$3000))</f>
        <v>0</v>
      </c>
      <c r="Z1353" t="str">
        <f>IF($A2="","",IF(COUNTIF('07_Pallet_Contents'!$A$2:$A$3000,$A2)&gt;0,"Yes",""))</f>
        <v/>
      </c>
    </row>
    <row r="1354" spans="2:26">
      <c r="B1354" s="31"/>
      <c r="G1354" s="34"/>
      <c r="H1354" s="33" t="str">
        <f t="shared" si="29"/>
        <v/>
      </c>
      <c r="I1354" s="31"/>
      <c r="J1354" s="31"/>
      <c r="K1354" s="33"/>
      <c r="W1354">
        <f>IF($A2="","",COUNTIF('07_Pallet_Contents'!$A$2:$A$3000,$A2))</f>
        <v>0</v>
      </c>
      <c r="X1354">
        <f>IF($A2="","",SUMIF('07_Pallet_Contents'!$A$2:$A$3000,$A2,'07_Pallet_Contents'!$D$2:$D$3000))</f>
        <v>0</v>
      </c>
      <c r="Y1354">
        <f>IF($A2="","",SUMIF('07_Pallet_Contents'!$A$2:$A$3000,$A2,'07_Pallet_Contents'!$I$2:$I$3000))</f>
        <v>0</v>
      </c>
      <c r="Z1354" t="str">
        <f>IF($A2="","",IF(COUNTIF('07_Pallet_Contents'!$A$2:$A$3000,$A2)&gt;0,"Yes",""))</f>
        <v/>
      </c>
    </row>
    <row r="1355" spans="2:26">
      <c r="B1355" s="31"/>
      <c r="G1355" s="34"/>
      <c r="H1355" s="33" t="str">
        <f t="shared" si="29"/>
        <v/>
      </c>
      <c r="I1355" s="31"/>
      <c r="J1355" s="31"/>
      <c r="K1355" s="33"/>
      <c r="W1355">
        <f>IF($A2="","",COUNTIF('07_Pallet_Contents'!$A$2:$A$3000,$A2))</f>
        <v>0</v>
      </c>
      <c r="X1355">
        <f>IF($A2="","",SUMIF('07_Pallet_Contents'!$A$2:$A$3000,$A2,'07_Pallet_Contents'!$D$2:$D$3000))</f>
        <v>0</v>
      </c>
      <c r="Y1355">
        <f>IF($A2="","",SUMIF('07_Pallet_Contents'!$A$2:$A$3000,$A2,'07_Pallet_Contents'!$I$2:$I$3000))</f>
        <v>0</v>
      </c>
      <c r="Z1355" t="str">
        <f>IF($A2="","",IF(COUNTIF('07_Pallet_Contents'!$A$2:$A$3000,$A2)&gt;0,"Yes",""))</f>
        <v/>
      </c>
    </row>
    <row r="1356" spans="2:26">
      <c r="B1356" s="31"/>
      <c r="G1356" s="34"/>
      <c r="H1356" s="33" t="str">
        <f t="shared" si="29"/>
        <v/>
      </c>
      <c r="I1356" s="31"/>
      <c r="J1356" s="31"/>
      <c r="K1356" s="33"/>
      <c r="W1356">
        <f>IF($A2="","",COUNTIF('07_Pallet_Contents'!$A$2:$A$3000,$A2))</f>
        <v>0</v>
      </c>
      <c r="X1356">
        <f>IF($A2="","",SUMIF('07_Pallet_Contents'!$A$2:$A$3000,$A2,'07_Pallet_Contents'!$D$2:$D$3000))</f>
        <v>0</v>
      </c>
      <c r="Y1356">
        <f>IF($A2="","",SUMIF('07_Pallet_Contents'!$A$2:$A$3000,$A2,'07_Pallet_Contents'!$I$2:$I$3000))</f>
        <v>0</v>
      </c>
      <c r="Z1356" t="str">
        <f>IF($A2="","",IF(COUNTIF('07_Pallet_Contents'!$A$2:$A$3000,$A2)&gt;0,"Yes",""))</f>
        <v/>
      </c>
    </row>
    <row r="1357" spans="2:26">
      <c r="B1357" s="31"/>
      <c r="G1357" s="34"/>
      <c r="H1357" s="33" t="str">
        <f t="shared" si="29"/>
        <v/>
      </c>
      <c r="I1357" s="31"/>
      <c r="J1357" s="31"/>
      <c r="K1357" s="33"/>
      <c r="W1357">
        <f>IF($A2="","",COUNTIF('07_Pallet_Contents'!$A$2:$A$3000,$A2))</f>
        <v>0</v>
      </c>
      <c r="X1357">
        <f>IF($A2="","",SUMIF('07_Pallet_Contents'!$A$2:$A$3000,$A2,'07_Pallet_Contents'!$D$2:$D$3000))</f>
        <v>0</v>
      </c>
      <c r="Y1357">
        <f>IF($A2="","",SUMIF('07_Pallet_Contents'!$A$2:$A$3000,$A2,'07_Pallet_Contents'!$I$2:$I$3000))</f>
        <v>0</v>
      </c>
      <c r="Z1357" t="str">
        <f>IF($A2="","",IF(COUNTIF('07_Pallet_Contents'!$A$2:$A$3000,$A2)&gt;0,"Yes",""))</f>
        <v/>
      </c>
    </row>
    <row r="1358" spans="2:26">
      <c r="B1358" s="31"/>
      <c r="G1358" s="34"/>
      <c r="H1358" s="33" t="str">
        <f t="shared" si="29"/>
        <v/>
      </c>
      <c r="I1358" s="31"/>
      <c r="J1358" s="31"/>
      <c r="K1358" s="33"/>
      <c r="W1358">
        <f>IF($A2="","",COUNTIF('07_Pallet_Contents'!$A$2:$A$3000,$A2))</f>
        <v>0</v>
      </c>
      <c r="X1358">
        <f>IF($A2="","",SUMIF('07_Pallet_Contents'!$A$2:$A$3000,$A2,'07_Pallet_Contents'!$D$2:$D$3000))</f>
        <v>0</v>
      </c>
      <c r="Y1358">
        <f>IF($A2="","",SUMIF('07_Pallet_Contents'!$A$2:$A$3000,$A2,'07_Pallet_Contents'!$I$2:$I$3000))</f>
        <v>0</v>
      </c>
      <c r="Z1358" t="str">
        <f>IF($A2="","",IF(COUNTIF('07_Pallet_Contents'!$A$2:$A$3000,$A2)&gt;0,"Yes",""))</f>
        <v/>
      </c>
    </row>
    <row r="1359" spans="2:26">
      <c r="B1359" s="31"/>
      <c r="G1359" s="34"/>
      <c r="H1359" s="33" t="str">
        <f t="shared" si="29"/>
        <v/>
      </c>
      <c r="I1359" s="31"/>
      <c r="J1359" s="31"/>
      <c r="K1359" s="33"/>
      <c r="W1359">
        <f>IF($A2="","",COUNTIF('07_Pallet_Contents'!$A$2:$A$3000,$A2))</f>
        <v>0</v>
      </c>
      <c r="X1359">
        <f>IF($A2="","",SUMIF('07_Pallet_Contents'!$A$2:$A$3000,$A2,'07_Pallet_Contents'!$D$2:$D$3000))</f>
        <v>0</v>
      </c>
      <c r="Y1359">
        <f>IF($A2="","",SUMIF('07_Pallet_Contents'!$A$2:$A$3000,$A2,'07_Pallet_Contents'!$I$2:$I$3000))</f>
        <v>0</v>
      </c>
      <c r="Z1359" t="str">
        <f>IF($A2="","",IF(COUNTIF('07_Pallet_Contents'!$A$2:$A$3000,$A2)&gt;0,"Yes",""))</f>
        <v/>
      </c>
    </row>
    <row r="1360" spans="2:26">
      <c r="B1360" s="31"/>
      <c r="G1360" s="34"/>
      <c r="H1360" s="33" t="str">
        <f t="shared" si="29"/>
        <v/>
      </c>
      <c r="I1360" s="31"/>
      <c r="J1360" s="31"/>
      <c r="K1360" s="33"/>
      <c r="W1360">
        <f>IF($A2="","",COUNTIF('07_Pallet_Contents'!$A$2:$A$3000,$A2))</f>
        <v>0</v>
      </c>
      <c r="X1360">
        <f>IF($A2="","",SUMIF('07_Pallet_Contents'!$A$2:$A$3000,$A2,'07_Pallet_Contents'!$D$2:$D$3000))</f>
        <v>0</v>
      </c>
      <c r="Y1360">
        <f>IF($A2="","",SUMIF('07_Pallet_Contents'!$A$2:$A$3000,$A2,'07_Pallet_Contents'!$I$2:$I$3000))</f>
        <v>0</v>
      </c>
      <c r="Z1360" t="str">
        <f>IF($A2="","",IF(COUNTIF('07_Pallet_Contents'!$A$2:$A$3000,$A2)&gt;0,"Yes",""))</f>
        <v/>
      </c>
    </row>
    <row r="1361" spans="2:26">
      <c r="B1361" s="31"/>
      <c r="G1361" s="34"/>
      <c r="H1361" s="33" t="str">
        <f t="shared" si="29"/>
        <v/>
      </c>
      <c r="I1361" s="31"/>
      <c r="J1361" s="31"/>
      <c r="K1361" s="33"/>
      <c r="W1361">
        <f>IF($A2="","",COUNTIF('07_Pallet_Contents'!$A$2:$A$3000,$A2))</f>
        <v>0</v>
      </c>
      <c r="X1361">
        <f>IF($A2="","",SUMIF('07_Pallet_Contents'!$A$2:$A$3000,$A2,'07_Pallet_Contents'!$D$2:$D$3000))</f>
        <v>0</v>
      </c>
      <c r="Y1361">
        <f>IF($A2="","",SUMIF('07_Pallet_Contents'!$A$2:$A$3000,$A2,'07_Pallet_Contents'!$I$2:$I$3000))</f>
        <v>0</v>
      </c>
      <c r="Z1361" t="str">
        <f>IF($A2="","",IF(COUNTIF('07_Pallet_Contents'!$A$2:$A$3000,$A2)&gt;0,"Yes",""))</f>
        <v/>
      </c>
    </row>
    <row r="1362" spans="2:26">
      <c r="B1362" s="31"/>
      <c r="G1362" s="34"/>
      <c r="H1362" s="33" t="str">
        <f t="shared" si="29"/>
        <v/>
      </c>
      <c r="I1362" s="31"/>
      <c r="J1362" s="31"/>
      <c r="K1362" s="33"/>
      <c r="W1362">
        <f>IF($A2="","",COUNTIF('07_Pallet_Contents'!$A$2:$A$3000,$A2))</f>
        <v>0</v>
      </c>
      <c r="X1362">
        <f>IF($A2="","",SUMIF('07_Pallet_Contents'!$A$2:$A$3000,$A2,'07_Pallet_Contents'!$D$2:$D$3000))</f>
        <v>0</v>
      </c>
      <c r="Y1362">
        <f>IF($A2="","",SUMIF('07_Pallet_Contents'!$A$2:$A$3000,$A2,'07_Pallet_Contents'!$I$2:$I$3000))</f>
        <v>0</v>
      </c>
      <c r="Z1362" t="str">
        <f>IF($A2="","",IF(COUNTIF('07_Pallet_Contents'!$A$2:$A$3000,$A2)&gt;0,"Yes",""))</f>
        <v/>
      </c>
    </row>
    <row r="1363" spans="2:26">
      <c r="B1363" s="31"/>
      <c r="G1363" s="34"/>
      <c r="H1363" s="33" t="str">
        <f t="shared" si="29"/>
        <v/>
      </c>
      <c r="I1363" s="31"/>
      <c r="J1363" s="31"/>
      <c r="K1363" s="33"/>
      <c r="W1363">
        <f>IF($A2="","",COUNTIF('07_Pallet_Contents'!$A$2:$A$3000,$A2))</f>
        <v>0</v>
      </c>
      <c r="X1363">
        <f>IF($A2="","",SUMIF('07_Pallet_Contents'!$A$2:$A$3000,$A2,'07_Pallet_Contents'!$D$2:$D$3000))</f>
        <v>0</v>
      </c>
      <c r="Y1363">
        <f>IF($A2="","",SUMIF('07_Pallet_Contents'!$A$2:$A$3000,$A2,'07_Pallet_Contents'!$I$2:$I$3000))</f>
        <v>0</v>
      </c>
      <c r="Z1363" t="str">
        <f>IF($A2="","",IF(COUNTIF('07_Pallet_Contents'!$A$2:$A$3000,$A2)&gt;0,"Yes",""))</f>
        <v/>
      </c>
    </row>
    <row r="1364" spans="2:26">
      <c r="B1364" s="31"/>
      <c r="G1364" s="34"/>
      <c r="H1364" s="33" t="str">
        <f t="shared" si="29"/>
        <v/>
      </c>
      <c r="I1364" s="31"/>
      <c r="J1364" s="31"/>
      <c r="K1364" s="33"/>
      <c r="W1364">
        <f>IF($A2="","",COUNTIF('07_Pallet_Contents'!$A$2:$A$3000,$A2))</f>
        <v>0</v>
      </c>
      <c r="X1364">
        <f>IF($A2="","",SUMIF('07_Pallet_Contents'!$A$2:$A$3000,$A2,'07_Pallet_Contents'!$D$2:$D$3000))</f>
        <v>0</v>
      </c>
      <c r="Y1364">
        <f>IF($A2="","",SUMIF('07_Pallet_Contents'!$A$2:$A$3000,$A2,'07_Pallet_Contents'!$I$2:$I$3000))</f>
        <v>0</v>
      </c>
      <c r="Z1364" t="str">
        <f>IF($A2="","",IF(COUNTIF('07_Pallet_Contents'!$A$2:$A$3000,$A2)&gt;0,"Yes",""))</f>
        <v/>
      </c>
    </row>
    <row r="1365" spans="2:26">
      <c r="B1365" s="31"/>
      <c r="G1365" s="34"/>
      <c r="H1365" s="33" t="str">
        <f t="shared" si="29"/>
        <v/>
      </c>
      <c r="I1365" s="31"/>
      <c r="J1365" s="31"/>
      <c r="K1365" s="33"/>
      <c r="W1365">
        <f>IF($A2="","",COUNTIF('07_Pallet_Contents'!$A$2:$A$3000,$A2))</f>
        <v>0</v>
      </c>
      <c r="X1365">
        <f>IF($A2="","",SUMIF('07_Pallet_Contents'!$A$2:$A$3000,$A2,'07_Pallet_Contents'!$D$2:$D$3000))</f>
        <v>0</v>
      </c>
      <c r="Y1365">
        <f>IF($A2="","",SUMIF('07_Pallet_Contents'!$A$2:$A$3000,$A2,'07_Pallet_Contents'!$I$2:$I$3000))</f>
        <v>0</v>
      </c>
      <c r="Z1365" t="str">
        <f>IF($A2="","",IF(COUNTIF('07_Pallet_Contents'!$A$2:$A$3000,$A2)&gt;0,"Yes",""))</f>
        <v/>
      </c>
    </row>
    <row r="1366" spans="2:26">
      <c r="B1366" s="31"/>
      <c r="G1366" s="34"/>
      <c r="H1366" s="33" t="str">
        <f t="shared" si="29"/>
        <v/>
      </c>
      <c r="I1366" s="31"/>
      <c r="J1366" s="31"/>
      <c r="K1366" s="33"/>
      <c r="W1366">
        <f>IF($A2="","",COUNTIF('07_Pallet_Contents'!$A$2:$A$3000,$A2))</f>
        <v>0</v>
      </c>
      <c r="X1366">
        <f>IF($A2="","",SUMIF('07_Pallet_Contents'!$A$2:$A$3000,$A2,'07_Pallet_Contents'!$D$2:$D$3000))</f>
        <v>0</v>
      </c>
      <c r="Y1366">
        <f>IF($A2="","",SUMIF('07_Pallet_Contents'!$A$2:$A$3000,$A2,'07_Pallet_Contents'!$I$2:$I$3000))</f>
        <v>0</v>
      </c>
      <c r="Z1366" t="str">
        <f>IF($A2="","",IF(COUNTIF('07_Pallet_Contents'!$A$2:$A$3000,$A2)&gt;0,"Yes",""))</f>
        <v/>
      </c>
    </row>
    <row r="1367" spans="2:26">
      <c r="B1367" s="31"/>
      <c r="G1367" s="34"/>
      <c r="H1367" s="33" t="str">
        <f t="shared" si="29"/>
        <v/>
      </c>
      <c r="I1367" s="31"/>
      <c r="J1367" s="31"/>
      <c r="K1367" s="33"/>
      <c r="W1367">
        <f>IF($A2="","",COUNTIF('07_Pallet_Contents'!$A$2:$A$3000,$A2))</f>
        <v>0</v>
      </c>
      <c r="X1367">
        <f>IF($A2="","",SUMIF('07_Pallet_Contents'!$A$2:$A$3000,$A2,'07_Pallet_Contents'!$D$2:$D$3000))</f>
        <v>0</v>
      </c>
      <c r="Y1367">
        <f>IF($A2="","",SUMIF('07_Pallet_Contents'!$A$2:$A$3000,$A2,'07_Pallet_Contents'!$I$2:$I$3000))</f>
        <v>0</v>
      </c>
      <c r="Z1367" t="str">
        <f>IF($A2="","",IF(COUNTIF('07_Pallet_Contents'!$A$2:$A$3000,$A2)&gt;0,"Yes",""))</f>
        <v/>
      </c>
    </row>
    <row r="1368" spans="2:26">
      <c r="B1368" s="31"/>
      <c r="G1368" s="34"/>
      <c r="H1368" s="33" t="str">
        <f t="shared" si="29"/>
        <v/>
      </c>
      <c r="I1368" s="31"/>
      <c r="J1368" s="31"/>
      <c r="K1368" s="33"/>
      <c r="W1368">
        <f>IF($A2="","",COUNTIF('07_Pallet_Contents'!$A$2:$A$3000,$A2))</f>
        <v>0</v>
      </c>
      <c r="X1368">
        <f>IF($A2="","",SUMIF('07_Pallet_Contents'!$A$2:$A$3000,$A2,'07_Pallet_Contents'!$D$2:$D$3000))</f>
        <v>0</v>
      </c>
      <c r="Y1368">
        <f>IF($A2="","",SUMIF('07_Pallet_Contents'!$A$2:$A$3000,$A2,'07_Pallet_Contents'!$I$2:$I$3000))</f>
        <v>0</v>
      </c>
      <c r="Z1368" t="str">
        <f>IF($A2="","",IF(COUNTIF('07_Pallet_Contents'!$A$2:$A$3000,$A2)&gt;0,"Yes",""))</f>
        <v/>
      </c>
    </row>
    <row r="1369" spans="2:26">
      <c r="B1369" s="31"/>
      <c r="G1369" s="34"/>
      <c r="H1369" s="33" t="str">
        <f t="shared" si="29"/>
        <v/>
      </c>
      <c r="I1369" s="31"/>
      <c r="J1369" s="31"/>
      <c r="K1369" s="33"/>
      <c r="W1369">
        <f>IF($A2="","",COUNTIF('07_Pallet_Contents'!$A$2:$A$3000,$A2))</f>
        <v>0</v>
      </c>
      <c r="X1369">
        <f>IF($A2="","",SUMIF('07_Pallet_Contents'!$A$2:$A$3000,$A2,'07_Pallet_Contents'!$D$2:$D$3000))</f>
        <v>0</v>
      </c>
      <c r="Y1369">
        <f>IF($A2="","",SUMIF('07_Pallet_Contents'!$A$2:$A$3000,$A2,'07_Pallet_Contents'!$I$2:$I$3000))</f>
        <v>0</v>
      </c>
      <c r="Z1369" t="str">
        <f>IF($A2="","",IF(COUNTIF('07_Pallet_Contents'!$A$2:$A$3000,$A2)&gt;0,"Yes",""))</f>
        <v/>
      </c>
    </row>
    <row r="1370" spans="2:26">
      <c r="B1370" s="31"/>
      <c r="G1370" s="34"/>
      <c r="H1370" s="33" t="str">
        <f t="shared" si="29"/>
        <v/>
      </c>
      <c r="I1370" s="31"/>
      <c r="J1370" s="31"/>
      <c r="K1370" s="33"/>
      <c r="W1370">
        <f>IF($A2="","",COUNTIF('07_Pallet_Contents'!$A$2:$A$3000,$A2))</f>
        <v>0</v>
      </c>
      <c r="X1370">
        <f>IF($A2="","",SUMIF('07_Pallet_Contents'!$A$2:$A$3000,$A2,'07_Pallet_Contents'!$D$2:$D$3000))</f>
        <v>0</v>
      </c>
      <c r="Y1370">
        <f>IF($A2="","",SUMIF('07_Pallet_Contents'!$A$2:$A$3000,$A2,'07_Pallet_Contents'!$I$2:$I$3000))</f>
        <v>0</v>
      </c>
      <c r="Z1370" t="str">
        <f>IF($A2="","",IF(COUNTIF('07_Pallet_Contents'!$A$2:$A$3000,$A2)&gt;0,"Yes",""))</f>
        <v/>
      </c>
    </row>
    <row r="1371" spans="2:26">
      <c r="B1371" s="31"/>
      <c r="G1371" s="34"/>
      <c r="H1371" s="33" t="str">
        <f t="shared" si="29"/>
        <v/>
      </c>
      <c r="I1371" s="31"/>
      <c r="J1371" s="31"/>
      <c r="K1371" s="33"/>
      <c r="W1371">
        <f>IF($A2="","",COUNTIF('07_Pallet_Contents'!$A$2:$A$3000,$A2))</f>
        <v>0</v>
      </c>
      <c r="X1371">
        <f>IF($A2="","",SUMIF('07_Pallet_Contents'!$A$2:$A$3000,$A2,'07_Pallet_Contents'!$D$2:$D$3000))</f>
        <v>0</v>
      </c>
      <c r="Y1371">
        <f>IF($A2="","",SUMIF('07_Pallet_Contents'!$A$2:$A$3000,$A2,'07_Pallet_Contents'!$I$2:$I$3000))</f>
        <v>0</v>
      </c>
      <c r="Z1371" t="str">
        <f>IF($A2="","",IF(COUNTIF('07_Pallet_Contents'!$A$2:$A$3000,$A2)&gt;0,"Yes",""))</f>
        <v/>
      </c>
    </row>
    <row r="1372" spans="2:26">
      <c r="B1372" s="31"/>
      <c r="G1372" s="34"/>
      <c r="H1372" s="33" t="str">
        <f t="shared" si="29"/>
        <v/>
      </c>
      <c r="I1372" s="31"/>
      <c r="J1372" s="31"/>
      <c r="K1372" s="33"/>
      <c r="W1372">
        <f>IF($A2="","",COUNTIF('07_Pallet_Contents'!$A$2:$A$3000,$A2))</f>
        <v>0</v>
      </c>
      <c r="X1372">
        <f>IF($A2="","",SUMIF('07_Pallet_Contents'!$A$2:$A$3000,$A2,'07_Pallet_Contents'!$D$2:$D$3000))</f>
        <v>0</v>
      </c>
      <c r="Y1372">
        <f>IF($A2="","",SUMIF('07_Pallet_Contents'!$A$2:$A$3000,$A2,'07_Pallet_Contents'!$I$2:$I$3000))</f>
        <v>0</v>
      </c>
      <c r="Z1372" t="str">
        <f>IF($A2="","",IF(COUNTIF('07_Pallet_Contents'!$A$2:$A$3000,$A2)&gt;0,"Yes",""))</f>
        <v/>
      </c>
    </row>
    <row r="1373" spans="2:26">
      <c r="B1373" s="31"/>
      <c r="G1373" s="34"/>
      <c r="H1373" s="33" t="str">
        <f t="shared" si="29"/>
        <v/>
      </c>
      <c r="I1373" s="31"/>
      <c r="J1373" s="31"/>
      <c r="K1373" s="33"/>
      <c r="W1373">
        <f>IF($A2="","",COUNTIF('07_Pallet_Contents'!$A$2:$A$3000,$A2))</f>
        <v>0</v>
      </c>
      <c r="X1373">
        <f>IF($A2="","",SUMIF('07_Pallet_Contents'!$A$2:$A$3000,$A2,'07_Pallet_Contents'!$D$2:$D$3000))</f>
        <v>0</v>
      </c>
      <c r="Y1373">
        <f>IF($A2="","",SUMIF('07_Pallet_Contents'!$A$2:$A$3000,$A2,'07_Pallet_Contents'!$I$2:$I$3000))</f>
        <v>0</v>
      </c>
      <c r="Z1373" t="str">
        <f>IF($A2="","",IF(COUNTIF('07_Pallet_Contents'!$A$2:$A$3000,$A2)&gt;0,"Yes",""))</f>
        <v/>
      </c>
    </row>
    <row r="1374" spans="2:26">
      <c r="B1374" s="31"/>
      <c r="G1374" s="34"/>
      <c r="H1374" s="33" t="str">
        <f t="shared" si="29"/>
        <v/>
      </c>
      <c r="I1374" s="31"/>
      <c r="J1374" s="31"/>
      <c r="K1374" s="33"/>
      <c r="W1374">
        <f>IF($A2="","",COUNTIF('07_Pallet_Contents'!$A$2:$A$3000,$A2))</f>
        <v>0</v>
      </c>
      <c r="X1374">
        <f>IF($A2="","",SUMIF('07_Pallet_Contents'!$A$2:$A$3000,$A2,'07_Pallet_Contents'!$D$2:$D$3000))</f>
        <v>0</v>
      </c>
      <c r="Y1374">
        <f>IF($A2="","",SUMIF('07_Pallet_Contents'!$A$2:$A$3000,$A2,'07_Pallet_Contents'!$I$2:$I$3000))</f>
        <v>0</v>
      </c>
      <c r="Z1374" t="str">
        <f>IF($A2="","",IF(COUNTIF('07_Pallet_Contents'!$A$2:$A$3000,$A2)&gt;0,"Yes",""))</f>
        <v/>
      </c>
    </row>
    <row r="1375" spans="2:26">
      <c r="B1375" s="31"/>
      <c r="G1375" s="34"/>
      <c r="H1375" s="33" t="str">
        <f t="shared" si="29"/>
        <v/>
      </c>
      <c r="I1375" s="31"/>
      <c r="J1375" s="31"/>
      <c r="K1375" s="33"/>
      <c r="W1375">
        <f>IF($A2="","",COUNTIF('07_Pallet_Contents'!$A$2:$A$3000,$A2))</f>
        <v>0</v>
      </c>
      <c r="X1375">
        <f>IF($A2="","",SUMIF('07_Pallet_Contents'!$A$2:$A$3000,$A2,'07_Pallet_Contents'!$D$2:$D$3000))</f>
        <v>0</v>
      </c>
      <c r="Y1375">
        <f>IF($A2="","",SUMIF('07_Pallet_Contents'!$A$2:$A$3000,$A2,'07_Pallet_Contents'!$I$2:$I$3000))</f>
        <v>0</v>
      </c>
      <c r="Z1375" t="str">
        <f>IF($A2="","",IF(COUNTIF('07_Pallet_Contents'!$A$2:$A$3000,$A2)&gt;0,"Yes",""))</f>
        <v/>
      </c>
    </row>
    <row r="1376" spans="2:26">
      <c r="B1376" s="31"/>
      <c r="G1376" s="34"/>
      <c r="H1376" s="33" t="str">
        <f t="shared" si="29"/>
        <v/>
      </c>
      <c r="I1376" s="31"/>
      <c r="J1376" s="31"/>
      <c r="K1376" s="33"/>
      <c r="W1376">
        <f>IF($A2="","",COUNTIF('07_Pallet_Contents'!$A$2:$A$3000,$A2))</f>
        <v>0</v>
      </c>
      <c r="X1376">
        <f>IF($A2="","",SUMIF('07_Pallet_Contents'!$A$2:$A$3000,$A2,'07_Pallet_Contents'!$D$2:$D$3000))</f>
        <v>0</v>
      </c>
      <c r="Y1376">
        <f>IF($A2="","",SUMIF('07_Pallet_Contents'!$A$2:$A$3000,$A2,'07_Pallet_Contents'!$I$2:$I$3000))</f>
        <v>0</v>
      </c>
      <c r="Z1376" t="str">
        <f>IF($A2="","",IF(COUNTIF('07_Pallet_Contents'!$A$2:$A$3000,$A2)&gt;0,"Yes",""))</f>
        <v/>
      </c>
    </row>
    <row r="1377" spans="2:26">
      <c r="B1377" s="31"/>
      <c r="G1377" s="34"/>
      <c r="H1377" s="33" t="str">
        <f t="shared" si="29"/>
        <v/>
      </c>
      <c r="I1377" s="31"/>
      <c r="J1377" s="31"/>
      <c r="K1377" s="33"/>
      <c r="W1377">
        <f>IF($A2="","",COUNTIF('07_Pallet_Contents'!$A$2:$A$3000,$A2))</f>
        <v>0</v>
      </c>
      <c r="X1377">
        <f>IF($A2="","",SUMIF('07_Pallet_Contents'!$A$2:$A$3000,$A2,'07_Pallet_Contents'!$D$2:$D$3000))</f>
        <v>0</v>
      </c>
      <c r="Y1377">
        <f>IF($A2="","",SUMIF('07_Pallet_Contents'!$A$2:$A$3000,$A2,'07_Pallet_Contents'!$I$2:$I$3000))</f>
        <v>0</v>
      </c>
      <c r="Z1377" t="str">
        <f>IF($A2="","",IF(COUNTIF('07_Pallet_Contents'!$A$2:$A$3000,$A2)&gt;0,"Yes",""))</f>
        <v/>
      </c>
    </row>
    <row r="1378" spans="2:26">
      <c r="B1378" s="31"/>
      <c r="G1378" s="34"/>
      <c r="H1378" s="33" t="str">
        <f t="shared" si="29"/>
        <v/>
      </c>
      <c r="I1378" s="31"/>
      <c r="J1378" s="31"/>
      <c r="K1378" s="33"/>
      <c r="W1378">
        <f>IF($A2="","",COUNTIF('07_Pallet_Contents'!$A$2:$A$3000,$A2))</f>
        <v>0</v>
      </c>
      <c r="X1378">
        <f>IF($A2="","",SUMIF('07_Pallet_Contents'!$A$2:$A$3000,$A2,'07_Pallet_Contents'!$D$2:$D$3000))</f>
        <v>0</v>
      </c>
      <c r="Y1378">
        <f>IF($A2="","",SUMIF('07_Pallet_Contents'!$A$2:$A$3000,$A2,'07_Pallet_Contents'!$I$2:$I$3000))</f>
        <v>0</v>
      </c>
      <c r="Z1378" t="str">
        <f>IF($A2="","",IF(COUNTIF('07_Pallet_Contents'!$A$2:$A$3000,$A2)&gt;0,"Yes",""))</f>
        <v/>
      </c>
    </row>
    <row r="1379" spans="2:26">
      <c r="B1379" s="31"/>
      <c r="G1379" s="34"/>
      <c r="H1379" s="33" t="str">
        <f t="shared" si="29"/>
        <v/>
      </c>
      <c r="I1379" s="31"/>
      <c r="J1379" s="31"/>
      <c r="K1379" s="33"/>
      <c r="W1379">
        <f>IF($A2="","",COUNTIF('07_Pallet_Contents'!$A$2:$A$3000,$A2))</f>
        <v>0</v>
      </c>
      <c r="X1379">
        <f>IF($A2="","",SUMIF('07_Pallet_Contents'!$A$2:$A$3000,$A2,'07_Pallet_Contents'!$D$2:$D$3000))</f>
        <v>0</v>
      </c>
      <c r="Y1379">
        <f>IF($A2="","",SUMIF('07_Pallet_Contents'!$A$2:$A$3000,$A2,'07_Pallet_Contents'!$I$2:$I$3000))</f>
        <v>0</v>
      </c>
      <c r="Z1379" t="str">
        <f>IF($A2="","",IF(COUNTIF('07_Pallet_Contents'!$A$2:$A$3000,$A2)&gt;0,"Yes",""))</f>
        <v/>
      </c>
    </row>
    <row r="1380" spans="2:26">
      <c r="B1380" s="31"/>
      <c r="G1380" s="34"/>
      <c r="H1380" s="33" t="str">
        <f t="shared" si="29"/>
        <v/>
      </c>
      <c r="I1380" s="31"/>
      <c r="J1380" s="31"/>
      <c r="K1380" s="33"/>
      <c r="W1380">
        <f>IF($A2="","",COUNTIF('07_Pallet_Contents'!$A$2:$A$3000,$A2))</f>
        <v>0</v>
      </c>
      <c r="X1380">
        <f>IF($A2="","",SUMIF('07_Pallet_Contents'!$A$2:$A$3000,$A2,'07_Pallet_Contents'!$D$2:$D$3000))</f>
        <v>0</v>
      </c>
      <c r="Y1380">
        <f>IF($A2="","",SUMIF('07_Pallet_Contents'!$A$2:$A$3000,$A2,'07_Pallet_Contents'!$I$2:$I$3000))</f>
        <v>0</v>
      </c>
      <c r="Z1380" t="str">
        <f>IF($A2="","",IF(COUNTIF('07_Pallet_Contents'!$A$2:$A$3000,$A2)&gt;0,"Yes",""))</f>
        <v/>
      </c>
    </row>
    <row r="1381" spans="2:26">
      <c r="B1381" s="31"/>
      <c r="G1381" s="34"/>
      <c r="H1381" s="33" t="str">
        <f t="shared" si="29"/>
        <v/>
      </c>
      <c r="I1381" s="31"/>
      <c r="J1381" s="31"/>
      <c r="K1381" s="33"/>
      <c r="W1381">
        <f>IF($A2="","",COUNTIF('07_Pallet_Contents'!$A$2:$A$3000,$A2))</f>
        <v>0</v>
      </c>
      <c r="X1381">
        <f>IF($A2="","",SUMIF('07_Pallet_Contents'!$A$2:$A$3000,$A2,'07_Pallet_Contents'!$D$2:$D$3000))</f>
        <v>0</v>
      </c>
      <c r="Y1381">
        <f>IF($A2="","",SUMIF('07_Pallet_Contents'!$A$2:$A$3000,$A2,'07_Pallet_Contents'!$I$2:$I$3000))</f>
        <v>0</v>
      </c>
      <c r="Z1381" t="str">
        <f>IF($A2="","",IF(COUNTIF('07_Pallet_Contents'!$A$2:$A$3000,$A2)&gt;0,"Yes",""))</f>
        <v/>
      </c>
    </row>
    <row r="1382" spans="2:26">
      <c r="B1382" s="31"/>
      <c r="G1382" s="34"/>
      <c r="H1382" s="33" t="str">
        <f t="shared" si="29"/>
        <v/>
      </c>
      <c r="I1382" s="31"/>
      <c r="J1382" s="31"/>
      <c r="K1382" s="33"/>
      <c r="W1382">
        <f>IF($A2="","",COUNTIF('07_Pallet_Contents'!$A$2:$A$3000,$A2))</f>
        <v>0</v>
      </c>
      <c r="X1382">
        <f>IF($A2="","",SUMIF('07_Pallet_Contents'!$A$2:$A$3000,$A2,'07_Pallet_Contents'!$D$2:$D$3000))</f>
        <v>0</v>
      </c>
      <c r="Y1382">
        <f>IF($A2="","",SUMIF('07_Pallet_Contents'!$A$2:$A$3000,$A2,'07_Pallet_Contents'!$I$2:$I$3000))</f>
        <v>0</v>
      </c>
      <c r="Z1382" t="str">
        <f>IF($A2="","",IF(COUNTIF('07_Pallet_Contents'!$A$2:$A$3000,$A2)&gt;0,"Yes",""))</f>
        <v/>
      </c>
    </row>
    <row r="1383" spans="2:26">
      <c r="B1383" s="31"/>
      <c r="G1383" s="34"/>
      <c r="H1383" s="33" t="str">
        <f t="shared" si="29"/>
        <v/>
      </c>
      <c r="I1383" s="31"/>
      <c r="J1383" s="31"/>
      <c r="K1383" s="33"/>
      <c r="W1383">
        <f>IF($A2="","",COUNTIF('07_Pallet_Contents'!$A$2:$A$3000,$A2))</f>
        <v>0</v>
      </c>
      <c r="X1383">
        <f>IF($A2="","",SUMIF('07_Pallet_Contents'!$A$2:$A$3000,$A2,'07_Pallet_Contents'!$D$2:$D$3000))</f>
        <v>0</v>
      </c>
      <c r="Y1383">
        <f>IF($A2="","",SUMIF('07_Pallet_Contents'!$A$2:$A$3000,$A2,'07_Pallet_Contents'!$I$2:$I$3000))</f>
        <v>0</v>
      </c>
      <c r="Z1383" t="str">
        <f>IF($A2="","",IF(COUNTIF('07_Pallet_Contents'!$A$2:$A$3000,$A2)&gt;0,"Yes",""))</f>
        <v/>
      </c>
    </row>
    <row r="1384" spans="2:26">
      <c r="B1384" s="31"/>
      <c r="G1384" s="34"/>
      <c r="H1384" s="33" t="str">
        <f t="shared" si="29"/>
        <v/>
      </c>
      <c r="I1384" s="31"/>
      <c r="J1384" s="31"/>
      <c r="K1384" s="33"/>
      <c r="W1384">
        <f>IF($A2="","",COUNTIF('07_Pallet_Contents'!$A$2:$A$3000,$A2))</f>
        <v>0</v>
      </c>
      <c r="X1384">
        <f>IF($A2="","",SUMIF('07_Pallet_Contents'!$A$2:$A$3000,$A2,'07_Pallet_Contents'!$D$2:$D$3000))</f>
        <v>0</v>
      </c>
      <c r="Y1384">
        <f>IF($A2="","",SUMIF('07_Pallet_Contents'!$A$2:$A$3000,$A2,'07_Pallet_Contents'!$I$2:$I$3000))</f>
        <v>0</v>
      </c>
      <c r="Z1384" t="str">
        <f>IF($A2="","",IF(COUNTIF('07_Pallet_Contents'!$A$2:$A$3000,$A2)&gt;0,"Yes",""))</f>
        <v/>
      </c>
    </row>
    <row r="1385" spans="2:26">
      <c r="B1385" s="31"/>
      <c r="G1385" s="34"/>
      <c r="H1385" s="33" t="str">
        <f t="shared" si="29"/>
        <v/>
      </c>
      <c r="I1385" s="31"/>
      <c r="J1385" s="31"/>
      <c r="K1385" s="33"/>
      <c r="W1385">
        <f>IF($A2="","",COUNTIF('07_Pallet_Contents'!$A$2:$A$3000,$A2))</f>
        <v>0</v>
      </c>
      <c r="X1385">
        <f>IF($A2="","",SUMIF('07_Pallet_Contents'!$A$2:$A$3000,$A2,'07_Pallet_Contents'!$D$2:$D$3000))</f>
        <v>0</v>
      </c>
      <c r="Y1385">
        <f>IF($A2="","",SUMIF('07_Pallet_Contents'!$A$2:$A$3000,$A2,'07_Pallet_Contents'!$I$2:$I$3000))</f>
        <v>0</v>
      </c>
      <c r="Z1385" t="str">
        <f>IF($A2="","",IF(COUNTIF('07_Pallet_Contents'!$A$2:$A$3000,$A2)&gt;0,"Yes",""))</f>
        <v/>
      </c>
    </row>
    <row r="1386" spans="2:26">
      <c r="B1386" s="31"/>
      <c r="G1386" s="34"/>
      <c r="H1386" s="33" t="str">
        <f t="shared" si="29"/>
        <v/>
      </c>
      <c r="I1386" s="31"/>
      <c r="J1386" s="31"/>
      <c r="K1386" s="33"/>
      <c r="W1386">
        <f>IF($A2="","",COUNTIF('07_Pallet_Contents'!$A$2:$A$3000,$A2))</f>
        <v>0</v>
      </c>
      <c r="X1386">
        <f>IF($A2="","",SUMIF('07_Pallet_Contents'!$A$2:$A$3000,$A2,'07_Pallet_Contents'!$D$2:$D$3000))</f>
        <v>0</v>
      </c>
      <c r="Y1386">
        <f>IF($A2="","",SUMIF('07_Pallet_Contents'!$A$2:$A$3000,$A2,'07_Pallet_Contents'!$I$2:$I$3000))</f>
        <v>0</v>
      </c>
      <c r="Z1386" t="str">
        <f>IF($A2="","",IF(COUNTIF('07_Pallet_Contents'!$A$2:$A$3000,$A2)&gt;0,"Yes",""))</f>
        <v/>
      </c>
    </row>
    <row r="1387" spans="2:26">
      <c r="B1387" s="31"/>
      <c r="G1387" s="34"/>
      <c r="H1387" s="33" t="str">
        <f t="shared" si="29"/>
        <v/>
      </c>
      <c r="I1387" s="31"/>
      <c r="J1387" s="31"/>
      <c r="K1387" s="33"/>
      <c r="W1387">
        <f>IF($A2="","",COUNTIF('07_Pallet_Contents'!$A$2:$A$3000,$A2))</f>
        <v>0</v>
      </c>
      <c r="X1387">
        <f>IF($A2="","",SUMIF('07_Pallet_Contents'!$A$2:$A$3000,$A2,'07_Pallet_Contents'!$D$2:$D$3000))</f>
        <v>0</v>
      </c>
      <c r="Y1387">
        <f>IF($A2="","",SUMIF('07_Pallet_Contents'!$A$2:$A$3000,$A2,'07_Pallet_Contents'!$I$2:$I$3000))</f>
        <v>0</v>
      </c>
      <c r="Z1387" t="str">
        <f>IF($A2="","",IF(COUNTIF('07_Pallet_Contents'!$A$2:$A$3000,$A2)&gt;0,"Yes",""))</f>
        <v/>
      </c>
    </row>
    <row r="1388" spans="2:26">
      <c r="B1388" s="31"/>
      <c r="G1388" s="34"/>
      <c r="H1388" s="33" t="str">
        <f t="shared" si="29"/>
        <v/>
      </c>
      <c r="I1388" s="31"/>
      <c r="J1388" s="31"/>
      <c r="K1388" s="33"/>
      <c r="W1388">
        <f>IF($A2="","",COUNTIF('07_Pallet_Contents'!$A$2:$A$3000,$A2))</f>
        <v>0</v>
      </c>
      <c r="X1388">
        <f>IF($A2="","",SUMIF('07_Pallet_Contents'!$A$2:$A$3000,$A2,'07_Pallet_Contents'!$D$2:$D$3000))</f>
        <v>0</v>
      </c>
      <c r="Y1388">
        <f>IF($A2="","",SUMIF('07_Pallet_Contents'!$A$2:$A$3000,$A2,'07_Pallet_Contents'!$I$2:$I$3000))</f>
        <v>0</v>
      </c>
      <c r="Z1388" t="str">
        <f>IF($A2="","",IF(COUNTIF('07_Pallet_Contents'!$A$2:$A$3000,$A2)&gt;0,"Yes",""))</f>
        <v/>
      </c>
    </row>
    <row r="1389" spans="2:26">
      <c r="B1389" s="31"/>
      <c r="G1389" s="34"/>
      <c r="H1389" s="33" t="str">
        <f t="shared" si="29"/>
        <v/>
      </c>
      <c r="I1389" s="31"/>
      <c r="J1389" s="31"/>
      <c r="K1389" s="33"/>
      <c r="W1389">
        <f>IF($A2="","",COUNTIF('07_Pallet_Contents'!$A$2:$A$3000,$A2))</f>
        <v>0</v>
      </c>
      <c r="X1389">
        <f>IF($A2="","",SUMIF('07_Pallet_Contents'!$A$2:$A$3000,$A2,'07_Pallet_Contents'!$D$2:$D$3000))</f>
        <v>0</v>
      </c>
      <c r="Y1389">
        <f>IF($A2="","",SUMIF('07_Pallet_Contents'!$A$2:$A$3000,$A2,'07_Pallet_Contents'!$I$2:$I$3000))</f>
        <v>0</v>
      </c>
      <c r="Z1389" t="str">
        <f>IF($A2="","",IF(COUNTIF('07_Pallet_Contents'!$A$2:$A$3000,$A2)&gt;0,"Yes",""))</f>
        <v/>
      </c>
    </row>
    <row r="1390" spans="2:26">
      <c r="B1390" s="31"/>
      <c r="G1390" s="34"/>
      <c r="H1390" s="33" t="str">
        <f t="shared" si="29"/>
        <v/>
      </c>
      <c r="I1390" s="31"/>
      <c r="J1390" s="31"/>
      <c r="K1390" s="33"/>
      <c r="W1390">
        <f>IF($A2="","",COUNTIF('07_Pallet_Contents'!$A$2:$A$3000,$A2))</f>
        <v>0</v>
      </c>
      <c r="X1390">
        <f>IF($A2="","",SUMIF('07_Pallet_Contents'!$A$2:$A$3000,$A2,'07_Pallet_Contents'!$D$2:$D$3000))</f>
        <v>0</v>
      </c>
      <c r="Y1390">
        <f>IF($A2="","",SUMIF('07_Pallet_Contents'!$A$2:$A$3000,$A2,'07_Pallet_Contents'!$I$2:$I$3000))</f>
        <v>0</v>
      </c>
      <c r="Z1390" t="str">
        <f>IF($A2="","",IF(COUNTIF('07_Pallet_Contents'!$A$2:$A$3000,$A2)&gt;0,"Yes",""))</f>
        <v/>
      </c>
    </row>
    <row r="1391" spans="2:26">
      <c r="B1391" s="31"/>
      <c r="G1391" s="34"/>
      <c r="H1391" s="33" t="str">
        <f t="shared" si="29"/>
        <v/>
      </c>
      <c r="I1391" s="31"/>
      <c r="J1391" s="31"/>
      <c r="K1391" s="33"/>
      <c r="W1391">
        <f>IF($A2="","",COUNTIF('07_Pallet_Contents'!$A$2:$A$3000,$A2))</f>
        <v>0</v>
      </c>
      <c r="X1391">
        <f>IF($A2="","",SUMIF('07_Pallet_Contents'!$A$2:$A$3000,$A2,'07_Pallet_Contents'!$D$2:$D$3000))</f>
        <v>0</v>
      </c>
      <c r="Y1391">
        <f>IF($A2="","",SUMIF('07_Pallet_Contents'!$A$2:$A$3000,$A2,'07_Pallet_Contents'!$I$2:$I$3000))</f>
        <v>0</v>
      </c>
      <c r="Z1391" t="str">
        <f>IF($A2="","",IF(COUNTIF('07_Pallet_Contents'!$A$2:$A$3000,$A2)&gt;0,"Yes",""))</f>
        <v/>
      </c>
    </row>
    <row r="1392" spans="2:26">
      <c r="B1392" s="31"/>
      <c r="G1392" s="34"/>
      <c r="H1392" s="33" t="str">
        <f t="shared" si="29"/>
        <v/>
      </c>
      <c r="I1392" s="31"/>
      <c r="J1392" s="31"/>
      <c r="K1392" s="33"/>
      <c r="W1392">
        <f>IF($A2="","",COUNTIF('07_Pallet_Contents'!$A$2:$A$3000,$A2))</f>
        <v>0</v>
      </c>
      <c r="X1392">
        <f>IF($A2="","",SUMIF('07_Pallet_Contents'!$A$2:$A$3000,$A2,'07_Pallet_Contents'!$D$2:$D$3000))</f>
        <v>0</v>
      </c>
      <c r="Y1392">
        <f>IF($A2="","",SUMIF('07_Pallet_Contents'!$A$2:$A$3000,$A2,'07_Pallet_Contents'!$I$2:$I$3000))</f>
        <v>0</v>
      </c>
      <c r="Z1392" t="str">
        <f>IF($A2="","",IF(COUNTIF('07_Pallet_Contents'!$A$2:$A$3000,$A2)&gt;0,"Yes",""))</f>
        <v/>
      </c>
    </row>
    <row r="1393" spans="2:26">
      <c r="B1393" s="31"/>
      <c r="G1393" s="34"/>
      <c r="H1393" s="33" t="str">
        <f t="shared" si="29"/>
        <v/>
      </c>
      <c r="I1393" s="31"/>
      <c r="J1393" s="31"/>
      <c r="K1393" s="33"/>
      <c r="W1393">
        <f>IF($A2="","",COUNTIF('07_Pallet_Contents'!$A$2:$A$3000,$A2))</f>
        <v>0</v>
      </c>
      <c r="X1393">
        <f>IF($A2="","",SUMIF('07_Pallet_Contents'!$A$2:$A$3000,$A2,'07_Pallet_Contents'!$D$2:$D$3000))</f>
        <v>0</v>
      </c>
      <c r="Y1393">
        <f>IF($A2="","",SUMIF('07_Pallet_Contents'!$A$2:$A$3000,$A2,'07_Pallet_Contents'!$I$2:$I$3000))</f>
        <v>0</v>
      </c>
      <c r="Z1393" t="str">
        <f>IF($A2="","",IF(COUNTIF('07_Pallet_Contents'!$A$2:$A$3000,$A2)&gt;0,"Yes",""))</f>
        <v/>
      </c>
    </row>
    <row r="1394" spans="2:26">
      <c r="B1394" s="31"/>
      <c r="G1394" s="34"/>
      <c r="H1394" s="33" t="str">
        <f t="shared" si="29"/>
        <v/>
      </c>
      <c r="I1394" s="31"/>
      <c r="J1394" s="31"/>
      <c r="K1394" s="33"/>
      <c r="W1394">
        <f>IF($A2="","",COUNTIF('07_Pallet_Contents'!$A$2:$A$3000,$A2))</f>
        <v>0</v>
      </c>
      <c r="X1394">
        <f>IF($A2="","",SUMIF('07_Pallet_Contents'!$A$2:$A$3000,$A2,'07_Pallet_Contents'!$D$2:$D$3000))</f>
        <v>0</v>
      </c>
      <c r="Y1394">
        <f>IF($A2="","",SUMIF('07_Pallet_Contents'!$A$2:$A$3000,$A2,'07_Pallet_Contents'!$I$2:$I$3000))</f>
        <v>0</v>
      </c>
      <c r="Z1394" t="str">
        <f>IF($A2="","",IF(COUNTIF('07_Pallet_Contents'!$A$2:$A$3000,$A2)&gt;0,"Yes",""))</f>
        <v/>
      </c>
    </row>
    <row r="1395" spans="2:26">
      <c r="B1395" s="31"/>
      <c r="G1395" s="34"/>
      <c r="H1395" s="33" t="str">
        <f t="shared" si="29"/>
        <v/>
      </c>
      <c r="I1395" s="31"/>
      <c r="J1395" s="31"/>
      <c r="K1395" s="33"/>
      <c r="W1395">
        <f>IF($A2="","",COUNTIF('07_Pallet_Contents'!$A$2:$A$3000,$A2))</f>
        <v>0</v>
      </c>
      <c r="X1395">
        <f>IF($A2="","",SUMIF('07_Pallet_Contents'!$A$2:$A$3000,$A2,'07_Pallet_Contents'!$D$2:$D$3000))</f>
        <v>0</v>
      </c>
      <c r="Y1395">
        <f>IF($A2="","",SUMIF('07_Pallet_Contents'!$A$2:$A$3000,$A2,'07_Pallet_Contents'!$I$2:$I$3000))</f>
        <v>0</v>
      </c>
      <c r="Z1395" t="str">
        <f>IF($A2="","",IF(COUNTIF('07_Pallet_Contents'!$A$2:$A$3000,$A2)&gt;0,"Yes",""))</f>
        <v/>
      </c>
    </row>
    <row r="1396" spans="2:26">
      <c r="B1396" s="31"/>
      <c r="G1396" s="34"/>
      <c r="H1396" s="33" t="str">
        <f t="shared" si="29"/>
        <v/>
      </c>
      <c r="I1396" s="31"/>
      <c r="J1396" s="31"/>
      <c r="K1396" s="33"/>
      <c r="W1396">
        <f>IF($A2="","",COUNTIF('07_Pallet_Contents'!$A$2:$A$3000,$A2))</f>
        <v>0</v>
      </c>
      <c r="X1396">
        <f>IF($A2="","",SUMIF('07_Pallet_Contents'!$A$2:$A$3000,$A2,'07_Pallet_Contents'!$D$2:$D$3000))</f>
        <v>0</v>
      </c>
      <c r="Y1396">
        <f>IF($A2="","",SUMIF('07_Pallet_Contents'!$A$2:$A$3000,$A2,'07_Pallet_Contents'!$I$2:$I$3000))</f>
        <v>0</v>
      </c>
      <c r="Z1396" t="str">
        <f>IF($A2="","",IF(COUNTIF('07_Pallet_Contents'!$A$2:$A$3000,$A2)&gt;0,"Yes",""))</f>
        <v/>
      </c>
    </row>
    <row r="1397" spans="2:26">
      <c r="B1397" s="31"/>
      <c r="G1397" s="34"/>
      <c r="H1397" s="33" t="str">
        <f t="shared" si="29"/>
        <v/>
      </c>
      <c r="I1397" s="31"/>
      <c r="J1397" s="31"/>
      <c r="K1397" s="33"/>
      <c r="W1397">
        <f>IF($A2="","",COUNTIF('07_Pallet_Contents'!$A$2:$A$3000,$A2))</f>
        <v>0</v>
      </c>
      <c r="X1397">
        <f>IF($A2="","",SUMIF('07_Pallet_Contents'!$A$2:$A$3000,$A2,'07_Pallet_Contents'!$D$2:$D$3000))</f>
        <v>0</v>
      </c>
      <c r="Y1397">
        <f>IF($A2="","",SUMIF('07_Pallet_Contents'!$A$2:$A$3000,$A2,'07_Pallet_Contents'!$I$2:$I$3000))</f>
        <v>0</v>
      </c>
      <c r="Z1397" t="str">
        <f>IF($A2="","",IF(COUNTIF('07_Pallet_Contents'!$A$2:$A$3000,$A2)&gt;0,"Yes",""))</f>
        <v/>
      </c>
    </row>
    <row r="1398" spans="2:26">
      <c r="B1398" s="31"/>
      <c r="G1398" s="34"/>
      <c r="H1398" s="33" t="str">
        <f t="shared" si="29"/>
        <v/>
      </c>
      <c r="I1398" s="31"/>
      <c r="J1398" s="31"/>
      <c r="K1398" s="33"/>
      <c r="W1398">
        <f>IF($A2="","",COUNTIF('07_Pallet_Contents'!$A$2:$A$3000,$A2))</f>
        <v>0</v>
      </c>
      <c r="X1398">
        <f>IF($A2="","",SUMIF('07_Pallet_Contents'!$A$2:$A$3000,$A2,'07_Pallet_Contents'!$D$2:$D$3000))</f>
        <v>0</v>
      </c>
      <c r="Y1398">
        <f>IF($A2="","",SUMIF('07_Pallet_Contents'!$A$2:$A$3000,$A2,'07_Pallet_Contents'!$I$2:$I$3000))</f>
        <v>0</v>
      </c>
      <c r="Z1398" t="str">
        <f>IF($A2="","",IF(COUNTIF('07_Pallet_Contents'!$A$2:$A$3000,$A2)&gt;0,"Yes",""))</f>
        <v/>
      </c>
    </row>
    <row r="1399" spans="2:26">
      <c r="B1399" s="31"/>
      <c r="G1399" s="34"/>
      <c r="H1399" s="33" t="str">
        <f t="shared" si="29"/>
        <v/>
      </c>
      <c r="I1399" s="31"/>
      <c r="J1399" s="31"/>
      <c r="K1399" s="33"/>
      <c r="W1399">
        <f>IF($A2="","",COUNTIF('07_Pallet_Contents'!$A$2:$A$3000,$A2))</f>
        <v>0</v>
      </c>
      <c r="X1399">
        <f>IF($A2="","",SUMIF('07_Pallet_Contents'!$A$2:$A$3000,$A2,'07_Pallet_Contents'!$D$2:$D$3000))</f>
        <v>0</v>
      </c>
      <c r="Y1399">
        <f>IF($A2="","",SUMIF('07_Pallet_Contents'!$A$2:$A$3000,$A2,'07_Pallet_Contents'!$I$2:$I$3000))</f>
        <v>0</v>
      </c>
      <c r="Z1399" t="str">
        <f>IF($A2="","",IF(COUNTIF('07_Pallet_Contents'!$A$2:$A$3000,$A2)&gt;0,"Yes",""))</f>
        <v/>
      </c>
    </row>
    <row r="1400" spans="2:26">
      <c r="B1400" s="31"/>
      <c r="G1400" s="34"/>
      <c r="H1400" s="33" t="str">
        <f t="shared" si="29"/>
        <v/>
      </c>
      <c r="I1400" s="31"/>
      <c r="J1400" s="31"/>
      <c r="K1400" s="33"/>
      <c r="W1400">
        <f>IF($A2="","",COUNTIF('07_Pallet_Contents'!$A$2:$A$3000,$A2))</f>
        <v>0</v>
      </c>
      <c r="X1400">
        <f>IF($A2="","",SUMIF('07_Pallet_Contents'!$A$2:$A$3000,$A2,'07_Pallet_Contents'!$D$2:$D$3000))</f>
        <v>0</v>
      </c>
      <c r="Y1400">
        <f>IF($A2="","",SUMIF('07_Pallet_Contents'!$A$2:$A$3000,$A2,'07_Pallet_Contents'!$I$2:$I$3000))</f>
        <v>0</v>
      </c>
      <c r="Z1400" t="str">
        <f>IF($A2="","",IF(COUNTIF('07_Pallet_Contents'!$A$2:$A$3000,$A2)&gt;0,"Yes",""))</f>
        <v/>
      </c>
    </row>
    <row r="1401" spans="2:26">
      <c r="B1401" s="31"/>
      <c r="G1401" s="34"/>
      <c r="H1401" s="33" t="str">
        <f t="shared" si="29"/>
        <v/>
      </c>
      <c r="I1401" s="31"/>
      <c r="J1401" s="31"/>
      <c r="K1401" s="33"/>
      <c r="W1401">
        <f>IF($A2="","",COUNTIF('07_Pallet_Contents'!$A$2:$A$3000,$A2))</f>
        <v>0</v>
      </c>
      <c r="X1401">
        <f>IF($A2="","",SUMIF('07_Pallet_Contents'!$A$2:$A$3000,$A2,'07_Pallet_Contents'!$D$2:$D$3000))</f>
        <v>0</v>
      </c>
      <c r="Y1401">
        <f>IF($A2="","",SUMIF('07_Pallet_Contents'!$A$2:$A$3000,$A2,'07_Pallet_Contents'!$I$2:$I$3000))</f>
        <v>0</v>
      </c>
      <c r="Z1401" t="str">
        <f>IF($A2="","",IF(COUNTIF('07_Pallet_Contents'!$A$2:$A$3000,$A2)&gt;0,"Yes",""))</f>
        <v/>
      </c>
    </row>
    <row r="1402" spans="2:26">
      <c r="B1402" s="31"/>
      <c r="G1402" s="34"/>
      <c r="H1402" s="33" t="str">
        <f t="shared" si="29"/>
        <v/>
      </c>
      <c r="I1402" s="31"/>
      <c r="J1402" s="31"/>
      <c r="K1402" s="33"/>
      <c r="W1402">
        <f>IF($A2="","",COUNTIF('07_Pallet_Contents'!$A$2:$A$3000,$A2))</f>
        <v>0</v>
      </c>
      <c r="X1402">
        <f>IF($A2="","",SUMIF('07_Pallet_Contents'!$A$2:$A$3000,$A2,'07_Pallet_Contents'!$D$2:$D$3000))</f>
        <v>0</v>
      </c>
      <c r="Y1402">
        <f>IF($A2="","",SUMIF('07_Pallet_Contents'!$A$2:$A$3000,$A2,'07_Pallet_Contents'!$I$2:$I$3000))</f>
        <v>0</v>
      </c>
      <c r="Z1402" t="str">
        <f>IF($A2="","",IF(COUNTIF('07_Pallet_Contents'!$A$2:$A$3000,$A2)&gt;0,"Yes",""))</f>
        <v/>
      </c>
    </row>
    <row r="1403" spans="2:26">
      <c r="B1403" s="31"/>
      <c r="G1403" s="34"/>
      <c r="H1403" s="33" t="str">
        <f t="shared" si="29"/>
        <v/>
      </c>
      <c r="I1403" s="31"/>
      <c r="J1403" s="31"/>
      <c r="K1403" s="33"/>
      <c r="W1403">
        <f>IF($A2="","",COUNTIF('07_Pallet_Contents'!$A$2:$A$3000,$A2))</f>
        <v>0</v>
      </c>
      <c r="X1403">
        <f>IF($A2="","",SUMIF('07_Pallet_Contents'!$A$2:$A$3000,$A2,'07_Pallet_Contents'!$D$2:$D$3000))</f>
        <v>0</v>
      </c>
      <c r="Y1403">
        <f>IF($A2="","",SUMIF('07_Pallet_Contents'!$A$2:$A$3000,$A2,'07_Pallet_Contents'!$I$2:$I$3000))</f>
        <v>0</v>
      </c>
      <c r="Z1403" t="str">
        <f>IF($A2="","",IF(COUNTIF('07_Pallet_Contents'!$A$2:$A$3000,$A2)&gt;0,"Yes",""))</f>
        <v/>
      </c>
    </row>
    <row r="1404" spans="2:26">
      <c r="B1404" s="31"/>
      <c r="G1404" s="34"/>
      <c r="H1404" s="33" t="str">
        <f t="shared" si="29"/>
        <v/>
      </c>
      <c r="I1404" s="31"/>
      <c r="J1404" s="31"/>
      <c r="K1404" s="33"/>
      <c r="W1404">
        <f>IF($A2="","",COUNTIF('07_Pallet_Contents'!$A$2:$A$3000,$A2))</f>
        <v>0</v>
      </c>
      <c r="X1404">
        <f>IF($A2="","",SUMIF('07_Pallet_Contents'!$A$2:$A$3000,$A2,'07_Pallet_Contents'!$D$2:$D$3000))</f>
        <v>0</v>
      </c>
      <c r="Y1404">
        <f>IF($A2="","",SUMIF('07_Pallet_Contents'!$A$2:$A$3000,$A2,'07_Pallet_Contents'!$I$2:$I$3000))</f>
        <v>0</v>
      </c>
      <c r="Z1404" t="str">
        <f>IF($A2="","",IF(COUNTIF('07_Pallet_Contents'!$A$2:$A$3000,$A2)&gt;0,"Yes",""))</f>
        <v/>
      </c>
    </row>
    <row r="1405" spans="2:26">
      <c r="B1405" s="31"/>
      <c r="G1405" s="34"/>
      <c r="H1405" s="33" t="str">
        <f t="shared" si="29"/>
        <v/>
      </c>
      <c r="I1405" s="31"/>
      <c r="J1405" s="31"/>
      <c r="K1405" s="33"/>
      <c r="W1405">
        <f>IF($A2="","",COUNTIF('07_Pallet_Contents'!$A$2:$A$3000,$A2))</f>
        <v>0</v>
      </c>
      <c r="X1405">
        <f>IF($A2="","",SUMIF('07_Pallet_Contents'!$A$2:$A$3000,$A2,'07_Pallet_Contents'!$D$2:$D$3000))</f>
        <v>0</v>
      </c>
      <c r="Y1405">
        <f>IF($A2="","",SUMIF('07_Pallet_Contents'!$A$2:$A$3000,$A2,'07_Pallet_Contents'!$I$2:$I$3000))</f>
        <v>0</v>
      </c>
      <c r="Z1405" t="str">
        <f>IF($A2="","",IF(COUNTIF('07_Pallet_Contents'!$A$2:$A$3000,$A2)&gt;0,"Yes",""))</f>
        <v/>
      </c>
    </row>
    <row r="1406" spans="2:26">
      <c r="B1406" s="31"/>
      <c r="G1406" s="34"/>
      <c r="H1406" s="33" t="str">
        <f t="shared" si="29"/>
        <v/>
      </c>
      <c r="I1406" s="31"/>
      <c r="J1406" s="31"/>
      <c r="K1406" s="33"/>
      <c r="W1406">
        <f>IF($A2="","",COUNTIF('07_Pallet_Contents'!$A$2:$A$3000,$A2))</f>
        <v>0</v>
      </c>
      <c r="X1406">
        <f>IF($A2="","",SUMIF('07_Pallet_Contents'!$A$2:$A$3000,$A2,'07_Pallet_Contents'!$D$2:$D$3000))</f>
        <v>0</v>
      </c>
      <c r="Y1406">
        <f>IF($A2="","",SUMIF('07_Pallet_Contents'!$A$2:$A$3000,$A2,'07_Pallet_Contents'!$I$2:$I$3000))</f>
        <v>0</v>
      </c>
      <c r="Z1406" t="str">
        <f>IF($A2="","",IF(COUNTIF('07_Pallet_Contents'!$A$2:$A$3000,$A2)&gt;0,"Yes",""))</f>
        <v/>
      </c>
    </row>
    <row r="1407" spans="2:26">
      <c r="B1407" s="31"/>
      <c r="G1407" s="34"/>
      <c r="H1407" s="33" t="str">
        <f t="shared" si="29"/>
        <v/>
      </c>
      <c r="I1407" s="31"/>
      <c r="J1407" s="31"/>
      <c r="K1407" s="33"/>
      <c r="W1407">
        <f>IF($A2="","",COUNTIF('07_Pallet_Contents'!$A$2:$A$3000,$A2))</f>
        <v>0</v>
      </c>
      <c r="X1407">
        <f>IF($A2="","",SUMIF('07_Pallet_Contents'!$A$2:$A$3000,$A2,'07_Pallet_Contents'!$D$2:$D$3000))</f>
        <v>0</v>
      </c>
      <c r="Y1407">
        <f>IF($A2="","",SUMIF('07_Pallet_Contents'!$A$2:$A$3000,$A2,'07_Pallet_Contents'!$I$2:$I$3000))</f>
        <v>0</v>
      </c>
      <c r="Z1407" t="str">
        <f>IF($A2="","",IF(COUNTIF('07_Pallet_Contents'!$A$2:$A$3000,$A2)&gt;0,"Yes",""))</f>
        <v/>
      </c>
    </row>
    <row r="1408" spans="2:26">
      <c r="B1408" s="31"/>
      <c r="G1408" s="34"/>
      <c r="H1408" s="33" t="str">
        <f t="shared" si="29"/>
        <v/>
      </c>
      <c r="I1408" s="31"/>
      <c r="J1408" s="31"/>
      <c r="K1408" s="33"/>
      <c r="W1408">
        <f>IF($A2="","",COUNTIF('07_Pallet_Contents'!$A$2:$A$3000,$A2))</f>
        <v>0</v>
      </c>
      <c r="X1408">
        <f>IF($A2="","",SUMIF('07_Pallet_Contents'!$A$2:$A$3000,$A2,'07_Pallet_Contents'!$D$2:$D$3000))</f>
        <v>0</v>
      </c>
      <c r="Y1408">
        <f>IF($A2="","",SUMIF('07_Pallet_Contents'!$A$2:$A$3000,$A2,'07_Pallet_Contents'!$I$2:$I$3000))</f>
        <v>0</v>
      </c>
      <c r="Z1408" t="str">
        <f>IF($A2="","",IF(COUNTIF('07_Pallet_Contents'!$A$2:$A$3000,$A2)&gt;0,"Yes",""))</f>
        <v/>
      </c>
    </row>
    <row r="1409" spans="2:26">
      <c r="B1409" s="31"/>
      <c r="G1409" s="34"/>
      <c r="H1409" s="33" t="str">
        <f t="shared" si="29"/>
        <v/>
      </c>
      <c r="I1409" s="31"/>
      <c r="J1409" s="31"/>
      <c r="K1409" s="33"/>
      <c r="W1409">
        <f>IF($A2="","",COUNTIF('07_Pallet_Contents'!$A$2:$A$3000,$A2))</f>
        <v>0</v>
      </c>
      <c r="X1409">
        <f>IF($A2="","",SUMIF('07_Pallet_Contents'!$A$2:$A$3000,$A2,'07_Pallet_Contents'!$D$2:$D$3000))</f>
        <v>0</v>
      </c>
      <c r="Y1409">
        <f>IF($A2="","",SUMIF('07_Pallet_Contents'!$A$2:$A$3000,$A2,'07_Pallet_Contents'!$I$2:$I$3000))</f>
        <v>0</v>
      </c>
      <c r="Z1409" t="str">
        <f>IF($A2="","",IF(COUNTIF('07_Pallet_Contents'!$A$2:$A$3000,$A2)&gt;0,"Yes",""))</f>
        <v/>
      </c>
    </row>
    <row r="1410" spans="2:26">
      <c r="B1410" s="31"/>
      <c r="G1410" s="34"/>
      <c r="H1410" s="33" t="str">
        <f t="shared" ref="H1410:H1473" si="30">IF(AND($F1410="TEMP",$G1410&gt;0,$M1410&lt;&gt;""),$M1410+$G1410,"")</f>
        <v/>
      </c>
      <c r="I1410" s="31"/>
      <c r="J1410" s="31"/>
      <c r="K1410" s="33"/>
      <c r="W1410">
        <f>IF($A2="","",COUNTIF('07_Pallet_Contents'!$A$2:$A$3000,$A2))</f>
        <v>0</v>
      </c>
      <c r="X1410">
        <f>IF($A2="","",SUMIF('07_Pallet_Contents'!$A$2:$A$3000,$A2,'07_Pallet_Contents'!$D$2:$D$3000))</f>
        <v>0</v>
      </c>
      <c r="Y1410">
        <f>IF($A2="","",SUMIF('07_Pallet_Contents'!$A$2:$A$3000,$A2,'07_Pallet_Contents'!$I$2:$I$3000))</f>
        <v>0</v>
      </c>
      <c r="Z1410" t="str">
        <f>IF($A2="","",IF(COUNTIF('07_Pallet_Contents'!$A$2:$A$3000,$A2)&gt;0,"Yes",""))</f>
        <v/>
      </c>
    </row>
    <row r="1411" spans="2:26">
      <c r="B1411" s="31"/>
      <c r="G1411" s="34"/>
      <c r="H1411" s="33" t="str">
        <f t="shared" si="30"/>
        <v/>
      </c>
      <c r="I1411" s="31"/>
      <c r="J1411" s="31"/>
      <c r="K1411" s="33"/>
      <c r="W1411">
        <f>IF($A2="","",COUNTIF('07_Pallet_Contents'!$A$2:$A$3000,$A2))</f>
        <v>0</v>
      </c>
      <c r="X1411">
        <f>IF($A2="","",SUMIF('07_Pallet_Contents'!$A$2:$A$3000,$A2,'07_Pallet_Contents'!$D$2:$D$3000))</f>
        <v>0</v>
      </c>
      <c r="Y1411">
        <f>IF($A2="","",SUMIF('07_Pallet_Contents'!$A$2:$A$3000,$A2,'07_Pallet_Contents'!$I$2:$I$3000))</f>
        <v>0</v>
      </c>
      <c r="Z1411" t="str">
        <f>IF($A2="","",IF(COUNTIF('07_Pallet_Contents'!$A$2:$A$3000,$A2)&gt;0,"Yes",""))</f>
        <v/>
      </c>
    </row>
    <row r="1412" spans="2:26">
      <c r="B1412" s="31"/>
      <c r="G1412" s="34"/>
      <c r="H1412" s="33" t="str">
        <f t="shared" si="30"/>
        <v/>
      </c>
      <c r="I1412" s="31"/>
      <c r="J1412" s="31"/>
      <c r="K1412" s="33"/>
      <c r="W1412">
        <f>IF($A2="","",COUNTIF('07_Pallet_Contents'!$A$2:$A$3000,$A2))</f>
        <v>0</v>
      </c>
      <c r="X1412">
        <f>IF($A2="","",SUMIF('07_Pallet_Contents'!$A$2:$A$3000,$A2,'07_Pallet_Contents'!$D$2:$D$3000))</f>
        <v>0</v>
      </c>
      <c r="Y1412">
        <f>IF($A2="","",SUMIF('07_Pallet_Contents'!$A$2:$A$3000,$A2,'07_Pallet_Contents'!$I$2:$I$3000))</f>
        <v>0</v>
      </c>
      <c r="Z1412" t="str">
        <f>IF($A2="","",IF(COUNTIF('07_Pallet_Contents'!$A$2:$A$3000,$A2)&gt;0,"Yes",""))</f>
        <v/>
      </c>
    </row>
    <row r="1413" spans="2:26">
      <c r="B1413" s="31"/>
      <c r="G1413" s="34"/>
      <c r="H1413" s="33" t="str">
        <f t="shared" si="30"/>
        <v/>
      </c>
      <c r="I1413" s="31"/>
      <c r="J1413" s="31"/>
      <c r="K1413" s="33"/>
      <c r="W1413">
        <f>IF($A2="","",COUNTIF('07_Pallet_Contents'!$A$2:$A$3000,$A2))</f>
        <v>0</v>
      </c>
      <c r="X1413">
        <f>IF($A2="","",SUMIF('07_Pallet_Contents'!$A$2:$A$3000,$A2,'07_Pallet_Contents'!$D$2:$D$3000))</f>
        <v>0</v>
      </c>
      <c r="Y1413">
        <f>IF($A2="","",SUMIF('07_Pallet_Contents'!$A$2:$A$3000,$A2,'07_Pallet_Contents'!$I$2:$I$3000))</f>
        <v>0</v>
      </c>
      <c r="Z1413" t="str">
        <f>IF($A2="","",IF(COUNTIF('07_Pallet_Contents'!$A$2:$A$3000,$A2)&gt;0,"Yes",""))</f>
        <v/>
      </c>
    </row>
    <row r="1414" spans="2:26">
      <c r="B1414" s="31"/>
      <c r="G1414" s="34"/>
      <c r="H1414" s="33" t="str">
        <f t="shared" si="30"/>
        <v/>
      </c>
      <c r="I1414" s="31"/>
      <c r="J1414" s="31"/>
      <c r="K1414" s="33"/>
      <c r="W1414">
        <f>IF($A2="","",COUNTIF('07_Pallet_Contents'!$A$2:$A$3000,$A2))</f>
        <v>0</v>
      </c>
      <c r="X1414">
        <f>IF($A2="","",SUMIF('07_Pallet_Contents'!$A$2:$A$3000,$A2,'07_Pallet_Contents'!$D$2:$D$3000))</f>
        <v>0</v>
      </c>
      <c r="Y1414">
        <f>IF($A2="","",SUMIF('07_Pallet_Contents'!$A$2:$A$3000,$A2,'07_Pallet_Contents'!$I$2:$I$3000))</f>
        <v>0</v>
      </c>
      <c r="Z1414" t="str">
        <f>IF($A2="","",IF(COUNTIF('07_Pallet_Contents'!$A$2:$A$3000,$A2)&gt;0,"Yes",""))</f>
        <v/>
      </c>
    </row>
    <row r="1415" spans="2:26">
      <c r="B1415" s="31"/>
      <c r="G1415" s="34"/>
      <c r="H1415" s="33" t="str">
        <f t="shared" si="30"/>
        <v/>
      </c>
      <c r="I1415" s="31"/>
      <c r="J1415" s="31"/>
      <c r="K1415" s="33"/>
      <c r="W1415">
        <f>IF($A2="","",COUNTIF('07_Pallet_Contents'!$A$2:$A$3000,$A2))</f>
        <v>0</v>
      </c>
      <c r="X1415">
        <f>IF($A2="","",SUMIF('07_Pallet_Contents'!$A$2:$A$3000,$A2,'07_Pallet_Contents'!$D$2:$D$3000))</f>
        <v>0</v>
      </c>
      <c r="Y1415">
        <f>IF($A2="","",SUMIF('07_Pallet_Contents'!$A$2:$A$3000,$A2,'07_Pallet_Contents'!$I$2:$I$3000))</f>
        <v>0</v>
      </c>
      <c r="Z1415" t="str">
        <f>IF($A2="","",IF(COUNTIF('07_Pallet_Contents'!$A$2:$A$3000,$A2)&gt;0,"Yes",""))</f>
        <v/>
      </c>
    </row>
    <row r="1416" spans="2:26">
      <c r="B1416" s="31"/>
      <c r="G1416" s="34"/>
      <c r="H1416" s="33" t="str">
        <f t="shared" si="30"/>
        <v/>
      </c>
      <c r="I1416" s="31"/>
      <c r="J1416" s="31"/>
      <c r="K1416" s="33"/>
      <c r="W1416">
        <f>IF($A2="","",COUNTIF('07_Pallet_Contents'!$A$2:$A$3000,$A2))</f>
        <v>0</v>
      </c>
      <c r="X1416">
        <f>IF($A2="","",SUMIF('07_Pallet_Contents'!$A$2:$A$3000,$A2,'07_Pallet_Contents'!$D$2:$D$3000))</f>
        <v>0</v>
      </c>
      <c r="Y1416">
        <f>IF($A2="","",SUMIF('07_Pallet_Contents'!$A$2:$A$3000,$A2,'07_Pallet_Contents'!$I$2:$I$3000))</f>
        <v>0</v>
      </c>
      <c r="Z1416" t="str">
        <f>IF($A2="","",IF(COUNTIF('07_Pallet_Contents'!$A$2:$A$3000,$A2)&gt;0,"Yes",""))</f>
        <v/>
      </c>
    </row>
    <row r="1417" spans="2:26">
      <c r="B1417" s="31"/>
      <c r="G1417" s="34"/>
      <c r="H1417" s="33" t="str">
        <f t="shared" si="30"/>
        <v/>
      </c>
      <c r="I1417" s="31"/>
      <c r="J1417" s="31"/>
      <c r="K1417" s="33"/>
      <c r="W1417">
        <f>IF($A2="","",COUNTIF('07_Pallet_Contents'!$A$2:$A$3000,$A2))</f>
        <v>0</v>
      </c>
      <c r="X1417">
        <f>IF($A2="","",SUMIF('07_Pallet_Contents'!$A$2:$A$3000,$A2,'07_Pallet_Contents'!$D$2:$D$3000))</f>
        <v>0</v>
      </c>
      <c r="Y1417">
        <f>IF($A2="","",SUMIF('07_Pallet_Contents'!$A$2:$A$3000,$A2,'07_Pallet_Contents'!$I$2:$I$3000))</f>
        <v>0</v>
      </c>
      <c r="Z1417" t="str">
        <f>IF($A2="","",IF(COUNTIF('07_Pallet_Contents'!$A$2:$A$3000,$A2)&gt;0,"Yes",""))</f>
        <v/>
      </c>
    </row>
    <row r="1418" spans="2:26">
      <c r="B1418" s="31"/>
      <c r="G1418" s="34"/>
      <c r="H1418" s="33" t="str">
        <f t="shared" si="30"/>
        <v/>
      </c>
      <c r="I1418" s="31"/>
      <c r="J1418" s="31"/>
      <c r="K1418" s="33"/>
      <c r="W1418">
        <f>IF($A2="","",COUNTIF('07_Pallet_Contents'!$A$2:$A$3000,$A2))</f>
        <v>0</v>
      </c>
      <c r="X1418">
        <f>IF($A2="","",SUMIF('07_Pallet_Contents'!$A$2:$A$3000,$A2,'07_Pallet_Contents'!$D$2:$D$3000))</f>
        <v>0</v>
      </c>
      <c r="Y1418">
        <f>IF($A2="","",SUMIF('07_Pallet_Contents'!$A$2:$A$3000,$A2,'07_Pallet_Contents'!$I$2:$I$3000))</f>
        <v>0</v>
      </c>
      <c r="Z1418" t="str">
        <f>IF($A2="","",IF(COUNTIF('07_Pallet_Contents'!$A$2:$A$3000,$A2)&gt;0,"Yes",""))</f>
        <v/>
      </c>
    </row>
    <row r="1419" spans="2:26">
      <c r="B1419" s="31"/>
      <c r="G1419" s="34"/>
      <c r="H1419" s="33" t="str">
        <f t="shared" si="30"/>
        <v/>
      </c>
      <c r="I1419" s="31"/>
      <c r="J1419" s="31"/>
      <c r="K1419" s="33"/>
      <c r="W1419">
        <f>IF($A2="","",COUNTIF('07_Pallet_Contents'!$A$2:$A$3000,$A2))</f>
        <v>0</v>
      </c>
      <c r="X1419">
        <f>IF($A2="","",SUMIF('07_Pallet_Contents'!$A$2:$A$3000,$A2,'07_Pallet_Contents'!$D$2:$D$3000))</f>
        <v>0</v>
      </c>
      <c r="Y1419">
        <f>IF($A2="","",SUMIF('07_Pallet_Contents'!$A$2:$A$3000,$A2,'07_Pallet_Contents'!$I$2:$I$3000))</f>
        <v>0</v>
      </c>
      <c r="Z1419" t="str">
        <f>IF($A2="","",IF(COUNTIF('07_Pallet_Contents'!$A$2:$A$3000,$A2)&gt;0,"Yes",""))</f>
        <v/>
      </c>
    </row>
    <row r="1420" spans="2:26">
      <c r="B1420" s="31"/>
      <c r="G1420" s="34"/>
      <c r="H1420" s="33" t="str">
        <f t="shared" si="30"/>
        <v/>
      </c>
      <c r="I1420" s="31"/>
      <c r="J1420" s="31"/>
      <c r="K1420" s="33"/>
      <c r="W1420">
        <f>IF($A2="","",COUNTIF('07_Pallet_Contents'!$A$2:$A$3000,$A2))</f>
        <v>0</v>
      </c>
      <c r="X1420">
        <f>IF($A2="","",SUMIF('07_Pallet_Contents'!$A$2:$A$3000,$A2,'07_Pallet_Contents'!$D$2:$D$3000))</f>
        <v>0</v>
      </c>
      <c r="Y1420">
        <f>IF($A2="","",SUMIF('07_Pallet_Contents'!$A$2:$A$3000,$A2,'07_Pallet_Contents'!$I$2:$I$3000))</f>
        <v>0</v>
      </c>
      <c r="Z1420" t="str">
        <f>IF($A2="","",IF(COUNTIF('07_Pallet_Contents'!$A$2:$A$3000,$A2)&gt;0,"Yes",""))</f>
        <v/>
      </c>
    </row>
    <row r="1421" spans="2:26">
      <c r="B1421" s="31"/>
      <c r="G1421" s="34"/>
      <c r="H1421" s="33" t="str">
        <f t="shared" si="30"/>
        <v/>
      </c>
      <c r="I1421" s="31"/>
      <c r="J1421" s="31"/>
      <c r="K1421" s="33"/>
      <c r="W1421">
        <f>IF($A2="","",COUNTIF('07_Pallet_Contents'!$A$2:$A$3000,$A2))</f>
        <v>0</v>
      </c>
      <c r="X1421">
        <f>IF($A2="","",SUMIF('07_Pallet_Contents'!$A$2:$A$3000,$A2,'07_Pallet_Contents'!$D$2:$D$3000))</f>
        <v>0</v>
      </c>
      <c r="Y1421">
        <f>IF($A2="","",SUMIF('07_Pallet_Contents'!$A$2:$A$3000,$A2,'07_Pallet_Contents'!$I$2:$I$3000))</f>
        <v>0</v>
      </c>
      <c r="Z1421" t="str">
        <f>IF($A2="","",IF(COUNTIF('07_Pallet_Contents'!$A$2:$A$3000,$A2)&gt;0,"Yes",""))</f>
        <v/>
      </c>
    </row>
    <row r="1422" spans="2:26">
      <c r="B1422" s="31"/>
      <c r="G1422" s="34"/>
      <c r="H1422" s="33" t="str">
        <f t="shared" si="30"/>
        <v/>
      </c>
      <c r="I1422" s="31"/>
      <c r="J1422" s="31"/>
      <c r="K1422" s="33"/>
      <c r="W1422">
        <f>IF($A2="","",COUNTIF('07_Pallet_Contents'!$A$2:$A$3000,$A2))</f>
        <v>0</v>
      </c>
      <c r="X1422">
        <f>IF($A2="","",SUMIF('07_Pallet_Contents'!$A$2:$A$3000,$A2,'07_Pallet_Contents'!$D$2:$D$3000))</f>
        <v>0</v>
      </c>
      <c r="Y1422">
        <f>IF($A2="","",SUMIF('07_Pallet_Contents'!$A$2:$A$3000,$A2,'07_Pallet_Contents'!$I$2:$I$3000))</f>
        <v>0</v>
      </c>
      <c r="Z1422" t="str">
        <f>IF($A2="","",IF(COUNTIF('07_Pallet_Contents'!$A$2:$A$3000,$A2)&gt;0,"Yes",""))</f>
        <v/>
      </c>
    </row>
    <row r="1423" spans="2:26">
      <c r="B1423" s="31"/>
      <c r="G1423" s="34"/>
      <c r="H1423" s="33" t="str">
        <f t="shared" si="30"/>
        <v/>
      </c>
      <c r="I1423" s="31"/>
      <c r="J1423" s="31"/>
      <c r="K1423" s="33"/>
      <c r="W1423">
        <f>IF($A2="","",COUNTIF('07_Pallet_Contents'!$A$2:$A$3000,$A2))</f>
        <v>0</v>
      </c>
      <c r="X1423">
        <f>IF($A2="","",SUMIF('07_Pallet_Contents'!$A$2:$A$3000,$A2,'07_Pallet_Contents'!$D$2:$D$3000))</f>
        <v>0</v>
      </c>
      <c r="Y1423">
        <f>IF($A2="","",SUMIF('07_Pallet_Contents'!$A$2:$A$3000,$A2,'07_Pallet_Contents'!$I$2:$I$3000))</f>
        <v>0</v>
      </c>
      <c r="Z1423" t="str">
        <f>IF($A2="","",IF(COUNTIF('07_Pallet_Contents'!$A$2:$A$3000,$A2)&gt;0,"Yes",""))</f>
        <v/>
      </c>
    </row>
    <row r="1424" spans="2:26">
      <c r="B1424" s="31"/>
      <c r="G1424" s="34"/>
      <c r="H1424" s="33" t="str">
        <f t="shared" si="30"/>
        <v/>
      </c>
      <c r="I1424" s="31"/>
      <c r="J1424" s="31"/>
      <c r="K1424" s="33"/>
      <c r="W1424">
        <f>IF($A2="","",COUNTIF('07_Pallet_Contents'!$A$2:$A$3000,$A2))</f>
        <v>0</v>
      </c>
      <c r="X1424">
        <f>IF($A2="","",SUMIF('07_Pallet_Contents'!$A$2:$A$3000,$A2,'07_Pallet_Contents'!$D$2:$D$3000))</f>
        <v>0</v>
      </c>
      <c r="Y1424">
        <f>IF($A2="","",SUMIF('07_Pallet_Contents'!$A$2:$A$3000,$A2,'07_Pallet_Contents'!$I$2:$I$3000))</f>
        <v>0</v>
      </c>
      <c r="Z1424" t="str">
        <f>IF($A2="","",IF(COUNTIF('07_Pallet_Contents'!$A$2:$A$3000,$A2)&gt;0,"Yes",""))</f>
        <v/>
      </c>
    </row>
    <row r="1425" spans="2:26">
      <c r="B1425" s="31"/>
      <c r="G1425" s="34"/>
      <c r="H1425" s="33" t="str">
        <f t="shared" si="30"/>
        <v/>
      </c>
      <c r="I1425" s="31"/>
      <c r="J1425" s="31"/>
      <c r="K1425" s="33"/>
      <c r="W1425">
        <f>IF($A2="","",COUNTIF('07_Pallet_Contents'!$A$2:$A$3000,$A2))</f>
        <v>0</v>
      </c>
      <c r="X1425">
        <f>IF($A2="","",SUMIF('07_Pallet_Contents'!$A$2:$A$3000,$A2,'07_Pallet_Contents'!$D$2:$D$3000))</f>
        <v>0</v>
      </c>
      <c r="Y1425">
        <f>IF($A2="","",SUMIF('07_Pallet_Contents'!$A$2:$A$3000,$A2,'07_Pallet_Contents'!$I$2:$I$3000))</f>
        <v>0</v>
      </c>
      <c r="Z1425" t="str">
        <f>IF($A2="","",IF(COUNTIF('07_Pallet_Contents'!$A$2:$A$3000,$A2)&gt;0,"Yes",""))</f>
        <v/>
      </c>
    </row>
    <row r="1426" spans="2:26">
      <c r="B1426" s="31"/>
      <c r="G1426" s="34"/>
      <c r="H1426" s="33" t="str">
        <f t="shared" si="30"/>
        <v/>
      </c>
      <c r="I1426" s="31"/>
      <c r="J1426" s="31"/>
      <c r="K1426" s="33"/>
      <c r="W1426">
        <f>IF($A2="","",COUNTIF('07_Pallet_Contents'!$A$2:$A$3000,$A2))</f>
        <v>0</v>
      </c>
      <c r="X1426">
        <f>IF($A2="","",SUMIF('07_Pallet_Contents'!$A$2:$A$3000,$A2,'07_Pallet_Contents'!$D$2:$D$3000))</f>
        <v>0</v>
      </c>
      <c r="Y1426">
        <f>IF($A2="","",SUMIF('07_Pallet_Contents'!$A$2:$A$3000,$A2,'07_Pallet_Contents'!$I$2:$I$3000))</f>
        <v>0</v>
      </c>
      <c r="Z1426" t="str">
        <f>IF($A2="","",IF(COUNTIF('07_Pallet_Contents'!$A$2:$A$3000,$A2)&gt;0,"Yes",""))</f>
        <v/>
      </c>
    </row>
    <row r="1427" spans="2:26">
      <c r="B1427" s="31"/>
      <c r="G1427" s="34"/>
      <c r="H1427" s="33" t="str">
        <f t="shared" si="30"/>
        <v/>
      </c>
      <c r="I1427" s="31"/>
      <c r="J1427" s="31"/>
      <c r="K1427" s="33"/>
      <c r="W1427">
        <f>IF($A2="","",COUNTIF('07_Pallet_Contents'!$A$2:$A$3000,$A2))</f>
        <v>0</v>
      </c>
      <c r="X1427">
        <f>IF($A2="","",SUMIF('07_Pallet_Contents'!$A$2:$A$3000,$A2,'07_Pallet_Contents'!$D$2:$D$3000))</f>
        <v>0</v>
      </c>
      <c r="Y1427">
        <f>IF($A2="","",SUMIF('07_Pallet_Contents'!$A$2:$A$3000,$A2,'07_Pallet_Contents'!$I$2:$I$3000))</f>
        <v>0</v>
      </c>
      <c r="Z1427" t="str">
        <f>IF($A2="","",IF(COUNTIF('07_Pallet_Contents'!$A$2:$A$3000,$A2)&gt;0,"Yes",""))</f>
        <v/>
      </c>
    </row>
    <row r="1428" spans="2:26">
      <c r="B1428" s="31"/>
      <c r="G1428" s="34"/>
      <c r="H1428" s="33" t="str">
        <f t="shared" si="30"/>
        <v/>
      </c>
      <c r="I1428" s="31"/>
      <c r="J1428" s="31"/>
      <c r="K1428" s="33"/>
      <c r="W1428">
        <f>IF($A2="","",COUNTIF('07_Pallet_Contents'!$A$2:$A$3000,$A2))</f>
        <v>0</v>
      </c>
      <c r="X1428">
        <f>IF($A2="","",SUMIF('07_Pallet_Contents'!$A$2:$A$3000,$A2,'07_Pallet_Contents'!$D$2:$D$3000))</f>
        <v>0</v>
      </c>
      <c r="Y1428">
        <f>IF($A2="","",SUMIF('07_Pallet_Contents'!$A$2:$A$3000,$A2,'07_Pallet_Contents'!$I$2:$I$3000))</f>
        <v>0</v>
      </c>
      <c r="Z1428" t="str">
        <f>IF($A2="","",IF(COUNTIF('07_Pallet_Contents'!$A$2:$A$3000,$A2)&gt;0,"Yes",""))</f>
        <v/>
      </c>
    </row>
    <row r="1429" spans="2:26">
      <c r="B1429" s="31"/>
      <c r="G1429" s="34"/>
      <c r="H1429" s="33" t="str">
        <f t="shared" si="30"/>
        <v/>
      </c>
      <c r="I1429" s="31"/>
      <c r="J1429" s="31"/>
      <c r="K1429" s="33"/>
      <c r="W1429">
        <f>IF($A2="","",COUNTIF('07_Pallet_Contents'!$A$2:$A$3000,$A2))</f>
        <v>0</v>
      </c>
      <c r="X1429">
        <f>IF($A2="","",SUMIF('07_Pallet_Contents'!$A$2:$A$3000,$A2,'07_Pallet_Contents'!$D$2:$D$3000))</f>
        <v>0</v>
      </c>
      <c r="Y1429">
        <f>IF($A2="","",SUMIF('07_Pallet_Contents'!$A$2:$A$3000,$A2,'07_Pallet_Contents'!$I$2:$I$3000))</f>
        <v>0</v>
      </c>
      <c r="Z1429" t="str">
        <f>IF($A2="","",IF(COUNTIF('07_Pallet_Contents'!$A$2:$A$3000,$A2)&gt;0,"Yes",""))</f>
        <v/>
      </c>
    </row>
    <row r="1430" spans="2:26">
      <c r="B1430" s="31"/>
      <c r="G1430" s="34"/>
      <c r="H1430" s="33" t="str">
        <f t="shared" si="30"/>
        <v/>
      </c>
      <c r="I1430" s="31"/>
      <c r="J1430" s="31"/>
      <c r="K1430" s="33"/>
      <c r="W1430">
        <f>IF($A2="","",COUNTIF('07_Pallet_Contents'!$A$2:$A$3000,$A2))</f>
        <v>0</v>
      </c>
      <c r="X1430">
        <f>IF($A2="","",SUMIF('07_Pallet_Contents'!$A$2:$A$3000,$A2,'07_Pallet_Contents'!$D$2:$D$3000))</f>
        <v>0</v>
      </c>
      <c r="Y1430">
        <f>IF($A2="","",SUMIF('07_Pallet_Contents'!$A$2:$A$3000,$A2,'07_Pallet_Contents'!$I$2:$I$3000))</f>
        <v>0</v>
      </c>
      <c r="Z1430" t="str">
        <f>IF($A2="","",IF(COUNTIF('07_Pallet_Contents'!$A$2:$A$3000,$A2)&gt;0,"Yes",""))</f>
        <v/>
      </c>
    </row>
    <row r="1431" spans="2:26">
      <c r="B1431" s="31"/>
      <c r="G1431" s="34"/>
      <c r="H1431" s="33" t="str">
        <f t="shared" si="30"/>
        <v/>
      </c>
      <c r="I1431" s="31"/>
      <c r="J1431" s="31"/>
      <c r="K1431" s="33"/>
      <c r="W1431">
        <f>IF($A2="","",COUNTIF('07_Pallet_Contents'!$A$2:$A$3000,$A2))</f>
        <v>0</v>
      </c>
      <c r="X1431">
        <f>IF($A2="","",SUMIF('07_Pallet_Contents'!$A$2:$A$3000,$A2,'07_Pallet_Contents'!$D$2:$D$3000))</f>
        <v>0</v>
      </c>
      <c r="Y1431">
        <f>IF($A2="","",SUMIF('07_Pallet_Contents'!$A$2:$A$3000,$A2,'07_Pallet_Contents'!$I$2:$I$3000))</f>
        <v>0</v>
      </c>
      <c r="Z1431" t="str">
        <f>IF($A2="","",IF(COUNTIF('07_Pallet_Contents'!$A$2:$A$3000,$A2)&gt;0,"Yes",""))</f>
        <v/>
      </c>
    </row>
    <row r="1432" spans="2:26">
      <c r="B1432" s="31"/>
      <c r="G1432" s="34"/>
      <c r="H1432" s="33" t="str">
        <f t="shared" si="30"/>
        <v/>
      </c>
      <c r="I1432" s="31"/>
      <c r="J1432" s="31"/>
      <c r="K1432" s="33"/>
      <c r="W1432">
        <f>IF($A2="","",COUNTIF('07_Pallet_Contents'!$A$2:$A$3000,$A2))</f>
        <v>0</v>
      </c>
      <c r="X1432">
        <f>IF($A2="","",SUMIF('07_Pallet_Contents'!$A$2:$A$3000,$A2,'07_Pallet_Contents'!$D$2:$D$3000))</f>
        <v>0</v>
      </c>
      <c r="Y1432">
        <f>IF($A2="","",SUMIF('07_Pallet_Contents'!$A$2:$A$3000,$A2,'07_Pallet_Contents'!$I$2:$I$3000))</f>
        <v>0</v>
      </c>
      <c r="Z1432" t="str">
        <f>IF($A2="","",IF(COUNTIF('07_Pallet_Contents'!$A$2:$A$3000,$A2)&gt;0,"Yes",""))</f>
        <v/>
      </c>
    </row>
    <row r="1433" spans="2:26">
      <c r="B1433" s="31"/>
      <c r="G1433" s="34"/>
      <c r="H1433" s="33" t="str">
        <f t="shared" si="30"/>
        <v/>
      </c>
      <c r="I1433" s="31"/>
      <c r="J1433" s="31"/>
      <c r="K1433" s="33"/>
      <c r="W1433">
        <f>IF($A2="","",COUNTIF('07_Pallet_Contents'!$A$2:$A$3000,$A2))</f>
        <v>0</v>
      </c>
      <c r="X1433">
        <f>IF($A2="","",SUMIF('07_Pallet_Contents'!$A$2:$A$3000,$A2,'07_Pallet_Contents'!$D$2:$D$3000))</f>
        <v>0</v>
      </c>
      <c r="Y1433">
        <f>IF($A2="","",SUMIF('07_Pallet_Contents'!$A$2:$A$3000,$A2,'07_Pallet_Contents'!$I$2:$I$3000))</f>
        <v>0</v>
      </c>
      <c r="Z1433" t="str">
        <f>IF($A2="","",IF(COUNTIF('07_Pallet_Contents'!$A$2:$A$3000,$A2)&gt;0,"Yes",""))</f>
        <v/>
      </c>
    </row>
    <row r="1434" spans="2:26">
      <c r="B1434" s="31"/>
      <c r="G1434" s="34"/>
      <c r="H1434" s="33" t="str">
        <f t="shared" si="30"/>
        <v/>
      </c>
      <c r="I1434" s="31"/>
      <c r="J1434" s="31"/>
      <c r="K1434" s="33"/>
      <c r="W1434">
        <f>IF($A2="","",COUNTIF('07_Pallet_Contents'!$A$2:$A$3000,$A2))</f>
        <v>0</v>
      </c>
      <c r="X1434">
        <f>IF($A2="","",SUMIF('07_Pallet_Contents'!$A$2:$A$3000,$A2,'07_Pallet_Contents'!$D$2:$D$3000))</f>
        <v>0</v>
      </c>
      <c r="Y1434">
        <f>IF($A2="","",SUMIF('07_Pallet_Contents'!$A$2:$A$3000,$A2,'07_Pallet_Contents'!$I$2:$I$3000))</f>
        <v>0</v>
      </c>
      <c r="Z1434" t="str">
        <f>IF($A2="","",IF(COUNTIF('07_Pallet_Contents'!$A$2:$A$3000,$A2)&gt;0,"Yes",""))</f>
        <v/>
      </c>
    </row>
    <row r="1435" spans="2:26">
      <c r="B1435" s="31"/>
      <c r="G1435" s="34"/>
      <c r="H1435" s="33" t="str">
        <f t="shared" si="30"/>
        <v/>
      </c>
      <c r="I1435" s="31"/>
      <c r="J1435" s="31"/>
      <c r="K1435" s="33"/>
      <c r="W1435">
        <f>IF($A2="","",COUNTIF('07_Pallet_Contents'!$A$2:$A$3000,$A2))</f>
        <v>0</v>
      </c>
      <c r="X1435">
        <f>IF($A2="","",SUMIF('07_Pallet_Contents'!$A$2:$A$3000,$A2,'07_Pallet_Contents'!$D$2:$D$3000))</f>
        <v>0</v>
      </c>
      <c r="Y1435">
        <f>IF($A2="","",SUMIF('07_Pallet_Contents'!$A$2:$A$3000,$A2,'07_Pallet_Contents'!$I$2:$I$3000))</f>
        <v>0</v>
      </c>
      <c r="Z1435" t="str">
        <f>IF($A2="","",IF(COUNTIF('07_Pallet_Contents'!$A$2:$A$3000,$A2)&gt;0,"Yes",""))</f>
        <v/>
      </c>
    </row>
    <row r="1436" spans="2:26">
      <c r="B1436" s="31"/>
      <c r="G1436" s="34"/>
      <c r="H1436" s="33" t="str">
        <f t="shared" si="30"/>
        <v/>
      </c>
      <c r="I1436" s="31"/>
      <c r="J1436" s="31"/>
      <c r="K1436" s="33"/>
      <c r="W1436">
        <f>IF($A2="","",COUNTIF('07_Pallet_Contents'!$A$2:$A$3000,$A2))</f>
        <v>0</v>
      </c>
      <c r="X1436">
        <f>IF($A2="","",SUMIF('07_Pallet_Contents'!$A$2:$A$3000,$A2,'07_Pallet_Contents'!$D$2:$D$3000))</f>
        <v>0</v>
      </c>
      <c r="Y1436">
        <f>IF($A2="","",SUMIF('07_Pallet_Contents'!$A$2:$A$3000,$A2,'07_Pallet_Contents'!$I$2:$I$3000))</f>
        <v>0</v>
      </c>
      <c r="Z1436" t="str">
        <f>IF($A2="","",IF(COUNTIF('07_Pallet_Contents'!$A$2:$A$3000,$A2)&gt;0,"Yes",""))</f>
        <v/>
      </c>
    </row>
    <row r="1437" spans="2:26">
      <c r="B1437" s="31"/>
      <c r="G1437" s="34"/>
      <c r="H1437" s="33" t="str">
        <f t="shared" si="30"/>
        <v/>
      </c>
      <c r="I1437" s="31"/>
      <c r="J1437" s="31"/>
      <c r="K1437" s="33"/>
      <c r="W1437">
        <f>IF($A2="","",COUNTIF('07_Pallet_Contents'!$A$2:$A$3000,$A2))</f>
        <v>0</v>
      </c>
      <c r="X1437">
        <f>IF($A2="","",SUMIF('07_Pallet_Contents'!$A$2:$A$3000,$A2,'07_Pallet_Contents'!$D$2:$D$3000))</f>
        <v>0</v>
      </c>
      <c r="Y1437">
        <f>IF($A2="","",SUMIF('07_Pallet_Contents'!$A$2:$A$3000,$A2,'07_Pallet_Contents'!$I$2:$I$3000))</f>
        <v>0</v>
      </c>
      <c r="Z1437" t="str">
        <f>IF($A2="","",IF(COUNTIF('07_Pallet_Contents'!$A$2:$A$3000,$A2)&gt;0,"Yes",""))</f>
        <v/>
      </c>
    </row>
    <row r="1438" spans="2:26">
      <c r="B1438" s="31"/>
      <c r="G1438" s="34"/>
      <c r="H1438" s="33" t="str">
        <f t="shared" si="30"/>
        <v/>
      </c>
      <c r="I1438" s="31"/>
      <c r="J1438" s="31"/>
      <c r="K1438" s="33"/>
      <c r="W1438">
        <f>IF($A2="","",COUNTIF('07_Pallet_Contents'!$A$2:$A$3000,$A2))</f>
        <v>0</v>
      </c>
      <c r="X1438">
        <f>IF($A2="","",SUMIF('07_Pallet_Contents'!$A$2:$A$3000,$A2,'07_Pallet_Contents'!$D$2:$D$3000))</f>
        <v>0</v>
      </c>
      <c r="Y1438">
        <f>IF($A2="","",SUMIF('07_Pallet_Contents'!$A$2:$A$3000,$A2,'07_Pallet_Contents'!$I$2:$I$3000))</f>
        <v>0</v>
      </c>
      <c r="Z1438" t="str">
        <f>IF($A2="","",IF(COUNTIF('07_Pallet_Contents'!$A$2:$A$3000,$A2)&gt;0,"Yes",""))</f>
        <v/>
      </c>
    </row>
    <row r="1439" spans="2:26">
      <c r="B1439" s="31"/>
      <c r="G1439" s="34"/>
      <c r="H1439" s="33" t="str">
        <f t="shared" si="30"/>
        <v/>
      </c>
      <c r="I1439" s="31"/>
      <c r="J1439" s="31"/>
      <c r="K1439" s="33"/>
      <c r="W1439">
        <f>IF($A2="","",COUNTIF('07_Pallet_Contents'!$A$2:$A$3000,$A2))</f>
        <v>0</v>
      </c>
      <c r="X1439">
        <f>IF($A2="","",SUMIF('07_Pallet_Contents'!$A$2:$A$3000,$A2,'07_Pallet_Contents'!$D$2:$D$3000))</f>
        <v>0</v>
      </c>
      <c r="Y1439">
        <f>IF($A2="","",SUMIF('07_Pallet_Contents'!$A$2:$A$3000,$A2,'07_Pallet_Contents'!$I$2:$I$3000))</f>
        <v>0</v>
      </c>
      <c r="Z1439" t="str">
        <f>IF($A2="","",IF(COUNTIF('07_Pallet_Contents'!$A$2:$A$3000,$A2)&gt;0,"Yes",""))</f>
        <v/>
      </c>
    </row>
    <row r="1440" spans="2:26">
      <c r="B1440" s="31"/>
      <c r="G1440" s="34"/>
      <c r="H1440" s="33" t="str">
        <f t="shared" si="30"/>
        <v/>
      </c>
      <c r="I1440" s="31"/>
      <c r="J1440" s="31"/>
      <c r="K1440" s="33"/>
      <c r="W1440">
        <f>IF($A2="","",COUNTIF('07_Pallet_Contents'!$A$2:$A$3000,$A2))</f>
        <v>0</v>
      </c>
      <c r="X1440">
        <f>IF($A2="","",SUMIF('07_Pallet_Contents'!$A$2:$A$3000,$A2,'07_Pallet_Contents'!$D$2:$D$3000))</f>
        <v>0</v>
      </c>
      <c r="Y1440">
        <f>IF($A2="","",SUMIF('07_Pallet_Contents'!$A$2:$A$3000,$A2,'07_Pallet_Contents'!$I$2:$I$3000))</f>
        <v>0</v>
      </c>
      <c r="Z1440" t="str">
        <f>IF($A2="","",IF(COUNTIF('07_Pallet_Contents'!$A$2:$A$3000,$A2)&gt;0,"Yes",""))</f>
        <v/>
      </c>
    </row>
    <row r="1441" spans="2:26">
      <c r="B1441" s="31"/>
      <c r="G1441" s="34"/>
      <c r="H1441" s="33" t="str">
        <f t="shared" si="30"/>
        <v/>
      </c>
      <c r="I1441" s="31"/>
      <c r="J1441" s="31"/>
      <c r="K1441" s="33"/>
      <c r="W1441">
        <f>IF($A2="","",COUNTIF('07_Pallet_Contents'!$A$2:$A$3000,$A2))</f>
        <v>0</v>
      </c>
      <c r="X1441">
        <f>IF($A2="","",SUMIF('07_Pallet_Contents'!$A$2:$A$3000,$A2,'07_Pallet_Contents'!$D$2:$D$3000))</f>
        <v>0</v>
      </c>
      <c r="Y1441">
        <f>IF($A2="","",SUMIF('07_Pallet_Contents'!$A$2:$A$3000,$A2,'07_Pallet_Contents'!$I$2:$I$3000))</f>
        <v>0</v>
      </c>
      <c r="Z1441" t="str">
        <f>IF($A2="","",IF(COUNTIF('07_Pallet_Contents'!$A$2:$A$3000,$A2)&gt;0,"Yes",""))</f>
        <v/>
      </c>
    </row>
    <row r="1442" spans="2:26">
      <c r="B1442" s="31"/>
      <c r="G1442" s="34"/>
      <c r="H1442" s="33" t="str">
        <f t="shared" si="30"/>
        <v/>
      </c>
      <c r="I1442" s="31"/>
      <c r="J1442" s="31"/>
      <c r="K1442" s="33"/>
      <c r="W1442">
        <f>IF($A2="","",COUNTIF('07_Pallet_Contents'!$A$2:$A$3000,$A2))</f>
        <v>0</v>
      </c>
      <c r="X1442">
        <f>IF($A2="","",SUMIF('07_Pallet_Contents'!$A$2:$A$3000,$A2,'07_Pallet_Contents'!$D$2:$D$3000))</f>
        <v>0</v>
      </c>
      <c r="Y1442">
        <f>IF($A2="","",SUMIF('07_Pallet_Contents'!$A$2:$A$3000,$A2,'07_Pallet_Contents'!$I$2:$I$3000))</f>
        <v>0</v>
      </c>
      <c r="Z1442" t="str">
        <f>IF($A2="","",IF(COUNTIF('07_Pallet_Contents'!$A$2:$A$3000,$A2)&gt;0,"Yes",""))</f>
        <v/>
      </c>
    </row>
    <row r="1443" spans="2:26">
      <c r="B1443" s="31"/>
      <c r="G1443" s="34"/>
      <c r="H1443" s="33" t="str">
        <f t="shared" si="30"/>
        <v/>
      </c>
      <c r="I1443" s="31"/>
      <c r="J1443" s="31"/>
      <c r="K1443" s="33"/>
      <c r="W1443">
        <f>IF($A2="","",COUNTIF('07_Pallet_Contents'!$A$2:$A$3000,$A2))</f>
        <v>0</v>
      </c>
      <c r="X1443">
        <f>IF($A2="","",SUMIF('07_Pallet_Contents'!$A$2:$A$3000,$A2,'07_Pallet_Contents'!$D$2:$D$3000))</f>
        <v>0</v>
      </c>
      <c r="Y1443">
        <f>IF($A2="","",SUMIF('07_Pallet_Contents'!$A$2:$A$3000,$A2,'07_Pallet_Contents'!$I$2:$I$3000))</f>
        <v>0</v>
      </c>
      <c r="Z1443" t="str">
        <f>IF($A2="","",IF(COUNTIF('07_Pallet_Contents'!$A$2:$A$3000,$A2)&gt;0,"Yes",""))</f>
        <v/>
      </c>
    </row>
    <row r="1444" spans="2:26">
      <c r="B1444" s="31"/>
      <c r="G1444" s="34"/>
      <c r="H1444" s="33" t="str">
        <f t="shared" si="30"/>
        <v/>
      </c>
      <c r="I1444" s="31"/>
      <c r="J1444" s="31"/>
      <c r="K1444" s="33"/>
      <c r="W1444">
        <f>IF($A2="","",COUNTIF('07_Pallet_Contents'!$A$2:$A$3000,$A2))</f>
        <v>0</v>
      </c>
      <c r="X1444">
        <f>IF($A2="","",SUMIF('07_Pallet_Contents'!$A$2:$A$3000,$A2,'07_Pallet_Contents'!$D$2:$D$3000))</f>
        <v>0</v>
      </c>
      <c r="Y1444">
        <f>IF($A2="","",SUMIF('07_Pallet_Contents'!$A$2:$A$3000,$A2,'07_Pallet_Contents'!$I$2:$I$3000))</f>
        <v>0</v>
      </c>
      <c r="Z1444" t="str">
        <f>IF($A2="","",IF(COUNTIF('07_Pallet_Contents'!$A$2:$A$3000,$A2)&gt;0,"Yes",""))</f>
        <v/>
      </c>
    </row>
    <row r="1445" spans="2:26">
      <c r="B1445" s="31"/>
      <c r="G1445" s="34"/>
      <c r="H1445" s="33" t="str">
        <f t="shared" si="30"/>
        <v/>
      </c>
      <c r="I1445" s="31"/>
      <c r="J1445" s="31"/>
      <c r="K1445" s="33"/>
      <c r="W1445">
        <f>IF($A2="","",COUNTIF('07_Pallet_Contents'!$A$2:$A$3000,$A2))</f>
        <v>0</v>
      </c>
      <c r="X1445">
        <f>IF($A2="","",SUMIF('07_Pallet_Contents'!$A$2:$A$3000,$A2,'07_Pallet_Contents'!$D$2:$D$3000))</f>
        <v>0</v>
      </c>
      <c r="Y1445">
        <f>IF($A2="","",SUMIF('07_Pallet_Contents'!$A$2:$A$3000,$A2,'07_Pallet_Contents'!$I$2:$I$3000))</f>
        <v>0</v>
      </c>
      <c r="Z1445" t="str">
        <f>IF($A2="","",IF(COUNTIF('07_Pallet_Contents'!$A$2:$A$3000,$A2)&gt;0,"Yes",""))</f>
        <v/>
      </c>
    </row>
    <row r="1446" spans="2:26">
      <c r="B1446" s="31"/>
      <c r="G1446" s="34"/>
      <c r="H1446" s="33" t="str">
        <f t="shared" si="30"/>
        <v/>
      </c>
      <c r="I1446" s="31"/>
      <c r="J1446" s="31"/>
      <c r="K1446" s="33"/>
      <c r="W1446">
        <f>IF($A2="","",COUNTIF('07_Pallet_Contents'!$A$2:$A$3000,$A2))</f>
        <v>0</v>
      </c>
      <c r="X1446">
        <f>IF($A2="","",SUMIF('07_Pallet_Contents'!$A$2:$A$3000,$A2,'07_Pallet_Contents'!$D$2:$D$3000))</f>
        <v>0</v>
      </c>
      <c r="Y1446">
        <f>IF($A2="","",SUMIF('07_Pallet_Contents'!$A$2:$A$3000,$A2,'07_Pallet_Contents'!$I$2:$I$3000))</f>
        <v>0</v>
      </c>
      <c r="Z1446" t="str">
        <f>IF($A2="","",IF(COUNTIF('07_Pallet_Contents'!$A$2:$A$3000,$A2)&gt;0,"Yes",""))</f>
        <v/>
      </c>
    </row>
    <row r="1447" spans="2:26">
      <c r="B1447" s="31"/>
      <c r="G1447" s="34"/>
      <c r="H1447" s="33" t="str">
        <f t="shared" si="30"/>
        <v/>
      </c>
      <c r="I1447" s="31"/>
      <c r="J1447" s="31"/>
      <c r="K1447" s="33"/>
      <c r="W1447">
        <f>IF($A2="","",COUNTIF('07_Pallet_Contents'!$A$2:$A$3000,$A2))</f>
        <v>0</v>
      </c>
      <c r="X1447">
        <f>IF($A2="","",SUMIF('07_Pallet_Contents'!$A$2:$A$3000,$A2,'07_Pallet_Contents'!$D$2:$D$3000))</f>
        <v>0</v>
      </c>
      <c r="Y1447">
        <f>IF($A2="","",SUMIF('07_Pallet_Contents'!$A$2:$A$3000,$A2,'07_Pallet_Contents'!$I$2:$I$3000))</f>
        <v>0</v>
      </c>
      <c r="Z1447" t="str">
        <f>IF($A2="","",IF(COUNTIF('07_Pallet_Contents'!$A$2:$A$3000,$A2)&gt;0,"Yes",""))</f>
        <v/>
      </c>
    </row>
    <row r="1448" spans="2:26">
      <c r="B1448" s="31"/>
      <c r="G1448" s="34"/>
      <c r="H1448" s="33" t="str">
        <f t="shared" si="30"/>
        <v/>
      </c>
      <c r="I1448" s="31"/>
      <c r="J1448" s="31"/>
      <c r="K1448" s="33"/>
      <c r="W1448">
        <f>IF($A2="","",COUNTIF('07_Pallet_Contents'!$A$2:$A$3000,$A2))</f>
        <v>0</v>
      </c>
      <c r="X1448">
        <f>IF($A2="","",SUMIF('07_Pallet_Contents'!$A$2:$A$3000,$A2,'07_Pallet_Contents'!$D$2:$D$3000))</f>
        <v>0</v>
      </c>
      <c r="Y1448">
        <f>IF($A2="","",SUMIF('07_Pallet_Contents'!$A$2:$A$3000,$A2,'07_Pallet_Contents'!$I$2:$I$3000))</f>
        <v>0</v>
      </c>
      <c r="Z1448" t="str">
        <f>IF($A2="","",IF(COUNTIF('07_Pallet_Contents'!$A$2:$A$3000,$A2)&gt;0,"Yes",""))</f>
        <v/>
      </c>
    </row>
    <row r="1449" spans="2:26">
      <c r="B1449" s="31"/>
      <c r="G1449" s="34"/>
      <c r="H1449" s="33" t="str">
        <f t="shared" si="30"/>
        <v/>
      </c>
      <c r="I1449" s="31"/>
      <c r="J1449" s="31"/>
      <c r="K1449" s="33"/>
      <c r="W1449">
        <f>IF($A2="","",COUNTIF('07_Pallet_Contents'!$A$2:$A$3000,$A2))</f>
        <v>0</v>
      </c>
      <c r="X1449">
        <f>IF($A2="","",SUMIF('07_Pallet_Contents'!$A$2:$A$3000,$A2,'07_Pallet_Contents'!$D$2:$D$3000))</f>
        <v>0</v>
      </c>
      <c r="Y1449">
        <f>IF($A2="","",SUMIF('07_Pallet_Contents'!$A$2:$A$3000,$A2,'07_Pallet_Contents'!$I$2:$I$3000))</f>
        <v>0</v>
      </c>
      <c r="Z1449" t="str">
        <f>IF($A2="","",IF(COUNTIF('07_Pallet_Contents'!$A$2:$A$3000,$A2)&gt;0,"Yes",""))</f>
        <v/>
      </c>
    </row>
    <row r="1450" spans="2:26">
      <c r="B1450" s="31"/>
      <c r="G1450" s="34"/>
      <c r="H1450" s="33" t="str">
        <f t="shared" si="30"/>
        <v/>
      </c>
      <c r="I1450" s="31"/>
      <c r="J1450" s="31"/>
      <c r="K1450" s="33"/>
      <c r="W1450">
        <f>IF($A2="","",COUNTIF('07_Pallet_Contents'!$A$2:$A$3000,$A2))</f>
        <v>0</v>
      </c>
      <c r="X1450">
        <f>IF($A2="","",SUMIF('07_Pallet_Contents'!$A$2:$A$3000,$A2,'07_Pallet_Contents'!$D$2:$D$3000))</f>
        <v>0</v>
      </c>
      <c r="Y1450">
        <f>IF($A2="","",SUMIF('07_Pallet_Contents'!$A$2:$A$3000,$A2,'07_Pallet_Contents'!$I$2:$I$3000))</f>
        <v>0</v>
      </c>
      <c r="Z1450" t="str">
        <f>IF($A2="","",IF(COUNTIF('07_Pallet_Contents'!$A$2:$A$3000,$A2)&gt;0,"Yes",""))</f>
        <v/>
      </c>
    </row>
    <row r="1451" spans="2:26">
      <c r="B1451" s="31"/>
      <c r="G1451" s="34"/>
      <c r="H1451" s="33" t="str">
        <f t="shared" si="30"/>
        <v/>
      </c>
      <c r="I1451" s="31"/>
      <c r="J1451" s="31"/>
      <c r="K1451" s="33"/>
      <c r="W1451">
        <f>IF($A2="","",COUNTIF('07_Pallet_Contents'!$A$2:$A$3000,$A2))</f>
        <v>0</v>
      </c>
      <c r="X1451">
        <f>IF($A2="","",SUMIF('07_Pallet_Contents'!$A$2:$A$3000,$A2,'07_Pallet_Contents'!$D$2:$D$3000))</f>
        <v>0</v>
      </c>
      <c r="Y1451">
        <f>IF($A2="","",SUMIF('07_Pallet_Contents'!$A$2:$A$3000,$A2,'07_Pallet_Contents'!$I$2:$I$3000))</f>
        <v>0</v>
      </c>
      <c r="Z1451" t="str">
        <f>IF($A2="","",IF(COUNTIF('07_Pallet_Contents'!$A$2:$A$3000,$A2)&gt;0,"Yes",""))</f>
        <v/>
      </c>
    </row>
    <row r="1452" spans="2:26">
      <c r="B1452" s="31"/>
      <c r="G1452" s="34"/>
      <c r="H1452" s="33" t="str">
        <f t="shared" si="30"/>
        <v/>
      </c>
      <c r="I1452" s="31"/>
      <c r="J1452" s="31"/>
      <c r="K1452" s="33"/>
      <c r="W1452">
        <f>IF($A2="","",COUNTIF('07_Pallet_Contents'!$A$2:$A$3000,$A2))</f>
        <v>0</v>
      </c>
      <c r="X1452">
        <f>IF($A2="","",SUMIF('07_Pallet_Contents'!$A$2:$A$3000,$A2,'07_Pallet_Contents'!$D$2:$D$3000))</f>
        <v>0</v>
      </c>
      <c r="Y1452">
        <f>IF($A2="","",SUMIF('07_Pallet_Contents'!$A$2:$A$3000,$A2,'07_Pallet_Contents'!$I$2:$I$3000))</f>
        <v>0</v>
      </c>
      <c r="Z1452" t="str">
        <f>IF($A2="","",IF(COUNTIF('07_Pallet_Contents'!$A$2:$A$3000,$A2)&gt;0,"Yes",""))</f>
        <v/>
      </c>
    </row>
    <row r="1453" spans="2:26">
      <c r="B1453" s="31"/>
      <c r="G1453" s="34"/>
      <c r="H1453" s="33" t="str">
        <f t="shared" si="30"/>
        <v/>
      </c>
      <c r="I1453" s="31"/>
      <c r="J1453" s="31"/>
      <c r="K1453" s="33"/>
      <c r="W1453">
        <f>IF($A2="","",COUNTIF('07_Pallet_Contents'!$A$2:$A$3000,$A2))</f>
        <v>0</v>
      </c>
      <c r="X1453">
        <f>IF($A2="","",SUMIF('07_Pallet_Contents'!$A$2:$A$3000,$A2,'07_Pallet_Contents'!$D$2:$D$3000))</f>
        <v>0</v>
      </c>
      <c r="Y1453">
        <f>IF($A2="","",SUMIF('07_Pallet_Contents'!$A$2:$A$3000,$A2,'07_Pallet_Contents'!$I$2:$I$3000))</f>
        <v>0</v>
      </c>
      <c r="Z1453" t="str">
        <f>IF($A2="","",IF(COUNTIF('07_Pallet_Contents'!$A$2:$A$3000,$A2)&gt;0,"Yes",""))</f>
        <v/>
      </c>
    </row>
    <row r="1454" spans="2:26">
      <c r="B1454" s="31"/>
      <c r="G1454" s="34"/>
      <c r="H1454" s="33" t="str">
        <f t="shared" si="30"/>
        <v/>
      </c>
      <c r="I1454" s="31"/>
      <c r="J1454" s="31"/>
      <c r="K1454" s="33"/>
      <c r="W1454">
        <f>IF($A2="","",COUNTIF('07_Pallet_Contents'!$A$2:$A$3000,$A2))</f>
        <v>0</v>
      </c>
      <c r="X1454">
        <f>IF($A2="","",SUMIF('07_Pallet_Contents'!$A$2:$A$3000,$A2,'07_Pallet_Contents'!$D$2:$D$3000))</f>
        <v>0</v>
      </c>
      <c r="Y1454">
        <f>IF($A2="","",SUMIF('07_Pallet_Contents'!$A$2:$A$3000,$A2,'07_Pallet_Contents'!$I$2:$I$3000))</f>
        <v>0</v>
      </c>
      <c r="Z1454" t="str">
        <f>IF($A2="","",IF(COUNTIF('07_Pallet_Contents'!$A$2:$A$3000,$A2)&gt;0,"Yes",""))</f>
        <v/>
      </c>
    </row>
    <row r="1455" spans="2:26">
      <c r="B1455" s="31"/>
      <c r="G1455" s="34"/>
      <c r="H1455" s="33" t="str">
        <f t="shared" si="30"/>
        <v/>
      </c>
      <c r="I1455" s="31"/>
      <c r="J1455" s="31"/>
      <c r="K1455" s="33"/>
      <c r="W1455">
        <f>IF($A2="","",COUNTIF('07_Pallet_Contents'!$A$2:$A$3000,$A2))</f>
        <v>0</v>
      </c>
      <c r="X1455">
        <f>IF($A2="","",SUMIF('07_Pallet_Contents'!$A$2:$A$3000,$A2,'07_Pallet_Contents'!$D$2:$D$3000))</f>
        <v>0</v>
      </c>
      <c r="Y1455">
        <f>IF($A2="","",SUMIF('07_Pallet_Contents'!$A$2:$A$3000,$A2,'07_Pallet_Contents'!$I$2:$I$3000))</f>
        <v>0</v>
      </c>
      <c r="Z1455" t="str">
        <f>IF($A2="","",IF(COUNTIF('07_Pallet_Contents'!$A$2:$A$3000,$A2)&gt;0,"Yes",""))</f>
        <v/>
      </c>
    </row>
    <row r="1456" spans="2:26">
      <c r="B1456" s="31"/>
      <c r="G1456" s="34"/>
      <c r="H1456" s="33" t="str">
        <f t="shared" si="30"/>
        <v/>
      </c>
      <c r="I1456" s="31"/>
      <c r="J1456" s="31"/>
      <c r="K1456" s="33"/>
      <c r="W1456">
        <f>IF($A2="","",COUNTIF('07_Pallet_Contents'!$A$2:$A$3000,$A2))</f>
        <v>0</v>
      </c>
      <c r="X1456">
        <f>IF($A2="","",SUMIF('07_Pallet_Contents'!$A$2:$A$3000,$A2,'07_Pallet_Contents'!$D$2:$D$3000))</f>
        <v>0</v>
      </c>
      <c r="Y1456">
        <f>IF($A2="","",SUMIF('07_Pallet_Contents'!$A$2:$A$3000,$A2,'07_Pallet_Contents'!$I$2:$I$3000))</f>
        <v>0</v>
      </c>
      <c r="Z1456" t="str">
        <f>IF($A2="","",IF(COUNTIF('07_Pallet_Contents'!$A$2:$A$3000,$A2)&gt;0,"Yes",""))</f>
        <v/>
      </c>
    </row>
    <row r="1457" spans="2:26">
      <c r="B1457" s="31"/>
      <c r="G1457" s="34"/>
      <c r="H1457" s="33" t="str">
        <f t="shared" si="30"/>
        <v/>
      </c>
      <c r="I1457" s="31"/>
      <c r="J1457" s="31"/>
      <c r="K1457" s="33"/>
      <c r="W1457">
        <f>IF($A2="","",COUNTIF('07_Pallet_Contents'!$A$2:$A$3000,$A2))</f>
        <v>0</v>
      </c>
      <c r="X1457">
        <f>IF($A2="","",SUMIF('07_Pallet_Contents'!$A$2:$A$3000,$A2,'07_Pallet_Contents'!$D$2:$D$3000))</f>
        <v>0</v>
      </c>
      <c r="Y1457">
        <f>IF($A2="","",SUMIF('07_Pallet_Contents'!$A$2:$A$3000,$A2,'07_Pallet_Contents'!$I$2:$I$3000))</f>
        <v>0</v>
      </c>
      <c r="Z1457" t="str">
        <f>IF($A2="","",IF(COUNTIF('07_Pallet_Contents'!$A$2:$A$3000,$A2)&gt;0,"Yes",""))</f>
        <v/>
      </c>
    </row>
    <row r="1458" spans="2:26">
      <c r="B1458" s="31"/>
      <c r="G1458" s="34"/>
      <c r="H1458" s="33" t="str">
        <f t="shared" si="30"/>
        <v/>
      </c>
      <c r="I1458" s="31"/>
      <c r="J1458" s="31"/>
      <c r="K1458" s="33"/>
      <c r="W1458">
        <f>IF($A2="","",COUNTIF('07_Pallet_Contents'!$A$2:$A$3000,$A2))</f>
        <v>0</v>
      </c>
      <c r="X1458">
        <f>IF($A2="","",SUMIF('07_Pallet_Contents'!$A$2:$A$3000,$A2,'07_Pallet_Contents'!$D$2:$D$3000))</f>
        <v>0</v>
      </c>
      <c r="Y1458">
        <f>IF($A2="","",SUMIF('07_Pallet_Contents'!$A$2:$A$3000,$A2,'07_Pallet_Contents'!$I$2:$I$3000))</f>
        <v>0</v>
      </c>
      <c r="Z1458" t="str">
        <f>IF($A2="","",IF(COUNTIF('07_Pallet_Contents'!$A$2:$A$3000,$A2)&gt;0,"Yes",""))</f>
        <v/>
      </c>
    </row>
    <row r="1459" spans="2:26">
      <c r="B1459" s="31"/>
      <c r="G1459" s="34"/>
      <c r="H1459" s="33" t="str">
        <f t="shared" si="30"/>
        <v/>
      </c>
      <c r="I1459" s="31"/>
      <c r="J1459" s="31"/>
      <c r="K1459" s="33"/>
      <c r="W1459">
        <f>IF($A2="","",COUNTIF('07_Pallet_Contents'!$A$2:$A$3000,$A2))</f>
        <v>0</v>
      </c>
      <c r="X1459">
        <f>IF($A2="","",SUMIF('07_Pallet_Contents'!$A$2:$A$3000,$A2,'07_Pallet_Contents'!$D$2:$D$3000))</f>
        <v>0</v>
      </c>
      <c r="Y1459">
        <f>IF($A2="","",SUMIF('07_Pallet_Contents'!$A$2:$A$3000,$A2,'07_Pallet_Contents'!$I$2:$I$3000))</f>
        <v>0</v>
      </c>
      <c r="Z1459" t="str">
        <f>IF($A2="","",IF(COUNTIF('07_Pallet_Contents'!$A$2:$A$3000,$A2)&gt;0,"Yes",""))</f>
        <v/>
      </c>
    </row>
    <row r="1460" spans="2:26">
      <c r="B1460" s="31"/>
      <c r="G1460" s="34"/>
      <c r="H1460" s="33" t="str">
        <f t="shared" si="30"/>
        <v/>
      </c>
      <c r="I1460" s="31"/>
      <c r="J1460" s="31"/>
      <c r="K1460" s="33"/>
      <c r="W1460">
        <f>IF($A2="","",COUNTIF('07_Pallet_Contents'!$A$2:$A$3000,$A2))</f>
        <v>0</v>
      </c>
      <c r="X1460">
        <f>IF($A2="","",SUMIF('07_Pallet_Contents'!$A$2:$A$3000,$A2,'07_Pallet_Contents'!$D$2:$D$3000))</f>
        <v>0</v>
      </c>
      <c r="Y1460">
        <f>IF($A2="","",SUMIF('07_Pallet_Contents'!$A$2:$A$3000,$A2,'07_Pallet_Contents'!$I$2:$I$3000))</f>
        <v>0</v>
      </c>
      <c r="Z1460" t="str">
        <f>IF($A2="","",IF(COUNTIF('07_Pallet_Contents'!$A$2:$A$3000,$A2)&gt;0,"Yes",""))</f>
        <v/>
      </c>
    </row>
    <row r="1461" spans="2:26">
      <c r="B1461" s="31"/>
      <c r="G1461" s="34"/>
      <c r="H1461" s="33" t="str">
        <f t="shared" si="30"/>
        <v/>
      </c>
      <c r="I1461" s="31"/>
      <c r="J1461" s="31"/>
      <c r="K1461" s="33"/>
      <c r="W1461">
        <f>IF($A2="","",COUNTIF('07_Pallet_Contents'!$A$2:$A$3000,$A2))</f>
        <v>0</v>
      </c>
      <c r="X1461">
        <f>IF($A2="","",SUMIF('07_Pallet_Contents'!$A$2:$A$3000,$A2,'07_Pallet_Contents'!$D$2:$D$3000))</f>
        <v>0</v>
      </c>
      <c r="Y1461">
        <f>IF($A2="","",SUMIF('07_Pallet_Contents'!$A$2:$A$3000,$A2,'07_Pallet_Contents'!$I$2:$I$3000))</f>
        <v>0</v>
      </c>
      <c r="Z1461" t="str">
        <f>IF($A2="","",IF(COUNTIF('07_Pallet_Contents'!$A$2:$A$3000,$A2)&gt;0,"Yes",""))</f>
        <v/>
      </c>
    </row>
    <row r="1462" spans="2:26">
      <c r="B1462" s="31"/>
      <c r="G1462" s="34"/>
      <c r="H1462" s="33" t="str">
        <f t="shared" si="30"/>
        <v/>
      </c>
      <c r="I1462" s="31"/>
      <c r="J1462" s="31"/>
      <c r="K1462" s="33"/>
      <c r="W1462">
        <f>IF($A2="","",COUNTIF('07_Pallet_Contents'!$A$2:$A$3000,$A2))</f>
        <v>0</v>
      </c>
      <c r="X1462">
        <f>IF($A2="","",SUMIF('07_Pallet_Contents'!$A$2:$A$3000,$A2,'07_Pallet_Contents'!$D$2:$D$3000))</f>
        <v>0</v>
      </c>
      <c r="Y1462">
        <f>IF($A2="","",SUMIF('07_Pallet_Contents'!$A$2:$A$3000,$A2,'07_Pallet_Contents'!$I$2:$I$3000))</f>
        <v>0</v>
      </c>
      <c r="Z1462" t="str">
        <f>IF($A2="","",IF(COUNTIF('07_Pallet_Contents'!$A$2:$A$3000,$A2)&gt;0,"Yes",""))</f>
        <v/>
      </c>
    </row>
    <row r="1463" spans="2:26">
      <c r="B1463" s="31"/>
      <c r="G1463" s="34"/>
      <c r="H1463" s="33" t="str">
        <f t="shared" si="30"/>
        <v/>
      </c>
      <c r="I1463" s="31"/>
      <c r="J1463" s="31"/>
      <c r="K1463" s="33"/>
      <c r="W1463">
        <f>IF($A2="","",COUNTIF('07_Pallet_Contents'!$A$2:$A$3000,$A2))</f>
        <v>0</v>
      </c>
      <c r="X1463">
        <f>IF($A2="","",SUMIF('07_Pallet_Contents'!$A$2:$A$3000,$A2,'07_Pallet_Contents'!$D$2:$D$3000))</f>
        <v>0</v>
      </c>
      <c r="Y1463">
        <f>IF($A2="","",SUMIF('07_Pallet_Contents'!$A$2:$A$3000,$A2,'07_Pallet_Contents'!$I$2:$I$3000))</f>
        <v>0</v>
      </c>
      <c r="Z1463" t="str">
        <f>IF($A2="","",IF(COUNTIF('07_Pallet_Contents'!$A$2:$A$3000,$A2)&gt;0,"Yes",""))</f>
        <v/>
      </c>
    </row>
    <row r="1464" spans="2:26">
      <c r="B1464" s="31"/>
      <c r="G1464" s="34"/>
      <c r="H1464" s="33" t="str">
        <f t="shared" si="30"/>
        <v/>
      </c>
      <c r="I1464" s="31"/>
      <c r="J1464" s="31"/>
      <c r="K1464" s="33"/>
      <c r="W1464">
        <f>IF($A2="","",COUNTIF('07_Pallet_Contents'!$A$2:$A$3000,$A2))</f>
        <v>0</v>
      </c>
      <c r="X1464">
        <f>IF($A2="","",SUMIF('07_Pallet_Contents'!$A$2:$A$3000,$A2,'07_Pallet_Contents'!$D$2:$D$3000))</f>
        <v>0</v>
      </c>
      <c r="Y1464">
        <f>IF($A2="","",SUMIF('07_Pallet_Contents'!$A$2:$A$3000,$A2,'07_Pallet_Contents'!$I$2:$I$3000))</f>
        <v>0</v>
      </c>
      <c r="Z1464" t="str">
        <f>IF($A2="","",IF(COUNTIF('07_Pallet_Contents'!$A$2:$A$3000,$A2)&gt;0,"Yes",""))</f>
        <v/>
      </c>
    </row>
    <row r="1465" spans="2:26">
      <c r="B1465" s="31"/>
      <c r="G1465" s="34"/>
      <c r="H1465" s="33" t="str">
        <f t="shared" si="30"/>
        <v/>
      </c>
      <c r="I1465" s="31"/>
      <c r="J1465" s="31"/>
      <c r="K1465" s="33"/>
      <c r="W1465">
        <f>IF($A2="","",COUNTIF('07_Pallet_Contents'!$A$2:$A$3000,$A2))</f>
        <v>0</v>
      </c>
      <c r="X1465">
        <f>IF($A2="","",SUMIF('07_Pallet_Contents'!$A$2:$A$3000,$A2,'07_Pallet_Contents'!$D$2:$D$3000))</f>
        <v>0</v>
      </c>
      <c r="Y1465">
        <f>IF($A2="","",SUMIF('07_Pallet_Contents'!$A$2:$A$3000,$A2,'07_Pallet_Contents'!$I$2:$I$3000))</f>
        <v>0</v>
      </c>
      <c r="Z1465" t="str">
        <f>IF($A2="","",IF(COUNTIF('07_Pallet_Contents'!$A$2:$A$3000,$A2)&gt;0,"Yes",""))</f>
        <v/>
      </c>
    </row>
    <row r="1466" spans="2:26">
      <c r="B1466" s="31"/>
      <c r="G1466" s="34"/>
      <c r="H1466" s="33" t="str">
        <f t="shared" si="30"/>
        <v/>
      </c>
      <c r="I1466" s="31"/>
      <c r="J1466" s="31"/>
      <c r="K1466" s="33"/>
      <c r="W1466">
        <f>IF($A2="","",COUNTIF('07_Pallet_Contents'!$A$2:$A$3000,$A2))</f>
        <v>0</v>
      </c>
      <c r="X1466">
        <f>IF($A2="","",SUMIF('07_Pallet_Contents'!$A$2:$A$3000,$A2,'07_Pallet_Contents'!$D$2:$D$3000))</f>
        <v>0</v>
      </c>
      <c r="Y1466">
        <f>IF($A2="","",SUMIF('07_Pallet_Contents'!$A$2:$A$3000,$A2,'07_Pallet_Contents'!$I$2:$I$3000))</f>
        <v>0</v>
      </c>
      <c r="Z1466" t="str">
        <f>IF($A2="","",IF(COUNTIF('07_Pallet_Contents'!$A$2:$A$3000,$A2)&gt;0,"Yes",""))</f>
        <v/>
      </c>
    </row>
    <row r="1467" spans="2:26">
      <c r="B1467" s="31"/>
      <c r="G1467" s="34"/>
      <c r="H1467" s="33" t="str">
        <f t="shared" si="30"/>
        <v/>
      </c>
      <c r="I1467" s="31"/>
      <c r="J1467" s="31"/>
      <c r="K1467" s="33"/>
      <c r="W1467">
        <f>IF($A2="","",COUNTIF('07_Pallet_Contents'!$A$2:$A$3000,$A2))</f>
        <v>0</v>
      </c>
      <c r="X1467">
        <f>IF($A2="","",SUMIF('07_Pallet_Contents'!$A$2:$A$3000,$A2,'07_Pallet_Contents'!$D$2:$D$3000))</f>
        <v>0</v>
      </c>
      <c r="Y1467">
        <f>IF($A2="","",SUMIF('07_Pallet_Contents'!$A$2:$A$3000,$A2,'07_Pallet_Contents'!$I$2:$I$3000))</f>
        <v>0</v>
      </c>
      <c r="Z1467" t="str">
        <f>IF($A2="","",IF(COUNTIF('07_Pallet_Contents'!$A$2:$A$3000,$A2)&gt;0,"Yes",""))</f>
        <v/>
      </c>
    </row>
    <row r="1468" spans="2:26">
      <c r="B1468" s="31"/>
      <c r="G1468" s="34"/>
      <c r="H1468" s="33" t="str">
        <f t="shared" si="30"/>
        <v/>
      </c>
      <c r="I1468" s="31"/>
      <c r="J1468" s="31"/>
      <c r="K1468" s="33"/>
      <c r="W1468">
        <f>IF($A2="","",COUNTIF('07_Pallet_Contents'!$A$2:$A$3000,$A2))</f>
        <v>0</v>
      </c>
      <c r="X1468">
        <f>IF($A2="","",SUMIF('07_Pallet_Contents'!$A$2:$A$3000,$A2,'07_Pallet_Contents'!$D$2:$D$3000))</f>
        <v>0</v>
      </c>
      <c r="Y1468">
        <f>IF($A2="","",SUMIF('07_Pallet_Contents'!$A$2:$A$3000,$A2,'07_Pallet_Contents'!$I$2:$I$3000))</f>
        <v>0</v>
      </c>
      <c r="Z1468" t="str">
        <f>IF($A2="","",IF(COUNTIF('07_Pallet_Contents'!$A$2:$A$3000,$A2)&gt;0,"Yes",""))</f>
        <v/>
      </c>
    </row>
    <row r="1469" spans="2:26">
      <c r="B1469" s="31"/>
      <c r="G1469" s="34"/>
      <c r="H1469" s="33" t="str">
        <f t="shared" si="30"/>
        <v/>
      </c>
      <c r="I1469" s="31"/>
      <c r="J1469" s="31"/>
      <c r="K1469" s="33"/>
      <c r="W1469">
        <f>IF($A2="","",COUNTIF('07_Pallet_Contents'!$A$2:$A$3000,$A2))</f>
        <v>0</v>
      </c>
      <c r="X1469">
        <f>IF($A2="","",SUMIF('07_Pallet_Contents'!$A$2:$A$3000,$A2,'07_Pallet_Contents'!$D$2:$D$3000))</f>
        <v>0</v>
      </c>
      <c r="Y1469">
        <f>IF($A2="","",SUMIF('07_Pallet_Contents'!$A$2:$A$3000,$A2,'07_Pallet_Contents'!$I$2:$I$3000))</f>
        <v>0</v>
      </c>
      <c r="Z1469" t="str">
        <f>IF($A2="","",IF(COUNTIF('07_Pallet_Contents'!$A$2:$A$3000,$A2)&gt;0,"Yes",""))</f>
        <v/>
      </c>
    </row>
    <row r="1470" spans="2:26">
      <c r="B1470" s="31"/>
      <c r="G1470" s="34"/>
      <c r="H1470" s="33" t="str">
        <f t="shared" si="30"/>
        <v/>
      </c>
      <c r="I1470" s="31"/>
      <c r="J1470" s="31"/>
      <c r="K1470" s="33"/>
      <c r="W1470">
        <f>IF($A2="","",COUNTIF('07_Pallet_Contents'!$A$2:$A$3000,$A2))</f>
        <v>0</v>
      </c>
      <c r="X1470">
        <f>IF($A2="","",SUMIF('07_Pallet_Contents'!$A$2:$A$3000,$A2,'07_Pallet_Contents'!$D$2:$D$3000))</f>
        <v>0</v>
      </c>
      <c r="Y1470">
        <f>IF($A2="","",SUMIF('07_Pallet_Contents'!$A$2:$A$3000,$A2,'07_Pallet_Contents'!$I$2:$I$3000))</f>
        <v>0</v>
      </c>
      <c r="Z1470" t="str">
        <f>IF($A2="","",IF(COUNTIF('07_Pallet_Contents'!$A$2:$A$3000,$A2)&gt;0,"Yes",""))</f>
        <v/>
      </c>
    </row>
    <row r="1471" spans="2:26">
      <c r="B1471" s="31"/>
      <c r="G1471" s="34"/>
      <c r="H1471" s="33" t="str">
        <f t="shared" si="30"/>
        <v/>
      </c>
      <c r="I1471" s="31"/>
      <c r="J1471" s="31"/>
      <c r="K1471" s="33"/>
      <c r="W1471">
        <f>IF($A2="","",COUNTIF('07_Pallet_Contents'!$A$2:$A$3000,$A2))</f>
        <v>0</v>
      </c>
      <c r="X1471">
        <f>IF($A2="","",SUMIF('07_Pallet_Contents'!$A$2:$A$3000,$A2,'07_Pallet_Contents'!$D$2:$D$3000))</f>
        <v>0</v>
      </c>
      <c r="Y1471">
        <f>IF($A2="","",SUMIF('07_Pallet_Contents'!$A$2:$A$3000,$A2,'07_Pallet_Contents'!$I$2:$I$3000))</f>
        <v>0</v>
      </c>
      <c r="Z1471" t="str">
        <f>IF($A2="","",IF(COUNTIF('07_Pallet_Contents'!$A$2:$A$3000,$A2)&gt;0,"Yes",""))</f>
        <v/>
      </c>
    </row>
    <row r="1472" spans="2:26">
      <c r="B1472" s="31"/>
      <c r="G1472" s="34"/>
      <c r="H1472" s="33" t="str">
        <f t="shared" si="30"/>
        <v/>
      </c>
      <c r="I1472" s="31"/>
      <c r="J1472" s="31"/>
      <c r="K1472" s="33"/>
      <c r="W1472">
        <f>IF($A2="","",COUNTIF('07_Pallet_Contents'!$A$2:$A$3000,$A2))</f>
        <v>0</v>
      </c>
      <c r="X1472">
        <f>IF($A2="","",SUMIF('07_Pallet_Contents'!$A$2:$A$3000,$A2,'07_Pallet_Contents'!$D$2:$D$3000))</f>
        <v>0</v>
      </c>
      <c r="Y1472">
        <f>IF($A2="","",SUMIF('07_Pallet_Contents'!$A$2:$A$3000,$A2,'07_Pallet_Contents'!$I$2:$I$3000))</f>
        <v>0</v>
      </c>
      <c r="Z1472" t="str">
        <f>IF($A2="","",IF(COUNTIF('07_Pallet_Contents'!$A$2:$A$3000,$A2)&gt;0,"Yes",""))</f>
        <v/>
      </c>
    </row>
    <row r="1473" spans="2:26">
      <c r="B1473" s="31"/>
      <c r="G1473" s="34"/>
      <c r="H1473" s="33" t="str">
        <f t="shared" si="30"/>
        <v/>
      </c>
      <c r="I1473" s="31"/>
      <c r="J1473" s="31"/>
      <c r="K1473" s="33"/>
      <c r="W1473">
        <f>IF($A2="","",COUNTIF('07_Pallet_Contents'!$A$2:$A$3000,$A2))</f>
        <v>0</v>
      </c>
      <c r="X1473">
        <f>IF($A2="","",SUMIF('07_Pallet_Contents'!$A$2:$A$3000,$A2,'07_Pallet_Contents'!$D$2:$D$3000))</f>
        <v>0</v>
      </c>
      <c r="Y1473">
        <f>IF($A2="","",SUMIF('07_Pallet_Contents'!$A$2:$A$3000,$A2,'07_Pallet_Contents'!$I$2:$I$3000))</f>
        <v>0</v>
      </c>
      <c r="Z1473" t="str">
        <f>IF($A2="","",IF(COUNTIF('07_Pallet_Contents'!$A$2:$A$3000,$A2)&gt;0,"Yes",""))</f>
        <v/>
      </c>
    </row>
    <row r="1474" spans="2:26">
      <c r="B1474" s="31"/>
      <c r="G1474" s="34"/>
      <c r="H1474" s="33" t="str">
        <f t="shared" ref="H1474:H1537" si="31">IF(AND($F1474="TEMP",$G1474&gt;0,$M1474&lt;&gt;""),$M1474+$G1474,"")</f>
        <v/>
      </c>
      <c r="I1474" s="31"/>
      <c r="J1474" s="31"/>
      <c r="K1474" s="33"/>
      <c r="W1474">
        <f>IF($A2="","",COUNTIF('07_Pallet_Contents'!$A$2:$A$3000,$A2))</f>
        <v>0</v>
      </c>
      <c r="X1474">
        <f>IF($A2="","",SUMIF('07_Pallet_Contents'!$A$2:$A$3000,$A2,'07_Pallet_Contents'!$D$2:$D$3000))</f>
        <v>0</v>
      </c>
      <c r="Y1474">
        <f>IF($A2="","",SUMIF('07_Pallet_Contents'!$A$2:$A$3000,$A2,'07_Pallet_Contents'!$I$2:$I$3000))</f>
        <v>0</v>
      </c>
      <c r="Z1474" t="str">
        <f>IF($A2="","",IF(COUNTIF('07_Pallet_Contents'!$A$2:$A$3000,$A2)&gt;0,"Yes",""))</f>
        <v/>
      </c>
    </row>
    <row r="1475" spans="2:26">
      <c r="B1475" s="31"/>
      <c r="G1475" s="34"/>
      <c r="H1475" s="33" t="str">
        <f t="shared" si="31"/>
        <v/>
      </c>
      <c r="I1475" s="31"/>
      <c r="J1475" s="31"/>
      <c r="K1475" s="33"/>
      <c r="W1475">
        <f>IF($A2="","",COUNTIF('07_Pallet_Contents'!$A$2:$A$3000,$A2))</f>
        <v>0</v>
      </c>
      <c r="X1475">
        <f>IF($A2="","",SUMIF('07_Pallet_Contents'!$A$2:$A$3000,$A2,'07_Pallet_Contents'!$D$2:$D$3000))</f>
        <v>0</v>
      </c>
      <c r="Y1475">
        <f>IF($A2="","",SUMIF('07_Pallet_Contents'!$A$2:$A$3000,$A2,'07_Pallet_Contents'!$I$2:$I$3000))</f>
        <v>0</v>
      </c>
      <c r="Z1475" t="str">
        <f>IF($A2="","",IF(COUNTIF('07_Pallet_Contents'!$A$2:$A$3000,$A2)&gt;0,"Yes",""))</f>
        <v/>
      </c>
    </row>
    <row r="1476" spans="2:26">
      <c r="B1476" s="31"/>
      <c r="G1476" s="34"/>
      <c r="H1476" s="33" t="str">
        <f t="shared" si="31"/>
        <v/>
      </c>
      <c r="I1476" s="31"/>
      <c r="J1476" s="31"/>
      <c r="K1476" s="33"/>
      <c r="W1476">
        <f>IF($A2="","",COUNTIF('07_Pallet_Contents'!$A$2:$A$3000,$A2))</f>
        <v>0</v>
      </c>
      <c r="X1476">
        <f>IF($A2="","",SUMIF('07_Pallet_Contents'!$A$2:$A$3000,$A2,'07_Pallet_Contents'!$D$2:$D$3000))</f>
        <v>0</v>
      </c>
      <c r="Y1476">
        <f>IF($A2="","",SUMIF('07_Pallet_Contents'!$A$2:$A$3000,$A2,'07_Pallet_Contents'!$I$2:$I$3000))</f>
        <v>0</v>
      </c>
      <c r="Z1476" t="str">
        <f>IF($A2="","",IF(COUNTIF('07_Pallet_Contents'!$A$2:$A$3000,$A2)&gt;0,"Yes",""))</f>
        <v/>
      </c>
    </row>
    <row r="1477" spans="2:26">
      <c r="B1477" s="31"/>
      <c r="G1477" s="34"/>
      <c r="H1477" s="33" t="str">
        <f t="shared" si="31"/>
        <v/>
      </c>
      <c r="I1477" s="31"/>
      <c r="J1477" s="31"/>
      <c r="K1477" s="33"/>
      <c r="W1477">
        <f>IF($A2="","",COUNTIF('07_Pallet_Contents'!$A$2:$A$3000,$A2))</f>
        <v>0</v>
      </c>
      <c r="X1477">
        <f>IF($A2="","",SUMIF('07_Pallet_Contents'!$A$2:$A$3000,$A2,'07_Pallet_Contents'!$D$2:$D$3000))</f>
        <v>0</v>
      </c>
      <c r="Y1477">
        <f>IF($A2="","",SUMIF('07_Pallet_Contents'!$A$2:$A$3000,$A2,'07_Pallet_Contents'!$I$2:$I$3000))</f>
        <v>0</v>
      </c>
      <c r="Z1477" t="str">
        <f>IF($A2="","",IF(COUNTIF('07_Pallet_Contents'!$A$2:$A$3000,$A2)&gt;0,"Yes",""))</f>
        <v/>
      </c>
    </row>
    <row r="1478" spans="2:26">
      <c r="B1478" s="31"/>
      <c r="G1478" s="34"/>
      <c r="H1478" s="33" t="str">
        <f t="shared" si="31"/>
        <v/>
      </c>
      <c r="I1478" s="31"/>
      <c r="J1478" s="31"/>
      <c r="K1478" s="33"/>
      <c r="W1478">
        <f>IF($A2="","",COUNTIF('07_Pallet_Contents'!$A$2:$A$3000,$A2))</f>
        <v>0</v>
      </c>
      <c r="X1478">
        <f>IF($A2="","",SUMIF('07_Pallet_Contents'!$A$2:$A$3000,$A2,'07_Pallet_Contents'!$D$2:$D$3000))</f>
        <v>0</v>
      </c>
      <c r="Y1478">
        <f>IF($A2="","",SUMIF('07_Pallet_Contents'!$A$2:$A$3000,$A2,'07_Pallet_Contents'!$I$2:$I$3000))</f>
        <v>0</v>
      </c>
      <c r="Z1478" t="str">
        <f>IF($A2="","",IF(COUNTIF('07_Pallet_Contents'!$A$2:$A$3000,$A2)&gt;0,"Yes",""))</f>
        <v/>
      </c>
    </row>
    <row r="1479" spans="2:26">
      <c r="B1479" s="31"/>
      <c r="G1479" s="34"/>
      <c r="H1479" s="33" t="str">
        <f t="shared" si="31"/>
        <v/>
      </c>
      <c r="I1479" s="31"/>
      <c r="J1479" s="31"/>
      <c r="K1479" s="33"/>
      <c r="W1479">
        <f>IF($A2="","",COUNTIF('07_Pallet_Contents'!$A$2:$A$3000,$A2))</f>
        <v>0</v>
      </c>
      <c r="X1479">
        <f>IF($A2="","",SUMIF('07_Pallet_Contents'!$A$2:$A$3000,$A2,'07_Pallet_Contents'!$D$2:$D$3000))</f>
        <v>0</v>
      </c>
      <c r="Y1479">
        <f>IF($A2="","",SUMIF('07_Pallet_Contents'!$A$2:$A$3000,$A2,'07_Pallet_Contents'!$I$2:$I$3000))</f>
        <v>0</v>
      </c>
      <c r="Z1479" t="str">
        <f>IF($A2="","",IF(COUNTIF('07_Pallet_Contents'!$A$2:$A$3000,$A2)&gt;0,"Yes",""))</f>
        <v/>
      </c>
    </row>
    <row r="1480" spans="2:26">
      <c r="B1480" s="31"/>
      <c r="G1480" s="34"/>
      <c r="H1480" s="33" t="str">
        <f t="shared" si="31"/>
        <v/>
      </c>
      <c r="I1480" s="31"/>
      <c r="J1480" s="31"/>
      <c r="K1480" s="33"/>
      <c r="W1480">
        <f>IF($A2="","",COUNTIF('07_Pallet_Contents'!$A$2:$A$3000,$A2))</f>
        <v>0</v>
      </c>
      <c r="X1480">
        <f>IF($A2="","",SUMIF('07_Pallet_Contents'!$A$2:$A$3000,$A2,'07_Pallet_Contents'!$D$2:$D$3000))</f>
        <v>0</v>
      </c>
      <c r="Y1480">
        <f>IF($A2="","",SUMIF('07_Pallet_Contents'!$A$2:$A$3000,$A2,'07_Pallet_Contents'!$I$2:$I$3000))</f>
        <v>0</v>
      </c>
      <c r="Z1480" t="str">
        <f>IF($A2="","",IF(COUNTIF('07_Pallet_Contents'!$A$2:$A$3000,$A2)&gt;0,"Yes",""))</f>
        <v/>
      </c>
    </row>
    <row r="1481" spans="2:26">
      <c r="B1481" s="31"/>
      <c r="G1481" s="34"/>
      <c r="H1481" s="33" t="str">
        <f t="shared" si="31"/>
        <v/>
      </c>
      <c r="I1481" s="31"/>
      <c r="J1481" s="31"/>
      <c r="K1481" s="33"/>
      <c r="W1481">
        <f>IF($A2="","",COUNTIF('07_Pallet_Contents'!$A$2:$A$3000,$A2))</f>
        <v>0</v>
      </c>
      <c r="X1481">
        <f>IF($A2="","",SUMIF('07_Pallet_Contents'!$A$2:$A$3000,$A2,'07_Pallet_Contents'!$D$2:$D$3000))</f>
        <v>0</v>
      </c>
      <c r="Y1481">
        <f>IF($A2="","",SUMIF('07_Pallet_Contents'!$A$2:$A$3000,$A2,'07_Pallet_Contents'!$I$2:$I$3000))</f>
        <v>0</v>
      </c>
      <c r="Z1481" t="str">
        <f>IF($A2="","",IF(COUNTIF('07_Pallet_Contents'!$A$2:$A$3000,$A2)&gt;0,"Yes",""))</f>
        <v/>
      </c>
    </row>
    <row r="1482" spans="2:26">
      <c r="B1482" s="31"/>
      <c r="G1482" s="34"/>
      <c r="H1482" s="33" t="str">
        <f t="shared" si="31"/>
        <v/>
      </c>
      <c r="I1482" s="31"/>
      <c r="J1482" s="31"/>
      <c r="K1482" s="33"/>
      <c r="W1482">
        <f>IF($A2="","",COUNTIF('07_Pallet_Contents'!$A$2:$A$3000,$A2))</f>
        <v>0</v>
      </c>
      <c r="X1482">
        <f>IF($A2="","",SUMIF('07_Pallet_Contents'!$A$2:$A$3000,$A2,'07_Pallet_Contents'!$D$2:$D$3000))</f>
        <v>0</v>
      </c>
      <c r="Y1482">
        <f>IF($A2="","",SUMIF('07_Pallet_Contents'!$A$2:$A$3000,$A2,'07_Pallet_Contents'!$I$2:$I$3000))</f>
        <v>0</v>
      </c>
      <c r="Z1482" t="str">
        <f>IF($A2="","",IF(COUNTIF('07_Pallet_Contents'!$A$2:$A$3000,$A2)&gt;0,"Yes",""))</f>
        <v/>
      </c>
    </row>
    <row r="1483" spans="2:26">
      <c r="B1483" s="31"/>
      <c r="G1483" s="34"/>
      <c r="H1483" s="33" t="str">
        <f t="shared" si="31"/>
        <v/>
      </c>
      <c r="I1483" s="31"/>
      <c r="J1483" s="31"/>
      <c r="K1483" s="33"/>
      <c r="W1483">
        <f>IF($A2="","",COUNTIF('07_Pallet_Contents'!$A$2:$A$3000,$A2))</f>
        <v>0</v>
      </c>
      <c r="X1483">
        <f>IF($A2="","",SUMIF('07_Pallet_Contents'!$A$2:$A$3000,$A2,'07_Pallet_Contents'!$D$2:$D$3000))</f>
        <v>0</v>
      </c>
      <c r="Y1483">
        <f>IF($A2="","",SUMIF('07_Pallet_Contents'!$A$2:$A$3000,$A2,'07_Pallet_Contents'!$I$2:$I$3000))</f>
        <v>0</v>
      </c>
      <c r="Z1483" t="str">
        <f>IF($A2="","",IF(COUNTIF('07_Pallet_Contents'!$A$2:$A$3000,$A2)&gt;0,"Yes",""))</f>
        <v/>
      </c>
    </row>
    <row r="1484" spans="2:26">
      <c r="B1484" s="31"/>
      <c r="G1484" s="34"/>
      <c r="H1484" s="33" t="str">
        <f t="shared" si="31"/>
        <v/>
      </c>
      <c r="I1484" s="31"/>
      <c r="J1484" s="31"/>
      <c r="K1484" s="33"/>
      <c r="W1484">
        <f>IF($A2="","",COUNTIF('07_Pallet_Contents'!$A$2:$A$3000,$A2))</f>
        <v>0</v>
      </c>
      <c r="X1484">
        <f>IF($A2="","",SUMIF('07_Pallet_Contents'!$A$2:$A$3000,$A2,'07_Pallet_Contents'!$D$2:$D$3000))</f>
        <v>0</v>
      </c>
      <c r="Y1484">
        <f>IF($A2="","",SUMIF('07_Pallet_Contents'!$A$2:$A$3000,$A2,'07_Pallet_Contents'!$I$2:$I$3000))</f>
        <v>0</v>
      </c>
      <c r="Z1484" t="str">
        <f>IF($A2="","",IF(COUNTIF('07_Pallet_Contents'!$A$2:$A$3000,$A2)&gt;0,"Yes",""))</f>
        <v/>
      </c>
    </row>
    <row r="1485" spans="2:26">
      <c r="B1485" s="31"/>
      <c r="G1485" s="34"/>
      <c r="H1485" s="33" t="str">
        <f t="shared" si="31"/>
        <v/>
      </c>
      <c r="I1485" s="31"/>
      <c r="J1485" s="31"/>
      <c r="K1485" s="33"/>
      <c r="W1485">
        <f>IF($A2="","",COUNTIF('07_Pallet_Contents'!$A$2:$A$3000,$A2))</f>
        <v>0</v>
      </c>
      <c r="X1485">
        <f>IF($A2="","",SUMIF('07_Pallet_Contents'!$A$2:$A$3000,$A2,'07_Pallet_Contents'!$D$2:$D$3000))</f>
        <v>0</v>
      </c>
      <c r="Y1485">
        <f>IF($A2="","",SUMIF('07_Pallet_Contents'!$A$2:$A$3000,$A2,'07_Pallet_Contents'!$I$2:$I$3000))</f>
        <v>0</v>
      </c>
      <c r="Z1485" t="str">
        <f>IF($A2="","",IF(COUNTIF('07_Pallet_Contents'!$A$2:$A$3000,$A2)&gt;0,"Yes",""))</f>
        <v/>
      </c>
    </row>
    <row r="1486" spans="2:26">
      <c r="B1486" s="31"/>
      <c r="G1486" s="34"/>
      <c r="H1486" s="33" t="str">
        <f t="shared" si="31"/>
        <v/>
      </c>
      <c r="I1486" s="31"/>
      <c r="J1486" s="31"/>
      <c r="K1486" s="33"/>
      <c r="W1486">
        <f>IF($A2="","",COUNTIF('07_Pallet_Contents'!$A$2:$A$3000,$A2))</f>
        <v>0</v>
      </c>
      <c r="X1486">
        <f>IF($A2="","",SUMIF('07_Pallet_Contents'!$A$2:$A$3000,$A2,'07_Pallet_Contents'!$D$2:$D$3000))</f>
        <v>0</v>
      </c>
      <c r="Y1486">
        <f>IF($A2="","",SUMIF('07_Pallet_Contents'!$A$2:$A$3000,$A2,'07_Pallet_Contents'!$I$2:$I$3000))</f>
        <v>0</v>
      </c>
      <c r="Z1486" t="str">
        <f>IF($A2="","",IF(COUNTIF('07_Pallet_Contents'!$A$2:$A$3000,$A2)&gt;0,"Yes",""))</f>
        <v/>
      </c>
    </row>
    <row r="1487" spans="2:26">
      <c r="B1487" s="31"/>
      <c r="G1487" s="34"/>
      <c r="H1487" s="33" t="str">
        <f t="shared" si="31"/>
        <v/>
      </c>
      <c r="I1487" s="31"/>
      <c r="J1487" s="31"/>
      <c r="K1487" s="33"/>
      <c r="W1487">
        <f>IF($A2="","",COUNTIF('07_Pallet_Contents'!$A$2:$A$3000,$A2))</f>
        <v>0</v>
      </c>
      <c r="X1487">
        <f>IF($A2="","",SUMIF('07_Pallet_Contents'!$A$2:$A$3000,$A2,'07_Pallet_Contents'!$D$2:$D$3000))</f>
        <v>0</v>
      </c>
      <c r="Y1487">
        <f>IF($A2="","",SUMIF('07_Pallet_Contents'!$A$2:$A$3000,$A2,'07_Pallet_Contents'!$I$2:$I$3000))</f>
        <v>0</v>
      </c>
      <c r="Z1487" t="str">
        <f>IF($A2="","",IF(COUNTIF('07_Pallet_Contents'!$A$2:$A$3000,$A2)&gt;0,"Yes",""))</f>
        <v/>
      </c>
    </row>
    <row r="1488" spans="2:26">
      <c r="B1488" s="31"/>
      <c r="G1488" s="34"/>
      <c r="H1488" s="33" t="str">
        <f t="shared" si="31"/>
        <v/>
      </c>
      <c r="I1488" s="31"/>
      <c r="J1488" s="31"/>
      <c r="K1488" s="33"/>
      <c r="W1488">
        <f>IF($A2="","",COUNTIF('07_Pallet_Contents'!$A$2:$A$3000,$A2))</f>
        <v>0</v>
      </c>
      <c r="X1488">
        <f>IF($A2="","",SUMIF('07_Pallet_Contents'!$A$2:$A$3000,$A2,'07_Pallet_Contents'!$D$2:$D$3000))</f>
        <v>0</v>
      </c>
      <c r="Y1488">
        <f>IF($A2="","",SUMIF('07_Pallet_Contents'!$A$2:$A$3000,$A2,'07_Pallet_Contents'!$I$2:$I$3000))</f>
        <v>0</v>
      </c>
      <c r="Z1488" t="str">
        <f>IF($A2="","",IF(COUNTIF('07_Pallet_Contents'!$A$2:$A$3000,$A2)&gt;0,"Yes",""))</f>
        <v/>
      </c>
    </row>
    <row r="1489" spans="2:26">
      <c r="B1489" s="31"/>
      <c r="G1489" s="34"/>
      <c r="H1489" s="33" t="str">
        <f t="shared" si="31"/>
        <v/>
      </c>
      <c r="I1489" s="31"/>
      <c r="J1489" s="31"/>
      <c r="K1489" s="33"/>
      <c r="W1489">
        <f>IF($A2="","",COUNTIF('07_Pallet_Contents'!$A$2:$A$3000,$A2))</f>
        <v>0</v>
      </c>
      <c r="X1489">
        <f>IF($A2="","",SUMIF('07_Pallet_Contents'!$A$2:$A$3000,$A2,'07_Pallet_Contents'!$D$2:$D$3000))</f>
        <v>0</v>
      </c>
      <c r="Y1489">
        <f>IF($A2="","",SUMIF('07_Pallet_Contents'!$A$2:$A$3000,$A2,'07_Pallet_Contents'!$I$2:$I$3000))</f>
        <v>0</v>
      </c>
      <c r="Z1489" t="str">
        <f>IF($A2="","",IF(COUNTIF('07_Pallet_Contents'!$A$2:$A$3000,$A2)&gt;0,"Yes",""))</f>
        <v/>
      </c>
    </row>
    <row r="1490" spans="2:26">
      <c r="B1490" s="31"/>
      <c r="G1490" s="34"/>
      <c r="H1490" s="33" t="str">
        <f t="shared" si="31"/>
        <v/>
      </c>
      <c r="I1490" s="31"/>
      <c r="J1490" s="31"/>
      <c r="K1490" s="33"/>
      <c r="W1490">
        <f>IF($A2="","",COUNTIF('07_Pallet_Contents'!$A$2:$A$3000,$A2))</f>
        <v>0</v>
      </c>
      <c r="X1490">
        <f>IF($A2="","",SUMIF('07_Pallet_Contents'!$A$2:$A$3000,$A2,'07_Pallet_Contents'!$D$2:$D$3000))</f>
        <v>0</v>
      </c>
      <c r="Y1490">
        <f>IF($A2="","",SUMIF('07_Pallet_Contents'!$A$2:$A$3000,$A2,'07_Pallet_Contents'!$I$2:$I$3000))</f>
        <v>0</v>
      </c>
      <c r="Z1490" t="str">
        <f>IF($A2="","",IF(COUNTIF('07_Pallet_Contents'!$A$2:$A$3000,$A2)&gt;0,"Yes",""))</f>
        <v/>
      </c>
    </row>
    <row r="1491" spans="2:26">
      <c r="B1491" s="31"/>
      <c r="G1491" s="34"/>
      <c r="H1491" s="33" t="str">
        <f t="shared" si="31"/>
        <v/>
      </c>
      <c r="I1491" s="31"/>
      <c r="J1491" s="31"/>
      <c r="K1491" s="33"/>
      <c r="W1491">
        <f>IF($A2="","",COUNTIF('07_Pallet_Contents'!$A$2:$A$3000,$A2))</f>
        <v>0</v>
      </c>
      <c r="X1491">
        <f>IF($A2="","",SUMIF('07_Pallet_Contents'!$A$2:$A$3000,$A2,'07_Pallet_Contents'!$D$2:$D$3000))</f>
        <v>0</v>
      </c>
      <c r="Y1491">
        <f>IF($A2="","",SUMIF('07_Pallet_Contents'!$A$2:$A$3000,$A2,'07_Pallet_Contents'!$I$2:$I$3000))</f>
        <v>0</v>
      </c>
      <c r="Z1491" t="str">
        <f>IF($A2="","",IF(COUNTIF('07_Pallet_Contents'!$A$2:$A$3000,$A2)&gt;0,"Yes",""))</f>
        <v/>
      </c>
    </row>
    <row r="1492" spans="2:26">
      <c r="B1492" s="31"/>
      <c r="G1492" s="34"/>
      <c r="H1492" s="33" t="str">
        <f t="shared" si="31"/>
        <v/>
      </c>
      <c r="I1492" s="31"/>
      <c r="J1492" s="31"/>
      <c r="K1492" s="33"/>
      <c r="W1492">
        <f>IF($A2="","",COUNTIF('07_Pallet_Contents'!$A$2:$A$3000,$A2))</f>
        <v>0</v>
      </c>
      <c r="X1492">
        <f>IF($A2="","",SUMIF('07_Pallet_Contents'!$A$2:$A$3000,$A2,'07_Pallet_Contents'!$D$2:$D$3000))</f>
        <v>0</v>
      </c>
      <c r="Y1492">
        <f>IF($A2="","",SUMIF('07_Pallet_Contents'!$A$2:$A$3000,$A2,'07_Pallet_Contents'!$I$2:$I$3000))</f>
        <v>0</v>
      </c>
      <c r="Z1492" t="str">
        <f>IF($A2="","",IF(COUNTIF('07_Pallet_Contents'!$A$2:$A$3000,$A2)&gt;0,"Yes",""))</f>
        <v/>
      </c>
    </row>
    <row r="1493" spans="2:26">
      <c r="B1493" s="31"/>
      <c r="G1493" s="34"/>
      <c r="H1493" s="33" t="str">
        <f t="shared" si="31"/>
        <v/>
      </c>
      <c r="I1493" s="31"/>
      <c r="J1493" s="31"/>
      <c r="K1493" s="33"/>
      <c r="W1493">
        <f>IF($A2="","",COUNTIF('07_Pallet_Contents'!$A$2:$A$3000,$A2))</f>
        <v>0</v>
      </c>
      <c r="X1493">
        <f>IF($A2="","",SUMIF('07_Pallet_Contents'!$A$2:$A$3000,$A2,'07_Pallet_Contents'!$D$2:$D$3000))</f>
        <v>0</v>
      </c>
      <c r="Y1493">
        <f>IF($A2="","",SUMIF('07_Pallet_Contents'!$A$2:$A$3000,$A2,'07_Pallet_Contents'!$I$2:$I$3000))</f>
        <v>0</v>
      </c>
      <c r="Z1493" t="str">
        <f>IF($A2="","",IF(COUNTIF('07_Pallet_Contents'!$A$2:$A$3000,$A2)&gt;0,"Yes",""))</f>
        <v/>
      </c>
    </row>
    <row r="1494" spans="2:26">
      <c r="B1494" s="31"/>
      <c r="G1494" s="34"/>
      <c r="H1494" s="33" t="str">
        <f t="shared" si="31"/>
        <v/>
      </c>
      <c r="I1494" s="31"/>
      <c r="J1494" s="31"/>
      <c r="K1494" s="33"/>
      <c r="W1494">
        <f>IF($A2="","",COUNTIF('07_Pallet_Contents'!$A$2:$A$3000,$A2))</f>
        <v>0</v>
      </c>
      <c r="X1494">
        <f>IF($A2="","",SUMIF('07_Pallet_Contents'!$A$2:$A$3000,$A2,'07_Pallet_Contents'!$D$2:$D$3000))</f>
        <v>0</v>
      </c>
      <c r="Y1494">
        <f>IF($A2="","",SUMIF('07_Pallet_Contents'!$A$2:$A$3000,$A2,'07_Pallet_Contents'!$I$2:$I$3000))</f>
        <v>0</v>
      </c>
      <c r="Z1494" t="str">
        <f>IF($A2="","",IF(COUNTIF('07_Pallet_Contents'!$A$2:$A$3000,$A2)&gt;0,"Yes",""))</f>
        <v/>
      </c>
    </row>
    <row r="1495" spans="2:26">
      <c r="B1495" s="31"/>
      <c r="G1495" s="34"/>
      <c r="H1495" s="33" t="str">
        <f t="shared" si="31"/>
        <v/>
      </c>
      <c r="I1495" s="31"/>
      <c r="J1495" s="31"/>
      <c r="K1495" s="33"/>
      <c r="W1495">
        <f>IF($A2="","",COUNTIF('07_Pallet_Contents'!$A$2:$A$3000,$A2))</f>
        <v>0</v>
      </c>
      <c r="X1495">
        <f>IF($A2="","",SUMIF('07_Pallet_Contents'!$A$2:$A$3000,$A2,'07_Pallet_Contents'!$D$2:$D$3000))</f>
        <v>0</v>
      </c>
      <c r="Y1495">
        <f>IF($A2="","",SUMIF('07_Pallet_Contents'!$A$2:$A$3000,$A2,'07_Pallet_Contents'!$I$2:$I$3000))</f>
        <v>0</v>
      </c>
      <c r="Z1495" t="str">
        <f>IF($A2="","",IF(COUNTIF('07_Pallet_Contents'!$A$2:$A$3000,$A2)&gt;0,"Yes",""))</f>
        <v/>
      </c>
    </row>
    <row r="1496" spans="2:26">
      <c r="B1496" s="31"/>
      <c r="G1496" s="34"/>
      <c r="H1496" s="33" t="str">
        <f t="shared" si="31"/>
        <v/>
      </c>
      <c r="I1496" s="31"/>
      <c r="J1496" s="31"/>
      <c r="K1496" s="33"/>
      <c r="W1496">
        <f>IF($A2="","",COUNTIF('07_Pallet_Contents'!$A$2:$A$3000,$A2))</f>
        <v>0</v>
      </c>
      <c r="X1496">
        <f>IF($A2="","",SUMIF('07_Pallet_Contents'!$A$2:$A$3000,$A2,'07_Pallet_Contents'!$D$2:$D$3000))</f>
        <v>0</v>
      </c>
      <c r="Y1496">
        <f>IF($A2="","",SUMIF('07_Pallet_Contents'!$A$2:$A$3000,$A2,'07_Pallet_Contents'!$I$2:$I$3000))</f>
        <v>0</v>
      </c>
      <c r="Z1496" t="str">
        <f>IF($A2="","",IF(COUNTIF('07_Pallet_Contents'!$A$2:$A$3000,$A2)&gt;0,"Yes",""))</f>
        <v/>
      </c>
    </row>
    <row r="1497" spans="2:26">
      <c r="B1497" s="31"/>
      <c r="G1497" s="34"/>
      <c r="H1497" s="33" t="str">
        <f t="shared" si="31"/>
        <v/>
      </c>
      <c r="I1497" s="31"/>
      <c r="J1497" s="31"/>
      <c r="K1497" s="33"/>
      <c r="W1497">
        <f>IF($A2="","",COUNTIF('07_Pallet_Contents'!$A$2:$A$3000,$A2))</f>
        <v>0</v>
      </c>
      <c r="X1497">
        <f>IF($A2="","",SUMIF('07_Pallet_Contents'!$A$2:$A$3000,$A2,'07_Pallet_Contents'!$D$2:$D$3000))</f>
        <v>0</v>
      </c>
      <c r="Y1497">
        <f>IF($A2="","",SUMIF('07_Pallet_Contents'!$A$2:$A$3000,$A2,'07_Pallet_Contents'!$I$2:$I$3000))</f>
        <v>0</v>
      </c>
      <c r="Z1497" t="str">
        <f>IF($A2="","",IF(COUNTIF('07_Pallet_Contents'!$A$2:$A$3000,$A2)&gt;0,"Yes",""))</f>
        <v/>
      </c>
    </row>
    <row r="1498" spans="2:26">
      <c r="B1498" s="31"/>
      <c r="G1498" s="34"/>
      <c r="H1498" s="33" t="str">
        <f t="shared" si="31"/>
        <v/>
      </c>
      <c r="I1498" s="31"/>
      <c r="J1498" s="31"/>
      <c r="K1498" s="33"/>
      <c r="W1498">
        <f>IF($A2="","",COUNTIF('07_Pallet_Contents'!$A$2:$A$3000,$A2))</f>
        <v>0</v>
      </c>
      <c r="X1498">
        <f>IF($A2="","",SUMIF('07_Pallet_Contents'!$A$2:$A$3000,$A2,'07_Pallet_Contents'!$D$2:$D$3000))</f>
        <v>0</v>
      </c>
      <c r="Y1498">
        <f>IF($A2="","",SUMIF('07_Pallet_Contents'!$A$2:$A$3000,$A2,'07_Pallet_Contents'!$I$2:$I$3000))</f>
        <v>0</v>
      </c>
      <c r="Z1498" t="str">
        <f>IF($A2="","",IF(COUNTIF('07_Pallet_Contents'!$A$2:$A$3000,$A2)&gt;0,"Yes",""))</f>
        <v/>
      </c>
    </row>
    <row r="1499" spans="2:26">
      <c r="B1499" s="31"/>
      <c r="G1499" s="34"/>
      <c r="H1499" s="33" t="str">
        <f t="shared" si="31"/>
        <v/>
      </c>
      <c r="I1499" s="31"/>
      <c r="J1499" s="31"/>
      <c r="K1499" s="33"/>
      <c r="W1499">
        <f>IF($A2="","",COUNTIF('07_Pallet_Contents'!$A$2:$A$3000,$A2))</f>
        <v>0</v>
      </c>
      <c r="X1499">
        <f>IF($A2="","",SUMIF('07_Pallet_Contents'!$A$2:$A$3000,$A2,'07_Pallet_Contents'!$D$2:$D$3000))</f>
        <v>0</v>
      </c>
      <c r="Y1499">
        <f>IF($A2="","",SUMIF('07_Pallet_Contents'!$A$2:$A$3000,$A2,'07_Pallet_Contents'!$I$2:$I$3000))</f>
        <v>0</v>
      </c>
      <c r="Z1499" t="str">
        <f>IF($A2="","",IF(COUNTIF('07_Pallet_Contents'!$A$2:$A$3000,$A2)&gt;0,"Yes",""))</f>
        <v/>
      </c>
    </row>
    <row r="1500" spans="2:26">
      <c r="B1500" s="31"/>
      <c r="G1500" s="34"/>
      <c r="H1500" s="33" t="str">
        <f t="shared" si="31"/>
        <v/>
      </c>
      <c r="I1500" s="31"/>
      <c r="J1500" s="31"/>
      <c r="K1500" s="33"/>
      <c r="W1500">
        <f>IF($A2="","",COUNTIF('07_Pallet_Contents'!$A$2:$A$3000,$A2))</f>
        <v>0</v>
      </c>
      <c r="X1500">
        <f>IF($A2="","",SUMIF('07_Pallet_Contents'!$A$2:$A$3000,$A2,'07_Pallet_Contents'!$D$2:$D$3000))</f>
        <v>0</v>
      </c>
      <c r="Y1500">
        <f>IF($A2="","",SUMIF('07_Pallet_Contents'!$A$2:$A$3000,$A2,'07_Pallet_Contents'!$I$2:$I$3000))</f>
        <v>0</v>
      </c>
      <c r="Z1500" t="str">
        <f>IF($A2="","",IF(COUNTIF('07_Pallet_Contents'!$A$2:$A$3000,$A2)&gt;0,"Yes",""))</f>
        <v/>
      </c>
    </row>
    <row r="1501" spans="2:26">
      <c r="B1501" s="31"/>
      <c r="G1501" s="34"/>
      <c r="H1501" s="33" t="str">
        <f t="shared" si="31"/>
        <v/>
      </c>
      <c r="I1501" s="31"/>
      <c r="J1501" s="31"/>
      <c r="K1501" s="33"/>
      <c r="W1501">
        <f>IF($A2="","",COUNTIF('07_Pallet_Contents'!$A$2:$A$3000,$A2))</f>
        <v>0</v>
      </c>
      <c r="X1501">
        <f>IF($A2="","",SUMIF('07_Pallet_Contents'!$A$2:$A$3000,$A2,'07_Pallet_Contents'!$D$2:$D$3000))</f>
        <v>0</v>
      </c>
      <c r="Y1501">
        <f>IF($A2="","",SUMIF('07_Pallet_Contents'!$A$2:$A$3000,$A2,'07_Pallet_Contents'!$I$2:$I$3000))</f>
        <v>0</v>
      </c>
      <c r="Z1501" t="str">
        <f>IF($A2="","",IF(COUNTIF('07_Pallet_Contents'!$A$2:$A$3000,$A2)&gt;0,"Yes",""))</f>
        <v/>
      </c>
    </row>
    <row r="1502" spans="2:26">
      <c r="B1502" s="31"/>
      <c r="G1502" s="34"/>
      <c r="H1502" s="33" t="str">
        <f t="shared" si="31"/>
        <v/>
      </c>
      <c r="I1502" s="31"/>
      <c r="J1502" s="31"/>
      <c r="K1502" s="33"/>
      <c r="W1502">
        <f>IF($A2="","",COUNTIF('07_Pallet_Contents'!$A$2:$A$3000,$A2))</f>
        <v>0</v>
      </c>
      <c r="X1502">
        <f>IF($A2="","",SUMIF('07_Pallet_Contents'!$A$2:$A$3000,$A2,'07_Pallet_Contents'!$D$2:$D$3000))</f>
        <v>0</v>
      </c>
      <c r="Y1502">
        <f>IF($A2="","",SUMIF('07_Pallet_Contents'!$A$2:$A$3000,$A2,'07_Pallet_Contents'!$I$2:$I$3000))</f>
        <v>0</v>
      </c>
      <c r="Z1502" t="str">
        <f>IF($A2="","",IF(COUNTIF('07_Pallet_Contents'!$A$2:$A$3000,$A2)&gt;0,"Yes",""))</f>
        <v/>
      </c>
    </row>
    <row r="1503" spans="2:26">
      <c r="B1503" s="31"/>
      <c r="G1503" s="34"/>
      <c r="H1503" s="33" t="str">
        <f t="shared" si="31"/>
        <v/>
      </c>
      <c r="I1503" s="31"/>
      <c r="J1503" s="31"/>
      <c r="K1503" s="33"/>
      <c r="W1503">
        <f>IF($A2="","",COUNTIF('07_Pallet_Contents'!$A$2:$A$3000,$A2))</f>
        <v>0</v>
      </c>
      <c r="X1503">
        <f>IF($A2="","",SUMIF('07_Pallet_Contents'!$A$2:$A$3000,$A2,'07_Pallet_Contents'!$D$2:$D$3000))</f>
        <v>0</v>
      </c>
      <c r="Y1503">
        <f>IF($A2="","",SUMIF('07_Pallet_Contents'!$A$2:$A$3000,$A2,'07_Pallet_Contents'!$I$2:$I$3000))</f>
        <v>0</v>
      </c>
      <c r="Z1503" t="str">
        <f>IF($A2="","",IF(COUNTIF('07_Pallet_Contents'!$A$2:$A$3000,$A2)&gt;0,"Yes",""))</f>
        <v/>
      </c>
    </row>
    <row r="1504" spans="2:26">
      <c r="B1504" s="31"/>
      <c r="G1504" s="34"/>
      <c r="H1504" s="33" t="str">
        <f t="shared" si="31"/>
        <v/>
      </c>
      <c r="I1504" s="31"/>
      <c r="J1504" s="31"/>
      <c r="K1504" s="33"/>
      <c r="W1504">
        <f>IF($A2="","",COUNTIF('07_Pallet_Contents'!$A$2:$A$3000,$A2))</f>
        <v>0</v>
      </c>
      <c r="X1504">
        <f>IF($A2="","",SUMIF('07_Pallet_Contents'!$A$2:$A$3000,$A2,'07_Pallet_Contents'!$D$2:$D$3000))</f>
        <v>0</v>
      </c>
      <c r="Y1504">
        <f>IF($A2="","",SUMIF('07_Pallet_Contents'!$A$2:$A$3000,$A2,'07_Pallet_Contents'!$I$2:$I$3000))</f>
        <v>0</v>
      </c>
      <c r="Z1504" t="str">
        <f>IF($A2="","",IF(COUNTIF('07_Pallet_Contents'!$A$2:$A$3000,$A2)&gt;0,"Yes",""))</f>
        <v/>
      </c>
    </row>
    <row r="1505" spans="2:26">
      <c r="B1505" s="31"/>
      <c r="G1505" s="34"/>
      <c r="H1505" s="33" t="str">
        <f t="shared" si="31"/>
        <v/>
      </c>
      <c r="I1505" s="31"/>
      <c r="J1505" s="31"/>
      <c r="K1505" s="33"/>
      <c r="W1505">
        <f>IF($A2="","",COUNTIF('07_Pallet_Contents'!$A$2:$A$3000,$A2))</f>
        <v>0</v>
      </c>
      <c r="X1505">
        <f>IF($A2="","",SUMIF('07_Pallet_Contents'!$A$2:$A$3000,$A2,'07_Pallet_Contents'!$D$2:$D$3000))</f>
        <v>0</v>
      </c>
      <c r="Y1505">
        <f>IF($A2="","",SUMIF('07_Pallet_Contents'!$A$2:$A$3000,$A2,'07_Pallet_Contents'!$I$2:$I$3000))</f>
        <v>0</v>
      </c>
      <c r="Z1505" t="str">
        <f>IF($A2="","",IF(COUNTIF('07_Pallet_Contents'!$A$2:$A$3000,$A2)&gt;0,"Yes",""))</f>
        <v/>
      </c>
    </row>
    <row r="1506" spans="2:26">
      <c r="B1506" s="31"/>
      <c r="G1506" s="34"/>
      <c r="H1506" s="33" t="str">
        <f t="shared" si="31"/>
        <v/>
      </c>
      <c r="I1506" s="31"/>
      <c r="J1506" s="31"/>
      <c r="K1506" s="33"/>
      <c r="W1506">
        <f>IF($A2="","",COUNTIF('07_Pallet_Contents'!$A$2:$A$3000,$A2))</f>
        <v>0</v>
      </c>
      <c r="X1506">
        <f>IF($A2="","",SUMIF('07_Pallet_Contents'!$A$2:$A$3000,$A2,'07_Pallet_Contents'!$D$2:$D$3000))</f>
        <v>0</v>
      </c>
      <c r="Y1506">
        <f>IF($A2="","",SUMIF('07_Pallet_Contents'!$A$2:$A$3000,$A2,'07_Pallet_Contents'!$I$2:$I$3000))</f>
        <v>0</v>
      </c>
      <c r="Z1506" t="str">
        <f>IF($A2="","",IF(COUNTIF('07_Pallet_Contents'!$A$2:$A$3000,$A2)&gt;0,"Yes",""))</f>
        <v/>
      </c>
    </row>
    <row r="1507" spans="2:26">
      <c r="B1507" s="31"/>
      <c r="G1507" s="34"/>
      <c r="H1507" s="33" t="str">
        <f t="shared" si="31"/>
        <v/>
      </c>
      <c r="I1507" s="31"/>
      <c r="J1507" s="31"/>
      <c r="K1507" s="33"/>
      <c r="W1507">
        <f>IF($A2="","",COUNTIF('07_Pallet_Contents'!$A$2:$A$3000,$A2))</f>
        <v>0</v>
      </c>
      <c r="X1507">
        <f>IF($A2="","",SUMIF('07_Pallet_Contents'!$A$2:$A$3000,$A2,'07_Pallet_Contents'!$D$2:$D$3000))</f>
        <v>0</v>
      </c>
      <c r="Y1507">
        <f>IF($A2="","",SUMIF('07_Pallet_Contents'!$A$2:$A$3000,$A2,'07_Pallet_Contents'!$I$2:$I$3000))</f>
        <v>0</v>
      </c>
      <c r="Z1507" t="str">
        <f>IF($A2="","",IF(COUNTIF('07_Pallet_Contents'!$A$2:$A$3000,$A2)&gt;0,"Yes",""))</f>
        <v/>
      </c>
    </row>
    <row r="1508" spans="2:26">
      <c r="B1508" s="31"/>
      <c r="G1508" s="34"/>
      <c r="H1508" s="33" t="str">
        <f t="shared" si="31"/>
        <v/>
      </c>
      <c r="I1508" s="31"/>
      <c r="J1508" s="31"/>
      <c r="K1508" s="33"/>
      <c r="W1508">
        <f>IF($A2="","",COUNTIF('07_Pallet_Contents'!$A$2:$A$3000,$A2))</f>
        <v>0</v>
      </c>
      <c r="X1508">
        <f>IF($A2="","",SUMIF('07_Pallet_Contents'!$A$2:$A$3000,$A2,'07_Pallet_Contents'!$D$2:$D$3000))</f>
        <v>0</v>
      </c>
      <c r="Y1508">
        <f>IF($A2="","",SUMIF('07_Pallet_Contents'!$A$2:$A$3000,$A2,'07_Pallet_Contents'!$I$2:$I$3000))</f>
        <v>0</v>
      </c>
      <c r="Z1508" t="str">
        <f>IF($A2="","",IF(COUNTIF('07_Pallet_Contents'!$A$2:$A$3000,$A2)&gt;0,"Yes",""))</f>
        <v/>
      </c>
    </row>
    <row r="1509" spans="2:26">
      <c r="B1509" s="31"/>
      <c r="G1509" s="34"/>
      <c r="H1509" s="33" t="str">
        <f t="shared" si="31"/>
        <v/>
      </c>
      <c r="I1509" s="31"/>
      <c r="J1509" s="31"/>
      <c r="K1509" s="33"/>
      <c r="W1509">
        <f>IF($A2="","",COUNTIF('07_Pallet_Contents'!$A$2:$A$3000,$A2))</f>
        <v>0</v>
      </c>
      <c r="X1509">
        <f>IF($A2="","",SUMIF('07_Pallet_Contents'!$A$2:$A$3000,$A2,'07_Pallet_Contents'!$D$2:$D$3000))</f>
        <v>0</v>
      </c>
      <c r="Y1509">
        <f>IF($A2="","",SUMIF('07_Pallet_Contents'!$A$2:$A$3000,$A2,'07_Pallet_Contents'!$I$2:$I$3000))</f>
        <v>0</v>
      </c>
      <c r="Z1509" t="str">
        <f>IF($A2="","",IF(COUNTIF('07_Pallet_Contents'!$A$2:$A$3000,$A2)&gt;0,"Yes",""))</f>
        <v/>
      </c>
    </row>
    <row r="1510" spans="2:26">
      <c r="B1510" s="31"/>
      <c r="G1510" s="34"/>
      <c r="H1510" s="33" t="str">
        <f t="shared" si="31"/>
        <v/>
      </c>
      <c r="I1510" s="31"/>
      <c r="J1510" s="31"/>
      <c r="K1510" s="33"/>
      <c r="W1510">
        <f>IF($A2="","",COUNTIF('07_Pallet_Contents'!$A$2:$A$3000,$A2))</f>
        <v>0</v>
      </c>
      <c r="X1510">
        <f>IF($A2="","",SUMIF('07_Pallet_Contents'!$A$2:$A$3000,$A2,'07_Pallet_Contents'!$D$2:$D$3000))</f>
        <v>0</v>
      </c>
      <c r="Y1510">
        <f>IF($A2="","",SUMIF('07_Pallet_Contents'!$A$2:$A$3000,$A2,'07_Pallet_Contents'!$I$2:$I$3000))</f>
        <v>0</v>
      </c>
      <c r="Z1510" t="str">
        <f>IF($A2="","",IF(COUNTIF('07_Pallet_Contents'!$A$2:$A$3000,$A2)&gt;0,"Yes",""))</f>
        <v/>
      </c>
    </row>
    <row r="1511" spans="2:26">
      <c r="B1511" s="31"/>
      <c r="G1511" s="34"/>
      <c r="H1511" s="33" t="str">
        <f t="shared" si="31"/>
        <v/>
      </c>
      <c r="I1511" s="31"/>
      <c r="J1511" s="31"/>
      <c r="K1511" s="33"/>
      <c r="W1511">
        <f>IF($A2="","",COUNTIF('07_Pallet_Contents'!$A$2:$A$3000,$A2))</f>
        <v>0</v>
      </c>
      <c r="X1511">
        <f>IF($A2="","",SUMIF('07_Pallet_Contents'!$A$2:$A$3000,$A2,'07_Pallet_Contents'!$D$2:$D$3000))</f>
        <v>0</v>
      </c>
      <c r="Y1511">
        <f>IF($A2="","",SUMIF('07_Pallet_Contents'!$A$2:$A$3000,$A2,'07_Pallet_Contents'!$I$2:$I$3000))</f>
        <v>0</v>
      </c>
      <c r="Z1511" t="str">
        <f>IF($A2="","",IF(COUNTIF('07_Pallet_Contents'!$A$2:$A$3000,$A2)&gt;0,"Yes",""))</f>
        <v/>
      </c>
    </row>
    <row r="1512" spans="2:26">
      <c r="B1512" s="31"/>
      <c r="G1512" s="34"/>
      <c r="H1512" s="33" t="str">
        <f t="shared" si="31"/>
        <v/>
      </c>
      <c r="I1512" s="31"/>
      <c r="J1512" s="31"/>
      <c r="K1512" s="33"/>
      <c r="W1512">
        <f>IF($A2="","",COUNTIF('07_Pallet_Contents'!$A$2:$A$3000,$A2))</f>
        <v>0</v>
      </c>
      <c r="X1512">
        <f>IF($A2="","",SUMIF('07_Pallet_Contents'!$A$2:$A$3000,$A2,'07_Pallet_Contents'!$D$2:$D$3000))</f>
        <v>0</v>
      </c>
      <c r="Y1512">
        <f>IF($A2="","",SUMIF('07_Pallet_Contents'!$A$2:$A$3000,$A2,'07_Pallet_Contents'!$I$2:$I$3000))</f>
        <v>0</v>
      </c>
      <c r="Z1512" t="str">
        <f>IF($A2="","",IF(COUNTIF('07_Pallet_Contents'!$A$2:$A$3000,$A2)&gt;0,"Yes",""))</f>
        <v/>
      </c>
    </row>
    <row r="1513" spans="2:26">
      <c r="B1513" s="31"/>
      <c r="G1513" s="34"/>
      <c r="H1513" s="33" t="str">
        <f t="shared" si="31"/>
        <v/>
      </c>
      <c r="I1513" s="31"/>
      <c r="J1513" s="31"/>
      <c r="K1513" s="33"/>
      <c r="W1513">
        <f>IF($A2="","",COUNTIF('07_Pallet_Contents'!$A$2:$A$3000,$A2))</f>
        <v>0</v>
      </c>
      <c r="X1513">
        <f>IF($A2="","",SUMIF('07_Pallet_Contents'!$A$2:$A$3000,$A2,'07_Pallet_Contents'!$D$2:$D$3000))</f>
        <v>0</v>
      </c>
      <c r="Y1513">
        <f>IF($A2="","",SUMIF('07_Pallet_Contents'!$A$2:$A$3000,$A2,'07_Pallet_Contents'!$I$2:$I$3000))</f>
        <v>0</v>
      </c>
      <c r="Z1513" t="str">
        <f>IF($A2="","",IF(COUNTIF('07_Pallet_Contents'!$A$2:$A$3000,$A2)&gt;0,"Yes",""))</f>
        <v/>
      </c>
    </row>
    <row r="1514" spans="2:26">
      <c r="B1514" s="31"/>
      <c r="G1514" s="34"/>
      <c r="H1514" s="33" t="str">
        <f t="shared" si="31"/>
        <v/>
      </c>
      <c r="I1514" s="31"/>
      <c r="J1514" s="31"/>
      <c r="K1514" s="33"/>
      <c r="W1514">
        <f>IF($A2="","",COUNTIF('07_Pallet_Contents'!$A$2:$A$3000,$A2))</f>
        <v>0</v>
      </c>
      <c r="X1514">
        <f>IF($A2="","",SUMIF('07_Pallet_Contents'!$A$2:$A$3000,$A2,'07_Pallet_Contents'!$D$2:$D$3000))</f>
        <v>0</v>
      </c>
      <c r="Y1514">
        <f>IF($A2="","",SUMIF('07_Pallet_Contents'!$A$2:$A$3000,$A2,'07_Pallet_Contents'!$I$2:$I$3000))</f>
        <v>0</v>
      </c>
      <c r="Z1514" t="str">
        <f>IF($A2="","",IF(COUNTIF('07_Pallet_Contents'!$A$2:$A$3000,$A2)&gt;0,"Yes",""))</f>
        <v/>
      </c>
    </row>
    <row r="1515" spans="2:26">
      <c r="B1515" s="31"/>
      <c r="G1515" s="34"/>
      <c r="H1515" s="33" t="str">
        <f t="shared" si="31"/>
        <v/>
      </c>
      <c r="I1515" s="31"/>
      <c r="J1515" s="31"/>
      <c r="K1515" s="33"/>
      <c r="W1515">
        <f>IF($A2="","",COUNTIF('07_Pallet_Contents'!$A$2:$A$3000,$A2))</f>
        <v>0</v>
      </c>
      <c r="X1515">
        <f>IF($A2="","",SUMIF('07_Pallet_Contents'!$A$2:$A$3000,$A2,'07_Pallet_Contents'!$D$2:$D$3000))</f>
        <v>0</v>
      </c>
      <c r="Y1515">
        <f>IF($A2="","",SUMIF('07_Pallet_Contents'!$A$2:$A$3000,$A2,'07_Pallet_Contents'!$I$2:$I$3000))</f>
        <v>0</v>
      </c>
      <c r="Z1515" t="str">
        <f>IF($A2="","",IF(COUNTIF('07_Pallet_Contents'!$A$2:$A$3000,$A2)&gt;0,"Yes",""))</f>
        <v/>
      </c>
    </row>
    <row r="1516" spans="2:26">
      <c r="B1516" s="31"/>
      <c r="G1516" s="34"/>
      <c r="H1516" s="33" t="str">
        <f t="shared" si="31"/>
        <v/>
      </c>
      <c r="I1516" s="31"/>
      <c r="J1516" s="31"/>
      <c r="K1516" s="33"/>
      <c r="W1516">
        <f>IF($A2="","",COUNTIF('07_Pallet_Contents'!$A$2:$A$3000,$A2))</f>
        <v>0</v>
      </c>
      <c r="X1516">
        <f>IF($A2="","",SUMIF('07_Pallet_Contents'!$A$2:$A$3000,$A2,'07_Pallet_Contents'!$D$2:$D$3000))</f>
        <v>0</v>
      </c>
      <c r="Y1516">
        <f>IF($A2="","",SUMIF('07_Pallet_Contents'!$A$2:$A$3000,$A2,'07_Pallet_Contents'!$I$2:$I$3000))</f>
        <v>0</v>
      </c>
      <c r="Z1516" t="str">
        <f>IF($A2="","",IF(COUNTIF('07_Pallet_Contents'!$A$2:$A$3000,$A2)&gt;0,"Yes",""))</f>
        <v/>
      </c>
    </row>
    <row r="1517" spans="2:26">
      <c r="B1517" s="31"/>
      <c r="G1517" s="34"/>
      <c r="H1517" s="33" t="str">
        <f t="shared" si="31"/>
        <v/>
      </c>
      <c r="I1517" s="31"/>
      <c r="J1517" s="31"/>
      <c r="K1517" s="33"/>
      <c r="W1517">
        <f>IF($A2="","",COUNTIF('07_Pallet_Contents'!$A$2:$A$3000,$A2))</f>
        <v>0</v>
      </c>
      <c r="X1517">
        <f>IF($A2="","",SUMIF('07_Pallet_Contents'!$A$2:$A$3000,$A2,'07_Pallet_Contents'!$D$2:$D$3000))</f>
        <v>0</v>
      </c>
      <c r="Y1517">
        <f>IF($A2="","",SUMIF('07_Pallet_Contents'!$A$2:$A$3000,$A2,'07_Pallet_Contents'!$I$2:$I$3000))</f>
        <v>0</v>
      </c>
      <c r="Z1517" t="str">
        <f>IF($A2="","",IF(COUNTIF('07_Pallet_Contents'!$A$2:$A$3000,$A2)&gt;0,"Yes",""))</f>
        <v/>
      </c>
    </row>
    <row r="1518" spans="2:26">
      <c r="B1518" s="31"/>
      <c r="G1518" s="34"/>
      <c r="H1518" s="33" t="str">
        <f t="shared" si="31"/>
        <v/>
      </c>
      <c r="I1518" s="31"/>
      <c r="J1518" s="31"/>
      <c r="K1518" s="33"/>
      <c r="W1518">
        <f>IF($A2="","",COUNTIF('07_Pallet_Contents'!$A$2:$A$3000,$A2))</f>
        <v>0</v>
      </c>
      <c r="X1518">
        <f>IF($A2="","",SUMIF('07_Pallet_Contents'!$A$2:$A$3000,$A2,'07_Pallet_Contents'!$D$2:$D$3000))</f>
        <v>0</v>
      </c>
      <c r="Y1518">
        <f>IF($A2="","",SUMIF('07_Pallet_Contents'!$A$2:$A$3000,$A2,'07_Pallet_Contents'!$I$2:$I$3000))</f>
        <v>0</v>
      </c>
      <c r="Z1518" t="str">
        <f>IF($A2="","",IF(COUNTIF('07_Pallet_Contents'!$A$2:$A$3000,$A2)&gt;0,"Yes",""))</f>
        <v/>
      </c>
    </row>
    <row r="1519" spans="2:26">
      <c r="B1519" s="31"/>
      <c r="G1519" s="34"/>
      <c r="H1519" s="33" t="str">
        <f t="shared" si="31"/>
        <v/>
      </c>
      <c r="I1519" s="31"/>
      <c r="J1519" s="31"/>
      <c r="K1519" s="33"/>
      <c r="W1519">
        <f>IF($A2="","",COUNTIF('07_Pallet_Contents'!$A$2:$A$3000,$A2))</f>
        <v>0</v>
      </c>
      <c r="X1519">
        <f>IF($A2="","",SUMIF('07_Pallet_Contents'!$A$2:$A$3000,$A2,'07_Pallet_Contents'!$D$2:$D$3000))</f>
        <v>0</v>
      </c>
      <c r="Y1519">
        <f>IF($A2="","",SUMIF('07_Pallet_Contents'!$A$2:$A$3000,$A2,'07_Pallet_Contents'!$I$2:$I$3000))</f>
        <v>0</v>
      </c>
      <c r="Z1519" t="str">
        <f>IF($A2="","",IF(COUNTIF('07_Pallet_Contents'!$A$2:$A$3000,$A2)&gt;0,"Yes",""))</f>
        <v/>
      </c>
    </row>
    <row r="1520" spans="2:26">
      <c r="B1520" s="31"/>
      <c r="G1520" s="34"/>
      <c r="H1520" s="33" t="str">
        <f t="shared" si="31"/>
        <v/>
      </c>
      <c r="I1520" s="31"/>
      <c r="J1520" s="31"/>
      <c r="K1520" s="33"/>
      <c r="W1520">
        <f>IF($A2="","",COUNTIF('07_Pallet_Contents'!$A$2:$A$3000,$A2))</f>
        <v>0</v>
      </c>
      <c r="X1520">
        <f>IF($A2="","",SUMIF('07_Pallet_Contents'!$A$2:$A$3000,$A2,'07_Pallet_Contents'!$D$2:$D$3000))</f>
        <v>0</v>
      </c>
      <c r="Y1520">
        <f>IF($A2="","",SUMIF('07_Pallet_Contents'!$A$2:$A$3000,$A2,'07_Pallet_Contents'!$I$2:$I$3000))</f>
        <v>0</v>
      </c>
      <c r="Z1520" t="str">
        <f>IF($A2="","",IF(COUNTIF('07_Pallet_Contents'!$A$2:$A$3000,$A2)&gt;0,"Yes",""))</f>
        <v/>
      </c>
    </row>
    <row r="1521" spans="2:26">
      <c r="B1521" s="31"/>
      <c r="G1521" s="34"/>
      <c r="H1521" s="33" t="str">
        <f t="shared" si="31"/>
        <v/>
      </c>
      <c r="I1521" s="31"/>
      <c r="J1521" s="31"/>
      <c r="K1521" s="33"/>
      <c r="W1521">
        <f>IF($A2="","",COUNTIF('07_Pallet_Contents'!$A$2:$A$3000,$A2))</f>
        <v>0</v>
      </c>
      <c r="X1521">
        <f>IF($A2="","",SUMIF('07_Pallet_Contents'!$A$2:$A$3000,$A2,'07_Pallet_Contents'!$D$2:$D$3000))</f>
        <v>0</v>
      </c>
      <c r="Y1521">
        <f>IF($A2="","",SUMIF('07_Pallet_Contents'!$A$2:$A$3000,$A2,'07_Pallet_Contents'!$I$2:$I$3000))</f>
        <v>0</v>
      </c>
      <c r="Z1521" t="str">
        <f>IF($A2="","",IF(COUNTIF('07_Pallet_Contents'!$A$2:$A$3000,$A2)&gt;0,"Yes",""))</f>
        <v/>
      </c>
    </row>
    <row r="1522" spans="2:26">
      <c r="B1522" s="31"/>
      <c r="G1522" s="34"/>
      <c r="H1522" s="33" t="str">
        <f t="shared" si="31"/>
        <v/>
      </c>
      <c r="I1522" s="31"/>
      <c r="J1522" s="31"/>
      <c r="K1522" s="33"/>
      <c r="W1522">
        <f>IF($A2="","",COUNTIF('07_Pallet_Contents'!$A$2:$A$3000,$A2))</f>
        <v>0</v>
      </c>
      <c r="X1522">
        <f>IF($A2="","",SUMIF('07_Pallet_Contents'!$A$2:$A$3000,$A2,'07_Pallet_Contents'!$D$2:$D$3000))</f>
        <v>0</v>
      </c>
      <c r="Y1522">
        <f>IF($A2="","",SUMIF('07_Pallet_Contents'!$A$2:$A$3000,$A2,'07_Pallet_Contents'!$I$2:$I$3000))</f>
        <v>0</v>
      </c>
      <c r="Z1522" t="str">
        <f>IF($A2="","",IF(COUNTIF('07_Pallet_Contents'!$A$2:$A$3000,$A2)&gt;0,"Yes",""))</f>
        <v/>
      </c>
    </row>
    <row r="1523" spans="2:26">
      <c r="B1523" s="31"/>
      <c r="G1523" s="34"/>
      <c r="H1523" s="33" t="str">
        <f t="shared" si="31"/>
        <v/>
      </c>
      <c r="I1523" s="31"/>
      <c r="J1523" s="31"/>
      <c r="K1523" s="33"/>
      <c r="W1523">
        <f>IF($A2="","",COUNTIF('07_Pallet_Contents'!$A$2:$A$3000,$A2))</f>
        <v>0</v>
      </c>
      <c r="X1523">
        <f>IF($A2="","",SUMIF('07_Pallet_Contents'!$A$2:$A$3000,$A2,'07_Pallet_Contents'!$D$2:$D$3000))</f>
        <v>0</v>
      </c>
      <c r="Y1523">
        <f>IF($A2="","",SUMIF('07_Pallet_Contents'!$A$2:$A$3000,$A2,'07_Pallet_Contents'!$I$2:$I$3000))</f>
        <v>0</v>
      </c>
      <c r="Z1523" t="str">
        <f>IF($A2="","",IF(COUNTIF('07_Pallet_Contents'!$A$2:$A$3000,$A2)&gt;0,"Yes",""))</f>
        <v/>
      </c>
    </row>
    <row r="1524" spans="2:26">
      <c r="B1524" s="31"/>
      <c r="G1524" s="34"/>
      <c r="H1524" s="33" t="str">
        <f t="shared" si="31"/>
        <v/>
      </c>
      <c r="I1524" s="31"/>
      <c r="J1524" s="31"/>
      <c r="K1524" s="33"/>
      <c r="W1524">
        <f>IF($A2="","",COUNTIF('07_Pallet_Contents'!$A$2:$A$3000,$A2))</f>
        <v>0</v>
      </c>
      <c r="X1524">
        <f>IF($A2="","",SUMIF('07_Pallet_Contents'!$A$2:$A$3000,$A2,'07_Pallet_Contents'!$D$2:$D$3000))</f>
        <v>0</v>
      </c>
      <c r="Y1524">
        <f>IF($A2="","",SUMIF('07_Pallet_Contents'!$A$2:$A$3000,$A2,'07_Pallet_Contents'!$I$2:$I$3000))</f>
        <v>0</v>
      </c>
      <c r="Z1524" t="str">
        <f>IF($A2="","",IF(COUNTIF('07_Pallet_Contents'!$A$2:$A$3000,$A2)&gt;0,"Yes",""))</f>
        <v/>
      </c>
    </row>
    <row r="1525" spans="2:26">
      <c r="B1525" s="31"/>
      <c r="G1525" s="34"/>
      <c r="H1525" s="33" t="str">
        <f t="shared" si="31"/>
        <v/>
      </c>
      <c r="I1525" s="31"/>
      <c r="J1525" s="31"/>
      <c r="K1525" s="33"/>
      <c r="W1525">
        <f>IF($A2="","",COUNTIF('07_Pallet_Contents'!$A$2:$A$3000,$A2))</f>
        <v>0</v>
      </c>
      <c r="X1525">
        <f>IF($A2="","",SUMIF('07_Pallet_Contents'!$A$2:$A$3000,$A2,'07_Pallet_Contents'!$D$2:$D$3000))</f>
        <v>0</v>
      </c>
      <c r="Y1525">
        <f>IF($A2="","",SUMIF('07_Pallet_Contents'!$A$2:$A$3000,$A2,'07_Pallet_Contents'!$I$2:$I$3000))</f>
        <v>0</v>
      </c>
      <c r="Z1525" t="str">
        <f>IF($A2="","",IF(COUNTIF('07_Pallet_Contents'!$A$2:$A$3000,$A2)&gt;0,"Yes",""))</f>
        <v/>
      </c>
    </row>
    <row r="1526" spans="2:26">
      <c r="B1526" s="31"/>
      <c r="G1526" s="34"/>
      <c r="H1526" s="33" t="str">
        <f t="shared" si="31"/>
        <v/>
      </c>
      <c r="I1526" s="31"/>
      <c r="J1526" s="31"/>
      <c r="K1526" s="33"/>
      <c r="W1526">
        <f>IF($A2="","",COUNTIF('07_Pallet_Contents'!$A$2:$A$3000,$A2))</f>
        <v>0</v>
      </c>
      <c r="X1526">
        <f>IF($A2="","",SUMIF('07_Pallet_Contents'!$A$2:$A$3000,$A2,'07_Pallet_Contents'!$D$2:$D$3000))</f>
        <v>0</v>
      </c>
      <c r="Y1526">
        <f>IF($A2="","",SUMIF('07_Pallet_Contents'!$A$2:$A$3000,$A2,'07_Pallet_Contents'!$I$2:$I$3000))</f>
        <v>0</v>
      </c>
      <c r="Z1526" t="str">
        <f>IF($A2="","",IF(COUNTIF('07_Pallet_Contents'!$A$2:$A$3000,$A2)&gt;0,"Yes",""))</f>
        <v/>
      </c>
    </row>
    <row r="1527" spans="2:26">
      <c r="B1527" s="31"/>
      <c r="G1527" s="34"/>
      <c r="H1527" s="33" t="str">
        <f t="shared" si="31"/>
        <v/>
      </c>
      <c r="I1527" s="31"/>
      <c r="J1527" s="31"/>
      <c r="K1527" s="33"/>
      <c r="W1527">
        <f>IF($A2="","",COUNTIF('07_Pallet_Contents'!$A$2:$A$3000,$A2))</f>
        <v>0</v>
      </c>
      <c r="X1527">
        <f>IF($A2="","",SUMIF('07_Pallet_Contents'!$A$2:$A$3000,$A2,'07_Pallet_Contents'!$D$2:$D$3000))</f>
        <v>0</v>
      </c>
      <c r="Y1527">
        <f>IF($A2="","",SUMIF('07_Pallet_Contents'!$A$2:$A$3000,$A2,'07_Pallet_Contents'!$I$2:$I$3000))</f>
        <v>0</v>
      </c>
      <c r="Z1527" t="str">
        <f>IF($A2="","",IF(COUNTIF('07_Pallet_Contents'!$A$2:$A$3000,$A2)&gt;0,"Yes",""))</f>
        <v/>
      </c>
    </row>
    <row r="1528" spans="2:26">
      <c r="B1528" s="31"/>
      <c r="G1528" s="34"/>
      <c r="H1528" s="33" t="str">
        <f t="shared" si="31"/>
        <v/>
      </c>
      <c r="I1528" s="31"/>
      <c r="J1528" s="31"/>
      <c r="K1528" s="33"/>
      <c r="W1528">
        <f>IF($A2="","",COUNTIF('07_Pallet_Contents'!$A$2:$A$3000,$A2))</f>
        <v>0</v>
      </c>
      <c r="X1528">
        <f>IF($A2="","",SUMIF('07_Pallet_Contents'!$A$2:$A$3000,$A2,'07_Pallet_Contents'!$D$2:$D$3000))</f>
        <v>0</v>
      </c>
      <c r="Y1528">
        <f>IF($A2="","",SUMIF('07_Pallet_Contents'!$A$2:$A$3000,$A2,'07_Pallet_Contents'!$I$2:$I$3000))</f>
        <v>0</v>
      </c>
      <c r="Z1528" t="str">
        <f>IF($A2="","",IF(COUNTIF('07_Pallet_Contents'!$A$2:$A$3000,$A2)&gt;0,"Yes",""))</f>
        <v/>
      </c>
    </row>
    <row r="1529" spans="2:26">
      <c r="B1529" s="31"/>
      <c r="G1529" s="34"/>
      <c r="H1529" s="33" t="str">
        <f t="shared" si="31"/>
        <v/>
      </c>
      <c r="I1529" s="31"/>
      <c r="J1529" s="31"/>
      <c r="K1529" s="33"/>
      <c r="W1529">
        <f>IF($A2="","",COUNTIF('07_Pallet_Contents'!$A$2:$A$3000,$A2))</f>
        <v>0</v>
      </c>
      <c r="X1529">
        <f>IF($A2="","",SUMIF('07_Pallet_Contents'!$A$2:$A$3000,$A2,'07_Pallet_Contents'!$D$2:$D$3000))</f>
        <v>0</v>
      </c>
      <c r="Y1529">
        <f>IF($A2="","",SUMIF('07_Pallet_Contents'!$A$2:$A$3000,$A2,'07_Pallet_Contents'!$I$2:$I$3000))</f>
        <v>0</v>
      </c>
      <c r="Z1529" t="str">
        <f>IF($A2="","",IF(COUNTIF('07_Pallet_Contents'!$A$2:$A$3000,$A2)&gt;0,"Yes",""))</f>
        <v/>
      </c>
    </row>
    <row r="1530" spans="2:26">
      <c r="B1530" s="31"/>
      <c r="G1530" s="34"/>
      <c r="H1530" s="33" t="str">
        <f t="shared" si="31"/>
        <v/>
      </c>
      <c r="I1530" s="31"/>
      <c r="J1530" s="31"/>
      <c r="K1530" s="33"/>
      <c r="W1530">
        <f>IF($A2="","",COUNTIF('07_Pallet_Contents'!$A$2:$A$3000,$A2))</f>
        <v>0</v>
      </c>
      <c r="X1530">
        <f>IF($A2="","",SUMIF('07_Pallet_Contents'!$A$2:$A$3000,$A2,'07_Pallet_Contents'!$D$2:$D$3000))</f>
        <v>0</v>
      </c>
      <c r="Y1530">
        <f>IF($A2="","",SUMIF('07_Pallet_Contents'!$A$2:$A$3000,$A2,'07_Pallet_Contents'!$I$2:$I$3000))</f>
        <v>0</v>
      </c>
      <c r="Z1530" t="str">
        <f>IF($A2="","",IF(COUNTIF('07_Pallet_Contents'!$A$2:$A$3000,$A2)&gt;0,"Yes",""))</f>
        <v/>
      </c>
    </row>
    <row r="1531" spans="2:26">
      <c r="B1531" s="31"/>
      <c r="G1531" s="34"/>
      <c r="H1531" s="33" t="str">
        <f t="shared" si="31"/>
        <v/>
      </c>
      <c r="I1531" s="31"/>
      <c r="J1531" s="31"/>
      <c r="K1531" s="33"/>
      <c r="W1531">
        <f>IF($A2="","",COUNTIF('07_Pallet_Contents'!$A$2:$A$3000,$A2))</f>
        <v>0</v>
      </c>
      <c r="X1531">
        <f>IF($A2="","",SUMIF('07_Pallet_Contents'!$A$2:$A$3000,$A2,'07_Pallet_Contents'!$D$2:$D$3000))</f>
        <v>0</v>
      </c>
      <c r="Y1531">
        <f>IF($A2="","",SUMIF('07_Pallet_Contents'!$A$2:$A$3000,$A2,'07_Pallet_Contents'!$I$2:$I$3000))</f>
        <v>0</v>
      </c>
      <c r="Z1531" t="str">
        <f>IF($A2="","",IF(COUNTIF('07_Pallet_Contents'!$A$2:$A$3000,$A2)&gt;0,"Yes",""))</f>
        <v/>
      </c>
    </row>
    <row r="1532" spans="2:26">
      <c r="B1532" s="31"/>
      <c r="G1532" s="34"/>
      <c r="H1532" s="33" t="str">
        <f t="shared" si="31"/>
        <v/>
      </c>
      <c r="I1532" s="31"/>
      <c r="J1532" s="31"/>
      <c r="K1532" s="33"/>
      <c r="W1532">
        <f>IF($A2="","",COUNTIF('07_Pallet_Contents'!$A$2:$A$3000,$A2))</f>
        <v>0</v>
      </c>
      <c r="X1532">
        <f>IF($A2="","",SUMIF('07_Pallet_Contents'!$A$2:$A$3000,$A2,'07_Pallet_Contents'!$D$2:$D$3000))</f>
        <v>0</v>
      </c>
      <c r="Y1532">
        <f>IF($A2="","",SUMIF('07_Pallet_Contents'!$A$2:$A$3000,$A2,'07_Pallet_Contents'!$I$2:$I$3000))</f>
        <v>0</v>
      </c>
      <c r="Z1532" t="str">
        <f>IF($A2="","",IF(COUNTIF('07_Pallet_Contents'!$A$2:$A$3000,$A2)&gt;0,"Yes",""))</f>
        <v/>
      </c>
    </row>
    <row r="1533" spans="2:26">
      <c r="B1533" s="31"/>
      <c r="G1533" s="34"/>
      <c r="H1533" s="33" t="str">
        <f t="shared" si="31"/>
        <v/>
      </c>
      <c r="I1533" s="31"/>
      <c r="J1533" s="31"/>
      <c r="K1533" s="33"/>
      <c r="W1533">
        <f>IF($A2="","",COUNTIF('07_Pallet_Contents'!$A$2:$A$3000,$A2))</f>
        <v>0</v>
      </c>
      <c r="X1533">
        <f>IF($A2="","",SUMIF('07_Pallet_Contents'!$A$2:$A$3000,$A2,'07_Pallet_Contents'!$D$2:$D$3000))</f>
        <v>0</v>
      </c>
      <c r="Y1533">
        <f>IF($A2="","",SUMIF('07_Pallet_Contents'!$A$2:$A$3000,$A2,'07_Pallet_Contents'!$I$2:$I$3000))</f>
        <v>0</v>
      </c>
      <c r="Z1533" t="str">
        <f>IF($A2="","",IF(COUNTIF('07_Pallet_Contents'!$A$2:$A$3000,$A2)&gt;0,"Yes",""))</f>
        <v/>
      </c>
    </row>
    <row r="1534" spans="2:26">
      <c r="B1534" s="31"/>
      <c r="G1534" s="34"/>
      <c r="H1534" s="33" t="str">
        <f t="shared" si="31"/>
        <v/>
      </c>
      <c r="I1534" s="31"/>
      <c r="J1534" s="31"/>
      <c r="K1534" s="33"/>
      <c r="W1534">
        <f>IF($A2="","",COUNTIF('07_Pallet_Contents'!$A$2:$A$3000,$A2))</f>
        <v>0</v>
      </c>
      <c r="X1534">
        <f>IF($A2="","",SUMIF('07_Pallet_Contents'!$A$2:$A$3000,$A2,'07_Pallet_Contents'!$D$2:$D$3000))</f>
        <v>0</v>
      </c>
      <c r="Y1534">
        <f>IF($A2="","",SUMIF('07_Pallet_Contents'!$A$2:$A$3000,$A2,'07_Pallet_Contents'!$I$2:$I$3000))</f>
        <v>0</v>
      </c>
      <c r="Z1534" t="str">
        <f>IF($A2="","",IF(COUNTIF('07_Pallet_Contents'!$A$2:$A$3000,$A2)&gt;0,"Yes",""))</f>
        <v/>
      </c>
    </row>
    <row r="1535" spans="2:26">
      <c r="B1535" s="31"/>
      <c r="G1535" s="34"/>
      <c r="H1535" s="33" t="str">
        <f t="shared" si="31"/>
        <v/>
      </c>
      <c r="I1535" s="31"/>
      <c r="J1535" s="31"/>
      <c r="K1535" s="33"/>
      <c r="W1535">
        <f>IF($A2="","",COUNTIF('07_Pallet_Contents'!$A$2:$A$3000,$A2))</f>
        <v>0</v>
      </c>
      <c r="X1535">
        <f>IF($A2="","",SUMIF('07_Pallet_Contents'!$A$2:$A$3000,$A2,'07_Pallet_Contents'!$D$2:$D$3000))</f>
        <v>0</v>
      </c>
      <c r="Y1535">
        <f>IF($A2="","",SUMIF('07_Pallet_Contents'!$A$2:$A$3000,$A2,'07_Pallet_Contents'!$I$2:$I$3000))</f>
        <v>0</v>
      </c>
      <c r="Z1535" t="str">
        <f>IF($A2="","",IF(COUNTIF('07_Pallet_Contents'!$A$2:$A$3000,$A2)&gt;0,"Yes",""))</f>
        <v/>
      </c>
    </row>
    <row r="1536" spans="2:26">
      <c r="B1536" s="31"/>
      <c r="G1536" s="34"/>
      <c r="H1536" s="33" t="str">
        <f t="shared" si="31"/>
        <v/>
      </c>
      <c r="I1536" s="31"/>
      <c r="J1536" s="31"/>
      <c r="K1536" s="33"/>
      <c r="W1536">
        <f>IF($A2="","",COUNTIF('07_Pallet_Contents'!$A$2:$A$3000,$A2))</f>
        <v>0</v>
      </c>
      <c r="X1536">
        <f>IF($A2="","",SUMIF('07_Pallet_Contents'!$A$2:$A$3000,$A2,'07_Pallet_Contents'!$D$2:$D$3000))</f>
        <v>0</v>
      </c>
      <c r="Y1536">
        <f>IF($A2="","",SUMIF('07_Pallet_Contents'!$A$2:$A$3000,$A2,'07_Pallet_Contents'!$I$2:$I$3000))</f>
        <v>0</v>
      </c>
      <c r="Z1536" t="str">
        <f>IF($A2="","",IF(COUNTIF('07_Pallet_Contents'!$A$2:$A$3000,$A2)&gt;0,"Yes",""))</f>
        <v/>
      </c>
    </row>
    <row r="1537" spans="2:26">
      <c r="B1537" s="31"/>
      <c r="G1537" s="34"/>
      <c r="H1537" s="33" t="str">
        <f t="shared" si="31"/>
        <v/>
      </c>
      <c r="I1537" s="31"/>
      <c r="J1537" s="31"/>
      <c r="K1537" s="33"/>
      <c r="W1537">
        <f>IF($A2="","",COUNTIF('07_Pallet_Contents'!$A$2:$A$3000,$A2))</f>
        <v>0</v>
      </c>
      <c r="X1537">
        <f>IF($A2="","",SUMIF('07_Pallet_Contents'!$A$2:$A$3000,$A2,'07_Pallet_Contents'!$D$2:$D$3000))</f>
        <v>0</v>
      </c>
      <c r="Y1537">
        <f>IF($A2="","",SUMIF('07_Pallet_Contents'!$A$2:$A$3000,$A2,'07_Pallet_Contents'!$I$2:$I$3000))</f>
        <v>0</v>
      </c>
      <c r="Z1537" t="str">
        <f>IF($A2="","",IF(COUNTIF('07_Pallet_Contents'!$A$2:$A$3000,$A2)&gt;0,"Yes",""))</f>
        <v/>
      </c>
    </row>
    <row r="1538" spans="2:26">
      <c r="B1538" s="31"/>
      <c r="G1538" s="34"/>
      <c r="H1538" s="33" t="str">
        <f t="shared" ref="H1538:H1601" si="32">IF(AND($F1538="TEMP",$G1538&gt;0,$M1538&lt;&gt;""),$M1538+$G1538,"")</f>
        <v/>
      </c>
      <c r="I1538" s="31"/>
      <c r="J1538" s="31"/>
      <c r="K1538" s="33"/>
      <c r="W1538">
        <f>IF($A2="","",COUNTIF('07_Pallet_Contents'!$A$2:$A$3000,$A2))</f>
        <v>0</v>
      </c>
      <c r="X1538">
        <f>IF($A2="","",SUMIF('07_Pallet_Contents'!$A$2:$A$3000,$A2,'07_Pallet_Contents'!$D$2:$D$3000))</f>
        <v>0</v>
      </c>
      <c r="Y1538">
        <f>IF($A2="","",SUMIF('07_Pallet_Contents'!$A$2:$A$3000,$A2,'07_Pallet_Contents'!$I$2:$I$3000))</f>
        <v>0</v>
      </c>
      <c r="Z1538" t="str">
        <f>IF($A2="","",IF(COUNTIF('07_Pallet_Contents'!$A$2:$A$3000,$A2)&gt;0,"Yes",""))</f>
        <v/>
      </c>
    </row>
    <row r="1539" spans="2:26">
      <c r="B1539" s="31"/>
      <c r="G1539" s="34"/>
      <c r="H1539" s="33" t="str">
        <f t="shared" si="32"/>
        <v/>
      </c>
      <c r="I1539" s="31"/>
      <c r="J1539" s="31"/>
      <c r="K1539" s="33"/>
      <c r="W1539">
        <f>IF($A2="","",COUNTIF('07_Pallet_Contents'!$A$2:$A$3000,$A2))</f>
        <v>0</v>
      </c>
      <c r="X1539">
        <f>IF($A2="","",SUMIF('07_Pallet_Contents'!$A$2:$A$3000,$A2,'07_Pallet_Contents'!$D$2:$D$3000))</f>
        <v>0</v>
      </c>
      <c r="Y1539">
        <f>IF($A2="","",SUMIF('07_Pallet_Contents'!$A$2:$A$3000,$A2,'07_Pallet_Contents'!$I$2:$I$3000))</f>
        <v>0</v>
      </c>
      <c r="Z1539" t="str">
        <f>IF($A2="","",IF(COUNTIF('07_Pallet_Contents'!$A$2:$A$3000,$A2)&gt;0,"Yes",""))</f>
        <v/>
      </c>
    </row>
    <row r="1540" spans="2:26">
      <c r="B1540" s="31"/>
      <c r="G1540" s="34"/>
      <c r="H1540" s="33" t="str">
        <f t="shared" si="32"/>
        <v/>
      </c>
      <c r="I1540" s="31"/>
      <c r="J1540" s="31"/>
      <c r="K1540" s="33"/>
      <c r="W1540">
        <f>IF($A2="","",COUNTIF('07_Pallet_Contents'!$A$2:$A$3000,$A2))</f>
        <v>0</v>
      </c>
      <c r="X1540">
        <f>IF($A2="","",SUMIF('07_Pallet_Contents'!$A$2:$A$3000,$A2,'07_Pallet_Contents'!$D$2:$D$3000))</f>
        <v>0</v>
      </c>
      <c r="Y1540">
        <f>IF($A2="","",SUMIF('07_Pallet_Contents'!$A$2:$A$3000,$A2,'07_Pallet_Contents'!$I$2:$I$3000))</f>
        <v>0</v>
      </c>
      <c r="Z1540" t="str">
        <f>IF($A2="","",IF(COUNTIF('07_Pallet_Contents'!$A$2:$A$3000,$A2)&gt;0,"Yes",""))</f>
        <v/>
      </c>
    </row>
    <row r="1541" spans="2:26">
      <c r="B1541" s="31"/>
      <c r="G1541" s="34"/>
      <c r="H1541" s="33" t="str">
        <f t="shared" si="32"/>
        <v/>
      </c>
      <c r="I1541" s="31"/>
      <c r="J1541" s="31"/>
      <c r="K1541" s="33"/>
      <c r="W1541">
        <f>IF($A2="","",COUNTIF('07_Pallet_Contents'!$A$2:$A$3000,$A2))</f>
        <v>0</v>
      </c>
      <c r="X1541">
        <f>IF($A2="","",SUMIF('07_Pallet_Contents'!$A$2:$A$3000,$A2,'07_Pallet_Contents'!$D$2:$D$3000))</f>
        <v>0</v>
      </c>
      <c r="Y1541">
        <f>IF($A2="","",SUMIF('07_Pallet_Contents'!$A$2:$A$3000,$A2,'07_Pallet_Contents'!$I$2:$I$3000))</f>
        <v>0</v>
      </c>
      <c r="Z1541" t="str">
        <f>IF($A2="","",IF(COUNTIF('07_Pallet_Contents'!$A$2:$A$3000,$A2)&gt;0,"Yes",""))</f>
        <v/>
      </c>
    </row>
    <row r="1542" spans="2:26">
      <c r="B1542" s="31"/>
      <c r="G1542" s="34"/>
      <c r="H1542" s="33" t="str">
        <f t="shared" si="32"/>
        <v/>
      </c>
      <c r="I1542" s="31"/>
      <c r="J1542" s="31"/>
      <c r="K1542" s="33"/>
      <c r="W1542">
        <f>IF($A2="","",COUNTIF('07_Pallet_Contents'!$A$2:$A$3000,$A2))</f>
        <v>0</v>
      </c>
      <c r="X1542">
        <f>IF($A2="","",SUMIF('07_Pallet_Contents'!$A$2:$A$3000,$A2,'07_Pallet_Contents'!$D$2:$D$3000))</f>
        <v>0</v>
      </c>
      <c r="Y1542">
        <f>IF($A2="","",SUMIF('07_Pallet_Contents'!$A$2:$A$3000,$A2,'07_Pallet_Contents'!$I$2:$I$3000))</f>
        <v>0</v>
      </c>
      <c r="Z1542" t="str">
        <f>IF($A2="","",IF(COUNTIF('07_Pallet_Contents'!$A$2:$A$3000,$A2)&gt;0,"Yes",""))</f>
        <v/>
      </c>
    </row>
    <row r="1543" spans="2:26">
      <c r="B1543" s="31"/>
      <c r="G1543" s="34"/>
      <c r="H1543" s="33" t="str">
        <f t="shared" si="32"/>
        <v/>
      </c>
      <c r="I1543" s="31"/>
      <c r="J1543" s="31"/>
      <c r="K1543" s="33"/>
      <c r="W1543">
        <f>IF($A2="","",COUNTIF('07_Pallet_Contents'!$A$2:$A$3000,$A2))</f>
        <v>0</v>
      </c>
      <c r="X1543">
        <f>IF($A2="","",SUMIF('07_Pallet_Contents'!$A$2:$A$3000,$A2,'07_Pallet_Contents'!$D$2:$D$3000))</f>
        <v>0</v>
      </c>
      <c r="Y1543">
        <f>IF($A2="","",SUMIF('07_Pallet_Contents'!$A$2:$A$3000,$A2,'07_Pallet_Contents'!$I$2:$I$3000))</f>
        <v>0</v>
      </c>
      <c r="Z1543" t="str">
        <f>IF($A2="","",IF(COUNTIF('07_Pallet_Contents'!$A$2:$A$3000,$A2)&gt;0,"Yes",""))</f>
        <v/>
      </c>
    </row>
    <row r="1544" spans="2:26">
      <c r="B1544" s="31"/>
      <c r="G1544" s="34"/>
      <c r="H1544" s="33" t="str">
        <f t="shared" si="32"/>
        <v/>
      </c>
      <c r="I1544" s="31"/>
      <c r="J1544" s="31"/>
      <c r="K1544" s="33"/>
      <c r="W1544">
        <f>IF($A2="","",COUNTIF('07_Pallet_Contents'!$A$2:$A$3000,$A2))</f>
        <v>0</v>
      </c>
      <c r="X1544">
        <f>IF($A2="","",SUMIF('07_Pallet_Contents'!$A$2:$A$3000,$A2,'07_Pallet_Contents'!$D$2:$D$3000))</f>
        <v>0</v>
      </c>
      <c r="Y1544">
        <f>IF($A2="","",SUMIF('07_Pallet_Contents'!$A$2:$A$3000,$A2,'07_Pallet_Contents'!$I$2:$I$3000))</f>
        <v>0</v>
      </c>
      <c r="Z1544" t="str">
        <f>IF($A2="","",IF(COUNTIF('07_Pallet_Contents'!$A$2:$A$3000,$A2)&gt;0,"Yes",""))</f>
        <v/>
      </c>
    </row>
    <row r="1545" spans="2:26">
      <c r="B1545" s="31"/>
      <c r="G1545" s="34"/>
      <c r="H1545" s="33" t="str">
        <f t="shared" si="32"/>
        <v/>
      </c>
      <c r="I1545" s="31"/>
      <c r="J1545" s="31"/>
      <c r="K1545" s="33"/>
      <c r="W1545">
        <f>IF($A2="","",COUNTIF('07_Pallet_Contents'!$A$2:$A$3000,$A2))</f>
        <v>0</v>
      </c>
      <c r="X1545">
        <f>IF($A2="","",SUMIF('07_Pallet_Contents'!$A$2:$A$3000,$A2,'07_Pallet_Contents'!$D$2:$D$3000))</f>
        <v>0</v>
      </c>
      <c r="Y1545">
        <f>IF($A2="","",SUMIF('07_Pallet_Contents'!$A$2:$A$3000,$A2,'07_Pallet_Contents'!$I$2:$I$3000))</f>
        <v>0</v>
      </c>
      <c r="Z1545" t="str">
        <f>IF($A2="","",IF(COUNTIF('07_Pallet_Contents'!$A$2:$A$3000,$A2)&gt;0,"Yes",""))</f>
        <v/>
      </c>
    </row>
    <row r="1546" spans="2:26">
      <c r="B1546" s="31"/>
      <c r="G1546" s="34"/>
      <c r="H1546" s="33" t="str">
        <f t="shared" si="32"/>
        <v/>
      </c>
      <c r="I1546" s="31"/>
      <c r="J1546" s="31"/>
      <c r="K1546" s="33"/>
      <c r="W1546">
        <f>IF($A2="","",COUNTIF('07_Pallet_Contents'!$A$2:$A$3000,$A2))</f>
        <v>0</v>
      </c>
      <c r="X1546">
        <f>IF($A2="","",SUMIF('07_Pallet_Contents'!$A$2:$A$3000,$A2,'07_Pallet_Contents'!$D$2:$D$3000))</f>
        <v>0</v>
      </c>
      <c r="Y1546">
        <f>IF($A2="","",SUMIF('07_Pallet_Contents'!$A$2:$A$3000,$A2,'07_Pallet_Contents'!$I$2:$I$3000))</f>
        <v>0</v>
      </c>
      <c r="Z1546" t="str">
        <f>IF($A2="","",IF(COUNTIF('07_Pallet_Contents'!$A$2:$A$3000,$A2)&gt;0,"Yes",""))</f>
        <v/>
      </c>
    </row>
    <row r="1547" spans="2:26">
      <c r="B1547" s="31"/>
      <c r="G1547" s="34"/>
      <c r="H1547" s="33" t="str">
        <f t="shared" si="32"/>
        <v/>
      </c>
      <c r="I1547" s="31"/>
      <c r="J1547" s="31"/>
      <c r="K1547" s="33"/>
      <c r="W1547">
        <f>IF($A2="","",COUNTIF('07_Pallet_Contents'!$A$2:$A$3000,$A2))</f>
        <v>0</v>
      </c>
      <c r="X1547">
        <f>IF($A2="","",SUMIF('07_Pallet_Contents'!$A$2:$A$3000,$A2,'07_Pallet_Contents'!$D$2:$D$3000))</f>
        <v>0</v>
      </c>
      <c r="Y1547">
        <f>IF($A2="","",SUMIF('07_Pallet_Contents'!$A$2:$A$3000,$A2,'07_Pallet_Contents'!$I$2:$I$3000))</f>
        <v>0</v>
      </c>
      <c r="Z1547" t="str">
        <f>IF($A2="","",IF(COUNTIF('07_Pallet_Contents'!$A$2:$A$3000,$A2)&gt;0,"Yes",""))</f>
        <v/>
      </c>
    </row>
    <row r="1548" spans="2:26">
      <c r="B1548" s="31"/>
      <c r="G1548" s="34"/>
      <c r="H1548" s="33" t="str">
        <f t="shared" si="32"/>
        <v/>
      </c>
      <c r="I1548" s="31"/>
      <c r="J1548" s="31"/>
      <c r="K1548" s="33"/>
      <c r="W1548">
        <f>IF($A2="","",COUNTIF('07_Pallet_Contents'!$A$2:$A$3000,$A2))</f>
        <v>0</v>
      </c>
      <c r="X1548">
        <f>IF($A2="","",SUMIF('07_Pallet_Contents'!$A$2:$A$3000,$A2,'07_Pallet_Contents'!$D$2:$D$3000))</f>
        <v>0</v>
      </c>
      <c r="Y1548">
        <f>IF($A2="","",SUMIF('07_Pallet_Contents'!$A$2:$A$3000,$A2,'07_Pallet_Contents'!$I$2:$I$3000))</f>
        <v>0</v>
      </c>
      <c r="Z1548" t="str">
        <f>IF($A2="","",IF(COUNTIF('07_Pallet_Contents'!$A$2:$A$3000,$A2)&gt;0,"Yes",""))</f>
        <v/>
      </c>
    </row>
    <row r="1549" spans="2:26">
      <c r="B1549" s="31"/>
      <c r="G1549" s="34"/>
      <c r="H1549" s="33" t="str">
        <f t="shared" si="32"/>
        <v/>
      </c>
      <c r="I1549" s="31"/>
      <c r="J1549" s="31"/>
      <c r="K1549" s="33"/>
      <c r="W1549">
        <f>IF($A2="","",COUNTIF('07_Pallet_Contents'!$A$2:$A$3000,$A2))</f>
        <v>0</v>
      </c>
      <c r="X1549">
        <f>IF($A2="","",SUMIF('07_Pallet_Contents'!$A$2:$A$3000,$A2,'07_Pallet_Contents'!$D$2:$D$3000))</f>
        <v>0</v>
      </c>
      <c r="Y1549">
        <f>IF($A2="","",SUMIF('07_Pallet_Contents'!$A$2:$A$3000,$A2,'07_Pallet_Contents'!$I$2:$I$3000))</f>
        <v>0</v>
      </c>
      <c r="Z1549" t="str">
        <f>IF($A2="","",IF(COUNTIF('07_Pallet_Contents'!$A$2:$A$3000,$A2)&gt;0,"Yes",""))</f>
        <v/>
      </c>
    </row>
    <row r="1550" spans="2:26">
      <c r="B1550" s="31"/>
      <c r="G1550" s="34"/>
      <c r="H1550" s="33" t="str">
        <f t="shared" si="32"/>
        <v/>
      </c>
      <c r="I1550" s="31"/>
      <c r="J1550" s="31"/>
      <c r="K1550" s="33"/>
      <c r="W1550">
        <f>IF($A2="","",COUNTIF('07_Pallet_Contents'!$A$2:$A$3000,$A2))</f>
        <v>0</v>
      </c>
      <c r="X1550">
        <f>IF($A2="","",SUMIF('07_Pallet_Contents'!$A$2:$A$3000,$A2,'07_Pallet_Contents'!$D$2:$D$3000))</f>
        <v>0</v>
      </c>
      <c r="Y1550">
        <f>IF($A2="","",SUMIF('07_Pallet_Contents'!$A$2:$A$3000,$A2,'07_Pallet_Contents'!$I$2:$I$3000))</f>
        <v>0</v>
      </c>
      <c r="Z1550" t="str">
        <f>IF($A2="","",IF(COUNTIF('07_Pallet_Contents'!$A$2:$A$3000,$A2)&gt;0,"Yes",""))</f>
        <v/>
      </c>
    </row>
    <row r="1551" spans="2:26">
      <c r="B1551" s="31"/>
      <c r="G1551" s="34"/>
      <c r="H1551" s="33" t="str">
        <f t="shared" si="32"/>
        <v/>
      </c>
      <c r="I1551" s="31"/>
      <c r="J1551" s="31"/>
      <c r="K1551" s="33"/>
      <c r="W1551">
        <f>IF($A2="","",COUNTIF('07_Pallet_Contents'!$A$2:$A$3000,$A2))</f>
        <v>0</v>
      </c>
      <c r="X1551">
        <f>IF($A2="","",SUMIF('07_Pallet_Contents'!$A$2:$A$3000,$A2,'07_Pallet_Contents'!$D$2:$D$3000))</f>
        <v>0</v>
      </c>
      <c r="Y1551">
        <f>IF($A2="","",SUMIF('07_Pallet_Contents'!$A$2:$A$3000,$A2,'07_Pallet_Contents'!$I$2:$I$3000))</f>
        <v>0</v>
      </c>
      <c r="Z1551" t="str">
        <f>IF($A2="","",IF(COUNTIF('07_Pallet_Contents'!$A$2:$A$3000,$A2)&gt;0,"Yes",""))</f>
        <v/>
      </c>
    </row>
    <row r="1552" spans="2:26">
      <c r="B1552" s="31"/>
      <c r="G1552" s="34"/>
      <c r="H1552" s="33" t="str">
        <f t="shared" si="32"/>
        <v/>
      </c>
      <c r="I1552" s="31"/>
      <c r="J1552" s="31"/>
      <c r="K1552" s="33"/>
      <c r="W1552">
        <f>IF($A2="","",COUNTIF('07_Pallet_Contents'!$A$2:$A$3000,$A2))</f>
        <v>0</v>
      </c>
      <c r="X1552">
        <f>IF($A2="","",SUMIF('07_Pallet_Contents'!$A$2:$A$3000,$A2,'07_Pallet_Contents'!$D$2:$D$3000))</f>
        <v>0</v>
      </c>
      <c r="Y1552">
        <f>IF($A2="","",SUMIF('07_Pallet_Contents'!$A$2:$A$3000,$A2,'07_Pallet_Contents'!$I$2:$I$3000))</f>
        <v>0</v>
      </c>
      <c r="Z1552" t="str">
        <f>IF($A2="","",IF(COUNTIF('07_Pallet_Contents'!$A$2:$A$3000,$A2)&gt;0,"Yes",""))</f>
        <v/>
      </c>
    </row>
    <row r="1553" spans="2:26">
      <c r="B1553" s="31"/>
      <c r="G1553" s="34"/>
      <c r="H1553" s="33" t="str">
        <f t="shared" si="32"/>
        <v/>
      </c>
      <c r="I1553" s="31"/>
      <c r="J1553" s="31"/>
      <c r="K1553" s="33"/>
      <c r="W1553">
        <f>IF($A2="","",COUNTIF('07_Pallet_Contents'!$A$2:$A$3000,$A2))</f>
        <v>0</v>
      </c>
      <c r="X1553">
        <f>IF($A2="","",SUMIF('07_Pallet_Contents'!$A$2:$A$3000,$A2,'07_Pallet_Contents'!$D$2:$D$3000))</f>
        <v>0</v>
      </c>
      <c r="Y1553">
        <f>IF($A2="","",SUMIF('07_Pallet_Contents'!$A$2:$A$3000,$A2,'07_Pallet_Contents'!$I$2:$I$3000))</f>
        <v>0</v>
      </c>
      <c r="Z1553" t="str">
        <f>IF($A2="","",IF(COUNTIF('07_Pallet_Contents'!$A$2:$A$3000,$A2)&gt;0,"Yes",""))</f>
        <v/>
      </c>
    </row>
    <row r="1554" spans="2:26">
      <c r="B1554" s="31"/>
      <c r="G1554" s="34"/>
      <c r="H1554" s="33" t="str">
        <f t="shared" si="32"/>
        <v/>
      </c>
      <c r="I1554" s="31"/>
      <c r="J1554" s="31"/>
      <c r="K1554" s="33"/>
      <c r="W1554">
        <f>IF($A2="","",COUNTIF('07_Pallet_Contents'!$A$2:$A$3000,$A2))</f>
        <v>0</v>
      </c>
      <c r="X1554">
        <f>IF($A2="","",SUMIF('07_Pallet_Contents'!$A$2:$A$3000,$A2,'07_Pallet_Contents'!$D$2:$D$3000))</f>
        <v>0</v>
      </c>
      <c r="Y1554">
        <f>IF($A2="","",SUMIF('07_Pallet_Contents'!$A$2:$A$3000,$A2,'07_Pallet_Contents'!$I$2:$I$3000))</f>
        <v>0</v>
      </c>
      <c r="Z1554" t="str">
        <f>IF($A2="","",IF(COUNTIF('07_Pallet_Contents'!$A$2:$A$3000,$A2)&gt;0,"Yes",""))</f>
        <v/>
      </c>
    </row>
    <row r="1555" spans="2:26">
      <c r="B1555" s="31"/>
      <c r="G1555" s="34"/>
      <c r="H1555" s="33" t="str">
        <f t="shared" si="32"/>
        <v/>
      </c>
      <c r="I1555" s="31"/>
      <c r="J1555" s="31"/>
      <c r="K1555" s="33"/>
      <c r="W1555">
        <f>IF($A2="","",COUNTIF('07_Pallet_Contents'!$A$2:$A$3000,$A2))</f>
        <v>0</v>
      </c>
      <c r="X1555">
        <f>IF($A2="","",SUMIF('07_Pallet_Contents'!$A$2:$A$3000,$A2,'07_Pallet_Contents'!$D$2:$D$3000))</f>
        <v>0</v>
      </c>
      <c r="Y1555">
        <f>IF($A2="","",SUMIF('07_Pallet_Contents'!$A$2:$A$3000,$A2,'07_Pallet_Contents'!$I$2:$I$3000))</f>
        <v>0</v>
      </c>
      <c r="Z1555" t="str">
        <f>IF($A2="","",IF(COUNTIF('07_Pallet_Contents'!$A$2:$A$3000,$A2)&gt;0,"Yes",""))</f>
        <v/>
      </c>
    </row>
    <row r="1556" spans="2:26">
      <c r="B1556" s="31"/>
      <c r="G1556" s="34"/>
      <c r="H1556" s="33" t="str">
        <f t="shared" si="32"/>
        <v/>
      </c>
      <c r="I1556" s="31"/>
      <c r="J1556" s="31"/>
      <c r="K1556" s="33"/>
      <c r="W1556">
        <f>IF($A2="","",COUNTIF('07_Pallet_Contents'!$A$2:$A$3000,$A2))</f>
        <v>0</v>
      </c>
      <c r="X1556">
        <f>IF($A2="","",SUMIF('07_Pallet_Contents'!$A$2:$A$3000,$A2,'07_Pallet_Contents'!$D$2:$D$3000))</f>
        <v>0</v>
      </c>
      <c r="Y1556">
        <f>IF($A2="","",SUMIF('07_Pallet_Contents'!$A$2:$A$3000,$A2,'07_Pallet_Contents'!$I$2:$I$3000))</f>
        <v>0</v>
      </c>
      <c r="Z1556" t="str">
        <f>IF($A2="","",IF(COUNTIF('07_Pallet_Contents'!$A$2:$A$3000,$A2)&gt;0,"Yes",""))</f>
        <v/>
      </c>
    </row>
    <row r="1557" spans="2:26">
      <c r="B1557" s="31"/>
      <c r="G1557" s="34"/>
      <c r="H1557" s="33" t="str">
        <f t="shared" si="32"/>
        <v/>
      </c>
      <c r="I1557" s="31"/>
      <c r="J1557" s="31"/>
      <c r="K1557" s="33"/>
      <c r="W1557">
        <f>IF($A2="","",COUNTIF('07_Pallet_Contents'!$A$2:$A$3000,$A2))</f>
        <v>0</v>
      </c>
      <c r="X1557">
        <f>IF($A2="","",SUMIF('07_Pallet_Contents'!$A$2:$A$3000,$A2,'07_Pallet_Contents'!$D$2:$D$3000))</f>
        <v>0</v>
      </c>
      <c r="Y1557">
        <f>IF($A2="","",SUMIF('07_Pallet_Contents'!$A$2:$A$3000,$A2,'07_Pallet_Contents'!$I$2:$I$3000))</f>
        <v>0</v>
      </c>
      <c r="Z1557" t="str">
        <f>IF($A2="","",IF(COUNTIF('07_Pallet_Contents'!$A$2:$A$3000,$A2)&gt;0,"Yes",""))</f>
        <v/>
      </c>
    </row>
    <row r="1558" spans="2:26">
      <c r="B1558" s="31"/>
      <c r="G1558" s="34"/>
      <c r="H1558" s="33" t="str">
        <f t="shared" si="32"/>
        <v/>
      </c>
      <c r="I1558" s="31"/>
      <c r="J1558" s="31"/>
      <c r="K1558" s="33"/>
      <c r="W1558">
        <f>IF($A2="","",COUNTIF('07_Pallet_Contents'!$A$2:$A$3000,$A2))</f>
        <v>0</v>
      </c>
      <c r="X1558">
        <f>IF($A2="","",SUMIF('07_Pallet_Contents'!$A$2:$A$3000,$A2,'07_Pallet_Contents'!$D$2:$D$3000))</f>
        <v>0</v>
      </c>
      <c r="Y1558">
        <f>IF($A2="","",SUMIF('07_Pallet_Contents'!$A$2:$A$3000,$A2,'07_Pallet_Contents'!$I$2:$I$3000))</f>
        <v>0</v>
      </c>
      <c r="Z1558" t="str">
        <f>IF($A2="","",IF(COUNTIF('07_Pallet_Contents'!$A$2:$A$3000,$A2)&gt;0,"Yes",""))</f>
        <v/>
      </c>
    </row>
    <row r="1559" spans="2:26">
      <c r="B1559" s="31"/>
      <c r="G1559" s="34"/>
      <c r="H1559" s="33" t="str">
        <f t="shared" si="32"/>
        <v/>
      </c>
      <c r="I1559" s="31"/>
      <c r="J1559" s="31"/>
      <c r="K1559" s="33"/>
      <c r="W1559">
        <f>IF($A2="","",COUNTIF('07_Pallet_Contents'!$A$2:$A$3000,$A2))</f>
        <v>0</v>
      </c>
      <c r="X1559">
        <f>IF($A2="","",SUMIF('07_Pallet_Contents'!$A$2:$A$3000,$A2,'07_Pallet_Contents'!$D$2:$D$3000))</f>
        <v>0</v>
      </c>
      <c r="Y1559">
        <f>IF($A2="","",SUMIF('07_Pallet_Contents'!$A$2:$A$3000,$A2,'07_Pallet_Contents'!$I$2:$I$3000))</f>
        <v>0</v>
      </c>
      <c r="Z1559" t="str">
        <f>IF($A2="","",IF(COUNTIF('07_Pallet_Contents'!$A$2:$A$3000,$A2)&gt;0,"Yes",""))</f>
        <v/>
      </c>
    </row>
    <row r="1560" spans="2:26">
      <c r="B1560" s="31"/>
      <c r="G1560" s="34"/>
      <c r="H1560" s="33" t="str">
        <f t="shared" si="32"/>
        <v/>
      </c>
      <c r="I1560" s="31"/>
      <c r="J1560" s="31"/>
      <c r="K1560" s="33"/>
      <c r="W1560">
        <f>IF($A2="","",COUNTIF('07_Pallet_Contents'!$A$2:$A$3000,$A2))</f>
        <v>0</v>
      </c>
      <c r="X1560">
        <f>IF($A2="","",SUMIF('07_Pallet_Contents'!$A$2:$A$3000,$A2,'07_Pallet_Contents'!$D$2:$D$3000))</f>
        <v>0</v>
      </c>
      <c r="Y1560">
        <f>IF($A2="","",SUMIF('07_Pallet_Contents'!$A$2:$A$3000,$A2,'07_Pallet_Contents'!$I$2:$I$3000))</f>
        <v>0</v>
      </c>
      <c r="Z1560" t="str">
        <f>IF($A2="","",IF(COUNTIF('07_Pallet_Contents'!$A$2:$A$3000,$A2)&gt;0,"Yes",""))</f>
        <v/>
      </c>
    </row>
    <row r="1561" spans="2:26">
      <c r="B1561" s="31"/>
      <c r="G1561" s="34"/>
      <c r="H1561" s="33" t="str">
        <f t="shared" si="32"/>
        <v/>
      </c>
      <c r="I1561" s="31"/>
      <c r="J1561" s="31"/>
      <c r="K1561" s="33"/>
      <c r="W1561">
        <f>IF($A2="","",COUNTIF('07_Pallet_Contents'!$A$2:$A$3000,$A2))</f>
        <v>0</v>
      </c>
      <c r="X1561">
        <f>IF($A2="","",SUMIF('07_Pallet_Contents'!$A$2:$A$3000,$A2,'07_Pallet_Contents'!$D$2:$D$3000))</f>
        <v>0</v>
      </c>
      <c r="Y1561">
        <f>IF($A2="","",SUMIF('07_Pallet_Contents'!$A$2:$A$3000,$A2,'07_Pallet_Contents'!$I$2:$I$3000))</f>
        <v>0</v>
      </c>
      <c r="Z1561" t="str">
        <f>IF($A2="","",IF(COUNTIF('07_Pallet_Contents'!$A$2:$A$3000,$A2)&gt;0,"Yes",""))</f>
        <v/>
      </c>
    </row>
    <row r="1562" spans="2:26">
      <c r="B1562" s="31"/>
      <c r="G1562" s="34"/>
      <c r="H1562" s="33" t="str">
        <f t="shared" si="32"/>
        <v/>
      </c>
      <c r="I1562" s="31"/>
      <c r="J1562" s="31"/>
      <c r="K1562" s="33"/>
      <c r="W1562">
        <f>IF($A2="","",COUNTIF('07_Pallet_Contents'!$A$2:$A$3000,$A2))</f>
        <v>0</v>
      </c>
      <c r="X1562">
        <f>IF($A2="","",SUMIF('07_Pallet_Contents'!$A$2:$A$3000,$A2,'07_Pallet_Contents'!$D$2:$D$3000))</f>
        <v>0</v>
      </c>
      <c r="Y1562">
        <f>IF($A2="","",SUMIF('07_Pallet_Contents'!$A$2:$A$3000,$A2,'07_Pallet_Contents'!$I$2:$I$3000))</f>
        <v>0</v>
      </c>
      <c r="Z1562" t="str">
        <f>IF($A2="","",IF(COUNTIF('07_Pallet_Contents'!$A$2:$A$3000,$A2)&gt;0,"Yes",""))</f>
        <v/>
      </c>
    </row>
    <row r="1563" spans="2:26">
      <c r="B1563" s="31"/>
      <c r="G1563" s="34"/>
      <c r="H1563" s="33" t="str">
        <f t="shared" si="32"/>
        <v/>
      </c>
      <c r="I1563" s="31"/>
      <c r="J1563" s="31"/>
      <c r="K1563" s="33"/>
      <c r="W1563">
        <f>IF($A2="","",COUNTIF('07_Pallet_Contents'!$A$2:$A$3000,$A2))</f>
        <v>0</v>
      </c>
      <c r="X1563">
        <f>IF($A2="","",SUMIF('07_Pallet_Contents'!$A$2:$A$3000,$A2,'07_Pallet_Contents'!$D$2:$D$3000))</f>
        <v>0</v>
      </c>
      <c r="Y1563">
        <f>IF($A2="","",SUMIF('07_Pallet_Contents'!$A$2:$A$3000,$A2,'07_Pallet_Contents'!$I$2:$I$3000))</f>
        <v>0</v>
      </c>
      <c r="Z1563" t="str">
        <f>IF($A2="","",IF(COUNTIF('07_Pallet_Contents'!$A$2:$A$3000,$A2)&gt;0,"Yes",""))</f>
        <v/>
      </c>
    </row>
    <row r="1564" spans="2:26">
      <c r="B1564" s="31"/>
      <c r="G1564" s="34"/>
      <c r="H1564" s="33" t="str">
        <f t="shared" si="32"/>
        <v/>
      </c>
      <c r="I1564" s="31"/>
      <c r="J1564" s="31"/>
      <c r="K1564" s="33"/>
      <c r="W1564">
        <f>IF($A2="","",COUNTIF('07_Pallet_Contents'!$A$2:$A$3000,$A2))</f>
        <v>0</v>
      </c>
      <c r="X1564">
        <f>IF($A2="","",SUMIF('07_Pallet_Contents'!$A$2:$A$3000,$A2,'07_Pallet_Contents'!$D$2:$D$3000))</f>
        <v>0</v>
      </c>
      <c r="Y1564">
        <f>IF($A2="","",SUMIF('07_Pallet_Contents'!$A$2:$A$3000,$A2,'07_Pallet_Contents'!$I$2:$I$3000))</f>
        <v>0</v>
      </c>
      <c r="Z1564" t="str">
        <f>IF($A2="","",IF(COUNTIF('07_Pallet_Contents'!$A$2:$A$3000,$A2)&gt;0,"Yes",""))</f>
        <v/>
      </c>
    </row>
    <row r="1565" spans="2:26">
      <c r="B1565" s="31"/>
      <c r="G1565" s="34"/>
      <c r="H1565" s="33" t="str">
        <f t="shared" si="32"/>
        <v/>
      </c>
      <c r="I1565" s="31"/>
      <c r="J1565" s="31"/>
      <c r="K1565" s="33"/>
      <c r="W1565">
        <f>IF($A2="","",COUNTIF('07_Pallet_Contents'!$A$2:$A$3000,$A2))</f>
        <v>0</v>
      </c>
      <c r="X1565">
        <f>IF($A2="","",SUMIF('07_Pallet_Contents'!$A$2:$A$3000,$A2,'07_Pallet_Contents'!$D$2:$D$3000))</f>
        <v>0</v>
      </c>
      <c r="Y1565">
        <f>IF($A2="","",SUMIF('07_Pallet_Contents'!$A$2:$A$3000,$A2,'07_Pallet_Contents'!$I$2:$I$3000))</f>
        <v>0</v>
      </c>
      <c r="Z1565" t="str">
        <f>IF($A2="","",IF(COUNTIF('07_Pallet_Contents'!$A$2:$A$3000,$A2)&gt;0,"Yes",""))</f>
        <v/>
      </c>
    </row>
    <row r="1566" spans="2:26">
      <c r="B1566" s="31"/>
      <c r="G1566" s="34"/>
      <c r="H1566" s="33" t="str">
        <f t="shared" si="32"/>
        <v/>
      </c>
      <c r="I1566" s="31"/>
      <c r="J1566" s="31"/>
      <c r="K1566" s="33"/>
      <c r="W1566">
        <f>IF($A2="","",COUNTIF('07_Pallet_Contents'!$A$2:$A$3000,$A2))</f>
        <v>0</v>
      </c>
      <c r="X1566">
        <f>IF($A2="","",SUMIF('07_Pallet_Contents'!$A$2:$A$3000,$A2,'07_Pallet_Contents'!$D$2:$D$3000))</f>
        <v>0</v>
      </c>
      <c r="Y1566">
        <f>IF($A2="","",SUMIF('07_Pallet_Contents'!$A$2:$A$3000,$A2,'07_Pallet_Contents'!$I$2:$I$3000))</f>
        <v>0</v>
      </c>
      <c r="Z1566" t="str">
        <f>IF($A2="","",IF(COUNTIF('07_Pallet_Contents'!$A$2:$A$3000,$A2)&gt;0,"Yes",""))</f>
        <v/>
      </c>
    </row>
    <row r="1567" spans="2:26">
      <c r="B1567" s="31"/>
      <c r="G1567" s="34"/>
      <c r="H1567" s="33" t="str">
        <f t="shared" si="32"/>
        <v/>
      </c>
      <c r="I1567" s="31"/>
      <c r="J1567" s="31"/>
      <c r="K1567" s="33"/>
      <c r="W1567">
        <f>IF($A2="","",COUNTIF('07_Pallet_Contents'!$A$2:$A$3000,$A2))</f>
        <v>0</v>
      </c>
      <c r="X1567">
        <f>IF($A2="","",SUMIF('07_Pallet_Contents'!$A$2:$A$3000,$A2,'07_Pallet_Contents'!$D$2:$D$3000))</f>
        <v>0</v>
      </c>
      <c r="Y1567">
        <f>IF($A2="","",SUMIF('07_Pallet_Contents'!$A$2:$A$3000,$A2,'07_Pallet_Contents'!$I$2:$I$3000))</f>
        <v>0</v>
      </c>
      <c r="Z1567" t="str">
        <f>IF($A2="","",IF(COUNTIF('07_Pallet_Contents'!$A$2:$A$3000,$A2)&gt;0,"Yes",""))</f>
        <v/>
      </c>
    </row>
    <row r="1568" spans="2:26">
      <c r="B1568" s="31"/>
      <c r="G1568" s="34"/>
      <c r="H1568" s="33" t="str">
        <f t="shared" si="32"/>
        <v/>
      </c>
      <c r="I1568" s="31"/>
      <c r="J1568" s="31"/>
      <c r="K1568" s="33"/>
      <c r="W1568">
        <f>IF($A2="","",COUNTIF('07_Pallet_Contents'!$A$2:$A$3000,$A2))</f>
        <v>0</v>
      </c>
      <c r="X1568">
        <f>IF($A2="","",SUMIF('07_Pallet_Contents'!$A$2:$A$3000,$A2,'07_Pallet_Contents'!$D$2:$D$3000))</f>
        <v>0</v>
      </c>
      <c r="Y1568">
        <f>IF($A2="","",SUMIF('07_Pallet_Contents'!$A$2:$A$3000,$A2,'07_Pallet_Contents'!$I$2:$I$3000))</f>
        <v>0</v>
      </c>
      <c r="Z1568" t="str">
        <f>IF($A2="","",IF(COUNTIF('07_Pallet_Contents'!$A$2:$A$3000,$A2)&gt;0,"Yes",""))</f>
        <v/>
      </c>
    </row>
    <row r="1569" spans="2:26">
      <c r="B1569" s="31"/>
      <c r="G1569" s="34"/>
      <c r="H1569" s="33" t="str">
        <f t="shared" si="32"/>
        <v/>
      </c>
      <c r="I1569" s="31"/>
      <c r="J1569" s="31"/>
      <c r="K1569" s="33"/>
      <c r="W1569">
        <f>IF($A2="","",COUNTIF('07_Pallet_Contents'!$A$2:$A$3000,$A2))</f>
        <v>0</v>
      </c>
      <c r="X1569">
        <f>IF($A2="","",SUMIF('07_Pallet_Contents'!$A$2:$A$3000,$A2,'07_Pallet_Contents'!$D$2:$D$3000))</f>
        <v>0</v>
      </c>
      <c r="Y1569">
        <f>IF($A2="","",SUMIF('07_Pallet_Contents'!$A$2:$A$3000,$A2,'07_Pallet_Contents'!$I$2:$I$3000))</f>
        <v>0</v>
      </c>
      <c r="Z1569" t="str">
        <f>IF($A2="","",IF(COUNTIF('07_Pallet_Contents'!$A$2:$A$3000,$A2)&gt;0,"Yes",""))</f>
        <v/>
      </c>
    </row>
    <row r="1570" spans="2:26">
      <c r="B1570" s="31"/>
      <c r="G1570" s="34"/>
      <c r="H1570" s="33" t="str">
        <f t="shared" si="32"/>
        <v/>
      </c>
      <c r="I1570" s="31"/>
      <c r="J1570" s="31"/>
      <c r="K1570" s="33"/>
      <c r="W1570">
        <f>IF($A2="","",COUNTIF('07_Pallet_Contents'!$A$2:$A$3000,$A2))</f>
        <v>0</v>
      </c>
      <c r="X1570">
        <f>IF($A2="","",SUMIF('07_Pallet_Contents'!$A$2:$A$3000,$A2,'07_Pallet_Contents'!$D$2:$D$3000))</f>
        <v>0</v>
      </c>
      <c r="Y1570">
        <f>IF($A2="","",SUMIF('07_Pallet_Contents'!$A$2:$A$3000,$A2,'07_Pallet_Contents'!$I$2:$I$3000))</f>
        <v>0</v>
      </c>
      <c r="Z1570" t="str">
        <f>IF($A2="","",IF(COUNTIF('07_Pallet_Contents'!$A$2:$A$3000,$A2)&gt;0,"Yes",""))</f>
        <v/>
      </c>
    </row>
    <row r="1571" spans="2:26">
      <c r="B1571" s="31"/>
      <c r="G1571" s="34"/>
      <c r="H1571" s="33" t="str">
        <f t="shared" si="32"/>
        <v/>
      </c>
      <c r="I1571" s="31"/>
      <c r="J1571" s="31"/>
      <c r="K1571" s="33"/>
      <c r="W1571">
        <f>IF($A2="","",COUNTIF('07_Pallet_Contents'!$A$2:$A$3000,$A2))</f>
        <v>0</v>
      </c>
      <c r="X1571">
        <f>IF($A2="","",SUMIF('07_Pallet_Contents'!$A$2:$A$3000,$A2,'07_Pallet_Contents'!$D$2:$D$3000))</f>
        <v>0</v>
      </c>
      <c r="Y1571">
        <f>IF($A2="","",SUMIF('07_Pallet_Contents'!$A$2:$A$3000,$A2,'07_Pallet_Contents'!$I$2:$I$3000))</f>
        <v>0</v>
      </c>
      <c r="Z1571" t="str">
        <f>IF($A2="","",IF(COUNTIF('07_Pallet_Contents'!$A$2:$A$3000,$A2)&gt;0,"Yes",""))</f>
        <v/>
      </c>
    </row>
    <row r="1572" spans="2:26">
      <c r="B1572" s="31"/>
      <c r="G1572" s="34"/>
      <c r="H1572" s="33" t="str">
        <f t="shared" si="32"/>
        <v/>
      </c>
      <c r="I1572" s="31"/>
      <c r="J1572" s="31"/>
      <c r="K1572" s="33"/>
      <c r="W1572">
        <f>IF($A2="","",COUNTIF('07_Pallet_Contents'!$A$2:$A$3000,$A2))</f>
        <v>0</v>
      </c>
      <c r="X1572">
        <f>IF($A2="","",SUMIF('07_Pallet_Contents'!$A$2:$A$3000,$A2,'07_Pallet_Contents'!$D$2:$D$3000))</f>
        <v>0</v>
      </c>
      <c r="Y1572">
        <f>IF($A2="","",SUMIF('07_Pallet_Contents'!$A$2:$A$3000,$A2,'07_Pallet_Contents'!$I$2:$I$3000))</f>
        <v>0</v>
      </c>
      <c r="Z1572" t="str">
        <f>IF($A2="","",IF(COUNTIF('07_Pallet_Contents'!$A$2:$A$3000,$A2)&gt;0,"Yes",""))</f>
        <v/>
      </c>
    </row>
    <row r="1573" spans="2:26">
      <c r="B1573" s="31"/>
      <c r="G1573" s="34"/>
      <c r="H1573" s="33" t="str">
        <f t="shared" si="32"/>
        <v/>
      </c>
      <c r="I1573" s="31"/>
      <c r="J1573" s="31"/>
      <c r="K1573" s="33"/>
      <c r="W1573">
        <f>IF($A2="","",COUNTIF('07_Pallet_Contents'!$A$2:$A$3000,$A2))</f>
        <v>0</v>
      </c>
      <c r="X1573">
        <f>IF($A2="","",SUMIF('07_Pallet_Contents'!$A$2:$A$3000,$A2,'07_Pallet_Contents'!$D$2:$D$3000))</f>
        <v>0</v>
      </c>
      <c r="Y1573">
        <f>IF($A2="","",SUMIF('07_Pallet_Contents'!$A$2:$A$3000,$A2,'07_Pallet_Contents'!$I$2:$I$3000))</f>
        <v>0</v>
      </c>
      <c r="Z1573" t="str">
        <f>IF($A2="","",IF(COUNTIF('07_Pallet_Contents'!$A$2:$A$3000,$A2)&gt;0,"Yes",""))</f>
        <v/>
      </c>
    </row>
    <row r="1574" spans="2:26">
      <c r="B1574" s="31"/>
      <c r="G1574" s="34"/>
      <c r="H1574" s="33" t="str">
        <f t="shared" si="32"/>
        <v/>
      </c>
      <c r="I1574" s="31"/>
      <c r="J1574" s="31"/>
      <c r="K1574" s="33"/>
      <c r="W1574">
        <f>IF($A2="","",COUNTIF('07_Pallet_Contents'!$A$2:$A$3000,$A2))</f>
        <v>0</v>
      </c>
      <c r="X1574">
        <f>IF($A2="","",SUMIF('07_Pallet_Contents'!$A$2:$A$3000,$A2,'07_Pallet_Contents'!$D$2:$D$3000))</f>
        <v>0</v>
      </c>
      <c r="Y1574">
        <f>IF($A2="","",SUMIF('07_Pallet_Contents'!$A$2:$A$3000,$A2,'07_Pallet_Contents'!$I$2:$I$3000))</f>
        <v>0</v>
      </c>
      <c r="Z1574" t="str">
        <f>IF($A2="","",IF(COUNTIF('07_Pallet_Contents'!$A$2:$A$3000,$A2)&gt;0,"Yes",""))</f>
        <v/>
      </c>
    </row>
    <row r="1575" spans="2:26">
      <c r="B1575" s="31"/>
      <c r="G1575" s="34"/>
      <c r="H1575" s="33" t="str">
        <f t="shared" si="32"/>
        <v/>
      </c>
      <c r="I1575" s="31"/>
      <c r="J1575" s="31"/>
      <c r="K1575" s="33"/>
      <c r="W1575">
        <f>IF($A2="","",COUNTIF('07_Pallet_Contents'!$A$2:$A$3000,$A2))</f>
        <v>0</v>
      </c>
      <c r="X1575">
        <f>IF($A2="","",SUMIF('07_Pallet_Contents'!$A$2:$A$3000,$A2,'07_Pallet_Contents'!$D$2:$D$3000))</f>
        <v>0</v>
      </c>
      <c r="Y1575">
        <f>IF($A2="","",SUMIF('07_Pallet_Contents'!$A$2:$A$3000,$A2,'07_Pallet_Contents'!$I$2:$I$3000))</f>
        <v>0</v>
      </c>
      <c r="Z1575" t="str">
        <f>IF($A2="","",IF(COUNTIF('07_Pallet_Contents'!$A$2:$A$3000,$A2)&gt;0,"Yes",""))</f>
        <v/>
      </c>
    </row>
    <row r="1576" spans="2:26">
      <c r="B1576" s="31"/>
      <c r="G1576" s="34"/>
      <c r="H1576" s="33" t="str">
        <f t="shared" si="32"/>
        <v/>
      </c>
      <c r="I1576" s="31"/>
      <c r="J1576" s="31"/>
      <c r="K1576" s="33"/>
      <c r="W1576">
        <f>IF($A2="","",COUNTIF('07_Pallet_Contents'!$A$2:$A$3000,$A2))</f>
        <v>0</v>
      </c>
      <c r="X1576">
        <f>IF($A2="","",SUMIF('07_Pallet_Contents'!$A$2:$A$3000,$A2,'07_Pallet_Contents'!$D$2:$D$3000))</f>
        <v>0</v>
      </c>
      <c r="Y1576">
        <f>IF($A2="","",SUMIF('07_Pallet_Contents'!$A$2:$A$3000,$A2,'07_Pallet_Contents'!$I$2:$I$3000))</f>
        <v>0</v>
      </c>
      <c r="Z1576" t="str">
        <f>IF($A2="","",IF(COUNTIF('07_Pallet_Contents'!$A$2:$A$3000,$A2)&gt;0,"Yes",""))</f>
        <v/>
      </c>
    </row>
    <row r="1577" spans="2:26">
      <c r="B1577" s="31"/>
      <c r="G1577" s="34"/>
      <c r="H1577" s="33" t="str">
        <f t="shared" si="32"/>
        <v/>
      </c>
      <c r="I1577" s="31"/>
      <c r="J1577" s="31"/>
      <c r="K1577" s="33"/>
      <c r="W1577">
        <f>IF($A2="","",COUNTIF('07_Pallet_Contents'!$A$2:$A$3000,$A2))</f>
        <v>0</v>
      </c>
      <c r="X1577">
        <f>IF($A2="","",SUMIF('07_Pallet_Contents'!$A$2:$A$3000,$A2,'07_Pallet_Contents'!$D$2:$D$3000))</f>
        <v>0</v>
      </c>
      <c r="Y1577">
        <f>IF($A2="","",SUMIF('07_Pallet_Contents'!$A$2:$A$3000,$A2,'07_Pallet_Contents'!$I$2:$I$3000))</f>
        <v>0</v>
      </c>
      <c r="Z1577" t="str">
        <f>IF($A2="","",IF(COUNTIF('07_Pallet_Contents'!$A$2:$A$3000,$A2)&gt;0,"Yes",""))</f>
        <v/>
      </c>
    </row>
    <row r="1578" spans="2:26">
      <c r="B1578" s="31"/>
      <c r="G1578" s="34"/>
      <c r="H1578" s="33" t="str">
        <f t="shared" si="32"/>
        <v/>
      </c>
      <c r="I1578" s="31"/>
      <c r="J1578" s="31"/>
      <c r="K1578" s="33"/>
      <c r="W1578">
        <f>IF($A2="","",COUNTIF('07_Pallet_Contents'!$A$2:$A$3000,$A2))</f>
        <v>0</v>
      </c>
      <c r="X1578">
        <f>IF($A2="","",SUMIF('07_Pallet_Contents'!$A$2:$A$3000,$A2,'07_Pallet_Contents'!$D$2:$D$3000))</f>
        <v>0</v>
      </c>
      <c r="Y1578">
        <f>IF($A2="","",SUMIF('07_Pallet_Contents'!$A$2:$A$3000,$A2,'07_Pallet_Contents'!$I$2:$I$3000))</f>
        <v>0</v>
      </c>
      <c r="Z1578" t="str">
        <f>IF($A2="","",IF(COUNTIF('07_Pallet_Contents'!$A$2:$A$3000,$A2)&gt;0,"Yes",""))</f>
        <v/>
      </c>
    </row>
    <row r="1579" spans="2:26">
      <c r="B1579" s="31"/>
      <c r="G1579" s="34"/>
      <c r="H1579" s="33" t="str">
        <f t="shared" si="32"/>
        <v/>
      </c>
      <c r="I1579" s="31"/>
      <c r="J1579" s="31"/>
      <c r="K1579" s="33"/>
      <c r="W1579">
        <f>IF($A2="","",COUNTIF('07_Pallet_Contents'!$A$2:$A$3000,$A2))</f>
        <v>0</v>
      </c>
      <c r="X1579">
        <f>IF($A2="","",SUMIF('07_Pallet_Contents'!$A$2:$A$3000,$A2,'07_Pallet_Contents'!$D$2:$D$3000))</f>
        <v>0</v>
      </c>
      <c r="Y1579">
        <f>IF($A2="","",SUMIF('07_Pallet_Contents'!$A$2:$A$3000,$A2,'07_Pallet_Contents'!$I$2:$I$3000))</f>
        <v>0</v>
      </c>
      <c r="Z1579" t="str">
        <f>IF($A2="","",IF(COUNTIF('07_Pallet_Contents'!$A$2:$A$3000,$A2)&gt;0,"Yes",""))</f>
        <v/>
      </c>
    </row>
    <row r="1580" spans="2:26">
      <c r="B1580" s="31"/>
      <c r="G1580" s="34"/>
      <c r="H1580" s="33" t="str">
        <f t="shared" si="32"/>
        <v/>
      </c>
      <c r="I1580" s="31"/>
      <c r="J1580" s="31"/>
      <c r="K1580" s="33"/>
      <c r="W1580">
        <f>IF($A2="","",COUNTIF('07_Pallet_Contents'!$A$2:$A$3000,$A2))</f>
        <v>0</v>
      </c>
      <c r="X1580">
        <f>IF($A2="","",SUMIF('07_Pallet_Contents'!$A$2:$A$3000,$A2,'07_Pallet_Contents'!$D$2:$D$3000))</f>
        <v>0</v>
      </c>
      <c r="Y1580">
        <f>IF($A2="","",SUMIF('07_Pallet_Contents'!$A$2:$A$3000,$A2,'07_Pallet_Contents'!$I$2:$I$3000))</f>
        <v>0</v>
      </c>
      <c r="Z1580" t="str">
        <f>IF($A2="","",IF(COUNTIF('07_Pallet_Contents'!$A$2:$A$3000,$A2)&gt;0,"Yes",""))</f>
        <v/>
      </c>
    </row>
    <row r="1581" spans="2:26">
      <c r="B1581" s="31"/>
      <c r="G1581" s="34"/>
      <c r="H1581" s="33" t="str">
        <f t="shared" si="32"/>
        <v/>
      </c>
      <c r="I1581" s="31"/>
      <c r="J1581" s="31"/>
      <c r="K1581" s="33"/>
      <c r="W1581">
        <f>IF($A2="","",COUNTIF('07_Pallet_Contents'!$A$2:$A$3000,$A2))</f>
        <v>0</v>
      </c>
      <c r="X1581">
        <f>IF($A2="","",SUMIF('07_Pallet_Contents'!$A$2:$A$3000,$A2,'07_Pallet_Contents'!$D$2:$D$3000))</f>
        <v>0</v>
      </c>
      <c r="Y1581">
        <f>IF($A2="","",SUMIF('07_Pallet_Contents'!$A$2:$A$3000,$A2,'07_Pallet_Contents'!$I$2:$I$3000))</f>
        <v>0</v>
      </c>
      <c r="Z1581" t="str">
        <f>IF($A2="","",IF(COUNTIF('07_Pallet_Contents'!$A$2:$A$3000,$A2)&gt;0,"Yes",""))</f>
        <v/>
      </c>
    </row>
    <row r="1582" spans="2:26">
      <c r="B1582" s="31"/>
      <c r="G1582" s="34"/>
      <c r="H1582" s="33" t="str">
        <f t="shared" si="32"/>
        <v/>
      </c>
      <c r="I1582" s="31"/>
      <c r="J1582" s="31"/>
      <c r="K1582" s="33"/>
      <c r="W1582">
        <f>IF($A2="","",COUNTIF('07_Pallet_Contents'!$A$2:$A$3000,$A2))</f>
        <v>0</v>
      </c>
      <c r="X1582">
        <f>IF($A2="","",SUMIF('07_Pallet_Contents'!$A$2:$A$3000,$A2,'07_Pallet_Contents'!$D$2:$D$3000))</f>
        <v>0</v>
      </c>
      <c r="Y1582">
        <f>IF($A2="","",SUMIF('07_Pallet_Contents'!$A$2:$A$3000,$A2,'07_Pallet_Contents'!$I$2:$I$3000))</f>
        <v>0</v>
      </c>
      <c r="Z1582" t="str">
        <f>IF($A2="","",IF(COUNTIF('07_Pallet_Contents'!$A$2:$A$3000,$A2)&gt;0,"Yes",""))</f>
        <v/>
      </c>
    </row>
    <row r="1583" spans="2:26">
      <c r="B1583" s="31"/>
      <c r="G1583" s="34"/>
      <c r="H1583" s="33" t="str">
        <f t="shared" si="32"/>
        <v/>
      </c>
      <c r="I1583" s="31"/>
      <c r="J1583" s="31"/>
      <c r="K1583" s="33"/>
      <c r="W1583">
        <f>IF($A2="","",COUNTIF('07_Pallet_Contents'!$A$2:$A$3000,$A2))</f>
        <v>0</v>
      </c>
      <c r="X1583">
        <f>IF($A2="","",SUMIF('07_Pallet_Contents'!$A$2:$A$3000,$A2,'07_Pallet_Contents'!$D$2:$D$3000))</f>
        <v>0</v>
      </c>
      <c r="Y1583">
        <f>IF($A2="","",SUMIF('07_Pallet_Contents'!$A$2:$A$3000,$A2,'07_Pallet_Contents'!$I$2:$I$3000))</f>
        <v>0</v>
      </c>
      <c r="Z1583" t="str">
        <f>IF($A2="","",IF(COUNTIF('07_Pallet_Contents'!$A$2:$A$3000,$A2)&gt;0,"Yes",""))</f>
        <v/>
      </c>
    </row>
    <row r="1584" spans="2:26">
      <c r="B1584" s="31"/>
      <c r="G1584" s="34"/>
      <c r="H1584" s="33" t="str">
        <f t="shared" si="32"/>
        <v/>
      </c>
      <c r="I1584" s="31"/>
      <c r="J1584" s="31"/>
      <c r="K1584" s="33"/>
      <c r="W1584">
        <f>IF($A2="","",COUNTIF('07_Pallet_Contents'!$A$2:$A$3000,$A2))</f>
        <v>0</v>
      </c>
      <c r="X1584">
        <f>IF($A2="","",SUMIF('07_Pallet_Contents'!$A$2:$A$3000,$A2,'07_Pallet_Contents'!$D$2:$D$3000))</f>
        <v>0</v>
      </c>
      <c r="Y1584">
        <f>IF($A2="","",SUMIF('07_Pallet_Contents'!$A$2:$A$3000,$A2,'07_Pallet_Contents'!$I$2:$I$3000))</f>
        <v>0</v>
      </c>
      <c r="Z1584" t="str">
        <f>IF($A2="","",IF(COUNTIF('07_Pallet_Contents'!$A$2:$A$3000,$A2)&gt;0,"Yes",""))</f>
        <v/>
      </c>
    </row>
    <row r="1585" spans="2:26">
      <c r="B1585" s="31"/>
      <c r="G1585" s="34"/>
      <c r="H1585" s="33" t="str">
        <f t="shared" si="32"/>
        <v/>
      </c>
      <c r="I1585" s="31"/>
      <c r="J1585" s="31"/>
      <c r="K1585" s="33"/>
      <c r="W1585">
        <f>IF($A2="","",COUNTIF('07_Pallet_Contents'!$A$2:$A$3000,$A2))</f>
        <v>0</v>
      </c>
      <c r="X1585">
        <f>IF($A2="","",SUMIF('07_Pallet_Contents'!$A$2:$A$3000,$A2,'07_Pallet_Contents'!$D$2:$D$3000))</f>
        <v>0</v>
      </c>
      <c r="Y1585">
        <f>IF($A2="","",SUMIF('07_Pallet_Contents'!$A$2:$A$3000,$A2,'07_Pallet_Contents'!$I$2:$I$3000))</f>
        <v>0</v>
      </c>
      <c r="Z1585" t="str">
        <f>IF($A2="","",IF(COUNTIF('07_Pallet_Contents'!$A$2:$A$3000,$A2)&gt;0,"Yes",""))</f>
        <v/>
      </c>
    </row>
    <row r="1586" spans="2:26">
      <c r="B1586" s="31"/>
      <c r="G1586" s="34"/>
      <c r="H1586" s="33" t="str">
        <f t="shared" si="32"/>
        <v/>
      </c>
      <c r="I1586" s="31"/>
      <c r="J1586" s="31"/>
      <c r="K1586" s="33"/>
      <c r="W1586">
        <f>IF($A2="","",COUNTIF('07_Pallet_Contents'!$A$2:$A$3000,$A2))</f>
        <v>0</v>
      </c>
      <c r="X1586">
        <f>IF($A2="","",SUMIF('07_Pallet_Contents'!$A$2:$A$3000,$A2,'07_Pallet_Contents'!$D$2:$D$3000))</f>
        <v>0</v>
      </c>
      <c r="Y1586">
        <f>IF($A2="","",SUMIF('07_Pallet_Contents'!$A$2:$A$3000,$A2,'07_Pallet_Contents'!$I$2:$I$3000))</f>
        <v>0</v>
      </c>
      <c r="Z1586" t="str">
        <f>IF($A2="","",IF(COUNTIF('07_Pallet_Contents'!$A$2:$A$3000,$A2)&gt;0,"Yes",""))</f>
        <v/>
      </c>
    </row>
    <row r="1587" spans="2:26">
      <c r="B1587" s="31"/>
      <c r="G1587" s="34"/>
      <c r="H1587" s="33" t="str">
        <f t="shared" si="32"/>
        <v/>
      </c>
      <c r="I1587" s="31"/>
      <c r="J1587" s="31"/>
      <c r="K1587" s="33"/>
      <c r="W1587">
        <f>IF($A2="","",COUNTIF('07_Pallet_Contents'!$A$2:$A$3000,$A2))</f>
        <v>0</v>
      </c>
      <c r="X1587">
        <f>IF($A2="","",SUMIF('07_Pallet_Contents'!$A$2:$A$3000,$A2,'07_Pallet_Contents'!$D$2:$D$3000))</f>
        <v>0</v>
      </c>
      <c r="Y1587">
        <f>IF($A2="","",SUMIF('07_Pallet_Contents'!$A$2:$A$3000,$A2,'07_Pallet_Contents'!$I$2:$I$3000))</f>
        <v>0</v>
      </c>
      <c r="Z1587" t="str">
        <f>IF($A2="","",IF(COUNTIF('07_Pallet_Contents'!$A$2:$A$3000,$A2)&gt;0,"Yes",""))</f>
        <v/>
      </c>
    </row>
    <row r="1588" spans="2:26">
      <c r="B1588" s="31"/>
      <c r="G1588" s="34"/>
      <c r="H1588" s="33" t="str">
        <f t="shared" si="32"/>
        <v/>
      </c>
      <c r="I1588" s="31"/>
      <c r="J1588" s="31"/>
      <c r="K1588" s="33"/>
      <c r="W1588">
        <f>IF($A2="","",COUNTIF('07_Pallet_Contents'!$A$2:$A$3000,$A2))</f>
        <v>0</v>
      </c>
      <c r="X1588">
        <f>IF($A2="","",SUMIF('07_Pallet_Contents'!$A$2:$A$3000,$A2,'07_Pallet_Contents'!$D$2:$D$3000))</f>
        <v>0</v>
      </c>
      <c r="Y1588">
        <f>IF($A2="","",SUMIF('07_Pallet_Contents'!$A$2:$A$3000,$A2,'07_Pallet_Contents'!$I$2:$I$3000))</f>
        <v>0</v>
      </c>
      <c r="Z1588" t="str">
        <f>IF($A2="","",IF(COUNTIF('07_Pallet_Contents'!$A$2:$A$3000,$A2)&gt;0,"Yes",""))</f>
        <v/>
      </c>
    </row>
    <row r="1589" spans="2:26">
      <c r="B1589" s="31"/>
      <c r="G1589" s="34"/>
      <c r="H1589" s="33" t="str">
        <f t="shared" si="32"/>
        <v/>
      </c>
      <c r="I1589" s="31"/>
      <c r="J1589" s="31"/>
      <c r="K1589" s="33"/>
      <c r="W1589">
        <f>IF($A2="","",COUNTIF('07_Pallet_Contents'!$A$2:$A$3000,$A2))</f>
        <v>0</v>
      </c>
      <c r="X1589">
        <f>IF($A2="","",SUMIF('07_Pallet_Contents'!$A$2:$A$3000,$A2,'07_Pallet_Contents'!$D$2:$D$3000))</f>
        <v>0</v>
      </c>
      <c r="Y1589">
        <f>IF($A2="","",SUMIF('07_Pallet_Contents'!$A$2:$A$3000,$A2,'07_Pallet_Contents'!$I$2:$I$3000))</f>
        <v>0</v>
      </c>
      <c r="Z1589" t="str">
        <f>IF($A2="","",IF(COUNTIF('07_Pallet_Contents'!$A$2:$A$3000,$A2)&gt;0,"Yes",""))</f>
        <v/>
      </c>
    </row>
    <row r="1590" spans="2:26">
      <c r="B1590" s="31"/>
      <c r="G1590" s="34"/>
      <c r="H1590" s="33" t="str">
        <f t="shared" si="32"/>
        <v/>
      </c>
      <c r="I1590" s="31"/>
      <c r="J1590" s="31"/>
      <c r="K1590" s="33"/>
      <c r="W1590">
        <f>IF($A2="","",COUNTIF('07_Pallet_Contents'!$A$2:$A$3000,$A2))</f>
        <v>0</v>
      </c>
      <c r="X1590">
        <f>IF($A2="","",SUMIF('07_Pallet_Contents'!$A$2:$A$3000,$A2,'07_Pallet_Contents'!$D$2:$D$3000))</f>
        <v>0</v>
      </c>
      <c r="Y1590">
        <f>IF($A2="","",SUMIF('07_Pallet_Contents'!$A$2:$A$3000,$A2,'07_Pallet_Contents'!$I$2:$I$3000))</f>
        <v>0</v>
      </c>
      <c r="Z1590" t="str">
        <f>IF($A2="","",IF(COUNTIF('07_Pallet_Contents'!$A$2:$A$3000,$A2)&gt;0,"Yes",""))</f>
        <v/>
      </c>
    </row>
    <row r="1591" spans="2:26">
      <c r="B1591" s="31"/>
      <c r="G1591" s="34"/>
      <c r="H1591" s="33" t="str">
        <f t="shared" si="32"/>
        <v/>
      </c>
      <c r="I1591" s="31"/>
      <c r="J1591" s="31"/>
      <c r="K1591" s="33"/>
      <c r="W1591">
        <f>IF($A2="","",COUNTIF('07_Pallet_Contents'!$A$2:$A$3000,$A2))</f>
        <v>0</v>
      </c>
      <c r="X1591">
        <f>IF($A2="","",SUMIF('07_Pallet_Contents'!$A$2:$A$3000,$A2,'07_Pallet_Contents'!$D$2:$D$3000))</f>
        <v>0</v>
      </c>
      <c r="Y1591">
        <f>IF($A2="","",SUMIF('07_Pallet_Contents'!$A$2:$A$3000,$A2,'07_Pallet_Contents'!$I$2:$I$3000))</f>
        <v>0</v>
      </c>
      <c r="Z1591" t="str">
        <f>IF($A2="","",IF(COUNTIF('07_Pallet_Contents'!$A$2:$A$3000,$A2)&gt;0,"Yes",""))</f>
        <v/>
      </c>
    </row>
    <row r="1592" spans="2:26">
      <c r="B1592" s="31"/>
      <c r="G1592" s="34"/>
      <c r="H1592" s="33" t="str">
        <f t="shared" si="32"/>
        <v/>
      </c>
      <c r="I1592" s="31"/>
      <c r="J1592" s="31"/>
      <c r="K1592" s="33"/>
      <c r="W1592">
        <f>IF($A2="","",COUNTIF('07_Pallet_Contents'!$A$2:$A$3000,$A2))</f>
        <v>0</v>
      </c>
      <c r="X1592">
        <f>IF($A2="","",SUMIF('07_Pallet_Contents'!$A$2:$A$3000,$A2,'07_Pallet_Contents'!$D$2:$D$3000))</f>
        <v>0</v>
      </c>
      <c r="Y1592">
        <f>IF($A2="","",SUMIF('07_Pallet_Contents'!$A$2:$A$3000,$A2,'07_Pallet_Contents'!$I$2:$I$3000))</f>
        <v>0</v>
      </c>
      <c r="Z1592" t="str">
        <f>IF($A2="","",IF(COUNTIF('07_Pallet_Contents'!$A$2:$A$3000,$A2)&gt;0,"Yes",""))</f>
        <v/>
      </c>
    </row>
    <row r="1593" spans="2:26">
      <c r="B1593" s="31"/>
      <c r="G1593" s="34"/>
      <c r="H1593" s="33" t="str">
        <f t="shared" si="32"/>
        <v/>
      </c>
      <c r="I1593" s="31"/>
      <c r="J1593" s="31"/>
      <c r="K1593" s="33"/>
      <c r="W1593">
        <f>IF($A2="","",COUNTIF('07_Pallet_Contents'!$A$2:$A$3000,$A2))</f>
        <v>0</v>
      </c>
      <c r="X1593">
        <f>IF($A2="","",SUMIF('07_Pallet_Contents'!$A$2:$A$3000,$A2,'07_Pallet_Contents'!$D$2:$D$3000))</f>
        <v>0</v>
      </c>
      <c r="Y1593">
        <f>IF($A2="","",SUMIF('07_Pallet_Contents'!$A$2:$A$3000,$A2,'07_Pallet_Contents'!$I$2:$I$3000))</f>
        <v>0</v>
      </c>
      <c r="Z1593" t="str">
        <f>IF($A2="","",IF(COUNTIF('07_Pallet_Contents'!$A$2:$A$3000,$A2)&gt;0,"Yes",""))</f>
        <v/>
      </c>
    </row>
    <row r="1594" spans="2:26">
      <c r="B1594" s="31"/>
      <c r="G1594" s="34"/>
      <c r="H1594" s="33" t="str">
        <f t="shared" si="32"/>
        <v/>
      </c>
      <c r="I1594" s="31"/>
      <c r="J1594" s="31"/>
      <c r="K1594" s="33"/>
      <c r="W1594">
        <f>IF($A2="","",COUNTIF('07_Pallet_Contents'!$A$2:$A$3000,$A2))</f>
        <v>0</v>
      </c>
      <c r="X1594">
        <f>IF($A2="","",SUMIF('07_Pallet_Contents'!$A$2:$A$3000,$A2,'07_Pallet_Contents'!$D$2:$D$3000))</f>
        <v>0</v>
      </c>
      <c r="Y1594">
        <f>IF($A2="","",SUMIF('07_Pallet_Contents'!$A$2:$A$3000,$A2,'07_Pallet_Contents'!$I$2:$I$3000))</f>
        <v>0</v>
      </c>
      <c r="Z1594" t="str">
        <f>IF($A2="","",IF(COUNTIF('07_Pallet_Contents'!$A$2:$A$3000,$A2)&gt;0,"Yes",""))</f>
        <v/>
      </c>
    </row>
    <row r="1595" spans="2:26">
      <c r="B1595" s="31"/>
      <c r="G1595" s="34"/>
      <c r="H1595" s="33" t="str">
        <f t="shared" si="32"/>
        <v/>
      </c>
      <c r="I1595" s="31"/>
      <c r="J1595" s="31"/>
      <c r="K1595" s="33"/>
      <c r="W1595">
        <f>IF($A2="","",COUNTIF('07_Pallet_Contents'!$A$2:$A$3000,$A2))</f>
        <v>0</v>
      </c>
      <c r="X1595">
        <f>IF($A2="","",SUMIF('07_Pallet_Contents'!$A$2:$A$3000,$A2,'07_Pallet_Contents'!$D$2:$D$3000))</f>
        <v>0</v>
      </c>
      <c r="Y1595">
        <f>IF($A2="","",SUMIF('07_Pallet_Contents'!$A$2:$A$3000,$A2,'07_Pallet_Contents'!$I$2:$I$3000))</f>
        <v>0</v>
      </c>
      <c r="Z1595" t="str">
        <f>IF($A2="","",IF(COUNTIF('07_Pallet_Contents'!$A$2:$A$3000,$A2)&gt;0,"Yes",""))</f>
        <v/>
      </c>
    </row>
    <row r="1596" spans="2:26">
      <c r="B1596" s="31"/>
      <c r="G1596" s="34"/>
      <c r="H1596" s="33" t="str">
        <f t="shared" si="32"/>
        <v/>
      </c>
      <c r="I1596" s="31"/>
      <c r="J1596" s="31"/>
      <c r="K1596" s="33"/>
      <c r="W1596">
        <f>IF($A2="","",COUNTIF('07_Pallet_Contents'!$A$2:$A$3000,$A2))</f>
        <v>0</v>
      </c>
      <c r="X1596">
        <f>IF($A2="","",SUMIF('07_Pallet_Contents'!$A$2:$A$3000,$A2,'07_Pallet_Contents'!$D$2:$D$3000))</f>
        <v>0</v>
      </c>
      <c r="Y1596">
        <f>IF($A2="","",SUMIF('07_Pallet_Contents'!$A$2:$A$3000,$A2,'07_Pallet_Contents'!$I$2:$I$3000))</f>
        <v>0</v>
      </c>
      <c r="Z1596" t="str">
        <f>IF($A2="","",IF(COUNTIF('07_Pallet_Contents'!$A$2:$A$3000,$A2)&gt;0,"Yes",""))</f>
        <v/>
      </c>
    </row>
    <row r="1597" spans="2:26">
      <c r="B1597" s="31"/>
      <c r="G1597" s="34"/>
      <c r="H1597" s="33" t="str">
        <f t="shared" si="32"/>
        <v/>
      </c>
      <c r="I1597" s="31"/>
      <c r="J1597" s="31"/>
      <c r="K1597" s="33"/>
      <c r="W1597">
        <f>IF($A2="","",COUNTIF('07_Pallet_Contents'!$A$2:$A$3000,$A2))</f>
        <v>0</v>
      </c>
      <c r="X1597">
        <f>IF($A2="","",SUMIF('07_Pallet_Contents'!$A$2:$A$3000,$A2,'07_Pallet_Contents'!$D$2:$D$3000))</f>
        <v>0</v>
      </c>
      <c r="Y1597">
        <f>IF($A2="","",SUMIF('07_Pallet_Contents'!$A$2:$A$3000,$A2,'07_Pallet_Contents'!$I$2:$I$3000))</f>
        <v>0</v>
      </c>
      <c r="Z1597" t="str">
        <f>IF($A2="","",IF(COUNTIF('07_Pallet_Contents'!$A$2:$A$3000,$A2)&gt;0,"Yes",""))</f>
        <v/>
      </c>
    </row>
    <row r="1598" spans="2:26">
      <c r="B1598" s="31"/>
      <c r="G1598" s="34"/>
      <c r="H1598" s="33" t="str">
        <f t="shared" si="32"/>
        <v/>
      </c>
      <c r="I1598" s="31"/>
      <c r="J1598" s="31"/>
      <c r="K1598" s="33"/>
      <c r="W1598">
        <f>IF($A2="","",COUNTIF('07_Pallet_Contents'!$A$2:$A$3000,$A2))</f>
        <v>0</v>
      </c>
      <c r="X1598">
        <f>IF($A2="","",SUMIF('07_Pallet_Contents'!$A$2:$A$3000,$A2,'07_Pallet_Contents'!$D$2:$D$3000))</f>
        <v>0</v>
      </c>
      <c r="Y1598">
        <f>IF($A2="","",SUMIF('07_Pallet_Contents'!$A$2:$A$3000,$A2,'07_Pallet_Contents'!$I$2:$I$3000))</f>
        <v>0</v>
      </c>
      <c r="Z1598" t="str">
        <f>IF($A2="","",IF(COUNTIF('07_Pallet_Contents'!$A$2:$A$3000,$A2)&gt;0,"Yes",""))</f>
        <v/>
      </c>
    </row>
    <row r="1599" spans="2:26">
      <c r="B1599" s="31"/>
      <c r="G1599" s="34"/>
      <c r="H1599" s="33" t="str">
        <f t="shared" si="32"/>
        <v/>
      </c>
      <c r="I1599" s="31"/>
      <c r="J1599" s="31"/>
      <c r="K1599" s="33"/>
      <c r="W1599">
        <f>IF($A2="","",COUNTIF('07_Pallet_Contents'!$A$2:$A$3000,$A2))</f>
        <v>0</v>
      </c>
      <c r="X1599">
        <f>IF($A2="","",SUMIF('07_Pallet_Contents'!$A$2:$A$3000,$A2,'07_Pallet_Contents'!$D$2:$D$3000))</f>
        <v>0</v>
      </c>
      <c r="Y1599">
        <f>IF($A2="","",SUMIF('07_Pallet_Contents'!$A$2:$A$3000,$A2,'07_Pallet_Contents'!$I$2:$I$3000))</f>
        <v>0</v>
      </c>
      <c r="Z1599" t="str">
        <f>IF($A2="","",IF(COUNTIF('07_Pallet_Contents'!$A$2:$A$3000,$A2)&gt;0,"Yes",""))</f>
        <v/>
      </c>
    </row>
    <row r="1600" spans="2:26">
      <c r="B1600" s="31"/>
      <c r="G1600" s="34"/>
      <c r="H1600" s="33" t="str">
        <f t="shared" si="32"/>
        <v/>
      </c>
      <c r="I1600" s="31"/>
      <c r="J1600" s="31"/>
      <c r="K1600" s="33"/>
      <c r="W1600">
        <f>IF($A2="","",COUNTIF('07_Pallet_Contents'!$A$2:$A$3000,$A2))</f>
        <v>0</v>
      </c>
      <c r="X1600">
        <f>IF($A2="","",SUMIF('07_Pallet_Contents'!$A$2:$A$3000,$A2,'07_Pallet_Contents'!$D$2:$D$3000))</f>
        <v>0</v>
      </c>
      <c r="Y1600">
        <f>IF($A2="","",SUMIF('07_Pallet_Contents'!$A$2:$A$3000,$A2,'07_Pallet_Contents'!$I$2:$I$3000))</f>
        <v>0</v>
      </c>
      <c r="Z1600" t="str">
        <f>IF($A2="","",IF(COUNTIF('07_Pallet_Contents'!$A$2:$A$3000,$A2)&gt;0,"Yes",""))</f>
        <v/>
      </c>
    </row>
    <row r="1601" spans="2:26">
      <c r="B1601" s="31"/>
      <c r="G1601" s="34"/>
      <c r="H1601" s="33" t="str">
        <f t="shared" si="32"/>
        <v/>
      </c>
      <c r="I1601" s="31"/>
      <c r="J1601" s="31"/>
      <c r="K1601" s="33"/>
      <c r="W1601">
        <f>IF($A2="","",COUNTIF('07_Pallet_Contents'!$A$2:$A$3000,$A2))</f>
        <v>0</v>
      </c>
      <c r="X1601">
        <f>IF($A2="","",SUMIF('07_Pallet_Contents'!$A$2:$A$3000,$A2,'07_Pallet_Contents'!$D$2:$D$3000))</f>
        <v>0</v>
      </c>
      <c r="Y1601">
        <f>IF($A2="","",SUMIF('07_Pallet_Contents'!$A$2:$A$3000,$A2,'07_Pallet_Contents'!$I$2:$I$3000))</f>
        <v>0</v>
      </c>
      <c r="Z1601" t="str">
        <f>IF($A2="","",IF(COUNTIF('07_Pallet_Contents'!$A$2:$A$3000,$A2)&gt;0,"Yes",""))</f>
        <v/>
      </c>
    </row>
    <row r="1602" spans="2:26">
      <c r="B1602" s="31"/>
      <c r="G1602" s="34"/>
      <c r="H1602" s="33" t="str">
        <f t="shared" ref="H1602:H1665" si="33">IF(AND($F1602="TEMP",$G1602&gt;0,$M1602&lt;&gt;""),$M1602+$G1602,"")</f>
        <v/>
      </c>
      <c r="I1602" s="31"/>
      <c r="J1602" s="31"/>
      <c r="K1602" s="33"/>
      <c r="W1602">
        <f>IF($A2="","",COUNTIF('07_Pallet_Contents'!$A$2:$A$3000,$A2))</f>
        <v>0</v>
      </c>
      <c r="X1602">
        <f>IF($A2="","",SUMIF('07_Pallet_Contents'!$A$2:$A$3000,$A2,'07_Pallet_Contents'!$D$2:$D$3000))</f>
        <v>0</v>
      </c>
      <c r="Y1602">
        <f>IF($A2="","",SUMIF('07_Pallet_Contents'!$A$2:$A$3000,$A2,'07_Pallet_Contents'!$I$2:$I$3000))</f>
        <v>0</v>
      </c>
      <c r="Z1602" t="str">
        <f>IF($A2="","",IF(COUNTIF('07_Pallet_Contents'!$A$2:$A$3000,$A2)&gt;0,"Yes",""))</f>
        <v/>
      </c>
    </row>
    <row r="1603" spans="2:26">
      <c r="B1603" s="31"/>
      <c r="G1603" s="34"/>
      <c r="H1603" s="33" t="str">
        <f t="shared" si="33"/>
        <v/>
      </c>
      <c r="I1603" s="31"/>
      <c r="J1603" s="31"/>
      <c r="K1603" s="33"/>
      <c r="W1603">
        <f>IF($A2="","",COUNTIF('07_Pallet_Contents'!$A$2:$A$3000,$A2))</f>
        <v>0</v>
      </c>
      <c r="X1603">
        <f>IF($A2="","",SUMIF('07_Pallet_Contents'!$A$2:$A$3000,$A2,'07_Pallet_Contents'!$D$2:$D$3000))</f>
        <v>0</v>
      </c>
      <c r="Y1603">
        <f>IF($A2="","",SUMIF('07_Pallet_Contents'!$A$2:$A$3000,$A2,'07_Pallet_Contents'!$I$2:$I$3000))</f>
        <v>0</v>
      </c>
      <c r="Z1603" t="str">
        <f>IF($A2="","",IF(COUNTIF('07_Pallet_Contents'!$A$2:$A$3000,$A2)&gt;0,"Yes",""))</f>
        <v/>
      </c>
    </row>
    <row r="1604" spans="2:26">
      <c r="B1604" s="31"/>
      <c r="G1604" s="34"/>
      <c r="H1604" s="33" t="str">
        <f t="shared" si="33"/>
        <v/>
      </c>
      <c r="I1604" s="31"/>
      <c r="J1604" s="31"/>
      <c r="K1604" s="33"/>
      <c r="W1604">
        <f>IF($A2="","",COUNTIF('07_Pallet_Contents'!$A$2:$A$3000,$A2))</f>
        <v>0</v>
      </c>
      <c r="X1604">
        <f>IF($A2="","",SUMIF('07_Pallet_Contents'!$A$2:$A$3000,$A2,'07_Pallet_Contents'!$D$2:$D$3000))</f>
        <v>0</v>
      </c>
      <c r="Y1604">
        <f>IF($A2="","",SUMIF('07_Pallet_Contents'!$A$2:$A$3000,$A2,'07_Pallet_Contents'!$I$2:$I$3000))</f>
        <v>0</v>
      </c>
      <c r="Z1604" t="str">
        <f>IF($A2="","",IF(COUNTIF('07_Pallet_Contents'!$A$2:$A$3000,$A2)&gt;0,"Yes",""))</f>
        <v/>
      </c>
    </row>
    <row r="1605" spans="2:26">
      <c r="B1605" s="31"/>
      <c r="G1605" s="34"/>
      <c r="H1605" s="33" t="str">
        <f t="shared" si="33"/>
        <v/>
      </c>
      <c r="I1605" s="31"/>
      <c r="J1605" s="31"/>
      <c r="K1605" s="33"/>
      <c r="W1605">
        <f>IF($A2="","",COUNTIF('07_Pallet_Contents'!$A$2:$A$3000,$A2))</f>
        <v>0</v>
      </c>
      <c r="X1605">
        <f>IF($A2="","",SUMIF('07_Pallet_Contents'!$A$2:$A$3000,$A2,'07_Pallet_Contents'!$D$2:$D$3000))</f>
        <v>0</v>
      </c>
      <c r="Y1605">
        <f>IF($A2="","",SUMIF('07_Pallet_Contents'!$A$2:$A$3000,$A2,'07_Pallet_Contents'!$I$2:$I$3000))</f>
        <v>0</v>
      </c>
      <c r="Z1605" t="str">
        <f>IF($A2="","",IF(COUNTIF('07_Pallet_Contents'!$A$2:$A$3000,$A2)&gt;0,"Yes",""))</f>
        <v/>
      </c>
    </row>
    <row r="1606" spans="2:26">
      <c r="B1606" s="31"/>
      <c r="G1606" s="34"/>
      <c r="H1606" s="33" t="str">
        <f t="shared" si="33"/>
        <v/>
      </c>
      <c r="I1606" s="31"/>
      <c r="J1606" s="31"/>
      <c r="K1606" s="33"/>
      <c r="W1606">
        <f>IF($A2="","",COUNTIF('07_Pallet_Contents'!$A$2:$A$3000,$A2))</f>
        <v>0</v>
      </c>
      <c r="X1606">
        <f>IF($A2="","",SUMIF('07_Pallet_Contents'!$A$2:$A$3000,$A2,'07_Pallet_Contents'!$D$2:$D$3000))</f>
        <v>0</v>
      </c>
      <c r="Y1606">
        <f>IF($A2="","",SUMIF('07_Pallet_Contents'!$A$2:$A$3000,$A2,'07_Pallet_Contents'!$I$2:$I$3000))</f>
        <v>0</v>
      </c>
      <c r="Z1606" t="str">
        <f>IF($A2="","",IF(COUNTIF('07_Pallet_Contents'!$A$2:$A$3000,$A2)&gt;0,"Yes",""))</f>
        <v/>
      </c>
    </row>
    <row r="1607" spans="2:26">
      <c r="B1607" s="31"/>
      <c r="G1607" s="34"/>
      <c r="H1607" s="33" t="str">
        <f t="shared" si="33"/>
        <v/>
      </c>
      <c r="I1607" s="31"/>
      <c r="J1607" s="31"/>
      <c r="K1607" s="33"/>
      <c r="W1607">
        <f>IF($A2="","",COUNTIF('07_Pallet_Contents'!$A$2:$A$3000,$A2))</f>
        <v>0</v>
      </c>
      <c r="X1607">
        <f>IF($A2="","",SUMIF('07_Pallet_Contents'!$A$2:$A$3000,$A2,'07_Pallet_Contents'!$D$2:$D$3000))</f>
        <v>0</v>
      </c>
      <c r="Y1607">
        <f>IF($A2="","",SUMIF('07_Pallet_Contents'!$A$2:$A$3000,$A2,'07_Pallet_Contents'!$I$2:$I$3000))</f>
        <v>0</v>
      </c>
      <c r="Z1607" t="str">
        <f>IF($A2="","",IF(COUNTIF('07_Pallet_Contents'!$A$2:$A$3000,$A2)&gt;0,"Yes",""))</f>
        <v/>
      </c>
    </row>
    <row r="1608" spans="2:26">
      <c r="B1608" s="31"/>
      <c r="G1608" s="34"/>
      <c r="H1608" s="33" t="str">
        <f t="shared" si="33"/>
        <v/>
      </c>
      <c r="I1608" s="31"/>
      <c r="J1608" s="31"/>
      <c r="K1608" s="33"/>
      <c r="W1608">
        <f>IF($A2="","",COUNTIF('07_Pallet_Contents'!$A$2:$A$3000,$A2))</f>
        <v>0</v>
      </c>
      <c r="X1608">
        <f>IF($A2="","",SUMIF('07_Pallet_Contents'!$A$2:$A$3000,$A2,'07_Pallet_Contents'!$D$2:$D$3000))</f>
        <v>0</v>
      </c>
      <c r="Y1608">
        <f>IF($A2="","",SUMIF('07_Pallet_Contents'!$A$2:$A$3000,$A2,'07_Pallet_Contents'!$I$2:$I$3000))</f>
        <v>0</v>
      </c>
      <c r="Z1608" t="str">
        <f>IF($A2="","",IF(COUNTIF('07_Pallet_Contents'!$A$2:$A$3000,$A2)&gt;0,"Yes",""))</f>
        <v/>
      </c>
    </row>
    <row r="1609" spans="2:26">
      <c r="B1609" s="31"/>
      <c r="G1609" s="34"/>
      <c r="H1609" s="33" t="str">
        <f t="shared" si="33"/>
        <v/>
      </c>
      <c r="I1609" s="31"/>
      <c r="J1609" s="31"/>
      <c r="K1609" s="33"/>
      <c r="W1609">
        <f>IF($A2="","",COUNTIF('07_Pallet_Contents'!$A$2:$A$3000,$A2))</f>
        <v>0</v>
      </c>
      <c r="X1609">
        <f>IF($A2="","",SUMIF('07_Pallet_Contents'!$A$2:$A$3000,$A2,'07_Pallet_Contents'!$D$2:$D$3000))</f>
        <v>0</v>
      </c>
      <c r="Y1609">
        <f>IF($A2="","",SUMIF('07_Pallet_Contents'!$A$2:$A$3000,$A2,'07_Pallet_Contents'!$I$2:$I$3000))</f>
        <v>0</v>
      </c>
      <c r="Z1609" t="str">
        <f>IF($A2="","",IF(COUNTIF('07_Pallet_Contents'!$A$2:$A$3000,$A2)&gt;0,"Yes",""))</f>
        <v/>
      </c>
    </row>
    <row r="1610" spans="2:26">
      <c r="B1610" s="31"/>
      <c r="G1610" s="34"/>
      <c r="H1610" s="33" t="str">
        <f t="shared" si="33"/>
        <v/>
      </c>
      <c r="I1610" s="31"/>
      <c r="J1610" s="31"/>
      <c r="K1610" s="33"/>
      <c r="W1610">
        <f>IF($A2="","",COUNTIF('07_Pallet_Contents'!$A$2:$A$3000,$A2))</f>
        <v>0</v>
      </c>
      <c r="X1610">
        <f>IF($A2="","",SUMIF('07_Pallet_Contents'!$A$2:$A$3000,$A2,'07_Pallet_Contents'!$D$2:$D$3000))</f>
        <v>0</v>
      </c>
      <c r="Y1610">
        <f>IF($A2="","",SUMIF('07_Pallet_Contents'!$A$2:$A$3000,$A2,'07_Pallet_Contents'!$I$2:$I$3000))</f>
        <v>0</v>
      </c>
      <c r="Z1610" t="str">
        <f>IF($A2="","",IF(COUNTIF('07_Pallet_Contents'!$A$2:$A$3000,$A2)&gt;0,"Yes",""))</f>
        <v/>
      </c>
    </row>
    <row r="1611" spans="2:26">
      <c r="B1611" s="31"/>
      <c r="G1611" s="34"/>
      <c r="H1611" s="33" t="str">
        <f t="shared" si="33"/>
        <v/>
      </c>
      <c r="I1611" s="31"/>
      <c r="J1611" s="31"/>
      <c r="K1611" s="33"/>
      <c r="W1611">
        <f>IF($A2="","",COUNTIF('07_Pallet_Contents'!$A$2:$A$3000,$A2))</f>
        <v>0</v>
      </c>
      <c r="X1611">
        <f>IF($A2="","",SUMIF('07_Pallet_Contents'!$A$2:$A$3000,$A2,'07_Pallet_Contents'!$D$2:$D$3000))</f>
        <v>0</v>
      </c>
      <c r="Y1611">
        <f>IF($A2="","",SUMIF('07_Pallet_Contents'!$A$2:$A$3000,$A2,'07_Pallet_Contents'!$I$2:$I$3000))</f>
        <v>0</v>
      </c>
      <c r="Z1611" t="str">
        <f>IF($A2="","",IF(COUNTIF('07_Pallet_Contents'!$A$2:$A$3000,$A2)&gt;0,"Yes",""))</f>
        <v/>
      </c>
    </row>
    <row r="1612" spans="2:26">
      <c r="B1612" s="31"/>
      <c r="G1612" s="34"/>
      <c r="H1612" s="33" t="str">
        <f t="shared" si="33"/>
        <v/>
      </c>
      <c r="I1612" s="31"/>
      <c r="J1612" s="31"/>
      <c r="K1612" s="33"/>
      <c r="W1612">
        <f>IF($A2="","",COUNTIF('07_Pallet_Contents'!$A$2:$A$3000,$A2))</f>
        <v>0</v>
      </c>
      <c r="X1612">
        <f>IF($A2="","",SUMIF('07_Pallet_Contents'!$A$2:$A$3000,$A2,'07_Pallet_Contents'!$D$2:$D$3000))</f>
        <v>0</v>
      </c>
      <c r="Y1612">
        <f>IF($A2="","",SUMIF('07_Pallet_Contents'!$A$2:$A$3000,$A2,'07_Pallet_Contents'!$I$2:$I$3000))</f>
        <v>0</v>
      </c>
      <c r="Z1612" t="str">
        <f>IF($A2="","",IF(COUNTIF('07_Pallet_Contents'!$A$2:$A$3000,$A2)&gt;0,"Yes",""))</f>
        <v/>
      </c>
    </row>
    <row r="1613" spans="2:26">
      <c r="B1613" s="31"/>
      <c r="G1613" s="34"/>
      <c r="H1613" s="33" t="str">
        <f t="shared" si="33"/>
        <v/>
      </c>
      <c r="I1613" s="31"/>
      <c r="J1613" s="31"/>
      <c r="K1613" s="33"/>
      <c r="W1613">
        <f>IF($A2="","",COUNTIF('07_Pallet_Contents'!$A$2:$A$3000,$A2))</f>
        <v>0</v>
      </c>
      <c r="X1613">
        <f>IF($A2="","",SUMIF('07_Pallet_Contents'!$A$2:$A$3000,$A2,'07_Pallet_Contents'!$D$2:$D$3000))</f>
        <v>0</v>
      </c>
      <c r="Y1613">
        <f>IF($A2="","",SUMIF('07_Pallet_Contents'!$A$2:$A$3000,$A2,'07_Pallet_Contents'!$I$2:$I$3000))</f>
        <v>0</v>
      </c>
      <c r="Z1613" t="str">
        <f>IF($A2="","",IF(COUNTIF('07_Pallet_Contents'!$A$2:$A$3000,$A2)&gt;0,"Yes",""))</f>
        <v/>
      </c>
    </row>
    <row r="1614" spans="2:26">
      <c r="B1614" s="31"/>
      <c r="G1614" s="34"/>
      <c r="H1614" s="33" t="str">
        <f t="shared" si="33"/>
        <v/>
      </c>
      <c r="I1614" s="31"/>
      <c r="J1614" s="31"/>
      <c r="K1614" s="33"/>
      <c r="W1614">
        <f>IF($A2="","",COUNTIF('07_Pallet_Contents'!$A$2:$A$3000,$A2))</f>
        <v>0</v>
      </c>
      <c r="X1614">
        <f>IF($A2="","",SUMIF('07_Pallet_Contents'!$A$2:$A$3000,$A2,'07_Pallet_Contents'!$D$2:$D$3000))</f>
        <v>0</v>
      </c>
      <c r="Y1614">
        <f>IF($A2="","",SUMIF('07_Pallet_Contents'!$A$2:$A$3000,$A2,'07_Pallet_Contents'!$I$2:$I$3000))</f>
        <v>0</v>
      </c>
      <c r="Z1614" t="str">
        <f>IF($A2="","",IF(COUNTIF('07_Pallet_Contents'!$A$2:$A$3000,$A2)&gt;0,"Yes",""))</f>
        <v/>
      </c>
    </row>
    <row r="1615" spans="2:26">
      <c r="B1615" s="31"/>
      <c r="G1615" s="34"/>
      <c r="H1615" s="33" t="str">
        <f t="shared" si="33"/>
        <v/>
      </c>
      <c r="I1615" s="31"/>
      <c r="J1615" s="31"/>
      <c r="K1615" s="33"/>
      <c r="W1615">
        <f>IF($A2="","",COUNTIF('07_Pallet_Contents'!$A$2:$A$3000,$A2))</f>
        <v>0</v>
      </c>
      <c r="X1615">
        <f>IF($A2="","",SUMIF('07_Pallet_Contents'!$A$2:$A$3000,$A2,'07_Pallet_Contents'!$D$2:$D$3000))</f>
        <v>0</v>
      </c>
      <c r="Y1615">
        <f>IF($A2="","",SUMIF('07_Pallet_Contents'!$A$2:$A$3000,$A2,'07_Pallet_Contents'!$I$2:$I$3000))</f>
        <v>0</v>
      </c>
      <c r="Z1615" t="str">
        <f>IF($A2="","",IF(COUNTIF('07_Pallet_Contents'!$A$2:$A$3000,$A2)&gt;0,"Yes",""))</f>
        <v/>
      </c>
    </row>
    <row r="1616" spans="2:26">
      <c r="B1616" s="31"/>
      <c r="G1616" s="34"/>
      <c r="H1616" s="33" t="str">
        <f t="shared" si="33"/>
        <v/>
      </c>
      <c r="I1616" s="31"/>
      <c r="J1616" s="31"/>
      <c r="K1616" s="33"/>
      <c r="W1616">
        <f>IF($A2="","",COUNTIF('07_Pallet_Contents'!$A$2:$A$3000,$A2))</f>
        <v>0</v>
      </c>
      <c r="X1616">
        <f>IF($A2="","",SUMIF('07_Pallet_Contents'!$A$2:$A$3000,$A2,'07_Pallet_Contents'!$D$2:$D$3000))</f>
        <v>0</v>
      </c>
      <c r="Y1616">
        <f>IF($A2="","",SUMIF('07_Pallet_Contents'!$A$2:$A$3000,$A2,'07_Pallet_Contents'!$I$2:$I$3000))</f>
        <v>0</v>
      </c>
      <c r="Z1616" t="str">
        <f>IF($A2="","",IF(COUNTIF('07_Pallet_Contents'!$A$2:$A$3000,$A2)&gt;0,"Yes",""))</f>
        <v/>
      </c>
    </row>
    <row r="1617" spans="2:26">
      <c r="B1617" s="31"/>
      <c r="G1617" s="34"/>
      <c r="H1617" s="33" t="str">
        <f t="shared" si="33"/>
        <v/>
      </c>
      <c r="I1617" s="31"/>
      <c r="J1617" s="31"/>
      <c r="K1617" s="33"/>
      <c r="W1617">
        <f>IF($A2="","",COUNTIF('07_Pallet_Contents'!$A$2:$A$3000,$A2))</f>
        <v>0</v>
      </c>
      <c r="X1617">
        <f>IF($A2="","",SUMIF('07_Pallet_Contents'!$A$2:$A$3000,$A2,'07_Pallet_Contents'!$D$2:$D$3000))</f>
        <v>0</v>
      </c>
      <c r="Y1617">
        <f>IF($A2="","",SUMIF('07_Pallet_Contents'!$A$2:$A$3000,$A2,'07_Pallet_Contents'!$I$2:$I$3000))</f>
        <v>0</v>
      </c>
      <c r="Z1617" t="str">
        <f>IF($A2="","",IF(COUNTIF('07_Pallet_Contents'!$A$2:$A$3000,$A2)&gt;0,"Yes",""))</f>
        <v/>
      </c>
    </row>
    <row r="1618" spans="2:26">
      <c r="B1618" s="31"/>
      <c r="G1618" s="34"/>
      <c r="H1618" s="33" t="str">
        <f t="shared" si="33"/>
        <v/>
      </c>
      <c r="I1618" s="31"/>
      <c r="J1618" s="31"/>
      <c r="K1618" s="33"/>
      <c r="W1618">
        <f>IF($A2="","",COUNTIF('07_Pallet_Contents'!$A$2:$A$3000,$A2))</f>
        <v>0</v>
      </c>
      <c r="X1618">
        <f>IF($A2="","",SUMIF('07_Pallet_Contents'!$A$2:$A$3000,$A2,'07_Pallet_Contents'!$D$2:$D$3000))</f>
        <v>0</v>
      </c>
      <c r="Y1618">
        <f>IF($A2="","",SUMIF('07_Pallet_Contents'!$A$2:$A$3000,$A2,'07_Pallet_Contents'!$I$2:$I$3000))</f>
        <v>0</v>
      </c>
      <c r="Z1618" t="str">
        <f>IF($A2="","",IF(COUNTIF('07_Pallet_Contents'!$A$2:$A$3000,$A2)&gt;0,"Yes",""))</f>
        <v/>
      </c>
    </row>
    <row r="1619" spans="2:26">
      <c r="B1619" s="31"/>
      <c r="G1619" s="34"/>
      <c r="H1619" s="33" t="str">
        <f t="shared" si="33"/>
        <v/>
      </c>
      <c r="I1619" s="31"/>
      <c r="J1619" s="31"/>
      <c r="K1619" s="33"/>
      <c r="W1619">
        <f>IF($A2="","",COUNTIF('07_Pallet_Contents'!$A$2:$A$3000,$A2))</f>
        <v>0</v>
      </c>
      <c r="X1619">
        <f>IF($A2="","",SUMIF('07_Pallet_Contents'!$A$2:$A$3000,$A2,'07_Pallet_Contents'!$D$2:$D$3000))</f>
        <v>0</v>
      </c>
      <c r="Y1619">
        <f>IF($A2="","",SUMIF('07_Pallet_Contents'!$A$2:$A$3000,$A2,'07_Pallet_Contents'!$I$2:$I$3000))</f>
        <v>0</v>
      </c>
      <c r="Z1619" t="str">
        <f>IF($A2="","",IF(COUNTIF('07_Pallet_Contents'!$A$2:$A$3000,$A2)&gt;0,"Yes",""))</f>
        <v/>
      </c>
    </row>
    <row r="1620" spans="2:26">
      <c r="B1620" s="31"/>
      <c r="G1620" s="34"/>
      <c r="H1620" s="33" t="str">
        <f t="shared" si="33"/>
        <v/>
      </c>
      <c r="I1620" s="31"/>
      <c r="J1620" s="31"/>
      <c r="K1620" s="33"/>
      <c r="W1620">
        <f>IF($A2="","",COUNTIF('07_Pallet_Contents'!$A$2:$A$3000,$A2))</f>
        <v>0</v>
      </c>
      <c r="X1620">
        <f>IF($A2="","",SUMIF('07_Pallet_Contents'!$A$2:$A$3000,$A2,'07_Pallet_Contents'!$D$2:$D$3000))</f>
        <v>0</v>
      </c>
      <c r="Y1620">
        <f>IF($A2="","",SUMIF('07_Pallet_Contents'!$A$2:$A$3000,$A2,'07_Pallet_Contents'!$I$2:$I$3000))</f>
        <v>0</v>
      </c>
      <c r="Z1620" t="str">
        <f>IF($A2="","",IF(COUNTIF('07_Pallet_Contents'!$A$2:$A$3000,$A2)&gt;0,"Yes",""))</f>
        <v/>
      </c>
    </row>
    <row r="1621" spans="2:26">
      <c r="B1621" s="31"/>
      <c r="G1621" s="34"/>
      <c r="H1621" s="33" t="str">
        <f t="shared" si="33"/>
        <v/>
      </c>
      <c r="I1621" s="31"/>
      <c r="J1621" s="31"/>
      <c r="K1621" s="33"/>
      <c r="W1621">
        <f>IF($A2="","",COUNTIF('07_Pallet_Contents'!$A$2:$A$3000,$A2))</f>
        <v>0</v>
      </c>
      <c r="X1621">
        <f>IF($A2="","",SUMIF('07_Pallet_Contents'!$A$2:$A$3000,$A2,'07_Pallet_Contents'!$D$2:$D$3000))</f>
        <v>0</v>
      </c>
      <c r="Y1621">
        <f>IF($A2="","",SUMIF('07_Pallet_Contents'!$A$2:$A$3000,$A2,'07_Pallet_Contents'!$I$2:$I$3000))</f>
        <v>0</v>
      </c>
      <c r="Z1621" t="str">
        <f>IF($A2="","",IF(COUNTIF('07_Pallet_Contents'!$A$2:$A$3000,$A2)&gt;0,"Yes",""))</f>
        <v/>
      </c>
    </row>
    <row r="1622" spans="2:26">
      <c r="B1622" s="31"/>
      <c r="G1622" s="34"/>
      <c r="H1622" s="33" t="str">
        <f t="shared" si="33"/>
        <v/>
      </c>
      <c r="I1622" s="31"/>
      <c r="J1622" s="31"/>
      <c r="K1622" s="33"/>
      <c r="W1622">
        <f>IF($A2="","",COUNTIF('07_Pallet_Contents'!$A$2:$A$3000,$A2))</f>
        <v>0</v>
      </c>
      <c r="X1622">
        <f>IF($A2="","",SUMIF('07_Pallet_Contents'!$A$2:$A$3000,$A2,'07_Pallet_Contents'!$D$2:$D$3000))</f>
        <v>0</v>
      </c>
      <c r="Y1622">
        <f>IF($A2="","",SUMIF('07_Pallet_Contents'!$A$2:$A$3000,$A2,'07_Pallet_Contents'!$I$2:$I$3000))</f>
        <v>0</v>
      </c>
      <c r="Z1622" t="str">
        <f>IF($A2="","",IF(COUNTIF('07_Pallet_Contents'!$A$2:$A$3000,$A2)&gt;0,"Yes",""))</f>
        <v/>
      </c>
    </row>
    <row r="1623" spans="2:26">
      <c r="B1623" s="31"/>
      <c r="G1623" s="34"/>
      <c r="H1623" s="33" t="str">
        <f t="shared" si="33"/>
        <v/>
      </c>
      <c r="I1623" s="31"/>
      <c r="J1623" s="31"/>
      <c r="K1623" s="33"/>
      <c r="W1623">
        <f>IF($A2="","",COUNTIF('07_Pallet_Contents'!$A$2:$A$3000,$A2))</f>
        <v>0</v>
      </c>
      <c r="X1623">
        <f>IF($A2="","",SUMIF('07_Pallet_Contents'!$A$2:$A$3000,$A2,'07_Pallet_Contents'!$D$2:$D$3000))</f>
        <v>0</v>
      </c>
      <c r="Y1623">
        <f>IF($A2="","",SUMIF('07_Pallet_Contents'!$A$2:$A$3000,$A2,'07_Pallet_Contents'!$I$2:$I$3000))</f>
        <v>0</v>
      </c>
      <c r="Z1623" t="str">
        <f>IF($A2="","",IF(COUNTIF('07_Pallet_Contents'!$A$2:$A$3000,$A2)&gt;0,"Yes",""))</f>
        <v/>
      </c>
    </row>
    <row r="1624" spans="2:26">
      <c r="B1624" s="31"/>
      <c r="G1624" s="34"/>
      <c r="H1624" s="33" t="str">
        <f t="shared" si="33"/>
        <v/>
      </c>
      <c r="I1624" s="31"/>
      <c r="J1624" s="31"/>
      <c r="K1624" s="33"/>
      <c r="W1624">
        <f>IF($A2="","",COUNTIF('07_Pallet_Contents'!$A$2:$A$3000,$A2))</f>
        <v>0</v>
      </c>
      <c r="X1624">
        <f>IF($A2="","",SUMIF('07_Pallet_Contents'!$A$2:$A$3000,$A2,'07_Pallet_Contents'!$D$2:$D$3000))</f>
        <v>0</v>
      </c>
      <c r="Y1624">
        <f>IF($A2="","",SUMIF('07_Pallet_Contents'!$A$2:$A$3000,$A2,'07_Pallet_Contents'!$I$2:$I$3000))</f>
        <v>0</v>
      </c>
      <c r="Z1624" t="str">
        <f>IF($A2="","",IF(COUNTIF('07_Pallet_Contents'!$A$2:$A$3000,$A2)&gt;0,"Yes",""))</f>
        <v/>
      </c>
    </row>
    <row r="1625" spans="2:26">
      <c r="B1625" s="31"/>
      <c r="G1625" s="34"/>
      <c r="H1625" s="33" t="str">
        <f t="shared" si="33"/>
        <v/>
      </c>
      <c r="I1625" s="31"/>
      <c r="J1625" s="31"/>
      <c r="K1625" s="33"/>
      <c r="W1625">
        <f>IF($A2="","",COUNTIF('07_Pallet_Contents'!$A$2:$A$3000,$A2))</f>
        <v>0</v>
      </c>
      <c r="X1625">
        <f>IF($A2="","",SUMIF('07_Pallet_Contents'!$A$2:$A$3000,$A2,'07_Pallet_Contents'!$D$2:$D$3000))</f>
        <v>0</v>
      </c>
      <c r="Y1625">
        <f>IF($A2="","",SUMIF('07_Pallet_Contents'!$A$2:$A$3000,$A2,'07_Pallet_Contents'!$I$2:$I$3000))</f>
        <v>0</v>
      </c>
      <c r="Z1625" t="str">
        <f>IF($A2="","",IF(COUNTIF('07_Pallet_Contents'!$A$2:$A$3000,$A2)&gt;0,"Yes",""))</f>
        <v/>
      </c>
    </row>
    <row r="1626" spans="2:26">
      <c r="B1626" s="31"/>
      <c r="G1626" s="34"/>
      <c r="H1626" s="33" t="str">
        <f t="shared" si="33"/>
        <v/>
      </c>
      <c r="I1626" s="31"/>
      <c r="J1626" s="31"/>
      <c r="K1626" s="33"/>
      <c r="W1626">
        <f>IF($A2="","",COUNTIF('07_Pallet_Contents'!$A$2:$A$3000,$A2))</f>
        <v>0</v>
      </c>
      <c r="X1626">
        <f>IF($A2="","",SUMIF('07_Pallet_Contents'!$A$2:$A$3000,$A2,'07_Pallet_Contents'!$D$2:$D$3000))</f>
        <v>0</v>
      </c>
      <c r="Y1626">
        <f>IF($A2="","",SUMIF('07_Pallet_Contents'!$A$2:$A$3000,$A2,'07_Pallet_Contents'!$I$2:$I$3000))</f>
        <v>0</v>
      </c>
      <c r="Z1626" t="str">
        <f>IF($A2="","",IF(COUNTIF('07_Pallet_Contents'!$A$2:$A$3000,$A2)&gt;0,"Yes",""))</f>
        <v/>
      </c>
    </row>
    <row r="1627" spans="2:26">
      <c r="B1627" s="31"/>
      <c r="G1627" s="34"/>
      <c r="H1627" s="33" t="str">
        <f t="shared" si="33"/>
        <v/>
      </c>
      <c r="I1627" s="31"/>
      <c r="J1627" s="31"/>
      <c r="K1627" s="33"/>
      <c r="W1627">
        <f>IF($A2="","",COUNTIF('07_Pallet_Contents'!$A$2:$A$3000,$A2))</f>
        <v>0</v>
      </c>
      <c r="X1627">
        <f>IF($A2="","",SUMIF('07_Pallet_Contents'!$A$2:$A$3000,$A2,'07_Pallet_Contents'!$D$2:$D$3000))</f>
        <v>0</v>
      </c>
      <c r="Y1627">
        <f>IF($A2="","",SUMIF('07_Pallet_Contents'!$A$2:$A$3000,$A2,'07_Pallet_Contents'!$I$2:$I$3000))</f>
        <v>0</v>
      </c>
      <c r="Z1627" t="str">
        <f>IF($A2="","",IF(COUNTIF('07_Pallet_Contents'!$A$2:$A$3000,$A2)&gt;0,"Yes",""))</f>
        <v/>
      </c>
    </row>
    <row r="1628" spans="2:26">
      <c r="B1628" s="31"/>
      <c r="G1628" s="34"/>
      <c r="H1628" s="33" t="str">
        <f t="shared" si="33"/>
        <v/>
      </c>
      <c r="I1628" s="31"/>
      <c r="J1628" s="31"/>
      <c r="K1628" s="33"/>
      <c r="W1628">
        <f>IF($A2="","",COUNTIF('07_Pallet_Contents'!$A$2:$A$3000,$A2))</f>
        <v>0</v>
      </c>
      <c r="X1628">
        <f>IF($A2="","",SUMIF('07_Pallet_Contents'!$A$2:$A$3000,$A2,'07_Pallet_Contents'!$D$2:$D$3000))</f>
        <v>0</v>
      </c>
      <c r="Y1628">
        <f>IF($A2="","",SUMIF('07_Pallet_Contents'!$A$2:$A$3000,$A2,'07_Pallet_Contents'!$I$2:$I$3000))</f>
        <v>0</v>
      </c>
      <c r="Z1628" t="str">
        <f>IF($A2="","",IF(COUNTIF('07_Pallet_Contents'!$A$2:$A$3000,$A2)&gt;0,"Yes",""))</f>
        <v/>
      </c>
    </row>
    <row r="1629" spans="2:26">
      <c r="B1629" s="31"/>
      <c r="G1629" s="34"/>
      <c r="H1629" s="33" t="str">
        <f t="shared" si="33"/>
        <v/>
      </c>
      <c r="I1629" s="31"/>
      <c r="J1629" s="31"/>
      <c r="K1629" s="33"/>
      <c r="W1629">
        <f>IF($A2="","",COUNTIF('07_Pallet_Contents'!$A$2:$A$3000,$A2))</f>
        <v>0</v>
      </c>
      <c r="X1629">
        <f>IF($A2="","",SUMIF('07_Pallet_Contents'!$A$2:$A$3000,$A2,'07_Pallet_Contents'!$D$2:$D$3000))</f>
        <v>0</v>
      </c>
      <c r="Y1629">
        <f>IF($A2="","",SUMIF('07_Pallet_Contents'!$A$2:$A$3000,$A2,'07_Pallet_Contents'!$I$2:$I$3000))</f>
        <v>0</v>
      </c>
      <c r="Z1629" t="str">
        <f>IF($A2="","",IF(COUNTIF('07_Pallet_Contents'!$A$2:$A$3000,$A2)&gt;0,"Yes",""))</f>
        <v/>
      </c>
    </row>
    <row r="1630" spans="2:26">
      <c r="B1630" s="31"/>
      <c r="G1630" s="34"/>
      <c r="H1630" s="33" t="str">
        <f t="shared" si="33"/>
        <v/>
      </c>
      <c r="I1630" s="31"/>
      <c r="J1630" s="31"/>
      <c r="K1630" s="33"/>
      <c r="W1630">
        <f>IF($A2="","",COUNTIF('07_Pallet_Contents'!$A$2:$A$3000,$A2))</f>
        <v>0</v>
      </c>
      <c r="X1630">
        <f>IF($A2="","",SUMIF('07_Pallet_Contents'!$A$2:$A$3000,$A2,'07_Pallet_Contents'!$D$2:$D$3000))</f>
        <v>0</v>
      </c>
      <c r="Y1630">
        <f>IF($A2="","",SUMIF('07_Pallet_Contents'!$A$2:$A$3000,$A2,'07_Pallet_Contents'!$I$2:$I$3000))</f>
        <v>0</v>
      </c>
      <c r="Z1630" t="str">
        <f>IF($A2="","",IF(COUNTIF('07_Pallet_Contents'!$A$2:$A$3000,$A2)&gt;0,"Yes",""))</f>
        <v/>
      </c>
    </row>
    <row r="1631" spans="2:26">
      <c r="B1631" s="31"/>
      <c r="G1631" s="34"/>
      <c r="H1631" s="33" t="str">
        <f t="shared" si="33"/>
        <v/>
      </c>
      <c r="I1631" s="31"/>
      <c r="J1631" s="31"/>
      <c r="K1631" s="33"/>
      <c r="W1631">
        <f>IF($A2="","",COUNTIF('07_Pallet_Contents'!$A$2:$A$3000,$A2))</f>
        <v>0</v>
      </c>
      <c r="X1631">
        <f>IF($A2="","",SUMIF('07_Pallet_Contents'!$A$2:$A$3000,$A2,'07_Pallet_Contents'!$D$2:$D$3000))</f>
        <v>0</v>
      </c>
      <c r="Y1631">
        <f>IF($A2="","",SUMIF('07_Pallet_Contents'!$A$2:$A$3000,$A2,'07_Pallet_Contents'!$I$2:$I$3000))</f>
        <v>0</v>
      </c>
      <c r="Z1631" t="str">
        <f>IF($A2="","",IF(COUNTIF('07_Pallet_Contents'!$A$2:$A$3000,$A2)&gt;0,"Yes",""))</f>
        <v/>
      </c>
    </row>
    <row r="1632" spans="2:26">
      <c r="B1632" s="31"/>
      <c r="G1632" s="34"/>
      <c r="H1632" s="33" t="str">
        <f t="shared" si="33"/>
        <v/>
      </c>
      <c r="I1632" s="31"/>
      <c r="J1632" s="31"/>
      <c r="K1632" s="33"/>
      <c r="W1632">
        <f>IF($A2="","",COUNTIF('07_Pallet_Contents'!$A$2:$A$3000,$A2))</f>
        <v>0</v>
      </c>
      <c r="X1632">
        <f>IF($A2="","",SUMIF('07_Pallet_Contents'!$A$2:$A$3000,$A2,'07_Pallet_Contents'!$D$2:$D$3000))</f>
        <v>0</v>
      </c>
      <c r="Y1632">
        <f>IF($A2="","",SUMIF('07_Pallet_Contents'!$A$2:$A$3000,$A2,'07_Pallet_Contents'!$I$2:$I$3000))</f>
        <v>0</v>
      </c>
      <c r="Z1632" t="str">
        <f>IF($A2="","",IF(COUNTIF('07_Pallet_Contents'!$A$2:$A$3000,$A2)&gt;0,"Yes",""))</f>
        <v/>
      </c>
    </row>
    <row r="1633" spans="2:26">
      <c r="B1633" s="31"/>
      <c r="G1633" s="34"/>
      <c r="H1633" s="33" t="str">
        <f t="shared" si="33"/>
        <v/>
      </c>
      <c r="I1633" s="31"/>
      <c r="J1633" s="31"/>
      <c r="K1633" s="33"/>
      <c r="W1633">
        <f>IF($A2="","",COUNTIF('07_Pallet_Contents'!$A$2:$A$3000,$A2))</f>
        <v>0</v>
      </c>
      <c r="X1633">
        <f>IF($A2="","",SUMIF('07_Pallet_Contents'!$A$2:$A$3000,$A2,'07_Pallet_Contents'!$D$2:$D$3000))</f>
        <v>0</v>
      </c>
      <c r="Y1633">
        <f>IF($A2="","",SUMIF('07_Pallet_Contents'!$A$2:$A$3000,$A2,'07_Pallet_Contents'!$I$2:$I$3000))</f>
        <v>0</v>
      </c>
      <c r="Z1633" t="str">
        <f>IF($A2="","",IF(COUNTIF('07_Pallet_Contents'!$A$2:$A$3000,$A2)&gt;0,"Yes",""))</f>
        <v/>
      </c>
    </row>
    <row r="1634" spans="2:26">
      <c r="B1634" s="31"/>
      <c r="G1634" s="34"/>
      <c r="H1634" s="33" t="str">
        <f t="shared" si="33"/>
        <v/>
      </c>
      <c r="I1634" s="31"/>
      <c r="J1634" s="31"/>
      <c r="K1634" s="33"/>
      <c r="W1634">
        <f>IF($A2="","",COUNTIF('07_Pallet_Contents'!$A$2:$A$3000,$A2))</f>
        <v>0</v>
      </c>
      <c r="X1634">
        <f>IF($A2="","",SUMIF('07_Pallet_Contents'!$A$2:$A$3000,$A2,'07_Pallet_Contents'!$D$2:$D$3000))</f>
        <v>0</v>
      </c>
      <c r="Y1634">
        <f>IF($A2="","",SUMIF('07_Pallet_Contents'!$A$2:$A$3000,$A2,'07_Pallet_Contents'!$I$2:$I$3000))</f>
        <v>0</v>
      </c>
      <c r="Z1634" t="str">
        <f>IF($A2="","",IF(COUNTIF('07_Pallet_Contents'!$A$2:$A$3000,$A2)&gt;0,"Yes",""))</f>
        <v/>
      </c>
    </row>
    <row r="1635" spans="2:26">
      <c r="B1635" s="31"/>
      <c r="G1635" s="34"/>
      <c r="H1635" s="33" t="str">
        <f t="shared" si="33"/>
        <v/>
      </c>
      <c r="I1635" s="31"/>
      <c r="J1635" s="31"/>
      <c r="K1635" s="33"/>
      <c r="W1635">
        <f>IF($A2="","",COUNTIF('07_Pallet_Contents'!$A$2:$A$3000,$A2))</f>
        <v>0</v>
      </c>
      <c r="X1635">
        <f>IF($A2="","",SUMIF('07_Pallet_Contents'!$A$2:$A$3000,$A2,'07_Pallet_Contents'!$D$2:$D$3000))</f>
        <v>0</v>
      </c>
      <c r="Y1635">
        <f>IF($A2="","",SUMIF('07_Pallet_Contents'!$A$2:$A$3000,$A2,'07_Pallet_Contents'!$I$2:$I$3000))</f>
        <v>0</v>
      </c>
      <c r="Z1635" t="str">
        <f>IF($A2="","",IF(COUNTIF('07_Pallet_Contents'!$A$2:$A$3000,$A2)&gt;0,"Yes",""))</f>
        <v/>
      </c>
    </row>
    <row r="1636" spans="2:26">
      <c r="B1636" s="31"/>
      <c r="G1636" s="34"/>
      <c r="H1636" s="33" t="str">
        <f t="shared" si="33"/>
        <v/>
      </c>
      <c r="I1636" s="31"/>
      <c r="J1636" s="31"/>
      <c r="K1636" s="33"/>
      <c r="W1636">
        <f>IF($A2="","",COUNTIF('07_Pallet_Contents'!$A$2:$A$3000,$A2))</f>
        <v>0</v>
      </c>
      <c r="X1636">
        <f>IF($A2="","",SUMIF('07_Pallet_Contents'!$A$2:$A$3000,$A2,'07_Pallet_Contents'!$D$2:$D$3000))</f>
        <v>0</v>
      </c>
      <c r="Y1636">
        <f>IF($A2="","",SUMIF('07_Pallet_Contents'!$A$2:$A$3000,$A2,'07_Pallet_Contents'!$I$2:$I$3000))</f>
        <v>0</v>
      </c>
      <c r="Z1636" t="str">
        <f>IF($A2="","",IF(COUNTIF('07_Pallet_Contents'!$A$2:$A$3000,$A2)&gt;0,"Yes",""))</f>
        <v/>
      </c>
    </row>
    <row r="1637" spans="2:26">
      <c r="B1637" s="31"/>
      <c r="G1637" s="34"/>
      <c r="H1637" s="33" t="str">
        <f t="shared" si="33"/>
        <v/>
      </c>
      <c r="I1637" s="31"/>
      <c r="J1637" s="31"/>
      <c r="K1637" s="33"/>
      <c r="W1637">
        <f>IF($A2="","",COUNTIF('07_Pallet_Contents'!$A$2:$A$3000,$A2))</f>
        <v>0</v>
      </c>
      <c r="X1637">
        <f>IF($A2="","",SUMIF('07_Pallet_Contents'!$A$2:$A$3000,$A2,'07_Pallet_Contents'!$D$2:$D$3000))</f>
        <v>0</v>
      </c>
      <c r="Y1637">
        <f>IF($A2="","",SUMIF('07_Pallet_Contents'!$A$2:$A$3000,$A2,'07_Pallet_Contents'!$I$2:$I$3000))</f>
        <v>0</v>
      </c>
      <c r="Z1637" t="str">
        <f>IF($A2="","",IF(COUNTIF('07_Pallet_Contents'!$A$2:$A$3000,$A2)&gt;0,"Yes",""))</f>
        <v/>
      </c>
    </row>
    <row r="1638" spans="2:26">
      <c r="B1638" s="31"/>
      <c r="G1638" s="34"/>
      <c r="H1638" s="33" t="str">
        <f t="shared" si="33"/>
        <v/>
      </c>
      <c r="I1638" s="31"/>
      <c r="J1638" s="31"/>
      <c r="K1638" s="33"/>
      <c r="W1638">
        <f>IF($A2="","",COUNTIF('07_Pallet_Contents'!$A$2:$A$3000,$A2))</f>
        <v>0</v>
      </c>
      <c r="X1638">
        <f>IF($A2="","",SUMIF('07_Pallet_Contents'!$A$2:$A$3000,$A2,'07_Pallet_Contents'!$D$2:$D$3000))</f>
        <v>0</v>
      </c>
      <c r="Y1638">
        <f>IF($A2="","",SUMIF('07_Pallet_Contents'!$A$2:$A$3000,$A2,'07_Pallet_Contents'!$I$2:$I$3000))</f>
        <v>0</v>
      </c>
      <c r="Z1638" t="str">
        <f>IF($A2="","",IF(COUNTIF('07_Pallet_Contents'!$A$2:$A$3000,$A2)&gt;0,"Yes",""))</f>
        <v/>
      </c>
    </row>
    <row r="1639" spans="2:26">
      <c r="B1639" s="31"/>
      <c r="G1639" s="34"/>
      <c r="H1639" s="33" t="str">
        <f t="shared" si="33"/>
        <v/>
      </c>
      <c r="I1639" s="31"/>
      <c r="J1639" s="31"/>
      <c r="K1639" s="33"/>
      <c r="W1639">
        <f>IF($A2="","",COUNTIF('07_Pallet_Contents'!$A$2:$A$3000,$A2))</f>
        <v>0</v>
      </c>
      <c r="X1639">
        <f>IF($A2="","",SUMIF('07_Pallet_Contents'!$A$2:$A$3000,$A2,'07_Pallet_Contents'!$D$2:$D$3000))</f>
        <v>0</v>
      </c>
      <c r="Y1639">
        <f>IF($A2="","",SUMIF('07_Pallet_Contents'!$A$2:$A$3000,$A2,'07_Pallet_Contents'!$I$2:$I$3000))</f>
        <v>0</v>
      </c>
      <c r="Z1639" t="str">
        <f>IF($A2="","",IF(COUNTIF('07_Pallet_Contents'!$A$2:$A$3000,$A2)&gt;0,"Yes",""))</f>
        <v/>
      </c>
    </row>
    <row r="1640" spans="2:26">
      <c r="B1640" s="31"/>
      <c r="G1640" s="34"/>
      <c r="H1640" s="33" t="str">
        <f t="shared" si="33"/>
        <v/>
      </c>
      <c r="I1640" s="31"/>
      <c r="J1640" s="31"/>
      <c r="K1640" s="33"/>
      <c r="W1640">
        <f>IF($A2="","",COUNTIF('07_Pallet_Contents'!$A$2:$A$3000,$A2))</f>
        <v>0</v>
      </c>
      <c r="X1640">
        <f>IF($A2="","",SUMIF('07_Pallet_Contents'!$A$2:$A$3000,$A2,'07_Pallet_Contents'!$D$2:$D$3000))</f>
        <v>0</v>
      </c>
      <c r="Y1640">
        <f>IF($A2="","",SUMIF('07_Pallet_Contents'!$A$2:$A$3000,$A2,'07_Pallet_Contents'!$I$2:$I$3000))</f>
        <v>0</v>
      </c>
      <c r="Z1640" t="str">
        <f>IF($A2="","",IF(COUNTIF('07_Pallet_Contents'!$A$2:$A$3000,$A2)&gt;0,"Yes",""))</f>
        <v/>
      </c>
    </row>
    <row r="1641" spans="2:26">
      <c r="B1641" s="31"/>
      <c r="G1641" s="34"/>
      <c r="H1641" s="33" t="str">
        <f t="shared" si="33"/>
        <v/>
      </c>
      <c r="I1641" s="31"/>
      <c r="J1641" s="31"/>
      <c r="K1641" s="33"/>
      <c r="W1641">
        <f>IF($A2="","",COUNTIF('07_Pallet_Contents'!$A$2:$A$3000,$A2))</f>
        <v>0</v>
      </c>
      <c r="X1641">
        <f>IF($A2="","",SUMIF('07_Pallet_Contents'!$A$2:$A$3000,$A2,'07_Pallet_Contents'!$D$2:$D$3000))</f>
        <v>0</v>
      </c>
      <c r="Y1641">
        <f>IF($A2="","",SUMIF('07_Pallet_Contents'!$A$2:$A$3000,$A2,'07_Pallet_Contents'!$I$2:$I$3000))</f>
        <v>0</v>
      </c>
      <c r="Z1641" t="str">
        <f>IF($A2="","",IF(COUNTIF('07_Pallet_Contents'!$A$2:$A$3000,$A2)&gt;0,"Yes",""))</f>
        <v/>
      </c>
    </row>
    <row r="1642" spans="2:26">
      <c r="B1642" s="31"/>
      <c r="G1642" s="34"/>
      <c r="H1642" s="33" t="str">
        <f t="shared" si="33"/>
        <v/>
      </c>
      <c r="I1642" s="31"/>
      <c r="J1642" s="31"/>
      <c r="K1642" s="33"/>
      <c r="W1642">
        <f>IF($A2="","",COUNTIF('07_Pallet_Contents'!$A$2:$A$3000,$A2))</f>
        <v>0</v>
      </c>
      <c r="X1642">
        <f>IF($A2="","",SUMIF('07_Pallet_Contents'!$A$2:$A$3000,$A2,'07_Pallet_Contents'!$D$2:$D$3000))</f>
        <v>0</v>
      </c>
      <c r="Y1642">
        <f>IF($A2="","",SUMIF('07_Pallet_Contents'!$A$2:$A$3000,$A2,'07_Pallet_Contents'!$I$2:$I$3000))</f>
        <v>0</v>
      </c>
      <c r="Z1642" t="str">
        <f>IF($A2="","",IF(COUNTIF('07_Pallet_Contents'!$A$2:$A$3000,$A2)&gt;0,"Yes",""))</f>
        <v/>
      </c>
    </row>
    <row r="1643" spans="2:26">
      <c r="B1643" s="31"/>
      <c r="G1643" s="34"/>
      <c r="H1643" s="33" t="str">
        <f t="shared" si="33"/>
        <v/>
      </c>
      <c r="I1643" s="31"/>
      <c r="J1643" s="31"/>
      <c r="K1643" s="33"/>
      <c r="W1643">
        <f>IF($A2="","",COUNTIF('07_Pallet_Contents'!$A$2:$A$3000,$A2))</f>
        <v>0</v>
      </c>
      <c r="X1643">
        <f>IF($A2="","",SUMIF('07_Pallet_Contents'!$A$2:$A$3000,$A2,'07_Pallet_Contents'!$D$2:$D$3000))</f>
        <v>0</v>
      </c>
      <c r="Y1643">
        <f>IF($A2="","",SUMIF('07_Pallet_Contents'!$A$2:$A$3000,$A2,'07_Pallet_Contents'!$I$2:$I$3000))</f>
        <v>0</v>
      </c>
      <c r="Z1643" t="str">
        <f>IF($A2="","",IF(COUNTIF('07_Pallet_Contents'!$A$2:$A$3000,$A2)&gt;0,"Yes",""))</f>
        <v/>
      </c>
    </row>
    <row r="1644" spans="2:26">
      <c r="B1644" s="31"/>
      <c r="G1644" s="34"/>
      <c r="H1644" s="33" t="str">
        <f t="shared" si="33"/>
        <v/>
      </c>
      <c r="I1644" s="31"/>
      <c r="J1644" s="31"/>
      <c r="K1644" s="33"/>
      <c r="W1644">
        <f>IF($A2="","",COUNTIF('07_Pallet_Contents'!$A$2:$A$3000,$A2))</f>
        <v>0</v>
      </c>
      <c r="X1644">
        <f>IF($A2="","",SUMIF('07_Pallet_Contents'!$A$2:$A$3000,$A2,'07_Pallet_Contents'!$D$2:$D$3000))</f>
        <v>0</v>
      </c>
      <c r="Y1644">
        <f>IF($A2="","",SUMIF('07_Pallet_Contents'!$A$2:$A$3000,$A2,'07_Pallet_Contents'!$I$2:$I$3000))</f>
        <v>0</v>
      </c>
      <c r="Z1644" t="str">
        <f>IF($A2="","",IF(COUNTIF('07_Pallet_Contents'!$A$2:$A$3000,$A2)&gt;0,"Yes",""))</f>
        <v/>
      </c>
    </row>
    <row r="1645" spans="2:26">
      <c r="B1645" s="31"/>
      <c r="G1645" s="34"/>
      <c r="H1645" s="33" t="str">
        <f t="shared" si="33"/>
        <v/>
      </c>
      <c r="I1645" s="31"/>
      <c r="J1645" s="31"/>
      <c r="K1645" s="33"/>
      <c r="W1645">
        <f>IF($A2="","",COUNTIF('07_Pallet_Contents'!$A$2:$A$3000,$A2))</f>
        <v>0</v>
      </c>
      <c r="X1645">
        <f>IF($A2="","",SUMIF('07_Pallet_Contents'!$A$2:$A$3000,$A2,'07_Pallet_Contents'!$D$2:$D$3000))</f>
        <v>0</v>
      </c>
      <c r="Y1645">
        <f>IF($A2="","",SUMIF('07_Pallet_Contents'!$A$2:$A$3000,$A2,'07_Pallet_Contents'!$I$2:$I$3000))</f>
        <v>0</v>
      </c>
      <c r="Z1645" t="str">
        <f>IF($A2="","",IF(COUNTIF('07_Pallet_Contents'!$A$2:$A$3000,$A2)&gt;0,"Yes",""))</f>
        <v/>
      </c>
    </row>
    <row r="1646" spans="2:26">
      <c r="B1646" s="31"/>
      <c r="G1646" s="34"/>
      <c r="H1646" s="33" t="str">
        <f t="shared" si="33"/>
        <v/>
      </c>
      <c r="I1646" s="31"/>
      <c r="J1646" s="31"/>
      <c r="K1646" s="33"/>
      <c r="W1646">
        <f>IF($A2="","",COUNTIF('07_Pallet_Contents'!$A$2:$A$3000,$A2))</f>
        <v>0</v>
      </c>
      <c r="X1646">
        <f>IF($A2="","",SUMIF('07_Pallet_Contents'!$A$2:$A$3000,$A2,'07_Pallet_Contents'!$D$2:$D$3000))</f>
        <v>0</v>
      </c>
      <c r="Y1646">
        <f>IF($A2="","",SUMIF('07_Pallet_Contents'!$A$2:$A$3000,$A2,'07_Pallet_Contents'!$I$2:$I$3000))</f>
        <v>0</v>
      </c>
      <c r="Z1646" t="str">
        <f>IF($A2="","",IF(COUNTIF('07_Pallet_Contents'!$A$2:$A$3000,$A2)&gt;0,"Yes",""))</f>
        <v/>
      </c>
    </row>
    <row r="1647" spans="2:26">
      <c r="B1647" s="31"/>
      <c r="G1647" s="34"/>
      <c r="H1647" s="33" t="str">
        <f t="shared" si="33"/>
        <v/>
      </c>
      <c r="I1647" s="31"/>
      <c r="J1647" s="31"/>
      <c r="K1647" s="33"/>
      <c r="W1647">
        <f>IF($A2="","",COUNTIF('07_Pallet_Contents'!$A$2:$A$3000,$A2))</f>
        <v>0</v>
      </c>
      <c r="X1647">
        <f>IF($A2="","",SUMIF('07_Pallet_Contents'!$A$2:$A$3000,$A2,'07_Pallet_Contents'!$D$2:$D$3000))</f>
        <v>0</v>
      </c>
      <c r="Y1647">
        <f>IF($A2="","",SUMIF('07_Pallet_Contents'!$A$2:$A$3000,$A2,'07_Pallet_Contents'!$I$2:$I$3000))</f>
        <v>0</v>
      </c>
      <c r="Z1647" t="str">
        <f>IF($A2="","",IF(COUNTIF('07_Pallet_Contents'!$A$2:$A$3000,$A2)&gt;0,"Yes",""))</f>
        <v/>
      </c>
    </row>
    <row r="1648" spans="2:26">
      <c r="B1648" s="31"/>
      <c r="G1648" s="34"/>
      <c r="H1648" s="33" t="str">
        <f t="shared" si="33"/>
        <v/>
      </c>
      <c r="I1648" s="31"/>
      <c r="J1648" s="31"/>
      <c r="K1648" s="33"/>
      <c r="W1648">
        <f>IF($A2="","",COUNTIF('07_Pallet_Contents'!$A$2:$A$3000,$A2))</f>
        <v>0</v>
      </c>
      <c r="X1648">
        <f>IF($A2="","",SUMIF('07_Pallet_Contents'!$A$2:$A$3000,$A2,'07_Pallet_Contents'!$D$2:$D$3000))</f>
        <v>0</v>
      </c>
      <c r="Y1648">
        <f>IF($A2="","",SUMIF('07_Pallet_Contents'!$A$2:$A$3000,$A2,'07_Pallet_Contents'!$I$2:$I$3000))</f>
        <v>0</v>
      </c>
      <c r="Z1648" t="str">
        <f>IF($A2="","",IF(COUNTIF('07_Pallet_Contents'!$A$2:$A$3000,$A2)&gt;0,"Yes",""))</f>
        <v/>
      </c>
    </row>
    <row r="1649" spans="2:26">
      <c r="B1649" s="31"/>
      <c r="G1649" s="34"/>
      <c r="H1649" s="33" t="str">
        <f t="shared" si="33"/>
        <v/>
      </c>
      <c r="I1649" s="31"/>
      <c r="J1649" s="31"/>
      <c r="K1649" s="33"/>
      <c r="W1649">
        <f>IF($A2="","",COUNTIF('07_Pallet_Contents'!$A$2:$A$3000,$A2))</f>
        <v>0</v>
      </c>
      <c r="X1649">
        <f>IF($A2="","",SUMIF('07_Pallet_Contents'!$A$2:$A$3000,$A2,'07_Pallet_Contents'!$D$2:$D$3000))</f>
        <v>0</v>
      </c>
      <c r="Y1649">
        <f>IF($A2="","",SUMIF('07_Pallet_Contents'!$A$2:$A$3000,$A2,'07_Pallet_Contents'!$I$2:$I$3000))</f>
        <v>0</v>
      </c>
      <c r="Z1649" t="str">
        <f>IF($A2="","",IF(COUNTIF('07_Pallet_Contents'!$A$2:$A$3000,$A2)&gt;0,"Yes",""))</f>
        <v/>
      </c>
    </row>
    <row r="1650" spans="2:26">
      <c r="B1650" s="31"/>
      <c r="G1650" s="34"/>
      <c r="H1650" s="33" t="str">
        <f t="shared" si="33"/>
        <v/>
      </c>
      <c r="I1650" s="31"/>
      <c r="J1650" s="31"/>
      <c r="K1650" s="33"/>
      <c r="W1650">
        <f>IF($A2="","",COUNTIF('07_Pallet_Contents'!$A$2:$A$3000,$A2))</f>
        <v>0</v>
      </c>
      <c r="X1650">
        <f>IF($A2="","",SUMIF('07_Pallet_Contents'!$A$2:$A$3000,$A2,'07_Pallet_Contents'!$D$2:$D$3000))</f>
        <v>0</v>
      </c>
      <c r="Y1650">
        <f>IF($A2="","",SUMIF('07_Pallet_Contents'!$A$2:$A$3000,$A2,'07_Pallet_Contents'!$I$2:$I$3000))</f>
        <v>0</v>
      </c>
      <c r="Z1650" t="str">
        <f>IF($A2="","",IF(COUNTIF('07_Pallet_Contents'!$A$2:$A$3000,$A2)&gt;0,"Yes",""))</f>
        <v/>
      </c>
    </row>
    <row r="1651" spans="2:26">
      <c r="B1651" s="31"/>
      <c r="G1651" s="34"/>
      <c r="H1651" s="33" t="str">
        <f t="shared" si="33"/>
        <v/>
      </c>
      <c r="I1651" s="31"/>
      <c r="J1651" s="31"/>
      <c r="K1651" s="33"/>
      <c r="W1651">
        <f>IF($A2="","",COUNTIF('07_Pallet_Contents'!$A$2:$A$3000,$A2))</f>
        <v>0</v>
      </c>
      <c r="X1651">
        <f>IF($A2="","",SUMIF('07_Pallet_Contents'!$A$2:$A$3000,$A2,'07_Pallet_Contents'!$D$2:$D$3000))</f>
        <v>0</v>
      </c>
      <c r="Y1651">
        <f>IF($A2="","",SUMIF('07_Pallet_Contents'!$A$2:$A$3000,$A2,'07_Pallet_Contents'!$I$2:$I$3000))</f>
        <v>0</v>
      </c>
      <c r="Z1651" t="str">
        <f>IF($A2="","",IF(COUNTIF('07_Pallet_Contents'!$A$2:$A$3000,$A2)&gt;0,"Yes",""))</f>
        <v/>
      </c>
    </row>
    <row r="1652" spans="2:26">
      <c r="B1652" s="31"/>
      <c r="G1652" s="34"/>
      <c r="H1652" s="33" t="str">
        <f t="shared" si="33"/>
        <v/>
      </c>
      <c r="I1652" s="31"/>
      <c r="J1652" s="31"/>
      <c r="K1652" s="33"/>
      <c r="W1652">
        <f>IF($A2="","",COUNTIF('07_Pallet_Contents'!$A$2:$A$3000,$A2))</f>
        <v>0</v>
      </c>
      <c r="X1652">
        <f>IF($A2="","",SUMIF('07_Pallet_Contents'!$A$2:$A$3000,$A2,'07_Pallet_Contents'!$D$2:$D$3000))</f>
        <v>0</v>
      </c>
      <c r="Y1652">
        <f>IF($A2="","",SUMIF('07_Pallet_Contents'!$A$2:$A$3000,$A2,'07_Pallet_Contents'!$I$2:$I$3000))</f>
        <v>0</v>
      </c>
      <c r="Z1652" t="str">
        <f>IF($A2="","",IF(COUNTIF('07_Pallet_Contents'!$A$2:$A$3000,$A2)&gt;0,"Yes",""))</f>
        <v/>
      </c>
    </row>
    <row r="1653" spans="2:26">
      <c r="B1653" s="31"/>
      <c r="G1653" s="34"/>
      <c r="H1653" s="33" t="str">
        <f t="shared" si="33"/>
        <v/>
      </c>
      <c r="I1653" s="31"/>
      <c r="J1653" s="31"/>
      <c r="K1653" s="33"/>
      <c r="W1653">
        <f>IF($A2="","",COUNTIF('07_Pallet_Contents'!$A$2:$A$3000,$A2))</f>
        <v>0</v>
      </c>
      <c r="X1653">
        <f>IF($A2="","",SUMIF('07_Pallet_Contents'!$A$2:$A$3000,$A2,'07_Pallet_Contents'!$D$2:$D$3000))</f>
        <v>0</v>
      </c>
      <c r="Y1653">
        <f>IF($A2="","",SUMIF('07_Pallet_Contents'!$A$2:$A$3000,$A2,'07_Pallet_Contents'!$I$2:$I$3000))</f>
        <v>0</v>
      </c>
      <c r="Z1653" t="str">
        <f>IF($A2="","",IF(COUNTIF('07_Pallet_Contents'!$A$2:$A$3000,$A2)&gt;0,"Yes",""))</f>
        <v/>
      </c>
    </row>
    <row r="1654" spans="2:26">
      <c r="B1654" s="31"/>
      <c r="G1654" s="34"/>
      <c r="H1654" s="33" t="str">
        <f t="shared" si="33"/>
        <v/>
      </c>
      <c r="I1654" s="31"/>
      <c r="J1654" s="31"/>
      <c r="K1654" s="33"/>
      <c r="W1654">
        <f>IF($A2="","",COUNTIF('07_Pallet_Contents'!$A$2:$A$3000,$A2))</f>
        <v>0</v>
      </c>
      <c r="X1654">
        <f>IF($A2="","",SUMIF('07_Pallet_Contents'!$A$2:$A$3000,$A2,'07_Pallet_Contents'!$D$2:$D$3000))</f>
        <v>0</v>
      </c>
      <c r="Y1654">
        <f>IF($A2="","",SUMIF('07_Pallet_Contents'!$A$2:$A$3000,$A2,'07_Pallet_Contents'!$I$2:$I$3000))</f>
        <v>0</v>
      </c>
      <c r="Z1654" t="str">
        <f>IF($A2="","",IF(COUNTIF('07_Pallet_Contents'!$A$2:$A$3000,$A2)&gt;0,"Yes",""))</f>
        <v/>
      </c>
    </row>
    <row r="1655" spans="2:26">
      <c r="B1655" s="31"/>
      <c r="G1655" s="34"/>
      <c r="H1655" s="33" t="str">
        <f t="shared" si="33"/>
        <v/>
      </c>
      <c r="I1655" s="31"/>
      <c r="J1655" s="31"/>
      <c r="K1655" s="33"/>
      <c r="W1655">
        <f>IF($A2="","",COUNTIF('07_Pallet_Contents'!$A$2:$A$3000,$A2))</f>
        <v>0</v>
      </c>
      <c r="X1655">
        <f>IF($A2="","",SUMIF('07_Pallet_Contents'!$A$2:$A$3000,$A2,'07_Pallet_Contents'!$D$2:$D$3000))</f>
        <v>0</v>
      </c>
      <c r="Y1655">
        <f>IF($A2="","",SUMIF('07_Pallet_Contents'!$A$2:$A$3000,$A2,'07_Pallet_Contents'!$I$2:$I$3000))</f>
        <v>0</v>
      </c>
      <c r="Z1655" t="str">
        <f>IF($A2="","",IF(COUNTIF('07_Pallet_Contents'!$A$2:$A$3000,$A2)&gt;0,"Yes",""))</f>
        <v/>
      </c>
    </row>
    <row r="1656" spans="2:26">
      <c r="B1656" s="31"/>
      <c r="G1656" s="34"/>
      <c r="H1656" s="33" t="str">
        <f t="shared" si="33"/>
        <v/>
      </c>
      <c r="I1656" s="31"/>
      <c r="J1656" s="31"/>
      <c r="K1656" s="33"/>
      <c r="W1656">
        <f>IF($A2="","",COUNTIF('07_Pallet_Contents'!$A$2:$A$3000,$A2))</f>
        <v>0</v>
      </c>
      <c r="X1656">
        <f>IF($A2="","",SUMIF('07_Pallet_Contents'!$A$2:$A$3000,$A2,'07_Pallet_Contents'!$D$2:$D$3000))</f>
        <v>0</v>
      </c>
      <c r="Y1656">
        <f>IF($A2="","",SUMIF('07_Pallet_Contents'!$A$2:$A$3000,$A2,'07_Pallet_Contents'!$I$2:$I$3000))</f>
        <v>0</v>
      </c>
      <c r="Z1656" t="str">
        <f>IF($A2="","",IF(COUNTIF('07_Pallet_Contents'!$A$2:$A$3000,$A2)&gt;0,"Yes",""))</f>
        <v/>
      </c>
    </row>
    <row r="1657" spans="2:26">
      <c r="B1657" s="31"/>
      <c r="G1657" s="34"/>
      <c r="H1657" s="33" t="str">
        <f t="shared" si="33"/>
        <v/>
      </c>
      <c r="I1657" s="31"/>
      <c r="J1657" s="31"/>
      <c r="K1657" s="33"/>
      <c r="W1657">
        <f>IF($A2="","",COUNTIF('07_Pallet_Contents'!$A$2:$A$3000,$A2))</f>
        <v>0</v>
      </c>
      <c r="X1657">
        <f>IF($A2="","",SUMIF('07_Pallet_Contents'!$A$2:$A$3000,$A2,'07_Pallet_Contents'!$D$2:$D$3000))</f>
        <v>0</v>
      </c>
      <c r="Y1657">
        <f>IF($A2="","",SUMIF('07_Pallet_Contents'!$A$2:$A$3000,$A2,'07_Pallet_Contents'!$I$2:$I$3000))</f>
        <v>0</v>
      </c>
      <c r="Z1657" t="str">
        <f>IF($A2="","",IF(COUNTIF('07_Pallet_Contents'!$A$2:$A$3000,$A2)&gt;0,"Yes",""))</f>
        <v/>
      </c>
    </row>
    <row r="1658" spans="2:26">
      <c r="B1658" s="31"/>
      <c r="G1658" s="34"/>
      <c r="H1658" s="33" t="str">
        <f t="shared" si="33"/>
        <v/>
      </c>
      <c r="I1658" s="31"/>
      <c r="J1658" s="31"/>
      <c r="K1658" s="33"/>
      <c r="W1658">
        <f>IF($A2="","",COUNTIF('07_Pallet_Contents'!$A$2:$A$3000,$A2))</f>
        <v>0</v>
      </c>
      <c r="X1658">
        <f>IF($A2="","",SUMIF('07_Pallet_Contents'!$A$2:$A$3000,$A2,'07_Pallet_Contents'!$D$2:$D$3000))</f>
        <v>0</v>
      </c>
      <c r="Y1658">
        <f>IF($A2="","",SUMIF('07_Pallet_Contents'!$A$2:$A$3000,$A2,'07_Pallet_Contents'!$I$2:$I$3000))</f>
        <v>0</v>
      </c>
      <c r="Z1658" t="str">
        <f>IF($A2="","",IF(COUNTIF('07_Pallet_Contents'!$A$2:$A$3000,$A2)&gt;0,"Yes",""))</f>
        <v/>
      </c>
    </row>
    <row r="1659" spans="2:26">
      <c r="B1659" s="31"/>
      <c r="G1659" s="34"/>
      <c r="H1659" s="33" t="str">
        <f t="shared" si="33"/>
        <v/>
      </c>
      <c r="I1659" s="31"/>
      <c r="J1659" s="31"/>
      <c r="K1659" s="33"/>
      <c r="W1659">
        <f>IF($A2="","",COUNTIF('07_Pallet_Contents'!$A$2:$A$3000,$A2))</f>
        <v>0</v>
      </c>
      <c r="X1659">
        <f>IF($A2="","",SUMIF('07_Pallet_Contents'!$A$2:$A$3000,$A2,'07_Pallet_Contents'!$D$2:$D$3000))</f>
        <v>0</v>
      </c>
      <c r="Y1659">
        <f>IF($A2="","",SUMIF('07_Pallet_Contents'!$A$2:$A$3000,$A2,'07_Pallet_Contents'!$I$2:$I$3000))</f>
        <v>0</v>
      </c>
      <c r="Z1659" t="str">
        <f>IF($A2="","",IF(COUNTIF('07_Pallet_Contents'!$A$2:$A$3000,$A2)&gt;0,"Yes",""))</f>
        <v/>
      </c>
    </row>
    <row r="1660" spans="2:26">
      <c r="B1660" s="31"/>
      <c r="G1660" s="34"/>
      <c r="H1660" s="33" t="str">
        <f t="shared" si="33"/>
        <v/>
      </c>
      <c r="I1660" s="31"/>
      <c r="J1660" s="31"/>
      <c r="K1660" s="33"/>
      <c r="W1660">
        <f>IF($A2="","",COUNTIF('07_Pallet_Contents'!$A$2:$A$3000,$A2))</f>
        <v>0</v>
      </c>
      <c r="X1660">
        <f>IF($A2="","",SUMIF('07_Pallet_Contents'!$A$2:$A$3000,$A2,'07_Pallet_Contents'!$D$2:$D$3000))</f>
        <v>0</v>
      </c>
      <c r="Y1660">
        <f>IF($A2="","",SUMIF('07_Pallet_Contents'!$A$2:$A$3000,$A2,'07_Pallet_Contents'!$I$2:$I$3000))</f>
        <v>0</v>
      </c>
      <c r="Z1660" t="str">
        <f>IF($A2="","",IF(COUNTIF('07_Pallet_Contents'!$A$2:$A$3000,$A2)&gt;0,"Yes",""))</f>
        <v/>
      </c>
    </row>
    <row r="1661" spans="2:26">
      <c r="B1661" s="31"/>
      <c r="G1661" s="34"/>
      <c r="H1661" s="33" t="str">
        <f t="shared" si="33"/>
        <v/>
      </c>
      <c r="I1661" s="31"/>
      <c r="J1661" s="31"/>
      <c r="K1661" s="33"/>
      <c r="W1661">
        <f>IF($A2="","",COUNTIF('07_Pallet_Contents'!$A$2:$A$3000,$A2))</f>
        <v>0</v>
      </c>
      <c r="X1661">
        <f>IF($A2="","",SUMIF('07_Pallet_Contents'!$A$2:$A$3000,$A2,'07_Pallet_Contents'!$D$2:$D$3000))</f>
        <v>0</v>
      </c>
      <c r="Y1661">
        <f>IF($A2="","",SUMIF('07_Pallet_Contents'!$A$2:$A$3000,$A2,'07_Pallet_Contents'!$I$2:$I$3000))</f>
        <v>0</v>
      </c>
      <c r="Z1661" t="str">
        <f>IF($A2="","",IF(COUNTIF('07_Pallet_Contents'!$A$2:$A$3000,$A2)&gt;0,"Yes",""))</f>
        <v/>
      </c>
    </row>
    <row r="1662" spans="2:26">
      <c r="B1662" s="31"/>
      <c r="G1662" s="34"/>
      <c r="H1662" s="33" t="str">
        <f t="shared" si="33"/>
        <v/>
      </c>
      <c r="I1662" s="31"/>
      <c r="J1662" s="31"/>
      <c r="K1662" s="33"/>
      <c r="W1662">
        <f>IF($A2="","",COUNTIF('07_Pallet_Contents'!$A$2:$A$3000,$A2))</f>
        <v>0</v>
      </c>
      <c r="X1662">
        <f>IF($A2="","",SUMIF('07_Pallet_Contents'!$A$2:$A$3000,$A2,'07_Pallet_Contents'!$D$2:$D$3000))</f>
        <v>0</v>
      </c>
      <c r="Y1662">
        <f>IF($A2="","",SUMIF('07_Pallet_Contents'!$A$2:$A$3000,$A2,'07_Pallet_Contents'!$I$2:$I$3000))</f>
        <v>0</v>
      </c>
      <c r="Z1662" t="str">
        <f>IF($A2="","",IF(COUNTIF('07_Pallet_Contents'!$A$2:$A$3000,$A2)&gt;0,"Yes",""))</f>
        <v/>
      </c>
    </row>
    <row r="1663" spans="2:26">
      <c r="B1663" s="31"/>
      <c r="G1663" s="34"/>
      <c r="H1663" s="33" t="str">
        <f t="shared" si="33"/>
        <v/>
      </c>
      <c r="I1663" s="31"/>
      <c r="J1663" s="31"/>
      <c r="K1663" s="33"/>
      <c r="W1663">
        <f>IF($A2="","",COUNTIF('07_Pallet_Contents'!$A$2:$A$3000,$A2))</f>
        <v>0</v>
      </c>
      <c r="X1663">
        <f>IF($A2="","",SUMIF('07_Pallet_Contents'!$A$2:$A$3000,$A2,'07_Pallet_Contents'!$D$2:$D$3000))</f>
        <v>0</v>
      </c>
      <c r="Y1663">
        <f>IF($A2="","",SUMIF('07_Pallet_Contents'!$A$2:$A$3000,$A2,'07_Pallet_Contents'!$I$2:$I$3000))</f>
        <v>0</v>
      </c>
      <c r="Z1663" t="str">
        <f>IF($A2="","",IF(COUNTIF('07_Pallet_Contents'!$A$2:$A$3000,$A2)&gt;0,"Yes",""))</f>
        <v/>
      </c>
    </row>
    <row r="1664" spans="2:26">
      <c r="B1664" s="31"/>
      <c r="G1664" s="34"/>
      <c r="H1664" s="33" t="str">
        <f t="shared" si="33"/>
        <v/>
      </c>
      <c r="I1664" s="31"/>
      <c r="J1664" s="31"/>
      <c r="K1664" s="33"/>
      <c r="W1664">
        <f>IF($A2="","",COUNTIF('07_Pallet_Contents'!$A$2:$A$3000,$A2))</f>
        <v>0</v>
      </c>
      <c r="X1664">
        <f>IF($A2="","",SUMIF('07_Pallet_Contents'!$A$2:$A$3000,$A2,'07_Pallet_Contents'!$D$2:$D$3000))</f>
        <v>0</v>
      </c>
      <c r="Y1664">
        <f>IF($A2="","",SUMIF('07_Pallet_Contents'!$A$2:$A$3000,$A2,'07_Pallet_Contents'!$I$2:$I$3000))</f>
        <v>0</v>
      </c>
      <c r="Z1664" t="str">
        <f>IF($A2="","",IF(COUNTIF('07_Pallet_Contents'!$A$2:$A$3000,$A2)&gt;0,"Yes",""))</f>
        <v/>
      </c>
    </row>
    <row r="1665" spans="2:26">
      <c r="B1665" s="31"/>
      <c r="G1665" s="34"/>
      <c r="H1665" s="33" t="str">
        <f t="shared" si="33"/>
        <v/>
      </c>
      <c r="I1665" s="31"/>
      <c r="J1665" s="31"/>
      <c r="K1665" s="33"/>
      <c r="W1665">
        <f>IF($A2="","",COUNTIF('07_Pallet_Contents'!$A$2:$A$3000,$A2))</f>
        <v>0</v>
      </c>
      <c r="X1665">
        <f>IF($A2="","",SUMIF('07_Pallet_Contents'!$A$2:$A$3000,$A2,'07_Pallet_Contents'!$D$2:$D$3000))</f>
        <v>0</v>
      </c>
      <c r="Y1665">
        <f>IF($A2="","",SUMIF('07_Pallet_Contents'!$A$2:$A$3000,$A2,'07_Pallet_Contents'!$I$2:$I$3000))</f>
        <v>0</v>
      </c>
      <c r="Z1665" t="str">
        <f>IF($A2="","",IF(COUNTIF('07_Pallet_Contents'!$A$2:$A$3000,$A2)&gt;0,"Yes",""))</f>
        <v/>
      </c>
    </row>
    <row r="1666" spans="2:26">
      <c r="B1666" s="31"/>
      <c r="G1666" s="34"/>
      <c r="H1666" s="33" t="str">
        <f t="shared" ref="H1666:H1729" si="34">IF(AND($F1666="TEMP",$G1666&gt;0,$M1666&lt;&gt;""),$M1666+$G1666,"")</f>
        <v/>
      </c>
      <c r="I1666" s="31"/>
      <c r="J1666" s="31"/>
      <c r="K1666" s="33"/>
      <c r="W1666">
        <f>IF($A2="","",COUNTIF('07_Pallet_Contents'!$A$2:$A$3000,$A2))</f>
        <v>0</v>
      </c>
      <c r="X1666">
        <f>IF($A2="","",SUMIF('07_Pallet_Contents'!$A$2:$A$3000,$A2,'07_Pallet_Contents'!$D$2:$D$3000))</f>
        <v>0</v>
      </c>
      <c r="Y1666">
        <f>IF($A2="","",SUMIF('07_Pallet_Contents'!$A$2:$A$3000,$A2,'07_Pallet_Contents'!$I$2:$I$3000))</f>
        <v>0</v>
      </c>
      <c r="Z1666" t="str">
        <f>IF($A2="","",IF(COUNTIF('07_Pallet_Contents'!$A$2:$A$3000,$A2)&gt;0,"Yes",""))</f>
        <v/>
      </c>
    </row>
    <row r="1667" spans="2:26">
      <c r="B1667" s="31"/>
      <c r="G1667" s="34"/>
      <c r="H1667" s="33" t="str">
        <f t="shared" si="34"/>
        <v/>
      </c>
      <c r="I1667" s="31"/>
      <c r="J1667" s="31"/>
      <c r="K1667" s="33"/>
      <c r="W1667">
        <f>IF($A2="","",COUNTIF('07_Pallet_Contents'!$A$2:$A$3000,$A2))</f>
        <v>0</v>
      </c>
      <c r="X1667">
        <f>IF($A2="","",SUMIF('07_Pallet_Contents'!$A$2:$A$3000,$A2,'07_Pallet_Contents'!$D$2:$D$3000))</f>
        <v>0</v>
      </c>
      <c r="Y1667">
        <f>IF($A2="","",SUMIF('07_Pallet_Contents'!$A$2:$A$3000,$A2,'07_Pallet_Contents'!$I$2:$I$3000))</f>
        <v>0</v>
      </c>
      <c r="Z1667" t="str">
        <f>IF($A2="","",IF(COUNTIF('07_Pallet_Contents'!$A$2:$A$3000,$A2)&gt;0,"Yes",""))</f>
        <v/>
      </c>
    </row>
    <row r="1668" spans="2:26">
      <c r="B1668" s="31"/>
      <c r="G1668" s="34"/>
      <c r="H1668" s="33" t="str">
        <f t="shared" si="34"/>
        <v/>
      </c>
      <c r="I1668" s="31"/>
      <c r="J1668" s="31"/>
      <c r="K1668" s="33"/>
      <c r="W1668">
        <f>IF($A2="","",COUNTIF('07_Pallet_Contents'!$A$2:$A$3000,$A2))</f>
        <v>0</v>
      </c>
      <c r="X1668">
        <f>IF($A2="","",SUMIF('07_Pallet_Contents'!$A$2:$A$3000,$A2,'07_Pallet_Contents'!$D$2:$D$3000))</f>
        <v>0</v>
      </c>
      <c r="Y1668">
        <f>IF($A2="","",SUMIF('07_Pallet_Contents'!$A$2:$A$3000,$A2,'07_Pallet_Contents'!$I$2:$I$3000))</f>
        <v>0</v>
      </c>
      <c r="Z1668" t="str">
        <f>IF($A2="","",IF(COUNTIF('07_Pallet_Contents'!$A$2:$A$3000,$A2)&gt;0,"Yes",""))</f>
        <v/>
      </c>
    </row>
    <row r="1669" spans="2:26">
      <c r="B1669" s="31"/>
      <c r="G1669" s="34"/>
      <c r="H1669" s="33" t="str">
        <f t="shared" si="34"/>
        <v/>
      </c>
      <c r="I1669" s="31"/>
      <c r="J1669" s="31"/>
      <c r="K1669" s="33"/>
      <c r="W1669">
        <f>IF($A2="","",COUNTIF('07_Pallet_Contents'!$A$2:$A$3000,$A2))</f>
        <v>0</v>
      </c>
      <c r="X1669">
        <f>IF($A2="","",SUMIF('07_Pallet_Contents'!$A$2:$A$3000,$A2,'07_Pallet_Contents'!$D$2:$D$3000))</f>
        <v>0</v>
      </c>
      <c r="Y1669">
        <f>IF($A2="","",SUMIF('07_Pallet_Contents'!$A$2:$A$3000,$A2,'07_Pallet_Contents'!$I$2:$I$3000))</f>
        <v>0</v>
      </c>
      <c r="Z1669" t="str">
        <f>IF($A2="","",IF(COUNTIF('07_Pallet_Contents'!$A$2:$A$3000,$A2)&gt;0,"Yes",""))</f>
        <v/>
      </c>
    </row>
    <row r="1670" spans="2:26">
      <c r="B1670" s="31"/>
      <c r="G1670" s="34"/>
      <c r="H1670" s="33" t="str">
        <f t="shared" si="34"/>
        <v/>
      </c>
      <c r="I1670" s="31"/>
      <c r="J1670" s="31"/>
      <c r="K1670" s="33"/>
      <c r="W1670">
        <f>IF($A2="","",COUNTIF('07_Pallet_Contents'!$A$2:$A$3000,$A2))</f>
        <v>0</v>
      </c>
      <c r="X1670">
        <f>IF($A2="","",SUMIF('07_Pallet_Contents'!$A$2:$A$3000,$A2,'07_Pallet_Contents'!$D$2:$D$3000))</f>
        <v>0</v>
      </c>
      <c r="Y1670">
        <f>IF($A2="","",SUMIF('07_Pallet_Contents'!$A$2:$A$3000,$A2,'07_Pallet_Contents'!$I$2:$I$3000))</f>
        <v>0</v>
      </c>
      <c r="Z1670" t="str">
        <f>IF($A2="","",IF(COUNTIF('07_Pallet_Contents'!$A$2:$A$3000,$A2)&gt;0,"Yes",""))</f>
        <v/>
      </c>
    </row>
    <row r="1671" spans="2:26">
      <c r="B1671" s="31"/>
      <c r="G1671" s="34"/>
      <c r="H1671" s="33" t="str">
        <f t="shared" si="34"/>
        <v/>
      </c>
      <c r="I1671" s="31"/>
      <c r="J1671" s="31"/>
      <c r="K1671" s="33"/>
      <c r="W1671">
        <f>IF($A2="","",COUNTIF('07_Pallet_Contents'!$A$2:$A$3000,$A2))</f>
        <v>0</v>
      </c>
      <c r="X1671">
        <f>IF($A2="","",SUMIF('07_Pallet_Contents'!$A$2:$A$3000,$A2,'07_Pallet_Contents'!$D$2:$D$3000))</f>
        <v>0</v>
      </c>
      <c r="Y1671">
        <f>IF($A2="","",SUMIF('07_Pallet_Contents'!$A$2:$A$3000,$A2,'07_Pallet_Contents'!$I$2:$I$3000))</f>
        <v>0</v>
      </c>
      <c r="Z1671" t="str">
        <f>IF($A2="","",IF(COUNTIF('07_Pallet_Contents'!$A$2:$A$3000,$A2)&gt;0,"Yes",""))</f>
        <v/>
      </c>
    </row>
    <row r="1672" spans="2:26">
      <c r="B1672" s="31"/>
      <c r="G1672" s="34"/>
      <c r="H1672" s="33" t="str">
        <f t="shared" si="34"/>
        <v/>
      </c>
      <c r="I1672" s="31"/>
      <c r="J1672" s="31"/>
      <c r="K1672" s="33"/>
      <c r="W1672">
        <f>IF($A2="","",COUNTIF('07_Pallet_Contents'!$A$2:$A$3000,$A2))</f>
        <v>0</v>
      </c>
      <c r="X1672">
        <f>IF($A2="","",SUMIF('07_Pallet_Contents'!$A$2:$A$3000,$A2,'07_Pallet_Contents'!$D$2:$D$3000))</f>
        <v>0</v>
      </c>
      <c r="Y1672">
        <f>IF($A2="","",SUMIF('07_Pallet_Contents'!$A$2:$A$3000,$A2,'07_Pallet_Contents'!$I$2:$I$3000))</f>
        <v>0</v>
      </c>
      <c r="Z1672" t="str">
        <f>IF($A2="","",IF(COUNTIF('07_Pallet_Contents'!$A$2:$A$3000,$A2)&gt;0,"Yes",""))</f>
        <v/>
      </c>
    </row>
    <row r="1673" spans="2:26">
      <c r="B1673" s="31"/>
      <c r="G1673" s="34"/>
      <c r="H1673" s="33" t="str">
        <f t="shared" si="34"/>
        <v/>
      </c>
      <c r="I1673" s="31"/>
      <c r="J1673" s="31"/>
      <c r="K1673" s="33"/>
      <c r="W1673">
        <f>IF($A2="","",COUNTIF('07_Pallet_Contents'!$A$2:$A$3000,$A2))</f>
        <v>0</v>
      </c>
      <c r="X1673">
        <f>IF($A2="","",SUMIF('07_Pallet_Contents'!$A$2:$A$3000,$A2,'07_Pallet_Contents'!$D$2:$D$3000))</f>
        <v>0</v>
      </c>
      <c r="Y1673">
        <f>IF($A2="","",SUMIF('07_Pallet_Contents'!$A$2:$A$3000,$A2,'07_Pallet_Contents'!$I$2:$I$3000))</f>
        <v>0</v>
      </c>
      <c r="Z1673" t="str">
        <f>IF($A2="","",IF(COUNTIF('07_Pallet_Contents'!$A$2:$A$3000,$A2)&gt;0,"Yes",""))</f>
        <v/>
      </c>
    </row>
    <row r="1674" spans="2:26">
      <c r="B1674" s="31"/>
      <c r="G1674" s="34"/>
      <c r="H1674" s="33" t="str">
        <f t="shared" si="34"/>
        <v/>
      </c>
      <c r="I1674" s="31"/>
      <c r="J1674" s="31"/>
      <c r="K1674" s="33"/>
      <c r="W1674">
        <f>IF($A2="","",COUNTIF('07_Pallet_Contents'!$A$2:$A$3000,$A2))</f>
        <v>0</v>
      </c>
      <c r="X1674">
        <f>IF($A2="","",SUMIF('07_Pallet_Contents'!$A$2:$A$3000,$A2,'07_Pallet_Contents'!$D$2:$D$3000))</f>
        <v>0</v>
      </c>
      <c r="Y1674">
        <f>IF($A2="","",SUMIF('07_Pallet_Contents'!$A$2:$A$3000,$A2,'07_Pallet_Contents'!$I$2:$I$3000))</f>
        <v>0</v>
      </c>
      <c r="Z1674" t="str">
        <f>IF($A2="","",IF(COUNTIF('07_Pallet_Contents'!$A$2:$A$3000,$A2)&gt;0,"Yes",""))</f>
        <v/>
      </c>
    </row>
    <row r="1675" spans="2:26">
      <c r="B1675" s="31"/>
      <c r="G1675" s="34"/>
      <c r="H1675" s="33" t="str">
        <f t="shared" si="34"/>
        <v/>
      </c>
      <c r="I1675" s="31"/>
      <c r="J1675" s="31"/>
      <c r="K1675" s="33"/>
      <c r="W1675">
        <f>IF($A2="","",COUNTIF('07_Pallet_Contents'!$A$2:$A$3000,$A2))</f>
        <v>0</v>
      </c>
      <c r="X1675">
        <f>IF($A2="","",SUMIF('07_Pallet_Contents'!$A$2:$A$3000,$A2,'07_Pallet_Contents'!$D$2:$D$3000))</f>
        <v>0</v>
      </c>
      <c r="Y1675">
        <f>IF($A2="","",SUMIF('07_Pallet_Contents'!$A$2:$A$3000,$A2,'07_Pallet_Contents'!$I$2:$I$3000))</f>
        <v>0</v>
      </c>
      <c r="Z1675" t="str">
        <f>IF($A2="","",IF(COUNTIF('07_Pallet_Contents'!$A$2:$A$3000,$A2)&gt;0,"Yes",""))</f>
        <v/>
      </c>
    </row>
    <row r="1676" spans="2:26">
      <c r="B1676" s="31"/>
      <c r="G1676" s="34"/>
      <c r="H1676" s="33" t="str">
        <f t="shared" si="34"/>
        <v/>
      </c>
      <c r="I1676" s="31"/>
      <c r="J1676" s="31"/>
      <c r="K1676" s="33"/>
      <c r="W1676">
        <f>IF($A2="","",COUNTIF('07_Pallet_Contents'!$A$2:$A$3000,$A2))</f>
        <v>0</v>
      </c>
      <c r="X1676">
        <f>IF($A2="","",SUMIF('07_Pallet_Contents'!$A$2:$A$3000,$A2,'07_Pallet_Contents'!$D$2:$D$3000))</f>
        <v>0</v>
      </c>
      <c r="Y1676">
        <f>IF($A2="","",SUMIF('07_Pallet_Contents'!$A$2:$A$3000,$A2,'07_Pallet_Contents'!$I$2:$I$3000))</f>
        <v>0</v>
      </c>
      <c r="Z1676" t="str">
        <f>IF($A2="","",IF(COUNTIF('07_Pallet_Contents'!$A$2:$A$3000,$A2)&gt;0,"Yes",""))</f>
        <v/>
      </c>
    </row>
    <row r="1677" spans="2:26">
      <c r="B1677" s="31"/>
      <c r="G1677" s="34"/>
      <c r="H1677" s="33" t="str">
        <f t="shared" si="34"/>
        <v/>
      </c>
      <c r="I1677" s="31"/>
      <c r="J1677" s="31"/>
      <c r="K1677" s="33"/>
      <c r="W1677">
        <f>IF($A2="","",COUNTIF('07_Pallet_Contents'!$A$2:$A$3000,$A2))</f>
        <v>0</v>
      </c>
      <c r="X1677">
        <f>IF($A2="","",SUMIF('07_Pallet_Contents'!$A$2:$A$3000,$A2,'07_Pallet_Contents'!$D$2:$D$3000))</f>
        <v>0</v>
      </c>
      <c r="Y1677">
        <f>IF($A2="","",SUMIF('07_Pallet_Contents'!$A$2:$A$3000,$A2,'07_Pallet_Contents'!$I$2:$I$3000))</f>
        <v>0</v>
      </c>
      <c r="Z1677" t="str">
        <f>IF($A2="","",IF(COUNTIF('07_Pallet_Contents'!$A$2:$A$3000,$A2)&gt;0,"Yes",""))</f>
        <v/>
      </c>
    </row>
    <row r="1678" spans="2:26">
      <c r="B1678" s="31"/>
      <c r="G1678" s="34"/>
      <c r="H1678" s="33" t="str">
        <f t="shared" si="34"/>
        <v/>
      </c>
      <c r="I1678" s="31"/>
      <c r="J1678" s="31"/>
      <c r="K1678" s="33"/>
      <c r="W1678">
        <f>IF($A2="","",COUNTIF('07_Pallet_Contents'!$A$2:$A$3000,$A2))</f>
        <v>0</v>
      </c>
      <c r="X1678">
        <f>IF($A2="","",SUMIF('07_Pallet_Contents'!$A$2:$A$3000,$A2,'07_Pallet_Contents'!$D$2:$D$3000))</f>
        <v>0</v>
      </c>
      <c r="Y1678">
        <f>IF($A2="","",SUMIF('07_Pallet_Contents'!$A$2:$A$3000,$A2,'07_Pallet_Contents'!$I$2:$I$3000))</f>
        <v>0</v>
      </c>
      <c r="Z1678" t="str">
        <f>IF($A2="","",IF(COUNTIF('07_Pallet_Contents'!$A$2:$A$3000,$A2)&gt;0,"Yes",""))</f>
        <v/>
      </c>
    </row>
    <row r="1679" spans="2:26">
      <c r="B1679" s="31"/>
      <c r="G1679" s="34"/>
      <c r="H1679" s="33" t="str">
        <f t="shared" si="34"/>
        <v/>
      </c>
      <c r="I1679" s="31"/>
      <c r="J1679" s="31"/>
      <c r="K1679" s="33"/>
      <c r="W1679">
        <f>IF($A2="","",COUNTIF('07_Pallet_Contents'!$A$2:$A$3000,$A2))</f>
        <v>0</v>
      </c>
      <c r="X1679">
        <f>IF($A2="","",SUMIF('07_Pallet_Contents'!$A$2:$A$3000,$A2,'07_Pallet_Contents'!$D$2:$D$3000))</f>
        <v>0</v>
      </c>
      <c r="Y1679">
        <f>IF($A2="","",SUMIF('07_Pallet_Contents'!$A$2:$A$3000,$A2,'07_Pallet_Contents'!$I$2:$I$3000))</f>
        <v>0</v>
      </c>
      <c r="Z1679" t="str">
        <f>IF($A2="","",IF(COUNTIF('07_Pallet_Contents'!$A$2:$A$3000,$A2)&gt;0,"Yes",""))</f>
        <v/>
      </c>
    </row>
    <row r="1680" spans="2:26">
      <c r="B1680" s="31"/>
      <c r="G1680" s="34"/>
      <c r="H1680" s="33" t="str">
        <f t="shared" si="34"/>
        <v/>
      </c>
      <c r="I1680" s="31"/>
      <c r="J1680" s="31"/>
      <c r="K1680" s="33"/>
      <c r="W1680">
        <f>IF($A2="","",COUNTIF('07_Pallet_Contents'!$A$2:$A$3000,$A2))</f>
        <v>0</v>
      </c>
      <c r="X1680">
        <f>IF($A2="","",SUMIF('07_Pallet_Contents'!$A$2:$A$3000,$A2,'07_Pallet_Contents'!$D$2:$D$3000))</f>
        <v>0</v>
      </c>
      <c r="Y1680">
        <f>IF($A2="","",SUMIF('07_Pallet_Contents'!$A$2:$A$3000,$A2,'07_Pallet_Contents'!$I$2:$I$3000))</f>
        <v>0</v>
      </c>
      <c r="Z1680" t="str">
        <f>IF($A2="","",IF(COUNTIF('07_Pallet_Contents'!$A$2:$A$3000,$A2)&gt;0,"Yes",""))</f>
        <v/>
      </c>
    </row>
    <row r="1681" spans="2:26">
      <c r="B1681" s="31"/>
      <c r="G1681" s="34"/>
      <c r="H1681" s="33" t="str">
        <f t="shared" si="34"/>
        <v/>
      </c>
      <c r="I1681" s="31"/>
      <c r="J1681" s="31"/>
      <c r="K1681" s="33"/>
      <c r="W1681">
        <f>IF($A2="","",COUNTIF('07_Pallet_Contents'!$A$2:$A$3000,$A2))</f>
        <v>0</v>
      </c>
      <c r="X1681">
        <f>IF($A2="","",SUMIF('07_Pallet_Contents'!$A$2:$A$3000,$A2,'07_Pallet_Contents'!$D$2:$D$3000))</f>
        <v>0</v>
      </c>
      <c r="Y1681">
        <f>IF($A2="","",SUMIF('07_Pallet_Contents'!$A$2:$A$3000,$A2,'07_Pallet_Contents'!$I$2:$I$3000))</f>
        <v>0</v>
      </c>
      <c r="Z1681" t="str">
        <f>IF($A2="","",IF(COUNTIF('07_Pallet_Contents'!$A$2:$A$3000,$A2)&gt;0,"Yes",""))</f>
        <v/>
      </c>
    </row>
    <row r="1682" spans="2:26">
      <c r="B1682" s="31"/>
      <c r="G1682" s="34"/>
      <c r="H1682" s="33" t="str">
        <f t="shared" si="34"/>
        <v/>
      </c>
      <c r="I1682" s="31"/>
      <c r="J1682" s="31"/>
      <c r="K1682" s="33"/>
      <c r="W1682">
        <f>IF($A2="","",COUNTIF('07_Pallet_Contents'!$A$2:$A$3000,$A2))</f>
        <v>0</v>
      </c>
      <c r="X1682">
        <f>IF($A2="","",SUMIF('07_Pallet_Contents'!$A$2:$A$3000,$A2,'07_Pallet_Contents'!$D$2:$D$3000))</f>
        <v>0</v>
      </c>
      <c r="Y1682">
        <f>IF($A2="","",SUMIF('07_Pallet_Contents'!$A$2:$A$3000,$A2,'07_Pallet_Contents'!$I$2:$I$3000))</f>
        <v>0</v>
      </c>
      <c r="Z1682" t="str">
        <f>IF($A2="","",IF(COUNTIF('07_Pallet_Contents'!$A$2:$A$3000,$A2)&gt;0,"Yes",""))</f>
        <v/>
      </c>
    </row>
    <row r="1683" spans="2:26">
      <c r="B1683" s="31"/>
      <c r="G1683" s="34"/>
      <c r="H1683" s="33" t="str">
        <f t="shared" si="34"/>
        <v/>
      </c>
      <c r="I1683" s="31"/>
      <c r="J1683" s="31"/>
      <c r="K1683" s="33"/>
      <c r="W1683">
        <f>IF($A2="","",COUNTIF('07_Pallet_Contents'!$A$2:$A$3000,$A2))</f>
        <v>0</v>
      </c>
      <c r="X1683">
        <f>IF($A2="","",SUMIF('07_Pallet_Contents'!$A$2:$A$3000,$A2,'07_Pallet_Contents'!$D$2:$D$3000))</f>
        <v>0</v>
      </c>
      <c r="Y1683">
        <f>IF($A2="","",SUMIF('07_Pallet_Contents'!$A$2:$A$3000,$A2,'07_Pallet_Contents'!$I$2:$I$3000))</f>
        <v>0</v>
      </c>
      <c r="Z1683" t="str">
        <f>IF($A2="","",IF(COUNTIF('07_Pallet_Contents'!$A$2:$A$3000,$A2)&gt;0,"Yes",""))</f>
        <v/>
      </c>
    </row>
    <row r="1684" spans="2:26">
      <c r="B1684" s="31"/>
      <c r="G1684" s="34"/>
      <c r="H1684" s="33" t="str">
        <f t="shared" si="34"/>
        <v/>
      </c>
      <c r="I1684" s="31"/>
      <c r="J1684" s="31"/>
      <c r="K1684" s="33"/>
      <c r="W1684">
        <f>IF($A2="","",COUNTIF('07_Pallet_Contents'!$A$2:$A$3000,$A2))</f>
        <v>0</v>
      </c>
      <c r="X1684">
        <f>IF($A2="","",SUMIF('07_Pallet_Contents'!$A$2:$A$3000,$A2,'07_Pallet_Contents'!$D$2:$D$3000))</f>
        <v>0</v>
      </c>
      <c r="Y1684">
        <f>IF($A2="","",SUMIF('07_Pallet_Contents'!$A$2:$A$3000,$A2,'07_Pallet_Contents'!$I$2:$I$3000))</f>
        <v>0</v>
      </c>
      <c r="Z1684" t="str">
        <f>IF($A2="","",IF(COUNTIF('07_Pallet_Contents'!$A$2:$A$3000,$A2)&gt;0,"Yes",""))</f>
        <v/>
      </c>
    </row>
    <row r="1685" spans="2:26">
      <c r="B1685" s="31"/>
      <c r="G1685" s="34"/>
      <c r="H1685" s="33" t="str">
        <f t="shared" si="34"/>
        <v/>
      </c>
      <c r="I1685" s="31"/>
      <c r="J1685" s="31"/>
      <c r="K1685" s="33"/>
      <c r="W1685">
        <f>IF($A2="","",COUNTIF('07_Pallet_Contents'!$A$2:$A$3000,$A2))</f>
        <v>0</v>
      </c>
      <c r="X1685">
        <f>IF($A2="","",SUMIF('07_Pallet_Contents'!$A$2:$A$3000,$A2,'07_Pallet_Contents'!$D$2:$D$3000))</f>
        <v>0</v>
      </c>
      <c r="Y1685">
        <f>IF($A2="","",SUMIF('07_Pallet_Contents'!$A$2:$A$3000,$A2,'07_Pallet_Contents'!$I$2:$I$3000))</f>
        <v>0</v>
      </c>
      <c r="Z1685" t="str">
        <f>IF($A2="","",IF(COUNTIF('07_Pallet_Contents'!$A$2:$A$3000,$A2)&gt;0,"Yes",""))</f>
        <v/>
      </c>
    </row>
    <row r="1686" spans="2:26">
      <c r="B1686" s="31"/>
      <c r="G1686" s="34"/>
      <c r="H1686" s="33" t="str">
        <f t="shared" si="34"/>
        <v/>
      </c>
      <c r="I1686" s="31"/>
      <c r="J1686" s="31"/>
      <c r="K1686" s="33"/>
      <c r="W1686">
        <f>IF($A2="","",COUNTIF('07_Pallet_Contents'!$A$2:$A$3000,$A2))</f>
        <v>0</v>
      </c>
      <c r="X1686">
        <f>IF($A2="","",SUMIF('07_Pallet_Contents'!$A$2:$A$3000,$A2,'07_Pallet_Contents'!$D$2:$D$3000))</f>
        <v>0</v>
      </c>
      <c r="Y1686">
        <f>IF($A2="","",SUMIF('07_Pallet_Contents'!$A$2:$A$3000,$A2,'07_Pallet_Contents'!$I$2:$I$3000))</f>
        <v>0</v>
      </c>
      <c r="Z1686" t="str">
        <f>IF($A2="","",IF(COUNTIF('07_Pallet_Contents'!$A$2:$A$3000,$A2)&gt;0,"Yes",""))</f>
        <v/>
      </c>
    </row>
    <row r="1687" spans="2:26">
      <c r="B1687" s="31"/>
      <c r="G1687" s="34"/>
      <c r="H1687" s="33" t="str">
        <f t="shared" si="34"/>
        <v/>
      </c>
      <c r="I1687" s="31"/>
      <c r="J1687" s="31"/>
      <c r="K1687" s="33"/>
      <c r="W1687">
        <f>IF($A2="","",COUNTIF('07_Pallet_Contents'!$A$2:$A$3000,$A2))</f>
        <v>0</v>
      </c>
      <c r="X1687">
        <f>IF($A2="","",SUMIF('07_Pallet_Contents'!$A$2:$A$3000,$A2,'07_Pallet_Contents'!$D$2:$D$3000))</f>
        <v>0</v>
      </c>
      <c r="Y1687">
        <f>IF($A2="","",SUMIF('07_Pallet_Contents'!$A$2:$A$3000,$A2,'07_Pallet_Contents'!$I$2:$I$3000))</f>
        <v>0</v>
      </c>
      <c r="Z1687" t="str">
        <f>IF($A2="","",IF(COUNTIF('07_Pallet_Contents'!$A$2:$A$3000,$A2)&gt;0,"Yes",""))</f>
        <v/>
      </c>
    </row>
    <row r="1688" spans="2:26">
      <c r="B1688" s="31"/>
      <c r="G1688" s="34"/>
      <c r="H1688" s="33" t="str">
        <f t="shared" si="34"/>
        <v/>
      </c>
      <c r="I1688" s="31"/>
      <c r="J1688" s="31"/>
      <c r="K1688" s="33"/>
      <c r="W1688">
        <f>IF($A2="","",COUNTIF('07_Pallet_Contents'!$A$2:$A$3000,$A2))</f>
        <v>0</v>
      </c>
      <c r="X1688">
        <f>IF($A2="","",SUMIF('07_Pallet_Contents'!$A$2:$A$3000,$A2,'07_Pallet_Contents'!$D$2:$D$3000))</f>
        <v>0</v>
      </c>
      <c r="Y1688">
        <f>IF($A2="","",SUMIF('07_Pallet_Contents'!$A$2:$A$3000,$A2,'07_Pallet_Contents'!$I$2:$I$3000))</f>
        <v>0</v>
      </c>
      <c r="Z1688" t="str">
        <f>IF($A2="","",IF(COUNTIF('07_Pallet_Contents'!$A$2:$A$3000,$A2)&gt;0,"Yes",""))</f>
        <v/>
      </c>
    </row>
    <row r="1689" spans="2:26">
      <c r="B1689" s="31"/>
      <c r="G1689" s="34"/>
      <c r="H1689" s="33" t="str">
        <f t="shared" si="34"/>
        <v/>
      </c>
      <c r="I1689" s="31"/>
      <c r="J1689" s="31"/>
      <c r="K1689" s="33"/>
      <c r="W1689">
        <f>IF($A2="","",COUNTIF('07_Pallet_Contents'!$A$2:$A$3000,$A2))</f>
        <v>0</v>
      </c>
      <c r="X1689">
        <f>IF($A2="","",SUMIF('07_Pallet_Contents'!$A$2:$A$3000,$A2,'07_Pallet_Contents'!$D$2:$D$3000))</f>
        <v>0</v>
      </c>
      <c r="Y1689">
        <f>IF($A2="","",SUMIF('07_Pallet_Contents'!$A$2:$A$3000,$A2,'07_Pallet_Contents'!$I$2:$I$3000))</f>
        <v>0</v>
      </c>
      <c r="Z1689" t="str">
        <f>IF($A2="","",IF(COUNTIF('07_Pallet_Contents'!$A$2:$A$3000,$A2)&gt;0,"Yes",""))</f>
        <v/>
      </c>
    </row>
    <row r="1690" spans="2:26">
      <c r="B1690" s="31"/>
      <c r="G1690" s="34"/>
      <c r="H1690" s="33" t="str">
        <f t="shared" si="34"/>
        <v/>
      </c>
      <c r="I1690" s="31"/>
      <c r="J1690" s="31"/>
      <c r="K1690" s="33"/>
      <c r="W1690">
        <f>IF($A2="","",COUNTIF('07_Pallet_Contents'!$A$2:$A$3000,$A2))</f>
        <v>0</v>
      </c>
      <c r="X1690">
        <f>IF($A2="","",SUMIF('07_Pallet_Contents'!$A$2:$A$3000,$A2,'07_Pallet_Contents'!$D$2:$D$3000))</f>
        <v>0</v>
      </c>
      <c r="Y1690">
        <f>IF($A2="","",SUMIF('07_Pallet_Contents'!$A$2:$A$3000,$A2,'07_Pallet_Contents'!$I$2:$I$3000))</f>
        <v>0</v>
      </c>
      <c r="Z1690" t="str">
        <f>IF($A2="","",IF(COUNTIF('07_Pallet_Contents'!$A$2:$A$3000,$A2)&gt;0,"Yes",""))</f>
        <v/>
      </c>
    </row>
    <row r="1691" spans="2:26">
      <c r="B1691" s="31"/>
      <c r="G1691" s="34"/>
      <c r="H1691" s="33" t="str">
        <f t="shared" si="34"/>
        <v/>
      </c>
      <c r="I1691" s="31"/>
      <c r="J1691" s="31"/>
      <c r="K1691" s="33"/>
      <c r="W1691">
        <f>IF($A2="","",COUNTIF('07_Pallet_Contents'!$A$2:$A$3000,$A2))</f>
        <v>0</v>
      </c>
      <c r="X1691">
        <f>IF($A2="","",SUMIF('07_Pallet_Contents'!$A$2:$A$3000,$A2,'07_Pallet_Contents'!$D$2:$D$3000))</f>
        <v>0</v>
      </c>
      <c r="Y1691">
        <f>IF($A2="","",SUMIF('07_Pallet_Contents'!$A$2:$A$3000,$A2,'07_Pallet_Contents'!$I$2:$I$3000))</f>
        <v>0</v>
      </c>
      <c r="Z1691" t="str">
        <f>IF($A2="","",IF(COUNTIF('07_Pallet_Contents'!$A$2:$A$3000,$A2)&gt;0,"Yes",""))</f>
        <v/>
      </c>
    </row>
    <row r="1692" spans="2:26">
      <c r="B1692" s="31"/>
      <c r="G1692" s="34"/>
      <c r="H1692" s="33" t="str">
        <f t="shared" si="34"/>
        <v/>
      </c>
      <c r="I1692" s="31"/>
      <c r="J1692" s="31"/>
      <c r="K1692" s="33"/>
      <c r="W1692">
        <f>IF($A2="","",COUNTIF('07_Pallet_Contents'!$A$2:$A$3000,$A2))</f>
        <v>0</v>
      </c>
      <c r="X1692">
        <f>IF($A2="","",SUMIF('07_Pallet_Contents'!$A$2:$A$3000,$A2,'07_Pallet_Contents'!$D$2:$D$3000))</f>
        <v>0</v>
      </c>
      <c r="Y1692">
        <f>IF($A2="","",SUMIF('07_Pallet_Contents'!$A$2:$A$3000,$A2,'07_Pallet_Contents'!$I$2:$I$3000))</f>
        <v>0</v>
      </c>
      <c r="Z1692" t="str">
        <f>IF($A2="","",IF(COUNTIF('07_Pallet_Contents'!$A$2:$A$3000,$A2)&gt;0,"Yes",""))</f>
        <v/>
      </c>
    </row>
    <row r="1693" spans="2:26">
      <c r="B1693" s="31"/>
      <c r="G1693" s="34"/>
      <c r="H1693" s="33" t="str">
        <f t="shared" si="34"/>
        <v/>
      </c>
      <c r="I1693" s="31"/>
      <c r="J1693" s="31"/>
      <c r="K1693" s="33"/>
      <c r="W1693">
        <f>IF($A2="","",COUNTIF('07_Pallet_Contents'!$A$2:$A$3000,$A2))</f>
        <v>0</v>
      </c>
      <c r="X1693">
        <f>IF($A2="","",SUMIF('07_Pallet_Contents'!$A$2:$A$3000,$A2,'07_Pallet_Contents'!$D$2:$D$3000))</f>
        <v>0</v>
      </c>
      <c r="Y1693">
        <f>IF($A2="","",SUMIF('07_Pallet_Contents'!$A$2:$A$3000,$A2,'07_Pallet_Contents'!$I$2:$I$3000))</f>
        <v>0</v>
      </c>
      <c r="Z1693" t="str">
        <f>IF($A2="","",IF(COUNTIF('07_Pallet_Contents'!$A$2:$A$3000,$A2)&gt;0,"Yes",""))</f>
        <v/>
      </c>
    </row>
    <row r="1694" spans="2:26">
      <c r="B1694" s="31"/>
      <c r="G1694" s="34"/>
      <c r="H1694" s="33" t="str">
        <f t="shared" si="34"/>
        <v/>
      </c>
      <c r="I1694" s="31"/>
      <c r="J1694" s="31"/>
      <c r="K1694" s="33"/>
      <c r="W1694">
        <f>IF($A2="","",COUNTIF('07_Pallet_Contents'!$A$2:$A$3000,$A2))</f>
        <v>0</v>
      </c>
      <c r="X1694">
        <f>IF($A2="","",SUMIF('07_Pallet_Contents'!$A$2:$A$3000,$A2,'07_Pallet_Contents'!$D$2:$D$3000))</f>
        <v>0</v>
      </c>
      <c r="Y1694">
        <f>IF($A2="","",SUMIF('07_Pallet_Contents'!$A$2:$A$3000,$A2,'07_Pallet_Contents'!$I$2:$I$3000))</f>
        <v>0</v>
      </c>
      <c r="Z1694" t="str">
        <f>IF($A2="","",IF(COUNTIF('07_Pallet_Contents'!$A$2:$A$3000,$A2)&gt;0,"Yes",""))</f>
        <v/>
      </c>
    </row>
    <row r="1695" spans="2:26">
      <c r="B1695" s="31"/>
      <c r="G1695" s="34"/>
      <c r="H1695" s="33" t="str">
        <f t="shared" si="34"/>
        <v/>
      </c>
      <c r="I1695" s="31"/>
      <c r="J1695" s="31"/>
      <c r="K1695" s="33"/>
      <c r="W1695">
        <f>IF($A2="","",COUNTIF('07_Pallet_Contents'!$A$2:$A$3000,$A2))</f>
        <v>0</v>
      </c>
      <c r="X1695">
        <f>IF($A2="","",SUMIF('07_Pallet_Contents'!$A$2:$A$3000,$A2,'07_Pallet_Contents'!$D$2:$D$3000))</f>
        <v>0</v>
      </c>
      <c r="Y1695">
        <f>IF($A2="","",SUMIF('07_Pallet_Contents'!$A$2:$A$3000,$A2,'07_Pallet_Contents'!$I$2:$I$3000))</f>
        <v>0</v>
      </c>
      <c r="Z1695" t="str">
        <f>IF($A2="","",IF(COUNTIF('07_Pallet_Contents'!$A$2:$A$3000,$A2)&gt;0,"Yes",""))</f>
        <v/>
      </c>
    </row>
    <row r="1696" spans="2:26">
      <c r="B1696" s="31"/>
      <c r="G1696" s="34"/>
      <c r="H1696" s="33" t="str">
        <f t="shared" si="34"/>
        <v/>
      </c>
      <c r="I1696" s="31"/>
      <c r="J1696" s="31"/>
      <c r="K1696" s="33"/>
      <c r="W1696">
        <f>IF($A2="","",COUNTIF('07_Pallet_Contents'!$A$2:$A$3000,$A2))</f>
        <v>0</v>
      </c>
      <c r="X1696">
        <f>IF($A2="","",SUMIF('07_Pallet_Contents'!$A$2:$A$3000,$A2,'07_Pallet_Contents'!$D$2:$D$3000))</f>
        <v>0</v>
      </c>
      <c r="Y1696">
        <f>IF($A2="","",SUMIF('07_Pallet_Contents'!$A$2:$A$3000,$A2,'07_Pallet_Contents'!$I$2:$I$3000))</f>
        <v>0</v>
      </c>
      <c r="Z1696" t="str">
        <f>IF($A2="","",IF(COUNTIF('07_Pallet_Contents'!$A$2:$A$3000,$A2)&gt;0,"Yes",""))</f>
        <v/>
      </c>
    </row>
    <row r="1697" spans="2:26">
      <c r="B1697" s="31"/>
      <c r="G1697" s="34"/>
      <c r="H1697" s="33" t="str">
        <f t="shared" si="34"/>
        <v/>
      </c>
      <c r="I1697" s="31"/>
      <c r="J1697" s="31"/>
      <c r="K1697" s="33"/>
      <c r="W1697">
        <f>IF($A2="","",COUNTIF('07_Pallet_Contents'!$A$2:$A$3000,$A2))</f>
        <v>0</v>
      </c>
      <c r="X1697">
        <f>IF($A2="","",SUMIF('07_Pallet_Contents'!$A$2:$A$3000,$A2,'07_Pallet_Contents'!$D$2:$D$3000))</f>
        <v>0</v>
      </c>
      <c r="Y1697">
        <f>IF($A2="","",SUMIF('07_Pallet_Contents'!$A$2:$A$3000,$A2,'07_Pallet_Contents'!$I$2:$I$3000))</f>
        <v>0</v>
      </c>
      <c r="Z1697" t="str">
        <f>IF($A2="","",IF(COUNTIF('07_Pallet_Contents'!$A$2:$A$3000,$A2)&gt;0,"Yes",""))</f>
        <v/>
      </c>
    </row>
    <row r="1698" spans="2:26">
      <c r="B1698" s="31"/>
      <c r="G1698" s="34"/>
      <c r="H1698" s="33" t="str">
        <f t="shared" si="34"/>
        <v/>
      </c>
      <c r="I1698" s="31"/>
      <c r="J1698" s="31"/>
      <c r="K1698" s="33"/>
      <c r="W1698">
        <f>IF($A2="","",COUNTIF('07_Pallet_Contents'!$A$2:$A$3000,$A2))</f>
        <v>0</v>
      </c>
      <c r="X1698">
        <f>IF($A2="","",SUMIF('07_Pallet_Contents'!$A$2:$A$3000,$A2,'07_Pallet_Contents'!$D$2:$D$3000))</f>
        <v>0</v>
      </c>
      <c r="Y1698">
        <f>IF($A2="","",SUMIF('07_Pallet_Contents'!$A$2:$A$3000,$A2,'07_Pallet_Contents'!$I$2:$I$3000))</f>
        <v>0</v>
      </c>
      <c r="Z1698" t="str">
        <f>IF($A2="","",IF(COUNTIF('07_Pallet_Contents'!$A$2:$A$3000,$A2)&gt;0,"Yes",""))</f>
        <v/>
      </c>
    </row>
    <row r="1699" spans="2:26">
      <c r="B1699" s="31"/>
      <c r="G1699" s="34"/>
      <c r="H1699" s="33" t="str">
        <f t="shared" si="34"/>
        <v/>
      </c>
      <c r="I1699" s="31"/>
      <c r="J1699" s="31"/>
      <c r="K1699" s="33"/>
      <c r="W1699">
        <f>IF($A2="","",COUNTIF('07_Pallet_Contents'!$A$2:$A$3000,$A2))</f>
        <v>0</v>
      </c>
      <c r="X1699">
        <f>IF($A2="","",SUMIF('07_Pallet_Contents'!$A$2:$A$3000,$A2,'07_Pallet_Contents'!$D$2:$D$3000))</f>
        <v>0</v>
      </c>
      <c r="Y1699">
        <f>IF($A2="","",SUMIF('07_Pallet_Contents'!$A$2:$A$3000,$A2,'07_Pallet_Contents'!$I$2:$I$3000))</f>
        <v>0</v>
      </c>
      <c r="Z1699" t="str">
        <f>IF($A2="","",IF(COUNTIF('07_Pallet_Contents'!$A$2:$A$3000,$A2)&gt;0,"Yes",""))</f>
        <v/>
      </c>
    </row>
    <row r="1700" spans="2:26">
      <c r="B1700" s="31"/>
      <c r="G1700" s="34"/>
      <c r="H1700" s="33" t="str">
        <f t="shared" si="34"/>
        <v/>
      </c>
      <c r="I1700" s="31"/>
      <c r="J1700" s="31"/>
      <c r="K1700" s="33"/>
      <c r="W1700">
        <f>IF($A2="","",COUNTIF('07_Pallet_Contents'!$A$2:$A$3000,$A2))</f>
        <v>0</v>
      </c>
      <c r="X1700">
        <f>IF($A2="","",SUMIF('07_Pallet_Contents'!$A$2:$A$3000,$A2,'07_Pallet_Contents'!$D$2:$D$3000))</f>
        <v>0</v>
      </c>
      <c r="Y1700">
        <f>IF($A2="","",SUMIF('07_Pallet_Contents'!$A$2:$A$3000,$A2,'07_Pallet_Contents'!$I$2:$I$3000))</f>
        <v>0</v>
      </c>
      <c r="Z1700" t="str">
        <f>IF($A2="","",IF(COUNTIF('07_Pallet_Contents'!$A$2:$A$3000,$A2)&gt;0,"Yes",""))</f>
        <v/>
      </c>
    </row>
    <row r="1701" spans="2:26">
      <c r="B1701" s="31"/>
      <c r="G1701" s="34"/>
      <c r="H1701" s="33" t="str">
        <f t="shared" si="34"/>
        <v/>
      </c>
      <c r="I1701" s="31"/>
      <c r="J1701" s="31"/>
      <c r="K1701" s="33"/>
      <c r="W1701">
        <f>IF($A2="","",COUNTIF('07_Pallet_Contents'!$A$2:$A$3000,$A2))</f>
        <v>0</v>
      </c>
      <c r="X1701">
        <f>IF($A2="","",SUMIF('07_Pallet_Contents'!$A$2:$A$3000,$A2,'07_Pallet_Contents'!$D$2:$D$3000))</f>
        <v>0</v>
      </c>
      <c r="Y1701">
        <f>IF($A2="","",SUMIF('07_Pallet_Contents'!$A$2:$A$3000,$A2,'07_Pallet_Contents'!$I$2:$I$3000))</f>
        <v>0</v>
      </c>
      <c r="Z1701" t="str">
        <f>IF($A2="","",IF(COUNTIF('07_Pallet_Contents'!$A$2:$A$3000,$A2)&gt;0,"Yes",""))</f>
        <v/>
      </c>
    </row>
    <row r="1702" spans="2:26">
      <c r="B1702" s="31"/>
      <c r="G1702" s="34"/>
      <c r="H1702" s="33" t="str">
        <f t="shared" si="34"/>
        <v/>
      </c>
      <c r="I1702" s="31"/>
      <c r="J1702" s="31"/>
      <c r="K1702" s="33"/>
      <c r="W1702">
        <f>IF($A2="","",COUNTIF('07_Pallet_Contents'!$A$2:$A$3000,$A2))</f>
        <v>0</v>
      </c>
      <c r="X1702">
        <f>IF($A2="","",SUMIF('07_Pallet_Contents'!$A$2:$A$3000,$A2,'07_Pallet_Contents'!$D$2:$D$3000))</f>
        <v>0</v>
      </c>
      <c r="Y1702">
        <f>IF($A2="","",SUMIF('07_Pallet_Contents'!$A$2:$A$3000,$A2,'07_Pallet_Contents'!$I$2:$I$3000))</f>
        <v>0</v>
      </c>
      <c r="Z1702" t="str">
        <f>IF($A2="","",IF(COUNTIF('07_Pallet_Contents'!$A$2:$A$3000,$A2)&gt;0,"Yes",""))</f>
        <v/>
      </c>
    </row>
    <row r="1703" spans="2:26">
      <c r="B1703" s="31"/>
      <c r="G1703" s="34"/>
      <c r="H1703" s="33" t="str">
        <f t="shared" si="34"/>
        <v/>
      </c>
      <c r="I1703" s="31"/>
      <c r="J1703" s="31"/>
      <c r="K1703" s="33"/>
      <c r="W1703">
        <f>IF($A2="","",COUNTIF('07_Pallet_Contents'!$A$2:$A$3000,$A2))</f>
        <v>0</v>
      </c>
      <c r="X1703">
        <f>IF($A2="","",SUMIF('07_Pallet_Contents'!$A$2:$A$3000,$A2,'07_Pallet_Contents'!$D$2:$D$3000))</f>
        <v>0</v>
      </c>
      <c r="Y1703">
        <f>IF($A2="","",SUMIF('07_Pallet_Contents'!$A$2:$A$3000,$A2,'07_Pallet_Contents'!$I$2:$I$3000))</f>
        <v>0</v>
      </c>
      <c r="Z1703" t="str">
        <f>IF($A2="","",IF(COUNTIF('07_Pallet_Contents'!$A$2:$A$3000,$A2)&gt;0,"Yes",""))</f>
        <v/>
      </c>
    </row>
    <row r="1704" spans="2:26">
      <c r="B1704" s="31"/>
      <c r="G1704" s="34"/>
      <c r="H1704" s="33" t="str">
        <f t="shared" si="34"/>
        <v/>
      </c>
      <c r="I1704" s="31"/>
      <c r="J1704" s="31"/>
      <c r="K1704" s="33"/>
      <c r="W1704">
        <f>IF($A2="","",COUNTIF('07_Pallet_Contents'!$A$2:$A$3000,$A2))</f>
        <v>0</v>
      </c>
      <c r="X1704">
        <f>IF($A2="","",SUMIF('07_Pallet_Contents'!$A$2:$A$3000,$A2,'07_Pallet_Contents'!$D$2:$D$3000))</f>
        <v>0</v>
      </c>
      <c r="Y1704">
        <f>IF($A2="","",SUMIF('07_Pallet_Contents'!$A$2:$A$3000,$A2,'07_Pallet_Contents'!$I$2:$I$3000))</f>
        <v>0</v>
      </c>
      <c r="Z1704" t="str">
        <f>IF($A2="","",IF(COUNTIF('07_Pallet_Contents'!$A$2:$A$3000,$A2)&gt;0,"Yes",""))</f>
        <v/>
      </c>
    </row>
    <row r="1705" spans="2:26">
      <c r="B1705" s="31"/>
      <c r="G1705" s="34"/>
      <c r="H1705" s="33" t="str">
        <f t="shared" si="34"/>
        <v/>
      </c>
      <c r="I1705" s="31"/>
      <c r="J1705" s="31"/>
      <c r="K1705" s="33"/>
      <c r="W1705">
        <f>IF($A2="","",COUNTIF('07_Pallet_Contents'!$A$2:$A$3000,$A2))</f>
        <v>0</v>
      </c>
      <c r="X1705">
        <f>IF($A2="","",SUMIF('07_Pallet_Contents'!$A$2:$A$3000,$A2,'07_Pallet_Contents'!$D$2:$D$3000))</f>
        <v>0</v>
      </c>
      <c r="Y1705">
        <f>IF($A2="","",SUMIF('07_Pallet_Contents'!$A$2:$A$3000,$A2,'07_Pallet_Contents'!$I$2:$I$3000))</f>
        <v>0</v>
      </c>
      <c r="Z1705" t="str">
        <f>IF($A2="","",IF(COUNTIF('07_Pallet_Contents'!$A$2:$A$3000,$A2)&gt;0,"Yes",""))</f>
        <v/>
      </c>
    </row>
    <row r="1706" spans="2:26">
      <c r="B1706" s="31"/>
      <c r="G1706" s="34"/>
      <c r="H1706" s="33" t="str">
        <f t="shared" si="34"/>
        <v/>
      </c>
      <c r="I1706" s="31"/>
      <c r="J1706" s="31"/>
      <c r="K1706" s="33"/>
      <c r="W1706">
        <f>IF($A2="","",COUNTIF('07_Pallet_Contents'!$A$2:$A$3000,$A2))</f>
        <v>0</v>
      </c>
      <c r="X1706">
        <f>IF($A2="","",SUMIF('07_Pallet_Contents'!$A$2:$A$3000,$A2,'07_Pallet_Contents'!$D$2:$D$3000))</f>
        <v>0</v>
      </c>
      <c r="Y1706">
        <f>IF($A2="","",SUMIF('07_Pallet_Contents'!$A$2:$A$3000,$A2,'07_Pallet_Contents'!$I$2:$I$3000))</f>
        <v>0</v>
      </c>
      <c r="Z1706" t="str">
        <f>IF($A2="","",IF(COUNTIF('07_Pallet_Contents'!$A$2:$A$3000,$A2)&gt;0,"Yes",""))</f>
        <v/>
      </c>
    </row>
    <row r="1707" spans="2:26">
      <c r="B1707" s="31"/>
      <c r="G1707" s="34"/>
      <c r="H1707" s="33" t="str">
        <f t="shared" si="34"/>
        <v/>
      </c>
      <c r="I1707" s="31"/>
      <c r="J1707" s="31"/>
      <c r="K1707" s="33"/>
      <c r="W1707">
        <f>IF($A2="","",COUNTIF('07_Pallet_Contents'!$A$2:$A$3000,$A2))</f>
        <v>0</v>
      </c>
      <c r="X1707">
        <f>IF($A2="","",SUMIF('07_Pallet_Contents'!$A$2:$A$3000,$A2,'07_Pallet_Contents'!$D$2:$D$3000))</f>
        <v>0</v>
      </c>
      <c r="Y1707">
        <f>IF($A2="","",SUMIF('07_Pallet_Contents'!$A$2:$A$3000,$A2,'07_Pallet_Contents'!$I$2:$I$3000))</f>
        <v>0</v>
      </c>
      <c r="Z1707" t="str">
        <f>IF($A2="","",IF(COUNTIF('07_Pallet_Contents'!$A$2:$A$3000,$A2)&gt;0,"Yes",""))</f>
        <v/>
      </c>
    </row>
    <row r="1708" spans="2:26">
      <c r="B1708" s="31"/>
      <c r="G1708" s="34"/>
      <c r="H1708" s="33" t="str">
        <f t="shared" si="34"/>
        <v/>
      </c>
      <c r="I1708" s="31"/>
      <c r="J1708" s="31"/>
      <c r="K1708" s="33"/>
      <c r="W1708">
        <f>IF($A2="","",COUNTIF('07_Pallet_Contents'!$A$2:$A$3000,$A2))</f>
        <v>0</v>
      </c>
      <c r="X1708">
        <f>IF($A2="","",SUMIF('07_Pallet_Contents'!$A$2:$A$3000,$A2,'07_Pallet_Contents'!$D$2:$D$3000))</f>
        <v>0</v>
      </c>
      <c r="Y1708">
        <f>IF($A2="","",SUMIF('07_Pallet_Contents'!$A$2:$A$3000,$A2,'07_Pallet_Contents'!$I$2:$I$3000))</f>
        <v>0</v>
      </c>
      <c r="Z1708" t="str">
        <f>IF($A2="","",IF(COUNTIF('07_Pallet_Contents'!$A$2:$A$3000,$A2)&gt;0,"Yes",""))</f>
        <v/>
      </c>
    </row>
    <row r="1709" spans="2:26">
      <c r="B1709" s="31"/>
      <c r="G1709" s="34"/>
      <c r="H1709" s="33" t="str">
        <f t="shared" si="34"/>
        <v/>
      </c>
      <c r="I1709" s="31"/>
      <c r="J1709" s="31"/>
      <c r="K1709" s="33"/>
      <c r="W1709">
        <f>IF($A2="","",COUNTIF('07_Pallet_Contents'!$A$2:$A$3000,$A2))</f>
        <v>0</v>
      </c>
      <c r="X1709">
        <f>IF($A2="","",SUMIF('07_Pallet_Contents'!$A$2:$A$3000,$A2,'07_Pallet_Contents'!$D$2:$D$3000))</f>
        <v>0</v>
      </c>
      <c r="Y1709">
        <f>IF($A2="","",SUMIF('07_Pallet_Contents'!$A$2:$A$3000,$A2,'07_Pallet_Contents'!$I$2:$I$3000))</f>
        <v>0</v>
      </c>
      <c r="Z1709" t="str">
        <f>IF($A2="","",IF(COUNTIF('07_Pallet_Contents'!$A$2:$A$3000,$A2)&gt;0,"Yes",""))</f>
        <v/>
      </c>
    </row>
    <row r="1710" spans="2:26">
      <c r="B1710" s="31"/>
      <c r="G1710" s="34"/>
      <c r="H1710" s="33" t="str">
        <f t="shared" si="34"/>
        <v/>
      </c>
      <c r="I1710" s="31"/>
      <c r="J1710" s="31"/>
      <c r="K1710" s="33"/>
      <c r="W1710">
        <f>IF($A2="","",COUNTIF('07_Pallet_Contents'!$A$2:$A$3000,$A2))</f>
        <v>0</v>
      </c>
      <c r="X1710">
        <f>IF($A2="","",SUMIF('07_Pallet_Contents'!$A$2:$A$3000,$A2,'07_Pallet_Contents'!$D$2:$D$3000))</f>
        <v>0</v>
      </c>
      <c r="Y1710">
        <f>IF($A2="","",SUMIF('07_Pallet_Contents'!$A$2:$A$3000,$A2,'07_Pallet_Contents'!$I$2:$I$3000))</f>
        <v>0</v>
      </c>
      <c r="Z1710" t="str">
        <f>IF($A2="","",IF(COUNTIF('07_Pallet_Contents'!$A$2:$A$3000,$A2)&gt;0,"Yes",""))</f>
        <v/>
      </c>
    </row>
    <row r="1711" spans="2:26">
      <c r="B1711" s="31"/>
      <c r="G1711" s="34"/>
      <c r="H1711" s="33" t="str">
        <f t="shared" si="34"/>
        <v/>
      </c>
      <c r="I1711" s="31"/>
      <c r="J1711" s="31"/>
      <c r="K1711" s="33"/>
      <c r="W1711">
        <f>IF($A2="","",COUNTIF('07_Pallet_Contents'!$A$2:$A$3000,$A2))</f>
        <v>0</v>
      </c>
      <c r="X1711">
        <f>IF($A2="","",SUMIF('07_Pallet_Contents'!$A$2:$A$3000,$A2,'07_Pallet_Contents'!$D$2:$D$3000))</f>
        <v>0</v>
      </c>
      <c r="Y1711">
        <f>IF($A2="","",SUMIF('07_Pallet_Contents'!$A$2:$A$3000,$A2,'07_Pallet_Contents'!$I$2:$I$3000))</f>
        <v>0</v>
      </c>
      <c r="Z1711" t="str">
        <f>IF($A2="","",IF(COUNTIF('07_Pallet_Contents'!$A$2:$A$3000,$A2)&gt;0,"Yes",""))</f>
        <v/>
      </c>
    </row>
    <row r="1712" spans="2:26">
      <c r="B1712" s="31"/>
      <c r="G1712" s="34"/>
      <c r="H1712" s="33" t="str">
        <f t="shared" si="34"/>
        <v/>
      </c>
      <c r="I1712" s="31"/>
      <c r="J1712" s="31"/>
      <c r="K1712" s="33"/>
      <c r="W1712">
        <f>IF($A2="","",COUNTIF('07_Pallet_Contents'!$A$2:$A$3000,$A2))</f>
        <v>0</v>
      </c>
      <c r="X1712">
        <f>IF($A2="","",SUMIF('07_Pallet_Contents'!$A$2:$A$3000,$A2,'07_Pallet_Contents'!$D$2:$D$3000))</f>
        <v>0</v>
      </c>
      <c r="Y1712">
        <f>IF($A2="","",SUMIF('07_Pallet_Contents'!$A$2:$A$3000,$A2,'07_Pallet_Contents'!$I$2:$I$3000))</f>
        <v>0</v>
      </c>
      <c r="Z1712" t="str">
        <f>IF($A2="","",IF(COUNTIF('07_Pallet_Contents'!$A$2:$A$3000,$A2)&gt;0,"Yes",""))</f>
        <v/>
      </c>
    </row>
    <row r="1713" spans="2:26">
      <c r="B1713" s="31"/>
      <c r="G1713" s="34"/>
      <c r="H1713" s="33" t="str">
        <f t="shared" si="34"/>
        <v/>
      </c>
      <c r="I1713" s="31"/>
      <c r="J1713" s="31"/>
      <c r="K1713" s="33"/>
      <c r="W1713">
        <f>IF($A2="","",COUNTIF('07_Pallet_Contents'!$A$2:$A$3000,$A2))</f>
        <v>0</v>
      </c>
      <c r="X1713">
        <f>IF($A2="","",SUMIF('07_Pallet_Contents'!$A$2:$A$3000,$A2,'07_Pallet_Contents'!$D$2:$D$3000))</f>
        <v>0</v>
      </c>
      <c r="Y1713">
        <f>IF($A2="","",SUMIF('07_Pallet_Contents'!$A$2:$A$3000,$A2,'07_Pallet_Contents'!$I$2:$I$3000))</f>
        <v>0</v>
      </c>
      <c r="Z1713" t="str">
        <f>IF($A2="","",IF(COUNTIF('07_Pallet_Contents'!$A$2:$A$3000,$A2)&gt;0,"Yes",""))</f>
        <v/>
      </c>
    </row>
    <row r="1714" spans="2:26">
      <c r="B1714" s="31"/>
      <c r="G1714" s="34"/>
      <c r="H1714" s="33" t="str">
        <f t="shared" si="34"/>
        <v/>
      </c>
      <c r="I1714" s="31"/>
      <c r="J1714" s="31"/>
      <c r="K1714" s="33"/>
      <c r="W1714">
        <f>IF($A2="","",COUNTIF('07_Pallet_Contents'!$A$2:$A$3000,$A2))</f>
        <v>0</v>
      </c>
      <c r="X1714">
        <f>IF($A2="","",SUMIF('07_Pallet_Contents'!$A$2:$A$3000,$A2,'07_Pallet_Contents'!$D$2:$D$3000))</f>
        <v>0</v>
      </c>
      <c r="Y1714">
        <f>IF($A2="","",SUMIF('07_Pallet_Contents'!$A$2:$A$3000,$A2,'07_Pallet_Contents'!$I$2:$I$3000))</f>
        <v>0</v>
      </c>
      <c r="Z1714" t="str">
        <f>IF($A2="","",IF(COUNTIF('07_Pallet_Contents'!$A$2:$A$3000,$A2)&gt;0,"Yes",""))</f>
        <v/>
      </c>
    </row>
    <row r="1715" spans="2:26">
      <c r="B1715" s="31"/>
      <c r="G1715" s="34"/>
      <c r="H1715" s="33" t="str">
        <f t="shared" si="34"/>
        <v/>
      </c>
      <c r="I1715" s="31"/>
      <c r="J1715" s="31"/>
      <c r="K1715" s="33"/>
      <c r="W1715">
        <f>IF($A2="","",COUNTIF('07_Pallet_Contents'!$A$2:$A$3000,$A2))</f>
        <v>0</v>
      </c>
      <c r="X1715">
        <f>IF($A2="","",SUMIF('07_Pallet_Contents'!$A$2:$A$3000,$A2,'07_Pallet_Contents'!$D$2:$D$3000))</f>
        <v>0</v>
      </c>
      <c r="Y1715">
        <f>IF($A2="","",SUMIF('07_Pallet_Contents'!$A$2:$A$3000,$A2,'07_Pallet_Contents'!$I$2:$I$3000))</f>
        <v>0</v>
      </c>
      <c r="Z1715" t="str">
        <f>IF($A2="","",IF(COUNTIF('07_Pallet_Contents'!$A$2:$A$3000,$A2)&gt;0,"Yes",""))</f>
        <v/>
      </c>
    </row>
    <row r="1716" spans="2:26">
      <c r="B1716" s="31"/>
      <c r="G1716" s="34"/>
      <c r="H1716" s="33" t="str">
        <f t="shared" si="34"/>
        <v/>
      </c>
      <c r="I1716" s="31"/>
      <c r="J1716" s="31"/>
      <c r="K1716" s="33"/>
      <c r="W1716">
        <f>IF($A2="","",COUNTIF('07_Pallet_Contents'!$A$2:$A$3000,$A2))</f>
        <v>0</v>
      </c>
      <c r="X1716">
        <f>IF($A2="","",SUMIF('07_Pallet_Contents'!$A$2:$A$3000,$A2,'07_Pallet_Contents'!$D$2:$D$3000))</f>
        <v>0</v>
      </c>
      <c r="Y1716">
        <f>IF($A2="","",SUMIF('07_Pallet_Contents'!$A$2:$A$3000,$A2,'07_Pallet_Contents'!$I$2:$I$3000))</f>
        <v>0</v>
      </c>
      <c r="Z1716" t="str">
        <f>IF($A2="","",IF(COUNTIF('07_Pallet_Contents'!$A$2:$A$3000,$A2)&gt;0,"Yes",""))</f>
        <v/>
      </c>
    </row>
    <row r="1717" spans="2:26">
      <c r="B1717" s="31"/>
      <c r="G1717" s="34"/>
      <c r="H1717" s="33" t="str">
        <f t="shared" si="34"/>
        <v/>
      </c>
      <c r="I1717" s="31"/>
      <c r="J1717" s="31"/>
      <c r="K1717" s="33"/>
      <c r="W1717">
        <f>IF($A2="","",COUNTIF('07_Pallet_Contents'!$A$2:$A$3000,$A2))</f>
        <v>0</v>
      </c>
      <c r="X1717">
        <f>IF($A2="","",SUMIF('07_Pallet_Contents'!$A$2:$A$3000,$A2,'07_Pallet_Contents'!$D$2:$D$3000))</f>
        <v>0</v>
      </c>
      <c r="Y1717">
        <f>IF($A2="","",SUMIF('07_Pallet_Contents'!$A$2:$A$3000,$A2,'07_Pallet_Contents'!$I$2:$I$3000))</f>
        <v>0</v>
      </c>
      <c r="Z1717" t="str">
        <f>IF($A2="","",IF(COUNTIF('07_Pallet_Contents'!$A$2:$A$3000,$A2)&gt;0,"Yes",""))</f>
        <v/>
      </c>
    </row>
    <row r="1718" spans="2:26">
      <c r="B1718" s="31"/>
      <c r="G1718" s="34"/>
      <c r="H1718" s="33" t="str">
        <f t="shared" si="34"/>
        <v/>
      </c>
      <c r="I1718" s="31"/>
      <c r="J1718" s="31"/>
      <c r="K1718" s="33"/>
      <c r="W1718">
        <f>IF($A2="","",COUNTIF('07_Pallet_Contents'!$A$2:$A$3000,$A2))</f>
        <v>0</v>
      </c>
      <c r="X1718">
        <f>IF($A2="","",SUMIF('07_Pallet_Contents'!$A$2:$A$3000,$A2,'07_Pallet_Contents'!$D$2:$D$3000))</f>
        <v>0</v>
      </c>
      <c r="Y1718">
        <f>IF($A2="","",SUMIF('07_Pallet_Contents'!$A$2:$A$3000,$A2,'07_Pallet_Contents'!$I$2:$I$3000))</f>
        <v>0</v>
      </c>
      <c r="Z1718" t="str">
        <f>IF($A2="","",IF(COUNTIF('07_Pallet_Contents'!$A$2:$A$3000,$A2)&gt;0,"Yes",""))</f>
        <v/>
      </c>
    </row>
    <row r="1719" spans="2:26">
      <c r="B1719" s="31"/>
      <c r="G1719" s="34"/>
      <c r="H1719" s="33" t="str">
        <f t="shared" si="34"/>
        <v/>
      </c>
      <c r="I1719" s="31"/>
      <c r="J1719" s="31"/>
      <c r="K1719" s="33"/>
      <c r="W1719">
        <f>IF($A2="","",COUNTIF('07_Pallet_Contents'!$A$2:$A$3000,$A2))</f>
        <v>0</v>
      </c>
      <c r="X1719">
        <f>IF($A2="","",SUMIF('07_Pallet_Contents'!$A$2:$A$3000,$A2,'07_Pallet_Contents'!$D$2:$D$3000))</f>
        <v>0</v>
      </c>
      <c r="Y1719">
        <f>IF($A2="","",SUMIF('07_Pallet_Contents'!$A$2:$A$3000,$A2,'07_Pallet_Contents'!$I$2:$I$3000))</f>
        <v>0</v>
      </c>
      <c r="Z1719" t="str">
        <f>IF($A2="","",IF(COUNTIF('07_Pallet_Contents'!$A$2:$A$3000,$A2)&gt;0,"Yes",""))</f>
        <v/>
      </c>
    </row>
    <row r="1720" spans="2:26">
      <c r="B1720" s="31"/>
      <c r="G1720" s="34"/>
      <c r="H1720" s="33" t="str">
        <f t="shared" si="34"/>
        <v/>
      </c>
      <c r="I1720" s="31"/>
      <c r="J1720" s="31"/>
      <c r="K1720" s="33"/>
      <c r="W1720">
        <f>IF($A2="","",COUNTIF('07_Pallet_Contents'!$A$2:$A$3000,$A2))</f>
        <v>0</v>
      </c>
      <c r="X1720">
        <f>IF($A2="","",SUMIF('07_Pallet_Contents'!$A$2:$A$3000,$A2,'07_Pallet_Contents'!$D$2:$D$3000))</f>
        <v>0</v>
      </c>
      <c r="Y1720">
        <f>IF($A2="","",SUMIF('07_Pallet_Contents'!$A$2:$A$3000,$A2,'07_Pallet_Contents'!$I$2:$I$3000))</f>
        <v>0</v>
      </c>
      <c r="Z1720" t="str">
        <f>IF($A2="","",IF(COUNTIF('07_Pallet_Contents'!$A$2:$A$3000,$A2)&gt;0,"Yes",""))</f>
        <v/>
      </c>
    </row>
    <row r="1721" spans="2:26">
      <c r="B1721" s="31"/>
      <c r="G1721" s="34"/>
      <c r="H1721" s="33" t="str">
        <f t="shared" si="34"/>
        <v/>
      </c>
      <c r="I1721" s="31"/>
      <c r="J1721" s="31"/>
      <c r="K1721" s="33"/>
      <c r="W1721">
        <f>IF($A2="","",COUNTIF('07_Pallet_Contents'!$A$2:$A$3000,$A2))</f>
        <v>0</v>
      </c>
      <c r="X1721">
        <f>IF($A2="","",SUMIF('07_Pallet_Contents'!$A$2:$A$3000,$A2,'07_Pallet_Contents'!$D$2:$D$3000))</f>
        <v>0</v>
      </c>
      <c r="Y1721">
        <f>IF($A2="","",SUMIF('07_Pallet_Contents'!$A$2:$A$3000,$A2,'07_Pallet_Contents'!$I$2:$I$3000))</f>
        <v>0</v>
      </c>
      <c r="Z1721" t="str">
        <f>IF($A2="","",IF(COUNTIF('07_Pallet_Contents'!$A$2:$A$3000,$A2)&gt;0,"Yes",""))</f>
        <v/>
      </c>
    </row>
    <row r="1722" spans="2:26">
      <c r="B1722" s="31"/>
      <c r="G1722" s="34"/>
      <c r="H1722" s="33" t="str">
        <f t="shared" si="34"/>
        <v/>
      </c>
      <c r="I1722" s="31"/>
      <c r="J1722" s="31"/>
      <c r="K1722" s="33"/>
      <c r="W1722">
        <f>IF($A2="","",COUNTIF('07_Pallet_Contents'!$A$2:$A$3000,$A2))</f>
        <v>0</v>
      </c>
      <c r="X1722">
        <f>IF($A2="","",SUMIF('07_Pallet_Contents'!$A$2:$A$3000,$A2,'07_Pallet_Contents'!$D$2:$D$3000))</f>
        <v>0</v>
      </c>
      <c r="Y1722">
        <f>IF($A2="","",SUMIF('07_Pallet_Contents'!$A$2:$A$3000,$A2,'07_Pallet_Contents'!$I$2:$I$3000))</f>
        <v>0</v>
      </c>
      <c r="Z1722" t="str">
        <f>IF($A2="","",IF(COUNTIF('07_Pallet_Contents'!$A$2:$A$3000,$A2)&gt;0,"Yes",""))</f>
        <v/>
      </c>
    </row>
    <row r="1723" spans="2:26">
      <c r="B1723" s="31"/>
      <c r="G1723" s="34"/>
      <c r="H1723" s="33" t="str">
        <f t="shared" si="34"/>
        <v/>
      </c>
      <c r="I1723" s="31"/>
      <c r="J1723" s="31"/>
      <c r="K1723" s="33"/>
      <c r="W1723">
        <f>IF($A2="","",COUNTIF('07_Pallet_Contents'!$A$2:$A$3000,$A2))</f>
        <v>0</v>
      </c>
      <c r="X1723">
        <f>IF($A2="","",SUMIF('07_Pallet_Contents'!$A$2:$A$3000,$A2,'07_Pallet_Contents'!$D$2:$D$3000))</f>
        <v>0</v>
      </c>
      <c r="Y1723">
        <f>IF($A2="","",SUMIF('07_Pallet_Contents'!$A$2:$A$3000,$A2,'07_Pallet_Contents'!$I$2:$I$3000))</f>
        <v>0</v>
      </c>
      <c r="Z1723" t="str">
        <f>IF($A2="","",IF(COUNTIF('07_Pallet_Contents'!$A$2:$A$3000,$A2)&gt;0,"Yes",""))</f>
        <v/>
      </c>
    </row>
    <row r="1724" spans="2:26">
      <c r="B1724" s="31"/>
      <c r="G1724" s="34"/>
      <c r="H1724" s="33" t="str">
        <f t="shared" si="34"/>
        <v/>
      </c>
      <c r="I1724" s="31"/>
      <c r="J1724" s="31"/>
      <c r="K1724" s="33"/>
      <c r="W1724">
        <f>IF($A2="","",COUNTIF('07_Pallet_Contents'!$A$2:$A$3000,$A2))</f>
        <v>0</v>
      </c>
      <c r="X1724">
        <f>IF($A2="","",SUMIF('07_Pallet_Contents'!$A$2:$A$3000,$A2,'07_Pallet_Contents'!$D$2:$D$3000))</f>
        <v>0</v>
      </c>
      <c r="Y1724">
        <f>IF($A2="","",SUMIF('07_Pallet_Contents'!$A$2:$A$3000,$A2,'07_Pallet_Contents'!$I$2:$I$3000))</f>
        <v>0</v>
      </c>
      <c r="Z1724" t="str">
        <f>IF($A2="","",IF(COUNTIF('07_Pallet_Contents'!$A$2:$A$3000,$A2)&gt;0,"Yes",""))</f>
        <v/>
      </c>
    </row>
    <row r="1725" spans="2:26">
      <c r="B1725" s="31"/>
      <c r="G1725" s="34"/>
      <c r="H1725" s="33" t="str">
        <f t="shared" si="34"/>
        <v/>
      </c>
      <c r="I1725" s="31"/>
      <c r="J1725" s="31"/>
      <c r="K1725" s="33"/>
      <c r="W1725">
        <f>IF($A2="","",COUNTIF('07_Pallet_Contents'!$A$2:$A$3000,$A2))</f>
        <v>0</v>
      </c>
      <c r="X1725">
        <f>IF($A2="","",SUMIF('07_Pallet_Contents'!$A$2:$A$3000,$A2,'07_Pallet_Contents'!$D$2:$D$3000))</f>
        <v>0</v>
      </c>
      <c r="Y1725">
        <f>IF($A2="","",SUMIF('07_Pallet_Contents'!$A$2:$A$3000,$A2,'07_Pallet_Contents'!$I$2:$I$3000))</f>
        <v>0</v>
      </c>
      <c r="Z1725" t="str">
        <f>IF($A2="","",IF(COUNTIF('07_Pallet_Contents'!$A$2:$A$3000,$A2)&gt;0,"Yes",""))</f>
        <v/>
      </c>
    </row>
    <row r="1726" spans="2:26">
      <c r="B1726" s="31"/>
      <c r="G1726" s="34"/>
      <c r="H1726" s="33" t="str">
        <f t="shared" si="34"/>
        <v/>
      </c>
      <c r="I1726" s="31"/>
      <c r="J1726" s="31"/>
      <c r="K1726" s="33"/>
      <c r="W1726">
        <f>IF($A2="","",COUNTIF('07_Pallet_Contents'!$A$2:$A$3000,$A2))</f>
        <v>0</v>
      </c>
      <c r="X1726">
        <f>IF($A2="","",SUMIF('07_Pallet_Contents'!$A$2:$A$3000,$A2,'07_Pallet_Contents'!$D$2:$D$3000))</f>
        <v>0</v>
      </c>
      <c r="Y1726">
        <f>IF($A2="","",SUMIF('07_Pallet_Contents'!$A$2:$A$3000,$A2,'07_Pallet_Contents'!$I$2:$I$3000))</f>
        <v>0</v>
      </c>
      <c r="Z1726" t="str">
        <f>IF($A2="","",IF(COUNTIF('07_Pallet_Contents'!$A$2:$A$3000,$A2)&gt;0,"Yes",""))</f>
        <v/>
      </c>
    </row>
    <row r="1727" spans="2:26">
      <c r="B1727" s="31"/>
      <c r="G1727" s="34"/>
      <c r="H1727" s="33" t="str">
        <f t="shared" si="34"/>
        <v/>
      </c>
      <c r="I1727" s="31"/>
      <c r="J1727" s="31"/>
      <c r="K1727" s="33"/>
      <c r="W1727">
        <f>IF($A2="","",COUNTIF('07_Pallet_Contents'!$A$2:$A$3000,$A2))</f>
        <v>0</v>
      </c>
      <c r="X1727">
        <f>IF($A2="","",SUMIF('07_Pallet_Contents'!$A$2:$A$3000,$A2,'07_Pallet_Contents'!$D$2:$D$3000))</f>
        <v>0</v>
      </c>
      <c r="Y1727">
        <f>IF($A2="","",SUMIF('07_Pallet_Contents'!$A$2:$A$3000,$A2,'07_Pallet_Contents'!$I$2:$I$3000))</f>
        <v>0</v>
      </c>
      <c r="Z1727" t="str">
        <f>IF($A2="","",IF(COUNTIF('07_Pallet_Contents'!$A$2:$A$3000,$A2)&gt;0,"Yes",""))</f>
        <v/>
      </c>
    </row>
    <row r="1728" spans="2:26">
      <c r="B1728" s="31"/>
      <c r="G1728" s="34"/>
      <c r="H1728" s="33" t="str">
        <f t="shared" si="34"/>
        <v/>
      </c>
      <c r="I1728" s="31"/>
      <c r="J1728" s="31"/>
      <c r="K1728" s="33"/>
      <c r="W1728">
        <f>IF($A2="","",COUNTIF('07_Pallet_Contents'!$A$2:$A$3000,$A2))</f>
        <v>0</v>
      </c>
      <c r="X1728">
        <f>IF($A2="","",SUMIF('07_Pallet_Contents'!$A$2:$A$3000,$A2,'07_Pallet_Contents'!$D$2:$D$3000))</f>
        <v>0</v>
      </c>
      <c r="Y1728">
        <f>IF($A2="","",SUMIF('07_Pallet_Contents'!$A$2:$A$3000,$A2,'07_Pallet_Contents'!$I$2:$I$3000))</f>
        <v>0</v>
      </c>
      <c r="Z1728" t="str">
        <f>IF($A2="","",IF(COUNTIF('07_Pallet_Contents'!$A$2:$A$3000,$A2)&gt;0,"Yes",""))</f>
        <v/>
      </c>
    </row>
    <row r="1729" spans="2:26">
      <c r="B1729" s="31"/>
      <c r="G1729" s="34"/>
      <c r="H1729" s="33" t="str">
        <f t="shared" si="34"/>
        <v/>
      </c>
      <c r="I1729" s="31"/>
      <c r="J1729" s="31"/>
      <c r="K1729" s="33"/>
      <c r="W1729">
        <f>IF($A2="","",COUNTIF('07_Pallet_Contents'!$A$2:$A$3000,$A2))</f>
        <v>0</v>
      </c>
      <c r="X1729">
        <f>IF($A2="","",SUMIF('07_Pallet_Contents'!$A$2:$A$3000,$A2,'07_Pallet_Contents'!$D$2:$D$3000))</f>
        <v>0</v>
      </c>
      <c r="Y1729">
        <f>IF($A2="","",SUMIF('07_Pallet_Contents'!$A$2:$A$3000,$A2,'07_Pallet_Contents'!$I$2:$I$3000))</f>
        <v>0</v>
      </c>
      <c r="Z1729" t="str">
        <f>IF($A2="","",IF(COUNTIF('07_Pallet_Contents'!$A$2:$A$3000,$A2)&gt;0,"Yes",""))</f>
        <v/>
      </c>
    </row>
    <row r="1730" spans="2:26">
      <c r="B1730" s="31"/>
      <c r="G1730" s="34"/>
      <c r="H1730" s="33" t="str">
        <f t="shared" ref="H1730:H1793" si="35">IF(AND($F1730="TEMP",$G1730&gt;0,$M1730&lt;&gt;""),$M1730+$G1730,"")</f>
        <v/>
      </c>
      <c r="I1730" s="31"/>
      <c r="J1730" s="31"/>
      <c r="K1730" s="33"/>
      <c r="W1730">
        <f>IF($A2="","",COUNTIF('07_Pallet_Contents'!$A$2:$A$3000,$A2))</f>
        <v>0</v>
      </c>
      <c r="X1730">
        <f>IF($A2="","",SUMIF('07_Pallet_Contents'!$A$2:$A$3000,$A2,'07_Pallet_Contents'!$D$2:$D$3000))</f>
        <v>0</v>
      </c>
      <c r="Y1730">
        <f>IF($A2="","",SUMIF('07_Pallet_Contents'!$A$2:$A$3000,$A2,'07_Pallet_Contents'!$I$2:$I$3000))</f>
        <v>0</v>
      </c>
      <c r="Z1730" t="str">
        <f>IF($A2="","",IF(COUNTIF('07_Pallet_Contents'!$A$2:$A$3000,$A2)&gt;0,"Yes",""))</f>
        <v/>
      </c>
    </row>
    <row r="1731" spans="2:26">
      <c r="B1731" s="31"/>
      <c r="G1731" s="34"/>
      <c r="H1731" s="33" t="str">
        <f t="shared" si="35"/>
        <v/>
      </c>
      <c r="I1731" s="31"/>
      <c r="J1731" s="31"/>
      <c r="K1731" s="33"/>
      <c r="W1731">
        <f>IF($A2="","",COUNTIF('07_Pallet_Contents'!$A$2:$A$3000,$A2))</f>
        <v>0</v>
      </c>
      <c r="X1731">
        <f>IF($A2="","",SUMIF('07_Pallet_Contents'!$A$2:$A$3000,$A2,'07_Pallet_Contents'!$D$2:$D$3000))</f>
        <v>0</v>
      </c>
      <c r="Y1731">
        <f>IF($A2="","",SUMIF('07_Pallet_Contents'!$A$2:$A$3000,$A2,'07_Pallet_Contents'!$I$2:$I$3000))</f>
        <v>0</v>
      </c>
      <c r="Z1731" t="str">
        <f>IF($A2="","",IF(COUNTIF('07_Pallet_Contents'!$A$2:$A$3000,$A2)&gt;0,"Yes",""))</f>
        <v/>
      </c>
    </row>
    <row r="1732" spans="2:26">
      <c r="B1732" s="31"/>
      <c r="G1732" s="34"/>
      <c r="H1732" s="33" t="str">
        <f t="shared" si="35"/>
        <v/>
      </c>
      <c r="I1732" s="31"/>
      <c r="J1732" s="31"/>
      <c r="K1732" s="33"/>
      <c r="W1732">
        <f>IF($A2="","",COUNTIF('07_Pallet_Contents'!$A$2:$A$3000,$A2))</f>
        <v>0</v>
      </c>
      <c r="X1732">
        <f>IF($A2="","",SUMIF('07_Pallet_Contents'!$A$2:$A$3000,$A2,'07_Pallet_Contents'!$D$2:$D$3000))</f>
        <v>0</v>
      </c>
      <c r="Y1732">
        <f>IF($A2="","",SUMIF('07_Pallet_Contents'!$A$2:$A$3000,$A2,'07_Pallet_Contents'!$I$2:$I$3000))</f>
        <v>0</v>
      </c>
      <c r="Z1732" t="str">
        <f>IF($A2="","",IF(COUNTIF('07_Pallet_Contents'!$A$2:$A$3000,$A2)&gt;0,"Yes",""))</f>
        <v/>
      </c>
    </row>
    <row r="1733" spans="2:26">
      <c r="B1733" s="31"/>
      <c r="G1733" s="34"/>
      <c r="H1733" s="33" t="str">
        <f t="shared" si="35"/>
        <v/>
      </c>
      <c r="I1733" s="31"/>
      <c r="J1733" s="31"/>
      <c r="K1733" s="33"/>
      <c r="W1733">
        <f>IF($A2="","",COUNTIF('07_Pallet_Contents'!$A$2:$A$3000,$A2))</f>
        <v>0</v>
      </c>
      <c r="X1733">
        <f>IF($A2="","",SUMIF('07_Pallet_Contents'!$A$2:$A$3000,$A2,'07_Pallet_Contents'!$D$2:$D$3000))</f>
        <v>0</v>
      </c>
      <c r="Y1733">
        <f>IF($A2="","",SUMIF('07_Pallet_Contents'!$A$2:$A$3000,$A2,'07_Pallet_Contents'!$I$2:$I$3000))</f>
        <v>0</v>
      </c>
      <c r="Z1733" t="str">
        <f>IF($A2="","",IF(COUNTIF('07_Pallet_Contents'!$A$2:$A$3000,$A2)&gt;0,"Yes",""))</f>
        <v/>
      </c>
    </row>
    <row r="1734" spans="2:26">
      <c r="B1734" s="31"/>
      <c r="G1734" s="34"/>
      <c r="H1734" s="33" t="str">
        <f t="shared" si="35"/>
        <v/>
      </c>
      <c r="I1734" s="31"/>
      <c r="J1734" s="31"/>
      <c r="K1734" s="33"/>
      <c r="W1734">
        <f>IF($A2="","",COUNTIF('07_Pallet_Contents'!$A$2:$A$3000,$A2))</f>
        <v>0</v>
      </c>
      <c r="X1734">
        <f>IF($A2="","",SUMIF('07_Pallet_Contents'!$A$2:$A$3000,$A2,'07_Pallet_Contents'!$D$2:$D$3000))</f>
        <v>0</v>
      </c>
      <c r="Y1734">
        <f>IF($A2="","",SUMIF('07_Pallet_Contents'!$A$2:$A$3000,$A2,'07_Pallet_Contents'!$I$2:$I$3000))</f>
        <v>0</v>
      </c>
      <c r="Z1734" t="str">
        <f>IF($A2="","",IF(COUNTIF('07_Pallet_Contents'!$A$2:$A$3000,$A2)&gt;0,"Yes",""))</f>
        <v/>
      </c>
    </row>
    <row r="1735" spans="2:26">
      <c r="B1735" s="31"/>
      <c r="G1735" s="34"/>
      <c r="H1735" s="33" t="str">
        <f t="shared" si="35"/>
        <v/>
      </c>
      <c r="I1735" s="31"/>
      <c r="J1735" s="31"/>
      <c r="K1735" s="33"/>
      <c r="W1735">
        <f>IF($A2="","",COUNTIF('07_Pallet_Contents'!$A$2:$A$3000,$A2))</f>
        <v>0</v>
      </c>
      <c r="X1735">
        <f>IF($A2="","",SUMIF('07_Pallet_Contents'!$A$2:$A$3000,$A2,'07_Pallet_Contents'!$D$2:$D$3000))</f>
        <v>0</v>
      </c>
      <c r="Y1735">
        <f>IF($A2="","",SUMIF('07_Pallet_Contents'!$A$2:$A$3000,$A2,'07_Pallet_Contents'!$I$2:$I$3000))</f>
        <v>0</v>
      </c>
      <c r="Z1735" t="str">
        <f>IF($A2="","",IF(COUNTIF('07_Pallet_Contents'!$A$2:$A$3000,$A2)&gt;0,"Yes",""))</f>
        <v/>
      </c>
    </row>
    <row r="1736" spans="2:26">
      <c r="B1736" s="31"/>
      <c r="G1736" s="34"/>
      <c r="H1736" s="33" t="str">
        <f t="shared" si="35"/>
        <v/>
      </c>
      <c r="I1736" s="31"/>
      <c r="J1736" s="31"/>
      <c r="K1736" s="33"/>
      <c r="W1736">
        <f>IF($A2="","",COUNTIF('07_Pallet_Contents'!$A$2:$A$3000,$A2))</f>
        <v>0</v>
      </c>
      <c r="X1736">
        <f>IF($A2="","",SUMIF('07_Pallet_Contents'!$A$2:$A$3000,$A2,'07_Pallet_Contents'!$D$2:$D$3000))</f>
        <v>0</v>
      </c>
      <c r="Y1736">
        <f>IF($A2="","",SUMIF('07_Pallet_Contents'!$A$2:$A$3000,$A2,'07_Pallet_Contents'!$I$2:$I$3000))</f>
        <v>0</v>
      </c>
      <c r="Z1736" t="str">
        <f>IF($A2="","",IF(COUNTIF('07_Pallet_Contents'!$A$2:$A$3000,$A2)&gt;0,"Yes",""))</f>
        <v/>
      </c>
    </row>
    <row r="1737" spans="2:26">
      <c r="B1737" s="31"/>
      <c r="G1737" s="34"/>
      <c r="H1737" s="33" t="str">
        <f t="shared" si="35"/>
        <v/>
      </c>
      <c r="I1737" s="31"/>
      <c r="J1737" s="31"/>
      <c r="K1737" s="33"/>
      <c r="W1737">
        <f>IF($A2="","",COUNTIF('07_Pallet_Contents'!$A$2:$A$3000,$A2))</f>
        <v>0</v>
      </c>
      <c r="X1737">
        <f>IF($A2="","",SUMIF('07_Pallet_Contents'!$A$2:$A$3000,$A2,'07_Pallet_Contents'!$D$2:$D$3000))</f>
        <v>0</v>
      </c>
      <c r="Y1737">
        <f>IF($A2="","",SUMIF('07_Pallet_Contents'!$A$2:$A$3000,$A2,'07_Pallet_Contents'!$I$2:$I$3000))</f>
        <v>0</v>
      </c>
      <c r="Z1737" t="str">
        <f>IF($A2="","",IF(COUNTIF('07_Pallet_Contents'!$A$2:$A$3000,$A2)&gt;0,"Yes",""))</f>
        <v/>
      </c>
    </row>
    <row r="1738" spans="2:26">
      <c r="B1738" s="31"/>
      <c r="G1738" s="34"/>
      <c r="H1738" s="33" t="str">
        <f t="shared" si="35"/>
        <v/>
      </c>
      <c r="I1738" s="31"/>
      <c r="J1738" s="31"/>
      <c r="K1738" s="33"/>
      <c r="W1738">
        <f>IF($A2="","",COUNTIF('07_Pallet_Contents'!$A$2:$A$3000,$A2))</f>
        <v>0</v>
      </c>
      <c r="X1738">
        <f>IF($A2="","",SUMIF('07_Pallet_Contents'!$A$2:$A$3000,$A2,'07_Pallet_Contents'!$D$2:$D$3000))</f>
        <v>0</v>
      </c>
      <c r="Y1738">
        <f>IF($A2="","",SUMIF('07_Pallet_Contents'!$A$2:$A$3000,$A2,'07_Pallet_Contents'!$I$2:$I$3000))</f>
        <v>0</v>
      </c>
      <c r="Z1738" t="str">
        <f>IF($A2="","",IF(COUNTIF('07_Pallet_Contents'!$A$2:$A$3000,$A2)&gt;0,"Yes",""))</f>
        <v/>
      </c>
    </row>
    <row r="1739" spans="2:26">
      <c r="B1739" s="31"/>
      <c r="G1739" s="34"/>
      <c r="H1739" s="33" t="str">
        <f t="shared" si="35"/>
        <v/>
      </c>
      <c r="I1739" s="31"/>
      <c r="J1739" s="31"/>
      <c r="K1739" s="33"/>
      <c r="W1739">
        <f>IF($A2="","",COUNTIF('07_Pallet_Contents'!$A$2:$A$3000,$A2))</f>
        <v>0</v>
      </c>
      <c r="X1739">
        <f>IF($A2="","",SUMIF('07_Pallet_Contents'!$A$2:$A$3000,$A2,'07_Pallet_Contents'!$D$2:$D$3000))</f>
        <v>0</v>
      </c>
      <c r="Y1739">
        <f>IF($A2="","",SUMIF('07_Pallet_Contents'!$A$2:$A$3000,$A2,'07_Pallet_Contents'!$I$2:$I$3000))</f>
        <v>0</v>
      </c>
      <c r="Z1739" t="str">
        <f>IF($A2="","",IF(COUNTIF('07_Pallet_Contents'!$A$2:$A$3000,$A2)&gt;0,"Yes",""))</f>
        <v/>
      </c>
    </row>
    <row r="1740" spans="2:26">
      <c r="B1740" s="31"/>
      <c r="G1740" s="34"/>
      <c r="H1740" s="33" t="str">
        <f t="shared" si="35"/>
        <v/>
      </c>
      <c r="I1740" s="31"/>
      <c r="J1740" s="31"/>
      <c r="K1740" s="33"/>
      <c r="W1740">
        <f>IF($A2="","",COUNTIF('07_Pallet_Contents'!$A$2:$A$3000,$A2))</f>
        <v>0</v>
      </c>
      <c r="X1740">
        <f>IF($A2="","",SUMIF('07_Pallet_Contents'!$A$2:$A$3000,$A2,'07_Pallet_Contents'!$D$2:$D$3000))</f>
        <v>0</v>
      </c>
      <c r="Y1740">
        <f>IF($A2="","",SUMIF('07_Pallet_Contents'!$A$2:$A$3000,$A2,'07_Pallet_Contents'!$I$2:$I$3000))</f>
        <v>0</v>
      </c>
      <c r="Z1740" t="str">
        <f>IF($A2="","",IF(COUNTIF('07_Pallet_Contents'!$A$2:$A$3000,$A2)&gt;0,"Yes",""))</f>
        <v/>
      </c>
    </row>
    <row r="1741" spans="2:26">
      <c r="B1741" s="31"/>
      <c r="G1741" s="34"/>
      <c r="H1741" s="33" t="str">
        <f t="shared" si="35"/>
        <v/>
      </c>
      <c r="I1741" s="31"/>
      <c r="J1741" s="31"/>
      <c r="K1741" s="33"/>
      <c r="W1741">
        <f>IF($A2="","",COUNTIF('07_Pallet_Contents'!$A$2:$A$3000,$A2))</f>
        <v>0</v>
      </c>
      <c r="X1741">
        <f>IF($A2="","",SUMIF('07_Pallet_Contents'!$A$2:$A$3000,$A2,'07_Pallet_Contents'!$D$2:$D$3000))</f>
        <v>0</v>
      </c>
      <c r="Y1741">
        <f>IF($A2="","",SUMIF('07_Pallet_Contents'!$A$2:$A$3000,$A2,'07_Pallet_Contents'!$I$2:$I$3000))</f>
        <v>0</v>
      </c>
      <c r="Z1741" t="str">
        <f>IF($A2="","",IF(COUNTIF('07_Pallet_Contents'!$A$2:$A$3000,$A2)&gt;0,"Yes",""))</f>
        <v/>
      </c>
    </row>
    <row r="1742" spans="2:26">
      <c r="B1742" s="31"/>
      <c r="G1742" s="34"/>
      <c r="H1742" s="33" t="str">
        <f t="shared" si="35"/>
        <v/>
      </c>
      <c r="I1742" s="31"/>
      <c r="J1742" s="31"/>
      <c r="K1742" s="33"/>
      <c r="W1742">
        <f>IF($A2="","",COUNTIF('07_Pallet_Contents'!$A$2:$A$3000,$A2))</f>
        <v>0</v>
      </c>
      <c r="X1742">
        <f>IF($A2="","",SUMIF('07_Pallet_Contents'!$A$2:$A$3000,$A2,'07_Pallet_Contents'!$D$2:$D$3000))</f>
        <v>0</v>
      </c>
      <c r="Y1742">
        <f>IF($A2="","",SUMIF('07_Pallet_Contents'!$A$2:$A$3000,$A2,'07_Pallet_Contents'!$I$2:$I$3000))</f>
        <v>0</v>
      </c>
      <c r="Z1742" t="str">
        <f>IF($A2="","",IF(COUNTIF('07_Pallet_Contents'!$A$2:$A$3000,$A2)&gt;0,"Yes",""))</f>
        <v/>
      </c>
    </row>
    <row r="1743" spans="2:26">
      <c r="B1743" s="31"/>
      <c r="G1743" s="34"/>
      <c r="H1743" s="33" t="str">
        <f t="shared" si="35"/>
        <v/>
      </c>
      <c r="I1743" s="31"/>
      <c r="J1743" s="31"/>
      <c r="K1743" s="33"/>
      <c r="W1743">
        <f>IF($A2="","",COUNTIF('07_Pallet_Contents'!$A$2:$A$3000,$A2))</f>
        <v>0</v>
      </c>
      <c r="X1743">
        <f>IF($A2="","",SUMIF('07_Pallet_Contents'!$A$2:$A$3000,$A2,'07_Pallet_Contents'!$D$2:$D$3000))</f>
        <v>0</v>
      </c>
      <c r="Y1743">
        <f>IF($A2="","",SUMIF('07_Pallet_Contents'!$A$2:$A$3000,$A2,'07_Pallet_Contents'!$I$2:$I$3000))</f>
        <v>0</v>
      </c>
      <c r="Z1743" t="str">
        <f>IF($A2="","",IF(COUNTIF('07_Pallet_Contents'!$A$2:$A$3000,$A2)&gt;0,"Yes",""))</f>
        <v/>
      </c>
    </row>
    <row r="1744" spans="2:26">
      <c r="B1744" s="31"/>
      <c r="G1744" s="34"/>
      <c r="H1744" s="33" t="str">
        <f t="shared" si="35"/>
        <v/>
      </c>
      <c r="I1744" s="31"/>
      <c r="J1744" s="31"/>
      <c r="K1744" s="33"/>
      <c r="W1744">
        <f>IF($A2="","",COUNTIF('07_Pallet_Contents'!$A$2:$A$3000,$A2))</f>
        <v>0</v>
      </c>
      <c r="X1744">
        <f>IF($A2="","",SUMIF('07_Pallet_Contents'!$A$2:$A$3000,$A2,'07_Pallet_Contents'!$D$2:$D$3000))</f>
        <v>0</v>
      </c>
      <c r="Y1744">
        <f>IF($A2="","",SUMIF('07_Pallet_Contents'!$A$2:$A$3000,$A2,'07_Pallet_Contents'!$I$2:$I$3000))</f>
        <v>0</v>
      </c>
      <c r="Z1744" t="str">
        <f>IF($A2="","",IF(COUNTIF('07_Pallet_Contents'!$A$2:$A$3000,$A2)&gt;0,"Yes",""))</f>
        <v/>
      </c>
    </row>
    <row r="1745" spans="2:26">
      <c r="B1745" s="31"/>
      <c r="G1745" s="34"/>
      <c r="H1745" s="33" t="str">
        <f t="shared" si="35"/>
        <v/>
      </c>
      <c r="I1745" s="31"/>
      <c r="J1745" s="31"/>
      <c r="K1745" s="33"/>
      <c r="W1745">
        <f>IF($A2="","",COUNTIF('07_Pallet_Contents'!$A$2:$A$3000,$A2))</f>
        <v>0</v>
      </c>
      <c r="X1745">
        <f>IF($A2="","",SUMIF('07_Pallet_Contents'!$A$2:$A$3000,$A2,'07_Pallet_Contents'!$D$2:$D$3000))</f>
        <v>0</v>
      </c>
      <c r="Y1745">
        <f>IF($A2="","",SUMIF('07_Pallet_Contents'!$A$2:$A$3000,$A2,'07_Pallet_Contents'!$I$2:$I$3000))</f>
        <v>0</v>
      </c>
      <c r="Z1745" t="str">
        <f>IF($A2="","",IF(COUNTIF('07_Pallet_Contents'!$A$2:$A$3000,$A2)&gt;0,"Yes",""))</f>
        <v/>
      </c>
    </row>
    <row r="1746" spans="2:26">
      <c r="B1746" s="31"/>
      <c r="G1746" s="34"/>
      <c r="H1746" s="33" t="str">
        <f t="shared" si="35"/>
        <v/>
      </c>
      <c r="I1746" s="31"/>
      <c r="J1746" s="31"/>
      <c r="K1746" s="33"/>
      <c r="W1746">
        <f>IF($A2="","",COUNTIF('07_Pallet_Contents'!$A$2:$A$3000,$A2))</f>
        <v>0</v>
      </c>
      <c r="X1746">
        <f>IF($A2="","",SUMIF('07_Pallet_Contents'!$A$2:$A$3000,$A2,'07_Pallet_Contents'!$D$2:$D$3000))</f>
        <v>0</v>
      </c>
      <c r="Y1746">
        <f>IF($A2="","",SUMIF('07_Pallet_Contents'!$A$2:$A$3000,$A2,'07_Pallet_Contents'!$I$2:$I$3000))</f>
        <v>0</v>
      </c>
      <c r="Z1746" t="str">
        <f>IF($A2="","",IF(COUNTIF('07_Pallet_Contents'!$A$2:$A$3000,$A2)&gt;0,"Yes",""))</f>
        <v/>
      </c>
    </row>
    <row r="1747" spans="2:26">
      <c r="B1747" s="31"/>
      <c r="G1747" s="34"/>
      <c r="H1747" s="33" t="str">
        <f t="shared" si="35"/>
        <v/>
      </c>
      <c r="I1747" s="31"/>
      <c r="J1747" s="31"/>
      <c r="K1747" s="33"/>
      <c r="W1747">
        <f>IF($A2="","",COUNTIF('07_Pallet_Contents'!$A$2:$A$3000,$A2))</f>
        <v>0</v>
      </c>
      <c r="X1747">
        <f>IF($A2="","",SUMIF('07_Pallet_Contents'!$A$2:$A$3000,$A2,'07_Pallet_Contents'!$D$2:$D$3000))</f>
        <v>0</v>
      </c>
      <c r="Y1747">
        <f>IF($A2="","",SUMIF('07_Pallet_Contents'!$A$2:$A$3000,$A2,'07_Pallet_Contents'!$I$2:$I$3000))</f>
        <v>0</v>
      </c>
      <c r="Z1747" t="str">
        <f>IF($A2="","",IF(COUNTIF('07_Pallet_Contents'!$A$2:$A$3000,$A2)&gt;0,"Yes",""))</f>
        <v/>
      </c>
    </row>
    <row r="1748" spans="2:26">
      <c r="B1748" s="31"/>
      <c r="G1748" s="34"/>
      <c r="H1748" s="33" t="str">
        <f t="shared" si="35"/>
        <v/>
      </c>
      <c r="I1748" s="31"/>
      <c r="J1748" s="31"/>
      <c r="K1748" s="33"/>
      <c r="W1748">
        <f>IF($A2="","",COUNTIF('07_Pallet_Contents'!$A$2:$A$3000,$A2))</f>
        <v>0</v>
      </c>
      <c r="X1748">
        <f>IF($A2="","",SUMIF('07_Pallet_Contents'!$A$2:$A$3000,$A2,'07_Pallet_Contents'!$D$2:$D$3000))</f>
        <v>0</v>
      </c>
      <c r="Y1748">
        <f>IF($A2="","",SUMIF('07_Pallet_Contents'!$A$2:$A$3000,$A2,'07_Pallet_Contents'!$I$2:$I$3000))</f>
        <v>0</v>
      </c>
      <c r="Z1748" t="str">
        <f>IF($A2="","",IF(COUNTIF('07_Pallet_Contents'!$A$2:$A$3000,$A2)&gt;0,"Yes",""))</f>
        <v/>
      </c>
    </row>
    <row r="1749" spans="2:26">
      <c r="B1749" s="31"/>
      <c r="G1749" s="34"/>
      <c r="H1749" s="33" t="str">
        <f t="shared" si="35"/>
        <v/>
      </c>
      <c r="I1749" s="31"/>
      <c r="J1749" s="31"/>
      <c r="K1749" s="33"/>
      <c r="W1749">
        <f>IF($A2="","",COUNTIF('07_Pallet_Contents'!$A$2:$A$3000,$A2))</f>
        <v>0</v>
      </c>
      <c r="X1749">
        <f>IF($A2="","",SUMIF('07_Pallet_Contents'!$A$2:$A$3000,$A2,'07_Pallet_Contents'!$D$2:$D$3000))</f>
        <v>0</v>
      </c>
      <c r="Y1749">
        <f>IF($A2="","",SUMIF('07_Pallet_Contents'!$A$2:$A$3000,$A2,'07_Pallet_Contents'!$I$2:$I$3000))</f>
        <v>0</v>
      </c>
      <c r="Z1749" t="str">
        <f>IF($A2="","",IF(COUNTIF('07_Pallet_Contents'!$A$2:$A$3000,$A2)&gt;0,"Yes",""))</f>
        <v/>
      </c>
    </row>
    <row r="1750" spans="2:26">
      <c r="B1750" s="31"/>
      <c r="G1750" s="34"/>
      <c r="H1750" s="33" t="str">
        <f t="shared" si="35"/>
        <v/>
      </c>
      <c r="I1750" s="31"/>
      <c r="J1750" s="31"/>
      <c r="K1750" s="33"/>
      <c r="W1750">
        <f>IF($A2="","",COUNTIF('07_Pallet_Contents'!$A$2:$A$3000,$A2))</f>
        <v>0</v>
      </c>
      <c r="X1750">
        <f>IF($A2="","",SUMIF('07_Pallet_Contents'!$A$2:$A$3000,$A2,'07_Pallet_Contents'!$D$2:$D$3000))</f>
        <v>0</v>
      </c>
      <c r="Y1750">
        <f>IF($A2="","",SUMIF('07_Pallet_Contents'!$A$2:$A$3000,$A2,'07_Pallet_Contents'!$I$2:$I$3000))</f>
        <v>0</v>
      </c>
      <c r="Z1750" t="str">
        <f>IF($A2="","",IF(COUNTIF('07_Pallet_Contents'!$A$2:$A$3000,$A2)&gt;0,"Yes",""))</f>
        <v/>
      </c>
    </row>
    <row r="1751" spans="2:26">
      <c r="B1751" s="31"/>
      <c r="G1751" s="34"/>
      <c r="H1751" s="33" t="str">
        <f t="shared" si="35"/>
        <v/>
      </c>
      <c r="I1751" s="31"/>
      <c r="J1751" s="31"/>
      <c r="K1751" s="33"/>
      <c r="W1751">
        <f>IF($A2="","",COUNTIF('07_Pallet_Contents'!$A$2:$A$3000,$A2))</f>
        <v>0</v>
      </c>
      <c r="X1751">
        <f>IF($A2="","",SUMIF('07_Pallet_Contents'!$A$2:$A$3000,$A2,'07_Pallet_Contents'!$D$2:$D$3000))</f>
        <v>0</v>
      </c>
      <c r="Y1751">
        <f>IF($A2="","",SUMIF('07_Pallet_Contents'!$A$2:$A$3000,$A2,'07_Pallet_Contents'!$I$2:$I$3000))</f>
        <v>0</v>
      </c>
      <c r="Z1751" t="str">
        <f>IF($A2="","",IF(COUNTIF('07_Pallet_Contents'!$A$2:$A$3000,$A2)&gt;0,"Yes",""))</f>
        <v/>
      </c>
    </row>
    <row r="1752" spans="2:26">
      <c r="B1752" s="31"/>
      <c r="G1752" s="34"/>
      <c r="H1752" s="33" t="str">
        <f t="shared" si="35"/>
        <v/>
      </c>
      <c r="I1752" s="31"/>
      <c r="J1752" s="31"/>
      <c r="K1752" s="33"/>
      <c r="W1752">
        <f>IF($A2="","",COUNTIF('07_Pallet_Contents'!$A$2:$A$3000,$A2))</f>
        <v>0</v>
      </c>
      <c r="X1752">
        <f>IF($A2="","",SUMIF('07_Pallet_Contents'!$A$2:$A$3000,$A2,'07_Pallet_Contents'!$D$2:$D$3000))</f>
        <v>0</v>
      </c>
      <c r="Y1752">
        <f>IF($A2="","",SUMIF('07_Pallet_Contents'!$A$2:$A$3000,$A2,'07_Pallet_Contents'!$I$2:$I$3000))</f>
        <v>0</v>
      </c>
      <c r="Z1752" t="str">
        <f>IF($A2="","",IF(COUNTIF('07_Pallet_Contents'!$A$2:$A$3000,$A2)&gt;0,"Yes",""))</f>
        <v/>
      </c>
    </row>
    <row r="1753" spans="2:26">
      <c r="B1753" s="31"/>
      <c r="G1753" s="34"/>
      <c r="H1753" s="33" t="str">
        <f t="shared" si="35"/>
        <v/>
      </c>
      <c r="I1753" s="31"/>
      <c r="J1753" s="31"/>
      <c r="K1753" s="33"/>
      <c r="W1753">
        <f>IF($A2="","",COUNTIF('07_Pallet_Contents'!$A$2:$A$3000,$A2))</f>
        <v>0</v>
      </c>
      <c r="X1753">
        <f>IF($A2="","",SUMIF('07_Pallet_Contents'!$A$2:$A$3000,$A2,'07_Pallet_Contents'!$D$2:$D$3000))</f>
        <v>0</v>
      </c>
      <c r="Y1753">
        <f>IF($A2="","",SUMIF('07_Pallet_Contents'!$A$2:$A$3000,$A2,'07_Pallet_Contents'!$I$2:$I$3000))</f>
        <v>0</v>
      </c>
      <c r="Z1753" t="str">
        <f>IF($A2="","",IF(COUNTIF('07_Pallet_Contents'!$A$2:$A$3000,$A2)&gt;0,"Yes",""))</f>
        <v/>
      </c>
    </row>
    <row r="1754" spans="2:26">
      <c r="B1754" s="31"/>
      <c r="G1754" s="34"/>
      <c r="H1754" s="33" t="str">
        <f t="shared" si="35"/>
        <v/>
      </c>
      <c r="I1754" s="31"/>
      <c r="J1754" s="31"/>
      <c r="K1754" s="33"/>
      <c r="W1754">
        <f>IF($A2="","",COUNTIF('07_Pallet_Contents'!$A$2:$A$3000,$A2))</f>
        <v>0</v>
      </c>
      <c r="X1754">
        <f>IF($A2="","",SUMIF('07_Pallet_Contents'!$A$2:$A$3000,$A2,'07_Pallet_Contents'!$D$2:$D$3000))</f>
        <v>0</v>
      </c>
      <c r="Y1754">
        <f>IF($A2="","",SUMIF('07_Pallet_Contents'!$A$2:$A$3000,$A2,'07_Pallet_Contents'!$I$2:$I$3000))</f>
        <v>0</v>
      </c>
      <c r="Z1754" t="str">
        <f>IF($A2="","",IF(COUNTIF('07_Pallet_Contents'!$A$2:$A$3000,$A2)&gt;0,"Yes",""))</f>
        <v/>
      </c>
    </row>
    <row r="1755" spans="2:26">
      <c r="B1755" s="31"/>
      <c r="G1755" s="34"/>
      <c r="H1755" s="33" t="str">
        <f t="shared" si="35"/>
        <v/>
      </c>
      <c r="I1755" s="31"/>
      <c r="J1755" s="31"/>
      <c r="K1755" s="33"/>
      <c r="W1755">
        <f>IF($A2="","",COUNTIF('07_Pallet_Contents'!$A$2:$A$3000,$A2))</f>
        <v>0</v>
      </c>
      <c r="X1755">
        <f>IF($A2="","",SUMIF('07_Pallet_Contents'!$A$2:$A$3000,$A2,'07_Pallet_Contents'!$D$2:$D$3000))</f>
        <v>0</v>
      </c>
      <c r="Y1755">
        <f>IF($A2="","",SUMIF('07_Pallet_Contents'!$A$2:$A$3000,$A2,'07_Pallet_Contents'!$I$2:$I$3000))</f>
        <v>0</v>
      </c>
      <c r="Z1755" t="str">
        <f>IF($A2="","",IF(COUNTIF('07_Pallet_Contents'!$A$2:$A$3000,$A2)&gt;0,"Yes",""))</f>
        <v/>
      </c>
    </row>
    <row r="1756" spans="2:26">
      <c r="B1756" s="31"/>
      <c r="G1756" s="34"/>
      <c r="H1756" s="33" t="str">
        <f t="shared" si="35"/>
        <v/>
      </c>
      <c r="I1756" s="31"/>
      <c r="J1756" s="31"/>
      <c r="K1756" s="33"/>
      <c r="W1756">
        <f>IF($A2="","",COUNTIF('07_Pallet_Contents'!$A$2:$A$3000,$A2))</f>
        <v>0</v>
      </c>
      <c r="X1756">
        <f>IF($A2="","",SUMIF('07_Pallet_Contents'!$A$2:$A$3000,$A2,'07_Pallet_Contents'!$D$2:$D$3000))</f>
        <v>0</v>
      </c>
      <c r="Y1756">
        <f>IF($A2="","",SUMIF('07_Pallet_Contents'!$A$2:$A$3000,$A2,'07_Pallet_Contents'!$I$2:$I$3000))</f>
        <v>0</v>
      </c>
      <c r="Z1756" t="str">
        <f>IF($A2="","",IF(COUNTIF('07_Pallet_Contents'!$A$2:$A$3000,$A2)&gt;0,"Yes",""))</f>
        <v/>
      </c>
    </row>
    <row r="1757" spans="2:26">
      <c r="B1757" s="31"/>
      <c r="G1757" s="34"/>
      <c r="H1757" s="33" t="str">
        <f t="shared" si="35"/>
        <v/>
      </c>
      <c r="I1757" s="31"/>
      <c r="J1757" s="31"/>
      <c r="K1757" s="33"/>
      <c r="W1757">
        <f>IF($A2="","",COUNTIF('07_Pallet_Contents'!$A$2:$A$3000,$A2))</f>
        <v>0</v>
      </c>
      <c r="X1757">
        <f>IF($A2="","",SUMIF('07_Pallet_Contents'!$A$2:$A$3000,$A2,'07_Pallet_Contents'!$D$2:$D$3000))</f>
        <v>0</v>
      </c>
      <c r="Y1757">
        <f>IF($A2="","",SUMIF('07_Pallet_Contents'!$A$2:$A$3000,$A2,'07_Pallet_Contents'!$I$2:$I$3000))</f>
        <v>0</v>
      </c>
      <c r="Z1757" t="str">
        <f>IF($A2="","",IF(COUNTIF('07_Pallet_Contents'!$A$2:$A$3000,$A2)&gt;0,"Yes",""))</f>
        <v/>
      </c>
    </row>
    <row r="1758" spans="2:26">
      <c r="B1758" s="31"/>
      <c r="G1758" s="34"/>
      <c r="H1758" s="33" t="str">
        <f t="shared" si="35"/>
        <v/>
      </c>
      <c r="I1758" s="31"/>
      <c r="J1758" s="31"/>
      <c r="K1758" s="33"/>
      <c r="W1758">
        <f>IF($A2="","",COUNTIF('07_Pallet_Contents'!$A$2:$A$3000,$A2))</f>
        <v>0</v>
      </c>
      <c r="X1758">
        <f>IF($A2="","",SUMIF('07_Pallet_Contents'!$A$2:$A$3000,$A2,'07_Pallet_Contents'!$D$2:$D$3000))</f>
        <v>0</v>
      </c>
      <c r="Y1758">
        <f>IF($A2="","",SUMIF('07_Pallet_Contents'!$A$2:$A$3000,$A2,'07_Pallet_Contents'!$I$2:$I$3000))</f>
        <v>0</v>
      </c>
      <c r="Z1758" t="str">
        <f>IF($A2="","",IF(COUNTIF('07_Pallet_Contents'!$A$2:$A$3000,$A2)&gt;0,"Yes",""))</f>
        <v/>
      </c>
    </row>
    <row r="1759" spans="2:26">
      <c r="B1759" s="31"/>
      <c r="G1759" s="34"/>
      <c r="H1759" s="33" t="str">
        <f t="shared" si="35"/>
        <v/>
      </c>
      <c r="I1759" s="31"/>
      <c r="J1759" s="31"/>
      <c r="K1759" s="33"/>
      <c r="W1759">
        <f>IF($A2="","",COUNTIF('07_Pallet_Contents'!$A$2:$A$3000,$A2))</f>
        <v>0</v>
      </c>
      <c r="X1759">
        <f>IF($A2="","",SUMIF('07_Pallet_Contents'!$A$2:$A$3000,$A2,'07_Pallet_Contents'!$D$2:$D$3000))</f>
        <v>0</v>
      </c>
      <c r="Y1759">
        <f>IF($A2="","",SUMIF('07_Pallet_Contents'!$A$2:$A$3000,$A2,'07_Pallet_Contents'!$I$2:$I$3000))</f>
        <v>0</v>
      </c>
      <c r="Z1759" t="str">
        <f>IF($A2="","",IF(COUNTIF('07_Pallet_Contents'!$A$2:$A$3000,$A2)&gt;0,"Yes",""))</f>
        <v/>
      </c>
    </row>
    <row r="1760" spans="2:26">
      <c r="B1760" s="31"/>
      <c r="G1760" s="34"/>
      <c r="H1760" s="33" t="str">
        <f t="shared" si="35"/>
        <v/>
      </c>
      <c r="I1760" s="31"/>
      <c r="J1760" s="31"/>
      <c r="K1760" s="33"/>
      <c r="W1760">
        <f>IF($A2="","",COUNTIF('07_Pallet_Contents'!$A$2:$A$3000,$A2))</f>
        <v>0</v>
      </c>
      <c r="X1760">
        <f>IF($A2="","",SUMIF('07_Pallet_Contents'!$A$2:$A$3000,$A2,'07_Pallet_Contents'!$D$2:$D$3000))</f>
        <v>0</v>
      </c>
      <c r="Y1760">
        <f>IF($A2="","",SUMIF('07_Pallet_Contents'!$A$2:$A$3000,$A2,'07_Pallet_Contents'!$I$2:$I$3000))</f>
        <v>0</v>
      </c>
      <c r="Z1760" t="str">
        <f>IF($A2="","",IF(COUNTIF('07_Pallet_Contents'!$A$2:$A$3000,$A2)&gt;0,"Yes",""))</f>
        <v/>
      </c>
    </row>
    <row r="1761" spans="2:26">
      <c r="B1761" s="31"/>
      <c r="G1761" s="34"/>
      <c r="H1761" s="33" t="str">
        <f t="shared" si="35"/>
        <v/>
      </c>
      <c r="I1761" s="31"/>
      <c r="J1761" s="31"/>
      <c r="K1761" s="33"/>
      <c r="W1761">
        <f>IF($A2="","",COUNTIF('07_Pallet_Contents'!$A$2:$A$3000,$A2))</f>
        <v>0</v>
      </c>
      <c r="X1761">
        <f>IF($A2="","",SUMIF('07_Pallet_Contents'!$A$2:$A$3000,$A2,'07_Pallet_Contents'!$D$2:$D$3000))</f>
        <v>0</v>
      </c>
      <c r="Y1761">
        <f>IF($A2="","",SUMIF('07_Pallet_Contents'!$A$2:$A$3000,$A2,'07_Pallet_Contents'!$I$2:$I$3000))</f>
        <v>0</v>
      </c>
      <c r="Z1761" t="str">
        <f>IF($A2="","",IF(COUNTIF('07_Pallet_Contents'!$A$2:$A$3000,$A2)&gt;0,"Yes",""))</f>
        <v/>
      </c>
    </row>
    <row r="1762" spans="2:26">
      <c r="B1762" s="31"/>
      <c r="G1762" s="34"/>
      <c r="H1762" s="33" t="str">
        <f t="shared" si="35"/>
        <v/>
      </c>
      <c r="I1762" s="31"/>
      <c r="J1762" s="31"/>
      <c r="K1762" s="33"/>
      <c r="W1762">
        <f>IF($A2="","",COUNTIF('07_Pallet_Contents'!$A$2:$A$3000,$A2))</f>
        <v>0</v>
      </c>
      <c r="X1762">
        <f>IF($A2="","",SUMIF('07_Pallet_Contents'!$A$2:$A$3000,$A2,'07_Pallet_Contents'!$D$2:$D$3000))</f>
        <v>0</v>
      </c>
      <c r="Y1762">
        <f>IF($A2="","",SUMIF('07_Pallet_Contents'!$A$2:$A$3000,$A2,'07_Pallet_Contents'!$I$2:$I$3000))</f>
        <v>0</v>
      </c>
      <c r="Z1762" t="str">
        <f>IF($A2="","",IF(COUNTIF('07_Pallet_Contents'!$A$2:$A$3000,$A2)&gt;0,"Yes",""))</f>
        <v/>
      </c>
    </row>
    <row r="1763" spans="2:26">
      <c r="B1763" s="31"/>
      <c r="G1763" s="34"/>
      <c r="H1763" s="33" t="str">
        <f t="shared" si="35"/>
        <v/>
      </c>
      <c r="I1763" s="31"/>
      <c r="J1763" s="31"/>
      <c r="K1763" s="33"/>
      <c r="W1763">
        <f>IF($A2="","",COUNTIF('07_Pallet_Contents'!$A$2:$A$3000,$A2))</f>
        <v>0</v>
      </c>
      <c r="X1763">
        <f>IF($A2="","",SUMIF('07_Pallet_Contents'!$A$2:$A$3000,$A2,'07_Pallet_Contents'!$D$2:$D$3000))</f>
        <v>0</v>
      </c>
      <c r="Y1763">
        <f>IF($A2="","",SUMIF('07_Pallet_Contents'!$A$2:$A$3000,$A2,'07_Pallet_Contents'!$I$2:$I$3000))</f>
        <v>0</v>
      </c>
      <c r="Z1763" t="str">
        <f>IF($A2="","",IF(COUNTIF('07_Pallet_Contents'!$A$2:$A$3000,$A2)&gt;0,"Yes",""))</f>
        <v/>
      </c>
    </row>
    <row r="1764" spans="2:26">
      <c r="B1764" s="31"/>
      <c r="G1764" s="34"/>
      <c r="H1764" s="33" t="str">
        <f t="shared" si="35"/>
        <v/>
      </c>
      <c r="I1764" s="31"/>
      <c r="J1764" s="31"/>
      <c r="K1764" s="33"/>
      <c r="W1764">
        <f>IF($A2="","",COUNTIF('07_Pallet_Contents'!$A$2:$A$3000,$A2))</f>
        <v>0</v>
      </c>
      <c r="X1764">
        <f>IF($A2="","",SUMIF('07_Pallet_Contents'!$A$2:$A$3000,$A2,'07_Pallet_Contents'!$D$2:$D$3000))</f>
        <v>0</v>
      </c>
      <c r="Y1764">
        <f>IF($A2="","",SUMIF('07_Pallet_Contents'!$A$2:$A$3000,$A2,'07_Pallet_Contents'!$I$2:$I$3000))</f>
        <v>0</v>
      </c>
      <c r="Z1764" t="str">
        <f>IF($A2="","",IF(COUNTIF('07_Pallet_Contents'!$A$2:$A$3000,$A2)&gt;0,"Yes",""))</f>
        <v/>
      </c>
    </row>
    <row r="1765" spans="2:26">
      <c r="B1765" s="31"/>
      <c r="G1765" s="34"/>
      <c r="H1765" s="33" t="str">
        <f t="shared" si="35"/>
        <v/>
      </c>
      <c r="I1765" s="31"/>
      <c r="J1765" s="31"/>
      <c r="K1765" s="33"/>
      <c r="W1765">
        <f>IF($A2="","",COUNTIF('07_Pallet_Contents'!$A$2:$A$3000,$A2))</f>
        <v>0</v>
      </c>
      <c r="X1765">
        <f>IF($A2="","",SUMIF('07_Pallet_Contents'!$A$2:$A$3000,$A2,'07_Pallet_Contents'!$D$2:$D$3000))</f>
        <v>0</v>
      </c>
      <c r="Y1765">
        <f>IF($A2="","",SUMIF('07_Pallet_Contents'!$A$2:$A$3000,$A2,'07_Pallet_Contents'!$I$2:$I$3000))</f>
        <v>0</v>
      </c>
      <c r="Z1765" t="str">
        <f>IF($A2="","",IF(COUNTIF('07_Pallet_Contents'!$A$2:$A$3000,$A2)&gt;0,"Yes",""))</f>
        <v/>
      </c>
    </row>
    <row r="1766" spans="2:26">
      <c r="B1766" s="31"/>
      <c r="G1766" s="34"/>
      <c r="H1766" s="33" t="str">
        <f t="shared" si="35"/>
        <v/>
      </c>
      <c r="I1766" s="31"/>
      <c r="J1766" s="31"/>
      <c r="K1766" s="33"/>
      <c r="W1766">
        <f>IF($A2="","",COUNTIF('07_Pallet_Contents'!$A$2:$A$3000,$A2))</f>
        <v>0</v>
      </c>
      <c r="X1766">
        <f>IF($A2="","",SUMIF('07_Pallet_Contents'!$A$2:$A$3000,$A2,'07_Pallet_Contents'!$D$2:$D$3000))</f>
        <v>0</v>
      </c>
      <c r="Y1766">
        <f>IF($A2="","",SUMIF('07_Pallet_Contents'!$A$2:$A$3000,$A2,'07_Pallet_Contents'!$I$2:$I$3000))</f>
        <v>0</v>
      </c>
      <c r="Z1766" t="str">
        <f>IF($A2="","",IF(COUNTIF('07_Pallet_Contents'!$A$2:$A$3000,$A2)&gt;0,"Yes",""))</f>
        <v/>
      </c>
    </row>
    <row r="1767" spans="2:26">
      <c r="B1767" s="31"/>
      <c r="G1767" s="34"/>
      <c r="H1767" s="33" t="str">
        <f t="shared" si="35"/>
        <v/>
      </c>
      <c r="I1767" s="31"/>
      <c r="J1767" s="31"/>
      <c r="K1767" s="33"/>
      <c r="W1767">
        <f>IF($A2="","",COUNTIF('07_Pallet_Contents'!$A$2:$A$3000,$A2))</f>
        <v>0</v>
      </c>
      <c r="X1767">
        <f>IF($A2="","",SUMIF('07_Pallet_Contents'!$A$2:$A$3000,$A2,'07_Pallet_Contents'!$D$2:$D$3000))</f>
        <v>0</v>
      </c>
      <c r="Y1767">
        <f>IF($A2="","",SUMIF('07_Pallet_Contents'!$A$2:$A$3000,$A2,'07_Pallet_Contents'!$I$2:$I$3000))</f>
        <v>0</v>
      </c>
      <c r="Z1767" t="str">
        <f>IF($A2="","",IF(COUNTIF('07_Pallet_Contents'!$A$2:$A$3000,$A2)&gt;0,"Yes",""))</f>
        <v/>
      </c>
    </row>
    <row r="1768" spans="2:26">
      <c r="B1768" s="31"/>
      <c r="G1768" s="34"/>
      <c r="H1768" s="33" t="str">
        <f t="shared" si="35"/>
        <v/>
      </c>
      <c r="I1768" s="31"/>
      <c r="J1768" s="31"/>
      <c r="K1768" s="33"/>
      <c r="W1768">
        <f>IF($A2="","",COUNTIF('07_Pallet_Contents'!$A$2:$A$3000,$A2))</f>
        <v>0</v>
      </c>
      <c r="X1768">
        <f>IF($A2="","",SUMIF('07_Pallet_Contents'!$A$2:$A$3000,$A2,'07_Pallet_Contents'!$D$2:$D$3000))</f>
        <v>0</v>
      </c>
      <c r="Y1768">
        <f>IF($A2="","",SUMIF('07_Pallet_Contents'!$A$2:$A$3000,$A2,'07_Pallet_Contents'!$I$2:$I$3000))</f>
        <v>0</v>
      </c>
      <c r="Z1768" t="str">
        <f>IF($A2="","",IF(COUNTIF('07_Pallet_Contents'!$A$2:$A$3000,$A2)&gt;0,"Yes",""))</f>
        <v/>
      </c>
    </row>
    <row r="1769" spans="2:26">
      <c r="B1769" s="31"/>
      <c r="G1769" s="34"/>
      <c r="H1769" s="33" t="str">
        <f t="shared" si="35"/>
        <v/>
      </c>
      <c r="I1769" s="31"/>
      <c r="J1769" s="31"/>
      <c r="K1769" s="33"/>
      <c r="W1769">
        <f>IF($A2="","",COUNTIF('07_Pallet_Contents'!$A$2:$A$3000,$A2))</f>
        <v>0</v>
      </c>
      <c r="X1769">
        <f>IF($A2="","",SUMIF('07_Pallet_Contents'!$A$2:$A$3000,$A2,'07_Pallet_Contents'!$D$2:$D$3000))</f>
        <v>0</v>
      </c>
      <c r="Y1769">
        <f>IF($A2="","",SUMIF('07_Pallet_Contents'!$A$2:$A$3000,$A2,'07_Pallet_Contents'!$I$2:$I$3000))</f>
        <v>0</v>
      </c>
      <c r="Z1769" t="str">
        <f>IF($A2="","",IF(COUNTIF('07_Pallet_Contents'!$A$2:$A$3000,$A2)&gt;0,"Yes",""))</f>
        <v/>
      </c>
    </row>
    <row r="1770" spans="2:26">
      <c r="B1770" s="31"/>
      <c r="G1770" s="34"/>
      <c r="H1770" s="33" t="str">
        <f t="shared" si="35"/>
        <v/>
      </c>
      <c r="I1770" s="31"/>
      <c r="J1770" s="31"/>
      <c r="K1770" s="33"/>
      <c r="W1770">
        <f>IF($A2="","",COUNTIF('07_Pallet_Contents'!$A$2:$A$3000,$A2))</f>
        <v>0</v>
      </c>
      <c r="X1770">
        <f>IF($A2="","",SUMIF('07_Pallet_Contents'!$A$2:$A$3000,$A2,'07_Pallet_Contents'!$D$2:$D$3000))</f>
        <v>0</v>
      </c>
      <c r="Y1770">
        <f>IF($A2="","",SUMIF('07_Pallet_Contents'!$A$2:$A$3000,$A2,'07_Pallet_Contents'!$I$2:$I$3000))</f>
        <v>0</v>
      </c>
      <c r="Z1770" t="str">
        <f>IF($A2="","",IF(COUNTIF('07_Pallet_Contents'!$A$2:$A$3000,$A2)&gt;0,"Yes",""))</f>
        <v/>
      </c>
    </row>
    <row r="1771" spans="2:26">
      <c r="B1771" s="31"/>
      <c r="G1771" s="34"/>
      <c r="H1771" s="33" t="str">
        <f t="shared" si="35"/>
        <v/>
      </c>
      <c r="I1771" s="31"/>
      <c r="J1771" s="31"/>
      <c r="K1771" s="33"/>
      <c r="W1771">
        <f>IF($A2="","",COUNTIF('07_Pallet_Contents'!$A$2:$A$3000,$A2))</f>
        <v>0</v>
      </c>
      <c r="X1771">
        <f>IF($A2="","",SUMIF('07_Pallet_Contents'!$A$2:$A$3000,$A2,'07_Pallet_Contents'!$D$2:$D$3000))</f>
        <v>0</v>
      </c>
      <c r="Y1771">
        <f>IF($A2="","",SUMIF('07_Pallet_Contents'!$A$2:$A$3000,$A2,'07_Pallet_Contents'!$I$2:$I$3000))</f>
        <v>0</v>
      </c>
      <c r="Z1771" t="str">
        <f>IF($A2="","",IF(COUNTIF('07_Pallet_Contents'!$A$2:$A$3000,$A2)&gt;0,"Yes",""))</f>
        <v/>
      </c>
    </row>
    <row r="1772" spans="2:26">
      <c r="B1772" s="31"/>
      <c r="G1772" s="34"/>
      <c r="H1772" s="33" t="str">
        <f t="shared" si="35"/>
        <v/>
      </c>
      <c r="I1772" s="31"/>
      <c r="J1772" s="31"/>
      <c r="K1772" s="33"/>
      <c r="W1772">
        <f>IF($A2="","",COUNTIF('07_Pallet_Contents'!$A$2:$A$3000,$A2))</f>
        <v>0</v>
      </c>
      <c r="X1772">
        <f>IF($A2="","",SUMIF('07_Pallet_Contents'!$A$2:$A$3000,$A2,'07_Pallet_Contents'!$D$2:$D$3000))</f>
        <v>0</v>
      </c>
      <c r="Y1772">
        <f>IF($A2="","",SUMIF('07_Pallet_Contents'!$A$2:$A$3000,$A2,'07_Pallet_Contents'!$I$2:$I$3000))</f>
        <v>0</v>
      </c>
      <c r="Z1772" t="str">
        <f>IF($A2="","",IF(COUNTIF('07_Pallet_Contents'!$A$2:$A$3000,$A2)&gt;0,"Yes",""))</f>
        <v/>
      </c>
    </row>
    <row r="1773" spans="2:26">
      <c r="B1773" s="31"/>
      <c r="G1773" s="34"/>
      <c r="H1773" s="33" t="str">
        <f t="shared" si="35"/>
        <v/>
      </c>
      <c r="I1773" s="31"/>
      <c r="J1773" s="31"/>
      <c r="K1773" s="33"/>
      <c r="W1773">
        <f>IF($A2="","",COUNTIF('07_Pallet_Contents'!$A$2:$A$3000,$A2))</f>
        <v>0</v>
      </c>
      <c r="X1773">
        <f>IF($A2="","",SUMIF('07_Pallet_Contents'!$A$2:$A$3000,$A2,'07_Pallet_Contents'!$D$2:$D$3000))</f>
        <v>0</v>
      </c>
      <c r="Y1773">
        <f>IF($A2="","",SUMIF('07_Pallet_Contents'!$A$2:$A$3000,$A2,'07_Pallet_Contents'!$I$2:$I$3000))</f>
        <v>0</v>
      </c>
      <c r="Z1773" t="str">
        <f>IF($A2="","",IF(COUNTIF('07_Pallet_Contents'!$A$2:$A$3000,$A2)&gt;0,"Yes",""))</f>
        <v/>
      </c>
    </row>
    <row r="1774" spans="2:26">
      <c r="B1774" s="31"/>
      <c r="G1774" s="34"/>
      <c r="H1774" s="33" t="str">
        <f t="shared" si="35"/>
        <v/>
      </c>
      <c r="I1774" s="31"/>
      <c r="J1774" s="31"/>
      <c r="K1774" s="33"/>
      <c r="W1774">
        <f>IF($A2="","",COUNTIF('07_Pallet_Contents'!$A$2:$A$3000,$A2))</f>
        <v>0</v>
      </c>
      <c r="X1774">
        <f>IF($A2="","",SUMIF('07_Pallet_Contents'!$A$2:$A$3000,$A2,'07_Pallet_Contents'!$D$2:$D$3000))</f>
        <v>0</v>
      </c>
      <c r="Y1774">
        <f>IF($A2="","",SUMIF('07_Pallet_Contents'!$A$2:$A$3000,$A2,'07_Pallet_Contents'!$I$2:$I$3000))</f>
        <v>0</v>
      </c>
      <c r="Z1774" t="str">
        <f>IF($A2="","",IF(COUNTIF('07_Pallet_Contents'!$A$2:$A$3000,$A2)&gt;0,"Yes",""))</f>
        <v/>
      </c>
    </row>
    <row r="1775" spans="2:26">
      <c r="B1775" s="31"/>
      <c r="G1775" s="34"/>
      <c r="H1775" s="33" t="str">
        <f t="shared" si="35"/>
        <v/>
      </c>
      <c r="I1775" s="31"/>
      <c r="J1775" s="31"/>
      <c r="K1775" s="33"/>
      <c r="W1775">
        <f>IF($A2="","",COUNTIF('07_Pallet_Contents'!$A$2:$A$3000,$A2))</f>
        <v>0</v>
      </c>
      <c r="X1775">
        <f>IF($A2="","",SUMIF('07_Pallet_Contents'!$A$2:$A$3000,$A2,'07_Pallet_Contents'!$D$2:$D$3000))</f>
        <v>0</v>
      </c>
      <c r="Y1775">
        <f>IF($A2="","",SUMIF('07_Pallet_Contents'!$A$2:$A$3000,$A2,'07_Pallet_Contents'!$I$2:$I$3000))</f>
        <v>0</v>
      </c>
      <c r="Z1775" t="str">
        <f>IF($A2="","",IF(COUNTIF('07_Pallet_Contents'!$A$2:$A$3000,$A2)&gt;0,"Yes",""))</f>
        <v/>
      </c>
    </row>
    <row r="1776" spans="2:26">
      <c r="B1776" s="31"/>
      <c r="G1776" s="34"/>
      <c r="H1776" s="33" t="str">
        <f t="shared" si="35"/>
        <v/>
      </c>
      <c r="I1776" s="31"/>
      <c r="J1776" s="31"/>
      <c r="K1776" s="33"/>
      <c r="W1776">
        <f>IF($A2="","",COUNTIF('07_Pallet_Contents'!$A$2:$A$3000,$A2))</f>
        <v>0</v>
      </c>
      <c r="X1776">
        <f>IF($A2="","",SUMIF('07_Pallet_Contents'!$A$2:$A$3000,$A2,'07_Pallet_Contents'!$D$2:$D$3000))</f>
        <v>0</v>
      </c>
      <c r="Y1776">
        <f>IF($A2="","",SUMIF('07_Pallet_Contents'!$A$2:$A$3000,$A2,'07_Pallet_Contents'!$I$2:$I$3000))</f>
        <v>0</v>
      </c>
      <c r="Z1776" t="str">
        <f>IF($A2="","",IF(COUNTIF('07_Pallet_Contents'!$A$2:$A$3000,$A2)&gt;0,"Yes",""))</f>
        <v/>
      </c>
    </row>
    <row r="1777" spans="2:26">
      <c r="B1777" s="31"/>
      <c r="G1777" s="34"/>
      <c r="H1777" s="33" t="str">
        <f t="shared" si="35"/>
        <v/>
      </c>
      <c r="I1777" s="31"/>
      <c r="J1777" s="31"/>
      <c r="K1777" s="33"/>
      <c r="W1777">
        <f>IF($A2="","",COUNTIF('07_Pallet_Contents'!$A$2:$A$3000,$A2))</f>
        <v>0</v>
      </c>
      <c r="X1777">
        <f>IF($A2="","",SUMIF('07_Pallet_Contents'!$A$2:$A$3000,$A2,'07_Pallet_Contents'!$D$2:$D$3000))</f>
        <v>0</v>
      </c>
      <c r="Y1777">
        <f>IF($A2="","",SUMIF('07_Pallet_Contents'!$A$2:$A$3000,$A2,'07_Pallet_Contents'!$I$2:$I$3000))</f>
        <v>0</v>
      </c>
      <c r="Z1777" t="str">
        <f>IF($A2="","",IF(COUNTIF('07_Pallet_Contents'!$A$2:$A$3000,$A2)&gt;0,"Yes",""))</f>
        <v/>
      </c>
    </row>
    <row r="1778" spans="2:26">
      <c r="B1778" s="31"/>
      <c r="G1778" s="34"/>
      <c r="H1778" s="33" t="str">
        <f t="shared" si="35"/>
        <v/>
      </c>
      <c r="I1778" s="31"/>
      <c r="J1778" s="31"/>
      <c r="K1778" s="33"/>
      <c r="W1778">
        <f>IF($A2="","",COUNTIF('07_Pallet_Contents'!$A$2:$A$3000,$A2))</f>
        <v>0</v>
      </c>
      <c r="X1778">
        <f>IF($A2="","",SUMIF('07_Pallet_Contents'!$A$2:$A$3000,$A2,'07_Pallet_Contents'!$D$2:$D$3000))</f>
        <v>0</v>
      </c>
      <c r="Y1778">
        <f>IF($A2="","",SUMIF('07_Pallet_Contents'!$A$2:$A$3000,$A2,'07_Pallet_Contents'!$I$2:$I$3000))</f>
        <v>0</v>
      </c>
      <c r="Z1778" t="str">
        <f>IF($A2="","",IF(COUNTIF('07_Pallet_Contents'!$A$2:$A$3000,$A2)&gt;0,"Yes",""))</f>
        <v/>
      </c>
    </row>
    <row r="1779" spans="2:26">
      <c r="B1779" s="31"/>
      <c r="G1779" s="34"/>
      <c r="H1779" s="33" t="str">
        <f t="shared" si="35"/>
        <v/>
      </c>
      <c r="I1779" s="31"/>
      <c r="J1779" s="31"/>
      <c r="K1779" s="33"/>
      <c r="W1779">
        <f>IF($A2="","",COUNTIF('07_Pallet_Contents'!$A$2:$A$3000,$A2))</f>
        <v>0</v>
      </c>
      <c r="X1779">
        <f>IF($A2="","",SUMIF('07_Pallet_Contents'!$A$2:$A$3000,$A2,'07_Pallet_Contents'!$D$2:$D$3000))</f>
        <v>0</v>
      </c>
      <c r="Y1779">
        <f>IF($A2="","",SUMIF('07_Pallet_Contents'!$A$2:$A$3000,$A2,'07_Pallet_Contents'!$I$2:$I$3000))</f>
        <v>0</v>
      </c>
      <c r="Z1779" t="str">
        <f>IF($A2="","",IF(COUNTIF('07_Pallet_Contents'!$A$2:$A$3000,$A2)&gt;0,"Yes",""))</f>
        <v/>
      </c>
    </row>
    <row r="1780" spans="2:26">
      <c r="B1780" s="31"/>
      <c r="G1780" s="34"/>
      <c r="H1780" s="33" t="str">
        <f t="shared" si="35"/>
        <v/>
      </c>
      <c r="I1780" s="31"/>
      <c r="J1780" s="31"/>
      <c r="K1780" s="33"/>
      <c r="W1780">
        <f>IF($A2="","",COUNTIF('07_Pallet_Contents'!$A$2:$A$3000,$A2))</f>
        <v>0</v>
      </c>
      <c r="X1780">
        <f>IF($A2="","",SUMIF('07_Pallet_Contents'!$A$2:$A$3000,$A2,'07_Pallet_Contents'!$D$2:$D$3000))</f>
        <v>0</v>
      </c>
      <c r="Y1780">
        <f>IF($A2="","",SUMIF('07_Pallet_Contents'!$A$2:$A$3000,$A2,'07_Pallet_Contents'!$I$2:$I$3000))</f>
        <v>0</v>
      </c>
      <c r="Z1780" t="str">
        <f>IF($A2="","",IF(COUNTIF('07_Pallet_Contents'!$A$2:$A$3000,$A2)&gt;0,"Yes",""))</f>
        <v/>
      </c>
    </row>
    <row r="1781" spans="2:26">
      <c r="B1781" s="31"/>
      <c r="G1781" s="34"/>
      <c r="H1781" s="33" t="str">
        <f t="shared" si="35"/>
        <v/>
      </c>
      <c r="I1781" s="31"/>
      <c r="J1781" s="31"/>
      <c r="K1781" s="33"/>
      <c r="W1781">
        <f>IF($A2="","",COUNTIF('07_Pallet_Contents'!$A$2:$A$3000,$A2))</f>
        <v>0</v>
      </c>
      <c r="X1781">
        <f>IF($A2="","",SUMIF('07_Pallet_Contents'!$A$2:$A$3000,$A2,'07_Pallet_Contents'!$D$2:$D$3000))</f>
        <v>0</v>
      </c>
      <c r="Y1781">
        <f>IF($A2="","",SUMIF('07_Pallet_Contents'!$A$2:$A$3000,$A2,'07_Pallet_Contents'!$I$2:$I$3000))</f>
        <v>0</v>
      </c>
      <c r="Z1781" t="str">
        <f>IF($A2="","",IF(COUNTIF('07_Pallet_Contents'!$A$2:$A$3000,$A2)&gt;0,"Yes",""))</f>
        <v/>
      </c>
    </row>
    <row r="1782" spans="2:26">
      <c r="B1782" s="31"/>
      <c r="G1782" s="34"/>
      <c r="H1782" s="33" t="str">
        <f t="shared" si="35"/>
        <v/>
      </c>
      <c r="I1782" s="31"/>
      <c r="J1782" s="31"/>
      <c r="K1782" s="33"/>
      <c r="W1782">
        <f>IF($A2="","",COUNTIF('07_Pallet_Contents'!$A$2:$A$3000,$A2))</f>
        <v>0</v>
      </c>
      <c r="X1782">
        <f>IF($A2="","",SUMIF('07_Pallet_Contents'!$A$2:$A$3000,$A2,'07_Pallet_Contents'!$D$2:$D$3000))</f>
        <v>0</v>
      </c>
      <c r="Y1782">
        <f>IF($A2="","",SUMIF('07_Pallet_Contents'!$A$2:$A$3000,$A2,'07_Pallet_Contents'!$I$2:$I$3000))</f>
        <v>0</v>
      </c>
      <c r="Z1782" t="str">
        <f>IF($A2="","",IF(COUNTIF('07_Pallet_Contents'!$A$2:$A$3000,$A2)&gt;0,"Yes",""))</f>
        <v/>
      </c>
    </row>
    <row r="1783" spans="2:26">
      <c r="B1783" s="31"/>
      <c r="G1783" s="34"/>
      <c r="H1783" s="33" t="str">
        <f t="shared" si="35"/>
        <v/>
      </c>
      <c r="I1783" s="31"/>
      <c r="J1783" s="31"/>
      <c r="K1783" s="33"/>
      <c r="W1783">
        <f>IF($A2="","",COUNTIF('07_Pallet_Contents'!$A$2:$A$3000,$A2))</f>
        <v>0</v>
      </c>
      <c r="X1783">
        <f>IF($A2="","",SUMIF('07_Pallet_Contents'!$A$2:$A$3000,$A2,'07_Pallet_Contents'!$D$2:$D$3000))</f>
        <v>0</v>
      </c>
      <c r="Y1783">
        <f>IF($A2="","",SUMIF('07_Pallet_Contents'!$A$2:$A$3000,$A2,'07_Pallet_Contents'!$I$2:$I$3000))</f>
        <v>0</v>
      </c>
      <c r="Z1783" t="str">
        <f>IF($A2="","",IF(COUNTIF('07_Pallet_Contents'!$A$2:$A$3000,$A2)&gt;0,"Yes",""))</f>
        <v/>
      </c>
    </row>
    <row r="1784" spans="2:26">
      <c r="B1784" s="31"/>
      <c r="G1784" s="34"/>
      <c r="H1784" s="33" t="str">
        <f t="shared" si="35"/>
        <v/>
      </c>
      <c r="I1784" s="31"/>
      <c r="J1784" s="31"/>
      <c r="K1784" s="33"/>
      <c r="W1784">
        <f>IF($A2="","",COUNTIF('07_Pallet_Contents'!$A$2:$A$3000,$A2))</f>
        <v>0</v>
      </c>
      <c r="X1784">
        <f>IF($A2="","",SUMIF('07_Pallet_Contents'!$A$2:$A$3000,$A2,'07_Pallet_Contents'!$D$2:$D$3000))</f>
        <v>0</v>
      </c>
      <c r="Y1784">
        <f>IF($A2="","",SUMIF('07_Pallet_Contents'!$A$2:$A$3000,$A2,'07_Pallet_Contents'!$I$2:$I$3000))</f>
        <v>0</v>
      </c>
      <c r="Z1784" t="str">
        <f>IF($A2="","",IF(COUNTIF('07_Pallet_Contents'!$A$2:$A$3000,$A2)&gt;0,"Yes",""))</f>
        <v/>
      </c>
    </row>
    <row r="1785" spans="2:26">
      <c r="B1785" s="31"/>
      <c r="G1785" s="34"/>
      <c r="H1785" s="33" t="str">
        <f t="shared" si="35"/>
        <v/>
      </c>
      <c r="I1785" s="31"/>
      <c r="J1785" s="31"/>
      <c r="K1785" s="33"/>
      <c r="W1785">
        <f>IF($A2="","",COUNTIF('07_Pallet_Contents'!$A$2:$A$3000,$A2))</f>
        <v>0</v>
      </c>
      <c r="X1785">
        <f>IF($A2="","",SUMIF('07_Pallet_Contents'!$A$2:$A$3000,$A2,'07_Pallet_Contents'!$D$2:$D$3000))</f>
        <v>0</v>
      </c>
      <c r="Y1785">
        <f>IF($A2="","",SUMIF('07_Pallet_Contents'!$A$2:$A$3000,$A2,'07_Pallet_Contents'!$I$2:$I$3000))</f>
        <v>0</v>
      </c>
      <c r="Z1785" t="str">
        <f>IF($A2="","",IF(COUNTIF('07_Pallet_Contents'!$A$2:$A$3000,$A2)&gt;0,"Yes",""))</f>
        <v/>
      </c>
    </row>
    <row r="1786" spans="2:26">
      <c r="B1786" s="31"/>
      <c r="G1786" s="34"/>
      <c r="H1786" s="33" t="str">
        <f t="shared" si="35"/>
        <v/>
      </c>
      <c r="I1786" s="31"/>
      <c r="J1786" s="31"/>
      <c r="K1786" s="33"/>
      <c r="W1786">
        <f>IF($A2="","",COUNTIF('07_Pallet_Contents'!$A$2:$A$3000,$A2))</f>
        <v>0</v>
      </c>
      <c r="X1786">
        <f>IF($A2="","",SUMIF('07_Pallet_Contents'!$A$2:$A$3000,$A2,'07_Pallet_Contents'!$D$2:$D$3000))</f>
        <v>0</v>
      </c>
      <c r="Y1786">
        <f>IF($A2="","",SUMIF('07_Pallet_Contents'!$A$2:$A$3000,$A2,'07_Pallet_Contents'!$I$2:$I$3000))</f>
        <v>0</v>
      </c>
      <c r="Z1786" t="str">
        <f>IF($A2="","",IF(COUNTIF('07_Pallet_Contents'!$A$2:$A$3000,$A2)&gt;0,"Yes",""))</f>
        <v/>
      </c>
    </row>
    <row r="1787" spans="2:26">
      <c r="B1787" s="31"/>
      <c r="G1787" s="34"/>
      <c r="H1787" s="33" t="str">
        <f t="shared" si="35"/>
        <v/>
      </c>
      <c r="I1787" s="31"/>
      <c r="J1787" s="31"/>
      <c r="K1787" s="33"/>
      <c r="W1787">
        <f>IF($A2="","",COUNTIF('07_Pallet_Contents'!$A$2:$A$3000,$A2))</f>
        <v>0</v>
      </c>
      <c r="X1787">
        <f>IF($A2="","",SUMIF('07_Pallet_Contents'!$A$2:$A$3000,$A2,'07_Pallet_Contents'!$D$2:$D$3000))</f>
        <v>0</v>
      </c>
      <c r="Y1787">
        <f>IF($A2="","",SUMIF('07_Pallet_Contents'!$A$2:$A$3000,$A2,'07_Pallet_Contents'!$I$2:$I$3000))</f>
        <v>0</v>
      </c>
      <c r="Z1787" t="str">
        <f>IF($A2="","",IF(COUNTIF('07_Pallet_Contents'!$A$2:$A$3000,$A2)&gt;0,"Yes",""))</f>
        <v/>
      </c>
    </row>
    <row r="1788" spans="2:26">
      <c r="B1788" s="31"/>
      <c r="G1788" s="34"/>
      <c r="H1788" s="33" t="str">
        <f t="shared" si="35"/>
        <v/>
      </c>
      <c r="I1788" s="31"/>
      <c r="J1788" s="31"/>
      <c r="K1788" s="33"/>
      <c r="W1788">
        <f>IF($A2="","",COUNTIF('07_Pallet_Contents'!$A$2:$A$3000,$A2))</f>
        <v>0</v>
      </c>
      <c r="X1788">
        <f>IF($A2="","",SUMIF('07_Pallet_Contents'!$A$2:$A$3000,$A2,'07_Pallet_Contents'!$D$2:$D$3000))</f>
        <v>0</v>
      </c>
      <c r="Y1788">
        <f>IF($A2="","",SUMIF('07_Pallet_Contents'!$A$2:$A$3000,$A2,'07_Pallet_Contents'!$I$2:$I$3000))</f>
        <v>0</v>
      </c>
      <c r="Z1788" t="str">
        <f>IF($A2="","",IF(COUNTIF('07_Pallet_Contents'!$A$2:$A$3000,$A2)&gt;0,"Yes",""))</f>
        <v/>
      </c>
    </row>
    <row r="1789" spans="2:26">
      <c r="B1789" s="31"/>
      <c r="G1789" s="34"/>
      <c r="H1789" s="33" t="str">
        <f t="shared" si="35"/>
        <v/>
      </c>
      <c r="I1789" s="31"/>
      <c r="J1789" s="31"/>
      <c r="K1789" s="33"/>
      <c r="W1789">
        <f>IF($A2="","",COUNTIF('07_Pallet_Contents'!$A$2:$A$3000,$A2))</f>
        <v>0</v>
      </c>
      <c r="X1789">
        <f>IF($A2="","",SUMIF('07_Pallet_Contents'!$A$2:$A$3000,$A2,'07_Pallet_Contents'!$D$2:$D$3000))</f>
        <v>0</v>
      </c>
      <c r="Y1789">
        <f>IF($A2="","",SUMIF('07_Pallet_Contents'!$A$2:$A$3000,$A2,'07_Pallet_Contents'!$I$2:$I$3000))</f>
        <v>0</v>
      </c>
      <c r="Z1789" t="str">
        <f>IF($A2="","",IF(COUNTIF('07_Pallet_Contents'!$A$2:$A$3000,$A2)&gt;0,"Yes",""))</f>
        <v/>
      </c>
    </row>
    <row r="1790" spans="2:26">
      <c r="B1790" s="31"/>
      <c r="G1790" s="34"/>
      <c r="H1790" s="33" t="str">
        <f t="shared" si="35"/>
        <v/>
      </c>
      <c r="I1790" s="31"/>
      <c r="J1790" s="31"/>
      <c r="K1790" s="33"/>
      <c r="W1790">
        <f>IF($A2="","",COUNTIF('07_Pallet_Contents'!$A$2:$A$3000,$A2))</f>
        <v>0</v>
      </c>
      <c r="X1790">
        <f>IF($A2="","",SUMIF('07_Pallet_Contents'!$A$2:$A$3000,$A2,'07_Pallet_Contents'!$D$2:$D$3000))</f>
        <v>0</v>
      </c>
      <c r="Y1790">
        <f>IF($A2="","",SUMIF('07_Pallet_Contents'!$A$2:$A$3000,$A2,'07_Pallet_Contents'!$I$2:$I$3000))</f>
        <v>0</v>
      </c>
      <c r="Z1790" t="str">
        <f>IF($A2="","",IF(COUNTIF('07_Pallet_Contents'!$A$2:$A$3000,$A2)&gt;0,"Yes",""))</f>
        <v/>
      </c>
    </row>
    <row r="1791" spans="2:26">
      <c r="B1791" s="31"/>
      <c r="G1791" s="34"/>
      <c r="H1791" s="33" t="str">
        <f t="shared" si="35"/>
        <v/>
      </c>
      <c r="I1791" s="31"/>
      <c r="J1791" s="31"/>
      <c r="K1791" s="33"/>
      <c r="W1791">
        <f>IF($A2="","",COUNTIF('07_Pallet_Contents'!$A$2:$A$3000,$A2))</f>
        <v>0</v>
      </c>
      <c r="X1791">
        <f>IF($A2="","",SUMIF('07_Pallet_Contents'!$A$2:$A$3000,$A2,'07_Pallet_Contents'!$D$2:$D$3000))</f>
        <v>0</v>
      </c>
      <c r="Y1791">
        <f>IF($A2="","",SUMIF('07_Pallet_Contents'!$A$2:$A$3000,$A2,'07_Pallet_Contents'!$I$2:$I$3000))</f>
        <v>0</v>
      </c>
      <c r="Z1791" t="str">
        <f>IF($A2="","",IF(COUNTIF('07_Pallet_Contents'!$A$2:$A$3000,$A2)&gt;0,"Yes",""))</f>
        <v/>
      </c>
    </row>
    <row r="1792" spans="2:26">
      <c r="B1792" s="31"/>
      <c r="G1792" s="34"/>
      <c r="H1792" s="33" t="str">
        <f t="shared" si="35"/>
        <v/>
      </c>
      <c r="I1792" s="31"/>
      <c r="J1792" s="31"/>
      <c r="K1792" s="33"/>
      <c r="W1792">
        <f>IF($A2="","",COUNTIF('07_Pallet_Contents'!$A$2:$A$3000,$A2))</f>
        <v>0</v>
      </c>
      <c r="X1792">
        <f>IF($A2="","",SUMIF('07_Pallet_Contents'!$A$2:$A$3000,$A2,'07_Pallet_Contents'!$D$2:$D$3000))</f>
        <v>0</v>
      </c>
      <c r="Y1792">
        <f>IF($A2="","",SUMIF('07_Pallet_Contents'!$A$2:$A$3000,$A2,'07_Pallet_Contents'!$I$2:$I$3000))</f>
        <v>0</v>
      </c>
      <c r="Z1792" t="str">
        <f>IF($A2="","",IF(COUNTIF('07_Pallet_Contents'!$A$2:$A$3000,$A2)&gt;0,"Yes",""))</f>
        <v/>
      </c>
    </row>
    <row r="1793" spans="2:26">
      <c r="B1793" s="31"/>
      <c r="G1793" s="34"/>
      <c r="H1793" s="33" t="str">
        <f t="shared" si="35"/>
        <v/>
      </c>
      <c r="I1793" s="31"/>
      <c r="J1793" s="31"/>
      <c r="K1793" s="33"/>
      <c r="W1793">
        <f>IF($A2="","",COUNTIF('07_Pallet_Contents'!$A$2:$A$3000,$A2))</f>
        <v>0</v>
      </c>
      <c r="X1793">
        <f>IF($A2="","",SUMIF('07_Pallet_Contents'!$A$2:$A$3000,$A2,'07_Pallet_Contents'!$D$2:$D$3000))</f>
        <v>0</v>
      </c>
      <c r="Y1793">
        <f>IF($A2="","",SUMIF('07_Pallet_Contents'!$A$2:$A$3000,$A2,'07_Pallet_Contents'!$I$2:$I$3000))</f>
        <v>0</v>
      </c>
      <c r="Z1793" t="str">
        <f>IF($A2="","",IF(COUNTIF('07_Pallet_Contents'!$A$2:$A$3000,$A2)&gt;0,"Yes",""))</f>
        <v/>
      </c>
    </row>
    <row r="1794" spans="2:26">
      <c r="B1794" s="31"/>
      <c r="G1794" s="34"/>
      <c r="H1794" s="33" t="str">
        <f t="shared" ref="H1794:H1857" si="36">IF(AND($F1794="TEMP",$G1794&gt;0,$M1794&lt;&gt;""),$M1794+$G1794,"")</f>
        <v/>
      </c>
      <c r="I1794" s="31"/>
      <c r="J1794" s="31"/>
      <c r="K1794" s="33"/>
      <c r="W1794">
        <f>IF($A2="","",COUNTIF('07_Pallet_Contents'!$A$2:$A$3000,$A2))</f>
        <v>0</v>
      </c>
      <c r="X1794">
        <f>IF($A2="","",SUMIF('07_Pallet_Contents'!$A$2:$A$3000,$A2,'07_Pallet_Contents'!$D$2:$D$3000))</f>
        <v>0</v>
      </c>
      <c r="Y1794">
        <f>IF($A2="","",SUMIF('07_Pallet_Contents'!$A$2:$A$3000,$A2,'07_Pallet_Contents'!$I$2:$I$3000))</f>
        <v>0</v>
      </c>
      <c r="Z1794" t="str">
        <f>IF($A2="","",IF(COUNTIF('07_Pallet_Contents'!$A$2:$A$3000,$A2)&gt;0,"Yes",""))</f>
        <v/>
      </c>
    </row>
    <row r="1795" spans="2:26">
      <c r="B1795" s="31"/>
      <c r="G1795" s="34"/>
      <c r="H1795" s="33" t="str">
        <f t="shared" si="36"/>
        <v/>
      </c>
      <c r="I1795" s="31"/>
      <c r="J1795" s="31"/>
      <c r="K1795" s="33"/>
      <c r="W1795">
        <f>IF($A2="","",COUNTIF('07_Pallet_Contents'!$A$2:$A$3000,$A2))</f>
        <v>0</v>
      </c>
      <c r="X1795">
        <f>IF($A2="","",SUMIF('07_Pallet_Contents'!$A$2:$A$3000,$A2,'07_Pallet_Contents'!$D$2:$D$3000))</f>
        <v>0</v>
      </c>
      <c r="Y1795">
        <f>IF($A2="","",SUMIF('07_Pallet_Contents'!$A$2:$A$3000,$A2,'07_Pallet_Contents'!$I$2:$I$3000))</f>
        <v>0</v>
      </c>
      <c r="Z1795" t="str">
        <f>IF($A2="","",IF(COUNTIF('07_Pallet_Contents'!$A$2:$A$3000,$A2)&gt;0,"Yes",""))</f>
        <v/>
      </c>
    </row>
    <row r="1796" spans="2:26">
      <c r="B1796" s="31"/>
      <c r="G1796" s="34"/>
      <c r="H1796" s="33" t="str">
        <f t="shared" si="36"/>
        <v/>
      </c>
      <c r="I1796" s="31"/>
      <c r="J1796" s="31"/>
      <c r="K1796" s="33"/>
      <c r="W1796">
        <f>IF($A2="","",COUNTIF('07_Pallet_Contents'!$A$2:$A$3000,$A2))</f>
        <v>0</v>
      </c>
      <c r="X1796">
        <f>IF($A2="","",SUMIF('07_Pallet_Contents'!$A$2:$A$3000,$A2,'07_Pallet_Contents'!$D$2:$D$3000))</f>
        <v>0</v>
      </c>
      <c r="Y1796">
        <f>IF($A2="","",SUMIF('07_Pallet_Contents'!$A$2:$A$3000,$A2,'07_Pallet_Contents'!$I$2:$I$3000))</f>
        <v>0</v>
      </c>
      <c r="Z1796" t="str">
        <f>IF($A2="","",IF(COUNTIF('07_Pallet_Contents'!$A$2:$A$3000,$A2)&gt;0,"Yes",""))</f>
        <v/>
      </c>
    </row>
    <row r="1797" spans="2:26">
      <c r="B1797" s="31"/>
      <c r="G1797" s="34"/>
      <c r="H1797" s="33" t="str">
        <f t="shared" si="36"/>
        <v/>
      </c>
      <c r="I1797" s="31"/>
      <c r="J1797" s="31"/>
      <c r="K1797" s="33"/>
      <c r="W1797">
        <f>IF($A2="","",COUNTIF('07_Pallet_Contents'!$A$2:$A$3000,$A2))</f>
        <v>0</v>
      </c>
      <c r="X1797">
        <f>IF($A2="","",SUMIF('07_Pallet_Contents'!$A$2:$A$3000,$A2,'07_Pallet_Contents'!$D$2:$D$3000))</f>
        <v>0</v>
      </c>
      <c r="Y1797">
        <f>IF($A2="","",SUMIF('07_Pallet_Contents'!$A$2:$A$3000,$A2,'07_Pallet_Contents'!$I$2:$I$3000))</f>
        <v>0</v>
      </c>
      <c r="Z1797" t="str">
        <f>IF($A2="","",IF(COUNTIF('07_Pallet_Contents'!$A$2:$A$3000,$A2)&gt;0,"Yes",""))</f>
        <v/>
      </c>
    </row>
    <row r="1798" spans="2:26">
      <c r="B1798" s="31"/>
      <c r="G1798" s="34"/>
      <c r="H1798" s="33" t="str">
        <f t="shared" si="36"/>
        <v/>
      </c>
      <c r="I1798" s="31"/>
      <c r="J1798" s="31"/>
      <c r="K1798" s="33"/>
      <c r="W1798">
        <f>IF($A2="","",COUNTIF('07_Pallet_Contents'!$A$2:$A$3000,$A2))</f>
        <v>0</v>
      </c>
      <c r="X1798">
        <f>IF($A2="","",SUMIF('07_Pallet_Contents'!$A$2:$A$3000,$A2,'07_Pallet_Contents'!$D$2:$D$3000))</f>
        <v>0</v>
      </c>
      <c r="Y1798">
        <f>IF($A2="","",SUMIF('07_Pallet_Contents'!$A$2:$A$3000,$A2,'07_Pallet_Contents'!$I$2:$I$3000))</f>
        <v>0</v>
      </c>
      <c r="Z1798" t="str">
        <f>IF($A2="","",IF(COUNTIF('07_Pallet_Contents'!$A$2:$A$3000,$A2)&gt;0,"Yes",""))</f>
        <v/>
      </c>
    </row>
    <row r="1799" spans="2:26">
      <c r="B1799" s="31"/>
      <c r="G1799" s="34"/>
      <c r="H1799" s="33" t="str">
        <f t="shared" si="36"/>
        <v/>
      </c>
      <c r="I1799" s="31"/>
      <c r="J1799" s="31"/>
      <c r="K1799" s="33"/>
      <c r="W1799">
        <f>IF($A2="","",COUNTIF('07_Pallet_Contents'!$A$2:$A$3000,$A2))</f>
        <v>0</v>
      </c>
      <c r="X1799">
        <f>IF($A2="","",SUMIF('07_Pallet_Contents'!$A$2:$A$3000,$A2,'07_Pallet_Contents'!$D$2:$D$3000))</f>
        <v>0</v>
      </c>
      <c r="Y1799">
        <f>IF($A2="","",SUMIF('07_Pallet_Contents'!$A$2:$A$3000,$A2,'07_Pallet_Contents'!$I$2:$I$3000))</f>
        <v>0</v>
      </c>
      <c r="Z1799" t="str">
        <f>IF($A2="","",IF(COUNTIF('07_Pallet_Contents'!$A$2:$A$3000,$A2)&gt;0,"Yes",""))</f>
        <v/>
      </c>
    </row>
    <row r="1800" spans="2:26">
      <c r="B1800" s="31"/>
      <c r="G1800" s="34"/>
      <c r="H1800" s="33" t="str">
        <f t="shared" si="36"/>
        <v/>
      </c>
      <c r="I1800" s="31"/>
      <c r="J1800" s="31"/>
      <c r="K1800" s="33"/>
      <c r="W1800">
        <f>IF($A2="","",COUNTIF('07_Pallet_Contents'!$A$2:$A$3000,$A2))</f>
        <v>0</v>
      </c>
      <c r="X1800">
        <f>IF($A2="","",SUMIF('07_Pallet_Contents'!$A$2:$A$3000,$A2,'07_Pallet_Contents'!$D$2:$D$3000))</f>
        <v>0</v>
      </c>
      <c r="Y1800">
        <f>IF($A2="","",SUMIF('07_Pallet_Contents'!$A$2:$A$3000,$A2,'07_Pallet_Contents'!$I$2:$I$3000))</f>
        <v>0</v>
      </c>
      <c r="Z1800" t="str">
        <f>IF($A2="","",IF(COUNTIF('07_Pallet_Contents'!$A$2:$A$3000,$A2)&gt;0,"Yes",""))</f>
        <v/>
      </c>
    </row>
    <row r="1801" spans="2:26">
      <c r="B1801" s="31"/>
      <c r="G1801" s="34"/>
      <c r="H1801" s="33" t="str">
        <f t="shared" si="36"/>
        <v/>
      </c>
      <c r="I1801" s="31"/>
      <c r="J1801" s="31"/>
      <c r="K1801" s="33"/>
      <c r="W1801">
        <f>IF($A2="","",COUNTIF('07_Pallet_Contents'!$A$2:$A$3000,$A2))</f>
        <v>0</v>
      </c>
      <c r="X1801">
        <f>IF($A2="","",SUMIF('07_Pallet_Contents'!$A$2:$A$3000,$A2,'07_Pallet_Contents'!$D$2:$D$3000))</f>
        <v>0</v>
      </c>
      <c r="Y1801">
        <f>IF($A2="","",SUMIF('07_Pallet_Contents'!$A$2:$A$3000,$A2,'07_Pallet_Contents'!$I$2:$I$3000))</f>
        <v>0</v>
      </c>
      <c r="Z1801" t="str">
        <f>IF($A2="","",IF(COUNTIF('07_Pallet_Contents'!$A$2:$A$3000,$A2)&gt;0,"Yes",""))</f>
        <v/>
      </c>
    </row>
    <row r="1802" spans="2:26">
      <c r="B1802" s="31"/>
      <c r="G1802" s="34"/>
      <c r="H1802" s="33" t="str">
        <f t="shared" si="36"/>
        <v/>
      </c>
      <c r="I1802" s="31"/>
      <c r="J1802" s="31"/>
      <c r="K1802" s="33"/>
      <c r="W1802">
        <f>IF($A2="","",COUNTIF('07_Pallet_Contents'!$A$2:$A$3000,$A2))</f>
        <v>0</v>
      </c>
      <c r="X1802">
        <f>IF($A2="","",SUMIF('07_Pallet_Contents'!$A$2:$A$3000,$A2,'07_Pallet_Contents'!$D$2:$D$3000))</f>
        <v>0</v>
      </c>
      <c r="Y1802">
        <f>IF($A2="","",SUMIF('07_Pallet_Contents'!$A$2:$A$3000,$A2,'07_Pallet_Contents'!$I$2:$I$3000))</f>
        <v>0</v>
      </c>
      <c r="Z1802" t="str">
        <f>IF($A2="","",IF(COUNTIF('07_Pallet_Contents'!$A$2:$A$3000,$A2)&gt;0,"Yes",""))</f>
        <v/>
      </c>
    </row>
    <row r="1803" spans="2:26">
      <c r="B1803" s="31"/>
      <c r="G1803" s="34"/>
      <c r="H1803" s="33" t="str">
        <f t="shared" si="36"/>
        <v/>
      </c>
      <c r="I1803" s="31"/>
      <c r="J1803" s="31"/>
      <c r="K1803" s="33"/>
      <c r="W1803">
        <f>IF($A2="","",COUNTIF('07_Pallet_Contents'!$A$2:$A$3000,$A2))</f>
        <v>0</v>
      </c>
      <c r="X1803">
        <f>IF($A2="","",SUMIF('07_Pallet_Contents'!$A$2:$A$3000,$A2,'07_Pallet_Contents'!$D$2:$D$3000))</f>
        <v>0</v>
      </c>
      <c r="Y1803">
        <f>IF($A2="","",SUMIF('07_Pallet_Contents'!$A$2:$A$3000,$A2,'07_Pallet_Contents'!$I$2:$I$3000))</f>
        <v>0</v>
      </c>
      <c r="Z1803" t="str">
        <f>IF($A2="","",IF(COUNTIF('07_Pallet_Contents'!$A$2:$A$3000,$A2)&gt;0,"Yes",""))</f>
        <v/>
      </c>
    </row>
    <row r="1804" spans="2:26">
      <c r="B1804" s="31"/>
      <c r="G1804" s="34"/>
      <c r="H1804" s="33" t="str">
        <f t="shared" si="36"/>
        <v/>
      </c>
      <c r="I1804" s="31"/>
      <c r="J1804" s="31"/>
      <c r="K1804" s="33"/>
      <c r="W1804">
        <f>IF($A2="","",COUNTIF('07_Pallet_Contents'!$A$2:$A$3000,$A2))</f>
        <v>0</v>
      </c>
      <c r="X1804">
        <f>IF($A2="","",SUMIF('07_Pallet_Contents'!$A$2:$A$3000,$A2,'07_Pallet_Contents'!$D$2:$D$3000))</f>
        <v>0</v>
      </c>
      <c r="Y1804">
        <f>IF($A2="","",SUMIF('07_Pallet_Contents'!$A$2:$A$3000,$A2,'07_Pallet_Contents'!$I$2:$I$3000))</f>
        <v>0</v>
      </c>
      <c r="Z1804" t="str">
        <f>IF($A2="","",IF(COUNTIF('07_Pallet_Contents'!$A$2:$A$3000,$A2)&gt;0,"Yes",""))</f>
        <v/>
      </c>
    </row>
    <row r="1805" spans="2:26">
      <c r="B1805" s="31"/>
      <c r="G1805" s="34"/>
      <c r="H1805" s="33" t="str">
        <f t="shared" si="36"/>
        <v/>
      </c>
      <c r="I1805" s="31"/>
      <c r="J1805" s="31"/>
      <c r="K1805" s="33"/>
      <c r="W1805">
        <f>IF($A2="","",COUNTIF('07_Pallet_Contents'!$A$2:$A$3000,$A2))</f>
        <v>0</v>
      </c>
      <c r="X1805">
        <f>IF($A2="","",SUMIF('07_Pallet_Contents'!$A$2:$A$3000,$A2,'07_Pallet_Contents'!$D$2:$D$3000))</f>
        <v>0</v>
      </c>
      <c r="Y1805">
        <f>IF($A2="","",SUMIF('07_Pallet_Contents'!$A$2:$A$3000,$A2,'07_Pallet_Contents'!$I$2:$I$3000))</f>
        <v>0</v>
      </c>
      <c r="Z1805" t="str">
        <f>IF($A2="","",IF(COUNTIF('07_Pallet_Contents'!$A$2:$A$3000,$A2)&gt;0,"Yes",""))</f>
        <v/>
      </c>
    </row>
    <row r="1806" spans="2:26">
      <c r="B1806" s="31"/>
      <c r="G1806" s="34"/>
      <c r="H1806" s="33" t="str">
        <f t="shared" si="36"/>
        <v/>
      </c>
      <c r="I1806" s="31"/>
      <c r="J1806" s="31"/>
      <c r="K1806" s="33"/>
      <c r="W1806">
        <f>IF($A2="","",COUNTIF('07_Pallet_Contents'!$A$2:$A$3000,$A2))</f>
        <v>0</v>
      </c>
      <c r="X1806">
        <f>IF($A2="","",SUMIF('07_Pallet_Contents'!$A$2:$A$3000,$A2,'07_Pallet_Contents'!$D$2:$D$3000))</f>
        <v>0</v>
      </c>
      <c r="Y1806">
        <f>IF($A2="","",SUMIF('07_Pallet_Contents'!$A$2:$A$3000,$A2,'07_Pallet_Contents'!$I$2:$I$3000))</f>
        <v>0</v>
      </c>
      <c r="Z1806" t="str">
        <f>IF($A2="","",IF(COUNTIF('07_Pallet_Contents'!$A$2:$A$3000,$A2)&gt;0,"Yes",""))</f>
        <v/>
      </c>
    </row>
    <row r="1807" spans="2:26">
      <c r="B1807" s="31"/>
      <c r="G1807" s="34"/>
      <c r="H1807" s="33" t="str">
        <f t="shared" si="36"/>
        <v/>
      </c>
      <c r="I1807" s="31"/>
      <c r="J1807" s="31"/>
      <c r="K1807" s="33"/>
      <c r="W1807">
        <f>IF($A2="","",COUNTIF('07_Pallet_Contents'!$A$2:$A$3000,$A2))</f>
        <v>0</v>
      </c>
      <c r="X1807">
        <f>IF($A2="","",SUMIF('07_Pallet_Contents'!$A$2:$A$3000,$A2,'07_Pallet_Contents'!$D$2:$D$3000))</f>
        <v>0</v>
      </c>
      <c r="Y1807">
        <f>IF($A2="","",SUMIF('07_Pallet_Contents'!$A$2:$A$3000,$A2,'07_Pallet_Contents'!$I$2:$I$3000))</f>
        <v>0</v>
      </c>
      <c r="Z1807" t="str">
        <f>IF($A2="","",IF(COUNTIF('07_Pallet_Contents'!$A$2:$A$3000,$A2)&gt;0,"Yes",""))</f>
        <v/>
      </c>
    </row>
    <row r="1808" spans="2:26">
      <c r="B1808" s="31"/>
      <c r="G1808" s="34"/>
      <c r="H1808" s="33" t="str">
        <f t="shared" si="36"/>
        <v/>
      </c>
      <c r="I1808" s="31"/>
      <c r="J1808" s="31"/>
      <c r="K1808" s="33"/>
      <c r="W1808">
        <f>IF($A2="","",COUNTIF('07_Pallet_Contents'!$A$2:$A$3000,$A2))</f>
        <v>0</v>
      </c>
      <c r="X1808">
        <f>IF($A2="","",SUMIF('07_Pallet_Contents'!$A$2:$A$3000,$A2,'07_Pallet_Contents'!$D$2:$D$3000))</f>
        <v>0</v>
      </c>
      <c r="Y1808">
        <f>IF($A2="","",SUMIF('07_Pallet_Contents'!$A$2:$A$3000,$A2,'07_Pallet_Contents'!$I$2:$I$3000))</f>
        <v>0</v>
      </c>
      <c r="Z1808" t="str">
        <f>IF($A2="","",IF(COUNTIF('07_Pallet_Contents'!$A$2:$A$3000,$A2)&gt;0,"Yes",""))</f>
        <v/>
      </c>
    </row>
    <row r="1809" spans="2:26">
      <c r="B1809" s="31"/>
      <c r="G1809" s="34"/>
      <c r="H1809" s="33" t="str">
        <f t="shared" si="36"/>
        <v/>
      </c>
      <c r="I1809" s="31"/>
      <c r="J1809" s="31"/>
      <c r="K1809" s="33"/>
      <c r="W1809">
        <f>IF($A2="","",COUNTIF('07_Pallet_Contents'!$A$2:$A$3000,$A2))</f>
        <v>0</v>
      </c>
      <c r="X1809">
        <f>IF($A2="","",SUMIF('07_Pallet_Contents'!$A$2:$A$3000,$A2,'07_Pallet_Contents'!$D$2:$D$3000))</f>
        <v>0</v>
      </c>
      <c r="Y1809">
        <f>IF($A2="","",SUMIF('07_Pallet_Contents'!$A$2:$A$3000,$A2,'07_Pallet_Contents'!$I$2:$I$3000))</f>
        <v>0</v>
      </c>
      <c r="Z1809" t="str">
        <f>IF($A2="","",IF(COUNTIF('07_Pallet_Contents'!$A$2:$A$3000,$A2)&gt;0,"Yes",""))</f>
        <v/>
      </c>
    </row>
    <row r="1810" spans="2:26">
      <c r="B1810" s="31"/>
      <c r="G1810" s="34"/>
      <c r="H1810" s="33" t="str">
        <f t="shared" si="36"/>
        <v/>
      </c>
      <c r="I1810" s="31"/>
      <c r="J1810" s="31"/>
      <c r="K1810" s="33"/>
      <c r="W1810">
        <f>IF($A2="","",COUNTIF('07_Pallet_Contents'!$A$2:$A$3000,$A2))</f>
        <v>0</v>
      </c>
      <c r="X1810">
        <f>IF($A2="","",SUMIF('07_Pallet_Contents'!$A$2:$A$3000,$A2,'07_Pallet_Contents'!$D$2:$D$3000))</f>
        <v>0</v>
      </c>
      <c r="Y1810">
        <f>IF($A2="","",SUMIF('07_Pallet_Contents'!$A$2:$A$3000,$A2,'07_Pallet_Contents'!$I$2:$I$3000))</f>
        <v>0</v>
      </c>
      <c r="Z1810" t="str">
        <f>IF($A2="","",IF(COUNTIF('07_Pallet_Contents'!$A$2:$A$3000,$A2)&gt;0,"Yes",""))</f>
        <v/>
      </c>
    </row>
    <row r="1811" spans="2:26">
      <c r="B1811" s="31"/>
      <c r="G1811" s="34"/>
      <c r="H1811" s="33" t="str">
        <f t="shared" si="36"/>
        <v/>
      </c>
      <c r="I1811" s="31"/>
      <c r="J1811" s="31"/>
      <c r="K1811" s="33"/>
      <c r="W1811">
        <f>IF($A2="","",COUNTIF('07_Pallet_Contents'!$A$2:$A$3000,$A2))</f>
        <v>0</v>
      </c>
      <c r="X1811">
        <f>IF($A2="","",SUMIF('07_Pallet_Contents'!$A$2:$A$3000,$A2,'07_Pallet_Contents'!$D$2:$D$3000))</f>
        <v>0</v>
      </c>
      <c r="Y1811">
        <f>IF($A2="","",SUMIF('07_Pallet_Contents'!$A$2:$A$3000,$A2,'07_Pallet_Contents'!$I$2:$I$3000))</f>
        <v>0</v>
      </c>
      <c r="Z1811" t="str">
        <f>IF($A2="","",IF(COUNTIF('07_Pallet_Contents'!$A$2:$A$3000,$A2)&gt;0,"Yes",""))</f>
        <v/>
      </c>
    </row>
    <row r="1812" spans="2:26">
      <c r="B1812" s="31"/>
      <c r="G1812" s="34"/>
      <c r="H1812" s="33" t="str">
        <f t="shared" si="36"/>
        <v/>
      </c>
      <c r="I1812" s="31"/>
      <c r="J1812" s="31"/>
      <c r="K1812" s="33"/>
      <c r="W1812">
        <f>IF($A2="","",COUNTIF('07_Pallet_Contents'!$A$2:$A$3000,$A2))</f>
        <v>0</v>
      </c>
      <c r="X1812">
        <f>IF($A2="","",SUMIF('07_Pallet_Contents'!$A$2:$A$3000,$A2,'07_Pallet_Contents'!$D$2:$D$3000))</f>
        <v>0</v>
      </c>
      <c r="Y1812">
        <f>IF($A2="","",SUMIF('07_Pallet_Contents'!$A$2:$A$3000,$A2,'07_Pallet_Contents'!$I$2:$I$3000))</f>
        <v>0</v>
      </c>
      <c r="Z1812" t="str">
        <f>IF($A2="","",IF(COUNTIF('07_Pallet_Contents'!$A$2:$A$3000,$A2)&gt;0,"Yes",""))</f>
        <v/>
      </c>
    </row>
    <row r="1813" spans="2:26">
      <c r="B1813" s="31"/>
      <c r="G1813" s="34"/>
      <c r="H1813" s="33" t="str">
        <f t="shared" si="36"/>
        <v/>
      </c>
      <c r="I1813" s="31"/>
      <c r="J1813" s="31"/>
      <c r="K1813" s="33"/>
      <c r="W1813">
        <f>IF($A2="","",COUNTIF('07_Pallet_Contents'!$A$2:$A$3000,$A2))</f>
        <v>0</v>
      </c>
      <c r="X1813">
        <f>IF($A2="","",SUMIF('07_Pallet_Contents'!$A$2:$A$3000,$A2,'07_Pallet_Contents'!$D$2:$D$3000))</f>
        <v>0</v>
      </c>
      <c r="Y1813">
        <f>IF($A2="","",SUMIF('07_Pallet_Contents'!$A$2:$A$3000,$A2,'07_Pallet_Contents'!$I$2:$I$3000))</f>
        <v>0</v>
      </c>
      <c r="Z1813" t="str">
        <f>IF($A2="","",IF(COUNTIF('07_Pallet_Contents'!$A$2:$A$3000,$A2)&gt;0,"Yes",""))</f>
        <v/>
      </c>
    </row>
    <row r="1814" spans="2:26">
      <c r="B1814" s="31"/>
      <c r="G1814" s="34"/>
      <c r="H1814" s="33" t="str">
        <f t="shared" si="36"/>
        <v/>
      </c>
      <c r="I1814" s="31"/>
      <c r="J1814" s="31"/>
      <c r="K1814" s="33"/>
      <c r="W1814">
        <f>IF($A2="","",COUNTIF('07_Pallet_Contents'!$A$2:$A$3000,$A2))</f>
        <v>0</v>
      </c>
      <c r="X1814">
        <f>IF($A2="","",SUMIF('07_Pallet_Contents'!$A$2:$A$3000,$A2,'07_Pallet_Contents'!$D$2:$D$3000))</f>
        <v>0</v>
      </c>
      <c r="Y1814">
        <f>IF($A2="","",SUMIF('07_Pallet_Contents'!$A$2:$A$3000,$A2,'07_Pallet_Contents'!$I$2:$I$3000))</f>
        <v>0</v>
      </c>
      <c r="Z1814" t="str">
        <f>IF($A2="","",IF(COUNTIF('07_Pallet_Contents'!$A$2:$A$3000,$A2)&gt;0,"Yes",""))</f>
        <v/>
      </c>
    </row>
    <row r="1815" spans="2:26">
      <c r="B1815" s="31"/>
      <c r="G1815" s="34"/>
      <c r="H1815" s="33" t="str">
        <f t="shared" si="36"/>
        <v/>
      </c>
      <c r="I1815" s="31"/>
      <c r="J1815" s="31"/>
      <c r="K1815" s="33"/>
      <c r="W1815">
        <f>IF($A2="","",COUNTIF('07_Pallet_Contents'!$A$2:$A$3000,$A2))</f>
        <v>0</v>
      </c>
      <c r="X1815">
        <f>IF($A2="","",SUMIF('07_Pallet_Contents'!$A$2:$A$3000,$A2,'07_Pallet_Contents'!$D$2:$D$3000))</f>
        <v>0</v>
      </c>
      <c r="Y1815">
        <f>IF($A2="","",SUMIF('07_Pallet_Contents'!$A$2:$A$3000,$A2,'07_Pallet_Contents'!$I$2:$I$3000))</f>
        <v>0</v>
      </c>
      <c r="Z1815" t="str">
        <f>IF($A2="","",IF(COUNTIF('07_Pallet_Contents'!$A$2:$A$3000,$A2)&gt;0,"Yes",""))</f>
        <v/>
      </c>
    </row>
    <row r="1816" spans="2:26">
      <c r="B1816" s="31"/>
      <c r="G1816" s="34"/>
      <c r="H1816" s="33" t="str">
        <f t="shared" si="36"/>
        <v/>
      </c>
      <c r="I1816" s="31"/>
      <c r="J1816" s="31"/>
      <c r="K1816" s="33"/>
      <c r="W1816">
        <f>IF($A2="","",COUNTIF('07_Pallet_Contents'!$A$2:$A$3000,$A2))</f>
        <v>0</v>
      </c>
      <c r="X1816">
        <f>IF($A2="","",SUMIF('07_Pallet_Contents'!$A$2:$A$3000,$A2,'07_Pallet_Contents'!$D$2:$D$3000))</f>
        <v>0</v>
      </c>
      <c r="Y1816">
        <f>IF($A2="","",SUMIF('07_Pallet_Contents'!$A$2:$A$3000,$A2,'07_Pallet_Contents'!$I$2:$I$3000))</f>
        <v>0</v>
      </c>
      <c r="Z1816" t="str">
        <f>IF($A2="","",IF(COUNTIF('07_Pallet_Contents'!$A$2:$A$3000,$A2)&gt;0,"Yes",""))</f>
        <v/>
      </c>
    </row>
    <row r="1817" spans="2:26">
      <c r="B1817" s="31"/>
      <c r="G1817" s="34"/>
      <c r="H1817" s="33" t="str">
        <f t="shared" si="36"/>
        <v/>
      </c>
      <c r="I1817" s="31"/>
      <c r="J1817" s="31"/>
      <c r="K1817" s="33"/>
      <c r="W1817">
        <f>IF($A2="","",COUNTIF('07_Pallet_Contents'!$A$2:$A$3000,$A2))</f>
        <v>0</v>
      </c>
      <c r="X1817">
        <f>IF($A2="","",SUMIF('07_Pallet_Contents'!$A$2:$A$3000,$A2,'07_Pallet_Contents'!$D$2:$D$3000))</f>
        <v>0</v>
      </c>
      <c r="Y1817">
        <f>IF($A2="","",SUMIF('07_Pallet_Contents'!$A$2:$A$3000,$A2,'07_Pallet_Contents'!$I$2:$I$3000))</f>
        <v>0</v>
      </c>
      <c r="Z1817" t="str">
        <f>IF($A2="","",IF(COUNTIF('07_Pallet_Contents'!$A$2:$A$3000,$A2)&gt;0,"Yes",""))</f>
        <v/>
      </c>
    </row>
    <row r="1818" spans="2:26">
      <c r="B1818" s="31"/>
      <c r="G1818" s="34"/>
      <c r="H1818" s="33" t="str">
        <f t="shared" si="36"/>
        <v/>
      </c>
      <c r="I1818" s="31"/>
      <c r="J1818" s="31"/>
      <c r="K1818" s="33"/>
      <c r="W1818">
        <f>IF($A2="","",COUNTIF('07_Pallet_Contents'!$A$2:$A$3000,$A2))</f>
        <v>0</v>
      </c>
      <c r="X1818">
        <f>IF($A2="","",SUMIF('07_Pallet_Contents'!$A$2:$A$3000,$A2,'07_Pallet_Contents'!$D$2:$D$3000))</f>
        <v>0</v>
      </c>
      <c r="Y1818">
        <f>IF($A2="","",SUMIF('07_Pallet_Contents'!$A$2:$A$3000,$A2,'07_Pallet_Contents'!$I$2:$I$3000))</f>
        <v>0</v>
      </c>
      <c r="Z1818" t="str">
        <f>IF($A2="","",IF(COUNTIF('07_Pallet_Contents'!$A$2:$A$3000,$A2)&gt;0,"Yes",""))</f>
        <v/>
      </c>
    </row>
    <row r="1819" spans="2:26">
      <c r="B1819" s="31"/>
      <c r="G1819" s="34"/>
      <c r="H1819" s="33" t="str">
        <f t="shared" si="36"/>
        <v/>
      </c>
      <c r="I1819" s="31"/>
      <c r="J1819" s="31"/>
      <c r="K1819" s="33"/>
      <c r="W1819">
        <f>IF($A2="","",COUNTIF('07_Pallet_Contents'!$A$2:$A$3000,$A2))</f>
        <v>0</v>
      </c>
      <c r="X1819">
        <f>IF($A2="","",SUMIF('07_Pallet_Contents'!$A$2:$A$3000,$A2,'07_Pallet_Contents'!$D$2:$D$3000))</f>
        <v>0</v>
      </c>
      <c r="Y1819">
        <f>IF($A2="","",SUMIF('07_Pallet_Contents'!$A$2:$A$3000,$A2,'07_Pallet_Contents'!$I$2:$I$3000))</f>
        <v>0</v>
      </c>
      <c r="Z1819" t="str">
        <f>IF($A2="","",IF(COUNTIF('07_Pallet_Contents'!$A$2:$A$3000,$A2)&gt;0,"Yes",""))</f>
        <v/>
      </c>
    </row>
    <row r="1820" spans="2:26">
      <c r="B1820" s="31"/>
      <c r="G1820" s="34"/>
      <c r="H1820" s="33" t="str">
        <f t="shared" si="36"/>
        <v/>
      </c>
      <c r="I1820" s="31"/>
      <c r="J1820" s="31"/>
      <c r="K1820" s="33"/>
      <c r="W1820">
        <f>IF($A2="","",COUNTIF('07_Pallet_Contents'!$A$2:$A$3000,$A2))</f>
        <v>0</v>
      </c>
      <c r="X1820">
        <f>IF($A2="","",SUMIF('07_Pallet_Contents'!$A$2:$A$3000,$A2,'07_Pallet_Contents'!$D$2:$D$3000))</f>
        <v>0</v>
      </c>
      <c r="Y1820">
        <f>IF($A2="","",SUMIF('07_Pallet_Contents'!$A$2:$A$3000,$A2,'07_Pallet_Contents'!$I$2:$I$3000))</f>
        <v>0</v>
      </c>
      <c r="Z1820" t="str">
        <f>IF($A2="","",IF(COUNTIF('07_Pallet_Contents'!$A$2:$A$3000,$A2)&gt;0,"Yes",""))</f>
        <v/>
      </c>
    </row>
    <row r="1821" spans="2:26">
      <c r="B1821" s="31"/>
      <c r="G1821" s="34"/>
      <c r="H1821" s="33" t="str">
        <f t="shared" si="36"/>
        <v/>
      </c>
      <c r="I1821" s="31"/>
      <c r="J1821" s="31"/>
      <c r="K1821" s="33"/>
      <c r="W1821">
        <f>IF($A2="","",COUNTIF('07_Pallet_Contents'!$A$2:$A$3000,$A2))</f>
        <v>0</v>
      </c>
      <c r="X1821">
        <f>IF($A2="","",SUMIF('07_Pallet_Contents'!$A$2:$A$3000,$A2,'07_Pallet_Contents'!$D$2:$D$3000))</f>
        <v>0</v>
      </c>
      <c r="Y1821">
        <f>IF($A2="","",SUMIF('07_Pallet_Contents'!$A$2:$A$3000,$A2,'07_Pallet_Contents'!$I$2:$I$3000))</f>
        <v>0</v>
      </c>
      <c r="Z1821" t="str">
        <f>IF($A2="","",IF(COUNTIF('07_Pallet_Contents'!$A$2:$A$3000,$A2)&gt;0,"Yes",""))</f>
        <v/>
      </c>
    </row>
    <row r="1822" spans="2:26">
      <c r="B1822" s="31"/>
      <c r="G1822" s="34"/>
      <c r="H1822" s="33" t="str">
        <f t="shared" si="36"/>
        <v/>
      </c>
      <c r="I1822" s="31"/>
      <c r="J1822" s="31"/>
      <c r="K1822" s="33"/>
      <c r="W1822">
        <f>IF($A2="","",COUNTIF('07_Pallet_Contents'!$A$2:$A$3000,$A2))</f>
        <v>0</v>
      </c>
      <c r="X1822">
        <f>IF($A2="","",SUMIF('07_Pallet_Contents'!$A$2:$A$3000,$A2,'07_Pallet_Contents'!$D$2:$D$3000))</f>
        <v>0</v>
      </c>
      <c r="Y1822">
        <f>IF($A2="","",SUMIF('07_Pallet_Contents'!$A$2:$A$3000,$A2,'07_Pallet_Contents'!$I$2:$I$3000))</f>
        <v>0</v>
      </c>
      <c r="Z1822" t="str">
        <f>IF($A2="","",IF(COUNTIF('07_Pallet_Contents'!$A$2:$A$3000,$A2)&gt;0,"Yes",""))</f>
        <v/>
      </c>
    </row>
    <row r="1823" spans="2:26">
      <c r="B1823" s="31"/>
      <c r="G1823" s="34"/>
      <c r="H1823" s="33" t="str">
        <f t="shared" si="36"/>
        <v/>
      </c>
      <c r="I1823" s="31"/>
      <c r="J1823" s="31"/>
      <c r="K1823" s="33"/>
      <c r="W1823">
        <f>IF($A2="","",COUNTIF('07_Pallet_Contents'!$A$2:$A$3000,$A2))</f>
        <v>0</v>
      </c>
      <c r="X1823">
        <f>IF($A2="","",SUMIF('07_Pallet_Contents'!$A$2:$A$3000,$A2,'07_Pallet_Contents'!$D$2:$D$3000))</f>
        <v>0</v>
      </c>
      <c r="Y1823">
        <f>IF($A2="","",SUMIF('07_Pallet_Contents'!$A$2:$A$3000,$A2,'07_Pallet_Contents'!$I$2:$I$3000))</f>
        <v>0</v>
      </c>
      <c r="Z1823" t="str">
        <f>IF($A2="","",IF(COUNTIF('07_Pallet_Contents'!$A$2:$A$3000,$A2)&gt;0,"Yes",""))</f>
        <v/>
      </c>
    </row>
    <row r="1824" spans="2:26">
      <c r="B1824" s="31"/>
      <c r="G1824" s="34"/>
      <c r="H1824" s="33" t="str">
        <f t="shared" si="36"/>
        <v/>
      </c>
      <c r="I1824" s="31"/>
      <c r="J1824" s="31"/>
      <c r="K1824" s="33"/>
      <c r="W1824">
        <f>IF($A2="","",COUNTIF('07_Pallet_Contents'!$A$2:$A$3000,$A2))</f>
        <v>0</v>
      </c>
      <c r="X1824">
        <f>IF($A2="","",SUMIF('07_Pallet_Contents'!$A$2:$A$3000,$A2,'07_Pallet_Contents'!$D$2:$D$3000))</f>
        <v>0</v>
      </c>
      <c r="Y1824">
        <f>IF($A2="","",SUMIF('07_Pallet_Contents'!$A$2:$A$3000,$A2,'07_Pallet_Contents'!$I$2:$I$3000))</f>
        <v>0</v>
      </c>
      <c r="Z1824" t="str">
        <f>IF($A2="","",IF(COUNTIF('07_Pallet_Contents'!$A$2:$A$3000,$A2)&gt;0,"Yes",""))</f>
        <v/>
      </c>
    </row>
    <row r="1825" spans="2:26">
      <c r="B1825" s="31"/>
      <c r="G1825" s="34"/>
      <c r="H1825" s="33" t="str">
        <f t="shared" si="36"/>
        <v/>
      </c>
      <c r="I1825" s="31"/>
      <c r="J1825" s="31"/>
      <c r="K1825" s="33"/>
      <c r="W1825">
        <f>IF($A2="","",COUNTIF('07_Pallet_Contents'!$A$2:$A$3000,$A2))</f>
        <v>0</v>
      </c>
      <c r="X1825">
        <f>IF($A2="","",SUMIF('07_Pallet_Contents'!$A$2:$A$3000,$A2,'07_Pallet_Contents'!$D$2:$D$3000))</f>
        <v>0</v>
      </c>
      <c r="Y1825">
        <f>IF($A2="","",SUMIF('07_Pallet_Contents'!$A$2:$A$3000,$A2,'07_Pallet_Contents'!$I$2:$I$3000))</f>
        <v>0</v>
      </c>
      <c r="Z1825" t="str">
        <f>IF($A2="","",IF(COUNTIF('07_Pallet_Contents'!$A$2:$A$3000,$A2)&gt;0,"Yes",""))</f>
        <v/>
      </c>
    </row>
    <row r="1826" spans="2:26">
      <c r="B1826" s="31"/>
      <c r="G1826" s="34"/>
      <c r="H1826" s="33" t="str">
        <f t="shared" si="36"/>
        <v/>
      </c>
      <c r="I1826" s="31"/>
      <c r="J1826" s="31"/>
      <c r="K1826" s="33"/>
      <c r="W1826">
        <f>IF($A2="","",COUNTIF('07_Pallet_Contents'!$A$2:$A$3000,$A2))</f>
        <v>0</v>
      </c>
      <c r="X1826">
        <f>IF($A2="","",SUMIF('07_Pallet_Contents'!$A$2:$A$3000,$A2,'07_Pallet_Contents'!$D$2:$D$3000))</f>
        <v>0</v>
      </c>
      <c r="Y1826">
        <f>IF($A2="","",SUMIF('07_Pallet_Contents'!$A$2:$A$3000,$A2,'07_Pallet_Contents'!$I$2:$I$3000))</f>
        <v>0</v>
      </c>
      <c r="Z1826" t="str">
        <f>IF($A2="","",IF(COUNTIF('07_Pallet_Contents'!$A$2:$A$3000,$A2)&gt;0,"Yes",""))</f>
        <v/>
      </c>
    </row>
    <row r="1827" spans="2:26">
      <c r="B1827" s="31"/>
      <c r="G1827" s="34"/>
      <c r="H1827" s="33" t="str">
        <f t="shared" si="36"/>
        <v/>
      </c>
      <c r="I1827" s="31"/>
      <c r="J1827" s="31"/>
      <c r="K1827" s="33"/>
      <c r="W1827">
        <f>IF($A2="","",COUNTIF('07_Pallet_Contents'!$A$2:$A$3000,$A2))</f>
        <v>0</v>
      </c>
      <c r="X1827">
        <f>IF($A2="","",SUMIF('07_Pallet_Contents'!$A$2:$A$3000,$A2,'07_Pallet_Contents'!$D$2:$D$3000))</f>
        <v>0</v>
      </c>
      <c r="Y1827">
        <f>IF($A2="","",SUMIF('07_Pallet_Contents'!$A$2:$A$3000,$A2,'07_Pallet_Contents'!$I$2:$I$3000))</f>
        <v>0</v>
      </c>
      <c r="Z1827" t="str">
        <f>IF($A2="","",IF(COUNTIF('07_Pallet_Contents'!$A$2:$A$3000,$A2)&gt;0,"Yes",""))</f>
        <v/>
      </c>
    </row>
    <row r="1828" spans="2:26">
      <c r="B1828" s="31"/>
      <c r="G1828" s="34"/>
      <c r="H1828" s="33" t="str">
        <f t="shared" si="36"/>
        <v/>
      </c>
      <c r="I1828" s="31"/>
      <c r="J1828" s="31"/>
      <c r="K1828" s="33"/>
      <c r="W1828">
        <f>IF($A2="","",COUNTIF('07_Pallet_Contents'!$A$2:$A$3000,$A2))</f>
        <v>0</v>
      </c>
      <c r="X1828">
        <f>IF($A2="","",SUMIF('07_Pallet_Contents'!$A$2:$A$3000,$A2,'07_Pallet_Contents'!$D$2:$D$3000))</f>
        <v>0</v>
      </c>
      <c r="Y1828">
        <f>IF($A2="","",SUMIF('07_Pallet_Contents'!$A$2:$A$3000,$A2,'07_Pallet_Contents'!$I$2:$I$3000))</f>
        <v>0</v>
      </c>
      <c r="Z1828" t="str">
        <f>IF($A2="","",IF(COUNTIF('07_Pallet_Contents'!$A$2:$A$3000,$A2)&gt;0,"Yes",""))</f>
        <v/>
      </c>
    </row>
    <row r="1829" spans="2:26">
      <c r="B1829" s="31"/>
      <c r="G1829" s="34"/>
      <c r="H1829" s="33" t="str">
        <f t="shared" si="36"/>
        <v/>
      </c>
      <c r="I1829" s="31"/>
      <c r="J1829" s="31"/>
      <c r="K1829" s="33"/>
      <c r="W1829">
        <f>IF($A2="","",COUNTIF('07_Pallet_Contents'!$A$2:$A$3000,$A2))</f>
        <v>0</v>
      </c>
      <c r="X1829">
        <f>IF($A2="","",SUMIF('07_Pallet_Contents'!$A$2:$A$3000,$A2,'07_Pallet_Contents'!$D$2:$D$3000))</f>
        <v>0</v>
      </c>
      <c r="Y1829">
        <f>IF($A2="","",SUMIF('07_Pallet_Contents'!$A$2:$A$3000,$A2,'07_Pallet_Contents'!$I$2:$I$3000))</f>
        <v>0</v>
      </c>
      <c r="Z1829" t="str">
        <f>IF($A2="","",IF(COUNTIF('07_Pallet_Contents'!$A$2:$A$3000,$A2)&gt;0,"Yes",""))</f>
        <v/>
      </c>
    </row>
    <row r="1830" spans="2:26">
      <c r="B1830" s="31"/>
      <c r="G1830" s="34"/>
      <c r="H1830" s="33" t="str">
        <f t="shared" si="36"/>
        <v/>
      </c>
      <c r="I1830" s="31"/>
      <c r="J1830" s="31"/>
      <c r="K1830" s="33"/>
      <c r="W1830">
        <f>IF($A2="","",COUNTIF('07_Pallet_Contents'!$A$2:$A$3000,$A2))</f>
        <v>0</v>
      </c>
      <c r="X1830">
        <f>IF($A2="","",SUMIF('07_Pallet_Contents'!$A$2:$A$3000,$A2,'07_Pallet_Contents'!$D$2:$D$3000))</f>
        <v>0</v>
      </c>
      <c r="Y1830">
        <f>IF($A2="","",SUMIF('07_Pallet_Contents'!$A$2:$A$3000,$A2,'07_Pallet_Contents'!$I$2:$I$3000))</f>
        <v>0</v>
      </c>
      <c r="Z1830" t="str">
        <f>IF($A2="","",IF(COUNTIF('07_Pallet_Contents'!$A$2:$A$3000,$A2)&gt;0,"Yes",""))</f>
        <v/>
      </c>
    </row>
    <row r="1831" spans="2:26">
      <c r="B1831" s="31"/>
      <c r="G1831" s="34"/>
      <c r="H1831" s="33" t="str">
        <f t="shared" si="36"/>
        <v/>
      </c>
      <c r="I1831" s="31"/>
      <c r="J1831" s="31"/>
      <c r="K1831" s="33"/>
      <c r="W1831">
        <f>IF($A2="","",COUNTIF('07_Pallet_Contents'!$A$2:$A$3000,$A2))</f>
        <v>0</v>
      </c>
      <c r="X1831">
        <f>IF($A2="","",SUMIF('07_Pallet_Contents'!$A$2:$A$3000,$A2,'07_Pallet_Contents'!$D$2:$D$3000))</f>
        <v>0</v>
      </c>
      <c r="Y1831">
        <f>IF($A2="","",SUMIF('07_Pallet_Contents'!$A$2:$A$3000,$A2,'07_Pallet_Contents'!$I$2:$I$3000))</f>
        <v>0</v>
      </c>
      <c r="Z1831" t="str">
        <f>IF($A2="","",IF(COUNTIF('07_Pallet_Contents'!$A$2:$A$3000,$A2)&gt;0,"Yes",""))</f>
        <v/>
      </c>
    </row>
    <row r="1832" spans="2:26">
      <c r="B1832" s="31"/>
      <c r="G1832" s="34"/>
      <c r="H1832" s="33" t="str">
        <f t="shared" si="36"/>
        <v/>
      </c>
      <c r="I1832" s="31"/>
      <c r="J1832" s="31"/>
      <c r="K1832" s="33"/>
      <c r="W1832">
        <f>IF($A2="","",COUNTIF('07_Pallet_Contents'!$A$2:$A$3000,$A2))</f>
        <v>0</v>
      </c>
      <c r="X1832">
        <f>IF($A2="","",SUMIF('07_Pallet_Contents'!$A$2:$A$3000,$A2,'07_Pallet_Contents'!$D$2:$D$3000))</f>
        <v>0</v>
      </c>
      <c r="Y1832">
        <f>IF($A2="","",SUMIF('07_Pallet_Contents'!$A$2:$A$3000,$A2,'07_Pallet_Contents'!$I$2:$I$3000))</f>
        <v>0</v>
      </c>
      <c r="Z1832" t="str">
        <f>IF($A2="","",IF(COUNTIF('07_Pallet_Contents'!$A$2:$A$3000,$A2)&gt;0,"Yes",""))</f>
        <v/>
      </c>
    </row>
    <row r="1833" spans="2:26">
      <c r="B1833" s="31"/>
      <c r="G1833" s="34"/>
      <c r="H1833" s="33" t="str">
        <f t="shared" si="36"/>
        <v/>
      </c>
      <c r="I1833" s="31"/>
      <c r="J1833" s="31"/>
      <c r="K1833" s="33"/>
      <c r="W1833">
        <f>IF($A2="","",COUNTIF('07_Pallet_Contents'!$A$2:$A$3000,$A2))</f>
        <v>0</v>
      </c>
      <c r="X1833">
        <f>IF($A2="","",SUMIF('07_Pallet_Contents'!$A$2:$A$3000,$A2,'07_Pallet_Contents'!$D$2:$D$3000))</f>
        <v>0</v>
      </c>
      <c r="Y1833">
        <f>IF($A2="","",SUMIF('07_Pallet_Contents'!$A$2:$A$3000,$A2,'07_Pallet_Contents'!$I$2:$I$3000))</f>
        <v>0</v>
      </c>
      <c r="Z1833" t="str">
        <f>IF($A2="","",IF(COUNTIF('07_Pallet_Contents'!$A$2:$A$3000,$A2)&gt;0,"Yes",""))</f>
        <v/>
      </c>
    </row>
    <row r="1834" spans="2:26">
      <c r="B1834" s="31"/>
      <c r="G1834" s="34"/>
      <c r="H1834" s="33" t="str">
        <f t="shared" si="36"/>
        <v/>
      </c>
      <c r="I1834" s="31"/>
      <c r="J1834" s="31"/>
      <c r="K1834" s="33"/>
      <c r="W1834">
        <f>IF($A2="","",COUNTIF('07_Pallet_Contents'!$A$2:$A$3000,$A2))</f>
        <v>0</v>
      </c>
      <c r="X1834">
        <f>IF($A2="","",SUMIF('07_Pallet_Contents'!$A$2:$A$3000,$A2,'07_Pallet_Contents'!$D$2:$D$3000))</f>
        <v>0</v>
      </c>
      <c r="Y1834">
        <f>IF($A2="","",SUMIF('07_Pallet_Contents'!$A$2:$A$3000,$A2,'07_Pallet_Contents'!$I$2:$I$3000))</f>
        <v>0</v>
      </c>
      <c r="Z1834" t="str">
        <f>IF($A2="","",IF(COUNTIF('07_Pallet_Contents'!$A$2:$A$3000,$A2)&gt;0,"Yes",""))</f>
        <v/>
      </c>
    </row>
    <row r="1835" spans="2:26">
      <c r="B1835" s="31"/>
      <c r="G1835" s="34"/>
      <c r="H1835" s="33" t="str">
        <f t="shared" si="36"/>
        <v/>
      </c>
      <c r="I1835" s="31"/>
      <c r="J1835" s="31"/>
      <c r="K1835" s="33"/>
      <c r="W1835">
        <f>IF($A2="","",COUNTIF('07_Pallet_Contents'!$A$2:$A$3000,$A2))</f>
        <v>0</v>
      </c>
      <c r="X1835">
        <f>IF($A2="","",SUMIF('07_Pallet_Contents'!$A$2:$A$3000,$A2,'07_Pallet_Contents'!$D$2:$D$3000))</f>
        <v>0</v>
      </c>
      <c r="Y1835">
        <f>IF($A2="","",SUMIF('07_Pallet_Contents'!$A$2:$A$3000,$A2,'07_Pallet_Contents'!$I$2:$I$3000))</f>
        <v>0</v>
      </c>
      <c r="Z1835" t="str">
        <f>IF($A2="","",IF(COUNTIF('07_Pallet_Contents'!$A$2:$A$3000,$A2)&gt;0,"Yes",""))</f>
        <v/>
      </c>
    </row>
    <row r="1836" spans="2:26">
      <c r="B1836" s="31"/>
      <c r="G1836" s="34"/>
      <c r="H1836" s="33" t="str">
        <f t="shared" si="36"/>
        <v/>
      </c>
      <c r="I1836" s="31"/>
      <c r="J1836" s="31"/>
      <c r="K1836" s="33"/>
      <c r="W1836">
        <f>IF($A2="","",COUNTIF('07_Pallet_Contents'!$A$2:$A$3000,$A2))</f>
        <v>0</v>
      </c>
      <c r="X1836">
        <f>IF($A2="","",SUMIF('07_Pallet_Contents'!$A$2:$A$3000,$A2,'07_Pallet_Contents'!$D$2:$D$3000))</f>
        <v>0</v>
      </c>
      <c r="Y1836">
        <f>IF($A2="","",SUMIF('07_Pallet_Contents'!$A$2:$A$3000,$A2,'07_Pallet_Contents'!$I$2:$I$3000))</f>
        <v>0</v>
      </c>
      <c r="Z1836" t="str">
        <f>IF($A2="","",IF(COUNTIF('07_Pallet_Contents'!$A$2:$A$3000,$A2)&gt;0,"Yes",""))</f>
        <v/>
      </c>
    </row>
    <row r="1837" spans="2:26">
      <c r="B1837" s="31"/>
      <c r="G1837" s="34"/>
      <c r="H1837" s="33" t="str">
        <f t="shared" si="36"/>
        <v/>
      </c>
      <c r="I1837" s="31"/>
      <c r="J1837" s="31"/>
      <c r="K1837" s="33"/>
      <c r="W1837">
        <f>IF($A2="","",COUNTIF('07_Pallet_Contents'!$A$2:$A$3000,$A2))</f>
        <v>0</v>
      </c>
      <c r="X1837">
        <f>IF($A2="","",SUMIF('07_Pallet_Contents'!$A$2:$A$3000,$A2,'07_Pallet_Contents'!$D$2:$D$3000))</f>
        <v>0</v>
      </c>
      <c r="Y1837">
        <f>IF($A2="","",SUMIF('07_Pallet_Contents'!$A$2:$A$3000,$A2,'07_Pallet_Contents'!$I$2:$I$3000))</f>
        <v>0</v>
      </c>
      <c r="Z1837" t="str">
        <f>IF($A2="","",IF(COUNTIF('07_Pallet_Contents'!$A$2:$A$3000,$A2)&gt;0,"Yes",""))</f>
        <v/>
      </c>
    </row>
    <row r="1838" spans="2:26">
      <c r="B1838" s="31"/>
      <c r="G1838" s="34"/>
      <c r="H1838" s="33" t="str">
        <f t="shared" si="36"/>
        <v/>
      </c>
      <c r="I1838" s="31"/>
      <c r="J1838" s="31"/>
      <c r="K1838" s="33"/>
      <c r="W1838">
        <f>IF($A2="","",COUNTIF('07_Pallet_Contents'!$A$2:$A$3000,$A2))</f>
        <v>0</v>
      </c>
      <c r="X1838">
        <f>IF($A2="","",SUMIF('07_Pallet_Contents'!$A$2:$A$3000,$A2,'07_Pallet_Contents'!$D$2:$D$3000))</f>
        <v>0</v>
      </c>
      <c r="Y1838">
        <f>IF($A2="","",SUMIF('07_Pallet_Contents'!$A$2:$A$3000,$A2,'07_Pallet_Contents'!$I$2:$I$3000))</f>
        <v>0</v>
      </c>
      <c r="Z1838" t="str">
        <f>IF($A2="","",IF(COUNTIF('07_Pallet_Contents'!$A$2:$A$3000,$A2)&gt;0,"Yes",""))</f>
        <v/>
      </c>
    </row>
    <row r="1839" spans="2:26">
      <c r="B1839" s="31"/>
      <c r="G1839" s="34"/>
      <c r="H1839" s="33" t="str">
        <f t="shared" si="36"/>
        <v/>
      </c>
      <c r="I1839" s="31"/>
      <c r="J1839" s="31"/>
      <c r="K1839" s="33"/>
      <c r="W1839">
        <f>IF($A2="","",COUNTIF('07_Pallet_Contents'!$A$2:$A$3000,$A2))</f>
        <v>0</v>
      </c>
      <c r="X1839">
        <f>IF($A2="","",SUMIF('07_Pallet_Contents'!$A$2:$A$3000,$A2,'07_Pallet_Contents'!$D$2:$D$3000))</f>
        <v>0</v>
      </c>
      <c r="Y1839">
        <f>IF($A2="","",SUMIF('07_Pallet_Contents'!$A$2:$A$3000,$A2,'07_Pallet_Contents'!$I$2:$I$3000))</f>
        <v>0</v>
      </c>
      <c r="Z1839" t="str">
        <f>IF($A2="","",IF(COUNTIF('07_Pallet_Contents'!$A$2:$A$3000,$A2)&gt;0,"Yes",""))</f>
        <v/>
      </c>
    </row>
    <row r="1840" spans="2:26">
      <c r="B1840" s="31"/>
      <c r="G1840" s="34"/>
      <c r="H1840" s="33" t="str">
        <f t="shared" si="36"/>
        <v/>
      </c>
      <c r="I1840" s="31"/>
      <c r="J1840" s="31"/>
      <c r="K1840" s="33"/>
      <c r="W1840">
        <f>IF($A2="","",COUNTIF('07_Pallet_Contents'!$A$2:$A$3000,$A2))</f>
        <v>0</v>
      </c>
      <c r="X1840">
        <f>IF($A2="","",SUMIF('07_Pallet_Contents'!$A$2:$A$3000,$A2,'07_Pallet_Contents'!$D$2:$D$3000))</f>
        <v>0</v>
      </c>
      <c r="Y1840">
        <f>IF($A2="","",SUMIF('07_Pallet_Contents'!$A$2:$A$3000,$A2,'07_Pallet_Contents'!$I$2:$I$3000))</f>
        <v>0</v>
      </c>
      <c r="Z1840" t="str">
        <f>IF($A2="","",IF(COUNTIF('07_Pallet_Contents'!$A$2:$A$3000,$A2)&gt;0,"Yes",""))</f>
        <v/>
      </c>
    </row>
    <row r="1841" spans="2:26">
      <c r="B1841" s="31"/>
      <c r="G1841" s="34"/>
      <c r="H1841" s="33" t="str">
        <f t="shared" si="36"/>
        <v/>
      </c>
      <c r="I1841" s="31"/>
      <c r="J1841" s="31"/>
      <c r="K1841" s="33"/>
      <c r="W1841">
        <f>IF($A2="","",COUNTIF('07_Pallet_Contents'!$A$2:$A$3000,$A2))</f>
        <v>0</v>
      </c>
      <c r="X1841">
        <f>IF($A2="","",SUMIF('07_Pallet_Contents'!$A$2:$A$3000,$A2,'07_Pallet_Contents'!$D$2:$D$3000))</f>
        <v>0</v>
      </c>
      <c r="Y1841">
        <f>IF($A2="","",SUMIF('07_Pallet_Contents'!$A$2:$A$3000,$A2,'07_Pallet_Contents'!$I$2:$I$3000))</f>
        <v>0</v>
      </c>
      <c r="Z1841" t="str">
        <f>IF($A2="","",IF(COUNTIF('07_Pallet_Contents'!$A$2:$A$3000,$A2)&gt;0,"Yes",""))</f>
        <v/>
      </c>
    </row>
    <row r="1842" spans="2:26">
      <c r="B1842" s="31"/>
      <c r="G1842" s="34"/>
      <c r="H1842" s="33" t="str">
        <f t="shared" si="36"/>
        <v/>
      </c>
      <c r="I1842" s="31"/>
      <c r="J1842" s="31"/>
      <c r="K1842" s="33"/>
      <c r="W1842">
        <f>IF($A2="","",COUNTIF('07_Pallet_Contents'!$A$2:$A$3000,$A2))</f>
        <v>0</v>
      </c>
      <c r="X1842">
        <f>IF($A2="","",SUMIF('07_Pallet_Contents'!$A$2:$A$3000,$A2,'07_Pallet_Contents'!$D$2:$D$3000))</f>
        <v>0</v>
      </c>
      <c r="Y1842">
        <f>IF($A2="","",SUMIF('07_Pallet_Contents'!$A$2:$A$3000,$A2,'07_Pallet_Contents'!$I$2:$I$3000))</f>
        <v>0</v>
      </c>
      <c r="Z1842" t="str">
        <f>IF($A2="","",IF(COUNTIF('07_Pallet_Contents'!$A$2:$A$3000,$A2)&gt;0,"Yes",""))</f>
        <v/>
      </c>
    </row>
    <row r="1843" spans="2:26">
      <c r="B1843" s="31"/>
      <c r="G1843" s="34"/>
      <c r="H1843" s="33" t="str">
        <f t="shared" si="36"/>
        <v/>
      </c>
      <c r="I1843" s="31"/>
      <c r="J1843" s="31"/>
      <c r="K1843" s="33"/>
      <c r="W1843">
        <f>IF($A2="","",COUNTIF('07_Pallet_Contents'!$A$2:$A$3000,$A2))</f>
        <v>0</v>
      </c>
      <c r="X1843">
        <f>IF($A2="","",SUMIF('07_Pallet_Contents'!$A$2:$A$3000,$A2,'07_Pallet_Contents'!$D$2:$D$3000))</f>
        <v>0</v>
      </c>
      <c r="Y1843">
        <f>IF($A2="","",SUMIF('07_Pallet_Contents'!$A$2:$A$3000,$A2,'07_Pallet_Contents'!$I$2:$I$3000))</f>
        <v>0</v>
      </c>
      <c r="Z1843" t="str">
        <f>IF($A2="","",IF(COUNTIF('07_Pallet_Contents'!$A$2:$A$3000,$A2)&gt;0,"Yes",""))</f>
        <v/>
      </c>
    </row>
    <row r="1844" spans="2:26">
      <c r="B1844" s="31"/>
      <c r="G1844" s="34"/>
      <c r="H1844" s="33" t="str">
        <f t="shared" si="36"/>
        <v/>
      </c>
      <c r="I1844" s="31"/>
      <c r="J1844" s="31"/>
      <c r="K1844" s="33"/>
      <c r="W1844">
        <f>IF($A2="","",COUNTIF('07_Pallet_Contents'!$A$2:$A$3000,$A2))</f>
        <v>0</v>
      </c>
      <c r="X1844">
        <f>IF($A2="","",SUMIF('07_Pallet_Contents'!$A$2:$A$3000,$A2,'07_Pallet_Contents'!$D$2:$D$3000))</f>
        <v>0</v>
      </c>
      <c r="Y1844">
        <f>IF($A2="","",SUMIF('07_Pallet_Contents'!$A$2:$A$3000,$A2,'07_Pallet_Contents'!$I$2:$I$3000))</f>
        <v>0</v>
      </c>
      <c r="Z1844" t="str">
        <f>IF($A2="","",IF(COUNTIF('07_Pallet_Contents'!$A$2:$A$3000,$A2)&gt;0,"Yes",""))</f>
        <v/>
      </c>
    </row>
    <row r="1845" spans="2:26">
      <c r="B1845" s="31"/>
      <c r="G1845" s="34"/>
      <c r="H1845" s="33" t="str">
        <f t="shared" si="36"/>
        <v/>
      </c>
      <c r="I1845" s="31"/>
      <c r="J1845" s="31"/>
      <c r="K1845" s="33"/>
      <c r="W1845">
        <f>IF($A2="","",COUNTIF('07_Pallet_Contents'!$A$2:$A$3000,$A2))</f>
        <v>0</v>
      </c>
      <c r="X1845">
        <f>IF($A2="","",SUMIF('07_Pallet_Contents'!$A$2:$A$3000,$A2,'07_Pallet_Contents'!$D$2:$D$3000))</f>
        <v>0</v>
      </c>
      <c r="Y1845">
        <f>IF($A2="","",SUMIF('07_Pallet_Contents'!$A$2:$A$3000,$A2,'07_Pallet_Contents'!$I$2:$I$3000))</f>
        <v>0</v>
      </c>
      <c r="Z1845" t="str">
        <f>IF($A2="","",IF(COUNTIF('07_Pallet_Contents'!$A$2:$A$3000,$A2)&gt;0,"Yes",""))</f>
        <v/>
      </c>
    </row>
    <row r="1846" spans="2:26">
      <c r="B1846" s="31"/>
      <c r="G1846" s="34"/>
      <c r="H1846" s="33" t="str">
        <f t="shared" si="36"/>
        <v/>
      </c>
      <c r="I1846" s="31"/>
      <c r="J1846" s="31"/>
      <c r="K1846" s="33"/>
      <c r="W1846">
        <f>IF($A2="","",COUNTIF('07_Pallet_Contents'!$A$2:$A$3000,$A2))</f>
        <v>0</v>
      </c>
      <c r="X1846">
        <f>IF($A2="","",SUMIF('07_Pallet_Contents'!$A$2:$A$3000,$A2,'07_Pallet_Contents'!$D$2:$D$3000))</f>
        <v>0</v>
      </c>
      <c r="Y1846">
        <f>IF($A2="","",SUMIF('07_Pallet_Contents'!$A$2:$A$3000,$A2,'07_Pallet_Contents'!$I$2:$I$3000))</f>
        <v>0</v>
      </c>
      <c r="Z1846" t="str">
        <f>IF($A2="","",IF(COUNTIF('07_Pallet_Contents'!$A$2:$A$3000,$A2)&gt;0,"Yes",""))</f>
        <v/>
      </c>
    </row>
    <row r="1847" spans="2:26">
      <c r="B1847" s="31"/>
      <c r="G1847" s="34"/>
      <c r="H1847" s="33" t="str">
        <f t="shared" si="36"/>
        <v/>
      </c>
      <c r="I1847" s="31"/>
      <c r="J1847" s="31"/>
      <c r="K1847" s="33"/>
      <c r="W1847">
        <f>IF($A2="","",COUNTIF('07_Pallet_Contents'!$A$2:$A$3000,$A2))</f>
        <v>0</v>
      </c>
      <c r="X1847">
        <f>IF($A2="","",SUMIF('07_Pallet_Contents'!$A$2:$A$3000,$A2,'07_Pallet_Contents'!$D$2:$D$3000))</f>
        <v>0</v>
      </c>
      <c r="Y1847">
        <f>IF($A2="","",SUMIF('07_Pallet_Contents'!$A$2:$A$3000,$A2,'07_Pallet_Contents'!$I$2:$I$3000))</f>
        <v>0</v>
      </c>
      <c r="Z1847" t="str">
        <f>IF($A2="","",IF(COUNTIF('07_Pallet_Contents'!$A$2:$A$3000,$A2)&gt;0,"Yes",""))</f>
        <v/>
      </c>
    </row>
    <row r="1848" spans="2:26">
      <c r="B1848" s="31"/>
      <c r="G1848" s="34"/>
      <c r="H1848" s="33" t="str">
        <f t="shared" si="36"/>
        <v/>
      </c>
      <c r="I1848" s="31"/>
      <c r="J1848" s="31"/>
      <c r="K1848" s="33"/>
      <c r="W1848">
        <f>IF($A2="","",COUNTIF('07_Pallet_Contents'!$A$2:$A$3000,$A2))</f>
        <v>0</v>
      </c>
      <c r="X1848">
        <f>IF($A2="","",SUMIF('07_Pallet_Contents'!$A$2:$A$3000,$A2,'07_Pallet_Contents'!$D$2:$D$3000))</f>
        <v>0</v>
      </c>
      <c r="Y1848">
        <f>IF($A2="","",SUMIF('07_Pallet_Contents'!$A$2:$A$3000,$A2,'07_Pallet_Contents'!$I$2:$I$3000))</f>
        <v>0</v>
      </c>
      <c r="Z1848" t="str">
        <f>IF($A2="","",IF(COUNTIF('07_Pallet_Contents'!$A$2:$A$3000,$A2)&gt;0,"Yes",""))</f>
        <v/>
      </c>
    </row>
    <row r="1849" spans="2:26">
      <c r="B1849" s="31"/>
      <c r="G1849" s="34"/>
      <c r="H1849" s="33" t="str">
        <f t="shared" si="36"/>
        <v/>
      </c>
      <c r="I1849" s="31"/>
      <c r="J1849" s="31"/>
      <c r="K1849" s="33"/>
      <c r="W1849">
        <f>IF($A2="","",COUNTIF('07_Pallet_Contents'!$A$2:$A$3000,$A2))</f>
        <v>0</v>
      </c>
      <c r="X1849">
        <f>IF($A2="","",SUMIF('07_Pallet_Contents'!$A$2:$A$3000,$A2,'07_Pallet_Contents'!$D$2:$D$3000))</f>
        <v>0</v>
      </c>
      <c r="Y1849">
        <f>IF($A2="","",SUMIF('07_Pallet_Contents'!$A$2:$A$3000,$A2,'07_Pallet_Contents'!$I$2:$I$3000))</f>
        <v>0</v>
      </c>
      <c r="Z1849" t="str">
        <f>IF($A2="","",IF(COUNTIF('07_Pallet_Contents'!$A$2:$A$3000,$A2)&gt;0,"Yes",""))</f>
        <v/>
      </c>
    </row>
    <row r="1850" spans="2:26">
      <c r="B1850" s="31"/>
      <c r="G1850" s="34"/>
      <c r="H1850" s="33" t="str">
        <f t="shared" si="36"/>
        <v/>
      </c>
      <c r="I1850" s="31"/>
      <c r="J1850" s="31"/>
      <c r="K1850" s="33"/>
      <c r="W1850">
        <f>IF($A2="","",COUNTIF('07_Pallet_Contents'!$A$2:$A$3000,$A2))</f>
        <v>0</v>
      </c>
      <c r="X1850">
        <f>IF($A2="","",SUMIF('07_Pallet_Contents'!$A$2:$A$3000,$A2,'07_Pallet_Contents'!$D$2:$D$3000))</f>
        <v>0</v>
      </c>
      <c r="Y1850">
        <f>IF($A2="","",SUMIF('07_Pallet_Contents'!$A$2:$A$3000,$A2,'07_Pallet_Contents'!$I$2:$I$3000))</f>
        <v>0</v>
      </c>
      <c r="Z1850" t="str">
        <f>IF($A2="","",IF(COUNTIF('07_Pallet_Contents'!$A$2:$A$3000,$A2)&gt;0,"Yes",""))</f>
        <v/>
      </c>
    </row>
    <row r="1851" spans="2:26">
      <c r="B1851" s="31"/>
      <c r="G1851" s="34"/>
      <c r="H1851" s="33" t="str">
        <f t="shared" si="36"/>
        <v/>
      </c>
      <c r="I1851" s="31"/>
      <c r="J1851" s="31"/>
      <c r="K1851" s="33"/>
      <c r="W1851">
        <f>IF($A2="","",COUNTIF('07_Pallet_Contents'!$A$2:$A$3000,$A2))</f>
        <v>0</v>
      </c>
      <c r="X1851">
        <f>IF($A2="","",SUMIF('07_Pallet_Contents'!$A$2:$A$3000,$A2,'07_Pallet_Contents'!$D$2:$D$3000))</f>
        <v>0</v>
      </c>
      <c r="Y1851">
        <f>IF($A2="","",SUMIF('07_Pallet_Contents'!$A$2:$A$3000,$A2,'07_Pallet_Contents'!$I$2:$I$3000))</f>
        <v>0</v>
      </c>
      <c r="Z1851" t="str">
        <f>IF($A2="","",IF(COUNTIF('07_Pallet_Contents'!$A$2:$A$3000,$A2)&gt;0,"Yes",""))</f>
        <v/>
      </c>
    </row>
    <row r="1852" spans="2:26">
      <c r="B1852" s="31"/>
      <c r="G1852" s="34"/>
      <c r="H1852" s="33" t="str">
        <f t="shared" si="36"/>
        <v/>
      </c>
      <c r="I1852" s="31"/>
      <c r="J1852" s="31"/>
      <c r="K1852" s="33"/>
      <c r="W1852">
        <f>IF($A2="","",COUNTIF('07_Pallet_Contents'!$A$2:$A$3000,$A2))</f>
        <v>0</v>
      </c>
      <c r="X1852">
        <f>IF($A2="","",SUMIF('07_Pallet_Contents'!$A$2:$A$3000,$A2,'07_Pallet_Contents'!$D$2:$D$3000))</f>
        <v>0</v>
      </c>
      <c r="Y1852">
        <f>IF($A2="","",SUMIF('07_Pallet_Contents'!$A$2:$A$3000,$A2,'07_Pallet_Contents'!$I$2:$I$3000))</f>
        <v>0</v>
      </c>
      <c r="Z1852" t="str">
        <f>IF($A2="","",IF(COUNTIF('07_Pallet_Contents'!$A$2:$A$3000,$A2)&gt;0,"Yes",""))</f>
        <v/>
      </c>
    </row>
    <row r="1853" spans="2:26">
      <c r="B1853" s="31"/>
      <c r="G1853" s="34"/>
      <c r="H1853" s="33" t="str">
        <f t="shared" si="36"/>
        <v/>
      </c>
      <c r="I1853" s="31"/>
      <c r="J1853" s="31"/>
      <c r="K1853" s="33"/>
      <c r="W1853">
        <f>IF($A2="","",COUNTIF('07_Pallet_Contents'!$A$2:$A$3000,$A2))</f>
        <v>0</v>
      </c>
      <c r="X1853">
        <f>IF($A2="","",SUMIF('07_Pallet_Contents'!$A$2:$A$3000,$A2,'07_Pallet_Contents'!$D$2:$D$3000))</f>
        <v>0</v>
      </c>
      <c r="Y1853">
        <f>IF($A2="","",SUMIF('07_Pallet_Contents'!$A$2:$A$3000,$A2,'07_Pallet_Contents'!$I$2:$I$3000))</f>
        <v>0</v>
      </c>
      <c r="Z1853" t="str">
        <f>IF($A2="","",IF(COUNTIF('07_Pallet_Contents'!$A$2:$A$3000,$A2)&gt;0,"Yes",""))</f>
        <v/>
      </c>
    </row>
    <row r="1854" spans="2:26">
      <c r="B1854" s="31"/>
      <c r="G1854" s="34"/>
      <c r="H1854" s="33" t="str">
        <f t="shared" si="36"/>
        <v/>
      </c>
      <c r="I1854" s="31"/>
      <c r="J1854" s="31"/>
      <c r="K1854" s="33"/>
      <c r="W1854">
        <f>IF($A2="","",COUNTIF('07_Pallet_Contents'!$A$2:$A$3000,$A2))</f>
        <v>0</v>
      </c>
      <c r="X1854">
        <f>IF($A2="","",SUMIF('07_Pallet_Contents'!$A$2:$A$3000,$A2,'07_Pallet_Contents'!$D$2:$D$3000))</f>
        <v>0</v>
      </c>
      <c r="Y1854">
        <f>IF($A2="","",SUMIF('07_Pallet_Contents'!$A$2:$A$3000,$A2,'07_Pallet_Contents'!$I$2:$I$3000))</f>
        <v>0</v>
      </c>
      <c r="Z1854" t="str">
        <f>IF($A2="","",IF(COUNTIF('07_Pallet_Contents'!$A$2:$A$3000,$A2)&gt;0,"Yes",""))</f>
        <v/>
      </c>
    </row>
    <row r="1855" spans="2:26">
      <c r="B1855" s="31"/>
      <c r="G1855" s="34"/>
      <c r="H1855" s="33" t="str">
        <f t="shared" si="36"/>
        <v/>
      </c>
      <c r="I1855" s="31"/>
      <c r="J1855" s="31"/>
      <c r="K1855" s="33"/>
      <c r="W1855">
        <f>IF($A2="","",COUNTIF('07_Pallet_Contents'!$A$2:$A$3000,$A2))</f>
        <v>0</v>
      </c>
      <c r="X1855">
        <f>IF($A2="","",SUMIF('07_Pallet_Contents'!$A$2:$A$3000,$A2,'07_Pallet_Contents'!$D$2:$D$3000))</f>
        <v>0</v>
      </c>
      <c r="Y1855">
        <f>IF($A2="","",SUMIF('07_Pallet_Contents'!$A$2:$A$3000,$A2,'07_Pallet_Contents'!$I$2:$I$3000))</f>
        <v>0</v>
      </c>
      <c r="Z1855" t="str">
        <f>IF($A2="","",IF(COUNTIF('07_Pallet_Contents'!$A$2:$A$3000,$A2)&gt;0,"Yes",""))</f>
        <v/>
      </c>
    </row>
    <row r="1856" spans="2:26">
      <c r="B1856" s="31"/>
      <c r="G1856" s="34"/>
      <c r="H1856" s="33" t="str">
        <f t="shared" si="36"/>
        <v/>
      </c>
      <c r="I1856" s="31"/>
      <c r="J1856" s="31"/>
      <c r="K1856" s="33"/>
      <c r="W1856">
        <f>IF($A2="","",COUNTIF('07_Pallet_Contents'!$A$2:$A$3000,$A2))</f>
        <v>0</v>
      </c>
      <c r="X1856">
        <f>IF($A2="","",SUMIF('07_Pallet_Contents'!$A$2:$A$3000,$A2,'07_Pallet_Contents'!$D$2:$D$3000))</f>
        <v>0</v>
      </c>
      <c r="Y1856">
        <f>IF($A2="","",SUMIF('07_Pallet_Contents'!$A$2:$A$3000,$A2,'07_Pallet_Contents'!$I$2:$I$3000))</f>
        <v>0</v>
      </c>
      <c r="Z1856" t="str">
        <f>IF($A2="","",IF(COUNTIF('07_Pallet_Contents'!$A$2:$A$3000,$A2)&gt;0,"Yes",""))</f>
        <v/>
      </c>
    </row>
    <row r="1857" spans="2:26">
      <c r="B1857" s="31"/>
      <c r="G1857" s="34"/>
      <c r="H1857" s="33" t="str">
        <f t="shared" si="36"/>
        <v/>
      </c>
      <c r="I1857" s="31"/>
      <c r="J1857" s="31"/>
      <c r="K1857" s="33"/>
      <c r="W1857">
        <f>IF($A2="","",COUNTIF('07_Pallet_Contents'!$A$2:$A$3000,$A2))</f>
        <v>0</v>
      </c>
      <c r="X1857">
        <f>IF($A2="","",SUMIF('07_Pallet_Contents'!$A$2:$A$3000,$A2,'07_Pallet_Contents'!$D$2:$D$3000))</f>
        <v>0</v>
      </c>
      <c r="Y1857">
        <f>IF($A2="","",SUMIF('07_Pallet_Contents'!$A$2:$A$3000,$A2,'07_Pallet_Contents'!$I$2:$I$3000))</f>
        <v>0</v>
      </c>
      <c r="Z1857" t="str">
        <f>IF($A2="","",IF(COUNTIF('07_Pallet_Contents'!$A$2:$A$3000,$A2)&gt;0,"Yes",""))</f>
        <v/>
      </c>
    </row>
    <row r="1858" spans="2:26">
      <c r="B1858" s="31"/>
      <c r="G1858" s="34"/>
      <c r="H1858" s="33" t="str">
        <f t="shared" ref="H1858:H1921" si="37">IF(AND($F1858="TEMP",$G1858&gt;0,$M1858&lt;&gt;""),$M1858+$G1858,"")</f>
        <v/>
      </c>
      <c r="I1858" s="31"/>
      <c r="J1858" s="31"/>
      <c r="K1858" s="33"/>
      <c r="W1858">
        <f>IF($A2="","",COUNTIF('07_Pallet_Contents'!$A$2:$A$3000,$A2))</f>
        <v>0</v>
      </c>
      <c r="X1858">
        <f>IF($A2="","",SUMIF('07_Pallet_Contents'!$A$2:$A$3000,$A2,'07_Pallet_Contents'!$D$2:$D$3000))</f>
        <v>0</v>
      </c>
      <c r="Y1858">
        <f>IF($A2="","",SUMIF('07_Pallet_Contents'!$A$2:$A$3000,$A2,'07_Pallet_Contents'!$I$2:$I$3000))</f>
        <v>0</v>
      </c>
      <c r="Z1858" t="str">
        <f>IF($A2="","",IF(COUNTIF('07_Pallet_Contents'!$A$2:$A$3000,$A2)&gt;0,"Yes",""))</f>
        <v/>
      </c>
    </row>
    <row r="1859" spans="2:26">
      <c r="B1859" s="31"/>
      <c r="G1859" s="34"/>
      <c r="H1859" s="33" t="str">
        <f t="shared" si="37"/>
        <v/>
      </c>
      <c r="I1859" s="31"/>
      <c r="J1859" s="31"/>
      <c r="K1859" s="33"/>
      <c r="W1859">
        <f>IF($A2="","",COUNTIF('07_Pallet_Contents'!$A$2:$A$3000,$A2))</f>
        <v>0</v>
      </c>
      <c r="X1859">
        <f>IF($A2="","",SUMIF('07_Pallet_Contents'!$A$2:$A$3000,$A2,'07_Pallet_Contents'!$D$2:$D$3000))</f>
        <v>0</v>
      </c>
      <c r="Y1859">
        <f>IF($A2="","",SUMIF('07_Pallet_Contents'!$A$2:$A$3000,$A2,'07_Pallet_Contents'!$I$2:$I$3000))</f>
        <v>0</v>
      </c>
      <c r="Z1859" t="str">
        <f>IF($A2="","",IF(COUNTIF('07_Pallet_Contents'!$A$2:$A$3000,$A2)&gt;0,"Yes",""))</f>
        <v/>
      </c>
    </row>
    <row r="1860" spans="2:26">
      <c r="B1860" s="31"/>
      <c r="G1860" s="34"/>
      <c r="H1860" s="33" t="str">
        <f t="shared" si="37"/>
        <v/>
      </c>
      <c r="I1860" s="31"/>
      <c r="J1860" s="31"/>
      <c r="K1860" s="33"/>
      <c r="W1860">
        <f>IF($A2="","",COUNTIF('07_Pallet_Contents'!$A$2:$A$3000,$A2))</f>
        <v>0</v>
      </c>
      <c r="X1860">
        <f>IF($A2="","",SUMIF('07_Pallet_Contents'!$A$2:$A$3000,$A2,'07_Pallet_Contents'!$D$2:$D$3000))</f>
        <v>0</v>
      </c>
      <c r="Y1860">
        <f>IF($A2="","",SUMIF('07_Pallet_Contents'!$A$2:$A$3000,$A2,'07_Pallet_Contents'!$I$2:$I$3000))</f>
        <v>0</v>
      </c>
      <c r="Z1860" t="str">
        <f>IF($A2="","",IF(COUNTIF('07_Pallet_Contents'!$A$2:$A$3000,$A2)&gt;0,"Yes",""))</f>
        <v/>
      </c>
    </row>
    <row r="1861" spans="2:26">
      <c r="B1861" s="31"/>
      <c r="G1861" s="34"/>
      <c r="H1861" s="33" t="str">
        <f t="shared" si="37"/>
        <v/>
      </c>
      <c r="I1861" s="31"/>
      <c r="J1861" s="31"/>
      <c r="K1861" s="33"/>
      <c r="W1861">
        <f>IF($A2="","",COUNTIF('07_Pallet_Contents'!$A$2:$A$3000,$A2))</f>
        <v>0</v>
      </c>
      <c r="X1861">
        <f>IF($A2="","",SUMIF('07_Pallet_Contents'!$A$2:$A$3000,$A2,'07_Pallet_Contents'!$D$2:$D$3000))</f>
        <v>0</v>
      </c>
      <c r="Y1861">
        <f>IF($A2="","",SUMIF('07_Pallet_Contents'!$A$2:$A$3000,$A2,'07_Pallet_Contents'!$I$2:$I$3000))</f>
        <v>0</v>
      </c>
      <c r="Z1861" t="str">
        <f>IF($A2="","",IF(COUNTIF('07_Pallet_Contents'!$A$2:$A$3000,$A2)&gt;0,"Yes",""))</f>
        <v/>
      </c>
    </row>
    <row r="1862" spans="2:26">
      <c r="B1862" s="31"/>
      <c r="G1862" s="34"/>
      <c r="H1862" s="33" t="str">
        <f t="shared" si="37"/>
        <v/>
      </c>
      <c r="I1862" s="31"/>
      <c r="J1862" s="31"/>
      <c r="K1862" s="33"/>
      <c r="W1862">
        <f>IF($A2="","",COUNTIF('07_Pallet_Contents'!$A$2:$A$3000,$A2))</f>
        <v>0</v>
      </c>
      <c r="X1862">
        <f>IF($A2="","",SUMIF('07_Pallet_Contents'!$A$2:$A$3000,$A2,'07_Pallet_Contents'!$D$2:$D$3000))</f>
        <v>0</v>
      </c>
      <c r="Y1862">
        <f>IF($A2="","",SUMIF('07_Pallet_Contents'!$A$2:$A$3000,$A2,'07_Pallet_Contents'!$I$2:$I$3000))</f>
        <v>0</v>
      </c>
      <c r="Z1862" t="str">
        <f>IF($A2="","",IF(COUNTIF('07_Pallet_Contents'!$A$2:$A$3000,$A2)&gt;0,"Yes",""))</f>
        <v/>
      </c>
    </row>
    <row r="1863" spans="2:26">
      <c r="B1863" s="31"/>
      <c r="G1863" s="34"/>
      <c r="H1863" s="33" t="str">
        <f t="shared" si="37"/>
        <v/>
      </c>
      <c r="I1863" s="31"/>
      <c r="J1863" s="31"/>
      <c r="K1863" s="33"/>
      <c r="W1863">
        <f>IF($A2="","",COUNTIF('07_Pallet_Contents'!$A$2:$A$3000,$A2))</f>
        <v>0</v>
      </c>
      <c r="X1863">
        <f>IF($A2="","",SUMIF('07_Pallet_Contents'!$A$2:$A$3000,$A2,'07_Pallet_Contents'!$D$2:$D$3000))</f>
        <v>0</v>
      </c>
      <c r="Y1863">
        <f>IF($A2="","",SUMIF('07_Pallet_Contents'!$A$2:$A$3000,$A2,'07_Pallet_Contents'!$I$2:$I$3000))</f>
        <v>0</v>
      </c>
      <c r="Z1863" t="str">
        <f>IF($A2="","",IF(COUNTIF('07_Pallet_Contents'!$A$2:$A$3000,$A2)&gt;0,"Yes",""))</f>
        <v/>
      </c>
    </row>
    <row r="1864" spans="2:26">
      <c r="B1864" s="31"/>
      <c r="G1864" s="34"/>
      <c r="H1864" s="33" t="str">
        <f t="shared" si="37"/>
        <v/>
      </c>
      <c r="I1864" s="31"/>
      <c r="J1864" s="31"/>
      <c r="K1864" s="33"/>
      <c r="W1864">
        <f>IF($A2="","",COUNTIF('07_Pallet_Contents'!$A$2:$A$3000,$A2))</f>
        <v>0</v>
      </c>
      <c r="X1864">
        <f>IF($A2="","",SUMIF('07_Pallet_Contents'!$A$2:$A$3000,$A2,'07_Pallet_Contents'!$D$2:$D$3000))</f>
        <v>0</v>
      </c>
      <c r="Y1864">
        <f>IF($A2="","",SUMIF('07_Pallet_Contents'!$A$2:$A$3000,$A2,'07_Pallet_Contents'!$I$2:$I$3000))</f>
        <v>0</v>
      </c>
      <c r="Z1864" t="str">
        <f>IF($A2="","",IF(COUNTIF('07_Pallet_Contents'!$A$2:$A$3000,$A2)&gt;0,"Yes",""))</f>
        <v/>
      </c>
    </row>
    <row r="1865" spans="2:26">
      <c r="B1865" s="31"/>
      <c r="G1865" s="34"/>
      <c r="H1865" s="33" t="str">
        <f t="shared" si="37"/>
        <v/>
      </c>
      <c r="I1865" s="31"/>
      <c r="J1865" s="31"/>
      <c r="K1865" s="33"/>
      <c r="W1865">
        <f>IF($A2="","",COUNTIF('07_Pallet_Contents'!$A$2:$A$3000,$A2))</f>
        <v>0</v>
      </c>
      <c r="X1865">
        <f>IF($A2="","",SUMIF('07_Pallet_Contents'!$A$2:$A$3000,$A2,'07_Pallet_Contents'!$D$2:$D$3000))</f>
        <v>0</v>
      </c>
      <c r="Y1865">
        <f>IF($A2="","",SUMIF('07_Pallet_Contents'!$A$2:$A$3000,$A2,'07_Pallet_Contents'!$I$2:$I$3000))</f>
        <v>0</v>
      </c>
      <c r="Z1865" t="str">
        <f>IF($A2="","",IF(COUNTIF('07_Pallet_Contents'!$A$2:$A$3000,$A2)&gt;0,"Yes",""))</f>
        <v/>
      </c>
    </row>
    <row r="1866" spans="2:26">
      <c r="B1866" s="31"/>
      <c r="G1866" s="34"/>
      <c r="H1866" s="33" t="str">
        <f t="shared" si="37"/>
        <v/>
      </c>
      <c r="I1866" s="31"/>
      <c r="J1866" s="31"/>
      <c r="K1866" s="33"/>
      <c r="W1866">
        <f>IF($A2="","",COUNTIF('07_Pallet_Contents'!$A$2:$A$3000,$A2))</f>
        <v>0</v>
      </c>
      <c r="X1866">
        <f>IF($A2="","",SUMIF('07_Pallet_Contents'!$A$2:$A$3000,$A2,'07_Pallet_Contents'!$D$2:$D$3000))</f>
        <v>0</v>
      </c>
      <c r="Y1866">
        <f>IF($A2="","",SUMIF('07_Pallet_Contents'!$A$2:$A$3000,$A2,'07_Pallet_Contents'!$I$2:$I$3000))</f>
        <v>0</v>
      </c>
      <c r="Z1866" t="str">
        <f>IF($A2="","",IF(COUNTIF('07_Pallet_Contents'!$A$2:$A$3000,$A2)&gt;0,"Yes",""))</f>
        <v/>
      </c>
    </row>
    <row r="1867" spans="2:26">
      <c r="B1867" s="31"/>
      <c r="G1867" s="34"/>
      <c r="H1867" s="33" t="str">
        <f t="shared" si="37"/>
        <v/>
      </c>
      <c r="I1867" s="31"/>
      <c r="J1867" s="31"/>
      <c r="K1867" s="33"/>
      <c r="W1867">
        <f>IF($A2="","",COUNTIF('07_Pallet_Contents'!$A$2:$A$3000,$A2))</f>
        <v>0</v>
      </c>
      <c r="X1867">
        <f>IF($A2="","",SUMIF('07_Pallet_Contents'!$A$2:$A$3000,$A2,'07_Pallet_Contents'!$D$2:$D$3000))</f>
        <v>0</v>
      </c>
      <c r="Y1867">
        <f>IF($A2="","",SUMIF('07_Pallet_Contents'!$A$2:$A$3000,$A2,'07_Pallet_Contents'!$I$2:$I$3000))</f>
        <v>0</v>
      </c>
      <c r="Z1867" t="str">
        <f>IF($A2="","",IF(COUNTIF('07_Pallet_Contents'!$A$2:$A$3000,$A2)&gt;0,"Yes",""))</f>
        <v/>
      </c>
    </row>
    <row r="1868" spans="2:26">
      <c r="B1868" s="31"/>
      <c r="G1868" s="34"/>
      <c r="H1868" s="33" t="str">
        <f t="shared" si="37"/>
        <v/>
      </c>
      <c r="I1868" s="31"/>
      <c r="J1868" s="31"/>
      <c r="K1868" s="33"/>
      <c r="W1868">
        <f>IF($A2="","",COUNTIF('07_Pallet_Contents'!$A$2:$A$3000,$A2))</f>
        <v>0</v>
      </c>
      <c r="X1868">
        <f>IF($A2="","",SUMIF('07_Pallet_Contents'!$A$2:$A$3000,$A2,'07_Pallet_Contents'!$D$2:$D$3000))</f>
        <v>0</v>
      </c>
      <c r="Y1868">
        <f>IF($A2="","",SUMIF('07_Pallet_Contents'!$A$2:$A$3000,$A2,'07_Pallet_Contents'!$I$2:$I$3000))</f>
        <v>0</v>
      </c>
      <c r="Z1868" t="str">
        <f>IF($A2="","",IF(COUNTIF('07_Pallet_Contents'!$A$2:$A$3000,$A2)&gt;0,"Yes",""))</f>
        <v/>
      </c>
    </row>
    <row r="1869" spans="2:26">
      <c r="B1869" s="31"/>
      <c r="G1869" s="34"/>
      <c r="H1869" s="33" t="str">
        <f t="shared" si="37"/>
        <v/>
      </c>
      <c r="I1869" s="31"/>
      <c r="J1869" s="31"/>
      <c r="K1869" s="33"/>
      <c r="W1869">
        <f>IF($A2="","",COUNTIF('07_Pallet_Contents'!$A$2:$A$3000,$A2))</f>
        <v>0</v>
      </c>
      <c r="X1869">
        <f>IF($A2="","",SUMIF('07_Pallet_Contents'!$A$2:$A$3000,$A2,'07_Pallet_Contents'!$D$2:$D$3000))</f>
        <v>0</v>
      </c>
      <c r="Y1869">
        <f>IF($A2="","",SUMIF('07_Pallet_Contents'!$A$2:$A$3000,$A2,'07_Pallet_Contents'!$I$2:$I$3000))</f>
        <v>0</v>
      </c>
      <c r="Z1869" t="str">
        <f>IF($A2="","",IF(COUNTIF('07_Pallet_Contents'!$A$2:$A$3000,$A2)&gt;0,"Yes",""))</f>
        <v/>
      </c>
    </row>
    <row r="1870" spans="2:26">
      <c r="B1870" s="31"/>
      <c r="G1870" s="34"/>
      <c r="H1870" s="33" t="str">
        <f t="shared" si="37"/>
        <v/>
      </c>
      <c r="I1870" s="31"/>
      <c r="J1870" s="31"/>
      <c r="K1870" s="33"/>
      <c r="W1870">
        <f>IF($A2="","",COUNTIF('07_Pallet_Contents'!$A$2:$A$3000,$A2))</f>
        <v>0</v>
      </c>
      <c r="X1870">
        <f>IF($A2="","",SUMIF('07_Pallet_Contents'!$A$2:$A$3000,$A2,'07_Pallet_Contents'!$D$2:$D$3000))</f>
        <v>0</v>
      </c>
      <c r="Y1870">
        <f>IF($A2="","",SUMIF('07_Pallet_Contents'!$A$2:$A$3000,$A2,'07_Pallet_Contents'!$I$2:$I$3000))</f>
        <v>0</v>
      </c>
      <c r="Z1870" t="str">
        <f>IF($A2="","",IF(COUNTIF('07_Pallet_Contents'!$A$2:$A$3000,$A2)&gt;0,"Yes",""))</f>
        <v/>
      </c>
    </row>
    <row r="1871" spans="2:26">
      <c r="B1871" s="31"/>
      <c r="G1871" s="34"/>
      <c r="H1871" s="33" t="str">
        <f t="shared" si="37"/>
        <v/>
      </c>
      <c r="I1871" s="31"/>
      <c r="J1871" s="31"/>
      <c r="K1871" s="33"/>
      <c r="W1871">
        <f>IF($A2="","",COUNTIF('07_Pallet_Contents'!$A$2:$A$3000,$A2))</f>
        <v>0</v>
      </c>
      <c r="X1871">
        <f>IF($A2="","",SUMIF('07_Pallet_Contents'!$A$2:$A$3000,$A2,'07_Pallet_Contents'!$D$2:$D$3000))</f>
        <v>0</v>
      </c>
      <c r="Y1871">
        <f>IF($A2="","",SUMIF('07_Pallet_Contents'!$A$2:$A$3000,$A2,'07_Pallet_Contents'!$I$2:$I$3000))</f>
        <v>0</v>
      </c>
      <c r="Z1871" t="str">
        <f>IF($A2="","",IF(COUNTIF('07_Pallet_Contents'!$A$2:$A$3000,$A2)&gt;0,"Yes",""))</f>
        <v/>
      </c>
    </row>
    <row r="1872" spans="2:26">
      <c r="B1872" s="31"/>
      <c r="G1872" s="34"/>
      <c r="H1872" s="33" t="str">
        <f t="shared" si="37"/>
        <v/>
      </c>
      <c r="I1872" s="31"/>
      <c r="J1872" s="31"/>
      <c r="K1872" s="33"/>
      <c r="W1872">
        <f>IF($A2="","",COUNTIF('07_Pallet_Contents'!$A$2:$A$3000,$A2))</f>
        <v>0</v>
      </c>
      <c r="X1872">
        <f>IF($A2="","",SUMIF('07_Pallet_Contents'!$A$2:$A$3000,$A2,'07_Pallet_Contents'!$D$2:$D$3000))</f>
        <v>0</v>
      </c>
      <c r="Y1872">
        <f>IF($A2="","",SUMIF('07_Pallet_Contents'!$A$2:$A$3000,$A2,'07_Pallet_Contents'!$I$2:$I$3000))</f>
        <v>0</v>
      </c>
      <c r="Z1872" t="str">
        <f>IF($A2="","",IF(COUNTIF('07_Pallet_Contents'!$A$2:$A$3000,$A2)&gt;0,"Yes",""))</f>
        <v/>
      </c>
    </row>
    <row r="1873" spans="2:26">
      <c r="B1873" s="31"/>
      <c r="G1873" s="34"/>
      <c r="H1873" s="33" t="str">
        <f t="shared" si="37"/>
        <v/>
      </c>
      <c r="I1873" s="31"/>
      <c r="J1873" s="31"/>
      <c r="K1873" s="33"/>
      <c r="W1873">
        <f>IF($A2="","",COUNTIF('07_Pallet_Contents'!$A$2:$A$3000,$A2))</f>
        <v>0</v>
      </c>
      <c r="X1873">
        <f>IF($A2="","",SUMIF('07_Pallet_Contents'!$A$2:$A$3000,$A2,'07_Pallet_Contents'!$D$2:$D$3000))</f>
        <v>0</v>
      </c>
      <c r="Y1873">
        <f>IF($A2="","",SUMIF('07_Pallet_Contents'!$A$2:$A$3000,$A2,'07_Pallet_Contents'!$I$2:$I$3000))</f>
        <v>0</v>
      </c>
      <c r="Z1873" t="str">
        <f>IF($A2="","",IF(COUNTIF('07_Pallet_Contents'!$A$2:$A$3000,$A2)&gt;0,"Yes",""))</f>
        <v/>
      </c>
    </row>
    <row r="1874" spans="2:26">
      <c r="B1874" s="31"/>
      <c r="G1874" s="34"/>
      <c r="H1874" s="33" t="str">
        <f t="shared" si="37"/>
        <v/>
      </c>
      <c r="I1874" s="31"/>
      <c r="J1874" s="31"/>
      <c r="K1874" s="33"/>
      <c r="W1874">
        <f>IF($A2="","",COUNTIF('07_Pallet_Contents'!$A$2:$A$3000,$A2))</f>
        <v>0</v>
      </c>
      <c r="X1874">
        <f>IF($A2="","",SUMIF('07_Pallet_Contents'!$A$2:$A$3000,$A2,'07_Pallet_Contents'!$D$2:$D$3000))</f>
        <v>0</v>
      </c>
      <c r="Y1874">
        <f>IF($A2="","",SUMIF('07_Pallet_Contents'!$A$2:$A$3000,$A2,'07_Pallet_Contents'!$I$2:$I$3000))</f>
        <v>0</v>
      </c>
      <c r="Z1874" t="str">
        <f>IF($A2="","",IF(COUNTIF('07_Pallet_Contents'!$A$2:$A$3000,$A2)&gt;0,"Yes",""))</f>
        <v/>
      </c>
    </row>
    <row r="1875" spans="2:26">
      <c r="B1875" s="31"/>
      <c r="G1875" s="34"/>
      <c r="H1875" s="33" t="str">
        <f t="shared" si="37"/>
        <v/>
      </c>
      <c r="I1875" s="31"/>
      <c r="J1875" s="31"/>
      <c r="K1875" s="33"/>
      <c r="W1875">
        <f>IF($A2="","",COUNTIF('07_Pallet_Contents'!$A$2:$A$3000,$A2))</f>
        <v>0</v>
      </c>
      <c r="X1875">
        <f>IF($A2="","",SUMIF('07_Pallet_Contents'!$A$2:$A$3000,$A2,'07_Pallet_Contents'!$D$2:$D$3000))</f>
        <v>0</v>
      </c>
      <c r="Y1875">
        <f>IF($A2="","",SUMIF('07_Pallet_Contents'!$A$2:$A$3000,$A2,'07_Pallet_Contents'!$I$2:$I$3000))</f>
        <v>0</v>
      </c>
      <c r="Z1875" t="str">
        <f>IF($A2="","",IF(COUNTIF('07_Pallet_Contents'!$A$2:$A$3000,$A2)&gt;0,"Yes",""))</f>
        <v/>
      </c>
    </row>
    <row r="1876" spans="2:26">
      <c r="B1876" s="31"/>
      <c r="G1876" s="34"/>
      <c r="H1876" s="33" t="str">
        <f t="shared" si="37"/>
        <v/>
      </c>
      <c r="I1876" s="31"/>
      <c r="J1876" s="31"/>
      <c r="K1876" s="33"/>
      <c r="W1876">
        <f>IF($A2="","",COUNTIF('07_Pallet_Contents'!$A$2:$A$3000,$A2))</f>
        <v>0</v>
      </c>
      <c r="X1876">
        <f>IF($A2="","",SUMIF('07_Pallet_Contents'!$A$2:$A$3000,$A2,'07_Pallet_Contents'!$D$2:$D$3000))</f>
        <v>0</v>
      </c>
      <c r="Y1876">
        <f>IF($A2="","",SUMIF('07_Pallet_Contents'!$A$2:$A$3000,$A2,'07_Pallet_Contents'!$I$2:$I$3000))</f>
        <v>0</v>
      </c>
      <c r="Z1876" t="str">
        <f>IF($A2="","",IF(COUNTIF('07_Pallet_Contents'!$A$2:$A$3000,$A2)&gt;0,"Yes",""))</f>
        <v/>
      </c>
    </row>
    <row r="1877" spans="2:26">
      <c r="B1877" s="31"/>
      <c r="G1877" s="34"/>
      <c r="H1877" s="33" t="str">
        <f t="shared" si="37"/>
        <v/>
      </c>
      <c r="I1877" s="31"/>
      <c r="J1877" s="31"/>
      <c r="K1877" s="33"/>
      <c r="W1877">
        <f>IF($A2="","",COUNTIF('07_Pallet_Contents'!$A$2:$A$3000,$A2))</f>
        <v>0</v>
      </c>
      <c r="X1877">
        <f>IF($A2="","",SUMIF('07_Pallet_Contents'!$A$2:$A$3000,$A2,'07_Pallet_Contents'!$D$2:$D$3000))</f>
        <v>0</v>
      </c>
      <c r="Y1877">
        <f>IF($A2="","",SUMIF('07_Pallet_Contents'!$A$2:$A$3000,$A2,'07_Pallet_Contents'!$I$2:$I$3000))</f>
        <v>0</v>
      </c>
      <c r="Z1877" t="str">
        <f>IF($A2="","",IF(COUNTIF('07_Pallet_Contents'!$A$2:$A$3000,$A2)&gt;0,"Yes",""))</f>
        <v/>
      </c>
    </row>
    <row r="1878" spans="2:26">
      <c r="B1878" s="31"/>
      <c r="G1878" s="34"/>
      <c r="H1878" s="33" t="str">
        <f t="shared" si="37"/>
        <v/>
      </c>
      <c r="I1878" s="31"/>
      <c r="J1878" s="31"/>
      <c r="K1878" s="33"/>
      <c r="W1878">
        <f>IF($A2="","",COUNTIF('07_Pallet_Contents'!$A$2:$A$3000,$A2))</f>
        <v>0</v>
      </c>
      <c r="X1878">
        <f>IF($A2="","",SUMIF('07_Pallet_Contents'!$A$2:$A$3000,$A2,'07_Pallet_Contents'!$D$2:$D$3000))</f>
        <v>0</v>
      </c>
      <c r="Y1878">
        <f>IF($A2="","",SUMIF('07_Pallet_Contents'!$A$2:$A$3000,$A2,'07_Pallet_Contents'!$I$2:$I$3000))</f>
        <v>0</v>
      </c>
      <c r="Z1878" t="str">
        <f>IF($A2="","",IF(COUNTIF('07_Pallet_Contents'!$A$2:$A$3000,$A2)&gt;0,"Yes",""))</f>
        <v/>
      </c>
    </row>
    <row r="1879" spans="2:26">
      <c r="B1879" s="31"/>
      <c r="G1879" s="34"/>
      <c r="H1879" s="33" t="str">
        <f t="shared" si="37"/>
        <v/>
      </c>
      <c r="I1879" s="31"/>
      <c r="J1879" s="31"/>
      <c r="K1879" s="33"/>
      <c r="W1879">
        <f>IF($A2="","",COUNTIF('07_Pallet_Contents'!$A$2:$A$3000,$A2))</f>
        <v>0</v>
      </c>
      <c r="X1879">
        <f>IF($A2="","",SUMIF('07_Pallet_Contents'!$A$2:$A$3000,$A2,'07_Pallet_Contents'!$D$2:$D$3000))</f>
        <v>0</v>
      </c>
      <c r="Y1879">
        <f>IF($A2="","",SUMIF('07_Pallet_Contents'!$A$2:$A$3000,$A2,'07_Pallet_Contents'!$I$2:$I$3000))</f>
        <v>0</v>
      </c>
      <c r="Z1879" t="str">
        <f>IF($A2="","",IF(COUNTIF('07_Pallet_Contents'!$A$2:$A$3000,$A2)&gt;0,"Yes",""))</f>
        <v/>
      </c>
    </row>
    <row r="1880" spans="2:26">
      <c r="B1880" s="31"/>
      <c r="G1880" s="34"/>
      <c r="H1880" s="33" t="str">
        <f t="shared" si="37"/>
        <v/>
      </c>
      <c r="I1880" s="31"/>
      <c r="J1880" s="31"/>
      <c r="K1880" s="33"/>
      <c r="W1880">
        <f>IF($A2="","",COUNTIF('07_Pallet_Contents'!$A$2:$A$3000,$A2))</f>
        <v>0</v>
      </c>
      <c r="X1880">
        <f>IF($A2="","",SUMIF('07_Pallet_Contents'!$A$2:$A$3000,$A2,'07_Pallet_Contents'!$D$2:$D$3000))</f>
        <v>0</v>
      </c>
      <c r="Y1880">
        <f>IF($A2="","",SUMIF('07_Pallet_Contents'!$A$2:$A$3000,$A2,'07_Pallet_Contents'!$I$2:$I$3000))</f>
        <v>0</v>
      </c>
      <c r="Z1880" t="str">
        <f>IF($A2="","",IF(COUNTIF('07_Pallet_Contents'!$A$2:$A$3000,$A2)&gt;0,"Yes",""))</f>
        <v/>
      </c>
    </row>
    <row r="1881" spans="2:26">
      <c r="B1881" s="31"/>
      <c r="G1881" s="34"/>
      <c r="H1881" s="33" t="str">
        <f t="shared" si="37"/>
        <v/>
      </c>
      <c r="I1881" s="31"/>
      <c r="J1881" s="31"/>
      <c r="K1881" s="33"/>
      <c r="W1881">
        <f>IF($A2="","",COUNTIF('07_Pallet_Contents'!$A$2:$A$3000,$A2))</f>
        <v>0</v>
      </c>
      <c r="X1881">
        <f>IF($A2="","",SUMIF('07_Pallet_Contents'!$A$2:$A$3000,$A2,'07_Pallet_Contents'!$D$2:$D$3000))</f>
        <v>0</v>
      </c>
      <c r="Y1881">
        <f>IF($A2="","",SUMIF('07_Pallet_Contents'!$A$2:$A$3000,$A2,'07_Pallet_Contents'!$I$2:$I$3000))</f>
        <v>0</v>
      </c>
      <c r="Z1881" t="str">
        <f>IF($A2="","",IF(COUNTIF('07_Pallet_Contents'!$A$2:$A$3000,$A2)&gt;0,"Yes",""))</f>
        <v/>
      </c>
    </row>
    <row r="1882" spans="2:26">
      <c r="B1882" s="31"/>
      <c r="G1882" s="34"/>
      <c r="H1882" s="33" t="str">
        <f t="shared" si="37"/>
        <v/>
      </c>
      <c r="I1882" s="31"/>
      <c r="J1882" s="31"/>
      <c r="K1882" s="33"/>
      <c r="W1882">
        <f>IF($A2="","",COUNTIF('07_Pallet_Contents'!$A$2:$A$3000,$A2))</f>
        <v>0</v>
      </c>
      <c r="X1882">
        <f>IF($A2="","",SUMIF('07_Pallet_Contents'!$A$2:$A$3000,$A2,'07_Pallet_Contents'!$D$2:$D$3000))</f>
        <v>0</v>
      </c>
      <c r="Y1882">
        <f>IF($A2="","",SUMIF('07_Pallet_Contents'!$A$2:$A$3000,$A2,'07_Pallet_Contents'!$I$2:$I$3000))</f>
        <v>0</v>
      </c>
      <c r="Z1882" t="str">
        <f>IF($A2="","",IF(COUNTIF('07_Pallet_Contents'!$A$2:$A$3000,$A2)&gt;0,"Yes",""))</f>
        <v/>
      </c>
    </row>
    <row r="1883" spans="2:26">
      <c r="B1883" s="31"/>
      <c r="G1883" s="34"/>
      <c r="H1883" s="33" t="str">
        <f t="shared" si="37"/>
        <v/>
      </c>
      <c r="I1883" s="31"/>
      <c r="J1883" s="31"/>
      <c r="K1883" s="33"/>
      <c r="W1883">
        <f>IF($A2="","",COUNTIF('07_Pallet_Contents'!$A$2:$A$3000,$A2))</f>
        <v>0</v>
      </c>
      <c r="X1883">
        <f>IF($A2="","",SUMIF('07_Pallet_Contents'!$A$2:$A$3000,$A2,'07_Pallet_Contents'!$D$2:$D$3000))</f>
        <v>0</v>
      </c>
      <c r="Y1883">
        <f>IF($A2="","",SUMIF('07_Pallet_Contents'!$A$2:$A$3000,$A2,'07_Pallet_Contents'!$I$2:$I$3000))</f>
        <v>0</v>
      </c>
      <c r="Z1883" t="str">
        <f>IF($A2="","",IF(COUNTIF('07_Pallet_Contents'!$A$2:$A$3000,$A2)&gt;0,"Yes",""))</f>
        <v/>
      </c>
    </row>
    <row r="1884" spans="2:26">
      <c r="B1884" s="31"/>
      <c r="G1884" s="34"/>
      <c r="H1884" s="33" t="str">
        <f t="shared" si="37"/>
        <v/>
      </c>
      <c r="I1884" s="31"/>
      <c r="J1884" s="31"/>
      <c r="K1884" s="33"/>
      <c r="W1884">
        <f>IF($A2="","",COUNTIF('07_Pallet_Contents'!$A$2:$A$3000,$A2))</f>
        <v>0</v>
      </c>
      <c r="X1884">
        <f>IF($A2="","",SUMIF('07_Pallet_Contents'!$A$2:$A$3000,$A2,'07_Pallet_Contents'!$D$2:$D$3000))</f>
        <v>0</v>
      </c>
      <c r="Y1884">
        <f>IF($A2="","",SUMIF('07_Pallet_Contents'!$A$2:$A$3000,$A2,'07_Pallet_Contents'!$I$2:$I$3000))</f>
        <v>0</v>
      </c>
      <c r="Z1884" t="str">
        <f>IF($A2="","",IF(COUNTIF('07_Pallet_Contents'!$A$2:$A$3000,$A2)&gt;0,"Yes",""))</f>
        <v/>
      </c>
    </row>
    <row r="1885" spans="2:26">
      <c r="B1885" s="31"/>
      <c r="G1885" s="34"/>
      <c r="H1885" s="33" t="str">
        <f t="shared" si="37"/>
        <v/>
      </c>
      <c r="I1885" s="31"/>
      <c r="J1885" s="31"/>
      <c r="K1885" s="33"/>
      <c r="W1885">
        <f>IF($A2="","",COUNTIF('07_Pallet_Contents'!$A$2:$A$3000,$A2))</f>
        <v>0</v>
      </c>
      <c r="X1885">
        <f>IF($A2="","",SUMIF('07_Pallet_Contents'!$A$2:$A$3000,$A2,'07_Pallet_Contents'!$D$2:$D$3000))</f>
        <v>0</v>
      </c>
      <c r="Y1885">
        <f>IF($A2="","",SUMIF('07_Pallet_Contents'!$A$2:$A$3000,$A2,'07_Pallet_Contents'!$I$2:$I$3000))</f>
        <v>0</v>
      </c>
      <c r="Z1885" t="str">
        <f>IF($A2="","",IF(COUNTIF('07_Pallet_Contents'!$A$2:$A$3000,$A2)&gt;0,"Yes",""))</f>
        <v/>
      </c>
    </row>
    <row r="1886" spans="2:26">
      <c r="B1886" s="31"/>
      <c r="G1886" s="34"/>
      <c r="H1886" s="33" t="str">
        <f t="shared" si="37"/>
        <v/>
      </c>
      <c r="I1886" s="31"/>
      <c r="J1886" s="31"/>
      <c r="K1886" s="33"/>
      <c r="W1886">
        <f>IF($A2="","",COUNTIF('07_Pallet_Contents'!$A$2:$A$3000,$A2))</f>
        <v>0</v>
      </c>
      <c r="X1886">
        <f>IF($A2="","",SUMIF('07_Pallet_Contents'!$A$2:$A$3000,$A2,'07_Pallet_Contents'!$D$2:$D$3000))</f>
        <v>0</v>
      </c>
      <c r="Y1886">
        <f>IF($A2="","",SUMIF('07_Pallet_Contents'!$A$2:$A$3000,$A2,'07_Pallet_Contents'!$I$2:$I$3000))</f>
        <v>0</v>
      </c>
      <c r="Z1886" t="str">
        <f>IF($A2="","",IF(COUNTIF('07_Pallet_Contents'!$A$2:$A$3000,$A2)&gt;0,"Yes",""))</f>
        <v/>
      </c>
    </row>
    <row r="1887" spans="2:26">
      <c r="B1887" s="31"/>
      <c r="G1887" s="34"/>
      <c r="H1887" s="33" t="str">
        <f t="shared" si="37"/>
        <v/>
      </c>
      <c r="I1887" s="31"/>
      <c r="J1887" s="31"/>
      <c r="K1887" s="33"/>
      <c r="W1887">
        <f>IF($A2="","",COUNTIF('07_Pallet_Contents'!$A$2:$A$3000,$A2))</f>
        <v>0</v>
      </c>
      <c r="X1887">
        <f>IF($A2="","",SUMIF('07_Pallet_Contents'!$A$2:$A$3000,$A2,'07_Pallet_Contents'!$D$2:$D$3000))</f>
        <v>0</v>
      </c>
      <c r="Y1887">
        <f>IF($A2="","",SUMIF('07_Pallet_Contents'!$A$2:$A$3000,$A2,'07_Pallet_Contents'!$I$2:$I$3000))</f>
        <v>0</v>
      </c>
      <c r="Z1887" t="str">
        <f>IF($A2="","",IF(COUNTIF('07_Pallet_Contents'!$A$2:$A$3000,$A2)&gt;0,"Yes",""))</f>
        <v/>
      </c>
    </row>
    <row r="1888" spans="2:26">
      <c r="B1888" s="31"/>
      <c r="G1888" s="34"/>
      <c r="H1888" s="33" t="str">
        <f t="shared" si="37"/>
        <v/>
      </c>
      <c r="I1888" s="31"/>
      <c r="J1888" s="31"/>
      <c r="K1888" s="33"/>
      <c r="W1888">
        <f>IF($A2="","",COUNTIF('07_Pallet_Contents'!$A$2:$A$3000,$A2))</f>
        <v>0</v>
      </c>
      <c r="X1888">
        <f>IF($A2="","",SUMIF('07_Pallet_Contents'!$A$2:$A$3000,$A2,'07_Pallet_Contents'!$D$2:$D$3000))</f>
        <v>0</v>
      </c>
      <c r="Y1888">
        <f>IF($A2="","",SUMIF('07_Pallet_Contents'!$A$2:$A$3000,$A2,'07_Pallet_Contents'!$I$2:$I$3000))</f>
        <v>0</v>
      </c>
      <c r="Z1888" t="str">
        <f>IF($A2="","",IF(COUNTIF('07_Pallet_Contents'!$A$2:$A$3000,$A2)&gt;0,"Yes",""))</f>
        <v/>
      </c>
    </row>
    <row r="1889" spans="2:26">
      <c r="B1889" s="31"/>
      <c r="G1889" s="34"/>
      <c r="H1889" s="33" t="str">
        <f t="shared" si="37"/>
        <v/>
      </c>
      <c r="I1889" s="31"/>
      <c r="J1889" s="31"/>
      <c r="K1889" s="33"/>
      <c r="W1889">
        <f>IF($A2="","",COUNTIF('07_Pallet_Contents'!$A$2:$A$3000,$A2))</f>
        <v>0</v>
      </c>
      <c r="X1889">
        <f>IF($A2="","",SUMIF('07_Pallet_Contents'!$A$2:$A$3000,$A2,'07_Pallet_Contents'!$D$2:$D$3000))</f>
        <v>0</v>
      </c>
      <c r="Y1889">
        <f>IF($A2="","",SUMIF('07_Pallet_Contents'!$A$2:$A$3000,$A2,'07_Pallet_Contents'!$I$2:$I$3000))</f>
        <v>0</v>
      </c>
      <c r="Z1889" t="str">
        <f>IF($A2="","",IF(COUNTIF('07_Pallet_Contents'!$A$2:$A$3000,$A2)&gt;0,"Yes",""))</f>
        <v/>
      </c>
    </row>
    <row r="1890" spans="2:26">
      <c r="B1890" s="31"/>
      <c r="G1890" s="34"/>
      <c r="H1890" s="33" t="str">
        <f t="shared" si="37"/>
        <v/>
      </c>
      <c r="I1890" s="31"/>
      <c r="J1890" s="31"/>
      <c r="K1890" s="33"/>
      <c r="W1890">
        <f>IF($A2="","",COUNTIF('07_Pallet_Contents'!$A$2:$A$3000,$A2))</f>
        <v>0</v>
      </c>
      <c r="X1890">
        <f>IF($A2="","",SUMIF('07_Pallet_Contents'!$A$2:$A$3000,$A2,'07_Pallet_Contents'!$D$2:$D$3000))</f>
        <v>0</v>
      </c>
      <c r="Y1890">
        <f>IF($A2="","",SUMIF('07_Pallet_Contents'!$A$2:$A$3000,$A2,'07_Pallet_Contents'!$I$2:$I$3000))</f>
        <v>0</v>
      </c>
      <c r="Z1890" t="str">
        <f>IF($A2="","",IF(COUNTIF('07_Pallet_Contents'!$A$2:$A$3000,$A2)&gt;0,"Yes",""))</f>
        <v/>
      </c>
    </row>
    <row r="1891" spans="2:26">
      <c r="B1891" s="31"/>
      <c r="G1891" s="34"/>
      <c r="H1891" s="33" t="str">
        <f t="shared" si="37"/>
        <v/>
      </c>
      <c r="I1891" s="31"/>
      <c r="J1891" s="31"/>
      <c r="K1891" s="33"/>
      <c r="W1891">
        <f>IF($A2="","",COUNTIF('07_Pallet_Contents'!$A$2:$A$3000,$A2))</f>
        <v>0</v>
      </c>
      <c r="X1891">
        <f>IF($A2="","",SUMIF('07_Pallet_Contents'!$A$2:$A$3000,$A2,'07_Pallet_Contents'!$D$2:$D$3000))</f>
        <v>0</v>
      </c>
      <c r="Y1891">
        <f>IF($A2="","",SUMIF('07_Pallet_Contents'!$A$2:$A$3000,$A2,'07_Pallet_Contents'!$I$2:$I$3000))</f>
        <v>0</v>
      </c>
      <c r="Z1891" t="str">
        <f>IF($A2="","",IF(COUNTIF('07_Pallet_Contents'!$A$2:$A$3000,$A2)&gt;0,"Yes",""))</f>
        <v/>
      </c>
    </row>
    <row r="1892" spans="2:26">
      <c r="B1892" s="31"/>
      <c r="G1892" s="34"/>
      <c r="H1892" s="33" t="str">
        <f t="shared" si="37"/>
        <v/>
      </c>
      <c r="I1892" s="31"/>
      <c r="J1892" s="31"/>
      <c r="K1892" s="33"/>
      <c r="W1892">
        <f>IF($A2="","",COUNTIF('07_Pallet_Contents'!$A$2:$A$3000,$A2))</f>
        <v>0</v>
      </c>
      <c r="X1892">
        <f>IF($A2="","",SUMIF('07_Pallet_Contents'!$A$2:$A$3000,$A2,'07_Pallet_Contents'!$D$2:$D$3000))</f>
        <v>0</v>
      </c>
      <c r="Y1892">
        <f>IF($A2="","",SUMIF('07_Pallet_Contents'!$A$2:$A$3000,$A2,'07_Pallet_Contents'!$I$2:$I$3000))</f>
        <v>0</v>
      </c>
      <c r="Z1892" t="str">
        <f>IF($A2="","",IF(COUNTIF('07_Pallet_Contents'!$A$2:$A$3000,$A2)&gt;0,"Yes",""))</f>
        <v/>
      </c>
    </row>
    <row r="1893" spans="2:26">
      <c r="B1893" s="31"/>
      <c r="G1893" s="34"/>
      <c r="H1893" s="33" t="str">
        <f t="shared" si="37"/>
        <v/>
      </c>
      <c r="I1893" s="31"/>
      <c r="J1893" s="31"/>
      <c r="K1893" s="33"/>
      <c r="W1893">
        <f>IF($A2="","",COUNTIF('07_Pallet_Contents'!$A$2:$A$3000,$A2))</f>
        <v>0</v>
      </c>
      <c r="X1893">
        <f>IF($A2="","",SUMIF('07_Pallet_Contents'!$A$2:$A$3000,$A2,'07_Pallet_Contents'!$D$2:$D$3000))</f>
        <v>0</v>
      </c>
      <c r="Y1893">
        <f>IF($A2="","",SUMIF('07_Pallet_Contents'!$A$2:$A$3000,$A2,'07_Pallet_Contents'!$I$2:$I$3000))</f>
        <v>0</v>
      </c>
      <c r="Z1893" t="str">
        <f>IF($A2="","",IF(COUNTIF('07_Pallet_Contents'!$A$2:$A$3000,$A2)&gt;0,"Yes",""))</f>
        <v/>
      </c>
    </row>
    <row r="1894" spans="2:26">
      <c r="B1894" s="31"/>
      <c r="G1894" s="34"/>
      <c r="H1894" s="33" t="str">
        <f t="shared" si="37"/>
        <v/>
      </c>
      <c r="I1894" s="31"/>
      <c r="J1894" s="31"/>
      <c r="K1894" s="33"/>
      <c r="W1894">
        <f>IF($A2="","",COUNTIF('07_Pallet_Contents'!$A$2:$A$3000,$A2))</f>
        <v>0</v>
      </c>
      <c r="X1894">
        <f>IF($A2="","",SUMIF('07_Pallet_Contents'!$A$2:$A$3000,$A2,'07_Pallet_Contents'!$D$2:$D$3000))</f>
        <v>0</v>
      </c>
      <c r="Y1894">
        <f>IF($A2="","",SUMIF('07_Pallet_Contents'!$A$2:$A$3000,$A2,'07_Pallet_Contents'!$I$2:$I$3000))</f>
        <v>0</v>
      </c>
      <c r="Z1894" t="str">
        <f>IF($A2="","",IF(COUNTIF('07_Pallet_Contents'!$A$2:$A$3000,$A2)&gt;0,"Yes",""))</f>
        <v/>
      </c>
    </row>
    <row r="1895" spans="2:26">
      <c r="B1895" s="31"/>
      <c r="G1895" s="34"/>
      <c r="H1895" s="33" t="str">
        <f t="shared" si="37"/>
        <v/>
      </c>
      <c r="I1895" s="31"/>
      <c r="J1895" s="31"/>
      <c r="K1895" s="33"/>
      <c r="W1895">
        <f>IF($A2="","",COUNTIF('07_Pallet_Contents'!$A$2:$A$3000,$A2))</f>
        <v>0</v>
      </c>
      <c r="X1895">
        <f>IF($A2="","",SUMIF('07_Pallet_Contents'!$A$2:$A$3000,$A2,'07_Pallet_Contents'!$D$2:$D$3000))</f>
        <v>0</v>
      </c>
      <c r="Y1895">
        <f>IF($A2="","",SUMIF('07_Pallet_Contents'!$A$2:$A$3000,$A2,'07_Pallet_Contents'!$I$2:$I$3000))</f>
        <v>0</v>
      </c>
      <c r="Z1895" t="str">
        <f>IF($A2="","",IF(COUNTIF('07_Pallet_Contents'!$A$2:$A$3000,$A2)&gt;0,"Yes",""))</f>
        <v/>
      </c>
    </row>
    <row r="1896" spans="2:26">
      <c r="B1896" s="31"/>
      <c r="G1896" s="34"/>
      <c r="H1896" s="33" t="str">
        <f t="shared" si="37"/>
        <v/>
      </c>
      <c r="I1896" s="31"/>
      <c r="J1896" s="31"/>
      <c r="K1896" s="33"/>
      <c r="W1896">
        <f>IF($A2="","",COUNTIF('07_Pallet_Contents'!$A$2:$A$3000,$A2))</f>
        <v>0</v>
      </c>
      <c r="X1896">
        <f>IF($A2="","",SUMIF('07_Pallet_Contents'!$A$2:$A$3000,$A2,'07_Pallet_Contents'!$D$2:$D$3000))</f>
        <v>0</v>
      </c>
      <c r="Y1896">
        <f>IF($A2="","",SUMIF('07_Pallet_Contents'!$A$2:$A$3000,$A2,'07_Pallet_Contents'!$I$2:$I$3000))</f>
        <v>0</v>
      </c>
      <c r="Z1896" t="str">
        <f>IF($A2="","",IF(COUNTIF('07_Pallet_Contents'!$A$2:$A$3000,$A2)&gt;0,"Yes",""))</f>
        <v/>
      </c>
    </row>
    <row r="1897" spans="2:26">
      <c r="B1897" s="31"/>
      <c r="G1897" s="34"/>
      <c r="H1897" s="33" t="str">
        <f t="shared" si="37"/>
        <v/>
      </c>
      <c r="I1897" s="31"/>
      <c r="J1897" s="31"/>
      <c r="K1897" s="33"/>
      <c r="W1897">
        <f>IF($A2="","",COUNTIF('07_Pallet_Contents'!$A$2:$A$3000,$A2))</f>
        <v>0</v>
      </c>
      <c r="X1897">
        <f>IF($A2="","",SUMIF('07_Pallet_Contents'!$A$2:$A$3000,$A2,'07_Pallet_Contents'!$D$2:$D$3000))</f>
        <v>0</v>
      </c>
      <c r="Y1897">
        <f>IF($A2="","",SUMIF('07_Pallet_Contents'!$A$2:$A$3000,$A2,'07_Pallet_Contents'!$I$2:$I$3000))</f>
        <v>0</v>
      </c>
      <c r="Z1897" t="str">
        <f>IF($A2="","",IF(COUNTIF('07_Pallet_Contents'!$A$2:$A$3000,$A2)&gt;0,"Yes",""))</f>
        <v/>
      </c>
    </row>
    <row r="1898" spans="2:26">
      <c r="B1898" s="31"/>
      <c r="G1898" s="34"/>
      <c r="H1898" s="33" t="str">
        <f t="shared" si="37"/>
        <v/>
      </c>
      <c r="I1898" s="31"/>
      <c r="J1898" s="31"/>
      <c r="K1898" s="33"/>
      <c r="W1898">
        <f>IF($A2="","",COUNTIF('07_Pallet_Contents'!$A$2:$A$3000,$A2))</f>
        <v>0</v>
      </c>
      <c r="X1898">
        <f>IF($A2="","",SUMIF('07_Pallet_Contents'!$A$2:$A$3000,$A2,'07_Pallet_Contents'!$D$2:$D$3000))</f>
        <v>0</v>
      </c>
      <c r="Y1898">
        <f>IF($A2="","",SUMIF('07_Pallet_Contents'!$A$2:$A$3000,$A2,'07_Pallet_Contents'!$I$2:$I$3000))</f>
        <v>0</v>
      </c>
      <c r="Z1898" t="str">
        <f>IF($A2="","",IF(COUNTIF('07_Pallet_Contents'!$A$2:$A$3000,$A2)&gt;0,"Yes",""))</f>
        <v/>
      </c>
    </row>
    <row r="1899" spans="2:26">
      <c r="B1899" s="31"/>
      <c r="G1899" s="34"/>
      <c r="H1899" s="33" t="str">
        <f t="shared" si="37"/>
        <v/>
      </c>
      <c r="I1899" s="31"/>
      <c r="J1899" s="31"/>
      <c r="K1899" s="33"/>
      <c r="W1899">
        <f>IF($A2="","",COUNTIF('07_Pallet_Contents'!$A$2:$A$3000,$A2))</f>
        <v>0</v>
      </c>
      <c r="X1899">
        <f>IF($A2="","",SUMIF('07_Pallet_Contents'!$A$2:$A$3000,$A2,'07_Pallet_Contents'!$D$2:$D$3000))</f>
        <v>0</v>
      </c>
      <c r="Y1899">
        <f>IF($A2="","",SUMIF('07_Pallet_Contents'!$A$2:$A$3000,$A2,'07_Pallet_Contents'!$I$2:$I$3000))</f>
        <v>0</v>
      </c>
      <c r="Z1899" t="str">
        <f>IF($A2="","",IF(COUNTIF('07_Pallet_Contents'!$A$2:$A$3000,$A2)&gt;0,"Yes",""))</f>
        <v/>
      </c>
    </row>
    <row r="1900" spans="2:26">
      <c r="B1900" s="31"/>
      <c r="G1900" s="34"/>
      <c r="H1900" s="33" t="str">
        <f t="shared" si="37"/>
        <v/>
      </c>
      <c r="I1900" s="31"/>
      <c r="J1900" s="31"/>
      <c r="K1900" s="33"/>
      <c r="W1900">
        <f>IF($A2="","",COUNTIF('07_Pallet_Contents'!$A$2:$A$3000,$A2))</f>
        <v>0</v>
      </c>
      <c r="X1900">
        <f>IF($A2="","",SUMIF('07_Pallet_Contents'!$A$2:$A$3000,$A2,'07_Pallet_Contents'!$D$2:$D$3000))</f>
        <v>0</v>
      </c>
      <c r="Y1900">
        <f>IF($A2="","",SUMIF('07_Pallet_Contents'!$A$2:$A$3000,$A2,'07_Pallet_Contents'!$I$2:$I$3000))</f>
        <v>0</v>
      </c>
      <c r="Z1900" t="str">
        <f>IF($A2="","",IF(COUNTIF('07_Pallet_Contents'!$A$2:$A$3000,$A2)&gt;0,"Yes",""))</f>
        <v/>
      </c>
    </row>
    <row r="1901" spans="2:26">
      <c r="B1901" s="31"/>
      <c r="G1901" s="34"/>
      <c r="H1901" s="33" t="str">
        <f t="shared" si="37"/>
        <v/>
      </c>
      <c r="I1901" s="31"/>
      <c r="J1901" s="31"/>
      <c r="K1901" s="33"/>
      <c r="W1901">
        <f>IF($A2="","",COUNTIF('07_Pallet_Contents'!$A$2:$A$3000,$A2))</f>
        <v>0</v>
      </c>
      <c r="X1901">
        <f>IF($A2="","",SUMIF('07_Pallet_Contents'!$A$2:$A$3000,$A2,'07_Pallet_Contents'!$D$2:$D$3000))</f>
        <v>0</v>
      </c>
      <c r="Y1901">
        <f>IF($A2="","",SUMIF('07_Pallet_Contents'!$A$2:$A$3000,$A2,'07_Pallet_Contents'!$I$2:$I$3000))</f>
        <v>0</v>
      </c>
      <c r="Z1901" t="str">
        <f>IF($A2="","",IF(COUNTIF('07_Pallet_Contents'!$A$2:$A$3000,$A2)&gt;0,"Yes",""))</f>
        <v/>
      </c>
    </row>
    <row r="1902" spans="2:26">
      <c r="B1902" s="31"/>
      <c r="G1902" s="34"/>
      <c r="H1902" s="33" t="str">
        <f t="shared" si="37"/>
        <v/>
      </c>
      <c r="I1902" s="31"/>
      <c r="J1902" s="31"/>
      <c r="K1902" s="33"/>
      <c r="W1902">
        <f>IF($A2="","",COUNTIF('07_Pallet_Contents'!$A$2:$A$3000,$A2))</f>
        <v>0</v>
      </c>
      <c r="X1902">
        <f>IF($A2="","",SUMIF('07_Pallet_Contents'!$A$2:$A$3000,$A2,'07_Pallet_Contents'!$D$2:$D$3000))</f>
        <v>0</v>
      </c>
      <c r="Y1902">
        <f>IF($A2="","",SUMIF('07_Pallet_Contents'!$A$2:$A$3000,$A2,'07_Pallet_Contents'!$I$2:$I$3000))</f>
        <v>0</v>
      </c>
      <c r="Z1902" t="str">
        <f>IF($A2="","",IF(COUNTIF('07_Pallet_Contents'!$A$2:$A$3000,$A2)&gt;0,"Yes",""))</f>
        <v/>
      </c>
    </row>
    <row r="1903" spans="2:26">
      <c r="B1903" s="31"/>
      <c r="G1903" s="34"/>
      <c r="H1903" s="33" t="str">
        <f t="shared" si="37"/>
        <v/>
      </c>
      <c r="I1903" s="31"/>
      <c r="J1903" s="31"/>
      <c r="K1903" s="33"/>
      <c r="W1903">
        <f>IF($A2="","",COUNTIF('07_Pallet_Contents'!$A$2:$A$3000,$A2))</f>
        <v>0</v>
      </c>
      <c r="X1903">
        <f>IF($A2="","",SUMIF('07_Pallet_Contents'!$A$2:$A$3000,$A2,'07_Pallet_Contents'!$D$2:$D$3000))</f>
        <v>0</v>
      </c>
      <c r="Y1903">
        <f>IF($A2="","",SUMIF('07_Pallet_Contents'!$A$2:$A$3000,$A2,'07_Pallet_Contents'!$I$2:$I$3000))</f>
        <v>0</v>
      </c>
      <c r="Z1903" t="str">
        <f>IF($A2="","",IF(COUNTIF('07_Pallet_Contents'!$A$2:$A$3000,$A2)&gt;0,"Yes",""))</f>
        <v/>
      </c>
    </row>
    <row r="1904" spans="2:26">
      <c r="B1904" s="31"/>
      <c r="G1904" s="34"/>
      <c r="H1904" s="33" t="str">
        <f t="shared" si="37"/>
        <v/>
      </c>
      <c r="I1904" s="31"/>
      <c r="J1904" s="31"/>
      <c r="K1904" s="33"/>
      <c r="W1904">
        <f>IF($A2="","",COUNTIF('07_Pallet_Contents'!$A$2:$A$3000,$A2))</f>
        <v>0</v>
      </c>
      <c r="X1904">
        <f>IF($A2="","",SUMIF('07_Pallet_Contents'!$A$2:$A$3000,$A2,'07_Pallet_Contents'!$D$2:$D$3000))</f>
        <v>0</v>
      </c>
      <c r="Y1904">
        <f>IF($A2="","",SUMIF('07_Pallet_Contents'!$A$2:$A$3000,$A2,'07_Pallet_Contents'!$I$2:$I$3000))</f>
        <v>0</v>
      </c>
      <c r="Z1904" t="str">
        <f>IF($A2="","",IF(COUNTIF('07_Pallet_Contents'!$A$2:$A$3000,$A2)&gt;0,"Yes",""))</f>
        <v/>
      </c>
    </row>
    <row r="1905" spans="2:26">
      <c r="B1905" s="31"/>
      <c r="G1905" s="34"/>
      <c r="H1905" s="33" t="str">
        <f t="shared" si="37"/>
        <v/>
      </c>
      <c r="I1905" s="31"/>
      <c r="J1905" s="31"/>
      <c r="K1905" s="33"/>
      <c r="W1905">
        <f>IF($A2="","",COUNTIF('07_Pallet_Contents'!$A$2:$A$3000,$A2))</f>
        <v>0</v>
      </c>
      <c r="X1905">
        <f>IF($A2="","",SUMIF('07_Pallet_Contents'!$A$2:$A$3000,$A2,'07_Pallet_Contents'!$D$2:$D$3000))</f>
        <v>0</v>
      </c>
      <c r="Y1905">
        <f>IF($A2="","",SUMIF('07_Pallet_Contents'!$A$2:$A$3000,$A2,'07_Pallet_Contents'!$I$2:$I$3000))</f>
        <v>0</v>
      </c>
      <c r="Z1905" t="str">
        <f>IF($A2="","",IF(COUNTIF('07_Pallet_Contents'!$A$2:$A$3000,$A2)&gt;0,"Yes",""))</f>
        <v/>
      </c>
    </row>
    <row r="1906" spans="2:26">
      <c r="B1906" s="31"/>
      <c r="G1906" s="34"/>
      <c r="H1906" s="33" t="str">
        <f t="shared" si="37"/>
        <v/>
      </c>
      <c r="I1906" s="31"/>
      <c r="J1906" s="31"/>
      <c r="K1906" s="33"/>
      <c r="W1906">
        <f>IF($A2="","",COUNTIF('07_Pallet_Contents'!$A$2:$A$3000,$A2))</f>
        <v>0</v>
      </c>
      <c r="X1906">
        <f>IF($A2="","",SUMIF('07_Pallet_Contents'!$A$2:$A$3000,$A2,'07_Pallet_Contents'!$D$2:$D$3000))</f>
        <v>0</v>
      </c>
      <c r="Y1906">
        <f>IF($A2="","",SUMIF('07_Pallet_Contents'!$A$2:$A$3000,$A2,'07_Pallet_Contents'!$I$2:$I$3000))</f>
        <v>0</v>
      </c>
      <c r="Z1906" t="str">
        <f>IF($A2="","",IF(COUNTIF('07_Pallet_Contents'!$A$2:$A$3000,$A2)&gt;0,"Yes",""))</f>
        <v/>
      </c>
    </row>
    <row r="1907" spans="2:26">
      <c r="B1907" s="31"/>
      <c r="G1907" s="34"/>
      <c r="H1907" s="33" t="str">
        <f t="shared" si="37"/>
        <v/>
      </c>
      <c r="I1907" s="31"/>
      <c r="J1907" s="31"/>
      <c r="K1907" s="33"/>
      <c r="W1907">
        <f>IF($A2="","",COUNTIF('07_Pallet_Contents'!$A$2:$A$3000,$A2))</f>
        <v>0</v>
      </c>
      <c r="X1907">
        <f>IF($A2="","",SUMIF('07_Pallet_Contents'!$A$2:$A$3000,$A2,'07_Pallet_Contents'!$D$2:$D$3000))</f>
        <v>0</v>
      </c>
      <c r="Y1907">
        <f>IF($A2="","",SUMIF('07_Pallet_Contents'!$A$2:$A$3000,$A2,'07_Pallet_Contents'!$I$2:$I$3000))</f>
        <v>0</v>
      </c>
      <c r="Z1907" t="str">
        <f>IF($A2="","",IF(COUNTIF('07_Pallet_Contents'!$A$2:$A$3000,$A2)&gt;0,"Yes",""))</f>
        <v/>
      </c>
    </row>
    <row r="1908" spans="2:26">
      <c r="B1908" s="31"/>
      <c r="G1908" s="34"/>
      <c r="H1908" s="33" t="str">
        <f t="shared" si="37"/>
        <v/>
      </c>
      <c r="I1908" s="31"/>
      <c r="J1908" s="31"/>
      <c r="K1908" s="33"/>
      <c r="W1908">
        <f>IF($A2="","",COUNTIF('07_Pallet_Contents'!$A$2:$A$3000,$A2))</f>
        <v>0</v>
      </c>
      <c r="X1908">
        <f>IF($A2="","",SUMIF('07_Pallet_Contents'!$A$2:$A$3000,$A2,'07_Pallet_Contents'!$D$2:$D$3000))</f>
        <v>0</v>
      </c>
      <c r="Y1908">
        <f>IF($A2="","",SUMIF('07_Pallet_Contents'!$A$2:$A$3000,$A2,'07_Pallet_Contents'!$I$2:$I$3000))</f>
        <v>0</v>
      </c>
      <c r="Z1908" t="str">
        <f>IF($A2="","",IF(COUNTIF('07_Pallet_Contents'!$A$2:$A$3000,$A2)&gt;0,"Yes",""))</f>
        <v/>
      </c>
    </row>
    <row r="1909" spans="2:26">
      <c r="B1909" s="31"/>
      <c r="G1909" s="34"/>
      <c r="H1909" s="33" t="str">
        <f t="shared" si="37"/>
        <v/>
      </c>
      <c r="I1909" s="31"/>
      <c r="J1909" s="31"/>
      <c r="K1909" s="33"/>
      <c r="W1909">
        <f>IF($A2="","",COUNTIF('07_Pallet_Contents'!$A$2:$A$3000,$A2))</f>
        <v>0</v>
      </c>
      <c r="X1909">
        <f>IF($A2="","",SUMIF('07_Pallet_Contents'!$A$2:$A$3000,$A2,'07_Pallet_Contents'!$D$2:$D$3000))</f>
        <v>0</v>
      </c>
      <c r="Y1909">
        <f>IF($A2="","",SUMIF('07_Pallet_Contents'!$A$2:$A$3000,$A2,'07_Pallet_Contents'!$I$2:$I$3000))</f>
        <v>0</v>
      </c>
      <c r="Z1909" t="str">
        <f>IF($A2="","",IF(COUNTIF('07_Pallet_Contents'!$A$2:$A$3000,$A2)&gt;0,"Yes",""))</f>
        <v/>
      </c>
    </row>
    <row r="1910" spans="2:26">
      <c r="B1910" s="31"/>
      <c r="G1910" s="34"/>
      <c r="H1910" s="33" t="str">
        <f t="shared" si="37"/>
        <v/>
      </c>
      <c r="I1910" s="31"/>
      <c r="J1910" s="31"/>
      <c r="K1910" s="33"/>
      <c r="W1910">
        <f>IF($A2="","",COUNTIF('07_Pallet_Contents'!$A$2:$A$3000,$A2))</f>
        <v>0</v>
      </c>
      <c r="X1910">
        <f>IF($A2="","",SUMIF('07_Pallet_Contents'!$A$2:$A$3000,$A2,'07_Pallet_Contents'!$D$2:$D$3000))</f>
        <v>0</v>
      </c>
      <c r="Y1910">
        <f>IF($A2="","",SUMIF('07_Pallet_Contents'!$A$2:$A$3000,$A2,'07_Pallet_Contents'!$I$2:$I$3000))</f>
        <v>0</v>
      </c>
      <c r="Z1910" t="str">
        <f>IF($A2="","",IF(COUNTIF('07_Pallet_Contents'!$A$2:$A$3000,$A2)&gt;0,"Yes",""))</f>
        <v/>
      </c>
    </row>
    <row r="1911" spans="2:26">
      <c r="B1911" s="31"/>
      <c r="G1911" s="34"/>
      <c r="H1911" s="33" t="str">
        <f t="shared" si="37"/>
        <v/>
      </c>
      <c r="I1911" s="31"/>
      <c r="J1911" s="31"/>
      <c r="K1911" s="33"/>
      <c r="W1911">
        <f>IF($A2="","",COUNTIF('07_Pallet_Contents'!$A$2:$A$3000,$A2))</f>
        <v>0</v>
      </c>
      <c r="X1911">
        <f>IF($A2="","",SUMIF('07_Pallet_Contents'!$A$2:$A$3000,$A2,'07_Pallet_Contents'!$D$2:$D$3000))</f>
        <v>0</v>
      </c>
      <c r="Y1911">
        <f>IF($A2="","",SUMIF('07_Pallet_Contents'!$A$2:$A$3000,$A2,'07_Pallet_Contents'!$I$2:$I$3000))</f>
        <v>0</v>
      </c>
      <c r="Z1911" t="str">
        <f>IF($A2="","",IF(COUNTIF('07_Pallet_Contents'!$A$2:$A$3000,$A2)&gt;0,"Yes",""))</f>
        <v/>
      </c>
    </row>
    <row r="1912" spans="2:26">
      <c r="B1912" s="31"/>
      <c r="G1912" s="34"/>
      <c r="H1912" s="33" t="str">
        <f t="shared" si="37"/>
        <v/>
      </c>
      <c r="I1912" s="31"/>
      <c r="J1912" s="31"/>
      <c r="K1912" s="33"/>
      <c r="W1912">
        <f>IF($A2="","",COUNTIF('07_Pallet_Contents'!$A$2:$A$3000,$A2))</f>
        <v>0</v>
      </c>
      <c r="X1912">
        <f>IF($A2="","",SUMIF('07_Pallet_Contents'!$A$2:$A$3000,$A2,'07_Pallet_Contents'!$D$2:$D$3000))</f>
        <v>0</v>
      </c>
      <c r="Y1912">
        <f>IF($A2="","",SUMIF('07_Pallet_Contents'!$A$2:$A$3000,$A2,'07_Pallet_Contents'!$I$2:$I$3000))</f>
        <v>0</v>
      </c>
      <c r="Z1912" t="str">
        <f>IF($A2="","",IF(COUNTIF('07_Pallet_Contents'!$A$2:$A$3000,$A2)&gt;0,"Yes",""))</f>
        <v/>
      </c>
    </row>
    <row r="1913" spans="2:26">
      <c r="B1913" s="31"/>
      <c r="G1913" s="34"/>
      <c r="H1913" s="33" t="str">
        <f t="shared" si="37"/>
        <v/>
      </c>
      <c r="I1913" s="31"/>
      <c r="J1913" s="31"/>
      <c r="K1913" s="33"/>
      <c r="W1913">
        <f>IF($A2="","",COUNTIF('07_Pallet_Contents'!$A$2:$A$3000,$A2))</f>
        <v>0</v>
      </c>
      <c r="X1913">
        <f>IF($A2="","",SUMIF('07_Pallet_Contents'!$A$2:$A$3000,$A2,'07_Pallet_Contents'!$D$2:$D$3000))</f>
        <v>0</v>
      </c>
      <c r="Y1913">
        <f>IF($A2="","",SUMIF('07_Pallet_Contents'!$A$2:$A$3000,$A2,'07_Pallet_Contents'!$I$2:$I$3000))</f>
        <v>0</v>
      </c>
      <c r="Z1913" t="str">
        <f>IF($A2="","",IF(COUNTIF('07_Pallet_Contents'!$A$2:$A$3000,$A2)&gt;0,"Yes",""))</f>
        <v/>
      </c>
    </row>
    <row r="1914" spans="2:26">
      <c r="B1914" s="31"/>
      <c r="G1914" s="34"/>
      <c r="H1914" s="33" t="str">
        <f t="shared" si="37"/>
        <v/>
      </c>
      <c r="I1914" s="31"/>
      <c r="J1914" s="31"/>
      <c r="K1914" s="33"/>
      <c r="W1914">
        <f>IF($A2="","",COUNTIF('07_Pallet_Contents'!$A$2:$A$3000,$A2))</f>
        <v>0</v>
      </c>
      <c r="X1914">
        <f>IF($A2="","",SUMIF('07_Pallet_Contents'!$A$2:$A$3000,$A2,'07_Pallet_Contents'!$D$2:$D$3000))</f>
        <v>0</v>
      </c>
      <c r="Y1914">
        <f>IF($A2="","",SUMIF('07_Pallet_Contents'!$A$2:$A$3000,$A2,'07_Pallet_Contents'!$I$2:$I$3000))</f>
        <v>0</v>
      </c>
      <c r="Z1914" t="str">
        <f>IF($A2="","",IF(COUNTIF('07_Pallet_Contents'!$A$2:$A$3000,$A2)&gt;0,"Yes",""))</f>
        <v/>
      </c>
    </row>
    <row r="1915" spans="2:26">
      <c r="B1915" s="31"/>
      <c r="G1915" s="34"/>
      <c r="H1915" s="33" t="str">
        <f t="shared" si="37"/>
        <v/>
      </c>
      <c r="I1915" s="31"/>
      <c r="J1915" s="31"/>
      <c r="K1915" s="33"/>
      <c r="W1915">
        <f>IF($A2="","",COUNTIF('07_Pallet_Contents'!$A$2:$A$3000,$A2))</f>
        <v>0</v>
      </c>
      <c r="X1915">
        <f>IF($A2="","",SUMIF('07_Pallet_Contents'!$A$2:$A$3000,$A2,'07_Pallet_Contents'!$D$2:$D$3000))</f>
        <v>0</v>
      </c>
      <c r="Y1915">
        <f>IF($A2="","",SUMIF('07_Pallet_Contents'!$A$2:$A$3000,$A2,'07_Pallet_Contents'!$I$2:$I$3000))</f>
        <v>0</v>
      </c>
      <c r="Z1915" t="str">
        <f>IF($A2="","",IF(COUNTIF('07_Pallet_Contents'!$A$2:$A$3000,$A2)&gt;0,"Yes",""))</f>
        <v/>
      </c>
    </row>
    <row r="1916" spans="2:26">
      <c r="B1916" s="31"/>
      <c r="G1916" s="34"/>
      <c r="H1916" s="33" t="str">
        <f t="shared" si="37"/>
        <v/>
      </c>
      <c r="I1916" s="31"/>
      <c r="J1916" s="31"/>
      <c r="K1916" s="33"/>
      <c r="W1916">
        <f>IF($A2="","",COUNTIF('07_Pallet_Contents'!$A$2:$A$3000,$A2))</f>
        <v>0</v>
      </c>
      <c r="X1916">
        <f>IF($A2="","",SUMIF('07_Pallet_Contents'!$A$2:$A$3000,$A2,'07_Pallet_Contents'!$D$2:$D$3000))</f>
        <v>0</v>
      </c>
      <c r="Y1916">
        <f>IF($A2="","",SUMIF('07_Pallet_Contents'!$A$2:$A$3000,$A2,'07_Pallet_Contents'!$I$2:$I$3000))</f>
        <v>0</v>
      </c>
      <c r="Z1916" t="str">
        <f>IF($A2="","",IF(COUNTIF('07_Pallet_Contents'!$A$2:$A$3000,$A2)&gt;0,"Yes",""))</f>
        <v/>
      </c>
    </row>
    <row r="1917" spans="2:26">
      <c r="B1917" s="31"/>
      <c r="G1917" s="34"/>
      <c r="H1917" s="33" t="str">
        <f t="shared" si="37"/>
        <v/>
      </c>
      <c r="I1917" s="31"/>
      <c r="J1917" s="31"/>
      <c r="K1917" s="33"/>
      <c r="W1917">
        <f>IF($A2="","",COUNTIF('07_Pallet_Contents'!$A$2:$A$3000,$A2))</f>
        <v>0</v>
      </c>
      <c r="X1917">
        <f>IF($A2="","",SUMIF('07_Pallet_Contents'!$A$2:$A$3000,$A2,'07_Pallet_Contents'!$D$2:$D$3000))</f>
        <v>0</v>
      </c>
      <c r="Y1917">
        <f>IF($A2="","",SUMIF('07_Pallet_Contents'!$A$2:$A$3000,$A2,'07_Pallet_Contents'!$I$2:$I$3000))</f>
        <v>0</v>
      </c>
      <c r="Z1917" t="str">
        <f>IF($A2="","",IF(COUNTIF('07_Pallet_Contents'!$A$2:$A$3000,$A2)&gt;0,"Yes",""))</f>
        <v/>
      </c>
    </row>
    <row r="1918" spans="2:26">
      <c r="B1918" s="31"/>
      <c r="G1918" s="34"/>
      <c r="H1918" s="33" t="str">
        <f t="shared" si="37"/>
        <v/>
      </c>
      <c r="I1918" s="31"/>
      <c r="J1918" s="31"/>
      <c r="K1918" s="33"/>
      <c r="W1918">
        <f>IF($A2="","",COUNTIF('07_Pallet_Contents'!$A$2:$A$3000,$A2))</f>
        <v>0</v>
      </c>
      <c r="X1918">
        <f>IF($A2="","",SUMIF('07_Pallet_Contents'!$A$2:$A$3000,$A2,'07_Pallet_Contents'!$D$2:$D$3000))</f>
        <v>0</v>
      </c>
      <c r="Y1918">
        <f>IF($A2="","",SUMIF('07_Pallet_Contents'!$A$2:$A$3000,$A2,'07_Pallet_Contents'!$I$2:$I$3000))</f>
        <v>0</v>
      </c>
      <c r="Z1918" t="str">
        <f>IF($A2="","",IF(COUNTIF('07_Pallet_Contents'!$A$2:$A$3000,$A2)&gt;0,"Yes",""))</f>
        <v/>
      </c>
    </row>
    <row r="1919" spans="2:26">
      <c r="B1919" s="31"/>
      <c r="G1919" s="34"/>
      <c r="H1919" s="33" t="str">
        <f t="shared" si="37"/>
        <v/>
      </c>
      <c r="I1919" s="31"/>
      <c r="J1919" s="31"/>
      <c r="K1919" s="33"/>
      <c r="W1919">
        <f>IF($A2="","",COUNTIF('07_Pallet_Contents'!$A$2:$A$3000,$A2))</f>
        <v>0</v>
      </c>
      <c r="X1919">
        <f>IF($A2="","",SUMIF('07_Pallet_Contents'!$A$2:$A$3000,$A2,'07_Pallet_Contents'!$D$2:$D$3000))</f>
        <v>0</v>
      </c>
      <c r="Y1919">
        <f>IF($A2="","",SUMIF('07_Pallet_Contents'!$A$2:$A$3000,$A2,'07_Pallet_Contents'!$I$2:$I$3000))</f>
        <v>0</v>
      </c>
      <c r="Z1919" t="str">
        <f>IF($A2="","",IF(COUNTIF('07_Pallet_Contents'!$A$2:$A$3000,$A2)&gt;0,"Yes",""))</f>
        <v/>
      </c>
    </row>
    <row r="1920" spans="2:26">
      <c r="B1920" s="31"/>
      <c r="G1920" s="34"/>
      <c r="H1920" s="33" t="str">
        <f t="shared" si="37"/>
        <v/>
      </c>
      <c r="I1920" s="31"/>
      <c r="J1920" s="31"/>
      <c r="K1920" s="33"/>
      <c r="W1920">
        <f>IF($A2="","",COUNTIF('07_Pallet_Contents'!$A$2:$A$3000,$A2))</f>
        <v>0</v>
      </c>
      <c r="X1920">
        <f>IF($A2="","",SUMIF('07_Pallet_Contents'!$A$2:$A$3000,$A2,'07_Pallet_Contents'!$D$2:$D$3000))</f>
        <v>0</v>
      </c>
      <c r="Y1920">
        <f>IF($A2="","",SUMIF('07_Pallet_Contents'!$A$2:$A$3000,$A2,'07_Pallet_Contents'!$I$2:$I$3000))</f>
        <v>0</v>
      </c>
      <c r="Z1920" t="str">
        <f>IF($A2="","",IF(COUNTIF('07_Pallet_Contents'!$A$2:$A$3000,$A2)&gt;0,"Yes",""))</f>
        <v/>
      </c>
    </row>
    <row r="1921" spans="2:26">
      <c r="B1921" s="31"/>
      <c r="G1921" s="34"/>
      <c r="H1921" s="33" t="str">
        <f t="shared" si="37"/>
        <v/>
      </c>
      <c r="I1921" s="31"/>
      <c r="J1921" s="31"/>
      <c r="K1921" s="33"/>
      <c r="W1921">
        <f>IF($A2="","",COUNTIF('07_Pallet_Contents'!$A$2:$A$3000,$A2))</f>
        <v>0</v>
      </c>
      <c r="X1921">
        <f>IF($A2="","",SUMIF('07_Pallet_Contents'!$A$2:$A$3000,$A2,'07_Pallet_Contents'!$D$2:$D$3000))</f>
        <v>0</v>
      </c>
      <c r="Y1921">
        <f>IF($A2="","",SUMIF('07_Pallet_Contents'!$A$2:$A$3000,$A2,'07_Pallet_Contents'!$I$2:$I$3000))</f>
        <v>0</v>
      </c>
      <c r="Z1921" t="str">
        <f>IF($A2="","",IF(COUNTIF('07_Pallet_Contents'!$A$2:$A$3000,$A2)&gt;0,"Yes",""))</f>
        <v/>
      </c>
    </row>
    <row r="1922" spans="2:26">
      <c r="B1922" s="31"/>
      <c r="G1922" s="34"/>
      <c r="H1922" s="33" t="str">
        <f t="shared" ref="H1922:H1985" si="38">IF(AND($F1922="TEMP",$G1922&gt;0,$M1922&lt;&gt;""),$M1922+$G1922,"")</f>
        <v/>
      </c>
      <c r="I1922" s="31"/>
      <c r="J1922" s="31"/>
      <c r="K1922" s="33"/>
      <c r="W1922">
        <f>IF($A2="","",COUNTIF('07_Pallet_Contents'!$A$2:$A$3000,$A2))</f>
        <v>0</v>
      </c>
      <c r="X1922">
        <f>IF($A2="","",SUMIF('07_Pallet_Contents'!$A$2:$A$3000,$A2,'07_Pallet_Contents'!$D$2:$D$3000))</f>
        <v>0</v>
      </c>
      <c r="Y1922">
        <f>IF($A2="","",SUMIF('07_Pallet_Contents'!$A$2:$A$3000,$A2,'07_Pallet_Contents'!$I$2:$I$3000))</f>
        <v>0</v>
      </c>
      <c r="Z1922" t="str">
        <f>IF($A2="","",IF(COUNTIF('07_Pallet_Contents'!$A$2:$A$3000,$A2)&gt;0,"Yes",""))</f>
        <v/>
      </c>
    </row>
    <row r="1923" spans="2:26">
      <c r="B1923" s="31"/>
      <c r="G1923" s="34"/>
      <c r="H1923" s="33" t="str">
        <f t="shared" si="38"/>
        <v/>
      </c>
      <c r="I1923" s="31"/>
      <c r="J1923" s="31"/>
      <c r="K1923" s="33"/>
      <c r="W1923">
        <f>IF($A2="","",COUNTIF('07_Pallet_Contents'!$A$2:$A$3000,$A2))</f>
        <v>0</v>
      </c>
      <c r="X1923">
        <f>IF($A2="","",SUMIF('07_Pallet_Contents'!$A$2:$A$3000,$A2,'07_Pallet_Contents'!$D$2:$D$3000))</f>
        <v>0</v>
      </c>
      <c r="Y1923">
        <f>IF($A2="","",SUMIF('07_Pallet_Contents'!$A$2:$A$3000,$A2,'07_Pallet_Contents'!$I$2:$I$3000))</f>
        <v>0</v>
      </c>
      <c r="Z1923" t="str">
        <f>IF($A2="","",IF(COUNTIF('07_Pallet_Contents'!$A$2:$A$3000,$A2)&gt;0,"Yes",""))</f>
        <v/>
      </c>
    </row>
    <row r="1924" spans="2:26">
      <c r="B1924" s="31"/>
      <c r="G1924" s="34"/>
      <c r="H1924" s="33" t="str">
        <f t="shared" si="38"/>
        <v/>
      </c>
      <c r="I1924" s="31"/>
      <c r="J1924" s="31"/>
      <c r="K1924" s="33"/>
      <c r="W1924">
        <f>IF($A2="","",COUNTIF('07_Pallet_Contents'!$A$2:$A$3000,$A2))</f>
        <v>0</v>
      </c>
      <c r="X1924">
        <f>IF($A2="","",SUMIF('07_Pallet_Contents'!$A$2:$A$3000,$A2,'07_Pallet_Contents'!$D$2:$D$3000))</f>
        <v>0</v>
      </c>
      <c r="Y1924">
        <f>IF($A2="","",SUMIF('07_Pallet_Contents'!$A$2:$A$3000,$A2,'07_Pallet_Contents'!$I$2:$I$3000))</f>
        <v>0</v>
      </c>
      <c r="Z1924" t="str">
        <f>IF($A2="","",IF(COUNTIF('07_Pallet_Contents'!$A$2:$A$3000,$A2)&gt;0,"Yes",""))</f>
        <v/>
      </c>
    </row>
    <row r="1925" spans="2:26">
      <c r="B1925" s="31"/>
      <c r="G1925" s="34"/>
      <c r="H1925" s="33" t="str">
        <f t="shared" si="38"/>
        <v/>
      </c>
      <c r="I1925" s="31"/>
      <c r="J1925" s="31"/>
      <c r="K1925" s="33"/>
      <c r="W1925">
        <f>IF($A2="","",COUNTIF('07_Pallet_Contents'!$A$2:$A$3000,$A2))</f>
        <v>0</v>
      </c>
      <c r="X1925">
        <f>IF($A2="","",SUMIF('07_Pallet_Contents'!$A$2:$A$3000,$A2,'07_Pallet_Contents'!$D$2:$D$3000))</f>
        <v>0</v>
      </c>
      <c r="Y1925">
        <f>IF($A2="","",SUMIF('07_Pallet_Contents'!$A$2:$A$3000,$A2,'07_Pallet_Contents'!$I$2:$I$3000))</f>
        <v>0</v>
      </c>
      <c r="Z1925" t="str">
        <f>IF($A2="","",IF(COUNTIF('07_Pallet_Contents'!$A$2:$A$3000,$A2)&gt;0,"Yes",""))</f>
        <v/>
      </c>
    </row>
    <row r="1926" spans="2:26">
      <c r="B1926" s="31"/>
      <c r="G1926" s="34"/>
      <c r="H1926" s="33" t="str">
        <f t="shared" si="38"/>
        <v/>
      </c>
      <c r="I1926" s="31"/>
      <c r="J1926" s="31"/>
      <c r="K1926" s="33"/>
      <c r="W1926">
        <f>IF($A2="","",COUNTIF('07_Pallet_Contents'!$A$2:$A$3000,$A2))</f>
        <v>0</v>
      </c>
      <c r="X1926">
        <f>IF($A2="","",SUMIF('07_Pallet_Contents'!$A$2:$A$3000,$A2,'07_Pallet_Contents'!$D$2:$D$3000))</f>
        <v>0</v>
      </c>
      <c r="Y1926">
        <f>IF($A2="","",SUMIF('07_Pallet_Contents'!$A$2:$A$3000,$A2,'07_Pallet_Contents'!$I$2:$I$3000))</f>
        <v>0</v>
      </c>
      <c r="Z1926" t="str">
        <f>IF($A2="","",IF(COUNTIF('07_Pallet_Contents'!$A$2:$A$3000,$A2)&gt;0,"Yes",""))</f>
        <v/>
      </c>
    </row>
    <row r="1927" spans="2:26">
      <c r="B1927" s="31"/>
      <c r="G1927" s="34"/>
      <c r="H1927" s="33" t="str">
        <f t="shared" si="38"/>
        <v/>
      </c>
      <c r="I1927" s="31"/>
      <c r="J1927" s="31"/>
      <c r="K1927" s="33"/>
      <c r="W1927">
        <f>IF($A2="","",COUNTIF('07_Pallet_Contents'!$A$2:$A$3000,$A2))</f>
        <v>0</v>
      </c>
      <c r="X1927">
        <f>IF($A2="","",SUMIF('07_Pallet_Contents'!$A$2:$A$3000,$A2,'07_Pallet_Contents'!$D$2:$D$3000))</f>
        <v>0</v>
      </c>
      <c r="Y1927">
        <f>IF($A2="","",SUMIF('07_Pallet_Contents'!$A$2:$A$3000,$A2,'07_Pallet_Contents'!$I$2:$I$3000))</f>
        <v>0</v>
      </c>
      <c r="Z1927" t="str">
        <f>IF($A2="","",IF(COUNTIF('07_Pallet_Contents'!$A$2:$A$3000,$A2)&gt;0,"Yes",""))</f>
        <v/>
      </c>
    </row>
    <row r="1928" spans="2:26">
      <c r="B1928" s="31"/>
      <c r="G1928" s="34"/>
      <c r="H1928" s="33" t="str">
        <f t="shared" si="38"/>
        <v/>
      </c>
      <c r="I1928" s="31"/>
      <c r="J1928" s="31"/>
      <c r="K1928" s="33"/>
      <c r="W1928">
        <f>IF($A2="","",COUNTIF('07_Pallet_Contents'!$A$2:$A$3000,$A2))</f>
        <v>0</v>
      </c>
      <c r="X1928">
        <f>IF($A2="","",SUMIF('07_Pallet_Contents'!$A$2:$A$3000,$A2,'07_Pallet_Contents'!$D$2:$D$3000))</f>
        <v>0</v>
      </c>
      <c r="Y1928">
        <f>IF($A2="","",SUMIF('07_Pallet_Contents'!$A$2:$A$3000,$A2,'07_Pallet_Contents'!$I$2:$I$3000))</f>
        <v>0</v>
      </c>
      <c r="Z1928" t="str">
        <f>IF($A2="","",IF(COUNTIF('07_Pallet_Contents'!$A$2:$A$3000,$A2)&gt;0,"Yes",""))</f>
        <v/>
      </c>
    </row>
    <row r="1929" spans="2:26">
      <c r="B1929" s="31"/>
      <c r="G1929" s="34"/>
      <c r="H1929" s="33" t="str">
        <f t="shared" si="38"/>
        <v/>
      </c>
      <c r="I1929" s="31"/>
      <c r="J1929" s="31"/>
      <c r="K1929" s="33"/>
      <c r="W1929">
        <f>IF($A2="","",COUNTIF('07_Pallet_Contents'!$A$2:$A$3000,$A2))</f>
        <v>0</v>
      </c>
      <c r="X1929">
        <f>IF($A2="","",SUMIF('07_Pallet_Contents'!$A$2:$A$3000,$A2,'07_Pallet_Contents'!$D$2:$D$3000))</f>
        <v>0</v>
      </c>
      <c r="Y1929">
        <f>IF($A2="","",SUMIF('07_Pallet_Contents'!$A$2:$A$3000,$A2,'07_Pallet_Contents'!$I$2:$I$3000))</f>
        <v>0</v>
      </c>
      <c r="Z1929" t="str">
        <f>IF($A2="","",IF(COUNTIF('07_Pallet_Contents'!$A$2:$A$3000,$A2)&gt;0,"Yes",""))</f>
        <v/>
      </c>
    </row>
    <row r="1930" spans="2:26">
      <c r="B1930" s="31"/>
      <c r="G1930" s="34"/>
      <c r="H1930" s="33" t="str">
        <f t="shared" si="38"/>
        <v/>
      </c>
      <c r="I1930" s="31"/>
      <c r="J1930" s="31"/>
      <c r="K1930" s="33"/>
      <c r="W1930">
        <f>IF($A2="","",COUNTIF('07_Pallet_Contents'!$A$2:$A$3000,$A2))</f>
        <v>0</v>
      </c>
      <c r="X1930">
        <f>IF($A2="","",SUMIF('07_Pallet_Contents'!$A$2:$A$3000,$A2,'07_Pallet_Contents'!$D$2:$D$3000))</f>
        <v>0</v>
      </c>
      <c r="Y1930">
        <f>IF($A2="","",SUMIF('07_Pallet_Contents'!$A$2:$A$3000,$A2,'07_Pallet_Contents'!$I$2:$I$3000))</f>
        <v>0</v>
      </c>
      <c r="Z1930" t="str">
        <f>IF($A2="","",IF(COUNTIF('07_Pallet_Contents'!$A$2:$A$3000,$A2)&gt;0,"Yes",""))</f>
        <v/>
      </c>
    </row>
    <row r="1931" spans="2:26">
      <c r="B1931" s="31"/>
      <c r="G1931" s="34"/>
      <c r="H1931" s="33" t="str">
        <f t="shared" si="38"/>
        <v/>
      </c>
      <c r="I1931" s="31"/>
      <c r="J1931" s="31"/>
      <c r="K1931" s="33"/>
      <c r="W1931">
        <f>IF($A2="","",COUNTIF('07_Pallet_Contents'!$A$2:$A$3000,$A2))</f>
        <v>0</v>
      </c>
      <c r="X1931">
        <f>IF($A2="","",SUMIF('07_Pallet_Contents'!$A$2:$A$3000,$A2,'07_Pallet_Contents'!$D$2:$D$3000))</f>
        <v>0</v>
      </c>
      <c r="Y1931">
        <f>IF($A2="","",SUMIF('07_Pallet_Contents'!$A$2:$A$3000,$A2,'07_Pallet_Contents'!$I$2:$I$3000))</f>
        <v>0</v>
      </c>
      <c r="Z1931" t="str">
        <f>IF($A2="","",IF(COUNTIF('07_Pallet_Contents'!$A$2:$A$3000,$A2)&gt;0,"Yes",""))</f>
        <v/>
      </c>
    </row>
    <row r="1932" spans="2:26">
      <c r="B1932" s="31"/>
      <c r="G1932" s="34"/>
      <c r="H1932" s="33" t="str">
        <f t="shared" si="38"/>
        <v/>
      </c>
      <c r="I1932" s="31"/>
      <c r="J1932" s="31"/>
      <c r="K1932" s="33"/>
      <c r="W1932">
        <f>IF($A2="","",COUNTIF('07_Pallet_Contents'!$A$2:$A$3000,$A2))</f>
        <v>0</v>
      </c>
      <c r="X1932">
        <f>IF($A2="","",SUMIF('07_Pallet_Contents'!$A$2:$A$3000,$A2,'07_Pallet_Contents'!$D$2:$D$3000))</f>
        <v>0</v>
      </c>
      <c r="Y1932">
        <f>IF($A2="","",SUMIF('07_Pallet_Contents'!$A$2:$A$3000,$A2,'07_Pallet_Contents'!$I$2:$I$3000))</f>
        <v>0</v>
      </c>
      <c r="Z1932" t="str">
        <f>IF($A2="","",IF(COUNTIF('07_Pallet_Contents'!$A$2:$A$3000,$A2)&gt;0,"Yes",""))</f>
        <v/>
      </c>
    </row>
    <row r="1933" spans="2:26">
      <c r="B1933" s="31"/>
      <c r="G1933" s="34"/>
      <c r="H1933" s="33" t="str">
        <f t="shared" si="38"/>
        <v/>
      </c>
      <c r="I1933" s="31"/>
      <c r="J1933" s="31"/>
      <c r="K1933" s="33"/>
      <c r="W1933">
        <f>IF($A2="","",COUNTIF('07_Pallet_Contents'!$A$2:$A$3000,$A2))</f>
        <v>0</v>
      </c>
      <c r="X1933">
        <f>IF($A2="","",SUMIF('07_Pallet_Contents'!$A$2:$A$3000,$A2,'07_Pallet_Contents'!$D$2:$D$3000))</f>
        <v>0</v>
      </c>
      <c r="Y1933">
        <f>IF($A2="","",SUMIF('07_Pallet_Contents'!$A$2:$A$3000,$A2,'07_Pallet_Contents'!$I$2:$I$3000))</f>
        <v>0</v>
      </c>
      <c r="Z1933" t="str">
        <f>IF($A2="","",IF(COUNTIF('07_Pallet_Contents'!$A$2:$A$3000,$A2)&gt;0,"Yes",""))</f>
        <v/>
      </c>
    </row>
    <row r="1934" spans="2:26">
      <c r="B1934" s="31"/>
      <c r="G1934" s="34"/>
      <c r="H1934" s="33" t="str">
        <f t="shared" si="38"/>
        <v/>
      </c>
      <c r="I1934" s="31"/>
      <c r="J1934" s="31"/>
      <c r="K1934" s="33"/>
      <c r="W1934">
        <f>IF($A2="","",COUNTIF('07_Pallet_Contents'!$A$2:$A$3000,$A2))</f>
        <v>0</v>
      </c>
      <c r="X1934">
        <f>IF($A2="","",SUMIF('07_Pallet_Contents'!$A$2:$A$3000,$A2,'07_Pallet_Contents'!$D$2:$D$3000))</f>
        <v>0</v>
      </c>
      <c r="Y1934">
        <f>IF($A2="","",SUMIF('07_Pallet_Contents'!$A$2:$A$3000,$A2,'07_Pallet_Contents'!$I$2:$I$3000))</f>
        <v>0</v>
      </c>
      <c r="Z1934" t="str">
        <f>IF($A2="","",IF(COUNTIF('07_Pallet_Contents'!$A$2:$A$3000,$A2)&gt;0,"Yes",""))</f>
        <v/>
      </c>
    </row>
    <row r="1935" spans="2:26">
      <c r="B1935" s="31"/>
      <c r="G1935" s="34"/>
      <c r="H1935" s="33" t="str">
        <f t="shared" si="38"/>
        <v/>
      </c>
      <c r="I1935" s="31"/>
      <c r="J1935" s="31"/>
      <c r="K1935" s="33"/>
      <c r="W1935">
        <f>IF($A2="","",COUNTIF('07_Pallet_Contents'!$A$2:$A$3000,$A2))</f>
        <v>0</v>
      </c>
      <c r="X1935">
        <f>IF($A2="","",SUMIF('07_Pallet_Contents'!$A$2:$A$3000,$A2,'07_Pallet_Contents'!$D$2:$D$3000))</f>
        <v>0</v>
      </c>
      <c r="Y1935">
        <f>IF($A2="","",SUMIF('07_Pallet_Contents'!$A$2:$A$3000,$A2,'07_Pallet_Contents'!$I$2:$I$3000))</f>
        <v>0</v>
      </c>
      <c r="Z1935" t="str">
        <f>IF($A2="","",IF(COUNTIF('07_Pallet_Contents'!$A$2:$A$3000,$A2)&gt;0,"Yes",""))</f>
        <v/>
      </c>
    </row>
    <row r="1936" spans="2:26">
      <c r="B1936" s="31"/>
      <c r="G1936" s="34"/>
      <c r="H1936" s="33" t="str">
        <f t="shared" si="38"/>
        <v/>
      </c>
      <c r="I1936" s="31"/>
      <c r="J1936" s="31"/>
      <c r="K1936" s="33"/>
      <c r="W1936">
        <f>IF($A2="","",COUNTIF('07_Pallet_Contents'!$A$2:$A$3000,$A2))</f>
        <v>0</v>
      </c>
      <c r="X1936">
        <f>IF($A2="","",SUMIF('07_Pallet_Contents'!$A$2:$A$3000,$A2,'07_Pallet_Contents'!$D$2:$D$3000))</f>
        <v>0</v>
      </c>
      <c r="Y1936">
        <f>IF($A2="","",SUMIF('07_Pallet_Contents'!$A$2:$A$3000,$A2,'07_Pallet_Contents'!$I$2:$I$3000))</f>
        <v>0</v>
      </c>
      <c r="Z1936" t="str">
        <f>IF($A2="","",IF(COUNTIF('07_Pallet_Contents'!$A$2:$A$3000,$A2)&gt;0,"Yes",""))</f>
        <v/>
      </c>
    </row>
    <row r="1937" spans="2:26">
      <c r="B1937" s="31"/>
      <c r="G1937" s="34"/>
      <c r="H1937" s="33" t="str">
        <f t="shared" si="38"/>
        <v/>
      </c>
      <c r="I1937" s="31"/>
      <c r="J1937" s="31"/>
      <c r="K1937" s="33"/>
      <c r="W1937">
        <f>IF($A2="","",COUNTIF('07_Pallet_Contents'!$A$2:$A$3000,$A2))</f>
        <v>0</v>
      </c>
      <c r="X1937">
        <f>IF($A2="","",SUMIF('07_Pallet_Contents'!$A$2:$A$3000,$A2,'07_Pallet_Contents'!$D$2:$D$3000))</f>
        <v>0</v>
      </c>
      <c r="Y1937">
        <f>IF($A2="","",SUMIF('07_Pallet_Contents'!$A$2:$A$3000,$A2,'07_Pallet_Contents'!$I$2:$I$3000))</f>
        <v>0</v>
      </c>
      <c r="Z1937" t="str">
        <f>IF($A2="","",IF(COUNTIF('07_Pallet_Contents'!$A$2:$A$3000,$A2)&gt;0,"Yes",""))</f>
        <v/>
      </c>
    </row>
    <row r="1938" spans="2:26">
      <c r="B1938" s="31"/>
      <c r="G1938" s="34"/>
      <c r="H1938" s="33" t="str">
        <f t="shared" si="38"/>
        <v/>
      </c>
      <c r="I1938" s="31"/>
      <c r="J1938" s="31"/>
      <c r="K1938" s="33"/>
      <c r="W1938">
        <f>IF($A2="","",COUNTIF('07_Pallet_Contents'!$A$2:$A$3000,$A2))</f>
        <v>0</v>
      </c>
      <c r="X1938">
        <f>IF($A2="","",SUMIF('07_Pallet_Contents'!$A$2:$A$3000,$A2,'07_Pallet_Contents'!$D$2:$D$3000))</f>
        <v>0</v>
      </c>
      <c r="Y1938">
        <f>IF($A2="","",SUMIF('07_Pallet_Contents'!$A$2:$A$3000,$A2,'07_Pallet_Contents'!$I$2:$I$3000))</f>
        <v>0</v>
      </c>
      <c r="Z1938" t="str">
        <f>IF($A2="","",IF(COUNTIF('07_Pallet_Contents'!$A$2:$A$3000,$A2)&gt;0,"Yes",""))</f>
        <v/>
      </c>
    </row>
    <row r="1939" spans="2:26">
      <c r="B1939" s="31"/>
      <c r="G1939" s="34"/>
      <c r="H1939" s="33" t="str">
        <f t="shared" si="38"/>
        <v/>
      </c>
      <c r="I1939" s="31"/>
      <c r="J1939" s="31"/>
      <c r="K1939" s="33"/>
      <c r="W1939">
        <f>IF($A2="","",COUNTIF('07_Pallet_Contents'!$A$2:$A$3000,$A2))</f>
        <v>0</v>
      </c>
      <c r="X1939">
        <f>IF($A2="","",SUMIF('07_Pallet_Contents'!$A$2:$A$3000,$A2,'07_Pallet_Contents'!$D$2:$D$3000))</f>
        <v>0</v>
      </c>
      <c r="Y1939">
        <f>IF($A2="","",SUMIF('07_Pallet_Contents'!$A$2:$A$3000,$A2,'07_Pallet_Contents'!$I$2:$I$3000))</f>
        <v>0</v>
      </c>
      <c r="Z1939" t="str">
        <f>IF($A2="","",IF(COUNTIF('07_Pallet_Contents'!$A$2:$A$3000,$A2)&gt;0,"Yes",""))</f>
        <v/>
      </c>
    </row>
    <row r="1940" spans="2:26">
      <c r="B1940" s="31"/>
      <c r="G1940" s="34"/>
      <c r="H1940" s="33" t="str">
        <f t="shared" si="38"/>
        <v/>
      </c>
      <c r="I1940" s="31"/>
      <c r="J1940" s="31"/>
      <c r="K1940" s="33"/>
      <c r="W1940">
        <f>IF($A2="","",COUNTIF('07_Pallet_Contents'!$A$2:$A$3000,$A2))</f>
        <v>0</v>
      </c>
      <c r="X1940">
        <f>IF($A2="","",SUMIF('07_Pallet_Contents'!$A$2:$A$3000,$A2,'07_Pallet_Contents'!$D$2:$D$3000))</f>
        <v>0</v>
      </c>
      <c r="Y1940">
        <f>IF($A2="","",SUMIF('07_Pallet_Contents'!$A$2:$A$3000,$A2,'07_Pallet_Contents'!$I$2:$I$3000))</f>
        <v>0</v>
      </c>
      <c r="Z1940" t="str">
        <f>IF($A2="","",IF(COUNTIF('07_Pallet_Contents'!$A$2:$A$3000,$A2)&gt;0,"Yes",""))</f>
        <v/>
      </c>
    </row>
    <row r="1941" spans="2:26">
      <c r="B1941" s="31"/>
      <c r="G1941" s="34"/>
      <c r="H1941" s="33" t="str">
        <f t="shared" si="38"/>
        <v/>
      </c>
      <c r="I1941" s="31"/>
      <c r="J1941" s="31"/>
      <c r="K1941" s="33"/>
      <c r="W1941">
        <f>IF($A2="","",COUNTIF('07_Pallet_Contents'!$A$2:$A$3000,$A2))</f>
        <v>0</v>
      </c>
      <c r="X1941">
        <f>IF($A2="","",SUMIF('07_Pallet_Contents'!$A$2:$A$3000,$A2,'07_Pallet_Contents'!$D$2:$D$3000))</f>
        <v>0</v>
      </c>
      <c r="Y1941">
        <f>IF($A2="","",SUMIF('07_Pallet_Contents'!$A$2:$A$3000,$A2,'07_Pallet_Contents'!$I$2:$I$3000))</f>
        <v>0</v>
      </c>
      <c r="Z1941" t="str">
        <f>IF($A2="","",IF(COUNTIF('07_Pallet_Contents'!$A$2:$A$3000,$A2)&gt;0,"Yes",""))</f>
        <v/>
      </c>
    </row>
    <row r="1942" spans="2:26">
      <c r="B1942" s="31"/>
      <c r="G1942" s="34"/>
      <c r="H1942" s="33" t="str">
        <f t="shared" si="38"/>
        <v/>
      </c>
      <c r="I1942" s="31"/>
      <c r="J1942" s="31"/>
      <c r="K1942" s="33"/>
      <c r="W1942">
        <f>IF($A2="","",COUNTIF('07_Pallet_Contents'!$A$2:$A$3000,$A2))</f>
        <v>0</v>
      </c>
      <c r="X1942">
        <f>IF($A2="","",SUMIF('07_Pallet_Contents'!$A$2:$A$3000,$A2,'07_Pallet_Contents'!$D$2:$D$3000))</f>
        <v>0</v>
      </c>
      <c r="Y1942">
        <f>IF($A2="","",SUMIF('07_Pallet_Contents'!$A$2:$A$3000,$A2,'07_Pallet_Contents'!$I$2:$I$3000))</f>
        <v>0</v>
      </c>
      <c r="Z1942" t="str">
        <f>IF($A2="","",IF(COUNTIF('07_Pallet_Contents'!$A$2:$A$3000,$A2)&gt;0,"Yes",""))</f>
        <v/>
      </c>
    </row>
    <row r="1943" spans="2:26">
      <c r="B1943" s="31"/>
      <c r="G1943" s="34"/>
      <c r="H1943" s="33" t="str">
        <f t="shared" si="38"/>
        <v/>
      </c>
      <c r="I1943" s="31"/>
      <c r="J1943" s="31"/>
      <c r="K1943" s="33"/>
      <c r="W1943">
        <f>IF($A2="","",COUNTIF('07_Pallet_Contents'!$A$2:$A$3000,$A2))</f>
        <v>0</v>
      </c>
      <c r="X1943">
        <f>IF($A2="","",SUMIF('07_Pallet_Contents'!$A$2:$A$3000,$A2,'07_Pallet_Contents'!$D$2:$D$3000))</f>
        <v>0</v>
      </c>
      <c r="Y1943">
        <f>IF($A2="","",SUMIF('07_Pallet_Contents'!$A$2:$A$3000,$A2,'07_Pallet_Contents'!$I$2:$I$3000))</f>
        <v>0</v>
      </c>
      <c r="Z1943" t="str">
        <f>IF($A2="","",IF(COUNTIF('07_Pallet_Contents'!$A$2:$A$3000,$A2)&gt;0,"Yes",""))</f>
        <v/>
      </c>
    </row>
    <row r="1944" spans="2:26">
      <c r="B1944" s="31"/>
      <c r="G1944" s="34"/>
      <c r="H1944" s="33" t="str">
        <f t="shared" si="38"/>
        <v/>
      </c>
      <c r="I1944" s="31"/>
      <c r="J1944" s="31"/>
      <c r="K1944" s="33"/>
      <c r="W1944">
        <f>IF($A2="","",COUNTIF('07_Pallet_Contents'!$A$2:$A$3000,$A2))</f>
        <v>0</v>
      </c>
      <c r="X1944">
        <f>IF($A2="","",SUMIF('07_Pallet_Contents'!$A$2:$A$3000,$A2,'07_Pallet_Contents'!$D$2:$D$3000))</f>
        <v>0</v>
      </c>
      <c r="Y1944">
        <f>IF($A2="","",SUMIF('07_Pallet_Contents'!$A$2:$A$3000,$A2,'07_Pallet_Contents'!$I$2:$I$3000))</f>
        <v>0</v>
      </c>
      <c r="Z1944" t="str">
        <f>IF($A2="","",IF(COUNTIF('07_Pallet_Contents'!$A$2:$A$3000,$A2)&gt;0,"Yes",""))</f>
        <v/>
      </c>
    </row>
    <row r="1945" spans="2:26">
      <c r="B1945" s="31"/>
      <c r="G1945" s="34"/>
      <c r="H1945" s="33" t="str">
        <f t="shared" si="38"/>
        <v/>
      </c>
      <c r="I1945" s="31"/>
      <c r="J1945" s="31"/>
      <c r="K1945" s="33"/>
      <c r="W1945">
        <f>IF($A2="","",COUNTIF('07_Pallet_Contents'!$A$2:$A$3000,$A2))</f>
        <v>0</v>
      </c>
      <c r="X1945">
        <f>IF($A2="","",SUMIF('07_Pallet_Contents'!$A$2:$A$3000,$A2,'07_Pallet_Contents'!$D$2:$D$3000))</f>
        <v>0</v>
      </c>
      <c r="Y1945">
        <f>IF($A2="","",SUMIF('07_Pallet_Contents'!$A$2:$A$3000,$A2,'07_Pallet_Contents'!$I$2:$I$3000))</f>
        <v>0</v>
      </c>
      <c r="Z1945" t="str">
        <f>IF($A2="","",IF(COUNTIF('07_Pallet_Contents'!$A$2:$A$3000,$A2)&gt;0,"Yes",""))</f>
        <v/>
      </c>
    </row>
    <row r="1946" spans="2:26">
      <c r="B1946" s="31"/>
      <c r="G1946" s="34"/>
      <c r="H1946" s="33" t="str">
        <f t="shared" si="38"/>
        <v/>
      </c>
      <c r="I1946" s="31"/>
      <c r="J1946" s="31"/>
      <c r="K1946" s="33"/>
      <c r="W1946">
        <f>IF($A2="","",COUNTIF('07_Pallet_Contents'!$A$2:$A$3000,$A2))</f>
        <v>0</v>
      </c>
      <c r="X1946">
        <f>IF($A2="","",SUMIF('07_Pallet_Contents'!$A$2:$A$3000,$A2,'07_Pallet_Contents'!$D$2:$D$3000))</f>
        <v>0</v>
      </c>
      <c r="Y1946">
        <f>IF($A2="","",SUMIF('07_Pallet_Contents'!$A$2:$A$3000,$A2,'07_Pallet_Contents'!$I$2:$I$3000))</f>
        <v>0</v>
      </c>
      <c r="Z1946" t="str">
        <f>IF($A2="","",IF(COUNTIF('07_Pallet_Contents'!$A$2:$A$3000,$A2)&gt;0,"Yes",""))</f>
        <v/>
      </c>
    </row>
    <row r="1947" spans="2:26">
      <c r="B1947" s="31"/>
      <c r="G1947" s="34"/>
      <c r="H1947" s="33" t="str">
        <f t="shared" si="38"/>
        <v/>
      </c>
      <c r="I1947" s="31"/>
      <c r="J1947" s="31"/>
      <c r="K1947" s="33"/>
      <c r="W1947">
        <f>IF($A2="","",COUNTIF('07_Pallet_Contents'!$A$2:$A$3000,$A2))</f>
        <v>0</v>
      </c>
      <c r="X1947">
        <f>IF($A2="","",SUMIF('07_Pallet_Contents'!$A$2:$A$3000,$A2,'07_Pallet_Contents'!$D$2:$D$3000))</f>
        <v>0</v>
      </c>
      <c r="Y1947">
        <f>IF($A2="","",SUMIF('07_Pallet_Contents'!$A$2:$A$3000,$A2,'07_Pallet_Contents'!$I$2:$I$3000))</f>
        <v>0</v>
      </c>
      <c r="Z1947" t="str">
        <f>IF($A2="","",IF(COUNTIF('07_Pallet_Contents'!$A$2:$A$3000,$A2)&gt;0,"Yes",""))</f>
        <v/>
      </c>
    </row>
    <row r="1948" spans="2:26">
      <c r="B1948" s="31"/>
      <c r="G1948" s="34"/>
      <c r="H1948" s="33" t="str">
        <f t="shared" si="38"/>
        <v/>
      </c>
      <c r="I1948" s="31"/>
      <c r="J1948" s="31"/>
      <c r="K1948" s="33"/>
      <c r="W1948">
        <f>IF($A2="","",COUNTIF('07_Pallet_Contents'!$A$2:$A$3000,$A2))</f>
        <v>0</v>
      </c>
      <c r="X1948">
        <f>IF($A2="","",SUMIF('07_Pallet_Contents'!$A$2:$A$3000,$A2,'07_Pallet_Contents'!$D$2:$D$3000))</f>
        <v>0</v>
      </c>
      <c r="Y1948">
        <f>IF($A2="","",SUMIF('07_Pallet_Contents'!$A$2:$A$3000,$A2,'07_Pallet_Contents'!$I$2:$I$3000))</f>
        <v>0</v>
      </c>
      <c r="Z1948" t="str">
        <f>IF($A2="","",IF(COUNTIF('07_Pallet_Contents'!$A$2:$A$3000,$A2)&gt;0,"Yes",""))</f>
        <v/>
      </c>
    </row>
    <row r="1949" spans="2:26">
      <c r="B1949" s="31"/>
      <c r="G1949" s="34"/>
      <c r="H1949" s="33" t="str">
        <f t="shared" si="38"/>
        <v/>
      </c>
      <c r="I1949" s="31"/>
      <c r="J1949" s="31"/>
      <c r="K1949" s="33"/>
      <c r="W1949">
        <f>IF($A2="","",COUNTIF('07_Pallet_Contents'!$A$2:$A$3000,$A2))</f>
        <v>0</v>
      </c>
      <c r="X1949">
        <f>IF($A2="","",SUMIF('07_Pallet_Contents'!$A$2:$A$3000,$A2,'07_Pallet_Contents'!$D$2:$D$3000))</f>
        <v>0</v>
      </c>
      <c r="Y1949">
        <f>IF($A2="","",SUMIF('07_Pallet_Contents'!$A$2:$A$3000,$A2,'07_Pallet_Contents'!$I$2:$I$3000))</f>
        <v>0</v>
      </c>
      <c r="Z1949" t="str">
        <f>IF($A2="","",IF(COUNTIF('07_Pallet_Contents'!$A$2:$A$3000,$A2)&gt;0,"Yes",""))</f>
        <v/>
      </c>
    </row>
    <row r="1950" spans="2:26">
      <c r="B1950" s="31"/>
      <c r="G1950" s="34"/>
      <c r="H1950" s="33" t="str">
        <f t="shared" si="38"/>
        <v/>
      </c>
      <c r="I1950" s="31"/>
      <c r="J1950" s="31"/>
      <c r="K1950" s="33"/>
      <c r="W1950">
        <f>IF($A2="","",COUNTIF('07_Pallet_Contents'!$A$2:$A$3000,$A2))</f>
        <v>0</v>
      </c>
      <c r="X1950">
        <f>IF($A2="","",SUMIF('07_Pallet_Contents'!$A$2:$A$3000,$A2,'07_Pallet_Contents'!$D$2:$D$3000))</f>
        <v>0</v>
      </c>
      <c r="Y1950">
        <f>IF($A2="","",SUMIF('07_Pallet_Contents'!$A$2:$A$3000,$A2,'07_Pallet_Contents'!$I$2:$I$3000))</f>
        <v>0</v>
      </c>
      <c r="Z1950" t="str">
        <f>IF($A2="","",IF(COUNTIF('07_Pallet_Contents'!$A$2:$A$3000,$A2)&gt;0,"Yes",""))</f>
        <v/>
      </c>
    </row>
    <row r="1951" spans="2:26">
      <c r="B1951" s="31"/>
      <c r="G1951" s="34"/>
      <c r="H1951" s="33" t="str">
        <f t="shared" si="38"/>
        <v/>
      </c>
      <c r="I1951" s="31"/>
      <c r="J1951" s="31"/>
      <c r="K1951" s="33"/>
      <c r="W1951">
        <f>IF($A2="","",COUNTIF('07_Pallet_Contents'!$A$2:$A$3000,$A2))</f>
        <v>0</v>
      </c>
      <c r="X1951">
        <f>IF($A2="","",SUMIF('07_Pallet_Contents'!$A$2:$A$3000,$A2,'07_Pallet_Contents'!$D$2:$D$3000))</f>
        <v>0</v>
      </c>
      <c r="Y1951">
        <f>IF($A2="","",SUMIF('07_Pallet_Contents'!$A$2:$A$3000,$A2,'07_Pallet_Contents'!$I$2:$I$3000))</f>
        <v>0</v>
      </c>
      <c r="Z1951" t="str">
        <f>IF($A2="","",IF(COUNTIF('07_Pallet_Contents'!$A$2:$A$3000,$A2)&gt;0,"Yes",""))</f>
        <v/>
      </c>
    </row>
    <row r="1952" spans="2:26">
      <c r="B1952" s="31"/>
      <c r="G1952" s="34"/>
      <c r="H1952" s="33" t="str">
        <f t="shared" si="38"/>
        <v/>
      </c>
      <c r="I1952" s="31"/>
      <c r="J1952" s="31"/>
      <c r="K1952" s="33"/>
      <c r="W1952">
        <f>IF($A2="","",COUNTIF('07_Pallet_Contents'!$A$2:$A$3000,$A2))</f>
        <v>0</v>
      </c>
      <c r="X1952">
        <f>IF($A2="","",SUMIF('07_Pallet_Contents'!$A$2:$A$3000,$A2,'07_Pallet_Contents'!$D$2:$D$3000))</f>
        <v>0</v>
      </c>
      <c r="Y1952">
        <f>IF($A2="","",SUMIF('07_Pallet_Contents'!$A$2:$A$3000,$A2,'07_Pallet_Contents'!$I$2:$I$3000))</f>
        <v>0</v>
      </c>
      <c r="Z1952" t="str">
        <f>IF($A2="","",IF(COUNTIF('07_Pallet_Contents'!$A$2:$A$3000,$A2)&gt;0,"Yes",""))</f>
        <v/>
      </c>
    </row>
    <row r="1953" spans="2:26">
      <c r="B1953" s="31"/>
      <c r="G1953" s="34"/>
      <c r="H1953" s="33" t="str">
        <f t="shared" si="38"/>
        <v/>
      </c>
      <c r="I1953" s="31"/>
      <c r="J1953" s="31"/>
      <c r="K1953" s="33"/>
      <c r="W1953">
        <f>IF($A2="","",COUNTIF('07_Pallet_Contents'!$A$2:$A$3000,$A2))</f>
        <v>0</v>
      </c>
      <c r="X1953">
        <f>IF($A2="","",SUMIF('07_Pallet_Contents'!$A$2:$A$3000,$A2,'07_Pallet_Contents'!$D$2:$D$3000))</f>
        <v>0</v>
      </c>
      <c r="Y1953">
        <f>IF($A2="","",SUMIF('07_Pallet_Contents'!$A$2:$A$3000,$A2,'07_Pallet_Contents'!$I$2:$I$3000))</f>
        <v>0</v>
      </c>
      <c r="Z1953" t="str">
        <f>IF($A2="","",IF(COUNTIF('07_Pallet_Contents'!$A$2:$A$3000,$A2)&gt;0,"Yes",""))</f>
        <v/>
      </c>
    </row>
    <row r="1954" spans="2:26">
      <c r="B1954" s="31"/>
      <c r="G1954" s="34"/>
      <c r="H1954" s="33" t="str">
        <f t="shared" si="38"/>
        <v/>
      </c>
      <c r="I1954" s="31"/>
      <c r="J1954" s="31"/>
      <c r="K1954" s="33"/>
      <c r="W1954">
        <f>IF($A2="","",COUNTIF('07_Pallet_Contents'!$A$2:$A$3000,$A2))</f>
        <v>0</v>
      </c>
      <c r="X1954">
        <f>IF($A2="","",SUMIF('07_Pallet_Contents'!$A$2:$A$3000,$A2,'07_Pallet_Contents'!$D$2:$D$3000))</f>
        <v>0</v>
      </c>
      <c r="Y1954">
        <f>IF($A2="","",SUMIF('07_Pallet_Contents'!$A$2:$A$3000,$A2,'07_Pallet_Contents'!$I$2:$I$3000))</f>
        <v>0</v>
      </c>
      <c r="Z1954" t="str">
        <f>IF($A2="","",IF(COUNTIF('07_Pallet_Contents'!$A$2:$A$3000,$A2)&gt;0,"Yes",""))</f>
        <v/>
      </c>
    </row>
    <row r="1955" spans="2:26">
      <c r="B1955" s="31"/>
      <c r="G1955" s="34"/>
      <c r="H1955" s="33" t="str">
        <f t="shared" si="38"/>
        <v/>
      </c>
      <c r="I1955" s="31"/>
      <c r="J1955" s="31"/>
      <c r="K1955" s="33"/>
      <c r="W1955">
        <f>IF($A2="","",COUNTIF('07_Pallet_Contents'!$A$2:$A$3000,$A2))</f>
        <v>0</v>
      </c>
      <c r="X1955">
        <f>IF($A2="","",SUMIF('07_Pallet_Contents'!$A$2:$A$3000,$A2,'07_Pallet_Contents'!$D$2:$D$3000))</f>
        <v>0</v>
      </c>
      <c r="Y1955">
        <f>IF($A2="","",SUMIF('07_Pallet_Contents'!$A$2:$A$3000,$A2,'07_Pallet_Contents'!$I$2:$I$3000))</f>
        <v>0</v>
      </c>
      <c r="Z1955" t="str">
        <f>IF($A2="","",IF(COUNTIF('07_Pallet_Contents'!$A$2:$A$3000,$A2)&gt;0,"Yes",""))</f>
        <v/>
      </c>
    </row>
    <row r="1956" spans="2:26">
      <c r="B1956" s="31"/>
      <c r="G1956" s="34"/>
      <c r="H1956" s="33" t="str">
        <f t="shared" si="38"/>
        <v/>
      </c>
      <c r="I1956" s="31"/>
      <c r="J1956" s="31"/>
      <c r="K1956" s="33"/>
      <c r="W1956">
        <f>IF($A2="","",COUNTIF('07_Pallet_Contents'!$A$2:$A$3000,$A2))</f>
        <v>0</v>
      </c>
      <c r="X1956">
        <f>IF($A2="","",SUMIF('07_Pallet_Contents'!$A$2:$A$3000,$A2,'07_Pallet_Contents'!$D$2:$D$3000))</f>
        <v>0</v>
      </c>
      <c r="Y1956">
        <f>IF($A2="","",SUMIF('07_Pallet_Contents'!$A$2:$A$3000,$A2,'07_Pallet_Contents'!$I$2:$I$3000))</f>
        <v>0</v>
      </c>
      <c r="Z1956" t="str">
        <f>IF($A2="","",IF(COUNTIF('07_Pallet_Contents'!$A$2:$A$3000,$A2)&gt;0,"Yes",""))</f>
        <v/>
      </c>
    </row>
    <row r="1957" spans="2:26">
      <c r="B1957" s="31"/>
      <c r="G1957" s="34"/>
      <c r="H1957" s="33" t="str">
        <f t="shared" si="38"/>
        <v/>
      </c>
      <c r="I1957" s="31"/>
      <c r="J1957" s="31"/>
      <c r="K1957" s="33"/>
      <c r="W1957">
        <f>IF($A2="","",COUNTIF('07_Pallet_Contents'!$A$2:$A$3000,$A2))</f>
        <v>0</v>
      </c>
      <c r="X1957">
        <f>IF($A2="","",SUMIF('07_Pallet_Contents'!$A$2:$A$3000,$A2,'07_Pallet_Contents'!$D$2:$D$3000))</f>
        <v>0</v>
      </c>
      <c r="Y1957">
        <f>IF($A2="","",SUMIF('07_Pallet_Contents'!$A$2:$A$3000,$A2,'07_Pallet_Contents'!$I$2:$I$3000))</f>
        <v>0</v>
      </c>
      <c r="Z1957" t="str">
        <f>IF($A2="","",IF(COUNTIF('07_Pallet_Contents'!$A$2:$A$3000,$A2)&gt;0,"Yes",""))</f>
        <v/>
      </c>
    </row>
    <row r="1958" spans="2:26">
      <c r="B1958" s="31"/>
      <c r="G1958" s="34"/>
      <c r="H1958" s="33" t="str">
        <f t="shared" si="38"/>
        <v/>
      </c>
      <c r="I1958" s="31"/>
      <c r="J1958" s="31"/>
      <c r="K1958" s="33"/>
      <c r="W1958">
        <f>IF($A2="","",COUNTIF('07_Pallet_Contents'!$A$2:$A$3000,$A2))</f>
        <v>0</v>
      </c>
      <c r="X1958">
        <f>IF($A2="","",SUMIF('07_Pallet_Contents'!$A$2:$A$3000,$A2,'07_Pallet_Contents'!$D$2:$D$3000))</f>
        <v>0</v>
      </c>
      <c r="Y1958">
        <f>IF($A2="","",SUMIF('07_Pallet_Contents'!$A$2:$A$3000,$A2,'07_Pallet_Contents'!$I$2:$I$3000))</f>
        <v>0</v>
      </c>
      <c r="Z1958" t="str">
        <f>IF($A2="","",IF(COUNTIF('07_Pallet_Contents'!$A$2:$A$3000,$A2)&gt;0,"Yes",""))</f>
        <v/>
      </c>
    </row>
    <row r="1959" spans="2:26">
      <c r="B1959" s="31"/>
      <c r="G1959" s="34"/>
      <c r="H1959" s="33" t="str">
        <f t="shared" si="38"/>
        <v/>
      </c>
      <c r="I1959" s="31"/>
      <c r="J1959" s="31"/>
      <c r="K1959" s="33"/>
      <c r="W1959">
        <f>IF($A2="","",COUNTIF('07_Pallet_Contents'!$A$2:$A$3000,$A2))</f>
        <v>0</v>
      </c>
      <c r="X1959">
        <f>IF($A2="","",SUMIF('07_Pallet_Contents'!$A$2:$A$3000,$A2,'07_Pallet_Contents'!$D$2:$D$3000))</f>
        <v>0</v>
      </c>
      <c r="Y1959">
        <f>IF($A2="","",SUMIF('07_Pallet_Contents'!$A$2:$A$3000,$A2,'07_Pallet_Contents'!$I$2:$I$3000))</f>
        <v>0</v>
      </c>
      <c r="Z1959" t="str">
        <f>IF($A2="","",IF(COUNTIF('07_Pallet_Contents'!$A$2:$A$3000,$A2)&gt;0,"Yes",""))</f>
        <v/>
      </c>
    </row>
    <row r="1960" spans="2:26">
      <c r="B1960" s="31"/>
      <c r="G1960" s="34"/>
      <c r="H1960" s="33" t="str">
        <f t="shared" si="38"/>
        <v/>
      </c>
      <c r="I1960" s="31"/>
      <c r="J1960" s="31"/>
      <c r="K1960" s="33"/>
      <c r="W1960">
        <f>IF($A2="","",COUNTIF('07_Pallet_Contents'!$A$2:$A$3000,$A2))</f>
        <v>0</v>
      </c>
      <c r="X1960">
        <f>IF($A2="","",SUMIF('07_Pallet_Contents'!$A$2:$A$3000,$A2,'07_Pallet_Contents'!$D$2:$D$3000))</f>
        <v>0</v>
      </c>
      <c r="Y1960">
        <f>IF($A2="","",SUMIF('07_Pallet_Contents'!$A$2:$A$3000,$A2,'07_Pallet_Contents'!$I$2:$I$3000))</f>
        <v>0</v>
      </c>
      <c r="Z1960" t="str">
        <f>IF($A2="","",IF(COUNTIF('07_Pallet_Contents'!$A$2:$A$3000,$A2)&gt;0,"Yes",""))</f>
        <v/>
      </c>
    </row>
    <row r="1961" spans="2:26">
      <c r="B1961" s="31"/>
      <c r="G1961" s="34"/>
      <c r="H1961" s="33" t="str">
        <f t="shared" si="38"/>
        <v/>
      </c>
      <c r="I1961" s="31"/>
      <c r="J1961" s="31"/>
      <c r="K1961" s="33"/>
      <c r="W1961">
        <f>IF($A2="","",COUNTIF('07_Pallet_Contents'!$A$2:$A$3000,$A2))</f>
        <v>0</v>
      </c>
      <c r="X1961">
        <f>IF($A2="","",SUMIF('07_Pallet_Contents'!$A$2:$A$3000,$A2,'07_Pallet_Contents'!$D$2:$D$3000))</f>
        <v>0</v>
      </c>
      <c r="Y1961">
        <f>IF($A2="","",SUMIF('07_Pallet_Contents'!$A$2:$A$3000,$A2,'07_Pallet_Contents'!$I$2:$I$3000))</f>
        <v>0</v>
      </c>
      <c r="Z1961" t="str">
        <f>IF($A2="","",IF(COUNTIF('07_Pallet_Contents'!$A$2:$A$3000,$A2)&gt;0,"Yes",""))</f>
        <v/>
      </c>
    </row>
    <row r="1962" spans="2:26">
      <c r="B1962" s="31"/>
      <c r="G1962" s="34"/>
      <c r="H1962" s="33" t="str">
        <f t="shared" si="38"/>
        <v/>
      </c>
      <c r="I1962" s="31"/>
      <c r="J1962" s="31"/>
      <c r="K1962" s="33"/>
      <c r="W1962">
        <f>IF($A2="","",COUNTIF('07_Pallet_Contents'!$A$2:$A$3000,$A2))</f>
        <v>0</v>
      </c>
      <c r="X1962">
        <f>IF($A2="","",SUMIF('07_Pallet_Contents'!$A$2:$A$3000,$A2,'07_Pallet_Contents'!$D$2:$D$3000))</f>
        <v>0</v>
      </c>
      <c r="Y1962">
        <f>IF($A2="","",SUMIF('07_Pallet_Contents'!$A$2:$A$3000,$A2,'07_Pallet_Contents'!$I$2:$I$3000))</f>
        <v>0</v>
      </c>
      <c r="Z1962" t="str">
        <f>IF($A2="","",IF(COUNTIF('07_Pallet_Contents'!$A$2:$A$3000,$A2)&gt;0,"Yes",""))</f>
        <v/>
      </c>
    </row>
    <row r="1963" spans="2:26">
      <c r="B1963" s="31"/>
      <c r="G1963" s="34"/>
      <c r="H1963" s="33" t="str">
        <f t="shared" si="38"/>
        <v/>
      </c>
      <c r="I1963" s="31"/>
      <c r="J1963" s="31"/>
      <c r="K1963" s="33"/>
      <c r="W1963">
        <f>IF($A2="","",COUNTIF('07_Pallet_Contents'!$A$2:$A$3000,$A2))</f>
        <v>0</v>
      </c>
      <c r="X1963">
        <f>IF($A2="","",SUMIF('07_Pallet_Contents'!$A$2:$A$3000,$A2,'07_Pallet_Contents'!$D$2:$D$3000))</f>
        <v>0</v>
      </c>
      <c r="Y1963">
        <f>IF($A2="","",SUMIF('07_Pallet_Contents'!$A$2:$A$3000,$A2,'07_Pallet_Contents'!$I$2:$I$3000))</f>
        <v>0</v>
      </c>
      <c r="Z1963" t="str">
        <f>IF($A2="","",IF(COUNTIF('07_Pallet_Contents'!$A$2:$A$3000,$A2)&gt;0,"Yes",""))</f>
        <v/>
      </c>
    </row>
    <row r="1964" spans="2:26">
      <c r="B1964" s="31"/>
      <c r="G1964" s="34"/>
      <c r="H1964" s="33" t="str">
        <f t="shared" si="38"/>
        <v/>
      </c>
      <c r="I1964" s="31"/>
      <c r="J1964" s="31"/>
      <c r="K1964" s="33"/>
      <c r="W1964">
        <f>IF($A2="","",COUNTIF('07_Pallet_Contents'!$A$2:$A$3000,$A2))</f>
        <v>0</v>
      </c>
      <c r="X1964">
        <f>IF($A2="","",SUMIF('07_Pallet_Contents'!$A$2:$A$3000,$A2,'07_Pallet_Contents'!$D$2:$D$3000))</f>
        <v>0</v>
      </c>
      <c r="Y1964">
        <f>IF($A2="","",SUMIF('07_Pallet_Contents'!$A$2:$A$3000,$A2,'07_Pallet_Contents'!$I$2:$I$3000))</f>
        <v>0</v>
      </c>
      <c r="Z1964" t="str">
        <f>IF($A2="","",IF(COUNTIF('07_Pallet_Contents'!$A$2:$A$3000,$A2)&gt;0,"Yes",""))</f>
        <v/>
      </c>
    </row>
    <row r="1965" spans="2:26">
      <c r="B1965" s="31"/>
      <c r="G1965" s="34"/>
      <c r="H1965" s="33" t="str">
        <f t="shared" si="38"/>
        <v/>
      </c>
      <c r="I1965" s="31"/>
      <c r="J1965" s="31"/>
      <c r="K1965" s="33"/>
      <c r="W1965">
        <f>IF($A2="","",COUNTIF('07_Pallet_Contents'!$A$2:$A$3000,$A2))</f>
        <v>0</v>
      </c>
      <c r="X1965">
        <f>IF($A2="","",SUMIF('07_Pallet_Contents'!$A$2:$A$3000,$A2,'07_Pallet_Contents'!$D$2:$D$3000))</f>
        <v>0</v>
      </c>
      <c r="Y1965">
        <f>IF($A2="","",SUMIF('07_Pallet_Contents'!$A$2:$A$3000,$A2,'07_Pallet_Contents'!$I$2:$I$3000))</f>
        <v>0</v>
      </c>
      <c r="Z1965" t="str">
        <f>IF($A2="","",IF(COUNTIF('07_Pallet_Contents'!$A$2:$A$3000,$A2)&gt;0,"Yes",""))</f>
        <v/>
      </c>
    </row>
    <row r="1966" spans="2:26">
      <c r="B1966" s="31"/>
      <c r="G1966" s="34"/>
      <c r="H1966" s="33" t="str">
        <f t="shared" si="38"/>
        <v/>
      </c>
      <c r="I1966" s="31"/>
      <c r="J1966" s="31"/>
      <c r="K1966" s="33"/>
      <c r="W1966">
        <f>IF($A2="","",COUNTIF('07_Pallet_Contents'!$A$2:$A$3000,$A2))</f>
        <v>0</v>
      </c>
      <c r="X1966">
        <f>IF($A2="","",SUMIF('07_Pallet_Contents'!$A$2:$A$3000,$A2,'07_Pallet_Contents'!$D$2:$D$3000))</f>
        <v>0</v>
      </c>
      <c r="Y1966">
        <f>IF($A2="","",SUMIF('07_Pallet_Contents'!$A$2:$A$3000,$A2,'07_Pallet_Contents'!$I$2:$I$3000))</f>
        <v>0</v>
      </c>
      <c r="Z1966" t="str">
        <f>IF($A2="","",IF(COUNTIF('07_Pallet_Contents'!$A$2:$A$3000,$A2)&gt;0,"Yes",""))</f>
        <v/>
      </c>
    </row>
    <row r="1967" spans="2:26">
      <c r="B1967" s="31"/>
      <c r="G1967" s="34"/>
      <c r="H1967" s="33" t="str">
        <f t="shared" si="38"/>
        <v/>
      </c>
      <c r="I1967" s="31"/>
      <c r="J1967" s="31"/>
      <c r="K1967" s="33"/>
      <c r="W1967">
        <f>IF($A2="","",COUNTIF('07_Pallet_Contents'!$A$2:$A$3000,$A2))</f>
        <v>0</v>
      </c>
      <c r="X1967">
        <f>IF($A2="","",SUMIF('07_Pallet_Contents'!$A$2:$A$3000,$A2,'07_Pallet_Contents'!$D$2:$D$3000))</f>
        <v>0</v>
      </c>
      <c r="Y1967">
        <f>IF($A2="","",SUMIF('07_Pallet_Contents'!$A$2:$A$3000,$A2,'07_Pallet_Contents'!$I$2:$I$3000))</f>
        <v>0</v>
      </c>
      <c r="Z1967" t="str">
        <f>IF($A2="","",IF(COUNTIF('07_Pallet_Contents'!$A$2:$A$3000,$A2)&gt;0,"Yes",""))</f>
        <v/>
      </c>
    </row>
    <row r="1968" spans="2:26">
      <c r="B1968" s="31"/>
      <c r="G1968" s="34"/>
      <c r="H1968" s="33" t="str">
        <f t="shared" si="38"/>
        <v/>
      </c>
      <c r="I1968" s="31"/>
      <c r="J1968" s="31"/>
      <c r="K1968" s="33"/>
      <c r="W1968">
        <f>IF($A2="","",COUNTIF('07_Pallet_Contents'!$A$2:$A$3000,$A2))</f>
        <v>0</v>
      </c>
      <c r="X1968">
        <f>IF($A2="","",SUMIF('07_Pallet_Contents'!$A$2:$A$3000,$A2,'07_Pallet_Contents'!$D$2:$D$3000))</f>
        <v>0</v>
      </c>
      <c r="Y1968">
        <f>IF($A2="","",SUMIF('07_Pallet_Contents'!$A$2:$A$3000,$A2,'07_Pallet_Contents'!$I$2:$I$3000))</f>
        <v>0</v>
      </c>
      <c r="Z1968" t="str">
        <f>IF($A2="","",IF(COUNTIF('07_Pallet_Contents'!$A$2:$A$3000,$A2)&gt;0,"Yes",""))</f>
        <v/>
      </c>
    </row>
    <row r="1969" spans="2:26">
      <c r="B1969" s="31"/>
      <c r="G1969" s="34"/>
      <c r="H1969" s="33" t="str">
        <f t="shared" si="38"/>
        <v/>
      </c>
      <c r="I1969" s="31"/>
      <c r="J1969" s="31"/>
      <c r="K1969" s="33"/>
      <c r="W1969">
        <f>IF($A2="","",COUNTIF('07_Pallet_Contents'!$A$2:$A$3000,$A2))</f>
        <v>0</v>
      </c>
      <c r="X1969">
        <f>IF($A2="","",SUMIF('07_Pallet_Contents'!$A$2:$A$3000,$A2,'07_Pallet_Contents'!$D$2:$D$3000))</f>
        <v>0</v>
      </c>
      <c r="Y1969">
        <f>IF($A2="","",SUMIF('07_Pallet_Contents'!$A$2:$A$3000,$A2,'07_Pallet_Contents'!$I$2:$I$3000))</f>
        <v>0</v>
      </c>
      <c r="Z1969" t="str">
        <f>IF($A2="","",IF(COUNTIF('07_Pallet_Contents'!$A$2:$A$3000,$A2)&gt;0,"Yes",""))</f>
        <v/>
      </c>
    </row>
    <row r="1970" spans="2:26">
      <c r="B1970" s="31"/>
      <c r="G1970" s="34"/>
      <c r="H1970" s="33" t="str">
        <f t="shared" si="38"/>
        <v/>
      </c>
      <c r="I1970" s="31"/>
      <c r="J1970" s="31"/>
      <c r="K1970" s="33"/>
      <c r="W1970">
        <f>IF($A2="","",COUNTIF('07_Pallet_Contents'!$A$2:$A$3000,$A2))</f>
        <v>0</v>
      </c>
      <c r="X1970">
        <f>IF($A2="","",SUMIF('07_Pallet_Contents'!$A$2:$A$3000,$A2,'07_Pallet_Contents'!$D$2:$D$3000))</f>
        <v>0</v>
      </c>
      <c r="Y1970">
        <f>IF($A2="","",SUMIF('07_Pallet_Contents'!$A$2:$A$3000,$A2,'07_Pallet_Contents'!$I$2:$I$3000))</f>
        <v>0</v>
      </c>
      <c r="Z1970" t="str">
        <f>IF($A2="","",IF(COUNTIF('07_Pallet_Contents'!$A$2:$A$3000,$A2)&gt;0,"Yes",""))</f>
        <v/>
      </c>
    </row>
    <row r="1971" spans="2:26">
      <c r="B1971" s="31"/>
      <c r="G1971" s="34"/>
      <c r="H1971" s="33" t="str">
        <f t="shared" si="38"/>
        <v/>
      </c>
      <c r="I1971" s="31"/>
      <c r="J1971" s="31"/>
      <c r="K1971" s="33"/>
      <c r="W1971">
        <f>IF($A2="","",COUNTIF('07_Pallet_Contents'!$A$2:$A$3000,$A2))</f>
        <v>0</v>
      </c>
      <c r="X1971">
        <f>IF($A2="","",SUMIF('07_Pallet_Contents'!$A$2:$A$3000,$A2,'07_Pallet_Contents'!$D$2:$D$3000))</f>
        <v>0</v>
      </c>
      <c r="Y1971">
        <f>IF($A2="","",SUMIF('07_Pallet_Contents'!$A$2:$A$3000,$A2,'07_Pallet_Contents'!$I$2:$I$3000))</f>
        <v>0</v>
      </c>
      <c r="Z1971" t="str">
        <f>IF($A2="","",IF(COUNTIF('07_Pallet_Contents'!$A$2:$A$3000,$A2)&gt;0,"Yes",""))</f>
        <v/>
      </c>
    </row>
    <row r="1972" spans="2:26">
      <c r="B1972" s="31"/>
      <c r="G1972" s="34"/>
      <c r="H1972" s="33" t="str">
        <f t="shared" si="38"/>
        <v/>
      </c>
      <c r="I1972" s="31"/>
      <c r="J1972" s="31"/>
      <c r="K1972" s="33"/>
      <c r="W1972">
        <f>IF($A2="","",COUNTIF('07_Pallet_Contents'!$A$2:$A$3000,$A2))</f>
        <v>0</v>
      </c>
      <c r="X1972">
        <f>IF($A2="","",SUMIF('07_Pallet_Contents'!$A$2:$A$3000,$A2,'07_Pallet_Contents'!$D$2:$D$3000))</f>
        <v>0</v>
      </c>
      <c r="Y1972">
        <f>IF($A2="","",SUMIF('07_Pallet_Contents'!$A$2:$A$3000,$A2,'07_Pallet_Contents'!$I$2:$I$3000))</f>
        <v>0</v>
      </c>
      <c r="Z1972" t="str">
        <f>IF($A2="","",IF(COUNTIF('07_Pallet_Contents'!$A$2:$A$3000,$A2)&gt;0,"Yes",""))</f>
        <v/>
      </c>
    </row>
    <row r="1973" spans="2:26">
      <c r="B1973" s="31"/>
      <c r="G1973" s="34"/>
      <c r="H1973" s="33" t="str">
        <f t="shared" si="38"/>
        <v/>
      </c>
      <c r="I1973" s="31"/>
      <c r="J1973" s="31"/>
      <c r="K1973" s="33"/>
      <c r="W1973">
        <f>IF($A2="","",COUNTIF('07_Pallet_Contents'!$A$2:$A$3000,$A2))</f>
        <v>0</v>
      </c>
      <c r="X1973">
        <f>IF($A2="","",SUMIF('07_Pallet_Contents'!$A$2:$A$3000,$A2,'07_Pallet_Contents'!$D$2:$D$3000))</f>
        <v>0</v>
      </c>
      <c r="Y1973">
        <f>IF($A2="","",SUMIF('07_Pallet_Contents'!$A$2:$A$3000,$A2,'07_Pallet_Contents'!$I$2:$I$3000))</f>
        <v>0</v>
      </c>
      <c r="Z1973" t="str">
        <f>IF($A2="","",IF(COUNTIF('07_Pallet_Contents'!$A$2:$A$3000,$A2)&gt;0,"Yes",""))</f>
        <v/>
      </c>
    </row>
    <row r="1974" spans="2:26">
      <c r="B1974" s="31"/>
      <c r="G1974" s="34"/>
      <c r="H1974" s="33" t="str">
        <f t="shared" si="38"/>
        <v/>
      </c>
      <c r="I1974" s="31"/>
      <c r="J1974" s="31"/>
      <c r="K1974" s="33"/>
      <c r="W1974">
        <f>IF($A2="","",COUNTIF('07_Pallet_Contents'!$A$2:$A$3000,$A2))</f>
        <v>0</v>
      </c>
      <c r="X1974">
        <f>IF($A2="","",SUMIF('07_Pallet_Contents'!$A$2:$A$3000,$A2,'07_Pallet_Contents'!$D$2:$D$3000))</f>
        <v>0</v>
      </c>
      <c r="Y1974">
        <f>IF($A2="","",SUMIF('07_Pallet_Contents'!$A$2:$A$3000,$A2,'07_Pallet_Contents'!$I$2:$I$3000))</f>
        <v>0</v>
      </c>
      <c r="Z1974" t="str">
        <f>IF($A2="","",IF(COUNTIF('07_Pallet_Contents'!$A$2:$A$3000,$A2)&gt;0,"Yes",""))</f>
        <v/>
      </c>
    </row>
    <row r="1975" spans="2:26">
      <c r="B1975" s="31"/>
      <c r="G1975" s="34"/>
      <c r="H1975" s="33" t="str">
        <f t="shared" si="38"/>
        <v/>
      </c>
      <c r="I1975" s="31"/>
      <c r="J1975" s="31"/>
      <c r="K1975" s="33"/>
      <c r="W1975">
        <f>IF($A2="","",COUNTIF('07_Pallet_Contents'!$A$2:$A$3000,$A2))</f>
        <v>0</v>
      </c>
      <c r="X1975">
        <f>IF($A2="","",SUMIF('07_Pallet_Contents'!$A$2:$A$3000,$A2,'07_Pallet_Contents'!$D$2:$D$3000))</f>
        <v>0</v>
      </c>
      <c r="Y1975">
        <f>IF($A2="","",SUMIF('07_Pallet_Contents'!$A$2:$A$3000,$A2,'07_Pallet_Contents'!$I$2:$I$3000))</f>
        <v>0</v>
      </c>
      <c r="Z1975" t="str">
        <f>IF($A2="","",IF(COUNTIF('07_Pallet_Contents'!$A$2:$A$3000,$A2)&gt;0,"Yes",""))</f>
        <v/>
      </c>
    </row>
    <row r="1976" spans="2:26">
      <c r="B1976" s="31"/>
      <c r="G1976" s="34"/>
      <c r="H1976" s="33" t="str">
        <f t="shared" si="38"/>
        <v/>
      </c>
      <c r="I1976" s="31"/>
      <c r="J1976" s="31"/>
      <c r="K1976" s="33"/>
      <c r="W1976">
        <f>IF($A2="","",COUNTIF('07_Pallet_Contents'!$A$2:$A$3000,$A2))</f>
        <v>0</v>
      </c>
      <c r="X1976">
        <f>IF($A2="","",SUMIF('07_Pallet_Contents'!$A$2:$A$3000,$A2,'07_Pallet_Contents'!$D$2:$D$3000))</f>
        <v>0</v>
      </c>
      <c r="Y1976">
        <f>IF($A2="","",SUMIF('07_Pallet_Contents'!$A$2:$A$3000,$A2,'07_Pallet_Contents'!$I$2:$I$3000))</f>
        <v>0</v>
      </c>
      <c r="Z1976" t="str">
        <f>IF($A2="","",IF(COUNTIF('07_Pallet_Contents'!$A$2:$A$3000,$A2)&gt;0,"Yes",""))</f>
        <v/>
      </c>
    </row>
    <row r="1977" spans="2:26">
      <c r="B1977" s="31"/>
      <c r="G1977" s="34"/>
      <c r="H1977" s="33" t="str">
        <f t="shared" si="38"/>
        <v/>
      </c>
      <c r="I1977" s="31"/>
      <c r="J1977" s="31"/>
      <c r="K1977" s="33"/>
      <c r="W1977">
        <f>IF($A2="","",COUNTIF('07_Pallet_Contents'!$A$2:$A$3000,$A2))</f>
        <v>0</v>
      </c>
      <c r="X1977">
        <f>IF($A2="","",SUMIF('07_Pallet_Contents'!$A$2:$A$3000,$A2,'07_Pallet_Contents'!$D$2:$D$3000))</f>
        <v>0</v>
      </c>
      <c r="Y1977">
        <f>IF($A2="","",SUMIF('07_Pallet_Contents'!$A$2:$A$3000,$A2,'07_Pallet_Contents'!$I$2:$I$3000))</f>
        <v>0</v>
      </c>
      <c r="Z1977" t="str">
        <f>IF($A2="","",IF(COUNTIF('07_Pallet_Contents'!$A$2:$A$3000,$A2)&gt;0,"Yes",""))</f>
        <v/>
      </c>
    </row>
    <row r="1978" spans="2:26">
      <c r="B1978" s="31"/>
      <c r="G1978" s="34"/>
      <c r="H1978" s="33" t="str">
        <f t="shared" si="38"/>
        <v/>
      </c>
      <c r="I1978" s="31"/>
      <c r="J1978" s="31"/>
      <c r="K1978" s="33"/>
      <c r="W1978">
        <f>IF($A2="","",COUNTIF('07_Pallet_Contents'!$A$2:$A$3000,$A2))</f>
        <v>0</v>
      </c>
      <c r="X1978">
        <f>IF($A2="","",SUMIF('07_Pallet_Contents'!$A$2:$A$3000,$A2,'07_Pallet_Contents'!$D$2:$D$3000))</f>
        <v>0</v>
      </c>
      <c r="Y1978">
        <f>IF($A2="","",SUMIF('07_Pallet_Contents'!$A$2:$A$3000,$A2,'07_Pallet_Contents'!$I$2:$I$3000))</f>
        <v>0</v>
      </c>
      <c r="Z1978" t="str">
        <f>IF($A2="","",IF(COUNTIF('07_Pallet_Contents'!$A$2:$A$3000,$A2)&gt;0,"Yes",""))</f>
        <v/>
      </c>
    </row>
    <row r="1979" spans="2:26">
      <c r="B1979" s="31"/>
      <c r="G1979" s="34"/>
      <c r="H1979" s="33" t="str">
        <f t="shared" si="38"/>
        <v/>
      </c>
      <c r="I1979" s="31"/>
      <c r="J1979" s="31"/>
      <c r="K1979" s="33"/>
      <c r="W1979">
        <f>IF($A2="","",COUNTIF('07_Pallet_Contents'!$A$2:$A$3000,$A2))</f>
        <v>0</v>
      </c>
      <c r="X1979">
        <f>IF($A2="","",SUMIF('07_Pallet_Contents'!$A$2:$A$3000,$A2,'07_Pallet_Contents'!$D$2:$D$3000))</f>
        <v>0</v>
      </c>
      <c r="Y1979">
        <f>IF($A2="","",SUMIF('07_Pallet_Contents'!$A$2:$A$3000,$A2,'07_Pallet_Contents'!$I$2:$I$3000))</f>
        <v>0</v>
      </c>
      <c r="Z1979" t="str">
        <f>IF($A2="","",IF(COUNTIF('07_Pallet_Contents'!$A$2:$A$3000,$A2)&gt;0,"Yes",""))</f>
        <v/>
      </c>
    </row>
    <row r="1980" spans="2:26">
      <c r="B1980" s="31"/>
      <c r="G1980" s="34"/>
      <c r="H1980" s="33" t="str">
        <f t="shared" si="38"/>
        <v/>
      </c>
      <c r="I1980" s="31"/>
      <c r="J1980" s="31"/>
      <c r="K1980" s="33"/>
      <c r="W1980">
        <f>IF($A2="","",COUNTIF('07_Pallet_Contents'!$A$2:$A$3000,$A2))</f>
        <v>0</v>
      </c>
      <c r="X1980">
        <f>IF($A2="","",SUMIF('07_Pallet_Contents'!$A$2:$A$3000,$A2,'07_Pallet_Contents'!$D$2:$D$3000))</f>
        <v>0</v>
      </c>
      <c r="Y1980">
        <f>IF($A2="","",SUMIF('07_Pallet_Contents'!$A$2:$A$3000,$A2,'07_Pallet_Contents'!$I$2:$I$3000))</f>
        <v>0</v>
      </c>
      <c r="Z1980" t="str">
        <f>IF($A2="","",IF(COUNTIF('07_Pallet_Contents'!$A$2:$A$3000,$A2)&gt;0,"Yes",""))</f>
        <v/>
      </c>
    </row>
    <row r="1981" spans="2:26">
      <c r="B1981" s="31"/>
      <c r="G1981" s="34"/>
      <c r="H1981" s="33" t="str">
        <f t="shared" si="38"/>
        <v/>
      </c>
      <c r="I1981" s="31"/>
      <c r="J1981" s="31"/>
      <c r="K1981" s="33"/>
      <c r="W1981">
        <f>IF($A2="","",COUNTIF('07_Pallet_Contents'!$A$2:$A$3000,$A2))</f>
        <v>0</v>
      </c>
      <c r="X1981">
        <f>IF($A2="","",SUMIF('07_Pallet_Contents'!$A$2:$A$3000,$A2,'07_Pallet_Contents'!$D$2:$D$3000))</f>
        <v>0</v>
      </c>
      <c r="Y1981">
        <f>IF($A2="","",SUMIF('07_Pallet_Contents'!$A$2:$A$3000,$A2,'07_Pallet_Contents'!$I$2:$I$3000))</f>
        <v>0</v>
      </c>
      <c r="Z1981" t="str">
        <f>IF($A2="","",IF(COUNTIF('07_Pallet_Contents'!$A$2:$A$3000,$A2)&gt;0,"Yes",""))</f>
        <v/>
      </c>
    </row>
    <row r="1982" spans="2:26">
      <c r="B1982" s="31"/>
      <c r="G1982" s="34"/>
      <c r="H1982" s="33" t="str">
        <f t="shared" si="38"/>
        <v/>
      </c>
      <c r="I1982" s="31"/>
      <c r="J1982" s="31"/>
      <c r="K1982" s="33"/>
      <c r="W1982">
        <f>IF($A2="","",COUNTIF('07_Pallet_Contents'!$A$2:$A$3000,$A2))</f>
        <v>0</v>
      </c>
      <c r="X1982">
        <f>IF($A2="","",SUMIF('07_Pallet_Contents'!$A$2:$A$3000,$A2,'07_Pallet_Contents'!$D$2:$D$3000))</f>
        <v>0</v>
      </c>
      <c r="Y1982">
        <f>IF($A2="","",SUMIF('07_Pallet_Contents'!$A$2:$A$3000,$A2,'07_Pallet_Contents'!$I$2:$I$3000))</f>
        <v>0</v>
      </c>
      <c r="Z1982" t="str">
        <f>IF($A2="","",IF(COUNTIF('07_Pallet_Contents'!$A$2:$A$3000,$A2)&gt;0,"Yes",""))</f>
        <v/>
      </c>
    </row>
    <row r="1983" spans="2:26">
      <c r="B1983" s="31"/>
      <c r="G1983" s="34"/>
      <c r="H1983" s="33" t="str">
        <f t="shared" si="38"/>
        <v/>
      </c>
      <c r="I1983" s="31"/>
      <c r="J1983" s="31"/>
      <c r="K1983" s="33"/>
      <c r="W1983">
        <f>IF($A2="","",COUNTIF('07_Pallet_Contents'!$A$2:$A$3000,$A2))</f>
        <v>0</v>
      </c>
      <c r="X1983">
        <f>IF($A2="","",SUMIF('07_Pallet_Contents'!$A$2:$A$3000,$A2,'07_Pallet_Contents'!$D$2:$D$3000))</f>
        <v>0</v>
      </c>
      <c r="Y1983">
        <f>IF($A2="","",SUMIF('07_Pallet_Contents'!$A$2:$A$3000,$A2,'07_Pallet_Contents'!$I$2:$I$3000))</f>
        <v>0</v>
      </c>
      <c r="Z1983" t="str">
        <f>IF($A2="","",IF(COUNTIF('07_Pallet_Contents'!$A$2:$A$3000,$A2)&gt;0,"Yes",""))</f>
        <v/>
      </c>
    </row>
    <row r="1984" spans="2:26">
      <c r="B1984" s="31"/>
      <c r="G1984" s="34"/>
      <c r="H1984" s="33" t="str">
        <f t="shared" si="38"/>
        <v/>
      </c>
      <c r="I1984" s="31"/>
      <c r="J1984" s="31"/>
      <c r="K1984" s="33"/>
      <c r="W1984">
        <f>IF($A2="","",COUNTIF('07_Pallet_Contents'!$A$2:$A$3000,$A2))</f>
        <v>0</v>
      </c>
      <c r="X1984">
        <f>IF($A2="","",SUMIF('07_Pallet_Contents'!$A$2:$A$3000,$A2,'07_Pallet_Contents'!$D$2:$D$3000))</f>
        <v>0</v>
      </c>
      <c r="Y1984">
        <f>IF($A2="","",SUMIF('07_Pallet_Contents'!$A$2:$A$3000,$A2,'07_Pallet_Contents'!$I$2:$I$3000))</f>
        <v>0</v>
      </c>
      <c r="Z1984" t="str">
        <f>IF($A2="","",IF(COUNTIF('07_Pallet_Contents'!$A$2:$A$3000,$A2)&gt;0,"Yes",""))</f>
        <v/>
      </c>
    </row>
    <row r="1985" spans="2:26">
      <c r="B1985" s="31"/>
      <c r="G1985" s="34"/>
      <c r="H1985" s="33" t="str">
        <f t="shared" si="38"/>
        <v/>
      </c>
      <c r="I1985" s="31"/>
      <c r="J1985" s="31"/>
      <c r="K1985" s="33"/>
      <c r="W1985">
        <f>IF($A2="","",COUNTIF('07_Pallet_Contents'!$A$2:$A$3000,$A2))</f>
        <v>0</v>
      </c>
      <c r="X1985">
        <f>IF($A2="","",SUMIF('07_Pallet_Contents'!$A$2:$A$3000,$A2,'07_Pallet_Contents'!$D$2:$D$3000))</f>
        <v>0</v>
      </c>
      <c r="Y1985">
        <f>IF($A2="","",SUMIF('07_Pallet_Contents'!$A$2:$A$3000,$A2,'07_Pallet_Contents'!$I$2:$I$3000))</f>
        <v>0</v>
      </c>
      <c r="Z1985" t="str">
        <f>IF($A2="","",IF(COUNTIF('07_Pallet_Contents'!$A$2:$A$3000,$A2)&gt;0,"Yes",""))</f>
        <v/>
      </c>
    </row>
    <row r="1986" spans="2:26">
      <c r="B1986" s="31"/>
      <c r="G1986" s="34"/>
      <c r="H1986" s="33" t="str">
        <f t="shared" ref="H1986:H2002" si="39">IF(AND($F1986="TEMP",$G1986&gt;0,$M1986&lt;&gt;""),$M1986+$G1986,"")</f>
        <v/>
      </c>
      <c r="I1986" s="31"/>
      <c r="J1986" s="31"/>
      <c r="K1986" s="33"/>
      <c r="W1986">
        <f>IF($A2="","",COUNTIF('07_Pallet_Contents'!$A$2:$A$3000,$A2))</f>
        <v>0</v>
      </c>
      <c r="X1986">
        <f>IF($A2="","",SUMIF('07_Pallet_Contents'!$A$2:$A$3000,$A2,'07_Pallet_Contents'!$D$2:$D$3000))</f>
        <v>0</v>
      </c>
      <c r="Y1986">
        <f>IF($A2="","",SUMIF('07_Pallet_Contents'!$A$2:$A$3000,$A2,'07_Pallet_Contents'!$I$2:$I$3000))</f>
        <v>0</v>
      </c>
      <c r="Z1986" t="str">
        <f>IF($A2="","",IF(COUNTIF('07_Pallet_Contents'!$A$2:$A$3000,$A2)&gt;0,"Yes",""))</f>
        <v/>
      </c>
    </row>
    <row r="1987" spans="2:26">
      <c r="B1987" s="31"/>
      <c r="G1987" s="34"/>
      <c r="H1987" s="33" t="str">
        <f t="shared" si="39"/>
        <v/>
      </c>
      <c r="I1987" s="31"/>
      <c r="J1987" s="31"/>
      <c r="K1987" s="33"/>
      <c r="W1987">
        <f>IF($A2="","",COUNTIF('07_Pallet_Contents'!$A$2:$A$3000,$A2))</f>
        <v>0</v>
      </c>
      <c r="X1987">
        <f>IF($A2="","",SUMIF('07_Pallet_Contents'!$A$2:$A$3000,$A2,'07_Pallet_Contents'!$D$2:$D$3000))</f>
        <v>0</v>
      </c>
      <c r="Y1987">
        <f>IF($A2="","",SUMIF('07_Pallet_Contents'!$A$2:$A$3000,$A2,'07_Pallet_Contents'!$I$2:$I$3000))</f>
        <v>0</v>
      </c>
      <c r="Z1987" t="str">
        <f>IF($A2="","",IF(COUNTIF('07_Pallet_Contents'!$A$2:$A$3000,$A2)&gt;0,"Yes",""))</f>
        <v/>
      </c>
    </row>
    <row r="1988" spans="2:26">
      <c r="B1988" s="31"/>
      <c r="G1988" s="34"/>
      <c r="H1988" s="33" t="str">
        <f t="shared" si="39"/>
        <v/>
      </c>
      <c r="I1988" s="31"/>
      <c r="J1988" s="31"/>
      <c r="K1988" s="33"/>
      <c r="W1988">
        <f>IF($A2="","",COUNTIF('07_Pallet_Contents'!$A$2:$A$3000,$A2))</f>
        <v>0</v>
      </c>
      <c r="X1988">
        <f>IF($A2="","",SUMIF('07_Pallet_Contents'!$A$2:$A$3000,$A2,'07_Pallet_Contents'!$D$2:$D$3000))</f>
        <v>0</v>
      </c>
      <c r="Y1988">
        <f>IF($A2="","",SUMIF('07_Pallet_Contents'!$A$2:$A$3000,$A2,'07_Pallet_Contents'!$I$2:$I$3000))</f>
        <v>0</v>
      </c>
      <c r="Z1988" t="str">
        <f>IF($A2="","",IF(COUNTIF('07_Pallet_Contents'!$A$2:$A$3000,$A2)&gt;0,"Yes",""))</f>
        <v/>
      </c>
    </row>
    <row r="1989" spans="2:26">
      <c r="B1989" s="31"/>
      <c r="G1989" s="34"/>
      <c r="H1989" s="33" t="str">
        <f t="shared" si="39"/>
        <v/>
      </c>
      <c r="I1989" s="31"/>
      <c r="J1989" s="31"/>
      <c r="K1989" s="33"/>
      <c r="W1989">
        <f>IF($A2="","",COUNTIF('07_Pallet_Contents'!$A$2:$A$3000,$A2))</f>
        <v>0</v>
      </c>
      <c r="X1989">
        <f>IF($A2="","",SUMIF('07_Pallet_Contents'!$A$2:$A$3000,$A2,'07_Pallet_Contents'!$D$2:$D$3000))</f>
        <v>0</v>
      </c>
      <c r="Y1989">
        <f>IF($A2="","",SUMIF('07_Pallet_Contents'!$A$2:$A$3000,$A2,'07_Pallet_Contents'!$I$2:$I$3000))</f>
        <v>0</v>
      </c>
      <c r="Z1989" t="str">
        <f>IF($A2="","",IF(COUNTIF('07_Pallet_Contents'!$A$2:$A$3000,$A2)&gt;0,"Yes",""))</f>
        <v/>
      </c>
    </row>
    <row r="1990" spans="2:26">
      <c r="B1990" s="31"/>
      <c r="G1990" s="34"/>
      <c r="H1990" s="33" t="str">
        <f t="shared" si="39"/>
        <v/>
      </c>
      <c r="I1990" s="31"/>
      <c r="J1990" s="31"/>
      <c r="K1990" s="33"/>
      <c r="W1990">
        <f>IF($A2="","",COUNTIF('07_Pallet_Contents'!$A$2:$A$3000,$A2))</f>
        <v>0</v>
      </c>
      <c r="X1990">
        <f>IF($A2="","",SUMIF('07_Pallet_Contents'!$A$2:$A$3000,$A2,'07_Pallet_Contents'!$D$2:$D$3000))</f>
        <v>0</v>
      </c>
      <c r="Y1990">
        <f>IF($A2="","",SUMIF('07_Pallet_Contents'!$A$2:$A$3000,$A2,'07_Pallet_Contents'!$I$2:$I$3000))</f>
        <v>0</v>
      </c>
      <c r="Z1990" t="str">
        <f>IF($A2="","",IF(COUNTIF('07_Pallet_Contents'!$A$2:$A$3000,$A2)&gt;0,"Yes",""))</f>
        <v/>
      </c>
    </row>
    <row r="1991" spans="2:26">
      <c r="B1991" s="31"/>
      <c r="G1991" s="34"/>
      <c r="H1991" s="33" t="str">
        <f t="shared" si="39"/>
        <v/>
      </c>
      <c r="I1991" s="31"/>
      <c r="J1991" s="31"/>
      <c r="K1991" s="33"/>
      <c r="W1991">
        <f>IF($A2="","",COUNTIF('07_Pallet_Contents'!$A$2:$A$3000,$A2))</f>
        <v>0</v>
      </c>
      <c r="X1991">
        <f>IF($A2="","",SUMIF('07_Pallet_Contents'!$A$2:$A$3000,$A2,'07_Pallet_Contents'!$D$2:$D$3000))</f>
        <v>0</v>
      </c>
      <c r="Y1991">
        <f>IF($A2="","",SUMIF('07_Pallet_Contents'!$A$2:$A$3000,$A2,'07_Pallet_Contents'!$I$2:$I$3000))</f>
        <v>0</v>
      </c>
      <c r="Z1991" t="str">
        <f>IF($A2="","",IF(COUNTIF('07_Pallet_Contents'!$A$2:$A$3000,$A2)&gt;0,"Yes",""))</f>
        <v/>
      </c>
    </row>
    <row r="1992" spans="2:26">
      <c r="B1992" s="31"/>
      <c r="G1992" s="34"/>
      <c r="H1992" s="33" t="str">
        <f t="shared" si="39"/>
        <v/>
      </c>
      <c r="I1992" s="31"/>
      <c r="J1992" s="31"/>
      <c r="K1992" s="33"/>
      <c r="W1992">
        <f>IF($A2="","",COUNTIF('07_Pallet_Contents'!$A$2:$A$3000,$A2))</f>
        <v>0</v>
      </c>
      <c r="X1992">
        <f>IF($A2="","",SUMIF('07_Pallet_Contents'!$A$2:$A$3000,$A2,'07_Pallet_Contents'!$D$2:$D$3000))</f>
        <v>0</v>
      </c>
      <c r="Y1992">
        <f>IF($A2="","",SUMIF('07_Pallet_Contents'!$A$2:$A$3000,$A2,'07_Pallet_Contents'!$I$2:$I$3000))</f>
        <v>0</v>
      </c>
      <c r="Z1992" t="str">
        <f>IF($A2="","",IF(COUNTIF('07_Pallet_Contents'!$A$2:$A$3000,$A2)&gt;0,"Yes",""))</f>
        <v/>
      </c>
    </row>
    <row r="1993" spans="2:26">
      <c r="B1993" s="31"/>
      <c r="G1993" s="34"/>
      <c r="H1993" s="33" t="str">
        <f t="shared" si="39"/>
        <v/>
      </c>
      <c r="I1993" s="31"/>
      <c r="J1993" s="31"/>
      <c r="K1993" s="33"/>
      <c r="W1993">
        <f>IF($A2="","",COUNTIF('07_Pallet_Contents'!$A$2:$A$3000,$A2))</f>
        <v>0</v>
      </c>
      <c r="X1993">
        <f>IF($A2="","",SUMIF('07_Pallet_Contents'!$A$2:$A$3000,$A2,'07_Pallet_Contents'!$D$2:$D$3000))</f>
        <v>0</v>
      </c>
      <c r="Y1993">
        <f>IF($A2="","",SUMIF('07_Pallet_Contents'!$A$2:$A$3000,$A2,'07_Pallet_Contents'!$I$2:$I$3000))</f>
        <v>0</v>
      </c>
      <c r="Z1993" t="str">
        <f>IF($A2="","",IF(COUNTIF('07_Pallet_Contents'!$A$2:$A$3000,$A2)&gt;0,"Yes",""))</f>
        <v/>
      </c>
    </row>
    <row r="1994" spans="2:26">
      <c r="B1994" s="31"/>
      <c r="G1994" s="34"/>
      <c r="H1994" s="33" t="str">
        <f t="shared" si="39"/>
        <v/>
      </c>
      <c r="I1994" s="31"/>
      <c r="J1994" s="31"/>
      <c r="K1994" s="33"/>
      <c r="W1994">
        <f>IF($A2="","",COUNTIF('07_Pallet_Contents'!$A$2:$A$3000,$A2))</f>
        <v>0</v>
      </c>
      <c r="X1994">
        <f>IF($A2="","",SUMIF('07_Pallet_Contents'!$A$2:$A$3000,$A2,'07_Pallet_Contents'!$D$2:$D$3000))</f>
        <v>0</v>
      </c>
      <c r="Y1994">
        <f>IF($A2="","",SUMIF('07_Pallet_Contents'!$A$2:$A$3000,$A2,'07_Pallet_Contents'!$I$2:$I$3000))</f>
        <v>0</v>
      </c>
      <c r="Z1994" t="str">
        <f>IF($A2="","",IF(COUNTIF('07_Pallet_Contents'!$A$2:$A$3000,$A2)&gt;0,"Yes",""))</f>
        <v/>
      </c>
    </row>
    <row r="1995" spans="2:26">
      <c r="B1995" s="31"/>
      <c r="G1995" s="34"/>
      <c r="H1995" s="33" t="str">
        <f t="shared" si="39"/>
        <v/>
      </c>
      <c r="I1995" s="31"/>
      <c r="J1995" s="31"/>
      <c r="K1995" s="33"/>
      <c r="W1995">
        <f>IF($A2="","",COUNTIF('07_Pallet_Contents'!$A$2:$A$3000,$A2))</f>
        <v>0</v>
      </c>
      <c r="X1995">
        <f>IF($A2="","",SUMIF('07_Pallet_Contents'!$A$2:$A$3000,$A2,'07_Pallet_Contents'!$D$2:$D$3000))</f>
        <v>0</v>
      </c>
      <c r="Y1995">
        <f>IF($A2="","",SUMIF('07_Pallet_Contents'!$A$2:$A$3000,$A2,'07_Pallet_Contents'!$I$2:$I$3000))</f>
        <v>0</v>
      </c>
      <c r="Z1995" t="str">
        <f>IF($A2="","",IF(COUNTIF('07_Pallet_Contents'!$A$2:$A$3000,$A2)&gt;0,"Yes",""))</f>
        <v/>
      </c>
    </row>
    <row r="1996" spans="2:26">
      <c r="B1996" s="31"/>
      <c r="G1996" s="34"/>
      <c r="H1996" s="33" t="str">
        <f t="shared" si="39"/>
        <v/>
      </c>
      <c r="I1996" s="31"/>
      <c r="J1996" s="31"/>
      <c r="K1996" s="33"/>
      <c r="W1996">
        <f>IF($A2="","",COUNTIF('07_Pallet_Contents'!$A$2:$A$3000,$A2))</f>
        <v>0</v>
      </c>
      <c r="X1996">
        <f>IF($A2="","",SUMIF('07_Pallet_Contents'!$A$2:$A$3000,$A2,'07_Pallet_Contents'!$D$2:$D$3000))</f>
        <v>0</v>
      </c>
      <c r="Y1996">
        <f>IF($A2="","",SUMIF('07_Pallet_Contents'!$A$2:$A$3000,$A2,'07_Pallet_Contents'!$I$2:$I$3000))</f>
        <v>0</v>
      </c>
      <c r="Z1996" t="str">
        <f>IF($A2="","",IF(COUNTIF('07_Pallet_Contents'!$A$2:$A$3000,$A2)&gt;0,"Yes",""))</f>
        <v/>
      </c>
    </row>
    <row r="1997" spans="2:26">
      <c r="B1997" s="31"/>
      <c r="G1997" s="34"/>
      <c r="H1997" s="33" t="str">
        <f t="shared" si="39"/>
        <v/>
      </c>
      <c r="I1997" s="31"/>
      <c r="J1997" s="31"/>
      <c r="K1997" s="33"/>
      <c r="W1997">
        <f>IF($A2="","",COUNTIF('07_Pallet_Contents'!$A$2:$A$3000,$A2))</f>
        <v>0</v>
      </c>
      <c r="X1997">
        <f>IF($A2="","",SUMIF('07_Pallet_Contents'!$A$2:$A$3000,$A2,'07_Pallet_Contents'!$D$2:$D$3000))</f>
        <v>0</v>
      </c>
      <c r="Y1997">
        <f>IF($A2="","",SUMIF('07_Pallet_Contents'!$A$2:$A$3000,$A2,'07_Pallet_Contents'!$I$2:$I$3000))</f>
        <v>0</v>
      </c>
      <c r="Z1997" t="str">
        <f>IF($A2="","",IF(COUNTIF('07_Pallet_Contents'!$A$2:$A$3000,$A2)&gt;0,"Yes",""))</f>
        <v/>
      </c>
    </row>
    <row r="1998" spans="2:26">
      <c r="B1998" s="31"/>
      <c r="G1998" s="34"/>
      <c r="H1998" s="33" t="str">
        <f t="shared" si="39"/>
        <v/>
      </c>
      <c r="I1998" s="31"/>
      <c r="J1998" s="31"/>
      <c r="K1998" s="33"/>
      <c r="W1998">
        <f>IF($A2="","",COUNTIF('07_Pallet_Contents'!$A$2:$A$3000,$A2))</f>
        <v>0</v>
      </c>
      <c r="X1998">
        <f>IF($A2="","",SUMIF('07_Pallet_Contents'!$A$2:$A$3000,$A2,'07_Pallet_Contents'!$D$2:$D$3000))</f>
        <v>0</v>
      </c>
      <c r="Y1998">
        <f>IF($A2="","",SUMIF('07_Pallet_Contents'!$A$2:$A$3000,$A2,'07_Pallet_Contents'!$I$2:$I$3000))</f>
        <v>0</v>
      </c>
      <c r="Z1998" t="str">
        <f>IF($A2="","",IF(COUNTIF('07_Pallet_Contents'!$A$2:$A$3000,$A2)&gt;0,"Yes",""))</f>
        <v/>
      </c>
    </row>
    <row r="1999" spans="2:26">
      <c r="B1999" s="31"/>
      <c r="G1999" s="34"/>
      <c r="H1999" s="33" t="str">
        <f t="shared" si="39"/>
        <v/>
      </c>
      <c r="I1999" s="31"/>
      <c r="J1999" s="31"/>
      <c r="K1999" s="33"/>
      <c r="W1999">
        <f>IF($A2="","",COUNTIF('07_Pallet_Contents'!$A$2:$A$3000,$A2))</f>
        <v>0</v>
      </c>
      <c r="X1999">
        <f>IF($A2="","",SUMIF('07_Pallet_Contents'!$A$2:$A$3000,$A2,'07_Pallet_Contents'!$D$2:$D$3000))</f>
        <v>0</v>
      </c>
      <c r="Y1999">
        <f>IF($A2="","",SUMIF('07_Pallet_Contents'!$A$2:$A$3000,$A2,'07_Pallet_Contents'!$I$2:$I$3000))</f>
        <v>0</v>
      </c>
      <c r="Z1999" t="str">
        <f>IF($A2="","",IF(COUNTIF('07_Pallet_Contents'!$A$2:$A$3000,$A2)&gt;0,"Yes",""))</f>
        <v/>
      </c>
    </row>
    <row r="2000" spans="2:26">
      <c r="B2000" s="31"/>
      <c r="G2000" s="34"/>
      <c r="H2000" s="33" t="str">
        <f t="shared" si="39"/>
        <v/>
      </c>
      <c r="I2000" s="31"/>
      <c r="J2000" s="31"/>
      <c r="K2000" s="33"/>
      <c r="W2000">
        <f>IF($A2="","",COUNTIF('07_Pallet_Contents'!$A$2:$A$3000,$A2))</f>
        <v>0</v>
      </c>
      <c r="X2000">
        <f>IF($A2="","",SUMIF('07_Pallet_Contents'!$A$2:$A$3000,$A2,'07_Pallet_Contents'!$D$2:$D$3000))</f>
        <v>0</v>
      </c>
      <c r="Y2000">
        <f>IF($A2="","",SUMIF('07_Pallet_Contents'!$A$2:$A$3000,$A2,'07_Pallet_Contents'!$I$2:$I$3000))</f>
        <v>0</v>
      </c>
      <c r="Z2000" t="str">
        <f>IF($A2="","",IF(COUNTIF('07_Pallet_Contents'!$A$2:$A$3000,$A2)&gt;0,"Yes",""))</f>
        <v/>
      </c>
    </row>
    <row r="2001" spans="1:26">
      <c r="B2001" s="31"/>
      <c r="G2001" s="34"/>
      <c r="H2001" s="33" t="str">
        <f t="shared" si="39"/>
        <v/>
      </c>
      <c r="I2001" s="31"/>
      <c r="J2001" s="31"/>
      <c r="K2001" s="33"/>
      <c r="W2001">
        <f>IF($A2="","",COUNTIF('07_Pallet_Contents'!$A$2:$A$3000,$A2))</f>
        <v>0</v>
      </c>
      <c r="X2001">
        <f>IF($A2="","",SUMIF('07_Pallet_Contents'!$A$2:$A$3000,$A2,'07_Pallet_Contents'!$D$2:$D$3000))</f>
        <v>0</v>
      </c>
      <c r="Y2001">
        <f>IF($A2="","",SUMIF('07_Pallet_Contents'!$A$2:$A$3000,$A2,'07_Pallet_Contents'!$I$2:$I$3000))</f>
        <v>0</v>
      </c>
      <c r="Z2001" t="str">
        <f>IF($A2="","",IF(COUNTIF('07_Pallet_Contents'!$A$2:$A$3000,$A2)&gt;0,"Yes",""))</f>
        <v/>
      </c>
    </row>
    <row r="2002" spans="1:26">
      <c r="A2002" t="s">
        <v>813</v>
      </c>
      <c r="B2002" s="31"/>
      <c r="D2002" t="str">
        <f>IF($C2002="","",IFERROR(LOOKUP(2,1/('03_Warehouse_Movements'!$C$2:$C$500=$A2002),'03_Warehouse_Movements'!$E$2:$E$500),$C2002))</f>
        <v/>
      </c>
      <c r="E2002" t="s">
        <v>209</v>
      </c>
      <c r="G2002" s="34"/>
      <c r="H2002" s="33" t="str">
        <f t="shared" si="39"/>
        <v/>
      </c>
      <c r="I2002" s="31"/>
      <c r="J2002" s="31"/>
      <c r="K2002" s="33"/>
      <c r="M2002" s="69" t="str">
        <f>IF($C2002="","",IFERROR(LOOKUP(2,1/('03_Warehouse_Movements'!$C$2:$C$500=$A2002),'03_Warehouse_Movements'!$A$2:$A$500),""))</f>
        <v/>
      </c>
      <c r="N2002" t="str">
        <f>IF($C2002="","",IFERROR(LOOKUP(2,1/('03_Warehouse_Movements'!$C$2:$C$500=$A2002),'03_Warehouse_Movements'!$H$2:$H$500),""))</f>
        <v/>
      </c>
      <c r="O2002" t="str">
        <f>A2002</f>
        <v>LocationCode</v>
      </c>
      <c r="W2002">
        <f>IF($A2="","",COUNTIF('07_Pallet_Contents'!$A$2:$A$3000,$A2))</f>
        <v>0</v>
      </c>
      <c r="X2002">
        <f>IF($A2="","",SUMIF('07_Pallet_Contents'!$A$2:$A$3000,$A2,'07_Pallet_Contents'!$D$2:$D$3000))</f>
        <v>0</v>
      </c>
      <c r="Y2002">
        <f>IF($A2="","",SUMIF('07_Pallet_Contents'!$A$2:$A$3000,$A2,'07_Pallet_Contents'!$I$2:$I$3000))</f>
        <v>0</v>
      </c>
      <c r="Z2002" t="str">
        <f>IF($A2="","",IF(COUNTIF('07_Pallet_Contents'!$A$2:$A$3000,$A2)&gt;0,"Yes",""))</f>
        <v/>
      </c>
    </row>
    <row r="2003" spans="1:26">
      <c r="W2003">
        <f>IF($A2="","",COUNTIF('07_Pallet_Contents'!$A$2:$A$3000,$A2))</f>
        <v>0</v>
      </c>
      <c r="X2003">
        <f>IF($A2="","",SUMIF('07_Pallet_Contents'!$A$2:$A$3000,$A2,'07_Pallet_Contents'!$D$2:$D$3000))</f>
        <v>0</v>
      </c>
      <c r="Y2003">
        <f>IF($A2="","",SUMIF('07_Pallet_Contents'!$A$2:$A$3000,$A2,'07_Pallet_Contents'!$I$2:$I$3000))</f>
        <v>0</v>
      </c>
      <c r="Z2003" t="str">
        <f>IF($A2="","",IF(COUNTIF('07_Pallet_Contents'!$A$2:$A$3000,$A2)&gt;0,"Yes",""))</f>
        <v/>
      </c>
    </row>
    <row r="2004" spans="1:26">
      <c r="W2004">
        <f>IF($A2="","",COUNTIF('07_Pallet_Contents'!$A$2:$A$3000,$A2))</f>
        <v>0</v>
      </c>
      <c r="X2004">
        <f>IF($A2="","",SUMIF('07_Pallet_Contents'!$A$2:$A$3000,$A2,'07_Pallet_Contents'!$D$2:$D$3000))</f>
        <v>0</v>
      </c>
      <c r="Y2004">
        <f>IF($A2="","",SUMIF('07_Pallet_Contents'!$A$2:$A$3000,$A2,'07_Pallet_Contents'!$I$2:$I$3000))</f>
        <v>0</v>
      </c>
      <c r="Z2004" t="str">
        <f>IF($A2="","",IF(COUNTIF('07_Pallet_Contents'!$A$2:$A$3000,$A2)&gt;0,"Yes",""))</f>
        <v/>
      </c>
    </row>
    <row r="2005" spans="1:26">
      <c r="W2005">
        <f>IF($A2="","",COUNTIF('07_Pallet_Contents'!$A$2:$A$3000,$A2))</f>
        <v>0</v>
      </c>
      <c r="X2005">
        <f>IF($A2="","",SUMIF('07_Pallet_Contents'!$A$2:$A$3000,$A2,'07_Pallet_Contents'!$D$2:$D$3000))</f>
        <v>0</v>
      </c>
      <c r="Y2005">
        <f>IF($A2="","",SUMIF('07_Pallet_Contents'!$A$2:$A$3000,$A2,'07_Pallet_Contents'!$I$2:$I$3000))</f>
        <v>0</v>
      </c>
      <c r="Z2005" t="str">
        <f>IF($A2="","",IF(COUNTIF('07_Pallet_Contents'!$A$2:$A$3000,$A2)&gt;0,"Yes",""))</f>
        <v/>
      </c>
    </row>
    <row r="2006" spans="1:26">
      <c r="W2006">
        <f>IF($A2="","",COUNTIF('07_Pallet_Contents'!$A$2:$A$3000,$A2))</f>
        <v>0</v>
      </c>
      <c r="X2006">
        <f>IF($A2="","",SUMIF('07_Pallet_Contents'!$A$2:$A$3000,$A2,'07_Pallet_Contents'!$D$2:$D$3000))</f>
        <v>0</v>
      </c>
      <c r="Y2006">
        <f>IF($A2="","",SUMIF('07_Pallet_Contents'!$A$2:$A$3000,$A2,'07_Pallet_Contents'!$I$2:$I$3000))</f>
        <v>0</v>
      </c>
      <c r="Z2006" t="str">
        <f>IF($A2="","",IF(COUNTIF('07_Pallet_Contents'!$A$2:$A$3000,$A2)&gt;0,"Yes",""))</f>
        <v/>
      </c>
    </row>
    <row r="2007" spans="1:26">
      <c r="W2007">
        <f>IF($A2="","",COUNTIF('07_Pallet_Contents'!$A$2:$A$3000,$A2))</f>
        <v>0</v>
      </c>
      <c r="X2007">
        <f>IF($A2="","",SUMIF('07_Pallet_Contents'!$A$2:$A$3000,$A2,'07_Pallet_Contents'!$D$2:$D$3000))</f>
        <v>0</v>
      </c>
      <c r="Y2007">
        <f>IF($A2="","",SUMIF('07_Pallet_Contents'!$A$2:$A$3000,$A2,'07_Pallet_Contents'!$I$2:$I$3000))</f>
        <v>0</v>
      </c>
      <c r="Z2007" t="str">
        <f>IF($A2="","",IF(COUNTIF('07_Pallet_Contents'!$A$2:$A$3000,$A2)&gt;0,"Yes",""))</f>
        <v/>
      </c>
    </row>
    <row r="2008" spans="1:26">
      <c r="W2008">
        <f>IF($A2="","",COUNTIF('07_Pallet_Contents'!$A$2:$A$3000,$A2))</f>
        <v>0</v>
      </c>
      <c r="X2008">
        <f>IF($A2="","",SUMIF('07_Pallet_Contents'!$A$2:$A$3000,$A2,'07_Pallet_Contents'!$D$2:$D$3000))</f>
        <v>0</v>
      </c>
      <c r="Y2008">
        <f>IF($A2="","",SUMIF('07_Pallet_Contents'!$A$2:$A$3000,$A2,'07_Pallet_Contents'!$I$2:$I$3000))</f>
        <v>0</v>
      </c>
      <c r="Z2008" t="str">
        <f>IF($A2="","",IF(COUNTIF('07_Pallet_Contents'!$A$2:$A$3000,$A2)&gt;0,"Yes",""))</f>
        <v/>
      </c>
    </row>
    <row r="2009" spans="1:26">
      <c r="W2009">
        <f>IF($A2="","",COUNTIF('07_Pallet_Contents'!$A$2:$A$3000,$A2))</f>
        <v>0</v>
      </c>
      <c r="X2009">
        <f>IF($A2="","",SUMIF('07_Pallet_Contents'!$A$2:$A$3000,$A2,'07_Pallet_Contents'!$D$2:$D$3000))</f>
        <v>0</v>
      </c>
      <c r="Y2009">
        <f>IF($A2="","",SUMIF('07_Pallet_Contents'!$A$2:$A$3000,$A2,'07_Pallet_Contents'!$I$2:$I$3000))</f>
        <v>0</v>
      </c>
      <c r="Z2009" t="str">
        <f>IF($A2="","",IF(COUNTIF('07_Pallet_Contents'!$A$2:$A$3000,$A2)&gt;0,"Yes",""))</f>
        <v/>
      </c>
    </row>
    <row r="2010" spans="1:26">
      <c r="W2010">
        <f>IF($A2="","",COUNTIF('07_Pallet_Contents'!$A$2:$A$3000,$A2))</f>
        <v>0</v>
      </c>
      <c r="X2010">
        <f>IF($A2="","",SUMIF('07_Pallet_Contents'!$A$2:$A$3000,$A2,'07_Pallet_Contents'!$D$2:$D$3000))</f>
        <v>0</v>
      </c>
      <c r="Y2010">
        <f>IF($A2="","",SUMIF('07_Pallet_Contents'!$A$2:$A$3000,$A2,'07_Pallet_Contents'!$I$2:$I$3000))</f>
        <v>0</v>
      </c>
      <c r="Z2010" t="str">
        <f>IF($A2="","",IF(COUNTIF('07_Pallet_Contents'!$A$2:$A$3000,$A2)&gt;0,"Yes",""))</f>
        <v/>
      </c>
    </row>
    <row r="2011" spans="1:26">
      <c r="W2011">
        <f>IF($A2="","",COUNTIF('07_Pallet_Contents'!$A$2:$A$3000,$A2))</f>
        <v>0</v>
      </c>
      <c r="X2011">
        <f>IF($A2="","",SUMIF('07_Pallet_Contents'!$A$2:$A$3000,$A2,'07_Pallet_Contents'!$D$2:$D$3000))</f>
        <v>0</v>
      </c>
      <c r="Y2011">
        <f>IF($A2="","",SUMIF('07_Pallet_Contents'!$A$2:$A$3000,$A2,'07_Pallet_Contents'!$I$2:$I$3000))</f>
        <v>0</v>
      </c>
      <c r="Z2011" t="str">
        <f>IF($A2="","",IF(COUNTIF('07_Pallet_Contents'!$A$2:$A$3000,$A2)&gt;0,"Yes",""))</f>
        <v/>
      </c>
    </row>
    <row r="2012" spans="1:26">
      <c r="W2012">
        <f>IF($A2="","",COUNTIF('07_Pallet_Contents'!$A$2:$A$3000,$A2))</f>
        <v>0</v>
      </c>
      <c r="X2012">
        <f>IF($A2="","",SUMIF('07_Pallet_Contents'!$A$2:$A$3000,$A2,'07_Pallet_Contents'!$D$2:$D$3000))</f>
        <v>0</v>
      </c>
      <c r="Y2012">
        <f>IF($A2="","",SUMIF('07_Pallet_Contents'!$A$2:$A$3000,$A2,'07_Pallet_Contents'!$I$2:$I$3000))</f>
        <v>0</v>
      </c>
      <c r="Z2012" t="str">
        <f>IF($A2="","",IF(COUNTIF('07_Pallet_Contents'!$A$2:$A$3000,$A2)&gt;0,"Yes",""))</f>
        <v/>
      </c>
    </row>
    <row r="2013" spans="1:26">
      <c r="W2013">
        <f>IF($A2="","",COUNTIF('07_Pallet_Contents'!$A$2:$A$3000,$A2))</f>
        <v>0</v>
      </c>
      <c r="X2013">
        <f>IF($A2="","",SUMIF('07_Pallet_Contents'!$A$2:$A$3000,$A2,'07_Pallet_Contents'!$D$2:$D$3000))</f>
        <v>0</v>
      </c>
      <c r="Y2013">
        <f>IF($A2="","",SUMIF('07_Pallet_Contents'!$A$2:$A$3000,$A2,'07_Pallet_Contents'!$I$2:$I$3000))</f>
        <v>0</v>
      </c>
      <c r="Z2013" t="str">
        <f>IF($A2="","",IF(COUNTIF('07_Pallet_Contents'!$A$2:$A$3000,$A2)&gt;0,"Yes",""))</f>
        <v/>
      </c>
    </row>
    <row r="2014" spans="1:26">
      <c r="W2014">
        <f>IF($A2="","",COUNTIF('07_Pallet_Contents'!$A$2:$A$3000,$A2))</f>
        <v>0</v>
      </c>
      <c r="X2014">
        <f>IF($A2="","",SUMIF('07_Pallet_Contents'!$A$2:$A$3000,$A2,'07_Pallet_Contents'!$D$2:$D$3000))</f>
        <v>0</v>
      </c>
      <c r="Y2014">
        <f>IF($A2="","",SUMIF('07_Pallet_Contents'!$A$2:$A$3000,$A2,'07_Pallet_Contents'!$I$2:$I$3000))</f>
        <v>0</v>
      </c>
      <c r="Z2014" t="str">
        <f>IF($A2="","",IF(COUNTIF('07_Pallet_Contents'!$A$2:$A$3000,$A2)&gt;0,"Yes",""))</f>
        <v/>
      </c>
    </row>
    <row r="2015" spans="1:26">
      <c r="W2015">
        <f>IF($A2="","",COUNTIF('07_Pallet_Contents'!$A$2:$A$3000,$A2))</f>
        <v>0</v>
      </c>
      <c r="X2015">
        <f>IF($A2="","",SUMIF('07_Pallet_Contents'!$A$2:$A$3000,$A2,'07_Pallet_Contents'!$D$2:$D$3000))</f>
        <v>0</v>
      </c>
      <c r="Y2015">
        <f>IF($A2="","",SUMIF('07_Pallet_Contents'!$A$2:$A$3000,$A2,'07_Pallet_Contents'!$I$2:$I$3000))</f>
        <v>0</v>
      </c>
      <c r="Z2015" t="str">
        <f>IF($A2="","",IF(COUNTIF('07_Pallet_Contents'!$A$2:$A$3000,$A2)&gt;0,"Yes",""))</f>
        <v/>
      </c>
    </row>
    <row r="2016" spans="1:26">
      <c r="W2016">
        <f>IF($A2="","",COUNTIF('07_Pallet_Contents'!$A$2:$A$3000,$A2))</f>
        <v>0</v>
      </c>
      <c r="X2016">
        <f>IF($A2="","",SUMIF('07_Pallet_Contents'!$A$2:$A$3000,$A2,'07_Pallet_Contents'!$D$2:$D$3000))</f>
        <v>0</v>
      </c>
      <c r="Y2016">
        <f>IF($A2="","",SUMIF('07_Pallet_Contents'!$A$2:$A$3000,$A2,'07_Pallet_Contents'!$I$2:$I$3000))</f>
        <v>0</v>
      </c>
      <c r="Z2016" t="str">
        <f>IF($A2="","",IF(COUNTIF('07_Pallet_Contents'!$A$2:$A$3000,$A2)&gt;0,"Yes",""))</f>
        <v/>
      </c>
    </row>
    <row r="2017" spans="23:26">
      <c r="W2017">
        <f>IF($A2="","",COUNTIF('07_Pallet_Contents'!$A$2:$A$3000,$A2))</f>
        <v>0</v>
      </c>
      <c r="X2017">
        <f>IF($A2="","",SUMIF('07_Pallet_Contents'!$A$2:$A$3000,$A2,'07_Pallet_Contents'!$D$2:$D$3000))</f>
        <v>0</v>
      </c>
      <c r="Y2017">
        <f>IF($A2="","",SUMIF('07_Pallet_Contents'!$A$2:$A$3000,$A2,'07_Pallet_Contents'!$I$2:$I$3000))</f>
        <v>0</v>
      </c>
      <c r="Z2017" t="str">
        <f>IF($A2="","",IF(COUNTIF('07_Pallet_Contents'!$A$2:$A$3000,$A2)&gt;0,"Yes",""))</f>
        <v/>
      </c>
    </row>
    <row r="2018" spans="23:26">
      <c r="W2018">
        <f>IF($A2="","",COUNTIF('07_Pallet_Contents'!$A$2:$A$3000,$A2))</f>
        <v>0</v>
      </c>
      <c r="X2018">
        <f>IF($A2="","",SUMIF('07_Pallet_Contents'!$A$2:$A$3000,$A2,'07_Pallet_Contents'!$D$2:$D$3000))</f>
        <v>0</v>
      </c>
      <c r="Y2018">
        <f>IF($A2="","",SUMIF('07_Pallet_Contents'!$A$2:$A$3000,$A2,'07_Pallet_Contents'!$I$2:$I$3000))</f>
        <v>0</v>
      </c>
      <c r="Z2018" t="str">
        <f>IF($A2="","",IF(COUNTIF('07_Pallet_Contents'!$A$2:$A$3000,$A2)&gt;0,"Yes",""))</f>
        <v/>
      </c>
    </row>
    <row r="2019" spans="23:26">
      <c r="W2019">
        <f>IF($A2="","",COUNTIF('07_Pallet_Contents'!$A$2:$A$3000,$A2))</f>
        <v>0</v>
      </c>
      <c r="X2019">
        <f>IF($A2="","",SUMIF('07_Pallet_Contents'!$A$2:$A$3000,$A2,'07_Pallet_Contents'!$D$2:$D$3000))</f>
        <v>0</v>
      </c>
      <c r="Y2019">
        <f>IF($A2="","",SUMIF('07_Pallet_Contents'!$A$2:$A$3000,$A2,'07_Pallet_Contents'!$I$2:$I$3000))</f>
        <v>0</v>
      </c>
      <c r="Z2019" t="str">
        <f>IF($A2="","",IF(COUNTIF('07_Pallet_Contents'!$A$2:$A$3000,$A2)&gt;0,"Yes",""))</f>
        <v/>
      </c>
    </row>
    <row r="2020" spans="23:26">
      <c r="W2020">
        <f>IF($A2="","",COUNTIF('07_Pallet_Contents'!$A$2:$A$3000,$A2))</f>
        <v>0</v>
      </c>
      <c r="X2020">
        <f>IF($A2="","",SUMIF('07_Pallet_Contents'!$A$2:$A$3000,$A2,'07_Pallet_Contents'!$D$2:$D$3000))</f>
        <v>0</v>
      </c>
      <c r="Y2020">
        <f>IF($A2="","",SUMIF('07_Pallet_Contents'!$A$2:$A$3000,$A2,'07_Pallet_Contents'!$I$2:$I$3000))</f>
        <v>0</v>
      </c>
      <c r="Z2020" t="str">
        <f>IF($A2="","",IF(COUNTIF('07_Pallet_Contents'!$A$2:$A$3000,$A2)&gt;0,"Yes",""))</f>
        <v/>
      </c>
    </row>
    <row r="2021" spans="23:26">
      <c r="W2021">
        <f>IF($A2="","",COUNTIF('07_Pallet_Contents'!$A$2:$A$3000,$A2))</f>
        <v>0</v>
      </c>
      <c r="X2021">
        <f>IF($A2="","",SUMIF('07_Pallet_Contents'!$A$2:$A$3000,$A2,'07_Pallet_Contents'!$D$2:$D$3000))</f>
        <v>0</v>
      </c>
      <c r="Y2021">
        <f>IF($A2="","",SUMIF('07_Pallet_Contents'!$A$2:$A$3000,$A2,'07_Pallet_Contents'!$I$2:$I$3000))</f>
        <v>0</v>
      </c>
      <c r="Z2021" t="str">
        <f>IF($A2="","",IF(COUNTIF('07_Pallet_Contents'!$A$2:$A$3000,$A2)&gt;0,"Yes",""))</f>
        <v/>
      </c>
    </row>
    <row r="2022" spans="23:26">
      <c r="W2022">
        <f>IF($A2="","",COUNTIF('07_Pallet_Contents'!$A$2:$A$3000,$A2))</f>
        <v>0</v>
      </c>
      <c r="X2022">
        <f>IF($A2="","",SUMIF('07_Pallet_Contents'!$A$2:$A$3000,$A2,'07_Pallet_Contents'!$D$2:$D$3000))</f>
        <v>0</v>
      </c>
      <c r="Y2022">
        <f>IF($A2="","",SUMIF('07_Pallet_Contents'!$A$2:$A$3000,$A2,'07_Pallet_Contents'!$I$2:$I$3000))</f>
        <v>0</v>
      </c>
      <c r="Z2022" t="str">
        <f>IF($A2="","",IF(COUNTIF('07_Pallet_Contents'!$A$2:$A$3000,$A2)&gt;0,"Yes",""))</f>
        <v/>
      </c>
    </row>
    <row r="2023" spans="23:26">
      <c r="W2023">
        <f>IF($A2="","",COUNTIF('07_Pallet_Contents'!$A$2:$A$3000,$A2))</f>
        <v>0</v>
      </c>
      <c r="X2023">
        <f>IF($A2="","",SUMIF('07_Pallet_Contents'!$A$2:$A$3000,$A2,'07_Pallet_Contents'!$D$2:$D$3000))</f>
        <v>0</v>
      </c>
      <c r="Y2023">
        <f>IF($A2="","",SUMIF('07_Pallet_Contents'!$A$2:$A$3000,$A2,'07_Pallet_Contents'!$I$2:$I$3000))</f>
        <v>0</v>
      </c>
      <c r="Z2023" t="str">
        <f>IF($A2="","",IF(COUNTIF('07_Pallet_Contents'!$A$2:$A$3000,$A2)&gt;0,"Yes",""))</f>
        <v/>
      </c>
    </row>
    <row r="2024" spans="23:26">
      <c r="W2024">
        <f>IF($A2="","",COUNTIF('07_Pallet_Contents'!$A$2:$A$3000,$A2))</f>
        <v>0</v>
      </c>
      <c r="X2024">
        <f>IF($A2="","",SUMIF('07_Pallet_Contents'!$A$2:$A$3000,$A2,'07_Pallet_Contents'!$D$2:$D$3000))</f>
        <v>0</v>
      </c>
      <c r="Y2024">
        <f>IF($A2="","",SUMIF('07_Pallet_Contents'!$A$2:$A$3000,$A2,'07_Pallet_Contents'!$I$2:$I$3000))</f>
        <v>0</v>
      </c>
      <c r="Z2024" t="str">
        <f>IF($A2="","",IF(COUNTIF('07_Pallet_Contents'!$A$2:$A$3000,$A2)&gt;0,"Yes",""))</f>
        <v/>
      </c>
    </row>
    <row r="2025" spans="23:26">
      <c r="W2025">
        <f>IF($A2="","",COUNTIF('07_Pallet_Contents'!$A$2:$A$3000,$A2))</f>
        <v>0</v>
      </c>
      <c r="X2025">
        <f>IF($A2="","",SUMIF('07_Pallet_Contents'!$A$2:$A$3000,$A2,'07_Pallet_Contents'!$D$2:$D$3000))</f>
        <v>0</v>
      </c>
      <c r="Y2025">
        <f>IF($A2="","",SUMIF('07_Pallet_Contents'!$A$2:$A$3000,$A2,'07_Pallet_Contents'!$I$2:$I$3000))</f>
        <v>0</v>
      </c>
      <c r="Z2025" t="str">
        <f>IF($A2="","",IF(COUNTIF('07_Pallet_Contents'!$A$2:$A$3000,$A2)&gt;0,"Yes",""))</f>
        <v/>
      </c>
    </row>
    <row r="2026" spans="23:26">
      <c r="W2026">
        <f>IF($A2="","",COUNTIF('07_Pallet_Contents'!$A$2:$A$3000,$A2))</f>
        <v>0</v>
      </c>
      <c r="X2026">
        <f>IF($A2="","",SUMIF('07_Pallet_Contents'!$A$2:$A$3000,$A2,'07_Pallet_Contents'!$D$2:$D$3000))</f>
        <v>0</v>
      </c>
      <c r="Y2026">
        <f>IF($A2="","",SUMIF('07_Pallet_Contents'!$A$2:$A$3000,$A2,'07_Pallet_Contents'!$I$2:$I$3000))</f>
        <v>0</v>
      </c>
      <c r="Z2026" t="str">
        <f>IF($A2="","",IF(COUNTIF('07_Pallet_Contents'!$A$2:$A$3000,$A2)&gt;0,"Yes",""))</f>
        <v/>
      </c>
    </row>
    <row r="2027" spans="23:26">
      <c r="W2027">
        <f>IF($A2="","",COUNTIF('07_Pallet_Contents'!$A$2:$A$3000,$A2))</f>
        <v>0</v>
      </c>
      <c r="X2027">
        <f>IF($A2="","",SUMIF('07_Pallet_Contents'!$A$2:$A$3000,$A2,'07_Pallet_Contents'!$D$2:$D$3000))</f>
        <v>0</v>
      </c>
      <c r="Y2027">
        <f>IF($A2="","",SUMIF('07_Pallet_Contents'!$A$2:$A$3000,$A2,'07_Pallet_Contents'!$I$2:$I$3000))</f>
        <v>0</v>
      </c>
      <c r="Z2027" t="str">
        <f>IF($A2="","",IF(COUNTIF('07_Pallet_Contents'!$A$2:$A$3000,$A2)&gt;0,"Yes",""))</f>
        <v/>
      </c>
    </row>
    <row r="2028" spans="23:26">
      <c r="W2028">
        <f>IF($A2="","",COUNTIF('07_Pallet_Contents'!$A$2:$A$3000,$A2))</f>
        <v>0</v>
      </c>
      <c r="X2028">
        <f>IF($A2="","",SUMIF('07_Pallet_Contents'!$A$2:$A$3000,$A2,'07_Pallet_Contents'!$D$2:$D$3000))</f>
        <v>0</v>
      </c>
      <c r="Y2028">
        <f>IF($A2="","",SUMIF('07_Pallet_Contents'!$A$2:$A$3000,$A2,'07_Pallet_Contents'!$I$2:$I$3000))</f>
        <v>0</v>
      </c>
      <c r="Z2028" t="str">
        <f>IF($A2="","",IF(COUNTIF('07_Pallet_Contents'!$A$2:$A$3000,$A2)&gt;0,"Yes",""))</f>
        <v/>
      </c>
    </row>
    <row r="2029" spans="23:26">
      <c r="W2029">
        <f>IF($A2="","",COUNTIF('07_Pallet_Contents'!$A$2:$A$3000,$A2))</f>
        <v>0</v>
      </c>
      <c r="X2029">
        <f>IF($A2="","",SUMIF('07_Pallet_Contents'!$A$2:$A$3000,$A2,'07_Pallet_Contents'!$D$2:$D$3000))</f>
        <v>0</v>
      </c>
      <c r="Y2029">
        <f>IF($A2="","",SUMIF('07_Pallet_Contents'!$A$2:$A$3000,$A2,'07_Pallet_Contents'!$I$2:$I$3000))</f>
        <v>0</v>
      </c>
      <c r="Z2029" t="str">
        <f>IF($A2="","",IF(COUNTIF('07_Pallet_Contents'!$A$2:$A$3000,$A2)&gt;0,"Yes",""))</f>
        <v/>
      </c>
    </row>
    <row r="2030" spans="23:26">
      <c r="W2030">
        <f>IF($A2="","",COUNTIF('07_Pallet_Contents'!$A$2:$A$3000,$A2))</f>
        <v>0</v>
      </c>
      <c r="X2030">
        <f>IF($A2="","",SUMIF('07_Pallet_Contents'!$A$2:$A$3000,$A2,'07_Pallet_Contents'!$D$2:$D$3000))</f>
        <v>0</v>
      </c>
      <c r="Y2030">
        <f>IF($A2="","",SUMIF('07_Pallet_Contents'!$A$2:$A$3000,$A2,'07_Pallet_Contents'!$I$2:$I$3000))</f>
        <v>0</v>
      </c>
      <c r="Z2030" t="str">
        <f>IF($A2="","",IF(COUNTIF('07_Pallet_Contents'!$A$2:$A$3000,$A2)&gt;0,"Yes",""))</f>
        <v/>
      </c>
    </row>
    <row r="2031" spans="23:26">
      <c r="W2031">
        <f>IF($A2="","",COUNTIF('07_Pallet_Contents'!$A$2:$A$3000,$A2))</f>
        <v>0</v>
      </c>
      <c r="X2031">
        <f>IF($A2="","",SUMIF('07_Pallet_Contents'!$A$2:$A$3000,$A2,'07_Pallet_Contents'!$D$2:$D$3000))</f>
        <v>0</v>
      </c>
      <c r="Y2031">
        <f>IF($A2="","",SUMIF('07_Pallet_Contents'!$A$2:$A$3000,$A2,'07_Pallet_Contents'!$I$2:$I$3000))</f>
        <v>0</v>
      </c>
      <c r="Z2031" t="str">
        <f>IF($A2="","",IF(COUNTIF('07_Pallet_Contents'!$A$2:$A$3000,$A2)&gt;0,"Yes",""))</f>
        <v/>
      </c>
    </row>
    <row r="2032" spans="23:26">
      <c r="W2032">
        <f>IF($A2="","",COUNTIF('07_Pallet_Contents'!$A$2:$A$3000,$A2))</f>
        <v>0</v>
      </c>
      <c r="X2032">
        <f>IF($A2="","",SUMIF('07_Pallet_Contents'!$A$2:$A$3000,$A2,'07_Pallet_Contents'!$D$2:$D$3000))</f>
        <v>0</v>
      </c>
      <c r="Y2032">
        <f>IF($A2="","",SUMIF('07_Pallet_Contents'!$A$2:$A$3000,$A2,'07_Pallet_Contents'!$I$2:$I$3000))</f>
        <v>0</v>
      </c>
      <c r="Z2032" t="str">
        <f>IF($A2="","",IF(COUNTIF('07_Pallet_Contents'!$A$2:$A$3000,$A2)&gt;0,"Yes",""))</f>
        <v/>
      </c>
    </row>
    <row r="2033" spans="23:26">
      <c r="W2033">
        <f>IF($A2="","",COUNTIF('07_Pallet_Contents'!$A$2:$A$3000,$A2))</f>
        <v>0</v>
      </c>
      <c r="X2033">
        <f>IF($A2="","",SUMIF('07_Pallet_Contents'!$A$2:$A$3000,$A2,'07_Pallet_Contents'!$D$2:$D$3000))</f>
        <v>0</v>
      </c>
      <c r="Y2033">
        <f>IF($A2="","",SUMIF('07_Pallet_Contents'!$A$2:$A$3000,$A2,'07_Pallet_Contents'!$I$2:$I$3000))</f>
        <v>0</v>
      </c>
      <c r="Z2033" t="str">
        <f>IF($A2="","",IF(COUNTIF('07_Pallet_Contents'!$A$2:$A$3000,$A2)&gt;0,"Yes",""))</f>
        <v/>
      </c>
    </row>
    <row r="2034" spans="23:26">
      <c r="W2034">
        <f>IF($A2="","",COUNTIF('07_Pallet_Contents'!$A$2:$A$3000,$A2))</f>
        <v>0</v>
      </c>
      <c r="X2034">
        <f>IF($A2="","",SUMIF('07_Pallet_Contents'!$A$2:$A$3000,$A2,'07_Pallet_Contents'!$D$2:$D$3000))</f>
        <v>0</v>
      </c>
      <c r="Y2034">
        <f>IF($A2="","",SUMIF('07_Pallet_Contents'!$A$2:$A$3000,$A2,'07_Pallet_Contents'!$I$2:$I$3000))</f>
        <v>0</v>
      </c>
      <c r="Z2034" t="str">
        <f>IF($A2="","",IF(COUNTIF('07_Pallet_Contents'!$A$2:$A$3000,$A2)&gt;0,"Yes",""))</f>
        <v/>
      </c>
    </row>
    <row r="2035" spans="23:26">
      <c r="W2035">
        <f>IF($A2="","",COUNTIF('07_Pallet_Contents'!$A$2:$A$3000,$A2))</f>
        <v>0</v>
      </c>
      <c r="X2035">
        <f>IF($A2="","",SUMIF('07_Pallet_Contents'!$A$2:$A$3000,$A2,'07_Pallet_Contents'!$D$2:$D$3000))</f>
        <v>0</v>
      </c>
      <c r="Y2035">
        <f>IF($A2="","",SUMIF('07_Pallet_Contents'!$A$2:$A$3000,$A2,'07_Pallet_Contents'!$I$2:$I$3000))</f>
        <v>0</v>
      </c>
      <c r="Z2035" t="str">
        <f>IF($A2="","",IF(COUNTIF('07_Pallet_Contents'!$A$2:$A$3000,$A2)&gt;0,"Yes",""))</f>
        <v/>
      </c>
    </row>
    <row r="2036" spans="23:26">
      <c r="W2036">
        <f>IF($A2="","",COUNTIF('07_Pallet_Contents'!$A$2:$A$3000,$A2))</f>
        <v>0</v>
      </c>
      <c r="X2036">
        <f>IF($A2="","",SUMIF('07_Pallet_Contents'!$A$2:$A$3000,$A2,'07_Pallet_Contents'!$D$2:$D$3000))</f>
        <v>0</v>
      </c>
      <c r="Y2036">
        <f>IF($A2="","",SUMIF('07_Pallet_Contents'!$A$2:$A$3000,$A2,'07_Pallet_Contents'!$I$2:$I$3000))</f>
        <v>0</v>
      </c>
      <c r="Z2036" t="str">
        <f>IF($A2="","",IF(COUNTIF('07_Pallet_Contents'!$A$2:$A$3000,$A2)&gt;0,"Yes",""))</f>
        <v/>
      </c>
    </row>
    <row r="2037" spans="23:26">
      <c r="W2037">
        <f>IF($A2="","",COUNTIF('07_Pallet_Contents'!$A$2:$A$3000,$A2))</f>
        <v>0</v>
      </c>
      <c r="X2037">
        <f>IF($A2="","",SUMIF('07_Pallet_Contents'!$A$2:$A$3000,$A2,'07_Pallet_Contents'!$D$2:$D$3000))</f>
        <v>0</v>
      </c>
      <c r="Y2037">
        <f>IF($A2="","",SUMIF('07_Pallet_Contents'!$A$2:$A$3000,$A2,'07_Pallet_Contents'!$I$2:$I$3000))</f>
        <v>0</v>
      </c>
      <c r="Z2037" t="str">
        <f>IF($A2="","",IF(COUNTIF('07_Pallet_Contents'!$A$2:$A$3000,$A2)&gt;0,"Yes",""))</f>
        <v/>
      </c>
    </row>
    <row r="2038" spans="23:26">
      <c r="W2038">
        <f>IF($A2="","",COUNTIF('07_Pallet_Contents'!$A$2:$A$3000,$A2))</f>
        <v>0</v>
      </c>
      <c r="X2038">
        <f>IF($A2="","",SUMIF('07_Pallet_Contents'!$A$2:$A$3000,$A2,'07_Pallet_Contents'!$D$2:$D$3000))</f>
        <v>0</v>
      </c>
      <c r="Y2038">
        <f>IF($A2="","",SUMIF('07_Pallet_Contents'!$A$2:$A$3000,$A2,'07_Pallet_Contents'!$I$2:$I$3000))</f>
        <v>0</v>
      </c>
      <c r="Z2038" t="str">
        <f>IF($A2="","",IF(COUNTIF('07_Pallet_Contents'!$A$2:$A$3000,$A2)&gt;0,"Yes",""))</f>
        <v/>
      </c>
    </row>
    <row r="2039" spans="23:26">
      <c r="W2039">
        <f>IF($A2="","",COUNTIF('07_Pallet_Contents'!$A$2:$A$3000,$A2))</f>
        <v>0</v>
      </c>
      <c r="X2039">
        <f>IF($A2="","",SUMIF('07_Pallet_Contents'!$A$2:$A$3000,$A2,'07_Pallet_Contents'!$D$2:$D$3000))</f>
        <v>0</v>
      </c>
      <c r="Y2039">
        <f>IF($A2="","",SUMIF('07_Pallet_Contents'!$A$2:$A$3000,$A2,'07_Pallet_Contents'!$I$2:$I$3000))</f>
        <v>0</v>
      </c>
      <c r="Z2039" t="str">
        <f>IF($A2="","",IF(COUNTIF('07_Pallet_Contents'!$A$2:$A$3000,$A2)&gt;0,"Yes",""))</f>
        <v/>
      </c>
    </row>
    <row r="2040" spans="23:26">
      <c r="W2040">
        <f>IF($A2="","",COUNTIF('07_Pallet_Contents'!$A$2:$A$3000,$A2))</f>
        <v>0</v>
      </c>
      <c r="X2040">
        <f>IF($A2="","",SUMIF('07_Pallet_Contents'!$A$2:$A$3000,$A2,'07_Pallet_Contents'!$D$2:$D$3000))</f>
        <v>0</v>
      </c>
      <c r="Y2040">
        <f>IF($A2="","",SUMIF('07_Pallet_Contents'!$A$2:$A$3000,$A2,'07_Pallet_Contents'!$I$2:$I$3000))</f>
        <v>0</v>
      </c>
      <c r="Z2040" t="str">
        <f>IF($A2="","",IF(COUNTIF('07_Pallet_Contents'!$A$2:$A$3000,$A2)&gt;0,"Yes",""))</f>
        <v/>
      </c>
    </row>
    <row r="2041" spans="23:26">
      <c r="W2041">
        <f>IF($A2="","",COUNTIF('07_Pallet_Contents'!$A$2:$A$3000,$A2))</f>
        <v>0</v>
      </c>
      <c r="X2041">
        <f>IF($A2="","",SUMIF('07_Pallet_Contents'!$A$2:$A$3000,$A2,'07_Pallet_Contents'!$D$2:$D$3000))</f>
        <v>0</v>
      </c>
      <c r="Y2041">
        <f>IF($A2="","",SUMIF('07_Pallet_Contents'!$A$2:$A$3000,$A2,'07_Pallet_Contents'!$I$2:$I$3000))</f>
        <v>0</v>
      </c>
      <c r="Z2041" t="str">
        <f>IF($A2="","",IF(COUNTIF('07_Pallet_Contents'!$A$2:$A$3000,$A2)&gt;0,"Yes",""))</f>
        <v/>
      </c>
    </row>
    <row r="2042" spans="23:26">
      <c r="W2042">
        <f>IF($A2="","",COUNTIF('07_Pallet_Contents'!$A$2:$A$3000,$A2))</f>
        <v>0</v>
      </c>
      <c r="X2042">
        <f>IF($A2="","",SUMIF('07_Pallet_Contents'!$A$2:$A$3000,$A2,'07_Pallet_Contents'!$D$2:$D$3000))</f>
        <v>0</v>
      </c>
      <c r="Y2042">
        <f>IF($A2="","",SUMIF('07_Pallet_Contents'!$A$2:$A$3000,$A2,'07_Pallet_Contents'!$I$2:$I$3000))</f>
        <v>0</v>
      </c>
      <c r="Z2042" t="str">
        <f>IF($A2="","",IF(COUNTIF('07_Pallet_Contents'!$A$2:$A$3000,$A2)&gt;0,"Yes",""))</f>
        <v/>
      </c>
    </row>
    <row r="2043" spans="23:26">
      <c r="W2043">
        <f>IF($A2="","",COUNTIF('07_Pallet_Contents'!$A$2:$A$3000,$A2))</f>
        <v>0</v>
      </c>
      <c r="X2043">
        <f>IF($A2="","",SUMIF('07_Pallet_Contents'!$A$2:$A$3000,$A2,'07_Pallet_Contents'!$D$2:$D$3000))</f>
        <v>0</v>
      </c>
      <c r="Y2043">
        <f>IF($A2="","",SUMIF('07_Pallet_Contents'!$A$2:$A$3000,$A2,'07_Pallet_Contents'!$I$2:$I$3000))</f>
        <v>0</v>
      </c>
      <c r="Z2043" t="str">
        <f>IF($A2="","",IF(COUNTIF('07_Pallet_Contents'!$A$2:$A$3000,$A2)&gt;0,"Yes",""))</f>
        <v/>
      </c>
    </row>
    <row r="2044" spans="23:26">
      <c r="W2044">
        <f>IF($A2="","",COUNTIF('07_Pallet_Contents'!$A$2:$A$3000,$A2))</f>
        <v>0</v>
      </c>
      <c r="X2044">
        <f>IF($A2="","",SUMIF('07_Pallet_Contents'!$A$2:$A$3000,$A2,'07_Pallet_Contents'!$D$2:$D$3000))</f>
        <v>0</v>
      </c>
      <c r="Y2044">
        <f>IF($A2="","",SUMIF('07_Pallet_Contents'!$A$2:$A$3000,$A2,'07_Pallet_Contents'!$I$2:$I$3000))</f>
        <v>0</v>
      </c>
      <c r="Z2044" t="str">
        <f>IF($A2="","",IF(COUNTIF('07_Pallet_Contents'!$A$2:$A$3000,$A2)&gt;0,"Yes",""))</f>
        <v/>
      </c>
    </row>
    <row r="2045" spans="23:26">
      <c r="W2045">
        <f>IF($A2="","",COUNTIF('07_Pallet_Contents'!$A$2:$A$3000,$A2))</f>
        <v>0</v>
      </c>
      <c r="X2045">
        <f>IF($A2="","",SUMIF('07_Pallet_Contents'!$A$2:$A$3000,$A2,'07_Pallet_Contents'!$D$2:$D$3000))</f>
        <v>0</v>
      </c>
      <c r="Y2045">
        <f>IF($A2="","",SUMIF('07_Pallet_Contents'!$A$2:$A$3000,$A2,'07_Pallet_Contents'!$I$2:$I$3000))</f>
        <v>0</v>
      </c>
      <c r="Z2045" t="str">
        <f>IF($A2="","",IF(COUNTIF('07_Pallet_Contents'!$A$2:$A$3000,$A2)&gt;0,"Yes",""))</f>
        <v/>
      </c>
    </row>
    <row r="2046" spans="23:26">
      <c r="W2046">
        <f>IF($A2="","",COUNTIF('07_Pallet_Contents'!$A$2:$A$3000,$A2))</f>
        <v>0</v>
      </c>
      <c r="X2046">
        <f>IF($A2="","",SUMIF('07_Pallet_Contents'!$A$2:$A$3000,$A2,'07_Pallet_Contents'!$D$2:$D$3000))</f>
        <v>0</v>
      </c>
      <c r="Y2046">
        <f>IF($A2="","",SUMIF('07_Pallet_Contents'!$A$2:$A$3000,$A2,'07_Pallet_Contents'!$I$2:$I$3000))</f>
        <v>0</v>
      </c>
      <c r="Z2046" t="str">
        <f>IF($A2="","",IF(COUNTIF('07_Pallet_Contents'!$A$2:$A$3000,$A2)&gt;0,"Yes",""))</f>
        <v/>
      </c>
    </row>
    <row r="2047" spans="23:26">
      <c r="W2047">
        <f>IF($A2="","",COUNTIF('07_Pallet_Contents'!$A$2:$A$3000,$A2))</f>
        <v>0</v>
      </c>
      <c r="X2047">
        <f>IF($A2="","",SUMIF('07_Pallet_Contents'!$A$2:$A$3000,$A2,'07_Pallet_Contents'!$D$2:$D$3000))</f>
        <v>0</v>
      </c>
      <c r="Y2047">
        <f>IF($A2="","",SUMIF('07_Pallet_Contents'!$A$2:$A$3000,$A2,'07_Pallet_Contents'!$I$2:$I$3000))</f>
        <v>0</v>
      </c>
      <c r="Z2047" t="str">
        <f>IF($A2="","",IF(COUNTIF('07_Pallet_Contents'!$A$2:$A$3000,$A2)&gt;0,"Yes",""))</f>
        <v/>
      </c>
    </row>
    <row r="2048" spans="23:26">
      <c r="W2048">
        <f>IF($A2="","",COUNTIF('07_Pallet_Contents'!$A$2:$A$3000,$A2))</f>
        <v>0</v>
      </c>
      <c r="X2048">
        <f>IF($A2="","",SUMIF('07_Pallet_Contents'!$A$2:$A$3000,$A2,'07_Pallet_Contents'!$D$2:$D$3000))</f>
        <v>0</v>
      </c>
      <c r="Y2048">
        <f>IF($A2="","",SUMIF('07_Pallet_Contents'!$A$2:$A$3000,$A2,'07_Pallet_Contents'!$I$2:$I$3000))</f>
        <v>0</v>
      </c>
      <c r="Z2048" t="str">
        <f>IF($A2="","",IF(COUNTIF('07_Pallet_Contents'!$A$2:$A$3000,$A2)&gt;0,"Yes",""))</f>
        <v/>
      </c>
    </row>
    <row r="2049" spans="23:26">
      <c r="W2049">
        <f>IF($A2="","",COUNTIF('07_Pallet_Contents'!$A$2:$A$3000,$A2))</f>
        <v>0</v>
      </c>
      <c r="X2049">
        <f>IF($A2="","",SUMIF('07_Pallet_Contents'!$A$2:$A$3000,$A2,'07_Pallet_Contents'!$D$2:$D$3000))</f>
        <v>0</v>
      </c>
      <c r="Y2049">
        <f>IF($A2="","",SUMIF('07_Pallet_Contents'!$A$2:$A$3000,$A2,'07_Pallet_Contents'!$I$2:$I$3000))</f>
        <v>0</v>
      </c>
      <c r="Z2049" t="str">
        <f>IF($A2="","",IF(COUNTIF('07_Pallet_Contents'!$A$2:$A$3000,$A2)&gt;0,"Yes",""))</f>
        <v/>
      </c>
    </row>
    <row r="2050" spans="23:26">
      <c r="W2050">
        <f>IF($A2="","",COUNTIF('07_Pallet_Contents'!$A$2:$A$3000,$A2))</f>
        <v>0</v>
      </c>
      <c r="X2050">
        <f>IF($A2="","",SUMIF('07_Pallet_Contents'!$A$2:$A$3000,$A2,'07_Pallet_Contents'!$D$2:$D$3000))</f>
        <v>0</v>
      </c>
      <c r="Y2050">
        <f>IF($A2="","",SUMIF('07_Pallet_Contents'!$A$2:$A$3000,$A2,'07_Pallet_Contents'!$I$2:$I$3000))</f>
        <v>0</v>
      </c>
      <c r="Z2050" t="str">
        <f>IF($A2="","",IF(COUNTIF('07_Pallet_Contents'!$A$2:$A$3000,$A2)&gt;0,"Yes",""))</f>
        <v/>
      </c>
    </row>
    <row r="2051" spans="23:26">
      <c r="W2051">
        <f>IF($A2="","",COUNTIF('07_Pallet_Contents'!$A$2:$A$3000,$A2))</f>
        <v>0</v>
      </c>
      <c r="X2051">
        <f>IF($A2="","",SUMIF('07_Pallet_Contents'!$A$2:$A$3000,$A2,'07_Pallet_Contents'!$D$2:$D$3000))</f>
        <v>0</v>
      </c>
      <c r="Y2051">
        <f>IF($A2="","",SUMIF('07_Pallet_Contents'!$A$2:$A$3000,$A2,'07_Pallet_Contents'!$I$2:$I$3000))</f>
        <v>0</v>
      </c>
      <c r="Z2051" t="str">
        <f>IF($A2="","",IF(COUNTIF('07_Pallet_Contents'!$A$2:$A$3000,$A2)&gt;0,"Yes",""))</f>
        <v/>
      </c>
    </row>
    <row r="2052" spans="23:26">
      <c r="W2052">
        <f>IF($A2="","",COUNTIF('07_Pallet_Contents'!$A$2:$A$3000,$A2))</f>
        <v>0</v>
      </c>
      <c r="X2052">
        <f>IF($A2="","",SUMIF('07_Pallet_Contents'!$A$2:$A$3000,$A2,'07_Pallet_Contents'!$D$2:$D$3000))</f>
        <v>0</v>
      </c>
      <c r="Y2052">
        <f>IF($A2="","",SUMIF('07_Pallet_Contents'!$A$2:$A$3000,$A2,'07_Pallet_Contents'!$I$2:$I$3000))</f>
        <v>0</v>
      </c>
      <c r="Z2052" t="str">
        <f>IF($A2="","",IF(COUNTIF('07_Pallet_Contents'!$A$2:$A$3000,$A2)&gt;0,"Yes",""))</f>
        <v/>
      </c>
    </row>
    <row r="2053" spans="23:26">
      <c r="W2053">
        <f>IF($A2="","",COUNTIF('07_Pallet_Contents'!$A$2:$A$3000,$A2))</f>
        <v>0</v>
      </c>
      <c r="X2053">
        <f>IF($A2="","",SUMIF('07_Pallet_Contents'!$A$2:$A$3000,$A2,'07_Pallet_Contents'!$D$2:$D$3000))</f>
        <v>0</v>
      </c>
      <c r="Y2053">
        <f>IF($A2="","",SUMIF('07_Pallet_Contents'!$A$2:$A$3000,$A2,'07_Pallet_Contents'!$I$2:$I$3000))</f>
        <v>0</v>
      </c>
      <c r="Z2053" t="str">
        <f>IF($A2="","",IF(COUNTIF('07_Pallet_Contents'!$A$2:$A$3000,$A2)&gt;0,"Yes",""))</f>
        <v/>
      </c>
    </row>
    <row r="2054" spans="23:26">
      <c r="W2054">
        <f>IF($A2="","",COUNTIF('07_Pallet_Contents'!$A$2:$A$3000,$A2))</f>
        <v>0</v>
      </c>
      <c r="X2054">
        <f>IF($A2="","",SUMIF('07_Pallet_Contents'!$A$2:$A$3000,$A2,'07_Pallet_Contents'!$D$2:$D$3000))</f>
        <v>0</v>
      </c>
      <c r="Y2054">
        <f>IF($A2="","",SUMIF('07_Pallet_Contents'!$A$2:$A$3000,$A2,'07_Pallet_Contents'!$I$2:$I$3000))</f>
        <v>0</v>
      </c>
      <c r="Z2054" t="str">
        <f>IF($A2="","",IF(COUNTIF('07_Pallet_Contents'!$A$2:$A$3000,$A2)&gt;0,"Yes",""))</f>
        <v/>
      </c>
    </row>
    <row r="2055" spans="23:26">
      <c r="W2055">
        <f>IF($A2="","",COUNTIF('07_Pallet_Contents'!$A$2:$A$3000,$A2))</f>
        <v>0</v>
      </c>
      <c r="X2055">
        <f>IF($A2="","",SUMIF('07_Pallet_Contents'!$A$2:$A$3000,$A2,'07_Pallet_Contents'!$D$2:$D$3000))</f>
        <v>0</v>
      </c>
      <c r="Y2055">
        <f>IF($A2="","",SUMIF('07_Pallet_Contents'!$A$2:$A$3000,$A2,'07_Pallet_Contents'!$I$2:$I$3000))</f>
        <v>0</v>
      </c>
      <c r="Z2055" t="str">
        <f>IF($A2="","",IF(COUNTIF('07_Pallet_Contents'!$A$2:$A$3000,$A2)&gt;0,"Yes",""))</f>
        <v/>
      </c>
    </row>
    <row r="2056" spans="23:26">
      <c r="W2056">
        <f>IF($A2="","",COUNTIF('07_Pallet_Contents'!$A$2:$A$3000,$A2))</f>
        <v>0</v>
      </c>
      <c r="X2056">
        <f>IF($A2="","",SUMIF('07_Pallet_Contents'!$A$2:$A$3000,$A2,'07_Pallet_Contents'!$D$2:$D$3000))</f>
        <v>0</v>
      </c>
      <c r="Y2056">
        <f>IF($A2="","",SUMIF('07_Pallet_Contents'!$A$2:$A$3000,$A2,'07_Pallet_Contents'!$I$2:$I$3000))</f>
        <v>0</v>
      </c>
      <c r="Z2056" t="str">
        <f>IF($A2="","",IF(COUNTIF('07_Pallet_Contents'!$A$2:$A$3000,$A2)&gt;0,"Yes",""))</f>
        <v/>
      </c>
    </row>
    <row r="2057" spans="23:26">
      <c r="W2057">
        <f>IF($A2="","",COUNTIF('07_Pallet_Contents'!$A$2:$A$3000,$A2))</f>
        <v>0</v>
      </c>
      <c r="X2057">
        <f>IF($A2="","",SUMIF('07_Pallet_Contents'!$A$2:$A$3000,$A2,'07_Pallet_Contents'!$D$2:$D$3000))</f>
        <v>0</v>
      </c>
      <c r="Y2057">
        <f>IF($A2="","",SUMIF('07_Pallet_Contents'!$A$2:$A$3000,$A2,'07_Pallet_Contents'!$I$2:$I$3000))</f>
        <v>0</v>
      </c>
      <c r="Z2057" t="str">
        <f>IF($A2="","",IF(COUNTIF('07_Pallet_Contents'!$A$2:$A$3000,$A2)&gt;0,"Yes",""))</f>
        <v/>
      </c>
    </row>
    <row r="2058" spans="23:26">
      <c r="W2058">
        <f>IF($A2="","",COUNTIF('07_Pallet_Contents'!$A$2:$A$3000,$A2))</f>
        <v>0</v>
      </c>
      <c r="X2058">
        <f>IF($A2="","",SUMIF('07_Pallet_Contents'!$A$2:$A$3000,$A2,'07_Pallet_Contents'!$D$2:$D$3000))</f>
        <v>0</v>
      </c>
      <c r="Y2058">
        <f>IF($A2="","",SUMIF('07_Pallet_Contents'!$A$2:$A$3000,$A2,'07_Pallet_Contents'!$I$2:$I$3000))</f>
        <v>0</v>
      </c>
      <c r="Z2058" t="str">
        <f>IF($A2="","",IF(COUNTIF('07_Pallet_Contents'!$A$2:$A$3000,$A2)&gt;0,"Yes",""))</f>
        <v/>
      </c>
    </row>
    <row r="2059" spans="23:26">
      <c r="W2059">
        <f>IF($A2="","",COUNTIF('07_Pallet_Contents'!$A$2:$A$3000,$A2))</f>
        <v>0</v>
      </c>
      <c r="X2059">
        <f>IF($A2="","",SUMIF('07_Pallet_Contents'!$A$2:$A$3000,$A2,'07_Pallet_Contents'!$D$2:$D$3000))</f>
        <v>0</v>
      </c>
      <c r="Y2059">
        <f>IF($A2="","",SUMIF('07_Pallet_Contents'!$A$2:$A$3000,$A2,'07_Pallet_Contents'!$I$2:$I$3000))</f>
        <v>0</v>
      </c>
      <c r="Z2059" t="str">
        <f>IF($A2="","",IF(COUNTIF('07_Pallet_Contents'!$A$2:$A$3000,$A2)&gt;0,"Yes",""))</f>
        <v/>
      </c>
    </row>
    <row r="2060" spans="23:26">
      <c r="W2060">
        <f>IF($A2="","",COUNTIF('07_Pallet_Contents'!$A$2:$A$3000,$A2))</f>
        <v>0</v>
      </c>
      <c r="X2060">
        <f>IF($A2="","",SUMIF('07_Pallet_Contents'!$A$2:$A$3000,$A2,'07_Pallet_Contents'!$D$2:$D$3000))</f>
        <v>0</v>
      </c>
      <c r="Y2060">
        <f>IF($A2="","",SUMIF('07_Pallet_Contents'!$A$2:$A$3000,$A2,'07_Pallet_Contents'!$I$2:$I$3000))</f>
        <v>0</v>
      </c>
      <c r="Z2060" t="str">
        <f>IF($A2="","",IF(COUNTIF('07_Pallet_Contents'!$A$2:$A$3000,$A2)&gt;0,"Yes",""))</f>
        <v/>
      </c>
    </row>
    <row r="2061" spans="23:26">
      <c r="W2061">
        <f>IF($A2="","",COUNTIF('07_Pallet_Contents'!$A$2:$A$3000,$A2))</f>
        <v>0</v>
      </c>
      <c r="X2061">
        <f>IF($A2="","",SUMIF('07_Pallet_Contents'!$A$2:$A$3000,$A2,'07_Pallet_Contents'!$D$2:$D$3000))</f>
        <v>0</v>
      </c>
      <c r="Y2061">
        <f>IF($A2="","",SUMIF('07_Pallet_Contents'!$A$2:$A$3000,$A2,'07_Pallet_Contents'!$I$2:$I$3000))</f>
        <v>0</v>
      </c>
      <c r="Z2061" t="str">
        <f>IF($A2="","",IF(COUNTIF('07_Pallet_Contents'!$A$2:$A$3000,$A2)&gt;0,"Yes",""))</f>
        <v/>
      </c>
    </row>
    <row r="2062" spans="23:26">
      <c r="W2062">
        <f>IF($A2="","",COUNTIF('07_Pallet_Contents'!$A$2:$A$3000,$A2))</f>
        <v>0</v>
      </c>
      <c r="X2062">
        <f>IF($A2="","",SUMIF('07_Pallet_Contents'!$A$2:$A$3000,$A2,'07_Pallet_Contents'!$D$2:$D$3000))</f>
        <v>0</v>
      </c>
      <c r="Y2062">
        <f>IF($A2="","",SUMIF('07_Pallet_Contents'!$A$2:$A$3000,$A2,'07_Pallet_Contents'!$I$2:$I$3000))</f>
        <v>0</v>
      </c>
      <c r="Z2062" t="str">
        <f>IF($A2="","",IF(COUNTIF('07_Pallet_Contents'!$A$2:$A$3000,$A2)&gt;0,"Yes",""))</f>
        <v/>
      </c>
    </row>
    <row r="2063" spans="23:26">
      <c r="W2063">
        <f>IF($A2="","",COUNTIF('07_Pallet_Contents'!$A$2:$A$3000,$A2))</f>
        <v>0</v>
      </c>
      <c r="X2063">
        <f>IF($A2="","",SUMIF('07_Pallet_Contents'!$A$2:$A$3000,$A2,'07_Pallet_Contents'!$D$2:$D$3000))</f>
        <v>0</v>
      </c>
      <c r="Y2063">
        <f>IF($A2="","",SUMIF('07_Pallet_Contents'!$A$2:$A$3000,$A2,'07_Pallet_Contents'!$I$2:$I$3000))</f>
        <v>0</v>
      </c>
      <c r="Z2063" t="str">
        <f>IF($A2="","",IF(COUNTIF('07_Pallet_Contents'!$A$2:$A$3000,$A2)&gt;0,"Yes",""))</f>
        <v/>
      </c>
    </row>
    <row r="2064" spans="23:26">
      <c r="W2064">
        <f>IF($A2="","",COUNTIF('07_Pallet_Contents'!$A$2:$A$3000,$A2))</f>
        <v>0</v>
      </c>
      <c r="X2064">
        <f>IF($A2="","",SUMIF('07_Pallet_Contents'!$A$2:$A$3000,$A2,'07_Pallet_Contents'!$D$2:$D$3000))</f>
        <v>0</v>
      </c>
      <c r="Y2064">
        <f>IF($A2="","",SUMIF('07_Pallet_Contents'!$A$2:$A$3000,$A2,'07_Pallet_Contents'!$I$2:$I$3000))</f>
        <v>0</v>
      </c>
      <c r="Z2064" t="str">
        <f>IF($A2="","",IF(COUNTIF('07_Pallet_Contents'!$A$2:$A$3000,$A2)&gt;0,"Yes",""))</f>
        <v/>
      </c>
    </row>
    <row r="2065" spans="23:26">
      <c r="W2065">
        <f>IF($A2="","",COUNTIF('07_Pallet_Contents'!$A$2:$A$3000,$A2))</f>
        <v>0</v>
      </c>
      <c r="X2065">
        <f>IF($A2="","",SUMIF('07_Pallet_Contents'!$A$2:$A$3000,$A2,'07_Pallet_Contents'!$D$2:$D$3000))</f>
        <v>0</v>
      </c>
      <c r="Y2065">
        <f>IF($A2="","",SUMIF('07_Pallet_Contents'!$A$2:$A$3000,$A2,'07_Pallet_Contents'!$I$2:$I$3000))</f>
        <v>0</v>
      </c>
      <c r="Z2065" t="str">
        <f>IF($A2="","",IF(COUNTIF('07_Pallet_Contents'!$A$2:$A$3000,$A2)&gt;0,"Yes",""))</f>
        <v/>
      </c>
    </row>
    <row r="2066" spans="23:26">
      <c r="W2066">
        <f>IF($A2="","",COUNTIF('07_Pallet_Contents'!$A$2:$A$3000,$A2))</f>
        <v>0</v>
      </c>
      <c r="X2066">
        <f>IF($A2="","",SUMIF('07_Pallet_Contents'!$A$2:$A$3000,$A2,'07_Pallet_Contents'!$D$2:$D$3000))</f>
        <v>0</v>
      </c>
      <c r="Y2066">
        <f>IF($A2="","",SUMIF('07_Pallet_Contents'!$A$2:$A$3000,$A2,'07_Pallet_Contents'!$I$2:$I$3000))</f>
        <v>0</v>
      </c>
      <c r="Z2066" t="str">
        <f>IF($A2="","",IF(COUNTIF('07_Pallet_Contents'!$A$2:$A$3000,$A2)&gt;0,"Yes",""))</f>
        <v/>
      </c>
    </row>
    <row r="2067" spans="23:26">
      <c r="W2067">
        <f>IF($A2="","",COUNTIF('07_Pallet_Contents'!$A$2:$A$3000,$A2))</f>
        <v>0</v>
      </c>
      <c r="X2067">
        <f>IF($A2="","",SUMIF('07_Pallet_Contents'!$A$2:$A$3000,$A2,'07_Pallet_Contents'!$D$2:$D$3000))</f>
        <v>0</v>
      </c>
      <c r="Y2067">
        <f>IF($A2="","",SUMIF('07_Pallet_Contents'!$A$2:$A$3000,$A2,'07_Pallet_Contents'!$I$2:$I$3000))</f>
        <v>0</v>
      </c>
      <c r="Z2067" t="str">
        <f>IF($A2="","",IF(COUNTIF('07_Pallet_Contents'!$A$2:$A$3000,$A2)&gt;0,"Yes",""))</f>
        <v/>
      </c>
    </row>
    <row r="2068" spans="23:26">
      <c r="W2068">
        <f>IF($A2="","",COUNTIF('07_Pallet_Contents'!$A$2:$A$3000,$A2))</f>
        <v>0</v>
      </c>
      <c r="X2068">
        <f>IF($A2="","",SUMIF('07_Pallet_Contents'!$A$2:$A$3000,$A2,'07_Pallet_Contents'!$D$2:$D$3000))</f>
        <v>0</v>
      </c>
      <c r="Y2068">
        <f>IF($A2="","",SUMIF('07_Pallet_Contents'!$A$2:$A$3000,$A2,'07_Pallet_Contents'!$I$2:$I$3000))</f>
        <v>0</v>
      </c>
      <c r="Z2068" t="str">
        <f>IF($A2="","",IF(COUNTIF('07_Pallet_Contents'!$A$2:$A$3000,$A2)&gt;0,"Yes",""))</f>
        <v/>
      </c>
    </row>
    <row r="2069" spans="23:26">
      <c r="W2069">
        <f>IF($A2="","",COUNTIF('07_Pallet_Contents'!$A$2:$A$3000,$A2))</f>
        <v>0</v>
      </c>
      <c r="X2069">
        <f>IF($A2="","",SUMIF('07_Pallet_Contents'!$A$2:$A$3000,$A2,'07_Pallet_Contents'!$D$2:$D$3000))</f>
        <v>0</v>
      </c>
      <c r="Y2069">
        <f>IF($A2="","",SUMIF('07_Pallet_Contents'!$A$2:$A$3000,$A2,'07_Pallet_Contents'!$I$2:$I$3000))</f>
        <v>0</v>
      </c>
      <c r="Z2069" t="str">
        <f>IF($A2="","",IF(COUNTIF('07_Pallet_Contents'!$A$2:$A$3000,$A2)&gt;0,"Yes",""))</f>
        <v/>
      </c>
    </row>
    <row r="2070" spans="23:26">
      <c r="W2070">
        <f>IF($A2="","",COUNTIF('07_Pallet_Contents'!$A$2:$A$3000,$A2))</f>
        <v>0</v>
      </c>
      <c r="X2070">
        <f>IF($A2="","",SUMIF('07_Pallet_Contents'!$A$2:$A$3000,$A2,'07_Pallet_Contents'!$D$2:$D$3000))</f>
        <v>0</v>
      </c>
      <c r="Y2070">
        <f>IF($A2="","",SUMIF('07_Pallet_Contents'!$A$2:$A$3000,$A2,'07_Pallet_Contents'!$I$2:$I$3000))</f>
        <v>0</v>
      </c>
      <c r="Z2070" t="str">
        <f>IF($A2="","",IF(COUNTIF('07_Pallet_Contents'!$A$2:$A$3000,$A2)&gt;0,"Yes",""))</f>
        <v/>
      </c>
    </row>
    <row r="2071" spans="23:26">
      <c r="W2071">
        <f>IF($A2="","",COUNTIF('07_Pallet_Contents'!$A$2:$A$3000,$A2))</f>
        <v>0</v>
      </c>
      <c r="X2071">
        <f>IF($A2="","",SUMIF('07_Pallet_Contents'!$A$2:$A$3000,$A2,'07_Pallet_Contents'!$D$2:$D$3000))</f>
        <v>0</v>
      </c>
      <c r="Y2071">
        <f>IF($A2="","",SUMIF('07_Pallet_Contents'!$A$2:$A$3000,$A2,'07_Pallet_Contents'!$I$2:$I$3000))</f>
        <v>0</v>
      </c>
      <c r="Z2071" t="str">
        <f>IF($A2="","",IF(COUNTIF('07_Pallet_Contents'!$A$2:$A$3000,$A2)&gt;0,"Yes",""))</f>
        <v/>
      </c>
    </row>
    <row r="2072" spans="23:26">
      <c r="W2072">
        <f>IF($A2="","",COUNTIF('07_Pallet_Contents'!$A$2:$A$3000,$A2))</f>
        <v>0</v>
      </c>
      <c r="X2072">
        <f>IF($A2="","",SUMIF('07_Pallet_Contents'!$A$2:$A$3000,$A2,'07_Pallet_Contents'!$D$2:$D$3000))</f>
        <v>0</v>
      </c>
      <c r="Y2072">
        <f>IF($A2="","",SUMIF('07_Pallet_Contents'!$A$2:$A$3000,$A2,'07_Pallet_Contents'!$I$2:$I$3000))</f>
        <v>0</v>
      </c>
      <c r="Z2072" t="str">
        <f>IF($A2="","",IF(COUNTIF('07_Pallet_Contents'!$A$2:$A$3000,$A2)&gt;0,"Yes",""))</f>
        <v/>
      </c>
    </row>
    <row r="2073" spans="23:26">
      <c r="W2073">
        <f>IF($A2="","",COUNTIF('07_Pallet_Contents'!$A$2:$A$3000,$A2))</f>
        <v>0</v>
      </c>
      <c r="X2073">
        <f>IF($A2="","",SUMIF('07_Pallet_Contents'!$A$2:$A$3000,$A2,'07_Pallet_Contents'!$D$2:$D$3000))</f>
        <v>0</v>
      </c>
      <c r="Y2073">
        <f>IF($A2="","",SUMIF('07_Pallet_Contents'!$A$2:$A$3000,$A2,'07_Pallet_Contents'!$I$2:$I$3000))</f>
        <v>0</v>
      </c>
      <c r="Z2073" t="str">
        <f>IF($A2="","",IF(COUNTIF('07_Pallet_Contents'!$A$2:$A$3000,$A2)&gt;0,"Yes",""))</f>
        <v/>
      </c>
    </row>
    <row r="2074" spans="23:26">
      <c r="W2074">
        <f>IF($A2="","",COUNTIF('07_Pallet_Contents'!$A$2:$A$3000,$A2))</f>
        <v>0</v>
      </c>
      <c r="X2074">
        <f>IF($A2="","",SUMIF('07_Pallet_Contents'!$A$2:$A$3000,$A2,'07_Pallet_Contents'!$D$2:$D$3000))</f>
        <v>0</v>
      </c>
      <c r="Y2074">
        <f>IF($A2="","",SUMIF('07_Pallet_Contents'!$A$2:$A$3000,$A2,'07_Pallet_Contents'!$I$2:$I$3000))</f>
        <v>0</v>
      </c>
      <c r="Z2074" t="str">
        <f>IF($A2="","",IF(COUNTIF('07_Pallet_Contents'!$A$2:$A$3000,$A2)&gt;0,"Yes",""))</f>
        <v/>
      </c>
    </row>
    <row r="2075" spans="23:26">
      <c r="W2075">
        <f>IF($A2="","",COUNTIF('07_Pallet_Contents'!$A$2:$A$3000,$A2))</f>
        <v>0</v>
      </c>
      <c r="X2075">
        <f>IF($A2="","",SUMIF('07_Pallet_Contents'!$A$2:$A$3000,$A2,'07_Pallet_Contents'!$D$2:$D$3000))</f>
        <v>0</v>
      </c>
      <c r="Y2075">
        <f>IF($A2="","",SUMIF('07_Pallet_Contents'!$A$2:$A$3000,$A2,'07_Pallet_Contents'!$I$2:$I$3000))</f>
        <v>0</v>
      </c>
      <c r="Z2075" t="str">
        <f>IF($A2="","",IF(COUNTIF('07_Pallet_Contents'!$A$2:$A$3000,$A2)&gt;0,"Yes",""))</f>
        <v/>
      </c>
    </row>
    <row r="2076" spans="23:26">
      <c r="W2076">
        <f>IF($A2="","",COUNTIF('07_Pallet_Contents'!$A$2:$A$3000,$A2))</f>
        <v>0</v>
      </c>
      <c r="X2076">
        <f>IF($A2="","",SUMIF('07_Pallet_Contents'!$A$2:$A$3000,$A2,'07_Pallet_Contents'!$D$2:$D$3000))</f>
        <v>0</v>
      </c>
      <c r="Y2076">
        <f>IF($A2="","",SUMIF('07_Pallet_Contents'!$A$2:$A$3000,$A2,'07_Pallet_Contents'!$I$2:$I$3000))</f>
        <v>0</v>
      </c>
      <c r="Z2076" t="str">
        <f>IF($A2="","",IF(COUNTIF('07_Pallet_Contents'!$A$2:$A$3000,$A2)&gt;0,"Yes",""))</f>
        <v/>
      </c>
    </row>
    <row r="2077" spans="23:26">
      <c r="W2077">
        <f>IF($A2="","",COUNTIF('07_Pallet_Contents'!$A$2:$A$3000,$A2))</f>
        <v>0</v>
      </c>
      <c r="X2077">
        <f>IF($A2="","",SUMIF('07_Pallet_Contents'!$A$2:$A$3000,$A2,'07_Pallet_Contents'!$D$2:$D$3000))</f>
        <v>0</v>
      </c>
      <c r="Y2077">
        <f>IF($A2="","",SUMIF('07_Pallet_Contents'!$A$2:$A$3000,$A2,'07_Pallet_Contents'!$I$2:$I$3000))</f>
        <v>0</v>
      </c>
      <c r="Z2077" t="str">
        <f>IF($A2="","",IF(COUNTIF('07_Pallet_Contents'!$A$2:$A$3000,$A2)&gt;0,"Yes",""))</f>
        <v/>
      </c>
    </row>
    <row r="2078" spans="23:26">
      <c r="W2078">
        <f>IF($A2="","",COUNTIF('07_Pallet_Contents'!$A$2:$A$3000,$A2))</f>
        <v>0</v>
      </c>
      <c r="X2078">
        <f>IF($A2="","",SUMIF('07_Pallet_Contents'!$A$2:$A$3000,$A2,'07_Pallet_Contents'!$D$2:$D$3000))</f>
        <v>0</v>
      </c>
      <c r="Y2078">
        <f>IF($A2="","",SUMIF('07_Pallet_Contents'!$A$2:$A$3000,$A2,'07_Pallet_Contents'!$I$2:$I$3000))</f>
        <v>0</v>
      </c>
      <c r="Z2078" t="str">
        <f>IF($A2="","",IF(COUNTIF('07_Pallet_Contents'!$A$2:$A$3000,$A2)&gt;0,"Yes",""))</f>
        <v/>
      </c>
    </row>
    <row r="2079" spans="23:26">
      <c r="W2079">
        <f>IF($A2="","",COUNTIF('07_Pallet_Contents'!$A$2:$A$3000,$A2))</f>
        <v>0</v>
      </c>
      <c r="X2079">
        <f>IF($A2="","",SUMIF('07_Pallet_Contents'!$A$2:$A$3000,$A2,'07_Pallet_Contents'!$D$2:$D$3000))</f>
        <v>0</v>
      </c>
      <c r="Y2079">
        <f>IF($A2="","",SUMIF('07_Pallet_Contents'!$A$2:$A$3000,$A2,'07_Pallet_Contents'!$I$2:$I$3000))</f>
        <v>0</v>
      </c>
      <c r="Z2079" t="str">
        <f>IF($A2="","",IF(COUNTIF('07_Pallet_Contents'!$A$2:$A$3000,$A2)&gt;0,"Yes",""))</f>
        <v/>
      </c>
    </row>
    <row r="2080" spans="23:26">
      <c r="W2080">
        <f>IF($A2="","",COUNTIF('07_Pallet_Contents'!$A$2:$A$3000,$A2))</f>
        <v>0</v>
      </c>
      <c r="X2080">
        <f>IF($A2="","",SUMIF('07_Pallet_Contents'!$A$2:$A$3000,$A2,'07_Pallet_Contents'!$D$2:$D$3000))</f>
        <v>0</v>
      </c>
      <c r="Y2080">
        <f>IF($A2="","",SUMIF('07_Pallet_Contents'!$A$2:$A$3000,$A2,'07_Pallet_Contents'!$I$2:$I$3000))</f>
        <v>0</v>
      </c>
      <c r="Z2080" t="str">
        <f>IF($A2="","",IF(COUNTIF('07_Pallet_Contents'!$A$2:$A$3000,$A2)&gt;0,"Yes",""))</f>
        <v/>
      </c>
    </row>
    <row r="2081" spans="23:26">
      <c r="W2081">
        <f>IF($A2="","",COUNTIF('07_Pallet_Contents'!$A$2:$A$3000,$A2))</f>
        <v>0</v>
      </c>
      <c r="X2081">
        <f>IF($A2="","",SUMIF('07_Pallet_Contents'!$A$2:$A$3000,$A2,'07_Pallet_Contents'!$D$2:$D$3000))</f>
        <v>0</v>
      </c>
      <c r="Y2081">
        <f>IF($A2="","",SUMIF('07_Pallet_Contents'!$A$2:$A$3000,$A2,'07_Pallet_Contents'!$I$2:$I$3000))</f>
        <v>0</v>
      </c>
      <c r="Z2081" t="str">
        <f>IF($A2="","",IF(COUNTIF('07_Pallet_Contents'!$A$2:$A$3000,$A2)&gt;0,"Yes",""))</f>
        <v/>
      </c>
    </row>
    <row r="2082" spans="23:26">
      <c r="W2082">
        <f>IF($A2="","",COUNTIF('07_Pallet_Contents'!$A$2:$A$3000,$A2))</f>
        <v>0</v>
      </c>
      <c r="X2082">
        <f>IF($A2="","",SUMIF('07_Pallet_Contents'!$A$2:$A$3000,$A2,'07_Pallet_Contents'!$D$2:$D$3000))</f>
        <v>0</v>
      </c>
      <c r="Y2082">
        <f>IF($A2="","",SUMIF('07_Pallet_Contents'!$A$2:$A$3000,$A2,'07_Pallet_Contents'!$I$2:$I$3000))</f>
        <v>0</v>
      </c>
      <c r="Z2082" t="str">
        <f>IF($A2="","",IF(COUNTIF('07_Pallet_Contents'!$A$2:$A$3000,$A2)&gt;0,"Yes",""))</f>
        <v/>
      </c>
    </row>
    <row r="2083" spans="23:26">
      <c r="W2083">
        <f>IF($A2="","",COUNTIF('07_Pallet_Contents'!$A$2:$A$3000,$A2))</f>
        <v>0</v>
      </c>
      <c r="X2083">
        <f>IF($A2="","",SUMIF('07_Pallet_Contents'!$A$2:$A$3000,$A2,'07_Pallet_Contents'!$D$2:$D$3000))</f>
        <v>0</v>
      </c>
      <c r="Y2083">
        <f>IF($A2="","",SUMIF('07_Pallet_Contents'!$A$2:$A$3000,$A2,'07_Pallet_Contents'!$I$2:$I$3000))</f>
        <v>0</v>
      </c>
      <c r="Z2083" t="str">
        <f>IF($A2="","",IF(COUNTIF('07_Pallet_Contents'!$A$2:$A$3000,$A2)&gt;0,"Yes",""))</f>
        <v/>
      </c>
    </row>
    <row r="2084" spans="23:26">
      <c r="W2084">
        <f>IF($A2="","",COUNTIF('07_Pallet_Contents'!$A$2:$A$3000,$A2))</f>
        <v>0</v>
      </c>
      <c r="X2084">
        <f>IF($A2="","",SUMIF('07_Pallet_Contents'!$A$2:$A$3000,$A2,'07_Pallet_Contents'!$D$2:$D$3000))</f>
        <v>0</v>
      </c>
      <c r="Y2084">
        <f>IF($A2="","",SUMIF('07_Pallet_Contents'!$A$2:$A$3000,$A2,'07_Pallet_Contents'!$I$2:$I$3000))</f>
        <v>0</v>
      </c>
      <c r="Z2084" t="str">
        <f>IF($A2="","",IF(COUNTIF('07_Pallet_Contents'!$A$2:$A$3000,$A2)&gt;0,"Yes",""))</f>
        <v/>
      </c>
    </row>
    <row r="2085" spans="23:26">
      <c r="W2085">
        <f>IF($A2="","",COUNTIF('07_Pallet_Contents'!$A$2:$A$3000,$A2))</f>
        <v>0</v>
      </c>
      <c r="X2085">
        <f>IF($A2="","",SUMIF('07_Pallet_Contents'!$A$2:$A$3000,$A2,'07_Pallet_Contents'!$D$2:$D$3000))</f>
        <v>0</v>
      </c>
      <c r="Y2085">
        <f>IF($A2="","",SUMIF('07_Pallet_Contents'!$A$2:$A$3000,$A2,'07_Pallet_Contents'!$I$2:$I$3000))</f>
        <v>0</v>
      </c>
      <c r="Z2085" t="str">
        <f>IF($A2="","",IF(COUNTIF('07_Pallet_Contents'!$A$2:$A$3000,$A2)&gt;0,"Yes",""))</f>
        <v/>
      </c>
    </row>
    <row r="2086" spans="23:26">
      <c r="W2086">
        <f>IF($A2="","",COUNTIF('07_Pallet_Contents'!$A$2:$A$3000,$A2))</f>
        <v>0</v>
      </c>
      <c r="X2086">
        <f>IF($A2="","",SUMIF('07_Pallet_Contents'!$A$2:$A$3000,$A2,'07_Pallet_Contents'!$D$2:$D$3000))</f>
        <v>0</v>
      </c>
      <c r="Y2086">
        <f>IF($A2="","",SUMIF('07_Pallet_Contents'!$A$2:$A$3000,$A2,'07_Pallet_Contents'!$I$2:$I$3000))</f>
        <v>0</v>
      </c>
      <c r="Z2086" t="str">
        <f>IF($A2="","",IF(COUNTIF('07_Pallet_Contents'!$A$2:$A$3000,$A2)&gt;0,"Yes",""))</f>
        <v/>
      </c>
    </row>
    <row r="2087" spans="23:26">
      <c r="W2087">
        <f>IF($A2="","",COUNTIF('07_Pallet_Contents'!$A$2:$A$3000,$A2))</f>
        <v>0</v>
      </c>
      <c r="X2087">
        <f>IF($A2="","",SUMIF('07_Pallet_Contents'!$A$2:$A$3000,$A2,'07_Pallet_Contents'!$D$2:$D$3000))</f>
        <v>0</v>
      </c>
      <c r="Y2087">
        <f>IF($A2="","",SUMIF('07_Pallet_Contents'!$A$2:$A$3000,$A2,'07_Pallet_Contents'!$I$2:$I$3000))</f>
        <v>0</v>
      </c>
      <c r="Z2087" t="str">
        <f>IF($A2="","",IF(COUNTIF('07_Pallet_Contents'!$A$2:$A$3000,$A2)&gt;0,"Yes",""))</f>
        <v/>
      </c>
    </row>
    <row r="2088" spans="23:26">
      <c r="W2088">
        <f>IF($A2="","",COUNTIF('07_Pallet_Contents'!$A$2:$A$3000,$A2))</f>
        <v>0</v>
      </c>
      <c r="X2088">
        <f>IF($A2="","",SUMIF('07_Pallet_Contents'!$A$2:$A$3000,$A2,'07_Pallet_Contents'!$D$2:$D$3000))</f>
        <v>0</v>
      </c>
      <c r="Y2088">
        <f>IF($A2="","",SUMIF('07_Pallet_Contents'!$A$2:$A$3000,$A2,'07_Pallet_Contents'!$I$2:$I$3000))</f>
        <v>0</v>
      </c>
      <c r="Z2088" t="str">
        <f>IF($A2="","",IF(COUNTIF('07_Pallet_Contents'!$A$2:$A$3000,$A2)&gt;0,"Yes",""))</f>
        <v/>
      </c>
    </row>
    <row r="2089" spans="23:26">
      <c r="W2089">
        <f>IF($A2="","",COUNTIF('07_Pallet_Contents'!$A$2:$A$3000,$A2))</f>
        <v>0</v>
      </c>
      <c r="X2089">
        <f>IF($A2="","",SUMIF('07_Pallet_Contents'!$A$2:$A$3000,$A2,'07_Pallet_Contents'!$D$2:$D$3000))</f>
        <v>0</v>
      </c>
      <c r="Y2089">
        <f>IF($A2="","",SUMIF('07_Pallet_Contents'!$A$2:$A$3000,$A2,'07_Pallet_Contents'!$I$2:$I$3000))</f>
        <v>0</v>
      </c>
      <c r="Z2089" t="str">
        <f>IF($A2="","",IF(COUNTIF('07_Pallet_Contents'!$A$2:$A$3000,$A2)&gt;0,"Yes",""))</f>
        <v/>
      </c>
    </row>
    <row r="2090" spans="23:26">
      <c r="W2090">
        <f>IF($A2="","",COUNTIF('07_Pallet_Contents'!$A$2:$A$3000,$A2))</f>
        <v>0</v>
      </c>
      <c r="X2090">
        <f>IF($A2="","",SUMIF('07_Pallet_Contents'!$A$2:$A$3000,$A2,'07_Pallet_Contents'!$D$2:$D$3000))</f>
        <v>0</v>
      </c>
      <c r="Y2090">
        <f>IF($A2="","",SUMIF('07_Pallet_Contents'!$A$2:$A$3000,$A2,'07_Pallet_Contents'!$I$2:$I$3000))</f>
        <v>0</v>
      </c>
      <c r="Z2090" t="str">
        <f>IF($A2="","",IF(COUNTIF('07_Pallet_Contents'!$A$2:$A$3000,$A2)&gt;0,"Yes",""))</f>
        <v/>
      </c>
    </row>
    <row r="2091" spans="23:26">
      <c r="W2091">
        <f>IF($A2="","",COUNTIF('07_Pallet_Contents'!$A$2:$A$3000,$A2))</f>
        <v>0</v>
      </c>
      <c r="X2091">
        <f>IF($A2="","",SUMIF('07_Pallet_Contents'!$A$2:$A$3000,$A2,'07_Pallet_Contents'!$D$2:$D$3000))</f>
        <v>0</v>
      </c>
      <c r="Y2091">
        <f>IF($A2="","",SUMIF('07_Pallet_Contents'!$A$2:$A$3000,$A2,'07_Pallet_Contents'!$I$2:$I$3000))</f>
        <v>0</v>
      </c>
      <c r="Z2091" t="str">
        <f>IF($A2="","",IF(COUNTIF('07_Pallet_Contents'!$A$2:$A$3000,$A2)&gt;0,"Yes",""))</f>
        <v/>
      </c>
    </row>
    <row r="2092" spans="23:26">
      <c r="W2092">
        <f>IF($A2="","",COUNTIF('07_Pallet_Contents'!$A$2:$A$3000,$A2))</f>
        <v>0</v>
      </c>
      <c r="X2092">
        <f>IF($A2="","",SUMIF('07_Pallet_Contents'!$A$2:$A$3000,$A2,'07_Pallet_Contents'!$D$2:$D$3000))</f>
        <v>0</v>
      </c>
      <c r="Y2092">
        <f>IF($A2="","",SUMIF('07_Pallet_Contents'!$A$2:$A$3000,$A2,'07_Pallet_Contents'!$I$2:$I$3000))</f>
        <v>0</v>
      </c>
      <c r="Z2092" t="str">
        <f>IF($A2="","",IF(COUNTIF('07_Pallet_Contents'!$A$2:$A$3000,$A2)&gt;0,"Yes",""))</f>
        <v/>
      </c>
    </row>
    <row r="2093" spans="23:26">
      <c r="W2093">
        <f>IF($A2="","",COUNTIF('07_Pallet_Contents'!$A$2:$A$3000,$A2))</f>
        <v>0</v>
      </c>
      <c r="X2093">
        <f>IF($A2="","",SUMIF('07_Pallet_Contents'!$A$2:$A$3000,$A2,'07_Pallet_Contents'!$D$2:$D$3000))</f>
        <v>0</v>
      </c>
      <c r="Y2093">
        <f>IF($A2="","",SUMIF('07_Pallet_Contents'!$A$2:$A$3000,$A2,'07_Pallet_Contents'!$I$2:$I$3000))</f>
        <v>0</v>
      </c>
      <c r="Z2093" t="str">
        <f>IF($A2="","",IF(COUNTIF('07_Pallet_Contents'!$A$2:$A$3000,$A2)&gt;0,"Yes",""))</f>
        <v/>
      </c>
    </row>
    <row r="2094" spans="23:26">
      <c r="W2094">
        <f>IF($A2="","",COUNTIF('07_Pallet_Contents'!$A$2:$A$3000,$A2))</f>
        <v>0</v>
      </c>
      <c r="X2094">
        <f>IF($A2="","",SUMIF('07_Pallet_Contents'!$A$2:$A$3000,$A2,'07_Pallet_Contents'!$D$2:$D$3000))</f>
        <v>0</v>
      </c>
      <c r="Y2094">
        <f>IF($A2="","",SUMIF('07_Pallet_Contents'!$A$2:$A$3000,$A2,'07_Pallet_Contents'!$I$2:$I$3000))</f>
        <v>0</v>
      </c>
      <c r="Z2094" t="str">
        <f>IF($A2="","",IF(COUNTIF('07_Pallet_Contents'!$A$2:$A$3000,$A2)&gt;0,"Yes",""))</f>
        <v/>
      </c>
    </row>
    <row r="2095" spans="23:26">
      <c r="W2095">
        <f>IF($A2="","",COUNTIF('07_Pallet_Contents'!$A$2:$A$3000,$A2))</f>
        <v>0</v>
      </c>
      <c r="X2095">
        <f>IF($A2="","",SUMIF('07_Pallet_Contents'!$A$2:$A$3000,$A2,'07_Pallet_Contents'!$D$2:$D$3000))</f>
        <v>0</v>
      </c>
      <c r="Y2095">
        <f>IF($A2="","",SUMIF('07_Pallet_Contents'!$A$2:$A$3000,$A2,'07_Pallet_Contents'!$I$2:$I$3000))</f>
        <v>0</v>
      </c>
      <c r="Z2095" t="str">
        <f>IF($A2="","",IF(COUNTIF('07_Pallet_Contents'!$A$2:$A$3000,$A2)&gt;0,"Yes",""))</f>
        <v/>
      </c>
    </row>
    <row r="2096" spans="23:26">
      <c r="W2096">
        <f>IF($A2="","",COUNTIF('07_Pallet_Contents'!$A$2:$A$3000,$A2))</f>
        <v>0</v>
      </c>
      <c r="X2096">
        <f>IF($A2="","",SUMIF('07_Pallet_Contents'!$A$2:$A$3000,$A2,'07_Pallet_Contents'!$D$2:$D$3000))</f>
        <v>0</v>
      </c>
      <c r="Y2096">
        <f>IF($A2="","",SUMIF('07_Pallet_Contents'!$A$2:$A$3000,$A2,'07_Pallet_Contents'!$I$2:$I$3000))</f>
        <v>0</v>
      </c>
      <c r="Z2096" t="str">
        <f>IF($A2="","",IF(COUNTIF('07_Pallet_Contents'!$A$2:$A$3000,$A2)&gt;0,"Yes",""))</f>
        <v/>
      </c>
    </row>
    <row r="2097" spans="23:26">
      <c r="W2097">
        <f>IF($A2="","",COUNTIF('07_Pallet_Contents'!$A$2:$A$3000,$A2))</f>
        <v>0</v>
      </c>
      <c r="X2097">
        <f>IF($A2="","",SUMIF('07_Pallet_Contents'!$A$2:$A$3000,$A2,'07_Pallet_Contents'!$D$2:$D$3000))</f>
        <v>0</v>
      </c>
      <c r="Y2097">
        <f>IF($A2="","",SUMIF('07_Pallet_Contents'!$A$2:$A$3000,$A2,'07_Pallet_Contents'!$I$2:$I$3000))</f>
        <v>0</v>
      </c>
      <c r="Z2097" t="str">
        <f>IF($A2="","",IF(COUNTIF('07_Pallet_Contents'!$A$2:$A$3000,$A2)&gt;0,"Yes",""))</f>
        <v/>
      </c>
    </row>
    <row r="2098" spans="23:26">
      <c r="W2098">
        <f>IF($A2="","",COUNTIF('07_Pallet_Contents'!$A$2:$A$3000,$A2))</f>
        <v>0</v>
      </c>
      <c r="X2098">
        <f>IF($A2="","",SUMIF('07_Pallet_Contents'!$A$2:$A$3000,$A2,'07_Pallet_Contents'!$D$2:$D$3000))</f>
        <v>0</v>
      </c>
      <c r="Y2098">
        <f>IF($A2="","",SUMIF('07_Pallet_Contents'!$A$2:$A$3000,$A2,'07_Pallet_Contents'!$I$2:$I$3000))</f>
        <v>0</v>
      </c>
      <c r="Z2098" t="str">
        <f>IF($A2="","",IF(COUNTIF('07_Pallet_Contents'!$A$2:$A$3000,$A2)&gt;0,"Yes",""))</f>
        <v/>
      </c>
    </row>
    <row r="2099" spans="23:26">
      <c r="W2099">
        <f>IF($A2="","",COUNTIF('07_Pallet_Contents'!$A$2:$A$3000,$A2))</f>
        <v>0</v>
      </c>
      <c r="X2099">
        <f>IF($A2="","",SUMIF('07_Pallet_Contents'!$A$2:$A$3000,$A2,'07_Pallet_Contents'!$D$2:$D$3000))</f>
        <v>0</v>
      </c>
      <c r="Y2099">
        <f>IF($A2="","",SUMIF('07_Pallet_Contents'!$A$2:$A$3000,$A2,'07_Pallet_Contents'!$I$2:$I$3000))</f>
        <v>0</v>
      </c>
      <c r="Z2099" t="str">
        <f>IF($A2="","",IF(COUNTIF('07_Pallet_Contents'!$A$2:$A$3000,$A2)&gt;0,"Yes",""))</f>
        <v/>
      </c>
    </row>
    <row r="2100" spans="23:26">
      <c r="W2100">
        <f>IF($A2="","",COUNTIF('07_Pallet_Contents'!$A$2:$A$3000,$A2))</f>
        <v>0</v>
      </c>
      <c r="X2100">
        <f>IF($A2="","",SUMIF('07_Pallet_Contents'!$A$2:$A$3000,$A2,'07_Pallet_Contents'!$D$2:$D$3000))</f>
        <v>0</v>
      </c>
      <c r="Y2100">
        <f>IF($A2="","",SUMIF('07_Pallet_Contents'!$A$2:$A$3000,$A2,'07_Pallet_Contents'!$I$2:$I$3000))</f>
        <v>0</v>
      </c>
      <c r="Z2100" t="str">
        <f>IF($A2="","",IF(COUNTIF('07_Pallet_Contents'!$A$2:$A$3000,$A2)&gt;0,"Yes",""))</f>
        <v/>
      </c>
    </row>
    <row r="2101" spans="23:26">
      <c r="W2101">
        <f>IF($A2="","",COUNTIF('07_Pallet_Contents'!$A$2:$A$3000,$A2))</f>
        <v>0</v>
      </c>
      <c r="X2101">
        <f>IF($A2="","",SUMIF('07_Pallet_Contents'!$A$2:$A$3000,$A2,'07_Pallet_Contents'!$D$2:$D$3000))</f>
        <v>0</v>
      </c>
      <c r="Y2101">
        <f>IF($A2="","",SUMIF('07_Pallet_Contents'!$A$2:$A$3000,$A2,'07_Pallet_Contents'!$I$2:$I$3000))</f>
        <v>0</v>
      </c>
      <c r="Z2101" t="str">
        <f>IF($A2="","",IF(COUNTIF('07_Pallet_Contents'!$A$2:$A$3000,$A2)&gt;0,"Yes",""))</f>
        <v/>
      </c>
    </row>
    <row r="2102" spans="23:26">
      <c r="W2102">
        <f>IF($A2="","",COUNTIF('07_Pallet_Contents'!$A$2:$A$3000,$A2))</f>
        <v>0</v>
      </c>
      <c r="X2102">
        <f>IF($A2="","",SUMIF('07_Pallet_Contents'!$A$2:$A$3000,$A2,'07_Pallet_Contents'!$D$2:$D$3000))</f>
        <v>0</v>
      </c>
      <c r="Y2102">
        <f>IF($A2="","",SUMIF('07_Pallet_Contents'!$A$2:$A$3000,$A2,'07_Pallet_Contents'!$I$2:$I$3000))</f>
        <v>0</v>
      </c>
      <c r="Z2102" t="str">
        <f>IF($A2="","",IF(COUNTIF('07_Pallet_Contents'!$A$2:$A$3000,$A2)&gt;0,"Yes",""))</f>
        <v/>
      </c>
    </row>
    <row r="2103" spans="23:26">
      <c r="W2103">
        <f>IF($A2="","",COUNTIF('07_Pallet_Contents'!$A$2:$A$3000,$A2))</f>
        <v>0</v>
      </c>
      <c r="X2103">
        <f>IF($A2="","",SUMIF('07_Pallet_Contents'!$A$2:$A$3000,$A2,'07_Pallet_Contents'!$D$2:$D$3000))</f>
        <v>0</v>
      </c>
      <c r="Y2103">
        <f>IF($A2="","",SUMIF('07_Pallet_Contents'!$A$2:$A$3000,$A2,'07_Pallet_Contents'!$I$2:$I$3000))</f>
        <v>0</v>
      </c>
      <c r="Z2103" t="str">
        <f>IF($A2="","",IF(COUNTIF('07_Pallet_Contents'!$A$2:$A$3000,$A2)&gt;0,"Yes",""))</f>
        <v/>
      </c>
    </row>
    <row r="2104" spans="23:26">
      <c r="W2104">
        <f>IF($A2="","",COUNTIF('07_Pallet_Contents'!$A$2:$A$3000,$A2))</f>
        <v>0</v>
      </c>
      <c r="X2104">
        <f>IF($A2="","",SUMIF('07_Pallet_Contents'!$A$2:$A$3000,$A2,'07_Pallet_Contents'!$D$2:$D$3000))</f>
        <v>0</v>
      </c>
      <c r="Y2104">
        <f>IF($A2="","",SUMIF('07_Pallet_Contents'!$A$2:$A$3000,$A2,'07_Pallet_Contents'!$I$2:$I$3000))</f>
        <v>0</v>
      </c>
      <c r="Z2104" t="str">
        <f>IF($A2="","",IF(COUNTIF('07_Pallet_Contents'!$A$2:$A$3000,$A2)&gt;0,"Yes",""))</f>
        <v/>
      </c>
    </row>
    <row r="2105" spans="23:26">
      <c r="W2105">
        <f>IF($A2="","",COUNTIF('07_Pallet_Contents'!$A$2:$A$3000,$A2))</f>
        <v>0</v>
      </c>
      <c r="X2105">
        <f>IF($A2="","",SUMIF('07_Pallet_Contents'!$A$2:$A$3000,$A2,'07_Pallet_Contents'!$D$2:$D$3000))</f>
        <v>0</v>
      </c>
      <c r="Y2105">
        <f>IF($A2="","",SUMIF('07_Pallet_Contents'!$A$2:$A$3000,$A2,'07_Pallet_Contents'!$I$2:$I$3000))</f>
        <v>0</v>
      </c>
      <c r="Z2105" t="str">
        <f>IF($A2="","",IF(COUNTIF('07_Pallet_Contents'!$A$2:$A$3000,$A2)&gt;0,"Yes",""))</f>
        <v/>
      </c>
    </row>
    <row r="2106" spans="23:26">
      <c r="W2106">
        <f>IF($A2="","",COUNTIF('07_Pallet_Contents'!$A$2:$A$3000,$A2))</f>
        <v>0</v>
      </c>
      <c r="X2106">
        <f>IF($A2="","",SUMIF('07_Pallet_Contents'!$A$2:$A$3000,$A2,'07_Pallet_Contents'!$D$2:$D$3000))</f>
        <v>0</v>
      </c>
      <c r="Y2106">
        <f>IF($A2="","",SUMIF('07_Pallet_Contents'!$A$2:$A$3000,$A2,'07_Pallet_Contents'!$I$2:$I$3000))</f>
        <v>0</v>
      </c>
      <c r="Z2106" t="str">
        <f>IF($A2="","",IF(COUNTIF('07_Pallet_Contents'!$A$2:$A$3000,$A2)&gt;0,"Yes",""))</f>
        <v/>
      </c>
    </row>
    <row r="2107" spans="23:26">
      <c r="W2107">
        <f>IF($A2="","",COUNTIF('07_Pallet_Contents'!$A$2:$A$3000,$A2))</f>
        <v>0</v>
      </c>
      <c r="X2107">
        <f>IF($A2="","",SUMIF('07_Pallet_Contents'!$A$2:$A$3000,$A2,'07_Pallet_Contents'!$D$2:$D$3000))</f>
        <v>0</v>
      </c>
      <c r="Y2107">
        <f>IF($A2="","",SUMIF('07_Pallet_Contents'!$A$2:$A$3000,$A2,'07_Pallet_Contents'!$I$2:$I$3000))</f>
        <v>0</v>
      </c>
      <c r="Z2107" t="str">
        <f>IF($A2="","",IF(COUNTIF('07_Pallet_Contents'!$A$2:$A$3000,$A2)&gt;0,"Yes",""))</f>
        <v/>
      </c>
    </row>
    <row r="2108" spans="23:26">
      <c r="W2108">
        <f>IF($A2="","",COUNTIF('07_Pallet_Contents'!$A$2:$A$3000,$A2))</f>
        <v>0</v>
      </c>
      <c r="X2108">
        <f>IF($A2="","",SUMIF('07_Pallet_Contents'!$A$2:$A$3000,$A2,'07_Pallet_Contents'!$D$2:$D$3000))</f>
        <v>0</v>
      </c>
      <c r="Y2108">
        <f>IF($A2="","",SUMIF('07_Pallet_Contents'!$A$2:$A$3000,$A2,'07_Pallet_Contents'!$I$2:$I$3000))</f>
        <v>0</v>
      </c>
      <c r="Z2108" t="str">
        <f>IF($A2="","",IF(COUNTIF('07_Pallet_Contents'!$A$2:$A$3000,$A2)&gt;0,"Yes",""))</f>
        <v/>
      </c>
    </row>
    <row r="2109" spans="23:26">
      <c r="W2109">
        <f>IF($A2="","",COUNTIF('07_Pallet_Contents'!$A$2:$A$3000,$A2))</f>
        <v>0</v>
      </c>
      <c r="X2109">
        <f>IF($A2="","",SUMIF('07_Pallet_Contents'!$A$2:$A$3000,$A2,'07_Pallet_Contents'!$D$2:$D$3000))</f>
        <v>0</v>
      </c>
      <c r="Y2109">
        <f>IF($A2="","",SUMIF('07_Pallet_Contents'!$A$2:$A$3000,$A2,'07_Pallet_Contents'!$I$2:$I$3000))</f>
        <v>0</v>
      </c>
      <c r="Z2109" t="str">
        <f>IF($A2="","",IF(COUNTIF('07_Pallet_Contents'!$A$2:$A$3000,$A2)&gt;0,"Yes",""))</f>
        <v/>
      </c>
    </row>
    <row r="2110" spans="23:26">
      <c r="W2110">
        <f>IF($A2="","",COUNTIF('07_Pallet_Contents'!$A$2:$A$3000,$A2))</f>
        <v>0</v>
      </c>
      <c r="X2110">
        <f>IF($A2="","",SUMIF('07_Pallet_Contents'!$A$2:$A$3000,$A2,'07_Pallet_Contents'!$D$2:$D$3000))</f>
        <v>0</v>
      </c>
      <c r="Y2110">
        <f>IF($A2="","",SUMIF('07_Pallet_Contents'!$A$2:$A$3000,$A2,'07_Pallet_Contents'!$I$2:$I$3000))</f>
        <v>0</v>
      </c>
      <c r="Z2110" t="str">
        <f>IF($A2="","",IF(COUNTIF('07_Pallet_Contents'!$A$2:$A$3000,$A2)&gt;0,"Yes",""))</f>
        <v/>
      </c>
    </row>
    <row r="2111" spans="23:26">
      <c r="W2111">
        <f>IF($A2="","",COUNTIF('07_Pallet_Contents'!$A$2:$A$3000,$A2))</f>
        <v>0</v>
      </c>
      <c r="X2111">
        <f>IF($A2="","",SUMIF('07_Pallet_Contents'!$A$2:$A$3000,$A2,'07_Pallet_Contents'!$D$2:$D$3000))</f>
        <v>0</v>
      </c>
      <c r="Y2111">
        <f>IF($A2="","",SUMIF('07_Pallet_Contents'!$A$2:$A$3000,$A2,'07_Pallet_Contents'!$I$2:$I$3000))</f>
        <v>0</v>
      </c>
      <c r="Z2111" t="str">
        <f>IF($A2="","",IF(COUNTIF('07_Pallet_Contents'!$A$2:$A$3000,$A2)&gt;0,"Yes",""))</f>
        <v/>
      </c>
    </row>
    <row r="2112" spans="23:26">
      <c r="W2112">
        <f>IF($A2="","",COUNTIF('07_Pallet_Contents'!$A$2:$A$3000,$A2))</f>
        <v>0</v>
      </c>
      <c r="X2112">
        <f>IF($A2="","",SUMIF('07_Pallet_Contents'!$A$2:$A$3000,$A2,'07_Pallet_Contents'!$D$2:$D$3000))</f>
        <v>0</v>
      </c>
      <c r="Y2112">
        <f>IF($A2="","",SUMIF('07_Pallet_Contents'!$A$2:$A$3000,$A2,'07_Pallet_Contents'!$I$2:$I$3000))</f>
        <v>0</v>
      </c>
      <c r="Z2112" t="str">
        <f>IF($A2="","",IF(COUNTIF('07_Pallet_Contents'!$A$2:$A$3000,$A2)&gt;0,"Yes",""))</f>
        <v/>
      </c>
    </row>
    <row r="2113" spans="23:26">
      <c r="W2113">
        <f>IF($A2="","",COUNTIF('07_Pallet_Contents'!$A$2:$A$3000,$A2))</f>
        <v>0</v>
      </c>
      <c r="X2113">
        <f>IF($A2="","",SUMIF('07_Pallet_Contents'!$A$2:$A$3000,$A2,'07_Pallet_Contents'!$D$2:$D$3000))</f>
        <v>0</v>
      </c>
      <c r="Y2113">
        <f>IF($A2="","",SUMIF('07_Pallet_Contents'!$A$2:$A$3000,$A2,'07_Pallet_Contents'!$I$2:$I$3000))</f>
        <v>0</v>
      </c>
      <c r="Z2113" t="str">
        <f>IF($A2="","",IF(COUNTIF('07_Pallet_Contents'!$A$2:$A$3000,$A2)&gt;0,"Yes",""))</f>
        <v/>
      </c>
    </row>
    <row r="2114" spans="23:26">
      <c r="W2114">
        <f>IF($A2="","",COUNTIF('07_Pallet_Contents'!$A$2:$A$3000,$A2))</f>
        <v>0</v>
      </c>
      <c r="X2114">
        <f>IF($A2="","",SUMIF('07_Pallet_Contents'!$A$2:$A$3000,$A2,'07_Pallet_Contents'!$D$2:$D$3000))</f>
        <v>0</v>
      </c>
      <c r="Y2114">
        <f>IF($A2="","",SUMIF('07_Pallet_Contents'!$A$2:$A$3000,$A2,'07_Pallet_Contents'!$I$2:$I$3000))</f>
        <v>0</v>
      </c>
      <c r="Z2114" t="str">
        <f>IF($A2="","",IF(COUNTIF('07_Pallet_Contents'!$A$2:$A$3000,$A2)&gt;0,"Yes",""))</f>
        <v/>
      </c>
    </row>
    <row r="2115" spans="23:26">
      <c r="W2115">
        <f>IF($A2="","",COUNTIF('07_Pallet_Contents'!$A$2:$A$3000,$A2))</f>
        <v>0</v>
      </c>
      <c r="X2115">
        <f>IF($A2="","",SUMIF('07_Pallet_Contents'!$A$2:$A$3000,$A2,'07_Pallet_Contents'!$D$2:$D$3000))</f>
        <v>0</v>
      </c>
      <c r="Y2115">
        <f>IF($A2="","",SUMIF('07_Pallet_Contents'!$A$2:$A$3000,$A2,'07_Pallet_Contents'!$I$2:$I$3000))</f>
        <v>0</v>
      </c>
      <c r="Z2115" t="str">
        <f>IF($A2="","",IF(COUNTIF('07_Pallet_Contents'!$A$2:$A$3000,$A2)&gt;0,"Yes",""))</f>
        <v/>
      </c>
    </row>
    <row r="2116" spans="23:26">
      <c r="W2116">
        <f>IF($A2="","",COUNTIF('07_Pallet_Contents'!$A$2:$A$3000,$A2))</f>
        <v>0</v>
      </c>
      <c r="X2116">
        <f>IF($A2="","",SUMIF('07_Pallet_Contents'!$A$2:$A$3000,$A2,'07_Pallet_Contents'!$D$2:$D$3000))</f>
        <v>0</v>
      </c>
      <c r="Y2116">
        <f>IF($A2="","",SUMIF('07_Pallet_Contents'!$A$2:$A$3000,$A2,'07_Pallet_Contents'!$I$2:$I$3000))</f>
        <v>0</v>
      </c>
      <c r="Z2116" t="str">
        <f>IF($A2="","",IF(COUNTIF('07_Pallet_Contents'!$A$2:$A$3000,$A2)&gt;0,"Yes",""))</f>
        <v/>
      </c>
    </row>
    <row r="2117" spans="23:26">
      <c r="W2117">
        <f>IF($A2="","",COUNTIF('07_Pallet_Contents'!$A$2:$A$3000,$A2))</f>
        <v>0</v>
      </c>
      <c r="X2117">
        <f>IF($A2="","",SUMIF('07_Pallet_Contents'!$A$2:$A$3000,$A2,'07_Pallet_Contents'!$D$2:$D$3000))</f>
        <v>0</v>
      </c>
      <c r="Y2117">
        <f>IF($A2="","",SUMIF('07_Pallet_Contents'!$A$2:$A$3000,$A2,'07_Pallet_Contents'!$I$2:$I$3000))</f>
        <v>0</v>
      </c>
      <c r="Z2117" t="str">
        <f>IF($A2="","",IF(COUNTIF('07_Pallet_Contents'!$A$2:$A$3000,$A2)&gt;0,"Yes",""))</f>
        <v/>
      </c>
    </row>
    <row r="2118" spans="23:26">
      <c r="W2118">
        <f>IF($A2="","",COUNTIF('07_Pallet_Contents'!$A$2:$A$3000,$A2))</f>
        <v>0</v>
      </c>
      <c r="X2118">
        <f>IF($A2="","",SUMIF('07_Pallet_Contents'!$A$2:$A$3000,$A2,'07_Pallet_Contents'!$D$2:$D$3000))</f>
        <v>0</v>
      </c>
      <c r="Y2118">
        <f>IF($A2="","",SUMIF('07_Pallet_Contents'!$A$2:$A$3000,$A2,'07_Pallet_Contents'!$I$2:$I$3000))</f>
        <v>0</v>
      </c>
      <c r="Z2118" t="str">
        <f>IF($A2="","",IF(COUNTIF('07_Pallet_Contents'!$A$2:$A$3000,$A2)&gt;0,"Yes",""))</f>
        <v/>
      </c>
    </row>
    <row r="2119" spans="23:26">
      <c r="W2119">
        <f>IF($A2="","",COUNTIF('07_Pallet_Contents'!$A$2:$A$3000,$A2))</f>
        <v>0</v>
      </c>
      <c r="X2119">
        <f>IF($A2="","",SUMIF('07_Pallet_Contents'!$A$2:$A$3000,$A2,'07_Pallet_Contents'!$D$2:$D$3000))</f>
        <v>0</v>
      </c>
      <c r="Y2119">
        <f>IF($A2="","",SUMIF('07_Pallet_Contents'!$A$2:$A$3000,$A2,'07_Pallet_Contents'!$I$2:$I$3000))</f>
        <v>0</v>
      </c>
      <c r="Z2119" t="str">
        <f>IF($A2="","",IF(COUNTIF('07_Pallet_Contents'!$A$2:$A$3000,$A2)&gt;0,"Yes",""))</f>
        <v/>
      </c>
    </row>
    <row r="2120" spans="23:26">
      <c r="W2120">
        <f>IF($A2="","",COUNTIF('07_Pallet_Contents'!$A$2:$A$3000,$A2))</f>
        <v>0</v>
      </c>
      <c r="X2120">
        <f>IF($A2="","",SUMIF('07_Pallet_Contents'!$A$2:$A$3000,$A2,'07_Pallet_Contents'!$D$2:$D$3000))</f>
        <v>0</v>
      </c>
      <c r="Y2120">
        <f>IF($A2="","",SUMIF('07_Pallet_Contents'!$A$2:$A$3000,$A2,'07_Pallet_Contents'!$I$2:$I$3000))</f>
        <v>0</v>
      </c>
      <c r="Z2120" t="str">
        <f>IF($A2="","",IF(COUNTIF('07_Pallet_Contents'!$A$2:$A$3000,$A2)&gt;0,"Yes",""))</f>
        <v/>
      </c>
    </row>
    <row r="2121" spans="23:26">
      <c r="W2121">
        <f>IF($A2="","",COUNTIF('07_Pallet_Contents'!$A$2:$A$3000,$A2))</f>
        <v>0</v>
      </c>
      <c r="X2121">
        <f>IF($A2="","",SUMIF('07_Pallet_Contents'!$A$2:$A$3000,$A2,'07_Pallet_Contents'!$D$2:$D$3000))</f>
        <v>0</v>
      </c>
      <c r="Y2121">
        <f>IF($A2="","",SUMIF('07_Pallet_Contents'!$A$2:$A$3000,$A2,'07_Pallet_Contents'!$I$2:$I$3000))</f>
        <v>0</v>
      </c>
      <c r="Z2121" t="str">
        <f>IF($A2="","",IF(COUNTIF('07_Pallet_Contents'!$A$2:$A$3000,$A2)&gt;0,"Yes",""))</f>
        <v/>
      </c>
    </row>
    <row r="2122" spans="23:26">
      <c r="W2122">
        <f>IF($A2="","",COUNTIF('07_Pallet_Contents'!$A$2:$A$3000,$A2))</f>
        <v>0</v>
      </c>
      <c r="X2122">
        <f>IF($A2="","",SUMIF('07_Pallet_Contents'!$A$2:$A$3000,$A2,'07_Pallet_Contents'!$D$2:$D$3000))</f>
        <v>0</v>
      </c>
      <c r="Y2122">
        <f>IF($A2="","",SUMIF('07_Pallet_Contents'!$A$2:$A$3000,$A2,'07_Pallet_Contents'!$I$2:$I$3000))</f>
        <v>0</v>
      </c>
      <c r="Z2122" t="str">
        <f>IF($A2="","",IF(COUNTIF('07_Pallet_Contents'!$A$2:$A$3000,$A2)&gt;0,"Yes",""))</f>
        <v/>
      </c>
    </row>
    <row r="2123" spans="23:26">
      <c r="W2123">
        <f>IF($A2="","",COUNTIF('07_Pallet_Contents'!$A$2:$A$3000,$A2))</f>
        <v>0</v>
      </c>
      <c r="X2123">
        <f>IF($A2="","",SUMIF('07_Pallet_Contents'!$A$2:$A$3000,$A2,'07_Pallet_Contents'!$D$2:$D$3000))</f>
        <v>0</v>
      </c>
      <c r="Y2123">
        <f>IF($A2="","",SUMIF('07_Pallet_Contents'!$A$2:$A$3000,$A2,'07_Pallet_Contents'!$I$2:$I$3000))</f>
        <v>0</v>
      </c>
      <c r="Z2123" t="str">
        <f>IF($A2="","",IF(COUNTIF('07_Pallet_Contents'!$A$2:$A$3000,$A2)&gt;0,"Yes",""))</f>
        <v/>
      </c>
    </row>
    <row r="2124" spans="23:26">
      <c r="W2124">
        <f>IF($A2="","",COUNTIF('07_Pallet_Contents'!$A$2:$A$3000,$A2))</f>
        <v>0</v>
      </c>
      <c r="X2124">
        <f>IF($A2="","",SUMIF('07_Pallet_Contents'!$A$2:$A$3000,$A2,'07_Pallet_Contents'!$D$2:$D$3000))</f>
        <v>0</v>
      </c>
      <c r="Y2124">
        <f>IF($A2="","",SUMIF('07_Pallet_Contents'!$A$2:$A$3000,$A2,'07_Pallet_Contents'!$I$2:$I$3000))</f>
        <v>0</v>
      </c>
      <c r="Z2124" t="str">
        <f>IF($A2="","",IF(COUNTIF('07_Pallet_Contents'!$A$2:$A$3000,$A2)&gt;0,"Yes",""))</f>
        <v/>
      </c>
    </row>
    <row r="2125" spans="23:26">
      <c r="W2125">
        <f>IF($A2="","",COUNTIF('07_Pallet_Contents'!$A$2:$A$3000,$A2))</f>
        <v>0</v>
      </c>
      <c r="X2125">
        <f>IF($A2="","",SUMIF('07_Pallet_Contents'!$A$2:$A$3000,$A2,'07_Pallet_Contents'!$D$2:$D$3000))</f>
        <v>0</v>
      </c>
      <c r="Y2125">
        <f>IF($A2="","",SUMIF('07_Pallet_Contents'!$A$2:$A$3000,$A2,'07_Pallet_Contents'!$I$2:$I$3000))</f>
        <v>0</v>
      </c>
      <c r="Z2125" t="str">
        <f>IF($A2="","",IF(COUNTIF('07_Pallet_Contents'!$A$2:$A$3000,$A2)&gt;0,"Yes",""))</f>
        <v/>
      </c>
    </row>
    <row r="2126" spans="23:26">
      <c r="W2126">
        <f>IF($A2="","",COUNTIF('07_Pallet_Contents'!$A$2:$A$3000,$A2))</f>
        <v>0</v>
      </c>
      <c r="X2126">
        <f>IF($A2="","",SUMIF('07_Pallet_Contents'!$A$2:$A$3000,$A2,'07_Pallet_Contents'!$D$2:$D$3000))</f>
        <v>0</v>
      </c>
      <c r="Y2126">
        <f>IF($A2="","",SUMIF('07_Pallet_Contents'!$A$2:$A$3000,$A2,'07_Pallet_Contents'!$I$2:$I$3000))</f>
        <v>0</v>
      </c>
      <c r="Z2126" t="str">
        <f>IF($A2="","",IF(COUNTIF('07_Pallet_Contents'!$A$2:$A$3000,$A2)&gt;0,"Yes",""))</f>
        <v/>
      </c>
    </row>
    <row r="2127" spans="23:26">
      <c r="W2127">
        <f>IF($A2="","",COUNTIF('07_Pallet_Contents'!$A$2:$A$3000,$A2))</f>
        <v>0</v>
      </c>
      <c r="X2127">
        <f>IF($A2="","",SUMIF('07_Pallet_Contents'!$A$2:$A$3000,$A2,'07_Pallet_Contents'!$D$2:$D$3000))</f>
        <v>0</v>
      </c>
      <c r="Y2127">
        <f>IF($A2="","",SUMIF('07_Pallet_Contents'!$A$2:$A$3000,$A2,'07_Pallet_Contents'!$I$2:$I$3000))</f>
        <v>0</v>
      </c>
      <c r="Z2127" t="str">
        <f>IF($A2="","",IF(COUNTIF('07_Pallet_Contents'!$A$2:$A$3000,$A2)&gt;0,"Yes",""))</f>
        <v/>
      </c>
    </row>
    <row r="2128" spans="23:26">
      <c r="W2128">
        <f>IF($A2="","",COUNTIF('07_Pallet_Contents'!$A$2:$A$3000,$A2))</f>
        <v>0</v>
      </c>
      <c r="X2128">
        <f>IF($A2="","",SUMIF('07_Pallet_Contents'!$A$2:$A$3000,$A2,'07_Pallet_Contents'!$D$2:$D$3000))</f>
        <v>0</v>
      </c>
      <c r="Y2128">
        <f>IF($A2="","",SUMIF('07_Pallet_Contents'!$A$2:$A$3000,$A2,'07_Pallet_Contents'!$I$2:$I$3000))</f>
        <v>0</v>
      </c>
      <c r="Z2128" t="str">
        <f>IF($A2="","",IF(COUNTIF('07_Pallet_Contents'!$A$2:$A$3000,$A2)&gt;0,"Yes",""))</f>
        <v/>
      </c>
    </row>
    <row r="2129" spans="23:26">
      <c r="W2129">
        <f>IF($A2="","",COUNTIF('07_Pallet_Contents'!$A$2:$A$3000,$A2))</f>
        <v>0</v>
      </c>
      <c r="X2129">
        <f>IF($A2="","",SUMIF('07_Pallet_Contents'!$A$2:$A$3000,$A2,'07_Pallet_Contents'!$D$2:$D$3000))</f>
        <v>0</v>
      </c>
      <c r="Y2129">
        <f>IF($A2="","",SUMIF('07_Pallet_Contents'!$A$2:$A$3000,$A2,'07_Pallet_Contents'!$I$2:$I$3000))</f>
        <v>0</v>
      </c>
      <c r="Z2129" t="str">
        <f>IF($A2="","",IF(COUNTIF('07_Pallet_Contents'!$A$2:$A$3000,$A2)&gt;0,"Yes",""))</f>
        <v/>
      </c>
    </row>
    <row r="2130" spans="23:26">
      <c r="W2130">
        <f>IF($A2="","",COUNTIF('07_Pallet_Contents'!$A$2:$A$3000,$A2))</f>
        <v>0</v>
      </c>
      <c r="X2130">
        <f>IF($A2="","",SUMIF('07_Pallet_Contents'!$A$2:$A$3000,$A2,'07_Pallet_Contents'!$D$2:$D$3000))</f>
        <v>0</v>
      </c>
      <c r="Y2130">
        <f>IF($A2="","",SUMIF('07_Pallet_Contents'!$A$2:$A$3000,$A2,'07_Pallet_Contents'!$I$2:$I$3000))</f>
        <v>0</v>
      </c>
      <c r="Z2130" t="str">
        <f>IF($A2="","",IF(COUNTIF('07_Pallet_Contents'!$A$2:$A$3000,$A2)&gt;0,"Yes",""))</f>
        <v/>
      </c>
    </row>
    <row r="2131" spans="23:26">
      <c r="W2131">
        <f>IF($A2="","",COUNTIF('07_Pallet_Contents'!$A$2:$A$3000,$A2))</f>
        <v>0</v>
      </c>
      <c r="X2131">
        <f>IF($A2="","",SUMIF('07_Pallet_Contents'!$A$2:$A$3000,$A2,'07_Pallet_Contents'!$D$2:$D$3000))</f>
        <v>0</v>
      </c>
      <c r="Y2131">
        <f>IF($A2="","",SUMIF('07_Pallet_Contents'!$A$2:$A$3000,$A2,'07_Pallet_Contents'!$I$2:$I$3000))</f>
        <v>0</v>
      </c>
      <c r="Z2131" t="str">
        <f>IF($A2="","",IF(COUNTIF('07_Pallet_Contents'!$A$2:$A$3000,$A2)&gt;0,"Yes",""))</f>
        <v/>
      </c>
    </row>
    <row r="2132" spans="23:26">
      <c r="W2132">
        <f>IF($A2="","",COUNTIF('07_Pallet_Contents'!$A$2:$A$3000,$A2))</f>
        <v>0</v>
      </c>
      <c r="X2132">
        <f>IF($A2="","",SUMIF('07_Pallet_Contents'!$A$2:$A$3000,$A2,'07_Pallet_Contents'!$D$2:$D$3000))</f>
        <v>0</v>
      </c>
      <c r="Y2132">
        <f>IF($A2="","",SUMIF('07_Pallet_Contents'!$A$2:$A$3000,$A2,'07_Pallet_Contents'!$I$2:$I$3000))</f>
        <v>0</v>
      </c>
      <c r="Z2132" t="str">
        <f>IF($A2="","",IF(COUNTIF('07_Pallet_Contents'!$A$2:$A$3000,$A2)&gt;0,"Yes",""))</f>
        <v/>
      </c>
    </row>
    <row r="2133" spans="23:26">
      <c r="W2133">
        <f>IF($A2="","",COUNTIF('07_Pallet_Contents'!$A$2:$A$3000,$A2))</f>
        <v>0</v>
      </c>
      <c r="X2133">
        <f>IF($A2="","",SUMIF('07_Pallet_Contents'!$A$2:$A$3000,$A2,'07_Pallet_Contents'!$D$2:$D$3000))</f>
        <v>0</v>
      </c>
      <c r="Y2133">
        <f>IF($A2="","",SUMIF('07_Pallet_Contents'!$A$2:$A$3000,$A2,'07_Pallet_Contents'!$I$2:$I$3000))</f>
        <v>0</v>
      </c>
      <c r="Z2133" t="str">
        <f>IF($A2="","",IF(COUNTIF('07_Pallet_Contents'!$A$2:$A$3000,$A2)&gt;0,"Yes",""))</f>
        <v/>
      </c>
    </row>
    <row r="2134" spans="23:26">
      <c r="W2134">
        <f>IF($A2="","",COUNTIF('07_Pallet_Contents'!$A$2:$A$3000,$A2))</f>
        <v>0</v>
      </c>
      <c r="X2134">
        <f>IF($A2="","",SUMIF('07_Pallet_Contents'!$A$2:$A$3000,$A2,'07_Pallet_Contents'!$D$2:$D$3000))</f>
        <v>0</v>
      </c>
      <c r="Y2134">
        <f>IF($A2="","",SUMIF('07_Pallet_Contents'!$A$2:$A$3000,$A2,'07_Pallet_Contents'!$I$2:$I$3000))</f>
        <v>0</v>
      </c>
      <c r="Z2134" t="str">
        <f>IF($A2="","",IF(COUNTIF('07_Pallet_Contents'!$A$2:$A$3000,$A2)&gt;0,"Yes",""))</f>
        <v/>
      </c>
    </row>
    <row r="2135" spans="23:26">
      <c r="W2135">
        <f>IF($A2="","",COUNTIF('07_Pallet_Contents'!$A$2:$A$3000,$A2))</f>
        <v>0</v>
      </c>
      <c r="X2135">
        <f>IF($A2="","",SUMIF('07_Pallet_Contents'!$A$2:$A$3000,$A2,'07_Pallet_Contents'!$D$2:$D$3000))</f>
        <v>0</v>
      </c>
      <c r="Y2135">
        <f>IF($A2="","",SUMIF('07_Pallet_Contents'!$A$2:$A$3000,$A2,'07_Pallet_Contents'!$I$2:$I$3000))</f>
        <v>0</v>
      </c>
      <c r="Z2135" t="str">
        <f>IF($A2="","",IF(COUNTIF('07_Pallet_Contents'!$A$2:$A$3000,$A2)&gt;0,"Yes",""))</f>
        <v/>
      </c>
    </row>
    <row r="2136" spans="23:26">
      <c r="W2136">
        <f>IF($A2="","",COUNTIF('07_Pallet_Contents'!$A$2:$A$3000,$A2))</f>
        <v>0</v>
      </c>
      <c r="X2136">
        <f>IF($A2="","",SUMIF('07_Pallet_Contents'!$A$2:$A$3000,$A2,'07_Pallet_Contents'!$D$2:$D$3000))</f>
        <v>0</v>
      </c>
      <c r="Y2136">
        <f>IF($A2="","",SUMIF('07_Pallet_Contents'!$A$2:$A$3000,$A2,'07_Pallet_Contents'!$I$2:$I$3000))</f>
        <v>0</v>
      </c>
      <c r="Z2136" t="str">
        <f>IF($A2="","",IF(COUNTIF('07_Pallet_Contents'!$A$2:$A$3000,$A2)&gt;0,"Yes",""))</f>
        <v/>
      </c>
    </row>
    <row r="2137" spans="23:26">
      <c r="W2137">
        <f>IF($A2="","",COUNTIF('07_Pallet_Contents'!$A$2:$A$3000,$A2))</f>
        <v>0</v>
      </c>
      <c r="X2137">
        <f>IF($A2="","",SUMIF('07_Pallet_Contents'!$A$2:$A$3000,$A2,'07_Pallet_Contents'!$D$2:$D$3000))</f>
        <v>0</v>
      </c>
      <c r="Y2137">
        <f>IF($A2="","",SUMIF('07_Pallet_Contents'!$A$2:$A$3000,$A2,'07_Pallet_Contents'!$I$2:$I$3000))</f>
        <v>0</v>
      </c>
      <c r="Z2137" t="str">
        <f>IF($A2="","",IF(COUNTIF('07_Pallet_Contents'!$A$2:$A$3000,$A2)&gt;0,"Yes",""))</f>
        <v/>
      </c>
    </row>
    <row r="2138" spans="23:26">
      <c r="W2138">
        <f>IF($A2="","",COUNTIF('07_Pallet_Contents'!$A$2:$A$3000,$A2))</f>
        <v>0</v>
      </c>
      <c r="X2138">
        <f>IF($A2="","",SUMIF('07_Pallet_Contents'!$A$2:$A$3000,$A2,'07_Pallet_Contents'!$D$2:$D$3000))</f>
        <v>0</v>
      </c>
      <c r="Y2138">
        <f>IF($A2="","",SUMIF('07_Pallet_Contents'!$A$2:$A$3000,$A2,'07_Pallet_Contents'!$I$2:$I$3000))</f>
        <v>0</v>
      </c>
      <c r="Z2138" t="str">
        <f>IF($A2="","",IF(COUNTIF('07_Pallet_Contents'!$A$2:$A$3000,$A2)&gt;0,"Yes",""))</f>
        <v/>
      </c>
    </row>
    <row r="2139" spans="23:26">
      <c r="W2139">
        <f>IF($A2="","",COUNTIF('07_Pallet_Contents'!$A$2:$A$3000,$A2))</f>
        <v>0</v>
      </c>
      <c r="X2139">
        <f>IF($A2="","",SUMIF('07_Pallet_Contents'!$A$2:$A$3000,$A2,'07_Pallet_Contents'!$D$2:$D$3000))</f>
        <v>0</v>
      </c>
      <c r="Y2139">
        <f>IF($A2="","",SUMIF('07_Pallet_Contents'!$A$2:$A$3000,$A2,'07_Pallet_Contents'!$I$2:$I$3000))</f>
        <v>0</v>
      </c>
      <c r="Z2139" t="str">
        <f>IF($A2="","",IF(COUNTIF('07_Pallet_Contents'!$A$2:$A$3000,$A2)&gt;0,"Yes",""))</f>
        <v/>
      </c>
    </row>
    <row r="2140" spans="23:26">
      <c r="W2140">
        <f>IF($A2="","",COUNTIF('07_Pallet_Contents'!$A$2:$A$3000,$A2))</f>
        <v>0</v>
      </c>
      <c r="X2140">
        <f>IF($A2="","",SUMIF('07_Pallet_Contents'!$A$2:$A$3000,$A2,'07_Pallet_Contents'!$D$2:$D$3000))</f>
        <v>0</v>
      </c>
      <c r="Y2140">
        <f>IF($A2="","",SUMIF('07_Pallet_Contents'!$A$2:$A$3000,$A2,'07_Pallet_Contents'!$I$2:$I$3000))</f>
        <v>0</v>
      </c>
      <c r="Z2140" t="str">
        <f>IF($A2="","",IF(COUNTIF('07_Pallet_Contents'!$A$2:$A$3000,$A2)&gt;0,"Yes",""))</f>
        <v/>
      </c>
    </row>
    <row r="2141" spans="23:26">
      <c r="W2141">
        <f>IF($A2="","",COUNTIF('07_Pallet_Contents'!$A$2:$A$3000,$A2))</f>
        <v>0</v>
      </c>
      <c r="X2141">
        <f>IF($A2="","",SUMIF('07_Pallet_Contents'!$A$2:$A$3000,$A2,'07_Pallet_Contents'!$D$2:$D$3000))</f>
        <v>0</v>
      </c>
      <c r="Y2141">
        <f>IF($A2="","",SUMIF('07_Pallet_Contents'!$A$2:$A$3000,$A2,'07_Pallet_Contents'!$I$2:$I$3000))</f>
        <v>0</v>
      </c>
      <c r="Z2141" t="str">
        <f>IF($A2="","",IF(COUNTIF('07_Pallet_Contents'!$A$2:$A$3000,$A2)&gt;0,"Yes",""))</f>
        <v/>
      </c>
    </row>
    <row r="2142" spans="23:26">
      <c r="W2142">
        <f>IF($A2="","",COUNTIF('07_Pallet_Contents'!$A$2:$A$3000,$A2))</f>
        <v>0</v>
      </c>
      <c r="X2142">
        <f>IF($A2="","",SUMIF('07_Pallet_Contents'!$A$2:$A$3000,$A2,'07_Pallet_Contents'!$D$2:$D$3000))</f>
        <v>0</v>
      </c>
      <c r="Y2142">
        <f>IF($A2="","",SUMIF('07_Pallet_Contents'!$A$2:$A$3000,$A2,'07_Pallet_Contents'!$I$2:$I$3000))</f>
        <v>0</v>
      </c>
      <c r="Z2142" t="str">
        <f>IF($A2="","",IF(COUNTIF('07_Pallet_Contents'!$A$2:$A$3000,$A2)&gt;0,"Yes",""))</f>
        <v/>
      </c>
    </row>
    <row r="2143" spans="23:26">
      <c r="W2143">
        <f>IF($A2="","",COUNTIF('07_Pallet_Contents'!$A$2:$A$3000,$A2))</f>
        <v>0</v>
      </c>
      <c r="X2143">
        <f>IF($A2="","",SUMIF('07_Pallet_Contents'!$A$2:$A$3000,$A2,'07_Pallet_Contents'!$D$2:$D$3000))</f>
        <v>0</v>
      </c>
      <c r="Y2143">
        <f>IF($A2="","",SUMIF('07_Pallet_Contents'!$A$2:$A$3000,$A2,'07_Pallet_Contents'!$I$2:$I$3000))</f>
        <v>0</v>
      </c>
      <c r="Z2143" t="str">
        <f>IF($A2="","",IF(COUNTIF('07_Pallet_Contents'!$A$2:$A$3000,$A2)&gt;0,"Yes",""))</f>
        <v/>
      </c>
    </row>
    <row r="2144" spans="23:26">
      <c r="W2144">
        <f>IF($A2="","",COUNTIF('07_Pallet_Contents'!$A$2:$A$3000,$A2))</f>
        <v>0</v>
      </c>
      <c r="X2144">
        <f>IF($A2="","",SUMIF('07_Pallet_Contents'!$A$2:$A$3000,$A2,'07_Pallet_Contents'!$D$2:$D$3000))</f>
        <v>0</v>
      </c>
      <c r="Y2144">
        <f>IF($A2="","",SUMIF('07_Pallet_Contents'!$A$2:$A$3000,$A2,'07_Pallet_Contents'!$I$2:$I$3000))</f>
        <v>0</v>
      </c>
      <c r="Z2144" t="str">
        <f>IF($A2="","",IF(COUNTIF('07_Pallet_Contents'!$A$2:$A$3000,$A2)&gt;0,"Yes",""))</f>
        <v/>
      </c>
    </row>
    <row r="2145" spans="23:26">
      <c r="W2145">
        <f>IF($A2="","",COUNTIF('07_Pallet_Contents'!$A$2:$A$3000,$A2))</f>
        <v>0</v>
      </c>
      <c r="X2145">
        <f>IF($A2="","",SUMIF('07_Pallet_Contents'!$A$2:$A$3000,$A2,'07_Pallet_Contents'!$D$2:$D$3000))</f>
        <v>0</v>
      </c>
      <c r="Y2145">
        <f>IF($A2="","",SUMIF('07_Pallet_Contents'!$A$2:$A$3000,$A2,'07_Pallet_Contents'!$I$2:$I$3000))</f>
        <v>0</v>
      </c>
      <c r="Z2145" t="str">
        <f>IF($A2="","",IF(COUNTIF('07_Pallet_Contents'!$A$2:$A$3000,$A2)&gt;0,"Yes",""))</f>
        <v/>
      </c>
    </row>
    <row r="2146" spans="23:26">
      <c r="W2146">
        <f>IF($A2="","",COUNTIF('07_Pallet_Contents'!$A$2:$A$3000,$A2))</f>
        <v>0</v>
      </c>
      <c r="X2146">
        <f>IF($A2="","",SUMIF('07_Pallet_Contents'!$A$2:$A$3000,$A2,'07_Pallet_Contents'!$D$2:$D$3000))</f>
        <v>0</v>
      </c>
      <c r="Y2146">
        <f>IF($A2="","",SUMIF('07_Pallet_Contents'!$A$2:$A$3000,$A2,'07_Pallet_Contents'!$I$2:$I$3000))</f>
        <v>0</v>
      </c>
      <c r="Z2146" t="str">
        <f>IF($A2="","",IF(COUNTIF('07_Pallet_Contents'!$A$2:$A$3000,$A2)&gt;0,"Yes",""))</f>
        <v/>
      </c>
    </row>
    <row r="2147" spans="23:26">
      <c r="W2147">
        <f>IF($A2="","",COUNTIF('07_Pallet_Contents'!$A$2:$A$3000,$A2))</f>
        <v>0</v>
      </c>
      <c r="X2147">
        <f>IF($A2="","",SUMIF('07_Pallet_Contents'!$A$2:$A$3000,$A2,'07_Pallet_Contents'!$D$2:$D$3000))</f>
        <v>0</v>
      </c>
      <c r="Y2147">
        <f>IF($A2="","",SUMIF('07_Pallet_Contents'!$A$2:$A$3000,$A2,'07_Pallet_Contents'!$I$2:$I$3000))</f>
        <v>0</v>
      </c>
      <c r="Z2147" t="str">
        <f>IF($A2="","",IF(COUNTIF('07_Pallet_Contents'!$A$2:$A$3000,$A2)&gt;0,"Yes",""))</f>
        <v/>
      </c>
    </row>
    <row r="2148" spans="23:26">
      <c r="W2148">
        <f>IF($A2="","",COUNTIF('07_Pallet_Contents'!$A$2:$A$3000,$A2))</f>
        <v>0</v>
      </c>
      <c r="X2148">
        <f>IF($A2="","",SUMIF('07_Pallet_Contents'!$A$2:$A$3000,$A2,'07_Pallet_Contents'!$D$2:$D$3000))</f>
        <v>0</v>
      </c>
      <c r="Y2148">
        <f>IF($A2="","",SUMIF('07_Pallet_Contents'!$A$2:$A$3000,$A2,'07_Pallet_Contents'!$I$2:$I$3000))</f>
        <v>0</v>
      </c>
      <c r="Z2148" t="str">
        <f>IF($A2="","",IF(COUNTIF('07_Pallet_Contents'!$A$2:$A$3000,$A2)&gt;0,"Yes",""))</f>
        <v/>
      </c>
    </row>
    <row r="2149" spans="23:26">
      <c r="W2149">
        <f>IF($A2="","",COUNTIF('07_Pallet_Contents'!$A$2:$A$3000,$A2))</f>
        <v>0</v>
      </c>
      <c r="X2149">
        <f>IF($A2="","",SUMIF('07_Pallet_Contents'!$A$2:$A$3000,$A2,'07_Pallet_Contents'!$D$2:$D$3000))</f>
        <v>0</v>
      </c>
      <c r="Y2149">
        <f>IF($A2="","",SUMIF('07_Pallet_Contents'!$A$2:$A$3000,$A2,'07_Pallet_Contents'!$I$2:$I$3000))</f>
        <v>0</v>
      </c>
      <c r="Z2149" t="str">
        <f>IF($A2="","",IF(COUNTIF('07_Pallet_Contents'!$A$2:$A$3000,$A2)&gt;0,"Yes",""))</f>
        <v/>
      </c>
    </row>
    <row r="2150" spans="23:26">
      <c r="W2150">
        <f>IF($A2="","",COUNTIF('07_Pallet_Contents'!$A$2:$A$3000,$A2))</f>
        <v>0</v>
      </c>
      <c r="X2150">
        <f>IF($A2="","",SUMIF('07_Pallet_Contents'!$A$2:$A$3000,$A2,'07_Pallet_Contents'!$D$2:$D$3000))</f>
        <v>0</v>
      </c>
      <c r="Y2150">
        <f>IF($A2="","",SUMIF('07_Pallet_Contents'!$A$2:$A$3000,$A2,'07_Pallet_Contents'!$I$2:$I$3000))</f>
        <v>0</v>
      </c>
      <c r="Z2150" t="str">
        <f>IF($A2="","",IF(COUNTIF('07_Pallet_Contents'!$A$2:$A$3000,$A2)&gt;0,"Yes",""))</f>
        <v/>
      </c>
    </row>
    <row r="2151" spans="23:26">
      <c r="W2151">
        <f>IF($A2="","",COUNTIF('07_Pallet_Contents'!$A$2:$A$3000,$A2))</f>
        <v>0</v>
      </c>
      <c r="X2151">
        <f>IF($A2="","",SUMIF('07_Pallet_Contents'!$A$2:$A$3000,$A2,'07_Pallet_Contents'!$D$2:$D$3000))</f>
        <v>0</v>
      </c>
      <c r="Y2151">
        <f>IF($A2="","",SUMIF('07_Pallet_Contents'!$A$2:$A$3000,$A2,'07_Pallet_Contents'!$I$2:$I$3000))</f>
        <v>0</v>
      </c>
      <c r="Z2151" t="str">
        <f>IF($A2="","",IF(COUNTIF('07_Pallet_Contents'!$A$2:$A$3000,$A2)&gt;0,"Yes",""))</f>
        <v/>
      </c>
    </row>
    <row r="2152" spans="23:26">
      <c r="W2152">
        <f>IF($A2="","",COUNTIF('07_Pallet_Contents'!$A$2:$A$3000,$A2))</f>
        <v>0</v>
      </c>
      <c r="X2152">
        <f>IF($A2="","",SUMIF('07_Pallet_Contents'!$A$2:$A$3000,$A2,'07_Pallet_Contents'!$D$2:$D$3000))</f>
        <v>0</v>
      </c>
      <c r="Y2152">
        <f>IF($A2="","",SUMIF('07_Pallet_Contents'!$A$2:$A$3000,$A2,'07_Pallet_Contents'!$I$2:$I$3000))</f>
        <v>0</v>
      </c>
      <c r="Z2152" t="str">
        <f>IF($A2="","",IF(COUNTIF('07_Pallet_Contents'!$A$2:$A$3000,$A2)&gt;0,"Yes",""))</f>
        <v/>
      </c>
    </row>
    <row r="2153" spans="23:26">
      <c r="W2153">
        <f>IF($A2="","",COUNTIF('07_Pallet_Contents'!$A$2:$A$3000,$A2))</f>
        <v>0</v>
      </c>
      <c r="X2153">
        <f>IF($A2="","",SUMIF('07_Pallet_Contents'!$A$2:$A$3000,$A2,'07_Pallet_Contents'!$D$2:$D$3000))</f>
        <v>0</v>
      </c>
      <c r="Y2153">
        <f>IF($A2="","",SUMIF('07_Pallet_Contents'!$A$2:$A$3000,$A2,'07_Pallet_Contents'!$I$2:$I$3000))</f>
        <v>0</v>
      </c>
      <c r="Z2153" t="str">
        <f>IF($A2="","",IF(COUNTIF('07_Pallet_Contents'!$A$2:$A$3000,$A2)&gt;0,"Yes",""))</f>
        <v/>
      </c>
    </row>
    <row r="2154" spans="23:26">
      <c r="W2154">
        <f>IF($A2="","",COUNTIF('07_Pallet_Contents'!$A$2:$A$3000,$A2))</f>
        <v>0</v>
      </c>
      <c r="X2154">
        <f>IF($A2="","",SUMIF('07_Pallet_Contents'!$A$2:$A$3000,$A2,'07_Pallet_Contents'!$D$2:$D$3000))</f>
        <v>0</v>
      </c>
      <c r="Y2154">
        <f>IF($A2="","",SUMIF('07_Pallet_Contents'!$A$2:$A$3000,$A2,'07_Pallet_Contents'!$I$2:$I$3000))</f>
        <v>0</v>
      </c>
      <c r="Z2154" t="str">
        <f>IF($A2="","",IF(COUNTIF('07_Pallet_Contents'!$A$2:$A$3000,$A2)&gt;0,"Yes",""))</f>
        <v/>
      </c>
    </row>
    <row r="2155" spans="23:26">
      <c r="W2155">
        <f>IF($A2="","",COUNTIF('07_Pallet_Contents'!$A$2:$A$3000,$A2))</f>
        <v>0</v>
      </c>
      <c r="X2155">
        <f>IF($A2="","",SUMIF('07_Pallet_Contents'!$A$2:$A$3000,$A2,'07_Pallet_Contents'!$D$2:$D$3000))</f>
        <v>0</v>
      </c>
      <c r="Y2155">
        <f>IF($A2="","",SUMIF('07_Pallet_Contents'!$A$2:$A$3000,$A2,'07_Pallet_Contents'!$I$2:$I$3000))</f>
        <v>0</v>
      </c>
      <c r="Z2155" t="str">
        <f>IF($A2="","",IF(COUNTIF('07_Pallet_Contents'!$A$2:$A$3000,$A2)&gt;0,"Yes",""))</f>
        <v/>
      </c>
    </row>
    <row r="2156" spans="23:26">
      <c r="W2156">
        <f>IF($A2="","",COUNTIF('07_Pallet_Contents'!$A$2:$A$3000,$A2))</f>
        <v>0</v>
      </c>
      <c r="X2156">
        <f>IF($A2="","",SUMIF('07_Pallet_Contents'!$A$2:$A$3000,$A2,'07_Pallet_Contents'!$D$2:$D$3000))</f>
        <v>0</v>
      </c>
      <c r="Y2156">
        <f>IF($A2="","",SUMIF('07_Pallet_Contents'!$A$2:$A$3000,$A2,'07_Pallet_Contents'!$I$2:$I$3000))</f>
        <v>0</v>
      </c>
      <c r="Z2156" t="str">
        <f>IF($A2="","",IF(COUNTIF('07_Pallet_Contents'!$A$2:$A$3000,$A2)&gt;0,"Yes",""))</f>
        <v/>
      </c>
    </row>
    <row r="2157" spans="23:26">
      <c r="W2157">
        <f>IF($A2="","",COUNTIF('07_Pallet_Contents'!$A$2:$A$3000,$A2))</f>
        <v>0</v>
      </c>
      <c r="X2157">
        <f>IF($A2="","",SUMIF('07_Pallet_Contents'!$A$2:$A$3000,$A2,'07_Pallet_Contents'!$D$2:$D$3000))</f>
        <v>0</v>
      </c>
      <c r="Y2157">
        <f>IF($A2="","",SUMIF('07_Pallet_Contents'!$A$2:$A$3000,$A2,'07_Pallet_Contents'!$I$2:$I$3000))</f>
        <v>0</v>
      </c>
      <c r="Z2157" t="str">
        <f>IF($A2="","",IF(COUNTIF('07_Pallet_Contents'!$A$2:$A$3000,$A2)&gt;0,"Yes",""))</f>
        <v/>
      </c>
    </row>
    <row r="2158" spans="23:26">
      <c r="W2158">
        <f>IF($A2="","",COUNTIF('07_Pallet_Contents'!$A$2:$A$3000,$A2))</f>
        <v>0</v>
      </c>
      <c r="X2158">
        <f>IF($A2="","",SUMIF('07_Pallet_Contents'!$A$2:$A$3000,$A2,'07_Pallet_Contents'!$D$2:$D$3000))</f>
        <v>0</v>
      </c>
      <c r="Y2158">
        <f>IF($A2="","",SUMIF('07_Pallet_Contents'!$A$2:$A$3000,$A2,'07_Pallet_Contents'!$I$2:$I$3000))</f>
        <v>0</v>
      </c>
      <c r="Z2158" t="str">
        <f>IF($A2="","",IF(COUNTIF('07_Pallet_Contents'!$A$2:$A$3000,$A2)&gt;0,"Yes",""))</f>
        <v/>
      </c>
    </row>
    <row r="2159" spans="23:26">
      <c r="W2159">
        <f>IF($A2="","",COUNTIF('07_Pallet_Contents'!$A$2:$A$3000,$A2))</f>
        <v>0</v>
      </c>
      <c r="X2159">
        <f>IF($A2="","",SUMIF('07_Pallet_Contents'!$A$2:$A$3000,$A2,'07_Pallet_Contents'!$D$2:$D$3000))</f>
        <v>0</v>
      </c>
      <c r="Y2159">
        <f>IF($A2="","",SUMIF('07_Pallet_Contents'!$A$2:$A$3000,$A2,'07_Pallet_Contents'!$I$2:$I$3000))</f>
        <v>0</v>
      </c>
      <c r="Z2159" t="str">
        <f>IF($A2="","",IF(COUNTIF('07_Pallet_Contents'!$A$2:$A$3000,$A2)&gt;0,"Yes",""))</f>
        <v/>
      </c>
    </row>
    <row r="2160" spans="23:26">
      <c r="W2160">
        <f>IF($A2="","",COUNTIF('07_Pallet_Contents'!$A$2:$A$3000,$A2))</f>
        <v>0</v>
      </c>
      <c r="X2160">
        <f>IF($A2="","",SUMIF('07_Pallet_Contents'!$A$2:$A$3000,$A2,'07_Pallet_Contents'!$D$2:$D$3000))</f>
        <v>0</v>
      </c>
      <c r="Y2160">
        <f>IF($A2="","",SUMIF('07_Pallet_Contents'!$A$2:$A$3000,$A2,'07_Pallet_Contents'!$I$2:$I$3000))</f>
        <v>0</v>
      </c>
      <c r="Z2160" t="str">
        <f>IF($A2="","",IF(COUNTIF('07_Pallet_Contents'!$A$2:$A$3000,$A2)&gt;0,"Yes",""))</f>
        <v/>
      </c>
    </row>
    <row r="2161" spans="23:26">
      <c r="W2161">
        <f>IF($A2="","",COUNTIF('07_Pallet_Contents'!$A$2:$A$3000,$A2))</f>
        <v>0</v>
      </c>
      <c r="X2161">
        <f>IF($A2="","",SUMIF('07_Pallet_Contents'!$A$2:$A$3000,$A2,'07_Pallet_Contents'!$D$2:$D$3000))</f>
        <v>0</v>
      </c>
      <c r="Y2161">
        <f>IF($A2="","",SUMIF('07_Pallet_Contents'!$A$2:$A$3000,$A2,'07_Pallet_Contents'!$I$2:$I$3000))</f>
        <v>0</v>
      </c>
      <c r="Z2161" t="str">
        <f>IF($A2="","",IF(COUNTIF('07_Pallet_Contents'!$A$2:$A$3000,$A2)&gt;0,"Yes",""))</f>
        <v/>
      </c>
    </row>
    <row r="2162" spans="23:26">
      <c r="W2162">
        <f>IF($A2="","",COUNTIF('07_Pallet_Contents'!$A$2:$A$3000,$A2))</f>
        <v>0</v>
      </c>
      <c r="X2162">
        <f>IF($A2="","",SUMIF('07_Pallet_Contents'!$A$2:$A$3000,$A2,'07_Pallet_Contents'!$D$2:$D$3000))</f>
        <v>0</v>
      </c>
      <c r="Y2162">
        <f>IF($A2="","",SUMIF('07_Pallet_Contents'!$A$2:$A$3000,$A2,'07_Pallet_Contents'!$I$2:$I$3000))</f>
        <v>0</v>
      </c>
      <c r="Z2162" t="str">
        <f>IF($A2="","",IF(COUNTIF('07_Pallet_Contents'!$A$2:$A$3000,$A2)&gt;0,"Yes",""))</f>
        <v/>
      </c>
    </row>
    <row r="2163" spans="23:26">
      <c r="W2163">
        <f>IF($A2="","",COUNTIF('07_Pallet_Contents'!$A$2:$A$3000,$A2))</f>
        <v>0</v>
      </c>
      <c r="X2163">
        <f>IF($A2="","",SUMIF('07_Pallet_Contents'!$A$2:$A$3000,$A2,'07_Pallet_Contents'!$D$2:$D$3000))</f>
        <v>0</v>
      </c>
      <c r="Y2163">
        <f>IF($A2="","",SUMIF('07_Pallet_Contents'!$A$2:$A$3000,$A2,'07_Pallet_Contents'!$I$2:$I$3000))</f>
        <v>0</v>
      </c>
      <c r="Z2163" t="str">
        <f>IF($A2="","",IF(COUNTIF('07_Pallet_Contents'!$A$2:$A$3000,$A2)&gt;0,"Yes",""))</f>
        <v/>
      </c>
    </row>
    <row r="2164" spans="23:26">
      <c r="W2164">
        <f>IF($A2="","",COUNTIF('07_Pallet_Contents'!$A$2:$A$3000,$A2))</f>
        <v>0</v>
      </c>
      <c r="X2164">
        <f>IF($A2="","",SUMIF('07_Pallet_Contents'!$A$2:$A$3000,$A2,'07_Pallet_Contents'!$D$2:$D$3000))</f>
        <v>0</v>
      </c>
      <c r="Y2164">
        <f>IF($A2="","",SUMIF('07_Pallet_Contents'!$A$2:$A$3000,$A2,'07_Pallet_Contents'!$I$2:$I$3000))</f>
        <v>0</v>
      </c>
      <c r="Z2164" t="str">
        <f>IF($A2="","",IF(COUNTIF('07_Pallet_Contents'!$A$2:$A$3000,$A2)&gt;0,"Yes",""))</f>
        <v/>
      </c>
    </row>
    <row r="2165" spans="23:26">
      <c r="W2165">
        <f>IF($A2="","",COUNTIF('07_Pallet_Contents'!$A$2:$A$3000,$A2))</f>
        <v>0</v>
      </c>
      <c r="X2165">
        <f>IF($A2="","",SUMIF('07_Pallet_Contents'!$A$2:$A$3000,$A2,'07_Pallet_Contents'!$D$2:$D$3000))</f>
        <v>0</v>
      </c>
      <c r="Y2165">
        <f>IF($A2="","",SUMIF('07_Pallet_Contents'!$A$2:$A$3000,$A2,'07_Pallet_Contents'!$I$2:$I$3000))</f>
        <v>0</v>
      </c>
      <c r="Z2165" t="str">
        <f>IF($A2="","",IF(COUNTIF('07_Pallet_Contents'!$A$2:$A$3000,$A2)&gt;0,"Yes",""))</f>
        <v/>
      </c>
    </row>
    <row r="2166" spans="23:26">
      <c r="W2166">
        <f>IF($A2="","",COUNTIF('07_Pallet_Contents'!$A$2:$A$3000,$A2))</f>
        <v>0</v>
      </c>
      <c r="X2166">
        <f>IF($A2="","",SUMIF('07_Pallet_Contents'!$A$2:$A$3000,$A2,'07_Pallet_Contents'!$D$2:$D$3000))</f>
        <v>0</v>
      </c>
      <c r="Y2166">
        <f>IF($A2="","",SUMIF('07_Pallet_Contents'!$A$2:$A$3000,$A2,'07_Pallet_Contents'!$I$2:$I$3000))</f>
        <v>0</v>
      </c>
      <c r="Z2166" t="str">
        <f>IF($A2="","",IF(COUNTIF('07_Pallet_Contents'!$A$2:$A$3000,$A2)&gt;0,"Yes",""))</f>
        <v/>
      </c>
    </row>
    <row r="2167" spans="23:26">
      <c r="W2167">
        <f>IF($A2="","",COUNTIF('07_Pallet_Contents'!$A$2:$A$3000,$A2))</f>
        <v>0</v>
      </c>
      <c r="X2167">
        <f>IF($A2="","",SUMIF('07_Pallet_Contents'!$A$2:$A$3000,$A2,'07_Pallet_Contents'!$D$2:$D$3000))</f>
        <v>0</v>
      </c>
      <c r="Y2167">
        <f>IF($A2="","",SUMIF('07_Pallet_Contents'!$A$2:$A$3000,$A2,'07_Pallet_Contents'!$I$2:$I$3000))</f>
        <v>0</v>
      </c>
      <c r="Z2167" t="str">
        <f>IF($A2="","",IF(COUNTIF('07_Pallet_Contents'!$A$2:$A$3000,$A2)&gt;0,"Yes",""))</f>
        <v/>
      </c>
    </row>
    <row r="2168" spans="23:26">
      <c r="W2168">
        <f>IF($A2="","",COUNTIF('07_Pallet_Contents'!$A$2:$A$3000,$A2))</f>
        <v>0</v>
      </c>
      <c r="X2168">
        <f>IF($A2="","",SUMIF('07_Pallet_Contents'!$A$2:$A$3000,$A2,'07_Pallet_Contents'!$D$2:$D$3000))</f>
        <v>0</v>
      </c>
      <c r="Y2168">
        <f>IF($A2="","",SUMIF('07_Pallet_Contents'!$A$2:$A$3000,$A2,'07_Pallet_Contents'!$I$2:$I$3000))</f>
        <v>0</v>
      </c>
      <c r="Z2168" t="str">
        <f>IF($A2="","",IF(COUNTIF('07_Pallet_Contents'!$A$2:$A$3000,$A2)&gt;0,"Yes",""))</f>
        <v/>
      </c>
    </row>
    <row r="2169" spans="23:26">
      <c r="W2169">
        <f>IF($A2="","",COUNTIF('07_Pallet_Contents'!$A$2:$A$3000,$A2))</f>
        <v>0</v>
      </c>
      <c r="X2169">
        <f>IF($A2="","",SUMIF('07_Pallet_Contents'!$A$2:$A$3000,$A2,'07_Pallet_Contents'!$D$2:$D$3000))</f>
        <v>0</v>
      </c>
      <c r="Y2169">
        <f>IF($A2="","",SUMIF('07_Pallet_Contents'!$A$2:$A$3000,$A2,'07_Pallet_Contents'!$I$2:$I$3000))</f>
        <v>0</v>
      </c>
      <c r="Z2169" t="str">
        <f>IF($A2="","",IF(COUNTIF('07_Pallet_Contents'!$A$2:$A$3000,$A2)&gt;0,"Yes",""))</f>
        <v/>
      </c>
    </row>
    <row r="2170" spans="23:26">
      <c r="W2170">
        <f>IF($A2="","",COUNTIF('07_Pallet_Contents'!$A$2:$A$3000,$A2))</f>
        <v>0</v>
      </c>
      <c r="X2170">
        <f>IF($A2="","",SUMIF('07_Pallet_Contents'!$A$2:$A$3000,$A2,'07_Pallet_Contents'!$D$2:$D$3000))</f>
        <v>0</v>
      </c>
      <c r="Y2170">
        <f>IF($A2="","",SUMIF('07_Pallet_Contents'!$A$2:$A$3000,$A2,'07_Pallet_Contents'!$I$2:$I$3000))</f>
        <v>0</v>
      </c>
      <c r="Z2170" t="str">
        <f>IF($A2="","",IF(COUNTIF('07_Pallet_Contents'!$A$2:$A$3000,$A2)&gt;0,"Yes",""))</f>
        <v/>
      </c>
    </row>
    <row r="2171" spans="23:26">
      <c r="W2171">
        <f>IF($A2="","",COUNTIF('07_Pallet_Contents'!$A$2:$A$3000,$A2))</f>
        <v>0</v>
      </c>
      <c r="X2171">
        <f>IF($A2="","",SUMIF('07_Pallet_Contents'!$A$2:$A$3000,$A2,'07_Pallet_Contents'!$D$2:$D$3000))</f>
        <v>0</v>
      </c>
      <c r="Y2171">
        <f>IF($A2="","",SUMIF('07_Pallet_Contents'!$A$2:$A$3000,$A2,'07_Pallet_Contents'!$I$2:$I$3000))</f>
        <v>0</v>
      </c>
      <c r="Z2171" t="str">
        <f>IF($A2="","",IF(COUNTIF('07_Pallet_Contents'!$A$2:$A$3000,$A2)&gt;0,"Yes",""))</f>
        <v/>
      </c>
    </row>
    <row r="2172" spans="23:26">
      <c r="W2172">
        <f>IF($A2="","",COUNTIF('07_Pallet_Contents'!$A$2:$A$3000,$A2))</f>
        <v>0</v>
      </c>
      <c r="X2172">
        <f>IF($A2="","",SUMIF('07_Pallet_Contents'!$A$2:$A$3000,$A2,'07_Pallet_Contents'!$D$2:$D$3000))</f>
        <v>0</v>
      </c>
      <c r="Y2172">
        <f>IF($A2="","",SUMIF('07_Pallet_Contents'!$A$2:$A$3000,$A2,'07_Pallet_Contents'!$I$2:$I$3000))</f>
        <v>0</v>
      </c>
      <c r="Z2172" t="str">
        <f>IF($A2="","",IF(COUNTIF('07_Pallet_Contents'!$A$2:$A$3000,$A2)&gt;0,"Yes",""))</f>
        <v/>
      </c>
    </row>
    <row r="2173" spans="23:26">
      <c r="W2173">
        <f>IF($A2="","",COUNTIF('07_Pallet_Contents'!$A$2:$A$3000,$A2))</f>
        <v>0</v>
      </c>
      <c r="X2173">
        <f>IF($A2="","",SUMIF('07_Pallet_Contents'!$A$2:$A$3000,$A2,'07_Pallet_Contents'!$D$2:$D$3000))</f>
        <v>0</v>
      </c>
      <c r="Y2173">
        <f>IF($A2="","",SUMIF('07_Pallet_Contents'!$A$2:$A$3000,$A2,'07_Pallet_Contents'!$I$2:$I$3000))</f>
        <v>0</v>
      </c>
      <c r="Z2173" t="str">
        <f>IF($A2="","",IF(COUNTIF('07_Pallet_Contents'!$A$2:$A$3000,$A2)&gt;0,"Yes",""))</f>
        <v/>
      </c>
    </row>
    <row r="2174" spans="23:26">
      <c r="W2174">
        <f>IF($A2="","",COUNTIF('07_Pallet_Contents'!$A$2:$A$3000,$A2))</f>
        <v>0</v>
      </c>
      <c r="X2174">
        <f>IF($A2="","",SUMIF('07_Pallet_Contents'!$A$2:$A$3000,$A2,'07_Pallet_Contents'!$D$2:$D$3000))</f>
        <v>0</v>
      </c>
      <c r="Y2174">
        <f>IF($A2="","",SUMIF('07_Pallet_Contents'!$A$2:$A$3000,$A2,'07_Pallet_Contents'!$I$2:$I$3000))</f>
        <v>0</v>
      </c>
      <c r="Z2174" t="str">
        <f>IF($A2="","",IF(COUNTIF('07_Pallet_Contents'!$A$2:$A$3000,$A2)&gt;0,"Yes",""))</f>
        <v/>
      </c>
    </row>
    <row r="2175" spans="23:26">
      <c r="W2175">
        <f>IF($A2="","",COUNTIF('07_Pallet_Contents'!$A$2:$A$3000,$A2))</f>
        <v>0</v>
      </c>
      <c r="X2175">
        <f>IF($A2="","",SUMIF('07_Pallet_Contents'!$A$2:$A$3000,$A2,'07_Pallet_Contents'!$D$2:$D$3000))</f>
        <v>0</v>
      </c>
      <c r="Y2175">
        <f>IF($A2="","",SUMIF('07_Pallet_Contents'!$A$2:$A$3000,$A2,'07_Pallet_Contents'!$I$2:$I$3000))</f>
        <v>0</v>
      </c>
      <c r="Z2175" t="str">
        <f>IF($A2="","",IF(COUNTIF('07_Pallet_Contents'!$A$2:$A$3000,$A2)&gt;0,"Yes",""))</f>
        <v/>
      </c>
    </row>
    <row r="2176" spans="23:26">
      <c r="W2176">
        <f>IF($A2="","",COUNTIF('07_Pallet_Contents'!$A$2:$A$3000,$A2))</f>
        <v>0</v>
      </c>
      <c r="X2176">
        <f>IF($A2="","",SUMIF('07_Pallet_Contents'!$A$2:$A$3000,$A2,'07_Pallet_Contents'!$D$2:$D$3000))</f>
        <v>0</v>
      </c>
      <c r="Y2176">
        <f>IF($A2="","",SUMIF('07_Pallet_Contents'!$A$2:$A$3000,$A2,'07_Pallet_Contents'!$I$2:$I$3000))</f>
        <v>0</v>
      </c>
      <c r="Z2176" t="str">
        <f>IF($A2="","",IF(COUNTIF('07_Pallet_Contents'!$A$2:$A$3000,$A2)&gt;0,"Yes",""))</f>
        <v/>
      </c>
    </row>
    <row r="2177" spans="23:26">
      <c r="W2177">
        <f>IF($A2="","",COUNTIF('07_Pallet_Contents'!$A$2:$A$3000,$A2))</f>
        <v>0</v>
      </c>
      <c r="X2177">
        <f>IF($A2="","",SUMIF('07_Pallet_Contents'!$A$2:$A$3000,$A2,'07_Pallet_Contents'!$D$2:$D$3000))</f>
        <v>0</v>
      </c>
      <c r="Y2177">
        <f>IF($A2="","",SUMIF('07_Pallet_Contents'!$A$2:$A$3000,$A2,'07_Pallet_Contents'!$I$2:$I$3000))</f>
        <v>0</v>
      </c>
      <c r="Z2177" t="str">
        <f>IF($A2="","",IF(COUNTIF('07_Pallet_Contents'!$A$2:$A$3000,$A2)&gt;0,"Yes",""))</f>
        <v/>
      </c>
    </row>
    <row r="2178" spans="23:26">
      <c r="W2178">
        <f>IF($A2="","",COUNTIF('07_Pallet_Contents'!$A$2:$A$3000,$A2))</f>
        <v>0</v>
      </c>
      <c r="X2178">
        <f>IF($A2="","",SUMIF('07_Pallet_Contents'!$A$2:$A$3000,$A2,'07_Pallet_Contents'!$D$2:$D$3000))</f>
        <v>0</v>
      </c>
      <c r="Y2178">
        <f>IF($A2="","",SUMIF('07_Pallet_Contents'!$A$2:$A$3000,$A2,'07_Pallet_Contents'!$I$2:$I$3000))</f>
        <v>0</v>
      </c>
      <c r="Z2178" t="str">
        <f>IF($A2="","",IF(COUNTIF('07_Pallet_Contents'!$A$2:$A$3000,$A2)&gt;0,"Yes",""))</f>
        <v/>
      </c>
    </row>
    <row r="2179" spans="23:26">
      <c r="W2179">
        <f>IF($A2="","",COUNTIF('07_Pallet_Contents'!$A$2:$A$3000,$A2))</f>
        <v>0</v>
      </c>
      <c r="X2179">
        <f>IF($A2="","",SUMIF('07_Pallet_Contents'!$A$2:$A$3000,$A2,'07_Pallet_Contents'!$D$2:$D$3000))</f>
        <v>0</v>
      </c>
      <c r="Y2179">
        <f>IF($A2="","",SUMIF('07_Pallet_Contents'!$A$2:$A$3000,$A2,'07_Pallet_Contents'!$I$2:$I$3000))</f>
        <v>0</v>
      </c>
      <c r="Z2179" t="str">
        <f>IF($A2="","",IF(COUNTIF('07_Pallet_Contents'!$A$2:$A$3000,$A2)&gt;0,"Yes",""))</f>
        <v/>
      </c>
    </row>
    <row r="2180" spans="23:26">
      <c r="W2180">
        <f>IF($A2="","",COUNTIF('07_Pallet_Contents'!$A$2:$A$3000,$A2))</f>
        <v>0</v>
      </c>
      <c r="X2180">
        <f>IF($A2="","",SUMIF('07_Pallet_Contents'!$A$2:$A$3000,$A2,'07_Pallet_Contents'!$D$2:$D$3000))</f>
        <v>0</v>
      </c>
      <c r="Y2180">
        <f>IF($A2="","",SUMIF('07_Pallet_Contents'!$A$2:$A$3000,$A2,'07_Pallet_Contents'!$I$2:$I$3000))</f>
        <v>0</v>
      </c>
      <c r="Z2180" t="str">
        <f>IF($A2="","",IF(COUNTIF('07_Pallet_Contents'!$A$2:$A$3000,$A2)&gt;0,"Yes",""))</f>
        <v/>
      </c>
    </row>
    <row r="2181" spans="23:26">
      <c r="W2181">
        <f>IF($A2="","",COUNTIF('07_Pallet_Contents'!$A$2:$A$3000,$A2))</f>
        <v>0</v>
      </c>
      <c r="X2181">
        <f>IF($A2="","",SUMIF('07_Pallet_Contents'!$A$2:$A$3000,$A2,'07_Pallet_Contents'!$D$2:$D$3000))</f>
        <v>0</v>
      </c>
      <c r="Y2181">
        <f>IF($A2="","",SUMIF('07_Pallet_Contents'!$A$2:$A$3000,$A2,'07_Pallet_Contents'!$I$2:$I$3000))</f>
        <v>0</v>
      </c>
      <c r="Z2181" t="str">
        <f>IF($A2="","",IF(COUNTIF('07_Pallet_Contents'!$A$2:$A$3000,$A2)&gt;0,"Yes",""))</f>
        <v/>
      </c>
    </row>
    <row r="2182" spans="23:26">
      <c r="W2182">
        <f>IF($A2="","",COUNTIF('07_Pallet_Contents'!$A$2:$A$3000,$A2))</f>
        <v>0</v>
      </c>
      <c r="X2182">
        <f>IF($A2="","",SUMIF('07_Pallet_Contents'!$A$2:$A$3000,$A2,'07_Pallet_Contents'!$D$2:$D$3000))</f>
        <v>0</v>
      </c>
      <c r="Y2182">
        <f>IF($A2="","",SUMIF('07_Pallet_Contents'!$A$2:$A$3000,$A2,'07_Pallet_Contents'!$I$2:$I$3000))</f>
        <v>0</v>
      </c>
      <c r="Z2182" t="str">
        <f>IF($A2="","",IF(COUNTIF('07_Pallet_Contents'!$A$2:$A$3000,$A2)&gt;0,"Yes",""))</f>
        <v/>
      </c>
    </row>
    <row r="2183" spans="23:26">
      <c r="W2183">
        <f>IF($A2="","",COUNTIF('07_Pallet_Contents'!$A$2:$A$3000,$A2))</f>
        <v>0</v>
      </c>
      <c r="X2183">
        <f>IF($A2="","",SUMIF('07_Pallet_Contents'!$A$2:$A$3000,$A2,'07_Pallet_Contents'!$D$2:$D$3000))</f>
        <v>0</v>
      </c>
      <c r="Y2183">
        <f>IF($A2="","",SUMIF('07_Pallet_Contents'!$A$2:$A$3000,$A2,'07_Pallet_Contents'!$I$2:$I$3000))</f>
        <v>0</v>
      </c>
      <c r="Z2183" t="str">
        <f>IF($A2="","",IF(COUNTIF('07_Pallet_Contents'!$A$2:$A$3000,$A2)&gt;0,"Yes",""))</f>
        <v/>
      </c>
    </row>
    <row r="2184" spans="23:26">
      <c r="W2184">
        <f>IF($A2="","",COUNTIF('07_Pallet_Contents'!$A$2:$A$3000,$A2))</f>
        <v>0</v>
      </c>
      <c r="X2184">
        <f>IF($A2="","",SUMIF('07_Pallet_Contents'!$A$2:$A$3000,$A2,'07_Pallet_Contents'!$D$2:$D$3000))</f>
        <v>0</v>
      </c>
      <c r="Y2184">
        <f>IF($A2="","",SUMIF('07_Pallet_Contents'!$A$2:$A$3000,$A2,'07_Pallet_Contents'!$I$2:$I$3000))</f>
        <v>0</v>
      </c>
      <c r="Z2184" t="str">
        <f>IF($A2="","",IF(COUNTIF('07_Pallet_Contents'!$A$2:$A$3000,$A2)&gt;0,"Yes",""))</f>
        <v/>
      </c>
    </row>
    <row r="2185" spans="23:26">
      <c r="W2185">
        <f>IF($A2="","",COUNTIF('07_Pallet_Contents'!$A$2:$A$3000,$A2))</f>
        <v>0</v>
      </c>
      <c r="X2185">
        <f>IF($A2="","",SUMIF('07_Pallet_Contents'!$A$2:$A$3000,$A2,'07_Pallet_Contents'!$D$2:$D$3000))</f>
        <v>0</v>
      </c>
      <c r="Y2185">
        <f>IF($A2="","",SUMIF('07_Pallet_Contents'!$A$2:$A$3000,$A2,'07_Pallet_Contents'!$I$2:$I$3000))</f>
        <v>0</v>
      </c>
      <c r="Z2185" t="str">
        <f>IF($A2="","",IF(COUNTIF('07_Pallet_Contents'!$A$2:$A$3000,$A2)&gt;0,"Yes",""))</f>
        <v/>
      </c>
    </row>
    <row r="2186" spans="23:26">
      <c r="W2186">
        <f>IF($A2="","",COUNTIF('07_Pallet_Contents'!$A$2:$A$3000,$A2))</f>
        <v>0</v>
      </c>
      <c r="X2186">
        <f>IF($A2="","",SUMIF('07_Pallet_Contents'!$A$2:$A$3000,$A2,'07_Pallet_Contents'!$D$2:$D$3000))</f>
        <v>0</v>
      </c>
      <c r="Y2186">
        <f>IF($A2="","",SUMIF('07_Pallet_Contents'!$A$2:$A$3000,$A2,'07_Pallet_Contents'!$I$2:$I$3000))</f>
        <v>0</v>
      </c>
      <c r="Z2186" t="str">
        <f>IF($A2="","",IF(COUNTIF('07_Pallet_Contents'!$A$2:$A$3000,$A2)&gt;0,"Yes",""))</f>
        <v/>
      </c>
    </row>
    <row r="2187" spans="23:26">
      <c r="W2187">
        <f>IF($A2="","",COUNTIF('07_Pallet_Contents'!$A$2:$A$3000,$A2))</f>
        <v>0</v>
      </c>
      <c r="X2187">
        <f>IF($A2="","",SUMIF('07_Pallet_Contents'!$A$2:$A$3000,$A2,'07_Pallet_Contents'!$D$2:$D$3000))</f>
        <v>0</v>
      </c>
      <c r="Y2187">
        <f>IF($A2="","",SUMIF('07_Pallet_Contents'!$A$2:$A$3000,$A2,'07_Pallet_Contents'!$I$2:$I$3000))</f>
        <v>0</v>
      </c>
      <c r="Z2187" t="str">
        <f>IF($A2="","",IF(COUNTIF('07_Pallet_Contents'!$A$2:$A$3000,$A2)&gt;0,"Yes",""))</f>
        <v/>
      </c>
    </row>
    <row r="2188" spans="23:26">
      <c r="W2188">
        <f>IF($A2="","",COUNTIF('07_Pallet_Contents'!$A$2:$A$3000,$A2))</f>
        <v>0</v>
      </c>
      <c r="X2188">
        <f>IF($A2="","",SUMIF('07_Pallet_Contents'!$A$2:$A$3000,$A2,'07_Pallet_Contents'!$D$2:$D$3000))</f>
        <v>0</v>
      </c>
      <c r="Y2188">
        <f>IF($A2="","",SUMIF('07_Pallet_Contents'!$A$2:$A$3000,$A2,'07_Pallet_Contents'!$I$2:$I$3000))</f>
        <v>0</v>
      </c>
      <c r="Z2188" t="str">
        <f>IF($A2="","",IF(COUNTIF('07_Pallet_Contents'!$A$2:$A$3000,$A2)&gt;0,"Yes",""))</f>
        <v/>
      </c>
    </row>
    <row r="2189" spans="23:26">
      <c r="W2189">
        <f>IF($A2="","",COUNTIF('07_Pallet_Contents'!$A$2:$A$3000,$A2))</f>
        <v>0</v>
      </c>
      <c r="X2189">
        <f>IF($A2="","",SUMIF('07_Pallet_Contents'!$A$2:$A$3000,$A2,'07_Pallet_Contents'!$D$2:$D$3000))</f>
        <v>0</v>
      </c>
      <c r="Y2189">
        <f>IF($A2="","",SUMIF('07_Pallet_Contents'!$A$2:$A$3000,$A2,'07_Pallet_Contents'!$I$2:$I$3000))</f>
        <v>0</v>
      </c>
      <c r="Z2189" t="str">
        <f>IF($A2="","",IF(COUNTIF('07_Pallet_Contents'!$A$2:$A$3000,$A2)&gt;0,"Yes",""))</f>
        <v/>
      </c>
    </row>
    <row r="2190" spans="23:26">
      <c r="W2190">
        <f>IF($A2="","",COUNTIF('07_Pallet_Contents'!$A$2:$A$3000,$A2))</f>
        <v>0</v>
      </c>
      <c r="X2190">
        <f>IF($A2="","",SUMIF('07_Pallet_Contents'!$A$2:$A$3000,$A2,'07_Pallet_Contents'!$D$2:$D$3000))</f>
        <v>0</v>
      </c>
      <c r="Y2190">
        <f>IF($A2="","",SUMIF('07_Pallet_Contents'!$A$2:$A$3000,$A2,'07_Pallet_Contents'!$I$2:$I$3000))</f>
        <v>0</v>
      </c>
      <c r="Z2190" t="str">
        <f>IF($A2="","",IF(COUNTIF('07_Pallet_Contents'!$A$2:$A$3000,$A2)&gt;0,"Yes",""))</f>
        <v/>
      </c>
    </row>
    <row r="2191" spans="23:26">
      <c r="W2191">
        <f>IF($A2="","",COUNTIF('07_Pallet_Contents'!$A$2:$A$3000,$A2))</f>
        <v>0</v>
      </c>
      <c r="X2191">
        <f>IF($A2="","",SUMIF('07_Pallet_Contents'!$A$2:$A$3000,$A2,'07_Pallet_Contents'!$D$2:$D$3000))</f>
        <v>0</v>
      </c>
      <c r="Y2191">
        <f>IF($A2="","",SUMIF('07_Pallet_Contents'!$A$2:$A$3000,$A2,'07_Pallet_Contents'!$I$2:$I$3000))</f>
        <v>0</v>
      </c>
      <c r="Z2191" t="str">
        <f>IF($A2="","",IF(COUNTIF('07_Pallet_Contents'!$A$2:$A$3000,$A2)&gt;0,"Yes",""))</f>
        <v/>
      </c>
    </row>
    <row r="2192" spans="23:26">
      <c r="W2192">
        <f>IF($A2="","",COUNTIF('07_Pallet_Contents'!$A$2:$A$3000,$A2))</f>
        <v>0</v>
      </c>
      <c r="X2192">
        <f>IF($A2="","",SUMIF('07_Pallet_Contents'!$A$2:$A$3000,$A2,'07_Pallet_Contents'!$D$2:$D$3000))</f>
        <v>0</v>
      </c>
      <c r="Y2192">
        <f>IF($A2="","",SUMIF('07_Pallet_Contents'!$A$2:$A$3000,$A2,'07_Pallet_Contents'!$I$2:$I$3000))</f>
        <v>0</v>
      </c>
      <c r="Z2192" t="str">
        <f>IF($A2="","",IF(COUNTIF('07_Pallet_Contents'!$A$2:$A$3000,$A2)&gt;0,"Yes",""))</f>
        <v/>
      </c>
    </row>
    <row r="2193" spans="23:26">
      <c r="W2193">
        <f>IF($A2="","",COUNTIF('07_Pallet_Contents'!$A$2:$A$3000,$A2))</f>
        <v>0</v>
      </c>
      <c r="X2193">
        <f>IF($A2="","",SUMIF('07_Pallet_Contents'!$A$2:$A$3000,$A2,'07_Pallet_Contents'!$D$2:$D$3000))</f>
        <v>0</v>
      </c>
      <c r="Y2193">
        <f>IF($A2="","",SUMIF('07_Pallet_Contents'!$A$2:$A$3000,$A2,'07_Pallet_Contents'!$I$2:$I$3000))</f>
        <v>0</v>
      </c>
      <c r="Z2193" t="str">
        <f>IF($A2="","",IF(COUNTIF('07_Pallet_Contents'!$A$2:$A$3000,$A2)&gt;0,"Yes",""))</f>
        <v/>
      </c>
    </row>
    <row r="2194" spans="23:26">
      <c r="W2194">
        <f>IF($A2="","",COUNTIF('07_Pallet_Contents'!$A$2:$A$3000,$A2))</f>
        <v>0</v>
      </c>
      <c r="X2194">
        <f>IF($A2="","",SUMIF('07_Pallet_Contents'!$A$2:$A$3000,$A2,'07_Pallet_Contents'!$D$2:$D$3000))</f>
        <v>0</v>
      </c>
      <c r="Y2194">
        <f>IF($A2="","",SUMIF('07_Pallet_Contents'!$A$2:$A$3000,$A2,'07_Pallet_Contents'!$I$2:$I$3000))</f>
        <v>0</v>
      </c>
      <c r="Z2194" t="str">
        <f>IF($A2="","",IF(COUNTIF('07_Pallet_Contents'!$A$2:$A$3000,$A2)&gt;0,"Yes",""))</f>
        <v/>
      </c>
    </row>
    <row r="2195" spans="23:26">
      <c r="W2195">
        <f>IF($A2="","",COUNTIF('07_Pallet_Contents'!$A$2:$A$3000,$A2))</f>
        <v>0</v>
      </c>
      <c r="X2195">
        <f>IF($A2="","",SUMIF('07_Pallet_Contents'!$A$2:$A$3000,$A2,'07_Pallet_Contents'!$D$2:$D$3000))</f>
        <v>0</v>
      </c>
      <c r="Y2195">
        <f>IF($A2="","",SUMIF('07_Pallet_Contents'!$A$2:$A$3000,$A2,'07_Pallet_Contents'!$I$2:$I$3000))</f>
        <v>0</v>
      </c>
      <c r="Z2195" t="str">
        <f>IF($A2="","",IF(COUNTIF('07_Pallet_Contents'!$A$2:$A$3000,$A2)&gt;0,"Yes",""))</f>
        <v/>
      </c>
    </row>
    <row r="2196" spans="23:26">
      <c r="W2196">
        <f>IF($A2="","",COUNTIF('07_Pallet_Contents'!$A$2:$A$3000,$A2))</f>
        <v>0</v>
      </c>
      <c r="X2196">
        <f>IF($A2="","",SUMIF('07_Pallet_Contents'!$A$2:$A$3000,$A2,'07_Pallet_Contents'!$D$2:$D$3000))</f>
        <v>0</v>
      </c>
      <c r="Y2196">
        <f>IF($A2="","",SUMIF('07_Pallet_Contents'!$A$2:$A$3000,$A2,'07_Pallet_Contents'!$I$2:$I$3000))</f>
        <v>0</v>
      </c>
      <c r="Z2196" t="str">
        <f>IF($A2="","",IF(COUNTIF('07_Pallet_Contents'!$A$2:$A$3000,$A2)&gt;0,"Yes",""))</f>
        <v/>
      </c>
    </row>
    <row r="2197" spans="23:26">
      <c r="W2197">
        <f>IF($A2="","",COUNTIF('07_Pallet_Contents'!$A$2:$A$3000,$A2))</f>
        <v>0</v>
      </c>
      <c r="X2197">
        <f>IF($A2="","",SUMIF('07_Pallet_Contents'!$A$2:$A$3000,$A2,'07_Pallet_Contents'!$D$2:$D$3000))</f>
        <v>0</v>
      </c>
      <c r="Y2197">
        <f>IF($A2="","",SUMIF('07_Pallet_Contents'!$A$2:$A$3000,$A2,'07_Pallet_Contents'!$I$2:$I$3000))</f>
        <v>0</v>
      </c>
      <c r="Z2197" t="str">
        <f>IF($A2="","",IF(COUNTIF('07_Pallet_Contents'!$A$2:$A$3000,$A2)&gt;0,"Yes",""))</f>
        <v/>
      </c>
    </row>
    <row r="2198" spans="23:26">
      <c r="W2198">
        <f>IF($A2="","",COUNTIF('07_Pallet_Contents'!$A$2:$A$3000,$A2))</f>
        <v>0</v>
      </c>
      <c r="X2198">
        <f>IF($A2="","",SUMIF('07_Pallet_Contents'!$A$2:$A$3000,$A2,'07_Pallet_Contents'!$D$2:$D$3000))</f>
        <v>0</v>
      </c>
      <c r="Y2198">
        <f>IF($A2="","",SUMIF('07_Pallet_Contents'!$A$2:$A$3000,$A2,'07_Pallet_Contents'!$I$2:$I$3000))</f>
        <v>0</v>
      </c>
      <c r="Z2198" t="str">
        <f>IF($A2="","",IF(COUNTIF('07_Pallet_Contents'!$A$2:$A$3000,$A2)&gt;0,"Yes",""))</f>
        <v/>
      </c>
    </row>
    <row r="2199" spans="23:26">
      <c r="W2199">
        <f>IF($A2="","",COUNTIF('07_Pallet_Contents'!$A$2:$A$3000,$A2))</f>
        <v>0</v>
      </c>
      <c r="X2199">
        <f>IF($A2="","",SUMIF('07_Pallet_Contents'!$A$2:$A$3000,$A2,'07_Pallet_Contents'!$D$2:$D$3000))</f>
        <v>0</v>
      </c>
      <c r="Y2199">
        <f>IF($A2="","",SUMIF('07_Pallet_Contents'!$A$2:$A$3000,$A2,'07_Pallet_Contents'!$I$2:$I$3000))</f>
        <v>0</v>
      </c>
      <c r="Z2199" t="str">
        <f>IF($A2="","",IF(COUNTIF('07_Pallet_Contents'!$A$2:$A$3000,$A2)&gt;0,"Yes",""))</f>
        <v/>
      </c>
    </row>
    <row r="2200" spans="23:26">
      <c r="W2200">
        <f>IF($A2="","",COUNTIF('07_Pallet_Contents'!$A$2:$A$3000,$A2))</f>
        <v>0</v>
      </c>
      <c r="X2200">
        <f>IF($A2="","",SUMIF('07_Pallet_Contents'!$A$2:$A$3000,$A2,'07_Pallet_Contents'!$D$2:$D$3000))</f>
        <v>0</v>
      </c>
      <c r="Y2200">
        <f>IF($A2="","",SUMIF('07_Pallet_Contents'!$A$2:$A$3000,$A2,'07_Pallet_Contents'!$I$2:$I$3000))</f>
        <v>0</v>
      </c>
      <c r="Z2200" t="str">
        <f>IF($A2="","",IF(COUNTIF('07_Pallet_Contents'!$A$2:$A$3000,$A2)&gt;0,"Yes",""))</f>
        <v/>
      </c>
    </row>
    <row r="2201" spans="23:26">
      <c r="W2201">
        <f>IF($A2="","",COUNTIF('07_Pallet_Contents'!$A$2:$A$3000,$A2))</f>
        <v>0</v>
      </c>
      <c r="X2201">
        <f>IF($A2="","",SUMIF('07_Pallet_Contents'!$A$2:$A$3000,$A2,'07_Pallet_Contents'!$D$2:$D$3000))</f>
        <v>0</v>
      </c>
      <c r="Y2201">
        <f>IF($A2="","",SUMIF('07_Pallet_Contents'!$A$2:$A$3000,$A2,'07_Pallet_Contents'!$I$2:$I$3000))</f>
        <v>0</v>
      </c>
      <c r="Z2201" t="str">
        <f>IF($A2="","",IF(COUNTIF('07_Pallet_Contents'!$A$2:$A$3000,$A2)&gt;0,"Yes",""))</f>
        <v/>
      </c>
    </row>
    <row r="2202" spans="23:26">
      <c r="W2202">
        <f>IF($A2="","",COUNTIF('07_Pallet_Contents'!$A$2:$A$3000,$A2))</f>
        <v>0</v>
      </c>
      <c r="X2202">
        <f>IF($A2="","",SUMIF('07_Pallet_Contents'!$A$2:$A$3000,$A2,'07_Pallet_Contents'!$D$2:$D$3000))</f>
        <v>0</v>
      </c>
      <c r="Y2202">
        <f>IF($A2="","",SUMIF('07_Pallet_Contents'!$A$2:$A$3000,$A2,'07_Pallet_Contents'!$I$2:$I$3000))</f>
        <v>0</v>
      </c>
      <c r="Z2202" t="str">
        <f>IF($A2="","",IF(COUNTIF('07_Pallet_Contents'!$A$2:$A$3000,$A2)&gt;0,"Yes",""))</f>
        <v/>
      </c>
    </row>
    <row r="2203" spans="23:26">
      <c r="W2203">
        <f>IF($A2="","",COUNTIF('07_Pallet_Contents'!$A$2:$A$3000,$A2))</f>
        <v>0</v>
      </c>
      <c r="X2203">
        <f>IF($A2="","",SUMIF('07_Pallet_Contents'!$A$2:$A$3000,$A2,'07_Pallet_Contents'!$D$2:$D$3000))</f>
        <v>0</v>
      </c>
      <c r="Y2203">
        <f>IF($A2="","",SUMIF('07_Pallet_Contents'!$A$2:$A$3000,$A2,'07_Pallet_Contents'!$I$2:$I$3000))</f>
        <v>0</v>
      </c>
      <c r="Z2203" t="str">
        <f>IF($A2="","",IF(COUNTIF('07_Pallet_Contents'!$A$2:$A$3000,$A2)&gt;0,"Yes",""))</f>
        <v/>
      </c>
    </row>
    <row r="2204" spans="23:26">
      <c r="W2204">
        <f>IF($A2="","",COUNTIF('07_Pallet_Contents'!$A$2:$A$3000,$A2))</f>
        <v>0</v>
      </c>
      <c r="X2204">
        <f>IF($A2="","",SUMIF('07_Pallet_Contents'!$A$2:$A$3000,$A2,'07_Pallet_Contents'!$D$2:$D$3000))</f>
        <v>0</v>
      </c>
      <c r="Y2204">
        <f>IF($A2="","",SUMIF('07_Pallet_Contents'!$A$2:$A$3000,$A2,'07_Pallet_Contents'!$I$2:$I$3000))</f>
        <v>0</v>
      </c>
      <c r="Z2204" t="str">
        <f>IF($A2="","",IF(COUNTIF('07_Pallet_Contents'!$A$2:$A$3000,$A2)&gt;0,"Yes",""))</f>
        <v/>
      </c>
    </row>
    <row r="2205" spans="23:26">
      <c r="W2205">
        <f>IF($A2="","",COUNTIF('07_Pallet_Contents'!$A$2:$A$3000,$A2))</f>
        <v>0</v>
      </c>
      <c r="X2205">
        <f>IF($A2="","",SUMIF('07_Pallet_Contents'!$A$2:$A$3000,$A2,'07_Pallet_Contents'!$D$2:$D$3000))</f>
        <v>0</v>
      </c>
      <c r="Y2205">
        <f>IF($A2="","",SUMIF('07_Pallet_Contents'!$A$2:$A$3000,$A2,'07_Pallet_Contents'!$I$2:$I$3000))</f>
        <v>0</v>
      </c>
      <c r="Z2205" t="str">
        <f>IF($A2="","",IF(COUNTIF('07_Pallet_Contents'!$A$2:$A$3000,$A2)&gt;0,"Yes",""))</f>
        <v/>
      </c>
    </row>
    <row r="2206" spans="23:26">
      <c r="W2206">
        <f>IF($A2="","",COUNTIF('07_Pallet_Contents'!$A$2:$A$3000,$A2))</f>
        <v>0</v>
      </c>
      <c r="X2206">
        <f>IF($A2="","",SUMIF('07_Pallet_Contents'!$A$2:$A$3000,$A2,'07_Pallet_Contents'!$D$2:$D$3000))</f>
        <v>0</v>
      </c>
      <c r="Y2206">
        <f>IF($A2="","",SUMIF('07_Pallet_Contents'!$A$2:$A$3000,$A2,'07_Pallet_Contents'!$I$2:$I$3000))</f>
        <v>0</v>
      </c>
      <c r="Z2206" t="str">
        <f>IF($A2="","",IF(COUNTIF('07_Pallet_Contents'!$A$2:$A$3000,$A2)&gt;0,"Yes",""))</f>
        <v/>
      </c>
    </row>
    <row r="2207" spans="23:26">
      <c r="W2207">
        <f>IF($A2="","",COUNTIF('07_Pallet_Contents'!$A$2:$A$3000,$A2))</f>
        <v>0</v>
      </c>
      <c r="X2207">
        <f>IF($A2="","",SUMIF('07_Pallet_Contents'!$A$2:$A$3000,$A2,'07_Pallet_Contents'!$D$2:$D$3000))</f>
        <v>0</v>
      </c>
      <c r="Y2207">
        <f>IF($A2="","",SUMIF('07_Pallet_Contents'!$A$2:$A$3000,$A2,'07_Pallet_Contents'!$I$2:$I$3000))</f>
        <v>0</v>
      </c>
      <c r="Z2207" t="str">
        <f>IF($A2="","",IF(COUNTIF('07_Pallet_Contents'!$A$2:$A$3000,$A2)&gt;0,"Yes",""))</f>
        <v/>
      </c>
    </row>
    <row r="2208" spans="23:26">
      <c r="W2208">
        <f>IF($A2="","",COUNTIF('07_Pallet_Contents'!$A$2:$A$3000,$A2))</f>
        <v>0</v>
      </c>
      <c r="X2208">
        <f>IF($A2="","",SUMIF('07_Pallet_Contents'!$A$2:$A$3000,$A2,'07_Pallet_Contents'!$D$2:$D$3000))</f>
        <v>0</v>
      </c>
      <c r="Y2208">
        <f>IF($A2="","",SUMIF('07_Pallet_Contents'!$A$2:$A$3000,$A2,'07_Pallet_Contents'!$I$2:$I$3000))</f>
        <v>0</v>
      </c>
      <c r="Z2208" t="str">
        <f>IF($A2="","",IF(COUNTIF('07_Pallet_Contents'!$A$2:$A$3000,$A2)&gt;0,"Yes",""))</f>
        <v/>
      </c>
    </row>
    <row r="2209" spans="23:26">
      <c r="W2209">
        <f>IF($A2="","",COUNTIF('07_Pallet_Contents'!$A$2:$A$3000,$A2))</f>
        <v>0</v>
      </c>
      <c r="X2209">
        <f>IF($A2="","",SUMIF('07_Pallet_Contents'!$A$2:$A$3000,$A2,'07_Pallet_Contents'!$D$2:$D$3000))</f>
        <v>0</v>
      </c>
      <c r="Y2209">
        <f>IF($A2="","",SUMIF('07_Pallet_Contents'!$A$2:$A$3000,$A2,'07_Pallet_Contents'!$I$2:$I$3000))</f>
        <v>0</v>
      </c>
      <c r="Z2209" t="str">
        <f>IF($A2="","",IF(COUNTIF('07_Pallet_Contents'!$A$2:$A$3000,$A2)&gt;0,"Yes",""))</f>
        <v/>
      </c>
    </row>
    <row r="2210" spans="23:26">
      <c r="W2210">
        <f>IF($A2="","",COUNTIF('07_Pallet_Contents'!$A$2:$A$3000,$A2))</f>
        <v>0</v>
      </c>
      <c r="X2210">
        <f>IF($A2="","",SUMIF('07_Pallet_Contents'!$A$2:$A$3000,$A2,'07_Pallet_Contents'!$D$2:$D$3000))</f>
        <v>0</v>
      </c>
      <c r="Y2210">
        <f>IF($A2="","",SUMIF('07_Pallet_Contents'!$A$2:$A$3000,$A2,'07_Pallet_Contents'!$I$2:$I$3000))</f>
        <v>0</v>
      </c>
      <c r="Z2210" t="str">
        <f>IF($A2="","",IF(COUNTIF('07_Pallet_Contents'!$A$2:$A$3000,$A2)&gt;0,"Yes",""))</f>
        <v/>
      </c>
    </row>
    <row r="2211" spans="23:26">
      <c r="W2211">
        <f>IF($A2="","",COUNTIF('07_Pallet_Contents'!$A$2:$A$3000,$A2))</f>
        <v>0</v>
      </c>
      <c r="X2211">
        <f>IF($A2="","",SUMIF('07_Pallet_Contents'!$A$2:$A$3000,$A2,'07_Pallet_Contents'!$D$2:$D$3000))</f>
        <v>0</v>
      </c>
      <c r="Y2211">
        <f>IF($A2="","",SUMIF('07_Pallet_Contents'!$A$2:$A$3000,$A2,'07_Pallet_Contents'!$I$2:$I$3000))</f>
        <v>0</v>
      </c>
      <c r="Z2211" t="str">
        <f>IF($A2="","",IF(COUNTIF('07_Pallet_Contents'!$A$2:$A$3000,$A2)&gt;0,"Yes",""))</f>
        <v/>
      </c>
    </row>
    <row r="2212" spans="23:26">
      <c r="W2212">
        <f>IF($A2="","",COUNTIF('07_Pallet_Contents'!$A$2:$A$3000,$A2))</f>
        <v>0</v>
      </c>
      <c r="X2212">
        <f>IF($A2="","",SUMIF('07_Pallet_Contents'!$A$2:$A$3000,$A2,'07_Pallet_Contents'!$D$2:$D$3000))</f>
        <v>0</v>
      </c>
      <c r="Y2212">
        <f>IF($A2="","",SUMIF('07_Pallet_Contents'!$A$2:$A$3000,$A2,'07_Pallet_Contents'!$I$2:$I$3000))</f>
        <v>0</v>
      </c>
      <c r="Z2212" t="str">
        <f>IF($A2="","",IF(COUNTIF('07_Pallet_Contents'!$A$2:$A$3000,$A2)&gt;0,"Yes",""))</f>
        <v/>
      </c>
    </row>
    <row r="2213" spans="23:26">
      <c r="W2213">
        <f>IF($A2="","",COUNTIF('07_Pallet_Contents'!$A$2:$A$3000,$A2))</f>
        <v>0</v>
      </c>
      <c r="X2213">
        <f>IF($A2="","",SUMIF('07_Pallet_Contents'!$A$2:$A$3000,$A2,'07_Pallet_Contents'!$D$2:$D$3000))</f>
        <v>0</v>
      </c>
      <c r="Y2213">
        <f>IF($A2="","",SUMIF('07_Pallet_Contents'!$A$2:$A$3000,$A2,'07_Pallet_Contents'!$I$2:$I$3000))</f>
        <v>0</v>
      </c>
      <c r="Z2213" t="str">
        <f>IF($A2="","",IF(COUNTIF('07_Pallet_Contents'!$A$2:$A$3000,$A2)&gt;0,"Yes",""))</f>
        <v/>
      </c>
    </row>
    <row r="2214" spans="23:26">
      <c r="W2214">
        <f>IF($A2="","",COUNTIF('07_Pallet_Contents'!$A$2:$A$3000,$A2))</f>
        <v>0</v>
      </c>
      <c r="X2214">
        <f>IF($A2="","",SUMIF('07_Pallet_Contents'!$A$2:$A$3000,$A2,'07_Pallet_Contents'!$D$2:$D$3000))</f>
        <v>0</v>
      </c>
      <c r="Y2214">
        <f>IF($A2="","",SUMIF('07_Pallet_Contents'!$A$2:$A$3000,$A2,'07_Pallet_Contents'!$I$2:$I$3000))</f>
        <v>0</v>
      </c>
      <c r="Z2214" t="str">
        <f>IF($A2="","",IF(COUNTIF('07_Pallet_Contents'!$A$2:$A$3000,$A2)&gt;0,"Yes",""))</f>
        <v/>
      </c>
    </row>
    <row r="2215" spans="23:26">
      <c r="W2215">
        <f>IF($A2="","",COUNTIF('07_Pallet_Contents'!$A$2:$A$3000,$A2))</f>
        <v>0</v>
      </c>
      <c r="X2215">
        <f>IF($A2="","",SUMIF('07_Pallet_Contents'!$A$2:$A$3000,$A2,'07_Pallet_Contents'!$D$2:$D$3000))</f>
        <v>0</v>
      </c>
      <c r="Y2215">
        <f>IF($A2="","",SUMIF('07_Pallet_Contents'!$A$2:$A$3000,$A2,'07_Pallet_Contents'!$I$2:$I$3000))</f>
        <v>0</v>
      </c>
      <c r="Z2215" t="str">
        <f>IF($A2="","",IF(COUNTIF('07_Pallet_Contents'!$A$2:$A$3000,$A2)&gt;0,"Yes",""))</f>
        <v/>
      </c>
    </row>
    <row r="2216" spans="23:26">
      <c r="W2216">
        <f>IF($A2="","",COUNTIF('07_Pallet_Contents'!$A$2:$A$3000,$A2))</f>
        <v>0</v>
      </c>
      <c r="X2216">
        <f>IF($A2="","",SUMIF('07_Pallet_Contents'!$A$2:$A$3000,$A2,'07_Pallet_Contents'!$D$2:$D$3000))</f>
        <v>0</v>
      </c>
      <c r="Y2216">
        <f>IF($A2="","",SUMIF('07_Pallet_Contents'!$A$2:$A$3000,$A2,'07_Pallet_Contents'!$I$2:$I$3000))</f>
        <v>0</v>
      </c>
      <c r="Z2216" t="str">
        <f>IF($A2="","",IF(COUNTIF('07_Pallet_Contents'!$A$2:$A$3000,$A2)&gt;0,"Yes",""))</f>
        <v/>
      </c>
    </row>
    <row r="2217" spans="23:26">
      <c r="W2217">
        <f>IF($A2="","",COUNTIF('07_Pallet_Contents'!$A$2:$A$3000,$A2))</f>
        <v>0</v>
      </c>
      <c r="X2217">
        <f>IF($A2="","",SUMIF('07_Pallet_Contents'!$A$2:$A$3000,$A2,'07_Pallet_Contents'!$D$2:$D$3000))</f>
        <v>0</v>
      </c>
      <c r="Y2217">
        <f>IF($A2="","",SUMIF('07_Pallet_Contents'!$A$2:$A$3000,$A2,'07_Pallet_Contents'!$I$2:$I$3000))</f>
        <v>0</v>
      </c>
      <c r="Z2217" t="str">
        <f>IF($A2="","",IF(COUNTIF('07_Pallet_Contents'!$A$2:$A$3000,$A2)&gt;0,"Yes",""))</f>
        <v/>
      </c>
    </row>
    <row r="2218" spans="23:26">
      <c r="W2218">
        <f>IF($A2="","",COUNTIF('07_Pallet_Contents'!$A$2:$A$3000,$A2))</f>
        <v>0</v>
      </c>
      <c r="X2218">
        <f>IF($A2="","",SUMIF('07_Pallet_Contents'!$A$2:$A$3000,$A2,'07_Pallet_Contents'!$D$2:$D$3000))</f>
        <v>0</v>
      </c>
      <c r="Y2218">
        <f>IF($A2="","",SUMIF('07_Pallet_Contents'!$A$2:$A$3000,$A2,'07_Pallet_Contents'!$I$2:$I$3000))</f>
        <v>0</v>
      </c>
      <c r="Z2218" t="str">
        <f>IF($A2="","",IF(COUNTIF('07_Pallet_Contents'!$A$2:$A$3000,$A2)&gt;0,"Yes",""))</f>
        <v/>
      </c>
    </row>
    <row r="2219" spans="23:26">
      <c r="W2219">
        <f>IF($A2="","",COUNTIF('07_Pallet_Contents'!$A$2:$A$3000,$A2))</f>
        <v>0</v>
      </c>
      <c r="X2219">
        <f>IF($A2="","",SUMIF('07_Pallet_Contents'!$A$2:$A$3000,$A2,'07_Pallet_Contents'!$D$2:$D$3000))</f>
        <v>0</v>
      </c>
      <c r="Y2219">
        <f>IF($A2="","",SUMIF('07_Pallet_Contents'!$A$2:$A$3000,$A2,'07_Pallet_Contents'!$I$2:$I$3000))</f>
        <v>0</v>
      </c>
      <c r="Z2219" t="str">
        <f>IF($A2="","",IF(COUNTIF('07_Pallet_Contents'!$A$2:$A$3000,$A2)&gt;0,"Yes",""))</f>
        <v/>
      </c>
    </row>
    <row r="2220" spans="23:26">
      <c r="W2220">
        <f>IF($A2="","",COUNTIF('07_Pallet_Contents'!$A$2:$A$3000,$A2))</f>
        <v>0</v>
      </c>
      <c r="X2220">
        <f>IF($A2="","",SUMIF('07_Pallet_Contents'!$A$2:$A$3000,$A2,'07_Pallet_Contents'!$D$2:$D$3000))</f>
        <v>0</v>
      </c>
      <c r="Y2220">
        <f>IF($A2="","",SUMIF('07_Pallet_Contents'!$A$2:$A$3000,$A2,'07_Pallet_Contents'!$I$2:$I$3000))</f>
        <v>0</v>
      </c>
      <c r="Z2220" t="str">
        <f>IF($A2="","",IF(COUNTIF('07_Pallet_Contents'!$A$2:$A$3000,$A2)&gt;0,"Yes",""))</f>
        <v/>
      </c>
    </row>
    <row r="2221" spans="23:26">
      <c r="W2221">
        <f>IF($A2="","",COUNTIF('07_Pallet_Contents'!$A$2:$A$3000,$A2))</f>
        <v>0</v>
      </c>
      <c r="X2221">
        <f>IF($A2="","",SUMIF('07_Pallet_Contents'!$A$2:$A$3000,$A2,'07_Pallet_Contents'!$D$2:$D$3000))</f>
        <v>0</v>
      </c>
      <c r="Y2221">
        <f>IF($A2="","",SUMIF('07_Pallet_Contents'!$A$2:$A$3000,$A2,'07_Pallet_Contents'!$I$2:$I$3000))</f>
        <v>0</v>
      </c>
      <c r="Z2221" t="str">
        <f>IF($A2="","",IF(COUNTIF('07_Pallet_Contents'!$A$2:$A$3000,$A2)&gt;0,"Yes",""))</f>
        <v/>
      </c>
    </row>
    <row r="2222" spans="23:26">
      <c r="W2222">
        <f>IF($A2="","",COUNTIF('07_Pallet_Contents'!$A$2:$A$3000,$A2))</f>
        <v>0</v>
      </c>
      <c r="X2222">
        <f>IF($A2="","",SUMIF('07_Pallet_Contents'!$A$2:$A$3000,$A2,'07_Pallet_Contents'!$D$2:$D$3000))</f>
        <v>0</v>
      </c>
      <c r="Y2222">
        <f>IF($A2="","",SUMIF('07_Pallet_Contents'!$A$2:$A$3000,$A2,'07_Pallet_Contents'!$I$2:$I$3000))</f>
        <v>0</v>
      </c>
      <c r="Z2222" t="str">
        <f>IF($A2="","",IF(COUNTIF('07_Pallet_Contents'!$A$2:$A$3000,$A2)&gt;0,"Yes",""))</f>
        <v/>
      </c>
    </row>
    <row r="2223" spans="23:26">
      <c r="W2223">
        <f>IF($A2="","",COUNTIF('07_Pallet_Contents'!$A$2:$A$3000,$A2))</f>
        <v>0</v>
      </c>
      <c r="X2223">
        <f>IF($A2="","",SUMIF('07_Pallet_Contents'!$A$2:$A$3000,$A2,'07_Pallet_Contents'!$D$2:$D$3000))</f>
        <v>0</v>
      </c>
      <c r="Y2223">
        <f>IF($A2="","",SUMIF('07_Pallet_Contents'!$A$2:$A$3000,$A2,'07_Pallet_Contents'!$I$2:$I$3000))</f>
        <v>0</v>
      </c>
      <c r="Z2223" t="str">
        <f>IF($A2="","",IF(COUNTIF('07_Pallet_Contents'!$A$2:$A$3000,$A2)&gt;0,"Yes",""))</f>
        <v/>
      </c>
    </row>
    <row r="2224" spans="23:26">
      <c r="W2224">
        <f>IF($A2="","",COUNTIF('07_Pallet_Contents'!$A$2:$A$3000,$A2))</f>
        <v>0</v>
      </c>
      <c r="X2224">
        <f>IF($A2="","",SUMIF('07_Pallet_Contents'!$A$2:$A$3000,$A2,'07_Pallet_Contents'!$D$2:$D$3000))</f>
        <v>0</v>
      </c>
      <c r="Y2224">
        <f>IF($A2="","",SUMIF('07_Pallet_Contents'!$A$2:$A$3000,$A2,'07_Pallet_Contents'!$I$2:$I$3000))</f>
        <v>0</v>
      </c>
      <c r="Z2224" t="str">
        <f>IF($A2="","",IF(COUNTIF('07_Pallet_Contents'!$A$2:$A$3000,$A2)&gt;0,"Yes",""))</f>
        <v/>
      </c>
    </row>
    <row r="2225" spans="23:26">
      <c r="W2225">
        <f>IF($A2="","",COUNTIF('07_Pallet_Contents'!$A$2:$A$3000,$A2))</f>
        <v>0</v>
      </c>
      <c r="X2225">
        <f>IF($A2="","",SUMIF('07_Pallet_Contents'!$A$2:$A$3000,$A2,'07_Pallet_Contents'!$D$2:$D$3000))</f>
        <v>0</v>
      </c>
      <c r="Y2225">
        <f>IF($A2="","",SUMIF('07_Pallet_Contents'!$A$2:$A$3000,$A2,'07_Pallet_Contents'!$I$2:$I$3000))</f>
        <v>0</v>
      </c>
      <c r="Z2225" t="str">
        <f>IF($A2="","",IF(COUNTIF('07_Pallet_Contents'!$A$2:$A$3000,$A2)&gt;0,"Yes",""))</f>
        <v/>
      </c>
    </row>
    <row r="2226" spans="23:26">
      <c r="W2226">
        <f>IF($A2="","",COUNTIF('07_Pallet_Contents'!$A$2:$A$3000,$A2))</f>
        <v>0</v>
      </c>
      <c r="X2226">
        <f>IF($A2="","",SUMIF('07_Pallet_Contents'!$A$2:$A$3000,$A2,'07_Pallet_Contents'!$D$2:$D$3000))</f>
        <v>0</v>
      </c>
      <c r="Y2226">
        <f>IF($A2="","",SUMIF('07_Pallet_Contents'!$A$2:$A$3000,$A2,'07_Pallet_Contents'!$I$2:$I$3000))</f>
        <v>0</v>
      </c>
      <c r="Z2226" t="str">
        <f>IF($A2="","",IF(COUNTIF('07_Pallet_Contents'!$A$2:$A$3000,$A2)&gt;0,"Yes",""))</f>
        <v/>
      </c>
    </row>
    <row r="2227" spans="23:26">
      <c r="W2227">
        <f>IF($A2="","",COUNTIF('07_Pallet_Contents'!$A$2:$A$3000,$A2))</f>
        <v>0</v>
      </c>
      <c r="X2227">
        <f>IF($A2="","",SUMIF('07_Pallet_Contents'!$A$2:$A$3000,$A2,'07_Pallet_Contents'!$D$2:$D$3000))</f>
        <v>0</v>
      </c>
      <c r="Y2227">
        <f>IF($A2="","",SUMIF('07_Pallet_Contents'!$A$2:$A$3000,$A2,'07_Pallet_Contents'!$I$2:$I$3000))</f>
        <v>0</v>
      </c>
      <c r="Z2227" t="str">
        <f>IF($A2="","",IF(COUNTIF('07_Pallet_Contents'!$A$2:$A$3000,$A2)&gt;0,"Yes",""))</f>
        <v/>
      </c>
    </row>
    <row r="2228" spans="23:26">
      <c r="W2228">
        <f>IF($A2="","",COUNTIF('07_Pallet_Contents'!$A$2:$A$3000,$A2))</f>
        <v>0</v>
      </c>
      <c r="X2228">
        <f>IF($A2="","",SUMIF('07_Pallet_Contents'!$A$2:$A$3000,$A2,'07_Pallet_Contents'!$D$2:$D$3000))</f>
        <v>0</v>
      </c>
      <c r="Y2228">
        <f>IF($A2="","",SUMIF('07_Pallet_Contents'!$A$2:$A$3000,$A2,'07_Pallet_Contents'!$I$2:$I$3000))</f>
        <v>0</v>
      </c>
      <c r="Z2228" t="str">
        <f>IF($A2="","",IF(COUNTIF('07_Pallet_Contents'!$A$2:$A$3000,$A2)&gt;0,"Yes",""))</f>
        <v/>
      </c>
    </row>
    <row r="2229" spans="23:26">
      <c r="W2229">
        <f>IF($A2="","",COUNTIF('07_Pallet_Contents'!$A$2:$A$3000,$A2))</f>
        <v>0</v>
      </c>
      <c r="X2229">
        <f>IF($A2="","",SUMIF('07_Pallet_Contents'!$A$2:$A$3000,$A2,'07_Pallet_Contents'!$D$2:$D$3000))</f>
        <v>0</v>
      </c>
      <c r="Y2229">
        <f>IF($A2="","",SUMIF('07_Pallet_Contents'!$A$2:$A$3000,$A2,'07_Pallet_Contents'!$I$2:$I$3000))</f>
        <v>0</v>
      </c>
      <c r="Z2229" t="str">
        <f>IF($A2="","",IF(COUNTIF('07_Pallet_Contents'!$A$2:$A$3000,$A2)&gt;0,"Yes",""))</f>
        <v/>
      </c>
    </row>
    <row r="2230" spans="23:26">
      <c r="W2230">
        <f>IF($A2="","",COUNTIF('07_Pallet_Contents'!$A$2:$A$3000,$A2))</f>
        <v>0</v>
      </c>
      <c r="X2230">
        <f>IF($A2="","",SUMIF('07_Pallet_Contents'!$A$2:$A$3000,$A2,'07_Pallet_Contents'!$D$2:$D$3000))</f>
        <v>0</v>
      </c>
      <c r="Y2230">
        <f>IF($A2="","",SUMIF('07_Pallet_Contents'!$A$2:$A$3000,$A2,'07_Pallet_Contents'!$I$2:$I$3000))</f>
        <v>0</v>
      </c>
      <c r="Z2230" t="str">
        <f>IF($A2="","",IF(COUNTIF('07_Pallet_Contents'!$A$2:$A$3000,$A2)&gt;0,"Yes",""))</f>
        <v/>
      </c>
    </row>
    <row r="2231" spans="23:26">
      <c r="W2231">
        <f>IF($A2="","",COUNTIF('07_Pallet_Contents'!$A$2:$A$3000,$A2))</f>
        <v>0</v>
      </c>
      <c r="X2231">
        <f>IF($A2="","",SUMIF('07_Pallet_Contents'!$A$2:$A$3000,$A2,'07_Pallet_Contents'!$D$2:$D$3000))</f>
        <v>0</v>
      </c>
      <c r="Y2231">
        <f>IF($A2="","",SUMIF('07_Pallet_Contents'!$A$2:$A$3000,$A2,'07_Pallet_Contents'!$I$2:$I$3000))</f>
        <v>0</v>
      </c>
      <c r="Z2231" t="str">
        <f>IF($A2="","",IF(COUNTIF('07_Pallet_Contents'!$A$2:$A$3000,$A2)&gt;0,"Yes",""))</f>
        <v/>
      </c>
    </row>
    <row r="2232" spans="23:26">
      <c r="W2232">
        <f>IF($A2="","",COUNTIF('07_Pallet_Contents'!$A$2:$A$3000,$A2))</f>
        <v>0</v>
      </c>
      <c r="X2232">
        <f>IF($A2="","",SUMIF('07_Pallet_Contents'!$A$2:$A$3000,$A2,'07_Pallet_Contents'!$D$2:$D$3000))</f>
        <v>0</v>
      </c>
      <c r="Y2232">
        <f>IF($A2="","",SUMIF('07_Pallet_Contents'!$A$2:$A$3000,$A2,'07_Pallet_Contents'!$I$2:$I$3000))</f>
        <v>0</v>
      </c>
      <c r="Z2232" t="str">
        <f>IF($A2="","",IF(COUNTIF('07_Pallet_Contents'!$A$2:$A$3000,$A2)&gt;0,"Yes",""))</f>
        <v/>
      </c>
    </row>
    <row r="2233" spans="23:26">
      <c r="W2233">
        <f>IF($A2="","",COUNTIF('07_Pallet_Contents'!$A$2:$A$3000,$A2))</f>
        <v>0</v>
      </c>
      <c r="X2233">
        <f>IF($A2="","",SUMIF('07_Pallet_Contents'!$A$2:$A$3000,$A2,'07_Pallet_Contents'!$D$2:$D$3000))</f>
        <v>0</v>
      </c>
      <c r="Y2233">
        <f>IF($A2="","",SUMIF('07_Pallet_Contents'!$A$2:$A$3000,$A2,'07_Pallet_Contents'!$I$2:$I$3000))</f>
        <v>0</v>
      </c>
      <c r="Z2233" t="str">
        <f>IF($A2="","",IF(COUNTIF('07_Pallet_Contents'!$A$2:$A$3000,$A2)&gt;0,"Yes",""))</f>
        <v/>
      </c>
    </row>
    <row r="2234" spans="23:26">
      <c r="W2234">
        <f>IF($A2="","",COUNTIF('07_Pallet_Contents'!$A$2:$A$3000,$A2))</f>
        <v>0</v>
      </c>
      <c r="X2234">
        <f>IF($A2="","",SUMIF('07_Pallet_Contents'!$A$2:$A$3000,$A2,'07_Pallet_Contents'!$D$2:$D$3000))</f>
        <v>0</v>
      </c>
      <c r="Y2234">
        <f>IF($A2="","",SUMIF('07_Pallet_Contents'!$A$2:$A$3000,$A2,'07_Pallet_Contents'!$I$2:$I$3000))</f>
        <v>0</v>
      </c>
      <c r="Z2234" t="str">
        <f>IF($A2="","",IF(COUNTIF('07_Pallet_Contents'!$A$2:$A$3000,$A2)&gt;0,"Yes",""))</f>
        <v/>
      </c>
    </row>
    <row r="2235" spans="23:26">
      <c r="W2235">
        <f>IF($A2="","",COUNTIF('07_Pallet_Contents'!$A$2:$A$3000,$A2))</f>
        <v>0</v>
      </c>
      <c r="X2235">
        <f>IF($A2="","",SUMIF('07_Pallet_Contents'!$A$2:$A$3000,$A2,'07_Pallet_Contents'!$D$2:$D$3000))</f>
        <v>0</v>
      </c>
      <c r="Y2235">
        <f>IF($A2="","",SUMIF('07_Pallet_Contents'!$A$2:$A$3000,$A2,'07_Pallet_Contents'!$I$2:$I$3000))</f>
        <v>0</v>
      </c>
      <c r="Z2235" t="str">
        <f>IF($A2="","",IF(COUNTIF('07_Pallet_Contents'!$A$2:$A$3000,$A2)&gt;0,"Yes",""))</f>
        <v/>
      </c>
    </row>
    <row r="2236" spans="23:26">
      <c r="W2236">
        <f>IF($A2="","",COUNTIF('07_Pallet_Contents'!$A$2:$A$3000,$A2))</f>
        <v>0</v>
      </c>
      <c r="X2236">
        <f>IF($A2="","",SUMIF('07_Pallet_Contents'!$A$2:$A$3000,$A2,'07_Pallet_Contents'!$D$2:$D$3000))</f>
        <v>0</v>
      </c>
      <c r="Y2236">
        <f>IF($A2="","",SUMIF('07_Pallet_Contents'!$A$2:$A$3000,$A2,'07_Pallet_Contents'!$I$2:$I$3000))</f>
        <v>0</v>
      </c>
      <c r="Z2236" t="str">
        <f>IF($A2="","",IF(COUNTIF('07_Pallet_Contents'!$A$2:$A$3000,$A2)&gt;0,"Yes",""))</f>
        <v/>
      </c>
    </row>
    <row r="2237" spans="23:26">
      <c r="W2237">
        <f>IF($A2="","",COUNTIF('07_Pallet_Contents'!$A$2:$A$3000,$A2))</f>
        <v>0</v>
      </c>
      <c r="X2237">
        <f>IF($A2="","",SUMIF('07_Pallet_Contents'!$A$2:$A$3000,$A2,'07_Pallet_Contents'!$D$2:$D$3000))</f>
        <v>0</v>
      </c>
      <c r="Y2237">
        <f>IF($A2="","",SUMIF('07_Pallet_Contents'!$A$2:$A$3000,$A2,'07_Pallet_Contents'!$I$2:$I$3000))</f>
        <v>0</v>
      </c>
      <c r="Z2237" t="str">
        <f>IF($A2="","",IF(COUNTIF('07_Pallet_Contents'!$A$2:$A$3000,$A2)&gt;0,"Yes",""))</f>
        <v/>
      </c>
    </row>
    <row r="2238" spans="23:26">
      <c r="W2238">
        <f>IF($A2="","",COUNTIF('07_Pallet_Contents'!$A$2:$A$3000,$A2))</f>
        <v>0</v>
      </c>
      <c r="X2238">
        <f>IF($A2="","",SUMIF('07_Pallet_Contents'!$A$2:$A$3000,$A2,'07_Pallet_Contents'!$D$2:$D$3000))</f>
        <v>0</v>
      </c>
      <c r="Y2238">
        <f>IF($A2="","",SUMIF('07_Pallet_Contents'!$A$2:$A$3000,$A2,'07_Pallet_Contents'!$I$2:$I$3000))</f>
        <v>0</v>
      </c>
      <c r="Z2238" t="str">
        <f>IF($A2="","",IF(COUNTIF('07_Pallet_Contents'!$A$2:$A$3000,$A2)&gt;0,"Yes",""))</f>
        <v/>
      </c>
    </row>
    <row r="2239" spans="23:26">
      <c r="W2239">
        <f>IF($A2="","",COUNTIF('07_Pallet_Contents'!$A$2:$A$3000,$A2))</f>
        <v>0</v>
      </c>
      <c r="X2239">
        <f>IF($A2="","",SUMIF('07_Pallet_Contents'!$A$2:$A$3000,$A2,'07_Pallet_Contents'!$D$2:$D$3000))</f>
        <v>0</v>
      </c>
      <c r="Y2239">
        <f>IF($A2="","",SUMIF('07_Pallet_Contents'!$A$2:$A$3000,$A2,'07_Pallet_Contents'!$I$2:$I$3000))</f>
        <v>0</v>
      </c>
      <c r="Z2239" t="str">
        <f>IF($A2="","",IF(COUNTIF('07_Pallet_Contents'!$A$2:$A$3000,$A2)&gt;0,"Yes",""))</f>
        <v/>
      </c>
    </row>
    <row r="2240" spans="23:26">
      <c r="W2240">
        <f>IF($A2="","",COUNTIF('07_Pallet_Contents'!$A$2:$A$3000,$A2))</f>
        <v>0</v>
      </c>
      <c r="X2240">
        <f>IF($A2="","",SUMIF('07_Pallet_Contents'!$A$2:$A$3000,$A2,'07_Pallet_Contents'!$D$2:$D$3000))</f>
        <v>0</v>
      </c>
      <c r="Y2240">
        <f>IF($A2="","",SUMIF('07_Pallet_Contents'!$A$2:$A$3000,$A2,'07_Pallet_Contents'!$I$2:$I$3000))</f>
        <v>0</v>
      </c>
      <c r="Z2240" t="str">
        <f>IF($A2="","",IF(COUNTIF('07_Pallet_Contents'!$A$2:$A$3000,$A2)&gt;0,"Yes",""))</f>
        <v/>
      </c>
    </row>
    <row r="2241" spans="23:26">
      <c r="W2241">
        <f>IF($A2="","",COUNTIF('07_Pallet_Contents'!$A$2:$A$3000,$A2))</f>
        <v>0</v>
      </c>
      <c r="X2241">
        <f>IF($A2="","",SUMIF('07_Pallet_Contents'!$A$2:$A$3000,$A2,'07_Pallet_Contents'!$D$2:$D$3000))</f>
        <v>0</v>
      </c>
      <c r="Y2241">
        <f>IF($A2="","",SUMIF('07_Pallet_Contents'!$A$2:$A$3000,$A2,'07_Pallet_Contents'!$I$2:$I$3000))</f>
        <v>0</v>
      </c>
      <c r="Z2241" t="str">
        <f>IF($A2="","",IF(COUNTIF('07_Pallet_Contents'!$A$2:$A$3000,$A2)&gt;0,"Yes",""))</f>
        <v/>
      </c>
    </row>
    <row r="2242" spans="23:26">
      <c r="W2242">
        <f>IF($A2="","",COUNTIF('07_Pallet_Contents'!$A$2:$A$3000,$A2))</f>
        <v>0</v>
      </c>
      <c r="X2242">
        <f>IF($A2="","",SUMIF('07_Pallet_Contents'!$A$2:$A$3000,$A2,'07_Pallet_Contents'!$D$2:$D$3000))</f>
        <v>0</v>
      </c>
      <c r="Y2242">
        <f>IF($A2="","",SUMIF('07_Pallet_Contents'!$A$2:$A$3000,$A2,'07_Pallet_Contents'!$I$2:$I$3000))</f>
        <v>0</v>
      </c>
      <c r="Z2242" t="str">
        <f>IF($A2="","",IF(COUNTIF('07_Pallet_Contents'!$A$2:$A$3000,$A2)&gt;0,"Yes",""))</f>
        <v/>
      </c>
    </row>
    <row r="2243" spans="23:26">
      <c r="W2243">
        <f>IF($A2="","",COUNTIF('07_Pallet_Contents'!$A$2:$A$3000,$A2))</f>
        <v>0</v>
      </c>
      <c r="X2243">
        <f>IF($A2="","",SUMIF('07_Pallet_Contents'!$A$2:$A$3000,$A2,'07_Pallet_Contents'!$D$2:$D$3000))</f>
        <v>0</v>
      </c>
      <c r="Y2243">
        <f>IF($A2="","",SUMIF('07_Pallet_Contents'!$A$2:$A$3000,$A2,'07_Pallet_Contents'!$I$2:$I$3000))</f>
        <v>0</v>
      </c>
      <c r="Z2243" t="str">
        <f>IF($A2="","",IF(COUNTIF('07_Pallet_Contents'!$A$2:$A$3000,$A2)&gt;0,"Yes",""))</f>
        <v/>
      </c>
    </row>
    <row r="2244" spans="23:26">
      <c r="W2244">
        <f>IF($A2="","",COUNTIF('07_Pallet_Contents'!$A$2:$A$3000,$A2))</f>
        <v>0</v>
      </c>
      <c r="X2244">
        <f>IF($A2="","",SUMIF('07_Pallet_Contents'!$A$2:$A$3000,$A2,'07_Pallet_Contents'!$D$2:$D$3000))</f>
        <v>0</v>
      </c>
      <c r="Y2244">
        <f>IF($A2="","",SUMIF('07_Pallet_Contents'!$A$2:$A$3000,$A2,'07_Pallet_Contents'!$I$2:$I$3000))</f>
        <v>0</v>
      </c>
      <c r="Z2244" t="str">
        <f>IF($A2="","",IF(COUNTIF('07_Pallet_Contents'!$A$2:$A$3000,$A2)&gt;0,"Yes",""))</f>
        <v/>
      </c>
    </row>
    <row r="2245" spans="23:26">
      <c r="W2245">
        <f>IF($A2="","",COUNTIF('07_Pallet_Contents'!$A$2:$A$3000,$A2))</f>
        <v>0</v>
      </c>
      <c r="X2245">
        <f>IF($A2="","",SUMIF('07_Pallet_Contents'!$A$2:$A$3000,$A2,'07_Pallet_Contents'!$D$2:$D$3000))</f>
        <v>0</v>
      </c>
      <c r="Y2245">
        <f>IF($A2="","",SUMIF('07_Pallet_Contents'!$A$2:$A$3000,$A2,'07_Pallet_Contents'!$I$2:$I$3000))</f>
        <v>0</v>
      </c>
      <c r="Z2245" t="str">
        <f>IF($A2="","",IF(COUNTIF('07_Pallet_Contents'!$A$2:$A$3000,$A2)&gt;0,"Yes",""))</f>
        <v/>
      </c>
    </row>
    <row r="2246" spans="23:26">
      <c r="W2246">
        <f>IF($A2="","",COUNTIF('07_Pallet_Contents'!$A$2:$A$3000,$A2))</f>
        <v>0</v>
      </c>
      <c r="X2246">
        <f>IF($A2="","",SUMIF('07_Pallet_Contents'!$A$2:$A$3000,$A2,'07_Pallet_Contents'!$D$2:$D$3000))</f>
        <v>0</v>
      </c>
      <c r="Y2246">
        <f>IF($A2="","",SUMIF('07_Pallet_Contents'!$A$2:$A$3000,$A2,'07_Pallet_Contents'!$I$2:$I$3000))</f>
        <v>0</v>
      </c>
      <c r="Z2246" t="str">
        <f>IF($A2="","",IF(COUNTIF('07_Pallet_Contents'!$A$2:$A$3000,$A2)&gt;0,"Yes",""))</f>
        <v/>
      </c>
    </row>
    <row r="2247" spans="23:26">
      <c r="W2247">
        <f>IF($A2="","",COUNTIF('07_Pallet_Contents'!$A$2:$A$3000,$A2))</f>
        <v>0</v>
      </c>
      <c r="X2247">
        <f>IF($A2="","",SUMIF('07_Pallet_Contents'!$A$2:$A$3000,$A2,'07_Pallet_Contents'!$D$2:$D$3000))</f>
        <v>0</v>
      </c>
      <c r="Y2247">
        <f>IF($A2="","",SUMIF('07_Pallet_Contents'!$A$2:$A$3000,$A2,'07_Pallet_Contents'!$I$2:$I$3000))</f>
        <v>0</v>
      </c>
      <c r="Z2247" t="str">
        <f>IF($A2="","",IF(COUNTIF('07_Pallet_Contents'!$A$2:$A$3000,$A2)&gt;0,"Yes",""))</f>
        <v/>
      </c>
    </row>
    <row r="2248" spans="23:26">
      <c r="W2248">
        <f>IF($A2="","",COUNTIF('07_Pallet_Contents'!$A$2:$A$3000,$A2))</f>
        <v>0</v>
      </c>
      <c r="X2248">
        <f>IF($A2="","",SUMIF('07_Pallet_Contents'!$A$2:$A$3000,$A2,'07_Pallet_Contents'!$D$2:$D$3000))</f>
        <v>0</v>
      </c>
      <c r="Y2248">
        <f>IF($A2="","",SUMIF('07_Pallet_Contents'!$A$2:$A$3000,$A2,'07_Pallet_Contents'!$I$2:$I$3000))</f>
        <v>0</v>
      </c>
      <c r="Z2248" t="str">
        <f>IF($A2="","",IF(COUNTIF('07_Pallet_Contents'!$A$2:$A$3000,$A2)&gt;0,"Yes",""))</f>
        <v/>
      </c>
    </row>
    <row r="2249" spans="23:26">
      <c r="W2249">
        <f>IF($A2="","",COUNTIF('07_Pallet_Contents'!$A$2:$A$3000,$A2))</f>
        <v>0</v>
      </c>
      <c r="X2249">
        <f>IF($A2="","",SUMIF('07_Pallet_Contents'!$A$2:$A$3000,$A2,'07_Pallet_Contents'!$D$2:$D$3000))</f>
        <v>0</v>
      </c>
      <c r="Y2249">
        <f>IF($A2="","",SUMIF('07_Pallet_Contents'!$A$2:$A$3000,$A2,'07_Pallet_Contents'!$I$2:$I$3000))</f>
        <v>0</v>
      </c>
      <c r="Z2249" t="str">
        <f>IF($A2="","",IF(COUNTIF('07_Pallet_Contents'!$A$2:$A$3000,$A2)&gt;0,"Yes",""))</f>
        <v/>
      </c>
    </row>
    <row r="2250" spans="23:26">
      <c r="W2250">
        <f>IF($A2="","",COUNTIF('07_Pallet_Contents'!$A$2:$A$3000,$A2))</f>
        <v>0</v>
      </c>
      <c r="X2250">
        <f>IF($A2="","",SUMIF('07_Pallet_Contents'!$A$2:$A$3000,$A2,'07_Pallet_Contents'!$D$2:$D$3000))</f>
        <v>0</v>
      </c>
      <c r="Y2250">
        <f>IF($A2="","",SUMIF('07_Pallet_Contents'!$A$2:$A$3000,$A2,'07_Pallet_Contents'!$I$2:$I$3000))</f>
        <v>0</v>
      </c>
      <c r="Z2250" t="str">
        <f>IF($A2="","",IF(COUNTIF('07_Pallet_Contents'!$A$2:$A$3000,$A2)&gt;0,"Yes",""))</f>
        <v/>
      </c>
    </row>
    <row r="2251" spans="23:26">
      <c r="W2251">
        <f>IF($A2="","",COUNTIF('07_Pallet_Contents'!$A$2:$A$3000,$A2))</f>
        <v>0</v>
      </c>
      <c r="X2251">
        <f>IF($A2="","",SUMIF('07_Pallet_Contents'!$A$2:$A$3000,$A2,'07_Pallet_Contents'!$D$2:$D$3000))</f>
        <v>0</v>
      </c>
      <c r="Y2251">
        <f>IF($A2="","",SUMIF('07_Pallet_Contents'!$A$2:$A$3000,$A2,'07_Pallet_Contents'!$I$2:$I$3000))</f>
        <v>0</v>
      </c>
      <c r="Z2251" t="str">
        <f>IF($A2="","",IF(COUNTIF('07_Pallet_Contents'!$A$2:$A$3000,$A2)&gt;0,"Yes",""))</f>
        <v/>
      </c>
    </row>
    <row r="2252" spans="23:26">
      <c r="W2252">
        <f>IF($A2="","",COUNTIF('07_Pallet_Contents'!$A$2:$A$3000,$A2))</f>
        <v>0</v>
      </c>
      <c r="X2252">
        <f>IF($A2="","",SUMIF('07_Pallet_Contents'!$A$2:$A$3000,$A2,'07_Pallet_Contents'!$D$2:$D$3000))</f>
        <v>0</v>
      </c>
      <c r="Y2252">
        <f>IF($A2="","",SUMIF('07_Pallet_Contents'!$A$2:$A$3000,$A2,'07_Pallet_Contents'!$I$2:$I$3000))</f>
        <v>0</v>
      </c>
      <c r="Z2252" t="str">
        <f>IF($A2="","",IF(COUNTIF('07_Pallet_Contents'!$A$2:$A$3000,$A2)&gt;0,"Yes",""))</f>
        <v/>
      </c>
    </row>
    <row r="2253" spans="23:26">
      <c r="W2253">
        <f>IF($A2="","",COUNTIF('07_Pallet_Contents'!$A$2:$A$3000,$A2))</f>
        <v>0</v>
      </c>
      <c r="X2253">
        <f>IF($A2="","",SUMIF('07_Pallet_Contents'!$A$2:$A$3000,$A2,'07_Pallet_Contents'!$D$2:$D$3000))</f>
        <v>0</v>
      </c>
      <c r="Y2253">
        <f>IF($A2="","",SUMIF('07_Pallet_Contents'!$A$2:$A$3000,$A2,'07_Pallet_Contents'!$I$2:$I$3000))</f>
        <v>0</v>
      </c>
      <c r="Z2253" t="str">
        <f>IF($A2="","",IF(COUNTIF('07_Pallet_Contents'!$A$2:$A$3000,$A2)&gt;0,"Yes",""))</f>
        <v/>
      </c>
    </row>
    <row r="2254" spans="23:26">
      <c r="W2254">
        <f>IF($A2="","",COUNTIF('07_Pallet_Contents'!$A$2:$A$3000,$A2))</f>
        <v>0</v>
      </c>
      <c r="X2254">
        <f>IF($A2="","",SUMIF('07_Pallet_Contents'!$A$2:$A$3000,$A2,'07_Pallet_Contents'!$D$2:$D$3000))</f>
        <v>0</v>
      </c>
      <c r="Y2254">
        <f>IF($A2="","",SUMIF('07_Pallet_Contents'!$A$2:$A$3000,$A2,'07_Pallet_Contents'!$I$2:$I$3000))</f>
        <v>0</v>
      </c>
      <c r="Z2254" t="str">
        <f>IF($A2="","",IF(COUNTIF('07_Pallet_Contents'!$A$2:$A$3000,$A2)&gt;0,"Yes",""))</f>
        <v/>
      </c>
    </row>
    <row r="2255" spans="23:26">
      <c r="W2255">
        <f>IF($A2="","",COUNTIF('07_Pallet_Contents'!$A$2:$A$3000,$A2))</f>
        <v>0</v>
      </c>
      <c r="X2255">
        <f>IF($A2="","",SUMIF('07_Pallet_Contents'!$A$2:$A$3000,$A2,'07_Pallet_Contents'!$D$2:$D$3000))</f>
        <v>0</v>
      </c>
      <c r="Y2255">
        <f>IF($A2="","",SUMIF('07_Pallet_Contents'!$A$2:$A$3000,$A2,'07_Pallet_Contents'!$I$2:$I$3000))</f>
        <v>0</v>
      </c>
      <c r="Z2255" t="str">
        <f>IF($A2="","",IF(COUNTIF('07_Pallet_Contents'!$A$2:$A$3000,$A2)&gt;0,"Yes",""))</f>
        <v/>
      </c>
    </row>
    <row r="2256" spans="23:26">
      <c r="W2256">
        <f>IF($A2="","",COUNTIF('07_Pallet_Contents'!$A$2:$A$3000,$A2))</f>
        <v>0</v>
      </c>
      <c r="X2256">
        <f>IF($A2="","",SUMIF('07_Pallet_Contents'!$A$2:$A$3000,$A2,'07_Pallet_Contents'!$D$2:$D$3000))</f>
        <v>0</v>
      </c>
      <c r="Y2256">
        <f>IF($A2="","",SUMIF('07_Pallet_Contents'!$A$2:$A$3000,$A2,'07_Pallet_Contents'!$I$2:$I$3000))</f>
        <v>0</v>
      </c>
      <c r="Z2256" t="str">
        <f>IF($A2="","",IF(COUNTIF('07_Pallet_Contents'!$A$2:$A$3000,$A2)&gt;0,"Yes",""))</f>
        <v/>
      </c>
    </row>
    <row r="2257" spans="23:26">
      <c r="W2257">
        <f>IF($A2="","",COUNTIF('07_Pallet_Contents'!$A$2:$A$3000,$A2))</f>
        <v>0</v>
      </c>
      <c r="X2257">
        <f>IF($A2="","",SUMIF('07_Pallet_Contents'!$A$2:$A$3000,$A2,'07_Pallet_Contents'!$D$2:$D$3000))</f>
        <v>0</v>
      </c>
      <c r="Y2257">
        <f>IF($A2="","",SUMIF('07_Pallet_Contents'!$A$2:$A$3000,$A2,'07_Pallet_Contents'!$I$2:$I$3000))</f>
        <v>0</v>
      </c>
      <c r="Z2257" t="str">
        <f>IF($A2="","",IF(COUNTIF('07_Pallet_Contents'!$A$2:$A$3000,$A2)&gt;0,"Yes",""))</f>
        <v/>
      </c>
    </row>
    <row r="2258" spans="23:26">
      <c r="W2258">
        <f>IF($A2="","",COUNTIF('07_Pallet_Contents'!$A$2:$A$3000,$A2))</f>
        <v>0</v>
      </c>
      <c r="X2258">
        <f>IF($A2="","",SUMIF('07_Pallet_Contents'!$A$2:$A$3000,$A2,'07_Pallet_Contents'!$D$2:$D$3000))</f>
        <v>0</v>
      </c>
      <c r="Y2258">
        <f>IF($A2="","",SUMIF('07_Pallet_Contents'!$A$2:$A$3000,$A2,'07_Pallet_Contents'!$I$2:$I$3000))</f>
        <v>0</v>
      </c>
      <c r="Z2258" t="str">
        <f>IF($A2="","",IF(COUNTIF('07_Pallet_Contents'!$A$2:$A$3000,$A2)&gt;0,"Yes",""))</f>
        <v/>
      </c>
    </row>
    <row r="2259" spans="23:26">
      <c r="W2259">
        <f>IF($A2="","",COUNTIF('07_Pallet_Contents'!$A$2:$A$3000,$A2))</f>
        <v>0</v>
      </c>
      <c r="X2259">
        <f>IF($A2="","",SUMIF('07_Pallet_Contents'!$A$2:$A$3000,$A2,'07_Pallet_Contents'!$D$2:$D$3000))</f>
        <v>0</v>
      </c>
      <c r="Y2259">
        <f>IF($A2="","",SUMIF('07_Pallet_Contents'!$A$2:$A$3000,$A2,'07_Pallet_Contents'!$I$2:$I$3000))</f>
        <v>0</v>
      </c>
      <c r="Z2259" t="str">
        <f>IF($A2="","",IF(COUNTIF('07_Pallet_Contents'!$A$2:$A$3000,$A2)&gt;0,"Yes",""))</f>
        <v/>
      </c>
    </row>
    <row r="2260" spans="23:26">
      <c r="W2260">
        <f>IF($A2="","",COUNTIF('07_Pallet_Contents'!$A$2:$A$3000,$A2))</f>
        <v>0</v>
      </c>
      <c r="X2260">
        <f>IF($A2="","",SUMIF('07_Pallet_Contents'!$A$2:$A$3000,$A2,'07_Pallet_Contents'!$D$2:$D$3000))</f>
        <v>0</v>
      </c>
      <c r="Y2260">
        <f>IF($A2="","",SUMIF('07_Pallet_Contents'!$A$2:$A$3000,$A2,'07_Pallet_Contents'!$I$2:$I$3000))</f>
        <v>0</v>
      </c>
      <c r="Z2260" t="str">
        <f>IF($A2="","",IF(COUNTIF('07_Pallet_Contents'!$A$2:$A$3000,$A2)&gt;0,"Yes",""))</f>
        <v/>
      </c>
    </row>
    <row r="2261" spans="23:26">
      <c r="W2261">
        <f>IF($A2="","",COUNTIF('07_Pallet_Contents'!$A$2:$A$3000,$A2))</f>
        <v>0</v>
      </c>
      <c r="X2261">
        <f>IF($A2="","",SUMIF('07_Pallet_Contents'!$A$2:$A$3000,$A2,'07_Pallet_Contents'!$D$2:$D$3000))</f>
        <v>0</v>
      </c>
      <c r="Y2261">
        <f>IF($A2="","",SUMIF('07_Pallet_Contents'!$A$2:$A$3000,$A2,'07_Pallet_Contents'!$I$2:$I$3000))</f>
        <v>0</v>
      </c>
      <c r="Z2261" t="str">
        <f>IF($A2="","",IF(COUNTIF('07_Pallet_Contents'!$A$2:$A$3000,$A2)&gt;0,"Yes",""))</f>
        <v/>
      </c>
    </row>
    <row r="2262" spans="23:26">
      <c r="W2262">
        <f>IF($A2="","",COUNTIF('07_Pallet_Contents'!$A$2:$A$3000,$A2))</f>
        <v>0</v>
      </c>
      <c r="X2262">
        <f>IF($A2="","",SUMIF('07_Pallet_Contents'!$A$2:$A$3000,$A2,'07_Pallet_Contents'!$D$2:$D$3000))</f>
        <v>0</v>
      </c>
      <c r="Y2262">
        <f>IF($A2="","",SUMIF('07_Pallet_Contents'!$A$2:$A$3000,$A2,'07_Pallet_Contents'!$I$2:$I$3000))</f>
        <v>0</v>
      </c>
      <c r="Z2262" t="str">
        <f>IF($A2="","",IF(COUNTIF('07_Pallet_Contents'!$A$2:$A$3000,$A2)&gt;0,"Yes",""))</f>
        <v/>
      </c>
    </row>
    <row r="2263" spans="23:26">
      <c r="W2263">
        <f>IF($A2="","",COUNTIF('07_Pallet_Contents'!$A$2:$A$3000,$A2))</f>
        <v>0</v>
      </c>
      <c r="X2263">
        <f>IF($A2="","",SUMIF('07_Pallet_Contents'!$A$2:$A$3000,$A2,'07_Pallet_Contents'!$D$2:$D$3000))</f>
        <v>0</v>
      </c>
      <c r="Y2263">
        <f>IF($A2="","",SUMIF('07_Pallet_Contents'!$A$2:$A$3000,$A2,'07_Pallet_Contents'!$I$2:$I$3000))</f>
        <v>0</v>
      </c>
      <c r="Z2263" t="str">
        <f>IF($A2="","",IF(COUNTIF('07_Pallet_Contents'!$A$2:$A$3000,$A2)&gt;0,"Yes",""))</f>
        <v/>
      </c>
    </row>
    <row r="2264" spans="23:26">
      <c r="W2264">
        <f>IF($A2="","",COUNTIF('07_Pallet_Contents'!$A$2:$A$3000,$A2))</f>
        <v>0</v>
      </c>
      <c r="X2264">
        <f>IF($A2="","",SUMIF('07_Pallet_Contents'!$A$2:$A$3000,$A2,'07_Pallet_Contents'!$D$2:$D$3000))</f>
        <v>0</v>
      </c>
      <c r="Y2264">
        <f>IF($A2="","",SUMIF('07_Pallet_Contents'!$A$2:$A$3000,$A2,'07_Pallet_Contents'!$I$2:$I$3000))</f>
        <v>0</v>
      </c>
      <c r="Z2264" t="str">
        <f>IF($A2="","",IF(COUNTIF('07_Pallet_Contents'!$A$2:$A$3000,$A2)&gt;0,"Yes",""))</f>
        <v/>
      </c>
    </row>
    <row r="2265" spans="23:26">
      <c r="W2265">
        <f>IF($A2="","",COUNTIF('07_Pallet_Contents'!$A$2:$A$3000,$A2))</f>
        <v>0</v>
      </c>
      <c r="X2265">
        <f>IF($A2="","",SUMIF('07_Pallet_Contents'!$A$2:$A$3000,$A2,'07_Pallet_Contents'!$D$2:$D$3000))</f>
        <v>0</v>
      </c>
      <c r="Y2265">
        <f>IF($A2="","",SUMIF('07_Pallet_Contents'!$A$2:$A$3000,$A2,'07_Pallet_Contents'!$I$2:$I$3000))</f>
        <v>0</v>
      </c>
      <c r="Z2265" t="str">
        <f>IF($A2="","",IF(COUNTIF('07_Pallet_Contents'!$A$2:$A$3000,$A2)&gt;0,"Yes",""))</f>
        <v/>
      </c>
    </row>
    <row r="2266" spans="23:26">
      <c r="W2266">
        <f>IF($A2="","",COUNTIF('07_Pallet_Contents'!$A$2:$A$3000,$A2))</f>
        <v>0</v>
      </c>
      <c r="X2266">
        <f>IF($A2="","",SUMIF('07_Pallet_Contents'!$A$2:$A$3000,$A2,'07_Pallet_Contents'!$D$2:$D$3000))</f>
        <v>0</v>
      </c>
      <c r="Y2266">
        <f>IF($A2="","",SUMIF('07_Pallet_Contents'!$A$2:$A$3000,$A2,'07_Pallet_Contents'!$I$2:$I$3000))</f>
        <v>0</v>
      </c>
      <c r="Z2266" t="str">
        <f>IF($A2="","",IF(COUNTIF('07_Pallet_Contents'!$A$2:$A$3000,$A2)&gt;0,"Yes",""))</f>
        <v/>
      </c>
    </row>
    <row r="2267" spans="23:26">
      <c r="W2267">
        <f>IF($A2="","",COUNTIF('07_Pallet_Contents'!$A$2:$A$3000,$A2))</f>
        <v>0</v>
      </c>
      <c r="X2267">
        <f>IF($A2="","",SUMIF('07_Pallet_Contents'!$A$2:$A$3000,$A2,'07_Pallet_Contents'!$D$2:$D$3000))</f>
        <v>0</v>
      </c>
      <c r="Y2267">
        <f>IF($A2="","",SUMIF('07_Pallet_Contents'!$A$2:$A$3000,$A2,'07_Pallet_Contents'!$I$2:$I$3000))</f>
        <v>0</v>
      </c>
      <c r="Z2267" t="str">
        <f>IF($A2="","",IF(COUNTIF('07_Pallet_Contents'!$A$2:$A$3000,$A2)&gt;0,"Yes",""))</f>
        <v/>
      </c>
    </row>
    <row r="2268" spans="23:26">
      <c r="W2268">
        <f>IF($A2="","",COUNTIF('07_Pallet_Contents'!$A$2:$A$3000,$A2))</f>
        <v>0</v>
      </c>
      <c r="X2268">
        <f>IF($A2="","",SUMIF('07_Pallet_Contents'!$A$2:$A$3000,$A2,'07_Pallet_Contents'!$D$2:$D$3000))</f>
        <v>0</v>
      </c>
      <c r="Y2268">
        <f>IF($A2="","",SUMIF('07_Pallet_Contents'!$A$2:$A$3000,$A2,'07_Pallet_Contents'!$I$2:$I$3000))</f>
        <v>0</v>
      </c>
      <c r="Z2268" t="str">
        <f>IF($A2="","",IF(COUNTIF('07_Pallet_Contents'!$A$2:$A$3000,$A2)&gt;0,"Yes",""))</f>
        <v/>
      </c>
    </row>
    <row r="2269" spans="23:26">
      <c r="W2269">
        <f>IF($A2="","",COUNTIF('07_Pallet_Contents'!$A$2:$A$3000,$A2))</f>
        <v>0</v>
      </c>
      <c r="X2269">
        <f>IF($A2="","",SUMIF('07_Pallet_Contents'!$A$2:$A$3000,$A2,'07_Pallet_Contents'!$D$2:$D$3000))</f>
        <v>0</v>
      </c>
      <c r="Y2269">
        <f>IF($A2="","",SUMIF('07_Pallet_Contents'!$A$2:$A$3000,$A2,'07_Pallet_Contents'!$I$2:$I$3000))</f>
        <v>0</v>
      </c>
      <c r="Z2269" t="str">
        <f>IF($A2="","",IF(COUNTIF('07_Pallet_Contents'!$A$2:$A$3000,$A2)&gt;0,"Yes",""))</f>
        <v/>
      </c>
    </row>
    <row r="2270" spans="23:26">
      <c r="W2270">
        <f>IF($A2="","",COUNTIF('07_Pallet_Contents'!$A$2:$A$3000,$A2))</f>
        <v>0</v>
      </c>
      <c r="X2270">
        <f>IF($A2="","",SUMIF('07_Pallet_Contents'!$A$2:$A$3000,$A2,'07_Pallet_Contents'!$D$2:$D$3000))</f>
        <v>0</v>
      </c>
      <c r="Y2270">
        <f>IF($A2="","",SUMIF('07_Pallet_Contents'!$A$2:$A$3000,$A2,'07_Pallet_Contents'!$I$2:$I$3000))</f>
        <v>0</v>
      </c>
      <c r="Z2270" t="str">
        <f>IF($A2="","",IF(COUNTIF('07_Pallet_Contents'!$A$2:$A$3000,$A2)&gt;0,"Yes",""))</f>
        <v/>
      </c>
    </row>
    <row r="2271" spans="23:26">
      <c r="W2271">
        <f>IF($A2="","",COUNTIF('07_Pallet_Contents'!$A$2:$A$3000,$A2))</f>
        <v>0</v>
      </c>
      <c r="X2271">
        <f>IF($A2="","",SUMIF('07_Pallet_Contents'!$A$2:$A$3000,$A2,'07_Pallet_Contents'!$D$2:$D$3000))</f>
        <v>0</v>
      </c>
      <c r="Y2271">
        <f>IF($A2="","",SUMIF('07_Pallet_Contents'!$A$2:$A$3000,$A2,'07_Pallet_Contents'!$I$2:$I$3000))</f>
        <v>0</v>
      </c>
      <c r="Z2271" t="str">
        <f>IF($A2="","",IF(COUNTIF('07_Pallet_Contents'!$A$2:$A$3000,$A2)&gt;0,"Yes",""))</f>
        <v/>
      </c>
    </row>
    <row r="2272" spans="23:26">
      <c r="W2272">
        <f>IF($A2="","",COUNTIF('07_Pallet_Contents'!$A$2:$A$3000,$A2))</f>
        <v>0</v>
      </c>
      <c r="X2272">
        <f>IF($A2="","",SUMIF('07_Pallet_Contents'!$A$2:$A$3000,$A2,'07_Pallet_Contents'!$D$2:$D$3000))</f>
        <v>0</v>
      </c>
      <c r="Y2272">
        <f>IF($A2="","",SUMIF('07_Pallet_Contents'!$A$2:$A$3000,$A2,'07_Pallet_Contents'!$I$2:$I$3000))</f>
        <v>0</v>
      </c>
      <c r="Z2272" t="str">
        <f>IF($A2="","",IF(COUNTIF('07_Pallet_Contents'!$A$2:$A$3000,$A2)&gt;0,"Yes",""))</f>
        <v/>
      </c>
    </row>
    <row r="2273" spans="23:26">
      <c r="W2273">
        <f>IF($A2="","",COUNTIF('07_Pallet_Contents'!$A$2:$A$3000,$A2))</f>
        <v>0</v>
      </c>
      <c r="X2273">
        <f>IF($A2="","",SUMIF('07_Pallet_Contents'!$A$2:$A$3000,$A2,'07_Pallet_Contents'!$D$2:$D$3000))</f>
        <v>0</v>
      </c>
      <c r="Y2273">
        <f>IF($A2="","",SUMIF('07_Pallet_Contents'!$A$2:$A$3000,$A2,'07_Pallet_Contents'!$I$2:$I$3000))</f>
        <v>0</v>
      </c>
      <c r="Z2273" t="str">
        <f>IF($A2="","",IF(COUNTIF('07_Pallet_Contents'!$A$2:$A$3000,$A2)&gt;0,"Yes",""))</f>
        <v/>
      </c>
    </row>
    <row r="2274" spans="23:26">
      <c r="W2274">
        <f>IF($A2="","",COUNTIF('07_Pallet_Contents'!$A$2:$A$3000,$A2))</f>
        <v>0</v>
      </c>
      <c r="X2274">
        <f>IF($A2="","",SUMIF('07_Pallet_Contents'!$A$2:$A$3000,$A2,'07_Pallet_Contents'!$D$2:$D$3000))</f>
        <v>0</v>
      </c>
      <c r="Y2274">
        <f>IF($A2="","",SUMIF('07_Pallet_Contents'!$A$2:$A$3000,$A2,'07_Pallet_Contents'!$I$2:$I$3000))</f>
        <v>0</v>
      </c>
      <c r="Z2274" t="str">
        <f>IF($A2="","",IF(COUNTIF('07_Pallet_Contents'!$A$2:$A$3000,$A2)&gt;0,"Yes",""))</f>
        <v/>
      </c>
    </row>
    <row r="2275" spans="23:26">
      <c r="W2275">
        <f>IF($A2="","",COUNTIF('07_Pallet_Contents'!$A$2:$A$3000,$A2))</f>
        <v>0</v>
      </c>
      <c r="X2275">
        <f>IF($A2="","",SUMIF('07_Pallet_Contents'!$A$2:$A$3000,$A2,'07_Pallet_Contents'!$D$2:$D$3000))</f>
        <v>0</v>
      </c>
      <c r="Y2275">
        <f>IF($A2="","",SUMIF('07_Pallet_Contents'!$A$2:$A$3000,$A2,'07_Pallet_Contents'!$I$2:$I$3000))</f>
        <v>0</v>
      </c>
      <c r="Z2275" t="str">
        <f>IF($A2="","",IF(COUNTIF('07_Pallet_Contents'!$A$2:$A$3000,$A2)&gt;0,"Yes",""))</f>
        <v/>
      </c>
    </row>
    <row r="2276" spans="23:26">
      <c r="W2276">
        <f>IF($A2="","",COUNTIF('07_Pallet_Contents'!$A$2:$A$3000,$A2))</f>
        <v>0</v>
      </c>
      <c r="X2276">
        <f>IF($A2="","",SUMIF('07_Pallet_Contents'!$A$2:$A$3000,$A2,'07_Pallet_Contents'!$D$2:$D$3000))</f>
        <v>0</v>
      </c>
      <c r="Y2276">
        <f>IF($A2="","",SUMIF('07_Pallet_Contents'!$A$2:$A$3000,$A2,'07_Pallet_Contents'!$I$2:$I$3000))</f>
        <v>0</v>
      </c>
      <c r="Z2276" t="str">
        <f>IF($A2="","",IF(COUNTIF('07_Pallet_Contents'!$A$2:$A$3000,$A2)&gt;0,"Yes",""))</f>
        <v/>
      </c>
    </row>
    <row r="2277" spans="23:26">
      <c r="W2277">
        <f>IF($A2="","",COUNTIF('07_Pallet_Contents'!$A$2:$A$3000,$A2))</f>
        <v>0</v>
      </c>
      <c r="X2277">
        <f>IF($A2="","",SUMIF('07_Pallet_Contents'!$A$2:$A$3000,$A2,'07_Pallet_Contents'!$D$2:$D$3000))</f>
        <v>0</v>
      </c>
      <c r="Y2277">
        <f>IF($A2="","",SUMIF('07_Pallet_Contents'!$A$2:$A$3000,$A2,'07_Pallet_Contents'!$I$2:$I$3000))</f>
        <v>0</v>
      </c>
      <c r="Z2277" t="str">
        <f>IF($A2="","",IF(COUNTIF('07_Pallet_Contents'!$A$2:$A$3000,$A2)&gt;0,"Yes",""))</f>
        <v/>
      </c>
    </row>
    <row r="2278" spans="23:26">
      <c r="W2278">
        <f>IF($A2="","",COUNTIF('07_Pallet_Contents'!$A$2:$A$3000,$A2))</f>
        <v>0</v>
      </c>
      <c r="X2278">
        <f>IF($A2="","",SUMIF('07_Pallet_Contents'!$A$2:$A$3000,$A2,'07_Pallet_Contents'!$D$2:$D$3000))</f>
        <v>0</v>
      </c>
      <c r="Y2278">
        <f>IF($A2="","",SUMIF('07_Pallet_Contents'!$A$2:$A$3000,$A2,'07_Pallet_Contents'!$I$2:$I$3000))</f>
        <v>0</v>
      </c>
      <c r="Z2278" t="str">
        <f>IF($A2="","",IF(COUNTIF('07_Pallet_Contents'!$A$2:$A$3000,$A2)&gt;0,"Yes",""))</f>
        <v/>
      </c>
    </row>
    <row r="2279" spans="23:26">
      <c r="W2279">
        <f>IF($A2="","",COUNTIF('07_Pallet_Contents'!$A$2:$A$3000,$A2))</f>
        <v>0</v>
      </c>
      <c r="X2279">
        <f>IF($A2="","",SUMIF('07_Pallet_Contents'!$A$2:$A$3000,$A2,'07_Pallet_Contents'!$D$2:$D$3000))</f>
        <v>0</v>
      </c>
      <c r="Y2279">
        <f>IF($A2="","",SUMIF('07_Pallet_Contents'!$A$2:$A$3000,$A2,'07_Pallet_Contents'!$I$2:$I$3000))</f>
        <v>0</v>
      </c>
      <c r="Z2279" t="str">
        <f>IF($A2="","",IF(COUNTIF('07_Pallet_Contents'!$A$2:$A$3000,$A2)&gt;0,"Yes",""))</f>
        <v/>
      </c>
    </row>
    <row r="2280" spans="23:26">
      <c r="W2280">
        <f>IF($A2="","",COUNTIF('07_Pallet_Contents'!$A$2:$A$3000,$A2))</f>
        <v>0</v>
      </c>
      <c r="X2280">
        <f>IF($A2="","",SUMIF('07_Pallet_Contents'!$A$2:$A$3000,$A2,'07_Pallet_Contents'!$D$2:$D$3000))</f>
        <v>0</v>
      </c>
      <c r="Y2280">
        <f>IF($A2="","",SUMIF('07_Pallet_Contents'!$A$2:$A$3000,$A2,'07_Pallet_Contents'!$I$2:$I$3000))</f>
        <v>0</v>
      </c>
      <c r="Z2280" t="str">
        <f>IF($A2="","",IF(COUNTIF('07_Pallet_Contents'!$A$2:$A$3000,$A2)&gt;0,"Yes",""))</f>
        <v/>
      </c>
    </row>
    <row r="2281" spans="23:26">
      <c r="W2281">
        <f>IF($A2="","",COUNTIF('07_Pallet_Contents'!$A$2:$A$3000,$A2))</f>
        <v>0</v>
      </c>
      <c r="X2281">
        <f>IF($A2="","",SUMIF('07_Pallet_Contents'!$A$2:$A$3000,$A2,'07_Pallet_Contents'!$D$2:$D$3000))</f>
        <v>0</v>
      </c>
      <c r="Y2281">
        <f>IF($A2="","",SUMIF('07_Pallet_Contents'!$A$2:$A$3000,$A2,'07_Pallet_Contents'!$I$2:$I$3000))</f>
        <v>0</v>
      </c>
      <c r="Z2281" t="str">
        <f>IF($A2="","",IF(COUNTIF('07_Pallet_Contents'!$A$2:$A$3000,$A2)&gt;0,"Yes",""))</f>
        <v/>
      </c>
    </row>
    <row r="2282" spans="23:26">
      <c r="W2282">
        <f>IF($A2="","",COUNTIF('07_Pallet_Contents'!$A$2:$A$3000,$A2))</f>
        <v>0</v>
      </c>
      <c r="X2282">
        <f>IF($A2="","",SUMIF('07_Pallet_Contents'!$A$2:$A$3000,$A2,'07_Pallet_Contents'!$D$2:$D$3000))</f>
        <v>0</v>
      </c>
      <c r="Y2282">
        <f>IF($A2="","",SUMIF('07_Pallet_Contents'!$A$2:$A$3000,$A2,'07_Pallet_Contents'!$I$2:$I$3000))</f>
        <v>0</v>
      </c>
      <c r="Z2282" t="str">
        <f>IF($A2="","",IF(COUNTIF('07_Pallet_Contents'!$A$2:$A$3000,$A2)&gt;0,"Yes",""))</f>
        <v/>
      </c>
    </row>
    <row r="2283" spans="23:26">
      <c r="W2283">
        <f>IF($A2="","",COUNTIF('07_Pallet_Contents'!$A$2:$A$3000,$A2))</f>
        <v>0</v>
      </c>
      <c r="X2283">
        <f>IF($A2="","",SUMIF('07_Pallet_Contents'!$A$2:$A$3000,$A2,'07_Pallet_Contents'!$D$2:$D$3000))</f>
        <v>0</v>
      </c>
      <c r="Y2283">
        <f>IF($A2="","",SUMIF('07_Pallet_Contents'!$A$2:$A$3000,$A2,'07_Pallet_Contents'!$I$2:$I$3000))</f>
        <v>0</v>
      </c>
      <c r="Z2283" t="str">
        <f>IF($A2="","",IF(COUNTIF('07_Pallet_Contents'!$A$2:$A$3000,$A2)&gt;0,"Yes",""))</f>
        <v/>
      </c>
    </row>
    <row r="2284" spans="23:26">
      <c r="W2284">
        <f>IF($A2="","",COUNTIF('07_Pallet_Contents'!$A$2:$A$3000,$A2))</f>
        <v>0</v>
      </c>
      <c r="X2284">
        <f>IF($A2="","",SUMIF('07_Pallet_Contents'!$A$2:$A$3000,$A2,'07_Pallet_Contents'!$D$2:$D$3000))</f>
        <v>0</v>
      </c>
      <c r="Y2284">
        <f>IF($A2="","",SUMIF('07_Pallet_Contents'!$A$2:$A$3000,$A2,'07_Pallet_Contents'!$I$2:$I$3000))</f>
        <v>0</v>
      </c>
      <c r="Z2284" t="str">
        <f>IF($A2="","",IF(COUNTIF('07_Pallet_Contents'!$A$2:$A$3000,$A2)&gt;0,"Yes",""))</f>
        <v/>
      </c>
    </row>
    <row r="2285" spans="23:26">
      <c r="W2285">
        <f>IF($A2="","",COUNTIF('07_Pallet_Contents'!$A$2:$A$3000,$A2))</f>
        <v>0</v>
      </c>
      <c r="X2285">
        <f>IF($A2="","",SUMIF('07_Pallet_Contents'!$A$2:$A$3000,$A2,'07_Pallet_Contents'!$D$2:$D$3000))</f>
        <v>0</v>
      </c>
      <c r="Y2285">
        <f>IF($A2="","",SUMIF('07_Pallet_Contents'!$A$2:$A$3000,$A2,'07_Pallet_Contents'!$I$2:$I$3000))</f>
        <v>0</v>
      </c>
      <c r="Z2285" t="str">
        <f>IF($A2="","",IF(COUNTIF('07_Pallet_Contents'!$A$2:$A$3000,$A2)&gt;0,"Yes",""))</f>
        <v/>
      </c>
    </row>
    <row r="2286" spans="23:26">
      <c r="W2286">
        <f>IF($A2="","",COUNTIF('07_Pallet_Contents'!$A$2:$A$3000,$A2))</f>
        <v>0</v>
      </c>
      <c r="X2286">
        <f>IF($A2="","",SUMIF('07_Pallet_Contents'!$A$2:$A$3000,$A2,'07_Pallet_Contents'!$D$2:$D$3000))</f>
        <v>0</v>
      </c>
      <c r="Y2286">
        <f>IF($A2="","",SUMIF('07_Pallet_Contents'!$A$2:$A$3000,$A2,'07_Pallet_Contents'!$I$2:$I$3000))</f>
        <v>0</v>
      </c>
      <c r="Z2286" t="str">
        <f>IF($A2="","",IF(COUNTIF('07_Pallet_Contents'!$A$2:$A$3000,$A2)&gt;0,"Yes",""))</f>
        <v/>
      </c>
    </row>
    <row r="2287" spans="23:26">
      <c r="W2287">
        <f>IF($A2="","",COUNTIF('07_Pallet_Contents'!$A$2:$A$3000,$A2))</f>
        <v>0</v>
      </c>
      <c r="X2287">
        <f>IF($A2="","",SUMIF('07_Pallet_Contents'!$A$2:$A$3000,$A2,'07_Pallet_Contents'!$D$2:$D$3000))</f>
        <v>0</v>
      </c>
      <c r="Y2287">
        <f>IF($A2="","",SUMIF('07_Pallet_Contents'!$A$2:$A$3000,$A2,'07_Pallet_Contents'!$I$2:$I$3000))</f>
        <v>0</v>
      </c>
      <c r="Z2287" t="str">
        <f>IF($A2="","",IF(COUNTIF('07_Pallet_Contents'!$A$2:$A$3000,$A2)&gt;0,"Yes",""))</f>
        <v/>
      </c>
    </row>
    <row r="2288" spans="23:26">
      <c r="W2288">
        <f>IF($A2="","",COUNTIF('07_Pallet_Contents'!$A$2:$A$3000,$A2))</f>
        <v>0</v>
      </c>
      <c r="X2288">
        <f>IF($A2="","",SUMIF('07_Pallet_Contents'!$A$2:$A$3000,$A2,'07_Pallet_Contents'!$D$2:$D$3000))</f>
        <v>0</v>
      </c>
      <c r="Y2288">
        <f>IF($A2="","",SUMIF('07_Pallet_Contents'!$A$2:$A$3000,$A2,'07_Pallet_Contents'!$I$2:$I$3000))</f>
        <v>0</v>
      </c>
      <c r="Z2288" t="str">
        <f>IF($A2="","",IF(COUNTIF('07_Pallet_Contents'!$A$2:$A$3000,$A2)&gt;0,"Yes",""))</f>
        <v/>
      </c>
    </row>
    <row r="2289" spans="23:26">
      <c r="W2289">
        <f>IF($A2="","",COUNTIF('07_Pallet_Contents'!$A$2:$A$3000,$A2))</f>
        <v>0</v>
      </c>
      <c r="X2289">
        <f>IF($A2="","",SUMIF('07_Pallet_Contents'!$A$2:$A$3000,$A2,'07_Pallet_Contents'!$D$2:$D$3000))</f>
        <v>0</v>
      </c>
      <c r="Y2289">
        <f>IF($A2="","",SUMIF('07_Pallet_Contents'!$A$2:$A$3000,$A2,'07_Pallet_Contents'!$I$2:$I$3000))</f>
        <v>0</v>
      </c>
      <c r="Z2289" t="str">
        <f>IF($A2="","",IF(COUNTIF('07_Pallet_Contents'!$A$2:$A$3000,$A2)&gt;0,"Yes",""))</f>
        <v/>
      </c>
    </row>
    <row r="2290" spans="23:26">
      <c r="W2290">
        <f>IF($A2="","",COUNTIF('07_Pallet_Contents'!$A$2:$A$3000,$A2))</f>
        <v>0</v>
      </c>
      <c r="X2290">
        <f>IF($A2="","",SUMIF('07_Pallet_Contents'!$A$2:$A$3000,$A2,'07_Pallet_Contents'!$D$2:$D$3000))</f>
        <v>0</v>
      </c>
      <c r="Y2290">
        <f>IF($A2="","",SUMIF('07_Pallet_Contents'!$A$2:$A$3000,$A2,'07_Pallet_Contents'!$I$2:$I$3000))</f>
        <v>0</v>
      </c>
      <c r="Z2290" t="str">
        <f>IF($A2="","",IF(COUNTIF('07_Pallet_Contents'!$A$2:$A$3000,$A2)&gt;0,"Yes",""))</f>
        <v/>
      </c>
    </row>
    <row r="2291" spans="23:26">
      <c r="W2291">
        <f>IF($A2="","",COUNTIF('07_Pallet_Contents'!$A$2:$A$3000,$A2))</f>
        <v>0</v>
      </c>
      <c r="X2291">
        <f>IF($A2="","",SUMIF('07_Pallet_Contents'!$A$2:$A$3000,$A2,'07_Pallet_Contents'!$D$2:$D$3000))</f>
        <v>0</v>
      </c>
      <c r="Y2291">
        <f>IF($A2="","",SUMIF('07_Pallet_Contents'!$A$2:$A$3000,$A2,'07_Pallet_Contents'!$I$2:$I$3000))</f>
        <v>0</v>
      </c>
      <c r="Z2291" t="str">
        <f>IF($A2="","",IF(COUNTIF('07_Pallet_Contents'!$A$2:$A$3000,$A2)&gt;0,"Yes",""))</f>
        <v/>
      </c>
    </row>
    <row r="2292" spans="23:26">
      <c r="W2292">
        <f>IF($A2="","",COUNTIF('07_Pallet_Contents'!$A$2:$A$3000,$A2))</f>
        <v>0</v>
      </c>
      <c r="X2292">
        <f>IF($A2="","",SUMIF('07_Pallet_Contents'!$A$2:$A$3000,$A2,'07_Pallet_Contents'!$D$2:$D$3000))</f>
        <v>0</v>
      </c>
      <c r="Y2292">
        <f>IF($A2="","",SUMIF('07_Pallet_Contents'!$A$2:$A$3000,$A2,'07_Pallet_Contents'!$I$2:$I$3000))</f>
        <v>0</v>
      </c>
      <c r="Z2292" t="str">
        <f>IF($A2="","",IF(COUNTIF('07_Pallet_Contents'!$A$2:$A$3000,$A2)&gt;0,"Yes",""))</f>
        <v/>
      </c>
    </row>
    <row r="2293" spans="23:26">
      <c r="W2293">
        <f>IF($A2="","",COUNTIF('07_Pallet_Contents'!$A$2:$A$3000,$A2))</f>
        <v>0</v>
      </c>
      <c r="X2293">
        <f>IF($A2="","",SUMIF('07_Pallet_Contents'!$A$2:$A$3000,$A2,'07_Pallet_Contents'!$D$2:$D$3000))</f>
        <v>0</v>
      </c>
      <c r="Y2293">
        <f>IF($A2="","",SUMIF('07_Pallet_Contents'!$A$2:$A$3000,$A2,'07_Pallet_Contents'!$I$2:$I$3000))</f>
        <v>0</v>
      </c>
      <c r="Z2293" t="str">
        <f>IF($A2="","",IF(COUNTIF('07_Pallet_Contents'!$A$2:$A$3000,$A2)&gt;0,"Yes",""))</f>
        <v/>
      </c>
    </row>
    <row r="2294" spans="23:26">
      <c r="W2294">
        <f>IF($A2="","",COUNTIF('07_Pallet_Contents'!$A$2:$A$3000,$A2))</f>
        <v>0</v>
      </c>
      <c r="X2294">
        <f>IF($A2="","",SUMIF('07_Pallet_Contents'!$A$2:$A$3000,$A2,'07_Pallet_Contents'!$D$2:$D$3000))</f>
        <v>0</v>
      </c>
      <c r="Y2294">
        <f>IF($A2="","",SUMIF('07_Pallet_Contents'!$A$2:$A$3000,$A2,'07_Pallet_Contents'!$I$2:$I$3000))</f>
        <v>0</v>
      </c>
      <c r="Z2294" t="str">
        <f>IF($A2="","",IF(COUNTIF('07_Pallet_Contents'!$A$2:$A$3000,$A2)&gt;0,"Yes",""))</f>
        <v/>
      </c>
    </row>
    <row r="2295" spans="23:26">
      <c r="W2295">
        <f>IF($A2="","",COUNTIF('07_Pallet_Contents'!$A$2:$A$3000,$A2))</f>
        <v>0</v>
      </c>
      <c r="X2295">
        <f>IF($A2="","",SUMIF('07_Pallet_Contents'!$A$2:$A$3000,$A2,'07_Pallet_Contents'!$D$2:$D$3000))</f>
        <v>0</v>
      </c>
      <c r="Y2295">
        <f>IF($A2="","",SUMIF('07_Pallet_Contents'!$A$2:$A$3000,$A2,'07_Pallet_Contents'!$I$2:$I$3000))</f>
        <v>0</v>
      </c>
      <c r="Z2295" t="str">
        <f>IF($A2="","",IF(COUNTIF('07_Pallet_Contents'!$A$2:$A$3000,$A2)&gt;0,"Yes",""))</f>
        <v/>
      </c>
    </row>
    <row r="2296" spans="23:26">
      <c r="W2296">
        <f>IF($A2="","",COUNTIF('07_Pallet_Contents'!$A$2:$A$3000,$A2))</f>
        <v>0</v>
      </c>
      <c r="X2296">
        <f>IF($A2="","",SUMIF('07_Pallet_Contents'!$A$2:$A$3000,$A2,'07_Pallet_Contents'!$D$2:$D$3000))</f>
        <v>0</v>
      </c>
      <c r="Y2296">
        <f>IF($A2="","",SUMIF('07_Pallet_Contents'!$A$2:$A$3000,$A2,'07_Pallet_Contents'!$I$2:$I$3000))</f>
        <v>0</v>
      </c>
      <c r="Z2296" t="str">
        <f>IF($A2="","",IF(COUNTIF('07_Pallet_Contents'!$A$2:$A$3000,$A2)&gt;0,"Yes",""))</f>
        <v/>
      </c>
    </row>
    <row r="2297" spans="23:26">
      <c r="W2297">
        <f>IF($A2="","",COUNTIF('07_Pallet_Contents'!$A$2:$A$3000,$A2))</f>
        <v>0</v>
      </c>
      <c r="X2297">
        <f>IF($A2="","",SUMIF('07_Pallet_Contents'!$A$2:$A$3000,$A2,'07_Pallet_Contents'!$D$2:$D$3000))</f>
        <v>0</v>
      </c>
      <c r="Y2297">
        <f>IF($A2="","",SUMIF('07_Pallet_Contents'!$A$2:$A$3000,$A2,'07_Pallet_Contents'!$I$2:$I$3000))</f>
        <v>0</v>
      </c>
      <c r="Z2297" t="str">
        <f>IF($A2="","",IF(COUNTIF('07_Pallet_Contents'!$A$2:$A$3000,$A2)&gt;0,"Yes",""))</f>
        <v/>
      </c>
    </row>
    <row r="2298" spans="23:26">
      <c r="W2298">
        <f>IF($A2="","",COUNTIF('07_Pallet_Contents'!$A$2:$A$3000,$A2))</f>
        <v>0</v>
      </c>
      <c r="X2298">
        <f>IF($A2="","",SUMIF('07_Pallet_Contents'!$A$2:$A$3000,$A2,'07_Pallet_Contents'!$D$2:$D$3000))</f>
        <v>0</v>
      </c>
      <c r="Y2298">
        <f>IF($A2="","",SUMIF('07_Pallet_Contents'!$A$2:$A$3000,$A2,'07_Pallet_Contents'!$I$2:$I$3000))</f>
        <v>0</v>
      </c>
      <c r="Z2298" t="str">
        <f>IF($A2="","",IF(COUNTIF('07_Pallet_Contents'!$A$2:$A$3000,$A2)&gt;0,"Yes",""))</f>
        <v/>
      </c>
    </row>
    <row r="2299" spans="23:26">
      <c r="W2299">
        <f>IF($A2="","",COUNTIF('07_Pallet_Contents'!$A$2:$A$3000,$A2))</f>
        <v>0</v>
      </c>
      <c r="X2299">
        <f>IF($A2="","",SUMIF('07_Pallet_Contents'!$A$2:$A$3000,$A2,'07_Pallet_Contents'!$D$2:$D$3000))</f>
        <v>0</v>
      </c>
      <c r="Y2299">
        <f>IF($A2="","",SUMIF('07_Pallet_Contents'!$A$2:$A$3000,$A2,'07_Pallet_Contents'!$I$2:$I$3000))</f>
        <v>0</v>
      </c>
      <c r="Z2299" t="str">
        <f>IF($A2="","",IF(COUNTIF('07_Pallet_Contents'!$A$2:$A$3000,$A2)&gt;0,"Yes",""))</f>
        <v/>
      </c>
    </row>
    <row r="2300" spans="23:26">
      <c r="W2300">
        <f>IF($A2="","",COUNTIF('07_Pallet_Contents'!$A$2:$A$3000,$A2))</f>
        <v>0</v>
      </c>
      <c r="X2300">
        <f>IF($A2="","",SUMIF('07_Pallet_Contents'!$A$2:$A$3000,$A2,'07_Pallet_Contents'!$D$2:$D$3000))</f>
        <v>0</v>
      </c>
      <c r="Y2300">
        <f>IF($A2="","",SUMIF('07_Pallet_Contents'!$A$2:$A$3000,$A2,'07_Pallet_Contents'!$I$2:$I$3000))</f>
        <v>0</v>
      </c>
      <c r="Z2300" t="str">
        <f>IF($A2="","",IF(COUNTIF('07_Pallet_Contents'!$A$2:$A$3000,$A2)&gt;0,"Yes",""))</f>
        <v/>
      </c>
    </row>
    <row r="2301" spans="23:26">
      <c r="W2301">
        <f>IF($A2="","",COUNTIF('07_Pallet_Contents'!$A$2:$A$3000,$A2))</f>
        <v>0</v>
      </c>
      <c r="X2301">
        <f>IF($A2="","",SUMIF('07_Pallet_Contents'!$A$2:$A$3000,$A2,'07_Pallet_Contents'!$D$2:$D$3000))</f>
        <v>0</v>
      </c>
      <c r="Y2301">
        <f>IF($A2="","",SUMIF('07_Pallet_Contents'!$A$2:$A$3000,$A2,'07_Pallet_Contents'!$I$2:$I$3000))</f>
        <v>0</v>
      </c>
      <c r="Z2301" t="str">
        <f>IF($A2="","",IF(COUNTIF('07_Pallet_Contents'!$A$2:$A$3000,$A2)&gt;0,"Yes",""))</f>
        <v/>
      </c>
    </row>
    <row r="2302" spans="23:26">
      <c r="W2302">
        <f>IF($A2="","",COUNTIF('07_Pallet_Contents'!$A$2:$A$3000,$A2))</f>
        <v>0</v>
      </c>
      <c r="X2302">
        <f>IF($A2="","",SUMIF('07_Pallet_Contents'!$A$2:$A$3000,$A2,'07_Pallet_Contents'!$D$2:$D$3000))</f>
        <v>0</v>
      </c>
      <c r="Y2302">
        <f>IF($A2="","",SUMIF('07_Pallet_Contents'!$A$2:$A$3000,$A2,'07_Pallet_Contents'!$I$2:$I$3000))</f>
        <v>0</v>
      </c>
      <c r="Z2302" t="str">
        <f>IF($A2="","",IF(COUNTIF('07_Pallet_Contents'!$A$2:$A$3000,$A2)&gt;0,"Yes",""))</f>
        <v/>
      </c>
    </row>
    <row r="2303" spans="23:26">
      <c r="W2303">
        <f>IF($A2="","",COUNTIF('07_Pallet_Contents'!$A$2:$A$3000,$A2))</f>
        <v>0</v>
      </c>
      <c r="X2303">
        <f>IF($A2="","",SUMIF('07_Pallet_Contents'!$A$2:$A$3000,$A2,'07_Pallet_Contents'!$D$2:$D$3000))</f>
        <v>0</v>
      </c>
      <c r="Y2303">
        <f>IF($A2="","",SUMIF('07_Pallet_Contents'!$A$2:$A$3000,$A2,'07_Pallet_Contents'!$I$2:$I$3000))</f>
        <v>0</v>
      </c>
      <c r="Z2303" t="str">
        <f>IF($A2="","",IF(COUNTIF('07_Pallet_Contents'!$A$2:$A$3000,$A2)&gt;0,"Yes",""))</f>
        <v/>
      </c>
    </row>
    <row r="2304" spans="23:26">
      <c r="W2304">
        <f>IF($A2="","",COUNTIF('07_Pallet_Contents'!$A$2:$A$3000,$A2))</f>
        <v>0</v>
      </c>
      <c r="X2304">
        <f>IF($A2="","",SUMIF('07_Pallet_Contents'!$A$2:$A$3000,$A2,'07_Pallet_Contents'!$D$2:$D$3000))</f>
        <v>0</v>
      </c>
      <c r="Y2304">
        <f>IF($A2="","",SUMIF('07_Pallet_Contents'!$A$2:$A$3000,$A2,'07_Pallet_Contents'!$I$2:$I$3000))</f>
        <v>0</v>
      </c>
      <c r="Z2304" t="str">
        <f>IF($A2="","",IF(COUNTIF('07_Pallet_Contents'!$A$2:$A$3000,$A2)&gt;0,"Yes",""))</f>
        <v/>
      </c>
    </row>
    <row r="2305" spans="23:26">
      <c r="W2305">
        <f>IF($A2="","",COUNTIF('07_Pallet_Contents'!$A$2:$A$3000,$A2))</f>
        <v>0</v>
      </c>
      <c r="X2305">
        <f>IF($A2="","",SUMIF('07_Pallet_Contents'!$A$2:$A$3000,$A2,'07_Pallet_Contents'!$D$2:$D$3000))</f>
        <v>0</v>
      </c>
      <c r="Y2305">
        <f>IF($A2="","",SUMIF('07_Pallet_Contents'!$A$2:$A$3000,$A2,'07_Pallet_Contents'!$I$2:$I$3000))</f>
        <v>0</v>
      </c>
      <c r="Z2305" t="str">
        <f>IF($A2="","",IF(COUNTIF('07_Pallet_Contents'!$A$2:$A$3000,$A2)&gt;0,"Yes",""))</f>
        <v/>
      </c>
    </row>
    <row r="2306" spans="23:26">
      <c r="W2306">
        <f>IF($A2="","",COUNTIF('07_Pallet_Contents'!$A$2:$A$3000,$A2))</f>
        <v>0</v>
      </c>
      <c r="X2306">
        <f>IF($A2="","",SUMIF('07_Pallet_Contents'!$A$2:$A$3000,$A2,'07_Pallet_Contents'!$D$2:$D$3000))</f>
        <v>0</v>
      </c>
      <c r="Y2306">
        <f>IF($A2="","",SUMIF('07_Pallet_Contents'!$A$2:$A$3000,$A2,'07_Pallet_Contents'!$I$2:$I$3000))</f>
        <v>0</v>
      </c>
      <c r="Z2306" t="str">
        <f>IF($A2="","",IF(COUNTIF('07_Pallet_Contents'!$A$2:$A$3000,$A2)&gt;0,"Yes",""))</f>
        <v/>
      </c>
    </row>
    <row r="2307" spans="23:26">
      <c r="W2307">
        <f>IF($A2="","",COUNTIF('07_Pallet_Contents'!$A$2:$A$3000,$A2))</f>
        <v>0</v>
      </c>
      <c r="X2307">
        <f>IF($A2="","",SUMIF('07_Pallet_Contents'!$A$2:$A$3000,$A2,'07_Pallet_Contents'!$D$2:$D$3000))</f>
        <v>0</v>
      </c>
      <c r="Y2307">
        <f>IF($A2="","",SUMIF('07_Pallet_Contents'!$A$2:$A$3000,$A2,'07_Pallet_Contents'!$I$2:$I$3000))</f>
        <v>0</v>
      </c>
      <c r="Z2307" t="str">
        <f>IF($A2="","",IF(COUNTIF('07_Pallet_Contents'!$A$2:$A$3000,$A2)&gt;0,"Yes",""))</f>
        <v/>
      </c>
    </row>
    <row r="2308" spans="23:26">
      <c r="W2308">
        <f>IF($A2="","",COUNTIF('07_Pallet_Contents'!$A$2:$A$3000,$A2))</f>
        <v>0</v>
      </c>
      <c r="X2308">
        <f>IF($A2="","",SUMIF('07_Pallet_Contents'!$A$2:$A$3000,$A2,'07_Pallet_Contents'!$D$2:$D$3000))</f>
        <v>0</v>
      </c>
      <c r="Y2308">
        <f>IF($A2="","",SUMIF('07_Pallet_Contents'!$A$2:$A$3000,$A2,'07_Pallet_Contents'!$I$2:$I$3000))</f>
        <v>0</v>
      </c>
      <c r="Z2308" t="str">
        <f>IF($A2="","",IF(COUNTIF('07_Pallet_Contents'!$A$2:$A$3000,$A2)&gt;0,"Yes",""))</f>
        <v/>
      </c>
    </row>
    <row r="2309" spans="23:26">
      <c r="W2309">
        <f>IF($A2="","",COUNTIF('07_Pallet_Contents'!$A$2:$A$3000,$A2))</f>
        <v>0</v>
      </c>
      <c r="X2309">
        <f>IF($A2="","",SUMIF('07_Pallet_Contents'!$A$2:$A$3000,$A2,'07_Pallet_Contents'!$D$2:$D$3000))</f>
        <v>0</v>
      </c>
      <c r="Y2309">
        <f>IF($A2="","",SUMIF('07_Pallet_Contents'!$A$2:$A$3000,$A2,'07_Pallet_Contents'!$I$2:$I$3000))</f>
        <v>0</v>
      </c>
      <c r="Z2309" t="str">
        <f>IF($A2="","",IF(COUNTIF('07_Pallet_Contents'!$A$2:$A$3000,$A2)&gt;0,"Yes",""))</f>
        <v/>
      </c>
    </row>
    <row r="2310" spans="23:26">
      <c r="W2310">
        <f>IF($A2="","",COUNTIF('07_Pallet_Contents'!$A$2:$A$3000,$A2))</f>
        <v>0</v>
      </c>
      <c r="X2310">
        <f>IF($A2="","",SUMIF('07_Pallet_Contents'!$A$2:$A$3000,$A2,'07_Pallet_Contents'!$D$2:$D$3000))</f>
        <v>0</v>
      </c>
      <c r="Y2310">
        <f>IF($A2="","",SUMIF('07_Pallet_Contents'!$A$2:$A$3000,$A2,'07_Pallet_Contents'!$I$2:$I$3000))</f>
        <v>0</v>
      </c>
      <c r="Z2310" t="str">
        <f>IF($A2="","",IF(COUNTIF('07_Pallet_Contents'!$A$2:$A$3000,$A2)&gt;0,"Yes",""))</f>
        <v/>
      </c>
    </row>
    <row r="2311" spans="23:26">
      <c r="W2311">
        <f>IF($A2="","",COUNTIF('07_Pallet_Contents'!$A$2:$A$3000,$A2))</f>
        <v>0</v>
      </c>
      <c r="X2311">
        <f>IF($A2="","",SUMIF('07_Pallet_Contents'!$A$2:$A$3000,$A2,'07_Pallet_Contents'!$D$2:$D$3000))</f>
        <v>0</v>
      </c>
      <c r="Y2311">
        <f>IF($A2="","",SUMIF('07_Pallet_Contents'!$A$2:$A$3000,$A2,'07_Pallet_Contents'!$I$2:$I$3000))</f>
        <v>0</v>
      </c>
      <c r="Z2311" t="str">
        <f>IF($A2="","",IF(COUNTIF('07_Pallet_Contents'!$A$2:$A$3000,$A2)&gt;0,"Yes",""))</f>
        <v/>
      </c>
    </row>
    <row r="2312" spans="23:26">
      <c r="W2312">
        <f>IF($A2="","",COUNTIF('07_Pallet_Contents'!$A$2:$A$3000,$A2))</f>
        <v>0</v>
      </c>
      <c r="X2312">
        <f>IF($A2="","",SUMIF('07_Pallet_Contents'!$A$2:$A$3000,$A2,'07_Pallet_Contents'!$D$2:$D$3000))</f>
        <v>0</v>
      </c>
      <c r="Y2312">
        <f>IF($A2="","",SUMIF('07_Pallet_Contents'!$A$2:$A$3000,$A2,'07_Pallet_Contents'!$I$2:$I$3000))</f>
        <v>0</v>
      </c>
      <c r="Z2312" t="str">
        <f>IF($A2="","",IF(COUNTIF('07_Pallet_Contents'!$A$2:$A$3000,$A2)&gt;0,"Yes",""))</f>
        <v/>
      </c>
    </row>
    <row r="2313" spans="23:26">
      <c r="W2313">
        <f>IF($A2="","",COUNTIF('07_Pallet_Contents'!$A$2:$A$3000,$A2))</f>
        <v>0</v>
      </c>
      <c r="X2313">
        <f>IF($A2="","",SUMIF('07_Pallet_Contents'!$A$2:$A$3000,$A2,'07_Pallet_Contents'!$D$2:$D$3000))</f>
        <v>0</v>
      </c>
      <c r="Y2313">
        <f>IF($A2="","",SUMIF('07_Pallet_Contents'!$A$2:$A$3000,$A2,'07_Pallet_Contents'!$I$2:$I$3000))</f>
        <v>0</v>
      </c>
      <c r="Z2313" t="str">
        <f>IF($A2="","",IF(COUNTIF('07_Pallet_Contents'!$A$2:$A$3000,$A2)&gt;0,"Yes",""))</f>
        <v/>
      </c>
    </row>
    <row r="2314" spans="23:26">
      <c r="W2314">
        <f>IF($A2="","",COUNTIF('07_Pallet_Contents'!$A$2:$A$3000,$A2))</f>
        <v>0</v>
      </c>
      <c r="X2314">
        <f>IF($A2="","",SUMIF('07_Pallet_Contents'!$A$2:$A$3000,$A2,'07_Pallet_Contents'!$D$2:$D$3000))</f>
        <v>0</v>
      </c>
      <c r="Y2314">
        <f>IF($A2="","",SUMIF('07_Pallet_Contents'!$A$2:$A$3000,$A2,'07_Pallet_Contents'!$I$2:$I$3000))</f>
        <v>0</v>
      </c>
      <c r="Z2314" t="str">
        <f>IF($A2="","",IF(COUNTIF('07_Pallet_Contents'!$A$2:$A$3000,$A2)&gt;0,"Yes",""))</f>
        <v/>
      </c>
    </row>
    <row r="2315" spans="23:26">
      <c r="W2315">
        <f>IF($A2="","",COUNTIF('07_Pallet_Contents'!$A$2:$A$3000,$A2))</f>
        <v>0</v>
      </c>
      <c r="X2315">
        <f>IF($A2="","",SUMIF('07_Pallet_Contents'!$A$2:$A$3000,$A2,'07_Pallet_Contents'!$D$2:$D$3000))</f>
        <v>0</v>
      </c>
      <c r="Y2315">
        <f>IF($A2="","",SUMIF('07_Pallet_Contents'!$A$2:$A$3000,$A2,'07_Pallet_Contents'!$I$2:$I$3000))</f>
        <v>0</v>
      </c>
      <c r="Z2315" t="str">
        <f>IF($A2="","",IF(COUNTIF('07_Pallet_Contents'!$A$2:$A$3000,$A2)&gt;0,"Yes",""))</f>
        <v/>
      </c>
    </row>
    <row r="2316" spans="23:26">
      <c r="W2316">
        <f>IF($A2="","",COUNTIF('07_Pallet_Contents'!$A$2:$A$3000,$A2))</f>
        <v>0</v>
      </c>
      <c r="X2316">
        <f>IF($A2="","",SUMIF('07_Pallet_Contents'!$A$2:$A$3000,$A2,'07_Pallet_Contents'!$D$2:$D$3000))</f>
        <v>0</v>
      </c>
      <c r="Y2316">
        <f>IF($A2="","",SUMIF('07_Pallet_Contents'!$A$2:$A$3000,$A2,'07_Pallet_Contents'!$I$2:$I$3000))</f>
        <v>0</v>
      </c>
      <c r="Z2316" t="str">
        <f>IF($A2="","",IF(COUNTIF('07_Pallet_Contents'!$A$2:$A$3000,$A2)&gt;0,"Yes",""))</f>
        <v/>
      </c>
    </row>
    <row r="2317" spans="23:26">
      <c r="W2317">
        <f>IF($A2="","",COUNTIF('07_Pallet_Contents'!$A$2:$A$3000,$A2))</f>
        <v>0</v>
      </c>
      <c r="X2317">
        <f>IF($A2="","",SUMIF('07_Pallet_Contents'!$A$2:$A$3000,$A2,'07_Pallet_Contents'!$D$2:$D$3000))</f>
        <v>0</v>
      </c>
      <c r="Y2317">
        <f>IF($A2="","",SUMIF('07_Pallet_Contents'!$A$2:$A$3000,$A2,'07_Pallet_Contents'!$I$2:$I$3000))</f>
        <v>0</v>
      </c>
      <c r="Z2317" t="str">
        <f>IF($A2="","",IF(COUNTIF('07_Pallet_Contents'!$A$2:$A$3000,$A2)&gt;0,"Yes",""))</f>
        <v/>
      </c>
    </row>
    <row r="2318" spans="23:26">
      <c r="W2318">
        <f>IF($A2="","",COUNTIF('07_Pallet_Contents'!$A$2:$A$3000,$A2))</f>
        <v>0</v>
      </c>
      <c r="X2318">
        <f>IF($A2="","",SUMIF('07_Pallet_Contents'!$A$2:$A$3000,$A2,'07_Pallet_Contents'!$D$2:$D$3000))</f>
        <v>0</v>
      </c>
      <c r="Y2318">
        <f>IF($A2="","",SUMIF('07_Pallet_Contents'!$A$2:$A$3000,$A2,'07_Pallet_Contents'!$I$2:$I$3000))</f>
        <v>0</v>
      </c>
      <c r="Z2318" t="str">
        <f>IF($A2="","",IF(COUNTIF('07_Pallet_Contents'!$A$2:$A$3000,$A2)&gt;0,"Yes",""))</f>
        <v/>
      </c>
    </row>
    <row r="2319" spans="23:26">
      <c r="W2319">
        <f>IF($A2="","",COUNTIF('07_Pallet_Contents'!$A$2:$A$3000,$A2))</f>
        <v>0</v>
      </c>
      <c r="X2319">
        <f>IF($A2="","",SUMIF('07_Pallet_Contents'!$A$2:$A$3000,$A2,'07_Pallet_Contents'!$D$2:$D$3000))</f>
        <v>0</v>
      </c>
      <c r="Y2319">
        <f>IF($A2="","",SUMIF('07_Pallet_Contents'!$A$2:$A$3000,$A2,'07_Pallet_Contents'!$I$2:$I$3000))</f>
        <v>0</v>
      </c>
      <c r="Z2319" t="str">
        <f>IF($A2="","",IF(COUNTIF('07_Pallet_Contents'!$A$2:$A$3000,$A2)&gt;0,"Yes",""))</f>
        <v/>
      </c>
    </row>
    <row r="2320" spans="23:26">
      <c r="W2320">
        <f>IF($A2="","",COUNTIF('07_Pallet_Contents'!$A$2:$A$3000,$A2))</f>
        <v>0</v>
      </c>
      <c r="X2320">
        <f>IF($A2="","",SUMIF('07_Pallet_Contents'!$A$2:$A$3000,$A2,'07_Pallet_Contents'!$D$2:$D$3000))</f>
        <v>0</v>
      </c>
      <c r="Y2320">
        <f>IF($A2="","",SUMIF('07_Pallet_Contents'!$A$2:$A$3000,$A2,'07_Pallet_Contents'!$I$2:$I$3000))</f>
        <v>0</v>
      </c>
      <c r="Z2320" t="str">
        <f>IF($A2="","",IF(COUNTIF('07_Pallet_Contents'!$A$2:$A$3000,$A2)&gt;0,"Yes",""))</f>
        <v/>
      </c>
    </row>
    <row r="2321" spans="23:26">
      <c r="W2321">
        <f>IF($A2="","",COUNTIF('07_Pallet_Contents'!$A$2:$A$3000,$A2))</f>
        <v>0</v>
      </c>
      <c r="X2321">
        <f>IF($A2="","",SUMIF('07_Pallet_Contents'!$A$2:$A$3000,$A2,'07_Pallet_Contents'!$D$2:$D$3000))</f>
        <v>0</v>
      </c>
      <c r="Y2321">
        <f>IF($A2="","",SUMIF('07_Pallet_Contents'!$A$2:$A$3000,$A2,'07_Pallet_Contents'!$I$2:$I$3000))</f>
        <v>0</v>
      </c>
      <c r="Z2321" t="str">
        <f>IF($A2="","",IF(COUNTIF('07_Pallet_Contents'!$A$2:$A$3000,$A2)&gt;0,"Yes",""))</f>
        <v/>
      </c>
    </row>
    <row r="2322" spans="23:26">
      <c r="W2322">
        <f>IF($A2="","",COUNTIF('07_Pallet_Contents'!$A$2:$A$3000,$A2))</f>
        <v>0</v>
      </c>
      <c r="X2322">
        <f>IF($A2="","",SUMIF('07_Pallet_Contents'!$A$2:$A$3000,$A2,'07_Pallet_Contents'!$D$2:$D$3000))</f>
        <v>0</v>
      </c>
      <c r="Y2322">
        <f>IF($A2="","",SUMIF('07_Pallet_Contents'!$A$2:$A$3000,$A2,'07_Pallet_Contents'!$I$2:$I$3000))</f>
        <v>0</v>
      </c>
      <c r="Z2322" t="str">
        <f>IF($A2="","",IF(COUNTIF('07_Pallet_Contents'!$A$2:$A$3000,$A2)&gt;0,"Yes",""))</f>
        <v/>
      </c>
    </row>
    <row r="2323" spans="23:26">
      <c r="W2323">
        <f>IF($A2="","",COUNTIF('07_Pallet_Contents'!$A$2:$A$3000,$A2))</f>
        <v>0</v>
      </c>
      <c r="X2323">
        <f>IF($A2="","",SUMIF('07_Pallet_Contents'!$A$2:$A$3000,$A2,'07_Pallet_Contents'!$D$2:$D$3000))</f>
        <v>0</v>
      </c>
      <c r="Y2323">
        <f>IF($A2="","",SUMIF('07_Pallet_Contents'!$A$2:$A$3000,$A2,'07_Pallet_Contents'!$I$2:$I$3000))</f>
        <v>0</v>
      </c>
      <c r="Z2323" t="str">
        <f>IF($A2="","",IF(COUNTIF('07_Pallet_Contents'!$A$2:$A$3000,$A2)&gt;0,"Yes",""))</f>
        <v/>
      </c>
    </row>
    <row r="2324" spans="23:26">
      <c r="W2324">
        <f>IF($A2="","",COUNTIF('07_Pallet_Contents'!$A$2:$A$3000,$A2))</f>
        <v>0</v>
      </c>
      <c r="X2324">
        <f>IF($A2="","",SUMIF('07_Pallet_Contents'!$A$2:$A$3000,$A2,'07_Pallet_Contents'!$D$2:$D$3000))</f>
        <v>0</v>
      </c>
      <c r="Y2324">
        <f>IF($A2="","",SUMIF('07_Pallet_Contents'!$A$2:$A$3000,$A2,'07_Pallet_Contents'!$I$2:$I$3000))</f>
        <v>0</v>
      </c>
      <c r="Z2324" t="str">
        <f>IF($A2="","",IF(COUNTIF('07_Pallet_Contents'!$A$2:$A$3000,$A2)&gt;0,"Yes",""))</f>
        <v/>
      </c>
    </row>
    <row r="2325" spans="23:26">
      <c r="W2325">
        <f>IF($A2="","",COUNTIF('07_Pallet_Contents'!$A$2:$A$3000,$A2))</f>
        <v>0</v>
      </c>
      <c r="X2325">
        <f>IF($A2="","",SUMIF('07_Pallet_Contents'!$A$2:$A$3000,$A2,'07_Pallet_Contents'!$D$2:$D$3000))</f>
        <v>0</v>
      </c>
      <c r="Y2325">
        <f>IF($A2="","",SUMIF('07_Pallet_Contents'!$A$2:$A$3000,$A2,'07_Pallet_Contents'!$I$2:$I$3000))</f>
        <v>0</v>
      </c>
      <c r="Z2325" t="str">
        <f>IF($A2="","",IF(COUNTIF('07_Pallet_Contents'!$A$2:$A$3000,$A2)&gt;0,"Yes",""))</f>
        <v/>
      </c>
    </row>
    <row r="2326" spans="23:26">
      <c r="W2326">
        <f>IF($A2="","",COUNTIF('07_Pallet_Contents'!$A$2:$A$3000,$A2))</f>
        <v>0</v>
      </c>
      <c r="X2326">
        <f>IF($A2="","",SUMIF('07_Pallet_Contents'!$A$2:$A$3000,$A2,'07_Pallet_Contents'!$D$2:$D$3000))</f>
        <v>0</v>
      </c>
      <c r="Y2326">
        <f>IF($A2="","",SUMIF('07_Pallet_Contents'!$A$2:$A$3000,$A2,'07_Pallet_Contents'!$I$2:$I$3000))</f>
        <v>0</v>
      </c>
      <c r="Z2326" t="str">
        <f>IF($A2="","",IF(COUNTIF('07_Pallet_Contents'!$A$2:$A$3000,$A2)&gt;0,"Yes",""))</f>
        <v/>
      </c>
    </row>
    <row r="2327" spans="23:26">
      <c r="W2327">
        <f>IF($A2="","",COUNTIF('07_Pallet_Contents'!$A$2:$A$3000,$A2))</f>
        <v>0</v>
      </c>
      <c r="X2327">
        <f>IF($A2="","",SUMIF('07_Pallet_Contents'!$A$2:$A$3000,$A2,'07_Pallet_Contents'!$D$2:$D$3000))</f>
        <v>0</v>
      </c>
      <c r="Y2327">
        <f>IF($A2="","",SUMIF('07_Pallet_Contents'!$A$2:$A$3000,$A2,'07_Pallet_Contents'!$I$2:$I$3000))</f>
        <v>0</v>
      </c>
      <c r="Z2327" t="str">
        <f>IF($A2="","",IF(COUNTIF('07_Pallet_Contents'!$A$2:$A$3000,$A2)&gt;0,"Yes",""))</f>
        <v/>
      </c>
    </row>
    <row r="2328" spans="23:26">
      <c r="W2328">
        <f>IF($A2="","",COUNTIF('07_Pallet_Contents'!$A$2:$A$3000,$A2))</f>
        <v>0</v>
      </c>
      <c r="X2328">
        <f>IF($A2="","",SUMIF('07_Pallet_Contents'!$A$2:$A$3000,$A2,'07_Pallet_Contents'!$D$2:$D$3000))</f>
        <v>0</v>
      </c>
      <c r="Y2328">
        <f>IF($A2="","",SUMIF('07_Pallet_Contents'!$A$2:$A$3000,$A2,'07_Pallet_Contents'!$I$2:$I$3000))</f>
        <v>0</v>
      </c>
      <c r="Z2328" t="str">
        <f>IF($A2="","",IF(COUNTIF('07_Pallet_Contents'!$A$2:$A$3000,$A2)&gt;0,"Yes",""))</f>
        <v/>
      </c>
    </row>
    <row r="2329" spans="23:26">
      <c r="W2329">
        <f>IF($A2="","",COUNTIF('07_Pallet_Contents'!$A$2:$A$3000,$A2))</f>
        <v>0</v>
      </c>
      <c r="X2329">
        <f>IF($A2="","",SUMIF('07_Pallet_Contents'!$A$2:$A$3000,$A2,'07_Pallet_Contents'!$D$2:$D$3000))</f>
        <v>0</v>
      </c>
      <c r="Y2329">
        <f>IF($A2="","",SUMIF('07_Pallet_Contents'!$A$2:$A$3000,$A2,'07_Pallet_Contents'!$I$2:$I$3000))</f>
        <v>0</v>
      </c>
      <c r="Z2329" t="str">
        <f>IF($A2="","",IF(COUNTIF('07_Pallet_Contents'!$A$2:$A$3000,$A2)&gt;0,"Yes",""))</f>
        <v/>
      </c>
    </row>
    <row r="2330" spans="23:26">
      <c r="W2330">
        <f>IF($A2="","",COUNTIF('07_Pallet_Contents'!$A$2:$A$3000,$A2))</f>
        <v>0</v>
      </c>
      <c r="X2330">
        <f>IF($A2="","",SUMIF('07_Pallet_Contents'!$A$2:$A$3000,$A2,'07_Pallet_Contents'!$D$2:$D$3000))</f>
        <v>0</v>
      </c>
      <c r="Y2330">
        <f>IF($A2="","",SUMIF('07_Pallet_Contents'!$A$2:$A$3000,$A2,'07_Pallet_Contents'!$I$2:$I$3000))</f>
        <v>0</v>
      </c>
      <c r="Z2330" t="str">
        <f>IF($A2="","",IF(COUNTIF('07_Pallet_Contents'!$A$2:$A$3000,$A2)&gt;0,"Yes",""))</f>
        <v/>
      </c>
    </row>
    <row r="2331" spans="23:26">
      <c r="W2331">
        <f>IF($A2="","",COUNTIF('07_Pallet_Contents'!$A$2:$A$3000,$A2))</f>
        <v>0</v>
      </c>
      <c r="X2331">
        <f>IF($A2="","",SUMIF('07_Pallet_Contents'!$A$2:$A$3000,$A2,'07_Pallet_Contents'!$D$2:$D$3000))</f>
        <v>0</v>
      </c>
      <c r="Y2331">
        <f>IF($A2="","",SUMIF('07_Pallet_Contents'!$A$2:$A$3000,$A2,'07_Pallet_Contents'!$I$2:$I$3000))</f>
        <v>0</v>
      </c>
      <c r="Z2331" t="str">
        <f>IF($A2="","",IF(COUNTIF('07_Pallet_Contents'!$A$2:$A$3000,$A2)&gt;0,"Yes",""))</f>
        <v/>
      </c>
    </row>
    <row r="2332" spans="23:26">
      <c r="W2332">
        <f>IF($A2="","",COUNTIF('07_Pallet_Contents'!$A$2:$A$3000,$A2))</f>
        <v>0</v>
      </c>
      <c r="X2332">
        <f>IF($A2="","",SUMIF('07_Pallet_Contents'!$A$2:$A$3000,$A2,'07_Pallet_Contents'!$D$2:$D$3000))</f>
        <v>0</v>
      </c>
      <c r="Y2332">
        <f>IF($A2="","",SUMIF('07_Pallet_Contents'!$A$2:$A$3000,$A2,'07_Pallet_Contents'!$I$2:$I$3000))</f>
        <v>0</v>
      </c>
      <c r="Z2332" t="str">
        <f>IF($A2="","",IF(COUNTIF('07_Pallet_Contents'!$A$2:$A$3000,$A2)&gt;0,"Yes",""))</f>
        <v/>
      </c>
    </row>
    <row r="2333" spans="23:26">
      <c r="W2333">
        <f>IF($A2="","",COUNTIF('07_Pallet_Contents'!$A$2:$A$3000,$A2))</f>
        <v>0</v>
      </c>
      <c r="X2333">
        <f>IF($A2="","",SUMIF('07_Pallet_Contents'!$A$2:$A$3000,$A2,'07_Pallet_Contents'!$D$2:$D$3000))</f>
        <v>0</v>
      </c>
      <c r="Y2333">
        <f>IF($A2="","",SUMIF('07_Pallet_Contents'!$A$2:$A$3000,$A2,'07_Pallet_Contents'!$I$2:$I$3000))</f>
        <v>0</v>
      </c>
      <c r="Z2333" t="str">
        <f>IF($A2="","",IF(COUNTIF('07_Pallet_Contents'!$A$2:$A$3000,$A2)&gt;0,"Yes",""))</f>
        <v/>
      </c>
    </row>
    <row r="2334" spans="23:26">
      <c r="W2334">
        <f>IF($A2="","",COUNTIF('07_Pallet_Contents'!$A$2:$A$3000,$A2))</f>
        <v>0</v>
      </c>
      <c r="X2334">
        <f>IF($A2="","",SUMIF('07_Pallet_Contents'!$A$2:$A$3000,$A2,'07_Pallet_Contents'!$D$2:$D$3000))</f>
        <v>0</v>
      </c>
      <c r="Y2334">
        <f>IF($A2="","",SUMIF('07_Pallet_Contents'!$A$2:$A$3000,$A2,'07_Pallet_Contents'!$I$2:$I$3000))</f>
        <v>0</v>
      </c>
      <c r="Z2334" t="str">
        <f>IF($A2="","",IF(COUNTIF('07_Pallet_Contents'!$A$2:$A$3000,$A2)&gt;0,"Yes",""))</f>
        <v/>
      </c>
    </row>
    <row r="2335" spans="23:26">
      <c r="W2335">
        <f>IF($A2="","",COUNTIF('07_Pallet_Contents'!$A$2:$A$3000,$A2))</f>
        <v>0</v>
      </c>
      <c r="X2335">
        <f>IF($A2="","",SUMIF('07_Pallet_Contents'!$A$2:$A$3000,$A2,'07_Pallet_Contents'!$D$2:$D$3000))</f>
        <v>0</v>
      </c>
      <c r="Y2335">
        <f>IF($A2="","",SUMIF('07_Pallet_Contents'!$A$2:$A$3000,$A2,'07_Pallet_Contents'!$I$2:$I$3000))</f>
        <v>0</v>
      </c>
      <c r="Z2335" t="str">
        <f>IF($A2="","",IF(COUNTIF('07_Pallet_Contents'!$A$2:$A$3000,$A2)&gt;0,"Yes",""))</f>
        <v/>
      </c>
    </row>
    <row r="2336" spans="23:26">
      <c r="W2336">
        <f>IF($A2="","",COUNTIF('07_Pallet_Contents'!$A$2:$A$3000,$A2))</f>
        <v>0</v>
      </c>
      <c r="X2336">
        <f>IF($A2="","",SUMIF('07_Pallet_Contents'!$A$2:$A$3000,$A2,'07_Pallet_Contents'!$D$2:$D$3000))</f>
        <v>0</v>
      </c>
      <c r="Y2336">
        <f>IF($A2="","",SUMIF('07_Pallet_Contents'!$A$2:$A$3000,$A2,'07_Pallet_Contents'!$I$2:$I$3000))</f>
        <v>0</v>
      </c>
      <c r="Z2336" t="str">
        <f>IF($A2="","",IF(COUNTIF('07_Pallet_Contents'!$A$2:$A$3000,$A2)&gt;0,"Yes",""))</f>
        <v/>
      </c>
    </row>
    <row r="2337" spans="23:26">
      <c r="W2337">
        <f>IF($A2="","",COUNTIF('07_Pallet_Contents'!$A$2:$A$3000,$A2))</f>
        <v>0</v>
      </c>
      <c r="X2337">
        <f>IF($A2="","",SUMIF('07_Pallet_Contents'!$A$2:$A$3000,$A2,'07_Pallet_Contents'!$D$2:$D$3000))</f>
        <v>0</v>
      </c>
      <c r="Y2337">
        <f>IF($A2="","",SUMIF('07_Pallet_Contents'!$A$2:$A$3000,$A2,'07_Pallet_Contents'!$I$2:$I$3000))</f>
        <v>0</v>
      </c>
      <c r="Z2337" t="str">
        <f>IF($A2="","",IF(COUNTIF('07_Pallet_Contents'!$A$2:$A$3000,$A2)&gt;0,"Yes",""))</f>
        <v/>
      </c>
    </row>
    <row r="2338" spans="23:26">
      <c r="W2338">
        <f>IF($A2="","",COUNTIF('07_Pallet_Contents'!$A$2:$A$3000,$A2))</f>
        <v>0</v>
      </c>
      <c r="X2338">
        <f>IF($A2="","",SUMIF('07_Pallet_Contents'!$A$2:$A$3000,$A2,'07_Pallet_Contents'!$D$2:$D$3000))</f>
        <v>0</v>
      </c>
      <c r="Y2338">
        <f>IF($A2="","",SUMIF('07_Pallet_Contents'!$A$2:$A$3000,$A2,'07_Pallet_Contents'!$I$2:$I$3000))</f>
        <v>0</v>
      </c>
      <c r="Z2338" t="str">
        <f>IF($A2="","",IF(COUNTIF('07_Pallet_Contents'!$A$2:$A$3000,$A2)&gt;0,"Yes",""))</f>
        <v/>
      </c>
    </row>
    <row r="2339" spans="23:26">
      <c r="W2339">
        <f>IF($A2="","",COUNTIF('07_Pallet_Contents'!$A$2:$A$3000,$A2))</f>
        <v>0</v>
      </c>
      <c r="X2339">
        <f>IF($A2="","",SUMIF('07_Pallet_Contents'!$A$2:$A$3000,$A2,'07_Pallet_Contents'!$D$2:$D$3000))</f>
        <v>0</v>
      </c>
      <c r="Y2339">
        <f>IF($A2="","",SUMIF('07_Pallet_Contents'!$A$2:$A$3000,$A2,'07_Pallet_Contents'!$I$2:$I$3000))</f>
        <v>0</v>
      </c>
      <c r="Z2339" t="str">
        <f>IF($A2="","",IF(COUNTIF('07_Pallet_Contents'!$A$2:$A$3000,$A2)&gt;0,"Yes",""))</f>
        <v/>
      </c>
    </row>
    <row r="2340" spans="23:26">
      <c r="W2340">
        <f>IF($A2="","",COUNTIF('07_Pallet_Contents'!$A$2:$A$3000,$A2))</f>
        <v>0</v>
      </c>
      <c r="X2340">
        <f>IF($A2="","",SUMIF('07_Pallet_Contents'!$A$2:$A$3000,$A2,'07_Pallet_Contents'!$D$2:$D$3000))</f>
        <v>0</v>
      </c>
      <c r="Y2340">
        <f>IF($A2="","",SUMIF('07_Pallet_Contents'!$A$2:$A$3000,$A2,'07_Pallet_Contents'!$I$2:$I$3000))</f>
        <v>0</v>
      </c>
      <c r="Z2340" t="str">
        <f>IF($A2="","",IF(COUNTIF('07_Pallet_Contents'!$A$2:$A$3000,$A2)&gt;0,"Yes",""))</f>
        <v/>
      </c>
    </row>
    <row r="2341" spans="23:26">
      <c r="W2341">
        <f>IF($A2="","",COUNTIF('07_Pallet_Contents'!$A$2:$A$3000,$A2))</f>
        <v>0</v>
      </c>
      <c r="X2341">
        <f>IF($A2="","",SUMIF('07_Pallet_Contents'!$A$2:$A$3000,$A2,'07_Pallet_Contents'!$D$2:$D$3000))</f>
        <v>0</v>
      </c>
      <c r="Y2341">
        <f>IF($A2="","",SUMIF('07_Pallet_Contents'!$A$2:$A$3000,$A2,'07_Pallet_Contents'!$I$2:$I$3000))</f>
        <v>0</v>
      </c>
      <c r="Z2341" t="str">
        <f>IF($A2="","",IF(COUNTIF('07_Pallet_Contents'!$A$2:$A$3000,$A2)&gt;0,"Yes",""))</f>
        <v/>
      </c>
    </row>
    <row r="2342" spans="23:26">
      <c r="W2342">
        <f>IF($A2="","",COUNTIF('07_Pallet_Contents'!$A$2:$A$3000,$A2))</f>
        <v>0</v>
      </c>
      <c r="X2342">
        <f>IF($A2="","",SUMIF('07_Pallet_Contents'!$A$2:$A$3000,$A2,'07_Pallet_Contents'!$D$2:$D$3000))</f>
        <v>0</v>
      </c>
      <c r="Y2342">
        <f>IF($A2="","",SUMIF('07_Pallet_Contents'!$A$2:$A$3000,$A2,'07_Pallet_Contents'!$I$2:$I$3000))</f>
        <v>0</v>
      </c>
      <c r="Z2342" t="str">
        <f>IF($A2="","",IF(COUNTIF('07_Pallet_Contents'!$A$2:$A$3000,$A2)&gt;0,"Yes",""))</f>
        <v/>
      </c>
    </row>
    <row r="2343" spans="23:26">
      <c r="W2343">
        <f>IF($A2="","",COUNTIF('07_Pallet_Contents'!$A$2:$A$3000,$A2))</f>
        <v>0</v>
      </c>
      <c r="X2343">
        <f>IF($A2="","",SUMIF('07_Pallet_Contents'!$A$2:$A$3000,$A2,'07_Pallet_Contents'!$D$2:$D$3000))</f>
        <v>0</v>
      </c>
      <c r="Y2343">
        <f>IF($A2="","",SUMIF('07_Pallet_Contents'!$A$2:$A$3000,$A2,'07_Pallet_Contents'!$I$2:$I$3000))</f>
        <v>0</v>
      </c>
      <c r="Z2343" t="str">
        <f>IF($A2="","",IF(COUNTIF('07_Pallet_Contents'!$A$2:$A$3000,$A2)&gt;0,"Yes",""))</f>
        <v/>
      </c>
    </row>
    <row r="2344" spans="23:26">
      <c r="W2344">
        <f>IF($A2="","",COUNTIF('07_Pallet_Contents'!$A$2:$A$3000,$A2))</f>
        <v>0</v>
      </c>
      <c r="X2344">
        <f>IF($A2="","",SUMIF('07_Pallet_Contents'!$A$2:$A$3000,$A2,'07_Pallet_Contents'!$D$2:$D$3000))</f>
        <v>0</v>
      </c>
      <c r="Y2344">
        <f>IF($A2="","",SUMIF('07_Pallet_Contents'!$A$2:$A$3000,$A2,'07_Pallet_Contents'!$I$2:$I$3000))</f>
        <v>0</v>
      </c>
      <c r="Z2344" t="str">
        <f>IF($A2="","",IF(COUNTIF('07_Pallet_Contents'!$A$2:$A$3000,$A2)&gt;0,"Yes",""))</f>
        <v/>
      </c>
    </row>
    <row r="2345" spans="23:26">
      <c r="W2345">
        <f>IF($A2="","",COUNTIF('07_Pallet_Contents'!$A$2:$A$3000,$A2))</f>
        <v>0</v>
      </c>
      <c r="X2345">
        <f>IF($A2="","",SUMIF('07_Pallet_Contents'!$A$2:$A$3000,$A2,'07_Pallet_Contents'!$D$2:$D$3000))</f>
        <v>0</v>
      </c>
      <c r="Y2345">
        <f>IF($A2="","",SUMIF('07_Pallet_Contents'!$A$2:$A$3000,$A2,'07_Pallet_Contents'!$I$2:$I$3000))</f>
        <v>0</v>
      </c>
      <c r="Z2345" t="str">
        <f>IF($A2="","",IF(COUNTIF('07_Pallet_Contents'!$A$2:$A$3000,$A2)&gt;0,"Yes",""))</f>
        <v/>
      </c>
    </row>
    <row r="2346" spans="23:26">
      <c r="W2346">
        <f>IF($A2="","",COUNTIF('07_Pallet_Contents'!$A$2:$A$3000,$A2))</f>
        <v>0</v>
      </c>
      <c r="X2346">
        <f>IF($A2="","",SUMIF('07_Pallet_Contents'!$A$2:$A$3000,$A2,'07_Pallet_Contents'!$D$2:$D$3000))</f>
        <v>0</v>
      </c>
      <c r="Y2346">
        <f>IF($A2="","",SUMIF('07_Pallet_Contents'!$A$2:$A$3000,$A2,'07_Pallet_Contents'!$I$2:$I$3000))</f>
        <v>0</v>
      </c>
      <c r="Z2346" t="str">
        <f>IF($A2="","",IF(COUNTIF('07_Pallet_Contents'!$A$2:$A$3000,$A2)&gt;0,"Yes",""))</f>
        <v/>
      </c>
    </row>
    <row r="2347" spans="23:26">
      <c r="W2347">
        <f>IF($A2="","",COUNTIF('07_Pallet_Contents'!$A$2:$A$3000,$A2))</f>
        <v>0</v>
      </c>
      <c r="X2347">
        <f>IF($A2="","",SUMIF('07_Pallet_Contents'!$A$2:$A$3000,$A2,'07_Pallet_Contents'!$D$2:$D$3000))</f>
        <v>0</v>
      </c>
      <c r="Y2347">
        <f>IF($A2="","",SUMIF('07_Pallet_Contents'!$A$2:$A$3000,$A2,'07_Pallet_Contents'!$I$2:$I$3000))</f>
        <v>0</v>
      </c>
      <c r="Z2347" t="str">
        <f>IF($A2="","",IF(COUNTIF('07_Pallet_Contents'!$A$2:$A$3000,$A2)&gt;0,"Yes",""))</f>
        <v/>
      </c>
    </row>
    <row r="2348" spans="23:26">
      <c r="W2348">
        <f>IF($A2="","",COUNTIF('07_Pallet_Contents'!$A$2:$A$3000,$A2))</f>
        <v>0</v>
      </c>
      <c r="X2348">
        <f>IF($A2="","",SUMIF('07_Pallet_Contents'!$A$2:$A$3000,$A2,'07_Pallet_Contents'!$D$2:$D$3000))</f>
        <v>0</v>
      </c>
      <c r="Y2348">
        <f>IF($A2="","",SUMIF('07_Pallet_Contents'!$A$2:$A$3000,$A2,'07_Pallet_Contents'!$I$2:$I$3000))</f>
        <v>0</v>
      </c>
      <c r="Z2348" t="str">
        <f>IF($A2="","",IF(COUNTIF('07_Pallet_Contents'!$A$2:$A$3000,$A2)&gt;0,"Yes",""))</f>
        <v/>
      </c>
    </row>
    <row r="2349" spans="23:26">
      <c r="W2349">
        <f>IF($A2="","",COUNTIF('07_Pallet_Contents'!$A$2:$A$3000,$A2))</f>
        <v>0</v>
      </c>
      <c r="X2349">
        <f>IF($A2="","",SUMIF('07_Pallet_Contents'!$A$2:$A$3000,$A2,'07_Pallet_Contents'!$D$2:$D$3000))</f>
        <v>0</v>
      </c>
      <c r="Y2349">
        <f>IF($A2="","",SUMIF('07_Pallet_Contents'!$A$2:$A$3000,$A2,'07_Pallet_Contents'!$I$2:$I$3000))</f>
        <v>0</v>
      </c>
      <c r="Z2349" t="str">
        <f>IF($A2="","",IF(COUNTIF('07_Pallet_Contents'!$A$2:$A$3000,$A2)&gt;0,"Yes",""))</f>
        <v/>
      </c>
    </row>
    <row r="2350" spans="23:26">
      <c r="W2350">
        <f>IF($A2="","",COUNTIF('07_Pallet_Contents'!$A$2:$A$3000,$A2))</f>
        <v>0</v>
      </c>
      <c r="X2350">
        <f>IF($A2="","",SUMIF('07_Pallet_Contents'!$A$2:$A$3000,$A2,'07_Pallet_Contents'!$D$2:$D$3000))</f>
        <v>0</v>
      </c>
      <c r="Y2350">
        <f>IF($A2="","",SUMIF('07_Pallet_Contents'!$A$2:$A$3000,$A2,'07_Pallet_Contents'!$I$2:$I$3000))</f>
        <v>0</v>
      </c>
      <c r="Z2350" t="str">
        <f>IF($A2="","",IF(COUNTIF('07_Pallet_Contents'!$A$2:$A$3000,$A2)&gt;0,"Yes",""))</f>
        <v/>
      </c>
    </row>
    <row r="2351" spans="23:26">
      <c r="W2351">
        <f>IF($A2="","",COUNTIF('07_Pallet_Contents'!$A$2:$A$3000,$A2))</f>
        <v>0</v>
      </c>
      <c r="X2351">
        <f>IF($A2="","",SUMIF('07_Pallet_Contents'!$A$2:$A$3000,$A2,'07_Pallet_Contents'!$D$2:$D$3000))</f>
        <v>0</v>
      </c>
      <c r="Y2351">
        <f>IF($A2="","",SUMIF('07_Pallet_Contents'!$A$2:$A$3000,$A2,'07_Pallet_Contents'!$I$2:$I$3000))</f>
        <v>0</v>
      </c>
      <c r="Z2351" t="str">
        <f>IF($A2="","",IF(COUNTIF('07_Pallet_Contents'!$A$2:$A$3000,$A2)&gt;0,"Yes",""))</f>
        <v/>
      </c>
    </row>
    <row r="2352" spans="23:26">
      <c r="W2352">
        <f>IF($A2="","",COUNTIF('07_Pallet_Contents'!$A$2:$A$3000,$A2))</f>
        <v>0</v>
      </c>
      <c r="X2352">
        <f>IF($A2="","",SUMIF('07_Pallet_Contents'!$A$2:$A$3000,$A2,'07_Pallet_Contents'!$D$2:$D$3000))</f>
        <v>0</v>
      </c>
      <c r="Y2352">
        <f>IF($A2="","",SUMIF('07_Pallet_Contents'!$A$2:$A$3000,$A2,'07_Pallet_Contents'!$I$2:$I$3000))</f>
        <v>0</v>
      </c>
      <c r="Z2352" t="str">
        <f>IF($A2="","",IF(COUNTIF('07_Pallet_Contents'!$A$2:$A$3000,$A2)&gt;0,"Yes",""))</f>
        <v/>
      </c>
    </row>
    <row r="2353" spans="23:26">
      <c r="W2353">
        <f>IF($A2="","",COUNTIF('07_Pallet_Contents'!$A$2:$A$3000,$A2))</f>
        <v>0</v>
      </c>
      <c r="X2353">
        <f>IF($A2="","",SUMIF('07_Pallet_Contents'!$A$2:$A$3000,$A2,'07_Pallet_Contents'!$D$2:$D$3000))</f>
        <v>0</v>
      </c>
      <c r="Y2353">
        <f>IF($A2="","",SUMIF('07_Pallet_Contents'!$A$2:$A$3000,$A2,'07_Pallet_Contents'!$I$2:$I$3000))</f>
        <v>0</v>
      </c>
      <c r="Z2353" t="str">
        <f>IF($A2="","",IF(COUNTIF('07_Pallet_Contents'!$A$2:$A$3000,$A2)&gt;0,"Yes",""))</f>
        <v/>
      </c>
    </row>
    <row r="2354" spans="23:26">
      <c r="W2354">
        <f>IF($A2="","",COUNTIF('07_Pallet_Contents'!$A$2:$A$3000,$A2))</f>
        <v>0</v>
      </c>
      <c r="X2354">
        <f>IF($A2="","",SUMIF('07_Pallet_Contents'!$A$2:$A$3000,$A2,'07_Pallet_Contents'!$D$2:$D$3000))</f>
        <v>0</v>
      </c>
      <c r="Y2354">
        <f>IF($A2="","",SUMIF('07_Pallet_Contents'!$A$2:$A$3000,$A2,'07_Pallet_Contents'!$I$2:$I$3000))</f>
        <v>0</v>
      </c>
      <c r="Z2354" t="str">
        <f>IF($A2="","",IF(COUNTIF('07_Pallet_Contents'!$A$2:$A$3000,$A2)&gt;0,"Yes",""))</f>
        <v/>
      </c>
    </row>
    <row r="2355" spans="23:26">
      <c r="W2355">
        <f>IF($A2="","",COUNTIF('07_Pallet_Contents'!$A$2:$A$3000,$A2))</f>
        <v>0</v>
      </c>
      <c r="X2355">
        <f>IF($A2="","",SUMIF('07_Pallet_Contents'!$A$2:$A$3000,$A2,'07_Pallet_Contents'!$D$2:$D$3000))</f>
        <v>0</v>
      </c>
      <c r="Y2355">
        <f>IF($A2="","",SUMIF('07_Pallet_Contents'!$A$2:$A$3000,$A2,'07_Pallet_Contents'!$I$2:$I$3000))</f>
        <v>0</v>
      </c>
      <c r="Z2355" t="str">
        <f>IF($A2="","",IF(COUNTIF('07_Pallet_Contents'!$A$2:$A$3000,$A2)&gt;0,"Yes",""))</f>
        <v/>
      </c>
    </row>
    <row r="2356" spans="23:26">
      <c r="W2356">
        <f>IF($A2="","",COUNTIF('07_Pallet_Contents'!$A$2:$A$3000,$A2))</f>
        <v>0</v>
      </c>
      <c r="X2356">
        <f>IF($A2="","",SUMIF('07_Pallet_Contents'!$A$2:$A$3000,$A2,'07_Pallet_Contents'!$D$2:$D$3000))</f>
        <v>0</v>
      </c>
      <c r="Y2356">
        <f>IF($A2="","",SUMIF('07_Pallet_Contents'!$A$2:$A$3000,$A2,'07_Pallet_Contents'!$I$2:$I$3000))</f>
        <v>0</v>
      </c>
      <c r="Z2356" t="str">
        <f>IF($A2="","",IF(COUNTIF('07_Pallet_Contents'!$A$2:$A$3000,$A2)&gt;0,"Yes",""))</f>
        <v/>
      </c>
    </row>
    <row r="2357" spans="23:26">
      <c r="W2357">
        <f>IF($A2="","",COUNTIF('07_Pallet_Contents'!$A$2:$A$3000,$A2))</f>
        <v>0</v>
      </c>
      <c r="X2357">
        <f>IF($A2="","",SUMIF('07_Pallet_Contents'!$A$2:$A$3000,$A2,'07_Pallet_Contents'!$D$2:$D$3000))</f>
        <v>0</v>
      </c>
      <c r="Y2357">
        <f>IF($A2="","",SUMIF('07_Pallet_Contents'!$A$2:$A$3000,$A2,'07_Pallet_Contents'!$I$2:$I$3000))</f>
        <v>0</v>
      </c>
      <c r="Z2357" t="str">
        <f>IF($A2="","",IF(COUNTIF('07_Pallet_Contents'!$A$2:$A$3000,$A2)&gt;0,"Yes",""))</f>
        <v/>
      </c>
    </row>
    <row r="2358" spans="23:26">
      <c r="W2358">
        <f>IF($A2="","",COUNTIF('07_Pallet_Contents'!$A$2:$A$3000,$A2))</f>
        <v>0</v>
      </c>
      <c r="X2358">
        <f>IF($A2="","",SUMIF('07_Pallet_Contents'!$A$2:$A$3000,$A2,'07_Pallet_Contents'!$D$2:$D$3000))</f>
        <v>0</v>
      </c>
      <c r="Y2358">
        <f>IF($A2="","",SUMIF('07_Pallet_Contents'!$A$2:$A$3000,$A2,'07_Pallet_Contents'!$I$2:$I$3000))</f>
        <v>0</v>
      </c>
      <c r="Z2358" t="str">
        <f>IF($A2="","",IF(COUNTIF('07_Pallet_Contents'!$A$2:$A$3000,$A2)&gt;0,"Yes",""))</f>
        <v/>
      </c>
    </row>
    <row r="2359" spans="23:26">
      <c r="W2359">
        <f>IF($A2="","",COUNTIF('07_Pallet_Contents'!$A$2:$A$3000,$A2))</f>
        <v>0</v>
      </c>
      <c r="X2359">
        <f>IF($A2="","",SUMIF('07_Pallet_Contents'!$A$2:$A$3000,$A2,'07_Pallet_Contents'!$D$2:$D$3000))</f>
        <v>0</v>
      </c>
      <c r="Y2359">
        <f>IF($A2="","",SUMIF('07_Pallet_Contents'!$A$2:$A$3000,$A2,'07_Pallet_Contents'!$I$2:$I$3000))</f>
        <v>0</v>
      </c>
      <c r="Z2359" t="str">
        <f>IF($A2="","",IF(COUNTIF('07_Pallet_Contents'!$A$2:$A$3000,$A2)&gt;0,"Yes",""))</f>
        <v/>
      </c>
    </row>
    <row r="2360" spans="23:26">
      <c r="W2360">
        <f>IF($A2="","",COUNTIF('07_Pallet_Contents'!$A$2:$A$3000,$A2))</f>
        <v>0</v>
      </c>
      <c r="X2360">
        <f>IF($A2="","",SUMIF('07_Pallet_Contents'!$A$2:$A$3000,$A2,'07_Pallet_Contents'!$D$2:$D$3000))</f>
        <v>0</v>
      </c>
      <c r="Y2360">
        <f>IF($A2="","",SUMIF('07_Pallet_Contents'!$A$2:$A$3000,$A2,'07_Pallet_Contents'!$I$2:$I$3000))</f>
        <v>0</v>
      </c>
      <c r="Z2360" t="str">
        <f>IF($A2="","",IF(COUNTIF('07_Pallet_Contents'!$A$2:$A$3000,$A2)&gt;0,"Yes",""))</f>
        <v/>
      </c>
    </row>
    <row r="2361" spans="23:26">
      <c r="W2361">
        <f>IF($A2="","",COUNTIF('07_Pallet_Contents'!$A$2:$A$3000,$A2))</f>
        <v>0</v>
      </c>
      <c r="X2361">
        <f>IF($A2="","",SUMIF('07_Pallet_Contents'!$A$2:$A$3000,$A2,'07_Pallet_Contents'!$D$2:$D$3000))</f>
        <v>0</v>
      </c>
      <c r="Y2361">
        <f>IF($A2="","",SUMIF('07_Pallet_Contents'!$A$2:$A$3000,$A2,'07_Pallet_Contents'!$I$2:$I$3000))</f>
        <v>0</v>
      </c>
      <c r="Z2361" t="str">
        <f>IF($A2="","",IF(COUNTIF('07_Pallet_Contents'!$A$2:$A$3000,$A2)&gt;0,"Yes",""))</f>
        <v/>
      </c>
    </row>
    <row r="2362" spans="23:26">
      <c r="W2362">
        <f>IF($A2="","",COUNTIF('07_Pallet_Contents'!$A$2:$A$3000,$A2))</f>
        <v>0</v>
      </c>
      <c r="X2362">
        <f>IF($A2="","",SUMIF('07_Pallet_Contents'!$A$2:$A$3000,$A2,'07_Pallet_Contents'!$D$2:$D$3000))</f>
        <v>0</v>
      </c>
      <c r="Y2362">
        <f>IF($A2="","",SUMIF('07_Pallet_Contents'!$A$2:$A$3000,$A2,'07_Pallet_Contents'!$I$2:$I$3000))</f>
        <v>0</v>
      </c>
      <c r="Z2362" t="str">
        <f>IF($A2="","",IF(COUNTIF('07_Pallet_Contents'!$A$2:$A$3000,$A2)&gt;0,"Yes",""))</f>
        <v/>
      </c>
    </row>
    <row r="2363" spans="23:26">
      <c r="W2363">
        <f>IF($A2="","",COUNTIF('07_Pallet_Contents'!$A$2:$A$3000,$A2))</f>
        <v>0</v>
      </c>
      <c r="X2363">
        <f>IF($A2="","",SUMIF('07_Pallet_Contents'!$A$2:$A$3000,$A2,'07_Pallet_Contents'!$D$2:$D$3000))</f>
        <v>0</v>
      </c>
      <c r="Y2363">
        <f>IF($A2="","",SUMIF('07_Pallet_Contents'!$A$2:$A$3000,$A2,'07_Pallet_Contents'!$I$2:$I$3000))</f>
        <v>0</v>
      </c>
      <c r="Z2363" t="str">
        <f>IF($A2="","",IF(COUNTIF('07_Pallet_Contents'!$A$2:$A$3000,$A2)&gt;0,"Yes",""))</f>
        <v/>
      </c>
    </row>
    <row r="2364" spans="23:26">
      <c r="W2364">
        <f>IF($A2="","",COUNTIF('07_Pallet_Contents'!$A$2:$A$3000,$A2))</f>
        <v>0</v>
      </c>
      <c r="X2364">
        <f>IF($A2="","",SUMIF('07_Pallet_Contents'!$A$2:$A$3000,$A2,'07_Pallet_Contents'!$D$2:$D$3000))</f>
        <v>0</v>
      </c>
      <c r="Y2364">
        <f>IF($A2="","",SUMIF('07_Pallet_Contents'!$A$2:$A$3000,$A2,'07_Pallet_Contents'!$I$2:$I$3000))</f>
        <v>0</v>
      </c>
      <c r="Z2364" t="str">
        <f>IF($A2="","",IF(COUNTIF('07_Pallet_Contents'!$A$2:$A$3000,$A2)&gt;0,"Yes",""))</f>
        <v/>
      </c>
    </row>
    <row r="2365" spans="23:26">
      <c r="W2365">
        <f>IF($A2="","",COUNTIF('07_Pallet_Contents'!$A$2:$A$3000,$A2))</f>
        <v>0</v>
      </c>
      <c r="X2365">
        <f>IF($A2="","",SUMIF('07_Pallet_Contents'!$A$2:$A$3000,$A2,'07_Pallet_Contents'!$D$2:$D$3000))</f>
        <v>0</v>
      </c>
      <c r="Y2365">
        <f>IF($A2="","",SUMIF('07_Pallet_Contents'!$A$2:$A$3000,$A2,'07_Pallet_Contents'!$I$2:$I$3000))</f>
        <v>0</v>
      </c>
      <c r="Z2365" t="str">
        <f>IF($A2="","",IF(COUNTIF('07_Pallet_Contents'!$A$2:$A$3000,$A2)&gt;0,"Yes",""))</f>
        <v/>
      </c>
    </row>
    <row r="2366" spans="23:26">
      <c r="W2366">
        <f>IF($A2="","",COUNTIF('07_Pallet_Contents'!$A$2:$A$3000,$A2))</f>
        <v>0</v>
      </c>
      <c r="X2366">
        <f>IF($A2="","",SUMIF('07_Pallet_Contents'!$A$2:$A$3000,$A2,'07_Pallet_Contents'!$D$2:$D$3000))</f>
        <v>0</v>
      </c>
      <c r="Y2366">
        <f>IF($A2="","",SUMIF('07_Pallet_Contents'!$A$2:$A$3000,$A2,'07_Pallet_Contents'!$I$2:$I$3000))</f>
        <v>0</v>
      </c>
      <c r="Z2366" t="str">
        <f>IF($A2="","",IF(COUNTIF('07_Pallet_Contents'!$A$2:$A$3000,$A2)&gt;0,"Yes",""))</f>
        <v/>
      </c>
    </row>
    <row r="2367" spans="23:26">
      <c r="W2367">
        <f>IF($A2="","",COUNTIF('07_Pallet_Contents'!$A$2:$A$3000,$A2))</f>
        <v>0</v>
      </c>
      <c r="X2367">
        <f>IF($A2="","",SUMIF('07_Pallet_Contents'!$A$2:$A$3000,$A2,'07_Pallet_Contents'!$D$2:$D$3000))</f>
        <v>0</v>
      </c>
      <c r="Y2367">
        <f>IF($A2="","",SUMIF('07_Pallet_Contents'!$A$2:$A$3000,$A2,'07_Pallet_Contents'!$I$2:$I$3000))</f>
        <v>0</v>
      </c>
      <c r="Z2367" t="str">
        <f>IF($A2="","",IF(COUNTIF('07_Pallet_Contents'!$A$2:$A$3000,$A2)&gt;0,"Yes",""))</f>
        <v/>
      </c>
    </row>
    <row r="2368" spans="23:26">
      <c r="W2368">
        <f>IF($A2="","",COUNTIF('07_Pallet_Contents'!$A$2:$A$3000,$A2))</f>
        <v>0</v>
      </c>
      <c r="X2368">
        <f>IF($A2="","",SUMIF('07_Pallet_Contents'!$A$2:$A$3000,$A2,'07_Pallet_Contents'!$D$2:$D$3000))</f>
        <v>0</v>
      </c>
      <c r="Y2368">
        <f>IF($A2="","",SUMIF('07_Pallet_Contents'!$A$2:$A$3000,$A2,'07_Pallet_Contents'!$I$2:$I$3000))</f>
        <v>0</v>
      </c>
      <c r="Z2368" t="str">
        <f>IF($A2="","",IF(COUNTIF('07_Pallet_Contents'!$A$2:$A$3000,$A2)&gt;0,"Yes",""))</f>
        <v/>
      </c>
    </row>
    <row r="2369" spans="23:26">
      <c r="W2369">
        <f>IF($A2="","",COUNTIF('07_Pallet_Contents'!$A$2:$A$3000,$A2))</f>
        <v>0</v>
      </c>
      <c r="X2369">
        <f>IF($A2="","",SUMIF('07_Pallet_Contents'!$A$2:$A$3000,$A2,'07_Pallet_Contents'!$D$2:$D$3000))</f>
        <v>0</v>
      </c>
      <c r="Y2369">
        <f>IF($A2="","",SUMIF('07_Pallet_Contents'!$A$2:$A$3000,$A2,'07_Pallet_Contents'!$I$2:$I$3000))</f>
        <v>0</v>
      </c>
      <c r="Z2369" t="str">
        <f>IF($A2="","",IF(COUNTIF('07_Pallet_Contents'!$A$2:$A$3000,$A2)&gt;0,"Yes",""))</f>
        <v/>
      </c>
    </row>
    <row r="2370" spans="23:26">
      <c r="W2370">
        <f>IF($A2="","",COUNTIF('07_Pallet_Contents'!$A$2:$A$3000,$A2))</f>
        <v>0</v>
      </c>
      <c r="X2370">
        <f>IF($A2="","",SUMIF('07_Pallet_Contents'!$A$2:$A$3000,$A2,'07_Pallet_Contents'!$D$2:$D$3000))</f>
        <v>0</v>
      </c>
      <c r="Y2370">
        <f>IF($A2="","",SUMIF('07_Pallet_Contents'!$A$2:$A$3000,$A2,'07_Pallet_Contents'!$I$2:$I$3000))</f>
        <v>0</v>
      </c>
      <c r="Z2370" t="str">
        <f>IF($A2="","",IF(COUNTIF('07_Pallet_Contents'!$A$2:$A$3000,$A2)&gt;0,"Yes",""))</f>
        <v/>
      </c>
    </row>
    <row r="2371" spans="23:26">
      <c r="W2371">
        <f>IF($A2="","",COUNTIF('07_Pallet_Contents'!$A$2:$A$3000,$A2))</f>
        <v>0</v>
      </c>
      <c r="X2371">
        <f>IF($A2="","",SUMIF('07_Pallet_Contents'!$A$2:$A$3000,$A2,'07_Pallet_Contents'!$D$2:$D$3000))</f>
        <v>0</v>
      </c>
      <c r="Y2371">
        <f>IF($A2="","",SUMIF('07_Pallet_Contents'!$A$2:$A$3000,$A2,'07_Pallet_Contents'!$I$2:$I$3000))</f>
        <v>0</v>
      </c>
      <c r="Z2371" t="str">
        <f>IF($A2="","",IF(COUNTIF('07_Pallet_Contents'!$A$2:$A$3000,$A2)&gt;0,"Yes",""))</f>
        <v/>
      </c>
    </row>
    <row r="2372" spans="23:26">
      <c r="W2372">
        <f>IF($A2="","",COUNTIF('07_Pallet_Contents'!$A$2:$A$3000,$A2))</f>
        <v>0</v>
      </c>
      <c r="X2372">
        <f>IF($A2="","",SUMIF('07_Pallet_Contents'!$A$2:$A$3000,$A2,'07_Pallet_Contents'!$D$2:$D$3000))</f>
        <v>0</v>
      </c>
      <c r="Y2372">
        <f>IF($A2="","",SUMIF('07_Pallet_Contents'!$A$2:$A$3000,$A2,'07_Pallet_Contents'!$I$2:$I$3000))</f>
        <v>0</v>
      </c>
      <c r="Z2372" t="str">
        <f>IF($A2="","",IF(COUNTIF('07_Pallet_Contents'!$A$2:$A$3000,$A2)&gt;0,"Yes",""))</f>
        <v/>
      </c>
    </row>
    <row r="2373" spans="23:26">
      <c r="W2373">
        <f>IF($A2="","",COUNTIF('07_Pallet_Contents'!$A$2:$A$3000,$A2))</f>
        <v>0</v>
      </c>
      <c r="X2373">
        <f>IF($A2="","",SUMIF('07_Pallet_Contents'!$A$2:$A$3000,$A2,'07_Pallet_Contents'!$D$2:$D$3000))</f>
        <v>0</v>
      </c>
      <c r="Y2373">
        <f>IF($A2="","",SUMIF('07_Pallet_Contents'!$A$2:$A$3000,$A2,'07_Pallet_Contents'!$I$2:$I$3000))</f>
        <v>0</v>
      </c>
      <c r="Z2373" t="str">
        <f>IF($A2="","",IF(COUNTIF('07_Pallet_Contents'!$A$2:$A$3000,$A2)&gt;0,"Yes",""))</f>
        <v/>
      </c>
    </row>
    <row r="2374" spans="23:26">
      <c r="W2374">
        <f>IF($A2="","",COUNTIF('07_Pallet_Contents'!$A$2:$A$3000,$A2))</f>
        <v>0</v>
      </c>
      <c r="X2374">
        <f>IF($A2="","",SUMIF('07_Pallet_Contents'!$A$2:$A$3000,$A2,'07_Pallet_Contents'!$D$2:$D$3000))</f>
        <v>0</v>
      </c>
      <c r="Y2374">
        <f>IF($A2="","",SUMIF('07_Pallet_Contents'!$A$2:$A$3000,$A2,'07_Pallet_Contents'!$I$2:$I$3000))</f>
        <v>0</v>
      </c>
      <c r="Z2374" t="str">
        <f>IF($A2="","",IF(COUNTIF('07_Pallet_Contents'!$A$2:$A$3000,$A2)&gt;0,"Yes",""))</f>
        <v/>
      </c>
    </row>
    <row r="2375" spans="23:26">
      <c r="W2375">
        <f>IF($A2="","",COUNTIF('07_Pallet_Contents'!$A$2:$A$3000,$A2))</f>
        <v>0</v>
      </c>
      <c r="X2375">
        <f>IF($A2="","",SUMIF('07_Pallet_Contents'!$A$2:$A$3000,$A2,'07_Pallet_Contents'!$D$2:$D$3000))</f>
        <v>0</v>
      </c>
      <c r="Y2375">
        <f>IF($A2="","",SUMIF('07_Pallet_Contents'!$A$2:$A$3000,$A2,'07_Pallet_Contents'!$I$2:$I$3000))</f>
        <v>0</v>
      </c>
      <c r="Z2375" t="str">
        <f>IF($A2="","",IF(COUNTIF('07_Pallet_Contents'!$A$2:$A$3000,$A2)&gt;0,"Yes",""))</f>
        <v/>
      </c>
    </row>
    <row r="2376" spans="23:26">
      <c r="W2376">
        <f>IF($A2="","",COUNTIF('07_Pallet_Contents'!$A$2:$A$3000,$A2))</f>
        <v>0</v>
      </c>
      <c r="X2376">
        <f>IF($A2="","",SUMIF('07_Pallet_Contents'!$A$2:$A$3000,$A2,'07_Pallet_Contents'!$D$2:$D$3000))</f>
        <v>0</v>
      </c>
      <c r="Y2376">
        <f>IF($A2="","",SUMIF('07_Pallet_Contents'!$A$2:$A$3000,$A2,'07_Pallet_Contents'!$I$2:$I$3000))</f>
        <v>0</v>
      </c>
      <c r="Z2376" t="str">
        <f>IF($A2="","",IF(COUNTIF('07_Pallet_Contents'!$A$2:$A$3000,$A2)&gt;0,"Yes",""))</f>
        <v/>
      </c>
    </row>
    <row r="2377" spans="23:26">
      <c r="W2377">
        <f>IF($A2="","",COUNTIF('07_Pallet_Contents'!$A$2:$A$3000,$A2))</f>
        <v>0</v>
      </c>
      <c r="X2377">
        <f>IF($A2="","",SUMIF('07_Pallet_Contents'!$A$2:$A$3000,$A2,'07_Pallet_Contents'!$D$2:$D$3000))</f>
        <v>0</v>
      </c>
      <c r="Y2377">
        <f>IF($A2="","",SUMIF('07_Pallet_Contents'!$A$2:$A$3000,$A2,'07_Pallet_Contents'!$I$2:$I$3000))</f>
        <v>0</v>
      </c>
      <c r="Z2377" t="str">
        <f>IF($A2="","",IF(COUNTIF('07_Pallet_Contents'!$A$2:$A$3000,$A2)&gt;0,"Yes",""))</f>
        <v/>
      </c>
    </row>
    <row r="2378" spans="23:26">
      <c r="W2378">
        <f>IF($A2="","",COUNTIF('07_Pallet_Contents'!$A$2:$A$3000,$A2))</f>
        <v>0</v>
      </c>
      <c r="X2378">
        <f>IF($A2="","",SUMIF('07_Pallet_Contents'!$A$2:$A$3000,$A2,'07_Pallet_Contents'!$D$2:$D$3000))</f>
        <v>0</v>
      </c>
      <c r="Y2378">
        <f>IF($A2="","",SUMIF('07_Pallet_Contents'!$A$2:$A$3000,$A2,'07_Pallet_Contents'!$I$2:$I$3000))</f>
        <v>0</v>
      </c>
      <c r="Z2378" t="str">
        <f>IF($A2="","",IF(COUNTIF('07_Pallet_Contents'!$A$2:$A$3000,$A2)&gt;0,"Yes",""))</f>
        <v/>
      </c>
    </row>
    <row r="2379" spans="23:26">
      <c r="W2379">
        <f>IF($A2="","",COUNTIF('07_Pallet_Contents'!$A$2:$A$3000,$A2))</f>
        <v>0</v>
      </c>
      <c r="X2379">
        <f>IF($A2="","",SUMIF('07_Pallet_Contents'!$A$2:$A$3000,$A2,'07_Pallet_Contents'!$D$2:$D$3000))</f>
        <v>0</v>
      </c>
      <c r="Y2379">
        <f>IF($A2="","",SUMIF('07_Pallet_Contents'!$A$2:$A$3000,$A2,'07_Pallet_Contents'!$I$2:$I$3000))</f>
        <v>0</v>
      </c>
      <c r="Z2379" t="str">
        <f>IF($A2="","",IF(COUNTIF('07_Pallet_Contents'!$A$2:$A$3000,$A2)&gt;0,"Yes",""))</f>
        <v/>
      </c>
    </row>
    <row r="2380" spans="23:26">
      <c r="W2380">
        <f>IF($A2="","",COUNTIF('07_Pallet_Contents'!$A$2:$A$3000,$A2))</f>
        <v>0</v>
      </c>
      <c r="X2380">
        <f>IF($A2="","",SUMIF('07_Pallet_Contents'!$A$2:$A$3000,$A2,'07_Pallet_Contents'!$D$2:$D$3000))</f>
        <v>0</v>
      </c>
      <c r="Y2380">
        <f>IF($A2="","",SUMIF('07_Pallet_Contents'!$A$2:$A$3000,$A2,'07_Pallet_Contents'!$I$2:$I$3000))</f>
        <v>0</v>
      </c>
      <c r="Z2380" t="str">
        <f>IF($A2="","",IF(COUNTIF('07_Pallet_Contents'!$A$2:$A$3000,$A2)&gt;0,"Yes",""))</f>
        <v/>
      </c>
    </row>
    <row r="2381" spans="23:26">
      <c r="W2381">
        <f>IF($A2="","",COUNTIF('07_Pallet_Contents'!$A$2:$A$3000,$A2))</f>
        <v>0</v>
      </c>
      <c r="X2381">
        <f>IF($A2="","",SUMIF('07_Pallet_Contents'!$A$2:$A$3000,$A2,'07_Pallet_Contents'!$D$2:$D$3000))</f>
        <v>0</v>
      </c>
      <c r="Y2381">
        <f>IF($A2="","",SUMIF('07_Pallet_Contents'!$A$2:$A$3000,$A2,'07_Pallet_Contents'!$I$2:$I$3000))</f>
        <v>0</v>
      </c>
      <c r="Z2381" t="str">
        <f>IF($A2="","",IF(COUNTIF('07_Pallet_Contents'!$A$2:$A$3000,$A2)&gt;0,"Yes",""))</f>
        <v/>
      </c>
    </row>
    <row r="2382" spans="23:26">
      <c r="W2382">
        <f>IF($A2="","",COUNTIF('07_Pallet_Contents'!$A$2:$A$3000,$A2))</f>
        <v>0</v>
      </c>
      <c r="X2382">
        <f>IF($A2="","",SUMIF('07_Pallet_Contents'!$A$2:$A$3000,$A2,'07_Pallet_Contents'!$D$2:$D$3000))</f>
        <v>0</v>
      </c>
      <c r="Y2382">
        <f>IF($A2="","",SUMIF('07_Pallet_Contents'!$A$2:$A$3000,$A2,'07_Pallet_Contents'!$I$2:$I$3000))</f>
        <v>0</v>
      </c>
      <c r="Z2382" t="str">
        <f>IF($A2="","",IF(COUNTIF('07_Pallet_Contents'!$A$2:$A$3000,$A2)&gt;0,"Yes",""))</f>
        <v/>
      </c>
    </row>
    <row r="2383" spans="23:26">
      <c r="W2383">
        <f>IF($A2="","",COUNTIF('07_Pallet_Contents'!$A$2:$A$3000,$A2))</f>
        <v>0</v>
      </c>
      <c r="X2383">
        <f>IF($A2="","",SUMIF('07_Pallet_Contents'!$A$2:$A$3000,$A2,'07_Pallet_Contents'!$D$2:$D$3000))</f>
        <v>0</v>
      </c>
      <c r="Y2383">
        <f>IF($A2="","",SUMIF('07_Pallet_Contents'!$A$2:$A$3000,$A2,'07_Pallet_Contents'!$I$2:$I$3000))</f>
        <v>0</v>
      </c>
      <c r="Z2383" t="str">
        <f>IF($A2="","",IF(COUNTIF('07_Pallet_Contents'!$A$2:$A$3000,$A2)&gt;0,"Yes",""))</f>
        <v/>
      </c>
    </row>
    <row r="2384" spans="23:26">
      <c r="W2384">
        <f>IF($A2="","",COUNTIF('07_Pallet_Contents'!$A$2:$A$3000,$A2))</f>
        <v>0</v>
      </c>
      <c r="X2384">
        <f>IF($A2="","",SUMIF('07_Pallet_Contents'!$A$2:$A$3000,$A2,'07_Pallet_Contents'!$D$2:$D$3000))</f>
        <v>0</v>
      </c>
      <c r="Y2384">
        <f>IF($A2="","",SUMIF('07_Pallet_Contents'!$A$2:$A$3000,$A2,'07_Pallet_Contents'!$I$2:$I$3000))</f>
        <v>0</v>
      </c>
      <c r="Z2384" t="str">
        <f>IF($A2="","",IF(COUNTIF('07_Pallet_Contents'!$A$2:$A$3000,$A2)&gt;0,"Yes",""))</f>
        <v/>
      </c>
    </row>
    <row r="2385" spans="23:26">
      <c r="W2385">
        <f>IF($A2="","",COUNTIF('07_Pallet_Contents'!$A$2:$A$3000,$A2))</f>
        <v>0</v>
      </c>
      <c r="X2385">
        <f>IF($A2="","",SUMIF('07_Pallet_Contents'!$A$2:$A$3000,$A2,'07_Pallet_Contents'!$D$2:$D$3000))</f>
        <v>0</v>
      </c>
      <c r="Y2385">
        <f>IF($A2="","",SUMIF('07_Pallet_Contents'!$A$2:$A$3000,$A2,'07_Pallet_Contents'!$I$2:$I$3000))</f>
        <v>0</v>
      </c>
      <c r="Z2385" t="str">
        <f>IF($A2="","",IF(COUNTIF('07_Pallet_Contents'!$A$2:$A$3000,$A2)&gt;0,"Yes",""))</f>
        <v/>
      </c>
    </row>
    <row r="2386" spans="23:26">
      <c r="W2386">
        <f>IF($A2="","",COUNTIF('07_Pallet_Contents'!$A$2:$A$3000,$A2))</f>
        <v>0</v>
      </c>
      <c r="X2386">
        <f>IF($A2="","",SUMIF('07_Pallet_Contents'!$A$2:$A$3000,$A2,'07_Pallet_Contents'!$D$2:$D$3000))</f>
        <v>0</v>
      </c>
      <c r="Y2386">
        <f>IF($A2="","",SUMIF('07_Pallet_Contents'!$A$2:$A$3000,$A2,'07_Pallet_Contents'!$I$2:$I$3000))</f>
        <v>0</v>
      </c>
      <c r="Z2386" t="str">
        <f>IF($A2="","",IF(COUNTIF('07_Pallet_Contents'!$A$2:$A$3000,$A2)&gt;0,"Yes",""))</f>
        <v/>
      </c>
    </row>
    <row r="2387" spans="23:26">
      <c r="W2387">
        <f>IF($A2="","",COUNTIF('07_Pallet_Contents'!$A$2:$A$3000,$A2))</f>
        <v>0</v>
      </c>
      <c r="X2387">
        <f>IF($A2="","",SUMIF('07_Pallet_Contents'!$A$2:$A$3000,$A2,'07_Pallet_Contents'!$D$2:$D$3000))</f>
        <v>0</v>
      </c>
      <c r="Y2387">
        <f>IF($A2="","",SUMIF('07_Pallet_Contents'!$A$2:$A$3000,$A2,'07_Pallet_Contents'!$I$2:$I$3000))</f>
        <v>0</v>
      </c>
      <c r="Z2387" t="str">
        <f>IF($A2="","",IF(COUNTIF('07_Pallet_Contents'!$A$2:$A$3000,$A2)&gt;0,"Yes",""))</f>
        <v/>
      </c>
    </row>
    <row r="2388" spans="23:26">
      <c r="W2388">
        <f>IF($A2="","",COUNTIF('07_Pallet_Contents'!$A$2:$A$3000,$A2))</f>
        <v>0</v>
      </c>
      <c r="X2388">
        <f>IF($A2="","",SUMIF('07_Pallet_Contents'!$A$2:$A$3000,$A2,'07_Pallet_Contents'!$D$2:$D$3000))</f>
        <v>0</v>
      </c>
      <c r="Y2388">
        <f>IF($A2="","",SUMIF('07_Pallet_Contents'!$A$2:$A$3000,$A2,'07_Pallet_Contents'!$I$2:$I$3000))</f>
        <v>0</v>
      </c>
      <c r="Z2388" t="str">
        <f>IF($A2="","",IF(COUNTIF('07_Pallet_Contents'!$A$2:$A$3000,$A2)&gt;0,"Yes",""))</f>
        <v/>
      </c>
    </row>
    <row r="2389" spans="23:26">
      <c r="W2389">
        <f>IF($A2="","",COUNTIF('07_Pallet_Contents'!$A$2:$A$3000,$A2))</f>
        <v>0</v>
      </c>
      <c r="X2389">
        <f>IF($A2="","",SUMIF('07_Pallet_Contents'!$A$2:$A$3000,$A2,'07_Pallet_Contents'!$D$2:$D$3000))</f>
        <v>0</v>
      </c>
      <c r="Y2389">
        <f>IF($A2="","",SUMIF('07_Pallet_Contents'!$A$2:$A$3000,$A2,'07_Pallet_Contents'!$I$2:$I$3000))</f>
        <v>0</v>
      </c>
      <c r="Z2389" t="str">
        <f>IF($A2="","",IF(COUNTIF('07_Pallet_Contents'!$A$2:$A$3000,$A2)&gt;0,"Yes",""))</f>
        <v/>
      </c>
    </row>
    <row r="2390" spans="23:26">
      <c r="W2390">
        <f>IF($A2="","",COUNTIF('07_Pallet_Contents'!$A$2:$A$3000,$A2))</f>
        <v>0</v>
      </c>
      <c r="X2390">
        <f>IF($A2="","",SUMIF('07_Pallet_Contents'!$A$2:$A$3000,$A2,'07_Pallet_Contents'!$D$2:$D$3000))</f>
        <v>0</v>
      </c>
      <c r="Y2390">
        <f>IF($A2="","",SUMIF('07_Pallet_Contents'!$A$2:$A$3000,$A2,'07_Pallet_Contents'!$I$2:$I$3000))</f>
        <v>0</v>
      </c>
      <c r="Z2390" t="str">
        <f>IF($A2="","",IF(COUNTIF('07_Pallet_Contents'!$A$2:$A$3000,$A2)&gt;0,"Yes",""))</f>
        <v/>
      </c>
    </row>
    <row r="2391" spans="23:26">
      <c r="W2391">
        <f>IF($A2="","",COUNTIF('07_Pallet_Contents'!$A$2:$A$3000,$A2))</f>
        <v>0</v>
      </c>
      <c r="X2391">
        <f>IF($A2="","",SUMIF('07_Pallet_Contents'!$A$2:$A$3000,$A2,'07_Pallet_Contents'!$D$2:$D$3000))</f>
        <v>0</v>
      </c>
      <c r="Y2391">
        <f>IF($A2="","",SUMIF('07_Pallet_Contents'!$A$2:$A$3000,$A2,'07_Pallet_Contents'!$I$2:$I$3000))</f>
        <v>0</v>
      </c>
      <c r="Z2391" t="str">
        <f>IF($A2="","",IF(COUNTIF('07_Pallet_Contents'!$A$2:$A$3000,$A2)&gt;0,"Yes",""))</f>
        <v/>
      </c>
    </row>
    <row r="2392" spans="23:26">
      <c r="W2392">
        <f>IF($A2="","",COUNTIF('07_Pallet_Contents'!$A$2:$A$3000,$A2))</f>
        <v>0</v>
      </c>
      <c r="X2392">
        <f>IF($A2="","",SUMIF('07_Pallet_Contents'!$A$2:$A$3000,$A2,'07_Pallet_Contents'!$D$2:$D$3000))</f>
        <v>0</v>
      </c>
      <c r="Y2392">
        <f>IF($A2="","",SUMIF('07_Pallet_Contents'!$A$2:$A$3000,$A2,'07_Pallet_Contents'!$I$2:$I$3000))</f>
        <v>0</v>
      </c>
      <c r="Z2392" t="str">
        <f>IF($A2="","",IF(COUNTIF('07_Pallet_Contents'!$A$2:$A$3000,$A2)&gt;0,"Yes",""))</f>
        <v/>
      </c>
    </row>
    <row r="2393" spans="23:26">
      <c r="W2393">
        <f>IF($A2="","",COUNTIF('07_Pallet_Contents'!$A$2:$A$3000,$A2))</f>
        <v>0</v>
      </c>
      <c r="X2393">
        <f>IF($A2="","",SUMIF('07_Pallet_Contents'!$A$2:$A$3000,$A2,'07_Pallet_Contents'!$D$2:$D$3000))</f>
        <v>0</v>
      </c>
      <c r="Y2393">
        <f>IF($A2="","",SUMIF('07_Pallet_Contents'!$A$2:$A$3000,$A2,'07_Pallet_Contents'!$I$2:$I$3000))</f>
        <v>0</v>
      </c>
      <c r="Z2393" t="str">
        <f>IF($A2="","",IF(COUNTIF('07_Pallet_Contents'!$A$2:$A$3000,$A2)&gt;0,"Yes",""))</f>
        <v/>
      </c>
    </row>
    <row r="2394" spans="23:26">
      <c r="W2394">
        <f>IF($A2="","",COUNTIF('07_Pallet_Contents'!$A$2:$A$3000,$A2))</f>
        <v>0</v>
      </c>
      <c r="X2394">
        <f>IF($A2="","",SUMIF('07_Pallet_Contents'!$A$2:$A$3000,$A2,'07_Pallet_Contents'!$D$2:$D$3000))</f>
        <v>0</v>
      </c>
      <c r="Y2394">
        <f>IF($A2="","",SUMIF('07_Pallet_Contents'!$A$2:$A$3000,$A2,'07_Pallet_Contents'!$I$2:$I$3000))</f>
        <v>0</v>
      </c>
      <c r="Z2394" t="str">
        <f>IF($A2="","",IF(COUNTIF('07_Pallet_Contents'!$A$2:$A$3000,$A2)&gt;0,"Yes",""))</f>
        <v/>
      </c>
    </row>
    <row r="2395" spans="23:26">
      <c r="W2395">
        <f>IF($A2="","",COUNTIF('07_Pallet_Contents'!$A$2:$A$3000,$A2))</f>
        <v>0</v>
      </c>
      <c r="X2395">
        <f>IF($A2="","",SUMIF('07_Pallet_Contents'!$A$2:$A$3000,$A2,'07_Pallet_Contents'!$D$2:$D$3000))</f>
        <v>0</v>
      </c>
      <c r="Y2395">
        <f>IF($A2="","",SUMIF('07_Pallet_Contents'!$A$2:$A$3000,$A2,'07_Pallet_Contents'!$I$2:$I$3000))</f>
        <v>0</v>
      </c>
      <c r="Z2395" t="str">
        <f>IF($A2="","",IF(COUNTIF('07_Pallet_Contents'!$A$2:$A$3000,$A2)&gt;0,"Yes",""))</f>
        <v/>
      </c>
    </row>
    <row r="2396" spans="23:26">
      <c r="W2396">
        <f>IF($A2="","",COUNTIF('07_Pallet_Contents'!$A$2:$A$3000,$A2))</f>
        <v>0</v>
      </c>
      <c r="X2396">
        <f>IF($A2="","",SUMIF('07_Pallet_Contents'!$A$2:$A$3000,$A2,'07_Pallet_Contents'!$D$2:$D$3000))</f>
        <v>0</v>
      </c>
      <c r="Y2396">
        <f>IF($A2="","",SUMIF('07_Pallet_Contents'!$A$2:$A$3000,$A2,'07_Pallet_Contents'!$I$2:$I$3000))</f>
        <v>0</v>
      </c>
      <c r="Z2396" t="str">
        <f>IF($A2="","",IF(COUNTIF('07_Pallet_Contents'!$A$2:$A$3000,$A2)&gt;0,"Yes",""))</f>
        <v/>
      </c>
    </row>
    <row r="2397" spans="23:26">
      <c r="W2397">
        <f>IF($A2="","",COUNTIF('07_Pallet_Contents'!$A$2:$A$3000,$A2))</f>
        <v>0</v>
      </c>
      <c r="X2397">
        <f>IF($A2="","",SUMIF('07_Pallet_Contents'!$A$2:$A$3000,$A2,'07_Pallet_Contents'!$D$2:$D$3000))</f>
        <v>0</v>
      </c>
      <c r="Y2397">
        <f>IF($A2="","",SUMIF('07_Pallet_Contents'!$A$2:$A$3000,$A2,'07_Pallet_Contents'!$I$2:$I$3000))</f>
        <v>0</v>
      </c>
      <c r="Z2397" t="str">
        <f>IF($A2="","",IF(COUNTIF('07_Pallet_Contents'!$A$2:$A$3000,$A2)&gt;0,"Yes",""))</f>
        <v/>
      </c>
    </row>
    <row r="2398" spans="23:26">
      <c r="W2398">
        <f>IF($A2="","",COUNTIF('07_Pallet_Contents'!$A$2:$A$3000,$A2))</f>
        <v>0</v>
      </c>
      <c r="X2398">
        <f>IF($A2="","",SUMIF('07_Pallet_Contents'!$A$2:$A$3000,$A2,'07_Pallet_Contents'!$D$2:$D$3000))</f>
        <v>0</v>
      </c>
      <c r="Y2398">
        <f>IF($A2="","",SUMIF('07_Pallet_Contents'!$A$2:$A$3000,$A2,'07_Pallet_Contents'!$I$2:$I$3000))</f>
        <v>0</v>
      </c>
      <c r="Z2398" t="str">
        <f>IF($A2="","",IF(COUNTIF('07_Pallet_Contents'!$A$2:$A$3000,$A2)&gt;0,"Yes",""))</f>
        <v/>
      </c>
    </row>
    <row r="2399" spans="23:26">
      <c r="W2399">
        <f>IF($A2="","",COUNTIF('07_Pallet_Contents'!$A$2:$A$3000,$A2))</f>
        <v>0</v>
      </c>
      <c r="X2399">
        <f>IF($A2="","",SUMIF('07_Pallet_Contents'!$A$2:$A$3000,$A2,'07_Pallet_Contents'!$D$2:$D$3000))</f>
        <v>0</v>
      </c>
      <c r="Y2399">
        <f>IF($A2="","",SUMIF('07_Pallet_Contents'!$A$2:$A$3000,$A2,'07_Pallet_Contents'!$I$2:$I$3000))</f>
        <v>0</v>
      </c>
      <c r="Z2399" t="str">
        <f>IF($A2="","",IF(COUNTIF('07_Pallet_Contents'!$A$2:$A$3000,$A2)&gt;0,"Yes",""))</f>
        <v/>
      </c>
    </row>
    <row r="2400" spans="23:26">
      <c r="W2400">
        <f>IF($A2="","",COUNTIF('07_Pallet_Contents'!$A$2:$A$3000,$A2))</f>
        <v>0</v>
      </c>
      <c r="X2400">
        <f>IF($A2="","",SUMIF('07_Pallet_Contents'!$A$2:$A$3000,$A2,'07_Pallet_Contents'!$D$2:$D$3000))</f>
        <v>0</v>
      </c>
      <c r="Y2400">
        <f>IF($A2="","",SUMIF('07_Pallet_Contents'!$A$2:$A$3000,$A2,'07_Pallet_Contents'!$I$2:$I$3000))</f>
        <v>0</v>
      </c>
      <c r="Z2400" t="str">
        <f>IF($A2="","",IF(COUNTIF('07_Pallet_Contents'!$A$2:$A$3000,$A2)&gt;0,"Yes",""))</f>
        <v/>
      </c>
    </row>
    <row r="2401" spans="23:26">
      <c r="W2401">
        <f>IF($A2="","",COUNTIF('07_Pallet_Contents'!$A$2:$A$3000,$A2))</f>
        <v>0</v>
      </c>
      <c r="X2401">
        <f>IF($A2="","",SUMIF('07_Pallet_Contents'!$A$2:$A$3000,$A2,'07_Pallet_Contents'!$D$2:$D$3000))</f>
        <v>0</v>
      </c>
      <c r="Y2401">
        <f>IF($A2="","",SUMIF('07_Pallet_Contents'!$A$2:$A$3000,$A2,'07_Pallet_Contents'!$I$2:$I$3000))</f>
        <v>0</v>
      </c>
      <c r="Z2401" t="str">
        <f>IF($A2="","",IF(COUNTIF('07_Pallet_Contents'!$A$2:$A$3000,$A2)&gt;0,"Yes",""))</f>
        <v/>
      </c>
    </row>
    <row r="2402" spans="23:26">
      <c r="W2402">
        <f>IF($A2="","",COUNTIF('07_Pallet_Contents'!$A$2:$A$3000,$A2))</f>
        <v>0</v>
      </c>
      <c r="X2402">
        <f>IF($A2="","",SUMIF('07_Pallet_Contents'!$A$2:$A$3000,$A2,'07_Pallet_Contents'!$D$2:$D$3000))</f>
        <v>0</v>
      </c>
      <c r="Y2402">
        <f>IF($A2="","",SUMIF('07_Pallet_Contents'!$A$2:$A$3000,$A2,'07_Pallet_Contents'!$I$2:$I$3000))</f>
        <v>0</v>
      </c>
      <c r="Z2402" t="str">
        <f>IF($A2="","",IF(COUNTIF('07_Pallet_Contents'!$A$2:$A$3000,$A2)&gt;0,"Yes",""))</f>
        <v/>
      </c>
    </row>
    <row r="2403" spans="23:26">
      <c r="W2403">
        <f>IF($A2="","",COUNTIF('07_Pallet_Contents'!$A$2:$A$3000,$A2))</f>
        <v>0</v>
      </c>
      <c r="X2403">
        <f>IF($A2="","",SUMIF('07_Pallet_Contents'!$A$2:$A$3000,$A2,'07_Pallet_Contents'!$D$2:$D$3000))</f>
        <v>0</v>
      </c>
      <c r="Y2403">
        <f>IF($A2="","",SUMIF('07_Pallet_Contents'!$A$2:$A$3000,$A2,'07_Pallet_Contents'!$I$2:$I$3000))</f>
        <v>0</v>
      </c>
      <c r="Z2403" t="str">
        <f>IF($A2="","",IF(COUNTIF('07_Pallet_Contents'!$A$2:$A$3000,$A2)&gt;0,"Yes",""))</f>
        <v/>
      </c>
    </row>
    <row r="2404" spans="23:26">
      <c r="W2404">
        <f>IF($A2="","",COUNTIF('07_Pallet_Contents'!$A$2:$A$3000,$A2))</f>
        <v>0</v>
      </c>
      <c r="X2404">
        <f>IF($A2="","",SUMIF('07_Pallet_Contents'!$A$2:$A$3000,$A2,'07_Pallet_Contents'!$D$2:$D$3000))</f>
        <v>0</v>
      </c>
      <c r="Y2404">
        <f>IF($A2="","",SUMIF('07_Pallet_Contents'!$A$2:$A$3000,$A2,'07_Pallet_Contents'!$I$2:$I$3000))</f>
        <v>0</v>
      </c>
      <c r="Z2404" t="str">
        <f>IF($A2="","",IF(COUNTIF('07_Pallet_Contents'!$A$2:$A$3000,$A2)&gt;0,"Yes",""))</f>
        <v/>
      </c>
    </row>
    <row r="2405" spans="23:26">
      <c r="W2405">
        <f>IF($A2="","",COUNTIF('07_Pallet_Contents'!$A$2:$A$3000,$A2))</f>
        <v>0</v>
      </c>
      <c r="X2405">
        <f>IF($A2="","",SUMIF('07_Pallet_Contents'!$A$2:$A$3000,$A2,'07_Pallet_Contents'!$D$2:$D$3000))</f>
        <v>0</v>
      </c>
      <c r="Y2405">
        <f>IF($A2="","",SUMIF('07_Pallet_Contents'!$A$2:$A$3000,$A2,'07_Pallet_Contents'!$I$2:$I$3000))</f>
        <v>0</v>
      </c>
      <c r="Z2405" t="str">
        <f>IF($A2="","",IF(COUNTIF('07_Pallet_Contents'!$A$2:$A$3000,$A2)&gt;0,"Yes",""))</f>
        <v/>
      </c>
    </row>
    <row r="2406" spans="23:26">
      <c r="W2406">
        <f>IF($A2="","",COUNTIF('07_Pallet_Contents'!$A$2:$A$3000,$A2))</f>
        <v>0</v>
      </c>
      <c r="X2406">
        <f>IF($A2="","",SUMIF('07_Pallet_Contents'!$A$2:$A$3000,$A2,'07_Pallet_Contents'!$D$2:$D$3000))</f>
        <v>0</v>
      </c>
      <c r="Y2406">
        <f>IF($A2="","",SUMIF('07_Pallet_Contents'!$A$2:$A$3000,$A2,'07_Pallet_Contents'!$I$2:$I$3000))</f>
        <v>0</v>
      </c>
      <c r="Z2406" t="str">
        <f>IF($A2="","",IF(COUNTIF('07_Pallet_Contents'!$A$2:$A$3000,$A2)&gt;0,"Yes",""))</f>
        <v/>
      </c>
    </row>
    <row r="2407" spans="23:26">
      <c r="W2407">
        <f>IF($A2="","",COUNTIF('07_Pallet_Contents'!$A$2:$A$3000,$A2))</f>
        <v>0</v>
      </c>
      <c r="X2407">
        <f>IF($A2="","",SUMIF('07_Pallet_Contents'!$A$2:$A$3000,$A2,'07_Pallet_Contents'!$D$2:$D$3000))</f>
        <v>0</v>
      </c>
      <c r="Y2407">
        <f>IF($A2="","",SUMIF('07_Pallet_Contents'!$A$2:$A$3000,$A2,'07_Pallet_Contents'!$I$2:$I$3000))</f>
        <v>0</v>
      </c>
      <c r="Z2407" t="str">
        <f>IF($A2="","",IF(COUNTIF('07_Pallet_Contents'!$A$2:$A$3000,$A2)&gt;0,"Yes",""))</f>
        <v/>
      </c>
    </row>
    <row r="2408" spans="23:26">
      <c r="W2408">
        <f>IF($A2="","",COUNTIF('07_Pallet_Contents'!$A$2:$A$3000,$A2))</f>
        <v>0</v>
      </c>
      <c r="X2408">
        <f>IF($A2="","",SUMIF('07_Pallet_Contents'!$A$2:$A$3000,$A2,'07_Pallet_Contents'!$D$2:$D$3000))</f>
        <v>0</v>
      </c>
      <c r="Y2408">
        <f>IF($A2="","",SUMIF('07_Pallet_Contents'!$A$2:$A$3000,$A2,'07_Pallet_Contents'!$I$2:$I$3000))</f>
        <v>0</v>
      </c>
      <c r="Z2408" t="str">
        <f>IF($A2="","",IF(COUNTIF('07_Pallet_Contents'!$A$2:$A$3000,$A2)&gt;0,"Yes",""))</f>
        <v/>
      </c>
    </row>
    <row r="2409" spans="23:26">
      <c r="W2409">
        <f>IF($A2="","",COUNTIF('07_Pallet_Contents'!$A$2:$A$3000,$A2))</f>
        <v>0</v>
      </c>
      <c r="X2409">
        <f>IF($A2="","",SUMIF('07_Pallet_Contents'!$A$2:$A$3000,$A2,'07_Pallet_Contents'!$D$2:$D$3000))</f>
        <v>0</v>
      </c>
      <c r="Y2409">
        <f>IF($A2="","",SUMIF('07_Pallet_Contents'!$A$2:$A$3000,$A2,'07_Pallet_Contents'!$I$2:$I$3000))</f>
        <v>0</v>
      </c>
      <c r="Z2409" t="str">
        <f>IF($A2="","",IF(COUNTIF('07_Pallet_Contents'!$A$2:$A$3000,$A2)&gt;0,"Yes",""))</f>
        <v/>
      </c>
    </row>
    <row r="2410" spans="23:26">
      <c r="W2410">
        <f>IF($A2="","",COUNTIF('07_Pallet_Contents'!$A$2:$A$3000,$A2))</f>
        <v>0</v>
      </c>
      <c r="X2410">
        <f>IF($A2="","",SUMIF('07_Pallet_Contents'!$A$2:$A$3000,$A2,'07_Pallet_Contents'!$D$2:$D$3000))</f>
        <v>0</v>
      </c>
      <c r="Y2410">
        <f>IF($A2="","",SUMIF('07_Pallet_Contents'!$A$2:$A$3000,$A2,'07_Pallet_Contents'!$I$2:$I$3000))</f>
        <v>0</v>
      </c>
      <c r="Z2410" t="str">
        <f>IF($A2="","",IF(COUNTIF('07_Pallet_Contents'!$A$2:$A$3000,$A2)&gt;0,"Yes",""))</f>
        <v/>
      </c>
    </row>
    <row r="2411" spans="23:26">
      <c r="W2411">
        <f>IF($A2="","",COUNTIF('07_Pallet_Contents'!$A$2:$A$3000,$A2))</f>
        <v>0</v>
      </c>
      <c r="X2411">
        <f>IF($A2="","",SUMIF('07_Pallet_Contents'!$A$2:$A$3000,$A2,'07_Pallet_Contents'!$D$2:$D$3000))</f>
        <v>0</v>
      </c>
      <c r="Y2411">
        <f>IF($A2="","",SUMIF('07_Pallet_Contents'!$A$2:$A$3000,$A2,'07_Pallet_Contents'!$I$2:$I$3000))</f>
        <v>0</v>
      </c>
      <c r="Z2411" t="str">
        <f>IF($A2="","",IF(COUNTIF('07_Pallet_Contents'!$A$2:$A$3000,$A2)&gt;0,"Yes",""))</f>
        <v/>
      </c>
    </row>
    <row r="2412" spans="23:26">
      <c r="W2412">
        <f>IF($A2="","",COUNTIF('07_Pallet_Contents'!$A$2:$A$3000,$A2))</f>
        <v>0</v>
      </c>
      <c r="X2412">
        <f>IF($A2="","",SUMIF('07_Pallet_Contents'!$A$2:$A$3000,$A2,'07_Pallet_Contents'!$D$2:$D$3000))</f>
        <v>0</v>
      </c>
      <c r="Y2412">
        <f>IF($A2="","",SUMIF('07_Pallet_Contents'!$A$2:$A$3000,$A2,'07_Pallet_Contents'!$I$2:$I$3000))</f>
        <v>0</v>
      </c>
      <c r="Z2412" t="str">
        <f>IF($A2="","",IF(COUNTIF('07_Pallet_Contents'!$A$2:$A$3000,$A2)&gt;0,"Yes",""))</f>
        <v/>
      </c>
    </row>
    <row r="2413" spans="23:26">
      <c r="W2413">
        <f>IF($A2="","",COUNTIF('07_Pallet_Contents'!$A$2:$A$3000,$A2))</f>
        <v>0</v>
      </c>
      <c r="X2413">
        <f>IF($A2="","",SUMIF('07_Pallet_Contents'!$A$2:$A$3000,$A2,'07_Pallet_Contents'!$D$2:$D$3000))</f>
        <v>0</v>
      </c>
      <c r="Y2413">
        <f>IF($A2="","",SUMIF('07_Pallet_Contents'!$A$2:$A$3000,$A2,'07_Pallet_Contents'!$I$2:$I$3000))</f>
        <v>0</v>
      </c>
      <c r="Z2413" t="str">
        <f>IF($A2="","",IF(COUNTIF('07_Pallet_Contents'!$A$2:$A$3000,$A2)&gt;0,"Yes",""))</f>
        <v/>
      </c>
    </row>
    <row r="2414" spans="23:26">
      <c r="W2414">
        <f>IF($A2="","",COUNTIF('07_Pallet_Contents'!$A$2:$A$3000,$A2))</f>
        <v>0</v>
      </c>
      <c r="X2414">
        <f>IF($A2="","",SUMIF('07_Pallet_Contents'!$A$2:$A$3000,$A2,'07_Pallet_Contents'!$D$2:$D$3000))</f>
        <v>0</v>
      </c>
      <c r="Y2414">
        <f>IF($A2="","",SUMIF('07_Pallet_Contents'!$A$2:$A$3000,$A2,'07_Pallet_Contents'!$I$2:$I$3000))</f>
        <v>0</v>
      </c>
      <c r="Z2414" t="str">
        <f>IF($A2="","",IF(COUNTIF('07_Pallet_Contents'!$A$2:$A$3000,$A2)&gt;0,"Yes",""))</f>
        <v/>
      </c>
    </row>
    <row r="2415" spans="23:26">
      <c r="W2415">
        <f>IF($A2="","",COUNTIF('07_Pallet_Contents'!$A$2:$A$3000,$A2))</f>
        <v>0</v>
      </c>
      <c r="X2415">
        <f>IF($A2="","",SUMIF('07_Pallet_Contents'!$A$2:$A$3000,$A2,'07_Pallet_Contents'!$D$2:$D$3000))</f>
        <v>0</v>
      </c>
      <c r="Y2415">
        <f>IF($A2="","",SUMIF('07_Pallet_Contents'!$A$2:$A$3000,$A2,'07_Pallet_Contents'!$I$2:$I$3000))</f>
        <v>0</v>
      </c>
      <c r="Z2415" t="str">
        <f>IF($A2="","",IF(COUNTIF('07_Pallet_Contents'!$A$2:$A$3000,$A2)&gt;0,"Yes",""))</f>
        <v/>
      </c>
    </row>
    <row r="2416" spans="23:26">
      <c r="W2416">
        <f>IF($A2="","",COUNTIF('07_Pallet_Contents'!$A$2:$A$3000,$A2))</f>
        <v>0</v>
      </c>
      <c r="X2416">
        <f>IF($A2="","",SUMIF('07_Pallet_Contents'!$A$2:$A$3000,$A2,'07_Pallet_Contents'!$D$2:$D$3000))</f>
        <v>0</v>
      </c>
      <c r="Y2416">
        <f>IF($A2="","",SUMIF('07_Pallet_Contents'!$A$2:$A$3000,$A2,'07_Pallet_Contents'!$I$2:$I$3000))</f>
        <v>0</v>
      </c>
      <c r="Z2416" t="str">
        <f>IF($A2="","",IF(COUNTIF('07_Pallet_Contents'!$A$2:$A$3000,$A2)&gt;0,"Yes",""))</f>
        <v/>
      </c>
    </row>
    <row r="2417" spans="23:26">
      <c r="W2417">
        <f>IF($A2="","",COUNTIF('07_Pallet_Contents'!$A$2:$A$3000,$A2))</f>
        <v>0</v>
      </c>
      <c r="X2417">
        <f>IF($A2="","",SUMIF('07_Pallet_Contents'!$A$2:$A$3000,$A2,'07_Pallet_Contents'!$D$2:$D$3000))</f>
        <v>0</v>
      </c>
      <c r="Y2417">
        <f>IF($A2="","",SUMIF('07_Pallet_Contents'!$A$2:$A$3000,$A2,'07_Pallet_Contents'!$I$2:$I$3000))</f>
        <v>0</v>
      </c>
      <c r="Z2417" t="str">
        <f>IF($A2="","",IF(COUNTIF('07_Pallet_Contents'!$A$2:$A$3000,$A2)&gt;0,"Yes",""))</f>
        <v/>
      </c>
    </row>
    <row r="2418" spans="23:26">
      <c r="W2418">
        <f>IF($A2="","",COUNTIF('07_Pallet_Contents'!$A$2:$A$3000,$A2))</f>
        <v>0</v>
      </c>
      <c r="X2418">
        <f>IF($A2="","",SUMIF('07_Pallet_Contents'!$A$2:$A$3000,$A2,'07_Pallet_Contents'!$D$2:$D$3000))</f>
        <v>0</v>
      </c>
      <c r="Y2418">
        <f>IF($A2="","",SUMIF('07_Pallet_Contents'!$A$2:$A$3000,$A2,'07_Pallet_Contents'!$I$2:$I$3000))</f>
        <v>0</v>
      </c>
      <c r="Z2418" t="str">
        <f>IF($A2="","",IF(COUNTIF('07_Pallet_Contents'!$A$2:$A$3000,$A2)&gt;0,"Yes",""))</f>
        <v/>
      </c>
    </row>
    <row r="2419" spans="23:26">
      <c r="W2419">
        <f>IF($A2="","",COUNTIF('07_Pallet_Contents'!$A$2:$A$3000,$A2))</f>
        <v>0</v>
      </c>
      <c r="X2419">
        <f>IF($A2="","",SUMIF('07_Pallet_Contents'!$A$2:$A$3000,$A2,'07_Pallet_Contents'!$D$2:$D$3000))</f>
        <v>0</v>
      </c>
      <c r="Y2419">
        <f>IF($A2="","",SUMIF('07_Pallet_Contents'!$A$2:$A$3000,$A2,'07_Pallet_Contents'!$I$2:$I$3000))</f>
        <v>0</v>
      </c>
      <c r="Z2419" t="str">
        <f>IF($A2="","",IF(COUNTIF('07_Pallet_Contents'!$A$2:$A$3000,$A2)&gt;0,"Yes",""))</f>
        <v/>
      </c>
    </row>
    <row r="2420" spans="23:26">
      <c r="W2420">
        <f>IF($A2="","",COUNTIF('07_Pallet_Contents'!$A$2:$A$3000,$A2))</f>
        <v>0</v>
      </c>
      <c r="X2420">
        <f>IF($A2="","",SUMIF('07_Pallet_Contents'!$A$2:$A$3000,$A2,'07_Pallet_Contents'!$D$2:$D$3000))</f>
        <v>0</v>
      </c>
      <c r="Y2420">
        <f>IF($A2="","",SUMIF('07_Pallet_Contents'!$A$2:$A$3000,$A2,'07_Pallet_Contents'!$I$2:$I$3000))</f>
        <v>0</v>
      </c>
      <c r="Z2420" t="str">
        <f>IF($A2="","",IF(COUNTIF('07_Pallet_Contents'!$A$2:$A$3000,$A2)&gt;0,"Yes",""))</f>
        <v/>
      </c>
    </row>
    <row r="2421" spans="23:26">
      <c r="W2421">
        <f>IF($A2="","",COUNTIF('07_Pallet_Contents'!$A$2:$A$3000,$A2))</f>
        <v>0</v>
      </c>
      <c r="X2421">
        <f>IF($A2="","",SUMIF('07_Pallet_Contents'!$A$2:$A$3000,$A2,'07_Pallet_Contents'!$D$2:$D$3000))</f>
        <v>0</v>
      </c>
      <c r="Y2421">
        <f>IF($A2="","",SUMIF('07_Pallet_Contents'!$A$2:$A$3000,$A2,'07_Pallet_Contents'!$I$2:$I$3000))</f>
        <v>0</v>
      </c>
      <c r="Z2421" t="str">
        <f>IF($A2="","",IF(COUNTIF('07_Pallet_Contents'!$A$2:$A$3000,$A2)&gt;0,"Yes",""))</f>
        <v/>
      </c>
    </row>
    <row r="2422" spans="23:26">
      <c r="W2422">
        <f>IF($A2="","",COUNTIF('07_Pallet_Contents'!$A$2:$A$3000,$A2))</f>
        <v>0</v>
      </c>
      <c r="X2422">
        <f>IF($A2="","",SUMIF('07_Pallet_Contents'!$A$2:$A$3000,$A2,'07_Pallet_Contents'!$D$2:$D$3000))</f>
        <v>0</v>
      </c>
      <c r="Y2422">
        <f>IF($A2="","",SUMIF('07_Pallet_Contents'!$A$2:$A$3000,$A2,'07_Pallet_Contents'!$I$2:$I$3000))</f>
        <v>0</v>
      </c>
      <c r="Z2422" t="str">
        <f>IF($A2="","",IF(COUNTIF('07_Pallet_Contents'!$A$2:$A$3000,$A2)&gt;0,"Yes",""))</f>
        <v/>
      </c>
    </row>
    <row r="2423" spans="23:26">
      <c r="W2423">
        <f>IF($A2="","",COUNTIF('07_Pallet_Contents'!$A$2:$A$3000,$A2))</f>
        <v>0</v>
      </c>
      <c r="X2423">
        <f>IF($A2="","",SUMIF('07_Pallet_Contents'!$A$2:$A$3000,$A2,'07_Pallet_Contents'!$D$2:$D$3000))</f>
        <v>0</v>
      </c>
      <c r="Y2423">
        <f>IF($A2="","",SUMIF('07_Pallet_Contents'!$A$2:$A$3000,$A2,'07_Pallet_Contents'!$I$2:$I$3000))</f>
        <v>0</v>
      </c>
      <c r="Z2423" t="str">
        <f>IF($A2="","",IF(COUNTIF('07_Pallet_Contents'!$A$2:$A$3000,$A2)&gt;0,"Yes",""))</f>
        <v/>
      </c>
    </row>
    <row r="2424" spans="23:26">
      <c r="W2424">
        <f>IF($A2="","",COUNTIF('07_Pallet_Contents'!$A$2:$A$3000,$A2))</f>
        <v>0</v>
      </c>
      <c r="X2424">
        <f>IF($A2="","",SUMIF('07_Pallet_Contents'!$A$2:$A$3000,$A2,'07_Pallet_Contents'!$D$2:$D$3000))</f>
        <v>0</v>
      </c>
      <c r="Y2424">
        <f>IF($A2="","",SUMIF('07_Pallet_Contents'!$A$2:$A$3000,$A2,'07_Pallet_Contents'!$I$2:$I$3000))</f>
        <v>0</v>
      </c>
      <c r="Z2424" t="str">
        <f>IF($A2="","",IF(COUNTIF('07_Pallet_Contents'!$A$2:$A$3000,$A2)&gt;0,"Yes",""))</f>
        <v/>
      </c>
    </row>
    <row r="2425" spans="23:26">
      <c r="W2425">
        <f>IF($A2="","",COUNTIF('07_Pallet_Contents'!$A$2:$A$3000,$A2))</f>
        <v>0</v>
      </c>
      <c r="X2425">
        <f>IF($A2="","",SUMIF('07_Pallet_Contents'!$A$2:$A$3000,$A2,'07_Pallet_Contents'!$D$2:$D$3000))</f>
        <v>0</v>
      </c>
      <c r="Y2425">
        <f>IF($A2="","",SUMIF('07_Pallet_Contents'!$A$2:$A$3000,$A2,'07_Pallet_Contents'!$I$2:$I$3000))</f>
        <v>0</v>
      </c>
      <c r="Z2425" t="str">
        <f>IF($A2="","",IF(COUNTIF('07_Pallet_Contents'!$A$2:$A$3000,$A2)&gt;0,"Yes",""))</f>
        <v/>
      </c>
    </row>
    <row r="2426" spans="23:26">
      <c r="W2426">
        <f>IF($A2="","",COUNTIF('07_Pallet_Contents'!$A$2:$A$3000,$A2))</f>
        <v>0</v>
      </c>
      <c r="X2426">
        <f>IF($A2="","",SUMIF('07_Pallet_Contents'!$A$2:$A$3000,$A2,'07_Pallet_Contents'!$D$2:$D$3000))</f>
        <v>0</v>
      </c>
      <c r="Y2426">
        <f>IF($A2="","",SUMIF('07_Pallet_Contents'!$A$2:$A$3000,$A2,'07_Pallet_Contents'!$I$2:$I$3000))</f>
        <v>0</v>
      </c>
      <c r="Z2426" t="str">
        <f>IF($A2="","",IF(COUNTIF('07_Pallet_Contents'!$A$2:$A$3000,$A2)&gt;0,"Yes",""))</f>
        <v/>
      </c>
    </row>
    <row r="2427" spans="23:26">
      <c r="W2427">
        <f>IF($A2="","",COUNTIF('07_Pallet_Contents'!$A$2:$A$3000,$A2))</f>
        <v>0</v>
      </c>
      <c r="X2427">
        <f>IF($A2="","",SUMIF('07_Pallet_Contents'!$A$2:$A$3000,$A2,'07_Pallet_Contents'!$D$2:$D$3000))</f>
        <v>0</v>
      </c>
      <c r="Y2427">
        <f>IF($A2="","",SUMIF('07_Pallet_Contents'!$A$2:$A$3000,$A2,'07_Pallet_Contents'!$I$2:$I$3000))</f>
        <v>0</v>
      </c>
      <c r="Z2427" t="str">
        <f>IF($A2="","",IF(COUNTIF('07_Pallet_Contents'!$A$2:$A$3000,$A2)&gt;0,"Yes",""))</f>
        <v/>
      </c>
    </row>
    <row r="2428" spans="23:26">
      <c r="W2428">
        <f>IF($A2="","",COUNTIF('07_Pallet_Contents'!$A$2:$A$3000,$A2))</f>
        <v>0</v>
      </c>
      <c r="X2428">
        <f>IF($A2="","",SUMIF('07_Pallet_Contents'!$A$2:$A$3000,$A2,'07_Pallet_Contents'!$D$2:$D$3000))</f>
        <v>0</v>
      </c>
      <c r="Y2428">
        <f>IF($A2="","",SUMIF('07_Pallet_Contents'!$A$2:$A$3000,$A2,'07_Pallet_Contents'!$I$2:$I$3000))</f>
        <v>0</v>
      </c>
      <c r="Z2428" t="str">
        <f>IF($A2="","",IF(COUNTIF('07_Pallet_Contents'!$A$2:$A$3000,$A2)&gt;0,"Yes",""))</f>
        <v/>
      </c>
    </row>
    <row r="2429" spans="23:26">
      <c r="W2429">
        <f>IF($A2="","",COUNTIF('07_Pallet_Contents'!$A$2:$A$3000,$A2))</f>
        <v>0</v>
      </c>
      <c r="X2429">
        <f>IF($A2="","",SUMIF('07_Pallet_Contents'!$A$2:$A$3000,$A2,'07_Pallet_Contents'!$D$2:$D$3000))</f>
        <v>0</v>
      </c>
      <c r="Y2429">
        <f>IF($A2="","",SUMIF('07_Pallet_Contents'!$A$2:$A$3000,$A2,'07_Pallet_Contents'!$I$2:$I$3000))</f>
        <v>0</v>
      </c>
      <c r="Z2429" t="str">
        <f>IF($A2="","",IF(COUNTIF('07_Pallet_Contents'!$A$2:$A$3000,$A2)&gt;0,"Yes",""))</f>
        <v/>
      </c>
    </row>
    <row r="2430" spans="23:26">
      <c r="W2430">
        <f>IF($A2="","",COUNTIF('07_Pallet_Contents'!$A$2:$A$3000,$A2))</f>
        <v>0</v>
      </c>
      <c r="X2430">
        <f>IF($A2="","",SUMIF('07_Pallet_Contents'!$A$2:$A$3000,$A2,'07_Pallet_Contents'!$D$2:$D$3000))</f>
        <v>0</v>
      </c>
      <c r="Y2430">
        <f>IF($A2="","",SUMIF('07_Pallet_Contents'!$A$2:$A$3000,$A2,'07_Pallet_Contents'!$I$2:$I$3000))</f>
        <v>0</v>
      </c>
      <c r="Z2430" t="str">
        <f>IF($A2="","",IF(COUNTIF('07_Pallet_Contents'!$A$2:$A$3000,$A2)&gt;0,"Yes",""))</f>
        <v/>
      </c>
    </row>
    <row r="2431" spans="23:26">
      <c r="W2431">
        <f>IF($A2="","",COUNTIF('07_Pallet_Contents'!$A$2:$A$3000,$A2))</f>
        <v>0</v>
      </c>
      <c r="X2431">
        <f>IF($A2="","",SUMIF('07_Pallet_Contents'!$A$2:$A$3000,$A2,'07_Pallet_Contents'!$D$2:$D$3000))</f>
        <v>0</v>
      </c>
      <c r="Y2431">
        <f>IF($A2="","",SUMIF('07_Pallet_Contents'!$A$2:$A$3000,$A2,'07_Pallet_Contents'!$I$2:$I$3000))</f>
        <v>0</v>
      </c>
      <c r="Z2431" t="str">
        <f>IF($A2="","",IF(COUNTIF('07_Pallet_Contents'!$A$2:$A$3000,$A2)&gt;0,"Yes",""))</f>
        <v/>
      </c>
    </row>
    <row r="2432" spans="23:26">
      <c r="W2432">
        <f>IF($A2="","",COUNTIF('07_Pallet_Contents'!$A$2:$A$3000,$A2))</f>
        <v>0</v>
      </c>
      <c r="X2432">
        <f>IF($A2="","",SUMIF('07_Pallet_Contents'!$A$2:$A$3000,$A2,'07_Pallet_Contents'!$D$2:$D$3000))</f>
        <v>0</v>
      </c>
      <c r="Y2432">
        <f>IF($A2="","",SUMIF('07_Pallet_Contents'!$A$2:$A$3000,$A2,'07_Pallet_Contents'!$I$2:$I$3000))</f>
        <v>0</v>
      </c>
      <c r="Z2432" t="str">
        <f>IF($A2="","",IF(COUNTIF('07_Pallet_Contents'!$A$2:$A$3000,$A2)&gt;0,"Yes",""))</f>
        <v/>
      </c>
    </row>
    <row r="2433" spans="23:26">
      <c r="W2433">
        <f>IF($A2="","",COUNTIF('07_Pallet_Contents'!$A$2:$A$3000,$A2))</f>
        <v>0</v>
      </c>
      <c r="X2433">
        <f>IF($A2="","",SUMIF('07_Pallet_Contents'!$A$2:$A$3000,$A2,'07_Pallet_Contents'!$D$2:$D$3000))</f>
        <v>0</v>
      </c>
      <c r="Y2433">
        <f>IF($A2="","",SUMIF('07_Pallet_Contents'!$A$2:$A$3000,$A2,'07_Pallet_Contents'!$I$2:$I$3000))</f>
        <v>0</v>
      </c>
      <c r="Z2433" t="str">
        <f>IF($A2="","",IF(COUNTIF('07_Pallet_Contents'!$A$2:$A$3000,$A2)&gt;0,"Yes",""))</f>
        <v/>
      </c>
    </row>
    <row r="2434" spans="23:26">
      <c r="W2434">
        <f>IF($A2="","",COUNTIF('07_Pallet_Contents'!$A$2:$A$3000,$A2))</f>
        <v>0</v>
      </c>
      <c r="X2434">
        <f>IF($A2="","",SUMIF('07_Pallet_Contents'!$A$2:$A$3000,$A2,'07_Pallet_Contents'!$D$2:$D$3000))</f>
        <v>0</v>
      </c>
      <c r="Y2434">
        <f>IF($A2="","",SUMIF('07_Pallet_Contents'!$A$2:$A$3000,$A2,'07_Pallet_Contents'!$I$2:$I$3000))</f>
        <v>0</v>
      </c>
      <c r="Z2434" t="str">
        <f>IF($A2="","",IF(COUNTIF('07_Pallet_Contents'!$A$2:$A$3000,$A2)&gt;0,"Yes",""))</f>
        <v/>
      </c>
    </row>
    <row r="2435" spans="23:26">
      <c r="W2435">
        <f>IF($A2="","",COUNTIF('07_Pallet_Contents'!$A$2:$A$3000,$A2))</f>
        <v>0</v>
      </c>
      <c r="X2435">
        <f>IF($A2="","",SUMIF('07_Pallet_Contents'!$A$2:$A$3000,$A2,'07_Pallet_Contents'!$D$2:$D$3000))</f>
        <v>0</v>
      </c>
      <c r="Y2435">
        <f>IF($A2="","",SUMIF('07_Pallet_Contents'!$A$2:$A$3000,$A2,'07_Pallet_Contents'!$I$2:$I$3000))</f>
        <v>0</v>
      </c>
      <c r="Z2435" t="str">
        <f>IF($A2="","",IF(COUNTIF('07_Pallet_Contents'!$A$2:$A$3000,$A2)&gt;0,"Yes",""))</f>
        <v/>
      </c>
    </row>
    <row r="2436" spans="23:26">
      <c r="W2436">
        <f>IF($A2="","",COUNTIF('07_Pallet_Contents'!$A$2:$A$3000,$A2))</f>
        <v>0</v>
      </c>
      <c r="X2436">
        <f>IF($A2="","",SUMIF('07_Pallet_Contents'!$A$2:$A$3000,$A2,'07_Pallet_Contents'!$D$2:$D$3000))</f>
        <v>0</v>
      </c>
      <c r="Y2436">
        <f>IF($A2="","",SUMIF('07_Pallet_Contents'!$A$2:$A$3000,$A2,'07_Pallet_Contents'!$I$2:$I$3000))</f>
        <v>0</v>
      </c>
      <c r="Z2436" t="str">
        <f>IF($A2="","",IF(COUNTIF('07_Pallet_Contents'!$A$2:$A$3000,$A2)&gt;0,"Yes",""))</f>
        <v/>
      </c>
    </row>
    <row r="2437" spans="23:26">
      <c r="W2437">
        <f>IF($A2="","",COUNTIF('07_Pallet_Contents'!$A$2:$A$3000,$A2))</f>
        <v>0</v>
      </c>
      <c r="X2437">
        <f>IF($A2="","",SUMIF('07_Pallet_Contents'!$A$2:$A$3000,$A2,'07_Pallet_Contents'!$D$2:$D$3000))</f>
        <v>0</v>
      </c>
      <c r="Y2437">
        <f>IF($A2="","",SUMIF('07_Pallet_Contents'!$A$2:$A$3000,$A2,'07_Pallet_Contents'!$I$2:$I$3000))</f>
        <v>0</v>
      </c>
      <c r="Z2437" t="str">
        <f>IF($A2="","",IF(COUNTIF('07_Pallet_Contents'!$A$2:$A$3000,$A2)&gt;0,"Yes",""))</f>
        <v/>
      </c>
    </row>
    <row r="2438" spans="23:26">
      <c r="W2438">
        <f>IF($A2="","",COUNTIF('07_Pallet_Contents'!$A$2:$A$3000,$A2))</f>
        <v>0</v>
      </c>
      <c r="X2438">
        <f>IF($A2="","",SUMIF('07_Pallet_Contents'!$A$2:$A$3000,$A2,'07_Pallet_Contents'!$D$2:$D$3000))</f>
        <v>0</v>
      </c>
      <c r="Y2438">
        <f>IF($A2="","",SUMIF('07_Pallet_Contents'!$A$2:$A$3000,$A2,'07_Pallet_Contents'!$I$2:$I$3000))</f>
        <v>0</v>
      </c>
      <c r="Z2438" t="str">
        <f>IF($A2="","",IF(COUNTIF('07_Pallet_Contents'!$A$2:$A$3000,$A2)&gt;0,"Yes",""))</f>
        <v/>
      </c>
    </row>
    <row r="2439" spans="23:26">
      <c r="W2439">
        <f>IF($A2="","",COUNTIF('07_Pallet_Contents'!$A$2:$A$3000,$A2))</f>
        <v>0</v>
      </c>
      <c r="X2439">
        <f>IF($A2="","",SUMIF('07_Pallet_Contents'!$A$2:$A$3000,$A2,'07_Pallet_Contents'!$D$2:$D$3000))</f>
        <v>0</v>
      </c>
      <c r="Y2439">
        <f>IF($A2="","",SUMIF('07_Pallet_Contents'!$A$2:$A$3000,$A2,'07_Pallet_Contents'!$I$2:$I$3000))</f>
        <v>0</v>
      </c>
      <c r="Z2439" t="str">
        <f>IF($A2="","",IF(COUNTIF('07_Pallet_Contents'!$A$2:$A$3000,$A2)&gt;0,"Yes",""))</f>
        <v/>
      </c>
    </row>
    <row r="2440" spans="23:26">
      <c r="W2440">
        <f>IF($A2="","",COUNTIF('07_Pallet_Contents'!$A$2:$A$3000,$A2))</f>
        <v>0</v>
      </c>
      <c r="X2440">
        <f>IF($A2="","",SUMIF('07_Pallet_Contents'!$A$2:$A$3000,$A2,'07_Pallet_Contents'!$D$2:$D$3000))</f>
        <v>0</v>
      </c>
      <c r="Y2440">
        <f>IF($A2="","",SUMIF('07_Pallet_Contents'!$A$2:$A$3000,$A2,'07_Pallet_Contents'!$I$2:$I$3000))</f>
        <v>0</v>
      </c>
      <c r="Z2440" t="str">
        <f>IF($A2="","",IF(COUNTIF('07_Pallet_Contents'!$A$2:$A$3000,$A2)&gt;0,"Yes",""))</f>
        <v/>
      </c>
    </row>
    <row r="2441" spans="23:26">
      <c r="W2441">
        <f>IF($A2="","",COUNTIF('07_Pallet_Contents'!$A$2:$A$3000,$A2))</f>
        <v>0</v>
      </c>
      <c r="X2441">
        <f>IF($A2="","",SUMIF('07_Pallet_Contents'!$A$2:$A$3000,$A2,'07_Pallet_Contents'!$D$2:$D$3000))</f>
        <v>0</v>
      </c>
      <c r="Y2441">
        <f>IF($A2="","",SUMIF('07_Pallet_Contents'!$A$2:$A$3000,$A2,'07_Pallet_Contents'!$I$2:$I$3000))</f>
        <v>0</v>
      </c>
      <c r="Z2441" t="str">
        <f>IF($A2="","",IF(COUNTIF('07_Pallet_Contents'!$A$2:$A$3000,$A2)&gt;0,"Yes",""))</f>
        <v/>
      </c>
    </row>
    <row r="2442" spans="23:26">
      <c r="W2442">
        <f>IF($A2="","",COUNTIF('07_Pallet_Contents'!$A$2:$A$3000,$A2))</f>
        <v>0</v>
      </c>
      <c r="X2442">
        <f>IF($A2="","",SUMIF('07_Pallet_Contents'!$A$2:$A$3000,$A2,'07_Pallet_Contents'!$D$2:$D$3000))</f>
        <v>0</v>
      </c>
      <c r="Y2442">
        <f>IF($A2="","",SUMIF('07_Pallet_Contents'!$A$2:$A$3000,$A2,'07_Pallet_Contents'!$I$2:$I$3000))</f>
        <v>0</v>
      </c>
      <c r="Z2442" t="str">
        <f>IF($A2="","",IF(COUNTIF('07_Pallet_Contents'!$A$2:$A$3000,$A2)&gt;0,"Yes",""))</f>
        <v/>
      </c>
    </row>
    <row r="2443" spans="23:26">
      <c r="W2443">
        <f>IF($A2="","",COUNTIF('07_Pallet_Contents'!$A$2:$A$3000,$A2))</f>
        <v>0</v>
      </c>
      <c r="X2443">
        <f>IF($A2="","",SUMIF('07_Pallet_Contents'!$A$2:$A$3000,$A2,'07_Pallet_Contents'!$D$2:$D$3000))</f>
        <v>0</v>
      </c>
      <c r="Y2443">
        <f>IF($A2="","",SUMIF('07_Pallet_Contents'!$A$2:$A$3000,$A2,'07_Pallet_Contents'!$I$2:$I$3000))</f>
        <v>0</v>
      </c>
      <c r="Z2443" t="str">
        <f>IF($A2="","",IF(COUNTIF('07_Pallet_Contents'!$A$2:$A$3000,$A2)&gt;0,"Yes",""))</f>
        <v/>
      </c>
    </row>
    <row r="2444" spans="23:26">
      <c r="W2444">
        <f>IF($A2="","",COUNTIF('07_Pallet_Contents'!$A$2:$A$3000,$A2))</f>
        <v>0</v>
      </c>
      <c r="X2444">
        <f>IF($A2="","",SUMIF('07_Pallet_Contents'!$A$2:$A$3000,$A2,'07_Pallet_Contents'!$D$2:$D$3000))</f>
        <v>0</v>
      </c>
      <c r="Y2444">
        <f>IF($A2="","",SUMIF('07_Pallet_Contents'!$A$2:$A$3000,$A2,'07_Pallet_Contents'!$I$2:$I$3000))</f>
        <v>0</v>
      </c>
      <c r="Z2444" t="str">
        <f>IF($A2="","",IF(COUNTIF('07_Pallet_Contents'!$A$2:$A$3000,$A2)&gt;0,"Yes",""))</f>
        <v/>
      </c>
    </row>
    <row r="2445" spans="23:26">
      <c r="W2445">
        <f>IF($A2="","",COUNTIF('07_Pallet_Contents'!$A$2:$A$3000,$A2))</f>
        <v>0</v>
      </c>
      <c r="X2445">
        <f>IF($A2="","",SUMIF('07_Pallet_Contents'!$A$2:$A$3000,$A2,'07_Pallet_Contents'!$D$2:$D$3000))</f>
        <v>0</v>
      </c>
      <c r="Y2445">
        <f>IF($A2="","",SUMIF('07_Pallet_Contents'!$A$2:$A$3000,$A2,'07_Pallet_Contents'!$I$2:$I$3000))</f>
        <v>0</v>
      </c>
      <c r="Z2445" t="str">
        <f>IF($A2="","",IF(COUNTIF('07_Pallet_Contents'!$A$2:$A$3000,$A2)&gt;0,"Yes",""))</f>
        <v/>
      </c>
    </row>
    <row r="2446" spans="23:26">
      <c r="W2446">
        <f>IF($A2="","",COUNTIF('07_Pallet_Contents'!$A$2:$A$3000,$A2))</f>
        <v>0</v>
      </c>
      <c r="X2446">
        <f>IF($A2="","",SUMIF('07_Pallet_Contents'!$A$2:$A$3000,$A2,'07_Pallet_Contents'!$D$2:$D$3000))</f>
        <v>0</v>
      </c>
      <c r="Y2446">
        <f>IF($A2="","",SUMIF('07_Pallet_Contents'!$A$2:$A$3000,$A2,'07_Pallet_Contents'!$I$2:$I$3000))</f>
        <v>0</v>
      </c>
      <c r="Z2446" t="str">
        <f>IF($A2="","",IF(COUNTIF('07_Pallet_Contents'!$A$2:$A$3000,$A2)&gt;0,"Yes",""))</f>
        <v/>
      </c>
    </row>
    <row r="2447" spans="23:26">
      <c r="W2447">
        <f>IF($A2="","",COUNTIF('07_Pallet_Contents'!$A$2:$A$3000,$A2))</f>
        <v>0</v>
      </c>
      <c r="X2447">
        <f>IF($A2="","",SUMIF('07_Pallet_Contents'!$A$2:$A$3000,$A2,'07_Pallet_Contents'!$D$2:$D$3000))</f>
        <v>0</v>
      </c>
      <c r="Y2447">
        <f>IF($A2="","",SUMIF('07_Pallet_Contents'!$A$2:$A$3000,$A2,'07_Pallet_Contents'!$I$2:$I$3000))</f>
        <v>0</v>
      </c>
      <c r="Z2447" t="str">
        <f>IF($A2="","",IF(COUNTIF('07_Pallet_Contents'!$A$2:$A$3000,$A2)&gt;0,"Yes",""))</f>
        <v/>
      </c>
    </row>
    <row r="2448" spans="23:26">
      <c r="W2448">
        <f>IF($A2="","",COUNTIF('07_Pallet_Contents'!$A$2:$A$3000,$A2))</f>
        <v>0</v>
      </c>
      <c r="X2448">
        <f>IF($A2="","",SUMIF('07_Pallet_Contents'!$A$2:$A$3000,$A2,'07_Pallet_Contents'!$D$2:$D$3000))</f>
        <v>0</v>
      </c>
      <c r="Y2448">
        <f>IF($A2="","",SUMIF('07_Pallet_Contents'!$A$2:$A$3000,$A2,'07_Pallet_Contents'!$I$2:$I$3000))</f>
        <v>0</v>
      </c>
      <c r="Z2448" t="str">
        <f>IF($A2="","",IF(COUNTIF('07_Pallet_Contents'!$A$2:$A$3000,$A2)&gt;0,"Yes",""))</f>
        <v/>
      </c>
    </row>
    <row r="2449" spans="23:26">
      <c r="W2449">
        <f>IF($A2="","",COUNTIF('07_Pallet_Contents'!$A$2:$A$3000,$A2))</f>
        <v>0</v>
      </c>
      <c r="X2449">
        <f>IF($A2="","",SUMIF('07_Pallet_Contents'!$A$2:$A$3000,$A2,'07_Pallet_Contents'!$D$2:$D$3000))</f>
        <v>0</v>
      </c>
      <c r="Y2449">
        <f>IF($A2="","",SUMIF('07_Pallet_Contents'!$A$2:$A$3000,$A2,'07_Pallet_Contents'!$I$2:$I$3000))</f>
        <v>0</v>
      </c>
      <c r="Z2449" t="str">
        <f>IF($A2="","",IF(COUNTIF('07_Pallet_Contents'!$A$2:$A$3000,$A2)&gt;0,"Yes",""))</f>
        <v/>
      </c>
    </row>
    <row r="2450" spans="23:26">
      <c r="W2450">
        <f>IF($A2="","",COUNTIF('07_Pallet_Contents'!$A$2:$A$3000,$A2))</f>
        <v>0</v>
      </c>
      <c r="X2450">
        <f>IF($A2="","",SUMIF('07_Pallet_Contents'!$A$2:$A$3000,$A2,'07_Pallet_Contents'!$D$2:$D$3000))</f>
        <v>0</v>
      </c>
      <c r="Y2450">
        <f>IF($A2="","",SUMIF('07_Pallet_Contents'!$A$2:$A$3000,$A2,'07_Pallet_Contents'!$I$2:$I$3000))</f>
        <v>0</v>
      </c>
      <c r="Z2450" t="str">
        <f>IF($A2="","",IF(COUNTIF('07_Pallet_Contents'!$A$2:$A$3000,$A2)&gt;0,"Yes",""))</f>
        <v/>
      </c>
    </row>
    <row r="2451" spans="23:26">
      <c r="W2451">
        <f>IF($A2="","",COUNTIF('07_Pallet_Contents'!$A$2:$A$3000,$A2))</f>
        <v>0</v>
      </c>
      <c r="X2451">
        <f>IF($A2="","",SUMIF('07_Pallet_Contents'!$A$2:$A$3000,$A2,'07_Pallet_Contents'!$D$2:$D$3000))</f>
        <v>0</v>
      </c>
      <c r="Y2451">
        <f>IF($A2="","",SUMIF('07_Pallet_Contents'!$A$2:$A$3000,$A2,'07_Pallet_Contents'!$I$2:$I$3000))</f>
        <v>0</v>
      </c>
      <c r="Z2451" t="str">
        <f>IF($A2="","",IF(COUNTIF('07_Pallet_Contents'!$A$2:$A$3000,$A2)&gt;0,"Yes",""))</f>
        <v/>
      </c>
    </row>
    <row r="2452" spans="23:26">
      <c r="W2452">
        <f>IF($A2="","",COUNTIF('07_Pallet_Contents'!$A$2:$A$3000,$A2))</f>
        <v>0</v>
      </c>
      <c r="X2452">
        <f>IF($A2="","",SUMIF('07_Pallet_Contents'!$A$2:$A$3000,$A2,'07_Pallet_Contents'!$D$2:$D$3000))</f>
        <v>0</v>
      </c>
      <c r="Y2452">
        <f>IF($A2="","",SUMIF('07_Pallet_Contents'!$A$2:$A$3000,$A2,'07_Pallet_Contents'!$I$2:$I$3000))</f>
        <v>0</v>
      </c>
      <c r="Z2452" t="str">
        <f>IF($A2="","",IF(COUNTIF('07_Pallet_Contents'!$A$2:$A$3000,$A2)&gt;0,"Yes",""))</f>
        <v/>
      </c>
    </row>
    <row r="2453" spans="23:26">
      <c r="W2453">
        <f>IF($A2="","",COUNTIF('07_Pallet_Contents'!$A$2:$A$3000,$A2))</f>
        <v>0</v>
      </c>
      <c r="X2453">
        <f>IF($A2="","",SUMIF('07_Pallet_Contents'!$A$2:$A$3000,$A2,'07_Pallet_Contents'!$D$2:$D$3000))</f>
        <v>0</v>
      </c>
      <c r="Y2453">
        <f>IF($A2="","",SUMIF('07_Pallet_Contents'!$A$2:$A$3000,$A2,'07_Pallet_Contents'!$I$2:$I$3000))</f>
        <v>0</v>
      </c>
      <c r="Z2453" t="str">
        <f>IF($A2="","",IF(COUNTIF('07_Pallet_Contents'!$A$2:$A$3000,$A2)&gt;0,"Yes",""))</f>
        <v/>
      </c>
    </row>
    <row r="2454" spans="23:26">
      <c r="W2454">
        <f>IF($A2="","",COUNTIF('07_Pallet_Contents'!$A$2:$A$3000,$A2))</f>
        <v>0</v>
      </c>
      <c r="X2454">
        <f>IF($A2="","",SUMIF('07_Pallet_Contents'!$A$2:$A$3000,$A2,'07_Pallet_Contents'!$D$2:$D$3000))</f>
        <v>0</v>
      </c>
      <c r="Y2454">
        <f>IF($A2="","",SUMIF('07_Pallet_Contents'!$A$2:$A$3000,$A2,'07_Pallet_Contents'!$I$2:$I$3000))</f>
        <v>0</v>
      </c>
      <c r="Z2454" t="str">
        <f>IF($A2="","",IF(COUNTIF('07_Pallet_Contents'!$A$2:$A$3000,$A2)&gt;0,"Yes",""))</f>
        <v/>
      </c>
    </row>
    <row r="2455" spans="23:26">
      <c r="W2455">
        <f>IF($A2="","",COUNTIF('07_Pallet_Contents'!$A$2:$A$3000,$A2))</f>
        <v>0</v>
      </c>
      <c r="X2455">
        <f>IF($A2="","",SUMIF('07_Pallet_Contents'!$A$2:$A$3000,$A2,'07_Pallet_Contents'!$D$2:$D$3000))</f>
        <v>0</v>
      </c>
      <c r="Y2455">
        <f>IF($A2="","",SUMIF('07_Pallet_Contents'!$A$2:$A$3000,$A2,'07_Pallet_Contents'!$I$2:$I$3000))</f>
        <v>0</v>
      </c>
      <c r="Z2455" t="str">
        <f>IF($A2="","",IF(COUNTIF('07_Pallet_Contents'!$A$2:$A$3000,$A2)&gt;0,"Yes",""))</f>
        <v/>
      </c>
    </row>
    <row r="2456" spans="23:26">
      <c r="W2456">
        <f>IF($A2="","",COUNTIF('07_Pallet_Contents'!$A$2:$A$3000,$A2))</f>
        <v>0</v>
      </c>
      <c r="X2456">
        <f>IF($A2="","",SUMIF('07_Pallet_Contents'!$A$2:$A$3000,$A2,'07_Pallet_Contents'!$D$2:$D$3000))</f>
        <v>0</v>
      </c>
      <c r="Y2456">
        <f>IF($A2="","",SUMIF('07_Pallet_Contents'!$A$2:$A$3000,$A2,'07_Pallet_Contents'!$I$2:$I$3000))</f>
        <v>0</v>
      </c>
      <c r="Z2456" t="str">
        <f>IF($A2="","",IF(COUNTIF('07_Pallet_Contents'!$A$2:$A$3000,$A2)&gt;0,"Yes",""))</f>
        <v/>
      </c>
    </row>
    <row r="2457" spans="23:26">
      <c r="W2457">
        <f>IF($A2="","",COUNTIF('07_Pallet_Contents'!$A$2:$A$3000,$A2))</f>
        <v>0</v>
      </c>
      <c r="X2457">
        <f>IF($A2="","",SUMIF('07_Pallet_Contents'!$A$2:$A$3000,$A2,'07_Pallet_Contents'!$D$2:$D$3000))</f>
        <v>0</v>
      </c>
      <c r="Y2457">
        <f>IF($A2="","",SUMIF('07_Pallet_Contents'!$A$2:$A$3000,$A2,'07_Pallet_Contents'!$I$2:$I$3000))</f>
        <v>0</v>
      </c>
      <c r="Z2457" t="str">
        <f>IF($A2="","",IF(COUNTIF('07_Pallet_Contents'!$A$2:$A$3000,$A2)&gt;0,"Yes",""))</f>
        <v/>
      </c>
    </row>
    <row r="2458" spans="23:26">
      <c r="W2458">
        <f>IF($A2="","",COUNTIF('07_Pallet_Contents'!$A$2:$A$3000,$A2))</f>
        <v>0</v>
      </c>
      <c r="X2458">
        <f>IF($A2="","",SUMIF('07_Pallet_Contents'!$A$2:$A$3000,$A2,'07_Pallet_Contents'!$D$2:$D$3000))</f>
        <v>0</v>
      </c>
      <c r="Y2458">
        <f>IF($A2="","",SUMIF('07_Pallet_Contents'!$A$2:$A$3000,$A2,'07_Pallet_Contents'!$I$2:$I$3000))</f>
        <v>0</v>
      </c>
      <c r="Z2458" t="str">
        <f>IF($A2="","",IF(COUNTIF('07_Pallet_Contents'!$A$2:$A$3000,$A2)&gt;0,"Yes",""))</f>
        <v/>
      </c>
    </row>
    <row r="2459" spans="23:26">
      <c r="W2459">
        <f>IF($A2="","",COUNTIF('07_Pallet_Contents'!$A$2:$A$3000,$A2))</f>
        <v>0</v>
      </c>
      <c r="X2459">
        <f>IF($A2="","",SUMIF('07_Pallet_Contents'!$A$2:$A$3000,$A2,'07_Pallet_Contents'!$D$2:$D$3000))</f>
        <v>0</v>
      </c>
      <c r="Y2459">
        <f>IF($A2="","",SUMIF('07_Pallet_Contents'!$A$2:$A$3000,$A2,'07_Pallet_Contents'!$I$2:$I$3000))</f>
        <v>0</v>
      </c>
      <c r="Z2459" t="str">
        <f>IF($A2="","",IF(COUNTIF('07_Pallet_Contents'!$A$2:$A$3000,$A2)&gt;0,"Yes",""))</f>
        <v/>
      </c>
    </row>
    <row r="2460" spans="23:26">
      <c r="W2460">
        <f>IF($A2="","",COUNTIF('07_Pallet_Contents'!$A$2:$A$3000,$A2))</f>
        <v>0</v>
      </c>
      <c r="X2460">
        <f>IF($A2="","",SUMIF('07_Pallet_Contents'!$A$2:$A$3000,$A2,'07_Pallet_Contents'!$D$2:$D$3000))</f>
        <v>0</v>
      </c>
      <c r="Y2460">
        <f>IF($A2="","",SUMIF('07_Pallet_Contents'!$A$2:$A$3000,$A2,'07_Pallet_Contents'!$I$2:$I$3000))</f>
        <v>0</v>
      </c>
      <c r="Z2460" t="str">
        <f>IF($A2="","",IF(COUNTIF('07_Pallet_Contents'!$A$2:$A$3000,$A2)&gt;0,"Yes",""))</f>
        <v/>
      </c>
    </row>
    <row r="2461" spans="23:26">
      <c r="W2461">
        <f>IF($A2="","",COUNTIF('07_Pallet_Contents'!$A$2:$A$3000,$A2))</f>
        <v>0</v>
      </c>
      <c r="X2461">
        <f>IF($A2="","",SUMIF('07_Pallet_Contents'!$A$2:$A$3000,$A2,'07_Pallet_Contents'!$D$2:$D$3000))</f>
        <v>0</v>
      </c>
      <c r="Y2461">
        <f>IF($A2="","",SUMIF('07_Pallet_Contents'!$A$2:$A$3000,$A2,'07_Pallet_Contents'!$I$2:$I$3000))</f>
        <v>0</v>
      </c>
      <c r="Z2461" t="str">
        <f>IF($A2="","",IF(COUNTIF('07_Pallet_Contents'!$A$2:$A$3000,$A2)&gt;0,"Yes",""))</f>
        <v/>
      </c>
    </row>
    <row r="2462" spans="23:26">
      <c r="W2462">
        <f>IF($A2="","",COUNTIF('07_Pallet_Contents'!$A$2:$A$3000,$A2))</f>
        <v>0</v>
      </c>
      <c r="X2462">
        <f>IF($A2="","",SUMIF('07_Pallet_Contents'!$A$2:$A$3000,$A2,'07_Pallet_Contents'!$D$2:$D$3000))</f>
        <v>0</v>
      </c>
      <c r="Y2462">
        <f>IF($A2="","",SUMIF('07_Pallet_Contents'!$A$2:$A$3000,$A2,'07_Pallet_Contents'!$I$2:$I$3000))</f>
        <v>0</v>
      </c>
      <c r="Z2462" t="str">
        <f>IF($A2="","",IF(COUNTIF('07_Pallet_Contents'!$A$2:$A$3000,$A2)&gt;0,"Yes",""))</f>
        <v/>
      </c>
    </row>
    <row r="2463" spans="23:26">
      <c r="W2463">
        <f>IF($A2="","",COUNTIF('07_Pallet_Contents'!$A$2:$A$3000,$A2))</f>
        <v>0</v>
      </c>
      <c r="X2463">
        <f>IF($A2="","",SUMIF('07_Pallet_Contents'!$A$2:$A$3000,$A2,'07_Pallet_Contents'!$D$2:$D$3000))</f>
        <v>0</v>
      </c>
      <c r="Y2463">
        <f>IF($A2="","",SUMIF('07_Pallet_Contents'!$A$2:$A$3000,$A2,'07_Pallet_Contents'!$I$2:$I$3000))</f>
        <v>0</v>
      </c>
      <c r="Z2463" t="str">
        <f>IF($A2="","",IF(COUNTIF('07_Pallet_Contents'!$A$2:$A$3000,$A2)&gt;0,"Yes",""))</f>
        <v/>
      </c>
    </row>
    <row r="2464" spans="23:26">
      <c r="W2464">
        <f>IF($A2="","",COUNTIF('07_Pallet_Contents'!$A$2:$A$3000,$A2))</f>
        <v>0</v>
      </c>
      <c r="X2464">
        <f>IF($A2="","",SUMIF('07_Pallet_Contents'!$A$2:$A$3000,$A2,'07_Pallet_Contents'!$D$2:$D$3000))</f>
        <v>0</v>
      </c>
      <c r="Y2464">
        <f>IF($A2="","",SUMIF('07_Pallet_Contents'!$A$2:$A$3000,$A2,'07_Pallet_Contents'!$I$2:$I$3000))</f>
        <v>0</v>
      </c>
      <c r="Z2464" t="str">
        <f>IF($A2="","",IF(COUNTIF('07_Pallet_Contents'!$A$2:$A$3000,$A2)&gt;0,"Yes",""))</f>
        <v/>
      </c>
    </row>
    <row r="2465" spans="23:26">
      <c r="W2465">
        <f>IF($A2="","",COUNTIF('07_Pallet_Contents'!$A$2:$A$3000,$A2))</f>
        <v>0</v>
      </c>
      <c r="X2465">
        <f>IF($A2="","",SUMIF('07_Pallet_Contents'!$A$2:$A$3000,$A2,'07_Pallet_Contents'!$D$2:$D$3000))</f>
        <v>0</v>
      </c>
      <c r="Y2465">
        <f>IF($A2="","",SUMIF('07_Pallet_Contents'!$A$2:$A$3000,$A2,'07_Pallet_Contents'!$I$2:$I$3000))</f>
        <v>0</v>
      </c>
      <c r="Z2465" t="str">
        <f>IF($A2="","",IF(COUNTIF('07_Pallet_Contents'!$A$2:$A$3000,$A2)&gt;0,"Yes",""))</f>
        <v/>
      </c>
    </row>
    <row r="2466" spans="23:26">
      <c r="W2466">
        <f>IF($A2="","",COUNTIF('07_Pallet_Contents'!$A$2:$A$3000,$A2))</f>
        <v>0</v>
      </c>
      <c r="X2466">
        <f>IF($A2="","",SUMIF('07_Pallet_Contents'!$A$2:$A$3000,$A2,'07_Pallet_Contents'!$D$2:$D$3000))</f>
        <v>0</v>
      </c>
      <c r="Y2466">
        <f>IF($A2="","",SUMIF('07_Pallet_Contents'!$A$2:$A$3000,$A2,'07_Pallet_Contents'!$I$2:$I$3000))</f>
        <v>0</v>
      </c>
      <c r="Z2466" t="str">
        <f>IF($A2="","",IF(COUNTIF('07_Pallet_Contents'!$A$2:$A$3000,$A2)&gt;0,"Yes",""))</f>
        <v/>
      </c>
    </row>
    <row r="2467" spans="23:26">
      <c r="W2467">
        <f>IF($A2="","",COUNTIF('07_Pallet_Contents'!$A$2:$A$3000,$A2))</f>
        <v>0</v>
      </c>
      <c r="X2467">
        <f>IF($A2="","",SUMIF('07_Pallet_Contents'!$A$2:$A$3000,$A2,'07_Pallet_Contents'!$D$2:$D$3000))</f>
        <v>0</v>
      </c>
      <c r="Y2467">
        <f>IF($A2="","",SUMIF('07_Pallet_Contents'!$A$2:$A$3000,$A2,'07_Pallet_Contents'!$I$2:$I$3000))</f>
        <v>0</v>
      </c>
      <c r="Z2467" t="str">
        <f>IF($A2="","",IF(COUNTIF('07_Pallet_Contents'!$A$2:$A$3000,$A2)&gt;0,"Yes",""))</f>
        <v/>
      </c>
    </row>
    <row r="2468" spans="23:26">
      <c r="W2468">
        <f>IF($A2="","",COUNTIF('07_Pallet_Contents'!$A$2:$A$3000,$A2))</f>
        <v>0</v>
      </c>
      <c r="X2468">
        <f>IF($A2="","",SUMIF('07_Pallet_Contents'!$A$2:$A$3000,$A2,'07_Pallet_Contents'!$D$2:$D$3000))</f>
        <v>0</v>
      </c>
      <c r="Y2468">
        <f>IF($A2="","",SUMIF('07_Pallet_Contents'!$A$2:$A$3000,$A2,'07_Pallet_Contents'!$I$2:$I$3000))</f>
        <v>0</v>
      </c>
      <c r="Z2468" t="str">
        <f>IF($A2="","",IF(COUNTIF('07_Pallet_Contents'!$A$2:$A$3000,$A2)&gt;0,"Yes",""))</f>
        <v/>
      </c>
    </row>
    <row r="2469" spans="23:26">
      <c r="W2469">
        <f>IF($A2="","",COUNTIF('07_Pallet_Contents'!$A$2:$A$3000,$A2))</f>
        <v>0</v>
      </c>
      <c r="X2469">
        <f>IF($A2="","",SUMIF('07_Pallet_Contents'!$A$2:$A$3000,$A2,'07_Pallet_Contents'!$D$2:$D$3000))</f>
        <v>0</v>
      </c>
      <c r="Y2469">
        <f>IF($A2="","",SUMIF('07_Pallet_Contents'!$A$2:$A$3000,$A2,'07_Pallet_Contents'!$I$2:$I$3000))</f>
        <v>0</v>
      </c>
      <c r="Z2469" t="str">
        <f>IF($A2="","",IF(COUNTIF('07_Pallet_Contents'!$A$2:$A$3000,$A2)&gt;0,"Yes",""))</f>
        <v/>
      </c>
    </row>
    <row r="2470" spans="23:26">
      <c r="W2470">
        <f>IF($A2="","",COUNTIF('07_Pallet_Contents'!$A$2:$A$3000,$A2))</f>
        <v>0</v>
      </c>
      <c r="X2470">
        <f>IF($A2="","",SUMIF('07_Pallet_Contents'!$A$2:$A$3000,$A2,'07_Pallet_Contents'!$D$2:$D$3000))</f>
        <v>0</v>
      </c>
      <c r="Y2470">
        <f>IF($A2="","",SUMIF('07_Pallet_Contents'!$A$2:$A$3000,$A2,'07_Pallet_Contents'!$I$2:$I$3000))</f>
        <v>0</v>
      </c>
      <c r="Z2470" t="str">
        <f>IF($A2="","",IF(COUNTIF('07_Pallet_Contents'!$A$2:$A$3000,$A2)&gt;0,"Yes",""))</f>
        <v/>
      </c>
    </row>
    <row r="2471" spans="23:26">
      <c r="W2471">
        <f>IF($A2="","",COUNTIF('07_Pallet_Contents'!$A$2:$A$3000,$A2))</f>
        <v>0</v>
      </c>
      <c r="X2471">
        <f>IF($A2="","",SUMIF('07_Pallet_Contents'!$A$2:$A$3000,$A2,'07_Pallet_Contents'!$D$2:$D$3000))</f>
        <v>0</v>
      </c>
      <c r="Y2471">
        <f>IF($A2="","",SUMIF('07_Pallet_Contents'!$A$2:$A$3000,$A2,'07_Pallet_Contents'!$I$2:$I$3000))</f>
        <v>0</v>
      </c>
      <c r="Z2471" t="str">
        <f>IF($A2="","",IF(COUNTIF('07_Pallet_Contents'!$A$2:$A$3000,$A2)&gt;0,"Yes",""))</f>
        <v/>
      </c>
    </row>
    <row r="2472" spans="23:26">
      <c r="W2472">
        <f>IF($A2="","",COUNTIF('07_Pallet_Contents'!$A$2:$A$3000,$A2))</f>
        <v>0</v>
      </c>
      <c r="X2472">
        <f>IF($A2="","",SUMIF('07_Pallet_Contents'!$A$2:$A$3000,$A2,'07_Pallet_Contents'!$D$2:$D$3000))</f>
        <v>0</v>
      </c>
      <c r="Y2472">
        <f>IF($A2="","",SUMIF('07_Pallet_Contents'!$A$2:$A$3000,$A2,'07_Pallet_Contents'!$I$2:$I$3000))</f>
        <v>0</v>
      </c>
      <c r="Z2472" t="str">
        <f>IF($A2="","",IF(COUNTIF('07_Pallet_Contents'!$A$2:$A$3000,$A2)&gt;0,"Yes",""))</f>
        <v/>
      </c>
    </row>
    <row r="2473" spans="23:26">
      <c r="W2473">
        <f>IF($A2="","",COUNTIF('07_Pallet_Contents'!$A$2:$A$3000,$A2))</f>
        <v>0</v>
      </c>
      <c r="X2473">
        <f>IF($A2="","",SUMIF('07_Pallet_Contents'!$A$2:$A$3000,$A2,'07_Pallet_Contents'!$D$2:$D$3000))</f>
        <v>0</v>
      </c>
      <c r="Y2473">
        <f>IF($A2="","",SUMIF('07_Pallet_Contents'!$A$2:$A$3000,$A2,'07_Pallet_Contents'!$I$2:$I$3000))</f>
        <v>0</v>
      </c>
      <c r="Z2473" t="str">
        <f>IF($A2="","",IF(COUNTIF('07_Pallet_Contents'!$A$2:$A$3000,$A2)&gt;0,"Yes",""))</f>
        <v/>
      </c>
    </row>
    <row r="2474" spans="23:26">
      <c r="W2474">
        <f>IF($A2="","",COUNTIF('07_Pallet_Contents'!$A$2:$A$3000,$A2))</f>
        <v>0</v>
      </c>
      <c r="X2474">
        <f>IF($A2="","",SUMIF('07_Pallet_Contents'!$A$2:$A$3000,$A2,'07_Pallet_Contents'!$D$2:$D$3000))</f>
        <v>0</v>
      </c>
      <c r="Y2474">
        <f>IF($A2="","",SUMIF('07_Pallet_Contents'!$A$2:$A$3000,$A2,'07_Pallet_Contents'!$I$2:$I$3000))</f>
        <v>0</v>
      </c>
      <c r="Z2474" t="str">
        <f>IF($A2="","",IF(COUNTIF('07_Pallet_Contents'!$A$2:$A$3000,$A2)&gt;0,"Yes",""))</f>
        <v/>
      </c>
    </row>
    <row r="2475" spans="23:26">
      <c r="W2475">
        <f>IF($A2="","",COUNTIF('07_Pallet_Contents'!$A$2:$A$3000,$A2))</f>
        <v>0</v>
      </c>
      <c r="X2475">
        <f>IF($A2="","",SUMIF('07_Pallet_Contents'!$A$2:$A$3000,$A2,'07_Pallet_Contents'!$D$2:$D$3000))</f>
        <v>0</v>
      </c>
      <c r="Y2475">
        <f>IF($A2="","",SUMIF('07_Pallet_Contents'!$A$2:$A$3000,$A2,'07_Pallet_Contents'!$I$2:$I$3000))</f>
        <v>0</v>
      </c>
      <c r="Z2475" t="str">
        <f>IF($A2="","",IF(COUNTIF('07_Pallet_Contents'!$A$2:$A$3000,$A2)&gt;0,"Yes",""))</f>
        <v/>
      </c>
    </row>
    <row r="2476" spans="23:26">
      <c r="W2476">
        <f>IF($A2="","",COUNTIF('07_Pallet_Contents'!$A$2:$A$3000,$A2))</f>
        <v>0</v>
      </c>
      <c r="X2476">
        <f>IF($A2="","",SUMIF('07_Pallet_Contents'!$A$2:$A$3000,$A2,'07_Pallet_Contents'!$D$2:$D$3000))</f>
        <v>0</v>
      </c>
      <c r="Y2476">
        <f>IF($A2="","",SUMIF('07_Pallet_Contents'!$A$2:$A$3000,$A2,'07_Pallet_Contents'!$I$2:$I$3000))</f>
        <v>0</v>
      </c>
      <c r="Z2476" t="str">
        <f>IF($A2="","",IF(COUNTIF('07_Pallet_Contents'!$A$2:$A$3000,$A2)&gt;0,"Yes",""))</f>
        <v/>
      </c>
    </row>
    <row r="2477" spans="23:26">
      <c r="W2477">
        <f>IF($A2="","",COUNTIF('07_Pallet_Contents'!$A$2:$A$3000,$A2))</f>
        <v>0</v>
      </c>
      <c r="X2477">
        <f>IF($A2="","",SUMIF('07_Pallet_Contents'!$A$2:$A$3000,$A2,'07_Pallet_Contents'!$D$2:$D$3000))</f>
        <v>0</v>
      </c>
      <c r="Y2477">
        <f>IF($A2="","",SUMIF('07_Pallet_Contents'!$A$2:$A$3000,$A2,'07_Pallet_Contents'!$I$2:$I$3000))</f>
        <v>0</v>
      </c>
      <c r="Z2477" t="str">
        <f>IF($A2="","",IF(COUNTIF('07_Pallet_Contents'!$A$2:$A$3000,$A2)&gt;0,"Yes",""))</f>
        <v/>
      </c>
    </row>
    <row r="2478" spans="23:26">
      <c r="W2478">
        <f>IF($A2="","",COUNTIF('07_Pallet_Contents'!$A$2:$A$3000,$A2))</f>
        <v>0</v>
      </c>
      <c r="X2478">
        <f>IF($A2="","",SUMIF('07_Pallet_Contents'!$A$2:$A$3000,$A2,'07_Pallet_Contents'!$D$2:$D$3000))</f>
        <v>0</v>
      </c>
      <c r="Y2478">
        <f>IF($A2="","",SUMIF('07_Pallet_Contents'!$A$2:$A$3000,$A2,'07_Pallet_Contents'!$I$2:$I$3000))</f>
        <v>0</v>
      </c>
      <c r="Z2478" t="str">
        <f>IF($A2="","",IF(COUNTIF('07_Pallet_Contents'!$A$2:$A$3000,$A2)&gt;0,"Yes",""))</f>
        <v/>
      </c>
    </row>
    <row r="2479" spans="23:26">
      <c r="W2479">
        <f>IF($A2="","",COUNTIF('07_Pallet_Contents'!$A$2:$A$3000,$A2))</f>
        <v>0</v>
      </c>
      <c r="X2479">
        <f>IF($A2="","",SUMIF('07_Pallet_Contents'!$A$2:$A$3000,$A2,'07_Pallet_Contents'!$D$2:$D$3000))</f>
        <v>0</v>
      </c>
      <c r="Y2479">
        <f>IF($A2="","",SUMIF('07_Pallet_Contents'!$A$2:$A$3000,$A2,'07_Pallet_Contents'!$I$2:$I$3000))</f>
        <v>0</v>
      </c>
      <c r="Z2479" t="str">
        <f>IF($A2="","",IF(COUNTIF('07_Pallet_Contents'!$A$2:$A$3000,$A2)&gt;0,"Yes",""))</f>
        <v/>
      </c>
    </row>
    <row r="2480" spans="23:26">
      <c r="W2480">
        <f>IF($A2="","",COUNTIF('07_Pallet_Contents'!$A$2:$A$3000,$A2))</f>
        <v>0</v>
      </c>
      <c r="X2480">
        <f>IF($A2="","",SUMIF('07_Pallet_Contents'!$A$2:$A$3000,$A2,'07_Pallet_Contents'!$D$2:$D$3000))</f>
        <v>0</v>
      </c>
      <c r="Y2480">
        <f>IF($A2="","",SUMIF('07_Pallet_Contents'!$A$2:$A$3000,$A2,'07_Pallet_Contents'!$I$2:$I$3000))</f>
        <v>0</v>
      </c>
      <c r="Z2480" t="str">
        <f>IF($A2="","",IF(COUNTIF('07_Pallet_Contents'!$A$2:$A$3000,$A2)&gt;0,"Yes",""))</f>
        <v/>
      </c>
    </row>
    <row r="2481" spans="23:26">
      <c r="W2481">
        <f>IF($A2="","",COUNTIF('07_Pallet_Contents'!$A$2:$A$3000,$A2))</f>
        <v>0</v>
      </c>
      <c r="X2481">
        <f>IF($A2="","",SUMIF('07_Pallet_Contents'!$A$2:$A$3000,$A2,'07_Pallet_Contents'!$D$2:$D$3000))</f>
        <v>0</v>
      </c>
      <c r="Y2481">
        <f>IF($A2="","",SUMIF('07_Pallet_Contents'!$A$2:$A$3000,$A2,'07_Pallet_Contents'!$I$2:$I$3000))</f>
        <v>0</v>
      </c>
      <c r="Z2481" t="str">
        <f>IF($A2="","",IF(COUNTIF('07_Pallet_Contents'!$A$2:$A$3000,$A2)&gt;0,"Yes",""))</f>
        <v/>
      </c>
    </row>
    <row r="2482" spans="23:26">
      <c r="W2482">
        <f>IF($A2="","",COUNTIF('07_Pallet_Contents'!$A$2:$A$3000,$A2))</f>
        <v>0</v>
      </c>
      <c r="X2482">
        <f>IF($A2="","",SUMIF('07_Pallet_Contents'!$A$2:$A$3000,$A2,'07_Pallet_Contents'!$D$2:$D$3000))</f>
        <v>0</v>
      </c>
      <c r="Y2482">
        <f>IF($A2="","",SUMIF('07_Pallet_Contents'!$A$2:$A$3000,$A2,'07_Pallet_Contents'!$I$2:$I$3000))</f>
        <v>0</v>
      </c>
      <c r="Z2482" t="str">
        <f>IF($A2="","",IF(COUNTIF('07_Pallet_Contents'!$A$2:$A$3000,$A2)&gt;0,"Yes",""))</f>
        <v/>
      </c>
    </row>
    <row r="2483" spans="23:26">
      <c r="W2483">
        <f>IF($A2="","",COUNTIF('07_Pallet_Contents'!$A$2:$A$3000,$A2))</f>
        <v>0</v>
      </c>
      <c r="X2483">
        <f>IF($A2="","",SUMIF('07_Pallet_Contents'!$A$2:$A$3000,$A2,'07_Pallet_Contents'!$D$2:$D$3000))</f>
        <v>0</v>
      </c>
      <c r="Y2483">
        <f>IF($A2="","",SUMIF('07_Pallet_Contents'!$A$2:$A$3000,$A2,'07_Pallet_Contents'!$I$2:$I$3000))</f>
        <v>0</v>
      </c>
      <c r="Z2483" t="str">
        <f>IF($A2="","",IF(COUNTIF('07_Pallet_Contents'!$A$2:$A$3000,$A2)&gt;0,"Yes",""))</f>
        <v/>
      </c>
    </row>
    <row r="2484" spans="23:26">
      <c r="W2484">
        <f>IF($A2="","",COUNTIF('07_Pallet_Contents'!$A$2:$A$3000,$A2))</f>
        <v>0</v>
      </c>
      <c r="X2484">
        <f>IF($A2="","",SUMIF('07_Pallet_Contents'!$A$2:$A$3000,$A2,'07_Pallet_Contents'!$D$2:$D$3000))</f>
        <v>0</v>
      </c>
      <c r="Y2484">
        <f>IF($A2="","",SUMIF('07_Pallet_Contents'!$A$2:$A$3000,$A2,'07_Pallet_Contents'!$I$2:$I$3000))</f>
        <v>0</v>
      </c>
      <c r="Z2484" t="str">
        <f>IF($A2="","",IF(COUNTIF('07_Pallet_Contents'!$A$2:$A$3000,$A2)&gt;0,"Yes",""))</f>
        <v/>
      </c>
    </row>
    <row r="2485" spans="23:26">
      <c r="W2485">
        <f>IF($A2="","",COUNTIF('07_Pallet_Contents'!$A$2:$A$3000,$A2))</f>
        <v>0</v>
      </c>
      <c r="X2485">
        <f>IF($A2="","",SUMIF('07_Pallet_Contents'!$A$2:$A$3000,$A2,'07_Pallet_Contents'!$D$2:$D$3000))</f>
        <v>0</v>
      </c>
      <c r="Y2485">
        <f>IF($A2="","",SUMIF('07_Pallet_Contents'!$A$2:$A$3000,$A2,'07_Pallet_Contents'!$I$2:$I$3000))</f>
        <v>0</v>
      </c>
      <c r="Z2485" t="str">
        <f>IF($A2="","",IF(COUNTIF('07_Pallet_Contents'!$A$2:$A$3000,$A2)&gt;0,"Yes",""))</f>
        <v/>
      </c>
    </row>
    <row r="2486" spans="23:26">
      <c r="W2486">
        <f>IF($A2="","",COUNTIF('07_Pallet_Contents'!$A$2:$A$3000,$A2))</f>
        <v>0</v>
      </c>
      <c r="X2486">
        <f>IF($A2="","",SUMIF('07_Pallet_Contents'!$A$2:$A$3000,$A2,'07_Pallet_Contents'!$D$2:$D$3000))</f>
        <v>0</v>
      </c>
      <c r="Y2486">
        <f>IF($A2="","",SUMIF('07_Pallet_Contents'!$A$2:$A$3000,$A2,'07_Pallet_Contents'!$I$2:$I$3000))</f>
        <v>0</v>
      </c>
      <c r="Z2486" t="str">
        <f>IF($A2="","",IF(COUNTIF('07_Pallet_Contents'!$A$2:$A$3000,$A2)&gt;0,"Yes",""))</f>
        <v/>
      </c>
    </row>
    <row r="2487" spans="23:26">
      <c r="W2487">
        <f>IF($A2="","",COUNTIF('07_Pallet_Contents'!$A$2:$A$3000,$A2))</f>
        <v>0</v>
      </c>
      <c r="X2487">
        <f>IF($A2="","",SUMIF('07_Pallet_Contents'!$A$2:$A$3000,$A2,'07_Pallet_Contents'!$D$2:$D$3000))</f>
        <v>0</v>
      </c>
      <c r="Y2487">
        <f>IF($A2="","",SUMIF('07_Pallet_Contents'!$A$2:$A$3000,$A2,'07_Pallet_Contents'!$I$2:$I$3000))</f>
        <v>0</v>
      </c>
      <c r="Z2487" t="str">
        <f>IF($A2="","",IF(COUNTIF('07_Pallet_Contents'!$A$2:$A$3000,$A2)&gt;0,"Yes",""))</f>
        <v/>
      </c>
    </row>
    <row r="2488" spans="23:26">
      <c r="W2488">
        <f>IF($A2="","",COUNTIF('07_Pallet_Contents'!$A$2:$A$3000,$A2))</f>
        <v>0</v>
      </c>
      <c r="X2488">
        <f>IF($A2="","",SUMIF('07_Pallet_Contents'!$A$2:$A$3000,$A2,'07_Pallet_Contents'!$D$2:$D$3000))</f>
        <v>0</v>
      </c>
      <c r="Y2488">
        <f>IF($A2="","",SUMIF('07_Pallet_Contents'!$A$2:$A$3000,$A2,'07_Pallet_Contents'!$I$2:$I$3000))</f>
        <v>0</v>
      </c>
      <c r="Z2488" t="str">
        <f>IF($A2="","",IF(COUNTIF('07_Pallet_Contents'!$A$2:$A$3000,$A2)&gt;0,"Yes",""))</f>
        <v/>
      </c>
    </row>
    <row r="2489" spans="23:26">
      <c r="W2489">
        <f>IF($A2="","",COUNTIF('07_Pallet_Contents'!$A$2:$A$3000,$A2))</f>
        <v>0</v>
      </c>
      <c r="X2489">
        <f>IF($A2="","",SUMIF('07_Pallet_Contents'!$A$2:$A$3000,$A2,'07_Pallet_Contents'!$D$2:$D$3000))</f>
        <v>0</v>
      </c>
      <c r="Y2489">
        <f>IF($A2="","",SUMIF('07_Pallet_Contents'!$A$2:$A$3000,$A2,'07_Pallet_Contents'!$I$2:$I$3000))</f>
        <v>0</v>
      </c>
      <c r="Z2489" t="str">
        <f>IF($A2="","",IF(COUNTIF('07_Pallet_Contents'!$A$2:$A$3000,$A2)&gt;0,"Yes",""))</f>
        <v/>
      </c>
    </row>
    <row r="2490" spans="23:26">
      <c r="W2490">
        <f>IF($A2="","",COUNTIF('07_Pallet_Contents'!$A$2:$A$3000,$A2))</f>
        <v>0</v>
      </c>
      <c r="X2490">
        <f>IF($A2="","",SUMIF('07_Pallet_Contents'!$A$2:$A$3000,$A2,'07_Pallet_Contents'!$D$2:$D$3000))</f>
        <v>0</v>
      </c>
      <c r="Y2490">
        <f>IF($A2="","",SUMIF('07_Pallet_Contents'!$A$2:$A$3000,$A2,'07_Pallet_Contents'!$I$2:$I$3000))</f>
        <v>0</v>
      </c>
      <c r="Z2490" t="str">
        <f>IF($A2="","",IF(COUNTIF('07_Pallet_Contents'!$A$2:$A$3000,$A2)&gt;0,"Yes",""))</f>
        <v/>
      </c>
    </row>
    <row r="2491" spans="23:26">
      <c r="W2491">
        <f>IF($A2="","",COUNTIF('07_Pallet_Contents'!$A$2:$A$3000,$A2))</f>
        <v>0</v>
      </c>
      <c r="X2491">
        <f>IF($A2="","",SUMIF('07_Pallet_Contents'!$A$2:$A$3000,$A2,'07_Pallet_Contents'!$D$2:$D$3000))</f>
        <v>0</v>
      </c>
      <c r="Y2491">
        <f>IF($A2="","",SUMIF('07_Pallet_Contents'!$A$2:$A$3000,$A2,'07_Pallet_Contents'!$I$2:$I$3000))</f>
        <v>0</v>
      </c>
      <c r="Z2491" t="str">
        <f>IF($A2="","",IF(COUNTIF('07_Pallet_Contents'!$A$2:$A$3000,$A2)&gt;0,"Yes",""))</f>
        <v/>
      </c>
    </row>
    <row r="2492" spans="23:26">
      <c r="W2492">
        <f>IF($A2="","",COUNTIF('07_Pallet_Contents'!$A$2:$A$3000,$A2))</f>
        <v>0</v>
      </c>
      <c r="X2492">
        <f>IF($A2="","",SUMIF('07_Pallet_Contents'!$A$2:$A$3000,$A2,'07_Pallet_Contents'!$D$2:$D$3000))</f>
        <v>0</v>
      </c>
      <c r="Y2492">
        <f>IF($A2="","",SUMIF('07_Pallet_Contents'!$A$2:$A$3000,$A2,'07_Pallet_Contents'!$I$2:$I$3000))</f>
        <v>0</v>
      </c>
      <c r="Z2492" t="str">
        <f>IF($A2="","",IF(COUNTIF('07_Pallet_Contents'!$A$2:$A$3000,$A2)&gt;0,"Yes",""))</f>
        <v/>
      </c>
    </row>
    <row r="2493" spans="23:26">
      <c r="W2493">
        <f>IF($A2="","",COUNTIF('07_Pallet_Contents'!$A$2:$A$3000,$A2))</f>
        <v>0</v>
      </c>
      <c r="X2493">
        <f>IF($A2="","",SUMIF('07_Pallet_Contents'!$A$2:$A$3000,$A2,'07_Pallet_Contents'!$D$2:$D$3000))</f>
        <v>0</v>
      </c>
      <c r="Y2493">
        <f>IF($A2="","",SUMIF('07_Pallet_Contents'!$A$2:$A$3000,$A2,'07_Pallet_Contents'!$I$2:$I$3000))</f>
        <v>0</v>
      </c>
      <c r="Z2493" t="str">
        <f>IF($A2="","",IF(COUNTIF('07_Pallet_Contents'!$A$2:$A$3000,$A2)&gt;0,"Yes",""))</f>
        <v/>
      </c>
    </row>
    <row r="2494" spans="23:26">
      <c r="W2494">
        <f>IF($A2="","",COUNTIF('07_Pallet_Contents'!$A$2:$A$3000,$A2))</f>
        <v>0</v>
      </c>
      <c r="X2494">
        <f>IF($A2="","",SUMIF('07_Pallet_Contents'!$A$2:$A$3000,$A2,'07_Pallet_Contents'!$D$2:$D$3000))</f>
        <v>0</v>
      </c>
      <c r="Y2494">
        <f>IF($A2="","",SUMIF('07_Pallet_Contents'!$A$2:$A$3000,$A2,'07_Pallet_Contents'!$I$2:$I$3000))</f>
        <v>0</v>
      </c>
      <c r="Z2494" t="str">
        <f>IF($A2="","",IF(COUNTIF('07_Pallet_Contents'!$A$2:$A$3000,$A2)&gt;0,"Yes",""))</f>
        <v/>
      </c>
    </row>
    <row r="2495" spans="23:26">
      <c r="W2495">
        <f>IF($A2="","",COUNTIF('07_Pallet_Contents'!$A$2:$A$3000,$A2))</f>
        <v>0</v>
      </c>
      <c r="X2495">
        <f>IF($A2="","",SUMIF('07_Pallet_Contents'!$A$2:$A$3000,$A2,'07_Pallet_Contents'!$D$2:$D$3000))</f>
        <v>0</v>
      </c>
      <c r="Y2495">
        <f>IF($A2="","",SUMIF('07_Pallet_Contents'!$A$2:$A$3000,$A2,'07_Pallet_Contents'!$I$2:$I$3000))</f>
        <v>0</v>
      </c>
      <c r="Z2495" t="str">
        <f>IF($A2="","",IF(COUNTIF('07_Pallet_Contents'!$A$2:$A$3000,$A2)&gt;0,"Yes",""))</f>
        <v/>
      </c>
    </row>
    <row r="2496" spans="23:26">
      <c r="W2496">
        <f>IF($A2="","",COUNTIF('07_Pallet_Contents'!$A$2:$A$3000,$A2))</f>
        <v>0</v>
      </c>
      <c r="X2496">
        <f>IF($A2="","",SUMIF('07_Pallet_Contents'!$A$2:$A$3000,$A2,'07_Pallet_Contents'!$D$2:$D$3000))</f>
        <v>0</v>
      </c>
      <c r="Y2496">
        <f>IF($A2="","",SUMIF('07_Pallet_Contents'!$A$2:$A$3000,$A2,'07_Pallet_Contents'!$I$2:$I$3000))</f>
        <v>0</v>
      </c>
      <c r="Z2496" t="str">
        <f>IF($A2="","",IF(COUNTIF('07_Pallet_Contents'!$A$2:$A$3000,$A2)&gt;0,"Yes",""))</f>
        <v/>
      </c>
    </row>
    <row r="2497" spans="23:26">
      <c r="W2497">
        <f>IF($A2="","",COUNTIF('07_Pallet_Contents'!$A$2:$A$3000,$A2))</f>
        <v>0</v>
      </c>
      <c r="X2497">
        <f>IF($A2="","",SUMIF('07_Pallet_Contents'!$A$2:$A$3000,$A2,'07_Pallet_Contents'!$D$2:$D$3000))</f>
        <v>0</v>
      </c>
      <c r="Y2497">
        <f>IF($A2="","",SUMIF('07_Pallet_Contents'!$A$2:$A$3000,$A2,'07_Pallet_Contents'!$I$2:$I$3000))</f>
        <v>0</v>
      </c>
      <c r="Z2497" t="str">
        <f>IF($A2="","",IF(COUNTIF('07_Pallet_Contents'!$A$2:$A$3000,$A2)&gt;0,"Yes",""))</f>
        <v/>
      </c>
    </row>
    <row r="2498" spans="23:26">
      <c r="W2498">
        <f>IF($A2="","",COUNTIF('07_Pallet_Contents'!$A$2:$A$3000,$A2))</f>
        <v>0</v>
      </c>
      <c r="X2498">
        <f>IF($A2="","",SUMIF('07_Pallet_Contents'!$A$2:$A$3000,$A2,'07_Pallet_Contents'!$D$2:$D$3000))</f>
        <v>0</v>
      </c>
      <c r="Y2498">
        <f>IF($A2="","",SUMIF('07_Pallet_Contents'!$A$2:$A$3000,$A2,'07_Pallet_Contents'!$I$2:$I$3000))</f>
        <v>0</v>
      </c>
      <c r="Z2498" t="str">
        <f>IF($A2="","",IF(COUNTIF('07_Pallet_Contents'!$A$2:$A$3000,$A2)&gt;0,"Yes",""))</f>
        <v/>
      </c>
    </row>
    <row r="2499" spans="23:26">
      <c r="W2499">
        <f>IF($A2="","",COUNTIF('07_Pallet_Contents'!$A$2:$A$3000,$A2))</f>
        <v>0</v>
      </c>
      <c r="X2499">
        <f>IF($A2="","",SUMIF('07_Pallet_Contents'!$A$2:$A$3000,$A2,'07_Pallet_Contents'!$D$2:$D$3000))</f>
        <v>0</v>
      </c>
      <c r="Y2499">
        <f>IF($A2="","",SUMIF('07_Pallet_Contents'!$A$2:$A$3000,$A2,'07_Pallet_Contents'!$I$2:$I$3000))</f>
        <v>0</v>
      </c>
      <c r="Z2499" t="str">
        <f>IF($A2="","",IF(COUNTIF('07_Pallet_Contents'!$A$2:$A$3000,$A2)&gt;0,"Yes",""))</f>
        <v/>
      </c>
    </row>
    <row r="2500" spans="23:26">
      <c r="W2500">
        <f>IF($A2="","",COUNTIF('07_Pallet_Contents'!$A$2:$A$3000,$A2))</f>
        <v>0</v>
      </c>
      <c r="X2500">
        <f>IF($A2="","",SUMIF('07_Pallet_Contents'!$A$2:$A$3000,$A2,'07_Pallet_Contents'!$D$2:$D$3000))</f>
        <v>0</v>
      </c>
      <c r="Y2500">
        <f>IF($A2="","",SUMIF('07_Pallet_Contents'!$A$2:$A$3000,$A2,'07_Pallet_Contents'!$I$2:$I$3000))</f>
        <v>0</v>
      </c>
      <c r="Z2500" t="str">
        <f>IF($A2="","",IF(COUNTIF('07_Pallet_Contents'!$A$2:$A$3000,$A2)&gt;0,"Yes",""))</f>
        <v/>
      </c>
    </row>
    <row r="2501" spans="23:26">
      <c r="W2501">
        <f>IF($A2="","",COUNTIF('07_Pallet_Contents'!$A$2:$A$3000,$A2))</f>
        <v>0</v>
      </c>
      <c r="X2501">
        <f>IF($A2="","",SUMIF('07_Pallet_Contents'!$A$2:$A$3000,$A2,'07_Pallet_Contents'!$D$2:$D$3000))</f>
        <v>0</v>
      </c>
      <c r="Y2501">
        <f>IF($A2="","",SUMIF('07_Pallet_Contents'!$A$2:$A$3000,$A2,'07_Pallet_Contents'!$I$2:$I$3000))</f>
        <v>0</v>
      </c>
      <c r="Z2501" t="str">
        <f>IF($A2="","",IF(COUNTIF('07_Pallet_Contents'!$A$2:$A$3000,$A2)&gt;0,"Yes",""))</f>
        <v/>
      </c>
    </row>
    <row r="2502" spans="23:26">
      <c r="W2502">
        <f>IF($A2="","",COUNTIF('07_Pallet_Contents'!$A$2:$A$3000,$A2))</f>
        <v>0</v>
      </c>
      <c r="X2502">
        <f>IF($A2="","",SUMIF('07_Pallet_Contents'!$A$2:$A$3000,$A2,'07_Pallet_Contents'!$D$2:$D$3000))</f>
        <v>0</v>
      </c>
      <c r="Y2502">
        <f>IF($A2="","",SUMIF('07_Pallet_Contents'!$A$2:$A$3000,$A2,'07_Pallet_Contents'!$I$2:$I$3000))</f>
        <v>0</v>
      </c>
      <c r="Z2502" t="str">
        <f>IF($A2="","",IF(COUNTIF('07_Pallet_Contents'!$A$2:$A$3000,$A2)&gt;0,"Yes",""))</f>
        <v/>
      </c>
    </row>
    <row r="2503" spans="23:26">
      <c r="W2503">
        <f>IF($A2="","",COUNTIF('07_Pallet_Contents'!$A$2:$A$3000,$A2))</f>
        <v>0</v>
      </c>
      <c r="X2503">
        <f>IF($A2="","",SUMIF('07_Pallet_Contents'!$A$2:$A$3000,$A2,'07_Pallet_Contents'!$D$2:$D$3000))</f>
        <v>0</v>
      </c>
      <c r="Y2503">
        <f>IF($A2="","",SUMIF('07_Pallet_Contents'!$A$2:$A$3000,$A2,'07_Pallet_Contents'!$I$2:$I$3000))</f>
        <v>0</v>
      </c>
      <c r="Z2503" t="str">
        <f>IF($A2="","",IF(COUNTIF('07_Pallet_Contents'!$A$2:$A$3000,$A2)&gt;0,"Yes",""))</f>
        <v/>
      </c>
    </row>
    <row r="2504" spans="23:26">
      <c r="W2504">
        <f>IF($A2="","",COUNTIF('07_Pallet_Contents'!$A$2:$A$3000,$A2))</f>
        <v>0</v>
      </c>
      <c r="X2504">
        <f>IF($A2="","",SUMIF('07_Pallet_Contents'!$A$2:$A$3000,$A2,'07_Pallet_Contents'!$D$2:$D$3000))</f>
        <v>0</v>
      </c>
      <c r="Y2504">
        <f>IF($A2="","",SUMIF('07_Pallet_Contents'!$A$2:$A$3000,$A2,'07_Pallet_Contents'!$I$2:$I$3000))</f>
        <v>0</v>
      </c>
      <c r="Z2504" t="str">
        <f>IF($A2="","",IF(COUNTIF('07_Pallet_Contents'!$A$2:$A$3000,$A2)&gt;0,"Yes",""))</f>
        <v/>
      </c>
    </row>
    <row r="2505" spans="23:26">
      <c r="W2505">
        <f>IF($A2="","",COUNTIF('07_Pallet_Contents'!$A$2:$A$3000,$A2))</f>
        <v>0</v>
      </c>
      <c r="X2505">
        <f>IF($A2="","",SUMIF('07_Pallet_Contents'!$A$2:$A$3000,$A2,'07_Pallet_Contents'!$D$2:$D$3000))</f>
        <v>0</v>
      </c>
      <c r="Y2505">
        <f>IF($A2="","",SUMIF('07_Pallet_Contents'!$A$2:$A$3000,$A2,'07_Pallet_Contents'!$I$2:$I$3000))</f>
        <v>0</v>
      </c>
      <c r="Z2505" t="str">
        <f>IF($A2="","",IF(COUNTIF('07_Pallet_Contents'!$A$2:$A$3000,$A2)&gt;0,"Yes",""))</f>
        <v/>
      </c>
    </row>
    <row r="2506" spans="23:26">
      <c r="W2506">
        <f>IF($A2="","",COUNTIF('07_Pallet_Contents'!$A$2:$A$3000,$A2))</f>
        <v>0</v>
      </c>
      <c r="X2506">
        <f>IF($A2="","",SUMIF('07_Pallet_Contents'!$A$2:$A$3000,$A2,'07_Pallet_Contents'!$D$2:$D$3000))</f>
        <v>0</v>
      </c>
      <c r="Y2506">
        <f>IF($A2="","",SUMIF('07_Pallet_Contents'!$A$2:$A$3000,$A2,'07_Pallet_Contents'!$I$2:$I$3000))</f>
        <v>0</v>
      </c>
      <c r="Z2506" t="str">
        <f>IF($A2="","",IF(COUNTIF('07_Pallet_Contents'!$A$2:$A$3000,$A2)&gt;0,"Yes",""))</f>
        <v/>
      </c>
    </row>
    <row r="2507" spans="23:26">
      <c r="W2507">
        <f>IF($A2="","",COUNTIF('07_Pallet_Contents'!$A$2:$A$3000,$A2))</f>
        <v>0</v>
      </c>
      <c r="X2507">
        <f>IF($A2="","",SUMIF('07_Pallet_Contents'!$A$2:$A$3000,$A2,'07_Pallet_Contents'!$D$2:$D$3000))</f>
        <v>0</v>
      </c>
      <c r="Y2507">
        <f>IF($A2="","",SUMIF('07_Pallet_Contents'!$A$2:$A$3000,$A2,'07_Pallet_Contents'!$I$2:$I$3000))</f>
        <v>0</v>
      </c>
      <c r="Z2507" t="str">
        <f>IF($A2="","",IF(COUNTIF('07_Pallet_Contents'!$A$2:$A$3000,$A2)&gt;0,"Yes",""))</f>
        <v/>
      </c>
    </row>
    <row r="2508" spans="23:26">
      <c r="W2508">
        <f>IF($A2="","",COUNTIF('07_Pallet_Contents'!$A$2:$A$3000,$A2))</f>
        <v>0</v>
      </c>
      <c r="X2508">
        <f>IF($A2="","",SUMIF('07_Pallet_Contents'!$A$2:$A$3000,$A2,'07_Pallet_Contents'!$D$2:$D$3000))</f>
        <v>0</v>
      </c>
      <c r="Y2508">
        <f>IF($A2="","",SUMIF('07_Pallet_Contents'!$A$2:$A$3000,$A2,'07_Pallet_Contents'!$I$2:$I$3000))</f>
        <v>0</v>
      </c>
      <c r="Z2508" t="str">
        <f>IF($A2="","",IF(COUNTIF('07_Pallet_Contents'!$A$2:$A$3000,$A2)&gt;0,"Yes",""))</f>
        <v/>
      </c>
    </row>
    <row r="2509" spans="23:26">
      <c r="W2509">
        <f>IF($A2="","",COUNTIF('07_Pallet_Contents'!$A$2:$A$3000,$A2))</f>
        <v>0</v>
      </c>
      <c r="X2509">
        <f>IF($A2="","",SUMIF('07_Pallet_Contents'!$A$2:$A$3000,$A2,'07_Pallet_Contents'!$D$2:$D$3000))</f>
        <v>0</v>
      </c>
      <c r="Y2509">
        <f>IF($A2="","",SUMIF('07_Pallet_Contents'!$A$2:$A$3000,$A2,'07_Pallet_Contents'!$I$2:$I$3000))</f>
        <v>0</v>
      </c>
      <c r="Z2509" t="str">
        <f>IF($A2="","",IF(COUNTIF('07_Pallet_Contents'!$A$2:$A$3000,$A2)&gt;0,"Yes",""))</f>
        <v/>
      </c>
    </row>
    <row r="2510" spans="23:26">
      <c r="W2510">
        <f>IF($A2="","",COUNTIF('07_Pallet_Contents'!$A$2:$A$3000,$A2))</f>
        <v>0</v>
      </c>
      <c r="X2510">
        <f>IF($A2="","",SUMIF('07_Pallet_Contents'!$A$2:$A$3000,$A2,'07_Pallet_Contents'!$D$2:$D$3000))</f>
        <v>0</v>
      </c>
      <c r="Y2510">
        <f>IF($A2="","",SUMIF('07_Pallet_Contents'!$A$2:$A$3000,$A2,'07_Pallet_Contents'!$I$2:$I$3000))</f>
        <v>0</v>
      </c>
      <c r="Z2510" t="str">
        <f>IF($A2="","",IF(COUNTIF('07_Pallet_Contents'!$A$2:$A$3000,$A2)&gt;0,"Yes",""))</f>
        <v/>
      </c>
    </row>
    <row r="2511" spans="23:26">
      <c r="W2511">
        <f>IF($A2="","",COUNTIF('07_Pallet_Contents'!$A$2:$A$3000,$A2))</f>
        <v>0</v>
      </c>
      <c r="X2511">
        <f>IF($A2="","",SUMIF('07_Pallet_Contents'!$A$2:$A$3000,$A2,'07_Pallet_Contents'!$D$2:$D$3000))</f>
        <v>0</v>
      </c>
      <c r="Y2511">
        <f>IF($A2="","",SUMIF('07_Pallet_Contents'!$A$2:$A$3000,$A2,'07_Pallet_Contents'!$I$2:$I$3000))</f>
        <v>0</v>
      </c>
      <c r="Z2511" t="str">
        <f>IF($A2="","",IF(COUNTIF('07_Pallet_Contents'!$A$2:$A$3000,$A2)&gt;0,"Yes",""))</f>
        <v/>
      </c>
    </row>
    <row r="2512" spans="23:26">
      <c r="W2512">
        <f>IF($A2="","",COUNTIF('07_Pallet_Contents'!$A$2:$A$3000,$A2))</f>
        <v>0</v>
      </c>
      <c r="X2512">
        <f>IF($A2="","",SUMIF('07_Pallet_Contents'!$A$2:$A$3000,$A2,'07_Pallet_Contents'!$D$2:$D$3000))</f>
        <v>0</v>
      </c>
      <c r="Y2512">
        <f>IF($A2="","",SUMIF('07_Pallet_Contents'!$A$2:$A$3000,$A2,'07_Pallet_Contents'!$I$2:$I$3000))</f>
        <v>0</v>
      </c>
      <c r="Z2512" t="str">
        <f>IF($A2="","",IF(COUNTIF('07_Pallet_Contents'!$A$2:$A$3000,$A2)&gt;0,"Yes",""))</f>
        <v/>
      </c>
    </row>
    <row r="2513" spans="23:26">
      <c r="W2513">
        <f>IF($A2="","",COUNTIF('07_Pallet_Contents'!$A$2:$A$3000,$A2))</f>
        <v>0</v>
      </c>
      <c r="X2513">
        <f>IF($A2="","",SUMIF('07_Pallet_Contents'!$A$2:$A$3000,$A2,'07_Pallet_Contents'!$D$2:$D$3000))</f>
        <v>0</v>
      </c>
      <c r="Y2513">
        <f>IF($A2="","",SUMIF('07_Pallet_Contents'!$A$2:$A$3000,$A2,'07_Pallet_Contents'!$I$2:$I$3000))</f>
        <v>0</v>
      </c>
      <c r="Z2513" t="str">
        <f>IF($A2="","",IF(COUNTIF('07_Pallet_Contents'!$A$2:$A$3000,$A2)&gt;0,"Yes",""))</f>
        <v/>
      </c>
    </row>
    <row r="2514" spans="23:26">
      <c r="W2514">
        <f>IF($A2="","",COUNTIF('07_Pallet_Contents'!$A$2:$A$3000,$A2))</f>
        <v>0</v>
      </c>
      <c r="X2514">
        <f>IF($A2="","",SUMIF('07_Pallet_Contents'!$A$2:$A$3000,$A2,'07_Pallet_Contents'!$D$2:$D$3000))</f>
        <v>0</v>
      </c>
      <c r="Y2514">
        <f>IF($A2="","",SUMIF('07_Pallet_Contents'!$A$2:$A$3000,$A2,'07_Pallet_Contents'!$I$2:$I$3000))</f>
        <v>0</v>
      </c>
      <c r="Z2514" t="str">
        <f>IF($A2="","",IF(COUNTIF('07_Pallet_Contents'!$A$2:$A$3000,$A2)&gt;0,"Yes",""))</f>
        <v/>
      </c>
    </row>
    <row r="2515" spans="23:26">
      <c r="W2515">
        <f>IF($A2="","",COUNTIF('07_Pallet_Contents'!$A$2:$A$3000,$A2))</f>
        <v>0</v>
      </c>
      <c r="X2515">
        <f>IF($A2="","",SUMIF('07_Pallet_Contents'!$A$2:$A$3000,$A2,'07_Pallet_Contents'!$D$2:$D$3000))</f>
        <v>0</v>
      </c>
      <c r="Y2515">
        <f>IF($A2="","",SUMIF('07_Pallet_Contents'!$A$2:$A$3000,$A2,'07_Pallet_Contents'!$I$2:$I$3000))</f>
        <v>0</v>
      </c>
      <c r="Z2515" t="str">
        <f>IF($A2="","",IF(COUNTIF('07_Pallet_Contents'!$A$2:$A$3000,$A2)&gt;0,"Yes",""))</f>
        <v/>
      </c>
    </row>
    <row r="2516" spans="23:26">
      <c r="W2516">
        <f>IF($A2="","",COUNTIF('07_Pallet_Contents'!$A$2:$A$3000,$A2))</f>
        <v>0</v>
      </c>
      <c r="X2516">
        <f>IF($A2="","",SUMIF('07_Pallet_Contents'!$A$2:$A$3000,$A2,'07_Pallet_Contents'!$D$2:$D$3000))</f>
        <v>0</v>
      </c>
      <c r="Y2516">
        <f>IF($A2="","",SUMIF('07_Pallet_Contents'!$A$2:$A$3000,$A2,'07_Pallet_Contents'!$I$2:$I$3000))</f>
        <v>0</v>
      </c>
      <c r="Z2516" t="str">
        <f>IF($A2="","",IF(COUNTIF('07_Pallet_Contents'!$A$2:$A$3000,$A2)&gt;0,"Yes",""))</f>
        <v/>
      </c>
    </row>
    <row r="2517" spans="23:26">
      <c r="W2517">
        <f>IF($A2="","",COUNTIF('07_Pallet_Contents'!$A$2:$A$3000,$A2))</f>
        <v>0</v>
      </c>
      <c r="X2517">
        <f>IF($A2="","",SUMIF('07_Pallet_Contents'!$A$2:$A$3000,$A2,'07_Pallet_Contents'!$D$2:$D$3000))</f>
        <v>0</v>
      </c>
      <c r="Y2517">
        <f>IF($A2="","",SUMIF('07_Pallet_Contents'!$A$2:$A$3000,$A2,'07_Pallet_Contents'!$I$2:$I$3000))</f>
        <v>0</v>
      </c>
      <c r="Z2517" t="str">
        <f>IF($A2="","",IF(COUNTIF('07_Pallet_Contents'!$A$2:$A$3000,$A2)&gt;0,"Yes",""))</f>
        <v/>
      </c>
    </row>
    <row r="2518" spans="23:26">
      <c r="W2518">
        <f>IF($A2="","",COUNTIF('07_Pallet_Contents'!$A$2:$A$3000,$A2))</f>
        <v>0</v>
      </c>
      <c r="X2518">
        <f>IF($A2="","",SUMIF('07_Pallet_Contents'!$A$2:$A$3000,$A2,'07_Pallet_Contents'!$D$2:$D$3000))</f>
        <v>0</v>
      </c>
      <c r="Y2518">
        <f>IF($A2="","",SUMIF('07_Pallet_Contents'!$A$2:$A$3000,$A2,'07_Pallet_Contents'!$I$2:$I$3000))</f>
        <v>0</v>
      </c>
      <c r="Z2518" t="str">
        <f>IF($A2="","",IF(COUNTIF('07_Pallet_Contents'!$A$2:$A$3000,$A2)&gt;0,"Yes",""))</f>
        <v/>
      </c>
    </row>
    <row r="2519" spans="23:26">
      <c r="W2519">
        <f>IF($A2="","",COUNTIF('07_Pallet_Contents'!$A$2:$A$3000,$A2))</f>
        <v>0</v>
      </c>
      <c r="X2519">
        <f>IF($A2="","",SUMIF('07_Pallet_Contents'!$A$2:$A$3000,$A2,'07_Pallet_Contents'!$D$2:$D$3000))</f>
        <v>0</v>
      </c>
      <c r="Y2519">
        <f>IF($A2="","",SUMIF('07_Pallet_Contents'!$A$2:$A$3000,$A2,'07_Pallet_Contents'!$I$2:$I$3000))</f>
        <v>0</v>
      </c>
      <c r="Z2519" t="str">
        <f>IF($A2="","",IF(COUNTIF('07_Pallet_Contents'!$A$2:$A$3000,$A2)&gt;0,"Yes",""))</f>
        <v/>
      </c>
    </row>
    <row r="2520" spans="23:26">
      <c r="W2520">
        <f>IF($A2="","",COUNTIF('07_Pallet_Contents'!$A$2:$A$3000,$A2))</f>
        <v>0</v>
      </c>
      <c r="X2520">
        <f>IF($A2="","",SUMIF('07_Pallet_Contents'!$A$2:$A$3000,$A2,'07_Pallet_Contents'!$D$2:$D$3000))</f>
        <v>0</v>
      </c>
      <c r="Y2520">
        <f>IF($A2="","",SUMIF('07_Pallet_Contents'!$A$2:$A$3000,$A2,'07_Pallet_Contents'!$I$2:$I$3000))</f>
        <v>0</v>
      </c>
      <c r="Z2520" t="str">
        <f>IF($A2="","",IF(COUNTIF('07_Pallet_Contents'!$A$2:$A$3000,$A2)&gt;0,"Yes",""))</f>
        <v/>
      </c>
    </row>
    <row r="2521" spans="23:26">
      <c r="W2521">
        <f>IF($A2="","",COUNTIF('07_Pallet_Contents'!$A$2:$A$3000,$A2))</f>
        <v>0</v>
      </c>
      <c r="X2521">
        <f>IF($A2="","",SUMIF('07_Pallet_Contents'!$A$2:$A$3000,$A2,'07_Pallet_Contents'!$D$2:$D$3000))</f>
        <v>0</v>
      </c>
      <c r="Y2521">
        <f>IF($A2="","",SUMIF('07_Pallet_Contents'!$A$2:$A$3000,$A2,'07_Pallet_Contents'!$I$2:$I$3000))</f>
        <v>0</v>
      </c>
      <c r="Z2521" t="str">
        <f>IF($A2="","",IF(COUNTIF('07_Pallet_Contents'!$A$2:$A$3000,$A2)&gt;0,"Yes",""))</f>
        <v/>
      </c>
    </row>
    <row r="2522" spans="23:26">
      <c r="W2522">
        <f>IF($A2="","",COUNTIF('07_Pallet_Contents'!$A$2:$A$3000,$A2))</f>
        <v>0</v>
      </c>
      <c r="X2522">
        <f>IF($A2="","",SUMIF('07_Pallet_Contents'!$A$2:$A$3000,$A2,'07_Pallet_Contents'!$D$2:$D$3000))</f>
        <v>0</v>
      </c>
      <c r="Y2522">
        <f>IF($A2="","",SUMIF('07_Pallet_Contents'!$A$2:$A$3000,$A2,'07_Pallet_Contents'!$I$2:$I$3000))</f>
        <v>0</v>
      </c>
      <c r="Z2522" t="str">
        <f>IF($A2="","",IF(COUNTIF('07_Pallet_Contents'!$A$2:$A$3000,$A2)&gt;0,"Yes",""))</f>
        <v/>
      </c>
    </row>
    <row r="2523" spans="23:26">
      <c r="W2523">
        <f>IF($A2="","",COUNTIF('07_Pallet_Contents'!$A$2:$A$3000,$A2))</f>
        <v>0</v>
      </c>
      <c r="X2523">
        <f>IF($A2="","",SUMIF('07_Pallet_Contents'!$A$2:$A$3000,$A2,'07_Pallet_Contents'!$D$2:$D$3000))</f>
        <v>0</v>
      </c>
      <c r="Y2523">
        <f>IF($A2="","",SUMIF('07_Pallet_Contents'!$A$2:$A$3000,$A2,'07_Pallet_Contents'!$I$2:$I$3000))</f>
        <v>0</v>
      </c>
      <c r="Z2523" t="str">
        <f>IF($A2="","",IF(COUNTIF('07_Pallet_Contents'!$A$2:$A$3000,$A2)&gt;0,"Yes",""))</f>
        <v/>
      </c>
    </row>
    <row r="2524" spans="23:26">
      <c r="W2524">
        <f>IF($A2="","",COUNTIF('07_Pallet_Contents'!$A$2:$A$3000,$A2))</f>
        <v>0</v>
      </c>
      <c r="X2524">
        <f>IF($A2="","",SUMIF('07_Pallet_Contents'!$A$2:$A$3000,$A2,'07_Pallet_Contents'!$D$2:$D$3000))</f>
        <v>0</v>
      </c>
      <c r="Y2524">
        <f>IF($A2="","",SUMIF('07_Pallet_Contents'!$A$2:$A$3000,$A2,'07_Pallet_Contents'!$I$2:$I$3000))</f>
        <v>0</v>
      </c>
      <c r="Z2524" t="str">
        <f>IF($A2="","",IF(COUNTIF('07_Pallet_Contents'!$A$2:$A$3000,$A2)&gt;0,"Yes",""))</f>
        <v/>
      </c>
    </row>
    <row r="2525" spans="23:26">
      <c r="W2525">
        <f>IF($A2="","",COUNTIF('07_Pallet_Contents'!$A$2:$A$3000,$A2))</f>
        <v>0</v>
      </c>
      <c r="X2525">
        <f>IF($A2="","",SUMIF('07_Pallet_Contents'!$A$2:$A$3000,$A2,'07_Pallet_Contents'!$D$2:$D$3000))</f>
        <v>0</v>
      </c>
      <c r="Y2525">
        <f>IF($A2="","",SUMIF('07_Pallet_Contents'!$A$2:$A$3000,$A2,'07_Pallet_Contents'!$I$2:$I$3000))</f>
        <v>0</v>
      </c>
      <c r="Z2525" t="str">
        <f>IF($A2="","",IF(COUNTIF('07_Pallet_Contents'!$A$2:$A$3000,$A2)&gt;0,"Yes",""))</f>
        <v/>
      </c>
    </row>
    <row r="2526" spans="23:26">
      <c r="W2526">
        <f>IF($A2="","",COUNTIF('07_Pallet_Contents'!$A$2:$A$3000,$A2))</f>
        <v>0</v>
      </c>
      <c r="X2526">
        <f>IF($A2="","",SUMIF('07_Pallet_Contents'!$A$2:$A$3000,$A2,'07_Pallet_Contents'!$D$2:$D$3000))</f>
        <v>0</v>
      </c>
      <c r="Y2526">
        <f>IF($A2="","",SUMIF('07_Pallet_Contents'!$A$2:$A$3000,$A2,'07_Pallet_Contents'!$I$2:$I$3000))</f>
        <v>0</v>
      </c>
      <c r="Z2526" t="str">
        <f>IF($A2="","",IF(COUNTIF('07_Pallet_Contents'!$A$2:$A$3000,$A2)&gt;0,"Yes",""))</f>
        <v/>
      </c>
    </row>
    <row r="2527" spans="23:26">
      <c r="W2527">
        <f>IF($A2="","",COUNTIF('07_Pallet_Contents'!$A$2:$A$3000,$A2))</f>
        <v>0</v>
      </c>
      <c r="X2527">
        <f>IF($A2="","",SUMIF('07_Pallet_Contents'!$A$2:$A$3000,$A2,'07_Pallet_Contents'!$D$2:$D$3000))</f>
        <v>0</v>
      </c>
      <c r="Y2527">
        <f>IF($A2="","",SUMIF('07_Pallet_Contents'!$A$2:$A$3000,$A2,'07_Pallet_Contents'!$I$2:$I$3000))</f>
        <v>0</v>
      </c>
      <c r="Z2527" t="str">
        <f>IF($A2="","",IF(COUNTIF('07_Pallet_Contents'!$A$2:$A$3000,$A2)&gt;0,"Yes",""))</f>
        <v/>
      </c>
    </row>
    <row r="2528" spans="23:26">
      <c r="W2528">
        <f>IF($A2="","",COUNTIF('07_Pallet_Contents'!$A$2:$A$3000,$A2))</f>
        <v>0</v>
      </c>
      <c r="X2528">
        <f>IF($A2="","",SUMIF('07_Pallet_Contents'!$A$2:$A$3000,$A2,'07_Pallet_Contents'!$D$2:$D$3000))</f>
        <v>0</v>
      </c>
      <c r="Y2528">
        <f>IF($A2="","",SUMIF('07_Pallet_Contents'!$A$2:$A$3000,$A2,'07_Pallet_Contents'!$I$2:$I$3000))</f>
        <v>0</v>
      </c>
      <c r="Z2528" t="str">
        <f>IF($A2="","",IF(COUNTIF('07_Pallet_Contents'!$A$2:$A$3000,$A2)&gt;0,"Yes",""))</f>
        <v/>
      </c>
    </row>
    <row r="2529" spans="23:26">
      <c r="W2529">
        <f>IF($A2="","",COUNTIF('07_Pallet_Contents'!$A$2:$A$3000,$A2))</f>
        <v>0</v>
      </c>
      <c r="X2529">
        <f>IF($A2="","",SUMIF('07_Pallet_Contents'!$A$2:$A$3000,$A2,'07_Pallet_Contents'!$D$2:$D$3000))</f>
        <v>0</v>
      </c>
      <c r="Y2529">
        <f>IF($A2="","",SUMIF('07_Pallet_Contents'!$A$2:$A$3000,$A2,'07_Pallet_Contents'!$I$2:$I$3000))</f>
        <v>0</v>
      </c>
      <c r="Z2529" t="str">
        <f>IF($A2="","",IF(COUNTIF('07_Pallet_Contents'!$A$2:$A$3000,$A2)&gt;0,"Yes",""))</f>
        <v/>
      </c>
    </row>
    <row r="2530" spans="23:26">
      <c r="W2530">
        <f>IF($A2="","",COUNTIF('07_Pallet_Contents'!$A$2:$A$3000,$A2))</f>
        <v>0</v>
      </c>
      <c r="X2530">
        <f>IF($A2="","",SUMIF('07_Pallet_Contents'!$A$2:$A$3000,$A2,'07_Pallet_Contents'!$D$2:$D$3000))</f>
        <v>0</v>
      </c>
      <c r="Y2530">
        <f>IF($A2="","",SUMIF('07_Pallet_Contents'!$A$2:$A$3000,$A2,'07_Pallet_Contents'!$I$2:$I$3000))</f>
        <v>0</v>
      </c>
      <c r="Z2530" t="str">
        <f>IF($A2="","",IF(COUNTIF('07_Pallet_Contents'!$A$2:$A$3000,$A2)&gt;0,"Yes",""))</f>
        <v/>
      </c>
    </row>
    <row r="2531" spans="23:26">
      <c r="W2531">
        <f>IF($A2="","",COUNTIF('07_Pallet_Contents'!$A$2:$A$3000,$A2))</f>
        <v>0</v>
      </c>
      <c r="X2531">
        <f>IF($A2="","",SUMIF('07_Pallet_Contents'!$A$2:$A$3000,$A2,'07_Pallet_Contents'!$D$2:$D$3000))</f>
        <v>0</v>
      </c>
      <c r="Y2531">
        <f>IF($A2="","",SUMIF('07_Pallet_Contents'!$A$2:$A$3000,$A2,'07_Pallet_Contents'!$I$2:$I$3000))</f>
        <v>0</v>
      </c>
      <c r="Z2531" t="str">
        <f>IF($A2="","",IF(COUNTIF('07_Pallet_Contents'!$A$2:$A$3000,$A2)&gt;0,"Yes",""))</f>
        <v/>
      </c>
    </row>
    <row r="2532" spans="23:26">
      <c r="W2532">
        <f>IF($A2="","",COUNTIF('07_Pallet_Contents'!$A$2:$A$3000,$A2))</f>
        <v>0</v>
      </c>
      <c r="X2532">
        <f>IF($A2="","",SUMIF('07_Pallet_Contents'!$A$2:$A$3000,$A2,'07_Pallet_Contents'!$D$2:$D$3000))</f>
        <v>0</v>
      </c>
      <c r="Y2532">
        <f>IF($A2="","",SUMIF('07_Pallet_Contents'!$A$2:$A$3000,$A2,'07_Pallet_Contents'!$I$2:$I$3000))</f>
        <v>0</v>
      </c>
      <c r="Z2532" t="str">
        <f>IF($A2="","",IF(COUNTIF('07_Pallet_Contents'!$A$2:$A$3000,$A2)&gt;0,"Yes",""))</f>
        <v/>
      </c>
    </row>
    <row r="2533" spans="23:26">
      <c r="W2533">
        <f>IF($A2="","",COUNTIF('07_Pallet_Contents'!$A$2:$A$3000,$A2))</f>
        <v>0</v>
      </c>
      <c r="X2533">
        <f>IF($A2="","",SUMIF('07_Pallet_Contents'!$A$2:$A$3000,$A2,'07_Pallet_Contents'!$D$2:$D$3000))</f>
        <v>0</v>
      </c>
      <c r="Y2533">
        <f>IF($A2="","",SUMIF('07_Pallet_Contents'!$A$2:$A$3000,$A2,'07_Pallet_Contents'!$I$2:$I$3000))</f>
        <v>0</v>
      </c>
      <c r="Z2533" t="str">
        <f>IF($A2="","",IF(COUNTIF('07_Pallet_Contents'!$A$2:$A$3000,$A2)&gt;0,"Yes",""))</f>
        <v/>
      </c>
    </row>
    <row r="2534" spans="23:26">
      <c r="W2534">
        <f>IF($A2="","",COUNTIF('07_Pallet_Contents'!$A$2:$A$3000,$A2))</f>
        <v>0</v>
      </c>
      <c r="X2534">
        <f>IF($A2="","",SUMIF('07_Pallet_Contents'!$A$2:$A$3000,$A2,'07_Pallet_Contents'!$D$2:$D$3000))</f>
        <v>0</v>
      </c>
      <c r="Y2534">
        <f>IF($A2="","",SUMIF('07_Pallet_Contents'!$A$2:$A$3000,$A2,'07_Pallet_Contents'!$I$2:$I$3000))</f>
        <v>0</v>
      </c>
      <c r="Z2534" t="str">
        <f>IF($A2="","",IF(COUNTIF('07_Pallet_Contents'!$A$2:$A$3000,$A2)&gt;0,"Yes",""))</f>
        <v/>
      </c>
    </row>
    <row r="2535" spans="23:26">
      <c r="W2535">
        <f>IF($A2="","",COUNTIF('07_Pallet_Contents'!$A$2:$A$3000,$A2))</f>
        <v>0</v>
      </c>
      <c r="X2535">
        <f>IF($A2="","",SUMIF('07_Pallet_Contents'!$A$2:$A$3000,$A2,'07_Pallet_Contents'!$D$2:$D$3000))</f>
        <v>0</v>
      </c>
      <c r="Y2535">
        <f>IF($A2="","",SUMIF('07_Pallet_Contents'!$A$2:$A$3000,$A2,'07_Pallet_Contents'!$I$2:$I$3000))</f>
        <v>0</v>
      </c>
      <c r="Z2535" t="str">
        <f>IF($A2="","",IF(COUNTIF('07_Pallet_Contents'!$A$2:$A$3000,$A2)&gt;0,"Yes",""))</f>
        <v/>
      </c>
    </row>
    <row r="2536" spans="23:26">
      <c r="W2536">
        <f>IF($A2="","",COUNTIF('07_Pallet_Contents'!$A$2:$A$3000,$A2))</f>
        <v>0</v>
      </c>
      <c r="X2536">
        <f>IF($A2="","",SUMIF('07_Pallet_Contents'!$A$2:$A$3000,$A2,'07_Pallet_Contents'!$D$2:$D$3000))</f>
        <v>0</v>
      </c>
      <c r="Y2536">
        <f>IF($A2="","",SUMIF('07_Pallet_Contents'!$A$2:$A$3000,$A2,'07_Pallet_Contents'!$I$2:$I$3000))</f>
        <v>0</v>
      </c>
      <c r="Z2536" t="str">
        <f>IF($A2="","",IF(COUNTIF('07_Pallet_Contents'!$A$2:$A$3000,$A2)&gt;0,"Yes",""))</f>
        <v/>
      </c>
    </row>
    <row r="2537" spans="23:26">
      <c r="W2537">
        <f>IF($A2="","",COUNTIF('07_Pallet_Contents'!$A$2:$A$3000,$A2))</f>
        <v>0</v>
      </c>
      <c r="X2537">
        <f>IF($A2="","",SUMIF('07_Pallet_Contents'!$A$2:$A$3000,$A2,'07_Pallet_Contents'!$D$2:$D$3000))</f>
        <v>0</v>
      </c>
      <c r="Y2537">
        <f>IF($A2="","",SUMIF('07_Pallet_Contents'!$A$2:$A$3000,$A2,'07_Pallet_Contents'!$I$2:$I$3000))</f>
        <v>0</v>
      </c>
      <c r="Z2537" t="str">
        <f>IF($A2="","",IF(COUNTIF('07_Pallet_Contents'!$A$2:$A$3000,$A2)&gt;0,"Yes",""))</f>
        <v/>
      </c>
    </row>
    <row r="2538" spans="23:26">
      <c r="W2538">
        <f>IF($A2="","",COUNTIF('07_Pallet_Contents'!$A$2:$A$3000,$A2))</f>
        <v>0</v>
      </c>
      <c r="X2538">
        <f>IF($A2="","",SUMIF('07_Pallet_Contents'!$A$2:$A$3000,$A2,'07_Pallet_Contents'!$D$2:$D$3000))</f>
        <v>0</v>
      </c>
      <c r="Y2538">
        <f>IF($A2="","",SUMIF('07_Pallet_Contents'!$A$2:$A$3000,$A2,'07_Pallet_Contents'!$I$2:$I$3000))</f>
        <v>0</v>
      </c>
      <c r="Z2538" t="str">
        <f>IF($A2="","",IF(COUNTIF('07_Pallet_Contents'!$A$2:$A$3000,$A2)&gt;0,"Yes",""))</f>
        <v/>
      </c>
    </row>
    <row r="2539" spans="23:26">
      <c r="W2539">
        <f>IF($A2="","",COUNTIF('07_Pallet_Contents'!$A$2:$A$3000,$A2))</f>
        <v>0</v>
      </c>
      <c r="X2539">
        <f>IF($A2="","",SUMIF('07_Pallet_Contents'!$A$2:$A$3000,$A2,'07_Pallet_Contents'!$D$2:$D$3000))</f>
        <v>0</v>
      </c>
      <c r="Y2539">
        <f>IF($A2="","",SUMIF('07_Pallet_Contents'!$A$2:$A$3000,$A2,'07_Pallet_Contents'!$I$2:$I$3000))</f>
        <v>0</v>
      </c>
      <c r="Z2539" t="str">
        <f>IF($A2="","",IF(COUNTIF('07_Pallet_Contents'!$A$2:$A$3000,$A2)&gt;0,"Yes",""))</f>
        <v/>
      </c>
    </row>
    <row r="2540" spans="23:26">
      <c r="W2540">
        <f>IF($A2="","",COUNTIF('07_Pallet_Contents'!$A$2:$A$3000,$A2))</f>
        <v>0</v>
      </c>
      <c r="X2540">
        <f>IF($A2="","",SUMIF('07_Pallet_Contents'!$A$2:$A$3000,$A2,'07_Pallet_Contents'!$D$2:$D$3000))</f>
        <v>0</v>
      </c>
      <c r="Y2540">
        <f>IF($A2="","",SUMIF('07_Pallet_Contents'!$A$2:$A$3000,$A2,'07_Pallet_Contents'!$I$2:$I$3000))</f>
        <v>0</v>
      </c>
      <c r="Z2540" t="str">
        <f>IF($A2="","",IF(COUNTIF('07_Pallet_Contents'!$A$2:$A$3000,$A2)&gt;0,"Yes",""))</f>
        <v/>
      </c>
    </row>
    <row r="2541" spans="23:26">
      <c r="W2541">
        <f>IF($A2="","",COUNTIF('07_Pallet_Contents'!$A$2:$A$3000,$A2))</f>
        <v>0</v>
      </c>
      <c r="X2541">
        <f>IF($A2="","",SUMIF('07_Pallet_Contents'!$A$2:$A$3000,$A2,'07_Pallet_Contents'!$D$2:$D$3000))</f>
        <v>0</v>
      </c>
      <c r="Y2541">
        <f>IF($A2="","",SUMIF('07_Pallet_Contents'!$A$2:$A$3000,$A2,'07_Pallet_Contents'!$I$2:$I$3000))</f>
        <v>0</v>
      </c>
      <c r="Z2541" t="str">
        <f>IF($A2="","",IF(COUNTIF('07_Pallet_Contents'!$A$2:$A$3000,$A2)&gt;0,"Yes",""))</f>
        <v/>
      </c>
    </row>
    <row r="2542" spans="23:26">
      <c r="W2542">
        <f>IF($A2="","",COUNTIF('07_Pallet_Contents'!$A$2:$A$3000,$A2))</f>
        <v>0</v>
      </c>
      <c r="X2542">
        <f>IF($A2="","",SUMIF('07_Pallet_Contents'!$A$2:$A$3000,$A2,'07_Pallet_Contents'!$D$2:$D$3000))</f>
        <v>0</v>
      </c>
      <c r="Y2542">
        <f>IF($A2="","",SUMIF('07_Pallet_Contents'!$A$2:$A$3000,$A2,'07_Pallet_Contents'!$I$2:$I$3000))</f>
        <v>0</v>
      </c>
      <c r="Z2542" t="str">
        <f>IF($A2="","",IF(COUNTIF('07_Pallet_Contents'!$A$2:$A$3000,$A2)&gt;0,"Yes",""))</f>
        <v/>
      </c>
    </row>
    <row r="2543" spans="23:26">
      <c r="W2543">
        <f>IF($A2="","",COUNTIF('07_Pallet_Contents'!$A$2:$A$3000,$A2))</f>
        <v>0</v>
      </c>
      <c r="X2543">
        <f>IF($A2="","",SUMIF('07_Pallet_Contents'!$A$2:$A$3000,$A2,'07_Pallet_Contents'!$D$2:$D$3000))</f>
        <v>0</v>
      </c>
      <c r="Y2543">
        <f>IF($A2="","",SUMIF('07_Pallet_Contents'!$A$2:$A$3000,$A2,'07_Pallet_Contents'!$I$2:$I$3000))</f>
        <v>0</v>
      </c>
      <c r="Z2543" t="str">
        <f>IF($A2="","",IF(COUNTIF('07_Pallet_Contents'!$A$2:$A$3000,$A2)&gt;0,"Yes",""))</f>
        <v/>
      </c>
    </row>
    <row r="2544" spans="23:26">
      <c r="W2544">
        <f>IF($A2="","",COUNTIF('07_Pallet_Contents'!$A$2:$A$3000,$A2))</f>
        <v>0</v>
      </c>
      <c r="X2544">
        <f>IF($A2="","",SUMIF('07_Pallet_Contents'!$A$2:$A$3000,$A2,'07_Pallet_Contents'!$D$2:$D$3000))</f>
        <v>0</v>
      </c>
      <c r="Y2544">
        <f>IF($A2="","",SUMIF('07_Pallet_Contents'!$A$2:$A$3000,$A2,'07_Pallet_Contents'!$I$2:$I$3000))</f>
        <v>0</v>
      </c>
      <c r="Z2544" t="str">
        <f>IF($A2="","",IF(COUNTIF('07_Pallet_Contents'!$A$2:$A$3000,$A2)&gt;0,"Yes",""))</f>
        <v/>
      </c>
    </row>
    <row r="2545" spans="23:26">
      <c r="W2545">
        <f>IF($A2="","",COUNTIF('07_Pallet_Contents'!$A$2:$A$3000,$A2))</f>
        <v>0</v>
      </c>
      <c r="X2545">
        <f>IF($A2="","",SUMIF('07_Pallet_Contents'!$A$2:$A$3000,$A2,'07_Pallet_Contents'!$D$2:$D$3000))</f>
        <v>0</v>
      </c>
      <c r="Y2545">
        <f>IF($A2="","",SUMIF('07_Pallet_Contents'!$A$2:$A$3000,$A2,'07_Pallet_Contents'!$I$2:$I$3000))</f>
        <v>0</v>
      </c>
      <c r="Z2545" t="str">
        <f>IF($A2="","",IF(COUNTIF('07_Pallet_Contents'!$A$2:$A$3000,$A2)&gt;0,"Yes",""))</f>
        <v/>
      </c>
    </row>
    <row r="2546" spans="23:26">
      <c r="W2546">
        <f>IF($A2="","",COUNTIF('07_Pallet_Contents'!$A$2:$A$3000,$A2))</f>
        <v>0</v>
      </c>
      <c r="X2546">
        <f>IF($A2="","",SUMIF('07_Pallet_Contents'!$A$2:$A$3000,$A2,'07_Pallet_Contents'!$D$2:$D$3000))</f>
        <v>0</v>
      </c>
      <c r="Y2546">
        <f>IF($A2="","",SUMIF('07_Pallet_Contents'!$A$2:$A$3000,$A2,'07_Pallet_Contents'!$I$2:$I$3000))</f>
        <v>0</v>
      </c>
      <c r="Z2546" t="str">
        <f>IF($A2="","",IF(COUNTIF('07_Pallet_Contents'!$A$2:$A$3000,$A2)&gt;0,"Yes",""))</f>
        <v/>
      </c>
    </row>
    <row r="2547" spans="23:26">
      <c r="W2547">
        <f>IF($A2="","",COUNTIF('07_Pallet_Contents'!$A$2:$A$3000,$A2))</f>
        <v>0</v>
      </c>
      <c r="X2547">
        <f>IF($A2="","",SUMIF('07_Pallet_Contents'!$A$2:$A$3000,$A2,'07_Pallet_Contents'!$D$2:$D$3000))</f>
        <v>0</v>
      </c>
      <c r="Y2547">
        <f>IF($A2="","",SUMIF('07_Pallet_Contents'!$A$2:$A$3000,$A2,'07_Pallet_Contents'!$I$2:$I$3000))</f>
        <v>0</v>
      </c>
      <c r="Z2547" t="str">
        <f>IF($A2="","",IF(COUNTIF('07_Pallet_Contents'!$A$2:$A$3000,$A2)&gt;0,"Yes",""))</f>
        <v/>
      </c>
    </row>
    <row r="2548" spans="23:26">
      <c r="W2548">
        <f>IF($A2="","",COUNTIF('07_Pallet_Contents'!$A$2:$A$3000,$A2))</f>
        <v>0</v>
      </c>
      <c r="X2548">
        <f>IF($A2="","",SUMIF('07_Pallet_Contents'!$A$2:$A$3000,$A2,'07_Pallet_Contents'!$D$2:$D$3000))</f>
        <v>0</v>
      </c>
      <c r="Y2548">
        <f>IF($A2="","",SUMIF('07_Pallet_Contents'!$A$2:$A$3000,$A2,'07_Pallet_Contents'!$I$2:$I$3000))</f>
        <v>0</v>
      </c>
      <c r="Z2548" t="str">
        <f>IF($A2="","",IF(COUNTIF('07_Pallet_Contents'!$A$2:$A$3000,$A2)&gt;0,"Yes",""))</f>
        <v/>
      </c>
    </row>
    <row r="2549" spans="23:26">
      <c r="W2549">
        <f>IF($A2="","",COUNTIF('07_Pallet_Contents'!$A$2:$A$3000,$A2))</f>
        <v>0</v>
      </c>
      <c r="X2549">
        <f>IF($A2="","",SUMIF('07_Pallet_Contents'!$A$2:$A$3000,$A2,'07_Pallet_Contents'!$D$2:$D$3000))</f>
        <v>0</v>
      </c>
      <c r="Y2549">
        <f>IF($A2="","",SUMIF('07_Pallet_Contents'!$A$2:$A$3000,$A2,'07_Pallet_Contents'!$I$2:$I$3000))</f>
        <v>0</v>
      </c>
      <c r="Z2549" t="str">
        <f>IF($A2="","",IF(COUNTIF('07_Pallet_Contents'!$A$2:$A$3000,$A2)&gt;0,"Yes",""))</f>
        <v/>
      </c>
    </row>
    <row r="2550" spans="23:26">
      <c r="W2550">
        <f>IF($A2="","",COUNTIF('07_Pallet_Contents'!$A$2:$A$3000,$A2))</f>
        <v>0</v>
      </c>
      <c r="X2550">
        <f>IF($A2="","",SUMIF('07_Pallet_Contents'!$A$2:$A$3000,$A2,'07_Pallet_Contents'!$D$2:$D$3000))</f>
        <v>0</v>
      </c>
      <c r="Y2550">
        <f>IF($A2="","",SUMIF('07_Pallet_Contents'!$A$2:$A$3000,$A2,'07_Pallet_Contents'!$I$2:$I$3000))</f>
        <v>0</v>
      </c>
      <c r="Z2550" t="str">
        <f>IF($A2="","",IF(COUNTIF('07_Pallet_Contents'!$A$2:$A$3000,$A2)&gt;0,"Yes",""))</f>
        <v/>
      </c>
    </row>
    <row r="2551" spans="23:26">
      <c r="W2551">
        <f>IF($A2="","",COUNTIF('07_Pallet_Contents'!$A$2:$A$3000,$A2))</f>
        <v>0</v>
      </c>
      <c r="X2551">
        <f>IF($A2="","",SUMIF('07_Pallet_Contents'!$A$2:$A$3000,$A2,'07_Pallet_Contents'!$D$2:$D$3000))</f>
        <v>0</v>
      </c>
      <c r="Y2551">
        <f>IF($A2="","",SUMIF('07_Pallet_Contents'!$A$2:$A$3000,$A2,'07_Pallet_Contents'!$I$2:$I$3000))</f>
        <v>0</v>
      </c>
      <c r="Z2551" t="str">
        <f>IF($A2="","",IF(COUNTIF('07_Pallet_Contents'!$A$2:$A$3000,$A2)&gt;0,"Yes",""))</f>
        <v/>
      </c>
    </row>
    <row r="2552" spans="23:26">
      <c r="W2552">
        <f>IF($A2="","",COUNTIF('07_Pallet_Contents'!$A$2:$A$3000,$A2))</f>
        <v>0</v>
      </c>
      <c r="X2552">
        <f>IF($A2="","",SUMIF('07_Pallet_Contents'!$A$2:$A$3000,$A2,'07_Pallet_Contents'!$D$2:$D$3000))</f>
        <v>0</v>
      </c>
      <c r="Y2552">
        <f>IF($A2="","",SUMIF('07_Pallet_Contents'!$A$2:$A$3000,$A2,'07_Pallet_Contents'!$I$2:$I$3000))</f>
        <v>0</v>
      </c>
      <c r="Z2552" t="str">
        <f>IF($A2="","",IF(COUNTIF('07_Pallet_Contents'!$A$2:$A$3000,$A2)&gt;0,"Yes",""))</f>
        <v/>
      </c>
    </row>
    <row r="2553" spans="23:26">
      <c r="W2553">
        <f>IF($A2="","",COUNTIF('07_Pallet_Contents'!$A$2:$A$3000,$A2))</f>
        <v>0</v>
      </c>
      <c r="X2553">
        <f>IF($A2="","",SUMIF('07_Pallet_Contents'!$A$2:$A$3000,$A2,'07_Pallet_Contents'!$D$2:$D$3000))</f>
        <v>0</v>
      </c>
      <c r="Y2553">
        <f>IF($A2="","",SUMIF('07_Pallet_Contents'!$A$2:$A$3000,$A2,'07_Pallet_Contents'!$I$2:$I$3000))</f>
        <v>0</v>
      </c>
      <c r="Z2553" t="str">
        <f>IF($A2="","",IF(COUNTIF('07_Pallet_Contents'!$A$2:$A$3000,$A2)&gt;0,"Yes",""))</f>
        <v/>
      </c>
    </row>
    <row r="2554" spans="23:26">
      <c r="W2554">
        <f>IF($A2="","",COUNTIF('07_Pallet_Contents'!$A$2:$A$3000,$A2))</f>
        <v>0</v>
      </c>
      <c r="X2554">
        <f>IF($A2="","",SUMIF('07_Pallet_Contents'!$A$2:$A$3000,$A2,'07_Pallet_Contents'!$D$2:$D$3000))</f>
        <v>0</v>
      </c>
      <c r="Y2554">
        <f>IF($A2="","",SUMIF('07_Pallet_Contents'!$A$2:$A$3000,$A2,'07_Pallet_Contents'!$I$2:$I$3000))</f>
        <v>0</v>
      </c>
      <c r="Z2554" t="str">
        <f>IF($A2="","",IF(COUNTIF('07_Pallet_Contents'!$A$2:$A$3000,$A2)&gt;0,"Yes",""))</f>
        <v/>
      </c>
    </row>
    <row r="2555" spans="23:26">
      <c r="W2555">
        <f>IF($A2="","",COUNTIF('07_Pallet_Contents'!$A$2:$A$3000,$A2))</f>
        <v>0</v>
      </c>
      <c r="X2555">
        <f>IF($A2="","",SUMIF('07_Pallet_Contents'!$A$2:$A$3000,$A2,'07_Pallet_Contents'!$D$2:$D$3000))</f>
        <v>0</v>
      </c>
      <c r="Y2555">
        <f>IF($A2="","",SUMIF('07_Pallet_Contents'!$A$2:$A$3000,$A2,'07_Pallet_Contents'!$I$2:$I$3000))</f>
        <v>0</v>
      </c>
      <c r="Z2555" t="str">
        <f>IF($A2="","",IF(COUNTIF('07_Pallet_Contents'!$A$2:$A$3000,$A2)&gt;0,"Yes",""))</f>
        <v/>
      </c>
    </row>
    <row r="2556" spans="23:26">
      <c r="W2556">
        <f>IF($A2="","",COUNTIF('07_Pallet_Contents'!$A$2:$A$3000,$A2))</f>
        <v>0</v>
      </c>
      <c r="X2556">
        <f>IF($A2="","",SUMIF('07_Pallet_Contents'!$A$2:$A$3000,$A2,'07_Pallet_Contents'!$D$2:$D$3000))</f>
        <v>0</v>
      </c>
      <c r="Y2556">
        <f>IF($A2="","",SUMIF('07_Pallet_Contents'!$A$2:$A$3000,$A2,'07_Pallet_Contents'!$I$2:$I$3000))</f>
        <v>0</v>
      </c>
      <c r="Z2556" t="str">
        <f>IF($A2="","",IF(COUNTIF('07_Pallet_Contents'!$A$2:$A$3000,$A2)&gt;0,"Yes",""))</f>
        <v/>
      </c>
    </row>
    <row r="2557" spans="23:26">
      <c r="W2557">
        <f>IF($A2="","",COUNTIF('07_Pallet_Contents'!$A$2:$A$3000,$A2))</f>
        <v>0</v>
      </c>
      <c r="X2557">
        <f>IF($A2="","",SUMIF('07_Pallet_Contents'!$A$2:$A$3000,$A2,'07_Pallet_Contents'!$D$2:$D$3000))</f>
        <v>0</v>
      </c>
      <c r="Y2557">
        <f>IF($A2="","",SUMIF('07_Pallet_Contents'!$A$2:$A$3000,$A2,'07_Pallet_Contents'!$I$2:$I$3000))</f>
        <v>0</v>
      </c>
      <c r="Z2557" t="str">
        <f>IF($A2="","",IF(COUNTIF('07_Pallet_Contents'!$A$2:$A$3000,$A2)&gt;0,"Yes",""))</f>
        <v/>
      </c>
    </row>
    <row r="2558" spans="23:26">
      <c r="W2558">
        <f>IF($A2="","",COUNTIF('07_Pallet_Contents'!$A$2:$A$3000,$A2))</f>
        <v>0</v>
      </c>
      <c r="X2558">
        <f>IF($A2="","",SUMIF('07_Pallet_Contents'!$A$2:$A$3000,$A2,'07_Pallet_Contents'!$D$2:$D$3000))</f>
        <v>0</v>
      </c>
      <c r="Y2558">
        <f>IF($A2="","",SUMIF('07_Pallet_Contents'!$A$2:$A$3000,$A2,'07_Pallet_Contents'!$I$2:$I$3000))</f>
        <v>0</v>
      </c>
      <c r="Z2558" t="str">
        <f>IF($A2="","",IF(COUNTIF('07_Pallet_Contents'!$A$2:$A$3000,$A2)&gt;0,"Yes",""))</f>
        <v/>
      </c>
    </row>
    <row r="2559" spans="23:26">
      <c r="W2559">
        <f>IF($A2="","",COUNTIF('07_Pallet_Contents'!$A$2:$A$3000,$A2))</f>
        <v>0</v>
      </c>
      <c r="X2559">
        <f>IF($A2="","",SUMIF('07_Pallet_Contents'!$A$2:$A$3000,$A2,'07_Pallet_Contents'!$D$2:$D$3000))</f>
        <v>0</v>
      </c>
      <c r="Y2559">
        <f>IF($A2="","",SUMIF('07_Pallet_Contents'!$A$2:$A$3000,$A2,'07_Pallet_Contents'!$I$2:$I$3000))</f>
        <v>0</v>
      </c>
      <c r="Z2559" t="str">
        <f>IF($A2="","",IF(COUNTIF('07_Pallet_Contents'!$A$2:$A$3000,$A2)&gt;0,"Yes",""))</f>
        <v/>
      </c>
    </row>
    <row r="2560" spans="23:26">
      <c r="W2560">
        <f>IF($A2="","",COUNTIF('07_Pallet_Contents'!$A$2:$A$3000,$A2))</f>
        <v>0</v>
      </c>
      <c r="X2560">
        <f>IF($A2="","",SUMIF('07_Pallet_Contents'!$A$2:$A$3000,$A2,'07_Pallet_Contents'!$D$2:$D$3000))</f>
        <v>0</v>
      </c>
      <c r="Y2560">
        <f>IF($A2="","",SUMIF('07_Pallet_Contents'!$A$2:$A$3000,$A2,'07_Pallet_Contents'!$I$2:$I$3000))</f>
        <v>0</v>
      </c>
      <c r="Z2560" t="str">
        <f>IF($A2="","",IF(COUNTIF('07_Pallet_Contents'!$A$2:$A$3000,$A2)&gt;0,"Yes",""))</f>
        <v/>
      </c>
    </row>
    <row r="2561" spans="23:26">
      <c r="W2561">
        <f>IF($A2="","",COUNTIF('07_Pallet_Contents'!$A$2:$A$3000,$A2))</f>
        <v>0</v>
      </c>
      <c r="X2561">
        <f>IF($A2="","",SUMIF('07_Pallet_Contents'!$A$2:$A$3000,$A2,'07_Pallet_Contents'!$D$2:$D$3000))</f>
        <v>0</v>
      </c>
      <c r="Y2561">
        <f>IF($A2="","",SUMIF('07_Pallet_Contents'!$A$2:$A$3000,$A2,'07_Pallet_Contents'!$I$2:$I$3000))</f>
        <v>0</v>
      </c>
      <c r="Z2561" t="str">
        <f>IF($A2="","",IF(COUNTIF('07_Pallet_Contents'!$A$2:$A$3000,$A2)&gt;0,"Yes",""))</f>
        <v/>
      </c>
    </row>
    <row r="2562" spans="23:26">
      <c r="W2562">
        <f>IF($A2="","",COUNTIF('07_Pallet_Contents'!$A$2:$A$3000,$A2))</f>
        <v>0</v>
      </c>
      <c r="X2562">
        <f>IF($A2="","",SUMIF('07_Pallet_Contents'!$A$2:$A$3000,$A2,'07_Pallet_Contents'!$D$2:$D$3000))</f>
        <v>0</v>
      </c>
      <c r="Y2562">
        <f>IF($A2="","",SUMIF('07_Pallet_Contents'!$A$2:$A$3000,$A2,'07_Pallet_Contents'!$I$2:$I$3000))</f>
        <v>0</v>
      </c>
      <c r="Z2562" t="str">
        <f>IF($A2="","",IF(COUNTIF('07_Pallet_Contents'!$A$2:$A$3000,$A2)&gt;0,"Yes",""))</f>
        <v/>
      </c>
    </row>
    <row r="2563" spans="23:26">
      <c r="W2563">
        <f>IF($A2="","",COUNTIF('07_Pallet_Contents'!$A$2:$A$3000,$A2))</f>
        <v>0</v>
      </c>
      <c r="X2563">
        <f>IF($A2="","",SUMIF('07_Pallet_Contents'!$A$2:$A$3000,$A2,'07_Pallet_Contents'!$D$2:$D$3000))</f>
        <v>0</v>
      </c>
      <c r="Y2563">
        <f>IF($A2="","",SUMIF('07_Pallet_Contents'!$A$2:$A$3000,$A2,'07_Pallet_Contents'!$I$2:$I$3000))</f>
        <v>0</v>
      </c>
      <c r="Z2563" t="str">
        <f>IF($A2="","",IF(COUNTIF('07_Pallet_Contents'!$A$2:$A$3000,$A2)&gt;0,"Yes",""))</f>
        <v/>
      </c>
    </row>
    <row r="2564" spans="23:26">
      <c r="W2564">
        <f>IF($A2="","",COUNTIF('07_Pallet_Contents'!$A$2:$A$3000,$A2))</f>
        <v>0</v>
      </c>
      <c r="X2564">
        <f>IF($A2="","",SUMIF('07_Pallet_Contents'!$A$2:$A$3000,$A2,'07_Pallet_Contents'!$D$2:$D$3000))</f>
        <v>0</v>
      </c>
      <c r="Y2564">
        <f>IF($A2="","",SUMIF('07_Pallet_Contents'!$A$2:$A$3000,$A2,'07_Pallet_Contents'!$I$2:$I$3000))</f>
        <v>0</v>
      </c>
      <c r="Z2564" t="str">
        <f>IF($A2="","",IF(COUNTIF('07_Pallet_Contents'!$A$2:$A$3000,$A2)&gt;0,"Yes",""))</f>
        <v/>
      </c>
    </row>
    <row r="2565" spans="23:26">
      <c r="W2565">
        <f>IF($A2="","",COUNTIF('07_Pallet_Contents'!$A$2:$A$3000,$A2))</f>
        <v>0</v>
      </c>
      <c r="X2565">
        <f>IF($A2="","",SUMIF('07_Pallet_Contents'!$A$2:$A$3000,$A2,'07_Pallet_Contents'!$D$2:$D$3000))</f>
        <v>0</v>
      </c>
      <c r="Y2565">
        <f>IF($A2="","",SUMIF('07_Pallet_Contents'!$A$2:$A$3000,$A2,'07_Pallet_Contents'!$I$2:$I$3000))</f>
        <v>0</v>
      </c>
      <c r="Z2565" t="str">
        <f>IF($A2="","",IF(COUNTIF('07_Pallet_Contents'!$A$2:$A$3000,$A2)&gt;0,"Yes",""))</f>
        <v/>
      </c>
    </row>
    <row r="2566" spans="23:26">
      <c r="W2566">
        <f>IF($A2="","",COUNTIF('07_Pallet_Contents'!$A$2:$A$3000,$A2))</f>
        <v>0</v>
      </c>
      <c r="X2566">
        <f>IF($A2="","",SUMIF('07_Pallet_Contents'!$A$2:$A$3000,$A2,'07_Pallet_Contents'!$D$2:$D$3000))</f>
        <v>0</v>
      </c>
      <c r="Y2566">
        <f>IF($A2="","",SUMIF('07_Pallet_Contents'!$A$2:$A$3000,$A2,'07_Pallet_Contents'!$I$2:$I$3000))</f>
        <v>0</v>
      </c>
      <c r="Z2566" t="str">
        <f>IF($A2="","",IF(COUNTIF('07_Pallet_Contents'!$A$2:$A$3000,$A2)&gt;0,"Yes",""))</f>
        <v/>
      </c>
    </row>
    <row r="2567" spans="23:26">
      <c r="W2567">
        <f>IF($A2="","",COUNTIF('07_Pallet_Contents'!$A$2:$A$3000,$A2))</f>
        <v>0</v>
      </c>
      <c r="X2567">
        <f>IF($A2="","",SUMIF('07_Pallet_Contents'!$A$2:$A$3000,$A2,'07_Pallet_Contents'!$D$2:$D$3000))</f>
        <v>0</v>
      </c>
      <c r="Y2567">
        <f>IF($A2="","",SUMIF('07_Pallet_Contents'!$A$2:$A$3000,$A2,'07_Pallet_Contents'!$I$2:$I$3000))</f>
        <v>0</v>
      </c>
      <c r="Z2567" t="str">
        <f>IF($A2="","",IF(COUNTIF('07_Pallet_Contents'!$A$2:$A$3000,$A2)&gt;0,"Yes",""))</f>
        <v/>
      </c>
    </row>
    <row r="2568" spans="23:26">
      <c r="W2568">
        <f>IF($A2="","",COUNTIF('07_Pallet_Contents'!$A$2:$A$3000,$A2))</f>
        <v>0</v>
      </c>
      <c r="X2568">
        <f>IF($A2="","",SUMIF('07_Pallet_Contents'!$A$2:$A$3000,$A2,'07_Pallet_Contents'!$D$2:$D$3000))</f>
        <v>0</v>
      </c>
      <c r="Y2568">
        <f>IF($A2="","",SUMIF('07_Pallet_Contents'!$A$2:$A$3000,$A2,'07_Pallet_Contents'!$I$2:$I$3000))</f>
        <v>0</v>
      </c>
      <c r="Z2568" t="str">
        <f>IF($A2="","",IF(COUNTIF('07_Pallet_Contents'!$A$2:$A$3000,$A2)&gt;0,"Yes",""))</f>
        <v/>
      </c>
    </row>
    <row r="2569" spans="23:26">
      <c r="W2569">
        <f>IF($A2="","",COUNTIF('07_Pallet_Contents'!$A$2:$A$3000,$A2))</f>
        <v>0</v>
      </c>
      <c r="X2569">
        <f>IF($A2="","",SUMIF('07_Pallet_Contents'!$A$2:$A$3000,$A2,'07_Pallet_Contents'!$D$2:$D$3000))</f>
        <v>0</v>
      </c>
      <c r="Y2569">
        <f>IF($A2="","",SUMIF('07_Pallet_Contents'!$A$2:$A$3000,$A2,'07_Pallet_Contents'!$I$2:$I$3000))</f>
        <v>0</v>
      </c>
      <c r="Z2569" t="str">
        <f>IF($A2="","",IF(COUNTIF('07_Pallet_Contents'!$A$2:$A$3000,$A2)&gt;0,"Yes",""))</f>
        <v/>
      </c>
    </row>
    <row r="2570" spans="23:26">
      <c r="W2570">
        <f>IF($A2="","",COUNTIF('07_Pallet_Contents'!$A$2:$A$3000,$A2))</f>
        <v>0</v>
      </c>
      <c r="X2570">
        <f>IF($A2="","",SUMIF('07_Pallet_Contents'!$A$2:$A$3000,$A2,'07_Pallet_Contents'!$D$2:$D$3000))</f>
        <v>0</v>
      </c>
      <c r="Y2570">
        <f>IF($A2="","",SUMIF('07_Pallet_Contents'!$A$2:$A$3000,$A2,'07_Pallet_Contents'!$I$2:$I$3000))</f>
        <v>0</v>
      </c>
      <c r="Z2570" t="str">
        <f>IF($A2="","",IF(COUNTIF('07_Pallet_Contents'!$A$2:$A$3000,$A2)&gt;0,"Yes",""))</f>
        <v/>
      </c>
    </row>
    <row r="2571" spans="23:26">
      <c r="W2571">
        <f>IF($A2="","",COUNTIF('07_Pallet_Contents'!$A$2:$A$3000,$A2))</f>
        <v>0</v>
      </c>
      <c r="X2571">
        <f>IF($A2="","",SUMIF('07_Pallet_Contents'!$A$2:$A$3000,$A2,'07_Pallet_Contents'!$D$2:$D$3000))</f>
        <v>0</v>
      </c>
      <c r="Y2571">
        <f>IF($A2="","",SUMIF('07_Pallet_Contents'!$A$2:$A$3000,$A2,'07_Pallet_Contents'!$I$2:$I$3000))</f>
        <v>0</v>
      </c>
      <c r="Z2571" t="str">
        <f>IF($A2="","",IF(COUNTIF('07_Pallet_Contents'!$A$2:$A$3000,$A2)&gt;0,"Yes",""))</f>
        <v/>
      </c>
    </row>
    <row r="2572" spans="23:26">
      <c r="W2572">
        <f>IF($A2="","",COUNTIF('07_Pallet_Contents'!$A$2:$A$3000,$A2))</f>
        <v>0</v>
      </c>
      <c r="X2572">
        <f>IF($A2="","",SUMIF('07_Pallet_Contents'!$A$2:$A$3000,$A2,'07_Pallet_Contents'!$D$2:$D$3000))</f>
        <v>0</v>
      </c>
      <c r="Y2572">
        <f>IF($A2="","",SUMIF('07_Pallet_Contents'!$A$2:$A$3000,$A2,'07_Pallet_Contents'!$I$2:$I$3000))</f>
        <v>0</v>
      </c>
      <c r="Z2572" t="str">
        <f>IF($A2="","",IF(COUNTIF('07_Pallet_Contents'!$A$2:$A$3000,$A2)&gt;0,"Yes",""))</f>
        <v/>
      </c>
    </row>
    <row r="2573" spans="23:26">
      <c r="W2573">
        <f>IF($A2="","",COUNTIF('07_Pallet_Contents'!$A$2:$A$3000,$A2))</f>
        <v>0</v>
      </c>
      <c r="X2573">
        <f>IF($A2="","",SUMIF('07_Pallet_Contents'!$A$2:$A$3000,$A2,'07_Pallet_Contents'!$D$2:$D$3000))</f>
        <v>0</v>
      </c>
      <c r="Y2573">
        <f>IF($A2="","",SUMIF('07_Pallet_Contents'!$A$2:$A$3000,$A2,'07_Pallet_Contents'!$I$2:$I$3000))</f>
        <v>0</v>
      </c>
      <c r="Z2573" t="str">
        <f>IF($A2="","",IF(COUNTIF('07_Pallet_Contents'!$A$2:$A$3000,$A2)&gt;0,"Yes",""))</f>
        <v/>
      </c>
    </row>
    <row r="2574" spans="23:26">
      <c r="W2574">
        <f>IF($A2="","",COUNTIF('07_Pallet_Contents'!$A$2:$A$3000,$A2))</f>
        <v>0</v>
      </c>
      <c r="X2574">
        <f>IF($A2="","",SUMIF('07_Pallet_Contents'!$A$2:$A$3000,$A2,'07_Pallet_Contents'!$D$2:$D$3000))</f>
        <v>0</v>
      </c>
      <c r="Y2574">
        <f>IF($A2="","",SUMIF('07_Pallet_Contents'!$A$2:$A$3000,$A2,'07_Pallet_Contents'!$I$2:$I$3000))</f>
        <v>0</v>
      </c>
      <c r="Z2574" t="str">
        <f>IF($A2="","",IF(COUNTIF('07_Pallet_Contents'!$A$2:$A$3000,$A2)&gt;0,"Yes",""))</f>
        <v/>
      </c>
    </row>
    <row r="2575" spans="23:26">
      <c r="W2575">
        <f>IF($A2="","",COUNTIF('07_Pallet_Contents'!$A$2:$A$3000,$A2))</f>
        <v>0</v>
      </c>
      <c r="X2575">
        <f>IF($A2="","",SUMIF('07_Pallet_Contents'!$A$2:$A$3000,$A2,'07_Pallet_Contents'!$D$2:$D$3000))</f>
        <v>0</v>
      </c>
      <c r="Y2575">
        <f>IF($A2="","",SUMIF('07_Pallet_Contents'!$A$2:$A$3000,$A2,'07_Pallet_Contents'!$I$2:$I$3000))</f>
        <v>0</v>
      </c>
      <c r="Z2575" t="str">
        <f>IF($A2="","",IF(COUNTIF('07_Pallet_Contents'!$A$2:$A$3000,$A2)&gt;0,"Yes",""))</f>
        <v/>
      </c>
    </row>
    <row r="2576" spans="23:26">
      <c r="W2576">
        <f>IF($A2="","",COUNTIF('07_Pallet_Contents'!$A$2:$A$3000,$A2))</f>
        <v>0</v>
      </c>
      <c r="X2576">
        <f>IF($A2="","",SUMIF('07_Pallet_Contents'!$A$2:$A$3000,$A2,'07_Pallet_Contents'!$D$2:$D$3000))</f>
        <v>0</v>
      </c>
      <c r="Y2576">
        <f>IF($A2="","",SUMIF('07_Pallet_Contents'!$A$2:$A$3000,$A2,'07_Pallet_Contents'!$I$2:$I$3000))</f>
        <v>0</v>
      </c>
      <c r="Z2576" t="str">
        <f>IF($A2="","",IF(COUNTIF('07_Pallet_Contents'!$A$2:$A$3000,$A2)&gt;0,"Yes",""))</f>
        <v/>
      </c>
    </row>
    <row r="2577" spans="23:26">
      <c r="W2577">
        <f>IF($A2="","",COUNTIF('07_Pallet_Contents'!$A$2:$A$3000,$A2))</f>
        <v>0</v>
      </c>
      <c r="X2577">
        <f>IF($A2="","",SUMIF('07_Pallet_Contents'!$A$2:$A$3000,$A2,'07_Pallet_Contents'!$D$2:$D$3000))</f>
        <v>0</v>
      </c>
      <c r="Y2577">
        <f>IF($A2="","",SUMIF('07_Pallet_Contents'!$A$2:$A$3000,$A2,'07_Pallet_Contents'!$I$2:$I$3000))</f>
        <v>0</v>
      </c>
      <c r="Z2577" t="str">
        <f>IF($A2="","",IF(COUNTIF('07_Pallet_Contents'!$A$2:$A$3000,$A2)&gt;0,"Yes",""))</f>
        <v/>
      </c>
    </row>
    <row r="2578" spans="23:26">
      <c r="W2578">
        <f>IF($A2="","",COUNTIF('07_Pallet_Contents'!$A$2:$A$3000,$A2))</f>
        <v>0</v>
      </c>
      <c r="X2578">
        <f>IF($A2="","",SUMIF('07_Pallet_Contents'!$A$2:$A$3000,$A2,'07_Pallet_Contents'!$D$2:$D$3000))</f>
        <v>0</v>
      </c>
      <c r="Y2578">
        <f>IF($A2="","",SUMIF('07_Pallet_Contents'!$A$2:$A$3000,$A2,'07_Pallet_Contents'!$I$2:$I$3000))</f>
        <v>0</v>
      </c>
      <c r="Z2578" t="str">
        <f>IF($A2="","",IF(COUNTIF('07_Pallet_Contents'!$A$2:$A$3000,$A2)&gt;0,"Yes",""))</f>
        <v/>
      </c>
    </row>
    <row r="2579" spans="23:26">
      <c r="W2579">
        <f>IF($A2="","",COUNTIF('07_Pallet_Contents'!$A$2:$A$3000,$A2))</f>
        <v>0</v>
      </c>
      <c r="X2579">
        <f>IF($A2="","",SUMIF('07_Pallet_Contents'!$A$2:$A$3000,$A2,'07_Pallet_Contents'!$D$2:$D$3000))</f>
        <v>0</v>
      </c>
      <c r="Y2579">
        <f>IF($A2="","",SUMIF('07_Pallet_Contents'!$A$2:$A$3000,$A2,'07_Pallet_Contents'!$I$2:$I$3000))</f>
        <v>0</v>
      </c>
      <c r="Z2579" t="str">
        <f>IF($A2="","",IF(COUNTIF('07_Pallet_Contents'!$A$2:$A$3000,$A2)&gt;0,"Yes",""))</f>
        <v/>
      </c>
    </row>
    <row r="2580" spans="23:26">
      <c r="W2580">
        <f>IF($A2="","",COUNTIF('07_Pallet_Contents'!$A$2:$A$3000,$A2))</f>
        <v>0</v>
      </c>
      <c r="X2580">
        <f>IF($A2="","",SUMIF('07_Pallet_Contents'!$A$2:$A$3000,$A2,'07_Pallet_Contents'!$D$2:$D$3000))</f>
        <v>0</v>
      </c>
      <c r="Y2580">
        <f>IF($A2="","",SUMIF('07_Pallet_Contents'!$A$2:$A$3000,$A2,'07_Pallet_Contents'!$I$2:$I$3000))</f>
        <v>0</v>
      </c>
      <c r="Z2580" t="str">
        <f>IF($A2="","",IF(COUNTIF('07_Pallet_Contents'!$A$2:$A$3000,$A2)&gt;0,"Yes",""))</f>
        <v/>
      </c>
    </row>
    <row r="2581" spans="23:26">
      <c r="W2581">
        <f>IF($A2="","",COUNTIF('07_Pallet_Contents'!$A$2:$A$3000,$A2))</f>
        <v>0</v>
      </c>
      <c r="X2581">
        <f>IF($A2="","",SUMIF('07_Pallet_Contents'!$A$2:$A$3000,$A2,'07_Pallet_Contents'!$D$2:$D$3000))</f>
        <v>0</v>
      </c>
      <c r="Y2581">
        <f>IF($A2="","",SUMIF('07_Pallet_Contents'!$A$2:$A$3000,$A2,'07_Pallet_Contents'!$I$2:$I$3000))</f>
        <v>0</v>
      </c>
      <c r="Z2581" t="str">
        <f>IF($A2="","",IF(COUNTIF('07_Pallet_Contents'!$A$2:$A$3000,$A2)&gt;0,"Yes",""))</f>
        <v/>
      </c>
    </row>
    <row r="2582" spans="23:26">
      <c r="W2582">
        <f>IF($A2="","",COUNTIF('07_Pallet_Contents'!$A$2:$A$3000,$A2))</f>
        <v>0</v>
      </c>
      <c r="X2582">
        <f>IF($A2="","",SUMIF('07_Pallet_Contents'!$A$2:$A$3000,$A2,'07_Pallet_Contents'!$D$2:$D$3000))</f>
        <v>0</v>
      </c>
      <c r="Y2582">
        <f>IF($A2="","",SUMIF('07_Pallet_Contents'!$A$2:$A$3000,$A2,'07_Pallet_Contents'!$I$2:$I$3000))</f>
        <v>0</v>
      </c>
      <c r="Z2582" t="str">
        <f>IF($A2="","",IF(COUNTIF('07_Pallet_Contents'!$A$2:$A$3000,$A2)&gt;0,"Yes",""))</f>
        <v/>
      </c>
    </row>
    <row r="2583" spans="23:26">
      <c r="W2583">
        <f>IF($A2="","",COUNTIF('07_Pallet_Contents'!$A$2:$A$3000,$A2))</f>
        <v>0</v>
      </c>
      <c r="X2583">
        <f>IF($A2="","",SUMIF('07_Pallet_Contents'!$A$2:$A$3000,$A2,'07_Pallet_Contents'!$D$2:$D$3000))</f>
        <v>0</v>
      </c>
      <c r="Y2583">
        <f>IF($A2="","",SUMIF('07_Pallet_Contents'!$A$2:$A$3000,$A2,'07_Pallet_Contents'!$I$2:$I$3000))</f>
        <v>0</v>
      </c>
      <c r="Z2583" t="str">
        <f>IF($A2="","",IF(COUNTIF('07_Pallet_Contents'!$A$2:$A$3000,$A2)&gt;0,"Yes",""))</f>
        <v/>
      </c>
    </row>
    <row r="2584" spans="23:26">
      <c r="W2584">
        <f>IF($A2="","",COUNTIF('07_Pallet_Contents'!$A$2:$A$3000,$A2))</f>
        <v>0</v>
      </c>
      <c r="X2584">
        <f>IF($A2="","",SUMIF('07_Pallet_Contents'!$A$2:$A$3000,$A2,'07_Pallet_Contents'!$D$2:$D$3000))</f>
        <v>0</v>
      </c>
      <c r="Y2584">
        <f>IF($A2="","",SUMIF('07_Pallet_Contents'!$A$2:$A$3000,$A2,'07_Pallet_Contents'!$I$2:$I$3000))</f>
        <v>0</v>
      </c>
      <c r="Z2584" t="str">
        <f>IF($A2="","",IF(COUNTIF('07_Pallet_Contents'!$A$2:$A$3000,$A2)&gt;0,"Yes",""))</f>
        <v/>
      </c>
    </row>
    <row r="2585" spans="23:26">
      <c r="W2585">
        <f>IF($A2="","",COUNTIF('07_Pallet_Contents'!$A$2:$A$3000,$A2))</f>
        <v>0</v>
      </c>
      <c r="X2585">
        <f>IF($A2="","",SUMIF('07_Pallet_Contents'!$A$2:$A$3000,$A2,'07_Pallet_Contents'!$D$2:$D$3000))</f>
        <v>0</v>
      </c>
      <c r="Y2585">
        <f>IF($A2="","",SUMIF('07_Pallet_Contents'!$A$2:$A$3000,$A2,'07_Pallet_Contents'!$I$2:$I$3000))</f>
        <v>0</v>
      </c>
      <c r="Z2585" t="str">
        <f>IF($A2="","",IF(COUNTIF('07_Pallet_Contents'!$A$2:$A$3000,$A2)&gt;0,"Yes",""))</f>
        <v/>
      </c>
    </row>
    <row r="2586" spans="23:26">
      <c r="W2586">
        <f>IF($A2="","",COUNTIF('07_Pallet_Contents'!$A$2:$A$3000,$A2))</f>
        <v>0</v>
      </c>
      <c r="X2586">
        <f>IF($A2="","",SUMIF('07_Pallet_Contents'!$A$2:$A$3000,$A2,'07_Pallet_Contents'!$D$2:$D$3000))</f>
        <v>0</v>
      </c>
      <c r="Y2586">
        <f>IF($A2="","",SUMIF('07_Pallet_Contents'!$A$2:$A$3000,$A2,'07_Pallet_Contents'!$I$2:$I$3000))</f>
        <v>0</v>
      </c>
      <c r="Z2586" t="str">
        <f>IF($A2="","",IF(COUNTIF('07_Pallet_Contents'!$A$2:$A$3000,$A2)&gt;0,"Yes",""))</f>
        <v/>
      </c>
    </row>
    <row r="2587" spans="23:26">
      <c r="W2587">
        <f>IF($A2="","",COUNTIF('07_Pallet_Contents'!$A$2:$A$3000,$A2))</f>
        <v>0</v>
      </c>
      <c r="X2587">
        <f>IF($A2="","",SUMIF('07_Pallet_Contents'!$A$2:$A$3000,$A2,'07_Pallet_Contents'!$D$2:$D$3000))</f>
        <v>0</v>
      </c>
      <c r="Y2587">
        <f>IF($A2="","",SUMIF('07_Pallet_Contents'!$A$2:$A$3000,$A2,'07_Pallet_Contents'!$I$2:$I$3000))</f>
        <v>0</v>
      </c>
      <c r="Z2587" t="str">
        <f>IF($A2="","",IF(COUNTIF('07_Pallet_Contents'!$A$2:$A$3000,$A2)&gt;0,"Yes",""))</f>
        <v/>
      </c>
    </row>
    <row r="2588" spans="23:26">
      <c r="W2588">
        <f>IF($A2="","",COUNTIF('07_Pallet_Contents'!$A$2:$A$3000,$A2))</f>
        <v>0</v>
      </c>
      <c r="X2588">
        <f>IF($A2="","",SUMIF('07_Pallet_Contents'!$A$2:$A$3000,$A2,'07_Pallet_Contents'!$D$2:$D$3000))</f>
        <v>0</v>
      </c>
      <c r="Y2588">
        <f>IF($A2="","",SUMIF('07_Pallet_Contents'!$A$2:$A$3000,$A2,'07_Pallet_Contents'!$I$2:$I$3000))</f>
        <v>0</v>
      </c>
      <c r="Z2588" t="str">
        <f>IF($A2="","",IF(COUNTIF('07_Pallet_Contents'!$A$2:$A$3000,$A2)&gt;0,"Yes",""))</f>
        <v/>
      </c>
    </row>
    <row r="2589" spans="23:26">
      <c r="W2589">
        <f>IF($A2="","",COUNTIF('07_Pallet_Contents'!$A$2:$A$3000,$A2))</f>
        <v>0</v>
      </c>
      <c r="X2589">
        <f>IF($A2="","",SUMIF('07_Pallet_Contents'!$A$2:$A$3000,$A2,'07_Pallet_Contents'!$D$2:$D$3000))</f>
        <v>0</v>
      </c>
      <c r="Y2589">
        <f>IF($A2="","",SUMIF('07_Pallet_Contents'!$A$2:$A$3000,$A2,'07_Pallet_Contents'!$I$2:$I$3000))</f>
        <v>0</v>
      </c>
      <c r="Z2589" t="str">
        <f>IF($A2="","",IF(COUNTIF('07_Pallet_Contents'!$A$2:$A$3000,$A2)&gt;0,"Yes",""))</f>
        <v/>
      </c>
    </row>
    <row r="2590" spans="23:26">
      <c r="W2590">
        <f>IF($A2="","",COUNTIF('07_Pallet_Contents'!$A$2:$A$3000,$A2))</f>
        <v>0</v>
      </c>
      <c r="X2590">
        <f>IF($A2="","",SUMIF('07_Pallet_Contents'!$A$2:$A$3000,$A2,'07_Pallet_Contents'!$D$2:$D$3000))</f>
        <v>0</v>
      </c>
      <c r="Y2590">
        <f>IF($A2="","",SUMIF('07_Pallet_Contents'!$A$2:$A$3000,$A2,'07_Pallet_Contents'!$I$2:$I$3000))</f>
        <v>0</v>
      </c>
      <c r="Z2590" t="str">
        <f>IF($A2="","",IF(COUNTIF('07_Pallet_Contents'!$A$2:$A$3000,$A2)&gt;0,"Yes",""))</f>
        <v/>
      </c>
    </row>
    <row r="2591" spans="23:26">
      <c r="W2591">
        <f>IF($A2="","",COUNTIF('07_Pallet_Contents'!$A$2:$A$3000,$A2))</f>
        <v>0</v>
      </c>
      <c r="X2591">
        <f>IF($A2="","",SUMIF('07_Pallet_Contents'!$A$2:$A$3000,$A2,'07_Pallet_Contents'!$D$2:$D$3000))</f>
        <v>0</v>
      </c>
      <c r="Y2591">
        <f>IF($A2="","",SUMIF('07_Pallet_Contents'!$A$2:$A$3000,$A2,'07_Pallet_Contents'!$I$2:$I$3000))</f>
        <v>0</v>
      </c>
      <c r="Z2591" t="str">
        <f>IF($A2="","",IF(COUNTIF('07_Pallet_Contents'!$A$2:$A$3000,$A2)&gt;0,"Yes",""))</f>
        <v/>
      </c>
    </row>
    <row r="2592" spans="23:26">
      <c r="W2592">
        <f>IF($A2="","",COUNTIF('07_Pallet_Contents'!$A$2:$A$3000,$A2))</f>
        <v>0</v>
      </c>
      <c r="X2592">
        <f>IF($A2="","",SUMIF('07_Pallet_Contents'!$A$2:$A$3000,$A2,'07_Pallet_Contents'!$D$2:$D$3000))</f>
        <v>0</v>
      </c>
      <c r="Y2592">
        <f>IF($A2="","",SUMIF('07_Pallet_Contents'!$A$2:$A$3000,$A2,'07_Pallet_Contents'!$I$2:$I$3000))</f>
        <v>0</v>
      </c>
      <c r="Z2592" t="str">
        <f>IF($A2="","",IF(COUNTIF('07_Pallet_Contents'!$A$2:$A$3000,$A2)&gt;0,"Yes",""))</f>
        <v/>
      </c>
    </row>
    <row r="2593" spans="23:26">
      <c r="W2593">
        <f>IF($A2="","",COUNTIF('07_Pallet_Contents'!$A$2:$A$3000,$A2))</f>
        <v>0</v>
      </c>
      <c r="X2593">
        <f>IF($A2="","",SUMIF('07_Pallet_Contents'!$A$2:$A$3000,$A2,'07_Pallet_Contents'!$D$2:$D$3000))</f>
        <v>0</v>
      </c>
      <c r="Y2593">
        <f>IF($A2="","",SUMIF('07_Pallet_Contents'!$A$2:$A$3000,$A2,'07_Pallet_Contents'!$I$2:$I$3000))</f>
        <v>0</v>
      </c>
      <c r="Z2593" t="str">
        <f>IF($A2="","",IF(COUNTIF('07_Pallet_Contents'!$A$2:$A$3000,$A2)&gt;0,"Yes",""))</f>
        <v/>
      </c>
    </row>
    <row r="2594" spans="23:26">
      <c r="W2594">
        <f>IF($A2="","",COUNTIF('07_Pallet_Contents'!$A$2:$A$3000,$A2))</f>
        <v>0</v>
      </c>
      <c r="X2594">
        <f>IF($A2="","",SUMIF('07_Pallet_Contents'!$A$2:$A$3000,$A2,'07_Pallet_Contents'!$D$2:$D$3000))</f>
        <v>0</v>
      </c>
      <c r="Y2594">
        <f>IF($A2="","",SUMIF('07_Pallet_Contents'!$A$2:$A$3000,$A2,'07_Pallet_Contents'!$I$2:$I$3000))</f>
        <v>0</v>
      </c>
      <c r="Z2594" t="str">
        <f>IF($A2="","",IF(COUNTIF('07_Pallet_Contents'!$A$2:$A$3000,$A2)&gt;0,"Yes",""))</f>
        <v/>
      </c>
    </row>
    <row r="2595" spans="23:26">
      <c r="W2595">
        <f>IF($A2="","",COUNTIF('07_Pallet_Contents'!$A$2:$A$3000,$A2))</f>
        <v>0</v>
      </c>
      <c r="X2595">
        <f>IF($A2="","",SUMIF('07_Pallet_Contents'!$A$2:$A$3000,$A2,'07_Pallet_Contents'!$D$2:$D$3000))</f>
        <v>0</v>
      </c>
      <c r="Y2595">
        <f>IF($A2="","",SUMIF('07_Pallet_Contents'!$A$2:$A$3000,$A2,'07_Pallet_Contents'!$I$2:$I$3000))</f>
        <v>0</v>
      </c>
      <c r="Z2595" t="str">
        <f>IF($A2="","",IF(COUNTIF('07_Pallet_Contents'!$A$2:$A$3000,$A2)&gt;0,"Yes",""))</f>
        <v/>
      </c>
    </row>
    <row r="2596" spans="23:26">
      <c r="W2596">
        <f>IF($A2="","",COUNTIF('07_Pallet_Contents'!$A$2:$A$3000,$A2))</f>
        <v>0</v>
      </c>
      <c r="X2596">
        <f>IF($A2="","",SUMIF('07_Pallet_Contents'!$A$2:$A$3000,$A2,'07_Pallet_Contents'!$D$2:$D$3000))</f>
        <v>0</v>
      </c>
      <c r="Y2596">
        <f>IF($A2="","",SUMIF('07_Pallet_Contents'!$A$2:$A$3000,$A2,'07_Pallet_Contents'!$I$2:$I$3000))</f>
        <v>0</v>
      </c>
      <c r="Z2596" t="str">
        <f>IF($A2="","",IF(COUNTIF('07_Pallet_Contents'!$A$2:$A$3000,$A2)&gt;0,"Yes",""))</f>
        <v/>
      </c>
    </row>
    <row r="2597" spans="23:26">
      <c r="W2597">
        <f>IF($A2="","",COUNTIF('07_Pallet_Contents'!$A$2:$A$3000,$A2))</f>
        <v>0</v>
      </c>
      <c r="X2597">
        <f>IF($A2="","",SUMIF('07_Pallet_Contents'!$A$2:$A$3000,$A2,'07_Pallet_Contents'!$D$2:$D$3000))</f>
        <v>0</v>
      </c>
      <c r="Y2597">
        <f>IF($A2="","",SUMIF('07_Pallet_Contents'!$A$2:$A$3000,$A2,'07_Pallet_Contents'!$I$2:$I$3000))</f>
        <v>0</v>
      </c>
      <c r="Z2597" t="str">
        <f>IF($A2="","",IF(COUNTIF('07_Pallet_Contents'!$A$2:$A$3000,$A2)&gt;0,"Yes",""))</f>
        <v/>
      </c>
    </row>
    <row r="2598" spans="23:26">
      <c r="W2598">
        <f>IF($A2="","",COUNTIF('07_Pallet_Contents'!$A$2:$A$3000,$A2))</f>
        <v>0</v>
      </c>
      <c r="X2598">
        <f>IF($A2="","",SUMIF('07_Pallet_Contents'!$A$2:$A$3000,$A2,'07_Pallet_Contents'!$D$2:$D$3000))</f>
        <v>0</v>
      </c>
      <c r="Y2598">
        <f>IF($A2="","",SUMIF('07_Pallet_Contents'!$A$2:$A$3000,$A2,'07_Pallet_Contents'!$I$2:$I$3000))</f>
        <v>0</v>
      </c>
      <c r="Z2598" t="str">
        <f>IF($A2="","",IF(COUNTIF('07_Pallet_Contents'!$A$2:$A$3000,$A2)&gt;0,"Yes",""))</f>
        <v/>
      </c>
    </row>
    <row r="2599" spans="23:26">
      <c r="W2599">
        <f>IF($A2="","",COUNTIF('07_Pallet_Contents'!$A$2:$A$3000,$A2))</f>
        <v>0</v>
      </c>
      <c r="X2599">
        <f>IF($A2="","",SUMIF('07_Pallet_Contents'!$A$2:$A$3000,$A2,'07_Pallet_Contents'!$D$2:$D$3000))</f>
        <v>0</v>
      </c>
      <c r="Y2599">
        <f>IF($A2="","",SUMIF('07_Pallet_Contents'!$A$2:$A$3000,$A2,'07_Pallet_Contents'!$I$2:$I$3000))</f>
        <v>0</v>
      </c>
      <c r="Z2599" t="str">
        <f>IF($A2="","",IF(COUNTIF('07_Pallet_Contents'!$A$2:$A$3000,$A2)&gt;0,"Yes",""))</f>
        <v/>
      </c>
    </row>
    <row r="2600" spans="23:26">
      <c r="W2600">
        <f>IF($A2="","",COUNTIF('07_Pallet_Contents'!$A$2:$A$3000,$A2))</f>
        <v>0</v>
      </c>
      <c r="X2600">
        <f>IF($A2="","",SUMIF('07_Pallet_Contents'!$A$2:$A$3000,$A2,'07_Pallet_Contents'!$D$2:$D$3000))</f>
        <v>0</v>
      </c>
      <c r="Y2600">
        <f>IF($A2="","",SUMIF('07_Pallet_Contents'!$A$2:$A$3000,$A2,'07_Pallet_Contents'!$I$2:$I$3000))</f>
        <v>0</v>
      </c>
      <c r="Z2600" t="str">
        <f>IF($A2="","",IF(COUNTIF('07_Pallet_Contents'!$A$2:$A$3000,$A2)&gt;0,"Yes",""))</f>
        <v/>
      </c>
    </row>
    <row r="2601" spans="23:26">
      <c r="W2601">
        <f>IF($A2="","",COUNTIF('07_Pallet_Contents'!$A$2:$A$3000,$A2))</f>
        <v>0</v>
      </c>
      <c r="X2601">
        <f>IF($A2="","",SUMIF('07_Pallet_Contents'!$A$2:$A$3000,$A2,'07_Pallet_Contents'!$D$2:$D$3000))</f>
        <v>0</v>
      </c>
      <c r="Y2601">
        <f>IF($A2="","",SUMIF('07_Pallet_Contents'!$A$2:$A$3000,$A2,'07_Pallet_Contents'!$I$2:$I$3000))</f>
        <v>0</v>
      </c>
      <c r="Z2601" t="str">
        <f>IF($A2="","",IF(COUNTIF('07_Pallet_Contents'!$A$2:$A$3000,$A2)&gt;0,"Yes",""))</f>
        <v/>
      </c>
    </row>
    <row r="2602" spans="23:26">
      <c r="W2602">
        <f>IF($A2="","",COUNTIF('07_Pallet_Contents'!$A$2:$A$3000,$A2))</f>
        <v>0</v>
      </c>
      <c r="X2602">
        <f>IF($A2="","",SUMIF('07_Pallet_Contents'!$A$2:$A$3000,$A2,'07_Pallet_Contents'!$D$2:$D$3000))</f>
        <v>0</v>
      </c>
      <c r="Y2602">
        <f>IF($A2="","",SUMIF('07_Pallet_Contents'!$A$2:$A$3000,$A2,'07_Pallet_Contents'!$I$2:$I$3000))</f>
        <v>0</v>
      </c>
      <c r="Z2602" t="str">
        <f>IF($A2="","",IF(COUNTIF('07_Pallet_Contents'!$A$2:$A$3000,$A2)&gt;0,"Yes",""))</f>
        <v/>
      </c>
    </row>
    <row r="2603" spans="23:26">
      <c r="W2603">
        <f>IF($A2="","",COUNTIF('07_Pallet_Contents'!$A$2:$A$3000,$A2))</f>
        <v>0</v>
      </c>
      <c r="X2603">
        <f>IF($A2="","",SUMIF('07_Pallet_Contents'!$A$2:$A$3000,$A2,'07_Pallet_Contents'!$D$2:$D$3000))</f>
        <v>0</v>
      </c>
      <c r="Y2603">
        <f>IF($A2="","",SUMIF('07_Pallet_Contents'!$A$2:$A$3000,$A2,'07_Pallet_Contents'!$I$2:$I$3000))</f>
        <v>0</v>
      </c>
      <c r="Z2603" t="str">
        <f>IF($A2="","",IF(COUNTIF('07_Pallet_Contents'!$A$2:$A$3000,$A2)&gt;0,"Yes",""))</f>
        <v/>
      </c>
    </row>
    <row r="2604" spans="23:26">
      <c r="W2604">
        <f>IF($A2="","",COUNTIF('07_Pallet_Contents'!$A$2:$A$3000,$A2))</f>
        <v>0</v>
      </c>
      <c r="X2604">
        <f>IF($A2="","",SUMIF('07_Pallet_Contents'!$A$2:$A$3000,$A2,'07_Pallet_Contents'!$D$2:$D$3000))</f>
        <v>0</v>
      </c>
      <c r="Y2604">
        <f>IF($A2="","",SUMIF('07_Pallet_Contents'!$A$2:$A$3000,$A2,'07_Pallet_Contents'!$I$2:$I$3000))</f>
        <v>0</v>
      </c>
      <c r="Z2604" t="str">
        <f>IF($A2="","",IF(COUNTIF('07_Pallet_Contents'!$A$2:$A$3000,$A2)&gt;0,"Yes",""))</f>
        <v/>
      </c>
    </row>
    <row r="2605" spans="23:26">
      <c r="W2605">
        <f>IF($A2="","",COUNTIF('07_Pallet_Contents'!$A$2:$A$3000,$A2))</f>
        <v>0</v>
      </c>
      <c r="X2605">
        <f>IF($A2="","",SUMIF('07_Pallet_Contents'!$A$2:$A$3000,$A2,'07_Pallet_Contents'!$D$2:$D$3000))</f>
        <v>0</v>
      </c>
      <c r="Y2605">
        <f>IF($A2="","",SUMIF('07_Pallet_Contents'!$A$2:$A$3000,$A2,'07_Pallet_Contents'!$I$2:$I$3000))</f>
        <v>0</v>
      </c>
      <c r="Z2605" t="str">
        <f>IF($A2="","",IF(COUNTIF('07_Pallet_Contents'!$A$2:$A$3000,$A2)&gt;0,"Yes",""))</f>
        <v/>
      </c>
    </row>
    <row r="2606" spans="23:26">
      <c r="W2606">
        <f>IF($A2="","",COUNTIF('07_Pallet_Contents'!$A$2:$A$3000,$A2))</f>
        <v>0</v>
      </c>
      <c r="X2606">
        <f>IF($A2="","",SUMIF('07_Pallet_Contents'!$A$2:$A$3000,$A2,'07_Pallet_Contents'!$D$2:$D$3000))</f>
        <v>0</v>
      </c>
      <c r="Y2606">
        <f>IF($A2="","",SUMIF('07_Pallet_Contents'!$A$2:$A$3000,$A2,'07_Pallet_Contents'!$I$2:$I$3000))</f>
        <v>0</v>
      </c>
      <c r="Z2606" t="str">
        <f>IF($A2="","",IF(COUNTIF('07_Pallet_Contents'!$A$2:$A$3000,$A2)&gt;0,"Yes",""))</f>
        <v/>
      </c>
    </row>
    <row r="2607" spans="23:26">
      <c r="W2607">
        <f>IF($A2="","",COUNTIF('07_Pallet_Contents'!$A$2:$A$3000,$A2))</f>
        <v>0</v>
      </c>
      <c r="X2607">
        <f>IF($A2="","",SUMIF('07_Pallet_Contents'!$A$2:$A$3000,$A2,'07_Pallet_Contents'!$D$2:$D$3000))</f>
        <v>0</v>
      </c>
      <c r="Y2607">
        <f>IF($A2="","",SUMIF('07_Pallet_Contents'!$A$2:$A$3000,$A2,'07_Pallet_Contents'!$I$2:$I$3000))</f>
        <v>0</v>
      </c>
      <c r="Z2607" t="str">
        <f>IF($A2="","",IF(COUNTIF('07_Pallet_Contents'!$A$2:$A$3000,$A2)&gt;0,"Yes",""))</f>
        <v/>
      </c>
    </row>
    <row r="2608" spans="23:26">
      <c r="W2608">
        <f>IF($A2="","",COUNTIF('07_Pallet_Contents'!$A$2:$A$3000,$A2))</f>
        <v>0</v>
      </c>
      <c r="X2608">
        <f>IF($A2="","",SUMIF('07_Pallet_Contents'!$A$2:$A$3000,$A2,'07_Pallet_Contents'!$D$2:$D$3000))</f>
        <v>0</v>
      </c>
      <c r="Y2608">
        <f>IF($A2="","",SUMIF('07_Pallet_Contents'!$A$2:$A$3000,$A2,'07_Pallet_Contents'!$I$2:$I$3000))</f>
        <v>0</v>
      </c>
      <c r="Z2608" t="str">
        <f>IF($A2="","",IF(COUNTIF('07_Pallet_Contents'!$A$2:$A$3000,$A2)&gt;0,"Yes",""))</f>
        <v/>
      </c>
    </row>
    <row r="2609" spans="23:26">
      <c r="W2609">
        <f>IF($A2="","",COUNTIF('07_Pallet_Contents'!$A$2:$A$3000,$A2))</f>
        <v>0</v>
      </c>
      <c r="X2609">
        <f>IF($A2="","",SUMIF('07_Pallet_Contents'!$A$2:$A$3000,$A2,'07_Pallet_Contents'!$D$2:$D$3000))</f>
        <v>0</v>
      </c>
      <c r="Y2609">
        <f>IF($A2="","",SUMIF('07_Pallet_Contents'!$A$2:$A$3000,$A2,'07_Pallet_Contents'!$I$2:$I$3000))</f>
        <v>0</v>
      </c>
      <c r="Z2609" t="str">
        <f>IF($A2="","",IF(COUNTIF('07_Pallet_Contents'!$A$2:$A$3000,$A2)&gt;0,"Yes",""))</f>
        <v/>
      </c>
    </row>
    <row r="2610" spans="23:26">
      <c r="W2610">
        <f>IF($A2="","",COUNTIF('07_Pallet_Contents'!$A$2:$A$3000,$A2))</f>
        <v>0</v>
      </c>
      <c r="X2610">
        <f>IF($A2="","",SUMIF('07_Pallet_Contents'!$A$2:$A$3000,$A2,'07_Pallet_Contents'!$D$2:$D$3000))</f>
        <v>0</v>
      </c>
      <c r="Y2610">
        <f>IF($A2="","",SUMIF('07_Pallet_Contents'!$A$2:$A$3000,$A2,'07_Pallet_Contents'!$I$2:$I$3000))</f>
        <v>0</v>
      </c>
      <c r="Z2610" t="str">
        <f>IF($A2="","",IF(COUNTIF('07_Pallet_Contents'!$A$2:$A$3000,$A2)&gt;0,"Yes",""))</f>
        <v/>
      </c>
    </row>
    <row r="2611" spans="23:26">
      <c r="W2611">
        <f>IF($A2="","",COUNTIF('07_Pallet_Contents'!$A$2:$A$3000,$A2))</f>
        <v>0</v>
      </c>
      <c r="X2611">
        <f>IF($A2="","",SUMIF('07_Pallet_Contents'!$A$2:$A$3000,$A2,'07_Pallet_Contents'!$D$2:$D$3000))</f>
        <v>0</v>
      </c>
      <c r="Y2611">
        <f>IF($A2="","",SUMIF('07_Pallet_Contents'!$A$2:$A$3000,$A2,'07_Pallet_Contents'!$I$2:$I$3000))</f>
        <v>0</v>
      </c>
      <c r="Z2611" t="str">
        <f>IF($A2="","",IF(COUNTIF('07_Pallet_Contents'!$A$2:$A$3000,$A2)&gt;0,"Yes",""))</f>
        <v/>
      </c>
    </row>
    <row r="2612" spans="23:26">
      <c r="W2612">
        <f>IF($A2="","",COUNTIF('07_Pallet_Contents'!$A$2:$A$3000,$A2))</f>
        <v>0</v>
      </c>
      <c r="X2612">
        <f>IF($A2="","",SUMIF('07_Pallet_Contents'!$A$2:$A$3000,$A2,'07_Pallet_Contents'!$D$2:$D$3000))</f>
        <v>0</v>
      </c>
      <c r="Y2612">
        <f>IF($A2="","",SUMIF('07_Pallet_Contents'!$A$2:$A$3000,$A2,'07_Pallet_Contents'!$I$2:$I$3000))</f>
        <v>0</v>
      </c>
      <c r="Z2612" t="str">
        <f>IF($A2="","",IF(COUNTIF('07_Pallet_Contents'!$A$2:$A$3000,$A2)&gt;0,"Yes",""))</f>
        <v/>
      </c>
    </row>
    <row r="2613" spans="23:26">
      <c r="W2613">
        <f>IF($A2="","",COUNTIF('07_Pallet_Contents'!$A$2:$A$3000,$A2))</f>
        <v>0</v>
      </c>
      <c r="X2613">
        <f>IF($A2="","",SUMIF('07_Pallet_Contents'!$A$2:$A$3000,$A2,'07_Pallet_Contents'!$D$2:$D$3000))</f>
        <v>0</v>
      </c>
      <c r="Y2613">
        <f>IF($A2="","",SUMIF('07_Pallet_Contents'!$A$2:$A$3000,$A2,'07_Pallet_Contents'!$I$2:$I$3000))</f>
        <v>0</v>
      </c>
      <c r="Z2613" t="str">
        <f>IF($A2="","",IF(COUNTIF('07_Pallet_Contents'!$A$2:$A$3000,$A2)&gt;0,"Yes",""))</f>
        <v/>
      </c>
    </row>
    <row r="2614" spans="23:26">
      <c r="W2614">
        <f>IF($A2="","",COUNTIF('07_Pallet_Contents'!$A$2:$A$3000,$A2))</f>
        <v>0</v>
      </c>
      <c r="X2614">
        <f>IF($A2="","",SUMIF('07_Pallet_Contents'!$A$2:$A$3000,$A2,'07_Pallet_Contents'!$D$2:$D$3000))</f>
        <v>0</v>
      </c>
      <c r="Y2614">
        <f>IF($A2="","",SUMIF('07_Pallet_Contents'!$A$2:$A$3000,$A2,'07_Pallet_Contents'!$I$2:$I$3000))</f>
        <v>0</v>
      </c>
      <c r="Z2614" t="str">
        <f>IF($A2="","",IF(COUNTIF('07_Pallet_Contents'!$A$2:$A$3000,$A2)&gt;0,"Yes",""))</f>
        <v/>
      </c>
    </row>
    <row r="2615" spans="23:26">
      <c r="W2615">
        <f>IF($A2="","",COUNTIF('07_Pallet_Contents'!$A$2:$A$3000,$A2))</f>
        <v>0</v>
      </c>
      <c r="X2615">
        <f>IF($A2="","",SUMIF('07_Pallet_Contents'!$A$2:$A$3000,$A2,'07_Pallet_Contents'!$D$2:$D$3000))</f>
        <v>0</v>
      </c>
      <c r="Y2615">
        <f>IF($A2="","",SUMIF('07_Pallet_Contents'!$A$2:$A$3000,$A2,'07_Pallet_Contents'!$I$2:$I$3000))</f>
        <v>0</v>
      </c>
      <c r="Z2615" t="str">
        <f>IF($A2="","",IF(COUNTIF('07_Pallet_Contents'!$A$2:$A$3000,$A2)&gt;0,"Yes",""))</f>
        <v/>
      </c>
    </row>
    <row r="2616" spans="23:26">
      <c r="W2616">
        <f>IF($A2="","",COUNTIF('07_Pallet_Contents'!$A$2:$A$3000,$A2))</f>
        <v>0</v>
      </c>
      <c r="X2616">
        <f>IF($A2="","",SUMIF('07_Pallet_Contents'!$A$2:$A$3000,$A2,'07_Pallet_Contents'!$D$2:$D$3000))</f>
        <v>0</v>
      </c>
      <c r="Y2616">
        <f>IF($A2="","",SUMIF('07_Pallet_Contents'!$A$2:$A$3000,$A2,'07_Pallet_Contents'!$I$2:$I$3000))</f>
        <v>0</v>
      </c>
      <c r="Z2616" t="str">
        <f>IF($A2="","",IF(COUNTIF('07_Pallet_Contents'!$A$2:$A$3000,$A2)&gt;0,"Yes",""))</f>
        <v/>
      </c>
    </row>
    <row r="2617" spans="23:26">
      <c r="W2617">
        <f>IF($A2="","",COUNTIF('07_Pallet_Contents'!$A$2:$A$3000,$A2))</f>
        <v>0</v>
      </c>
      <c r="X2617">
        <f>IF($A2="","",SUMIF('07_Pallet_Contents'!$A$2:$A$3000,$A2,'07_Pallet_Contents'!$D$2:$D$3000))</f>
        <v>0</v>
      </c>
      <c r="Y2617">
        <f>IF($A2="","",SUMIF('07_Pallet_Contents'!$A$2:$A$3000,$A2,'07_Pallet_Contents'!$I$2:$I$3000))</f>
        <v>0</v>
      </c>
      <c r="Z2617" t="str">
        <f>IF($A2="","",IF(COUNTIF('07_Pallet_Contents'!$A$2:$A$3000,$A2)&gt;0,"Yes",""))</f>
        <v/>
      </c>
    </row>
    <row r="2618" spans="23:26">
      <c r="W2618">
        <f>IF($A2="","",COUNTIF('07_Pallet_Contents'!$A$2:$A$3000,$A2))</f>
        <v>0</v>
      </c>
      <c r="X2618">
        <f>IF($A2="","",SUMIF('07_Pallet_Contents'!$A$2:$A$3000,$A2,'07_Pallet_Contents'!$D$2:$D$3000))</f>
        <v>0</v>
      </c>
      <c r="Y2618">
        <f>IF($A2="","",SUMIF('07_Pallet_Contents'!$A$2:$A$3000,$A2,'07_Pallet_Contents'!$I$2:$I$3000))</f>
        <v>0</v>
      </c>
      <c r="Z2618" t="str">
        <f>IF($A2="","",IF(COUNTIF('07_Pallet_Contents'!$A$2:$A$3000,$A2)&gt;0,"Yes",""))</f>
        <v/>
      </c>
    </row>
    <row r="2619" spans="23:26">
      <c r="W2619">
        <f>IF($A2="","",COUNTIF('07_Pallet_Contents'!$A$2:$A$3000,$A2))</f>
        <v>0</v>
      </c>
      <c r="X2619">
        <f>IF($A2="","",SUMIF('07_Pallet_Contents'!$A$2:$A$3000,$A2,'07_Pallet_Contents'!$D$2:$D$3000))</f>
        <v>0</v>
      </c>
      <c r="Y2619">
        <f>IF($A2="","",SUMIF('07_Pallet_Contents'!$A$2:$A$3000,$A2,'07_Pallet_Contents'!$I$2:$I$3000))</f>
        <v>0</v>
      </c>
      <c r="Z2619" t="str">
        <f>IF($A2="","",IF(COUNTIF('07_Pallet_Contents'!$A$2:$A$3000,$A2)&gt;0,"Yes",""))</f>
        <v/>
      </c>
    </row>
    <row r="2620" spans="23:26">
      <c r="W2620">
        <f>IF($A2="","",COUNTIF('07_Pallet_Contents'!$A$2:$A$3000,$A2))</f>
        <v>0</v>
      </c>
      <c r="X2620">
        <f>IF($A2="","",SUMIF('07_Pallet_Contents'!$A$2:$A$3000,$A2,'07_Pallet_Contents'!$D$2:$D$3000))</f>
        <v>0</v>
      </c>
      <c r="Y2620">
        <f>IF($A2="","",SUMIF('07_Pallet_Contents'!$A$2:$A$3000,$A2,'07_Pallet_Contents'!$I$2:$I$3000))</f>
        <v>0</v>
      </c>
      <c r="Z2620" t="str">
        <f>IF($A2="","",IF(COUNTIF('07_Pallet_Contents'!$A$2:$A$3000,$A2)&gt;0,"Yes",""))</f>
        <v/>
      </c>
    </row>
    <row r="2621" spans="23:26">
      <c r="W2621">
        <f>IF($A2="","",COUNTIF('07_Pallet_Contents'!$A$2:$A$3000,$A2))</f>
        <v>0</v>
      </c>
      <c r="X2621">
        <f>IF($A2="","",SUMIF('07_Pallet_Contents'!$A$2:$A$3000,$A2,'07_Pallet_Contents'!$D$2:$D$3000))</f>
        <v>0</v>
      </c>
      <c r="Y2621">
        <f>IF($A2="","",SUMIF('07_Pallet_Contents'!$A$2:$A$3000,$A2,'07_Pallet_Contents'!$I$2:$I$3000))</f>
        <v>0</v>
      </c>
      <c r="Z2621" t="str">
        <f>IF($A2="","",IF(COUNTIF('07_Pallet_Contents'!$A$2:$A$3000,$A2)&gt;0,"Yes",""))</f>
        <v/>
      </c>
    </row>
    <row r="2622" spans="23:26">
      <c r="W2622">
        <f>IF($A2="","",COUNTIF('07_Pallet_Contents'!$A$2:$A$3000,$A2))</f>
        <v>0</v>
      </c>
      <c r="X2622">
        <f>IF($A2="","",SUMIF('07_Pallet_Contents'!$A$2:$A$3000,$A2,'07_Pallet_Contents'!$D$2:$D$3000))</f>
        <v>0</v>
      </c>
      <c r="Y2622">
        <f>IF($A2="","",SUMIF('07_Pallet_Contents'!$A$2:$A$3000,$A2,'07_Pallet_Contents'!$I$2:$I$3000))</f>
        <v>0</v>
      </c>
      <c r="Z2622" t="str">
        <f>IF($A2="","",IF(COUNTIF('07_Pallet_Contents'!$A$2:$A$3000,$A2)&gt;0,"Yes",""))</f>
        <v/>
      </c>
    </row>
    <row r="2623" spans="23:26">
      <c r="W2623">
        <f>IF($A2="","",COUNTIF('07_Pallet_Contents'!$A$2:$A$3000,$A2))</f>
        <v>0</v>
      </c>
      <c r="X2623">
        <f>IF($A2="","",SUMIF('07_Pallet_Contents'!$A$2:$A$3000,$A2,'07_Pallet_Contents'!$D$2:$D$3000))</f>
        <v>0</v>
      </c>
      <c r="Y2623">
        <f>IF($A2="","",SUMIF('07_Pallet_Contents'!$A$2:$A$3000,$A2,'07_Pallet_Contents'!$I$2:$I$3000))</f>
        <v>0</v>
      </c>
      <c r="Z2623" t="str">
        <f>IF($A2="","",IF(COUNTIF('07_Pallet_Contents'!$A$2:$A$3000,$A2)&gt;0,"Yes",""))</f>
        <v/>
      </c>
    </row>
    <row r="2624" spans="23:26">
      <c r="W2624">
        <f>IF($A2="","",COUNTIF('07_Pallet_Contents'!$A$2:$A$3000,$A2))</f>
        <v>0</v>
      </c>
      <c r="X2624">
        <f>IF($A2="","",SUMIF('07_Pallet_Contents'!$A$2:$A$3000,$A2,'07_Pallet_Contents'!$D$2:$D$3000))</f>
        <v>0</v>
      </c>
      <c r="Y2624">
        <f>IF($A2="","",SUMIF('07_Pallet_Contents'!$A$2:$A$3000,$A2,'07_Pallet_Contents'!$I$2:$I$3000))</f>
        <v>0</v>
      </c>
      <c r="Z2624" t="str">
        <f>IF($A2="","",IF(COUNTIF('07_Pallet_Contents'!$A$2:$A$3000,$A2)&gt;0,"Yes",""))</f>
        <v/>
      </c>
    </row>
    <row r="2625" spans="23:26">
      <c r="W2625">
        <f>IF($A2="","",COUNTIF('07_Pallet_Contents'!$A$2:$A$3000,$A2))</f>
        <v>0</v>
      </c>
      <c r="X2625">
        <f>IF($A2="","",SUMIF('07_Pallet_Contents'!$A$2:$A$3000,$A2,'07_Pallet_Contents'!$D$2:$D$3000))</f>
        <v>0</v>
      </c>
      <c r="Y2625">
        <f>IF($A2="","",SUMIF('07_Pallet_Contents'!$A$2:$A$3000,$A2,'07_Pallet_Contents'!$I$2:$I$3000))</f>
        <v>0</v>
      </c>
      <c r="Z2625" t="str">
        <f>IF($A2="","",IF(COUNTIF('07_Pallet_Contents'!$A$2:$A$3000,$A2)&gt;0,"Yes",""))</f>
        <v/>
      </c>
    </row>
    <row r="2626" spans="23:26">
      <c r="W2626">
        <f>IF($A2="","",COUNTIF('07_Pallet_Contents'!$A$2:$A$3000,$A2))</f>
        <v>0</v>
      </c>
      <c r="X2626">
        <f>IF($A2="","",SUMIF('07_Pallet_Contents'!$A$2:$A$3000,$A2,'07_Pallet_Contents'!$D$2:$D$3000))</f>
        <v>0</v>
      </c>
      <c r="Y2626">
        <f>IF($A2="","",SUMIF('07_Pallet_Contents'!$A$2:$A$3000,$A2,'07_Pallet_Contents'!$I$2:$I$3000))</f>
        <v>0</v>
      </c>
      <c r="Z2626" t="str">
        <f>IF($A2="","",IF(COUNTIF('07_Pallet_Contents'!$A$2:$A$3000,$A2)&gt;0,"Yes",""))</f>
        <v/>
      </c>
    </row>
    <row r="2627" spans="23:26">
      <c r="W2627">
        <f>IF($A2="","",COUNTIF('07_Pallet_Contents'!$A$2:$A$3000,$A2))</f>
        <v>0</v>
      </c>
      <c r="X2627">
        <f>IF($A2="","",SUMIF('07_Pallet_Contents'!$A$2:$A$3000,$A2,'07_Pallet_Contents'!$D$2:$D$3000))</f>
        <v>0</v>
      </c>
      <c r="Y2627">
        <f>IF($A2="","",SUMIF('07_Pallet_Contents'!$A$2:$A$3000,$A2,'07_Pallet_Contents'!$I$2:$I$3000))</f>
        <v>0</v>
      </c>
      <c r="Z2627" t="str">
        <f>IF($A2="","",IF(COUNTIF('07_Pallet_Contents'!$A$2:$A$3000,$A2)&gt;0,"Yes",""))</f>
        <v/>
      </c>
    </row>
    <row r="2628" spans="23:26">
      <c r="W2628">
        <f>IF($A2="","",COUNTIF('07_Pallet_Contents'!$A$2:$A$3000,$A2))</f>
        <v>0</v>
      </c>
      <c r="X2628">
        <f>IF($A2="","",SUMIF('07_Pallet_Contents'!$A$2:$A$3000,$A2,'07_Pallet_Contents'!$D$2:$D$3000))</f>
        <v>0</v>
      </c>
      <c r="Y2628">
        <f>IF($A2="","",SUMIF('07_Pallet_Contents'!$A$2:$A$3000,$A2,'07_Pallet_Contents'!$I$2:$I$3000))</f>
        <v>0</v>
      </c>
      <c r="Z2628" t="str">
        <f>IF($A2="","",IF(COUNTIF('07_Pallet_Contents'!$A$2:$A$3000,$A2)&gt;0,"Yes",""))</f>
        <v/>
      </c>
    </row>
    <row r="2629" spans="23:26">
      <c r="W2629">
        <f>IF($A2="","",COUNTIF('07_Pallet_Contents'!$A$2:$A$3000,$A2))</f>
        <v>0</v>
      </c>
      <c r="X2629">
        <f>IF($A2="","",SUMIF('07_Pallet_Contents'!$A$2:$A$3000,$A2,'07_Pallet_Contents'!$D$2:$D$3000))</f>
        <v>0</v>
      </c>
      <c r="Y2629">
        <f>IF($A2="","",SUMIF('07_Pallet_Contents'!$A$2:$A$3000,$A2,'07_Pallet_Contents'!$I$2:$I$3000))</f>
        <v>0</v>
      </c>
      <c r="Z2629" t="str">
        <f>IF($A2="","",IF(COUNTIF('07_Pallet_Contents'!$A$2:$A$3000,$A2)&gt;0,"Yes",""))</f>
        <v/>
      </c>
    </row>
    <row r="2630" spans="23:26">
      <c r="W2630">
        <f>IF($A2="","",COUNTIF('07_Pallet_Contents'!$A$2:$A$3000,$A2))</f>
        <v>0</v>
      </c>
      <c r="X2630">
        <f>IF($A2="","",SUMIF('07_Pallet_Contents'!$A$2:$A$3000,$A2,'07_Pallet_Contents'!$D$2:$D$3000))</f>
        <v>0</v>
      </c>
      <c r="Y2630">
        <f>IF($A2="","",SUMIF('07_Pallet_Contents'!$A$2:$A$3000,$A2,'07_Pallet_Contents'!$I$2:$I$3000))</f>
        <v>0</v>
      </c>
      <c r="Z2630" t="str">
        <f>IF($A2="","",IF(COUNTIF('07_Pallet_Contents'!$A$2:$A$3000,$A2)&gt;0,"Yes",""))</f>
        <v/>
      </c>
    </row>
    <row r="2631" spans="23:26">
      <c r="W2631">
        <f>IF($A2="","",COUNTIF('07_Pallet_Contents'!$A$2:$A$3000,$A2))</f>
        <v>0</v>
      </c>
      <c r="X2631">
        <f>IF($A2="","",SUMIF('07_Pallet_Contents'!$A$2:$A$3000,$A2,'07_Pallet_Contents'!$D$2:$D$3000))</f>
        <v>0</v>
      </c>
      <c r="Y2631">
        <f>IF($A2="","",SUMIF('07_Pallet_Contents'!$A$2:$A$3000,$A2,'07_Pallet_Contents'!$I$2:$I$3000))</f>
        <v>0</v>
      </c>
      <c r="Z2631" t="str">
        <f>IF($A2="","",IF(COUNTIF('07_Pallet_Contents'!$A$2:$A$3000,$A2)&gt;0,"Yes",""))</f>
        <v/>
      </c>
    </row>
    <row r="2632" spans="23:26">
      <c r="W2632">
        <f>IF($A2="","",COUNTIF('07_Pallet_Contents'!$A$2:$A$3000,$A2))</f>
        <v>0</v>
      </c>
      <c r="X2632">
        <f>IF($A2="","",SUMIF('07_Pallet_Contents'!$A$2:$A$3000,$A2,'07_Pallet_Contents'!$D$2:$D$3000))</f>
        <v>0</v>
      </c>
      <c r="Y2632">
        <f>IF($A2="","",SUMIF('07_Pallet_Contents'!$A$2:$A$3000,$A2,'07_Pallet_Contents'!$I$2:$I$3000))</f>
        <v>0</v>
      </c>
      <c r="Z2632" t="str">
        <f>IF($A2="","",IF(COUNTIF('07_Pallet_Contents'!$A$2:$A$3000,$A2)&gt;0,"Yes",""))</f>
        <v/>
      </c>
    </row>
    <row r="2633" spans="23:26">
      <c r="W2633">
        <f>IF($A2="","",COUNTIF('07_Pallet_Contents'!$A$2:$A$3000,$A2))</f>
        <v>0</v>
      </c>
      <c r="X2633">
        <f>IF($A2="","",SUMIF('07_Pallet_Contents'!$A$2:$A$3000,$A2,'07_Pallet_Contents'!$D$2:$D$3000))</f>
        <v>0</v>
      </c>
      <c r="Y2633">
        <f>IF($A2="","",SUMIF('07_Pallet_Contents'!$A$2:$A$3000,$A2,'07_Pallet_Contents'!$I$2:$I$3000))</f>
        <v>0</v>
      </c>
      <c r="Z2633" t="str">
        <f>IF($A2="","",IF(COUNTIF('07_Pallet_Contents'!$A$2:$A$3000,$A2)&gt;0,"Yes",""))</f>
        <v/>
      </c>
    </row>
    <row r="2634" spans="23:26">
      <c r="W2634">
        <f>IF($A2="","",COUNTIF('07_Pallet_Contents'!$A$2:$A$3000,$A2))</f>
        <v>0</v>
      </c>
      <c r="X2634">
        <f>IF($A2="","",SUMIF('07_Pallet_Contents'!$A$2:$A$3000,$A2,'07_Pallet_Contents'!$D$2:$D$3000))</f>
        <v>0</v>
      </c>
      <c r="Y2634">
        <f>IF($A2="","",SUMIF('07_Pallet_Contents'!$A$2:$A$3000,$A2,'07_Pallet_Contents'!$I$2:$I$3000))</f>
        <v>0</v>
      </c>
      <c r="Z2634" t="str">
        <f>IF($A2="","",IF(COUNTIF('07_Pallet_Contents'!$A$2:$A$3000,$A2)&gt;0,"Yes",""))</f>
        <v/>
      </c>
    </row>
    <row r="2635" spans="23:26">
      <c r="W2635">
        <f>IF($A2="","",COUNTIF('07_Pallet_Contents'!$A$2:$A$3000,$A2))</f>
        <v>0</v>
      </c>
      <c r="X2635">
        <f>IF($A2="","",SUMIF('07_Pallet_Contents'!$A$2:$A$3000,$A2,'07_Pallet_Contents'!$D$2:$D$3000))</f>
        <v>0</v>
      </c>
      <c r="Y2635">
        <f>IF($A2="","",SUMIF('07_Pallet_Contents'!$A$2:$A$3000,$A2,'07_Pallet_Contents'!$I$2:$I$3000))</f>
        <v>0</v>
      </c>
      <c r="Z2635" t="str">
        <f>IF($A2="","",IF(COUNTIF('07_Pallet_Contents'!$A$2:$A$3000,$A2)&gt;0,"Yes",""))</f>
        <v/>
      </c>
    </row>
    <row r="2636" spans="23:26">
      <c r="W2636">
        <f>IF($A2="","",COUNTIF('07_Pallet_Contents'!$A$2:$A$3000,$A2))</f>
        <v>0</v>
      </c>
      <c r="X2636">
        <f>IF($A2="","",SUMIF('07_Pallet_Contents'!$A$2:$A$3000,$A2,'07_Pallet_Contents'!$D$2:$D$3000))</f>
        <v>0</v>
      </c>
      <c r="Y2636">
        <f>IF($A2="","",SUMIF('07_Pallet_Contents'!$A$2:$A$3000,$A2,'07_Pallet_Contents'!$I$2:$I$3000))</f>
        <v>0</v>
      </c>
      <c r="Z2636" t="str">
        <f>IF($A2="","",IF(COUNTIF('07_Pallet_Contents'!$A$2:$A$3000,$A2)&gt;0,"Yes",""))</f>
        <v/>
      </c>
    </row>
    <row r="2637" spans="23:26">
      <c r="W2637">
        <f>IF($A2="","",COUNTIF('07_Pallet_Contents'!$A$2:$A$3000,$A2))</f>
        <v>0</v>
      </c>
      <c r="X2637">
        <f>IF($A2="","",SUMIF('07_Pallet_Contents'!$A$2:$A$3000,$A2,'07_Pallet_Contents'!$D$2:$D$3000))</f>
        <v>0</v>
      </c>
      <c r="Y2637">
        <f>IF($A2="","",SUMIF('07_Pallet_Contents'!$A$2:$A$3000,$A2,'07_Pallet_Contents'!$I$2:$I$3000))</f>
        <v>0</v>
      </c>
      <c r="Z2637" t="str">
        <f>IF($A2="","",IF(COUNTIF('07_Pallet_Contents'!$A$2:$A$3000,$A2)&gt;0,"Yes",""))</f>
        <v/>
      </c>
    </row>
    <row r="2638" spans="23:26">
      <c r="W2638">
        <f>IF($A2="","",COUNTIF('07_Pallet_Contents'!$A$2:$A$3000,$A2))</f>
        <v>0</v>
      </c>
      <c r="X2638">
        <f>IF($A2="","",SUMIF('07_Pallet_Contents'!$A$2:$A$3000,$A2,'07_Pallet_Contents'!$D$2:$D$3000))</f>
        <v>0</v>
      </c>
      <c r="Y2638">
        <f>IF($A2="","",SUMIF('07_Pallet_Contents'!$A$2:$A$3000,$A2,'07_Pallet_Contents'!$I$2:$I$3000))</f>
        <v>0</v>
      </c>
      <c r="Z2638" t="str">
        <f>IF($A2="","",IF(COUNTIF('07_Pallet_Contents'!$A$2:$A$3000,$A2)&gt;0,"Yes",""))</f>
        <v/>
      </c>
    </row>
    <row r="2639" spans="23:26">
      <c r="W2639">
        <f>IF($A2="","",COUNTIF('07_Pallet_Contents'!$A$2:$A$3000,$A2))</f>
        <v>0</v>
      </c>
      <c r="X2639">
        <f>IF($A2="","",SUMIF('07_Pallet_Contents'!$A$2:$A$3000,$A2,'07_Pallet_Contents'!$D$2:$D$3000))</f>
        <v>0</v>
      </c>
      <c r="Y2639">
        <f>IF($A2="","",SUMIF('07_Pallet_Contents'!$A$2:$A$3000,$A2,'07_Pallet_Contents'!$I$2:$I$3000))</f>
        <v>0</v>
      </c>
      <c r="Z2639" t="str">
        <f>IF($A2="","",IF(COUNTIF('07_Pallet_Contents'!$A$2:$A$3000,$A2)&gt;0,"Yes",""))</f>
        <v/>
      </c>
    </row>
    <row r="2640" spans="23:26">
      <c r="W2640">
        <f>IF($A2="","",COUNTIF('07_Pallet_Contents'!$A$2:$A$3000,$A2))</f>
        <v>0</v>
      </c>
      <c r="X2640">
        <f>IF($A2="","",SUMIF('07_Pallet_Contents'!$A$2:$A$3000,$A2,'07_Pallet_Contents'!$D$2:$D$3000))</f>
        <v>0</v>
      </c>
      <c r="Y2640">
        <f>IF($A2="","",SUMIF('07_Pallet_Contents'!$A$2:$A$3000,$A2,'07_Pallet_Contents'!$I$2:$I$3000))</f>
        <v>0</v>
      </c>
      <c r="Z2640" t="str">
        <f>IF($A2="","",IF(COUNTIF('07_Pallet_Contents'!$A$2:$A$3000,$A2)&gt;0,"Yes",""))</f>
        <v/>
      </c>
    </row>
    <row r="2641" spans="23:26">
      <c r="W2641">
        <f>IF($A2="","",COUNTIF('07_Pallet_Contents'!$A$2:$A$3000,$A2))</f>
        <v>0</v>
      </c>
      <c r="X2641">
        <f>IF($A2="","",SUMIF('07_Pallet_Contents'!$A$2:$A$3000,$A2,'07_Pallet_Contents'!$D$2:$D$3000))</f>
        <v>0</v>
      </c>
      <c r="Y2641">
        <f>IF($A2="","",SUMIF('07_Pallet_Contents'!$A$2:$A$3000,$A2,'07_Pallet_Contents'!$I$2:$I$3000))</f>
        <v>0</v>
      </c>
      <c r="Z2641" t="str">
        <f>IF($A2="","",IF(COUNTIF('07_Pallet_Contents'!$A$2:$A$3000,$A2)&gt;0,"Yes",""))</f>
        <v/>
      </c>
    </row>
    <row r="2642" spans="23:26">
      <c r="W2642">
        <f>IF($A2="","",COUNTIF('07_Pallet_Contents'!$A$2:$A$3000,$A2))</f>
        <v>0</v>
      </c>
      <c r="X2642">
        <f>IF($A2="","",SUMIF('07_Pallet_Contents'!$A$2:$A$3000,$A2,'07_Pallet_Contents'!$D$2:$D$3000))</f>
        <v>0</v>
      </c>
      <c r="Y2642">
        <f>IF($A2="","",SUMIF('07_Pallet_Contents'!$A$2:$A$3000,$A2,'07_Pallet_Contents'!$I$2:$I$3000))</f>
        <v>0</v>
      </c>
      <c r="Z2642" t="str">
        <f>IF($A2="","",IF(COUNTIF('07_Pallet_Contents'!$A$2:$A$3000,$A2)&gt;0,"Yes",""))</f>
        <v/>
      </c>
    </row>
    <row r="2643" spans="23:26">
      <c r="W2643">
        <f>IF($A2="","",COUNTIF('07_Pallet_Contents'!$A$2:$A$3000,$A2))</f>
        <v>0</v>
      </c>
      <c r="X2643">
        <f>IF($A2="","",SUMIF('07_Pallet_Contents'!$A$2:$A$3000,$A2,'07_Pallet_Contents'!$D$2:$D$3000))</f>
        <v>0</v>
      </c>
      <c r="Y2643">
        <f>IF($A2="","",SUMIF('07_Pallet_Contents'!$A$2:$A$3000,$A2,'07_Pallet_Contents'!$I$2:$I$3000))</f>
        <v>0</v>
      </c>
      <c r="Z2643" t="str">
        <f>IF($A2="","",IF(COUNTIF('07_Pallet_Contents'!$A$2:$A$3000,$A2)&gt;0,"Yes",""))</f>
        <v/>
      </c>
    </row>
    <row r="2644" spans="23:26">
      <c r="W2644">
        <f>IF($A2="","",COUNTIF('07_Pallet_Contents'!$A$2:$A$3000,$A2))</f>
        <v>0</v>
      </c>
      <c r="X2644">
        <f>IF($A2="","",SUMIF('07_Pallet_Contents'!$A$2:$A$3000,$A2,'07_Pallet_Contents'!$D$2:$D$3000))</f>
        <v>0</v>
      </c>
      <c r="Y2644">
        <f>IF($A2="","",SUMIF('07_Pallet_Contents'!$A$2:$A$3000,$A2,'07_Pallet_Contents'!$I$2:$I$3000))</f>
        <v>0</v>
      </c>
      <c r="Z2644" t="str">
        <f>IF($A2="","",IF(COUNTIF('07_Pallet_Contents'!$A$2:$A$3000,$A2)&gt;0,"Yes",""))</f>
        <v/>
      </c>
    </row>
    <row r="2645" spans="23:26">
      <c r="W2645">
        <f>IF($A2="","",COUNTIF('07_Pallet_Contents'!$A$2:$A$3000,$A2))</f>
        <v>0</v>
      </c>
      <c r="X2645">
        <f>IF($A2="","",SUMIF('07_Pallet_Contents'!$A$2:$A$3000,$A2,'07_Pallet_Contents'!$D$2:$D$3000))</f>
        <v>0</v>
      </c>
      <c r="Y2645">
        <f>IF($A2="","",SUMIF('07_Pallet_Contents'!$A$2:$A$3000,$A2,'07_Pallet_Contents'!$I$2:$I$3000))</f>
        <v>0</v>
      </c>
      <c r="Z2645" t="str">
        <f>IF($A2="","",IF(COUNTIF('07_Pallet_Contents'!$A$2:$A$3000,$A2)&gt;0,"Yes",""))</f>
        <v/>
      </c>
    </row>
    <row r="2646" spans="23:26">
      <c r="W2646">
        <f>IF($A2="","",COUNTIF('07_Pallet_Contents'!$A$2:$A$3000,$A2))</f>
        <v>0</v>
      </c>
      <c r="X2646">
        <f>IF($A2="","",SUMIF('07_Pallet_Contents'!$A$2:$A$3000,$A2,'07_Pallet_Contents'!$D$2:$D$3000))</f>
        <v>0</v>
      </c>
      <c r="Y2646">
        <f>IF($A2="","",SUMIF('07_Pallet_Contents'!$A$2:$A$3000,$A2,'07_Pallet_Contents'!$I$2:$I$3000))</f>
        <v>0</v>
      </c>
      <c r="Z2646" t="str">
        <f>IF($A2="","",IF(COUNTIF('07_Pallet_Contents'!$A$2:$A$3000,$A2)&gt;0,"Yes",""))</f>
        <v/>
      </c>
    </row>
    <row r="2647" spans="23:26">
      <c r="W2647">
        <f>IF($A2="","",COUNTIF('07_Pallet_Contents'!$A$2:$A$3000,$A2))</f>
        <v>0</v>
      </c>
      <c r="X2647">
        <f>IF($A2="","",SUMIF('07_Pallet_Contents'!$A$2:$A$3000,$A2,'07_Pallet_Contents'!$D$2:$D$3000))</f>
        <v>0</v>
      </c>
      <c r="Y2647">
        <f>IF($A2="","",SUMIF('07_Pallet_Contents'!$A$2:$A$3000,$A2,'07_Pallet_Contents'!$I$2:$I$3000))</f>
        <v>0</v>
      </c>
      <c r="Z2647" t="str">
        <f>IF($A2="","",IF(COUNTIF('07_Pallet_Contents'!$A$2:$A$3000,$A2)&gt;0,"Yes",""))</f>
        <v/>
      </c>
    </row>
    <row r="2648" spans="23:26">
      <c r="W2648">
        <f>IF($A2="","",COUNTIF('07_Pallet_Contents'!$A$2:$A$3000,$A2))</f>
        <v>0</v>
      </c>
      <c r="X2648">
        <f>IF($A2="","",SUMIF('07_Pallet_Contents'!$A$2:$A$3000,$A2,'07_Pallet_Contents'!$D$2:$D$3000))</f>
        <v>0</v>
      </c>
      <c r="Y2648">
        <f>IF($A2="","",SUMIF('07_Pallet_Contents'!$A$2:$A$3000,$A2,'07_Pallet_Contents'!$I$2:$I$3000))</f>
        <v>0</v>
      </c>
      <c r="Z2648" t="str">
        <f>IF($A2="","",IF(COUNTIF('07_Pallet_Contents'!$A$2:$A$3000,$A2)&gt;0,"Yes",""))</f>
        <v/>
      </c>
    </row>
    <row r="2649" spans="23:26">
      <c r="W2649">
        <f>IF($A2="","",COUNTIF('07_Pallet_Contents'!$A$2:$A$3000,$A2))</f>
        <v>0</v>
      </c>
      <c r="X2649">
        <f>IF($A2="","",SUMIF('07_Pallet_Contents'!$A$2:$A$3000,$A2,'07_Pallet_Contents'!$D$2:$D$3000))</f>
        <v>0</v>
      </c>
      <c r="Y2649">
        <f>IF($A2="","",SUMIF('07_Pallet_Contents'!$A$2:$A$3000,$A2,'07_Pallet_Contents'!$I$2:$I$3000))</f>
        <v>0</v>
      </c>
      <c r="Z2649" t="str">
        <f>IF($A2="","",IF(COUNTIF('07_Pallet_Contents'!$A$2:$A$3000,$A2)&gt;0,"Yes",""))</f>
        <v/>
      </c>
    </row>
    <row r="2650" spans="23:26">
      <c r="W2650">
        <f>IF($A2="","",COUNTIF('07_Pallet_Contents'!$A$2:$A$3000,$A2))</f>
        <v>0</v>
      </c>
      <c r="X2650">
        <f>IF($A2="","",SUMIF('07_Pallet_Contents'!$A$2:$A$3000,$A2,'07_Pallet_Contents'!$D$2:$D$3000))</f>
        <v>0</v>
      </c>
      <c r="Y2650">
        <f>IF($A2="","",SUMIF('07_Pallet_Contents'!$A$2:$A$3000,$A2,'07_Pallet_Contents'!$I$2:$I$3000))</f>
        <v>0</v>
      </c>
      <c r="Z2650" t="str">
        <f>IF($A2="","",IF(COUNTIF('07_Pallet_Contents'!$A$2:$A$3000,$A2)&gt;0,"Yes",""))</f>
        <v/>
      </c>
    </row>
    <row r="2651" spans="23:26">
      <c r="W2651">
        <f>IF($A2="","",COUNTIF('07_Pallet_Contents'!$A$2:$A$3000,$A2))</f>
        <v>0</v>
      </c>
      <c r="X2651">
        <f>IF($A2="","",SUMIF('07_Pallet_Contents'!$A$2:$A$3000,$A2,'07_Pallet_Contents'!$D$2:$D$3000))</f>
        <v>0</v>
      </c>
      <c r="Y2651">
        <f>IF($A2="","",SUMIF('07_Pallet_Contents'!$A$2:$A$3000,$A2,'07_Pallet_Contents'!$I$2:$I$3000))</f>
        <v>0</v>
      </c>
      <c r="Z2651" t="str">
        <f>IF($A2="","",IF(COUNTIF('07_Pallet_Contents'!$A$2:$A$3000,$A2)&gt;0,"Yes",""))</f>
        <v/>
      </c>
    </row>
    <row r="2652" spans="23:26">
      <c r="W2652">
        <f>IF($A2="","",COUNTIF('07_Pallet_Contents'!$A$2:$A$3000,$A2))</f>
        <v>0</v>
      </c>
      <c r="X2652">
        <f>IF($A2="","",SUMIF('07_Pallet_Contents'!$A$2:$A$3000,$A2,'07_Pallet_Contents'!$D$2:$D$3000))</f>
        <v>0</v>
      </c>
      <c r="Y2652">
        <f>IF($A2="","",SUMIF('07_Pallet_Contents'!$A$2:$A$3000,$A2,'07_Pallet_Contents'!$I$2:$I$3000))</f>
        <v>0</v>
      </c>
      <c r="Z2652" t="str">
        <f>IF($A2="","",IF(COUNTIF('07_Pallet_Contents'!$A$2:$A$3000,$A2)&gt;0,"Yes",""))</f>
        <v/>
      </c>
    </row>
    <row r="2653" spans="23:26">
      <c r="W2653">
        <f>IF($A2="","",COUNTIF('07_Pallet_Contents'!$A$2:$A$3000,$A2))</f>
        <v>0</v>
      </c>
      <c r="X2653">
        <f>IF($A2="","",SUMIF('07_Pallet_Contents'!$A$2:$A$3000,$A2,'07_Pallet_Contents'!$D$2:$D$3000))</f>
        <v>0</v>
      </c>
      <c r="Y2653">
        <f>IF($A2="","",SUMIF('07_Pallet_Contents'!$A$2:$A$3000,$A2,'07_Pallet_Contents'!$I$2:$I$3000))</f>
        <v>0</v>
      </c>
      <c r="Z2653" t="str">
        <f>IF($A2="","",IF(COUNTIF('07_Pallet_Contents'!$A$2:$A$3000,$A2)&gt;0,"Yes",""))</f>
        <v/>
      </c>
    </row>
    <row r="2654" spans="23:26">
      <c r="W2654">
        <f>IF($A2="","",COUNTIF('07_Pallet_Contents'!$A$2:$A$3000,$A2))</f>
        <v>0</v>
      </c>
      <c r="X2654">
        <f>IF($A2="","",SUMIF('07_Pallet_Contents'!$A$2:$A$3000,$A2,'07_Pallet_Contents'!$D$2:$D$3000))</f>
        <v>0</v>
      </c>
      <c r="Y2654">
        <f>IF($A2="","",SUMIF('07_Pallet_Contents'!$A$2:$A$3000,$A2,'07_Pallet_Contents'!$I$2:$I$3000))</f>
        <v>0</v>
      </c>
      <c r="Z2654" t="str">
        <f>IF($A2="","",IF(COUNTIF('07_Pallet_Contents'!$A$2:$A$3000,$A2)&gt;0,"Yes",""))</f>
        <v/>
      </c>
    </row>
    <row r="2655" spans="23:26">
      <c r="W2655">
        <f>IF($A2="","",COUNTIF('07_Pallet_Contents'!$A$2:$A$3000,$A2))</f>
        <v>0</v>
      </c>
      <c r="X2655">
        <f>IF($A2="","",SUMIF('07_Pallet_Contents'!$A$2:$A$3000,$A2,'07_Pallet_Contents'!$D$2:$D$3000))</f>
        <v>0</v>
      </c>
      <c r="Y2655">
        <f>IF($A2="","",SUMIF('07_Pallet_Contents'!$A$2:$A$3000,$A2,'07_Pallet_Contents'!$I$2:$I$3000))</f>
        <v>0</v>
      </c>
      <c r="Z2655" t="str">
        <f>IF($A2="","",IF(COUNTIF('07_Pallet_Contents'!$A$2:$A$3000,$A2)&gt;0,"Yes",""))</f>
        <v/>
      </c>
    </row>
    <row r="2656" spans="23:26">
      <c r="W2656">
        <f>IF($A2="","",COUNTIF('07_Pallet_Contents'!$A$2:$A$3000,$A2))</f>
        <v>0</v>
      </c>
      <c r="X2656">
        <f>IF($A2="","",SUMIF('07_Pallet_Contents'!$A$2:$A$3000,$A2,'07_Pallet_Contents'!$D$2:$D$3000))</f>
        <v>0</v>
      </c>
      <c r="Y2656">
        <f>IF($A2="","",SUMIF('07_Pallet_Contents'!$A$2:$A$3000,$A2,'07_Pallet_Contents'!$I$2:$I$3000))</f>
        <v>0</v>
      </c>
      <c r="Z2656" t="str">
        <f>IF($A2="","",IF(COUNTIF('07_Pallet_Contents'!$A$2:$A$3000,$A2)&gt;0,"Yes",""))</f>
        <v/>
      </c>
    </row>
    <row r="2657" spans="23:26">
      <c r="W2657">
        <f>IF($A2="","",COUNTIF('07_Pallet_Contents'!$A$2:$A$3000,$A2))</f>
        <v>0</v>
      </c>
      <c r="X2657">
        <f>IF($A2="","",SUMIF('07_Pallet_Contents'!$A$2:$A$3000,$A2,'07_Pallet_Contents'!$D$2:$D$3000))</f>
        <v>0</v>
      </c>
      <c r="Y2657">
        <f>IF($A2="","",SUMIF('07_Pallet_Contents'!$A$2:$A$3000,$A2,'07_Pallet_Contents'!$I$2:$I$3000))</f>
        <v>0</v>
      </c>
      <c r="Z2657" t="str">
        <f>IF($A2="","",IF(COUNTIF('07_Pallet_Contents'!$A$2:$A$3000,$A2)&gt;0,"Yes",""))</f>
        <v/>
      </c>
    </row>
    <row r="2658" spans="23:26">
      <c r="W2658">
        <f>IF($A2="","",COUNTIF('07_Pallet_Contents'!$A$2:$A$3000,$A2))</f>
        <v>0</v>
      </c>
      <c r="X2658">
        <f>IF($A2="","",SUMIF('07_Pallet_Contents'!$A$2:$A$3000,$A2,'07_Pallet_Contents'!$D$2:$D$3000))</f>
        <v>0</v>
      </c>
      <c r="Y2658">
        <f>IF($A2="","",SUMIF('07_Pallet_Contents'!$A$2:$A$3000,$A2,'07_Pallet_Contents'!$I$2:$I$3000))</f>
        <v>0</v>
      </c>
      <c r="Z2658" t="str">
        <f>IF($A2="","",IF(COUNTIF('07_Pallet_Contents'!$A$2:$A$3000,$A2)&gt;0,"Yes",""))</f>
        <v/>
      </c>
    </row>
    <row r="2659" spans="23:26">
      <c r="W2659">
        <f>IF($A2="","",COUNTIF('07_Pallet_Contents'!$A$2:$A$3000,$A2))</f>
        <v>0</v>
      </c>
      <c r="X2659">
        <f>IF($A2="","",SUMIF('07_Pallet_Contents'!$A$2:$A$3000,$A2,'07_Pallet_Contents'!$D$2:$D$3000))</f>
        <v>0</v>
      </c>
      <c r="Y2659">
        <f>IF($A2="","",SUMIF('07_Pallet_Contents'!$A$2:$A$3000,$A2,'07_Pallet_Contents'!$I$2:$I$3000))</f>
        <v>0</v>
      </c>
      <c r="Z2659" t="str">
        <f>IF($A2="","",IF(COUNTIF('07_Pallet_Contents'!$A$2:$A$3000,$A2)&gt;0,"Yes",""))</f>
        <v/>
      </c>
    </row>
    <row r="2660" spans="23:26">
      <c r="W2660">
        <f>IF($A2="","",COUNTIF('07_Pallet_Contents'!$A$2:$A$3000,$A2))</f>
        <v>0</v>
      </c>
      <c r="X2660">
        <f>IF($A2="","",SUMIF('07_Pallet_Contents'!$A$2:$A$3000,$A2,'07_Pallet_Contents'!$D$2:$D$3000))</f>
        <v>0</v>
      </c>
      <c r="Y2660">
        <f>IF($A2="","",SUMIF('07_Pallet_Contents'!$A$2:$A$3000,$A2,'07_Pallet_Contents'!$I$2:$I$3000))</f>
        <v>0</v>
      </c>
      <c r="Z2660" t="str">
        <f>IF($A2="","",IF(COUNTIF('07_Pallet_Contents'!$A$2:$A$3000,$A2)&gt;0,"Yes",""))</f>
        <v/>
      </c>
    </row>
    <row r="2661" spans="23:26">
      <c r="W2661">
        <f>IF($A2="","",COUNTIF('07_Pallet_Contents'!$A$2:$A$3000,$A2))</f>
        <v>0</v>
      </c>
      <c r="X2661">
        <f>IF($A2="","",SUMIF('07_Pallet_Contents'!$A$2:$A$3000,$A2,'07_Pallet_Contents'!$D$2:$D$3000))</f>
        <v>0</v>
      </c>
      <c r="Y2661">
        <f>IF($A2="","",SUMIF('07_Pallet_Contents'!$A$2:$A$3000,$A2,'07_Pallet_Contents'!$I$2:$I$3000))</f>
        <v>0</v>
      </c>
      <c r="Z2661" t="str">
        <f>IF($A2="","",IF(COUNTIF('07_Pallet_Contents'!$A$2:$A$3000,$A2)&gt;0,"Yes",""))</f>
        <v/>
      </c>
    </row>
    <row r="2662" spans="23:26">
      <c r="W2662">
        <f>IF($A2="","",COUNTIF('07_Pallet_Contents'!$A$2:$A$3000,$A2))</f>
        <v>0</v>
      </c>
      <c r="X2662">
        <f>IF($A2="","",SUMIF('07_Pallet_Contents'!$A$2:$A$3000,$A2,'07_Pallet_Contents'!$D$2:$D$3000))</f>
        <v>0</v>
      </c>
      <c r="Y2662">
        <f>IF($A2="","",SUMIF('07_Pallet_Contents'!$A$2:$A$3000,$A2,'07_Pallet_Contents'!$I$2:$I$3000))</f>
        <v>0</v>
      </c>
      <c r="Z2662" t="str">
        <f>IF($A2="","",IF(COUNTIF('07_Pallet_Contents'!$A$2:$A$3000,$A2)&gt;0,"Yes",""))</f>
        <v/>
      </c>
    </row>
    <row r="2663" spans="23:26">
      <c r="W2663">
        <f>IF($A2="","",COUNTIF('07_Pallet_Contents'!$A$2:$A$3000,$A2))</f>
        <v>0</v>
      </c>
      <c r="X2663">
        <f>IF($A2="","",SUMIF('07_Pallet_Contents'!$A$2:$A$3000,$A2,'07_Pallet_Contents'!$D$2:$D$3000))</f>
        <v>0</v>
      </c>
      <c r="Y2663">
        <f>IF($A2="","",SUMIF('07_Pallet_Contents'!$A$2:$A$3000,$A2,'07_Pallet_Contents'!$I$2:$I$3000))</f>
        <v>0</v>
      </c>
      <c r="Z2663" t="str">
        <f>IF($A2="","",IF(COUNTIF('07_Pallet_Contents'!$A$2:$A$3000,$A2)&gt;0,"Yes",""))</f>
        <v/>
      </c>
    </row>
    <row r="2664" spans="23:26">
      <c r="W2664">
        <f>IF($A2="","",COUNTIF('07_Pallet_Contents'!$A$2:$A$3000,$A2))</f>
        <v>0</v>
      </c>
      <c r="X2664">
        <f>IF($A2="","",SUMIF('07_Pallet_Contents'!$A$2:$A$3000,$A2,'07_Pallet_Contents'!$D$2:$D$3000))</f>
        <v>0</v>
      </c>
      <c r="Y2664">
        <f>IF($A2="","",SUMIF('07_Pallet_Contents'!$A$2:$A$3000,$A2,'07_Pallet_Contents'!$I$2:$I$3000))</f>
        <v>0</v>
      </c>
      <c r="Z2664" t="str">
        <f>IF($A2="","",IF(COUNTIF('07_Pallet_Contents'!$A$2:$A$3000,$A2)&gt;0,"Yes",""))</f>
        <v/>
      </c>
    </row>
    <row r="2665" spans="23:26">
      <c r="W2665">
        <f>IF($A2="","",COUNTIF('07_Pallet_Contents'!$A$2:$A$3000,$A2))</f>
        <v>0</v>
      </c>
      <c r="X2665">
        <f>IF($A2="","",SUMIF('07_Pallet_Contents'!$A$2:$A$3000,$A2,'07_Pallet_Contents'!$D$2:$D$3000))</f>
        <v>0</v>
      </c>
      <c r="Y2665">
        <f>IF($A2="","",SUMIF('07_Pallet_Contents'!$A$2:$A$3000,$A2,'07_Pallet_Contents'!$I$2:$I$3000))</f>
        <v>0</v>
      </c>
      <c r="Z2665" t="str">
        <f>IF($A2="","",IF(COUNTIF('07_Pallet_Contents'!$A$2:$A$3000,$A2)&gt;0,"Yes",""))</f>
        <v/>
      </c>
    </row>
    <row r="2666" spans="23:26">
      <c r="W2666">
        <f>IF($A2="","",COUNTIF('07_Pallet_Contents'!$A$2:$A$3000,$A2))</f>
        <v>0</v>
      </c>
      <c r="X2666">
        <f>IF($A2="","",SUMIF('07_Pallet_Contents'!$A$2:$A$3000,$A2,'07_Pallet_Contents'!$D$2:$D$3000))</f>
        <v>0</v>
      </c>
      <c r="Y2666">
        <f>IF($A2="","",SUMIF('07_Pallet_Contents'!$A$2:$A$3000,$A2,'07_Pallet_Contents'!$I$2:$I$3000))</f>
        <v>0</v>
      </c>
      <c r="Z2666" t="str">
        <f>IF($A2="","",IF(COUNTIF('07_Pallet_Contents'!$A$2:$A$3000,$A2)&gt;0,"Yes",""))</f>
        <v/>
      </c>
    </row>
    <row r="2667" spans="23:26">
      <c r="W2667">
        <f>IF($A2="","",COUNTIF('07_Pallet_Contents'!$A$2:$A$3000,$A2))</f>
        <v>0</v>
      </c>
      <c r="X2667">
        <f>IF($A2="","",SUMIF('07_Pallet_Contents'!$A$2:$A$3000,$A2,'07_Pallet_Contents'!$D$2:$D$3000))</f>
        <v>0</v>
      </c>
      <c r="Y2667">
        <f>IF($A2="","",SUMIF('07_Pallet_Contents'!$A$2:$A$3000,$A2,'07_Pallet_Contents'!$I$2:$I$3000))</f>
        <v>0</v>
      </c>
      <c r="Z2667" t="str">
        <f>IF($A2="","",IF(COUNTIF('07_Pallet_Contents'!$A$2:$A$3000,$A2)&gt;0,"Yes",""))</f>
        <v/>
      </c>
    </row>
    <row r="2668" spans="23:26">
      <c r="W2668">
        <f>IF($A2="","",COUNTIF('07_Pallet_Contents'!$A$2:$A$3000,$A2))</f>
        <v>0</v>
      </c>
      <c r="X2668">
        <f>IF($A2="","",SUMIF('07_Pallet_Contents'!$A$2:$A$3000,$A2,'07_Pallet_Contents'!$D$2:$D$3000))</f>
        <v>0</v>
      </c>
      <c r="Y2668">
        <f>IF($A2="","",SUMIF('07_Pallet_Contents'!$A$2:$A$3000,$A2,'07_Pallet_Contents'!$I$2:$I$3000))</f>
        <v>0</v>
      </c>
      <c r="Z2668" t="str">
        <f>IF($A2="","",IF(COUNTIF('07_Pallet_Contents'!$A$2:$A$3000,$A2)&gt;0,"Yes",""))</f>
        <v/>
      </c>
    </row>
    <row r="2669" spans="23:26">
      <c r="W2669">
        <f>IF($A2="","",COUNTIF('07_Pallet_Contents'!$A$2:$A$3000,$A2))</f>
        <v>0</v>
      </c>
      <c r="X2669">
        <f>IF($A2="","",SUMIF('07_Pallet_Contents'!$A$2:$A$3000,$A2,'07_Pallet_Contents'!$D$2:$D$3000))</f>
        <v>0</v>
      </c>
      <c r="Y2669">
        <f>IF($A2="","",SUMIF('07_Pallet_Contents'!$A$2:$A$3000,$A2,'07_Pallet_Contents'!$I$2:$I$3000))</f>
        <v>0</v>
      </c>
      <c r="Z2669" t="str">
        <f>IF($A2="","",IF(COUNTIF('07_Pallet_Contents'!$A$2:$A$3000,$A2)&gt;0,"Yes",""))</f>
        <v/>
      </c>
    </row>
    <row r="2670" spans="23:26">
      <c r="W2670">
        <f>IF($A2="","",COUNTIF('07_Pallet_Contents'!$A$2:$A$3000,$A2))</f>
        <v>0</v>
      </c>
      <c r="X2670">
        <f>IF($A2="","",SUMIF('07_Pallet_Contents'!$A$2:$A$3000,$A2,'07_Pallet_Contents'!$D$2:$D$3000))</f>
        <v>0</v>
      </c>
      <c r="Y2670">
        <f>IF($A2="","",SUMIF('07_Pallet_Contents'!$A$2:$A$3000,$A2,'07_Pallet_Contents'!$I$2:$I$3000))</f>
        <v>0</v>
      </c>
      <c r="Z2670" t="str">
        <f>IF($A2="","",IF(COUNTIF('07_Pallet_Contents'!$A$2:$A$3000,$A2)&gt;0,"Yes",""))</f>
        <v/>
      </c>
    </row>
    <row r="2671" spans="23:26">
      <c r="W2671">
        <f>IF($A2="","",COUNTIF('07_Pallet_Contents'!$A$2:$A$3000,$A2))</f>
        <v>0</v>
      </c>
      <c r="X2671">
        <f>IF($A2="","",SUMIF('07_Pallet_Contents'!$A$2:$A$3000,$A2,'07_Pallet_Contents'!$D$2:$D$3000))</f>
        <v>0</v>
      </c>
      <c r="Y2671">
        <f>IF($A2="","",SUMIF('07_Pallet_Contents'!$A$2:$A$3000,$A2,'07_Pallet_Contents'!$I$2:$I$3000))</f>
        <v>0</v>
      </c>
      <c r="Z2671" t="str">
        <f>IF($A2="","",IF(COUNTIF('07_Pallet_Contents'!$A$2:$A$3000,$A2)&gt;0,"Yes",""))</f>
        <v/>
      </c>
    </row>
    <row r="2672" spans="23:26">
      <c r="W2672">
        <f>IF($A2="","",COUNTIF('07_Pallet_Contents'!$A$2:$A$3000,$A2))</f>
        <v>0</v>
      </c>
      <c r="X2672">
        <f>IF($A2="","",SUMIF('07_Pallet_Contents'!$A$2:$A$3000,$A2,'07_Pallet_Contents'!$D$2:$D$3000))</f>
        <v>0</v>
      </c>
      <c r="Y2672">
        <f>IF($A2="","",SUMIF('07_Pallet_Contents'!$A$2:$A$3000,$A2,'07_Pallet_Contents'!$I$2:$I$3000))</f>
        <v>0</v>
      </c>
      <c r="Z2672" t="str">
        <f>IF($A2="","",IF(COUNTIF('07_Pallet_Contents'!$A$2:$A$3000,$A2)&gt;0,"Yes",""))</f>
        <v/>
      </c>
    </row>
    <row r="2673" spans="23:26">
      <c r="W2673">
        <f>IF($A2="","",COUNTIF('07_Pallet_Contents'!$A$2:$A$3000,$A2))</f>
        <v>0</v>
      </c>
      <c r="X2673">
        <f>IF($A2="","",SUMIF('07_Pallet_Contents'!$A$2:$A$3000,$A2,'07_Pallet_Contents'!$D$2:$D$3000))</f>
        <v>0</v>
      </c>
      <c r="Y2673">
        <f>IF($A2="","",SUMIF('07_Pallet_Contents'!$A$2:$A$3000,$A2,'07_Pallet_Contents'!$I$2:$I$3000))</f>
        <v>0</v>
      </c>
      <c r="Z2673" t="str">
        <f>IF($A2="","",IF(COUNTIF('07_Pallet_Contents'!$A$2:$A$3000,$A2)&gt;0,"Yes",""))</f>
        <v/>
      </c>
    </row>
    <row r="2674" spans="23:26">
      <c r="W2674">
        <f>IF($A2="","",COUNTIF('07_Pallet_Contents'!$A$2:$A$3000,$A2))</f>
        <v>0</v>
      </c>
      <c r="X2674">
        <f>IF($A2="","",SUMIF('07_Pallet_Contents'!$A$2:$A$3000,$A2,'07_Pallet_Contents'!$D$2:$D$3000))</f>
        <v>0</v>
      </c>
      <c r="Y2674">
        <f>IF($A2="","",SUMIF('07_Pallet_Contents'!$A$2:$A$3000,$A2,'07_Pallet_Contents'!$I$2:$I$3000))</f>
        <v>0</v>
      </c>
      <c r="Z2674" t="str">
        <f>IF($A2="","",IF(COUNTIF('07_Pallet_Contents'!$A$2:$A$3000,$A2)&gt;0,"Yes",""))</f>
        <v/>
      </c>
    </row>
    <row r="2675" spans="23:26">
      <c r="W2675">
        <f>IF($A2="","",COUNTIF('07_Pallet_Contents'!$A$2:$A$3000,$A2))</f>
        <v>0</v>
      </c>
      <c r="X2675">
        <f>IF($A2="","",SUMIF('07_Pallet_Contents'!$A$2:$A$3000,$A2,'07_Pallet_Contents'!$D$2:$D$3000))</f>
        <v>0</v>
      </c>
      <c r="Y2675">
        <f>IF($A2="","",SUMIF('07_Pallet_Contents'!$A$2:$A$3000,$A2,'07_Pallet_Contents'!$I$2:$I$3000))</f>
        <v>0</v>
      </c>
      <c r="Z2675" t="str">
        <f>IF($A2="","",IF(COUNTIF('07_Pallet_Contents'!$A$2:$A$3000,$A2)&gt;0,"Yes",""))</f>
        <v/>
      </c>
    </row>
    <row r="2676" spans="23:26">
      <c r="W2676">
        <f>IF($A2="","",COUNTIF('07_Pallet_Contents'!$A$2:$A$3000,$A2))</f>
        <v>0</v>
      </c>
      <c r="X2676">
        <f>IF($A2="","",SUMIF('07_Pallet_Contents'!$A$2:$A$3000,$A2,'07_Pallet_Contents'!$D$2:$D$3000))</f>
        <v>0</v>
      </c>
      <c r="Y2676">
        <f>IF($A2="","",SUMIF('07_Pallet_Contents'!$A$2:$A$3000,$A2,'07_Pallet_Contents'!$I$2:$I$3000))</f>
        <v>0</v>
      </c>
      <c r="Z2676" t="str">
        <f>IF($A2="","",IF(COUNTIF('07_Pallet_Contents'!$A$2:$A$3000,$A2)&gt;0,"Yes",""))</f>
        <v/>
      </c>
    </row>
    <row r="2677" spans="23:26">
      <c r="W2677">
        <f>IF($A2="","",COUNTIF('07_Pallet_Contents'!$A$2:$A$3000,$A2))</f>
        <v>0</v>
      </c>
      <c r="X2677">
        <f>IF($A2="","",SUMIF('07_Pallet_Contents'!$A$2:$A$3000,$A2,'07_Pallet_Contents'!$D$2:$D$3000))</f>
        <v>0</v>
      </c>
      <c r="Y2677">
        <f>IF($A2="","",SUMIF('07_Pallet_Contents'!$A$2:$A$3000,$A2,'07_Pallet_Contents'!$I$2:$I$3000))</f>
        <v>0</v>
      </c>
      <c r="Z2677" t="str">
        <f>IF($A2="","",IF(COUNTIF('07_Pallet_Contents'!$A$2:$A$3000,$A2)&gt;0,"Yes",""))</f>
        <v/>
      </c>
    </row>
    <row r="2678" spans="23:26">
      <c r="W2678">
        <f>IF($A2="","",COUNTIF('07_Pallet_Contents'!$A$2:$A$3000,$A2))</f>
        <v>0</v>
      </c>
      <c r="X2678">
        <f>IF($A2="","",SUMIF('07_Pallet_Contents'!$A$2:$A$3000,$A2,'07_Pallet_Contents'!$D$2:$D$3000))</f>
        <v>0</v>
      </c>
      <c r="Y2678">
        <f>IF($A2="","",SUMIF('07_Pallet_Contents'!$A$2:$A$3000,$A2,'07_Pallet_Contents'!$I$2:$I$3000))</f>
        <v>0</v>
      </c>
      <c r="Z2678" t="str">
        <f>IF($A2="","",IF(COUNTIF('07_Pallet_Contents'!$A$2:$A$3000,$A2)&gt;0,"Yes",""))</f>
        <v/>
      </c>
    </row>
    <row r="2679" spans="23:26">
      <c r="W2679">
        <f>IF($A2="","",COUNTIF('07_Pallet_Contents'!$A$2:$A$3000,$A2))</f>
        <v>0</v>
      </c>
      <c r="X2679">
        <f>IF($A2="","",SUMIF('07_Pallet_Contents'!$A$2:$A$3000,$A2,'07_Pallet_Contents'!$D$2:$D$3000))</f>
        <v>0</v>
      </c>
      <c r="Y2679">
        <f>IF($A2="","",SUMIF('07_Pallet_Contents'!$A$2:$A$3000,$A2,'07_Pallet_Contents'!$I$2:$I$3000))</f>
        <v>0</v>
      </c>
      <c r="Z2679" t="str">
        <f>IF($A2="","",IF(COUNTIF('07_Pallet_Contents'!$A$2:$A$3000,$A2)&gt;0,"Yes",""))</f>
        <v/>
      </c>
    </row>
    <row r="2680" spans="23:26">
      <c r="W2680">
        <f>IF($A2="","",COUNTIF('07_Pallet_Contents'!$A$2:$A$3000,$A2))</f>
        <v>0</v>
      </c>
      <c r="X2680">
        <f>IF($A2="","",SUMIF('07_Pallet_Contents'!$A$2:$A$3000,$A2,'07_Pallet_Contents'!$D$2:$D$3000))</f>
        <v>0</v>
      </c>
      <c r="Y2680">
        <f>IF($A2="","",SUMIF('07_Pallet_Contents'!$A$2:$A$3000,$A2,'07_Pallet_Contents'!$I$2:$I$3000))</f>
        <v>0</v>
      </c>
      <c r="Z2680" t="str">
        <f>IF($A2="","",IF(COUNTIF('07_Pallet_Contents'!$A$2:$A$3000,$A2)&gt;0,"Yes",""))</f>
        <v/>
      </c>
    </row>
    <row r="2681" spans="23:26">
      <c r="W2681">
        <f>IF($A2="","",COUNTIF('07_Pallet_Contents'!$A$2:$A$3000,$A2))</f>
        <v>0</v>
      </c>
      <c r="X2681">
        <f>IF($A2="","",SUMIF('07_Pallet_Contents'!$A$2:$A$3000,$A2,'07_Pallet_Contents'!$D$2:$D$3000))</f>
        <v>0</v>
      </c>
      <c r="Y2681">
        <f>IF($A2="","",SUMIF('07_Pallet_Contents'!$A$2:$A$3000,$A2,'07_Pallet_Contents'!$I$2:$I$3000))</f>
        <v>0</v>
      </c>
      <c r="Z2681" t="str">
        <f>IF($A2="","",IF(COUNTIF('07_Pallet_Contents'!$A$2:$A$3000,$A2)&gt;0,"Yes",""))</f>
        <v/>
      </c>
    </row>
    <row r="2682" spans="23:26">
      <c r="W2682">
        <f>IF($A2="","",COUNTIF('07_Pallet_Contents'!$A$2:$A$3000,$A2))</f>
        <v>0</v>
      </c>
      <c r="X2682">
        <f>IF($A2="","",SUMIF('07_Pallet_Contents'!$A$2:$A$3000,$A2,'07_Pallet_Contents'!$D$2:$D$3000))</f>
        <v>0</v>
      </c>
      <c r="Y2682">
        <f>IF($A2="","",SUMIF('07_Pallet_Contents'!$A$2:$A$3000,$A2,'07_Pallet_Contents'!$I$2:$I$3000))</f>
        <v>0</v>
      </c>
      <c r="Z2682" t="str">
        <f>IF($A2="","",IF(COUNTIF('07_Pallet_Contents'!$A$2:$A$3000,$A2)&gt;0,"Yes",""))</f>
        <v/>
      </c>
    </row>
    <row r="2683" spans="23:26">
      <c r="W2683">
        <f>IF($A2="","",COUNTIF('07_Pallet_Contents'!$A$2:$A$3000,$A2))</f>
        <v>0</v>
      </c>
      <c r="X2683">
        <f>IF($A2="","",SUMIF('07_Pallet_Contents'!$A$2:$A$3000,$A2,'07_Pallet_Contents'!$D$2:$D$3000))</f>
        <v>0</v>
      </c>
      <c r="Y2683">
        <f>IF($A2="","",SUMIF('07_Pallet_Contents'!$A$2:$A$3000,$A2,'07_Pallet_Contents'!$I$2:$I$3000))</f>
        <v>0</v>
      </c>
      <c r="Z2683" t="str">
        <f>IF($A2="","",IF(COUNTIF('07_Pallet_Contents'!$A$2:$A$3000,$A2)&gt;0,"Yes",""))</f>
        <v/>
      </c>
    </row>
    <row r="2684" spans="23:26">
      <c r="W2684">
        <f>IF($A2="","",COUNTIF('07_Pallet_Contents'!$A$2:$A$3000,$A2))</f>
        <v>0</v>
      </c>
      <c r="X2684">
        <f>IF($A2="","",SUMIF('07_Pallet_Contents'!$A$2:$A$3000,$A2,'07_Pallet_Contents'!$D$2:$D$3000))</f>
        <v>0</v>
      </c>
      <c r="Y2684">
        <f>IF($A2="","",SUMIF('07_Pallet_Contents'!$A$2:$A$3000,$A2,'07_Pallet_Contents'!$I$2:$I$3000))</f>
        <v>0</v>
      </c>
      <c r="Z2684" t="str">
        <f>IF($A2="","",IF(COUNTIF('07_Pallet_Contents'!$A$2:$A$3000,$A2)&gt;0,"Yes",""))</f>
        <v/>
      </c>
    </row>
    <row r="2685" spans="23:26">
      <c r="W2685">
        <f>IF($A2="","",COUNTIF('07_Pallet_Contents'!$A$2:$A$3000,$A2))</f>
        <v>0</v>
      </c>
      <c r="X2685">
        <f>IF($A2="","",SUMIF('07_Pallet_Contents'!$A$2:$A$3000,$A2,'07_Pallet_Contents'!$D$2:$D$3000))</f>
        <v>0</v>
      </c>
      <c r="Y2685">
        <f>IF($A2="","",SUMIF('07_Pallet_Contents'!$A$2:$A$3000,$A2,'07_Pallet_Contents'!$I$2:$I$3000))</f>
        <v>0</v>
      </c>
      <c r="Z2685" t="str">
        <f>IF($A2="","",IF(COUNTIF('07_Pallet_Contents'!$A$2:$A$3000,$A2)&gt;0,"Yes",""))</f>
        <v/>
      </c>
    </row>
    <row r="2686" spans="23:26">
      <c r="W2686">
        <f>IF($A2="","",COUNTIF('07_Pallet_Contents'!$A$2:$A$3000,$A2))</f>
        <v>0</v>
      </c>
      <c r="X2686">
        <f>IF($A2="","",SUMIF('07_Pallet_Contents'!$A$2:$A$3000,$A2,'07_Pallet_Contents'!$D$2:$D$3000))</f>
        <v>0</v>
      </c>
      <c r="Y2686">
        <f>IF($A2="","",SUMIF('07_Pallet_Contents'!$A$2:$A$3000,$A2,'07_Pallet_Contents'!$I$2:$I$3000))</f>
        <v>0</v>
      </c>
      <c r="Z2686" t="str">
        <f>IF($A2="","",IF(COUNTIF('07_Pallet_Contents'!$A$2:$A$3000,$A2)&gt;0,"Yes",""))</f>
        <v/>
      </c>
    </row>
    <row r="2687" spans="23:26">
      <c r="W2687">
        <f>IF($A2="","",COUNTIF('07_Pallet_Contents'!$A$2:$A$3000,$A2))</f>
        <v>0</v>
      </c>
      <c r="X2687">
        <f>IF($A2="","",SUMIF('07_Pallet_Contents'!$A$2:$A$3000,$A2,'07_Pallet_Contents'!$D$2:$D$3000))</f>
        <v>0</v>
      </c>
      <c r="Y2687">
        <f>IF($A2="","",SUMIF('07_Pallet_Contents'!$A$2:$A$3000,$A2,'07_Pallet_Contents'!$I$2:$I$3000))</f>
        <v>0</v>
      </c>
      <c r="Z2687" t="str">
        <f>IF($A2="","",IF(COUNTIF('07_Pallet_Contents'!$A$2:$A$3000,$A2)&gt;0,"Yes",""))</f>
        <v/>
      </c>
    </row>
    <row r="2688" spans="23:26">
      <c r="W2688">
        <f>IF($A2="","",COUNTIF('07_Pallet_Contents'!$A$2:$A$3000,$A2))</f>
        <v>0</v>
      </c>
      <c r="X2688">
        <f>IF($A2="","",SUMIF('07_Pallet_Contents'!$A$2:$A$3000,$A2,'07_Pallet_Contents'!$D$2:$D$3000))</f>
        <v>0</v>
      </c>
      <c r="Y2688">
        <f>IF($A2="","",SUMIF('07_Pallet_Contents'!$A$2:$A$3000,$A2,'07_Pallet_Contents'!$I$2:$I$3000))</f>
        <v>0</v>
      </c>
      <c r="Z2688" t="str">
        <f>IF($A2="","",IF(COUNTIF('07_Pallet_Contents'!$A$2:$A$3000,$A2)&gt;0,"Yes",""))</f>
        <v/>
      </c>
    </row>
    <row r="2689" spans="23:26">
      <c r="W2689">
        <f>IF($A2="","",COUNTIF('07_Pallet_Contents'!$A$2:$A$3000,$A2))</f>
        <v>0</v>
      </c>
      <c r="X2689">
        <f>IF($A2="","",SUMIF('07_Pallet_Contents'!$A$2:$A$3000,$A2,'07_Pallet_Contents'!$D$2:$D$3000))</f>
        <v>0</v>
      </c>
      <c r="Y2689">
        <f>IF($A2="","",SUMIF('07_Pallet_Contents'!$A$2:$A$3000,$A2,'07_Pallet_Contents'!$I$2:$I$3000))</f>
        <v>0</v>
      </c>
      <c r="Z2689" t="str">
        <f>IF($A2="","",IF(COUNTIF('07_Pallet_Contents'!$A$2:$A$3000,$A2)&gt;0,"Yes",""))</f>
        <v/>
      </c>
    </row>
    <row r="2690" spans="23:26">
      <c r="W2690">
        <f>IF($A2="","",COUNTIF('07_Pallet_Contents'!$A$2:$A$3000,$A2))</f>
        <v>0</v>
      </c>
      <c r="X2690">
        <f>IF($A2="","",SUMIF('07_Pallet_Contents'!$A$2:$A$3000,$A2,'07_Pallet_Contents'!$D$2:$D$3000))</f>
        <v>0</v>
      </c>
      <c r="Y2690">
        <f>IF($A2="","",SUMIF('07_Pallet_Contents'!$A$2:$A$3000,$A2,'07_Pallet_Contents'!$I$2:$I$3000))</f>
        <v>0</v>
      </c>
      <c r="Z2690" t="str">
        <f>IF($A2="","",IF(COUNTIF('07_Pallet_Contents'!$A$2:$A$3000,$A2)&gt;0,"Yes",""))</f>
        <v/>
      </c>
    </row>
    <row r="2691" spans="23:26">
      <c r="W2691">
        <f>IF($A2="","",COUNTIF('07_Pallet_Contents'!$A$2:$A$3000,$A2))</f>
        <v>0</v>
      </c>
      <c r="X2691">
        <f>IF($A2="","",SUMIF('07_Pallet_Contents'!$A$2:$A$3000,$A2,'07_Pallet_Contents'!$D$2:$D$3000))</f>
        <v>0</v>
      </c>
      <c r="Y2691">
        <f>IF($A2="","",SUMIF('07_Pallet_Contents'!$A$2:$A$3000,$A2,'07_Pallet_Contents'!$I$2:$I$3000))</f>
        <v>0</v>
      </c>
      <c r="Z2691" t="str">
        <f>IF($A2="","",IF(COUNTIF('07_Pallet_Contents'!$A$2:$A$3000,$A2)&gt;0,"Yes",""))</f>
        <v/>
      </c>
    </row>
    <row r="2692" spans="23:26">
      <c r="W2692">
        <f>IF($A2="","",COUNTIF('07_Pallet_Contents'!$A$2:$A$3000,$A2))</f>
        <v>0</v>
      </c>
      <c r="X2692">
        <f>IF($A2="","",SUMIF('07_Pallet_Contents'!$A$2:$A$3000,$A2,'07_Pallet_Contents'!$D$2:$D$3000))</f>
        <v>0</v>
      </c>
      <c r="Y2692">
        <f>IF($A2="","",SUMIF('07_Pallet_Contents'!$A$2:$A$3000,$A2,'07_Pallet_Contents'!$I$2:$I$3000))</f>
        <v>0</v>
      </c>
      <c r="Z2692" t="str">
        <f>IF($A2="","",IF(COUNTIF('07_Pallet_Contents'!$A$2:$A$3000,$A2)&gt;0,"Yes",""))</f>
        <v/>
      </c>
    </row>
    <row r="2693" spans="23:26">
      <c r="W2693">
        <f>IF($A2="","",COUNTIF('07_Pallet_Contents'!$A$2:$A$3000,$A2))</f>
        <v>0</v>
      </c>
      <c r="X2693">
        <f>IF($A2="","",SUMIF('07_Pallet_Contents'!$A$2:$A$3000,$A2,'07_Pallet_Contents'!$D$2:$D$3000))</f>
        <v>0</v>
      </c>
      <c r="Y2693">
        <f>IF($A2="","",SUMIF('07_Pallet_Contents'!$A$2:$A$3000,$A2,'07_Pallet_Contents'!$I$2:$I$3000))</f>
        <v>0</v>
      </c>
      <c r="Z2693" t="str">
        <f>IF($A2="","",IF(COUNTIF('07_Pallet_Contents'!$A$2:$A$3000,$A2)&gt;0,"Yes",""))</f>
        <v/>
      </c>
    </row>
    <row r="2694" spans="23:26">
      <c r="W2694">
        <f>IF($A2="","",COUNTIF('07_Pallet_Contents'!$A$2:$A$3000,$A2))</f>
        <v>0</v>
      </c>
      <c r="X2694">
        <f>IF($A2="","",SUMIF('07_Pallet_Contents'!$A$2:$A$3000,$A2,'07_Pallet_Contents'!$D$2:$D$3000))</f>
        <v>0</v>
      </c>
      <c r="Y2694">
        <f>IF($A2="","",SUMIF('07_Pallet_Contents'!$A$2:$A$3000,$A2,'07_Pallet_Contents'!$I$2:$I$3000))</f>
        <v>0</v>
      </c>
      <c r="Z2694" t="str">
        <f>IF($A2="","",IF(COUNTIF('07_Pallet_Contents'!$A$2:$A$3000,$A2)&gt;0,"Yes",""))</f>
        <v/>
      </c>
    </row>
    <row r="2695" spans="23:26">
      <c r="W2695">
        <f>IF($A2="","",COUNTIF('07_Pallet_Contents'!$A$2:$A$3000,$A2))</f>
        <v>0</v>
      </c>
      <c r="X2695">
        <f>IF($A2="","",SUMIF('07_Pallet_Contents'!$A$2:$A$3000,$A2,'07_Pallet_Contents'!$D$2:$D$3000))</f>
        <v>0</v>
      </c>
      <c r="Y2695">
        <f>IF($A2="","",SUMIF('07_Pallet_Contents'!$A$2:$A$3000,$A2,'07_Pallet_Contents'!$I$2:$I$3000))</f>
        <v>0</v>
      </c>
      <c r="Z2695" t="str">
        <f>IF($A2="","",IF(COUNTIF('07_Pallet_Contents'!$A$2:$A$3000,$A2)&gt;0,"Yes",""))</f>
        <v/>
      </c>
    </row>
    <row r="2696" spans="23:26">
      <c r="W2696">
        <f>IF($A2="","",COUNTIF('07_Pallet_Contents'!$A$2:$A$3000,$A2))</f>
        <v>0</v>
      </c>
      <c r="X2696">
        <f>IF($A2="","",SUMIF('07_Pallet_Contents'!$A$2:$A$3000,$A2,'07_Pallet_Contents'!$D$2:$D$3000))</f>
        <v>0</v>
      </c>
      <c r="Y2696">
        <f>IF($A2="","",SUMIF('07_Pallet_Contents'!$A$2:$A$3000,$A2,'07_Pallet_Contents'!$I$2:$I$3000))</f>
        <v>0</v>
      </c>
      <c r="Z2696" t="str">
        <f>IF($A2="","",IF(COUNTIF('07_Pallet_Contents'!$A$2:$A$3000,$A2)&gt;0,"Yes",""))</f>
        <v/>
      </c>
    </row>
    <row r="2697" spans="23:26">
      <c r="W2697">
        <f>IF($A2="","",COUNTIF('07_Pallet_Contents'!$A$2:$A$3000,$A2))</f>
        <v>0</v>
      </c>
      <c r="X2697">
        <f>IF($A2="","",SUMIF('07_Pallet_Contents'!$A$2:$A$3000,$A2,'07_Pallet_Contents'!$D$2:$D$3000))</f>
        <v>0</v>
      </c>
      <c r="Y2697">
        <f>IF($A2="","",SUMIF('07_Pallet_Contents'!$A$2:$A$3000,$A2,'07_Pallet_Contents'!$I$2:$I$3000))</f>
        <v>0</v>
      </c>
      <c r="Z2697" t="str">
        <f>IF($A2="","",IF(COUNTIF('07_Pallet_Contents'!$A$2:$A$3000,$A2)&gt;0,"Yes",""))</f>
        <v/>
      </c>
    </row>
    <row r="2698" spans="23:26">
      <c r="W2698">
        <f>IF($A2="","",COUNTIF('07_Pallet_Contents'!$A$2:$A$3000,$A2))</f>
        <v>0</v>
      </c>
      <c r="X2698">
        <f>IF($A2="","",SUMIF('07_Pallet_Contents'!$A$2:$A$3000,$A2,'07_Pallet_Contents'!$D$2:$D$3000))</f>
        <v>0</v>
      </c>
      <c r="Y2698">
        <f>IF($A2="","",SUMIF('07_Pallet_Contents'!$A$2:$A$3000,$A2,'07_Pallet_Contents'!$I$2:$I$3000))</f>
        <v>0</v>
      </c>
      <c r="Z2698" t="str">
        <f>IF($A2="","",IF(COUNTIF('07_Pallet_Contents'!$A$2:$A$3000,$A2)&gt;0,"Yes",""))</f>
        <v/>
      </c>
    </row>
    <row r="2699" spans="23:26">
      <c r="W2699">
        <f>IF($A2="","",COUNTIF('07_Pallet_Contents'!$A$2:$A$3000,$A2))</f>
        <v>0</v>
      </c>
      <c r="X2699">
        <f>IF($A2="","",SUMIF('07_Pallet_Contents'!$A$2:$A$3000,$A2,'07_Pallet_Contents'!$D$2:$D$3000))</f>
        <v>0</v>
      </c>
      <c r="Y2699">
        <f>IF($A2="","",SUMIF('07_Pallet_Contents'!$A$2:$A$3000,$A2,'07_Pallet_Contents'!$I$2:$I$3000))</f>
        <v>0</v>
      </c>
      <c r="Z2699" t="str">
        <f>IF($A2="","",IF(COUNTIF('07_Pallet_Contents'!$A$2:$A$3000,$A2)&gt;0,"Yes",""))</f>
        <v/>
      </c>
    </row>
    <row r="2700" spans="23:26">
      <c r="W2700">
        <f>IF($A2="","",COUNTIF('07_Pallet_Contents'!$A$2:$A$3000,$A2))</f>
        <v>0</v>
      </c>
      <c r="X2700">
        <f>IF($A2="","",SUMIF('07_Pallet_Contents'!$A$2:$A$3000,$A2,'07_Pallet_Contents'!$D$2:$D$3000))</f>
        <v>0</v>
      </c>
      <c r="Y2700">
        <f>IF($A2="","",SUMIF('07_Pallet_Contents'!$A$2:$A$3000,$A2,'07_Pallet_Contents'!$I$2:$I$3000))</f>
        <v>0</v>
      </c>
      <c r="Z2700" t="str">
        <f>IF($A2="","",IF(COUNTIF('07_Pallet_Contents'!$A$2:$A$3000,$A2)&gt;0,"Yes",""))</f>
        <v/>
      </c>
    </row>
    <row r="2701" spans="23:26">
      <c r="W2701">
        <f>IF($A2="","",COUNTIF('07_Pallet_Contents'!$A$2:$A$3000,$A2))</f>
        <v>0</v>
      </c>
      <c r="X2701">
        <f>IF($A2="","",SUMIF('07_Pallet_Contents'!$A$2:$A$3000,$A2,'07_Pallet_Contents'!$D$2:$D$3000))</f>
        <v>0</v>
      </c>
      <c r="Y2701">
        <f>IF($A2="","",SUMIF('07_Pallet_Contents'!$A$2:$A$3000,$A2,'07_Pallet_Contents'!$I$2:$I$3000))</f>
        <v>0</v>
      </c>
      <c r="Z2701" t="str">
        <f>IF($A2="","",IF(COUNTIF('07_Pallet_Contents'!$A$2:$A$3000,$A2)&gt;0,"Yes",""))</f>
        <v/>
      </c>
    </row>
    <row r="2702" spans="23:26">
      <c r="W2702">
        <f>IF($A2="","",COUNTIF('07_Pallet_Contents'!$A$2:$A$3000,$A2))</f>
        <v>0</v>
      </c>
      <c r="X2702">
        <f>IF($A2="","",SUMIF('07_Pallet_Contents'!$A$2:$A$3000,$A2,'07_Pallet_Contents'!$D$2:$D$3000))</f>
        <v>0</v>
      </c>
      <c r="Y2702">
        <f>IF($A2="","",SUMIF('07_Pallet_Contents'!$A$2:$A$3000,$A2,'07_Pallet_Contents'!$I$2:$I$3000))</f>
        <v>0</v>
      </c>
      <c r="Z2702" t="str">
        <f>IF($A2="","",IF(COUNTIF('07_Pallet_Contents'!$A$2:$A$3000,$A2)&gt;0,"Yes",""))</f>
        <v/>
      </c>
    </row>
    <row r="2703" spans="23:26">
      <c r="W2703">
        <f>IF($A2="","",COUNTIF('07_Pallet_Contents'!$A$2:$A$3000,$A2))</f>
        <v>0</v>
      </c>
      <c r="X2703">
        <f>IF($A2="","",SUMIF('07_Pallet_Contents'!$A$2:$A$3000,$A2,'07_Pallet_Contents'!$D$2:$D$3000))</f>
        <v>0</v>
      </c>
      <c r="Y2703">
        <f>IF($A2="","",SUMIF('07_Pallet_Contents'!$A$2:$A$3000,$A2,'07_Pallet_Contents'!$I$2:$I$3000))</f>
        <v>0</v>
      </c>
      <c r="Z2703" t="str">
        <f>IF($A2="","",IF(COUNTIF('07_Pallet_Contents'!$A$2:$A$3000,$A2)&gt;0,"Yes",""))</f>
        <v/>
      </c>
    </row>
    <row r="2704" spans="23:26">
      <c r="W2704">
        <f>IF($A2="","",COUNTIF('07_Pallet_Contents'!$A$2:$A$3000,$A2))</f>
        <v>0</v>
      </c>
      <c r="X2704">
        <f>IF($A2="","",SUMIF('07_Pallet_Contents'!$A$2:$A$3000,$A2,'07_Pallet_Contents'!$D$2:$D$3000))</f>
        <v>0</v>
      </c>
      <c r="Y2704">
        <f>IF($A2="","",SUMIF('07_Pallet_Contents'!$A$2:$A$3000,$A2,'07_Pallet_Contents'!$I$2:$I$3000))</f>
        <v>0</v>
      </c>
      <c r="Z2704" t="str">
        <f>IF($A2="","",IF(COUNTIF('07_Pallet_Contents'!$A$2:$A$3000,$A2)&gt;0,"Yes",""))</f>
        <v/>
      </c>
    </row>
    <row r="2705" spans="23:26">
      <c r="W2705">
        <f>IF($A2="","",COUNTIF('07_Pallet_Contents'!$A$2:$A$3000,$A2))</f>
        <v>0</v>
      </c>
      <c r="X2705">
        <f>IF($A2="","",SUMIF('07_Pallet_Contents'!$A$2:$A$3000,$A2,'07_Pallet_Contents'!$D$2:$D$3000))</f>
        <v>0</v>
      </c>
      <c r="Y2705">
        <f>IF($A2="","",SUMIF('07_Pallet_Contents'!$A$2:$A$3000,$A2,'07_Pallet_Contents'!$I$2:$I$3000))</f>
        <v>0</v>
      </c>
      <c r="Z2705" t="str">
        <f>IF($A2="","",IF(COUNTIF('07_Pallet_Contents'!$A$2:$A$3000,$A2)&gt;0,"Yes",""))</f>
        <v/>
      </c>
    </row>
    <row r="2706" spans="23:26">
      <c r="W2706">
        <f>IF($A2="","",COUNTIF('07_Pallet_Contents'!$A$2:$A$3000,$A2))</f>
        <v>0</v>
      </c>
      <c r="X2706">
        <f>IF($A2="","",SUMIF('07_Pallet_Contents'!$A$2:$A$3000,$A2,'07_Pallet_Contents'!$D$2:$D$3000))</f>
        <v>0</v>
      </c>
      <c r="Y2706">
        <f>IF($A2="","",SUMIF('07_Pallet_Contents'!$A$2:$A$3000,$A2,'07_Pallet_Contents'!$I$2:$I$3000))</f>
        <v>0</v>
      </c>
      <c r="Z2706" t="str">
        <f>IF($A2="","",IF(COUNTIF('07_Pallet_Contents'!$A$2:$A$3000,$A2)&gt;0,"Yes",""))</f>
        <v/>
      </c>
    </row>
    <row r="2707" spans="23:26">
      <c r="W2707">
        <f>IF($A2="","",COUNTIF('07_Pallet_Contents'!$A$2:$A$3000,$A2))</f>
        <v>0</v>
      </c>
      <c r="X2707">
        <f>IF($A2="","",SUMIF('07_Pallet_Contents'!$A$2:$A$3000,$A2,'07_Pallet_Contents'!$D$2:$D$3000))</f>
        <v>0</v>
      </c>
      <c r="Y2707">
        <f>IF($A2="","",SUMIF('07_Pallet_Contents'!$A$2:$A$3000,$A2,'07_Pallet_Contents'!$I$2:$I$3000))</f>
        <v>0</v>
      </c>
      <c r="Z2707" t="str">
        <f>IF($A2="","",IF(COUNTIF('07_Pallet_Contents'!$A$2:$A$3000,$A2)&gt;0,"Yes",""))</f>
        <v/>
      </c>
    </row>
    <row r="2708" spans="23:26">
      <c r="W2708">
        <f>IF($A2="","",COUNTIF('07_Pallet_Contents'!$A$2:$A$3000,$A2))</f>
        <v>0</v>
      </c>
      <c r="X2708">
        <f>IF($A2="","",SUMIF('07_Pallet_Contents'!$A$2:$A$3000,$A2,'07_Pallet_Contents'!$D$2:$D$3000))</f>
        <v>0</v>
      </c>
      <c r="Y2708">
        <f>IF($A2="","",SUMIF('07_Pallet_Contents'!$A$2:$A$3000,$A2,'07_Pallet_Contents'!$I$2:$I$3000))</f>
        <v>0</v>
      </c>
      <c r="Z2708" t="str">
        <f>IF($A2="","",IF(COUNTIF('07_Pallet_Contents'!$A$2:$A$3000,$A2)&gt;0,"Yes",""))</f>
        <v/>
      </c>
    </row>
    <row r="2709" spans="23:26">
      <c r="W2709">
        <f>IF($A2="","",COUNTIF('07_Pallet_Contents'!$A$2:$A$3000,$A2))</f>
        <v>0</v>
      </c>
      <c r="X2709">
        <f>IF($A2="","",SUMIF('07_Pallet_Contents'!$A$2:$A$3000,$A2,'07_Pallet_Contents'!$D$2:$D$3000))</f>
        <v>0</v>
      </c>
      <c r="Y2709">
        <f>IF($A2="","",SUMIF('07_Pallet_Contents'!$A$2:$A$3000,$A2,'07_Pallet_Contents'!$I$2:$I$3000))</f>
        <v>0</v>
      </c>
      <c r="Z2709" t="str">
        <f>IF($A2="","",IF(COUNTIF('07_Pallet_Contents'!$A$2:$A$3000,$A2)&gt;0,"Yes",""))</f>
        <v/>
      </c>
    </row>
    <row r="2710" spans="23:26">
      <c r="W2710">
        <f>IF($A2="","",COUNTIF('07_Pallet_Contents'!$A$2:$A$3000,$A2))</f>
        <v>0</v>
      </c>
      <c r="X2710">
        <f>IF($A2="","",SUMIF('07_Pallet_Contents'!$A$2:$A$3000,$A2,'07_Pallet_Contents'!$D$2:$D$3000))</f>
        <v>0</v>
      </c>
      <c r="Y2710">
        <f>IF($A2="","",SUMIF('07_Pallet_Contents'!$A$2:$A$3000,$A2,'07_Pallet_Contents'!$I$2:$I$3000))</f>
        <v>0</v>
      </c>
      <c r="Z2710" t="str">
        <f>IF($A2="","",IF(COUNTIF('07_Pallet_Contents'!$A$2:$A$3000,$A2)&gt;0,"Yes",""))</f>
        <v/>
      </c>
    </row>
    <row r="2711" spans="23:26">
      <c r="W2711">
        <f>IF($A2="","",COUNTIF('07_Pallet_Contents'!$A$2:$A$3000,$A2))</f>
        <v>0</v>
      </c>
      <c r="X2711">
        <f>IF($A2="","",SUMIF('07_Pallet_Contents'!$A$2:$A$3000,$A2,'07_Pallet_Contents'!$D$2:$D$3000))</f>
        <v>0</v>
      </c>
      <c r="Y2711">
        <f>IF($A2="","",SUMIF('07_Pallet_Contents'!$A$2:$A$3000,$A2,'07_Pallet_Contents'!$I$2:$I$3000))</f>
        <v>0</v>
      </c>
      <c r="Z2711" t="str">
        <f>IF($A2="","",IF(COUNTIF('07_Pallet_Contents'!$A$2:$A$3000,$A2)&gt;0,"Yes",""))</f>
        <v/>
      </c>
    </row>
    <row r="2712" spans="23:26">
      <c r="W2712">
        <f>IF($A2="","",COUNTIF('07_Pallet_Contents'!$A$2:$A$3000,$A2))</f>
        <v>0</v>
      </c>
      <c r="X2712">
        <f>IF($A2="","",SUMIF('07_Pallet_Contents'!$A$2:$A$3000,$A2,'07_Pallet_Contents'!$D$2:$D$3000))</f>
        <v>0</v>
      </c>
      <c r="Y2712">
        <f>IF($A2="","",SUMIF('07_Pallet_Contents'!$A$2:$A$3000,$A2,'07_Pallet_Contents'!$I$2:$I$3000))</f>
        <v>0</v>
      </c>
      <c r="Z2712" t="str">
        <f>IF($A2="","",IF(COUNTIF('07_Pallet_Contents'!$A$2:$A$3000,$A2)&gt;0,"Yes",""))</f>
        <v/>
      </c>
    </row>
    <row r="2713" spans="23:26">
      <c r="W2713">
        <f>IF($A2="","",COUNTIF('07_Pallet_Contents'!$A$2:$A$3000,$A2))</f>
        <v>0</v>
      </c>
      <c r="X2713">
        <f>IF($A2="","",SUMIF('07_Pallet_Contents'!$A$2:$A$3000,$A2,'07_Pallet_Contents'!$D$2:$D$3000))</f>
        <v>0</v>
      </c>
      <c r="Y2713">
        <f>IF($A2="","",SUMIF('07_Pallet_Contents'!$A$2:$A$3000,$A2,'07_Pallet_Contents'!$I$2:$I$3000))</f>
        <v>0</v>
      </c>
      <c r="Z2713" t="str">
        <f>IF($A2="","",IF(COUNTIF('07_Pallet_Contents'!$A$2:$A$3000,$A2)&gt;0,"Yes",""))</f>
        <v/>
      </c>
    </row>
    <row r="2714" spans="23:26">
      <c r="W2714">
        <f>IF($A2="","",COUNTIF('07_Pallet_Contents'!$A$2:$A$3000,$A2))</f>
        <v>0</v>
      </c>
      <c r="X2714">
        <f>IF($A2="","",SUMIF('07_Pallet_Contents'!$A$2:$A$3000,$A2,'07_Pallet_Contents'!$D$2:$D$3000))</f>
        <v>0</v>
      </c>
      <c r="Y2714">
        <f>IF($A2="","",SUMIF('07_Pallet_Contents'!$A$2:$A$3000,$A2,'07_Pallet_Contents'!$I$2:$I$3000))</f>
        <v>0</v>
      </c>
      <c r="Z2714" t="str">
        <f>IF($A2="","",IF(COUNTIF('07_Pallet_Contents'!$A$2:$A$3000,$A2)&gt;0,"Yes",""))</f>
        <v/>
      </c>
    </row>
    <row r="2715" spans="23:26">
      <c r="W2715">
        <f>IF($A2="","",COUNTIF('07_Pallet_Contents'!$A$2:$A$3000,$A2))</f>
        <v>0</v>
      </c>
      <c r="X2715">
        <f>IF($A2="","",SUMIF('07_Pallet_Contents'!$A$2:$A$3000,$A2,'07_Pallet_Contents'!$D$2:$D$3000))</f>
        <v>0</v>
      </c>
      <c r="Y2715">
        <f>IF($A2="","",SUMIF('07_Pallet_Contents'!$A$2:$A$3000,$A2,'07_Pallet_Contents'!$I$2:$I$3000))</f>
        <v>0</v>
      </c>
      <c r="Z2715" t="str">
        <f>IF($A2="","",IF(COUNTIF('07_Pallet_Contents'!$A$2:$A$3000,$A2)&gt;0,"Yes",""))</f>
        <v/>
      </c>
    </row>
    <row r="2716" spans="23:26">
      <c r="W2716">
        <f>IF($A2="","",COUNTIF('07_Pallet_Contents'!$A$2:$A$3000,$A2))</f>
        <v>0</v>
      </c>
      <c r="X2716">
        <f>IF($A2="","",SUMIF('07_Pallet_Contents'!$A$2:$A$3000,$A2,'07_Pallet_Contents'!$D$2:$D$3000))</f>
        <v>0</v>
      </c>
      <c r="Y2716">
        <f>IF($A2="","",SUMIF('07_Pallet_Contents'!$A$2:$A$3000,$A2,'07_Pallet_Contents'!$I$2:$I$3000))</f>
        <v>0</v>
      </c>
      <c r="Z2716" t="str">
        <f>IF($A2="","",IF(COUNTIF('07_Pallet_Contents'!$A$2:$A$3000,$A2)&gt;0,"Yes",""))</f>
        <v/>
      </c>
    </row>
    <row r="2717" spans="23:26">
      <c r="W2717">
        <f>IF($A2="","",COUNTIF('07_Pallet_Contents'!$A$2:$A$3000,$A2))</f>
        <v>0</v>
      </c>
      <c r="X2717">
        <f>IF($A2="","",SUMIF('07_Pallet_Contents'!$A$2:$A$3000,$A2,'07_Pallet_Contents'!$D$2:$D$3000))</f>
        <v>0</v>
      </c>
      <c r="Y2717">
        <f>IF($A2="","",SUMIF('07_Pallet_Contents'!$A$2:$A$3000,$A2,'07_Pallet_Contents'!$I$2:$I$3000))</f>
        <v>0</v>
      </c>
      <c r="Z2717" t="str">
        <f>IF($A2="","",IF(COUNTIF('07_Pallet_Contents'!$A$2:$A$3000,$A2)&gt;0,"Yes",""))</f>
        <v/>
      </c>
    </row>
    <row r="2718" spans="23:26">
      <c r="W2718">
        <f>IF($A2="","",COUNTIF('07_Pallet_Contents'!$A$2:$A$3000,$A2))</f>
        <v>0</v>
      </c>
      <c r="X2718">
        <f>IF($A2="","",SUMIF('07_Pallet_Contents'!$A$2:$A$3000,$A2,'07_Pallet_Contents'!$D$2:$D$3000))</f>
        <v>0</v>
      </c>
      <c r="Y2718">
        <f>IF($A2="","",SUMIF('07_Pallet_Contents'!$A$2:$A$3000,$A2,'07_Pallet_Contents'!$I$2:$I$3000))</f>
        <v>0</v>
      </c>
      <c r="Z2718" t="str">
        <f>IF($A2="","",IF(COUNTIF('07_Pallet_Contents'!$A$2:$A$3000,$A2)&gt;0,"Yes",""))</f>
        <v/>
      </c>
    </row>
    <row r="2719" spans="23:26">
      <c r="W2719">
        <f>IF($A2="","",COUNTIF('07_Pallet_Contents'!$A$2:$A$3000,$A2))</f>
        <v>0</v>
      </c>
      <c r="X2719">
        <f>IF($A2="","",SUMIF('07_Pallet_Contents'!$A$2:$A$3000,$A2,'07_Pallet_Contents'!$D$2:$D$3000))</f>
        <v>0</v>
      </c>
      <c r="Y2719">
        <f>IF($A2="","",SUMIF('07_Pallet_Contents'!$A$2:$A$3000,$A2,'07_Pallet_Contents'!$I$2:$I$3000))</f>
        <v>0</v>
      </c>
      <c r="Z2719" t="str">
        <f>IF($A2="","",IF(COUNTIF('07_Pallet_Contents'!$A$2:$A$3000,$A2)&gt;0,"Yes",""))</f>
        <v/>
      </c>
    </row>
    <row r="2720" spans="23:26">
      <c r="W2720">
        <f>IF($A2="","",COUNTIF('07_Pallet_Contents'!$A$2:$A$3000,$A2))</f>
        <v>0</v>
      </c>
      <c r="X2720">
        <f>IF($A2="","",SUMIF('07_Pallet_Contents'!$A$2:$A$3000,$A2,'07_Pallet_Contents'!$D$2:$D$3000))</f>
        <v>0</v>
      </c>
      <c r="Y2720">
        <f>IF($A2="","",SUMIF('07_Pallet_Contents'!$A$2:$A$3000,$A2,'07_Pallet_Contents'!$I$2:$I$3000))</f>
        <v>0</v>
      </c>
      <c r="Z2720" t="str">
        <f>IF($A2="","",IF(COUNTIF('07_Pallet_Contents'!$A$2:$A$3000,$A2)&gt;0,"Yes",""))</f>
        <v/>
      </c>
    </row>
    <row r="2721" spans="23:26">
      <c r="W2721">
        <f>IF($A2="","",COUNTIF('07_Pallet_Contents'!$A$2:$A$3000,$A2))</f>
        <v>0</v>
      </c>
      <c r="X2721">
        <f>IF($A2="","",SUMIF('07_Pallet_Contents'!$A$2:$A$3000,$A2,'07_Pallet_Contents'!$D$2:$D$3000))</f>
        <v>0</v>
      </c>
      <c r="Y2721">
        <f>IF($A2="","",SUMIF('07_Pallet_Contents'!$A$2:$A$3000,$A2,'07_Pallet_Contents'!$I$2:$I$3000))</f>
        <v>0</v>
      </c>
      <c r="Z2721" t="str">
        <f>IF($A2="","",IF(COUNTIF('07_Pallet_Contents'!$A$2:$A$3000,$A2)&gt;0,"Yes",""))</f>
        <v/>
      </c>
    </row>
    <row r="2722" spans="23:26">
      <c r="W2722">
        <f>IF($A2="","",COUNTIF('07_Pallet_Contents'!$A$2:$A$3000,$A2))</f>
        <v>0</v>
      </c>
      <c r="X2722">
        <f>IF($A2="","",SUMIF('07_Pallet_Contents'!$A$2:$A$3000,$A2,'07_Pallet_Contents'!$D$2:$D$3000))</f>
        <v>0</v>
      </c>
      <c r="Y2722">
        <f>IF($A2="","",SUMIF('07_Pallet_Contents'!$A$2:$A$3000,$A2,'07_Pallet_Contents'!$I$2:$I$3000))</f>
        <v>0</v>
      </c>
      <c r="Z2722" t="str">
        <f>IF($A2="","",IF(COUNTIF('07_Pallet_Contents'!$A$2:$A$3000,$A2)&gt;0,"Yes",""))</f>
        <v/>
      </c>
    </row>
    <row r="2723" spans="23:26">
      <c r="W2723">
        <f>IF($A2="","",COUNTIF('07_Pallet_Contents'!$A$2:$A$3000,$A2))</f>
        <v>0</v>
      </c>
      <c r="X2723">
        <f>IF($A2="","",SUMIF('07_Pallet_Contents'!$A$2:$A$3000,$A2,'07_Pallet_Contents'!$D$2:$D$3000))</f>
        <v>0</v>
      </c>
      <c r="Y2723">
        <f>IF($A2="","",SUMIF('07_Pallet_Contents'!$A$2:$A$3000,$A2,'07_Pallet_Contents'!$I$2:$I$3000))</f>
        <v>0</v>
      </c>
      <c r="Z2723" t="str">
        <f>IF($A2="","",IF(COUNTIF('07_Pallet_Contents'!$A$2:$A$3000,$A2)&gt;0,"Yes",""))</f>
        <v/>
      </c>
    </row>
    <row r="2724" spans="23:26">
      <c r="W2724">
        <f>IF($A2="","",COUNTIF('07_Pallet_Contents'!$A$2:$A$3000,$A2))</f>
        <v>0</v>
      </c>
      <c r="X2724">
        <f>IF($A2="","",SUMIF('07_Pallet_Contents'!$A$2:$A$3000,$A2,'07_Pallet_Contents'!$D$2:$D$3000))</f>
        <v>0</v>
      </c>
      <c r="Y2724">
        <f>IF($A2="","",SUMIF('07_Pallet_Contents'!$A$2:$A$3000,$A2,'07_Pallet_Contents'!$I$2:$I$3000))</f>
        <v>0</v>
      </c>
      <c r="Z2724" t="str">
        <f>IF($A2="","",IF(COUNTIF('07_Pallet_Contents'!$A$2:$A$3000,$A2)&gt;0,"Yes",""))</f>
        <v/>
      </c>
    </row>
    <row r="2725" spans="23:26">
      <c r="W2725">
        <f>IF($A2="","",COUNTIF('07_Pallet_Contents'!$A$2:$A$3000,$A2))</f>
        <v>0</v>
      </c>
      <c r="X2725">
        <f>IF($A2="","",SUMIF('07_Pallet_Contents'!$A$2:$A$3000,$A2,'07_Pallet_Contents'!$D$2:$D$3000))</f>
        <v>0</v>
      </c>
      <c r="Y2725">
        <f>IF($A2="","",SUMIF('07_Pallet_Contents'!$A$2:$A$3000,$A2,'07_Pallet_Contents'!$I$2:$I$3000))</f>
        <v>0</v>
      </c>
      <c r="Z2725" t="str">
        <f>IF($A2="","",IF(COUNTIF('07_Pallet_Contents'!$A$2:$A$3000,$A2)&gt;0,"Yes",""))</f>
        <v/>
      </c>
    </row>
    <row r="2726" spans="23:26">
      <c r="W2726">
        <f>IF($A2="","",COUNTIF('07_Pallet_Contents'!$A$2:$A$3000,$A2))</f>
        <v>0</v>
      </c>
      <c r="X2726">
        <f>IF($A2="","",SUMIF('07_Pallet_Contents'!$A$2:$A$3000,$A2,'07_Pallet_Contents'!$D$2:$D$3000))</f>
        <v>0</v>
      </c>
      <c r="Y2726">
        <f>IF($A2="","",SUMIF('07_Pallet_Contents'!$A$2:$A$3000,$A2,'07_Pallet_Contents'!$I$2:$I$3000))</f>
        <v>0</v>
      </c>
      <c r="Z2726" t="str">
        <f>IF($A2="","",IF(COUNTIF('07_Pallet_Contents'!$A$2:$A$3000,$A2)&gt;0,"Yes",""))</f>
        <v/>
      </c>
    </row>
    <row r="2727" spans="23:26">
      <c r="W2727">
        <f>IF($A2="","",COUNTIF('07_Pallet_Contents'!$A$2:$A$3000,$A2))</f>
        <v>0</v>
      </c>
      <c r="X2727">
        <f>IF($A2="","",SUMIF('07_Pallet_Contents'!$A$2:$A$3000,$A2,'07_Pallet_Contents'!$D$2:$D$3000))</f>
        <v>0</v>
      </c>
      <c r="Y2727">
        <f>IF($A2="","",SUMIF('07_Pallet_Contents'!$A$2:$A$3000,$A2,'07_Pallet_Contents'!$I$2:$I$3000))</f>
        <v>0</v>
      </c>
      <c r="Z2727" t="str">
        <f>IF($A2="","",IF(COUNTIF('07_Pallet_Contents'!$A$2:$A$3000,$A2)&gt;0,"Yes",""))</f>
        <v/>
      </c>
    </row>
    <row r="2728" spans="23:26">
      <c r="W2728">
        <f>IF($A2="","",COUNTIF('07_Pallet_Contents'!$A$2:$A$3000,$A2))</f>
        <v>0</v>
      </c>
      <c r="X2728">
        <f>IF($A2="","",SUMIF('07_Pallet_Contents'!$A$2:$A$3000,$A2,'07_Pallet_Contents'!$D$2:$D$3000))</f>
        <v>0</v>
      </c>
      <c r="Y2728">
        <f>IF($A2="","",SUMIF('07_Pallet_Contents'!$A$2:$A$3000,$A2,'07_Pallet_Contents'!$I$2:$I$3000))</f>
        <v>0</v>
      </c>
      <c r="Z2728" t="str">
        <f>IF($A2="","",IF(COUNTIF('07_Pallet_Contents'!$A$2:$A$3000,$A2)&gt;0,"Yes",""))</f>
        <v/>
      </c>
    </row>
    <row r="2729" spans="23:26">
      <c r="W2729">
        <f>IF($A2="","",COUNTIF('07_Pallet_Contents'!$A$2:$A$3000,$A2))</f>
        <v>0</v>
      </c>
      <c r="X2729">
        <f>IF($A2="","",SUMIF('07_Pallet_Contents'!$A$2:$A$3000,$A2,'07_Pallet_Contents'!$D$2:$D$3000))</f>
        <v>0</v>
      </c>
      <c r="Y2729">
        <f>IF($A2="","",SUMIF('07_Pallet_Contents'!$A$2:$A$3000,$A2,'07_Pallet_Contents'!$I$2:$I$3000))</f>
        <v>0</v>
      </c>
      <c r="Z2729" t="str">
        <f>IF($A2="","",IF(COUNTIF('07_Pallet_Contents'!$A$2:$A$3000,$A2)&gt;0,"Yes",""))</f>
        <v/>
      </c>
    </row>
    <row r="2730" spans="23:26">
      <c r="W2730">
        <f>IF($A2="","",COUNTIF('07_Pallet_Contents'!$A$2:$A$3000,$A2))</f>
        <v>0</v>
      </c>
      <c r="X2730">
        <f>IF($A2="","",SUMIF('07_Pallet_Contents'!$A$2:$A$3000,$A2,'07_Pallet_Contents'!$D$2:$D$3000))</f>
        <v>0</v>
      </c>
      <c r="Y2730">
        <f>IF($A2="","",SUMIF('07_Pallet_Contents'!$A$2:$A$3000,$A2,'07_Pallet_Contents'!$I$2:$I$3000))</f>
        <v>0</v>
      </c>
      <c r="Z2730" t="str">
        <f>IF($A2="","",IF(COUNTIF('07_Pallet_Contents'!$A$2:$A$3000,$A2)&gt;0,"Yes",""))</f>
        <v/>
      </c>
    </row>
    <row r="2731" spans="23:26">
      <c r="W2731">
        <f>IF($A2="","",COUNTIF('07_Pallet_Contents'!$A$2:$A$3000,$A2))</f>
        <v>0</v>
      </c>
      <c r="X2731">
        <f>IF($A2="","",SUMIF('07_Pallet_Contents'!$A$2:$A$3000,$A2,'07_Pallet_Contents'!$D$2:$D$3000))</f>
        <v>0</v>
      </c>
      <c r="Y2731">
        <f>IF($A2="","",SUMIF('07_Pallet_Contents'!$A$2:$A$3000,$A2,'07_Pallet_Contents'!$I$2:$I$3000))</f>
        <v>0</v>
      </c>
      <c r="Z2731" t="str">
        <f>IF($A2="","",IF(COUNTIF('07_Pallet_Contents'!$A$2:$A$3000,$A2)&gt;0,"Yes",""))</f>
        <v/>
      </c>
    </row>
    <row r="2732" spans="23:26">
      <c r="W2732">
        <f>IF($A2="","",COUNTIF('07_Pallet_Contents'!$A$2:$A$3000,$A2))</f>
        <v>0</v>
      </c>
      <c r="X2732">
        <f>IF($A2="","",SUMIF('07_Pallet_Contents'!$A$2:$A$3000,$A2,'07_Pallet_Contents'!$D$2:$D$3000))</f>
        <v>0</v>
      </c>
      <c r="Y2732">
        <f>IF($A2="","",SUMIF('07_Pallet_Contents'!$A$2:$A$3000,$A2,'07_Pallet_Contents'!$I$2:$I$3000))</f>
        <v>0</v>
      </c>
      <c r="Z2732" t="str">
        <f>IF($A2="","",IF(COUNTIF('07_Pallet_Contents'!$A$2:$A$3000,$A2)&gt;0,"Yes",""))</f>
        <v/>
      </c>
    </row>
    <row r="2733" spans="23:26">
      <c r="W2733">
        <f>IF($A2="","",COUNTIF('07_Pallet_Contents'!$A$2:$A$3000,$A2))</f>
        <v>0</v>
      </c>
      <c r="X2733">
        <f>IF($A2="","",SUMIF('07_Pallet_Contents'!$A$2:$A$3000,$A2,'07_Pallet_Contents'!$D$2:$D$3000))</f>
        <v>0</v>
      </c>
      <c r="Y2733">
        <f>IF($A2="","",SUMIF('07_Pallet_Contents'!$A$2:$A$3000,$A2,'07_Pallet_Contents'!$I$2:$I$3000))</f>
        <v>0</v>
      </c>
      <c r="Z2733" t="str">
        <f>IF($A2="","",IF(COUNTIF('07_Pallet_Contents'!$A$2:$A$3000,$A2)&gt;0,"Yes",""))</f>
        <v/>
      </c>
    </row>
    <row r="2734" spans="23:26">
      <c r="W2734">
        <f>IF($A2="","",COUNTIF('07_Pallet_Contents'!$A$2:$A$3000,$A2))</f>
        <v>0</v>
      </c>
      <c r="X2734">
        <f>IF($A2="","",SUMIF('07_Pallet_Contents'!$A$2:$A$3000,$A2,'07_Pallet_Contents'!$D$2:$D$3000))</f>
        <v>0</v>
      </c>
      <c r="Y2734">
        <f>IF($A2="","",SUMIF('07_Pallet_Contents'!$A$2:$A$3000,$A2,'07_Pallet_Contents'!$I$2:$I$3000))</f>
        <v>0</v>
      </c>
      <c r="Z2734" t="str">
        <f>IF($A2="","",IF(COUNTIF('07_Pallet_Contents'!$A$2:$A$3000,$A2)&gt;0,"Yes",""))</f>
        <v/>
      </c>
    </row>
    <row r="2735" spans="23:26">
      <c r="W2735">
        <f>IF($A2="","",COUNTIF('07_Pallet_Contents'!$A$2:$A$3000,$A2))</f>
        <v>0</v>
      </c>
      <c r="X2735">
        <f>IF($A2="","",SUMIF('07_Pallet_Contents'!$A$2:$A$3000,$A2,'07_Pallet_Contents'!$D$2:$D$3000))</f>
        <v>0</v>
      </c>
      <c r="Y2735">
        <f>IF($A2="","",SUMIF('07_Pallet_Contents'!$A$2:$A$3000,$A2,'07_Pallet_Contents'!$I$2:$I$3000))</f>
        <v>0</v>
      </c>
      <c r="Z2735" t="str">
        <f>IF($A2="","",IF(COUNTIF('07_Pallet_Contents'!$A$2:$A$3000,$A2)&gt;0,"Yes",""))</f>
        <v/>
      </c>
    </row>
    <row r="2736" spans="23:26">
      <c r="W2736">
        <f>IF($A2="","",COUNTIF('07_Pallet_Contents'!$A$2:$A$3000,$A2))</f>
        <v>0</v>
      </c>
      <c r="X2736">
        <f>IF($A2="","",SUMIF('07_Pallet_Contents'!$A$2:$A$3000,$A2,'07_Pallet_Contents'!$D$2:$D$3000))</f>
        <v>0</v>
      </c>
      <c r="Y2736">
        <f>IF($A2="","",SUMIF('07_Pallet_Contents'!$A$2:$A$3000,$A2,'07_Pallet_Contents'!$I$2:$I$3000))</f>
        <v>0</v>
      </c>
      <c r="Z2736" t="str">
        <f>IF($A2="","",IF(COUNTIF('07_Pallet_Contents'!$A$2:$A$3000,$A2)&gt;0,"Yes",""))</f>
        <v/>
      </c>
    </row>
    <row r="2737" spans="23:26">
      <c r="W2737">
        <f>IF($A2="","",COUNTIF('07_Pallet_Contents'!$A$2:$A$3000,$A2))</f>
        <v>0</v>
      </c>
      <c r="X2737">
        <f>IF($A2="","",SUMIF('07_Pallet_Contents'!$A$2:$A$3000,$A2,'07_Pallet_Contents'!$D$2:$D$3000))</f>
        <v>0</v>
      </c>
      <c r="Y2737">
        <f>IF($A2="","",SUMIF('07_Pallet_Contents'!$A$2:$A$3000,$A2,'07_Pallet_Contents'!$I$2:$I$3000))</f>
        <v>0</v>
      </c>
      <c r="Z2737" t="str">
        <f>IF($A2="","",IF(COUNTIF('07_Pallet_Contents'!$A$2:$A$3000,$A2)&gt;0,"Yes",""))</f>
        <v/>
      </c>
    </row>
    <row r="2738" spans="23:26">
      <c r="W2738">
        <f>IF($A2="","",COUNTIF('07_Pallet_Contents'!$A$2:$A$3000,$A2))</f>
        <v>0</v>
      </c>
      <c r="X2738">
        <f>IF($A2="","",SUMIF('07_Pallet_Contents'!$A$2:$A$3000,$A2,'07_Pallet_Contents'!$D$2:$D$3000))</f>
        <v>0</v>
      </c>
      <c r="Y2738">
        <f>IF($A2="","",SUMIF('07_Pallet_Contents'!$A$2:$A$3000,$A2,'07_Pallet_Contents'!$I$2:$I$3000))</f>
        <v>0</v>
      </c>
      <c r="Z2738" t="str">
        <f>IF($A2="","",IF(COUNTIF('07_Pallet_Contents'!$A$2:$A$3000,$A2)&gt;0,"Yes",""))</f>
        <v/>
      </c>
    </row>
    <row r="2739" spans="23:26">
      <c r="W2739">
        <f>IF($A2="","",COUNTIF('07_Pallet_Contents'!$A$2:$A$3000,$A2))</f>
        <v>0</v>
      </c>
      <c r="X2739">
        <f>IF($A2="","",SUMIF('07_Pallet_Contents'!$A$2:$A$3000,$A2,'07_Pallet_Contents'!$D$2:$D$3000))</f>
        <v>0</v>
      </c>
      <c r="Y2739">
        <f>IF($A2="","",SUMIF('07_Pallet_Contents'!$A$2:$A$3000,$A2,'07_Pallet_Contents'!$I$2:$I$3000))</f>
        <v>0</v>
      </c>
      <c r="Z2739" t="str">
        <f>IF($A2="","",IF(COUNTIF('07_Pallet_Contents'!$A$2:$A$3000,$A2)&gt;0,"Yes",""))</f>
        <v/>
      </c>
    </row>
    <row r="2740" spans="23:26">
      <c r="W2740">
        <f>IF($A2="","",COUNTIF('07_Pallet_Contents'!$A$2:$A$3000,$A2))</f>
        <v>0</v>
      </c>
      <c r="X2740">
        <f>IF($A2="","",SUMIF('07_Pallet_Contents'!$A$2:$A$3000,$A2,'07_Pallet_Contents'!$D$2:$D$3000))</f>
        <v>0</v>
      </c>
      <c r="Y2740">
        <f>IF($A2="","",SUMIF('07_Pallet_Contents'!$A$2:$A$3000,$A2,'07_Pallet_Contents'!$I$2:$I$3000))</f>
        <v>0</v>
      </c>
      <c r="Z2740" t="str">
        <f>IF($A2="","",IF(COUNTIF('07_Pallet_Contents'!$A$2:$A$3000,$A2)&gt;0,"Yes",""))</f>
        <v/>
      </c>
    </row>
    <row r="2741" spans="23:26">
      <c r="W2741">
        <f>IF($A2="","",COUNTIF('07_Pallet_Contents'!$A$2:$A$3000,$A2))</f>
        <v>0</v>
      </c>
      <c r="X2741">
        <f>IF($A2="","",SUMIF('07_Pallet_Contents'!$A$2:$A$3000,$A2,'07_Pallet_Contents'!$D$2:$D$3000))</f>
        <v>0</v>
      </c>
      <c r="Y2741">
        <f>IF($A2="","",SUMIF('07_Pallet_Contents'!$A$2:$A$3000,$A2,'07_Pallet_Contents'!$I$2:$I$3000))</f>
        <v>0</v>
      </c>
      <c r="Z2741" t="str">
        <f>IF($A2="","",IF(COUNTIF('07_Pallet_Contents'!$A$2:$A$3000,$A2)&gt;0,"Yes",""))</f>
        <v/>
      </c>
    </row>
    <row r="2742" spans="23:26">
      <c r="W2742">
        <f>IF($A2="","",COUNTIF('07_Pallet_Contents'!$A$2:$A$3000,$A2))</f>
        <v>0</v>
      </c>
      <c r="X2742">
        <f>IF($A2="","",SUMIF('07_Pallet_Contents'!$A$2:$A$3000,$A2,'07_Pallet_Contents'!$D$2:$D$3000))</f>
        <v>0</v>
      </c>
      <c r="Y2742">
        <f>IF($A2="","",SUMIF('07_Pallet_Contents'!$A$2:$A$3000,$A2,'07_Pallet_Contents'!$I$2:$I$3000))</f>
        <v>0</v>
      </c>
      <c r="Z2742" t="str">
        <f>IF($A2="","",IF(COUNTIF('07_Pallet_Contents'!$A$2:$A$3000,$A2)&gt;0,"Yes",""))</f>
        <v/>
      </c>
    </row>
    <row r="2743" spans="23:26">
      <c r="W2743">
        <f>IF($A2="","",COUNTIF('07_Pallet_Contents'!$A$2:$A$3000,$A2))</f>
        <v>0</v>
      </c>
      <c r="X2743">
        <f>IF($A2="","",SUMIF('07_Pallet_Contents'!$A$2:$A$3000,$A2,'07_Pallet_Contents'!$D$2:$D$3000))</f>
        <v>0</v>
      </c>
      <c r="Y2743">
        <f>IF($A2="","",SUMIF('07_Pallet_Contents'!$A$2:$A$3000,$A2,'07_Pallet_Contents'!$I$2:$I$3000))</f>
        <v>0</v>
      </c>
      <c r="Z2743" t="str">
        <f>IF($A2="","",IF(COUNTIF('07_Pallet_Contents'!$A$2:$A$3000,$A2)&gt;0,"Yes",""))</f>
        <v/>
      </c>
    </row>
    <row r="2744" spans="23:26">
      <c r="W2744">
        <f>IF($A2="","",COUNTIF('07_Pallet_Contents'!$A$2:$A$3000,$A2))</f>
        <v>0</v>
      </c>
      <c r="X2744">
        <f>IF($A2="","",SUMIF('07_Pallet_Contents'!$A$2:$A$3000,$A2,'07_Pallet_Contents'!$D$2:$D$3000))</f>
        <v>0</v>
      </c>
      <c r="Y2744">
        <f>IF($A2="","",SUMIF('07_Pallet_Contents'!$A$2:$A$3000,$A2,'07_Pallet_Contents'!$I$2:$I$3000))</f>
        <v>0</v>
      </c>
      <c r="Z2744" t="str">
        <f>IF($A2="","",IF(COUNTIF('07_Pallet_Contents'!$A$2:$A$3000,$A2)&gt;0,"Yes",""))</f>
        <v/>
      </c>
    </row>
    <row r="2745" spans="23:26">
      <c r="W2745">
        <f>IF($A2="","",COUNTIF('07_Pallet_Contents'!$A$2:$A$3000,$A2))</f>
        <v>0</v>
      </c>
      <c r="X2745">
        <f>IF($A2="","",SUMIF('07_Pallet_Contents'!$A$2:$A$3000,$A2,'07_Pallet_Contents'!$D$2:$D$3000))</f>
        <v>0</v>
      </c>
      <c r="Y2745">
        <f>IF($A2="","",SUMIF('07_Pallet_Contents'!$A$2:$A$3000,$A2,'07_Pallet_Contents'!$I$2:$I$3000))</f>
        <v>0</v>
      </c>
      <c r="Z2745" t="str">
        <f>IF($A2="","",IF(COUNTIF('07_Pallet_Contents'!$A$2:$A$3000,$A2)&gt;0,"Yes",""))</f>
        <v/>
      </c>
    </row>
    <row r="2746" spans="23:26">
      <c r="W2746">
        <f>IF($A2="","",COUNTIF('07_Pallet_Contents'!$A$2:$A$3000,$A2))</f>
        <v>0</v>
      </c>
      <c r="X2746">
        <f>IF($A2="","",SUMIF('07_Pallet_Contents'!$A$2:$A$3000,$A2,'07_Pallet_Contents'!$D$2:$D$3000))</f>
        <v>0</v>
      </c>
      <c r="Y2746">
        <f>IF($A2="","",SUMIF('07_Pallet_Contents'!$A$2:$A$3000,$A2,'07_Pallet_Contents'!$I$2:$I$3000))</f>
        <v>0</v>
      </c>
      <c r="Z2746" t="str">
        <f>IF($A2="","",IF(COUNTIF('07_Pallet_Contents'!$A$2:$A$3000,$A2)&gt;0,"Yes",""))</f>
        <v/>
      </c>
    </row>
    <row r="2747" spans="23:26">
      <c r="W2747">
        <f>IF($A2="","",COUNTIF('07_Pallet_Contents'!$A$2:$A$3000,$A2))</f>
        <v>0</v>
      </c>
      <c r="X2747">
        <f>IF($A2="","",SUMIF('07_Pallet_Contents'!$A$2:$A$3000,$A2,'07_Pallet_Contents'!$D$2:$D$3000))</f>
        <v>0</v>
      </c>
      <c r="Y2747">
        <f>IF($A2="","",SUMIF('07_Pallet_Contents'!$A$2:$A$3000,$A2,'07_Pallet_Contents'!$I$2:$I$3000))</f>
        <v>0</v>
      </c>
      <c r="Z2747" t="str">
        <f>IF($A2="","",IF(COUNTIF('07_Pallet_Contents'!$A$2:$A$3000,$A2)&gt;0,"Yes",""))</f>
        <v/>
      </c>
    </row>
    <row r="2748" spans="23:26">
      <c r="W2748">
        <f>IF($A2="","",COUNTIF('07_Pallet_Contents'!$A$2:$A$3000,$A2))</f>
        <v>0</v>
      </c>
      <c r="X2748">
        <f>IF($A2="","",SUMIF('07_Pallet_Contents'!$A$2:$A$3000,$A2,'07_Pallet_Contents'!$D$2:$D$3000))</f>
        <v>0</v>
      </c>
      <c r="Y2748">
        <f>IF($A2="","",SUMIF('07_Pallet_Contents'!$A$2:$A$3000,$A2,'07_Pallet_Contents'!$I$2:$I$3000))</f>
        <v>0</v>
      </c>
      <c r="Z2748" t="str">
        <f>IF($A2="","",IF(COUNTIF('07_Pallet_Contents'!$A$2:$A$3000,$A2)&gt;0,"Yes",""))</f>
        <v/>
      </c>
    </row>
    <row r="2749" spans="23:26">
      <c r="W2749">
        <f>IF($A2="","",COUNTIF('07_Pallet_Contents'!$A$2:$A$3000,$A2))</f>
        <v>0</v>
      </c>
      <c r="X2749">
        <f>IF($A2="","",SUMIF('07_Pallet_Contents'!$A$2:$A$3000,$A2,'07_Pallet_Contents'!$D$2:$D$3000))</f>
        <v>0</v>
      </c>
      <c r="Y2749">
        <f>IF($A2="","",SUMIF('07_Pallet_Contents'!$A$2:$A$3000,$A2,'07_Pallet_Contents'!$I$2:$I$3000))</f>
        <v>0</v>
      </c>
      <c r="Z2749" t="str">
        <f>IF($A2="","",IF(COUNTIF('07_Pallet_Contents'!$A$2:$A$3000,$A2)&gt;0,"Yes",""))</f>
        <v/>
      </c>
    </row>
    <row r="2750" spans="23:26">
      <c r="W2750">
        <f>IF($A2="","",COUNTIF('07_Pallet_Contents'!$A$2:$A$3000,$A2))</f>
        <v>0</v>
      </c>
      <c r="X2750">
        <f>IF($A2="","",SUMIF('07_Pallet_Contents'!$A$2:$A$3000,$A2,'07_Pallet_Contents'!$D$2:$D$3000))</f>
        <v>0</v>
      </c>
      <c r="Y2750">
        <f>IF($A2="","",SUMIF('07_Pallet_Contents'!$A$2:$A$3000,$A2,'07_Pallet_Contents'!$I$2:$I$3000))</f>
        <v>0</v>
      </c>
      <c r="Z2750" t="str">
        <f>IF($A2="","",IF(COUNTIF('07_Pallet_Contents'!$A$2:$A$3000,$A2)&gt;0,"Yes",""))</f>
        <v/>
      </c>
    </row>
    <row r="2751" spans="23:26">
      <c r="W2751">
        <f>IF($A2="","",COUNTIF('07_Pallet_Contents'!$A$2:$A$3000,$A2))</f>
        <v>0</v>
      </c>
      <c r="X2751">
        <f>IF($A2="","",SUMIF('07_Pallet_Contents'!$A$2:$A$3000,$A2,'07_Pallet_Contents'!$D$2:$D$3000))</f>
        <v>0</v>
      </c>
      <c r="Y2751">
        <f>IF($A2="","",SUMIF('07_Pallet_Contents'!$A$2:$A$3000,$A2,'07_Pallet_Contents'!$I$2:$I$3000))</f>
        <v>0</v>
      </c>
      <c r="Z2751" t="str">
        <f>IF($A2="","",IF(COUNTIF('07_Pallet_Contents'!$A$2:$A$3000,$A2)&gt;0,"Yes",""))</f>
        <v/>
      </c>
    </row>
    <row r="2752" spans="23:26">
      <c r="W2752">
        <f>IF($A2="","",COUNTIF('07_Pallet_Contents'!$A$2:$A$3000,$A2))</f>
        <v>0</v>
      </c>
      <c r="X2752">
        <f>IF($A2="","",SUMIF('07_Pallet_Contents'!$A$2:$A$3000,$A2,'07_Pallet_Contents'!$D$2:$D$3000))</f>
        <v>0</v>
      </c>
      <c r="Y2752">
        <f>IF($A2="","",SUMIF('07_Pallet_Contents'!$A$2:$A$3000,$A2,'07_Pallet_Contents'!$I$2:$I$3000))</f>
        <v>0</v>
      </c>
      <c r="Z2752" t="str">
        <f>IF($A2="","",IF(COUNTIF('07_Pallet_Contents'!$A$2:$A$3000,$A2)&gt;0,"Yes",""))</f>
        <v/>
      </c>
    </row>
    <row r="2753" spans="23:26">
      <c r="W2753">
        <f>IF($A2="","",COUNTIF('07_Pallet_Contents'!$A$2:$A$3000,$A2))</f>
        <v>0</v>
      </c>
      <c r="X2753">
        <f>IF($A2="","",SUMIF('07_Pallet_Contents'!$A$2:$A$3000,$A2,'07_Pallet_Contents'!$D$2:$D$3000))</f>
        <v>0</v>
      </c>
      <c r="Y2753">
        <f>IF($A2="","",SUMIF('07_Pallet_Contents'!$A$2:$A$3000,$A2,'07_Pallet_Contents'!$I$2:$I$3000))</f>
        <v>0</v>
      </c>
      <c r="Z2753" t="str">
        <f>IF($A2="","",IF(COUNTIF('07_Pallet_Contents'!$A$2:$A$3000,$A2)&gt;0,"Yes",""))</f>
        <v/>
      </c>
    </row>
    <row r="2754" spans="23:26">
      <c r="W2754">
        <f>IF($A2="","",COUNTIF('07_Pallet_Contents'!$A$2:$A$3000,$A2))</f>
        <v>0</v>
      </c>
      <c r="X2754">
        <f>IF($A2="","",SUMIF('07_Pallet_Contents'!$A$2:$A$3000,$A2,'07_Pallet_Contents'!$D$2:$D$3000))</f>
        <v>0</v>
      </c>
      <c r="Y2754">
        <f>IF($A2="","",SUMIF('07_Pallet_Contents'!$A$2:$A$3000,$A2,'07_Pallet_Contents'!$I$2:$I$3000))</f>
        <v>0</v>
      </c>
      <c r="Z2754" t="str">
        <f>IF($A2="","",IF(COUNTIF('07_Pallet_Contents'!$A$2:$A$3000,$A2)&gt;0,"Yes",""))</f>
        <v/>
      </c>
    </row>
    <row r="2755" spans="23:26">
      <c r="W2755">
        <f>IF($A2="","",COUNTIF('07_Pallet_Contents'!$A$2:$A$3000,$A2))</f>
        <v>0</v>
      </c>
      <c r="X2755">
        <f>IF($A2="","",SUMIF('07_Pallet_Contents'!$A$2:$A$3000,$A2,'07_Pallet_Contents'!$D$2:$D$3000))</f>
        <v>0</v>
      </c>
      <c r="Y2755">
        <f>IF($A2="","",SUMIF('07_Pallet_Contents'!$A$2:$A$3000,$A2,'07_Pallet_Contents'!$I$2:$I$3000))</f>
        <v>0</v>
      </c>
      <c r="Z2755" t="str">
        <f>IF($A2="","",IF(COUNTIF('07_Pallet_Contents'!$A$2:$A$3000,$A2)&gt;0,"Yes",""))</f>
        <v/>
      </c>
    </row>
    <row r="2756" spans="23:26">
      <c r="W2756">
        <f>IF($A2="","",COUNTIF('07_Pallet_Contents'!$A$2:$A$3000,$A2))</f>
        <v>0</v>
      </c>
      <c r="X2756">
        <f>IF($A2="","",SUMIF('07_Pallet_Contents'!$A$2:$A$3000,$A2,'07_Pallet_Contents'!$D$2:$D$3000))</f>
        <v>0</v>
      </c>
      <c r="Y2756">
        <f>IF($A2="","",SUMIF('07_Pallet_Contents'!$A$2:$A$3000,$A2,'07_Pallet_Contents'!$I$2:$I$3000))</f>
        <v>0</v>
      </c>
      <c r="Z2756" t="str">
        <f>IF($A2="","",IF(COUNTIF('07_Pallet_Contents'!$A$2:$A$3000,$A2)&gt;0,"Yes",""))</f>
        <v/>
      </c>
    </row>
    <row r="2757" spans="23:26">
      <c r="W2757">
        <f>IF($A2="","",COUNTIF('07_Pallet_Contents'!$A$2:$A$3000,$A2))</f>
        <v>0</v>
      </c>
      <c r="X2757">
        <f>IF($A2="","",SUMIF('07_Pallet_Contents'!$A$2:$A$3000,$A2,'07_Pallet_Contents'!$D$2:$D$3000))</f>
        <v>0</v>
      </c>
      <c r="Y2757">
        <f>IF($A2="","",SUMIF('07_Pallet_Contents'!$A$2:$A$3000,$A2,'07_Pallet_Contents'!$I$2:$I$3000))</f>
        <v>0</v>
      </c>
      <c r="Z2757" t="str">
        <f>IF($A2="","",IF(COUNTIF('07_Pallet_Contents'!$A$2:$A$3000,$A2)&gt;0,"Yes",""))</f>
        <v/>
      </c>
    </row>
    <row r="2758" spans="23:26">
      <c r="W2758">
        <f>IF($A2="","",COUNTIF('07_Pallet_Contents'!$A$2:$A$3000,$A2))</f>
        <v>0</v>
      </c>
      <c r="X2758">
        <f>IF($A2="","",SUMIF('07_Pallet_Contents'!$A$2:$A$3000,$A2,'07_Pallet_Contents'!$D$2:$D$3000))</f>
        <v>0</v>
      </c>
      <c r="Y2758">
        <f>IF($A2="","",SUMIF('07_Pallet_Contents'!$A$2:$A$3000,$A2,'07_Pallet_Contents'!$I$2:$I$3000))</f>
        <v>0</v>
      </c>
      <c r="Z2758" t="str">
        <f>IF($A2="","",IF(COUNTIF('07_Pallet_Contents'!$A$2:$A$3000,$A2)&gt;0,"Yes",""))</f>
        <v/>
      </c>
    </row>
    <row r="2759" spans="23:26">
      <c r="W2759">
        <f>IF($A2="","",COUNTIF('07_Pallet_Contents'!$A$2:$A$3000,$A2))</f>
        <v>0</v>
      </c>
      <c r="X2759">
        <f>IF($A2="","",SUMIF('07_Pallet_Contents'!$A$2:$A$3000,$A2,'07_Pallet_Contents'!$D$2:$D$3000))</f>
        <v>0</v>
      </c>
      <c r="Y2759">
        <f>IF($A2="","",SUMIF('07_Pallet_Contents'!$A$2:$A$3000,$A2,'07_Pallet_Contents'!$I$2:$I$3000))</f>
        <v>0</v>
      </c>
      <c r="Z2759" t="str">
        <f>IF($A2="","",IF(COUNTIF('07_Pallet_Contents'!$A$2:$A$3000,$A2)&gt;0,"Yes",""))</f>
        <v/>
      </c>
    </row>
    <row r="2760" spans="23:26">
      <c r="W2760">
        <f>IF($A2="","",COUNTIF('07_Pallet_Contents'!$A$2:$A$3000,$A2))</f>
        <v>0</v>
      </c>
      <c r="X2760">
        <f>IF($A2="","",SUMIF('07_Pallet_Contents'!$A$2:$A$3000,$A2,'07_Pallet_Contents'!$D$2:$D$3000))</f>
        <v>0</v>
      </c>
      <c r="Y2760">
        <f>IF($A2="","",SUMIF('07_Pallet_Contents'!$A$2:$A$3000,$A2,'07_Pallet_Contents'!$I$2:$I$3000))</f>
        <v>0</v>
      </c>
      <c r="Z2760" t="str">
        <f>IF($A2="","",IF(COUNTIF('07_Pallet_Contents'!$A$2:$A$3000,$A2)&gt;0,"Yes",""))</f>
        <v/>
      </c>
    </row>
    <row r="2761" spans="23:26">
      <c r="W2761">
        <f>IF($A2="","",COUNTIF('07_Pallet_Contents'!$A$2:$A$3000,$A2))</f>
        <v>0</v>
      </c>
      <c r="X2761">
        <f>IF($A2="","",SUMIF('07_Pallet_Contents'!$A$2:$A$3000,$A2,'07_Pallet_Contents'!$D$2:$D$3000))</f>
        <v>0</v>
      </c>
      <c r="Y2761">
        <f>IF($A2="","",SUMIF('07_Pallet_Contents'!$A$2:$A$3000,$A2,'07_Pallet_Contents'!$I$2:$I$3000))</f>
        <v>0</v>
      </c>
      <c r="Z2761" t="str">
        <f>IF($A2="","",IF(COUNTIF('07_Pallet_Contents'!$A$2:$A$3000,$A2)&gt;0,"Yes",""))</f>
        <v/>
      </c>
    </row>
    <row r="2762" spans="23:26">
      <c r="W2762">
        <f>IF($A2="","",COUNTIF('07_Pallet_Contents'!$A$2:$A$3000,$A2))</f>
        <v>0</v>
      </c>
      <c r="X2762">
        <f>IF($A2="","",SUMIF('07_Pallet_Contents'!$A$2:$A$3000,$A2,'07_Pallet_Contents'!$D$2:$D$3000))</f>
        <v>0</v>
      </c>
      <c r="Y2762">
        <f>IF($A2="","",SUMIF('07_Pallet_Contents'!$A$2:$A$3000,$A2,'07_Pallet_Contents'!$I$2:$I$3000))</f>
        <v>0</v>
      </c>
      <c r="Z2762" t="str">
        <f>IF($A2="","",IF(COUNTIF('07_Pallet_Contents'!$A$2:$A$3000,$A2)&gt;0,"Yes",""))</f>
        <v/>
      </c>
    </row>
    <row r="2763" spans="23:26">
      <c r="W2763">
        <f>IF($A2="","",COUNTIF('07_Pallet_Contents'!$A$2:$A$3000,$A2))</f>
        <v>0</v>
      </c>
      <c r="X2763">
        <f>IF($A2="","",SUMIF('07_Pallet_Contents'!$A$2:$A$3000,$A2,'07_Pallet_Contents'!$D$2:$D$3000))</f>
        <v>0</v>
      </c>
      <c r="Y2763">
        <f>IF($A2="","",SUMIF('07_Pallet_Contents'!$A$2:$A$3000,$A2,'07_Pallet_Contents'!$I$2:$I$3000))</f>
        <v>0</v>
      </c>
      <c r="Z2763" t="str">
        <f>IF($A2="","",IF(COUNTIF('07_Pallet_Contents'!$A$2:$A$3000,$A2)&gt;0,"Yes",""))</f>
        <v/>
      </c>
    </row>
    <row r="2764" spans="23:26">
      <c r="W2764">
        <f>IF($A2="","",COUNTIF('07_Pallet_Contents'!$A$2:$A$3000,$A2))</f>
        <v>0</v>
      </c>
      <c r="X2764">
        <f>IF($A2="","",SUMIF('07_Pallet_Contents'!$A$2:$A$3000,$A2,'07_Pallet_Contents'!$D$2:$D$3000))</f>
        <v>0</v>
      </c>
      <c r="Y2764">
        <f>IF($A2="","",SUMIF('07_Pallet_Contents'!$A$2:$A$3000,$A2,'07_Pallet_Contents'!$I$2:$I$3000))</f>
        <v>0</v>
      </c>
      <c r="Z2764" t="str">
        <f>IF($A2="","",IF(COUNTIF('07_Pallet_Contents'!$A$2:$A$3000,$A2)&gt;0,"Yes",""))</f>
        <v/>
      </c>
    </row>
    <row r="2765" spans="23:26">
      <c r="W2765">
        <f>IF($A2="","",COUNTIF('07_Pallet_Contents'!$A$2:$A$3000,$A2))</f>
        <v>0</v>
      </c>
      <c r="X2765">
        <f>IF($A2="","",SUMIF('07_Pallet_Contents'!$A$2:$A$3000,$A2,'07_Pallet_Contents'!$D$2:$D$3000))</f>
        <v>0</v>
      </c>
      <c r="Y2765">
        <f>IF($A2="","",SUMIF('07_Pallet_Contents'!$A$2:$A$3000,$A2,'07_Pallet_Contents'!$I$2:$I$3000))</f>
        <v>0</v>
      </c>
      <c r="Z2765" t="str">
        <f>IF($A2="","",IF(COUNTIF('07_Pallet_Contents'!$A$2:$A$3000,$A2)&gt;0,"Yes",""))</f>
        <v/>
      </c>
    </row>
    <row r="2766" spans="23:26">
      <c r="W2766">
        <f>IF($A2="","",COUNTIF('07_Pallet_Contents'!$A$2:$A$3000,$A2))</f>
        <v>0</v>
      </c>
      <c r="X2766">
        <f>IF($A2="","",SUMIF('07_Pallet_Contents'!$A$2:$A$3000,$A2,'07_Pallet_Contents'!$D$2:$D$3000))</f>
        <v>0</v>
      </c>
      <c r="Y2766">
        <f>IF($A2="","",SUMIF('07_Pallet_Contents'!$A$2:$A$3000,$A2,'07_Pallet_Contents'!$I$2:$I$3000))</f>
        <v>0</v>
      </c>
      <c r="Z2766" t="str">
        <f>IF($A2="","",IF(COUNTIF('07_Pallet_Contents'!$A$2:$A$3000,$A2)&gt;0,"Yes",""))</f>
        <v/>
      </c>
    </row>
    <row r="2767" spans="23:26">
      <c r="W2767">
        <f>IF($A2="","",COUNTIF('07_Pallet_Contents'!$A$2:$A$3000,$A2))</f>
        <v>0</v>
      </c>
      <c r="X2767">
        <f>IF($A2="","",SUMIF('07_Pallet_Contents'!$A$2:$A$3000,$A2,'07_Pallet_Contents'!$D$2:$D$3000))</f>
        <v>0</v>
      </c>
      <c r="Y2767">
        <f>IF($A2="","",SUMIF('07_Pallet_Contents'!$A$2:$A$3000,$A2,'07_Pallet_Contents'!$I$2:$I$3000))</f>
        <v>0</v>
      </c>
      <c r="Z2767" t="str">
        <f>IF($A2="","",IF(COUNTIF('07_Pallet_Contents'!$A$2:$A$3000,$A2)&gt;0,"Yes",""))</f>
        <v/>
      </c>
    </row>
    <row r="2768" spans="23:26">
      <c r="W2768">
        <f>IF($A2="","",COUNTIF('07_Pallet_Contents'!$A$2:$A$3000,$A2))</f>
        <v>0</v>
      </c>
      <c r="X2768">
        <f>IF($A2="","",SUMIF('07_Pallet_Contents'!$A$2:$A$3000,$A2,'07_Pallet_Contents'!$D$2:$D$3000))</f>
        <v>0</v>
      </c>
      <c r="Y2768">
        <f>IF($A2="","",SUMIF('07_Pallet_Contents'!$A$2:$A$3000,$A2,'07_Pallet_Contents'!$I$2:$I$3000))</f>
        <v>0</v>
      </c>
      <c r="Z2768" t="str">
        <f>IF($A2="","",IF(COUNTIF('07_Pallet_Contents'!$A$2:$A$3000,$A2)&gt;0,"Yes",""))</f>
        <v/>
      </c>
    </row>
    <row r="2769" spans="23:26">
      <c r="W2769">
        <f>IF($A2="","",COUNTIF('07_Pallet_Contents'!$A$2:$A$3000,$A2))</f>
        <v>0</v>
      </c>
      <c r="X2769">
        <f>IF($A2="","",SUMIF('07_Pallet_Contents'!$A$2:$A$3000,$A2,'07_Pallet_Contents'!$D$2:$D$3000))</f>
        <v>0</v>
      </c>
      <c r="Y2769">
        <f>IF($A2="","",SUMIF('07_Pallet_Contents'!$A$2:$A$3000,$A2,'07_Pallet_Contents'!$I$2:$I$3000))</f>
        <v>0</v>
      </c>
      <c r="Z2769" t="str">
        <f>IF($A2="","",IF(COUNTIF('07_Pallet_Contents'!$A$2:$A$3000,$A2)&gt;0,"Yes",""))</f>
        <v/>
      </c>
    </row>
    <row r="2770" spans="23:26">
      <c r="W2770">
        <f>IF($A2="","",COUNTIF('07_Pallet_Contents'!$A$2:$A$3000,$A2))</f>
        <v>0</v>
      </c>
      <c r="X2770">
        <f>IF($A2="","",SUMIF('07_Pallet_Contents'!$A$2:$A$3000,$A2,'07_Pallet_Contents'!$D$2:$D$3000))</f>
        <v>0</v>
      </c>
      <c r="Y2770">
        <f>IF($A2="","",SUMIF('07_Pallet_Contents'!$A$2:$A$3000,$A2,'07_Pallet_Contents'!$I$2:$I$3000))</f>
        <v>0</v>
      </c>
      <c r="Z2770" t="str">
        <f>IF($A2="","",IF(COUNTIF('07_Pallet_Contents'!$A$2:$A$3000,$A2)&gt;0,"Yes",""))</f>
        <v/>
      </c>
    </row>
    <row r="2771" spans="23:26">
      <c r="W2771">
        <f>IF($A2="","",COUNTIF('07_Pallet_Contents'!$A$2:$A$3000,$A2))</f>
        <v>0</v>
      </c>
      <c r="X2771">
        <f>IF($A2="","",SUMIF('07_Pallet_Contents'!$A$2:$A$3000,$A2,'07_Pallet_Contents'!$D$2:$D$3000))</f>
        <v>0</v>
      </c>
      <c r="Y2771">
        <f>IF($A2="","",SUMIF('07_Pallet_Contents'!$A$2:$A$3000,$A2,'07_Pallet_Contents'!$I$2:$I$3000))</f>
        <v>0</v>
      </c>
      <c r="Z2771" t="str">
        <f>IF($A2="","",IF(COUNTIF('07_Pallet_Contents'!$A$2:$A$3000,$A2)&gt;0,"Yes",""))</f>
        <v/>
      </c>
    </row>
    <row r="2772" spans="23:26">
      <c r="W2772">
        <f>IF($A2="","",COUNTIF('07_Pallet_Contents'!$A$2:$A$3000,$A2))</f>
        <v>0</v>
      </c>
      <c r="X2772">
        <f>IF($A2="","",SUMIF('07_Pallet_Contents'!$A$2:$A$3000,$A2,'07_Pallet_Contents'!$D$2:$D$3000))</f>
        <v>0</v>
      </c>
      <c r="Y2772">
        <f>IF($A2="","",SUMIF('07_Pallet_Contents'!$A$2:$A$3000,$A2,'07_Pallet_Contents'!$I$2:$I$3000))</f>
        <v>0</v>
      </c>
      <c r="Z2772" t="str">
        <f>IF($A2="","",IF(COUNTIF('07_Pallet_Contents'!$A$2:$A$3000,$A2)&gt;0,"Yes",""))</f>
        <v/>
      </c>
    </row>
    <row r="2773" spans="23:26">
      <c r="W2773">
        <f>IF($A2="","",COUNTIF('07_Pallet_Contents'!$A$2:$A$3000,$A2))</f>
        <v>0</v>
      </c>
      <c r="X2773">
        <f>IF($A2="","",SUMIF('07_Pallet_Contents'!$A$2:$A$3000,$A2,'07_Pallet_Contents'!$D$2:$D$3000))</f>
        <v>0</v>
      </c>
      <c r="Y2773">
        <f>IF($A2="","",SUMIF('07_Pallet_Contents'!$A$2:$A$3000,$A2,'07_Pallet_Contents'!$I$2:$I$3000))</f>
        <v>0</v>
      </c>
      <c r="Z2773" t="str">
        <f>IF($A2="","",IF(COUNTIF('07_Pallet_Contents'!$A$2:$A$3000,$A2)&gt;0,"Yes",""))</f>
        <v/>
      </c>
    </row>
    <row r="2774" spans="23:26">
      <c r="W2774">
        <f>IF($A2="","",COUNTIF('07_Pallet_Contents'!$A$2:$A$3000,$A2))</f>
        <v>0</v>
      </c>
      <c r="X2774">
        <f>IF($A2="","",SUMIF('07_Pallet_Contents'!$A$2:$A$3000,$A2,'07_Pallet_Contents'!$D$2:$D$3000))</f>
        <v>0</v>
      </c>
      <c r="Y2774">
        <f>IF($A2="","",SUMIF('07_Pallet_Contents'!$A$2:$A$3000,$A2,'07_Pallet_Contents'!$I$2:$I$3000))</f>
        <v>0</v>
      </c>
      <c r="Z2774" t="str">
        <f>IF($A2="","",IF(COUNTIF('07_Pallet_Contents'!$A$2:$A$3000,$A2)&gt;0,"Yes",""))</f>
        <v/>
      </c>
    </row>
    <row r="2775" spans="23:26">
      <c r="W2775">
        <f>IF($A2="","",COUNTIF('07_Pallet_Contents'!$A$2:$A$3000,$A2))</f>
        <v>0</v>
      </c>
      <c r="X2775">
        <f>IF($A2="","",SUMIF('07_Pallet_Contents'!$A$2:$A$3000,$A2,'07_Pallet_Contents'!$D$2:$D$3000))</f>
        <v>0</v>
      </c>
      <c r="Y2775">
        <f>IF($A2="","",SUMIF('07_Pallet_Contents'!$A$2:$A$3000,$A2,'07_Pallet_Contents'!$I$2:$I$3000))</f>
        <v>0</v>
      </c>
      <c r="Z2775" t="str">
        <f>IF($A2="","",IF(COUNTIF('07_Pallet_Contents'!$A$2:$A$3000,$A2)&gt;0,"Yes",""))</f>
        <v/>
      </c>
    </row>
    <row r="2776" spans="23:26">
      <c r="W2776">
        <f>IF($A2="","",COUNTIF('07_Pallet_Contents'!$A$2:$A$3000,$A2))</f>
        <v>0</v>
      </c>
      <c r="X2776">
        <f>IF($A2="","",SUMIF('07_Pallet_Contents'!$A$2:$A$3000,$A2,'07_Pallet_Contents'!$D$2:$D$3000))</f>
        <v>0</v>
      </c>
      <c r="Y2776">
        <f>IF($A2="","",SUMIF('07_Pallet_Contents'!$A$2:$A$3000,$A2,'07_Pallet_Contents'!$I$2:$I$3000))</f>
        <v>0</v>
      </c>
      <c r="Z2776" t="str">
        <f>IF($A2="","",IF(COUNTIF('07_Pallet_Contents'!$A$2:$A$3000,$A2)&gt;0,"Yes",""))</f>
        <v/>
      </c>
    </row>
    <row r="2777" spans="23:26">
      <c r="W2777">
        <f>IF($A2="","",COUNTIF('07_Pallet_Contents'!$A$2:$A$3000,$A2))</f>
        <v>0</v>
      </c>
      <c r="X2777">
        <f>IF($A2="","",SUMIF('07_Pallet_Contents'!$A$2:$A$3000,$A2,'07_Pallet_Contents'!$D$2:$D$3000))</f>
        <v>0</v>
      </c>
      <c r="Y2777">
        <f>IF($A2="","",SUMIF('07_Pallet_Contents'!$A$2:$A$3000,$A2,'07_Pallet_Contents'!$I$2:$I$3000))</f>
        <v>0</v>
      </c>
      <c r="Z2777" t="str">
        <f>IF($A2="","",IF(COUNTIF('07_Pallet_Contents'!$A$2:$A$3000,$A2)&gt;0,"Yes",""))</f>
        <v/>
      </c>
    </row>
    <row r="2778" spans="23:26">
      <c r="W2778">
        <f>IF($A2="","",COUNTIF('07_Pallet_Contents'!$A$2:$A$3000,$A2))</f>
        <v>0</v>
      </c>
      <c r="X2778">
        <f>IF($A2="","",SUMIF('07_Pallet_Contents'!$A$2:$A$3000,$A2,'07_Pallet_Contents'!$D$2:$D$3000))</f>
        <v>0</v>
      </c>
      <c r="Y2778">
        <f>IF($A2="","",SUMIF('07_Pallet_Contents'!$A$2:$A$3000,$A2,'07_Pallet_Contents'!$I$2:$I$3000))</f>
        <v>0</v>
      </c>
      <c r="Z2778" t="str">
        <f>IF($A2="","",IF(COUNTIF('07_Pallet_Contents'!$A$2:$A$3000,$A2)&gt;0,"Yes",""))</f>
        <v/>
      </c>
    </row>
    <row r="2779" spans="23:26">
      <c r="W2779">
        <f>IF($A2="","",COUNTIF('07_Pallet_Contents'!$A$2:$A$3000,$A2))</f>
        <v>0</v>
      </c>
      <c r="X2779">
        <f>IF($A2="","",SUMIF('07_Pallet_Contents'!$A$2:$A$3000,$A2,'07_Pallet_Contents'!$D$2:$D$3000))</f>
        <v>0</v>
      </c>
      <c r="Y2779">
        <f>IF($A2="","",SUMIF('07_Pallet_Contents'!$A$2:$A$3000,$A2,'07_Pallet_Contents'!$I$2:$I$3000))</f>
        <v>0</v>
      </c>
      <c r="Z2779" t="str">
        <f>IF($A2="","",IF(COUNTIF('07_Pallet_Contents'!$A$2:$A$3000,$A2)&gt;0,"Yes",""))</f>
        <v/>
      </c>
    </row>
    <row r="2780" spans="23:26">
      <c r="W2780">
        <f>IF($A2="","",COUNTIF('07_Pallet_Contents'!$A$2:$A$3000,$A2))</f>
        <v>0</v>
      </c>
      <c r="X2780">
        <f>IF($A2="","",SUMIF('07_Pallet_Contents'!$A$2:$A$3000,$A2,'07_Pallet_Contents'!$D$2:$D$3000))</f>
        <v>0</v>
      </c>
      <c r="Y2780">
        <f>IF($A2="","",SUMIF('07_Pallet_Contents'!$A$2:$A$3000,$A2,'07_Pallet_Contents'!$I$2:$I$3000))</f>
        <v>0</v>
      </c>
      <c r="Z2780" t="str">
        <f>IF($A2="","",IF(COUNTIF('07_Pallet_Contents'!$A$2:$A$3000,$A2)&gt;0,"Yes",""))</f>
        <v/>
      </c>
    </row>
    <row r="2781" spans="23:26">
      <c r="W2781">
        <f>IF($A2="","",COUNTIF('07_Pallet_Contents'!$A$2:$A$3000,$A2))</f>
        <v>0</v>
      </c>
      <c r="X2781">
        <f>IF($A2="","",SUMIF('07_Pallet_Contents'!$A$2:$A$3000,$A2,'07_Pallet_Contents'!$D$2:$D$3000))</f>
        <v>0</v>
      </c>
      <c r="Y2781">
        <f>IF($A2="","",SUMIF('07_Pallet_Contents'!$A$2:$A$3000,$A2,'07_Pallet_Contents'!$I$2:$I$3000))</f>
        <v>0</v>
      </c>
      <c r="Z2781" t="str">
        <f>IF($A2="","",IF(COUNTIF('07_Pallet_Contents'!$A$2:$A$3000,$A2)&gt;0,"Yes",""))</f>
        <v/>
      </c>
    </row>
    <row r="2782" spans="23:26">
      <c r="W2782">
        <f>IF($A2="","",COUNTIF('07_Pallet_Contents'!$A$2:$A$3000,$A2))</f>
        <v>0</v>
      </c>
      <c r="X2782">
        <f>IF($A2="","",SUMIF('07_Pallet_Contents'!$A$2:$A$3000,$A2,'07_Pallet_Contents'!$D$2:$D$3000))</f>
        <v>0</v>
      </c>
      <c r="Y2782">
        <f>IF($A2="","",SUMIF('07_Pallet_Contents'!$A$2:$A$3000,$A2,'07_Pallet_Contents'!$I$2:$I$3000))</f>
        <v>0</v>
      </c>
      <c r="Z2782" t="str">
        <f>IF($A2="","",IF(COUNTIF('07_Pallet_Contents'!$A$2:$A$3000,$A2)&gt;0,"Yes",""))</f>
        <v/>
      </c>
    </row>
    <row r="2783" spans="23:26">
      <c r="W2783">
        <f>IF($A2="","",COUNTIF('07_Pallet_Contents'!$A$2:$A$3000,$A2))</f>
        <v>0</v>
      </c>
      <c r="X2783">
        <f>IF($A2="","",SUMIF('07_Pallet_Contents'!$A$2:$A$3000,$A2,'07_Pallet_Contents'!$D$2:$D$3000))</f>
        <v>0</v>
      </c>
      <c r="Y2783">
        <f>IF($A2="","",SUMIF('07_Pallet_Contents'!$A$2:$A$3000,$A2,'07_Pallet_Contents'!$I$2:$I$3000))</f>
        <v>0</v>
      </c>
      <c r="Z2783" t="str">
        <f>IF($A2="","",IF(COUNTIF('07_Pallet_Contents'!$A$2:$A$3000,$A2)&gt;0,"Yes",""))</f>
        <v/>
      </c>
    </row>
    <row r="2784" spans="23:26">
      <c r="W2784">
        <f>IF($A2="","",COUNTIF('07_Pallet_Contents'!$A$2:$A$3000,$A2))</f>
        <v>0</v>
      </c>
      <c r="X2784">
        <f>IF($A2="","",SUMIF('07_Pallet_Contents'!$A$2:$A$3000,$A2,'07_Pallet_Contents'!$D$2:$D$3000))</f>
        <v>0</v>
      </c>
      <c r="Y2784">
        <f>IF($A2="","",SUMIF('07_Pallet_Contents'!$A$2:$A$3000,$A2,'07_Pallet_Contents'!$I$2:$I$3000))</f>
        <v>0</v>
      </c>
      <c r="Z2784" t="str">
        <f>IF($A2="","",IF(COUNTIF('07_Pallet_Contents'!$A$2:$A$3000,$A2)&gt;0,"Yes",""))</f>
        <v/>
      </c>
    </row>
    <row r="2785" spans="23:26">
      <c r="W2785">
        <f>IF($A2="","",COUNTIF('07_Pallet_Contents'!$A$2:$A$3000,$A2))</f>
        <v>0</v>
      </c>
      <c r="X2785">
        <f>IF($A2="","",SUMIF('07_Pallet_Contents'!$A$2:$A$3000,$A2,'07_Pallet_Contents'!$D$2:$D$3000))</f>
        <v>0</v>
      </c>
      <c r="Y2785">
        <f>IF($A2="","",SUMIF('07_Pallet_Contents'!$A$2:$A$3000,$A2,'07_Pallet_Contents'!$I$2:$I$3000))</f>
        <v>0</v>
      </c>
      <c r="Z2785" t="str">
        <f>IF($A2="","",IF(COUNTIF('07_Pallet_Contents'!$A$2:$A$3000,$A2)&gt;0,"Yes",""))</f>
        <v/>
      </c>
    </row>
    <row r="2786" spans="23:26">
      <c r="W2786">
        <f>IF($A2="","",COUNTIF('07_Pallet_Contents'!$A$2:$A$3000,$A2))</f>
        <v>0</v>
      </c>
      <c r="X2786">
        <f>IF($A2="","",SUMIF('07_Pallet_Contents'!$A$2:$A$3000,$A2,'07_Pallet_Contents'!$D$2:$D$3000))</f>
        <v>0</v>
      </c>
      <c r="Y2786">
        <f>IF($A2="","",SUMIF('07_Pallet_Contents'!$A$2:$A$3000,$A2,'07_Pallet_Contents'!$I$2:$I$3000))</f>
        <v>0</v>
      </c>
      <c r="Z2786" t="str">
        <f>IF($A2="","",IF(COUNTIF('07_Pallet_Contents'!$A$2:$A$3000,$A2)&gt;0,"Yes",""))</f>
        <v/>
      </c>
    </row>
    <row r="2787" spans="23:26">
      <c r="W2787">
        <f>IF($A2="","",COUNTIF('07_Pallet_Contents'!$A$2:$A$3000,$A2))</f>
        <v>0</v>
      </c>
      <c r="X2787">
        <f>IF($A2="","",SUMIF('07_Pallet_Contents'!$A$2:$A$3000,$A2,'07_Pallet_Contents'!$D$2:$D$3000))</f>
        <v>0</v>
      </c>
      <c r="Y2787">
        <f>IF($A2="","",SUMIF('07_Pallet_Contents'!$A$2:$A$3000,$A2,'07_Pallet_Contents'!$I$2:$I$3000))</f>
        <v>0</v>
      </c>
      <c r="Z2787" t="str">
        <f>IF($A2="","",IF(COUNTIF('07_Pallet_Contents'!$A$2:$A$3000,$A2)&gt;0,"Yes",""))</f>
        <v/>
      </c>
    </row>
    <row r="2788" spans="23:26">
      <c r="W2788">
        <f>IF($A2="","",COUNTIF('07_Pallet_Contents'!$A$2:$A$3000,$A2))</f>
        <v>0</v>
      </c>
      <c r="X2788">
        <f>IF($A2="","",SUMIF('07_Pallet_Contents'!$A$2:$A$3000,$A2,'07_Pallet_Contents'!$D$2:$D$3000))</f>
        <v>0</v>
      </c>
      <c r="Y2788">
        <f>IF($A2="","",SUMIF('07_Pallet_Contents'!$A$2:$A$3000,$A2,'07_Pallet_Contents'!$I$2:$I$3000))</f>
        <v>0</v>
      </c>
      <c r="Z2788" t="str">
        <f>IF($A2="","",IF(COUNTIF('07_Pallet_Contents'!$A$2:$A$3000,$A2)&gt;0,"Yes",""))</f>
        <v/>
      </c>
    </row>
    <row r="2789" spans="23:26">
      <c r="W2789">
        <f>IF($A2="","",COUNTIF('07_Pallet_Contents'!$A$2:$A$3000,$A2))</f>
        <v>0</v>
      </c>
      <c r="X2789">
        <f>IF($A2="","",SUMIF('07_Pallet_Contents'!$A$2:$A$3000,$A2,'07_Pallet_Contents'!$D$2:$D$3000))</f>
        <v>0</v>
      </c>
      <c r="Y2789">
        <f>IF($A2="","",SUMIF('07_Pallet_Contents'!$A$2:$A$3000,$A2,'07_Pallet_Contents'!$I$2:$I$3000))</f>
        <v>0</v>
      </c>
      <c r="Z2789" t="str">
        <f>IF($A2="","",IF(COUNTIF('07_Pallet_Contents'!$A$2:$A$3000,$A2)&gt;0,"Yes",""))</f>
        <v/>
      </c>
    </row>
    <row r="2790" spans="23:26">
      <c r="W2790">
        <f>IF($A2="","",COUNTIF('07_Pallet_Contents'!$A$2:$A$3000,$A2))</f>
        <v>0</v>
      </c>
      <c r="X2790">
        <f>IF($A2="","",SUMIF('07_Pallet_Contents'!$A$2:$A$3000,$A2,'07_Pallet_Contents'!$D$2:$D$3000))</f>
        <v>0</v>
      </c>
      <c r="Y2790">
        <f>IF($A2="","",SUMIF('07_Pallet_Contents'!$A$2:$A$3000,$A2,'07_Pallet_Contents'!$I$2:$I$3000))</f>
        <v>0</v>
      </c>
      <c r="Z2790" t="str">
        <f>IF($A2="","",IF(COUNTIF('07_Pallet_Contents'!$A$2:$A$3000,$A2)&gt;0,"Yes",""))</f>
        <v/>
      </c>
    </row>
    <row r="2791" spans="23:26">
      <c r="W2791">
        <f>IF($A2="","",COUNTIF('07_Pallet_Contents'!$A$2:$A$3000,$A2))</f>
        <v>0</v>
      </c>
      <c r="X2791">
        <f>IF($A2="","",SUMIF('07_Pallet_Contents'!$A$2:$A$3000,$A2,'07_Pallet_Contents'!$D$2:$D$3000))</f>
        <v>0</v>
      </c>
      <c r="Y2791">
        <f>IF($A2="","",SUMIF('07_Pallet_Contents'!$A$2:$A$3000,$A2,'07_Pallet_Contents'!$I$2:$I$3000))</f>
        <v>0</v>
      </c>
      <c r="Z2791" t="str">
        <f>IF($A2="","",IF(COUNTIF('07_Pallet_Contents'!$A$2:$A$3000,$A2)&gt;0,"Yes",""))</f>
        <v/>
      </c>
    </row>
    <row r="2792" spans="23:26">
      <c r="W2792">
        <f>IF($A2="","",COUNTIF('07_Pallet_Contents'!$A$2:$A$3000,$A2))</f>
        <v>0</v>
      </c>
      <c r="X2792">
        <f>IF($A2="","",SUMIF('07_Pallet_Contents'!$A$2:$A$3000,$A2,'07_Pallet_Contents'!$D$2:$D$3000))</f>
        <v>0</v>
      </c>
      <c r="Y2792">
        <f>IF($A2="","",SUMIF('07_Pallet_Contents'!$A$2:$A$3000,$A2,'07_Pallet_Contents'!$I$2:$I$3000))</f>
        <v>0</v>
      </c>
      <c r="Z2792" t="str">
        <f>IF($A2="","",IF(COUNTIF('07_Pallet_Contents'!$A$2:$A$3000,$A2)&gt;0,"Yes",""))</f>
        <v/>
      </c>
    </row>
    <row r="2793" spans="23:26">
      <c r="W2793">
        <f>IF($A2="","",COUNTIF('07_Pallet_Contents'!$A$2:$A$3000,$A2))</f>
        <v>0</v>
      </c>
      <c r="X2793">
        <f>IF($A2="","",SUMIF('07_Pallet_Contents'!$A$2:$A$3000,$A2,'07_Pallet_Contents'!$D$2:$D$3000))</f>
        <v>0</v>
      </c>
      <c r="Y2793">
        <f>IF($A2="","",SUMIF('07_Pallet_Contents'!$A$2:$A$3000,$A2,'07_Pallet_Contents'!$I$2:$I$3000))</f>
        <v>0</v>
      </c>
      <c r="Z2793" t="str">
        <f>IF($A2="","",IF(COUNTIF('07_Pallet_Contents'!$A$2:$A$3000,$A2)&gt;0,"Yes",""))</f>
        <v/>
      </c>
    </row>
    <row r="2794" spans="23:26">
      <c r="W2794">
        <f>IF($A2="","",COUNTIF('07_Pallet_Contents'!$A$2:$A$3000,$A2))</f>
        <v>0</v>
      </c>
      <c r="X2794">
        <f>IF($A2="","",SUMIF('07_Pallet_Contents'!$A$2:$A$3000,$A2,'07_Pallet_Contents'!$D$2:$D$3000))</f>
        <v>0</v>
      </c>
      <c r="Y2794">
        <f>IF($A2="","",SUMIF('07_Pallet_Contents'!$A$2:$A$3000,$A2,'07_Pallet_Contents'!$I$2:$I$3000))</f>
        <v>0</v>
      </c>
      <c r="Z2794" t="str">
        <f>IF($A2="","",IF(COUNTIF('07_Pallet_Contents'!$A$2:$A$3000,$A2)&gt;0,"Yes",""))</f>
        <v/>
      </c>
    </row>
    <row r="2795" spans="23:26">
      <c r="W2795">
        <f>IF($A2="","",COUNTIF('07_Pallet_Contents'!$A$2:$A$3000,$A2))</f>
        <v>0</v>
      </c>
      <c r="X2795">
        <f>IF($A2="","",SUMIF('07_Pallet_Contents'!$A$2:$A$3000,$A2,'07_Pallet_Contents'!$D$2:$D$3000))</f>
        <v>0</v>
      </c>
      <c r="Y2795">
        <f>IF($A2="","",SUMIF('07_Pallet_Contents'!$A$2:$A$3000,$A2,'07_Pallet_Contents'!$I$2:$I$3000))</f>
        <v>0</v>
      </c>
      <c r="Z2795" t="str">
        <f>IF($A2="","",IF(COUNTIF('07_Pallet_Contents'!$A$2:$A$3000,$A2)&gt;0,"Yes",""))</f>
        <v/>
      </c>
    </row>
    <row r="2796" spans="23:26">
      <c r="W2796">
        <f>IF($A2="","",COUNTIF('07_Pallet_Contents'!$A$2:$A$3000,$A2))</f>
        <v>0</v>
      </c>
      <c r="X2796">
        <f>IF($A2="","",SUMIF('07_Pallet_Contents'!$A$2:$A$3000,$A2,'07_Pallet_Contents'!$D$2:$D$3000))</f>
        <v>0</v>
      </c>
      <c r="Y2796">
        <f>IF($A2="","",SUMIF('07_Pallet_Contents'!$A$2:$A$3000,$A2,'07_Pallet_Contents'!$I$2:$I$3000))</f>
        <v>0</v>
      </c>
      <c r="Z2796" t="str">
        <f>IF($A2="","",IF(COUNTIF('07_Pallet_Contents'!$A$2:$A$3000,$A2)&gt;0,"Yes",""))</f>
        <v/>
      </c>
    </row>
    <row r="2797" spans="23:26">
      <c r="W2797">
        <f>IF($A2="","",COUNTIF('07_Pallet_Contents'!$A$2:$A$3000,$A2))</f>
        <v>0</v>
      </c>
      <c r="X2797">
        <f>IF($A2="","",SUMIF('07_Pallet_Contents'!$A$2:$A$3000,$A2,'07_Pallet_Contents'!$D$2:$D$3000))</f>
        <v>0</v>
      </c>
      <c r="Y2797">
        <f>IF($A2="","",SUMIF('07_Pallet_Contents'!$A$2:$A$3000,$A2,'07_Pallet_Contents'!$I$2:$I$3000))</f>
        <v>0</v>
      </c>
      <c r="Z2797" t="str">
        <f>IF($A2="","",IF(COUNTIF('07_Pallet_Contents'!$A$2:$A$3000,$A2)&gt;0,"Yes",""))</f>
        <v/>
      </c>
    </row>
    <row r="2798" spans="23:26">
      <c r="W2798">
        <f>IF($A2="","",COUNTIF('07_Pallet_Contents'!$A$2:$A$3000,$A2))</f>
        <v>0</v>
      </c>
      <c r="X2798">
        <f>IF($A2="","",SUMIF('07_Pallet_Contents'!$A$2:$A$3000,$A2,'07_Pallet_Contents'!$D$2:$D$3000))</f>
        <v>0</v>
      </c>
      <c r="Y2798">
        <f>IF($A2="","",SUMIF('07_Pallet_Contents'!$A$2:$A$3000,$A2,'07_Pallet_Contents'!$I$2:$I$3000))</f>
        <v>0</v>
      </c>
      <c r="Z2798" t="str">
        <f>IF($A2="","",IF(COUNTIF('07_Pallet_Contents'!$A$2:$A$3000,$A2)&gt;0,"Yes",""))</f>
        <v/>
      </c>
    </row>
    <row r="2799" spans="23:26">
      <c r="W2799">
        <f>IF($A2="","",COUNTIF('07_Pallet_Contents'!$A$2:$A$3000,$A2))</f>
        <v>0</v>
      </c>
      <c r="X2799">
        <f>IF($A2="","",SUMIF('07_Pallet_Contents'!$A$2:$A$3000,$A2,'07_Pallet_Contents'!$D$2:$D$3000))</f>
        <v>0</v>
      </c>
      <c r="Y2799">
        <f>IF($A2="","",SUMIF('07_Pallet_Contents'!$A$2:$A$3000,$A2,'07_Pallet_Contents'!$I$2:$I$3000))</f>
        <v>0</v>
      </c>
      <c r="Z2799" t="str">
        <f>IF($A2="","",IF(COUNTIF('07_Pallet_Contents'!$A$2:$A$3000,$A2)&gt;0,"Yes",""))</f>
        <v/>
      </c>
    </row>
    <row r="2800" spans="23:26">
      <c r="W2800">
        <f>IF($A2="","",COUNTIF('07_Pallet_Contents'!$A$2:$A$3000,$A2))</f>
        <v>0</v>
      </c>
      <c r="X2800">
        <f>IF($A2="","",SUMIF('07_Pallet_Contents'!$A$2:$A$3000,$A2,'07_Pallet_Contents'!$D$2:$D$3000))</f>
        <v>0</v>
      </c>
      <c r="Y2800">
        <f>IF($A2="","",SUMIF('07_Pallet_Contents'!$A$2:$A$3000,$A2,'07_Pallet_Contents'!$I$2:$I$3000))</f>
        <v>0</v>
      </c>
      <c r="Z2800" t="str">
        <f>IF($A2="","",IF(COUNTIF('07_Pallet_Contents'!$A$2:$A$3000,$A2)&gt;0,"Yes",""))</f>
        <v/>
      </c>
    </row>
    <row r="2801" spans="23:26">
      <c r="W2801">
        <f>IF($A2="","",COUNTIF('07_Pallet_Contents'!$A$2:$A$3000,$A2))</f>
        <v>0</v>
      </c>
      <c r="X2801">
        <f>IF($A2="","",SUMIF('07_Pallet_Contents'!$A$2:$A$3000,$A2,'07_Pallet_Contents'!$D$2:$D$3000))</f>
        <v>0</v>
      </c>
      <c r="Y2801">
        <f>IF($A2="","",SUMIF('07_Pallet_Contents'!$A$2:$A$3000,$A2,'07_Pallet_Contents'!$I$2:$I$3000))</f>
        <v>0</v>
      </c>
      <c r="Z2801" t="str">
        <f>IF($A2="","",IF(COUNTIF('07_Pallet_Contents'!$A$2:$A$3000,$A2)&gt;0,"Yes",""))</f>
        <v/>
      </c>
    </row>
    <row r="2802" spans="23:26">
      <c r="W2802">
        <f>IF($A2="","",COUNTIF('07_Pallet_Contents'!$A$2:$A$3000,$A2))</f>
        <v>0</v>
      </c>
      <c r="X2802">
        <f>IF($A2="","",SUMIF('07_Pallet_Contents'!$A$2:$A$3000,$A2,'07_Pallet_Contents'!$D$2:$D$3000))</f>
        <v>0</v>
      </c>
      <c r="Y2802">
        <f>IF($A2="","",SUMIF('07_Pallet_Contents'!$A$2:$A$3000,$A2,'07_Pallet_Contents'!$I$2:$I$3000))</f>
        <v>0</v>
      </c>
      <c r="Z2802" t="str">
        <f>IF($A2="","",IF(COUNTIF('07_Pallet_Contents'!$A$2:$A$3000,$A2)&gt;0,"Yes",""))</f>
        <v/>
      </c>
    </row>
    <row r="2803" spans="23:26">
      <c r="W2803">
        <f>IF($A2="","",COUNTIF('07_Pallet_Contents'!$A$2:$A$3000,$A2))</f>
        <v>0</v>
      </c>
      <c r="X2803">
        <f>IF($A2="","",SUMIF('07_Pallet_Contents'!$A$2:$A$3000,$A2,'07_Pallet_Contents'!$D$2:$D$3000))</f>
        <v>0</v>
      </c>
      <c r="Y2803">
        <f>IF($A2="","",SUMIF('07_Pallet_Contents'!$A$2:$A$3000,$A2,'07_Pallet_Contents'!$I$2:$I$3000))</f>
        <v>0</v>
      </c>
      <c r="Z2803" t="str">
        <f>IF($A2="","",IF(COUNTIF('07_Pallet_Contents'!$A$2:$A$3000,$A2)&gt;0,"Yes",""))</f>
        <v/>
      </c>
    </row>
    <row r="2804" spans="23:26">
      <c r="W2804">
        <f>IF($A2="","",COUNTIF('07_Pallet_Contents'!$A$2:$A$3000,$A2))</f>
        <v>0</v>
      </c>
      <c r="X2804">
        <f>IF($A2="","",SUMIF('07_Pallet_Contents'!$A$2:$A$3000,$A2,'07_Pallet_Contents'!$D$2:$D$3000))</f>
        <v>0</v>
      </c>
      <c r="Y2804">
        <f>IF($A2="","",SUMIF('07_Pallet_Contents'!$A$2:$A$3000,$A2,'07_Pallet_Contents'!$I$2:$I$3000))</f>
        <v>0</v>
      </c>
      <c r="Z2804" t="str">
        <f>IF($A2="","",IF(COUNTIF('07_Pallet_Contents'!$A$2:$A$3000,$A2)&gt;0,"Yes",""))</f>
        <v/>
      </c>
    </row>
    <row r="2805" spans="23:26">
      <c r="W2805">
        <f>IF($A2="","",COUNTIF('07_Pallet_Contents'!$A$2:$A$3000,$A2))</f>
        <v>0</v>
      </c>
      <c r="X2805">
        <f>IF($A2="","",SUMIF('07_Pallet_Contents'!$A$2:$A$3000,$A2,'07_Pallet_Contents'!$D$2:$D$3000))</f>
        <v>0</v>
      </c>
      <c r="Y2805">
        <f>IF($A2="","",SUMIF('07_Pallet_Contents'!$A$2:$A$3000,$A2,'07_Pallet_Contents'!$I$2:$I$3000))</f>
        <v>0</v>
      </c>
      <c r="Z2805" t="str">
        <f>IF($A2="","",IF(COUNTIF('07_Pallet_Contents'!$A$2:$A$3000,$A2)&gt;0,"Yes",""))</f>
        <v/>
      </c>
    </row>
    <row r="2806" spans="23:26">
      <c r="W2806">
        <f>IF($A2="","",COUNTIF('07_Pallet_Contents'!$A$2:$A$3000,$A2))</f>
        <v>0</v>
      </c>
      <c r="X2806">
        <f>IF($A2="","",SUMIF('07_Pallet_Contents'!$A$2:$A$3000,$A2,'07_Pallet_Contents'!$D$2:$D$3000))</f>
        <v>0</v>
      </c>
      <c r="Y2806">
        <f>IF($A2="","",SUMIF('07_Pallet_Contents'!$A$2:$A$3000,$A2,'07_Pallet_Contents'!$I$2:$I$3000))</f>
        <v>0</v>
      </c>
      <c r="Z2806" t="str">
        <f>IF($A2="","",IF(COUNTIF('07_Pallet_Contents'!$A$2:$A$3000,$A2)&gt;0,"Yes",""))</f>
        <v/>
      </c>
    </row>
    <row r="2807" spans="23:26">
      <c r="W2807">
        <f>IF($A2="","",COUNTIF('07_Pallet_Contents'!$A$2:$A$3000,$A2))</f>
        <v>0</v>
      </c>
      <c r="X2807">
        <f>IF($A2="","",SUMIF('07_Pallet_Contents'!$A$2:$A$3000,$A2,'07_Pallet_Contents'!$D$2:$D$3000))</f>
        <v>0</v>
      </c>
      <c r="Y2807">
        <f>IF($A2="","",SUMIF('07_Pallet_Contents'!$A$2:$A$3000,$A2,'07_Pallet_Contents'!$I$2:$I$3000))</f>
        <v>0</v>
      </c>
      <c r="Z2807" t="str">
        <f>IF($A2="","",IF(COUNTIF('07_Pallet_Contents'!$A$2:$A$3000,$A2)&gt;0,"Yes",""))</f>
        <v/>
      </c>
    </row>
    <row r="2808" spans="23:26">
      <c r="W2808">
        <f>IF($A2="","",COUNTIF('07_Pallet_Contents'!$A$2:$A$3000,$A2))</f>
        <v>0</v>
      </c>
      <c r="X2808">
        <f>IF($A2="","",SUMIF('07_Pallet_Contents'!$A$2:$A$3000,$A2,'07_Pallet_Contents'!$D$2:$D$3000))</f>
        <v>0</v>
      </c>
      <c r="Y2808">
        <f>IF($A2="","",SUMIF('07_Pallet_Contents'!$A$2:$A$3000,$A2,'07_Pallet_Contents'!$I$2:$I$3000))</f>
        <v>0</v>
      </c>
      <c r="Z2808" t="str">
        <f>IF($A2="","",IF(COUNTIF('07_Pallet_Contents'!$A$2:$A$3000,$A2)&gt;0,"Yes",""))</f>
        <v/>
      </c>
    </row>
    <row r="2809" spans="23:26">
      <c r="W2809">
        <f>IF($A2="","",COUNTIF('07_Pallet_Contents'!$A$2:$A$3000,$A2))</f>
        <v>0</v>
      </c>
      <c r="X2809">
        <f>IF($A2="","",SUMIF('07_Pallet_Contents'!$A$2:$A$3000,$A2,'07_Pallet_Contents'!$D$2:$D$3000))</f>
        <v>0</v>
      </c>
      <c r="Y2809">
        <f>IF($A2="","",SUMIF('07_Pallet_Contents'!$A$2:$A$3000,$A2,'07_Pallet_Contents'!$I$2:$I$3000))</f>
        <v>0</v>
      </c>
      <c r="Z2809" t="str">
        <f>IF($A2="","",IF(COUNTIF('07_Pallet_Contents'!$A$2:$A$3000,$A2)&gt;0,"Yes",""))</f>
        <v/>
      </c>
    </row>
    <row r="2810" spans="23:26">
      <c r="W2810">
        <f>IF($A2="","",COUNTIF('07_Pallet_Contents'!$A$2:$A$3000,$A2))</f>
        <v>0</v>
      </c>
      <c r="X2810">
        <f>IF($A2="","",SUMIF('07_Pallet_Contents'!$A$2:$A$3000,$A2,'07_Pallet_Contents'!$D$2:$D$3000))</f>
        <v>0</v>
      </c>
      <c r="Y2810">
        <f>IF($A2="","",SUMIF('07_Pallet_Contents'!$A$2:$A$3000,$A2,'07_Pallet_Contents'!$I$2:$I$3000))</f>
        <v>0</v>
      </c>
      <c r="Z2810" t="str">
        <f>IF($A2="","",IF(COUNTIF('07_Pallet_Contents'!$A$2:$A$3000,$A2)&gt;0,"Yes",""))</f>
        <v/>
      </c>
    </row>
    <row r="2811" spans="23:26">
      <c r="W2811">
        <f>IF($A2="","",COUNTIF('07_Pallet_Contents'!$A$2:$A$3000,$A2))</f>
        <v>0</v>
      </c>
      <c r="X2811">
        <f>IF($A2="","",SUMIF('07_Pallet_Contents'!$A$2:$A$3000,$A2,'07_Pallet_Contents'!$D$2:$D$3000))</f>
        <v>0</v>
      </c>
      <c r="Y2811">
        <f>IF($A2="","",SUMIF('07_Pallet_Contents'!$A$2:$A$3000,$A2,'07_Pallet_Contents'!$I$2:$I$3000))</f>
        <v>0</v>
      </c>
      <c r="Z2811" t="str">
        <f>IF($A2="","",IF(COUNTIF('07_Pallet_Contents'!$A$2:$A$3000,$A2)&gt;0,"Yes",""))</f>
        <v/>
      </c>
    </row>
    <row r="2812" spans="23:26">
      <c r="W2812">
        <f>IF($A2="","",COUNTIF('07_Pallet_Contents'!$A$2:$A$3000,$A2))</f>
        <v>0</v>
      </c>
      <c r="X2812">
        <f>IF($A2="","",SUMIF('07_Pallet_Contents'!$A$2:$A$3000,$A2,'07_Pallet_Contents'!$D$2:$D$3000))</f>
        <v>0</v>
      </c>
      <c r="Y2812">
        <f>IF($A2="","",SUMIF('07_Pallet_Contents'!$A$2:$A$3000,$A2,'07_Pallet_Contents'!$I$2:$I$3000))</f>
        <v>0</v>
      </c>
      <c r="Z2812" t="str">
        <f>IF($A2="","",IF(COUNTIF('07_Pallet_Contents'!$A$2:$A$3000,$A2)&gt;0,"Yes",""))</f>
        <v/>
      </c>
    </row>
    <row r="2813" spans="23:26">
      <c r="W2813">
        <f>IF($A2="","",COUNTIF('07_Pallet_Contents'!$A$2:$A$3000,$A2))</f>
        <v>0</v>
      </c>
      <c r="X2813">
        <f>IF($A2="","",SUMIF('07_Pallet_Contents'!$A$2:$A$3000,$A2,'07_Pallet_Contents'!$D$2:$D$3000))</f>
        <v>0</v>
      </c>
      <c r="Y2813">
        <f>IF($A2="","",SUMIF('07_Pallet_Contents'!$A$2:$A$3000,$A2,'07_Pallet_Contents'!$I$2:$I$3000))</f>
        <v>0</v>
      </c>
      <c r="Z2813" t="str">
        <f>IF($A2="","",IF(COUNTIF('07_Pallet_Contents'!$A$2:$A$3000,$A2)&gt;0,"Yes",""))</f>
        <v/>
      </c>
    </row>
    <row r="2814" spans="23:26">
      <c r="W2814">
        <f>IF($A2="","",COUNTIF('07_Pallet_Contents'!$A$2:$A$3000,$A2))</f>
        <v>0</v>
      </c>
      <c r="X2814">
        <f>IF($A2="","",SUMIF('07_Pallet_Contents'!$A$2:$A$3000,$A2,'07_Pallet_Contents'!$D$2:$D$3000))</f>
        <v>0</v>
      </c>
      <c r="Y2814">
        <f>IF($A2="","",SUMIF('07_Pallet_Contents'!$A$2:$A$3000,$A2,'07_Pallet_Contents'!$I$2:$I$3000))</f>
        <v>0</v>
      </c>
      <c r="Z2814" t="str">
        <f>IF($A2="","",IF(COUNTIF('07_Pallet_Contents'!$A$2:$A$3000,$A2)&gt;0,"Yes",""))</f>
        <v/>
      </c>
    </row>
    <row r="2815" spans="23:26">
      <c r="W2815">
        <f>IF($A2="","",COUNTIF('07_Pallet_Contents'!$A$2:$A$3000,$A2))</f>
        <v>0</v>
      </c>
      <c r="X2815">
        <f>IF($A2="","",SUMIF('07_Pallet_Contents'!$A$2:$A$3000,$A2,'07_Pallet_Contents'!$D$2:$D$3000))</f>
        <v>0</v>
      </c>
      <c r="Y2815">
        <f>IF($A2="","",SUMIF('07_Pallet_Contents'!$A$2:$A$3000,$A2,'07_Pallet_Contents'!$I$2:$I$3000))</f>
        <v>0</v>
      </c>
      <c r="Z2815" t="str">
        <f>IF($A2="","",IF(COUNTIF('07_Pallet_Contents'!$A$2:$A$3000,$A2)&gt;0,"Yes",""))</f>
        <v/>
      </c>
    </row>
    <row r="2816" spans="23:26">
      <c r="W2816">
        <f>IF($A2="","",COUNTIF('07_Pallet_Contents'!$A$2:$A$3000,$A2))</f>
        <v>0</v>
      </c>
      <c r="X2816">
        <f>IF($A2="","",SUMIF('07_Pallet_Contents'!$A$2:$A$3000,$A2,'07_Pallet_Contents'!$D$2:$D$3000))</f>
        <v>0</v>
      </c>
      <c r="Y2816">
        <f>IF($A2="","",SUMIF('07_Pallet_Contents'!$A$2:$A$3000,$A2,'07_Pallet_Contents'!$I$2:$I$3000))</f>
        <v>0</v>
      </c>
      <c r="Z2816" t="str">
        <f>IF($A2="","",IF(COUNTIF('07_Pallet_Contents'!$A$2:$A$3000,$A2)&gt;0,"Yes",""))</f>
        <v/>
      </c>
    </row>
    <row r="2817" spans="23:26">
      <c r="W2817">
        <f>IF($A2="","",COUNTIF('07_Pallet_Contents'!$A$2:$A$3000,$A2))</f>
        <v>0</v>
      </c>
      <c r="X2817">
        <f>IF($A2="","",SUMIF('07_Pallet_Contents'!$A$2:$A$3000,$A2,'07_Pallet_Contents'!$D$2:$D$3000))</f>
        <v>0</v>
      </c>
      <c r="Y2817">
        <f>IF($A2="","",SUMIF('07_Pallet_Contents'!$A$2:$A$3000,$A2,'07_Pallet_Contents'!$I$2:$I$3000))</f>
        <v>0</v>
      </c>
      <c r="Z2817" t="str">
        <f>IF($A2="","",IF(COUNTIF('07_Pallet_Contents'!$A$2:$A$3000,$A2)&gt;0,"Yes",""))</f>
        <v/>
      </c>
    </row>
    <row r="2818" spans="23:26">
      <c r="W2818">
        <f>IF($A2="","",COUNTIF('07_Pallet_Contents'!$A$2:$A$3000,$A2))</f>
        <v>0</v>
      </c>
      <c r="X2818">
        <f>IF($A2="","",SUMIF('07_Pallet_Contents'!$A$2:$A$3000,$A2,'07_Pallet_Contents'!$D$2:$D$3000))</f>
        <v>0</v>
      </c>
      <c r="Y2818">
        <f>IF($A2="","",SUMIF('07_Pallet_Contents'!$A$2:$A$3000,$A2,'07_Pallet_Contents'!$I$2:$I$3000))</f>
        <v>0</v>
      </c>
      <c r="Z2818" t="str">
        <f>IF($A2="","",IF(COUNTIF('07_Pallet_Contents'!$A$2:$A$3000,$A2)&gt;0,"Yes",""))</f>
        <v/>
      </c>
    </row>
    <row r="2819" spans="23:26">
      <c r="W2819">
        <f>IF($A2="","",COUNTIF('07_Pallet_Contents'!$A$2:$A$3000,$A2))</f>
        <v>0</v>
      </c>
      <c r="X2819">
        <f>IF($A2="","",SUMIF('07_Pallet_Contents'!$A$2:$A$3000,$A2,'07_Pallet_Contents'!$D$2:$D$3000))</f>
        <v>0</v>
      </c>
      <c r="Y2819">
        <f>IF($A2="","",SUMIF('07_Pallet_Contents'!$A$2:$A$3000,$A2,'07_Pallet_Contents'!$I$2:$I$3000))</f>
        <v>0</v>
      </c>
      <c r="Z2819" t="str">
        <f>IF($A2="","",IF(COUNTIF('07_Pallet_Contents'!$A$2:$A$3000,$A2)&gt;0,"Yes",""))</f>
        <v/>
      </c>
    </row>
    <row r="2820" spans="23:26">
      <c r="W2820">
        <f>IF($A2="","",COUNTIF('07_Pallet_Contents'!$A$2:$A$3000,$A2))</f>
        <v>0</v>
      </c>
      <c r="X2820">
        <f>IF($A2="","",SUMIF('07_Pallet_Contents'!$A$2:$A$3000,$A2,'07_Pallet_Contents'!$D$2:$D$3000))</f>
        <v>0</v>
      </c>
      <c r="Y2820">
        <f>IF($A2="","",SUMIF('07_Pallet_Contents'!$A$2:$A$3000,$A2,'07_Pallet_Contents'!$I$2:$I$3000))</f>
        <v>0</v>
      </c>
      <c r="Z2820" t="str">
        <f>IF($A2="","",IF(COUNTIF('07_Pallet_Contents'!$A$2:$A$3000,$A2)&gt;0,"Yes",""))</f>
        <v/>
      </c>
    </row>
    <row r="2821" spans="23:26">
      <c r="W2821">
        <f>IF($A2="","",COUNTIF('07_Pallet_Contents'!$A$2:$A$3000,$A2))</f>
        <v>0</v>
      </c>
      <c r="X2821">
        <f>IF($A2="","",SUMIF('07_Pallet_Contents'!$A$2:$A$3000,$A2,'07_Pallet_Contents'!$D$2:$D$3000))</f>
        <v>0</v>
      </c>
      <c r="Y2821">
        <f>IF($A2="","",SUMIF('07_Pallet_Contents'!$A$2:$A$3000,$A2,'07_Pallet_Contents'!$I$2:$I$3000))</f>
        <v>0</v>
      </c>
      <c r="Z2821" t="str">
        <f>IF($A2="","",IF(COUNTIF('07_Pallet_Contents'!$A$2:$A$3000,$A2)&gt;0,"Yes",""))</f>
        <v/>
      </c>
    </row>
    <row r="2822" spans="23:26">
      <c r="W2822">
        <f>IF($A2="","",COUNTIF('07_Pallet_Contents'!$A$2:$A$3000,$A2))</f>
        <v>0</v>
      </c>
      <c r="X2822">
        <f>IF($A2="","",SUMIF('07_Pallet_Contents'!$A$2:$A$3000,$A2,'07_Pallet_Contents'!$D$2:$D$3000))</f>
        <v>0</v>
      </c>
      <c r="Y2822">
        <f>IF($A2="","",SUMIF('07_Pallet_Contents'!$A$2:$A$3000,$A2,'07_Pallet_Contents'!$I$2:$I$3000))</f>
        <v>0</v>
      </c>
      <c r="Z2822" t="str">
        <f>IF($A2="","",IF(COUNTIF('07_Pallet_Contents'!$A$2:$A$3000,$A2)&gt;0,"Yes",""))</f>
        <v/>
      </c>
    </row>
    <row r="2823" spans="23:26">
      <c r="W2823">
        <f>IF($A2="","",COUNTIF('07_Pallet_Contents'!$A$2:$A$3000,$A2))</f>
        <v>0</v>
      </c>
      <c r="X2823">
        <f>IF($A2="","",SUMIF('07_Pallet_Contents'!$A$2:$A$3000,$A2,'07_Pallet_Contents'!$D$2:$D$3000))</f>
        <v>0</v>
      </c>
      <c r="Y2823">
        <f>IF($A2="","",SUMIF('07_Pallet_Contents'!$A$2:$A$3000,$A2,'07_Pallet_Contents'!$I$2:$I$3000))</f>
        <v>0</v>
      </c>
      <c r="Z2823" t="str">
        <f>IF($A2="","",IF(COUNTIF('07_Pallet_Contents'!$A$2:$A$3000,$A2)&gt;0,"Yes",""))</f>
        <v/>
      </c>
    </row>
    <row r="2824" spans="23:26">
      <c r="W2824">
        <f>IF($A2="","",COUNTIF('07_Pallet_Contents'!$A$2:$A$3000,$A2))</f>
        <v>0</v>
      </c>
      <c r="X2824">
        <f>IF($A2="","",SUMIF('07_Pallet_Contents'!$A$2:$A$3000,$A2,'07_Pallet_Contents'!$D$2:$D$3000))</f>
        <v>0</v>
      </c>
      <c r="Y2824">
        <f>IF($A2="","",SUMIF('07_Pallet_Contents'!$A$2:$A$3000,$A2,'07_Pallet_Contents'!$I$2:$I$3000))</f>
        <v>0</v>
      </c>
      <c r="Z2824" t="str">
        <f>IF($A2="","",IF(COUNTIF('07_Pallet_Contents'!$A$2:$A$3000,$A2)&gt;0,"Yes",""))</f>
        <v/>
      </c>
    </row>
    <row r="2825" spans="23:26">
      <c r="W2825">
        <f>IF($A2="","",COUNTIF('07_Pallet_Contents'!$A$2:$A$3000,$A2))</f>
        <v>0</v>
      </c>
      <c r="X2825">
        <f>IF($A2="","",SUMIF('07_Pallet_Contents'!$A$2:$A$3000,$A2,'07_Pallet_Contents'!$D$2:$D$3000))</f>
        <v>0</v>
      </c>
      <c r="Y2825">
        <f>IF($A2="","",SUMIF('07_Pallet_Contents'!$A$2:$A$3000,$A2,'07_Pallet_Contents'!$I$2:$I$3000))</f>
        <v>0</v>
      </c>
      <c r="Z2825" t="str">
        <f>IF($A2="","",IF(COUNTIF('07_Pallet_Contents'!$A$2:$A$3000,$A2)&gt;0,"Yes",""))</f>
        <v/>
      </c>
    </row>
    <row r="2826" spans="23:26">
      <c r="W2826">
        <f>IF($A2="","",COUNTIF('07_Pallet_Contents'!$A$2:$A$3000,$A2))</f>
        <v>0</v>
      </c>
      <c r="X2826">
        <f>IF($A2="","",SUMIF('07_Pallet_Contents'!$A$2:$A$3000,$A2,'07_Pallet_Contents'!$D$2:$D$3000))</f>
        <v>0</v>
      </c>
      <c r="Y2826">
        <f>IF($A2="","",SUMIF('07_Pallet_Contents'!$A$2:$A$3000,$A2,'07_Pallet_Contents'!$I$2:$I$3000))</f>
        <v>0</v>
      </c>
      <c r="Z2826" t="str">
        <f>IF($A2="","",IF(COUNTIF('07_Pallet_Contents'!$A$2:$A$3000,$A2)&gt;0,"Yes",""))</f>
        <v/>
      </c>
    </row>
    <row r="2827" spans="23:26">
      <c r="W2827">
        <f>IF($A2="","",COUNTIF('07_Pallet_Contents'!$A$2:$A$3000,$A2))</f>
        <v>0</v>
      </c>
      <c r="X2827">
        <f>IF($A2="","",SUMIF('07_Pallet_Contents'!$A$2:$A$3000,$A2,'07_Pallet_Contents'!$D$2:$D$3000))</f>
        <v>0</v>
      </c>
      <c r="Y2827">
        <f>IF($A2="","",SUMIF('07_Pallet_Contents'!$A$2:$A$3000,$A2,'07_Pallet_Contents'!$I$2:$I$3000))</f>
        <v>0</v>
      </c>
      <c r="Z2827" t="str">
        <f>IF($A2="","",IF(COUNTIF('07_Pallet_Contents'!$A$2:$A$3000,$A2)&gt;0,"Yes",""))</f>
        <v/>
      </c>
    </row>
    <row r="2828" spans="23:26">
      <c r="W2828">
        <f>IF($A2="","",COUNTIF('07_Pallet_Contents'!$A$2:$A$3000,$A2))</f>
        <v>0</v>
      </c>
      <c r="X2828">
        <f>IF($A2="","",SUMIF('07_Pallet_Contents'!$A$2:$A$3000,$A2,'07_Pallet_Contents'!$D$2:$D$3000))</f>
        <v>0</v>
      </c>
      <c r="Y2828">
        <f>IF($A2="","",SUMIF('07_Pallet_Contents'!$A$2:$A$3000,$A2,'07_Pallet_Contents'!$I$2:$I$3000))</f>
        <v>0</v>
      </c>
      <c r="Z2828" t="str">
        <f>IF($A2="","",IF(COUNTIF('07_Pallet_Contents'!$A$2:$A$3000,$A2)&gt;0,"Yes",""))</f>
        <v/>
      </c>
    </row>
    <row r="2829" spans="23:26">
      <c r="W2829">
        <f>IF($A2="","",COUNTIF('07_Pallet_Contents'!$A$2:$A$3000,$A2))</f>
        <v>0</v>
      </c>
      <c r="X2829">
        <f>IF($A2="","",SUMIF('07_Pallet_Contents'!$A$2:$A$3000,$A2,'07_Pallet_Contents'!$D$2:$D$3000))</f>
        <v>0</v>
      </c>
      <c r="Y2829">
        <f>IF($A2="","",SUMIF('07_Pallet_Contents'!$A$2:$A$3000,$A2,'07_Pallet_Contents'!$I$2:$I$3000))</f>
        <v>0</v>
      </c>
      <c r="Z2829" t="str">
        <f>IF($A2="","",IF(COUNTIF('07_Pallet_Contents'!$A$2:$A$3000,$A2)&gt;0,"Yes",""))</f>
        <v/>
      </c>
    </row>
    <row r="2830" spans="23:26">
      <c r="W2830">
        <f>IF($A2="","",COUNTIF('07_Pallet_Contents'!$A$2:$A$3000,$A2))</f>
        <v>0</v>
      </c>
      <c r="X2830">
        <f>IF($A2="","",SUMIF('07_Pallet_Contents'!$A$2:$A$3000,$A2,'07_Pallet_Contents'!$D$2:$D$3000))</f>
        <v>0</v>
      </c>
      <c r="Y2830">
        <f>IF($A2="","",SUMIF('07_Pallet_Contents'!$A$2:$A$3000,$A2,'07_Pallet_Contents'!$I$2:$I$3000))</f>
        <v>0</v>
      </c>
      <c r="Z2830" t="str">
        <f>IF($A2="","",IF(COUNTIF('07_Pallet_Contents'!$A$2:$A$3000,$A2)&gt;0,"Yes",""))</f>
        <v/>
      </c>
    </row>
    <row r="2831" spans="23:26">
      <c r="W2831">
        <f>IF($A2="","",COUNTIF('07_Pallet_Contents'!$A$2:$A$3000,$A2))</f>
        <v>0</v>
      </c>
      <c r="X2831">
        <f>IF($A2="","",SUMIF('07_Pallet_Contents'!$A$2:$A$3000,$A2,'07_Pallet_Contents'!$D$2:$D$3000))</f>
        <v>0</v>
      </c>
      <c r="Y2831">
        <f>IF($A2="","",SUMIF('07_Pallet_Contents'!$A$2:$A$3000,$A2,'07_Pallet_Contents'!$I$2:$I$3000))</f>
        <v>0</v>
      </c>
      <c r="Z2831" t="str">
        <f>IF($A2="","",IF(COUNTIF('07_Pallet_Contents'!$A$2:$A$3000,$A2)&gt;0,"Yes",""))</f>
        <v/>
      </c>
    </row>
    <row r="2832" spans="23:26">
      <c r="W2832">
        <f>IF($A2="","",COUNTIF('07_Pallet_Contents'!$A$2:$A$3000,$A2))</f>
        <v>0</v>
      </c>
      <c r="X2832">
        <f>IF($A2="","",SUMIF('07_Pallet_Contents'!$A$2:$A$3000,$A2,'07_Pallet_Contents'!$D$2:$D$3000))</f>
        <v>0</v>
      </c>
      <c r="Y2832">
        <f>IF($A2="","",SUMIF('07_Pallet_Contents'!$A$2:$A$3000,$A2,'07_Pallet_Contents'!$I$2:$I$3000))</f>
        <v>0</v>
      </c>
      <c r="Z2832" t="str">
        <f>IF($A2="","",IF(COUNTIF('07_Pallet_Contents'!$A$2:$A$3000,$A2)&gt;0,"Yes",""))</f>
        <v/>
      </c>
    </row>
    <row r="2833" spans="23:26">
      <c r="W2833">
        <f>IF($A2="","",COUNTIF('07_Pallet_Contents'!$A$2:$A$3000,$A2))</f>
        <v>0</v>
      </c>
      <c r="X2833">
        <f>IF($A2="","",SUMIF('07_Pallet_Contents'!$A$2:$A$3000,$A2,'07_Pallet_Contents'!$D$2:$D$3000))</f>
        <v>0</v>
      </c>
      <c r="Y2833">
        <f>IF($A2="","",SUMIF('07_Pallet_Contents'!$A$2:$A$3000,$A2,'07_Pallet_Contents'!$I$2:$I$3000))</f>
        <v>0</v>
      </c>
      <c r="Z2833" t="str">
        <f>IF($A2="","",IF(COUNTIF('07_Pallet_Contents'!$A$2:$A$3000,$A2)&gt;0,"Yes",""))</f>
        <v/>
      </c>
    </row>
    <row r="2834" spans="23:26">
      <c r="W2834">
        <f>IF($A2="","",COUNTIF('07_Pallet_Contents'!$A$2:$A$3000,$A2))</f>
        <v>0</v>
      </c>
      <c r="X2834">
        <f>IF($A2="","",SUMIF('07_Pallet_Contents'!$A$2:$A$3000,$A2,'07_Pallet_Contents'!$D$2:$D$3000))</f>
        <v>0</v>
      </c>
      <c r="Y2834">
        <f>IF($A2="","",SUMIF('07_Pallet_Contents'!$A$2:$A$3000,$A2,'07_Pallet_Contents'!$I$2:$I$3000))</f>
        <v>0</v>
      </c>
      <c r="Z2834" t="str">
        <f>IF($A2="","",IF(COUNTIF('07_Pallet_Contents'!$A$2:$A$3000,$A2)&gt;0,"Yes",""))</f>
        <v/>
      </c>
    </row>
    <row r="2835" spans="23:26">
      <c r="W2835">
        <f>IF($A2="","",COUNTIF('07_Pallet_Contents'!$A$2:$A$3000,$A2))</f>
        <v>0</v>
      </c>
      <c r="X2835">
        <f>IF($A2="","",SUMIF('07_Pallet_Contents'!$A$2:$A$3000,$A2,'07_Pallet_Contents'!$D$2:$D$3000))</f>
        <v>0</v>
      </c>
      <c r="Y2835">
        <f>IF($A2="","",SUMIF('07_Pallet_Contents'!$A$2:$A$3000,$A2,'07_Pallet_Contents'!$I$2:$I$3000))</f>
        <v>0</v>
      </c>
      <c r="Z2835" t="str">
        <f>IF($A2="","",IF(COUNTIF('07_Pallet_Contents'!$A$2:$A$3000,$A2)&gt;0,"Yes",""))</f>
        <v/>
      </c>
    </row>
    <row r="2836" spans="23:26">
      <c r="W2836">
        <f>IF($A2="","",COUNTIF('07_Pallet_Contents'!$A$2:$A$3000,$A2))</f>
        <v>0</v>
      </c>
      <c r="X2836">
        <f>IF($A2="","",SUMIF('07_Pallet_Contents'!$A$2:$A$3000,$A2,'07_Pallet_Contents'!$D$2:$D$3000))</f>
        <v>0</v>
      </c>
      <c r="Y2836">
        <f>IF($A2="","",SUMIF('07_Pallet_Contents'!$A$2:$A$3000,$A2,'07_Pallet_Contents'!$I$2:$I$3000))</f>
        <v>0</v>
      </c>
      <c r="Z2836" t="str">
        <f>IF($A2="","",IF(COUNTIF('07_Pallet_Contents'!$A$2:$A$3000,$A2)&gt;0,"Yes",""))</f>
        <v/>
      </c>
    </row>
    <row r="2837" spans="23:26">
      <c r="W2837">
        <f>IF($A2="","",COUNTIF('07_Pallet_Contents'!$A$2:$A$3000,$A2))</f>
        <v>0</v>
      </c>
      <c r="X2837">
        <f>IF($A2="","",SUMIF('07_Pallet_Contents'!$A$2:$A$3000,$A2,'07_Pallet_Contents'!$D$2:$D$3000))</f>
        <v>0</v>
      </c>
      <c r="Y2837">
        <f>IF($A2="","",SUMIF('07_Pallet_Contents'!$A$2:$A$3000,$A2,'07_Pallet_Contents'!$I$2:$I$3000))</f>
        <v>0</v>
      </c>
      <c r="Z2837" t="str">
        <f>IF($A2="","",IF(COUNTIF('07_Pallet_Contents'!$A$2:$A$3000,$A2)&gt;0,"Yes",""))</f>
        <v/>
      </c>
    </row>
    <row r="2838" spans="23:26">
      <c r="W2838">
        <f>IF($A2="","",COUNTIF('07_Pallet_Contents'!$A$2:$A$3000,$A2))</f>
        <v>0</v>
      </c>
      <c r="X2838">
        <f>IF($A2="","",SUMIF('07_Pallet_Contents'!$A$2:$A$3000,$A2,'07_Pallet_Contents'!$D$2:$D$3000))</f>
        <v>0</v>
      </c>
      <c r="Y2838">
        <f>IF($A2="","",SUMIF('07_Pallet_Contents'!$A$2:$A$3000,$A2,'07_Pallet_Contents'!$I$2:$I$3000))</f>
        <v>0</v>
      </c>
      <c r="Z2838" t="str">
        <f>IF($A2="","",IF(COUNTIF('07_Pallet_Contents'!$A$2:$A$3000,$A2)&gt;0,"Yes",""))</f>
        <v/>
      </c>
    </row>
    <row r="2839" spans="23:26">
      <c r="W2839">
        <f>IF($A2="","",COUNTIF('07_Pallet_Contents'!$A$2:$A$3000,$A2))</f>
        <v>0</v>
      </c>
      <c r="X2839">
        <f>IF($A2="","",SUMIF('07_Pallet_Contents'!$A$2:$A$3000,$A2,'07_Pallet_Contents'!$D$2:$D$3000))</f>
        <v>0</v>
      </c>
      <c r="Y2839">
        <f>IF($A2="","",SUMIF('07_Pallet_Contents'!$A$2:$A$3000,$A2,'07_Pallet_Contents'!$I$2:$I$3000))</f>
        <v>0</v>
      </c>
      <c r="Z2839" t="str">
        <f>IF($A2="","",IF(COUNTIF('07_Pallet_Contents'!$A$2:$A$3000,$A2)&gt;0,"Yes",""))</f>
        <v/>
      </c>
    </row>
    <row r="2840" spans="23:26">
      <c r="W2840">
        <f>IF($A2="","",COUNTIF('07_Pallet_Contents'!$A$2:$A$3000,$A2))</f>
        <v>0</v>
      </c>
      <c r="X2840">
        <f>IF($A2="","",SUMIF('07_Pallet_Contents'!$A$2:$A$3000,$A2,'07_Pallet_Contents'!$D$2:$D$3000))</f>
        <v>0</v>
      </c>
      <c r="Y2840">
        <f>IF($A2="","",SUMIF('07_Pallet_Contents'!$A$2:$A$3000,$A2,'07_Pallet_Contents'!$I$2:$I$3000))</f>
        <v>0</v>
      </c>
      <c r="Z2840" t="str">
        <f>IF($A2="","",IF(COUNTIF('07_Pallet_Contents'!$A$2:$A$3000,$A2)&gt;0,"Yes",""))</f>
        <v/>
      </c>
    </row>
    <row r="2841" spans="23:26">
      <c r="W2841">
        <f>IF($A2="","",COUNTIF('07_Pallet_Contents'!$A$2:$A$3000,$A2))</f>
        <v>0</v>
      </c>
      <c r="X2841">
        <f>IF($A2="","",SUMIF('07_Pallet_Contents'!$A$2:$A$3000,$A2,'07_Pallet_Contents'!$D$2:$D$3000))</f>
        <v>0</v>
      </c>
      <c r="Y2841">
        <f>IF($A2="","",SUMIF('07_Pallet_Contents'!$A$2:$A$3000,$A2,'07_Pallet_Contents'!$I$2:$I$3000))</f>
        <v>0</v>
      </c>
      <c r="Z2841" t="str">
        <f>IF($A2="","",IF(COUNTIF('07_Pallet_Contents'!$A$2:$A$3000,$A2)&gt;0,"Yes",""))</f>
        <v/>
      </c>
    </row>
    <row r="2842" spans="23:26">
      <c r="W2842">
        <f>IF($A2="","",COUNTIF('07_Pallet_Contents'!$A$2:$A$3000,$A2))</f>
        <v>0</v>
      </c>
      <c r="X2842">
        <f>IF($A2="","",SUMIF('07_Pallet_Contents'!$A$2:$A$3000,$A2,'07_Pallet_Contents'!$D$2:$D$3000))</f>
        <v>0</v>
      </c>
      <c r="Y2842">
        <f>IF($A2="","",SUMIF('07_Pallet_Contents'!$A$2:$A$3000,$A2,'07_Pallet_Contents'!$I$2:$I$3000))</f>
        <v>0</v>
      </c>
      <c r="Z2842" t="str">
        <f>IF($A2="","",IF(COUNTIF('07_Pallet_Contents'!$A$2:$A$3000,$A2)&gt;0,"Yes",""))</f>
        <v/>
      </c>
    </row>
    <row r="2843" spans="23:26">
      <c r="W2843">
        <f>IF($A2="","",COUNTIF('07_Pallet_Contents'!$A$2:$A$3000,$A2))</f>
        <v>0</v>
      </c>
      <c r="X2843">
        <f>IF($A2="","",SUMIF('07_Pallet_Contents'!$A$2:$A$3000,$A2,'07_Pallet_Contents'!$D$2:$D$3000))</f>
        <v>0</v>
      </c>
      <c r="Y2843">
        <f>IF($A2="","",SUMIF('07_Pallet_Contents'!$A$2:$A$3000,$A2,'07_Pallet_Contents'!$I$2:$I$3000))</f>
        <v>0</v>
      </c>
      <c r="Z2843" t="str">
        <f>IF($A2="","",IF(COUNTIF('07_Pallet_Contents'!$A$2:$A$3000,$A2)&gt;0,"Yes",""))</f>
        <v/>
      </c>
    </row>
    <row r="2844" spans="23:26">
      <c r="W2844">
        <f>IF($A2="","",COUNTIF('07_Pallet_Contents'!$A$2:$A$3000,$A2))</f>
        <v>0</v>
      </c>
      <c r="X2844">
        <f>IF($A2="","",SUMIF('07_Pallet_Contents'!$A$2:$A$3000,$A2,'07_Pallet_Contents'!$D$2:$D$3000))</f>
        <v>0</v>
      </c>
      <c r="Y2844">
        <f>IF($A2="","",SUMIF('07_Pallet_Contents'!$A$2:$A$3000,$A2,'07_Pallet_Contents'!$I$2:$I$3000))</f>
        <v>0</v>
      </c>
      <c r="Z2844" t="str">
        <f>IF($A2="","",IF(COUNTIF('07_Pallet_Contents'!$A$2:$A$3000,$A2)&gt;0,"Yes",""))</f>
        <v/>
      </c>
    </row>
    <row r="2845" spans="23:26">
      <c r="W2845">
        <f>IF($A2="","",COUNTIF('07_Pallet_Contents'!$A$2:$A$3000,$A2))</f>
        <v>0</v>
      </c>
      <c r="X2845">
        <f>IF($A2="","",SUMIF('07_Pallet_Contents'!$A$2:$A$3000,$A2,'07_Pallet_Contents'!$D$2:$D$3000))</f>
        <v>0</v>
      </c>
      <c r="Y2845">
        <f>IF($A2="","",SUMIF('07_Pallet_Contents'!$A$2:$A$3000,$A2,'07_Pallet_Contents'!$I$2:$I$3000))</f>
        <v>0</v>
      </c>
      <c r="Z2845" t="str">
        <f>IF($A2="","",IF(COUNTIF('07_Pallet_Contents'!$A$2:$A$3000,$A2)&gt;0,"Yes",""))</f>
        <v/>
      </c>
    </row>
    <row r="2846" spans="23:26">
      <c r="W2846">
        <f>IF($A2="","",COUNTIF('07_Pallet_Contents'!$A$2:$A$3000,$A2))</f>
        <v>0</v>
      </c>
      <c r="X2846">
        <f>IF($A2="","",SUMIF('07_Pallet_Contents'!$A$2:$A$3000,$A2,'07_Pallet_Contents'!$D$2:$D$3000))</f>
        <v>0</v>
      </c>
      <c r="Y2846">
        <f>IF($A2="","",SUMIF('07_Pallet_Contents'!$A$2:$A$3000,$A2,'07_Pallet_Contents'!$I$2:$I$3000))</f>
        <v>0</v>
      </c>
      <c r="Z2846" t="str">
        <f>IF($A2="","",IF(COUNTIF('07_Pallet_Contents'!$A$2:$A$3000,$A2)&gt;0,"Yes",""))</f>
        <v/>
      </c>
    </row>
    <row r="2847" spans="23:26">
      <c r="W2847">
        <f>IF($A2="","",COUNTIF('07_Pallet_Contents'!$A$2:$A$3000,$A2))</f>
        <v>0</v>
      </c>
      <c r="X2847">
        <f>IF($A2="","",SUMIF('07_Pallet_Contents'!$A$2:$A$3000,$A2,'07_Pallet_Contents'!$D$2:$D$3000))</f>
        <v>0</v>
      </c>
      <c r="Y2847">
        <f>IF($A2="","",SUMIF('07_Pallet_Contents'!$A$2:$A$3000,$A2,'07_Pallet_Contents'!$I$2:$I$3000))</f>
        <v>0</v>
      </c>
      <c r="Z2847" t="str">
        <f>IF($A2="","",IF(COUNTIF('07_Pallet_Contents'!$A$2:$A$3000,$A2)&gt;0,"Yes",""))</f>
        <v/>
      </c>
    </row>
    <row r="2848" spans="23:26">
      <c r="W2848">
        <f>IF($A2="","",COUNTIF('07_Pallet_Contents'!$A$2:$A$3000,$A2))</f>
        <v>0</v>
      </c>
      <c r="X2848">
        <f>IF($A2="","",SUMIF('07_Pallet_Contents'!$A$2:$A$3000,$A2,'07_Pallet_Contents'!$D$2:$D$3000))</f>
        <v>0</v>
      </c>
      <c r="Y2848">
        <f>IF($A2="","",SUMIF('07_Pallet_Contents'!$A$2:$A$3000,$A2,'07_Pallet_Contents'!$I$2:$I$3000))</f>
        <v>0</v>
      </c>
      <c r="Z2848" t="str">
        <f>IF($A2="","",IF(COUNTIF('07_Pallet_Contents'!$A$2:$A$3000,$A2)&gt;0,"Yes",""))</f>
        <v/>
      </c>
    </row>
    <row r="2849" spans="23:26">
      <c r="W2849">
        <f>IF($A2="","",COUNTIF('07_Pallet_Contents'!$A$2:$A$3000,$A2))</f>
        <v>0</v>
      </c>
      <c r="X2849">
        <f>IF($A2="","",SUMIF('07_Pallet_Contents'!$A$2:$A$3000,$A2,'07_Pallet_Contents'!$D$2:$D$3000))</f>
        <v>0</v>
      </c>
      <c r="Y2849">
        <f>IF($A2="","",SUMIF('07_Pallet_Contents'!$A$2:$A$3000,$A2,'07_Pallet_Contents'!$I$2:$I$3000))</f>
        <v>0</v>
      </c>
      <c r="Z2849" t="str">
        <f>IF($A2="","",IF(COUNTIF('07_Pallet_Contents'!$A$2:$A$3000,$A2)&gt;0,"Yes",""))</f>
        <v/>
      </c>
    </row>
    <row r="2850" spans="23:26">
      <c r="W2850">
        <f>IF($A2="","",COUNTIF('07_Pallet_Contents'!$A$2:$A$3000,$A2))</f>
        <v>0</v>
      </c>
      <c r="X2850">
        <f>IF($A2="","",SUMIF('07_Pallet_Contents'!$A$2:$A$3000,$A2,'07_Pallet_Contents'!$D$2:$D$3000))</f>
        <v>0</v>
      </c>
      <c r="Y2850">
        <f>IF($A2="","",SUMIF('07_Pallet_Contents'!$A$2:$A$3000,$A2,'07_Pallet_Contents'!$I$2:$I$3000))</f>
        <v>0</v>
      </c>
      <c r="Z2850" t="str">
        <f>IF($A2="","",IF(COUNTIF('07_Pallet_Contents'!$A$2:$A$3000,$A2)&gt;0,"Yes",""))</f>
        <v/>
      </c>
    </row>
    <row r="2851" spans="23:26">
      <c r="W2851">
        <f>IF($A2="","",COUNTIF('07_Pallet_Contents'!$A$2:$A$3000,$A2))</f>
        <v>0</v>
      </c>
      <c r="X2851">
        <f>IF($A2="","",SUMIF('07_Pallet_Contents'!$A$2:$A$3000,$A2,'07_Pallet_Contents'!$D$2:$D$3000))</f>
        <v>0</v>
      </c>
      <c r="Y2851">
        <f>IF($A2="","",SUMIF('07_Pallet_Contents'!$A$2:$A$3000,$A2,'07_Pallet_Contents'!$I$2:$I$3000))</f>
        <v>0</v>
      </c>
      <c r="Z2851" t="str">
        <f>IF($A2="","",IF(COUNTIF('07_Pallet_Contents'!$A$2:$A$3000,$A2)&gt;0,"Yes",""))</f>
        <v/>
      </c>
    </row>
    <row r="2852" spans="23:26">
      <c r="W2852">
        <f>IF($A2="","",COUNTIF('07_Pallet_Contents'!$A$2:$A$3000,$A2))</f>
        <v>0</v>
      </c>
      <c r="X2852">
        <f>IF($A2="","",SUMIF('07_Pallet_Contents'!$A$2:$A$3000,$A2,'07_Pallet_Contents'!$D$2:$D$3000))</f>
        <v>0</v>
      </c>
      <c r="Y2852">
        <f>IF($A2="","",SUMIF('07_Pallet_Contents'!$A$2:$A$3000,$A2,'07_Pallet_Contents'!$I$2:$I$3000))</f>
        <v>0</v>
      </c>
      <c r="Z2852" t="str">
        <f>IF($A2="","",IF(COUNTIF('07_Pallet_Contents'!$A$2:$A$3000,$A2)&gt;0,"Yes",""))</f>
        <v/>
      </c>
    </row>
    <row r="2853" spans="23:26">
      <c r="W2853">
        <f>IF($A2="","",COUNTIF('07_Pallet_Contents'!$A$2:$A$3000,$A2))</f>
        <v>0</v>
      </c>
      <c r="X2853">
        <f>IF($A2="","",SUMIF('07_Pallet_Contents'!$A$2:$A$3000,$A2,'07_Pallet_Contents'!$D$2:$D$3000))</f>
        <v>0</v>
      </c>
      <c r="Y2853">
        <f>IF($A2="","",SUMIF('07_Pallet_Contents'!$A$2:$A$3000,$A2,'07_Pallet_Contents'!$I$2:$I$3000))</f>
        <v>0</v>
      </c>
      <c r="Z2853" t="str">
        <f>IF($A2="","",IF(COUNTIF('07_Pallet_Contents'!$A$2:$A$3000,$A2)&gt;0,"Yes",""))</f>
        <v/>
      </c>
    </row>
    <row r="2854" spans="23:26">
      <c r="W2854">
        <f>IF($A2="","",COUNTIF('07_Pallet_Contents'!$A$2:$A$3000,$A2))</f>
        <v>0</v>
      </c>
      <c r="X2854">
        <f>IF($A2="","",SUMIF('07_Pallet_Contents'!$A$2:$A$3000,$A2,'07_Pallet_Contents'!$D$2:$D$3000))</f>
        <v>0</v>
      </c>
      <c r="Y2854">
        <f>IF($A2="","",SUMIF('07_Pallet_Contents'!$A$2:$A$3000,$A2,'07_Pallet_Contents'!$I$2:$I$3000))</f>
        <v>0</v>
      </c>
      <c r="Z2854" t="str">
        <f>IF($A2="","",IF(COUNTIF('07_Pallet_Contents'!$A$2:$A$3000,$A2)&gt;0,"Yes",""))</f>
        <v/>
      </c>
    </row>
    <row r="2855" spans="23:26">
      <c r="W2855">
        <f>IF($A2="","",COUNTIF('07_Pallet_Contents'!$A$2:$A$3000,$A2))</f>
        <v>0</v>
      </c>
      <c r="X2855">
        <f>IF($A2="","",SUMIF('07_Pallet_Contents'!$A$2:$A$3000,$A2,'07_Pallet_Contents'!$D$2:$D$3000))</f>
        <v>0</v>
      </c>
      <c r="Y2855">
        <f>IF($A2="","",SUMIF('07_Pallet_Contents'!$A$2:$A$3000,$A2,'07_Pallet_Contents'!$I$2:$I$3000))</f>
        <v>0</v>
      </c>
      <c r="Z2855" t="str">
        <f>IF($A2="","",IF(COUNTIF('07_Pallet_Contents'!$A$2:$A$3000,$A2)&gt;0,"Yes",""))</f>
        <v/>
      </c>
    </row>
    <row r="2856" spans="23:26">
      <c r="W2856">
        <f>IF($A2="","",COUNTIF('07_Pallet_Contents'!$A$2:$A$3000,$A2))</f>
        <v>0</v>
      </c>
      <c r="X2856">
        <f>IF($A2="","",SUMIF('07_Pallet_Contents'!$A$2:$A$3000,$A2,'07_Pallet_Contents'!$D$2:$D$3000))</f>
        <v>0</v>
      </c>
      <c r="Y2856">
        <f>IF($A2="","",SUMIF('07_Pallet_Contents'!$A$2:$A$3000,$A2,'07_Pallet_Contents'!$I$2:$I$3000))</f>
        <v>0</v>
      </c>
      <c r="Z2856" t="str">
        <f>IF($A2="","",IF(COUNTIF('07_Pallet_Contents'!$A$2:$A$3000,$A2)&gt;0,"Yes",""))</f>
        <v/>
      </c>
    </row>
    <row r="2857" spans="23:26">
      <c r="W2857">
        <f>IF($A2="","",COUNTIF('07_Pallet_Contents'!$A$2:$A$3000,$A2))</f>
        <v>0</v>
      </c>
      <c r="X2857">
        <f>IF($A2="","",SUMIF('07_Pallet_Contents'!$A$2:$A$3000,$A2,'07_Pallet_Contents'!$D$2:$D$3000))</f>
        <v>0</v>
      </c>
      <c r="Y2857">
        <f>IF($A2="","",SUMIF('07_Pallet_Contents'!$A$2:$A$3000,$A2,'07_Pallet_Contents'!$I$2:$I$3000))</f>
        <v>0</v>
      </c>
      <c r="Z2857" t="str">
        <f>IF($A2="","",IF(COUNTIF('07_Pallet_Contents'!$A$2:$A$3000,$A2)&gt;0,"Yes",""))</f>
        <v/>
      </c>
    </row>
    <row r="2858" spans="23:26">
      <c r="W2858">
        <f>IF($A2="","",COUNTIF('07_Pallet_Contents'!$A$2:$A$3000,$A2))</f>
        <v>0</v>
      </c>
      <c r="X2858">
        <f>IF($A2="","",SUMIF('07_Pallet_Contents'!$A$2:$A$3000,$A2,'07_Pallet_Contents'!$D$2:$D$3000))</f>
        <v>0</v>
      </c>
      <c r="Y2858">
        <f>IF($A2="","",SUMIF('07_Pallet_Contents'!$A$2:$A$3000,$A2,'07_Pallet_Contents'!$I$2:$I$3000))</f>
        <v>0</v>
      </c>
      <c r="Z2858" t="str">
        <f>IF($A2="","",IF(COUNTIF('07_Pallet_Contents'!$A$2:$A$3000,$A2)&gt;0,"Yes",""))</f>
        <v/>
      </c>
    </row>
    <row r="2859" spans="23:26">
      <c r="W2859">
        <f>IF($A2="","",COUNTIF('07_Pallet_Contents'!$A$2:$A$3000,$A2))</f>
        <v>0</v>
      </c>
      <c r="X2859">
        <f>IF($A2="","",SUMIF('07_Pallet_Contents'!$A$2:$A$3000,$A2,'07_Pallet_Contents'!$D$2:$D$3000))</f>
        <v>0</v>
      </c>
      <c r="Y2859">
        <f>IF($A2="","",SUMIF('07_Pallet_Contents'!$A$2:$A$3000,$A2,'07_Pallet_Contents'!$I$2:$I$3000))</f>
        <v>0</v>
      </c>
      <c r="Z2859" t="str">
        <f>IF($A2="","",IF(COUNTIF('07_Pallet_Contents'!$A$2:$A$3000,$A2)&gt;0,"Yes",""))</f>
        <v/>
      </c>
    </row>
    <row r="2860" spans="23:26">
      <c r="W2860">
        <f>IF($A2="","",COUNTIF('07_Pallet_Contents'!$A$2:$A$3000,$A2))</f>
        <v>0</v>
      </c>
      <c r="X2860">
        <f>IF($A2="","",SUMIF('07_Pallet_Contents'!$A$2:$A$3000,$A2,'07_Pallet_Contents'!$D$2:$D$3000))</f>
        <v>0</v>
      </c>
      <c r="Y2860">
        <f>IF($A2="","",SUMIF('07_Pallet_Contents'!$A$2:$A$3000,$A2,'07_Pallet_Contents'!$I$2:$I$3000))</f>
        <v>0</v>
      </c>
      <c r="Z2860" t="str">
        <f>IF($A2="","",IF(COUNTIF('07_Pallet_Contents'!$A$2:$A$3000,$A2)&gt;0,"Yes",""))</f>
        <v/>
      </c>
    </row>
    <row r="2861" spans="23:26">
      <c r="W2861">
        <f>IF($A2="","",COUNTIF('07_Pallet_Contents'!$A$2:$A$3000,$A2))</f>
        <v>0</v>
      </c>
      <c r="X2861">
        <f>IF($A2="","",SUMIF('07_Pallet_Contents'!$A$2:$A$3000,$A2,'07_Pallet_Contents'!$D$2:$D$3000))</f>
        <v>0</v>
      </c>
      <c r="Y2861">
        <f>IF($A2="","",SUMIF('07_Pallet_Contents'!$A$2:$A$3000,$A2,'07_Pallet_Contents'!$I$2:$I$3000))</f>
        <v>0</v>
      </c>
      <c r="Z2861" t="str">
        <f>IF($A2="","",IF(COUNTIF('07_Pallet_Contents'!$A$2:$A$3000,$A2)&gt;0,"Yes",""))</f>
        <v/>
      </c>
    </row>
    <row r="2862" spans="23:26">
      <c r="W2862">
        <f>IF($A2="","",COUNTIF('07_Pallet_Contents'!$A$2:$A$3000,$A2))</f>
        <v>0</v>
      </c>
      <c r="X2862">
        <f>IF($A2="","",SUMIF('07_Pallet_Contents'!$A$2:$A$3000,$A2,'07_Pallet_Contents'!$D$2:$D$3000))</f>
        <v>0</v>
      </c>
      <c r="Y2862">
        <f>IF($A2="","",SUMIF('07_Pallet_Contents'!$A$2:$A$3000,$A2,'07_Pallet_Contents'!$I$2:$I$3000))</f>
        <v>0</v>
      </c>
      <c r="Z2862" t="str">
        <f>IF($A2="","",IF(COUNTIF('07_Pallet_Contents'!$A$2:$A$3000,$A2)&gt;0,"Yes",""))</f>
        <v/>
      </c>
    </row>
    <row r="2863" spans="23:26">
      <c r="W2863">
        <f>IF($A2="","",COUNTIF('07_Pallet_Contents'!$A$2:$A$3000,$A2))</f>
        <v>0</v>
      </c>
      <c r="X2863">
        <f>IF($A2="","",SUMIF('07_Pallet_Contents'!$A$2:$A$3000,$A2,'07_Pallet_Contents'!$D$2:$D$3000))</f>
        <v>0</v>
      </c>
      <c r="Y2863">
        <f>IF($A2="","",SUMIF('07_Pallet_Contents'!$A$2:$A$3000,$A2,'07_Pallet_Contents'!$I$2:$I$3000))</f>
        <v>0</v>
      </c>
      <c r="Z2863" t="str">
        <f>IF($A2="","",IF(COUNTIF('07_Pallet_Contents'!$A$2:$A$3000,$A2)&gt;0,"Yes",""))</f>
        <v/>
      </c>
    </row>
    <row r="2864" spans="23:26">
      <c r="W2864">
        <f>IF($A2="","",COUNTIF('07_Pallet_Contents'!$A$2:$A$3000,$A2))</f>
        <v>0</v>
      </c>
      <c r="X2864">
        <f>IF($A2="","",SUMIF('07_Pallet_Contents'!$A$2:$A$3000,$A2,'07_Pallet_Contents'!$D$2:$D$3000))</f>
        <v>0</v>
      </c>
      <c r="Y2864">
        <f>IF($A2="","",SUMIF('07_Pallet_Contents'!$A$2:$A$3000,$A2,'07_Pallet_Contents'!$I$2:$I$3000))</f>
        <v>0</v>
      </c>
      <c r="Z2864" t="str">
        <f>IF($A2="","",IF(COUNTIF('07_Pallet_Contents'!$A$2:$A$3000,$A2)&gt;0,"Yes",""))</f>
        <v/>
      </c>
    </row>
    <row r="2865" spans="23:26">
      <c r="W2865">
        <f>IF($A2="","",COUNTIF('07_Pallet_Contents'!$A$2:$A$3000,$A2))</f>
        <v>0</v>
      </c>
      <c r="X2865">
        <f>IF($A2="","",SUMIF('07_Pallet_Contents'!$A$2:$A$3000,$A2,'07_Pallet_Contents'!$D$2:$D$3000))</f>
        <v>0</v>
      </c>
      <c r="Y2865">
        <f>IF($A2="","",SUMIF('07_Pallet_Contents'!$A$2:$A$3000,$A2,'07_Pallet_Contents'!$I$2:$I$3000))</f>
        <v>0</v>
      </c>
      <c r="Z2865" t="str">
        <f>IF($A2="","",IF(COUNTIF('07_Pallet_Contents'!$A$2:$A$3000,$A2)&gt;0,"Yes",""))</f>
        <v/>
      </c>
    </row>
    <row r="2866" spans="23:26">
      <c r="W2866">
        <f>IF($A2="","",COUNTIF('07_Pallet_Contents'!$A$2:$A$3000,$A2))</f>
        <v>0</v>
      </c>
      <c r="X2866">
        <f>IF($A2="","",SUMIF('07_Pallet_Contents'!$A$2:$A$3000,$A2,'07_Pallet_Contents'!$D$2:$D$3000))</f>
        <v>0</v>
      </c>
      <c r="Y2866">
        <f>IF($A2="","",SUMIF('07_Pallet_Contents'!$A$2:$A$3000,$A2,'07_Pallet_Contents'!$I$2:$I$3000))</f>
        <v>0</v>
      </c>
      <c r="Z2866" t="str">
        <f>IF($A2="","",IF(COUNTIF('07_Pallet_Contents'!$A$2:$A$3000,$A2)&gt;0,"Yes",""))</f>
        <v/>
      </c>
    </row>
    <row r="2867" spans="23:26">
      <c r="W2867">
        <f>IF($A2="","",COUNTIF('07_Pallet_Contents'!$A$2:$A$3000,$A2))</f>
        <v>0</v>
      </c>
      <c r="X2867">
        <f>IF($A2="","",SUMIF('07_Pallet_Contents'!$A$2:$A$3000,$A2,'07_Pallet_Contents'!$D$2:$D$3000))</f>
        <v>0</v>
      </c>
      <c r="Y2867">
        <f>IF($A2="","",SUMIF('07_Pallet_Contents'!$A$2:$A$3000,$A2,'07_Pallet_Contents'!$I$2:$I$3000))</f>
        <v>0</v>
      </c>
      <c r="Z2867" t="str">
        <f>IF($A2="","",IF(COUNTIF('07_Pallet_Contents'!$A$2:$A$3000,$A2)&gt;0,"Yes",""))</f>
        <v/>
      </c>
    </row>
    <row r="2868" spans="23:26">
      <c r="W2868">
        <f>IF($A2="","",COUNTIF('07_Pallet_Contents'!$A$2:$A$3000,$A2))</f>
        <v>0</v>
      </c>
      <c r="X2868">
        <f>IF($A2="","",SUMIF('07_Pallet_Contents'!$A$2:$A$3000,$A2,'07_Pallet_Contents'!$D$2:$D$3000))</f>
        <v>0</v>
      </c>
      <c r="Y2868">
        <f>IF($A2="","",SUMIF('07_Pallet_Contents'!$A$2:$A$3000,$A2,'07_Pallet_Contents'!$I$2:$I$3000))</f>
        <v>0</v>
      </c>
      <c r="Z2868" t="str">
        <f>IF($A2="","",IF(COUNTIF('07_Pallet_Contents'!$A$2:$A$3000,$A2)&gt;0,"Yes",""))</f>
        <v/>
      </c>
    </row>
    <row r="2869" spans="23:26">
      <c r="W2869">
        <f>IF($A2="","",COUNTIF('07_Pallet_Contents'!$A$2:$A$3000,$A2))</f>
        <v>0</v>
      </c>
      <c r="X2869">
        <f>IF($A2="","",SUMIF('07_Pallet_Contents'!$A$2:$A$3000,$A2,'07_Pallet_Contents'!$D$2:$D$3000))</f>
        <v>0</v>
      </c>
      <c r="Y2869">
        <f>IF($A2="","",SUMIF('07_Pallet_Contents'!$A$2:$A$3000,$A2,'07_Pallet_Contents'!$I$2:$I$3000))</f>
        <v>0</v>
      </c>
      <c r="Z2869" t="str">
        <f>IF($A2="","",IF(COUNTIF('07_Pallet_Contents'!$A$2:$A$3000,$A2)&gt;0,"Yes",""))</f>
        <v/>
      </c>
    </row>
    <row r="2870" spans="23:26">
      <c r="W2870">
        <f>IF($A2="","",COUNTIF('07_Pallet_Contents'!$A$2:$A$3000,$A2))</f>
        <v>0</v>
      </c>
      <c r="X2870">
        <f>IF($A2="","",SUMIF('07_Pallet_Contents'!$A$2:$A$3000,$A2,'07_Pallet_Contents'!$D$2:$D$3000))</f>
        <v>0</v>
      </c>
      <c r="Y2870">
        <f>IF($A2="","",SUMIF('07_Pallet_Contents'!$A$2:$A$3000,$A2,'07_Pallet_Contents'!$I$2:$I$3000))</f>
        <v>0</v>
      </c>
      <c r="Z2870" t="str">
        <f>IF($A2="","",IF(COUNTIF('07_Pallet_Contents'!$A$2:$A$3000,$A2)&gt;0,"Yes",""))</f>
        <v/>
      </c>
    </row>
    <row r="2871" spans="23:26">
      <c r="W2871">
        <f>IF($A2="","",COUNTIF('07_Pallet_Contents'!$A$2:$A$3000,$A2))</f>
        <v>0</v>
      </c>
      <c r="X2871">
        <f>IF($A2="","",SUMIF('07_Pallet_Contents'!$A$2:$A$3000,$A2,'07_Pallet_Contents'!$D$2:$D$3000))</f>
        <v>0</v>
      </c>
      <c r="Y2871">
        <f>IF($A2="","",SUMIF('07_Pallet_Contents'!$A$2:$A$3000,$A2,'07_Pallet_Contents'!$I$2:$I$3000))</f>
        <v>0</v>
      </c>
      <c r="Z2871" t="str">
        <f>IF($A2="","",IF(COUNTIF('07_Pallet_Contents'!$A$2:$A$3000,$A2)&gt;0,"Yes",""))</f>
        <v/>
      </c>
    </row>
    <row r="2872" spans="23:26">
      <c r="W2872">
        <f>IF($A2="","",COUNTIF('07_Pallet_Contents'!$A$2:$A$3000,$A2))</f>
        <v>0</v>
      </c>
      <c r="X2872">
        <f>IF($A2="","",SUMIF('07_Pallet_Contents'!$A$2:$A$3000,$A2,'07_Pallet_Contents'!$D$2:$D$3000))</f>
        <v>0</v>
      </c>
      <c r="Y2872">
        <f>IF($A2="","",SUMIF('07_Pallet_Contents'!$A$2:$A$3000,$A2,'07_Pallet_Contents'!$I$2:$I$3000))</f>
        <v>0</v>
      </c>
      <c r="Z2872" t="str">
        <f>IF($A2="","",IF(COUNTIF('07_Pallet_Contents'!$A$2:$A$3000,$A2)&gt;0,"Yes",""))</f>
        <v/>
      </c>
    </row>
    <row r="2873" spans="23:26">
      <c r="W2873">
        <f>IF($A2="","",COUNTIF('07_Pallet_Contents'!$A$2:$A$3000,$A2))</f>
        <v>0</v>
      </c>
      <c r="X2873">
        <f>IF($A2="","",SUMIF('07_Pallet_Contents'!$A$2:$A$3000,$A2,'07_Pallet_Contents'!$D$2:$D$3000))</f>
        <v>0</v>
      </c>
      <c r="Y2873">
        <f>IF($A2="","",SUMIF('07_Pallet_Contents'!$A$2:$A$3000,$A2,'07_Pallet_Contents'!$I$2:$I$3000))</f>
        <v>0</v>
      </c>
      <c r="Z2873" t="str">
        <f>IF($A2="","",IF(COUNTIF('07_Pallet_Contents'!$A$2:$A$3000,$A2)&gt;0,"Yes",""))</f>
        <v/>
      </c>
    </row>
    <row r="2874" spans="23:26">
      <c r="W2874">
        <f>IF($A2="","",COUNTIF('07_Pallet_Contents'!$A$2:$A$3000,$A2))</f>
        <v>0</v>
      </c>
      <c r="X2874">
        <f>IF($A2="","",SUMIF('07_Pallet_Contents'!$A$2:$A$3000,$A2,'07_Pallet_Contents'!$D$2:$D$3000))</f>
        <v>0</v>
      </c>
      <c r="Y2874">
        <f>IF($A2="","",SUMIF('07_Pallet_Contents'!$A$2:$A$3000,$A2,'07_Pallet_Contents'!$I$2:$I$3000))</f>
        <v>0</v>
      </c>
      <c r="Z2874" t="str">
        <f>IF($A2="","",IF(COUNTIF('07_Pallet_Contents'!$A$2:$A$3000,$A2)&gt;0,"Yes",""))</f>
        <v/>
      </c>
    </row>
    <row r="2875" spans="23:26">
      <c r="W2875">
        <f>IF($A2="","",COUNTIF('07_Pallet_Contents'!$A$2:$A$3000,$A2))</f>
        <v>0</v>
      </c>
      <c r="X2875">
        <f>IF($A2="","",SUMIF('07_Pallet_Contents'!$A$2:$A$3000,$A2,'07_Pallet_Contents'!$D$2:$D$3000))</f>
        <v>0</v>
      </c>
      <c r="Y2875">
        <f>IF($A2="","",SUMIF('07_Pallet_Contents'!$A$2:$A$3000,$A2,'07_Pallet_Contents'!$I$2:$I$3000))</f>
        <v>0</v>
      </c>
      <c r="Z2875" t="str">
        <f>IF($A2="","",IF(COUNTIF('07_Pallet_Contents'!$A$2:$A$3000,$A2)&gt;0,"Yes",""))</f>
        <v/>
      </c>
    </row>
    <row r="2876" spans="23:26">
      <c r="W2876">
        <f>IF($A2="","",COUNTIF('07_Pallet_Contents'!$A$2:$A$3000,$A2))</f>
        <v>0</v>
      </c>
      <c r="X2876">
        <f>IF($A2="","",SUMIF('07_Pallet_Contents'!$A$2:$A$3000,$A2,'07_Pallet_Contents'!$D$2:$D$3000))</f>
        <v>0</v>
      </c>
      <c r="Y2876">
        <f>IF($A2="","",SUMIF('07_Pallet_Contents'!$A$2:$A$3000,$A2,'07_Pallet_Contents'!$I$2:$I$3000))</f>
        <v>0</v>
      </c>
      <c r="Z2876" t="str">
        <f>IF($A2="","",IF(COUNTIF('07_Pallet_Contents'!$A$2:$A$3000,$A2)&gt;0,"Yes",""))</f>
        <v/>
      </c>
    </row>
    <row r="2877" spans="23:26">
      <c r="W2877">
        <f>IF($A2="","",COUNTIF('07_Pallet_Contents'!$A$2:$A$3000,$A2))</f>
        <v>0</v>
      </c>
      <c r="X2877">
        <f>IF($A2="","",SUMIF('07_Pallet_Contents'!$A$2:$A$3000,$A2,'07_Pallet_Contents'!$D$2:$D$3000))</f>
        <v>0</v>
      </c>
      <c r="Y2877">
        <f>IF($A2="","",SUMIF('07_Pallet_Contents'!$A$2:$A$3000,$A2,'07_Pallet_Contents'!$I$2:$I$3000))</f>
        <v>0</v>
      </c>
      <c r="Z2877" t="str">
        <f>IF($A2="","",IF(COUNTIF('07_Pallet_Contents'!$A$2:$A$3000,$A2)&gt;0,"Yes",""))</f>
        <v/>
      </c>
    </row>
    <row r="2878" spans="23:26">
      <c r="W2878">
        <f>IF($A2="","",COUNTIF('07_Pallet_Contents'!$A$2:$A$3000,$A2))</f>
        <v>0</v>
      </c>
      <c r="X2878">
        <f>IF($A2="","",SUMIF('07_Pallet_Contents'!$A$2:$A$3000,$A2,'07_Pallet_Contents'!$D$2:$D$3000))</f>
        <v>0</v>
      </c>
      <c r="Y2878">
        <f>IF($A2="","",SUMIF('07_Pallet_Contents'!$A$2:$A$3000,$A2,'07_Pallet_Contents'!$I$2:$I$3000))</f>
        <v>0</v>
      </c>
      <c r="Z2878" t="str">
        <f>IF($A2="","",IF(COUNTIF('07_Pallet_Contents'!$A$2:$A$3000,$A2)&gt;0,"Yes",""))</f>
        <v/>
      </c>
    </row>
    <row r="2879" spans="23:26">
      <c r="W2879">
        <f>IF($A2="","",COUNTIF('07_Pallet_Contents'!$A$2:$A$3000,$A2))</f>
        <v>0</v>
      </c>
      <c r="X2879">
        <f>IF($A2="","",SUMIF('07_Pallet_Contents'!$A$2:$A$3000,$A2,'07_Pallet_Contents'!$D$2:$D$3000))</f>
        <v>0</v>
      </c>
      <c r="Y2879">
        <f>IF($A2="","",SUMIF('07_Pallet_Contents'!$A$2:$A$3000,$A2,'07_Pallet_Contents'!$I$2:$I$3000))</f>
        <v>0</v>
      </c>
      <c r="Z2879" t="str">
        <f>IF($A2="","",IF(COUNTIF('07_Pallet_Contents'!$A$2:$A$3000,$A2)&gt;0,"Yes",""))</f>
        <v/>
      </c>
    </row>
    <row r="2880" spans="23:26">
      <c r="W2880">
        <f>IF($A2="","",COUNTIF('07_Pallet_Contents'!$A$2:$A$3000,$A2))</f>
        <v>0</v>
      </c>
      <c r="X2880">
        <f>IF($A2="","",SUMIF('07_Pallet_Contents'!$A$2:$A$3000,$A2,'07_Pallet_Contents'!$D$2:$D$3000))</f>
        <v>0</v>
      </c>
      <c r="Y2880">
        <f>IF($A2="","",SUMIF('07_Pallet_Contents'!$A$2:$A$3000,$A2,'07_Pallet_Contents'!$I$2:$I$3000))</f>
        <v>0</v>
      </c>
      <c r="Z2880" t="str">
        <f>IF($A2="","",IF(COUNTIF('07_Pallet_Contents'!$A$2:$A$3000,$A2)&gt;0,"Yes",""))</f>
        <v/>
      </c>
    </row>
    <row r="2881" spans="23:26">
      <c r="W2881">
        <f>IF($A2="","",COUNTIF('07_Pallet_Contents'!$A$2:$A$3000,$A2))</f>
        <v>0</v>
      </c>
      <c r="X2881">
        <f>IF($A2="","",SUMIF('07_Pallet_Contents'!$A$2:$A$3000,$A2,'07_Pallet_Contents'!$D$2:$D$3000))</f>
        <v>0</v>
      </c>
      <c r="Y2881">
        <f>IF($A2="","",SUMIF('07_Pallet_Contents'!$A$2:$A$3000,$A2,'07_Pallet_Contents'!$I$2:$I$3000))</f>
        <v>0</v>
      </c>
      <c r="Z2881" t="str">
        <f>IF($A2="","",IF(COUNTIF('07_Pallet_Contents'!$A$2:$A$3000,$A2)&gt;0,"Yes",""))</f>
        <v/>
      </c>
    </row>
    <row r="2882" spans="23:26">
      <c r="W2882">
        <f>IF($A2="","",COUNTIF('07_Pallet_Contents'!$A$2:$A$3000,$A2))</f>
        <v>0</v>
      </c>
      <c r="X2882">
        <f>IF($A2="","",SUMIF('07_Pallet_Contents'!$A$2:$A$3000,$A2,'07_Pallet_Contents'!$D$2:$D$3000))</f>
        <v>0</v>
      </c>
      <c r="Y2882">
        <f>IF($A2="","",SUMIF('07_Pallet_Contents'!$A$2:$A$3000,$A2,'07_Pallet_Contents'!$I$2:$I$3000))</f>
        <v>0</v>
      </c>
      <c r="Z2882" t="str">
        <f>IF($A2="","",IF(COUNTIF('07_Pallet_Contents'!$A$2:$A$3000,$A2)&gt;0,"Yes",""))</f>
        <v/>
      </c>
    </row>
    <row r="2883" spans="23:26">
      <c r="W2883">
        <f>IF($A2="","",COUNTIF('07_Pallet_Contents'!$A$2:$A$3000,$A2))</f>
        <v>0</v>
      </c>
      <c r="X2883">
        <f>IF($A2="","",SUMIF('07_Pallet_Contents'!$A$2:$A$3000,$A2,'07_Pallet_Contents'!$D$2:$D$3000))</f>
        <v>0</v>
      </c>
      <c r="Y2883">
        <f>IF($A2="","",SUMIF('07_Pallet_Contents'!$A$2:$A$3000,$A2,'07_Pallet_Contents'!$I$2:$I$3000))</f>
        <v>0</v>
      </c>
      <c r="Z2883" t="str">
        <f>IF($A2="","",IF(COUNTIF('07_Pallet_Contents'!$A$2:$A$3000,$A2)&gt;0,"Yes",""))</f>
        <v/>
      </c>
    </row>
    <row r="2884" spans="23:26">
      <c r="W2884">
        <f>IF($A2="","",COUNTIF('07_Pallet_Contents'!$A$2:$A$3000,$A2))</f>
        <v>0</v>
      </c>
      <c r="X2884">
        <f>IF($A2="","",SUMIF('07_Pallet_Contents'!$A$2:$A$3000,$A2,'07_Pallet_Contents'!$D$2:$D$3000))</f>
        <v>0</v>
      </c>
      <c r="Y2884">
        <f>IF($A2="","",SUMIF('07_Pallet_Contents'!$A$2:$A$3000,$A2,'07_Pallet_Contents'!$I$2:$I$3000))</f>
        <v>0</v>
      </c>
      <c r="Z2884" t="str">
        <f>IF($A2="","",IF(COUNTIF('07_Pallet_Contents'!$A$2:$A$3000,$A2)&gt;0,"Yes",""))</f>
        <v/>
      </c>
    </row>
    <row r="2885" spans="23:26">
      <c r="W2885">
        <f>IF($A2="","",COUNTIF('07_Pallet_Contents'!$A$2:$A$3000,$A2))</f>
        <v>0</v>
      </c>
      <c r="X2885">
        <f>IF($A2="","",SUMIF('07_Pallet_Contents'!$A$2:$A$3000,$A2,'07_Pallet_Contents'!$D$2:$D$3000))</f>
        <v>0</v>
      </c>
      <c r="Y2885">
        <f>IF($A2="","",SUMIF('07_Pallet_Contents'!$A$2:$A$3000,$A2,'07_Pallet_Contents'!$I$2:$I$3000))</f>
        <v>0</v>
      </c>
      <c r="Z2885" t="str">
        <f>IF($A2="","",IF(COUNTIF('07_Pallet_Contents'!$A$2:$A$3000,$A2)&gt;0,"Yes",""))</f>
        <v/>
      </c>
    </row>
    <row r="2886" spans="23:26">
      <c r="W2886">
        <f>IF($A2="","",COUNTIF('07_Pallet_Contents'!$A$2:$A$3000,$A2))</f>
        <v>0</v>
      </c>
      <c r="X2886">
        <f>IF($A2="","",SUMIF('07_Pallet_Contents'!$A$2:$A$3000,$A2,'07_Pallet_Contents'!$D$2:$D$3000))</f>
        <v>0</v>
      </c>
      <c r="Y2886">
        <f>IF($A2="","",SUMIF('07_Pallet_Contents'!$A$2:$A$3000,$A2,'07_Pallet_Contents'!$I$2:$I$3000))</f>
        <v>0</v>
      </c>
      <c r="Z2886" t="str">
        <f>IF($A2="","",IF(COUNTIF('07_Pallet_Contents'!$A$2:$A$3000,$A2)&gt;0,"Yes",""))</f>
        <v/>
      </c>
    </row>
    <row r="2887" spans="23:26">
      <c r="W2887">
        <f>IF($A2="","",COUNTIF('07_Pallet_Contents'!$A$2:$A$3000,$A2))</f>
        <v>0</v>
      </c>
      <c r="X2887">
        <f>IF($A2="","",SUMIF('07_Pallet_Contents'!$A$2:$A$3000,$A2,'07_Pallet_Contents'!$D$2:$D$3000))</f>
        <v>0</v>
      </c>
      <c r="Y2887">
        <f>IF($A2="","",SUMIF('07_Pallet_Contents'!$A$2:$A$3000,$A2,'07_Pallet_Contents'!$I$2:$I$3000))</f>
        <v>0</v>
      </c>
      <c r="Z2887" t="str">
        <f>IF($A2="","",IF(COUNTIF('07_Pallet_Contents'!$A$2:$A$3000,$A2)&gt;0,"Yes",""))</f>
        <v/>
      </c>
    </row>
    <row r="2888" spans="23:26">
      <c r="W2888">
        <f>IF($A2="","",COUNTIF('07_Pallet_Contents'!$A$2:$A$3000,$A2))</f>
        <v>0</v>
      </c>
      <c r="X2888">
        <f>IF($A2="","",SUMIF('07_Pallet_Contents'!$A$2:$A$3000,$A2,'07_Pallet_Contents'!$D$2:$D$3000))</f>
        <v>0</v>
      </c>
      <c r="Y2888">
        <f>IF($A2="","",SUMIF('07_Pallet_Contents'!$A$2:$A$3000,$A2,'07_Pallet_Contents'!$I$2:$I$3000))</f>
        <v>0</v>
      </c>
      <c r="Z2888" t="str">
        <f>IF($A2="","",IF(COUNTIF('07_Pallet_Contents'!$A$2:$A$3000,$A2)&gt;0,"Yes",""))</f>
        <v/>
      </c>
    </row>
    <row r="2889" spans="23:26">
      <c r="W2889">
        <f>IF($A2="","",COUNTIF('07_Pallet_Contents'!$A$2:$A$3000,$A2))</f>
        <v>0</v>
      </c>
      <c r="X2889">
        <f>IF($A2="","",SUMIF('07_Pallet_Contents'!$A$2:$A$3000,$A2,'07_Pallet_Contents'!$D$2:$D$3000))</f>
        <v>0</v>
      </c>
      <c r="Y2889">
        <f>IF($A2="","",SUMIF('07_Pallet_Contents'!$A$2:$A$3000,$A2,'07_Pallet_Contents'!$I$2:$I$3000))</f>
        <v>0</v>
      </c>
      <c r="Z2889" t="str">
        <f>IF($A2="","",IF(COUNTIF('07_Pallet_Contents'!$A$2:$A$3000,$A2)&gt;0,"Yes",""))</f>
        <v/>
      </c>
    </row>
    <row r="2890" spans="23:26">
      <c r="W2890">
        <f>IF($A2="","",COUNTIF('07_Pallet_Contents'!$A$2:$A$3000,$A2))</f>
        <v>0</v>
      </c>
      <c r="X2890">
        <f>IF($A2="","",SUMIF('07_Pallet_Contents'!$A$2:$A$3000,$A2,'07_Pallet_Contents'!$D$2:$D$3000))</f>
        <v>0</v>
      </c>
      <c r="Y2890">
        <f>IF($A2="","",SUMIF('07_Pallet_Contents'!$A$2:$A$3000,$A2,'07_Pallet_Contents'!$I$2:$I$3000))</f>
        <v>0</v>
      </c>
      <c r="Z2890" t="str">
        <f>IF($A2="","",IF(COUNTIF('07_Pallet_Contents'!$A$2:$A$3000,$A2)&gt;0,"Yes",""))</f>
        <v/>
      </c>
    </row>
    <row r="2891" spans="23:26">
      <c r="W2891">
        <f>IF($A2="","",COUNTIF('07_Pallet_Contents'!$A$2:$A$3000,$A2))</f>
        <v>0</v>
      </c>
      <c r="X2891">
        <f>IF($A2="","",SUMIF('07_Pallet_Contents'!$A$2:$A$3000,$A2,'07_Pallet_Contents'!$D$2:$D$3000))</f>
        <v>0</v>
      </c>
      <c r="Y2891">
        <f>IF($A2="","",SUMIF('07_Pallet_Contents'!$A$2:$A$3000,$A2,'07_Pallet_Contents'!$I$2:$I$3000))</f>
        <v>0</v>
      </c>
      <c r="Z2891" t="str">
        <f>IF($A2="","",IF(COUNTIF('07_Pallet_Contents'!$A$2:$A$3000,$A2)&gt;0,"Yes",""))</f>
        <v/>
      </c>
    </row>
    <row r="2892" spans="23:26">
      <c r="W2892">
        <f>IF($A2="","",COUNTIF('07_Pallet_Contents'!$A$2:$A$3000,$A2))</f>
        <v>0</v>
      </c>
      <c r="X2892">
        <f>IF($A2="","",SUMIF('07_Pallet_Contents'!$A$2:$A$3000,$A2,'07_Pallet_Contents'!$D$2:$D$3000))</f>
        <v>0</v>
      </c>
      <c r="Y2892">
        <f>IF($A2="","",SUMIF('07_Pallet_Contents'!$A$2:$A$3000,$A2,'07_Pallet_Contents'!$I$2:$I$3000))</f>
        <v>0</v>
      </c>
      <c r="Z2892" t="str">
        <f>IF($A2="","",IF(COUNTIF('07_Pallet_Contents'!$A$2:$A$3000,$A2)&gt;0,"Yes",""))</f>
        <v/>
      </c>
    </row>
    <row r="2893" spans="23:26">
      <c r="W2893">
        <f>IF($A2="","",COUNTIF('07_Pallet_Contents'!$A$2:$A$3000,$A2))</f>
        <v>0</v>
      </c>
      <c r="X2893">
        <f>IF($A2="","",SUMIF('07_Pallet_Contents'!$A$2:$A$3000,$A2,'07_Pallet_Contents'!$D$2:$D$3000))</f>
        <v>0</v>
      </c>
      <c r="Y2893">
        <f>IF($A2="","",SUMIF('07_Pallet_Contents'!$A$2:$A$3000,$A2,'07_Pallet_Contents'!$I$2:$I$3000))</f>
        <v>0</v>
      </c>
      <c r="Z2893" t="str">
        <f>IF($A2="","",IF(COUNTIF('07_Pallet_Contents'!$A$2:$A$3000,$A2)&gt;0,"Yes",""))</f>
        <v/>
      </c>
    </row>
    <row r="2894" spans="23:26">
      <c r="W2894">
        <f>IF($A2="","",COUNTIF('07_Pallet_Contents'!$A$2:$A$3000,$A2))</f>
        <v>0</v>
      </c>
      <c r="X2894">
        <f>IF($A2="","",SUMIF('07_Pallet_Contents'!$A$2:$A$3000,$A2,'07_Pallet_Contents'!$D$2:$D$3000))</f>
        <v>0</v>
      </c>
      <c r="Y2894">
        <f>IF($A2="","",SUMIF('07_Pallet_Contents'!$A$2:$A$3000,$A2,'07_Pallet_Contents'!$I$2:$I$3000))</f>
        <v>0</v>
      </c>
      <c r="Z2894" t="str">
        <f>IF($A2="","",IF(COUNTIF('07_Pallet_Contents'!$A$2:$A$3000,$A2)&gt;0,"Yes",""))</f>
        <v/>
      </c>
    </row>
    <row r="2895" spans="23:26">
      <c r="W2895">
        <f>IF($A2="","",COUNTIF('07_Pallet_Contents'!$A$2:$A$3000,$A2))</f>
        <v>0</v>
      </c>
      <c r="X2895">
        <f>IF($A2="","",SUMIF('07_Pallet_Contents'!$A$2:$A$3000,$A2,'07_Pallet_Contents'!$D$2:$D$3000))</f>
        <v>0</v>
      </c>
      <c r="Y2895">
        <f>IF($A2="","",SUMIF('07_Pallet_Contents'!$A$2:$A$3000,$A2,'07_Pallet_Contents'!$I$2:$I$3000))</f>
        <v>0</v>
      </c>
      <c r="Z2895" t="str">
        <f>IF($A2="","",IF(COUNTIF('07_Pallet_Contents'!$A$2:$A$3000,$A2)&gt;0,"Yes",""))</f>
        <v/>
      </c>
    </row>
    <row r="2896" spans="23:26">
      <c r="W2896">
        <f>IF($A2="","",COUNTIF('07_Pallet_Contents'!$A$2:$A$3000,$A2))</f>
        <v>0</v>
      </c>
      <c r="X2896">
        <f>IF($A2="","",SUMIF('07_Pallet_Contents'!$A$2:$A$3000,$A2,'07_Pallet_Contents'!$D$2:$D$3000))</f>
        <v>0</v>
      </c>
      <c r="Y2896">
        <f>IF($A2="","",SUMIF('07_Pallet_Contents'!$A$2:$A$3000,$A2,'07_Pallet_Contents'!$I$2:$I$3000))</f>
        <v>0</v>
      </c>
      <c r="Z2896" t="str">
        <f>IF($A2="","",IF(COUNTIF('07_Pallet_Contents'!$A$2:$A$3000,$A2)&gt;0,"Yes",""))</f>
        <v/>
      </c>
    </row>
    <row r="2897" spans="23:26">
      <c r="W2897">
        <f>IF($A2="","",COUNTIF('07_Pallet_Contents'!$A$2:$A$3000,$A2))</f>
        <v>0</v>
      </c>
      <c r="X2897">
        <f>IF($A2="","",SUMIF('07_Pallet_Contents'!$A$2:$A$3000,$A2,'07_Pallet_Contents'!$D$2:$D$3000))</f>
        <v>0</v>
      </c>
      <c r="Y2897">
        <f>IF($A2="","",SUMIF('07_Pallet_Contents'!$A$2:$A$3000,$A2,'07_Pallet_Contents'!$I$2:$I$3000))</f>
        <v>0</v>
      </c>
      <c r="Z2897" t="str">
        <f>IF($A2="","",IF(COUNTIF('07_Pallet_Contents'!$A$2:$A$3000,$A2)&gt;0,"Yes",""))</f>
        <v/>
      </c>
    </row>
    <row r="2898" spans="23:26">
      <c r="W2898">
        <f>IF($A2="","",COUNTIF('07_Pallet_Contents'!$A$2:$A$3000,$A2))</f>
        <v>0</v>
      </c>
      <c r="X2898">
        <f>IF($A2="","",SUMIF('07_Pallet_Contents'!$A$2:$A$3000,$A2,'07_Pallet_Contents'!$D$2:$D$3000))</f>
        <v>0</v>
      </c>
      <c r="Y2898">
        <f>IF($A2="","",SUMIF('07_Pallet_Contents'!$A$2:$A$3000,$A2,'07_Pallet_Contents'!$I$2:$I$3000))</f>
        <v>0</v>
      </c>
      <c r="Z2898" t="str">
        <f>IF($A2="","",IF(COUNTIF('07_Pallet_Contents'!$A$2:$A$3000,$A2)&gt;0,"Yes",""))</f>
        <v/>
      </c>
    </row>
    <row r="2899" spans="23:26">
      <c r="W2899">
        <f>IF($A2="","",COUNTIF('07_Pallet_Contents'!$A$2:$A$3000,$A2))</f>
        <v>0</v>
      </c>
      <c r="X2899">
        <f>IF($A2="","",SUMIF('07_Pallet_Contents'!$A$2:$A$3000,$A2,'07_Pallet_Contents'!$D$2:$D$3000))</f>
        <v>0</v>
      </c>
      <c r="Y2899">
        <f>IF($A2="","",SUMIF('07_Pallet_Contents'!$A$2:$A$3000,$A2,'07_Pallet_Contents'!$I$2:$I$3000))</f>
        <v>0</v>
      </c>
      <c r="Z2899" t="str">
        <f>IF($A2="","",IF(COUNTIF('07_Pallet_Contents'!$A$2:$A$3000,$A2)&gt;0,"Yes",""))</f>
        <v/>
      </c>
    </row>
    <row r="2900" spans="23:26">
      <c r="W2900">
        <f>IF($A2="","",COUNTIF('07_Pallet_Contents'!$A$2:$A$3000,$A2))</f>
        <v>0</v>
      </c>
      <c r="X2900">
        <f>IF($A2="","",SUMIF('07_Pallet_Contents'!$A$2:$A$3000,$A2,'07_Pallet_Contents'!$D$2:$D$3000))</f>
        <v>0</v>
      </c>
      <c r="Y2900">
        <f>IF($A2="","",SUMIF('07_Pallet_Contents'!$A$2:$A$3000,$A2,'07_Pallet_Contents'!$I$2:$I$3000))</f>
        <v>0</v>
      </c>
      <c r="Z2900" t="str">
        <f>IF($A2="","",IF(COUNTIF('07_Pallet_Contents'!$A$2:$A$3000,$A2)&gt;0,"Yes",""))</f>
        <v/>
      </c>
    </row>
    <row r="2901" spans="23:26">
      <c r="W2901">
        <f>IF($A2="","",COUNTIF('07_Pallet_Contents'!$A$2:$A$3000,$A2))</f>
        <v>0</v>
      </c>
      <c r="X2901">
        <f>IF($A2="","",SUMIF('07_Pallet_Contents'!$A$2:$A$3000,$A2,'07_Pallet_Contents'!$D$2:$D$3000))</f>
        <v>0</v>
      </c>
      <c r="Y2901">
        <f>IF($A2="","",SUMIF('07_Pallet_Contents'!$A$2:$A$3000,$A2,'07_Pallet_Contents'!$I$2:$I$3000))</f>
        <v>0</v>
      </c>
      <c r="Z2901" t="str">
        <f>IF($A2="","",IF(COUNTIF('07_Pallet_Contents'!$A$2:$A$3000,$A2)&gt;0,"Yes",""))</f>
        <v/>
      </c>
    </row>
    <row r="2902" spans="23:26">
      <c r="W2902">
        <f>IF($A2="","",COUNTIF('07_Pallet_Contents'!$A$2:$A$3000,$A2))</f>
        <v>0</v>
      </c>
      <c r="X2902">
        <f>IF($A2="","",SUMIF('07_Pallet_Contents'!$A$2:$A$3000,$A2,'07_Pallet_Contents'!$D$2:$D$3000))</f>
        <v>0</v>
      </c>
      <c r="Y2902">
        <f>IF($A2="","",SUMIF('07_Pallet_Contents'!$A$2:$A$3000,$A2,'07_Pallet_Contents'!$I$2:$I$3000))</f>
        <v>0</v>
      </c>
      <c r="Z2902" t="str">
        <f>IF($A2="","",IF(COUNTIF('07_Pallet_Contents'!$A$2:$A$3000,$A2)&gt;0,"Yes",""))</f>
        <v/>
      </c>
    </row>
    <row r="2903" spans="23:26">
      <c r="W2903">
        <f>IF($A2="","",COUNTIF('07_Pallet_Contents'!$A$2:$A$3000,$A2))</f>
        <v>0</v>
      </c>
      <c r="X2903">
        <f>IF($A2="","",SUMIF('07_Pallet_Contents'!$A$2:$A$3000,$A2,'07_Pallet_Contents'!$D$2:$D$3000))</f>
        <v>0</v>
      </c>
      <c r="Y2903">
        <f>IF($A2="","",SUMIF('07_Pallet_Contents'!$A$2:$A$3000,$A2,'07_Pallet_Contents'!$I$2:$I$3000))</f>
        <v>0</v>
      </c>
      <c r="Z2903" t="str">
        <f>IF($A2="","",IF(COUNTIF('07_Pallet_Contents'!$A$2:$A$3000,$A2)&gt;0,"Yes",""))</f>
        <v/>
      </c>
    </row>
    <row r="2904" spans="23:26">
      <c r="W2904">
        <f>IF($A2="","",COUNTIF('07_Pallet_Contents'!$A$2:$A$3000,$A2))</f>
        <v>0</v>
      </c>
      <c r="X2904">
        <f>IF($A2="","",SUMIF('07_Pallet_Contents'!$A$2:$A$3000,$A2,'07_Pallet_Contents'!$D$2:$D$3000))</f>
        <v>0</v>
      </c>
      <c r="Y2904">
        <f>IF($A2="","",SUMIF('07_Pallet_Contents'!$A$2:$A$3000,$A2,'07_Pallet_Contents'!$I$2:$I$3000))</f>
        <v>0</v>
      </c>
      <c r="Z2904" t="str">
        <f>IF($A2="","",IF(COUNTIF('07_Pallet_Contents'!$A$2:$A$3000,$A2)&gt;0,"Yes",""))</f>
        <v/>
      </c>
    </row>
    <row r="2905" spans="23:26">
      <c r="W2905">
        <f>IF($A2="","",COUNTIF('07_Pallet_Contents'!$A$2:$A$3000,$A2))</f>
        <v>0</v>
      </c>
      <c r="X2905">
        <f>IF($A2="","",SUMIF('07_Pallet_Contents'!$A$2:$A$3000,$A2,'07_Pallet_Contents'!$D$2:$D$3000))</f>
        <v>0</v>
      </c>
      <c r="Y2905">
        <f>IF($A2="","",SUMIF('07_Pallet_Contents'!$A$2:$A$3000,$A2,'07_Pallet_Contents'!$I$2:$I$3000))</f>
        <v>0</v>
      </c>
      <c r="Z2905" t="str">
        <f>IF($A2="","",IF(COUNTIF('07_Pallet_Contents'!$A$2:$A$3000,$A2)&gt;0,"Yes",""))</f>
        <v/>
      </c>
    </row>
    <row r="2906" spans="23:26">
      <c r="W2906">
        <f>IF($A2="","",COUNTIF('07_Pallet_Contents'!$A$2:$A$3000,$A2))</f>
        <v>0</v>
      </c>
      <c r="X2906">
        <f>IF($A2="","",SUMIF('07_Pallet_Contents'!$A$2:$A$3000,$A2,'07_Pallet_Contents'!$D$2:$D$3000))</f>
        <v>0</v>
      </c>
      <c r="Y2906">
        <f>IF($A2="","",SUMIF('07_Pallet_Contents'!$A$2:$A$3000,$A2,'07_Pallet_Contents'!$I$2:$I$3000))</f>
        <v>0</v>
      </c>
      <c r="Z2906" t="str">
        <f>IF($A2="","",IF(COUNTIF('07_Pallet_Contents'!$A$2:$A$3000,$A2)&gt;0,"Yes",""))</f>
        <v/>
      </c>
    </row>
    <row r="2907" spans="23:26">
      <c r="W2907">
        <f>IF($A2="","",COUNTIF('07_Pallet_Contents'!$A$2:$A$3000,$A2))</f>
        <v>0</v>
      </c>
      <c r="X2907">
        <f>IF($A2="","",SUMIF('07_Pallet_Contents'!$A$2:$A$3000,$A2,'07_Pallet_Contents'!$D$2:$D$3000))</f>
        <v>0</v>
      </c>
      <c r="Y2907">
        <f>IF($A2="","",SUMIF('07_Pallet_Contents'!$A$2:$A$3000,$A2,'07_Pallet_Contents'!$I$2:$I$3000))</f>
        <v>0</v>
      </c>
      <c r="Z2907" t="str">
        <f>IF($A2="","",IF(COUNTIF('07_Pallet_Contents'!$A$2:$A$3000,$A2)&gt;0,"Yes",""))</f>
        <v/>
      </c>
    </row>
    <row r="2908" spans="23:26">
      <c r="W2908">
        <f>IF($A2="","",COUNTIF('07_Pallet_Contents'!$A$2:$A$3000,$A2))</f>
        <v>0</v>
      </c>
      <c r="X2908">
        <f>IF($A2="","",SUMIF('07_Pallet_Contents'!$A$2:$A$3000,$A2,'07_Pallet_Contents'!$D$2:$D$3000))</f>
        <v>0</v>
      </c>
      <c r="Y2908">
        <f>IF($A2="","",SUMIF('07_Pallet_Contents'!$A$2:$A$3000,$A2,'07_Pallet_Contents'!$I$2:$I$3000))</f>
        <v>0</v>
      </c>
      <c r="Z2908" t="str">
        <f>IF($A2="","",IF(COUNTIF('07_Pallet_Contents'!$A$2:$A$3000,$A2)&gt;0,"Yes",""))</f>
        <v/>
      </c>
    </row>
    <row r="2909" spans="23:26">
      <c r="W2909">
        <f>IF($A2="","",COUNTIF('07_Pallet_Contents'!$A$2:$A$3000,$A2))</f>
        <v>0</v>
      </c>
      <c r="X2909">
        <f>IF($A2="","",SUMIF('07_Pallet_Contents'!$A$2:$A$3000,$A2,'07_Pallet_Contents'!$D$2:$D$3000))</f>
        <v>0</v>
      </c>
      <c r="Y2909">
        <f>IF($A2="","",SUMIF('07_Pallet_Contents'!$A$2:$A$3000,$A2,'07_Pallet_Contents'!$I$2:$I$3000))</f>
        <v>0</v>
      </c>
      <c r="Z2909" t="str">
        <f>IF($A2="","",IF(COUNTIF('07_Pallet_Contents'!$A$2:$A$3000,$A2)&gt;0,"Yes",""))</f>
        <v/>
      </c>
    </row>
    <row r="2910" spans="23:26">
      <c r="W2910">
        <f>IF($A2="","",COUNTIF('07_Pallet_Contents'!$A$2:$A$3000,$A2))</f>
        <v>0</v>
      </c>
      <c r="X2910">
        <f>IF($A2="","",SUMIF('07_Pallet_Contents'!$A$2:$A$3000,$A2,'07_Pallet_Contents'!$D$2:$D$3000))</f>
        <v>0</v>
      </c>
      <c r="Y2910">
        <f>IF($A2="","",SUMIF('07_Pallet_Contents'!$A$2:$A$3000,$A2,'07_Pallet_Contents'!$I$2:$I$3000))</f>
        <v>0</v>
      </c>
      <c r="Z2910" t="str">
        <f>IF($A2="","",IF(COUNTIF('07_Pallet_Contents'!$A$2:$A$3000,$A2)&gt;0,"Yes",""))</f>
        <v/>
      </c>
    </row>
    <row r="2911" spans="23:26">
      <c r="W2911">
        <f>IF($A2="","",COUNTIF('07_Pallet_Contents'!$A$2:$A$3000,$A2))</f>
        <v>0</v>
      </c>
      <c r="X2911">
        <f>IF($A2="","",SUMIF('07_Pallet_Contents'!$A$2:$A$3000,$A2,'07_Pallet_Contents'!$D$2:$D$3000))</f>
        <v>0</v>
      </c>
      <c r="Y2911">
        <f>IF($A2="","",SUMIF('07_Pallet_Contents'!$A$2:$A$3000,$A2,'07_Pallet_Contents'!$I$2:$I$3000))</f>
        <v>0</v>
      </c>
      <c r="Z2911" t="str">
        <f>IF($A2="","",IF(COUNTIF('07_Pallet_Contents'!$A$2:$A$3000,$A2)&gt;0,"Yes",""))</f>
        <v/>
      </c>
    </row>
    <row r="2912" spans="23:26">
      <c r="W2912">
        <f>IF($A2="","",COUNTIF('07_Pallet_Contents'!$A$2:$A$3000,$A2))</f>
        <v>0</v>
      </c>
      <c r="X2912">
        <f>IF($A2="","",SUMIF('07_Pallet_Contents'!$A$2:$A$3000,$A2,'07_Pallet_Contents'!$D$2:$D$3000))</f>
        <v>0</v>
      </c>
      <c r="Y2912">
        <f>IF($A2="","",SUMIF('07_Pallet_Contents'!$A$2:$A$3000,$A2,'07_Pallet_Contents'!$I$2:$I$3000))</f>
        <v>0</v>
      </c>
      <c r="Z2912" t="str">
        <f>IF($A2="","",IF(COUNTIF('07_Pallet_Contents'!$A$2:$A$3000,$A2)&gt;0,"Yes",""))</f>
        <v/>
      </c>
    </row>
    <row r="2913" spans="23:26">
      <c r="W2913">
        <f>IF($A2="","",COUNTIF('07_Pallet_Contents'!$A$2:$A$3000,$A2))</f>
        <v>0</v>
      </c>
      <c r="X2913">
        <f>IF($A2="","",SUMIF('07_Pallet_Contents'!$A$2:$A$3000,$A2,'07_Pallet_Contents'!$D$2:$D$3000))</f>
        <v>0</v>
      </c>
      <c r="Y2913">
        <f>IF($A2="","",SUMIF('07_Pallet_Contents'!$A$2:$A$3000,$A2,'07_Pallet_Contents'!$I$2:$I$3000))</f>
        <v>0</v>
      </c>
      <c r="Z2913" t="str">
        <f>IF($A2="","",IF(COUNTIF('07_Pallet_Contents'!$A$2:$A$3000,$A2)&gt;0,"Yes",""))</f>
        <v/>
      </c>
    </row>
    <row r="2914" spans="23:26">
      <c r="W2914">
        <f>IF($A2="","",COUNTIF('07_Pallet_Contents'!$A$2:$A$3000,$A2))</f>
        <v>0</v>
      </c>
      <c r="X2914">
        <f>IF($A2="","",SUMIF('07_Pallet_Contents'!$A$2:$A$3000,$A2,'07_Pallet_Contents'!$D$2:$D$3000))</f>
        <v>0</v>
      </c>
      <c r="Y2914">
        <f>IF($A2="","",SUMIF('07_Pallet_Contents'!$A$2:$A$3000,$A2,'07_Pallet_Contents'!$I$2:$I$3000))</f>
        <v>0</v>
      </c>
      <c r="Z2914" t="str">
        <f>IF($A2="","",IF(COUNTIF('07_Pallet_Contents'!$A$2:$A$3000,$A2)&gt;0,"Yes",""))</f>
        <v/>
      </c>
    </row>
    <row r="2915" spans="23:26">
      <c r="W2915">
        <f>IF($A2="","",COUNTIF('07_Pallet_Contents'!$A$2:$A$3000,$A2))</f>
        <v>0</v>
      </c>
      <c r="X2915">
        <f>IF($A2="","",SUMIF('07_Pallet_Contents'!$A$2:$A$3000,$A2,'07_Pallet_Contents'!$D$2:$D$3000))</f>
        <v>0</v>
      </c>
      <c r="Y2915">
        <f>IF($A2="","",SUMIF('07_Pallet_Contents'!$A$2:$A$3000,$A2,'07_Pallet_Contents'!$I$2:$I$3000))</f>
        <v>0</v>
      </c>
      <c r="Z2915" t="str">
        <f>IF($A2="","",IF(COUNTIF('07_Pallet_Contents'!$A$2:$A$3000,$A2)&gt;0,"Yes",""))</f>
        <v/>
      </c>
    </row>
    <row r="2916" spans="23:26">
      <c r="W2916">
        <f>IF($A2="","",COUNTIF('07_Pallet_Contents'!$A$2:$A$3000,$A2))</f>
        <v>0</v>
      </c>
      <c r="X2916">
        <f>IF($A2="","",SUMIF('07_Pallet_Contents'!$A$2:$A$3000,$A2,'07_Pallet_Contents'!$D$2:$D$3000))</f>
        <v>0</v>
      </c>
      <c r="Y2916">
        <f>IF($A2="","",SUMIF('07_Pallet_Contents'!$A$2:$A$3000,$A2,'07_Pallet_Contents'!$I$2:$I$3000))</f>
        <v>0</v>
      </c>
      <c r="Z2916" t="str">
        <f>IF($A2="","",IF(COUNTIF('07_Pallet_Contents'!$A$2:$A$3000,$A2)&gt;0,"Yes",""))</f>
        <v/>
      </c>
    </row>
    <row r="2917" spans="23:26">
      <c r="W2917">
        <f>IF($A2="","",COUNTIF('07_Pallet_Contents'!$A$2:$A$3000,$A2))</f>
        <v>0</v>
      </c>
      <c r="X2917">
        <f>IF($A2="","",SUMIF('07_Pallet_Contents'!$A$2:$A$3000,$A2,'07_Pallet_Contents'!$D$2:$D$3000))</f>
        <v>0</v>
      </c>
      <c r="Y2917">
        <f>IF($A2="","",SUMIF('07_Pallet_Contents'!$A$2:$A$3000,$A2,'07_Pallet_Contents'!$I$2:$I$3000))</f>
        <v>0</v>
      </c>
      <c r="Z2917" t="str">
        <f>IF($A2="","",IF(COUNTIF('07_Pallet_Contents'!$A$2:$A$3000,$A2)&gt;0,"Yes",""))</f>
        <v/>
      </c>
    </row>
    <row r="2918" spans="23:26">
      <c r="W2918">
        <f>IF($A2="","",COUNTIF('07_Pallet_Contents'!$A$2:$A$3000,$A2))</f>
        <v>0</v>
      </c>
      <c r="X2918">
        <f>IF($A2="","",SUMIF('07_Pallet_Contents'!$A$2:$A$3000,$A2,'07_Pallet_Contents'!$D$2:$D$3000))</f>
        <v>0</v>
      </c>
      <c r="Y2918">
        <f>IF($A2="","",SUMIF('07_Pallet_Contents'!$A$2:$A$3000,$A2,'07_Pallet_Contents'!$I$2:$I$3000))</f>
        <v>0</v>
      </c>
      <c r="Z2918" t="str">
        <f>IF($A2="","",IF(COUNTIF('07_Pallet_Contents'!$A$2:$A$3000,$A2)&gt;0,"Yes",""))</f>
        <v/>
      </c>
    </row>
    <row r="2919" spans="23:26">
      <c r="W2919">
        <f>IF($A2="","",COUNTIF('07_Pallet_Contents'!$A$2:$A$3000,$A2))</f>
        <v>0</v>
      </c>
      <c r="X2919">
        <f>IF($A2="","",SUMIF('07_Pallet_Contents'!$A$2:$A$3000,$A2,'07_Pallet_Contents'!$D$2:$D$3000))</f>
        <v>0</v>
      </c>
      <c r="Y2919">
        <f>IF($A2="","",SUMIF('07_Pallet_Contents'!$A$2:$A$3000,$A2,'07_Pallet_Contents'!$I$2:$I$3000))</f>
        <v>0</v>
      </c>
      <c r="Z2919" t="str">
        <f>IF($A2="","",IF(COUNTIF('07_Pallet_Contents'!$A$2:$A$3000,$A2)&gt;0,"Yes",""))</f>
        <v/>
      </c>
    </row>
    <row r="2920" spans="23:26">
      <c r="W2920">
        <f>IF($A2="","",COUNTIF('07_Pallet_Contents'!$A$2:$A$3000,$A2))</f>
        <v>0</v>
      </c>
      <c r="X2920">
        <f>IF($A2="","",SUMIF('07_Pallet_Contents'!$A$2:$A$3000,$A2,'07_Pallet_Contents'!$D$2:$D$3000))</f>
        <v>0</v>
      </c>
      <c r="Y2920">
        <f>IF($A2="","",SUMIF('07_Pallet_Contents'!$A$2:$A$3000,$A2,'07_Pallet_Contents'!$I$2:$I$3000))</f>
        <v>0</v>
      </c>
      <c r="Z2920" t="str">
        <f>IF($A2="","",IF(COUNTIF('07_Pallet_Contents'!$A$2:$A$3000,$A2)&gt;0,"Yes",""))</f>
        <v/>
      </c>
    </row>
    <row r="2921" spans="23:26">
      <c r="W2921">
        <f>IF($A2="","",COUNTIF('07_Pallet_Contents'!$A$2:$A$3000,$A2))</f>
        <v>0</v>
      </c>
      <c r="X2921">
        <f>IF($A2="","",SUMIF('07_Pallet_Contents'!$A$2:$A$3000,$A2,'07_Pallet_Contents'!$D$2:$D$3000))</f>
        <v>0</v>
      </c>
      <c r="Y2921">
        <f>IF($A2="","",SUMIF('07_Pallet_Contents'!$A$2:$A$3000,$A2,'07_Pallet_Contents'!$I$2:$I$3000))</f>
        <v>0</v>
      </c>
      <c r="Z2921" t="str">
        <f>IF($A2="","",IF(COUNTIF('07_Pallet_Contents'!$A$2:$A$3000,$A2)&gt;0,"Yes",""))</f>
        <v/>
      </c>
    </row>
    <row r="2922" spans="23:26">
      <c r="W2922">
        <f>IF($A2="","",COUNTIF('07_Pallet_Contents'!$A$2:$A$3000,$A2))</f>
        <v>0</v>
      </c>
      <c r="X2922">
        <f>IF($A2="","",SUMIF('07_Pallet_Contents'!$A$2:$A$3000,$A2,'07_Pallet_Contents'!$D$2:$D$3000))</f>
        <v>0</v>
      </c>
      <c r="Y2922">
        <f>IF($A2="","",SUMIF('07_Pallet_Contents'!$A$2:$A$3000,$A2,'07_Pallet_Contents'!$I$2:$I$3000))</f>
        <v>0</v>
      </c>
      <c r="Z2922" t="str">
        <f>IF($A2="","",IF(COUNTIF('07_Pallet_Contents'!$A$2:$A$3000,$A2)&gt;0,"Yes",""))</f>
        <v/>
      </c>
    </row>
    <row r="2923" spans="23:26">
      <c r="W2923">
        <f>IF($A2="","",COUNTIF('07_Pallet_Contents'!$A$2:$A$3000,$A2))</f>
        <v>0</v>
      </c>
      <c r="X2923">
        <f>IF($A2="","",SUMIF('07_Pallet_Contents'!$A$2:$A$3000,$A2,'07_Pallet_Contents'!$D$2:$D$3000))</f>
        <v>0</v>
      </c>
      <c r="Y2923">
        <f>IF($A2="","",SUMIF('07_Pallet_Contents'!$A$2:$A$3000,$A2,'07_Pallet_Contents'!$I$2:$I$3000))</f>
        <v>0</v>
      </c>
      <c r="Z2923" t="str">
        <f>IF($A2="","",IF(COUNTIF('07_Pallet_Contents'!$A$2:$A$3000,$A2)&gt;0,"Yes",""))</f>
        <v/>
      </c>
    </row>
    <row r="2924" spans="23:26">
      <c r="W2924">
        <f>IF($A2="","",COUNTIF('07_Pallet_Contents'!$A$2:$A$3000,$A2))</f>
        <v>0</v>
      </c>
      <c r="X2924">
        <f>IF($A2="","",SUMIF('07_Pallet_Contents'!$A$2:$A$3000,$A2,'07_Pallet_Contents'!$D$2:$D$3000))</f>
        <v>0</v>
      </c>
      <c r="Y2924">
        <f>IF($A2="","",SUMIF('07_Pallet_Contents'!$A$2:$A$3000,$A2,'07_Pallet_Contents'!$I$2:$I$3000))</f>
        <v>0</v>
      </c>
      <c r="Z2924" t="str">
        <f>IF($A2="","",IF(COUNTIF('07_Pallet_Contents'!$A$2:$A$3000,$A2)&gt;0,"Yes",""))</f>
        <v/>
      </c>
    </row>
    <row r="2925" spans="23:26">
      <c r="W2925">
        <f>IF($A2="","",COUNTIF('07_Pallet_Contents'!$A$2:$A$3000,$A2))</f>
        <v>0</v>
      </c>
      <c r="X2925">
        <f>IF($A2="","",SUMIF('07_Pallet_Contents'!$A$2:$A$3000,$A2,'07_Pallet_Contents'!$D$2:$D$3000))</f>
        <v>0</v>
      </c>
      <c r="Y2925">
        <f>IF($A2="","",SUMIF('07_Pallet_Contents'!$A$2:$A$3000,$A2,'07_Pallet_Contents'!$I$2:$I$3000))</f>
        <v>0</v>
      </c>
      <c r="Z2925" t="str">
        <f>IF($A2="","",IF(COUNTIF('07_Pallet_Contents'!$A$2:$A$3000,$A2)&gt;0,"Yes",""))</f>
        <v/>
      </c>
    </row>
    <row r="2926" spans="23:26">
      <c r="W2926">
        <f>IF($A2="","",COUNTIF('07_Pallet_Contents'!$A$2:$A$3000,$A2))</f>
        <v>0</v>
      </c>
      <c r="X2926">
        <f>IF($A2="","",SUMIF('07_Pallet_Contents'!$A$2:$A$3000,$A2,'07_Pallet_Contents'!$D$2:$D$3000))</f>
        <v>0</v>
      </c>
      <c r="Y2926">
        <f>IF($A2="","",SUMIF('07_Pallet_Contents'!$A$2:$A$3000,$A2,'07_Pallet_Contents'!$I$2:$I$3000))</f>
        <v>0</v>
      </c>
      <c r="Z2926" t="str">
        <f>IF($A2="","",IF(COUNTIF('07_Pallet_Contents'!$A$2:$A$3000,$A2)&gt;0,"Yes",""))</f>
        <v/>
      </c>
    </row>
    <row r="2927" spans="23:26">
      <c r="W2927">
        <f>IF($A2="","",COUNTIF('07_Pallet_Contents'!$A$2:$A$3000,$A2))</f>
        <v>0</v>
      </c>
      <c r="X2927">
        <f>IF($A2="","",SUMIF('07_Pallet_Contents'!$A$2:$A$3000,$A2,'07_Pallet_Contents'!$D$2:$D$3000))</f>
        <v>0</v>
      </c>
      <c r="Y2927">
        <f>IF($A2="","",SUMIF('07_Pallet_Contents'!$A$2:$A$3000,$A2,'07_Pallet_Contents'!$I$2:$I$3000))</f>
        <v>0</v>
      </c>
      <c r="Z2927" t="str">
        <f>IF($A2="","",IF(COUNTIF('07_Pallet_Contents'!$A$2:$A$3000,$A2)&gt;0,"Yes",""))</f>
        <v/>
      </c>
    </row>
    <row r="2928" spans="23:26">
      <c r="W2928">
        <f>IF($A2="","",COUNTIF('07_Pallet_Contents'!$A$2:$A$3000,$A2))</f>
        <v>0</v>
      </c>
      <c r="X2928">
        <f>IF($A2="","",SUMIF('07_Pallet_Contents'!$A$2:$A$3000,$A2,'07_Pallet_Contents'!$D$2:$D$3000))</f>
        <v>0</v>
      </c>
      <c r="Y2928">
        <f>IF($A2="","",SUMIF('07_Pallet_Contents'!$A$2:$A$3000,$A2,'07_Pallet_Contents'!$I$2:$I$3000))</f>
        <v>0</v>
      </c>
      <c r="Z2928" t="str">
        <f>IF($A2="","",IF(COUNTIF('07_Pallet_Contents'!$A$2:$A$3000,$A2)&gt;0,"Yes",""))</f>
        <v/>
      </c>
    </row>
    <row r="2929" spans="23:26">
      <c r="W2929">
        <f>IF($A2="","",COUNTIF('07_Pallet_Contents'!$A$2:$A$3000,$A2))</f>
        <v>0</v>
      </c>
      <c r="X2929">
        <f>IF($A2="","",SUMIF('07_Pallet_Contents'!$A$2:$A$3000,$A2,'07_Pallet_Contents'!$D$2:$D$3000))</f>
        <v>0</v>
      </c>
      <c r="Y2929">
        <f>IF($A2="","",SUMIF('07_Pallet_Contents'!$A$2:$A$3000,$A2,'07_Pallet_Contents'!$I$2:$I$3000))</f>
        <v>0</v>
      </c>
      <c r="Z2929" t="str">
        <f>IF($A2="","",IF(COUNTIF('07_Pallet_Contents'!$A$2:$A$3000,$A2)&gt;0,"Yes",""))</f>
        <v/>
      </c>
    </row>
    <row r="2930" spans="23:26">
      <c r="W2930">
        <f>IF($A2="","",COUNTIF('07_Pallet_Contents'!$A$2:$A$3000,$A2))</f>
        <v>0</v>
      </c>
      <c r="X2930">
        <f>IF($A2="","",SUMIF('07_Pallet_Contents'!$A$2:$A$3000,$A2,'07_Pallet_Contents'!$D$2:$D$3000))</f>
        <v>0</v>
      </c>
      <c r="Y2930">
        <f>IF($A2="","",SUMIF('07_Pallet_Contents'!$A$2:$A$3000,$A2,'07_Pallet_Contents'!$I$2:$I$3000))</f>
        <v>0</v>
      </c>
      <c r="Z2930" t="str">
        <f>IF($A2="","",IF(COUNTIF('07_Pallet_Contents'!$A$2:$A$3000,$A2)&gt;0,"Yes",""))</f>
        <v/>
      </c>
    </row>
    <row r="2931" spans="23:26">
      <c r="W2931">
        <f>IF($A2="","",COUNTIF('07_Pallet_Contents'!$A$2:$A$3000,$A2))</f>
        <v>0</v>
      </c>
      <c r="X2931">
        <f>IF($A2="","",SUMIF('07_Pallet_Contents'!$A$2:$A$3000,$A2,'07_Pallet_Contents'!$D$2:$D$3000))</f>
        <v>0</v>
      </c>
      <c r="Y2931">
        <f>IF($A2="","",SUMIF('07_Pallet_Contents'!$A$2:$A$3000,$A2,'07_Pallet_Contents'!$I$2:$I$3000))</f>
        <v>0</v>
      </c>
      <c r="Z2931" t="str">
        <f>IF($A2="","",IF(COUNTIF('07_Pallet_Contents'!$A$2:$A$3000,$A2)&gt;0,"Yes",""))</f>
        <v/>
      </c>
    </row>
    <row r="2932" spans="23:26">
      <c r="W2932">
        <f>IF($A2="","",COUNTIF('07_Pallet_Contents'!$A$2:$A$3000,$A2))</f>
        <v>0</v>
      </c>
      <c r="X2932">
        <f>IF($A2="","",SUMIF('07_Pallet_Contents'!$A$2:$A$3000,$A2,'07_Pallet_Contents'!$D$2:$D$3000))</f>
        <v>0</v>
      </c>
      <c r="Y2932">
        <f>IF($A2="","",SUMIF('07_Pallet_Contents'!$A$2:$A$3000,$A2,'07_Pallet_Contents'!$I$2:$I$3000))</f>
        <v>0</v>
      </c>
      <c r="Z2932" t="str">
        <f>IF($A2="","",IF(COUNTIF('07_Pallet_Contents'!$A$2:$A$3000,$A2)&gt;0,"Yes",""))</f>
        <v/>
      </c>
    </row>
    <row r="2933" spans="23:26">
      <c r="W2933">
        <f>IF($A2="","",COUNTIF('07_Pallet_Contents'!$A$2:$A$3000,$A2))</f>
        <v>0</v>
      </c>
      <c r="X2933">
        <f>IF($A2="","",SUMIF('07_Pallet_Contents'!$A$2:$A$3000,$A2,'07_Pallet_Contents'!$D$2:$D$3000))</f>
        <v>0</v>
      </c>
      <c r="Y2933">
        <f>IF($A2="","",SUMIF('07_Pallet_Contents'!$A$2:$A$3000,$A2,'07_Pallet_Contents'!$I$2:$I$3000))</f>
        <v>0</v>
      </c>
      <c r="Z2933" t="str">
        <f>IF($A2="","",IF(COUNTIF('07_Pallet_Contents'!$A$2:$A$3000,$A2)&gt;0,"Yes",""))</f>
        <v/>
      </c>
    </row>
    <row r="2934" spans="23:26">
      <c r="W2934">
        <f>IF($A2="","",COUNTIF('07_Pallet_Contents'!$A$2:$A$3000,$A2))</f>
        <v>0</v>
      </c>
      <c r="X2934">
        <f>IF($A2="","",SUMIF('07_Pallet_Contents'!$A$2:$A$3000,$A2,'07_Pallet_Contents'!$D$2:$D$3000))</f>
        <v>0</v>
      </c>
      <c r="Y2934">
        <f>IF($A2="","",SUMIF('07_Pallet_Contents'!$A$2:$A$3000,$A2,'07_Pallet_Contents'!$I$2:$I$3000))</f>
        <v>0</v>
      </c>
      <c r="Z2934" t="str">
        <f>IF($A2="","",IF(COUNTIF('07_Pallet_Contents'!$A$2:$A$3000,$A2)&gt;0,"Yes",""))</f>
        <v/>
      </c>
    </row>
    <row r="2935" spans="23:26">
      <c r="W2935">
        <f>IF($A2="","",COUNTIF('07_Pallet_Contents'!$A$2:$A$3000,$A2))</f>
        <v>0</v>
      </c>
      <c r="X2935">
        <f>IF($A2="","",SUMIF('07_Pallet_Contents'!$A$2:$A$3000,$A2,'07_Pallet_Contents'!$D$2:$D$3000))</f>
        <v>0</v>
      </c>
      <c r="Y2935">
        <f>IF($A2="","",SUMIF('07_Pallet_Contents'!$A$2:$A$3000,$A2,'07_Pallet_Contents'!$I$2:$I$3000))</f>
        <v>0</v>
      </c>
      <c r="Z2935" t="str">
        <f>IF($A2="","",IF(COUNTIF('07_Pallet_Contents'!$A$2:$A$3000,$A2)&gt;0,"Yes",""))</f>
        <v/>
      </c>
    </row>
    <row r="2936" spans="23:26">
      <c r="W2936">
        <f>IF($A2="","",COUNTIF('07_Pallet_Contents'!$A$2:$A$3000,$A2))</f>
        <v>0</v>
      </c>
      <c r="X2936">
        <f>IF($A2="","",SUMIF('07_Pallet_Contents'!$A$2:$A$3000,$A2,'07_Pallet_Contents'!$D$2:$D$3000))</f>
        <v>0</v>
      </c>
      <c r="Y2936">
        <f>IF($A2="","",SUMIF('07_Pallet_Contents'!$A$2:$A$3000,$A2,'07_Pallet_Contents'!$I$2:$I$3000))</f>
        <v>0</v>
      </c>
      <c r="Z2936" t="str">
        <f>IF($A2="","",IF(COUNTIF('07_Pallet_Contents'!$A$2:$A$3000,$A2)&gt;0,"Yes",""))</f>
        <v/>
      </c>
    </row>
    <row r="2937" spans="23:26">
      <c r="W2937">
        <f>IF($A2="","",COUNTIF('07_Pallet_Contents'!$A$2:$A$3000,$A2))</f>
        <v>0</v>
      </c>
      <c r="X2937">
        <f>IF($A2="","",SUMIF('07_Pallet_Contents'!$A$2:$A$3000,$A2,'07_Pallet_Contents'!$D$2:$D$3000))</f>
        <v>0</v>
      </c>
      <c r="Y2937">
        <f>IF($A2="","",SUMIF('07_Pallet_Contents'!$A$2:$A$3000,$A2,'07_Pallet_Contents'!$I$2:$I$3000))</f>
        <v>0</v>
      </c>
      <c r="Z2937" t="str">
        <f>IF($A2="","",IF(COUNTIF('07_Pallet_Contents'!$A$2:$A$3000,$A2)&gt;0,"Yes",""))</f>
        <v/>
      </c>
    </row>
    <row r="2938" spans="23:26">
      <c r="W2938">
        <f>IF($A2="","",COUNTIF('07_Pallet_Contents'!$A$2:$A$3000,$A2))</f>
        <v>0</v>
      </c>
      <c r="X2938">
        <f>IF($A2="","",SUMIF('07_Pallet_Contents'!$A$2:$A$3000,$A2,'07_Pallet_Contents'!$D$2:$D$3000))</f>
        <v>0</v>
      </c>
      <c r="Y2938">
        <f>IF($A2="","",SUMIF('07_Pallet_Contents'!$A$2:$A$3000,$A2,'07_Pallet_Contents'!$I$2:$I$3000))</f>
        <v>0</v>
      </c>
      <c r="Z2938" t="str">
        <f>IF($A2="","",IF(COUNTIF('07_Pallet_Contents'!$A$2:$A$3000,$A2)&gt;0,"Yes",""))</f>
        <v/>
      </c>
    </row>
    <row r="2939" spans="23:26">
      <c r="W2939">
        <f>IF($A2="","",COUNTIF('07_Pallet_Contents'!$A$2:$A$3000,$A2))</f>
        <v>0</v>
      </c>
      <c r="X2939">
        <f>IF($A2="","",SUMIF('07_Pallet_Contents'!$A$2:$A$3000,$A2,'07_Pallet_Contents'!$D$2:$D$3000))</f>
        <v>0</v>
      </c>
      <c r="Y2939">
        <f>IF($A2="","",SUMIF('07_Pallet_Contents'!$A$2:$A$3000,$A2,'07_Pallet_Contents'!$I$2:$I$3000))</f>
        <v>0</v>
      </c>
      <c r="Z2939" t="str">
        <f>IF($A2="","",IF(COUNTIF('07_Pallet_Contents'!$A$2:$A$3000,$A2)&gt;0,"Yes",""))</f>
        <v/>
      </c>
    </row>
    <row r="2940" spans="23:26">
      <c r="W2940">
        <f>IF($A2="","",COUNTIF('07_Pallet_Contents'!$A$2:$A$3000,$A2))</f>
        <v>0</v>
      </c>
      <c r="X2940">
        <f>IF($A2="","",SUMIF('07_Pallet_Contents'!$A$2:$A$3000,$A2,'07_Pallet_Contents'!$D$2:$D$3000))</f>
        <v>0</v>
      </c>
      <c r="Y2940">
        <f>IF($A2="","",SUMIF('07_Pallet_Contents'!$A$2:$A$3000,$A2,'07_Pallet_Contents'!$I$2:$I$3000))</f>
        <v>0</v>
      </c>
      <c r="Z2940" t="str">
        <f>IF($A2="","",IF(COUNTIF('07_Pallet_Contents'!$A$2:$A$3000,$A2)&gt;0,"Yes",""))</f>
        <v/>
      </c>
    </row>
    <row r="2941" spans="23:26">
      <c r="W2941">
        <f>IF($A2="","",COUNTIF('07_Pallet_Contents'!$A$2:$A$3000,$A2))</f>
        <v>0</v>
      </c>
      <c r="X2941">
        <f>IF($A2="","",SUMIF('07_Pallet_Contents'!$A$2:$A$3000,$A2,'07_Pallet_Contents'!$D$2:$D$3000))</f>
        <v>0</v>
      </c>
      <c r="Y2941">
        <f>IF($A2="","",SUMIF('07_Pallet_Contents'!$A$2:$A$3000,$A2,'07_Pallet_Contents'!$I$2:$I$3000))</f>
        <v>0</v>
      </c>
      <c r="Z2941" t="str">
        <f>IF($A2="","",IF(COUNTIF('07_Pallet_Contents'!$A$2:$A$3000,$A2)&gt;0,"Yes",""))</f>
        <v/>
      </c>
    </row>
    <row r="2942" spans="23:26">
      <c r="W2942">
        <f>IF($A2="","",COUNTIF('07_Pallet_Contents'!$A$2:$A$3000,$A2))</f>
        <v>0</v>
      </c>
      <c r="X2942">
        <f>IF($A2="","",SUMIF('07_Pallet_Contents'!$A$2:$A$3000,$A2,'07_Pallet_Contents'!$D$2:$D$3000))</f>
        <v>0</v>
      </c>
      <c r="Y2942">
        <f>IF($A2="","",SUMIF('07_Pallet_Contents'!$A$2:$A$3000,$A2,'07_Pallet_Contents'!$I$2:$I$3000))</f>
        <v>0</v>
      </c>
      <c r="Z2942" t="str">
        <f>IF($A2="","",IF(COUNTIF('07_Pallet_Contents'!$A$2:$A$3000,$A2)&gt;0,"Yes",""))</f>
        <v/>
      </c>
    </row>
    <row r="2943" spans="23:26">
      <c r="W2943">
        <f>IF($A2="","",COUNTIF('07_Pallet_Contents'!$A$2:$A$3000,$A2))</f>
        <v>0</v>
      </c>
      <c r="X2943">
        <f>IF($A2="","",SUMIF('07_Pallet_Contents'!$A$2:$A$3000,$A2,'07_Pallet_Contents'!$D$2:$D$3000))</f>
        <v>0</v>
      </c>
      <c r="Y2943">
        <f>IF($A2="","",SUMIF('07_Pallet_Contents'!$A$2:$A$3000,$A2,'07_Pallet_Contents'!$I$2:$I$3000))</f>
        <v>0</v>
      </c>
      <c r="Z2943" t="str">
        <f>IF($A2="","",IF(COUNTIF('07_Pallet_Contents'!$A$2:$A$3000,$A2)&gt;0,"Yes",""))</f>
        <v/>
      </c>
    </row>
    <row r="2944" spans="23:26">
      <c r="W2944">
        <f>IF($A2="","",COUNTIF('07_Pallet_Contents'!$A$2:$A$3000,$A2))</f>
        <v>0</v>
      </c>
      <c r="X2944">
        <f>IF($A2="","",SUMIF('07_Pallet_Contents'!$A$2:$A$3000,$A2,'07_Pallet_Contents'!$D$2:$D$3000))</f>
        <v>0</v>
      </c>
      <c r="Y2944">
        <f>IF($A2="","",SUMIF('07_Pallet_Contents'!$A$2:$A$3000,$A2,'07_Pallet_Contents'!$I$2:$I$3000))</f>
        <v>0</v>
      </c>
      <c r="Z2944" t="str">
        <f>IF($A2="","",IF(COUNTIF('07_Pallet_Contents'!$A$2:$A$3000,$A2)&gt;0,"Yes",""))</f>
        <v/>
      </c>
    </row>
    <row r="2945" spans="23:26">
      <c r="W2945">
        <f>IF($A2="","",COUNTIF('07_Pallet_Contents'!$A$2:$A$3000,$A2))</f>
        <v>0</v>
      </c>
      <c r="X2945">
        <f>IF($A2="","",SUMIF('07_Pallet_Contents'!$A$2:$A$3000,$A2,'07_Pallet_Contents'!$D$2:$D$3000))</f>
        <v>0</v>
      </c>
      <c r="Y2945">
        <f>IF($A2="","",SUMIF('07_Pallet_Contents'!$A$2:$A$3000,$A2,'07_Pallet_Contents'!$I$2:$I$3000))</f>
        <v>0</v>
      </c>
      <c r="Z2945" t="str">
        <f>IF($A2="","",IF(COUNTIF('07_Pallet_Contents'!$A$2:$A$3000,$A2)&gt;0,"Yes",""))</f>
        <v/>
      </c>
    </row>
    <row r="2946" spans="23:26">
      <c r="W2946">
        <f>IF($A2="","",COUNTIF('07_Pallet_Contents'!$A$2:$A$3000,$A2))</f>
        <v>0</v>
      </c>
      <c r="X2946">
        <f>IF($A2="","",SUMIF('07_Pallet_Contents'!$A$2:$A$3000,$A2,'07_Pallet_Contents'!$D$2:$D$3000))</f>
        <v>0</v>
      </c>
      <c r="Y2946">
        <f>IF($A2="","",SUMIF('07_Pallet_Contents'!$A$2:$A$3000,$A2,'07_Pallet_Contents'!$I$2:$I$3000))</f>
        <v>0</v>
      </c>
      <c r="Z2946" t="str">
        <f>IF($A2="","",IF(COUNTIF('07_Pallet_Contents'!$A$2:$A$3000,$A2)&gt;0,"Yes",""))</f>
        <v/>
      </c>
    </row>
    <row r="2947" spans="23:26">
      <c r="W2947">
        <f>IF($A2="","",COUNTIF('07_Pallet_Contents'!$A$2:$A$3000,$A2))</f>
        <v>0</v>
      </c>
      <c r="X2947">
        <f>IF($A2="","",SUMIF('07_Pallet_Contents'!$A$2:$A$3000,$A2,'07_Pallet_Contents'!$D$2:$D$3000))</f>
        <v>0</v>
      </c>
      <c r="Y2947">
        <f>IF($A2="","",SUMIF('07_Pallet_Contents'!$A$2:$A$3000,$A2,'07_Pallet_Contents'!$I$2:$I$3000))</f>
        <v>0</v>
      </c>
      <c r="Z2947" t="str">
        <f>IF($A2="","",IF(COUNTIF('07_Pallet_Contents'!$A$2:$A$3000,$A2)&gt;0,"Yes",""))</f>
        <v/>
      </c>
    </row>
    <row r="2948" spans="23:26">
      <c r="W2948">
        <f>IF($A2="","",COUNTIF('07_Pallet_Contents'!$A$2:$A$3000,$A2))</f>
        <v>0</v>
      </c>
      <c r="X2948">
        <f>IF($A2="","",SUMIF('07_Pallet_Contents'!$A$2:$A$3000,$A2,'07_Pallet_Contents'!$D$2:$D$3000))</f>
        <v>0</v>
      </c>
      <c r="Y2948">
        <f>IF($A2="","",SUMIF('07_Pallet_Contents'!$A$2:$A$3000,$A2,'07_Pallet_Contents'!$I$2:$I$3000))</f>
        <v>0</v>
      </c>
      <c r="Z2948" t="str">
        <f>IF($A2="","",IF(COUNTIF('07_Pallet_Contents'!$A$2:$A$3000,$A2)&gt;0,"Yes",""))</f>
        <v/>
      </c>
    </row>
    <row r="2949" spans="23:26">
      <c r="W2949">
        <f>IF($A2="","",COUNTIF('07_Pallet_Contents'!$A$2:$A$3000,$A2))</f>
        <v>0</v>
      </c>
      <c r="X2949">
        <f>IF($A2="","",SUMIF('07_Pallet_Contents'!$A$2:$A$3000,$A2,'07_Pallet_Contents'!$D$2:$D$3000))</f>
        <v>0</v>
      </c>
      <c r="Y2949">
        <f>IF($A2="","",SUMIF('07_Pallet_Contents'!$A$2:$A$3000,$A2,'07_Pallet_Contents'!$I$2:$I$3000))</f>
        <v>0</v>
      </c>
      <c r="Z2949" t="str">
        <f>IF($A2="","",IF(COUNTIF('07_Pallet_Contents'!$A$2:$A$3000,$A2)&gt;0,"Yes",""))</f>
        <v/>
      </c>
    </row>
    <row r="2950" spans="23:26">
      <c r="W2950">
        <f>IF($A2="","",COUNTIF('07_Pallet_Contents'!$A$2:$A$3000,$A2))</f>
        <v>0</v>
      </c>
      <c r="X2950">
        <f>IF($A2="","",SUMIF('07_Pallet_Contents'!$A$2:$A$3000,$A2,'07_Pallet_Contents'!$D$2:$D$3000))</f>
        <v>0</v>
      </c>
      <c r="Y2950">
        <f>IF($A2="","",SUMIF('07_Pallet_Contents'!$A$2:$A$3000,$A2,'07_Pallet_Contents'!$I$2:$I$3000))</f>
        <v>0</v>
      </c>
      <c r="Z2950" t="str">
        <f>IF($A2="","",IF(COUNTIF('07_Pallet_Contents'!$A$2:$A$3000,$A2)&gt;0,"Yes",""))</f>
        <v/>
      </c>
    </row>
    <row r="2951" spans="23:26">
      <c r="W2951">
        <f>IF($A2="","",COUNTIF('07_Pallet_Contents'!$A$2:$A$3000,$A2))</f>
        <v>0</v>
      </c>
      <c r="X2951">
        <f>IF($A2="","",SUMIF('07_Pallet_Contents'!$A$2:$A$3000,$A2,'07_Pallet_Contents'!$D$2:$D$3000))</f>
        <v>0</v>
      </c>
      <c r="Y2951">
        <f>IF($A2="","",SUMIF('07_Pallet_Contents'!$A$2:$A$3000,$A2,'07_Pallet_Contents'!$I$2:$I$3000))</f>
        <v>0</v>
      </c>
      <c r="Z2951" t="str">
        <f>IF($A2="","",IF(COUNTIF('07_Pallet_Contents'!$A$2:$A$3000,$A2)&gt;0,"Yes",""))</f>
        <v/>
      </c>
    </row>
    <row r="2952" spans="23:26">
      <c r="W2952">
        <f>IF($A2="","",COUNTIF('07_Pallet_Contents'!$A$2:$A$3000,$A2))</f>
        <v>0</v>
      </c>
      <c r="X2952">
        <f>IF($A2="","",SUMIF('07_Pallet_Contents'!$A$2:$A$3000,$A2,'07_Pallet_Contents'!$D$2:$D$3000))</f>
        <v>0</v>
      </c>
      <c r="Y2952">
        <f>IF($A2="","",SUMIF('07_Pallet_Contents'!$A$2:$A$3000,$A2,'07_Pallet_Contents'!$I$2:$I$3000))</f>
        <v>0</v>
      </c>
      <c r="Z2952" t="str">
        <f>IF($A2="","",IF(COUNTIF('07_Pallet_Contents'!$A$2:$A$3000,$A2)&gt;0,"Yes",""))</f>
        <v/>
      </c>
    </row>
    <row r="2953" spans="23:26">
      <c r="W2953">
        <f>IF($A2="","",COUNTIF('07_Pallet_Contents'!$A$2:$A$3000,$A2))</f>
        <v>0</v>
      </c>
      <c r="X2953">
        <f>IF($A2="","",SUMIF('07_Pallet_Contents'!$A$2:$A$3000,$A2,'07_Pallet_Contents'!$D$2:$D$3000))</f>
        <v>0</v>
      </c>
      <c r="Y2953">
        <f>IF($A2="","",SUMIF('07_Pallet_Contents'!$A$2:$A$3000,$A2,'07_Pallet_Contents'!$I$2:$I$3000))</f>
        <v>0</v>
      </c>
      <c r="Z2953" t="str">
        <f>IF($A2="","",IF(COUNTIF('07_Pallet_Contents'!$A$2:$A$3000,$A2)&gt;0,"Yes",""))</f>
        <v/>
      </c>
    </row>
    <row r="2954" spans="23:26">
      <c r="W2954">
        <f>IF($A2="","",COUNTIF('07_Pallet_Contents'!$A$2:$A$3000,$A2))</f>
        <v>0</v>
      </c>
      <c r="X2954">
        <f>IF($A2="","",SUMIF('07_Pallet_Contents'!$A$2:$A$3000,$A2,'07_Pallet_Contents'!$D$2:$D$3000))</f>
        <v>0</v>
      </c>
      <c r="Y2954">
        <f>IF($A2="","",SUMIF('07_Pallet_Contents'!$A$2:$A$3000,$A2,'07_Pallet_Contents'!$I$2:$I$3000))</f>
        <v>0</v>
      </c>
      <c r="Z2954" t="str">
        <f>IF($A2="","",IF(COUNTIF('07_Pallet_Contents'!$A$2:$A$3000,$A2)&gt;0,"Yes",""))</f>
        <v/>
      </c>
    </row>
    <row r="2955" spans="23:26">
      <c r="W2955">
        <f>IF($A2="","",COUNTIF('07_Pallet_Contents'!$A$2:$A$3000,$A2))</f>
        <v>0</v>
      </c>
      <c r="X2955">
        <f>IF($A2="","",SUMIF('07_Pallet_Contents'!$A$2:$A$3000,$A2,'07_Pallet_Contents'!$D$2:$D$3000))</f>
        <v>0</v>
      </c>
      <c r="Y2955">
        <f>IF($A2="","",SUMIF('07_Pallet_Contents'!$A$2:$A$3000,$A2,'07_Pallet_Contents'!$I$2:$I$3000))</f>
        <v>0</v>
      </c>
      <c r="Z2955" t="str">
        <f>IF($A2="","",IF(COUNTIF('07_Pallet_Contents'!$A$2:$A$3000,$A2)&gt;0,"Yes",""))</f>
        <v/>
      </c>
    </row>
    <row r="2956" spans="23:26">
      <c r="W2956">
        <f>IF($A2="","",COUNTIF('07_Pallet_Contents'!$A$2:$A$3000,$A2))</f>
        <v>0</v>
      </c>
      <c r="X2956">
        <f>IF($A2="","",SUMIF('07_Pallet_Contents'!$A$2:$A$3000,$A2,'07_Pallet_Contents'!$D$2:$D$3000))</f>
        <v>0</v>
      </c>
      <c r="Y2956">
        <f>IF($A2="","",SUMIF('07_Pallet_Contents'!$A$2:$A$3000,$A2,'07_Pallet_Contents'!$I$2:$I$3000))</f>
        <v>0</v>
      </c>
      <c r="Z2956" t="str">
        <f>IF($A2="","",IF(COUNTIF('07_Pallet_Contents'!$A$2:$A$3000,$A2)&gt;0,"Yes",""))</f>
        <v/>
      </c>
    </row>
    <row r="2957" spans="23:26">
      <c r="W2957">
        <f>IF($A2="","",COUNTIF('07_Pallet_Contents'!$A$2:$A$3000,$A2))</f>
        <v>0</v>
      </c>
      <c r="X2957">
        <f>IF($A2="","",SUMIF('07_Pallet_Contents'!$A$2:$A$3000,$A2,'07_Pallet_Contents'!$D$2:$D$3000))</f>
        <v>0</v>
      </c>
      <c r="Y2957">
        <f>IF($A2="","",SUMIF('07_Pallet_Contents'!$A$2:$A$3000,$A2,'07_Pallet_Contents'!$I$2:$I$3000))</f>
        <v>0</v>
      </c>
      <c r="Z2957" t="str">
        <f>IF($A2="","",IF(COUNTIF('07_Pallet_Contents'!$A$2:$A$3000,$A2)&gt;0,"Yes",""))</f>
        <v/>
      </c>
    </row>
    <row r="2958" spans="23:26">
      <c r="W2958">
        <f>IF($A2="","",COUNTIF('07_Pallet_Contents'!$A$2:$A$3000,$A2))</f>
        <v>0</v>
      </c>
      <c r="X2958">
        <f>IF($A2="","",SUMIF('07_Pallet_Contents'!$A$2:$A$3000,$A2,'07_Pallet_Contents'!$D$2:$D$3000))</f>
        <v>0</v>
      </c>
      <c r="Y2958">
        <f>IF($A2="","",SUMIF('07_Pallet_Contents'!$A$2:$A$3000,$A2,'07_Pallet_Contents'!$I$2:$I$3000))</f>
        <v>0</v>
      </c>
      <c r="Z2958" t="str">
        <f>IF($A2="","",IF(COUNTIF('07_Pallet_Contents'!$A$2:$A$3000,$A2)&gt;0,"Yes",""))</f>
        <v/>
      </c>
    </row>
    <row r="2959" spans="23:26">
      <c r="W2959">
        <f>IF($A2="","",COUNTIF('07_Pallet_Contents'!$A$2:$A$3000,$A2))</f>
        <v>0</v>
      </c>
      <c r="X2959">
        <f>IF($A2="","",SUMIF('07_Pallet_Contents'!$A$2:$A$3000,$A2,'07_Pallet_Contents'!$D$2:$D$3000))</f>
        <v>0</v>
      </c>
      <c r="Y2959">
        <f>IF($A2="","",SUMIF('07_Pallet_Contents'!$A$2:$A$3000,$A2,'07_Pallet_Contents'!$I$2:$I$3000))</f>
        <v>0</v>
      </c>
      <c r="Z2959" t="str">
        <f>IF($A2="","",IF(COUNTIF('07_Pallet_Contents'!$A$2:$A$3000,$A2)&gt;0,"Yes",""))</f>
        <v/>
      </c>
    </row>
    <row r="2960" spans="23:26">
      <c r="W2960">
        <f>IF($A2="","",COUNTIF('07_Pallet_Contents'!$A$2:$A$3000,$A2))</f>
        <v>0</v>
      </c>
      <c r="X2960">
        <f>IF($A2="","",SUMIF('07_Pallet_Contents'!$A$2:$A$3000,$A2,'07_Pallet_Contents'!$D$2:$D$3000))</f>
        <v>0</v>
      </c>
      <c r="Y2960">
        <f>IF($A2="","",SUMIF('07_Pallet_Contents'!$A$2:$A$3000,$A2,'07_Pallet_Contents'!$I$2:$I$3000))</f>
        <v>0</v>
      </c>
      <c r="Z2960" t="str">
        <f>IF($A2="","",IF(COUNTIF('07_Pallet_Contents'!$A$2:$A$3000,$A2)&gt;0,"Yes",""))</f>
        <v/>
      </c>
    </row>
    <row r="2961" spans="23:26">
      <c r="W2961">
        <f>IF($A2="","",COUNTIF('07_Pallet_Contents'!$A$2:$A$3000,$A2))</f>
        <v>0</v>
      </c>
      <c r="X2961">
        <f>IF($A2="","",SUMIF('07_Pallet_Contents'!$A$2:$A$3000,$A2,'07_Pallet_Contents'!$D$2:$D$3000))</f>
        <v>0</v>
      </c>
      <c r="Y2961">
        <f>IF($A2="","",SUMIF('07_Pallet_Contents'!$A$2:$A$3000,$A2,'07_Pallet_Contents'!$I$2:$I$3000))</f>
        <v>0</v>
      </c>
      <c r="Z2961" t="str">
        <f>IF($A2="","",IF(COUNTIF('07_Pallet_Contents'!$A$2:$A$3000,$A2)&gt;0,"Yes",""))</f>
        <v/>
      </c>
    </row>
    <row r="2962" spans="23:26">
      <c r="W2962">
        <f>IF($A2="","",COUNTIF('07_Pallet_Contents'!$A$2:$A$3000,$A2))</f>
        <v>0</v>
      </c>
      <c r="X2962">
        <f>IF($A2="","",SUMIF('07_Pallet_Contents'!$A$2:$A$3000,$A2,'07_Pallet_Contents'!$D$2:$D$3000))</f>
        <v>0</v>
      </c>
      <c r="Y2962">
        <f>IF($A2="","",SUMIF('07_Pallet_Contents'!$A$2:$A$3000,$A2,'07_Pallet_Contents'!$I$2:$I$3000))</f>
        <v>0</v>
      </c>
      <c r="Z2962" t="str">
        <f>IF($A2="","",IF(COUNTIF('07_Pallet_Contents'!$A$2:$A$3000,$A2)&gt;0,"Yes",""))</f>
        <v/>
      </c>
    </row>
    <row r="2963" spans="23:26">
      <c r="W2963">
        <f>IF($A2="","",COUNTIF('07_Pallet_Contents'!$A$2:$A$3000,$A2))</f>
        <v>0</v>
      </c>
      <c r="X2963">
        <f>IF($A2="","",SUMIF('07_Pallet_Contents'!$A$2:$A$3000,$A2,'07_Pallet_Contents'!$D$2:$D$3000))</f>
        <v>0</v>
      </c>
      <c r="Y2963">
        <f>IF($A2="","",SUMIF('07_Pallet_Contents'!$A$2:$A$3000,$A2,'07_Pallet_Contents'!$I$2:$I$3000))</f>
        <v>0</v>
      </c>
      <c r="Z2963" t="str">
        <f>IF($A2="","",IF(COUNTIF('07_Pallet_Contents'!$A$2:$A$3000,$A2)&gt;0,"Yes",""))</f>
        <v/>
      </c>
    </row>
    <row r="2964" spans="23:26">
      <c r="W2964">
        <f>IF($A2="","",COUNTIF('07_Pallet_Contents'!$A$2:$A$3000,$A2))</f>
        <v>0</v>
      </c>
      <c r="X2964">
        <f>IF($A2="","",SUMIF('07_Pallet_Contents'!$A$2:$A$3000,$A2,'07_Pallet_Contents'!$D$2:$D$3000))</f>
        <v>0</v>
      </c>
      <c r="Y2964">
        <f>IF($A2="","",SUMIF('07_Pallet_Contents'!$A$2:$A$3000,$A2,'07_Pallet_Contents'!$I$2:$I$3000))</f>
        <v>0</v>
      </c>
      <c r="Z2964" t="str">
        <f>IF($A2="","",IF(COUNTIF('07_Pallet_Contents'!$A$2:$A$3000,$A2)&gt;0,"Yes",""))</f>
        <v/>
      </c>
    </row>
    <row r="2965" spans="23:26">
      <c r="W2965">
        <f>IF($A2="","",COUNTIF('07_Pallet_Contents'!$A$2:$A$3000,$A2))</f>
        <v>0</v>
      </c>
      <c r="X2965">
        <f>IF($A2="","",SUMIF('07_Pallet_Contents'!$A$2:$A$3000,$A2,'07_Pallet_Contents'!$D$2:$D$3000))</f>
        <v>0</v>
      </c>
      <c r="Y2965">
        <f>IF($A2="","",SUMIF('07_Pallet_Contents'!$A$2:$A$3000,$A2,'07_Pallet_Contents'!$I$2:$I$3000))</f>
        <v>0</v>
      </c>
      <c r="Z2965" t="str">
        <f>IF($A2="","",IF(COUNTIF('07_Pallet_Contents'!$A$2:$A$3000,$A2)&gt;0,"Yes",""))</f>
        <v/>
      </c>
    </row>
    <row r="2966" spans="23:26">
      <c r="W2966">
        <f>IF($A2="","",COUNTIF('07_Pallet_Contents'!$A$2:$A$3000,$A2))</f>
        <v>0</v>
      </c>
      <c r="X2966">
        <f>IF($A2="","",SUMIF('07_Pallet_Contents'!$A$2:$A$3000,$A2,'07_Pallet_Contents'!$D$2:$D$3000))</f>
        <v>0</v>
      </c>
      <c r="Y2966">
        <f>IF($A2="","",SUMIF('07_Pallet_Contents'!$A$2:$A$3000,$A2,'07_Pallet_Contents'!$I$2:$I$3000))</f>
        <v>0</v>
      </c>
      <c r="Z2966" t="str">
        <f>IF($A2="","",IF(COUNTIF('07_Pallet_Contents'!$A$2:$A$3000,$A2)&gt;0,"Yes",""))</f>
        <v/>
      </c>
    </row>
    <row r="2967" spans="23:26">
      <c r="W2967">
        <f>IF($A2="","",COUNTIF('07_Pallet_Contents'!$A$2:$A$3000,$A2))</f>
        <v>0</v>
      </c>
      <c r="X2967">
        <f>IF($A2="","",SUMIF('07_Pallet_Contents'!$A$2:$A$3000,$A2,'07_Pallet_Contents'!$D$2:$D$3000))</f>
        <v>0</v>
      </c>
      <c r="Y2967">
        <f>IF($A2="","",SUMIF('07_Pallet_Contents'!$A$2:$A$3000,$A2,'07_Pallet_Contents'!$I$2:$I$3000))</f>
        <v>0</v>
      </c>
      <c r="Z2967" t="str">
        <f>IF($A2="","",IF(COUNTIF('07_Pallet_Contents'!$A$2:$A$3000,$A2)&gt;0,"Yes",""))</f>
        <v/>
      </c>
    </row>
    <row r="2968" spans="23:26">
      <c r="W2968">
        <f>IF($A2="","",COUNTIF('07_Pallet_Contents'!$A$2:$A$3000,$A2))</f>
        <v>0</v>
      </c>
      <c r="X2968">
        <f>IF($A2="","",SUMIF('07_Pallet_Contents'!$A$2:$A$3000,$A2,'07_Pallet_Contents'!$D$2:$D$3000))</f>
        <v>0</v>
      </c>
      <c r="Y2968">
        <f>IF($A2="","",SUMIF('07_Pallet_Contents'!$A$2:$A$3000,$A2,'07_Pallet_Contents'!$I$2:$I$3000))</f>
        <v>0</v>
      </c>
      <c r="Z2968" t="str">
        <f>IF($A2="","",IF(COUNTIF('07_Pallet_Contents'!$A$2:$A$3000,$A2)&gt;0,"Yes",""))</f>
        <v/>
      </c>
    </row>
    <row r="2969" spans="23:26">
      <c r="W2969">
        <f>IF($A2="","",COUNTIF('07_Pallet_Contents'!$A$2:$A$3000,$A2))</f>
        <v>0</v>
      </c>
      <c r="X2969">
        <f>IF($A2="","",SUMIF('07_Pallet_Contents'!$A$2:$A$3000,$A2,'07_Pallet_Contents'!$D$2:$D$3000))</f>
        <v>0</v>
      </c>
      <c r="Y2969">
        <f>IF($A2="","",SUMIF('07_Pallet_Contents'!$A$2:$A$3000,$A2,'07_Pallet_Contents'!$I$2:$I$3000))</f>
        <v>0</v>
      </c>
      <c r="Z2969" t="str">
        <f>IF($A2="","",IF(COUNTIF('07_Pallet_Contents'!$A$2:$A$3000,$A2)&gt;0,"Yes",""))</f>
        <v/>
      </c>
    </row>
    <row r="2970" spans="23:26">
      <c r="W2970">
        <f>IF($A2="","",COUNTIF('07_Pallet_Contents'!$A$2:$A$3000,$A2))</f>
        <v>0</v>
      </c>
      <c r="X2970">
        <f>IF($A2="","",SUMIF('07_Pallet_Contents'!$A$2:$A$3000,$A2,'07_Pallet_Contents'!$D$2:$D$3000))</f>
        <v>0</v>
      </c>
      <c r="Y2970">
        <f>IF($A2="","",SUMIF('07_Pallet_Contents'!$A$2:$A$3000,$A2,'07_Pallet_Contents'!$I$2:$I$3000))</f>
        <v>0</v>
      </c>
      <c r="Z2970" t="str">
        <f>IF($A2="","",IF(COUNTIF('07_Pallet_Contents'!$A$2:$A$3000,$A2)&gt;0,"Yes",""))</f>
        <v/>
      </c>
    </row>
    <row r="2971" spans="23:26">
      <c r="W2971">
        <f>IF($A2="","",COUNTIF('07_Pallet_Contents'!$A$2:$A$3000,$A2))</f>
        <v>0</v>
      </c>
      <c r="X2971">
        <f>IF($A2="","",SUMIF('07_Pallet_Contents'!$A$2:$A$3000,$A2,'07_Pallet_Contents'!$D$2:$D$3000))</f>
        <v>0</v>
      </c>
      <c r="Y2971">
        <f>IF($A2="","",SUMIF('07_Pallet_Contents'!$A$2:$A$3000,$A2,'07_Pallet_Contents'!$I$2:$I$3000))</f>
        <v>0</v>
      </c>
      <c r="Z2971" t="str">
        <f>IF($A2="","",IF(COUNTIF('07_Pallet_Contents'!$A$2:$A$3000,$A2)&gt;0,"Yes",""))</f>
        <v/>
      </c>
    </row>
    <row r="2972" spans="23:26">
      <c r="W2972">
        <f>IF($A2="","",COUNTIF('07_Pallet_Contents'!$A$2:$A$3000,$A2))</f>
        <v>0</v>
      </c>
      <c r="X2972">
        <f>IF($A2="","",SUMIF('07_Pallet_Contents'!$A$2:$A$3000,$A2,'07_Pallet_Contents'!$D$2:$D$3000))</f>
        <v>0</v>
      </c>
      <c r="Y2972">
        <f>IF($A2="","",SUMIF('07_Pallet_Contents'!$A$2:$A$3000,$A2,'07_Pallet_Contents'!$I$2:$I$3000))</f>
        <v>0</v>
      </c>
      <c r="Z2972" t="str">
        <f>IF($A2="","",IF(COUNTIF('07_Pallet_Contents'!$A$2:$A$3000,$A2)&gt;0,"Yes",""))</f>
        <v/>
      </c>
    </row>
    <row r="2973" spans="23:26">
      <c r="W2973">
        <f>IF($A2="","",COUNTIF('07_Pallet_Contents'!$A$2:$A$3000,$A2))</f>
        <v>0</v>
      </c>
      <c r="X2973">
        <f>IF($A2="","",SUMIF('07_Pallet_Contents'!$A$2:$A$3000,$A2,'07_Pallet_Contents'!$D$2:$D$3000))</f>
        <v>0</v>
      </c>
      <c r="Y2973">
        <f>IF($A2="","",SUMIF('07_Pallet_Contents'!$A$2:$A$3000,$A2,'07_Pallet_Contents'!$I$2:$I$3000))</f>
        <v>0</v>
      </c>
      <c r="Z2973" t="str">
        <f>IF($A2="","",IF(COUNTIF('07_Pallet_Contents'!$A$2:$A$3000,$A2)&gt;0,"Yes",""))</f>
        <v/>
      </c>
    </row>
    <row r="2974" spans="23:26">
      <c r="W2974">
        <f>IF($A2="","",COUNTIF('07_Pallet_Contents'!$A$2:$A$3000,$A2))</f>
        <v>0</v>
      </c>
      <c r="X2974">
        <f>IF($A2="","",SUMIF('07_Pallet_Contents'!$A$2:$A$3000,$A2,'07_Pallet_Contents'!$D$2:$D$3000))</f>
        <v>0</v>
      </c>
      <c r="Y2974">
        <f>IF($A2="","",SUMIF('07_Pallet_Contents'!$A$2:$A$3000,$A2,'07_Pallet_Contents'!$I$2:$I$3000))</f>
        <v>0</v>
      </c>
      <c r="Z2974" t="str">
        <f>IF($A2="","",IF(COUNTIF('07_Pallet_Contents'!$A$2:$A$3000,$A2)&gt;0,"Yes",""))</f>
        <v/>
      </c>
    </row>
    <row r="2975" spans="23:26">
      <c r="W2975">
        <f>IF($A2="","",COUNTIF('07_Pallet_Contents'!$A$2:$A$3000,$A2))</f>
        <v>0</v>
      </c>
      <c r="X2975">
        <f>IF($A2="","",SUMIF('07_Pallet_Contents'!$A$2:$A$3000,$A2,'07_Pallet_Contents'!$D$2:$D$3000))</f>
        <v>0</v>
      </c>
      <c r="Y2975">
        <f>IF($A2="","",SUMIF('07_Pallet_Contents'!$A$2:$A$3000,$A2,'07_Pallet_Contents'!$I$2:$I$3000))</f>
        <v>0</v>
      </c>
      <c r="Z2975" t="str">
        <f>IF($A2="","",IF(COUNTIF('07_Pallet_Contents'!$A$2:$A$3000,$A2)&gt;0,"Yes",""))</f>
        <v/>
      </c>
    </row>
    <row r="2976" spans="23:26">
      <c r="W2976">
        <f>IF($A2="","",COUNTIF('07_Pallet_Contents'!$A$2:$A$3000,$A2))</f>
        <v>0</v>
      </c>
      <c r="X2976">
        <f>IF($A2="","",SUMIF('07_Pallet_Contents'!$A$2:$A$3000,$A2,'07_Pallet_Contents'!$D$2:$D$3000))</f>
        <v>0</v>
      </c>
      <c r="Y2976">
        <f>IF($A2="","",SUMIF('07_Pallet_Contents'!$A$2:$A$3000,$A2,'07_Pallet_Contents'!$I$2:$I$3000))</f>
        <v>0</v>
      </c>
      <c r="Z2976" t="str">
        <f>IF($A2="","",IF(COUNTIF('07_Pallet_Contents'!$A$2:$A$3000,$A2)&gt;0,"Yes",""))</f>
        <v/>
      </c>
    </row>
    <row r="2977" spans="23:26">
      <c r="W2977">
        <f>IF($A2="","",COUNTIF('07_Pallet_Contents'!$A$2:$A$3000,$A2))</f>
        <v>0</v>
      </c>
      <c r="X2977">
        <f>IF($A2="","",SUMIF('07_Pallet_Contents'!$A$2:$A$3000,$A2,'07_Pallet_Contents'!$D$2:$D$3000))</f>
        <v>0</v>
      </c>
      <c r="Y2977">
        <f>IF($A2="","",SUMIF('07_Pallet_Contents'!$A$2:$A$3000,$A2,'07_Pallet_Contents'!$I$2:$I$3000))</f>
        <v>0</v>
      </c>
      <c r="Z2977" t="str">
        <f>IF($A2="","",IF(COUNTIF('07_Pallet_Contents'!$A$2:$A$3000,$A2)&gt;0,"Yes",""))</f>
        <v/>
      </c>
    </row>
    <row r="2978" spans="23:26">
      <c r="W2978">
        <f>IF($A2="","",COUNTIF('07_Pallet_Contents'!$A$2:$A$3000,$A2))</f>
        <v>0</v>
      </c>
      <c r="X2978">
        <f>IF($A2="","",SUMIF('07_Pallet_Contents'!$A$2:$A$3000,$A2,'07_Pallet_Contents'!$D$2:$D$3000))</f>
        <v>0</v>
      </c>
      <c r="Y2978">
        <f>IF($A2="","",SUMIF('07_Pallet_Contents'!$A$2:$A$3000,$A2,'07_Pallet_Contents'!$I$2:$I$3000))</f>
        <v>0</v>
      </c>
      <c r="Z2978" t="str">
        <f>IF($A2="","",IF(COUNTIF('07_Pallet_Contents'!$A$2:$A$3000,$A2)&gt;0,"Yes",""))</f>
        <v/>
      </c>
    </row>
    <row r="2979" spans="23:26">
      <c r="W2979">
        <f>IF($A2="","",COUNTIF('07_Pallet_Contents'!$A$2:$A$3000,$A2))</f>
        <v>0</v>
      </c>
      <c r="X2979">
        <f>IF($A2="","",SUMIF('07_Pallet_Contents'!$A$2:$A$3000,$A2,'07_Pallet_Contents'!$D$2:$D$3000))</f>
        <v>0</v>
      </c>
      <c r="Y2979">
        <f>IF($A2="","",SUMIF('07_Pallet_Contents'!$A$2:$A$3000,$A2,'07_Pallet_Contents'!$I$2:$I$3000))</f>
        <v>0</v>
      </c>
      <c r="Z2979" t="str">
        <f>IF($A2="","",IF(COUNTIF('07_Pallet_Contents'!$A$2:$A$3000,$A2)&gt;0,"Yes",""))</f>
        <v/>
      </c>
    </row>
    <row r="2980" spans="23:26">
      <c r="W2980">
        <f>IF($A2="","",COUNTIF('07_Pallet_Contents'!$A$2:$A$3000,$A2))</f>
        <v>0</v>
      </c>
      <c r="X2980">
        <f>IF($A2="","",SUMIF('07_Pallet_Contents'!$A$2:$A$3000,$A2,'07_Pallet_Contents'!$D$2:$D$3000))</f>
        <v>0</v>
      </c>
      <c r="Y2980">
        <f>IF($A2="","",SUMIF('07_Pallet_Contents'!$A$2:$A$3000,$A2,'07_Pallet_Contents'!$I$2:$I$3000))</f>
        <v>0</v>
      </c>
      <c r="Z2980" t="str">
        <f>IF($A2="","",IF(COUNTIF('07_Pallet_Contents'!$A$2:$A$3000,$A2)&gt;0,"Yes",""))</f>
        <v/>
      </c>
    </row>
    <row r="2981" spans="23:26">
      <c r="W2981">
        <f>IF($A2="","",COUNTIF('07_Pallet_Contents'!$A$2:$A$3000,$A2))</f>
        <v>0</v>
      </c>
      <c r="X2981">
        <f>IF($A2="","",SUMIF('07_Pallet_Contents'!$A$2:$A$3000,$A2,'07_Pallet_Contents'!$D$2:$D$3000))</f>
        <v>0</v>
      </c>
      <c r="Y2981">
        <f>IF($A2="","",SUMIF('07_Pallet_Contents'!$A$2:$A$3000,$A2,'07_Pallet_Contents'!$I$2:$I$3000))</f>
        <v>0</v>
      </c>
      <c r="Z2981" t="str">
        <f>IF($A2="","",IF(COUNTIF('07_Pallet_Contents'!$A$2:$A$3000,$A2)&gt;0,"Yes",""))</f>
        <v/>
      </c>
    </row>
    <row r="2982" spans="23:26">
      <c r="W2982">
        <f>IF($A2="","",COUNTIF('07_Pallet_Contents'!$A$2:$A$3000,$A2))</f>
        <v>0</v>
      </c>
      <c r="X2982">
        <f>IF($A2="","",SUMIF('07_Pallet_Contents'!$A$2:$A$3000,$A2,'07_Pallet_Contents'!$D$2:$D$3000))</f>
        <v>0</v>
      </c>
      <c r="Y2982">
        <f>IF($A2="","",SUMIF('07_Pallet_Contents'!$A$2:$A$3000,$A2,'07_Pallet_Contents'!$I$2:$I$3000))</f>
        <v>0</v>
      </c>
      <c r="Z2982" t="str">
        <f>IF($A2="","",IF(COUNTIF('07_Pallet_Contents'!$A$2:$A$3000,$A2)&gt;0,"Yes",""))</f>
        <v/>
      </c>
    </row>
    <row r="2983" spans="23:26">
      <c r="W2983">
        <f>IF($A2="","",COUNTIF('07_Pallet_Contents'!$A$2:$A$3000,$A2))</f>
        <v>0</v>
      </c>
      <c r="X2983">
        <f>IF($A2="","",SUMIF('07_Pallet_Contents'!$A$2:$A$3000,$A2,'07_Pallet_Contents'!$D$2:$D$3000))</f>
        <v>0</v>
      </c>
      <c r="Y2983">
        <f>IF($A2="","",SUMIF('07_Pallet_Contents'!$A$2:$A$3000,$A2,'07_Pallet_Contents'!$I$2:$I$3000))</f>
        <v>0</v>
      </c>
      <c r="Z2983" t="str">
        <f>IF($A2="","",IF(COUNTIF('07_Pallet_Contents'!$A$2:$A$3000,$A2)&gt;0,"Yes",""))</f>
        <v/>
      </c>
    </row>
    <row r="2984" spans="23:26">
      <c r="W2984">
        <f>IF($A2="","",COUNTIF('07_Pallet_Contents'!$A$2:$A$3000,$A2))</f>
        <v>0</v>
      </c>
      <c r="X2984">
        <f>IF($A2="","",SUMIF('07_Pallet_Contents'!$A$2:$A$3000,$A2,'07_Pallet_Contents'!$D$2:$D$3000))</f>
        <v>0</v>
      </c>
      <c r="Y2984">
        <f>IF($A2="","",SUMIF('07_Pallet_Contents'!$A$2:$A$3000,$A2,'07_Pallet_Contents'!$I$2:$I$3000))</f>
        <v>0</v>
      </c>
      <c r="Z2984" t="str">
        <f>IF($A2="","",IF(COUNTIF('07_Pallet_Contents'!$A$2:$A$3000,$A2)&gt;0,"Yes",""))</f>
        <v/>
      </c>
    </row>
    <row r="2985" spans="23:26">
      <c r="W2985">
        <f>IF($A2="","",COUNTIF('07_Pallet_Contents'!$A$2:$A$3000,$A2))</f>
        <v>0</v>
      </c>
      <c r="X2985">
        <f>IF($A2="","",SUMIF('07_Pallet_Contents'!$A$2:$A$3000,$A2,'07_Pallet_Contents'!$D$2:$D$3000))</f>
        <v>0</v>
      </c>
      <c r="Y2985">
        <f>IF($A2="","",SUMIF('07_Pallet_Contents'!$A$2:$A$3000,$A2,'07_Pallet_Contents'!$I$2:$I$3000))</f>
        <v>0</v>
      </c>
      <c r="Z2985" t="str">
        <f>IF($A2="","",IF(COUNTIF('07_Pallet_Contents'!$A$2:$A$3000,$A2)&gt;0,"Yes",""))</f>
        <v/>
      </c>
    </row>
    <row r="2986" spans="23:26">
      <c r="W2986">
        <f>IF($A2="","",COUNTIF('07_Pallet_Contents'!$A$2:$A$3000,$A2))</f>
        <v>0</v>
      </c>
      <c r="X2986">
        <f>IF($A2="","",SUMIF('07_Pallet_Contents'!$A$2:$A$3000,$A2,'07_Pallet_Contents'!$D$2:$D$3000))</f>
        <v>0</v>
      </c>
      <c r="Y2986">
        <f>IF($A2="","",SUMIF('07_Pallet_Contents'!$A$2:$A$3000,$A2,'07_Pallet_Contents'!$I$2:$I$3000))</f>
        <v>0</v>
      </c>
      <c r="Z2986" t="str">
        <f>IF($A2="","",IF(COUNTIF('07_Pallet_Contents'!$A$2:$A$3000,$A2)&gt;0,"Yes",""))</f>
        <v/>
      </c>
    </row>
    <row r="2987" spans="23:26">
      <c r="W2987">
        <f>IF($A2="","",COUNTIF('07_Pallet_Contents'!$A$2:$A$3000,$A2))</f>
        <v>0</v>
      </c>
      <c r="X2987">
        <f>IF($A2="","",SUMIF('07_Pallet_Contents'!$A$2:$A$3000,$A2,'07_Pallet_Contents'!$D$2:$D$3000))</f>
        <v>0</v>
      </c>
      <c r="Y2987">
        <f>IF($A2="","",SUMIF('07_Pallet_Contents'!$A$2:$A$3000,$A2,'07_Pallet_Contents'!$I$2:$I$3000))</f>
        <v>0</v>
      </c>
      <c r="Z2987" t="str">
        <f>IF($A2="","",IF(COUNTIF('07_Pallet_Contents'!$A$2:$A$3000,$A2)&gt;0,"Yes",""))</f>
        <v/>
      </c>
    </row>
    <row r="2988" spans="23:26">
      <c r="W2988">
        <f>IF($A2="","",COUNTIF('07_Pallet_Contents'!$A$2:$A$3000,$A2))</f>
        <v>0</v>
      </c>
      <c r="X2988">
        <f>IF($A2="","",SUMIF('07_Pallet_Contents'!$A$2:$A$3000,$A2,'07_Pallet_Contents'!$D$2:$D$3000))</f>
        <v>0</v>
      </c>
      <c r="Y2988">
        <f>IF($A2="","",SUMIF('07_Pallet_Contents'!$A$2:$A$3000,$A2,'07_Pallet_Contents'!$I$2:$I$3000))</f>
        <v>0</v>
      </c>
      <c r="Z2988" t="str">
        <f>IF($A2="","",IF(COUNTIF('07_Pallet_Contents'!$A$2:$A$3000,$A2)&gt;0,"Yes",""))</f>
        <v/>
      </c>
    </row>
    <row r="2989" spans="23:26">
      <c r="W2989">
        <f>IF($A2="","",COUNTIF('07_Pallet_Contents'!$A$2:$A$3000,$A2))</f>
        <v>0</v>
      </c>
      <c r="X2989">
        <f>IF($A2="","",SUMIF('07_Pallet_Contents'!$A$2:$A$3000,$A2,'07_Pallet_Contents'!$D$2:$D$3000))</f>
        <v>0</v>
      </c>
      <c r="Y2989">
        <f>IF($A2="","",SUMIF('07_Pallet_Contents'!$A$2:$A$3000,$A2,'07_Pallet_Contents'!$I$2:$I$3000))</f>
        <v>0</v>
      </c>
      <c r="Z2989" t="str">
        <f>IF($A2="","",IF(COUNTIF('07_Pallet_Contents'!$A$2:$A$3000,$A2)&gt;0,"Yes",""))</f>
        <v/>
      </c>
    </row>
    <row r="2990" spans="23:26">
      <c r="W2990">
        <f>IF($A2="","",COUNTIF('07_Pallet_Contents'!$A$2:$A$3000,$A2))</f>
        <v>0</v>
      </c>
      <c r="X2990">
        <f>IF($A2="","",SUMIF('07_Pallet_Contents'!$A$2:$A$3000,$A2,'07_Pallet_Contents'!$D$2:$D$3000))</f>
        <v>0</v>
      </c>
      <c r="Y2990">
        <f>IF($A2="","",SUMIF('07_Pallet_Contents'!$A$2:$A$3000,$A2,'07_Pallet_Contents'!$I$2:$I$3000))</f>
        <v>0</v>
      </c>
      <c r="Z2990" t="str">
        <f>IF($A2="","",IF(COUNTIF('07_Pallet_Contents'!$A$2:$A$3000,$A2)&gt;0,"Yes",""))</f>
        <v/>
      </c>
    </row>
    <row r="2991" spans="23:26">
      <c r="W2991">
        <f>IF($A2="","",COUNTIF('07_Pallet_Contents'!$A$2:$A$3000,$A2))</f>
        <v>0</v>
      </c>
      <c r="X2991">
        <f>IF($A2="","",SUMIF('07_Pallet_Contents'!$A$2:$A$3000,$A2,'07_Pallet_Contents'!$D$2:$D$3000))</f>
        <v>0</v>
      </c>
      <c r="Y2991">
        <f>IF($A2="","",SUMIF('07_Pallet_Contents'!$A$2:$A$3000,$A2,'07_Pallet_Contents'!$I$2:$I$3000))</f>
        <v>0</v>
      </c>
      <c r="Z2991" t="str">
        <f>IF($A2="","",IF(COUNTIF('07_Pallet_Contents'!$A$2:$A$3000,$A2)&gt;0,"Yes",""))</f>
        <v/>
      </c>
    </row>
    <row r="2992" spans="23:26">
      <c r="W2992">
        <f>IF($A2="","",COUNTIF('07_Pallet_Contents'!$A$2:$A$3000,$A2))</f>
        <v>0</v>
      </c>
      <c r="X2992">
        <f>IF($A2="","",SUMIF('07_Pallet_Contents'!$A$2:$A$3000,$A2,'07_Pallet_Contents'!$D$2:$D$3000))</f>
        <v>0</v>
      </c>
      <c r="Y2992">
        <f>IF($A2="","",SUMIF('07_Pallet_Contents'!$A$2:$A$3000,$A2,'07_Pallet_Contents'!$I$2:$I$3000))</f>
        <v>0</v>
      </c>
      <c r="Z2992" t="str">
        <f>IF($A2="","",IF(COUNTIF('07_Pallet_Contents'!$A$2:$A$3000,$A2)&gt;0,"Yes",""))</f>
        <v/>
      </c>
    </row>
    <row r="2993" spans="23:26">
      <c r="W2993">
        <f>IF($A2="","",COUNTIF('07_Pallet_Contents'!$A$2:$A$3000,$A2))</f>
        <v>0</v>
      </c>
      <c r="X2993">
        <f>IF($A2="","",SUMIF('07_Pallet_Contents'!$A$2:$A$3000,$A2,'07_Pallet_Contents'!$D$2:$D$3000))</f>
        <v>0</v>
      </c>
      <c r="Y2993">
        <f>IF($A2="","",SUMIF('07_Pallet_Contents'!$A$2:$A$3000,$A2,'07_Pallet_Contents'!$I$2:$I$3000))</f>
        <v>0</v>
      </c>
      <c r="Z2993" t="str">
        <f>IF($A2="","",IF(COUNTIF('07_Pallet_Contents'!$A$2:$A$3000,$A2)&gt;0,"Yes",""))</f>
        <v/>
      </c>
    </row>
    <row r="2994" spans="23:26">
      <c r="W2994">
        <f>IF($A2="","",COUNTIF('07_Pallet_Contents'!$A$2:$A$3000,$A2))</f>
        <v>0</v>
      </c>
      <c r="X2994">
        <f>IF($A2="","",SUMIF('07_Pallet_Contents'!$A$2:$A$3000,$A2,'07_Pallet_Contents'!$D$2:$D$3000))</f>
        <v>0</v>
      </c>
      <c r="Y2994">
        <f>IF($A2="","",SUMIF('07_Pallet_Contents'!$A$2:$A$3000,$A2,'07_Pallet_Contents'!$I$2:$I$3000))</f>
        <v>0</v>
      </c>
      <c r="Z2994" t="str">
        <f>IF($A2="","",IF(COUNTIF('07_Pallet_Contents'!$A$2:$A$3000,$A2)&gt;0,"Yes",""))</f>
        <v/>
      </c>
    </row>
    <row r="2995" spans="23:26">
      <c r="W2995">
        <f>IF($A2="","",COUNTIF('07_Pallet_Contents'!$A$2:$A$3000,$A2))</f>
        <v>0</v>
      </c>
      <c r="X2995">
        <f>IF($A2="","",SUMIF('07_Pallet_Contents'!$A$2:$A$3000,$A2,'07_Pallet_Contents'!$D$2:$D$3000))</f>
        <v>0</v>
      </c>
      <c r="Y2995">
        <f>IF($A2="","",SUMIF('07_Pallet_Contents'!$A$2:$A$3000,$A2,'07_Pallet_Contents'!$I$2:$I$3000))</f>
        <v>0</v>
      </c>
      <c r="Z2995" t="str">
        <f>IF($A2="","",IF(COUNTIF('07_Pallet_Contents'!$A$2:$A$3000,$A2)&gt;0,"Yes",""))</f>
        <v/>
      </c>
    </row>
    <row r="2996" spans="23:26">
      <c r="W2996">
        <f>IF($A2="","",COUNTIF('07_Pallet_Contents'!$A$2:$A$3000,$A2))</f>
        <v>0</v>
      </c>
      <c r="X2996">
        <f>IF($A2="","",SUMIF('07_Pallet_Contents'!$A$2:$A$3000,$A2,'07_Pallet_Contents'!$D$2:$D$3000))</f>
        <v>0</v>
      </c>
      <c r="Y2996">
        <f>IF($A2="","",SUMIF('07_Pallet_Contents'!$A$2:$A$3000,$A2,'07_Pallet_Contents'!$I$2:$I$3000))</f>
        <v>0</v>
      </c>
      <c r="Z2996" t="str">
        <f>IF($A2="","",IF(COUNTIF('07_Pallet_Contents'!$A$2:$A$3000,$A2)&gt;0,"Yes",""))</f>
        <v/>
      </c>
    </row>
    <row r="2997" spans="23:26">
      <c r="W2997">
        <f>IF($A2="","",COUNTIF('07_Pallet_Contents'!$A$2:$A$3000,$A2))</f>
        <v>0</v>
      </c>
      <c r="X2997">
        <f>IF($A2="","",SUMIF('07_Pallet_Contents'!$A$2:$A$3000,$A2,'07_Pallet_Contents'!$D$2:$D$3000))</f>
        <v>0</v>
      </c>
      <c r="Y2997">
        <f>IF($A2="","",SUMIF('07_Pallet_Contents'!$A$2:$A$3000,$A2,'07_Pallet_Contents'!$I$2:$I$3000))</f>
        <v>0</v>
      </c>
      <c r="Z2997" t="str">
        <f>IF($A2="","",IF(COUNTIF('07_Pallet_Contents'!$A$2:$A$3000,$A2)&gt;0,"Yes",""))</f>
        <v/>
      </c>
    </row>
    <row r="2998" spans="23:26">
      <c r="W2998">
        <f>IF($A2="","",COUNTIF('07_Pallet_Contents'!$A$2:$A$3000,$A2))</f>
        <v>0</v>
      </c>
      <c r="X2998">
        <f>IF($A2="","",SUMIF('07_Pallet_Contents'!$A$2:$A$3000,$A2,'07_Pallet_Contents'!$D$2:$D$3000))</f>
        <v>0</v>
      </c>
      <c r="Y2998">
        <f>IF($A2="","",SUMIF('07_Pallet_Contents'!$A$2:$A$3000,$A2,'07_Pallet_Contents'!$I$2:$I$3000))</f>
        <v>0</v>
      </c>
      <c r="Z2998" t="str">
        <f>IF($A2="","",IF(COUNTIF('07_Pallet_Contents'!$A$2:$A$3000,$A2)&gt;0,"Yes",""))</f>
        <v/>
      </c>
    </row>
    <row r="2999" spans="23:26">
      <c r="W2999">
        <f>IF($A2="","",COUNTIF('07_Pallet_Contents'!$A$2:$A$3000,$A2))</f>
        <v>0</v>
      </c>
      <c r="X2999">
        <f>IF($A2="","",SUMIF('07_Pallet_Contents'!$A$2:$A$3000,$A2,'07_Pallet_Contents'!$D$2:$D$3000))</f>
        <v>0</v>
      </c>
      <c r="Y2999">
        <f>IF($A2="","",SUMIF('07_Pallet_Contents'!$A$2:$A$3000,$A2,'07_Pallet_Contents'!$I$2:$I$3000))</f>
        <v>0</v>
      </c>
      <c r="Z2999" t="str">
        <f>IF($A2="","",IF(COUNTIF('07_Pallet_Contents'!$A$2:$A$3000,$A2)&gt;0,"Yes",""))</f>
        <v/>
      </c>
    </row>
    <row r="3000" spans="23:26">
      <c r="W3000">
        <f>IF($A2="","",COUNTIF('07_Pallet_Contents'!$A$2:$A$3000,$A2))</f>
        <v>0</v>
      </c>
      <c r="X3000">
        <f>IF($A2="","",SUMIF('07_Pallet_Contents'!$A$2:$A$3000,$A2,'07_Pallet_Contents'!$D$2:$D$3000))</f>
        <v>0</v>
      </c>
      <c r="Y3000">
        <f>IF($A2="","",SUMIF('07_Pallet_Contents'!$A$2:$A$3000,$A2,'07_Pallet_Contents'!$I$2:$I$3000))</f>
        <v>0</v>
      </c>
      <c r="Z3000" t="str">
        <f>IF($A2="","",IF(COUNTIF('07_Pallet_Contents'!$A$2:$A$3000,$A2)&gt;0,"Yes",""))</f>
        <v/>
      </c>
    </row>
  </sheetData>
  <conditionalFormatting sqref="A2:R7 A8:B8 A9:R2002 D8:R8">
    <cfRule type="expression" dxfId="46" priority="3" stopIfTrue="1">
      <formula>AND(TRIM($A2)="",OR($B2&lt;&gt;"",$C2&lt;&gt;"",$D2&lt;&gt;"",$E2&lt;&gt;"",$I2&lt;&gt;"",$J2&lt;&gt;""))</formula>
    </cfRule>
    <cfRule type="expression" dxfId="45" priority="4">
      <formula>AND(TRIM($A2)&lt;&gt;"",NOT(AND(LEFT($A2,4)="PAL-",LEN($A2)=11,ISNUMBER(--MID($A2,5,7)))))</formula>
    </cfRule>
    <cfRule type="expression" dxfId="44" priority="5">
      <formula>AND(TRIM($A2)&lt;&gt;"",COUNTIF($A$2:$A$2002,$A2)&gt;1)</formula>
    </cfRule>
    <cfRule type="expression" dxfId="43" priority="6">
      <formula>AND(TRIM($A2)&lt;&gt;"",$C2&lt;&gt;"",$D2&lt;&gt;"",$D2&lt;&gt;"0",$C2&lt;&gt;$D2)</formula>
    </cfRule>
  </conditionalFormatting>
  <conditionalFormatting sqref="C8">
    <cfRule type="expression" dxfId="42" priority="1" stopIfTrue="1">
      <formula>AND(TRIM($A8)="",OR($B8&lt;&gt;"",$C8&lt;&gt;"",$D8&lt;&gt;"",$E8&lt;&gt;"",$F8&lt;&gt;"",$I8&lt;&gt;""))</formula>
    </cfRule>
    <cfRule type="expression" dxfId="41" priority="2">
      <formula>AND(TRIM($A8)&lt;&gt;"",COUNTIF($A$2:$A$2002,$A8)&gt;1)</formula>
    </cfRule>
  </conditionalFormatting>
  <dataValidations count="3">
    <dataValidation type="custom" allowBlank="1" showInputMessage="1" showErrorMessage="1" sqref="D3001:D1048576 H3001:H1048576 M3001:N1048576" xr:uid="{00000000-0002-0000-0300-000000000000}">
      <formula1>FALSE</formula1>
    </dataValidation>
    <dataValidation allowBlank="1" showInputMessage="1" showErrorMessage="1" sqref="A1:B3000 C1:C7 C9:C3000 D1:Z3000" xr:uid="{00000000-0002-0000-0300-000001000000}"/>
    <dataValidation allowBlank="1" showInputMessage="1" showErrorMessage="1" errorTitle="Automated field, foo 🤡" error="Skedaddle 💨. Don't overwrite formulas 😄" sqref="C8" xr:uid="{00000000-0002-0000-0300-000002000000}"/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59999389629810485"/>
  </sheetPr>
  <dimension ref="A1:Q501"/>
  <sheetViews>
    <sheetView workbookViewId="0">
      <pane xSplit="6" ySplit="1" topLeftCell="J2" activePane="bottomRight" state="frozen"/>
      <selection pane="bottomRight"/>
      <selection pane="bottomLeft"/>
      <selection pane="topRight"/>
    </sheetView>
  </sheetViews>
  <sheetFormatPr defaultRowHeight="15"/>
  <cols>
    <col min="1" max="1" width="43.7109375" customWidth="1"/>
    <col min="2" max="2" width="10" customWidth="1"/>
    <col min="4" max="4" width="14" customWidth="1"/>
    <col min="6" max="6" width="16" customWidth="1"/>
    <col min="7" max="7" width="10" customWidth="1"/>
    <col min="8" max="8" width="14" customWidth="1"/>
    <col min="9" max="9" width="34" customWidth="1"/>
    <col min="10" max="10" width="26" customWidth="1"/>
    <col min="11" max="11" width="14" customWidth="1"/>
    <col min="14" max="14" width="24" customWidth="1"/>
  </cols>
  <sheetData>
    <row r="1" spans="1:17" ht="42" customHeight="1">
      <c r="A1" s="67" t="s">
        <v>814</v>
      </c>
      <c r="B1" s="67" t="s">
        <v>815</v>
      </c>
      <c r="C1" s="67" t="s">
        <v>816</v>
      </c>
      <c r="D1" s="67" t="s">
        <v>817</v>
      </c>
      <c r="E1" s="67" t="s">
        <v>818</v>
      </c>
      <c r="F1" s="67" t="s">
        <v>819</v>
      </c>
      <c r="G1" s="67" t="s">
        <v>186</v>
      </c>
      <c r="H1" s="67" t="s">
        <v>820</v>
      </c>
      <c r="I1" s="67" t="s">
        <v>189</v>
      </c>
      <c r="J1" s="47" t="s">
        <v>821</v>
      </c>
      <c r="K1" s="47" t="s">
        <v>822</v>
      </c>
      <c r="L1" s="47" t="s">
        <v>823</v>
      </c>
      <c r="M1" s="47" t="s">
        <v>824</v>
      </c>
      <c r="N1" s="47" t="s">
        <v>825</v>
      </c>
      <c r="O1" t="s">
        <v>826</v>
      </c>
      <c r="P1" t="s">
        <v>827</v>
      </c>
      <c r="Q1" t="s">
        <v>828</v>
      </c>
    </row>
    <row r="2" spans="1:17">
      <c r="A2" t="s">
        <v>216</v>
      </c>
      <c r="B2" t="s">
        <v>829</v>
      </c>
      <c r="E2" t="s">
        <v>830</v>
      </c>
      <c r="F2">
        <v>1</v>
      </c>
      <c r="G2">
        <v>0</v>
      </c>
      <c r="H2" t="str">
        <f t="shared" ref="H2:H33" si="0">A2</f>
        <v>STAGED</v>
      </c>
      <c r="I2" t="s">
        <v>831</v>
      </c>
      <c r="J2" t="str">
        <f t="shared" ref="J2:J33" si="1">IF($I2&lt;&gt;"",$I2,$A2)</f>
        <v>WH-STAGE-OUT</v>
      </c>
      <c r="K2" t="str">
        <f t="shared" ref="K2:K65" si="2">IF($C2="","",IF(LEN($C2)=1,CODE(UPPER($C2))-64,IFERROR(VALUE(MID($C2,2,99)),"")))</f>
        <v/>
      </c>
      <c r="L2" t="str">
        <f t="shared" ref="L2:L65" si="3">IF($D2="","",IFERROR(VALUE($D2),""))</f>
        <v/>
      </c>
      <c r="M2" t="str">
        <f t="shared" ref="M2:M33" si="4">IFERROR(VALUE(MID($A2,FIND("Level",$A2)+5,99)),IF($E2="AISLE_FLOOR",0,IF($E2="OVERFLOW",0,IF($E2="ENDCAP",0,""))))</f>
        <v/>
      </c>
      <c r="N2" t="str">
        <f t="shared" ref="N2:N33" si="5">IF(AND($B2&lt;&gt;"",$C2&lt;&gt;"",ISNUMBER(--$D2)), $B2&amp;": "&amp;LEFT($C2,1)&amp;TEXT(--$D2,"00"), IF($I2&lt;&gt;"",$I2,$A2))</f>
        <v>WH-STAGE-OUT</v>
      </c>
      <c r="O2" t="str">
        <f t="shared" ref="O2:O65" si="6">IF(AND($C2&lt;&gt;"",ISNUMBER(--$D2)),LEFT($C2,1),"")</f>
        <v/>
      </c>
      <c r="P2">
        <f t="shared" ref="P2:P65" si="7">IF(ISNUMBER(--$D2),--$D2,"")</f>
        <v>0</v>
      </c>
      <c r="Q2" t="str">
        <f t="shared" ref="Q2:Q65" si="8">IF(AND($O2&lt;&gt;"",$P2&lt;&gt;""),$O2&amp;TEXT($P2,"00"),"")</f>
        <v/>
      </c>
    </row>
    <row r="3" spans="1:17">
      <c r="A3" t="s">
        <v>832</v>
      </c>
      <c r="B3" t="s">
        <v>829</v>
      </c>
      <c r="E3" t="s">
        <v>833</v>
      </c>
      <c r="F3">
        <v>1</v>
      </c>
      <c r="G3">
        <v>0</v>
      </c>
      <c r="H3" t="str">
        <f t="shared" si="0"/>
        <v>STAGE_OUT</v>
      </c>
      <c r="I3" t="s">
        <v>834</v>
      </c>
      <c r="J3" t="str">
        <f t="shared" si="1"/>
        <v>WH-QUARANTINE</v>
      </c>
      <c r="K3" t="str">
        <f t="shared" si="2"/>
        <v/>
      </c>
      <c r="L3" t="str">
        <f t="shared" si="3"/>
        <v/>
      </c>
      <c r="M3" t="str">
        <f t="shared" si="4"/>
        <v/>
      </c>
      <c r="N3" t="str">
        <f t="shared" si="5"/>
        <v>WH-QUARANTINE</v>
      </c>
      <c r="O3" t="str">
        <f t="shared" si="6"/>
        <v/>
      </c>
      <c r="P3">
        <f t="shared" si="7"/>
        <v>0</v>
      </c>
      <c r="Q3" t="str">
        <f t="shared" si="8"/>
        <v/>
      </c>
    </row>
    <row r="4" spans="1:17">
      <c r="A4" t="s">
        <v>835</v>
      </c>
      <c r="B4" t="s">
        <v>829</v>
      </c>
      <c r="E4" t="s">
        <v>836</v>
      </c>
      <c r="F4">
        <v>2</v>
      </c>
      <c r="G4">
        <v>0</v>
      </c>
      <c r="H4" t="str">
        <f t="shared" si="0"/>
        <v>QUARANTINE</v>
      </c>
      <c r="I4" t="s">
        <v>837</v>
      </c>
      <c r="J4" t="str">
        <f t="shared" si="1"/>
        <v>WH-Z1-A01-ENDCAP-L</v>
      </c>
      <c r="K4" t="str">
        <f t="shared" si="2"/>
        <v/>
      </c>
      <c r="L4" t="str">
        <f t="shared" si="3"/>
        <v/>
      </c>
      <c r="M4" t="str">
        <f t="shared" si="4"/>
        <v/>
      </c>
      <c r="N4" t="str">
        <f t="shared" si="5"/>
        <v>WH-Z1-A01-ENDCAP-L</v>
      </c>
      <c r="O4" t="str">
        <f t="shared" si="6"/>
        <v/>
      </c>
      <c r="P4">
        <f t="shared" si="7"/>
        <v>0</v>
      </c>
      <c r="Q4" t="str">
        <f t="shared" si="8"/>
        <v/>
      </c>
    </row>
    <row r="5" spans="1:17">
      <c r="A5" t="s">
        <v>838</v>
      </c>
      <c r="B5" t="s">
        <v>839</v>
      </c>
      <c r="C5" t="s">
        <v>840</v>
      </c>
      <c r="D5" t="s">
        <v>841</v>
      </c>
      <c r="E5" t="s">
        <v>842</v>
      </c>
      <c r="F5">
        <v>1</v>
      </c>
      <c r="G5">
        <v>2</v>
      </c>
      <c r="H5" t="str">
        <f t="shared" si="0"/>
        <v>Z1</v>
      </c>
      <c r="I5" t="s">
        <v>843</v>
      </c>
      <c r="J5" t="str">
        <f t="shared" si="1"/>
        <v>WH-Z1-AisleA-Bay1-Level1</v>
      </c>
      <c r="K5">
        <f t="shared" si="2"/>
        <v>12</v>
      </c>
      <c r="L5" t="str">
        <f t="shared" si="3"/>
        <v/>
      </c>
      <c r="M5" t="str">
        <f t="shared" si="4"/>
        <v/>
      </c>
      <c r="N5" t="str">
        <f t="shared" si="5"/>
        <v>WH-Z1-AisleA-Bay1-Level1</v>
      </c>
      <c r="O5" t="str">
        <f t="shared" si="6"/>
        <v/>
      </c>
      <c r="P5" t="str">
        <f t="shared" si="7"/>
        <v/>
      </c>
      <c r="Q5" t="str">
        <f t="shared" si="8"/>
        <v/>
      </c>
    </row>
    <row r="6" spans="1:17">
      <c r="A6" t="s">
        <v>844</v>
      </c>
      <c r="B6" t="s">
        <v>839</v>
      </c>
      <c r="C6" t="s">
        <v>845</v>
      </c>
      <c r="D6">
        <v>1</v>
      </c>
      <c r="E6" t="s">
        <v>846</v>
      </c>
      <c r="F6">
        <v>4</v>
      </c>
      <c r="G6">
        <v>2</v>
      </c>
      <c r="H6" t="str">
        <f t="shared" si="0"/>
        <v>A</v>
      </c>
      <c r="I6" t="s">
        <v>847</v>
      </c>
      <c r="J6" t="str">
        <f t="shared" si="1"/>
        <v>WH-Z1-AisleA-Bay1-Level2</v>
      </c>
      <c r="K6" t="str">
        <f t="shared" si="2"/>
        <v/>
      </c>
      <c r="L6">
        <f t="shared" si="3"/>
        <v>1</v>
      </c>
      <c r="M6" t="str">
        <f t="shared" si="4"/>
        <v/>
      </c>
      <c r="N6" t="str">
        <f t="shared" si="5"/>
        <v>A01: A01</v>
      </c>
      <c r="O6" t="str">
        <f t="shared" si="6"/>
        <v>A</v>
      </c>
      <c r="P6">
        <f t="shared" si="7"/>
        <v>1</v>
      </c>
      <c r="Q6" t="str">
        <f t="shared" si="8"/>
        <v>A01</v>
      </c>
    </row>
    <row r="7" spans="1:17">
      <c r="A7" t="s">
        <v>848</v>
      </c>
      <c r="B7" t="s">
        <v>839</v>
      </c>
      <c r="C7" t="s">
        <v>845</v>
      </c>
      <c r="D7">
        <v>1</v>
      </c>
      <c r="E7" t="s">
        <v>846</v>
      </c>
      <c r="F7">
        <v>4</v>
      </c>
      <c r="G7">
        <v>2</v>
      </c>
      <c r="H7" t="str">
        <f t="shared" si="0"/>
        <v>Between rows segment 02</v>
      </c>
      <c r="I7" t="s">
        <v>849</v>
      </c>
      <c r="J7" t="str">
        <f t="shared" si="1"/>
        <v>WH-Z1-A01-OVERFLOW-01</v>
      </c>
      <c r="K7" t="str">
        <f t="shared" si="2"/>
        <v/>
      </c>
      <c r="L7">
        <f t="shared" si="3"/>
        <v>1</v>
      </c>
      <c r="M7" t="str">
        <f t="shared" si="4"/>
        <v/>
      </c>
      <c r="N7" t="str">
        <f t="shared" si="5"/>
        <v>A01: A01</v>
      </c>
      <c r="O7" t="str">
        <f t="shared" si="6"/>
        <v>A</v>
      </c>
      <c r="P7">
        <f t="shared" si="7"/>
        <v>1</v>
      </c>
      <c r="Q7" t="str">
        <f t="shared" si="8"/>
        <v>A01</v>
      </c>
    </row>
    <row r="8" spans="1:17">
      <c r="A8" t="s">
        <v>850</v>
      </c>
      <c r="B8" t="s">
        <v>839</v>
      </c>
      <c r="C8" t="s">
        <v>840</v>
      </c>
      <c r="D8" t="s">
        <v>851</v>
      </c>
      <c r="E8" t="s">
        <v>852</v>
      </c>
      <c r="F8">
        <v>3</v>
      </c>
      <c r="G8">
        <v>7</v>
      </c>
      <c r="H8" t="str">
        <f t="shared" si="0"/>
        <v>01</v>
      </c>
      <c r="I8" t="s">
        <v>853</v>
      </c>
      <c r="J8" t="str">
        <f t="shared" si="1"/>
        <v>CHRIS</v>
      </c>
      <c r="K8">
        <f t="shared" si="2"/>
        <v>12</v>
      </c>
      <c r="L8" t="str">
        <f t="shared" si="3"/>
        <v/>
      </c>
      <c r="M8" t="str">
        <f t="shared" si="4"/>
        <v/>
      </c>
      <c r="N8" t="str">
        <f t="shared" si="5"/>
        <v>CHRIS</v>
      </c>
      <c r="O8" t="str">
        <f t="shared" si="6"/>
        <v/>
      </c>
      <c r="P8" t="str">
        <f t="shared" si="7"/>
        <v/>
      </c>
      <c r="Q8" t="str">
        <f t="shared" si="8"/>
        <v/>
      </c>
    </row>
    <row r="9" spans="1:17">
      <c r="A9" t="s">
        <v>225</v>
      </c>
      <c r="B9" t="s">
        <v>854</v>
      </c>
      <c r="E9" t="s">
        <v>852</v>
      </c>
      <c r="F9">
        <v>3</v>
      </c>
      <c r="G9">
        <v>0</v>
      </c>
      <c r="H9" t="str">
        <f t="shared" si="0"/>
        <v>UNSAFE</v>
      </c>
      <c r="I9" t="s">
        <v>855</v>
      </c>
      <c r="J9" t="str">
        <f t="shared" si="1"/>
        <v>WH-Z1-AisleA-Bay1-Level3</v>
      </c>
      <c r="K9" t="str">
        <f t="shared" si="2"/>
        <v/>
      </c>
      <c r="L9" t="str">
        <f t="shared" si="3"/>
        <v/>
      </c>
      <c r="M9" t="str">
        <f t="shared" si="4"/>
        <v/>
      </c>
      <c r="N9" t="str">
        <f t="shared" si="5"/>
        <v>WH-Z1-AisleA-Bay1-Level3</v>
      </c>
      <c r="O9" t="str">
        <f t="shared" si="6"/>
        <v/>
      </c>
      <c r="P9">
        <f t="shared" si="7"/>
        <v>0</v>
      </c>
      <c r="Q9" t="str">
        <f t="shared" si="8"/>
        <v/>
      </c>
    </row>
    <row r="10" spans="1:17">
      <c r="A10" t="s">
        <v>856</v>
      </c>
      <c r="B10" t="s">
        <v>839</v>
      </c>
      <c r="C10" t="s">
        <v>845</v>
      </c>
      <c r="D10">
        <v>1</v>
      </c>
      <c r="E10" t="s">
        <v>846</v>
      </c>
      <c r="F10">
        <v>4</v>
      </c>
      <c r="G10">
        <v>2</v>
      </c>
      <c r="H10" t="str">
        <f t="shared" si="0"/>
        <v>SAMPLE: Grid A03</v>
      </c>
      <c r="I10" t="s">
        <v>857</v>
      </c>
      <c r="J10" t="str">
        <f t="shared" si="1"/>
        <v>WH-Z1-AisleA-Bay1-Level4</v>
      </c>
      <c r="K10" t="str">
        <f t="shared" si="2"/>
        <v/>
      </c>
      <c r="L10">
        <f t="shared" si="3"/>
        <v>1</v>
      </c>
      <c r="M10" t="str">
        <f t="shared" si="4"/>
        <v/>
      </c>
      <c r="N10" t="str">
        <f t="shared" si="5"/>
        <v>A01: A01</v>
      </c>
      <c r="O10" t="str">
        <f t="shared" si="6"/>
        <v>A</v>
      </c>
      <c r="P10">
        <f t="shared" si="7"/>
        <v>1</v>
      </c>
      <c r="Q10" t="str">
        <f t="shared" si="8"/>
        <v>A01</v>
      </c>
    </row>
    <row r="11" spans="1:17">
      <c r="A11" t="s">
        <v>858</v>
      </c>
      <c r="B11" t="s">
        <v>839</v>
      </c>
      <c r="C11" t="s">
        <v>845</v>
      </c>
      <c r="D11">
        <v>1</v>
      </c>
      <c r="E11" t="s">
        <v>846</v>
      </c>
      <c r="F11">
        <v>4</v>
      </c>
      <c r="G11">
        <v>2</v>
      </c>
      <c r="H11" t="str">
        <f t="shared" si="0"/>
        <v>SAMPLE: Grid A04</v>
      </c>
      <c r="I11" t="s">
        <v>859</v>
      </c>
      <c r="J11" t="str">
        <f t="shared" si="1"/>
        <v>SAMPLE: Grid A05</v>
      </c>
      <c r="K11" t="str">
        <f t="shared" si="2"/>
        <v/>
      </c>
      <c r="L11">
        <f t="shared" si="3"/>
        <v>1</v>
      </c>
      <c r="M11" t="str">
        <f t="shared" si="4"/>
        <v/>
      </c>
      <c r="N11" t="str">
        <f t="shared" si="5"/>
        <v>A01: A01</v>
      </c>
      <c r="O11" t="str">
        <f t="shared" si="6"/>
        <v>A</v>
      </c>
      <c r="P11">
        <f t="shared" si="7"/>
        <v>1</v>
      </c>
      <c r="Q11" t="str">
        <f t="shared" si="8"/>
        <v>A01</v>
      </c>
    </row>
    <row r="12" spans="1:17">
      <c r="A12" t="s">
        <v>249</v>
      </c>
      <c r="B12" t="s">
        <v>839</v>
      </c>
      <c r="C12" t="s">
        <v>845</v>
      </c>
      <c r="D12">
        <v>1</v>
      </c>
      <c r="E12" t="s">
        <v>846</v>
      </c>
      <c r="F12">
        <v>4</v>
      </c>
      <c r="G12">
        <v>2</v>
      </c>
      <c r="H12" t="str">
        <f t="shared" si="0"/>
        <v>SAMPLE: Power Supplies</v>
      </c>
      <c r="I12" t="s">
        <v>860</v>
      </c>
      <c r="J12" t="str">
        <f t="shared" si="1"/>
        <v>SAMPLE: Grid A06</v>
      </c>
      <c r="K12" t="str">
        <f t="shared" si="2"/>
        <v/>
      </c>
      <c r="L12">
        <f t="shared" si="3"/>
        <v>1</v>
      </c>
      <c r="M12" t="str">
        <f t="shared" si="4"/>
        <v/>
      </c>
      <c r="N12" t="str">
        <f t="shared" si="5"/>
        <v>A01: A01</v>
      </c>
      <c r="O12" t="str">
        <f t="shared" si="6"/>
        <v>A</v>
      </c>
      <c r="P12">
        <f t="shared" si="7"/>
        <v>1</v>
      </c>
      <c r="Q12" t="str">
        <f t="shared" si="8"/>
        <v>A01</v>
      </c>
    </row>
    <row r="13" spans="1:17">
      <c r="A13" t="s">
        <v>252</v>
      </c>
      <c r="B13" t="s">
        <v>839</v>
      </c>
      <c r="C13" t="s">
        <v>845</v>
      </c>
      <c r="D13">
        <v>1</v>
      </c>
      <c r="E13" t="s">
        <v>846</v>
      </c>
      <c r="F13">
        <v>4</v>
      </c>
      <c r="G13">
        <v>2</v>
      </c>
      <c r="H13" t="str">
        <f t="shared" si="0"/>
        <v>SAMPLE: Imaging Equipment</v>
      </c>
      <c r="I13" t="s">
        <v>861</v>
      </c>
      <c r="J13" t="str">
        <f t="shared" si="1"/>
        <v>SAMPLE: Grid A07</v>
      </c>
      <c r="K13" t="str">
        <f t="shared" si="2"/>
        <v/>
      </c>
      <c r="L13">
        <f t="shared" si="3"/>
        <v>1</v>
      </c>
      <c r="M13" t="str">
        <f t="shared" si="4"/>
        <v/>
      </c>
      <c r="N13" t="str">
        <f t="shared" si="5"/>
        <v>A01: A01</v>
      </c>
      <c r="O13" t="str">
        <f t="shared" si="6"/>
        <v>A</v>
      </c>
      <c r="P13">
        <f t="shared" si="7"/>
        <v>1</v>
      </c>
      <c r="Q13" t="str">
        <f t="shared" si="8"/>
        <v>A01</v>
      </c>
    </row>
    <row r="14" spans="1:17">
      <c r="A14" t="s">
        <v>255</v>
      </c>
      <c r="B14" t="s">
        <v>839</v>
      </c>
      <c r="C14" t="s">
        <v>845</v>
      </c>
      <c r="D14">
        <v>1</v>
      </c>
      <c r="E14" t="s">
        <v>846</v>
      </c>
      <c r="F14">
        <v>4</v>
      </c>
      <c r="G14">
        <v>2</v>
      </c>
      <c r="H14" t="str">
        <f t="shared" si="0"/>
        <v>SAMPLE: Misc Hardware</v>
      </c>
      <c r="I14" t="s">
        <v>862</v>
      </c>
      <c r="J14" t="str">
        <f t="shared" si="1"/>
        <v>SAMPLE: Grid A08</v>
      </c>
      <c r="K14" t="str">
        <f t="shared" si="2"/>
        <v/>
      </c>
      <c r="L14">
        <f t="shared" si="3"/>
        <v>1</v>
      </c>
      <c r="M14" t="str">
        <f t="shared" si="4"/>
        <v/>
      </c>
      <c r="N14" t="str">
        <f t="shared" si="5"/>
        <v>A01: A01</v>
      </c>
      <c r="O14" t="str">
        <f t="shared" si="6"/>
        <v>A</v>
      </c>
      <c r="P14">
        <f t="shared" si="7"/>
        <v>1</v>
      </c>
      <c r="Q14" t="str">
        <f t="shared" si="8"/>
        <v>A01</v>
      </c>
    </row>
    <row r="15" spans="1:17">
      <c r="A15" t="s">
        <v>259</v>
      </c>
      <c r="B15" t="s">
        <v>839</v>
      </c>
      <c r="C15" t="s">
        <v>845</v>
      </c>
      <c r="D15">
        <v>1</v>
      </c>
      <c r="E15" t="s">
        <v>846</v>
      </c>
      <c r="F15">
        <v>4</v>
      </c>
      <c r="G15">
        <v>2</v>
      </c>
      <c r="H15" t="str">
        <f t="shared" si="0"/>
        <v>SAMPLE: Dell Devices</v>
      </c>
      <c r="I15" t="s">
        <v>863</v>
      </c>
      <c r="J15" t="str">
        <f t="shared" si="1"/>
        <v>SAMPLE: Grid A09</v>
      </c>
      <c r="K15" t="str">
        <f t="shared" si="2"/>
        <v/>
      </c>
      <c r="L15">
        <f t="shared" si="3"/>
        <v>1</v>
      </c>
      <c r="M15" t="str">
        <f t="shared" si="4"/>
        <v/>
      </c>
      <c r="N15" t="str">
        <f t="shared" si="5"/>
        <v>A01: A01</v>
      </c>
      <c r="O15" t="str">
        <f t="shared" si="6"/>
        <v>A</v>
      </c>
      <c r="P15">
        <f t="shared" si="7"/>
        <v>1</v>
      </c>
      <c r="Q15" t="str">
        <f t="shared" si="8"/>
        <v>A01</v>
      </c>
    </row>
    <row r="16" spans="1:17">
      <c r="A16" t="s">
        <v>262</v>
      </c>
      <c r="B16" t="s">
        <v>839</v>
      </c>
      <c r="C16" t="s">
        <v>845</v>
      </c>
      <c r="D16">
        <v>1</v>
      </c>
      <c r="E16" t="s">
        <v>846</v>
      </c>
      <c r="F16">
        <v>4</v>
      </c>
      <c r="G16">
        <v>2</v>
      </c>
      <c r="H16" t="str">
        <f t="shared" si="0"/>
        <v>PAL-0000013</v>
      </c>
      <c r="I16" t="s">
        <v>864</v>
      </c>
      <c r="J16" t="str">
        <f t="shared" si="1"/>
        <v>SAMPLE: Grid A10</v>
      </c>
      <c r="K16" t="str">
        <f t="shared" si="2"/>
        <v/>
      </c>
      <c r="L16">
        <f t="shared" si="3"/>
        <v>1</v>
      </c>
      <c r="M16" t="str">
        <f t="shared" si="4"/>
        <v/>
      </c>
      <c r="N16" t="str">
        <f t="shared" si="5"/>
        <v>A01: A01</v>
      </c>
      <c r="O16" t="str">
        <f t="shared" si="6"/>
        <v>A</v>
      </c>
      <c r="P16">
        <f t="shared" si="7"/>
        <v>1</v>
      </c>
      <c r="Q16" t="str">
        <f t="shared" si="8"/>
        <v>A01</v>
      </c>
    </row>
    <row r="17" spans="1:17">
      <c r="A17" t="s">
        <v>264</v>
      </c>
      <c r="B17" t="s">
        <v>839</v>
      </c>
      <c r="C17" t="s">
        <v>845</v>
      </c>
      <c r="D17">
        <v>1</v>
      </c>
      <c r="E17" t="s">
        <v>846</v>
      </c>
      <c r="F17">
        <v>4</v>
      </c>
      <c r="G17">
        <v>2</v>
      </c>
      <c r="H17" t="str">
        <f t="shared" si="0"/>
        <v>SAMPLE: Cables &amp; Adapters</v>
      </c>
      <c r="I17" t="s">
        <v>865</v>
      </c>
      <c r="J17" t="str">
        <f t="shared" si="1"/>
        <v>SAMPLE: Grid A11</v>
      </c>
      <c r="K17" t="str">
        <f t="shared" si="2"/>
        <v/>
      </c>
      <c r="L17">
        <f t="shared" si="3"/>
        <v>1</v>
      </c>
      <c r="M17" t="str">
        <f t="shared" si="4"/>
        <v/>
      </c>
      <c r="N17" t="str">
        <f t="shared" si="5"/>
        <v>A01: A01</v>
      </c>
      <c r="O17" t="str">
        <f t="shared" si="6"/>
        <v>A</v>
      </c>
      <c r="P17">
        <f t="shared" si="7"/>
        <v>1</v>
      </c>
      <c r="Q17" t="str">
        <f t="shared" si="8"/>
        <v>A01</v>
      </c>
    </row>
    <row r="18" spans="1:17">
      <c r="A18" t="s">
        <v>267</v>
      </c>
      <c r="B18" t="s">
        <v>839</v>
      </c>
      <c r="C18" t="s">
        <v>845</v>
      </c>
      <c r="D18">
        <v>1</v>
      </c>
      <c r="E18" t="s">
        <v>846</v>
      </c>
      <c r="F18">
        <v>4</v>
      </c>
      <c r="G18">
        <v>2</v>
      </c>
      <c r="H18" t="str">
        <f t="shared" si="0"/>
        <v>SAMPLE: Racks &amp; Rails</v>
      </c>
      <c r="I18" t="s">
        <v>866</v>
      </c>
      <c r="J18" t="str">
        <f t="shared" si="1"/>
        <v>SAMPLE: Grid A12</v>
      </c>
      <c r="K18" t="str">
        <f t="shared" si="2"/>
        <v/>
      </c>
      <c r="L18">
        <f t="shared" si="3"/>
        <v>1</v>
      </c>
      <c r="M18" t="str">
        <f t="shared" si="4"/>
        <v/>
      </c>
      <c r="N18" t="str">
        <f t="shared" si="5"/>
        <v>A01: A01</v>
      </c>
      <c r="O18" t="str">
        <f t="shared" si="6"/>
        <v>A</v>
      </c>
      <c r="P18">
        <f t="shared" si="7"/>
        <v>1</v>
      </c>
      <c r="Q18" t="str">
        <f t="shared" si="8"/>
        <v>A01</v>
      </c>
    </row>
    <row r="19" spans="1:17">
      <c r="A19" t="s">
        <v>271</v>
      </c>
      <c r="B19" t="s">
        <v>839</v>
      </c>
      <c r="C19" t="s">
        <v>845</v>
      </c>
      <c r="D19">
        <v>1</v>
      </c>
      <c r="E19" t="s">
        <v>846</v>
      </c>
      <c r="F19">
        <v>4</v>
      </c>
      <c r="G19">
        <v>2</v>
      </c>
      <c r="H19" t="str">
        <f t="shared" si="0"/>
        <v>SAMPLE: Networking Gear</v>
      </c>
      <c r="I19" t="s">
        <v>867</v>
      </c>
      <c r="J19" t="str">
        <f t="shared" si="1"/>
        <v>SAMPLE: Grid A13</v>
      </c>
      <c r="K19" t="str">
        <f t="shared" si="2"/>
        <v/>
      </c>
      <c r="L19">
        <f t="shared" si="3"/>
        <v>1</v>
      </c>
      <c r="M19" t="str">
        <f t="shared" si="4"/>
        <v/>
      </c>
      <c r="N19" t="str">
        <f t="shared" si="5"/>
        <v>A01: A01</v>
      </c>
      <c r="O19" t="str">
        <f t="shared" si="6"/>
        <v>A</v>
      </c>
      <c r="P19">
        <f t="shared" si="7"/>
        <v>1</v>
      </c>
      <c r="Q19" t="str">
        <f t="shared" si="8"/>
        <v>A01</v>
      </c>
    </row>
    <row r="20" spans="1:17">
      <c r="A20" t="s">
        <v>274</v>
      </c>
      <c r="B20" t="s">
        <v>839</v>
      </c>
      <c r="C20" t="s">
        <v>845</v>
      </c>
      <c r="D20">
        <v>1</v>
      </c>
      <c r="E20" t="s">
        <v>846</v>
      </c>
      <c r="F20">
        <v>4</v>
      </c>
      <c r="G20">
        <v>2</v>
      </c>
      <c r="H20" t="str">
        <f t="shared" si="0"/>
        <v>SAMPLE: Keyboards &amp; Mice</v>
      </c>
      <c r="I20" t="s">
        <v>868</v>
      </c>
      <c r="J20" t="str">
        <f t="shared" si="1"/>
        <v>SAMPLE: Grid A14</v>
      </c>
      <c r="K20" t="str">
        <f t="shared" si="2"/>
        <v/>
      </c>
      <c r="L20">
        <f t="shared" si="3"/>
        <v>1</v>
      </c>
      <c r="M20" t="str">
        <f t="shared" si="4"/>
        <v/>
      </c>
      <c r="N20" t="str">
        <f t="shared" si="5"/>
        <v>A01: A01</v>
      </c>
      <c r="O20" t="str">
        <f t="shared" si="6"/>
        <v>A</v>
      </c>
      <c r="P20">
        <f t="shared" si="7"/>
        <v>1</v>
      </c>
      <c r="Q20" t="str">
        <f t="shared" si="8"/>
        <v>A01</v>
      </c>
    </row>
    <row r="21" spans="1:17">
      <c r="A21" t="s">
        <v>277</v>
      </c>
      <c r="B21" t="s">
        <v>839</v>
      </c>
      <c r="C21" t="s">
        <v>845</v>
      </c>
      <c r="D21">
        <v>1</v>
      </c>
      <c r="E21" t="s">
        <v>846</v>
      </c>
      <c r="F21">
        <v>4</v>
      </c>
      <c r="G21">
        <v>2</v>
      </c>
      <c r="H21" t="str">
        <f t="shared" si="0"/>
        <v>SAMPLE: Spare Parts</v>
      </c>
      <c r="I21" t="s">
        <v>869</v>
      </c>
      <c r="J21" t="str">
        <f t="shared" si="1"/>
        <v>SAMPLE: Grid A15</v>
      </c>
      <c r="K21" t="str">
        <f t="shared" si="2"/>
        <v/>
      </c>
      <c r="L21">
        <f t="shared" si="3"/>
        <v>1</v>
      </c>
      <c r="M21" t="str">
        <f t="shared" si="4"/>
        <v/>
      </c>
      <c r="N21" t="str">
        <f t="shared" si="5"/>
        <v>A01: A01</v>
      </c>
      <c r="O21" t="str">
        <f t="shared" si="6"/>
        <v>A</v>
      </c>
      <c r="P21">
        <f t="shared" si="7"/>
        <v>1</v>
      </c>
      <c r="Q21" t="str">
        <f t="shared" si="8"/>
        <v>A01</v>
      </c>
    </row>
    <row r="22" spans="1:17">
      <c r="A22" t="s">
        <v>280</v>
      </c>
      <c r="B22" t="s">
        <v>839</v>
      </c>
      <c r="C22" t="s">
        <v>845</v>
      </c>
      <c r="D22">
        <v>1</v>
      </c>
      <c r="E22" t="s">
        <v>846</v>
      </c>
      <c r="F22">
        <v>4</v>
      </c>
      <c r="G22">
        <v>2</v>
      </c>
      <c r="H22" t="str">
        <f t="shared" si="0"/>
        <v>PAL-0000019</v>
      </c>
      <c r="I22" t="s">
        <v>870</v>
      </c>
      <c r="J22" t="str">
        <f t="shared" si="1"/>
        <v>SAMPLE: Grid A16</v>
      </c>
      <c r="K22" t="str">
        <f t="shared" si="2"/>
        <v/>
      </c>
      <c r="L22">
        <f t="shared" si="3"/>
        <v>1</v>
      </c>
      <c r="M22" t="str">
        <f t="shared" si="4"/>
        <v/>
      </c>
      <c r="N22" t="str">
        <f t="shared" si="5"/>
        <v>A01: A01</v>
      </c>
      <c r="O22" t="str">
        <f t="shared" si="6"/>
        <v>A</v>
      </c>
      <c r="P22">
        <f t="shared" si="7"/>
        <v>1</v>
      </c>
      <c r="Q22" t="str">
        <f t="shared" si="8"/>
        <v>A01</v>
      </c>
    </row>
    <row r="23" spans="1:17">
      <c r="A23" t="s">
        <v>282</v>
      </c>
      <c r="B23" t="s">
        <v>839</v>
      </c>
      <c r="C23" t="s">
        <v>845</v>
      </c>
      <c r="D23">
        <v>1</v>
      </c>
      <c r="E23" t="s">
        <v>846</v>
      </c>
      <c r="F23">
        <v>4</v>
      </c>
      <c r="G23">
        <v>2</v>
      </c>
      <c r="H23" t="str">
        <f t="shared" si="0"/>
        <v>PAL-0000020</v>
      </c>
      <c r="I23" t="s">
        <v>871</v>
      </c>
      <c r="J23" t="str">
        <f t="shared" si="1"/>
        <v>SAMPLE: Grid A17</v>
      </c>
      <c r="K23" t="str">
        <f t="shared" si="2"/>
        <v/>
      </c>
      <c r="L23">
        <f t="shared" si="3"/>
        <v>1</v>
      </c>
      <c r="M23" t="str">
        <f t="shared" si="4"/>
        <v/>
      </c>
      <c r="N23" t="str">
        <f t="shared" si="5"/>
        <v>A01: A01</v>
      </c>
      <c r="O23" t="str">
        <f t="shared" si="6"/>
        <v>A</v>
      </c>
      <c r="P23">
        <f t="shared" si="7"/>
        <v>1</v>
      </c>
      <c r="Q23" t="str">
        <f t="shared" si="8"/>
        <v>A01</v>
      </c>
    </row>
    <row r="24" spans="1:17">
      <c r="A24" t="s">
        <v>284</v>
      </c>
      <c r="B24" t="s">
        <v>839</v>
      </c>
      <c r="C24" t="s">
        <v>845</v>
      </c>
      <c r="D24">
        <v>1</v>
      </c>
      <c r="E24" t="s">
        <v>846</v>
      </c>
      <c r="F24">
        <v>4</v>
      </c>
      <c r="G24">
        <v>2</v>
      </c>
      <c r="H24" t="str">
        <f t="shared" si="0"/>
        <v>PAL-0000021</v>
      </c>
      <c r="I24" t="s">
        <v>872</v>
      </c>
      <c r="J24" t="str">
        <f t="shared" si="1"/>
        <v>SAMPLE: Grid A18</v>
      </c>
      <c r="K24" t="str">
        <f t="shared" si="2"/>
        <v/>
      </c>
      <c r="L24">
        <f t="shared" si="3"/>
        <v>1</v>
      </c>
      <c r="M24" t="str">
        <f t="shared" si="4"/>
        <v/>
      </c>
      <c r="N24" t="str">
        <f t="shared" si="5"/>
        <v>A01: A01</v>
      </c>
      <c r="O24" t="str">
        <f t="shared" si="6"/>
        <v>A</v>
      </c>
      <c r="P24">
        <f t="shared" si="7"/>
        <v>1</v>
      </c>
      <c r="Q24" t="str">
        <f t="shared" si="8"/>
        <v>A01</v>
      </c>
    </row>
    <row r="25" spans="1:17">
      <c r="A25" t="s">
        <v>286</v>
      </c>
      <c r="B25" t="s">
        <v>839</v>
      </c>
      <c r="C25" t="s">
        <v>845</v>
      </c>
      <c r="D25">
        <v>1</v>
      </c>
      <c r="E25" t="s">
        <v>846</v>
      </c>
      <c r="F25">
        <v>4</v>
      </c>
      <c r="G25">
        <v>2</v>
      </c>
      <c r="H25" t="str">
        <f t="shared" si="0"/>
        <v>PAL-0000022</v>
      </c>
      <c r="I25" t="s">
        <v>873</v>
      </c>
      <c r="J25" t="str">
        <f t="shared" si="1"/>
        <v>SAMPLE: Grid A19</v>
      </c>
      <c r="K25" t="str">
        <f t="shared" si="2"/>
        <v/>
      </c>
      <c r="L25">
        <f t="shared" si="3"/>
        <v>1</v>
      </c>
      <c r="M25" t="str">
        <f t="shared" si="4"/>
        <v/>
      </c>
      <c r="N25" t="str">
        <f t="shared" si="5"/>
        <v>A01: A01</v>
      </c>
      <c r="O25" t="str">
        <f t="shared" si="6"/>
        <v>A</v>
      </c>
      <c r="P25">
        <f t="shared" si="7"/>
        <v>1</v>
      </c>
      <c r="Q25" t="str">
        <f t="shared" si="8"/>
        <v>A01</v>
      </c>
    </row>
    <row r="26" spans="1:17">
      <c r="A26" t="s">
        <v>289</v>
      </c>
      <c r="B26" t="s">
        <v>839</v>
      </c>
      <c r="C26" t="s">
        <v>845</v>
      </c>
      <c r="D26">
        <v>1</v>
      </c>
      <c r="E26" t="s">
        <v>846</v>
      </c>
      <c r="F26">
        <v>4</v>
      </c>
      <c r="G26">
        <v>2</v>
      </c>
      <c r="H26" t="str">
        <f t="shared" si="0"/>
        <v>PAL-0000023</v>
      </c>
      <c r="I26" t="s">
        <v>874</v>
      </c>
      <c r="J26" t="str">
        <f t="shared" si="1"/>
        <v>SAMPLE: Grid A20</v>
      </c>
      <c r="K26" t="str">
        <f t="shared" si="2"/>
        <v/>
      </c>
      <c r="L26">
        <f t="shared" si="3"/>
        <v>1</v>
      </c>
      <c r="M26" t="str">
        <f t="shared" si="4"/>
        <v/>
      </c>
      <c r="N26" t="str">
        <f t="shared" si="5"/>
        <v>A01: A01</v>
      </c>
      <c r="O26" t="str">
        <f t="shared" si="6"/>
        <v>A</v>
      </c>
      <c r="P26">
        <f t="shared" si="7"/>
        <v>1</v>
      </c>
      <c r="Q26" t="str">
        <f t="shared" si="8"/>
        <v>A01</v>
      </c>
    </row>
    <row r="27" spans="1:17">
      <c r="A27" t="s">
        <v>291</v>
      </c>
      <c r="B27" t="s">
        <v>839</v>
      </c>
      <c r="C27" t="s">
        <v>845</v>
      </c>
      <c r="D27">
        <v>1</v>
      </c>
      <c r="E27" t="s">
        <v>846</v>
      </c>
      <c r="F27">
        <v>4</v>
      </c>
      <c r="G27">
        <v>2</v>
      </c>
      <c r="H27" t="str">
        <f t="shared" si="0"/>
        <v>PAL-0000024</v>
      </c>
      <c r="I27" t="s">
        <v>875</v>
      </c>
      <c r="J27" t="str">
        <f t="shared" si="1"/>
        <v>SAMPLE: Grid B01</v>
      </c>
      <c r="K27" t="str">
        <f t="shared" si="2"/>
        <v/>
      </c>
      <c r="L27">
        <f t="shared" si="3"/>
        <v>1</v>
      </c>
      <c r="M27" t="str">
        <f t="shared" si="4"/>
        <v/>
      </c>
      <c r="N27" t="str">
        <f t="shared" si="5"/>
        <v>A01: A01</v>
      </c>
      <c r="O27" t="str">
        <f t="shared" si="6"/>
        <v>A</v>
      </c>
      <c r="P27">
        <f t="shared" si="7"/>
        <v>1</v>
      </c>
      <c r="Q27" t="str">
        <f t="shared" si="8"/>
        <v>A01</v>
      </c>
    </row>
    <row r="28" spans="1:17">
      <c r="A28" t="s">
        <v>293</v>
      </c>
      <c r="B28" t="s">
        <v>839</v>
      </c>
      <c r="C28" t="s">
        <v>257</v>
      </c>
      <c r="D28">
        <v>1</v>
      </c>
      <c r="E28" t="s">
        <v>846</v>
      </c>
      <c r="F28">
        <v>4</v>
      </c>
      <c r="G28">
        <v>2</v>
      </c>
      <c r="H28" t="str">
        <f t="shared" si="0"/>
        <v>PAL-0000025</v>
      </c>
      <c r="I28" t="s">
        <v>876</v>
      </c>
      <c r="J28" t="str">
        <f t="shared" si="1"/>
        <v>SAMPLE: Grid B02</v>
      </c>
      <c r="K28" t="str">
        <f t="shared" si="2"/>
        <v/>
      </c>
      <c r="L28">
        <f t="shared" si="3"/>
        <v>1</v>
      </c>
      <c r="M28" t="str">
        <f t="shared" si="4"/>
        <v/>
      </c>
      <c r="N28" t="str">
        <f t="shared" si="5"/>
        <v>A01: P01</v>
      </c>
      <c r="O28" t="str">
        <f t="shared" si="6"/>
        <v>P</v>
      </c>
      <c r="P28">
        <f t="shared" si="7"/>
        <v>1</v>
      </c>
      <c r="Q28" t="str">
        <f t="shared" si="8"/>
        <v>P01</v>
      </c>
    </row>
    <row r="29" spans="1:17">
      <c r="A29" t="s">
        <v>295</v>
      </c>
      <c r="B29" t="s">
        <v>839</v>
      </c>
      <c r="C29" t="s">
        <v>257</v>
      </c>
      <c r="D29">
        <v>1</v>
      </c>
      <c r="E29" t="s">
        <v>846</v>
      </c>
      <c r="F29">
        <v>4</v>
      </c>
      <c r="G29">
        <v>2</v>
      </c>
      <c r="H29" t="str">
        <f t="shared" si="0"/>
        <v>PAL-0000026</v>
      </c>
      <c r="I29" t="s">
        <v>877</v>
      </c>
      <c r="J29" t="str">
        <f t="shared" si="1"/>
        <v>SAMPLE: Grid B03</v>
      </c>
      <c r="K29" t="str">
        <f t="shared" si="2"/>
        <v/>
      </c>
      <c r="L29">
        <f t="shared" si="3"/>
        <v>1</v>
      </c>
      <c r="M29" t="str">
        <f t="shared" si="4"/>
        <v/>
      </c>
      <c r="N29" t="str">
        <f t="shared" si="5"/>
        <v>A01: P01</v>
      </c>
      <c r="O29" t="str">
        <f t="shared" si="6"/>
        <v>P</v>
      </c>
      <c r="P29">
        <f t="shared" si="7"/>
        <v>1</v>
      </c>
      <c r="Q29" t="str">
        <f t="shared" si="8"/>
        <v>P01</v>
      </c>
    </row>
    <row r="30" spans="1:17">
      <c r="A30" t="s">
        <v>297</v>
      </c>
      <c r="B30" t="s">
        <v>839</v>
      </c>
      <c r="C30" t="s">
        <v>257</v>
      </c>
      <c r="D30">
        <v>1</v>
      </c>
      <c r="E30" t="s">
        <v>846</v>
      </c>
      <c r="F30">
        <v>4</v>
      </c>
      <c r="G30">
        <v>2</v>
      </c>
      <c r="H30" t="str">
        <f t="shared" si="0"/>
        <v>PAL-0000027</v>
      </c>
      <c r="I30" t="s">
        <v>878</v>
      </c>
      <c r="J30" t="str">
        <f t="shared" si="1"/>
        <v>SAMPLE: Grid B04</v>
      </c>
      <c r="K30" t="str">
        <f t="shared" si="2"/>
        <v/>
      </c>
      <c r="L30">
        <f t="shared" si="3"/>
        <v>1</v>
      </c>
      <c r="M30" t="str">
        <f t="shared" si="4"/>
        <v/>
      </c>
      <c r="N30" t="str">
        <f t="shared" si="5"/>
        <v>A01: P01</v>
      </c>
      <c r="O30" t="str">
        <f t="shared" si="6"/>
        <v>P</v>
      </c>
      <c r="P30">
        <f t="shared" si="7"/>
        <v>1</v>
      </c>
      <c r="Q30" t="str">
        <f t="shared" si="8"/>
        <v>P01</v>
      </c>
    </row>
    <row r="31" spans="1:17">
      <c r="A31" t="s">
        <v>299</v>
      </c>
      <c r="B31" t="s">
        <v>839</v>
      </c>
      <c r="C31" t="s">
        <v>257</v>
      </c>
      <c r="D31">
        <v>1</v>
      </c>
      <c r="E31" t="s">
        <v>846</v>
      </c>
      <c r="F31">
        <v>4</v>
      </c>
      <c r="G31">
        <v>2</v>
      </c>
      <c r="H31" t="str">
        <f t="shared" si="0"/>
        <v>PAL-0000028</v>
      </c>
      <c r="I31" t="s">
        <v>879</v>
      </c>
      <c r="J31" t="str">
        <f t="shared" si="1"/>
        <v>SAMPLE: Grid B05</v>
      </c>
      <c r="K31" t="str">
        <f t="shared" si="2"/>
        <v/>
      </c>
      <c r="L31">
        <f t="shared" si="3"/>
        <v>1</v>
      </c>
      <c r="M31" t="str">
        <f t="shared" si="4"/>
        <v/>
      </c>
      <c r="N31" t="str">
        <f t="shared" si="5"/>
        <v>A01: P01</v>
      </c>
      <c r="O31" t="str">
        <f t="shared" si="6"/>
        <v>P</v>
      </c>
      <c r="P31">
        <f t="shared" si="7"/>
        <v>1</v>
      </c>
      <c r="Q31" t="str">
        <f t="shared" si="8"/>
        <v>P01</v>
      </c>
    </row>
    <row r="32" spans="1:17">
      <c r="A32" t="s">
        <v>301</v>
      </c>
      <c r="B32" t="s">
        <v>839</v>
      </c>
      <c r="C32" t="s">
        <v>257</v>
      </c>
      <c r="D32">
        <v>1</v>
      </c>
      <c r="E32" t="s">
        <v>846</v>
      </c>
      <c r="F32">
        <v>4</v>
      </c>
      <c r="G32">
        <v>2</v>
      </c>
      <c r="H32" t="str">
        <f t="shared" si="0"/>
        <v>PAL-0000029</v>
      </c>
      <c r="I32" t="s">
        <v>880</v>
      </c>
      <c r="J32" t="str">
        <f t="shared" si="1"/>
        <v>SAMPLE: Grid B06</v>
      </c>
      <c r="K32" t="str">
        <f t="shared" si="2"/>
        <v/>
      </c>
      <c r="L32">
        <f t="shared" si="3"/>
        <v>1</v>
      </c>
      <c r="M32" t="str">
        <f t="shared" si="4"/>
        <v/>
      </c>
      <c r="N32" t="str">
        <f t="shared" si="5"/>
        <v>A01: P01</v>
      </c>
      <c r="O32" t="str">
        <f t="shared" si="6"/>
        <v>P</v>
      </c>
      <c r="P32">
        <f t="shared" si="7"/>
        <v>1</v>
      </c>
      <c r="Q32" t="str">
        <f t="shared" si="8"/>
        <v>P01</v>
      </c>
    </row>
    <row r="33" spans="1:17">
      <c r="A33" t="s">
        <v>304</v>
      </c>
      <c r="B33" t="s">
        <v>839</v>
      </c>
      <c r="C33" t="s">
        <v>257</v>
      </c>
      <c r="D33">
        <v>1</v>
      </c>
      <c r="E33" t="s">
        <v>846</v>
      </c>
      <c r="F33">
        <v>4</v>
      </c>
      <c r="G33">
        <v>2</v>
      </c>
      <c r="H33" t="str">
        <f t="shared" si="0"/>
        <v>PAL-0000030</v>
      </c>
      <c r="I33" t="s">
        <v>881</v>
      </c>
      <c r="J33" t="str">
        <f t="shared" si="1"/>
        <v>SAMPLE: Grid B07</v>
      </c>
      <c r="K33" t="str">
        <f t="shared" si="2"/>
        <v/>
      </c>
      <c r="L33">
        <f t="shared" si="3"/>
        <v>1</v>
      </c>
      <c r="M33" t="str">
        <f t="shared" si="4"/>
        <v/>
      </c>
      <c r="N33" t="str">
        <f t="shared" si="5"/>
        <v>A01: P01</v>
      </c>
      <c r="O33" t="str">
        <f t="shared" si="6"/>
        <v>P</v>
      </c>
      <c r="P33">
        <f t="shared" si="7"/>
        <v>1</v>
      </c>
      <c r="Q33" t="str">
        <f t="shared" si="8"/>
        <v>P01</v>
      </c>
    </row>
    <row r="34" spans="1:17">
      <c r="A34" t="s">
        <v>306</v>
      </c>
      <c r="B34" t="s">
        <v>839</v>
      </c>
      <c r="C34" t="s">
        <v>257</v>
      </c>
      <c r="D34">
        <v>1</v>
      </c>
      <c r="E34" t="s">
        <v>846</v>
      </c>
      <c r="F34">
        <v>4</v>
      </c>
      <c r="G34">
        <v>2</v>
      </c>
      <c r="H34" t="str">
        <f t="shared" ref="H34:H65" si="9">A34</f>
        <v>PAL-0000031</v>
      </c>
      <c r="I34" t="s">
        <v>882</v>
      </c>
      <c r="J34" t="str">
        <f t="shared" ref="J34:J65" si="10">IF($I34&lt;&gt;"",$I34,$A34)</f>
        <v>SAMPLE: Grid B08</v>
      </c>
      <c r="K34" t="str">
        <f t="shared" si="2"/>
        <v/>
      </c>
      <c r="L34">
        <f t="shared" si="3"/>
        <v>1</v>
      </c>
      <c r="M34" t="str">
        <f t="shared" ref="M34:M65" si="11">IFERROR(VALUE(MID($A34,FIND("Level",$A34)+5,99)),IF($E34="AISLE_FLOOR",0,IF($E34="OVERFLOW",0,IF($E34="ENDCAP",0,""))))</f>
        <v/>
      </c>
      <c r="N34" t="str">
        <f t="shared" ref="N34:N65" si="12">IF(AND($B34&lt;&gt;"",$C34&lt;&gt;"",ISNUMBER(--$D34)), $B34&amp;": "&amp;LEFT($C34,1)&amp;TEXT(--$D34,"00"), IF($I34&lt;&gt;"",$I34,$A34))</f>
        <v>A01: P01</v>
      </c>
      <c r="O34" t="str">
        <f t="shared" si="6"/>
        <v>P</v>
      </c>
      <c r="P34">
        <f t="shared" si="7"/>
        <v>1</v>
      </c>
      <c r="Q34" t="str">
        <f t="shared" si="8"/>
        <v>P01</v>
      </c>
    </row>
    <row r="35" spans="1:17">
      <c r="A35" t="s">
        <v>308</v>
      </c>
      <c r="B35" t="s">
        <v>839</v>
      </c>
      <c r="C35" t="s">
        <v>257</v>
      </c>
      <c r="D35">
        <v>1</v>
      </c>
      <c r="E35" t="s">
        <v>846</v>
      </c>
      <c r="F35">
        <v>4</v>
      </c>
      <c r="G35">
        <v>2</v>
      </c>
      <c r="H35" t="str">
        <f t="shared" si="9"/>
        <v>PAL-0000032</v>
      </c>
      <c r="I35" t="s">
        <v>883</v>
      </c>
      <c r="J35" t="str">
        <f t="shared" si="10"/>
        <v>SAMPLE: Grid B09</v>
      </c>
      <c r="K35" t="str">
        <f t="shared" si="2"/>
        <v/>
      </c>
      <c r="L35">
        <f t="shared" si="3"/>
        <v>1</v>
      </c>
      <c r="M35" t="str">
        <f t="shared" si="11"/>
        <v/>
      </c>
      <c r="N35" t="str">
        <f t="shared" si="12"/>
        <v>A01: P01</v>
      </c>
      <c r="O35" t="str">
        <f t="shared" si="6"/>
        <v>P</v>
      </c>
      <c r="P35">
        <f t="shared" si="7"/>
        <v>1</v>
      </c>
      <c r="Q35" t="str">
        <f t="shared" si="8"/>
        <v>P01</v>
      </c>
    </row>
    <row r="36" spans="1:17">
      <c r="A36" t="s">
        <v>310</v>
      </c>
      <c r="B36" t="s">
        <v>839</v>
      </c>
      <c r="C36" t="s">
        <v>257</v>
      </c>
      <c r="D36">
        <v>1</v>
      </c>
      <c r="E36" t="s">
        <v>846</v>
      </c>
      <c r="F36">
        <v>4</v>
      </c>
      <c r="G36">
        <v>2</v>
      </c>
      <c r="H36" t="str">
        <f t="shared" si="9"/>
        <v>PAL-0000033</v>
      </c>
      <c r="I36" t="s">
        <v>884</v>
      </c>
      <c r="J36" t="str">
        <f t="shared" si="10"/>
        <v>SAMPLE: Grid B10</v>
      </c>
      <c r="K36" t="str">
        <f t="shared" si="2"/>
        <v/>
      </c>
      <c r="L36">
        <f t="shared" si="3"/>
        <v>1</v>
      </c>
      <c r="M36" t="str">
        <f t="shared" si="11"/>
        <v/>
      </c>
      <c r="N36" t="str">
        <f t="shared" si="12"/>
        <v>A01: P01</v>
      </c>
      <c r="O36" t="str">
        <f t="shared" si="6"/>
        <v>P</v>
      </c>
      <c r="P36">
        <f t="shared" si="7"/>
        <v>1</v>
      </c>
      <c r="Q36" t="str">
        <f t="shared" si="8"/>
        <v>P01</v>
      </c>
    </row>
    <row r="37" spans="1:17">
      <c r="A37" t="s">
        <v>312</v>
      </c>
      <c r="B37" t="s">
        <v>839</v>
      </c>
      <c r="C37" t="s">
        <v>257</v>
      </c>
      <c r="D37">
        <v>1</v>
      </c>
      <c r="E37" t="s">
        <v>846</v>
      </c>
      <c r="F37">
        <v>4</v>
      </c>
      <c r="G37">
        <v>2</v>
      </c>
      <c r="H37" t="str">
        <f t="shared" si="9"/>
        <v>PAL-0000034</v>
      </c>
      <c r="I37" t="s">
        <v>885</v>
      </c>
      <c r="J37" t="str">
        <f t="shared" si="10"/>
        <v>SAMPLE: Grid B11</v>
      </c>
      <c r="K37" t="str">
        <f t="shared" si="2"/>
        <v/>
      </c>
      <c r="L37">
        <f t="shared" si="3"/>
        <v>1</v>
      </c>
      <c r="M37" t="str">
        <f t="shared" si="11"/>
        <v/>
      </c>
      <c r="N37" t="str">
        <f t="shared" si="12"/>
        <v>A01: P01</v>
      </c>
      <c r="O37" t="str">
        <f t="shared" si="6"/>
        <v>P</v>
      </c>
      <c r="P37">
        <f t="shared" si="7"/>
        <v>1</v>
      </c>
      <c r="Q37" t="str">
        <f t="shared" si="8"/>
        <v>P01</v>
      </c>
    </row>
    <row r="38" spans="1:17">
      <c r="A38" t="s">
        <v>314</v>
      </c>
      <c r="B38" t="s">
        <v>839</v>
      </c>
      <c r="C38" t="s">
        <v>257</v>
      </c>
      <c r="D38">
        <v>1</v>
      </c>
      <c r="E38" t="s">
        <v>846</v>
      </c>
      <c r="F38">
        <v>4</v>
      </c>
      <c r="G38">
        <v>2</v>
      </c>
      <c r="H38" t="str">
        <f t="shared" si="9"/>
        <v>PAL-0000035</v>
      </c>
      <c r="I38" t="s">
        <v>886</v>
      </c>
      <c r="J38" t="str">
        <f t="shared" si="10"/>
        <v>SAMPLE: Grid B12</v>
      </c>
      <c r="K38" t="str">
        <f t="shared" si="2"/>
        <v/>
      </c>
      <c r="L38">
        <f t="shared" si="3"/>
        <v>1</v>
      </c>
      <c r="M38" t="str">
        <f t="shared" si="11"/>
        <v/>
      </c>
      <c r="N38" t="str">
        <f t="shared" si="12"/>
        <v>A01: P01</v>
      </c>
      <c r="O38" t="str">
        <f t="shared" si="6"/>
        <v>P</v>
      </c>
      <c r="P38">
        <f t="shared" si="7"/>
        <v>1</v>
      </c>
      <c r="Q38" t="str">
        <f t="shared" si="8"/>
        <v>P01</v>
      </c>
    </row>
    <row r="39" spans="1:17">
      <c r="A39" t="s">
        <v>316</v>
      </c>
      <c r="B39" t="s">
        <v>839</v>
      </c>
      <c r="C39" t="s">
        <v>257</v>
      </c>
      <c r="D39">
        <v>1</v>
      </c>
      <c r="E39" t="s">
        <v>846</v>
      </c>
      <c r="F39">
        <v>4</v>
      </c>
      <c r="G39">
        <v>2</v>
      </c>
      <c r="H39" t="str">
        <f t="shared" si="9"/>
        <v>PAL-0000036</v>
      </c>
      <c r="I39" t="s">
        <v>887</v>
      </c>
      <c r="J39" t="str">
        <f t="shared" si="10"/>
        <v>SAMPLE: Grid B13</v>
      </c>
      <c r="K39" t="str">
        <f t="shared" si="2"/>
        <v/>
      </c>
      <c r="L39">
        <f t="shared" si="3"/>
        <v>1</v>
      </c>
      <c r="M39" t="str">
        <f t="shared" si="11"/>
        <v/>
      </c>
      <c r="N39" t="str">
        <f t="shared" si="12"/>
        <v>A01: P01</v>
      </c>
      <c r="O39" t="str">
        <f t="shared" si="6"/>
        <v>P</v>
      </c>
      <c r="P39">
        <f t="shared" si="7"/>
        <v>1</v>
      </c>
      <c r="Q39" t="str">
        <f t="shared" si="8"/>
        <v>P01</v>
      </c>
    </row>
    <row r="40" spans="1:17">
      <c r="A40" t="s">
        <v>319</v>
      </c>
      <c r="B40" t="s">
        <v>839</v>
      </c>
      <c r="C40" t="s">
        <v>257</v>
      </c>
      <c r="D40">
        <v>1</v>
      </c>
      <c r="E40" t="s">
        <v>846</v>
      </c>
      <c r="F40">
        <v>4</v>
      </c>
      <c r="G40">
        <v>2</v>
      </c>
      <c r="H40" t="str">
        <f t="shared" si="9"/>
        <v>PAL-0000037</v>
      </c>
      <c r="I40" t="s">
        <v>888</v>
      </c>
      <c r="J40" t="str">
        <f t="shared" si="10"/>
        <v>SAMPLE: Grid B14</v>
      </c>
      <c r="K40" t="str">
        <f t="shared" si="2"/>
        <v/>
      </c>
      <c r="L40">
        <f t="shared" si="3"/>
        <v>1</v>
      </c>
      <c r="M40" t="str">
        <f t="shared" si="11"/>
        <v/>
      </c>
      <c r="N40" t="str">
        <f t="shared" si="12"/>
        <v>A01: P01</v>
      </c>
      <c r="O40" t="str">
        <f t="shared" si="6"/>
        <v>P</v>
      </c>
      <c r="P40">
        <f t="shared" si="7"/>
        <v>1</v>
      </c>
      <c r="Q40" t="str">
        <f t="shared" si="8"/>
        <v>P01</v>
      </c>
    </row>
    <row r="41" spans="1:17">
      <c r="A41" t="s">
        <v>321</v>
      </c>
      <c r="B41" t="s">
        <v>839</v>
      </c>
      <c r="C41" t="s">
        <v>257</v>
      </c>
      <c r="D41">
        <v>1</v>
      </c>
      <c r="E41" t="s">
        <v>846</v>
      </c>
      <c r="F41">
        <v>4</v>
      </c>
      <c r="G41">
        <v>2</v>
      </c>
      <c r="H41" t="str">
        <f t="shared" si="9"/>
        <v>PAL-0000038</v>
      </c>
      <c r="I41" t="s">
        <v>889</v>
      </c>
      <c r="J41" t="str">
        <f t="shared" si="10"/>
        <v>SAMPLE: Grid B15</v>
      </c>
      <c r="K41" t="str">
        <f t="shared" si="2"/>
        <v/>
      </c>
      <c r="L41">
        <f t="shared" si="3"/>
        <v>1</v>
      </c>
      <c r="M41" t="str">
        <f t="shared" si="11"/>
        <v/>
      </c>
      <c r="N41" t="str">
        <f t="shared" si="12"/>
        <v>A01: P01</v>
      </c>
      <c r="O41" t="str">
        <f t="shared" si="6"/>
        <v>P</v>
      </c>
      <c r="P41">
        <f t="shared" si="7"/>
        <v>1</v>
      </c>
      <c r="Q41" t="str">
        <f t="shared" si="8"/>
        <v>P01</v>
      </c>
    </row>
    <row r="42" spans="1:17">
      <c r="A42" t="s">
        <v>323</v>
      </c>
      <c r="B42" t="s">
        <v>839</v>
      </c>
      <c r="C42" t="s">
        <v>257</v>
      </c>
      <c r="D42">
        <v>1</v>
      </c>
      <c r="E42" t="s">
        <v>846</v>
      </c>
      <c r="F42">
        <v>4</v>
      </c>
      <c r="G42">
        <v>2</v>
      </c>
      <c r="H42" t="str">
        <f t="shared" si="9"/>
        <v>PAL-0000039</v>
      </c>
      <c r="I42" t="s">
        <v>890</v>
      </c>
      <c r="J42" t="str">
        <f t="shared" si="10"/>
        <v>SAMPLE: Grid B16</v>
      </c>
      <c r="K42" t="str">
        <f t="shared" si="2"/>
        <v/>
      </c>
      <c r="L42">
        <f t="shared" si="3"/>
        <v>1</v>
      </c>
      <c r="M42" t="str">
        <f t="shared" si="11"/>
        <v/>
      </c>
      <c r="N42" t="str">
        <f t="shared" si="12"/>
        <v>A01: P01</v>
      </c>
      <c r="O42" t="str">
        <f t="shared" si="6"/>
        <v>P</v>
      </c>
      <c r="P42">
        <f t="shared" si="7"/>
        <v>1</v>
      </c>
      <c r="Q42" t="str">
        <f t="shared" si="8"/>
        <v>P01</v>
      </c>
    </row>
    <row r="43" spans="1:17">
      <c r="A43" t="s">
        <v>325</v>
      </c>
      <c r="B43" t="s">
        <v>839</v>
      </c>
      <c r="C43" t="s">
        <v>257</v>
      </c>
      <c r="D43">
        <v>1</v>
      </c>
      <c r="E43" t="s">
        <v>846</v>
      </c>
      <c r="F43">
        <v>4</v>
      </c>
      <c r="G43">
        <v>2</v>
      </c>
      <c r="H43" t="str">
        <f t="shared" si="9"/>
        <v>PAL-0000040</v>
      </c>
      <c r="I43" t="s">
        <v>891</v>
      </c>
      <c r="J43" t="str">
        <f t="shared" si="10"/>
        <v>SAMPLE: Grid B17</v>
      </c>
      <c r="K43" t="str">
        <f t="shared" si="2"/>
        <v/>
      </c>
      <c r="L43">
        <f t="shared" si="3"/>
        <v>1</v>
      </c>
      <c r="M43" t="str">
        <f t="shared" si="11"/>
        <v/>
      </c>
      <c r="N43" t="str">
        <f t="shared" si="12"/>
        <v>A01: P01</v>
      </c>
      <c r="O43" t="str">
        <f t="shared" si="6"/>
        <v>P</v>
      </c>
      <c r="P43">
        <f t="shared" si="7"/>
        <v>1</v>
      </c>
      <c r="Q43" t="str">
        <f t="shared" si="8"/>
        <v>P01</v>
      </c>
    </row>
    <row r="44" spans="1:17">
      <c r="A44" t="s">
        <v>327</v>
      </c>
      <c r="B44" t="s">
        <v>839</v>
      </c>
      <c r="C44" t="s">
        <v>257</v>
      </c>
      <c r="D44">
        <v>1</v>
      </c>
      <c r="E44" t="s">
        <v>846</v>
      </c>
      <c r="F44">
        <v>4</v>
      </c>
      <c r="G44">
        <v>2</v>
      </c>
      <c r="H44" t="str">
        <f t="shared" si="9"/>
        <v>PAL-0000041</v>
      </c>
      <c r="I44" t="s">
        <v>892</v>
      </c>
      <c r="J44" t="str">
        <f t="shared" si="10"/>
        <v>SAMPLE: Grid B18</v>
      </c>
      <c r="K44" t="str">
        <f t="shared" si="2"/>
        <v/>
      </c>
      <c r="L44">
        <f t="shared" si="3"/>
        <v>1</v>
      </c>
      <c r="M44" t="str">
        <f t="shared" si="11"/>
        <v/>
      </c>
      <c r="N44" t="str">
        <f t="shared" si="12"/>
        <v>A01: P01</v>
      </c>
      <c r="O44" t="str">
        <f t="shared" si="6"/>
        <v>P</v>
      </c>
      <c r="P44">
        <f t="shared" si="7"/>
        <v>1</v>
      </c>
      <c r="Q44" t="str">
        <f t="shared" si="8"/>
        <v>P01</v>
      </c>
    </row>
    <row r="45" spans="1:17">
      <c r="A45" t="s">
        <v>329</v>
      </c>
      <c r="B45" t="s">
        <v>839</v>
      </c>
      <c r="C45" t="s">
        <v>257</v>
      </c>
      <c r="D45">
        <v>1</v>
      </c>
      <c r="E45" t="s">
        <v>846</v>
      </c>
      <c r="F45">
        <v>4</v>
      </c>
      <c r="G45">
        <v>2</v>
      </c>
      <c r="H45" t="str">
        <f t="shared" si="9"/>
        <v>PAL-0000042</v>
      </c>
      <c r="I45" t="s">
        <v>893</v>
      </c>
      <c r="J45" t="str">
        <f t="shared" si="10"/>
        <v>SAMPLE: Grid B19</v>
      </c>
      <c r="K45" t="str">
        <f t="shared" si="2"/>
        <v/>
      </c>
      <c r="L45">
        <f t="shared" si="3"/>
        <v>1</v>
      </c>
      <c r="M45" t="str">
        <f t="shared" si="11"/>
        <v/>
      </c>
      <c r="N45" t="str">
        <f t="shared" si="12"/>
        <v>A01: P01</v>
      </c>
      <c r="O45" t="str">
        <f t="shared" si="6"/>
        <v>P</v>
      </c>
      <c r="P45">
        <f t="shared" si="7"/>
        <v>1</v>
      </c>
      <c r="Q45" t="str">
        <f t="shared" si="8"/>
        <v>P01</v>
      </c>
    </row>
    <row r="46" spans="1:17">
      <c r="A46" t="s">
        <v>331</v>
      </c>
      <c r="B46" t="s">
        <v>839</v>
      </c>
      <c r="C46" t="s">
        <v>257</v>
      </c>
      <c r="D46">
        <v>1</v>
      </c>
      <c r="E46" t="s">
        <v>846</v>
      </c>
      <c r="F46">
        <v>4</v>
      </c>
      <c r="G46">
        <v>2</v>
      </c>
      <c r="H46" t="str">
        <f t="shared" si="9"/>
        <v>PAL-0000043</v>
      </c>
      <c r="I46" t="s">
        <v>894</v>
      </c>
      <c r="J46" t="str">
        <f t="shared" si="10"/>
        <v>SAMPLE: Grid B20</v>
      </c>
      <c r="K46" t="str">
        <f t="shared" si="2"/>
        <v/>
      </c>
      <c r="L46">
        <f t="shared" si="3"/>
        <v>1</v>
      </c>
      <c r="M46" t="str">
        <f t="shared" si="11"/>
        <v/>
      </c>
      <c r="N46" t="str">
        <f t="shared" si="12"/>
        <v>A01: P01</v>
      </c>
      <c r="O46" t="str">
        <f t="shared" si="6"/>
        <v>P</v>
      </c>
      <c r="P46">
        <f t="shared" si="7"/>
        <v>1</v>
      </c>
      <c r="Q46" t="str">
        <f t="shared" si="8"/>
        <v>P01</v>
      </c>
    </row>
    <row r="47" spans="1:17">
      <c r="A47" t="s">
        <v>334</v>
      </c>
      <c r="B47" t="s">
        <v>839</v>
      </c>
      <c r="C47" t="s">
        <v>257</v>
      </c>
      <c r="D47">
        <v>1</v>
      </c>
      <c r="E47" t="s">
        <v>846</v>
      </c>
      <c r="F47">
        <v>4</v>
      </c>
      <c r="G47">
        <v>2</v>
      </c>
      <c r="H47" t="str">
        <f t="shared" si="9"/>
        <v>PAL-0000044</v>
      </c>
      <c r="I47" t="s">
        <v>895</v>
      </c>
      <c r="J47" t="str">
        <f t="shared" si="10"/>
        <v>C</v>
      </c>
      <c r="K47" t="str">
        <f t="shared" si="2"/>
        <v/>
      </c>
      <c r="L47">
        <f t="shared" si="3"/>
        <v>1</v>
      </c>
      <c r="M47" t="str">
        <f t="shared" si="11"/>
        <v/>
      </c>
      <c r="N47" t="str">
        <f t="shared" si="12"/>
        <v>A01: P01</v>
      </c>
      <c r="O47" t="str">
        <f t="shared" si="6"/>
        <v>P</v>
      </c>
      <c r="P47">
        <f t="shared" si="7"/>
        <v>1</v>
      </c>
      <c r="Q47" t="str">
        <f t="shared" si="8"/>
        <v>P01</v>
      </c>
    </row>
    <row r="48" spans="1:17">
      <c r="A48" t="s">
        <v>336</v>
      </c>
      <c r="B48" t="s">
        <v>839</v>
      </c>
      <c r="C48" t="s">
        <v>896</v>
      </c>
      <c r="D48">
        <v>1</v>
      </c>
      <c r="E48" t="s">
        <v>846</v>
      </c>
      <c r="F48">
        <v>4</v>
      </c>
      <c r="G48">
        <v>2</v>
      </c>
      <c r="H48" t="str">
        <f t="shared" si="9"/>
        <v>PAL-0000045</v>
      </c>
      <c r="I48" t="s">
        <v>897</v>
      </c>
      <c r="J48" t="str">
        <f t="shared" si="10"/>
        <v>SAMPLE: Grid C02</v>
      </c>
      <c r="K48" t="str">
        <f t="shared" si="2"/>
        <v/>
      </c>
      <c r="L48">
        <f t="shared" si="3"/>
        <v>1</v>
      </c>
      <c r="M48" t="str">
        <f t="shared" si="11"/>
        <v/>
      </c>
      <c r="N48" t="str">
        <f t="shared" si="12"/>
        <v>A01: S01</v>
      </c>
      <c r="O48" t="str">
        <f t="shared" si="6"/>
        <v>S</v>
      </c>
      <c r="P48">
        <f t="shared" si="7"/>
        <v>1</v>
      </c>
      <c r="Q48" t="str">
        <f t="shared" si="8"/>
        <v>S01</v>
      </c>
    </row>
    <row r="49" spans="1:17">
      <c r="A49" t="s">
        <v>338</v>
      </c>
      <c r="B49" t="s">
        <v>839</v>
      </c>
      <c r="C49" t="s">
        <v>896</v>
      </c>
      <c r="D49">
        <v>1</v>
      </c>
      <c r="E49" t="s">
        <v>846</v>
      </c>
      <c r="F49">
        <v>4</v>
      </c>
      <c r="G49">
        <v>2</v>
      </c>
      <c r="H49" t="str">
        <f t="shared" si="9"/>
        <v>PAL-0000046</v>
      </c>
      <c r="I49" t="s">
        <v>898</v>
      </c>
      <c r="J49" t="str">
        <f t="shared" si="10"/>
        <v>SAMPLE: Grid C03</v>
      </c>
      <c r="K49" t="str">
        <f t="shared" si="2"/>
        <v/>
      </c>
      <c r="L49">
        <f t="shared" si="3"/>
        <v>1</v>
      </c>
      <c r="M49" t="str">
        <f t="shared" si="11"/>
        <v/>
      </c>
      <c r="N49" t="str">
        <f t="shared" si="12"/>
        <v>A01: S01</v>
      </c>
      <c r="O49" t="str">
        <f t="shared" si="6"/>
        <v>S</v>
      </c>
      <c r="P49">
        <f t="shared" si="7"/>
        <v>1</v>
      </c>
      <c r="Q49" t="str">
        <f t="shared" si="8"/>
        <v>S01</v>
      </c>
    </row>
    <row r="50" spans="1:17">
      <c r="A50" t="s">
        <v>340</v>
      </c>
      <c r="B50" t="s">
        <v>839</v>
      </c>
      <c r="C50" t="s">
        <v>896</v>
      </c>
      <c r="D50">
        <v>1</v>
      </c>
      <c r="E50" t="s">
        <v>846</v>
      </c>
      <c r="F50">
        <v>4</v>
      </c>
      <c r="G50">
        <v>2</v>
      </c>
      <c r="H50" t="str">
        <f t="shared" si="9"/>
        <v>PAL-0000047</v>
      </c>
      <c r="I50" t="s">
        <v>899</v>
      </c>
      <c r="J50" t="str">
        <f t="shared" si="10"/>
        <v>SAMPLE: Grid C04</v>
      </c>
      <c r="K50" t="str">
        <f t="shared" si="2"/>
        <v/>
      </c>
      <c r="L50">
        <f t="shared" si="3"/>
        <v>1</v>
      </c>
      <c r="M50" t="str">
        <f t="shared" si="11"/>
        <v/>
      </c>
      <c r="N50" t="str">
        <f t="shared" si="12"/>
        <v>A01: S01</v>
      </c>
      <c r="O50" t="str">
        <f t="shared" si="6"/>
        <v>S</v>
      </c>
      <c r="P50">
        <f t="shared" si="7"/>
        <v>1</v>
      </c>
      <c r="Q50" t="str">
        <f t="shared" si="8"/>
        <v>S01</v>
      </c>
    </row>
    <row r="51" spans="1:17">
      <c r="A51" t="s">
        <v>342</v>
      </c>
      <c r="B51" t="s">
        <v>839</v>
      </c>
      <c r="C51" t="s">
        <v>896</v>
      </c>
      <c r="D51">
        <v>1</v>
      </c>
      <c r="E51" t="s">
        <v>846</v>
      </c>
      <c r="F51">
        <v>4</v>
      </c>
      <c r="G51">
        <v>2</v>
      </c>
      <c r="H51" t="str">
        <f t="shared" si="9"/>
        <v>PAL-0000048</v>
      </c>
      <c r="I51" t="s">
        <v>900</v>
      </c>
      <c r="J51" t="str">
        <f t="shared" si="10"/>
        <v>SAMPLE: Grid C05</v>
      </c>
      <c r="K51" t="str">
        <f t="shared" si="2"/>
        <v/>
      </c>
      <c r="L51">
        <f t="shared" si="3"/>
        <v>1</v>
      </c>
      <c r="M51" t="str">
        <f t="shared" si="11"/>
        <v/>
      </c>
      <c r="N51" t="str">
        <f t="shared" si="12"/>
        <v>A01: S01</v>
      </c>
      <c r="O51" t="str">
        <f t="shared" si="6"/>
        <v>S</v>
      </c>
      <c r="P51">
        <f t="shared" si="7"/>
        <v>1</v>
      </c>
      <c r="Q51" t="str">
        <f t="shared" si="8"/>
        <v>S01</v>
      </c>
    </row>
    <row r="52" spans="1:17">
      <c r="A52" t="s">
        <v>344</v>
      </c>
      <c r="B52" t="s">
        <v>839</v>
      </c>
      <c r="C52" t="s">
        <v>896</v>
      </c>
      <c r="D52">
        <v>1</v>
      </c>
      <c r="E52" t="s">
        <v>846</v>
      </c>
      <c r="F52">
        <v>4</v>
      </c>
      <c r="G52">
        <v>2</v>
      </c>
      <c r="H52" t="str">
        <f t="shared" si="9"/>
        <v>PAL-0000049</v>
      </c>
      <c r="I52" t="s">
        <v>901</v>
      </c>
      <c r="J52" t="str">
        <f t="shared" si="10"/>
        <v>SAMPLE: Grid C06</v>
      </c>
      <c r="K52" t="str">
        <f t="shared" si="2"/>
        <v/>
      </c>
      <c r="L52">
        <f t="shared" si="3"/>
        <v>1</v>
      </c>
      <c r="M52" t="str">
        <f t="shared" si="11"/>
        <v/>
      </c>
      <c r="N52" t="str">
        <f t="shared" si="12"/>
        <v>A01: S01</v>
      </c>
      <c r="O52" t="str">
        <f t="shared" si="6"/>
        <v>S</v>
      </c>
      <c r="P52">
        <f t="shared" si="7"/>
        <v>1</v>
      </c>
      <c r="Q52" t="str">
        <f t="shared" si="8"/>
        <v>S01</v>
      </c>
    </row>
    <row r="53" spans="1:17">
      <c r="A53" t="s">
        <v>346</v>
      </c>
      <c r="B53" t="s">
        <v>839</v>
      </c>
      <c r="C53" t="s">
        <v>896</v>
      </c>
      <c r="D53">
        <v>1</v>
      </c>
      <c r="E53" t="s">
        <v>846</v>
      </c>
      <c r="F53">
        <v>4</v>
      </c>
      <c r="G53">
        <v>2</v>
      </c>
      <c r="H53" t="str">
        <f t="shared" si="9"/>
        <v>PAL-0000050</v>
      </c>
      <c r="I53" t="s">
        <v>902</v>
      </c>
      <c r="J53" t="str">
        <f t="shared" si="10"/>
        <v>SAMPLE: Grid C07</v>
      </c>
      <c r="K53" t="str">
        <f t="shared" si="2"/>
        <v/>
      </c>
      <c r="L53">
        <f t="shared" si="3"/>
        <v>1</v>
      </c>
      <c r="M53" t="str">
        <f t="shared" si="11"/>
        <v/>
      </c>
      <c r="N53" t="str">
        <f t="shared" si="12"/>
        <v>A01: S01</v>
      </c>
      <c r="O53" t="str">
        <f t="shared" si="6"/>
        <v>S</v>
      </c>
      <c r="P53">
        <f t="shared" si="7"/>
        <v>1</v>
      </c>
      <c r="Q53" t="str">
        <f t="shared" si="8"/>
        <v>S01</v>
      </c>
    </row>
    <row r="54" spans="1:17">
      <c r="A54" t="s">
        <v>349</v>
      </c>
      <c r="B54" t="s">
        <v>839</v>
      </c>
      <c r="C54" t="s">
        <v>896</v>
      </c>
      <c r="D54">
        <v>1</v>
      </c>
      <c r="E54" t="s">
        <v>846</v>
      </c>
      <c r="F54">
        <v>4</v>
      </c>
      <c r="G54">
        <v>2</v>
      </c>
      <c r="H54" t="str">
        <f t="shared" si="9"/>
        <v>RETIRED</v>
      </c>
      <c r="I54" t="s">
        <v>903</v>
      </c>
      <c r="J54" t="str">
        <f t="shared" si="10"/>
        <v>SAMPLE: Grid C08</v>
      </c>
      <c r="K54" t="str">
        <f t="shared" si="2"/>
        <v/>
      </c>
      <c r="L54">
        <f t="shared" si="3"/>
        <v>1</v>
      </c>
      <c r="M54" t="str">
        <f t="shared" si="11"/>
        <v/>
      </c>
      <c r="N54" t="str">
        <f t="shared" si="12"/>
        <v>A01: S01</v>
      </c>
      <c r="O54" t="str">
        <f t="shared" si="6"/>
        <v>S</v>
      </c>
      <c r="P54">
        <f t="shared" si="7"/>
        <v>1</v>
      </c>
      <c r="Q54" t="str">
        <f t="shared" si="8"/>
        <v>S01</v>
      </c>
    </row>
    <row r="55" spans="1:17">
      <c r="A55" t="s">
        <v>352</v>
      </c>
      <c r="B55" t="s">
        <v>839</v>
      </c>
      <c r="C55" t="s">
        <v>896</v>
      </c>
      <c r="D55">
        <v>1</v>
      </c>
      <c r="E55" t="s">
        <v>846</v>
      </c>
      <c r="F55">
        <v>4</v>
      </c>
      <c r="G55">
        <v>2</v>
      </c>
      <c r="H55" t="str">
        <f t="shared" si="9"/>
        <v>PAL-0000052</v>
      </c>
      <c r="I55" t="s">
        <v>904</v>
      </c>
      <c r="J55" t="str">
        <f t="shared" si="10"/>
        <v>SAMPLE: Grid C09</v>
      </c>
      <c r="K55" t="str">
        <f t="shared" si="2"/>
        <v/>
      </c>
      <c r="L55">
        <f t="shared" si="3"/>
        <v>1</v>
      </c>
      <c r="M55" t="str">
        <f t="shared" si="11"/>
        <v/>
      </c>
      <c r="N55" t="str">
        <f t="shared" si="12"/>
        <v>A01: S01</v>
      </c>
      <c r="O55" t="str">
        <f t="shared" si="6"/>
        <v>S</v>
      </c>
      <c r="P55">
        <f t="shared" si="7"/>
        <v>1</v>
      </c>
      <c r="Q55" t="str">
        <f t="shared" si="8"/>
        <v>S01</v>
      </c>
    </row>
    <row r="56" spans="1:17">
      <c r="A56" t="s">
        <v>354</v>
      </c>
      <c r="B56" t="s">
        <v>839</v>
      </c>
      <c r="C56" t="s">
        <v>896</v>
      </c>
      <c r="D56">
        <v>1</v>
      </c>
      <c r="E56" t="s">
        <v>846</v>
      </c>
      <c r="F56">
        <v>4</v>
      </c>
      <c r="G56">
        <v>2</v>
      </c>
      <c r="H56" t="str">
        <f t="shared" si="9"/>
        <v>PAL-0000053</v>
      </c>
      <c r="I56" t="s">
        <v>905</v>
      </c>
      <c r="J56" t="str">
        <f t="shared" si="10"/>
        <v>SAMPLE: Grid C10</v>
      </c>
      <c r="K56" t="str">
        <f t="shared" si="2"/>
        <v/>
      </c>
      <c r="L56">
        <f t="shared" si="3"/>
        <v>1</v>
      </c>
      <c r="M56" t="str">
        <f t="shared" si="11"/>
        <v/>
      </c>
      <c r="N56" t="str">
        <f t="shared" si="12"/>
        <v>A01: S01</v>
      </c>
      <c r="O56" t="str">
        <f t="shared" si="6"/>
        <v>S</v>
      </c>
      <c r="P56">
        <f t="shared" si="7"/>
        <v>1</v>
      </c>
      <c r="Q56" t="str">
        <f t="shared" si="8"/>
        <v>S01</v>
      </c>
    </row>
    <row r="57" spans="1:17">
      <c r="A57" t="s">
        <v>356</v>
      </c>
      <c r="B57" t="s">
        <v>839</v>
      </c>
      <c r="C57" t="s">
        <v>896</v>
      </c>
      <c r="D57">
        <v>1</v>
      </c>
      <c r="E57" t="s">
        <v>846</v>
      </c>
      <c r="F57">
        <v>4</v>
      </c>
      <c r="G57">
        <v>2</v>
      </c>
      <c r="H57" t="str">
        <f t="shared" si="9"/>
        <v>PAL-0000054</v>
      </c>
      <c r="I57" t="s">
        <v>906</v>
      </c>
      <c r="J57" t="str">
        <f t="shared" si="10"/>
        <v>SAMPLE: Grid C11</v>
      </c>
      <c r="K57" t="str">
        <f t="shared" si="2"/>
        <v/>
      </c>
      <c r="L57">
        <f t="shared" si="3"/>
        <v>1</v>
      </c>
      <c r="M57" t="str">
        <f t="shared" si="11"/>
        <v/>
      </c>
      <c r="N57" t="str">
        <f t="shared" si="12"/>
        <v>A01: S01</v>
      </c>
      <c r="O57" t="str">
        <f t="shared" si="6"/>
        <v>S</v>
      </c>
      <c r="P57">
        <f t="shared" si="7"/>
        <v>1</v>
      </c>
      <c r="Q57" t="str">
        <f t="shared" si="8"/>
        <v>S01</v>
      </c>
    </row>
    <row r="58" spans="1:17">
      <c r="A58" t="s">
        <v>358</v>
      </c>
      <c r="B58" t="s">
        <v>839</v>
      </c>
      <c r="C58" t="s">
        <v>896</v>
      </c>
      <c r="D58">
        <v>1</v>
      </c>
      <c r="E58" t="s">
        <v>846</v>
      </c>
      <c r="F58">
        <v>4</v>
      </c>
      <c r="G58">
        <v>2</v>
      </c>
      <c r="H58" t="str">
        <f t="shared" si="9"/>
        <v>PAL-0000055</v>
      </c>
      <c r="I58" t="s">
        <v>907</v>
      </c>
      <c r="J58" t="str">
        <f t="shared" si="10"/>
        <v>SAMPLE: Grid C12</v>
      </c>
      <c r="K58" t="str">
        <f t="shared" si="2"/>
        <v/>
      </c>
      <c r="L58">
        <f t="shared" si="3"/>
        <v>1</v>
      </c>
      <c r="M58" t="str">
        <f t="shared" si="11"/>
        <v/>
      </c>
      <c r="N58" t="str">
        <f t="shared" si="12"/>
        <v>A01: S01</v>
      </c>
      <c r="O58" t="str">
        <f t="shared" si="6"/>
        <v>S</v>
      </c>
      <c r="P58">
        <f t="shared" si="7"/>
        <v>1</v>
      </c>
      <c r="Q58" t="str">
        <f t="shared" si="8"/>
        <v>S01</v>
      </c>
    </row>
    <row r="59" spans="1:17">
      <c r="A59" t="s">
        <v>360</v>
      </c>
      <c r="B59" t="s">
        <v>839</v>
      </c>
      <c r="C59" t="s">
        <v>896</v>
      </c>
      <c r="D59">
        <v>1</v>
      </c>
      <c r="E59" t="s">
        <v>846</v>
      </c>
      <c r="F59">
        <v>4</v>
      </c>
      <c r="G59">
        <v>2</v>
      </c>
      <c r="H59" t="str">
        <f t="shared" si="9"/>
        <v>PAL-0000056</v>
      </c>
      <c r="I59" t="s">
        <v>908</v>
      </c>
      <c r="J59" t="str">
        <f t="shared" si="10"/>
        <v>SAMPLE: Grid C13</v>
      </c>
      <c r="K59" t="str">
        <f t="shared" si="2"/>
        <v/>
      </c>
      <c r="L59">
        <f t="shared" si="3"/>
        <v>1</v>
      </c>
      <c r="M59" t="str">
        <f t="shared" si="11"/>
        <v/>
      </c>
      <c r="N59" t="str">
        <f t="shared" si="12"/>
        <v>A01: S01</v>
      </c>
      <c r="O59" t="str">
        <f t="shared" si="6"/>
        <v>S</v>
      </c>
      <c r="P59">
        <f t="shared" si="7"/>
        <v>1</v>
      </c>
      <c r="Q59" t="str">
        <f t="shared" si="8"/>
        <v>S01</v>
      </c>
    </row>
    <row r="60" spans="1:17">
      <c r="A60" t="s">
        <v>362</v>
      </c>
      <c r="B60" t="s">
        <v>839</v>
      </c>
      <c r="C60" t="s">
        <v>896</v>
      </c>
      <c r="D60">
        <v>1</v>
      </c>
      <c r="E60" t="s">
        <v>846</v>
      </c>
      <c r="F60">
        <v>4</v>
      </c>
      <c r="G60">
        <v>2</v>
      </c>
      <c r="H60" t="str">
        <f t="shared" si="9"/>
        <v>PAL-0000057</v>
      </c>
      <c r="I60" t="s">
        <v>909</v>
      </c>
      <c r="J60" t="str">
        <f t="shared" si="10"/>
        <v>SAMPLE: Grid C14</v>
      </c>
      <c r="K60" t="str">
        <f t="shared" si="2"/>
        <v/>
      </c>
      <c r="L60">
        <f t="shared" si="3"/>
        <v>1</v>
      </c>
      <c r="M60" t="str">
        <f t="shared" si="11"/>
        <v/>
      </c>
      <c r="N60" t="str">
        <f t="shared" si="12"/>
        <v>A01: S01</v>
      </c>
      <c r="O60" t="str">
        <f t="shared" si="6"/>
        <v>S</v>
      </c>
      <c r="P60">
        <f t="shared" si="7"/>
        <v>1</v>
      </c>
      <c r="Q60" t="str">
        <f t="shared" si="8"/>
        <v>S01</v>
      </c>
    </row>
    <row r="61" spans="1:17">
      <c r="A61" t="s">
        <v>365</v>
      </c>
      <c r="B61" t="s">
        <v>839</v>
      </c>
      <c r="C61" t="s">
        <v>896</v>
      </c>
      <c r="D61">
        <v>1</v>
      </c>
      <c r="E61" t="s">
        <v>846</v>
      </c>
      <c r="F61">
        <v>4</v>
      </c>
      <c r="G61">
        <v>2</v>
      </c>
      <c r="H61" t="str">
        <f t="shared" si="9"/>
        <v>PAL-0000058</v>
      </c>
      <c r="I61" t="s">
        <v>910</v>
      </c>
      <c r="J61" t="str">
        <f t="shared" si="10"/>
        <v>SAMPLE: Grid C15</v>
      </c>
      <c r="K61" t="str">
        <f t="shared" si="2"/>
        <v/>
      </c>
      <c r="L61">
        <f t="shared" si="3"/>
        <v>1</v>
      </c>
      <c r="M61" t="str">
        <f t="shared" si="11"/>
        <v/>
      </c>
      <c r="N61" t="str">
        <f t="shared" si="12"/>
        <v>A01: S01</v>
      </c>
      <c r="O61" t="str">
        <f t="shared" si="6"/>
        <v>S</v>
      </c>
      <c r="P61">
        <f t="shared" si="7"/>
        <v>1</v>
      </c>
      <c r="Q61" t="str">
        <f t="shared" si="8"/>
        <v>S01</v>
      </c>
    </row>
    <row r="62" spans="1:17">
      <c r="A62" t="s">
        <v>367</v>
      </c>
      <c r="B62" t="s">
        <v>839</v>
      </c>
      <c r="C62" t="s">
        <v>896</v>
      </c>
      <c r="D62">
        <v>1</v>
      </c>
      <c r="E62" t="s">
        <v>846</v>
      </c>
      <c r="F62">
        <v>4</v>
      </c>
      <c r="G62">
        <v>2</v>
      </c>
      <c r="H62" t="str">
        <f t="shared" si="9"/>
        <v>PAL-0000059</v>
      </c>
      <c r="I62" t="s">
        <v>911</v>
      </c>
      <c r="J62" t="str">
        <f t="shared" si="10"/>
        <v>SAMPLE: Grid C16</v>
      </c>
      <c r="K62" t="str">
        <f t="shared" si="2"/>
        <v/>
      </c>
      <c r="L62">
        <f t="shared" si="3"/>
        <v>1</v>
      </c>
      <c r="M62" t="str">
        <f t="shared" si="11"/>
        <v/>
      </c>
      <c r="N62" t="str">
        <f t="shared" si="12"/>
        <v>A01: S01</v>
      </c>
      <c r="O62" t="str">
        <f t="shared" si="6"/>
        <v>S</v>
      </c>
      <c r="P62">
        <f t="shared" si="7"/>
        <v>1</v>
      </c>
      <c r="Q62" t="str">
        <f t="shared" si="8"/>
        <v>S01</v>
      </c>
    </row>
    <row r="63" spans="1:17">
      <c r="A63" t="s">
        <v>369</v>
      </c>
      <c r="B63" t="s">
        <v>839</v>
      </c>
      <c r="C63" t="s">
        <v>896</v>
      </c>
      <c r="D63">
        <v>1</v>
      </c>
      <c r="E63" t="s">
        <v>846</v>
      </c>
      <c r="F63">
        <v>4</v>
      </c>
      <c r="G63">
        <v>2</v>
      </c>
      <c r="H63" t="str">
        <f t="shared" si="9"/>
        <v>PAL-0000060</v>
      </c>
      <c r="I63" t="s">
        <v>912</v>
      </c>
      <c r="J63" t="str">
        <f t="shared" si="10"/>
        <v>SAMPLE: Grid C17</v>
      </c>
      <c r="K63" t="str">
        <f t="shared" si="2"/>
        <v/>
      </c>
      <c r="L63">
        <f t="shared" si="3"/>
        <v>1</v>
      </c>
      <c r="M63" t="str">
        <f t="shared" si="11"/>
        <v/>
      </c>
      <c r="N63" t="str">
        <f t="shared" si="12"/>
        <v>A01: S01</v>
      </c>
      <c r="O63" t="str">
        <f t="shared" si="6"/>
        <v>S</v>
      </c>
      <c r="P63">
        <f t="shared" si="7"/>
        <v>1</v>
      </c>
      <c r="Q63" t="str">
        <f t="shared" si="8"/>
        <v>S01</v>
      </c>
    </row>
    <row r="64" spans="1:17">
      <c r="A64" t="s">
        <v>371</v>
      </c>
      <c r="B64" t="s">
        <v>839</v>
      </c>
      <c r="C64" t="s">
        <v>896</v>
      </c>
      <c r="D64">
        <v>1</v>
      </c>
      <c r="E64" t="s">
        <v>846</v>
      </c>
      <c r="F64">
        <v>4</v>
      </c>
      <c r="G64">
        <v>2</v>
      </c>
      <c r="H64" t="str">
        <f t="shared" si="9"/>
        <v>PAL-0000061</v>
      </c>
      <c r="I64" t="s">
        <v>913</v>
      </c>
      <c r="J64" t="str">
        <f t="shared" si="10"/>
        <v>WH-Z1-AisleC-Bay1-Level18</v>
      </c>
      <c r="K64" t="str">
        <f t="shared" si="2"/>
        <v/>
      </c>
      <c r="L64">
        <f t="shared" si="3"/>
        <v>1</v>
      </c>
      <c r="M64" t="str">
        <f t="shared" si="11"/>
        <v/>
      </c>
      <c r="N64" t="str">
        <f t="shared" si="12"/>
        <v>A01: S01</v>
      </c>
      <c r="O64" t="str">
        <f t="shared" si="6"/>
        <v>S</v>
      </c>
      <c r="P64">
        <f t="shared" si="7"/>
        <v>1</v>
      </c>
      <c r="Q64" t="str">
        <f t="shared" si="8"/>
        <v>S01</v>
      </c>
    </row>
    <row r="65" spans="1:17">
      <c r="A65" t="s">
        <v>914</v>
      </c>
      <c r="B65" t="s">
        <v>839</v>
      </c>
      <c r="C65" t="s">
        <v>896</v>
      </c>
      <c r="D65">
        <v>1</v>
      </c>
      <c r="E65" t="s">
        <v>846</v>
      </c>
      <c r="F65">
        <v>4</v>
      </c>
      <c r="G65">
        <v>2</v>
      </c>
      <c r="H65" t="str">
        <f t="shared" si="9"/>
        <v>SAMPLE: Grid C18</v>
      </c>
      <c r="I65" t="s">
        <v>915</v>
      </c>
      <c r="J65" t="str">
        <f t="shared" si="10"/>
        <v>WH-Z1-AisleC-Bay1-Level19</v>
      </c>
      <c r="K65" t="str">
        <f t="shared" si="2"/>
        <v/>
      </c>
      <c r="L65">
        <f t="shared" si="3"/>
        <v>1</v>
      </c>
      <c r="M65" t="str">
        <f t="shared" si="11"/>
        <v/>
      </c>
      <c r="N65" t="str">
        <f t="shared" si="12"/>
        <v>A01: S01</v>
      </c>
      <c r="O65" t="str">
        <f t="shared" si="6"/>
        <v>S</v>
      </c>
      <c r="P65">
        <f t="shared" si="7"/>
        <v>1</v>
      </c>
      <c r="Q65" t="str">
        <f t="shared" si="8"/>
        <v>S01</v>
      </c>
    </row>
    <row r="66" spans="1:17">
      <c r="A66" t="s">
        <v>916</v>
      </c>
      <c r="B66" t="s">
        <v>839</v>
      </c>
      <c r="C66" t="s">
        <v>896</v>
      </c>
      <c r="D66">
        <v>1</v>
      </c>
      <c r="E66" t="s">
        <v>846</v>
      </c>
      <c r="F66">
        <v>4</v>
      </c>
      <c r="G66">
        <v>2</v>
      </c>
      <c r="H66" t="str">
        <f t="shared" ref="H66:H97" si="13">A66</f>
        <v>SAMPLE: Grid C19</v>
      </c>
      <c r="I66" t="s">
        <v>917</v>
      </c>
      <c r="J66" t="str">
        <f t="shared" ref="J66:J97" si="14">IF($I66&lt;&gt;"",$I66,$A66)</f>
        <v>WH-Z1-AisleC-Bay1-Level20</v>
      </c>
      <c r="K66" t="str">
        <f t="shared" ref="K66:K129" si="15">IF($C66="","",IF(LEN($C66)=1,CODE(UPPER($C66))-64,IFERROR(VALUE(MID($C66,2,99)),"")))</f>
        <v/>
      </c>
      <c r="L66">
        <f t="shared" ref="L66:L129" si="16">IF($D66="","",IFERROR(VALUE($D66),""))</f>
        <v>1</v>
      </c>
      <c r="M66" t="str">
        <f t="shared" ref="M66:M97" si="17">IFERROR(VALUE(MID($A66,FIND("Level",$A66)+5,99)),IF($E66="AISLE_FLOOR",0,IF($E66="OVERFLOW",0,IF($E66="ENDCAP",0,""))))</f>
        <v/>
      </c>
      <c r="N66" t="str">
        <f t="shared" ref="N66:N97" si="18">IF(AND($B66&lt;&gt;"",$C66&lt;&gt;"",ISNUMBER(--$D66)), $B66&amp;": "&amp;LEFT($C66,1)&amp;TEXT(--$D66,"00"), IF($I66&lt;&gt;"",$I66,$A66))</f>
        <v>A01: S01</v>
      </c>
      <c r="O66" t="str">
        <f t="shared" ref="O66:O129" si="19">IF(AND($C66&lt;&gt;"",ISNUMBER(--$D66)),LEFT($C66,1),"")</f>
        <v>S</v>
      </c>
      <c r="P66">
        <f t="shared" ref="P66:P129" si="20">IF(ISNUMBER(--$D66),--$D66,"")</f>
        <v>1</v>
      </c>
      <c r="Q66" t="str">
        <f t="shared" ref="Q66:Q129" si="21">IF(AND($O66&lt;&gt;"",$P66&lt;&gt;""),$O66&amp;TEXT($P66,"00"),"")</f>
        <v>S01</v>
      </c>
    </row>
    <row r="67" spans="1:17">
      <c r="A67" t="s">
        <v>918</v>
      </c>
      <c r="B67" t="s">
        <v>839</v>
      </c>
      <c r="C67" t="s">
        <v>896</v>
      </c>
      <c r="D67">
        <v>1</v>
      </c>
      <c r="E67" t="s">
        <v>846</v>
      </c>
      <c r="F67">
        <v>4</v>
      </c>
      <c r="G67">
        <v>2</v>
      </c>
      <c r="H67" t="str">
        <f t="shared" si="13"/>
        <v>SAMPLE: Grid C20</v>
      </c>
      <c r="I67" t="s">
        <v>919</v>
      </c>
      <c r="J67" t="str">
        <f t="shared" si="14"/>
        <v>WH-Z1-AisleD-Bay1-Level1</v>
      </c>
      <c r="K67" t="str">
        <f t="shared" si="15"/>
        <v/>
      </c>
      <c r="L67">
        <f t="shared" si="16"/>
        <v>1</v>
      </c>
      <c r="M67" t="str">
        <f t="shared" si="17"/>
        <v/>
      </c>
      <c r="N67" t="str">
        <f t="shared" si="18"/>
        <v>A01: S01</v>
      </c>
      <c r="O67" t="str">
        <f t="shared" si="19"/>
        <v>S</v>
      </c>
      <c r="P67">
        <f t="shared" si="20"/>
        <v>1</v>
      </c>
      <c r="Q67" t="str">
        <f t="shared" si="21"/>
        <v>S01</v>
      </c>
    </row>
    <row r="68" spans="1:17">
      <c r="A68" t="s">
        <v>920</v>
      </c>
      <c r="B68" t="s">
        <v>839</v>
      </c>
      <c r="C68" t="s">
        <v>921</v>
      </c>
      <c r="D68">
        <v>1</v>
      </c>
      <c r="E68" t="s">
        <v>846</v>
      </c>
      <c r="F68">
        <v>4</v>
      </c>
      <c r="G68">
        <v>2</v>
      </c>
      <c r="H68" t="str">
        <f t="shared" si="13"/>
        <v>D</v>
      </c>
      <c r="I68" t="s">
        <v>922</v>
      </c>
      <c r="J68" t="str">
        <f t="shared" si="14"/>
        <v>WH-Z1-AisleD-Bay1-Level2</v>
      </c>
      <c r="K68" t="str">
        <f t="shared" si="15"/>
        <v/>
      </c>
      <c r="L68">
        <f t="shared" si="16"/>
        <v>1</v>
      </c>
      <c r="M68" t="str">
        <f t="shared" si="17"/>
        <v/>
      </c>
      <c r="N68" t="str">
        <f t="shared" si="18"/>
        <v>A01: S01</v>
      </c>
      <c r="O68" t="str">
        <f t="shared" si="19"/>
        <v>S</v>
      </c>
      <c r="P68">
        <f t="shared" si="20"/>
        <v>1</v>
      </c>
      <c r="Q68" t="str">
        <f t="shared" si="21"/>
        <v>S01</v>
      </c>
    </row>
    <row r="69" spans="1:17">
      <c r="A69" t="s">
        <v>923</v>
      </c>
      <c r="B69" t="s">
        <v>839</v>
      </c>
      <c r="C69" t="s">
        <v>921</v>
      </c>
      <c r="D69">
        <v>1</v>
      </c>
      <c r="E69" t="s">
        <v>846</v>
      </c>
      <c r="F69">
        <v>4</v>
      </c>
      <c r="G69">
        <v>2</v>
      </c>
      <c r="H69" t="str">
        <f t="shared" si="13"/>
        <v>SAMPLE: Grid D02</v>
      </c>
      <c r="I69" t="s">
        <v>924</v>
      </c>
      <c r="J69" t="str">
        <f t="shared" si="14"/>
        <v>WH-Z1-AisleD-Bay1-Level3</v>
      </c>
      <c r="K69" t="str">
        <f t="shared" si="15"/>
        <v/>
      </c>
      <c r="L69">
        <f t="shared" si="16"/>
        <v>1</v>
      </c>
      <c r="M69" t="str">
        <f t="shared" si="17"/>
        <v/>
      </c>
      <c r="N69" t="str">
        <f t="shared" si="18"/>
        <v>A01: S01</v>
      </c>
      <c r="O69" t="str">
        <f t="shared" si="19"/>
        <v>S</v>
      </c>
      <c r="P69">
        <f t="shared" si="20"/>
        <v>1</v>
      </c>
      <c r="Q69" t="str">
        <f t="shared" si="21"/>
        <v>S01</v>
      </c>
    </row>
    <row r="70" spans="1:17">
      <c r="A70" t="s">
        <v>925</v>
      </c>
      <c r="B70" t="s">
        <v>839</v>
      </c>
      <c r="C70" t="s">
        <v>921</v>
      </c>
      <c r="D70">
        <v>1</v>
      </c>
      <c r="E70" t="s">
        <v>846</v>
      </c>
      <c r="F70">
        <v>4</v>
      </c>
      <c r="G70">
        <v>2</v>
      </c>
      <c r="H70" t="str">
        <f t="shared" si="13"/>
        <v>SAMPLE: Grid D03</v>
      </c>
      <c r="I70" t="s">
        <v>926</v>
      </c>
      <c r="J70" t="str">
        <f t="shared" si="14"/>
        <v>WH-Z1-AisleD-Bay1-Level4</v>
      </c>
      <c r="K70" t="str">
        <f t="shared" si="15"/>
        <v/>
      </c>
      <c r="L70">
        <f t="shared" si="16"/>
        <v>1</v>
      </c>
      <c r="M70" t="str">
        <f t="shared" si="17"/>
        <v/>
      </c>
      <c r="N70" t="str">
        <f t="shared" si="18"/>
        <v>A01: S01</v>
      </c>
      <c r="O70" t="str">
        <f t="shared" si="19"/>
        <v>S</v>
      </c>
      <c r="P70">
        <f t="shared" si="20"/>
        <v>1</v>
      </c>
      <c r="Q70" t="str">
        <f t="shared" si="21"/>
        <v>S01</v>
      </c>
    </row>
    <row r="71" spans="1:17">
      <c r="A71" t="s">
        <v>927</v>
      </c>
      <c r="B71" t="s">
        <v>839</v>
      </c>
      <c r="C71" t="s">
        <v>921</v>
      </c>
      <c r="D71">
        <v>1</v>
      </c>
      <c r="E71" t="s">
        <v>846</v>
      </c>
      <c r="F71">
        <v>4</v>
      </c>
      <c r="G71">
        <v>2</v>
      </c>
      <c r="H71" t="str">
        <f t="shared" si="13"/>
        <v>SAMPLE: Grid D04</v>
      </c>
      <c r="I71" t="s">
        <v>928</v>
      </c>
      <c r="J71" t="str">
        <f t="shared" si="14"/>
        <v>WH-Z1-AisleD-Bay1-Level5</v>
      </c>
      <c r="K71" t="str">
        <f t="shared" si="15"/>
        <v/>
      </c>
      <c r="L71">
        <f t="shared" si="16"/>
        <v>1</v>
      </c>
      <c r="M71" t="str">
        <f t="shared" si="17"/>
        <v/>
      </c>
      <c r="N71" t="str">
        <f t="shared" si="18"/>
        <v>A01: S01</v>
      </c>
      <c r="O71" t="str">
        <f t="shared" si="19"/>
        <v>S</v>
      </c>
      <c r="P71">
        <f t="shared" si="20"/>
        <v>1</v>
      </c>
      <c r="Q71" t="str">
        <f t="shared" si="21"/>
        <v>S01</v>
      </c>
    </row>
    <row r="72" spans="1:17">
      <c r="A72" t="s">
        <v>929</v>
      </c>
      <c r="B72" t="s">
        <v>839</v>
      </c>
      <c r="C72" t="s">
        <v>921</v>
      </c>
      <c r="D72">
        <v>1</v>
      </c>
      <c r="E72" t="s">
        <v>846</v>
      </c>
      <c r="F72">
        <v>4</v>
      </c>
      <c r="G72">
        <v>2</v>
      </c>
      <c r="H72" t="str">
        <f t="shared" si="13"/>
        <v>SAMPLE: Grid D05</v>
      </c>
      <c r="I72" t="s">
        <v>930</v>
      </c>
      <c r="J72" t="str">
        <f t="shared" si="14"/>
        <v>WH-Z1-AisleD-Bay1-Level6</v>
      </c>
      <c r="K72" t="str">
        <f t="shared" si="15"/>
        <v/>
      </c>
      <c r="L72">
        <f t="shared" si="16"/>
        <v>1</v>
      </c>
      <c r="M72" t="str">
        <f t="shared" si="17"/>
        <v/>
      </c>
      <c r="N72" t="str">
        <f t="shared" si="18"/>
        <v>A01: S01</v>
      </c>
      <c r="O72" t="str">
        <f t="shared" si="19"/>
        <v>S</v>
      </c>
      <c r="P72">
        <f t="shared" si="20"/>
        <v>1</v>
      </c>
      <c r="Q72" t="str">
        <f t="shared" si="21"/>
        <v>S01</v>
      </c>
    </row>
    <row r="73" spans="1:17">
      <c r="A73" t="s">
        <v>931</v>
      </c>
      <c r="B73" t="s">
        <v>839</v>
      </c>
      <c r="C73" t="s">
        <v>921</v>
      </c>
      <c r="D73">
        <v>1</v>
      </c>
      <c r="E73" t="s">
        <v>846</v>
      </c>
      <c r="F73">
        <v>4</v>
      </c>
      <c r="G73">
        <v>2</v>
      </c>
      <c r="H73" t="str">
        <f t="shared" si="13"/>
        <v>SAMPLE: Grid D06</v>
      </c>
      <c r="I73" t="s">
        <v>932</v>
      </c>
      <c r="J73" t="str">
        <f t="shared" si="14"/>
        <v>WH-Z1-AisleD-Bay1-Level7</v>
      </c>
      <c r="K73" t="str">
        <f t="shared" si="15"/>
        <v/>
      </c>
      <c r="L73">
        <f t="shared" si="16"/>
        <v>1</v>
      </c>
      <c r="M73" t="str">
        <f t="shared" si="17"/>
        <v/>
      </c>
      <c r="N73" t="str">
        <f t="shared" si="18"/>
        <v>A01: S01</v>
      </c>
      <c r="O73" t="str">
        <f t="shared" si="19"/>
        <v>S</v>
      </c>
      <c r="P73">
        <f t="shared" si="20"/>
        <v>1</v>
      </c>
      <c r="Q73" t="str">
        <f t="shared" si="21"/>
        <v>S01</v>
      </c>
    </row>
    <row r="74" spans="1:17">
      <c r="A74" t="s">
        <v>933</v>
      </c>
      <c r="B74" t="s">
        <v>839</v>
      </c>
      <c r="C74" t="s">
        <v>921</v>
      </c>
      <c r="D74">
        <v>1</v>
      </c>
      <c r="E74" t="s">
        <v>846</v>
      </c>
      <c r="F74">
        <v>4</v>
      </c>
      <c r="G74">
        <v>2</v>
      </c>
      <c r="H74" t="str">
        <f t="shared" si="13"/>
        <v>SAMPLE: Grid D07</v>
      </c>
      <c r="I74" t="s">
        <v>934</v>
      </c>
      <c r="J74" t="str">
        <f t="shared" si="14"/>
        <v>WH-Z1-AisleD-Bay1-Level8</v>
      </c>
      <c r="K74" t="str">
        <f t="shared" si="15"/>
        <v/>
      </c>
      <c r="L74">
        <f t="shared" si="16"/>
        <v>1</v>
      </c>
      <c r="M74" t="str">
        <f t="shared" si="17"/>
        <v/>
      </c>
      <c r="N74" t="str">
        <f t="shared" si="18"/>
        <v>A01: S01</v>
      </c>
      <c r="O74" t="str">
        <f t="shared" si="19"/>
        <v>S</v>
      </c>
      <c r="P74">
        <f t="shared" si="20"/>
        <v>1</v>
      </c>
      <c r="Q74" t="str">
        <f t="shared" si="21"/>
        <v>S01</v>
      </c>
    </row>
    <row r="75" spans="1:17">
      <c r="A75" t="s">
        <v>935</v>
      </c>
      <c r="B75" t="s">
        <v>839</v>
      </c>
      <c r="C75" t="s">
        <v>921</v>
      </c>
      <c r="D75">
        <v>1</v>
      </c>
      <c r="E75" t="s">
        <v>846</v>
      </c>
      <c r="F75">
        <v>4</v>
      </c>
      <c r="G75">
        <v>2</v>
      </c>
      <c r="H75" t="str">
        <f t="shared" si="13"/>
        <v>SAMPLE: Grid D08</v>
      </c>
      <c r="I75" t="s">
        <v>936</v>
      </c>
      <c r="J75" t="str">
        <f t="shared" si="14"/>
        <v>WH-Z1-AisleD-Bay1-Level9</v>
      </c>
      <c r="K75" t="str">
        <f t="shared" si="15"/>
        <v/>
      </c>
      <c r="L75">
        <f t="shared" si="16"/>
        <v>1</v>
      </c>
      <c r="M75" t="str">
        <f t="shared" si="17"/>
        <v/>
      </c>
      <c r="N75" t="str">
        <f t="shared" si="18"/>
        <v>A01: S01</v>
      </c>
      <c r="O75" t="str">
        <f t="shared" si="19"/>
        <v>S</v>
      </c>
      <c r="P75">
        <f t="shared" si="20"/>
        <v>1</v>
      </c>
      <c r="Q75" t="str">
        <f t="shared" si="21"/>
        <v>S01</v>
      </c>
    </row>
    <row r="76" spans="1:17">
      <c r="A76" t="s">
        <v>937</v>
      </c>
      <c r="B76" t="s">
        <v>839</v>
      </c>
      <c r="C76" t="s">
        <v>921</v>
      </c>
      <c r="D76">
        <v>1</v>
      </c>
      <c r="E76" t="s">
        <v>846</v>
      </c>
      <c r="F76">
        <v>4</v>
      </c>
      <c r="G76">
        <v>2</v>
      </c>
      <c r="H76" t="str">
        <f t="shared" si="13"/>
        <v>SAMPLE: Grid D09</v>
      </c>
      <c r="I76" t="s">
        <v>938</v>
      </c>
      <c r="J76" t="str">
        <f t="shared" si="14"/>
        <v>WH-Z1-AisleD-Bay1-Level10</v>
      </c>
      <c r="K76" t="str">
        <f t="shared" si="15"/>
        <v/>
      </c>
      <c r="L76">
        <f t="shared" si="16"/>
        <v>1</v>
      </c>
      <c r="M76" t="str">
        <f t="shared" si="17"/>
        <v/>
      </c>
      <c r="N76" t="str">
        <f t="shared" si="18"/>
        <v>A01: S01</v>
      </c>
      <c r="O76" t="str">
        <f t="shared" si="19"/>
        <v>S</v>
      </c>
      <c r="P76">
        <f t="shared" si="20"/>
        <v>1</v>
      </c>
      <c r="Q76" t="str">
        <f t="shared" si="21"/>
        <v>S01</v>
      </c>
    </row>
    <row r="77" spans="1:17">
      <c r="A77" t="s">
        <v>939</v>
      </c>
      <c r="B77" t="s">
        <v>839</v>
      </c>
      <c r="C77" t="s">
        <v>921</v>
      </c>
      <c r="D77">
        <v>1</v>
      </c>
      <c r="E77" t="s">
        <v>846</v>
      </c>
      <c r="F77">
        <v>4</v>
      </c>
      <c r="G77">
        <v>2</v>
      </c>
      <c r="H77" t="str">
        <f t="shared" si="13"/>
        <v>SAMPLE: Grid D10</v>
      </c>
      <c r="I77" t="s">
        <v>940</v>
      </c>
      <c r="J77" t="str">
        <f t="shared" si="14"/>
        <v>WH-Z1-AisleD-Bay1-Level11</v>
      </c>
      <c r="K77" t="str">
        <f t="shared" si="15"/>
        <v/>
      </c>
      <c r="L77">
        <f t="shared" si="16"/>
        <v>1</v>
      </c>
      <c r="M77" t="str">
        <f t="shared" si="17"/>
        <v/>
      </c>
      <c r="N77" t="str">
        <f t="shared" si="18"/>
        <v>A01: S01</v>
      </c>
      <c r="O77" t="str">
        <f t="shared" si="19"/>
        <v>S</v>
      </c>
      <c r="P77">
        <f t="shared" si="20"/>
        <v>1</v>
      </c>
      <c r="Q77" t="str">
        <f t="shared" si="21"/>
        <v>S01</v>
      </c>
    </row>
    <row r="78" spans="1:17">
      <c r="A78" t="s">
        <v>941</v>
      </c>
      <c r="B78" t="s">
        <v>839</v>
      </c>
      <c r="C78" t="s">
        <v>921</v>
      </c>
      <c r="D78">
        <v>1</v>
      </c>
      <c r="E78" t="s">
        <v>846</v>
      </c>
      <c r="F78">
        <v>4</v>
      </c>
      <c r="G78">
        <v>2</v>
      </c>
      <c r="H78" t="str">
        <f t="shared" si="13"/>
        <v>SAMPLE: Grid D11</v>
      </c>
      <c r="I78" t="s">
        <v>942</v>
      </c>
      <c r="J78" t="str">
        <f t="shared" si="14"/>
        <v>WH-Z1-AisleD-Bay1-Level12</v>
      </c>
      <c r="K78" t="str">
        <f t="shared" si="15"/>
        <v/>
      </c>
      <c r="L78">
        <f t="shared" si="16"/>
        <v>1</v>
      </c>
      <c r="M78" t="str">
        <f t="shared" si="17"/>
        <v/>
      </c>
      <c r="N78" t="str">
        <f t="shared" si="18"/>
        <v>A01: S01</v>
      </c>
      <c r="O78" t="str">
        <f t="shared" si="19"/>
        <v>S</v>
      </c>
      <c r="P78">
        <f t="shared" si="20"/>
        <v>1</v>
      </c>
      <c r="Q78" t="str">
        <f t="shared" si="21"/>
        <v>S01</v>
      </c>
    </row>
    <row r="79" spans="1:17">
      <c r="A79" t="s">
        <v>943</v>
      </c>
      <c r="B79" t="s">
        <v>839</v>
      </c>
      <c r="C79" t="s">
        <v>921</v>
      </c>
      <c r="D79">
        <v>1</v>
      </c>
      <c r="E79" t="s">
        <v>846</v>
      </c>
      <c r="F79">
        <v>4</v>
      </c>
      <c r="G79">
        <v>2</v>
      </c>
      <c r="H79" t="str">
        <f t="shared" si="13"/>
        <v>SAMPLE: Grid D12</v>
      </c>
      <c r="I79" t="s">
        <v>944</v>
      </c>
      <c r="J79" t="str">
        <f t="shared" si="14"/>
        <v>WH-Z1-AisleD-Bay1-Level13</v>
      </c>
      <c r="K79" t="str">
        <f t="shared" si="15"/>
        <v/>
      </c>
      <c r="L79">
        <f t="shared" si="16"/>
        <v>1</v>
      </c>
      <c r="M79" t="str">
        <f t="shared" si="17"/>
        <v/>
      </c>
      <c r="N79" t="str">
        <f t="shared" si="18"/>
        <v>A01: S01</v>
      </c>
      <c r="O79" t="str">
        <f t="shared" si="19"/>
        <v>S</v>
      </c>
      <c r="P79">
        <f t="shared" si="20"/>
        <v>1</v>
      </c>
      <c r="Q79" t="str">
        <f t="shared" si="21"/>
        <v>S01</v>
      </c>
    </row>
    <row r="80" spans="1:17">
      <c r="A80" t="s">
        <v>945</v>
      </c>
      <c r="B80" t="s">
        <v>839</v>
      </c>
      <c r="C80" t="s">
        <v>921</v>
      </c>
      <c r="D80">
        <v>1</v>
      </c>
      <c r="E80" t="s">
        <v>846</v>
      </c>
      <c r="F80">
        <v>4</v>
      </c>
      <c r="G80">
        <v>2</v>
      </c>
      <c r="H80" t="str">
        <f t="shared" si="13"/>
        <v>SAMPLE: Grid D13</v>
      </c>
      <c r="I80" t="s">
        <v>946</v>
      </c>
      <c r="J80" t="str">
        <f t="shared" si="14"/>
        <v>WH-Z1-AisleD-Bay1-Level14</v>
      </c>
      <c r="K80" t="str">
        <f t="shared" si="15"/>
        <v/>
      </c>
      <c r="L80">
        <f t="shared" si="16"/>
        <v>1</v>
      </c>
      <c r="M80" t="str">
        <f t="shared" si="17"/>
        <v/>
      </c>
      <c r="N80" t="str">
        <f t="shared" si="18"/>
        <v>A01: S01</v>
      </c>
      <c r="O80" t="str">
        <f t="shared" si="19"/>
        <v>S</v>
      </c>
      <c r="P80">
        <f t="shared" si="20"/>
        <v>1</v>
      </c>
      <c r="Q80" t="str">
        <f t="shared" si="21"/>
        <v>S01</v>
      </c>
    </row>
    <row r="81" spans="1:17">
      <c r="A81" t="s">
        <v>947</v>
      </c>
      <c r="B81" t="s">
        <v>839</v>
      </c>
      <c r="C81" t="s">
        <v>921</v>
      </c>
      <c r="D81">
        <v>1</v>
      </c>
      <c r="E81" t="s">
        <v>846</v>
      </c>
      <c r="F81">
        <v>4</v>
      </c>
      <c r="G81">
        <v>2</v>
      </c>
      <c r="H81" t="str">
        <f t="shared" si="13"/>
        <v>SAMPLE: Grid D14</v>
      </c>
      <c r="I81" t="s">
        <v>948</v>
      </c>
      <c r="J81" t="str">
        <f t="shared" si="14"/>
        <v>WH-Z1-AisleD-Bay1-Level15</v>
      </c>
      <c r="K81" t="str">
        <f t="shared" si="15"/>
        <v/>
      </c>
      <c r="L81">
        <f t="shared" si="16"/>
        <v>1</v>
      </c>
      <c r="M81" t="str">
        <f t="shared" si="17"/>
        <v/>
      </c>
      <c r="N81" t="str">
        <f t="shared" si="18"/>
        <v>A01: S01</v>
      </c>
      <c r="O81" t="str">
        <f t="shared" si="19"/>
        <v>S</v>
      </c>
      <c r="P81">
        <f t="shared" si="20"/>
        <v>1</v>
      </c>
      <c r="Q81" t="str">
        <f t="shared" si="21"/>
        <v>S01</v>
      </c>
    </row>
    <row r="82" spans="1:17">
      <c r="A82" t="s">
        <v>949</v>
      </c>
      <c r="B82" t="s">
        <v>839</v>
      </c>
      <c r="C82" t="s">
        <v>921</v>
      </c>
      <c r="D82">
        <v>1</v>
      </c>
      <c r="E82" t="s">
        <v>846</v>
      </c>
      <c r="F82">
        <v>4</v>
      </c>
      <c r="G82">
        <v>2</v>
      </c>
      <c r="H82" t="str">
        <f t="shared" si="13"/>
        <v>SAMPLE: Grid D15</v>
      </c>
      <c r="I82" t="s">
        <v>950</v>
      </c>
      <c r="J82" t="str">
        <f t="shared" si="14"/>
        <v>WH-Z1-AisleD-Bay1-Level16</v>
      </c>
      <c r="K82" t="str">
        <f t="shared" si="15"/>
        <v/>
      </c>
      <c r="L82">
        <f t="shared" si="16"/>
        <v>1</v>
      </c>
      <c r="M82" t="str">
        <f t="shared" si="17"/>
        <v/>
      </c>
      <c r="N82" t="str">
        <f t="shared" si="18"/>
        <v>A01: S01</v>
      </c>
      <c r="O82" t="str">
        <f t="shared" si="19"/>
        <v>S</v>
      </c>
      <c r="P82">
        <f t="shared" si="20"/>
        <v>1</v>
      </c>
      <c r="Q82" t="str">
        <f t="shared" si="21"/>
        <v>S01</v>
      </c>
    </row>
    <row r="83" spans="1:17">
      <c r="A83" t="s">
        <v>951</v>
      </c>
      <c r="B83" t="s">
        <v>839</v>
      </c>
      <c r="C83" t="s">
        <v>921</v>
      </c>
      <c r="D83">
        <v>1</v>
      </c>
      <c r="E83" t="s">
        <v>846</v>
      </c>
      <c r="F83">
        <v>4</v>
      </c>
      <c r="G83">
        <v>2</v>
      </c>
      <c r="H83" t="str">
        <f t="shared" si="13"/>
        <v>SAMPLE: Grid D16</v>
      </c>
      <c r="I83" t="s">
        <v>952</v>
      </c>
      <c r="J83" t="str">
        <f t="shared" si="14"/>
        <v>WH-Z1-AisleD-Bay1-Level17</v>
      </c>
      <c r="K83" t="str">
        <f t="shared" si="15"/>
        <v/>
      </c>
      <c r="L83">
        <f t="shared" si="16"/>
        <v>1</v>
      </c>
      <c r="M83" t="str">
        <f t="shared" si="17"/>
        <v/>
      </c>
      <c r="N83" t="str">
        <f t="shared" si="18"/>
        <v>A01: S01</v>
      </c>
      <c r="O83" t="str">
        <f t="shared" si="19"/>
        <v>S</v>
      </c>
      <c r="P83">
        <f t="shared" si="20"/>
        <v>1</v>
      </c>
      <c r="Q83" t="str">
        <f t="shared" si="21"/>
        <v>S01</v>
      </c>
    </row>
    <row r="84" spans="1:17">
      <c r="A84" t="s">
        <v>953</v>
      </c>
      <c r="B84" t="s">
        <v>839</v>
      </c>
      <c r="C84" t="s">
        <v>921</v>
      </c>
      <c r="D84">
        <v>1</v>
      </c>
      <c r="E84" t="s">
        <v>846</v>
      </c>
      <c r="F84">
        <v>4</v>
      </c>
      <c r="G84">
        <v>2</v>
      </c>
      <c r="H84" t="str">
        <f t="shared" si="13"/>
        <v>SAMPLE: Grid D17</v>
      </c>
      <c r="I84" t="s">
        <v>954</v>
      </c>
      <c r="J84" t="str">
        <f t="shared" si="14"/>
        <v>WH-Z1-AisleD-Bay1-Level18</v>
      </c>
      <c r="K84" t="str">
        <f t="shared" si="15"/>
        <v/>
      </c>
      <c r="L84">
        <f t="shared" si="16"/>
        <v>1</v>
      </c>
      <c r="M84" t="str">
        <f t="shared" si="17"/>
        <v/>
      </c>
      <c r="N84" t="str">
        <f t="shared" si="18"/>
        <v>A01: S01</v>
      </c>
      <c r="O84" t="str">
        <f t="shared" si="19"/>
        <v>S</v>
      </c>
      <c r="P84">
        <f t="shared" si="20"/>
        <v>1</v>
      </c>
      <c r="Q84" t="str">
        <f t="shared" si="21"/>
        <v>S01</v>
      </c>
    </row>
    <row r="85" spans="1:17">
      <c r="A85" t="s">
        <v>955</v>
      </c>
      <c r="B85" t="s">
        <v>839</v>
      </c>
      <c r="C85" t="s">
        <v>921</v>
      </c>
      <c r="D85">
        <v>1</v>
      </c>
      <c r="E85" t="s">
        <v>846</v>
      </c>
      <c r="F85">
        <v>4</v>
      </c>
      <c r="G85">
        <v>2</v>
      </c>
      <c r="H85" t="str">
        <f t="shared" si="13"/>
        <v>SAMPLE: Grid D18</v>
      </c>
      <c r="I85" t="s">
        <v>956</v>
      </c>
      <c r="J85" t="str">
        <f t="shared" si="14"/>
        <v>WH-Z1-AisleD-Bay1-Level19</v>
      </c>
      <c r="K85" t="str">
        <f t="shared" si="15"/>
        <v/>
      </c>
      <c r="L85">
        <f t="shared" si="16"/>
        <v>1</v>
      </c>
      <c r="M85" t="str">
        <f t="shared" si="17"/>
        <v/>
      </c>
      <c r="N85" t="str">
        <f t="shared" si="18"/>
        <v>A01: S01</v>
      </c>
      <c r="O85" t="str">
        <f t="shared" si="19"/>
        <v>S</v>
      </c>
      <c r="P85">
        <f t="shared" si="20"/>
        <v>1</v>
      </c>
      <c r="Q85" t="str">
        <f t="shared" si="21"/>
        <v>S01</v>
      </c>
    </row>
    <row r="86" spans="1:17">
      <c r="A86" t="s">
        <v>957</v>
      </c>
      <c r="B86" t="s">
        <v>839</v>
      </c>
      <c r="C86" t="s">
        <v>921</v>
      </c>
      <c r="D86">
        <v>1</v>
      </c>
      <c r="E86" t="s">
        <v>846</v>
      </c>
      <c r="F86">
        <v>4</v>
      </c>
      <c r="G86">
        <v>2</v>
      </c>
      <c r="H86" t="str">
        <f t="shared" si="13"/>
        <v>SAMPLE: Grid D19</v>
      </c>
      <c r="I86" t="s">
        <v>958</v>
      </c>
      <c r="J86" t="str">
        <f t="shared" si="14"/>
        <v>WH-Z1-AisleD-Bay1-Level20</v>
      </c>
      <c r="K86" t="str">
        <f t="shared" si="15"/>
        <v/>
      </c>
      <c r="L86">
        <f t="shared" si="16"/>
        <v>1</v>
      </c>
      <c r="M86" t="str">
        <f t="shared" si="17"/>
        <v/>
      </c>
      <c r="N86" t="str">
        <f t="shared" si="18"/>
        <v>A01: S01</v>
      </c>
      <c r="O86" t="str">
        <f t="shared" si="19"/>
        <v>S</v>
      </c>
      <c r="P86">
        <f t="shared" si="20"/>
        <v>1</v>
      </c>
      <c r="Q86" t="str">
        <f t="shared" si="21"/>
        <v>S01</v>
      </c>
    </row>
    <row r="87" spans="1:17">
      <c r="A87" t="s">
        <v>959</v>
      </c>
      <c r="B87" t="s">
        <v>839</v>
      </c>
      <c r="C87" t="s">
        <v>921</v>
      </c>
      <c r="D87">
        <v>1</v>
      </c>
      <c r="E87" t="s">
        <v>846</v>
      </c>
      <c r="F87">
        <v>4</v>
      </c>
      <c r="G87">
        <v>2</v>
      </c>
      <c r="H87" t="str">
        <f t="shared" si="13"/>
        <v>SAMPLE: Grid D20</v>
      </c>
      <c r="I87" t="s">
        <v>960</v>
      </c>
      <c r="J87" t="str">
        <f t="shared" si="14"/>
        <v>WH-Z1-AisleE-Bay1-Level1</v>
      </c>
      <c r="K87" t="str">
        <f t="shared" si="15"/>
        <v/>
      </c>
      <c r="L87">
        <f t="shared" si="16"/>
        <v>1</v>
      </c>
      <c r="M87" t="str">
        <f t="shared" si="17"/>
        <v/>
      </c>
      <c r="N87" t="str">
        <f t="shared" si="18"/>
        <v>A01: S01</v>
      </c>
      <c r="O87" t="str">
        <f t="shared" si="19"/>
        <v>S</v>
      </c>
      <c r="P87">
        <f t="shared" si="20"/>
        <v>1</v>
      </c>
      <c r="Q87" t="str">
        <f t="shared" si="21"/>
        <v>S01</v>
      </c>
    </row>
    <row r="88" spans="1:17">
      <c r="A88" t="s">
        <v>961</v>
      </c>
      <c r="B88" t="s">
        <v>839</v>
      </c>
      <c r="C88" t="s">
        <v>962</v>
      </c>
      <c r="D88">
        <v>1</v>
      </c>
      <c r="E88" t="s">
        <v>846</v>
      </c>
      <c r="F88">
        <v>4</v>
      </c>
      <c r="G88">
        <v>2</v>
      </c>
      <c r="H88" t="str">
        <f t="shared" si="13"/>
        <v>E</v>
      </c>
      <c r="I88" t="s">
        <v>963</v>
      </c>
      <c r="J88" t="str">
        <f t="shared" si="14"/>
        <v>WH-Z1-AisleE-Bay1-Level2</v>
      </c>
      <c r="K88" t="str">
        <f t="shared" si="15"/>
        <v/>
      </c>
      <c r="L88">
        <f t="shared" si="16"/>
        <v>1</v>
      </c>
      <c r="M88" t="str">
        <f t="shared" si="17"/>
        <v/>
      </c>
      <c r="N88" t="str">
        <f t="shared" si="18"/>
        <v>A01: S01</v>
      </c>
      <c r="O88" t="str">
        <f t="shared" si="19"/>
        <v>S</v>
      </c>
      <c r="P88">
        <f t="shared" si="20"/>
        <v>1</v>
      </c>
      <c r="Q88" t="str">
        <f t="shared" si="21"/>
        <v>S01</v>
      </c>
    </row>
    <row r="89" spans="1:17">
      <c r="A89" t="s">
        <v>964</v>
      </c>
      <c r="B89" t="s">
        <v>839</v>
      </c>
      <c r="C89" t="s">
        <v>962</v>
      </c>
      <c r="D89">
        <v>1</v>
      </c>
      <c r="E89" t="s">
        <v>846</v>
      </c>
      <c r="F89">
        <v>4</v>
      </c>
      <c r="G89">
        <v>2</v>
      </c>
      <c r="H89" t="str">
        <f t="shared" si="13"/>
        <v>SAMPLE: Grid E02</v>
      </c>
      <c r="I89" t="s">
        <v>965</v>
      </c>
      <c r="J89" t="str">
        <f t="shared" si="14"/>
        <v>WH-Z1-AisleE-Bay1-Level3</v>
      </c>
      <c r="K89" t="str">
        <f t="shared" si="15"/>
        <v/>
      </c>
      <c r="L89">
        <f t="shared" si="16"/>
        <v>1</v>
      </c>
      <c r="M89" t="str">
        <f t="shared" si="17"/>
        <v/>
      </c>
      <c r="N89" t="str">
        <f t="shared" si="18"/>
        <v>A01: S01</v>
      </c>
      <c r="O89" t="str">
        <f t="shared" si="19"/>
        <v>S</v>
      </c>
      <c r="P89">
        <f t="shared" si="20"/>
        <v>1</v>
      </c>
      <c r="Q89" t="str">
        <f t="shared" si="21"/>
        <v>S01</v>
      </c>
    </row>
    <row r="90" spans="1:17">
      <c r="A90" t="s">
        <v>966</v>
      </c>
      <c r="B90" t="s">
        <v>839</v>
      </c>
      <c r="C90" t="s">
        <v>962</v>
      </c>
      <c r="D90">
        <v>1</v>
      </c>
      <c r="E90" t="s">
        <v>846</v>
      </c>
      <c r="F90">
        <v>4</v>
      </c>
      <c r="G90">
        <v>2</v>
      </c>
      <c r="H90" t="str">
        <f t="shared" si="13"/>
        <v>SAMPLE: Grid E03</v>
      </c>
      <c r="I90" t="s">
        <v>967</v>
      </c>
      <c r="J90" t="str">
        <f t="shared" si="14"/>
        <v>WH-Z1-AisleE-Bay1-Level4</v>
      </c>
      <c r="K90" t="str">
        <f t="shared" si="15"/>
        <v/>
      </c>
      <c r="L90">
        <f t="shared" si="16"/>
        <v>1</v>
      </c>
      <c r="M90" t="str">
        <f t="shared" si="17"/>
        <v/>
      </c>
      <c r="N90" t="str">
        <f t="shared" si="18"/>
        <v>A01: S01</v>
      </c>
      <c r="O90" t="str">
        <f t="shared" si="19"/>
        <v>S</v>
      </c>
      <c r="P90">
        <f t="shared" si="20"/>
        <v>1</v>
      </c>
      <c r="Q90" t="str">
        <f t="shared" si="21"/>
        <v>S01</v>
      </c>
    </row>
    <row r="91" spans="1:17">
      <c r="A91" t="s">
        <v>968</v>
      </c>
      <c r="B91" t="s">
        <v>839</v>
      </c>
      <c r="C91" t="s">
        <v>962</v>
      </c>
      <c r="D91">
        <v>1</v>
      </c>
      <c r="E91" t="s">
        <v>846</v>
      </c>
      <c r="F91">
        <v>4</v>
      </c>
      <c r="G91">
        <v>2</v>
      </c>
      <c r="H91" t="str">
        <f t="shared" si="13"/>
        <v>SAMPLE: Grid E04</v>
      </c>
      <c r="I91" t="s">
        <v>969</v>
      </c>
      <c r="J91" t="str">
        <f t="shared" si="14"/>
        <v>WH-Z1-AisleE-Bay1-Level5</v>
      </c>
      <c r="K91" t="str">
        <f t="shared" si="15"/>
        <v/>
      </c>
      <c r="L91">
        <f t="shared" si="16"/>
        <v>1</v>
      </c>
      <c r="M91" t="str">
        <f t="shared" si="17"/>
        <v/>
      </c>
      <c r="N91" t="str">
        <f t="shared" si="18"/>
        <v>A01: S01</v>
      </c>
      <c r="O91" t="str">
        <f t="shared" si="19"/>
        <v>S</v>
      </c>
      <c r="P91">
        <f t="shared" si="20"/>
        <v>1</v>
      </c>
      <c r="Q91" t="str">
        <f t="shared" si="21"/>
        <v>S01</v>
      </c>
    </row>
    <row r="92" spans="1:17">
      <c r="A92" t="s">
        <v>970</v>
      </c>
      <c r="B92" t="s">
        <v>839</v>
      </c>
      <c r="C92" t="s">
        <v>962</v>
      </c>
      <c r="D92">
        <v>1</v>
      </c>
      <c r="E92" t="s">
        <v>846</v>
      </c>
      <c r="F92">
        <v>4</v>
      </c>
      <c r="G92">
        <v>2</v>
      </c>
      <c r="H92" t="str">
        <f t="shared" si="13"/>
        <v>SAMPLE: Grid E05</v>
      </c>
      <c r="I92" t="s">
        <v>971</v>
      </c>
      <c r="J92" t="str">
        <f t="shared" si="14"/>
        <v>WH-Z1-AisleE-Bay1-Level6</v>
      </c>
      <c r="K92" t="str">
        <f t="shared" si="15"/>
        <v/>
      </c>
      <c r="L92">
        <f t="shared" si="16"/>
        <v>1</v>
      </c>
      <c r="M92" t="str">
        <f t="shared" si="17"/>
        <v/>
      </c>
      <c r="N92" t="str">
        <f t="shared" si="18"/>
        <v>A01: S01</v>
      </c>
      <c r="O92" t="str">
        <f t="shared" si="19"/>
        <v>S</v>
      </c>
      <c r="P92">
        <f t="shared" si="20"/>
        <v>1</v>
      </c>
      <c r="Q92" t="str">
        <f t="shared" si="21"/>
        <v>S01</v>
      </c>
    </row>
    <row r="93" spans="1:17">
      <c r="A93" t="s">
        <v>972</v>
      </c>
      <c r="B93" t="s">
        <v>839</v>
      </c>
      <c r="C93" t="s">
        <v>962</v>
      </c>
      <c r="D93">
        <v>1</v>
      </c>
      <c r="E93" t="s">
        <v>846</v>
      </c>
      <c r="F93">
        <v>4</v>
      </c>
      <c r="G93">
        <v>2</v>
      </c>
      <c r="H93" t="str">
        <f t="shared" si="13"/>
        <v>SAMPLE: Grid E06</v>
      </c>
      <c r="I93" t="s">
        <v>973</v>
      </c>
      <c r="J93" t="str">
        <f t="shared" si="14"/>
        <v>WH-Z1-AisleE-Bay1-Level7</v>
      </c>
      <c r="K93" t="str">
        <f t="shared" si="15"/>
        <v/>
      </c>
      <c r="L93">
        <f t="shared" si="16"/>
        <v>1</v>
      </c>
      <c r="M93" t="str">
        <f t="shared" si="17"/>
        <v/>
      </c>
      <c r="N93" t="str">
        <f t="shared" si="18"/>
        <v>A01: S01</v>
      </c>
      <c r="O93" t="str">
        <f t="shared" si="19"/>
        <v>S</v>
      </c>
      <c r="P93">
        <f t="shared" si="20"/>
        <v>1</v>
      </c>
      <c r="Q93" t="str">
        <f t="shared" si="21"/>
        <v>S01</v>
      </c>
    </row>
    <row r="94" spans="1:17">
      <c r="A94" t="s">
        <v>974</v>
      </c>
      <c r="B94" t="s">
        <v>839</v>
      </c>
      <c r="C94" t="s">
        <v>962</v>
      </c>
      <c r="D94">
        <v>1</v>
      </c>
      <c r="E94" t="s">
        <v>846</v>
      </c>
      <c r="F94">
        <v>4</v>
      </c>
      <c r="G94">
        <v>2</v>
      </c>
      <c r="H94" t="str">
        <f t="shared" si="13"/>
        <v>SAMPLE: Grid E07</v>
      </c>
      <c r="I94" t="s">
        <v>975</v>
      </c>
      <c r="J94" t="str">
        <f t="shared" si="14"/>
        <v>WH-Z1-AisleE-Bay1-Level8</v>
      </c>
      <c r="K94" t="str">
        <f t="shared" si="15"/>
        <v/>
      </c>
      <c r="L94">
        <f t="shared" si="16"/>
        <v>1</v>
      </c>
      <c r="M94" t="str">
        <f t="shared" si="17"/>
        <v/>
      </c>
      <c r="N94" t="str">
        <f t="shared" si="18"/>
        <v>A01: S01</v>
      </c>
      <c r="O94" t="str">
        <f t="shared" si="19"/>
        <v>S</v>
      </c>
      <c r="P94">
        <f t="shared" si="20"/>
        <v>1</v>
      </c>
      <c r="Q94" t="str">
        <f t="shared" si="21"/>
        <v>S01</v>
      </c>
    </row>
    <row r="95" spans="1:17">
      <c r="A95" t="s">
        <v>976</v>
      </c>
      <c r="B95" t="s">
        <v>839</v>
      </c>
      <c r="C95" t="s">
        <v>962</v>
      </c>
      <c r="D95">
        <v>1</v>
      </c>
      <c r="E95" t="s">
        <v>846</v>
      </c>
      <c r="F95">
        <v>4</v>
      </c>
      <c r="G95">
        <v>2</v>
      </c>
      <c r="H95" t="str">
        <f t="shared" si="13"/>
        <v>SAMPLE: Grid E08</v>
      </c>
      <c r="I95" t="s">
        <v>977</v>
      </c>
      <c r="J95" t="str">
        <f t="shared" si="14"/>
        <v>WH-Z1-AisleE-Bay1-Level9</v>
      </c>
      <c r="K95" t="str">
        <f t="shared" si="15"/>
        <v/>
      </c>
      <c r="L95">
        <f t="shared" si="16"/>
        <v>1</v>
      </c>
      <c r="M95" t="str">
        <f t="shared" si="17"/>
        <v/>
      </c>
      <c r="N95" t="str">
        <f t="shared" si="18"/>
        <v>A01: S01</v>
      </c>
      <c r="O95" t="str">
        <f t="shared" si="19"/>
        <v>S</v>
      </c>
      <c r="P95">
        <f t="shared" si="20"/>
        <v>1</v>
      </c>
      <c r="Q95" t="str">
        <f t="shared" si="21"/>
        <v>S01</v>
      </c>
    </row>
    <row r="96" spans="1:17">
      <c r="A96" t="s">
        <v>978</v>
      </c>
      <c r="B96" t="s">
        <v>839</v>
      </c>
      <c r="C96" t="s">
        <v>962</v>
      </c>
      <c r="D96">
        <v>1</v>
      </c>
      <c r="E96" t="s">
        <v>846</v>
      </c>
      <c r="F96">
        <v>4</v>
      </c>
      <c r="G96">
        <v>2</v>
      </c>
      <c r="H96" t="str">
        <f t="shared" si="13"/>
        <v>SAMPLE: Grid E09</v>
      </c>
      <c r="I96" t="s">
        <v>979</v>
      </c>
      <c r="J96" t="str">
        <f t="shared" si="14"/>
        <v>WH-Z1-AisleE-Bay1-Level10</v>
      </c>
      <c r="K96" t="str">
        <f t="shared" si="15"/>
        <v/>
      </c>
      <c r="L96">
        <f t="shared" si="16"/>
        <v>1</v>
      </c>
      <c r="M96" t="str">
        <f t="shared" si="17"/>
        <v/>
      </c>
      <c r="N96" t="str">
        <f t="shared" si="18"/>
        <v>A01: S01</v>
      </c>
      <c r="O96" t="str">
        <f t="shared" si="19"/>
        <v>S</v>
      </c>
      <c r="P96">
        <f t="shared" si="20"/>
        <v>1</v>
      </c>
      <c r="Q96" t="str">
        <f t="shared" si="21"/>
        <v>S01</v>
      </c>
    </row>
    <row r="97" spans="1:17">
      <c r="A97" t="s">
        <v>980</v>
      </c>
      <c r="B97" t="s">
        <v>839</v>
      </c>
      <c r="C97" t="s">
        <v>962</v>
      </c>
      <c r="D97">
        <v>1</v>
      </c>
      <c r="E97" t="s">
        <v>846</v>
      </c>
      <c r="F97">
        <v>4</v>
      </c>
      <c r="G97">
        <v>2</v>
      </c>
      <c r="H97" t="str">
        <f t="shared" si="13"/>
        <v>SAMPLE: Grid E10</v>
      </c>
      <c r="I97" t="s">
        <v>981</v>
      </c>
      <c r="J97" t="str">
        <f t="shared" si="14"/>
        <v>WH-Z1-AisleE-Bay1-Level11</v>
      </c>
      <c r="K97" t="str">
        <f t="shared" si="15"/>
        <v/>
      </c>
      <c r="L97">
        <f t="shared" si="16"/>
        <v>1</v>
      </c>
      <c r="M97" t="str">
        <f t="shared" si="17"/>
        <v/>
      </c>
      <c r="N97" t="str">
        <f t="shared" si="18"/>
        <v>A01: S01</v>
      </c>
      <c r="O97" t="str">
        <f t="shared" si="19"/>
        <v>S</v>
      </c>
      <c r="P97">
        <f t="shared" si="20"/>
        <v>1</v>
      </c>
      <c r="Q97" t="str">
        <f t="shared" si="21"/>
        <v>S01</v>
      </c>
    </row>
    <row r="98" spans="1:17">
      <c r="A98" t="s">
        <v>982</v>
      </c>
      <c r="B98" t="s">
        <v>839</v>
      </c>
      <c r="C98" t="s">
        <v>962</v>
      </c>
      <c r="D98">
        <v>1</v>
      </c>
      <c r="E98" t="s">
        <v>846</v>
      </c>
      <c r="F98">
        <v>4</v>
      </c>
      <c r="G98">
        <v>2</v>
      </c>
      <c r="H98" t="str">
        <f t="shared" ref="H98:H133" si="22">A98</f>
        <v>SAMPLE: Grid E11</v>
      </c>
      <c r="I98" t="s">
        <v>983</v>
      </c>
      <c r="J98" t="str">
        <f t="shared" ref="J98:J133" si="23">IF($I98&lt;&gt;"",$I98,$A98)</f>
        <v>WH-Z1-AisleE-Bay1-Level12</v>
      </c>
      <c r="K98" t="str">
        <f t="shared" si="15"/>
        <v/>
      </c>
      <c r="L98">
        <f t="shared" si="16"/>
        <v>1</v>
      </c>
      <c r="M98" t="str">
        <f t="shared" ref="M98:M133" si="24">IFERROR(VALUE(MID($A98,FIND("Level",$A98)+5,99)),IF($E98="AISLE_FLOOR",0,IF($E98="OVERFLOW",0,IF($E98="ENDCAP",0,""))))</f>
        <v/>
      </c>
      <c r="N98" t="str">
        <f t="shared" ref="N98:N133" si="25">IF(AND($B98&lt;&gt;"",$C98&lt;&gt;"",ISNUMBER(--$D98)), $B98&amp;": "&amp;LEFT($C98,1)&amp;TEXT(--$D98,"00"), IF($I98&lt;&gt;"",$I98,$A98))</f>
        <v>A01: S01</v>
      </c>
      <c r="O98" t="str">
        <f t="shared" si="19"/>
        <v>S</v>
      </c>
      <c r="P98">
        <f t="shared" si="20"/>
        <v>1</v>
      </c>
      <c r="Q98" t="str">
        <f t="shared" si="21"/>
        <v>S01</v>
      </c>
    </row>
    <row r="99" spans="1:17">
      <c r="A99" t="s">
        <v>984</v>
      </c>
      <c r="B99" t="s">
        <v>839</v>
      </c>
      <c r="C99" t="s">
        <v>962</v>
      </c>
      <c r="D99">
        <v>1</v>
      </c>
      <c r="E99" t="s">
        <v>846</v>
      </c>
      <c r="F99">
        <v>4</v>
      </c>
      <c r="G99">
        <v>2</v>
      </c>
      <c r="H99" t="str">
        <f t="shared" si="22"/>
        <v>SAMPLE: Grid E12</v>
      </c>
      <c r="I99" t="s">
        <v>985</v>
      </c>
      <c r="J99" t="str">
        <f t="shared" si="23"/>
        <v>WH-Z1-AisleE-Bay1-Level13</v>
      </c>
      <c r="K99" t="str">
        <f t="shared" si="15"/>
        <v/>
      </c>
      <c r="L99">
        <f t="shared" si="16"/>
        <v>1</v>
      </c>
      <c r="M99" t="str">
        <f t="shared" si="24"/>
        <v/>
      </c>
      <c r="N99" t="str">
        <f t="shared" si="25"/>
        <v>A01: S01</v>
      </c>
      <c r="O99" t="str">
        <f t="shared" si="19"/>
        <v>S</v>
      </c>
      <c r="P99">
        <f t="shared" si="20"/>
        <v>1</v>
      </c>
      <c r="Q99" t="str">
        <f t="shared" si="21"/>
        <v>S01</v>
      </c>
    </row>
    <row r="100" spans="1:17">
      <c r="A100" t="s">
        <v>986</v>
      </c>
      <c r="B100" t="s">
        <v>839</v>
      </c>
      <c r="C100" t="s">
        <v>962</v>
      </c>
      <c r="D100">
        <v>1</v>
      </c>
      <c r="E100" t="s">
        <v>846</v>
      </c>
      <c r="F100">
        <v>4</v>
      </c>
      <c r="G100">
        <v>2</v>
      </c>
      <c r="H100" t="str">
        <f t="shared" si="22"/>
        <v>SAMPLE: Grid E13</v>
      </c>
      <c r="I100" t="s">
        <v>987</v>
      </c>
      <c r="J100" t="str">
        <f t="shared" si="23"/>
        <v>WH-Z1-AisleE-Bay1-Level14</v>
      </c>
      <c r="K100" t="str">
        <f t="shared" si="15"/>
        <v/>
      </c>
      <c r="L100">
        <f t="shared" si="16"/>
        <v>1</v>
      </c>
      <c r="M100" t="str">
        <f t="shared" si="24"/>
        <v/>
      </c>
      <c r="N100" t="str">
        <f t="shared" si="25"/>
        <v>A01: S01</v>
      </c>
      <c r="O100" t="str">
        <f t="shared" si="19"/>
        <v>S</v>
      </c>
      <c r="P100">
        <f t="shared" si="20"/>
        <v>1</v>
      </c>
      <c r="Q100" t="str">
        <f t="shared" si="21"/>
        <v>S01</v>
      </c>
    </row>
    <row r="101" spans="1:17">
      <c r="A101" t="s">
        <v>988</v>
      </c>
      <c r="B101" t="s">
        <v>839</v>
      </c>
      <c r="C101" t="s">
        <v>962</v>
      </c>
      <c r="D101">
        <v>1</v>
      </c>
      <c r="E101" t="s">
        <v>846</v>
      </c>
      <c r="F101">
        <v>4</v>
      </c>
      <c r="G101">
        <v>2</v>
      </c>
      <c r="H101" t="str">
        <f t="shared" si="22"/>
        <v>SAMPLE: Grid E14</v>
      </c>
      <c r="I101" t="s">
        <v>989</v>
      </c>
      <c r="J101" t="str">
        <f t="shared" si="23"/>
        <v>WH-Z1-AisleE-Bay1-Level15</v>
      </c>
      <c r="K101" t="str">
        <f t="shared" si="15"/>
        <v/>
      </c>
      <c r="L101">
        <f t="shared" si="16"/>
        <v>1</v>
      </c>
      <c r="M101" t="str">
        <f t="shared" si="24"/>
        <v/>
      </c>
      <c r="N101" t="str">
        <f t="shared" si="25"/>
        <v>A01: S01</v>
      </c>
      <c r="O101" t="str">
        <f t="shared" si="19"/>
        <v>S</v>
      </c>
      <c r="P101">
        <f t="shared" si="20"/>
        <v>1</v>
      </c>
      <c r="Q101" t="str">
        <f t="shared" si="21"/>
        <v>S01</v>
      </c>
    </row>
    <row r="102" spans="1:17">
      <c r="A102" t="s">
        <v>990</v>
      </c>
      <c r="B102" t="s">
        <v>839</v>
      </c>
      <c r="C102" t="s">
        <v>962</v>
      </c>
      <c r="D102">
        <v>1</v>
      </c>
      <c r="E102" t="s">
        <v>846</v>
      </c>
      <c r="F102">
        <v>4</v>
      </c>
      <c r="G102">
        <v>2</v>
      </c>
      <c r="H102" t="str">
        <f t="shared" si="22"/>
        <v>SAMPLE: Grid E15</v>
      </c>
      <c r="I102" t="s">
        <v>991</v>
      </c>
      <c r="J102" t="str">
        <f t="shared" si="23"/>
        <v>WH-Z1-AisleE-Bay1-Level16</v>
      </c>
      <c r="K102" t="str">
        <f t="shared" si="15"/>
        <v/>
      </c>
      <c r="L102">
        <f t="shared" si="16"/>
        <v>1</v>
      </c>
      <c r="M102" t="str">
        <f t="shared" si="24"/>
        <v/>
      </c>
      <c r="N102" t="str">
        <f t="shared" si="25"/>
        <v>A01: S01</v>
      </c>
      <c r="O102" t="str">
        <f t="shared" si="19"/>
        <v>S</v>
      </c>
      <c r="P102">
        <f t="shared" si="20"/>
        <v>1</v>
      </c>
      <c r="Q102" t="str">
        <f t="shared" si="21"/>
        <v>S01</v>
      </c>
    </row>
    <row r="103" spans="1:17">
      <c r="A103" t="s">
        <v>992</v>
      </c>
      <c r="B103" t="s">
        <v>839</v>
      </c>
      <c r="C103" t="s">
        <v>962</v>
      </c>
      <c r="D103">
        <v>1</v>
      </c>
      <c r="E103" t="s">
        <v>846</v>
      </c>
      <c r="F103">
        <v>4</v>
      </c>
      <c r="G103">
        <v>2</v>
      </c>
      <c r="H103" t="str">
        <f t="shared" si="22"/>
        <v>SAMPLE: Grid E16</v>
      </c>
      <c r="I103" t="s">
        <v>993</v>
      </c>
      <c r="J103" t="str">
        <f t="shared" si="23"/>
        <v>WH-Z1-AisleE-Bay1-Level17</v>
      </c>
      <c r="K103" t="str">
        <f t="shared" si="15"/>
        <v/>
      </c>
      <c r="L103">
        <f t="shared" si="16"/>
        <v>1</v>
      </c>
      <c r="M103" t="str">
        <f t="shared" si="24"/>
        <v/>
      </c>
      <c r="N103" t="str">
        <f t="shared" si="25"/>
        <v>A01: S01</v>
      </c>
      <c r="O103" t="str">
        <f t="shared" si="19"/>
        <v>S</v>
      </c>
      <c r="P103">
        <f t="shared" si="20"/>
        <v>1</v>
      </c>
      <c r="Q103" t="str">
        <f t="shared" si="21"/>
        <v>S01</v>
      </c>
    </row>
    <row r="104" spans="1:17">
      <c r="A104" t="s">
        <v>994</v>
      </c>
      <c r="B104" t="s">
        <v>839</v>
      </c>
      <c r="C104" t="s">
        <v>962</v>
      </c>
      <c r="D104">
        <v>1</v>
      </c>
      <c r="E104" t="s">
        <v>846</v>
      </c>
      <c r="F104">
        <v>4</v>
      </c>
      <c r="G104">
        <v>2</v>
      </c>
      <c r="H104" t="str">
        <f t="shared" si="22"/>
        <v>SAMPLE: Grid E17</v>
      </c>
      <c r="I104" t="s">
        <v>995</v>
      </c>
      <c r="J104" t="str">
        <f t="shared" si="23"/>
        <v>WH-Z1-AisleE-Bay1-Level18</v>
      </c>
      <c r="K104" t="str">
        <f t="shared" si="15"/>
        <v/>
      </c>
      <c r="L104">
        <f t="shared" si="16"/>
        <v>1</v>
      </c>
      <c r="M104" t="str">
        <f t="shared" si="24"/>
        <v/>
      </c>
      <c r="N104" t="str">
        <f t="shared" si="25"/>
        <v>A01: S01</v>
      </c>
      <c r="O104" t="str">
        <f t="shared" si="19"/>
        <v>S</v>
      </c>
      <c r="P104">
        <f t="shared" si="20"/>
        <v>1</v>
      </c>
      <c r="Q104" t="str">
        <f t="shared" si="21"/>
        <v>S01</v>
      </c>
    </row>
    <row r="105" spans="1:17">
      <c r="A105" t="s">
        <v>996</v>
      </c>
      <c r="B105" t="s">
        <v>839</v>
      </c>
      <c r="C105" t="s">
        <v>962</v>
      </c>
      <c r="D105">
        <v>1</v>
      </c>
      <c r="E105" t="s">
        <v>846</v>
      </c>
      <c r="F105">
        <v>4</v>
      </c>
      <c r="G105">
        <v>2</v>
      </c>
      <c r="H105" t="str">
        <f t="shared" si="22"/>
        <v>SAMPLE: Grid E18</v>
      </c>
      <c r="I105" t="s">
        <v>997</v>
      </c>
      <c r="J105" t="str">
        <f t="shared" si="23"/>
        <v>WH-Z1-AisleE-Bay1-Level19</v>
      </c>
      <c r="K105" t="str">
        <f t="shared" si="15"/>
        <v/>
      </c>
      <c r="L105">
        <f t="shared" si="16"/>
        <v>1</v>
      </c>
      <c r="M105" t="str">
        <f t="shared" si="24"/>
        <v/>
      </c>
      <c r="N105" t="str">
        <f t="shared" si="25"/>
        <v>A01: S01</v>
      </c>
      <c r="O105" t="str">
        <f t="shared" si="19"/>
        <v>S</v>
      </c>
      <c r="P105">
        <f t="shared" si="20"/>
        <v>1</v>
      </c>
      <c r="Q105" t="str">
        <f t="shared" si="21"/>
        <v>S01</v>
      </c>
    </row>
    <row r="106" spans="1:17">
      <c r="A106" t="s">
        <v>998</v>
      </c>
      <c r="B106" t="s">
        <v>839</v>
      </c>
      <c r="C106" t="s">
        <v>962</v>
      </c>
      <c r="D106">
        <v>1</v>
      </c>
      <c r="E106" t="s">
        <v>846</v>
      </c>
      <c r="F106">
        <v>4</v>
      </c>
      <c r="G106">
        <v>2</v>
      </c>
      <c r="H106" t="str">
        <f t="shared" si="22"/>
        <v>SAMPLE: Grid E19</v>
      </c>
      <c r="I106" t="s">
        <v>999</v>
      </c>
      <c r="J106" t="str">
        <f t="shared" si="23"/>
        <v>WH-Z1-AisleE-Bay1-Level20</v>
      </c>
      <c r="K106" t="str">
        <f t="shared" si="15"/>
        <v/>
      </c>
      <c r="L106">
        <f t="shared" si="16"/>
        <v>1</v>
      </c>
      <c r="M106" t="str">
        <f t="shared" si="24"/>
        <v/>
      </c>
      <c r="N106" t="str">
        <f t="shared" si="25"/>
        <v>A01: S01</v>
      </c>
      <c r="O106" t="str">
        <f t="shared" si="19"/>
        <v>S</v>
      </c>
      <c r="P106">
        <f t="shared" si="20"/>
        <v>1</v>
      </c>
      <c r="Q106" t="str">
        <f t="shared" si="21"/>
        <v>S01</v>
      </c>
    </row>
    <row r="107" spans="1:17">
      <c r="A107" t="s">
        <v>1000</v>
      </c>
      <c r="B107" t="s">
        <v>839</v>
      </c>
      <c r="C107" t="s">
        <v>962</v>
      </c>
      <c r="D107">
        <v>1</v>
      </c>
      <c r="E107" t="s">
        <v>846</v>
      </c>
      <c r="F107">
        <v>4</v>
      </c>
      <c r="G107">
        <v>2</v>
      </c>
      <c r="H107" t="str">
        <f t="shared" si="22"/>
        <v>SAMPLE: Grid E20</v>
      </c>
      <c r="I107" t="s">
        <v>1001</v>
      </c>
      <c r="J107" t="str">
        <f t="shared" si="23"/>
        <v>WH-Z1-AisleF-Bay1-Level1</v>
      </c>
      <c r="K107" t="str">
        <f t="shared" si="15"/>
        <v/>
      </c>
      <c r="L107">
        <f t="shared" si="16"/>
        <v>1</v>
      </c>
      <c r="M107" t="str">
        <f t="shared" si="24"/>
        <v/>
      </c>
      <c r="N107" t="str">
        <f t="shared" si="25"/>
        <v>A01: S01</v>
      </c>
      <c r="O107" t="str">
        <f t="shared" si="19"/>
        <v>S</v>
      </c>
      <c r="P107">
        <f t="shared" si="20"/>
        <v>1</v>
      </c>
      <c r="Q107" t="str">
        <f t="shared" si="21"/>
        <v>S01</v>
      </c>
    </row>
    <row r="108" spans="1:17">
      <c r="A108" t="s">
        <v>1002</v>
      </c>
      <c r="B108" t="s">
        <v>839</v>
      </c>
      <c r="C108" t="s">
        <v>1003</v>
      </c>
      <c r="D108">
        <v>1</v>
      </c>
      <c r="E108" t="s">
        <v>846</v>
      </c>
      <c r="F108">
        <v>4</v>
      </c>
      <c r="G108">
        <v>2</v>
      </c>
      <c r="H108" t="str">
        <f t="shared" si="22"/>
        <v>F</v>
      </c>
      <c r="I108" t="s">
        <v>1004</v>
      </c>
      <c r="J108" t="str">
        <f t="shared" si="23"/>
        <v>WH-Z1-AisleF-Bay1-Level2</v>
      </c>
      <c r="K108" t="str">
        <f t="shared" si="15"/>
        <v/>
      </c>
      <c r="L108">
        <f t="shared" si="16"/>
        <v>1</v>
      </c>
      <c r="M108" t="str">
        <f t="shared" si="24"/>
        <v/>
      </c>
      <c r="N108" t="str">
        <f t="shared" si="25"/>
        <v>A01: S01</v>
      </c>
      <c r="O108" t="str">
        <f t="shared" si="19"/>
        <v>S</v>
      </c>
      <c r="P108">
        <f t="shared" si="20"/>
        <v>1</v>
      </c>
      <c r="Q108" t="str">
        <f t="shared" si="21"/>
        <v>S01</v>
      </c>
    </row>
    <row r="109" spans="1:17">
      <c r="A109" t="s">
        <v>1005</v>
      </c>
      <c r="B109" t="s">
        <v>839</v>
      </c>
      <c r="C109" t="s">
        <v>1003</v>
      </c>
      <c r="D109">
        <v>1</v>
      </c>
      <c r="E109" t="s">
        <v>846</v>
      </c>
      <c r="F109">
        <v>4</v>
      </c>
      <c r="G109">
        <v>2</v>
      </c>
      <c r="H109" t="str">
        <f t="shared" si="22"/>
        <v>SAMPLE: Grid F02</v>
      </c>
      <c r="I109" t="s">
        <v>1006</v>
      </c>
      <c r="J109" t="str">
        <f t="shared" si="23"/>
        <v>WH-Z1-AisleF-Bay1-Level3</v>
      </c>
      <c r="K109" t="str">
        <f t="shared" si="15"/>
        <v/>
      </c>
      <c r="L109">
        <f t="shared" si="16"/>
        <v>1</v>
      </c>
      <c r="M109" t="str">
        <f t="shared" si="24"/>
        <v/>
      </c>
      <c r="N109" t="str">
        <f t="shared" si="25"/>
        <v>A01: S01</v>
      </c>
      <c r="O109" t="str">
        <f t="shared" si="19"/>
        <v>S</v>
      </c>
      <c r="P109">
        <f t="shared" si="20"/>
        <v>1</v>
      </c>
      <c r="Q109" t="str">
        <f t="shared" si="21"/>
        <v>S01</v>
      </c>
    </row>
    <row r="110" spans="1:17">
      <c r="A110" t="s">
        <v>1007</v>
      </c>
      <c r="B110" t="s">
        <v>839</v>
      </c>
      <c r="C110" t="s">
        <v>1003</v>
      </c>
      <c r="D110">
        <v>1</v>
      </c>
      <c r="E110" t="s">
        <v>846</v>
      </c>
      <c r="F110">
        <v>4</v>
      </c>
      <c r="G110">
        <v>2</v>
      </c>
      <c r="H110" t="str">
        <f t="shared" si="22"/>
        <v>SAMPLE: Grid F03</v>
      </c>
      <c r="I110" t="s">
        <v>1008</v>
      </c>
      <c r="J110" t="str">
        <f t="shared" si="23"/>
        <v>WH-Z1-AisleF-Bay1-Level4</v>
      </c>
      <c r="K110" t="str">
        <f t="shared" si="15"/>
        <v/>
      </c>
      <c r="L110">
        <f t="shared" si="16"/>
        <v>1</v>
      </c>
      <c r="M110" t="str">
        <f t="shared" si="24"/>
        <v/>
      </c>
      <c r="N110" t="str">
        <f t="shared" si="25"/>
        <v>A01: S01</v>
      </c>
      <c r="O110" t="str">
        <f t="shared" si="19"/>
        <v>S</v>
      </c>
      <c r="P110">
        <f t="shared" si="20"/>
        <v>1</v>
      </c>
      <c r="Q110" t="str">
        <f t="shared" si="21"/>
        <v>S01</v>
      </c>
    </row>
    <row r="111" spans="1:17">
      <c r="A111" t="s">
        <v>1009</v>
      </c>
      <c r="B111" t="s">
        <v>839</v>
      </c>
      <c r="C111" t="s">
        <v>1003</v>
      </c>
      <c r="D111">
        <v>1</v>
      </c>
      <c r="E111" t="s">
        <v>846</v>
      </c>
      <c r="F111">
        <v>4</v>
      </c>
      <c r="G111">
        <v>2</v>
      </c>
      <c r="H111" t="str">
        <f t="shared" si="22"/>
        <v>SAMPLE: Grid F04</v>
      </c>
      <c r="I111" t="s">
        <v>1010</v>
      </c>
      <c r="J111" t="str">
        <f t="shared" si="23"/>
        <v>WH-Z1-AisleF-Bay1-Level5</v>
      </c>
      <c r="K111" t="str">
        <f t="shared" si="15"/>
        <v/>
      </c>
      <c r="L111">
        <f t="shared" si="16"/>
        <v>1</v>
      </c>
      <c r="M111" t="str">
        <f t="shared" si="24"/>
        <v/>
      </c>
      <c r="N111" t="str">
        <f t="shared" si="25"/>
        <v>A01: S01</v>
      </c>
      <c r="O111" t="str">
        <f t="shared" si="19"/>
        <v>S</v>
      </c>
      <c r="P111">
        <f t="shared" si="20"/>
        <v>1</v>
      </c>
      <c r="Q111" t="str">
        <f t="shared" si="21"/>
        <v>S01</v>
      </c>
    </row>
    <row r="112" spans="1:17">
      <c r="A112" t="s">
        <v>1011</v>
      </c>
      <c r="B112" t="s">
        <v>839</v>
      </c>
      <c r="C112" t="s">
        <v>1003</v>
      </c>
      <c r="D112">
        <v>1</v>
      </c>
      <c r="E112" t="s">
        <v>846</v>
      </c>
      <c r="F112">
        <v>4</v>
      </c>
      <c r="G112">
        <v>2</v>
      </c>
      <c r="H112" t="str">
        <f t="shared" si="22"/>
        <v>SAMPLE: Grid F05</v>
      </c>
      <c r="I112" t="s">
        <v>1012</v>
      </c>
      <c r="J112" t="str">
        <f t="shared" si="23"/>
        <v>WH-Z1-AisleF-Bay1-Level6</v>
      </c>
      <c r="K112" t="str">
        <f t="shared" si="15"/>
        <v/>
      </c>
      <c r="L112">
        <f t="shared" si="16"/>
        <v>1</v>
      </c>
      <c r="M112" t="str">
        <f t="shared" si="24"/>
        <v/>
      </c>
      <c r="N112" t="str">
        <f t="shared" si="25"/>
        <v>A01: S01</v>
      </c>
      <c r="O112" t="str">
        <f t="shared" si="19"/>
        <v>S</v>
      </c>
      <c r="P112">
        <f t="shared" si="20"/>
        <v>1</v>
      </c>
      <c r="Q112" t="str">
        <f t="shared" si="21"/>
        <v>S01</v>
      </c>
    </row>
    <row r="113" spans="1:17">
      <c r="A113" t="s">
        <v>1013</v>
      </c>
      <c r="B113" t="s">
        <v>839</v>
      </c>
      <c r="C113" t="s">
        <v>1003</v>
      </c>
      <c r="D113">
        <v>1</v>
      </c>
      <c r="E113" t="s">
        <v>846</v>
      </c>
      <c r="F113">
        <v>4</v>
      </c>
      <c r="G113">
        <v>2</v>
      </c>
      <c r="H113" t="str">
        <f t="shared" si="22"/>
        <v>SAMPLE: Grid F06</v>
      </c>
      <c r="I113" t="s">
        <v>1014</v>
      </c>
      <c r="J113" t="str">
        <f t="shared" si="23"/>
        <v>WH-Z1-AisleF-Bay1-Level7</v>
      </c>
      <c r="K113" t="str">
        <f t="shared" si="15"/>
        <v/>
      </c>
      <c r="L113">
        <f t="shared" si="16"/>
        <v>1</v>
      </c>
      <c r="M113" t="str">
        <f t="shared" si="24"/>
        <v/>
      </c>
      <c r="N113" t="str">
        <f t="shared" si="25"/>
        <v>A01: S01</v>
      </c>
      <c r="O113" t="str">
        <f t="shared" si="19"/>
        <v>S</v>
      </c>
      <c r="P113">
        <f t="shared" si="20"/>
        <v>1</v>
      </c>
      <c r="Q113" t="str">
        <f t="shared" si="21"/>
        <v>S01</v>
      </c>
    </row>
    <row r="114" spans="1:17">
      <c r="A114" t="s">
        <v>1015</v>
      </c>
      <c r="B114" t="s">
        <v>839</v>
      </c>
      <c r="C114" t="s">
        <v>1003</v>
      </c>
      <c r="D114">
        <v>1</v>
      </c>
      <c r="E114" t="s">
        <v>846</v>
      </c>
      <c r="F114">
        <v>4</v>
      </c>
      <c r="G114">
        <v>2</v>
      </c>
      <c r="H114" t="str">
        <f t="shared" si="22"/>
        <v>SAMPLE: Grid F07</v>
      </c>
      <c r="I114" t="s">
        <v>1016</v>
      </c>
      <c r="J114" t="str">
        <f t="shared" si="23"/>
        <v>WH-Z1-AisleF-Bay1-Level8</v>
      </c>
      <c r="K114" t="str">
        <f t="shared" si="15"/>
        <v/>
      </c>
      <c r="L114">
        <f t="shared" si="16"/>
        <v>1</v>
      </c>
      <c r="M114" t="str">
        <f t="shared" si="24"/>
        <v/>
      </c>
      <c r="N114" t="str">
        <f t="shared" si="25"/>
        <v>A01: S01</v>
      </c>
      <c r="O114" t="str">
        <f t="shared" si="19"/>
        <v>S</v>
      </c>
      <c r="P114">
        <f t="shared" si="20"/>
        <v>1</v>
      </c>
      <c r="Q114" t="str">
        <f t="shared" si="21"/>
        <v>S01</v>
      </c>
    </row>
    <row r="115" spans="1:17">
      <c r="A115" t="s">
        <v>1017</v>
      </c>
      <c r="B115" t="s">
        <v>839</v>
      </c>
      <c r="C115" t="s">
        <v>1003</v>
      </c>
      <c r="D115">
        <v>1</v>
      </c>
      <c r="E115" t="s">
        <v>846</v>
      </c>
      <c r="F115">
        <v>4</v>
      </c>
      <c r="G115">
        <v>2</v>
      </c>
      <c r="H115" t="str">
        <f t="shared" si="22"/>
        <v>SAMPLE: Grid F08</v>
      </c>
      <c r="I115" t="s">
        <v>1018</v>
      </c>
      <c r="J115" t="str">
        <f t="shared" si="23"/>
        <v>WH-Z1-AisleF-Bay1-Level9</v>
      </c>
      <c r="K115" t="str">
        <f t="shared" si="15"/>
        <v/>
      </c>
      <c r="L115">
        <f t="shared" si="16"/>
        <v>1</v>
      </c>
      <c r="M115" t="str">
        <f t="shared" si="24"/>
        <v/>
      </c>
      <c r="N115" t="str">
        <f t="shared" si="25"/>
        <v>A01: S01</v>
      </c>
      <c r="O115" t="str">
        <f t="shared" si="19"/>
        <v>S</v>
      </c>
      <c r="P115">
        <f t="shared" si="20"/>
        <v>1</v>
      </c>
      <c r="Q115" t="str">
        <f t="shared" si="21"/>
        <v>S01</v>
      </c>
    </row>
    <row r="116" spans="1:17">
      <c r="A116" t="s">
        <v>1019</v>
      </c>
      <c r="B116" t="s">
        <v>839</v>
      </c>
      <c r="C116" t="s">
        <v>1003</v>
      </c>
      <c r="D116">
        <v>1</v>
      </c>
      <c r="E116" t="s">
        <v>846</v>
      </c>
      <c r="F116">
        <v>4</v>
      </c>
      <c r="G116">
        <v>2</v>
      </c>
      <c r="H116" t="str">
        <f t="shared" si="22"/>
        <v>SAMPLE: Grid F09</v>
      </c>
      <c r="I116" t="s">
        <v>1020</v>
      </c>
      <c r="J116" t="str">
        <f t="shared" si="23"/>
        <v>WH-Z1-AisleF-Bay1-Level10</v>
      </c>
      <c r="K116" t="str">
        <f t="shared" si="15"/>
        <v/>
      </c>
      <c r="L116">
        <f t="shared" si="16"/>
        <v>1</v>
      </c>
      <c r="M116" t="str">
        <f t="shared" si="24"/>
        <v/>
      </c>
      <c r="N116" t="str">
        <f t="shared" si="25"/>
        <v>A01: S01</v>
      </c>
      <c r="O116" t="str">
        <f t="shared" si="19"/>
        <v>S</v>
      </c>
      <c r="P116">
        <f t="shared" si="20"/>
        <v>1</v>
      </c>
      <c r="Q116" t="str">
        <f t="shared" si="21"/>
        <v>S01</v>
      </c>
    </row>
    <row r="117" spans="1:17">
      <c r="A117" t="s">
        <v>1021</v>
      </c>
      <c r="B117" t="s">
        <v>839</v>
      </c>
      <c r="C117" t="s">
        <v>1003</v>
      </c>
      <c r="D117">
        <v>1</v>
      </c>
      <c r="E117" t="s">
        <v>846</v>
      </c>
      <c r="F117">
        <v>4</v>
      </c>
      <c r="G117">
        <v>2</v>
      </c>
      <c r="H117" t="str">
        <f t="shared" si="22"/>
        <v>SAMPLE: Grid F10</v>
      </c>
      <c r="I117" t="s">
        <v>1022</v>
      </c>
      <c r="J117" t="str">
        <f t="shared" si="23"/>
        <v>WH-Z1-AisleF-Bay1-Level11</v>
      </c>
      <c r="K117" t="str">
        <f t="shared" si="15"/>
        <v/>
      </c>
      <c r="L117">
        <f t="shared" si="16"/>
        <v>1</v>
      </c>
      <c r="M117" t="str">
        <f t="shared" si="24"/>
        <v/>
      </c>
      <c r="N117" t="str">
        <f t="shared" si="25"/>
        <v>A01: S01</v>
      </c>
      <c r="O117" t="str">
        <f t="shared" si="19"/>
        <v>S</v>
      </c>
      <c r="P117">
        <f t="shared" si="20"/>
        <v>1</v>
      </c>
      <c r="Q117" t="str">
        <f t="shared" si="21"/>
        <v>S01</v>
      </c>
    </row>
    <row r="118" spans="1:17">
      <c r="A118" t="s">
        <v>1023</v>
      </c>
      <c r="B118" t="s">
        <v>839</v>
      </c>
      <c r="C118" t="s">
        <v>1003</v>
      </c>
      <c r="D118">
        <v>1</v>
      </c>
      <c r="E118" t="s">
        <v>846</v>
      </c>
      <c r="F118">
        <v>4</v>
      </c>
      <c r="G118">
        <v>2</v>
      </c>
      <c r="H118" t="str">
        <f t="shared" si="22"/>
        <v>SAMPLE: Grid F11</v>
      </c>
      <c r="I118" t="s">
        <v>1024</v>
      </c>
      <c r="J118" t="str">
        <f t="shared" si="23"/>
        <v>WH-Z1-AisleF-Bay1-Level12</v>
      </c>
      <c r="K118" t="str">
        <f t="shared" si="15"/>
        <v/>
      </c>
      <c r="L118">
        <f t="shared" si="16"/>
        <v>1</v>
      </c>
      <c r="M118" t="str">
        <f t="shared" si="24"/>
        <v/>
      </c>
      <c r="N118" t="str">
        <f t="shared" si="25"/>
        <v>A01: S01</v>
      </c>
      <c r="O118" t="str">
        <f t="shared" si="19"/>
        <v>S</v>
      </c>
      <c r="P118">
        <f t="shared" si="20"/>
        <v>1</v>
      </c>
      <c r="Q118" t="str">
        <f t="shared" si="21"/>
        <v>S01</v>
      </c>
    </row>
    <row r="119" spans="1:17">
      <c r="A119" t="s">
        <v>1025</v>
      </c>
      <c r="B119" t="s">
        <v>839</v>
      </c>
      <c r="C119" t="s">
        <v>1003</v>
      </c>
      <c r="D119">
        <v>1</v>
      </c>
      <c r="E119" t="s">
        <v>846</v>
      </c>
      <c r="F119">
        <v>4</v>
      </c>
      <c r="G119">
        <v>2</v>
      </c>
      <c r="H119" t="str">
        <f t="shared" si="22"/>
        <v>SAMPLE: Grid F12</v>
      </c>
      <c r="I119" t="s">
        <v>1026</v>
      </c>
      <c r="J119" t="str">
        <f t="shared" si="23"/>
        <v>WH-Z1-AisleF-Bay1-Level13</v>
      </c>
      <c r="K119" t="str">
        <f t="shared" si="15"/>
        <v/>
      </c>
      <c r="L119">
        <f t="shared" si="16"/>
        <v>1</v>
      </c>
      <c r="M119" t="str">
        <f t="shared" si="24"/>
        <v/>
      </c>
      <c r="N119" t="str">
        <f t="shared" si="25"/>
        <v>A01: S01</v>
      </c>
      <c r="O119" t="str">
        <f t="shared" si="19"/>
        <v>S</v>
      </c>
      <c r="P119">
        <f t="shared" si="20"/>
        <v>1</v>
      </c>
      <c r="Q119" t="str">
        <f t="shared" si="21"/>
        <v>S01</v>
      </c>
    </row>
    <row r="120" spans="1:17">
      <c r="A120" t="s">
        <v>1027</v>
      </c>
      <c r="B120" t="s">
        <v>839</v>
      </c>
      <c r="C120" t="s">
        <v>1003</v>
      </c>
      <c r="D120">
        <v>1</v>
      </c>
      <c r="E120" t="s">
        <v>846</v>
      </c>
      <c r="F120">
        <v>4</v>
      </c>
      <c r="G120">
        <v>2</v>
      </c>
      <c r="H120" t="str">
        <f t="shared" si="22"/>
        <v>SAMPLE: Grid F13</v>
      </c>
      <c r="I120" t="s">
        <v>1028</v>
      </c>
      <c r="J120" t="str">
        <f t="shared" si="23"/>
        <v>WH-Z1-AisleF-Bay1-Level14</v>
      </c>
      <c r="K120" t="str">
        <f t="shared" si="15"/>
        <v/>
      </c>
      <c r="L120">
        <f t="shared" si="16"/>
        <v>1</v>
      </c>
      <c r="M120" t="str">
        <f t="shared" si="24"/>
        <v/>
      </c>
      <c r="N120" t="str">
        <f t="shared" si="25"/>
        <v>A01: S01</v>
      </c>
      <c r="O120" t="str">
        <f t="shared" si="19"/>
        <v>S</v>
      </c>
      <c r="P120">
        <f t="shared" si="20"/>
        <v>1</v>
      </c>
      <c r="Q120" t="str">
        <f t="shared" si="21"/>
        <v>S01</v>
      </c>
    </row>
    <row r="121" spans="1:17">
      <c r="A121" t="s">
        <v>1029</v>
      </c>
      <c r="B121" t="s">
        <v>839</v>
      </c>
      <c r="C121" t="s">
        <v>1003</v>
      </c>
      <c r="D121">
        <v>1</v>
      </c>
      <c r="E121" t="s">
        <v>846</v>
      </c>
      <c r="F121">
        <v>4</v>
      </c>
      <c r="G121">
        <v>2</v>
      </c>
      <c r="H121" t="str">
        <f t="shared" si="22"/>
        <v>SAMPLE: Grid F14</v>
      </c>
      <c r="I121" t="s">
        <v>1030</v>
      </c>
      <c r="J121" t="str">
        <f t="shared" si="23"/>
        <v>WH-Z1-AisleF-Bay1-Level15</v>
      </c>
      <c r="K121" t="str">
        <f t="shared" si="15"/>
        <v/>
      </c>
      <c r="L121">
        <f t="shared" si="16"/>
        <v>1</v>
      </c>
      <c r="M121" t="str">
        <f t="shared" si="24"/>
        <v/>
      </c>
      <c r="N121" t="str">
        <f t="shared" si="25"/>
        <v>A01: S01</v>
      </c>
      <c r="O121" t="str">
        <f t="shared" si="19"/>
        <v>S</v>
      </c>
      <c r="P121">
        <f t="shared" si="20"/>
        <v>1</v>
      </c>
      <c r="Q121" t="str">
        <f t="shared" si="21"/>
        <v>S01</v>
      </c>
    </row>
    <row r="122" spans="1:17">
      <c r="A122" t="s">
        <v>1031</v>
      </c>
      <c r="B122" t="s">
        <v>839</v>
      </c>
      <c r="C122" t="s">
        <v>1003</v>
      </c>
      <c r="D122">
        <v>1</v>
      </c>
      <c r="E122" t="s">
        <v>846</v>
      </c>
      <c r="F122">
        <v>4</v>
      </c>
      <c r="G122">
        <v>2</v>
      </c>
      <c r="H122" t="str">
        <f t="shared" si="22"/>
        <v>SAMPLE: Grid F15</v>
      </c>
      <c r="I122" t="s">
        <v>1032</v>
      </c>
      <c r="J122" t="str">
        <f t="shared" si="23"/>
        <v>WH-Z1-AisleF-Bay1-Level16</v>
      </c>
      <c r="K122" t="str">
        <f t="shared" si="15"/>
        <v/>
      </c>
      <c r="L122">
        <f t="shared" si="16"/>
        <v>1</v>
      </c>
      <c r="M122" t="str">
        <f t="shared" si="24"/>
        <v/>
      </c>
      <c r="N122" t="str">
        <f t="shared" si="25"/>
        <v>A01: S01</v>
      </c>
      <c r="O122" t="str">
        <f t="shared" si="19"/>
        <v>S</v>
      </c>
      <c r="P122">
        <f t="shared" si="20"/>
        <v>1</v>
      </c>
      <c r="Q122" t="str">
        <f t="shared" si="21"/>
        <v>S01</v>
      </c>
    </row>
    <row r="123" spans="1:17">
      <c r="A123" t="s">
        <v>1033</v>
      </c>
      <c r="B123" t="s">
        <v>839</v>
      </c>
      <c r="C123" t="s">
        <v>1003</v>
      </c>
      <c r="D123">
        <v>1</v>
      </c>
      <c r="E123" t="s">
        <v>846</v>
      </c>
      <c r="F123">
        <v>4</v>
      </c>
      <c r="G123">
        <v>2</v>
      </c>
      <c r="H123" t="str">
        <f t="shared" si="22"/>
        <v>SAMPLE: Grid F16</v>
      </c>
      <c r="I123" t="s">
        <v>1034</v>
      </c>
      <c r="J123" t="str">
        <f t="shared" si="23"/>
        <v>WH-Z1-AisleF-Bay1-Level17</v>
      </c>
      <c r="K123" t="str">
        <f t="shared" si="15"/>
        <v/>
      </c>
      <c r="L123">
        <f t="shared" si="16"/>
        <v>1</v>
      </c>
      <c r="M123" t="str">
        <f t="shared" si="24"/>
        <v/>
      </c>
      <c r="N123" t="str">
        <f t="shared" si="25"/>
        <v>A01: S01</v>
      </c>
      <c r="O123" t="str">
        <f t="shared" si="19"/>
        <v>S</v>
      </c>
      <c r="P123">
        <f t="shared" si="20"/>
        <v>1</v>
      </c>
      <c r="Q123" t="str">
        <f t="shared" si="21"/>
        <v>S01</v>
      </c>
    </row>
    <row r="124" spans="1:17">
      <c r="A124" t="s">
        <v>1035</v>
      </c>
      <c r="B124" t="s">
        <v>839</v>
      </c>
      <c r="C124" t="s">
        <v>1003</v>
      </c>
      <c r="D124">
        <v>1</v>
      </c>
      <c r="E124" t="s">
        <v>846</v>
      </c>
      <c r="F124">
        <v>4</v>
      </c>
      <c r="G124">
        <v>2</v>
      </c>
      <c r="H124" t="str">
        <f t="shared" si="22"/>
        <v>SAMPLE: Grid F17</v>
      </c>
      <c r="I124" t="s">
        <v>1036</v>
      </c>
      <c r="J124" t="str">
        <f t="shared" si="23"/>
        <v>WH-Z1-AisleF-Bay1-Level18</v>
      </c>
      <c r="K124" t="str">
        <f t="shared" si="15"/>
        <v/>
      </c>
      <c r="L124">
        <f t="shared" si="16"/>
        <v>1</v>
      </c>
      <c r="M124" t="str">
        <f t="shared" si="24"/>
        <v/>
      </c>
      <c r="N124" t="str">
        <f t="shared" si="25"/>
        <v>A01: S01</v>
      </c>
      <c r="O124" t="str">
        <f t="shared" si="19"/>
        <v>S</v>
      </c>
      <c r="P124">
        <f t="shared" si="20"/>
        <v>1</v>
      </c>
      <c r="Q124" t="str">
        <f t="shared" si="21"/>
        <v>S01</v>
      </c>
    </row>
    <row r="125" spans="1:17">
      <c r="A125" t="s">
        <v>1037</v>
      </c>
      <c r="B125" t="s">
        <v>839</v>
      </c>
      <c r="C125" t="s">
        <v>1003</v>
      </c>
      <c r="D125">
        <v>1</v>
      </c>
      <c r="E125" t="s">
        <v>846</v>
      </c>
      <c r="F125">
        <v>4</v>
      </c>
      <c r="G125">
        <v>2</v>
      </c>
      <c r="H125" t="str">
        <f t="shared" si="22"/>
        <v>SAMPLE: Grid F18</v>
      </c>
      <c r="I125" t="s">
        <v>1038</v>
      </c>
      <c r="J125" t="str">
        <f t="shared" si="23"/>
        <v>WH-Z1-AisleF-Bay1-Level19</v>
      </c>
      <c r="K125" t="str">
        <f t="shared" si="15"/>
        <v/>
      </c>
      <c r="L125">
        <f t="shared" si="16"/>
        <v>1</v>
      </c>
      <c r="M125" t="str">
        <f t="shared" si="24"/>
        <v/>
      </c>
      <c r="N125" t="str">
        <f t="shared" si="25"/>
        <v>A01: S01</v>
      </c>
      <c r="O125" t="str">
        <f t="shared" si="19"/>
        <v>S</v>
      </c>
      <c r="P125">
        <f t="shared" si="20"/>
        <v>1</v>
      </c>
      <c r="Q125" t="str">
        <f t="shared" si="21"/>
        <v>S01</v>
      </c>
    </row>
    <row r="126" spans="1:17">
      <c r="A126" t="s">
        <v>1039</v>
      </c>
      <c r="B126" t="s">
        <v>839</v>
      </c>
      <c r="C126" t="s">
        <v>1003</v>
      </c>
      <c r="D126">
        <v>1</v>
      </c>
      <c r="E126" t="s">
        <v>846</v>
      </c>
      <c r="F126">
        <v>4</v>
      </c>
      <c r="G126">
        <v>2</v>
      </c>
      <c r="H126" t="str">
        <f t="shared" si="22"/>
        <v>SAMPLE: Grid F19</v>
      </c>
      <c r="I126" t="s">
        <v>1040</v>
      </c>
      <c r="J126" t="str">
        <f t="shared" si="23"/>
        <v>WH-Z1-AisleF-Bay1-Level20</v>
      </c>
      <c r="K126" t="str">
        <f t="shared" si="15"/>
        <v/>
      </c>
      <c r="L126">
        <f t="shared" si="16"/>
        <v>1</v>
      </c>
      <c r="M126" t="str">
        <f t="shared" si="24"/>
        <v/>
      </c>
      <c r="N126" t="str">
        <f t="shared" si="25"/>
        <v>A01: S01</v>
      </c>
      <c r="O126" t="str">
        <f t="shared" si="19"/>
        <v>S</v>
      </c>
      <c r="P126">
        <f t="shared" si="20"/>
        <v>1</v>
      </c>
      <c r="Q126" t="str">
        <f t="shared" si="21"/>
        <v>S01</v>
      </c>
    </row>
    <row r="127" spans="1:17">
      <c r="A127" t="s">
        <v>1041</v>
      </c>
      <c r="B127" t="s">
        <v>839</v>
      </c>
      <c r="C127" t="s">
        <v>1003</v>
      </c>
      <c r="D127">
        <v>1</v>
      </c>
      <c r="E127" t="s">
        <v>846</v>
      </c>
      <c r="F127">
        <v>4</v>
      </c>
      <c r="G127">
        <v>2</v>
      </c>
      <c r="H127" t="str">
        <f t="shared" si="22"/>
        <v>SAMPLE: Grid F20</v>
      </c>
      <c r="I127" t="s">
        <v>1042</v>
      </c>
      <c r="J127" t="str">
        <f t="shared" si="23"/>
        <v>WH-DISPOSAL</v>
      </c>
      <c r="K127" t="str">
        <f t="shared" si="15"/>
        <v/>
      </c>
      <c r="L127">
        <f t="shared" si="16"/>
        <v>1</v>
      </c>
      <c r="M127" t="str">
        <f t="shared" si="24"/>
        <v/>
      </c>
      <c r="N127" t="str">
        <f t="shared" si="25"/>
        <v>A01: S01</v>
      </c>
      <c r="O127" t="str">
        <f t="shared" si="19"/>
        <v>S</v>
      </c>
      <c r="P127">
        <f t="shared" si="20"/>
        <v>1</v>
      </c>
      <c r="Q127" t="str">
        <f t="shared" si="21"/>
        <v>S01</v>
      </c>
    </row>
    <row r="128" spans="1:17">
      <c r="A128" t="s">
        <v>1043</v>
      </c>
      <c r="B128" t="s">
        <v>829</v>
      </c>
      <c r="E128" t="s">
        <v>1044</v>
      </c>
      <c r="F128">
        <v>3</v>
      </c>
      <c r="H128" t="str">
        <f t="shared" si="22"/>
        <v>DISPOSAL</v>
      </c>
      <c r="I128" t="s">
        <v>1045</v>
      </c>
      <c r="J128" t="str">
        <f t="shared" si="23"/>
        <v>WH-OUTBOUND</v>
      </c>
      <c r="K128" t="str">
        <f t="shared" si="15"/>
        <v/>
      </c>
      <c r="L128" t="str">
        <f t="shared" si="16"/>
        <v/>
      </c>
      <c r="M128" t="str">
        <f t="shared" si="24"/>
        <v/>
      </c>
      <c r="N128" t="str">
        <f t="shared" si="25"/>
        <v>WH-OUTBOUND</v>
      </c>
      <c r="O128" t="str">
        <f t="shared" si="19"/>
        <v/>
      </c>
      <c r="P128">
        <f t="shared" si="20"/>
        <v>0</v>
      </c>
      <c r="Q128" t="str">
        <f t="shared" si="21"/>
        <v/>
      </c>
    </row>
    <row r="129" spans="1:17">
      <c r="A129" t="s">
        <v>1046</v>
      </c>
      <c r="B129" t="s">
        <v>829</v>
      </c>
      <c r="E129" t="s">
        <v>1047</v>
      </c>
      <c r="F129">
        <v>3</v>
      </c>
      <c r="H129" t="str">
        <f t="shared" si="22"/>
        <v>OUTBOUND</v>
      </c>
      <c r="I129" t="s">
        <v>1048</v>
      </c>
      <c r="J129" t="str">
        <f t="shared" si="23"/>
        <v>WH-Z1-AisleO-Bay3-Level2</v>
      </c>
      <c r="K129" t="str">
        <f t="shared" si="15"/>
        <v/>
      </c>
      <c r="L129" t="str">
        <f t="shared" si="16"/>
        <v/>
      </c>
      <c r="M129" t="str">
        <f t="shared" si="24"/>
        <v/>
      </c>
      <c r="N129" t="str">
        <f t="shared" si="25"/>
        <v>WH-Z1-AisleO-Bay3-Level2</v>
      </c>
      <c r="O129" t="str">
        <f t="shared" si="19"/>
        <v/>
      </c>
      <c r="P129">
        <f t="shared" si="20"/>
        <v>0</v>
      </c>
      <c r="Q129" t="str">
        <f t="shared" si="21"/>
        <v/>
      </c>
    </row>
    <row r="130" spans="1:17">
      <c r="A130" t="s">
        <v>208</v>
      </c>
      <c r="B130" t="s">
        <v>854</v>
      </c>
      <c r="E130" t="s">
        <v>852</v>
      </c>
      <c r="F130">
        <v>3</v>
      </c>
      <c r="G130">
        <v>7</v>
      </c>
      <c r="H130" t="str">
        <f t="shared" si="22"/>
        <v>ACTIVE</v>
      </c>
      <c r="I130" t="s">
        <v>855</v>
      </c>
      <c r="J130" t="str">
        <f t="shared" si="23"/>
        <v>WH-Z1-AisleA-Bay1-Level3</v>
      </c>
      <c r="K130" t="str">
        <f t="shared" ref="K130:K193" si="26">IF($C130="","",IF(LEN($C130)=1,CODE(UPPER($C130))-64,IFERROR(VALUE(MID($C130,2,99)),"")))</f>
        <v/>
      </c>
      <c r="L130" t="str">
        <f t="shared" ref="L130:L193" si="27">IF($D130="","",IFERROR(VALUE($D130),""))</f>
        <v/>
      </c>
      <c r="M130" t="str">
        <f t="shared" si="24"/>
        <v/>
      </c>
      <c r="N130" t="str">
        <f t="shared" si="25"/>
        <v>WH-Z1-AisleA-Bay1-Level3</v>
      </c>
      <c r="O130" t="str">
        <f t="shared" ref="O130:O193" si="28">IF(AND($C130&lt;&gt;"",ISNUMBER(--$D130)),LEFT($C130,1),"")</f>
        <v/>
      </c>
      <c r="P130">
        <f t="shared" ref="P130:P193" si="29">IF(ISNUMBER(--$D130),--$D130,"")</f>
        <v>0</v>
      </c>
      <c r="Q130" t="str">
        <f t="shared" ref="Q130:Q193" si="30">IF(AND($O130&lt;&gt;"",$P130&lt;&gt;""),$O130&amp;TEXT($P130,"00"),"")</f>
        <v/>
      </c>
    </row>
    <row r="131" spans="1:17">
      <c r="A131" t="s">
        <v>1049</v>
      </c>
      <c r="B131" t="s">
        <v>839</v>
      </c>
      <c r="C131" t="s">
        <v>1050</v>
      </c>
      <c r="D131">
        <v>3</v>
      </c>
      <c r="E131" t="s">
        <v>846</v>
      </c>
      <c r="F131">
        <v>4</v>
      </c>
      <c r="G131">
        <v>2</v>
      </c>
      <c r="H131" t="str">
        <f t="shared" si="22"/>
        <v>O</v>
      </c>
      <c r="I131" t="s">
        <v>1051</v>
      </c>
      <c r="J131" t="str">
        <f t="shared" si="23"/>
        <v>Zone 1 non-overflow section (naming standard).</v>
      </c>
      <c r="K131" t="str">
        <f t="shared" si="26"/>
        <v/>
      </c>
      <c r="L131">
        <f t="shared" si="27"/>
        <v>3</v>
      </c>
      <c r="M131" t="str">
        <f t="shared" si="24"/>
        <v/>
      </c>
      <c r="N131" t="str">
        <f t="shared" si="25"/>
        <v>A01: F03</v>
      </c>
      <c r="O131" t="str">
        <f t="shared" si="28"/>
        <v>F</v>
      </c>
      <c r="P131">
        <f t="shared" si="29"/>
        <v>3</v>
      </c>
      <c r="Q131" t="str">
        <f t="shared" si="30"/>
        <v>F03</v>
      </c>
    </row>
    <row r="132" spans="1:17">
      <c r="A132" t="s">
        <v>231</v>
      </c>
      <c r="B132" t="s">
        <v>839</v>
      </c>
      <c r="E132" t="s">
        <v>852</v>
      </c>
      <c r="F132">
        <v>3</v>
      </c>
      <c r="G132">
        <v>7</v>
      </c>
      <c r="H132" t="str">
        <f t="shared" si="22"/>
        <v>48x T24i-30</v>
      </c>
      <c r="I132" t="s">
        <v>1052</v>
      </c>
      <c r="J132" t="str">
        <f t="shared" si="23"/>
        <v>Timestamp</v>
      </c>
      <c r="K132" t="str">
        <f t="shared" si="26"/>
        <v/>
      </c>
      <c r="L132" t="str">
        <f t="shared" si="27"/>
        <v/>
      </c>
      <c r="M132" t="str">
        <f t="shared" si="24"/>
        <v/>
      </c>
      <c r="N132" t="str">
        <f t="shared" si="25"/>
        <v>Timestamp</v>
      </c>
      <c r="O132" t="str">
        <f t="shared" si="28"/>
        <v/>
      </c>
      <c r="P132">
        <f t="shared" si="29"/>
        <v>0</v>
      </c>
      <c r="Q132" t="str">
        <f t="shared" si="30"/>
        <v/>
      </c>
    </row>
    <row r="133" spans="1:17">
      <c r="A133" t="s">
        <v>245</v>
      </c>
      <c r="H133" t="str">
        <f t="shared" si="22"/>
        <v>TEMP</v>
      </c>
      <c r="J133" t="str">
        <f t="shared" si="23"/>
        <v>TEMP</v>
      </c>
      <c r="K133" t="str">
        <f t="shared" si="26"/>
        <v/>
      </c>
      <c r="L133" t="str">
        <f t="shared" si="27"/>
        <v/>
      </c>
      <c r="M133" t="str">
        <f t="shared" si="24"/>
        <v/>
      </c>
      <c r="N133" t="str">
        <f t="shared" si="25"/>
        <v>TEMP</v>
      </c>
      <c r="O133" t="str">
        <f t="shared" si="28"/>
        <v/>
      </c>
      <c r="P133">
        <f t="shared" si="29"/>
        <v>0</v>
      </c>
      <c r="Q133" t="str">
        <f t="shared" si="30"/>
        <v/>
      </c>
    </row>
    <row r="134" spans="1:17">
      <c r="H134">
        <f t="shared" ref="H134:H197" si="31">A134</f>
        <v>0</v>
      </c>
      <c r="J134">
        <f t="shared" ref="J134:J197" si="32">IF($I134&lt;&gt;"",$I134,$A134)</f>
        <v>0</v>
      </c>
      <c r="K134" t="str">
        <f t="shared" si="26"/>
        <v/>
      </c>
      <c r="L134" t="str">
        <f t="shared" si="27"/>
        <v/>
      </c>
      <c r="M134" t="str">
        <f t="shared" ref="M134:M197" si="33">IFERROR(VALUE(MID($A134,FIND("Level",$A134)+5,99)),IF($E134="AISLE_FLOOR",0,IF($E134="OVERFLOW",0,IF($E134="ENDCAP",0,""))))</f>
        <v/>
      </c>
      <c r="N134">
        <f t="shared" ref="N134:N197" si="34">IF(AND($B134&lt;&gt;"",$C134&lt;&gt;"",ISNUMBER(--$D134)), $B134&amp;": "&amp;LEFT($C134,1)&amp;TEXT(--$D134,"00"), IF($I134&lt;&gt;"",$I134,$A134))</f>
        <v>0</v>
      </c>
      <c r="O134" t="str">
        <f t="shared" si="28"/>
        <v/>
      </c>
      <c r="P134">
        <f t="shared" si="29"/>
        <v>0</v>
      </c>
      <c r="Q134" t="str">
        <f t="shared" si="30"/>
        <v/>
      </c>
    </row>
    <row r="135" spans="1:17">
      <c r="H135">
        <f t="shared" si="31"/>
        <v>0</v>
      </c>
      <c r="J135">
        <f t="shared" si="32"/>
        <v>0</v>
      </c>
      <c r="K135" t="str">
        <f t="shared" si="26"/>
        <v/>
      </c>
      <c r="L135" t="str">
        <f t="shared" si="27"/>
        <v/>
      </c>
      <c r="M135" t="str">
        <f t="shared" si="33"/>
        <v/>
      </c>
      <c r="N135">
        <f t="shared" si="34"/>
        <v>0</v>
      </c>
      <c r="O135" t="str">
        <f t="shared" si="28"/>
        <v/>
      </c>
      <c r="P135">
        <f t="shared" si="29"/>
        <v>0</v>
      </c>
      <c r="Q135" t="str">
        <f t="shared" si="30"/>
        <v/>
      </c>
    </row>
    <row r="136" spans="1:17">
      <c r="H136">
        <f t="shared" si="31"/>
        <v>0</v>
      </c>
      <c r="J136">
        <f t="shared" si="32"/>
        <v>0</v>
      </c>
      <c r="K136" t="str">
        <f t="shared" si="26"/>
        <v/>
      </c>
      <c r="L136" t="str">
        <f t="shared" si="27"/>
        <v/>
      </c>
      <c r="M136" t="str">
        <f t="shared" si="33"/>
        <v/>
      </c>
      <c r="N136">
        <f t="shared" si="34"/>
        <v>0</v>
      </c>
      <c r="O136" t="str">
        <f t="shared" si="28"/>
        <v/>
      </c>
      <c r="P136">
        <f t="shared" si="29"/>
        <v>0</v>
      </c>
      <c r="Q136" t="str">
        <f t="shared" si="30"/>
        <v/>
      </c>
    </row>
    <row r="137" spans="1:17">
      <c r="H137">
        <f t="shared" si="31"/>
        <v>0</v>
      </c>
      <c r="J137">
        <f t="shared" si="32"/>
        <v>0</v>
      </c>
      <c r="K137" t="str">
        <f t="shared" si="26"/>
        <v/>
      </c>
      <c r="L137" t="str">
        <f t="shared" si="27"/>
        <v/>
      </c>
      <c r="M137" t="str">
        <f t="shared" si="33"/>
        <v/>
      </c>
      <c r="N137">
        <f t="shared" si="34"/>
        <v>0</v>
      </c>
      <c r="O137" t="str">
        <f t="shared" si="28"/>
        <v/>
      </c>
      <c r="P137">
        <f t="shared" si="29"/>
        <v>0</v>
      </c>
      <c r="Q137" t="str">
        <f t="shared" si="30"/>
        <v/>
      </c>
    </row>
    <row r="138" spans="1:17">
      <c r="H138">
        <f t="shared" si="31"/>
        <v>0</v>
      </c>
      <c r="J138">
        <f t="shared" si="32"/>
        <v>0</v>
      </c>
      <c r="K138" t="str">
        <f t="shared" si="26"/>
        <v/>
      </c>
      <c r="L138" t="str">
        <f t="shared" si="27"/>
        <v/>
      </c>
      <c r="M138" t="str">
        <f t="shared" si="33"/>
        <v/>
      </c>
      <c r="N138">
        <f t="shared" si="34"/>
        <v>0</v>
      </c>
      <c r="O138" t="str">
        <f t="shared" si="28"/>
        <v/>
      </c>
      <c r="P138">
        <f t="shared" si="29"/>
        <v>0</v>
      </c>
      <c r="Q138" t="str">
        <f t="shared" si="30"/>
        <v/>
      </c>
    </row>
    <row r="139" spans="1:17">
      <c r="H139">
        <f t="shared" si="31"/>
        <v>0</v>
      </c>
      <c r="J139">
        <f t="shared" si="32"/>
        <v>0</v>
      </c>
      <c r="K139" t="str">
        <f t="shared" si="26"/>
        <v/>
      </c>
      <c r="L139" t="str">
        <f t="shared" si="27"/>
        <v/>
      </c>
      <c r="M139" t="str">
        <f t="shared" si="33"/>
        <v/>
      </c>
      <c r="N139">
        <f t="shared" si="34"/>
        <v>0</v>
      </c>
      <c r="O139" t="str">
        <f t="shared" si="28"/>
        <v/>
      </c>
      <c r="P139">
        <f t="shared" si="29"/>
        <v>0</v>
      </c>
      <c r="Q139" t="str">
        <f t="shared" si="30"/>
        <v/>
      </c>
    </row>
    <row r="140" spans="1:17">
      <c r="H140">
        <f t="shared" si="31"/>
        <v>0</v>
      </c>
      <c r="J140">
        <f t="shared" si="32"/>
        <v>0</v>
      </c>
      <c r="K140" t="str">
        <f t="shared" si="26"/>
        <v/>
      </c>
      <c r="L140" t="str">
        <f t="shared" si="27"/>
        <v/>
      </c>
      <c r="M140" t="str">
        <f t="shared" si="33"/>
        <v/>
      </c>
      <c r="N140">
        <f t="shared" si="34"/>
        <v>0</v>
      </c>
      <c r="O140" t="str">
        <f t="shared" si="28"/>
        <v/>
      </c>
      <c r="P140">
        <f t="shared" si="29"/>
        <v>0</v>
      </c>
      <c r="Q140" t="str">
        <f t="shared" si="30"/>
        <v/>
      </c>
    </row>
    <row r="141" spans="1:17">
      <c r="H141">
        <f t="shared" si="31"/>
        <v>0</v>
      </c>
      <c r="J141">
        <f t="shared" si="32"/>
        <v>0</v>
      </c>
      <c r="K141" t="str">
        <f t="shared" si="26"/>
        <v/>
      </c>
      <c r="L141" t="str">
        <f t="shared" si="27"/>
        <v/>
      </c>
      <c r="M141" t="str">
        <f t="shared" si="33"/>
        <v/>
      </c>
      <c r="N141">
        <f t="shared" si="34"/>
        <v>0</v>
      </c>
      <c r="O141" t="str">
        <f t="shared" si="28"/>
        <v/>
      </c>
      <c r="P141">
        <f t="shared" si="29"/>
        <v>0</v>
      </c>
      <c r="Q141" t="str">
        <f t="shared" si="30"/>
        <v/>
      </c>
    </row>
    <row r="142" spans="1:17">
      <c r="H142">
        <f t="shared" si="31"/>
        <v>0</v>
      </c>
      <c r="J142">
        <f t="shared" si="32"/>
        <v>0</v>
      </c>
      <c r="K142" t="str">
        <f t="shared" si="26"/>
        <v/>
      </c>
      <c r="L142" t="str">
        <f t="shared" si="27"/>
        <v/>
      </c>
      <c r="M142" t="str">
        <f t="shared" si="33"/>
        <v/>
      </c>
      <c r="N142">
        <f t="shared" si="34"/>
        <v>0</v>
      </c>
      <c r="O142" t="str">
        <f t="shared" si="28"/>
        <v/>
      </c>
      <c r="P142">
        <f t="shared" si="29"/>
        <v>0</v>
      </c>
      <c r="Q142" t="str">
        <f t="shared" si="30"/>
        <v/>
      </c>
    </row>
    <row r="143" spans="1:17">
      <c r="H143">
        <f t="shared" si="31"/>
        <v>0</v>
      </c>
      <c r="J143">
        <f t="shared" si="32"/>
        <v>0</v>
      </c>
      <c r="K143" t="str">
        <f t="shared" si="26"/>
        <v/>
      </c>
      <c r="L143" t="str">
        <f t="shared" si="27"/>
        <v/>
      </c>
      <c r="M143" t="str">
        <f t="shared" si="33"/>
        <v/>
      </c>
      <c r="N143">
        <f t="shared" si="34"/>
        <v>0</v>
      </c>
      <c r="O143" t="str">
        <f t="shared" si="28"/>
        <v/>
      </c>
      <c r="P143">
        <f t="shared" si="29"/>
        <v>0</v>
      </c>
      <c r="Q143" t="str">
        <f t="shared" si="30"/>
        <v/>
      </c>
    </row>
    <row r="144" spans="1:17">
      <c r="H144">
        <f t="shared" si="31"/>
        <v>0</v>
      </c>
      <c r="J144">
        <f t="shared" si="32"/>
        <v>0</v>
      </c>
      <c r="K144" t="str">
        <f t="shared" si="26"/>
        <v/>
      </c>
      <c r="L144" t="str">
        <f t="shared" si="27"/>
        <v/>
      </c>
      <c r="M144" t="str">
        <f t="shared" si="33"/>
        <v/>
      </c>
      <c r="N144">
        <f t="shared" si="34"/>
        <v>0</v>
      </c>
      <c r="O144" t="str">
        <f t="shared" si="28"/>
        <v/>
      </c>
      <c r="P144">
        <f t="shared" si="29"/>
        <v>0</v>
      </c>
      <c r="Q144" t="str">
        <f t="shared" si="30"/>
        <v/>
      </c>
    </row>
    <row r="145" spans="8:17">
      <c r="H145">
        <f t="shared" si="31"/>
        <v>0</v>
      </c>
      <c r="J145">
        <f t="shared" si="32"/>
        <v>0</v>
      </c>
      <c r="K145" t="str">
        <f t="shared" si="26"/>
        <v/>
      </c>
      <c r="L145" t="str">
        <f t="shared" si="27"/>
        <v/>
      </c>
      <c r="M145" t="str">
        <f t="shared" si="33"/>
        <v/>
      </c>
      <c r="N145">
        <f t="shared" si="34"/>
        <v>0</v>
      </c>
      <c r="O145" t="str">
        <f t="shared" si="28"/>
        <v/>
      </c>
      <c r="P145">
        <f t="shared" si="29"/>
        <v>0</v>
      </c>
      <c r="Q145" t="str">
        <f t="shared" si="30"/>
        <v/>
      </c>
    </row>
    <row r="146" spans="8:17">
      <c r="H146">
        <f t="shared" si="31"/>
        <v>0</v>
      </c>
      <c r="J146">
        <f t="shared" si="32"/>
        <v>0</v>
      </c>
      <c r="K146" t="str">
        <f t="shared" si="26"/>
        <v/>
      </c>
      <c r="L146" t="str">
        <f t="shared" si="27"/>
        <v/>
      </c>
      <c r="M146" t="str">
        <f t="shared" si="33"/>
        <v/>
      </c>
      <c r="N146">
        <f t="shared" si="34"/>
        <v>0</v>
      </c>
      <c r="O146" t="str">
        <f t="shared" si="28"/>
        <v/>
      </c>
      <c r="P146">
        <f t="shared" si="29"/>
        <v>0</v>
      </c>
      <c r="Q146" t="str">
        <f t="shared" si="30"/>
        <v/>
      </c>
    </row>
    <row r="147" spans="8:17">
      <c r="H147">
        <f t="shared" si="31"/>
        <v>0</v>
      </c>
      <c r="J147">
        <f t="shared" si="32"/>
        <v>0</v>
      </c>
      <c r="K147" t="str">
        <f t="shared" si="26"/>
        <v/>
      </c>
      <c r="L147" t="str">
        <f t="shared" si="27"/>
        <v/>
      </c>
      <c r="M147" t="str">
        <f t="shared" si="33"/>
        <v/>
      </c>
      <c r="N147">
        <f t="shared" si="34"/>
        <v>0</v>
      </c>
      <c r="O147" t="str">
        <f t="shared" si="28"/>
        <v/>
      </c>
      <c r="P147">
        <f t="shared" si="29"/>
        <v>0</v>
      </c>
      <c r="Q147" t="str">
        <f t="shared" si="30"/>
        <v/>
      </c>
    </row>
    <row r="148" spans="8:17">
      <c r="H148">
        <f t="shared" si="31"/>
        <v>0</v>
      </c>
      <c r="J148">
        <f t="shared" si="32"/>
        <v>0</v>
      </c>
      <c r="K148" t="str">
        <f t="shared" si="26"/>
        <v/>
      </c>
      <c r="L148" t="str">
        <f t="shared" si="27"/>
        <v/>
      </c>
      <c r="M148" t="str">
        <f t="shared" si="33"/>
        <v/>
      </c>
      <c r="N148">
        <f t="shared" si="34"/>
        <v>0</v>
      </c>
      <c r="O148" t="str">
        <f t="shared" si="28"/>
        <v/>
      </c>
      <c r="P148">
        <f t="shared" si="29"/>
        <v>0</v>
      </c>
      <c r="Q148" t="str">
        <f t="shared" si="30"/>
        <v/>
      </c>
    </row>
    <row r="149" spans="8:17">
      <c r="H149">
        <f t="shared" si="31"/>
        <v>0</v>
      </c>
      <c r="J149">
        <f t="shared" si="32"/>
        <v>0</v>
      </c>
      <c r="K149" t="str">
        <f t="shared" si="26"/>
        <v/>
      </c>
      <c r="L149" t="str">
        <f t="shared" si="27"/>
        <v/>
      </c>
      <c r="M149" t="str">
        <f t="shared" si="33"/>
        <v/>
      </c>
      <c r="N149">
        <f t="shared" si="34"/>
        <v>0</v>
      </c>
      <c r="O149" t="str">
        <f t="shared" si="28"/>
        <v/>
      </c>
      <c r="P149">
        <f t="shared" si="29"/>
        <v>0</v>
      </c>
      <c r="Q149" t="str">
        <f t="shared" si="30"/>
        <v/>
      </c>
    </row>
    <row r="150" spans="8:17">
      <c r="H150">
        <f t="shared" si="31"/>
        <v>0</v>
      </c>
      <c r="J150">
        <f t="shared" si="32"/>
        <v>0</v>
      </c>
      <c r="K150" t="str">
        <f t="shared" si="26"/>
        <v/>
      </c>
      <c r="L150" t="str">
        <f t="shared" si="27"/>
        <v/>
      </c>
      <c r="M150" t="str">
        <f t="shared" si="33"/>
        <v/>
      </c>
      <c r="N150">
        <f t="shared" si="34"/>
        <v>0</v>
      </c>
      <c r="O150" t="str">
        <f t="shared" si="28"/>
        <v/>
      </c>
      <c r="P150">
        <f t="shared" si="29"/>
        <v>0</v>
      </c>
      <c r="Q150" t="str">
        <f t="shared" si="30"/>
        <v/>
      </c>
    </row>
    <row r="151" spans="8:17">
      <c r="H151">
        <f t="shared" si="31"/>
        <v>0</v>
      </c>
      <c r="J151">
        <f t="shared" si="32"/>
        <v>0</v>
      </c>
      <c r="K151" t="str">
        <f t="shared" si="26"/>
        <v/>
      </c>
      <c r="L151" t="str">
        <f t="shared" si="27"/>
        <v/>
      </c>
      <c r="M151" t="str">
        <f t="shared" si="33"/>
        <v/>
      </c>
      <c r="N151">
        <f t="shared" si="34"/>
        <v>0</v>
      </c>
      <c r="O151" t="str">
        <f t="shared" si="28"/>
        <v/>
      </c>
      <c r="P151">
        <f t="shared" si="29"/>
        <v>0</v>
      </c>
      <c r="Q151" t="str">
        <f t="shared" si="30"/>
        <v/>
      </c>
    </row>
    <row r="152" spans="8:17">
      <c r="H152">
        <f t="shared" si="31"/>
        <v>0</v>
      </c>
      <c r="J152">
        <f t="shared" si="32"/>
        <v>0</v>
      </c>
      <c r="K152" t="str">
        <f t="shared" si="26"/>
        <v/>
      </c>
      <c r="L152" t="str">
        <f t="shared" si="27"/>
        <v/>
      </c>
      <c r="M152" t="str">
        <f t="shared" si="33"/>
        <v/>
      </c>
      <c r="N152">
        <f t="shared" si="34"/>
        <v>0</v>
      </c>
      <c r="O152" t="str">
        <f t="shared" si="28"/>
        <v/>
      </c>
      <c r="P152">
        <f t="shared" si="29"/>
        <v>0</v>
      </c>
      <c r="Q152" t="str">
        <f t="shared" si="30"/>
        <v/>
      </c>
    </row>
    <row r="153" spans="8:17">
      <c r="H153">
        <f t="shared" si="31"/>
        <v>0</v>
      </c>
      <c r="J153">
        <f t="shared" si="32"/>
        <v>0</v>
      </c>
      <c r="K153" t="str">
        <f t="shared" si="26"/>
        <v/>
      </c>
      <c r="L153" t="str">
        <f t="shared" si="27"/>
        <v/>
      </c>
      <c r="M153" t="str">
        <f t="shared" si="33"/>
        <v/>
      </c>
      <c r="N153">
        <f t="shared" si="34"/>
        <v>0</v>
      </c>
      <c r="O153" t="str">
        <f t="shared" si="28"/>
        <v/>
      </c>
      <c r="P153">
        <f t="shared" si="29"/>
        <v>0</v>
      </c>
      <c r="Q153" t="str">
        <f t="shared" si="30"/>
        <v/>
      </c>
    </row>
    <row r="154" spans="8:17">
      <c r="H154">
        <f t="shared" si="31"/>
        <v>0</v>
      </c>
      <c r="J154">
        <f t="shared" si="32"/>
        <v>0</v>
      </c>
      <c r="K154" t="str">
        <f t="shared" si="26"/>
        <v/>
      </c>
      <c r="L154" t="str">
        <f t="shared" si="27"/>
        <v/>
      </c>
      <c r="M154" t="str">
        <f t="shared" si="33"/>
        <v/>
      </c>
      <c r="N154">
        <f t="shared" si="34"/>
        <v>0</v>
      </c>
      <c r="O154" t="str">
        <f t="shared" si="28"/>
        <v/>
      </c>
      <c r="P154">
        <f t="shared" si="29"/>
        <v>0</v>
      </c>
      <c r="Q154" t="str">
        <f t="shared" si="30"/>
        <v/>
      </c>
    </row>
    <row r="155" spans="8:17">
      <c r="H155">
        <f t="shared" si="31"/>
        <v>0</v>
      </c>
      <c r="J155">
        <f t="shared" si="32"/>
        <v>0</v>
      </c>
      <c r="K155" t="str">
        <f t="shared" si="26"/>
        <v/>
      </c>
      <c r="L155" t="str">
        <f t="shared" si="27"/>
        <v/>
      </c>
      <c r="M155" t="str">
        <f t="shared" si="33"/>
        <v/>
      </c>
      <c r="N155">
        <f t="shared" si="34"/>
        <v>0</v>
      </c>
      <c r="O155" t="str">
        <f t="shared" si="28"/>
        <v/>
      </c>
      <c r="P155">
        <f t="shared" si="29"/>
        <v>0</v>
      </c>
      <c r="Q155" t="str">
        <f t="shared" si="30"/>
        <v/>
      </c>
    </row>
    <row r="156" spans="8:17">
      <c r="H156">
        <f t="shared" si="31"/>
        <v>0</v>
      </c>
      <c r="J156">
        <f t="shared" si="32"/>
        <v>0</v>
      </c>
      <c r="K156" t="str">
        <f t="shared" si="26"/>
        <v/>
      </c>
      <c r="L156" t="str">
        <f t="shared" si="27"/>
        <v/>
      </c>
      <c r="M156" t="str">
        <f t="shared" si="33"/>
        <v/>
      </c>
      <c r="N156">
        <f t="shared" si="34"/>
        <v>0</v>
      </c>
      <c r="O156" t="str">
        <f t="shared" si="28"/>
        <v/>
      </c>
      <c r="P156">
        <f t="shared" si="29"/>
        <v>0</v>
      </c>
      <c r="Q156" t="str">
        <f t="shared" si="30"/>
        <v/>
      </c>
    </row>
    <row r="157" spans="8:17">
      <c r="H157">
        <f t="shared" si="31"/>
        <v>0</v>
      </c>
      <c r="J157">
        <f t="shared" si="32"/>
        <v>0</v>
      </c>
      <c r="K157" t="str">
        <f t="shared" si="26"/>
        <v/>
      </c>
      <c r="L157" t="str">
        <f t="shared" si="27"/>
        <v/>
      </c>
      <c r="M157" t="str">
        <f t="shared" si="33"/>
        <v/>
      </c>
      <c r="N157">
        <f t="shared" si="34"/>
        <v>0</v>
      </c>
      <c r="O157" t="str">
        <f t="shared" si="28"/>
        <v/>
      </c>
      <c r="P157">
        <f t="shared" si="29"/>
        <v>0</v>
      </c>
      <c r="Q157" t="str">
        <f t="shared" si="30"/>
        <v/>
      </c>
    </row>
    <row r="158" spans="8:17">
      <c r="H158">
        <f t="shared" si="31"/>
        <v>0</v>
      </c>
      <c r="J158">
        <f t="shared" si="32"/>
        <v>0</v>
      </c>
      <c r="K158" t="str">
        <f t="shared" si="26"/>
        <v/>
      </c>
      <c r="L158" t="str">
        <f t="shared" si="27"/>
        <v/>
      </c>
      <c r="M158" t="str">
        <f t="shared" si="33"/>
        <v/>
      </c>
      <c r="N158">
        <f t="shared" si="34"/>
        <v>0</v>
      </c>
      <c r="O158" t="str">
        <f t="shared" si="28"/>
        <v/>
      </c>
      <c r="P158">
        <f t="shared" si="29"/>
        <v>0</v>
      </c>
      <c r="Q158" t="str">
        <f t="shared" si="30"/>
        <v/>
      </c>
    </row>
    <row r="159" spans="8:17">
      <c r="H159">
        <f t="shared" si="31"/>
        <v>0</v>
      </c>
      <c r="J159">
        <f t="shared" si="32"/>
        <v>0</v>
      </c>
      <c r="K159" t="str">
        <f t="shared" si="26"/>
        <v/>
      </c>
      <c r="L159" t="str">
        <f t="shared" si="27"/>
        <v/>
      </c>
      <c r="M159" t="str">
        <f t="shared" si="33"/>
        <v/>
      </c>
      <c r="N159">
        <f t="shared" si="34"/>
        <v>0</v>
      </c>
      <c r="O159" t="str">
        <f t="shared" si="28"/>
        <v/>
      </c>
      <c r="P159">
        <f t="shared" si="29"/>
        <v>0</v>
      </c>
      <c r="Q159" t="str">
        <f t="shared" si="30"/>
        <v/>
      </c>
    </row>
    <row r="160" spans="8:17">
      <c r="H160">
        <f t="shared" si="31"/>
        <v>0</v>
      </c>
      <c r="J160">
        <f t="shared" si="32"/>
        <v>0</v>
      </c>
      <c r="K160" t="str">
        <f t="shared" si="26"/>
        <v/>
      </c>
      <c r="L160" t="str">
        <f t="shared" si="27"/>
        <v/>
      </c>
      <c r="M160" t="str">
        <f t="shared" si="33"/>
        <v/>
      </c>
      <c r="N160">
        <f t="shared" si="34"/>
        <v>0</v>
      </c>
      <c r="O160" t="str">
        <f t="shared" si="28"/>
        <v/>
      </c>
      <c r="P160">
        <f t="shared" si="29"/>
        <v>0</v>
      </c>
      <c r="Q160" t="str">
        <f t="shared" si="30"/>
        <v/>
      </c>
    </row>
    <row r="161" spans="8:17">
      <c r="H161">
        <f t="shared" si="31"/>
        <v>0</v>
      </c>
      <c r="J161">
        <f t="shared" si="32"/>
        <v>0</v>
      </c>
      <c r="K161" t="str">
        <f t="shared" si="26"/>
        <v/>
      </c>
      <c r="L161" t="str">
        <f t="shared" si="27"/>
        <v/>
      </c>
      <c r="M161" t="str">
        <f t="shared" si="33"/>
        <v/>
      </c>
      <c r="N161">
        <f t="shared" si="34"/>
        <v>0</v>
      </c>
      <c r="O161" t="str">
        <f t="shared" si="28"/>
        <v/>
      </c>
      <c r="P161">
        <f t="shared" si="29"/>
        <v>0</v>
      </c>
      <c r="Q161" t="str">
        <f t="shared" si="30"/>
        <v/>
      </c>
    </row>
    <row r="162" spans="8:17">
      <c r="H162">
        <f t="shared" si="31"/>
        <v>0</v>
      </c>
      <c r="J162">
        <f t="shared" si="32"/>
        <v>0</v>
      </c>
      <c r="K162" t="str">
        <f t="shared" si="26"/>
        <v/>
      </c>
      <c r="L162" t="str">
        <f t="shared" si="27"/>
        <v/>
      </c>
      <c r="M162" t="str">
        <f t="shared" si="33"/>
        <v/>
      </c>
      <c r="N162">
        <f t="shared" si="34"/>
        <v>0</v>
      </c>
      <c r="O162" t="str">
        <f t="shared" si="28"/>
        <v/>
      </c>
      <c r="P162">
        <f t="shared" si="29"/>
        <v>0</v>
      </c>
      <c r="Q162" t="str">
        <f t="shared" si="30"/>
        <v/>
      </c>
    </row>
    <row r="163" spans="8:17">
      <c r="H163">
        <f t="shared" si="31"/>
        <v>0</v>
      </c>
      <c r="J163">
        <f t="shared" si="32"/>
        <v>0</v>
      </c>
      <c r="K163" t="str">
        <f t="shared" si="26"/>
        <v/>
      </c>
      <c r="L163" t="str">
        <f t="shared" si="27"/>
        <v/>
      </c>
      <c r="M163" t="str">
        <f t="shared" si="33"/>
        <v/>
      </c>
      <c r="N163">
        <f t="shared" si="34"/>
        <v>0</v>
      </c>
      <c r="O163" t="str">
        <f t="shared" si="28"/>
        <v/>
      </c>
      <c r="P163">
        <f t="shared" si="29"/>
        <v>0</v>
      </c>
      <c r="Q163" t="str">
        <f t="shared" si="30"/>
        <v/>
      </c>
    </row>
    <row r="164" spans="8:17">
      <c r="H164">
        <f t="shared" si="31"/>
        <v>0</v>
      </c>
      <c r="J164">
        <f t="shared" si="32"/>
        <v>0</v>
      </c>
      <c r="K164" t="str">
        <f t="shared" si="26"/>
        <v/>
      </c>
      <c r="L164" t="str">
        <f t="shared" si="27"/>
        <v/>
      </c>
      <c r="M164" t="str">
        <f t="shared" si="33"/>
        <v/>
      </c>
      <c r="N164">
        <f t="shared" si="34"/>
        <v>0</v>
      </c>
      <c r="O164" t="str">
        <f t="shared" si="28"/>
        <v/>
      </c>
      <c r="P164">
        <f t="shared" si="29"/>
        <v>0</v>
      </c>
      <c r="Q164" t="str">
        <f t="shared" si="30"/>
        <v/>
      </c>
    </row>
    <row r="165" spans="8:17">
      <c r="H165">
        <f t="shared" si="31"/>
        <v>0</v>
      </c>
      <c r="J165">
        <f t="shared" si="32"/>
        <v>0</v>
      </c>
      <c r="K165" t="str">
        <f t="shared" si="26"/>
        <v/>
      </c>
      <c r="L165" t="str">
        <f t="shared" si="27"/>
        <v/>
      </c>
      <c r="M165" t="str">
        <f t="shared" si="33"/>
        <v/>
      </c>
      <c r="N165">
        <f t="shared" si="34"/>
        <v>0</v>
      </c>
      <c r="O165" t="str">
        <f t="shared" si="28"/>
        <v/>
      </c>
      <c r="P165">
        <f t="shared" si="29"/>
        <v>0</v>
      </c>
      <c r="Q165" t="str">
        <f t="shared" si="30"/>
        <v/>
      </c>
    </row>
    <row r="166" spans="8:17">
      <c r="H166">
        <f t="shared" si="31"/>
        <v>0</v>
      </c>
      <c r="J166">
        <f t="shared" si="32"/>
        <v>0</v>
      </c>
      <c r="K166" t="str">
        <f t="shared" si="26"/>
        <v/>
      </c>
      <c r="L166" t="str">
        <f t="shared" si="27"/>
        <v/>
      </c>
      <c r="M166" t="str">
        <f t="shared" si="33"/>
        <v/>
      </c>
      <c r="N166">
        <f t="shared" si="34"/>
        <v>0</v>
      </c>
      <c r="O166" t="str">
        <f t="shared" si="28"/>
        <v/>
      </c>
      <c r="P166">
        <f t="shared" si="29"/>
        <v>0</v>
      </c>
      <c r="Q166" t="str">
        <f t="shared" si="30"/>
        <v/>
      </c>
    </row>
    <row r="167" spans="8:17">
      <c r="H167">
        <f t="shared" si="31"/>
        <v>0</v>
      </c>
      <c r="J167">
        <f t="shared" si="32"/>
        <v>0</v>
      </c>
      <c r="K167" t="str">
        <f t="shared" si="26"/>
        <v/>
      </c>
      <c r="L167" t="str">
        <f t="shared" si="27"/>
        <v/>
      </c>
      <c r="M167" t="str">
        <f t="shared" si="33"/>
        <v/>
      </c>
      <c r="N167">
        <f t="shared" si="34"/>
        <v>0</v>
      </c>
      <c r="O167" t="str">
        <f t="shared" si="28"/>
        <v/>
      </c>
      <c r="P167">
        <f t="shared" si="29"/>
        <v>0</v>
      </c>
      <c r="Q167" t="str">
        <f t="shared" si="30"/>
        <v/>
      </c>
    </row>
    <row r="168" spans="8:17">
      <c r="H168">
        <f t="shared" si="31"/>
        <v>0</v>
      </c>
      <c r="J168">
        <f t="shared" si="32"/>
        <v>0</v>
      </c>
      <c r="K168" t="str">
        <f t="shared" si="26"/>
        <v/>
      </c>
      <c r="L168" t="str">
        <f t="shared" si="27"/>
        <v/>
      </c>
      <c r="M168" t="str">
        <f t="shared" si="33"/>
        <v/>
      </c>
      <c r="N168">
        <f t="shared" si="34"/>
        <v>0</v>
      </c>
      <c r="O168" t="str">
        <f t="shared" si="28"/>
        <v/>
      </c>
      <c r="P168">
        <f t="shared" si="29"/>
        <v>0</v>
      </c>
      <c r="Q168" t="str">
        <f t="shared" si="30"/>
        <v/>
      </c>
    </row>
    <row r="169" spans="8:17">
      <c r="H169">
        <f t="shared" si="31"/>
        <v>0</v>
      </c>
      <c r="J169">
        <f t="shared" si="32"/>
        <v>0</v>
      </c>
      <c r="K169" t="str">
        <f t="shared" si="26"/>
        <v/>
      </c>
      <c r="L169" t="str">
        <f t="shared" si="27"/>
        <v/>
      </c>
      <c r="M169" t="str">
        <f t="shared" si="33"/>
        <v/>
      </c>
      <c r="N169">
        <f t="shared" si="34"/>
        <v>0</v>
      </c>
      <c r="O169" t="str">
        <f t="shared" si="28"/>
        <v/>
      </c>
      <c r="P169">
        <f t="shared" si="29"/>
        <v>0</v>
      </c>
      <c r="Q169" t="str">
        <f t="shared" si="30"/>
        <v/>
      </c>
    </row>
    <row r="170" spans="8:17">
      <c r="H170">
        <f t="shared" si="31"/>
        <v>0</v>
      </c>
      <c r="J170">
        <f t="shared" si="32"/>
        <v>0</v>
      </c>
      <c r="K170" t="str">
        <f t="shared" si="26"/>
        <v/>
      </c>
      <c r="L170" t="str">
        <f t="shared" si="27"/>
        <v/>
      </c>
      <c r="M170" t="str">
        <f t="shared" si="33"/>
        <v/>
      </c>
      <c r="N170">
        <f t="shared" si="34"/>
        <v>0</v>
      </c>
      <c r="O170" t="str">
        <f t="shared" si="28"/>
        <v/>
      </c>
      <c r="P170">
        <f t="shared" si="29"/>
        <v>0</v>
      </c>
      <c r="Q170" t="str">
        <f t="shared" si="30"/>
        <v/>
      </c>
    </row>
    <row r="171" spans="8:17">
      <c r="H171">
        <f t="shared" si="31"/>
        <v>0</v>
      </c>
      <c r="J171">
        <f t="shared" si="32"/>
        <v>0</v>
      </c>
      <c r="K171" t="str">
        <f t="shared" si="26"/>
        <v/>
      </c>
      <c r="L171" t="str">
        <f t="shared" si="27"/>
        <v/>
      </c>
      <c r="M171" t="str">
        <f t="shared" si="33"/>
        <v/>
      </c>
      <c r="N171">
        <f t="shared" si="34"/>
        <v>0</v>
      </c>
      <c r="O171" t="str">
        <f t="shared" si="28"/>
        <v/>
      </c>
      <c r="P171">
        <f t="shared" si="29"/>
        <v>0</v>
      </c>
      <c r="Q171" t="str">
        <f t="shared" si="30"/>
        <v/>
      </c>
    </row>
    <row r="172" spans="8:17">
      <c r="H172">
        <f t="shared" si="31"/>
        <v>0</v>
      </c>
      <c r="J172">
        <f t="shared" si="32"/>
        <v>0</v>
      </c>
      <c r="K172" t="str">
        <f t="shared" si="26"/>
        <v/>
      </c>
      <c r="L172" t="str">
        <f t="shared" si="27"/>
        <v/>
      </c>
      <c r="M172" t="str">
        <f t="shared" si="33"/>
        <v/>
      </c>
      <c r="N172">
        <f t="shared" si="34"/>
        <v>0</v>
      </c>
      <c r="O172" t="str">
        <f t="shared" si="28"/>
        <v/>
      </c>
      <c r="P172">
        <f t="shared" si="29"/>
        <v>0</v>
      </c>
      <c r="Q172" t="str">
        <f t="shared" si="30"/>
        <v/>
      </c>
    </row>
    <row r="173" spans="8:17">
      <c r="H173">
        <f t="shared" si="31"/>
        <v>0</v>
      </c>
      <c r="J173">
        <f t="shared" si="32"/>
        <v>0</v>
      </c>
      <c r="K173" t="str">
        <f t="shared" si="26"/>
        <v/>
      </c>
      <c r="L173" t="str">
        <f t="shared" si="27"/>
        <v/>
      </c>
      <c r="M173" t="str">
        <f t="shared" si="33"/>
        <v/>
      </c>
      <c r="N173">
        <f t="shared" si="34"/>
        <v>0</v>
      </c>
      <c r="O173" t="str">
        <f t="shared" si="28"/>
        <v/>
      </c>
      <c r="P173">
        <f t="shared" si="29"/>
        <v>0</v>
      </c>
      <c r="Q173" t="str">
        <f t="shared" si="30"/>
        <v/>
      </c>
    </row>
    <row r="174" spans="8:17">
      <c r="H174">
        <f t="shared" si="31"/>
        <v>0</v>
      </c>
      <c r="J174">
        <f t="shared" si="32"/>
        <v>0</v>
      </c>
      <c r="K174" t="str">
        <f t="shared" si="26"/>
        <v/>
      </c>
      <c r="L174" t="str">
        <f t="shared" si="27"/>
        <v/>
      </c>
      <c r="M174" t="str">
        <f t="shared" si="33"/>
        <v/>
      </c>
      <c r="N174">
        <f t="shared" si="34"/>
        <v>0</v>
      </c>
      <c r="O174" t="str">
        <f t="shared" si="28"/>
        <v/>
      </c>
      <c r="P174">
        <f t="shared" si="29"/>
        <v>0</v>
      </c>
      <c r="Q174" t="str">
        <f t="shared" si="30"/>
        <v/>
      </c>
    </row>
    <row r="175" spans="8:17">
      <c r="H175">
        <f t="shared" si="31"/>
        <v>0</v>
      </c>
      <c r="J175">
        <f t="shared" si="32"/>
        <v>0</v>
      </c>
      <c r="K175" t="str">
        <f t="shared" si="26"/>
        <v/>
      </c>
      <c r="L175" t="str">
        <f t="shared" si="27"/>
        <v/>
      </c>
      <c r="M175" t="str">
        <f t="shared" si="33"/>
        <v/>
      </c>
      <c r="N175">
        <f t="shared" si="34"/>
        <v>0</v>
      </c>
      <c r="O175" t="str">
        <f t="shared" si="28"/>
        <v/>
      </c>
      <c r="P175">
        <f t="shared" si="29"/>
        <v>0</v>
      </c>
      <c r="Q175" t="str">
        <f t="shared" si="30"/>
        <v/>
      </c>
    </row>
    <row r="176" spans="8:17">
      <c r="H176">
        <f t="shared" si="31"/>
        <v>0</v>
      </c>
      <c r="J176">
        <f t="shared" si="32"/>
        <v>0</v>
      </c>
      <c r="K176" t="str">
        <f t="shared" si="26"/>
        <v/>
      </c>
      <c r="L176" t="str">
        <f t="shared" si="27"/>
        <v/>
      </c>
      <c r="M176" t="str">
        <f t="shared" si="33"/>
        <v/>
      </c>
      <c r="N176">
        <f t="shared" si="34"/>
        <v>0</v>
      </c>
      <c r="O176" t="str">
        <f t="shared" si="28"/>
        <v/>
      </c>
      <c r="P176">
        <f t="shared" si="29"/>
        <v>0</v>
      </c>
      <c r="Q176" t="str">
        <f t="shared" si="30"/>
        <v/>
      </c>
    </row>
    <row r="177" spans="8:17">
      <c r="H177">
        <f t="shared" si="31"/>
        <v>0</v>
      </c>
      <c r="J177">
        <f t="shared" si="32"/>
        <v>0</v>
      </c>
      <c r="K177" t="str">
        <f t="shared" si="26"/>
        <v/>
      </c>
      <c r="L177" t="str">
        <f t="shared" si="27"/>
        <v/>
      </c>
      <c r="M177" t="str">
        <f t="shared" si="33"/>
        <v/>
      </c>
      <c r="N177">
        <f t="shared" si="34"/>
        <v>0</v>
      </c>
      <c r="O177" t="str">
        <f t="shared" si="28"/>
        <v/>
      </c>
      <c r="P177">
        <f t="shared" si="29"/>
        <v>0</v>
      </c>
      <c r="Q177" t="str">
        <f t="shared" si="30"/>
        <v/>
      </c>
    </row>
    <row r="178" spans="8:17">
      <c r="H178">
        <f t="shared" si="31"/>
        <v>0</v>
      </c>
      <c r="J178">
        <f t="shared" si="32"/>
        <v>0</v>
      </c>
      <c r="K178" t="str">
        <f t="shared" si="26"/>
        <v/>
      </c>
      <c r="L178" t="str">
        <f t="shared" si="27"/>
        <v/>
      </c>
      <c r="M178" t="str">
        <f t="shared" si="33"/>
        <v/>
      </c>
      <c r="N178">
        <f t="shared" si="34"/>
        <v>0</v>
      </c>
      <c r="O178" t="str">
        <f t="shared" si="28"/>
        <v/>
      </c>
      <c r="P178">
        <f t="shared" si="29"/>
        <v>0</v>
      </c>
      <c r="Q178" t="str">
        <f t="shared" si="30"/>
        <v/>
      </c>
    </row>
    <row r="179" spans="8:17">
      <c r="H179">
        <f t="shared" si="31"/>
        <v>0</v>
      </c>
      <c r="J179">
        <f t="shared" si="32"/>
        <v>0</v>
      </c>
      <c r="K179" t="str">
        <f t="shared" si="26"/>
        <v/>
      </c>
      <c r="L179" t="str">
        <f t="shared" si="27"/>
        <v/>
      </c>
      <c r="M179" t="str">
        <f t="shared" si="33"/>
        <v/>
      </c>
      <c r="N179">
        <f t="shared" si="34"/>
        <v>0</v>
      </c>
      <c r="O179" t="str">
        <f t="shared" si="28"/>
        <v/>
      </c>
      <c r="P179">
        <f t="shared" si="29"/>
        <v>0</v>
      </c>
      <c r="Q179" t="str">
        <f t="shared" si="30"/>
        <v/>
      </c>
    </row>
    <row r="180" spans="8:17">
      <c r="H180">
        <f t="shared" si="31"/>
        <v>0</v>
      </c>
      <c r="J180">
        <f t="shared" si="32"/>
        <v>0</v>
      </c>
      <c r="K180" t="str">
        <f t="shared" si="26"/>
        <v/>
      </c>
      <c r="L180" t="str">
        <f t="shared" si="27"/>
        <v/>
      </c>
      <c r="M180" t="str">
        <f t="shared" si="33"/>
        <v/>
      </c>
      <c r="N180">
        <f t="shared" si="34"/>
        <v>0</v>
      </c>
      <c r="O180" t="str">
        <f t="shared" si="28"/>
        <v/>
      </c>
      <c r="P180">
        <f t="shared" si="29"/>
        <v>0</v>
      </c>
      <c r="Q180" t="str">
        <f t="shared" si="30"/>
        <v/>
      </c>
    </row>
    <row r="181" spans="8:17">
      <c r="H181">
        <f t="shared" si="31"/>
        <v>0</v>
      </c>
      <c r="J181">
        <f t="shared" si="32"/>
        <v>0</v>
      </c>
      <c r="K181" t="str">
        <f t="shared" si="26"/>
        <v/>
      </c>
      <c r="L181" t="str">
        <f t="shared" si="27"/>
        <v/>
      </c>
      <c r="M181" t="str">
        <f t="shared" si="33"/>
        <v/>
      </c>
      <c r="N181">
        <f t="shared" si="34"/>
        <v>0</v>
      </c>
      <c r="O181" t="str">
        <f t="shared" si="28"/>
        <v/>
      </c>
      <c r="P181">
        <f t="shared" si="29"/>
        <v>0</v>
      </c>
      <c r="Q181" t="str">
        <f t="shared" si="30"/>
        <v/>
      </c>
    </row>
    <row r="182" spans="8:17">
      <c r="H182">
        <f t="shared" si="31"/>
        <v>0</v>
      </c>
      <c r="J182">
        <f t="shared" si="32"/>
        <v>0</v>
      </c>
      <c r="K182" t="str">
        <f t="shared" si="26"/>
        <v/>
      </c>
      <c r="L182" t="str">
        <f t="shared" si="27"/>
        <v/>
      </c>
      <c r="M182" t="str">
        <f t="shared" si="33"/>
        <v/>
      </c>
      <c r="N182">
        <f t="shared" si="34"/>
        <v>0</v>
      </c>
      <c r="O182" t="str">
        <f t="shared" si="28"/>
        <v/>
      </c>
      <c r="P182">
        <f t="shared" si="29"/>
        <v>0</v>
      </c>
      <c r="Q182" t="str">
        <f t="shared" si="30"/>
        <v/>
      </c>
    </row>
    <row r="183" spans="8:17">
      <c r="H183">
        <f t="shared" si="31"/>
        <v>0</v>
      </c>
      <c r="J183">
        <f t="shared" si="32"/>
        <v>0</v>
      </c>
      <c r="K183" t="str">
        <f t="shared" si="26"/>
        <v/>
      </c>
      <c r="L183" t="str">
        <f t="shared" si="27"/>
        <v/>
      </c>
      <c r="M183" t="str">
        <f t="shared" si="33"/>
        <v/>
      </c>
      <c r="N183">
        <f t="shared" si="34"/>
        <v>0</v>
      </c>
      <c r="O183" t="str">
        <f t="shared" si="28"/>
        <v/>
      </c>
      <c r="P183">
        <f t="shared" si="29"/>
        <v>0</v>
      </c>
      <c r="Q183" t="str">
        <f t="shared" si="30"/>
        <v/>
      </c>
    </row>
    <row r="184" spans="8:17">
      <c r="H184">
        <f t="shared" si="31"/>
        <v>0</v>
      </c>
      <c r="J184">
        <f t="shared" si="32"/>
        <v>0</v>
      </c>
      <c r="K184" t="str">
        <f t="shared" si="26"/>
        <v/>
      </c>
      <c r="L184" t="str">
        <f t="shared" si="27"/>
        <v/>
      </c>
      <c r="M184" t="str">
        <f t="shared" si="33"/>
        <v/>
      </c>
      <c r="N184">
        <f t="shared" si="34"/>
        <v>0</v>
      </c>
      <c r="O184" t="str">
        <f t="shared" si="28"/>
        <v/>
      </c>
      <c r="P184">
        <f t="shared" si="29"/>
        <v>0</v>
      </c>
      <c r="Q184" t="str">
        <f t="shared" si="30"/>
        <v/>
      </c>
    </row>
    <row r="185" spans="8:17">
      <c r="H185">
        <f t="shared" si="31"/>
        <v>0</v>
      </c>
      <c r="J185">
        <f t="shared" si="32"/>
        <v>0</v>
      </c>
      <c r="K185" t="str">
        <f t="shared" si="26"/>
        <v/>
      </c>
      <c r="L185" t="str">
        <f t="shared" si="27"/>
        <v/>
      </c>
      <c r="M185" t="str">
        <f t="shared" si="33"/>
        <v/>
      </c>
      <c r="N185">
        <f t="shared" si="34"/>
        <v>0</v>
      </c>
      <c r="O185" t="str">
        <f t="shared" si="28"/>
        <v/>
      </c>
      <c r="P185">
        <f t="shared" si="29"/>
        <v>0</v>
      </c>
      <c r="Q185" t="str">
        <f t="shared" si="30"/>
        <v/>
      </c>
    </row>
    <row r="186" spans="8:17">
      <c r="H186">
        <f t="shared" si="31"/>
        <v>0</v>
      </c>
      <c r="J186">
        <f t="shared" si="32"/>
        <v>0</v>
      </c>
      <c r="K186" t="str">
        <f t="shared" si="26"/>
        <v/>
      </c>
      <c r="L186" t="str">
        <f t="shared" si="27"/>
        <v/>
      </c>
      <c r="M186" t="str">
        <f t="shared" si="33"/>
        <v/>
      </c>
      <c r="N186">
        <f t="shared" si="34"/>
        <v>0</v>
      </c>
      <c r="O186" t="str">
        <f t="shared" si="28"/>
        <v/>
      </c>
      <c r="P186">
        <f t="shared" si="29"/>
        <v>0</v>
      </c>
      <c r="Q186" t="str">
        <f t="shared" si="30"/>
        <v/>
      </c>
    </row>
    <row r="187" spans="8:17">
      <c r="H187">
        <f t="shared" si="31"/>
        <v>0</v>
      </c>
      <c r="J187">
        <f t="shared" si="32"/>
        <v>0</v>
      </c>
      <c r="K187" t="str">
        <f t="shared" si="26"/>
        <v/>
      </c>
      <c r="L187" t="str">
        <f t="shared" si="27"/>
        <v/>
      </c>
      <c r="M187" t="str">
        <f t="shared" si="33"/>
        <v/>
      </c>
      <c r="N187">
        <f t="shared" si="34"/>
        <v>0</v>
      </c>
      <c r="O187" t="str">
        <f t="shared" si="28"/>
        <v/>
      </c>
      <c r="P187">
        <f t="shared" si="29"/>
        <v>0</v>
      </c>
      <c r="Q187" t="str">
        <f t="shared" si="30"/>
        <v/>
      </c>
    </row>
    <row r="188" spans="8:17">
      <c r="H188">
        <f t="shared" si="31"/>
        <v>0</v>
      </c>
      <c r="J188">
        <f t="shared" si="32"/>
        <v>0</v>
      </c>
      <c r="K188" t="str">
        <f t="shared" si="26"/>
        <v/>
      </c>
      <c r="L188" t="str">
        <f t="shared" si="27"/>
        <v/>
      </c>
      <c r="M188" t="str">
        <f t="shared" si="33"/>
        <v/>
      </c>
      <c r="N188">
        <f t="shared" si="34"/>
        <v>0</v>
      </c>
      <c r="O188" t="str">
        <f t="shared" si="28"/>
        <v/>
      </c>
      <c r="P188">
        <f t="shared" si="29"/>
        <v>0</v>
      </c>
      <c r="Q188" t="str">
        <f t="shared" si="30"/>
        <v/>
      </c>
    </row>
    <row r="189" spans="8:17">
      <c r="H189">
        <f t="shared" si="31"/>
        <v>0</v>
      </c>
      <c r="J189">
        <f t="shared" si="32"/>
        <v>0</v>
      </c>
      <c r="K189" t="str">
        <f t="shared" si="26"/>
        <v/>
      </c>
      <c r="L189" t="str">
        <f t="shared" si="27"/>
        <v/>
      </c>
      <c r="M189" t="str">
        <f t="shared" si="33"/>
        <v/>
      </c>
      <c r="N189">
        <f t="shared" si="34"/>
        <v>0</v>
      </c>
      <c r="O189" t="str">
        <f t="shared" si="28"/>
        <v/>
      </c>
      <c r="P189">
        <f t="shared" si="29"/>
        <v>0</v>
      </c>
      <c r="Q189" t="str">
        <f t="shared" si="30"/>
        <v/>
      </c>
    </row>
    <row r="190" spans="8:17">
      <c r="H190">
        <f t="shared" si="31"/>
        <v>0</v>
      </c>
      <c r="J190">
        <f t="shared" si="32"/>
        <v>0</v>
      </c>
      <c r="K190" t="str">
        <f t="shared" si="26"/>
        <v/>
      </c>
      <c r="L190" t="str">
        <f t="shared" si="27"/>
        <v/>
      </c>
      <c r="M190" t="str">
        <f t="shared" si="33"/>
        <v/>
      </c>
      <c r="N190">
        <f t="shared" si="34"/>
        <v>0</v>
      </c>
      <c r="O190" t="str">
        <f t="shared" si="28"/>
        <v/>
      </c>
      <c r="P190">
        <f t="shared" si="29"/>
        <v>0</v>
      </c>
      <c r="Q190" t="str">
        <f t="shared" si="30"/>
        <v/>
      </c>
    </row>
    <row r="191" spans="8:17">
      <c r="H191">
        <f t="shared" si="31"/>
        <v>0</v>
      </c>
      <c r="J191">
        <f t="shared" si="32"/>
        <v>0</v>
      </c>
      <c r="K191" t="str">
        <f t="shared" si="26"/>
        <v/>
      </c>
      <c r="L191" t="str">
        <f t="shared" si="27"/>
        <v/>
      </c>
      <c r="M191" t="str">
        <f t="shared" si="33"/>
        <v/>
      </c>
      <c r="N191">
        <f t="shared" si="34"/>
        <v>0</v>
      </c>
      <c r="O191" t="str">
        <f t="shared" si="28"/>
        <v/>
      </c>
      <c r="P191">
        <f t="shared" si="29"/>
        <v>0</v>
      </c>
      <c r="Q191" t="str">
        <f t="shared" si="30"/>
        <v/>
      </c>
    </row>
    <row r="192" spans="8:17">
      <c r="H192">
        <f t="shared" si="31"/>
        <v>0</v>
      </c>
      <c r="J192">
        <f t="shared" si="32"/>
        <v>0</v>
      </c>
      <c r="K192" t="str">
        <f t="shared" si="26"/>
        <v/>
      </c>
      <c r="L192" t="str">
        <f t="shared" si="27"/>
        <v/>
      </c>
      <c r="M192" t="str">
        <f t="shared" si="33"/>
        <v/>
      </c>
      <c r="N192">
        <f t="shared" si="34"/>
        <v>0</v>
      </c>
      <c r="O192" t="str">
        <f t="shared" si="28"/>
        <v/>
      </c>
      <c r="P192">
        <f t="shared" si="29"/>
        <v>0</v>
      </c>
      <c r="Q192" t="str">
        <f t="shared" si="30"/>
        <v/>
      </c>
    </row>
    <row r="193" spans="8:17">
      <c r="H193">
        <f t="shared" si="31"/>
        <v>0</v>
      </c>
      <c r="J193">
        <f t="shared" si="32"/>
        <v>0</v>
      </c>
      <c r="K193" t="str">
        <f t="shared" si="26"/>
        <v/>
      </c>
      <c r="L193" t="str">
        <f t="shared" si="27"/>
        <v/>
      </c>
      <c r="M193" t="str">
        <f t="shared" si="33"/>
        <v/>
      </c>
      <c r="N193">
        <f t="shared" si="34"/>
        <v>0</v>
      </c>
      <c r="O193" t="str">
        <f t="shared" si="28"/>
        <v/>
      </c>
      <c r="P193">
        <f t="shared" si="29"/>
        <v>0</v>
      </c>
      <c r="Q193" t="str">
        <f t="shared" si="30"/>
        <v/>
      </c>
    </row>
    <row r="194" spans="8:17">
      <c r="H194">
        <f t="shared" si="31"/>
        <v>0</v>
      </c>
      <c r="J194">
        <f t="shared" si="32"/>
        <v>0</v>
      </c>
      <c r="K194" t="str">
        <f t="shared" ref="K194:K257" si="35">IF($C194="","",IF(LEN($C194)=1,CODE(UPPER($C194))-64,IFERROR(VALUE(MID($C194,2,99)),"")))</f>
        <v/>
      </c>
      <c r="L194" t="str">
        <f t="shared" ref="L194:L257" si="36">IF($D194="","",IFERROR(VALUE($D194),""))</f>
        <v/>
      </c>
      <c r="M194" t="str">
        <f t="shared" si="33"/>
        <v/>
      </c>
      <c r="N194">
        <f t="shared" si="34"/>
        <v>0</v>
      </c>
      <c r="O194" t="str">
        <f t="shared" ref="O194:O257" si="37">IF(AND($C194&lt;&gt;"",ISNUMBER(--$D194)),LEFT($C194,1),"")</f>
        <v/>
      </c>
      <c r="P194">
        <f t="shared" ref="P194:P257" si="38">IF(ISNUMBER(--$D194),--$D194,"")</f>
        <v>0</v>
      </c>
      <c r="Q194" t="str">
        <f t="shared" ref="Q194:Q257" si="39">IF(AND($O194&lt;&gt;"",$P194&lt;&gt;""),$O194&amp;TEXT($P194,"00"),"")</f>
        <v/>
      </c>
    </row>
    <row r="195" spans="8:17">
      <c r="H195">
        <f t="shared" si="31"/>
        <v>0</v>
      </c>
      <c r="J195">
        <f t="shared" si="32"/>
        <v>0</v>
      </c>
      <c r="K195" t="str">
        <f t="shared" si="35"/>
        <v/>
      </c>
      <c r="L195" t="str">
        <f t="shared" si="36"/>
        <v/>
      </c>
      <c r="M195" t="str">
        <f t="shared" si="33"/>
        <v/>
      </c>
      <c r="N195">
        <f t="shared" si="34"/>
        <v>0</v>
      </c>
      <c r="O195" t="str">
        <f t="shared" si="37"/>
        <v/>
      </c>
      <c r="P195">
        <f t="shared" si="38"/>
        <v>0</v>
      </c>
      <c r="Q195" t="str">
        <f t="shared" si="39"/>
        <v/>
      </c>
    </row>
    <row r="196" spans="8:17">
      <c r="H196">
        <f t="shared" si="31"/>
        <v>0</v>
      </c>
      <c r="J196">
        <f t="shared" si="32"/>
        <v>0</v>
      </c>
      <c r="K196" t="str">
        <f t="shared" si="35"/>
        <v/>
      </c>
      <c r="L196" t="str">
        <f t="shared" si="36"/>
        <v/>
      </c>
      <c r="M196" t="str">
        <f t="shared" si="33"/>
        <v/>
      </c>
      <c r="N196">
        <f t="shared" si="34"/>
        <v>0</v>
      </c>
      <c r="O196" t="str">
        <f t="shared" si="37"/>
        <v/>
      </c>
      <c r="P196">
        <f t="shared" si="38"/>
        <v>0</v>
      </c>
      <c r="Q196" t="str">
        <f t="shared" si="39"/>
        <v/>
      </c>
    </row>
    <row r="197" spans="8:17">
      <c r="H197">
        <f t="shared" si="31"/>
        <v>0</v>
      </c>
      <c r="J197">
        <f t="shared" si="32"/>
        <v>0</v>
      </c>
      <c r="K197" t="str">
        <f t="shared" si="35"/>
        <v/>
      </c>
      <c r="L197" t="str">
        <f t="shared" si="36"/>
        <v/>
      </c>
      <c r="M197" t="str">
        <f t="shared" si="33"/>
        <v/>
      </c>
      <c r="N197">
        <f t="shared" si="34"/>
        <v>0</v>
      </c>
      <c r="O197" t="str">
        <f t="shared" si="37"/>
        <v/>
      </c>
      <c r="P197">
        <f t="shared" si="38"/>
        <v>0</v>
      </c>
      <c r="Q197" t="str">
        <f t="shared" si="39"/>
        <v/>
      </c>
    </row>
    <row r="198" spans="8:17">
      <c r="H198">
        <f t="shared" ref="H198:H261" si="40">A198</f>
        <v>0</v>
      </c>
      <c r="J198">
        <f t="shared" ref="J198:J261" si="41">IF($I198&lt;&gt;"",$I198,$A198)</f>
        <v>0</v>
      </c>
      <c r="K198" t="str">
        <f t="shared" si="35"/>
        <v/>
      </c>
      <c r="L198" t="str">
        <f t="shared" si="36"/>
        <v/>
      </c>
      <c r="M198" t="str">
        <f t="shared" ref="M198:M261" si="42">IFERROR(VALUE(MID($A198,FIND("Level",$A198)+5,99)),IF($E198="AISLE_FLOOR",0,IF($E198="OVERFLOW",0,IF($E198="ENDCAP",0,""))))</f>
        <v/>
      </c>
      <c r="N198">
        <f t="shared" ref="N198:N261" si="43">IF(AND($B198&lt;&gt;"",$C198&lt;&gt;"",ISNUMBER(--$D198)), $B198&amp;": "&amp;LEFT($C198,1)&amp;TEXT(--$D198,"00"), IF($I198&lt;&gt;"",$I198,$A198))</f>
        <v>0</v>
      </c>
      <c r="O198" t="str">
        <f t="shared" si="37"/>
        <v/>
      </c>
      <c r="P198">
        <f t="shared" si="38"/>
        <v>0</v>
      </c>
      <c r="Q198" t="str">
        <f t="shared" si="39"/>
        <v/>
      </c>
    </row>
    <row r="199" spans="8:17">
      <c r="H199">
        <f t="shared" si="40"/>
        <v>0</v>
      </c>
      <c r="J199">
        <f t="shared" si="41"/>
        <v>0</v>
      </c>
      <c r="K199" t="str">
        <f t="shared" si="35"/>
        <v/>
      </c>
      <c r="L199" t="str">
        <f t="shared" si="36"/>
        <v/>
      </c>
      <c r="M199" t="str">
        <f t="shared" si="42"/>
        <v/>
      </c>
      <c r="N199">
        <f t="shared" si="43"/>
        <v>0</v>
      </c>
      <c r="O199" t="str">
        <f t="shared" si="37"/>
        <v/>
      </c>
      <c r="P199">
        <f t="shared" si="38"/>
        <v>0</v>
      </c>
      <c r="Q199" t="str">
        <f t="shared" si="39"/>
        <v/>
      </c>
    </row>
    <row r="200" spans="8:17">
      <c r="H200">
        <f t="shared" si="40"/>
        <v>0</v>
      </c>
      <c r="J200">
        <f t="shared" si="41"/>
        <v>0</v>
      </c>
      <c r="K200" t="str">
        <f t="shared" si="35"/>
        <v/>
      </c>
      <c r="L200" t="str">
        <f t="shared" si="36"/>
        <v/>
      </c>
      <c r="M200" t="str">
        <f t="shared" si="42"/>
        <v/>
      </c>
      <c r="N200">
        <f t="shared" si="43"/>
        <v>0</v>
      </c>
      <c r="O200" t="str">
        <f t="shared" si="37"/>
        <v/>
      </c>
      <c r="P200">
        <f t="shared" si="38"/>
        <v>0</v>
      </c>
      <c r="Q200" t="str">
        <f t="shared" si="39"/>
        <v/>
      </c>
    </row>
    <row r="201" spans="8:17">
      <c r="H201">
        <f t="shared" si="40"/>
        <v>0</v>
      </c>
      <c r="J201">
        <f t="shared" si="41"/>
        <v>0</v>
      </c>
      <c r="K201" t="str">
        <f t="shared" si="35"/>
        <v/>
      </c>
      <c r="L201" t="str">
        <f t="shared" si="36"/>
        <v/>
      </c>
      <c r="M201" t="str">
        <f t="shared" si="42"/>
        <v/>
      </c>
      <c r="N201">
        <f t="shared" si="43"/>
        <v>0</v>
      </c>
      <c r="O201" t="str">
        <f t="shared" si="37"/>
        <v/>
      </c>
      <c r="P201">
        <f t="shared" si="38"/>
        <v>0</v>
      </c>
      <c r="Q201" t="str">
        <f t="shared" si="39"/>
        <v/>
      </c>
    </row>
    <row r="202" spans="8:17">
      <c r="H202">
        <f t="shared" si="40"/>
        <v>0</v>
      </c>
      <c r="J202">
        <f t="shared" si="41"/>
        <v>0</v>
      </c>
      <c r="K202" t="str">
        <f t="shared" si="35"/>
        <v/>
      </c>
      <c r="L202" t="str">
        <f t="shared" si="36"/>
        <v/>
      </c>
      <c r="M202" t="str">
        <f t="shared" si="42"/>
        <v/>
      </c>
      <c r="N202">
        <f t="shared" si="43"/>
        <v>0</v>
      </c>
      <c r="O202" t="str">
        <f t="shared" si="37"/>
        <v/>
      </c>
      <c r="P202">
        <f t="shared" si="38"/>
        <v>0</v>
      </c>
      <c r="Q202" t="str">
        <f t="shared" si="39"/>
        <v/>
      </c>
    </row>
    <row r="203" spans="8:17">
      <c r="H203">
        <f t="shared" si="40"/>
        <v>0</v>
      </c>
      <c r="J203">
        <f t="shared" si="41"/>
        <v>0</v>
      </c>
      <c r="K203" t="str">
        <f t="shared" si="35"/>
        <v/>
      </c>
      <c r="L203" t="str">
        <f t="shared" si="36"/>
        <v/>
      </c>
      <c r="M203" t="str">
        <f t="shared" si="42"/>
        <v/>
      </c>
      <c r="N203">
        <f t="shared" si="43"/>
        <v>0</v>
      </c>
      <c r="O203" t="str">
        <f t="shared" si="37"/>
        <v/>
      </c>
      <c r="P203">
        <f t="shared" si="38"/>
        <v>0</v>
      </c>
      <c r="Q203" t="str">
        <f t="shared" si="39"/>
        <v/>
      </c>
    </row>
    <row r="204" spans="8:17">
      <c r="H204">
        <f t="shared" si="40"/>
        <v>0</v>
      </c>
      <c r="J204">
        <f t="shared" si="41"/>
        <v>0</v>
      </c>
      <c r="K204" t="str">
        <f t="shared" si="35"/>
        <v/>
      </c>
      <c r="L204" t="str">
        <f t="shared" si="36"/>
        <v/>
      </c>
      <c r="M204" t="str">
        <f t="shared" si="42"/>
        <v/>
      </c>
      <c r="N204">
        <f t="shared" si="43"/>
        <v>0</v>
      </c>
      <c r="O204" t="str">
        <f t="shared" si="37"/>
        <v/>
      </c>
      <c r="P204">
        <f t="shared" si="38"/>
        <v>0</v>
      </c>
      <c r="Q204" t="str">
        <f t="shared" si="39"/>
        <v/>
      </c>
    </row>
    <row r="205" spans="8:17">
      <c r="H205">
        <f t="shared" si="40"/>
        <v>0</v>
      </c>
      <c r="J205">
        <f t="shared" si="41"/>
        <v>0</v>
      </c>
      <c r="K205" t="str">
        <f t="shared" si="35"/>
        <v/>
      </c>
      <c r="L205" t="str">
        <f t="shared" si="36"/>
        <v/>
      </c>
      <c r="M205" t="str">
        <f t="shared" si="42"/>
        <v/>
      </c>
      <c r="N205">
        <f t="shared" si="43"/>
        <v>0</v>
      </c>
      <c r="O205" t="str">
        <f t="shared" si="37"/>
        <v/>
      </c>
      <c r="P205">
        <f t="shared" si="38"/>
        <v>0</v>
      </c>
      <c r="Q205" t="str">
        <f t="shared" si="39"/>
        <v/>
      </c>
    </row>
    <row r="206" spans="8:17">
      <c r="H206">
        <f t="shared" si="40"/>
        <v>0</v>
      </c>
      <c r="J206">
        <f t="shared" si="41"/>
        <v>0</v>
      </c>
      <c r="K206" t="str">
        <f t="shared" si="35"/>
        <v/>
      </c>
      <c r="L206" t="str">
        <f t="shared" si="36"/>
        <v/>
      </c>
      <c r="M206" t="str">
        <f t="shared" si="42"/>
        <v/>
      </c>
      <c r="N206">
        <f t="shared" si="43"/>
        <v>0</v>
      </c>
      <c r="O206" t="str">
        <f t="shared" si="37"/>
        <v/>
      </c>
      <c r="P206">
        <f t="shared" si="38"/>
        <v>0</v>
      </c>
      <c r="Q206" t="str">
        <f t="shared" si="39"/>
        <v/>
      </c>
    </row>
    <row r="207" spans="8:17">
      <c r="H207">
        <f t="shared" si="40"/>
        <v>0</v>
      </c>
      <c r="J207">
        <f t="shared" si="41"/>
        <v>0</v>
      </c>
      <c r="K207" t="str">
        <f t="shared" si="35"/>
        <v/>
      </c>
      <c r="L207" t="str">
        <f t="shared" si="36"/>
        <v/>
      </c>
      <c r="M207" t="str">
        <f t="shared" si="42"/>
        <v/>
      </c>
      <c r="N207">
        <f t="shared" si="43"/>
        <v>0</v>
      </c>
      <c r="O207" t="str">
        <f t="shared" si="37"/>
        <v/>
      </c>
      <c r="P207">
        <f t="shared" si="38"/>
        <v>0</v>
      </c>
      <c r="Q207" t="str">
        <f t="shared" si="39"/>
        <v/>
      </c>
    </row>
    <row r="208" spans="8:17">
      <c r="H208">
        <f t="shared" si="40"/>
        <v>0</v>
      </c>
      <c r="J208">
        <f t="shared" si="41"/>
        <v>0</v>
      </c>
      <c r="K208" t="str">
        <f t="shared" si="35"/>
        <v/>
      </c>
      <c r="L208" t="str">
        <f t="shared" si="36"/>
        <v/>
      </c>
      <c r="M208" t="str">
        <f t="shared" si="42"/>
        <v/>
      </c>
      <c r="N208">
        <f t="shared" si="43"/>
        <v>0</v>
      </c>
      <c r="O208" t="str">
        <f t="shared" si="37"/>
        <v/>
      </c>
      <c r="P208">
        <f t="shared" si="38"/>
        <v>0</v>
      </c>
      <c r="Q208" t="str">
        <f t="shared" si="39"/>
        <v/>
      </c>
    </row>
    <row r="209" spans="8:17">
      <c r="H209">
        <f t="shared" si="40"/>
        <v>0</v>
      </c>
      <c r="J209">
        <f t="shared" si="41"/>
        <v>0</v>
      </c>
      <c r="K209" t="str">
        <f t="shared" si="35"/>
        <v/>
      </c>
      <c r="L209" t="str">
        <f t="shared" si="36"/>
        <v/>
      </c>
      <c r="M209" t="str">
        <f t="shared" si="42"/>
        <v/>
      </c>
      <c r="N209">
        <f t="shared" si="43"/>
        <v>0</v>
      </c>
      <c r="O209" t="str">
        <f t="shared" si="37"/>
        <v/>
      </c>
      <c r="P209">
        <f t="shared" si="38"/>
        <v>0</v>
      </c>
      <c r="Q209" t="str">
        <f t="shared" si="39"/>
        <v/>
      </c>
    </row>
    <row r="210" spans="8:17">
      <c r="H210">
        <f t="shared" si="40"/>
        <v>0</v>
      </c>
      <c r="J210">
        <f t="shared" si="41"/>
        <v>0</v>
      </c>
      <c r="K210" t="str">
        <f t="shared" si="35"/>
        <v/>
      </c>
      <c r="L210" t="str">
        <f t="shared" si="36"/>
        <v/>
      </c>
      <c r="M210" t="str">
        <f t="shared" si="42"/>
        <v/>
      </c>
      <c r="N210">
        <f t="shared" si="43"/>
        <v>0</v>
      </c>
      <c r="O210" t="str">
        <f t="shared" si="37"/>
        <v/>
      </c>
      <c r="P210">
        <f t="shared" si="38"/>
        <v>0</v>
      </c>
      <c r="Q210" t="str">
        <f t="shared" si="39"/>
        <v/>
      </c>
    </row>
    <row r="211" spans="8:17">
      <c r="H211">
        <f t="shared" si="40"/>
        <v>0</v>
      </c>
      <c r="J211">
        <f t="shared" si="41"/>
        <v>0</v>
      </c>
      <c r="K211" t="str">
        <f t="shared" si="35"/>
        <v/>
      </c>
      <c r="L211" t="str">
        <f t="shared" si="36"/>
        <v/>
      </c>
      <c r="M211" t="str">
        <f t="shared" si="42"/>
        <v/>
      </c>
      <c r="N211">
        <f t="shared" si="43"/>
        <v>0</v>
      </c>
      <c r="O211" t="str">
        <f t="shared" si="37"/>
        <v/>
      </c>
      <c r="P211">
        <f t="shared" si="38"/>
        <v>0</v>
      </c>
      <c r="Q211" t="str">
        <f t="shared" si="39"/>
        <v/>
      </c>
    </row>
    <row r="212" spans="8:17">
      <c r="H212">
        <f t="shared" si="40"/>
        <v>0</v>
      </c>
      <c r="J212">
        <f t="shared" si="41"/>
        <v>0</v>
      </c>
      <c r="K212" t="str">
        <f t="shared" si="35"/>
        <v/>
      </c>
      <c r="L212" t="str">
        <f t="shared" si="36"/>
        <v/>
      </c>
      <c r="M212" t="str">
        <f t="shared" si="42"/>
        <v/>
      </c>
      <c r="N212">
        <f t="shared" si="43"/>
        <v>0</v>
      </c>
      <c r="O212" t="str">
        <f t="shared" si="37"/>
        <v/>
      </c>
      <c r="P212">
        <f t="shared" si="38"/>
        <v>0</v>
      </c>
      <c r="Q212" t="str">
        <f t="shared" si="39"/>
        <v/>
      </c>
    </row>
    <row r="213" spans="8:17">
      <c r="H213">
        <f t="shared" si="40"/>
        <v>0</v>
      </c>
      <c r="J213">
        <f t="shared" si="41"/>
        <v>0</v>
      </c>
      <c r="K213" t="str">
        <f t="shared" si="35"/>
        <v/>
      </c>
      <c r="L213" t="str">
        <f t="shared" si="36"/>
        <v/>
      </c>
      <c r="M213" t="str">
        <f t="shared" si="42"/>
        <v/>
      </c>
      <c r="N213">
        <f t="shared" si="43"/>
        <v>0</v>
      </c>
      <c r="O213" t="str">
        <f t="shared" si="37"/>
        <v/>
      </c>
      <c r="P213">
        <f t="shared" si="38"/>
        <v>0</v>
      </c>
      <c r="Q213" t="str">
        <f t="shared" si="39"/>
        <v/>
      </c>
    </row>
    <row r="214" spans="8:17">
      <c r="H214">
        <f t="shared" si="40"/>
        <v>0</v>
      </c>
      <c r="J214">
        <f t="shared" si="41"/>
        <v>0</v>
      </c>
      <c r="K214" t="str">
        <f t="shared" si="35"/>
        <v/>
      </c>
      <c r="L214" t="str">
        <f t="shared" si="36"/>
        <v/>
      </c>
      <c r="M214" t="str">
        <f t="shared" si="42"/>
        <v/>
      </c>
      <c r="N214">
        <f t="shared" si="43"/>
        <v>0</v>
      </c>
      <c r="O214" t="str">
        <f t="shared" si="37"/>
        <v/>
      </c>
      <c r="P214">
        <f t="shared" si="38"/>
        <v>0</v>
      </c>
      <c r="Q214" t="str">
        <f t="shared" si="39"/>
        <v/>
      </c>
    </row>
    <row r="215" spans="8:17">
      <c r="H215">
        <f t="shared" si="40"/>
        <v>0</v>
      </c>
      <c r="J215">
        <f t="shared" si="41"/>
        <v>0</v>
      </c>
      <c r="K215" t="str">
        <f t="shared" si="35"/>
        <v/>
      </c>
      <c r="L215" t="str">
        <f t="shared" si="36"/>
        <v/>
      </c>
      <c r="M215" t="str">
        <f t="shared" si="42"/>
        <v/>
      </c>
      <c r="N215">
        <f t="shared" si="43"/>
        <v>0</v>
      </c>
      <c r="O215" t="str">
        <f t="shared" si="37"/>
        <v/>
      </c>
      <c r="P215">
        <f t="shared" si="38"/>
        <v>0</v>
      </c>
      <c r="Q215" t="str">
        <f t="shared" si="39"/>
        <v/>
      </c>
    </row>
    <row r="216" spans="8:17">
      <c r="H216">
        <f t="shared" si="40"/>
        <v>0</v>
      </c>
      <c r="J216">
        <f t="shared" si="41"/>
        <v>0</v>
      </c>
      <c r="K216" t="str">
        <f t="shared" si="35"/>
        <v/>
      </c>
      <c r="L216" t="str">
        <f t="shared" si="36"/>
        <v/>
      </c>
      <c r="M216" t="str">
        <f t="shared" si="42"/>
        <v/>
      </c>
      <c r="N216">
        <f t="shared" si="43"/>
        <v>0</v>
      </c>
      <c r="O216" t="str">
        <f t="shared" si="37"/>
        <v/>
      </c>
      <c r="P216">
        <f t="shared" si="38"/>
        <v>0</v>
      </c>
      <c r="Q216" t="str">
        <f t="shared" si="39"/>
        <v/>
      </c>
    </row>
    <row r="217" spans="8:17">
      <c r="H217">
        <f t="shared" si="40"/>
        <v>0</v>
      </c>
      <c r="J217">
        <f t="shared" si="41"/>
        <v>0</v>
      </c>
      <c r="K217" t="str">
        <f t="shared" si="35"/>
        <v/>
      </c>
      <c r="L217" t="str">
        <f t="shared" si="36"/>
        <v/>
      </c>
      <c r="M217" t="str">
        <f t="shared" si="42"/>
        <v/>
      </c>
      <c r="N217">
        <f t="shared" si="43"/>
        <v>0</v>
      </c>
      <c r="O217" t="str">
        <f t="shared" si="37"/>
        <v/>
      </c>
      <c r="P217">
        <f t="shared" si="38"/>
        <v>0</v>
      </c>
      <c r="Q217" t="str">
        <f t="shared" si="39"/>
        <v/>
      </c>
    </row>
    <row r="218" spans="8:17">
      <c r="H218">
        <f t="shared" si="40"/>
        <v>0</v>
      </c>
      <c r="J218">
        <f t="shared" si="41"/>
        <v>0</v>
      </c>
      <c r="K218" t="str">
        <f t="shared" si="35"/>
        <v/>
      </c>
      <c r="L218" t="str">
        <f t="shared" si="36"/>
        <v/>
      </c>
      <c r="M218" t="str">
        <f t="shared" si="42"/>
        <v/>
      </c>
      <c r="N218">
        <f t="shared" si="43"/>
        <v>0</v>
      </c>
      <c r="O218" t="str">
        <f t="shared" si="37"/>
        <v/>
      </c>
      <c r="P218">
        <f t="shared" si="38"/>
        <v>0</v>
      </c>
      <c r="Q218" t="str">
        <f t="shared" si="39"/>
        <v/>
      </c>
    </row>
    <row r="219" spans="8:17">
      <c r="H219">
        <f t="shared" si="40"/>
        <v>0</v>
      </c>
      <c r="J219">
        <f t="shared" si="41"/>
        <v>0</v>
      </c>
      <c r="K219" t="str">
        <f t="shared" si="35"/>
        <v/>
      </c>
      <c r="L219" t="str">
        <f t="shared" si="36"/>
        <v/>
      </c>
      <c r="M219" t="str">
        <f t="shared" si="42"/>
        <v/>
      </c>
      <c r="N219">
        <f t="shared" si="43"/>
        <v>0</v>
      </c>
      <c r="O219" t="str">
        <f t="shared" si="37"/>
        <v/>
      </c>
      <c r="P219">
        <f t="shared" si="38"/>
        <v>0</v>
      </c>
      <c r="Q219" t="str">
        <f t="shared" si="39"/>
        <v/>
      </c>
    </row>
    <row r="220" spans="8:17">
      <c r="H220">
        <f t="shared" si="40"/>
        <v>0</v>
      </c>
      <c r="J220">
        <f t="shared" si="41"/>
        <v>0</v>
      </c>
      <c r="K220" t="str">
        <f t="shared" si="35"/>
        <v/>
      </c>
      <c r="L220" t="str">
        <f t="shared" si="36"/>
        <v/>
      </c>
      <c r="M220" t="str">
        <f t="shared" si="42"/>
        <v/>
      </c>
      <c r="N220">
        <f t="shared" si="43"/>
        <v>0</v>
      </c>
      <c r="O220" t="str">
        <f t="shared" si="37"/>
        <v/>
      </c>
      <c r="P220">
        <f t="shared" si="38"/>
        <v>0</v>
      </c>
      <c r="Q220" t="str">
        <f t="shared" si="39"/>
        <v/>
      </c>
    </row>
    <row r="221" spans="8:17">
      <c r="H221">
        <f t="shared" si="40"/>
        <v>0</v>
      </c>
      <c r="J221">
        <f t="shared" si="41"/>
        <v>0</v>
      </c>
      <c r="K221" t="str">
        <f t="shared" si="35"/>
        <v/>
      </c>
      <c r="L221" t="str">
        <f t="shared" si="36"/>
        <v/>
      </c>
      <c r="M221" t="str">
        <f t="shared" si="42"/>
        <v/>
      </c>
      <c r="N221">
        <f t="shared" si="43"/>
        <v>0</v>
      </c>
      <c r="O221" t="str">
        <f t="shared" si="37"/>
        <v/>
      </c>
      <c r="P221">
        <f t="shared" si="38"/>
        <v>0</v>
      </c>
      <c r="Q221" t="str">
        <f t="shared" si="39"/>
        <v/>
      </c>
    </row>
    <row r="222" spans="8:17">
      <c r="H222">
        <f t="shared" si="40"/>
        <v>0</v>
      </c>
      <c r="J222">
        <f t="shared" si="41"/>
        <v>0</v>
      </c>
      <c r="K222" t="str">
        <f t="shared" si="35"/>
        <v/>
      </c>
      <c r="L222" t="str">
        <f t="shared" si="36"/>
        <v/>
      </c>
      <c r="M222" t="str">
        <f t="shared" si="42"/>
        <v/>
      </c>
      <c r="N222">
        <f t="shared" si="43"/>
        <v>0</v>
      </c>
      <c r="O222" t="str">
        <f t="shared" si="37"/>
        <v/>
      </c>
      <c r="P222">
        <f t="shared" si="38"/>
        <v>0</v>
      </c>
      <c r="Q222" t="str">
        <f t="shared" si="39"/>
        <v/>
      </c>
    </row>
    <row r="223" spans="8:17">
      <c r="H223">
        <f t="shared" si="40"/>
        <v>0</v>
      </c>
      <c r="J223">
        <f t="shared" si="41"/>
        <v>0</v>
      </c>
      <c r="K223" t="str">
        <f t="shared" si="35"/>
        <v/>
      </c>
      <c r="L223" t="str">
        <f t="shared" si="36"/>
        <v/>
      </c>
      <c r="M223" t="str">
        <f t="shared" si="42"/>
        <v/>
      </c>
      <c r="N223">
        <f t="shared" si="43"/>
        <v>0</v>
      </c>
      <c r="O223" t="str">
        <f t="shared" si="37"/>
        <v/>
      </c>
      <c r="P223">
        <f t="shared" si="38"/>
        <v>0</v>
      </c>
      <c r="Q223" t="str">
        <f t="shared" si="39"/>
        <v/>
      </c>
    </row>
    <row r="224" spans="8:17">
      <c r="H224">
        <f t="shared" si="40"/>
        <v>0</v>
      </c>
      <c r="J224">
        <f t="shared" si="41"/>
        <v>0</v>
      </c>
      <c r="K224" t="str">
        <f t="shared" si="35"/>
        <v/>
      </c>
      <c r="L224" t="str">
        <f t="shared" si="36"/>
        <v/>
      </c>
      <c r="M224" t="str">
        <f t="shared" si="42"/>
        <v/>
      </c>
      <c r="N224">
        <f t="shared" si="43"/>
        <v>0</v>
      </c>
      <c r="O224" t="str">
        <f t="shared" si="37"/>
        <v/>
      </c>
      <c r="P224">
        <f t="shared" si="38"/>
        <v>0</v>
      </c>
      <c r="Q224" t="str">
        <f t="shared" si="39"/>
        <v/>
      </c>
    </row>
    <row r="225" spans="8:17">
      <c r="H225">
        <f t="shared" si="40"/>
        <v>0</v>
      </c>
      <c r="J225">
        <f t="shared" si="41"/>
        <v>0</v>
      </c>
      <c r="K225" t="str">
        <f t="shared" si="35"/>
        <v/>
      </c>
      <c r="L225" t="str">
        <f t="shared" si="36"/>
        <v/>
      </c>
      <c r="M225" t="str">
        <f t="shared" si="42"/>
        <v/>
      </c>
      <c r="N225">
        <f t="shared" si="43"/>
        <v>0</v>
      </c>
      <c r="O225" t="str">
        <f t="shared" si="37"/>
        <v/>
      </c>
      <c r="P225">
        <f t="shared" si="38"/>
        <v>0</v>
      </c>
      <c r="Q225" t="str">
        <f t="shared" si="39"/>
        <v/>
      </c>
    </row>
    <row r="226" spans="8:17">
      <c r="H226">
        <f t="shared" si="40"/>
        <v>0</v>
      </c>
      <c r="J226">
        <f t="shared" si="41"/>
        <v>0</v>
      </c>
      <c r="K226" t="str">
        <f t="shared" si="35"/>
        <v/>
      </c>
      <c r="L226" t="str">
        <f t="shared" si="36"/>
        <v/>
      </c>
      <c r="M226" t="str">
        <f t="shared" si="42"/>
        <v/>
      </c>
      <c r="N226">
        <f t="shared" si="43"/>
        <v>0</v>
      </c>
      <c r="O226" t="str">
        <f t="shared" si="37"/>
        <v/>
      </c>
      <c r="P226">
        <f t="shared" si="38"/>
        <v>0</v>
      </c>
      <c r="Q226" t="str">
        <f t="shared" si="39"/>
        <v/>
      </c>
    </row>
    <row r="227" spans="8:17">
      <c r="H227">
        <f t="shared" si="40"/>
        <v>0</v>
      </c>
      <c r="J227">
        <f t="shared" si="41"/>
        <v>0</v>
      </c>
      <c r="K227" t="str">
        <f t="shared" si="35"/>
        <v/>
      </c>
      <c r="L227" t="str">
        <f t="shared" si="36"/>
        <v/>
      </c>
      <c r="M227" t="str">
        <f t="shared" si="42"/>
        <v/>
      </c>
      <c r="N227">
        <f t="shared" si="43"/>
        <v>0</v>
      </c>
      <c r="O227" t="str">
        <f t="shared" si="37"/>
        <v/>
      </c>
      <c r="P227">
        <f t="shared" si="38"/>
        <v>0</v>
      </c>
      <c r="Q227" t="str">
        <f t="shared" si="39"/>
        <v/>
      </c>
    </row>
    <row r="228" spans="8:17">
      <c r="H228">
        <f t="shared" si="40"/>
        <v>0</v>
      </c>
      <c r="J228">
        <f t="shared" si="41"/>
        <v>0</v>
      </c>
      <c r="K228" t="str">
        <f t="shared" si="35"/>
        <v/>
      </c>
      <c r="L228" t="str">
        <f t="shared" si="36"/>
        <v/>
      </c>
      <c r="M228" t="str">
        <f t="shared" si="42"/>
        <v/>
      </c>
      <c r="N228">
        <f t="shared" si="43"/>
        <v>0</v>
      </c>
      <c r="O228" t="str">
        <f t="shared" si="37"/>
        <v/>
      </c>
      <c r="P228">
        <f t="shared" si="38"/>
        <v>0</v>
      </c>
      <c r="Q228" t="str">
        <f t="shared" si="39"/>
        <v/>
      </c>
    </row>
    <row r="229" spans="8:17">
      <c r="H229">
        <f t="shared" si="40"/>
        <v>0</v>
      </c>
      <c r="J229">
        <f t="shared" si="41"/>
        <v>0</v>
      </c>
      <c r="K229" t="str">
        <f t="shared" si="35"/>
        <v/>
      </c>
      <c r="L229" t="str">
        <f t="shared" si="36"/>
        <v/>
      </c>
      <c r="M229" t="str">
        <f t="shared" si="42"/>
        <v/>
      </c>
      <c r="N229">
        <f t="shared" si="43"/>
        <v>0</v>
      </c>
      <c r="O229" t="str">
        <f t="shared" si="37"/>
        <v/>
      </c>
      <c r="P229">
        <f t="shared" si="38"/>
        <v>0</v>
      </c>
      <c r="Q229" t="str">
        <f t="shared" si="39"/>
        <v/>
      </c>
    </row>
    <row r="230" spans="8:17">
      <c r="H230">
        <f t="shared" si="40"/>
        <v>0</v>
      </c>
      <c r="J230">
        <f t="shared" si="41"/>
        <v>0</v>
      </c>
      <c r="K230" t="str">
        <f t="shared" si="35"/>
        <v/>
      </c>
      <c r="L230" t="str">
        <f t="shared" si="36"/>
        <v/>
      </c>
      <c r="M230" t="str">
        <f t="shared" si="42"/>
        <v/>
      </c>
      <c r="N230">
        <f t="shared" si="43"/>
        <v>0</v>
      </c>
      <c r="O230" t="str">
        <f t="shared" si="37"/>
        <v/>
      </c>
      <c r="P230">
        <f t="shared" si="38"/>
        <v>0</v>
      </c>
      <c r="Q230" t="str">
        <f t="shared" si="39"/>
        <v/>
      </c>
    </row>
    <row r="231" spans="8:17">
      <c r="H231">
        <f t="shared" si="40"/>
        <v>0</v>
      </c>
      <c r="J231">
        <f t="shared" si="41"/>
        <v>0</v>
      </c>
      <c r="K231" t="str">
        <f t="shared" si="35"/>
        <v/>
      </c>
      <c r="L231" t="str">
        <f t="shared" si="36"/>
        <v/>
      </c>
      <c r="M231" t="str">
        <f t="shared" si="42"/>
        <v/>
      </c>
      <c r="N231">
        <f t="shared" si="43"/>
        <v>0</v>
      </c>
      <c r="O231" t="str">
        <f t="shared" si="37"/>
        <v/>
      </c>
      <c r="P231">
        <f t="shared" si="38"/>
        <v>0</v>
      </c>
      <c r="Q231" t="str">
        <f t="shared" si="39"/>
        <v/>
      </c>
    </row>
    <row r="232" spans="8:17">
      <c r="H232">
        <f t="shared" si="40"/>
        <v>0</v>
      </c>
      <c r="J232">
        <f t="shared" si="41"/>
        <v>0</v>
      </c>
      <c r="K232" t="str">
        <f t="shared" si="35"/>
        <v/>
      </c>
      <c r="L232" t="str">
        <f t="shared" si="36"/>
        <v/>
      </c>
      <c r="M232" t="str">
        <f t="shared" si="42"/>
        <v/>
      </c>
      <c r="N232">
        <f t="shared" si="43"/>
        <v>0</v>
      </c>
      <c r="O232" t="str">
        <f t="shared" si="37"/>
        <v/>
      </c>
      <c r="P232">
        <f t="shared" si="38"/>
        <v>0</v>
      </c>
      <c r="Q232" t="str">
        <f t="shared" si="39"/>
        <v/>
      </c>
    </row>
    <row r="233" spans="8:17">
      <c r="H233">
        <f t="shared" si="40"/>
        <v>0</v>
      </c>
      <c r="J233">
        <f t="shared" si="41"/>
        <v>0</v>
      </c>
      <c r="K233" t="str">
        <f t="shared" si="35"/>
        <v/>
      </c>
      <c r="L233" t="str">
        <f t="shared" si="36"/>
        <v/>
      </c>
      <c r="M233" t="str">
        <f t="shared" si="42"/>
        <v/>
      </c>
      <c r="N233">
        <f t="shared" si="43"/>
        <v>0</v>
      </c>
      <c r="O233" t="str">
        <f t="shared" si="37"/>
        <v/>
      </c>
      <c r="P233">
        <f t="shared" si="38"/>
        <v>0</v>
      </c>
      <c r="Q233" t="str">
        <f t="shared" si="39"/>
        <v/>
      </c>
    </row>
    <row r="234" spans="8:17">
      <c r="H234">
        <f t="shared" si="40"/>
        <v>0</v>
      </c>
      <c r="J234">
        <f t="shared" si="41"/>
        <v>0</v>
      </c>
      <c r="K234" t="str">
        <f t="shared" si="35"/>
        <v/>
      </c>
      <c r="L234" t="str">
        <f t="shared" si="36"/>
        <v/>
      </c>
      <c r="M234" t="str">
        <f t="shared" si="42"/>
        <v/>
      </c>
      <c r="N234">
        <f t="shared" si="43"/>
        <v>0</v>
      </c>
      <c r="O234" t="str">
        <f t="shared" si="37"/>
        <v/>
      </c>
      <c r="P234">
        <f t="shared" si="38"/>
        <v>0</v>
      </c>
      <c r="Q234" t="str">
        <f t="shared" si="39"/>
        <v/>
      </c>
    </row>
    <row r="235" spans="8:17">
      <c r="H235">
        <f t="shared" si="40"/>
        <v>0</v>
      </c>
      <c r="J235">
        <f t="shared" si="41"/>
        <v>0</v>
      </c>
      <c r="K235" t="str">
        <f t="shared" si="35"/>
        <v/>
      </c>
      <c r="L235" t="str">
        <f t="shared" si="36"/>
        <v/>
      </c>
      <c r="M235" t="str">
        <f t="shared" si="42"/>
        <v/>
      </c>
      <c r="N235">
        <f t="shared" si="43"/>
        <v>0</v>
      </c>
      <c r="O235" t="str">
        <f t="shared" si="37"/>
        <v/>
      </c>
      <c r="P235">
        <f t="shared" si="38"/>
        <v>0</v>
      </c>
      <c r="Q235" t="str">
        <f t="shared" si="39"/>
        <v/>
      </c>
    </row>
    <row r="236" spans="8:17">
      <c r="H236">
        <f t="shared" si="40"/>
        <v>0</v>
      </c>
      <c r="J236">
        <f t="shared" si="41"/>
        <v>0</v>
      </c>
      <c r="K236" t="str">
        <f t="shared" si="35"/>
        <v/>
      </c>
      <c r="L236" t="str">
        <f t="shared" si="36"/>
        <v/>
      </c>
      <c r="M236" t="str">
        <f t="shared" si="42"/>
        <v/>
      </c>
      <c r="N236">
        <f t="shared" si="43"/>
        <v>0</v>
      </c>
      <c r="O236" t="str">
        <f t="shared" si="37"/>
        <v/>
      </c>
      <c r="P236">
        <f t="shared" si="38"/>
        <v>0</v>
      </c>
      <c r="Q236" t="str">
        <f t="shared" si="39"/>
        <v/>
      </c>
    </row>
    <row r="237" spans="8:17">
      <c r="H237">
        <f t="shared" si="40"/>
        <v>0</v>
      </c>
      <c r="J237">
        <f t="shared" si="41"/>
        <v>0</v>
      </c>
      <c r="K237" t="str">
        <f t="shared" si="35"/>
        <v/>
      </c>
      <c r="L237" t="str">
        <f t="shared" si="36"/>
        <v/>
      </c>
      <c r="M237" t="str">
        <f t="shared" si="42"/>
        <v/>
      </c>
      <c r="N237">
        <f t="shared" si="43"/>
        <v>0</v>
      </c>
      <c r="O237" t="str">
        <f t="shared" si="37"/>
        <v/>
      </c>
      <c r="P237">
        <f t="shared" si="38"/>
        <v>0</v>
      </c>
      <c r="Q237" t="str">
        <f t="shared" si="39"/>
        <v/>
      </c>
    </row>
    <row r="238" spans="8:17">
      <c r="H238">
        <f t="shared" si="40"/>
        <v>0</v>
      </c>
      <c r="J238">
        <f t="shared" si="41"/>
        <v>0</v>
      </c>
      <c r="K238" t="str">
        <f t="shared" si="35"/>
        <v/>
      </c>
      <c r="L238" t="str">
        <f t="shared" si="36"/>
        <v/>
      </c>
      <c r="M238" t="str">
        <f t="shared" si="42"/>
        <v/>
      </c>
      <c r="N238">
        <f t="shared" si="43"/>
        <v>0</v>
      </c>
      <c r="O238" t="str">
        <f t="shared" si="37"/>
        <v/>
      </c>
      <c r="P238">
        <f t="shared" si="38"/>
        <v>0</v>
      </c>
      <c r="Q238" t="str">
        <f t="shared" si="39"/>
        <v/>
      </c>
    </row>
    <row r="239" spans="8:17">
      <c r="H239">
        <f t="shared" si="40"/>
        <v>0</v>
      </c>
      <c r="J239">
        <f t="shared" si="41"/>
        <v>0</v>
      </c>
      <c r="K239" t="str">
        <f t="shared" si="35"/>
        <v/>
      </c>
      <c r="L239" t="str">
        <f t="shared" si="36"/>
        <v/>
      </c>
      <c r="M239" t="str">
        <f t="shared" si="42"/>
        <v/>
      </c>
      <c r="N239">
        <f t="shared" si="43"/>
        <v>0</v>
      </c>
      <c r="O239" t="str">
        <f t="shared" si="37"/>
        <v/>
      </c>
      <c r="P239">
        <f t="shared" si="38"/>
        <v>0</v>
      </c>
      <c r="Q239" t="str">
        <f t="shared" si="39"/>
        <v/>
      </c>
    </row>
    <row r="240" spans="8:17">
      <c r="H240">
        <f t="shared" si="40"/>
        <v>0</v>
      </c>
      <c r="J240">
        <f t="shared" si="41"/>
        <v>0</v>
      </c>
      <c r="K240" t="str">
        <f t="shared" si="35"/>
        <v/>
      </c>
      <c r="L240" t="str">
        <f t="shared" si="36"/>
        <v/>
      </c>
      <c r="M240" t="str">
        <f t="shared" si="42"/>
        <v/>
      </c>
      <c r="N240">
        <f t="shared" si="43"/>
        <v>0</v>
      </c>
      <c r="O240" t="str">
        <f t="shared" si="37"/>
        <v/>
      </c>
      <c r="P240">
        <f t="shared" si="38"/>
        <v>0</v>
      </c>
      <c r="Q240" t="str">
        <f t="shared" si="39"/>
        <v/>
      </c>
    </row>
    <row r="241" spans="8:17">
      <c r="H241">
        <f t="shared" si="40"/>
        <v>0</v>
      </c>
      <c r="J241">
        <f t="shared" si="41"/>
        <v>0</v>
      </c>
      <c r="K241" t="str">
        <f t="shared" si="35"/>
        <v/>
      </c>
      <c r="L241" t="str">
        <f t="shared" si="36"/>
        <v/>
      </c>
      <c r="M241" t="str">
        <f t="shared" si="42"/>
        <v/>
      </c>
      <c r="N241">
        <f t="shared" si="43"/>
        <v>0</v>
      </c>
      <c r="O241" t="str">
        <f t="shared" si="37"/>
        <v/>
      </c>
      <c r="P241">
        <f t="shared" si="38"/>
        <v>0</v>
      </c>
      <c r="Q241" t="str">
        <f t="shared" si="39"/>
        <v/>
      </c>
    </row>
    <row r="242" spans="8:17">
      <c r="H242">
        <f t="shared" si="40"/>
        <v>0</v>
      </c>
      <c r="J242">
        <f t="shared" si="41"/>
        <v>0</v>
      </c>
      <c r="K242" t="str">
        <f t="shared" si="35"/>
        <v/>
      </c>
      <c r="L242" t="str">
        <f t="shared" si="36"/>
        <v/>
      </c>
      <c r="M242" t="str">
        <f t="shared" si="42"/>
        <v/>
      </c>
      <c r="N242">
        <f t="shared" si="43"/>
        <v>0</v>
      </c>
      <c r="O242" t="str">
        <f t="shared" si="37"/>
        <v/>
      </c>
      <c r="P242">
        <f t="shared" si="38"/>
        <v>0</v>
      </c>
      <c r="Q242" t="str">
        <f t="shared" si="39"/>
        <v/>
      </c>
    </row>
    <row r="243" spans="8:17">
      <c r="H243">
        <f t="shared" si="40"/>
        <v>0</v>
      </c>
      <c r="J243">
        <f t="shared" si="41"/>
        <v>0</v>
      </c>
      <c r="K243" t="str">
        <f t="shared" si="35"/>
        <v/>
      </c>
      <c r="L243" t="str">
        <f t="shared" si="36"/>
        <v/>
      </c>
      <c r="M243" t="str">
        <f t="shared" si="42"/>
        <v/>
      </c>
      <c r="N243">
        <f t="shared" si="43"/>
        <v>0</v>
      </c>
      <c r="O243" t="str">
        <f t="shared" si="37"/>
        <v/>
      </c>
      <c r="P243">
        <f t="shared" si="38"/>
        <v>0</v>
      </c>
      <c r="Q243" t="str">
        <f t="shared" si="39"/>
        <v/>
      </c>
    </row>
    <row r="244" spans="8:17">
      <c r="H244">
        <f t="shared" si="40"/>
        <v>0</v>
      </c>
      <c r="J244">
        <f t="shared" si="41"/>
        <v>0</v>
      </c>
      <c r="K244" t="str">
        <f t="shared" si="35"/>
        <v/>
      </c>
      <c r="L244" t="str">
        <f t="shared" si="36"/>
        <v/>
      </c>
      <c r="M244" t="str">
        <f t="shared" si="42"/>
        <v/>
      </c>
      <c r="N244">
        <f t="shared" si="43"/>
        <v>0</v>
      </c>
      <c r="O244" t="str">
        <f t="shared" si="37"/>
        <v/>
      </c>
      <c r="P244">
        <f t="shared" si="38"/>
        <v>0</v>
      </c>
      <c r="Q244" t="str">
        <f t="shared" si="39"/>
        <v/>
      </c>
    </row>
    <row r="245" spans="8:17">
      <c r="H245">
        <f t="shared" si="40"/>
        <v>0</v>
      </c>
      <c r="J245">
        <f t="shared" si="41"/>
        <v>0</v>
      </c>
      <c r="K245" t="str">
        <f t="shared" si="35"/>
        <v/>
      </c>
      <c r="L245" t="str">
        <f t="shared" si="36"/>
        <v/>
      </c>
      <c r="M245" t="str">
        <f t="shared" si="42"/>
        <v/>
      </c>
      <c r="N245">
        <f t="shared" si="43"/>
        <v>0</v>
      </c>
      <c r="O245" t="str">
        <f t="shared" si="37"/>
        <v/>
      </c>
      <c r="P245">
        <f t="shared" si="38"/>
        <v>0</v>
      </c>
      <c r="Q245" t="str">
        <f t="shared" si="39"/>
        <v/>
      </c>
    </row>
    <row r="246" spans="8:17">
      <c r="H246">
        <f t="shared" si="40"/>
        <v>0</v>
      </c>
      <c r="J246">
        <f t="shared" si="41"/>
        <v>0</v>
      </c>
      <c r="K246" t="str">
        <f t="shared" si="35"/>
        <v/>
      </c>
      <c r="L246" t="str">
        <f t="shared" si="36"/>
        <v/>
      </c>
      <c r="M246" t="str">
        <f t="shared" si="42"/>
        <v/>
      </c>
      <c r="N246">
        <f t="shared" si="43"/>
        <v>0</v>
      </c>
      <c r="O246" t="str">
        <f t="shared" si="37"/>
        <v/>
      </c>
      <c r="P246">
        <f t="shared" si="38"/>
        <v>0</v>
      </c>
      <c r="Q246" t="str">
        <f t="shared" si="39"/>
        <v/>
      </c>
    </row>
    <row r="247" spans="8:17">
      <c r="H247">
        <f t="shared" si="40"/>
        <v>0</v>
      </c>
      <c r="J247">
        <f t="shared" si="41"/>
        <v>0</v>
      </c>
      <c r="K247" t="str">
        <f t="shared" si="35"/>
        <v/>
      </c>
      <c r="L247" t="str">
        <f t="shared" si="36"/>
        <v/>
      </c>
      <c r="M247" t="str">
        <f t="shared" si="42"/>
        <v/>
      </c>
      <c r="N247">
        <f t="shared" si="43"/>
        <v>0</v>
      </c>
      <c r="O247" t="str">
        <f t="shared" si="37"/>
        <v/>
      </c>
      <c r="P247">
        <f t="shared" si="38"/>
        <v>0</v>
      </c>
      <c r="Q247" t="str">
        <f t="shared" si="39"/>
        <v/>
      </c>
    </row>
    <row r="248" spans="8:17">
      <c r="H248">
        <f t="shared" si="40"/>
        <v>0</v>
      </c>
      <c r="J248">
        <f t="shared" si="41"/>
        <v>0</v>
      </c>
      <c r="K248" t="str">
        <f t="shared" si="35"/>
        <v/>
      </c>
      <c r="L248" t="str">
        <f t="shared" si="36"/>
        <v/>
      </c>
      <c r="M248" t="str">
        <f t="shared" si="42"/>
        <v/>
      </c>
      <c r="N248">
        <f t="shared" si="43"/>
        <v>0</v>
      </c>
      <c r="O248" t="str">
        <f t="shared" si="37"/>
        <v/>
      </c>
      <c r="P248">
        <f t="shared" si="38"/>
        <v>0</v>
      </c>
      <c r="Q248" t="str">
        <f t="shared" si="39"/>
        <v/>
      </c>
    </row>
    <row r="249" spans="8:17">
      <c r="H249">
        <f t="shared" si="40"/>
        <v>0</v>
      </c>
      <c r="J249">
        <f t="shared" si="41"/>
        <v>0</v>
      </c>
      <c r="K249" t="str">
        <f t="shared" si="35"/>
        <v/>
      </c>
      <c r="L249" t="str">
        <f t="shared" si="36"/>
        <v/>
      </c>
      <c r="M249" t="str">
        <f t="shared" si="42"/>
        <v/>
      </c>
      <c r="N249">
        <f t="shared" si="43"/>
        <v>0</v>
      </c>
      <c r="O249" t="str">
        <f t="shared" si="37"/>
        <v/>
      </c>
      <c r="P249">
        <f t="shared" si="38"/>
        <v>0</v>
      </c>
      <c r="Q249" t="str">
        <f t="shared" si="39"/>
        <v/>
      </c>
    </row>
    <row r="250" spans="8:17">
      <c r="H250">
        <f t="shared" si="40"/>
        <v>0</v>
      </c>
      <c r="J250">
        <f t="shared" si="41"/>
        <v>0</v>
      </c>
      <c r="K250" t="str">
        <f t="shared" si="35"/>
        <v/>
      </c>
      <c r="L250" t="str">
        <f t="shared" si="36"/>
        <v/>
      </c>
      <c r="M250" t="str">
        <f t="shared" si="42"/>
        <v/>
      </c>
      <c r="N250">
        <f t="shared" si="43"/>
        <v>0</v>
      </c>
      <c r="O250" t="str">
        <f t="shared" si="37"/>
        <v/>
      </c>
      <c r="P250">
        <f t="shared" si="38"/>
        <v>0</v>
      </c>
      <c r="Q250" t="str">
        <f t="shared" si="39"/>
        <v/>
      </c>
    </row>
    <row r="251" spans="8:17">
      <c r="H251">
        <f t="shared" si="40"/>
        <v>0</v>
      </c>
      <c r="J251">
        <f t="shared" si="41"/>
        <v>0</v>
      </c>
      <c r="K251" t="str">
        <f t="shared" si="35"/>
        <v/>
      </c>
      <c r="L251" t="str">
        <f t="shared" si="36"/>
        <v/>
      </c>
      <c r="M251" t="str">
        <f t="shared" si="42"/>
        <v/>
      </c>
      <c r="N251">
        <f t="shared" si="43"/>
        <v>0</v>
      </c>
      <c r="O251" t="str">
        <f t="shared" si="37"/>
        <v/>
      </c>
      <c r="P251">
        <f t="shared" si="38"/>
        <v>0</v>
      </c>
      <c r="Q251" t="str">
        <f t="shared" si="39"/>
        <v/>
      </c>
    </row>
    <row r="252" spans="8:17">
      <c r="H252">
        <f t="shared" si="40"/>
        <v>0</v>
      </c>
      <c r="J252">
        <f t="shared" si="41"/>
        <v>0</v>
      </c>
      <c r="K252" t="str">
        <f t="shared" si="35"/>
        <v/>
      </c>
      <c r="L252" t="str">
        <f t="shared" si="36"/>
        <v/>
      </c>
      <c r="M252" t="str">
        <f t="shared" si="42"/>
        <v/>
      </c>
      <c r="N252">
        <f t="shared" si="43"/>
        <v>0</v>
      </c>
      <c r="O252" t="str">
        <f t="shared" si="37"/>
        <v/>
      </c>
      <c r="P252">
        <f t="shared" si="38"/>
        <v>0</v>
      </c>
      <c r="Q252" t="str">
        <f t="shared" si="39"/>
        <v/>
      </c>
    </row>
    <row r="253" spans="8:17">
      <c r="H253">
        <f t="shared" si="40"/>
        <v>0</v>
      </c>
      <c r="J253">
        <f t="shared" si="41"/>
        <v>0</v>
      </c>
      <c r="K253" t="str">
        <f t="shared" si="35"/>
        <v/>
      </c>
      <c r="L253" t="str">
        <f t="shared" si="36"/>
        <v/>
      </c>
      <c r="M253" t="str">
        <f t="shared" si="42"/>
        <v/>
      </c>
      <c r="N253">
        <f t="shared" si="43"/>
        <v>0</v>
      </c>
      <c r="O253" t="str">
        <f t="shared" si="37"/>
        <v/>
      </c>
      <c r="P253">
        <f t="shared" si="38"/>
        <v>0</v>
      </c>
      <c r="Q253" t="str">
        <f t="shared" si="39"/>
        <v/>
      </c>
    </row>
    <row r="254" spans="8:17">
      <c r="H254">
        <f t="shared" si="40"/>
        <v>0</v>
      </c>
      <c r="J254">
        <f t="shared" si="41"/>
        <v>0</v>
      </c>
      <c r="K254" t="str">
        <f t="shared" si="35"/>
        <v/>
      </c>
      <c r="L254" t="str">
        <f t="shared" si="36"/>
        <v/>
      </c>
      <c r="M254" t="str">
        <f t="shared" si="42"/>
        <v/>
      </c>
      <c r="N254">
        <f t="shared" si="43"/>
        <v>0</v>
      </c>
      <c r="O254" t="str">
        <f t="shared" si="37"/>
        <v/>
      </c>
      <c r="P254">
        <f t="shared" si="38"/>
        <v>0</v>
      </c>
      <c r="Q254" t="str">
        <f t="shared" si="39"/>
        <v/>
      </c>
    </row>
    <row r="255" spans="8:17">
      <c r="H255">
        <f t="shared" si="40"/>
        <v>0</v>
      </c>
      <c r="J255">
        <f t="shared" si="41"/>
        <v>0</v>
      </c>
      <c r="K255" t="str">
        <f t="shared" si="35"/>
        <v/>
      </c>
      <c r="L255" t="str">
        <f t="shared" si="36"/>
        <v/>
      </c>
      <c r="M255" t="str">
        <f t="shared" si="42"/>
        <v/>
      </c>
      <c r="N255">
        <f t="shared" si="43"/>
        <v>0</v>
      </c>
      <c r="O255" t="str">
        <f t="shared" si="37"/>
        <v/>
      </c>
      <c r="P255">
        <f t="shared" si="38"/>
        <v>0</v>
      </c>
      <c r="Q255" t="str">
        <f t="shared" si="39"/>
        <v/>
      </c>
    </row>
    <row r="256" spans="8:17">
      <c r="H256">
        <f t="shared" si="40"/>
        <v>0</v>
      </c>
      <c r="J256">
        <f t="shared" si="41"/>
        <v>0</v>
      </c>
      <c r="K256" t="str">
        <f t="shared" si="35"/>
        <v/>
      </c>
      <c r="L256" t="str">
        <f t="shared" si="36"/>
        <v/>
      </c>
      <c r="M256" t="str">
        <f t="shared" si="42"/>
        <v/>
      </c>
      <c r="N256">
        <f t="shared" si="43"/>
        <v>0</v>
      </c>
      <c r="O256" t="str">
        <f t="shared" si="37"/>
        <v/>
      </c>
      <c r="P256">
        <f t="shared" si="38"/>
        <v>0</v>
      </c>
      <c r="Q256" t="str">
        <f t="shared" si="39"/>
        <v/>
      </c>
    </row>
    <row r="257" spans="8:17">
      <c r="H257">
        <f t="shared" si="40"/>
        <v>0</v>
      </c>
      <c r="J257">
        <f t="shared" si="41"/>
        <v>0</v>
      </c>
      <c r="K257" t="str">
        <f t="shared" si="35"/>
        <v/>
      </c>
      <c r="L257" t="str">
        <f t="shared" si="36"/>
        <v/>
      </c>
      <c r="M257" t="str">
        <f t="shared" si="42"/>
        <v/>
      </c>
      <c r="N257">
        <f t="shared" si="43"/>
        <v>0</v>
      </c>
      <c r="O257" t="str">
        <f t="shared" si="37"/>
        <v/>
      </c>
      <c r="P257">
        <f t="shared" si="38"/>
        <v>0</v>
      </c>
      <c r="Q257" t="str">
        <f t="shared" si="39"/>
        <v/>
      </c>
    </row>
    <row r="258" spans="8:17">
      <c r="H258">
        <f t="shared" si="40"/>
        <v>0</v>
      </c>
      <c r="J258">
        <f t="shared" si="41"/>
        <v>0</v>
      </c>
      <c r="K258" t="str">
        <f t="shared" ref="K258:K321" si="44">IF($C258="","",IF(LEN($C258)=1,CODE(UPPER($C258))-64,IFERROR(VALUE(MID($C258,2,99)),"")))</f>
        <v/>
      </c>
      <c r="L258" t="str">
        <f t="shared" ref="L258:L321" si="45">IF($D258="","",IFERROR(VALUE($D258),""))</f>
        <v/>
      </c>
      <c r="M258" t="str">
        <f t="shared" si="42"/>
        <v/>
      </c>
      <c r="N258">
        <f t="shared" si="43"/>
        <v>0</v>
      </c>
      <c r="O258" t="str">
        <f t="shared" ref="O258:O321" si="46">IF(AND($C258&lt;&gt;"",ISNUMBER(--$D258)),LEFT($C258,1),"")</f>
        <v/>
      </c>
      <c r="P258">
        <f t="shared" ref="P258:P321" si="47">IF(ISNUMBER(--$D258),--$D258,"")</f>
        <v>0</v>
      </c>
      <c r="Q258" t="str">
        <f t="shared" ref="Q258:Q321" si="48">IF(AND($O258&lt;&gt;"",$P258&lt;&gt;""),$O258&amp;TEXT($P258,"00"),"")</f>
        <v/>
      </c>
    </row>
    <row r="259" spans="8:17">
      <c r="H259">
        <f t="shared" si="40"/>
        <v>0</v>
      </c>
      <c r="J259">
        <f t="shared" si="41"/>
        <v>0</v>
      </c>
      <c r="K259" t="str">
        <f t="shared" si="44"/>
        <v/>
      </c>
      <c r="L259" t="str">
        <f t="shared" si="45"/>
        <v/>
      </c>
      <c r="M259" t="str">
        <f t="shared" si="42"/>
        <v/>
      </c>
      <c r="N259">
        <f t="shared" si="43"/>
        <v>0</v>
      </c>
      <c r="O259" t="str">
        <f t="shared" si="46"/>
        <v/>
      </c>
      <c r="P259">
        <f t="shared" si="47"/>
        <v>0</v>
      </c>
      <c r="Q259" t="str">
        <f t="shared" si="48"/>
        <v/>
      </c>
    </row>
    <row r="260" spans="8:17">
      <c r="H260">
        <f t="shared" si="40"/>
        <v>0</v>
      </c>
      <c r="J260">
        <f t="shared" si="41"/>
        <v>0</v>
      </c>
      <c r="K260" t="str">
        <f t="shared" si="44"/>
        <v/>
      </c>
      <c r="L260" t="str">
        <f t="shared" si="45"/>
        <v/>
      </c>
      <c r="M260" t="str">
        <f t="shared" si="42"/>
        <v/>
      </c>
      <c r="N260">
        <f t="shared" si="43"/>
        <v>0</v>
      </c>
      <c r="O260" t="str">
        <f t="shared" si="46"/>
        <v/>
      </c>
      <c r="P260">
        <f t="shared" si="47"/>
        <v>0</v>
      </c>
      <c r="Q260" t="str">
        <f t="shared" si="48"/>
        <v/>
      </c>
    </row>
    <row r="261" spans="8:17">
      <c r="H261">
        <f t="shared" si="40"/>
        <v>0</v>
      </c>
      <c r="J261">
        <f t="shared" si="41"/>
        <v>0</v>
      </c>
      <c r="K261" t="str">
        <f t="shared" si="44"/>
        <v/>
      </c>
      <c r="L261" t="str">
        <f t="shared" si="45"/>
        <v/>
      </c>
      <c r="M261" t="str">
        <f t="shared" si="42"/>
        <v/>
      </c>
      <c r="N261">
        <f t="shared" si="43"/>
        <v>0</v>
      </c>
      <c r="O261" t="str">
        <f t="shared" si="46"/>
        <v/>
      </c>
      <c r="P261">
        <f t="shared" si="47"/>
        <v>0</v>
      </c>
      <c r="Q261" t="str">
        <f t="shared" si="48"/>
        <v/>
      </c>
    </row>
    <row r="262" spans="8:17">
      <c r="H262">
        <f t="shared" ref="H262:H325" si="49">A262</f>
        <v>0</v>
      </c>
      <c r="J262">
        <f t="shared" ref="J262:J325" si="50">IF($I262&lt;&gt;"",$I262,$A262)</f>
        <v>0</v>
      </c>
      <c r="K262" t="str">
        <f t="shared" si="44"/>
        <v/>
      </c>
      <c r="L262" t="str">
        <f t="shared" si="45"/>
        <v/>
      </c>
      <c r="M262" t="str">
        <f t="shared" ref="M262:M325" si="51">IFERROR(VALUE(MID($A262,FIND("Level",$A262)+5,99)),IF($E262="AISLE_FLOOR",0,IF($E262="OVERFLOW",0,IF($E262="ENDCAP",0,""))))</f>
        <v/>
      </c>
      <c r="N262">
        <f t="shared" ref="N262:N325" si="52">IF(AND($B262&lt;&gt;"",$C262&lt;&gt;"",ISNUMBER(--$D262)), $B262&amp;": "&amp;LEFT($C262,1)&amp;TEXT(--$D262,"00"), IF($I262&lt;&gt;"",$I262,$A262))</f>
        <v>0</v>
      </c>
      <c r="O262" t="str">
        <f t="shared" si="46"/>
        <v/>
      </c>
      <c r="P262">
        <f t="shared" si="47"/>
        <v>0</v>
      </c>
      <c r="Q262" t="str">
        <f t="shared" si="48"/>
        <v/>
      </c>
    </row>
    <row r="263" spans="8:17">
      <c r="H263">
        <f t="shared" si="49"/>
        <v>0</v>
      </c>
      <c r="J263">
        <f t="shared" si="50"/>
        <v>0</v>
      </c>
      <c r="K263" t="str">
        <f t="shared" si="44"/>
        <v/>
      </c>
      <c r="L263" t="str">
        <f t="shared" si="45"/>
        <v/>
      </c>
      <c r="M263" t="str">
        <f t="shared" si="51"/>
        <v/>
      </c>
      <c r="N263">
        <f t="shared" si="52"/>
        <v>0</v>
      </c>
      <c r="O263" t="str">
        <f t="shared" si="46"/>
        <v/>
      </c>
      <c r="P263">
        <f t="shared" si="47"/>
        <v>0</v>
      </c>
      <c r="Q263" t="str">
        <f t="shared" si="48"/>
        <v/>
      </c>
    </row>
    <row r="264" spans="8:17">
      <c r="H264">
        <f t="shared" si="49"/>
        <v>0</v>
      </c>
      <c r="J264">
        <f t="shared" si="50"/>
        <v>0</v>
      </c>
      <c r="K264" t="str">
        <f t="shared" si="44"/>
        <v/>
      </c>
      <c r="L264" t="str">
        <f t="shared" si="45"/>
        <v/>
      </c>
      <c r="M264" t="str">
        <f t="shared" si="51"/>
        <v/>
      </c>
      <c r="N264">
        <f t="shared" si="52"/>
        <v>0</v>
      </c>
      <c r="O264" t="str">
        <f t="shared" si="46"/>
        <v/>
      </c>
      <c r="P264">
        <f t="shared" si="47"/>
        <v>0</v>
      </c>
      <c r="Q264" t="str">
        <f t="shared" si="48"/>
        <v/>
      </c>
    </row>
    <row r="265" spans="8:17">
      <c r="H265">
        <f t="shared" si="49"/>
        <v>0</v>
      </c>
      <c r="J265">
        <f t="shared" si="50"/>
        <v>0</v>
      </c>
      <c r="K265" t="str">
        <f t="shared" si="44"/>
        <v/>
      </c>
      <c r="L265" t="str">
        <f t="shared" si="45"/>
        <v/>
      </c>
      <c r="M265" t="str">
        <f t="shared" si="51"/>
        <v/>
      </c>
      <c r="N265">
        <f t="shared" si="52"/>
        <v>0</v>
      </c>
      <c r="O265" t="str">
        <f t="shared" si="46"/>
        <v/>
      </c>
      <c r="P265">
        <f t="shared" si="47"/>
        <v>0</v>
      </c>
      <c r="Q265" t="str">
        <f t="shared" si="48"/>
        <v/>
      </c>
    </row>
    <row r="266" spans="8:17">
      <c r="H266">
        <f t="shared" si="49"/>
        <v>0</v>
      </c>
      <c r="J266">
        <f t="shared" si="50"/>
        <v>0</v>
      </c>
      <c r="K266" t="str">
        <f t="shared" si="44"/>
        <v/>
      </c>
      <c r="L266" t="str">
        <f t="shared" si="45"/>
        <v/>
      </c>
      <c r="M266" t="str">
        <f t="shared" si="51"/>
        <v/>
      </c>
      <c r="N266">
        <f t="shared" si="52"/>
        <v>0</v>
      </c>
      <c r="O266" t="str">
        <f t="shared" si="46"/>
        <v/>
      </c>
      <c r="P266">
        <f t="shared" si="47"/>
        <v>0</v>
      </c>
      <c r="Q266" t="str">
        <f t="shared" si="48"/>
        <v/>
      </c>
    </row>
    <row r="267" spans="8:17">
      <c r="H267">
        <f t="shared" si="49"/>
        <v>0</v>
      </c>
      <c r="J267">
        <f t="shared" si="50"/>
        <v>0</v>
      </c>
      <c r="K267" t="str">
        <f t="shared" si="44"/>
        <v/>
      </c>
      <c r="L267" t="str">
        <f t="shared" si="45"/>
        <v/>
      </c>
      <c r="M267" t="str">
        <f t="shared" si="51"/>
        <v/>
      </c>
      <c r="N267">
        <f t="shared" si="52"/>
        <v>0</v>
      </c>
      <c r="O267" t="str">
        <f t="shared" si="46"/>
        <v/>
      </c>
      <c r="P267">
        <f t="shared" si="47"/>
        <v>0</v>
      </c>
      <c r="Q267" t="str">
        <f t="shared" si="48"/>
        <v/>
      </c>
    </row>
    <row r="268" spans="8:17">
      <c r="H268">
        <f t="shared" si="49"/>
        <v>0</v>
      </c>
      <c r="J268">
        <f t="shared" si="50"/>
        <v>0</v>
      </c>
      <c r="K268" t="str">
        <f t="shared" si="44"/>
        <v/>
      </c>
      <c r="L268" t="str">
        <f t="shared" si="45"/>
        <v/>
      </c>
      <c r="M268" t="str">
        <f t="shared" si="51"/>
        <v/>
      </c>
      <c r="N268">
        <f t="shared" si="52"/>
        <v>0</v>
      </c>
      <c r="O268" t="str">
        <f t="shared" si="46"/>
        <v/>
      </c>
      <c r="P268">
        <f t="shared" si="47"/>
        <v>0</v>
      </c>
      <c r="Q268" t="str">
        <f t="shared" si="48"/>
        <v/>
      </c>
    </row>
    <row r="269" spans="8:17">
      <c r="H269">
        <f t="shared" si="49"/>
        <v>0</v>
      </c>
      <c r="J269">
        <f t="shared" si="50"/>
        <v>0</v>
      </c>
      <c r="K269" t="str">
        <f t="shared" si="44"/>
        <v/>
      </c>
      <c r="L269" t="str">
        <f t="shared" si="45"/>
        <v/>
      </c>
      <c r="M269" t="str">
        <f t="shared" si="51"/>
        <v/>
      </c>
      <c r="N269">
        <f t="shared" si="52"/>
        <v>0</v>
      </c>
      <c r="O269" t="str">
        <f t="shared" si="46"/>
        <v/>
      </c>
      <c r="P269">
        <f t="shared" si="47"/>
        <v>0</v>
      </c>
      <c r="Q269" t="str">
        <f t="shared" si="48"/>
        <v/>
      </c>
    </row>
    <row r="270" spans="8:17">
      <c r="H270">
        <f t="shared" si="49"/>
        <v>0</v>
      </c>
      <c r="J270">
        <f t="shared" si="50"/>
        <v>0</v>
      </c>
      <c r="K270" t="str">
        <f t="shared" si="44"/>
        <v/>
      </c>
      <c r="L270" t="str">
        <f t="shared" si="45"/>
        <v/>
      </c>
      <c r="M270" t="str">
        <f t="shared" si="51"/>
        <v/>
      </c>
      <c r="N270">
        <f t="shared" si="52"/>
        <v>0</v>
      </c>
      <c r="O270" t="str">
        <f t="shared" si="46"/>
        <v/>
      </c>
      <c r="P270">
        <f t="shared" si="47"/>
        <v>0</v>
      </c>
      <c r="Q270" t="str">
        <f t="shared" si="48"/>
        <v/>
      </c>
    </row>
    <row r="271" spans="8:17">
      <c r="H271">
        <f t="shared" si="49"/>
        <v>0</v>
      </c>
      <c r="J271">
        <f t="shared" si="50"/>
        <v>0</v>
      </c>
      <c r="K271" t="str">
        <f t="shared" si="44"/>
        <v/>
      </c>
      <c r="L271" t="str">
        <f t="shared" si="45"/>
        <v/>
      </c>
      <c r="M271" t="str">
        <f t="shared" si="51"/>
        <v/>
      </c>
      <c r="N271">
        <f t="shared" si="52"/>
        <v>0</v>
      </c>
      <c r="O271" t="str">
        <f t="shared" si="46"/>
        <v/>
      </c>
      <c r="P271">
        <f t="shared" si="47"/>
        <v>0</v>
      </c>
      <c r="Q271" t="str">
        <f t="shared" si="48"/>
        <v/>
      </c>
    </row>
    <row r="272" spans="8:17">
      <c r="H272">
        <f t="shared" si="49"/>
        <v>0</v>
      </c>
      <c r="J272">
        <f t="shared" si="50"/>
        <v>0</v>
      </c>
      <c r="K272" t="str">
        <f t="shared" si="44"/>
        <v/>
      </c>
      <c r="L272" t="str">
        <f t="shared" si="45"/>
        <v/>
      </c>
      <c r="M272" t="str">
        <f t="shared" si="51"/>
        <v/>
      </c>
      <c r="N272">
        <f t="shared" si="52"/>
        <v>0</v>
      </c>
      <c r="O272" t="str">
        <f t="shared" si="46"/>
        <v/>
      </c>
      <c r="P272">
        <f t="shared" si="47"/>
        <v>0</v>
      </c>
      <c r="Q272" t="str">
        <f t="shared" si="48"/>
        <v/>
      </c>
    </row>
    <row r="273" spans="8:17">
      <c r="H273">
        <f t="shared" si="49"/>
        <v>0</v>
      </c>
      <c r="J273">
        <f t="shared" si="50"/>
        <v>0</v>
      </c>
      <c r="K273" t="str">
        <f t="shared" si="44"/>
        <v/>
      </c>
      <c r="L273" t="str">
        <f t="shared" si="45"/>
        <v/>
      </c>
      <c r="M273" t="str">
        <f t="shared" si="51"/>
        <v/>
      </c>
      <c r="N273">
        <f t="shared" si="52"/>
        <v>0</v>
      </c>
      <c r="O273" t="str">
        <f t="shared" si="46"/>
        <v/>
      </c>
      <c r="P273">
        <f t="shared" si="47"/>
        <v>0</v>
      </c>
      <c r="Q273" t="str">
        <f t="shared" si="48"/>
        <v/>
      </c>
    </row>
    <row r="274" spans="8:17">
      <c r="H274">
        <f t="shared" si="49"/>
        <v>0</v>
      </c>
      <c r="J274">
        <f t="shared" si="50"/>
        <v>0</v>
      </c>
      <c r="K274" t="str">
        <f t="shared" si="44"/>
        <v/>
      </c>
      <c r="L274" t="str">
        <f t="shared" si="45"/>
        <v/>
      </c>
      <c r="M274" t="str">
        <f t="shared" si="51"/>
        <v/>
      </c>
      <c r="N274">
        <f t="shared" si="52"/>
        <v>0</v>
      </c>
      <c r="O274" t="str">
        <f t="shared" si="46"/>
        <v/>
      </c>
      <c r="P274">
        <f t="shared" si="47"/>
        <v>0</v>
      </c>
      <c r="Q274" t="str">
        <f t="shared" si="48"/>
        <v/>
      </c>
    </row>
    <row r="275" spans="8:17">
      <c r="H275">
        <f t="shared" si="49"/>
        <v>0</v>
      </c>
      <c r="J275">
        <f t="shared" si="50"/>
        <v>0</v>
      </c>
      <c r="K275" t="str">
        <f t="shared" si="44"/>
        <v/>
      </c>
      <c r="L275" t="str">
        <f t="shared" si="45"/>
        <v/>
      </c>
      <c r="M275" t="str">
        <f t="shared" si="51"/>
        <v/>
      </c>
      <c r="N275">
        <f t="shared" si="52"/>
        <v>0</v>
      </c>
      <c r="O275" t="str">
        <f t="shared" si="46"/>
        <v/>
      </c>
      <c r="P275">
        <f t="shared" si="47"/>
        <v>0</v>
      </c>
      <c r="Q275" t="str">
        <f t="shared" si="48"/>
        <v/>
      </c>
    </row>
    <row r="276" spans="8:17">
      <c r="H276">
        <f t="shared" si="49"/>
        <v>0</v>
      </c>
      <c r="J276">
        <f t="shared" si="50"/>
        <v>0</v>
      </c>
      <c r="K276" t="str">
        <f t="shared" si="44"/>
        <v/>
      </c>
      <c r="L276" t="str">
        <f t="shared" si="45"/>
        <v/>
      </c>
      <c r="M276" t="str">
        <f t="shared" si="51"/>
        <v/>
      </c>
      <c r="N276">
        <f t="shared" si="52"/>
        <v>0</v>
      </c>
      <c r="O276" t="str">
        <f t="shared" si="46"/>
        <v/>
      </c>
      <c r="P276">
        <f t="shared" si="47"/>
        <v>0</v>
      </c>
      <c r="Q276" t="str">
        <f t="shared" si="48"/>
        <v/>
      </c>
    </row>
    <row r="277" spans="8:17">
      <c r="H277">
        <f t="shared" si="49"/>
        <v>0</v>
      </c>
      <c r="J277">
        <f t="shared" si="50"/>
        <v>0</v>
      </c>
      <c r="K277" t="str">
        <f t="shared" si="44"/>
        <v/>
      </c>
      <c r="L277" t="str">
        <f t="shared" si="45"/>
        <v/>
      </c>
      <c r="M277" t="str">
        <f t="shared" si="51"/>
        <v/>
      </c>
      <c r="N277">
        <f t="shared" si="52"/>
        <v>0</v>
      </c>
      <c r="O277" t="str">
        <f t="shared" si="46"/>
        <v/>
      </c>
      <c r="P277">
        <f t="shared" si="47"/>
        <v>0</v>
      </c>
      <c r="Q277" t="str">
        <f t="shared" si="48"/>
        <v/>
      </c>
    </row>
    <row r="278" spans="8:17">
      <c r="H278">
        <f t="shared" si="49"/>
        <v>0</v>
      </c>
      <c r="J278">
        <f t="shared" si="50"/>
        <v>0</v>
      </c>
      <c r="K278" t="str">
        <f t="shared" si="44"/>
        <v/>
      </c>
      <c r="L278" t="str">
        <f t="shared" si="45"/>
        <v/>
      </c>
      <c r="M278" t="str">
        <f t="shared" si="51"/>
        <v/>
      </c>
      <c r="N278">
        <f t="shared" si="52"/>
        <v>0</v>
      </c>
      <c r="O278" t="str">
        <f t="shared" si="46"/>
        <v/>
      </c>
      <c r="P278">
        <f t="shared" si="47"/>
        <v>0</v>
      </c>
      <c r="Q278" t="str">
        <f t="shared" si="48"/>
        <v/>
      </c>
    </row>
    <row r="279" spans="8:17">
      <c r="H279">
        <f t="shared" si="49"/>
        <v>0</v>
      </c>
      <c r="J279">
        <f t="shared" si="50"/>
        <v>0</v>
      </c>
      <c r="K279" t="str">
        <f t="shared" si="44"/>
        <v/>
      </c>
      <c r="L279" t="str">
        <f t="shared" si="45"/>
        <v/>
      </c>
      <c r="M279" t="str">
        <f t="shared" si="51"/>
        <v/>
      </c>
      <c r="N279">
        <f t="shared" si="52"/>
        <v>0</v>
      </c>
      <c r="O279" t="str">
        <f t="shared" si="46"/>
        <v/>
      </c>
      <c r="P279">
        <f t="shared" si="47"/>
        <v>0</v>
      </c>
      <c r="Q279" t="str">
        <f t="shared" si="48"/>
        <v/>
      </c>
    </row>
    <row r="280" spans="8:17">
      <c r="H280">
        <f t="shared" si="49"/>
        <v>0</v>
      </c>
      <c r="J280">
        <f t="shared" si="50"/>
        <v>0</v>
      </c>
      <c r="K280" t="str">
        <f t="shared" si="44"/>
        <v/>
      </c>
      <c r="L280" t="str">
        <f t="shared" si="45"/>
        <v/>
      </c>
      <c r="M280" t="str">
        <f t="shared" si="51"/>
        <v/>
      </c>
      <c r="N280">
        <f t="shared" si="52"/>
        <v>0</v>
      </c>
      <c r="O280" t="str">
        <f t="shared" si="46"/>
        <v/>
      </c>
      <c r="P280">
        <f t="shared" si="47"/>
        <v>0</v>
      </c>
      <c r="Q280" t="str">
        <f t="shared" si="48"/>
        <v/>
      </c>
    </row>
    <row r="281" spans="8:17">
      <c r="H281">
        <f t="shared" si="49"/>
        <v>0</v>
      </c>
      <c r="J281">
        <f t="shared" si="50"/>
        <v>0</v>
      </c>
      <c r="K281" t="str">
        <f t="shared" si="44"/>
        <v/>
      </c>
      <c r="L281" t="str">
        <f t="shared" si="45"/>
        <v/>
      </c>
      <c r="M281" t="str">
        <f t="shared" si="51"/>
        <v/>
      </c>
      <c r="N281">
        <f t="shared" si="52"/>
        <v>0</v>
      </c>
      <c r="O281" t="str">
        <f t="shared" si="46"/>
        <v/>
      </c>
      <c r="P281">
        <f t="shared" si="47"/>
        <v>0</v>
      </c>
      <c r="Q281" t="str">
        <f t="shared" si="48"/>
        <v/>
      </c>
    </row>
    <row r="282" spans="8:17">
      <c r="H282">
        <f t="shared" si="49"/>
        <v>0</v>
      </c>
      <c r="J282">
        <f t="shared" si="50"/>
        <v>0</v>
      </c>
      <c r="K282" t="str">
        <f t="shared" si="44"/>
        <v/>
      </c>
      <c r="L282" t="str">
        <f t="shared" si="45"/>
        <v/>
      </c>
      <c r="M282" t="str">
        <f t="shared" si="51"/>
        <v/>
      </c>
      <c r="N282">
        <f t="shared" si="52"/>
        <v>0</v>
      </c>
      <c r="O282" t="str">
        <f t="shared" si="46"/>
        <v/>
      </c>
      <c r="P282">
        <f t="shared" si="47"/>
        <v>0</v>
      </c>
      <c r="Q282" t="str">
        <f t="shared" si="48"/>
        <v/>
      </c>
    </row>
    <row r="283" spans="8:17">
      <c r="H283">
        <f t="shared" si="49"/>
        <v>0</v>
      </c>
      <c r="J283">
        <f t="shared" si="50"/>
        <v>0</v>
      </c>
      <c r="K283" t="str">
        <f t="shared" si="44"/>
        <v/>
      </c>
      <c r="L283" t="str">
        <f t="shared" si="45"/>
        <v/>
      </c>
      <c r="M283" t="str">
        <f t="shared" si="51"/>
        <v/>
      </c>
      <c r="N283">
        <f t="shared" si="52"/>
        <v>0</v>
      </c>
      <c r="O283" t="str">
        <f t="shared" si="46"/>
        <v/>
      </c>
      <c r="P283">
        <f t="shared" si="47"/>
        <v>0</v>
      </c>
      <c r="Q283" t="str">
        <f t="shared" si="48"/>
        <v/>
      </c>
    </row>
    <row r="284" spans="8:17">
      <c r="H284">
        <f t="shared" si="49"/>
        <v>0</v>
      </c>
      <c r="J284">
        <f t="shared" si="50"/>
        <v>0</v>
      </c>
      <c r="K284" t="str">
        <f t="shared" si="44"/>
        <v/>
      </c>
      <c r="L284" t="str">
        <f t="shared" si="45"/>
        <v/>
      </c>
      <c r="M284" t="str">
        <f t="shared" si="51"/>
        <v/>
      </c>
      <c r="N284">
        <f t="shared" si="52"/>
        <v>0</v>
      </c>
      <c r="O284" t="str">
        <f t="shared" si="46"/>
        <v/>
      </c>
      <c r="P284">
        <f t="shared" si="47"/>
        <v>0</v>
      </c>
      <c r="Q284" t="str">
        <f t="shared" si="48"/>
        <v/>
      </c>
    </row>
    <row r="285" spans="8:17">
      <c r="H285">
        <f t="shared" si="49"/>
        <v>0</v>
      </c>
      <c r="J285">
        <f t="shared" si="50"/>
        <v>0</v>
      </c>
      <c r="K285" t="str">
        <f t="shared" si="44"/>
        <v/>
      </c>
      <c r="L285" t="str">
        <f t="shared" si="45"/>
        <v/>
      </c>
      <c r="M285" t="str">
        <f t="shared" si="51"/>
        <v/>
      </c>
      <c r="N285">
        <f t="shared" si="52"/>
        <v>0</v>
      </c>
      <c r="O285" t="str">
        <f t="shared" si="46"/>
        <v/>
      </c>
      <c r="P285">
        <f t="shared" si="47"/>
        <v>0</v>
      </c>
      <c r="Q285" t="str">
        <f t="shared" si="48"/>
        <v/>
      </c>
    </row>
    <row r="286" spans="8:17">
      <c r="H286">
        <f t="shared" si="49"/>
        <v>0</v>
      </c>
      <c r="J286">
        <f t="shared" si="50"/>
        <v>0</v>
      </c>
      <c r="K286" t="str">
        <f t="shared" si="44"/>
        <v/>
      </c>
      <c r="L286" t="str">
        <f t="shared" si="45"/>
        <v/>
      </c>
      <c r="M286" t="str">
        <f t="shared" si="51"/>
        <v/>
      </c>
      <c r="N286">
        <f t="shared" si="52"/>
        <v>0</v>
      </c>
      <c r="O286" t="str">
        <f t="shared" si="46"/>
        <v/>
      </c>
      <c r="P286">
        <f t="shared" si="47"/>
        <v>0</v>
      </c>
      <c r="Q286" t="str">
        <f t="shared" si="48"/>
        <v/>
      </c>
    </row>
    <row r="287" spans="8:17">
      <c r="H287">
        <f t="shared" si="49"/>
        <v>0</v>
      </c>
      <c r="J287">
        <f t="shared" si="50"/>
        <v>0</v>
      </c>
      <c r="K287" t="str">
        <f t="shared" si="44"/>
        <v/>
      </c>
      <c r="L287" t="str">
        <f t="shared" si="45"/>
        <v/>
      </c>
      <c r="M287" t="str">
        <f t="shared" si="51"/>
        <v/>
      </c>
      <c r="N287">
        <f t="shared" si="52"/>
        <v>0</v>
      </c>
      <c r="O287" t="str">
        <f t="shared" si="46"/>
        <v/>
      </c>
      <c r="P287">
        <f t="shared" si="47"/>
        <v>0</v>
      </c>
      <c r="Q287" t="str">
        <f t="shared" si="48"/>
        <v/>
      </c>
    </row>
    <row r="288" spans="8:17">
      <c r="H288">
        <f t="shared" si="49"/>
        <v>0</v>
      </c>
      <c r="J288">
        <f t="shared" si="50"/>
        <v>0</v>
      </c>
      <c r="K288" t="str">
        <f t="shared" si="44"/>
        <v/>
      </c>
      <c r="L288" t="str">
        <f t="shared" si="45"/>
        <v/>
      </c>
      <c r="M288" t="str">
        <f t="shared" si="51"/>
        <v/>
      </c>
      <c r="N288">
        <f t="shared" si="52"/>
        <v>0</v>
      </c>
      <c r="O288" t="str">
        <f t="shared" si="46"/>
        <v/>
      </c>
      <c r="P288">
        <f t="shared" si="47"/>
        <v>0</v>
      </c>
      <c r="Q288" t="str">
        <f t="shared" si="48"/>
        <v/>
      </c>
    </row>
    <row r="289" spans="8:17">
      <c r="H289">
        <f t="shared" si="49"/>
        <v>0</v>
      </c>
      <c r="J289">
        <f t="shared" si="50"/>
        <v>0</v>
      </c>
      <c r="K289" t="str">
        <f t="shared" si="44"/>
        <v/>
      </c>
      <c r="L289" t="str">
        <f t="shared" si="45"/>
        <v/>
      </c>
      <c r="M289" t="str">
        <f t="shared" si="51"/>
        <v/>
      </c>
      <c r="N289">
        <f t="shared" si="52"/>
        <v>0</v>
      </c>
      <c r="O289" t="str">
        <f t="shared" si="46"/>
        <v/>
      </c>
      <c r="P289">
        <f t="shared" si="47"/>
        <v>0</v>
      </c>
      <c r="Q289" t="str">
        <f t="shared" si="48"/>
        <v/>
      </c>
    </row>
    <row r="290" spans="8:17">
      <c r="H290">
        <f t="shared" si="49"/>
        <v>0</v>
      </c>
      <c r="J290">
        <f t="shared" si="50"/>
        <v>0</v>
      </c>
      <c r="K290" t="str">
        <f t="shared" si="44"/>
        <v/>
      </c>
      <c r="L290" t="str">
        <f t="shared" si="45"/>
        <v/>
      </c>
      <c r="M290" t="str">
        <f t="shared" si="51"/>
        <v/>
      </c>
      <c r="N290">
        <f t="shared" si="52"/>
        <v>0</v>
      </c>
      <c r="O290" t="str">
        <f t="shared" si="46"/>
        <v/>
      </c>
      <c r="P290">
        <f t="shared" si="47"/>
        <v>0</v>
      </c>
      <c r="Q290" t="str">
        <f t="shared" si="48"/>
        <v/>
      </c>
    </row>
    <row r="291" spans="8:17">
      <c r="H291">
        <f t="shared" si="49"/>
        <v>0</v>
      </c>
      <c r="J291">
        <f t="shared" si="50"/>
        <v>0</v>
      </c>
      <c r="K291" t="str">
        <f t="shared" si="44"/>
        <v/>
      </c>
      <c r="L291" t="str">
        <f t="shared" si="45"/>
        <v/>
      </c>
      <c r="M291" t="str">
        <f t="shared" si="51"/>
        <v/>
      </c>
      <c r="N291">
        <f t="shared" si="52"/>
        <v>0</v>
      </c>
      <c r="O291" t="str">
        <f t="shared" si="46"/>
        <v/>
      </c>
      <c r="P291">
        <f t="shared" si="47"/>
        <v>0</v>
      </c>
      <c r="Q291" t="str">
        <f t="shared" si="48"/>
        <v/>
      </c>
    </row>
    <row r="292" spans="8:17">
      <c r="H292">
        <f t="shared" si="49"/>
        <v>0</v>
      </c>
      <c r="J292">
        <f t="shared" si="50"/>
        <v>0</v>
      </c>
      <c r="K292" t="str">
        <f t="shared" si="44"/>
        <v/>
      </c>
      <c r="L292" t="str">
        <f t="shared" si="45"/>
        <v/>
      </c>
      <c r="M292" t="str">
        <f t="shared" si="51"/>
        <v/>
      </c>
      <c r="N292">
        <f t="shared" si="52"/>
        <v>0</v>
      </c>
      <c r="O292" t="str">
        <f t="shared" si="46"/>
        <v/>
      </c>
      <c r="P292">
        <f t="shared" si="47"/>
        <v>0</v>
      </c>
      <c r="Q292" t="str">
        <f t="shared" si="48"/>
        <v/>
      </c>
    </row>
    <row r="293" spans="8:17">
      <c r="H293">
        <f t="shared" si="49"/>
        <v>0</v>
      </c>
      <c r="J293">
        <f t="shared" si="50"/>
        <v>0</v>
      </c>
      <c r="K293" t="str">
        <f t="shared" si="44"/>
        <v/>
      </c>
      <c r="L293" t="str">
        <f t="shared" si="45"/>
        <v/>
      </c>
      <c r="M293" t="str">
        <f t="shared" si="51"/>
        <v/>
      </c>
      <c r="N293">
        <f t="shared" si="52"/>
        <v>0</v>
      </c>
      <c r="O293" t="str">
        <f t="shared" si="46"/>
        <v/>
      </c>
      <c r="P293">
        <f t="shared" si="47"/>
        <v>0</v>
      </c>
      <c r="Q293" t="str">
        <f t="shared" si="48"/>
        <v/>
      </c>
    </row>
    <row r="294" spans="8:17">
      <c r="H294">
        <f t="shared" si="49"/>
        <v>0</v>
      </c>
      <c r="J294">
        <f t="shared" si="50"/>
        <v>0</v>
      </c>
      <c r="K294" t="str">
        <f t="shared" si="44"/>
        <v/>
      </c>
      <c r="L294" t="str">
        <f t="shared" si="45"/>
        <v/>
      </c>
      <c r="M294" t="str">
        <f t="shared" si="51"/>
        <v/>
      </c>
      <c r="N294">
        <f t="shared" si="52"/>
        <v>0</v>
      </c>
      <c r="O294" t="str">
        <f t="shared" si="46"/>
        <v/>
      </c>
      <c r="P294">
        <f t="shared" si="47"/>
        <v>0</v>
      </c>
      <c r="Q294" t="str">
        <f t="shared" si="48"/>
        <v/>
      </c>
    </row>
    <row r="295" spans="8:17">
      <c r="H295">
        <f t="shared" si="49"/>
        <v>0</v>
      </c>
      <c r="J295">
        <f t="shared" si="50"/>
        <v>0</v>
      </c>
      <c r="K295" t="str">
        <f t="shared" si="44"/>
        <v/>
      </c>
      <c r="L295" t="str">
        <f t="shared" si="45"/>
        <v/>
      </c>
      <c r="M295" t="str">
        <f t="shared" si="51"/>
        <v/>
      </c>
      <c r="N295">
        <f t="shared" si="52"/>
        <v>0</v>
      </c>
      <c r="O295" t="str">
        <f t="shared" si="46"/>
        <v/>
      </c>
      <c r="P295">
        <f t="shared" si="47"/>
        <v>0</v>
      </c>
      <c r="Q295" t="str">
        <f t="shared" si="48"/>
        <v/>
      </c>
    </row>
    <row r="296" spans="8:17">
      <c r="H296">
        <f t="shared" si="49"/>
        <v>0</v>
      </c>
      <c r="J296">
        <f t="shared" si="50"/>
        <v>0</v>
      </c>
      <c r="K296" t="str">
        <f t="shared" si="44"/>
        <v/>
      </c>
      <c r="L296" t="str">
        <f t="shared" si="45"/>
        <v/>
      </c>
      <c r="M296" t="str">
        <f t="shared" si="51"/>
        <v/>
      </c>
      <c r="N296">
        <f t="shared" si="52"/>
        <v>0</v>
      </c>
      <c r="O296" t="str">
        <f t="shared" si="46"/>
        <v/>
      </c>
      <c r="P296">
        <f t="shared" si="47"/>
        <v>0</v>
      </c>
      <c r="Q296" t="str">
        <f t="shared" si="48"/>
        <v/>
      </c>
    </row>
    <row r="297" spans="8:17">
      <c r="H297">
        <f t="shared" si="49"/>
        <v>0</v>
      </c>
      <c r="J297">
        <f t="shared" si="50"/>
        <v>0</v>
      </c>
      <c r="K297" t="str">
        <f t="shared" si="44"/>
        <v/>
      </c>
      <c r="L297" t="str">
        <f t="shared" si="45"/>
        <v/>
      </c>
      <c r="M297" t="str">
        <f t="shared" si="51"/>
        <v/>
      </c>
      <c r="N297">
        <f t="shared" si="52"/>
        <v>0</v>
      </c>
      <c r="O297" t="str">
        <f t="shared" si="46"/>
        <v/>
      </c>
      <c r="P297">
        <f t="shared" si="47"/>
        <v>0</v>
      </c>
      <c r="Q297" t="str">
        <f t="shared" si="48"/>
        <v/>
      </c>
    </row>
    <row r="298" spans="8:17">
      <c r="H298">
        <f t="shared" si="49"/>
        <v>0</v>
      </c>
      <c r="J298">
        <f t="shared" si="50"/>
        <v>0</v>
      </c>
      <c r="K298" t="str">
        <f t="shared" si="44"/>
        <v/>
      </c>
      <c r="L298" t="str">
        <f t="shared" si="45"/>
        <v/>
      </c>
      <c r="M298" t="str">
        <f t="shared" si="51"/>
        <v/>
      </c>
      <c r="N298">
        <f t="shared" si="52"/>
        <v>0</v>
      </c>
      <c r="O298" t="str">
        <f t="shared" si="46"/>
        <v/>
      </c>
      <c r="P298">
        <f t="shared" si="47"/>
        <v>0</v>
      </c>
      <c r="Q298" t="str">
        <f t="shared" si="48"/>
        <v/>
      </c>
    </row>
    <row r="299" spans="8:17">
      <c r="H299">
        <f t="shared" si="49"/>
        <v>0</v>
      </c>
      <c r="J299">
        <f t="shared" si="50"/>
        <v>0</v>
      </c>
      <c r="K299" t="str">
        <f t="shared" si="44"/>
        <v/>
      </c>
      <c r="L299" t="str">
        <f t="shared" si="45"/>
        <v/>
      </c>
      <c r="M299" t="str">
        <f t="shared" si="51"/>
        <v/>
      </c>
      <c r="N299">
        <f t="shared" si="52"/>
        <v>0</v>
      </c>
      <c r="O299" t="str">
        <f t="shared" si="46"/>
        <v/>
      </c>
      <c r="P299">
        <f t="shared" si="47"/>
        <v>0</v>
      </c>
      <c r="Q299" t="str">
        <f t="shared" si="48"/>
        <v/>
      </c>
    </row>
    <row r="300" spans="8:17">
      <c r="H300">
        <f t="shared" si="49"/>
        <v>0</v>
      </c>
      <c r="J300">
        <f t="shared" si="50"/>
        <v>0</v>
      </c>
      <c r="K300" t="str">
        <f t="shared" si="44"/>
        <v/>
      </c>
      <c r="L300" t="str">
        <f t="shared" si="45"/>
        <v/>
      </c>
      <c r="M300" t="str">
        <f t="shared" si="51"/>
        <v/>
      </c>
      <c r="N300">
        <f t="shared" si="52"/>
        <v>0</v>
      </c>
      <c r="O300" t="str">
        <f t="shared" si="46"/>
        <v/>
      </c>
      <c r="P300">
        <f t="shared" si="47"/>
        <v>0</v>
      </c>
      <c r="Q300" t="str">
        <f t="shared" si="48"/>
        <v/>
      </c>
    </row>
    <row r="301" spans="8:17">
      <c r="H301">
        <f t="shared" si="49"/>
        <v>0</v>
      </c>
      <c r="J301">
        <f t="shared" si="50"/>
        <v>0</v>
      </c>
      <c r="K301" t="str">
        <f t="shared" si="44"/>
        <v/>
      </c>
      <c r="L301" t="str">
        <f t="shared" si="45"/>
        <v/>
      </c>
      <c r="M301" t="str">
        <f t="shared" si="51"/>
        <v/>
      </c>
      <c r="N301">
        <f t="shared" si="52"/>
        <v>0</v>
      </c>
      <c r="O301" t="str">
        <f t="shared" si="46"/>
        <v/>
      </c>
      <c r="P301">
        <f t="shared" si="47"/>
        <v>0</v>
      </c>
      <c r="Q301" t="str">
        <f t="shared" si="48"/>
        <v/>
      </c>
    </row>
    <row r="302" spans="8:17">
      <c r="H302">
        <f t="shared" si="49"/>
        <v>0</v>
      </c>
      <c r="J302">
        <f t="shared" si="50"/>
        <v>0</v>
      </c>
      <c r="K302" t="str">
        <f t="shared" si="44"/>
        <v/>
      </c>
      <c r="L302" t="str">
        <f t="shared" si="45"/>
        <v/>
      </c>
      <c r="M302" t="str">
        <f t="shared" si="51"/>
        <v/>
      </c>
      <c r="N302">
        <f t="shared" si="52"/>
        <v>0</v>
      </c>
      <c r="O302" t="str">
        <f t="shared" si="46"/>
        <v/>
      </c>
      <c r="P302">
        <f t="shared" si="47"/>
        <v>0</v>
      </c>
      <c r="Q302" t="str">
        <f t="shared" si="48"/>
        <v/>
      </c>
    </row>
    <row r="303" spans="8:17">
      <c r="H303">
        <f t="shared" si="49"/>
        <v>0</v>
      </c>
      <c r="J303">
        <f t="shared" si="50"/>
        <v>0</v>
      </c>
      <c r="K303" t="str">
        <f t="shared" si="44"/>
        <v/>
      </c>
      <c r="L303" t="str">
        <f t="shared" si="45"/>
        <v/>
      </c>
      <c r="M303" t="str">
        <f t="shared" si="51"/>
        <v/>
      </c>
      <c r="N303">
        <f t="shared" si="52"/>
        <v>0</v>
      </c>
      <c r="O303" t="str">
        <f t="shared" si="46"/>
        <v/>
      </c>
      <c r="P303">
        <f t="shared" si="47"/>
        <v>0</v>
      </c>
      <c r="Q303" t="str">
        <f t="shared" si="48"/>
        <v/>
      </c>
    </row>
    <row r="304" spans="8:17">
      <c r="H304">
        <f t="shared" si="49"/>
        <v>0</v>
      </c>
      <c r="J304">
        <f t="shared" si="50"/>
        <v>0</v>
      </c>
      <c r="K304" t="str">
        <f t="shared" si="44"/>
        <v/>
      </c>
      <c r="L304" t="str">
        <f t="shared" si="45"/>
        <v/>
      </c>
      <c r="M304" t="str">
        <f t="shared" si="51"/>
        <v/>
      </c>
      <c r="N304">
        <f t="shared" si="52"/>
        <v>0</v>
      </c>
      <c r="O304" t="str">
        <f t="shared" si="46"/>
        <v/>
      </c>
      <c r="P304">
        <f t="shared" si="47"/>
        <v>0</v>
      </c>
      <c r="Q304" t="str">
        <f t="shared" si="48"/>
        <v/>
      </c>
    </row>
    <row r="305" spans="8:17">
      <c r="H305">
        <f t="shared" si="49"/>
        <v>0</v>
      </c>
      <c r="J305">
        <f t="shared" si="50"/>
        <v>0</v>
      </c>
      <c r="K305" t="str">
        <f t="shared" si="44"/>
        <v/>
      </c>
      <c r="L305" t="str">
        <f t="shared" si="45"/>
        <v/>
      </c>
      <c r="M305" t="str">
        <f t="shared" si="51"/>
        <v/>
      </c>
      <c r="N305">
        <f t="shared" si="52"/>
        <v>0</v>
      </c>
      <c r="O305" t="str">
        <f t="shared" si="46"/>
        <v/>
      </c>
      <c r="P305">
        <f t="shared" si="47"/>
        <v>0</v>
      </c>
      <c r="Q305" t="str">
        <f t="shared" si="48"/>
        <v/>
      </c>
    </row>
    <row r="306" spans="8:17">
      <c r="H306">
        <f t="shared" si="49"/>
        <v>0</v>
      </c>
      <c r="J306">
        <f t="shared" si="50"/>
        <v>0</v>
      </c>
      <c r="K306" t="str">
        <f t="shared" si="44"/>
        <v/>
      </c>
      <c r="L306" t="str">
        <f t="shared" si="45"/>
        <v/>
      </c>
      <c r="M306" t="str">
        <f t="shared" si="51"/>
        <v/>
      </c>
      <c r="N306">
        <f t="shared" si="52"/>
        <v>0</v>
      </c>
      <c r="O306" t="str">
        <f t="shared" si="46"/>
        <v/>
      </c>
      <c r="P306">
        <f t="shared" si="47"/>
        <v>0</v>
      </c>
      <c r="Q306" t="str">
        <f t="shared" si="48"/>
        <v/>
      </c>
    </row>
    <row r="307" spans="8:17">
      <c r="H307">
        <f t="shared" si="49"/>
        <v>0</v>
      </c>
      <c r="J307">
        <f t="shared" si="50"/>
        <v>0</v>
      </c>
      <c r="K307" t="str">
        <f t="shared" si="44"/>
        <v/>
      </c>
      <c r="L307" t="str">
        <f t="shared" si="45"/>
        <v/>
      </c>
      <c r="M307" t="str">
        <f t="shared" si="51"/>
        <v/>
      </c>
      <c r="N307">
        <f t="shared" si="52"/>
        <v>0</v>
      </c>
      <c r="O307" t="str">
        <f t="shared" si="46"/>
        <v/>
      </c>
      <c r="P307">
        <f t="shared" si="47"/>
        <v>0</v>
      </c>
      <c r="Q307" t="str">
        <f t="shared" si="48"/>
        <v/>
      </c>
    </row>
    <row r="308" spans="8:17">
      <c r="H308">
        <f t="shared" si="49"/>
        <v>0</v>
      </c>
      <c r="J308">
        <f t="shared" si="50"/>
        <v>0</v>
      </c>
      <c r="K308" t="str">
        <f t="shared" si="44"/>
        <v/>
      </c>
      <c r="L308" t="str">
        <f t="shared" si="45"/>
        <v/>
      </c>
      <c r="M308" t="str">
        <f t="shared" si="51"/>
        <v/>
      </c>
      <c r="N308">
        <f t="shared" si="52"/>
        <v>0</v>
      </c>
      <c r="O308" t="str">
        <f t="shared" si="46"/>
        <v/>
      </c>
      <c r="P308">
        <f t="shared" si="47"/>
        <v>0</v>
      </c>
      <c r="Q308" t="str">
        <f t="shared" si="48"/>
        <v/>
      </c>
    </row>
    <row r="309" spans="8:17">
      <c r="H309">
        <f t="shared" si="49"/>
        <v>0</v>
      </c>
      <c r="J309">
        <f t="shared" si="50"/>
        <v>0</v>
      </c>
      <c r="K309" t="str">
        <f t="shared" si="44"/>
        <v/>
      </c>
      <c r="L309" t="str">
        <f t="shared" si="45"/>
        <v/>
      </c>
      <c r="M309" t="str">
        <f t="shared" si="51"/>
        <v/>
      </c>
      <c r="N309">
        <f t="shared" si="52"/>
        <v>0</v>
      </c>
      <c r="O309" t="str">
        <f t="shared" si="46"/>
        <v/>
      </c>
      <c r="P309">
        <f t="shared" si="47"/>
        <v>0</v>
      </c>
      <c r="Q309" t="str">
        <f t="shared" si="48"/>
        <v/>
      </c>
    </row>
    <row r="310" spans="8:17">
      <c r="H310">
        <f t="shared" si="49"/>
        <v>0</v>
      </c>
      <c r="J310">
        <f t="shared" si="50"/>
        <v>0</v>
      </c>
      <c r="K310" t="str">
        <f t="shared" si="44"/>
        <v/>
      </c>
      <c r="L310" t="str">
        <f t="shared" si="45"/>
        <v/>
      </c>
      <c r="M310" t="str">
        <f t="shared" si="51"/>
        <v/>
      </c>
      <c r="N310">
        <f t="shared" si="52"/>
        <v>0</v>
      </c>
      <c r="O310" t="str">
        <f t="shared" si="46"/>
        <v/>
      </c>
      <c r="P310">
        <f t="shared" si="47"/>
        <v>0</v>
      </c>
      <c r="Q310" t="str">
        <f t="shared" si="48"/>
        <v/>
      </c>
    </row>
    <row r="311" spans="8:17">
      <c r="H311">
        <f t="shared" si="49"/>
        <v>0</v>
      </c>
      <c r="J311">
        <f t="shared" si="50"/>
        <v>0</v>
      </c>
      <c r="K311" t="str">
        <f t="shared" si="44"/>
        <v/>
      </c>
      <c r="L311" t="str">
        <f t="shared" si="45"/>
        <v/>
      </c>
      <c r="M311" t="str">
        <f t="shared" si="51"/>
        <v/>
      </c>
      <c r="N311">
        <f t="shared" si="52"/>
        <v>0</v>
      </c>
      <c r="O311" t="str">
        <f t="shared" si="46"/>
        <v/>
      </c>
      <c r="P311">
        <f t="shared" si="47"/>
        <v>0</v>
      </c>
      <c r="Q311" t="str">
        <f t="shared" si="48"/>
        <v/>
      </c>
    </row>
    <row r="312" spans="8:17">
      <c r="H312">
        <f t="shared" si="49"/>
        <v>0</v>
      </c>
      <c r="J312">
        <f t="shared" si="50"/>
        <v>0</v>
      </c>
      <c r="K312" t="str">
        <f t="shared" si="44"/>
        <v/>
      </c>
      <c r="L312" t="str">
        <f t="shared" si="45"/>
        <v/>
      </c>
      <c r="M312" t="str">
        <f t="shared" si="51"/>
        <v/>
      </c>
      <c r="N312">
        <f t="shared" si="52"/>
        <v>0</v>
      </c>
      <c r="O312" t="str">
        <f t="shared" si="46"/>
        <v/>
      </c>
      <c r="P312">
        <f t="shared" si="47"/>
        <v>0</v>
      </c>
      <c r="Q312" t="str">
        <f t="shared" si="48"/>
        <v/>
      </c>
    </row>
    <row r="313" spans="8:17">
      <c r="H313">
        <f t="shared" si="49"/>
        <v>0</v>
      </c>
      <c r="J313">
        <f t="shared" si="50"/>
        <v>0</v>
      </c>
      <c r="K313" t="str">
        <f t="shared" si="44"/>
        <v/>
      </c>
      <c r="L313" t="str">
        <f t="shared" si="45"/>
        <v/>
      </c>
      <c r="M313" t="str">
        <f t="shared" si="51"/>
        <v/>
      </c>
      <c r="N313">
        <f t="shared" si="52"/>
        <v>0</v>
      </c>
      <c r="O313" t="str">
        <f t="shared" si="46"/>
        <v/>
      </c>
      <c r="P313">
        <f t="shared" si="47"/>
        <v>0</v>
      </c>
      <c r="Q313" t="str">
        <f t="shared" si="48"/>
        <v/>
      </c>
    </row>
    <row r="314" spans="8:17">
      <c r="H314">
        <f t="shared" si="49"/>
        <v>0</v>
      </c>
      <c r="J314">
        <f t="shared" si="50"/>
        <v>0</v>
      </c>
      <c r="K314" t="str">
        <f t="shared" si="44"/>
        <v/>
      </c>
      <c r="L314" t="str">
        <f t="shared" si="45"/>
        <v/>
      </c>
      <c r="M314" t="str">
        <f t="shared" si="51"/>
        <v/>
      </c>
      <c r="N314">
        <f t="shared" si="52"/>
        <v>0</v>
      </c>
      <c r="O314" t="str">
        <f t="shared" si="46"/>
        <v/>
      </c>
      <c r="P314">
        <f t="shared" si="47"/>
        <v>0</v>
      </c>
      <c r="Q314" t="str">
        <f t="shared" si="48"/>
        <v/>
      </c>
    </row>
    <row r="315" spans="8:17">
      <c r="H315">
        <f t="shared" si="49"/>
        <v>0</v>
      </c>
      <c r="J315">
        <f t="shared" si="50"/>
        <v>0</v>
      </c>
      <c r="K315" t="str">
        <f t="shared" si="44"/>
        <v/>
      </c>
      <c r="L315" t="str">
        <f t="shared" si="45"/>
        <v/>
      </c>
      <c r="M315" t="str">
        <f t="shared" si="51"/>
        <v/>
      </c>
      <c r="N315">
        <f t="shared" si="52"/>
        <v>0</v>
      </c>
      <c r="O315" t="str">
        <f t="shared" si="46"/>
        <v/>
      </c>
      <c r="P315">
        <f t="shared" si="47"/>
        <v>0</v>
      </c>
      <c r="Q315" t="str">
        <f t="shared" si="48"/>
        <v/>
      </c>
    </row>
    <row r="316" spans="8:17">
      <c r="H316">
        <f t="shared" si="49"/>
        <v>0</v>
      </c>
      <c r="J316">
        <f t="shared" si="50"/>
        <v>0</v>
      </c>
      <c r="K316" t="str">
        <f t="shared" si="44"/>
        <v/>
      </c>
      <c r="L316" t="str">
        <f t="shared" si="45"/>
        <v/>
      </c>
      <c r="M316" t="str">
        <f t="shared" si="51"/>
        <v/>
      </c>
      <c r="N316">
        <f t="shared" si="52"/>
        <v>0</v>
      </c>
      <c r="O316" t="str">
        <f t="shared" si="46"/>
        <v/>
      </c>
      <c r="P316">
        <f t="shared" si="47"/>
        <v>0</v>
      </c>
      <c r="Q316" t="str">
        <f t="shared" si="48"/>
        <v/>
      </c>
    </row>
    <row r="317" spans="8:17">
      <c r="H317">
        <f t="shared" si="49"/>
        <v>0</v>
      </c>
      <c r="J317">
        <f t="shared" si="50"/>
        <v>0</v>
      </c>
      <c r="K317" t="str">
        <f t="shared" si="44"/>
        <v/>
      </c>
      <c r="L317" t="str">
        <f t="shared" si="45"/>
        <v/>
      </c>
      <c r="M317" t="str">
        <f t="shared" si="51"/>
        <v/>
      </c>
      <c r="N317">
        <f t="shared" si="52"/>
        <v>0</v>
      </c>
      <c r="O317" t="str">
        <f t="shared" si="46"/>
        <v/>
      </c>
      <c r="P317">
        <f t="shared" si="47"/>
        <v>0</v>
      </c>
      <c r="Q317" t="str">
        <f t="shared" si="48"/>
        <v/>
      </c>
    </row>
    <row r="318" spans="8:17">
      <c r="H318">
        <f t="shared" si="49"/>
        <v>0</v>
      </c>
      <c r="J318">
        <f t="shared" si="50"/>
        <v>0</v>
      </c>
      <c r="K318" t="str">
        <f t="shared" si="44"/>
        <v/>
      </c>
      <c r="L318" t="str">
        <f t="shared" si="45"/>
        <v/>
      </c>
      <c r="M318" t="str">
        <f t="shared" si="51"/>
        <v/>
      </c>
      <c r="N318">
        <f t="shared" si="52"/>
        <v>0</v>
      </c>
      <c r="O318" t="str">
        <f t="shared" si="46"/>
        <v/>
      </c>
      <c r="P318">
        <f t="shared" si="47"/>
        <v>0</v>
      </c>
      <c r="Q318" t="str">
        <f t="shared" si="48"/>
        <v/>
      </c>
    </row>
    <row r="319" spans="8:17">
      <c r="H319">
        <f t="shared" si="49"/>
        <v>0</v>
      </c>
      <c r="J319">
        <f t="shared" si="50"/>
        <v>0</v>
      </c>
      <c r="K319" t="str">
        <f t="shared" si="44"/>
        <v/>
      </c>
      <c r="L319" t="str">
        <f t="shared" si="45"/>
        <v/>
      </c>
      <c r="M319" t="str">
        <f t="shared" si="51"/>
        <v/>
      </c>
      <c r="N319">
        <f t="shared" si="52"/>
        <v>0</v>
      </c>
      <c r="O319" t="str">
        <f t="shared" si="46"/>
        <v/>
      </c>
      <c r="P319">
        <f t="shared" si="47"/>
        <v>0</v>
      </c>
      <c r="Q319" t="str">
        <f t="shared" si="48"/>
        <v/>
      </c>
    </row>
    <row r="320" spans="8:17">
      <c r="H320">
        <f t="shared" si="49"/>
        <v>0</v>
      </c>
      <c r="J320">
        <f t="shared" si="50"/>
        <v>0</v>
      </c>
      <c r="K320" t="str">
        <f t="shared" si="44"/>
        <v/>
      </c>
      <c r="L320" t="str">
        <f t="shared" si="45"/>
        <v/>
      </c>
      <c r="M320" t="str">
        <f t="shared" si="51"/>
        <v/>
      </c>
      <c r="N320">
        <f t="shared" si="52"/>
        <v>0</v>
      </c>
      <c r="O320" t="str">
        <f t="shared" si="46"/>
        <v/>
      </c>
      <c r="P320">
        <f t="shared" si="47"/>
        <v>0</v>
      </c>
      <c r="Q320" t="str">
        <f t="shared" si="48"/>
        <v/>
      </c>
    </row>
    <row r="321" spans="8:17">
      <c r="H321">
        <f t="shared" si="49"/>
        <v>0</v>
      </c>
      <c r="J321">
        <f t="shared" si="50"/>
        <v>0</v>
      </c>
      <c r="K321" t="str">
        <f t="shared" si="44"/>
        <v/>
      </c>
      <c r="L321" t="str">
        <f t="shared" si="45"/>
        <v/>
      </c>
      <c r="M321" t="str">
        <f t="shared" si="51"/>
        <v/>
      </c>
      <c r="N321">
        <f t="shared" si="52"/>
        <v>0</v>
      </c>
      <c r="O321" t="str">
        <f t="shared" si="46"/>
        <v/>
      </c>
      <c r="P321">
        <f t="shared" si="47"/>
        <v>0</v>
      </c>
      <c r="Q321" t="str">
        <f t="shared" si="48"/>
        <v/>
      </c>
    </row>
    <row r="322" spans="8:17">
      <c r="H322">
        <f t="shared" si="49"/>
        <v>0</v>
      </c>
      <c r="J322">
        <f t="shared" si="50"/>
        <v>0</v>
      </c>
      <c r="K322" t="str">
        <f t="shared" ref="K322:K385" si="53">IF($C322="","",IF(LEN($C322)=1,CODE(UPPER($C322))-64,IFERROR(VALUE(MID($C322,2,99)),"")))</f>
        <v/>
      </c>
      <c r="L322" t="str">
        <f t="shared" ref="L322:L385" si="54">IF($D322="","",IFERROR(VALUE($D322),""))</f>
        <v/>
      </c>
      <c r="M322" t="str">
        <f t="shared" si="51"/>
        <v/>
      </c>
      <c r="N322">
        <f t="shared" si="52"/>
        <v>0</v>
      </c>
      <c r="O322" t="str">
        <f t="shared" ref="O322:O385" si="55">IF(AND($C322&lt;&gt;"",ISNUMBER(--$D322)),LEFT($C322,1),"")</f>
        <v/>
      </c>
      <c r="P322">
        <f t="shared" ref="P322:P385" si="56">IF(ISNUMBER(--$D322),--$D322,"")</f>
        <v>0</v>
      </c>
      <c r="Q322" t="str">
        <f t="shared" ref="Q322:Q385" si="57">IF(AND($O322&lt;&gt;"",$P322&lt;&gt;""),$O322&amp;TEXT($P322,"00"),"")</f>
        <v/>
      </c>
    </row>
    <row r="323" spans="8:17">
      <c r="H323">
        <f t="shared" si="49"/>
        <v>0</v>
      </c>
      <c r="J323">
        <f t="shared" si="50"/>
        <v>0</v>
      </c>
      <c r="K323" t="str">
        <f t="shared" si="53"/>
        <v/>
      </c>
      <c r="L323" t="str">
        <f t="shared" si="54"/>
        <v/>
      </c>
      <c r="M323" t="str">
        <f t="shared" si="51"/>
        <v/>
      </c>
      <c r="N323">
        <f t="shared" si="52"/>
        <v>0</v>
      </c>
      <c r="O323" t="str">
        <f t="shared" si="55"/>
        <v/>
      </c>
      <c r="P323">
        <f t="shared" si="56"/>
        <v>0</v>
      </c>
      <c r="Q323" t="str">
        <f t="shared" si="57"/>
        <v/>
      </c>
    </row>
    <row r="324" spans="8:17">
      <c r="H324">
        <f t="shared" si="49"/>
        <v>0</v>
      </c>
      <c r="J324">
        <f t="shared" si="50"/>
        <v>0</v>
      </c>
      <c r="K324" t="str">
        <f t="shared" si="53"/>
        <v/>
      </c>
      <c r="L324" t="str">
        <f t="shared" si="54"/>
        <v/>
      </c>
      <c r="M324" t="str">
        <f t="shared" si="51"/>
        <v/>
      </c>
      <c r="N324">
        <f t="shared" si="52"/>
        <v>0</v>
      </c>
      <c r="O324" t="str">
        <f t="shared" si="55"/>
        <v/>
      </c>
      <c r="P324">
        <f t="shared" si="56"/>
        <v>0</v>
      </c>
      <c r="Q324" t="str">
        <f t="shared" si="57"/>
        <v/>
      </c>
    </row>
    <row r="325" spans="8:17">
      <c r="H325">
        <f t="shared" si="49"/>
        <v>0</v>
      </c>
      <c r="J325">
        <f t="shared" si="50"/>
        <v>0</v>
      </c>
      <c r="K325" t="str">
        <f t="shared" si="53"/>
        <v/>
      </c>
      <c r="L325" t="str">
        <f t="shared" si="54"/>
        <v/>
      </c>
      <c r="M325" t="str">
        <f t="shared" si="51"/>
        <v/>
      </c>
      <c r="N325">
        <f t="shared" si="52"/>
        <v>0</v>
      </c>
      <c r="O325" t="str">
        <f t="shared" si="55"/>
        <v/>
      </c>
      <c r="P325">
        <f t="shared" si="56"/>
        <v>0</v>
      </c>
      <c r="Q325" t="str">
        <f t="shared" si="57"/>
        <v/>
      </c>
    </row>
    <row r="326" spans="8:17">
      <c r="H326">
        <f t="shared" ref="H326:H389" si="58">A326</f>
        <v>0</v>
      </c>
      <c r="J326">
        <f t="shared" ref="J326:J389" si="59">IF($I326&lt;&gt;"",$I326,$A326)</f>
        <v>0</v>
      </c>
      <c r="K326" t="str">
        <f t="shared" si="53"/>
        <v/>
      </c>
      <c r="L326" t="str">
        <f t="shared" si="54"/>
        <v/>
      </c>
      <c r="M326" t="str">
        <f t="shared" ref="M326:M389" si="60">IFERROR(VALUE(MID($A326,FIND("Level",$A326)+5,99)),IF($E326="AISLE_FLOOR",0,IF($E326="OVERFLOW",0,IF($E326="ENDCAP",0,""))))</f>
        <v/>
      </c>
      <c r="N326">
        <f t="shared" ref="N326:N389" si="61">IF(AND($B326&lt;&gt;"",$C326&lt;&gt;"",ISNUMBER(--$D326)), $B326&amp;": "&amp;LEFT($C326,1)&amp;TEXT(--$D326,"00"), IF($I326&lt;&gt;"",$I326,$A326))</f>
        <v>0</v>
      </c>
      <c r="O326" t="str">
        <f t="shared" si="55"/>
        <v/>
      </c>
      <c r="P326">
        <f t="shared" si="56"/>
        <v>0</v>
      </c>
      <c r="Q326" t="str">
        <f t="shared" si="57"/>
        <v/>
      </c>
    </row>
    <row r="327" spans="8:17">
      <c r="H327">
        <f t="shared" si="58"/>
        <v>0</v>
      </c>
      <c r="J327">
        <f t="shared" si="59"/>
        <v>0</v>
      </c>
      <c r="K327" t="str">
        <f t="shared" si="53"/>
        <v/>
      </c>
      <c r="L327" t="str">
        <f t="shared" si="54"/>
        <v/>
      </c>
      <c r="M327" t="str">
        <f t="shared" si="60"/>
        <v/>
      </c>
      <c r="N327">
        <f t="shared" si="61"/>
        <v>0</v>
      </c>
      <c r="O327" t="str">
        <f t="shared" si="55"/>
        <v/>
      </c>
      <c r="P327">
        <f t="shared" si="56"/>
        <v>0</v>
      </c>
      <c r="Q327" t="str">
        <f t="shared" si="57"/>
        <v/>
      </c>
    </row>
    <row r="328" spans="8:17">
      <c r="H328">
        <f t="shared" si="58"/>
        <v>0</v>
      </c>
      <c r="J328">
        <f t="shared" si="59"/>
        <v>0</v>
      </c>
      <c r="K328" t="str">
        <f t="shared" si="53"/>
        <v/>
      </c>
      <c r="L328" t="str">
        <f t="shared" si="54"/>
        <v/>
      </c>
      <c r="M328" t="str">
        <f t="shared" si="60"/>
        <v/>
      </c>
      <c r="N328">
        <f t="shared" si="61"/>
        <v>0</v>
      </c>
      <c r="O328" t="str">
        <f t="shared" si="55"/>
        <v/>
      </c>
      <c r="P328">
        <f t="shared" si="56"/>
        <v>0</v>
      </c>
      <c r="Q328" t="str">
        <f t="shared" si="57"/>
        <v/>
      </c>
    </row>
    <row r="329" spans="8:17">
      <c r="H329">
        <f t="shared" si="58"/>
        <v>0</v>
      </c>
      <c r="J329">
        <f t="shared" si="59"/>
        <v>0</v>
      </c>
      <c r="K329" t="str">
        <f t="shared" si="53"/>
        <v/>
      </c>
      <c r="L329" t="str">
        <f t="shared" si="54"/>
        <v/>
      </c>
      <c r="M329" t="str">
        <f t="shared" si="60"/>
        <v/>
      </c>
      <c r="N329">
        <f t="shared" si="61"/>
        <v>0</v>
      </c>
      <c r="O329" t="str">
        <f t="shared" si="55"/>
        <v/>
      </c>
      <c r="P329">
        <f t="shared" si="56"/>
        <v>0</v>
      </c>
      <c r="Q329" t="str">
        <f t="shared" si="57"/>
        <v/>
      </c>
    </row>
    <row r="330" spans="8:17">
      <c r="H330">
        <f t="shared" si="58"/>
        <v>0</v>
      </c>
      <c r="J330">
        <f t="shared" si="59"/>
        <v>0</v>
      </c>
      <c r="K330" t="str">
        <f t="shared" si="53"/>
        <v/>
      </c>
      <c r="L330" t="str">
        <f t="shared" si="54"/>
        <v/>
      </c>
      <c r="M330" t="str">
        <f t="shared" si="60"/>
        <v/>
      </c>
      <c r="N330">
        <f t="shared" si="61"/>
        <v>0</v>
      </c>
      <c r="O330" t="str">
        <f t="shared" si="55"/>
        <v/>
      </c>
      <c r="P330">
        <f t="shared" si="56"/>
        <v>0</v>
      </c>
      <c r="Q330" t="str">
        <f t="shared" si="57"/>
        <v/>
      </c>
    </row>
    <row r="331" spans="8:17">
      <c r="H331">
        <f t="shared" si="58"/>
        <v>0</v>
      </c>
      <c r="J331">
        <f t="shared" si="59"/>
        <v>0</v>
      </c>
      <c r="K331" t="str">
        <f t="shared" si="53"/>
        <v/>
      </c>
      <c r="L331" t="str">
        <f t="shared" si="54"/>
        <v/>
      </c>
      <c r="M331" t="str">
        <f t="shared" si="60"/>
        <v/>
      </c>
      <c r="N331">
        <f t="shared" si="61"/>
        <v>0</v>
      </c>
      <c r="O331" t="str">
        <f t="shared" si="55"/>
        <v/>
      </c>
      <c r="P331">
        <f t="shared" si="56"/>
        <v>0</v>
      </c>
      <c r="Q331" t="str">
        <f t="shared" si="57"/>
        <v/>
      </c>
    </row>
    <row r="332" spans="8:17">
      <c r="H332">
        <f t="shared" si="58"/>
        <v>0</v>
      </c>
      <c r="J332">
        <f t="shared" si="59"/>
        <v>0</v>
      </c>
      <c r="K332" t="str">
        <f t="shared" si="53"/>
        <v/>
      </c>
      <c r="L332" t="str">
        <f t="shared" si="54"/>
        <v/>
      </c>
      <c r="M332" t="str">
        <f t="shared" si="60"/>
        <v/>
      </c>
      <c r="N332">
        <f t="shared" si="61"/>
        <v>0</v>
      </c>
      <c r="O332" t="str">
        <f t="shared" si="55"/>
        <v/>
      </c>
      <c r="P332">
        <f t="shared" si="56"/>
        <v>0</v>
      </c>
      <c r="Q332" t="str">
        <f t="shared" si="57"/>
        <v/>
      </c>
    </row>
    <row r="333" spans="8:17">
      <c r="H333">
        <f t="shared" si="58"/>
        <v>0</v>
      </c>
      <c r="J333">
        <f t="shared" si="59"/>
        <v>0</v>
      </c>
      <c r="K333" t="str">
        <f t="shared" si="53"/>
        <v/>
      </c>
      <c r="L333" t="str">
        <f t="shared" si="54"/>
        <v/>
      </c>
      <c r="M333" t="str">
        <f t="shared" si="60"/>
        <v/>
      </c>
      <c r="N333">
        <f t="shared" si="61"/>
        <v>0</v>
      </c>
      <c r="O333" t="str">
        <f t="shared" si="55"/>
        <v/>
      </c>
      <c r="P333">
        <f t="shared" si="56"/>
        <v>0</v>
      </c>
      <c r="Q333" t="str">
        <f t="shared" si="57"/>
        <v/>
      </c>
    </row>
    <row r="334" spans="8:17">
      <c r="H334">
        <f t="shared" si="58"/>
        <v>0</v>
      </c>
      <c r="J334">
        <f t="shared" si="59"/>
        <v>0</v>
      </c>
      <c r="K334" t="str">
        <f t="shared" si="53"/>
        <v/>
      </c>
      <c r="L334" t="str">
        <f t="shared" si="54"/>
        <v/>
      </c>
      <c r="M334" t="str">
        <f t="shared" si="60"/>
        <v/>
      </c>
      <c r="N334">
        <f t="shared" si="61"/>
        <v>0</v>
      </c>
      <c r="O334" t="str">
        <f t="shared" si="55"/>
        <v/>
      </c>
      <c r="P334">
        <f t="shared" si="56"/>
        <v>0</v>
      </c>
      <c r="Q334" t="str">
        <f t="shared" si="57"/>
        <v/>
      </c>
    </row>
    <row r="335" spans="8:17">
      <c r="H335">
        <f t="shared" si="58"/>
        <v>0</v>
      </c>
      <c r="J335">
        <f t="shared" si="59"/>
        <v>0</v>
      </c>
      <c r="K335" t="str">
        <f t="shared" si="53"/>
        <v/>
      </c>
      <c r="L335" t="str">
        <f t="shared" si="54"/>
        <v/>
      </c>
      <c r="M335" t="str">
        <f t="shared" si="60"/>
        <v/>
      </c>
      <c r="N335">
        <f t="shared" si="61"/>
        <v>0</v>
      </c>
      <c r="O335" t="str">
        <f t="shared" si="55"/>
        <v/>
      </c>
      <c r="P335">
        <f t="shared" si="56"/>
        <v>0</v>
      </c>
      <c r="Q335" t="str">
        <f t="shared" si="57"/>
        <v/>
      </c>
    </row>
    <row r="336" spans="8:17">
      <c r="H336">
        <f t="shared" si="58"/>
        <v>0</v>
      </c>
      <c r="J336">
        <f t="shared" si="59"/>
        <v>0</v>
      </c>
      <c r="K336" t="str">
        <f t="shared" si="53"/>
        <v/>
      </c>
      <c r="L336" t="str">
        <f t="shared" si="54"/>
        <v/>
      </c>
      <c r="M336" t="str">
        <f t="shared" si="60"/>
        <v/>
      </c>
      <c r="N336">
        <f t="shared" si="61"/>
        <v>0</v>
      </c>
      <c r="O336" t="str">
        <f t="shared" si="55"/>
        <v/>
      </c>
      <c r="P336">
        <f t="shared" si="56"/>
        <v>0</v>
      </c>
      <c r="Q336" t="str">
        <f t="shared" si="57"/>
        <v/>
      </c>
    </row>
    <row r="337" spans="8:17">
      <c r="H337">
        <f t="shared" si="58"/>
        <v>0</v>
      </c>
      <c r="J337">
        <f t="shared" si="59"/>
        <v>0</v>
      </c>
      <c r="K337" t="str">
        <f t="shared" si="53"/>
        <v/>
      </c>
      <c r="L337" t="str">
        <f t="shared" si="54"/>
        <v/>
      </c>
      <c r="M337" t="str">
        <f t="shared" si="60"/>
        <v/>
      </c>
      <c r="N337">
        <f t="shared" si="61"/>
        <v>0</v>
      </c>
      <c r="O337" t="str">
        <f t="shared" si="55"/>
        <v/>
      </c>
      <c r="P337">
        <f t="shared" si="56"/>
        <v>0</v>
      </c>
      <c r="Q337" t="str">
        <f t="shared" si="57"/>
        <v/>
      </c>
    </row>
    <row r="338" spans="8:17">
      <c r="H338">
        <f t="shared" si="58"/>
        <v>0</v>
      </c>
      <c r="J338">
        <f t="shared" si="59"/>
        <v>0</v>
      </c>
      <c r="K338" t="str">
        <f t="shared" si="53"/>
        <v/>
      </c>
      <c r="L338" t="str">
        <f t="shared" si="54"/>
        <v/>
      </c>
      <c r="M338" t="str">
        <f t="shared" si="60"/>
        <v/>
      </c>
      <c r="N338">
        <f t="shared" si="61"/>
        <v>0</v>
      </c>
      <c r="O338" t="str">
        <f t="shared" si="55"/>
        <v/>
      </c>
      <c r="P338">
        <f t="shared" si="56"/>
        <v>0</v>
      </c>
      <c r="Q338" t="str">
        <f t="shared" si="57"/>
        <v/>
      </c>
    </row>
    <row r="339" spans="8:17">
      <c r="H339">
        <f t="shared" si="58"/>
        <v>0</v>
      </c>
      <c r="J339">
        <f t="shared" si="59"/>
        <v>0</v>
      </c>
      <c r="K339" t="str">
        <f t="shared" si="53"/>
        <v/>
      </c>
      <c r="L339" t="str">
        <f t="shared" si="54"/>
        <v/>
      </c>
      <c r="M339" t="str">
        <f t="shared" si="60"/>
        <v/>
      </c>
      <c r="N339">
        <f t="shared" si="61"/>
        <v>0</v>
      </c>
      <c r="O339" t="str">
        <f t="shared" si="55"/>
        <v/>
      </c>
      <c r="P339">
        <f t="shared" si="56"/>
        <v>0</v>
      </c>
      <c r="Q339" t="str">
        <f t="shared" si="57"/>
        <v/>
      </c>
    </row>
    <row r="340" spans="8:17">
      <c r="H340">
        <f t="shared" si="58"/>
        <v>0</v>
      </c>
      <c r="J340">
        <f t="shared" si="59"/>
        <v>0</v>
      </c>
      <c r="K340" t="str">
        <f t="shared" si="53"/>
        <v/>
      </c>
      <c r="L340" t="str">
        <f t="shared" si="54"/>
        <v/>
      </c>
      <c r="M340" t="str">
        <f t="shared" si="60"/>
        <v/>
      </c>
      <c r="N340">
        <f t="shared" si="61"/>
        <v>0</v>
      </c>
      <c r="O340" t="str">
        <f t="shared" si="55"/>
        <v/>
      </c>
      <c r="P340">
        <f t="shared" si="56"/>
        <v>0</v>
      </c>
      <c r="Q340" t="str">
        <f t="shared" si="57"/>
        <v/>
      </c>
    </row>
    <row r="341" spans="8:17">
      <c r="H341">
        <f t="shared" si="58"/>
        <v>0</v>
      </c>
      <c r="J341">
        <f t="shared" si="59"/>
        <v>0</v>
      </c>
      <c r="K341" t="str">
        <f t="shared" si="53"/>
        <v/>
      </c>
      <c r="L341" t="str">
        <f t="shared" si="54"/>
        <v/>
      </c>
      <c r="M341" t="str">
        <f t="shared" si="60"/>
        <v/>
      </c>
      <c r="N341">
        <f t="shared" si="61"/>
        <v>0</v>
      </c>
      <c r="O341" t="str">
        <f t="shared" si="55"/>
        <v/>
      </c>
      <c r="P341">
        <f t="shared" si="56"/>
        <v>0</v>
      </c>
      <c r="Q341" t="str">
        <f t="shared" si="57"/>
        <v/>
      </c>
    </row>
    <row r="342" spans="8:17">
      <c r="H342">
        <f t="shared" si="58"/>
        <v>0</v>
      </c>
      <c r="J342">
        <f t="shared" si="59"/>
        <v>0</v>
      </c>
      <c r="K342" t="str">
        <f t="shared" si="53"/>
        <v/>
      </c>
      <c r="L342" t="str">
        <f t="shared" si="54"/>
        <v/>
      </c>
      <c r="M342" t="str">
        <f t="shared" si="60"/>
        <v/>
      </c>
      <c r="N342">
        <f t="shared" si="61"/>
        <v>0</v>
      </c>
      <c r="O342" t="str">
        <f t="shared" si="55"/>
        <v/>
      </c>
      <c r="P342">
        <f t="shared" si="56"/>
        <v>0</v>
      </c>
      <c r="Q342" t="str">
        <f t="shared" si="57"/>
        <v/>
      </c>
    </row>
    <row r="343" spans="8:17">
      <c r="H343">
        <f t="shared" si="58"/>
        <v>0</v>
      </c>
      <c r="J343">
        <f t="shared" si="59"/>
        <v>0</v>
      </c>
      <c r="K343" t="str">
        <f t="shared" si="53"/>
        <v/>
      </c>
      <c r="L343" t="str">
        <f t="shared" si="54"/>
        <v/>
      </c>
      <c r="M343" t="str">
        <f t="shared" si="60"/>
        <v/>
      </c>
      <c r="N343">
        <f t="shared" si="61"/>
        <v>0</v>
      </c>
      <c r="O343" t="str">
        <f t="shared" si="55"/>
        <v/>
      </c>
      <c r="P343">
        <f t="shared" si="56"/>
        <v>0</v>
      </c>
      <c r="Q343" t="str">
        <f t="shared" si="57"/>
        <v/>
      </c>
    </row>
    <row r="344" spans="8:17">
      <c r="H344">
        <f t="shared" si="58"/>
        <v>0</v>
      </c>
      <c r="J344">
        <f t="shared" si="59"/>
        <v>0</v>
      </c>
      <c r="K344" t="str">
        <f t="shared" si="53"/>
        <v/>
      </c>
      <c r="L344" t="str">
        <f t="shared" si="54"/>
        <v/>
      </c>
      <c r="M344" t="str">
        <f t="shared" si="60"/>
        <v/>
      </c>
      <c r="N344">
        <f t="shared" si="61"/>
        <v>0</v>
      </c>
      <c r="O344" t="str">
        <f t="shared" si="55"/>
        <v/>
      </c>
      <c r="P344">
        <f t="shared" si="56"/>
        <v>0</v>
      </c>
      <c r="Q344" t="str">
        <f t="shared" si="57"/>
        <v/>
      </c>
    </row>
    <row r="345" spans="8:17">
      <c r="H345">
        <f t="shared" si="58"/>
        <v>0</v>
      </c>
      <c r="J345">
        <f t="shared" si="59"/>
        <v>0</v>
      </c>
      <c r="K345" t="str">
        <f t="shared" si="53"/>
        <v/>
      </c>
      <c r="L345" t="str">
        <f t="shared" si="54"/>
        <v/>
      </c>
      <c r="M345" t="str">
        <f t="shared" si="60"/>
        <v/>
      </c>
      <c r="N345">
        <f t="shared" si="61"/>
        <v>0</v>
      </c>
      <c r="O345" t="str">
        <f t="shared" si="55"/>
        <v/>
      </c>
      <c r="P345">
        <f t="shared" si="56"/>
        <v>0</v>
      </c>
      <c r="Q345" t="str">
        <f t="shared" si="57"/>
        <v/>
      </c>
    </row>
    <row r="346" spans="8:17">
      <c r="H346">
        <f t="shared" si="58"/>
        <v>0</v>
      </c>
      <c r="J346">
        <f t="shared" si="59"/>
        <v>0</v>
      </c>
      <c r="K346" t="str">
        <f t="shared" si="53"/>
        <v/>
      </c>
      <c r="L346" t="str">
        <f t="shared" si="54"/>
        <v/>
      </c>
      <c r="M346" t="str">
        <f t="shared" si="60"/>
        <v/>
      </c>
      <c r="N346">
        <f t="shared" si="61"/>
        <v>0</v>
      </c>
      <c r="O346" t="str">
        <f t="shared" si="55"/>
        <v/>
      </c>
      <c r="P346">
        <f t="shared" si="56"/>
        <v>0</v>
      </c>
      <c r="Q346" t="str">
        <f t="shared" si="57"/>
        <v/>
      </c>
    </row>
    <row r="347" spans="8:17">
      <c r="H347">
        <f t="shared" si="58"/>
        <v>0</v>
      </c>
      <c r="J347">
        <f t="shared" si="59"/>
        <v>0</v>
      </c>
      <c r="K347" t="str">
        <f t="shared" si="53"/>
        <v/>
      </c>
      <c r="L347" t="str">
        <f t="shared" si="54"/>
        <v/>
      </c>
      <c r="M347" t="str">
        <f t="shared" si="60"/>
        <v/>
      </c>
      <c r="N347">
        <f t="shared" si="61"/>
        <v>0</v>
      </c>
      <c r="O347" t="str">
        <f t="shared" si="55"/>
        <v/>
      </c>
      <c r="P347">
        <f t="shared" si="56"/>
        <v>0</v>
      </c>
      <c r="Q347" t="str">
        <f t="shared" si="57"/>
        <v/>
      </c>
    </row>
    <row r="348" spans="8:17">
      <c r="H348">
        <f t="shared" si="58"/>
        <v>0</v>
      </c>
      <c r="J348">
        <f t="shared" si="59"/>
        <v>0</v>
      </c>
      <c r="K348" t="str">
        <f t="shared" si="53"/>
        <v/>
      </c>
      <c r="L348" t="str">
        <f t="shared" si="54"/>
        <v/>
      </c>
      <c r="M348" t="str">
        <f t="shared" si="60"/>
        <v/>
      </c>
      <c r="N348">
        <f t="shared" si="61"/>
        <v>0</v>
      </c>
      <c r="O348" t="str">
        <f t="shared" si="55"/>
        <v/>
      </c>
      <c r="P348">
        <f t="shared" si="56"/>
        <v>0</v>
      </c>
      <c r="Q348" t="str">
        <f t="shared" si="57"/>
        <v/>
      </c>
    </row>
    <row r="349" spans="8:17">
      <c r="H349">
        <f t="shared" si="58"/>
        <v>0</v>
      </c>
      <c r="J349">
        <f t="shared" si="59"/>
        <v>0</v>
      </c>
      <c r="K349" t="str">
        <f t="shared" si="53"/>
        <v/>
      </c>
      <c r="L349" t="str">
        <f t="shared" si="54"/>
        <v/>
      </c>
      <c r="M349" t="str">
        <f t="shared" si="60"/>
        <v/>
      </c>
      <c r="N349">
        <f t="shared" si="61"/>
        <v>0</v>
      </c>
      <c r="O349" t="str">
        <f t="shared" si="55"/>
        <v/>
      </c>
      <c r="P349">
        <f t="shared" si="56"/>
        <v>0</v>
      </c>
      <c r="Q349" t="str">
        <f t="shared" si="57"/>
        <v/>
      </c>
    </row>
    <row r="350" spans="8:17">
      <c r="H350">
        <f t="shared" si="58"/>
        <v>0</v>
      </c>
      <c r="J350">
        <f t="shared" si="59"/>
        <v>0</v>
      </c>
      <c r="K350" t="str">
        <f t="shared" si="53"/>
        <v/>
      </c>
      <c r="L350" t="str">
        <f t="shared" si="54"/>
        <v/>
      </c>
      <c r="M350" t="str">
        <f t="shared" si="60"/>
        <v/>
      </c>
      <c r="N350">
        <f t="shared" si="61"/>
        <v>0</v>
      </c>
      <c r="O350" t="str">
        <f t="shared" si="55"/>
        <v/>
      </c>
      <c r="P350">
        <f t="shared" si="56"/>
        <v>0</v>
      </c>
      <c r="Q350" t="str">
        <f t="shared" si="57"/>
        <v/>
      </c>
    </row>
    <row r="351" spans="8:17">
      <c r="H351">
        <f t="shared" si="58"/>
        <v>0</v>
      </c>
      <c r="J351">
        <f t="shared" si="59"/>
        <v>0</v>
      </c>
      <c r="K351" t="str">
        <f t="shared" si="53"/>
        <v/>
      </c>
      <c r="L351" t="str">
        <f t="shared" si="54"/>
        <v/>
      </c>
      <c r="M351" t="str">
        <f t="shared" si="60"/>
        <v/>
      </c>
      <c r="N351">
        <f t="shared" si="61"/>
        <v>0</v>
      </c>
      <c r="O351" t="str">
        <f t="shared" si="55"/>
        <v/>
      </c>
      <c r="P351">
        <f t="shared" si="56"/>
        <v>0</v>
      </c>
      <c r="Q351" t="str">
        <f t="shared" si="57"/>
        <v/>
      </c>
    </row>
    <row r="352" spans="8:17">
      <c r="H352">
        <f t="shared" si="58"/>
        <v>0</v>
      </c>
      <c r="J352">
        <f t="shared" si="59"/>
        <v>0</v>
      </c>
      <c r="K352" t="str">
        <f t="shared" si="53"/>
        <v/>
      </c>
      <c r="L352" t="str">
        <f t="shared" si="54"/>
        <v/>
      </c>
      <c r="M352" t="str">
        <f t="shared" si="60"/>
        <v/>
      </c>
      <c r="N352">
        <f t="shared" si="61"/>
        <v>0</v>
      </c>
      <c r="O352" t="str">
        <f t="shared" si="55"/>
        <v/>
      </c>
      <c r="P352">
        <f t="shared" si="56"/>
        <v>0</v>
      </c>
      <c r="Q352" t="str">
        <f t="shared" si="57"/>
        <v/>
      </c>
    </row>
    <row r="353" spans="8:17">
      <c r="H353">
        <f t="shared" si="58"/>
        <v>0</v>
      </c>
      <c r="J353">
        <f t="shared" si="59"/>
        <v>0</v>
      </c>
      <c r="K353" t="str">
        <f t="shared" si="53"/>
        <v/>
      </c>
      <c r="L353" t="str">
        <f t="shared" si="54"/>
        <v/>
      </c>
      <c r="M353" t="str">
        <f t="shared" si="60"/>
        <v/>
      </c>
      <c r="N353">
        <f t="shared" si="61"/>
        <v>0</v>
      </c>
      <c r="O353" t="str">
        <f t="shared" si="55"/>
        <v/>
      </c>
      <c r="P353">
        <f t="shared" si="56"/>
        <v>0</v>
      </c>
      <c r="Q353" t="str">
        <f t="shared" si="57"/>
        <v/>
      </c>
    </row>
    <row r="354" spans="8:17">
      <c r="H354">
        <f t="shared" si="58"/>
        <v>0</v>
      </c>
      <c r="J354">
        <f t="shared" si="59"/>
        <v>0</v>
      </c>
      <c r="K354" t="str">
        <f t="shared" si="53"/>
        <v/>
      </c>
      <c r="L354" t="str">
        <f t="shared" si="54"/>
        <v/>
      </c>
      <c r="M354" t="str">
        <f t="shared" si="60"/>
        <v/>
      </c>
      <c r="N354">
        <f t="shared" si="61"/>
        <v>0</v>
      </c>
      <c r="O354" t="str">
        <f t="shared" si="55"/>
        <v/>
      </c>
      <c r="P354">
        <f t="shared" si="56"/>
        <v>0</v>
      </c>
      <c r="Q354" t="str">
        <f t="shared" si="57"/>
        <v/>
      </c>
    </row>
    <row r="355" spans="8:17">
      <c r="H355">
        <f t="shared" si="58"/>
        <v>0</v>
      </c>
      <c r="J355">
        <f t="shared" si="59"/>
        <v>0</v>
      </c>
      <c r="K355" t="str">
        <f t="shared" si="53"/>
        <v/>
      </c>
      <c r="L355" t="str">
        <f t="shared" si="54"/>
        <v/>
      </c>
      <c r="M355" t="str">
        <f t="shared" si="60"/>
        <v/>
      </c>
      <c r="N355">
        <f t="shared" si="61"/>
        <v>0</v>
      </c>
      <c r="O355" t="str">
        <f t="shared" si="55"/>
        <v/>
      </c>
      <c r="P355">
        <f t="shared" si="56"/>
        <v>0</v>
      </c>
      <c r="Q355" t="str">
        <f t="shared" si="57"/>
        <v/>
      </c>
    </row>
    <row r="356" spans="8:17">
      <c r="H356">
        <f t="shared" si="58"/>
        <v>0</v>
      </c>
      <c r="J356">
        <f t="shared" si="59"/>
        <v>0</v>
      </c>
      <c r="K356" t="str">
        <f t="shared" si="53"/>
        <v/>
      </c>
      <c r="L356" t="str">
        <f t="shared" si="54"/>
        <v/>
      </c>
      <c r="M356" t="str">
        <f t="shared" si="60"/>
        <v/>
      </c>
      <c r="N356">
        <f t="shared" si="61"/>
        <v>0</v>
      </c>
      <c r="O356" t="str">
        <f t="shared" si="55"/>
        <v/>
      </c>
      <c r="P356">
        <f t="shared" si="56"/>
        <v>0</v>
      </c>
      <c r="Q356" t="str">
        <f t="shared" si="57"/>
        <v/>
      </c>
    </row>
    <row r="357" spans="8:17">
      <c r="H357">
        <f t="shared" si="58"/>
        <v>0</v>
      </c>
      <c r="J357">
        <f t="shared" si="59"/>
        <v>0</v>
      </c>
      <c r="K357" t="str">
        <f t="shared" si="53"/>
        <v/>
      </c>
      <c r="L357" t="str">
        <f t="shared" si="54"/>
        <v/>
      </c>
      <c r="M357" t="str">
        <f t="shared" si="60"/>
        <v/>
      </c>
      <c r="N357">
        <f t="shared" si="61"/>
        <v>0</v>
      </c>
      <c r="O357" t="str">
        <f t="shared" si="55"/>
        <v/>
      </c>
      <c r="P357">
        <f t="shared" si="56"/>
        <v>0</v>
      </c>
      <c r="Q357" t="str">
        <f t="shared" si="57"/>
        <v/>
      </c>
    </row>
    <row r="358" spans="8:17">
      <c r="H358">
        <f t="shared" si="58"/>
        <v>0</v>
      </c>
      <c r="J358">
        <f t="shared" si="59"/>
        <v>0</v>
      </c>
      <c r="K358" t="str">
        <f t="shared" si="53"/>
        <v/>
      </c>
      <c r="L358" t="str">
        <f t="shared" si="54"/>
        <v/>
      </c>
      <c r="M358" t="str">
        <f t="shared" si="60"/>
        <v/>
      </c>
      <c r="N358">
        <f t="shared" si="61"/>
        <v>0</v>
      </c>
      <c r="O358" t="str">
        <f t="shared" si="55"/>
        <v/>
      </c>
      <c r="P358">
        <f t="shared" si="56"/>
        <v>0</v>
      </c>
      <c r="Q358" t="str">
        <f t="shared" si="57"/>
        <v/>
      </c>
    </row>
    <row r="359" spans="8:17">
      <c r="H359">
        <f t="shared" si="58"/>
        <v>0</v>
      </c>
      <c r="J359">
        <f t="shared" si="59"/>
        <v>0</v>
      </c>
      <c r="K359" t="str">
        <f t="shared" si="53"/>
        <v/>
      </c>
      <c r="L359" t="str">
        <f t="shared" si="54"/>
        <v/>
      </c>
      <c r="M359" t="str">
        <f t="shared" si="60"/>
        <v/>
      </c>
      <c r="N359">
        <f t="shared" si="61"/>
        <v>0</v>
      </c>
      <c r="O359" t="str">
        <f t="shared" si="55"/>
        <v/>
      </c>
      <c r="P359">
        <f t="shared" si="56"/>
        <v>0</v>
      </c>
      <c r="Q359" t="str">
        <f t="shared" si="57"/>
        <v/>
      </c>
    </row>
    <row r="360" spans="8:17">
      <c r="H360">
        <f t="shared" si="58"/>
        <v>0</v>
      </c>
      <c r="J360">
        <f t="shared" si="59"/>
        <v>0</v>
      </c>
      <c r="K360" t="str">
        <f t="shared" si="53"/>
        <v/>
      </c>
      <c r="L360" t="str">
        <f t="shared" si="54"/>
        <v/>
      </c>
      <c r="M360" t="str">
        <f t="shared" si="60"/>
        <v/>
      </c>
      <c r="N360">
        <f t="shared" si="61"/>
        <v>0</v>
      </c>
      <c r="O360" t="str">
        <f t="shared" si="55"/>
        <v/>
      </c>
      <c r="P360">
        <f t="shared" si="56"/>
        <v>0</v>
      </c>
      <c r="Q360" t="str">
        <f t="shared" si="57"/>
        <v/>
      </c>
    </row>
    <row r="361" spans="8:17">
      <c r="H361">
        <f t="shared" si="58"/>
        <v>0</v>
      </c>
      <c r="J361">
        <f t="shared" si="59"/>
        <v>0</v>
      </c>
      <c r="K361" t="str">
        <f t="shared" si="53"/>
        <v/>
      </c>
      <c r="L361" t="str">
        <f t="shared" si="54"/>
        <v/>
      </c>
      <c r="M361" t="str">
        <f t="shared" si="60"/>
        <v/>
      </c>
      <c r="N361">
        <f t="shared" si="61"/>
        <v>0</v>
      </c>
      <c r="O361" t="str">
        <f t="shared" si="55"/>
        <v/>
      </c>
      <c r="P361">
        <f t="shared" si="56"/>
        <v>0</v>
      </c>
      <c r="Q361" t="str">
        <f t="shared" si="57"/>
        <v/>
      </c>
    </row>
    <row r="362" spans="8:17">
      <c r="H362">
        <f t="shared" si="58"/>
        <v>0</v>
      </c>
      <c r="J362">
        <f t="shared" si="59"/>
        <v>0</v>
      </c>
      <c r="K362" t="str">
        <f t="shared" si="53"/>
        <v/>
      </c>
      <c r="L362" t="str">
        <f t="shared" si="54"/>
        <v/>
      </c>
      <c r="M362" t="str">
        <f t="shared" si="60"/>
        <v/>
      </c>
      <c r="N362">
        <f t="shared" si="61"/>
        <v>0</v>
      </c>
      <c r="O362" t="str">
        <f t="shared" si="55"/>
        <v/>
      </c>
      <c r="P362">
        <f t="shared" si="56"/>
        <v>0</v>
      </c>
      <c r="Q362" t="str">
        <f t="shared" si="57"/>
        <v/>
      </c>
    </row>
    <row r="363" spans="8:17">
      <c r="H363">
        <f t="shared" si="58"/>
        <v>0</v>
      </c>
      <c r="J363">
        <f t="shared" si="59"/>
        <v>0</v>
      </c>
      <c r="K363" t="str">
        <f t="shared" si="53"/>
        <v/>
      </c>
      <c r="L363" t="str">
        <f t="shared" si="54"/>
        <v/>
      </c>
      <c r="M363" t="str">
        <f t="shared" si="60"/>
        <v/>
      </c>
      <c r="N363">
        <f t="shared" si="61"/>
        <v>0</v>
      </c>
      <c r="O363" t="str">
        <f t="shared" si="55"/>
        <v/>
      </c>
      <c r="P363">
        <f t="shared" si="56"/>
        <v>0</v>
      </c>
      <c r="Q363" t="str">
        <f t="shared" si="57"/>
        <v/>
      </c>
    </row>
    <row r="364" spans="8:17">
      <c r="H364">
        <f t="shared" si="58"/>
        <v>0</v>
      </c>
      <c r="J364">
        <f t="shared" si="59"/>
        <v>0</v>
      </c>
      <c r="K364" t="str">
        <f t="shared" si="53"/>
        <v/>
      </c>
      <c r="L364" t="str">
        <f t="shared" si="54"/>
        <v/>
      </c>
      <c r="M364" t="str">
        <f t="shared" si="60"/>
        <v/>
      </c>
      <c r="N364">
        <f t="shared" si="61"/>
        <v>0</v>
      </c>
      <c r="O364" t="str">
        <f t="shared" si="55"/>
        <v/>
      </c>
      <c r="P364">
        <f t="shared" si="56"/>
        <v>0</v>
      </c>
      <c r="Q364" t="str">
        <f t="shared" si="57"/>
        <v/>
      </c>
    </row>
    <row r="365" spans="8:17">
      <c r="H365">
        <f t="shared" si="58"/>
        <v>0</v>
      </c>
      <c r="J365">
        <f t="shared" si="59"/>
        <v>0</v>
      </c>
      <c r="K365" t="str">
        <f t="shared" si="53"/>
        <v/>
      </c>
      <c r="L365" t="str">
        <f t="shared" si="54"/>
        <v/>
      </c>
      <c r="M365" t="str">
        <f t="shared" si="60"/>
        <v/>
      </c>
      <c r="N365">
        <f t="shared" si="61"/>
        <v>0</v>
      </c>
      <c r="O365" t="str">
        <f t="shared" si="55"/>
        <v/>
      </c>
      <c r="P365">
        <f t="shared" si="56"/>
        <v>0</v>
      </c>
      <c r="Q365" t="str">
        <f t="shared" si="57"/>
        <v/>
      </c>
    </row>
    <row r="366" spans="8:17">
      <c r="H366">
        <f t="shared" si="58"/>
        <v>0</v>
      </c>
      <c r="J366">
        <f t="shared" si="59"/>
        <v>0</v>
      </c>
      <c r="K366" t="str">
        <f t="shared" si="53"/>
        <v/>
      </c>
      <c r="L366" t="str">
        <f t="shared" si="54"/>
        <v/>
      </c>
      <c r="M366" t="str">
        <f t="shared" si="60"/>
        <v/>
      </c>
      <c r="N366">
        <f t="shared" si="61"/>
        <v>0</v>
      </c>
      <c r="O366" t="str">
        <f t="shared" si="55"/>
        <v/>
      </c>
      <c r="P366">
        <f t="shared" si="56"/>
        <v>0</v>
      </c>
      <c r="Q366" t="str">
        <f t="shared" si="57"/>
        <v/>
      </c>
    </row>
    <row r="367" spans="8:17">
      <c r="H367">
        <f t="shared" si="58"/>
        <v>0</v>
      </c>
      <c r="J367">
        <f t="shared" si="59"/>
        <v>0</v>
      </c>
      <c r="K367" t="str">
        <f t="shared" si="53"/>
        <v/>
      </c>
      <c r="L367" t="str">
        <f t="shared" si="54"/>
        <v/>
      </c>
      <c r="M367" t="str">
        <f t="shared" si="60"/>
        <v/>
      </c>
      <c r="N367">
        <f t="shared" si="61"/>
        <v>0</v>
      </c>
      <c r="O367" t="str">
        <f t="shared" si="55"/>
        <v/>
      </c>
      <c r="P367">
        <f t="shared" si="56"/>
        <v>0</v>
      </c>
      <c r="Q367" t="str">
        <f t="shared" si="57"/>
        <v/>
      </c>
    </row>
    <row r="368" spans="8:17">
      <c r="H368">
        <f t="shared" si="58"/>
        <v>0</v>
      </c>
      <c r="J368">
        <f t="shared" si="59"/>
        <v>0</v>
      </c>
      <c r="K368" t="str">
        <f t="shared" si="53"/>
        <v/>
      </c>
      <c r="L368" t="str">
        <f t="shared" si="54"/>
        <v/>
      </c>
      <c r="M368" t="str">
        <f t="shared" si="60"/>
        <v/>
      </c>
      <c r="N368">
        <f t="shared" si="61"/>
        <v>0</v>
      </c>
      <c r="O368" t="str">
        <f t="shared" si="55"/>
        <v/>
      </c>
      <c r="P368">
        <f t="shared" si="56"/>
        <v>0</v>
      </c>
      <c r="Q368" t="str">
        <f t="shared" si="57"/>
        <v/>
      </c>
    </row>
    <row r="369" spans="8:17">
      <c r="H369">
        <f t="shared" si="58"/>
        <v>0</v>
      </c>
      <c r="J369">
        <f t="shared" si="59"/>
        <v>0</v>
      </c>
      <c r="K369" t="str">
        <f t="shared" si="53"/>
        <v/>
      </c>
      <c r="L369" t="str">
        <f t="shared" si="54"/>
        <v/>
      </c>
      <c r="M369" t="str">
        <f t="shared" si="60"/>
        <v/>
      </c>
      <c r="N369">
        <f t="shared" si="61"/>
        <v>0</v>
      </c>
      <c r="O369" t="str">
        <f t="shared" si="55"/>
        <v/>
      </c>
      <c r="P369">
        <f t="shared" si="56"/>
        <v>0</v>
      </c>
      <c r="Q369" t="str">
        <f t="shared" si="57"/>
        <v/>
      </c>
    </row>
    <row r="370" spans="8:17">
      <c r="H370">
        <f t="shared" si="58"/>
        <v>0</v>
      </c>
      <c r="J370">
        <f t="shared" si="59"/>
        <v>0</v>
      </c>
      <c r="K370" t="str">
        <f t="shared" si="53"/>
        <v/>
      </c>
      <c r="L370" t="str">
        <f t="shared" si="54"/>
        <v/>
      </c>
      <c r="M370" t="str">
        <f t="shared" si="60"/>
        <v/>
      </c>
      <c r="N370">
        <f t="shared" si="61"/>
        <v>0</v>
      </c>
      <c r="O370" t="str">
        <f t="shared" si="55"/>
        <v/>
      </c>
      <c r="P370">
        <f t="shared" si="56"/>
        <v>0</v>
      </c>
      <c r="Q370" t="str">
        <f t="shared" si="57"/>
        <v/>
      </c>
    </row>
    <row r="371" spans="8:17">
      <c r="H371">
        <f t="shared" si="58"/>
        <v>0</v>
      </c>
      <c r="J371">
        <f t="shared" si="59"/>
        <v>0</v>
      </c>
      <c r="K371" t="str">
        <f t="shared" si="53"/>
        <v/>
      </c>
      <c r="L371" t="str">
        <f t="shared" si="54"/>
        <v/>
      </c>
      <c r="M371" t="str">
        <f t="shared" si="60"/>
        <v/>
      </c>
      <c r="N371">
        <f t="shared" si="61"/>
        <v>0</v>
      </c>
      <c r="O371" t="str">
        <f t="shared" si="55"/>
        <v/>
      </c>
      <c r="P371">
        <f t="shared" si="56"/>
        <v>0</v>
      </c>
      <c r="Q371" t="str">
        <f t="shared" si="57"/>
        <v/>
      </c>
    </row>
    <row r="372" spans="8:17">
      <c r="H372">
        <f t="shared" si="58"/>
        <v>0</v>
      </c>
      <c r="J372">
        <f t="shared" si="59"/>
        <v>0</v>
      </c>
      <c r="K372" t="str">
        <f t="shared" si="53"/>
        <v/>
      </c>
      <c r="L372" t="str">
        <f t="shared" si="54"/>
        <v/>
      </c>
      <c r="M372" t="str">
        <f t="shared" si="60"/>
        <v/>
      </c>
      <c r="N372">
        <f t="shared" si="61"/>
        <v>0</v>
      </c>
      <c r="O372" t="str">
        <f t="shared" si="55"/>
        <v/>
      </c>
      <c r="P372">
        <f t="shared" si="56"/>
        <v>0</v>
      </c>
      <c r="Q372" t="str">
        <f t="shared" si="57"/>
        <v/>
      </c>
    </row>
    <row r="373" spans="8:17">
      <c r="H373">
        <f t="shared" si="58"/>
        <v>0</v>
      </c>
      <c r="J373">
        <f t="shared" si="59"/>
        <v>0</v>
      </c>
      <c r="K373" t="str">
        <f t="shared" si="53"/>
        <v/>
      </c>
      <c r="L373" t="str">
        <f t="shared" si="54"/>
        <v/>
      </c>
      <c r="M373" t="str">
        <f t="shared" si="60"/>
        <v/>
      </c>
      <c r="N373">
        <f t="shared" si="61"/>
        <v>0</v>
      </c>
      <c r="O373" t="str">
        <f t="shared" si="55"/>
        <v/>
      </c>
      <c r="P373">
        <f t="shared" si="56"/>
        <v>0</v>
      </c>
      <c r="Q373" t="str">
        <f t="shared" si="57"/>
        <v/>
      </c>
    </row>
    <row r="374" spans="8:17">
      <c r="H374">
        <f t="shared" si="58"/>
        <v>0</v>
      </c>
      <c r="J374">
        <f t="shared" si="59"/>
        <v>0</v>
      </c>
      <c r="K374" t="str">
        <f t="shared" si="53"/>
        <v/>
      </c>
      <c r="L374" t="str">
        <f t="shared" si="54"/>
        <v/>
      </c>
      <c r="M374" t="str">
        <f t="shared" si="60"/>
        <v/>
      </c>
      <c r="N374">
        <f t="shared" si="61"/>
        <v>0</v>
      </c>
      <c r="O374" t="str">
        <f t="shared" si="55"/>
        <v/>
      </c>
      <c r="P374">
        <f t="shared" si="56"/>
        <v>0</v>
      </c>
      <c r="Q374" t="str">
        <f t="shared" si="57"/>
        <v/>
      </c>
    </row>
    <row r="375" spans="8:17">
      <c r="H375">
        <f t="shared" si="58"/>
        <v>0</v>
      </c>
      <c r="J375">
        <f t="shared" si="59"/>
        <v>0</v>
      </c>
      <c r="K375" t="str">
        <f t="shared" si="53"/>
        <v/>
      </c>
      <c r="L375" t="str">
        <f t="shared" si="54"/>
        <v/>
      </c>
      <c r="M375" t="str">
        <f t="shared" si="60"/>
        <v/>
      </c>
      <c r="N375">
        <f t="shared" si="61"/>
        <v>0</v>
      </c>
      <c r="O375" t="str">
        <f t="shared" si="55"/>
        <v/>
      </c>
      <c r="P375">
        <f t="shared" si="56"/>
        <v>0</v>
      </c>
      <c r="Q375" t="str">
        <f t="shared" si="57"/>
        <v/>
      </c>
    </row>
    <row r="376" spans="8:17">
      <c r="H376">
        <f t="shared" si="58"/>
        <v>0</v>
      </c>
      <c r="J376">
        <f t="shared" si="59"/>
        <v>0</v>
      </c>
      <c r="K376" t="str">
        <f t="shared" si="53"/>
        <v/>
      </c>
      <c r="L376" t="str">
        <f t="shared" si="54"/>
        <v/>
      </c>
      <c r="M376" t="str">
        <f t="shared" si="60"/>
        <v/>
      </c>
      <c r="N376">
        <f t="shared" si="61"/>
        <v>0</v>
      </c>
      <c r="O376" t="str">
        <f t="shared" si="55"/>
        <v/>
      </c>
      <c r="P376">
        <f t="shared" si="56"/>
        <v>0</v>
      </c>
      <c r="Q376" t="str">
        <f t="shared" si="57"/>
        <v/>
      </c>
    </row>
    <row r="377" spans="8:17">
      <c r="H377">
        <f t="shared" si="58"/>
        <v>0</v>
      </c>
      <c r="J377">
        <f t="shared" si="59"/>
        <v>0</v>
      </c>
      <c r="K377" t="str">
        <f t="shared" si="53"/>
        <v/>
      </c>
      <c r="L377" t="str">
        <f t="shared" si="54"/>
        <v/>
      </c>
      <c r="M377" t="str">
        <f t="shared" si="60"/>
        <v/>
      </c>
      <c r="N377">
        <f t="shared" si="61"/>
        <v>0</v>
      </c>
      <c r="O377" t="str">
        <f t="shared" si="55"/>
        <v/>
      </c>
      <c r="P377">
        <f t="shared" si="56"/>
        <v>0</v>
      </c>
      <c r="Q377" t="str">
        <f t="shared" si="57"/>
        <v/>
      </c>
    </row>
    <row r="378" spans="8:17">
      <c r="H378">
        <f t="shared" si="58"/>
        <v>0</v>
      </c>
      <c r="J378">
        <f t="shared" si="59"/>
        <v>0</v>
      </c>
      <c r="K378" t="str">
        <f t="shared" si="53"/>
        <v/>
      </c>
      <c r="L378" t="str">
        <f t="shared" si="54"/>
        <v/>
      </c>
      <c r="M378" t="str">
        <f t="shared" si="60"/>
        <v/>
      </c>
      <c r="N378">
        <f t="shared" si="61"/>
        <v>0</v>
      </c>
      <c r="O378" t="str">
        <f t="shared" si="55"/>
        <v/>
      </c>
      <c r="P378">
        <f t="shared" si="56"/>
        <v>0</v>
      </c>
      <c r="Q378" t="str">
        <f t="shared" si="57"/>
        <v/>
      </c>
    </row>
    <row r="379" spans="8:17">
      <c r="H379">
        <f t="shared" si="58"/>
        <v>0</v>
      </c>
      <c r="J379">
        <f t="shared" si="59"/>
        <v>0</v>
      </c>
      <c r="K379" t="str">
        <f t="shared" si="53"/>
        <v/>
      </c>
      <c r="L379" t="str">
        <f t="shared" si="54"/>
        <v/>
      </c>
      <c r="M379" t="str">
        <f t="shared" si="60"/>
        <v/>
      </c>
      <c r="N379">
        <f t="shared" si="61"/>
        <v>0</v>
      </c>
      <c r="O379" t="str">
        <f t="shared" si="55"/>
        <v/>
      </c>
      <c r="P379">
        <f t="shared" si="56"/>
        <v>0</v>
      </c>
      <c r="Q379" t="str">
        <f t="shared" si="57"/>
        <v/>
      </c>
    </row>
    <row r="380" spans="8:17">
      <c r="H380">
        <f t="shared" si="58"/>
        <v>0</v>
      </c>
      <c r="J380">
        <f t="shared" si="59"/>
        <v>0</v>
      </c>
      <c r="K380" t="str">
        <f t="shared" si="53"/>
        <v/>
      </c>
      <c r="L380" t="str">
        <f t="shared" si="54"/>
        <v/>
      </c>
      <c r="M380" t="str">
        <f t="shared" si="60"/>
        <v/>
      </c>
      <c r="N380">
        <f t="shared" si="61"/>
        <v>0</v>
      </c>
      <c r="O380" t="str">
        <f t="shared" si="55"/>
        <v/>
      </c>
      <c r="P380">
        <f t="shared" si="56"/>
        <v>0</v>
      </c>
      <c r="Q380" t="str">
        <f t="shared" si="57"/>
        <v/>
      </c>
    </row>
    <row r="381" spans="8:17">
      <c r="H381">
        <f t="shared" si="58"/>
        <v>0</v>
      </c>
      <c r="J381">
        <f t="shared" si="59"/>
        <v>0</v>
      </c>
      <c r="K381" t="str">
        <f t="shared" si="53"/>
        <v/>
      </c>
      <c r="L381" t="str">
        <f t="shared" si="54"/>
        <v/>
      </c>
      <c r="M381" t="str">
        <f t="shared" si="60"/>
        <v/>
      </c>
      <c r="N381">
        <f t="shared" si="61"/>
        <v>0</v>
      </c>
      <c r="O381" t="str">
        <f t="shared" si="55"/>
        <v/>
      </c>
      <c r="P381">
        <f t="shared" si="56"/>
        <v>0</v>
      </c>
      <c r="Q381" t="str">
        <f t="shared" si="57"/>
        <v/>
      </c>
    </row>
    <row r="382" spans="8:17">
      <c r="H382">
        <f t="shared" si="58"/>
        <v>0</v>
      </c>
      <c r="J382">
        <f t="shared" si="59"/>
        <v>0</v>
      </c>
      <c r="K382" t="str">
        <f t="shared" si="53"/>
        <v/>
      </c>
      <c r="L382" t="str">
        <f t="shared" si="54"/>
        <v/>
      </c>
      <c r="M382" t="str">
        <f t="shared" si="60"/>
        <v/>
      </c>
      <c r="N382">
        <f t="shared" si="61"/>
        <v>0</v>
      </c>
      <c r="O382" t="str">
        <f t="shared" si="55"/>
        <v/>
      </c>
      <c r="P382">
        <f t="shared" si="56"/>
        <v>0</v>
      </c>
      <c r="Q382" t="str">
        <f t="shared" si="57"/>
        <v/>
      </c>
    </row>
    <row r="383" spans="8:17">
      <c r="H383">
        <f t="shared" si="58"/>
        <v>0</v>
      </c>
      <c r="J383">
        <f t="shared" si="59"/>
        <v>0</v>
      </c>
      <c r="K383" t="str">
        <f t="shared" si="53"/>
        <v/>
      </c>
      <c r="L383" t="str">
        <f t="shared" si="54"/>
        <v/>
      </c>
      <c r="M383" t="str">
        <f t="shared" si="60"/>
        <v/>
      </c>
      <c r="N383">
        <f t="shared" si="61"/>
        <v>0</v>
      </c>
      <c r="O383" t="str">
        <f t="shared" si="55"/>
        <v/>
      </c>
      <c r="P383">
        <f t="shared" si="56"/>
        <v>0</v>
      </c>
      <c r="Q383" t="str">
        <f t="shared" si="57"/>
        <v/>
      </c>
    </row>
    <row r="384" spans="8:17">
      <c r="H384">
        <f t="shared" si="58"/>
        <v>0</v>
      </c>
      <c r="J384">
        <f t="shared" si="59"/>
        <v>0</v>
      </c>
      <c r="K384" t="str">
        <f t="shared" si="53"/>
        <v/>
      </c>
      <c r="L384" t="str">
        <f t="shared" si="54"/>
        <v/>
      </c>
      <c r="M384" t="str">
        <f t="shared" si="60"/>
        <v/>
      </c>
      <c r="N384">
        <f t="shared" si="61"/>
        <v>0</v>
      </c>
      <c r="O384" t="str">
        <f t="shared" si="55"/>
        <v/>
      </c>
      <c r="P384">
        <f t="shared" si="56"/>
        <v>0</v>
      </c>
      <c r="Q384" t="str">
        <f t="shared" si="57"/>
        <v/>
      </c>
    </row>
    <row r="385" spans="8:17">
      <c r="H385">
        <f t="shared" si="58"/>
        <v>0</v>
      </c>
      <c r="J385">
        <f t="shared" si="59"/>
        <v>0</v>
      </c>
      <c r="K385" t="str">
        <f t="shared" si="53"/>
        <v/>
      </c>
      <c r="L385" t="str">
        <f t="shared" si="54"/>
        <v/>
      </c>
      <c r="M385" t="str">
        <f t="shared" si="60"/>
        <v/>
      </c>
      <c r="N385">
        <f t="shared" si="61"/>
        <v>0</v>
      </c>
      <c r="O385" t="str">
        <f t="shared" si="55"/>
        <v/>
      </c>
      <c r="P385">
        <f t="shared" si="56"/>
        <v>0</v>
      </c>
      <c r="Q385" t="str">
        <f t="shared" si="57"/>
        <v/>
      </c>
    </row>
    <row r="386" spans="8:17">
      <c r="H386">
        <f t="shared" si="58"/>
        <v>0</v>
      </c>
      <c r="J386">
        <f t="shared" si="59"/>
        <v>0</v>
      </c>
      <c r="K386" t="str">
        <f t="shared" ref="K386:K449" si="62">IF($C386="","",IF(LEN($C386)=1,CODE(UPPER($C386))-64,IFERROR(VALUE(MID($C386,2,99)),"")))</f>
        <v/>
      </c>
      <c r="L386" t="str">
        <f t="shared" ref="L386:L449" si="63">IF($D386="","",IFERROR(VALUE($D386),""))</f>
        <v/>
      </c>
      <c r="M386" t="str">
        <f t="shared" si="60"/>
        <v/>
      </c>
      <c r="N386">
        <f t="shared" si="61"/>
        <v>0</v>
      </c>
      <c r="O386" t="str">
        <f t="shared" ref="O386:O449" si="64">IF(AND($C386&lt;&gt;"",ISNUMBER(--$D386)),LEFT($C386,1),"")</f>
        <v/>
      </c>
      <c r="P386">
        <f t="shared" ref="P386:P449" si="65">IF(ISNUMBER(--$D386),--$D386,"")</f>
        <v>0</v>
      </c>
      <c r="Q386" t="str">
        <f t="shared" ref="Q386:Q449" si="66">IF(AND($O386&lt;&gt;"",$P386&lt;&gt;""),$O386&amp;TEXT($P386,"00"),"")</f>
        <v/>
      </c>
    </row>
    <row r="387" spans="8:17">
      <c r="H387">
        <f t="shared" si="58"/>
        <v>0</v>
      </c>
      <c r="J387">
        <f t="shared" si="59"/>
        <v>0</v>
      </c>
      <c r="K387" t="str">
        <f t="shared" si="62"/>
        <v/>
      </c>
      <c r="L387" t="str">
        <f t="shared" si="63"/>
        <v/>
      </c>
      <c r="M387" t="str">
        <f t="shared" si="60"/>
        <v/>
      </c>
      <c r="N387">
        <f t="shared" si="61"/>
        <v>0</v>
      </c>
      <c r="O387" t="str">
        <f t="shared" si="64"/>
        <v/>
      </c>
      <c r="P387">
        <f t="shared" si="65"/>
        <v>0</v>
      </c>
      <c r="Q387" t="str">
        <f t="shared" si="66"/>
        <v/>
      </c>
    </row>
    <row r="388" spans="8:17">
      <c r="H388">
        <f t="shared" si="58"/>
        <v>0</v>
      </c>
      <c r="J388">
        <f t="shared" si="59"/>
        <v>0</v>
      </c>
      <c r="K388" t="str">
        <f t="shared" si="62"/>
        <v/>
      </c>
      <c r="L388" t="str">
        <f t="shared" si="63"/>
        <v/>
      </c>
      <c r="M388" t="str">
        <f t="shared" si="60"/>
        <v/>
      </c>
      <c r="N388">
        <f t="shared" si="61"/>
        <v>0</v>
      </c>
      <c r="O388" t="str">
        <f t="shared" si="64"/>
        <v/>
      </c>
      <c r="P388">
        <f t="shared" si="65"/>
        <v>0</v>
      </c>
      <c r="Q388" t="str">
        <f t="shared" si="66"/>
        <v/>
      </c>
    </row>
    <row r="389" spans="8:17">
      <c r="H389">
        <f t="shared" si="58"/>
        <v>0</v>
      </c>
      <c r="J389">
        <f t="shared" si="59"/>
        <v>0</v>
      </c>
      <c r="K389" t="str">
        <f t="shared" si="62"/>
        <v/>
      </c>
      <c r="L389" t="str">
        <f t="shared" si="63"/>
        <v/>
      </c>
      <c r="M389" t="str">
        <f t="shared" si="60"/>
        <v/>
      </c>
      <c r="N389">
        <f t="shared" si="61"/>
        <v>0</v>
      </c>
      <c r="O389" t="str">
        <f t="shared" si="64"/>
        <v/>
      </c>
      <c r="P389">
        <f t="shared" si="65"/>
        <v>0</v>
      </c>
      <c r="Q389" t="str">
        <f t="shared" si="66"/>
        <v/>
      </c>
    </row>
    <row r="390" spans="8:17">
      <c r="H390">
        <f t="shared" ref="H390:H453" si="67">A390</f>
        <v>0</v>
      </c>
      <c r="J390">
        <f t="shared" ref="J390:J453" si="68">IF($I390&lt;&gt;"",$I390,$A390)</f>
        <v>0</v>
      </c>
      <c r="K390" t="str">
        <f t="shared" si="62"/>
        <v/>
      </c>
      <c r="L390" t="str">
        <f t="shared" si="63"/>
        <v/>
      </c>
      <c r="M390" t="str">
        <f t="shared" ref="M390:M453" si="69">IFERROR(VALUE(MID($A390,FIND("Level",$A390)+5,99)),IF($E390="AISLE_FLOOR",0,IF($E390="OVERFLOW",0,IF($E390="ENDCAP",0,""))))</f>
        <v/>
      </c>
      <c r="N390">
        <f t="shared" ref="N390:N453" si="70">IF(AND($B390&lt;&gt;"",$C390&lt;&gt;"",ISNUMBER(--$D390)), $B390&amp;": "&amp;LEFT($C390,1)&amp;TEXT(--$D390,"00"), IF($I390&lt;&gt;"",$I390,$A390))</f>
        <v>0</v>
      </c>
      <c r="O390" t="str">
        <f t="shared" si="64"/>
        <v/>
      </c>
      <c r="P390">
        <f t="shared" si="65"/>
        <v>0</v>
      </c>
      <c r="Q390" t="str">
        <f t="shared" si="66"/>
        <v/>
      </c>
    </row>
    <row r="391" spans="8:17">
      <c r="H391">
        <f t="shared" si="67"/>
        <v>0</v>
      </c>
      <c r="J391">
        <f t="shared" si="68"/>
        <v>0</v>
      </c>
      <c r="K391" t="str">
        <f t="shared" si="62"/>
        <v/>
      </c>
      <c r="L391" t="str">
        <f t="shared" si="63"/>
        <v/>
      </c>
      <c r="M391" t="str">
        <f t="shared" si="69"/>
        <v/>
      </c>
      <c r="N391">
        <f t="shared" si="70"/>
        <v>0</v>
      </c>
      <c r="O391" t="str">
        <f t="shared" si="64"/>
        <v/>
      </c>
      <c r="P391">
        <f t="shared" si="65"/>
        <v>0</v>
      </c>
      <c r="Q391" t="str">
        <f t="shared" si="66"/>
        <v/>
      </c>
    </row>
    <row r="392" spans="8:17">
      <c r="H392">
        <f t="shared" si="67"/>
        <v>0</v>
      </c>
      <c r="J392">
        <f t="shared" si="68"/>
        <v>0</v>
      </c>
      <c r="K392" t="str">
        <f t="shared" si="62"/>
        <v/>
      </c>
      <c r="L392" t="str">
        <f t="shared" si="63"/>
        <v/>
      </c>
      <c r="M392" t="str">
        <f t="shared" si="69"/>
        <v/>
      </c>
      <c r="N392">
        <f t="shared" si="70"/>
        <v>0</v>
      </c>
      <c r="O392" t="str">
        <f t="shared" si="64"/>
        <v/>
      </c>
      <c r="P392">
        <f t="shared" si="65"/>
        <v>0</v>
      </c>
      <c r="Q392" t="str">
        <f t="shared" si="66"/>
        <v/>
      </c>
    </row>
    <row r="393" spans="8:17">
      <c r="H393">
        <f t="shared" si="67"/>
        <v>0</v>
      </c>
      <c r="J393">
        <f t="shared" si="68"/>
        <v>0</v>
      </c>
      <c r="K393" t="str">
        <f t="shared" si="62"/>
        <v/>
      </c>
      <c r="L393" t="str">
        <f t="shared" si="63"/>
        <v/>
      </c>
      <c r="M393" t="str">
        <f t="shared" si="69"/>
        <v/>
      </c>
      <c r="N393">
        <f t="shared" si="70"/>
        <v>0</v>
      </c>
      <c r="O393" t="str">
        <f t="shared" si="64"/>
        <v/>
      </c>
      <c r="P393">
        <f t="shared" si="65"/>
        <v>0</v>
      </c>
      <c r="Q393" t="str">
        <f t="shared" si="66"/>
        <v/>
      </c>
    </row>
    <row r="394" spans="8:17">
      <c r="H394">
        <f t="shared" si="67"/>
        <v>0</v>
      </c>
      <c r="J394">
        <f t="shared" si="68"/>
        <v>0</v>
      </c>
      <c r="K394" t="str">
        <f t="shared" si="62"/>
        <v/>
      </c>
      <c r="L394" t="str">
        <f t="shared" si="63"/>
        <v/>
      </c>
      <c r="M394" t="str">
        <f t="shared" si="69"/>
        <v/>
      </c>
      <c r="N394">
        <f t="shared" si="70"/>
        <v>0</v>
      </c>
      <c r="O394" t="str">
        <f t="shared" si="64"/>
        <v/>
      </c>
      <c r="P394">
        <f t="shared" si="65"/>
        <v>0</v>
      </c>
      <c r="Q394" t="str">
        <f t="shared" si="66"/>
        <v/>
      </c>
    </row>
    <row r="395" spans="8:17">
      <c r="H395">
        <f t="shared" si="67"/>
        <v>0</v>
      </c>
      <c r="J395">
        <f t="shared" si="68"/>
        <v>0</v>
      </c>
      <c r="K395" t="str">
        <f t="shared" si="62"/>
        <v/>
      </c>
      <c r="L395" t="str">
        <f t="shared" si="63"/>
        <v/>
      </c>
      <c r="M395" t="str">
        <f t="shared" si="69"/>
        <v/>
      </c>
      <c r="N395">
        <f t="shared" si="70"/>
        <v>0</v>
      </c>
      <c r="O395" t="str">
        <f t="shared" si="64"/>
        <v/>
      </c>
      <c r="P395">
        <f t="shared" si="65"/>
        <v>0</v>
      </c>
      <c r="Q395" t="str">
        <f t="shared" si="66"/>
        <v/>
      </c>
    </row>
    <row r="396" spans="8:17">
      <c r="H396">
        <f t="shared" si="67"/>
        <v>0</v>
      </c>
      <c r="J396">
        <f t="shared" si="68"/>
        <v>0</v>
      </c>
      <c r="K396" t="str">
        <f t="shared" si="62"/>
        <v/>
      </c>
      <c r="L396" t="str">
        <f t="shared" si="63"/>
        <v/>
      </c>
      <c r="M396" t="str">
        <f t="shared" si="69"/>
        <v/>
      </c>
      <c r="N396">
        <f t="shared" si="70"/>
        <v>0</v>
      </c>
      <c r="O396" t="str">
        <f t="shared" si="64"/>
        <v/>
      </c>
      <c r="P396">
        <f t="shared" si="65"/>
        <v>0</v>
      </c>
      <c r="Q396" t="str">
        <f t="shared" si="66"/>
        <v/>
      </c>
    </row>
    <row r="397" spans="8:17">
      <c r="H397">
        <f t="shared" si="67"/>
        <v>0</v>
      </c>
      <c r="J397">
        <f t="shared" si="68"/>
        <v>0</v>
      </c>
      <c r="K397" t="str">
        <f t="shared" si="62"/>
        <v/>
      </c>
      <c r="L397" t="str">
        <f t="shared" si="63"/>
        <v/>
      </c>
      <c r="M397" t="str">
        <f t="shared" si="69"/>
        <v/>
      </c>
      <c r="N397">
        <f t="shared" si="70"/>
        <v>0</v>
      </c>
      <c r="O397" t="str">
        <f t="shared" si="64"/>
        <v/>
      </c>
      <c r="P397">
        <f t="shared" si="65"/>
        <v>0</v>
      </c>
      <c r="Q397" t="str">
        <f t="shared" si="66"/>
        <v/>
      </c>
    </row>
    <row r="398" spans="8:17">
      <c r="H398">
        <f t="shared" si="67"/>
        <v>0</v>
      </c>
      <c r="J398">
        <f t="shared" si="68"/>
        <v>0</v>
      </c>
      <c r="K398" t="str">
        <f t="shared" si="62"/>
        <v/>
      </c>
      <c r="L398" t="str">
        <f t="shared" si="63"/>
        <v/>
      </c>
      <c r="M398" t="str">
        <f t="shared" si="69"/>
        <v/>
      </c>
      <c r="N398">
        <f t="shared" si="70"/>
        <v>0</v>
      </c>
      <c r="O398" t="str">
        <f t="shared" si="64"/>
        <v/>
      </c>
      <c r="P398">
        <f t="shared" si="65"/>
        <v>0</v>
      </c>
      <c r="Q398" t="str">
        <f t="shared" si="66"/>
        <v/>
      </c>
    </row>
    <row r="399" spans="8:17">
      <c r="H399">
        <f t="shared" si="67"/>
        <v>0</v>
      </c>
      <c r="J399">
        <f t="shared" si="68"/>
        <v>0</v>
      </c>
      <c r="K399" t="str">
        <f t="shared" si="62"/>
        <v/>
      </c>
      <c r="L399" t="str">
        <f t="shared" si="63"/>
        <v/>
      </c>
      <c r="M399" t="str">
        <f t="shared" si="69"/>
        <v/>
      </c>
      <c r="N399">
        <f t="shared" si="70"/>
        <v>0</v>
      </c>
      <c r="O399" t="str">
        <f t="shared" si="64"/>
        <v/>
      </c>
      <c r="P399">
        <f t="shared" si="65"/>
        <v>0</v>
      </c>
      <c r="Q399" t="str">
        <f t="shared" si="66"/>
        <v/>
      </c>
    </row>
    <row r="400" spans="8:17">
      <c r="H400">
        <f t="shared" si="67"/>
        <v>0</v>
      </c>
      <c r="J400">
        <f t="shared" si="68"/>
        <v>0</v>
      </c>
      <c r="K400" t="str">
        <f t="shared" si="62"/>
        <v/>
      </c>
      <c r="L400" t="str">
        <f t="shared" si="63"/>
        <v/>
      </c>
      <c r="M400" t="str">
        <f t="shared" si="69"/>
        <v/>
      </c>
      <c r="N400">
        <f t="shared" si="70"/>
        <v>0</v>
      </c>
      <c r="O400" t="str">
        <f t="shared" si="64"/>
        <v/>
      </c>
      <c r="P400">
        <f t="shared" si="65"/>
        <v>0</v>
      </c>
      <c r="Q400" t="str">
        <f t="shared" si="66"/>
        <v/>
      </c>
    </row>
    <row r="401" spans="8:17">
      <c r="H401">
        <f t="shared" si="67"/>
        <v>0</v>
      </c>
      <c r="J401">
        <f t="shared" si="68"/>
        <v>0</v>
      </c>
      <c r="K401" t="str">
        <f t="shared" si="62"/>
        <v/>
      </c>
      <c r="L401" t="str">
        <f t="shared" si="63"/>
        <v/>
      </c>
      <c r="M401" t="str">
        <f t="shared" si="69"/>
        <v/>
      </c>
      <c r="N401">
        <f t="shared" si="70"/>
        <v>0</v>
      </c>
      <c r="O401" t="str">
        <f t="shared" si="64"/>
        <v/>
      </c>
      <c r="P401">
        <f t="shared" si="65"/>
        <v>0</v>
      </c>
      <c r="Q401" t="str">
        <f t="shared" si="66"/>
        <v/>
      </c>
    </row>
    <row r="402" spans="8:17">
      <c r="H402">
        <f t="shared" si="67"/>
        <v>0</v>
      </c>
      <c r="J402">
        <f t="shared" si="68"/>
        <v>0</v>
      </c>
      <c r="K402" t="str">
        <f t="shared" si="62"/>
        <v/>
      </c>
      <c r="L402" t="str">
        <f t="shared" si="63"/>
        <v/>
      </c>
      <c r="M402" t="str">
        <f t="shared" si="69"/>
        <v/>
      </c>
      <c r="N402">
        <f t="shared" si="70"/>
        <v>0</v>
      </c>
      <c r="O402" t="str">
        <f t="shared" si="64"/>
        <v/>
      </c>
      <c r="P402">
        <f t="shared" si="65"/>
        <v>0</v>
      </c>
      <c r="Q402" t="str">
        <f t="shared" si="66"/>
        <v/>
      </c>
    </row>
    <row r="403" spans="8:17">
      <c r="H403">
        <f t="shared" si="67"/>
        <v>0</v>
      </c>
      <c r="J403">
        <f t="shared" si="68"/>
        <v>0</v>
      </c>
      <c r="K403" t="str">
        <f t="shared" si="62"/>
        <v/>
      </c>
      <c r="L403" t="str">
        <f t="shared" si="63"/>
        <v/>
      </c>
      <c r="M403" t="str">
        <f t="shared" si="69"/>
        <v/>
      </c>
      <c r="N403">
        <f t="shared" si="70"/>
        <v>0</v>
      </c>
      <c r="O403" t="str">
        <f t="shared" si="64"/>
        <v/>
      </c>
      <c r="P403">
        <f t="shared" si="65"/>
        <v>0</v>
      </c>
      <c r="Q403" t="str">
        <f t="shared" si="66"/>
        <v/>
      </c>
    </row>
    <row r="404" spans="8:17">
      <c r="H404">
        <f t="shared" si="67"/>
        <v>0</v>
      </c>
      <c r="J404">
        <f t="shared" si="68"/>
        <v>0</v>
      </c>
      <c r="K404" t="str">
        <f t="shared" si="62"/>
        <v/>
      </c>
      <c r="L404" t="str">
        <f t="shared" si="63"/>
        <v/>
      </c>
      <c r="M404" t="str">
        <f t="shared" si="69"/>
        <v/>
      </c>
      <c r="N404">
        <f t="shared" si="70"/>
        <v>0</v>
      </c>
      <c r="O404" t="str">
        <f t="shared" si="64"/>
        <v/>
      </c>
      <c r="P404">
        <f t="shared" si="65"/>
        <v>0</v>
      </c>
      <c r="Q404" t="str">
        <f t="shared" si="66"/>
        <v/>
      </c>
    </row>
    <row r="405" spans="8:17">
      <c r="H405">
        <f t="shared" si="67"/>
        <v>0</v>
      </c>
      <c r="J405">
        <f t="shared" si="68"/>
        <v>0</v>
      </c>
      <c r="K405" t="str">
        <f t="shared" si="62"/>
        <v/>
      </c>
      <c r="L405" t="str">
        <f t="shared" si="63"/>
        <v/>
      </c>
      <c r="M405" t="str">
        <f t="shared" si="69"/>
        <v/>
      </c>
      <c r="N405">
        <f t="shared" si="70"/>
        <v>0</v>
      </c>
      <c r="O405" t="str">
        <f t="shared" si="64"/>
        <v/>
      </c>
      <c r="P405">
        <f t="shared" si="65"/>
        <v>0</v>
      </c>
      <c r="Q405" t="str">
        <f t="shared" si="66"/>
        <v/>
      </c>
    </row>
    <row r="406" spans="8:17">
      <c r="H406">
        <f t="shared" si="67"/>
        <v>0</v>
      </c>
      <c r="J406">
        <f t="shared" si="68"/>
        <v>0</v>
      </c>
      <c r="K406" t="str">
        <f t="shared" si="62"/>
        <v/>
      </c>
      <c r="L406" t="str">
        <f t="shared" si="63"/>
        <v/>
      </c>
      <c r="M406" t="str">
        <f t="shared" si="69"/>
        <v/>
      </c>
      <c r="N406">
        <f t="shared" si="70"/>
        <v>0</v>
      </c>
      <c r="O406" t="str">
        <f t="shared" si="64"/>
        <v/>
      </c>
      <c r="P406">
        <f t="shared" si="65"/>
        <v>0</v>
      </c>
      <c r="Q406" t="str">
        <f t="shared" si="66"/>
        <v/>
      </c>
    </row>
    <row r="407" spans="8:17">
      <c r="H407">
        <f t="shared" si="67"/>
        <v>0</v>
      </c>
      <c r="J407">
        <f t="shared" si="68"/>
        <v>0</v>
      </c>
      <c r="K407" t="str">
        <f t="shared" si="62"/>
        <v/>
      </c>
      <c r="L407" t="str">
        <f t="shared" si="63"/>
        <v/>
      </c>
      <c r="M407" t="str">
        <f t="shared" si="69"/>
        <v/>
      </c>
      <c r="N407">
        <f t="shared" si="70"/>
        <v>0</v>
      </c>
      <c r="O407" t="str">
        <f t="shared" si="64"/>
        <v/>
      </c>
      <c r="P407">
        <f t="shared" si="65"/>
        <v>0</v>
      </c>
      <c r="Q407" t="str">
        <f t="shared" si="66"/>
        <v/>
      </c>
    </row>
    <row r="408" spans="8:17">
      <c r="H408">
        <f t="shared" si="67"/>
        <v>0</v>
      </c>
      <c r="J408">
        <f t="shared" si="68"/>
        <v>0</v>
      </c>
      <c r="K408" t="str">
        <f t="shared" si="62"/>
        <v/>
      </c>
      <c r="L408" t="str">
        <f t="shared" si="63"/>
        <v/>
      </c>
      <c r="M408" t="str">
        <f t="shared" si="69"/>
        <v/>
      </c>
      <c r="N408">
        <f t="shared" si="70"/>
        <v>0</v>
      </c>
      <c r="O408" t="str">
        <f t="shared" si="64"/>
        <v/>
      </c>
      <c r="P408">
        <f t="shared" si="65"/>
        <v>0</v>
      </c>
      <c r="Q408" t="str">
        <f t="shared" si="66"/>
        <v/>
      </c>
    </row>
    <row r="409" spans="8:17">
      <c r="H409">
        <f t="shared" si="67"/>
        <v>0</v>
      </c>
      <c r="J409">
        <f t="shared" si="68"/>
        <v>0</v>
      </c>
      <c r="K409" t="str">
        <f t="shared" si="62"/>
        <v/>
      </c>
      <c r="L409" t="str">
        <f t="shared" si="63"/>
        <v/>
      </c>
      <c r="M409" t="str">
        <f t="shared" si="69"/>
        <v/>
      </c>
      <c r="N409">
        <f t="shared" si="70"/>
        <v>0</v>
      </c>
      <c r="O409" t="str">
        <f t="shared" si="64"/>
        <v/>
      </c>
      <c r="P409">
        <f t="shared" si="65"/>
        <v>0</v>
      </c>
      <c r="Q409" t="str">
        <f t="shared" si="66"/>
        <v/>
      </c>
    </row>
    <row r="410" spans="8:17">
      <c r="H410">
        <f t="shared" si="67"/>
        <v>0</v>
      </c>
      <c r="J410">
        <f t="shared" si="68"/>
        <v>0</v>
      </c>
      <c r="K410" t="str">
        <f t="shared" si="62"/>
        <v/>
      </c>
      <c r="L410" t="str">
        <f t="shared" si="63"/>
        <v/>
      </c>
      <c r="M410" t="str">
        <f t="shared" si="69"/>
        <v/>
      </c>
      <c r="N410">
        <f t="shared" si="70"/>
        <v>0</v>
      </c>
      <c r="O410" t="str">
        <f t="shared" si="64"/>
        <v/>
      </c>
      <c r="P410">
        <f t="shared" si="65"/>
        <v>0</v>
      </c>
      <c r="Q410" t="str">
        <f t="shared" si="66"/>
        <v/>
      </c>
    </row>
    <row r="411" spans="8:17">
      <c r="H411">
        <f t="shared" si="67"/>
        <v>0</v>
      </c>
      <c r="J411">
        <f t="shared" si="68"/>
        <v>0</v>
      </c>
      <c r="K411" t="str">
        <f t="shared" si="62"/>
        <v/>
      </c>
      <c r="L411" t="str">
        <f t="shared" si="63"/>
        <v/>
      </c>
      <c r="M411" t="str">
        <f t="shared" si="69"/>
        <v/>
      </c>
      <c r="N411">
        <f t="shared" si="70"/>
        <v>0</v>
      </c>
      <c r="O411" t="str">
        <f t="shared" si="64"/>
        <v/>
      </c>
      <c r="P411">
        <f t="shared" si="65"/>
        <v>0</v>
      </c>
      <c r="Q411" t="str">
        <f t="shared" si="66"/>
        <v/>
      </c>
    </row>
    <row r="412" spans="8:17">
      <c r="H412">
        <f t="shared" si="67"/>
        <v>0</v>
      </c>
      <c r="J412">
        <f t="shared" si="68"/>
        <v>0</v>
      </c>
      <c r="K412" t="str">
        <f t="shared" si="62"/>
        <v/>
      </c>
      <c r="L412" t="str">
        <f t="shared" si="63"/>
        <v/>
      </c>
      <c r="M412" t="str">
        <f t="shared" si="69"/>
        <v/>
      </c>
      <c r="N412">
        <f t="shared" si="70"/>
        <v>0</v>
      </c>
      <c r="O412" t="str">
        <f t="shared" si="64"/>
        <v/>
      </c>
      <c r="P412">
        <f t="shared" si="65"/>
        <v>0</v>
      </c>
      <c r="Q412" t="str">
        <f t="shared" si="66"/>
        <v/>
      </c>
    </row>
    <row r="413" spans="8:17">
      <c r="H413">
        <f t="shared" si="67"/>
        <v>0</v>
      </c>
      <c r="J413">
        <f t="shared" si="68"/>
        <v>0</v>
      </c>
      <c r="K413" t="str">
        <f t="shared" si="62"/>
        <v/>
      </c>
      <c r="L413" t="str">
        <f t="shared" si="63"/>
        <v/>
      </c>
      <c r="M413" t="str">
        <f t="shared" si="69"/>
        <v/>
      </c>
      <c r="N413">
        <f t="shared" si="70"/>
        <v>0</v>
      </c>
      <c r="O413" t="str">
        <f t="shared" si="64"/>
        <v/>
      </c>
      <c r="P413">
        <f t="shared" si="65"/>
        <v>0</v>
      </c>
      <c r="Q413" t="str">
        <f t="shared" si="66"/>
        <v/>
      </c>
    </row>
    <row r="414" spans="8:17">
      <c r="H414">
        <f t="shared" si="67"/>
        <v>0</v>
      </c>
      <c r="J414">
        <f t="shared" si="68"/>
        <v>0</v>
      </c>
      <c r="K414" t="str">
        <f t="shared" si="62"/>
        <v/>
      </c>
      <c r="L414" t="str">
        <f t="shared" si="63"/>
        <v/>
      </c>
      <c r="M414" t="str">
        <f t="shared" si="69"/>
        <v/>
      </c>
      <c r="N414">
        <f t="shared" si="70"/>
        <v>0</v>
      </c>
      <c r="O414" t="str">
        <f t="shared" si="64"/>
        <v/>
      </c>
      <c r="P414">
        <f t="shared" si="65"/>
        <v>0</v>
      </c>
      <c r="Q414" t="str">
        <f t="shared" si="66"/>
        <v/>
      </c>
    </row>
    <row r="415" spans="8:17">
      <c r="H415">
        <f t="shared" si="67"/>
        <v>0</v>
      </c>
      <c r="J415">
        <f t="shared" si="68"/>
        <v>0</v>
      </c>
      <c r="K415" t="str">
        <f t="shared" si="62"/>
        <v/>
      </c>
      <c r="L415" t="str">
        <f t="shared" si="63"/>
        <v/>
      </c>
      <c r="M415" t="str">
        <f t="shared" si="69"/>
        <v/>
      </c>
      <c r="N415">
        <f t="shared" si="70"/>
        <v>0</v>
      </c>
      <c r="O415" t="str">
        <f t="shared" si="64"/>
        <v/>
      </c>
      <c r="P415">
        <f t="shared" si="65"/>
        <v>0</v>
      </c>
      <c r="Q415" t="str">
        <f t="shared" si="66"/>
        <v/>
      </c>
    </row>
    <row r="416" spans="8:17">
      <c r="H416">
        <f t="shared" si="67"/>
        <v>0</v>
      </c>
      <c r="J416">
        <f t="shared" si="68"/>
        <v>0</v>
      </c>
      <c r="K416" t="str">
        <f t="shared" si="62"/>
        <v/>
      </c>
      <c r="L416" t="str">
        <f t="shared" si="63"/>
        <v/>
      </c>
      <c r="M416" t="str">
        <f t="shared" si="69"/>
        <v/>
      </c>
      <c r="N416">
        <f t="shared" si="70"/>
        <v>0</v>
      </c>
      <c r="O416" t="str">
        <f t="shared" si="64"/>
        <v/>
      </c>
      <c r="P416">
        <f t="shared" si="65"/>
        <v>0</v>
      </c>
      <c r="Q416" t="str">
        <f t="shared" si="66"/>
        <v/>
      </c>
    </row>
    <row r="417" spans="8:17">
      <c r="H417">
        <f t="shared" si="67"/>
        <v>0</v>
      </c>
      <c r="J417">
        <f t="shared" si="68"/>
        <v>0</v>
      </c>
      <c r="K417" t="str">
        <f t="shared" si="62"/>
        <v/>
      </c>
      <c r="L417" t="str">
        <f t="shared" si="63"/>
        <v/>
      </c>
      <c r="M417" t="str">
        <f t="shared" si="69"/>
        <v/>
      </c>
      <c r="N417">
        <f t="shared" si="70"/>
        <v>0</v>
      </c>
      <c r="O417" t="str">
        <f t="shared" si="64"/>
        <v/>
      </c>
      <c r="P417">
        <f t="shared" si="65"/>
        <v>0</v>
      </c>
      <c r="Q417" t="str">
        <f t="shared" si="66"/>
        <v/>
      </c>
    </row>
    <row r="418" spans="8:17">
      <c r="H418">
        <f t="shared" si="67"/>
        <v>0</v>
      </c>
      <c r="J418">
        <f t="shared" si="68"/>
        <v>0</v>
      </c>
      <c r="K418" t="str">
        <f t="shared" si="62"/>
        <v/>
      </c>
      <c r="L418" t="str">
        <f t="shared" si="63"/>
        <v/>
      </c>
      <c r="M418" t="str">
        <f t="shared" si="69"/>
        <v/>
      </c>
      <c r="N418">
        <f t="shared" si="70"/>
        <v>0</v>
      </c>
      <c r="O418" t="str">
        <f t="shared" si="64"/>
        <v/>
      </c>
      <c r="P418">
        <f t="shared" si="65"/>
        <v>0</v>
      </c>
      <c r="Q418" t="str">
        <f t="shared" si="66"/>
        <v/>
      </c>
    </row>
    <row r="419" spans="8:17">
      <c r="H419">
        <f t="shared" si="67"/>
        <v>0</v>
      </c>
      <c r="J419">
        <f t="shared" si="68"/>
        <v>0</v>
      </c>
      <c r="K419" t="str">
        <f t="shared" si="62"/>
        <v/>
      </c>
      <c r="L419" t="str">
        <f t="shared" si="63"/>
        <v/>
      </c>
      <c r="M419" t="str">
        <f t="shared" si="69"/>
        <v/>
      </c>
      <c r="N419">
        <f t="shared" si="70"/>
        <v>0</v>
      </c>
      <c r="O419" t="str">
        <f t="shared" si="64"/>
        <v/>
      </c>
      <c r="P419">
        <f t="shared" si="65"/>
        <v>0</v>
      </c>
      <c r="Q419" t="str">
        <f t="shared" si="66"/>
        <v/>
      </c>
    </row>
    <row r="420" spans="8:17">
      <c r="H420">
        <f t="shared" si="67"/>
        <v>0</v>
      </c>
      <c r="J420">
        <f t="shared" si="68"/>
        <v>0</v>
      </c>
      <c r="K420" t="str">
        <f t="shared" si="62"/>
        <v/>
      </c>
      <c r="L420" t="str">
        <f t="shared" si="63"/>
        <v/>
      </c>
      <c r="M420" t="str">
        <f t="shared" si="69"/>
        <v/>
      </c>
      <c r="N420">
        <f t="shared" si="70"/>
        <v>0</v>
      </c>
      <c r="O420" t="str">
        <f t="shared" si="64"/>
        <v/>
      </c>
      <c r="P420">
        <f t="shared" si="65"/>
        <v>0</v>
      </c>
      <c r="Q420" t="str">
        <f t="shared" si="66"/>
        <v/>
      </c>
    </row>
    <row r="421" spans="8:17">
      <c r="H421">
        <f t="shared" si="67"/>
        <v>0</v>
      </c>
      <c r="J421">
        <f t="shared" si="68"/>
        <v>0</v>
      </c>
      <c r="K421" t="str">
        <f t="shared" si="62"/>
        <v/>
      </c>
      <c r="L421" t="str">
        <f t="shared" si="63"/>
        <v/>
      </c>
      <c r="M421" t="str">
        <f t="shared" si="69"/>
        <v/>
      </c>
      <c r="N421">
        <f t="shared" si="70"/>
        <v>0</v>
      </c>
      <c r="O421" t="str">
        <f t="shared" si="64"/>
        <v/>
      </c>
      <c r="P421">
        <f t="shared" si="65"/>
        <v>0</v>
      </c>
      <c r="Q421" t="str">
        <f t="shared" si="66"/>
        <v/>
      </c>
    </row>
    <row r="422" spans="8:17">
      <c r="H422">
        <f t="shared" si="67"/>
        <v>0</v>
      </c>
      <c r="J422">
        <f t="shared" si="68"/>
        <v>0</v>
      </c>
      <c r="K422" t="str">
        <f t="shared" si="62"/>
        <v/>
      </c>
      <c r="L422" t="str">
        <f t="shared" si="63"/>
        <v/>
      </c>
      <c r="M422" t="str">
        <f t="shared" si="69"/>
        <v/>
      </c>
      <c r="N422">
        <f t="shared" si="70"/>
        <v>0</v>
      </c>
      <c r="O422" t="str">
        <f t="shared" si="64"/>
        <v/>
      </c>
      <c r="P422">
        <f t="shared" si="65"/>
        <v>0</v>
      </c>
      <c r="Q422" t="str">
        <f t="shared" si="66"/>
        <v/>
      </c>
    </row>
    <row r="423" spans="8:17">
      <c r="H423">
        <f t="shared" si="67"/>
        <v>0</v>
      </c>
      <c r="J423">
        <f t="shared" si="68"/>
        <v>0</v>
      </c>
      <c r="K423" t="str">
        <f t="shared" si="62"/>
        <v/>
      </c>
      <c r="L423" t="str">
        <f t="shared" si="63"/>
        <v/>
      </c>
      <c r="M423" t="str">
        <f t="shared" si="69"/>
        <v/>
      </c>
      <c r="N423">
        <f t="shared" si="70"/>
        <v>0</v>
      </c>
      <c r="O423" t="str">
        <f t="shared" si="64"/>
        <v/>
      </c>
      <c r="P423">
        <f t="shared" si="65"/>
        <v>0</v>
      </c>
      <c r="Q423" t="str">
        <f t="shared" si="66"/>
        <v/>
      </c>
    </row>
    <row r="424" spans="8:17">
      <c r="H424">
        <f t="shared" si="67"/>
        <v>0</v>
      </c>
      <c r="J424">
        <f t="shared" si="68"/>
        <v>0</v>
      </c>
      <c r="K424" t="str">
        <f t="shared" si="62"/>
        <v/>
      </c>
      <c r="L424" t="str">
        <f t="shared" si="63"/>
        <v/>
      </c>
      <c r="M424" t="str">
        <f t="shared" si="69"/>
        <v/>
      </c>
      <c r="N424">
        <f t="shared" si="70"/>
        <v>0</v>
      </c>
      <c r="O424" t="str">
        <f t="shared" si="64"/>
        <v/>
      </c>
      <c r="P424">
        <f t="shared" si="65"/>
        <v>0</v>
      </c>
      <c r="Q424" t="str">
        <f t="shared" si="66"/>
        <v/>
      </c>
    </row>
    <row r="425" spans="8:17">
      <c r="H425">
        <f t="shared" si="67"/>
        <v>0</v>
      </c>
      <c r="J425">
        <f t="shared" si="68"/>
        <v>0</v>
      </c>
      <c r="K425" t="str">
        <f t="shared" si="62"/>
        <v/>
      </c>
      <c r="L425" t="str">
        <f t="shared" si="63"/>
        <v/>
      </c>
      <c r="M425" t="str">
        <f t="shared" si="69"/>
        <v/>
      </c>
      <c r="N425">
        <f t="shared" si="70"/>
        <v>0</v>
      </c>
      <c r="O425" t="str">
        <f t="shared" si="64"/>
        <v/>
      </c>
      <c r="P425">
        <f t="shared" si="65"/>
        <v>0</v>
      </c>
      <c r="Q425" t="str">
        <f t="shared" si="66"/>
        <v/>
      </c>
    </row>
    <row r="426" spans="8:17">
      <c r="H426">
        <f t="shared" si="67"/>
        <v>0</v>
      </c>
      <c r="J426">
        <f t="shared" si="68"/>
        <v>0</v>
      </c>
      <c r="K426" t="str">
        <f t="shared" si="62"/>
        <v/>
      </c>
      <c r="L426" t="str">
        <f t="shared" si="63"/>
        <v/>
      </c>
      <c r="M426" t="str">
        <f t="shared" si="69"/>
        <v/>
      </c>
      <c r="N426">
        <f t="shared" si="70"/>
        <v>0</v>
      </c>
      <c r="O426" t="str">
        <f t="shared" si="64"/>
        <v/>
      </c>
      <c r="P426">
        <f t="shared" si="65"/>
        <v>0</v>
      </c>
      <c r="Q426" t="str">
        <f t="shared" si="66"/>
        <v/>
      </c>
    </row>
    <row r="427" spans="8:17">
      <c r="H427">
        <f t="shared" si="67"/>
        <v>0</v>
      </c>
      <c r="J427">
        <f t="shared" si="68"/>
        <v>0</v>
      </c>
      <c r="K427" t="str">
        <f t="shared" si="62"/>
        <v/>
      </c>
      <c r="L427" t="str">
        <f t="shared" si="63"/>
        <v/>
      </c>
      <c r="M427" t="str">
        <f t="shared" si="69"/>
        <v/>
      </c>
      <c r="N427">
        <f t="shared" si="70"/>
        <v>0</v>
      </c>
      <c r="O427" t="str">
        <f t="shared" si="64"/>
        <v/>
      </c>
      <c r="P427">
        <f t="shared" si="65"/>
        <v>0</v>
      </c>
      <c r="Q427" t="str">
        <f t="shared" si="66"/>
        <v/>
      </c>
    </row>
    <row r="428" spans="8:17">
      <c r="H428">
        <f t="shared" si="67"/>
        <v>0</v>
      </c>
      <c r="J428">
        <f t="shared" si="68"/>
        <v>0</v>
      </c>
      <c r="K428" t="str">
        <f t="shared" si="62"/>
        <v/>
      </c>
      <c r="L428" t="str">
        <f t="shared" si="63"/>
        <v/>
      </c>
      <c r="M428" t="str">
        <f t="shared" si="69"/>
        <v/>
      </c>
      <c r="N428">
        <f t="shared" si="70"/>
        <v>0</v>
      </c>
      <c r="O428" t="str">
        <f t="shared" si="64"/>
        <v/>
      </c>
      <c r="P428">
        <f t="shared" si="65"/>
        <v>0</v>
      </c>
      <c r="Q428" t="str">
        <f t="shared" si="66"/>
        <v/>
      </c>
    </row>
    <row r="429" spans="8:17">
      <c r="H429">
        <f t="shared" si="67"/>
        <v>0</v>
      </c>
      <c r="J429">
        <f t="shared" si="68"/>
        <v>0</v>
      </c>
      <c r="K429" t="str">
        <f t="shared" si="62"/>
        <v/>
      </c>
      <c r="L429" t="str">
        <f t="shared" si="63"/>
        <v/>
      </c>
      <c r="M429" t="str">
        <f t="shared" si="69"/>
        <v/>
      </c>
      <c r="N429">
        <f t="shared" si="70"/>
        <v>0</v>
      </c>
      <c r="O429" t="str">
        <f t="shared" si="64"/>
        <v/>
      </c>
      <c r="P429">
        <f t="shared" si="65"/>
        <v>0</v>
      </c>
      <c r="Q429" t="str">
        <f t="shared" si="66"/>
        <v/>
      </c>
    </row>
    <row r="430" spans="8:17">
      <c r="H430">
        <f t="shared" si="67"/>
        <v>0</v>
      </c>
      <c r="J430">
        <f t="shared" si="68"/>
        <v>0</v>
      </c>
      <c r="K430" t="str">
        <f t="shared" si="62"/>
        <v/>
      </c>
      <c r="L430" t="str">
        <f t="shared" si="63"/>
        <v/>
      </c>
      <c r="M430" t="str">
        <f t="shared" si="69"/>
        <v/>
      </c>
      <c r="N430">
        <f t="shared" si="70"/>
        <v>0</v>
      </c>
      <c r="O430" t="str">
        <f t="shared" si="64"/>
        <v/>
      </c>
      <c r="P430">
        <f t="shared" si="65"/>
        <v>0</v>
      </c>
      <c r="Q430" t="str">
        <f t="shared" si="66"/>
        <v/>
      </c>
    </row>
    <row r="431" spans="8:17">
      <c r="H431">
        <f t="shared" si="67"/>
        <v>0</v>
      </c>
      <c r="J431">
        <f t="shared" si="68"/>
        <v>0</v>
      </c>
      <c r="K431" t="str">
        <f t="shared" si="62"/>
        <v/>
      </c>
      <c r="L431" t="str">
        <f t="shared" si="63"/>
        <v/>
      </c>
      <c r="M431" t="str">
        <f t="shared" si="69"/>
        <v/>
      </c>
      <c r="N431">
        <f t="shared" si="70"/>
        <v>0</v>
      </c>
      <c r="O431" t="str">
        <f t="shared" si="64"/>
        <v/>
      </c>
      <c r="P431">
        <f t="shared" si="65"/>
        <v>0</v>
      </c>
      <c r="Q431" t="str">
        <f t="shared" si="66"/>
        <v/>
      </c>
    </row>
    <row r="432" spans="8:17">
      <c r="H432">
        <f t="shared" si="67"/>
        <v>0</v>
      </c>
      <c r="J432">
        <f t="shared" si="68"/>
        <v>0</v>
      </c>
      <c r="K432" t="str">
        <f t="shared" si="62"/>
        <v/>
      </c>
      <c r="L432" t="str">
        <f t="shared" si="63"/>
        <v/>
      </c>
      <c r="M432" t="str">
        <f t="shared" si="69"/>
        <v/>
      </c>
      <c r="N432">
        <f t="shared" si="70"/>
        <v>0</v>
      </c>
      <c r="O432" t="str">
        <f t="shared" si="64"/>
        <v/>
      </c>
      <c r="P432">
        <f t="shared" si="65"/>
        <v>0</v>
      </c>
      <c r="Q432" t="str">
        <f t="shared" si="66"/>
        <v/>
      </c>
    </row>
    <row r="433" spans="8:17">
      <c r="H433">
        <f t="shared" si="67"/>
        <v>0</v>
      </c>
      <c r="J433">
        <f t="shared" si="68"/>
        <v>0</v>
      </c>
      <c r="K433" t="str">
        <f t="shared" si="62"/>
        <v/>
      </c>
      <c r="L433" t="str">
        <f t="shared" si="63"/>
        <v/>
      </c>
      <c r="M433" t="str">
        <f t="shared" si="69"/>
        <v/>
      </c>
      <c r="N433">
        <f t="shared" si="70"/>
        <v>0</v>
      </c>
      <c r="O433" t="str">
        <f t="shared" si="64"/>
        <v/>
      </c>
      <c r="P433">
        <f t="shared" si="65"/>
        <v>0</v>
      </c>
      <c r="Q433" t="str">
        <f t="shared" si="66"/>
        <v/>
      </c>
    </row>
    <row r="434" spans="8:17">
      <c r="H434">
        <f t="shared" si="67"/>
        <v>0</v>
      </c>
      <c r="J434">
        <f t="shared" si="68"/>
        <v>0</v>
      </c>
      <c r="K434" t="str">
        <f t="shared" si="62"/>
        <v/>
      </c>
      <c r="L434" t="str">
        <f t="shared" si="63"/>
        <v/>
      </c>
      <c r="M434" t="str">
        <f t="shared" si="69"/>
        <v/>
      </c>
      <c r="N434">
        <f t="shared" si="70"/>
        <v>0</v>
      </c>
      <c r="O434" t="str">
        <f t="shared" si="64"/>
        <v/>
      </c>
      <c r="P434">
        <f t="shared" si="65"/>
        <v>0</v>
      </c>
      <c r="Q434" t="str">
        <f t="shared" si="66"/>
        <v/>
      </c>
    </row>
    <row r="435" spans="8:17">
      <c r="H435">
        <f t="shared" si="67"/>
        <v>0</v>
      </c>
      <c r="J435">
        <f t="shared" si="68"/>
        <v>0</v>
      </c>
      <c r="K435" t="str">
        <f t="shared" si="62"/>
        <v/>
      </c>
      <c r="L435" t="str">
        <f t="shared" si="63"/>
        <v/>
      </c>
      <c r="M435" t="str">
        <f t="shared" si="69"/>
        <v/>
      </c>
      <c r="N435">
        <f t="shared" si="70"/>
        <v>0</v>
      </c>
      <c r="O435" t="str">
        <f t="shared" si="64"/>
        <v/>
      </c>
      <c r="P435">
        <f t="shared" si="65"/>
        <v>0</v>
      </c>
      <c r="Q435" t="str">
        <f t="shared" si="66"/>
        <v/>
      </c>
    </row>
    <row r="436" spans="8:17">
      <c r="H436">
        <f t="shared" si="67"/>
        <v>0</v>
      </c>
      <c r="J436">
        <f t="shared" si="68"/>
        <v>0</v>
      </c>
      <c r="K436" t="str">
        <f t="shared" si="62"/>
        <v/>
      </c>
      <c r="L436" t="str">
        <f t="shared" si="63"/>
        <v/>
      </c>
      <c r="M436" t="str">
        <f t="shared" si="69"/>
        <v/>
      </c>
      <c r="N436">
        <f t="shared" si="70"/>
        <v>0</v>
      </c>
      <c r="O436" t="str">
        <f t="shared" si="64"/>
        <v/>
      </c>
      <c r="P436">
        <f t="shared" si="65"/>
        <v>0</v>
      </c>
      <c r="Q436" t="str">
        <f t="shared" si="66"/>
        <v/>
      </c>
    </row>
    <row r="437" spans="8:17">
      <c r="H437">
        <f t="shared" si="67"/>
        <v>0</v>
      </c>
      <c r="J437">
        <f t="shared" si="68"/>
        <v>0</v>
      </c>
      <c r="K437" t="str">
        <f t="shared" si="62"/>
        <v/>
      </c>
      <c r="L437" t="str">
        <f t="shared" si="63"/>
        <v/>
      </c>
      <c r="M437" t="str">
        <f t="shared" si="69"/>
        <v/>
      </c>
      <c r="N437">
        <f t="shared" si="70"/>
        <v>0</v>
      </c>
      <c r="O437" t="str">
        <f t="shared" si="64"/>
        <v/>
      </c>
      <c r="P437">
        <f t="shared" si="65"/>
        <v>0</v>
      </c>
      <c r="Q437" t="str">
        <f t="shared" si="66"/>
        <v/>
      </c>
    </row>
    <row r="438" spans="8:17">
      <c r="H438">
        <f t="shared" si="67"/>
        <v>0</v>
      </c>
      <c r="J438">
        <f t="shared" si="68"/>
        <v>0</v>
      </c>
      <c r="K438" t="str">
        <f t="shared" si="62"/>
        <v/>
      </c>
      <c r="L438" t="str">
        <f t="shared" si="63"/>
        <v/>
      </c>
      <c r="M438" t="str">
        <f t="shared" si="69"/>
        <v/>
      </c>
      <c r="N438">
        <f t="shared" si="70"/>
        <v>0</v>
      </c>
      <c r="O438" t="str">
        <f t="shared" si="64"/>
        <v/>
      </c>
      <c r="P438">
        <f t="shared" si="65"/>
        <v>0</v>
      </c>
      <c r="Q438" t="str">
        <f t="shared" si="66"/>
        <v/>
      </c>
    </row>
    <row r="439" spans="8:17">
      <c r="H439">
        <f t="shared" si="67"/>
        <v>0</v>
      </c>
      <c r="J439">
        <f t="shared" si="68"/>
        <v>0</v>
      </c>
      <c r="K439" t="str">
        <f t="shared" si="62"/>
        <v/>
      </c>
      <c r="L439" t="str">
        <f t="shared" si="63"/>
        <v/>
      </c>
      <c r="M439" t="str">
        <f t="shared" si="69"/>
        <v/>
      </c>
      <c r="N439">
        <f t="shared" si="70"/>
        <v>0</v>
      </c>
      <c r="O439" t="str">
        <f t="shared" si="64"/>
        <v/>
      </c>
      <c r="P439">
        <f t="shared" si="65"/>
        <v>0</v>
      </c>
      <c r="Q439" t="str">
        <f t="shared" si="66"/>
        <v/>
      </c>
    </row>
    <row r="440" spans="8:17">
      <c r="H440">
        <f t="shared" si="67"/>
        <v>0</v>
      </c>
      <c r="J440">
        <f t="shared" si="68"/>
        <v>0</v>
      </c>
      <c r="K440" t="str">
        <f t="shared" si="62"/>
        <v/>
      </c>
      <c r="L440" t="str">
        <f t="shared" si="63"/>
        <v/>
      </c>
      <c r="M440" t="str">
        <f t="shared" si="69"/>
        <v/>
      </c>
      <c r="N440">
        <f t="shared" si="70"/>
        <v>0</v>
      </c>
      <c r="O440" t="str">
        <f t="shared" si="64"/>
        <v/>
      </c>
      <c r="P440">
        <f t="shared" si="65"/>
        <v>0</v>
      </c>
      <c r="Q440" t="str">
        <f t="shared" si="66"/>
        <v/>
      </c>
    </row>
    <row r="441" spans="8:17">
      <c r="H441">
        <f t="shared" si="67"/>
        <v>0</v>
      </c>
      <c r="J441">
        <f t="shared" si="68"/>
        <v>0</v>
      </c>
      <c r="K441" t="str">
        <f t="shared" si="62"/>
        <v/>
      </c>
      <c r="L441" t="str">
        <f t="shared" si="63"/>
        <v/>
      </c>
      <c r="M441" t="str">
        <f t="shared" si="69"/>
        <v/>
      </c>
      <c r="N441">
        <f t="shared" si="70"/>
        <v>0</v>
      </c>
      <c r="O441" t="str">
        <f t="shared" si="64"/>
        <v/>
      </c>
      <c r="P441">
        <f t="shared" si="65"/>
        <v>0</v>
      </c>
      <c r="Q441" t="str">
        <f t="shared" si="66"/>
        <v/>
      </c>
    </row>
    <row r="442" spans="8:17">
      <c r="H442">
        <f t="shared" si="67"/>
        <v>0</v>
      </c>
      <c r="J442">
        <f t="shared" si="68"/>
        <v>0</v>
      </c>
      <c r="K442" t="str">
        <f t="shared" si="62"/>
        <v/>
      </c>
      <c r="L442" t="str">
        <f t="shared" si="63"/>
        <v/>
      </c>
      <c r="M442" t="str">
        <f t="shared" si="69"/>
        <v/>
      </c>
      <c r="N442">
        <f t="shared" si="70"/>
        <v>0</v>
      </c>
      <c r="O442" t="str">
        <f t="shared" si="64"/>
        <v/>
      </c>
      <c r="P442">
        <f t="shared" si="65"/>
        <v>0</v>
      </c>
      <c r="Q442" t="str">
        <f t="shared" si="66"/>
        <v/>
      </c>
    </row>
    <row r="443" spans="8:17">
      <c r="H443">
        <f t="shared" si="67"/>
        <v>0</v>
      </c>
      <c r="J443">
        <f t="shared" si="68"/>
        <v>0</v>
      </c>
      <c r="K443" t="str">
        <f t="shared" si="62"/>
        <v/>
      </c>
      <c r="L443" t="str">
        <f t="shared" si="63"/>
        <v/>
      </c>
      <c r="M443" t="str">
        <f t="shared" si="69"/>
        <v/>
      </c>
      <c r="N443">
        <f t="shared" si="70"/>
        <v>0</v>
      </c>
      <c r="O443" t="str">
        <f t="shared" si="64"/>
        <v/>
      </c>
      <c r="P443">
        <f t="shared" si="65"/>
        <v>0</v>
      </c>
      <c r="Q443" t="str">
        <f t="shared" si="66"/>
        <v/>
      </c>
    </row>
    <row r="444" spans="8:17">
      <c r="H444">
        <f t="shared" si="67"/>
        <v>0</v>
      </c>
      <c r="J444">
        <f t="shared" si="68"/>
        <v>0</v>
      </c>
      <c r="K444" t="str">
        <f t="shared" si="62"/>
        <v/>
      </c>
      <c r="L444" t="str">
        <f t="shared" si="63"/>
        <v/>
      </c>
      <c r="M444" t="str">
        <f t="shared" si="69"/>
        <v/>
      </c>
      <c r="N444">
        <f t="shared" si="70"/>
        <v>0</v>
      </c>
      <c r="O444" t="str">
        <f t="shared" si="64"/>
        <v/>
      </c>
      <c r="P444">
        <f t="shared" si="65"/>
        <v>0</v>
      </c>
      <c r="Q444" t="str">
        <f t="shared" si="66"/>
        <v/>
      </c>
    </row>
    <row r="445" spans="8:17">
      <c r="H445">
        <f t="shared" si="67"/>
        <v>0</v>
      </c>
      <c r="J445">
        <f t="shared" si="68"/>
        <v>0</v>
      </c>
      <c r="K445" t="str">
        <f t="shared" si="62"/>
        <v/>
      </c>
      <c r="L445" t="str">
        <f t="shared" si="63"/>
        <v/>
      </c>
      <c r="M445" t="str">
        <f t="shared" si="69"/>
        <v/>
      </c>
      <c r="N445">
        <f t="shared" si="70"/>
        <v>0</v>
      </c>
      <c r="O445" t="str">
        <f t="shared" si="64"/>
        <v/>
      </c>
      <c r="P445">
        <f t="shared" si="65"/>
        <v>0</v>
      </c>
      <c r="Q445" t="str">
        <f t="shared" si="66"/>
        <v/>
      </c>
    </row>
    <row r="446" spans="8:17">
      <c r="H446">
        <f t="shared" si="67"/>
        <v>0</v>
      </c>
      <c r="J446">
        <f t="shared" si="68"/>
        <v>0</v>
      </c>
      <c r="K446" t="str">
        <f t="shared" si="62"/>
        <v/>
      </c>
      <c r="L446" t="str">
        <f t="shared" si="63"/>
        <v/>
      </c>
      <c r="M446" t="str">
        <f t="shared" si="69"/>
        <v/>
      </c>
      <c r="N446">
        <f t="shared" si="70"/>
        <v>0</v>
      </c>
      <c r="O446" t="str">
        <f t="shared" si="64"/>
        <v/>
      </c>
      <c r="P446">
        <f t="shared" si="65"/>
        <v>0</v>
      </c>
      <c r="Q446" t="str">
        <f t="shared" si="66"/>
        <v/>
      </c>
    </row>
    <row r="447" spans="8:17">
      <c r="H447">
        <f t="shared" si="67"/>
        <v>0</v>
      </c>
      <c r="J447">
        <f t="shared" si="68"/>
        <v>0</v>
      </c>
      <c r="K447" t="str">
        <f t="shared" si="62"/>
        <v/>
      </c>
      <c r="L447" t="str">
        <f t="shared" si="63"/>
        <v/>
      </c>
      <c r="M447" t="str">
        <f t="shared" si="69"/>
        <v/>
      </c>
      <c r="N447">
        <f t="shared" si="70"/>
        <v>0</v>
      </c>
      <c r="O447" t="str">
        <f t="shared" si="64"/>
        <v/>
      </c>
      <c r="P447">
        <f t="shared" si="65"/>
        <v>0</v>
      </c>
      <c r="Q447" t="str">
        <f t="shared" si="66"/>
        <v/>
      </c>
    </row>
    <row r="448" spans="8:17">
      <c r="H448">
        <f t="shared" si="67"/>
        <v>0</v>
      </c>
      <c r="J448">
        <f t="shared" si="68"/>
        <v>0</v>
      </c>
      <c r="K448" t="str">
        <f t="shared" si="62"/>
        <v/>
      </c>
      <c r="L448" t="str">
        <f t="shared" si="63"/>
        <v/>
      </c>
      <c r="M448" t="str">
        <f t="shared" si="69"/>
        <v/>
      </c>
      <c r="N448">
        <f t="shared" si="70"/>
        <v>0</v>
      </c>
      <c r="O448" t="str">
        <f t="shared" si="64"/>
        <v/>
      </c>
      <c r="P448">
        <f t="shared" si="65"/>
        <v>0</v>
      </c>
      <c r="Q448" t="str">
        <f t="shared" si="66"/>
        <v/>
      </c>
    </row>
    <row r="449" spans="8:17">
      <c r="H449">
        <f t="shared" si="67"/>
        <v>0</v>
      </c>
      <c r="J449">
        <f t="shared" si="68"/>
        <v>0</v>
      </c>
      <c r="K449" t="str">
        <f t="shared" si="62"/>
        <v/>
      </c>
      <c r="L449" t="str">
        <f t="shared" si="63"/>
        <v/>
      </c>
      <c r="M449" t="str">
        <f t="shared" si="69"/>
        <v/>
      </c>
      <c r="N449">
        <f t="shared" si="70"/>
        <v>0</v>
      </c>
      <c r="O449" t="str">
        <f t="shared" si="64"/>
        <v/>
      </c>
      <c r="P449">
        <f t="shared" si="65"/>
        <v>0</v>
      </c>
      <c r="Q449" t="str">
        <f t="shared" si="66"/>
        <v/>
      </c>
    </row>
    <row r="450" spans="8:17">
      <c r="H450">
        <f t="shared" si="67"/>
        <v>0</v>
      </c>
      <c r="J450">
        <f t="shared" si="68"/>
        <v>0</v>
      </c>
      <c r="K450" t="str">
        <f t="shared" ref="K450:K500" si="71">IF($C450="","",IF(LEN($C450)=1,CODE(UPPER($C450))-64,IFERROR(VALUE(MID($C450,2,99)),"")))</f>
        <v/>
      </c>
      <c r="L450" t="str">
        <f t="shared" ref="L450:L501" si="72">IF($D450="","",IFERROR(VALUE($D450),""))</f>
        <v/>
      </c>
      <c r="M450" t="str">
        <f t="shared" si="69"/>
        <v/>
      </c>
      <c r="N450">
        <f t="shared" si="70"/>
        <v>0</v>
      </c>
      <c r="O450" t="str">
        <f t="shared" ref="O450:O501" si="73">IF(AND($C450&lt;&gt;"",ISNUMBER(--$D450)),LEFT($C450,1),"")</f>
        <v/>
      </c>
      <c r="P450">
        <f t="shared" ref="P450:P501" si="74">IF(ISNUMBER(--$D450),--$D450,"")</f>
        <v>0</v>
      </c>
      <c r="Q450" t="str">
        <f t="shared" ref="Q450:Q501" si="75">IF(AND($O450&lt;&gt;"",$P450&lt;&gt;""),$O450&amp;TEXT($P450,"00"),"")</f>
        <v/>
      </c>
    </row>
    <row r="451" spans="8:17">
      <c r="H451">
        <f t="shared" si="67"/>
        <v>0</v>
      </c>
      <c r="J451">
        <f t="shared" si="68"/>
        <v>0</v>
      </c>
      <c r="K451" t="str">
        <f t="shared" si="71"/>
        <v/>
      </c>
      <c r="L451" t="str">
        <f t="shared" si="72"/>
        <v/>
      </c>
      <c r="M451" t="str">
        <f t="shared" si="69"/>
        <v/>
      </c>
      <c r="N451">
        <f t="shared" si="70"/>
        <v>0</v>
      </c>
      <c r="O451" t="str">
        <f t="shared" si="73"/>
        <v/>
      </c>
      <c r="P451">
        <f t="shared" si="74"/>
        <v>0</v>
      </c>
      <c r="Q451" t="str">
        <f t="shared" si="75"/>
        <v/>
      </c>
    </row>
    <row r="452" spans="8:17">
      <c r="H452">
        <f t="shared" si="67"/>
        <v>0</v>
      </c>
      <c r="J452">
        <f t="shared" si="68"/>
        <v>0</v>
      </c>
      <c r="K452" t="str">
        <f t="shared" si="71"/>
        <v/>
      </c>
      <c r="L452" t="str">
        <f t="shared" si="72"/>
        <v/>
      </c>
      <c r="M452" t="str">
        <f t="shared" si="69"/>
        <v/>
      </c>
      <c r="N452">
        <f t="shared" si="70"/>
        <v>0</v>
      </c>
      <c r="O452" t="str">
        <f t="shared" si="73"/>
        <v/>
      </c>
      <c r="P452">
        <f t="shared" si="74"/>
        <v>0</v>
      </c>
      <c r="Q452" t="str">
        <f t="shared" si="75"/>
        <v/>
      </c>
    </row>
    <row r="453" spans="8:17">
      <c r="H453">
        <f t="shared" si="67"/>
        <v>0</v>
      </c>
      <c r="J453">
        <f t="shared" si="68"/>
        <v>0</v>
      </c>
      <c r="K453" t="str">
        <f t="shared" si="71"/>
        <v/>
      </c>
      <c r="L453" t="str">
        <f t="shared" si="72"/>
        <v/>
      </c>
      <c r="M453" t="str">
        <f t="shared" si="69"/>
        <v/>
      </c>
      <c r="N453">
        <f t="shared" si="70"/>
        <v>0</v>
      </c>
      <c r="O453" t="str">
        <f t="shared" si="73"/>
        <v/>
      </c>
      <c r="P453">
        <f t="shared" si="74"/>
        <v>0</v>
      </c>
      <c r="Q453" t="str">
        <f t="shared" si="75"/>
        <v/>
      </c>
    </row>
    <row r="454" spans="8:17">
      <c r="H454">
        <f t="shared" ref="H454:H501" si="76">A454</f>
        <v>0</v>
      </c>
      <c r="J454">
        <f t="shared" ref="J454:J501" si="77">IF($I454&lt;&gt;"",$I454,$A454)</f>
        <v>0</v>
      </c>
      <c r="K454" t="str">
        <f t="shared" si="71"/>
        <v/>
      </c>
      <c r="L454" t="str">
        <f t="shared" si="72"/>
        <v/>
      </c>
      <c r="M454" t="str">
        <f t="shared" ref="M454:M500" si="78">IFERROR(VALUE(MID($A454,FIND("Level",$A454)+5,99)),IF($E454="AISLE_FLOOR",0,IF($E454="OVERFLOW",0,IF($E454="ENDCAP",0,""))))</f>
        <v/>
      </c>
      <c r="N454">
        <f t="shared" ref="N454:N501" si="79">IF(AND($B454&lt;&gt;"",$C454&lt;&gt;"",ISNUMBER(--$D454)), $B454&amp;": "&amp;LEFT($C454,1)&amp;TEXT(--$D454,"00"), IF($I454&lt;&gt;"",$I454,$A454))</f>
        <v>0</v>
      </c>
      <c r="O454" t="str">
        <f t="shared" si="73"/>
        <v/>
      </c>
      <c r="P454">
        <f t="shared" si="74"/>
        <v>0</v>
      </c>
      <c r="Q454" t="str">
        <f t="shared" si="75"/>
        <v/>
      </c>
    </row>
    <row r="455" spans="8:17">
      <c r="H455">
        <f t="shared" si="76"/>
        <v>0</v>
      </c>
      <c r="J455">
        <f t="shared" si="77"/>
        <v>0</v>
      </c>
      <c r="K455" t="str">
        <f t="shared" si="71"/>
        <v/>
      </c>
      <c r="L455" t="str">
        <f t="shared" si="72"/>
        <v/>
      </c>
      <c r="M455" t="str">
        <f t="shared" si="78"/>
        <v/>
      </c>
      <c r="N455">
        <f t="shared" si="79"/>
        <v>0</v>
      </c>
      <c r="O455" t="str">
        <f t="shared" si="73"/>
        <v/>
      </c>
      <c r="P455">
        <f t="shared" si="74"/>
        <v>0</v>
      </c>
      <c r="Q455" t="str">
        <f t="shared" si="75"/>
        <v/>
      </c>
    </row>
    <row r="456" spans="8:17">
      <c r="H456">
        <f t="shared" si="76"/>
        <v>0</v>
      </c>
      <c r="J456">
        <f t="shared" si="77"/>
        <v>0</v>
      </c>
      <c r="K456" t="str">
        <f t="shared" si="71"/>
        <v/>
      </c>
      <c r="L456" t="str">
        <f t="shared" si="72"/>
        <v/>
      </c>
      <c r="M456" t="str">
        <f t="shared" si="78"/>
        <v/>
      </c>
      <c r="N456">
        <f t="shared" si="79"/>
        <v>0</v>
      </c>
      <c r="O456" t="str">
        <f t="shared" si="73"/>
        <v/>
      </c>
      <c r="P456">
        <f t="shared" si="74"/>
        <v>0</v>
      </c>
      <c r="Q456" t="str">
        <f t="shared" si="75"/>
        <v/>
      </c>
    </row>
    <row r="457" spans="8:17">
      <c r="H457">
        <f t="shared" si="76"/>
        <v>0</v>
      </c>
      <c r="J457">
        <f t="shared" si="77"/>
        <v>0</v>
      </c>
      <c r="K457" t="str">
        <f t="shared" si="71"/>
        <v/>
      </c>
      <c r="L457" t="str">
        <f t="shared" si="72"/>
        <v/>
      </c>
      <c r="M457" t="str">
        <f t="shared" si="78"/>
        <v/>
      </c>
      <c r="N457">
        <f t="shared" si="79"/>
        <v>0</v>
      </c>
      <c r="O457" t="str">
        <f t="shared" si="73"/>
        <v/>
      </c>
      <c r="P457">
        <f t="shared" si="74"/>
        <v>0</v>
      </c>
      <c r="Q457" t="str">
        <f t="shared" si="75"/>
        <v/>
      </c>
    </row>
    <row r="458" spans="8:17">
      <c r="H458">
        <f t="shared" si="76"/>
        <v>0</v>
      </c>
      <c r="J458">
        <f t="shared" si="77"/>
        <v>0</v>
      </c>
      <c r="K458" t="str">
        <f t="shared" si="71"/>
        <v/>
      </c>
      <c r="L458" t="str">
        <f t="shared" si="72"/>
        <v/>
      </c>
      <c r="M458" t="str">
        <f t="shared" si="78"/>
        <v/>
      </c>
      <c r="N458">
        <f t="shared" si="79"/>
        <v>0</v>
      </c>
      <c r="O458" t="str">
        <f t="shared" si="73"/>
        <v/>
      </c>
      <c r="P458">
        <f t="shared" si="74"/>
        <v>0</v>
      </c>
      <c r="Q458" t="str">
        <f t="shared" si="75"/>
        <v/>
      </c>
    </row>
    <row r="459" spans="8:17">
      <c r="H459">
        <f t="shared" si="76"/>
        <v>0</v>
      </c>
      <c r="J459">
        <f t="shared" si="77"/>
        <v>0</v>
      </c>
      <c r="K459" t="str">
        <f t="shared" si="71"/>
        <v/>
      </c>
      <c r="L459" t="str">
        <f t="shared" si="72"/>
        <v/>
      </c>
      <c r="M459" t="str">
        <f t="shared" si="78"/>
        <v/>
      </c>
      <c r="N459">
        <f t="shared" si="79"/>
        <v>0</v>
      </c>
      <c r="O459" t="str">
        <f t="shared" si="73"/>
        <v/>
      </c>
      <c r="P459">
        <f t="shared" si="74"/>
        <v>0</v>
      </c>
      <c r="Q459" t="str">
        <f t="shared" si="75"/>
        <v/>
      </c>
    </row>
    <row r="460" spans="8:17">
      <c r="H460">
        <f t="shared" si="76"/>
        <v>0</v>
      </c>
      <c r="J460">
        <f t="shared" si="77"/>
        <v>0</v>
      </c>
      <c r="K460" t="str">
        <f t="shared" si="71"/>
        <v/>
      </c>
      <c r="L460" t="str">
        <f t="shared" si="72"/>
        <v/>
      </c>
      <c r="M460" t="str">
        <f t="shared" si="78"/>
        <v/>
      </c>
      <c r="N460">
        <f t="shared" si="79"/>
        <v>0</v>
      </c>
      <c r="O460" t="str">
        <f t="shared" si="73"/>
        <v/>
      </c>
      <c r="P460">
        <f t="shared" si="74"/>
        <v>0</v>
      </c>
      <c r="Q460" t="str">
        <f t="shared" si="75"/>
        <v/>
      </c>
    </row>
    <row r="461" spans="8:17">
      <c r="H461">
        <f t="shared" si="76"/>
        <v>0</v>
      </c>
      <c r="J461">
        <f t="shared" si="77"/>
        <v>0</v>
      </c>
      <c r="K461" t="str">
        <f t="shared" si="71"/>
        <v/>
      </c>
      <c r="L461" t="str">
        <f t="shared" si="72"/>
        <v/>
      </c>
      <c r="M461" t="str">
        <f t="shared" si="78"/>
        <v/>
      </c>
      <c r="N461">
        <f t="shared" si="79"/>
        <v>0</v>
      </c>
      <c r="O461" t="str">
        <f t="shared" si="73"/>
        <v/>
      </c>
      <c r="P461">
        <f t="shared" si="74"/>
        <v>0</v>
      </c>
      <c r="Q461" t="str">
        <f t="shared" si="75"/>
        <v/>
      </c>
    </row>
    <row r="462" spans="8:17">
      <c r="H462">
        <f t="shared" si="76"/>
        <v>0</v>
      </c>
      <c r="J462">
        <f t="shared" si="77"/>
        <v>0</v>
      </c>
      <c r="K462" t="str">
        <f t="shared" si="71"/>
        <v/>
      </c>
      <c r="L462" t="str">
        <f t="shared" si="72"/>
        <v/>
      </c>
      <c r="M462" t="str">
        <f t="shared" si="78"/>
        <v/>
      </c>
      <c r="N462">
        <f t="shared" si="79"/>
        <v>0</v>
      </c>
      <c r="O462" t="str">
        <f t="shared" si="73"/>
        <v/>
      </c>
      <c r="P462">
        <f t="shared" si="74"/>
        <v>0</v>
      </c>
      <c r="Q462" t="str">
        <f t="shared" si="75"/>
        <v/>
      </c>
    </row>
    <row r="463" spans="8:17">
      <c r="H463">
        <f t="shared" si="76"/>
        <v>0</v>
      </c>
      <c r="J463">
        <f t="shared" si="77"/>
        <v>0</v>
      </c>
      <c r="K463" t="str">
        <f t="shared" si="71"/>
        <v/>
      </c>
      <c r="L463" t="str">
        <f t="shared" si="72"/>
        <v/>
      </c>
      <c r="M463" t="str">
        <f t="shared" si="78"/>
        <v/>
      </c>
      <c r="N463">
        <f t="shared" si="79"/>
        <v>0</v>
      </c>
      <c r="O463" t="str">
        <f t="shared" si="73"/>
        <v/>
      </c>
      <c r="P463">
        <f t="shared" si="74"/>
        <v>0</v>
      </c>
      <c r="Q463" t="str">
        <f t="shared" si="75"/>
        <v/>
      </c>
    </row>
    <row r="464" spans="8:17">
      <c r="H464">
        <f t="shared" si="76"/>
        <v>0</v>
      </c>
      <c r="J464">
        <f t="shared" si="77"/>
        <v>0</v>
      </c>
      <c r="K464" t="str">
        <f t="shared" si="71"/>
        <v/>
      </c>
      <c r="L464" t="str">
        <f t="shared" si="72"/>
        <v/>
      </c>
      <c r="M464" t="str">
        <f t="shared" si="78"/>
        <v/>
      </c>
      <c r="N464">
        <f t="shared" si="79"/>
        <v>0</v>
      </c>
      <c r="O464" t="str">
        <f t="shared" si="73"/>
        <v/>
      </c>
      <c r="P464">
        <f t="shared" si="74"/>
        <v>0</v>
      </c>
      <c r="Q464" t="str">
        <f t="shared" si="75"/>
        <v/>
      </c>
    </row>
    <row r="465" spans="8:17">
      <c r="H465">
        <f t="shared" si="76"/>
        <v>0</v>
      </c>
      <c r="J465">
        <f t="shared" si="77"/>
        <v>0</v>
      </c>
      <c r="K465" t="str">
        <f t="shared" si="71"/>
        <v/>
      </c>
      <c r="L465" t="str">
        <f t="shared" si="72"/>
        <v/>
      </c>
      <c r="M465" t="str">
        <f t="shared" si="78"/>
        <v/>
      </c>
      <c r="N465">
        <f t="shared" si="79"/>
        <v>0</v>
      </c>
      <c r="O465" t="str">
        <f t="shared" si="73"/>
        <v/>
      </c>
      <c r="P465">
        <f t="shared" si="74"/>
        <v>0</v>
      </c>
      <c r="Q465" t="str">
        <f t="shared" si="75"/>
        <v/>
      </c>
    </row>
    <row r="466" spans="8:17">
      <c r="H466">
        <f t="shared" si="76"/>
        <v>0</v>
      </c>
      <c r="J466">
        <f t="shared" si="77"/>
        <v>0</v>
      </c>
      <c r="K466" t="str">
        <f t="shared" si="71"/>
        <v/>
      </c>
      <c r="L466" t="str">
        <f t="shared" si="72"/>
        <v/>
      </c>
      <c r="M466" t="str">
        <f t="shared" si="78"/>
        <v/>
      </c>
      <c r="N466">
        <f t="shared" si="79"/>
        <v>0</v>
      </c>
      <c r="O466" t="str">
        <f t="shared" si="73"/>
        <v/>
      </c>
      <c r="P466">
        <f t="shared" si="74"/>
        <v>0</v>
      </c>
      <c r="Q466" t="str">
        <f t="shared" si="75"/>
        <v/>
      </c>
    </row>
    <row r="467" spans="8:17">
      <c r="H467">
        <f t="shared" si="76"/>
        <v>0</v>
      </c>
      <c r="J467">
        <f t="shared" si="77"/>
        <v>0</v>
      </c>
      <c r="K467" t="str">
        <f t="shared" si="71"/>
        <v/>
      </c>
      <c r="L467" t="str">
        <f t="shared" si="72"/>
        <v/>
      </c>
      <c r="M467" t="str">
        <f t="shared" si="78"/>
        <v/>
      </c>
      <c r="N467">
        <f t="shared" si="79"/>
        <v>0</v>
      </c>
      <c r="O467" t="str">
        <f t="shared" si="73"/>
        <v/>
      </c>
      <c r="P467">
        <f t="shared" si="74"/>
        <v>0</v>
      </c>
      <c r="Q467" t="str">
        <f t="shared" si="75"/>
        <v/>
      </c>
    </row>
    <row r="468" spans="8:17">
      <c r="H468">
        <f t="shared" si="76"/>
        <v>0</v>
      </c>
      <c r="J468">
        <f t="shared" si="77"/>
        <v>0</v>
      </c>
      <c r="K468" t="str">
        <f t="shared" si="71"/>
        <v/>
      </c>
      <c r="L468" t="str">
        <f t="shared" si="72"/>
        <v/>
      </c>
      <c r="M468" t="str">
        <f t="shared" si="78"/>
        <v/>
      </c>
      <c r="N468">
        <f t="shared" si="79"/>
        <v>0</v>
      </c>
      <c r="O468" t="str">
        <f t="shared" si="73"/>
        <v/>
      </c>
      <c r="P468">
        <f t="shared" si="74"/>
        <v>0</v>
      </c>
      <c r="Q468" t="str">
        <f t="shared" si="75"/>
        <v/>
      </c>
    </row>
    <row r="469" spans="8:17">
      <c r="H469">
        <f t="shared" si="76"/>
        <v>0</v>
      </c>
      <c r="J469">
        <f t="shared" si="77"/>
        <v>0</v>
      </c>
      <c r="K469" t="str">
        <f t="shared" si="71"/>
        <v/>
      </c>
      <c r="L469" t="str">
        <f t="shared" si="72"/>
        <v/>
      </c>
      <c r="M469" t="str">
        <f t="shared" si="78"/>
        <v/>
      </c>
      <c r="N469">
        <f t="shared" si="79"/>
        <v>0</v>
      </c>
      <c r="O469" t="str">
        <f t="shared" si="73"/>
        <v/>
      </c>
      <c r="P469">
        <f t="shared" si="74"/>
        <v>0</v>
      </c>
      <c r="Q469" t="str">
        <f t="shared" si="75"/>
        <v/>
      </c>
    </row>
    <row r="470" spans="8:17">
      <c r="H470">
        <f t="shared" si="76"/>
        <v>0</v>
      </c>
      <c r="J470">
        <f t="shared" si="77"/>
        <v>0</v>
      </c>
      <c r="K470" t="str">
        <f t="shared" si="71"/>
        <v/>
      </c>
      <c r="L470" t="str">
        <f t="shared" si="72"/>
        <v/>
      </c>
      <c r="M470" t="str">
        <f t="shared" si="78"/>
        <v/>
      </c>
      <c r="N470">
        <f t="shared" si="79"/>
        <v>0</v>
      </c>
      <c r="O470" t="str">
        <f t="shared" si="73"/>
        <v/>
      </c>
      <c r="P470">
        <f t="shared" si="74"/>
        <v>0</v>
      </c>
      <c r="Q470" t="str">
        <f t="shared" si="75"/>
        <v/>
      </c>
    </row>
    <row r="471" spans="8:17">
      <c r="H471">
        <f t="shared" si="76"/>
        <v>0</v>
      </c>
      <c r="J471">
        <f t="shared" si="77"/>
        <v>0</v>
      </c>
      <c r="K471" t="str">
        <f t="shared" si="71"/>
        <v/>
      </c>
      <c r="L471" t="str">
        <f t="shared" si="72"/>
        <v/>
      </c>
      <c r="M471" t="str">
        <f t="shared" si="78"/>
        <v/>
      </c>
      <c r="N471">
        <f t="shared" si="79"/>
        <v>0</v>
      </c>
      <c r="O471" t="str">
        <f t="shared" si="73"/>
        <v/>
      </c>
      <c r="P471">
        <f t="shared" si="74"/>
        <v>0</v>
      </c>
      <c r="Q471" t="str">
        <f t="shared" si="75"/>
        <v/>
      </c>
    </row>
    <row r="472" spans="8:17">
      <c r="H472">
        <f t="shared" si="76"/>
        <v>0</v>
      </c>
      <c r="J472">
        <f t="shared" si="77"/>
        <v>0</v>
      </c>
      <c r="K472" t="str">
        <f t="shared" si="71"/>
        <v/>
      </c>
      <c r="L472" t="str">
        <f t="shared" si="72"/>
        <v/>
      </c>
      <c r="M472" t="str">
        <f t="shared" si="78"/>
        <v/>
      </c>
      <c r="N472">
        <f t="shared" si="79"/>
        <v>0</v>
      </c>
      <c r="O472" t="str">
        <f t="shared" si="73"/>
        <v/>
      </c>
      <c r="P472">
        <f t="shared" si="74"/>
        <v>0</v>
      </c>
      <c r="Q472" t="str">
        <f t="shared" si="75"/>
        <v/>
      </c>
    </row>
    <row r="473" spans="8:17">
      <c r="H473">
        <f t="shared" si="76"/>
        <v>0</v>
      </c>
      <c r="J473">
        <f t="shared" si="77"/>
        <v>0</v>
      </c>
      <c r="K473" t="str">
        <f t="shared" si="71"/>
        <v/>
      </c>
      <c r="L473" t="str">
        <f t="shared" si="72"/>
        <v/>
      </c>
      <c r="M473" t="str">
        <f t="shared" si="78"/>
        <v/>
      </c>
      <c r="N473">
        <f t="shared" si="79"/>
        <v>0</v>
      </c>
      <c r="O473" t="str">
        <f t="shared" si="73"/>
        <v/>
      </c>
      <c r="P473">
        <f t="shared" si="74"/>
        <v>0</v>
      </c>
      <c r="Q473" t="str">
        <f t="shared" si="75"/>
        <v/>
      </c>
    </row>
    <row r="474" spans="8:17">
      <c r="H474">
        <f t="shared" si="76"/>
        <v>0</v>
      </c>
      <c r="J474">
        <f t="shared" si="77"/>
        <v>0</v>
      </c>
      <c r="K474" t="str">
        <f t="shared" si="71"/>
        <v/>
      </c>
      <c r="L474" t="str">
        <f t="shared" si="72"/>
        <v/>
      </c>
      <c r="M474" t="str">
        <f t="shared" si="78"/>
        <v/>
      </c>
      <c r="N474">
        <f t="shared" si="79"/>
        <v>0</v>
      </c>
      <c r="O474" t="str">
        <f t="shared" si="73"/>
        <v/>
      </c>
      <c r="P474">
        <f t="shared" si="74"/>
        <v>0</v>
      </c>
      <c r="Q474" t="str">
        <f t="shared" si="75"/>
        <v/>
      </c>
    </row>
    <row r="475" spans="8:17">
      <c r="H475">
        <f t="shared" si="76"/>
        <v>0</v>
      </c>
      <c r="J475">
        <f t="shared" si="77"/>
        <v>0</v>
      </c>
      <c r="K475" t="str">
        <f t="shared" si="71"/>
        <v/>
      </c>
      <c r="L475" t="str">
        <f t="shared" si="72"/>
        <v/>
      </c>
      <c r="M475" t="str">
        <f t="shared" si="78"/>
        <v/>
      </c>
      <c r="N475">
        <f t="shared" si="79"/>
        <v>0</v>
      </c>
      <c r="O475" t="str">
        <f t="shared" si="73"/>
        <v/>
      </c>
      <c r="P475">
        <f t="shared" si="74"/>
        <v>0</v>
      </c>
      <c r="Q475" t="str">
        <f t="shared" si="75"/>
        <v/>
      </c>
    </row>
    <row r="476" spans="8:17">
      <c r="H476">
        <f t="shared" si="76"/>
        <v>0</v>
      </c>
      <c r="J476">
        <f t="shared" si="77"/>
        <v>0</v>
      </c>
      <c r="K476" t="str">
        <f t="shared" si="71"/>
        <v/>
      </c>
      <c r="L476" t="str">
        <f t="shared" si="72"/>
        <v/>
      </c>
      <c r="M476" t="str">
        <f t="shared" si="78"/>
        <v/>
      </c>
      <c r="N476">
        <f t="shared" si="79"/>
        <v>0</v>
      </c>
      <c r="O476" t="str">
        <f t="shared" si="73"/>
        <v/>
      </c>
      <c r="P476">
        <f t="shared" si="74"/>
        <v>0</v>
      </c>
      <c r="Q476" t="str">
        <f t="shared" si="75"/>
        <v/>
      </c>
    </row>
    <row r="477" spans="8:17">
      <c r="H477">
        <f t="shared" si="76"/>
        <v>0</v>
      </c>
      <c r="J477">
        <f t="shared" si="77"/>
        <v>0</v>
      </c>
      <c r="K477" t="str">
        <f t="shared" si="71"/>
        <v/>
      </c>
      <c r="L477" t="str">
        <f t="shared" si="72"/>
        <v/>
      </c>
      <c r="M477" t="str">
        <f t="shared" si="78"/>
        <v/>
      </c>
      <c r="N477">
        <f t="shared" si="79"/>
        <v>0</v>
      </c>
      <c r="O477" t="str">
        <f t="shared" si="73"/>
        <v/>
      </c>
      <c r="P477">
        <f t="shared" si="74"/>
        <v>0</v>
      </c>
      <c r="Q477" t="str">
        <f t="shared" si="75"/>
        <v/>
      </c>
    </row>
    <row r="478" spans="8:17">
      <c r="H478">
        <f t="shared" si="76"/>
        <v>0</v>
      </c>
      <c r="J478">
        <f t="shared" si="77"/>
        <v>0</v>
      </c>
      <c r="K478" t="str">
        <f t="shared" si="71"/>
        <v/>
      </c>
      <c r="L478" t="str">
        <f t="shared" si="72"/>
        <v/>
      </c>
      <c r="M478" t="str">
        <f t="shared" si="78"/>
        <v/>
      </c>
      <c r="N478">
        <f t="shared" si="79"/>
        <v>0</v>
      </c>
      <c r="O478" t="str">
        <f t="shared" si="73"/>
        <v/>
      </c>
      <c r="P478">
        <f t="shared" si="74"/>
        <v>0</v>
      </c>
      <c r="Q478" t="str">
        <f t="shared" si="75"/>
        <v/>
      </c>
    </row>
    <row r="479" spans="8:17">
      <c r="H479">
        <f t="shared" si="76"/>
        <v>0</v>
      </c>
      <c r="J479">
        <f t="shared" si="77"/>
        <v>0</v>
      </c>
      <c r="K479" t="str">
        <f t="shared" si="71"/>
        <v/>
      </c>
      <c r="L479" t="str">
        <f t="shared" si="72"/>
        <v/>
      </c>
      <c r="M479" t="str">
        <f t="shared" si="78"/>
        <v/>
      </c>
      <c r="N479">
        <f t="shared" si="79"/>
        <v>0</v>
      </c>
      <c r="O479" t="str">
        <f t="shared" si="73"/>
        <v/>
      </c>
      <c r="P479">
        <f t="shared" si="74"/>
        <v>0</v>
      </c>
      <c r="Q479" t="str">
        <f t="shared" si="75"/>
        <v/>
      </c>
    </row>
    <row r="480" spans="8:17">
      <c r="H480">
        <f t="shared" si="76"/>
        <v>0</v>
      </c>
      <c r="J480">
        <f t="shared" si="77"/>
        <v>0</v>
      </c>
      <c r="K480" t="str">
        <f t="shared" si="71"/>
        <v/>
      </c>
      <c r="L480" t="str">
        <f t="shared" si="72"/>
        <v/>
      </c>
      <c r="M480" t="str">
        <f t="shared" si="78"/>
        <v/>
      </c>
      <c r="N480">
        <f t="shared" si="79"/>
        <v>0</v>
      </c>
      <c r="O480" t="str">
        <f t="shared" si="73"/>
        <v/>
      </c>
      <c r="P480">
        <f t="shared" si="74"/>
        <v>0</v>
      </c>
      <c r="Q480" t="str">
        <f t="shared" si="75"/>
        <v/>
      </c>
    </row>
    <row r="481" spans="8:17">
      <c r="H481">
        <f t="shared" si="76"/>
        <v>0</v>
      </c>
      <c r="J481">
        <f t="shared" si="77"/>
        <v>0</v>
      </c>
      <c r="K481" t="str">
        <f t="shared" si="71"/>
        <v/>
      </c>
      <c r="L481" t="str">
        <f t="shared" si="72"/>
        <v/>
      </c>
      <c r="M481" t="str">
        <f t="shared" si="78"/>
        <v/>
      </c>
      <c r="N481">
        <f t="shared" si="79"/>
        <v>0</v>
      </c>
      <c r="O481" t="str">
        <f t="shared" si="73"/>
        <v/>
      </c>
      <c r="P481">
        <f t="shared" si="74"/>
        <v>0</v>
      </c>
      <c r="Q481" t="str">
        <f t="shared" si="75"/>
        <v/>
      </c>
    </row>
    <row r="482" spans="8:17">
      <c r="H482">
        <f t="shared" si="76"/>
        <v>0</v>
      </c>
      <c r="J482">
        <f t="shared" si="77"/>
        <v>0</v>
      </c>
      <c r="K482" t="str">
        <f t="shared" si="71"/>
        <v/>
      </c>
      <c r="L482" t="str">
        <f t="shared" si="72"/>
        <v/>
      </c>
      <c r="M482" t="str">
        <f t="shared" si="78"/>
        <v/>
      </c>
      <c r="N482">
        <f t="shared" si="79"/>
        <v>0</v>
      </c>
      <c r="O482" t="str">
        <f t="shared" si="73"/>
        <v/>
      </c>
      <c r="P482">
        <f t="shared" si="74"/>
        <v>0</v>
      </c>
      <c r="Q482" t="str">
        <f t="shared" si="75"/>
        <v/>
      </c>
    </row>
    <row r="483" spans="8:17">
      <c r="H483">
        <f t="shared" si="76"/>
        <v>0</v>
      </c>
      <c r="J483">
        <f t="shared" si="77"/>
        <v>0</v>
      </c>
      <c r="K483" t="str">
        <f t="shared" si="71"/>
        <v/>
      </c>
      <c r="L483" t="str">
        <f t="shared" si="72"/>
        <v/>
      </c>
      <c r="M483" t="str">
        <f t="shared" si="78"/>
        <v/>
      </c>
      <c r="N483">
        <f t="shared" si="79"/>
        <v>0</v>
      </c>
      <c r="O483" t="str">
        <f t="shared" si="73"/>
        <v/>
      </c>
      <c r="P483">
        <f t="shared" si="74"/>
        <v>0</v>
      </c>
      <c r="Q483" t="str">
        <f t="shared" si="75"/>
        <v/>
      </c>
    </row>
    <row r="484" spans="8:17">
      <c r="H484">
        <f t="shared" si="76"/>
        <v>0</v>
      </c>
      <c r="J484">
        <f t="shared" si="77"/>
        <v>0</v>
      </c>
      <c r="K484" t="str">
        <f t="shared" si="71"/>
        <v/>
      </c>
      <c r="L484" t="str">
        <f t="shared" si="72"/>
        <v/>
      </c>
      <c r="M484" t="str">
        <f t="shared" si="78"/>
        <v/>
      </c>
      <c r="N484">
        <f t="shared" si="79"/>
        <v>0</v>
      </c>
      <c r="O484" t="str">
        <f t="shared" si="73"/>
        <v/>
      </c>
      <c r="P484">
        <f t="shared" si="74"/>
        <v>0</v>
      </c>
      <c r="Q484" t="str">
        <f t="shared" si="75"/>
        <v/>
      </c>
    </row>
    <row r="485" spans="8:17">
      <c r="H485">
        <f t="shared" si="76"/>
        <v>0</v>
      </c>
      <c r="J485">
        <f t="shared" si="77"/>
        <v>0</v>
      </c>
      <c r="K485" t="str">
        <f t="shared" si="71"/>
        <v/>
      </c>
      <c r="L485" t="str">
        <f t="shared" si="72"/>
        <v/>
      </c>
      <c r="M485" t="str">
        <f t="shared" si="78"/>
        <v/>
      </c>
      <c r="N485">
        <f t="shared" si="79"/>
        <v>0</v>
      </c>
      <c r="O485" t="str">
        <f t="shared" si="73"/>
        <v/>
      </c>
      <c r="P485">
        <f t="shared" si="74"/>
        <v>0</v>
      </c>
      <c r="Q485" t="str">
        <f t="shared" si="75"/>
        <v/>
      </c>
    </row>
    <row r="486" spans="8:17">
      <c r="H486">
        <f t="shared" si="76"/>
        <v>0</v>
      </c>
      <c r="J486">
        <f t="shared" si="77"/>
        <v>0</v>
      </c>
      <c r="K486" t="str">
        <f t="shared" si="71"/>
        <v/>
      </c>
      <c r="L486" t="str">
        <f t="shared" si="72"/>
        <v/>
      </c>
      <c r="M486" t="str">
        <f t="shared" si="78"/>
        <v/>
      </c>
      <c r="N486">
        <f t="shared" si="79"/>
        <v>0</v>
      </c>
      <c r="O486" t="str">
        <f t="shared" si="73"/>
        <v/>
      </c>
      <c r="P486">
        <f t="shared" si="74"/>
        <v>0</v>
      </c>
      <c r="Q486" t="str">
        <f t="shared" si="75"/>
        <v/>
      </c>
    </row>
    <row r="487" spans="8:17">
      <c r="H487">
        <f t="shared" si="76"/>
        <v>0</v>
      </c>
      <c r="J487">
        <f t="shared" si="77"/>
        <v>0</v>
      </c>
      <c r="K487" t="str">
        <f t="shared" si="71"/>
        <v/>
      </c>
      <c r="L487" t="str">
        <f t="shared" si="72"/>
        <v/>
      </c>
      <c r="M487" t="str">
        <f t="shared" si="78"/>
        <v/>
      </c>
      <c r="N487">
        <f t="shared" si="79"/>
        <v>0</v>
      </c>
      <c r="O487" t="str">
        <f t="shared" si="73"/>
        <v/>
      </c>
      <c r="P487">
        <f t="shared" si="74"/>
        <v>0</v>
      </c>
      <c r="Q487" t="str">
        <f t="shared" si="75"/>
        <v/>
      </c>
    </row>
    <row r="488" spans="8:17">
      <c r="H488">
        <f t="shared" si="76"/>
        <v>0</v>
      </c>
      <c r="J488">
        <f t="shared" si="77"/>
        <v>0</v>
      </c>
      <c r="K488" t="str">
        <f t="shared" si="71"/>
        <v/>
      </c>
      <c r="L488" t="str">
        <f t="shared" si="72"/>
        <v/>
      </c>
      <c r="M488" t="str">
        <f t="shared" si="78"/>
        <v/>
      </c>
      <c r="N488">
        <f t="shared" si="79"/>
        <v>0</v>
      </c>
      <c r="O488" t="str">
        <f t="shared" si="73"/>
        <v/>
      </c>
      <c r="P488">
        <f t="shared" si="74"/>
        <v>0</v>
      </c>
      <c r="Q488" t="str">
        <f t="shared" si="75"/>
        <v/>
      </c>
    </row>
    <row r="489" spans="8:17">
      <c r="H489">
        <f t="shared" si="76"/>
        <v>0</v>
      </c>
      <c r="J489">
        <f t="shared" si="77"/>
        <v>0</v>
      </c>
      <c r="K489" t="str">
        <f t="shared" si="71"/>
        <v/>
      </c>
      <c r="L489" t="str">
        <f t="shared" si="72"/>
        <v/>
      </c>
      <c r="M489" t="str">
        <f t="shared" si="78"/>
        <v/>
      </c>
      <c r="N489">
        <f t="shared" si="79"/>
        <v>0</v>
      </c>
      <c r="O489" t="str">
        <f t="shared" si="73"/>
        <v/>
      </c>
      <c r="P489">
        <f t="shared" si="74"/>
        <v>0</v>
      </c>
      <c r="Q489" t="str">
        <f t="shared" si="75"/>
        <v/>
      </c>
    </row>
    <row r="490" spans="8:17">
      <c r="H490">
        <f t="shared" si="76"/>
        <v>0</v>
      </c>
      <c r="J490">
        <f t="shared" si="77"/>
        <v>0</v>
      </c>
      <c r="K490" t="str">
        <f t="shared" si="71"/>
        <v/>
      </c>
      <c r="L490" t="str">
        <f t="shared" si="72"/>
        <v/>
      </c>
      <c r="M490" t="str">
        <f t="shared" si="78"/>
        <v/>
      </c>
      <c r="N490">
        <f t="shared" si="79"/>
        <v>0</v>
      </c>
      <c r="O490" t="str">
        <f t="shared" si="73"/>
        <v/>
      </c>
      <c r="P490">
        <f t="shared" si="74"/>
        <v>0</v>
      </c>
      <c r="Q490" t="str">
        <f t="shared" si="75"/>
        <v/>
      </c>
    </row>
    <row r="491" spans="8:17">
      <c r="H491">
        <f t="shared" si="76"/>
        <v>0</v>
      </c>
      <c r="J491">
        <f t="shared" si="77"/>
        <v>0</v>
      </c>
      <c r="K491" t="str">
        <f t="shared" si="71"/>
        <v/>
      </c>
      <c r="L491" t="str">
        <f t="shared" si="72"/>
        <v/>
      </c>
      <c r="M491" t="str">
        <f t="shared" si="78"/>
        <v/>
      </c>
      <c r="N491">
        <f t="shared" si="79"/>
        <v>0</v>
      </c>
      <c r="O491" t="str">
        <f t="shared" si="73"/>
        <v/>
      </c>
      <c r="P491">
        <f t="shared" si="74"/>
        <v>0</v>
      </c>
      <c r="Q491" t="str">
        <f t="shared" si="75"/>
        <v/>
      </c>
    </row>
    <row r="492" spans="8:17">
      <c r="H492">
        <f t="shared" si="76"/>
        <v>0</v>
      </c>
      <c r="J492">
        <f t="shared" si="77"/>
        <v>0</v>
      </c>
      <c r="K492" t="str">
        <f t="shared" si="71"/>
        <v/>
      </c>
      <c r="L492" t="str">
        <f t="shared" si="72"/>
        <v/>
      </c>
      <c r="M492" t="str">
        <f t="shared" si="78"/>
        <v/>
      </c>
      <c r="N492">
        <f t="shared" si="79"/>
        <v>0</v>
      </c>
      <c r="O492" t="str">
        <f t="shared" si="73"/>
        <v/>
      </c>
      <c r="P492">
        <f t="shared" si="74"/>
        <v>0</v>
      </c>
      <c r="Q492" t="str">
        <f t="shared" si="75"/>
        <v/>
      </c>
    </row>
    <row r="493" spans="8:17">
      <c r="H493">
        <f t="shared" si="76"/>
        <v>0</v>
      </c>
      <c r="J493">
        <f t="shared" si="77"/>
        <v>0</v>
      </c>
      <c r="K493" t="str">
        <f t="shared" si="71"/>
        <v/>
      </c>
      <c r="L493" t="str">
        <f t="shared" si="72"/>
        <v/>
      </c>
      <c r="M493" t="str">
        <f t="shared" si="78"/>
        <v/>
      </c>
      <c r="N493">
        <f t="shared" si="79"/>
        <v>0</v>
      </c>
      <c r="O493" t="str">
        <f t="shared" si="73"/>
        <v/>
      </c>
      <c r="P493">
        <f t="shared" si="74"/>
        <v>0</v>
      </c>
      <c r="Q493" t="str">
        <f t="shared" si="75"/>
        <v/>
      </c>
    </row>
    <row r="494" spans="8:17">
      <c r="H494">
        <f t="shared" si="76"/>
        <v>0</v>
      </c>
      <c r="J494">
        <f t="shared" si="77"/>
        <v>0</v>
      </c>
      <c r="K494" t="str">
        <f t="shared" si="71"/>
        <v/>
      </c>
      <c r="L494" t="str">
        <f t="shared" si="72"/>
        <v/>
      </c>
      <c r="M494" t="str">
        <f t="shared" si="78"/>
        <v/>
      </c>
      <c r="N494">
        <f t="shared" si="79"/>
        <v>0</v>
      </c>
      <c r="O494" t="str">
        <f t="shared" si="73"/>
        <v/>
      </c>
      <c r="P494">
        <f t="shared" si="74"/>
        <v>0</v>
      </c>
      <c r="Q494" t="str">
        <f t="shared" si="75"/>
        <v/>
      </c>
    </row>
    <row r="495" spans="8:17">
      <c r="H495">
        <f t="shared" si="76"/>
        <v>0</v>
      </c>
      <c r="J495">
        <f t="shared" si="77"/>
        <v>0</v>
      </c>
      <c r="K495" t="str">
        <f t="shared" si="71"/>
        <v/>
      </c>
      <c r="L495" t="str">
        <f t="shared" si="72"/>
        <v/>
      </c>
      <c r="M495" t="str">
        <f t="shared" si="78"/>
        <v/>
      </c>
      <c r="N495">
        <f t="shared" si="79"/>
        <v>0</v>
      </c>
      <c r="O495" t="str">
        <f t="shared" si="73"/>
        <v/>
      </c>
      <c r="P495">
        <f t="shared" si="74"/>
        <v>0</v>
      </c>
      <c r="Q495" t="str">
        <f t="shared" si="75"/>
        <v/>
      </c>
    </row>
    <row r="496" spans="8:17">
      <c r="H496">
        <f t="shared" si="76"/>
        <v>0</v>
      </c>
      <c r="J496">
        <f t="shared" si="77"/>
        <v>0</v>
      </c>
      <c r="K496" t="str">
        <f t="shared" si="71"/>
        <v/>
      </c>
      <c r="L496" t="str">
        <f t="shared" si="72"/>
        <v/>
      </c>
      <c r="M496" t="str">
        <f t="shared" si="78"/>
        <v/>
      </c>
      <c r="N496">
        <f t="shared" si="79"/>
        <v>0</v>
      </c>
      <c r="O496" t="str">
        <f t="shared" si="73"/>
        <v/>
      </c>
      <c r="P496">
        <f t="shared" si="74"/>
        <v>0</v>
      </c>
      <c r="Q496" t="str">
        <f t="shared" si="75"/>
        <v/>
      </c>
    </row>
    <row r="497" spans="8:17">
      <c r="H497">
        <f t="shared" si="76"/>
        <v>0</v>
      </c>
      <c r="J497">
        <f t="shared" si="77"/>
        <v>0</v>
      </c>
      <c r="K497" t="str">
        <f t="shared" si="71"/>
        <v/>
      </c>
      <c r="L497" t="str">
        <f t="shared" si="72"/>
        <v/>
      </c>
      <c r="M497" t="str">
        <f t="shared" si="78"/>
        <v/>
      </c>
      <c r="N497">
        <f t="shared" si="79"/>
        <v>0</v>
      </c>
      <c r="O497" t="str">
        <f t="shared" si="73"/>
        <v/>
      </c>
      <c r="P497">
        <f t="shared" si="74"/>
        <v>0</v>
      </c>
      <c r="Q497" t="str">
        <f t="shared" si="75"/>
        <v/>
      </c>
    </row>
    <row r="498" spans="8:17">
      <c r="H498">
        <f t="shared" si="76"/>
        <v>0</v>
      </c>
      <c r="J498">
        <f t="shared" si="77"/>
        <v>0</v>
      </c>
      <c r="K498" t="str">
        <f t="shared" si="71"/>
        <v/>
      </c>
      <c r="L498" t="str">
        <f t="shared" si="72"/>
        <v/>
      </c>
      <c r="M498" t="str">
        <f t="shared" si="78"/>
        <v/>
      </c>
      <c r="N498">
        <f t="shared" si="79"/>
        <v>0</v>
      </c>
      <c r="O498" t="str">
        <f t="shared" si="73"/>
        <v/>
      </c>
      <c r="P498">
        <f t="shared" si="74"/>
        <v>0</v>
      </c>
      <c r="Q498" t="str">
        <f t="shared" si="75"/>
        <v/>
      </c>
    </row>
    <row r="499" spans="8:17">
      <c r="H499">
        <f t="shared" si="76"/>
        <v>0</v>
      </c>
      <c r="J499">
        <f t="shared" si="77"/>
        <v>0</v>
      </c>
      <c r="K499" t="str">
        <f t="shared" si="71"/>
        <v/>
      </c>
      <c r="L499" t="str">
        <f t="shared" si="72"/>
        <v/>
      </c>
      <c r="M499" t="str">
        <f t="shared" si="78"/>
        <v/>
      </c>
      <c r="N499">
        <f t="shared" si="79"/>
        <v>0</v>
      </c>
      <c r="O499" t="str">
        <f t="shared" si="73"/>
        <v/>
      </c>
      <c r="P499">
        <f t="shared" si="74"/>
        <v>0</v>
      </c>
      <c r="Q499" t="str">
        <f t="shared" si="75"/>
        <v/>
      </c>
    </row>
    <row r="500" spans="8:17">
      <c r="H500">
        <f t="shared" si="76"/>
        <v>0</v>
      </c>
      <c r="J500">
        <f t="shared" si="77"/>
        <v>0</v>
      </c>
      <c r="K500" t="str">
        <f t="shared" si="71"/>
        <v/>
      </c>
      <c r="L500" t="str">
        <f t="shared" si="72"/>
        <v/>
      </c>
      <c r="M500" t="str">
        <f t="shared" si="78"/>
        <v/>
      </c>
      <c r="N500">
        <f t="shared" si="79"/>
        <v>0</v>
      </c>
      <c r="O500" t="str">
        <f t="shared" si="73"/>
        <v/>
      </c>
      <c r="P500">
        <f t="shared" si="74"/>
        <v>0</v>
      </c>
      <c r="Q500" t="str">
        <f t="shared" si="75"/>
        <v/>
      </c>
    </row>
    <row r="501" spans="8:17">
      <c r="H501">
        <f t="shared" si="76"/>
        <v>0</v>
      </c>
      <c r="J501">
        <f t="shared" si="77"/>
        <v>0</v>
      </c>
      <c r="K501" t="str">
        <f>IF($C501="","",IFERROR(VALUE(MID($C501,2,99)),""))</f>
        <v/>
      </c>
      <c r="L501" t="str">
        <f t="shared" si="72"/>
        <v/>
      </c>
      <c r="M501" t="str">
        <f>IF($E501="AISLE_FLOOR",0,IF($E501="OVERFLOW",0,IF($E501="ENDCAP",0,"")))</f>
        <v/>
      </c>
      <c r="N501">
        <f t="shared" si="79"/>
        <v>0</v>
      </c>
      <c r="O501" t="str">
        <f t="shared" si="73"/>
        <v/>
      </c>
      <c r="P501">
        <f t="shared" si="74"/>
        <v>0</v>
      </c>
      <c r="Q501" t="str">
        <f t="shared" si="75"/>
        <v/>
      </c>
    </row>
  </sheetData>
  <conditionalFormatting sqref="A133">
    <cfRule type="expression" dxfId="40" priority="1" stopIfTrue="1">
      <formula>AND(TRIM($A133)="",OR($B133&lt;&gt;"",$C133&lt;&gt;"",$D133&lt;&gt;"",$E133&lt;&gt;"",$F133&lt;&gt;"",$I133&lt;&gt;""))</formula>
    </cfRule>
    <cfRule type="expression" dxfId="39" priority="2">
      <formula>AND(TRIM($A133)&lt;&gt;"",COUNTIF($A$2:$A$2002,$A133)&gt;1)</formula>
    </cfRule>
  </conditionalFormatting>
  <conditionalFormatting sqref="A2:I132 A134:I2002">
    <cfRule type="expression" dxfId="38" priority="3" stopIfTrue="1">
      <formula>AND(TRIM($A2)="",OR($B2&lt;&gt;"",$C2&lt;&gt;"",$D2&lt;&gt;"",$E2&lt;&gt;"",$F2&lt;&gt;"",$I2&lt;&gt;""))</formula>
    </cfRule>
    <cfRule type="expression" dxfId="37" priority="4">
      <formula>AND(TRIM($A2)&lt;&gt;"",COUNTIF($A$2:$A$2002,$A2)&gt;1)</formula>
    </cfRule>
  </conditionalFormatting>
  <conditionalFormatting sqref="B133:I133">
    <cfRule type="expression" dxfId="36" priority="116" stopIfTrue="1">
      <formula>AND(TRIM($A133)="",OR($B133&lt;&gt;"",$C133&lt;&gt;"",$D133&lt;&gt;"",$E133&lt;&gt;"",$F133&lt;&gt;"",$I133&lt;&gt;""))</formula>
    </cfRule>
    <cfRule type="expression" dxfId="35" priority="117">
      <formula>AND(TRIM($A133)&lt;&gt;"",COUNTIF($A$2:$A$2002,$A133)&gt;1)</formula>
    </cfRule>
  </conditionalFormatting>
  <dataValidations count="6">
    <dataValidation type="list" allowBlank="1" sqref="E2:E500" xr:uid="{00000000-0002-0000-0400-000000000000}">
      <formula1>"ENDCAP,CAGE,STAGE_IN,STAGE_OUT,QUARANTINE,OVERFLOW,AISLE_FLOOR"</formula1>
    </dataValidation>
    <dataValidation type="whole" allowBlank="1" sqref="F2:F500" xr:uid="{00000000-0002-0000-0400-000001000000}">
      <formula1>1</formula1>
      <formula2>5</formula2>
    </dataValidation>
    <dataValidation type="whole" allowBlank="1" sqref="G2:G500" xr:uid="{00000000-0002-0000-0400-000002000000}">
      <formula1>0</formula1>
      <formula2>365</formula2>
    </dataValidation>
    <dataValidation type="custom" allowBlank="1" showInputMessage="1" showErrorMessage="1" sqref="H2:H1048576 J2:Q1048576" xr:uid="{00000000-0002-0000-0400-000003000000}">
      <formula1>FALSE</formula1>
    </dataValidation>
    <dataValidation type="custom" allowBlank="1" showInputMessage="1" showErrorMessage="1" errorTitle="Automated field, foo 🤡" error="Skedaddle 💨. Don't overwrite formulas 😄" sqref="I2:I132" xr:uid="{00000000-0002-0000-0400-000004000000}">
      <formula1>FALSE</formula1>
    </dataValidation>
    <dataValidation allowBlank="1" showInputMessage="1" showErrorMessage="1" errorTitle="Automated field, foo 🤡" error="Skedaddle 💨. Don't overwrite formulas 😄" sqref="A2:A347" xr:uid="{00000000-0002-0000-0400-000005000000}"/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59999389629810485"/>
  </sheetPr>
  <dimension ref="A1:J501"/>
  <sheetViews>
    <sheetView workbookViewId="0">
      <pane xSplit="1" ySplit="1" topLeftCell="B2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10" customWidth="1"/>
    <col min="4" max="4" width="28" customWidth="1"/>
    <col min="6" max="6" width="10" customWidth="1"/>
    <col min="8" max="8" width="18" customWidth="1"/>
    <col min="10" max="10" width="30" customWidth="1"/>
  </cols>
  <sheetData>
    <row r="1" spans="1:10" ht="30" customHeight="1">
      <c r="A1" s="67" t="s">
        <v>1053</v>
      </c>
      <c r="B1" s="67" t="s">
        <v>1054</v>
      </c>
      <c r="C1" s="67" t="s">
        <v>180</v>
      </c>
      <c r="D1" s="67" t="s">
        <v>1055</v>
      </c>
      <c r="E1" s="67" t="s">
        <v>1056</v>
      </c>
      <c r="F1" s="67" t="s">
        <v>1057</v>
      </c>
      <c r="G1" s="67" t="s">
        <v>1058</v>
      </c>
      <c r="H1" s="67" t="s">
        <v>1059</v>
      </c>
      <c r="I1" s="67" t="s">
        <v>1060</v>
      </c>
      <c r="J1" s="67" t="s">
        <v>189</v>
      </c>
    </row>
    <row r="2" spans="1:10">
      <c r="A2" s="69">
        <v>46052.375</v>
      </c>
      <c r="B2" t="s">
        <v>1061</v>
      </c>
      <c r="C2" t="s">
        <v>1062</v>
      </c>
      <c r="D2" t="str">
        <f ca="1">IF($C2="","",IFERROR(LOOKUP(2,1/($C$2:INDEX($C:$C,ROW()-1)=$C2),$E$2:INDEX($E:$E,ROW()-1)),IFERROR(VLOOKUP($C2,'01_Warehouse_Ledger'!$A$2:$C$2002,3,FALSE),"")))</f>
        <v>SAMPLE-REF-PAL001</v>
      </c>
      <c r="E2" t="s">
        <v>1063</v>
      </c>
      <c r="G2" s="34"/>
      <c r="H2" t="s">
        <v>221</v>
      </c>
      <c r="I2" t="s">
        <v>1064</v>
      </c>
      <c r="J2" t="s">
        <v>1065</v>
      </c>
    </row>
    <row r="3" spans="1:10">
      <c r="A3" s="69">
        <v>46052.379861111112</v>
      </c>
      <c r="B3" t="s">
        <v>1061</v>
      </c>
      <c r="C3" t="s">
        <v>1066</v>
      </c>
      <c r="D3" t="str">
        <f ca="1">IF($C3="","",IFERROR(LOOKUP(2,1/($C$2:INDEX($C:$C,ROW()-1)=$C3),$E$2:INDEX($E:$E,ROW()-1)),IFERROR(VLOOKUP($C3,'01_Warehouse_Ledger'!$A$2:$C$2002,3,FALSE),"")))</f>
        <v/>
      </c>
      <c r="E3" t="s">
        <v>216</v>
      </c>
      <c r="G3" s="34"/>
      <c r="H3" t="s">
        <v>221</v>
      </c>
      <c r="I3" t="s">
        <v>1067</v>
      </c>
      <c r="J3" t="s">
        <v>1065</v>
      </c>
    </row>
    <row r="4" spans="1:10">
      <c r="A4" s="69">
        <v>46052.384722222218</v>
      </c>
      <c r="B4" t="s">
        <v>1061</v>
      </c>
      <c r="C4" t="s">
        <v>1068</v>
      </c>
      <c r="D4" t="str">
        <f ca="1">IF($C4="","",IFERROR(LOOKUP(2,1/($C$2:INDEX($C:$C,ROW()-1)=$C4),$E$2:INDEX($E:$E,ROW()-1)),IFERROR(VLOOKUP($C4,'01_Warehouse_Ledger'!$A$2:$C$2002,3,FALSE),"")))</f>
        <v/>
      </c>
      <c r="E4" t="s">
        <v>225</v>
      </c>
      <c r="G4" s="34"/>
      <c r="H4" t="s">
        <v>221</v>
      </c>
      <c r="I4" t="s">
        <v>1069</v>
      </c>
      <c r="J4" t="s">
        <v>1065</v>
      </c>
    </row>
    <row r="5" spans="1:10">
      <c r="A5" s="69">
        <v>46052.38958333333</v>
      </c>
      <c r="B5" t="s">
        <v>1061</v>
      </c>
      <c r="C5" t="s">
        <v>1070</v>
      </c>
      <c r="D5" t="str">
        <f ca="1">IF($C5="","",IFERROR(LOOKUP(2,1/($C$2:INDEX($C:$C,ROW()-1)=$C5),$E$2:INDEX($E:$E,ROW()-1)),IFERROR(VLOOKUP($C5,'01_Warehouse_Ledger'!$A$2:$C$2002,3,FALSE),"")))</f>
        <v/>
      </c>
      <c r="E5" t="s">
        <v>225</v>
      </c>
      <c r="G5" s="34"/>
      <c r="H5" t="s">
        <v>221</v>
      </c>
      <c r="I5" t="s">
        <v>1071</v>
      </c>
      <c r="J5" t="s">
        <v>1065</v>
      </c>
    </row>
    <row r="6" spans="1:10">
      <c r="A6" s="69">
        <v>46052.394444444442</v>
      </c>
      <c r="B6" t="s">
        <v>1061</v>
      </c>
      <c r="C6" t="s">
        <v>1072</v>
      </c>
      <c r="D6" t="str">
        <f ca="1">IF($C6="","",IFERROR(LOOKUP(2,1/($C$2:INDEX($C:$C,ROW()-1)=$C6),$E$2:INDEX($E:$E,ROW()-1)),IFERROR(VLOOKUP($C6,'01_Warehouse_Ledger'!$A$2:$C$2002,3,FALSE),"")))</f>
        <v/>
      </c>
      <c r="E6" t="s">
        <v>1073</v>
      </c>
      <c r="G6" s="34"/>
      <c r="H6" t="s">
        <v>221</v>
      </c>
      <c r="I6" t="s">
        <v>1074</v>
      </c>
      <c r="J6" t="s">
        <v>1065</v>
      </c>
    </row>
    <row r="7" spans="1:10">
      <c r="A7" s="69">
        <v>46052.399305555547</v>
      </c>
      <c r="B7" t="s">
        <v>1061</v>
      </c>
      <c r="C7" t="s">
        <v>1075</v>
      </c>
      <c r="D7" t="str">
        <f ca="1">IF($C7="","",IFERROR(LOOKUP(2,1/($C$2:INDEX($C:$C,ROW()-1)=$C7),$E$2:INDEX($E:$E,ROW()-1)),IFERROR(VLOOKUP($C7,'01_Warehouse_Ledger'!$A$2:$C$2002,3,FALSE),"")))</f>
        <v/>
      </c>
      <c r="E7" t="s">
        <v>1076</v>
      </c>
      <c r="G7" s="34"/>
      <c r="H7" t="s">
        <v>221</v>
      </c>
      <c r="I7" t="s">
        <v>1077</v>
      </c>
      <c r="J7" t="s">
        <v>1065</v>
      </c>
    </row>
    <row r="8" spans="1:10">
      <c r="A8" s="69">
        <v>46052.404166666667</v>
      </c>
      <c r="B8" t="s">
        <v>1061</v>
      </c>
      <c r="C8" t="s">
        <v>1078</v>
      </c>
      <c r="D8" t="str">
        <f ca="1">IF($C8="","",IFERROR(LOOKUP(2,1/($C$2:INDEX($C:$C,ROW()-1)=$C8),$E$2:INDEX($E:$E,ROW()-1)),IFERROR(VLOOKUP($C8,'01_Warehouse_Ledger'!$A$2:$C$2002,3,FALSE),"")))</f>
        <v/>
      </c>
      <c r="E8" t="s">
        <v>1079</v>
      </c>
      <c r="G8" s="34"/>
      <c r="H8" t="s">
        <v>221</v>
      </c>
      <c r="I8" t="s">
        <v>1080</v>
      </c>
      <c r="J8" t="s">
        <v>1065</v>
      </c>
    </row>
    <row r="9" spans="1:10">
      <c r="A9" s="69">
        <v>46052.40902777778</v>
      </c>
      <c r="B9" t="s">
        <v>1061</v>
      </c>
      <c r="C9" t="s">
        <v>1081</v>
      </c>
      <c r="D9" t="str">
        <f ca="1">IF($C9="","",IFERROR(LOOKUP(2,1/($C$2:INDEX($C:$C,ROW()-1)=$C9),$E$2:INDEX($E:$E,ROW()-1)),IFERROR(VLOOKUP($C9,'01_Warehouse_Ledger'!$A$2:$C$2002,3,FALSE),"")))</f>
        <v/>
      </c>
      <c r="E9" t="s">
        <v>1082</v>
      </c>
      <c r="G9" s="34"/>
      <c r="H9" t="s">
        <v>221</v>
      </c>
      <c r="I9" t="s">
        <v>1083</v>
      </c>
      <c r="J9" t="s">
        <v>1065</v>
      </c>
    </row>
    <row r="10" spans="1:10">
      <c r="A10" s="69">
        <v>46052.413888888892</v>
      </c>
      <c r="B10" t="s">
        <v>1061</v>
      </c>
      <c r="C10" t="s">
        <v>1084</v>
      </c>
      <c r="D10" t="str">
        <f ca="1">IF($C10="","",IFERROR(LOOKUP(2,1/($C$2:INDEX($C:$C,ROW()-1)=$C10),$E$2:INDEX($E:$E,ROW()-1)),IFERROR(VLOOKUP($C10,'01_Warehouse_Ledger'!$A$2:$C$2002,3,FALSE),"")))</f>
        <v/>
      </c>
      <c r="E10" t="s">
        <v>1085</v>
      </c>
      <c r="G10" s="34"/>
      <c r="H10" t="s">
        <v>221</v>
      </c>
      <c r="I10" t="s">
        <v>1086</v>
      </c>
      <c r="J10" t="s">
        <v>1065</v>
      </c>
    </row>
    <row r="11" spans="1:10">
      <c r="A11" s="69">
        <v>46052.418749999997</v>
      </c>
      <c r="B11" t="s">
        <v>1061</v>
      </c>
      <c r="C11" t="s">
        <v>1087</v>
      </c>
      <c r="D11" t="str">
        <f ca="1">IF($C11="","",IFERROR(LOOKUP(2,1/($C$2:INDEX($C:$C,ROW()-1)=$C11),$E$2:INDEX($E:$E,ROW()-1)),IFERROR(VLOOKUP($C11,'01_Warehouse_Ledger'!$A$2:$C$2002,3,FALSE),"")))</f>
        <v/>
      </c>
      <c r="E11" t="s">
        <v>1088</v>
      </c>
      <c r="G11" s="34"/>
      <c r="H11" t="s">
        <v>221</v>
      </c>
      <c r="I11" t="s">
        <v>1089</v>
      </c>
      <c r="J11" t="s">
        <v>1065</v>
      </c>
    </row>
    <row r="12" spans="1:10">
      <c r="A12" s="69">
        <v>46052.423611111109</v>
      </c>
      <c r="B12" t="s">
        <v>1061</v>
      </c>
      <c r="C12" t="s">
        <v>1090</v>
      </c>
      <c r="D12" t="str">
        <f ca="1">IF($C12="","",IFERROR(LOOKUP(2,1/($C$2:INDEX($C:$C,ROW()-1)=$C12),$E$2:INDEX($E:$E,ROW()-1)),IFERROR(VLOOKUP($C12,'01_Warehouse_Ledger'!$A$2:$C$2002,3,FALSE),"")))</f>
        <v/>
      </c>
      <c r="E12" t="s">
        <v>1091</v>
      </c>
      <c r="G12" s="34"/>
      <c r="H12" t="s">
        <v>221</v>
      </c>
      <c r="I12" t="s">
        <v>1092</v>
      </c>
      <c r="J12" t="s">
        <v>1065</v>
      </c>
    </row>
    <row r="13" spans="1:10">
      <c r="A13" s="69">
        <v>46052.428472222222</v>
      </c>
      <c r="B13" t="s">
        <v>1061</v>
      </c>
      <c r="C13" t="s">
        <v>1093</v>
      </c>
      <c r="D13" t="str">
        <f ca="1">IF($C13="","",IFERROR(LOOKUP(2,1/($C$2:INDEX($C:$C,ROW()-1)=$C13),$E$2:INDEX($E:$E,ROW()-1)),IFERROR(VLOOKUP($C13,'01_Warehouse_Ledger'!$A$2:$C$2002,3,FALSE),"")))</f>
        <v/>
      </c>
      <c r="E13" t="s">
        <v>1094</v>
      </c>
      <c r="G13" s="34"/>
      <c r="H13" t="s">
        <v>221</v>
      </c>
      <c r="I13" t="s">
        <v>1095</v>
      </c>
      <c r="J13" t="s">
        <v>1065</v>
      </c>
    </row>
    <row r="14" spans="1:10">
      <c r="A14" s="69">
        <v>46052.433333333327</v>
      </c>
      <c r="B14" t="s">
        <v>1061</v>
      </c>
      <c r="C14" t="s">
        <v>1096</v>
      </c>
      <c r="D14" t="str">
        <f ca="1">IF($C14="","",IFERROR(LOOKUP(2,1/($C$2:INDEX($C:$C,ROW()-1)=$C14),$E$2:INDEX($E:$E,ROW()-1)),IFERROR(VLOOKUP($C14,'01_Warehouse_Ledger'!$A$2:$C$2002,3,FALSE),"")))</f>
        <v/>
      </c>
      <c r="E14" t="s">
        <v>1097</v>
      </c>
      <c r="G14" s="34"/>
      <c r="H14" t="s">
        <v>221</v>
      </c>
      <c r="I14" t="s">
        <v>1098</v>
      </c>
      <c r="J14" t="s">
        <v>1065</v>
      </c>
    </row>
    <row r="15" spans="1:10">
      <c r="A15" s="69">
        <v>46052.438194444447</v>
      </c>
      <c r="B15" t="s">
        <v>1061</v>
      </c>
      <c r="C15" t="s">
        <v>1099</v>
      </c>
      <c r="D15" t="str">
        <f ca="1">IF($C15="","",IFERROR(LOOKUP(2,1/($C$2:INDEX($C:$C,ROW()-1)=$C15),$E$2:INDEX($E:$E,ROW()-1)),IFERROR(VLOOKUP($C15,'01_Warehouse_Ledger'!$A$2:$C$2002,3,FALSE),"")))</f>
        <v/>
      </c>
      <c r="E15" t="s">
        <v>1100</v>
      </c>
      <c r="G15" s="34"/>
      <c r="H15" t="s">
        <v>221</v>
      </c>
      <c r="I15" t="s">
        <v>1101</v>
      </c>
      <c r="J15" t="s">
        <v>1065</v>
      </c>
    </row>
    <row r="16" spans="1:10">
      <c r="A16" s="69">
        <v>46052.443055555559</v>
      </c>
      <c r="B16" t="s">
        <v>1061</v>
      </c>
      <c r="C16" t="s">
        <v>1102</v>
      </c>
      <c r="D16" t="str">
        <f ca="1">IF($C16="","",IFERROR(LOOKUP(2,1/($C$2:INDEX($C:$C,ROW()-1)=$C16),$E$2:INDEX($E:$E,ROW()-1)),IFERROR(VLOOKUP($C16,'01_Warehouse_Ledger'!$A$2:$C$2002,3,FALSE),"")))</f>
        <v/>
      </c>
      <c r="E16" t="s">
        <v>1103</v>
      </c>
      <c r="G16" s="34"/>
      <c r="H16" t="s">
        <v>221</v>
      </c>
      <c r="I16" t="s">
        <v>1104</v>
      </c>
      <c r="J16" t="s">
        <v>1065</v>
      </c>
    </row>
    <row r="17" spans="1:10">
      <c r="A17" s="69">
        <v>46052.447916666657</v>
      </c>
      <c r="B17" t="s">
        <v>1061</v>
      </c>
      <c r="C17" t="s">
        <v>1105</v>
      </c>
      <c r="D17" t="str">
        <f ca="1">IF($C17="","",IFERROR(LOOKUP(2,1/($C$2:INDEX($C:$C,ROW()-1)=$C17),$E$2:INDEX($E:$E,ROW()-1)),IFERROR(VLOOKUP($C17,'01_Warehouse_Ledger'!$A$2:$C$2002,3,FALSE),"")))</f>
        <v/>
      </c>
      <c r="E17" t="s">
        <v>1106</v>
      </c>
      <c r="G17" s="34"/>
      <c r="H17" t="s">
        <v>221</v>
      </c>
      <c r="I17" t="s">
        <v>1107</v>
      </c>
      <c r="J17" t="s">
        <v>1065</v>
      </c>
    </row>
    <row r="18" spans="1:10">
      <c r="A18" s="69">
        <v>46052.452777777777</v>
      </c>
      <c r="B18" t="s">
        <v>1061</v>
      </c>
      <c r="C18" t="s">
        <v>1108</v>
      </c>
      <c r="D18" t="str">
        <f ca="1">IF($C18="","",IFERROR(LOOKUP(2,1/($C$2:INDEX($C:$C,ROW()-1)=$C18),$E$2:INDEX($E:$E,ROW()-1)),IFERROR(VLOOKUP($C18,'01_Warehouse_Ledger'!$A$2:$C$2002,3,FALSE),"")))</f>
        <v/>
      </c>
      <c r="E18" t="s">
        <v>1109</v>
      </c>
      <c r="G18" s="34"/>
      <c r="H18" t="s">
        <v>221</v>
      </c>
      <c r="I18" t="s">
        <v>1110</v>
      </c>
      <c r="J18" t="s">
        <v>1065</v>
      </c>
    </row>
    <row r="19" spans="1:10">
      <c r="A19" s="69">
        <v>46052.457638888889</v>
      </c>
      <c r="B19" t="s">
        <v>1061</v>
      </c>
      <c r="C19" t="s">
        <v>1111</v>
      </c>
      <c r="D19" t="str">
        <f ca="1">IF($C19="","",IFERROR(LOOKUP(2,1/($C$2:INDEX($C:$C,ROW()-1)=$C19),$E$2:INDEX($E:$E,ROW()-1)),IFERROR(VLOOKUP($C19,'01_Warehouse_Ledger'!$A$2:$C$2002,3,FALSE),"")))</f>
        <v/>
      </c>
      <c r="E19" t="s">
        <v>1112</v>
      </c>
      <c r="G19" s="34"/>
      <c r="H19" t="s">
        <v>221</v>
      </c>
      <c r="I19" t="s">
        <v>1113</v>
      </c>
      <c r="J19" t="s">
        <v>1065</v>
      </c>
    </row>
    <row r="20" spans="1:10">
      <c r="A20" s="69">
        <v>46052.462500000001</v>
      </c>
      <c r="B20" t="s">
        <v>1061</v>
      </c>
      <c r="C20" t="s">
        <v>1114</v>
      </c>
      <c r="D20" t="str">
        <f ca="1">IF($C20="","",IFERROR(LOOKUP(2,1/($C$2:INDEX($C:$C,ROW()-1)=$C20),$E$2:INDEX($E:$E,ROW()-1)),IFERROR(VLOOKUP($C20,'01_Warehouse_Ledger'!$A$2:$C$2002,3,FALSE),"")))</f>
        <v/>
      </c>
      <c r="E20" t="s">
        <v>1115</v>
      </c>
      <c r="G20" s="34"/>
      <c r="H20" t="s">
        <v>221</v>
      </c>
      <c r="I20" t="s">
        <v>1116</v>
      </c>
      <c r="J20" t="s">
        <v>1065</v>
      </c>
    </row>
    <row r="21" spans="1:10">
      <c r="A21" s="69">
        <v>46052.467361111107</v>
      </c>
      <c r="B21" t="s">
        <v>1061</v>
      </c>
      <c r="C21" t="s">
        <v>1117</v>
      </c>
      <c r="D21" t="str">
        <f ca="1">IF($C21="","",IFERROR(LOOKUP(2,1/($C$2:INDEX($C:$C,ROW()-1)=$C21),$E$2:INDEX($E:$E,ROW()-1)),IFERROR(VLOOKUP($C21,'01_Warehouse_Ledger'!$A$2:$C$2002,3,FALSE),"")))</f>
        <v/>
      </c>
      <c r="E21" t="s">
        <v>1118</v>
      </c>
      <c r="G21" s="34"/>
      <c r="H21" t="s">
        <v>221</v>
      </c>
      <c r="I21" t="s">
        <v>1119</v>
      </c>
      <c r="J21" t="s">
        <v>1065</v>
      </c>
    </row>
    <row r="22" spans="1:10">
      <c r="A22" s="69">
        <v>46052.472222222219</v>
      </c>
      <c r="B22" t="s">
        <v>1061</v>
      </c>
      <c r="C22" t="s">
        <v>1120</v>
      </c>
      <c r="D22" t="str">
        <f ca="1">IF($C22="","",IFERROR(LOOKUP(2,1/($C$2:INDEX($C:$C,ROW()-1)=$C22),$E$2:INDEX($E:$E,ROW()-1)),IFERROR(VLOOKUP($C22,'01_Warehouse_Ledger'!$A$2:$C$2002,3,FALSE),"")))</f>
        <v/>
      </c>
      <c r="E22" t="s">
        <v>1121</v>
      </c>
      <c r="G22" s="34"/>
      <c r="H22" t="s">
        <v>221</v>
      </c>
      <c r="I22" t="s">
        <v>1122</v>
      </c>
      <c r="J22" t="s">
        <v>1065</v>
      </c>
    </row>
    <row r="23" spans="1:10">
      <c r="A23" s="69">
        <v>46052.477083333331</v>
      </c>
      <c r="B23" t="s">
        <v>1061</v>
      </c>
      <c r="C23" t="s">
        <v>1123</v>
      </c>
      <c r="D23" t="str">
        <f ca="1">IF($C23="","",IFERROR(LOOKUP(2,1/($C$2:INDEX($C:$C,ROW()-1)=$C23),$E$2:INDEX($E:$E,ROW()-1)),IFERROR(VLOOKUP($C23,'01_Warehouse_Ledger'!$A$2:$C$2002,3,FALSE),"")))</f>
        <v/>
      </c>
      <c r="E23" t="s">
        <v>1124</v>
      </c>
      <c r="G23" s="34"/>
      <c r="H23" t="s">
        <v>221</v>
      </c>
      <c r="I23" t="s">
        <v>1125</v>
      </c>
      <c r="J23" t="s">
        <v>1065</v>
      </c>
    </row>
    <row r="24" spans="1:10">
      <c r="A24" s="69">
        <v>46052.481944444437</v>
      </c>
      <c r="B24" t="s">
        <v>1061</v>
      </c>
      <c r="C24" t="s">
        <v>1126</v>
      </c>
      <c r="D24" t="str">
        <f ca="1">IF($C24="","",IFERROR(LOOKUP(2,1/($C$2:INDEX($C:$C,ROW()-1)=$C24),$E$2:INDEX($E:$E,ROW()-1)),IFERROR(VLOOKUP($C24,'01_Warehouse_Ledger'!$A$2:$C$2002,3,FALSE),"")))</f>
        <v/>
      </c>
      <c r="E24" t="s">
        <v>1127</v>
      </c>
      <c r="G24" s="34"/>
      <c r="H24" t="s">
        <v>221</v>
      </c>
      <c r="I24" t="s">
        <v>1128</v>
      </c>
      <c r="J24" t="s">
        <v>1065</v>
      </c>
    </row>
    <row r="25" spans="1:10">
      <c r="A25" s="69">
        <v>46052.486805555563</v>
      </c>
      <c r="B25" t="s">
        <v>1061</v>
      </c>
      <c r="C25" t="s">
        <v>1129</v>
      </c>
      <c r="D25" t="str">
        <f ca="1">IF($C25="","",IFERROR(LOOKUP(2,1/($C$2:INDEX($C:$C,ROW()-1)=$C25),$E$2:INDEX($E:$E,ROW()-1)),IFERROR(VLOOKUP($C25,'01_Warehouse_Ledger'!$A$2:$C$2002,3,FALSE),"")))</f>
        <v/>
      </c>
      <c r="E25" t="s">
        <v>1130</v>
      </c>
      <c r="G25" s="34"/>
      <c r="H25" t="s">
        <v>221</v>
      </c>
      <c r="I25" t="s">
        <v>1131</v>
      </c>
      <c r="J25" t="s">
        <v>1065</v>
      </c>
    </row>
    <row r="26" spans="1:10">
      <c r="A26" s="69">
        <v>46052.491666666669</v>
      </c>
      <c r="B26" t="s">
        <v>1061</v>
      </c>
      <c r="C26" t="s">
        <v>1132</v>
      </c>
      <c r="D26" t="str">
        <f ca="1">IF($C26="","",IFERROR(LOOKUP(2,1/($C$2:INDEX($C:$C,ROW()-1)=$C26),$E$2:INDEX($E:$E,ROW()-1)),IFERROR(VLOOKUP($C26,'01_Warehouse_Ledger'!$A$2:$C$2002,3,FALSE),"")))</f>
        <v/>
      </c>
      <c r="E26" t="s">
        <v>1133</v>
      </c>
      <c r="G26" s="34"/>
      <c r="H26" t="s">
        <v>221</v>
      </c>
      <c r="I26" t="s">
        <v>1134</v>
      </c>
      <c r="J26" t="s">
        <v>1065</v>
      </c>
    </row>
    <row r="27" spans="1:10">
      <c r="A27" s="69">
        <v>46052.496527777781</v>
      </c>
      <c r="B27" t="s">
        <v>1061</v>
      </c>
      <c r="C27" t="s">
        <v>1135</v>
      </c>
      <c r="D27" t="str">
        <f ca="1">IF($C27="","",IFERROR(LOOKUP(2,1/($C$2:INDEX($C:$C,ROW()-1)=$C27),$E$2:INDEX($E:$E,ROW()-1)),IFERROR(VLOOKUP($C27,'01_Warehouse_Ledger'!$A$2:$C$2002,3,FALSE),"")))</f>
        <v/>
      </c>
      <c r="E27" t="s">
        <v>1136</v>
      </c>
      <c r="G27" s="34"/>
      <c r="H27" t="s">
        <v>221</v>
      </c>
      <c r="I27" t="s">
        <v>1137</v>
      </c>
      <c r="J27" t="s">
        <v>1065</v>
      </c>
    </row>
    <row r="28" spans="1:10">
      <c r="A28" s="69">
        <v>46052.501388888893</v>
      </c>
      <c r="B28" t="s">
        <v>1061</v>
      </c>
      <c r="C28" t="s">
        <v>1138</v>
      </c>
      <c r="D28" t="str">
        <f ca="1">IF($C28="","",IFERROR(LOOKUP(2,1/($C$2:INDEX($C:$C,ROW()-1)=$C28),$E$2:INDEX($E:$E,ROW()-1)),IFERROR(VLOOKUP($C28,'01_Warehouse_Ledger'!$A$2:$C$2002,3,FALSE),"")))</f>
        <v/>
      </c>
      <c r="E28" t="s">
        <v>1139</v>
      </c>
      <c r="G28" s="34"/>
      <c r="H28" t="s">
        <v>221</v>
      </c>
      <c r="I28" t="s">
        <v>1140</v>
      </c>
      <c r="J28" t="s">
        <v>1065</v>
      </c>
    </row>
    <row r="29" spans="1:10">
      <c r="A29" s="69">
        <v>46052.506249999999</v>
      </c>
      <c r="B29" t="s">
        <v>1061</v>
      </c>
      <c r="C29" t="s">
        <v>1141</v>
      </c>
      <c r="D29" t="str">
        <f ca="1">IF($C29="","",IFERROR(LOOKUP(2,1/($C$2:INDEX($C:$C,ROW()-1)=$C29),$E$2:INDEX($E:$E,ROW()-1)),IFERROR(VLOOKUP($C29,'01_Warehouse_Ledger'!$A$2:$C$2002,3,FALSE),"")))</f>
        <v/>
      </c>
      <c r="E29" t="s">
        <v>1142</v>
      </c>
      <c r="G29" s="34"/>
      <c r="H29" t="s">
        <v>221</v>
      </c>
      <c r="I29" t="s">
        <v>1143</v>
      </c>
      <c r="J29" t="s">
        <v>1065</v>
      </c>
    </row>
    <row r="30" spans="1:10">
      <c r="A30" s="69">
        <v>46052.511111111111</v>
      </c>
      <c r="B30" t="s">
        <v>1061</v>
      </c>
      <c r="C30" t="s">
        <v>1144</v>
      </c>
      <c r="D30" t="str">
        <f ca="1">IF($C30="","",IFERROR(LOOKUP(2,1/($C$2:INDEX($C:$C,ROW()-1)=$C30),$E$2:INDEX($E:$E,ROW()-1)),IFERROR(VLOOKUP($C30,'01_Warehouse_Ledger'!$A$2:$C$2002,3,FALSE),"")))</f>
        <v/>
      </c>
      <c r="E30" t="s">
        <v>1145</v>
      </c>
      <c r="G30" s="34"/>
      <c r="H30" t="s">
        <v>221</v>
      </c>
      <c r="I30" t="s">
        <v>1146</v>
      </c>
      <c r="J30" t="s">
        <v>1065</v>
      </c>
    </row>
    <row r="31" spans="1:10">
      <c r="A31" s="69">
        <v>46052.515972222223</v>
      </c>
      <c r="B31" t="s">
        <v>1061</v>
      </c>
      <c r="C31" t="s">
        <v>1147</v>
      </c>
      <c r="D31" t="str">
        <f ca="1">IF($C31="","",IFERROR(LOOKUP(2,1/($C$2:INDEX($C:$C,ROW()-1)=$C31),$E$2:INDEX($E:$E,ROW()-1)),IFERROR(VLOOKUP($C31,'01_Warehouse_Ledger'!$A$2:$C$2002,3,FALSE),"")))</f>
        <v/>
      </c>
      <c r="E31" t="s">
        <v>1148</v>
      </c>
      <c r="G31" s="34"/>
      <c r="H31" t="s">
        <v>221</v>
      </c>
      <c r="I31" t="s">
        <v>1149</v>
      </c>
      <c r="J31" t="s">
        <v>1065</v>
      </c>
    </row>
    <row r="32" spans="1:10">
      <c r="A32" s="69">
        <v>46052.520833333343</v>
      </c>
      <c r="B32" t="s">
        <v>1061</v>
      </c>
      <c r="C32" t="s">
        <v>1150</v>
      </c>
      <c r="D32" t="str">
        <f ca="1">IF($C32="","",IFERROR(LOOKUP(2,1/($C$2:INDEX($C:$C,ROW()-1)=$C32),$E$2:INDEX($E:$E,ROW()-1)),IFERROR(VLOOKUP($C32,'01_Warehouse_Ledger'!$A$2:$C$2002,3,FALSE),"")))</f>
        <v/>
      </c>
      <c r="E32" t="s">
        <v>1151</v>
      </c>
      <c r="G32" s="34"/>
      <c r="H32" t="s">
        <v>221</v>
      </c>
      <c r="I32" t="s">
        <v>1152</v>
      </c>
      <c r="J32" t="s">
        <v>1065</v>
      </c>
    </row>
    <row r="33" spans="1:10">
      <c r="A33" s="69">
        <v>46052.525694444441</v>
      </c>
      <c r="B33" t="s">
        <v>1061</v>
      </c>
      <c r="C33" t="s">
        <v>1153</v>
      </c>
      <c r="D33" t="str">
        <f ca="1">IF($C33="","",IFERROR(LOOKUP(2,1/($C$2:INDEX($C:$C,ROW()-1)=$C33),$E$2:INDEX($E:$E,ROW()-1)),IFERROR(VLOOKUP($C33,'01_Warehouse_Ledger'!$A$2:$C$2002,3,FALSE),"")))</f>
        <v/>
      </c>
      <c r="E33" t="s">
        <v>1154</v>
      </c>
      <c r="G33" s="34"/>
      <c r="H33" t="s">
        <v>221</v>
      </c>
      <c r="I33" t="s">
        <v>1155</v>
      </c>
      <c r="J33" t="s">
        <v>1065</v>
      </c>
    </row>
    <row r="34" spans="1:10">
      <c r="A34" s="69">
        <v>46052.530555555553</v>
      </c>
      <c r="B34" t="s">
        <v>1061</v>
      </c>
      <c r="C34" t="s">
        <v>1156</v>
      </c>
      <c r="D34" t="str">
        <f ca="1">IF($C34="","",IFERROR(LOOKUP(2,1/($C$2:INDEX($C:$C,ROW()-1)=$C34),$E$2:INDEX($E:$E,ROW()-1)),IFERROR(VLOOKUP($C34,'01_Warehouse_Ledger'!$A$2:$C$2002,3,FALSE),"")))</f>
        <v/>
      </c>
      <c r="E34" t="s">
        <v>1157</v>
      </c>
      <c r="G34" s="34"/>
      <c r="H34" t="s">
        <v>221</v>
      </c>
      <c r="I34" t="s">
        <v>1158</v>
      </c>
      <c r="J34" t="s">
        <v>1065</v>
      </c>
    </row>
    <row r="35" spans="1:10">
      <c r="A35" s="69">
        <v>46052.535416666673</v>
      </c>
      <c r="B35" t="s">
        <v>1061</v>
      </c>
      <c r="C35" t="s">
        <v>1159</v>
      </c>
      <c r="D35" t="str">
        <f ca="1">IF($C35="","",IFERROR(LOOKUP(2,1/($C$2:INDEX($C:$C,ROW()-1)=$C35),$E$2:INDEX($E:$E,ROW()-1)),IFERROR(VLOOKUP($C35,'01_Warehouse_Ledger'!$A$2:$C$2002,3,FALSE),"")))</f>
        <v/>
      </c>
      <c r="E35" t="s">
        <v>1160</v>
      </c>
      <c r="G35" s="34"/>
      <c r="H35" t="s">
        <v>221</v>
      </c>
      <c r="I35" t="s">
        <v>1161</v>
      </c>
      <c r="J35" t="s">
        <v>1065</v>
      </c>
    </row>
    <row r="36" spans="1:10">
      <c r="A36" s="69">
        <v>46052.540277777778</v>
      </c>
      <c r="B36" t="s">
        <v>1061</v>
      </c>
      <c r="C36" t="s">
        <v>1162</v>
      </c>
      <c r="D36" t="str">
        <f ca="1">IF($C36="","",IFERROR(LOOKUP(2,1/($C$2:INDEX($C:$C,ROW()-1)=$C36),$E$2:INDEX($E:$E,ROW()-1)),IFERROR(VLOOKUP($C36,'01_Warehouse_Ledger'!$A$2:$C$2002,3,FALSE),"")))</f>
        <v/>
      </c>
      <c r="E36" t="s">
        <v>1163</v>
      </c>
      <c r="G36" s="34"/>
      <c r="H36" t="s">
        <v>221</v>
      </c>
      <c r="I36" t="s">
        <v>1164</v>
      </c>
      <c r="J36" t="s">
        <v>1065</v>
      </c>
    </row>
    <row r="37" spans="1:10">
      <c r="A37" s="69">
        <v>46052.541666666657</v>
      </c>
      <c r="B37" t="s">
        <v>1165</v>
      </c>
      <c r="C37" t="s">
        <v>1081</v>
      </c>
      <c r="D37" t="str">
        <f ca="1">IF($C37="","",IFERROR(LOOKUP(2,1/($C$2:INDEX($C:$C,ROW()-1)=$C37),$E$2:INDEX($E:$E,ROW()-1)),IFERROR(VLOOKUP($C37,'01_Warehouse_Ledger'!$A$2:$C$2002,3,FALSE),"")))</f>
        <v>SAMPLE-REF-PAL008</v>
      </c>
      <c r="E37" t="s">
        <v>1073</v>
      </c>
      <c r="G37" s="34"/>
      <c r="H37" t="s">
        <v>221</v>
      </c>
      <c r="I37" t="s">
        <v>1166</v>
      </c>
      <c r="J37" t="s">
        <v>1167</v>
      </c>
    </row>
    <row r="38" spans="1:10">
      <c r="A38" s="69">
        <v>46052.545138888891</v>
      </c>
      <c r="B38" t="s">
        <v>1061</v>
      </c>
      <c r="C38" t="s">
        <v>1168</v>
      </c>
      <c r="D38" t="str">
        <f ca="1">IF($C38="","",IFERROR(LOOKUP(2,1/($C$2:INDEX($C:$C,ROW()-1)=$C38),$E$2:INDEX($E:$E,ROW()-1)),IFERROR(VLOOKUP($C38,'01_Warehouse_Ledger'!$A$2:$C$2002,3,FALSE),"")))</f>
        <v/>
      </c>
      <c r="E38" t="s">
        <v>1169</v>
      </c>
      <c r="G38" s="34"/>
      <c r="H38" t="s">
        <v>221</v>
      </c>
      <c r="I38" t="s">
        <v>1170</v>
      </c>
      <c r="J38" t="s">
        <v>1065</v>
      </c>
    </row>
    <row r="39" spans="1:10">
      <c r="A39" s="69">
        <v>46052.54791666667</v>
      </c>
      <c r="B39" t="s">
        <v>1165</v>
      </c>
      <c r="C39" t="s">
        <v>1084</v>
      </c>
      <c r="D39" t="str">
        <f ca="1">IF($C39="","",IFERROR(LOOKUP(2,1/($C$2:INDEX($C:$C,ROW()-1)=$C39),$E$2:INDEX($E:$E,ROW()-1)),IFERROR(VLOOKUP($C39,'01_Warehouse_Ledger'!$A$2:$C$2002,3,FALSE),"")))</f>
        <v>SAMPLE-REF-PAL009</v>
      </c>
      <c r="E39" t="s">
        <v>1076</v>
      </c>
      <c r="G39" s="34"/>
      <c r="H39" t="s">
        <v>221</v>
      </c>
      <c r="I39" t="s">
        <v>1171</v>
      </c>
      <c r="J39" t="s">
        <v>1167</v>
      </c>
    </row>
    <row r="40" spans="1:10">
      <c r="A40" s="69">
        <v>46052.55</v>
      </c>
      <c r="B40" t="s">
        <v>1061</v>
      </c>
      <c r="C40" t="s">
        <v>1172</v>
      </c>
      <c r="D40" t="str">
        <f ca="1">IF($C40="","",IFERROR(LOOKUP(2,1/($C$2:INDEX($C:$C,ROW()-1)=$C40),$E$2:INDEX($E:$E,ROW()-1)),IFERROR(VLOOKUP($C40,'01_Warehouse_Ledger'!$A$2:$C$2002,3,FALSE),"")))</f>
        <v/>
      </c>
      <c r="E40" t="s">
        <v>1173</v>
      </c>
      <c r="G40" s="34"/>
      <c r="H40" t="s">
        <v>221</v>
      </c>
      <c r="I40" t="s">
        <v>1174</v>
      </c>
      <c r="J40" t="s">
        <v>1065</v>
      </c>
    </row>
    <row r="41" spans="1:10">
      <c r="A41" s="69">
        <v>46052.554166666669</v>
      </c>
      <c r="B41" t="s">
        <v>1165</v>
      </c>
      <c r="C41" t="s">
        <v>1087</v>
      </c>
      <c r="D41" t="str">
        <f ca="1">IF($C41="","",IFERROR(LOOKUP(2,1/($C$2:INDEX($C:$C,ROW()-1)=$C41),$E$2:INDEX($E:$E,ROW()-1)),IFERROR(VLOOKUP($C41,'01_Warehouse_Ledger'!$A$2:$C$2002,3,FALSE),"")))</f>
        <v>SAMPLE-REF-PAL010</v>
      </c>
      <c r="E41" t="s">
        <v>1079</v>
      </c>
      <c r="G41" s="34"/>
      <c r="H41" t="s">
        <v>221</v>
      </c>
      <c r="I41" t="s">
        <v>1175</v>
      </c>
      <c r="J41" t="s">
        <v>1167</v>
      </c>
    </row>
    <row r="42" spans="1:10">
      <c r="A42" s="69">
        <v>46052.554861111108</v>
      </c>
      <c r="B42" t="s">
        <v>1061</v>
      </c>
      <c r="C42" t="s">
        <v>1176</v>
      </c>
      <c r="D42" t="str">
        <f ca="1">IF($C42="","",IFERROR(LOOKUP(2,1/($C$2:INDEX($C:$C,ROW()-1)=$C42),$E$2:INDEX($E:$E,ROW()-1)),IFERROR(VLOOKUP($C42,'01_Warehouse_Ledger'!$A$2:$C$2002,3,FALSE),"")))</f>
        <v/>
      </c>
      <c r="E42" t="s">
        <v>1177</v>
      </c>
      <c r="G42" s="34"/>
      <c r="H42" t="s">
        <v>221</v>
      </c>
      <c r="I42" t="s">
        <v>1178</v>
      </c>
      <c r="J42" t="s">
        <v>1065</v>
      </c>
    </row>
    <row r="43" spans="1:10">
      <c r="A43" s="69">
        <v>46052.55972222222</v>
      </c>
      <c r="B43" t="s">
        <v>1061</v>
      </c>
      <c r="C43" t="s">
        <v>1179</v>
      </c>
      <c r="D43" t="str">
        <f ca="1">IF($C43="","",IFERROR(LOOKUP(2,1/($C$2:INDEX($C:$C,ROW()-1)=$C43),$E$2:INDEX($E:$E,ROW()-1)),IFERROR(VLOOKUP($C43,'01_Warehouse_Ledger'!$A$2:$C$2002,3,FALSE),"")))</f>
        <v/>
      </c>
      <c r="E43" t="s">
        <v>1180</v>
      </c>
      <c r="G43" s="34"/>
      <c r="H43" t="s">
        <v>221</v>
      </c>
      <c r="I43" t="s">
        <v>1181</v>
      </c>
      <c r="J43" t="s">
        <v>1065</v>
      </c>
    </row>
    <row r="44" spans="1:10">
      <c r="A44" s="69">
        <v>46052.560416666667</v>
      </c>
      <c r="B44" t="s">
        <v>1165</v>
      </c>
      <c r="C44" t="s">
        <v>1090</v>
      </c>
      <c r="D44" t="str">
        <f ca="1">IF($C44="","",IFERROR(LOOKUP(2,1/($C$2:INDEX($C:$C,ROW()-1)=$C44),$E$2:INDEX($E:$E,ROW()-1)),IFERROR(VLOOKUP($C44,'01_Warehouse_Ledger'!$A$2:$C$2002,3,FALSE),"")))</f>
        <v>SAMPLE-REF-PAL011</v>
      </c>
      <c r="E44" t="s">
        <v>1082</v>
      </c>
      <c r="G44" s="34"/>
      <c r="H44" t="s">
        <v>221</v>
      </c>
      <c r="I44" t="s">
        <v>1182</v>
      </c>
      <c r="J44" t="s">
        <v>1167</v>
      </c>
    </row>
    <row r="45" spans="1:10">
      <c r="A45" s="69">
        <v>46052.564583333333</v>
      </c>
      <c r="B45" t="s">
        <v>1061</v>
      </c>
      <c r="C45" t="s">
        <v>1183</v>
      </c>
      <c r="D45" t="str">
        <f ca="1">IF($C45="","",IFERROR(LOOKUP(2,1/($C$2:INDEX($C:$C,ROW()-1)=$C45),$E$2:INDEX($E:$E,ROW()-1)),IFERROR(VLOOKUP($C45,'01_Warehouse_Ledger'!$A$2:$C$2002,3,FALSE),"")))</f>
        <v/>
      </c>
      <c r="E45" t="s">
        <v>1184</v>
      </c>
      <c r="G45" s="34"/>
      <c r="H45" t="s">
        <v>221</v>
      </c>
      <c r="I45" t="s">
        <v>1185</v>
      </c>
      <c r="J45" t="s">
        <v>1065</v>
      </c>
    </row>
    <row r="46" spans="1:10">
      <c r="A46" s="69">
        <v>46052.566666666673</v>
      </c>
      <c r="B46" t="s">
        <v>1165</v>
      </c>
      <c r="C46" t="s">
        <v>1093</v>
      </c>
      <c r="D46" t="str">
        <f ca="1">IF($C46="","",IFERROR(LOOKUP(2,1/($C$2:INDEX($C:$C,ROW()-1)=$C46),$E$2:INDEX($E:$E,ROW()-1)),IFERROR(VLOOKUP($C46,'01_Warehouse_Ledger'!$A$2:$C$2002,3,FALSE),"")))</f>
        <v>SAMPLE-REF-PAL012</v>
      </c>
      <c r="E46" t="s">
        <v>1085</v>
      </c>
      <c r="G46" s="34"/>
      <c r="H46" t="s">
        <v>221</v>
      </c>
      <c r="I46" t="s">
        <v>1186</v>
      </c>
      <c r="J46" t="s">
        <v>1167</v>
      </c>
    </row>
    <row r="47" spans="1:10">
      <c r="A47" s="69">
        <v>46052.569444444453</v>
      </c>
      <c r="B47" t="s">
        <v>1061</v>
      </c>
      <c r="C47" t="s">
        <v>1187</v>
      </c>
      <c r="D47" t="str">
        <f ca="1">IF($C47="","",IFERROR(LOOKUP(2,1/($C$2:INDEX($C:$C,ROW()-1)=$C47),$E$2:INDEX($E:$E,ROW()-1)),IFERROR(VLOOKUP($C47,'01_Warehouse_Ledger'!$A$2:$C$2002,3,FALSE),"")))</f>
        <v/>
      </c>
      <c r="E47" t="s">
        <v>1188</v>
      </c>
      <c r="G47" s="34"/>
      <c r="H47" t="s">
        <v>221</v>
      </c>
      <c r="I47" t="s">
        <v>1189</v>
      </c>
      <c r="J47" t="s">
        <v>1065</v>
      </c>
    </row>
    <row r="48" spans="1:10">
      <c r="A48" s="69">
        <v>46052.572916666657</v>
      </c>
      <c r="B48" t="s">
        <v>1165</v>
      </c>
      <c r="C48" t="s">
        <v>1096</v>
      </c>
      <c r="D48" t="str">
        <f ca="1">IF($C48="","",IFERROR(LOOKUP(2,1/($C$2:INDEX($C:$C,ROW()-1)=$C48),$E$2:INDEX($E:$E,ROW()-1)),IFERROR(VLOOKUP($C48,'01_Warehouse_Ledger'!$A$2:$C$2002,3,FALSE),"")))</f>
        <v>SAMPLE-REF-PAL013</v>
      </c>
      <c r="E48" t="s">
        <v>1088</v>
      </c>
      <c r="G48" s="34"/>
      <c r="H48" t="s">
        <v>221</v>
      </c>
      <c r="I48" t="s">
        <v>1190</v>
      </c>
      <c r="J48" t="s">
        <v>1167</v>
      </c>
    </row>
    <row r="49" spans="1:10">
      <c r="A49" s="69">
        <v>46052.574305555558</v>
      </c>
      <c r="B49" t="s">
        <v>1061</v>
      </c>
      <c r="C49" t="s">
        <v>1191</v>
      </c>
      <c r="D49" t="str">
        <f ca="1">IF($C49="","",IFERROR(LOOKUP(2,1/($C$2:INDEX($C:$C,ROW()-1)=$C49),$E$2:INDEX($E:$E,ROW()-1)),IFERROR(VLOOKUP($C49,'01_Warehouse_Ledger'!$A$2:$C$2002,3,FALSE),"")))</f>
        <v/>
      </c>
      <c r="E49" t="s">
        <v>1192</v>
      </c>
      <c r="G49" s="34"/>
      <c r="H49" t="s">
        <v>221</v>
      </c>
      <c r="I49" t="s">
        <v>1193</v>
      </c>
      <c r="J49" t="s">
        <v>1065</v>
      </c>
    </row>
    <row r="50" spans="1:10">
      <c r="A50" s="69">
        <v>46052.57916666667</v>
      </c>
      <c r="B50" t="s">
        <v>1061</v>
      </c>
      <c r="C50" t="s">
        <v>1194</v>
      </c>
      <c r="D50" t="str">
        <f ca="1">IF($C50="","",IFERROR(LOOKUP(2,1/($C$2:INDEX($C:$C,ROW()-1)=$C50),$E$2:INDEX($E:$E,ROW()-1)),IFERROR(VLOOKUP($C50,'01_Warehouse_Ledger'!$A$2:$C$2002,3,FALSE),"")))</f>
        <v/>
      </c>
      <c r="E50" t="s">
        <v>1195</v>
      </c>
      <c r="G50" s="34"/>
      <c r="H50" t="s">
        <v>221</v>
      </c>
      <c r="I50" t="s">
        <v>1196</v>
      </c>
      <c r="J50" t="s">
        <v>1065</v>
      </c>
    </row>
    <row r="51" spans="1:10">
      <c r="A51" s="69">
        <v>46052.57916666667</v>
      </c>
      <c r="B51" t="s">
        <v>1165</v>
      </c>
      <c r="C51" t="s">
        <v>1099</v>
      </c>
      <c r="D51" t="str">
        <f ca="1">IF($C51="","",IFERROR(LOOKUP(2,1/($C$2:INDEX($C:$C,ROW()-1)=$C51),$E$2:INDEX($E:$E,ROW()-1)),IFERROR(VLOOKUP($C51,'01_Warehouse_Ledger'!$A$2:$C$2002,3,FALSE),"")))</f>
        <v>SAMPLE-REF-PAL014</v>
      </c>
      <c r="E51" t="s">
        <v>1091</v>
      </c>
      <c r="G51" s="34"/>
      <c r="H51" t="s">
        <v>221</v>
      </c>
      <c r="I51" t="s">
        <v>1197</v>
      </c>
      <c r="J51" t="s">
        <v>1167</v>
      </c>
    </row>
    <row r="52" spans="1:10">
      <c r="A52" s="69">
        <v>46052.584027777782</v>
      </c>
      <c r="B52" t="s">
        <v>1061</v>
      </c>
      <c r="C52" t="s">
        <v>1198</v>
      </c>
      <c r="D52" t="str">
        <f ca="1">IF($C52="","",IFERROR(LOOKUP(2,1/($C$2:INDEX($C:$C,ROW()-1)=$C52),$E$2:INDEX($E:$E,ROW()-1)),IFERROR(VLOOKUP($C52,'01_Warehouse_Ledger'!$A$2:$C$2002,3,FALSE),"")))</f>
        <v/>
      </c>
      <c r="E52" t="s">
        <v>1199</v>
      </c>
      <c r="G52" s="34"/>
      <c r="H52" t="s">
        <v>221</v>
      </c>
      <c r="I52" t="s">
        <v>1200</v>
      </c>
      <c r="J52" t="s">
        <v>1065</v>
      </c>
    </row>
    <row r="53" spans="1:10">
      <c r="A53" s="69">
        <v>46052.585416666669</v>
      </c>
      <c r="B53" t="s">
        <v>1165</v>
      </c>
      <c r="C53" t="s">
        <v>1102</v>
      </c>
      <c r="D53" t="str">
        <f ca="1">IF($C53="","",IFERROR(LOOKUP(2,1/($C$2:INDEX($C:$C,ROW()-1)=$C53),$E$2:INDEX($E:$E,ROW()-1)),IFERROR(VLOOKUP($C53,'01_Warehouse_Ledger'!$A$2:$C$2002,3,FALSE),"")))</f>
        <v>SAMPLE-REF-PAL015</v>
      </c>
      <c r="E53" t="s">
        <v>1094</v>
      </c>
      <c r="G53" s="34"/>
      <c r="H53" t="s">
        <v>221</v>
      </c>
      <c r="I53" t="s">
        <v>1201</v>
      </c>
      <c r="J53" t="s">
        <v>1167</v>
      </c>
    </row>
    <row r="54" spans="1:10">
      <c r="A54" s="69">
        <v>46052.588888888888</v>
      </c>
      <c r="B54" t="s">
        <v>1061</v>
      </c>
      <c r="C54" t="s">
        <v>1202</v>
      </c>
      <c r="D54" t="str">
        <f ca="1">IF($C54="","",IFERROR(LOOKUP(2,1/($C$2:INDEX($C:$C,ROW()-1)=$C54),$E$2:INDEX($E:$E,ROW()-1)),IFERROR(VLOOKUP($C54,'01_Warehouse_Ledger'!$A$2:$C$2002,3,FALSE),"")))</f>
        <v/>
      </c>
      <c r="E54" t="s">
        <v>1203</v>
      </c>
      <c r="G54" s="34"/>
      <c r="H54" t="s">
        <v>221</v>
      </c>
      <c r="I54" t="s">
        <v>1204</v>
      </c>
      <c r="J54" t="s">
        <v>1065</v>
      </c>
    </row>
    <row r="55" spans="1:10">
      <c r="A55" s="69">
        <v>46052.59375</v>
      </c>
      <c r="B55" t="s">
        <v>1061</v>
      </c>
      <c r="C55" t="s">
        <v>1205</v>
      </c>
      <c r="D55" t="str">
        <f ca="1">IF($C55="","",IFERROR(LOOKUP(2,1/($C$2:INDEX($C:$C,ROW()-1)=$C55),$E$2:INDEX($E:$E,ROW()-1)),IFERROR(VLOOKUP($C55,'01_Warehouse_Ledger'!$A$2:$C$2002,3,FALSE),"")))</f>
        <v/>
      </c>
      <c r="E55" t="s">
        <v>1206</v>
      </c>
      <c r="G55" s="34"/>
      <c r="H55" t="s">
        <v>221</v>
      </c>
      <c r="I55" t="s">
        <v>1207</v>
      </c>
      <c r="J55" t="s">
        <v>1065</v>
      </c>
    </row>
    <row r="56" spans="1:10">
      <c r="A56" s="69">
        <v>46052.598611111112</v>
      </c>
      <c r="B56" t="s">
        <v>1061</v>
      </c>
      <c r="C56" t="s">
        <v>1208</v>
      </c>
      <c r="D56" t="str">
        <f ca="1">IF($C56="","",IFERROR(LOOKUP(2,1/($C$2:INDEX($C:$C,ROW()-1)=$C56),$E$2:INDEX($E:$E,ROW()-1)),IFERROR(VLOOKUP($C56,'01_Warehouse_Ledger'!$A$2:$C$2002,3,FALSE),"")))</f>
        <v/>
      </c>
      <c r="E56" t="s">
        <v>1209</v>
      </c>
      <c r="G56" s="34"/>
      <c r="H56" t="s">
        <v>221</v>
      </c>
      <c r="I56" t="s">
        <v>1210</v>
      </c>
      <c r="J56" t="s">
        <v>1065</v>
      </c>
    </row>
    <row r="57" spans="1:10">
      <c r="A57" s="69">
        <v>46052.603472222218</v>
      </c>
      <c r="B57" t="s">
        <v>1061</v>
      </c>
      <c r="C57" t="s">
        <v>1211</v>
      </c>
      <c r="D57" t="str">
        <f ca="1">IF($C57="","",IFERROR(LOOKUP(2,1/($C$2:INDEX($C:$C,ROW()-1)=$C57),$E$2:INDEX($E:$E,ROW()-1)),IFERROR(VLOOKUP($C57,'01_Warehouse_Ledger'!$A$2:$C$2002,3,FALSE),"")))</f>
        <v/>
      </c>
      <c r="E57" t="s">
        <v>1212</v>
      </c>
      <c r="G57" s="34"/>
      <c r="H57" t="s">
        <v>221</v>
      </c>
      <c r="I57" t="s">
        <v>1213</v>
      </c>
      <c r="J57" t="s">
        <v>1065</v>
      </c>
    </row>
    <row r="58" spans="1:10">
      <c r="A58" s="69">
        <v>46052.60833333333</v>
      </c>
      <c r="B58" t="s">
        <v>1061</v>
      </c>
      <c r="C58" t="s">
        <v>1214</v>
      </c>
      <c r="D58" t="str">
        <f ca="1">IF($C58="","",IFERROR(LOOKUP(2,1/($C$2:INDEX($C:$C,ROW()-1)=$C58),$E$2:INDEX($E:$E,ROW()-1)),IFERROR(VLOOKUP($C58,'01_Warehouse_Ledger'!$A$2:$C$2002,3,FALSE),"")))</f>
        <v/>
      </c>
      <c r="E58" t="s">
        <v>1215</v>
      </c>
      <c r="G58" s="34"/>
      <c r="H58" t="s">
        <v>221</v>
      </c>
      <c r="I58" t="s">
        <v>1216</v>
      </c>
      <c r="J58" t="s">
        <v>1065</v>
      </c>
    </row>
    <row r="59" spans="1:10">
      <c r="A59" s="69">
        <v>46052.613194444442</v>
      </c>
      <c r="B59" t="s">
        <v>1217</v>
      </c>
      <c r="C59" t="s">
        <v>1218</v>
      </c>
      <c r="D59" t="str">
        <f ca="1">IF($C59="","",IFERROR(LOOKUP(2,1/($C$2:INDEX($C:$C,ROW()-1)=$C59),$E$2:INDEX($E:$E,ROW()-1)),IFERROR(VLOOKUP($C59,'01_Warehouse_Ledger'!$A$2:$C$2002,3,FALSE),"")))</f>
        <v/>
      </c>
      <c r="E59" t="s">
        <v>1043</v>
      </c>
      <c r="G59" s="34"/>
      <c r="H59" t="s">
        <v>221</v>
      </c>
      <c r="I59" t="s">
        <v>1219</v>
      </c>
      <c r="J59" t="s">
        <v>1220</v>
      </c>
    </row>
    <row r="60" spans="1:10">
      <c r="A60" s="69">
        <v>46052.618055555547</v>
      </c>
      <c r="B60" t="s">
        <v>1217</v>
      </c>
      <c r="C60" t="s">
        <v>1221</v>
      </c>
      <c r="D60" t="str">
        <f ca="1">IF($C60="","",IFERROR(LOOKUP(2,1/($C$2:INDEX($C:$C,ROW()-1)=$C60),$E$2:INDEX($E:$E,ROW()-1)),IFERROR(VLOOKUP($C60,'01_Warehouse_Ledger'!$A$2:$C$2002,3,FALSE),"")))</f>
        <v/>
      </c>
      <c r="E60" t="s">
        <v>1043</v>
      </c>
      <c r="G60" s="34"/>
      <c r="H60" t="s">
        <v>221</v>
      </c>
      <c r="I60" t="s">
        <v>1222</v>
      </c>
      <c r="J60" t="s">
        <v>1220</v>
      </c>
    </row>
    <row r="61" spans="1:10">
      <c r="A61" s="69">
        <v>46052.622916666667</v>
      </c>
      <c r="B61" t="s">
        <v>1061</v>
      </c>
      <c r="C61" t="s">
        <v>1223</v>
      </c>
      <c r="D61" t="str">
        <f ca="1">IF($C61="","",IFERROR(LOOKUP(2,1/($C$2:INDEX($C:$C,ROW()-1)=$C61),$E$2:INDEX($E:$E,ROW()-1)),IFERROR(VLOOKUP($C61,'01_Warehouse_Ledger'!$A$2:$C$2002,3,FALSE),"")))</f>
        <v/>
      </c>
      <c r="E61" t="s">
        <v>1224</v>
      </c>
      <c r="G61" s="34"/>
      <c r="H61" t="s">
        <v>221</v>
      </c>
      <c r="I61" t="s">
        <v>1225</v>
      </c>
      <c r="J61" t="s">
        <v>1065</v>
      </c>
    </row>
    <row r="62" spans="1:10">
      <c r="A62" s="69">
        <v>46052.62777777778</v>
      </c>
      <c r="B62" t="s">
        <v>1061</v>
      </c>
      <c r="C62" t="s">
        <v>1226</v>
      </c>
      <c r="D62" t="str">
        <f ca="1">IF($C62="","",IFERROR(LOOKUP(2,1/($C$2:INDEX($C:$C,ROW()-1)=$C62),$E$2:INDEX($E:$E,ROW()-1)),IFERROR(VLOOKUP($C62,'01_Warehouse_Ledger'!$A$2:$C$2002,3,FALSE),"")))</f>
        <v/>
      </c>
      <c r="E62" t="s">
        <v>1227</v>
      </c>
      <c r="G62" s="34"/>
      <c r="H62" t="s">
        <v>221</v>
      </c>
      <c r="I62" t="s">
        <v>1228</v>
      </c>
      <c r="J62" t="s">
        <v>1065</v>
      </c>
    </row>
    <row r="63" spans="1:10">
      <c r="A63" s="69">
        <v>46052.632638888892</v>
      </c>
      <c r="B63" t="s">
        <v>1061</v>
      </c>
      <c r="C63" t="s">
        <v>1229</v>
      </c>
      <c r="D63" t="str">
        <f ca="1">IF($C63="","",IFERROR(LOOKUP(2,1/($C$2:INDEX($C:$C,ROW()-1)=$C63),$E$2:INDEX($E:$E,ROW()-1)),IFERROR(VLOOKUP($C63,'01_Warehouse_Ledger'!$A$2:$C$2002,3,FALSE),"")))</f>
        <v/>
      </c>
      <c r="E63" t="s">
        <v>1230</v>
      </c>
      <c r="G63" s="34"/>
      <c r="H63" t="s">
        <v>221</v>
      </c>
      <c r="I63" t="s">
        <v>1231</v>
      </c>
      <c r="J63" t="s">
        <v>1065</v>
      </c>
    </row>
    <row r="64" spans="1:10">
      <c r="A64" s="69">
        <v>46052.637499999997</v>
      </c>
      <c r="B64" t="s">
        <v>1061</v>
      </c>
      <c r="C64" t="s">
        <v>1232</v>
      </c>
      <c r="D64" t="str">
        <f ca="1">IF($C64="","",IFERROR(LOOKUP(2,1/($C$2:INDEX($C:$C,ROW()-1)=$C64),$E$2:INDEX($E:$E,ROW()-1)),IFERROR(VLOOKUP($C64,'01_Warehouse_Ledger'!$A$2:$C$2002,3,FALSE),"")))</f>
        <v/>
      </c>
      <c r="E64" t="s">
        <v>1233</v>
      </c>
      <c r="G64" s="34"/>
      <c r="H64" t="s">
        <v>221</v>
      </c>
      <c r="I64" t="s">
        <v>1234</v>
      </c>
      <c r="J64" t="s">
        <v>1065</v>
      </c>
    </row>
    <row r="65" spans="1:10">
      <c r="A65" s="69">
        <v>46052.642361111109</v>
      </c>
      <c r="B65" t="s">
        <v>1061</v>
      </c>
      <c r="C65" t="s">
        <v>1235</v>
      </c>
      <c r="D65" t="str">
        <f ca="1">IF($C65="","",IFERROR(LOOKUP(2,1/($C$2:INDEX($C:$C,ROW()-1)=$C65),$E$2:INDEX($E:$E,ROW()-1)),IFERROR(VLOOKUP($C65,'01_Warehouse_Ledger'!$A$2:$C$2002,3,FALSE),"")))</f>
        <v/>
      </c>
      <c r="E65" t="s">
        <v>1236</v>
      </c>
      <c r="G65" s="34"/>
      <c r="H65" t="s">
        <v>221</v>
      </c>
      <c r="I65" t="s">
        <v>1237</v>
      </c>
      <c r="J65" t="s">
        <v>1065</v>
      </c>
    </row>
    <row r="66" spans="1:10">
      <c r="A66" s="69">
        <v>46052.647222222222</v>
      </c>
      <c r="B66" t="s">
        <v>1061</v>
      </c>
      <c r="C66" t="s">
        <v>1238</v>
      </c>
      <c r="D66" t="str">
        <f ca="1">IF($C66="","",IFERROR(LOOKUP(2,1/($C$2:INDEX($C:$C,ROW()-1)=$C66),$E$2:INDEX($E:$E,ROW()-1)),IFERROR(VLOOKUP($C66,'01_Warehouse_Ledger'!$A$2:$C$2002,3,FALSE),"")))</f>
        <v/>
      </c>
      <c r="E66" t="s">
        <v>1239</v>
      </c>
      <c r="G66" s="34"/>
      <c r="H66" t="s">
        <v>221</v>
      </c>
      <c r="I66" t="s">
        <v>1240</v>
      </c>
      <c r="J66" t="s">
        <v>1065</v>
      </c>
    </row>
    <row r="67" spans="1:10">
      <c r="A67" s="69">
        <v>46052.652083333327</v>
      </c>
      <c r="B67" t="s">
        <v>1061</v>
      </c>
      <c r="C67" t="s">
        <v>1241</v>
      </c>
      <c r="D67" t="str">
        <f ca="1">IF($C67="","",IFERROR(LOOKUP(2,1/($C$2:INDEX($C:$C,ROW()-1)=$C67),$E$2:INDEX($E:$E,ROW()-1)),IFERROR(VLOOKUP($C67,'01_Warehouse_Ledger'!$A$2:$C$2002,3,FALSE),"")))</f>
        <v/>
      </c>
      <c r="E67" t="s">
        <v>1242</v>
      </c>
      <c r="G67" s="34"/>
      <c r="H67" t="s">
        <v>221</v>
      </c>
      <c r="I67" t="s">
        <v>1243</v>
      </c>
      <c r="J67" t="s">
        <v>1065</v>
      </c>
    </row>
    <row r="68" spans="1:10">
      <c r="A68" s="69">
        <v>46052.656944444447</v>
      </c>
      <c r="B68" t="s">
        <v>1061</v>
      </c>
      <c r="C68" t="s">
        <v>1244</v>
      </c>
      <c r="D68" t="str">
        <f ca="1">IF($C68="","",IFERROR(LOOKUP(2,1/($C$2:INDEX($C:$C,ROW()-1)=$C68),$E$2:INDEX($E:$E,ROW()-1)),IFERROR(VLOOKUP($C68,'01_Warehouse_Ledger'!$A$2:$C$2002,3,FALSE),"")))</f>
        <v/>
      </c>
      <c r="E68" t="s">
        <v>1245</v>
      </c>
      <c r="G68" s="34"/>
      <c r="H68" t="s">
        <v>221</v>
      </c>
      <c r="I68" t="s">
        <v>1246</v>
      </c>
      <c r="J68" t="s">
        <v>1065</v>
      </c>
    </row>
    <row r="69" spans="1:10">
      <c r="A69" s="69">
        <v>46052.661805555559</v>
      </c>
      <c r="B69" t="s">
        <v>1061</v>
      </c>
      <c r="C69" t="s">
        <v>1247</v>
      </c>
      <c r="D69" t="str">
        <f ca="1">IF($C69="","",IFERROR(LOOKUP(2,1/($C$2:INDEX($C:$C,ROW()-1)=$C69),$E$2:INDEX($E:$E,ROW()-1)),IFERROR(VLOOKUP($C69,'01_Warehouse_Ledger'!$A$2:$C$2002,3,FALSE),"")))</f>
        <v/>
      </c>
      <c r="E69" t="s">
        <v>1248</v>
      </c>
      <c r="G69" s="34"/>
      <c r="H69" t="s">
        <v>221</v>
      </c>
      <c r="I69" t="s">
        <v>1249</v>
      </c>
      <c r="J69" t="s">
        <v>1065</v>
      </c>
    </row>
    <row r="70" spans="1:10">
      <c r="A70" s="69"/>
      <c r="D70" t="str">
        <f>IF($C70="","",IFERROR(LOOKUP(2,1/($C$2:INDEX($C:$C,ROW()-1)=$C70),$E$2:INDEX($E:$E,ROW()-1)),IFERROR(VLOOKUP($C70,'01_Warehouse_Ledger'!$A$2:$C$2002,3,FALSE),"")))</f>
        <v/>
      </c>
      <c r="G70" s="34"/>
    </row>
    <row r="71" spans="1:10">
      <c r="A71" s="69"/>
      <c r="D71" t="str">
        <f>IF($C71="","",IFERROR(LOOKUP(2,1/($C$2:INDEX($C:$C,ROW()-1)=$C71),$E$2:INDEX($E:$E,ROW()-1)),IFERROR(VLOOKUP($C71,'01_Warehouse_Ledger'!$A$2:$C$2002,3,FALSE),"")))</f>
        <v/>
      </c>
      <c r="G71" s="34"/>
    </row>
    <row r="72" spans="1:10">
      <c r="A72" s="69"/>
      <c r="D72" t="str">
        <f>IF($C72="","",IFERROR(LOOKUP(2,1/($C$2:INDEX($C:$C,ROW()-1)=$C72),$E$2:INDEX($E:$E,ROW()-1)),IFERROR(VLOOKUP($C72,'01_Warehouse_Ledger'!$A$2:$C$2002,3,FALSE),"")))</f>
        <v/>
      </c>
      <c r="G72" s="34"/>
    </row>
    <row r="73" spans="1:10">
      <c r="A73" s="69"/>
      <c r="D73" t="str">
        <f>IF($C73="","",IFERROR(LOOKUP(2,1/($C$2:INDEX($C:$C,ROW()-1)=$C73),$E$2:INDEX($E:$E,ROW()-1)),IFERROR(VLOOKUP($C73,'01_Warehouse_Ledger'!$A$2:$C$2002,3,FALSE),"")))</f>
        <v/>
      </c>
      <c r="G73" s="34"/>
    </row>
    <row r="74" spans="1:10">
      <c r="A74" s="69"/>
      <c r="D74" t="str">
        <f>IF($C74="","",IFERROR(LOOKUP(2,1/($C$2:INDEX($C:$C,ROW()-1)=$C74),$E$2:INDEX($E:$E,ROW()-1)),IFERROR(VLOOKUP($C74,'01_Warehouse_Ledger'!$A$2:$C$2002,3,FALSE),"")))</f>
        <v/>
      </c>
      <c r="G74" s="34"/>
    </row>
    <row r="75" spans="1:10">
      <c r="A75" s="69"/>
      <c r="D75" t="str">
        <f>IF($C75="","",IFERROR(LOOKUP(2,1/($C$2:INDEX($C:$C,ROW()-1)=$C75),$E$2:INDEX($E:$E,ROW()-1)),IFERROR(VLOOKUP($C75,'01_Warehouse_Ledger'!$A$2:$C$2002,3,FALSE),"")))</f>
        <v/>
      </c>
      <c r="G75" s="34"/>
    </row>
    <row r="76" spans="1:10">
      <c r="A76" s="69"/>
      <c r="D76" t="str">
        <f>IF($C76="","",IFERROR(LOOKUP(2,1/($C$2:INDEX($C:$C,ROW()-1)=$C76),$E$2:INDEX($E:$E,ROW()-1)),IFERROR(VLOOKUP($C76,'01_Warehouse_Ledger'!$A$2:$C$2002,3,FALSE),"")))</f>
        <v/>
      </c>
      <c r="G76" s="34"/>
    </row>
    <row r="77" spans="1:10">
      <c r="A77" s="69"/>
      <c r="D77" t="str">
        <f>IF($C77="","",IFERROR(LOOKUP(2,1/($C$2:INDEX($C:$C,ROW()-1)=$C77),$E$2:INDEX($E:$E,ROW()-1)),IFERROR(VLOOKUP($C77,'01_Warehouse_Ledger'!$A$2:$C$2002,3,FALSE),"")))</f>
        <v/>
      </c>
      <c r="G77" s="34"/>
    </row>
    <row r="78" spans="1:10">
      <c r="A78" s="69"/>
      <c r="D78" t="str">
        <f>IF($C78="","",IFERROR(LOOKUP(2,1/($C$2:INDEX($C:$C,ROW()-1)=$C78),$E$2:INDEX($E:$E,ROW()-1)),IFERROR(VLOOKUP($C78,'01_Warehouse_Ledger'!$A$2:$C$2002,3,FALSE),"")))</f>
        <v/>
      </c>
      <c r="G78" s="34"/>
    </row>
    <row r="79" spans="1:10">
      <c r="A79" s="69"/>
      <c r="D79" t="str">
        <f>IF($C79="","",IFERROR(LOOKUP(2,1/($C$2:INDEX($C:$C,ROW()-1)=$C79),$E$2:INDEX($E:$E,ROW()-1)),IFERROR(VLOOKUP($C79,'01_Warehouse_Ledger'!$A$2:$C$2002,3,FALSE),"")))</f>
        <v/>
      </c>
      <c r="G79" s="34"/>
    </row>
    <row r="80" spans="1:10">
      <c r="A80" s="69"/>
      <c r="D80" t="str">
        <f>IF($C80="","",IFERROR(LOOKUP(2,1/($C$2:INDEX($C:$C,ROW()-1)=$C80),$E$2:INDEX($E:$E,ROW()-1)),IFERROR(VLOOKUP($C80,'01_Warehouse_Ledger'!$A$2:$C$2002,3,FALSE),"")))</f>
        <v/>
      </c>
      <c r="G80" s="34"/>
    </row>
    <row r="81" spans="1:7">
      <c r="A81" s="69"/>
      <c r="D81" t="str">
        <f>IF($C81="","",IFERROR(LOOKUP(2,1/($C$2:INDEX($C:$C,ROW()-1)=$C81),$E$2:INDEX($E:$E,ROW()-1)),IFERROR(VLOOKUP($C81,'01_Warehouse_Ledger'!$A$2:$C$2002,3,FALSE),"")))</f>
        <v/>
      </c>
      <c r="G81" s="34"/>
    </row>
    <row r="82" spans="1:7">
      <c r="A82" s="69"/>
      <c r="D82" t="str">
        <f>IF($C82="","",IFERROR(LOOKUP(2,1/($C$2:INDEX($C:$C,ROW()-1)=$C82),$E$2:INDEX($E:$E,ROW()-1)),IFERROR(VLOOKUP($C82,'01_Warehouse_Ledger'!$A$2:$C$2002,3,FALSE),"")))</f>
        <v/>
      </c>
      <c r="G82" s="34"/>
    </row>
    <row r="83" spans="1:7">
      <c r="A83" s="69"/>
      <c r="D83" t="str">
        <f>IF($C83="","",IFERROR(LOOKUP(2,1/($C$2:INDEX($C:$C,ROW()-1)=$C83),$E$2:INDEX($E:$E,ROW()-1)),IFERROR(VLOOKUP($C83,'01_Warehouse_Ledger'!$A$2:$C$2002,3,FALSE),"")))</f>
        <v/>
      </c>
      <c r="G83" s="34"/>
    </row>
    <row r="84" spans="1:7">
      <c r="A84" s="69"/>
      <c r="D84" t="str">
        <f>IF($C84="","",IFERROR(LOOKUP(2,1/($C$2:INDEX($C:$C,ROW()-1)=$C84),$E$2:INDEX($E:$E,ROW()-1)),IFERROR(VLOOKUP($C84,'01_Warehouse_Ledger'!$A$2:$C$2002,3,FALSE),"")))</f>
        <v/>
      </c>
      <c r="G84" s="34"/>
    </row>
    <row r="85" spans="1:7">
      <c r="A85" s="69"/>
      <c r="D85" t="str">
        <f>IF($C85="","",IFERROR(LOOKUP(2,1/($C$2:INDEX($C:$C,ROW()-1)=$C85),$E$2:INDEX($E:$E,ROW()-1)),IFERROR(VLOOKUP($C85,'01_Warehouse_Ledger'!$A$2:$C$2002,3,FALSE),"")))</f>
        <v/>
      </c>
      <c r="G85" s="34"/>
    </row>
    <row r="86" spans="1:7">
      <c r="A86" s="69"/>
      <c r="D86" t="str">
        <f>IF($C86="","",IFERROR(LOOKUP(2,1/($C$2:INDEX($C:$C,ROW()-1)=$C86),$E$2:INDEX($E:$E,ROW()-1)),IFERROR(VLOOKUP($C86,'01_Warehouse_Ledger'!$A$2:$C$2002,3,FALSE),"")))</f>
        <v/>
      </c>
      <c r="G86" s="34"/>
    </row>
    <row r="87" spans="1:7">
      <c r="A87" s="69"/>
      <c r="D87" t="str">
        <f>IF($C87="","",IFERROR(LOOKUP(2,1/($C$2:INDEX($C:$C,ROW()-1)=$C87),$E$2:INDEX($E:$E,ROW()-1)),IFERROR(VLOOKUP($C87,'01_Warehouse_Ledger'!$A$2:$C$2002,3,FALSE),"")))</f>
        <v/>
      </c>
      <c r="G87" s="34"/>
    </row>
    <row r="88" spans="1:7">
      <c r="A88" s="69"/>
      <c r="D88" t="str">
        <f>IF($C88="","",IFERROR(LOOKUP(2,1/($C$2:INDEX($C:$C,ROW()-1)=$C88),$E$2:INDEX($E:$E,ROW()-1)),IFERROR(VLOOKUP($C88,'01_Warehouse_Ledger'!$A$2:$C$2002,3,FALSE),"")))</f>
        <v/>
      </c>
      <c r="G88" s="34"/>
    </row>
    <row r="89" spans="1:7">
      <c r="A89" s="69"/>
      <c r="D89" t="str">
        <f>IF($C89="","",IFERROR(LOOKUP(2,1/($C$2:INDEX($C:$C,ROW()-1)=$C89),$E$2:INDEX($E:$E,ROW()-1)),IFERROR(VLOOKUP($C89,'01_Warehouse_Ledger'!$A$2:$C$2002,3,FALSE),"")))</f>
        <v/>
      </c>
      <c r="G89" s="34"/>
    </row>
    <row r="90" spans="1:7">
      <c r="A90" s="69"/>
      <c r="D90" t="str">
        <f>IF($C90="","",IFERROR(LOOKUP(2,1/($C$2:INDEX($C:$C,ROW()-1)=$C90),$E$2:INDEX($E:$E,ROW()-1)),IFERROR(VLOOKUP($C90,'01_Warehouse_Ledger'!$A$2:$C$2002,3,FALSE),"")))</f>
        <v/>
      </c>
      <c r="G90" s="34"/>
    </row>
    <row r="91" spans="1:7">
      <c r="A91" s="69"/>
      <c r="D91" t="str">
        <f>IF($C91="","",IFERROR(LOOKUP(2,1/($C$2:INDEX($C:$C,ROW()-1)=$C91),$E$2:INDEX($E:$E,ROW()-1)),IFERROR(VLOOKUP($C91,'01_Warehouse_Ledger'!$A$2:$C$2002,3,FALSE),"")))</f>
        <v/>
      </c>
      <c r="G91" s="34"/>
    </row>
    <row r="92" spans="1:7">
      <c r="A92" s="69"/>
      <c r="D92" t="str">
        <f>IF($C92="","",IFERROR(LOOKUP(2,1/($C$2:INDEX($C:$C,ROW()-1)=$C92),$E$2:INDEX($E:$E,ROW()-1)),IFERROR(VLOOKUP($C92,'01_Warehouse_Ledger'!$A$2:$C$2002,3,FALSE),"")))</f>
        <v/>
      </c>
      <c r="G92" s="34"/>
    </row>
    <row r="93" spans="1:7">
      <c r="A93" s="69"/>
      <c r="D93" t="str">
        <f>IF($C93="","",IFERROR(LOOKUP(2,1/($C$2:INDEX($C:$C,ROW()-1)=$C93),$E$2:INDEX($E:$E,ROW()-1)),IFERROR(VLOOKUP($C93,'01_Warehouse_Ledger'!$A$2:$C$2002,3,FALSE),"")))</f>
        <v/>
      </c>
      <c r="G93" s="34"/>
    </row>
    <row r="94" spans="1:7">
      <c r="A94" s="69"/>
      <c r="D94" t="str">
        <f>IF($C94="","",IFERROR(LOOKUP(2,1/($C$2:INDEX($C:$C,ROW()-1)=$C94),$E$2:INDEX($E:$E,ROW()-1)),IFERROR(VLOOKUP($C94,'01_Warehouse_Ledger'!$A$2:$C$2002,3,FALSE),"")))</f>
        <v/>
      </c>
      <c r="G94" s="34"/>
    </row>
    <row r="95" spans="1:7">
      <c r="A95" s="69"/>
      <c r="D95" t="str">
        <f>IF($C95="","",IFERROR(LOOKUP(2,1/($C$2:INDEX($C:$C,ROW()-1)=$C95),$E$2:INDEX($E:$E,ROW()-1)),IFERROR(VLOOKUP($C95,'01_Warehouse_Ledger'!$A$2:$C$2002,3,FALSE),"")))</f>
        <v/>
      </c>
      <c r="G95" s="34"/>
    </row>
    <row r="96" spans="1:7">
      <c r="A96" s="69"/>
      <c r="D96" t="str">
        <f>IF($C96="","",IFERROR(LOOKUP(2,1/($C$2:INDEX($C:$C,ROW()-1)=$C96),$E$2:INDEX($E:$E,ROW()-1)),IFERROR(VLOOKUP($C96,'01_Warehouse_Ledger'!$A$2:$C$2002,3,FALSE),"")))</f>
        <v/>
      </c>
      <c r="G96" s="34"/>
    </row>
    <row r="97" spans="1:7">
      <c r="A97" s="69"/>
      <c r="D97" t="str">
        <f>IF($C97="","",IFERROR(LOOKUP(2,1/($C$2:INDEX($C:$C,ROW()-1)=$C97),$E$2:INDEX($E:$E,ROW()-1)),IFERROR(VLOOKUP($C97,'01_Warehouse_Ledger'!$A$2:$C$2002,3,FALSE),"")))</f>
        <v/>
      </c>
      <c r="G97" s="34"/>
    </row>
    <row r="98" spans="1:7">
      <c r="A98" s="69"/>
      <c r="D98" t="str">
        <f>IF($C98="","",IFERROR(LOOKUP(2,1/($C$2:INDEX($C:$C,ROW()-1)=$C98),$E$2:INDEX($E:$E,ROW()-1)),IFERROR(VLOOKUP($C98,'01_Warehouse_Ledger'!$A$2:$C$2002,3,FALSE),"")))</f>
        <v/>
      </c>
      <c r="G98" s="34"/>
    </row>
    <row r="99" spans="1:7">
      <c r="A99" s="69"/>
      <c r="D99" t="str">
        <f>IF($C99="","",IFERROR(LOOKUP(2,1/($C$2:INDEX($C:$C,ROW()-1)=$C99),$E$2:INDEX($E:$E,ROW()-1)),IFERROR(VLOOKUP($C99,'01_Warehouse_Ledger'!$A$2:$C$2002,3,FALSE),"")))</f>
        <v/>
      </c>
      <c r="G99" s="34"/>
    </row>
    <row r="100" spans="1:7">
      <c r="A100" s="69"/>
      <c r="D100" t="str">
        <f>IF($C100="","",IFERROR(LOOKUP(2,1/($C$2:INDEX($C:$C,ROW()-1)=$C100),$E$2:INDEX($E:$E,ROW()-1)),IFERROR(VLOOKUP($C100,'01_Warehouse_Ledger'!$A$2:$C$2002,3,FALSE),"")))</f>
        <v/>
      </c>
      <c r="G100" s="34"/>
    </row>
    <row r="101" spans="1:7">
      <c r="A101" s="69"/>
      <c r="D101" t="str">
        <f>IF($C101="","",IFERROR(LOOKUP(2,1/($C$2:INDEX($C:$C,ROW()-1)=$C101),$E$2:INDEX($E:$E,ROW()-1)),IFERROR(VLOOKUP($C101,'01_Warehouse_Ledger'!$A$2:$C$2002,3,FALSE),"")))</f>
        <v/>
      </c>
      <c r="G101" s="34"/>
    </row>
    <row r="102" spans="1:7">
      <c r="A102" s="69"/>
      <c r="D102" t="str">
        <f>IF($C102="","",IFERROR(LOOKUP(2,1/($C$2:INDEX($C:$C,ROW()-1)=$C102),$E$2:INDEX($E:$E,ROW()-1)),IFERROR(VLOOKUP($C102,'01_Warehouse_Ledger'!$A$2:$C$2002,3,FALSE),"")))</f>
        <v/>
      </c>
      <c r="G102" s="34"/>
    </row>
    <row r="103" spans="1:7">
      <c r="A103" s="69"/>
      <c r="D103" t="str">
        <f>IF($C103="","",IFERROR(LOOKUP(2,1/($C$2:INDEX($C:$C,ROW()-1)=$C103),$E$2:INDEX($E:$E,ROW()-1)),IFERROR(VLOOKUP($C103,'01_Warehouse_Ledger'!$A$2:$C$2002,3,FALSE),"")))</f>
        <v/>
      </c>
      <c r="G103" s="34"/>
    </row>
    <row r="104" spans="1:7">
      <c r="A104" s="69"/>
      <c r="D104" t="str">
        <f>IF($C104="","",IFERROR(LOOKUP(2,1/($C$2:INDEX($C:$C,ROW()-1)=$C104),$E$2:INDEX($E:$E,ROW()-1)),IFERROR(VLOOKUP($C104,'01_Warehouse_Ledger'!$A$2:$C$2002,3,FALSE),"")))</f>
        <v/>
      </c>
      <c r="G104" s="34"/>
    </row>
    <row r="105" spans="1:7">
      <c r="A105" s="69"/>
      <c r="D105" t="str">
        <f>IF($C105="","",IFERROR(LOOKUP(2,1/($C$2:INDEX($C:$C,ROW()-1)=$C105),$E$2:INDEX($E:$E,ROW()-1)),IFERROR(VLOOKUP($C105,'01_Warehouse_Ledger'!$A$2:$C$2002,3,FALSE),"")))</f>
        <v/>
      </c>
      <c r="G105" s="34"/>
    </row>
    <row r="106" spans="1:7">
      <c r="A106" s="69"/>
      <c r="D106" t="str">
        <f>IF($C106="","",IFERROR(LOOKUP(2,1/($C$2:INDEX($C:$C,ROW()-1)=$C106),$E$2:INDEX($E:$E,ROW()-1)),IFERROR(VLOOKUP($C106,'01_Warehouse_Ledger'!$A$2:$C$2002,3,FALSE),"")))</f>
        <v/>
      </c>
      <c r="G106" s="34"/>
    </row>
    <row r="107" spans="1:7">
      <c r="A107" s="69"/>
      <c r="D107" t="str">
        <f>IF($C107="","",IFERROR(LOOKUP(2,1/($C$2:INDEX($C:$C,ROW()-1)=$C107),$E$2:INDEX($E:$E,ROW()-1)),IFERROR(VLOOKUP($C107,'01_Warehouse_Ledger'!$A$2:$C$2002,3,FALSE),"")))</f>
        <v/>
      </c>
      <c r="G107" s="34"/>
    </row>
    <row r="108" spans="1:7">
      <c r="A108" s="69"/>
      <c r="D108" t="str">
        <f>IF($C108="","",IFERROR(LOOKUP(2,1/($C$2:INDEX($C:$C,ROW()-1)=$C108),$E$2:INDEX($E:$E,ROW()-1)),IFERROR(VLOOKUP($C108,'01_Warehouse_Ledger'!$A$2:$C$2002,3,FALSE),"")))</f>
        <v/>
      </c>
      <c r="G108" s="34"/>
    </row>
    <row r="109" spans="1:7">
      <c r="A109" s="69"/>
      <c r="D109" t="str">
        <f>IF($C109="","",IFERROR(LOOKUP(2,1/($C$2:INDEX($C:$C,ROW()-1)=$C109),$E$2:INDEX($E:$E,ROW()-1)),IFERROR(VLOOKUP($C109,'01_Warehouse_Ledger'!$A$2:$C$2002,3,FALSE),"")))</f>
        <v/>
      </c>
      <c r="G109" s="34"/>
    </row>
    <row r="110" spans="1:7">
      <c r="A110" s="69"/>
      <c r="D110" t="str">
        <f>IF($C110="","",IFERROR(LOOKUP(2,1/($C$2:INDEX($C:$C,ROW()-1)=$C110),$E$2:INDEX($E:$E,ROW()-1)),IFERROR(VLOOKUP($C110,'01_Warehouse_Ledger'!$A$2:$C$2002,3,FALSE),"")))</f>
        <v/>
      </c>
      <c r="G110" s="34"/>
    </row>
    <row r="111" spans="1:7">
      <c r="A111" s="69"/>
      <c r="D111" t="str">
        <f>IF($C111="","",IFERROR(LOOKUP(2,1/($C$2:INDEX($C:$C,ROW()-1)=$C111),$E$2:INDEX($E:$E,ROW()-1)),IFERROR(VLOOKUP($C111,'01_Warehouse_Ledger'!$A$2:$C$2002,3,FALSE),"")))</f>
        <v/>
      </c>
      <c r="G111" s="34"/>
    </row>
    <row r="112" spans="1:7">
      <c r="A112" s="69"/>
      <c r="D112" t="str">
        <f>IF($C112="","",IFERROR(LOOKUP(2,1/($C$2:INDEX($C:$C,ROW()-1)=$C112),$E$2:INDEX($E:$E,ROW()-1)),IFERROR(VLOOKUP($C112,'01_Warehouse_Ledger'!$A$2:$C$2002,3,FALSE),"")))</f>
        <v/>
      </c>
      <c r="G112" s="34"/>
    </row>
    <row r="113" spans="1:7">
      <c r="A113" s="69"/>
      <c r="D113" t="str">
        <f>IF($C113="","",IFERROR(LOOKUP(2,1/($C$2:INDEX($C:$C,ROW()-1)=$C113),$E$2:INDEX($E:$E,ROW()-1)),IFERROR(VLOOKUP($C113,'01_Warehouse_Ledger'!$A$2:$C$2002,3,FALSE),"")))</f>
        <v/>
      </c>
      <c r="G113" s="34"/>
    </row>
    <row r="114" spans="1:7">
      <c r="A114" s="69"/>
      <c r="D114" t="str">
        <f>IF($C114="","",IFERROR(LOOKUP(2,1/($C$2:INDEX($C:$C,ROW()-1)=$C114),$E$2:INDEX($E:$E,ROW()-1)),IFERROR(VLOOKUP($C114,'01_Warehouse_Ledger'!$A$2:$C$2002,3,FALSE),"")))</f>
        <v/>
      </c>
      <c r="G114" s="34"/>
    </row>
    <row r="115" spans="1:7">
      <c r="A115" s="69"/>
      <c r="D115" t="str">
        <f>IF($C115="","",IFERROR(LOOKUP(2,1/($C$2:INDEX($C:$C,ROW()-1)=$C115),$E$2:INDEX($E:$E,ROW()-1)),IFERROR(VLOOKUP($C115,'01_Warehouse_Ledger'!$A$2:$C$2002,3,FALSE),"")))</f>
        <v/>
      </c>
      <c r="G115" s="34"/>
    </row>
    <row r="116" spans="1:7">
      <c r="A116" s="69"/>
      <c r="D116" t="str">
        <f>IF($C116="","",IFERROR(LOOKUP(2,1/($C$2:INDEX($C:$C,ROW()-1)=$C116),$E$2:INDEX($E:$E,ROW()-1)),IFERROR(VLOOKUP($C116,'01_Warehouse_Ledger'!$A$2:$C$2002,3,FALSE),"")))</f>
        <v/>
      </c>
      <c r="G116" s="34"/>
    </row>
    <row r="117" spans="1:7">
      <c r="A117" s="69"/>
      <c r="D117" t="str">
        <f>IF($C117="","",IFERROR(LOOKUP(2,1/($C$2:INDEX($C:$C,ROW()-1)=$C117),$E$2:INDEX($E:$E,ROW()-1)),IFERROR(VLOOKUP($C117,'01_Warehouse_Ledger'!$A$2:$C$2002,3,FALSE),"")))</f>
        <v/>
      </c>
      <c r="G117" s="34"/>
    </row>
    <row r="118" spans="1:7">
      <c r="A118" s="69"/>
      <c r="D118" t="str">
        <f>IF($C118="","",IFERROR(LOOKUP(2,1/($C$2:INDEX($C:$C,ROW()-1)=$C118),$E$2:INDEX($E:$E,ROW()-1)),IFERROR(VLOOKUP($C118,'01_Warehouse_Ledger'!$A$2:$C$2002,3,FALSE),"")))</f>
        <v/>
      </c>
      <c r="G118" s="34"/>
    </row>
    <row r="119" spans="1:7">
      <c r="A119" s="69"/>
      <c r="D119" t="str">
        <f>IF($C119="","",IFERROR(LOOKUP(2,1/($C$2:INDEX($C:$C,ROW()-1)=$C119),$E$2:INDEX($E:$E,ROW()-1)),IFERROR(VLOOKUP($C119,'01_Warehouse_Ledger'!$A$2:$C$2002,3,FALSE),"")))</f>
        <v/>
      </c>
      <c r="G119" s="34"/>
    </row>
    <row r="120" spans="1:7">
      <c r="A120" s="69"/>
      <c r="D120" t="str">
        <f>IF($C120="","",IFERROR(LOOKUP(2,1/($C$2:INDEX($C:$C,ROW()-1)=$C120),$E$2:INDEX($E:$E,ROW()-1)),IFERROR(VLOOKUP($C120,'01_Warehouse_Ledger'!$A$2:$C$2002,3,FALSE),"")))</f>
        <v/>
      </c>
      <c r="G120" s="34"/>
    </row>
    <row r="121" spans="1:7">
      <c r="A121" s="69"/>
      <c r="D121" t="str">
        <f>IF($C121="","",IFERROR(LOOKUP(2,1/($C$2:INDEX($C:$C,ROW()-1)=$C121),$E$2:INDEX($E:$E,ROW()-1)),IFERROR(VLOOKUP($C121,'01_Warehouse_Ledger'!$A$2:$C$2002,3,FALSE),"")))</f>
        <v/>
      </c>
      <c r="G121" s="34"/>
    </row>
    <row r="122" spans="1:7">
      <c r="A122" s="69"/>
      <c r="D122" t="str">
        <f>IF($C122="","",IFERROR(LOOKUP(2,1/($C$2:INDEX($C:$C,ROW()-1)=$C122),$E$2:INDEX($E:$E,ROW()-1)),IFERROR(VLOOKUP($C122,'01_Warehouse_Ledger'!$A$2:$C$2002,3,FALSE),"")))</f>
        <v/>
      </c>
      <c r="G122" s="34"/>
    </row>
    <row r="123" spans="1:7">
      <c r="A123" s="69"/>
      <c r="D123" t="str">
        <f>IF($C123="","",IFERROR(LOOKUP(2,1/($C$2:INDEX($C:$C,ROW()-1)=$C123),$E$2:INDEX($E:$E,ROW()-1)),IFERROR(VLOOKUP($C123,'01_Warehouse_Ledger'!$A$2:$C$2002,3,FALSE),"")))</f>
        <v/>
      </c>
      <c r="G123" s="34"/>
    </row>
    <row r="124" spans="1:7">
      <c r="A124" s="69"/>
      <c r="D124" t="str">
        <f>IF($C124="","",IFERROR(LOOKUP(2,1/($C$2:INDEX($C:$C,ROW()-1)=$C124),$E$2:INDEX($E:$E,ROW()-1)),IFERROR(VLOOKUP($C124,'01_Warehouse_Ledger'!$A$2:$C$2002,3,FALSE),"")))</f>
        <v/>
      </c>
      <c r="G124" s="34"/>
    </row>
    <row r="125" spans="1:7">
      <c r="A125" s="69"/>
      <c r="D125" t="str">
        <f>IF($C125="","",IFERROR(LOOKUP(2,1/($C$2:INDEX($C:$C,ROW()-1)=$C125),$E$2:INDEX($E:$E,ROW()-1)),IFERROR(VLOOKUP($C125,'01_Warehouse_Ledger'!$A$2:$C$2002,3,FALSE),"")))</f>
        <v/>
      </c>
      <c r="G125" s="34"/>
    </row>
    <row r="126" spans="1:7">
      <c r="A126" s="69"/>
      <c r="D126" t="str">
        <f>IF($C126="","",IFERROR(LOOKUP(2,1/($C$2:INDEX($C:$C,ROW()-1)=$C126),$E$2:INDEX($E:$E,ROW()-1)),IFERROR(VLOOKUP($C126,'01_Warehouse_Ledger'!$A$2:$C$2002,3,FALSE),"")))</f>
        <v/>
      </c>
      <c r="G126" s="34"/>
    </row>
    <row r="127" spans="1:7">
      <c r="A127" s="69"/>
      <c r="D127" t="str">
        <f>IF($C127="","",IFERROR(LOOKUP(2,1/($C$2:INDEX($C:$C,ROW()-1)=$C127),$E$2:INDEX($E:$E,ROW()-1)),IFERROR(VLOOKUP($C127,'01_Warehouse_Ledger'!$A$2:$C$2002,3,FALSE),"")))</f>
        <v/>
      </c>
      <c r="G127" s="34"/>
    </row>
    <row r="128" spans="1:7">
      <c r="A128" s="69"/>
      <c r="D128" t="str">
        <f>IF($C128="","",IFERROR(LOOKUP(2,1/($C$2:INDEX($C:$C,ROW()-1)=$C128),$E$2:INDEX($E:$E,ROW()-1)),IFERROR(VLOOKUP($C128,'01_Warehouse_Ledger'!$A$2:$C$2002,3,FALSE),"")))</f>
        <v/>
      </c>
      <c r="G128" s="34"/>
    </row>
    <row r="129" spans="1:7">
      <c r="A129" s="69"/>
      <c r="D129" t="str">
        <f>IF($C129="","",IFERROR(LOOKUP(2,1/($C$2:INDEX($C:$C,ROW()-1)=$C129),$E$2:INDEX($E:$E,ROW()-1)),IFERROR(VLOOKUP($C129,'01_Warehouse_Ledger'!$A$2:$C$2002,3,FALSE),"")))</f>
        <v/>
      </c>
      <c r="G129" s="34"/>
    </row>
    <row r="130" spans="1:7">
      <c r="A130" s="69"/>
      <c r="D130" t="str">
        <f>IF($C130="","",IFERROR(LOOKUP(2,1/($C$2:INDEX($C:$C,ROW()-1)=$C130),$E$2:INDEX($E:$E,ROW()-1)),IFERROR(VLOOKUP($C130,'01_Warehouse_Ledger'!$A$2:$C$2002,3,FALSE),"")))</f>
        <v/>
      </c>
      <c r="G130" s="34"/>
    </row>
    <row r="131" spans="1:7">
      <c r="A131" s="69"/>
      <c r="D131" t="str">
        <f>IF($C131="","",IFERROR(LOOKUP(2,1/($C$2:INDEX($C:$C,ROW()-1)=$C131),$E$2:INDEX($E:$E,ROW()-1)),IFERROR(VLOOKUP($C131,'01_Warehouse_Ledger'!$A$2:$C$2002,3,FALSE),"")))</f>
        <v/>
      </c>
      <c r="G131" s="34"/>
    </row>
    <row r="132" spans="1:7">
      <c r="A132" s="69"/>
      <c r="D132" t="str">
        <f>IF($C132="","",IFERROR(LOOKUP(2,1/($C$2:INDEX($C:$C,ROW()-1)=$C132),$E$2:INDEX($E:$E,ROW()-1)),IFERROR(VLOOKUP($C132,'01_Warehouse_Ledger'!$A$2:$C$2002,3,FALSE),"")))</f>
        <v/>
      </c>
      <c r="G132" s="34"/>
    </row>
    <row r="133" spans="1:7">
      <c r="A133" s="69"/>
      <c r="D133" t="str">
        <f>IF($C133="","",IFERROR(LOOKUP(2,1/($C$2:INDEX($C:$C,ROW()-1)=$C133),$E$2:INDEX($E:$E,ROW()-1)),IFERROR(VLOOKUP($C133,'01_Warehouse_Ledger'!$A$2:$C$2002,3,FALSE),"")))</f>
        <v/>
      </c>
      <c r="G133" s="34"/>
    </row>
    <row r="134" spans="1:7">
      <c r="A134" s="69"/>
      <c r="D134" t="str">
        <f>IF($C134="","",IFERROR(LOOKUP(2,1/($C$2:INDEX($C:$C,ROW()-1)=$C134),$E$2:INDEX($E:$E,ROW()-1)),IFERROR(VLOOKUP($C134,'01_Warehouse_Ledger'!$A$2:$C$2002,3,FALSE),"")))</f>
        <v/>
      </c>
      <c r="G134" s="34"/>
    </row>
    <row r="135" spans="1:7">
      <c r="A135" s="69"/>
      <c r="D135" t="str">
        <f>IF($C135="","",IFERROR(LOOKUP(2,1/($C$2:INDEX($C:$C,ROW()-1)=$C135),$E$2:INDEX($E:$E,ROW()-1)),IFERROR(VLOOKUP($C135,'01_Warehouse_Ledger'!$A$2:$C$2002,3,FALSE),"")))</f>
        <v/>
      </c>
      <c r="G135" s="34"/>
    </row>
    <row r="136" spans="1:7">
      <c r="A136" s="69"/>
      <c r="D136" t="str">
        <f>IF($C136="","",IFERROR(LOOKUP(2,1/($C$2:INDEX($C:$C,ROW()-1)=$C136),$E$2:INDEX($E:$E,ROW()-1)),IFERROR(VLOOKUP($C136,'01_Warehouse_Ledger'!$A$2:$C$2002,3,FALSE),"")))</f>
        <v/>
      </c>
      <c r="G136" s="34"/>
    </row>
    <row r="137" spans="1:7">
      <c r="A137" s="69"/>
      <c r="D137" t="str">
        <f>IF($C137="","",IFERROR(LOOKUP(2,1/($C$2:INDEX($C:$C,ROW()-1)=$C137),$E$2:INDEX($E:$E,ROW()-1)),IFERROR(VLOOKUP($C137,'01_Warehouse_Ledger'!$A$2:$C$2002,3,FALSE),"")))</f>
        <v/>
      </c>
      <c r="G137" s="34"/>
    </row>
    <row r="138" spans="1:7">
      <c r="A138" s="69"/>
      <c r="D138" t="str">
        <f>IF($C138="","",IFERROR(LOOKUP(2,1/($C$2:INDEX($C:$C,ROW()-1)=$C138),$E$2:INDEX($E:$E,ROW()-1)),IFERROR(VLOOKUP($C138,'01_Warehouse_Ledger'!$A$2:$C$2002,3,FALSE),"")))</f>
        <v/>
      </c>
      <c r="G138" s="34"/>
    </row>
    <row r="139" spans="1:7">
      <c r="A139" s="69"/>
      <c r="D139" t="str">
        <f>IF($C139="","",IFERROR(LOOKUP(2,1/($C$2:INDEX($C:$C,ROW()-1)=$C139),$E$2:INDEX($E:$E,ROW()-1)),IFERROR(VLOOKUP($C139,'01_Warehouse_Ledger'!$A$2:$C$2002,3,FALSE),"")))</f>
        <v/>
      </c>
      <c r="G139" s="34"/>
    </row>
    <row r="140" spans="1:7">
      <c r="A140" s="69"/>
      <c r="D140" t="str">
        <f>IF($C140="","",IFERROR(LOOKUP(2,1/($C$2:INDEX($C:$C,ROW()-1)=$C140),$E$2:INDEX($E:$E,ROW()-1)),IFERROR(VLOOKUP($C140,'01_Warehouse_Ledger'!$A$2:$C$2002,3,FALSE),"")))</f>
        <v/>
      </c>
      <c r="G140" s="34"/>
    </row>
    <row r="141" spans="1:7">
      <c r="A141" s="69"/>
      <c r="D141" t="str">
        <f>IF($C141="","",IFERROR(LOOKUP(2,1/($C$2:INDEX($C:$C,ROW()-1)=$C141),$E$2:INDEX($E:$E,ROW()-1)),IFERROR(VLOOKUP($C141,'01_Warehouse_Ledger'!$A$2:$C$2002,3,FALSE),"")))</f>
        <v/>
      </c>
      <c r="G141" s="34"/>
    </row>
    <row r="142" spans="1:7">
      <c r="A142" s="69"/>
      <c r="D142" t="str">
        <f>IF($C142="","",IFERROR(LOOKUP(2,1/($C$2:INDEX($C:$C,ROW()-1)=$C142),$E$2:INDEX($E:$E,ROW()-1)),IFERROR(VLOOKUP($C142,'01_Warehouse_Ledger'!$A$2:$C$2002,3,FALSE),"")))</f>
        <v/>
      </c>
      <c r="G142" s="34"/>
    </row>
    <row r="143" spans="1:7">
      <c r="A143" s="69"/>
      <c r="D143" t="str">
        <f>IF($C143="","",IFERROR(LOOKUP(2,1/($C$2:INDEX($C:$C,ROW()-1)=$C143),$E$2:INDEX($E:$E,ROW()-1)),IFERROR(VLOOKUP($C143,'01_Warehouse_Ledger'!$A$2:$C$2002,3,FALSE),"")))</f>
        <v/>
      </c>
      <c r="G143" s="34"/>
    </row>
    <row r="144" spans="1:7">
      <c r="A144" s="69"/>
      <c r="D144" t="str">
        <f>IF($C144="","",IFERROR(LOOKUP(2,1/($C$2:INDEX($C:$C,ROW()-1)=$C144),$E$2:INDEX($E:$E,ROW()-1)),IFERROR(VLOOKUP($C144,'01_Warehouse_Ledger'!$A$2:$C$2002,3,FALSE),"")))</f>
        <v/>
      </c>
      <c r="G144" s="34"/>
    </row>
    <row r="145" spans="1:7">
      <c r="A145" s="69"/>
      <c r="D145" t="str">
        <f>IF($C145="","",IFERROR(LOOKUP(2,1/($C$2:INDEX($C:$C,ROW()-1)=$C145),$E$2:INDEX($E:$E,ROW()-1)),IFERROR(VLOOKUP($C145,'01_Warehouse_Ledger'!$A$2:$C$2002,3,FALSE),"")))</f>
        <v/>
      </c>
      <c r="G145" s="34"/>
    </row>
    <row r="146" spans="1:7">
      <c r="A146" s="69"/>
      <c r="D146" t="str">
        <f>IF($C146="","",IFERROR(LOOKUP(2,1/($C$2:INDEX($C:$C,ROW()-1)=$C146),$E$2:INDEX($E:$E,ROW()-1)),IFERROR(VLOOKUP($C146,'01_Warehouse_Ledger'!$A$2:$C$2002,3,FALSE),"")))</f>
        <v/>
      </c>
      <c r="G146" s="34"/>
    </row>
    <row r="147" spans="1:7">
      <c r="A147" s="69"/>
      <c r="D147" t="str">
        <f>IF($C147="","",IFERROR(LOOKUP(2,1/($C$2:INDEX($C:$C,ROW()-1)=$C147),$E$2:INDEX($E:$E,ROW()-1)),IFERROR(VLOOKUP($C147,'01_Warehouse_Ledger'!$A$2:$C$2002,3,FALSE),"")))</f>
        <v/>
      </c>
      <c r="G147" s="34"/>
    </row>
    <row r="148" spans="1:7">
      <c r="A148" s="69"/>
      <c r="D148" t="str">
        <f>IF($C148="","",IFERROR(LOOKUP(2,1/($C$2:INDEX($C:$C,ROW()-1)=$C148),$E$2:INDEX($E:$E,ROW()-1)),IFERROR(VLOOKUP($C148,'01_Warehouse_Ledger'!$A$2:$C$2002,3,FALSE),"")))</f>
        <v/>
      </c>
      <c r="G148" s="34"/>
    </row>
    <row r="149" spans="1:7">
      <c r="A149" s="69"/>
      <c r="D149" t="str">
        <f>IF($C149="","",IFERROR(LOOKUP(2,1/($C$2:INDEX($C:$C,ROW()-1)=$C149),$E$2:INDEX($E:$E,ROW()-1)),IFERROR(VLOOKUP($C149,'01_Warehouse_Ledger'!$A$2:$C$2002,3,FALSE),"")))</f>
        <v/>
      </c>
      <c r="G149" s="34"/>
    </row>
    <row r="150" spans="1:7">
      <c r="A150" s="69"/>
      <c r="D150" t="str">
        <f>IF($C150="","",IFERROR(LOOKUP(2,1/($C$2:INDEX($C:$C,ROW()-1)=$C150),$E$2:INDEX($E:$E,ROW()-1)),IFERROR(VLOOKUP($C150,'01_Warehouse_Ledger'!$A$2:$C$2002,3,FALSE),"")))</f>
        <v/>
      </c>
      <c r="G150" s="34"/>
    </row>
    <row r="151" spans="1:7">
      <c r="A151" s="69"/>
      <c r="D151" t="str">
        <f>IF($C151="","",IFERROR(LOOKUP(2,1/($C$2:INDEX($C:$C,ROW()-1)=$C151),$E$2:INDEX($E:$E,ROW()-1)),IFERROR(VLOOKUP($C151,'01_Warehouse_Ledger'!$A$2:$C$2002,3,FALSE),"")))</f>
        <v/>
      </c>
      <c r="G151" s="34"/>
    </row>
    <row r="152" spans="1:7">
      <c r="A152" s="69"/>
      <c r="D152" t="str">
        <f>IF($C152="","",IFERROR(LOOKUP(2,1/($C$2:INDEX($C:$C,ROW()-1)=$C152),$E$2:INDEX($E:$E,ROW()-1)),IFERROR(VLOOKUP($C152,'01_Warehouse_Ledger'!$A$2:$C$2002,3,FALSE),"")))</f>
        <v/>
      </c>
      <c r="G152" s="34"/>
    </row>
    <row r="153" spans="1:7">
      <c r="A153" s="69"/>
      <c r="D153" t="str">
        <f>IF($C153="","",IFERROR(LOOKUP(2,1/($C$2:INDEX($C:$C,ROW()-1)=$C153),$E$2:INDEX($E:$E,ROW()-1)),IFERROR(VLOOKUP($C153,'01_Warehouse_Ledger'!$A$2:$C$2002,3,FALSE),"")))</f>
        <v/>
      </c>
      <c r="G153" s="34"/>
    </row>
    <row r="154" spans="1:7">
      <c r="A154" s="69"/>
      <c r="D154" t="str">
        <f>IF($C154="","",IFERROR(LOOKUP(2,1/($C$2:INDEX($C:$C,ROW()-1)=$C154),$E$2:INDEX($E:$E,ROW()-1)),IFERROR(VLOOKUP($C154,'01_Warehouse_Ledger'!$A$2:$C$2002,3,FALSE),"")))</f>
        <v/>
      </c>
      <c r="G154" s="34"/>
    </row>
    <row r="155" spans="1:7">
      <c r="A155" s="69"/>
      <c r="D155" t="str">
        <f>IF($C155="","",IFERROR(LOOKUP(2,1/($C$2:INDEX($C:$C,ROW()-1)=$C155),$E$2:INDEX($E:$E,ROW()-1)),IFERROR(VLOOKUP($C155,'01_Warehouse_Ledger'!$A$2:$C$2002,3,FALSE),"")))</f>
        <v/>
      </c>
      <c r="G155" s="34"/>
    </row>
    <row r="156" spans="1:7">
      <c r="A156" s="69"/>
      <c r="D156" t="str">
        <f>IF($C156="","",IFERROR(LOOKUP(2,1/($C$2:INDEX($C:$C,ROW()-1)=$C156),$E$2:INDEX($E:$E,ROW()-1)),IFERROR(VLOOKUP($C156,'01_Warehouse_Ledger'!$A$2:$C$2002,3,FALSE),"")))</f>
        <v/>
      </c>
      <c r="G156" s="34"/>
    </row>
    <row r="157" spans="1:7">
      <c r="A157" s="69"/>
      <c r="D157" t="str">
        <f>IF($C157="","",IFERROR(LOOKUP(2,1/($C$2:INDEX($C:$C,ROW()-1)=$C157),$E$2:INDEX($E:$E,ROW()-1)),IFERROR(VLOOKUP($C157,'01_Warehouse_Ledger'!$A$2:$C$2002,3,FALSE),"")))</f>
        <v/>
      </c>
      <c r="G157" s="34"/>
    </row>
    <row r="158" spans="1:7">
      <c r="A158" s="69"/>
      <c r="D158" t="str">
        <f>IF($C158="","",IFERROR(LOOKUP(2,1/($C$2:INDEX($C:$C,ROW()-1)=$C158),$E$2:INDEX($E:$E,ROW()-1)),IFERROR(VLOOKUP($C158,'01_Warehouse_Ledger'!$A$2:$C$2002,3,FALSE),"")))</f>
        <v/>
      </c>
      <c r="G158" s="34"/>
    </row>
    <row r="159" spans="1:7">
      <c r="A159" s="69"/>
      <c r="D159" t="str">
        <f>IF($C159="","",IFERROR(LOOKUP(2,1/($C$2:INDEX($C:$C,ROW()-1)=$C159),$E$2:INDEX($E:$E,ROW()-1)),IFERROR(VLOOKUP($C159,'01_Warehouse_Ledger'!$A$2:$C$2002,3,FALSE),"")))</f>
        <v/>
      </c>
      <c r="G159" s="34"/>
    </row>
    <row r="160" spans="1:7">
      <c r="A160" s="69"/>
      <c r="D160" t="str">
        <f>IF($C160="","",IFERROR(LOOKUP(2,1/($C$2:INDEX($C:$C,ROW()-1)=$C160),$E$2:INDEX($E:$E,ROW()-1)),IFERROR(VLOOKUP($C160,'01_Warehouse_Ledger'!$A$2:$C$2002,3,FALSE),"")))</f>
        <v/>
      </c>
      <c r="G160" s="34"/>
    </row>
    <row r="161" spans="1:7">
      <c r="A161" s="69"/>
      <c r="D161" t="str">
        <f>IF($C161="","",IFERROR(LOOKUP(2,1/($C$2:INDEX($C:$C,ROW()-1)=$C161),$E$2:INDEX($E:$E,ROW()-1)),IFERROR(VLOOKUP($C161,'01_Warehouse_Ledger'!$A$2:$C$2002,3,FALSE),"")))</f>
        <v/>
      </c>
      <c r="G161" s="34"/>
    </row>
    <row r="162" spans="1:7">
      <c r="A162" s="69"/>
      <c r="D162" t="str">
        <f>IF($C162="","",IFERROR(LOOKUP(2,1/($C$2:INDEX($C:$C,ROW()-1)=$C162),$E$2:INDEX($E:$E,ROW()-1)),IFERROR(VLOOKUP($C162,'01_Warehouse_Ledger'!$A$2:$C$2002,3,FALSE),"")))</f>
        <v/>
      </c>
      <c r="G162" s="34"/>
    </row>
    <row r="163" spans="1:7">
      <c r="A163" s="69"/>
      <c r="D163" t="str">
        <f>IF($C163="","",IFERROR(LOOKUP(2,1/($C$2:INDEX($C:$C,ROW()-1)=$C163),$E$2:INDEX($E:$E,ROW()-1)),IFERROR(VLOOKUP($C163,'01_Warehouse_Ledger'!$A$2:$C$2002,3,FALSE),"")))</f>
        <v/>
      </c>
      <c r="G163" s="34"/>
    </row>
    <row r="164" spans="1:7">
      <c r="A164" s="69"/>
      <c r="D164" t="str">
        <f>IF($C164="","",IFERROR(LOOKUP(2,1/($C$2:INDEX($C:$C,ROW()-1)=$C164),$E$2:INDEX($E:$E,ROW()-1)),IFERROR(VLOOKUP($C164,'01_Warehouse_Ledger'!$A$2:$C$2002,3,FALSE),"")))</f>
        <v/>
      </c>
      <c r="G164" s="34"/>
    </row>
    <row r="165" spans="1:7">
      <c r="A165" s="69"/>
      <c r="D165" t="str">
        <f>IF($C165="","",IFERROR(LOOKUP(2,1/($C$2:INDEX($C:$C,ROW()-1)=$C165),$E$2:INDEX($E:$E,ROW()-1)),IFERROR(VLOOKUP($C165,'01_Warehouse_Ledger'!$A$2:$C$2002,3,FALSE),"")))</f>
        <v/>
      </c>
      <c r="G165" s="34"/>
    </row>
    <row r="166" spans="1:7">
      <c r="A166" s="69"/>
      <c r="D166" t="str">
        <f>IF($C166="","",IFERROR(LOOKUP(2,1/($C$2:INDEX($C:$C,ROW()-1)=$C166),$E$2:INDEX($E:$E,ROW()-1)),IFERROR(VLOOKUP($C166,'01_Warehouse_Ledger'!$A$2:$C$2002,3,FALSE),"")))</f>
        <v/>
      </c>
      <c r="G166" s="34"/>
    </row>
    <row r="167" spans="1:7">
      <c r="A167" s="69"/>
      <c r="D167" t="str">
        <f>IF($C167="","",IFERROR(LOOKUP(2,1/($C$2:INDEX($C:$C,ROW()-1)=$C167),$E$2:INDEX($E:$E,ROW()-1)),IFERROR(VLOOKUP($C167,'01_Warehouse_Ledger'!$A$2:$C$2002,3,FALSE),"")))</f>
        <v/>
      </c>
      <c r="G167" s="34"/>
    </row>
    <row r="168" spans="1:7">
      <c r="A168" s="69"/>
      <c r="D168" t="str">
        <f>IF($C168="","",IFERROR(LOOKUP(2,1/($C$2:INDEX($C:$C,ROW()-1)=$C168),$E$2:INDEX($E:$E,ROW()-1)),IFERROR(VLOOKUP($C168,'01_Warehouse_Ledger'!$A$2:$C$2002,3,FALSE),"")))</f>
        <v/>
      </c>
      <c r="G168" s="34"/>
    </row>
    <row r="169" spans="1:7">
      <c r="A169" s="69"/>
      <c r="D169" t="str">
        <f>IF($C169="","",IFERROR(LOOKUP(2,1/($C$2:INDEX($C:$C,ROW()-1)=$C169),$E$2:INDEX($E:$E,ROW()-1)),IFERROR(VLOOKUP($C169,'01_Warehouse_Ledger'!$A$2:$C$2002,3,FALSE),"")))</f>
        <v/>
      </c>
      <c r="G169" s="34"/>
    </row>
    <row r="170" spans="1:7">
      <c r="A170" s="69"/>
      <c r="D170" t="str">
        <f>IF($C170="","",IFERROR(LOOKUP(2,1/($C$2:INDEX($C:$C,ROW()-1)=$C170),$E$2:INDEX($E:$E,ROW()-1)),IFERROR(VLOOKUP($C170,'01_Warehouse_Ledger'!$A$2:$C$2002,3,FALSE),"")))</f>
        <v/>
      </c>
      <c r="G170" s="34"/>
    </row>
    <row r="171" spans="1:7">
      <c r="A171" s="69"/>
      <c r="D171" t="str">
        <f>IF($C171="","",IFERROR(LOOKUP(2,1/($C$2:INDEX($C:$C,ROW()-1)=$C171),$E$2:INDEX($E:$E,ROW()-1)),IFERROR(VLOOKUP($C171,'01_Warehouse_Ledger'!$A$2:$C$2002,3,FALSE),"")))</f>
        <v/>
      </c>
      <c r="G171" s="34"/>
    </row>
    <row r="172" spans="1:7">
      <c r="A172" s="69"/>
      <c r="D172" t="str">
        <f>IF($C172="","",IFERROR(LOOKUP(2,1/($C$2:INDEX($C:$C,ROW()-1)=$C172),$E$2:INDEX($E:$E,ROW()-1)),IFERROR(VLOOKUP($C172,'01_Warehouse_Ledger'!$A$2:$C$2002,3,FALSE),"")))</f>
        <v/>
      </c>
      <c r="G172" s="34"/>
    </row>
    <row r="173" spans="1:7">
      <c r="A173" s="69"/>
      <c r="D173" t="str">
        <f>IF($C173="","",IFERROR(LOOKUP(2,1/($C$2:INDEX($C:$C,ROW()-1)=$C173),$E$2:INDEX($E:$E,ROW()-1)),IFERROR(VLOOKUP($C173,'01_Warehouse_Ledger'!$A$2:$C$2002,3,FALSE),"")))</f>
        <v/>
      </c>
      <c r="G173" s="34"/>
    </row>
    <row r="174" spans="1:7">
      <c r="A174" s="69"/>
      <c r="D174" t="str">
        <f>IF($C174="","",IFERROR(LOOKUP(2,1/($C$2:INDEX($C:$C,ROW()-1)=$C174),$E$2:INDEX($E:$E,ROW()-1)),IFERROR(VLOOKUP($C174,'01_Warehouse_Ledger'!$A$2:$C$2002,3,FALSE),"")))</f>
        <v/>
      </c>
      <c r="G174" s="34"/>
    </row>
    <row r="175" spans="1:7">
      <c r="A175" s="69"/>
      <c r="D175" t="str">
        <f>IF($C175="","",IFERROR(LOOKUP(2,1/($C$2:INDEX($C:$C,ROW()-1)=$C175),$E$2:INDEX($E:$E,ROW()-1)),IFERROR(VLOOKUP($C175,'01_Warehouse_Ledger'!$A$2:$C$2002,3,FALSE),"")))</f>
        <v/>
      </c>
      <c r="G175" s="34"/>
    </row>
    <row r="176" spans="1:7">
      <c r="A176" s="69"/>
      <c r="D176" t="str">
        <f>IF($C176="","",IFERROR(LOOKUP(2,1/($C$2:INDEX($C:$C,ROW()-1)=$C176),$E$2:INDEX($E:$E,ROW()-1)),IFERROR(VLOOKUP($C176,'01_Warehouse_Ledger'!$A$2:$C$2002,3,FALSE),"")))</f>
        <v/>
      </c>
      <c r="G176" s="34"/>
    </row>
    <row r="177" spans="1:7">
      <c r="A177" s="69"/>
      <c r="D177" t="str">
        <f>IF($C177="","",IFERROR(LOOKUP(2,1/($C$2:INDEX($C:$C,ROW()-1)=$C177),$E$2:INDEX($E:$E,ROW()-1)),IFERROR(VLOOKUP($C177,'01_Warehouse_Ledger'!$A$2:$C$2002,3,FALSE),"")))</f>
        <v/>
      </c>
      <c r="G177" s="34"/>
    </row>
    <row r="178" spans="1:7">
      <c r="A178" s="69"/>
      <c r="D178" t="str">
        <f>IF($C178="","",IFERROR(LOOKUP(2,1/($C$2:INDEX($C:$C,ROW()-1)=$C178),$E$2:INDEX($E:$E,ROW()-1)),IFERROR(VLOOKUP($C178,'01_Warehouse_Ledger'!$A$2:$C$2002,3,FALSE),"")))</f>
        <v/>
      </c>
      <c r="G178" s="34"/>
    </row>
    <row r="179" spans="1:7">
      <c r="A179" s="69"/>
      <c r="D179" t="str">
        <f>IF($C179="","",IFERROR(LOOKUP(2,1/($C$2:INDEX($C:$C,ROW()-1)=$C179),$E$2:INDEX($E:$E,ROW()-1)),IFERROR(VLOOKUP($C179,'01_Warehouse_Ledger'!$A$2:$C$2002,3,FALSE),"")))</f>
        <v/>
      </c>
      <c r="G179" s="34"/>
    </row>
    <row r="180" spans="1:7">
      <c r="A180" s="69"/>
      <c r="D180" t="str">
        <f>IF($C180="","",IFERROR(LOOKUP(2,1/($C$2:INDEX($C:$C,ROW()-1)=$C180),$E$2:INDEX($E:$E,ROW()-1)),IFERROR(VLOOKUP($C180,'01_Warehouse_Ledger'!$A$2:$C$2002,3,FALSE),"")))</f>
        <v/>
      </c>
      <c r="G180" s="34"/>
    </row>
    <row r="181" spans="1:7">
      <c r="A181" s="69"/>
      <c r="D181" t="str">
        <f>IF($C181="","",IFERROR(LOOKUP(2,1/($C$2:INDEX($C:$C,ROW()-1)=$C181),$E$2:INDEX($E:$E,ROW()-1)),IFERROR(VLOOKUP($C181,'01_Warehouse_Ledger'!$A$2:$C$2002,3,FALSE),"")))</f>
        <v/>
      </c>
      <c r="G181" s="34"/>
    </row>
    <row r="182" spans="1:7">
      <c r="A182" s="69"/>
      <c r="D182" t="str">
        <f>IF($C182="","",IFERROR(LOOKUP(2,1/($C$2:INDEX($C:$C,ROW()-1)=$C182),$E$2:INDEX($E:$E,ROW()-1)),IFERROR(VLOOKUP($C182,'01_Warehouse_Ledger'!$A$2:$C$2002,3,FALSE),"")))</f>
        <v/>
      </c>
      <c r="G182" s="34"/>
    </row>
    <row r="183" spans="1:7">
      <c r="A183" s="69"/>
      <c r="D183" t="str">
        <f>IF($C183="","",IFERROR(LOOKUP(2,1/($C$2:INDEX($C:$C,ROW()-1)=$C183),$E$2:INDEX($E:$E,ROW()-1)),IFERROR(VLOOKUP($C183,'01_Warehouse_Ledger'!$A$2:$C$2002,3,FALSE),"")))</f>
        <v/>
      </c>
      <c r="G183" s="34"/>
    </row>
    <row r="184" spans="1:7">
      <c r="A184" s="69"/>
      <c r="D184" t="str">
        <f>IF($C184="","",IFERROR(LOOKUP(2,1/($C$2:INDEX($C:$C,ROW()-1)=$C184),$E$2:INDEX($E:$E,ROW()-1)),IFERROR(VLOOKUP($C184,'01_Warehouse_Ledger'!$A$2:$C$2002,3,FALSE),"")))</f>
        <v/>
      </c>
      <c r="G184" s="34"/>
    </row>
    <row r="185" spans="1:7">
      <c r="A185" s="69"/>
      <c r="D185" t="str">
        <f>IF($C185="","",IFERROR(LOOKUP(2,1/($C$2:INDEX($C:$C,ROW()-1)=$C185),$E$2:INDEX($E:$E,ROW()-1)),IFERROR(VLOOKUP($C185,'01_Warehouse_Ledger'!$A$2:$C$2002,3,FALSE),"")))</f>
        <v/>
      </c>
      <c r="G185" s="34"/>
    </row>
    <row r="186" spans="1:7">
      <c r="A186" s="69"/>
      <c r="D186" t="str">
        <f>IF($C186="","",IFERROR(LOOKUP(2,1/($C$2:INDEX($C:$C,ROW()-1)=$C186),$E$2:INDEX($E:$E,ROW()-1)),IFERROR(VLOOKUP($C186,'01_Warehouse_Ledger'!$A$2:$C$2002,3,FALSE),"")))</f>
        <v/>
      </c>
      <c r="G186" s="34"/>
    </row>
    <row r="187" spans="1:7">
      <c r="A187" s="69"/>
      <c r="D187" t="str">
        <f>IF($C187="","",IFERROR(LOOKUP(2,1/($C$2:INDEX($C:$C,ROW()-1)=$C187),$E$2:INDEX($E:$E,ROW()-1)),IFERROR(VLOOKUP($C187,'01_Warehouse_Ledger'!$A$2:$C$2002,3,FALSE),"")))</f>
        <v/>
      </c>
      <c r="G187" s="34"/>
    </row>
    <row r="188" spans="1:7">
      <c r="A188" s="69"/>
      <c r="D188" t="str">
        <f>IF($C188="","",IFERROR(LOOKUP(2,1/($C$2:INDEX($C:$C,ROW()-1)=$C188),$E$2:INDEX($E:$E,ROW()-1)),IFERROR(VLOOKUP($C188,'01_Warehouse_Ledger'!$A$2:$C$2002,3,FALSE),"")))</f>
        <v/>
      </c>
      <c r="G188" s="34"/>
    </row>
    <row r="189" spans="1:7">
      <c r="A189" s="69"/>
      <c r="D189" t="str">
        <f>IF($C189="","",IFERROR(LOOKUP(2,1/($C$2:INDEX($C:$C,ROW()-1)=$C189),$E$2:INDEX($E:$E,ROW()-1)),IFERROR(VLOOKUP($C189,'01_Warehouse_Ledger'!$A$2:$C$2002,3,FALSE),"")))</f>
        <v/>
      </c>
      <c r="G189" s="34"/>
    </row>
    <row r="190" spans="1:7">
      <c r="A190" s="69"/>
      <c r="D190" t="str">
        <f>IF($C190="","",IFERROR(LOOKUP(2,1/($C$2:INDEX($C:$C,ROW()-1)=$C190),$E$2:INDEX($E:$E,ROW()-1)),IFERROR(VLOOKUP($C190,'01_Warehouse_Ledger'!$A$2:$C$2002,3,FALSE),"")))</f>
        <v/>
      </c>
      <c r="G190" s="34"/>
    </row>
    <row r="191" spans="1:7">
      <c r="A191" s="69"/>
      <c r="D191" t="str">
        <f>IF($C191="","",IFERROR(LOOKUP(2,1/($C$2:INDEX($C:$C,ROW()-1)=$C191),$E$2:INDEX($E:$E,ROW()-1)),IFERROR(VLOOKUP($C191,'01_Warehouse_Ledger'!$A$2:$C$2002,3,FALSE),"")))</f>
        <v/>
      </c>
      <c r="G191" s="34"/>
    </row>
    <row r="192" spans="1:7">
      <c r="A192" s="69"/>
      <c r="D192" t="str">
        <f>IF($C192="","",IFERROR(LOOKUP(2,1/($C$2:INDEX($C:$C,ROW()-1)=$C192),$E$2:INDEX($E:$E,ROW()-1)),IFERROR(VLOOKUP($C192,'01_Warehouse_Ledger'!$A$2:$C$2002,3,FALSE),"")))</f>
        <v/>
      </c>
      <c r="G192" s="34"/>
    </row>
    <row r="193" spans="1:7">
      <c r="A193" s="69"/>
      <c r="D193" t="str">
        <f>IF($C193="","",IFERROR(LOOKUP(2,1/($C$2:INDEX($C:$C,ROW()-1)=$C193),$E$2:INDEX($E:$E,ROW()-1)),IFERROR(VLOOKUP($C193,'01_Warehouse_Ledger'!$A$2:$C$2002,3,FALSE),"")))</f>
        <v/>
      </c>
      <c r="G193" s="34"/>
    </row>
    <row r="194" spans="1:7">
      <c r="A194" s="69"/>
      <c r="D194" t="str">
        <f>IF($C194="","",IFERROR(LOOKUP(2,1/($C$2:INDEX($C:$C,ROW()-1)=$C194),$E$2:INDEX($E:$E,ROW()-1)),IFERROR(VLOOKUP($C194,'01_Warehouse_Ledger'!$A$2:$C$2002,3,FALSE),"")))</f>
        <v/>
      </c>
      <c r="G194" s="34"/>
    </row>
    <row r="195" spans="1:7">
      <c r="A195" s="69"/>
      <c r="D195" t="str">
        <f>IF($C195="","",IFERROR(LOOKUP(2,1/($C$2:INDEX($C:$C,ROW()-1)=$C195),$E$2:INDEX($E:$E,ROW()-1)),IFERROR(VLOOKUP($C195,'01_Warehouse_Ledger'!$A$2:$C$2002,3,FALSE),"")))</f>
        <v/>
      </c>
      <c r="G195" s="34"/>
    </row>
    <row r="196" spans="1:7">
      <c r="A196" s="69"/>
      <c r="D196" t="str">
        <f>IF($C196="","",IFERROR(LOOKUP(2,1/($C$2:INDEX($C:$C,ROW()-1)=$C196),$E$2:INDEX($E:$E,ROW()-1)),IFERROR(VLOOKUP($C196,'01_Warehouse_Ledger'!$A$2:$C$2002,3,FALSE),"")))</f>
        <v/>
      </c>
      <c r="G196" s="34"/>
    </row>
    <row r="197" spans="1:7">
      <c r="A197" s="69"/>
      <c r="D197" t="str">
        <f>IF($C197="","",IFERROR(LOOKUP(2,1/($C$2:INDEX($C:$C,ROW()-1)=$C197),$E$2:INDEX($E:$E,ROW()-1)),IFERROR(VLOOKUP($C197,'01_Warehouse_Ledger'!$A$2:$C$2002,3,FALSE),"")))</f>
        <v/>
      </c>
      <c r="G197" s="34"/>
    </row>
    <row r="198" spans="1:7">
      <c r="A198" s="69"/>
      <c r="D198" t="str">
        <f>IF($C198="","",IFERROR(LOOKUP(2,1/($C$2:INDEX($C:$C,ROW()-1)=$C198),$E$2:INDEX($E:$E,ROW()-1)),IFERROR(VLOOKUP($C198,'01_Warehouse_Ledger'!$A$2:$C$2002,3,FALSE),"")))</f>
        <v/>
      </c>
      <c r="G198" s="34"/>
    </row>
    <row r="199" spans="1:7">
      <c r="A199" s="69"/>
      <c r="D199" t="str">
        <f>IF($C199="","",IFERROR(LOOKUP(2,1/($C$2:INDEX($C:$C,ROW()-1)=$C199),$E$2:INDEX($E:$E,ROW()-1)),IFERROR(VLOOKUP($C199,'01_Warehouse_Ledger'!$A$2:$C$2002,3,FALSE),"")))</f>
        <v/>
      </c>
      <c r="G199" s="34"/>
    </row>
    <row r="200" spans="1:7">
      <c r="A200" s="69"/>
      <c r="D200" t="str">
        <f>IF($C200="","",IFERROR(LOOKUP(2,1/($C$2:INDEX($C:$C,ROW()-1)=$C200),$E$2:INDEX($E:$E,ROW()-1)),IFERROR(VLOOKUP($C200,'01_Warehouse_Ledger'!$A$2:$C$2002,3,FALSE),"")))</f>
        <v/>
      </c>
      <c r="G200" s="34"/>
    </row>
    <row r="201" spans="1:7">
      <c r="A201" s="69"/>
      <c r="D201" t="str">
        <f>IF($C201="","",IFERROR(LOOKUP(2,1/($C$2:INDEX($C:$C,ROW()-1)=$C201),$E$2:INDEX($E:$E,ROW()-1)),IFERROR(VLOOKUP($C201,'01_Warehouse_Ledger'!$A$2:$C$2002,3,FALSE),"")))</f>
        <v/>
      </c>
      <c r="G201" s="34"/>
    </row>
    <row r="202" spans="1:7">
      <c r="A202" s="69"/>
      <c r="D202" t="str">
        <f>IF($C202="","",IFERROR(LOOKUP(2,1/($C$2:INDEX($C:$C,ROW()-1)=$C202),$E$2:INDEX($E:$E,ROW()-1)),IFERROR(VLOOKUP($C202,'01_Warehouse_Ledger'!$A$2:$C$2002,3,FALSE),"")))</f>
        <v/>
      </c>
      <c r="G202" s="34"/>
    </row>
    <row r="203" spans="1:7">
      <c r="A203" s="69"/>
      <c r="D203" t="str">
        <f>IF($C203="","",IFERROR(LOOKUP(2,1/($C$2:INDEX($C:$C,ROW()-1)=$C203),$E$2:INDEX($E:$E,ROW()-1)),IFERROR(VLOOKUP($C203,'01_Warehouse_Ledger'!$A$2:$C$2002,3,FALSE),"")))</f>
        <v/>
      </c>
      <c r="G203" s="34"/>
    </row>
    <row r="204" spans="1:7">
      <c r="A204" s="69"/>
      <c r="D204" t="str">
        <f>IF($C204="","",IFERROR(LOOKUP(2,1/($C$2:INDEX($C:$C,ROW()-1)=$C204),$E$2:INDEX($E:$E,ROW()-1)),IFERROR(VLOOKUP($C204,'01_Warehouse_Ledger'!$A$2:$C$2002,3,FALSE),"")))</f>
        <v/>
      </c>
      <c r="G204" s="34"/>
    </row>
    <row r="205" spans="1:7">
      <c r="A205" s="69"/>
      <c r="D205" t="str">
        <f>IF($C205="","",IFERROR(LOOKUP(2,1/($C$2:INDEX($C:$C,ROW()-1)=$C205),$E$2:INDEX($E:$E,ROW()-1)),IFERROR(VLOOKUP($C205,'01_Warehouse_Ledger'!$A$2:$C$2002,3,FALSE),"")))</f>
        <v/>
      </c>
      <c r="G205" s="34"/>
    </row>
    <row r="206" spans="1:7">
      <c r="A206" s="69"/>
      <c r="D206" t="str">
        <f>IF($C206="","",IFERROR(LOOKUP(2,1/($C$2:INDEX($C:$C,ROW()-1)=$C206),$E$2:INDEX($E:$E,ROW()-1)),IFERROR(VLOOKUP($C206,'01_Warehouse_Ledger'!$A$2:$C$2002,3,FALSE),"")))</f>
        <v/>
      </c>
      <c r="G206" s="34"/>
    </row>
    <row r="207" spans="1:7">
      <c r="A207" s="69"/>
      <c r="D207" t="str">
        <f>IF($C207="","",IFERROR(LOOKUP(2,1/($C$2:INDEX($C:$C,ROW()-1)=$C207),$E$2:INDEX($E:$E,ROW()-1)),IFERROR(VLOOKUP($C207,'01_Warehouse_Ledger'!$A$2:$C$2002,3,FALSE),"")))</f>
        <v/>
      </c>
      <c r="G207" s="34"/>
    </row>
    <row r="208" spans="1:7">
      <c r="A208" s="69"/>
      <c r="D208" t="str">
        <f>IF($C208="","",IFERROR(LOOKUP(2,1/($C$2:INDEX($C:$C,ROW()-1)=$C208),$E$2:INDEX($E:$E,ROW()-1)),IFERROR(VLOOKUP($C208,'01_Warehouse_Ledger'!$A$2:$C$2002,3,FALSE),"")))</f>
        <v/>
      </c>
      <c r="G208" s="34"/>
    </row>
    <row r="209" spans="1:7">
      <c r="A209" s="69"/>
      <c r="D209" t="str">
        <f>IF($C209="","",IFERROR(LOOKUP(2,1/($C$2:INDEX($C:$C,ROW()-1)=$C209),$E$2:INDEX($E:$E,ROW()-1)),IFERROR(VLOOKUP($C209,'01_Warehouse_Ledger'!$A$2:$C$2002,3,FALSE),"")))</f>
        <v/>
      </c>
      <c r="G209" s="34"/>
    </row>
    <row r="210" spans="1:7">
      <c r="A210" s="69"/>
      <c r="D210" t="str">
        <f>IF($C210="","",IFERROR(LOOKUP(2,1/($C$2:INDEX($C:$C,ROW()-1)=$C210),$E$2:INDEX($E:$E,ROW()-1)),IFERROR(VLOOKUP($C210,'01_Warehouse_Ledger'!$A$2:$C$2002,3,FALSE),"")))</f>
        <v/>
      </c>
      <c r="G210" s="34"/>
    </row>
    <row r="211" spans="1:7">
      <c r="A211" s="69"/>
      <c r="D211" t="str">
        <f>IF($C211="","",IFERROR(LOOKUP(2,1/($C$2:INDEX($C:$C,ROW()-1)=$C211),$E$2:INDEX($E:$E,ROW()-1)),IFERROR(VLOOKUP($C211,'01_Warehouse_Ledger'!$A$2:$C$2002,3,FALSE),"")))</f>
        <v/>
      </c>
      <c r="G211" s="34"/>
    </row>
    <row r="212" spans="1:7">
      <c r="A212" s="69"/>
      <c r="D212" t="str">
        <f>IF($C212="","",IFERROR(LOOKUP(2,1/($C$2:INDEX($C:$C,ROW()-1)=$C212),$E$2:INDEX($E:$E,ROW()-1)),IFERROR(VLOOKUP($C212,'01_Warehouse_Ledger'!$A$2:$C$2002,3,FALSE),"")))</f>
        <v/>
      </c>
      <c r="G212" s="34"/>
    </row>
    <row r="213" spans="1:7">
      <c r="A213" s="69"/>
      <c r="D213" t="str">
        <f>IF($C213="","",IFERROR(LOOKUP(2,1/($C$2:INDEX($C:$C,ROW()-1)=$C213),$E$2:INDEX($E:$E,ROW()-1)),IFERROR(VLOOKUP($C213,'01_Warehouse_Ledger'!$A$2:$C$2002,3,FALSE),"")))</f>
        <v/>
      </c>
      <c r="G213" s="34"/>
    </row>
    <row r="214" spans="1:7">
      <c r="A214" s="69"/>
      <c r="D214" t="str">
        <f>IF($C214="","",IFERROR(LOOKUP(2,1/($C$2:INDEX($C:$C,ROW()-1)=$C214),$E$2:INDEX($E:$E,ROW()-1)),IFERROR(VLOOKUP($C214,'01_Warehouse_Ledger'!$A$2:$C$2002,3,FALSE),"")))</f>
        <v/>
      </c>
      <c r="G214" s="34"/>
    </row>
    <row r="215" spans="1:7">
      <c r="A215" s="69"/>
      <c r="D215" t="str">
        <f>IF($C215="","",IFERROR(LOOKUP(2,1/($C$2:INDEX($C:$C,ROW()-1)=$C215),$E$2:INDEX($E:$E,ROW()-1)),IFERROR(VLOOKUP($C215,'01_Warehouse_Ledger'!$A$2:$C$2002,3,FALSE),"")))</f>
        <v/>
      </c>
      <c r="G215" s="34"/>
    </row>
    <row r="216" spans="1:7">
      <c r="A216" s="69"/>
      <c r="D216" t="str">
        <f>IF($C216="","",IFERROR(LOOKUP(2,1/($C$2:INDEX($C:$C,ROW()-1)=$C216),$E$2:INDEX($E:$E,ROW()-1)),IFERROR(VLOOKUP($C216,'01_Warehouse_Ledger'!$A$2:$C$2002,3,FALSE),"")))</f>
        <v/>
      </c>
      <c r="G216" s="34"/>
    </row>
    <row r="217" spans="1:7">
      <c r="A217" s="69"/>
      <c r="D217" t="str">
        <f>IF($C217="","",IFERROR(LOOKUP(2,1/($C$2:INDEX($C:$C,ROW()-1)=$C217),$E$2:INDEX($E:$E,ROW()-1)),IFERROR(VLOOKUP($C217,'01_Warehouse_Ledger'!$A$2:$C$2002,3,FALSE),"")))</f>
        <v/>
      </c>
      <c r="G217" s="34"/>
    </row>
    <row r="218" spans="1:7">
      <c r="A218" s="69"/>
      <c r="D218" t="str">
        <f>IF($C218="","",IFERROR(LOOKUP(2,1/($C$2:INDEX($C:$C,ROW()-1)=$C218),$E$2:INDEX($E:$E,ROW()-1)),IFERROR(VLOOKUP($C218,'01_Warehouse_Ledger'!$A$2:$C$2002,3,FALSE),"")))</f>
        <v/>
      </c>
      <c r="G218" s="34"/>
    </row>
    <row r="219" spans="1:7">
      <c r="A219" s="69"/>
      <c r="D219" t="str">
        <f>IF($C219="","",IFERROR(LOOKUP(2,1/($C$2:INDEX($C:$C,ROW()-1)=$C219),$E$2:INDEX($E:$E,ROW()-1)),IFERROR(VLOOKUP($C219,'01_Warehouse_Ledger'!$A$2:$C$2002,3,FALSE),"")))</f>
        <v/>
      </c>
      <c r="G219" s="34"/>
    </row>
    <row r="220" spans="1:7">
      <c r="A220" s="69"/>
      <c r="D220" t="str">
        <f>IF($C220="","",IFERROR(LOOKUP(2,1/($C$2:INDEX($C:$C,ROW()-1)=$C220),$E$2:INDEX($E:$E,ROW()-1)),IFERROR(VLOOKUP($C220,'01_Warehouse_Ledger'!$A$2:$C$2002,3,FALSE),"")))</f>
        <v/>
      </c>
      <c r="G220" s="34"/>
    </row>
    <row r="221" spans="1:7">
      <c r="A221" s="69"/>
      <c r="D221" t="str">
        <f>IF($C221="","",IFERROR(LOOKUP(2,1/($C$2:INDEX($C:$C,ROW()-1)=$C221),$E$2:INDEX($E:$E,ROW()-1)),IFERROR(VLOOKUP($C221,'01_Warehouse_Ledger'!$A$2:$C$2002,3,FALSE),"")))</f>
        <v/>
      </c>
      <c r="G221" s="34"/>
    </row>
    <row r="222" spans="1:7">
      <c r="A222" s="69"/>
      <c r="D222" t="str">
        <f>IF($C222="","",IFERROR(LOOKUP(2,1/($C$2:INDEX($C:$C,ROW()-1)=$C222),$E$2:INDEX($E:$E,ROW()-1)),IFERROR(VLOOKUP($C222,'01_Warehouse_Ledger'!$A$2:$C$2002,3,FALSE),"")))</f>
        <v/>
      </c>
      <c r="G222" s="34"/>
    </row>
    <row r="223" spans="1:7">
      <c r="A223" s="69"/>
      <c r="D223" t="str">
        <f>IF($C223="","",IFERROR(LOOKUP(2,1/($C$2:INDEX($C:$C,ROW()-1)=$C223),$E$2:INDEX($E:$E,ROW()-1)),IFERROR(VLOOKUP($C223,'01_Warehouse_Ledger'!$A$2:$C$2002,3,FALSE),"")))</f>
        <v/>
      </c>
      <c r="G223" s="34"/>
    </row>
    <row r="224" spans="1:7">
      <c r="A224" s="69"/>
      <c r="D224" t="str">
        <f>IF($C224="","",IFERROR(LOOKUP(2,1/($C$2:INDEX($C:$C,ROW()-1)=$C224),$E$2:INDEX($E:$E,ROW()-1)),IFERROR(VLOOKUP($C224,'01_Warehouse_Ledger'!$A$2:$C$2002,3,FALSE),"")))</f>
        <v/>
      </c>
      <c r="G224" s="34"/>
    </row>
    <row r="225" spans="1:7">
      <c r="A225" s="69"/>
      <c r="D225" t="str">
        <f>IF($C225="","",IFERROR(LOOKUP(2,1/($C$2:INDEX($C:$C,ROW()-1)=$C225),$E$2:INDEX($E:$E,ROW()-1)),IFERROR(VLOOKUP($C225,'01_Warehouse_Ledger'!$A$2:$C$2002,3,FALSE),"")))</f>
        <v/>
      </c>
      <c r="G225" s="34"/>
    </row>
    <row r="226" spans="1:7">
      <c r="A226" s="69"/>
      <c r="D226" t="str">
        <f>IF($C226="","",IFERROR(LOOKUP(2,1/($C$2:INDEX($C:$C,ROW()-1)=$C226),$E$2:INDEX($E:$E,ROW()-1)),IFERROR(VLOOKUP($C226,'01_Warehouse_Ledger'!$A$2:$C$2002,3,FALSE),"")))</f>
        <v/>
      </c>
      <c r="G226" s="34"/>
    </row>
    <row r="227" spans="1:7">
      <c r="A227" s="69"/>
      <c r="D227" t="str">
        <f>IF($C227="","",IFERROR(LOOKUP(2,1/($C$2:INDEX($C:$C,ROW()-1)=$C227),$E$2:INDEX($E:$E,ROW()-1)),IFERROR(VLOOKUP($C227,'01_Warehouse_Ledger'!$A$2:$C$2002,3,FALSE),"")))</f>
        <v/>
      </c>
      <c r="G227" s="34"/>
    </row>
    <row r="228" spans="1:7">
      <c r="A228" s="69"/>
      <c r="D228" t="str">
        <f>IF($C228="","",IFERROR(LOOKUP(2,1/($C$2:INDEX($C:$C,ROW()-1)=$C228),$E$2:INDEX($E:$E,ROW()-1)),IFERROR(VLOOKUP($C228,'01_Warehouse_Ledger'!$A$2:$C$2002,3,FALSE),"")))</f>
        <v/>
      </c>
      <c r="G228" s="34"/>
    </row>
    <row r="229" spans="1:7">
      <c r="A229" s="69"/>
      <c r="D229" t="str">
        <f>IF($C229="","",IFERROR(LOOKUP(2,1/($C$2:INDEX($C:$C,ROW()-1)=$C229),$E$2:INDEX($E:$E,ROW()-1)),IFERROR(VLOOKUP($C229,'01_Warehouse_Ledger'!$A$2:$C$2002,3,FALSE),"")))</f>
        <v/>
      </c>
      <c r="G229" s="34"/>
    </row>
    <row r="230" spans="1:7">
      <c r="A230" s="69"/>
      <c r="D230" t="str">
        <f>IF($C230="","",IFERROR(LOOKUP(2,1/($C$2:INDEX($C:$C,ROW()-1)=$C230),$E$2:INDEX($E:$E,ROW()-1)),IFERROR(VLOOKUP($C230,'01_Warehouse_Ledger'!$A$2:$C$2002,3,FALSE),"")))</f>
        <v/>
      </c>
      <c r="G230" s="34"/>
    </row>
    <row r="231" spans="1:7">
      <c r="A231" s="69"/>
      <c r="D231" t="str">
        <f>IF($C231="","",IFERROR(LOOKUP(2,1/($C$2:INDEX($C:$C,ROW()-1)=$C231),$E$2:INDEX($E:$E,ROW()-1)),IFERROR(VLOOKUP($C231,'01_Warehouse_Ledger'!$A$2:$C$2002,3,FALSE),"")))</f>
        <v/>
      </c>
      <c r="G231" s="34"/>
    </row>
    <row r="232" spans="1:7">
      <c r="A232" s="69"/>
      <c r="D232" t="str">
        <f>IF($C232="","",IFERROR(LOOKUP(2,1/($C$2:INDEX($C:$C,ROW()-1)=$C232),$E$2:INDEX($E:$E,ROW()-1)),IFERROR(VLOOKUP($C232,'01_Warehouse_Ledger'!$A$2:$C$2002,3,FALSE),"")))</f>
        <v/>
      </c>
      <c r="G232" s="34"/>
    </row>
    <row r="233" spans="1:7">
      <c r="A233" s="69"/>
      <c r="D233" t="str">
        <f>IF($C233="","",IFERROR(LOOKUP(2,1/($C$2:INDEX($C:$C,ROW()-1)=$C233),$E$2:INDEX($E:$E,ROW()-1)),IFERROR(VLOOKUP($C233,'01_Warehouse_Ledger'!$A$2:$C$2002,3,FALSE),"")))</f>
        <v/>
      </c>
      <c r="G233" s="34"/>
    </row>
    <row r="234" spans="1:7">
      <c r="A234" s="69"/>
      <c r="D234" t="str">
        <f>IF($C234="","",IFERROR(LOOKUP(2,1/($C$2:INDEX($C:$C,ROW()-1)=$C234),$E$2:INDEX($E:$E,ROW()-1)),IFERROR(VLOOKUP($C234,'01_Warehouse_Ledger'!$A$2:$C$2002,3,FALSE),"")))</f>
        <v/>
      </c>
      <c r="G234" s="34"/>
    </row>
    <row r="235" spans="1:7">
      <c r="A235" s="69"/>
      <c r="D235" t="str">
        <f>IF($C235="","",IFERROR(LOOKUP(2,1/($C$2:INDEX($C:$C,ROW()-1)=$C235),$E$2:INDEX($E:$E,ROW()-1)),IFERROR(VLOOKUP($C235,'01_Warehouse_Ledger'!$A$2:$C$2002,3,FALSE),"")))</f>
        <v/>
      </c>
      <c r="G235" s="34"/>
    </row>
    <row r="236" spans="1:7">
      <c r="A236" s="69"/>
      <c r="D236" t="str">
        <f>IF($C236="","",IFERROR(LOOKUP(2,1/($C$2:INDEX($C:$C,ROW()-1)=$C236),$E$2:INDEX($E:$E,ROW()-1)),IFERROR(VLOOKUP($C236,'01_Warehouse_Ledger'!$A$2:$C$2002,3,FALSE),"")))</f>
        <v/>
      </c>
      <c r="G236" s="34"/>
    </row>
    <row r="237" spans="1:7">
      <c r="A237" s="69"/>
      <c r="D237" t="str">
        <f>IF($C237="","",IFERROR(LOOKUP(2,1/($C$2:INDEX($C:$C,ROW()-1)=$C237),$E$2:INDEX($E:$E,ROW()-1)),IFERROR(VLOOKUP($C237,'01_Warehouse_Ledger'!$A$2:$C$2002,3,FALSE),"")))</f>
        <v/>
      </c>
      <c r="G237" s="34"/>
    </row>
    <row r="238" spans="1:7">
      <c r="A238" s="69"/>
      <c r="D238" t="str">
        <f>IF($C238="","",IFERROR(LOOKUP(2,1/($C$2:INDEX($C:$C,ROW()-1)=$C238),$E$2:INDEX($E:$E,ROW()-1)),IFERROR(VLOOKUP($C238,'01_Warehouse_Ledger'!$A$2:$C$2002,3,FALSE),"")))</f>
        <v/>
      </c>
      <c r="G238" s="34"/>
    </row>
    <row r="239" spans="1:7">
      <c r="A239" s="69"/>
      <c r="D239" t="str">
        <f>IF($C239="","",IFERROR(LOOKUP(2,1/($C$2:INDEX($C:$C,ROW()-1)=$C239),$E$2:INDEX($E:$E,ROW()-1)),IFERROR(VLOOKUP($C239,'01_Warehouse_Ledger'!$A$2:$C$2002,3,FALSE),"")))</f>
        <v/>
      </c>
      <c r="G239" s="34"/>
    </row>
    <row r="240" spans="1:7">
      <c r="A240" s="69"/>
      <c r="D240" t="str">
        <f>IF($C240="","",IFERROR(LOOKUP(2,1/($C$2:INDEX($C:$C,ROW()-1)=$C240),$E$2:INDEX($E:$E,ROW()-1)),IFERROR(VLOOKUP($C240,'01_Warehouse_Ledger'!$A$2:$C$2002,3,FALSE),"")))</f>
        <v/>
      </c>
      <c r="G240" s="34"/>
    </row>
    <row r="241" spans="1:7">
      <c r="A241" s="69"/>
      <c r="D241" t="str">
        <f>IF($C241="","",IFERROR(LOOKUP(2,1/($C$2:INDEX($C:$C,ROW()-1)=$C241),$E$2:INDEX($E:$E,ROW()-1)),IFERROR(VLOOKUP($C241,'01_Warehouse_Ledger'!$A$2:$C$2002,3,FALSE),"")))</f>
        <v/>
      </c>
      <c r="G241" s="34"/>
    </row>
    <row r="242" spans="1:7">
      <c r="A242" s="69"/>
      <c r="D242" t="str">
        <f>IF($C242="","",IFERROR(LOOKUP(2,1/($C$2:INDEX($C:$C,ROW()-1)=$C242),$E$2:INDEX($E:$E,ROW()-1)),IFERROR(VLOOKUP($C242,'01_Warehouse_Ledger'!$A$2:$C$2002,3,FALSE),"")))</f>
        <v/>
      </c>
      <c r="G242" s="34"/>
    </row>
    <row r="243" spans="1:7">
      <c r="A243" s="69"/>
      <c r="D243" t="str">
        <f>IF($C243="","",IFERROR(LOOKUP(2,1/($C$2:INDEX($C:$C,ROW()-1)=$C243),$E$2:INDEX($E:$E,ROW()-1)),IFERROR(VLOOKUP($C243,'01_Warehouse_Ledger'!$A$2:$C$2002,3,FALSE),"")))</f>
        <v/>
      </c>
      <c r="G243" s="34"/>
    </row>
    <row r="244" spans="1:7">
      <c r="A244" s="69"/>
      <c r="D244" t="str">
        <f>IF($C244="","",IFERROR(LOOKUP(2,1/($C$2:INDEX($C:$C,ROW()-1)=$C244),$E$2:INDEX($E:$E,ROW()-1)),IFERROR(VLOOKUP($C244,'01_Warehouse_Ledger'!$A$2:$C$2002,3,FALSE),"")))</f>
        <v/>
      </c>
      <c r="G244" s="34"/>
    </row>
    <row r="245" spans="1:7">
      <c r="A245" s="69"/>
      <c r="D245" t="str">
        <f>IF($C245="","",IFERROR(LOOKUP(2,1/($C$2:INDEX($C:$C,ROW()-1)=$C245),$E$2:INDEX($E:$E,ROW()-1)),IFERROR(VLOOKUP($C245,'01_Warehouse_Ledger'!$A$2:$C$2002,3,FALSE),"")))</f>
        <v/>
      </c>
      <c r="G245" s="34"/>
    </row>
    <row r="246" spans="1:7">
      <c r="A246" s="69"/>
      <c r="D246" t="str">
        <f>IF($C246="","",IFERROR(LOOKUP(2,1/($C$2:INDEX($C:$C,ROW()-1)=$C246),$E$2:INDEX($E:$E,ROW()-1)),IFERROR(VLOOKUP($C246,'01_Warehouse_Ledger'!$A$2:$C$2002,3,FALSE),"")))</f>
        <v/>
      </c>
      <c r="G246" s="34"/>
    </row>
    <row r="247" spans="1:7">
      <c r="A247" s="69"/>
      <c r="D247" t="str">
        <f>IF($C247="","",IFERROR(LOOKUP(2,1/($C$2:INDEX($C:$C,ROW()-1)=$C247),$E$2:INDEX($E:$E,ROW()-1)),IFERROR(VLOOKUP($C247,'01_Warehouse_Ledger'!$A$2:$C$2002,3,FALSE),"")))</f>
        <v/>
      </c>
      <c r="G247" s="34"/>
    </row>
    <row r="248" spans="1:7">
      <c r="A248" s="69"/>
      <c r="D248" t="str">
        <f>IF($C248="","",IFERROR(LOOKUP(2,1/($C$2:INDEX($C:$C,ROW()-1)=$C248),$E$2:INDEX($E:$E,ROW()-1)),IFERROR(VLOOKUP($C248,'01_Warehouse_Ledger'!$A$2:$C$2002,3,FALSE),"")))</f>
        <v/>
      </c>
      <c r="G248" s="34"/>
    </row>
    <row r="249" spans="1:7">
      <c r="A249" s="69"/>
      <c r="D249" t="str">
        <f>IF($C249="","",IFERROR(LOOKUP(2,1/($C$2:INDEX($C:$C,ROW()-1)=$C249),$E$2:INDEX($E:$E,ROW()-1)),IFERROR(VLOOKUP($C249,'01_Warehouse_Ledger'!$A$2:$C$2002,3,FALSE),"")))</f>
        <v/>
      </c>
      <c r="G249" s="34"/>
    </row>
    <row r="250" spans="1:7">
      <c r="A250" s="69"/>
      <c r="D250" t="str">
        <f>IF($C250="","",IFERROR(LOOKUP(2,1/($C$2:INDEX($C:$C,ROW()-1)=$C250),$E$2:INDEX($E:$E,ROW()-1)),IFERROR(VLOOKUP($C250,'01_Warehouse_Ledger'!$A$2:$C$2002,3,FALSE),"")))</f>
        <v/>
      </c>
      <c r="G250" s="34"/>
    </row>
    <row r="251" spans="1:7">
      <c r="A251" s="69"/>
      <c r="D251" t="str">
        <f>IF($C251="","",IFERROR(LOOKUP(2,1/($C$2:INDEX($C:$C,ROW()-1)=$C251),$E$2:INDEX($E:$E,ROW()-1)),IFERROR(VLOOKUP($C251,'01_Warehouse_Ledger'!$A$2:$C$2002,3,FALSE),"")))</f>
        <v/>
      </c>
      <c r="G251" s="34"/>
    </row>
    <row r="252" spans="1:7">
      <c r="A252" s="69"/>
      <c r="D252" t="str">
        <f>IF($C252="","",IFERROR(LOOKUP(2,1/($C$2:INDEX($C:$C,ROW()-1)=$C252),$E$2:INDEX($E:$E,ROW()-1)),IFERROR(VLOOKUP($C252,'01_Warehouse_Ledger'!$A$2:$C$2002,3,FALSE),"")))</f>
        <v/>
      </c>
      <c r="G252" s="34"/>
    </row>
    <row r="253" spans="1:7">
      <c r="A253" s="69"/>
      <c r="D253" t="str">
        <f>IF($C253="","",IFERROR(LOOKUP(2,1/($C$2:INDEX($C:$C,ROW()-1)=$C253),$E$2:INDEX($E:$E,ROW()-1)),IFERROR(VLOOKUP($C253,'01_Warehouse_Ledger'!$A$2:$C$2002,3,FALSE),"")))</f>
        <v/>
      </c>
      <c r="G253" s="34"/>
    </row>
    <row r="254" spans="1:7">
      <c r="A254" s="69"/>
      <c r="D254" t="str">
        <f>IF($C254="","",IFERROR(LOOKUP(2,1/($C$2:INDEX($C:$C,ROW()-1)=$C254),$E$2:INDEX($E:$E,ROW()-1)),IFERROR(VLOOKUP($C254,'01_Warehouse_Ledger'!$A$2:$C$2002,3,FALSE),"")))</f>
        <v/>
      </c>
      <c r="G254" s="34"/>
    </row>
    <row r="255" spans="1:7">
      <c r="A255" s="69"/>
      <c r="D255" t="str">
        <f>IF($C255="","",IFERROR(LOOKUP(2,1/($C$2:INDEX($C:$C,ROW()-1)=$C255),$E$2:INDEX($E:$E,ROW()-1)),IFERROR(VLOOKUP($C255,'01_Warehouse_Ledger'!$A$2:$C$2002,3,FALSE),"")))</f>
        <v/>
      </c>
      <c r="G255" s="34"/>
    </row>
    <row r="256" spans="1:7">
      <c r="A256" s="69"/>
      <c r="D256" t="str">
        <f>IF($C256="","",IFERROR(LOOKUP(2,1/($C$2:INDEX($C:$C,ROW()-1)=$C256),$E$2:INDEX($E:$E,ROW()-1)),IFERROR(VLOOKUP($C256,'01_Warehouse_Ledger'!$A$2:$C$2002,3,FALSE),"")))</f>
        <v/>
      </c>
      <c r="G256" s="34"/>
    </row>
    <row r="257" spans="1:7">
      <c r="A257" s="69"/>
      <c r="D257" t="str">
        <f>IF($C257="","",IFERROR(LOOKUP(2,1/($C$2:INDEX($C:$C,ROW()-1)=$C257),$E$2:INDEX($E:$E,ROW()-1)),IFERROR(VLOOKUP($C257,'01_Warehouse_Ledger'!$A$2:$C$2002,3,FALSE),"")))</f>
        <v/>
      </c>
      <c r="G257" s="34"/>
    </row>
    <row r="258" spans="1:7">
      <c r="A258" s="69"/>
      <c r="D258" t="str">
        <f>IF($C258="","",IFERROR(LOOKUP(2,1/($C$2:INDEX($C:$C,ROW()-1)=$C258),$E$2:INDEX($E:$E,ROW()-1)),IFERROR(VLOOKUP($C258,'01_Warehouse_Ledger'!$A$2:$C$2002,3,FALSE),"")))</f>
        <v/>
      </c>
      <c r="G258" s="34"/>
    </row>
    <row r="259" spans="1:7">
      <c r="A259" s="69"/>
      <c r="D259" t="str">
        <f>IF($C259="","",IFERROR(LOOKUP(2,1/($C$2:INDEX($C:$C,ROW()-1)=$C259),$E$2:INDEX($E:$E,ROW()-1)),IFERROR(VLOOKUP($C259,'01_Warehouse_Ledger'!$A$2:$C$2002,3,FALSE),"")))</f>
        <v/>
      </c>
      <c r="G259" s="34"/>
    </row>
    <row r="260" spans="1:7">
      <c r="A260" s="69"/>
      <c r="D260" t="str">
        <f>IF($C260="","",IFERROR(LOOKUP(2,1/($C$2:INDEX($C:$C,ROW()-1)=$C260),$E$2:INDEX($E:$E,ROW()-1)),IFERROR(VLOOKUP($C260,'01_Warehouse_Ledger'!$A$2:$C$2002,3,FALSE),"")))</f>
        <v/>
      </c>
      <c r="G260" s="34"/>
    </row>
    <row r="261" spans="1:7">
      <c r="A261" s="69"/>
      <c r="D261" t="str">
        <f>IF($C261="","",IFERROR(LOOKUP(2,1/($C$2:INDEX($C:$C,ROW()-1)=$C261),$E$2:INDEX($E:$E,ROW()-1)),IFERROR(VLOOKUP($C261,'01_Warehouse_Ledger'!$A$2:$C$2002,3,FALSE),"")))</f>
        <v/>
      </c>
      <c r="G261" s="34"/>
    </row>
    <row r="262" spans="1:7">
      <c r="A262" s="69"/>
      <c r="D262" t="str">
        <f>IF($C262="","",IFERROR(LOOKUP(2,1/($C$2:INDEX($C:$C,ROW()-1)=$C262),$E$2:INDEX($E:$E,ROW()-1)),IFERROR(VLOOKUP($C262,'01_Warehouse_Ledger'!$A$2:$C$2002,3,FALSE),"")))</f>
        <v/>
      </c>
      <c r="G262" s="34"/>
    </row>
    <row r="263" spans="1:7">
      <c r="A263" s="69"/>
      <c r="D263" t="str">
        <f>IF($C263="","",IFERROR(LOOKUP(2,1/($C$2:INDEX($C:$C,ROW()-1)=$C263),$E$2:INDEX($E:$E,ROW()-1)),IFERROR(VLOOKUP($C263,'01_Warehouse_Ledger'!$A$2:$C$2002,3,FALSE),"")))</f>
        <v/>
      </c>
      <c r="G263" s="34"/>
    </row>
    <row r="264" spans="1:7">
      <c r="A264" s="69"/>
      <c r="D264" t="str">
        <f>IF($C264="","",IFERROR(LOOKUP(2,1/($C$2:INDEX($C:$C,ROW()-1)=$C264),$E$2:INDEX($E:$E,ROW()-1)),IFERROR(VLOOKUP($C264,'01_Warehouse_Ledger'!$A$2:$C$2002,3,FALSE),"")))</f>
        <v/>
      </c>
      <c r="G264" s="34"/>
    </row>
    <row r="265" spans="1:7">
      <c r="A265" s="69"/>
      <c r="D265" t="str">
        <f>IF($C265="","",IFERROR(LOOKUP(2,1/($C$2:INDEX($C:$C,ROW()-1)=$C265),$E$2:INDEX($E:$E,ROW()-1)),IFERROR(VLOOKUP($C265,'01_Warehouse_Ledger'!$A$2:$C$2002,3,FALSE),"")))</f>
        <v/>
      </c>
      <c r="G265" s="34"/>
    </row>
    <row r="266" spans="1:7">
      <c r="A266" s="69"/>
      <c r="D266" t="str">
        <f>IF($C266="","",IFERROR(LOOKUP(2,1/($C$2:INDEX($C:$C,ROW()-1)=$C266),$E$2:INDEX($E:$E,ROW()-1)),IFERROR(VLOOKUP($C266,'01_Warehouse_Ledger'!$A$2:$C$2002,3,FALSE),"")))</f>
        <v/>
      </c>
      <c r="G266" s="34"/>
    </row>
    <row r="267" spans="1:7">
      <c r="A267" s="69"/>
      <c r="D267" t="str">
        <f>IF($C267="","",IFERROR(LOOKUP(2,1/($C$2:INDEX($C:$C,ROW()-1)=$C267),$E$2:INDEX($E:$E,ROW()-1)),IFERROR(VLOOKUP($C267,'01_Warehouse_Ledger'!$A$2:$C$2002,3,FALSE),"")))</f>
        <v/>
      </c>
      <c r="G267" s="34"/>
    </row>
    <row r="268" spans="1:7">
      <c r="A268" s="69"/>
      <c r="D268" t="str">
        <f>IF($C268="","",IFERROR(LOOKUP(2,1/($C$2:INDEX($C:$C,ROW()-1)=$C268),$E$2:INDEX($E:$E,ROW()-1)),IFERROR(VLOOKUP($C268,'01_Warehouse_Ledger'!$A$2:$C$2002,3,FALSE),"")))</f>
        <v/>
      </c>
      <c r="G268" s="34"/>
    </row>
    <row r="269" spans="1:7">
      <c r="A269" s="69"/>
      <c r="D269" t="str">
        <f>IF($C269="","",IFERROR(LOOKUP(2,1/($C$2:INDEX($C:$C,ROW()-1)=$C269),$E$2:INDEX($E:$E,ROW()-1)),IFERROR(VLOOKUP($C269,'01_Warehouse_Ledger'!$A$2:$C$2002,3,FALSE),"")))</f>
        <v/>
      </c>
      <c r="G269" s="34"/>
    </row>
    <row r="270" spans="1:7">
      <c r="A270" s="69"/>
      <c r="D270" t="str">
        <f>IF($C270="","",IFERROR(LOOKUP(2,1/($C$2:INDEX($C:$C,ROW()-1)=$C270),$E$2:INDEX($E:$E,ROW()-1)),IFERROR(VLOOKUP($C270,'01_Warehouse_Ledger'!$A$2:$C$2002,3,FALSE),"")))</f>
        <v/>
      </c>
      <c r="G270" s="34"/>
    </row>
    <row r="271" spans="1:7">
      <c r="A271" s="69"/>
      <c r="D271" t="str">
        <f>IF($C271="","",IFERROR(LOOKUP(2,1/($C$2:INDEX($C:$C,ROW()-1)=$C271),$E$2:INDEX($E:$E,ROW()-1)),IFERROR(VLOOKUP($C271,'01_Warehouse_Ledger'!$A$2:$C$2002,3,FALSE),"")))</f>
        <v/>
      </c>
      <c r="G271" s="34"/>
    </row>
    <row r="272" spans="1:7">
      <c r="A272" s="69"/>
      <c r="D272" t="str">
        <f>IF($C272="","",IFERROR(LOOKUP(2,1/($C$2:INDEX($C:$C,ROW()-1)=$C272),$E$2:INDEX($E:$E,ROW()-1)),IFERROR(VLOOKUP($C272,'01_Warehouse_Ledger'!$A$2:$C$2002,3,FALSE),"")))</f>
        <v/>
      </c>
      <c r="G272" s="34"/>
    </row>
    <row r="273" spans="1:7">
      <c r="A273" s="69"/>
      <c r="D273" t="str">
        <f>IF($C273="","",IFERROR(LOOKUP(2,1/($C$2:INDEX($C:$C,ROW()-1)=$C273),$E$2:INDEX($E:$E,ROW()-1)),IFERROR(VLOOKUP($C273,'01_Warehouse_Ledger'!$A$2:$C$2002,3,FALSE),"")))</f>
        <v/>
      </c>
      <c r="G273" s="34"/>
    </row>
    <row r="274" spans="1:7">
      <c r="A274" s="69"/>
      <c r="D274" t="str">
        <f>IF($C274="","",IFERROR(LOOKUP(2,1/($C$2:INDEX($C:$C,ROW()-1)=$C274),$E$2:INDEX($E:$E,ROW()-1)),IFERROR(VLOOKUP($C274,'01_Warehouse_Ledger'!$A$2:$C$2002,3,FALSE),"")))</f>
        <v/>
      </c>
      <c r="G274" s="34"/>
    </row>
    <row r="275" spans="1:7">
      <c r="A275" s="69"/>
      <c r="D275" t="str">
        <f>IF($C275="","",IFERROR(LOOKUP(2,1/($C$2:INDEX($C:$C,ROW()-1)=$C275),$E$2:INDEX($E:$E,ROW()-1)),IFERROR(VLOOKUP($C275,'01_Warehouse_Ledger'!$A$2:$C$2002,3,FALSE),"")))</f>
        <v/>
      </c>
      <c r="G275" s="34"/>
    </row>
    <row r="276" spans="1:7">
      <c r="A276" s="69"/>
      <c r="D276" t="str">
        <f>IF($C276="","",IFERROR(LOOKUP(2,1/($C$2:INDEX($C:$C,ROW()-1)=$C276),$E$2:INDEX($E:$E,ROW()-1)),IFERROR(VLOOKUP($C276,'01_Warehouse_Ledger'!$A$2:$C$2002,3,FALSE),"")))</f>
        <v/>
      </c>
      <c r="G276" s="34"/>
    </row>
    <row r="277" spans="1:7">
      <c r="A277" s="69"/>
      <c r="D277" t="str">
        <f>IF($C277="","",IFERROR(LOOKUP(2,1/($C$2:INDEX($C:$C,ROW()-1)=$C277),$E$2:INDEX($E:$E,ROW()-1)),IFERROR(VLOOKUP($C277,'01_Warehouse_Ledger'!$A$2:$C$2002,3,FALSE),"")))</f>
        <v/>
      </c>
      <c r="G277" s="34"/>
    </row>
    <row r="278" spans="1:7">
      <c r="A278" s="69"/>
      <c r="D278" t="str">
        <f>IF($C278="","",IFERROR(LOOKUP(2,1/($C$2:INDEX($C:$C,ROW()-1)=$C278),$E$2:INDEX($E:$E,ROW()-1)),IFERROR(VLOOKUP($C278,'01_Warehouse_Ledger'!$A$2:$C$2002,3,FALSE),"")))</f>
        <v/>
      </c>
      <c r="G278" s="34"/>
    </row>
    <row r="279" spans="1:7">
      <c r="A279" s="69"/>
      <c r="D279" t="str">
        <f>IF($C279="","",IFERROR(LOOKUP(2,1/($C$2:INDEX($C:$C,ROW()-1)=$C279),$E$2:INDEX($E:$E,ROW()-1)),IFERROR(VLOOKUP($C279,'01_Warehouse_Ledger'!$A$2:$C$2002,3,FALSE),"")))</f>
        <v/>
      </c>
      <c r="G279" s="34"/>
    </row>
    <row r="280" spans="1:7">
      <c r="A280" s="69"/>
      <c r="D280" t="str">
        <f>IF($C280="","",IFERROR(LOOKUP(2,1/($C$2:INDEX($C:$C,ROW()-1)=$C280),$E$2:INDEX($E:$E,ROW()-1)),IFERROR(VLOOKUP($C280,'01_Warehouse_Ledger'!$A$2:$C$2002,3,FALSE),"")))</f>
        <v/>
      </c>
      <c r="G280" s="34"/>
    </row>
    <row r="281" spans="1:7">
      <c r="A281" s="69"/>
      <c r="D281" t="str">
        <f>IF($C281="","",IFERROR(LOOKUP(2,1/($C$2:INDEX($C:$C,ROW()-1)=$C281),$E$2:INDEX($E:$E,ROW()-1)),IFERROR(VLOOKUP($C281,'01_Warehouse_Ledger'!$A$2:$C$2002,3,FALSE),"")))</f>
        <v/>
      </c>
      <c r="G281" s="34"/>
    </row>
    <row r="282" spans="1:7">
      <c r="A282" s="69"/>
      <c r="D282" t="str">
        <f>IF($C282="","",IFERROR(LOOKUP(2,1/($C$2:INDEX($C:$C,ROW()-1)=$C282),$E$2:INDEX($E:$E,ROW()-1)),IFERROR(VLOOKUP($C282,'01_Warehouse_Ledger'!$A$2:$C$2002,3,FALSE),"")))</f>
        <v/>
      </c>
      <c r="G282" s="34"/>
    </row>
    <row r="283" spans="1:7">
      <c r="A283" s="69"/>
      <c r="D283" t="str">
        <f>IF($C283="","",IFERROR(LOOKUP(2,1/($C$2:INDEX($C:$C,ROW()-1)=$C283),$E$2:INDEX($E:$E,ROW()-1)),IFERROR(VLOOKUP($C283,'01_Warehouse_Ledger'!$A$2:$C$2002,3,FALSE),"")))</f>
        <v/>
      </c>
      <c r="G283" s="34"/>
    </row>
    <row r="284" spans="1:7">
      <c r="A284" s="69"/>
      <c r="D284" t="str">
        <f>IF($C284="","",IFERROR(LOOKUP(2,1/($C$2:INDEX($C:$C,ROW()-1)=$C284),$E$2:INDEX($E:$E,ROW()-1)),IFERROR(VLOOKUP($C284,'01_Warehouse_Ledger'!$A$2:$C$2002,3,FALSE),"")))</f>
        <v/>
      </c>
      <c r="G284" s="34"/>
    </row>
    <row r="285" spans="1:7">
      <c r="A285" s="69"/>
      <c r="D285" t="str">
        <f>IF($C285="","",IFERROR(LOOKUP(2,1/($C$2:INDEX($C:$C,ROW()-1)=$C285),$E$2:INDEX($E:$E,ROW()-1)),IFERROR(VLOOKUP($C285,'01_Warehouse_Ledger'!$A$2:$C$2002,3,FALSE),"")))</f>
        <v/>
      </c>
      <c r="G285" s="34"/>
    </row>
    <row r="286" spans="1:7">
      <c r="A286" s="69"/>
      <c r="D286" t="str">
        <f>IF($C286="","",IFERROR(LOOKUP(2,1/($C$2:INDEX($C:$C,ROW()-1)=$C286),$E$2:INDEX($E:$E,ROW()-1)),IFERROR(VLOOKUP($C286,'01_Warehouse_Ledger'!$A$2:$C$2002,3,FALSE),"")))</f>
        <v/>
      </c>
      <c r="G286" s="34"/>
    </row>
    <row r="287" spans="1:7">
      <c r="A287" s="69"/>
      <c r="D287" t="str">
        <f>IF($C287="","",IFERROR(LOOKUP(2,1/($C$2:INDEX($C:$C,ROW()-1)=$C287),$E$2:INDEX($E:$E,ROW()-1)),IFERROR(VLOOKUP($C287,'01_Warehouse_Ledger'!$A$2:$C$2002,3,FALSE),"")))</f>
        <v/>
      </c>
      <c r="G287" s="34"/>
    </row>
    <row r="288" spans="1:7">
      <c r="A288" s="69"/>
      <c r="D288" t="str">
        <f>IF($C288="","",IFERROR(LOOKUP(2,1/($C$2:INDEX($C:$C,ROW()-1)=$C288),$E$2:INDEX($E:$E,ROW()-1)),IFERROR(VLOOKUP($C288,'01_Warehouse_Ledger'!$A$2:$C$2002,3,FALSE),"")))</f>
        <v/>
      </c>
      <c r="G288" s="34"/>
    </row>
    <row r="289" spans="1:7">
      <c r="A289" s="69"/>
      <c r="D289" t="str">
        <f>IF($C289="","",IFERROR(LOOKUP(2,1/($C$2:INDEX($C:$C,ROW()-1)=$C289),$E$2:INDEX($E:$E,ROW()-1)),IFERROR(VLOOKUP($C289,'01_Warehouse_Ledger'!$A$2:$C$2002,3,FALSE),"")))</f>
        <v/>
      </c>
      <c r="G289" s="34"/>
    </row>
    <row r="290" spans="1:7">
      <c r="A290" s="69"/>
      <c r="D290" t="str">
        <f>IF($C290="","",IFERROR(LOOKUP(2,1/($C$2:INDEX($C:$C,ROW()-1)=$C290),$E$2:INDEX($E:$E,ROW()-1)),IFERROR(VLOOKUP($C290,'01_Warehouse_Ledger'!$A$2:$C$2002,3,FALSE),"")))</f>
        <v/>
      </c>
      <c r="G290" s="34"/>
    </row>
    <row r="291" spans="1:7">
      <c r="A291" s="69"/>
      <c r="D291" t="str">
        <f>IF($C291="","",IFERROR(LOOKUP(2,1/($C$2:INDEX($C:$C,ROW()-1)=$C291),$E$2:INDEX($E:$E,ROW()-1)),IFERROR(VLOOKUP($C291,'01_Warehouse_Ledger'!$A$2:$C$2002,3,FALSE),"")))</f>
        <v/>
      </c>
      <c r="G291" s="34"/>
    </row>
    <row r="292" spans="1:7">
      <c r="A292" s="69"/>
      <c r="D292" t="str">
        <f>IF($C292="","",IFERROR(LOOKUP(2,1/($C$2:INDEX($C:$C,ROW()-1)=$C292),$E$2:INDEX($E:$E,ROW()-1)),IFERROR(VLOOKUP($C292,'01_Warehouse_Ledger'!$A$2:$C$2002,3,FALSE),"")))</f>
        <v/>
      </c>
      <c r="G292" s="34"/>
    </row>
    <row r="293" spans="1:7">
      <c r="A293" s="69"/>
      <c r="D293" t="str">
        <f>IF($C293="","",IFERROR(LOOKUP(2,1/($C$2:INDEX($C:$C,ROW()-1)=$C293),$E$2:INDEX($E:$E,ROW()-1)),IFERROR(VLOOKUP($C293,'01_Warehouse_Ledger'!$A$2:$C$2002,3,FALSE),"")))</f>
        <v/>
      </c>
      <c r="G293" s="34"/>
    </row>
    <row r="294" spans="1:7">
      <c r="A294" s="69"/>
      <c r="D294" t="str">
        <f>IF($C294="","",IFERROR(LOOKUP(2,1/($C$2:INDEX($C:$C,ROW()-1)=$C294),$E$2:INDEX($E:$E,ROW()-1)),IFERROR(VLOOKUP($C294,'01_Warehouse_Ledger'!$A$2:$C$2002,3,FALSE),"")))</f>
        <v/>
      </c>
      <c r="G294" s="34"/>
    </row>
    <row r="295" spans="1:7">
      <c r="A295" s="69"/>
      <c r="D295" t="str">
        <f>IF($C295="","",IFERROR(LOOKUP(2,1/($C$2:INDEX($C:$C,ROW()-1)=$C295),$E$2:INDEX($E:$E,ROW()-1)),IFERROR(VLOOKUP($C295,'01_Warehouse_Ledger'!$A$2:$C$2002,3,FALSE),"")))</f>
        <v/>
      </c>
      <c r="G295" s="34"/>
    </row>
    <row r="296" spans="1:7">
      <c r="A296" s="69"/>
      <c r="D296" t="str">
        <f>IF($C296="","",IFERROR(LOOKUP(2,1/($C$2:INDEX($C:$C,ROW()-1)=$C296),$E$2:INDEX($E:$E,ROW()-1)),IFERROR(VLOOKUP($C296,'01_Warehouse_Ledger'!$A$2:$C$2002,3,FALSE),"")))</f>
        <v/>
      </c>
      <c r="G296" s="34"/>
    </row>
    <row r="297" spans="1:7">
      <c r="A297" s="69"/>
      <c r="D297" t="str">
        <f>IF($C297="","",IFERROR(LOOKUP(2,1/($C$2:INDEX($C:$C,ROW()-1)=$C297),$E$2:INDEX($E:$E,ROW()-1)),IFERROR(VLOOKUP($C297,'01_Warehouse_Ledger'!$A$2:$C$2002,3,FALSE),"")))</f>
        <v/>
      </c>
      <c r="G297" s="34"/>
    </row>
    <row r="298" spans="1:7">
      <c r="A298" s="69"/>
      <c r="D298" t="str">
        <f>IF($C298="","",IFERROR(LOOKUP(2,1/($C$2:INDEX($C:$C,ROW()-1)=$C298),$E$2:INDEX($E:$E,ROW()-1)),IFERROR(VLOOKUP($C298,'01_Warehouse_Ledger'!$A$2:$C$2002,3,FALSE),"")))</f>
        <v/>
      </c>
      <c r="G298" s="34"/>
    </row>
    <row r="299" spans="1:7">
      <c r="A299" s="69"/>
      <c r="D299" t="str">
        <f>IF($C299="","",IFERROR(LOOKUP(2,1/($C$2:INDEX($C:$C,ROW()-1)=$C299),$E$2:INDEX($E:$E,ROW()-1)),IFERROR(VLOOKUP($C299,'01_Warehouse_Ledger'!$A$2:$C$2002,3,FALSE),"")))</f>
        <v/>
      </c>
      <c r="G299" s="34"/>
    </row>
    <row r="300" spans="1:7">
      <c r="A300" s="69"/>
      <c r="D300" t="str">
        <f>IF($C300="","",IFERROR(LOOKUP(2,1/($C$2:INDEX($C:$C,ROW()-1)=$C300),$E$2:INDEX($E:$E,ROW()-1)),IFERROR(VLOOKUP($C300,'01_Warehouse_Ledger'!$A$2:$C$2002,3,FALSE),"")))</f>
        <v/>
      </c>
      <c r="G300" s="34"/>
    </row>
    <row r="301" spans="1:7">
      <c r="A301" s="69"/>
      <c r="D301" t="str">
        <f>IF($C301="","",IFERROR(LOOKUP(2,1/($C$2:INDEX($C:$C,ROW()-1)=$C301),$E$2:INDEX($E:$E,ROW()-1)),IFERROR(VLOOKUP($C301,'01_Warehouse_Ledger'!$A$2:$C$2002,3,FALSE),"")))</f>
        <v/>
      </c>
      <c r="G301" s="34"/>
    </row>
    <row r="302" spans="1:7">
      <c r="A302" s="69"/>
      <c r="D302" t="str">
        <f>IF($C302="","",IFERROR(LOOKUP(2,1/($C$2:INDEX($C:$C,ROW()-1)=$C302),$E$2:INDEX($E:$E,ROW()-1)),IFERROR(VLOOKUP($C302,'01_Warehouse_Ledger'!$A$2:$C$2002,3,FALSE),"")))</f>
        <v/>
      </c>
      <c r="G302" s="34"/>
    </row>
    <row r="303" spans="1:7">
      <c r="A303" s="69"/>
      <c r="D303" t="str">
        <f>IF($C303="","",IFERROR(LOOKUP(2,1/($C$2:INDEX($C:$C,ROW()-1)=$C303),$E$2:INDEX($E:$E,ROW()-1)),IFERROR(VLOOKUP($C303,'01_Warehouse_Ledger'!$A$2:$C$2002,3,FALSE),"")))</f>
        <v/>
      </c>
      <c r="G303" s="34"/>
    </row>
    <row r="304" spans="1:7">
      <c r="A304" s="69"/>
      <c r="D304" t="str">
        <f>IF($C304="","",IFERROR(LOOKUP(2,1/($C$2:INDEX($C:$C,ROW()-1)=$C304),$E$2:INDEX($E:$E,ROW()-1)),IFERROR(VLOOKUP($C304,'01_Warehouse_Ledger'!$A$2:$C$2002,3,FALSE),"")))</f>
        <v/>
      </c>
      <c r="G304" s="34"/>
    </row>
    <row r="305" spans="1:7">
      <c r="A305" s="69"/>
      <c r="D305" t="str">
        <f>IF($C305="","",IFERROR(LOOKUP(2,1/($C$2:INDEX($C:$C,ROW()-1)=$C305),$E$2:INDEX($E:$E,ROW()-1)),IFERROR(VLOOKUP($C305,'01_Warehouse_Ledger'!$A$2:$C$2002,3,FALSE),"")))</f>
        <v/>
      </c>
      <c r="G305" s="34"/>
    </row>
    <row r="306" spans="1:7">
      <c r="A306" s="69"/>
      <c r="D306" t="str">
        <f>IF($C306="","",IFERROR(LOOKUP(2,1/($C$2:INDEX($C:$C,ROW()-1)=$C306),$E$2:INDEX($E:$E,ROW()-1)),IFERROR(VLOOKUP($C306,'01_Warehouse_Ledger'!$A$2:$C$2002,3,FALSE),"")))</f>
        <v/>
      </c>
      <c r="G306" s="34"/>
    </row>
    <row r="307" spans="1:7">
      <c r="A307" s="69"/>
      <c r="D307" t="str">
        <f>IF($C307="","",IFERROR(LOOKUP(2,1/($C$2:INDEX($C:$C,ROW()-1)=$C307),$E$2:INDEX($E:$E,ROW()-1)),IFERROR(VLOOKUP($C307,'01_Warehouse_Ledger'!$A$2:$C$2002,3,FALSE),"")))</f>
        <v/>
      </c>
      <c r="G307" s="34"/>
    </row>
    <row r="308" spans="1:7">
      <c r="A308" s="69"/>
      <c r="D308" t="str">
        <f>IF($C308="","",IFERROR(LOOKUP(2,1/($C$2:INDEX($C:$C,ROW()-1)=$C308),$E$2:INDEX($E:$E,ROW()-1)),IFERROR(VLOOKUP($C308,'01_Warehouse_Ledger'!$A$2:$C$2002,3,FALSE),"")))</f>
        <v/>
      </c>
      <c r="G308" s="34"/>
    </row>
    <row r="309" spans="1:7">
      <c r="A309" s="69"/>
      <c r="D309" t="str">
        <f>IF($C309="","",IFERROR(LOOKUP(2,1/($C$2:INDEX($C:$C,ROW()-1)=$C309),$E$2:INDEX($E:$E,ROW()-1)),IFERROR(VLOOKUP($C309,'01_Warehouse_Ledger'!$A$2:$C$2002,3,FALSE),"")))</f>
        <v/>
      </c>
      <c r="G309" s="34"/>
    </row>
    <row r="310" spans="1:7">
      <c r="A310" s="69"/>
      <c r="D310" t="str">
        <f>IF($C310="","",IFERROR(LOOKUP(2,1/($C$2:INDEX($C:$C,ROW()-1)=$C310),$E$2:INDEX($E:$E,ROW()-1)),IFERROR(VLOOKUP($C310,'01_Warehouse_Ledger'!$A$2:$C$2002,3,FALSE),"")))</f>
        <v/>
      </c>
      <c r="G310" s="34"/>
    </row>
    <row r="311" spans="1:7">
      <c r="A311" s="69"/>
      <c r="D311" t="str">
        <f>IF($C311="","",IFERROR(LOOKUP(2,1/($C$2:INDEX($C:$C,ROW()-1)=$C311),$E$2:INDEX($E:$E,ROW()-1)),IFERROR(VLOOKUP($C311,'01_Warehouse_Ledger'!$A$2:$C$2002,3,FALSE),"")))</f>
        <v/>
      </c>
      <c r="G311" s="34"/>
    </row>
    <row r="312" spans="1:7">
      <c r="A312" s="69"/>
      <c r="D312" t="str">
        <f>IF($C312="","",IFERROR(LOOKUP(2,1/($C$2:INDEX($C:$C,ROW()-1)=$C312),$E$2:INDEX($E:$E,ROW()-1)),IFERROR(VLOOKUP($C312,'01_Warehouse_Ledger'!$A$2:$C$2002,3,FALSE),"")))</f>
        <v/>
      </c>
      <c r="G312" s="34"/>
    </row>
    <row r="313" spans="1:7">
      <c r="A313" s="69"/>
      <c r="D313" t="str">
        <f>IF($C313="","",IFERROR(LOOKUP(2,1/($C$2:INDEX($C:$C,ROW()-1)=$C313),$E$2:INDEX($E:$E,ROW()-1)),IFERROR(VLOOKUP($C313,'01_Warehouse_Ledger'!$A$2:$C$2002,3,FALSE),"")))</f>
        <v/>
      </c>
      <c r="G313" s="34"/>
    </row>
    <row r="314" spans="1:7">
      <c r="A314" s="69"/>
      <c r="D314" t="str">
        <f>IF($C314="","",IFERROR(LOOKUP(2,1/($C$2:INDEX($C:$C,ROW()-1)=$C314),$E$2:INDEX($E:$E,ROW()-1)),IFERROR(VLOOKUP($C314,'01_Warehouse_Ledger'!$A$2:$C$2002,3,FALSE),"")))</f>
        <v/>
      </c>
      <c r="G314" s="34"/>
    </row>
    <row r="315" spans="1:7">
      <c r="A315" s="69"/>
      <c r="D315" t="str">
        <f>IF($C315="","",IFERROR(LOOKUP(2,1/($C$2:INDEX($C:$C,ROW()-1)=$C315),$E$2:INDEX($E:$E,ROW()-1)),IFERROR(VLOOKUP($C315,'01_Warehouse_Ledger'!$A$2:$C$2002,3,FALSE),"")))</f>
        <v/>
      </c>
      <c r="G315" s="34"/>
    </row>
    <row r="316" spans="1:7">
      <c r="A316" s="69"/>
      <c r="D316" t="str">
        <f>IF($C316="","",IFERROR(LOOKUP(2,1/($C$2:INDEX($C:$C,ROW()-1)=$C316),$E$2:INDEX($E:$E,ROW()-1)),IFERROR(VLOOKUP($C316,'01_Warehouse_Ledger'!$A$2:$C$2002,3,FALSE),"")))</f>
        <v/>
      </c>
      <c r="G316" s="34"/>
    </row>
    <row r="317" spans="1:7">
      <c r="A317" s="69"/>
      <c r="D317" t="str">
        <f>IF($C317="","",IFERROR(LOOKUP(2,1/($C$2:INDEX($C:$C,ROW()-1)=$C317),$E$2:INDEX($E:$E,ROW()-1)),IFERROR(VLOOKUP($C317,'01_Warehouse_Ledger'!$A$2:$C$2002,3,FALSE),"")))</f>
        <v/>
      </c>
      <c r="G317" s="34"/>
    </row>
    <row r="318" spans="1:7">
      <c r="A318" s="69"/>
      <c r="D318" t="str">
        <f>IF($C318="","",IFERROR(LOOKUP(2,1/($C$2:INDEX($C:$C,ROW()-1)=$C318),$E$2:INDEX($E:$E,ROW()-1)),IFERROR(VLOOKUP($C318,'01_Warehouse_Ledger'!$A$2:$C$2002,3,FALSE),"")))</f>
        <v/>
      </c>
      <c r="G318" s="34"/>
    </row>
    <row r="319" spans="1:7">
      <c r="A319" s="69"/>
      <c r="D319" t="str">
        <f>IF($C319="","",IFERROR(LOOKUP(2,1/($C$2:INDEX($C:$C,ROW()-1)=$C319),$E$2:INDEX($E:$E,ROW()-1)),IFERROR(VLOOKUP($C319,'01_Warehouse_Ledger'!$A$2:$C$2002,3,FALSE),"")))</f>
        <v/>
      </c>
      <c r="G319" s="34"/>
    </row>
    <row r="320" spans="1:7">
      <c r="A320" s="69"/>
      <c r="D320" t="str">
        <f>IF($C320="","",IFERROR(LOOKUP(2,1/($C$2:INDEX($C:$C,ROW()-1)=$C320),$E$2:INDEX($E:$E,ROW()-1)),IFERROR(VLOOKUP($C320,'01_Warehouse_Ledger'!$A$2:$C$2002,3,FALSE),"")))</f>
        <v/>
      </c>
      <c r="G320" s="34"/>
    </row>
    <row r="321" spans="1:7">
      <c r="A321" s="69"/>
      <c r="D321" t="str">
        <f>IF($C321="","",IFERROR(LOOKUP(2,1/($C$2:INDEX($C:$C,ROW()-1)=$C321),$E$2:INDEX($E:$E,ROW()-1)),IFERROR(VLOOKUP($C321,'01_Warehouse_Ledger'!$A$2:$C$2002,3,FALSE),"")))</f>
        <v/>
      </c>
      <c r="G321" s="34"/>
    </row>
    <row r="322" spans="1:7">
      <c r="A322" s="69"/>
      <c r="D322" t="str">
        <f>IF($C322="","",IFERROR(LOOKUP(2,1/($C$2:INDEX($C:$C,ROW()-1)=$C322),$E$2:INDEX($E:$E,ROW()-1)),IFERROR(VLOOKUP($C322,'01_Warehouse_Ledger'!$A$2:$C$2002,3,FALSE),"")))</f>
        <v/>
      </c>
      <c r="G322" s="34"/>
    </row>
    <row r="323" spans="1:7">
      <c r="A323" s="69"/>
      <c r="D323" t="str">
        <f>IF($C323="","",IFERROR(LOOKUP(2,1/($C$2:INDEX($C:$C,ROW()-1)=$C323),$E$2:INDEX($E:$E,ROW()-1)),IFERROR(VLOOKUP($C323,'01_Warehouse_Ledger'!$A$2:$C$2002,3,FALSE),"")))</f>
        <v/>
      </c>
      <c r="G323" s="34"/>
    </row>
    <row r="324" spans="1:7">
      <c r="A324" s="69"/>
      <c r="D324" t="str">
        <f>IF($C324="","",IFERROR(LOOKUP(2,1/($C$2:INDEX($C:$C,ROW()-1)=$C324),$E$2:INDEX($E:$E,ROW()-1)),IFERROR(VLOOKUP($C324,'01_Warehouse_Ledger'!$A$2:$C$2002,3,FALSE),"")))</f>
        <v/>
      </c>
      <c r="G324" s="34"/>
    </row>
    <row r="325" spans="1:7">
      <c r="A325" s="69"/>
      <c r="D325" t="str">
        <f>IF($C325="","",IFERROR(LOOKUP(2,1/($C$2:INDEX($C:$C,ROW()-1)=$C325),$E$2:INDEX($E:$E,ROW()-1)),IFERROR(VLOOKUP($C325,'01_Warehouse_Ledger'!$A$2:$C$2002,3,FALSE),"")))</f>
        <v/>
      </c>
      <c r="G325" s="34"/>
    </row>
    <row r="326" spans="1:7">
      <c r="A326" s="69"/>
      <c r="D326" t="str">
        <f>IF($C326="","",IFERROR(LOOKUP(2,1/($C$2:INDEX($C:$C,ROW()-1)=$C326),$E$2:INDEX($E:$E,ROW()-1)),IFERROR(VLOOKUP($C326,'01_Warehouse_Ledger'!$A$2:$C$2002,3,FALSE),"")))</f>
        <v/>
      </c>
      <c r="G326" s="34"/>
    </row>
    <row r="327" spans="1:7">
      <c r="A327" s="69"/>
      <c r="D327" t="str">
        <f>IF($C327="","",IFERROR(LOOKUP(2,1/($C$2:INDEX($C:$C,ROW()-1)=$C327),$E$2:INDEX($E:$E,ROW()-1)),IFERROR(VLOOKUP($C327,'01_Warehouse_Ledger'!$A$2:$C$2002,3,FALSE),"")))</f>
        <v/>
      </c>
      <c r="G327" s="34"/>
    </row>
    <row r="328" spans="1:7">
      <c r="A328" s="69"/>
      <c r="D328" t="str">
        <f>IF($C328="","",IFERROR(LOOKUP(2,1/($C$2:INDEX($C:$C,ROW()-1)=$C328),$E$2:INDEX($E:$E,ROW()-1)),IFERROR(VLOOKUP($C328,'01_Warehouse_Ledger'!$A$2:$C$2002,3,FALSE),"")))</f>
        <v/>
      </c>
      <c r="G328" s="34"/>
    </row>
    <row r="329" spans="1:7">
      <c r="A329" s="69"/>
      <c r="D329" t="str">
        <f>IF($C329="","",IFERROR(LOOKUP(2,1/($C$2:INDEX($C:$C,ROW()-1)=$C329),$E$2:INDEX($E:$E,ROW()-1)),IFERROR(VLOOKUP($C329,'01_Warehouse_Ledger'!$A$2:$C$2002,3,FALSE),"")))</f>
        <v/>
      </c>
      <c r="G329" s="34"/>
    </row>
    <row r="330" spans="1:7">
      <c r="A330" s="69"/>
      <c r="D330" t="str">
        <f>IF($C330="","",IFERROR(LOOKUP(2,1/($C$2:INDEX($C:$C,ROW()-1)=$C330),$E$2:INDEX($E:$E,ROW()-1)),IFERROR(VLOOKUP($C330,'01_Warehouse_Ledger'!$A$2:$C$2002,3,FALSE),"")))</f>
        <v/>
      </c>
      <c r="G330" s="34"/>
    </row>
    <row r="331" spans="1:7">
      <c r="A331" s="69"/>
      <c r="D331" t="str">
        <f>IF($C331="","",IFERROR(LOOKUP(2,1/($C$2:INDEX($C:$C,ROW()-1)=$C331),$E$2:INDEX($E:$E,ROW()-1)),IFERROR(VLOOKUP($C331,'01_Warehouse_Ledger'!$A$2:$C$2002,3,FALSE),"")))</f>
        <v/>
      </c>
      <c r="G331" s="34"/>
    </row>
    <row r="332" spans="1:7">
      <c r="A332" s="69"/>
      <c r="D332" t="str">
        <f>IF($C332="","",IFERROR(LOOKUP(2,1/($C$2:INDEX($C:$C,ROW()-1)=$C332),$E$2:INDEX($E:$E,ROW()-1)),IFERROR(VLOOKUP($C332,'01_Warehouse_Ledger'!$A$2:$C$2002,3,FALSE),"")))</f>
        <v/>
      </c>
      <c r="G332" s="34"/>
    </row>
    <row r="333" spans="1:7">
      <c r="A333" s="69"/>
      <c r="D333" t="str">
        <f>IF($C333="","",IFERROR(LOOKUP(2,1/($C$2:INDEX($C:$C,ROW()-1)=$C333),$E$2:INDEX($E:$E,ROW()-1)),IFERROR(VLOOKUP($C333,'01_Warehouse_Ledger'!$A$2:$C$2002,3,FALSE),"")))</f>
        <v/>
      </c>
      <c r="G333" s="34"/>
    </row>
    <row r="334" spans="1:7">
      <c r="A334" s="69"/>
      <c r="D334" t="str">
        <f>IF($C334="","",IFERROR(LOOKUP(2,1/($C$2:INDEX($C:$C,ROW()-1)=$C334),$E$2:INDEX($E:$E,ROW()-1)),IFERROR(VLOOKUP($C334,'01_Warehouse_Ledger'!$A$2:$C$2002,3,FALSE),"")))</f>
        <v/>
      </c>
      <c r="G334" s="34"/>
    </row>
    <row r="335" spans="1:7">
      <c r="A335" s="69"/>
      <c r="D335" t="str">
        <f>IF($C335="","",IFERROR(LOOKUP(2,1/($C$2:INDEX($C:$C,ROW()-1)=$C335),$E$2:INDEX($E:$E,ROW()-1)),IFERROR(VLOOKUP($C335,'01_Warehouse_Ledger'!$A$2:$C$2002,3,FALSE),"")))</f>
        <v/>
      </c>
      <c r="G335" s="34"/>
    </row>
    <row r="336" spans="1:7">
      <c r="A336" s="69"/>
      <c r="D336" t="str">
        <f>IF($C336="","",IFERROR(LOOKUP(2,1/($C$2:INDEX($C:$C,ROW()-1)=$C336),$E$2:INDEX($E:$E,ROW()-1)),IFERROR(VLOOKUP($C336,'01_Warehouse_Ledger'!$A$2:$C$2002,3,FALSE),"")))</f>
        <v/>
      </c>
      <c r="G336" s="34"/>
    </row>
    <row r="337" spans="1:7">
      <c r="A337" s="69"/>
      <c r="D337" t="str">
        <f>IF($C337="","",IFERROR(LOOKUP(2,1/($C$2:INDEX($C:$C,ROW()-1)=$C337),$E$2:INDEX($E:$E,ROW()-1)),IFERROR(VLOOKUP($C337,'01_Warehouse_Ledger'!$A$2:$C$2002,3,FALSE),"")))</f>
        <v/>
      </c>
      <c r="G337" s="34"/>
    </row>
    <row r="338" spans="1:7">
      <c r="A338" s="69"/>
      <c r="D338" t="str">
        <f>IF($C338="","",IFERROR(LOOKUP(2,1/($C$2:INDEX($C:$C,ROW()-1)=$C338),$E$2:INDEX($E:$E,ROW()-1)),IFERROR(VLOOKUP($C338,'01_Warehouse_Ledger'!$A$2:$C$2002,3,FALSE),"")))</f>
        <v/>
      </c>
      <c r="G338" s="34"/>
    </row>
    <row r="339" spans="1:7">
      <c r="A339" s="69"/>
      <c r="D339" t="str">
        <f>IF($C339="","",IFERROR(LOOKUP(2,1/($C$2:INDEX($C:$C,ROW()-1)=$C339),$E$2:INDEX($E:$E,ROW()-1)),IFERROR(VLOOKUP($C339,'01_Warehouse_Ledger'!$A$2:$C$2002,3,FALSE),"")))</f>
        <v/>
      </c>
      <c r="G339" s="34"/>
    </row>
    <row r="340" spans="1:7">
      <c r="A340" s="69"/>
      <c r="D340" t="str">
        <f>IF($C340="","",IFERROR(LOOKUP(2,1/($C$2:INDEX($C:$C,ROW()-1)=$C340),$E$2:INDEX($E:$E,ROW()-1)),IFERROR(VLOOKUP($C340,'01_Warehouse_Ledger'!$A$2:$C$2002,3,FALSE),"")))</f>
        <v/>
      </c>
      <c r="G340" s="34"/>
    </row>
    <row r="341" spans="1:7">
      <c r="A341" s="69"/>
      <c r="D341" t="str">
        <f>IF($C341="","",IFERROR(LOOKUP(2,1/($C$2:INDEX($C:$C,ROW()-1)=$C341),$E$2:INDEX($E:$E,ROW()-1)),IFERROR(VLOOKUP($C341,'01_Warehouse_Ledger'!$A$2:$C$2002,3,FALSE),"")))</f>
        <v/>
      </c>
      <c r="G341" s="34"/>
    </row>
    <row r="342" spans="1:7">
      <c r="A342" s="69"/>
      <c r="D342" t="str">
        <f>IF($C342="","",IFERROR(LOOKUP(2,1/($C$2:INDEX($C:$C,ROW()-1)=$C342),$E$2:INDEX($E:$E,ROW()-1)),IFERROR(VLOOKUP($C342,'01_Warehouse_Ledger'!$A$2:$C$2002,3,FALSE),"")))</f>
        <v/>
      </c>
      <c r="G342" s="34"/>
    </row>
    <row r="343" spans="1:7">
      <c r="A343" s="69"/>
      <c r="D343" t="str">
        <f>IF($C343="","",IFERROR(LOOKUP(2,1/($C$2:INDEX($C:$C,ROW()-1)=$C343),$E$2:INDEX($E:$E,ROW()-1)),IFERROR(VLOOKUP($C343,'01_Warehouse_Ledger'!$A$2:$C$2002,3,FALSE),"")))</f>
        <v/>
      </c>
      <c r="G343" s="34"/>
    </row>
    <row r="344" spans="1:7">
      <c r="A344" s="69"/>
      <c r="D344" t="str">
        <f>IF($C344="","",IFERROR(LOOKUP(2,1/($C$2:INDEX($C:$C,ROW()-1)=$C344),$E$2:INDEX($E:$E,ROW()-1)),IFERROR(VLOOKUP($C344,'01_Warehouse_Ledger'!$A$2:$C$2002,3,FALSE),"")))</f>
        <v/>
      </c>
      <c r="G344" s="34"/>
    </row>
    <row r="345" spans="1:7">
      <c r="A345" s="69"/>
      <c r="D345" t="str">
        <f>IF($C345="","",IFERROR(LOOKUP(2,1/($C$2:INDEX($C:$C,ROW()-1)=$C345),$E$2:INDEX($E:$E,ROW()-1)),IFERROR(VLOOKUP($C345,'01_Warehouse_Ledger'!$A$2:$C$2002,3,FALSE),"")))</f>
        <v/>
      </c>
      <c r="G345" s="34"/>
    </row>
    <row r="346" spans="1:7">
      <c r="A346" s="69"/>
      <c r="D346" t="str">
        <f>IF($C346="","",IFERROR(LOOKUP(2,1/($C$2:INDEX($C:$C,ROW()-1)=$C346),$E$2:INDEX($E:$E,ROW()-1)),IFERROR(VLOOKUP($C346,'01_Warehouse_Ledger'!$A$2:$C$2002,3,FALSE),"")))</f>
        <v/>
      </c>
      <c r="G346" s="34"/>
    </row>
    <row r="347" spans="1:7">
      <c r="A347" s="69"/>
      <c r="D347" t="str">
        <f>IF($C347="","",IFERROR(LOOKUP(2,1/($C$2:INDEX($C:$C,ROW()-1)=$C347),$E$2:INDEX($E:$E,ROW()-1)),IFERROR(VLOOKUP($C347,'01_Warehouse_Ledger'!$A$2:$C$2002,3,FALSE),"")))</f>
        <v/>
      </c>
      <c r="G347" s="34"/>
    </row>
    <row r="348" spans="1:7">
      <c r="A348" s="69"/>
      <c r="D348" t="str">
        <f>IF($C348="","",IFERROR(LOOKUP(2,1/($C$2:INDEX($C:$C,ROW()-1)=$C348),$E$2:INDEX($E:$E,ROW()-1)),IFERROR(VLOOKUP($C348,'01_Warehouse_Ledger'!$A$2:$C$2002,3,FALSE),"")))</f>
        <v/>
      </c>
      <c r="G348" s="34"/>
    </row>
    <row r="349" spans="1:7">
      <c r="A349" s="69"/>
      <c r="D349" t="str">
        <f>IF($C349="","",IFERROR(LOOKUP(2,1/($C$2:INDEX($C:$C,ROW()-1)=$C349),$E$2:INDEX($E:$E,ROW()-1)),IFERROR(VLOOKUP($C349,'01_Warehouse_Ledger'!$A$2:$C$2002,3,FALSE),"")))</f>
        <v/>
      </c>
      <c r="G349" s="34"/>
    </row>
    <row r="350" spans="1:7">
      <c r="A350" s="69"/>
      <c r="D350" t="str">
        <f>IF($C350="","",IFERROR(LOOKUP(2,1/($C$2:INDEX($C:$C,ROW()-1)=$C350),$E$2:INDEX($E:$E,ROW()-1)),IFERROR(VLOOKUP($C350,'01_Warehouse_Ledger'!$A$2:$C$2002,3,FALSE),"")))</f>
        <v/>
      </c>
      <c r="G350" s="34"/>
    </row>
    <row r="351" spans="1:7">
      <c r="A351" s="69"/>
      <c r="D351" t="str">
        <f>IF($C351="","",IFERROR(LOOKUP(2,1/($C$2:INDEX($C:$C,ROW()-1)=$C351),$E$2:INDEX($E:$E,ROW()-1)),IFERROR(VLOOKUP($C351,'01_Warehouse_Ledger'!$A$2:$C$2002,3,FALSE),"")))</f>
        <v/>
      </c>
      <c r="G351" s="34"/>
    </row>
    <row r="352" spans="1:7">
      <c r="A352" s="69"/>
      <c r="D352" t="str">
        <f>IF($C352="","",IFERROR(LOOKUP(2,1/($C$2:INDEX($C:$C,ROW()-1)=$C352),$E$2:INDEX($E:$E,ROW()-1)),IFERROR(VLOOKUP($C352,'01_Warehouse_Ledger'!$A$2:$C$2002,3,FALSE),"")))</f>
        <v/>
      </c>
      <c r="G352" s="34"/>
    </row>
    <row r="353" spans="1:7">
      <c r="A353" s="69"/>
      <c r="D353" t="str">
        <f>IF($C353="","",IFERROR(LOOKUP(2,1/($C$2:INDEX($C:$C,ROW()-1)=$C353),$E$2:INDEX($E:$E,ROW()-1)),IFERROR(VLOOKUP($C353,'01_Warehouse_Ledger'!$A$2:$C$2002,3,FALSE),"")))</f>
        <v/>
      </c>
      <c r="G353" s="34"/>
    </row>
    <row r="354" spans="1:7">
      <c r="A354" s="69"/>
      <c r="D354" t="str">
        <f>IF($C354="","",IFERROR(LOOKUP(2,1/($C$2:INDEX($C:$C,ROW()-1)=$C354),$E$2:INDEX($E:$E,ROW()-1)),IFERROR(VLOOKUP($C354,'01_Warehouse_Ledger'!$A$2:$C$2002,3,FALSE),"")))</f>
        <v/>
      </c>
      <c r="G354" s="34"/>
    </row>
    <row r="355" spans="1:7">
      <c r="A355" s="69"/>
      <c r="D355" t="str">
        <f>IF($C355="","",IFERROR(LOOKUP(2,1/($C$2:INDEX($C:$C,ROW()-1)=$C355),$E$2:INDEX($E:$E,ROW()-1)),IFERROR(VLOOKUP($C355,'01_Warehouse_Ledger'!$A$2:$C$2002,3,FALSE),"")))</f>
        <v/>
      </c>
      <c r="G355" s="34"/>
    </row>
    <row r="356" spans="1:7">
      <c r="A356" s="69"/>
      <c r="D356" t="str">
        <f>IF($C356="","",IFERROR(LOOKUP(2,1/($C$2:INDEX($C:$C,ROW()-1)=$C356),$E$2:INDEX($E:$E,ROW()-1)),IFERROR(VLOOKUP($C356,'01_Warehouse_Ledger'!$A$2:$C$2002,3,FALSE),"")))</f>
        <v/>
      </c>
      <c r="G356" s="34"/>
    </row>
    <row r="357" spans="1:7">
      <c r="A357" s="69"/>
      <c r="D357" t="str">
        <f>IF($C357="","",IFERROR(LOOKUP(2,1/($C$2:INDEX($C:$C,ROW()-1)=$C357),$E$2:INDEX($E:$E,ROW()-1)),IFERROR(VLOOKUP($C357,'01_Warehouse_Ledger'!$A$2:$C$2002,3,FALSE),"")))</f>
        <v/>
      </c>
      <c r="G357" s="34"/>
    </row>
    <row r="358" spans="1:7">
      <c r="A358" s="69"/>
      <c r="D358" t="str">
        <f>IF($C358="","",IFERROR(LOOKUP(2,1/($C$2:INDEX($C:$C,ROW()-1)=$C358),$E$2:INDEX($E:$E,ROW()-1)),IFERROR(VLOOKUP($C358,'01_Warehouse_Ledger'!$A$2:$C$2002,3,FALSE),"")))</f>
        <v/>
      </c>
      <c r="G358" s="34"/>
    </row>
    <row r="359" spans="1:7">
      <c r="A359" s="69"/>
      <c r="D359" t="str">
        <f>IF($C359="","",IFERROR(LOOKUP(2,1/($C$2:INDEX($C:$C,ROW()-1)=$C359),$E$2:INDEX($E:$E,ROW()-1)),IFERROR(VLOOKUP($C359,'01_Warehouse_Ledger'!$A$2:$C$2002,3,FALSE),"")))</f>
        <v/>
      </c>
      <c r="G359" s="34"/>
    </row>
    <row r="360" spans="1:7">
      <c r="A360" s="69"/>
      <c r="D360" t="str">
        <f>IF($C360="","",IFERROR(LOOKUP(2,1/($C$2:INDEX($C:$C,ROW()-1)=$C360),$E$2:INDEX($E:$E,ROW()-1)),IFERROR(VLOOKUP($C360,'01_Warehouse_Ledger'!$A$2:$C$2002,3,FALSE),"")))</f>
        <v/>
      </c>
      <c r="G360" s="34"/>
    </row>
    <row r="361" spans="1:7">
      <c r="A361" s="69"/>
      <c r="D361" t="str">
        <f>IF($C361="","",IFERROR(LOOKUP(2,1/($C$2:INDEX($C:$C,ROW()-1)=$C361),$E$2:INDEX($E:$E,ROW()-1)),IFERROR(VLOOKUP($C361,'01_Warehouse_Ledger'!$A$2:$C$2002,3,FALSE),"")))</f>
        <v/>
      </c>
      <c r="G361" s="34"/>
    </row>
    <row r="362" spans="1:7">
      <c r="A362" s="69"/>
      <c r="D362" t="str">
        <f>IF($C362="","",IFERROR(LOOKUP(2,1/($C$2:INDEX($C:$C,ROW()-1)=$C362),$E$2:INDEX($E:$E,ROW()-1)),IFERROR(VLOOKUP($C362,'01_Warehouse_Ledger'!$A$2:$C$2002,3,FALSE),"")))</f>
        <v/>
      </c>
      <c r="G362" s="34"/>
    </row>
    <row r="363" spans="1:7">
      <c r="A363" s="69"/>
      <c r="D363" t="str">
        <f>IF($C363="","",IFERROR(LOOKUP(2,1/($C$2:INDEX($C:$C,ROW()-1)=$C363),$E$2:INDEX($E:$E,ROW()-1)),IFERROR(VLOOKUP($C363,'01_Warehouse_Ledger'!$A$2:$C$2002,3,FALSE),"")))</f>
        <v/>
      </c>
      <c r="G363" s="34"/>
    </row>
    <row r="364" spans="1:7">
      <c r="A364" s="69"/>
      <c r="D364" t="str">
        <f>IF($C364="","",IFERROR(LOOKUP(2,1/($C$2:INDEX($C:$C,ROW()-1)=$C364),$E$2:INDEX($E:$E,ROW()-1)),IFERROR(VLOOKUP($C364,'01_Warehouse_Ledger'!$A$2:$C$2002,3,FALSE),"")))</f>
        <v/>
      </c>
      <c r="G364" s="34"/>
    </row>
    <row r="365" spans="1:7">
      <c r="A365" s="69"/>
      <c r="D365" t="str">
        <f>IF($C365="","",IFERROR(LOOKUP(2,1/($C$2:INDEX($C:$C,ROW()-1)=$C365),$E$2:INDEX($E:$E,ROW()-1)),IFERROR(VLOOKUP($C365,'01_Warehouse_Ledger'!$A$2:$C$2002,3,FALSE),"")))</f>
        <v/>
      </c>
      <c r="G365" s="34"/>
    </row>
    <row r="366" spans="1:7">
      <c r="A366" s="69"/>
      <c r="D366" t="str">
        <f>IF($C366="","",IFERROR(LOOKUP(2,1/($C$2:INDEX($C:$C,ROW()-1)=$C366),$E$2:INDEX($E:$E,ROW()-1)),IFERROR(VLOOKUP($C366,'01_Warehouse_Ledger'!$A$2:$C$2002,3,FALSE),"")))</f>
        <v/>
      </c>
      <c r="G366" s="34"/>
    </row>
    <row r="367" spans="1:7">
      <c r="A367" s="69"/>
      <c r="D367" t="str">
        <f>IF($C367="","",IFERROR(LOOKUP(2,1/($C$2:INDEX($C:$C,ROW()-1)=$C367),$E$2:INDEX($E:$E,ROW()-1)),IFERROR(VLOOKUP($C367,'01_Warehouse_Ledger'!$A$2:$C$2002,3,FALSE),"")))</f>
        <v/>
      </c>
      <c r="G367" s="34"/>
    </row>
    <row r="368" spans="1:7">
      <c r="A368" s="69"/>
      <c r="D368" t="str">
        <f>IF($C368="","",IFERROR(LOOKUP(2,1/($C$2:INDEX($C:$C,ROW()-1)=$C368),$E$2:INDEX($E:$E,ROW()-1)),IFERROR(VLOOKUP($C368,'01_Warehouse_Ledger'!$A$2:$C$2002,3,FALSE),"")))</f>
        <v/>
      </c>
      <c r="G368" s="34"/>
    </row>
    <row r="369" spans="1:7">
      <c r="A369" s="69"/>
      <c r="D369" t="str">
        <f>IF($C369="","",IFERROR(LOOKUP(2,1/($C$2:INDEX($C:$C,ROW()-1)=$C369),$E$2:INDEX($E:$E,ROW()-1)),IFERROR(VLOOKUP($C369,'01_Warehouse_Ledger'!$A$2:$C$2002,3,FALSE),"")))</f>
        <v/>
      </c>
      <c r="G369" s="34"/>
    </row>
    <row r="370" spans="1:7">
      <c r="A370" s="69"/>
      <c r="D370" t="str">
        <f>IF($C370="","",IFERROR(LOOKUP(2,1/($C$2:INDEX($C:$C,ROW()-1)=$C370),$E$2:INDEX($E:$E,ROW()-1)),IFERROR(VLOOKUP($C370,'01_Warehouse_Ledger'!$A$2:$C$2002,3,FALSE),"")))</f>
        <v/>
      </c>
      <c r="G370" s="34"/>
    </row>
    <row r="371" spans="1:7">
      <c r="A371" s="69"/>
      <c r="D371" t="str">
        <f>IF($C371="","",IFERROR(LOOKUP(2,1/($C$2:INDEX($C:$C,ROW()-1)=$C371),$E$2:INDEX($E:$E,ROW()-1)),IFERROR(VLOOKUP($C371,'01_Warehouse_Ledger'!$A$2:$C$2002,3,FALSE),"")))</f>
        <v/>
      </c>
      <c r="G371" s="34"/>
    </row>
    <row r="372" spans="1:7">
      <c r="A372" s="69"/>
      <c r="D372" t="str">
        <f>IF($C372="","",IFERROR(LOOKUP(2,1/($C$2:INDEX($C:$C,ROW()-1)=$C372),$E$2:INDEX($E:$E,ROW()-1)),IFERROR(VLOOKUP($C372,'01_Warehouse_Ledger'!$A$2:$C$2002,3,FALSE),"")))</f>
        <v/>
      </c>
      <c r="G372" s="34"/>
    </row>
    <row r="373" spans="1:7">
      <c r="A373" s="69"/>
      <c r="D373" t="str">
        <f>IF($C373="","",IFERROR(LOOKUP(2,1/($C$2:INDEX($C:$C,ROW()-1)=$C373),$E$2:INDEX($E:$E,ROW()-1)),IFERROR(VLOOKUP($C373,'01_Warehouse_Ledger'!$A$2:$C$2002,3,FALSE),"")))</f>
        <v/>
      </c>
      <c r="G373" s="34"/>
    </row>
    <row r="374" spans="1:7">
      <c r="A374" s="69"/>
      <c r="D374" t="str">
        <f>IF($C374="","",IFERROR(LOOKUP(2,1/($C$2:INDEX($C:$C,ROW()-1)=$C374),$E$2:INDEX($E:$E,ROW()-1)),IFERROR(VLOOKUP($C374,'01_Warehouse_Ledger'!$A$2:$C$2002,3,FALSE),"")))</f>
        <v/>
      </c>
      <c r="G374" s="34"/>
    </row>
    <row r="375" spans="1:7">
      <c r="A375" s="69"/>
      <c r="D375" t="str">
        <f>IF($C375="","",IFERROR(LOOKUP(2,1/($C$2:INDEX($C:$C,ROW()-1)=$C375),$E$2:INDEX($E:$E,ROW()-1)),IFERROR(VLOOKUP($C375,'01_Warehouse_Ledger'!$A$2:$C$2002,3,FALSE),"")))</f>
        <v/>
      </c>
      <c r="G375" s="34"/>
    </row>
    <row r="376" spans="1:7">
      <c r="A376" s="69"/>
      <c r="D376" t="str">
        <f>IF($C376="","",IFERROR(LOOKUP(2,1/($C$2:INDEX($C:$C,ROW()-1)=$C376),$E$2:INDEX($E:$E,ROW()-1)),IFERROR(VLOOKUP($C376,'01_Warehouse_Ledger'!$A$2:$C$2002,3,FALSE),"")))</f>
        <v/>
      </c>
      <c r="G376" s="34"/>
    </row>
    <row r="377" spans="1:7">
      <c r="A377" s="69"/>
      <c r="D377" t="str">
        <f>IF($C377="","",IFERROR(LOOKUP(2,1/($C$2:INDEX($C:$C,ROW()-1)=$C377),$E$2:INDEX($E:$E,ROW()-1)),IFERROR(VLOOKUP($C377,'01_Warehouse_Ledger'!$A$2:$C$2002,3,FALSE),"")))</f>
        <v/>
      </c>
      <c r="G377" s="34"/>
    </row>
    <row r="378" spans="1:7">
      <c r="A378" s="69"/>
      <c r="D378" t="str">
        <f>IF($C378="","",IFERROR(LOOKUP(2,1/($C$2:INDEX($C:$C,ROW()-1)=$C378),$E$2:INDEX($E:$E,ROW()-1)),IFERROR(VLOOKUP($C378,'01_Warehouse_Ledger'!$A$2:$C$2002,3,FALSE),"")))</f>
        <v/>
      </c>
      <c r="G378" s="34"/>
    </row>
    <row r="379" spans="1:7">
      <c r="A379" s="69"/>
      <c r="D379" t="str">
        <f>IF($C379="","",IFERROR(LOOKUP(2,1/($C$2:INDEX($C:$C,ROW()-1)=$C379),$E$2:INDEX($E:$E,ROW()-1)),IFERROR(VLOOKUP($C379,'01_Warehouse_Ledger'!$A$2:$C$2002,3,FALSE),"")))</f>
        <v/>
      </c>
      <c r="G379" s="34"/>
    </row>
    <row r="380" spans="1:7">
      <c r="A380" s="69"/>
      <c r="D380" t="str">
        <f>IF($C380="","",IFERROR(LOOKUP(2,1/($C$2:INDEX($C:$C,ROW()-1)=$C380),$E$2:INDEX($E:$E,ROW()-1)),IFERROR(VLOOKUP($C380,'01_Warehouse_Ledger'!$A$2:$C$2002,3,FALSE),"")))</f>
        <v/>
      </c>
      <c r="G380" s="34"/>
    </row>
    <row r="381" spans="1:7">
      <c r="A381" s="69"/>
      <c r="D381" t="str">
        <f>IF($C381="","",IFERROR(LOOKUP(2,1/($C$2:INDEX($C:$C,ROW()-1)=$C381),$E$2:INDEX($E:$E,ROW()-1)),IFERROR(VLOOKUP($C381,'01_Warehouse_Ledger'!$A$2:$C$2002,3,FALSE),"")))</f>
        <v/>
      </c>
      <c r="G381" s="34"/>
    </row>
    <row r="382" spans="1:7">
      <c r="A382" s="69"/>
      <c r="D382" t="str">
        <f>IF($C382="","",IFERROR(LOOKUP(2,1/($C$2:INDEX($C:$C,ROW()-1)=$C382),$E$2:INDEX($E:$E,ROW()-1)),IFERROR(VLOOKUP($C382,'01_Warehouse_Ledger'!$A$2:$C$2002,3,FALSE),"")))</f>
        <v/>
      </c>
      <c r="G382" s="34"/>
    </row>
    <row r="383" spans="1:7">
      <c r="A383" s="69"/>
      <c r="D383" t="str">
        <f>IF($C383="","",IFERROR(LOOKUP(2,1/($C$2:INDEX($C:$C,ROW()-1)=$C383),$E$2:INDEX($E:$E,ROW()-1)),IFERROR(VLOOKUP($C383,'01_Warehouse_Ledger'!$A$2:$C$2002,3,FALSE),"")))</f>
        <v/>
      </c>
      <c r="G383" s="34"/>
    </row>
    <row r="384" spans="1:7">
      <c r="A384" s="69"/>
      <c r="D384" t="str">
        <f>IF($C384="","",IFERROR(LOOKUP(2,1/($C$2:INDEX($C:$C,ROW()-1)=$C384),$E$2:INDEX($E:$E,ROW()-1)),IFERROR(VLOOKUP($C384,'01_Warehouse_Ledger'!$A$2:$C$2002,3,FALSE),"")))</f>
        <v/>
      </c>
      <c r="G384" s="34"/>
    </row>
    <row r="385" spans="1:7">
      <c r="A385" s="69"/>
      <c r="D385" t="str">
        <f>IF($C385="","",IFERROR(LOOKUP(2,1/($C$2:INDEX($C:$C,ROW()-1)=$C385),$E$2:INDEX($E:$E,ROW()-1)),IFERROR(VLOOKUP($C385,'01_Warehouse_Ledger'!$A$2:$C$2002,3,FALSE),"")))</f>
        <v/>
      </c>
      <c r="G385" s="34"/>
    </row>
    <row r="386" spans="1:7">
      <c r="A386" s="69"/>
      <c r="D386" t="str">
        <f>IF($C386="","",IFERROR(LOOKUP(2,1/($C$2:INDEX($C:$C,ROW()-1)=$C386),$E$2:INDEX($E:$E,ROW()-1)),IFERROR(VLOOKUP($C386,'01_Warehouse_Ledger'!$A$2:$C$2002,3,FALSE),"")))</f>
        <v/>
      </c>
      <c r="G386" s="34"/>
    </row>
    <row r="387" spans="1:7">
      <c r="A387" s="69"/>
      <c r="D387" t="str">
        <f>IF($C387="","",IFERROR(LOOKUP(2,1/($C$2:INDEX($C:$C,ROW()-1)=$C387),$E$2:INDEX($E:$E,ROW()-1)),IFERROR(VLOOKUP($C387,'01_Warehouse_Ledger'!$A$2:$C$2002,3,FALSE),"")))</f>
        <v/>
      </c>
      <c r="G387" s="34"/>
    </row>
    <row r="388" spans="1:7">
      <c r="A388" s="69"/>
      <c r="D388" t="str">
        <f>IF($C388="","",IFERROR(LOOKUP(2,1/($C$2:INDEX($C:$C,ROW()-1)=$C388),$E$2:INDEX($E:$E,ROW()-1)),IFERROR(VLOOKUP($C388,'01_Warehouse_Ledger'!$A$2:$C$2002,3,FALSE),"")))</f>
        <v/>
      </c>
      <c r="G388" s="34"/>
    </row>
    <row r="389" spans="1:7">
      <c r="A389" s="69"/>
      <c r="D389" t="str">
        <f>IF($C389="","",IFERROR(LOOKUP(2,1/($C$2:INDEX($C:$C,ROW()-1)=$C389),$E$2:INDEX($E:$E,ROW()-1)),IFERROR(VLOOKUP($C389,'01_Warehouse_Ledger'!$A$2:$C$2002,3,FALSE),"")))</f>
        <v/>
      </c>
      <c r="G389" s="34"/>
    </row>
    <row r="390" spans="1:7">
      <c r="A390" s="69"/>
      <c r="D390" t="str">
        <f>IF($C390="","",IFERROR(LOOKUP(2,1/($C$2:INDEX($C:$C,ROW()-1)=$C390),$E$2:INDEX($E:$E,ROW()-1)),IFERROR(VLOOKUP($C390,'01_Warehouse_Ledger'!$A$2:$C$2002,3,FALSE),"")))</f>
        <v/>
      </c>
      <c r="G390" s="34"/>
    </row>
    <row r="391" spans="1:7">
      <c r="A391" s="69"/>
      <c r="D391" t="str">
        <f>IF($C391="","",IFERROR(LOOKUP(2,1/($C$2:INDEX($C:$C,ROW()-1)=$C391),$E$2:INDEX($E:$E,ROW()-1)),IFERROR(VLOOKUP($C391,'01_Warehouse_Ledger'!$A$2:$C$2002,3,FALSE),"")))</f>
        <v/>
      </c>
      <c r="G391" s="34"/>
    </row>
    <row r="392" spans="1:7">
      <c r="A392" s="69"/>
      <c r="D392" t="str">
        <f>IF($C392="","",IFERROR(LOOKUP(2,1/($C$2:INDEX($C:$C,ROW()-1)=$C392),$E$2:INDEX($E:$E,ROW()-1)),IFERROR(VLOOKUP($C392,'01_Warehouse_Ledger'!$A$2:$C$2002,3,FALSE),"")))</f>
        <v/>
      </c>
      <c r="G392" s="34"/>
    </row>
    <row r="393" spans="1:7">
      <c r="A393" s="69"/>
      <c r="D393" t="str">
        <f>IF($C393="","",IFERROR(LOOKUP(2,1/($C$2:INDEX($C:$C,ROW()-1)=$C393),$E$2:INDEX($E:$E,ROW()-1)),IFERROR(VLOOKUP($C393,'01_Warehouse_Ledger'!$A$2:$C$2002,3,FALSE),"")))</f>
        <v/>
      </c>
      <c r="G393" s="34"/>
    </row>
    <row r="394" spans="1:7">
      <c r="A394" s="69"/>
      <c r="D394" t="str">
        <f>IF($C394="","",IFERROR(LOOKUP(2,1/($C$2:INDEX($C:$C,ROW()-1)=$C394),$E$2:INDEX($E:$E,ROW()-1)),IFERROR(VLOOKUP($C394,'01_Warehouse_Ledger'!$A$2:$C$2002,3,FALSE),"")))</f>
        <v/>
      </c>
      <c r="G394" s="34"/>
    </row>
    <row r="395" spans="1:7">
      <c r="A395" s="69"/>
      <c r="D395" t="str">
        <f>IF($C395="","",IFERROR(LOOKUP(2,1/($C$2:INDEX($C:$C,ROW()-1)=$C395),$E$2:INDEX($E:$E,ROW()-1)),IFERROR(VLOOKUP($C395,'01_Warehouse_Ledger'!$A$2:$C$2002,3,FALSE),"")))</f>
        <v/>
      </c>
      <c r="G395" s="34"/>
    </row>
    <row r="396" spans="1:7">
      <c r="A396" s="69"/>
      <c r="D396" t="str">
        <f>IF($C396="","",IFERROR(LOOKUP(2,1/($C$2:INDEX($C:$C,ROW()-1)=$C396),$E$2:INDEX($E:$E,ROW()-1)),IFERROR(VLOOKUP($C396,'01_Warehouse_Ledger'!$A$2:$C$2002,3,FALSE),"")))</f>
        <v/>
      </c>
      <c r="G396" s="34"/>
    </row>
    <row r="397" spans="1:7">
      <c r="A397" s="69"/>
      <c r="D397" t="str">
        <f>IF($C397="","",IFERROR(LOOKUP(2,1/($C$2:INDEX($C:$C,ROW()-1)=$C397),$E$2:INDEX($E:$E,ROW()-1)),IFERROR(VLOOKUP($C397,'01_Warehouse_Ledger'!$A$2:$C$2002,3,FALSE),"")))</f>
        <v/>
      </c>
      <c r="G397" s="34"/>
    </row>
    <row r="398" spans="1:7">
      <c r="A398" s="69"/>
      <c r="D398" t="str">
        <f>IF($C398="","",IFERROR(LOOKUP(2,1/($C$2:INDEX($C:$C,ROW()-1)=$C398),$E$2:INDEX($E:$E,ROW()-1)),IFERROR(VLOOKUP($C398,'01_Warehouse_Ledger'!$A$2:$C$2002,3,FALSE),"")))</f>
        <v/>
      </c>
      <c r="G398" s="34"/>
    </row>
    <row r="399" spans="1:7">
      <c r="A399" s="69"/>
      <c r="D399" t="str">
        <f>IF($C399="","",IFERROR(LOOKUP(2,1/($C$2:INDEX($C:$C,ROW()-1)=$C399),$E$2:INDEX($E:$E,ROW()-1)),IFERROR(VLOOKUP($C399,'01_Warehouse_Ledger'!$A$2:$C$2002,3,FALSE),"")))</f>
        <v/>
      </c>
      <c r="G399" s="34"/>
    </row>
    <row r="400" spans="1:7">
      <c r="A400" s="69"/>
      <c r="D400" t="str">
        <f>IF($C400="","",IFERROR(LOOKUP(2,1/($C$2:INDEX($C:$C,ROW()-1)=$C400),$E$2:INDEX($E:$E,ROW()-1)),IFERROR(VLOOKUP($C400,'01_Warehouse_Ledger'!$A$2:$C$2002,3,FALSE),"")))</f>
        <v/>
      </c>
      <c r="G400" s="34"/>
    </row>
    <row r="401" spans="1:7">
      <c r="A401" s="69"/>
      <c r="D401" t="str">
        <f>IF($C401="","",IFERROR(LOOKUP(2,1/($C$2:INDEX($C:$C,ROW()-1)=$C401),$E$2:INDEX($E:$E,ROW()-1)),IFERROR(VLOOKUP($C401,'01_Warehouse_Ledger'!$A$2:$C$2002,3,FALSE),"")))</f>
        <v/>
      </c>
      <c r="G401" s="34"/>
    </row>
    <row r="402" spans="1:7">
      <c r="A402" s="69"/>
      <c r="D402" t="str">
        <f>IF($C402="","",IFERROR(LOOKUP(2,1/($C$2:INDEX($C:$C,ROW()-1)=$C402),$E$2:INDEX($E:$E,ROW()-1)),IFERROR(VLOOKUP($C402,'01_Warehouse_Ledger'!$A$2:$C$2002,3,FALSE),"")))</f>
        <v/>
      </c>
      <c r="G402" s="34"/>
    </row>
    <row r="403" spans="1:7">
      <c r="A403" s="69"/>
      <c r="D403" t="str">
        <f>IF($C403="","",IFERROR(LOOKUP(2,1/($C$2:INDEX($C:$C,ROW()-1)=$C403),$E$2:INDEX($E:$E,ROW()-1)),IFERROR(VLOOKUP($C403,'01_Warehouse_Ledger'!$A$2:$C$2002,3,FALSE),"")))</f>
        <v/>
      </c>
      <c r="G403" s="34"/>
    </row>
    <row r="404" spans="1:7">
      <c r="A404" s="69"/>
      <c r="D404" t="str">
        <f>IF($C404="","",IFERROR(LOOKUP(2,1/($C$2:INDEX($C:$C,ROW()-1)=$C404),$E$2:INDEX($E:$E,ROW()-1)),IFERROR(VLOOKUP($C404,'01_Warehouse_Ledger'!$A$2:$C$2002,3,FALSE),"")))</f>
        <v/>
      </c>
      <c r="G404" s="34"/>
    </row>
    <row r="405" spans="1:7">
      <c r="A405" s="69"/>
      <c r="D405" t="str">
        <f>IF($C405="","",IFERROR(LOOKUP(2,1/($C$2:INDEX($C:$C,ROW()-1)=$C405),$E$2:INDEX($E:$E,ROW()-1)),IFERROR(VLOOKUP($C405,'01_Warehouse_Ledger'!$A$2:$C$2002,3,FALSE),"")))</f>
        <v/>
      </c>
      <c r="G405" s="34"/>
    </row>
    <row r="406" spans="1:7">
      <c r="A406" s="69"/>
      <c r="D406" t="str">
        <f>IF($C406="","",IFERROR(LOOKUP(2,1/($C$2:INDEX($C:$C,ROW()-1)=$C406),$E$2:INDEX($E:$E,ROW()-1)),IFERROR(VLOOKUP($C406,'01_Warehouse_Ledger'!$A$2:$C$2002,3,FALSE),"")))</f>
        <v/>
      </c>
      <c r="G406" s="34"/>
    </row>
    <row r="407" spans="1:7">
      <c r="A407" s="69"/>
      <c r="D407" t="str">
        <f>IF($C407="","",IFERROR(LOOKUP(2,1/($C$2:INDEX($C:$C,ROW()-1)=$C407),$E$2:INDEX($E:$E,ROW()-1)),IFERROR(VLOOKUP($C407,'01_Warehouse_Ledger'!$A$2:$C$2002,3,FALSE),"")))</f>
        <v/>
      </c>
      <c r="G407" s="34"/>
    </row>
    <row r="408" spans="1:7">
      <c r="A408" s="69"/>
      <c r="D408" t="str">
        <f>IF($C408="","",IFERROR(LOOKUP(2,1/($C$2:INDEX($C:$C,ROW()-1)=$C408),$E$2:INDEX($E:$E,ROW()-1)),IFERROR(VLOOKUP($C408,'01_Warehouse_Ledger'!$A$2:$C$2002,3,FALSE),"")))</f>
        <v/>
      </c>
      <c r="G408" s="34"/>
    </row>
    <row r="409" spans="1:7">
      <c r="A409" s="69"/>
      <c r="D409" t="str">
        <f>IF($C409="","",IFERROR(LOOKUP(2,1/($C$2:INDEX($C:$C,ROW()-1)=$C409),$E$2:INDEX($E:$E,ROW()-1)),IFERROR(VLOOKUP($C409,'01_Warehouse_Ledger'!$A$2:$C$2002,3,FALSE),"")))</f>
        <v/>
      </c>
      <c r="G409" s="34"/>
    </row>
    <row r="410" spans="1:7">
      <c r="A410" s="69"/>
      <c r="D410" t="str">
        <f>IF($C410="","",IFERROR(LOOKUP(2,1/($C$2:INDEX($C:$C,ROW()-1)=$C410),$E$2:INDEX($E:$E,ROW()-1)),IFERROR(VLOOKUP($C410,'01_Warehouse_Ledger'!$A$2:$C$2002,3,FALSE),"")))</f>
        <v/>
      </c>
      <c r="G410" s="34"/>
    </row>
    <row r="411" spans="1:7">
      <c r="A411" s="69"/>
      <c r="D411" t="str">
        <f>IF($C411="","",IFERROR(LOOKUP(2,1/($C$2:INDEX($C:$C,ROW()-1)=$C411),$E$2:INDEX($E:$E,ROW()-1)),IFERROR(VLOOKUP($C411,'01_Warehouse_Ledger'!$A$2:$C$2002,3,FALSE),"")))</f>
        <v/>
      </c>
      <c r="G411" s="34"/>
    </row>
    <row r="412" spans="1:7">
      <c r="A412" s="69"/>
      <c r="D412" t="str">
        <f>IF($C412="","",IFERROR(LOOKUP(2,1/($C$2:INDEX($C:$C,ROW()-1)=$C412),$E$2:INDEX($E:$E,ROW()-1)),IFERROR(VLOOKUP($C412,'01_Warehouse_Ledger'!$A$2:$C$2002,3,FALSE),"")))</f>
        <v/>
      </c>
      <c r="G412" s="34"/>
    </row>
    <row r="413" spans="1:7">
      <c r="A413" s="69"/>
      <c r="D413" t="str">
        <f>IF($C413="","",IFERROR(LOOKUP(2,1/($C$2:INDEX($C:$C,ROW()-1)=$C413),$E$2:INDEX($E:$E,ROW()-1)),IFERROR(VLOOKUP($C413,'01_Warehouse_Ledger'!$A$2:$C$2002,3,FALSE),"")))</f>
        <v/>
      </c>
      <c r="G413" s="34"/>
    </row>
    <row r="414" spans="1:7">
      <c r="A414" s="69"/>
      <c r="D414" t="str">
        <f>IF($C414="","",IFERROR(LOOKUP(2,1/($C$2:INDEX($C:$C,ROW()-1)=$C414),$E$2:INDEX($E:$E,ROW()-1)),IFERROR(VLOOKUP($C414,'01_Warehouse_Ledger'!$A$2:$C$2002,3,FALSE),"")))</f>
        <v/>
      </c>
      <c r="G414" s="34"/>
    </row>
    <row r="415" spans="1:7">
      <c r="A415" s="69"/>
      <c r="D415" t="str">
        <f>IF($C415="","",IFERROR(LOOKUP(2,1/($C$2:INDEX($C:$C,ROW()-1)=$C415),$E$2:INDEX($E:$E,ROW()-1)),IFERROR(VLOOKUP($C415,'01_Warehouse_Ledger'!$A$2:$C$2002,3,FALSE),"")))</f>
        <v/>
      </c>
      <c r="G415" s="34"/>
    </row>
    <row r="416" spans="1:7">
      <c r="A416" s="69"/>
      <c r="D416" t="str">
        <f>IF($C416="","",IFERROR(LOOKUP(2,1/($C$2:INDEX($C:$C,ROW()-1)=$C416),$E$2:INDEX($E:$E,ROW()-1)),IFERROR(VLOOKUP($C416,'01_Warehouse_Ledger'!$A$2:$C$2002,3,FALSE),"")))</f>
        <v/>
      </c>
      <c r="G416" s="34"/>
    </row>
    <row r="417" spans="1:7">
      <c r="A417" s="69"/>
      <c r="D417" t="str">
        <f>IF($C417="","",IFERROR(LOOKUP(2,1/($C$2:INDEX($C:$C,ROW()-1)=$C417),$E$2:INDEX($E:$E,ROW()-1)),IFERROR(VLOOKUP($C417,'01_Warehouse_Ledger'!$A$2:$C$2002,3,FALSE),"")))</f>
        <v/>
      </c>
      <c r="G417" s="34"/>
    </row>
    <row r="418" spans="1:7">
      <c r="A418" s="69"/>
      <c r="D418" t="str">
        <f>IF($C418="","",IFERROR(LOOKUP(2,1/($C$2:INDEX($C:$C,ROW()-1)=$C418),$E$2:INDEX($E:$E,ROW()-1)),IFERROR(VLOOKUP($C418,'01_Warehouse_Ledger'!$A$2:$C$2002,3,FALSE),"")))</f>
        <v/>
      </c>
      <c r="G418" s="34"/>
    </row>
    <row r="419" spans="1:7">
      <c r="A419" s="69"/>
      <c r="D419" t="str">
        <f>IF($C419="","",IFERROR(LOOKUP(2,1/($C$2:INDEX($C:$C,ROW()-1)=$C419),$E$2:INDEX($E:$E,ROW()-1)),IFERROR(VLOOKUP($C419,'01_Warehouse_Ledger'!$A$2:$C$2002,3,FALSE),"")))</f>
        <v/>
      </c>
      <c r="G419" s="34"/>
    </row>
    <row r="420" spans="1:7">
      <c r="A420" s="69"/>
      <c r="D420" t="str">
        <f>IF($C420="","",IFERROR(LOOKUP(2,1/($C$2:INDEX($C:$C,ROW()-1)=$C420),$E$2:INDEX($E:$E,ROW()-1)),IFERROR(VLOOKUP($C420,'01_Warehouse_Ledger'!$A$2:$C$2002,3,FALSE),"")))</f>
        <v/>
      </c>
      <c r="G420" s="34"/>
    </row>
    <row r="421" spans="1:7">
      <c r="A421" s="69"/>
      <c r="D421" t="str">
        <f>IF($C421="","",IFERROR(LOOKUP(2,1/($C$2:INDEX($C:$C,ROW()-1)=$C421),$E$2:INDEX($E:$E,ROW()-1)),IFERROR(VLOOKUP($C421,'01_Warehouse_Ledger'!$A$2:$C$2002,3,FALSE),"")))</f>
        <v/>
      </c>
      <c r="G421" s="34"/>
    </row>
    <row r="422" spans="1:7">
      <c r="A422" s="69"/>
      <c r="D422" t="str">
        <f>IF($C422="","",IFERROR(LOOKUP(2,1/($C$2:INDEX($C:$C,ROW()-1)=$C422),$E$2:INDEX($E:$E,ROW()-1)),IFERROR(VLOOKUP($C422,'01_Warehouse_Ledger'!$A$2:$C$2002,3,FALSE),"")))</f>
        <v/>
      </c>
      <c r="G422" s="34"/>
    </row>
    <row r="423" spans="1:7">
      <c r="A423" s="69"/>
      <c r="D423" t="str">
        <f>IF($C423="","",IFERROR(LOOKUP(2,1/($C$2:INDEX($C:$C,ROW()-1)=$C423),$E$2:INDEX($E:$E,ROW()-1)),IFERROR(VLOOKUP($C423,'01_Warehouse_Ledger'!$A$2:$C$2002,3,FALSE),"")))</f>
        <v/>
      </c>
      <c r="G423" s="34"/>
    </row>
    <row r="424" spans="1:7">
      <c r="A424" s="69"/>
      <c r="D424" t="str">
        <f>IF($C424="","",IFERROR(LOOKUP(2,1/($C$2:INDEX($C:$C,ROW()-1)=$C424),$E$2:INDEX($E:$E,ROW()-1)),IFERROR(VLOOKUP($C424,'01_Warehouse_Ledger'!$A$2:$C$2002,3,FALSE),"")))</f>
        <v/>
      </c>
      <c r="G424" s="34"/>
    </row>
    <row r="425" spans="1:7">
      <c r="A425" s="69"/>
      <c r="D425" t="str">
        <f>IF($C425="","",IFERROR(LOOKUP(2,1/($C$2:INDEX($C:$C,ROW()-1)=$C425),$E$2:INDEX($E:$E,ROW()-1)),IFERROR(VLOOKUP($C425,'01_Warehouse_Ledger'!$A$2:$C$2002,3,FALSE),"")))</f>
        <v/>
      </c>
      <c r="G425" s="34"/>
    </row>
    <row r="426" spans="1:7">
      <c r="A426" s="69"/>
      <c r="D426" t="str">
        <f>IF($C426="","",IFERROR(LOOKUP(2,1/($C$2:INDEX($C:$C,ROW()-1)=$C426),$E$2:INDEX($E:$E,ROW()-1)),IFERROR(VLOOKUP($C426,'01_Warehouse_Ledger'!$A$2:$C$2002,3,FALSE),"")))</f>
        <v/>
      </c>
      <c r="G426" s="34"/>
    </row>
    <row r="427" spans="1:7">
      <c r="A427" s="69"/>
      <c r="D427" t="str">
        <f>IF($C427="","",IFERROR(LOOKUP(2,1/($C$2:INDEX($C:$C,ROW()-1)=$C427),$E$2:INDEX($E:$E,ROW()-1)),IFERROR(VLOOKUP($C427,'01_Warehouse_Ledger'!$A$2:$C$2002,3,FALSE),"")))</f>
        <v/>
      </c>
      <c r="G427" s="34"/>
    </row>
    <row r="428" spans="1:7">
      <c r="A428" s="69"/>
      <c r="D428" t="str">
        <f>IF($C428="","",IFERROR(LOOKUP(2,1/($C$2:INDEX($C:$C,ROW()-1)=$C428),$E$2:INDEX($E:$E,ROW()-1)),IFERROR(VLOOKUP($C428,'01_Warehouse_Ledger'!$A$2:$C$2002,3,FALSE),"")))</f>
        <v/>
      </c>
      <c r="G428" s="34"/>
    </row>
    <row r="429" spans="1:7">
      <c r="A429" s="69"/>
      <c r="D429" t="str">
        <f>IF($C429="","",IFERROR(LOOKUP(2,1/($C$2:INDEX($C:$C,ROW()-1)=$C429),$E$2:INDEX($E:$E,ROW()-1)),IFERROR(VLOOKUP($C429,'01_Warehouse_Ledger'!$A$2:$C$2002,3,FALSE),"")))</f>
        <v/>
      </c>
      <c r="G429" s="34"/>
    </row>
    <row r="430" spans="1:7">
      <c r="A430" s="69"/>
      <c r="D430" t="str">
        <f>IF($C430="","",IFERROR(LOOKUP(2,1/($C$2:INDEX($C:$C,ROW()-1)=$C430),$E$2:INDEX($E:$E,ROW()-1)),IFERROR(VLOOKUP($C430,'01_Warehouse_Ledger'!$A$2:$C$2002,3,FALSE),"")))</f>
        <v/>
      </c>
      <c r="G430" s="34"/>
    </row>
    <row r="431" spans="1:7">
      <c r="A431" s="69"/>
      <c r="D431" t="str">
        <f>IF($C431="","",IFERROR(LOOKUP(2,1/($C$2:INDEX($C:$C,ROW()-1)=$C431),$E$2:INDEX($E:$E,ROW()-1)),IFERROR(VLOOKUP($C431,'01_Warehouse_Ledger'!$A$2:$C$2002,3,FALSE),"")))</f>
        <v/>
      </c>
      <c r="G431" s="34"/>
    </row>
    <row r="432" spans="1:7">
      <c r="A432" s="69"/>
      <c r="D432" t="str">
        <f>IF($C432="","",IFERROR(LOOKUP(2,1/($C$2:INDEX($C:$C,ROW()-1)=$C432),$E$2:INDEX($E:$E,ROW()-1)),IFERROR(VLOOKUP($C432,'01_Warehouse_Ledger'!$A$2:$C$2002,3,FALSE),"")))</f>
        <v/>
      </c>
      <c r="G432" s="34"/>
    </row>
    <row r="433" spans="1:7">
      <c r="A433" s="69"/>
      <c r="D433" t="str">
        <f>IF($C433="","",IFERROR(LOOKUP(2,1/($C$2:INDEX($C:$C,ROW()-1)=$C433),$E$2:INDEX($E:$E,ROW()-1)),IFERROR(VLOOKUP($C433,'01_Warehouse_Ledger'!$A$2:$C$2002,3,FALSE),"")))</f>
        <v/>
      </c>
      <c r="G433" s="34"/>
    </row>
    <row r="434" spans="1:7">
      <c r="A434" s="69"/>
      <c r="D434" t="str">
        <f>IF($C434="","",IFERROR(LOOKUP(2,1/($C$2:INDEX($C:$C,ROW()-1)=$C434),$E$2:INDEX($E:$E,ROW()-1)),IFERROR(VLOOKUP($C434,'01_Warehouse_Ledger'!$A$2:$C$2002,3,FALSE),"")))</f>
        <v/>
      </c>
      <c r="G434" s="34"/>
    </row>
    <row r="435" spans="1:7">
      <c r="A435" s="69"/>
      <c r="D435" t="str">
        <f>IF($C435="","",IFERROR(LOOKUP(2,1/($C$2:INDEX($C:$C,ROW()-1)=$C435),$E$2:INDEX($E:$E,ROW()-1)),IFERROR(VLOOKUP($C435,'01_Warehouse_Ledger'!$A$2:$C$2002,3,FALSE),"")))</f>
        <v/>
      </c>
      <c r="G435" s="34"/>
    </row>
    <row r="436" spans="1:7">
      <c r="A436" s="69"/>
      <c r="D436" t="str">
        <f>IF($C436="","",IFERROR(LOOKUP(2,1/($C$2:INDEX($C:$C,ROW()-1)=$C436),$E$2:INDEX($E:$E,ROW()-1)),IFERROR(VLOOKUP($C436,'01_Warehouse_Ledger'!$A$2:$C$2002,3,FALSE),"")))</f>
        <v/>
      </c>
      <c r="G436" s="34"/>
    </row>
    <row r="437" spans="1:7">
      <c r="A437" s="69"/>
      <c r="D437" t="str">
        <f>IF($C437="","",IFERROR(LOOKUP(2,1/($C$2:INDEX($C:$C,ROW()-1)=$C437),$E$2:INDEX($E:$E,ROW()-1)),IFERROR(VLOOKUP($C437,'01_Warehouse_Ledger'!$A$2:$C$2002,3,FALSE),"")))</f>
        <v/>
      </c>
      <c r="G437" s="34"/>
    </row>
    <row r="438" spans="1:7">
      <c r="A438" s="69"/>
      <c r="D438" t="str">
        <f>IF($C438="","",IFERROR(LOOKUP(2,1/($C$2:INDEX($C:$C,ROW()-1)=$C438),$E$2:INDEX($E:$E,ROW()-1)),IFERROR(VLOOKUP($C438,'01_Warehouse_Ledger'!$A$2:$C$2002,3,FALSE),"")))</f>
        <v/>
      </c>
      <c r="G438" s="34"/>
    </row>
    <row r="439" spans="1:7">
      <c r="A439" s="69"/>
      <c r="D439" t="str">
        <f>IF($C439="","",IFERROR(LOOKUP(2,1/($C$2:INDEX($C:$C,ROW()-1)=$C439),$E$2:INDEX($E:$E,ROW()-1)),IFERROR(VLOOKUP($C439,'01_Warehouse_Ledger'!$A$2:$C$2002,3,FALSE),"")))</f>
        <v/>
      </c>
      <c r="G439" s="34"/>
    </row>
    <row r="440" spans="1:7">
      <c r="A440" s="69"/>
      <c r="D440" t="str">
        <f>IF($C440="","",IFERROR(LOOKUP(2,1/($C$2:INDEX($C:$C,ROW()-1)=$C440),$E$2:INDEX($E:$E,ROW()-1)),IFERROR(VLOOKUP($C440,'01_Warehouse_Ledger'!$A$2:$C$2002,3,FALSE),"")))</f>
        <v/>
      </c>
      <c r="G440" s="34"/>
    </row>
    <row r="441" spans="1:7">
      <c r="A441" s="69"/>
      <c r="D441" t="str">
        <f>IF($C441="","",IFERROR(LOOKUP(2,1/($C$2:INDEX($C:$C,ROW()-1)=$C441),$E$2:INDEX($E:$E,ROW()-1)),IFERROR(VLOOKUP($C441,'01_Warehouse_Ledger'!$A$2:$C$2002,3,FALSE),"")))</f>
        <v/>
      </c>
      <c r="G441" s="34"/>
    </row>
    <row r="442" spans="1:7">
      <c r="A442" s="69"/>
      <c r="D442" t="str">
        <f>IF($C442="","",IFERROR(LOOKUP(2,1/($C$2:INDEX($C:$C,ROW()-1)=$C442),$E$2:INDEX($E:$E,ROW()-1)),IFERROR(VLOOKUP($C442,'01_Warehouse_Ledger'!$A$2:$C$2002,3,FALSE),"")))</f>
        <v/>
      </c>
      <c r="G442" s="34"/>
    </row>
    <row r="443" spans="1:7">
      <c r="A443" s="69"/>
      <c r="D443" t="str">
        <f>IF($C443="","",IFERROR(LOOKUP(2,1/($C$2:INDEX($C:$C,ROW()-1)=$C443),$E$2:INDEX($E:$E,ROW()-1)),IFERROR(VLOOKUP($C443,'01_Warehouse_Ledger'!$A$2:$C$2002,3,FALSE),"")))</f>
        <v/>
      </c>
      <c r="G443" s="34"/>
    </row>
    <row r="444" spans="1:7">
      <c r="A444" s="69"/>
      <c r="D444" t="str">
        <f>IF($C444="","",IFERROR(LOOKUP(2,1/($C$2:INDEX($C:$C,ROW()-1)=$C444),$E$2:INDEX($E:$E,ROW()-1)),IFERROR(VLOOKUP($C444,'01_Warehouse_Ledger'!$A$2:$C$2002,3,FALSE),"")))</f>
        <v/>
      </c>
      <c r="G444" s="34"/>
    </row>
    <row r="445" spans="1:7">
      <c r="A445" s="69"/>
      <c r="D445" t="str">
        <f>IF($C445="","",IFERROR(LOOKUP(2,1/($C$2:INDEX($C:$C,ROW()-1)=$C445),$E$2:INDEX($E:$E,ROW()-1)),IFERROR(VLOOKUP($C445,'01_Warehouse_Ledger'!$A$2:$C$2002,3,FALSE),"")))</f>
        <v/>
      </c>
      <c r="G445" s="34"/>
    </row>
    <row r="446" spans="1:7">
      <c r="A446" s="69"/>
      <c r="D446" t="str">
        <f>IF($C446="","",IFERROR(LOOKUP(2,1/($C$2:INDEX($C:$C,ROW()-1)=$C446),$E$2:INDEX($E:$E,ROW()-1)),IFERROR(VLOOKUP($C446,'01_Warehouse_Ledger'!$A$2:$C$2002,3,FALSE),"")))</f>
        <v/>
      </c>
      <c r="G446" s="34"/>
    </row>
    <row r="447" spans="1:7">
      <c r="A447" s="69"/>
      <c r="D447" t="str">
        <f>IF($C447="","",IFERROR(LOOKUP(2,1/($C$2:INDEX($C:$C,ROW()-1)=$C447),$E$2:INDEX($E:$E,ROW()-1)),IFERROR(VLOOKUP($C447,'01_Warehouse_Ledger'!$A$2:$C$2002,3,FALSE),"")))</f>
        <v/>
      </c>
      <c r="G447" s="34"/>
    </row>
    <row r="448" spans="1:7">
      <c r="A448" s="69"/>
      <c r="D448" t="str">
        <f>IF($C448="","",IFERROR(LOOKUP(2,1/($C$2:INDEX($C:$C,ROW()-1)=$C448),$E$2:INDEX($E:$E,ROW()-1)),IFERROR(VLOOKUP($C448,'01_Warehouse_Ledger'!$A$2:$C$2002,3,FALSE),"")))</f>
        <v/>
      </c>
      <c r="G448" s="34"/>
    </row>
    <row r="449" spans="1:7">
      <c r="A449" s="69"/>
      <c r="D449" t="str">
        <f>IF($C449="","",IFERROR(LOOKUP(2,1/($C$2:INDEX($C:$C,ROW()-1)=$C449),$E$2:INDEX($E:$E,ROW()-1)),IFERROR(VLOOKUP($C449,'01_Warehouse_Ledger'!$A$2:$C$2002,3,FALSE),"")))</f>
        <v/>
      </c>
      <c r="G449" s="34"/>
    </row>
    <row r="450" spans="1:7">
      <c r="A450" s="69"/>
      <c r="D450" t="str">
        <f>IF($C450="","",IFERROR(LOOKUP(2,1/($C$2:INDEX($C:$C,ROW()-1)=$C450),$E$2:INDEX($E:$E,ROW()-1)),IFERROR(VLOOKUP($C450,'01_Warehouse_Ledger'!$A$2:$C$2002,3,FALSE),"")))</f>
        <v/>
      </c>
      <c r="G450" s="34"/>
    </row>
    <row r="451" spans="1:7">
      <c r="A451" s="69"/>
      <c r="D451" t="str">
        <f>IF($C451="","",IFERROR(LOOKUP(2,1/($C$2:INDEX($C:$C,ROW()-1)=$C451),$E$2:INDEX($E:$E,ROW()-1)),IFERROR(VLOOKUP($C451,'01_Warehouse_Ledger'!$A$2:$C$2002,3,FALSE),"")))</f>
        <v/>
      </c>
      <c r="G451" s="34"/>
    </row>
    <row r="452" spans="1:7">
      <c r="A452" s="69"/>
      <c r="D452" t="str">
        <f>IF($C452="","",IFERROR(LOOKUP(2,1/($C$2:INDEX($C:$C,ROW()-1)=$C452),$E$2:INDEX($E:$E,ROW()-1)),IFERROR(VLOOKUP($C452,'01_Warehouse_Ledger'!$A$2:$C$2002,3,FALSE),"")))</f>
        <v/>
      </c>
      <c r="G452" s="34"/>
    </row>
    <row r="453" spans="1:7">
      <c r="A453" s="69"/>
      <c r="D453" t="str">
        <f>IF($C453="","",IFERROR(LOOKUP(2,1/($C$2:INDEX($C:$C,ROW()-1)=$C453),$E$2:INDEX($E:$E,ROW()-1)),IFERROR(VLOOKUP($C453,'01_Warehouse_Ledger'!$A$2:$C$2002,3,FALSE),"")))</f>
        <v/>
      </c>
      <c r="G453" s="34"/>
    </row>
    <row r="454" spans="1:7">
      <c r="A454" s="69"/>
      <c r="D454" t="str">
        <f>IF($C454="","",IFERROR(LOOKUP(2,1/($C$2:INDEX($C:$C,ROW()-1)=$C454),$E$2:INDEX($E:$E,ROW()-1)),IFERROR(VLOOKUP($C454,'01_Warehouse_Ledger'!$A$2:$C$2002,3,FALSE),"")))</f>
        <v/>
      </c>
      <c r="G454" s="34"/>
    </row>
    <row r="455" spans="1:7">
      <c r="A455" s="69"/>
      <c r="D455" t="str">
        <f>IF($C455="","",IFERROR(LOOKUP(2,1/($C$2:INDEX($C:$C,ROW()-1)=$C455),$E$2:INDEX($E:$E,ROW()-1)),IFERROR(VLOOKUP($C455,'01_Warehouse_Ledger'!$A$2:$C$2002,3,FALSE),"")))</f>
        <v/>
      </c>
      <c r="G455" s="34"/>
    </row>
    <row r="456" spans="1:7">
      <c r="A456" s="69"/>
      <c r="D456" t="str">
        <f>IF($C456="","",IFERROR(LOOKUP(2,1/($C$2:INDEX($C:$C,ROW()-1)=$C456),$E$2:INDEX($E:$E,ROW()-1)),IFERROR(VLOOKUP($C456,'01_Warehouse_Ledger'!$A$2:$C$2002,3,FALSE),"")))</f>
        <v/>
      </c>
      <c r="G456" s="34"/>
    </row>
    <row r="457" spans="1:7">
      <c r="A457" s="69"/>
      <c r="D457" t="str">
        <f>IF($C457="","",IFERROR(LOOKUP(2,1/($C$2:INDEX($C:$C,ROW()-1)=$C457),$E$2:INDEX($E:$E,ROW()-1)),IFERROR(VLOOKUP($C457,'01_Warehouse_Ledger'!$A$2:$C$2002,3,FALSE),"")))</f>
        <v/>
      </c>
      <c r="G457" s="34"/>
    </row>
    <row r="458" spans="1:7">
      <c r="A458" s="69"/>
      <c r="D458" t="str">
        <f>IF($C458="","",IFERROR(LOOKUP(2,1/($C$2:INDEX($C:$C,ROW()-1)=$C458),$E$2:INDEX($E:$E,ROW()-1)),IFERROR(VLOOKUP($C458,'01_Warehouse_Ledger'!$A$2:$C$2002,3,FALSE),"")))</f>
        <v/>
      </c>
      <c r="G458" s="34"/>
    </row>
    <row r="459" spans="1:7">
      <c r="A459" s="69"/>
      <c r="D459" t="str">
        <f>IF($C459="","",IFERROR(LOOKUP(2,1/($C$2:INDEX($C:$C,ROW()-1)=$C459),$E$2:INDEX($E:$E,ROW()-1)),IFERROR(VLOOKUP($C459,'01_Warehouse_Ledger'!$A$2:$C$2002,3,FALSE),"")))</f>
        <v/>
      </c>
      <c r="G459" s="34"/>
    </row>
    <row r="460" spans="1:7">
      <c r="A460" s="69"/>
      <c r="D460" t="str">
        <f>IF($C460="","",IFERROR(LOOKUP(2,1/($C$2:INDEX($C:$C,ROW()-1)=$C460),$E$2:INDEX($E:$E,ROW()-1)),IFERROR(VLOOKUP($C460,'01_Warehouse_Ledger'!$A$2:$C$2002,3,FALSE),"")))</f>
        <v/>
      </c>
      <c r="G460" s="34"/>
    </row>
    <row r="461" spans="1:7">
      <c r="A461" s="69"/>
      <c r="D461" t="str">
        <f>IF($C461="","",IFERROR(LOOKUP(2,1/($C$2:INDEX($C:$C,ROW()-1)=$C461),$E$2:INDEX($E:$E,ROW()-1)),IFERROR(VLOOKUP($C461,'01_Warehouse_Ledger'!$A$2:$C$2002,3,FALSE),"")))</f>
        <v/>
      </c>
      <c r="G461" s="34"/>
    </row>
    <row r="462" spans="1:7">
      <c r="A462" s="69"/>
      <c r="D462" t="str">
        <f>IF($C462="","",IFERROR(LOOKUP(2,1/($C$2:INDEX($C:$C,ROW()-1)=$C462),$E$2:INDEX($E:$E,ROW()-1)),IFERROR(VLOOKUP($C462,'01_Warehouse_Ledger'!$A$2:$C$2002,3,FALSE),"")))</f>
        <v/>
      </c>
      <c r="G462" s="34"/>
    </row>
    <row r="463" spans="1:7">
      <c r="A463" s="69"/>
      <c r="D463" t="str">
        <f>IF($C463="","",IFERROR(LOOKUP(2,1/($C$2:INDEX($C:$C,ROW()-1)=$C463),$E$2:INDEX($E:$E,ROW()-1)),IFERROR(VLOOKUP($C463,'01_Warehouse_Ledger'!$A$2:$C$2002,3,FALSE),"")))</f>
        <v/>
      </c>
      <c r="G463" s="34"/>
    </row>
    <row r="464" spans="1:7">
      <c r="A464" s="69"/>
      <c r="D464" t="str">
        <f>IF($C464="","",IFERROR(LOOKUP(2,1/($C$2:INDEX($C:$C,ROW()-1)=$C464),$E$2:INDEX($E:$E,ROW()-1)),IFERROR(VLOOKUP($C464,'01_Warehouse_Ledger'!$A$2:$C$2002,3,FALSE),"")))</f>
        <v/>
      </c>
      <c r="G464" s="34"/>
    </row>
    <row r="465" spans="1:7">
      <c r="A465" s="69"/>
      <c r="D465" t="str">
        <f>IF($C465="","",IFERROR(LOOKUP(2,1/($C$2:INDEX($C:$C,ROW()-1)=$C465),$E$2:INDEX($E:$E,ROW()-1)),IFERROR(VLOOKUP($C465,'01_Warehouse_Ledger'!$A$2:$C$2002,3,FALSE),"")))</f>
        <v/>
      </c>
      <c r="G465" s="34"/>
    </row>
    <row r="466" spans="1:7">
      <c r="A466" s="69"/>
      <c r="D466" t="str">
        <f>IF($C466="","",IFERROR(LOOKUP(2,1/($C$2:INDEX($C:$C,ROW()-1)=$C466),$E$2:INDEX($E:$E,ROW()-1)),IFERROR(VLOOKUP($C466,'01_Warehouse_Ledger'!$A$2:$C$2002,3,FALSE),"")))</f>
        <v/>
      </c>
      <c r="G466" s="34"/>
    </row>
    <row r="467" spans="1:7">
      <c r="A467" s="69"/>
      <c r="D467" t="str">
        <f>IF($C467="","",IFERROR(LOOKUP(2,1/($C$2:INDEX($C:$C,ROW()-1)=$C467),$E$2:INDEX($E:$E,ROW()-1)),IFERROR(VLOOKUP($C467,'01_Warehouse_Ledger'!$A$2:$C$2002,3,FALSE),"")))</f>
        <v/>
      </c>
      <c r="G467" s="34"/>
    </row>
    <row r="468" spans="1:7">
      <c r="A468" s="69"/>
      <c r="D468" t="str">
        <f>IF($C468="","",IFERROR(LOOKUP(2,1/($C$2:INDEX($C:$C,ROW()-1)=$C468),$E$2:INDEX($E:$E,ROW()-1)),IFERROR(VLOOKUP($C468,'01_Warehouse_Ledger'!$A$2:$C$2002,3,FALSE),"")))</f>
        <v/>
      </c>
      <c r="G468" s="34"/>
    </row>
    <row r="469" spans="1:7">
      <c r="A469" s="69"/>
      <c r="D469" t="str">
        <f>IF($C469="","",IFERROR(LOOKUP(2,1/($C$2:INDEX($C:$C,ROW()-1)=$C469),$E$2:INDEX($E:$E,ROW()-1)),IFERROR(VLOOKUP($C469,'01_Warehouse_Ledger'!$A$2:$C$2002,3,FALSE),"")))</f>
        <v/>
      </c>
      <c r="G469" s="34"/>
    </row>
    <row r="470" spans="1:7">
      <c r="A470" s="69"/>
      <c r="D470" t="str">
        <f>IF($C470="","",IFERROR(LOOKUP(2,1/($C$2:INDEX($C:$C,ROW()-1)=$C470),$E$2:INDEX($E:$E,ROW()-1)),IFERROR(VLOOKUP($C470,'01_Warehouse_Ledger'!$A$2:$C$2002,3,FALSE),"")))</f>
        <v/>
      </c>
      <c r="G470" s="34"/>
    </row>
    <row r="471" spans="1:7">
      <c r="A471" s="69"/>
      <c r="D471" t="str">
        <f>IF($C471="","",IFERROR(LOOKUP(2,1/($C$2:INDEX($C:$C,ROW()-1)=$C471),$E$2:INDEX($E:$E,ROW()-1)),IFERROR(VLOOKUP($C471,'01_Warehouse_Ledger'!$A$2:$C$2002,3,FALSE),"")))</f>
        <v/>
      </c>
      <c r="G471" s="34"/>
    </row>
    <row r="472" spans="1:7">
      <c r="A472" s="69"/>
      <c r="D472" t="str">
        <f>IF($C472="","",IFERROR(LOOKUP(2,1/($C$2:INDEX($C:$C,ROW()-1)=$C472),$E$2:INDEX($E:$E,ROW()-1)),IFERROR(VLOOKUP($C472,'01_Warehouse_Ledger'!$A$2:$C$2002,3,FALSE),"")))</f>
        <v/>
      </c>
      <c r="G472" s="34"/>
    </row>
    <row r="473" spans="1:7">
      <c r="A473" s="69"/>
      <c r="D473" t="str">
        <f>IF($C473="","",IFERROR(LOOKUP(2,1/($C$2:INDEX($C:$C,ROW()-1)=$C473),$E$2:INDEX($E:$E,ROW()-1)),IFERROR(VLOOKUP($C473,'01_Warehouse_Ledger'!$A$2:$C$2002,3,FALSE),"")))</f>
        <v/>
      </c>
      <c r="G473" s="34"/>
    </row>
    <row r="474" spans="1:7">
      <c r="A474" s="69"/>
      <c r="D474" t="str">
        <f>IF($C474="","",IFERROR(LOOKUP(2,1/($C$2:INDEX($C:$C,ROW()-1)=$C474),$E$2:INDEX($E:$E,ROW()-1)),IFERROR(VLOOKUP($C474,'01_Warehouse_Ledger'!$A$2:$C$2002,3,FALSE),"")))</f>
        <v/>
      </c>
      <c r="G474" s="34"/>
    </row>
    <row r="475" spans="1:7">
      <c r="A475" s="69"/>
      <c r="D475" t="str">
        <f>IF($C475="","",IFERROR(LOOKUP(2,1/($C$2:INDEX($C:$C,ROW()-1)=$C475),$E$2:INDEX($E:$E,ROW()-1)),IFERROR(VLOOKUP($C475,'01_Warehouse_Ledger'!$A$2:$C$2002,3,FALSE),"")))</f>
        <v/>
      </c>
      <c r="G475" s="34"/>
    </row>
    <row r="476" spans="1:7">
      <c r="A476" s="69"/>
      <c r="D476" t="str">
        <f>IF($C476="","",IFERROR(LOOKUP(2,1/($C$2:INDEX($C:$C,ROW()-1)=$C476),$E$2:INDEX($E:$E,ROW()-1)),IFERROR(VLOOKUP($C476,'01_Warehouse_Ledger'!$A$2:$C$2002,3,FALSE),"")))</f>
        <v/>
      </c>
      <c r="G476" s="34"/>
    </row>
    <row r="477" spans="1:7">
      <c r="A477" s="69"/>
      <c r="D477" t="str">
        <f>IF($C477="","",IFERROR(LOOKUP(2,1/($C$2:INDEX($C:$C,ROW()-1)=$C477),$E$2:INDEX($E:$E,ROW()-1)),IFERROR(VLOOKUP($C477,'01_Warehouse_Ledger'!$A$2:$C$2002,3,FALSE),"")))</f>
        <v/>
      </c>
      <c r="G477" s="34"/>
    </row>
    <row r="478" spans="1:7">
      <c r="A478" s="69"/>
      <c r="D478" t="str">
        <f>IF($C478="","",IFERROR(LOOKUP(2,1/($C$2:INDEX($C:$C,ROW()-1)=$C478),$E$2:INDEX($E:$E,ROW()-1)),IFERROR(VLOOKUP($C478,'01_Warehouse_Ledger'!$A$2:$C$2002,3,FALSE),"")))</f>
        <v/>
      </c>
      <c r="G478" s="34"/>
    </row>
    <row r="479" spans="1:7">
      <c r="A479" s="69"/>
      <c r="D479" t="str">
        <f>IF($C479="","",IFERROR(LOOKUP(2,1/($C$2:INDEX($C:$C,ROW()-1)=$C479),$E$2:INDEX($E:$E,ROW()-1)),IFERROR(VLOOKUP($C479,'01_Warehouse_Ledger'!$A$2:$C$2002,3,FALSE),"")))</f>
        <v/>
      </c>
      <c r="G479" s="34"/>
    </row>
    <row r="480" spans="1:7">
      <c r="A480" s="69"/>
      <c r="D480" t="str">
        <f>IF($C480="","",IFERROR(LOOKUP(2,1/($C$2:INDEX($C:$C,ROW()-1)=$C480),$E$2:INDEX($E:$E,ROW()-1)),IFERROR(VLOOKUP($C480,'01_Warehouse_Ledger'!$A$2:$C$2002,3,FALSE),"")))</f>
        <v/>
      </c>
      <c r="G480" s="34"/>
    </row>
    <row r="481" spans="1:7">
      <c r="A481" s="69"/>
      <c r="D481" t="str">
        <f>IF($C481="","",IFERROR(LOOKUP(2,1/($C$2:INDEX($C:$C,ROW()-1)=$C481),$E$2:INDEX($E:$E,ROW()-1)),IFERROR(VLOOKUP($C481,'01_Warehouse_Ledger'!$A$2:$C$2002,3,FALSE),"")))</f>
        <v/>
      </c>
      <c r="G481" s="34"/>
    </row>
    <row r="482" spans="1:7">
      <c r="A482" s="69"/>
      <c r="D482" t="str">
        <f>IF($C482="","",IFERROR(LOOKUP(2,1/($C$2:INDEX($C:$C,ROW()-1)=$C482),$E$2:INDEX($E:$E,ROW()-1)),IFERROR(VLOOKUP($C482,'01_Warehouse_Ledger'!$A$2:$C$2002,3,FALSE),"")))</f>
        <v/>
      </c>
      <c r="G482" s="34"/>
    </row>
    <row r="483" spans="1:7">
      <c r="A483" s="69"/>
      <c r="D483" t="str">
        <f>IF($C483="","",IFERROR(LOOKUP(2,1/($C$2:INDEX($C:$C,ROW()-1)=$C483),$E$2:INDEX($E:$E,ROW()-1)),IFERROR(VLOOKUP($C483,'01_Warehouse_Ledger'!$A$2:$C$2002,3,FALSE),"")))</f>
        <v/>
      </c>
      <c r="G483" s="34"/>
    </row>
    <row r="484" spans="1:7">
      <c r="A484" s="69"/>
      <c r="D484" t="str">
        <f>IF($C484="","",IFERROR(LOOKUP(2,1/($C$2:INDEX($C:$C,ROW()-1)=$C484),$E$2:INDEX($E:$E,ROW()-1)),IFERROR(VLOOKUP($C484,'01_Warehouse_Ledger'!$A$2:$C$2002,3,FALSE),"")))</f>
        <v/>
      </c>
      <c r="G484" s="34"/>
    </row>
    <row r="485" spans="1:7">
      <c r="A485" s="69"/>
      <c r="D485" t="str">
        <f>IF($C485="","",IFERROR(LOOKUP(2,1/($C$2:INDEX($C:$C,ROW()-1)=$C485),$E$2:INDEX($E:$E,ROW()-1)),IFERROR(VLOOKUP($C485,'01_Warehouse_Ledger'!$A$2:$C$2002,3,FALSE),"")))</f>
        <v/>
      </c>
      <c r="G485" s="34"/>
    </row>
    <row r="486" spans="1:7">
      <c r="A486" s="69"/>
      <c r="D486" t="str">
        <f>IF($C486="","",IFERROR(LOOKUP(2,1/($C$2:INDEX($C:$C,ROW()-1)=$C486),$E$2:INDEX($E:$E,ROW()-1)),IFERROR(VLOOKUP($C486,'01_Warehouse_Ledger'!$A$2:$C$2002,3,FALSE),"")))</f>
        <v/>
      </c>
      <c r="G486" s="34"/>
    </row>
    <row r="487" spans="1:7">
      <c r="A487" s="69"/>
      <c r="D487" t="str">
        <f>IF($C487="","",IFERROR(LOOKUP(2,1/($C$2:INDEX($C:$C,ROW()-1)=$C487),$E$2:INDEX($E:$E,ROW()-1)),IFERROR(VLOOKUP($C487,'01_Warehouse_Ledger'!$A$2:$C$2002,3,FALSE),"")))</f>
        <v/>
      </c>
      <c r="G487" s="34"/>
    </row>
    <row r="488" spans="1:7">
      <c r="A488" s="69"/>
      <c r="D488" t="str">
        <f>IF($C488="","",IFERROR(LOOKUP(2,1/($C$2:INDEX($C:$C,ROW()-1)=$C488),$E$2:INDEX($E:$E,ROW()-1)),IFERROR(VLOOKUP($C488,'01_Warehouse_Ledger'!$A$2:$C$2002,3,FALSE),"")))</f>
        <v/>
      </c>
      <c r="G488" s="34"/>
    </row>
    <row r="489" spans="1:7">
      <c r="A489" s="69"/>
      <c r="D489" t="str">
        <f>IF($C489="","",IFERROR(LOOKUP(2,1/($C$2:INDEX($C:$C,ROW()-1)=$C489),$E$2:INDEX($E:$E,ROW()-1)),IFERROR(VLOOKUP($C489,'01_Warehouse_Ledger'!$A$2:$C$2002,3,FALSE),"")))</f>
        <v/>
      </c>
      <c r="G489" s="34"/>
    </row>
    <row r="490" spans="1:7">
      <c r="A490" s="69"/>
      <c r="D490" t="str">
        <f>IF($C490="","",IFERROR(LOOKUP(2,1/($C$2:INDEX($C:$C,ROW()-1)=$C490),$E$2:INDEX($E:$E,ROW()-1)),IFERROR(VLOOKUP($C490,'01_Warehouse_Ledger'!$A$2:$C$2002,3,FALSE),"")))</f>
        <v/>
      </c>
      <c r="G490" s="34"/>
    </row>
    <row r="491" spans="1:7">
      <c r="A491" s="69"/>
      <c r="D491" t="str">
        <f>IF($C491="","",IFERROR(LOOKUP(2,1/($C$2:INDEX($C:$C,ROW()-1)=$C491),$E$2:INDEX($E:$E,ROW()-1)),IFERROR(VLOOKUP($C491,'01_Warehouse_Ledger'!$A$2:$C$2002,3,FALSE),"")))</f>
        <v/>
      </c>
      <c r="G491" s="34"/>
    </row>
    <row r="492" spans="1:7">
      <c r="A492" s="69"/>
      <c r="D492" t="str">
        <f>IF($C492="","",IFERROR(LOOKUP(2,1/($C$2:INDEX($C:$C,ROW()-1)=$C492),$E$2:INDEX($E:$E,ROW()-1)),IFERROR(VLOOKUP($C492,'01_Warehouse_Ledger'!$A$2:$C$2002,3,FALSE),"")))</f>
        <v/>
      </c>
      <c r="G492" s="34"/>
    </row>
    <row r="493" spans="1:7">
      <c r="A493" s="69"/>
      <c r="D493" t="str">
        <f>IF($C493="","",IFERROR(LOOKUP(2,1/($C$2:INDEX($C:$C,ROW()-1)=$C493),$E$2:INDEX($E:$E,ROW()-1)),IFERROR(VLOOKUP($C493,'01_Warehouse_Ledger'!$A$2:$C$2002,3,FALSE),"")))</f>
        <v/>
      </c>
      <c r="G493" s="34"/>
    </row>
    <row r="494" spans="1:7">
      <c r="A494" s="69"/>
      <c r="D494" t="str">
        <f>IF($C494="","",IFERROR(LOOKUP(2,1/($C$2:INDEX($C:$C,ROW()-1)=$C494),$E$2:INDEX($E:$E,ROW()-1)),IFERROR(VLOOKUP($C494,'01_Warehouse_Ledger'!$A$2:$C$2002,3,FALSE),"")))</f>
        <v/>
      </c>
      <c r="G494" s="34"/>
    </row>
    <row r="495" spans="1:7">
      <c r="A495" s="69"/>
      <c r="D495" t="str">
        <f>IF($C495="","",IFERROR(LOOKUP(2,1/($C$2:INDEX($C:$C,ROW()-1)=$C495),$E$2:INDEX($E:$E,ROW()-1)),IFERROR(VLOOKUP($C495,'01_Warehouse_Ledger'!$A$2:$C$2002,3,FALSE),"")))</f>
        <v/>
      </c>
      <c r="G495" s="34"/>
    </row>
    <row r="496" spans="1:7">
      <c r="A496" s="69"/>
      <c r="D496" t="str">
        <f>IF($C496="","",IFERROR(LOOKUP(2,1/($C$2:INDEX($C:$C,ROW()-1)=$C496),$E$2:INDEX($E:$E,ROW()-1)),IFERROR(VLOOKUP($C496,'01_Warehouse_Ledger'!$A$2:$C$2002,3,FALSE),"")))</f>
        <v/>
      </c>
      <c r="G496" s="34"/>
    </row>
    <row r="497" spans="1:7">
      <c r="A497" s="69"/>
      <c r="D497" t="str">
        <f>IF($C497="","",IFERROR(LOOKUP(2,1/($C$2:INDEX($C:$C,ROW()-1)=$C497),$E$2:INDEX($E:$E,ROW()-1)),IFERROR(VLOOKUP($C497,'01_Warehouse_Ledger'!$A$2:$C$2002,3,FALSE),"")))</f>
        <v/>
      </c>
      <c r="G497" s="34"/>
    </row>
    <row r="498" spans="1:7">
      <c r="A498" s="69"/>
      <c r="D498" t="str">
        <f>IF($C498="","",IFERROR(LOOKUP(2,1/($C$2:INDEX($C:$C,ROW()-1)=$C498),$E$2:INDEX($E:$E,ROW()-1)),IFERROR(VLOOKUP($C498,'01_Warehouse_Ledger'!$A$2:$C$2002,3,FALSE),"")))</f>
        <v/>
      </c>
      <c r="G498" s="34"/>
    </row>
    <row r="499" spans="1:7">
      <c r="A499" s="69"/>
      <c r="D499" t="str">
        <f>IF($C499="","",IFERROR(LOOKUP(2,1/($C$2:INDEX($C:$C,ROW()-1)=$C499),$E$2:INDEX($E:$E,ROW()-1)),IFERROR(VLOOKUP($C499,'01_Warehouse_Ledger'!$A$2:$C$2002,3,FALSE),"")))</f>
        <v/>
      </c>
      <c r="G499" s="34"/>
    </row>
    <row r="500" spans="1:7">
      <c r="A500" s="69"/>
      <c r="D500" t="str">
        <f>IF($C500="","",IFERROR(LOOKUP(2,1/($C$2:INDEX($C:$C,ROW()-1)=$C500),$E$2:INDEX($E:$E,ROW()-1)),IFERROR(VLOOKUP($C500,'01_Warehouse_Ledger'!$A$2:$C$2002,3,FALSE),"")))</f>
        <v/>
      </c>
      <c r="G500" s="34"/>
    </row>
    <row r="501" spans="1:7">
      <c r="A501" s="69"/>
      <c r="G501" s="34"/>
    </row>
  </sheetData>
  <conditionalFormatting sqref="A2:J500">
    <cfRule type="expression" dxfId="34" priority="1" stopIfTrue="1">
      <formula>AND($B2&lt;&gt;"",OR($A2="",TRIM($C2)="",TRIM($E2)=""))</formula>
    </cfRule>
    <cfRule type="expression" dxfId="33" priority="4">
      <formula>AND(TRIM($C2)&lt;&gt;"",TRIM($E2)&lt;&gt;"",$D2="")</formula>
    </cfRule>
  </conditionalFormatting>
  <dataValidations count="3">
    <dataValidation type="list" allowBlank="1" sqref="B2:B500" xr:uid="{00000000-0002-0000-0500-000000000000}">
      <formula1>"RECEIVE,MOVE,PICK,COUNT,ADJUST,SHIP,RETURN"</formula1>
    </dataValidation>
    <dataValidation type="custom" allowBlank="1" showInputMessage="1" showErrorMessage="1" sqref="D2:D1048576" xr:uid="{00000000-0002-0000-0500-000001000000}">
      <formula1>FALSE</formula1>
    </dataValidation>
    <dataValidation type="custom" allowBlank="1" showInputMessage="1" showErrorMessage="1" errorTitle="Automated field, foo 🤡" error="Skedaddle 💨. Don't overwrite formulas 😄" sqref="E2:E69 G70:G499" xr:uid="{00000000-0002-0000-0500-000002000000}">
      <formula1>FALSE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59999389629810485"/>
  </sheetPr>
  <dimension ref="A1:D100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45" customWidth="1"/>
    <col min="3" max="3" width="30" customWidth="1"/>
    <col min="4" max="4" width="35" customWidth="1"/>
  </cols>
  <sheetData>
    <row r="1" spans="1:4">
      <c r="A1" s="67" t="s">
        <v>1250</v>
      </c>
      <c r="B1" s="67" t="s">
        <v>1251</v>
      </c>
      <c r="C1" s="67" t="s">
        <v>1252</v>
      </c>
      <c r="D1" s="67" t="s">
        <v>189</v>
      </c>
    </row>
    <row r="2" spans="1:4">
      <c r="A2" s="36" t="s">
        <v>1253</v>
      </c>
    </row>
    <row r="3" spans="1:4">
      <c r="A3" t="s">
        <v>1254</v>
      </c>
      <c r="B3" t="str">
        <f>IF('02_Warehouse_Locations'!A2="","",'02_Warehouse_Locations'!A2)</f>
        <v>STAGED</v>
      </c>
      <c r="C3" t="str">
        <f t="shared" ref="C3:C66" si="0">IF(B3="","",B3)</f>
        <v>STAGED</v>
      </c>
      <c r="D3" t="s">
        <v>1255</v>
      </c>
    </row>
    <row r="4" spans="1:4">
      <c r="A4" t="s">
        <v>1254</v>
      </c>
      <c r="B4" t="str">
        <f>IF('02_Warehouse_Locations'!A3="","",'02_Warehouse_Locations'!A3)</f>
        <v>STAGE_OUT</v>
      </c>
      <c r="C4" t="str">
        <f t="shared" si="0"/>
        <v>STAGE_OUT</v>
      </c>
      <c r="D4" t="s">
        <v>1255</v>
      </c>
    </row>
    <row r="5" spans="1:4">
      <c r="A5" t="s">
        <v>1254</v>
      </c>
      <c r="B5" t="str">
        <f>IF('02_Warehouse_Locations'!A4="","",'02_Warehouse_Locations'!A4)</f>
        <v>QUARANTINE</v>
      </c>
      <c r="C5" t="str">
        <f t="shared" si="0"/>
        <v>QUARANTINE</v>
      </c>
      <c r="D5" t="s">
        <v>1255</v>
      </c>
    </row>
    <row r="6" spans="1:4">
      <c r="A6" t="s">
        <v>1254</v>
      </c>
      <c r="B6" t="str">
        <f>IF('02_Warehouse_Locations'!A5="","",'02_Warehouse_Locations'!A5)</f>
        <v>Z1</v>
      </c>
      <c r="C6" t="str">
        <f t="shared" si="0"/>
        <v>Z1</v>
      </c>
      <c r="D6" t="s">
        <v>1255</v>
      </c>
    </row>
    <row r="7" spans="1:4">
      <c r="A7" t="s">
        <v>1254</v>
      </c>
      <c r="B7" t="str">
        <f>IF('02_Warehouse_Locations'!A6="","",'02_Warehouse_Locations'!A6)</f>
        <v>A</v>
      </c>
      <c r="C7" t="str">
        <f t="shared" si="0"/>
        <v>A</v>
      </c>
      <c r="D7" t="s">
        <v>1255</v>
      </c>
    </row>
    <row r="8" spans="1:4">
      <c r="A8" t="s">
        <v>1254</v>
      </c>
      <c r="B8" t="str">
        <f>IF('02_Warehouse_Locations'!A7="","",'02_Warehouse_Locations'!A7)</f>
        <v>Between rows segment 02</v>
      </c>
      <c r="C8" t="str">
        <f t="shared" si="0"/>
        <v>Between rows segment 02</v>
      </c>
      <c r="D8" t="s">
        <v>1255</v>
      </c>
    </row>
    <row r="9" spans="1:4">
      <c r="A9" t="s">
        <v>1254</v>
      </c>
      <c r="B9" t="str">
        <f>IF('02_Warehouse_Locations'!A8="","",'02_Warehouse_Locations'!A8)</f>
        <v>01</v>
      </c>
      <c r="C9" t="str">
        <f t="shared" si="0"/>
        <v>01</v>
      </c>
      <c r="D9" t="s">
        <v>1255</v>
      </c>
    </row>
    <row r="10" spans="1:4">
      <c r="A10" t="s">
        <v>1254</v>
      </c>
      <c r="B10" t="str">
        <f>IF('02_Warehouse_Locations'!A9="","",'02_Warehouse_Locations'!A9)</f>
        <v>UNSAFE</v>
      </c>
      <c r="C10" t="str">
        <f t="shared" si="0"/>
        <v>UNSAFE</v>
      </c>
      <c r="D10" t="s">
        <v>1255</v>
      </c>
    </row>
    <row r="11" spans="1:4">
      <c r="A11" t="s">
        <v>1254</v>
      </c>
      <c r="B11" t="str">
        <f>IF('02_Warehouse_Locations'!A10="","",'02_Warehouse_Locations'!A10)</f>
        <v>SAMPLE: Grid A03</v>
      </c>
      <c r="C11" t="str">
        <f t="shared" si="0"/>
        <v>SAMPLE: Grid A03</v>
      </c>
      <c r="D11" t="s">
        <v>1255</v>
      </c>
    </row>
    <row r="12" spans="1:4">
      <c r="A12" t="s">
        <v>1254</v>
      </c>
      <c r="B12" t="str">
        <f>IF('02_Warehouse_Locations'!A11="","",'02_Warehouse_Locations'!A11)</f>
        <v>SAMPLE: Grid A04</v>
      </c>
      <c r="C12" t="str">
        <f t="shared" si="0"/>
        <v>SAMPLE: Grid A04</v>
      </c>
      <c r="D12" t="s">
        <v>1255</v>
      </c>
    </row>
    <row r="13" spans="1:4">
      <c r="A13" t="s">
        <v>1254</v>
      </c>
      <c r="B13" t="str">
        <f>IF('02_Warehouse_Locations'!A12="","",'02_Warehouse_Locations'!A12)</f>
        <v>SAMPLE: Power Supplies</v>
      </c>
      <c r="C13" t="str">
        <f t="shared" si="0"/>
        <v>SAMPLE: Power Supplies</v>
      </c>
      <c r="D13" t="s">
        <v>1255</v>
      </c>
    </row>
    <row r="14" spans="1:4">
      <c r="A14" t="s">
        <v>1254</v>
      </c>
      <c r="B14" t="str">
        <f>IF('02_Warehouse_Locations'!A13="","",'02_Warehouse_Locations'!A13)</f>
        <v>SAMPLE: Imaging Equipment</v>
      </c>
      <c r="C14" t="str">
        <f t="shared" si="0"/>
        <v>SAMPLE: Imaging Equipment</v>
      </c>
      <c r="D14" t="s">
        <v>1255</v>
      </c>
    </row>
    <row r="15" spans="1:4">
      <c r="A15" t="s">
        <v>1254</v>
      </c>
      <c r="B15" t="str">
        <f>IF('02_Warehouse_Locations'!A14="","",'02_Warehouse_Locations'!A14)</f>
        <v>SAMPLE: Misc Hardware</v>
      </c>
      <c r="C15" t="str">
        <f t="shared" si="0"/>
        <v>SAMPLE: Misc Hardware</v>
      </c>
      <c r="D15" t="s">
        <v>1255</v>
      </c>
    </row>
    <row r="16" spans="1:4">
      <c r="A16" t="s">
        <v>1254</v>
      </c>
      <c r="B16" t="str">
        <f>IF('02_Warehouse_Locations'!A15="","",'02_Warehouse_Locations'!A15)</f>
        <v>SAMPLE: Dell Devices</v>
      </c>
      <c r="C16" t="str">
        <f t="shared" si="0"/>
        <v>SAMPLE: Dell Devices</v>
      </c>
      <c r="D16" t="s">
        <v>1255</v>
      </c>
    </row>
    <row r="17" spans="1:4">
      <c r="A17" t="s">
        <v>1254</v>
      </c>
      <c r="B17" t="str">
        <f>IF('02_Warehouse_Locations'!A16="","",'02_Warehouse_Locations'!A16)</f>
        <v>PAL-0000013</v>
      </c>
      <c r="C17" t="str">
        <f t="shared" si="0"/>
        <v>PAL-0000013</v>
      </c>
      <c r="D17" t="s">
        <v>1255</v>
      </c>
    </row>
    <row r="18" spans="1:4">
      <c r="A18" t="s">
        <v>1254</v>
      </c>
      <c r="B18" t="str">
        <f>IF('02_Warehouse_Locations'!A17="","",'02_Warehouse_Locations'!A17)</f>
        <v>SAMPLE: Cables &amp; Adapters</v>
      </c>
      <c r="C18" t="str">
        <f t="shared" si="0"/>
        <v>SAMPLE: Cables &amp; Adapters</v>
      </c>
      <c r="D18" t="s">
        <v>1255</v>
      </c>
    </row>
    <row r="19" spans="1:4">
      <c r="A19" t="s">
        <v>1254</v>
      </c>
      <c r="B19" t="str">
        <f>IF('02_Warehouse_Locations'!A18="","",'02_Warehouse_Locations'!A18)</f>
        <v>SAMPLE: Racks &amp; Rails</v>
      </c>
      <c r="C19" t="str">
        <f t="shared" si="0"/>
        <v>SAMPLE: Racks &amp; Rails</v>
      </c>
      <c r="D19" t="s">
        <v>1255</v>
      </c>
    </row>
    <row r="20" spans="1:4">
      <c r="A20" t="s">
        <v>1254</v>
      </c>
      <c r="B20" t="str">
        <f>IF('02_Warehouse_Locations'!A19="","",'02_Warehouse_Locations'!A19)</f>
        <v>SAMPLE: Networking Gear</v>
      </c>
      <c r="C20" t="str">
        <f t="shared" si="0"/>
        <v>SAMPLE: Networking Gear</v>
      </c>
      <c r="D20" t="s">
        <v>1255</v>
      </c>
    </row>
    <row r="21" spans="1:4">
      <c r="A21" t="s">
        <v>1254</v>
      </c>
      <c r="B21" t="str">
        <f>IF('02_Warehouse_Locations'!A20="","",'02_Warehouse_Locations'!A20)</f>
        <v>SAMPLE: Keyboards &amp; Mice</v>
      </c>
      <c r="C21" t="str">
        <f t="shared" si="0"/>
        <v>SAMPLE: Keyboards &amp; Mice</v>
      </c>
      <c r="D21" t="s">
        <v>1255</v>
      </c>
    </row>
    <row r="22" spans="1:4">
      <c r="A22" t="s">
        <v>1254</v>
      </c>
      <c r="B22" t="str">
        <f>IF('02_Warehouse_Locations'!A21="","",'02_Warehouse_Locations'!A21)</f>
        <v>SAMPLE: Spare Parts</v>
      </c>
      <c r="C22" t="str">
        <f t="shared" si="0"/>
        <v>SAMPLE: Spare Parts</v>
      </c>
      <c r="D22" t="s">
        <v>1255</v>
      </c>
    </row>
    <row r="23" spans="1:4">
      <c r="A23" t="s">
        <v>1254</v>
      </c>
      <c r="B23" t="str">
        <f>IF('02_Warehouse_Locations'!A22="","",'02_Warehouse_Locations'!A22)</f>
        <v>PAL-0000019</v>
      </c>
      <c r="C23" t="str">
        <f t="shared" si="0"/>
        <v>PAL-0000019</v>
      </c>
      <c r="D23" t="s">
        <v>1255</v>
      </c>
    </row>
    <row r="24" spans="1:4">
      <c r="A24" t="s">
        <v>1254</v>
      </c>
      <c r="B24" t="str">
        <f>IF('02_Warehouse_Locations'!A23="","",'02_Warehouse_Locations'!A23)</f>
        <v>PAL-0000020</v>
      </c>
      <c r="C24" t="str">
        <f t="shared" si="0"/>
        <v>PAL-0000020</v>
      </c>
      <c r="D24" t="s">
        <v>1255</v>
      </c>
    </row>
    <row r="25" spans="1:4">
      <c r="A25" t="s">
        <v>1254</v>
      </c>
      <c r="B25" t="str">
        <f>IF('02_Warehouse_Locations'!A24="","",'02_Warehouse_Locations'!A24)</f>
        <v>PAL-0000021</v>
      </c>
      <c r="C25" t="str">
        <f t="shared" si="0"/>
        <v>PAL-0000021</v>
      </c>
      <c r="D25" t="s">
        <v>1255</v>
      </c>
    </row>
    <row r="26" spans="1:4">
      <c r="A26" t="s">
        <v>1254</v>
      </c>
      <c r="B26" t="str">
        <f>IF('02_Warehouse_Locations'!A25="","",'02_Warehouse_Locations'!A25)</f>
        <v>PAL-0000022</v>
      </c>
      <c r="C26" t="str">
        <f t="shared" si="0"/>
        <v>PAL-0000022</v>
      </c>
      <c r="D26" t="s">
        <v>1255</v>
      </c>
    </row>
    <row r="27" spans="1:4">
      <c r="A27" t="s">
        <v>1254</v>
      </c>
      <c r="B27" t="str">
        <f>IF('02_Warehouse_Locations'!A26="","",'02_Warehouse_Locations'!A26)</f>
        <v>PAL-0000023</v>
      </c>
      <c r="C27" t="str">
        <f t="shared" si="0"/>
        <v>PAL-0000023</v>
      </c>
      <c r="D27" t="s">
        <v>1255</v>
      </c>
    </row>
    <row r="28" spans="1:4">
      <c r="A28" t="s">
        <v>1254</v>
      </c>
      <c r="B28" t="str">
        <f>IF('02_Warehouse_Locations'!A27="","",'02_Warehouse_Locations'!A27)</f>
        <v>PAL-0000024</v>
      </c>
      <c r="C28" t="str">
        <f t="shared" si="0"/>
        <v>PAL-0000024</v>
      </c>
      <c r="D28" t="s">
        <v>1255</v>
      </c>
    </row>
    <row r="29" spans="1:4">
      <c r="A29" t="s">
        <v>1254</v>
      </c>
      <c r="B29" t="str">
        <f>IF('02_Warehouse_Locations'!A28="","",'02_Warehouse_Locations'!A28)</f>
        <v>PAL-0000025</v>
      </c>
      <c r="C29" t="str">
        <f t="shared" si="0"/>
        <v>PAL-0000025</v>
      </c>
      <c r="D29" t="s">
        <v>1255</v>
      </c>
    </row>
    <row r="30" spans="1:4">
      <c r="A30" t="s">
        <v>1254</v>
      </c>
      <c r="B30" t="str">
        <f>IF('02_Warehouse_Locations'!A29="","",'02_Warehouse_Locations'!A29)</f>
        <v>PAL-0000026</v>
      </c>
      <c r="C30" t="str">
        <f t="shared" si="0"/>
        <v>PAL-0000026</v>
      </c>
      <c r="D30" t="s">
        <v>1255</v>
      </c>
    </row>
    <row r="31" spans="1:4">
      <c r="A31" t="s">
        <v>1254</v>
      </c>
      <c r="B31" t="str">
        <f>IF('02_Warehouse_Locations'!A30="","",'02_Warehouse_Locations'!A30)</f>
        <v>PAL-0000027</v>
      </c>
      <c r="C31" t="str">
        <f t="shared" si="0"/>
        <v>PAL-0000027</v>
      </c>
      <c r="D31" t="s">
        <v>1255</v>
      </c>
    </row>
    <row r="32" spans="1:4">
      <c r="A32" t="s">
        <v>1254</v>
      </c>
      <c r="B32" t="str">
        <f>IF('02_Warehouse_Locations'!A31="","",'02_Warehouse_Locations'!A31)</f>
        <v>PAL-0000028</v>
      </c>
      <c r="C32" t="str">
        <f t="shared" si="0"/>
        <v>PAL-0000028</v>
      </c>
      <c r="D32" t="s">
        <v>1255</v>
      </c>
    </row>
    <row r="33" spans="1:4">
      <c r="A33" t="s">
        <v>1254</v>
      </c>
      <c r="B33" t="str">
        <f>IF('02_Warehouse_Locations'!A32="","",'02_Warehouse_Locations'!A32)</f>
        <v>PAL-0000029</v>
      </c>
      <c r="C33" t="str">
        <f t="shared" si="0"/>
        <v>PAL-0000029</v>
      </c>
      <c r="D33" t="s">
        <v>1255</v>
      </c>
    </row>
    <row r="34" spans="1:4">
      <c r="A34" t="s">
        <v>1254</v>
      </c>
      <c r="B34" t="str">
        <f>IF('02_Warehouse_Locations'!A33="","",'02_Warehouse_Locations'!A33)</f>
        <v>PAL-0000030</v>
      </c>
      <c r="C34" t="str">
        <f t="shared" si="0"/>
        <v>PAL-0000030</v>
      </c>
      <c r="D34" t="s">
        <v>1255</v>
      </c>
    </row>
    <row r="35" spans="1:4">
      <c r="A35" t="s">
        <v>1254</v>
      </c>
      <c r="B35" t="str">
        <f>IF('02_Warehouse_Locations'!A34="","",'02_Warehouse_Locations'!A34)</f>
        <v>PAL-0000031</v>
      </c>
      <c r="C35" t="str">
        <f t="shared" si="0"/>
        <v>PAL-0000031</v>
      </c>
      <c r="D35" t="s">
        <v>1255</v>
      </c>
    </row>
    <row r="36" spans="1:4">
      <c r="A36" t="s">
        <v>1254</v>
      </c>
      <c r="B36" t="str">
        <f>IF('02_Warehouse_Locations'!A35="","",'02_Warehouse_Locations'!A35)</f>
        <v>PAL-0000032</v>
      </c>
      <c r="C36" t="str">
        <f t="shared" si="0"/>
        <v>PAL-0000032</v>
      </c>
      <c r="D36" t="s">
        <v>1255</v>
      </c>
    </row>
    <row r="37" spans="1:4">
      <c r="A37" t="s">
        <v>1254</v>
      </c>
      <c r="B37" t="str">
        <f>IF('02_Warehouse_Locations'!A36="","",'02_Warehouse_Locations'!A36)</f>
        <v>PAL-0000033</v>
      </c>
      <c r="C37" t="str">
        <f t="shared" si="0"/>
        <v>PAL-0000033</v>
      </c>
      <c r="D37" t="s">
        <v>1255</v>
      </c>
    </row>
    <row r="38" spans="1:4">
      <c r="A38" t="s">
        <v>1254</v>
      </c>
      <c r="B38" t="str">
        <f>IF('02_Warehouse_Locations'!A37="","",'02_Warehouse_Locations'!A37)</f>
        <v>PAL-0000034</v>
      </c>
      <c r="C38" t="str">
        <f t="shared" si="0"/>
        <v>PAL-0000034</v>
      </c>
      <c r="D38" t="s">
        <v>1255</v>
      </c>
    </row>
    <row r="39" spans="1:4">
      <c r="A39" t="s">
        <v>1254</v>
      </c>
      <c r="B39" t="str">
        <f>IF('02_Warehouse_Locations'!A38="","",'02_Warehouse_Locations'!A38)</f>
        <v>PAL-0000035</v>
      </c>
      <c r="C39" t="str">
        <f t="shared" si="0"/>
        <v>PAL-0000035</v>
      </c>
      <c r="D39" t="s">
        <v>1255</v>
      </c>
    </row>
    <row r="40" spans="1:4">
      <c r="A40" t="s">
        <v>1254</v>
      </c>
      <c r="B40" t="str">
        <f>IF('02_Warehouse_Locations'!A39="","",'02_Warehouse_Locations'!A39)</f>
        <v>PAL-0000036</v>
      </c>
      <c r="C40" t="str">
        <f t="shared" si="0"/>
        <v>PAL-0000036</v>
      </c>
      <c r="D40" t="s">
        <v>1255</v>
      </c>
    </row>
    <row r="41" spans="1:4">
      <c r="A41" t="s">
        <v>1254</v>
      </c>
      <c r="B41" t="str">
        <f>IF('02_Warehouse_Locations'!A40="","",'02_Warehouse_Locations'!A40)</f>
        <v>PAL-0000037</v>
      </c>
      <c r="C41" t="str">
        <f t="shared" si="0"/>
        <v>PAL-0000037</v>
      </c>
      <c r="D41" t="s">
        <v>1255</v>
      </c>
    </row>
    <row r="42" spans="1:4">
      <c r="A42" t="s">
        <v>1254</v>
      </c>
      <c r="B42" t="str">
        <f>IF('02_Warehouse_Locations'!A41="","",'02_Warehouse_Locations'!A41)</f>
        <v>PAL-0000038</v>
      </c>
      <c r="C42" t="str">
        <f t="shared" si="0"/>
        <v>PAL-0000038</v>
      </c>
      <c r="D42" t="s">
        <v>1255</v>
      </c>
    </row>
    <row r="43" spans="1:4">
      <c r="A43" t="s">
        <v>1254</v>
      </c>
      <c r="B43" t="str">
        <f>IF('02_Warehouse_Locations'!A42="","",'02_Warehouse_Locations'!A42)</f>
        <v>PAL-0000039</v>
      </c>
      <c r="C43" t="str">
        <f t="shared" si="0"/>
        <v>PAL-0000039</v>
      </c>
      <c r="D43" t="s">
        <v>1255</v>
      </c>
    </row>
    <row r="44" spans="1:4">
      <c r="A44" t="s">
        <v>1254</v>
      </c>
      <c r="B44" t="str">
        <f>IF('02_Warehouse_Locations'!A43="","",'02_Warehouse_Locations'!A43)</f>
        <v>PAL-0000040</v>
      </c>
      <c r="C44" t="str">
        <f t="shared" si="0"/>
        <v>PAL-0000040</v>
      </c>
      <c r="D44" t="s">
        <v>1255</v>
      </c>
    </row>
    <row r="45" spans="1:4">
      <c r="A45" t="s">
        <v>1254</v>
      </c>
      <c r="B45" t="str">
        <f>IF('02_Warehouse_Locations'!A44="","",'02_Warehouse_Locations'!A44)</f>
        <v>PAL-0000041</v>
      </c>
      <c r="C45" t="str">
        <f t="shared" si="0"/>
        <v>PAL-0000041</v>
      </c>
      <c r="D45" t="s">
        <v>1255</v>
      </c>
    </row>
    <row r="46" spans="1:4">
      <c r="A46" t="s">
        <v>1254</v>
      </c>
      <c r="B46" t="str">
        <f>IF('02_Warehouse_Locations'!A45="","",'02_Warehouse_Locations'!A45)</f>
        <v>PAL-0000042</v>
      </c>
      <c r="C46" t="str">
        <f t="shared" si="0"/>
        <v>PAL-0000042</v>
      </c>
      <c r="D46" t="s">
        <v>1255</v>
      </c>
    </row>
    <row r="47" spans="1:4">
      <c r="A47" t="s">
        <v>1254</v>
      </c>
      <c r="B47" t="str">
        <f>IF('02_Warehouse_Locations'!A46="","",'02_Warehouse_Locations'!A46)</f>
        <v>PAL-0000043</v>
      </c>
      <c r="C47" t="str">
        <f t="shared" si="0"/>
        <v>PAL-0000043</v>
      </c>
      <c r="D47" t="s">
        <v>1255</v>
      </c>
    </row>
    <row r="48" spans="1:4">
      <c r="A48" t="s">
        <v>1254</v>
      </c>
      <c r="B48" t="str">
        <f>IF('02_Warehouse_Locations'!A47="","",'02_Warehouse_Locations'!A47)</f>
        <v>PAL-0000044</v>
      </c>
      <c r="C48" t="str">
        <f t="shared" si="0"/>
        <v>PAL-0000044</v>
      </c>
      <c r="D48" t="s">
        <v>1255</v>
      </c>
    </row>
    <row r="49" spans="1:4">
      <c r="A49" t="s">
        <v>1254</v>
      </c>
      <c r="B49" t="str">
        <f>IF('02_Warehouse_Locations'!A48="","",'02_Warehouse_Locations'!A48)</f>
        <v>PAL-0000045</v>
      </c>
      <c r="C49" t="str">
        <f t="shared" si="0"/>
        <v>PAL-0000045</v>
      </c>
      <c r="D49" t="s">
        <v>1255</v>
      </c>
    </row>
    <row r="50" spans="1:4">
      <c r="A50" t="s">
        <v>1254</v>
      </c>
      <c r="B50" t="str">
        <f>IF('02_Warehouse_Locations'!A49="","",'02_Warehouse_Locations'!A49)</f>
        <v>PAL-0000046</v>
      </c>
      <c r="C50" t="str">
        <f t="shared" si="0"/>
        <v>PAL-0000046</v>
      </c>
      <c r="D50" t="s">
        <v>1255</v>
      </c>
    </row>
    <row r="51" spans="1:4">
      <c r="A51" t="s">
        <v>1254</v>
      </c>
      <c r="B51" t="str">
        <f>IF('02_Warehouse_Locations'!A50="","",'02_Warehouse_Locations'!A50)</f>
        <v>PAL-0000047</v>
      </c>
      <c r="C51" t="str">
        <f t="shared" si="0"/>
        <v>PAL-0000047</v>
      </c>
      <c r="D51" t="s">
        <v>1255</v>
      </c>
    </row>
    <row r="52" spans="1:4">
      <c r="A52" t="s">
        <v>1254</v>
      </c>
      <c r="B52" t="str">
        <f>IF('02_Warehouse_Locations'!A51="","",'02_Warehouse_Locations'!A51)</f>
        <v>PAL-0000048</v>
      </c>
      <c r="C52" t="str">
        <f t="shared" si="0"/>
        <v>PAL-0000048</v>
      </c>
      <c r="D52" t="s">
        <v>1255</v>
      </c>
    </row>
    <row r="53" spans="1:4">
      <c r="A53" t="s">
        <v>1254</v>
      </c>
      <c r="B53" t="str">
        <f>IF('02_Warehouse_Locations'!A52="","",'02_Warehouse_Locations'!A52)</f>
        <v>PAL-0000049</v>
      </c>
      <c r="C53" t="str">
        <f t="shared" si="0"/>
        <v>PAL-0000049</v>
      </c>
      <c r="D53" t="s">
        <v>1255</v>
      </c>
    </row>
    <row r="54" spans="1:4">
      <c r="A54" t="s">
        <v>1254</v>
      </c>
      <c r="B54" t="str">
        <f>IF('02_Warehouse_Locations'!A53="","",'02_Warehouse_Locations'!A53)</f>
        <v>PAL-0000050</v>
      </c>
      <c r="C54" t="str">
        <f t="shared" si="0"/>
        <v>PAL-0000050</v>
      </c>
      <c r="D54" t="s">
        <v>1255</v>
      </c>
    </row>
    <row r="55" spans="1:4">
      <c r="A55" t="s">
        <v>1254</v>
      </c>
      <c r="B55" t="str">
        <f>IF('02_Warehouse_Locations'!A54="","",'02_Warehouse_Locations'!A54)</f>
        <v>RETIRED</v>
      </c>
      <c r="C55" t="str">
        <f t="shared" si="0"/>
        <v>RETIRED</v>
      </c>
      <c r="D55" t="s">
        <v>1255</v>
      </c>
    </row>
    <row r="56" spans="1:4">
      <c r="A56" t="s">
        <v>1254</v>
      </c>
      <c r="B56" t="str">
        <f>IF('02_Warehouse_Locations'!A55="","",'02_Warehouse_Locations'!A55)</f>
        <v>PAL-0000052</v>
      </c>
      <c r="C56" t="str">
        <f t="shared" si="0"/>
        <v>PAL-0000052</v>
      </c>
      <c r="D56" t="s">
        <v>1255</v>
      </c>
    </row>
    <row r="57" spans="1:4">
      <c r="A57" t="s">
        <v>1254</v>
      </c>
      <c r="B57" t="str">
        <f>IF('02_Warehouse_Locations'!A56="","",'02_Warehouse_Locations'!A56)</f>
        <v>PAL-0000053</v>
      </c>
      <c r="C57" t="str">
        <f t="shared" si="0"/>
        <v>PAL-0000053</v>
      </c>
      <c r="D57" t="s">
        <v>1255</v>
      </c>
    </row>
    <row r="58" spans="1:4">
      <c r="A58" t="s">
        <v>1254</v>
      </c>
      <c r="B58" t="str">
        <f>IF('02_Warehouse_Locations'!A57="","",'02_Warehouse_Locations'!A57)</f>
        <v>PAL-0000054</v>
      </c>
      <c r="C58" t="str">
        <f t="shared" si="0"/>
        <v>PAL-0000054</v>
      </c>
      <c r="D58" t="s">
        <v>1255</v>
      </c>
    </row>
    <row r="59" spans="1:4">
      <c r="A59" t="s">
        <v>1254</v>
      </c>
      <c r="B59" t="str">
        <f>IF('02_Warehouse_Locations'!A58="","",'02_Warehouse_Locations'!A58)</f>
        <v>PAL-0000055</v>
      </c>
      <c r="C59" t="str">
        <f t="shared" si="0"/>
        <v>PAL-0000055</v>
      </c>
      <c r="D59" t="s">
        <v>1255</v>
      </c>
    </row>
    <row r="60" spans="1:4">
      <c r="A60" t="s">
        <v>1254</v>
      </c>
      <c r="B60" t="str">
        <f>IF('02_Warehouse_Locations'!A59="","",'02_Warehouse_Locations'!A59)</f>
        <v>PAL-0000056</v>
      </c>
      <c r="C60" t="str">
        <f t="shared" si="0"/>
        <v>PAL-0000056</v>
      </c>
      <c r="D60" t="s">
        <v>1255</v>
      </c>
    </row>
    <row r="61" spans="1:4">
      <c r="A61" t="s">
        <v>1254</v>
      </c>
      <c r="B61" t="str">
        <f>IF('02_Warehouse_Locations'!A60="","",'02_Warehouse_Locations'!A60)</f>
        <v>PAL-0000057</v>
      </c>
      <c r="C61" t="str">
        <f t="shared" si="0"/>
        <v>PAL-0000057</v>
      </c>
      <c r="D61" t="s">
        <v>1255</v>
      </c>
    </row>
    <row r="62" spans="1:4">
      <c r="A62" t="s">
        <v>1254</v>
      </c>
      <c r="B62" t="str">
        <f>IF('02_Warehouse_Locations'!A61="","",'02_Warehouse_Locations'!A61)</f>
        <v>PAL-0000058</v>
      </c>
      <c r="C62" t="str">
        <f t="shared" si="0"/>
        <v>PAL-0000058</v>
      </c>
      <c r="D62" t="s">
        <v>1255</v>
      </c>
    </row>
    <row r="63" spans="1:4">
      <c r="A63" t="s">
        <v>1254</v>
      </c>
      <c r="B63" t="str">
        <f>IF('02_Warehouse_Locations'!A62="","",'02_Warehouse_Locations'!A62)</f>
        <v>PAL-0000059</v>
      </c>
      <c r="C63" t="str">
        <f t="shared" si="0"/>
        <v>PAL-0000059</v>
      </c>
      <c r="D63" t="s">
        <v>1255</v>
      </c>
    </row>
    <row r="64" spans="1:4">
      <c r="A64" t="s">
        <v>1254</v>
      </c>
      <c r="B64" t="str">
        <f>IF('02_Warehouse_Locations'!A63="","",'02_Warehouse_Locations'!A63)</f>
        <v>PAL-0000060</v>
      </c>
      <c r="C64" t="str">
        <f t="shared" si="0"/>
        <v>PAL-0000060</v>
      </c>
      <c r="D64" t="s">
        <v>1255</v>
      </c>
    </row>
    <row r="65" spans="1:4">
      <c r="A65" t="s">
        <v>1254</v>
      </c>
      <c r="B65" t="str">
        <f>IF('02_Warehouse_Locations'!A64="","",'02_Warehouse_Locations'!A64)</f>
        <v>PAL-0000061</v>
      </c>
      <c r="C65" t="str">
        <f t="shared" si="0"/>
        <v>PAL-0000061</v>
      </c>
      <c r="D65" t="s">
        <v>1255</v>
      </c>
    </row>
    <row r="66" spans="1:4">
      <c r="A66" t="s">
        <v>1254</v>
      </c>
      <c r="B66" t="str">
        <f>IF('02_Warehouse_Locations'!A65="","",'02_Warehouse_Locations'!A65)</f>
        <v>SAMPLE: Grid C18</v>
      </c>
      <c r="C66" t="str">
        <f t="shared" si="0"/>
        <v>SAMPLE: Grid C18</v>
      </c>
      <c r="D66" t="s">
        <v>1255</v>
      </c>
    </row>
    <row r="67" spans="1:4">
      <c r="A67" t="s">
        <v>1254</v>
      </c>
      <c r="B67" t="str">
        <f>IF('02_Warehouse_Locations'!A66="","",'02_Warehouse_Locations'!A66)</f>
        <v>SAMPLE: Grid C19</v>
      </c>
      <c r="C67" t="str">
        <f t="shared" ref="C67:C130" si="1">IF(B67="","",B67)</f>
        <v>SAMPLE: Grid C19</v>
      </c>
      <c r="D67" t="s">
        <v>1255</v>
      </c>
    </row>
    <row r="68" spans="1:4">
      <c r="A68" t="s">
        <v>1254</v>
      </c>
      <c r="B68" t="str">
        <f>IF('02_Warehouse_Locations'!A67="","",'02_Warehouse_Locations'!A67)</f>
        <v>SAMPLE: Grid C20</v>
      </c>
      <c r="C68" t="str">
        <f t="shared" si="1"/>
        <v>SAMPLE: Grid C20</v>
      </c>
      <c r="D68" t="s">
        <v>1255</v>
      </c>
    </row>
    <row r="69" spans="1:4">
      <c r="A69" t="s">
        <v>1254</v>
      </c>
      <c r="B69" t="str">
        <f>IF('02_Warehouse_Locations'!A68="","",'02_Warehouse_Locations'!A68)</f>
        <v>D</v>
      </c>
      <c r="C69" t="str">
        <f t="shared" si="1"/>
        <v>D</v>
      </c>
      <c r="D69" t="s">
        <v>1255</v>
      </c>
    </row>
    <row r="70" spans="1:4">
      <c r="A70" t="s">
        <v>1254</v>
      </c>
      <c r="B70" t="str">
        <f>IF('02_Warehouse_Locations'!A69="","",'02_Warehouse_Locations'!A69)</f>
        <v>SAMPLE: Grid D02</v>
      </c>
      <c r="C70" t="str">
        <f t="shared" si="1"/>
        <v>SAMPLE: Grid D02</v>
      </c>
      <c r="D70" t="s">
        <v>1255</v>
      </c>
    </row>
    <row r="71" spans="1:4">
      <c r="A71" t="s">
        <v>1254</v>
      </c>
      <c r="B71" t="str">
        <f>IF('02_Warehouse_Locations'!A70="","",'02_Warehouse_Locations'!A70)</f>
        <v>SAMPLE: Grid D03</v>
      </c>
      <c r="C71" t="str">
        <f t="shared" si="1"/>
        <v>SAMPLE: Grid D03</v>
      </c>
      <c r="D71" t="s">
        <v>1255</v>
      </c>
    </row>
    <row r="72" spans="1:4">
      <c r="A72" t="s">
        <v>1254</v>
      </c>
      <c r="B72" t="str">
        <f>IF('02_Warehouse_Locations'!A71="","",'02_Warehouse_Locations'!A71)</f>
        <v>SAMPLE: Grid D04</v>
      </c>
      <c r="C72" t="str">
        <f t="shared" si="1"/>
        <v>SAMPLE: Grid D04</v>
      </c>
      <c r="D72" t="s">
        <v>1255</v>
      </c>
    </row>
    <row r="73" spans="1:4">
      <c r="A73" t="s">
        <v>1254</v>
      </c>
      <c r="B73" t="str">
        <f>IF('02_Warehouse_Locations'!A72="","",'02_Warehouse_Locations'!A72)</f>
        <v>SAMPLE: Grid D05</v>
      </c>
      <c r="C73" t="str">
        <f t="shared" si="1"/>
        <v>SAMPLE: Grid D05</v>
      </c>
      <c r="D73" t="s">
        <v>1255</v>
      </c>
    </row>
    <row r="74" spans="1:4">
      <c r="A74" t="s">
        <v>1254</v>
      </c>
      <c r="B74" t="str">
        <f>IF('02_Warehouse_Locations'!A73="","",'02_Warehouse_Locations'!A73)</f>
        <v>SAMPLE: Grid D06</v>
      </c>
      <c r="C74" t="str">
        <f t="shared" si="1"/>
        <v>SAMPLE: Grid D06</v>
      </c>
      <c r="D74" t="s">
        <v>1255</v>
      </c>
    </row>
    <row r="75" spans="1:4">
      <c r="A75" t="s">
        <v>1254</v>
      </c>
      <c r="B75" t="str">
        <f>IF('02_Warehouse_Locations'!A74="","",'02_Warehouse_Locations'!A74)</f>
        <v>SAMPLE: Grid D07</v>
      </c>
      <c r="C75" t="str">
        <f t="shared" si="1"/>
        <v>SAMPLE: Grid D07</v>
      </c>
      <c r="D75" t="s">
        <v>1255</v>
      </c>
    </row>
    <row r="76" spans="1:4">
      <c r="A76" t="s">
        <v>1254</v>
      </c>
      <c r="B76" t="str">
        <f>IF('02_Warehouse_Locations'!A75="","",'02_Warehouse_Locations'!A75)</f>
        <v>SAMPLE: Grid D08</v>
      </c>
      <c r="C76" t="str">
        <f t="shared" si="1"/>
        <v>SAMPLE: Grid D08</v>
      </c>
      <c r="D76" t="s">
        <v>1255</v>
      </c>
    </row>
    <row r="77" spans="1:4">
      <c r="A77" t="s">
        <v>1254</v>
      </c>
      <c r="B77" t="str">
        <f>IF('02_Warehouse_Locations'!A76="","",'02_Warehouse_Locations'!A76)</f>
        <v>SAMPLE: Grid D09</v>
      </c>
      <c r="C77" t="str">
        <f t="shared" si="1"/>
        <v>SAMPLE: Grid D09</v>
      </c>
      <c r="D77" t="s">
        <v>1255</v>
      </c>
    </row>
    <row r="78" spans="1:4">
      <c r="A78" t="s">
        <v>1254</v>
      </c>
      <c r="B78" t="str">
        <f>IF('02_Warehouse_Locations'!A77="","",'02_Warehouse_Locations'!A77)</f>
        <v>SAMPLE: Grid D10</v>
      </c>
      <c r="C78" t="str">
        <f t="shared" si="1"/>
        <v>SAMPLE: Grid D10</v>
      </c>
      <c r="D78" t="s">
        <v>1255</v>
      </c>
    </row>
    <row r="79" spans="1:4">
      <c r="A79" t="s">
        <v>1254</v>
      </c>
      <c r="B79" t="str">
        <f>IF('02_Warehouse_Locations'!A78="","",'02_Warehouse_Locations'!A78)</f>
        <v>SAMPLE: Grid D11</v>
      </c>
      <c r="C79" t="str">
        <f t="shared" si="1"/>
        <v>SAMPLE: Grid D11</v>
      </c>
      <c r="D79" t="s">
        <v>1255</v>
      </c>
    </row>
    <row r="80" spans="1:4">
      <c r="A80" t="s">
        <v>1254</v>
      </c>
      <c r="B80" t="str">
        <f>IF('02_Warehouse_Locations'!A79="","",'02_Warehouse_Locations'!A79)</f>
        <v>SAMPLE: Grid D12</v>
      </c>
      <c r="C80" t="str">
        <f t="shared" si="1"/>
        <v>SAMPLE: Grid D12</v>
      </c>
      <c r="D80" t="s">
        <v>1255</v>
      </c>
    </row>
    <row r="81" spans="1:4">
      <c r="A81" t="s">
        <v>1254</v>
      </c>
      <c r="B81" t="str">
        <f>IF('02_Warehouse_Locations'!A80="","",'02_Warehouse_Locations'!A80)</f>
        <v>SAMPLE: Grid D13</v>
      </c>
      <c r="C81" t="str">
        <f t="shared" si="1"/>
        <v>SAMPLE: Grid D13</v>
      </c>
      <c r="D81" t="s">
        <v>1255</v>
      </c>
    </row>
    <row r="82" spans="1:4">
      <c r="A82" t="s">
        <v>1254</v>
      </c>
      <c r="B82" t="str">
        <f>IF('02_Warehouse_Locations'!A81="","",'02_Warehouse_Locations'!A81)</f>
        <v>SAMPLE: Grid D14</v>
      </c>
      <c r="C82" t="str">
        <f t="shared" si="1"/>
        <v>SAMPLE: Grid D14</v>
      </c>
      <c r="D82" t="s">
        <v>1255</v>
      </c>
    </row>
    <row r="83" spans="1:4">
      <c r="A83" t="s">
        <v>1254</v>
      </c>
      <c r="B83" t="str">
        <f>IF('02_Warehouse_Locations'!A82="","",'02_Warehouse_Locations'!A82)</f>
        <v>SAMPLE: Grid D15</v>
      </c>
      <c r="C83" t="str">
        <f t="shared" si="1"/>
        <v>SAMPLE: Grid D15</v>
      </c>
      <c r="D83" t="s">
        <v>1255</v>
      </c>
    </row>
    <row r="84" spans="1:4">
      <c r="A84" t="s">
        <v>1254</v>
      </c>
      <c r="B84" t="str">
        <f>IF('02_Warehouse_Locations'!A83="","",'02_Warehouse_Locations'!A83)</f>
        <v>SAMPLE: Grid D16</v>
      </c>
      <c r="C84" t="str">
        <f t="shared" si="1"/>
        <v>SAMPLE: Grid D16</v>
      </c>
      <c r="D84" t="s">
        <v>1255</v>
      </c>
    </row>
    <row r="85" spans="1:4">
      <c r="A85" t="s">
        <v>1254</v>
      </c>
      <c r="B85" t="str">
        <f>IF('02_Warehouse_Locations'!A84="","",'02_Warehouse_Locations'!A84)</f>
        <v>SAMPLE: Grid D17</v>
      </c>
      <c r="C85" t="str">
        <f t="shared" si="1"/>
        <v>SAMPLE: Grid D17</v>
      </c>
      <c r="D85" t="s">
        <v>1255</v>
      </c>
    </row>
    <row r="86" spans="1:4">
      <c r="A86" t="s">
        <v>1254</v>
      </c>
      <c r="B86" t="str">
        <f>IF('02_Warehouse_Locations'!A85="","",'02_Warehouse_Locations'!A85)</f>
        <v>SAMPLE: Grid D18</v>
      </c>
      <c r="C86" t="str">
        <f t="shared" si="1"/>
        <v>SAMPLE: Grid D18</v>
      </c>
      <c r="D86" t="s">
        <v>1255</v>
      </c>
    </row>
    <row r="87" spans="1:4">
      <c r="A87" t="s">
        <v>1254</v>
      </c>
      <c r="B87" t="str">
        <f>IF('02_Warehouse_Locations'!A86="","",'02_Warehouse_Locations'!A86)</f>
        <v>SAMPLE: Grid D19</v>
      </c>
      <c r="C87" t="str">
        <f t="shared" si="1"/>
        <v>SAMPLE: Grid D19</v>
      </c>
      <c r="D87" t="s">
        <v>1255</v>
      </c>
    </row>
    <row r="88" spans="1:4">
      <c r="A88" t="s">
        <v>1254</v>
      </c>
      <c r="B88" t="str">
        <f>IF('02_Warehouse_Locations'!A87="","",'02_Warehouse_Locations'!A87)</f>
        <v>SAMPLE: Grid D20</v>
      </c>
      <c r="C88" t="str">
        <f t="shared" si="1"/>
        <v>SAMPLE: Grid D20</v>
      </c>
      <c r="D88" t="s">
        <v>1255</v>
      </c>
    </row>
    <row r="89" spans="1:4">
      <c r="A89" t="s">
        <v>1254</v>
      </c>
      <c r="B89" t="str">
        <f>IF('02_Warehouse_Locations'!A88="","",'02_Warehouse_Locations'!A88)</f>
        <v>E</v>
      </c>
      <c r="C89" t="str">
        <f t="shared" si="1"/>
        <v>E</v>
      </c>
      <c r="D89" t="s">
        <v>1255</v>
      </c>
    </row>
    <row r="90" spans="1:4">
      <c r="A90" t="s">
        <v>1254</v>
      </c>
      <c r="B90" t="str">
        <f>IF('02_Warehouse_Locations'!A89="","",'02_Warehouse_Locations'!A89)</f>
        <v>SAMPLE: Grid E02</v>
      </c>
      <c r="C90" t="str">
        <f t="shared" si="1"/>
        <v>SAMPLE: Grid E02</v>
      </c>
      <c r="D90" t="s">
        <v>1255</v>
      </c>
    </row>
    <row r="91" spans="1:4">
      <c r="A91" t="s">
        <v>1254</v>
      </c>
      <c r="B91" t="str">
        <f>IF('02_Warehouse_Locations'!A90="","",'02_Warehouse_Locations'!A90)</f>
        <v>SAMPLE: Grid E03</v>
      </c>
      <c r="C91" t="str">
        <f t="shared" si="1"/>
        <v>SAMPLE: Grid E03</v>
      </c>
      <c r="D91" t="s">
        <v>1255</v>
      </c>
    </row>
    <row r="92" spans="1:4">
      <c r="A92" t="s">
        <v>1254</v>
      </c>
      <c r="B92" t="str">
        <f>IF('02_Warehouse_Locations'!A91="","",'02_Warehouse_Locations'!A91)</f>
        <v>SAMPLE: Grid E04</v>
      </c>
      <c r="C92" t="str">
        <f t="shared" si="1"/>
        <v>SAMPLE: Grid E04</v>
      </c>
      <c r="D92" t="s">
        <v>1255</v>
      </c>
    </row>
    <row r="93" spans="1:4">
      <c r="A93" t="s">
        <v>1254</v>
      </c>
      <c r="B93" t="str">
        <f>IF('02_Warehouse_Locations'!A92="","",'02_Warehouse_Locations'!A92)</f>
        <v>SAMPLE: Grid E05</v>
      </c>
      <c r="C93" t="str">
        <f t="shared" si="1"/>
        <v>SAMPLE: Grid E05</v>
      </c>
      <c r="D93" t="s">
        <v>1255</v>
      </c>
    </row>
    <row r="94" spans="1:4">
      <c r="A94" t="s">
        <v>1254</v>
      </c>
      <c r="B94" t="str">
        <f>IF('02_Warehouse_Locations'!A93="","",'02_Warehouse_Locations'!A93)</f>
        <v>SAMPLE: Grid E06</v>
      </c>
      <c r="C94" t="str">
        <f t="shared" si="1"/>
        <v>SAMPLE: Grid E06</v>
      </c>
      <c r="D94" t="s">
        <v>1255</v>
      </c>
    </row>
    <row r="95" spans="1:4">
      <c r="A95" t="s">
        <v>1254</v>
      </c>
      <c r="B95" t="str">
        <f>IF('02_Warehouse_Locations'!A94="","",'02_Warehouse_Locations'!A94)</f>
        <v>SAMPLE: Grid E07</v>
      </c>
      <c r="C95" t="str">
        <f t="shared" si="1"/>
        <v>SAMPLE: Grid E07</v>
      </c>
      <c r="D95" t="s">
        <v>1255</v>
      </c>
    </row>
    <row r="96" spans="1:4">
      <c r="A96" t="s">
        <v>1254</v>
      </c>
      <c r="B96" t="str">
        <f>IF('02_Warehouse_Locations'!A95="","",'02_Warehouse_Locations'!A95)</f>
        <v>SAMPLE: Grid E08</v>
      </c>
      <c r="C96" t="str">
        <f t="shared" si="1"/>
        <v>SAMPLE: Grid E08</v>
      </c>
      <c r="D96" t="s">
        <v>1255</v>
      </c>
    </row>
    <row r="97" spans="1:4">
      <c r="A97" t="s">
        <v>1254</v>
      </c>
      <c r="B97" t="str">
        <f>IF('02_Warehouse_Locations'!A96="","",'02_Warehouse_Locations'!A96)</f>
        <v>SAMPLE: Grid E09</v>
      </c>
      <c r="C97" t="str">
        <f t="shared" si="1"/>
        <v>SAMPLE: Grid E09</v>
      </c>
      <c r="D97" t="s">
        <v>1255</v>
      </c>
    </row>
    <row r="98" spans="1:4">
      <c r="A98" t="s">
        <v>1254</v>
      </c>
      <c r="B98" t="str">
        <f>IF('02_Warehouse_Locations'!A97="","",'02_Warehouse_Locations'!A97)</f>
        <v>SAMPLE: Grid E10</v>
      </c>
      <c r="C98" t="str">
        <f t="shared" si="1"/>
        <v>SAMPLE: Grid E10</v>
      </c>
      <c r="D98" t="s">
        <v>1255</v>
      </c>
    </row>
    <row r="99" spans="1:4">
      <c r="A99" t="s">
        <v>1254</v>
      </c>
      <c r="B99" t="str">
        <f>IF('02_Warehouse_Locations'!A98="","",'02_Warehouse_Locations'!A98)</f>
        <v>SAMPLE: Grid E11</v>
      </c>
      <c r="C99" t="str">
        <f t="shared" si="1"/>
        <v>SAMPLE: Grid E11</v>
      </c>
      <c r="D99" t="s">
        <v>1255</v>
      </c>
    </row>
    <row r="100" spans="1:4">
      <c r="A100" t="s">
        <v>1254</v>
      </c>
      <c r="B100" t="str">
        <f>IF('02_Warehouse_Locations'!A99="","",'02_Warehouse_Locations'!A99)</f>
        <v>SAMPLE: Grid E12</v>
      </c>
      <c r="C100" t="str">
        <f t="shared" si="1"/>
        <v>SAMPLE: Grid E12</v>
      </c>
      <c r="D100" t="s">
        <v>1255</v>
      </c>
    </row>
    <row r="101" spans="1:4">
      <c r="A101" t="s">
        <v>1254</v>
      </c>
      <c r="B101" t="str">
        <f>IF('02_Warehouse_Locations'!A100="","",'02_Warehouse_Locations'!A100)</f>
        <v>SAMPLE: Grid E13</v>
      </c>
      <c r="C101" t="str">
        <f t="shared" si="1"/>
        <v>SAMPLE: Grid E13</v>
      </c>
      <c r="D101" t="s">
        <v>1255</v>
      </c>
    </row>
    <row r="102" spans="1:4">
      <c r="A102" t="s">
        <v>1254</v>
      </c>
      <c r="B102" t="str">
        <f>IF('02_Warehouse_Locations'!A101="","",'02_Warehouse_Locations'!A101)</f>
        <v>SAMPLE: Grid E14</v>
      </c>
      <c r="C102" t="str">
        <f t="shared" si="1"/>
        <v>SAMPLE: Grid E14</v>
      </c>
      <c r="D102" t="s">
        <v>1255</v>
      </c>
    </row>
    <row r="103" spans="1:4">
      <c r="A103" t="s">
        <v>1254</v>
      </c>
      <c r="B103" t="str">
        <f>IF('02_Warehouse_Locations'!A102="","",'02_Warehouse_Locations'!A102)</f>
        <v>SAMPLE: Grid E15</v>
      </c>
      <c r="C103" t="str">
        <f t="shared" si="1"/>
        <v>SAMPLE: Grid E15</v>
      </c>
      <c r="D103" t="s">
        <v>1255</v>
      </c>
    </row>
    <row r="104" spans="1:4">
      <c r="A104" t="s">
        <v>1254</v>
      </c>
      <c r="B104" t="str">
        <f>IF('02_Warehouse_Locations'!A103="","",'02_Warehouse_Locations'!A103)</f>
        <v>SAMPLE: Grid E16</v>
      </c>
      <c r="C104" t="str">
        <f t="shared" si="1"/>
        <v>SAMPLE: Grid E16</v>
      </c>
      <c r="D104" t="s">
        <v>1255</v>
      </c>
    </row>
    <row r="105" spans="1:4">
      <c r="A105" t="s">
        <v>1254</v>
      </c>
      <c r="B105" t="str">
        <f>IF('02_Warehouse_Locations'!A104="","",'02_Warehouse_Locations'!A104)</f>
        <v>SAMPLE: Grid E17</v>
      </c>
      <c r="C105" t="str">
        <f t="shared" si="1"/>
        <v>SAMPLE: Grid E17</v>
      </c>
      <c r="D105" t="s">
        <v>1255</v>
      </c>
    </row>
    <row r="106" spans="1:4">
      <c r="A106" t="s">
        <v>1254</v>
      </c>
      <c r="B106" t="str">
        <f>IF('02_Warehouse_Locations'!A105="","",'02_Warehouse_Locations'!A105)</f>
        <v>SAMPLE: Grid E18</v>
      </c>
      <c r="C106" t="str">
        <f t="shared" si="1"/>
        <v>SAMPLE: Grid E18</v>
      </c>
      <c r="D106" t="s">
        <v>1255</v>
      </c>
    </row>
    <row r="107" spans="1:4">
      <c r="A107" t="s">
        <v>1254</v>
      </c>
      <c r="B107" t="str">
        <f>IF('02_Warehouse_Locations'!A106="","",'02_Warehouse_Locations'!A106)</f>
        <v>SAMPLE: Grid E19</v>
      </c>
      <c r="C107" t="str">
        <f t="shared" si="1"/>
        <v>SAMPLE: Grid E19</v>
      </c>
      <c r="D107" t="s">
        <v>1255</v>
      </c>
    </row>
    <row r="108" spans="1:4">
      <c r="A108" t="s">
        <v>1254</v>
      </c>
      <c r="B108" t="str">
        <f>IF('02_Warehouse_Locations'!A107="","",'02_Warehouse_Locations'!A107)</f>
        <v>SAMPLE: Grid E20</v>
      </c>
      <c r="C108" t="str">
        <f t="shared" si="1"/>
        <v>SAMPLE: Grid E20</v>
      </c>
      <c r="D108" t="s">
        <v>1255</v>
      </c>
    </row>
    <row r="109" spans="1:4">
      <c r="A109" t="s">
        <v>1254</v>
      </c>
      <c r="B109" t="str">
        <f>IF('02_Warehouse_Locations'!A108="","",'02_Warehouse_Locations'!A108)</f>
        <v>F</v>
      </c>
      <c r="C109" t="str">
        <f t="shared" si="1"/>
        <v>F</v>
      </c>
      <c r="D109" t="s">
        <v>1255</v>
      </c>
    </row>
    <row r="110" spans="1:4">
      <c r="A110" t="s">
        <v>1254</v>
      </c>
      <c r="B110" t="str">
        <f>IF('02_Warehouse_Locations'!A109="","",'02_Warehouse_Locations'!A109)</f>
        <v>SAMPLE: Grid F02</v>
      </c>
      <c r="C110" t="str">
        <f t="shared" si="1"/>
        <v>SAMPLE: Grid F02</v>
      </c>
      <c r="D110" t="s">
        <v>1255</v>
      </c>
    </row>
    <row r="111" spans="1:4">
      <c r="A111" t="s">
        <v>1254</v>
      </c>
      <c r="B111" t="str">
        <f>IF('02_Warehouse_Locations'!A110="","",'02_Warehouse_Locations'!A110)</f>
        <v>SAMPLE: Grid F03</v>
      </c>
      <c r="C111" t="str">
        <f t="shared" si="1"/>
        <v>SAMPLE: Grid F03</v>
      </c>
      <c r="D111" t="s">
        <v>1255</v>
      </c>
    </row>
    <row r="112" spans="1:4">
      <c r="A112" t="s">
        <v>1254</v>
      </c>
      <c r="B112" t="str">
        <f>IF('02_Warehouse_Locations'!A111="","",'02_Warehouse_Locations'!A111)</f>
        <v>SAMPLE: Grid F04</v>
      </c>
      <c r="C112" t="str">
        <f t="shared" si="1"/>
        <v>SAMPLE: Grid F04</v>
      </c>
      <c r="D112" t="s">
        <v>1255</v>
      </c>
    </row>
    <row r="113" spans="1:4">
      <c r="A113" t="s">
        <v>1254</v>
      </c>
      <c r="B113" t="str">
        <f>IF('02_Warehouse_Locations'!A112="","",'02_Warehouse_Locations'!A112)</f>
        <v>SAMPLE: Grid F05</v>
      </c>
      <c r="C113" t="str">
        <f t="shared" si="1"/>
        <v>SAMPLE: Grid F05</v>
      </c>
      <c r="D113" t="s">
        <v>1255</v>
      </c>
    </row>
    <row r="114" spans="1:4">
      <c r="A114" t="s">
        <v>1254</v>
      </c>
      <c r="B114" t="str">
        <f>IF('02_Warehouse_Locations'!A113="","",'02_Warehouse_Locations'!A113)</f>
        <v>SAMPLE: Grid F06</v>
      </c>
      <c r="C114" t="str">
        <f t="shared" si="1"/>
        <v>SAMPLE: Grid F06</v>
      </c>
      <c r="D114" t="s">
        <v>1255</v>
      </c>
    </row>
    <row r="115" spans="1:4">
      <c r="A115" t="s">
        <v>1254</v>
      </c>
      <c r="B115" t="str">
        <f>IF('02_Warehouse_Locations'!A114="","",'02_Warehouse_Locations'!A114)</f>
        <v>SAMPLE: Grid F07</v>
      </c>
      <c r="C115" t="str">
        <f t="shared" si="1"/>
        <v>SAMPLE: Grid F07</v>
      </c>
      <c r="D115" t="s">
        <v>1255</v>
      </c>
    </row>
    <row r="116" spans="1:4">
      <c r="A116" t="s">
        <v>1254</v>
      </c>
      <c r="B116" t="str">
        <f>IF('02_Warehouse_Locations'!A115="","",'02_Warehouse_Locations'!A115)</f>
        <v>SAMPLE: Grid F08</v>
      </c>
      <c r="C116" t="str">
        <f t="shared" si="1"/>
        <v>SAMPLE: Grid F08</v>
      </c>
      <c r="D116" t="s">
        <v>1255</v>
      </c>
    </row>
    <row r="117" spans="1:4">
      <c r="A117" t="s">
        <v>1254</v>
      </c>
      <c r="B117" t="str">
        <f>IF('02_Warehouse_Locations'!A116="","",'02_Warehouse_Locations'!A116)</f>
        <v>SAMPLE: Grid F09</v>
      </c>
      <c r="C117" t="str">
        <f t="shared" si="1"/>
        <v>SAMPLE: Grid F09</v>
      </c>
      <c r="D117" t="s">
        <v>1255</v>
      </c>
    </row>
    <row r="118" spans="1:4">
      <c r="A118" t="s">
        <v>1254</v>
      </c>
      <c r="B118" t="str">
        <f>IF('02_Warehouse_Locations'!A117="","",'02_Warehouse_Locations'!A117)</f>
        <v>SAMPLE: Grid F10</v>
      </c>
      <c r="C118" t="str">
        <f t="shared" si="1"/>
        <v>SAMPLE: Grid F10</v>
      </c>
      <c r="D118" t="s">
        <v>1255</v>
      </c>
    </row>
    <row r="119" spans="1:4">
      <c r="A119" t="s">
        <v>1254</v>
      </c>
      <c r="B119" t="str">
        <f>IF('02_Warehouse_Locations'!A118="","",'02_Warehouse_Locations'!A118)</f>
        <v>SAMPLE: Grid F11</v>
      </c>
      <c r="C119" t="str">
        <f t="shared" si="1"/>
        <v>SAMPLE: Grid F11</v>
      </c>
      <c r="D119" t="s">
        <v>1255</v>
      </c>
    </row>
    <row r="120" spans="1:4">
      <c r="A120" t="s">
        <v>1254</v>
      </c>
      <c r="B120" t="str">
        <f>IF('02_Warehouse_Locations'!A119="","",'02_Warehouse_Locations'!A119)</f>
        <v>SAMPLE: Grid F12</v>
      </c>
      <c r="C120" t="str">
        <f t="shared" si="1"/>
        <v>SAMPLE: Grid F12</v>
      </c>
      <c r="D120" t="s">
        <v>1255</v>
      </c>
    </row>
    <row r="121" spans="1:4">
      <c r="A121" t="s">
        <v>1254</v>
      </c>
      <c r="B121" t="str">
        <f>IF('02_Warehouse_Locations'!A120="","",'02_Warehouse_Locations'!A120)</f>
        <v>SAMPLE: Grid F13</v>
      </c>
      <c r="C121" t="str">
        <f t="shared" si="1"/>
        <v>SAMPLE: Grid F13</v>
      </c>
      <c r="D121" t="s">
        <v>1255</v>
      </c>
    </row>
    <row r="122" spans="1:4">
      <c r="A122" t="s">
        <v>1254</v>
      </c>
      <c r="B122" t="str">
        <f>IF('02_Warehouse_Locations'!A121="","",'02_Warehouse_Locations'!A121)</f>
        <v>SAMPLE: Grid F14</v>
      </c>
      <c r="C122" t="str">
        <f t="shared" si="1"/>
        <v>SAMPLE: Grid F14</v>
      </c>
      <c r="D122" t="s">
        <v>1255</v>
      </c>
    </row>
    <row r="123" spans="1:4">
      <c r="A123" t="s">
        <v>1254</v>
      </c>
      <c r="B123" t="str">
        <f>IF('02_Warehouse_Locations'!A122="","",'02_Warehouse_Locations'!A122)</f>
        <v>SAMPLE: Grid F15</v>
      </c>
      <c r="C123" t="str">
        <f t="shared" si="1"/>
        <v>SAMPLE: Grid F15</v>
      </c>
      <c r="D123" t="s">
        <v>1255</v>
      </c>
    </row>
    <row r="124" spans="1:4">
      <c r="A124" t="s">
        <v>1254</v>
      </c>
      <c r="B124" t="str">
        <f>IF('02_Warehouse_Locations'!A123="","",'02_Warehouse_Locations'!A123)</f>
        <v>SAMPLE: Grid F16</v>
      </c>
      <c r="C124" t="str">
        <f t="shared" si="1"/>
        <v>SAMPLE: Grid F16</v>
      </c>
      <c r="D124" t="s">
        <v>1255</v>
      </c>
    </row>
    <row r="125" spans="1:4">
      <c r="A125" t="s">
        <v>1254</v>
      </c>
      <c r="B125" t="str">
        <f>IF('02_Warehouse_Locations'!A124="","",'02_Warehouse_Locations'!A124)</f>
        <v>SAMPLE: Grid F17</v>
      </c>
      <c r="C125" t="str">
        <f t="shared" si="1"/>
        <v>SAMPLE: Grid F17</v>
      </c>
      <c r="D125" t="s">
        <v>1255</v>
      </c>
    </row>
    <row r="126" spans="1:4">
      <c r="A126" t="s">
        <v>1254</v>
      </c>
      <c r="B126" t="str">
        <f>IF('02_Warehouse_Locations'!A125="","",'02_Warehouse_Locations'!A125)</f>
        <v>SAMPLE: Grid F18</v>
      </c>
      <c r="C126" t="str">
        <f t="shared" si="1"/>
        <v>SAMPLE: Grid F18</v>
      </c>
      <c r="D126" t="s">
        <v>1255</v>
      </c>
    </row>
    <row r="127" spans="1:4">
      <c r="A127" t="s">
        <v>1254</v>
      </c>
      <c r="B127" t="str">
        <f>IF('02_Warehouse_Locations'!A126="","",'02_Warehouse_Locations'!A126)</f>
        <v>SAMPLE: Grid F19</v>
      </c>
      <c r="C127" t="str">
        <f t="shared" si="1"/>
        <v>SAMPLE: Grid F19</v>
      </c>
      <c r="D127" t="s">
        <v>1255</v>
      </c>
    </row>
    <row r="128" spans="1:4">
      <c r="A128" t="s">
        <v>1254</v>
      </c>
      <c r="B128" t="str">
        <f>IF('02_Warehouse_Locations'!A127="","",'02_Warehouse_Locations'!A127)</f>
        <v>SAMPLE: Grid F20</v>
      </c>
      <c r="C128" t="str">
        <f t="shared" si="1"/>
        <v>SAMPLE: Grid F20</v>
      </c>
      <c r="D128" t="s">
        <v>1255</v>
      </c>
    </row>
    <row r="129" spans="1:4">
      <c r="A129" t="s">
        <v>1254</v>
      </c>
      <c r="B129" t="str">
        <f>IF('02_Warehouse_Locations'!A128="","",'02_Warehouse_Locations'!A128)</f>
        <v>DISPOSAL</v>
      </c>
      <c r="C129" t="str">
        <f t="shared" si="1"/>
        <v>DISPOSAL</v>
      </c>
      <c r="D129" t="s">
        <v>1255</v>
      </c>
    </row>
    <row r="130" spans="1:4">
      <c r="A130" t="s">
        <v>1254</v>
      </c>
      <c r="B130" t="str">
        <f>IF('02_Warehouse_Locations'!A129="","",'02_Warehouse_Locations'!A129)</f>
        <v>OUTBOUND</v>
      </c>
      <c r="C130" t="str">
        <f t="shared" si="1"/>
        <v>OUTBOUND</v>
      </c>
      <c r="D130" t="s">
        <v>1255</v>
      </c>
    </row>
    <row r="131" spans="1:4">
      <c r="A131" t="s">
        <v>1254</v>
      </c>
      <c r="B131" t="str">
        <f>IF('02_Warehouse_Locations'!A130="","",'02_Warehouse_Locations'!A130)</f>
        <v>ACTIVE</v>
      </c>
      <c r="C131" t="str">
        <f t="shared" ref="C131:C194" si="2">IF(B131="","",B131)</f>
        <v>ACTIVE</v>
      </c>
      <c r="D131" t="s">
        <v>1255</v>
      </c>
    </row>
    <row r="132" spans="1:4">
      <c r="A132" t="s">
        <v>1254</v>
      </c>
      <c r="B132" t="str">
        <f>IF('02_Warehouse_Locations'!A131="","",'02_Warehouse_Locations'!A131)</f>
        <v>O</v>
      </c>
      <c r="C132" t="str">
        <f t="shared" si="2"/>
        <v>O</v>
      </c>
      <c r="D132" t="s">
        <v>1255</v>
      </c>
    </row>
    <row r="133" spans="1:4">
      <c r="A133" t="s">
        <v>1254</v>
      </c>
      <c r="B133" t="str">
        <f>IF('02_Warehouse_Locations'!A132="","",'02_Warehouse_Locations'!A132)</f>
        <v>48x T24i-30</v>
      </c>
      <c r="C133" t="str">
        <f t="shared" si="2"/>
        <v>48x T24i-30</v>
      </c>
      <c r="D133" t="s">
        <v>1255</v>
      </c>
    </row>
    <row r="134" spans="1:4">
      <c r="A134" t="s">
        <v>1254</v>
      </c>
      <c r="B134" t="str">
        <f>IF('02_Warehouse_Locations'!A133="","",'02_Warehouse_Locations'!A133)</f>
        <v>TEMP</v>
      </c>
      <c r="C134" t="str">
        <f t="shared" si="2"/>
        <v>TEMP</v>
      </c>
      <c r="D134" t="s">
        <v>1255</v>
      </c>
    </row>
    <row r="135" spans="1:4">
      <c r="A135" t="s">
        <v>1254</v>
      </c>
      <c r="B135" t="str">
        <f>IF('02_Warehouse_Locations'!A134="","",'02_Warehouse_Locations'!A134)</f>
        <v/>
      </c>
      <c r="C135" t="str">
        <f t="shared" si="2"/>
        <v/>
      </c>
      <c r="D135" t="s">
        <v>1255</v>
      </c>
    </row>
    <row r="136" spans="1:4">
      <c r="A136" t="s">
        <v>1254</v>
      </c>
      <c r="B136" t="str">
        <f>IF('02_Warehouse_Locations'!A135="","",'02_Warehouse_Locations'!A135)</f>
        <v/>
      </c>
      <c r="C136" t="str">
        <f t="shared" si="2"/>
        <v/>
      </c>
      <c r="D136" t="s">
        <v>1255</v>
      </c>
    </row>
    <row r="137" spans="1:4">
      <c r="A137" t="s">
        <v>1254</v>
      </c>
      <c r="B137" t="str">
        <f>IF('02_Warehouse_Locations'!A136="","",'02_Warehouse_Locations'!A136)</f>
        <v/>
      </c>
      <c r="C137" t="str">
        <f t="shared" si="2"/>
        <v/>
      </c>
      <c r="D137" t="s">
        <v>1255</v>
      </c>
    </row>
    <row r="138" spans="1:4">
      <c r="A138" t="s">
        <v>1254</v>
      </c>
      <c r="B138" t="str">
        <f>IF('02_Warehouse_Locations'!A137="","",'02_Warehouse_Locations'!A137)</f>
        <v/>
      </c>
      <c r="C138" t="str">
        <f t="shared" si="2"/>
        <v/>
      </c>
      <c r="D138" t="s">
        <v>1255</v>
      </c>
    </row>
    <row r="139" spans="1:4">
      <c r="A139" t="s">
        <v>1254</v>
      </c>
      <c r="B139" t="str">
        <f>IF('02_Warehouse_Locations'!A138="","",'02_Warehouse_Locations'!A138)</f>
        <v/>
      </c>
      <c r="C139" t="str">
        <f t="shared" si="2"/>
        <v/>
      </c>
      <c r="D139" t="s">
        <v>1255</v>
      </c>
    </row>
    <row r="140" spans="1:4">
      <c r="A140" t="s">
        <v>1254</v>
      </c>
      <c r="B140" t="str">
        <f>IF('02_Warehouse_Locations'!A139="","",'02_Warehouse_Locations'!A139)</f>
        <v/>
      </c>
      <c r="C140" t="str">
        <f t="shared" si="2"/>
        <v/>
      </c>
      <c r="D140" t="s">
        <v>1255</v>
      </c>
    </row>
    <row r="141" spans="1:4">
      <c r="A141" t="s">
        <v>1254</v>
      </c>
      <c r="B141" t="str">
        <f>IF('02_Warehouse_Locations'!A140="","",'02_Warehouse_Locations'!A140)</f>
        <v/>
      </c>
      <c r="C141" t="str">
        <f t="shared" si="2"/>
        <v/>
      </c>
      <c r="D141" t="s">
        <v>1255</v>
      </c>
    </row>
    <row r="142" spans="1:4">
      <c r="A142" t="s">
        <v>1254</v>
      </c>
      <c r="B142" t="str">
        <f>IF('02_Warehouse_Locations'!A141="","",'02_Warehouse_Locations'!A141)</f>
        <v/>
      </c>
      <c r="C142" t="str">
        <f t="shared" si="2"/>
        <v/>
      </c>
      <c r="D142" t="s">
        <v>1255</v>
      </c>
    </row>
    <row r="143" spans="1:4">
      <c r="A143" t="s">
        <v>1254</v>
      </c>
      <c r="B143" t="str">
        <f>IF('02_Warehouse_Locations'!A142="","",'02_Warehouse_Locations'!A142)</f>
        <v/>
      </c>
      <c r="C143" t="str">
        <f t="shared" si="2"/>
        <v/>
      </c>
      <c r="D143" t="s">
        <v>1255</v>
      </c>
    </row>
    <row r="144" spans="1:4">
      <c r="A144" t="s">
        <v>1254</v>
      </c>
      <c r="B144" t="str">
        <f>IF('02_Warehouse_Locations'!A143="","",'02_Warehouse_Locations'!A143)</f>
        <v/>
      </c>
      <c r="C144" t="str">
        <f t="shared" si="2"/>
        <v/>
      </c>
      <c r="D144" t="s">
        <v>1255</v>
      </c>
    </row>
    <row r="145" spans="1:4">
      <c r="A145" t="s">
        <v>1254</v>
      </c>
      <c r="B145" t="str">
        <f>IF('02_Warehouse_Locations'!A144="","",'02_Warehouse_Locations'!A144)</f>
        <v/>
      </c>
      <c r="C145" t="str">
        <f t="shared" si="2"/>
        <v/>
      </c>
      <c r="D145" t="s">
        <v>1255</v>
      </c>
    </row>
    <row r="146" spans="1:4">
      <c r="A146" t="s">
        <v>1254</v>
      </c>
      <c r="B146" t="str">
        <f>IF('02_Warehouse_Locations'!A145="","",'02_Warehouse_Locations'!A145)</f>
        <v/>
      </c>
      <c r="C146" t="str">
        <f t="shared" si="2"/>
        <v/>
      </c>
      <c r="D146" t="s">
        <v>1255</v>
      </c>
    </row>
    <row r="147" spans="1:4">
      <c r="A147" t="s">
        <v>1254</v>
      </c>
      <c r="B147" t="str">
        <f>IF('02_Warehouse_Locations'!A146="","",'02_Warehouse_Locations'!A146)</f>
        <v/>
      </c>
      <c r="C147" t="str">
        <f t="shared" si="2"/>
        <v/>
      </c>
      <c r="D147" t="s">
        <v>1255</v>
      </c>
    </row>
    <row r="148" spans="1:4">
      <c r="A148" t="s">
        <v>1254</v>
      </c>
      <c r="B148" t="str">
        <f>IF('02_Warehouse_Locations'!A147="","",'02_Warehouse_Locations'!A147)</f>
        <v/>
      </c>
      <c r="C148" t="str">
        <f t="shared" si="2"/>
        <v/>
      </c>
      <c r="D148" t="s">
        <v>1255</v>
      </c>
    </row>
    <row r="149" spans="1:4">
      <c r="A149" t="s">
        <v>1254</v>
      </c>
      <c r="B149" t="str">
        <f>IF('02_Warehouse_Locations'!A148="","",'02_Warehouse_Locations'!A148)</f>
        <v/>
      </c>
      <c r="C149" t="str">
        <f t="shared" si="2"/>
        <v/>
      </c>
      <c r="D149" t="s">
        <v>1255</v>
      </c>
    </row>
    <row r="150" spans="1:4">
      <c r="A150" t="s">
        <v>1254</v>
      </c>
      <c r="B150" t="str">
        <f>IF('02_Warehouse_Locations'!A149="","",'02_Warehouse_Locations'!A149)</f>
        <v/>
      </c>
      <c r="C150" t="str">
        <f t="shared" si="2"/>
        <v/>
      </c>
      <c r="D150" t="s">
        <v>1255</v>
      </c>
    </row>
    <row r="151" spans="1:4">
      <c r="A151" t="s">
        <v>1254</v>
      </c>
      <c r="B151" t="str">
        <f>IF('02_Warehouse_Locations'!A150="","",'02_Warehouse_Locations'!A150)</f>
        <v/>
      </c>
      <c r="C151" t="str">
        <f t="shared" si="2"/>
        <v/>
      </c>
      <c r="D151" t="s">
        <v>1255</v>
      </c>
    </row>
    <row r="152" spans="1:4">
      <c r="A152" t="s">
        <v>1254</v>
      </c>
      <c r="B152" t="str">
        <f>IF('02_Warehouse_Locations'!A151="","",'02_Warehouse_Locations'!A151)</f>
        <v/>
      </c>
      <c r="C152" t="str">
        <f t="shared" si="2"/>
        <v/>
      </c>
      <c r="D152" t="s">
        <v>1255</v>
      </c>
    </row>
    <row r="153" spans="1:4">
      <c r="A153" t="s">
        <v>1254</v>
      </c>
      <c r="B153" t="str">
        <f>IF('02_Warehouse_Locations'!A152="","",'02_Warehouse_Locations'!A152)</f>
        <v/>
      </c>
      <c r="C153" t="str">
        <f t="shared" si="2"/>
        <v/>
      </c>
      <c r="D153" t="s">
        <v>1255</v>
      </c>
    </row>
    <row r="154" spans="1:4">
      <c r="A154" t="s">
        <v>1254</v>
      </c>
      <c r="B154" t="str">
        <f>IF('02_Warehouse_Locations'!A153="","",'02_Warehouse_Locations'!A153)</f>
        <v/>
      </c>
      <c r="C154" t="str">
        <f t="shared" si="2"/>
        <v/>
      </c>
      <c r="D154" t="s">
        <v>1255</v>
      </c>
    </row>
    <row r="155" spans="1:4">
      <c r="A155" t="s">
        <v>1254</v>
      </c>
      <c r="B155" t="str">
        <f>IF('02_Warehouse_Locations'!A154="","",'02_Warehouse_Locations'!A154)</f>
        <v/>
      </c>
      <c r="C155" t="str">
        <f t="shared" si="2"/>
        <v/>
      </c>
      <c r="D155" t="s">
        <v>1255</v>
      </c>
    </row>
    <row r="156" spans="1:4">
      <c r="A156" t="s">
        <v>1254</v>
      </c>
      <c r="B156" t="str">
        <f>IF('02_Warehouse_Locations'!A155="","",'02_Warehouse_Locations'!A155)</f>
        <v/>
      </c>
      <c r="C156" t="str">
        <f t="shared" si="2"/>
        <v/>
      </c>
      <c r="D156" t="s">
        <v>1255</v>
      </c>
    </row>
    <row r="157" spans="1:4">
      <c r="A157" t="s">
        <v>1254</v>
      </c>
      <c r="B157" t="str">
        <f>IF('02_Warehouse_Locations'!A156="","",'02_Warehouse_Locations'!A156)</f>
        <v/>
      </c>
      <c r="C157" t="str">
        <f t="shared" si="2"/>
        <v/>
      </c>
      <c r="D157" t="s">
        <v>1255</v>
      </c>
    </row>
    <row r="158" spans="1:4">
      <c r="A158" t="s">
        <v>1254</v>
      </c>
      <c r="B158" t="str">
        <f>IF('02_Warehouse_Locations'!A157="","",'02_Warehouse_Locations'!A157)</f>
        <v/>
      </c>
      <c r="C158" t="str">
        <f t="shared" si="2"/>
        <v/>
      </c>
      <c r="D158" t="s">
        <v>1255</v>
      </c>
    </row>
    <row r="159" spans="1:4">
      <c r="A159" t="s">
        <v>1254</v>
      </c>
      <c r="B159" t="str">
        <f>IF('02_Warehouse_Locations'!A158="","",'02_Warehouse_Locations'!A158)</f>
        <v/>
      </c>
      <c r="C159" t="str">
        <f t="shared" si="2"/>
        <v/>
      </c>
      <c r="D159" t="s">
        <v>1255</v>
      </c>
    </row>
    <row r="160" spans="1:4">
      <c r="A160" t="s">
        <v>1254</v>
      </c>
      <c r="B160" t="str">
        <f>IF('02_Warehouse_Locations'!A159="","",'02_Warehouse_Locations'!A159)</f>
        <v/>
      </c>
      <c r="C160" t="str">
        <f t="shared" si="2"/>
        <v/>
      </c>
      <c r="D160" t="s">
        <v>1255</v>
      </c>
    </row>
    <row r="161" spans="1:4">
      <c r="A161" t="s">
        <v>1254</v>
      </c>
      <c r="B161" t="str">
        <f>IF('02_Warehouse_Locations'!A160="","",'02_Warehouse_Locations'!A160)</f>
        <v/>
      </c>
      <c r="C161" t="str">
        <f t="shared" si="2"/>
        <v/>
      </c>
      <c r="D161" t="s">
        <v>1255</v>
      </c>
    </row>
    <row r="162" spans="1:4">
      <c r="A162" t="s">
        <v>1254</v>
      </c>
      <c r="B162" t="str">
        <f>IF('02_Warehouse_Locations'!A161="","",'02_Warehouse_Locations'!A161)</f>
        <v/>
      </c>
      <c r="C162" t="str">
        <f t="shared" si="2"/>
        <v/>
      </c>
      <c r="D162" t="s">
        <v>1255</v>
      </c>
    </row>
    <row r="163" spans="1:4">
      <c r="A163" t="s">
        <v>1254</v>
      </c>
      <c r="B163" t="str">
        <f>IF('02_Warehouse_Locations'!A162="","",'02_Warehouse_Locations'!A162)</f>
        <v/>
      </c>
      <c r="C163" t="str">
        <f t="shared" si="2"/>
        <v/>
      </c>
      <c r="D163" t="s">
        <v>1255</v>
      </c>
    </row>
    <row r="164" spans="1:4">
      <c r="A164" t="s">
        <v>1254</v>
      </c>
      <c r="B164" t="str">
        <f>IF('02_Warehouse_Locations'!A163="","",'02_Warehouse_Locations'!A163)</f>
        <v/>
      </c>
      <c r="C164" t="str">
        <f t="shared" si="2"/>
        <v/>
      </c>
      <c r="D164" t="s">
        <v>1255</v>
      </c>
    </row>
    <row r="165" spans="1:4">
      <c r="A165" t="s">
        <v>1254</v>
      </c>
      <c r="B165" t="str">
        <f>IF('02_Warehouse_Locations'!A164="","",'02_Warehouse_Locations'!A164)</f>
        <v/>
      </c>
      <c r="C165" t="str">
        <f t="shared" si="2"/>
        <v/>
      </c>
      <c r="D165" t="s">
        <v>1255</v>
      </c>
    </row>
    <row r="166" spans="1:4">
      <c r="A166" t="s">
        <v>1254</v>
      </c>
      <c r="B166" t="str">
        <f>IF('02_Warehouse_Locations'!A165="","",'02_Warehouse_Locations'!A165)</f>
        <v/>
      </c>
      <c r="C166" t="str">
        <f t="shared" si="2"/>
        <v/>
      </c>
      <c r="D166" t="s">
        <v>1255</v>
      </c>
    </row>
    <row r="167" spans="1:4">
      <c r="A167" t="s">
        <v>1254</v>
      </c>
      <c r="B167" t="str">
        <f>IF('02_Warehouse_Locations'!A166="","",'02_Warehouse_Locations'!A166)</f>
        <v/>
      </c>
      <c r="C167" t="str">
        <f t="shared" si="2"/>
        <v/>
      </c>
      <c r="D167" t="s">
        <v>1255</v>
      </c>
    </row>
    <row r="168" spans="1:4">
      <c r="A168" t="s">
        <v>1254</v>
      </c>
      <c r="B168" t="str">
        <f>IF('02_Warehouse_Locations'!A167="","",'02_Warehouse_Locations'!A167)</f>
        <v/>
      </c>
      <c r="C168" t="str">
        <f t="shared" si="2"/>
        <v/>
      </c>
      <c r="D168" t="s">
        <v>1255</v>
      </c>
    </row>
    <row r="169" spans="1:4">
      <c r="A169" t="s">
        <v>1254</v>
      </c>
      <c r="B169" t="str">
        <f>IF('02_Warehouse_Locations'!A168="","",'02_Warehouse_Locations'!A168)</f>
        <v/>
      </c>
      <c r="C169" t="str">
        <f t="shared" si="2"/>
        <v/>
      </c>
      <c r="D169" t="s">
        <v>1255</v>
      </c>
    </row>
    <row r="170" spans="1:4">
      <c r="A170" t="s">
        <v>1254</v>
      </c>
      <c r="B170" t="str">
        <f>IF('02_Warehouse_Locations'!A169="","",'02_Warehouse_Locations'!A169)</f>
        <v/>
      </c>
      <c r="C170" t="str">
        <f t="shared" si="2"/>
        <v/>
      </c>
      <c r="D170" t="s">
        <v>1255</v>
      </c>
    </row>
    <row r="171" spans="1:4">
      <c r="A171" t="s">
        <v>1254</v>
      </c>
      <c r="B171" t="str">
        <f>IF('02_Warehouse_Locations'!A170="","",'02_Warehouse_Locations'!A170)</f>
        <v/>
      </c>
      <c r="C171" t="str">
        <f t="shared" si="2"/>
        <v/>
      </c>
      <c r="D171" t="s">
        <v>1255</v>
      </c>
    </row>
    <row r="172" spans="1:4">
      <c r="A172" t="s">
        <v>1254</v>
      </c>
      <c r="B172" t="str">
        <f>IF('02_Warehouse_Locations'!A171="","",'02_Warehouse_Locations'!A171)</f>
        <v/>
      </c>
      <c r="C172" t="str">
        <f t="shared" si="2"/>
        <v/>
      </c>
      <c r="D172" t="s">
        <v>1255</v>
      </c>
    </row>
    <row r="173" spans="1:4">
      <c r="A173" t="s">
        <v>1254</v>
      </c>
      <c r="B173" t="str">
        <f>IF('02_Warehouse_Locations'!A172="","",'02_Warehouse_Locations'!A172)</f>
        <v/>
      </c>
      <c r="C173" t="str">
        <f t="shared" si="2"/>
        <v/>
      </c>
      <c r="D173" t="s">
        <v>1255</v>
      </c>
    </row>
    <row r="174" spans="1:4">
      <c r="A174" t="s">
        <v>1254</v>
      </c>
      <c r="B174" t="str">
        <f>IF('02_Warehouse_Locations'!A173="","",'02_Warehouse_Locations'!A173)</f>
        <v/>
      </c>
      <c r="C174" t="str">
        <f t="shared" si="2"/>
        <v/>
      </c>
      <c r="D174" t="s">
        <v>1255</v>
      </c>
    </row>
    <row r="175" spans="1:4">
      <c r="A175" t="s">
        <v>1254</v>
      </c>
      <c r="B175" t="str">
        <f>IF('02_Warehouse_Locations'!A174="","",'02_Warehouse_Locations'!A174)</f>
        <v/>
      </c>
      <c r="C175" t="str">
        <f t="shared" si="2"/>
        <v/>
      </c>
      <c r="D175" t="s">
        <v>1255</v>
      </c>
    </row>
    <row r="176" spans="1:4">
      <c r="A176" t="s">
        <v>1254</v>
      </c>
      <c r="B176" t="str">
        <f>IF('02_Warehouse_Locations'!A175="","",'02_Warehouse_Locations'!A175)</f>
        <v/>
      </c>
      <c r="C176" t="str">
        <f t="shared" si="2"/>
        <v/>
      </c>
      <c r="D176" t="s">
        <v>1255</v>
      </c>
    </row>
    <row r="177" spans="1:4">
      <c r="A177" t="s">
        <v>1254</v>
      </c>
      <c r="B177" t="str">
        <f>IF('02_Warehouse_Locations'!A176="","",'02_Warehouse_Locations'!A176)</f>
        <v/>
      </c>
      <c r="C177" t="str">
        <f t="shared" si="2"/>
        <v/>
      </c>
      <c r="D177" t="s">
        <v>1255</v>
      </c>
    </row>
    <row r="178" spans="1:4">
      <c r="A178" t="s">
        <v>1254</v>
      </c>
      <c r="B178" t="str">
        <f>IF('02_Warehouse_Locations'!A177="","",'02_Warehouse_Locations'!A177)</f>
        <v/>
      </c>
      <c r="C178" t="str">
        <f t="shared" si="2"/>
        <v/>
      </c>
      <c r="D178" t="s">
        <v>1255</v>
      </c>
    </row>
    <row r="179" spans="1:4">
      <c r="A179" t="s">
        <v>1254</v>
      </c>
      <c r="B179" t="str">
        <f>IF('02_Warehouse_Locations'!A178="","",'02_Warehouse_Locations'!A178)</f>
        <v/>
      </c>
      <c r="C179" t="str">
        <f t="shared" si="2"/>
        <v/>
      </c>
      <c r="D179" t="s">
        <v>1255</v>
      </c>
    </row>
    <row r="180" spans="1:4">
      <c r="A180" t="s">
        <v>1254</v>
      </c>
      <c r="B180" t="str">
        <f>IF('02_Warehouse_Locations'!A179="","",'02_Warehouse_Locations'!A179)</f>
        <v/>
      </c>
      <c r="C180" t="str">
        <f t="shared" si="2"/>
        <v/>
      </c>
      <c r="D180" t="s">
        <v>1255</v>
      </c>
    </row>
    <row r="181" spans="1:4">
      <c r="A181" t="s">
        <v>1254</v>
      </c>
      <c r="B181" t="str">
        <f>IF('02_Warehouse_Locations'!A180="","",'02_Warehouse_Locations'!A180)</f>
        <v/>
      </c>
      <c r="C181" t="str">
        <f t="shared" si="2"/>
        <v/>
      </c>
      <c r="D181" t="s">
        <v>1255</v>
      </c>
    </row>
    <row r="182" spans="1:4">
      <c r="A182" t="s">
        <v>1254</v>
      </c>
      <c r="B182" t="str">
        <f>IF('02_Warehouse_Locations'!A181="","",'02_Warehouse_Locations'!A181)</f>
        <v/>
      </c>
      <c r="C182" t="str">
        <f t="shared" si="2"/>
        <v/>
      </c>
      <c r="D182" t="s">
        <v>1255</v>
      </c>
    </row>
    <row r="183" spans="1:4">
      <c r="A183" t="s">
        <v>1254</v>
      </c>
      <c r="B183" t="str">
        <f>IF('02_Warehouse_Locations'!A182="","",'02_Warehouse_Locations'!A182)</f>
        <v/>
      </c>
      <c r="C183" t="str">
        <f t="shared" si="2"/>
        <v/>
      </c>
      <c r="D183" t="s">
        <v>1255</v>
      </c>
    </row>
    <row r="184" spans="1:4">
      <c r="A184" t="s">
        <v>1254</v>
      </c>
      <c r="B184" t="str">
        <f>IF('02_Warehouse_Locations'!A183="","",'02_Warehouse_Locations'!A183)</f>
        <v/>
      </c>
      <c r="C184" t="str">
        <f t="shared" si="2"/>
        <v/>
      </c>
      <c r="D184" t="s">
        <v>1255</v>
      </c>
    </row>
    <row r="185" spans="1:4">
      <c r="A185" t="s">
        <v>1254</v>
      </c>
      <c r="B185" t="str">
        <f>IF('02_Warehouse_Locations'!A184="","",'02_Warehouse_Locations'!A184)</f>
        <v/>
      </c>
      <c r="C185" t="str">
        <f t="shared" si="2"/>
        <v/>
      </c>
      <c r="D185" t="s">
        <v>1255</v>
      </c>
    </row>
    <row r="186" spans="1:4">
      <c r="A186" t="s">
        <v>1254</v>
      </c>
      <c r="B186" t="str">
        <f>IF('02_Warehouse_Locations'!A185="","",'02_Warehouse_Locations'!A185)</f>
        <v/>
      </c>
      <c r="C186" t="str">
        <f t="shared" si="2"/>
        <v/>
      </c>
      <c r="D186" t="s">
        <v>1255</v>
      </c>
    </row>
    <row r="187" spans="1:4">
      <c r="A187" t="s">
        <v>1254</v>
      </c>
      <c r="B187" t="str">
        <f>IF('02_Warehouse_Locations'!A186="","",'02_Warehouse_Locations'!A186)</f>
        <v/>
      </c>
      <c r="C187" t="str">
        <f t="shared" si="2"/>
        <v/>
      </c>
      <c r="D187" t="s">
        <v>1255</v>
      </c>
    </row>
    <row r="188" spans="1:4">
      <c r="A188" t="s">
        <v>1254</v>
      </c>
      <c r="B188" t="str">
        <f>IF('02_Warehouse_Locations'!A187="","",'02_Warehouse_Locations'!A187)</f>
        <v/>
      </c>
      <c r="C188" t="str">
        <f t="shared" si="2"/>
        <v/>
      </c>
      <c r="D188" t="s">
        <v>1255</v>
      </c>
    </row>
    <row r="189" spans="1:4">
      <c r="A189" t="s">
        <v>1254</v>
      </c>
      <c r="B189" t="str">
        <f>IF('02_Warehouse_Locations'!A188="","",'02_Warehouse_Locations'!A188)</f>
        <v/>
      </c>
      <c r="C189" t="str">
        <f t="shared" si="2"/>
        <v/>
      </c>
      <c r="D189" t="s">
        <v>1255</v>
      </c>
    </row>
    <row r="190" spans="1:4">
      <c r="A190" t="s">
        <v>1254</v>
      </c>
      <c r="B190" t="str">
        <f>IF('02_Warehouse_Locations'!A189="","",'02_Warehouse_Locations'!A189)</f>
        <v/>
      </c>
      <c r="C190" t="str">
        <f t="shared" si="2"/>
        <v/>
      </c>
      <c r="D190" t="s">
        <v>1255</v>
      </c>
    </row>
    <row r="191" spans="1:4">
      <c r="A191" t="s">
        <v>1254</v>
      </c>
      <c r="B191" t="str">
        <f>IF('02_Warehouse_Locations'!A190="","",'02_Warehouse_Locations'!A190)</f>
        <v/>
      </c>
      <c r="C191" t="str">
        <f t="shared" si="2"/>
        <v/>
      </c>
      <c r="D191" t="s">
        <v>1255</v>
      </c>
    </row>
    <row r="192" spans="1:4">
      <c r="A192" t="s">
        <v>1254</v>
      </c>
      <c r="B192" t="str">
        <f>IF('02_Warehouse_Locations'!A191="","",'02_Warehouse_Locations'!A191)</f>
        <v/>
      </c>
      <c r="C192" t="str">
        <f t="shared" si="2"/>
        <v/>
      </c>
      <c r="D192" t="s">
        <v>1255</v>
      </c>
    </row>
    <row r="193" spans="1:4">
      <c r="A193" t="s">
        <v>1254</v>
      </c>
      <c r="B193" t="str">
        <f>IF('02_Warehouse_Locations'!A192="","",'02_Warehouse_Locations'!A192)</f>
        <v/>
      </c>
      <c r="C193" t="str">
        <f t="shared" si="2"/>
        <v/>
      </c>
      <c r="D193" t="s">
        <v>1255</v>
      </c>
    </row>
    <row r="194" spans="1:4">
      <c r="A194" t="s">
        <v>1254</v>
      </c>
      <c r="B194" t="str">
        <f>IF('02_Warehouse_Locations'!A193="","",'02_Warehouse_Locations'!A193)</f>
        <v/>
      </c>
      <c r="C194" t="str">
        <f t="shared" si="2"/>
        <v/>
      </c>
      <c r="D194" t="s">
        <v>1255</v>
      </c>
    </row>
    <row r="195" spans="1:4">
      <c r="A195" t="s">
        <v>1254</v>
      </c>
      <c r="B195" t="str">
        <f>IF('02_Warehouse_Locations'!A194="","",'02_Warehouse_Locations'!A194)</f>
        <v/>
      </c>
      <c r="C195" t="str">
        <f t="shared" ref="C195:C258" si="3">IF(B195="","",B195)</f>
        <v/>
      </c>
      <c r="D195" t="s">
        <v>1255</v>
      </c>
    </row>
    <row r="196" spans="1:4">
      <c r="A196" t="s">
        <v>1254</v>
      </c>
      <c r="B196" t="str">
        <f>IF('02_Warehouse_Locations'!A195="","",'02_Warehouse_Locations'!A195)</f>
        <v/>
      </c>
      <c r="C196" t="str">
        <f t="shared" si="3"/>
        <v/>
      </c>
      <c r="D196" t="s">
        <v>1255</v>
      </c>
    </row>
    <row r="197" spans="1:4">
      <c r="A197" t="s">
        <v>1254</v>
      </c>
      <c r="B197" t="str">
        <f>IF('02_Warehouse_Locations'!A196="","",'02_Warehouse_Locations'!A196)</f>
        <v/>
      </c>
      <c r="C197" t="str">
        <f t="shared" si="3"/>
        <v/>
      </c>
      <c r="D197" t="s">
        <v>1255</v>
      </c>
    </row>
    <row r="198" spans="1:4">
      <c r="A198" t="s">
        <v>1254</v>
      </c>
      <c r="B198" t="str">
        <f>IF('02_Warehouse_Locations'!A197="","",'02_Warehouse_Locations'!A197)</f>
        <v/>
      </c>
      <c r="C198" t="str">
        <f t="shared" si="3"/>
        <v/>
      </c>
      <c r="D198" t="s">
        <v>1255</v>
      </c>
    </row>
    <row r="199" spans="1:4">
      <c r="A199" t="s">
        <v>1254</v>
      </c>
      <c r="B199" t="str">
        <f>IF('02_Warehouse_Locations'!A198="","",'02_Warehouse_Locations'!A198)</f>
        <v/>
      </c>
      <c r="C199" t="str">
        <f t="shared" si="3"/>
        <v/>
      </c>
      <c r="D199" t="s">
        <v>1255</v>
      </c>
    </row>
    <row r="200" spans="1:4">
      <c r="A200" t="s">
        <v>1254</v>
      </c>
      <c r="B200" t="str">
        <f>IF('02_Warehouse_Locations'!A199="","",'02_Warehouse_Locations'!A199)</f>
        <v/>
      </c>
      <c r="C200" t="str">
        <f t="shared" si="3"/>
        <v/>
      </c>
      <c r="D200" t="s">
        <v>1255</v>
      </c>
    </row>
    <row r="201" spans="1:4">
      <c r="A201" t="s">
        <v>1254</v>
      </c>
      <c r="B201" t="str">
        <f>IF('02_Warehouse_Locations'!A200="","",'02_Warehouse_Locations'!A200)</f>
        <v/>
      </c>
      <c r="C201" t="str">
        <f t="shared" si="3"/>
        <v/>
      </c>
      <c r="D201" t="s">
        <v>1255</v>
      </c>
    </row>
    <row r="202" spans="1:4">
      <c r="A202" t="s">
        <v>1254</v>
      </c>
      <c r="B202" t="str">
        <f>IF('02_Warehouse_Locations'!A201="","",'02_Warehouse_Locations'!A201)</f>
        <v/>
      </c>
      <c r="C202" t="str">
        <f t="shared" si="3"/>
        <v/>
      </c>
      <c r="D202" t="s">
        <v>1255</v>
      </c>
    </row>
    <row r="203" spans="1:4">
      <c r="A203" t="s">
        <v>1254</v>
      </c>
      <c r="B203" t="str">
        <f>IF('02_Warehouse_Locations'!A202="","",'02_Warehouse_Locations'!A202)</f>
        <v/>
      </c>
      <c r="C203" t="str">
        <f t="shared" si="3"/>
        <v/>
      </c>
      <c r="D203" t="s">
        <v>1255</v>
      </c>
    </row>
    <row r="204" spans="1:4">
      <c r="A204" t="s">
        <v>1254</v>
      </c>
      <c r="B204" t="str">
        <f>IF('02_Warehouse_Locations'!A203="","",'02_Warehouse_Locations'!A203)</f>
        <v/>
      </c>
      <c r="C204" t="str">
        <f t="shared" si="3"/>
        <v/>
      </c>
      <c r="D204" t="s">
        <v>1255</v>
      </c>
    </row>
    <row r="205" spans="1:4">
      <c r="A205" t="s">
        <v>1254</v>
      </c>
      <c r="B205" t="str">
        <f>IF('02_Warehouse_Locations'!A204="","",'02_Warehouse_Locations'!A204)</f>
        <v/>
      </c>
      <c r="C205" t="str">
        <f t="shared" si="3"/>
        <v/>
      </c>
      <c r="D205" t="s">
        <v>1255</v>
      </c>
    </row>
    <row r="206" spans="1:4">
      <c r="A206" t="s">
        <v>1254</v>
      </c>
      <c r="B206" t="str">
        <f>IF('02_Warehouse_Locations'!A205="","",'02_Warehouse_Locations'!A205)</f>
        <v/>
      </c>
      <c r="C206" t="str">
        <f t="shared" si="3"/>
        <v/>
      </c>
      <c r="D206" t="s">
        <v>1255</v>
      </c>
    </row>
    <row r="207" spans="1:4">
      <c r="A207" t="s">
        <v>1254</v>
      </c>
      <c r="B207" t="str">
        <f>IF('02_Warehouse_Locations'!A206="","",'02_Warehouse_Locations'!A206)</f>
        <v/>
      </c>
      <c r="C207" t="str">
        <f t="shared" si="3"/>
        <v/>
      </c>
      <c r="D207" t="s">
        <v>1255</v>
      </c>
    </row>
    <row r="208" spans="1:4">
      <c r="A208" t="s">
        <v>1254</v>
      </c>
      <c r="B208" t="str">
        <f>IF('02_Warehouse_Locations'!A207="","",'02_Warehouse_Locations'!A207)</f>
        <v/>
      </c>
      <c r="C208" t="str">
        <f t="shared" si="3"/>
        <v/>
      </c>
      <c r="D208" t="s">
        <v>1255</v>
      </c>
    </row>
    <row r="209" spans="1:4">
      <c r="A209" t="s">
        <v>1254</v>
      </c>
      <c r="B209" t="str">
        <f>IF('02_Warehouse_Locations'!A208="","",'02_Warehouse_Locations'!A208)</f>
        <v/>
      </c>
      <c r="C209" t="str">
        <f t="shared" si="3"/>
        <v/>
      </c>
      <c r="D209" t="s">
        <v>1255</v>
      </c>
    </row>
    <row r="210" spans="1:4">
      <c r="A210" t="s">
        <v>1254</v>
      </c>
      <c r="B210" t="str">
        <f>IF('02_Warehouse_Locations'!A209="","",'02_Warehouse_Locations'!A209)</f>
        <v/>
      </c>
      <c r="C210" t="str">
        <f t="shared" si="3"/>
        <v/>
      </c>
      <c r="D210" t="s">
        <v>1255</v>
      </c>
    </row>
    <row r="211" spans="1:4">
      <c r="A211" t="s">
        <v>1254</v>
      </c>
      <c r="B211" t="str">
        <f>IF('02_Warehouse_Locations'!A210="","",'02_Warehouse_Locations'!A210)</f>
        <v/>
      </c>
      <c r="C211" t="str">
        <f t="shared" si="3"/>
        <v/>
      </c>
      <c r="D211" t="s">
        <v>1255</v>
      </c>
    </row>
    <row r="212" spans="1:4">
      <c r="A212" t="s">
        <v>1254</v>
      </c>
      <c r="B212" t="str">
        <f>IF('02_Warehouse_Locations'!A211="","",'02_Warehouse_Locations'!A211)</f>
        <v/>
      </c>
      <c r="C212" t="str">
        <f t="shared" si="3"/>
        <v/>
      </c>
      <c r="D212" t="s">
        <v>1255</v>
      </c>
    </row>
    <row r="213" spans="1:4">
      <c r="A213" t="s">
        <v>1254</v>
      </c>
      <c r="B213" t="str">
        <f>IF('02_Warehouse_Locations'!A212="","",'02_Warehouse_Locations'!A212)</f>
        <v/>
      </c>
      <c r="C213" t="str">
        <f t="shared" si="3"/>
        <v/>
      </c>
      <c r="D213" t="s">
        <v>1255</v>
      </c>
    </row>
    <row r="214" spans="1:4">
      <c r="A214" t="s">
        <v>1254</v>
      </c>
      <c r="B214" t="str">
        <f>IF('02_Warehouse_Locations'!A213="","",'02_Warehouse_Locations'!A213)</f>
        <v/>
      </c>
      <c r="C214" t="str">
        <f t="shared" si="3"/>
        <v/>
      </c>
      <c r="D214" t="s">
        <v>1255</v>
      </c>
    </row>
    <row r="215" spans="1:4">
      <c r="A215" t="s">
        <v>1254</v>
      </c>
      <c r="B215" t="str">
        <f>IF('02_Warehouse_Locations'!A214="","",'02_Warehouse_Locations'!A214)</f>
        <v/>
      </c>
      <c r="C215" t="str">
        <f t="shared" si="3"/>
        <v/>
      </c>
      <c r="D215" t="s">
        <v>1255</v>
      </c>
    </row>
    <row r="216" spans="1:4">
      <c r="A216" t="s">
        <v>1254</v>
      </c>
      <c r="B216" t="str">
        <f>IF('02_Warehouse_Locations'!A215="","",'02_Warehouse_Locations'!A215)</f>
        <v/>
      </c>
      <c r="C216" t="str">
        <f t="shared" si="3"/>
        <v/>
      </c>
      <c r="D216" t="s">
        <v>1255</v>
      </c>
    </row>
    <row r="217" spans="1:4">
      <c r="A217" t="s">
        <v>1254</v>
      </c>
      <c r="B217" t="str">
        <f>IF('02_Warehouse_Locations'!A216="","",'02_Warehouse_Locations'!A216)</f>
        <v/>
      </c>
      <c r="C217" t="str">
        <f t="shared" si="3"/>
        <v/>
      </c>
      <c r="D217" t="s">
        <v>1255</v>
      </c>
    </row>
    <row r="218" spans="1:4">
      <c r="A218" t="s">
        <v>1254</v>
      </c>
      <c r="B218" t="str">
        <f>IF('02_Warehouse_Locations'!A217="","",'02_Warehouse_Locations'!A217)</f>
        <v/>
      </c>
      <c r="C218" t="str">
        <f t="shared" si="3"/>
        <v/>
      </c>
      <c r="D218" t="s">
        <v>1255</v>
      </c>
    </row>
    <row r="219" spans="1:4">
      <c r="A219" t="s">
        <v>1254</v>
      </c>
      <c r="B219" t="str">
        <f>IF('02_Warehouse_Locations'!A218="","",'02_Warehouse_Locations'!A218)</f>
        <v/>
      </c>
      <c r="C219" t="str">
        <f t="shared" si="3"/>
        <v/>
      </c>
      <c r="D219" t="s">
        <v>1255</v>
      </c>
    </row>
    <row r="220" spans="1:4">
      <c r="A220" t="s">
        <v>1254</v>
      </c>
      <c r="B220" t="str">
        <f>IF('02_Warehouse_Locations'!A219="","",'02_Warehouse_Locations'!A219)</f>
        <v/>
      </c>
      <c r="C220" t="str">
        <f t="shared" si="3"/>
        <v/>
      </c>
      <c r="D220" t="s">
        <v>1255</v>
      </c>
    </row>
    <row r="221" spans="1:4">
      <c r="A221" t="s">
        <v>1254</v>
      </c>
      <c r="B221" t="str">
        <f>IF('02_Warehouse_Locations'!A220="","",'02_Warehouse_Locations'!A220)</f>
        <v/>
      </c>
      <c r="C221" t="str">
        <f t="shared" si="3"/>
        <v/>
      </c>
      <c r="D221" t="s">
        <v>1255</v>
      </c>
    </row>
    <row r="222" spans="1:4">
      <c r="A222" t="s">
        <v>1254</v>
      </c>
      <c r="B222" t="str">
        <f>IF('02_Warehouse_Locations'!A221="","",'02_Warehouse_Locations'!A221)</f>
        <v/>
      </c>
      <c r="C222" t="str">
        <f t="shared" si="3"/>
        <v/>
      </c>
      <c r="D222" t="s">
        <v>1255</v>
      </c>
    </row>
    <row r="223" spans="1:4">
      <c r="A223" t="s">
        <v>1254</v>
      </c>
      <c r="B223" t="str">
        <f>IF('02_Warehouse_Locations'!A222="","",'02_Warehouse_Locations'!A222)</f>
        <v/>
      </c>
      <c r="C223" t="str">
        <f t="shared" si="3"/>
        <v/>
      </c>
      <c r="D223" t="s">
        <v>1255</v>
      </c>
    </row>
    <row r="224" spans="1:4">
      <c r="A224" t="s">
        <v>1254</v>
      </c>
      <c r="B224" t="str">
        <f>IF('02_Warehouse_Locations'!A223="","",'02_Warehouse_Locations'!A223)</f>
        <v/>
      </c>
      <c r="C224" t="str">
        <f t="shared" si="3"/>
        <v/>
      </c>
      <c r="D224" t="s">
        <v>1255</v>
      </c>
    </row>
    <row r="225" spans="1:4">
      <c r="A225" t="s">
        <v>1254</v>
      </c>
      <c r="B225" t="str">
        <f>IF('02_Warehouse_Locations'!A224="","",'02_Warehouse_Locations'!A224)</f>
        <v/>
      </c>
      <c r="C225" t="str">
        <f t="shared" si="3"/>
        <v/>
      </c>
      <c r="D225" t="s">
        <v>1255</v>
      </c>
    </row>
    <row r="226" spans="1:4">
      <c r="A226" t="s">
        <v>1254</v>
      </c>
      <c r="B226" t="str">
        <f>IF('02_Warehouse_Locations'!A225="","",'02_Warehouse_Locations'!A225)</f>
        <v/>
      </c>
      <c r="C226" t="str">
        <f t="shared" si="3"/>
        <v/>
      </c>
      <c r="D226" t="s">
        <v>1255</v>
      </c>
    </row>
    <row r="227" spans="1:4">
      <c r="A227" t="s">
        <v>1254</v>
      </c>
      <c r="B227" t="str">
        <f>IF('02_Warehouse_Locations'!A226="","",'02_Warehouse_Locations'!A226)</f>
        <v/>
      </c>
      <c r="C227" t="str">
        <f t="shared" si="3"/>
        <v/>
      </c>
      <c r="D227" t="s">
        <v>1255</v>
      </c>
    </row>
    <row r="228" spans="1:4">
      <c r="A228" t="s">
        <v>1254</v>
      </c>
      <c r="B228" t="str">
        <f>IF('02_Warehouse_Locations'!A227="","",'02_Warehouse_Locations'!A227)</f>
        <v/>
      </c>
      <c r="C228" t="str">
        <f t="shared" si="3"/>
        <v/>
      </c>
      <c r="D228" t="s">
        <v>1255</v>
      </c>
    </row>
    <row r="229" spans="1:4">
      <c r="A229" t="s">
        <v>1254</v>
      </c>
      <c r="B229" t="str">
        <f>IF('02_Warehouse_Locations'!A228="","",'02_Warehouse_Locations'!A228)</f>
        <v/>
      </c>
      <c r="C229" t="str">
        <f t="shared" si="3"/>
        <v/>
      </c>
      <c r="D229" t="s">
        <v>1255</v>
      </c>
    </row>
    <row r="230" spans="1:4">
      <c r="A230" t="s">
        <v>1254</v>
      </c>
      <c r="B230" t="str">
        <f>IF('02_Warehouse_Locations'!A229="","",'02_Warehouse_Locations'!A229)</f>
        <v/>
      </c>
      <c r="C230" t="str">
        <f t="shared" si="3"/>
        <v/>
      </c>
      <c r="D230" t="s">
        <v>1255</v>
      </c>
    </row>
    <row r="231" spans="1:4">
      <c r="A231" t="s">
        <v>1254</v>
      </c>
      <c r="B231" t="str">
        <f>IF('02_Warehouse_Locations'!A230="","",'02_Warehouse_Locations'!A230)</f>
        <v/>
      </c>
      <c r="C231" t="str">
        <f t="shared" si="3"/>
        <v/>
      </c>
      <c r="D231" t="s">
        <v>1255</v>
      </c>
    </row>
    <row r="232" spans="1:4">
      <c r="A232" t="s">
        <v>1254</v>
      </c>
      <c r="B232" t="str">
        <f>IF('02_Warehouse_Locations'!A231="","",'02_Warehouse_Locations'!A231)</f>
        <v/>
      </c>
      <c r="C232" t="str">
        <f t="shared" si="3"/>
        <v/>
      </c>
      <c r="D232" t="s">
        <v>1255</v>
      </c>
    </row>
    <row r="233" spans="1:4">
      <c r="A233" t="s">
        <v>1254</v>
      </c>
      <c r="B233" t="str">
        <f>IF('02_Warehouse_Locations'!A232="","",'02_Warehouse_Locations'!A232)</f>
        <v/>
      </c>
      <c r="C233" t="str">
        <f t="shared" si="3"/>
        <v/>
      </c>
      <c r="D233" t="s">
        <v>1255</v>
      </c>
    </row>
    <row r="234" spans="1:4">
      <c r="A234" t="s">
        <v>1254</v>
      </c>
      <c r="B234" t="str">
        <f>IF('02_Warehouse_Locations'!A233="","",'02_Warehouse_Locations'!A233)</f>
        <v/>
      </c>
      <c r="C234" t="str">
        <f t="shared" si="3"/>
        <v/>
      </c>
      <c r="D234" t="s">
        <v>1255</v>
      </c>
    </row>
    <row r="235" spans="1:4">
      <c r="A235" t="s">
        <v>1254</v>
      </c>
      <c r="B235" t="str">
        <f>IF('02_Warehouse_Locations'!A234="","",'02_Warehouse_Locations'!A234)</f>
        <v/>
      </c>
      <c r="C235" t="str">
        <f t="shared" si="3"/>
        <v/>
      </c>
      <c r="D235" t="s">
        <v>1255</v>
      </c>
    </row>
    <row r="236" spans="1:4">
      <c r="A236" t="s">
        <v>1254</v>
      </c>
      <c r="B236" t="str">
        <f>IF('02_Warehouse_Locations'!A235="","",'02_Warehouse_Locations'!A235)</f>
        <v/>
      </c>
      <c r="C236" t="str">
        <f t="shared" si="3"/>
        <v/>
      </c>
      <c r="D236" t="s">
        <v>1255</v>
      </c>
    </row>
    <row r="237" spans="1:4">
      <c r="A237" t="s">
        <v>1254</v>
      </c>
      <c r="B237" t="str">
        <f>IF('02_Warehouse_Locations'!A236="","",'02_Warehouse_Locations'!A236)</f>
        <v/>
      </c>
      <c r="C237" t="str">
        <f t="shared" si="3"/>
        <v/>
      </c>
      <c r="D237" t="s">
        <v>1255</v>
      </c>
    </row>
    <row r="238" spans="1:4">
      <c r="A238" t="s">
        <v>1254</v>
      </c>
      <c r="B238" t="str">
        <f>IF('02_Warehouse_Locations'!A237="","",'02_Warehouse_Locations'!A237)</f>
        <v/>
      </c>
      <c r="C238" t="str">
        <f t="shared" si="3"/>
        <v/>
      </c>
      <c r="D238" t="s">
        <v>1255</v>
      </c>
    </row>
    <row r="239" spans="1:4">
      <c r="A239" t="s">
        <v>1254</v>
      </c>
      <c r="B239" t="str">
        <f>IF('02_Warehouse_Locations'!A238="","",'02_Warehouse_Locations'!A238)</f>
        <v/>
      </c>
      <c r="C239" t="str">
        <f t="shared" si="3"/>
        <v/>
      </c>
      <c r="D239" t="s">
        <v>1255</v>
      </c>
    </row>
    <row r="240" spans="1:4">
      <c r="A240" t="s">
        <v>1254</v>
      </c>
      <c r="B240" t="str">
        <f>IF('02_Warehouse_Locations'!A239="","",'02_Warehouse_Locations'!A239)</f>
        <v/>
      </c>
      <c r="C240" t="str">
        <f t="shared" si="3"/>
        <v/>
      </c>
      <c r="D240" t="s">
        <v>1255</v>
      </c>
    </row>
    <row r="241" spans="1:4">
      <c r="A241" t="s">
        <v>1254</v>
      </c>
      <c r="B241" t="str">
        <f>IF('02_Warehouse_Locations'!A240="","",'02_Warehouse_Locations'!A240)</f>
        <v/>
      </c>
      <c r="C241" t="str">
        <f t="shared" si="3"/>
        <v/>
      </c>
      <c r="D241" t="s">
        <v>1255</v>
      </c>
    </row>
    <row r="242" spans="1:4">
      <c r="A242" t="s">
        <v>1254</v>
      </c>
      <c r="B242" t="str">
        <f>IF('02_Warehouse_Locations'!A241="","",'02_Warehouse_Locations'!A241)</f>
        <v/>
      </c>
      <c r="C242" t="str">
        <f t="shared" si="3"/>
        <v/>
      </c>
      <c r="D242" t="s">
        <v>1255</v>
      </c>
    </row>
    <row r="243" spans="1:4">
      <c r="A243" t="s">
        <v>1254</v>
      </c>
      <c r="B243" t="str">
        <f>IF('02_Warehouse_Locations'!A242="","",'02_Warehouse_Locations'!A242)</f>
        <v/>
      </c>
      <c r="C243" t="str">
        <f t="shared" si="3"/>
        <v/>
      </c>
      <c r="D243" t="s">
        <v>1255</v>
      </c>
    </row>
    <row r="244" spans="1:4">
      <c r="A244" t="s">
        <v>1254</v>
      </c>
      <c r="B244" t="str">
        <f>IF('02_Warehouse_Locations'!A243="","",'02_Warehouse_Locations'!A243)</f>
        <v/>
      </c>
      <c r="C244" t="str">
        <f t="shared" si="3"/>
        <v/>
      </c>
      <c r="D244" t="s">
        <v>1255</v>
      </c>
    </row>
    <row r="245" spans="1:4">
      <c r="A245" t="s">
        <v>1254</v>
      </c>
      <c r="B245" t="str">
        <f>IF('02_Warehouse_Locations'!A244="","",'02_Warehouse_Locations'!A244)</f>
        <v/>
      </c>
      <c r="C245" t="str">
        <f t="shared" si="3"/>
        <v/>
      </c>
      <c r="D245" t="s">
        <v>1255</v>
      </c>
    </row>
    <row r="246" spans="1:4">
      <c r="A246" t="s">
        <v>1254</v>
      </c>
      <c r="B246" t="str">
        <f>IF('02_Warehouse_Locations'!A245="","",'02_Warehouse_Locations'!A245)</f>
        <v/>
      </c>
      <c r="C246" t="str">
        <f t="shared" si="3"/>
        <v/>
      </c>
      <c r="D246" t="s">
        <v>1255</v>
      </c>
    </row>
    <row r="247" spans="1:4">
      <c r="A247" t="s">
        <v>1254</v>
      </c>
      <c r="B247" t="str">
        <f>IF('02_Warehouse_Locations'!A246="","",'02_Warehouse_Locations'!A246)</f>
        <v/>
      </c>
      <c r="C247" t="str">
        <f t="shared" si="3"/>
        <v/>
      </c>
      <c r="D247" t="s">
        <v>1255</v>
      </c>
    </row>
    <row r="248" spans="1:4">
      <c r="A248" t="s">
        <v>1254</v>
      </c>
      <c r="B248" t="str">
        <f>IF('02_Warehouse_Locations'!A247="","",'02_Warehouse_Locations'!A247)</f>
        <v/>
      </c>
      <c r="C248" t="str">
        <f t="shared" si="3"/>
        <v/>
      </c>
      <c r="D248" t="s">
        <v>1255</v>
      </c>
    </row>
    <row r="249" spans="1:4">
      <c r="A249" t="s">
        <v>1254</v>
      </c>
      <c r="B249" t="str">
        <f>IF('02_Warehouse_Locations'!A248="","",'02_Warehouse_Locations'!A248)</f>
        <v/>
      </c>
      <c r="C249" t="str">
        <f t="shared" si="3"/>
        <v/>
      </c>
      <c r="D249" t="s">
        <v>1255</v>
      </c>
    </row>
    <row r="250" spans="1:4">
      <c r="A250" t="s">
        <v>1254</v>
      </c>
      <c r="B250" t="str">
        <f>IF('02_Warehouse_Locations'!A249="","",'02_Warehouse_Locations'!A249)</f>
        <v/>
      </c>
      <c r="C250" t="str">
        <f t="shared" si="3"/>
        <v/>
      </c>
      <c r="D250" t="s">
        <v>1255</v>
      </c>
    </row>
    <row r="251" spans="1:4">
      <c r="A251" t="s">
        <v>1254</v>
      </c>
      <c r="B251" t="str">
        <f>IF('02_Warehouse_Locations'!A250="","",'02_Warehouse_Locations'!A250)</f>
        <v/>
      </c>
      <c r="C251" t="str">
        <f t="shared" si="3"/>
        <v/>
      </c>
      <c r="D251" t="s">
        <v>1255</v>
      </c>
    </row>
    <row r="252" spans="1:4">
      <c r="A252" t="s">
        <v>1254</v>
      </c>
      <c r="B252" t="str">
        <f>IF('02_Warehouse_Locations'!A251="","",'02_Warehouse_Locations'!A251)</f>
        <v/>
      </c>
      <c r="C252" t="str">
        <f t="shared" si="3"/>
        <v/>
      </c>
      <c r="D252" t="s">
        <v>1255</v>
      </c>
    </row>
    <row r="253" spans="1:4">
      <c r="A253" t="s">
        <v>1254</v>
      </c>
      <c r="B253" t="str">
        <f>IF('02_Warehouse_Locations'!A252="","",'02_Warehouse_Locations'!A252)</f>
        <v/>
      </c>
      <c r="C253" t="str">
        <f t="shared" si="3"/>
        <v/>
      </c>
      <c r="D253" t="s">
        <v>1255</v>
      </c>
    </row>
    <row r="254" spans="1:4">
      <c r="A254" t="s">
        <v>1254</v>
      </c>
      <c r="B254" t="str">
        <f>IF('02_Warehouse_Locations'!A253="","",'02_Warehouse_Locations'!A253)</f>
        <v/>
      </c>
      <c r="C254" t="str">
        <f t="shared" si="3"/>
        <v/>
      </c>
      <c r="D254" t="s">
        <v>1255</v>
      </c>
    </row>
    <row r="255" spans="1:4">
      <c r="A255" t="s">
        <v>1254</v>
      </c>
      <c r="B255" t="str">
        <f>IF('02_Warehouse_Locations'!A254="","",'02_Warehouse_Locations'!A254)</f>
        <v/>
      </c>
      <c r="C255" t="str">
        <f t="shared" si="3"/>
        <v/>
      </c>
      <c r="D255" t="s">
        <v>1255</v>
      </c>
    </row>
    <row r="256" spans="1:4">
      <c r="A256" t="s">
        <v>1254</v>
      </c>
      <c r="B256" t="str">
        <f>IF('02_Warehouse_Locations'!A255="","",'02_Warehouse_Locations'!A255)</f>
        <v/>
      </c>
      <c r="C256" t="str">
        <f t="shared" si="3"/>
        <v/>
      </c>
      <c r="D256" t="s">
        <v>1255</v>
      </c>
    </row>
    <row r="257" spans="1:4">
      <c r="A257" t="s">
        <v>1254</v>
      </c>
      <c r="B257" t="str">
        <f>IF('02_Warehouse_Locations'!A256="","",'02_Warehouse_Locations'!A256)</f>
        <v/>
      </c>
      <c r="C257" t="str">
        <f t="shared" si="3"/>
        <v/>
      </c>
      <c r="D257" t="s">
        <v>1255</v>
      </c>
    </row>
    <row r="258" spans="1:4">
      <c r="A258" t="s">
        <v>1254</v>
      </c>
      <c r="B258" t="str">
        <f>IF('02_Warehouse_Locations'!A257="","",'02_Warehouse_Locations'!A257)</f>
        <v/>
      </c>
      <c r="C258" t="str">
        <f t="shared" si="3"/>
        <v/>
      </c>
      <c r="D258" t="s">
        <v>1255</v>
      </c>
    </row>
    <row r="259" spans="1:4">
      <c r="A259" t="s">
        <v>1254</v>
      </c>
      <c r="B259" t="str">
        <f>IF('02_Warehouse_Locations'!A258="","",'02_Warehouse_Locations'!A258)</f>
        <v/>
      </c>
      <c r="C259" t="str">
        <f t="shared" ref="C259:C322" si="4">IF(B259="","",B259)</f>
        <v/>
      </c>
      <c r="D259" t="s">
        <v>1255</v>
      </c>
    </row>
    <row r="260" spans="1:4">
      <c r="A260" t="s">
        <v>1254</v>
      </c>
      <c r="B260" t="str">
        <f>IF('02_Warehouse_Locations'!A259="","",'02_Warehouse_Locations'!A259)</f>
        <v/>
      </c>
      <c r="C260" t="str">
        <f t="shared" si="4"/>
        <v/>
      </c>
      <c r="D260" t="s">
        <v>1255</v>
      </c>
    </row>
    <row r="261" spans="1:4">
      <c r="A261" t="s">
        <v>1254</v>
      </c>
      <c r="B261" t="str">
        <f>IF('02_Warehouse_Locations'!A260="","",'02_Warehouse_Locations'!A260)</f>
        <v/>
      </c>
      <c r="C261" t="str">
        <f t="shared" si="4"/>
        <v/>
      </c>
      <c r="D261" t="s">
        <v>1255</v>
      </c>
    </row>
    <row r="262" spans="1:4">
      <c r="A262" t="s">
        <v>1254</v>
      </c>
      <c r="B262" t="str">
        <f>IF('02_Warehouse_Locations'!A261="","",'02_Warehouse_Locations'!A261)</f>
        <v/>
      </c>
      <c r="C262" t="str">
        <f t="shared" si="4"/>
        <v/>
      </c>
      <c r="D262" t="s">
        <v>1255</v>
      </c>
    </row>
    <row r="263" spans="1:4">
      <c r="A263" t="s">
        <v>1254</v>
      </c>
      <c r="B263" t="str">
        <f>IF('02_Warehouse_Locations'!A262="","",'02_Warehouse_Locations'!A262)</f>
        <v/>
      </c>
      <c r="C263" t="str">
        <f t="shared" si="4"/>
        <v/>
      </c>
      <c r="D263" t="s">
        <v>1255</v>
      </c>
    </row>
    <row r="264" spans="1:4">
      <c r="A264" t="s">
        <v>1254</v>
      </c>
      <c r="B264" t="str">
        <f>IF('02_Warehouse_Locations'!A263="","",'02_Warehouse_Locations'!A263)</f>
        <v/>
      </c>
      <c r="C264" t="str">
        <f t="shared" si="4"/>
        <v/>
      </c>
      <c r="D264" t="s">
        <v>1255</v>
      </c>
    </row>
    <row r="265" spans="1:4">
      <c r="A265" t="s">
        <v>1254</v>
      </c>
      <c r="B265" t="str">
        <f>IF('02_Warehouse_Locations'!A264="","",'02_Warehouse_Locations'!A264)</f>
        <v/>
      </c>
      <c r="C265" t="str">
        <f t="shared" si="4"/>
        <v/>
      </c>
      <c r="D265" t="s">
        <v>1255</v>
      </c>
    </row>
    <row r="266" spans="1:4">
      <c r="A266" t="s">
        <v>1254</v>
      </c>
      <c r="B266" t="str">
        <f>IF('02_Warehouse_Locations'!A265="","",'02_Warehouse_Locations'!A265)</f>
        <v/>
      </c>
      <c r="C266" t="str">
        <f t="shared" si="4"/>
        <v/>
      </c>
      <c r="D266" t="s">
        <v>1255</v>
      </c>
    </row>
    <row r="267" spans="1:4">
      <c r="A267" t="s">
        <v>1254</v>
      </c>
      <c r="B267" t="str">
        <f>IF('02_Warehouse_Locations'!A266="","",'02_Warehouse_Locations'!A266)</f>
        <v/>
      </c>
      <c r="C267" t="str">
        <f t="shared" si="4"/>
        <v/>
      </c>
      <c r="D267" t="s">
        <v>1255</v>
      </c>
    </row>
    <row r="268" spans="1:4">
      <c r="A268" t="s">
        <v>1254</v>
      </c>
      <c r="B268" t="str">
        <f>IF('02_Warehouse_Locations'!A267="","",'02_Warehouse_Locations'!A267)</f>
        <v/>
      </c>
      <c r="C268" t="str">
        <f t="shared" si="4"/>
        <v/>
      </c>
      <c r="D268" t="s">
        <v>1255</v>
      </c>
    </row>
    <row r="269" spans="1:4">
      <c r="A269" t="s">
        <v>1254</v>
      </c>
      <c r="B269" t="str">
        <f>IF('02_Warehouse_Locations'!A268="","",'02_Warehouse_Locations'!A268)</f>
        <v/>
      </c>
      <c r="C269" t="str">
        <f t="shared" si="4"/>
        <v/>
      </c>
      <c r="D269" t="s">
        <v>1255</v>
      </c>
    </row>
    <row r="270" spans="1:4">
      <c r="A270" t="s">
        <v>1254</v>
      </c>
      <c r="B270" t="str">
        <f>IF('02_Warehouse_Locations'!A269="","",'02_Warehouse_Locations'!A269)</f>
        <v/>
      </c>
      <c r="C270" t="str">
        <f t="shared" si="4"/>
        <v/>
      </c>
      <c r="D270" t="s">
        <v>1255</v>
      </c>
    </row>
    <row r="271" spans="1:4">
      <c r="A271" t="s">
        <v>1254</v>
      </c>
      <c r="B271" t="str">
        <f>IF('02_Warehouse_Locations'!A270="","",'02_Warehouse_Locations'!A270)</f>
        <v/>
      </c>
      <c r="C271" t="str">
        <f t="shared" si="4"/>
        <v/>
      </c>
      <c r="D271" t="s">
        <v>1255</v>
      </c>
    </row>
    <row r="272" spans="1:4">
      <c r="A272" t="s">
        <v>1254</v>
      </c>
      <c r="B272" t="str">
        <f>IF('02_Warehouse_Locations'!A271="","",'02_Warehouse_Locations'!A271)</f>
        <v/>
      </c>
      <c r="C272" t="str">
        <f t="shared" si="4"/>
        <v/>
      </c>
      <c r="D272" t="s">
        <v>1255</v>
      </c>
    </row>
    <row r="273" spans="1:4">
      <c r="A273" t="s">
        <v>1254</v>
      </c>
      <c r="B273" t="str">
        <f>IF('02_Warehouse_Locations'!A272="","",'02_Warehouse_Locations'!A272)</f>
        <v/>
      </c>
      <c r="C273" t="str">
        <f t="shared" si="4"/>
        <v/>
      </c>
      <c r="D273" t="s">
        <v>1255</v>
      </c>
    </row>
    <row r="274" spans="1:4">
      <c r="A274" t="s">
        <v>1254</v>
      </c>
      <c r="B274" t="str">
        <f>IF('02_Warehouse_Locations'!A273="","",'02_Warehouse_Locations'!A273)</f>
        <v/>
      </c>
      <c r="C274" t="str">
        <f t="shared" si="4"/>
        <v/>
      </c>
      <c r="D274" t="s">
        <v>1255</v>
      </c>
    </row>
    <row r="275" spans="1:4">
      <c r="A275" t="s">
        <v>1254</v>
      </c>
      <c r="B275" t="str">
        <f>IF('02_Warehouse_Locations'!A274="","",'02_Warehouse_Locations'!A274)</f>
        <v/>
      </c>
      <c r="C275" t="str">
        <f t="shared" si="4"/>
        <v/>
      </c>
      <c r="D275" t="s">
        <v>1255</v>
      </c>
    </row>
    <row r="276" spans="1:4">
      <c r="A276" t="s">
        <v>1254</v>
      </c>
      <c r="B276" t="str">
        <f>IF('02_Warehouse_Locations'!A275="","",'02_Warehouse_Locations'!A275)</f>
        <v/>
      </c>
      <c r="C276" t="str">
        <f t="shared" si="4"/>
        <v/>
      </c>
      <c r="D276" t="s">
        <v>1255</v>
      </c>
    </row>
    <row r="277" spans="1:4">
      <c r="A277" t="s">
        <v>1254</v>
      </c>
      <c r="B277" t="str">
        <f>IF('02_Warehouse_Locations'!A276="","",'02_Warehouse_Locations'!A276)</f>
        <v/>
      </c>
      <c r="C277" t="str">
        <f t="shared" si="4"/>
        <v/>
      </c>
      <c r="D277" t="s">
        <v>1255</v>
      </c>
    </row>
    <row r="278" spans="1:4">
      <c r="A278" t="s">
        <v>1254</v>
      </c>
      <c r="B278" t="str">
        <f>IF('02_Warehouse_Locations'!A277="","",'02_Warehouse_Locations'!A277)</f>
        <v/>
      </c>
      <c r="C278" t="str">
        <f t="shared" si="4"/>
        <v/>
      </c>
      <c r="D278" t="s">
        <v>1255</v>
      </c>
    </row>
    <row r="279" spans="1:4">
      <c r="A279" t="s">
        <v>1254</v>
      </c>
      <c r="B279" t="str">
        <f>IF('02_Warehouse_Locations'!A278="","",'02_Warehouse_Locations'!A278)</f>
        <v/>
      </c>
      <c r="C279" t="str">
        <f t="shared" si="4"/>
        <v/>
      </c>
      <c r="D279" t="s">
        <v>1255</v>
      </c>
    </row>
    <row r="280" spans="1:4">
      <c r="A280" t="s">
        <v>1254</v>
      </c>
      <c r="B280" t="str">
        <f>IF('02_Warehouse_Locations'!A279="","",'02_Warehouse_Locations'!A279)</f>
        <v/>
      </c>
      <c r="C280" t="str">
        <f t="shared" si="4"/>
        <v/>
      </c>
      <c r="D280" t="s">
        <v>1255</v>
      </c>
    </row>
    <row r="281" spans="1:4">
      <c r="A281" t="s">
        <v>1254</v>
      </c>
      <c r="B281" t="str">
        <f>IF('02_Warehouse_Locations'!A280="","",'02_Warehouse_Locations'!A280)</f>
        <v/>
      </c>
      <c r="C281" t="str">
        <f t="shared" si="4"/>
        <v/>
      </c>
      <c r="D281" t="s">
        <v>1255</v>
      </c>
    </row>
    <row r="282" spans="1:4">
      <c r="A282" t="s">
        <v>1254</v>
      </c>
      <c r="B282" t="str">
        <f>IF('02_Warehouse_Locations'!A281="","",'02_Warehouse_Locations'!A281)</f>
        <v/>
      </c>
      <c r="C282" t="str">
        <f t="shared" si="4"/>
        <v/>
      </c>
      <c r="D282" t="s">
        <v>1255</v>
      </c>
    </row>
    <row r="283" spans="1:4">
      <c r="A283" t="s">
        <v>1254</v>
      </c>
      <c r="B283" t="str">
        <f>IF('02_Warehouse_Locations'!A282="","",'02_Warehouse_Locations'!A282)</f>
        <v/>
      </c>
      <c r="C283" t="str">
        <f t="shared" si="4"/>
        <v/>
      </c>
      <c r="D283" t="s">
        <v>1255</v>
      </c>
    </row>
    <row r="284" spans="1:4">
      <c r="A284" t="s">
        <v>1254</v>
      </c>
      <c r="B284" t="str">
        <f>IF('02_Warehouse_Locations'!A283="","",'02_Warehouse_Locations'!A283)</f>
        <v/>
      </c>
      <c r="C284" t="str">
        <f t="shared" si="4"/>
        <v/>
      </c>
      <c r="D284" t="s">
        <v>1255</v>
      </c>
    </row>
    <row r="285" spans="1:4">
      <c r="A285" t="s">
        <v>1254</v>
      </c>
      <c r="B285" t="str">
        <f>IF('02_Warehouse_Locations'!A284="","",'02_Warehouse_Locations'!A284)</f>
        <v/>
      </c>
      <c r="C285" t="str">
        <f t="shared" si="4"/>
        <v/>
      </c>
      <c r="D285" t="s">
        <v>1255</v>
      </c>
    </row>
    <row r="286" spans="1:4">
      <c r="A286" t="s">
        <v>1254</v>
      </c>
      <c r="B286" t="str">
        <f>IF('02_Warehouse_Locations'!A285="","",'02_Warehouse_Locations'!A285)</f>
        <v/>
      </c>
      <c r="C286" t="str">
        <f t="shared" si="4"/>
        <v/>
      </c>
      <c r="D286" t="s">
        <v>1255</v>
      </c>
    </row>
    <row r="287" spans="1:4">
      <c r="A287" t="s">
        <v>1254</v>
      </c>
      <c r="B287" t="str">
        <f>IF('02_Warehouse_Locations'!A286="","",'02_Warehouse_Locations'!A286)</f>
        <v/>
      </c>
      <c r="C287" t="str">
        <f t="shared" si="4"/>
        <v/>
      </c>
      <c r="D287" t="s">
        <v>1255</v>
      </c>
    </row>
    <row r="288" spans="1:4">
      <c r="A288" t="s">
        <v>1254</v>
      </c>
      <c r="B288" t="str">
        <f>IF('02_Warehouse_Locations'!A287="","",'02_Warehouse_Locations'!A287)</f>
        <v/>
      </c>
      <c r="C288" t="str">
        <f t="shared" si="4"/>
        <v/>
      </c>
      <c r="D288" t="s">
        <v>1255</v>
      </c>
    </row>
    <row r="289" spans="1:4">
      <c r="A289" t="s">
        <v>1254</v>
      </c>
      <c r="B289" t="str">
        <f>IF('02_Warehouse_Locations'!A288="","",'02_Warehouse_Locations'!A288)</f>
        <v/>
      </c>
      <c r="C289" t="str">
        <f t="shared" si="4"/>
        <v/>
      </c>
      <c r="D289" t="s">
        <v>1255</v>
      </c>
    </row>
    <row r="290" spans="1:4">
      <c r="A290" t="s">
        <v>1254</v>
      </c>
      <c r="B290" t="str">
        <f>IF('02_Warehouse_Locations'!A289="","",'02_Warehouse_Locations'!A289)</f>
        <v/>
      </c>
      <c r="C290" t="str">
        <f t="shared" si="4"/>
        <v/>
      </c>
      <c r="D290" t="s">
        <v>1255</v>
      </c>
    </row>
    <row r="291" spans="1:4">
      <c r="A291" t="s">
        <v>1254</v>
      </c>
      <c r="B291" t="str">
        <f>IF('02_Warehouse_Locations'!A290="","",'02_Warehouse_Locations'!A290)</f>
        <v/>
      </c>
      <c r="C291" t="str">
        <f t="shared" si="4"/>
        <v/>
      </c>
      <c r="D291" t="s">
        <v>1255</v>
      </c>
    </row>
    <row r="292" spans="1:4">
      <c r="A292" t="s">
        <v>1254</v>
      </c>
      <c r="B292" t="str">
        <f>IF('02_Warehouse_Locations'!A291="","",'02_Warehouse_Locations'!A291)</f>
        <v/>
      </c>
      <c r="C292" t="str">
        <f t="shared" si="4"/>
        <v/>
      </c>
      <c r="D292" t="s">
        <v>1255</v>
      </c>
    </row>
    <row r="293" spans="1:4">
      <c r="A293" t="s">
        <v>1254</v>
      </c>
      <c r="B293" t="str">
        <f>IF('02_Warehouse_Locations'!A292="","",'02_Warehouse_Locations'!A292)</f>
        <v/>
      </c>
      <c r="C293" t="str">
        <f t="shared" si="4"/>
        <v/>
      </c>
      <c r="D293" t="s">
        <v>1255</v>
      </c>
    </row>
    <row r="294" spans="1:4">
      <c r="A294" t="s">
        <v>1254</v>
      </c>
      <c r="B294" t="str">
        <f>IF('02_Warehouse_Locations'!A293="","",'02_Warehouse_Locations'!A293)</f>
        <v/>
      </c>
      <c r="C294" t="str">
        <f t="shared" si="4"/>
        <v/>
      </c>
      <c r="D294" t="s">
        <v>1255</v>
      </c>
    </row>
    <row r="295" spans="1:4">
      <c r="A295" t="s">
        <v>1254</v>
      </c>
      <c r="B295" t="str">
        <f>IF('02_Warehouse_Locations'!A294="","",'02_Warehouse_Locations'!A294)</f>
        <v/>
      </c>
      <c r="C295" t="str">
        <f t="shared" si="4"/>
        <v/>
      </c>
      <c r="D295" t="s">
        <v>1255</v>
      </c>
    </row>
    <row r="296" spans="1:4">
      <c r="A296" t="s">
        <v>1254</v>
      </c>
      <c r="B296" t="str">
        <f>IF('02_Warehouse_Locations'!A295="","",'02_Warehouse_Locations'!A295)</f>
        <v/>
      </c>
      <c r="C296" t="str">
        <f t="shared" si="4"/>
        <v/>
      </c>
      <c r="D296" t="s">
        <v>1255</v>
      </c>
    </row>
    <row r="297" spans="1:4">
      <c r="A297" t="s">
        <v>1254</v>
      </c>
      <c r="B297" t="str">
        <f>IF('02_Warehouse_Locations'!A296="","",'02_Warehouse_Locations'!A296)</f>
        <v/>
      </c>
      <c r="C297" t="str">
        <f t="shared" si="4"/>
        <v/>
      </c>
      <c r="D297" t="s">
        <v>1255</v>
      </c>
    </row>
    <row r="298" spans="1:4">
      <c r="A298" t="s">
        <v>1254</v>
      </c>
      <c r="B298" t="str">
        <f>IF('02_Warehouse_Locations'!A297="","",'02_Warehouse_Locations'!A297)</f>
        <v/>
      </c>
      <c r="C298" t="str">
        <f t="shared" si="4"/>
        <v/>
      </c>
      <c r="D298" t="s">
        <v>1255</v>
      </c>
    </row>
    <row r="299" spans="1:4">
      <c r="A299" t="s">
        <v>1254</v>
      </c>
      <c r="B299" t="str">
        <f>IF('02_Warehouse_Locations'!A298="","",'02_Warehouse_Locations'!A298)</f>
        <v/>
      </c>
      <c r="C299" t="str">
        <f t="shared" si="4"/>
        <v/>
      </c>
      <c r="D299" t="s">
        <v>1255</v>
      </c>
    </row>
    <row r="300" spans="1:4">
      <c r="A300" t="s">
        <v>1254</v>
      </c>
      <c r="B300" t="str">
        <f>IF('02_Warehouse_Locations'!A299="","",'02_Warehouse_Locations'!A299)</f>
        <v/>
      </c>
      <c r="C300" t="str">
        <f t="shared" si="4"/>
        <v/>
      </c>
      <c r="D300" t="s">
        <v>1255</v>
      </c>
    </row>
    <row r="301" spans="1:4">
      <c r="A301" t="s">
        <v>1254</v>
      </c>
      <c r="B301" t="str">
        <f>IF('02_Warehouse_Locations'!A300="","",'02_Warehouse_Locations'!A300)</f>
        <v/>
      </c>
      <c r="C301" t="str">
        <f t="shared" si="4"/>
        <v/>
      </c>
      <c r="D301" t="s">
        <v>1255</v>
      </c>
    </row>
    <row r="302" spans="1:4">
      <c r="A302" t="s">
        <v>1254</v>
      </c>
      <c r="B302" t="str">
        <f>IF('02_Warehouse_Locations'!A301="","",'02_Warehouse_Locations'!A301)</f>
        <v/>
      </c>
      <c r="C302" t="str">
        <f t="shared" si="4"/>
        <v/>
      </c>
      <c r="D302" t="s">
        <v>1255</v>
      </c>
    </row>
    <row r="303" spans="1:4">
      <c r="A303" t="s">
        <v>1254</v>
      </c>
      <c r="B303" t="str">
        <f>IF('02_Warehouse_Locations'!A302="","",'02_Warehouse_Locations'!A302)</f>
        <v/>
      </c>
      <c r="C303" t="str">
        <f t="shared" si="4"/>
        <v/>
      </c>
      <c r="D303" t="s">
        <v>1255</v>
      </c>
    </row>
    <row r="304" spans="1:4">
      <c r="A304" t="s">
        <v>1254</v>
      </c>
      <c r="B304" t="str">
        <f>IF('02_Warehouse_Locations'!A303="","",'02_Warehouse_Locations'!A303)</f>
        <v/>
      </c>
      <c r="C304" t="str">
        <f t="shared" si="4"/>
        <v/>
      </c>
      <c r="D304" t="s">
        <v>1255</v>
      </c>
    </row>
    <row r="305" spans="1:4">
      <c r="A305" t="s">
        <v>1254</v>
      </c>
      <c r="B305" t="str">
        <f>IF('02_Warehouse_Locations'!A304="","",'02_Warehouse_Locations'!A304)</f>
        <v/>
      </c>
      <c r="C305" t="str">
        <f t="shared" si="4"/>
        <v/>
      </c>
      <c r="D305" t="s">
        <v>1255</v>
      </c>
    </row>
    <row r="306" spans="1:4">
      <c r="A306" t="s">
        <v>1254</v>
      </c>
      <c r="B306" t="str">
        <f>IF('02_Warehouse_Locations'!A305="","",'02_Warehouse_Locations'!A305)</f>
        <v/>
      </c>
      <c r="C306" t="str">
        <f t="shared" si="4"/>
        <v/>
      </c>
      <c r="D306" t="s">
        <v>1255</v>
      </c>
    </row>
    <row r="307" spans="1:4">
      <c r="A307" t="s">
        <v>1254</v>
      </c>
      <c r="B307" t="str">
        <f>IF('02_Warehouse_Locations'!A306="","",'02_Warehouse_Locations'!A306)</f>
        <v/>
      </c>
      <c r="C307" t="str">
        <f t="shared" si="4"/>
        <v/>
      </c>
      <c r="D307" t="s">
        <v>1255</v>
      </c>
    </row>
    <row r="308" spans="1:4">
      <c r="A308" t="s">
        <v>1254</v>
      </c>
      <c r="B308" t="str">
        <f>IF('02_Warehouse_Locations'!A307="","",'02_Warehouse_Locations'!A307)</f>
        <v/>
      </c>
      <c r="C308" t="str">
        <f t="shared" si="4"/>
        <v/>
      </c>
      <c r="D308" t="s">
        <v>1255</v>
      </c>
    </row>
    <row r="309" spans="1:4">
      <c r="A309" t="s">
        <v>1254</v>
      </c>
      <c r="B309" t="str">
        <f>IF('02_Warehouse_Locations'!A308="","",'02_Warehouse_Locations'!A308)</f>
        <v/>
      </c>
      <c r="C309" t="str">
        <f t="shared" si="4"/>
        <v/>
      </c>
      <c r="D309" t="s">
        <v>1255</v>
      </c>
    </row>
    <row r="310" spans="1:4">
      <c r="A310" t="s">
        <v>1254</v>
      </c>
      <c r="B310" t="str">
        <f>IF('02_Warehouse_Locations'!A309="","",'02_Warehouse_Locations'!A309)</f>
        <v/>
      </c>
      <c r="C310" t="str">
        <f t="shared" si="4"/>
        <v/>
      </c>
      <c r="D310" t="s">
        <v>1255</v>
      </c>
    </row>
    <row r="311" spans="1:4">
      <c r="A311" t="s">
        <v>1254</v>
      </c>
      <c r="B311" t="str">
        <f>IF('02_Warehouse_Locations'!A310="","",'02_Warehouse_Locations'!A310)</f>
        <v/>
      </c>
      <c r="C311" t="str">
        <f t="shared" si="4"/>
        <v/>
      </c>
      <c r="D311" t="s">
        <v>1255</v>
      </c>
    </row>
    <row r="312" spans="1:4">
      <c r="A312" t="s">
        <v>1254</v>
      </c>
      <c r="B312" t="str">
        <f>IF('02_Warehouse_Locations'!A311="","",'02_Warehouse_Locations'!A311)</f>
        <v/>
      </c>
      <c r="C312" t="str">
        <f t="shared" si="4"/>
        <v/>
      </c>
      <c r="D312" t="s">
        <v>1255</v>
      </c>
    </row>
    <row r="313" spans="1:4">
      <c r="A313" t="s">
        <v>1254</v>
      </c>
      <c r="B313" t="str">
        <f>IF('02_Warehouse_Locations'!A312="","",'02_Warehouse_Locations'!A312)</f>
        <v/>
      </c>
      <c r="C313" t="str">
        <f t="shared" si="4"/>
        <v/>
      </c>
      <c r="D313" t="s">
        <v>1255</v>
      </c>
    </row>
    <row r="314" spans="1:4">
      <c r="A314" t="s">
        <v>1254</v>
      </c>
      <c r="B314" t="str">
        <f>IF('02_Warehouse_Locations'!A313="","",'02_Warehouse_Locations'!A313)</f>
        <v/>
      </c>
      <c r="C314" t="str">
        <f t="shared" si="4"/>
        <v/>
      </c>
      <c r="D314" t="s">
        <v>1255</v>
      </c>
    </row>
    <row r="315" spans="1:4">
      <c r="A315" t="s">
        <v>1254</v>
      </c>
      <c r="B315" t="str">
        <f>IF('02_Warehouse_Locations'!A314="","",'02_Warehouse_Locations'!A314)</f>
        <v/>
      </c>
      <c r="C315" t="str">
        <f t="shared" si="4"/>
        <v/>
      </c>
      <c r="D315" t="s">
        <v>1255</v>
      </c>
    </row>
    <row r="316" spans="1:4">
      <c r="A316" t="s">
        <v>1254</v>
      </c>
      <c r="B316" t="str">
        <f>IF('02_Warehouse_Locations'!A315="","",'02_Warehouse_Locations'!A315)</f>
        <v/>
      </c>
      <c r="C316" t="str">
        <f t="shared" si="4"/>
        <v/>
      </c>
      <c r="D316" t="s">
        <v>1255</v>
      </c>
    </row>
    <row r="317" spans="1:4">
      <c r="A317" t="s">
        <v>1254</v>
      </c>
      <c r="B317" t="str">
        <f>IF('02_Warehouse_Locations'!A316="","",'02_Warehouse_Locations'!A316)</f>
        <v/>
      </c>
      <c r="C317" t="str">
        <f t="shared" si="4"/>
        <v/>
      </c>
      <c r="D317" t="s">
        <v>1255</v>
      </c>
    </row>
    <row r="318" spans="1:4">
      <c r="A318" t="s">
        <v>1254</v>
      </c>
      <c r="B318" t="str">
        <f>IF('02_Warehouse_Locations'!A317="","",'02_Warehouse_Locations'!A317)</f>
        <v/>
      </c>
      <c r="C318" t="str">
        <f t="shared" si="4"/>
        <v/>
      </c>
      <c r="D318" t="s">
        <v>1255</v>
      </c>
    </row>
    <row r="319" spans="1:4">
      <c r="A319" t="s">
        <v>1254</v>
      </c>
      <c r="B319" t="str">
        <f>IF('02_Warehouse_Locations'!A318="","",'02_Warehouse_Locations'!A318)</f>
        <v/>
      </c>
      <c r="C319" t="str">
        <f t="shared" si="4"/>
        <v/>
      </c>
      <c r="D319" t="s">
        <v>1255</v>
      </c>
    </row>
    <row r="320" spans="1:4">
      <c r="A320" t="s">
        <v>1254</v>
      </c>
      <c r="B320" t="str">
        <f>IF('02_Warehouse_Locations'!A319="","",'02_Warehouse_Locations'!A319)</f>
        <v/>
      </c>
      <c r="C320" t="str">
        <f t="shared" si="4"/>
        <v/>
      </c>
      <c r="D320" t="s">
        <v>1255</v>
      </c>
    </row>
    <row r="321" spans="1:4">
      <c r="A321" t="s">
        <v>1254</v>
      </c>
      <c r="B321" t="str">
        <f>IF('02_Warehouse_Locations'!A320="","",'02_Warehouse_Locations'!A320)</f>
        <v/>
      </c>
      <c r="C321" t="str">
        <f t="shared" si="4"/>
        <v/>
      </c>
      <c r="D321" t="s">
        <v>1255</v>
      </c>
    </row>
    <row r="322" spans="1:4">
      <c r="A322" t="s">
        <v>1254</v>
      </c>
      <c r="B322" t="str">
        <f>IF('02_Warehouse_Locations'!A321="","",'02_Warehouse_Locations'!A321)</f>
        <v/>
      </c>
      <c r="C322" t="str">
        <f t="shared" si="4"/>
        <v/>
      </c>
      <c r="D322" t="s">
        <v>1255</v>
      </c>
    </row>
    <row r="323" spans="1:4">
      <c r="A323" t="s">
        <v>1254</v>
      </c>
      <c r="B323" t="str">
        <f>IF('02_Warehouse_Locations'!A322="","",'02_Warehouse_Locations'!A322)</f>
        <v/>
      </c>
      <c r="C323" t="str">
        <f t="shared" ref="C323:C386" si="5">IF(B323="","",B323)</f>
        <v/>
      </c>
      <c r="D323" t="s">
        <v>1255</v>
      </c>
    </row>
    <row r="324" spans="1:4">
      <c r="A324" t="s">
        <v>1254</v>
      </c>
      <c r="B324" t="str">
        <f>IF('02_Warehouse_Locations'!A323="","",'02_Warehouse_Locations'!A323)</f>
        <v/>
      </c>
      <c r="C324" t="str">
        <f t="shared" si="5"/>
        <v/>
      </c>
      <c r="D324" t="s">
        <v>1255</v>
      </c>
    </row>
    <row r="325" spans="1:4">
      <c r="A325" t="s">
        <v>1254</v>
      </c>
      <c r="B325" t="str">
        <f>IF('02_Warehouse_Locations'!A324="","",'02_Warehouse_Locations'!A324)</f>
        <v/>
      </c>
      <c r="C325" t="str">
        <f t="shared" si="5"/>
        <v/>
      </c>
      <c r="D325" t="s">
        <v>1255</v>
      </c>
    </row>
    <row r="326" spans="1:4">
      <c r="A326" t="s">
        <v>1254</v>
      </c>
      <c r="B326" t="str">
        <f>IF('02_Warehouse_Locations'!A325="","",'02_Warehouse_Locations'!A325)</f>
        <v/>
      </c>
      <c r="C326" t="str">
        <f t="shared" si="5"/>
        <v/>
      </c>
      <c r="D326" t="s">
        <v>1255</v>
      </c>
    </row>
    <row r="327" spans="1:4">
      <c r="A327" t="s">
        <v>1254</v>
      </c>
      <c r="B327" t="str">
        <f>IF('02_Warehouse_Locations'!A326="","",'02_Warehouse_Locations'!A326)</f>
        <v/>
      </c>
      <c r="C327" t="str">
        <f t="shared" si="5"/>
        <v/>
      </c>
      <c r="D327" t="s">
        <v>1255</v>
      </c>
    </row>
    <row r="328" spans="1:4">
      <c r="A328" t="s">
        <v>1254</v>
      </c>
      <c r="B328" t="str">
        <f>IF('02_Warehouse_Locations'!A327="","",'02_Warehouse_Locations'!A327)</f>
        <v/>
      </c>
      <c r="C328" t="str">
        <f t="shared" si="5"/>
        <v/>
      </c>
      <c r="D328" t="s">
        <v>1255</v>
      </c>
    </row>
    <row r="329" spans="1:4">
      <c r="A329" t="s">
        <v>1254</v>
      </c>
      <c r="B329" t="str">
        <f>IF('02_Warehouse_Locations'!A328="","",'02_Warehouse_Locations'!A328)</f>
        <v/>
      </c>
      <c r="C329" t="str">
        <f t="shared" si="5"/>
        <v/>
      </c>
      <c r="D329" t="s">
        <v>1255</v>
      </c>
    </row>
    <row r="330" spans="1:4">
      <c r="A330" t="s">
        <v>1254</v>
      </c>
      <c r="B330" t="str">
        <f>IF('02_Warehouse_Locations'!A329="","",'02_Warehouse_Locations'!A329)</f>
        <v/>
      </c>
      <c r="C330" t="str">
        <f t="shared" si="5"/>
        <v/>
      </c>
      <c r="D330" t="s">
        <v>1255</v>
      </c>
    </row>
    <row r="331" spans="1:4">
      <c r="A331" t="s">
        <v>1254</v>
      </c>
      <c r="B331" t="str">
        <f>IF('02_Warehouse_Locations'!A330="","",'02_Warehouse_Locations'!A330)</f>
        <v/>
      </c>
      <c r="C331" t="str">
        <f t="shared" si="5"/>
        <v/>
      </c>
      <c r="D331" t="s">
        <v>1255</v>
      </c>
    </row>
    <row r="332" spans="1:4">
      <c r="A332" t="s">
        <v>1254</v>
      </c>
      <c r="B332" t="str">
        <f>IF('02_Warehouse_Locations'!A331="","",'02_Warehouse_Locations'!A331)</f>
        <v/>
      </c>
      <c r="C332" t="str">
        <f t="shared" si="5"/>
        <v/>
      </c>
      <c r="D332" t="s">
        <v>1255</v>
      </c>
    </row>
    <row r="333" spans="1:4">
      <c r="A333" t="s">
        <v>1254</v>
      </c>
      <c r="B333" t="str">
        <f>IF('02_Warehouse_Locations'!A332="","",'02_Warehouse_Locations'!A332)</f>
        <v/>
      </c>
      <c r="C333" t="str">
        <f t="shared" si="5"/>
        <v/>
      </c>
      <c r="D333" t="s">
        <v>1255</v>
      </c>
    </row>
    <row r="334" spans="1:4">
      <c r="A334" t="s">
        <v>1254</v>
      </c>
      <c r="B334" t="str">
        <f>IF('02_Warehouse_Locations'!A333="","",'02_Warehouse_Locations'!A333)</f>
        <v/>
      </c>
      <c r="C334" t="str">
        <f t="shared" si="5"/>
        <v/>
      </c>
      <c r="D334" t="s">
        <v>1255</v>
      </c>
    </row>
    <row r="335" spans="1:4">
      <c r="A335" t="s">
        <v>1254</v>
      </c>
      <c r="B335" t="str">
        <f>IF('02_Warehouse_Locations'!A334="","",'02_Warehouse_Locations'!A334)</f>
        <v/>
      </c>
      <c r="C335" t="str">
        <f t="shared" si="5"/>
        <v/>
      </c>
      <c r="D335" t="s">
        <v>1255</v>
      </c>
    </row>
    <row r="336" spans="1:4">
      <c r="A336" t="s">
        <v>1254</v>
      </c>
      <c r="B336" t="str">
        <f>IF('02_Warehouse_Locations'!A335="","",'02_Warehouse_Locations'!A335)</f>
        <v/>
      </c>
      <c r="C336" t="str">
        <f t="shared" si="5"/>
        <v/>
      </c>
      <c r="D336" t="s">
        <v>1255</v>
      </c>
    </row>
    <row r="337" spans="1:4">
      <c r="A337" t="s">
        <v>1254</v>
      </c>
      <c r="B337" t="str">
        <f>IF('02_Warehouse_Locations'!A336="","",'02_Warehouse_Locations'!A336)</f>
        <v/>
      </c>
      <c r="C337" t="str">
        <f t="shared" si="5"/>
        <v/>
      </c>
      <c r="D337" t="s">
        <v>1255</v>
      </c>
    </row>
    <row r="338" spans="1:4">
      <c r="A338" t="s">
        <v>1254</v>
      </c>
      <c r="B338" t="str">
        <f>IF('02_Warehouse_Locations'!A337="","",'02_Warehouse_Locations'!A337)</f>
        <v/>
      </c>
      <c r="C338" t="str">
        <f t="shared" si="5"/>
        <v/>
      </c>
      <c r="D338" t="s">
        <v>1255</v>
      </c>
    </row>
    <row r="339" spans="1:4">
      <c r="A339" t="s">
        <v>1254</v>
      </c>
      <c r="B339" t="str">
        <f>IF('02_Warehouse_Locations'!A338="","",'02_Warehouse_Locations'!A338)</f>
        <v/>
      </c>
      <c r="C339" t="str">
        <f t="shared" si="5"/>
        <v/>
      </c>
      <c r="D339" t="s">
        <v>1255</v>
      </c>
    </row>
    <row r="340" spans="1:4">
      <c r="A340" t="s">
        <v>1254</v>
      </c>
      <c r="B340" t="str">
        <f>IF('02_Warehouse_Locations'!A339="","",'02_Warehouse_Locations'!A339)</f>
        <v/>
      </c>
      <c r="C340" t="str">
        <f t="shared" si="5"/>
        <v/>
      </c>
      <c r="D340" t="s">
        <v>1255</v>
      </c>
    </row>
    <row r="341" spans="1:4">
      <c r="A341" t="s">
        <v>1254</v>
      </c>
      <c r="B341" t="str">
        <f>IF('02_Warehouse_Locations'!A340="","",'02_Warehouse_Locations'!A340)</f>
        <v/>
      </c>
      <c r="C341" t="str">
        <f t="shared" si="5"/>
        <v/>
      </c>
      <c r="D341" t="s">
        <v>1255</v>
      </c>
    </row>
    <row r="342" spans="1:4">
      <c r="A342" t="s">
        <v>1254</v>
      </c>
      <c r="B342" t="str">
        <f>IF('02_Warehouse_Locations'!A341="","",'02_Warehouse_Locations'!A341)</f>
        <v/>
      </c>
      <c r="C342" t="str">
        <f t="shared" si="5"/>
        <v/>
      </c>
      <c r="D342" t="s">
        <v>1255</v>
      </c>
    </row>
    <row r="343" spans="1:4">
      <c r="A343" t="s">
        <v>1254</v>
      </c>
      <c r="B343" t="str">
        <f>IF('02_Warehouse_Locations'!A342="","",'02_Warehouse_Locations'!A342)</f>
        <v/>
      </c>
      <c r="C343" t="str">
        <f t="shared" si="5"/>
        <v/>
      </c>
      <c r="D343" t="s">
        <v>1255</v>
      </c>
    </row>
    <row r="344" spans="1:4">
      <c r="A344" t="s">
        <v>1254</v>
      </c>
      <c r="B344" t="str">
        <f>IF('02_Warehouse_Locations'!A343="","",'02_Warehouse_Locations'!A343)</f>
        <v/>
      </c>
      <c r="C344" t="str">
        <f t="shared" si="5"/>
        <v/>
      </c>
      <c r="D344" t="s">
        <v>1255</v>
      </c>
    </row>
    <row r="345" spans="1:4">
      <c r="A345" t="s">
        <v>1254</v>
      </c>
      <c r="B345" t="str">
        <f>IF('02_Warehouse_Locations'!A344="","",'02_Warehouse_Locations'!A344)</f>
        <v/>
      </c>
      <c r="C345" t="str">
        <f t="shared" si="5"/>
        <v/>
      </c>
      <c r="D345" t="s">
        <v>1255</v>
      </c>
    </row>
    <row r="346" spans="1:4">
      <c r="A346" t="s">
        <v>1254</v>
      </c>
      <c r="B346" t="str">
        <f>IF('02_Warehouse_Locations'!A345="","",'02_Warehouse_Locations'!A345)</f>
        <v/>
      </c>
      <c r="C346" t="str">
        <f t="shared" si="5"/>
        <v/>
      </c>
      <c r="D346" t="s">
        <v>1255</v>
      </c>
    </row>
    <row r="347" spans="1:4">
      <c r="A347" t="s">
        <v>1254</v>
      </c>
      <c r="B347" t="str">
        <f>IF('02_Warehouse_Locations'!A346="","",'02_Warehouse_Locations'!A346)</f>
        <v/>
      </c>
      <c r="C347" t="str">
        <f t="shared" si="5"/>
        <v/>
      </c>
      <c r="D347" t="s">
        <v>1255</v>
      </c>
    </row>
    <row r="348" spans="1:4">
      <c r="A348" t="s">
        <v>1254</v>
      </c>
      <c r="B348" t="str">
        <f>IF('02_Warehouse_Locations'!A347="","",'02_Warehouse_Locations'!A347)</f>
        <v/>
      </c>
      <c r="C348" t="str">
        <f t="shared" si="5"/>
        <v/>
      </c>
      <c r="D348" t="s">
        <v>1255</v>
      </c>
    </row>
    <row r="349" spans="1:4">
      <c r="A349" t="s">
        <v>1254</v>
      </c>
      <c r="B349" t="str">
        <f>IF('02_Warehouse_Locations'!A348="","",'02_Warehouse_Locations'!A348)</f>
        <v/>
      </c>
      <c r="C349" t="str">
        <f t="shared" si="5"/>
        <v/>
      </c>
      <c r="D349" t="s">
        <v>1255</v>
      </c>
    </row>
    <row r="350" spans="1:4">
      <c r="A350" t="s">
        <v>1254</v>
      </c>
      <c r="B350" t="str">
        <f>IF('02_Warehouse_Locations'!A349="","",'02_Warehouse_Locations'!A349)</f>
        <v/>
      </c>
      <c r="C350" t="str">
        <f t="shared" si="5"/>
        <v/>
      </c>
      <c r="D350" t="s">
        <v>1255</v>
      </c>
    </row>
    <row r="351" spans="1:4">
      <c r="A351" t="s">
        <v>1254</v>
      </c>
      <c r="B351" t="str">
        <f>IF('02_Warehouse_Locations'!A350="","",'02_Warehouse_Locations'!A350)</f>
        <v/>
      </c>
      <c r="C351" t="str">
        <f t="shared" si="5"/>
        <v/>
      </c>
      <c r="D351" t="s">
        <v>1255</v>
      </c>
    </row>
    <row r="352" spans="1:4">
      <c r="A352" t="s">
        <v>1254</v>
      </c>
      <c r="B352" t="str">
        <f>IF('02_Warehouse_Locations'!A351="","",'02_Warehouse_Locations'!A351)</f>
        <v/>
      </c>
      <c r="C352" t="str">
        <f t="shared" si="5"/>
        <v/>
      </c>
      <c r="D352" t="s">
        <v>1255</v>
      </c>
    </row>
    <row r="353" spans="1:4">
      <c r="A353" t="s">
        <v>1254</v>
      </c>
      <c r="B353" t="str">
        <f>IF('02_Warehouse_Locations'!A352="","",'02_Warehouse_Locations'!A352)</f>
        <v/>
      </c>
      <c r="C353" t="str">
        <f t="shared" si="5"/>
        <v/>
      </c>
      <c r="D353" t="s">
        <v>1255</v>
      </c>
    </row>
    <row r="354" spans="1:4">
      <c r="A354" t="s">
        <v>1254</v>
      </c>
      <c r="B354" t="str">
        <f>IF('02_Warehouse_Locations'!A353="","",'02_Warehouse_Locations'!A353)</f>
        <v/>
      </c>
      <c r="C354" t="str">
        <f t="shared" si="5"/>
        <v/>
      </c>
      <c r="D354" t="s">
        <v>1255</v>
      </c>
    </row>
    <row r="355" spans="1:4">
      <c r="A355" t="s">
        <v>1254</v>
      </c>
      <c r="B355" t="str">
        <f>IF('02_Warehouse_Locations'!A354="","",'02_Warehouse_Locations'!A354)</f>
        <v/>
      </c>
      <c r="C355" t="str">
        <f t="shared" si="5"/>
        <v/>
      </c>
      <c r="D355" t="s">
        <v>1255</v>
      </c>
    </row>
    <row r="356" spans="1:4">
      <c r="A356" t="s">
        <v>1254</v>
      </c>
      <c r="B356" t="str">
        <f>IF('02_Warehouse_Locations'!A355="","",'02_Warehouse_Locations'!A355)</f>
        <v/>
      </c>
      <c r="C356" t="str">
        <f t="shared" si="5"/>
        <v/>
      </c>
      <c r="D356" t="s">
        <v>1255</v>
      </c>
    </row>
    <row r="357" spans="1:4">
      <c r="A357" t="s">
        <v>1254</v>
      </c>
      <c r="B357" t="str">
        <f>IF('02_Warehouse_Locations'!A356="","",'02_Warehouse_Locations'!A356)</f>
        <v/>
      </c>
      <c r="C357" t="str">
        <f t="shared" si="5"/>
        <v/>
      </c>
      <c r="D357" t="s">
        <v>1255</v>
      </c>
    </row>
    <row r="358" spans="1:4">
      <c r="A358" t="s">
        <v>1254</v>
      </c>
      <c r="B358" t="str">
        <f>IF('02_Warehouse_Locations'!A357="","",'02_Warehouse_Locations'!A357)</f>
        <v/>
      </c>
      <c r="C358" t="str">
        <f t="shared" si="5"/>
        <v/>
      </c>
      <c r="D358" t="s">
        <v>1255</v>
      </c>
    </row>
    <row r="359" spans="1:4">
      <c r="A359" t="s">
        <v>1254</v>
      </c>
      <c r="B359" t="str">
        <f>IF('02_Warehouse_Locations'!A358="","",'02_Warehouse_Locations'!A358)</f>
        <v/>
      </c>
      <c r="C359" t="str">
        <f t="shared" si="5"/>
        <v/>
      </c>
      <c r="D359" t="s">
        <v>1255</v>
      </c>
    </row>
    <row r="360" spans="1:4">
      <c r="A360" t="s">
        <v>1254</v>
      </c>
      <c r="B360" t="str">
        <f>IF('02_Warehouse_Locations'!A359="","",'02_Warehouse_Locations'!A359)</f>
        <v/>
      </c>
      <c r="C360" t="str">
        <f t="shared" si="5"/>
        <v/>
      </c>
      <c r="D360" t="s">
        <v>1255</v>
      </c>
    </row>
    <row r="361" spans="1:4">
      <c r="A361" t="s">
        <v>1254</v>
      </c>
      <c r="B361" t="str">
        <f>IF('02_Warehouse_Locations'!A360="","",'02_Warehouse_Locations'!A360)</f>
        <v/>
      </c>
      <c r="C361" t="str">
        <f t="shared" si="5"/>
        <v/>
      </c>
      <c r="D361" t="s">
        <v>1255</v>
      </c>
    </row>
    <row r="362" spans="1:4">
      <c r="A362" t="s">
        <v>1254</v>
      </c>
      <c r="B362" t="str">
        <f>IF('02_Warehouse_Locations'!A361="","",'02_Warehouse_Locations'!A361)</f>
        <v/>
      </c>
      <c r="C362" t="str">
        <f t="shared" si="5"/>
        <v/>
      </c>
      <c r="D362" t="s">
        <v>1255</v>
      </c>
    </row>
    <row r="363" spans="1:4">
      <c r="A363" t="s">
        <v>1254</v>
      </c>
      <c r="B363" t="str">
        <f>IF('02_Warehouse_Locations'!A362="","",'02_Warehouse_Locations'!A362)</f>
        <v/>
      </c>
      <c r="C363" t="str">
        <f t="shared" si="5"/>
        <v/>
      </c>
      <c r="D363" t="s">
        <v>1255</v>
      </c>
    </row>
    <row r="364" spans="1:4">
      <c r="A364" t="s">
        <v>1254</v>
      </c>
      <c r="B364" t="str">
        <f>IF('02_Warehouse_Locations'!A363="","",'02_Warehouse_Locations'!A363)</f>
        <v/>
      </c>
      <c r="C364" t="str">
        <f t="shared" si="5"/>
        <v/>
      </c>
      <c r="D364" t="s">
        <v>1255</v>
      </c>
    </row>
    <row r="365" spans="1:4">
      <c r="A365" t="s">
        <v>1254</v>
      </c>
      <c r="B365" t="str">
        <f>IF('02_Warehouse_Locations'!A364="","",'02_Warehouse_Locations'!A364)</f>
        <v/>
      </c>
      <c r="C365" t="str">
        <f t="shared" si="5"/>
        <v/>
      </c>
      <c r="D365" t="s">
        <v>1255</v>
      </c>
    </row>
    <row r="366" spans="1:4">
      <c r="A366" t="s">
        <v>1254</v>
      </c>
      <c r="B366" t="str">
        <f>IF('02_Warehouse_Locations'!A365="","",'02_Warehouse_Locations'!A365)</f>
        <v/>
      </c>
      <c r="C366" t="str">
        <f t="shared" si="5"/>
        <v/>
      </c>
      <c r="D366" t="s">
        <v>1255</v>
      </c>
    </row>
    <row r="367" spans="1:4">
      <c r="A367" t="s">
        <v>1254</v>
      </c>
      <c r="B367" t="str">
        <f>IF('02_Warehouse_Locations'!A366="","",'02_Warehouse_Locations'!A366)</f>
        <v/>
      </c>
      <c r="C367" t="str">
        <f t="shared" si="5"/>
        <v/>
      </c>
      <c r="D367" t="s">
        <v>1255</v>
      </c>
    </row>
    <row r="368" spans="1:4">
      <c r="A368" t="s">
        <v>1254</v>
      </c>
      <c r="B368" t="str">
        <f>IF('02_Warehouse_Locations'!A367="","",'02_Warehouse_Locations'!A367)</f>
        <v/>
      </c>
      <c r="C368" t="str">
        <f t="shared" si="5"/>
        <v/>
      </c>
      <c r="D368" t="s">
        <v>1255</v>
      </c>
    </row>
    <row r="369" spans="1:4">
      <c r="A369" t="s">
        <v>1254</v>
      </c>
      <c r="B369" t="str">
        <f>IF('02_Warehouse_Locations'!A368="","",'02_Warehouse_Locations'!A368)</f>
        <v/>
      </c>
      <c r="C369" t="str">
        <f t="shared" si="5"/>
        <v/>
      </c>
      <c r="D369" t="s">
        <v>1255</v>
      </c>
    </row>
    <row r="370" spans="1:4">
      <c r="A370" t="s">
        <v>1254</v>
      </c>
      <c r="B370" t="str">
        <f>IF('02_Warehouse_Locations'!A369="","",'02_Warehouse_Locations'!A369)</f>
        <v/>
      </c>
      <c r="C370" t="str">
        <f t="shared" si="5"/>
        <v/>
      </c>
      <c r="D370" t="s">
        <v>1255</v>
      </c>
    </row>
    <row r="371" spans="1:4">
      <c r="A371" t="s">
        <v>1254</v>
      </c>
      <c r="B371" t="str">
        <f>IF('02_Warehouse_Locations'!A370="","",'02_Warehouse_Locations'!A370)</f>
        <v/>
      </c>
      <c r="C371" t="str">
        <f t="shared" si="5"/>
        <v/>
      </c>
      <c r="D371" t="s">
        <v>1255</v>
      </c>
    </row>
    <row r="372" spans="1:4">
      <c r="A372" t="s">
        <v>1254</v>
      </c>
      <c r="B372" t="str">
        <f>IF('02_Warehouse_Locations'!A371="","",'02_Warehouse_Locations'!A371)</f>
        <v/>
      </c>
      <c r="C372" t="str">
        <f t="shared" si="5"/>
        <v/>
      </c>
      <c r="D372" t="s">
        <v>1255</v>
      </c>
    </row>
    <row r="373" spans="1:4">
      <c r="A373" t="s">
        <v>1254</v>
      </c>
      <c r="B373" t="str">
        <f>IF('02_Warehouse_Locations'!A372="","",'02_Warehouse_Locations'!A372)</f>
        <v/>
      </c>
      <c r="C373" t="str">
        <f t="shared" si="5"/>
        <v/>
      </c>
      <c r="D373" t="s">
        <v>1255</v>
      </c>
    </row>
    <row r="374" spans="1:4">
      <c r="A374" t="s">
        <v>1254</v>
      </c>
      <c r="B374" t="str">
        <f>IF('02_Warehouse_Locations'!A373="","",'02_Warehouse_Locations'!A373)</f>
        <v/>
      </c>
      <c r="C374" t="str">
        <f t="shared" si="5"/>
        <v/>
      </c>
      <c r="D374" t="s">
        <v>1255</v>
      </c>
    </row>
    <row r="375" spans="1:4">
      <c r="A375" t="s">
        <v>1254</v>
      </c>
      <c r="B375" t="str">
        <f>IF('02_Warehouse_Locations'!A374="","",'02_Warehouse_Locations'!A374)</f>
        <v/>
      </c>
      <c r="C375" t="str">
        <f t="shared" si="5"/>
        <v/>
      </c>
      <c r="D375" t="s">
        <v>1255</v>
      </c>
    </row>
    <row r="376" spans="1:4">
      <c r="A376" t="s">
        <v>1254</v>
      </c>
      <c r="B376" t="str">
        <f>IF('02_Warehouse_Locations'!A375="","",'02_Warehouse_Locations'!A375)</f>
        <v/>
      </c>
      <c r="C376" t="str">
        <f t="shared" si="5"/>
        <v/>
      </c>
      <c r="D376" t="s">
        <v>1255</v>
      </c>
    </row>
    <row r="377" spans="1:4">
      <c r="A377" t="s">
        <v>1254</v>
      </c>
      <c r="B377" t="str">
        <f>IF('02_Warehouse_Locations'!A376="","",'02_Warehouse_Locations'!A376)</f>
        <v/>
      </c>
      <c r="C377" t="str">
        <f t="shared" si="5"/>
        <v/>
      </c>
      <c r="D377" t="s">
        <v>1255</v>
      </c>
    </row>
    <row r="378" spans="1:4">
      <c r="A378" t="s">
        <v>1254</v>
      </c>
      <c r="B378" t="str">
        <f>IF('02_Warehouse_Locations'!A377="","",'02_Warehouse_Locations'!A377)</f>
        <v/>
      </c>
      <c r="C378" t="str">
        <f t="shared" si="5"/>
        <v/>
      </c>
      <c r="D378" t="s">
        <v>1255</v>
      </c>
    </row>
    <row r="379" spans="1:4">
      <c r="A379" t="s">
        <v>1254</v>
      </c>
      <c r="B379" t="str">
        <f>IF('02_Warehouse_Locations'!A378="","",'02_Warehouse_Locations'!A378)</f>
        <v/>
      </c>
      <c r="C379" t="str">
        <f t="shared" si="5"/>
        <v/>
      </c>
      <c r="D379" t="s">
        <v>1255</v>
      </c>
    </row>
    <row r="380" spans="1:4">
      <c r="A380" t="s">
        <v>1254</v>
      </c>
      <c r="B380" t="str">
        <f>IF('02_Warehouse_Locations'!A379="","",'02_Warehouse_Locations'!A379)</f>
        <v/>
      </c>
      <c r="C380" t="str">
        <f t="shared" si="5"/>
        <v/>
      </c>
      <c r="D380" t="s">
        <v>1255</v>
      </c>
    </row>
    <row r="381" spans="1:4">
      <c r="A381" t="s">
        <v>1254</v>
      </c>
      <c r="B381" t="str">
        <f>IF('02_Warehouse_Locations'!A380="","",'02_Warehouse_Locations'!A380)</f>
        <v/>
      </c>
      <c r="C381" t="str">
        <f t="shared" si="5"/>
        <v/>
      </c>
      <c r="D381" t="s">
        <v>1255</v>
      </c>
    </row>
    <row r="382" spans="1:4">
      <c r="A382" t="s">
        <v>1254</v>
      </c>
      <c r="B382" t="str">
        <f>IF('02_Warehouse_Locations'!A381="","",'02_Warehouse_Locations'!A381)</f>
        <v/>
      </c>
      <c r="C382" t="str">
        <f t="shared" si="5"/>
        <v/>
      </c>
      <c r="D382" t="s">
        <v>1255</v>
      </c>
    </row>
    <row r="383" spans="1:4">
      <c r="A383" t="s">
        <v>1254</v>
      </c>
      <c r="B383" t="str">
        <f>IF('02_Warehouse_Locations'!A382="","",'02_Warehouse_Locations'!A382)</f>
        <v/>
      </c>
      <c r="C383" t="str">
        <f t="shared" si="5"/>
        <v/>
      </c>
      <c r="D383" t="s">
        <v>1255</v>
      </c>
    </row>
    <row r="384" spans="1:4">
      <c r="A384" t="s">
        <v>1254</v>
      </c>
      <c r="B384" t="str">
        <f>IF('02_Warehouse_Locations'!A383="","",'02_Warehouse_Locations'!A383)</f>
        <v/>
      </c>
      <c r="C384" t="str">
        <f t="shared" si="5"/>
        <v/>
      </c>
      <c r="D384" t="s">
        <v>1255</v>
      </c>
    </row>
    <row r="385" spans="1:4">
      <c r="A385" t="s">
        <v>1254</v>
      </c>
      <c r="B385" t="str">
        <f>IF('02_Warehouse_Locations'!A384="","",'02_Warehouse_Locations'!A384)</f>
        <v/>
      </c>
      <c r="C385" t="str">
        <f t="shared" si="5"/>
        <v/>
      </c>
      <c r="D385" t="s">
        <v>1255</v>
      </c>
    </row>
    <row r="386" spans="1:4">
      <c r="A386" t="s">
        <v>1254</v>
      </c>
      <c r="B386" t="str">
        <f>IF('02_Warehouse_Locations'!A385="","",'02_Warehouse_Locations'!A385)</f>
        <v/>
      </c>
      <c r="C386" t="str">
        <f t="shared" si="5"/>
        <v/>
      </c>
      <c r="D386" t="s">
        <v>1255</v>
      </c>
    </row>
    <row r="387" spans="1:4">
      <c r="A387" t="s">
        <v>1254</v>
      </c>
      <c r="B387" t="str">
        <f>IF('02_Warehouse_Locations'!A386="","",'02_Warehouse_Locations'!A386)</f>
        <v/>
      </c>
      <c r="C387" t="str">
        <f t="shared" ref="C387:C450" si="6">IF(B387="","",B387)</f>
        <v/>
      </c>
      <c r="D387" t="s">
        <v>1255</v>
      </c>
    </row>
    <row r="388" spans="1:4">
      <c r="A388" t="s">
        <v>1254</v>
      </c>
      <c r="B388" t="str">
        <f>IF('02_Warehouse_Locations'!A387="","",'02_Warehouse_Locations'!A387)</f>
        <v/>
      </c>
      <c r="C388" t="str">
        <f t="shared" si="6"/>
        <v/>
      </c>
      <c r="D388" t="s">
        <v>1255</v>
      </c>
    </row>
    <row r="389" spans="1:4">
      <c r="A389" t="s">
        <v>1254</v>
      </c>
      <c r="B389" t="str">
        <f>IF('02_Warehouse_Locations'!A388="","",'02_Warehouse_Locations'!A388)</f>
        <v/>
      </c>
      <c r="C389" t="str">
        <f t="shared" si="6"/>
        <v/>
      </c>
      <c r="D389" t="s">
        <v>1255</v>
      </c>
    </row>
    <row r="390" spans="1:4">
      <c r="A390" t="s">
        <v>1254</v>
      </c>
      <c r="B390" t="str">
        <f>IF('02_Warehouse_Locations'!A389="","",'02_Warehouse_Locations'!A389)</f>
        <v/>
      </c>
      <c r="C390" t="str">
        <f t="shared" si="6"/>
        <v/>
      </c>
      <c r="D390" t="s">
        <v>1255</v>
      </c>
    </row>
    <row r="391" spans="1:4">
      <c r="A391" t="s">
        <v>1254</v>
      </c>
      <c r="B391" t="str">
        <f>IF('02_Warehouse_Locations'!A390="","",'02_Warehouse_Locations'!A390)</f>
        <v/>
      </c>
      <c r="C391" t="str">
        <f t="shared" si="6"/>
        <v/>
      </c>
      <c r="D391" t="s">
        <v>1255</v>
      </c>
    </row>
    <row r="392" spans="1:4">
      <c r="A392" t="s">
        <v>1254</v>
      </c>
      <c r="B392" t="str">
        <f>IF('02_Warehouse_Locations'!A391="","",'02_Warehouse_Locations'!A391)</f>
        <v/>
      </c>
      <c r="C392" t="str">
        <f t="shared" si="6"/>
        <v/>
      </c>
      <c r="D392" t="s">
        <v>1255</v>
      </c>
    </row>
    <row r="393" spans="1:4">
      <c r="A393" t="s">
        <v>1254</v>
      </c>
      <c r="B393" t="str">
        <f>IF('02_Warehouse_Locations'!A392="","",'02_Warehouse_Locations'!A392)</f>
        <v/>
      </c>
      <c r="C393" t="str">
        <f t="shared" si="6"/>
        <v/>
      </c>
      <c r="D393" t="s">
        <v>1255</v>
      </c>
    </row>
    <row r="394" spans="1:4">
      <c r="A394" t="s">
        <v>1254</v>
      </c>
      <c r="B394" t="str">
        <f>IF('02_Warehouse_Locations'!A393="","",'02_Warehouse_Locations'!A393)</f>
        <v/>
      </c>
      <c r="C394" t="str">
        <f t="shared" si="6"/>
        <v/>
      </c>
      <c r="D394" t="s">
        <v>1255</v>
      </c>
    </row>
    <row r="395" spans="1:4">
      <c r="A395" t="s">
        <v>1254</v>
      </c>
      <c r="B395" t="str">
        <f>IF('02_Warehouse_Locations'!A394="","",'02_Warehouse_Locations'!A394)</f>
        <v/>
      </c>
      <c r="C395" t="str">
        <f t="shared" si="6"/>
        <v/>
      </c>
      <c r="D395" t="s">
        <v>1255</v>
      </c>
    </row>
    <row r="396" spans="1:4">
      <c r="A396" t="s">
        <v>1254</v>
      </c>
      <c r="B396" t="str">
        <f>IF('02_Warehouse_Locations'!A395="","",'02_Warehouse_Locations'!A395)</f>
        <v/>
      </c>
      <c r="C396" t="str">
        <f t="shared" si="6"/>
        <v/>
      </c>
      <c r="D396" t="s">
        <v>1255</v>
      </c>
    </row>
    <row r="397" spans="1:4">
      <c r="A397" t="s">
        <v>1254</v>
      </c>
      <c r="B397" t="str">
        <f>IF('02_Warehouse_Locations'!A396="","",'02_Warehouse_Locations'!A396)</f>
        <v/>
      </c>
      <c r="C397" t="str">
        <f t="shared" si="6"/>
        <v/>
      </c>
      <c r="D397" t="s">
        <v>1255</v>
      </c>
    </row>
    <row r="398" spans="1:4">
      <c r="A398" t="s">
        <v>1254</v>
      </c>
      <c r="B398" t="str">
        <f>IF('02_Warehouse_Locations'!A397="","",'02_Warehouse_Locations'!A397)</f>
        <v/>
      </c>
      <c r="C398" t="str">
        <f t="shared" si="6"/>
        <v/>
      </c>
      <c r="D398" t="s">
        <v>1255</v>
      </c>
    </row>
    <row r="399" spans="1:4">
      <c r="A399" t="s">
        <v>1254</v>
      </c>
      <c r="B399" t="str">
        <f>IF('02_Warehouse_Locations'!A398="","",'02_Warehouse_Locations'!A398)</f>
        <v/>
      </c>
      <c r="C399" t="str">
        <f t="shared" si="6"/>
        <v/>
      </c>
      <c r="D399" t="s">
        <v>1255</v>
      </c>
    </row>
    <row r="400" spans="1:4">
      <c r="A400" t="s">
        <v>1254</v>
      </c>
      <c r="B400" t="str">
        <f>IF('02_Warehouse_Locations'!A399="","",'02_Warehouse_Locations'!A399)</f>
        <v/>
      </c>
      <c r="C400" t="str">
        <f t="shared" si="6"/>
        <v/>
      </c>
      <c r="D400" t="s">
        <v>1255</v>
      </c>
    </row>
    <row r="401" spans="1:4">
      <c r="A401" t="s">
        <v>1254</v>
      </c>
      <c r="B401" t="str">
        <f>IF('02_Warehouse_Locations'!A400="","",'02_Warehouse_Locations'!A400)</f>
        <v/>
      </c>
      <c r="C401" t="str">
        <f t="shared" si="6"/>
        <v/>
      </c>
      <c r="D401" t="s">
        <v>1255</v>
      </c>
    </row>
    <row r="402" spans="1:4">
      <c r="A402" t="s">
        <v>1254</v>
      </c>
      <c r="B402" t="str">
        <f>IF('02_Warehouse_Locations'!A401="","",'02_Warehouse_Locations'!A401)</f>
        <v/>
      </c>
      <c r="C402" t="str">
        <f t="shared" si="6"/>
        <v/>
      </c>
      <c r="D402" t="s">
        <v>1255</v>
      </c>
    </row>
    <row r="403" spans="1:4">
      <c r="A403" t="s">
        <v>1254</v>
      </c>
      <c r="B403" t="str">
        <f>IF('02_Warehouse_Locations'!A402="","",'02_Warehouse_Locations'!A402)</f>
        <v/>
      </c>
      <c r="C403" t="str">
        <f t="shared" si="6"/>
        <v/>
      </c>
      <c r="D403" t="s">
        <v>1255</v>
      </c>
    </row>
    <row r="404" spans="1:4">
      <c r="A404" t="s">
        <v>1254</v>
      </c>
      <c r="B404" t="str">
        <f>IF('02_Warehouse_Locations'!A403="","",'02_Warehouse_Locations'!A403)</f>
        <v/>
      </c>
      <c r="C404" t="str">
        <f t="shared" si="6"/>
        <v/>
      </c>
      <c r="D404" t="s">
        <v>1255</v>
      </c>
    </row>
    <row r="405" spans="1:4">
      <c r="A405" t="s">
        <v>1254</v>
      </c>
      <c r="B405" t="str">
        <f>IF('02_Warehouse_Locations'!A404="","",'02_Warehouse_Locations'!A404)</f>
        <v/>
      </c>
      <c r="C405" t="str">
        <f t="shared" si="6"/>
        <v/>
      </c>
      <c r="D405" t="s">
        <v>1255</v>
      </c>
    </row>
    <row r="406" spans="1:4">
      <c r="A406" t="s">
        <v>1254</v>
      </c>
      <c r="B406" t="str">
        <f>IF('02_Warehouse_Locations'!A405="","",'02_Warehouse_Locations'!A405)</f>
        <v/>
      </c>
      <c r="C406" t="str">
        <f t="shared" si="6"/>
        <v/>
      </c>
      <c r="D406" t="s">
        <v>1255</v>
      </c>
    </row>
    <row r="407" spans="1:4">
      <c r="A407" t="s">
        <v>1254</v>
      </c>
      <c r="B407" t="str">
        <f>IF('02_Warehouse_Locations'!A406="","",'02_Warehouse_Locations'!A406)</f>
        <v/>
      </c>
      <c r="C407" t="str">
        <f t="shared" si="6"/>
        <v/>
      </c>
      <c r="D407" t="s">
        <v>1255</v>
      </c>
    </row>
    <row r="408" spans="1:4">
      <c r="A408" t="s">
        <v>1254</v>
      </c>
      <c r="B408" t="str">
        <f>IF('02_Warehouse_Locations'!A407="","",'02_Warehouse_Locations'!A407)</f>
        <v/>
      </c>
      <c r="C408" t="str">
        <f t="shared" si="6"/>
        <v/>
      </c>
      <c r="D408" t="s">
        <v>1255</v>
      </c>
    </row>
    <row r="409" spans="1:4">
      <c r="A409" t="s">
        <v>1254</v>
      </c>
      <c r="B409" t="str">
        <f>IF('02_Warehouse_Locations'!A408="","",'02_Warehouse_Locations'!A408)</f>
        <v/>
      </c>
      <c r="C409" t="str">
        <f t="shared" si="6"/>
        <v/>
      </c>
      <c r="D409" t="s">
        <v>1255</v>
      </c>
    </row>
    <row r="410" spans="1:4">
      <c r="A410" t="s">
        <v>1254</v>
      </c>
      <c r="B410" t="str">
        <f>IF('02_Warehouse_Locations'!A409="","",'02_Warehouse_Locations'!A409)</f>
        <v/>
      </c>
      <c r="C410" t="str">
        <f t="shared" si="6"/>
        <v/>
      </c>
      <c r="D410" t="s">
        <v>1255</v>
      </c>
    </row>
    <row r="411" spans="1:4">
      <c r="A411" t="s">
        <v>1254</v>
      </c>
      <c r="B411" t="str">
        <f>IF('02_Warehouse_Locations'!A410="","",'02_Warehouse_Locations'!A410)</f>
        <v/>
      </c>
      <c r="C411" t="str">
        <f t="shared" si="6"/>
        <v/>
      </c>
      <c r="D411" t="s">
        <v>1255</v>
      </c>
    </row>
    <row r="412" spans="1:4">
      <c r="A412" t="s">
        <v>1254</v>
      </c>
      <c r="B412" t="str">
        <f>IF('02_Warehouse_Locations'!A411="","",'02_Warehouse_Locations'!A411)</f>
        <v/>
      </c>
      <c r="C412" t="str">
        <f t="shared" si="6"/>
        <v/>
      </c>
      <c r="D412" t="s">
        <v>1255</v>
      </c>
    </row>
    <row r="413" spans="1:4">
      <c r="A413" t="s">
        <v>1254</v>
      </c>
      <c r="B413" t="str">
        <f>IF('02_Warehouse_Locations'!A412="","",'02_Warehouse_Locations'!A412)</f>
        <v/>
      </c>
      <c r="C413" t="str">
        <f t="shared" si="6"/>
        <v/>
      </c>
      <c r="D413" t="s">
        <v>1255</v>
      </c>
    </row>
    <row r="414" spans="1:4">
      <c r="A414" t="s">
        <v>1254</v>
      </c>
      <c r="B414" t="str">
        <f>IF('02_Warehouse_Locations'!A413="","",'02_Warehouse_Locations'!A413)</f>
        <v/>
      </c>
      <c r="C414" t="str">
        <f t="shared" si="6"/>
        <v/>
      </c>
      <c r="D414" t="s">
        <v>1255</v>
      </c>
    </row>
    <row r="415" spans="1:4">
      <c r="A415" t="s">
        <v>1254</v>
      </c>
      <c r="B415" t="str">
        <f>IF('02_Warehouse_Locations'!A414="","",'02_Warehouse_Locations'!A414)</f>
        <v/>
      </c>
      <c r="C415" t="str">
        <f t="shared" si="6"/>
        <v/>
      </c>
      <c r="D415" t="s">
        <v>1255</v>
      </c>
    </row>
    <row r="416" spans="1:4">
      <c r="A416" t="s">
        <v>1254</v>
      </c>
      <c r="B416" t="str">
        <f>IF('02_Warehouse_Locations'!A415="","",'02_Warehouse_Locations'!A415)</f>
        <v/>
      </c>
      <c r="C416" t="str">
        <f t="shared" si="6"/>
        <v/>
      </c>
      <c r="D416" t="s">
        <v>1255</v>
      </c>
    </row>
    <row r="417" spans="1:4">
      <c r="A417" t="s">
        <v>1254</v>
      </c>
      <c r="B417" t="str">
        <f>IF('02_Warehouse_Locations'!A416="","",'02_Warehouse_Locations'!A416)</f>
        <v/>
      </c>
      <c r="C417" t="str">
        <f t="shared" si="6"/>
        <v/>
      </c>
      <c r="D417" t="s">
        <v>1255</v>
      </c>
    </row>
    <row r="418" spans="1:4">
      <c r="A418" t="s">
        <v>1254</v>
      </c>
      <c r="B418" t="str">
        <f>IF('02_Warehouse_Locations'!A417="","",'02_Warehouse_Locations'!A417)</f>
        <v/>
      </c>
      <c r="C418" t="str">
        <f t="shared" si="6"/>
        <v/>
      </c>
      <c r="D418" t="s">
        <v>1255</v>
      </c>
    </row>
    <row r="419" spans="1:4">
      <c r="A419" t="s">
        <v>1254</v>
      </c>
      <c r="B419" t="str">
        <f>IF('02_Warehouse_Locations'!A418="","",'02_Warehouse_Locations'!A418)</f>
        <v/>
      </c>
      <c r="C419" t="str">
        <f t="shared" si="6"/>
        <v/>
      </c>
      <c r="D419" t="s">
        <v>1255</v>
      </c>
    </row>
    <row r="420" spans="1:4">
      <c r="A420" t="s">
        <v>1254</v>
      </c>
      <c r="B420" t="str">
        <f>IF('02_Warehouse_Locations'!A419="","",'02_Warehouse_Locations'!A419)</f>
        <v/>
      </c>
      <c r="C420" t="str">
        <f t="shared" si="6"/>
        <v/>
      </c>
      <c r="D420" t="s">
        <v>1255</v>
      </c>
    </row>
    <row r="421" spans="1:4">
      <c r="A421" t="s">
        <v>1254</v>
      </c>
      <c r="B421" t="str">
        <f>IF('02_Warehouse_Locations'!A420="","",'02_Warehouse_Locations'!A420)</f>
        <v/>
      </c>
      <c r="C421" t="str">
        <f t="shared" si="6"/>
        <v/>
      </c>
      <c r="D421" t="s">
        <v>1255</v>
      </c>
    </row>
    <row r="422" spans="1:4">
      <c r="A422" t="s">
        <v>1254</v>
      </c>
      <c r="B422" t="str">
        <f>IF('02_Warehouse_Locations'!A421="","",'02_Warehouse_Locations'!A421)</f>
        <v/>
      </c>
      <c r="C422" t="str">
        <f t="shared" si="6"/>
        <v/>
      </c>
      <c r="D422" t="s">
        <v>1255</v>
      </c>
    </row>
    <row r="423" spans="1:4">
      <c r="A423" t="s">
        <v>1254</v>
      </c>
      <c r="B423" t="str">
        <f>IF('02_Warehouse_Locations'!A422="","",'02_Warehouse_Locations'!A422)</f>
        <v/>
      </c>
      <c r="C423" t="str">
        <f t="shared" si="6"/>
        <v/>
      </c>
      <c r="D423" t="s">
        <v>1255</v>
      </c>
    </row>
    <row r="424" spans="1:4">
      <c r="A424" t="s">
        <v>1254</v>
      </c>
      <c r="B424" t="str">
        <f>IF('02_Warehouse_Locations'!A423="","",'02_Warehouse_Locations'!A423)</f>
        <v/>
      </c>
      <c r="C424" t="str">
        <f t="shared" si="6"/>
        <v/>
      </c>
      <c r="D424" t="s">
        <v>1255</v>
      </c>
    </row>
    <row r="425" spans="1:4">
      <c r="A425" t="s">
        <v>1254</v>
      </c>
      <c r="B425" t="str">
        <f>IF('02_Warehouse_Locations'!A424="","",'02_Warehouse_Locations'!A424)</f>
        <v/>
      </c>
      <c r="C425" t="str">
        <f t="shared" si="6"/>
        <v/>
      </c>
      <c r="D425" t="s">
        <v>1255</v>
      </c>
    </row>
    <row r="426" spans="1:4">
      <c r="A426" t="s">
        <v>1254</v>
      </c>
      <c r="B426" t="str">
        <f>IF('02_Warehouse_Locations'!A425="","",'02_Warehouse_Locations'!A425)</f>
        <v/>
      </c>
      <c r="C426" t="str">
        <f t="shared" si="6"/>
        <v/>
      </c>
      <c r="D426" t="s">
        <v>1255</v>
      </c>
    </row>
    <row r="427" spans="1:4">
      <c r="A427" t="s">
        <v>1254</v>
      </c>
      <c r="B427" t="str">
        <f>IF('02_Warehouse_Locations'!A426="","",'02_Warehouse_Locations'!A426)</f>
        <v/>
      </c>
      <c r="C427" t="str">
        <f t="shared" si="6"/>
        <v/>
      </c>
      <c r="D427" t="s">
        <v>1255</v>
      </c>
    </row>
    <row r="428" spans="1:4">
      <c r="A428" t="s">
        <v>1254</v>
      </c>
      <c r="B428" t="str">
        <f>IF('02_Warehouse_Locations'!A427="","",'02_Warehouse_Locations'!A427)</f>
        <v/>
      </c>
      <c r="C428" t="str">
        <f t="shared" si="6"/>
        <v/>
      </c>
      <c r="D428" t="s">
        <v>1255</v>
      </c>
    </row>
    <row r="429" spans="1:4">
      <c r="A429" t="s">
        <v>1254</v>
      </c>
      <c r="B429" t="str">
        <f>IF('02_Warehouse_Locations'!A428="","",'02_Warehouse_Locations'!A428)</f>
        <v/>
      </c>
      <c r="C429" t="str">
        <f t="shared" si="6"/>
        <v/>
      </c>
      <c r="D429" t="s">
        <v>1255</v>
      </c>
    </row>
    <row r="430" spans="1:4">
      <c r="A430" t="s">
        <v>1254</v>
      </c>
      <c r="B430" t="str">
        <f>IF('02_Warehouse_Locations'!A429="","",'02_Warehouse_Locations'!A429)</f>
        <v/>
      </c>
      <c r="C430" t="str">
        <f t="shared" si="6"/>
        <v/>
      </c>
      <c r="D430" t="s">
        <v>1255</v>
      </c>
    </row>
    <row r="431" spans="1:4">
      <c r="A431" t="s">
        <v>1254</v>
      </c>
      <c r="B431" t="str">
        <f>IF('02_Warehouse_Locations'!A430="","",'02_Warehouse_Locations'!A430)</f>
        <v/>
      </c>
      <c r="C431" t="str">
        <f t="shared" si="6"/>
        <v/>
      </c>
      <c r="D431" t="s">
        <v>1255</v>
      </c>
    </row>
    <row r="432" spans="1:4">
      <c r="A432" t="s">
        <v>1254</v>
      </c>
      <c r="B432" t="str">
        <f>IF('02_Warehouse_Locations'!A431="","",'02_Warehouse_Locations'!A431)</f>
        <v/>
      </c>
      <c r="C432" t="str">
        <f t="shared" si="6"/>
        <v/>
      </c>
      <c r="D432" t="s">
        <v>1255</v>
      </c>
    </row>
    <row r="433" spans="1:4">
      <c r="A433" t="s">
        <v>1254</v>
      </c>
      <c r="B433" t="str">
        <f>IF('02_Warehouse_Locations'!A432="","",'02_Warehouse_Locations'!A432)</f>
        <v/>
      </c>
      <c r="C433" t="str">
        <f t="shared" si="6"/>
        <v/>
      </c>
      <c r="D433" t="s">
        <v>1255</v>
      </c>
    </row>
    <row r="434" spans="1:4">
      <c r="A434" t="s">
        <v>1254</v>
      </c>
      <c r="B434" t="str">
        <f>IF('02_Warehouse_Locations'!A433="","",'02_Warehouse_Locations'!A433)</f>
        <v/>
      </c>
      <c r="C434" t="str">
        <f t="shared" si="6"/>
        <v/>
      </c>
      <c r="D434" t="s">
        <v>1255</v>
      </c>
    </row>
    <row r="435" spans="1:4">
      <c r="A435" t="s">
        <v>1254</v>
      </c>
      <c r="B435" t="str">
        <f>IF('02_Warehouse_Locations'!A434="","",'02_Warehouse_Locations'!A434)</f>
        <v/>
      </c>
      <c r="C435" t="str">
        <f t="shared" si="6"/>
        <v/>
      </c>
      <c r="D435" t="s">
        <v>1255</v>
      </c>
    </row>
    <row r="436" spans="1:4">
      <c r="A436" t="s">
        <v>1254</v>
      </c>
      <c r="B436" t="str">
        <f>IF('02_Warehouse_Locations'!A435="","",'02_Warehouse_Locations'!A435)</f>
        <v/>
      </c>
      <c r="C436" t="str">
        <f t="shared" si="6"/>
        <v/>
      </c>
      <c r="D436" t="s">
        <v>1255</v>
      </c>
    </row>
    <row r="437" spans="1:4">
      <c r="A437" t="s">
        <v>1254</v>
      </c>
      <c r="B437" t="str">
        <f>IF('02_Warehouse_Locations'!A436="","",'02_Warehouse_Locations'!A436)</f>
        <v/>
      </c>
      <c r="C437" t="str">
        <f t="shared" si="6"/>
        <v/>
      </c>
      <c r="D437" t="s">
        <v>1255</v>
      </c>
    </row>
    <row r="438" spans="1:4">
      <c r="A438" t="s">
        <v>1254</v>
      </c>
      <c r="B438" t="str">
        <f>IF('02_Warehouse_Locations'!A437="","",'02_Warehouse_Locations'!A437)</f>
        <v/>
      </c>
      <c r="C438" t="str">
        <f t="shared" si="6"/>
        <v/>
      </c>
      <c r="D438" t="s">
        <v>1255</v>
      </c>
    </row>
    <row r="439" spans="1:4">
      <c r="A439" t="s">
        <v>1254</v>
      </c>
      <c r="B439" t="str">
        <f>IF('02_Warehouse_Locations'!A438="","",'02_Warehouse_Locations'!A438)</f>
        <v/>
      </c>
      <c r="C439" t="str">
        <f t="shared" si="6"/>
        <v/>
      </c>
      <c r="D439" t="s">
        <v>1255</v>
      </c>
    </row>
    <row r="440" spans="1:4">
      <c r="A440" t="s">
        <v>1254</v>
      </c>
      <c r="B440" t="str">
        <f>IF('02_Warehouse_Locations'!A439="","",'02_Warehouse_Locations'!A439)</f>
        <v/>
      </c>
      <c r="C440" t="str">
        <f t="shared" si="6"/>
        <v/>
      </c>
      <c r="D440" t="s">
        <v>1255</v>
      </c>
    </row>
    <row r="441" spans="1:4">
      <c r="A441" t="s">
        <v>1254</v>
      </c>
      <c r="B441" t="str">
        <f>IF('02_Warehouse_Locations'!A440="","",'02_Warehouse_Locations'!A440)</f>
        <v/>
      </c>
      <c r="C441" t="str">
        <f t="shared" si="6"/>
        <v/>
      </c>
      <c r="D441" t="s">
        <v>1255</v>
      </c>
    </row>
    <row r="442" spans="1:4">
      <c r="A442" t="s">
        <v>1254</v>
      </c>
      <c r="B442" t="str">
        <f>IF('02_Warehouse_Locations'!A441="","",'02_Warehouse_Locations'!A441)</f>
        <v/>
      </c>
      <c r="C442" t="str">
        <f t="shared" si="6"/>
        <v/>
      </c>
      <c r="D442" t="s">
        <v>1255</v>
      </c>
    </row>
    <row r="443" spans="1:4">
      <c r="A443" t="s">
        <v>1254</v>
      </c>
      <c r="B443" t="str">
        <f>IF('02_Warehouse_Locations'!A442="","",'02_Warehouse_Locations'!A442)</f>
        <v/>
      </c>
      <c r="C443" t="str">
        <f t="shared" si="6"/>
        <v/>
      </c>
      <c r="D443" t="s">
        <v>1255</v>
      </c>
    </row>
    <row r="444" spans="1:4">
      <c r="A444" t="s">
        <v>1254</v>
      </c>
      <c r="B444" t="str">
        <f>IF('02_Warehouse_Locations'!A443="","",'02_Warehouse_Locations'!A443)</f>
        <v/>
      </c>
      <c r="C444" t="str">
        <f t="shared" si="6"/>
        <v/>
      </c>
      <c r="D444" t="s">
        <v>1255</v>
      </c>
    </row>
    <row r="445" spans="1:4">
      <c r="A445" t="s">
        <v>1254</v>
      </c>
      <c r="B445" t="str">
        <f>IF('02_Warehouse_Locations'!A444="","",'02_Warehouse_Locations'!A444)</f>
        <v/>
      </c>
      <c r="C445" t="str">
        <f t="shared" si="6"/>
        <v/>
      </c>
      <c r="D445" t="s">
        <v>1255</v>
      </c>
    </row>
    <row r="446" spans="1:4">
      <c r="A446" t="s">
        <v>1254</v>
      </c>
      <c r="B446" t="str">
        <f>IF('02_Warehouse_Locations'!A445="","",'02_Warehouse_Locations'!A445)</f>
        <v/>
      </c>
      <c r="C446" t="str">
        <f t="shared" si="6"/>
        <v/>
      </c>
      <c r="D446" t="s">
        <v>1255</v>
      </c>
    </row>
    <row r="447" spans="1:4">
      <c r="A447" t="s">
        <v>1254</v>
      </c>
      <c r="B447" t="str">
        <f>IF('02_Warehouse_Locations'!A446="","",'02_Warehouse_Locations'!A446)</f>
        <v/>
      </c>
      <c r="C447" t="str">
        <f t="shared" si="6"/>
        <v/>
      </c>
      <c r="D447" t="s">
        <v>1255</v>
      </c>
    </row>
    <row r="448" spans="1:4">
      <c r="A448" t="s">
        <v>1254</v>
      </c>
      <c r="B448" t="str">
        <f>IF('02_Warehouse_Locations'!A447="","",'02_Warehouse_Locations'!A447)</f>
        <v/>
      </c>
      <c r="C448" t="str">
        <f t="shared" si="6"/>
        <v/>
      </c>
      <c r="D448" t="s">
        <v>1255</v>
      </c>
    </row>
    <row r="449" spans="1:4">
      <c r="A449" t="s">
        <v>1254</v>
      </c>
      <c r="B449" t="str">
        <f>IF('02_Warehouse_Locations'!A448="","",'02_Warehouse_Locations'!A448)</f>
        <v/>
      </c>
      <c r="C449" t="str">
        <f t="shared" si="6"/>
        <v/>
      </c>
      <c r="D449" t="s">
        <v>1255</v>
      </c>
    </row>
    <row r="450" spans="1:4">
      <c r="A450" t="s">
        <v>1254</v>
      </c>
      <c r="B450" t="str">
        <f>IF('02_Warehouse_Locations'!A449="","",'02_Warehouse_Locations'!A449)</f>
        <v/>
      </c>
      <c r="C450" t="str">
        <f t="shared" si="6"/>
        <v/>
      </c>
      <c r="D450" t="s">
        <v>1255</v>
      </c>
    </row>
    <row r="451" spans="1:4">
      <c r="A451" t="s">
        <v>1254</v>
      </c>
      <c r="B451" t="str">
        <f>IF('02_Warehouse_Locations'!A450="","",'02_Warehouse_Locations'!A450)</f>
        <v/>
      </c>
      <c r="C451" t="str">
        <f t="shared" ref="C451:C502" si="7">IF(B451="","",B451)</f>
        <v/>
      </c>
      <c r="D451" t="s">
        <v>1255</v>
      </c>
    </row>
    <row r="452" spans="1:4">
      <c r="A452" t="s">
        <v>1254</v>
      </c>
      <c r="B452" t="str">
        <f>IF('02_Warehouse_Locations'!A451="","",'02_Warehouse_Locations'!A451)</f>
        <v/>
      </c>
      <c r="C452" t="str">
        <f t="shared" si="7"/>
        <v/>
      </c>
      <c r="D452" t="s">
        <v>1255</v>
      </c>
    </row>
    <row r="453" spans="1:4">
      <c r="A453" t="s">
        <v>1254</v>
      </c>
      <c r="B453" t="str">
        <f>IF('02_Warehouse_Locations'!A452="","",'02_Warehouse_Locations'!A452)</f>
        <v/>
      </c>
      <c r="C453" t="str">
        <f t="shared" si="7"/>
        <v/>
      </c>
      <c r="D453" t="s">
        <v>1255</v>
      </c>
    </row>
    <row r="454" spans="1:4">
      <c r="A454" t="s">
        <v>1254</v>
      </c>
      <c r="B454" t="str">
        <f>IF('02_Warehouse_Locations'!A453="","",'02_Warehouse_Locations'!A453)</f>
        <v/>
      </c>
      <c r="C454" t="str">
        <f t="shared" si="7"/>
        <v/>
      </c>
      <c r="D454" t="s">
        <v>1255</v>
      </c>
    </row>
    <row r="455" spans="1:4">
      <c r="A455" t="s">
        <v>1254</v>
      </c>
      <c r="B455" t="str">
        <f>IF('02_Warehouse_Locations'!A454="","",'02_Warehouse_Locations'!A454)</f>
        <v/>
      </c>
      <c r="C455" t="str">
        <f t="shared" si="7"/>
        <v/>
      </c>
      <c r="D455" t="s">
        <v>1255</v>
      </c>
    </row>
    <row r="456" spans="1:4">
      <c r="A456" t="s">
        <v>1254</v>
      </c>
      <c r="B456" t="str">
        <f>IF('02_Warehouse_Locations'!A455="","",'02_Warehouse_Locations'!A455)</f>
        <v/>
      </c>
      <c r="C456" t="str">
        <f t="shared" si="7"/>
        <v/>
      </c>
      <c r="D456" t="s">
        <v>1255</v>
      </c>
    </row>
    <row r="457" spans="1:4">
      <c r="A457" t="s">
        <v>1254</v>
      </c>
      <c r="B457" t="str">
        <f>IF('02_Warehouse_Locations'!A456="","",'02_Warehouse_Locations'!A456)</f>
        <v/>
      </c>
      <c r="C457" t="str">
        <f t="shared" si="7"/>
        <v/>
      </c>
      <c r="D457" t="s">
        <v>1255</v>
      </c>
    </row>
    <row r="458" spans="1:4">
      <c r="A458" t="s">
        <v>1254</v>
      </c>
      <c r="B458" t="str">
        <f>IF('02_Warehouse_Locations'!A457="","",'02_Warehouse_Locations'!A457)</f>
        <v/>
      </c>
      <c r="C458" t="str">
        <f t="shared" si="7"/>
        <v/>
      </c>
      <c r="D458" t="s">
        <v>1255</v>
      </c>
    </row>
    <row r="459" spans="1:4">
      <c r="A459" t="s">
        <v>1254</v>
      </c>
      <c r="B459" t="str">
        <f>IF('02_Warehouse_Locations'!A458="","",'02_Warehouse_Locations'!A458)</f>
        <v/>
      </c>
      <c r="C459" t="str">
        <f t="shared" si="7"/>
        <v/>
      </c>
      <c r="D459" t="s">
        <v>1255</v>
      </c>
    </row>
    <row r="460" spans="1:4">
      <c r="A460" t="s">
        <v>1254</v>
      </c>
      <c r="B460" t="str">
        <f>IF('02_Warehouse_Locations'!A459="","",'02_Warehouse_Locations'!A459)</f>
        <v/>
      </c>
      <c r="C460" t="str">
        <f t="shared" si="7"/>
        <v/>
      </c>
      <c r="D460" t="s">
        <v>1255</v>
      </c>
    </row>
    <row r="461" spans="1:4">
      <c r="A461" t="s">
        <v>1254</v>
      </c>
      <c r="B461" t="str">
        <f>IF('02_Warehouse_Locations'!A460="","",'02_Warehouse_Locations'!A460)</f>
        <v/>
      </c>
      <c r="C461" t="str">
        <f t="shared" si="7"/>
        <v/>
      </c>
      <c r="D461" t="s">
        <v>1255</v>
      </c>
    </row>
    <row r="462" spans="1:4">
      <c r="A462" t="s">
        <v>1254</v>
      </c>
      <c r="B462" t="str">
        <f>IF('02_Warehouse_Locations'!A461="","",'02_Warehouse_Locations'!A461)</f>
        <v/>
      </c>
      <c r="C462" t="str">
        <f t="shared" si="7"/>
        <v/>
      </c>
      <c r="D462" t="s">
        <v>1255</v>
      </c>
    </row>
    <row r="463" spans="1:4">
      <c r="A463" t="s">
        <v>1254</v>
      </c>
      <c r="B463" t="str">
        <f>IF('02_Warehouse_Locations'!A462="","",'02_Warehouse_Locations'!A462)</f>
        <v/>
      </c>
      <c r="C463" t="str">
        <f t="shared" si="7"/>
        <v/>
      </c>
      <c r="D463" t="s">
        <v>1255</v>
      </c>
    </row>
    <row r="464" spans="1:4">
      <c r="A464" t="s">
        <v>1254</v>
      </c>
      <c r="B464" t="str">
        <f>IF('02_Warehouse_Locations'!A463="","",'02_Warehouse_Locations'!A463)</f>
        <v/>
      </c>
      <c r="C464" t="str">
        <f t="shared" si="7"/>
        <v/>
      </c>
      <c r="D464" t="s">
        <v>1255</v>
      </c>
    </row>
    <row r="465" spans="1:4">
      <c r="A465" t="s">
        <v>1254</v>
      </c>
      <c r="B465" t="str">
        <f>IF('02_Warehouse_Locations'!A464="","",'02_Warehouse_Locations'!A464)</f>
        <v/>
      </c>
      <c r="C465" t="str">
        <f t="shared" si="7"/>
        <v/>
      </c>
      <c r="D465" t="s">
        <v>1255</v>
      </c>
    </row>
    <row r="466" spans="1:4">
      <c r="A466" t="s">
        <v>1254</v>
      </c>
      <c r="B466" t="str">
        <f>IF('02_Warehouse_Locations'!A465="","",'02_Warehouse_Locations'!A465)</f>
        <v/>
      </c>
      <c r="C466" t="str">
        <f t="shared" si="7"/>
        <v/>
      </c>
      <c r="D466" t="s">
        <v>1255</v>
      </c>
    </row>
    <row r="467" spans="1:4">
      <c r="A467" t="s">
        <v>1254</v>
      </c>
      <c r="B467" t="str">
        <f>IF('02_Warehouse_Locations'!A466="","",'02_Warehouse_Locations'!A466)</f>
        <v/>
      </c>
      <c r="C467" t="str">
        <f t="shared" si="7"/>
        <v/>
      </c>
      <c r="D467" t="s">
        <v>1255</v>
      </c>
    </row>
    <row r="468" spans="1:4">
      <c r="A468" t="s">
        <v>1254</v>
      </c>
      <c r="B468" t="str">
        <f>IF('02_Warehouse_Locations'!A467="","",'02_Warehouse_Locations'!A467)</f>
        <v/>
      </c>
      <c r="C468" t="str">
        <f t="shared" si="7"/>
        <v/>
      </c>
      <c r="D468" t="s">
        <v>1255</v>
      </c>
    </row>
    <row r="469" spans="1:4">
      <c r="A469" t="s">
        <v>1254</v>
      </c>
      <c r="B469" t="str">
        <f>IF('02_Warehouse_Locations'!A468="","",'02_Warehouse_Locations'!A468)</f>
        <v/>
      </c>
      <c r="C469" t="str">
        <f t="shared" si="7"/>
        <v/>
      </c>
      <c r="D469" t="s">
        <v>1255</v>
      </c>
    </row>
    <row r="470" spans="1:4">
      <c r="A470" t="s">
        <v>1254</v>
      </c>
      <c r="B470" t="str">
        <f>IF('02_Warehouse_Locations'!A469="","",'02_Warehouse_Locations'!A469)</f>
        <v/>
      </c>
      <c r="C470" t="str">
        <f t="shared" si="7"/>
        <v/>
      </c>
      <c r="D470" t="s">
        <v>1255</v>
      </c>
    </row>
    <row r="471" spans="1:4">
      <c r="A471" t="s">
        <v>1254</v>
      </c>
      <c r="B471" t="str">
        <f>IF('02_Warehouse_Locations'!A470="","",'02_Warehouse_Locations'!A470)</f>
        <v/>
      </c>
      <c r="C471" t="str">
        <f t="shared" si="7"/>
        <v/>
      </c>
      <c r="D471" t="s">
        <v>1255</v>
      </c>
    </row>
    <row r="472" spans="1:4">
      <c r="A472" t="s">
        <v>1254</v>
      </c>
      <c r="B472" t="str">
        <f>IF('02_Warehouse_Locations'!A471="","",'02_Warehouse_Locations'!A471)</f>
        <v/>
      </c>
      <c r="C472" t="str">
        <f t="shared" si="7"/>
        <v/>
      </c>
      <c r="D472" t="s">
        <v>1255</v>
      </c>
    </row>
    <row r="473" spans="1:4">
      <c r="A473" t="s">
        <v>1254</v>
      </c>
      <c r="B473" t="str">
        <f>IF('02_Warehouse_Locations'!A472="","",'02_Warehouse_Locations'!A472)</f>
        <v/>
      </c>
      <c r="C473" t="str">
        <f t="shared" si="7"/>
        <v/>
      </c>
      <c r="D473" t="s">
        <v>1255</v>
      </c>
    </row>
    <row r="474" spans="1:4">
      <c r="A474" t="s">
        <v>1254</v>
      </c>
      <c r="B474" t="str">
        <f>IF('02_Warehouse_Locations'!A473="","",'02_Warehouse_Locations'!A473)</f>
        <v/>
      </c>
      <c r="C474" t="str">
        <f t="shared" si="7"/>
        <v/>
      </c>
      <c r="D474" t="s">
        <v>1255</v>
      </c>
    </row>
    <row r="475" spans="1:4">
      <c r="A475" t="s">
        <v>1254</v>
      </c>
      <c r="B475" t="str">
        <f>IF('02_Warehouse_Locations'!A474="","",'02_Warehouse_Locations'!A474)</f>
        <v/>
      </c>
      <c r="C475" t="str">
        <f t="shared" si="7"/>
        <v/>
      </c>
      <c r="D475" t="s">
        <v>1255</v>
      </c>
    </row>
    <row r="476" spans="1:4">
      <c r="A476" t="s">
        <v>1254</v>
      </c>
      <c r="B476" t="str">
        <f>IF('02_Warehouse_Locations'!A475="","",'02_Warehouse_Locations'!A475)</f>
        <v/>
      </c>
      <c r="C476" t="str">
        <f t="shared" si="7"/>
        <v/>
      </c>
      <c r="D476" t="s">
        <v>1255</v>
      </c>
    </row>
    <row r="477" spans="1:4">
      <c r="A477" t="s">
        <v>1254</v>
      </c>
      <c r="B477" t="str">
        <f>IF('02_Warehouse_Locations'!A476="","",'02_Warehouse_Locations'!A476)</f>
        <v/>
      </c>
      <c r="C477" t="str">
        <f t="shared" si="7"/>
        <v/>
      </c>
      <c r="D477" t="s">
        <v>1255</v>
      </c>
    </row>
    <row r="478" spans="1:4">
      <c r="A478" t="s">
        <v>1254</v>
      </c>
      <c r="B478" t="str">
        <f>IF('02_Warehouse_Locations'!A477="","",'02_Warehouse_Locations'!A477)</f>
        <v/>
      </c>
      <c r="C478" t="str">
        <f t="shared" si="7"/>
        <v/>
      </c>
      <c r="D478" t="s">
        <v>1255</v>
      </c>
    </row>
    <row r="479" spans="1:4">
      <c r="A479" t="s">
        <v>1254</v>
      </c>
      <c r="B479" t="str">
        <f>IF('02_Warehouse_Locations'!A478="","",'02_Warehouse_Locations'!A478)</f>
        <v/>
      </c>
      <c r="C479" t="str">
        <f t="shared" si="7"/>
        <v/>
      </c>
      <c r="D479" t="s">
        <v>1255</v>
      </c>
    </row>
    <row r="480" spans="1:4">
      <c r="A480" t="s">
        <v>1254</v>
      </c>
      <c r="B480" t="str">
        <f>IF('02_Warehouse_Locations'!A479="","",'02_Warehouse_Locations'!A479)</f>
        <v/>
      </c>
      <c r="C480" t="str">
        <f t="shared" si="7"/>
        <v/>
      </c>
      <c r="D480" t="s">
        <v>1255</v>
      </c>
    </row>
    <row r="481" spans="1:4">
      <c r="A481" t="s">
        <v>1254</v>
      </c>
      <c r="B481" t="str">
        <f>IF('02_Warehouse_Locations'!A480="","",'02_Warehouse_Locations'!A480)</f>
        <v/>
      </c>
      <c r="C481" t="str">
        <f t="shared" si="7"/>
        <v/>
      </c>
      <c r="D481" t="s">
        <v>1255</v>
      </c>
    </row>
    <row r="482" spans="1:4">
      <c r="A482" t="s">
        <v>1254</v>
      </c>
      <c r="B482" t="str">
        <f>IF('02_Warehouse_Locations'!A481="","",'02_Warehouse_Locations'!A481)</f>
        <v/>
      </c>
      <c r="C482" t="str">
        <f t="shared" si="7"/>
        <v/>
      </c>
      <c r="D482" t="s">
        <v>1255</v>
      </c>
    </row>
    <row r="483" spans="1:4">
      <c r="A483" t="s">
        <v>1254</v>
      </c>
      <c r="B483" t="str">
        <f>IF('02_Warehouse_Locations'!A482="","",'02_Warehouse_Locations'!A482)</f>
        <v/>
      </c>
      <c r="C483" t="str">
        <f t="shared" si="7"/>
        <v/>
      </c>
      <c r="D483" t="s">
        <v>1255</v>
      </c>
    </row>
    <row r="484" spans="1:4">
      <c r="A484" t="s">
        <v>1254</v>
      </c>
      <c r="B484" t="str">
        <f>IF('02_Warehouse_Locations'!A483="","",'02_Warehouse_Locations'!A483)</f>
        <v/>
      </c>
      <c r="C484" t="str">
        <f t="shared" si="7"/>
        <v/>
      </c>
      <c r="D484" t="s">
        <v>1255</v>
      </c>
    </row>
    <row r="485" spans="1:4">
      <c r="A485" t="s">
        <v>1254</v>
      </c>
      <c r="B485" t="str">
        <f>IF('02_Warehouse_Locations'!A484="","",'02_Warehouse_Locations'!A484)</f>
        <v/>
      </c>
      <c r="C485" t="str">
        <f t="shared" si="7"/>
        <v/>
      </c>
      <c r="D485" t="s">
        <v>1255</v>
      </c>
    </row>
    <row r="486" spans="1:4">
      <c r="A486" t="s">
        <v>1254</v>
      </c>
      <c r="B486" t="str">
        <f>IF('02_Warehouse_Locations'!A485="","",'02_Warehouse_Locations'!A485)</f>
        <v/>
      </c>
      <c r="C486" t="str">
        <f t="shared" si="7"/>
        <v/>
      </c>
      <c r="D486" t="s">
        <v>1255</v>
      </c>
    </row>
    <row r="487" spans="1:4">
      <c r="A487" t="s">
        <v>1254</v>
      </c>
      <c r="B487" t="str">
        <f>IF('02_Warehouse_Locations'!A486="","",'02_Warehouse_Locations'!A486)</f>
        <v/>
      </c>
      <c r="C487" t="str">
        <f t="shared" si="7"/>
        <v/>
      </c>
      <c r="D487" t="s">
        <v>1255</v>
      </c>
    </row>
    <row r="488" spans="1:4">
      <c r="A488" t="s">
        <v>1254</v>
      </c>
      <c r="B488" t="str">
        <f>IF('02_Warehouse_Locations'!A487="","",'02_Warehouse_Locations'!A487)</f>
        <v/>
      </c>
      <c r="C488" t="str">
        <f t="shared" si="7"/>
        <v/>
      </c>
      <c r="D488" t="s">
        <v>1255</v>
      </c>
    </row>
    <row r="489" spans="1:4">
      <c r="A489" t="s">
        <v>1254</v>
      </c>
      <c r="B489" t="str">
        <f>IF('02_Warehouse_Locations'!A488="","",'02_Warehouse_Locations'!A488)</f>
        <v/>
      </c>
      <c r="C489" t="str">
        <f t="shared" si="7"/>
        <v/>
      </c>
      <c r="D489" t="s">
        <v>1255</v>
      </c>
    </row>
    <row r="490" spans="1:4">
      <c r="A490" t="s">
        <v>1254</v>
      </c>
      <c r="B490" t="str">
        <f>IF('02_Warehouse_Locations'!A489="","",'02_Warehouse_Locations'!A489)</f>
        <v/>
      </c>
      <c r="C490" t="str">
        <f t="shared" si="7"/>
        <v/>
      </c>
      <c r="D490" t="s">
        <v>1255</v>
      </c>
    </row>
    <row r="491" spans="1:4">
      <c r="A491" t="s">
        <v>1254</v>
      </c>
      <c r="B491" t="str">
        <f>IF('02_Warehouse_Locations'!A490="","",'02_Warehouse_Locations'!A490)</f>
        <v/>
      </c>
      <c r="C491" t="str">
        <f t="shared" si="7"/>
        <v/>
      </c>
      <c r="D491" t="s">
        <v>1255</v>
      </c>
    </row>
    <row r="492" spans="1:4">
      <c r="A492" t="s">
        <v>1254</v>
      </c>
      <c r="B492" t="str">
        <f>IF('02_Warehouse_Locations'!A491="","",'02_Warehouse_Locations'!A491)</f>
        <v/>
      </c>
      <c r="C492" t="str">
        <f t="shared" si="7"/>
        <v/>
      </c>
      <c r="D492" t="s">
        <v>1255</v>
      </c>
    </row>
    <row r="493" spans="1:4">
      <c r="A493" t="s">
        <v>1254</v>
      </c>
      <c r="B493" t="str">
        <f>IF('02_Warehouse_Locations'!A492="","",'02_Warehouse_Locations'!A492)</f>
        <v/>
      </c>
      <c r="C493" t="str">
        <f t="shared" si="7"/>
        <v/>
      </c>
      <c r="D493" t="s">
        <v>1255</v>
      </c>
    </row>
    <row r="494" spans="1:4">
      <c r="A494" t="s">
        <v>1254</v>
      </c>
      <c r="B494" t="str">
        <f>IF('02_Warehouse_Locations'!A493="","",'02_Warehouse_Locations'!A493)</f>
        <v/>
      </c>
      <c r="C494" t="str">
        <f t="shared" si="7"/>
        <v/>
      </c>
      <c r="D494" t="s">
        <v>1255</v>
      </c>
    </row>
    <row r="495" spans="1:4">
      <c r="A495" t="s">
        <v>1254</v>
      </c>
      <c r="B495" t="str">
        <f>IF('02_Warehouse_Locations'!A494="","",'02_Warehouse_Locations'!A494)</f>
        <v/>
      </c>
      <c r="C495" t="str">
        <f t="shared" si="7"/>
        <v/>
      </c>
      <c r="D495" t="s">
        <v>1255</v>
      </c>
    </row>
    <row r="496" spans="1:4">
      <c r="A496" t="s">
        <v>1254</v>
      </c>
      <c r="B496" t="str">
        <f>IF('02_Warehouse_Locations'!A495="","",'02_Warehouse_Locations'!A495)</f>
        <v/>
      </c>
      <c r="C496" t="str">
        <f t="shared" si="7"/>
        <v/>
      </c>
      <c r="D496" t="s">
        <v>1255</v>
      </c>
    </row>
    <row r="497" spans="1:4">
      <c r="A497" t="s">
        <v>1254</v>
      </c>
      <c r="B497" t="str">
        <f>IF('02_Warehouse_Locations'!A496="","",'02_Warehouse_Locations'!A496)</f>
        <v/>
      </c>
      <c r="C497" t="str">
        <f t="shared" si="7"/>
        <v/>
      </c>
      <c r="D497" t="s">
        <v>1255</v>
      </c>
    </row>
    <row r="498" spans="1:4">
      <c r="A498" t="s">
        <v>1254</v>
      </c>
      <c r="B498" t="str">
        <f>IF('02_Warehouse_Locations'!A497="","",'02_Warehouse_Locations'!A497)</f>
        <v/>
      </c>
      <c r="C498" t="str">
        <f t="shared" si="7"/>
        <v/>
      </c>
      <c r="D498" t="s">
        <v>1255</v>
      </c>
    </row>
    <row r="499" spans="1:4">
      <c r="A499" t="s">
        <v>1254</v>
      </c>
      <c r="B499" t="str">
        <f>IF('02_Warehouse_Locations'!A498="","",'02_Warehouse_Locations'!A498)</f>
        <v/>
      </c>
      <c r="C499" t="str">
        <f t="shared" si="7"/>
        <v/>
      </c>
      <c r="D499" t="s">
        <v>1255</v>
      </c>
    </row>
    <row r="500" spans="1:4">
      <c r="A500" t="s">
        <v>1254</v>
      </c>
      <c r="B500" t="str">
        <f>IF('02_Warehouse_Locations'!A499="","",'02_Warehouse_Locations'!A499)</f>
        <v/>
      </c>
      <c r="C500" t="str">
        <f t="shared" si="7"/>
        <v/>
      </c>
      <c r="D500" t="s">
        <v>1255</v>
      </c>
    </row>
    <row r="501" spans="1:4">
      <c r="A501" t="s">
        <v>1254</v>
      </c>
      <c r="B501" t="str">
        <f>IF('02_Warehouse_Locations'!A500="","",'02_Warehouse_Locations'!A500)</f>
        <v/>
      </c>
      <c r="C501" t="str">
        <f t="shared" si="7"/>
        <v/>
      </c>
      <c r="D501" t="s">
        <v>1255</v>
      </c>
    </row>
    <row r="502" spans="1:4">
      <c r="A502" t="s">
        <v>1254</v>
      </c>
      <c r="B502" t="str">
        <f>IF('02_Warehouse_Locations'!A501="","",'02_Warehouse_Locations'!A501)</f>
        <v/>
      </c>
      <c r="C502" t="str">
        <f t="shared" si="7"/>
        <v/>
      </c>
      <c r="D502" t="s">
        <v>1255</v>
      </c>
    </row>
    <row r="505" spans="1:4">
      <c r="A505" s="36" t="s">
        <v>1256</v>
      </c>
    </row>
    <row r="506" spans="1:4">
      <c r="A506" t="s">
        <v>1257</v>
      </c>
      <c r="B506" t="str">
        <f>IF('01_Warehouse_Ledger'!$A$2="","",'01_Warehouse_Ledger'!$A$2&amp;IF('01_Warehouse_Ledger'!$B$2&lt;&gt;""," | "&amp;'01_Warehouse_Ledger'!$B$2,""))</f>
        <v>OVERFLOW-RICH-CYBERNETS-CFAM-CCMC | CHRIS_OVERFLOW_A_ZONE3</v>
      </c>
      <c r="C506" t="str">
        <f>IF('01_Warehouse_Ledger'!$A$2="","",'01_Warehouse_Ledger'!$A$2)</f>
        <v>OVERFLOW-RICH-CYBERNETS-CFAM-CCMC</v>
      </c>
      <c r="D506" t="s">
        <v>1258</v>
      </c>
    </row>
    <row r="507" spans="1:4">
      <c r="A507" t="s">
        <v>1257</v>
      </c>
      <c r="B507" t="str">
        <f>IF('01_Warehouse_Ledger'!$A$3="","",'01_Warehouse_Ledger'!$A$3&amp;IF('01_Warehouse_Ledger'!$B$3&lt;&gt;""," | "&amp;'01_Warehouse_Ledger'!$B$3,""))</f>
        <v>WH-STAGE-IN</v>
      </c>
      <c r="C507" t="str">
        <f>IF('01_Warehouse_Ledger'!$A$3="","",'01_Warehouse_Ledger'!$A$3)</f>
        <v>WH-STAGE-IN</v>
      </c>
      <c r="D507" t="s">
        <v>1258</v>
      </c>
    </row>
    <row r="508" spans="1:4">
      <c r="A508" t="s">
        <v>1257</v>
      </c>
      <c r="B508" t="str">
        <f>IF('01_Warehouse_Ledger'!$A$4="","",'01_Warehouse_Ledger'!$A$4&amp;IF('01_Warehouse_Ledger'!$B$4&lt;&gt;""," | "&amp;'01_Warehouse_Ledger'!$B$4,""))</f>
        <v>OVERFLOW-CHRIS-UMAIR_TICKETS- | CHRIS_OVERFLOW_A_ZONE1</v>
      </c>
      <c r="C508" t="str">
        <f>IF('01_Warehouse_Ledger'!$A$4="","",'01_Warehouse_Ledger'!$A$4)</f>
        <v>OVERFLOW-CHRIS-UMAIR_TICKETS-</v>
      </c>
      <c r="D508" t="s">
        <v>1258</v>
      </c>
    </row>
    <row r="509" spans="1:4">
      <c r="A509" t="s">
        <v>1257</v>
      </c>
      <c r="B509" t="str">
        <f>IF('01_Warehouse_Ledger'!$A$5="","",'01_Warehouse_Ledger'!$A$5&amp;IF('01_Warehouse_Ledger'!$B$5&lt;&gt;""," | "&amp;'01_Warehouse_Ledger'!$B$5,""))</f>
        <v>WH-Z1-AisleO-Bay10-Level1 | 48x T24i-30</v>
      </c>
      <c r="C509" t="str">
        <f>IF('01_Warehouse_Ledger'!$A$5="","",'01_Warehouse_Ledger'!$A$5)</f>
        <v>WH-Z1-AisleO-Bay10-Level1</v>
      </c>
      <c r="D509" t="s">
        <v>1258</v>
      </c>
    </row>
    <row r="510" spans="1:4">
      <c r="A510" t="s">
        <v>1257</v>
      </c>
      <c r="B510" t="str">
        <f>IF('01_Warehouse_Ledger'!$A$6="","",'01_Warehouse_Ledger'!$A$6&amp;IF('01_Warehouse_Ledger'!$B$6&lt;&gt;""," | "&amp;'01_Warehouse_Ledger'!$B$6,""))</f>
        <v>Northwell Capsule &amp; GCX | WH-ZR-AisleM-Bay1-Level3</v>
      </c>
      <c r="C510" t="str">
        <f>IF('01_Warehouse_Ledger'!$A$6="","",'01_Warehouse_Ledger'!$A$6)</f>
        <v>Northwell Capsule &amp; GCX</v>
      </c>
      <c r="D510" t="s">
        <v>1258</v>
      </c>
    </row>
    <row r="511" spans="1:4">
      <c r="A511" t="s">
        <v>1257</v>
      </c>
      <c r="B511" t="str">
        <f>IF('01_Warehouse_Ledger'!$A$7="","",'01_Warehouse_Ledger'!$A$7&amp;IF('01_Warehouse_Ledger'!$B$7&lt;&gt;""," | "&amp;'01_Warehouse_Ledger'!$B$7,""))</f>
        <v>WH-Z1-NOOverflow</v>
      </c>
      <c r="C511" t="str">
        <f>IF('01_Warehouse_Ledger'!$A$7="","",'01_Warehouse_Ledger'!$A$7)</f>
        <v>WH-Z1-NOOverflow</v>
      </c>
      <c r="D511" t="s">
        <v>1258</v>
      </c>
    </row>
    <row r="512" spans="1:4">
      <c r="A512" t="s">
        <v>1257</v>
      </c>
      <c r="B512" t="str">
        <f>IF('01_Warehouse_Ledger'!$A$8="","",'01_Warehouse_Ledger'!$A$8&amp;IF('01_Warehouse_Ledger'!$B$8&lt;&gt;""," | "&amp;'01_Warehouse_Ledger'!$B$8,""))</f>
        <v>WH-Z1-AisleO-Bay7-Level1</v>
      </c>
      <c r="C512" t="str">
        <f>IF('01_Warehouse_Ledger'!$A$8="","",'01_Warehouse_Ledger'!$A$8)</f>
        <v>WH-Z1-AisleO-Bay7-Level1</v>
      </c>
      <c r="D512" t="s">
        <v>1258</v>
      </c>
    </row>
    <row r="513" spans="1:4">
      <c r="A513" t="s">
        <v>1257</v>
      </c>
      <c r="B513" t="str">
        <f>IF('01_Warehouse_Ledger'!$A$9="","",'01_Warehouse_Ledger'!$A$9&amp;IF('01_Warehouse_Ledger'!$B$9&lt;&gt;""," | "&amp;'01_Warehouse_Ledger'!$B$9,""))</f>
        <v>OVERFLOW-SAMPLE-PO1007-CAT3-PAL008 | WH-Z1-AisleA-Bay1-Level5</v>
      </c>
      <c r="C513" t="str">
        <f>IF('01_Warehouse_Ledger'!$A$9="","",'01_Warehouse_Ledger'!$A$9)</f>
        <v>OVERFLOW-SAMPLE-PO1007-CAT3-PAL008</v>
      </c>
      <c r="D513" t="s">
        <v>1258</v>
      </c>
    </row>
    <row r="514" spans="1:4">
      <c r="A514" t="s">
        <v>1257</v>
      </c>
      <c r="B514" t="str">
        <f>IF('01_Warehouse_Ledger'!$A$10="","",'01_Warehouse_Ledger'!$A$10&amp;IF('01_Warehouse_Ledger'!$B$10&lt;&gt;""," | "&amp;'01_Warehouse_Ledger'!$B$10,""))</f>
        <v>WH-Z1-AisleA-Bay1-Level6</v>
      </c>
      <c r="C514" t="str">
        <f>IF('01_Warehouse_Ledger'!$A$10="","",'01_Warehouse_Ledger'!$A$10)</f>
        <v>WH-Z1-AisleA-Bay1-Level6</v>
      </c>
      <c r="D514" t="s">
        <v>1258</v>
      </c>
    </row>
    <row r="515" spans="1:4">
      <c r="A515" t="s">
        <v>1257</v>
      </c>
      <c r="B515" t="str">
        <f>IF('01_Warehouse_Ledger'!$A$11="","",'01_Warehouse_Ledger'!$A$11&amp;IF('01_Warehouse_Ledger'!$B$11&lt;&gt;""," | "&amp;'01_Warehouse_Ledger'!$B$11,""))</f>
        <v>WH-Z1-AisleA-Bay1-Level7</v>
      </c>
      <c r="C515" t="str">
        <f>IF('01_Warehouse_Ledger'!$A$11="","",'01_Warehouse_Ledger'!$A$11)</f>
        <v>WH-Z1-AisleA-Bay1-Level7</v>
      </c>
      <c r="D515" t="s">
        <v>1258</v>
      </c>
    </row>
    <row r="516" spans="1:4">
      <c r="A516" t="s">
        <v>1257</v>
      </c>
      <c r="B516" t="str">
        <f>IF('01_Warehouse_Ledger'!$A$12="","",'01_Warehouse_Ledger'!$A$12&amp;IF('01_Warehouse_Ledger'!$B$12&lt;&gt;""," | "&amp;'01_Warehouse_Ledger'!$B$12,""))</f>
        <v>WH-Z1-AisleA-Bay1-Level8</v>
      </c>
      <c r="C516" t="str">
        <f>IF('01_Warehouse_Ledger'!$A$12="","",'01_Warehouse_Ledger'!$A$12)</f>
        <v>WH-Z1-AisleA-Bay1-Level8</v>
      </c>
      <c r="D516" t="s">
        <v>1258</v>
      </c>
    </row>
    <row r="517" spans="1:4">
      <c r="A517" t="s">
        <v>1257</v>
      </c>
      <c r="B517" t="str">
        <f>IF('01_Warehouse_Ledger'!$A$13="","",'01_Warehouse_Ledger'!$A$13&amp;IF('01_Warehouse_Ledger'!$B$13&lt;&gt;""," | "&amp;'01_Warehouse_Ledger'!$B$13,""))</f>
        <v>WH-Z1-AisleA-Bay1-Level9</v>
      </c>
      <c r="C517" t="str">
        <f>IF('01_Warehouse_Ledger'!$A$13="","",'01_Warehouse_Ledger'!$A$13)</f>
        <v>WH-Z1-AisleA-Bay1-Level9</v>
      </c>
      <c r="D517" t="s">
        <v>1258</v>
      </c>
    </row>
    <row r="518" spans="1:4">
      <c r="A518" t="s">
        <v>1257</v>
      </c>
      <c r="B518" t="str">
        <f>IF('01_Warehouse_Ledger'!$A$14="","",'01_Warehouse_Ledger'!$A$14&amp;IF('01_Warehouse_Ledger'!$B$14&lt;&gt;""," | "&amp;'01_Warehouse_Ledger'!$B$14,""))</f>
        <v>WH-Z1-AisleA-Bay1-Level10</v>
      </c>
      <c r="C518" t="str">
        <f>IF('01_Warehouse_Ledger'!$A$14="","",'01_Warehouse_Ledger'!$A$14)</f>
        <v>WH-Z1-AisleA-Bay1-Level10</v>
      </c>
      <c r="D518" t="s">
        <v>1258</v>
      </c>
    </row>
    <row r="519" spans="1:4">
      <c r="A519" t="s">
        <v>1257</v>
      </c>
      <c r="B519" t="str">
        <f>IF('01_Warehouse_Ledger'!$A$15="","",'01_Warehouse_Ledger'!$A$15&amp;IF('01_Warehouse_Ledger'!$B$15&lt;&gt;""," | "&amp;'01_Warehouse_Ledger'!$B$15,""))</f>
        <v>WH-Z1-AisleA-Bay1-Level11</v>
      </c>
      <c r="C519" t="str">
        <f>IF('01_Warehouse_Ledger'!$A$15="","",'01_Warehouse_Ledger'!$A$15)</f>
        <v>WH-Z1-AisleA-Bay1-Level11</v>
      </c>
      <c r="D519" t="s">
        <v>1258</v>
      </c>
    </row>
    <row r="520" spans="1:4">
      <c r="A520" t="s">
        <v>1257</v>
      </c>
      <c r="B520" t="str">
        <f>IF('01_Warehouse_Ledger'!$A$16="","",'01_Warehouse_Ledger'!$A$16&amp;IF('01_Warehouse_Ledger'!$B$16&lt;&gt;""," | "&amp;'01_Warehouse_Ledger'!$B$16,""))</f>
        <v>OVERFLOW-SAMPLE-PO1014-CAT5-PAL015 | WH-Z1-AisleA-Bay1-Level12</v>
      </c>
      <c r="C520" t="str">
        <f>IF('01_Warehouse_Ledger'!$A$16="","",'01_Warehouse_Ledger'!$A$16)</f>
        <v>OVERFLOW-SAMPLE-PO1014-CAT5-PAL015</v>
      </c>
      <c r="D520" t="s">
        <v>1258</v>
      </c>
    </row>
    <row r="521" spans="1:4">
      <c r="A521" t="s">
        <v>1257</v>
      </c>
      <c r="B521" t="str">
        <f>IF('01_Warehouse_Ledger'!$A$17="","",'01_Warehouse_Ledger'!$A$17&amp;IF('01_Warehouse_Ledger'!$B$17&lt;&gt;""," | "&amp;'01_Warehouse_Ledger'!$B$17,""))</f>
        <v>WH-Z1-AisleA-Bay1-Level13</v>
      </c>
      <c r="C521" t="str">
        <f>IF('01_Warehouse_Ledger'!$A$17="","",'01_Warehouse_Ledger'!$A$17)</f>
        <v>WH-Z1-AisleA-Bay1-Level13</v>
      </c>
      <c r="D521" t="s">
        <v>1258</v>
      </c>
    </row>
    <row r="522" spans="1:4">
      <c r="A522" t="s">
        <v>1257</v>
      </c>
      <c r="B522" t="str">
        <f>IF('01_Warehouse_Ledger'!$A$18="","",'01_Warehouse_Ledger'!$A$18&amp;IF('01_Warehouse_Ledger'!$B$18&lt;&gt;""," | "&amp;'01_Warehouse_Ledger'!$B$18,""))</f>
        <v>WH-Z1-AisleA-Bay1-Level14</v>
      </c>
      <c r="C522" t="str">
        <f>IF('01_Warehouse_Ledger'!$A$18="","",'01_Warehouse_Ledger'!$A$18)</f>
        <v>WH-Z1-AisleA-Bay1-Level14</v>
      </c>
      <c r="D522" t="s">
        <v>1258</v>
      </c>
    </row>
    <row r="523" spans="1:4">
      <c r="A523" t="s">
        <v>1257</v>
      </c>
      <c r="B523" t="str">
        <f>IF('01_Warehouse_Ledger'!$A$19="","",'01_Warehouse_Ledger'!$A$19&amp;IF('01_Warehouse_Ledger'!$B$19&lt;&gt;""," | "&amp;'01_Warehouse_Ledger'!$B$19,""))</f>
        <v>WH-Z1-AisleA-Bay1-Level15</v>
      </c>
      <c r="C523" t="str">
        <f>IF('01_Warehouse_Ledger'!$A$19="","",'01_Warehouse_Ledger'!$A$19)</f>
        <v>WH-Z1-AisleA-Bay1-Level15</v>
      </c>
      <c r="D523" t="s">
        <v>1258</v>
      </c>
    </row>
    <row r="524" spans="1:4">
      <c r="A524" t="s">
        <v>1257</v>
      </c>
      <c r="B524" t="str">
        <f>IF('01_Warehouse_Ledger'!$A$20="","",'01_Warehouse_Ledger'!$A$20&amp;IF('01_Warehouse_Ledger'!$B$20&lt;&gt;""," | "&amp;'01_Warehouse_Ledger'!$B$20,""))</f>
        <v>WH-Z1-AisleA-Bay1-Level16</v>
      </c>
      <c r="C524" t="str">
        <f>IF('01_Warehouse_Ledger'!$A$20="","",'01_Warehouse_Ledger'!$A$20)</f>
        <v>WH-Z1-AisleA-Bay1-Level16</v>
      </c>
      <c r="D524" t="s">
        <v>1258</v>
      </c>
    </row>
    <row r="525" spans="1:4">
      <c r="A525" t="s">
        <v>1257</v>
      </c>
      <c r="B525" t="str">
        <f>IF('01_Warehouse_Ledger'!$A$21="","",'01_Warehouse_Ledger'!$A$21&amp;IF('01_Warehouse_Ledger'!$B$21&lt;&gt;""," | "&amp;'01_Warehouse_Ledger'!$B$21,""))</f>
        <v>WH-Z1-AisleA-Bay1-Level17</v>
      </c>
      <c r="C525" t="str">
        <f>IF('01_Warehouse_Ledger'!$A$21="","",'01_Warehouse_Ledger'!$A$21)</f>
        <v>WH-Z1-AisleA-Bay1-Level17</v>
      </c>
      <c r="D525" t="s">
        <v>1258</v>
      </c>
    </row>
    <row r="526" spans="1:4">
      <c r="A526" t="s">
        <v>1257</v>
      </c>
      <c r="B526" t="str">
        <f>IF('01_Warehouse_Ledger'!$A$22="","",'01_Warehouse_Ledger'!$A$22&amp;IF('01_Warehouse_Ledger'!$B$22&lt;&gt;""," | "&amp;'01_Warehouse_Ledger'!$B$22,""))</f>
        <v>WH-Z1-AisleA-Bay1-Level18</v>
      </c>
      <c r="C526" t="str">
        <f>IF('01_Warehouse_Ledger'!$A$22="","",'01_Warehouse_Ledger'!$A$22)</f>
        <v>WH-Z1-AisleA-Bay1-Level18</v>
      </c>
      <c r="D526" t="s">
        <v>1258</v>
      </c>
    </row>
    <row r="527" spans="1:4">
      <c r="A527" t="s">
        <v>1257</v>
      </c>
      <c r="B527" t="str">
        <f>IF('01_Warehouse_Ledger'!$A$23="","",'01_Warehouse_Ledger'!$A$23&amp;IF('01_Warehouse_Ledger'!$B$23&lt;&gt;""," | "&amp;'01_Warehouse_Ledger'!$B$23,""))</f>
        <v>OVERFLOW-SAMPLE-PO1021-CAT2-PAL022 | WH-Z1-AisleA-Bay1-Level19</v>
      </c>
      <c r="C527" t="str">
        <f>IF('01_Warehouse_Ledger'!$A$23="","",'01_Warehouse_Ledger'!$A$23)</f>
        <v>OVERFLOW-SAMPLE-PO1021-CAT2-PAL022</v>
      </c>
      <c r="D527" t="s">
        <v>1258</v>
      </c>
    </row>
    <row r="528" spans="1:4">
      <c r="A528" t="s">
        <v>1257</v>
      </c>
      <c r="B528" t="str">
        <f>IF('01_Warehouse_Ledger'!$A$24="","",'01_Warehouse_Ledger'!$A$24&amp;IF('01_Warehouse_Ledger'!$B$24&lt;&gt;""," | "&amp;'01_Warehouse_Ledger'!$B$24,""))</f>
        <v>WH-Z1-AisleA-Bay1-Level20</v>
      </c>
      <c r="C528" t="str">
        <f>IF('01_Warehouse_Ledger'!$A$24="","",'01_Warehouse_Ledger'!$A$24)</f>
        <v>WH-Z1-AisleA-Bay1-Level20</v>
      </c>
      <c r="D528" t="s">
        <v>1258</v>
      </c>
    </row>
    <row r="529" spans="1:4">
      <c r="A529" t="s">
        <v>1257</v>
      </c>
      <c r="B529" t="str">
        <f>IF('01_Warehouse_Ledger'!$A$25="","",'01_Warehouse_Ledger'!$A$25&amp;IF('01_Warehouse_Ledger'!$B$25&lt;&gt;""," | "&amp;'01_Warehouse_Ledger'!$B$25,""))</f>
        <v>WH-Z1-AisleB-Bay1-Level1</v>
      </c>
      <c r="C529" t="str">
        <f>IF('01_Warehouse_Ledger'!$A$25="","",'01_Warehouse_Ledger'!$A$25)</f>
        <v>WH-Z1-AisleB-Bay1-Level1</v>
      </c>
      <c r="D529" t="s">
        <v>1258</v>
      </c>
    </row>
    <row r="530" spans="1:4">
      <c r="A530" t="s">
        <v>1257</v>
      </c>
      <c r="B530" t="str">
        <f>IF('01_Warehouse_Ledger'!$A$26="","",'01_Warehouse_Ledger'!$A$26&amp;IF('01_Warehouse_Ledger'!$B$26&lt;&gt;""," | "&amp;'01_Warehouse_Ledger'!$B$26,""))</f>
        <v>WH-Z1-AisleB-Bay1-Level2</v>
      </c>
      <c r="C530" t="str">
        <f>IF('01_Warehouse_Ledger'!$A$26="","",'01_Warehouse_Ledger'!$A$26)</f>
        <v>WH-Z1-AisleB-Bay1-Level2</v>
      </c>
      <c r="D530" t="s">
        <v>1258</v>
      </c>
    </row>
    <row r="531" spans="1:4">
      <c r="A531" t="s">
        <v>1257</v>
      </c>
      <c r="B531" t="str">
        <f>IF('01_Warehouse_Ledger'!$A$27="","",'01_Warehouse_Ledger'!$A$27&amp;IF('01_Warehouse_Ledger'!$B$27&lt;&gt;""," | "&amp;'01_Warehouse_Ledger'!$B$27,""))</f>
        <v>WH-Z1-AisleB-Bay1-Level3</v>
      </c>
      <c r="C531" t="str">
        <f>IF('01_Warehouse_Ledger'!$A$27="","",'01_Warehouse_Ledger'!$A$27)</f>
        <v>WH-Z1-AisleB-Bay1-Level3</v>
      </c>
      <c r="D531" t="s">
        <v>1258</v>
      </c>
    </row>
    <row r="532" spans="1:4">
      <c r="A532" t="s">
        <v>1257</v>
      </c>
      <c r="B532" t="str">
        <f>IF('01_Warehouse_Ledger'!$A$28="","",'01_Warehouse_Ledger'!$A$28&amp;IF('01_Warehouse_Ledger'!$B$28&lt;&gt;""," | "&amp;'01_Warehouse_Ledger'!$B$28,""))</f>
        <v>WH-Z1-AisleB-Bay1-Level4</v>
      </c>
      <c r="C532" t="str">
        <f>IF('01_Warehouse_Ledger'!$A$28="","",'01_Warehouse_Ledger'!$A$28)</f>
        <v>WH-Z1-AisleB-Bay1-Level4</v>
      </c>
      <c r="D532" t="s">
        <v>1258</v>
      </c>
    </row>
    <row r="533" spans="1:4">
      <c r="A533" t="s">
        <v>1257</v>
      </c>
      <c r="B533" t="str">
        <f>IF('01_Warehouse_Ledger'!$A$29="","",'01_Warehouse_Ledger'!$A$29&amp;IF('01_Warehouse_Ledger'!$B$29&lt;&gt;""," | "&amp;'01_Warehouse_Ledger'!$B$29,""))</f>
        <v>WH-Z1-AisleB-Bay1-Level5</v>
      </c>
      <c r="C533" t="str">
        <f>IF('01_Warehouse_Ledger'!$A$29="","",'01_Warehouse_Ledger'!$A$29)</f>
        <v>WH-Z1-AisleB-Bay1-Level5</v>
      </c>
      <c r="D533" t="s">
        <v>1258</v>
      </c>
    </row>
    <row r="534" spans="1:4">
      <c r="A534" t="s">
        <v>1257</v>
      </c>
      <c r="B534" t="str">
        <f>IF('01_Warehouse_Ledger'!$A$30="","",'01_Warehouse_Ledger'!$A$30&amp;IF('01_Warehouse_Ledger'!$B$30&lt;&gt;""," | "&amp;'01_Warehouse_Ledger'!$B$30,""))</f>
        <v>OVERFLOW-SAMPLE-PO1028-CAT4-PAL029 | WH-Z1-AisleB-Bay1-Level6</v>
      </c>
      <c r="C534" t="str">
        <f>IF('01_Warehouse_Ledger'!$A$30="","",'01_Warehouse_Ledger'!$A$30)</f>
        <v>OVERFLOW-SAMPLE-PO1028-CAT4-PAL029</v>
      </c>
      <c r="D534" t="s">
        <v>1258</v>
      </c>
    </row>
    <row r="535" spans="1:4">
      <c r="A535" t="s">
        <v>1257</v>
      </c>
      <c r="B535" t="str">
        <f>IF('01_Warehouse_Ledger'!$A$31="","",'01_Warehouse_Ledger'!$A$31&amp;IF('01_Warehouse_Ledger'!$B$31&lt;&gt;""," | "&amp;'01_Warehouse_Ledger'!$B$31,""))</f>
        <v>WH-Z1-AisleB-Bay1-Level7</v>
      </c>
      <c r="C535" t="str">
        <f>IF('01_Warehouse_Ledger'!$A$31="","",'01_Warehouse_Ledger'!$A$31)</f>
        <v>WH-Z1-AisleB-Bay1-Level7</v>
      </c>
      <c r="D535" t="s">
        <v>1258</v>
      </c>
    </row>
    <row r="536" spans="1:4">
      <c r="A536" t="s">
        <v>1257</v>
      </c>
      <c r="B536" t="str">
        <f>IF('01_Warehouse_Ledger'!$A$32="","",'01_Warehouse_Ledger'!$A$32&amp;IF('01_Warehouse_Ledger'!$B$32&lt;&gt;""," | "&amp;'01_Warehouse_Ledger'!$B$32,""))</f>
        <v>WH-Z1-AisleB-Bay1-Level8</v>
      </c>
      <c r="C536" t="str">
        <f>IF('01_Warehouse_Ledger'!$A$32="","",'01_Warehouse_Ledger'!$A$32)</f>
        <v>WH-Z1-AisleB-Bay1-Level8</v>
      </c>
      <c r="D536" t="s">
        <v>1258</v>
      </c>
    </row>
    <row r="537" spans="1:4">
      <c r="A537" t="s">
        <v>1257</v>
      </c>
      <c r="B537" t="str">
        <f>IF('01_Warehouse_Ledger'!$A$33="","",'01_Warehouse_Ledger'!$A$33&amp;IF('01_Warehouse_Ledger'!$B$33&lt;&gt;""," | "&amp;'01_Warehouse_Ledger'!$B$33,""))</f>
        <v>WH-Z1-AisleB-Bay1-Level9</v>
      </c>
      <c r="C537" t="str">
        <f>IF('01_Warehouse_Ledger'!$A$33="","",'01_Warehouse_Ledger'!$A$33)</f>
        <v>WH-Z1-AisleB-Bay1-Level9</v>
      </c>
      <c r="D537" t="s">
        <v>1258</v>
      </c>
    </row>
    <row r="538" spans="1:4">
      <c r="A538" t="s">
        <v>1257</v>
      </c>
      <c r="B538" t="str">
        <f>IF('01_Warehouse_Ledger'!$A$34="","",'01_Warehouse_Ledger'!$A$34&amp;IF('01_Warehouse_Ledger'!$B$34&lt;&gt;""," | "&amp;'01_Warehouse_Ledger'!$B$34,""))</f>
        <v>WH-Z1-AisleB-Bay1-Level10</v>
      </c>
      <c r="C538" t="str">
        <f>IF('01_Warehouse_Ledger'!$A$34="","",'01_Warehouse_Ledger'!$A$34)</f>
        <v>WH-Z1-AisleB-Bay1-Level10</v>
      </c>
      <c r="D538" t="s">
        <v>1258</v>
      </c>
    </row>
    <row r="539" spans="1:4">
      <c r="A539" t="s">
        <v>1257</v>
      </c>
      <c r="B539" t="str">
        <f>IF('01_Warehouse_Ledger'!$A$35="","",'01_Warehouse_Ledger'!$A$35&amp;IF('01_Warehouse_Ledger'!$B$35&lt;&gt;""," | "&amp;'01_Warehouse_Ledger'!$B$35,""))</f>
        <v>WH-Z1-AisleB-Bay1-Level11</v>
      </c>
      <c r="C539" t="str">
        <f>IF('01_Warehouse_Ledger'!$A$35="","",'01_Warehouse_Ledger'!$A$35)</f>
        <v>WH-Z1-AisleB-Bay1-Level11</v>
      </c>
      <c r="D539" t="s">
        <v>1258</v>
      </c>
    </row>
    <row r="540" spans="1:4">
      <c r="A540" t="s">
        <v>1257</v>
      </c>
      <c r="B540" t="str">
        <f>IF('01_Warehouse_Ledger'!$A$36="","",'01_Warehouse_Ledger'!$A$36&amp;IF('01_Warehouse_Ledger'!$B$36&lt;&gt;""," | "&amp;'01_Warehouse_Ledger'!$B$36,""))</f>
        <v>WH-Z1-AisleB-Bay1-Level12</v>
      </c>
      <c r="C540" t="str">
        <f>IF('01_Warehouse_Ledger'!$A$36="","",'01_Warehouse_Ledger'!$A$36)</f>
        <v>WH-Z1-AisleB-Bay1-Level12</v>
      </c>
      <c r="D540" t="s">
        <v>1258</v>
      </c>
    </row>
    <row r="541" spans="1:4">
      <c r="A541" t="s">
        <v>1257</v>
      </c>
      <c r="B541" t="str">
        <f>IF('01_Warehouse_Ledger'!$A$37="","",'01_Warehouse_Ledger'!$A$37&amp;IF('01_Warehouse_Ledger'!$B$37&lt;&gt;""," | "&amp;'01_Warehouse_Ledger'!$B$37,""))</f>
        <v>OVERFLOW-SAMPLE-PO1035-CAT1-PAL036 | WH-Z1-AisleB-Bay1-Level13</v>
      </c>
      <c r="C541" t="str">
        <f>IF('01_Warehouse_Ledger'!$A$37="","",'01_Warehouse_Ledger'!$A$37)</f>
        <v>OVERFLOW-SAMPLE-PO1035-CAT1-PAL036</v>
      </c>
      <c r="D541" t="s">
        <v>1258</v>
      </c>
    </row>
    <row r="542" spans="1:4">
      <c r="A542" t="s">
        <v>1257</v>
      </c>
      <c r="B542" t="str">
        <f>IF('01_Warehouse_Ledger'!$A$38="","",'01_Warehouse_Ledger'!$A$38&amp;IF('01_Warehouse_Ledger'!$B$38&lt;&gt;""," | "&amp;'01_Warehouse_Ledger'!$B$38,""))</f>
        <v>WH-Z1-AisleB-Bay1-Level14</v>
      </c>
      <c r="C542" t="str">
        <f>IF('01_Warehouse_Ledger'!$A$38="","",'01_Warehouse_Ledger'!$A$38)</f>
        <v>WH-Z1-AisleB-Bay1-Level14</v>
      </c>
      <c r="D542" t="s">
        <v>1258</v>
      </c>
    </row>
    <row r="543" spans="1:4">
      <c r="A543" t="s">
        <v>1257</v>
      </c>
      <c r="B543" t="str">
        <f>IF('01_Warehouse_Ledger'!$A$39="","",'01_Warehouse_Ledger'!$A$39&amp;IF('01_Warehouse_Ledger'!$B$39&lt;&gt;""," | "&amp;'01_Warehouse_Ledger'!$B$39,""))</f>
        <v>WH-Z1-AisleB-Bay1-Level15</v>
      </c>
      <c r="C543" t="str">
        <f>IF('01_Warehouse_Ledger'!$A$39="","",'01_Warehouse_Ledger'!$A$39)</f>
        <v>WH-Z1-AisleB-Bay1-Level15</v>
      </c>
      <c r="D543" t="s">
        <v>1258</v>
      </c>
    </row>
    <row r="544" spans="1:4">
      <c r="A544" t="s">
        <v>1257</v>
      </c>
      <c r="B544" t="str">
        <f>IF('01_Warehouse_Ledger'!$A$40="","",'01_Warehouse_Ledger'!$A$40&amp;IF('01_Warehouse_Ledger'!$B$40&lt;&gt;""," | "&amp;'01_Warehouse_Ledger'!$B$40,""))</f>
        <v>WH-Z1-AisleB-Bay1-Level16</v>
      </c>
      <c r="C544" t="str">
        <f>IF('01_Warehouse_Ledger'!$A$40="","",'01_Warehouse_Ledger'!$A$40)</f>
        <v>WH-Z1-AisleB-Bay1-Level16</v>
      </c>
      <c r="D544" t="s">
        <v>1258</v>
      </c>
    </row>
    <row r="545" spans="1:4">
      <c r="A545" t="s">
        <v>1257</v>
      </c>
      <c r="B545" t="str">
        <f>IF('01_Warehouse_Ledger'!$A$41="","",'01_Warehouse_Ledger'!$A$41&amp;IF('01_Warehouse_Ledger'!$B$41&lt;&gt;""," | "&amp;'01_Warehouse_Ledger'!$B$41,""))</f>
        <v>WH-Z1-AisleB-Bay1-Level17</v>
      </c>
      <c r="C545" t="str">
        <f>IF('01_Warehouse_Ledger'!$A$41="","",'01_Warehouse_Ledger'!$A$41)</f>
        <v>WH-Z1-AisleB-Bay1-Level17</v>
      </c>
      <c r="D545" t="s">
        <v>1258</v>
      </c>
    </row>
    <row r="546" spans="1:4">
      <c r="A546" t="s">
        <v>1257</v>
      </c>
      <c r="B546" t="str">
        <f>IF('01_Warehouse_Ledger'!$A$42="","",'01_Warehouse_Ledger'!$A$42&amp;IF('01_Warehouse_Ledger'!$B$42&lt;&gt;""," | "&amp;'01_Warehouse_Ledger'!$B$42,""))</f>
        <v>WH-Z1-AisleB-Bay1-Level18</v>
      </c>
      <c r="C546" t="str">
        <f>IF('01_Warehouse_Ledger'!$A$42="","",'01_Warehouse_Ledger'!$A$42)</f>
        <v>WH-Z1-AisleB-Bay1-Level18</v>
      </c>
      <c r="D546" t="s">
        <v>1258</v>
      </c>
    </row>
    <row r="547" spans="1:4">
      <c r="A547" t="s">
        <v>1257</v>
      </c>
      <c r="B547" t="str">
        <f>IF('01_Warehouse_Ledger'!$A$43="","",'01_Warehouse_Ledger'!$A$43&amp;IF('01_Warehouse_Ledger'!$B$43&lt;&gt;""," | "&amp;'01_Warehouse_Ledger'!$B$43,""))</f>
        <v>WH-Z1-AisleB-Bay1-Level19</v>
      </c>
      <c r="C547" t="str">
        <f>IF('01_Warehouse_Ledger'!$A$43="","",'01_Warehouse_Ledger'!$A$43)</f>
        <v>WH-Z1-AisleB-Bay1-Level19</v>
      </c>
      <c r="D547" t="s">
        <v>1258</v>
      </c>
    </row>
    <row r="548" spans="1:4">
      <c r="A548" t="s">
        <v>1257</v>
      </c>
      <c r="B548" t="str">
        <f>IF('01_Warehouse_Ledger'!$A$44="","",'01_Warehouse_Ledger'!$A$44&amp;IF('01_Warehouse_Ledger'!$B$44&lt;&gt;""," | "&amp;'01_Warehouse_Ledger'!$B$44,""))</f>
        <v>OVERFLOW-SAMPLE-PO1042-CAT3-PAL043 | WH-Z1-AisleB-Bay1-Level20</v>
      </c>
      <c r="C548" t="str">
        <f>IF('01_Warehouse_Ledger'!$A$44="","",'01_Warehouse_Ledger'!$A$44)</f>
        <v>OVERFLOW-SAMPLE-PO1042-CAT3-PAL043</v>
      </c>
      <c r="D548" t="s">
        <v>1258</v>
      </c>
    </row>
    <row r="549" spans="1:4">
      <c r="A549" t="s">
        <v>1257</v>
      </c>
      <c r="B549" t="str">
        <f>IF('01_Warehouse_Ledger'!$A$45="","",'01_Warehouse_Ledger'!$A$45&amp;IF('01_Warehouse_Ledger'!$B$45&lt;&gt;""," | "&amp;'01_Warehouse_Ledger'!$B$45,""))</f>
        <v>WH-Z1-AisleC-Bay1-Level1</v>
      </c>
      <c r="C549" t="str">
        <f>IF('01_Warehouse_Ledger'!$A$45="","",'01_Warehouse_Ledger'!$A$45)</f>
        <v>WH-Z1-AisleC-Bay1-Level1</v>
      </c>
      <c r="D549" t="s">
        <v>1258</v>
      </c>
    </row>
    <row r="550" spans="1:4">
      <c r="A550" t="s">
        <v>1257</v>
      </c>
      <c r="B550" t="str">
        <f>IF('01_Warehouse_Ledger'!$A$46="","",'01_Warehouse_Ledger'!$A$46&amp;IF('01_Warehouse_Ledger'!$B$46&lt;&gt;""," | "&amp;'01_Warehouse_Ledger'!$B$46,""))</f>
        <v>WH-Z1-AisleC-Bay1-Level2</v>
      </c>
      <c r="C550" t="str">
        <f>IF('01_Warehouse_Ledger'!$A$46="","",'01_Warehouse_Ledger'!$A$46)</f>
        <v>WH-Z1-AisleC-Bay1-Level2</v>
      </c>
      <c r="D550" t="s">
        <v>1258</v>
      </c>
    </row>
    <row r="551" spans="1:4">
      <c r="A551" t="s">
        <v>1257</v>
      </c>
      <c r="B551" t="str">
        <f>IF('01_Warehouse_Ledger'!$A$47="","",'01_Warehouse_Ledger'!$A$47&amp;IF('01_Warehouse_Ledger'!$B$47&lt;&gt;""," | "&amp;'01_Warehouse_Ledger'!$B$47,""))</f>
        <v>WH-Z1-AisleC-Bay1-Level3</v>
      </c>
      <c r="C551" t="str">
        <f>IF('01_Warehouse_Ledger'!$A$47="","",'01_Warehouse_Ledger'!$A$47)</f>
        <v>WH-Z1-AisleC-Bay1-Level3</v>
      </c>
      <c r="D551" t="s">
        <v>1258</v>
      </c>
    </row>
    <row r="552" spans="1:4">
      <c r="A552" t="s">
        <v>1257</v>
      </c>
      <c r="B552" t="str">
        <f>IF('01_Warehouse_Ledger'!$A$48="","",'01_Warehouse_Ledger'!$A$48&amp;IF('01_Warehouse_Ledger'!$B$48&lt;&gt;""," | "&amp;'01_Warehouse_Ledger'!$B$48,""))</f>
        <v>WH-Z1-AisleC-Bay1-Level4</v>
      </c>
      <c r="C552" t="str">
        <f>IF('01_Warehouse_Ledger'!$A$48="","",'01_Warehouse_Ledger'!$A$48)</f>
        <v>WH-Z1-AisleC-Bay1-Level4</v>
      </c>
      <c r="D552" t="s">
        <v>1258</v>
      </c>
    </row>
    <row r="553" spans="1:4">
      <c r="A553" t="s">
        <v>1257</v>
      </c>
      <c r="B553" t="str">
        <f>IF('01_Warehouse_Ledger'!$A$49="","",'01_Warehouse_Ledger'!$A$49&amp;IF('01_Warehouse_Ledger'!$B$49&lt;&gt;""," | "&amp;'01_Warehouse_Ledger'!$B$49,""))</f>
        <v>WH-Z1-AisleC-Bay1-Level5</v>
      </c>
      <c r="C553" t="str">
        <f>IF('01_Warehouse_Ledger'!$A$49="","",'01_Warehouse_Ledger'!$A$49)</f>
        <v>WH-Z1-AisleC-Bay1-Level5</v>
      </c>
      <c r="D553" t="s">
        <v>1258</v>
      </c>
    </row>
    <row r="554" spans="1:4">
      <c r="A554" t="s">
        <v>1257</v>
      </c>
      <c r="B554" t="str">
        <f>IF('01_Warehouse_Ledger'!$A$50="","",'01_Warehouse_Ledger'!$A$50&amp;IF('01_Warehouse_Ledger'!$B$50&lt;&gt;""," | "&amp;'01_Warehouse_Ledger'!$B$50,""))</f>
        <v>WH-Z1-AisleC-Bay1-Level6</v>
      </c>
      <c r="C554" t="str">
        <f>IF('01_Warehouse_Ledger'!$A$50="","",'01_Warehouse_Ledger'!$A$50)</f>
        <v>WH-Z1-AisleC-Bay1-Level6</v>
      </c>
      <c r="D554" t="s">
        <v>1258</v>
      </c>
    </row>
    <row r="555" spans="1:4">
      <c r="A555" t="s">
        <v>1257</v>
      </c>
      <c r="B555" t="str">
        <f>IF('01_Warehouse_Ledger'!$A$51="","",'01_Warehouse_Ledger'!$A$51&amp;IF('01_Warehouse_Ledger'!$B$51&lt;&gt;""," | "&amp;'01_Warehouse_Ledger'!$B$51,""))</f>
        <v>OVERFLOW-SAMPLE-PO1049-CAT5-PAL050 | WH-Z1-AisleC-Bay1-Level7</v>
      </c>
      <c r="C555" t="str">
        <f>IF('01_Warehouse_Ledger'!$A$51="","",'01_Warehouse_Ledger'!$A$51)</f>
        <v>OVERFLOW-SAMPLE-PO1049-CAT5-PAL050</v>
      </c>
      <c r="D555" t="s">
        <v>1258</v>
      </c>
    </row>
    <row r="556" spans="1:4">
      <c r="A556" t="s">
        <v>1257</v>
      </c>
      <c r="B556" t="str">
        <f>IF('01_Warehouse_Ledger'!$A$52="","",'01_Warehouse_Ledger'!$A$52&amp;IF('01_Warehouse_Ledger'!$B$52&lt;&gt;""," | "&amp;'01_Warehouse_Ledger'!$B$52,""))</f>
        <v>WH-Z1-AisleC-Bay1-Level8</v>
      </c>
      <c r="C556" t="str">
        <f>IF('01_Warehouse_Ledger'!$A$52="","",'01_Warehouse_Ledger'!$A$52)</f>
        <v>WH-Z1-AisleC-Bay1-Level8</v>
      </c>
      <c r="D556" t="s">
        <v>1258</v>
      </c>
    </row>
    <row r="557" spans="1:4">
      <c r="A557" t="s">
        <v>1257</v>
      </c>
      <c r="B557" t="str">
        <f>IF('01_Warehouse_Ledger'!$A$53="","",'01_Warehouse_Ledger'!$A$53&amp;IF('01_Warehouse_Ledger'!$B$53&lt;&gt;""," | "&amp;'01_Warehouse_Ledger'!$B$53,""))</f>
        <v>WH-Z1-AisleC-Bay1-Level9</v>
      </c>
      <c r="C557" t="str">
        <f>IF('01_Warehouse_Ledger'!$A$53="","",'01_Warehouse_Ledger'!$A$53)</f>
        <v>WH-Z1-AisleC-Bay1-Level9</v>
      </c>
      <c r="D557" t="s">
        <v>1258</v>
      </c>
    </row>
    <row r="558" spans="1:4">
      <c r="A558" t="s">
        <v>1257</v>
      </c>
      <c r="B558" t="str">
        <f>IF('01_Warehouse_Ledger'!$A$54="","",'01_Warehouse_Ledger'!$A$54&amp;IF('01_Warehouse_Ledger'!$B$54&lt;&gt;""," | "&amp;'01_Warehouse_Ledger'!$B$54,""))</f>
        <v>WH-Z1-AisleC-Bay1-Level10</v>
      </c>
      <c r="C558" t="str">
        <f>IF('01_Warehouse_Ledger'!$A$54="","",'01_Warehouse_Ledger'!$A$54)</f>
        <v>WH-Z1-AisleC-Bay1-Level10</v>
      </c>
      <c r="D558" t="s">
        <v>1258</v>
      </c>
    </row>
    <row r="559" spans="1:4">
      <c r="A559" t="s">
        <v>1257</v>
      </c>
      <c r="B559" t="str">
        <f>IF('01_Warehouse_Ledger'!$A$55="","",'01_Warehouse_Ledger'!$A$55&amp;IF('01_Warehouse_Ledger'!$B$55&lt;&gt;""," | "&amp;'01_Warehouse_Ledger'!$B$55,""))</f>
        <v>WH-Z1-AisleC-Bay1-Level11</v>
      </c>
      <c r="C559" t="str">
        <f>IF('01_Warehouse_Ledger'!$A$55="","",'01_Warehouse_Ledger'!$A$55)</f>
        <v>WH-Z1-AisleC-Bay1-Level11</v>
      </c>
      <c r="D559" t="s">
        <v>1258</v>
      </c>
    </row>
    <row r="560" spans="1:4">
      <c r="A560" t="s">
        <v>1257</v>
      </c>
      <c r="B560" t="str">
        <f>IF('01_Warehouse_Ledger'!$A$56="","",'01_Warehouse_Ledger'!$A$56&amp;IF('01_Warehouse_Ledger'!$B$56&lt;&gt;""," | "&amp;'01_Warehouse_Ledger'!$B$56,""))</f>
        <v>WH-Z1-AisleC-Bay1-Level12</v>
      </c>
      <c r="C560" t="str">
        <f>IF('01_Warehouse_Ledger'!$A$56="","",'01_Warehouse_Ledger'!$A$56)</f>
        <v>WH-Z1-AisleC-Bay1-Level12</v>
      </c>
      <c r="D560" t="s">
        <v>1258</v>
      </c>
    </row>
    <row r="561" spans="1:4">
      <c r="A561" t="s">
        <v>1257</v>
      </c>
      <c r="B561" t="str">
        <f>IF('01_Warehouse_Ledger'!$A$57="","",'01_Warehouse_Ledger'!$A$57&amp;IF('01_Warehouse_Ledger'!$B$57&lt;&gt;""," | "&amp;'01_Warehouse_Ledger'!$B$57,""))</f>
        <v>WH-Z1-AisleC-Bay1-Level13</v>
      </c>
      <c r="C561" t="str">
        <f>IF('01_Warehouse_Ledger'!$A$57="","",'01_Warehouse_Ledger'!$A$57)</f>
        <v>WH-Z1-AisleC-Bay1-Level13</v>
      </c>
      <c r="D561" t="s">
        <v>1258</v>
      </c>
    </row>
    <row r="562" spans="1:4">
      <c r="A562" t="s">
        <v>1257</v>
      </c>
      <c r="B562" t="str">
        <f>IF('01_Warehouse_Ledger'!$A$58="","",'01_Warehouse_Ledger'!$A$58&amp;IF('01_Warehouse_Ledger'!$B$58&lt;&gt;""," | "&amp;'01_Warehouse_Ledger'!$B$58,""))</f>
        <v>OVERFLOW-SAMPLE-PO1056-CAT2-PAL057 | WH-Z1-AisleC-Bay1-Level14</v>
      </c>
      <c r="C562" t="str">
        <f>IF('01_Warehouse_Ledger'!$A$58="","",'01_Warehouse_Ledger'!$A$58)</f>
        <v>OVERFLOW-SAMPLE-PO1056-CAT2-PAL057</v>
      </c>
      <c r="D562" t="s">
        <v>1258</v>
      </c>
    </row>
    <row r="563" spans="1:4">
      <c r="A563" t="s">
        <v>1257</v>
      </c>
      <c r="B563" t="str">
        <f>IF('01_Warehouse_Ledger'!$A$59="","",'01_Warehouse_Ledger'!$A$59&amp;IF('01_Warehouse_Ledger'!$B$59&lt;&gt;""," | "&amp;'01_Warehouse_Ledger'!$B$59,""))</f>
        <v>WH-Z1-AisleC-Bay1-Level15</v>
      </c>
      <c r="C563" t="str">
        <f>IF('01_Warehouse_Ledger'!$A$59="","",'01_Warehouse_Ledger'!$A$59)</f>
        <v>WH-Z1-AisleC-Bay1-Level15</v>
      </c>
      <c r="D563" t="s">
        <v>1258</v>
      </c>
    </row>
    <row r="564" spans="1:4">
      <c r="A564" t="s">
        <v>1257</v>
      </c>
      <c r="B564" t="str">
        <f>IF('01_Warehouse_Ledger'!$A$60="","",'01_Warehouse_Ledger'!$A$60&amp;IF('01_Warehouse_Ledger'!$B$60&lt;&gt;""," | "&amp;'01_Warehouse_Ledger'!$B$60,""))</f>
        <v>WH-Z1-AisleC-Bay1-Level16</v>
      </c>
      <c r="C564" t="str">
        <f>IF('01_Warehouse_Ledger'!$A$60="","",'01_Warehouse_Ledger'!$A$60)</f>
        <v>WH-Z1-AisleC-Bay1-Level16</v>
      </c>
      <c r="D564" t="s">
        <v>1258</v>
      </c>
    </row>
    <row r="565" spans="1:4">
      <c r="A565" t="s">
        <v>1257</v>
      </c>
      <c r="B565" t="str">
        <f>IF('01_Warehouse_Ledger'!$A$61="","",'01_Warehouse_Ledger'!$A$61&amp;IF('01_Warehouse_Ledger'!$B$61&lt;&gt;""," | "&amp;'01_Warehouse_Ledger'!$B$61,""))</f>
        <v>WH-Z1-AisleC-Bay1-Level17</v>
      </c>
      <c r="C565" t="str">
        <f>IF('01_Warehouse_Ledger'!$A$61="","",'01_Warehouse_Ledger'!$A$61)</f>
        <v>WH-Z1-AisleC-Bay1-Level17</v>
      </c>
      <c r="D565" t="s">
        <v>1258</v>
      </c>
    </row>
    <row r="566" spans="1:4">
      <c r="A566" t="s">
        <v>1257</v>
      </c>
      <c r="B566" t="str">
        <f>IF('01_Warehouse_Ledger'!$A$62="","",'01_Warehouse_Ledger'!$A$62&amp;IF('01_Warehouse_Ledger'!$B$62&lt;&gt;""," | "&amp;'01_Warehouse_Ledger'!$B$62,""))</f>
        <v>PAL-0000062</v>
      </c>
      <c r="C566" t="str">
        <f>IF('01_Warehouse_Ledger'!$A$62="","",'01_Warehouse_Ledger'!$A$62)</f>
        <v>PAL-0000062</v>
      </c>
      <c r="D566" t="s">
        <v>1258</v>
      </c>
    </row>
    <row r="567" spans="1:4">
      <c r="A567" t="s">
        <v>1257</v>
      </c>
      <c r="B567" t="str">
        <f>IF('01_Warehouse_Ledger'!$A$63="","",'01_Warehouse_Ledger'!$A$63&amp;IF('01_Warehouse_Ledger'!$B$63&lt;&gt;""," | "&amp;'01_Warehouse_Ledger'!$B$63,""))</f>
        <v>PAL-0000063</v>
      </c>
      <c r="C567" t="str">
        <f>IF('01_Warehouse_Ledger'!$A$63="","",'01_Warehouse_Ledger'!$A$63)</f>
        <v>PAL-0000063</v>
      </c>
      <c r="D567" t="s">
        <v>1258</v>
      </c>
    </row>
    <row r="568" spans="1:4">
      <c r="A568" t="s">
        <v>1257</v>
      </c>
      <c r="B568" t="str">
        <f>IF('01_Warehouse_Ledger'!$A$64="","",'01_Warehouse_Ledger'!$A$64&amp;IF('01_Warehouse_Ledger'!$B$64&lt;&gt;""," | "&amp;'01_Warehouse_Ledger'!$B$64,""))</f>
        <v>PAL-0000064</v>
      </c>
      <c r="C568" t="str">
        <f>IF('01_Warehouse_Ledger'!$A$64="","",'01_Warehouse_Ledger'!$A$64)</f>
        <v>PAL-0000064</v>
      </c>
      <c r="D568" t="s">
        <v>1258</v>
      </c>
    </row>
    <row r="569" spans="1:4">
      <c r="A569" t="s">
        <v>1257</v>
      </c>
      <c r="B569" t="str">
        <f>IF('01_Warehouse_Ledger'!$A$65="","",'01_Warehouse_Ledger'!$A$65&amp;IF('01_Warehouse_Ledger'!$B$65&lt;&gt;""," | "&amp;'01_Warehouse_Ledger'!$B$65,""))</f>
        <v>PAL-0000065</v>
      </c>
      <c r="C569" t="str">
        <f>IF('01_Warehouse_Ledger'!$A$65="","",'01_Warehouse_Ledger'!$A$65)</f>
        <v>PAL-0000065</v>
      </c>
      <c r="D569" t="s">
        <v>1258</v>
      </c>
    </row>
    <row r="570" spans="1:4">
      <c r="A570" t="s">
        <v>1257</v>
      </c>
      <c r="B570" t="str">
        <f>IF('01_Warehouse_Ledger'!$A$66="","",'01_Warehouse_Ledger'!$A$66&amp;IF('01_Warehouse_Ledger'!$B$66&lt;&gt;""," | "&amp;'01_Warehouse_Ledger'!$B$66,""))</f>
        <v>PAL-0000066</v>
      </c>
      <c r="C570" t="str">
        <f>IF('01_Warehouse_Ledger'!$A$66="","",'01_Warehouse_Ledger'!$A$66)</f>
        <v>PAL-0000066</v>
      </c>
      <c r="D570" t="s">
        <v>1258</v>
      </c>
    </row>
    <row r="571" spans="1:4">
      <c r="A571" t="s">
        <v>1257</v>
      </c>
      <c r="B571" t="str">
        <f>IF('01_Warehouse_Ledger'!$A$67="","",'01_Warehouse_Ledger'!$A$67&amp;IF('01_Warehouse_Ledger'!$B$67&lt;&gt;""," | "&amp;'01_Warehouse_Ledger'!$B$67,""))</f>
        <v>PAL-0000067</v>
      </c>
      <c r="C571" t="str">
        <f>IF('01_Warehouse_Ledger'!$A$67="","",'01_Warehouse_Ledger'!$A$67)</f>
        <v>PAL-0000067</v>
      </c>
      <c r="D571" t="s">
        <v>1258</v>
      </c>
    </row>
    <row r="572" spans="1:4">
      <c r="A572" t="s">
        <v>1257</v>
      </c>
      <c r="B572" t="str">
        <f>IF('01_Warehouse_Ledger'!$A$68="","",'01_Warehouse_Ledger'!$A$68&amp;IF('01_Warehouse_Ledger'!$B$68&lt;&gt;""," | "&amp;'01_Warehouse_Ledger'!$B$68,""))</f>
        <v>PAL-0000068</v>
      </c>
      <c r="C572" t="str">
        <f>IF('01_Warehouse_Ledger'!$A$68="","",'01_Warehouse_Ledger'!$A$68)</f>
        <v>PAL-0000068</v>
      </c>
      <c r="D572" t="s">
        <v>1258</v>
      </c>
    </row>
    <row r="573" spans="1:4">
      <c r="A573" t="s">
        <v>1257</v>
      </c>
      <c r="B573" t="str">
        <f>IF('01_Warehouse_Ledger'!$A$69="","",'01_Warehouse_Ledger'!$A$69&amp;IF('01_Warehouse_Ledger'!$B$69&lt;&gt;""," | "&amp;'01_Warehouse_Ledger'!$B$69,""))</f>
        <v>PAL-0000069</v>
      </c>
      <c r="C573" t="str">
        <f>IF('01_Warehouse_Ledger'!$A$69="","",'01_Warehouse_Ledger'!$A$69)</f>
        <v>PAL-0000069</v>
      </c>
      <c r="D573" t="s">
        <v>1258</v>
      </c>
    </row>
    <row r="574" spans="1:4">
      <c r="A574" t="s">
        <v>1257</v>
      </c>
      <c r="B574" t="str">
        <f>IF('01_Warehouse_Ledger'!$A$70="","",'01_Warehouse_Ledger'!$A$70&amp;IF('01_Warehouse_Ledger'!$B$70&lt;&gt;""," | "&amp;'01_Warehouse_Ledger'!$B$70,""))</f>
        <v>PAL-0000070</v>
      </c>
      <c r="C574" t="str">
        <f>IF('01_Warehouse_Ledger'!$A$70="","",'01_Warehouse_Ledger'!$A$70)</f>
        <v>PAL-0000070</v>
      </c>
      <c r="D574" t="s">
        <v>1258</v>
      </c>
    </row>
    <row r="575" spans="1:4">
      <c r="A575" t="s">
        <v>1257</v>
      </c>
      <c r="B575" t="str">
        <f>IF('01_Warehouse_Ledger'!$A$71="","",'01_Warehouse_Ledger'!$A$71&amp;IF('01_Warehouse_Ledger'!$B$71&lt;&gt;""," | "&amp;'01_Warehouse_Ledger'!$B$71,""))</f>
        <v>PAL-0000071</v>
      </c>
      <c r="C575" t="str">
        <f>IF('01_Warehouse_Ledger'!$A$71="","",'01_Warehouse_Ledger'!$A$71)</f>
        <v>PAL-0000071</v>
      </c>
      <c r="D575" t="s">
        <v>1258</v>
      </c>
    </row>
    <row r="576" spans="1:4">
      <c r="A576" t="s">
        <v>1257</v>
      </c>
      <c r="B576" t="str">
        <f>IF('01_Warehouse_Ledger'!$A$72="","",'01_Warehouse_Ledger'!$A$72&amp;IF('01_Warehouse_Ledger'!$B$72&lt;&gt;""," | "&amp;'01_Warehouse_Ledger'!$B$72,""))</f>
        <v>PAL-0000072</v>
      </c>
      <c r="C576" t="str">
        <f>IF('01_Warehouse_Ledger'!$A$72="","",'01_Warehouse_Ledger'!$A$72)</f>
        <v>PAL-0000072</v>
      </c>
      <c r="D576" t="s">
        <v>1258</v>
      </c>
    </row>
    <row r="577" spans="1:4">
      <c r="A577" t="s">
        <v>1257</v>
      </c>
      <c r="B577" t="str">
        <f>IF('01_Warehouse_Ledger'!$A$73="","",'01_Warehouse_Ledger'!$A$73&amp;IF('01_Warehouse_Ledger'!$B$73&lt;&gt;""," | "&amp;'01_Warehouse_Ledger'!$B$73,""))</f>
        <v>PAL-0000073</v>
      </c>
      <c r="C577" t="str">
        <f>IF('01_Warehouse_Ledger'!$A$73="","",'01_Warehouse_Ledger'!$A$73)</f>
        <v>PAL-0000073</v>
      </c>
      <c r="D577" t="s">
        <v>1258</v>
      </c>
    </row>
    <row r="578" spans="1:4">
      <c r="A578" t="s">
        <v>1257</v>
      </c>
      <c r="B578" t="str">
        <f>IF('01_Warehouse_Ledger'!$A$74="","",'01_Warehouse_Ledger'!$A$74&amp;IF('01_Warehouse_Ledger'!$B$74&lt;&gt;""," | "&amp;'01_Warehouse_Ledger'!$B$74,""))</f>
        <v>PAL-0000074</v>
      </c>
      <c r="C578" t="str">
        <f>IF('01_Warehouse_Ledger'!$A$74="","",'01_Warehouse_Ledger'!$A$74)</f>
        <v>PAL-0000074</v>
      </c>
      <c r="D578" t="s">
        <v>1258</v>
      </c>
    </row>
    <row r="579" spans="1:4">
      <c r="A579" t="s">
        <v>1257</v>
      </c>
      <c r="B579" t="str">
        <f>IF('01_Warehouse_Ledger'!$A$75="","",'01_Warehouse_Ledger'!$A$75&amp;IF('01_Warehouse_Ledger'!$B$75&lt;&gt;""," | "&amp;'01_Warehouse_Ledger'!$B$75,""))</f>
        <v>PAL-0000075</v>
      </c>
      <c r="C579" t="str">
        <f>IF('01_Warehouse_Ledger'!$A$75="","",'01_Warehouse_Ledger'!$A$75)</f>
        <v>PAL-0000075</v>
      </c>
      <c r="D579" t="s">
        <v>1258</v>
      </c>
    </row>
    <row r="580" spans="1:4">
      <c r="A580" t="s">
        <v>1257</v>
      </c>
      <c r="B580" t="str">
        <f>IF('01_Warehouse_Ledger'!$A$76="","",'01_Warehouse_Ledger'!$A$76&amp;IF('01_Warehouse_Ledger'!$B$76&lt;&gt;""," | "&amp;'01_Warehouse_Ledger'!$B$76,""))</f>
        <v>PAL-0000076</v>
      </c>
      <c r="C580" t="str">
        <f>IF('01_Warehouse_Ledger'!$A$76="","",'01_Warehouse_Ledger'!$A$76)</f>
        <v>PAL-0000076</v>
      </c>
      <c r="D580" t="s">
        <v>1258</v>
      </c>
    </row>
    <row r="581" spans="1:4">
      <c r="A581" t="s">
        <v>1257</v>
      </c>
      <c r="B581" t="str">
        <f>IF('01_Warehouse_Ledger'!$A$77="","",'01_Warehouse_Ledger'!$A$77&amp;IF('01_Warehouse_Ledger'!$B$77&lt;&gt;""," | "&amp;'01_Warehouse_Ledger'!$B$77,""))</f>
        <v>PAL-0000077</v>
      </c>
      <c r="C581" t="str">
        <f>IF('01_Warehouse_Ledger'!$A$77="","",'01_Warehouse_Ledger'!$A$77)</f>
        <v>PAL-0000077</v>
      </c>
      <c r="D581" t="s">
        <v>1258</v>
      </c>
    </row>
    <row r="582" spans="1:4">
      <c r="A582" t="s">
        <v>1257</v>
      </c>
      <c r="B582" t="str">
        <f>IF('01_Warehouse_Ledger'!$A$78="","",'01_Warehouse_Ledger'!$A$78&amp;IF('01_Warehouse_Ledger'!$B$78&lt;&gt;""," | "&amp;'01_Warehouse_Ledger'!$B$78,""))</f>
        <v>PAL-0000078</v>
      </c>
      <c r="C582" t="str">
        <f>IF('01_Warehouse_Ledger'!$A$78="","",'01_Warehouse_Ledger'!$A$78)</f>
        <v>PAL-0000078</v>
      </c>
      <c r="D582" t="s">
        <v>1258</v>
      </c>
    </row>
    <row r="583" spans="1:4">
      <c r="A583" t="s">
        <v>1257</v>
      </c>
      <c r="B583" t="str">
        <f>IF('01_Warehouse_Ledger'!$A$79="","",'01_Warehouse_Ledger'!$A$79&amp;IF('01_Warehouse_Ledger'!$B$79&lt;&gt;""," | "&amp;'01_Warehouse_Ledger'!$B$79,""))</f>
        <v>PAL-0000079</v>
      </c>
      <c r="C583" t="str">
        <f>IF('01_Warehouse_Ledger'!$A$79="","",'01_Warehouse_Ledger'!$A$79)</f>
        <v>PAL-0000079</v>
      </c>
      <c r="D583" t="s">
        <v>1258</v>
      </c>
    </row>
    <row r="584" spans="1:4">
      <c r="A584" t="s">
        <v>1257</v>
      </c>
      <c r="B584" t="str">
        <f>IF('01_Warehouse_Ledger'!$A$80="","",'01_Warehouse_Ledger'!$A$80&amp;IF('01_Warehouse_Ledger'!$B$80&lt;&gt;""," | "&amp;'01_Warehouse_Ledger'!$B$80,""))</f>
        <v>PAL-0000080</v>
      </c>
      <c r="C584" t="str">
        <f>IF('01_Warehouse_Ledger'!$A$80="","",'01_Warehouse_Ledger'!$A$80)</f>
        <v>PAL-0000080</v>
      </c>
      <c r="D584" t="s">
        <v>1258</v>
      </c>
    </row>
    <row r="585" spans="1:4">
      <c r="A585" t="s">
        <v>1257</v>
      </c>
      <c r="B585" t="str">
        <f>IF('01_Warehouse_Ledger'!$A$81="","",'01_Warehouse_Ledger'!$A$81&amp;IF('01_Warehouse_Ledger'!$B$81&lt;&gt;""," | "&amp;'01_Warehouse_Ledger'!$B$81,""))</f>
        <v>PAL-0000081</v>
      </c>
      <c r="C585" t="str">
        <f>IF('01_Warehouse_Ledger'!$A$81="","",'01_Warehouse_Ledger'!$A$81)</f>
        <v>PAL-0000081</v>
      </c>
      <c r="D585" t="s">
        <v>1258</v>
      </c>
    </row>
    <row r="586" spans="1:4">
      <c r="A586" t="s">
        <v>1257</v>
      </c>
      <c r="B586" t="str">
        <f>IF('01_Warehouse_Ledger'!$A$82="","",'01_Warehouse_Ledger'!$A$82&amp;IF('01_Warehouse_Ledger'!$B$82&lt;&gt;""," | "&amp;'01_Warehouse_Ledger'!$B$82,""))</f>
        <v>PAL-0000082</v>
      </c>
      <c r="C586" t="str">
        <f>IF('01_Warehouse_Ledger'!$A$82="","",'01_Warehouse_Ledger'!$A$82)</f>
        <v>PAL-0000082</v>
      </c>
      <c r="D586" t="s">
        <v>1258</v>
      </c>
    </row>
    <row r="587" spans="1:4">
      <c r="A587" t="s">
        <v>1257</v>
      </c>
      <c r="B587" t="str">
        <f>IF('01_Warehouse_Ledger'!$A$83="","",'01_Warehouse_Ledger'!$A$83&amp;IF('01_Warehouse_Ledger'!$B$83&lt;&gt;""," | "&amp;'01_Warehouse_Ledger'!$B$83,""))</f>
        <v>PAL-0000083</v>
      </c>
      <c r="C587" t="str">
        <f>IF('01_Warehouse_Ledger'!$A$83="","",'01_Warehouse_Ledger'!$A$83)</f>
        <v>PAL-0000083</v>
      </c>
      <c r="D587" t="s">
        <v>1258</v>
      </c>
    </row>
    <row r="588" spans="1:4">
      <c r="A588" t="s">
        <v>1257</v>
      </c>
      <c r="B588" t="str">
        <f>IF('01_Warehouse_Ledger'!$A$84="","",'01_Warehouse_Ledger'!$A$84&amp;IF('01_Warehouse_Ledger'!$B$84&lt;&gt;""," | "&amp;'01_Warehouse_Ledger'!$B$84,""))</f>
        <v>PAL-0000084</v>
      </c>
      <c r="C588" t="str">
        <f>IF('01_Warehouse_Ledger'!$A$84="","",'01_Warehouse_Ledger'!$A$84)</f>
        <v>PAL-0000084</v>
      </c>
      <c r="D588" t="s">
        <v>1258</v>
      </c>
    </row>
    <row r="589" spans="1:4">
      <c r="A589" t="s">
        <v>1257</v>
      </c>
      <c r="B589" t="str">
        <f>IF('01_Warehouse_Ledger'!$A$85="","",'01_Warehouse_Ledger'!$A$85&amp;IF('01_Warehouse_Ledger'!$B$85&lt;&gt;""," | "&amp;'01_Warehouse_Ledger'!$B$85,""))</f>
        <v>PAL-0000085</v>
      </c>
      <c r="C589" t="str">
        <f>IF('01_Warehouse_Ledger'!$A$85="","",'01_Warehouse_Ledger'!$A$85)</f>
        <v>PAL-0000085</v>
      </c>
      <c r="D589" t="s">
        <v>1258</v>
      </c>
    </row>
    <row r="590" spans="1:4">
      <c r="A590" t="s">
        <v>1257</v>
      </c>
      <c r="B590" t="str">
        <f>IF('01_Warehouse_Ledger'!$A$86="","",'01_Warehouse_Ledger'!$A$86&amp;IF('01_Warehouse_Ledger'!$B$86&lt;&gt;""," | "&amp;'01_Warehouse_Ledger'!$B$86,""))</f>
        <v>PAL-0000086</v>
      </c>
      <c r="C590" t="str">
        <f>IF('01_Warehouse_Ledger'!$A$86="","",'01_Warehouse_Ledger'!$A$86)</f>
        <v>PAL-0000086</v>
      </c>
      <c r="D590" t="s">
        <v>1258</v>
      </c>
    </row>
    <row r="591" spans="1:4">
      <c r="A591" t="s">
        <v>1257</v>
      </c>
      <c r="B591" t="str">
        <f>IF('01_Warehouse_Ledger'!$A$87="","",'01_Warehouse_Ledger'!$A$87&amp;IF('01_Warehouse_Ledger'!$B$87&lt;&gt;""," | "&amp;'01_Warehouse_Ledger'!$B$87,""))</f>
        <v>PAL-0000087</v>
      </c>
      <c r="C591" t="str">
        <f>IF('01_Warehouse_Ledger'!$A$87="","",'01_Warehouse_Ledger'!$A$87)</f>
        <v>PAL-0000087</v>
      </c>
      <c r="D591" t="s">
        <v>1258</v>
      </c>
    </row>
    <row r="592" spans="1:4">
      <c r="A592" t="s">
        <v>1257</v>
      </c>
      <c r="B592" t="str">
        <f>IF('01_Warehouse_Ledger'!$A$88="","",'01_Warehouse_Ledger'!$A$88&amp;IF('01_Warehouse_Ledger'!$B$88&lt;&gt;""," | "&amp;'01_Warehouse_Ledger'!$B$88,""))</f>
        <v>PAL-0000088</v>
      </c>
      <c r="C592" t="str">
        <f>IF('01_Warehouse_Ledger'!$A$88="","",'01_Warehouse_Ledger'!$A$88)</f>
        <v>PAL-0000088</v>
      </c>
      <c r="D592" t="s">
        <v>1258</v>
      </c>
    </row>
    <row r="593" spans="1:4">
      <c r="A593" t="s">
        <v>1257</v>
      </c>
      <c r="B593" t="str">
        <f>IF('01_Warehouse_Ledger'!$A$89="","",'01_Warehouse_Ledger'!$A$89&amp;IF('01_Warehouse_Ledger'!$B$89&lt;&gt;""," | "&amp;'01_Warehouse_Ledger'!$B$89,""))</f>
        <v>PAL-0000089</v>
      </c>
      <c r="C593" t="str">
        <f>IF('01_Warehouse_Ledger'!$A$89="","",'01_Warehouse_Ledger'!$A$89)</f>
        <v>PAL-0000089</v>
      </c>
      <c r="D593" t="s">
        <v>1258</v>
      </c>
    </row>
    <row r="594" spans="1:4">
      <c r="A594" t="s">
        <v>1257</v>
      </c>
      <c r="B594" t="str">
        <f>IF('01_Warehouse_Ledger'!$A$90="","",'01_Warehouse_Ledger'!$A$90&amp;IF('01_Warehouse_Ledger'!$B$90&lt;&gt;""," | "&amp;'01_Warehouse_Ledger'!$B$90,""))</f>
        <v>PAL-0000090</v>
      </c>
      <c r="C594" t="str">
        <f>IF('01_Warehouse_Ledger'!$A$90="","",'01_Warehouse_Ledger'!$A$90)</f>
        <v>PAL-0000090</v>
      </c>
      <c r="D594" t="s">
        <v>1258</v>
      </c>
    </row>
    <row r="595" spans="1:4">
      <c r="A595" t="s">
        <v>1257</v>
      </c>
      <c r="B595" t="str">
        <f>IF('01_Warehouse_Ledger'!$A$91="","",'01_Warehouse_Ledger'!$A$91&amp;IF('01_Warehouse_Ledger'!$B$91&lt;&gt;""," | "&amp;'01_Warehouse_Ledger'!$B$91,""))</f>
        <v>PAL-0000091</v>
      </c>
      <c r="C595" t="str">
        <f>IF('01_Warehouse_Ledger'!$A$91="","",'01_Warehouse_Ledger'!$A$91)</f>
        <v>PAL-0000091</v>
      </c>
      <c r="D595" t="s">
        <v>1258</v>
      </c>
    </row>
    <row r="596" spans="1:4">
      <c r="A596" t="s">
        <v>1257</v>
      </c>
      <c r="B596" t="str">
        <f>IF('01_Warehouse_Ledger'!$A$92="","",'01_Warehouse_Ledger'!$A$92&amp;IF('01_Warehouse_Ledger'!$B$92&lt;&gt;""," | "&amp;'01_Warehouse_Ledger'!$B$92,""))</f>
        <v>PAL-0000092</v>
      </c>
      <c r="C596" t="str">
        <f>IF('01_Warehouse_Ledger'!$A$92="","",'01_Warehouse_Ledger'!$A$92)</f>
        <v>PAL-0000092</v>
      </c>
      <c r="D596" t="s">
        <v>1258</v>
      </c>
    </row>
    <row r="597" spans="1:4">
      <c r="A597" t="s">
        <v>1257</v>
      </c>
      <c r="B597" t="str">
        <f>IF('01_Warehouse_Ledger'!$A$93="","",'01_Warehouse_Ledger'!$A$93&amp;IF('01_Warehouse_Ledger'!$B$93&lt;&gt;""," | "&amp;'01_Warehouse_Ledger'!$B$93,""))</f>
        <v>PAL-0000093</v>
      </c>
      <c r="C597" t="str">
        <f>IF('01_Warehouse_Ledger'!$A$93="","",'01_Warehouse_Ledger'!$A$93)</f>
        <v>PAL-0000093</v>
      </c>
      <c r="D597" t="s">
        <v>1258</v>
      </c>
    </row>
    <row r="598" spans="1:4">
      <c r="A598" t="s">
        <v>1257</v>
      </c>
      <c r="B598" t="str">
        <f>IF('01_Warehouse_Ledger'!$A$94="","",'01_Warehouse_Ledger'!$A$94&amp;IF('01_Warehouse_Ledger'!$B$94&lt;&gt;""," | "&amp;'01_Warehouse_Ledger'!$B$94,""))</f>
        <v>PAL-0000094</v>
      </c>
      <c r="C598" t="str">
        <f>IF('01_Warehouse_Ledger'!$A$94="","",'01_Warehouse_Ledger'!$A$94)</f>
        <v>PAL-0000094</v>
      </c>
      <c r="D598" t="s">
        <v>1258</v>
      </c>
    </row>
    <row r="599" spans="1:4">
      <c r="A599" t="s">
        <v>1257</v>
      </c>
      <c r="B599" t="str">
        <f>IF('01_Warehouse_Ledger'!$A$95="","",'01_Warehouse_Ledger'!$A$95&amp;IF('01_Warehouse_Ledger'!$B$95&lt;&gt;""," | "&amp;'01_Warehouse_Ledger'!$B$95,""))</f>
        <v>PAL-0000095</v>
      </c>
      <c r="C599" t="str">
        <f>IF('01_Warehouse_Ledger'!$A$95="","",'01_Warehouse_Ledger'!$A$95)</f>
        <v>PAL-0000095</v>
      </c>
      <c r="D599" t="s">
        <v>1258</v>
      </c>
    </row>
    <row r="600" spans="1:4">
      <c r="A600" t="s">
        <v>1257</v>
      </c>
      <c r="B600" t="str">
        <f>IF('01_Warehouse_Ledger'!$A$96="","",'01_Warehouse_Ledger'!$A$96&amp;IF('01_Warehouse_Ledger'!$B$96&lt;&gt;""," | "&amp;'01_Warehouse_Ledger'!$B$96,""))</f>
        <v>PAL-0000096</v>
      </c>
      <c r="C600" t="str">
        <f>IF('01_Warehouse_Ledger'!$A$96="","",'01_Warehouse_Ledger'!$A$96)</f>
        <v>PAL-0000096</v>
      </c>
      <c r="D600" t="s">
        <v>1258</v>
      </c>
    </row>
    <row r="601" spans="1:4">
      <c r="A601" t="s">
        <v>1257</v>
      </c>
      <c r="B601" t="str">
        <f>IF('01_Warehouse_Ledger'!$A$97="","",'01_Warehouse_Ledger'!$A$97&amp;IF('01_Warehouse_Ledger'!$B$97&lt;&gt;""," | "&amp;'01_Warehouse_Ledger'!$B$97,""))</f>
        <v>PAL-0000097</v>
      </c>
      <c r="C601" t="str">
        <f>IF('01_Warehouse_Ledger'!$A$97="","",'01_Warehouse_Ledger'!$A$97)</f>
        <v>PAL-0000097</v>
      </c>
      <c r="D601" t="s">
        <v>1258</v>
      </c>
    </row>
    <row r="602" spans="1:4">
      <c r="A602" t="s">
        <v>1257</v>
      </c>
      <c r="B602" t="str">
        <f>IF('01_Warehouse_Ledger'!$A$98="","",'01_Warehouse_Ledger'!$A$98&amp;IF('01_Warehouse_Ledger'!$B$98&lt;&gt;""," | "&amp;'01_Warehouse_Ledger'!$B$98,""))</f>
        <v>PAL-0000098</v>
      </c>
      <c r="C602" t="str">
        <f>IF('01_Warehouse_Ledger'!$A$98="","",'01_Warehouse_Ledger'!$A$98)</f>
        <v>PAL-0000098</v>
      </c>
      <c r="D602" t="s">
        <v>1258</v>
      </c>
    </row>
    <row r="603" spans="1:4">
      <c r="A603" t="s">
        <v>1257</v>
      </c>
      <c r="B603" t="str">
        <f>IF('01_Warehouse_Ledger'!$A$99="","",'01_Warehouse_Ledger'!$A$99&amp;IF('01_Warehouse_Ledger'!$B$99&lt;&gt;""," | "&amp;'01_Warehouse_Ledger'!$B$99,""))</f>
        <v>PAL-0000099</v>
      </c>
      <c r="C603" t="str">
        <f>IF('01_Warehouse_Ledger'!$A$99="","",'01_Warehouse_Ledger'!$A$99)</f>
        <v>PAL-0000099</v>
      </c>
      <c r="D603" t="s">
        <v>1258</v>
      </c>
    </row>
    <row r="604" spans="1:4">
      <c r="A604" t="s">
        <v>1257</v>
      </c>
      <c r="B604" t="str">
        <f>IF('01_Warehouse_Ledger'!$A$100="","",'01_Warehouse_Ledger'!$A$100&amp;IF('01_Warehouse_Ledger'!$B$100&lt;&gt;""," | "&amp;'01_Warehouse_Ledger'!$B$100,""))</f>
        <v>PAL-0000100</v>
      </c>
      <c r="C604" t="str">
        <f>IF('01_Warehouse_Ledger'!$A$100="","",'01_Warehouse_Ledger'!$A$100)</f>
        <v>PAL-0000100</v>
      </c>
      <c r="D604" t="s">
        <v>1258</v>
      </c>
    </row>
    <row r="605" spans="1:4">
      <c r="A605" t="s">
        <v>1257</v>
      </c>
      <c r="B605" t="str">
        <f>IF('01_Warehouse_Ledger'!$A$101="","",'01_Warehouse_Ledger'!$A$101&amp;IF('01_Warehouse_Ledger'!$B$101&lt;&gt;""," | "&amp;'01_Warehouse_Ledger'!$B$101,""))</f>
        <v>PAL-0000101</v>
      </c>
      <c r="C605" t="str">
        <f>IF('01_Warehouse_Ledger'!$A$101="","",'01_Warehouse_Ledger'!$A$101)</f>
        <v>PAL-0000101</v>
      </c>
      <c r="D605" t="s">
        <v>1258</v>
      </c>
    </row>
    <row r="606" spans="1:4">
      <c r="A606" t="s">
        <v>1257</v>
      </c>
      <c r="B606" t="str">
        <f>IF('01_Warehouse_Ledger'!$A$102="","",'01_Warehouse_Ledger'!$A$102&amp;IF('01_Warehouse_Ledger'!$B$102&lt;&gt;""," | "&amp;'01_Warehouse_Ledger'!$B$102,""))</f>
        <v>PAL-0000102</v>
      </c>
      <c r="C606" t="str">
        <f>IF('01_Warehouse_Ledger'!$A$102="","",'01_Warehouse_Ledger'!$A$102)</f>
        <v>PAL-0000102</v>
      </c>
      <c r="D606" t="s">
        <v>1258</v>
      </c>
    </row>
    <row r="607" spans="1:4">
      <c r="A607" t="s">
        <v>1257</v>
      </c>
      <c r="B607" t="str">
        <f>IF('01_Warehouse_Ledger'!$A$103="","",'01_Warehouse_Ledger'!$A$103&amp;IF('01_Warehouse_Ledger'!$B$103&lt;&gt;""," | "&amp;'01_Warehouse_Ledger'!$B$103,""))</f>
        <v>PAL-0000103</v>
      </c>
      <c r="C607" t="str">
        <f>IF('01_Warehouse_Ledger'!$A$103="","",'01_Warehouse_Ledger'!$A$103)</f>
        <v>PAL-0000103</v>
      </c>
      <c r="D607" t="s">
        <v>1258</v>
      </c>
    </row>
    <row r="608" spans="1:4">
      <c r="A608" t="s">
        <v>1257</v>
      </c>
      <c r="B608" t="str">
        <f>IF('01_Warehouse_Ledger'!$A$104="","",'01_Warehouse_Ledger'!$A$104&amp;IF('01_Warehouse_Ledger'!$B$104&lt;&gt;""," | "&amp;'01_Warehouse_Ledger'!$B$104,""))</f>
        <v>PAL-0000104</v>
      </c>
      <c r="C608" t="str">
        <f>IF('01_Warehouse_Ledger'!$A$104="","",'01_Warehouse_Ledger'!$A$104)</f>
        <v>PAL-0000104</v>
      </c>
      <c r="D608" t="s">
        <v>1258</v>
      </c>
    </row>
    <row r="609" spans="1:4">
      <c r="A609" t="s">
        <v>1257</v>
      </c>
      <c r="B609" t="str">
        <f>IF('01_Warehouse_Ledger'!$A$105="","",'01_Warehouse_Ledger'!$A$105&amp;IF('01_Warehouse_Ledger'!$B$105&lt;&gt;""," | "&amp;'01_Warehouse_Ledger'!$B$105,""))</f>
        <v>PAL-0000105</v>
      </c>
      <c r="C609" t="str">
        <f>IF('01_Warehouse_Ledger'!$A$105="","",'01_Warehouse_Ledger'!$A$105)</f>
        <v>PAL-0000105</v>
      </c>
      <c r="D609" t="s">
        <v>1258</v>
      </c>
    </row>
    <row r="610" spans="1:4">
      <c r="A610" t="s">
        <v>1257</v>
      </c>
      <c r="B610" t="str">
        <f>IF('01_Warehouse_Ledger'!$A$106="","",'01_Warehouse_Ledger'!$A$106&amp;IF('01_Warehouse_Ledger'!$B$106&lt;&gt;""," | "&amp;'01_Warehouse_Ledger'!$B$106,""))</f>
        <v>PAL-0000106</v>
      </c>
      <c r="C610" t="str">
        <f>IF('01_Warehouse_Ledger'!$A$106="","",'01_Warehouse_Ledger'!$A$106)</f>
        <v>PAL-0000106</v>
      </c>
      <c r="D610" t="s">
        <v>1258</v>
      </c>
    </row>
    <row r="611" spans="1:4">
      <c r="A611" t="s">
        <v>1257</v>
      </c>
      <c r="B611" t="str">
        <f>IF('01_Warehouse_Ledger'!$A$107="","",'01_Warehouse_Ledger'!$A$107&amp;IF('01_Warehouse_Ledger'!$B$107&lt;&gt;""," | "&amp;'01_Warehouse_Ledger'!$B$107,""))</f>
        <v>PAL-0000107</v>
      </c>
      <c r="C611" t="str">
        <f>IF('01_Warehouse_Ledger'!$A$107="","",'01_Warehouse_Ledger'!$A$107)</f>
        <v>PAL-0000107</v>
      </c>
      <c r="D611" t="s">
        <v>1258</v>
      </c>
    </row>
    <row r="612" spans="1:4">
      <c r="A612" t="s">
        <v>1257</v>
      </c>
      <c r="B612" t="str">
        <f>IF('01_Warehouse_Ledger'!$A$108="","",'01_Warehouse_Ledger'!$A$108&amp;IF('01_Warehouse_Ledger'!$B$108&lt;&gt;""," | "&amp;'01_Warehouse_Ledger'!$B$108,""))</f>
        <v>PAL-0000108</v>
      </c>
      <c r="C612" t="str">
        <f>IF('01_Warehouse_Ledger'!$A$108="","",'01_Warehouse_Ledger'!$A$108)</f>
        <v>PAL-0000108</v>
      </c>
      <c r="D612" t="s">
        <v>1258</v>
      </c>
    </row>
    <row r="613" spans="1:4">
      <c r="A613" t="s">
        <v>1257</v>
      </c>
      <c r="B613" t="str">
        <f>IF('01_Warehouse_Ledger'!$A$109="","",'01_Warehouse_Ledger'!$A$109&amp;IF('01_Warehouse_Ledger'!$B$109&lt;&gt;""," | "&amp;'01_Warehouse_Ledger'!$B$109,""))</f>
        <v>PAL-0000109</v>
      </c>
      <c r="C613" t="str">
        <f>IF('01_Warehouse_Ledger'!$A$109="","",'01_Warehouse_Ledger'!$A$109)</f>
        <v>PAL-0000109</v>
      </c>
      <c r="D613" t="s">
        <v>1258</v>
      </c>
    </row>
    <row r="614" spans="1:4">
      <c r="A614" t="s">
        <v>1257</v>
      </c>
      <c r="B614" t="str">
        <f>IF('01_Warehouse_Ledger'!$A$110="","",'01_Warehouse_Ledger'!$A$110&amp;IF('01_Warehouse_Ledger'!$B$110&lt;&gt;""," | "&amp;'01_Warehouse_Ledger'!$B$110,""))</f>
        <v>PAL-0000110</v>
      </c>
      <c r="C614" t="str">
        <f>IF('01_Warehouse_Ledger'!$A$110="","",'01_Warehouse_Ledger'!$A$110)</f>
        <v>PAL-0000110</v>
      </c>
      <c r="D614" t="s">
        <v>1258</v>
      </c>
    </row>
    <row r="615" spans="1:4">
      <c r="A615" t="s">
        <v>1257</v>
      </c>
      <c r="B615" t="str">
        <f>IF('01_Warehouse_Ledger'!$A$111="","",'01_Warehouse_Ledger'!$A$111&amp;IF('01_Warehouse_Ledger'!$B$111&lt;&gt;""," | "&amp;'01_Warehouse_Ledger'!$B$111,""))</f>
        <v>PAL-0000111</v>
      </c>
      <c r="C615" t="str">
        <f>IF('01_Warehouse_Ledger'!$A$111="","",'01_Warehouse_Ledger'!$A$111)</f>
        <v>PAL-0000111</v>
      </c>
      <c r="D615" t="s">
        <v>1258</v>
      </c>
    </row>
    <row r="616" spans="1:4">
      <c r="A616" t="s">
        <v>1257</v>
      </c>
      <c r="B616" t="str">
        <f>IF('01_Warehouse_Ledger'!$A$112="","",'01_Warehouse_Ledger'!$A$112&amp;IF('01_Warehouse_Ledger'!$B$112&lt;&gt;""," | "&amp;'01_Warehouse_Ledger'!$B$112,""))</f>
        <v>PAL-0000112</v>
      </c>
      <c r="C616" t="str">
        <f>IF('01_Warehouse_Ledger'!$A$112="","",'01_Warehouse_Ledger'!$A$112)</f>
        <v>PAL-0000112</v>
      </c>
      <c r="D616" t="s">
        <v>1258</v>
      </c>
    </row>
    <row r="617" spans="1:4">
      <c r="A617" t="s">
        <v>1257</v>
      </c>
      <c r="B617" t="str">
        <f>IF('01_Warehouse_Ledger'!$A$113="","",'01_Warehouse_Ledger'!$A$113&amp;IF('01_Warehouse_Ledger'!$B$113&lt;&gt;""," | "&amp;'01_Warehouse_Ledger'!$B$113,""))</f>
        <v>PAL-0000113</v>
      </c>
      <c r="C617" t="str">
        <f>IF('01_Warehouse_Ledger'!$A$113="","",'01_Warehouse_Ledger'!$A$113)</f>
        <v>PAL-0000113</v>
      </c>
      <c r="D617" t="s">
        <v>1258</v>
      </c>
    </row>
    <row r="618" spans="1:4">
      <c r="A618" t="s">
        <v>1257</v>
      </c>
      <c r="B618" t="str">
        <f>IF('01_Warehouse_Ledger'!$A$114="","",'01_Warehouse_Ledger'!$A$114&amp;IF('01_Warehouse_Ledger'!$B$114&lt;&gt;""," | "&amp;'01_Warehouse_Ledger'!$B$114,""))</f>
        <v>PAL-0000114</v>
      </c>
      <c r="C618" t="str">
        <f>IF('01_Warehouse_Ledger'!$A$114="","",'01_Warehouse_Ledger'!$A$114)</f>
        <v>PAL-0000114</v>
      </c>
      <c r="D618" t="s">
        <v>1258</v>
      </c>
    </row>
    <row r="619" spans="1:4">
      <c r="A619" t="s">
        <v>1257</v>
      </c>
      <c r="B619" t="str">
        <f>IF('01_Warehouse_Ledger'!$A$115="","",'01_Warehouse_Ledger'!$A$115&amp;IF('01_Warehouse_Ledger'!$B$115&lt;&gt;""," | "&amp;'01_Warehouse_Ledger'!$B$115,""))</f>
        <v>PAL-0000115</v>
      </c>
      <c r="C619" t="str">
        <f>IF('01_Warehouse_Ledger'!$A$115="","",'01_Warehouse_Ledger'!$A$115)</f>
        <v>PAL-0000115</v>
      </c>
      <c r="D619" t="s">
        <v>1258</v>
      </c>
    </row>
    <row r="620" spans="1:4">
      <c r="A620" t="s">
        <v>1257</v>
      </c>
      <c r="B620" t="str">
        <f>IF('01_Warehouse_Ledger'!$A$116="","",'01_Warehouse_Ledger'!$A$116&amp;IF('01_Warehouse_Ledger'!$B$116&lt;&gt;""," | "&amp;'01_Warehouse_Ledger'!$B$116,""))</f>
        <v>PAL-0000116</v>
      </c>
      <c r="C620" t="str">
        <f>IF('01_Warehouse_Ledger'!$A$116="","",'01_Warehouse_Ledger'!$A$116)</f>
        <v>PAL-0000116</v>
      </c>
      <c r="D620" t="s">
        <v>1258</v>
      </c>
    </row>
    <row r="621" spans="1:4">
      <c r="A621" t="s">
        <v>1257</v>
      </c>
      <c r="B621" t="str">
        <f>IF('01_Warehouse_Ledger'!$A$117="","",'01_Warehouse_Ledger'!$A$117&amp;IF('01_Warehouse_Ledger'!$B$117&lt;&gt;""," | "&amp;'01_Warehouse_Ledger'!$B$117,""))</f>
        <v>PAL-0000117</v>
      </c>
      <c r="C621" t="str">
        <f>IF('01_Warehouse_Ledger'!$A$117="","",'01_Warehouse_Ledger'!$A$117)</f>
        <v>PAL-0000117</v>
      </c>
      <c r="D621" t="s">
        <v>1258</v>
      </c>
    </row>
    <row r="622" spans="1:4">
      <c r="A622" t="s">
        <v>1257</v>
      </c>
      <c r="B622" t="str">
        <f>IF('01_Warehouse_Ledger'!$A$118="","",'01_Warehouse_Ledger'!$A$118&amp;IF('01_Warehouse_Ledger'!$B$118&lt;&gt;""," | "&amp;'01_Warehouse_Ledger'!$B$118,""))</f>
        <v>PAL-0000118</v>
      </c>
      <c r="C622" t="str">
        <f>IF('01_Warehouse_Ledger'!$A$118="","",'01_Warehouse_Ledger'!$A$118)</f>
        <v>PAL-0000118</v>
      </c>
      <c r="D622" t="s">
        <v>1258</v>
      </c>
    </row>
    <row r="623" spans="1:4">
      <c r="A623" t="s">
        <v>1257</v>
      </c>
      <c r="B623" t="str">
        <f>IF('01_Warehouse_Ledger'!$A$119="","",'01_Warehouse_Ledger'!$A$119&amp;IF('01_Warehouse_Ledger'!$B$119&lt;&gt;""," | "&amp;'01_Warehouse_Ledger'!$B$119,""))</f>
        <v>PAL-0000119</v>
      </c>
      <c r="C623" t="str">
        <f>IF('01_Warehouse_Ledger'!$A$119="","",'01_Warehouse_Ledger'!$A$119)</f>
        <v>PAL-0000119</v>
      </c>
      <c r="D623" t="s">
        <v>1258</v>
      </c>
    </row>
    <row r="624" spans="1:4">
      <c r="A624" t="s">
        <v>1257</v>
      </c>
      <c r="B624" t="str">
        <f>IF('01_Warehouse_Ledger'!$A$120="","",'01_Warehouse_Ledger'!$A$120&amp;IF('01_Warehouse_Ledger'!$B$120&lt;&gt;""," | "&amp;'01_Warehouse_Ledger'!$B$120,""))</f>
        <v>PAL-0000120</v>
      </c>
      <c r="C624" t="str">
        <f>IF('01_Warehouse_Ledger'!$A$120="","",'01_Warehouse_Ledger'!$A$120)</f>
        <v>PAL-0000120</v>
      </c>
      <c r="D624" t="s">
        <v>1258</v>
      </c>
    </row>
    <row r="625" spans="1:4">
      <c r="A625" t="s">
        <v>1257</v>
      </c>
      <c r="B625" t="str">
        <f>IF('01_Warehouse_Ledger'!$A$121="","",'01_Warehouse_Ledger'!$A$121&amp;IF('01_Warehouse_Ledger'!$B$121&lt;&gt;""," | "&amp;'01_Warehouse_Ledger'!$B$121,""))</f>
        <v>PAL-0000121</v>
      </c>
      <c r="C625" t="str">
        <f>IF('01_Warehouse_Ledger'!$A$121="","",'01_Warehouse_Ledger'!$A$121)</f>
        <v>PAL-0000121</v>
      </c>
      <c r="D625" t="s">
        <v>1258</v>
      </c>
    </row>
    <row r="626" spans="1:4">
      <c r="A626" t="s">
        <v>1257</v>
      </c>
      <c r="B626" t="str">
        <f>IF('01_Warehouse_Ledger'!$A$122="","",'01_Warehouse_Ledger'!$A$122&amp;IF('01_Warehouse_Ledger'!$B$122&lt;&gt;""," | "&amp;'01_Warehouse_Ledger'!$B$122,""))</f>
        <v>PAL-0000122</v>
      </c>
      <c r="C626" t="str">
        <f>IF('01_Warehouse_Ledger'!$A$122="","",'01_Warehouse_Ledger'!$A$122)</f>
        <v>PAL-0000122</v>
      </c>
      <c r="D626" t="s">
        <v>1258</v>
      </c>
    </row>
    <row r="627" spans="1:4">
      <c r="A627" t="s">
        <v>1257</v>
      </c>
      <c r="B627" t="str">
        <f>IF('01_Warehouse_Ledger'!$A$123="","",'01_Warehouse_Ledger'!$A$123&amp;IF('01_Warehouse_Ledger'!$B$123&lt;&gt;""," | "&amp;'01_Warehouse_Ledger'!$B$123,""))</f>
        <v>PAL-0000123</v>
      </c>
      <c r="C627" t="str">
        <f>IF('01_Warehouse_Ledger'!$A$123="","",'01_Warehouse_Ledger'!$A$123)</f>
        <v>PAL-0000123</v>
      </c>
      <c r="D627" t="s">
        <v>1258</v>
      </c>
    </row>
    <row r="628" spans="1:4">
      <c r="A628" t="s">
        <v>1257</v>
      </c>
      <c r="B628" t="str">
        <f>IF('01_Warehouse_Ledger'!$A$124="","",'01_Warehouse_Ledger'!$A$124&amp;IF('01_Warehouse_Ledger'!$B$124&lt;&gt;""," | "&amp;'01_Warehouse_Ledger'!$B$124,""))</f>
        <v>PAL-0000124</v>
      </c>
      <c r="C628" t="str">
        <f>IF('01_Warehouse_Ledger'!$A$124="","",'01_Warehouse_Ledger'!$A$124)</f>
        <v>PAL-0000124</v>
      </c>
      <c r="D628" t="s">
        <v>1258</v>
      </c>
    </row>
    <row r="629" spans="1:4">
      <c r="A629" t="s">
        <v>1257</v>
      </c>
      <c r="B629" t="str">
        <f>IF('01_Warehouse_Ledger'!$A$125="","",'01_Warehouse_Ledger'!$A$125&amp;IF('01_Warehouse_Ledger'!$B$125&lt;&gt;""," | "&amp;'01_Warehouse_Ledger'!$B$125,""))</f>
        <v>PAL-0000125</v>
      </c>
      <c r="C629" t="str">
        <f>IF('01_Warehouse_Ledger'!$A$125="","",'01_Warehouse_Ledger'!$A$125)</f>
        <v>PAL-0000125</v>
      </c>
      <c r="D629" t="s">
        <v>1258</v>
      </c>
    </row>
    <row r="630" spans="1:4">
      <c r="A630" t="s">
        <v>1257</v>
      </c>
      <c r="B630" t="str">
        <f>IF('01_Warehouse_Ledger'!$A$126="","",'01_Warehouse_Ledger'!$A$126&amp;IF('01_Warehouse_Ledger'!$B$126&lt;&gt;""," | "&amp;'01_Warehouse_Ledger'!$B$126,""))</f>
        <v>PAL-0000126</v>
      </c>
      <c r="C630" t="str">
        <f>IF('01_Warehouse_Ledger'!$A$126="","",'01_Warehouse_Ledger'!$A$126)</f>
        <v>PAL-0000126</v>
      </c>
      <c r="D630" t="s">
        <v>1258</v>
      </c>
    </row>
    <row r="631" spans="1:4">
      <c r="A631" t="s">
        <v>1257</v>
      </c>
      <c r="B631" t="str">
        <f>IF('01_Warehouse_Ledger'!$A$127="","",'01_Warehouse_Ledger'!$A$127&amp;IF('01_Warehouse_Ledger'!$B$127&lt;&gt;""," | "&amp;'01_Warehouse_Ledger'!$B$127,""))</f>
        <v>PAL-0000127</v>
      </c>
      <c r="C631" t="str">
        <f>IF('01_Warehouse_Ledger'!$A$127="","",'01_Warehouse_Ledger'!$A$127)</f>
        <v>PAL-0000127</v>
      </c>
      <c r="D631" t="s">
        <v>1258</v>
      </c>
    </row>
    <row r="632" spans="1:4">
      <c r="A632" t="s">
        <v>1257</v>
      </c>
      <c r="B632" t="str">
        <f>IF('01_Warehouse_Ledger'!$A$128="","",'01_Warehouse_Ledger'!$A$128&amp;IF('01_Warehouse_Ledger'!$B$128&lt;&gt;""," | "&amp;'01_Warehouse_Ledger'!$B$128,""))</f>
        <v>PAL-0000128</v>
      </c>
      <c r="C632" t="str">
        <f>IF('01_Warehouse_Ledger'!$A$128="","",'01_Warehouse_Ledger'!$A$128)</f>
        <v>PAL-0000128</v>
      </c>
      <c r="D632" t="s">
        <v>1258</v>
      </c>
    </row>
    <row r="633" spans="1:4">
      <c r="A633" t="s">
        <v>1257</v>
      </c>
      <c r="B633" t="str">
        <f>IF('01_Warehouse_Ledger'!$A$129="","",'01_Warehouse_Ledger'!$A$129&amp;IF('01_Warehouse_Ledger'!$B$129&lt;&gt;""," | "&amp;'01_Warehouse_Ledger'!$B$129,""))</f>
        <v>PAL-0000129</v>
      </c>
      <c r="C633" t="str">
        <f>IF('01_Warehouse_Ledger'!$A$129="","",'01_Warehouse_Ledger'!$A$129)</f>
        <v>PAL-0000129</v>
      </c>
      <c r="D633" t="s">
        <v>1258</v>
      </c>
    </row>
    <row r="634" spans="1:4">
      <c r="A634" t="s">
        <v>1257</v>
      </c>
      <c r="B634" t="str">
        <f>IF('01_Warehouse_Ledger'!$A$130="","",'01_Warehouse_Ledger'!$A$130&amp;IF('01_Warehouse_Ledger'!$B$130&lt;&gt;""," | "&amp;'01_Warehouse_Ledger'!$B$130,""))</f>
        <v>PAL-0000130</v>
      </c>
      <c r="C634" t="str">
        <f>IF('01_Warehouse_Ledger'!$A$130="","",'01_Warehouse_Ledger'!$A$130)</f>
        <v>PAL-0000130</v>
      </c>
      <c r="D634" t="s">
        <v>1258</v>
      </c>
    </row>
    <row r="635" spans="1:4">
      <c r="A635" t="s">
        <v>1257</v>
      </c>
      <c r="B635" t="str">
        <f>IF('01_Warehouse_Ledger'!$A$131="","",'01_Warehouse_Ledger'!$A$131&amp;IF('01_Warehouse_Ledger'!$B$131&lt;&gt;""," | "&amp;'01_Warehouse_Ledger'!$B$131,""))</f>
        <v>PAL-0000131</v>
      </c>
      <c r="C635" t="str">
        <f>IF('01_Warehouse_Ledger'!$A$131="","",'01_Warehouse_Ledger'!$A$131)</f>
        <v>PAL-0000131</v>
      </c>
      <c r="D635" t="s">
        <v>1258</v>
      </c>
    </row>
    <row r="636" spans="1:4">
      <c r="A636" t="s">
        <v>1257</v>
      </c>
      <c r="B636" t="str">
        <f>IF('01_Warehouse_Ledger'!$A$132="","",'01_Warehouse_Ledger'!$A$132&amp;IF('01_Warehouse_Ledger'!$B$132&lt;&gt;""," | "&amp;'01_Warehouse_Ledger'!$B$132,""))</f>
        <v>PAL-0000132</v>
      </c>
      <c r="C636" t="str">
        <f>IF('01_Warehouse_Ledger'!$A$132="","",'01_Warehouse_Ledger'!$A$132)</f>
        <v>PAL-0000132</v>
      </c>
      <c r="D636" t="s">
        <v>1258</v>
      </c>
    </row>
    <row r="637" spans="1:4">
      <c r="A637" t="s">
        <v>1257</v>
      </c>
      <c r="B637" t="str">
        <f>IF('01_Warehouse_Ledger'!$A$133="","",'01_Warehouse_Ledger'!$A$133&amp;IF('01_Warehouse_Ledger'!$B$133&lt;&gt;""," | "&amp;'01_Warehouse_Ledger'!$B$133,""))</f>
        <v>PAL-0000133</v>
      </c>
      <c r="C637" t="str">
        <f>IF('01_Warehouse_Ledger'!$A$133="","",'01_Warehouse_Ledger'!$A$133)</f>
        <v>PAL-0000133</v>
      </c>
      <c r="D637" t="s">
        <v>1258</v>
      </c>
    </row>
    <row r="638" spans="1:4">
      <c r="A638" t="s">
        <v>1257</v>
      </c>
      <c r="B638" t="str">
        <f>IF('01_Warehouse_Ledger'!$A$134="","",'01_Warehouse_Ledger'!$A$134&amp;IF('01_Warehouse_Ledger'!$B$134&lt;&gt;""," | "&amp;'01_Warehouse_Ledger'!$B$134,""))</f>
        <v>PAL-0000134</v>
      </c>
      <c r="C638" t="str">
        <f>IF('01_Warehouse_Ledger'!$A$134="","",'01_Warehouse_Ledger'!$A$134)</f>
        <v>PAL-0000134</v>
      </c>
      <c r="D638" t="s">
        <v>1258</v>
      </c>
    </row>
    <row r="639" spans="1:4">
      <c r="A639" t="s">
        <v>1257</v>
      </c>
      <c r="B639" t="str">
        <f>IF('01_Warehouse_Ledger'!$A$135="","",'01_Warehouse_Ledger'!$A$135&amp;IF('01_Warehouse_Ledger'!$B$135&lt;&gt;""," | "&amp;'01_Warehouse_Ledger'!$B$135,""))</f>
        <v>PAL-0000135</v>
      </c>
      <c r="C639" t="str">
        <f>IF('01_Warehouse_Ledger'!$A$135="","",'01_Warehouse_Ledger'!$A$135)</f>
        <v>PAL-0000135</v>
      </c>
      <c r="D639" t="s">
        <v>1258</v>
      </c>
    </row>
    <row r="640" spans="1:4">
      <c r="A640" t="s">
        <v>1257</v>
      </c>
      <c r="B640" t="str">
        <f>IF('01_Warehouse_Ledger'!$A$136="","",'01_Warehouse_Ledger'!$A$136&amp;IF('01_Warehouse_Ledger'!$B$136&lt;&gt;""," | "&amp;'01_Warehouse_Ledger'!$B$136,""))</f>
        <v>PAL-0000136</v>
      </c>
      <c r="C640" t="str">
        <f>IF('01_Warehouse_Ledger'!$A$136="","",'01_Warehouse_Ledger'!$A$136)</f>
        <v>PAL-0000136</v>
      </c>
      <c r="D640" t="s">
        <v>1258</v>
      </c>
    </row>
    <row r="641" spans="1:4">
      <c r="A641" t="s">
        <v>1257</v>
      </c>
      <c r="B641" t="str">
        <f>IF('01_Warehouse_Ledger'!$A$137="","",'01_Warehouse_Ledger'!$A$137&amp;IF('01_Warehouse_Ledger'!$B$137&lt;&gt;""," | "&amp;'01_Warehouse_Ledger'!$B$137,""))</f>
        <v>PAL-0000137</v>
      </c>
      <c r="C641" t="str">
        <f>IF('01_Warehouse_Ledger'!$A$137="","",'01_Warehouse_Ledger'!$A$137)</f>
        <v>PAL-0000137</v>
      </c>
      <c r="D641" t="s">
        <v>1258</v>
      </c>
    </row>
    <row r="642" spans="1:4">
      <c r="A642" t="s">
        <v>1257</v>
      </c>
      <c r="B642" t="str">
        <f>IF('01_Warehouse_Ledger'!$A$138="","",'01_Warehouse_Ledger'!$A$138&amp;IF('01_Warehouse_Ledger'!$B$138&lt;&gt;""," | "&amp;'01_Warehouse_Ledger'!$B$138,""))</f>
        <v>PAL-0000138</v>
      </c>
      <c r="C642" t="str">
        <f>IF('01_Warehouse_Ledger'!$A$138="","",'01_Warehouse_Ledger'!$A$138)</f>
        <v>PAL-0000138</v>
      </c>
      <c r="D642" t="s">
        <v>1258</v>
      </c>
    </row>
    <row r="643" spans="1:4">
      <c r="A643" t="s">
        <v>1257</v>
      </c>
      <c r="B643" t="str">
        <f>IF('01_Warehouse_Ledger'!$A$139="","",'01_Warehouse_Ledger'!$A$139&amp;IF('01_Warehouse_Ledger'!$B$139&lt;&gt;""," | "&amp;'01_Warehouse_Ledger'!$B$139,""))</f>
        <v>PAL-0000139</v>
      </c>
      <c r="C643" t="str">
        <f>IF('01_Warehouse_Ledger'!$A$139="","",'01_Warehouse_Ledger'!$A$139)</f>
        <v>PAL-0000139</v>
      </c>
      <c r="D643" t="s">
        <v>1258</v>
      </c>
    </row>
    <row r="644" spans="1:4">
      <c r="A644" t="s">
        <v>1257</v>
      </c>
      <c r="B644" t="str">
        <f>IF('01_Warehouse_Ledger'!$A$140="","",'01_Warehouse_Ledger'!$A$140&amp;IF('01_Warehouse_Ledger'!$B$140&lt;&gt;""," | "&amp;'01_Warehouse_Ledger'!$B$140,""))</f>
        <v>PAL-0000140</v>
      </c>
      <c r="C644" t="str">
        <f>IF('01_Warehouse_Ledger'!$A$140="","",'01_Warehouse_Ledger'!$A$140)</f>
        <v>PAL-0000140</v>
      </c>
      <c r="D644" t="s">
        <v>1258</v>
      </c>
    </row>
    <row r="645" spans="1:4">
      <c r="A645" t="s">
        <v>1257</v>
      </c>
      <c r="B645" t="str">
        <f>IF('01_Warehouse_Ledger'!$A$141="","",'01_Warehouse_Ledger'!$A$141&amp;IF('01_Warehouse_Ledger'!$B$141&lt;&gt;""," | "&amp;'01_Warehouse_Ledger'!$B$141,""))</f>
        <v>PAL-0000141</v>
      </c>
      <c r="C645" t="str">
        <f>IF('01_Warehouse_Ledger'!$A$141="","",'01_Warehouse_Ledger'!$A$141)</f>
        <v>PAL-0000141</v>
      </c>
      <c r="D645" t="s">
        <v>1258</v>
      </c>
    </row>
    <row r="646" spans="1:4">
      <c r="A646" t="s">
        <v>1257</v>
      </c>
      <c r="B646" t="str">
        <f>IF('01_Warehouse_Ledger'!$A$142="","",'01_Warehouse_Ledger'!$A$142&amp;IF('01_Warehouse_Ledger'!$B$142&lt;&gt;""," | "&amp;'01_Warehouse_Ledger'!$B$142,""))</f>
        <v>PAL-0000142</v>
      </c>
      <c r="C646" t="str">
        <f>IF('01_Warehouse_Ledger'!$A$142="","",'01_Warehouse_Ledger'!$A$142)</f>
        <v>PAL-0000142</v>
      </c>
      <c r="D646" t="s">
        <v>1258</v>
      </c>
    </row>
    <row r="647" spans="1:4">
      <c r="A647" t="s">
        <v>1257</v>
      </c>
      <c r="B647" t="str">
        <f>IF('01_Warehouse_Ledger'!$A$143="","",'01_Warehouse_Ledger'!$A$143&amp;IF('01_Warehouse_Ledger'!$B$143&lt;&gt;""," | "&amp;'01_Warehouse_Ledger'!$B$143,""))</f>
        <v>PAL-0000143</v>
      </c>
      <c r="C647" t="str">
        <f>IF('01_Warehouse_Ledger'!$A$143="","",'01_Warehouse_Ledger'!$A$143)</f>
        <v>PAL-0000143</v>
      </c>
      <c r="D647" t="s">
        <v>1258</v>
      </c>
    </row>
    <row r="648" spans="1:4">
      <c r="A648" t="s">
        <v>1257</v>
      </c>
      <c r="B648" t="str">
        <f>IF('01_Warehouse_Ledger'!$A$144="","",'01_Warehouse_Ledger'!$A$144&amp;IF('01_Warehouse_Ledger'!$B$144&lt;&gt;""," | "&amp;'01_Warehouse_Ledger'!$B$144,""))</f>
        <v>PAL-0000144</v>
      </c>
      <c r="C648" t="str">
        <f>IF('01_Warehouse_Ledger'!$A$144="","",'01_Warehouse_Ledger'!$A$144)</f>
        <v>PAL-0000144</v>
      </c>
      <c r="D648" t="s">
        <v>1258</v>
      </c>
    </row>
    <row r="649" spans="1:4">
      <c r="A649" t="s">
        <v>1257</v>
      </c>
      <c r="B649" t="str">
        <f>IF('01_Warehouse_Ledger'!$A$145="","",'01_Warehouse_Ledger'!$A$145&amp;IF('01_Warehouse_Ledger'!$B$145&lt;&gt;""," | "&amp;'01_Warehouse_Ledger'!$B$145,""))</f>
        <v>PAL-0000145</v>
      </c>
      <c r="C649" t="str">
        <f>IF('01_Warehouse_Ledger'!$A$145="","",'01_Warehouse_Ledger'!$A$145)</f>
        <v>PAL-0000145</v>
      </c>
      <c r="D649" t="s">
        <v>1258</v>
      </c>
    </row>
    <row r="650" spans="1:4">
      <c r="A650" t="s">
        <v>1257</v>
      </c>
      <c r="B650" t="str">
        <f>IF('01_Warehouse_Ledger'!$A$146="","",'01_Warehouse_Ledger'!$A$146&amp;IF('01_Warehouse_Ledger'!$B$146&lt;&gt;""," | "&amp;'01_Warehouse_Ledger'!$B$146,""))</f>
        <v>PAL-0000146</v>
      </c>
      <c r="C650" t="str">
        <f>IF('01_Warehouse_Ledger'!$A$146="","",'01_Warehouse_Ledger'!$A$146)</f>
        <v>PAL-0000146</v>
      </c>
      <c r="D650" t="s">
        <v>1258</v>
      </c>
    </row>
    <row r="651" spans="1:4">
      <c r="A651" t="s">
        <v>1257</v>
      </c>
      <c r="B651" t="str">
        <f>IF('01_Warehouse_Ledger'!$A$147="","",'01_Warehouse_Ledger'!$A$147&amp;IF('01_Warehouse_Ledger'!$B$147&lt;&gt;""," | "&amp;'01_Warehouse_Ledger'!$B$147,""))</f>
        <v>PAL-0000147</v>
      </c>
      <c r="C651" t="str">
        <f>IF('01_Warehouse_Ledger'!$A$147="","",'01_Warehouse_Ledger'!$A$147)</f>
        <v>PAL-0000147</v>
      </c>
      <c r="D651" t="s">
        <v>1258</v>
      </c>
    </row>
    <row r="652" spans="1:4">
      <c r="A652" t="s">
        <v>1257</v>
      </c>
      <c r="B652" t="str">
        <f>IF('01_Warehouse_Ledger'!$A$148="","",'01_Warehouse_Ledger'!$A$148&amp;IF('01_Warehouse_Ledger'!$B$148&lt;&gt;""," | "&amp;'01_Warehouse_Ledger'!$B$148,""))</f>
        <v>PAL-0000148</v>
      </c>
      <c r="C652" t="str">
        <f>IF('01_Warehouse_Ledger'!$A$148="","",'01_Warehouse_Ledger'!$A$148)</f>
        <v>PAL-0000148</v>
      </c>
      <c r="D652" t="s">
        <v>1258</v>
      </c>
    </row>
    <row r="653" spans="1:4">
      <c r="A653" t="s">
        <v>1257</v>
      </c>
      <c r="B653" t="str">
        <f>IF('01_Warehouse_Ledger'!$A$149="","",'01_Warehouse_Ledger'!$A$149&amp;IF('01_Warehouse_Ledger'!$B$149&lt;&gt;""," | "&amp;'01_Warehouse_Ledger'!$B$149,""))</f>
        <v>PAL-0000149</v>
      </c>
      <c r="C653" t="str">
        <f>IF('01_Warehouse_Ledger'!$A$149="","",'01_Warehouse_Ledger'!$A$149)</f>
        <v>PAL-0000149</v>
      </c>
      <c r="D653" t="s">
        <v>1258</v>
      </c>
    </row>
    <row r="654" spans="1:4">
      <c r="A654" t="s">
        <v>1257</v>
      </c>
      <c r="B654" t="str">
        <f>IF('01_Warehouse_Ledger'!$A$150="","",'01_Warehouse_Ledger'!$A$150&amp;IF('01_Warehouse_Ledger'!$B$150&lt;&gt;""," | "&amp;'01_Warehouse_Ledger'!$B$150,""))</f>
        <v>PAL-0000150</v>
      </c>
      <c r="C654" t="str">
        <f>IF('01_Warehouse_Ledger'!$A$150="","",'01_Warehouse_Ledger'!$A$150)</f>
        <v>PAL-0000150</v>
      </c>
      <c r="D654" t="s">
        <v>1258</v>
      </c>
    </row>
    <row r="655" spans="1:4">
      <c r="A655" t="s">
        <v>1257</v>
      </c>
      <c r="B655" t="str">
        <f>IF('01_Warehouse_Ledger'!$A$151="","",'01_Warehouse_Ledger'!$A$151&amp;IF('01_Warehouse_Ledger'!$B$151&lt;&gt;""," | "&amp;'01_Warehouse_Ledger'!$B$151,""))</f>
        <v>PAL-0000151</v>
      </c>
      <c r="C655" t="str">
        <f>IF('01_Warehouse_Ledger'!$A$151="","",'01_Warehouse_Ledger'!$A$151)</f>
        <v>PAL-0000151</v>
      </c>
      <c r="D655" t="s">
        <v>1258</v>
      </c>
    </row>
    <row r="656" spans="1:4">
      <c r="A656" t="s">
        <v>1257</v>
      </c>
      <c r="B656" t="str">
        <f>IF('01_Warehouse_Ledger'!$A$152="","",'01_Warehouse_Ledger'!$A$152&amp;IF('01_Warehouse_Ledger'!$B$152&lt;&gt;""," | "&amp;'01_Warehouse_Ledger'!$B$152,""))</f>
        <v>PAL-0000152</v>
      </c>
      <c r="C656" t="str">
        <f>IF('01_Warehouse_Ledger'!$A$152="","",'01_Warehouse_Ledger'!$A$152)</f>
        <v>PAL-0000152</v>
      </c>
      <c r="D656" t="s">
        <v>1258</v>
      </c>
    </row>
    <row r="657" spans="1:4">
      <c r="A657" t="s">
        <v>1257</v>
      </c>
      <c r="B657" t="str">
        <f>IF('01_Warehouse_Ledger'!$A$153="","",'01_Warehouse_Ledger'!$A$153&amp;IF('01_Warehouse_Ledger'!$B$153&lt;&gt;""," | "&amp;'01_Warehouse_Ledger'!$B$153,""))</f>
        <v>PAL-0000153</v>
      </c>
      <c r="C657" t="str">
        <f>IF('01_Warehouse_Ledger'!$A$153="","",'01_Warehouse_Ledger'!$A$153)</f>
        <v>PAL-0000153</v>
      </c>
      <c r="D657" t="s">
        <v>1258</v>
      </c>
    </row>
    <row r="658" spans="1:4">
      <c r="A658" t="s">
        <v>1257</v>
      </c>
      <c r="B658" t="str">
        <f>IF('01_Warehouse_Ledger'!$A$154="","",'01_Warehouse_Ledger'!$A$154&amp;IF('01_Warehouse_Ledger'!$B$154&lt;&gt;""," | "&amp;'01_Warehouse_Ledger'!$B$154,""))</f>
        <v>PAL-0000154</v>
      </c>
      <c r="C658" t="str">
        <f>IF('01_Warehouse_Ledger'!$A$154="","",'01_Warehouse_Ledger'!$A$154)</f>
        <v>PAL-0000154</v>
      </c>
      <c r="D658" t="s">
        <v>1258</v>
      </c>
    </row>
    <row r="659" spans="1:4">
      <c r="A659" t="s">
        <v>1257</v>
      </c>
      <c r="B659" t="str">
        <f>IF('01_Warehouse_Ledger'!$A$155="","",'01_Warehouse_Ledger'!$A$155&amp;IF('01_Warehouse_Ledger'!$B$155&lt;&gt;""," | "&amp;'01_Warehouse_Ledger'!$B$155,""))</f>
        <v>PAL-0000155</v>
      </c>
      <c r="C659" t="str">
        <f>IF('01_Warehouse_Ledger'!$A$155="","",'01_Warehouse_Ledger'!$A$155)</f>
        <v>PAL-0000155</v>
      </c>
      <c r="D659" t="s">
        <v>1258</v>
      </c>
    </row>
    <row r="660" spans="1:4">
      <c r="A660" t="s">
        <v>1257</v>
      </c>
      <c r="B660" t="str">
        <f>IF('01_Warehouse_Ledger'!$A$156="","",'01_Warehouse_Ledger'!$A$156&amp;IF('01_Warehouse_Ledger'!$B$156&lt;&gt;""," | "&amp;'01_Warehouse_Ledger'!$B$156,""))</f>
        <v>PAL-0000156</v>
      </c>
      <c r="C660" t="str">
        <f>IF('01_Warehouse_Ledger'!$A$156="","",'01_Warehouse_Ledger'!$A$156)</f>
        <v>PAL-0000156</v>
      </c>
      <c r="D660" t="s">
        <v>1258</v>
      </c>
    </row>
    <row r="661" spans="1:4">
      <c r="A661" t="s">
        <v>1257</v>
      </c>
      <c r="B661" t="str">
        <f>IF('01_Warehouse_Ledger'!$A$157="","",'01_Warehouse_Ledger'!$A$157&amp;IF('01_Warehouse_Ledger'!$B$157&lt;&gt;""," | "&amp;'01_Warehouse_Ledger'!$B$157,""))</f>
        <v>PAL-0000157</v>
      </c>
      <c r="C661" t="str">
        <f>IF('01_Warehouse_Ledger'!$A$157="","",'01_Warehouse_Ledger'!$A$157)</f>
        <v>PAL-0000157</v>
      </c>
      <c r="D661" t="s">
        <v>1258</v>
      </c>
    </row>
    <row r="662" spans="1:4">
      <c r="A662" t="s">
        <v>1257</v>
      </c>
      <c r="B662" t="str">
        <f>IF('01_Warehouse_Ledger'!$A$158="","",'01_Warehouse_Ledger'!$A$158&amp;IF('01_Warehouse_Ledger'!$B$158&lt;&gt;""," | "&amp;'01_Warehouse_Ledger'!$B$158,""))</f>
        <v>PAL-0000158</v>
      </c>
      <c r="C662" t="str">
        <f>IF('01_Warehouse_Ledger'!$A$158="","",'01_Warehouse_Ledger'!$A$158)</f>
        <v>PAL-0000158</v>
      </c>
      <c r="D662" t="s">
        <v>1258</v>
      </c>
    </row>
    <row r="663" spans="1:4">
      <c r="A663" t="s">
        <v>1257</v>
      </c>
      <c r="B663" t="str">
        <f>IF('01_Warehouse_Ledger'!$A$159="","",'01_Warehouse_Ledger'!$A$159&amp;IF('01_Warehouse_Ledger'!$B$159&lt;&gt;""," | "&amp;'01_Warehouse_Ledger'!$B$159,""))</f>
        <v>PAL-0000159</v>
      </c>
      <c r="C663" t="str">
        <f>IF('01_Warehouse_Ledger'!$A$159="","",'01_Warehouse_Ledger'!$A$159)</f>
        <v>PAL-0000159</v>
      </c>
      <c r="D663" t="s">
        <v>1258</v>
      </c>
    </row>
    <row r="664" spans="1:4">
      <c r="A664" t="s">
        <v>1257</v>
      </c>
      <c r="B664" t="str">
        <f>IF('01_Warehouse_Ledger'!$A$160="","",'01_Warehouse_Ledger'!$A$160&amp;IF('01_Warehouse_Ledger'!$B$160&lt;&gt;""," | "&amp;'01_Warehouse_Ledger'!$B$160,""))</f>
        <v>PAL-0000160</v>
      </c>
      <c r="C664" t="str">
        <f>IF('01_Warehouse_Ledger'!$A$160="","",'01_Warehouse_Ledger'!$A$160)</f>
        <v>PAL-0000160</v>
      </c>
      <c r="D664" t="s">
        <v>1258</v>
      </c>
    </row>
    <row r="665" spans="1:4">
      <c r="A665" t="s">
        <v>1257</v>
      </c>
      <c r="B665" t="str">
        <f>IF('01_Warehouse_Ledger'!$A$161="","",'01_Warehouse_Ledger'!$A$161&amp;IF('01_Warehouse_Ledger'!$B$161&lt;&gt;""," | "&amp;'01_Warehouse_Ledger'!$B$161,""))</f>
        <v>PAL-0000161</v>
      </c>
      <c r="C665" t="str">
        <f>IF('01_Warehouse_Ledger'!$A$161="","",'01_Warehouse_Ledger'!$A$161)</f>
        <v>PAL-0000161</v>
      </c>
      <c r="D665" t="s">
        <v>1258</v>
      </c>
    </row>
    <row r="666" spans="1:4">
      <c r="A666" t="s">
        <v>1257</v>
      </c>
      <c r="B666" t="str">
        <f>IF('01_Warehouse_Ledger'!$A$162="","",'01_Warehouse_Ledger'!$A$162&amp;IF('01_Warehouse_Ledger'!$B$162&lt;&gt;""," | "&amp;'01_Warehouse_Ledger'!$B$162,""))</f>
        <v>PAL-0000162</v>
      </c>
      <c r="C666" t="str">
        <f>IF('01_Warehouse_Ledger'!$A$162="","",'01_Warehouse_Ledger'!$A$162)</f>
        <v>PAL-0000162</v>
      </c>
      <c r="D666" t="s">
        <v>1258</v>
      </c>
    </row>
    <row r="667" spans="1:4">
      <c r="A667" t="s">
        <v>1257</v>
      </c>
      <c r="B667" t="str">
        <f>IF('01_Warehouse_Ledger'!$A$163="","",'01_Warehouse_Ledger'!$A$163&amp;IF('01_Warehouse_Ledger'!$B$163&lt;&gt;""," | "&amp;'01_Warehouse_Ledger'!$B$163,""))</f>
        <v>PAL-0000163</v>
      </c>
      <c r="C667" t="str">
        <f>IF('01_Warehouse_Ledger'!$A$163="","",'01_Warehouse_Ledger'!$A$163)</f>
        <v>PAL-0000163</v>
      </c>
      <c r="D667" t="s">
        <v>1258</v>
      </c>
    </row>
    <row r="668" spans="1:4">
      <c r="A668" t="s">
        <v>1257</v>
      </c>
      <c r="B668" t="str">
        <f>IF('01_Warehouse_Ledger'!$A$164="","",'01_Warehouse_Ledger'!$A$164&amp;IF('01_Warehouse_Ledger'!$B$164&lt;&gt;""," | "&amp;'01_Warehouse_Ledger'!$B$164,""))</f>
        <v>PAL-0000164</v>
      </c>
      <c r="C668" t="str">
        <f>IF('01_Warehouse_Ledger'!$A$164="","",'01_Warehouse_Ledger'!$A$164)</f>
        <v>PAL-0000164</v>
      </c>
      <c r="D668" t="s">
        <v>1258</v>
      </c>
    </row>
    <row r="669" spans="1:4">
      <c r="A669" t="s">
        <v>1257</v>
      </c>
      <c r="B669" t="str">
        <f>IF('01_Warehouse_Ledger'!$A$165="","",'01_Warehouse_Ledger'!$A$165&amp;IF('01_Warehouse_Ledger'!$B$165&lt;&gt;""," | "&amp;'01_Warehouse_Ledger'!$B$165,""))</f>
        <v>PAL-0000165</v>
      </c>
      <c r="C669" t="str">
        <f>IF('01_Warehouse_Ledger'!$A$165="","",'01_Warehouse_Ledger'!$A$165)</f>
        <v>PAL-0000165</v>
      </c>
      <c r="D669" t="s">
        <v>1258</v>
      </c>
    </row>
    <row r="670" spans="1:4">
      <c r="A670" t="s">
        <v>1257</v>
      </c>
      <c r="B670" t="str">
        <f>IF('01_Warehouse_Ledger'!$A$166="","",'01_Warehouse_Ledger'!$A$166&amp;IF('01_Warehouse_Ledger'!$B$166&lt;&gt;""," | "&amp;'01_Warehouse_Ledger'!$B$166,""))</f>
        <v>PAL-0000166</v>
      </c>
      <c r="C670" t="str">
        <f>IF('01_Warehouse_Ledger'!$A$166="","",'01_Warehouse_Ledger'!$A$166)</f>
        <v>PAL-0000166</v>
      </c>
      <c r="D670" t="s">
        <v>1258</v>
      </c>
    </row>
    <row r="671" spans="1:4">
      <c r="A671" t="s">
        <v>1257</v>
      </c>
      <c r="B671" t="str">
        <f>IF('01_Warehouse_Ledger'!$A$167="","",'01_Warehouse_Ledger'!$A$167&amp;IF('01_Warehouse_Ledger'!$B$167&lt;&gt;""," | "&amp;'01_Warehouse_Ledger'!$B$167,""))</f>
        <v>PAL-0000167</v>
      </c>
      <c r="C671" t="str">
        <f>IF('01_Warehouse_Ledger'!$A$167="","",'01_Warehouse_Ledger'!$A$167)</f>
        <v>PAL-0000167</v>
      </c>
      <c r="D671" t="s">
        <v>1258</v>
      </c>
    </row>
    <row r="672" spans="1:4">
      <c r="A672" t="s">
        <v>1257</v>
      </c>
      <c r="B672" t="str">
        <f>IF('01_Warehouse_Ledger'!$A$168="","",'01_Warehouse_Ledger'!$A$168&amp;IF('01_Warehouse_Ledger'!$B$168&lt;&gt;""," | "&amp;'01_Warehouse_Ledger'!$B$168,""))</f>
        <v>PAL-0000168</v>
      </c>
      <c r="C672" t="str">
        <f>IF('01_Warehouse_Ledger'!$A$168="","",'01_Warehouse_Ledger'!$A$168)</f>
        <v>PAL-0000168</v>
      </c>
      <c r="D672" t="s">
        <v>1258</v>
      </c>
    </row>
    <row r="673" spans="1:4">
      <c r="A673" t="s">
        <v>1257</v>
      </c>
      <c r="B673" t="str">
        <f>IF('01_Warehouse_Ledger'!$A$169="","",'01_Warehouse_Ledger'!$A$169&amp;IF('01_Warehouse_Ledger'!$B$169&lt;&gt;""," | "&amp;'01_Warehouse_Ledger'!$B$169,""))</f>
        <v>PAL-0000169</v>
      </c>
      <c r="C673" t="str">
        <f>IF('01_Warehouse_Ledger'!$A$169="","",'01_Warehouse_Ledger'!$A$169)</f>
        <v>PAL-0000169</v>
      </c>
      <c r="D673" t="s">
        <v>1258</v>
      </c>
    </row>
    <row r="674" spans="1:4">
      <c r="A674" t="s">
        <v>1257</v>
      </c>
      <c r="B674" t="str">
        <f>IF('01_Warehouse_Ledger'!$A$170="","",'01_Warehouse_Ledger'!$A$170&amp;IF('01_Warehouse_Ledger'!$B$170&lt;&gt;""," | "&amp;'01_Warehouse_Ledger'!$B$170,""))</f>
        <v>PAL-0000170</v>
      </c>
      <c r="C674" t="str">
        <f>IF('01_Warehouse_Ledger'!$A$170="","",'01_Warehouse_Ledger'!$A$170)</f>
        <v>PAL-0000170</v>
      </c>
      <c r="D674" t="s">
        <v>1258</v>
      </c>
    </row>
    <row r="675" spans="1:4">
      <c r="A675" t="s">
        <v>1257</v>
      </c>
      <c r="B675" t="str">
        <f>IF('01_Warehouse_Ledger'!$A$171="","",'01_Warehouse_Ledger'!$A$171&amp;IF('01_Warehouse_Ledger'!$B$171&lt;&gt;""," | "&amp;'01_Warehouse_Ledger'!$B$171,""))</f>
        <v>PAL-0000171</v>
      </c>
      <c r="C675" t="str">
        <f>IF('01_Warehouse_Ledger'!$A$171="","",'01_Warehouse_Ledger'!$A$171)</f>
        <v>PAL-0000171</v>
      </c>
      <c r="D675" t="s">
        <v>1258</v>
      </c>
    </row>
    <row r="676" spans="1:4">
      <c r="A676" t="s">
        <v>1257</v>
      </c>
      <c r="B676" t="str">
        <f>IF('01_Warehouse_Ledger'!$A$172="","",'01_Warehouse_Ledger'!$A$172&amp;IF('01_Warehouse_Ledger'!$B$172&lt;&gt;""," | "&amp;'01_Warehouse_Ledger'!$B$172,""))</f>
        <v>PAL-0000172</v>
      </c>
      <c r="C676" t="str">
        <f>IF('01_Warehouse_Ledger'!$A$172="","",'01_Warehouse_Ledger'!$A$172)</f>
        <v>PAL-0000172</v>
      </c>
      <c r="D676" t="s">
        <v>1258</v>
      </c>
    </row>
    <row r="677" spans="1:4">
      <c r="A677" t="s">
        <v>1257</v>
      </c>
      <c r="B677" t="str">
        <f>IF('01_Warehouse_Ledger'!$A$173="","",'01_Warehouse_Ledger'!$A$173&amp;IF('01_Warehouse_Ledger'!$B$173&lt;&gt;""," | "&amp;'01_Warehouse_Ledger'!$B$173,""))</f>
        <v>PAL-0000173</v>
      </c>
      <c r="C677" t="str">
        <f>IF('01_Warehouse_Ledger'!$A$173="","",'01_Warehouse_Ledger'!$A$173)</f>
        <v>PAL-0000173</v>
      </c>
      <c r="D677" t="s">
        <v>1258</v>
      </c>
    </row>
    <row r="678" spans="1:4">
      <c r="A678" t="s">
        <v>1257</v>
      </c>
      <c r="B678" t="str">
        <f>IF('01_Warehouse_Ledger'!$A$174="","",'01_Warehouse_Ledger'!$A$174&amp;IF('01_Warehouse_Ledger'!$B$174&lt;&gt;""," | "&amp;'01_Warehouse_Ledger'!$B$174,""))</f>
        <v>PAL-0000174</v>
      </c>
      <c r="C678" t="str">
        <f>IF('01_Warehouse_Ledger'!$A$174="","",'01_Warehouse_Ledger'!$A$174)</f>
        <v>PAL-0000174</v>
      </c>
      <c r="D678" t="s">
        <v>1258</v>
      </c>
    </row>
    <row r="679" spans="1:4">
      <c r="A679" t="s">
        <v>1257</v>
      </c>
      <c r="B679" t="str">
        <f>IF('01_Warehouse_Ledger'!$A$175="","",'01_Warehouse_Ledger'!$A$175&amp;IF('01_Warehouse_Ledger'!$B$175&lt;&gt;""," | "&amp;'01_Warehouse_Ledger'!$B$175,""))</f>
        <v>PAL-0000175</v>
      </c>
      <c r="C679" t="str">
        <f>IF('01_Warehouse_Ledger'!$A$175="","",'01_Warehouse_Ledger'!$A$175)</f>
        <v>PAL-0000175</v>
      </c>
      <c r="D679" t="s">
        <v>1258</v>
      </c>
    </row>
    <row r="680" spans="1:4">
      <c r="A680" t="s">
        <v>1257</v>
      </c>
      <c r="B680" t="str">
        <f>IF('01_Warehouse_Ledger'!$A$176="","",'01_Warehouse_Ledger'!$A$176&amp;IF('01_Warehouse_Ledger'!$B$176&lt;&gt;""," | "&amp;'01_Warehouse_Ledger'!$B$176,""))</f>
        <v>PAL-0000176</v>
      </c>
      <c r="C680" t="str">
        <f>IF('01_Warehouse_Ledger'!$A$176="","",'01_Warehouse_Ledger'!$A$176)</f>
        <v>PAL-0000176</v>
      </c>
      <c r="D680" t="s">
        <v>1258</v>
      </c>
    </row>
    <row r="681" spans="1:4">
      <c r="A681" t="s">
        <v>1257</v>
      </c>
      <c r="B681" t="str">
        <f>IF('01_Warehouse_Ledger'!$A$177="","",'01_Warehouse_Ledger'!$A$177&amp;IF('01_Warehouse_Ledger'!$B$177&lt;&gt;""," | "&amp;'01_Warehouse_Ledger'!$B$177,""))</f>
        <v>PAL-0000177</v>
      </c>
      <c r="C681" t="str">
        <f>IF('01_Warehouse_Ledger'!$A$177="","",'01_Warehouse_Ledger'!$A$177)</f>
        <v>PAL-0000177</v>
      </c>
      <c r="D681" t="s">
        <v>1258</v>
      </c>
    </row>
    <row r="682" spans="1:4">
      <c r="A682" t="s">
        <v>1257</v>
      </c>
      <c r="B682" t="str">
        <f>IF('01_Warehouse_Ledger'!$A$178="","",'01_Warehouse_Ledger'!$A$178&amp;IF('01_Warehouse_Ledger'!$B$178&lt;&gt;""," | "&amp;'01_Warehouse_Ledger'!$B$178,""))</f>
        <v>PAL-0000178</v>
      </c>
      <c r="C682" t="str">
        <f>IF('01_Warehouse_Ledger'!$A$178="","",'01_Warehouse_Ledger'!$A$178)</f>
        <v>PAL-0000178</v>
      </c>
      <c r="D682" t="s">
        <v>1258</v>
      </c>
    </row>
    <row r="683" spans="1:4">
      <c r="A683" t="s">
        <v>1257</v>
      </c>
      <c r="B683" t="str">
        <f>IF('01_Warehouse_Ledger'!$A$179="","",'01_Warehouse_Ledger'!$A$179&amp;IF('01_Warehouse_Ledger'!$B$179&lt;&gt;""," | "&amp;'01_Warehouse_Ledger'!$B$179,""))</f>
        <v>PAL-0000179</v>
      </c>
      <c r="C683" t="str">
        <f>IF('01_Warehouse_Ledger'!$A$179="","",'01_Warehouse_Ledger'!$A$179)</f>
        <v>PAL-0000179</v>
      </c>
      <c r="D683" t="s">
        <v>1258</v>
      </c>
    </row>
    <row r="684" spans="1:4">
      <c r="A684" t="s">
        <v>1257</v>
      </c>
      <c r="B684" t="str">
        <f>IF('01_Warehouse_Ledger'!$A$180="","",'01_Warehouse_Ledger'!$A$180&amp;IF('01_Warehouse_Ledger'!$B$180&lt;&gt;""," | "&amp;'01_Warehouse_Ledger'!$B$180,""))</f>
        <v>PAL-0000180</v>
      </c>
      <c r="C684" t="str">
        <f>IF('01_Warehouse_Ledger'!$A$180="","",'01_Warehouse_Ledger'!$A$180)</f>
        <v>PAL-0000180</v>
      </c>
      <c r="D684" t="s">
        <v>1258</v>
      </c>
    </row>
    <row r="685" spans="1:4">
      <c r="A685" t="s">
        <v>1257</v>
      </c>
      <c r="B685" t="str">
        <f>IF('01_Warehouse_Ledger'!$A$181="","",'01_Warehouse_Ledger'!$A$181&amp;IF('01_Warehouse_Ledger'!$B$181&lt;&gt;""," | "&amp;'01_Warehouse_Ledger'!$B$181,""))</f>
        <v>PAL-0000181</v>
      </c>
      <c r="C685" t="str">
        <f>IF('01_Warehouse_Ledger'!$A$181="","",'01_Warehouse_Ledger'!$A$181)</f>
        <v>PAL-0000181</v>
      </c>
      <c r="D685" t="s">
        <v>1258</v>
      </c>
    </row>
    <row r="686" spans="1:4">
      <c r="A686" t="s">
        <v>1257</v>
      </c>
      <c r="B686" t="str">
        <f>IF('01_Warehouse_Ledger'!$A$182="","",'01_Warehouse_Ledger'!$A$182&amp;IF('01_Warehouse_Ledger'!$B$182&lt;&gt;""," | "&amp;'01_Warehouse_Ledger'!$B$182,""))</f>
        <v>PAL-0000182</v>
      </c>
      <c r="C686" t="str">
        <f>IF('01_Warehouse_Ledger'!$A$182="","",'01_Warehouse_Ledger'!$A$182)</f>
        <v>PAL-0000182</v>
      </c>
      <c r="D686" t="s">
        <v>1258</v>
      </c>
    </row>
    <row r="687" spans="1:4">
      <c r="A687" t="s">
        <v>1257</v>
      </c>
      <c r="B687" t="str">
        <f>IF('01_Warehouse_Ledger'!$A$183="","",'01_Warehouse_Ledger'!$A$183&amp;IF('01_Warehouse_Ledger'!$B$183&lt;&gt;""," | "&amp;'01_Warehouse_Ledger'!$B$183,""))</f>
        <v>PAL-0000183</v>
      </c>
      <c r="C687" t="str">
        <f>IF('01_Warehouse_Ledger'!$A$183="","",'01_Warehouse_Ledger'!$A$183)</f>
        <v>PAL-0000183</v>
      </c>
      <c r="D687" t="s">
        <v>1258</v>
      </c>
    </row>
    <row r="688" spans="1:4">
      <c r="A688" t="s">
        <v>1257</v>
      </c>
      <c r="B688" t="str">
        <f>IF('01_Warehouse_Ledger'!$A$184="","",'01_Warehouse_Ledger'!$A$184&amp;IF('01_Warehouse_Ledger'!$B$184&lt;&gt;""," | "&amp;'01_Warehouse_Ledger'!$B$184,""))</f>
        <v>PAL-0000184</v>
      </c>
      <c r="C688" t="str">
        <f>IF('01_Warehouse_Ledger'!$A$184="","",'01_Warehouse_Ledger'!$A$184)</f>
        <v>PAL-0000184</v>
      </c>
      <c r="D688" t="s">
        <v>1258</v>
      </c>
    </row>
    <row r="689" spans="1:4">
      <c r="A689" t="s">
        <v>1257</v>
      </c>
      <c r="B689" t="str">
        <f>IF('01_Warehouse_Ledger'!$A$185="","",'01_Warehouse_Ledger'!$A$185&amp;IF('01_Warehouse_Ledger'!$B$185&lt;&gt;""," | "&amp;'01_Warehouse_Ledger'!$B$185,""))</f>
        <v>PAL-0000185</v>
      </c>
      <c r="C689" t="str">
        <f>IF('01_Warehouse_Ledger'!$A$185="","",'01_Warehouse_Ledger'!$A$185)</f>
        <v>PAL-0000185</v>
      </c>
      <c r="D689" t="s">
        <v>1258</v>
      </c>
    </row>
    <row r="690" spans="1:4">
      <c r="A690" t="s">
        <v>1257</v>
      </c>
      <c r="B690" t="str">
        <f>IF('01_Warehouse_Ledger'!$A$186="","",'01_Warehouse_Ledger'!$A$186&amp;IF('01_Warehouse_Ledger'!$B$186&lt;&gt;""," | "&amp;'01_Warehouse_Ledger'!$B$186,""))</f>
        <v>PAL-0000186</v>
      </c>
      <c r="C690" t="str">
        <f>IF('01_Warehouse_Ledger'!$A$186="","",'01_Warehouse_Ledger'!$A$186)</f>
        <v>PAL-0000186</v>
      </c>
      <c r="D690" t="s">
        <v>1258</v>
      </c>
    </row>
    <row r="691" spans="1:4">
      <c r="A691" t="s">
        <v>1257</v>
      </c>
      <c r="B691" t="str">
        <f>IF('01_Warehouse_Ledger'!$A$187="","",'01_Warehouse_Ledger'!$A$187&amp;IF('01_Warehouse_Ledger'!$B$187&lt;&gt;""," | "&amp;'01_Warehouse_Ledger'!$B$187,""))</f>
        <v>PAL-0000187</v>
      </c>
      <c r="C691" t="str">
        <f>IF('01_Warehouse_Ledger'!$A$187="","",'01_Warehouse_Ledger'!$A$187)</f>
        <v>PAL-0000187</v>
      </c>
      <c r="D691" t="s">
        <v>1258</v>
      </c>
    </row>
    <row r="692" spans="1:4">
      <c r="A692" t="s">
        <v>1257</v>
      </c>
      <c r="B692" t="str">
        <f>IF('01_Warehouse_Ledger'!$A$188="","",'01_Warehouse_Ledger'!$A$188&amp;IF('01_Warehouse_Ledger'!$B$188&lt;&gt;""," | "&amp;'01_Warehouse_Ledger'!$B$188,""))</f>
        <v>PAL-0000188</v>
      </c>
      <c r="C692" t="str">
        <f>IF('01_Warehouse_Ledger'!$A$188="","",'01_Warehouse_Ledger'!$A$188)</f>
        <v>PAL-0000188</v>
      </c>
      <c r="D692" t="s">
        <v>1258</v>
      </c>
    </row>
    <row r="693" spans="1:4">
      <c r="A693" t="s">
        <v>1257</v>
      </c>
      <c r="B693" t="str">
        <f>IF('01_Warehouse_Ledger'!$A$189="","",'01_Warehouse_Ledger'!$A$189&amp;IF('01_Warehouse_Ledger'!$B$189&lt;&gt;""," | "&amp;'01_Warehouse_Ledger'!$B$189,""))</f>
        <v>PAL-0000189</v>
      </c>
      <c r="C693" t="str">
        <f>IF('01_Warehouse_Ledger'!$A$189="","",'01_Warehouse_Ledger'!$A$189)</f>
        <v>PAL-0000189</v>
      </c>
      <c r="D693" t="s">
        <v>1258</v>
      </c>
    </row>
    <row r="694" spans="1:4">
      <c r="A694" t="s">
        <v>1257</v>
      </c>
      <c r="B694" t="str">
        <f>IF('01_Warehouse_Ledger'!$A$190="","",'01_Warehouse_Ledger'!$A$190&amp;IF('01_Warehouse_Ledger'!$B$190&lt;&gt;""," | "&amp;'01_Warehouse_Ledger'!$B$190,""))</f>
        <v>PAL-0000190</v>
      </c>
      <c r="C694" t="str">
        <f>IF('01_Warehouse_Ledger'!$A$190="","",'01_Warehouse_Ledger'!$A$190)</f>
        <v>PAL-0000190</v>
      </c>
      <c r="D694" t="s">
        <v>1258</v>
      </c>
    </row>
    <row r="695" spans="1:4">
      <c r="A695" t="s">
        <v>1257</v>
      </c>
      <c r="B695" t="str">
        <f>IF('01_Warehouse_Ledger'!$A$191="","",'01_Warehouse_Ledger'!$A$191&amp;IF('01_Warehouse_Ledger'!$B$191&lt;&gt;""," | "&amp;'01_Warehouse_Ledger'!$B$191,""))</f>
        <v>PAL-0000191</v>
      </c>
      <c r="C695" t="str">
        <f>IF('01_Warehouse_Ledger'!$A$191="","",'01_Warehouse_Ledger'!$A$191)</f>
        <v>PAL-0000191</v>
      </c>
      <c r="D695" t="s">
        <v>1258</v>
      </c>
    </row>
    <row r="696" spans="1:4">
      <c r="A696" t="s">
        <v>1257</v>
      </c>
      <c r="B696" t="str">
        <f>IF('01_Warehouse_Ledger'!$A$192="","",'01_Warehouse_Ledger'!$A$192&amp;IF('01_Warehouse_Ledger'!$B$192&lt;&gt;""," | "&amp;'01_Warehouse_Ledger'!$B$192,""))</f>
        <v>PAL-0000192</v>
      </c>
      <c r="C696" t="str">
        <f>IF('01_Warehouse_Ledger'!$A$192="","",'01_Warehouse_Ledger'!$A$192)</f>
        <v>PAL-0000192</v>
      </c>
      <c r="D696" t="s">
        <v>1258</v>
      </c>
    </row>
    <row r="697" spans="1:4">
      <c r="A697" t="s">
        <v>1257</v>
      </c>
      <c r="B697" t="str">
        <f>IF('01_Warehouse_Ledger'!$A$193="","",'01_Warehouse_Ledger'!$A$193&amp;IF('01_Warehouse_Ledger'!$B$193&lt;&gt;""," | "&amp;'01_Warehouse_Ledger'!$B$193,""))</f>
        <v>PAL-0000193</v>
      </c>
      <c r="C697" t="str">
        <f>IF('01_Warehouse_Ledger'!$A$193="","",'01_Warehouse_Ledger'!$A$193)</f>
        <v>PAL-0000193</v>
      </c>
      <c r="D697" t="s">
        <v>1258</v>
      </c>
    </row>
    <row r="698" spans="1:4">
      <c r="A698" t="s">
        <v>1257</v>
      </c>
      <c r="B698" t="str">
        <f>IF('01_Warehouse_Ledger'!$A$194="","",'01_Warehouse_Ledger'!$A$194&amp;IF('01_Warehouse_Ledger'!$B$194&lt;&gt;""," | "&amp;'01_Warehouse_Ledger'!$B$194,""))</f>
        <v>PAL-0000194</v>
      </c>
      <c r="C698" t="str">
        <f>IF('01_Warehouse_Ledger'!$A$194="","",'01_Warehouse_Ledger'!$A$194)</f>
        <v>PAL-0000194</v>
      </c>
      <c r="D698" t="s">
        <v>1258</v>
      </c>
    </row>
    <row r="699" spans="1:4">
      <c r="A699" t="s">
        <v>1257</v>
      </c>
      <c r="B699" t="str">
        <f>IF('01_Warehouse_Ledger'!$A$195="","",'01_Warehouse_Ledger'!$A$195&amp;IF('01_Warehouse_Ledger'!$B$195&lt;&gt;""," | "&amp;'01_Warehouse_Ledger'!$B$195,""))</f>
        <v>PAL-0000195</v>
      </c>
      <c r="C699" t="str">
        <f>IF('01_Warehouse_Ledger'!$A$195="","",'01_Warehouse_Ledger'!$A$195)</f>
        <v>PAL-0000195</v>
      </c>
      <c r="D699" t="s">
        <v>1258</v>
      </c>
    </row>
    <row r="700" spans="1:4">
      <c r="A700" t="s">
        <v>1257</v>
      </c>
      <c r="B700" t="str">
        <f>IF('01_Warehouse_Ledger'!$A$196="","",'01_Warehouse_Ledger'!$A$196&amp;IF('01_Warehouse_Ledger'!$B$196&lt;&gt;""," | "&amp;'01_Warehouse_Ledger'!$B$196,""))</f>
        <v>PAL-0000196</v>
      </c>
      <c r="C700" t="str">
        <f>IF('01_Warehouse_Ledger'!$A$196="","",'01_Warehouse_Ledger'!$A$196)</f>
        <v>PAL-0000196</v>
      </c>
      <c r="D700" t="s">
        <v>1258</v>
      </c>
    </row>
    <row r="701" spans="1:4">
      <c r="A701" t="s">
        <v>1257</v>
      </c>
      <c r="B701" t="str">
        <f>IF('01_Warehouse_Ledger'!$A$197="","",'01_Warehouse_Ledger'!$A$197&amp;IF('01_Warehouse_Ledger'!$B$197&lt;&gt;""," | "&amp;'01_Warehouse_Ledger'!$B$197,""))</f>
        <v>PAL-0000197</v>
      </c>
      <c r="C701" t="str">
        <f>IF('01_Warehouse_Ledger'!$A$197="","",'01_Warehouse_Ledger'!$A$197)</f>
        <v>PAL-0000197</v>
      </c>
      <c r="D701" t="s">
        <v>1258</v>
      </c>
    </row>
    <row r="702" spans="1:4">
      <c r="A702" t="s">
        <v>1257</v>
      </c>
      <c r="B702" t="str">
        <f>IF('01_Warehouse_Ledger'!$A$198="","",'01_Warehouse_Ledger'!$A$198&amp;IF('01_Warehouse_Ledger'!$B$198&lt;&gt;""," | "&amp;'01_Warehouse_Ledger'!$B$198,""))</f>
        <v>PAL-0000198</v>
      </c>
      <c r="C702" t="str">
        <f>IF('01_Warehouse_Ledger'!$A$198="","",'01_Warehouse_Ledger'!$A$198)</f>
        <v>PAL-0000198</v>
      </c>
      <c r="D702" t="s">
        <v>1258</v>
      </c>
    </row>
    <row r="703" spans="1:4">
      <c r="A703" t="s">
        <v>1257</v>
      </c>
      <c r="B703" t="str">
        <f>IF('01_Warehouse_Ledger'!$A$199="","",'01_Warehouse_Ledger'!$A$199&amp;IF('01_Warehouse_Ledger'!$B$199&lt;&gt;""," | "&amp;'01_Warehouse_Ledger'!$B$199,""))</f>
        <v>PAL-0000199</v>
      </c>
      <c r="C703" t="str">
        <f>IF('01_Warehouse_Ledger'!$A$199="","",'01_Warehouse_Ledger'!$A$199)</f>
        <v>PAL-0000199</v>
      </c>
      <c r="D703" t="s">
        <v>1258</v>
      </c>
    </row>
    <row r="704" spans="1:4">
      <c r="A704" t="s">
        <v>1257</v>
      </c>
      <c r="B704" t="str">
        <f>IF('01_Warehouse_Ledger'!$A$200="","",'01_Warehouse_Ledger'!$A$200&amp;IF('01_Warehouse_Ledger'!$B$200&lt;&gt;""," | "&amp;'01_Warehouse_Ledger'!$B$200,""))</f>
        <v>PAL-0000200</v>
      </c>
      <c r="C704" t="str">
        <f>IF('01_Warehouse_Ledger'!$A$200="","",'01_Warehouse_Ledger'!$A$200)</f>
        <v>PAL-0000200</v>
      </c>
      <c r="D704" t="s">
        <v>1258</v>
      </c>
    </row>
    <row r="705" spans="1:4">
      <c r="A705" t="s">
        <v>1257</v>
      </c>
      <c r="B705" t="str">
        <f>IF('01_Warehouse_Ledger'!$A$201="","",'01_Warehouse_Ledger'!$A$201&amp;IF('01_Warehouse_Ledger'!$B$201&lt;&gt;""," | "&amp;'01_Warehouse_Ledger'!$B$201,""))</f>
        <v>PAL-0000201</v>
      </c>
      <c r="C705" t="str">
        <f>IF('01_Warehouse_Ledger'!$A$201="","",'01_Warehouse_Ledger'!$A$201)</f>
        <v>PAL-0000201</v>
      </c>
      <c r="D705" t="s">
        <v>1258</v>
      </c>
    </row>
    <row r="706" spans="1:4">
      <c r="A706" t="s">
        <v>1257</v>
      </c>
      <c r="B706" t="str">
        <f>IF('01_Warehouse_Ledger'!$A$202="","",'01_Warehouse_Ledger'!$A$202&amp;IF('01_Warehouse_Ledger'!$B$202&lt;&gt;""," | "&amp;'01_Warehouse_Ledger'!$B$202,""))</f>
        <v>PAL-0000202</v>
      </c>
      <c r="C706" t="str">
        <f>IF('01_Warehouse_Ledger'!$A$202="","",'01_Warehouse_Ledger'!$A$202)</f>
        <v>PAL-0000202</v>
      </c>
      <c r="D706" t="s">
        <v>1258</v>
      </c>
    </row>
    <row r="707" spans="1:4">
      <c r="A707" t="s">
        <v>1257</v>
      </c>
      <c r="B707" t="str">
        <f>IF('01_Warehouse_Ledger'!$A$203="","",'01_Warehouse_Ledger'!$A$203&amp;IF('01_Warehouse_Ledger'!$B$203&lt;&gt;""," | "&amp;'01_Warehouse_Ledger'!$B$203,""))</f>
        <v>PAL-0000203</v>
      </c>
      <c r="C707" t="str">
        <f>IF('01_Warehouse_Ledger'!$A$203="","",'01_Warehouse_Ledger'!$A$203)</f>
        <v>PAL-0000203</v>
      </c>
      <c r="D707" t="s">
        <v>1258</v>
      </c>
    </row>
    <row r="708" spans="1:4">
      <c r="A708" t="s">
        <v>1257</v>
      </c>
      <c r="B708" t="str">
        <f>IF('01_Warehouse_Ledger'!$A$204="","",'01_Warehouse_Ledger'!$A$204&amp;IF('01_Warehouse_Ledger'!$B$204&lt;&gt;""," | "&amp;'01_Warehouse_Ledger'!$B$204,""))</f>
        <v>PAL-0000204</v>
      </c>
      <c r="C708" t="str">
        <f>IF('01_Warehouse_Ledger'!$A$204="","",'01_Warehouse_Ledger'!$A$204)</f>
        <v>PAL-0000204</v>
      </c>
      <c r="D708" t="s">
        <v>1258</v>
      </c>
    </row>
    <row r="709" spans="1:4">
      <c r="A709" t="s">
        <v>1257</v>
      </c>
      <c r="B709" t="str">
        <f>IF('01_Warehouse_Ledger'!$A$205="","",'01_Warehouse_Ledger'!$A$205&amp;IF('01_Warehouse_Ledger'!$B$205&lt;&gt;""," | "&amp;'01_Warehouse_Ledger'!$B$205,""))</f>
        <v>PAL-0000205</v>
      </c>
      <c r="C709" t="str">
        <f>IF('01_Warehouse_Ledger'!$A$205="","",'01_Warehouse_Ledger'!$A$205)</f>
        <v>PAL-0000205</v>
      </c>
      <c r="D709" t="s">
        <v>1258</v>
      </c>
    </row>
    <row r="710" spans="1:4">
      <c r="A710" t="s">
        <v>1257</v>
      </c>
      <c r="B710" t="str">
        <f>IF('01_Warehouse_Ledger'!$A$206="","",'01_Warehouse_Ledger'!$A$206&amp;IF('01_Warehouse_Ledger'!$B$206&lt;&gt;""," | "&amp;'01_Warehouse_Ledger'!$B$206,""))</f>
        <v>PAL-0000206</v>
      </c>
      <c r="C710" t="str">
        <f>IF('01_Warehouse_Ledger'!$A$206="","",'01_Warehouse_Ledger'!$A$206)</f>
        <v>PAL-0000206</v>
      </c>
      <c r="D710" t="s">
        <v>1258</v>
      </c>
    </row>
    <row r="711" spans="1:4">
      <c r="A711" t="s">
        <v>1257</v>
      </c>
      <c r="B711" t="str">
        <f>IF('01_Warehouse_Ledger'!$A$207="","",'01_Warehouse_Ledger'!$A$207&amp;IF('01_Warehouse_Ledger'!$B$207&lt;&gt;""," | "&amp;'01_Warehouse_Ledger'!$B$207,""))</f>
        <v>PAL-0000207</v>
      </c>
      <c r="C711" t="str">
        <f>IF('01_Warehouse_Ledger'!$A$207="","",'01_Warehouse_Ledger'!$A$207)</f>
        <v>PAL-0000207</v>
      </c>
      <c r="D711" t="s">
        <v>1258</v>
      </c>
    </row>
    <row r="712" spans="1:4">
      <c r="A712" t="s">
        <v>1257</v>
      </c>
      <c r="B712" t="str">
        <f>IF('01_Warehouse_Ledger'!$A$208="","",'01_Warehouse_Ledger'!$A$208&amp;IF('01_Warehouse_Ledger'!$B$208&lt;&gt;""," | "&amp;'01_Warehouse_Ledger'!$B$208,""))</f>
        <v>PAL-0000208</v>
      </c>
      <c r="C712" t="str">
        <f>IF('01_Warehouse_Ledger'!$A$208="","",'01_Warehouse_Ledger'!$A$208)</f>
        <v>PAL-0000208</v>
      </c>
      <c r="D712" t="s">
        <v>1258</v>
      </c>
    </row>
    <row r="713" spans="1:4">
      <c r="A713" t="s">
        <v>1257</v>
      </c>
      <c r="B713" t="str">
        <f>IF('01_Warehouse_Ledger'!$A$209="","",'01_Warehouse_Ledger'!$A$209&amp;IF('01_Warehouse_Ledger'!$B$209&lt;&gt;""," | "&amp;'01_Warehouse_Ledger'!$B$209,""))</f>
        <v>PAL-0000209</v>
      </c>
      <c r="C713" t="str">
        <f>IF('01_Warehouse_Ledger'!$A$209="","",'01_Warehouse_Ledger'!$A$209)</f>
        <v>PAL-0000209</v>
      </c>
      <c r="D713" t="s">
        <v>1258</v>
      </c>
    </row>
    <row r="714" spans="1:4">
      <c r="A714" t="s">
        <v>1257</v>
      </c>
      <c r="B714" t="str">
        <f>IF('01_Warehouse_Ledger'!$A$210="","",'01_Warehouse_Ledger'!$A$210&amp;IF('01_Warehouse_Ledger'!$B$210&lt;&gt;""," | "&amp;'01_Warehouse_Ledger'!$B$210,""))</f>
        <v>PAL-0000210</v>
      </c>
      <c r="C714" t="str">
        <f>IF('01_Warehouse_Ledger'!$A$210="","",'01_Warehouse_Ledger'!$A$210)</f>
        <v>PAL-0000210</v>
      </c>
      <c r="D714" t="s">
        <v>1258</v>
      </c>
    </row>
    <row r="715" spans="1:4">
      <c r="A715" t="s">
        <v>1257</v>
      </c>
      <c r="B715" t="str">
        <f>IF('01_Warehouse_Ledger'!$A$211="","",'01_Warehouse_Ledger'!$A$211&amp;IF('01_Warehouse_Ledger'!$B$211&lt;&gt;""," | "&amp;'01_Warehouse_Ledger'!$B$211,""))</f>
        <v>PAL-0000211</v>
      </c>
      <c r="C715" t="str">
        <f>IF('01_Warehouse_Ledger'!$A$211="","",'01_Warehouse_Ledger'!$A$211)</f>
        <v>PAL-0000211</v>
      </c>
      <c r="D715" t="s">
        <v>1258</v>
      </c>
    </row>
    <row r="716" spans="1:4">
      <c r="A716" t="s">
        <v>1257</v>
      </c>
      <c r="B716" t="str">
        <f>IF('01_Warehouse_Ledger'!$A$212="","",'01_Warehouse_Ledger'!$A$212&amp;IF('01_Warehouse_Ledger'!$B$212&lt;&gt;""," | "&amp;'01_Warehouse_Ledger'!$B$212,""))</f>
        <v>PAL-0000212</v>
      </c>
      <c r="C716" t="str">
        <f>IF('01_Warehouse_Ledger'!$A$212="","",'01_Warehouse_Ledger'!$A$212)</f>
        <v>PAL-0000212</v>
      </c>
      <c r="D716" t="s">
        <v>1258</v>
      </c>
    </row>
    <row r="717" spans="1:4">
      <c r="A717" t="s">
        <v>1257</v>
      </c>
      <c r="B717" t="str">
        <f>IF('01_Warehouse_Ledger'!$A$213="","",'01_Warehouse_Ledger'!$A$213&amp;IF('01_Warehouse_Ledger'!$B$213&lt;&gt;""," | "&amp;'01_Warehouse_Ledger'!$B$213,""))</f>
        <v>PAL-0000213</v>
      </c>
      <c r="C717" t="str">
        <f>IF('01_Warehouse_Ledger'!$A$213="","",'01_Warehouse_Ledger'!$A$213)</f>
        <v>PAL-0000213</v>
      </c>
      <c r="D717" t="s">
        <v>1258</v>
      </c>
    </row>
    <row r="718" spans="1:4">
      <c r="A718" t="s">
        <v>1257</v>
      </c>
      <c r="B718" t="str">
        <f>IF('01_Warehouse_Ledger'!$A$214="","",'01_Warehouse_Ledger'!$A$214&amp;IF('01_Warehouse_Ledger'!$B$214&lt;&gt;""," | "&amp;'01_Warehouse_Ledger'!$B$214,""))</f>
        <v>PAL-0000214</v>
      </c>
      <c r="C718" t="str">
        <f>IF('01_Warehouse_Ledger'!$A$214="","",'01_Warehouse_Ledger'!$A$214)</f>
        <v>PAL-0000214</v>
      </c>
      <c r="D718" t="s">
        <v>1258</v>
      </c>
    </row>
    <row r="719" spans="1:4">
      <c r="A719" t="s">
        <v>1257</v>
      </c>
      <c r="B719" t="str">
        <f>IF('01_Warehouse_Ledger'!$A$215="","",'01_Warehouse_Ledger'!$A$215&amp;IF('01_Warehouse_Ledger'!$B$215&lt;&gt;""," | "&amp;'01_Warehouse_Ledger'!$B$215,""))</f>
        <v>PAL-0000215</v>
      </c>
      <c r="C719" t="str">
        <f>IF('01_Warehouse_Ledger'!$A$215="","",'01_Warehouse_Ledger'!$A$215)</f>
        <v>PAL-0000215</v>
      </c>
      <c r="D719" t="s">
        <v>1258</v>
      </c>
    </row>
    <row r="720" spans="1:4">
      <c r="A720" t="s">
        <v>1257</v>
      </c>
      <c r="B720" t="str">
        <f>IF('01_Warehouse_Ledger'!$A$216="","",'01_Warehouse_Ledger'!$A$216&amp;IF('01_Warehouse_Ledger'!$B$216&lt;&gt;""," | "&amp;'01_Warehouse_Ledger'!$B$216,""))</f>
        <v>PAL-0000216</v>
      </c>
      <c r="C720" t="str">
        <f>IF('01_Warehouse_Ledger'!$A$216="","",'01_Warehouse_Ledger'!$A$216)</f>
        <v>PAL-0000216</v>
      </c>
      <c r="D720" t="s">
        <v>1258</v>
      </c>
    </row>
    <row r="721" spans="1:4">
      <c r="A721" t="s">
        <v>1257</v>
      </c>
      <c r="B721" t="str">
        <f>IF('01_Warehouse_Ledger'!$A$217="","",'01_Warehouse_Ledger'!$A$217&amp;IF('01_Warehouse_Ledger'!$B$217&lt;&gt;""," | "&amp;'01_Warehouse_Ledger'!$B$217,""))</f>
        <v>PAL-0000217</v>
      </c>
      <c r="C721" t="str">
        <f>IF('01_Warehouse_Ledger'!$A$217="","",'01_Warehouse_Ledger'!$A$217)</f>
        <v>PAL-0000217</v>
      </c>
      <c r="D721" t="s">
        <v>1258</v>
      </c>
    </row>
    <row r="722" spans="1:4">
      <c r="A722" t="s">
        <v>1257</v>
      </c>
      <c r="B722" t="str">
        <f>IF('01_Warehouse_Ledger'!$A$218="","",'01_Warehouse_Ledger'!$A$218&amp;IF('01_Warehouse_Ledger'!$B$218&lt;&gt;""," | "&amp;'01_Warehouse_Ledger'!$B$218,""))</f>
        <v>PAL-0000218</v>
      </c>
      <c r="C722" t="str">
        <f>IF('01_Warehouse_Ledger'!$A$218="","",'01_Warehouse_Ledger'!$A$218)</f>
        <v>PAL-0000218</v>
      </c>
      <c r="D722" t="s">
        <v>1258</v>
      </c>
    </row>
    <row r="723" spans="1:4">
      <c r="A723" t="s">
        <v>1257</v>
      </c>
      <c r="B723" t="str">
        <f>IF('01_Warehouse_Ledger'!$A$219="","",'01_Warehouse_Ledger'!$A$219&amp;IF('01_Warehouse_Ledger'!$B$219&lt;&gt;""," | "&amp;'01_Warehouse_Ledger'!$B$219,""))</f>
        <v>PAL-0000219</v>
      </c>
      <c r="C723" t="str">
        <f>IF('01_Warehouse_Ledger'!$A$219="","",'01_Warehouse_Ledger'!$A$219)</f>
        <v>PAL-0000219</v>
      </c>
      <c r="D723" t="s">
        <v>1258</v>
      </c>
    </row>
    <row r="724" spans="1:4">
      <c r="A724" t="s">
        <v>1257</v>
      </c>
      <c r="B724" t="str">
        <f>IF('01_Warehouse_Ledger'!$A$220="","",'01_Warehouse_Ledger'!$A$220&amp;IF('01_Warehouse_Ledger'!$B$220&lt;&gt;""," | "&amp;'01_Warehouse_Ledger'!$B$220,""))</f>
        <v>PAL-0000220</v>
      </c>
      <c r="C724" t="str">
        <f>IF('01_Warehouse_Ledger'!$A$220="","",'01_Warehouse_Ledger'!$A$220)</f>
        <v>PAL-0000220</v>
      </c>
      <c r="D724" t="s">
        <v>1258</v>
      </c>
    </row>
    <row r="725" spans="1:4">
      <c r="A725" t="s">
        <v>1257</v>
      </c>
      <c r="B725" t="str">
        <f>IF('01_Warehouse_Ledger'!$A$221="","",'01_Warehouse_Ledger'!$A$221&amp;IF('01_Warehouse_Ledger'!$B$221&lt;&gt;""," | "&amp;'01_Warehouse_Ledger'!$B$221,""))</f>
        <v>PAL-0000221</v>
      </c>
      <c r="C725" t="str">
        <f>IF('01_Warehouse_Ledger'!$A$221="","",'01_Warehouse_Ledger'!$A$221)</f>
        <v>PAL-0000221</v>
      </c>
      <c r="D725" t="s">
        <v>1258</v>
      </c>
    </row>
    <row r="726" spans="1:4">
      <c r="A726" t="s">
        <v>1257</v>
      </c>
      <c r="B726" t="str">
        <f>IF('01_Warehouse_Ledger'!$A$222="","",'01_Warehouse_Ledger'!$A$222&amp;IF('01_Warehouse_Ledger'!$B$222&lt;&gt;""," | "&amp;'01_Warehouse_Ledger'!$B$222,""))</f>
        <v>PAL-0000222</v>
      </c>
      <c r="C726" t="str">
        <f>IF('01_Warehouse_Ledger'!$A$222="","",'01_Warehouse_Ledger'!$A$222)</f>
        <v>PAL-0000222</v>
      </c>
      <c r="D726" t="s">
        <v>1258</v>
      </c>
    </row>
    <row r="727" spans="1:4">
      <c r="A727" t="s">
        <v>1257</v>
      </c>
      <c r="B727" t="str">
        <f>IF('01_Warehouse_Ledger'!$A$223="","",'01_Warehouse_Ledger'!$A$223&amp;IF('01_Warehouse_Ledger'!$B$223&lt;&gt;""," | "&amp;'01_Warehouse_Ledger'!$B$223,""))</f>
        <v>PAL-0000223</v>
      </c>
      <c r="C727" t="str">
        <f>IF('01_Warehouse_Ledger'!$A$223="","",'01_Warehouse_Ledger'!$A$223)</f>
        <v>PAL-0000223</v>
      </c>
      <c r="D727" t="s">
        <v>1258</v>
      </c>
    </row>
    <row r="728" spans="1:4">
      <c r="A728" t="s">
        <v>1257</v>
      </c>
      <c r="B728" t="str">
        <f>IF('01_Warehouse_Ledger'!$A$224="","",'01_Warehouse_Ledger'!$A$224&amp;IF('01_Warehouse_Ledger'!$B$224&lt;&gt;""," | "&amp;'01_Warehouse_Ledger'!$B$224,""))</f>
        <v>PAL-0000224</v>
      </c>
      <c r="C728" t="str">
        <f>IF('01_Warehouse_Ledger'!$A$224="","",'01_Warehouse_Ledger'!$A$224)</f>
        <v>PAL-0000224</v>
      </c>
      <c r="D728" t="s">
        <v>1258</v>
      </c>
    </row>
    <row r="729" spans="1:4">
      <c r="A729" t="s">
        <v>1257</v>
      </c>
      <c r="B729" t="str">
        <f>IF('01_Warehouse_Ledger'!$A$225="","",'01_Warehouse_Ledger'!$A$225&amp;IF('01_Warehouse_Ledger'!$B$225&lt;&gt;""," | "&amp;'01_Warehouse_Ledger'!$B$225,""))</f>
        <v>PAL-0000225</v>
      </c>
      <c r="C729" t="str">
        <f>IF('01_Warehouse_Ledger'!$A$225="","",'01_Warehouse_Ledger'!$A$225)</f>
        <v>PAL-0000225</v>
      </c>
      <c r="D729" t="s">
        <v>1258</v>
      </c>
    </row>
    <row r="730" spans="1:4">
      <c r="A730" t="s">
        <v>1257</v>
      </c>
      <c r="B730" t="str">
        <f>IF('01_Warehouse_Ledger'!$A$226="","",'01_Warehouse_Ledger'!$A$226&amp;IF('01_Warehouse_Ledger'!$B$226&lt;&gt;""," | "&amp;'01_Warehouse_Ledger'!$B$226,""))</f>
        <v>PAL-0000226</v>
      </c>
      <c r="C730" t="str">
        <f>IF('01_Warehouse_Ledger'!$A$226="","",'01_Warehouse_Ledger'!$A$226)</f>
        <v>PAL-0000226</v>
      </c>
      <c r="D730" t="s">
        <v>1258</v>
      </c>
    </row>
    <row r="731" spans="1:4">
      <c r="A731" t="s">
        <v>1257</v>
      </c>
      <c r="B731" t="str">
        <f>IF('01_Warehouse_Ledger'!$A$227="","",'01_Warehouse_Ledger'!$A$227&amp;IF('01_Warehouse_Ledger'!$B$227&lt;&gt;""," | "&amp;'01_Warehouse_Ledger'!$B$227,""))</f>
        <v>PAL-0000227</v>
      </c>
      <c r="C731" t="str">
        <f>IF('01_Warehouse_Ledger'!$A$227="","",'01_Warehouse_Ledger'!$A$227)</f>
        <v>PAL-0000227</v>
      </c>
      <c r="D731" t="s">
        <v>1258</v>
      </c>
    </row>
    <row r="732" spans="1:4">
      <c r="A732" t="s">
        <v>1257</v>
      </c>
      <c r="B732" t="str">
        <f>IF('01_Warehouse_Ledger'!$A$228="","",'01_Warehouse_Ledger'!$A$228&amp;IF('01_Warehouse_Ledger'!$B$228&lt;&gt;""," | "&amp;'01_Warehouse_Ledger'!$B$228,""))</f>
        <v>PAL-0000228</v>
      </c>
      <c r="C732" t="str">
        <f>IF('01_Warehouse_Ledger'!$A$228="","",'01_Warehouse_Ledger'!$A$228)</f>
        <v>PAL-0000228</v>
      </c>
      <c r="D732" t="s">
        <v>1258</v>
      </c>
    </row>
    <row r="733" spans="1:4">
      <c r="A733" t="s">
        <v>1257</v>
      </c>
      <c r="B733" t="str">
        <f>IF('01_Warehouse_Ledger'!$A$229="","",'01_Warehouse_Ledger'!$A$229&amp;IF('01_Warehouse_Ledger'!$B$229&lt;&gt;""," | "&amp;'01_Warehouse_Ledger'!$B$229,""))</f>
        <v>PAL-0000229</v>
      </c>
      <c r="C733" t="str">
        <f>IF('01_Warehouse_Ledger'!$A$229="","",'01_Warehouse_Ledger'!$A$229)</f>
        <v>PAL-0000229</v>
      </c>
      <c r="D733" t="s">
        <v>1258</v>
      </c>
    </row>
    <row r="734" spans="1:4">
      <c r="A734" t="s">
        <v>1257</v>
      </c>
      <c r="B734" t="str">
        <f>IF('01_Warehouse_Ledger'!$A$230="","",'01_Warehouse_Ledger'!$A$230&amp;IF('01_Warehouse_Ledger'!$B$230&lt;&gt;""," | "&amp;'01_Warehouse_Ledger'!$B$230,""))</f>
        <v>PAL-0000230</v>
      </c>
      <c r="C734" t="str">
        <f>IF('01_Warehouse_Ledger'!$A$230="","",'01_Warehouse_Ledger'!$A$230)</f>
        <v>PAL-0000230</v>
      </c>
      <c r="D734" t="s">
        <v>1258</v>
      </c>
    </row>
    <row r="735" spans="1:4">
      <c r="A735" t="s">
        <v>1257</v>
      </c>
      <c r="B735" t="str">
        <f>IF('01_Warehouse_Ledger'!$A$231="","",'01_Warehouse_Ledger'!$A$231&amp;IF('01_Warehouse_Ledger'!$B$231&lt;&gt;""," | "&amp;'01_Warehouse_Ledger'!$B$231,""))</f>
        <v>PAL-0000231</v>
      </c>
      <c r="C735" t="str">
        <f>IF('01_Warehouse_Ledger'!$A$231="","",'01_Warehouse_Ledger'!$A$231)</f>
        <v>PAL-0000231</v>
      </c>
      <c r="D735" t="s">
        <v>1258</v>
      </c>
    </row>
    <row r="736" spans="1:4">
      <c r="A736" t="s">
        <v>1257</v>
      </c>
      <c r="B736" t="str">
        <f>IF('01_Warehouse_Ledger'!$A$232="","",'01_Warehouse_Ledger'!$A$232&amp;IF('01_Warehouse_Ledger'!$B$232&lt;&gt;""," | "&amp;'01_Warehouse_Ledger'!$B$232,""))</f>
        <v>PAL-0000232</v>
      </c>
      <c r="C736" t="str">
        <f>IF('01_Warehouse_Ledger'!$A$232="","",'01_Warehouse_Ledger'!$A$232)</f>
        <v>PAL-0000232</v>
      </c>
      <c r="D736" t="s">
        <v>1258</v>
      </c>
    </row>
    <row r="737" spans="1:4">
      <c r="A737" t="s">
        <v>1257</v>
      </c>
      <c r="B737" t="str">
        <f>IF('01_Warehouse_Ledger'!$A$233="","",'01_Warehouse_Ledger'!$A$233&amp;IF('01_Warehouse_Ledger'!$B$233&lt;&gt;""," | "&amp;'01_Warehouse_Ledger'!$B$233,""))</f>
        <v>PAL-0000233</v>
      </c>
      <c r="C737" t="str">
        <f>IF('01_Warehouse_Ledger'!$A$233="","",'01_Warehouse_Ledger'!$A$233)</f>
        <v>PAL-0000233</v>
      </c>
      <c r="D737" t="s">
        <v>1258</v>
      </c>
    </row>
    <row r="738" spans="1:4">
      <c r="A738" t="s">
        <v>1257</v>
      </c>
      <c r="B738" t="str">
        <f>IF('01_Warehouse_Ledger'!$A$234="","",'01_Warehouse_Ledger'!$A$234&amp;IF('01_Warehouse_Ledger'!$B$234&lt;&gt;""," | "&amp;'01_Warehouse_Ledger'!$B$234,""))</f>
        <v>PAL-0000234</v>
      </c>
      <c r="C738" t="str">
        <f>IF('01_Warehouse_Ledger'!$A$234="","",'01_Warehouse_Ledger'!$A$234)</f>
        <v>PAL-0000234</v>
      </c>
      <c r="D738" t="s">
        <v>1258</v>
      </c>
    </row>
    <row r="739" spans="1:4">
      <c r="A739" t="s">
        <v>1257</v>
      </c>
      <c r="B739" t="str">
        <f>IF('01_Warehouse_Ledger'!$A$235="","",'01_Warehouse_Ledger'!$A$235&amp;IF('01_Warehouse_Ledger'!$B$235&lt;&gt;""," | "&amp;'01_Warehouse_Ledger'!$B$235,""))</f>
        <v>PAL-0000235</v>
      </c>
      <c r="C739" t="str">
        <f>IF('01_Warehouse_Ledger'!$A$235="","",'01_Warehouse_Ledger'!$A$235)</f>
        <v>PAL-0000235</v>
      </c>
      <c r="D739" t="s">
        <v>1258</v>
      </c>
    </row>
    <row r="740" spans="1:4">
      <c r="A740" t="s">
        <v>1257</v>
      </c>
      <c r="B740" t="str">
        <f>IF('01_Warehouse_Ledger'!$A$236="","",'01_Warehouse_Ledger'!$A$236&amp;IF('01_Warehouse_Ledger'!$B$236&lt;&gt;""," | "&amp;'01_Warehouse_Ledger'!$B$236,""))</f>
        <v>PAL-0000236</v>
      </c>
      <c r="C740" t="str">
        <f>IF('01_Warehouse_Ledger'!$A$236="","",'01_Warehouse_Ledger'!$A$236)</f>
        <v>PAL-0000236</v>
      </c>
      <c r="D740" t="s">
        <v>1258</v>
      </c>
    </row>
    <row r="741" spans="1:4">
      <c r="A741" t="s">
        <v>1257</v>
      </c>
      <c r="B741" t="str">
        <f>IF('01_Warehouse_Ledger'!$A$237="","",'01_Warehouse_Ledger'!$A$237&amp;IF('01_Warehouse_Ledger'!$B$237&lt;&gt;""," | "&amp;'01_Warehouse_Ledger'!$B$237,""))</f>
        <v>PAL-0000237</v>
      </c>
      <c r="C741" t="str">
        <f>IF('01_Warehouse_Ledger'!$A$237="","",'01_Warehouse_Ledger'!$A$237)</f>
        <v>PAL-0000237</v>
      </c>
      <c r="D741" t="s">
        <v>1258</v>
      </c>
    </row>
    <row r="742" spans="1:4">
      <c r="A742" t="s">
        <v>1257</v>
      </c>
      <c r="B742" t="str">
        <f>IF('01_Warehouse_Ledger'!$A$238="","",'01_Warehouse_Ledger'!$A$238&amp;IF('01_Warehouse_Ledger'!$B$238&lt;&gt;""," | "&amp;'01_Warehouse_Ledger'!$B$238,""))</f>
        <v>PAL-0000238</v>
      </c>
      <c r="C742" t="str">
        <f>IF('01_Warehouse_Ledger'!$A$238="","",'01_Warehouse_Ledger'!$A$238)</f>
        <v>PAL-0000238</v>
      </c>
      <c r="D742" t="s">
        <v>1258</v>
      </c>
    </row>
    <row r="743" spans="1:4">
      <c r="A743" t="s">
        <v>1257</v>
      </c>
      <c r="B743" t="str">
        <f>IF('01_Warehouse_Ledger'!$A$239="","",'01_Warehouse_Ledger'!$A$239&amp;IF('01_Warehouse_Ledger'!$B$239&lt;&gt;""," | "&amp;'01_Warehouse_Ledger'!$B$239,""))</f>
        <v>PAL-0000239</v>
      </c>
      <c r="C743" t="str">
        <f>IF('01_Warehouse_Ledger'!$A$239="","",'01_Warehouse_Ledger'!$A$239)</f>
        <v>PAL-0000239</v>
      </c>
      <c r="D743" t="s">
        <v>1258</v>
      </c>
    </row>
    <row r="744" spans="1:4">
      <c r="A744" t="s">
        <v>1257</v>
      </c>
      <c r="B744" t="str">
        <f>IF('01_Warehouse_Ledger'!$A$240="","",'01_Warehouse_Ledger'!$A$240&amp;IF('01_Warehouse_Ledger'!$B$240&lt;&gt;""," | "&amp;'01_Warehouse_Ledger'!$B$240,""))</f>
        <v>PAL-0000240</v>
      </c>
      <c r="C744" t="str">
        <f>IF('01_Warehouse_Ledger'!$A$240="","",'01_Warehouse_Ledger'!$A$240)</f>
        <v>PAL-0000240</v>
      </c>
      <c r="D744" t="s">
        <v>1258</v>
      </c>
    </row>
    <row r="745" spans="1:4">
      <c r="A745" t="s">
        <v>1257</v>
      </c>
      <c r="B745" t="str">
        <f>IF('01_Warehouse_Ledger'!$A$241="","",'01_Warehouse_Ledger'!$A$241&amp;IF('01_Warehouse_Ledger'!$B$241&lt;&gt;""," | "&amp;'01_Warehouse_Ledger'!$B$241,""))</f>
        <v>PAL-0000241</v>
      </c>
      <c r="C745" t="str">
        <f>IF('01_Warehouse_Ledger'!$A$241="","",'01_Warehouse_Ledger'!$A$241)</f>
        <v>PAL-0000241</v>
      </c>
      <c r="D745" t="s">
        <v>1258</v>
      </c>
    </row>
    <row r="746" spans="1:4">
      <c r="A746" t="s">
        <v>1257</v>
      </c>
      <c r="B746" t="str">
        <f>IF('01_Warehouse_Ledger'!$A$242="","",'01_Warehouse_Ledger'!$A$242&amp;IF('01_Warehouse_Ledger'!$B$242&lt;&gt;""," | "&amp;'01_Warehouse_Ledger'!$B$242,""))</f>
        <v>PAL-0000242</v>
      </c>
      <c r="C746" t="str">
        <f>IF('01_Warehouse_Ledger'!$A$242="","",'01_Warehouse_Ledger'!$A$242)</f>
        <v>PAL-0000242</v>
      </c>
      <c r="D746" t="s">
        <v>1258</v>
      </c>
    </row>
    <row r="747" spans="1:4">
      <c r="A747" t="s">
        <v>1257</v>
      </c>
      <c r="B747" t="str">
        <f>IF('01_Warehouse_Ledger'!$A$243="","",'01_Warehouse_Ledger'!$A$243&amp;IF('01_Warehouse_Ledger'!$B$243&lt;&gt;""," | "&amp;'01_Warehouse_Ledger'!$B$243,""))</f>
        <v>PAL-0000243</v>
      </c>
      <c r="C747" t="str">
        <f>IF('01_Warehouse_Ledger'!$A$243="","",'01_Warehouse_Ledger'!$A$243)</f>
        <v>PAL-0000243</v>
      </c>
      <c r="D747" t="s">
        <v>1258</v>
      </c>
    </row>
    <row r="748" spans="1:4">
      <c r="A748" t="s">
        <v>1257</v>
      </c>
      <c r="B748" t="str">
        <f>IF('01_Warehouse_Ledger'!$A$244="","",'01_Warehouse_Ledger'!$A$244&amp;IF('01_Warehouse_Ledger'!$B$244&lt;&gt;""," | "&amp;'01_Warehouse_Ledger'!$B$244,""))</f>
        <v>PAL-0000244</v>
      </c>
      <c r="C748" t="str">
        <f>IF('01_Warehouse_Ledger'!$A$244="","",'01_Warehouse_Ledger'!$A$244)</f>
        <v>PAL-0000244</v>
      </c>
      <c r="D748" t="s">
        <v>1258</v>
      </c>
    </row>
    <row r="749" spans="1:4">
      <c r="A749" t="s">
        <v>1257</v>
      </c>
      <c r="B749" t="str">
        <f>IF('01_Warehouse_Ledger'!$A$245="","",'01_Warehouse_Ledger'!$A$245&amp;IF('01_Warehouse_Ledger'!$B$245&lt;&gt;""," | "&amp;'01_Warehouse_Ledger'!$B$245,""))</f>
        <v>PAL-0000245</v>
      </c>
      <c r="C749" t="str">
        <f>IF('01_Warehouse_Ledger'!$A$245="","",'01_Warehouse_Ledger'!$A$245)</f>
        <v>PAL-0000245</v>
      </c>
      <c r="D749" t="s">
        <v>1258</v>
      </c>
    </row>
    <row r="750" spans="1:4">
      <c r="A750" t="s">
        <v>1257</v>
      </c>
      <c r="B750" t="str">
        <f>IF('01_Warehouse_Ledger'!$A$246="","",'01_Warehouse_Ledger'!$A$246&amp;IF('01_Warehouse_Ledger'!$B$246&lt;&gt;""," | "&amp;'01_Warehouse_Ledger'!$B$246,""))</f>
        <v>PAL-0000246</v>
      </c>
      <c r="C750" t="str">
        <f>IF('01_Warehouse_Ledger'!$A$246="","",'01_Warehouse_Ledger'!$A$246)</f>
        <v>PAL-0000246</v>
      </c>
      <c r="D750" t="s">
        <v>1258</v>
      </c>
    </row>
    <row r="751" spans="1:4">
      <c r="A751" t="s">
        <v>1257</v>
      </c>
      <c r="B751" t="str">
        <f>IF('01_Warehouse_Ledger'!$A$247="","",'01_Warehouse_Ledger'!$A$247&amp;IF('01_Warehouse_Ledger'!$B$247&lt;&gt;""," | "&amp;'01_Warehouse_Ledger'!$B$247,""))</f>
        <v>PAL-0000247</v>
      </c>
      <c r="C751" t="str">
        <f>IF('01_Warehouse_Ledger'!$A$247="","",'01_Warehouse_Ledger'!$A$247)</f>
        <v>PAL-0000247</v>
      </c>
      <c r="D751" t="s">
        <v>1258</v>
      </c>
    </row>
    <row r="752" spans="1:4">
      <c r="A752" t="s">
        <v>1257</v>
      </c>
      <c r="B752" t="str">
        <f>IF('01_Warehouse_Ledger'!$A$248="","",'01_Warehouse_Ledger'!$A$248&amp;IF('01_Warehouse_Ledger'!$B$248&lt;&gt;""," | "&amp;'01_Warehouse_Ledger'!$B$248,""))</f>
        <v>PAL-0000248</v>
      </c>
      <c r="C752" t="str">
        <f>IF('01_Warehouse_Ledger'!$A$248="","",'01_Warehouse_Ledger'!$A$248)</f>
        <v>PAL-0000248</v>
      </c>
      <c r="D752" t="s">
        <v>1258</v>
      </c>
    </row>
    <row r="753" spans="1:4">
      <c r="A753" t="s">
        <v>1257</v>
      </c>
      <c r="B753" t="str">
        <f>IF('01_Warehouse_Ledger'!$A$249="","",'01_Warehouse_Ledger'!$A$249&amp;IF('01_Warehouse_Ledger'!$B$249&lt;&gt;""," | "&amp;'01_Warehouse_Ledger'!$B$249,""))</f>
        <v>PAL-0000249</v>
      </c>
      <c r="C753" t="str">
        <f>IF('01_Warehouse_Ledger'!$A$249="","",'01_Warehouse_Ledger'!$A$249)</f>
        <v>PAL-0000249</v>
      </c>
      <c r="D753" t="s">
        <v>1258</v>
      </c>
    </row>
    <row r="754" spans="1:4">
      <c r="A754" t="s">
        <v>1257</v>
      </c>
      <c r="B754" t="str">
        <f>IF('01_Warehouse_Ledger'!$A$250="","",'01_Warehouse_Ledger'!$A$250&amp;IF('01_Warehouse_Ledger'!$B$250&lt;&gt;""," | "&amp;'01_Warehouse_Ledger'!$B$250,""))</f>
        <v>PAL-0000250</v>
      </c>
      <c r="C754" t="str">
        <f>IF('01_Warehouse_Ledger'!$A$250="","",'01_Warehouse_Ledger'!$A$250)</f>
        <v>PAL-0000250</v>
      </c>
      <c r="D754" t="s">
        <v>1258</v>
      </c>
    </row>
    <row r="755" spans="1:4">
      <c r="A755" t="s">
        <v>1257</v>
      </c>
      <c r="B755" t="str">
        <f>IF('01_Warehouse_Ledger'!$A$251="","",'01_Warehouse_Ledger'!$A$251&amp;IF('01_Warehouse_Ledger'!$B$251&lt;&gt;""," | "&amp;'01_Warehouse_Ledger'!$B$251,""))</f>
        <v>PAL-0000251</v>
      </c>
      <c r="C755" t="str">
        <f>IF('01_Warehouse_Ledger'!$A$251="","",'01_Warehouse_Ledger'!$A$251)</f>
        <v>PAL-0000251</v>
      </c>
      <c r="D755" t="s">
        <v>1258</v>
      </c>
    </row>
    <row r="756" spans="1:4">
      <c r="A756" t="s">
        <v>1257</v>
      </c>
      <c r="B756" t="str">
        <f>IF('01_Warehouse_Ledger'!$A$252="","",'01_Warehouse_Ledger'!$A$252&amp;IF('01_Warehouse_Ledger'!$B$252&lt;&gt;""," | "&amp;'01_Warehouse_Ledger'!$B$252,""))</f>
        <v>PAL-0000252</v>
      </c>
      <c r="C756" t="str">
        <f>IF('01_Warehouse_Ledger'!$A$252="","",'01_Warehouse_Ledger'!$A$252)</f>
        <v>PAL-0000252</v>
      </c>
      <c r="D756" t="s">
        <v>1258</v>
      </c>
    </row>
    <row r="757" spans="1:4">
      <c r="A757" t="s">
        <v>1257</v>
      </c>
      <c r="B757" t="str">
        <f>IF('01_Warehouse_Ledger'!$A$253="","",'01_Warehouse_Ledger'!$A$253&amp;IF('01_Warehouse_Ledger'!$B$253&lt;&gt;""," | "&amp;'01_Warehouse_Ledger'!$B$253,""))</f>
        <v>PAL-0000253</v>
      </c>
      <c r="C757" t="str">
        <f>IF('01_Warehouse_Ledger'!$A$253="","",'01_Warehouse_Ledger'!$A$253)</f>
        <v>PAL-0000253</v>
      </c>
      <c r="D757" t="s">
        <v>1258</v>
      </c>
    </row>
    <row r="758" spans="1:4">
      <c r="A758" t="s">
        <v>1257</v>
      </c>
      <c r="B758" t="str">
        <f>IF('01_Warehouse_Ledger'!$A$254="","",'01_Warehouse_Ledger'!$A$254&amp;IF('01_Warehouse_Ledger'!$B$254&lt;&gt;""," | "&amp;'01_Warehouse_Ledger'!$B$254,""))</f>
        <v>PAL-0000254</v>
      </c>
      <c r="C758" t="str">
        <f>IF('01_Warehouse_Ledger'!$A$254="","",'01_Warehouse_Ledger'!$A$254)</f>
        <v>PAL-0000254</v>
      </c>
      <c r="D758" t="s">
        <v>1258</v>
      </c>
    </row>
    <row r="759" spans="1:4">
      <c r="A759" t="s">
        <v>1257</v>
      </c>
      <c r="B759" t="str">
        <f>IF('01_Warehouse_Ledger'!$A$255="","",'01_Warehouse_Ledger'!$A$255&amp;IF('01_Warehouse_Ledger'!$B$255&lt;&gt;""," | "&amp;'01_Warehouse_Ledger'!$B$255,""))</f>
        <v>PAL-0000255</v>
      </c>
      <c r="C759" t="str">
        <f>IF('01_Warehouse_Ledger'!$A$255="","",'01_Warehouse_Ledger'!$A$255)</f>
        <v>PAL-0000255</v>
      </c>
      <c r="D759" t="s">
        <v>1258</v>
      </c>
    </row>
    <row r="760" spans="1:4">
      <c r="A760" t="s">
        <v>1257</v>
      </c>
      <c r="B760" t="str">
        <f>IF('01_Warehouse_Ledger'!$A$256="","",'01_Warehouse_Ledger'!$A$256&amp;IF('01_Warehouse_Ledger'!$B$256&lt;&gt;""," | "&amp;'01_Warehouse_Ledger'!$B$256,""))</f>
        <v>PAL-0000256</v>
      </c>
      <c r="C760" t="str">
        <f>IF('01_Warehouse_Ledger'!$A$256="","",'01_Warehouse_Ledger'!$A$256)</f>
        <v>PAL-0000256</v>
      </c>
      <c r="D760" t="s">
        <v>1258</v>
      </c>
    </row>
    <row r="761" spans="1:4">
      <c r="A761" t="s">
        <v>1257</v>
      </c>
      <c r="B761" t="str">
        <f>IF('01_Warehouse_Ledger'!$A$257="","",'01_Warehouse_Ledger'!$A$257&amp;IF('01_Warehouse_Ledger'!$B$257&lt;&gt;""," | "&amp;'01_Warehouse_Ledger'!$B$257,""))</f>
        <v>PAL-0000257</v>
      </c>
      <c r="C761" t="str">
        <f>IF('01_Warehouse_Ledger'!$A$257="","",'01_Warehouse_Ledger'!$A$257)</f>
        <v>PAL-0000257</v>
      </c>
      <c r="D761" t="s">
        <v>1258</v>
      </c>
    </row>
    <row r="762" spans="1:4">
      <c r="A762" t="s">
        <v>1257</v>
      </c>
      <c r="B762" t="str">
        <f>IF('01_Warehouse_Ledger'!$A$258="","",'01_Warehouse_Ledger'!$A$258&amp;IF('01_Warehouse_Ledger'!$B$258&lt;&gt;""," | "&amp;'01_Warehouse_Ledger'!$B$258,""))</f>
        <v>PAL-0000258</v>
      </c>
      <c r="C762" t="str">
        <f>IF('01_Warehouse_Ledger'!$A$258="","",'01_Warehouse_Ledger'!$A$258)</f>
        <v>PAL-0000258</v>
      </c>
      <c r="D762" t="s">
        <v>1258</v>
      </c>
    </row>
    <row r="763" spans="1:4">
      <c r="A763" t="s">
        <v>1257</v>
      </c>
      <c r="B763" t="str">
        <f>IF('01_Warehouse_Ledger'!$A$259="","",'01_Warehouse_Ledger'!$A$259&amp;IF('01_Warehouse_Ledger'!$B$259&lt;&gt;""," | "&amp;'01_Warehouse_Ledger'!$B$259,""))</f>
        <v>PAL-0000259</v>
      </c>
      <c r="C763" t="str">
        <f>IF('01_Warehouse_Ledger'!$A$259="","",'01_Warehouse_Ledger'!$A$259)</f>
        <v>PAL-0000259</v>
      </c>
      <c r="D763" t="s">
        <v>1258</v>
      </c>
    </row>
    <row r="764" spans="1:4">
      <c r="A764" t="s">
        <v>1257</v>
      </c>
      <c r="B764" t="str">
        <f>IF('01_Warehouse_Ledger'!$A$260="","",'01_Warehouse_Ledger'!$A$260&amp;IF('01_Warehouse_Ledger'!$B$260&lt;&gt;""," | "&amp;'01_Warehouse_Ledger'!$B$260,""))</f>
        <v>PAL-0000260</v>
      </c>
      <c r="C764" t="str">
        <f>IF('01_Warehouse_Ledger'!$A$260="","",'01_Warehouse_Ledger'!$A$260)</f>
        <v>PAL-0000260</v>
      </c>
      <c r="D764" t="s">
        <v>1258</v>
      </c>
    </row>
    <row r="765" spans="1:4">
      <c r="A765" t="s">
        <v>1257</v>
      </c>
      <c r="B765" t="str">
        <f>IF('01_Warehouse_Ledger'!$A$261="","",'01_Warehouse_Ledger'!$A$261&amp;IF('01_Warehouse_Ledger'!$B$261&lt;&gt;""," | "&amp;'01_Warehouse_Ledger'!$B$261,""))</f>
        <v>PAL-0000261</v>
      </c>
      <c r="C765" t="str">
        <f>IF('01_Warehouse_Ledger'!$A$261="","",'01_Warehouse_Ledger'!$A$261)</f>
        <v>PAL-0000261</v>
      </c>
      <c r="D765" t="s">
        <v>1258</v>
      </c>
    </row>
    <row r="766" spans="1:4">
      <c r="A766" t="s">
        <v>1257</v>
      </c>
      <c r="B766" t="str">
        <f>IF('01_Warehouse_Ledger'!$A$262="","",'01_Warehouse_Ledger'!$A$262&amp;IF('01_Warehouse_Ledger'!$B$262&lt;&gt;""," | "&amp;'01_Warehouse_Ledger'!$B$262,""))</f>
        <v>PAL-0000262</v>
      </c>
      <c r="C766" t="str">
        <f>IF('01_Warehouse_Ledger'!$A$262="","",'01_Warehouse_Ledger'!$A$262)</f>
        <v>PAL-0000262</v>
      </c>
      <c r="D766" t="s">
        <v>1258</v>
      </c>
    </row>
    <row r="767" spans="1:4">
      <c r="A767" t="s">
        <v>1257</v>
      </c>
      <c r="B767" t="str">
        <f>IF('01_Warehouse_Ledger'!$A$263="","",'01_Warehouse_Ledger'!$A$263&amp;IF('01_Warehouse_Ledger'!$B$263&lt;&gt;""," | "&amp;'01_Warehouse_Ledger'!$B$263,""))</f>
        <v>PAL-0000263</v>
      </c>
      <c r="C767" t="str">
        <f>IF('01_Warehouse_Ledger'!$A$263="","",'01_Warehouse_Ledger'!$A$263)</f>
        <v>PAL-0000263</v>
      </c>
      <c r="D767" t="s">
        <v>1258</v>
      </c>
    </row>
    <row r="768" spans="1:4">
      <c r="A768" t="s">
        <v>1257</v>
      </c>
      <c r="B768" t="str">
        <f>IF('01_Warehouse_Ledger'!$A$264="","",'01_Warehouse_Ledger'!$A$264&amp;IF('01_Warehouse_Ledger'!$B$264&lt;&gt;""," | "&amp;'01_Warehouse_Ledger'!$B$264,""))</f>
        <v>PAL-0000264</v>
      </c>
      <c r="C768" t="str">
        <f>IF('01_Warehouse_Ledger'!$A$264="","",'01_Warehouse_Ledger'!$A$264)</f>
        <v>PAL-0000264</v>
      </c>
      <c r="D768" t="s">
        <v>1258</v>
      </c>
    </row>
    <row r="769" spans="1:4">
      <c r="A769" t="s">
        <v>1257</v>
      </c>
      <c r="B769" t="str">
        <f>IF('01_Warehouse_Ledger'!$A$265="","",'01_Warehouse_Ledger'!$A$265&amp;IF('01_Warehouse_Ledger'!$B$265&lt;&gt;""," | "&amp;'01_Warehouse_Ledger'!$B$265,""))</f>
        <v>PAL-0000265</v>
      </c>
      <c r="C769" t="str">
        <f>IF('01_Warehouse_Ledger'!$A$265="","",'01_Warehouse_Ledger'!$A$265)</f>
        <v>PAL-0000265</v>
      </c>
      <c r="D769" t="s">
        <v>1258</v>
      </c>
    </row>
    <row r="770" spans="1:4">
      <c r="A770" t="s">
        <v>1257</v>
      </c>
      <c r="B770" t="str">
        <f>IF('01_Warehouse_Ledger'!$A$266="","",'01_Warehouse_Ledger'!$A$266&amp;IF('01_Warehouse_Ledger'!$B$266&lt;&gt;""," | "&amp;'01_Warehouse_Ledger'!$B$266,""))</f>
        <v>PAL-0000266</v>
      </c>
      <c r="C770" t="str">
        <f>IF('01_Warehouse_Ledger'!$A$266="","",'01_Warehouse_Ledger'!$A$266)</f>
        <v>PAL-0000266</v>
      </c>
      <c r="D770" t="s">
        <v>1258</v>
      </c>
    </row>
    <row r="771" spans="1:4">
      <c r="A771" t="s">
        <v>1257</v>
      </c>
      <c r="B771" t="str">
        <f>IF('01_Warehouse_Ledger'!$A$267="","",'01_Warehouse_Ledger'!$A$267&amp;IF('01_Warehouse_Ledger'!$B$267&lt;&gt;""," | "&amp;'01_Warehouse_Ledger'!$B$267,""))</f>
        <v>PAL-0000267</v>
      </c>
      <c r="C771" t="str">
        <f>IF('01_Warehouse_Ledger'!$A$267="","",'01_Warehouse_Ledger'!$A$267)</f>
        <v>PAL-0000267</v>
      </c>
      <c r="D771" t="s">
        <v>1258</v>
      </c>
    </row>
    <row r="772" spans="1:4">
      <c r="A772" t="s">
        <v>1257</v>
      </c>
      <c r="B772" t="str">
        <f>IF('01_Warehouse_Ledger'!$A$268="","",'01_Warehouse_Ledger'!$A$268&amp;IF('01_Warehouse_Ledger'!$B$268&lt;&gt;""," | "&amp;'01_Warehouse_Ledger'!$B$268,""))</f>
        <v>PAL-0000268</v>
      </c>
      <c r="C772" t="str">
        <f>IF('01_Warehouse_Ledger'!$A$268="","",'01_Warehouse_Ledger'!$A$268)</f>
        <v>PAL-0000268</v>
      </c>
      <c r="D772" t="s">
        <v>1258</v>
      </c>
    </row>
    <row r="773" spans="1:4">
      <c r="A773" t="s">
        <v>1257</v>
      </c>
      <c r="B773" t="str">
        <f>IF('01_Warehouse_Ledger'!$A$269="","",'01_Warehouse_Ledger'!$A$269&amp;IF('01_Warehouse_Ledger'!$B$269&lt;&gt;""," | "&amp;'01_Warehouse_Ledger'!$B$269,""))</f>
        <v>PAL-0000269</v>
      </c>
      <c r="C773" t="str">
        <f>IF('01_Warehouse_Ledger'!$A$269="","",'01_Warehouse_Ledger'!$A$269)</f>
        <v>PAL-0000269</v>
      </c>
      <c r="D773" t="s">
        <v>1258</v>
      </c>
    </row>
    <row r="774" spans="1:4">
      <c r="A774" t="s">
        <v>1257</v>
      </c>
      <c r="B774" t="str">
        <f>IF('01_Warehouse_Ledger'!$A$270="","",'01_Warehouse_Ledger'!$A$270&amp;IF('01_Warehouse_Ledger'!$B$270&lt;&gt;""," | "&amp;'01_Warehouse_Ledger'!$B$270,""))</f>
        <v>PAL-0000270</v>
      </c>
      <c r="C774" t="str">
        <f>IF('01_Warehouse_Ledger'!$A$270="","",'01_Warehouse_Ledger'!$A$270)</f>
        <v>PAL-0000270</v>
      </c>
      <c r="D774" t="s">
        <v>1258</v>
      </c>
    </row>
    <row r="775" spans="1:4">
      <c r="A775" t="s">
        <v>1257</v>
      </c>
      <c r="B775" t="str">
        <f>IF('01_Warehouse_Ledger'!$A$271="","",'01_Warehouse_Ledger'!$A$271&amp;IF('01_Warehouse_Ledger'!$B$271&lt;&gt;""," | "&amp;'01_Warehouse_Ledger'!$B$271,""))</f>
        <v>PAL-0000271</v>
      </c>
      <c r="C775" t="str">
        <f>IF('01_Warehouse_Ledger'!$A$271="","",'01_Warehouse_Ledger'!$A$271)</f>
        <v>PAL-0000271</v>
      </c>
      <c r="D775" t="s">
        <v>1258</v>
      </c>
    </row>
    <row r="776" spans="1:4">
      <c r="A776" t="s">
        <v>1257</v>
      </c>
      <c r="B776" t="str">
        <f>IF('01_Warehouse_Ledger'!$A$272="","",'01_Warehouse_Ledger'!$A$272&amp;IF('01_Warehouse_Ledger'!$B$272&lt;&gt;""," | "&amp;'01_Warehouse_Ledger'!$B$272,""))</f>
        <v>PAL-0000272</v>
      </c>
      <c r="C776" t="str">
        <f>IF('01_Warehouse_Ledger'!$A$272="","",'01_Warehouse_Ledger'!$A$272)</f>
        <v>PAL-0000272</v>
      </c>
      <c r="D776" t="s">
        <v>1258</v>
      </c>
    </row>
    <row r="777" spans="1:4">
      <c r="A777" t="s">
        <v>1257</v>
      </c>
      <c r="B777" t="str">
        <f>IF('01_Warehouse_Ledger'!$A$273="","",'01_Warehouse_Ledger'!$A$273&amp;IF('01_Warehouse_Ledger'!$B$273&lt;&gt;""," | "&amp;'01_Warehouse_Ledger'!$B$273,""))</f>
        <v>PAL-0000273</v>
      </c>
      <c r="C777" t="str">
        <f>IF('01_Warehouse_Ledger'!$A$273="","",'01_Warehouse_Ledger'!$A$273)</f>
        <v>PAL-0000273</v>
      </c>
      <c r="D777" t="s">
        <v>1258</v>
      </c>
    </row>
    <row r="778" spans="1:4">
      <c r="A778" t="s">
        <v>1257</v>
      </c>
      <c r="B778" t="str">
        <f>IF('01_Warehouse_Ledger'!$A$274="","",'01_Warehouse_Ledger'!$A$274&amp;IF('01_Warehouse_Ledger'!$B$274&lt;&gt;""," | "&amp;'01_Warehouse_Ledger'!$B$274,""))</f>
        <v>PAL-0000274</v>
      </c>
      <c r="C778" t="str">
        <f>IF('01_Warehouse_Ledger'!$A$274="","",'01_Warehouse_Ledger'!$A$274)</f>
        <v>PAL-0000274</v>
      </c>
      <c r="D778" t="s">
        <v>1258</v>
      </c>
    </row>
    <row r="779" spans="1:4">
      <c r="A779" t="s">
        <v>1257</v>
      </c>
      <c r="B779" t="str">
        <f>IF('01_Warehouse_Ledger'!$A$275="","",'01_Warehouse_Ledger'!$A$275&amp;IF('01_Warehouse_Ledger'!$B$275&lt;&gt;""," | "&amp;'01_Warehouse_Ledger'!$B$275,""))</f>
        <v>PAL-0000275</v>
      </c>
      <c r="C779" t="str">
        <f>IF('01_Warehouse_Ledger'!$A$275="","",'01_Warehouse_Ledger'!$A$275)</f>
        <v>PAL-0000275</v>
      </c>
      <c r="D779" t="s">
        <v>1258</v>
      </c>
    </row>
    <row r="780" spans="1:4">
      <c r="A780" t="s">
        <v>1257</v>
      </c>
      <c r="B780" t="str">
        <f>IF('01_Warehouse_Ledger'!$A$276="","",'01_Warehouse_Ledger'!$A$276&amp;IF('01_Warehouse_Ledger'!$B$276&lt;&gt;""," | "&amp;'01_Warehouse_Ledger'!$B$276,""))</f>
        <v>PAL-0000276</v>
      </c>
      <c r="C780" t="str">
        <f>IF('01_Warehouse_Ledger'!$A$276="","",'01_Warehouse_Ledger'!$A$276)</f>
        <v>PAL-0000276</v>
      </c>
      <c r="D780" t="s">
        <v>1258</v>
      </c>
    </row>
    <row r="781" spans="1:4">
      <c r="A781" t="s">
        <v>1257</v>
      </c>
      <c r="B781" t="str">
        <f>IF('01_Warehouse_Ledger'!$A$277="","",'01_Warehouse_Ledger'!$A$277&amp;IF('01_Warehouse_Ledger'!$B$277&lt;&gt;""," | "&amp;'01_Warehouse_Ledger'!$B$277,""))</f>
        <v>PAL-0000277</v>
      </c>
      <c r="C781" t="str">
        <f>IF('01_Warehouse_Ledger'!$A$277="","",'01_Warehouse_Ledger'!$A$277)</f>
        <v>PAL-0000277</v>
      </c>
      <c r="D781" t="s">
        <v>1258</v>
      </c>
    </row>
    <row r="782" spans="1:4">
      <c r="A782" t="s">
        <v>1257</v>
      </c>
      <c r="B782" t="str">
        <f>IF('01_Warehouse_Ledger'!$A$278="","",'01_Warehouse_Ledger'!$A$278&amp;IF('01_Warehouse_Ledger'!$B$278&lt;&gt;""," | "&amp;'01_Warehouse_Ledger'!$B$278,""))</f>
        <v>PAL-0000278</v>
      </c>
      <c r="C782" t="str">
        <f>IF('01_Warehouse_Ledger'!$A$278="","",'01_Warehouse_Ledger'!$A$278)</f>
        <v>PAL-0000278</v>
      </c>
      <c r="D782" t="s">
        <v>1258</v>
      </c>
    </row>
    <row r="783" spans="1:4">
      <c r="A783" t="s">
        <v>1257</v>
      </c>
      <c r="B783" t="str">
        <f>IF('01_Warehouse_Ledger'!$A$279="","",'01_Warehouse_Ledger'!$A$279&amp;IF('01_Warehouse_Ledger'!$B$279&lt;&gt;""," | "&amp;'01_Warehouse_Ledger'!$B$279,""))</f>
        <v>PAL-0000279</v>
      </c>
      <c r="C783" t="str">
        <f>IF('01_Warehouse_Ledger'!$A$279="","",'01_Warehouse_Ledger'!$A$279)</f>
        <v>PAL-0000279</v>
      </c>
      <c r="D783" t="s">
        <v>1258</v>
      </c>
    </row>
    <row r="784" spans="1:4">
      <c r="A784" t="s">
        <v>1257</v>
      </c>
      <c r="B784" t="str">
        <f>IF('01_Warehouse_Ledger'!$A$280="","",'01_Warehouse_Ledger'!$A$280&amp;IF('01_Warehouse_Ledger'!$B$280&lt;&gt;""," | "&amp;'01_Warehouse_Ledger'!$B$280,""))</f>
        <v>PAL-0000280</v>
      </c>
      <c r="C784" t="str">
        <f>IF('01_Warehouse_Ledger'!$A$280="","",'01_Warehouse_Ledger'!$A$280)</f>
        <v>PAL-0000280</v>
      </c>
      <c r="D784" t="s">
        <v>1258</v>
      </c>
    </row>
    <row r="785" spans="1:4">
      <c r="A785" t="s">
        <v>1257</v>
      </c>
      <c r="B785" t="str">
        <f>IF('01_Warehouse_Ledger'!$A$281="","",'01_Warehouse_Ledger'!$A$281&amp;IF('01_Warehouse_Ledger'!$B$281&lt;&gt;""," | "&amp;'01_Warehouse_Ledger'!$B$281,""))</f>
        <v>PAL-0000281</v>
      </c>
      <c r="C785" t="str">
        <f>IF('01_Warehouse_Ledger'!$A$281="","",'01_Warehouse_Ledger'!$A$281)</f>
        <v>PAL-0000281</v>
      </c>
      <c r="D785" t="s">
        <v>1258</v>
      </c>
    </row>
    <row r="786" spans="1:4">
      <c r="A786" t="s">
        <v>1257</v>
      </c>
      <c r="B786" t="str">
        <f>IF('01_Warehouse_Ledger'!$A$282="","",'01_Warehouse_Ledger'!$A$282&amp;IF('01_Warehouse_Ledger'!$B$282&lt;&gt;""," | "&amp;'01_Warehouse_Ledger'!$B$282,""))</f>
        <v>PAL-0000282</v>
      </c>
      <c r="C786" t="str">
        <f>IF('01_Warehouse_Ledger'!$A$282="","",'01_Warehouse_Ledger'!$A$282)</f>
        <v>PAL-0000282</v>
      </c>
      <c r="D786" t="s">
        <v>1258</v>
      </c>
    </row>
    <row r="787" spans="1:4">
      <c r="A787" t="s">
        <v>1257</v>
      </c>
      <c r="B787" t="str">
        <f>IF('01_Warehouse_Ledger'!$A$283="","",'01_Warehouse_Ledger'!$A$283&amp;IF('01_Warehouse_Ledger'!$B$283&lt;&gt;""," | "&amp;'01_Warehouse_Ledger'!$B$283,""))</f>
        <v>PAL-0000283</v>
      </c>
      <c r="C787" t="str">
        <f>IF('01_Warehouse_Ledger'!$A$283="","",'01_Warehouse_Ledger'!$A$283)</f>
        <v>PAL-0000283</v>
      </c>
      <c r="D787" t="s">
        <v>1258</v>
      </c>
    </row>
    <row r="788" spans="1:4">
      <c r="A788" t="s">
        <v>1257</v>
      </c>
      <c r="B788" t="str">
        <f>IF('01_Warehouse_Ledger'!$A$284="","",'01_Warehouse_Ledger'!$A$284&amp;IF('01_Warehouse_Ledger'!$B$284&lt;&gt;""," | "&amp;'01_Warehouse_Ledger'!$B$284,""))</f>
        <v>PAL-0000284</v>
      </c>
      <c r="C788" t="str">
        <f>IF('01_Warehouse_Ledger'!$A$284="","",'01_Warehouse_Ledger'!$A$284)</f>
        <v>PAL-0000284</v>
      </c>
      <c r="D788" t="s">
        <v>1258</v>
      </c>
    </row>
    <row r="789" spans="1:4">
      <c r="A789" t="s">
        <v>1257</v>
      </c>
      <c r="B789" t="str">
        <f>IF('01_Warehouse_Ledger'!$A$285="","",'01_Warehouse_Ledger'!$A$285&amp;IF('01_Warehouse_Ledger'!$B$285&lt;&gt;""," | "&amp;'01_Warehouse_Ledger'!$B$285,""))</f>
        <v>PAL-0000285</v>
      </c>
      <c r="C789" t="str">
        <f>IF('01_Warehouse_Ledger'!$A$285="","",'01_Warehouse_Ledger'!$A$285)</f>
        <v>PAL-0000285</v>
      </c>
      <c r="D789" t="s">
        <v>1258</v>
      </c>
    </row>
    <row r="790" spans="1:4">
      <c r="A790" t="s">
        <v>1257</v>
      </c>
      <c r="B790" t="str">
        <f>IF('01_Warehouse_Ledger'!$A$286="","",'01_Warehouse_Ledger'!$A$286&amp;IF('01_Warehouse_Ledger'!$B$286&lt;&gt;""," | "&amp;'01_Warehouse_Ledger'!$B$286,""))</f>
        <v>PAL-0000286</v>
      </c>
      <c r="C790" t="str">
        <f>IF('01_Warehouse_Ledger'!$A$286="","",'01_Warehouse_Ledger'!$A$286)</f>
        <v>PAL-0000286</v>
      </c>
      <c r="D790" t="s">
        <v>1258</v>
      </c>
    </row>
    <row r="791" spans="1:4">
      <c r="A791" t="s">
        <v>1257</v>
      </c>
      <c r="B791" t="str">
        <f>IF('01_Warehouse_Ledger'!$A$287="","",'01_Warehouse_Ledger'!$A$287&amp;IF('01_Warehouse_Ledger'!$B$287&lt;&gt;""," | "&amp;'01_Warehouse_Ledger'!$B$287,""))</f>
        <v>PAL-0000287</v>
      </c>
      <c r="C791" t="str">
        <f>IF('01_Warehouse_Ledger'!$A$287="","",'01_Warehouse_Ledger'!$A$287)</f>
        <v>PAL-0000287</v>
      </c>
      <c r="D791" t="s">
        <v>1258</v>
      </c>
    </row>
    <row r="792" spans="1:4">
      <c r="A792" t="s">
        <v>1257</v>
      </c>
      <c r="B792" t="str">
        <f>IF('01_Warehouse_Ledger'!$A$288="","",'01_Warehouse_Ledger'!$A$288&amp;IF('01_Warehouse_Ledger'!$B$288&lt;&gt;""," | "&amp;'01_Warehouse_Ledger'!$B$288,""))</f>
        <v>PAL-0000288</v>
      </c>
      <c r="C792" t="str">
        <f>IF('01_Warehouse_Ledger'!$A$288="","",'01_Warehouse_Ledger'!$A$288)</f>
        <v>PAL-0000288</v>
      </c>
      <c r="D792" t="s">
        <v>1258</v>
      </c>
    </row>
    <row r="793" spans="1:4">
      <c r="A793" t="s">
        <v>1257</v>
      </c>
      <c r="B793" t="str">
        <f>IF('01_Warehouse_Ledger'!$A$289="","",'01_Warehouse_Ledger'!$A$289&amp;IF('01_Warehouse_Ledger'!$B$289&lt;&gt;""," | "&amp;'01_Warehouse_Ledger'!$B$289,""))</f>
        <v>PAL-0000289</v>
      </c>
      <c r="C793" t="str">
        <f>IF('01_Warehouse_Ledger'!$A$289="","",'01_Warehouse_Ledger'!$A$289)</f>
        <v>PAL-0000289</v>
      </c>
      <c r="D793" t="s">
        <v>1258</v>
      </c>
    </row>
    <row r="794" spans="1:4">
      <c r="A794" t="s">
        <v>1257</v>
      </c>
      <c r="B794" t="str">
        <f>IF('01_Warehouse_Ledger'!$A$290="","",'01_Warehouse_Ledger'!$A$290&amp;IF('01_Warehouse_Ledger'!$B$290&lt;&gt;""," | "&amp;'01_Warehouse_Ledger'!$B$290,""))</f>
        <v>PAL-0000290</v>
      </c>
      <c r="C794" t="str">
        <f>IF('01_Warehouse_Ledger'!$A$290="","",'01_Warehouse_Ledger'!$A$290)</f>
        <v>PAL-0000290</v>
      </c>
      <c r="D794" t="s">
        <v>1258</v>
      </c>
    </row>
    <row r="795" spans="1:4">
      <c r="A795" t="s">
        <v>1257</v>
      </c>
      <c r="B795" t="str">
        <f>IF('01_Warehouse_Ledger'!$A$291="","",'01_Warehouse_Ledger'!$A$291&amp;IF('01_Warehouse_Ledger'!$B$291&lt;&gt;""," | "&amp;'01_Warehouse_Ledger'!$B$291,""))</f>
        <v>PAL-0000291</v>
      </c>
      <c r="C795" t="str">
        <f>IF('01_Warehouse_Ledger'!$A$291="","",'01_Warehouse_Ledger'!$A$291)</f>
        <v>PAL-0000291</v>
      </c>
      <c r="D795" t="s">
        <v>1258</v>
      </c>
    </row>
    <row r="796" spans="1:4">
      <c r="A796" t="s">
        <v>1257</v>
      </c>
      <c r="B796" t="str">
        <f>IF('01_Warehouse_Ledger'!$A$292="","",'01_Warehouse_Ledger'!$A$292&amp;IF('01_Warehouse_Ledger'!$B$292&lt;&gt;""," | "&amp;'01_Warehouse_Ledger'!$B$292,""))</f>
        <v>PAL-0000292</v>
      </c>
      <c r="C796" t="str">
        <f>IF('01_Warehouse_Ledger'!$A$292="","",'01_Warehouse_Ledger'!$A$292)</f>
        <v>PAL-0000292</v>
      </c>
      <c r="D796" t="s">
        <v>1258</v>
      </c>
    </row>
    <row r="797" spans="1:4">
      <c r="A797" t="s">
        <v>1257</v>
      </c>
      <c r="B797" t="str">
        <f>IF('01_Warehouse_Ledger'!$A$293="","",'01_Warehouse_Ledger'!$A$293&amp;IF('01_Warehouse_Ledger'!$B$293&lt;&gt;""," | "&amp;'01_Warehouse_Ledger'!$B$293,""))</f>
        <v>PAL-0000293</v>
      </c>
      <c r="C797" t="str">
        <f>IF('01_Warehouse_Ledger'!$A$293="","",'01_Warehouse_Ledger'!$A$293)</f>
        <v>PAL-0000293</v>
      </c>
      <c r="D797" t="s">
        <v>1258</v>
      </c>
    </row>
    <row r="798" spans="1:4">
      <c r="A798" t="s">
        <v>1257</v>
      </c>
      <c r="B798" t="str">
        <f>IF('01_Warehouse_Ledger'!$A$294="","",'01_Warehouse_Ledger'!$A$294&amp;IF('01_Warehouse_Ledger'!$B$294&lt;&gt;""," | "&amp;'01_Warehouse_Ledger'!$B$294,""))</f>
        <v>PAL-0000294</v>
      </c>
      <c r="C798" t="str">
        <f>IF('01_Warehouse_Ledger'!$A$294="","",'01_Warehouse_Ledger'!$A$294)</f>
        <v>PAL-0000294</v>
      </c>
      <c r="D798" t="s">
        <v>1258</v>
      </c>
    </row>
    <row r="799" spans="1:4">
      <c r="A799" t="s">
        <v>1257</v>
      </c>
      <c r="B799" t="str">
        <f>IF('01_Warehouse_Ledger'!$A$295="","",'01_Warehouse_Ledger'!$A$295&amp;IF('01_Warehouse_Ledger'!$B$295&lt;&gt;""," | "&amp;'01_Warehouse_Ledger'!$B$295,""))</f>
        <v>PAL-0000295</v>
      </c>
      <c r="C799" t="str">
        <f>IF('01_Warehouse_Ledger'!$A$295="","",'01_Warehouse_Ledger'!$A$295)</f>
        <v>PAL-0000295</v>
      </c>
      <c r="D799" t="s">
        <v>1258</v>
      </c>
    </row>
    <row r="800" spans="1:4">
      <c r="A800" t="s">
        <v>1257</v>
      </c>
      <c r="B800" t="str">
        <f>IF('01_Warehouse_Ledger'!$A$296="","",'01_Warehouse_Ledger'!$A$296&amp;IF('01_Warehouse_Ledger'!$B$296&lt;&gt;""," | "&amp;'01_Warehouse_Ledger'!$B$296,""))</f>
        <v>PAL-0000296</v>
      </c>
      <c r="C800" t="str">
        <f>IF('01_Warehouse_Ledger'!$A$296="","",'01_Warehouse_Ledger'!$A$296)</f>
        <v>PAL-0000296</v>
      </c>
      <c r="D800" t="s">
        <v>1258</v>
      </c>
    </row>
    <row r="801" spans="1:4">
      <c r="A801" t="s">
        <v>1257</v>
      </c>
      <c r="B801" t="str">
        <f>IF('01_Warehouse_Ledger'!$A$297="","",'01_Warehouse_Ledger'!$A$297&amp;IF('01_Warehouse_Ledger'!$B$297&lt;&gt;""," | "&amp;'01_Warehouse_Ledger'!$B$297,""))</f>
        <v>PAL-0000297</v>
      </c>
      <c r="C801" t="str">
        <f>IF('01_Warehouse_Ledger'!$A$297="","",'01_Warehouse_Ledger'!$A$297)</f>
        <v>PAL-0000297</v>
      </c>
      <c r="D801" t="s">
        <v>1258</v>
      </c>
    </row>
    <row r="802" spans="1:4">
      <c r="A802" t="s">
        <v>1257</v>
      </c>
      <c r="B802" t="str">
        <f>IF('01_Warehouse_Ledger'!$A$298="","",'01_Warehouse_Ledger'!$A$298&amp;IF('01_Warehouse_Ledger'!$B$298&lt;&gt;""," | "&amp;'01_Warehouse_Ledger'!$B$298,""))</f>
        <v>PAL-0000298</v>
      </c>
      <c r="C802" t="str">
        <f>IF('01_Warehouse_Ledger'!$A$298="","",'01_Warehouse_Ledger'!$A$298)</f>
        <v>PAL-0000298</v>
      </c>
      <c r="D802" t="s">
        <v>1258</v>
      </c>
    </row>
    <row r="803" spans="1:4">
      <c r="A803" t="s">
        <v>1257</v>
      </c>
      <c r="B803" t="str">
        <f>IF('01_Warehouse_Ledger'!$A$299="","",'01_Warehouse_Ledger'!$A$299&amp;IF('01_Warehouse_Ledger'!$B$299&lt;&gt;""," | "&amp;'01_Warehouse_Ledger'!$B$299,""))</f>
        <v>PAL-0000299</v>
      </c>
      <c r="C803" t="str">
        <f>IF('01_Warehouse_Ledger'!$A$299="","",'01_Warehouse_Ledger'!$A$299)</f>
        <v>PAL-0000299</v>
      </c>
      <c r="D803" t="s">
        <v>1258</v>
      </c>
    </row>
    <row r="804" spans="1:4">
      <c r="A804" t="s">
        <v>1257</v>
      </c>
      <c r="B804" t="str">
        <f>IF('01_Warehouse_Ledger'!$A$300="","",'01_Warehouse_Ledger'!$A$300&amp;IF('01_Warehouse_Ledger'!$B$300&lt;&gt;""," | "&amp;'01_Warehouse_Ledger'!$B$300,""))</f>
        <v>PAL-0000300</v>
      </c>
      <c r="C804" t="str">
        <f>IF('01_Warehouse_Ledger'!$A$300="","",'01_Warehouse_Ledger'!$A$300)</f>
        <v>PAL-0000300</v>
      </c>
      <c r="D804" t="s">
        <v>1258</v>
      </c>
    </row>
    <row r="805" spans="1:4">
      <c r="A805" t="s">
        <v>1257</v>
      </c>
      <c r="B805" t="str">
        <f>IF('01_Warehouse_Ledger'!$A$301="","",'01_Warehouse_Ledger'!$A$301&amp;IF('01_Warehouse_Ledger'!$B$301&lt;&gt;""," | "&amp;'01_Warehouse_Ledger'!$B$301,""))</f>
        <v>PAL-0000301</v>
      </c>
      <c r="C805" t="str">
        <f>IF('01_Warehouse_Ledger'!$A$301="","",'01_Warehouse_Ledger'!$A$301)</f>
        <v>PAL-0000301</v>
      </c>
      <c r="D805" t="s">
        <v>1258</v>
      </c>
    </row>
    <row r="806" spans="1:4">
      <c r="A806" t="s">
        <v>1257</v>
      </c>
      <c r="B806" t="str">
        <f>IF('01_Warehouse_Ledger'!$A$302="","",'01_Warehouse_Ledger'!$A$302&amp;IF('01_Warehouse_Ledger'!$B$302&lt;&gt;""," | "&amp;'01_Warehouse_Ledger'!$B$302,""))</f>
        <v>PAL-0000302</v>
      </c>
      <c r="C806" t="str">
        <f>IF('01_Warehouse_Ledger'!$A$302="","",'01_Warehouse_Ledger'!$A$302)</f>
        <v>PAL-0000302</v>
      </c>
      <c r="D806" t="s">
        <v>1258</v>
      </c>
    </row>
    <row r="807" spans="1:4">
      <c r="A807" t="s">
        <v>1257</v>
      </c>
      <c r="B807" t="str">
        <f>IF('01_Warehouse_Ledger'!$A$303="","",'01_Warehouse_Ledger'!$A$303&amp;IF('01_Warehouse_Ledger'!$B$303&lt;&gt;""," | "&amp;'01_Warehouse_Ledger'!$B$303,""))</f>
        <v>PAL-0000303</v>
      </c>
      <c r="C807" t="str">
        <f>IF('01_Warehouse_Ledger'!$A$303="","",'01_Warehouse_Ledger'!$A$303)</f>
        <v>PAL-0000303</v>
      </c>
      <c r="D807" t="s">
        <v>1258</v>
      </c>
    </row>
    <row r="808" spans="1:4">
      <c r="A808" t="s">
        <v>1257</v>
      </c>
      <c r="B808" t="str">
        <f>IF('01_Warehouse_Ledger'!$A$304="","",'01_Warehouse_Ledger'!$A$304&amp;IF('01_Warehouse_Ledger'!$B$304&lt;&gt;""," | "&amp;'01_Warehouse_Ledger'!$B$304,""))</f>
        <v>PAL-0000304</v>
      </c>
      <c r="C808" t="str">
        <f>IF('01_Warehouse_Ledger'!$A$304="","",'01_Warehouse_Ledger'!$A$304)</f>
        <v>PAL-0000304</v>
      </c>
      <c r="D808" t="s">
        <v>1258</v>
      </c>
    </row>
    <row r="809" spans="1:4">
      <c r="A809" t="s">
        <v>1257</v>
      </c>
      <c r="B809" t="str">
        <f>IF('01_Warehouse_Ledger'!$A$305="","",'01_Warehouse_Ledger'!$A$305&amp;IF('01_Warehouse_Ledger'!$B$305&lt;&gt;""," | "&amp;'01_Warehouse_Ledger'!$B$305,""))</f>
        <v>PAL-0000305</v>
      </c>
      <c r="C809" t="str">
        <f>IF('01_Warehouse_Ledger'!$A$305="","",'01_Warehouse_Ledger'!$A$305)</f>
        <v>PAL-0000305</v>
      </c>
      <c r="D809" t="s">
        <v>1258</v>
      </c>
    </row>
    <row r="810" spans="1:4">
      <c r="A810" t="s">
        <v>1257</v>
      </c>
      <c r="B810" t="str">
        <f>IF('01_Warehouse_Ledger'!$A$306="","",'01_Warehouse_Ledger'!$A$306&amp;IF('01_Warehouse_Ledger'!$B$306&lt;&gt;""," | "&amp;'01_Warehouse_Ledger'!$B$306,""))</f>
        <v>PAL-0000306</v>
      </c>
      <c r="C810" t="str">
        <f>IF('01_Warehouse_Ledger'!$A$306="","",'01_Warehouse_Ledger'!$A$306)</f>
        <v>PAL-0000306</v>
      </c>
      <c r="D810" t="s">
        <v>1258</v>
      </c>
    </row>
    <row r="811" spans="1:4">
      <c r="A811" t="s">
        <v>1257</v>
      </c>
      <c r="B811" t="str">
        <f>IF('01_Warehouse_Ledger'!$A$307="","",'01_Warehouse_Ledger'!$A$307&amp;IF('01_Warehouse_Ledger'!$B$307&lt;&gt;""," | "&amp;'01_Warehouse_Ledger'!$B$307,""))</f>
        <v>PAL-0000307</v>
      </c>
      <c r="C811" t="str">
        <f>IF('01_Warehouse_Ledger'!$A$307="","",'01_Warehouse_Ledger'!$A$307)</f>
        <v>PAL-0000307</v>
      </c>
      <c r="D811" t="s">
        <v>1258</v>
      </c>
    </row>
    <row r="812" spans="1:4">
      <c r="A812" t="s">
        <v>1257</v>
      </c>
      <c r="B812" t="str">
        <f>IF('01_Warehouse_Ledger'!$A$308="","",'01_Warehouse_Ledger'!$A$308&amp;IF('01_Warehouse_Ledger'!$B$308&lt;&gt;""," | "&amp;'01_Warehouse_Ledger'!$B$308,""))</f>
        <v>PAL-0000308</v>
      </c>
      <c r="C812" t="str">
        <f>IF('01_Warehouse_Ledger'!$A$308="","",'01_Warehouse_Ledger'!$A$308)</f>
        <v>PAL-0000308</v>
      </c>
      <c r="D812" t="s">
        <v>1258</v>
      </c>
    </row>
    <row r="813" spans="1:4">
      <c r="A813" t="s">
        <v>1257</v>
      </c>
      <c r="B813" t="str">
        <f>IF('01_Warehouse_Ledger'!$A$309="","",'01_Warehouse_Ledger'!$A$309&amp;IF('01_Warehouse_Ledger'!$B$309&lt;&gt;""," | "&amp;'01_Warehouse_Ledger'!$B$309,""))</f>
        <v>PAL-0000309</v>
      </c>
      <c r="C813" t="str">
        <f>IF('01_Warehouse_Ledger'!$A$309="","",'01_Warehouse_Ledger'!$A$309)</f>
        <v>PAL-0000309</v>
      </c>
      <c r="D813" t="s">
        <v>1258</v>
      </c>
    </row>
    <row r="814" spans="1:4">
      <c r="A814" t="s">
        <v>1257</v>
      </c>
      <c r="B814" t="str">
        <f>IF('01_Warehouse_Ledger'!$A$310="","",'01_Warehouse_Ledger'!$A$310&amp;IF('01_Warehouse_Ledger'!$B$310&lt;&gt;""," | "&amp;'01_Warehouse_Ledger'!$B$310,""))</f>
        <v>PAL-0000310</v>
      </c>
      <c r="C814" t="str">
        <f>IF('01_Warehouse_Ledger'!$A$310="","",'01_Warehouse_Ledger'!$A$310)</f>
        <v>PAL-0000310</v>
      </c>
      <c r="D814" t="s">
        <v>1258</v>
      </c>
    </row>
    <row r="815" spans="1:4">
      <c r="A815" t="s">
        <v>1257</v>
      </c>
      <c r="B815" t="str">
        <f>IF('01_Warehouse_Ledger'!$A$311="","",'01_Warehouse_Ledger'!$A$311&amp;IF('01_Warehouse_Ledger'!$B$311&lt;&gt;""," | "&amp;'01_Warehouse_Ledger'!$B$311,""))</f>
        <v>PAL-0000311</v>
      </c>
      <c r="C815" t="str">
        <f>IF('01_Warehouse_Ledger'!$A$311="","",'01_Warehouse_Ledger'!$A$311)</f>
        <v>PAL-0000311</v>
      </c>
      <c r="D815" t="s">
        <v>1258</v>
      </c>
    </row>
    <row r="816" spans="1:4">
      <c r="A816" t="s">
        <v>1257</v>
      </c>
      <c r="B816" t="str">
        <f>IF('01_Warehouse_Ledger'!$A$312="","",'01_Warehouse_Ledger'!$A$312&amp;IF('01_Warehouse_Ledger'!$B$312&lt;&gt;""," | "&amp;'01_Warehouse_Ledger'!$B$312,""))</f>
        <v>PAL-0000312</v>
      </c>
      <c r="C816" t="str">
        <f>IF('01_Warehouse_Ledger'!$A$312="","",'01_Warehouse_Ledger'!$A$312)</f>
        <v>PAL-0000312</v>
      </c>
      <c r="D816" t="s">
        <v>1258</v>
      </c>
    </row>
    <row r="817" spans="1:4">
      <c r="A817" t="s">
        <v>1257</v>
      </c>
      <c r="B817" t="str">
        <f>IF('01_Warehouse_Ledger'!$A$313="","",'01_Warehouse_Ledger'!$A$313&amp;IF('01_Warehouse_Ledger'!$B$313&lt;&gt;""," | "&amp;'01_Warehouse_Ledger'!$B$313,""))</f>
        <v>PAL-0000313</v>
      </c>
      <c r="C817" t="str">
        <f>IF('01_Warehouse_Ledger'!$A$313="","",'01_Warehouse_Ledger'!$A$313)</f>
        <v>PAL-0000313</v>
      </c>
      <c r="D817" t="s">
        <v>1258</v>
      </c>
    </row>
    <row r="818" spans="1:4">
      <c r="A818" t="s">
        <v>1257</v>
      </c>
      <c r="B818" t="str">
        <f>IF('01_Warehouse_Ledger'!$A$314="","",'01_Warehouse_Ledger'!$A$314&amp;IF('01_Warehouse_Ledger'!$B$314&lt;&gt;""," | "&amp;'01_Warehouse_Ledger'!$B$314,""))</f>
        <v>PAL-0000314</v>
      </c>
      <c r="C818" t="str">
        <f>IF('01_Warehouse_Ledger'!$A$314="","",'01_Warehouse_Ledger'!$A$314)</f>
        <v>PAL-0000314</v>
      </c>
      <c r="D818" t="s">
        <v>1258</v>
      </c>
    </row>
    <row r="819" spans="1:4">
      <c r="A819" t="s">
        <v>1257</v>
      </c>
      <c r="B819" t="str">
        <f>IF('01_Warehouse_Ledger'!$A$315="","",'01_Warehouse_Ledger'!$A$315&amp;IF('01_Warehouse_Ledger'!$B$315&lt;&gt;""," | "&amp;'01_Warehouse_Ledger'!$B$315,""))</f>
        <v>PAL-0000315</v>
      </c>
      <c r="C819" t="str">
        <f>IF('01_Warehouse_Ledger'!$A$315="","",'01_Warehouse_Ledger'!$A$315)</f>
        <v>PAL-0000315</v>
      </c>
      <c r="D819" t="s">
        <v>1258</v>
      </c>
    </row>
    <row r="820" spans="1:4">
      <c r="A820" t="s">
        <v>1257</v>
      </c>
      <c r="B820" t="str">
        <f>IF('01_Warehouse_Ledger'!$A$316="","",'01_Warehouse_Ledger'!$A$316&amp;IF('01_Warehouse_Ledger'!$B$316&lt;&gt;""," | "&amp;'01_Warehouse_Ledger'!$B$316,""))</f>
        <v>PAL-0000316</v>
      </c>
      <c r="C820" t="str">
        <f>IF('01_Warehouse_Ledger'!$A$316="","",'01_Warehouse_Ledger'!$A$316)</f>
        <v>PAL-0000316</v>
      </c>
      <c r="D820" t="s">
        <v>1258</v>
      </c>
    </row>
    <row r="821" spans="1:4">
      <c r="A821" t="s">
        <v>1257</v>
      </c>
      <c r="B821" t="str">
        <f>IF('01_Warehouse_Ledger'!$A$317="","",'01_Warehouse_Ledger'!$A$317&amp;IF('01_Warehouse_Ledger'!$B$317&lt;&gt;""," | "&amp;'01_Warehouse_Ledger'!$B$317,""))</f>
        <v>PAL-0000317</v>
      </c>
      <c r="C821" t="str">
        <f>IF('01_Warehouse_Ledger'!$A$317="","",'01_Warehouse_Ledger'!$A$317)</f>
        <v>PAL-0000317</v>
      </c>
      <c r="D821" t="s">
        <v>1258</v>
      </c>
    </row>
    <row r="822" spans="1:4">
      <c r="A822" t="s">
        <v>1257</v>
      </c>
      <c r="B822" t="str">
        <f>IF('01_Warehouse_Ledger'!$A$318="","",'01_Warehouse_Ledger'!$A$318&amp;IF('01_Warehouse_Ledger'!$B$318&lt;&gt;""," | "&amp;'01_Warehouse_Ledger'!$B$318,""))</f>
        <v>PAL-0000318</v>
      </c>
      <c r="C822" t="str">
        <f>IF('01_Warehouse_Ledger'!$A$318="","",'01_Warehouse_Ledger'!$A$318)</f>
        <v>PAL-0000318</v>
      </c>
      <c r="D822" t="s">
        <v>1258</v>
      </c>
    </row>
    <row r="823" spans="1:4">
      <c r="A823" t="s">
        <v>1257</v>
      </c>
      <c r="B823" t="str">
        <f>IF('01_Warehouse_Ledger'!$A$319="","",'01_Warehouse_Ledger'!$A$319&amp;IF('01_Warehouse_Ledger'!$B$319&lt;&gt;""," | "&amp;'01_Warehouse_Ledger'!$B$319,""))</f>
        <v>PAL-0000319</v>
      </c>
      <c r="C823" t="str">
        <f>IF('01_Warehouse_Ledger'!$A$319="","",'01_Warehouse_Ledger'!$A$319)</f>
        <v>PAL-0000319</v>
      </c>
      <c r="D823" t="s">
        <v>1258</v>
      </c>
    </row>
    <row r="824" spans="1:4">
      <c r="A824" t="s">
        <v>1257</v>
      </c>
      <c r="B824" t="str">
        <f>IF('01_Warehouse_Ledger'!$A$320="","",'01_Warehouse_Ledger'!$A$320&amp;IF('01_Warehouse_Ledger'!$B$320&lt;&gt;""," | "&amp;'01_Warehouse_Ledger'!$B$320,""))</f>
        <v>PAL-0000320</v>
      </c>
      <c r="C824" t="str">
        <f>IF('01_Warehouse_Ledger'!$A$320="","",'01_Warehouse_Ledger'!$A$320)</f>
        <v>PAL-0000320</v>
      </c>
      <c r="D824" t="s">
        <v>1258</v>
      </c>
    </row>
    <row r="825" spans="1:4">
      <c r="A825" t="s">
        <v>1257</v>
      </c>
      <c r="B825" t="str">
        <f>IF('01_Warehouse_Ledger'!$A$321="","",'01_Warehouse_Ledger'!$A$321&amp;IF('01_Warehouse_Ledger'!$B$321&lt;&gt;""," | "&amp;'01_Warehouse_Ledger'!$B$321,""))</f>
        <v>PAL-0000321</v>
      </c>
      <c r="C825" t="str">
        <f>IF('01_Warehouse_Ledger'!$A$321="","",'01_Warehouse_Ledger'!$A$321)</f>
        <v>PAL-0000321</v>
      </c>
      <c r="D825" t="s">
        <v>1258</v>
      </c>
    </row>
    <row r="826" spans="1:4">
      <c r="A826" t="s">
        <v>1257</v>
      </c>
      <c r="B826" t="str">
        <f>IF('01_Warehouse_Ledger'!$A$322="","",'01_Warehouse_Ledger'!$A$322&amp;IF('01_Warehouse_Ledger'!$B$322&lt;&gt;""," | "&amp;'01_Warehouse_Ledger'!$B$322,""))</f>
        <v>PAL-0000322</v>
      </c>
      <c r="C826" t="str">
        <f>IF('01_Warehouse_Ledger'!$A$322="","",'01_Warehouse_Ledger'!$A$322)</f>
        <v>PAL-0000322</v>
      </c>
      <c r="D826" t="s">
        <v>1258</v>
      </c>
    </row>
    <row r="827" spans="1:4">
      <c r="A827" t="s">
        <v>1257</v>
      </c>
      <c r="B827" t="str">
        <f>IF('01_Warehouse_Ledger'!$A$323="","",'01_Warehouse_Ledger'!$A$323&amp;IF('01_Warehouse_Ledger'!$B$323&lt;&gt;""," | "&amp;'01_Warehouse_Ledger'!$B$323,""))</f>
        <v>PAL-0000323</v>
      </c>
      <c r="C827" t="str">
        <f>IF('01_Warehouse_Ledger'!$A$323="","",'01_Warehouse_Ledger'!$A$323)</f>
        <v>PAL-0000323</v>
      </c>
      <c r="D827" t="s">
        <v>1258</v>
      </c>
    </row>
    <row r="828" spans="1:4">
      <c r="A828" t="s">
        <v>1257</v>
      </c>
      <c r="B828" t="str">
        <f>IF('01_Warehouse_Ledger'!$A$324="","",'01_Warehouse_Ledger'!$A$324&amp;IF('01_Warehouse_Ledger'!$B$324&lt;&gt;""," | "&amp;'01_Warehouse_Ledger'!$B$324,""))</f>
        <v>PAL-0000324</v>
      </c>
      <c r="C828" t="str">
        <f>IF('01_Warehouse_Ledger'!$A$324="","",'01_Warehouse_Ledger'!$A$324)</f>
        <v>PAL-0000324</v>
      </c>
      <c r="D828" t="s">
        <v>1258</v>
      </c>
    </row>
    <row r="829" spans="1:4">
      <c r="A829" t="s">
        <v>1257</v>
      </c>
      <c r="B829" t="str">
        <f>IF('01_Warehouse_Ledger'!$A$325="","",'01_Warehouse_Ledger'!$A$325&amp;IF('01_Warehouse_Ledger'!$B$325&lt;&gt;""," | "&amp;'01_Warehouse_Ledger'!$B$325,""))</f>
        <v>PAL-0000325</v>
      </c>
      <c r="C829" t="str">
        <f>IF('01_Warehouse_Ledger'!$A$325="","",'01_Warehouse_Ledger'!$A$325)</f>
        <v>PAL-0000325</v>
      </c>
      <c r="D829" t="s">
        <v>1258</v>
      </c>
    </row>
    <row r="830" spans="1:4">
      <c r="A830" t="s">
        <v>1257</v>
      </c>
      <c r="B830" t="str">
        <f>IF('01_Warehouse_Ledger'!$A$326="","",'01_Warehouse_Ledger'!$A$326&amp;IF('01_Warehouse_Ledger'!$B$326&lt;&gt;""," | "&amp;'01_Warehouse_Ledger'!$B$326,""))</f>
        <v>PAL-0000326</v>
      </c>
      <c r="C830" t="str">
        <f>IF('01_Warehouse_Ledger'!$A$326="","",'01_Warehouse_Ledger'!$A$326)</f>
        <v>PAL-0000326</v>
      </c>
      <c r="D830" t="s">
        <v>1258</v>
      </c>
    </row>
    <row r="831" spans="1:4">
      <c r="A831" t="s">
        <v>1257</v>
      </c>
      <c r="B831" t="str">
        <f>IF('01_Warehouse_Ledger'!$A$327="","",'01_Warehouse_Ledger'!$A$327&amp;IF('01_Warehouse_Ledger'!$B$327&lt;&gt;""," | "&amp;'01_Warehouse_Ledger'!$B$327,""))</f>
        <v>PAL-0000327</v>
      </c>
      <c r="C831" t="str">
        <f>IF('01_Warehouse_Ledger'!$A$327="","",'01_Warehouse_Ledger'!$A$327)</f>
        <v>PAL-0000327</v>
      </c>
      <c r="D831" t="s">
        <v>1258</v>
      </c>
    </row>
    <row r="832" spans="1:4">
      <c r="A832" t="s">
        <v>1257</v>
      </c>
      <c r="B832" t="str">
        <f>IF('01_Warehouse_Ledger'!$A$328="","",'01_Warehouse_Ledger'!$A$328&amp;IF('01_Warehouse_Ledger'!$B$328&lt;&gt;""," | "&amp;'01_Warehouse_Ledger'!$B$328,""))</f>
        <v>PAL-0000328</v>
      </c>
      <c r="C832" t="str">
        <f>IF('01_Warehouse_Ledger'!$A$328="","",'01_Warehouse_Ledger'!$A$328)</f>
        <v>PAL-0000328</v>
      </c>
      <c r="D832" t="s">
        <v>1258</v>
      </c>
    </row>
    <row r="833" spans="1:4">
      <c r="A833" t="s">
        <v>1257</v>
      </c>
      <c r="B833" t="str">
        <f>IF('01_Warehouse_Ledger'!$A$329="","",'01_Warehouse_Ledger'!$A$329&amp;IF('01_Warehouse_Ledger'!$B$329&lt;&gt;""," | "&amp;'01_Warehouse_Ledger'!$B$329,""))</f>
        <v>PAL-0000329</v>
      </c>
      <c r="C833" t="str">
        <f>IF('01_Warehouse_Ledger'!$A$329="","",'01_Warehouse_Ledger'!$A$329)</f>
        <v>PAL-0000329</v>
      </c>
      <c r="D833" t="s">
        <v>1258</v>
      </c>
    </row>
    <row r="834" spans="1:4">
      <c r="A834" t="s">
        <v>1257</v>
      </c>
      <c r="B834" t="str">
        <f>IF('01_Warehouse_Ledger'!$A$330="","",'01_Warehouse_Ledger'!$A$330&amp;IF('01_Warehouse_Ledger'!$B$330&lt;&gt;""," | "&amp;'01_Warehouse_Ledger'!$B$330,""))</f>
        <v>PAL-0000330</v>
      </c>
      <c r="C834" t="str">
        <f>IF('01_Warehouse_Ledger'!$A$330="","",'01_Warehouse_Ledger'!$A$330)</f>
        <v>PAL-0000330</v>
      </c>
      <c r="D834" t="s">
        <v>1258</v>
      </c>
    </row>
    <row r="835" spans="1:4">
      <c r="A835" t="s">
        <v>1257</v>
      </c>
      <c r="B835" t="str">
        <f>IF('01_Warehouse_Ledger'!$A$331="","",'01_Warehouse_Ledger'!$A$331&amp;IF('01_Warehouse_Ledger'!$B$331&lt;&gt;""," | "&amp;'01_Warehouse_Ledger'!$B$331,""))</f>
        <v>PAL-0000331</v>
      </c>
      <c r="C835" t="str">
        <f>IF('01_Warehouse_Ledger'!$A$331="","",'01_Warehouse_Ledger'!$A$331)</f>
        <v>PAL-0000331</v>
      </c>
      <c r="D835" t="s">
        <v>1258</v>
      </c>
    </row>
    <row r="836" spans="1:4">
      <c r="A836" t="s">
        <v>1257</v>
      </c>
      <c r="B836" t="str">
        <f>IF('01_Warehouse_Ledger'!$A$332="","",'01_Warehouse_Ledger'!$A$332&amp;IF('01_Warehouse_Ledger'!$B$332&lt;&gt;""," | "&amp;'01_Warehouse_Ledger'!$B$332,""))</f>
        <v>PAL-0000332</v>
      </c>
      <c r="C836" t="str">
        <f>IF('01_Warehouse_Ledger'!$A$332="","",'01_Warehouse_Ledger'!$A$332)</f>
        <v>PAL-0000332</v>
      </c>
      <c r="D836" t="s">
        <v>1258</v>
      </c>
    </row>
    <row r="837" spans="1:4">
      <c r="A837" t="s">
        <v>1257</v>
      </c>
      <c r="B837" t="str">
        <f>IF('01_Warehouse_Ledger'!$A$333="","",'01_Warehouse_Ledger'!$A$333&amp;IF('01_Warehouse_Ledger'!$B$333&lt;&gt;""," | "&amp;'01_Warehouse_Ledger'!$B$333,""))</f>
        <v>PAL-0000333</v>
      </c>
      <c r="C837" t="str">
        <f>IF('01_Warehouse_Ledger'!$A$333="","",'01_Warehouse_Ledger'!$A$333)</f>
        <v>PAL-0000333</v>
      </c>
      <c r="D837" t="s">
        <v>1258</v>
      </c>
    </row>
    <row r="838" spans="1:4">
      <c r="A838" t="s">
        <v>1257</v>
      </c>
      <c r="B838" t="str">
        <f>IF('01_Warehouse_Ledger'!$A$334="","",'01_Warehouse_Ledger'!$A$334&amp;IF('01_Warehouse_Ledger'!$B$334&lt;&gt;""," | "&amp;'01_Warehouse_Ledger'!$B$334,""))</f>
        <v>PAL-0000334</v>
      </c>
      <c r="C838" t="str">
        <f>IF('01_Warehouse_Ledger'!$A$334="","",'01_Warehouse_Ledger'!$A$334)</f>
        <v>PAL-0000334</v>
      </c>
      <c r="D838" t="s">
        <v>1258</v>
      </c>
    </row>
    <row r="839" spans="1:4">
      <c r="A839" t="s">
        <v>1257</v>
      </c>
      <c r="B839" t="str">
        <f>IF('01_Warehouse_Ledger'!$A$335="","",'01_Warehouse_Ledger'!$A$335&amp;IF('01_Warehouse_Ledger'!$B$335&lt;&gt;""," | "&amp;'01_Warehouse_Ledger'!$B$335,""))</f>
        <v>PAL-0000335</v>
      </c>
      <c r="C839" t="str">
        <f>IF('01_Warehouse_Ledger'!$A$335="","",'01_Warehouse_Ledger'!$A$335)</f>
        <v>PAL-0000335</v>
      </c>
      <c r="D839" t="s">
        <v>1258</v>
      </c>
    </row>
    <row r="840" spans="1:4">
      <c r="A840" t="s">
        <v>1257</v>
      </c>
      <c r="B840" t="str">
        <f>IF('01_Warehouse_Ledger'!$A$336="","",'01_Warehouse_Ledger'!$A$336&amp;IF('01_Warehouse_Ledger'!$B$336&lt;&gt;""," | "&amp;'01_Warehouse_Ledger'!$B$336,""))</f>
        <v>PAL-0000336</v>
      </c>
      <c r="C840" t="str">
        <f>IF('01_Warehouse_Ledger'!$A$336="","",'01_Warehouse_Ledger'!$A$336)</f>
        <v>PAL-0000336</v>
      </c>
      <c r="D840" t="s">
        <v>1258</v>
      </c>
    </row>
    <row r="841" spans="1:4">
      <c r="A841" t="s">
        <v>1257</v>
      </c>
      <c r="B841" t="str">
        <f>IF('01_Warehouse_Ledger'!$A$337="","",'01_Warehouse_Ledger'!$A$337&amp;IF('01_Warehouse_Ledger'!$B$337&lt;&gt;""," | "&amp;'01_Warehouse_Ledger'!$B$337,""))</f>
        <v>PAL-0000337</v>
      </c>
      <c r="C841" t="str">
        <f>IF('01_Warehouse_Ledger'!$A$337="","",'01_Warehouse_Ledger'!$A$337)</f>
        <v>PAL-0000337</v>
      </c>
      <c r="D841" t="s">
        <v>1258</v>
      </c>
    </row>
    <row r="842" spans="1:4">
      <c r="A842" t="s">
        <v>1257</v>
      </c>
      <c r="B842" t="str">
        <f>IF('01_Warehouse_Ledger'!$A$338="","",'01_Warehouse_Ledger'!$A$338&amp;IF('01_Warehouse_Ledger'!$B$338&lt;&gt;""," | "&amp;'01_Warehouse_Ledger'!$B$338,""))</f>
        <v>PAL-0000338</v>
      </c>
      <c r="C842" t="str">
        <f>IF('01_Warehouse_Ledger'!$A$338="","",'01_Warehouse_Ledger'!$A$338)</f>
        <v>PAL-0000338</v>
      </c>
      <c r="D842" t="s">
        <v>1258</v>
      </c>
    </row>
    <row r="843" spans="1:4">
      <c r="A843" t="s">
        <v>1257</v>
      </c>
      <c r="B843" t="str">
        <f>IF('01_Warehouse_Ledger'!$A$339="","",'01_Warehouse_Ledger'!$A$339&amp;IF('01_Warehouse_Ledger'!$B$339&lt;&gt;""," | "&amp;'01_Warehouse_Ledger'!$B$339,""))</f>
        <v>PAL-0000339</v>
      </c>
      <c r="C843" t="str">
        <f>IF('01_Warehouse_Ledger'!$A$339="","",'01_Warehouse_Ledger'!$A$339)</f>
        <v>PAL-0000339</v>
      </c>
      <c r="D843" t="s">
        <v>1258</v>
      </c>
    </row>
    <row r="844" spans="1:4">
      <c r="A844" t="s">
        <v>1257</v>
      </c>
      <c r="B844" t="str">
        <f>IF('01_Warehouse_Ledger'!$A$340="","",'01_Warehouse_Ledger'!$A$340&amp;IF('01_Warehouse_Ledger'!$B$340&lt;&gt;""," | "&amp;'01_Warehouse_Ledger'!$B$340,""))</f>
        <v>PAL-0000340</v>
      </c>
      <c r="C844" t="str">
        <f>IF('01_Warehouse_Ledger'!$A$340="","",'01_Warehouse_Ledger'!$A$340)</f>
        <v>PAL-0000340</v>
      </c>
      <c r="D844" t="s">
        <v>1258</v>
      </c>
    </row>
    <row r="845" spans="1:4">
      <c r="A845" t="s">
        <v>1257</v>
      </c>
      <c r="B845" t="str">
        <f>IF('01_Warehouse_Ledger'!$A$341="","",'01_Warehouse_Ledger'!$A$341&amp;IF('01_Warehouse_Ledger'!$B$341&lt;&gt;""," | "&amp;'01_Warehouse_Ledger'!$B$341,""))</f>
        <v>PAL-0000341</v>
      </c>
      <c r="C845" t="str">
        <f>IF('01_Warehouse_Ledger'!$A$341="","",'01_Warehouse_Ledger'!$A$341)</f>
        <v>PAL-0000341</v>
      </c>
      <c r="D845" t="s">
        <v>1258</v>
      </c>
    </row>
    <row r="846" spans="1:4">
      <c r="A846" t="s">
        <v>1257</v>
      </c>
      <c r="B846" t="str">
        <f>IF('01_Warehouse_Ledger'!$A$342="","",'01_Warehouse_Ledger'!$A$342&amp;IF('01_Warehouse_Ledger'!$B$342&lt;&gt;""," | "&amp;'01_Warehouse_Ledger'!$B$342,""))</f>
        <v>PAL-0000342</v>
      </c>
      <c r="C846" t="str">
        <f>IF('01_Warehouse_Ledger'!$A$342="","",'01_Warehouse_Ledger'!$A$342)</f>
        <v>PAL-0000342</v>
      </c>
      <c r="D846" t="s">
        <v>1258</v>
      </c>
    </row>
    <row r="847" spans="1:4">
      <c r="A847" t="s">
        <v>1257</v>
      </c>
      <c r="B847" t="str">
        <f>IF('01_Warehouse_Ledger'!$A$343="","",'01_Warehouse_Ledger'!$A$343&amp;IF('01_Warehouse_Ledger'!$B$343&lt;&gt;""," | "&amp;'01_Warehouse_Ledger'!$B$343,""))</f>
        <v>PAL-0000343</v>
      </c>
      <c r="C847" t="str">
        <f>IF('01_Warehouse_Ledger'!$A$343="","",'01_Warehouse_Ledger'!$A$343)</f>
        <v>PAL-0000343</v>
      </c>
      <c r="D847" t="s">
        <v>1258</v>
      </c>
    </row>
    <row r="848" spans="1:4">
      <c r="A848" t="s">
        <v>1257</v>
      </c>
      <c r="B848" t="str">
        <f>IF('01_Warehouse_Ledger'!$A$344="","",'01_Warehouse_Ledger'!$A$344&amp;IF('01_Warehouse_Ledger'!$B$344&lt;&gt;""," | "&amp;'01_Warehouse_Ledger'!$B$344,""))</f>
        <v>PAL-0000344</v>
      </c>
      <c r="C848" t="str">
        <f>IF('01_Warehouse_Ledger'!$A$344="","",'01_Warehouse_Ledger'!$A$344)</f>
        <v>PAL-0000344</v>
      </c>
      <c r="D848" t="s">
        <v>1258</v>
      </c>
    </row>
    <row r="849" spans="1:4">
      <c r="A849" t="s">
        <v>1257</v>
      </c>
      <c r="B849" t="str">
        <f>IF('01_Warehouse_Ledger'!$A$345="","",'01_Warehouse_Ledger'!$A$345&amp;IF('01_Warehouse_Ledger'!$B$345&lt;&gt;""," | "&amp;'01_Warehouse_Ledger'!$B$345,""))</f>
        <v>PAL-0000345</v>
      </c>
      <c r="C849" t="str">
        <f>IF('01_Warehouse_Ledger'!$A$345="","",'01_Warehouse_Ledger'!$A$345)</f>
        <v>PAL-0000345</v>
      </c>
      <c r="D849" t="s">
        <v>1258</v>
      </c>
    </row>
    <row r="850" spans="1:4">
      <c r="A850" t="s">
        <v>1257</v>
      </c>
      <c r="B850" t="str">
        <f>IF('01_Warehouse_Ledger'!$A$346="","",'01_Warehouse_Ledger'!$A$346&amp;IF('01_Warehouse_Ledger'!$B$346&lt;&gt;""," | "&amp;'01_Warehouse_Ledger'!$B$346,""))</f>
        <v>PAL-0000346</v>
      </c>
      <c r="C850" t="str">
        <f>IF('01_Warehouse_Ledger'!$A$346="","",'01_Warehouse_Ledger'!$A$346)</f>
        <v>PAL-0000346</v>
      </c>
      <c r="D850" t="s">
        <v>1258</v>
      </c>
    </row>
    <row r="851" spans="1:4">
      <c r="A851" t="s">
        <v>1257</v>
      </c>
      <c r="B851" t="str">
        <f>IF('01_Warehouse_Ledger'!$A$347="","",'01_Warehouse_Ledger'!$A$347&amp;IF('01_Warehouse_Ledger'!$B$347&lt;&gt;""," | "&amp;'01_Warehouse_Ledger'!$B$347,""))</f>
        <v>PAL-0000347</v>
      </c>
      <c r="C851" t="str">
        <f>IF('01_Warehouse_Ledger'!$A$347="","",'01_Warehouse_Ledger'!$A$347)</f>
        <v>PAL-0000347</v>
      </c>
      <c r="D851" t="s">
        <v>1258</v>
      </c>
    </row>
    <row r="852" spans="1:4">
      <c r="A852" t="s">
        <v>1257</v>
      </c>
      <c r="B852" t="str">
        <f>IF('01_Warehouse_Ledger'!$A$348="","",'01_Warehouse_Ledger'!$A$348&amp;IF('01_Warehouse_Ledger'!$B$348&lt;&gt;""," | "&amp;'01_Warehouse_Ledger'!$B$348,""))</f>
        <v>PAL-0000348</v>
      </c>
      <c r="C852" t="str">
        <f>IF('01_Warehouse_Ledger'!$A$348="","",'01_Warehouse_Ledger'!$A$348)</f>
        <v>PAL-0000348</v>
      </c>
      <c r="D852" t="s">
        <v>1258</v>
      </c>
    </row>
    <row r="853" spans="1:4">
      <c r="A853" t="s">
        <v>1257</v>
      </c>
      <c r="B853" t="str">
        <f>IF('01_Warehouse_Ledger'!$A$349="","",'01_Warehouse_Ledger'!$A$349&amp;IF('01_Warehouse_Ledger'!$B$349&lt;&gt;""," | "&amp;'01_Warehouse_Ledger'!$B$349,""))</f>
        <v>PAL-0000349</v>
      </c>
      <c r="C853" t="str">
        <f>IF('01_Warehouse_Ledger'!$A$349="","",'01_Warehouse_Ledger'!$A$349)</f>
        <v>PAL-0000349</v>
      </c>
      <c r="D853" t="s">
        <v>1258</v>
      </c>
    </row>
    <row r="854" spans="1:4">
      <c r="A854" t="s">
        <v>1257</v>
      </c>
      <c r="B854" t="str">
        <f>IF('01_Warehouse_Ledger'!$A$350="","",'01_Warehouse_Ledger'!$A$350&amp;IF('01_Warehouse_Ledger'!$B$350&lt;&gt;""," | "&amp;'01_Warehouse_Ledger'!$B$350,""))</f>
        <v>PAL-0000350</v>
      </c>
      <c r="C854" t="str">
        <f>IF('01_Warehouse_Ledger'!$A$350="","",'01_Warehouse_Ledger'!$A$350)</f>
        <v>PAL-0000350</v>
      </c>
      <c r="D854" t="s">
        <v>1258</v>
      </c>
    </row>
    <row r="855" spans="1:4">
      <c r="A855" t="s">
        <v>1257</v>
      </c>
      <c r="B855" t="str">
        <f>IF('01_Warehouse_Ledger'!$A$351="","",'01_Warehouse_Ledger'!$A$351&amp;IF('01_Warehouse_Ledger'!$B$351&lt;&gt;""," | "&amp;'01_Warehouse_Ledger'!$B$351,""))</f>
        <v>PAL-0000351</v>
      </c>
      <c r="C855" t="str">
        <f>IF('01_Warehouse_Ledger'!$A$351="","",'01_Warehouse_Ledger'!$A$351)</f>
        <v>PAL-0000351</v>
      </c>
      <c r="D855" t="s">
        <v>1258</v>
      </c>
    </row>
    <row r="856" spans="1:4">
      <c r="A856" t="s">
        <v>1257</v>
      </c>
      <c r="B856" t="str">
        <f>IF('01_Warehouse_Ledger'!$A$352="","",'01_Warehouse_Ledger'!$A$352&amp;IF('01_Warehouse_Ledger'!$B$352&lt;&gt;""," | "&amp;'01_Warehouse_Ledger'!$B$352,""))</f>
        <v>PAL-0000352</v>
      </c>
      <c r="C856" t="str">
        <f>IF('01_Warehouse_Ledger'!$A$352="","",'01_Warehouse_Ledger'!$A$352)</f>
        <v>PAL-0000352</v>
      </c>
      <c r="D856" t="s">
        <v>1258</v>
      </c>
    </row>
    <row r="857" spans="1:4">
      <c r="A857" t="s">
        <v>1257</v>
      </c>
      <c r="B857" t="str">
        <f>IF('01_Warehouse_Ledger'!$A$353="","",'01_Warehouse_Ledger'!$A$353&amp;IF('01_Warehouse_Ledger'!$B$353&lt;&gt;""," | "&amp;'01_Warehouse_Ledger'!$B$353,""))</f>
        <v>PAL-0000353</v>
      </c>
      <c r="C857" t="str">
        <f>IF('01_Warehouse_Ledger'!$A$353="","",'01_Warehouse_Ledger'!$A$353)</f>
        <v>PAL-0000353</v>
      </c>
      <c r="D857" t="s">
        <v>1258</v>
      </c>
    </row>
    <row r="858" spans="1:4">
      <c r="A858" t="s">
        <v>1257</v>
      </c>
      <c r="B858" t="str">
        <f>IF('01_Warehouse_Ledger'!$A$354="","",'01_Warehouse_Ledger'!$A$354&amp;IF('01_Warehouse_Ledger'!$B$354&lt;&gt;""," | "&amp;'01_Warehouse_Ledger'!$B$354,""))</f>
        <v>PAL-0000354</v>
      </c>
      <c r="C858" t="str">
        <f>IF('01_Warehouse_Ledger'!$A$354="","",'01_Warehouse_Ledger'!$A$354)</f>
        <v>PAL-0000354</v>
      </c>
      <c r="D858" t="s">
        <v>1258</v>
      </c>
    </row>
    <row r="859" spans="1:4">
      <c r="A859" t="s">
        <v>1257</v>
      </c>
      <c r="B859" t="str">
        <f>IF('01_Warehouse_Ledger'!$A$355="","",'01_Warehouse_Ledger'!$A$355&amp;IF('01_Warehouse_Ledger'!$B$355&lt;&gt;""," | "&amp;'01_Warehouse_Ledger'!$B$355,""))</f>
        <v>PAL-0000355</v>
      </c>
      <c r="C859" t="str">
        <f>IF('01_Warehouse_Ledger'!$A$355="","",'01_Warehouse_Ledger'!$A$355)</f>
        <v>PAL-0000355</v>
      </c>
      <c r="D859" t="s">
        <v>1258</v>
      </c>
    </row>
    <row r="860" spans="1:4">
      <c r="A860" t="s">
        <v>1257</v>
      </c>
      <c r="B860" t="str">
        <f>IF('01_Warehouse_Ledger'!$A$356="","",'01_Warehouse_Ledger'!$A$356&amp;IF('01_Warehouse_Ledger'!$B$356&lt;&gt;""," | "&amp;'01_Warehouse_Ledger'!$B$356,""))</f>
        <v>PAL-0000356</v>
      </c>
      <c r="C860" t="str">
        <f>IF('01_Warehouse_Ledger'!$A$356="","",'01_Warehouse_Ledger'!$A$356)</f>
        <v>PAL-0000356</v>
      </c>
      <c r="D860" t="s">
        <v>1258</v>
      </c>
    </row>
    <row r="861" spans="1:4">
      <c r="A861" t="s">
        <v>1257</v>
      </c>
      <c r="B861" t="str">
        <f>IF('01_Warehouse_Ledger'!$A$357="","",'01_Warehouse_Ledger'!$A$357&amp;IF('01_Warehouse_Ledger'!$B$357&lt;&gt;""," | "&amp;'01_Warehouse_Ledger'!$B$357,""))</f>
        <v>PAL-0000357</v>
      </c>
      <c r="C861" t="str">
        <f>IF('01_Warehouse_Ledger'!$A$357="","",'01_Warehouse_Ledger'!$A$357)</f>
        <v>PAL-0000357</v>
      </c>
      <c r="D861" t="s">
        <v>1258</v>
      </c>
    </row>
    <row r="862" spans="1:4">
      <c r="A862" t="s">
        <v>1257</v>
      </c>
      <c r="B862" t="str">
        <f>IF('01_Warehouse_Ledger'!$A$358="","",'01_Warehouse_Ledger'!$A$358&amp;IF('01_Warehouse_Ledger'!$B$358&lt;&gt;""," | "&amp;'01_Warehouse_Ledger'!$B$358,""))</f>
        <v>PAL-0000358</v>
      </c>
      <c r="C862" t="str">
        <f>IF('01_Warehouse_Ledger'!$A$358="","",'01_Warehouse_Ledger'!$A$358)</f>
        <v>PAL-0000358</v>
      </c>
      <c r="D862" t="s">
        <v>1258</v>
      </c>
    </row>
    <row r="863" spans="1:4">
      <c r="A863" t="s">
        <v>1257</v>
      </c>
      <c r="B863" t="str">
        <f>IF('01_Warehouse_Ledger'!$A$359="","",'01_Warehouse_Ledger'!$A$359&amp;IF('01_Warehouse_Ledger'!$B$359&lt;&gt;""," | "&amp;'01_Warehouse_Ledger'!$B$359,""))</f>
        <v>PAL-0000359</v>
      </c>
      <c r="C863" t="str">
        <f>IF('01_Warehouse_Ledger'!$A$359="","",'01_Warehouse_Ledger'!$A$359)</f>
        <v>PAL-0000359</v>
      </c>
      <c r="D863" t="s">
        <v>1258</v>
      </c>
    </row>
    <row r="864" spans="1:4">
      <c r="A864" t="s">
        <v>1257</v>
      </c>
      <c r="B864" t="str">
        <f>IF('01_Warehouse_Ledger'!$A$360="","",'01_Warehouse_Ledger'!$A$360&amp;IF('01_Warehouse_Ledger'!$B$360&lt;&gt;""," | "&amp;'01_Warehouse_Ledger'!$B$360,""))</f>
        <v>PAL-0000360</v>
      </c>
      <c r="C864" t="str">
        <f>IF('01_Warehouse_Ledger'!$A$360="","",'01_Warehouse_Ledger'!$A$360)</f>
        <v>PAL-0000360</v>
      </c>
      <c r="D864" t="s">
        <v>1258</v>
      </c>
    </row>
    <row r="865" spans="1:4">
      <c r="A865" t="s">
        <v>1257</v>
      </c>
      <c r="B865" t="str">
        <f>IF('01_Warehouse_Ledger'!$A$361="","",'01_Warehouse_Ledger'!$A$361&amp;IF('01_Warehouse_Ledger'!$B$361&lt;&gt;""," | "&amp;'01_Warehouse_Ledger'!$B$361,""))</f>
        <v>PAL-0000361</v>
      </c>
      <c r="C865" t="str">
        <f>IF('01_Warehouse_Ledger'!$A$361="","",'01_Warehouse_Ledger'!$A$361)</f>
        <v>PAL-0000361</v>
      </c>
      <c r="D865" t="s">
        <v>1258</v>
      </c>
    </row>
    <row r="866" spans="1:4">
      <c r="A866" t="s">
        <v>1257</v>
      </c>
      <c r="B866" t="str">
        <f>IF('01_Warehouse_Ledger'!$A$362="","",'01_Warehouse_Ledger'!$A$362&amp;IF('01_Warehouse_Ledger'!$B$362&lt;&gt;""," | "&amp;'01_Warehouse_Ledger'!$B$362,""))</f>
        <v>PAL-0000362</v>
      </c>
      <c r="C866" t="str">
        <f>IF('01_Warehouse_Ledger'!$A$362="","",'01_Warehouse_Ledger'!$A$362)</f>
        <v>PAL-0000362</v>
      </c>
      <c r="D866" t="s">
        <v>1258</v>
      </c>
    </row>
    <row r="867" spans="1:4">
      <c r="A867" t="s">
        <v>1257</v>
      </c>
      <c r="B867" t="str">
        <f>IF('01_Warehouse_Ledger'!$A$363="","",'01_Warehouse_Ledger'!$A$363&amp;IF('01_Warehouse_Ledger'!$B$363&lt;&gt;""," | "&amp;'01_Warehouse_Ledger'!$B$363,""))</f>
        <v>PAL-0000363</v>
      </c>
      <c r="C867" t="str">
        <f>IF('01_Warehouse_Ledger'!$A$363="","",'01_Warehouse_Ledger'!$A$363)</f>
        <v>PAL-0000363</v>
      </c>
      <c r="D867" t="s">
        <v>1258</v>
      </c>
    </row>
    <row r="868" spans="1:4">
      <c r="A868" t="s">
        <v>1257</v>
      </c>
      <c r="B868" t="str">
        <f>IF('01_Warehouse_Ledger'!$A$364="","",'01_Warehouse_Ledger'!$A$364&amp;IF('01_Warehouse_Ledger'!$B$364&lt;&gt;""," | "&amp;'01_Warehouse_Ledger'!$B$364,""))</f>
        <v>PAL-0000364</v>
      </c>
      <c r="C868" t="str">
        <f>IF('01_Warehouse_Ledger'!$A$364="","",'01_Warehouse_Ledger'!$A$364)</f>
        <v>PAL-0000364</v>
      </c>
      <c r="D868" t="s">
        <v>1258</v>
      </c>
    </row>
    <row r="869" spans="1:4">
      <c r="A869" t="s">
        <v>1257</v>
      </c>
      <c r="B869" t="str">
        <f>IF('01_Warehouse_Ledger'!$A$365="","",'01_Warehouse_Ledger'!$A$365&amp;IF('01_Warehouse_Ledger'!$B$365&lt;&gt;""," | "&amp;'01_Warehouse_Ledger'!$B$365,""))</f>
        <v>PAL-0000365</v>
      </c>
      <c r="C869" t="str">
        <f>IF('01_Warehouse_Ledger'!$A$365="","",'01_Warehouse_Ledger'!$A$365)</f>
        <v>PAL-0000365</v>
      </c>
      <c r="D869" t="s">
        <v>1258</v>
      </c>
    </row>
    <row r="870" spans="1:4">
      <c r="A870" t="s">
        <v>1257</v>
      </c>
      <c r="B870" t="str">
        <f>IF('01_Warehouse_Ledger'!$A$366="","",'01_Warehouse_Ledger'!$A$366&amp;IF('01_Warehouse_Ledger'!$B$366&lt;&gt;""," | "&amp;'01_Warehouse_Ledger'!$B$366,""))</f>
        <v>PAL-0000366</v>
      </c>
      <c r="C870" t="str">
        <f>IF('01_Warehouse_Ledger'!$A$366="","",'01_Warehouse_Ledger'!$A$366)</f>
        <v>PAL-0000366</v>
      </c>
      <c r="D870" t="s">
        <v>1258</v>
      </c>
    </row>
    <row r="871" spans="1:4">
      <c r="A871" t="s">
        <v>1257</v>
      </c>
      <c r="B871" t="str">
        <f>IF('01_Warehouse_Ledger'!$A$367="","",'01_Warehouse_Ledger'!$A$367&amp;IF('01_Warehouse_Ledger'!$B$367&lt;&gt;""," | "&amp;'01_Warehouse_Ledger'!$B$367,""))</f>
        <v>PAL-0000367</v>
      </c>
      <c r="C871" t="str">
        <f>IF('01_Warehouse_Ledger'!$A$367="","",'01_Warehouse_Ledger'!$A$367)</f>
        <v>PAL-0000367</v>
      </c>
      <c r="D871" t="s">
        <v>1258</v>
      </c>
    </row>
    <row r="872" spans="1:4">
      <c r="A872" t="s">
        <v>1257</v>
      </c>
      <c r="B872" t="str">
        <f>IF('01_Warehouse_Ledger'!$A$368="","",'01_Warehouse_Ledger'!$A$368&amp;IF('01_Warehouse_Ledger'!$B$368&lt;&gt;""," | "&amp;'01_Warehouse_Ledger'!$B$368,""))</f>
        <v>PAL-0000368</v>
      </c>
      <c r="C872" t="str">
        <f>IF('01_Warehouse_Ledger'!$A$368="","",'01_Warehouse_Ledger'!$A$368)</f>
        <v>PAL-0000368</v>
      </c>
      <c r="D872" t="s">
        <v>1258</v>
      </c>
    </row>
    <row r="873" spans="1:4">
      <c r="A873" t="s">
        <v>1257</v>
      </c>
      <c r="B873" t="str">
        <f>IF('01_Warehouse_Ledger'!$A$369="","",'01_Warehouse_Ledger'!$A$369&amp;IF('01_Warehouse_Ledger'!$B$369&lt;&gt;""," | "&amp;'01_Warehouse_Ledger'!$B$369,""))</f>
        <v>PAL-0000369</v>
      </c>
      <c r="C873" t="str">
        <f>IF('01_Warehouse_Ledger'!$A$369="","",'01_Warehouse_Ledger'!$A$369)</f>
        <v>PAL-0000369</v>
      </c>
      <c r="D873" t="s">
        <v>1258</v>
      </c>
    </row>
    <row r="874" spans="1:4">
      <c r="A874" t="s">
        <v>1257</v>
      </c>
      <c r="B874" t="str">
        <f>IF('01_Warehouse_Ledger'!$A$370="","",'01_Warehouse_Ledger'!$A$370&amp;IF('01_Warehouse_Ledger'!$B$370&lt;&gt;""," | "&amp;'01_Warehouse_Ledger'!$B$370,""))</f>
        <v>PAL-0000370</v>
      </c>
      <c r="C874" t="str">
        <f>IF('01_Warehouse_Ledger'!$A$370="","",'01_Warehouse_Ledger'!$A$370)</f>
        <v>PAL-0000370</v>
      </c>
      <c r="D874" t="s">
        <v>1258</v>
      </c>
    </row>
    <row r="875" spans="1:4">
      <c r="A875" t="s">
        <v>1257</v>
      </c>
      <c r="B875" t="str">
        <f>IF('01_Warehouse_Ledger'!$A$371="","",'01_Warehouse_Ledger'!$A$371&amp;IF('01_Warehouse_Ledger'!$B$371&lt;&gt;""," | "&amp;'01_Warehouse_Ledger'!$B$371,""))</f>
        <v>PAL-0000371</v>
      </c>
      <c r="C875" t="str">
        <f>IF('01_Warehouse_Ledger'!$A$371="","",'01_Warehouse_Ledger'!$A$371)</f>
        <v>PAL-0000371</v>
      </c>
      <c r="D875" t="s">
        <v>1258</v>
      </c>
    </row>
    <row r="876" spans="1:4">
      <c r="A876" t="s">
        <v>1257</v>
      </c>
      <c r="B876" t="str">
        <f>IF('01_Warehouse_Ledger'!$A$372="","",'01_Warehouse_Ledger'!$A$372&amp;IF('01_Warehouse_Ledger'!$B$372&lt;&gt;""," | "&amp;'01_Warehouse_Ledger'!$B$372,""))</f>
        <v>PAL-0000372</v>
      </c>
      <c r="C876" t="str">
        <f>IF('01_Warehouse_Ledger'!$A$372="","",'01_Warehouse_Ledger'!$A$372)</f>
        <v>PAL-0000372</v>
      </c>
      <c r="D876" t="s">
        <v>1258</v>
      </c>
    </row>
    <row r="877" spans="1:4">
      <c r="A877" t="s">
        <v>1257</v>
      </c>
      <c r="B877" t="str">
        <f>IF('01_Warehouse_Ledger'!$A$373="","",'01_Warehouse_Ledger'!$A$373&amp;IF('01_Warehouse_Ledger'!$B$373&lt;&gt;""," | "&amp;'01_Warehouse_Ledger'!$B$373,""))</f>
        <v>PAL-0000373</v>
      </c>
      <c r="C877" t="str">
        <f>IF('01_Warehouse_Ledger'!$A$373="","",'01_Warehouse_Ledger'!$A$373)</f>
        <v>PAL-0000373</v>
      </c>
      <c r="D877" t="s">
        <v>1258</v>
      </c>
    </row>
    <row r="878" spans="1:4">
      <c r="A878" t="s">
        <v>1257</v>
      </c>
      <c r="B878" t="str">
        <f>IF('01_Warehouse_Ledger'!$A$374="","",'01_Warehouse_Ledger'!$A$374&amp;IF('01_Warehouse_Ledger'!$B$374&lt;&gt;""," | "&amp;'01_Warehouse_Ledger'!$B$374,""))</f>
        <v>PAL-0000374</v>
      </c>
      <c r="C878" t="str">
        <f>IF('01_Warehouse_Ledger'!$A$374="","",'01_Warehouse_Ledger'!$A$374)</f>
        <v>PAL-0000374</v>
      </c>
      <c r="D878" t="s">
        <v>1258</v>
      </c>
    </row>
    <row r="879" spans="1:4">
      <c r="A879" t="s">
        <v>1257</v>
      </c>
      <c r="B879" t="str">
        <f>IF('01_Warehouse_Ledger'!$A$375="","",'01_Warehouse_Ledger'!$A$375&amp;IF('01_Warehouse_Ledger'!$B$375&lt;&gt;""," | "&amp;'01_Warehouse_Ledger'!$B$375,""))</f>
        <v>PAL-0000375</v>
      </c>
      <c r="C879" t="str">
        <f>IF('01_Warehouse_Ledger'!$A$375="","",'01_Warehouse_Ledger'!$A$375)</f>
        <v>PAL-0000375</v>
      </c>
      <c r="D879" t="s">
        <v>1258</v>
      </c>
    </row>
    <row r="880" spans="1:4">
      <c r="A880" t="s">
        <v>1257</v>
      </c>
      <c r="B880" t="str">
        <f>IF('01_Warehouse_Ledger'!$A$376="","",'01_Warehouse_Ledger'!$A$376&amp;IF('01_Warehouse_Ledger'!$B$376&lt;&gt;""," | "&amp;'01_Warehouse_Ledger'!$B$376,""))</f>
        <v>PAL-0000376</v>
      </c>
      <c r="C880" t="str">
        <f>IF('01_Warehouse_Ledger'!$A$376="","",'01_Warehouse_Ledger'!$A$376)</f>
        <v>PAL-0000376</v>
      </c>
      <c r="D880" t="s">
        <v>1258</v>
      </c>
    </row>
    <row r="881" spans="1:4">
      <c r="A881" t="s">
        <v>1257</v>
      </c>
      <c r="B881" t="str">
        <f>IF('01_Warehouse_Ledger'!$A$377="","",'01_Warehouse_Ledger'!$A$377&amp;IF('01_Warehouse_Ledger'!$B$377&lt;&gt;""," | "&amp;'01_Warehouse_Ledger'!$B$377,""))</f>
        <v>PAL-0000377</v>
      </c>
      <c r="C881" t="str">
        <f>IF('01_Warehouse_Ledger'!$A$377="","",'01_Warehouse_Ledger'!$A$377)</f>
        <v>PAL-0000377</v>
      </c>
      <c r="D881" t="s">
        <v>1258</v>
      </c>
    </row>
    <row r="882" spans="1:4">
      <c r="A882" t="s">
        <v>1257</v>
      </c>
      <c r="B882" t="str">
        <f>IF('01_Warehouse_Ledger'!$A$378="","",'01_Warehouse_Ledger'!$A$378&amp;IF('01_Warehouse_Ledger'!$B$378&lt;&gt;""," | "&amp;'01_Warehouse_Ledger'!$B$378,""))</f>
        <v>PAL-0000378</v>
      </c>
      <c r="C882" t="str">
        <f>IF('01_Warehouse_Ledger'!$A$378="","",'01_Warehouse_Ledger'!$A$378)</f>
        <v>PAL-0000378</v>
      </c>
      <c r="D882" t="s">
        <v>1258</v>
      </c>
    </row>
    <row r="883" spans="1:4">
      <c r="A883" t="s">
        <v>1257</v>
      </c>
      <c r="B883" t="str">
        <f>IF('01_Warehouse_Ledger'!$A$379="","",'01_Warehouse_Ledger'!$A$379&amp;IF('01_Warehouse_Ledger'!$B$379&lt;&gt;""," | "&amp;'01_Warehouse_Ledger'!$B$379,""))</f>
        <v>PAL-0000379</v>
      </c>
      <c r="C883" t="str">
        <f>IF('01_Warehouse_Ledger'!$A$379="","",'01_Warehouse_Ledger'!$A$379)</f>
        <v>PAL-0000379</v>
      </c>
      <c r="D883" t="s">
        <v>1258</v>
      </c>
    </row>
    <row r="884" spans="1:4">
      <c r="A884" t="s">
        <v>1257</v>
      </c>
      <c r="B884" t="str">
        <f>IF('01_Warehouse_Ledger'!$A$380="","",'01_Warehouse_Ledger'!$A$380&amp;IF('01_Warehouse_Ledger'!$B$380&lt;&gt;""," | "&amp;'01_Warehouse_Ledger'!$B$380,""))</f>
        <v>PAL-0000380</v>
      </c>
      <c r="C884" t="str">
        <f>IF('01_Warehouse_Ledger'!$A$380="","",'01_Warehouse_Ledger'!$A$380)</f>
        <v>PAL-0000380</v>
      </c>
      <c r="D884" t="s">
        <v>1258</v>
      </c>
    </row>
    <row r="885" spans="1:4">
      <c r="A885" t="s">
        <v>1257</v>
      </c>
      <c r="B885" t="str">
        <f>IF('01_Warehouse_Ledger'!$A$381="","",'01_Warehouse_Ledger'!$A$381&amp;IF('01_Warehouse_Ledger'!$B$381&lt;&gt;""," | "&amp;'01_Warehouse_Ledger'!$B$381,""))</f>
        <v>PAL-0000381</v>
      </c>
      <c r="C885" t="str">
        <f>IF('01_Warehouse_Ledger'!$A$381="","",'01_Warehouse_Ledger'!$A$381)</f>
        <v>PAL-0000381</v>
      </c>
      <c r="D885" t="s">
        <v>1258</v>
      </c>
    </row>
    <row r="886" spans="1:4">
      <c r="A886" t="s">
        <v>1257</v>
      </c>
      <c r="B886" t="str">
        <f>IF('01_Warehouse_Ledger'!$A$382="","",'01_Warehouse_Ledger'!$A$382&amp;IF('01_Warehouse_Ledger'!$B$382&lt;&gt;""," | "&amp;'01_Warehouse_Ledger'!$B$382,""))</f>
        <v>PAL-0000382</v>
      </c>
      <c r="C886" t="str">
        <f>IF('01_Warehouse_Ledger'!$A$382="","",'01_Warehouse_Ledger'!$A$382)</f>
        <v>PAL-0000382</v>
      </c>
      <c r="D886" t="s">
        <v>1258</v>
      </c>
    </row>
    <row r="887" spans="1:4">
      <c r="A887" t="s">
        <v>1257</v>
      </c>
      <c r="B887" t="str">
        <f>IF('01_Warehouse_Ledger'!$A$383="","",'01_Warehouse_Ledger'!$A$383&amp;IF('01_Warehouse_Ledger'!$B$383&lt;&gt;""," | "&amp;'01_Warehouse_Ledger'!$B$383,""))</f>
        <v>PAL-0000383</v>
      </c>
      <c r="C887" t="str">
        <f>IF('01_Warehouse_Ledger'!$A$383="","",'01_Warehouse_Ledger'!$A$383)</f>
        <v>PAL-0000383</v>
      </c>
      <c r="D887" t="s">
        <v>1258</v>
      </c>
    </row>
    <row r="888" spans="1:4">
      <c r="A888" t="s">
        <v>1257</v>
      </c>
      <c r="B888" t="str">
        <f>IF('01_Warehouse_Ledger'!$A$384="","",'01_Warehouse_Ledger'!$A$384&amp;IF('01_Warehouse_Ledger'!$B$384&lt;&gt;""," | "&amp;'01_Warehouse_Ledger'!$B$384,""))</f>
        <v>PAL-0000384</v>
      </c>
      <c r="C888" t="str">
        <f>IF('01_Warehouse_Ledger'!$A$384="","",'01_Warehouse_Ledger'!$A$384)</f>
        <v>PAL-0000384</v>
      </c>
      <c r="D888" t="s">
        <v>1258</v>
      </c>
    </row>
    <row r="889" spans="1:4">
      <c r="A889" t="s">
        <v>1257</v>
      </c>
      <c r="B889" t="str">
        <f>IF('01_Warehouse_Ledger'!$A$385="","",'01_Warehouse_Ledger'!$A$385&amp;IF('01_Warehouse_Ledger'!$B$385&lt;&gt;""," | "&amp;'01_Warehouse_Ledger'!$B$385,""))</f>
        <v>PAL-0000385</v>
      </c>
      <c r="C889" t="str">
        <f>IF('01_Warehouse_Ledger'!$A$385="","",'01_Warehouse_Ledger'!$A$385)</f>
        <v>PAL-0000385</v>
      </c>
      <c r="D889" t="s">
        <v>1258</v>
      </c>
    </row>
    <row r="890" spans="1:4">
      <c r="A890" t="s">
        <v>1257</v>
      </c>
      <c r="B890" t="str">
        <f>IF('01_Warehouse_Ledger'!$A$386="","",'01_Warehouse_Ledger'!$A$386&amp;IF('01_Warehouse_Ledger'!$B$386&lt;&gt;""," | "&amp;'01_Warehouse_Ledger'!$B$386,""))</f>
        <v>PAL-0000386</v>
      </c>
      <c r="C890" t="str">
        <f>IF('01_Warehouse_Ledger'!$A$386="","",'01_Warehouse_Ledger'!$A$386)</f>
        <v>PAL-0000386</v>
      </c>
      <c r="D890" t="s">
        <v>1258</v>
      </c>
    </row>
    <row r="891" spans="1:4">
      <c r="A891" t="s">
        <v>1257</v>
      </c>
      <c r="B891" t="str">
        <f>IF('01_Warehouse_Ledger'!$A$387="","",'01_Warehouse_Ledger'!$A$387&amp;IF('01_Warehouse_Ledger'!$B$387&lt;&gt;""," | "&amp;'01_Warehouse_Ledger'!$B$387,""))</f>
        <v>PAL-0000387</v>
      </c>
      <c r="C891" t="str">
        <f>IF('01_Warehouse_Ledger'!$A$387="","",'01_Warehouse_Ledger'!$A$387)</f>
        <v>PAL-0000387</v>
      </c>
      <c r="D891" t="s">
        <v>1258</v>
      </c>
    </row>
    <row r="892" spans="1:4">
      <c r="A892" t="s">
        <v>1257</v>
      </c>
      <c r="B892" t="str">
        <f>IF('01_Warehouse_Ledger'!$A$388="","",'01_Warehouse_Ledger'!$A$388&amp;IF('01_Warehouse_Ledger'!$B$388&lt;&gt;""," | "&amp;'01_Warehouse_Ledger'!$B$388,""))</f>
        <v>PAL-0000388</v>
      </c>
      <c r="C892" t="str">
        <f>IF('01_Warehouse_Ledger'!$A$388="","",'01_Warehouse_Ledger'!$A$388)</f>
        <v>PAL-0000388</v>
      </c>
      <c r="D892" t="s">
        <v>1258</v>
      </c>
    </row>
    <row r="893" spans="1:4">
      <c r="A893" t="s">
        <v>1257</v>
      </c>
      <c r="B893" t="str">
        <f>IF('01_Warehouse_Ledger'!$A$389="","",'01_Warehouse_Ledger'!$A$389&amp;IF('01_Warehouse_Ledger'!$B$389&lt;&gt;""," | "&amp;'01_Warehouse_Ledger'!$B$389,""))</f>
        <v>PAL-0000389</v>
      </c>
      <c r="C893" t="str">
        <f>IF('01_Warehouse_Ledger'!$A$389="","",'01_Warehouse_Ledger'!$A$389)</f>
        <v>PAL-0000389</v>
      </c>
      <c r="D893" t="s">
        <v>1258</v>
      </c>
    </row>
    <row r="894" spans="1:4">
      <c r="A894" t="s">
        <v>1257</v>
      </c>
      <c r="B894" t="str">
        <f>IF('01_Warehouse_Ledger'!$A$390="","",'01_Warehouse_Ledger'!$A$390&amp;IF('01_Warehouse_Ledger'!$B$390&lt;&gt;""," | "&amp;'01_Warehouse_Ledger'!$B$390,""))</f>
        <v>PAL-0000390</v>
      </c>
      <c r="C894" t="str">
        <f>IF('01_Warehouse_Ledger'!$A$390="","",'01_Warehouse_Ledger'!$A$390)</f>
        <v>PAL-0000390</v>
      </c>
      <c r="D894" t="s">
        <v>1258</v>
      </c>
    </row>
    <row r="895" spans="1:4">
      <c r="A895" t="s">
        <v>1257</v>
      </c>
      <c r="B895" t="str">
        <f>IF('01_Warehouse_Ledger'!$A$391="","",'01_Warehouse_Ledger'!$A$391&amp;IF('01_Warehouse_Ledger'!$B$391&lt;&gt;""," | "&amp;'01_Warehouse_Ledger'!$B$391,""))</f>
        <v>PAL-0000391</v>
      </c>
      <c r="C895" t="str">
        <f>IF('01_Warehouse_Ledger'!$A$391="","",'01_Warehouse_Ledger'!$A$391)</f>
        <v>PAL-0000391</v>
      </c>
      <c r="D895" t="s">
        <v>1258</v>
      </c>
    </row>
    <row r="896" spans="1:4">
      <c r="A896" t="s">
        <v>1257</v>
      </c>
      <c r="B896" t="str">
        <f>IF('01_Warehouse_Ledger'!$A$392="","",'01_Warehouse_Ledger'!$A$392&amp;IF('01_Warehouse_Ledger'!$B$392&lt;&gt;""," | "&amp;'01_Warehouse_Ledger'!$B$392,""))</f>
        <v>PAL-0000392</v>
      </c>
      <c r="C896" t="str">
        <f>IF('01_Warehouse_Ledger'!$A$392="","",'01_Warehouse_Ledger'!$A$392)</f>
        <v>PAL-0000392</v>
      </c>
      <c r="D896" t="s">
        <v>1258</v>
      </c>
    </row>
    <row r="897" spans="1:4">
      <c r="A897" t="s">
        <v>1257</v>
      </c>
      <c r="B897" t="str">
        <f>IF('01_Warehouse_Ledger'!$A$393="","",'01_Warehouse_Ledger'!$A$393&amp;IF('01_Warehouse_Ledger'!$B$393&lt;&gt;""," | "&amp;'01_Warehouse_Ledger'!$B$393,""))</f>
        <v>PAL-0000393</v>
      </c>
      <c r="C897" t="str">
        <f>IF('01_Warehouse_Ledger'!$A$393="","",'01_Warehouse_Ledger'!$A$393)</f>
        <v>PAL-0000393</v>
      </c>
      <c r="D897" t="s">
        <v>1258</v>
      </c>
    </row>
    <row r="898" spans="1:4">
      <c r="A898" t="s">
        <v>1257</v>
      </c>
      <c r="B898" t="str">
        <f>IF('01_Warehouse_Ledger'!$A$394="","",'01_Warehouse_Ledger'!$A$394&amp;IF('01_Warehouse_Ledger'!$B$394&lt;&gt;""," | "&amp;'01_Warehouse_Ledger'!$B$394,""))</f>
        <v>PAL-0000394</v>
      </c>
      <c r="C898" t="str">
        <f>IF('01_Warehouse_Ledger'!$A$394="","",'01_Warehouse_Ledger'!$A$394)</f>
        <v>PAL-0000394</v>
      </c>
      <c r="D898" t="s">
        <v>1258</v>
      </c>
    </row>
    <row r="899" spans="1:4">
      <c r="A899" t="s">
        <v>1257</v>
      </c>
      <c r="B899" t="str">
        <f>IF('01_Warehouse_Ledger'!$A$395="","",'01_Warehouse_Ledger'!$A$395&amp;IF('01_Warehouse_Ledger'!$B$395&lt;&gt;""," | "&amp;'01_Warehouse_Ledger'!$B$395,""))</f>
        <v>PAL-0000395</v>
      </c>
      <c r="C899" t="str">
        <f>IF('01_Warehouse_Ledger'!$A$395="","",'01_Warehouse_Ledger'!$A$395)</f>
        <v>PAL-0000395</v>
      </c>
      <c r="D899" t="s">
        <v>1258</v>
      </c>
    </row>
    <row r="900" spans="1:4">
      <c r="A900" t="s">
        <v>1257</v>
      </c>
      <c r="B900" t="str">
        <f>IF('01_Warehouse_Ledger'!$A$396="","",'01_Warehouse_Ledger'!$A$396&amp;IF('01_Warehouse_Ledger'!$B$396&lt;&gt;""," | "&amp;'01_Warehouse_Ledger'!$B$396,""))</f>
        <v>PAL-0000396</v>
      </c>
      <c r="C900" t="str">
        <f>IF('01_Warehouse_Ledger'!$A$396="","",'01_Warehouse_Ledger'!$A$396)</f>
        <v>PAL-0000396</v>
      </c>
      <c r="D900" t="s">
        <v>1258</v>
      </c>
    </row>
    <row r="901" spans="1:4">
      <c r="A901" t="s">
        <v>1257</v>
      </c>
      <c r="B901" t="str">
        <f>IF('01_Warehouse_Ledger'!$A$397="","",'01_Warehouse_Ledger'!$A$397&amp;IF('01_Warehouse_Ledger'!$B$397&lt;&gt;""," | "&amp;'01_Warehouse_Ledger'!$B$397,""))</f>
        <v>PAL-0000397</v>
      </c>
      <c r="C901" t="str">
        <f>IF('01_Warehouse_Ledger'!$A$397="","",'01_Warehouse_Ledger'!$A$397)</f>
        <v>PAL-0000397</v>
      </c>
      <c r="D901" t="s">
        <v>1258</v>
      </c>
    </row>
    <row r="902" spans="1:4">
      <c r="A902" t="s">
        <v>1257</v>
      </c>
      <c r="B902" t="str">
        <f>IF('01_Warehouse_Ledger'!$A$398="","",'01_Warehouse_Ledger'!$A$398&amp;IF('01_Warehouse_Ledger'!$B$398&lt;&gt;""," | "&amp;'01_Warehouse_Ledger'!$B$398,""))</f>
        <v>PAL-0000398</v>
      </c>
      <c r="C902" t="str">
        <f>IF('01_Warehouse_Ledger'!$A$398="","",'01_Warehouse_Ledger'!$A$398)</f>
        <v>PAL-0000398</v>
      </c>
      <c r="D902" t="s">
        <v>1258</v>
      </c>
    </row>
    <row r="903" spans="1:4">
      <c r="A903" t="s">
        <v>1257</v>
      </c>
      <c r="B903" t="str">
        <f>IF('01_Warehouse_Ledger'!$A$399="","",'01_Warehouse_Ledger'!$A$399&amp;IF('01_Warehouse_Ledger'!$B$399&lt;&gt;""," | "&amp;'01_Warehouse_Ledger'!$B$399,""))</f>
        <v>PAL-0000399</v>
      </c>
      <c r="C903" t="str">
        <f>IF('01_Warehouse_Ledger'!$A$399="","",'01_Warehouse_Ledger'!$A$399)</f>
        <v>PAL-0000399</v>
      </c>
      <c r="D903" t="s">
        <v>1258</v>
      </c>
    </row>
    <row r="904" spans="1:4">
      <c r="A904" t="s">
        <v>1257</v>
      </c>
      <c r="B904" t="str">
        <f>IF('01_Warehouse_Ledger'!$A$400="","",'01_Warehouse_Ledger'!$A$400&amp;IF('01_Warehouse_Ledger'!$B$400&lt;&gt;""," | "&amp;'01_Warehouse_Ledger'!$B$400,""))</f>
        <v>PAL-0000400</v>
      </c>
      <c r="C904" t="str">
        <f>IF('01_Warehouse_Ledger'!$A$400="","",'01_Warehouse_Ledger'!$A$400)</f>
        <v>PAL-0000400</v>
      </c>
      <c r="D904" t="s">
        <v>1258</v>
      </c>
    </row>
    <row r="905" spans="1:4">
      <c r="A905" t="s">
        <v>1257</v>
      </c>
      <c r="B905" t="str">
        <f>IF('01_Warehouse_Ledger'!$A$401="","",'01_Warehouse_Ledger'!$A$401&amp;IF('01_Warehouse_Ledger'!$B$401&lt;&gt;""," | "&amp;'01_Warehouse_Ledger'!$B$401,""))</f>
        <v>PAL-0000401</v>
      </c>
      <c r="C905" t="str">
        <f>IF('01_Warehouse_Ledger'!$A$401="","",'01_Warehouse_Ledger'!$A$401)</f>
        <v>PAL-0000401</v>
      </c>
      <c r="D905" t="s">
        <v>1258</v>
      </c>
    </row>
    <row r="906" spans="1:4">
      <c r="A906" t="s">
        <v>1257</v>
      </c>
      <c r="B906" t="str">
        <f>IF('01_Warehouse_Ledger'!$A$402="","",'01_Warehouse_Ledger'!$A$402&amp;IF('01_Warehouse_Ledger'!$B$402&lt;&gt;""," | "&amp;'01_Warehouse_Ledger'!$B$402,""))</f>
        <v>PAL-0000402</v>
      </c>
      <c r="C906" t="str">
        <f>IF('01_Warehouse_Ledger'!$A$402="","",'01_Warehouse_Ledger'!$A$402)</f>
        <v>PAL-0000402</v>
      </c>
      <c r="D906" t="s">
        <v>1258</v>
      </c>
    </row>
    <row r="907" spans="1:4">
      <c r="A907" t="s">
        <v>1257</v>
      </c>
      <c r="B907" t="str">
        <f>IF('01_Warehouse_Ledger'!$A$403="","",'01_Warehouse_Ledger'!$A$403&amp;IF('01_Warehouse_Ledger'!$B$403&lt;&gt;""," | "&amp;'01_Warehouse_Ledger'!$B$403,""))</f>
        <v>PAL-0000403</v>
      </c>
      <c r="C907" t="str">
        <f>IF('01_Warehouse_Ledger'!$A$403="","",'01_Warehouse_Ledger'!$A$403)</f>
        <v>PAL-0000403</v>
      </c>
      <c r="D907" t="s">
        <v>1258</v>
      </c>
    </row>
    <row r="908" spans="1:4">
      <c r="A908" t="s">
        <v>1257</v>
      </c>
      <c r="B908" t="str">
        <f>IF('01_Warehouse_Ledger'!$A$404="","",'01_Warehouse_Ledger'!$A$404&amp;IF('01_Warehouse_Ledger'!$B$404&lt;&gt;""," | "&amp;'01_Warehouse_Ledger'!$B$404,""))</f>
        <v>PAL-0000404</v>
      </c>
      <c r="C908" t="str">
        <f>IF('01_Warehouse_Ledger'!$A$404="","",'01_Warehouse_Ledger'!$A$404)</f>
        <v>PAL-0000404</v>
      </c>
      <c r="D908" t="s">
        <v>1258</v>
      </c>
    </row>
    <row r="909" spans="1:4">
      <c r="A909" t="s">
        <v>1257</v>
      </c>
      <c r="B909" t="str">
        <f>IF('01_Warehouse_Ledger'!$A$405="","",'01_Warehouse_Ledger'!$A$405&amp;IF('01_Warehouse_Ledger'!$B$405&lt;&gt;""," | "&amp;'01_Warehouse_Ledger'!$B$405,""))</f>
        <v>PAL-0000405</v>
      </c>
      <c r="C909" t="str">
        <f>IF('01_Warehouse_Ledger'!$A$405="","",'01_Warehouse_Ledger'!$A$405)</f>
        <v>PAL-0000405</v>
      </c>
      <c r="D909" t="s">
        <v>1258</v>
      </c>
    </row>
    <row r="910" spans="1:4">
      <c r="A910" t="s">
        <v>1257</v>
      </c>
      <c r="B910" t="str">
        <f>IF('01_Warehouse_Ledger'!$A$406="","",'01_Warehouse_Ledger'!$A$406&amp;IF('01_Warehouse_Ledger'!$B$406&lt;&gt;""," | "&amp;'01_Warehouse_Ledger'!$B$406,""))</f>
        <v>PAL-0000406</v>
      </c>
      <c r="C910" t="str">
        <f>IF('01_Warehouse_Ledger'!$A$406="","",'01_Warehouse_Ledger'!$A$406)</f>
        <v>PAL-0000406</v>
      </c>
      <c r="D910" t="s">
        <v>1258</v>
      </c>
    </row>
    <row r="911" spans="1:4">
      <c r="A911" t="s">
        <v>1257</v>
      </c>
      <c r="B911" t="str">
        <f>IF('01_Warehouse_Ledger'!$A$407="","",'01_Warehouse_Ledger'!$A$407&amp;IF('01_Warehouse_Ledger'!$B$407&lt;&gt;""," | "&amp;'01_Warehouse_Ledger'!$B$407,""))</f>
        <v>PAL-0000407</v>
      </c>
      <c r="C911" t="str">
        <f>IF('01_Warehouse_Ledger'!$A$407="","",'01_Warehouse_Ledger'!$A$407)</f>
        <v>PAL-0000407</v>
      </c>
      <c r="D911" t="s">
        <v>1258</v>
      </c>
    </row>
    <row r="912" spans="1:4">
      <c r="A912" t="s">
        <v>1257</v>
      </c>
      <c r="B912" t="str">
        <f>IF('01_Warehouse_Ledger'!$A$408="","",'01_Warehouse_Ledger'!$A$408&amp;IF('01_Warehouse_Ledger'!$B$408&lt;&gt;""," | "&amp;'01_Warehouse_Ledger'!$B$408,""))</f>
        <v>PAL-0000408</v>
      </c>
      <c r="C912" t="str">
        <f>IF('01_Warehouse_Ledger'!$A$408="","",'01_Warehouse_Ledger'!$A$408)</f>
        <v>PAL-0000408</v>
      </c>
      <c r="D912" t="s">
        <v>1258</v>
      </c>
    </row>
    <row r="913" spans="1:4">
      <c r="A913" t="s">
        <v>1257</v>
      </c>
      <c r="B913" t="str">
        <f>IF('01_Warehouse_Ledger'!$A$409="","",'01_Warehouse_Ledger'!$A$409&amp;IF('01_Warehouse_Ledger'!$B$409&lt;&gt;""," | "&amp;'01_Warehouse_Ledger'!$B$409,""))</f>
        <v>PAL-0000409</v>
      </c>
      <c r="C913" t="str">
        <f>IF('01_Warehouse_Ledger'!$A$409="","",'01_Warehouse_Ledger'!$A$409)</f>
        <v>PAL-0000409</v>
      </c>
      <c r="D913" t="s">
        <v>1258</v>
      </c>
    </row>
    <row r="914" spans="1:4">
      <c r="A914" t="s">
        <v>1257</v>
      </c>
      <c r="B914" t="str">
        <f>IF('01_Warehouse_Ledger'!$A$410="","",'01_Warehouse_Ledger'!$A$410&amp;IF('01_Warehouse_Ledger'!$B$410&lt;&gt;""," | "&amp;'01_Warehouse_Ledger'!$B$410,""))</f>
        <v>PAL-0000410</v>
      </c>
      <c r="C914" t="str">
        <f>IF('01_Warehouse_Ledger'!$A$410="","",'01_Warehouse_Ledger'!$A$410)</f>
        <v>PAL-0000410</v>
      </c>
      <c r="D914" t="s">
        <v>1258</v>
      </c>
    </row>
    <row r="915" spans="1:4">
      <c r="A915" t="s">
        <v>1257</v>
      </c>
      <c r="B915" t="str">
        <f>IF('01_Warehouse_Ledger'!$A$411="","",'01_Warehouse_Ledger'!$A$411&amp;IF('01_Warehouse_Ledger'!$B$411&lt;&gt;""," | "&amp;'01_Warehouse_Ledger'!$B$411,""))</f>
        <v>PAL-0000411</v>
      </c>
      <c r="C915" t="str">
        <f>IF('01_Warehouse_Ledger'!$A$411="","",'01_Warehouse_Ledger'!$A$411)</f>
        <v>PAL-0000411</v>
      </c>
      <c r="D915" t="s">
        <v>1258</v>
      </c>
    </row>
    <row r="916" spans="1:4">
      <c r="A916" t="s">
        <v>1257</v>
      </c>
      <c r="B916" t="str">
        <f>IF('01_Warehouse_Ledger'!$A$412="","",'01_Warehouse_Ledger'!$A$412&amp;IF('01_Warehouse_Ledger'!$B$412&lt;&gt;""," | "&amp;'01_Warehouse_Ledger'!$B$412,""))</f>
        <v>PAL-0000412</v>
      </c>
      <c r="C916" t="str">
        <f>IF('01_Warehouse_Ledger'!$A$412="","",'01_Warehouse_Ledger'!$A$412)</f>
        <v>PAL-0000412</v>
      </c>
      <c r="D916" t="s">
        <v>1258</v>
      </c>
    </row>
    <row r="917" spans="1:4">
      <c r="A917" t="s">
        <v>1257</v>
      </c>
      <c r="B917" t="str">
        <f>IF('01_Warehouse_Ledger'!$A$413="","",'01_Warehouse_Ledger'!$A$413&amp;IF('01_Warehouse_Ledger'!$B$413&lt;&gt;""," | "&amp;'01_Warehouse_Ledger'!$B$413,""))</f>
        <v>PAL-0000413</v>
      </c>
      <c r="C917" t="str">
        <f>IF('01_Warehouse_Ledger'!$A$413="","",'01_Warehouse_Ledger'!$A$413)</f>
        <v>PAL-0000413</v>
      </c>
      <c r="D917" t="s">
        <v>1258</v>
      </c>
    </row>
    <row r="918" spans="1:4">
      <c r="A918" t="s">
        <v>1257</v>
      </c>
      <c r="B918" t="str">
        <f>IF('01_Warehouse_Ledger'!$A$414="","",'01_Warehouse_Ledger'!$A$414&amp;IF('01_Warehouse_Ledger'!$B$414&lt;&gt;""," | "&amp;'01_Warehouse_Ledger'!$B$414,""))</f>
        <v>PAL-0000414</v>
      </c>
      <c r="C918" t="str">
        <f>IF('01_Warehouse_Ledger'!$A$414="","",'01_Warehouse_Ledger'!$A$414)</f>
        <v>PAL-0000414</v>
      </c>
      <c r="D918" t="s">
        <v>1258</v>
      </c>
    </row>
    <row r="919" spans="1:4">
      <c r="A919" t="s">
        <v>1257</v>
      </c>
      <c r="B919" t="str">
        <f>IF('01_Warehouse_Ledger'!$A$415="","",'01_Warehouse_Ledger'!$A$415&amp;IF('01_Warehouse_Ledger'!$B$415&lt;&gt;""," | "&amp;'01_Warehouse_Ledger'!$B$415,""))</f>
        <v>PAL-0000415</v>
      </c>
      <c r="C919" t="str">
        <f>IF('01_Warehouse_Ledger'!$A$415="","",'01_Warehouse_Ledger'!$A$415)</f>
        <v>PAL-0000415</v>
      </c>
      <c r="D919" t="s">
        <v>1258</v>
      </c>
    </row>
    <row r="920" spans="1:4">
      <c r="A920" t="s">
        <v>1257</v>
      </c>
      <c r="B920" t="str">
        <f>IF('01_Warehouse_Ledger'!$A$416="","",'01_Warehouse_Ledger'!$A$416&amp;IF('01_Warehouse_Ledger'!$B$416&lt;&gt;""," | "&amp;'01_Warehouse_Ledger'!$B$416,""))</f>
        <v>PAL-0000416</v>
      </c>
      <c r="C920" t="str">
        <f>IF('01_Warehouse_Ledger'!$A$416="","",'01_Warehouse_Ledger'!$A$416)</f>
        <v>PAL-0000416</v>
      </c>
      <c r="D920" t="s">
        <v>1258</v>
      </c>
    </row>
    <row r="921" spans="1:4">
      <c r="A921" t="s">
        <v>1257</v>
      </c>
      <c r="B921" t="str">
        <f>IF('01_Warehouse_Ledger'!$A$417="","",'01_Warehouse_Ledger'!$A$417&amp;IF('01_Warehouse_Ledger'!$B$417&lt;&gt;""," | "&amp;'01_Warehouse_Ledger'!$B$417,""))</f>
        <v>PAL-0000417</v>
      </c>
      <c r="C921" t="str">
        <f>IF('01_Warehouse_Ledger'!$A$417="","",'01_Warehouse_Ledger'!$A$417)</f>
        <v>PAL-0000417</v>
      </c>
      <c r="D921" t="s">
        <v>1258</v>
      </c>
    </row>
    <row r="922" spans="1:4">
      <c r="A922" t="s">
        <v>1257</v>
      </c>
      <c r="B922" t="str">
        <f>IF('01_Warehouse_Ledger'!$A$418="","",'01_Warehouse_Ledger'!$A$418&amp;IF('01_Warehouse_Ledger'!$B$418&lt;&gt;""," | "&amp;'01_Warehouse_Ledger'!$B$418,""))</f>
        <v>PAL-0000418</v>
      </c>
      <c r="C922" t="str">
        <f>IF('01_Warehouse_Ledger'!$A$418="","",'01_Warehouse_Ledger'!$A$418)</f>
        <v>PAL-0000418</v>
      </c>
      <c r="D922" t="s">
        <v>1258</v>
      </c>
    </row>
    <row r="923" spans="1:4">
      <c r="A923" t="s">
        <v>1257</v>
      </c>
      <c r="B923" t="str">
        <f>IF('01_Warehouse_Ledger'!$A$419="","",'01_Warehouse_Ledger'!$A$419&amp;IF('01_Warehouse_Ledger'!$B$419&lt;&gt;""," | "&amp;'01_Warehouse_Ledger'!$B$419,""))</f>
        <v>PAL-0000419</v>
      </c>
      <c r="C923" t="str">
        <f>IF('01_Warehouse_Ledger'!$A$419="","",'01_Warehouse_Ledger'!$A$419)</f>
        <v>PAL-0000419</v>
      </c>
      <c r="D923" t="s">
        <v>1258</v>
      </c>
    </row>
    <row r="924" spans="1:4">
      <c r="A924" t="s">
        <v>1257</v>
      </c>
      <c r="B924" t="str">
        <f>IF('01_Warehouse_Ledger'!$A$420="","",'01_Warehouse_Ledger'!$A$420&amp;IF('01_Warehouse_Ledger'!$B$420&lt;&gt;""," | "&amp;'01_Warehouse_Ledger'!$B$420,""))</f>
        <v>PAL-0000420</v>
      </c>
      <c r="C924" t="str">
        <f>IF('01_Warehouse_Ledger'!$A$420="","",'01_Warehouse_Ledger'!$A$420)</f>
        <v>PAL-0000420</v>
      </c>
      <c r="D924" t="s">
        <v>1258</v>
      </c>
    </row>
    <row r="925" spans="1:4">
      <c r="A925" t="s">
        <v>1257</v>
      </c>
      <c r="B925" t="str">
        <f>IF('01_Warehouse_Ledger'!$A$421="","",'01_Warehouse_Ledger'!$A$421&amp;IF('01_Warehouse_Ledger'!$B$421&lt;&gt;""," | "&amp;'01_Warehouse_Ledger'!$B$421,""))</f>
        <v>PAL-0000421</v>
      </c>
      <c r="C925" t="str">
        <f>IF('01_Warehouse_Ledger'!$A$421="","",'01_Warehouse_Ledger'!$A$421)</f>
        <v>PAL-0000421</v>
      </c>
      <c r="D925" t="s">
        <v>1258</v>
      </c>
    </row>
    <row r="926" spans="1:4">
      <c r="A926" t="s">
        <v>1257</v>
      </c>
      <c r="B926" t="str">
        <f>IF('01_Warehouse_Ledger'!$A$422="","",'01_Warehouse_Ledger'!$A$422&amp;IF('01_Warehouse_Ledger'!$B$422&lt;&gt;""," | "&amp;'01_Warehouse_Ledger'!$B$422,""))</f>
        <v>PAL-0000422</v>
      </c>
      <c r="C926" t="str">
        <f>IF('01_Warehouse_Ledger'!$A$422="","",'01_Warehouse_Ledger'!$A$422)</f>
        <v>PAL-0000422</v>
      </c>
      <c r="D926" t="s">
        <v>1258</v>
      </c>
    </row>
    <row r="927" spans="1:4">
      <c r="A927" t="s">
        <v>1257</v>
      </c>
      <c r="B927" t="str">
        <f>IF('01_Warehouse_Ledger'!$A$423="","",'01_Warehouse_Ledger'!$A$423&amp;IF('01_Warehouse_Ledger'!$B$423&lt;&gt;""," | "&amp;'01_Warehouse_Ledger'!$B$423,""))</f>
        <v>PAL-0000423</v>
      </c>
      <c r="C927" t="str">
        <f>IF('01_Warehouse_Ledger'!$A$423="","",'01_Warehouse_Ledger'!$A$423)</f>
        <v>PAL-0000423</v>
      </c>
      <c r="D927" t="s">
        <v>1258</v>
      </c>
    </row>
    <row r="928" spans="1:4">
      <c r="A928" t="s">
        <v>1257</v>
      </c>
      <c r="B928" t="str">
        <f>IF('01_Warehouse_Ledger'!$A$424="","",'01_Warehouse_Ledger'!$A$424&amp;IF('01_Warehouse_Ledger'!$B$424&lt;&gt;""," | "&amp;'01_Warehouse_Ledger'!$B$424,""))</f>
        <v>PAL-0000424</v>
      </c>
      <c r="C928" t="str">
        <f>IF('01_Warehouse_Ledger'!$A$424="","",'01_Warehouse_Ledger'!$A$424)</f>
        <v>PAL-0000424</v>
      </c>
      <c r="D928" t="s">
        <v>1258</v>
      </c>
    </row>
    <row r="929" spans="1:4">
      <c r="A929" t="s">
        <v>1257</v>
      </c>
      <c r="B929" t="str">
        <f>IF('01_Warehouse_Ledger'!$A$425="","",'01_Warehouse_Ledger'!$A$425&amp;IF('01_Warehouse_Ledger'!$B$425&lt;&gt;""," | "&amp;'01_Warehouse_Ledger'!$B$425,""))</f>
        <v>PAL-0000425</v>
      </c>
      <c r="C929" t="str">
        <f>IF('01_Warehouse_Ledger'!$A$425="","",'01_Warehouse_Ledger'!$A$425)</f>
        <v>PAL-0000425</v>
      </c>
      <c r="D929" t="s">
        <v>1258</v>
      </c>
    </row>
    <row r="930" spans="1:4">
      <c r="A930" t="s">
        <v>1257</v>
      </c>
      <c r="B930" t="str">
        <f>IF('01_Warehouse_Ledger'!$A$426="","",'01_Warehouse_Ledger'!$A$426&amp;IF('01_Warehouse_Ledger'!$B$426&lt;&gt;""," | "&amp;'01_Warehouse_Ledger'!$B$426,""))</f>
        <v>PAL-0000426</v>
      </c>
      <c r="C930" t="str">
        <f>IF('01_Warehouse_Ledger'!$A$426="","",'01_Warehouse_Ledger'!$A$426)</f>
        <v>PAL-0000426</v>
      </c>
      <c r="D930" t="s">
        <v>1258</v>
      </c>
    </row>
    <row r="931" spans="1:4">
      <c r="A931" t="s">
        <v>1257</v>
      </c>
      <c r="B931" t="str">
        <f>IF('01_Warehouse_Ledger'!$A$427="","",'01_Warehouse_Ledger'!$A$427&amp;IF('01_Warehouse_Ledger'!$B$427&lt;&gt;""," | "&amp;'01_Warehouse_Ledger'!$B$427,""))</f>
        <v>PAL-0000427</v>
      </c>
      <c r="C931" t="str">
        <f>IF('01_Warehouse_Ledger'!$A$427="","",'01_Warehouse_Ledger'!$A$427)</f>
        <v>PAL-0000427</v>
      </c>
      <c r="D931" t="s">
        <v>1258</v>
      </c>
    </row>
    <row r="932" spans="1:4">
      <c r="A932" t="s">
        <v>1257</v>
      </c>
      <c r="B932" t="str">
        <f>IF('01_Warehouse_Ledger'!$A$428="","",'01_Warehouse_Ledger'!$A$428&amp;IF('01_Warehouse_Ledger'!$B$428&lt;&gt;""," | "&amp;'01_Warehouse_Ledger'!$B$428,""))</f>
        <v>PAL-0000428</v>
      </c>
      <c r="C932" t="str">
        <f>IF('01_Warehouse_Ledger'!$A$428="","",'01_Warehouse_Ledger'!$A$428)</f>
        <v>PAL-0000428</v>
      </c>
      <c r="D932" t="s">
        <v>1258</v>
      </c>
    </row>
    <row r="933" spans="1:4">
      <c r="A933" t="s">
        <v>1257</v>
      </c>
      <c r="B933" t="str">
        <f>IF('01_Warehouse_Ledger'!$A$429="","",'01_Warehouse_Ledger'!$A$429&amp;IF('01_Warehouse_Ledger'!$B$429&lt;&gt;""," | "&amp;'01_Warehouse_Ledger'!$B$429,""))</f>
        <v>PAL-0000429</v>
      </c>
      <c r="C933" t="str">
        <f>IF('01_Warehouse_Ledger'!$A$429="","",'01_Warehouse_Ledger'!$A$429)</f>
        <v>PAL-0000429</v>
      </c>
      <c r="D933" t="s">
        <v>1258</v>
      </c>
    </row>
    <row r="934" spans="1:4">
      <c r="A934" t="s">
        <v>1257</v>
      </c>
      <c r="B934" t="str">
        <f>IF('01_Warehouse_Ledger'!$A$430="","",'01_Warehouse_Ledger'!$A$430&amp;IF('01_Warehouse_Ledger'!$B$430&lt;&gt;""," | "&amp;'01_Warehouse_Ledger'!$B$430,""))</f>
        <v>PAL-0000430</v>
      </c>
      <c r="C934" t="str">
        <f>IF('01_Warehouse_Ledger'!$A$430="","",'01_Warehouse_Ledger'!$A$430)</f>
        <v>PAL-0000430</v>
      </c>
      <c r="D934" t="s">
        <v>1258</v>
      </c>
    </row>
    <row r="935" spans="1:4">
      <c r="A935" t="s">
        <v>1257</v>
      </c>
      <c r="B935" t="str">
        <f>IF('01_Warehouse_Ledger'!$A$431="","",'01_Warehouse_Ledger'!$A$431&amp;IF('01_Warehouse_Ledger'!$B$431&lt;&gt;""," | "&amp;'01_Warehouse_Ledger'!$B$431,""))</f>
        <v>PAL-0000431</v>
      </c>
      <c r="C935" t="str">
        <f>IF('01_Warehouse_Ledger'!$A$431="","",'01_Warehouse_Ledger'!$A$431)</f>
        <v>PAL-0000431</v>
      </c>
      <c r="D935" t="s">
        <v>1258</v>
      </c>
    </row>
    <row r="936" spans="1:4">
      <c r="A936" t="s">
        <v>1257</v>
      </c>
      <c r="B936" t="str">
        <f>IF('01_Warehouse_Ledger'!$A$432="","",'01_Warehouse_Ledger'!$A$432&amp;IF('01_Warehouse_Ledger'!$B$432&lt;&gt;""," | "&amp;'01_Warehouse_Ledger'!$B$432,""))</f>
        <v>PAL-0000432</v>
      </c>
      <c r="C936" t="str">
        <f>IF('01_Warehouse_Ledger'!$A$432="","",'01_Warehouse_Ledger'!$A$432)</f>
        <v>PAL-0000432</v>
      </c>
      <c r="D936" t="s">
        <v>1258</v>
      </c>
    </row>
    <row r="937" spans="1:4">
      <c r="A937" t="s">
        <v>1257</v>
      </c>
      <c r="B937" t="str">
        <f>IF('01_Warehouse_Ledger'!$A$433="","",'01_Warehouse_Ledger'!$A$433&amp;IF('01_Warehouse_Ledger'!$B$433&lt;&gt;""," | "&amp;'01_Warehouse_Ledger'!$B$433,""))</f>
        <v>PAL-0000433</v>
      </c>
      <c r="C937" t="str">
        <f>IF('01_Warehouse_Ledger'!$A$433="","",'01_Warehouse_Ledger'!$A$433)</f>
        <v>PAL-0000433</v>
      </c>
      <c r="D937" t="s">
        <v>1258</v>
      </c>
    </row>
    <row r="938" spans="1:4">
      <c r="A938" t="s">
        <v>1257</v>
      </c>
      <c r="B938" t="str">
        <f>IF('01_Warehouse_Ledger'!$A$434="","",'01_Warehouse_Ledger'!$A$434&amp;IF('01_Warehouse_Ledger'!$B$434&lt;&gt;""," | "&amp;'01_Warehouse_Ledger'!$B$434,""))</f>
        <v>PAL-0000434</v>
      </c>
      <c r="C938" t="str">
        <f>IF('01_Warehouse_Ledger'!$A$434="","",'01_Warehouse_Ledger'!$A$434)</f>
        <v>PAL-0000434</v>
      </c>
      <c r="D938" t="s">
        <v>1258</v>
      </c>
    </row>
    <row r="939" spans="1:4">
      <c r="A939" t="s">
        <v>1257</v>
      </c>
      <c r="B939" t="str">
        <f>IF('01_Warehouse_Ledger'!$A$435="","",'01_Warehouse_Ledger'!$A$435&amp;IF('01_Warehouse_Ledger'!$B$435&lt;&gt;""," | "&amp;'01_Warehouse_Ledger'!$B$435,""))</f>
        <v>PAL-0000435</v>
      </c>
      <c r="C939" t="str">
        <f>IF('01_Warehouse_Ledger'!$A$435="","",'01_Warehouse_Ledger'!$A$435)</f>
        <v>PAL-0000435</v>
      </c>
      <c r="D939" t="s">
        <v>1258</v>
      </c>
    </row>
    <row r="940" spans="1:4">
      <c r="A940" t="s">
        <v>1257</v>
      </c>
      <c r="B940" t="str">
        <f>IF('01_Warehouse_Ledger'!$A$436="","",'01_Warehouse_Ledger'!$A$436&amp;IF('01_Warehouse_Ledger'!$B$436&lt;&gt;""," | "&amp;'01_Warehouse_Ledger'!$B$436,""))</f>
        <v>PAL-0000436</v>
      </c>
      <c r="C940" t="str">
        <f>IF('01_Warehouse_Ledger'!$A$436="","",'01_Warehouse_Ledger'!$A$436)</f>
        <v>PAL-0000436</v>
      </c>
      <c r="D940" t="s">
        <v>1258</v>
      </c>
    </row>
    <row r="941" spans="1:4">
      <c r="A941" t="s">
        <v>1257</v>
      </c>
      <c r="B941" t="str">
        <f>IF('01_Warehouse_Ledger'!$A$437="","",'01_Warehouse_Ledger'!$A$437&amp;IF('01_Warehouse_Ledger'!$B$437&lt;&gt;""," | "&amp;'01_Warehouse_Ledger'!$B$437,""))</f>
        <v>PAL-0000437</v>
      </c>
      <c r="C941" t="str">
        <f>IF('01_Warehouse_Ledger'!$A$437="","",'01_Warehouse_Ledger'!$A$437)</f>
        <v>PAL-0000437</v>
      </c>
      <c r="D941" t="s">
        <v>1258</v>
      </c>
    </row>
    <row r="942" spans="1:4">
      <c r="A942" t="s">
        <v>1257</v>
      </c>
      <c r="B942" t="str">
        <f>IF('01_Warehouse_Ledger'!$A$438="","",'01_Warehouse_Ledger'!$A$438&amp;IF('01_Warehouse_Ledger'!$B$438&lt;&gt;""," | "&amp;'01_Warehouse_Ledger'!$B$438,""))</f>
        <v>PAL-0000438</v>
      </c>
      <c r="C942" t="str">
        <f>IF('01_Warehouse_Ledger'!$A$438="","",'01_Warehouse_Ledger'!$A$438)</f>
        <v>PAL-0000438</v>
      </c>
      <c r="D942" t="s">
        <v>1258</v>
      </c>
    </row>
    <row r="943" spans="1:4">
      <c r="A943" t="s">
        <v>1257</v>
      </c>
      <c r="B943" t="str">
        <f>IF('01_Warehouse_Ledger'!$A$439="","",'01_Warehouse_Ledger'!$A$439&amp;IF('01_Warehouse_Ledger'!$B$439&lt;&gt;""," | "&amp;'01_Warehouse_Ledger'!$B$439,""))</f>
        <v>PAL-0000439</v>
      </c>
      <c r="C943" t="str">
        <f>IF('01_Warehouse_Ledger'!$A$439="","",'01_Warehouse_Ledger'!$A$439)</f>
        <v>PAL-0000439</v>
      </c>
      <c r="D943" t="s">
        <v>1258</v>
      </c>
    </row>
    <row r="944" spans="1:4">
      <c r="A944" t="s">
        <v>1257</v>
      </c>
      <c r="B944" t="str">
        <f>IF('01_Warehouse_Ledger'!$A$440="","",'01_Warehouse_Ledger'!$A$440&amp;IF('01_Warehouse_Ledger'!$B$440&lt;&gt;""," | "&amp;'01_Warehouse_Ledger'!$B$440,""))</f>
        <v>PAL-0000440</v>
      </c>
      <c r="C944" t="str">
        <f>IF('01_Warehouse_Ledger'!$A$440="","",'01_Warehouse_Ledger'!$A$440)</f>
        <v>PAL-0000440</v>
      </c>
      <c r="D944" t="s">
        <v>1258</v>
      </c>
    </row>
    <row r="945" spans="1:4">
      <c r="A945" t="s">
        <v>1257</v>
      </c>
      <c r="B945" t="str">
        <f>IF('01_Warehouse_Ledger'!$A$441="","",'01_Warehouse_Ledger'!$A$441&amp;IF('01_Warehouse_Ledger'!$B$441&lt;&gt;""," | "&amp;'01_Warehouse_Ledger'!$B$441,""))</f>
        <v>PAL-0000441</v>
      </c>
      <c r="C945" t="str">
        <f>IF('01_Warehouse_Ledger'!$A$441="","",'01_Warehouse_Ledger'!$A$441)</f>
        <v>PAL-0000441</v>
      </c>
      <c r="D945" t="s">
        <v>1258</v>
      </c>
    </row>
    <row r="946" spans="1:4">
      <c r="A946" t="s">
        <v>1257</v>
      </c>
      <c r="B946" t="str">
        <f>IF('01_Warehouse_Ledger'!$A$442="","",'01_Warehouse_Ledger'!$A$442&amp;IF('01_Warehouse_Ledger'!$B$442&lt;&gt;""," | "&amp;'01_Warehouse_Ledger'!$B$442,""))</f>
        <v>PAL-0000442</v>
      </c>
      <c r="C946" t="str">
        <f>IF('01_Warehouse_Ledger'!$A$442="","",'01_Warehouse_Ledger'!$A$442)</f>
        <v>PAL-0000442</v>
      </c>
      <c r="D946" t="s">
        <v>1258</v>
      </c>
    </row>
    <row r="947" spans="1:4">
      <c r="A947" t="s">
        <v>1257</v>
      </c>
      <c r="B947" t="str">
        <f>IF('01_Warehouse_Ledger'!$A$443="","",'01_Warehouse_Ledger'!$A$443&amp;IF('01_Warehouse_Ledger'!$B$443&lt;&gt;""," | "&amp;'01_Warehouse_Ledger'!$B$443,""))</f>
        <v>PAL-0000443</v>
      </c>
      <c r="C947" t="str">
        <f>IF('01_Warehouse_Ledger'!$A$443="","",'01_Warehouse_Ledger'!$A$443)</f>
        <v>PAL-0000443</v>
      </c>
      <c r="D947" t="s">
        <v>1258</v>
      </c>
    </row>
    <row r="948" spans="1:4">
      <c r="A948" t="s">
        <v>1257</v>
      </c>
      <c r="B948" t="str">
        <f>IF('01_Warehouse_Ledger'!$A$444="","",'01_Warehouse_Ledger'!$A$444&amp;IF('01_Warehouse_Ledger'!$B$444&lt;&gt;""," | "&amp;'01_Warehouse_Ledger'!$B$444,""))</f>
        <v>PAL-0000444</v>
      </c>
      <c r="C948" t="str">
        <f>IF('01_Warehouse_Ledger'!$A$444="","",'01_Warehouse_Ledger'!$A$444)</f>
        <v>PAL-0000444</v>
      </c>
      <c r="D948" t="s">
        <v>1258</v>
      </c>
    </row>
    <row r="949" spans="1:4">
      <c r="A949" t="s">
        <v>1257</v>
      </c>
      <c r="B949" t="str">
        <f>IF('01_Warehouse_Ledger'!$A$445="","",'01_Warehouse_Ledger'!$A$445&amp;IF('01_Warehouse_Ledger'!$B$445&lt;&gt;""," | "&amp;'01_Warehouse_Ledger'!$B$445,""))</f>
        <v>PAL-0000445</v>
      </c>
      <c r="C949" t="str">
        <f>IF('01_Warehouse_Ledger'!$A$445="","",'01_Warehouse_Ledger'!$A$445)</f>
        <v>PAL-0000445</v>
      </c>
      <c r="D949" t="s">
        <v>1258</v>
      </c>
    </row>
    <row r="950" spans="1:4">
      <c r="A950" t="s">
        <v>1257</v>
      </c>
      <c r="B950" t="str">
        <f>IF('01_Warehouse_Ledger'!$A$446="","",'01_Warehouse_Ledger'!$A$446&amp;IF('01_Warehouse_Ledger'!$B$446&lt;&gt;""," | "&amp;'01_Warehouse_Ledger'!$B$446,""))</f>
        <v>PAL-0000446</v>
      </c>
      <c r="C950" t="str">
        <f>IF('01_Warehouse_Ledger'!$A$446="","",'01_Warehouse_Ledger'!$A$446)</f>
        <v>PAL-0000446</v>
      </c>
      <c r="D950" t="s">
        <v>1258</v>
      </c>
    </row>
    <row r="951" spans="1:4">
      <c r="A951" t="s">
        <v>1257</v>
      </c>
      <c r="B951" t="str">
        <f>IF('01_Warehouse_Ledger'!$A$447="","",'01_Warehouse_Ledger'!$A$447&amp;IF('01_Warehouse_Ledger'!$B$447&lt;&gt;""," | "&amp;'01_Warehouse_Ledger'!$B$447,""))</f>
        <v>PAL-0000447</v>
      </c>
      <c r="C951" t="str">
        <f>IF('01_Warehouse_Ledger'!$A$447="","",'01_Warehouse_Ledger'!$A$447)</f>
        <v>PAL-0000447</v>
      </c>
      <c r="D951" t="s">
        <v>1258</v>
      </c>
    </row>
    <row r="952" spans="1:4">
      <c r="A952" t="s">
        <v>1257</v>
      </c>
      <c r="B952" t="str">
        <f>IF('01_Warehouse_Ledger'!$A$448="","",'01_Warehouse_Ledger'!$A$448&amp;IF('01_Warehouse_Ledger'!$B$448&lt;&gt;""," | "&amp;'01_Warehouse_Ledger'!$B$448,""))</f>
        <v>PAL-0000448</v>
      </c>
      <c r="C952" t="str">
        <f>IF('01_Warehouse_Ledger'!$A$448="","",'01_Warehouse_Ledger'!$A$448)</f>
        <v>PAL-0000448</v>
      </c>
      <c r="D952" t="s">
        <v>1258</v>
      </c>
    </row>
    <row r="953" spans="1:4">
      <c r="A953" t="s">
        <v>1257</v>
      </c>
      <c r="B953" t="str">
        <f>IF('01_Warehouse_Ledger'!$A$449="","",'01_Warehouse_Ledger'!$A$449&amp;IF('01_Warehouse_Ledger'!$B$449&lt;&gt;""," | "&amp;'01_Warehouse_Ledger'!$B$449,""))</f>
        <v>PAL-0000449</v>
      </c>
      <c r="C953" t="str">
        <f>IF('01_Warehouse_Ledger'!$A$449="","",'01_Warehouse_Ledger'!$A$449)</f>
        <v>PAL-0000449</v>
      </c>
      <c r="D953" t="s">
        <v>1258</v>
      </c>
    </row>
    <row r="954" spans="1:4">
      <c r="A954" t="s">
        <v>1257</v>
      </c>
      <c r="B954" t="str">
        <f>IF('01_Warehouse_Ledger'!$A$450="","",'01_Warehouse_Ledger'!$A$450&amp;IF('01_Warehouse_Ledger'!$B$450&lt;&gt;""," | "&amp;'01_Warehouse_Ledger'!$B$450,""))</f>
        <v>PAL-0000450</v>
      </c>
      <c r="C954" t="str">
        <f>IF('01_Warehouse_Ledger'!$A$450="","",'01_Warehouse_Ledger'!$A$450)</f>
        <v>PAL-0000450</v>
      </c>
      <c r="D954" t="s">
        <v>1258</v>
      </c>
    </row>
    <row r="955" spans="1:4">
      <c r="A955" t="s">
        <v>1257</v>
      </c>
      <c r="B955" t="str">
        <f>IF('01_Warehouse_Ledger'!$A$451="","",'01_Warehouse_Ledger'!$A$451&amp;IF('01_Warehouse_Ledger'!$B$451&lt;&gt;""," | "&amp;'01_Warehouse_Ledger'!$B$451,""))</f>
        <v>PAL-0000451</v>
      </c>
      <c r="C955" t="str">
        <f>IF('01_Warehouse_Ledger'!$A$451="","",'01_Warehouse_Ledger'!$A$451)</f>
        <v>PAL-0000451</v>
      </c>
      <c r="D955" t="s">
        <v>1258</v>
      </c>
    </row>
    <row r="956" spans="1:4">
      <c r="A956" t="s">
        <v>1257</v>
      </c>
      <c r="B956" t="str">
        <f>IF('01_Warehouse_Ledger'!$A$452="","",'01_Warehouse_Ledger'!$A$452&amp;IF('01_Warehouse_Ledger'!$B$452&lt;&gt;""," | "&amp;'01_Warehouse_Ledger'!$B$452,""))</f>
        <v>PAL-0000452</v>
      </c>
      <c r="C956" t="str">
        <f>IF('01_Warehouse_Ledger'!$A$452="","",'01_Warehouse_Ledger'!$A$452)</f>
        <v>PAL-0000452</v>
      </c>
      <c r="D956" t="s">
        <v>1258</v>
      </c>
    </row>
    <row r="957" spans="1:4">
      <c r="A957" t="s">
        <v>1257</v>
      </c>
      <c r="B957" t="str">
        <f>IF('01_Warehouse_Ledger'!$A$453="","",'01_Warehouse_Ledger'!$A$453&amp;IF('01_Warehouse_Ledger'!$B$453&lt;&gt;""," | "&amp;'01_Warehouse_Ledger'!$B$453,""))</f>
        <v>PAL-0000453</v>
      </c>
      <c r="C957" t="str">
        <f>IF('01_Warehouse_Ledger'!$A$453="","",'01_Warehouse_Ledger'!$A$453)</f>
        <v>PAL-0000453</v>
      </c>
      <c r="D957" t="s">
        <v>1258</v>
      </c>
    </row>
    <row r="958" spans="1:4">
      <c r="A958" t="s">
        <v>1257</v>
      </c>
      <c r="B958" t="str">
        <f>IF('01_Warehouse_Ledger'!$A$454="","",'01_Warehouse_Ledger'!$A$454&amp;IF('01_Warehouse_Ledger'!$B$454&lt;&gt;""," | "&amp;'01_Warehouse_Ledger'!$B$454,""))</f>
        <v>PAL-0000454</v>
      </c>
      <c r="C958" t="str">
        <f>IF('01_Warehouse_Ledger'!$A$454="","",'01_Warehouse_Ledger'!$A$454)</f>
        <v>PAL-0000454</v>
      </c>
      <c r="D958" t="s">
        <v>1258</v>
      </c>
    </row>
    <row r="959" spans="1:4">
      <c r="A959" t="s">
        <v>1257</v>
      </c>
      <c r="B959" t="str">
        <f>IF('01_Warehouse_Ledger'!$A$455="","",'01_Warehouse_Ledger'!$A$455&amp;IF('01_Warehouse_Ledger'!$B$455&lt;&gt;""," | "&amp;'01_Warehouse_Ledger'!$B$455,""))</f>
        <v>PAL-0000455</v>
      </c>
      <c r="C959" t="str">
        <f>IF('01_Warehouse_Ledger'!$A$455="","",'01_Warehouse_Ledger'!$A$455)</f>
        <v>PAL-0000455</v>
      </c>
      <c r="D959" t="s">
        <v>1258</v>
      </c>
    </row>
    <row r="960" spans="1:4">
      <c r="A960" t="s">
        <v>1257</v>
      </c>
      <c r="B960" t="str">
        <f>IF('01_Warehouse_Ledger'!$A$456="","",'01_Warehouse_Ledger'!$A$456&amp;IF('01_Warehouse_Ledger'!$B$456&lt;&gt;""," | "&amp;'01_Warehouse_Ledger'!$B$456,""))</f>
        <v>PAL-0000456</v>
      </c>
      <c r="C960" t="str">
        <f>IF('01_Warehouse_Ledger'!$A$456="","",'01_Warehouse_Ledger'!$A$456)</f>
        <v>PAL-0000456</v>
      </c>
      <c r="D960" t="s">
        <v>1258</v>
      </c>
    </row>
    <row r="961" spans="1:4">
      <c r="A961" t="s">
        <v>1257</v>
      </c>
      <c r="B961" t="str">
        <f>IF('01_Warehouse_Ledger'!$A$457="","",'01_Warehouse_Ledger'!$A$457&amp;IF('01_Warehouse_Ledger'!$B$457&lt;&gt;""," | "&amp;'01_Warehouse_Ledger'!$B$457,""))</f>
        <v>PAL-0000457</v>
      </c>
      <c r="C961" t="str">
        <f>IF('01_Warehouse_Ledger'!$A$457="","",'01_Warehouse_Ledger'!$A$457)</f>
        <v>PAL-0000457</v>
      </c>
      <c r="D961" t="s">
        <v>1258</v>
      </c>
    </row>
    <row r="962" spans="1:4">
      <c r="A962" t="s">
        <v>1257</v>
      </c>
      <c r="B962" t="str">
        <f>IF('01_Warehouse_Ledger'!$A$458="","",'01_Warehouse_Ledger'!$A$458&amp;IF('01_Warehouse_Ledger'!$B$458&lt;&gt;""," | "&amp;'01_Warehouse_Ledger'!$B$458,""))</f>
        <v>PAL-0000458</v>
      </c>
      <c r="C962" t="str">
        <f>IF('01_Warehouse_Ledger'!$A$458="","",'01_Warehouse_Ledger'!$A$458)</f>
        <v>PAL-0000458</v>
      </c>
      <c r="D962" t="s">
        <v>1258</v>
      </c>
    </row>
    <row r="963" spans="1:4">
      <c r="A963" t="s">
        <v>1257</v>
      </c>
      <c r="B963" t="str">
        <f>IF('01_Warehouse_Ledger'!$A$459="","",'01_Warehouse_Ledger'!$A$459&amp;IF('01_Warehouse_Ledger'!$B$459&lt;&gt;""," | "&amp;'01_Warehouse_Ledger'!$B$459,""))</f>
        <v>PAL-0000459</v>
      </c>
      <c r="C963" t="str">
        <f>IF('01_Warehouse_Ledger'!$A$459="","",'01_Warehouse_Ledger'!$A$459)</f>
        <v>PAL-0000459</v>
      </c>
      <c r="D963" t="s">
        <v>1258</v>
      </c>
    </row>
    <row r="964" spans="1:4">
      <c r="A964" t="s">
        <v>1257</v>
      </c>
      <c r="B964" t="str">
        <f>IF('01_Warehouse_Ledger'!$A$460="","",'01_Warehouse_Ledger'!$A$460&amp;IF('01_Warehouse_Ledger'!$B$460&lt;&gt;""," | "&amp;'01_Warehouse_Ledger'!$B$460,""))</f>
        <v>PAL-0000460</v>
      </c>
      <c r="C964" t="str">
        <f>IF('01_Warehouse_Ledger'!$A$460="","",'01_Warehouse_Ledger'!$A$460)</f>
        <v>PAL-0000460</v>
      </c>
      <c r="D964" t="s">
        <v>1258</v>
      </c>
    </row>
    <row r="965" spans="1:4">
      <c r="A965" t="s">
        <v>1257</v>
      </c>
      <c r="B965" t="str">
        <f>IF('01_Warehouse_Ledger'!$A$461="","",'01_Warehouse_Ledger'!$A$461&amp;IF('01_Warehouse_Ledger'!$B$461&lt;&gt;""," | "&amp;'01_Warehouse_Ledger'!$B$461,""))</f>
        <v>PAL-0000461</v>
      </c>
      <c r="C965" t="str">
        <f>IF('01_Warehouse_Ledger'!$A$461="","",'01_Warehouse_Ledger'!$A$461)</f>
        <v>PAL-0000461</v>
      </c>
      <c r="D965" t="s">
        <v>1258</v>
      </c>
    </row>
    <row r="966" spans="1:4">
      <c r="A966" t="s">
        <v>1257</v>
      </c>
      <c r="B966" t="str">
        <f>IF('01_Warehouse_Ledger'!$A$462="","",'01_Warehouse_Ledger'!$A$462&amp;IF('01_Warehouse_Ledger'!$B$462&lt;&gt;""," | "&amp;'01_Warehouse_Ledger'!$B$462,""))</f>
        <v>PAL-0000462</v>
      </c>
      <c r="C966" t="str">
        <f>IF('01_Warehouse_Ledger'!$A$462="","",'01_Warehouse_Ledger'!$A$462)</f>
        <v>PAL-0000462</v>
      </c>
      <c r="D966" t="s">
        <v>1258</v>
      </c>
    </row>
    <row r="967" spans="1:4">
      <c r="A967" t="s">
        <v>1257</v>
      </c>
      <c r="B967" t="str">
        <f>IF('01_Warehouse_Ledger'!$A$463="","",'01_Warehouse_Ledger'!$A$463&amp;IF('01_Warehouse_Ledger'!$B$463&lt;&gt;""," | "&amp;'01_Warehouse_Ledger'!$B$463,""))</f>
        <v>PAL-0000463</v>
      </c>
      <c r="C967" t="str">
        <f>IF('01_Warehouse_Ledger'!$A$463="","",'01_Warehouse_Ledger'!$A$463)</f>
        <v>PAL-0000463</v>
      </c>
      <c r="D967" t="s">
        <v>1258</v>
      </c>
    </row>
    <row r="968" spans="1:4">
      <c r="A968" t="s">
        <v>1257</v>
      </c>
      <c r="B968" t="str">
        <f>IF('01_Warehouse_Ledger'!$A$464="","",'01_Warehouse_Ledger'!$A$464&amp;IF('01_Warehouse_Ledger'!$B$464&lt;&gt;""," | "&amp;'01_Warehouse_Ledger'!$B$464,""))</f>
        <v>PAL-0000464</v>
      </c>
      <c r="C968" t="str">
        <f>IF('01_Warehouse_Ledger'!$A$464="","",'01_Warehouse_Ledger'!$A$464)</f>
        <v>PAL-0000464</v>
      </c>
      <c r="D968" t="s">
        <v>1258</v>
      </c>
    </row>
    <row r="969" spans="1:4">
      <c r="A969" t="s">
        <v>1257</v>
      </c>
      <c r="B969" t="str">
        <f>IF('01_Warehouse_Ledger'!$A$465="","",'01_Warehouse_Ledger'!$A$465&amp;IF('01_Warehouse_Ledger'!$B$465&lt;&gt;""," | "&amp;'01_Warehouse_Ledger'!$B$465,""))</f>
        <v>PAL-0000465</v>
      </c>
      <c r="C969" t="str">
        <f>IF('01_Warehouse_Ledger'!$A$465="","",'01_Warehouse_Ledger'!$A$465)</f>
        <v>PAL-0000465</v>
      </c>
      <c r="D969" t="s">
        <v>1258</v>
      </c>
    </row>
    <row r="970" spans="1:4">
      <c r="A970" t="s">
        <v>1257</v>
      </c>
      <c r="B970" t="str">
        <f>IF('01_Warehouse_Ledger'!$A$466="","",'01_Warehouse_Ledger'!$A$466&amp;IF('01_Warehouse_Ledger'!$B$466&lt;&gt;""," | "&amp;'01_Warehouse_Ledger'!$B$466,""))</f>
        <v>PAL-0000466</v>
      </c>
      <c r="C970" t="str">
        <f>IF('01_Warehouse_Ledger'!$A$466="","",'01_Warehouse_Ledger'!$A$466)</f>
        <v>PAL-0000466</v>
      </c>
      <c r="D970" t="s">
        <v>1258</v>
      </c>
    </row>
    <row r="971" spans="1:4">
      <c r="A971" t="s">
        <v>1257</v>
      </c>
      <c r="B971" t="str">
        <f>IF('01_Warehouse_Ledger'!$A$467="","",'01_Warehouse_Ledger'!$A$467&amp;IF('01_Warehouse_Ledger'!$B$467&lt;&gt;""," | "&amp;'01_Warehouse_Ledger'!$B$467,""))</f>
        <v>PAL-0000467</v>
      </c>
      <c r="C971" t="str">
        <f>IF('01_Warehouse_Ledger'!$A$467="","",'01_Warehouse_Ledger'!$A$467)</f>
        <v>PAL-0000467</v>
      </c>
      <c r="D971" t="s">
        <v>1258</v>
      </c>
    </row>
    <row r="972" spans="1:4">
      <c r="A972" t="s">
        <v>1257</v>
      </c>
      <c r="B972" t="str">
        <f>IF('01_Warehouse_Ledger'!$A$468="","",'01_Warehouse_Ledger'!$A$468&amp;IF('01_Warehouse_Ledger'!$B$468&lt;&gt;""," | "&amp;'01_Warehouse_Ledger'!$B$468,""))</f>
        <v>PAL-0000468</v>
      </c>
      <c r="C972" t="str">
        <f>IF('01_Warehouse_Ledger'!$A$468="","",'01_Warehouse_Ledger'!$A$468)</f>
        <v>PAL-0000468</v>
      </c>
      <c r="D972" t="s">
        <v>1258</v>
      </c>
    </row>
    <row r="973" spans="1:4">
      <c r="A973" t="s">
        <v>1257</v>
      </c>
      <c r="B973" t="str">
        <f>IF('01_Warehouse_Ledger'!$A$469="","",'01_Warehouse_Ledger'!$A$469&amp;IF('01_Warehouse_Ledger'!$B$469&lt;&gt;""," | "&amp;'01_Warehouse_Ledger'!$B$469,""))</f>
        <v>PAL-0000469</v>
      </c>
      <c r="C973" t="str">
        <f>IF('01_Warehouse_Ledger'!$A$469="","",'01_Warehouse_Ledger'!$A$469)</f>
        <v>PAL-0000469</v>
      </c>
      <c r="D973" t="s">
        <v>1258</v>
      </c>
    </row>
    <row r="974" spans="1:4">
      <c r="A974" t="s">
        <v>1257</v>
      </c>
      <c r="B974" t="str">
        <f>IF('01_Warehouse_Ledger'!$A$470="","",'01_Warehouse_Ledger'!$A$470&amp;IF('01_Warehouse_Ledger'!$B$470&lt;&gt;""," | "&amp;'01_Warehouse_Ledger'!$B$470,""))</f>
        <v>PAL-0000470</v>
      </c>
      <c r="C974" t="str">
        <f>IF('01_Warehouse_Ledger'!$A$470="","",'01_Warehouse_Ledger'!$A$470)</f>
        <v>PAL-0000470</v>
      </c>
      <c r="D974" t="s">
        <v>1258</v>
      </c>
    </row>
    <row r="975" spans="1:4">
      <c r="A975" t="s">
        <v>1257</v>
      </c>
      <c r="B975" t="str">
        <f>IF('01_Warehouse_Ledger'!$A$471="","",'01_Warehouse_Ledger'!$A$471&amp;IF('01_Warehouse_Ledger'!$B$471&lt;&gt;""," | "&amp;'01_Warehouse_Ledger'!$B$471,""))</f>
        <v>PAL-0000471</v>
      </c>
      <c r="C975" t="str">
        <f>IF('01_Warehouse_Ledger'!$A$471="","",'01_Warehouse_Ledger'!$A$471)</f>
        <v>PAL-0000471</v>
      </c>
      <c r="D975" t="s">
        <v>1258</v>
      </c>
    </row>
    <row r="976" spans="1:4">
      <c r="A976" t="s">
        <v>1257</v>
      </c>
      <c r="B976" t="str">
        <f>IF('01_Warehouse_Ledger'!$A$472="","",'01_Warehouse_Ledger'!$A$472&amp;IF('01_Warehouse_Ledger'!$B$472&lt;&gt;""," | "&amp;'01_Warehouse_Ledger'!$B$472,""))</f>
        <v>PAL-0000472</v>
      </c>
      <c r="C976" t="str">
        <f>IF('01_Warehouse_Ledger'!$A$472="","",'01_Warehouse_Ledger'!$A$472)</f>
        <v>PAL-0000472</v>
      </c>
      <c r="D976" t="s">
        <v>1258</v>
      </c>
    </row>
    <row r="977" spans="1:4">
      <c r="A977" t="s">
        <v>1257</v>
      </c>
      <c r="B977" t="str">
        <f>IF('01_Warehouse_Ledger'!$A$473="","",'01_Warehouse_Ledger'!$A$473&amp;IF('01_Warehouse_Ledger'!$B$473&lt;&gt;""," | "&amp;'01_Warehouse_Ledger'!$B$473,""))</f>
        <v>PAL-0000473</v>
      </c>
      <c r="C977" t="str">
        <f>IF('01_Warehouse_Ledger'!$A$473="","",'01_Warehouse_Ledger'!$A$473)</f>
        <v>PAL-0000473</v>
      </c>
      <c r="D977" t="s">
        <v>1258</v>
      </c>
    </row>
    <row r="978" spans="1:4">
      <c r="A978" t="s">
        <v>1257</v>
      </c>
      <c r="B978" t="str">
        <f>IF('01_Warehouse_Ledger'!$A$474="","",'01_Warehouse_Ledger'!$A$474&amp;IF('01_Warehouse_Ledger'!$B$474&lt;&gt;""," | "&amp;'01_Warehouse_Ledger'!$B$474,""))</f>
        <v>PAL-0000474</v>
      </c>
      <c r="C978" t="str">
        <f>IF('01_Warehouse_Ledger'!$A$474="","",'01_Warehouse_Ledger'!$A$474)</f>
        <v>PAL-0000474</v>
      </c>
      <c r="D978" t="s">
        <v>1258</v>
      </c>
    </row>
    <row r="979" spans="1:4">
      <c r="A979" t="s">
        <v>1257</v>
      </c>
      <c r="B979" t="str">
        <f>IF('01_Warehouse_Ledger'!$A$475="","",'01_Warehouse_Ledger'!$A$475&amp;IF('01_Warehouse_Ledger'!$B$475&lt;&gt;""," | "&amp;'01_Warehouse_Ledger'!$B$475,""))</f>
        <v>PAL-0000475</v>
      </c>
      <c r="C979" t="str">
        <f>IF('01_Warehouse_Ledger'!$A$475="","",'01_Warehouse_Ledger'!$A$475)</f>
        <v>PAL-0000475</v>
      </c>
      <c r="D979" t="s">
        <v>1258</v>
      </c>
    </row>
    <row r="980" spans="1:4">
      <c r="A980" t="s">
        <v>1257</v>
      </c>
      <c r="B980" t="str">
        <f>IF('01_Warehouse_Ledger'!$A$476="","",'01_Warehouse_Ledger'!$A$476&amp;IF('01_Warehouse_Ledger'!$B$476&lt;&gt;""," | "&amp;'01_Warehouse_Ledger'!$B$476,""))</f>
        <v>PAL-0000476</v>
      </c>
      <c r="C980" t="str">
        <f>IF('01_Warehouse_Ledger'!$A$476="","",'01_Warehouse_Ledger'!$A$476)</f>
        <v>PAL-0000476</v>
      </c>
      <c r="D980" t="s">
        <v>1258</v>
      </c>
    </row>
    <row r="981" spans="1:4">
      <c r="A981" t="s">
        <v>1257</v>
      </c>
      <c r="B981" t="str">
        <f>IF('01_Warehouse_Ledger'!$A$477="","",'01_Warehouse_Ledger'!$A$477&amp;IF('01_Warehouse_Ledger'!$B$477&lt;&gt;""," | "&amp;'01_Warehouse_Ledger'!$B$477,""))</f>
        <v>PAL-0000477</v>
      </c>
      <c r="C981" t="str">
        <f>IF('01_Warehouse_Ledger'!$A$477="","",'01_Warehouse_Ledger'!$A$477)</f>
        <v>PAL-0000477</v>
      </c>
      <c r="D981" t="s">
        <v>1258</v>
      </c>
    </row>
    <row r="982" spans="1:4">
      <c r="A982" t="s">
        <v>1257</v>
      </c>
      <c r="B982" t="str">
        <f>IF('01_Warehouse_Ledger'!$A$478="","",'01_Warehouse_Ledger'!$A$478&amp;IF('01_Warehouse_Ledger'!$B$478&lt;&gt;""," | "&amp;'01_Warehouse_Ledger'!$B$478,""))</f>
        <v>PAL-0000478</v>
      </c>
      <c r="C982" t="str">
        <f>IF('01_Warehouse_Ledger'!$A$478="","",'01_Warehouse_Ledger'!$A$478)</f>
        <v>PAL-0000478</v>
      </c>
      <c r="D982" t="s">
        <v>1258</v>
      </c>
    </row>
    <row r="983" spans="1:4">
      <c r="A983" t="s">
        <v>1257</v>
      </c>
      <c r="B983" t="str">
        <f>IF('01_Warehouse_Ledger'!$A$479="","",'01_Warehouse_Ledger'!$A$479&amp;IF('01_Warehouse_Ledger'!$B$479&lt;&gt;""," | "&amp;'01_Warehouse_Ledger'!$B$479,""))</f>
        <v>PAL-0000479</v>
      </c>
      <c r="C983" t="str">
        <f>IF('01_Warehouse_Ledger'!$A$479="","",'01_Warehouse_Ledger'!$A$479)</f>
        <v>PAL-0000479</v>
      </c>
      <c r="D983" t="s">
        <v>1258</v>
      </c>
    </row>
    <row r="984" spans="1:4">
      <c r="A984" t="s">
        <v>1257</v>
      </c>
      <c r="B984" t="str">
        <f>IF('01_Warehouse_Ledger'!$A$480="","",'01_Warehouse_Ledger'!$A$480&amp;IF('01_Warehouse_Ledger'!$B$480&lt;&gt;""," | "&amp;'01_Warehouse_Ledger'!$B$480,""))</f>
        <v>PAL-0000480</v>
      </c>
      <c r="C984" t="str">
        <f>IF('01_Warehouse_Ledger'!$A$480="","",'01_Warehouse_Ledger'!$A$480)</f>
        <v>PAL-0000480</v>
      </c>
      <c r="D984" t="s">
        <v>1258</v>
      </c>
    </row>
    <row r="985" spans="1:4">
      <c r="A985" t="s">
        <v>1257</v>
      </c>
      <c r="B985" t="str">
        <f>IF('01_Warehouse_Ledger'!$A$481="","",'01_Warehouse_Ledger'!$A$481&amp;IF('01_Warehouse_Ledger'!$B$481&lt;&gt;""," | "&amp;'01_Warehouse_Ledger'!$B$481,""))</f>
        <v>PAL-0000481</v>
      </c>
      <c r="C985" t="str">
        <f>IF('01_Warehouse_Ledger'!$A$481="","",'01_Warehouse_Ledger'!$A$481)</f>
        <v>PAL-0000481</v>
      </c>
      <c r="D985" t="s">
        <v>1258</v>
      </c>
    </row>
    <row r="986" spans="1:4">
      <c r="A986" t="s">
        <v>1257</v>
      </c>
      <c r="B986" t="str">
        <f>IF('01_Warehouse_Ledger'!$A$482="","",'01_Warehouse_Ledger'!$A$482&amp;IF('01_Warehouse_Ledger'!$B$482&lt;&gt;""," | "&amp;'01_Warehouse_Ledger'!$B$482,""))</f>
        <v>PAL-0000482</v>
      </c>
      <c r="C986" t="str">
        <f>IF('01_Warehouse_Ledger'!$A$482="","",'01_Warehouse_Ledger'!$A$482)</f>
        <v>PAL-0000482</v>
      </c>
      <c r="D986" t="s">
        <v>1258</v>
      </c>
    </row>
    <row r="987" spans="1:4">
      <c r="A987" t="s">
        <v>1257</v>
      </c>
      <c r="B987" t="str">
        <f>IF('01_Warehouse_Ledger'!$A$483="","",'01_Warehouse_Ledger'!$A$483&amp;IF('01_Warehouse_Ledger'!$B$483&lt;&gt;""," | "&amp;'01_Warehouse_Ledger'!$B$483,""))</f>
        <v>PAL-0000483</v>
      </c>
      <c r="C987" t="str">
        <f>IF('01_Warehouse_Ledger'!$A$483="","",'01_Warehouse_Ledger'!$A$483)</f>
        <v>PAL-0000483</v>
      </c>
      <c r="D987" t="s">
        <v>1258</v>
      </c>
    </row>
    <row r="988" spans="1:4">
      <c r="A988" t="s">
        <v>1257</v>
      </c>
      <c r="B988" t="str">
        <f>IF('01_Warehouse_Ledger'!$A$484="","",'01_Warehouse_Ledger'!$A$484&amp;IF('01_Warehouse_Ledger'!$B$484&lt;&gt;""," | "&amp;'01_Warehouse_Ledger'!$B$484,""))</f>
        <v>PAL-0000484</v>
      </c>
      <c r="C988" t="str">
        <f>IF('01_Warehouse_Ledger'!$A$484="","",'01_Warehouse_Ledger'!$A$484)</f>
        <v>PAL-0000484</v>
      </c>
      <c r="D988" t="s">
        <v>1258</v>
      </c>
    </row>
    <row r="989" spans="1:4">
      <c r="A989" t="s">
        <v>1257</v>
      </c>
      <c r="B989" t="str">
        <f>IF('01_Warehouse_Ledger'!$A$485="","",'01_Warehouse_Ledger'!$A$485&amp;IF('01_Warehouse_Ledger'!$B$485&lt;&gt;""," | "&amp;'01_Warehouse_Ledger'!$B$485,""))</f>
        <v>PAL-0000485</v>
      </c>
      <c r="C989" t="str">
        <f>IF('01_Warehouse_Ledger'!$A$485="","",'01_Warehouse_Ledger'!$A$485)</f>
        <v>PAL-0000485</v>
      </c>
      <c r="D989" t="s">
        <v>1258</v>
      </c>
    </row>
    <row r="990" spans="1:4">
      <c r="A990" t="s">
        <v>1257</v>
      </c>
      <c r="B990" t="str">
        <f>IF('01_Warehouse_Ledger'!$A$486="","",'01_Warehouse_Ledger'!$A$486&amp;IF('01_Warehouse_Ledger'!$B$486&lt;&gt;""," | "&amp;'01_Warehouse_Ledger'!$B$486,""))</f>
        <v>PAL-0000486</v>
      </c>
      <c r="C990" t="str">
        <f>IF('01_Warehouse_Ledger'!$A$486="","",'01_Warehouse_Ledger'!$A$486)</f>
        <v>PAL-0000486</v>
      </c>
      <c r="D990" t="s">
        <v>1258</v>
      </c>
    </row>
    <row r="991" spans="1:4">
      <c r="A991" t="s">
        <v>1257</v>
      </c>
      <c r="B991" t="str">
        <f>IF('01_Warehouse_Ledger'!$A$487="","",'01_Warehouse_Ledger'!$A$487&amp;IF('01_Warehouse_Ledger'!$B$487&lt;&gt;""," | "&amp;'01_Warehouse_Ledger'!$B$487,""))</f>
        <v>PAL-0000487</v>
      </c>
      <c r="C991" t="str">
        <f>IF('01_Warehouse_Ledger'!$A$487="","",'01_Warehouse_Ledger'!$A$487)</f>
        <v>PAL-0000487</v>
      </c>
      <c r="D991" t="s">
        <v>1258</v>
      </c>
    </row>
    <row r="992" spans="1:4">
      <c r="A992" t="s">
        <v>1257</v>
      </c>
      <c r="B992" t="str">
        <f>IF('01_Warehouse_Ledger'!$A$488="","",'01_Warehouse_Ledger'!$A$488&amp;IF('01_Warehouse_Ledger'!$B$488&lt;&gt;""," | "&amp;'01_Warehouse_Ledger'!$B$488,""))</f>
        <v>PAL-0000488</v>
      </c>
      <c r="C992" t="str">
        <f>IF('01_Warehouse_Ledger'!$A$488="","",'01_Warehouse_Ledger'!$A$488)</f>
        <v>PAL-0000488</v>
      </c>
      <c r="D992" t="s">
        <v>1258</v>
      </c>
    </row>
    <row r="993" spans="1:4">
      <c r="A993" t="s">
        <v>1257</v>
      </c>
      <c r="B993" t="str">
        <f>IF('01_Warehouse_Ledger'!$A$489="","",'01_Warehouse_Ledger'!$A$489&amp;IF('01_Warehouse_Ledger'!$B$489&lt;&gt;""," | "&amp;'01_Warehouse_Ledger'!$B$489,""))</f>
        <v>PAL-0000489</v>
      </c>
      <c r="C993" t="str">
        <f>IF('01_Warehouse_Ledger'!$A$489="","",'01_Warehouse_Ledger'!$A$489)</f>
        <v>PAL-0000489</v>
      </c>
      <c r="D993" t="s">
        <v>1258</v>
      </c>
    </row>
    <row r="994" spans="1:4">
      <c r="A994" t="s">
        <v>1257</v>
      </c>
      <c r="B994" t="str">
        <f>IF('01_Warehouse_Ledger'!$A$490="","",'01_Warehouse_Ledger'!$A$490&amp;IF('01_Warehouse_Ledger'!$B$490&lt;&gt;""," | "&amp;'01_Warehouse_Ledger'!$B$490,""))</f>
        <v>PAL-0000490</v>
      </c>
      <c r="C994" t="str">
        <f>IF('01_Warehouse_Ledger'!$A$490="","",'01_Warehouse_Ledger'!$A$490)</f>
        <v>PAL-0000490</v>
      </c>
      <c r="D994" t="s">
        <v>1258</v>
      </c>
    </row>
    <row r="995" spans="1:4">
      <c r="A995" t="s">
        <v>1257</v>
      </c>
      <c r="B995" t="str">
        <f>IF('01_Warehouse_Ledger'!$A$491="","",'01_Warehouse_Ledger'!$A$491&amp;IF('01_Warehouse_Ledger'!$B$491&lt;&gt;""," | "&amp;'01_Warehouse_Ledger'!$B$491,""))</f>
        <v>PAL-0000491</v>
      </c>
      <c r="C995" t="str">
        <f>IF('01_Warehouse_Ledger'!$A$491="","",'01_Warehouse_Ledger'!$A$491)</f>
        <v>PAL-0000491</v>
      </c>
      <c r="D995" t="s">
        <v>1258</v>
      </c>
    </row>
    <row r="996" spans="1:4">
      <c r="A996" t="s">
        <v>1257</v>
      </c>
      <c r="B996" t="str">
        <f>IF('01_Warehouse_Ledger'!$A$492="","",'01_Warehouse_Ledger'!$A$492&amp;IF('01_Warehouse_Ledger'!$B$492&lt;&gt;""," | "&amp;'01_Warehouse_Ledger'!$B$492,""))</f>
        <v>PAL-0000492</v>
      </c>
      <c r="C996" t="str">
        <f>IF('01_Warehouse_Ledger'!$A$492="","",'01_Warehouse_Ledger'!$A$492)</f>
        <v>PAL-0000492</v>
      </c>
      <c r="D996" t="s">
        <v>1258</v>
      </c>
    </row>
    <row r="997" spans="1:4">
      <c r="A997" t="s">
        <v>1257</v>
      </c>
      <c r="B997" t="str">
        <f>IF('01_Warehouse_Ledger'!$A$493="","",'01_Warehouse_Ledger'!$A$493&amp;IF('01_Warehouse_Ledger'!$B$493&lt;&gt;""," | "&amp;'01_Warehouse_Ledger'!$B$493,""))</f>
        <v>PAL-0000493</v>
      </c>
      <c r="C997" t="str">
        <f>IF('01_Warehouse_Ledger'!$A$493="","",'01_Warehouse_Ledger'!$A$493)</f>
        <v>PAL-0000493</v>
      </c>
      <c r="D997" t="s">
        <v>1258</v>
      </c>
    </row>
    <row r="998" spans="1:4">
      <c r="A998" t="s">
        <v>1257</v>
      </c>
      <c r="B998" t="str">
        <f>IF('01_Warehouse_Ledger'!$A$494="","",'01_Warehouse_Ledger'!$A$494&amp;IF('01_Warehouse_Ledger'!$B$494&lt;&gt;""," | "&amp;'01_Warehouse_Ledger'!$B$494,""))</f>
        <v>PAL-0000494</v>
      </c>
      <c r="C998" t="str">
        <f>IF('01_Warehouse_Ledger'!$A$494="","",'01_Warehouse_Ledger'!$A$494)</f>
        <v>PAL-0000494</v>
      </c>
      <c r="D998" t="s">
        <v>1258</v>
      </c>
    </row>
    <row r="999" spans="1:4">
      <c r="A999" t="s">
        <v>1257</v>
      </c>
      <c r="B999" t="str">
        <f>IF('01_Warehouse_Ledger'!$A$495="","",'01_Warehouse_Ledger'!$A$495&amp;IF('01_Warehouse_Ledger'!$B$495&lt;&gt;""," | "&amp;'01_Warehouse_Ledger'!$B$495,""))</f>
        <v>PAL-0000495</v>
      </c>
      <c r="C999" t="str">
        <f>IF('01_Warehouse_Ledger'!$A$495="","",'01_Warehouse_Ledger'!$A$495)</f>
        <v>PAL-0000495</v>
      </c>
      <c r="D999" t="s">
        <v>1258</v>
      </c>
    </row>
    <row r="1000" spans="1:4">
      <c r="A1000" t="s">
        <v>1257</v>
      </c>
      <c r="B1000" t="str">
        <f>IF('01_Warehouse_Ledger'!$A$496="","",'01_Warehouse_Ledger'!$A$496&amp;IF('01_Warehouse_Ledger'!$B$496&lt;&gt;""," | "&amp;'01_Warehouse_Ledger'!$B$496,""))</f>
        <v>PAL-0000496</v>
      </c>
      <c r="C1000" t="str">
        <f>IF('01_Warehouse_Ledger'!$A$496="","",'01_Warehouse_Ledger'!$A$496)</f>
        <v>PAL-0000496</v>
      </c>
      <c r="D1000" t="s">
        <v>1258</v>
      </c>
    </row>
    <row r="1001" spans="1:4">
      <c r="A1001" t="s">
        <v>1257</v>
      </c>
      <c r="B1001" t="str">
        <f>IF('01_Warehouse_Ledger'!$A$497="","",'01_Warehouse_Ledger'!$A$497&amp;IF('01_Warehouse_Ledger'!$B$497&lt;&gt;""," | "&amp;'01_Warehouse_Ledger'!$B$497,""))</f>
        <v>PAL-0000497</v>
      </c>
      <c r="C1001" t="str">
        <f>IF('01_Warehouse_Ledger'!$A$497="","",'01_Warehouse_Ledger'!$A$497)</f>
        <v>PAL-0000497</v>
      </c>
      <c r="D1001" t="s">
        <v>1258</v>
      </c>
    </row>
    <row r="1002" spans="1:4">
      <c r="A1002" t="s">
        <v>1257</v>
      </c>
      <c r="B1002" t="str">
        <f>IF('01_Warehouse_Ledger'!$A$498="","",'01_Warehouse_Ledger'!$A$498&amp;IF('01_Warehouse_Ledger'!$B$498&lt;&gt;""," | "&amp;'01_Warehouse_Ledger'!$B$498,""))</f>
        <v>PAL-0000498</v>
      </c>
      <c r="C1002" t="str">
        <f>IF('01_Warehouse_Ledger'!$A$498="","",'01_Warehouse_Ledger'!$A$498)</f>
        <v>PAL-0000498</v>
      </c>
      <c r="D1002" t="s">
        <v>1258</v>
      </c>
    </row>
    <row r="1003" spans="1:4">
      <c r="A1003" t="s">
        <v>1257</v>
      </c>
      <c r="B1003" t="str">
        <f>IF('01_Warehouse_Ledger'!$A$499="","",'01_Warehouse_Ledger'!$A$499&amp;IF('01_Warehouse_Ledger'!$B$499&lt;&gt;""," | "&amp;'01_Warehouse_Ledger'!$B$499,""))</f>
        <v>PAL-0000499</v>
      </c>
      <c r="C1003" t="str">
        <f>IF('01_Warehouse_Ledger'!$A$499="","",'01_Warehouse_Ledger'!$A$499)</f>
        <v>PAL-0000499</v>
      </c>
      <c r="D1003" t="s">
        <v>1258</v>
      </c>
    </row>
    <row r="1004" spans="1:4">
      <c r="A1004" t="s">
        <v>1257</v>
      </c>
      <c r="B1004" t="str">
        <f>IF('01_Warehouse_Ledger'!$A$500="","",'01_Warehouse_Ledger'!$A$500&amp;IF('01_Warehouse_Ledger'!$B$500&lt;&gt;""," | "&amp;'01_Warehouse_Ledger'!$B$500,""))</f>
        <v>PAL-0000500</v>
      </c>
      <c r="C1004" t="str">
        <f>IF('01_Warehouse_Ledger'!$A$500="","",'01_Warehouse_Ledger'!$A$500)</f>
        <v>PAL-0000500</v>
      </c>
      <c r="D1004" t="s">
        <v>1258</v>
      </c>
    </row>
    <row r="1005" spans="1:4">
      <c r="A1005" t="s">
        <v>1257</v>
      </c>
      <c r="B1005" t="str">
        <f>IF('01_Warehouse_Ledger'!$A$501="","",'01_Warehouse_Ledger'!$A$501&amp;IF('01_Warehouse_Ledger'!$B$501&lt;&gt;""," | "&amp;'01_Warehouse_Ledger'!$B$501,""))</f>
        <v>end</v>
      </c>
      <c r="C1005" t="str">
        <f>IF('01_Warehouse_Ledger'!$A$501="","",'01_Warehouse_Ledger'!$A$501)</f>
        <v>end</v>
      </c>
      <c r="D1005" t="s">
        <v>1258</v>
      </c>
    </row>
  </sheetData>
  <conditionalFormatting sqref="A3:D1005">
    <cfRule type="expression" dxfId="32" priority="3">
      <formula>AND(OR($A3="LOCATION",$A3="PALLET"),TRIM($B3)&lt;&gt;"",TRIM($C3)="")</formula>
    </cfRule>
  </conditionalFormatting>
  <dataValidations count="2">
    <dataValidation type="custom" allowBlank="1" showInputMessage="1" showErrorMessage="1" sqref="B2:C1048576" xr:uid="{00000000-0002-0000-0600-000000000000}">
      <formula1>FALSE</formula1>
    </dataValidation>
    <dataValidation type="custom" allowBlank="1" showInputMessage="1" showErrorMessage="1" errorTitle="Automated field, foo 🤡" error="Skedaddle 💨. Don't overwrite formulas 😄" sqref="D3:D502 D506:D1004" xr:uid="{00000000-0002-0000-0600-000001000000}">
      <formula1>FALSE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5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28" customWidth="1"/>
    <col min="2" max="2" width="48" customWidth="1"/>
    <col min="4" max="4" width="38" customWidth="1"/>
  </cols>
  <sheetData>
    <row r="1" spans="1:4" ht="21" customHeight="1">
      <c r="A1" s="37" t="s">
        <v>1259</v>
      </c>
    </row>
    <row r="3" spans="1:4">
      <c r="A3" s="38" t="s">
        <v>1260</v>
      </c>
      <c r="B3" s="4"/>
      <c r="D3" s="39" t="s">
        <v>1261</v>
      </c>
    </row>
    <row r="4" spans="1:4">
      <c r="A4" s="5"/>
      <c r="B4" s="5"/>
    </row>
    <row r="5" spans="1:4">
      <c r="A5" s="40" t="s">
        <v>181</v>
      </c>
      <c r="B5" s="41" t="str">
        <f>IFERROR(INDEX('01_Warehouse_Ledger'!$B$2:$B$2002,MATCH($B$3,'01_Warehouse_Ledger'!$A$2:$A$2002,0)),"")</f>
        <v/>
      </c>
    </row>
    <row r="6" spans="1:4">
      <c r="A6" s="40" t="s">
        <v>1262</v>
      </c>
      <c r="B6" s="41" t="str">
        <f>IFERROR(INDEX('01_Warehouse_Ledger'!$D$2:$D$2002,MATCH($B$3,'01_Warehouse_Ledger'!$A$2:$A$2002,0)),"")</f>
        <v/>
      </c>
    </row>
    <row r="7" spans="1:4">
      <c r="A7" s="40" t="s">
        <v>1263</v>
      </c>
      <c r="B7" s="41" t="str">
        <f>IFERROR(INDEX('02_Warehouse_Locations'!$J$2:$J$501,MATCH($B$6,'02_Warehouse_Locations'!$A$2:$A$501,0)),"")</f>
        <v/>
      </c>
    </row>
    <row r="8" spans="1:4">
      <c r="A8" s="40" t="s">
        <v>815</v>
      </c>
      <c r="B8" s="41" t="str">
        <f>IFERROR(INDEX('02_Warehouse_Locations'!$B$2:$B$501,MATCH($B$6,'02_Warehouse_Locations'!$A$2:$A$501,0)),"")</f>
        <v/>
      </c>
    </row>
    <row r="9" spans="1:4">
      <c r="A9" s="40" t="s">
        <v>816</v>
      </c>
      <c r="B9" s="41" t="str">
        <f>IFERROR(INDEX('02_Warehouse_Locations'!$C$2:$C$501,MATCH($B$6,'02_Warehouse_Locations'!$A$2:$A$501,0)),"")</f>
        <v/>
      </c>
    </row>
    <row r="10" spans="1:4">
      <c r="A10" s="40" t="s">
        <v>1264</v>
      </c>
      <c r="B10" s="41" t="str">
        <f>IFERROR(INDEX('02_Warehouse_Locations'!$D$2:$D$501,MATCH($B$6,'02_Warehouse_Locations'!$A$2:$A$501,0)),"")</f>
        <v/>
      </c>
    </row>
    <row r="11" spans="1:4">
      <c r="A11" s="40" t="s">
        <v>818</v>
      </c>
      <c r="B11" s="41" t="str">
        <f>IFERROR(INDEX('02_Warehouse_Locations'!$E$2:$E$501,MATCH($B$6,'02_Warehouse_Locations'!$A$2:$A$501,0)),"")</f>
        <v/>
      </c>
    </row>
    <row r="12" spans="1:4">
      <c r="A12" s="40" t="s">
        <v>1265</v>
      </c>
      <c r="B12" s="41" t="str">
        <f>IFERROR(INDEX('02_Warehouse_Locations'!$N$2:$N$501,MATCH($B$6,'02_Warehouse_Locations'!$A$2:$A$501,0)),"")</f>
        <v/>
      </c>
    </row>
    <row r="13" spans="1:4">
      <c r="A13" s="40" t="s">
        <v>826</v>
      </c>
      <c r="B13" s="41" t="str">
        <f>IFERROR(INDEX('02_Warehouse_Locations'!$O$2:$O$501,MATCH($B$6,'02_Warehouse_Locations'!$A$2:$A$501,0)),"")</f>
        <v/>
      </c>
    </row>
    <row r="14" spans="1:4">
      <c r="A14" s="40" t="s">
        <v>827</v>
      </c>
      <c r="B14" s="41" t="str">
        <f>IFERROR(INDEX('02_Warehouse_Locations'!$P$2:$P$501,MATCH($B$6,'02_Warehouse_Locations'!$A$2:$A$501,0)),"")</f>
        <v/>
      </c>
    </row>
    <row r="15" spans="1:4">
      <c r="A15" t="s">
        <v>828</v>
      </c>
      <c r="B15" t="str">
        <f>IFERROR(INDEX('02_Warehouse_Locations'!$Q$2:$Q$501,MATCH($B$6,'02_Warehouse_Locations'!$A$2:$A$501,0)),"")</f>
        <v/>
      </c>
    </row>
  </sheetData>
  <conditionalFormatting sqref="B3">
    <cfRule type="expression" dxfId="31" priority="1" stopIfTrue="1">
      <formula>AND(TRIM($A3)="",OR($B3&lt;&gt;"",$C3&lt;&gt;"",$D3&lt;&gt;"",$E3&lt;&gt;"",$I3&lt;&gt;"",$J3&lt;&gt;""))</formula>
    </cfRule>
    <cfRule type="expression" dxfId="30" priority="2">
      <formula>AND(TRIM($A3)&lt;&gt;"",NOT(AND(LEFT($A3,4)="PAL-",LEN($A3)=11,ISNUMBER(--MID($A3,5,7)))))</formula>
    </cfRule>
    <cfRule type="expression" dxfId="29" priority="3">
      <formula>AND(TRIM($A3)&lt;&gt;"",COUNTIF($A$2:$A$2002,$A3)&gt;1)</formula>
    </cfRule>
    <cfRule type="expression" dxfId="28" priority="4">
      <formula>AND(TRIM($A3)&lt;&gt;"",$C3&lt;&gt;"",$D3&lt;&gt;"",$D3&lt;&gt;"0",$C3&lt;&gt;$D3)</formula>
    </cfRule>
  </conditionalFormatting>
  <dataValidations count="2">
    <dataValidation type="custom" allowBlank="1" showInputMessage="1" showErrorMessage="1" errorTitle="Automated field, foo 🤡" error="Skedaddle 💨. Don't overwrite formulas 😄" sqref="A6:A15" xr:uid="{00000000-0002-0000-0700-000000000000}">
      <formula1>FALSE</formula1>
    </dataValidation>
    <dataValidation type="custom" allowBlank="1" showInputMessage="1" showErrorMessage="1" errorTitle="Invalid Pallet ID" error="Expected format: PAL-#######" sqref="B3" xr:uid="{00000000-0002-0000-0700-000001000000}">
      <formula1>AND(LEFT($A3,4)="PAL-",LEN($A3)=11)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40"/>
  <sheetViews>
    <sheetView workbookViewId="0">
      <pane xSplit="1" ySplit="6" topLeftCell="B7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2" customWidth="1"/>
    <col min="3" max="3" width="4.42578125" customWidth="1"/>
  </cols>
  <sheetData>
    <row r="1" spans="1:21" ht="21" customHeight="1">
      <c r="A1" s="42" t="s">
        <v>1266</v>
      </c>
    </row>
    <row r="2" spans="1:21">
      <c r="A2" s="43" t="s">
        <v>1267</v>
      </c>
      <c r="B2" s="44" t="str">
        <f>IFERROR('05_Scan_Lookup'!$B$13,"")</f>
        <v/>
      </c>
    </row>
    <row r="3" spans="1:21">
      <c r="A3" s="43" t="s">
        <v>1268</v>
      </c>
      <c r="B3" s="44" t="str">
        <f>IFERROR('05_Scan_Lookup'!$B$14,"")</f>
        <v/>
      </c>
    </row>
    <row r="4" spans="1:21">
      <c r="A4" s="43" t="s">
        <v>1269</v>
      </c>
      <c r="B4" s="44" t="str">
        <f>IFERROR(INDEX('02_Warehouse_Locations'!$M$2:$M$501,MATCH('05_Scan_Lookup'!$B$6,'02_Warehouse_Locations'!$A$2:$A$501,0)),"")</f>
        <v/>
      </c>
    </row>
    <row r="5" spans="1:21">
      <c r="A5" s="43" t="s">
        <v>1270</v>
      </c>
      <c r="B5" s="44" t="s">
        <v>1271</v>
      </c>
    </row>
    <row r="6" spans="1:21" ht="20.100000000000001" customHeight="1">
      <c r="A6" s="47" t="s">
        <v>1272</v>
      </c>
      <c r="B6" s="47" t="s">
        <v>845</v>
      </c>
      <c r="C6" s="47" t="s">
        <v>257</v>
      </c>
      <c r="D6" s="47" t="s">
        <v>896</v>
      </c>
      <c r="E6" s="47" t="s">
        <v>921</v>
      </c>
      <c r="F6" s="47" t="s">
        <v>962</v>
      </c>
      <c r="G6" s="47" t="s">
        <v>1003</v>
      </c>
      <c r="H6" s="47" t="s">
        <v>1273</v>
      </c>
      <c r="I6" s="47" t="s">
        <v>1274</v>
      </c>
      <c r="J6" s="47" t="s">
        <v>1275</v>
      </c>
      <c r="K6" s="47" t="s">
        <v>1276</v>
      </c>
      <c r="L6" s="47" t="s">
        <v>1277</v>
      </c>
      <c r="M6" s="47" t="s">
        <v>841</v>
      </c>
      <c r="N6" s="47">
        <v>13</v>
      </c>
      <c r="O6" s="47">
        <v>14</v>
      </c>
      <c r="P6" s="47">
        <v>15</v>
      </c>
      <c r="Q6" s="47">
        <v>16</v>
      </c>
      <c r="R6" s="47">
        <v>17</v>
      </c>
      <c r="S6" s="47">
        <v>18</v>
      </c>
      <c r="T6" s="47">
        <v>19</v>
      </c>
      <c r="U6" s="47">
        <v>20</v>
      </c>
    </row>
    <row r="7" spans="1:21" ht="15.75">
      <c r="A7" s="45">
        <v>1</v>
      </c>
      <c r="B7" s="46" t="str">
        <f>IF(AND(B6=$B$2,A7=$B$3),"●","")</f>
        <v/>
      </c>
      <c r="C7" s="46" t="str">
        <f>IF(AND(C6=$B$2,A7=$B$3),"●","")</f>
        <v/>
      </c>
      <c r="D7" s="46" t="str">
        <f>IF(AND(D6=$B$2,A7=$B$3),"●","")</f>
        <v/>
      </c>
      <c r="E7" s="46" t="str">
        <f>IF(AND(E6=$B$2,A7=$B$3),"●","")</f>
        <v/>
      </c>
      <c r="F7" s="46" t="str">
        <f>IF(AND(F6=$B$2,A7=$B$3),"●","")</f>
        <v/>
      </c>
      <c r="G7" s="46" t="str">
        <f>IF(AND(G6=$B$2,A7=$B$3),"●","")</f>
        <v/>
      </c>
      <c r="H7" s="46" t="str">
        <f>IF(AND(H6=$B$2,A7=$B$3),"●","")</f>
        <v/>
      </c>
      <c r="I7" s="46" t="str">
        <f>IF(AND(I6=$B$2,A7=$B$3),"●","")</f>
        <v/>
      </c>
      <c r="J7" s="46" t="str">
        <f>IF(AND(J6=$B$2,A7=$B$3),"●","")</f>
        <v/>
      </c>
      <c r="K7" s="46" t="str">
        <f>IF(AND(K6=$B$2,A7=$B$3),"●","")</f>
        <v/>
      </c>
      <c r="L7" s="46" t="str">
        <f>IF(AND(L6=$B$2,A7=$B$3),"●","")</f>
        <v/>
      </c>
      <c r="M7" s="46" t="str">
        <f>IF(AND(M6=$B$2,A7=$B$3),"●","")</f>
        <v/>
      </c>
      <c r="N7" s="46" t="str">
        <f t="shared" ref="N7:U16" si="0">IF(AND($A7=$B$2,N$6=$B$3),"●","")</f>
        <v/>
      </c>
      <c r="O7" s="46" t="str">
        <f t="shared" si="0"/>
        <v/>
      </c>
      <c r="P7" s="46" t="str">
        <f t="shared" si="0"/>
        <v/>
      </c>
      <c r="Q7" s="46" t="str">
        <f t="shared" si="0"/>
        <v/>
      </c>
      <c r="R7" s="46" t="str">
        <f t="shared" si="0"/>
        <v/>
      </c>
      <c r="S7" s="46" t="str">
        <f t="shared" si="0"/>
        <v/>
      </c>
      <c r="T7" s="46" t="str">
        <f t="shared" si="0"/>
        <v/>
      </c>
      <c r="U7" s="46" t="str">
        <f t="shared" si="0"/>
        <v/>
      </c>
    </row>
    <row r="8" spans="1:21" ht="15.75">
      <c r="A8" s="45">
        <v>2</v>
      </c>
      <c r="B8" s="46" t="str">
        <f>IF(AND(B6=$B$2,A8=$B$3),"●","")</f>
        <v/>
      </c>
      <c r="C8" s="46" t="str">
        <f>IF(AND(C6=$B$2,A8=$B$3),"●","")</f>
        <v/>
      </c>
      <c r="D8" s="46" t="str">
        <f>IF(AND(D6=$B$2,A8=$B$3),"●","")</f>
        <v/>
      </c>
      <c r="E8" s="46" t="str">
        <f>IF(AND(E6=$B$2,A8=$B$3),"●","")</f>
        <v/>
      </c>
      <c r="F8" s="46" t="str">
        <f>IF(AND(F6=$B$2,A8=$B$3),"●","")</f>
        <v/>
      </c>
      <c r="G8" s="46" t="str">
        <f>IF(AND(G6=$B$2,A8=$B$3),"●","")</f>
        <v/>
      </c>
      <c r="H8" s="46" t="str">
        <f>IF(AND(H6=$B$2,A8=$B$3),"●","")</f>
        <v/>
      </c>
      <c r="I8" s="46" t="str">
        <f>IF(AND(I6=$B$2,A8=$B$3),"●","")</f>
        <v/>
      </c>
      <c r="J8" s="46" t="str">
        <f>IF(AND(J6=$B$2,A8=$B$3),"●","")</f>
        <v/>
      </c>
      <c r="K8" s="46" t="str">
        <f>IF(AND(K6=$B$2,A8=$B$3),"●","")</f>
        <v/>
      </c>
      <c r="L8" s="46" t="str">
        <f>IF(AND(L6=$B$2,A8=$B$3),"●","")</f>
        <v/>
      </c>
      <c r="M8" s="46" t="str">
        <f>IF(AND(M6=$B$2,A8=$B$3),"●","")</f>
        <v/>
      </c>
      <c r="N8" s="46" t="str">
        <f t="shared" si="0"/>
        <v/>
      </c>
      <c r="O8" s="46" t="str">
        <f t="shared" si="0"/>
        <v/>
      </c>
      <c r="P8" s="46" t="str">
        <f t="shared" si="0"/>
        <v/>
      </c>
      <c r="Q8" s="46" t="str">
        <f t="shared" si="0"/>
        <v/>
      </c>
      <c r="R8" s="46" t="str">
        <f t="shared" si="0"/>
        <v/>
      </c>
      <c r="S8" s="46" t="str">
        <f t="shared" si="0"/>
        <v/>
      </c>
      <c r="T8" s="46" t="str">
        <f t="shared" si="0"/>
        <v/>
      </c>
      <c r="U8" s="46" t="str">
        <f t="shared" si="0"/>
        <v/>
      </c>
    </row>
    <row r="9" spans="1:21" ht="15.75">
      <c r="A9" s="45">
        <v>3</v>
      </c>
      <c r="B9" s="46" t="str">
        <f>IF(AND(B6=$B$2,A9=$B$3),"●","")</f>
        <v/>
      </c>
      <c r="C9" s="46" t="str">
        <f>IF(AND(C6=$B$2,A9=$B$3),"●","")</f>
        <v/>
      </c>
      <c r="D9" s="46" t="str">
        <f>IF(AND(D6=$B$2,A9=$B$3),"●","")</f>
        <v/>
      </c>
      <c r="E9" s="46" t="str">
        <f>IF(AND(E6=$B$2,A9=$B$3),"●","")</f>
        <v/>
      </c>
      <c r="F9" s="46" t="str">
        <f>IF(AND(F6=$B$2,A9=$B$3),"●","")</f>
        <v/>
      </c>
      <c r="G9" s="46" t="str">
        <f>IF(AND(G6=$B$2,A9=$B$3),"●","")</f>
        <v/>
      </c>
      <c r="H9" s="46" t="str">
        <f>IF(AND(H6=$B$2,A9=$B$3),"●","")</f>
        <v/>
      </c>
      <c r="I9" s="46" t="str">
        <f>IF(AND(I6=$B$2,A9=$B$3),"●","")</f>
        <v/>
      </c>
      <c r="J9" s="46" t="str">
        <f>IF(AND(J6=$B$2,A9=$B$3),"●","")</f>
        <v/>
      </c>
      <c r="K9" s="46" t="str">
        <f>IF(AND(K6=$B$2,A9=$B$3),"●","")</f>
        <v/>
      </c>
      <c r="L9" s="46" t="str">
        <f>IF(AND(L6=$B$2,A9=$B$3),"●","")</f>
        <v/>
      </c>
      <c r="M9" s="46" t="str">
        <f>IF(AND(M6=$B$2,A9=$B$3),"●","")</f>
        <v/>
      </c>
      <c r="N9" s="46" t="str">
        <f t="shared" si="0"/>
        <v/>
      </c>
      <c r="O9" s="46" t="str">
        <f t="shared" si="0"/>
        <v/>
      </c>
      <c r="P9" s="46" t="str">
        <f t="shared" si="0"/>
        <v/>
      </c>
      <c r="Q9" s="46" t="str">
        <f t="shared" si="0"/>
        <v/>
      </c>
      <c r="R9" s="46" t="str">
        <f t="shared" si="0"/>
        <v/>
      </c>
      <c r="S9" s="46" t="str">
        <f t="shared" si="0"/>
        <v/>
      </c>
      <c r="T9" s="46" t="str">
        <f t="shared" si="0"/>
        <v/>
      </c>
      <c r="U9" s="46" t="str">
        <f t="shared" si="0"/>
        <v/>
      </c>
    </row>
    <row r="10" spans="1:21" ht="15.75">
      <c r="A10" s="45">
        <v>4</v>
      </c>
      <c r="B10" s="46" t="str">
        <f>IF(AND(B6=$B$2,A10=$B$3),"●","")</f>
        <v/>
      </c>
      <c r="C10" s="46" t="str">
        <f>IF(AND(C6=$B$2,A10=$B$3),"●","")</f>
        <v/>
      </c>
      <c r="D10" s="46" t="str">
        <f>IF(AND(D6=$B$2,A10=$B$3),"●","")</f>
        <v/>
      </c>
      <c r="E10" s="46" t="str">
        <f>IF(AND(E6=$B$2,A10=$B$3),"●","")</f>
        <v/>
      </c>
      <c r="F10" s="46" t="str">
        <f>IF(AND(F6=$B$2,A10=$B$3),"●","")</f>
        <v/>
      </c>
      <c r="G10" s="46" t="str">
        <f>IF(AND(G6=$B$2,A10=$B$3),"●","")</f>
        <v/>
      </c>
      <c r="H10" s="46" t="str">
        <f>IF(AND(H6=$B$2,A10=$B$3),"●","")</f>
        <v/>
      </c>
      <c r="I10" s="46" t="str">
        <f>IF(AND(I6=$B$2,A10=$B$3),"●","")</f>
        <v/>
      </c>
      <c r="J10" s="46" t="str">
        <f>IF(AND(J6=$B$2,A10=$B$3),"●","")</f>
        <v/>
      </c>
      <c r="K10" s="46" t="str">
        <f>IF(AND(K6=$B$2,A10=$B$3),"●","")</f>
        <v/>
      </c>
      <c r="L10" s="46" t="str">
        <f>IF(AND(L6=$B$2,A10=$B$3),"●","")</f>
        <v/>
      </c>
      <c r="M10" s="46" t="str">
        <f>IF(AND(M6=$B$2,A10=$B$3),"●","")</f>
        <v/>
      </c>
      <c r="N10" s="46" t="str">
        <f t="shared" si="0"/>
        <v/>
      </c>
      <c r="O10" s="46" t="str">
        <f t="shared" si="0"/>
        <v/>
      </c>
      <c r="P10" s="46" t="str">
        <f t="shared" si="0"/>
        <v/>
      </c>
      <c r="Q10" s="46" t="str">
        <f t="shared" si="0"/>
        <v/>
      </c>
      <c r="R10" s="46" t="str">
        <f t="shared" si="0"/>
        <v/>
      </c>
      <c r="S10" s="46" t="str">
        <f t="shared" si="0"/>
        <v/>
      </c>
      <c r="T10" s="46" t="str">
        <f t="shared" si="0"/>
        <v/>
      </c>
      <c r="U10" s="46" t="str">
        <f t="shared" si="0"/>
        <v/>
      </c>
    </row>
    <row r="11" spans="1:21" ht="15.75">
      <c r="A11" s="45">
        <v>5</v>
      </c>
      <c r="B11" s="46" t="str">
        <f>IF(AND(B6=$B$2,A11=$B$3),"●","")</f>
        <v/>
      </c>
      <c r="C11" s="46" t="str">
        <f>IF(AND(C6=$B$2,A11=$B$3),"●","")</f>
        <v/>
      </c>
      <c r="D11" s="46" t="str">
        <f>IF(AND(D6=$B$2,A11=$B$3),"●","")</f>
        <v/>
      </c>
      <c r="E11" s="46" t="str">
        <f>IF(AND(E6=$B$2,A11=$B$3),"●","")</f>
        <v/>
      </c>
      <c r="F11" s="46" t="str">
        <f>IF(AND(F6=$B$2,A11=$B$3),"●","")</f>
        <v/>
      </c>
      <c r="G11" s="46" t="str">
        <f>IF(AND(G6=$B$2,A11=$B$3),"●","")</f>
        <v/>
      </c>
      <c r="H11" s="46" t="str">
        <f>IF(AND(H6=$B$2,A11=$B$3),"●","")</f>
        <v/>
      </c>
      <c r="I11" s="46" t="str">
        <f>IF(AND(I6=$B$2,A11=$B$3),"●","")</f>
        <v/>
      </c>
      <c r="J11" s="46" t="str">
        <f>IF(AND(J6=$B$2,A11=$B$3),"●","")</f>
        <v/>
      </c>
      <c r="K11" s="46" t="str">
        <f>IF(AND(K6=$B$2,A11=$B$3),"●","")</f>
        <v/>
      </c>
      <c r="L11" s="46" t="str">
        <f>IF(AND(L6=$B$2,A11=$B$3),"●","")</f>
        <v/>
      </c>
      <c r="M11" s="46" t="str">
        <f>IF(AND(M6=$B$2,A11=$B$3),"●","")</f>
        <v/>
      </c>
      <c r="N11" s="46" t="str">
        <f t="shared" si="0"/>
        <v/>
      </c>
      <c r="O11" s="46" t="str">
        <f t="shared" si="0"/>
        <v/>
      </c>
      <c r="P11" s="46" t="str">
        <f t="shared" si="0"/>
        <v/>
      </c>
      <c r="Q11" s="46" t="str">
        <f t="shared" si="0"/>
        <v/>
      </c>
      <c r="R11" s="46" t="str">
        <f t="shared" si="0"/>
        <v/>
      </c>
      <c r="S11" s="46" t="str">
        <f t="shared" si="0"/>
        <v/>
      </c>
      <c r="T11" s="46" t="str">
        <f t="shared" si="0"/>
        <v/>
      </c>
      <c r="U11" s="46" t="str">
        <f t="shared" si="0"/>
        <v/>
      </c>
    </row>
    <row r="12" spans="1:21" ht="15.75">
      <c r="A12" s="45">
        <v>6</v>
      </c>
      <c r="B12" s="46" t="str">
        <f>IF(AND(B6=$B$2,A12=$B$3),"●","")</f>
        <v/>
      </c>
      <c r="C12" s="46" t="str">
        <f>IF(AND(C6=$B$2,A12=$B$3),"●","")</f>
        <v/>
      </c>
      <c r="D12" s="46" t="str">
        <f>IF(AND(D6=$B$2,A12=$B$3),"●","")</f>
        <v/>
      </c>
      <c r="E12" s="46" t="str">
        <f>IF(AND(E6=$B$2,A12=$B$3),"●","")</f>
        <v/>
      </c>
      <c r="F12" s="46" t="str">
        <f>IF(AND(F6=$B$2,A12=$B$3),"●","")</f>
        <v/>
      </c>
      <c r="G12" s="46" t="str">
        <f>IF(AND(G6=$B$2,A12=$B$3),"●","")</f>
        <v/>
      </c>
      <c r="H12" s="46" t="str">
        <f>IF(AND(H6=$B$2,A12=$B$3),"●","")</f>
        <v/>
      </c>
      <c r="I12" s="46" t="str">
        <f>IF(AND(I6=$B$2,A12=$B$3),"●","")</f>
        <v/>
      </c>
      <c r="J12" s="46" t="str">
        <f>IF(AND(J6=$B$2,A12=$B$3),"●","")</f>
        <v/>
      </c>
      <c r="K12" s="46" t="str">
        <f>IF(AND(K6=$B$2,A12=$B$3),"●","")</f>
        <v/>
      </c>
      <c r="L12" s="46" t="str">
        <f>IF(AND(L6=$B$2,A12=$B$3),"●","")</f>
        <v/>
      </c>
      <c r="M12" s="46" t="str">
        <f>IF(AND(M6=$B$2,A12=$B$3),"●","")</f>
        <v/>
      </c>
      <c r="N12" s="46" t="str">
        <f t="shared" si="0"/>
        <v/>
      </c>
      <c r="O12" s="46" t="str">
        <f t="shared" si="0"/>
        <v/>
      </c>
      <c r="P12" s="46" t="str">
        <f t="shared" si="0"/>
        <v/>
      </c>
      <c r="Q12" s="46" t="str">
        <f t="shared" si="0"/>
        <v/>
      </c>
      <c r="R12" s="46" t="str">
        <f t="shared" si="0"/>
        <v/>
      </c>
      <c r="S12" s="46" t="str">
        <f t="shared" si="0"/>
        <v/>
      </c>
      <c r="T12" s="46" t="str">
        <f t="shared" si="0"/>
        <v/>
      </c>
      <c r="U12" s="46" t="str">
        <f t="shared" si="0"/>
        <v/>
      </c>
    </row>
    <row r="13" spans="1:21" ht="15.75">
      <c r="A13" s="45">
        <v>7</v>
      </c>
      <c r="B13" s="46" t="str">
        <f>IF(AND(B6=$B$2,A13=$B$3),"●","")</f>
        <v/>
      </c>
      <c r="C13" s="46" t="str">
        <f>IF(AND(C6=$B$2,A13=$B$3),"●","")</f>
        <v/>
      </c>
      <c r="D13" s="46" t="str">
        <f>IF(AND(D6=$B$2,A13=$B$3),"●","")</f>
        <v/>
      </c>
      <c r="E13" s="46" t="str">
        <f>IF(AND(E6=$B$2,A13=$B$3),"●","")</f>
        <v/>
      </c>
      <c r="F13" s="46" t="str">
        <f>IF(AND(F6=$B$2,A13=$B$3),"●","")</f>
        <v/>
      </c>
      <c r="G13" s="46" t="str">
        <f>IF(AND(G6=$B$2,A13=$B$3),"●","")</f>
        <v/>
      </c>
      <c r="H13" s="46" t="str">
        <f>IF(AND(H6=$B$2,A13=$B$3),"●","")</f>
        <v/>
      </c>
      <c r="I13" s="46" t="str">
        <f>IF(AND(I6=$B$2,A13=$B$3),"●","")</f>
        <v/>
      </c>
      <c r="J13" s="46" t="str">
        <f>IF(AND(J6=$B$2,A13=$B$3),"●","")</f>
        <v/>
      </c>
      <c r="K13" s="46" t="str">
        <f>IF(AND(K6=$B$2,A13=$B$3),"●","")</f>
        <v/>
      </c>
      <c r="L13" s="46" t="str">
        <f>IF(AND(L6=$B$2,A13=$B$3),"●","")</f>
        <v/>
      </c>
      <c r="M13" s="46" t="str">
        <f>IF(AND(M6=$B$2,A13=$B$3),"●","")</f>
        <v/>
      </c>
      <c r="N13" s="46" t="str">
        <f t="shared" si="0"/>
        <v/>
      </c>
      <c r="O13" s="46" t="str">
        <f t="shared" si="0"/>
        <v/>
      </c>
      <c r="P13" s="46" t="str">
        <f t="shared" si="0"/>
        <v/>
      </c>
      <c r="Q13" s="46" t="str">
        <f t="shared" si="0"/>
        <v/>
      </c>
      <c r="R13" s="46" t="str">
        <f t="shared" si="0"/>
        <v/>
      </c>
      <c r="S13" s="46" t="str">
        <f t="shared" si="0"/>
        <v/>
      </c>
      <c r="T13" s="46" t="str">
        <f t="shared" si="0"/>
        <v/>
      </c>
      <c r="U13" s="46" t="str">
        <f t="shared" si="0"/>
        <v/>
      </c>
    </row>
    <row r="14" spans="1:21" ht="15.75">
      <c r="A14" s="45">
        <v>8</v>
      </c>
      <c r="B14" s="46" t="str">
        <f>IF(AND(B6=$B$2,A14=$B$3),"●","")</f>
        <v/>
      </c>
      <c r="C14" s="46" t="str">
        <f>IF(AND(C6=$B$2,A14=$B$3),"●","")</f>
        <v/>
      </c>
      <c r="D14" s="46" t="str">
        <f>IF(AND(D6=$B$2,A14=$B$3),"●","")</f>
        <v/>
      </c>
      <c r="E14" s="46" t="str">
        <f>IF(AND(E6=$B$2,A14=$B$3),"●","")</f>
        <v/>
      </c>
      <c r="F14" s="46" t="str">
        <f>IF(AND(F6=$B$2,A14=$B$3),"●","")</f>
        <v/>
      </c>
      <c r="G14" s="46" t="str">
        <f>IF(AND(G6=$B$2,A14=$B$3),"●","")</f>
        <v/>
      </c>
      <c r="H14" s="46" t="str">
        <f>IF(AND(H6=$B$2,A14=$B$3),"●","")</f>
        <v/>
      </c>
      <c r="I14" s="46" t="str">
        <f>IF(AND(I6=$B$2,A14=$B$3),"●","")</f>
        <v/>
      </c>
      <c r="J14" s="46" t="str">
        <f>IF(AND(J6=$B$2,A14=$B$3),"●","")</f>
        <v/>
      </c>
      <c r="K14" s="46" t="str">
        <f>IF(AND(K6=$B$2,A14=$B$3),"●","")</f>
        <v/>
      </c>
      <c r="L14" s="46" t="str">
        <f>IF(AND(L6=$B$2,A14=$B$3),"●","")</f>
        <v/>
      </c>
      <c r="M14" s="46" t="str">
        <f>IF(AND(M6=$B$2,A14=$B$3),"●","")</f>
        <v/>
      </c>
      <c r="N14" s="46" t="str">
        <f t="shared" si="0"/>
        <v/>
      </c>
      <c r="O14" s="46" t="str">
        <f t="shared" si="0"/>
        <v/>
      </c>
      <c r="P14" s="46" t="str">
        <f t="shared" si="0"/>
        <v/>
      </c>
      <c r="Q14" s="46" t="str">
        <f t="shared" si="0"/>
        <v/>
      </c>
      <c r="R14" s="46" t="str">
        <f t="shared" si="0"/>
        <v/>
      </c>
      <c r="S14" s="46" t="str">
        <f t="shared" si="0"/>
        <v/>
      </c>
      <c r="T14" s="46" t="str">
        <f t="shared" si="0"/>
        <v/>
      </c>
      <c r="U14" s="46" t="str">
        <f t="shared" si="0"/>
        <v/>
      </c>
    </row>
    <row r="15" spans="1:21" ht="15.75">
      <c r="A15" s="45">
        <v>9</v>
      </c>
      <c r="B15" s="46" t="str">
        <f>IF(AND(B6=$B$2,A15=$B$3),"●","")</f>
        <v/>
      </c>
      <c r="C15" s="46" t="str">
        <f>IF(AND(C6=$B$2,A15=$B$3),"●","")</f>
        <v/>
      </c>
      <c r="D15" s="46" t="str">
        <f>IF(AND(D6=$B$2,A15=$B$3),"●","")</f>
        <v/>
      </c>
      <c r="E15" s="46" t="str">
        <f>IF(AND(E6=$B$2,A15=$B$3),"●","")</f>
        <v/>
      </c>
      <c r="F15" s="46" t="str">
        <f>IF(AND(F6=$B$2,A15=$B$3),"●","")</f>
        <v/>
      </c>
      <c r="G15" s="46" t="str">
        <f>IF(AND(G6=$B$2,A15=$B$3),"●","")</f>
        <v/>
      </c>
      <c r="H15" s="46" t="str">
        <f>IF(AND(H6=$B$2,A15=$B$3),"●","")</f>
        <v/>
      </c>
      <c r="I15" s="46" t="str">
        <f>IF(AND(I6=$B$2,A15=$B$3),"●","")</f>
        <v/>
      </c>
      <c r="J15" s="46" t="str">
        <f>IF(AND(J6=$B$2,A15=$B$3),"●","")</f>
        <v/>
      </c>
      <c r="K15" s="46" t="str">
        <f>IF(AND(K6=$B$2,A15=$B$3),"●","")</f>
        <v/>
      </c>
      <c r="L15" s="46" t="str">
        <f>IF(AND(L6=$B$2,A15=$B$3),"●","")</f>
        <v/>
      </c>
      <c r="M15" s="46" t="str">
        <f>IF(AND(M6=$B$2,A15=$B$3),"●","")</f>
        <v/>
      </c>
      <c r="N15" s="46" t="str">
        <f t="shared" si="0"/>
        <v/>
      </c>
      <c r="O15" s="46" t="str">
        <f t="shared" si="0"/>
        <v/>
      </c>
      <c r="P15" s="46" t="str">
        <f t="shared" si="0"/>
        <v/>
      </c>
      <c r="Q15" s="46" t="str">
        <f t="shared" si="0"/>
        <v/>
      </c>
      <c r="R15" s="46" t="str">
        <f t="shared" si="0"/>
        <v/>
      </c>
      <c r="S15" s="46" t="str">
        <f t="shared" si="0"/>
        <v/>
      </c>
      <c r="T15" s="46" t="str">
        <f t="shared" si="0"/>
        <v/>
      </c>
      <c r="U15" s="46" t="str">
        <f t="shared" si="0"/>
        <v/>
      </c>
    </row>
    <row r="16" spans="1:21" ht="15.75">
      <c r="A16" s="45">
        <v>10</v>
      </c>
      <c r="B16" s="46" t="str">
        <f>IF(AND(B6=$B$2,A16=$B$3),"●","")</f>
        <v/>
      </c>
      <c r="C16" s="46" t="str">
        <f>IF(AND(C6=$B$2,A16=$B$3),"●","")</f>
        <v/>
      </c>
      <c r="D16" s="46" t="str">
        <f>IF(AND(D6=$B$2,A16=$B$3),"●","")</f>
        <v/>
      </c>
      <c r="E16" s="46" t="str">
        <f>IF(AND(E6=$B$2,A16=$B$3),"●","")</f>
        <v/>
      </c>
      <c r="F16" s="46" t="str">
        <f>IF(AND(F6=$B$2,A16=$B$3),"●","")</f>
        <v/>
      </c>
      <c r="G16" s="46" t="str">
        <f>IF(AND(G6=$B$2,A16=$B$3),"●","")</f>
        <v/>
      </c>
      <c r="H16" s="46" t="str">
        <f>IF(AND(H6=$B$2,A16=$B$3),"●","")</f>
        <v/>
      </c>
      <c r="I16" s="46" t="str">
        <f>IF(AND(I6=$B$2,A16=$B$3),"●","")</f>
        <v/>
      </c>
      <c r="J16" s="46" t="str">
        <f>IF(AND(J6=$B$2,A16=$B$3),"●","")</f>
        <v/>
      </c>
      <c r="K16" s="46" t="str">
        <f>IF(AND(K6=$B$2,A16=$B$3),"●","")</f>
        <v/>
      </c>
      <c r="L16" s="46" t="str">
        <f>IF(AND(L6=$B$2,A16=$B$3),"●","")</f>
        <v/>
      </c>
      <c r="M16" s="46" t="str">
        <f>IF(AND(M6=$B$2,A16=$B$3),"●","")</f>
        <v/>
      </c>
      <c r="N16" s="46" t="str">
        <f t="shared" si="0"/>
        <v/>
      </c>
      <c r="O16" s="46" t="str">
        <f t="shared" si="0"/>
        <v/>
      </c>
      <c r="P16" s="46" t="str">
        <f t="shared" si="0"/>
        <v/>
      </c>
      <c r="Q16" s="46" t="str">
        <f t="shared" si="0"/>
        <v/>
      </c>
      <c r="R16" s="46" t="str">
        <f t="shared" si="0"/>
        <v/>
      </c>
      <c r="S16" s="46" t="str">
        <f t="shared" si="0"/>
        <v/>
      </c>
      <c r="T16" s="46" t="str">
        <f t="shared" si="0"/>
        <v/>
      </c>
      <c r="U16" s="46" t="str">
        <f t="shared" si="0"/>
        <v/>
      </c>
    </row>
    <row r="17" spans="1:21" ht="15.75">
      <c r="A17" s="45">
        <v>11</v>
      </c>
      <c r="B17" s="46" t="str">
        <f>IF(AND(B6=$B$2,A17=$B$3),"●","")</f>
        <v/>
      </c>
      <c r="C17" s="46" t="str">
        <f>IF(AND(C6=$B$2,A17=$B$3),"●","")</f>
        <v/>
      </c>
      <c r="D17" s="46" t="str">
        <f>IF(AND(D6=$B$2,A17=$B$3),"●","")</f>
        <v/>
      </c>
      <c r="E17" s="46" t="str">
        <f>IF(AND(E6=$B$2,A17=$B$3),"●","")</f>
        <v/>
      </c>
      <c r="F17" s="46" t="str">
        <f>IF(AND(F6=$B$2,A17=$B$3),"●","")</f>
        <v/>
      </c>
      <c r="G17" s="46" t="str">
        <f>IF(AND(G6=$B$2,A17=$B$3),"●","")</f>
        <v/>
      </c>
      <c r="H17" s="46" t="str">
        <f>IF(AND(H6=$B$2,A17=$B$3),"●","")</f>
        <v/>
      </c>
      <c r="I17" s="46" t="str">
        <f>IF(AND(I6=$B$2,A17=$B$3),"●","")</f>
        <v/>
      </c>
      <c r="J17" s="46" t="str">
        <f>IF(AND(J6=$B$2,A17=$B$3),"●","")</f>
        <v/>
      </c>
      <c r="K17" s="46" t="str">
        <f>IF(AND(K6=$B$2,A17=$B$3),"●","")</f>
        <v/>
      </c>
      <c r="L17" s="46" t="str">
        <f>IF(AND(L6=$B$2,A17=$B$3),"●","")</f>
        <v/>
      </c>
      <c r="M17" s="46" t="str">
        <f>IF(AND(M6=$B$2,A17=$B$3),"●","")</f>
        <v/>
      </c>
      <c r="N17" s="46" t="str">
        <f t="shared" ref="N17:U26" si="1">IF(AND($A17=$B$2,N$6=$B$3),"●","")</f>
        <v/>
      </c>
      <c r="O17" s="46" t="str">
        <f t="shared" si="1"/>
        <v/>
      </c>
      <c r="P17" s="46" t="str">
        <f t="shared" si="1"/>
        <v/>
      </c>
      <c r="Q17" s="46" t="str">
        <f t="shared" si="1"/>
        <v/>
      </c>
      <c r="R17" s="46" t="str">
        <f t="shared" si="1"/>
        <v/>
      </c>
      <c r="S17" s="46" t="str">
        <f t="shared" si="1"/>
        <v/>
      </c>
      <c r="T17" s="46" t="str">
        <f t="shared" si="1"/>
        <v/>
      </c>
      <c r="U17" s="46" t="str">
        <f t="shared" si="1"/>
        <v/>
      </c>
    </row>
    <row r="18" spans="1:21" ht="15.75">
      <c r="A18" s="45">
        <v>12</v>
      </c>
      <c r="B18" s="46" t="str">
        <f>IF(AND(B6=$B$2,A18=$B$3),"●","")</f>
        <v/>
      </c>
      <c r="C18" s="46" t="str">
        <f>IF(AND(C6=$B$2,A18=$B$3),"●","")</f>
        <v/>
      </c>
      <c r="D18" s="46" t="str">
        <f>IF(AND(D6=$B$2,A18=$B$3),"●","")</f>
        <v/>
      </c>
      <c r="E18" s="46" t="str">
        <f>IF(AND(E6=$B$2,A18=$B$3),"●","")</f>
        <v/>
      </c>
      <c r="F18" s="46" t="str">
        <f>IF(AND(F6=$B$2,A18=$B$3),"●","")</f>
        <v/>
      </c>
      <c r="G18" s="46" t="str">
        <f>IF(AND(G6=$B$2,A18=$B$3),"●","")</f>
        <v/>
      </c>
      <c r="H18" s="46" t="str">
        <f>IF(AND(H6=$B$2,A18=$B$3),"●","")</f>
        <v/>
      </c>
      <c r="I18" s="46" t="str">
        <f>IF(AND(I6=$B$2,A18=$B$3),"●","")</f>
        <v/>
      </c>
      <c r="J18" s="46" t="str">
        <f>IF(AND(J6=$B$2,A18=$B$3),"●","")</f>
        <v/>
      </c>
      <c r="K18" s="46" t="str">
        <f>IF(AND(K6=$B$2,A18=$B$3),"●","")</f>
        <v/>
      </c>
      <c r="L18" s="46" t="str">
        <f>IF(AND(L6=$B$2,A18=$B$3),"●","")</f>
        <v/>
      </c>
      <c r="M18" s="46" t="str">
        <f>IF(AND(M6=$B$2,A18=$B$3),"●","")</f>
        <v/>
      </c>
      <c r="N18" s="46" t="str">
        <f t="shared" si="1"/>
        <v/>
      </c>
      <c r="O18" s="46" t="str">
        <f t="shared" si="1"/>
        <v/>
      </c>
      <c r="P18" s="46" t="str">
        <f t="shared" si="1"/>
        <v/>
      </c>
      <c r="Q18" s="46" t="str">
        <f t="shared" si="1"/>
        <v/>
      </c>
      <c r="R18" s="46" t="str">
        <f t="shared" si="1"/>
        <v/>
      </c>
      <c r="S18" s="46" t="str">
        <f t="shared" si="1"/>
        <v/>
      </c>
      <c r="T18" s="46" t="str">
        <f t="shared" si="1"/>
        <v/>
      </c>
      <c r="U18" s="46" t="str">
        <f t="shared" si="1"/>
        <v/>
      </c>
    </row>
    <row r="19" spans="1:21" ht="15.75">
      <c r="A19" s="45">
        <v>13</v>
      </c>
      <c r="B19" s="46" t="str">
        <f>IF(AND(B6=$B$2,A19=$B$3),"●","")</f>
        <v/>
      </c>
      <c r="C19" s="46" t="str">
        <f>IF(AND(C6=$B$2,A19=$B$3),"●","")</f>
        <v/>
      </c>
      <c r="D19" s="46" t="str">
        <f>IF(AND(D6=$B$2,A19=$B$3),"●","")</f>
        <v/>
      </c>
      <c r="E19" s="46" t="str">
        <f>IF(AND(E6=$B$2,A19=$B$3),"●","")</f>
        <v/>
      </c>
      <c r="F19" s="46" t="str">
        <f>IF(AND(F6=$B$2,A19=$B$3),"●","")</f>
        <v/>
      </c>
      <c r="G19" s="46" t="str">
        <f>IF(AND(G6=$B$2,A19=$B$3),"●","")</f>
        <v/>
      </c>
      <c r="H19" s="46" t="str">
        <f>IF(AND(H6=$B$2,A19=$B$3),"●","")</f>
        <v/>
      </c>
      <c r="I19" s="46" t="str">
        <f>IF(AND(I6=$B$2,A19=$B$3),"●","")</f>
        <v/>
      </c>
      <c r="J19" s="46" t="str">
        <f>IF(AND(J6=$B$2,A19=$B$3),"●","")</f>
        <v/>
      </c>
      <c r="K19" s="46" t="str">
        <f>IF(AND(K6=$B$2,A19=$B$3),"●","")</f>
        <v/>
      </c>
      <c r="L19" s="46" t="str">
        <f>IF(AND(L6=$B$2,A19=$B$3),"●","")</f>
        <v/>
      </c>
      <c r="M19" s="46" t="str">
        <f>IF(AND(M6=$B$2,A19=$B$3),"●","")</f>
        <v/>
      </c>
      <c r="N19" s="46" t="str">
        <f t="shared" si="1"/>
        <v/>
      </c>
      <c r="O19" s="46" t="str">
        <f t="shared" si="1"/>
        <v/>
      </c>
      <c r="P19" s="46" t="str">
        <f t="shared" si="1"/>
        <v/>
      </c>
      <c r="Q19" s="46" t="str">
        <f t="shared" si="1"/>
        <v/>
      </c>
      <c r="R19" s="46" t="str">
        <f t="shared" si="1"/>
        <v/>
      </c>
      <c r="S19" s="46" t="str">
        <f t="shared" si="1"/>
        <v/>
      </c>
      <c r="T19" s="46" t="str">
        <f t="shared" si="1"/>
        <v/>
      </c>
      <c r="U19" s="46" t="str">
        <f t="shared" si="1"/>
        <v/>
      </c>
    </row>
    <row r="20" spans="1:21" ht="15.75">
      <c r="A20" s="45">
        <v>14</v>
      </c>
      <c r="B20" s="46" t="str">
        <f>IF(AND(B6=$B$2,A20=$B$3),"●","")</f>
        <v/>
      </c>
      <c r="C20" s="46" t="str">
        <f>IF(AND(C6=$B$2,A20=$B$3),"●","")</f>
        <v/>
      </c>
      <c r="D20" s="46" t="str">
        <f>IF(AND(D6=$B$2,A20=$B$3),"●","")</f>
        <v/>
      </c>
      <c r="E20" s="46" t="str">
        <f>IF(AND(E6=$B$2,A20=$B$3),"●","")</f>
        <v/>
      </c>
      <c r="F20" s="46" t="str">
        <f>IF(AND(F6=$B$2,A20=$B$3),"●","")</f>
        <v/>
      </c>
      <c r="G20" s="46" t="str">
        <f>IF(AND(G6=$B$2,A20=$B$3),"●","")</f>
        <v/>
      </c>
      <c r="H20" s="46" t="str">
        <f>IF(AND(H6=$B$2,A20=$B$3),"●","")</f>
        <v/>
      </c>
      <c r="I20" s="46" t="str">
        <f>IF(AND(I6=$B$2,A20=$B$3),"●","")</f>
        <v/>
      </c>
      <c r="J20" s="46" t="str">
        <f>IF(AND(J6=$B$2,A20=$B$3),"●","")</f>
        <v/>
      </c>
      <c r="K20" s="46" t="str">
        <f>IF(AND(K6=$B$2,A20=$B$3),"●","")</f>
        <v/>
      </c>
      <c r="L20" s="46" t="str">
        <f>IF(AND(L6=$B$2,A20=$B$3),"●","")</f>
        <v/>
      </c>
      <c r="M20" s="46" t="str">
        <f>IF(AND(M6=$B$2,A20=$B$3),"●","")</f>
        <v/>
      </c>
      <c r="N20" s="46" t="str">
        <f t="shared" si="1"/>
        <v/>
      </c>
      <c r="O20" s="46" t="str">
        <f t="shared" si="1"/>
        <v/>
      </c>
      <c r="P20" s="46" t="str">
        <f t="shared" si="1"/>
        <v/>
      </c>
      <c r="Q20" s="46" t="str">
        <f t="shared" si="1"/>
        <v/>
      </c>
      <c r="R20" s="46" t="str">
        <f t="shared" si="1"/>
        <v/>
      </c>
      <c r="S20" s="46" t="str">
        <f t="shared" si="1"/>
        <v/>
      </c>
      <c r="T20" s="46" t="str">
        <f t="shared" si="1"/>
        <v/>
      </c>
      <c r="U20" s="46" t="str">
        <f t="shared" si="1"/>
        <v/>
      </c>
    </row>
    <row r="21" spans="1:21" ht="15.75">
      <c r="A21" s="45">
        <v>15</v>
      </c>
      <c r="B21" s="46" t="str">
        <f>IF(AND(B6=$B$2,A21=$B$3),"●","")</f>
        <v/>
      </c>
      <c r="C21" s="46" t="str">
        <f>IF(AND(C6=$B$2,A21=$B$3),"●","")</f>
        <v/>
      </c>
      <c r="D21" s="46" t="str">
        <f>IF(AND(D6=$B$2,A21=$B$3),"●","")</f>
        <v/>
      </c>
      <c r="E21" s="46" t="str">
        <f>IF(AND(E6=$B$2,A21=$B$3),"●","")</f>
        <v/>
      </c>
      <c r="F21" s="46" t="str">
        <f>IF(AND(F6=$B$2,A21=$B$3),"●","")</f>
        <v/>
      </c>
      <c r="G21" s="46" t="str">
        <f>IF(AND(G6=$B$2,A21=$B$3),"●","")</f>
        <v/>
      </c>
      <c r="H21" s="46" t="str">
        <f>IF(AND(H6=$B$2,A21=$B$3),"●","")</f>
        <v/>
      </c>
      <c r="I21" s="46" t="str">
        <f>IF(AND(I6=$B$2,A21=$B$3),"●","")</f>
        <v/>
      </c>
      <c r="J21" s="46" t="str">
        <f>IF(AND(J6=$B$2,A21=$B$3),"●","")</f>
        <v/>
      </c>
      <c r="K21" s="46" t="str">
        <f>IF(AND(K6=$B$2,A21=$B$3),"●","")</f>
        <v/>
      </c>
      <c r="L21" s="46" t="str">
        <f>IF(AND(L6=$B$2,A21=$B$3),"●","")</f>
        <v/>
      </c>
      <c r="M21" s="46" t="str">
        <f>IF(AND(M6=$B$2,A21=$B$3),"●","")</f>
        <v/>
      </c>
      <c r="N21" s="46" t="str">
        <f t="shared" si="1"/>
        <v/>
      </c>
      <c r="O21" s="46" t="str">
        <f t="shared" si="1"/>
        <v/>
      </c>
      <c r="P21" s="46" t="str">
        <f t="shared" si="1"/>
        <v/>
      </c>
      <c r="Q21" s="46" t="str">
        <f t="shared" si="1"/>
        <v/>
      </c>
      <c r="R21" s="46" t="str">
        <f t="shared" si="1"/>
        <v/>
      </c>
      <c r="S21" s="46" t="str">
        <f t="shared" si="1"/>
        <v/>
      </c>
      <c r="T21" s="46" t="str">
        <f t="shared" si="1"/>
        <v/>
      </c>
      <c r="U21" s="46" t="str">
        <f t="shared" si="1"/>
        <v/>
      </c>
    </row>
    <row r="22" spans="1:21" ht="15.75">
      <c r="A22" s="45">
        <v>16</v>
      </c>
      <c r="B22" s="46" t="str">
        <f>IF(AND(B6=$B$2,A22=$B$3),"●","")</f>
        <v/>
      </c>
      <c r="C22" s="46" t="str">
        <f>IF(AND(C6=$B$2,A22=$B$3),"●","")</f>
        <v/>
      </c>
      <c r="D22" s="46" t="str">
        <f>IF(AND(D6=$B$2,A22=$B$3),"●","")</f>
        <v/>
      </c>
      <c r="E22" s="46" t="str">
        <f>IF(AND(E6=$B$2,A22=$B$3),"●","")</f>
        <v/>
      </c>
      <c r="F22" s="46" t="str">
        <f>IF(AND(F6=$B$2,A22=$B$3),"●","")</f>
        <v/>
      </c>
      <c r="G22" s="46" t="str">
        <f>IF(AND(G6=$B$2,A22=$B$3),"●","")</f>
        <v/>
      </c>
      <c r="H22" s="46" t="str">
        <f>IF(AND(H6=$B$2,A22=$B$3),"●","")</f>
        <v/>
      </c>
      <c r="I22" s="46" t="str">
        <f>IF(AND(I6=$B$2,A22=$B$3),"●","")</f>
        <v/>
      </c>
      <c r="J22" s="46" t="str">
        <f>IF(AND(J6=$B$2,A22=$B$3),"●","")</f>
        <v/>
      </c>
      <c r="K22" s="46" t="str">
        <f>IF(AND(K6=$B$2,A22=$B$3),"●","")</f>
        <v/>
      </c>
      <c r="L22" s="46" t="str">
        <f>IF(AND(L6=$B$2,A22=$B$3),"●","")</f>
        <v/>
      </c>
      <c r="M22" s="46" t="str">
        <f>IF(AND(M6=$B$2,A22=$B$3),"●","")</f>
        <v/>
      </c>
      <c r="N22" s="46" t="str">
        <f t="shared" si="1"/>
        <v/>
      </c>
      <c r="O22" s="46" t="str">
        <f t="shared" si="1"/>
        <v/>
      </c>
      <c r="P22" s="46" t="str">
        <f t="shared" si="1"/>
        <v/>
      </c>
      <c r="Q22" s="46" t="str">
        <f t="shared" si="1"/>
        <v/>
      </c>
      <c r="R22" s="46" t="str">
        <f t="shared" si="1"/>
        <v/>
      </c>
      <c r="S22" s="46" t="str">
        <f t="shared" si="1"/>
        <v/>
      </c>
      <c r="T22" s="46" t="str">
        <f t="shared" si="1"/>
        <v/>
      </c>
      <c r="U22" s="46" t="str">
        <f t="shared" si="1"/>
        <v/>
      </c>
    </row>
    <row r="23" spans="1:21" ht="15.75">
      <c r="A23" s="45">
        <v>17</v>
      </c>
      <c r="B23" s="46" t="str">
        <f>IF(AND(B6=$B$2,A23=$B$3),"●","")</f>
        <v/>
      </c>
      <c r="C23" s="46" t="str">
        <f>IF(AND(C6=$B$2,A23=$B$3),"●","")</f>
        <v/>
      </c>
      <c r="D23" s="46" t="str">
        <f>IF(AND(D6=$B$2,A23=$B$3),"●","")</f>
        <v/>
      </c>
      <c r="E23" s="46" t="str">
        <f>IF(AND(E6=$B$2,A23=$B$3),"●","")</f>
        <v/>
      </c>
      <c r="F23" s="46" t="str">
        <f>IF(AND(F6=$B$2,A23=$B$3),"●","")</f>
        <v/>
      </c>
      <c r="G23" s="46" t="str">
        <f>IF(AND(G6=$B$2,A23=$B$3),"●","")</f>
        <v/>
      </c>
      <c r="H23" s="46" t="str">
        <f>IF(AND(H6=$B$2,A23=$B$3),"●","")</f>
        <v/>
      </c>
      <c r="I23" s="46" t="str">
        <f>IF(AND(I6=$B$2,A23=$B$3),"●","")</f>
        <v/>
      </c>
      <c r="J23" s="46" t="str">
        <f>IF(AND(J6=$B$2,A23=$B$3),"●","")</f>
        <v/>
      </c>
      <c r="K23" s="46" t="str">
        <f>IF(AND(K6=$B$2,A23=$B$3),"●","")</f>
        <v/>
      </c>
      <c r="L23" s="46" t="str">
        <f>IF(AND(L6=$B$2,A23=$B$3),"●","")</f>
        <v/>
      </c>
      <c r="M23" s="46" t="str">
        <f>IF(AND(M6=$B$2,A23=$B$3),"●","")</f>
        <v/>
      </c>
      <c r="N23" s="46" t="str">
        <f t="shared" si="1"/>
        <v/>
      </c>
      <c r="O23" s="46" t="str">
        <f t="shared" si="1"/>
        <v/>
      </c>
      <c r="P23" s="46" t="str">
        <f t="shared" si="1"/>
        <v/>
      </c>
      <c r="Q23" s="46" t="str">
        <f t="shared" si="1"/>
        <v/>
      </c>
      <c r="R23" s="46" t="str">
        <f t="shared" si="1"/>
        <v/>
      </c>
      <c r="S23" s="46" t="str">
        <f t="shared" si="1"/>
        <v/>
      </c>
      <c r="T23" s="46" t="str">
        <f t="shared" si="1"/>
        <v/>
      </c>
      <c r="U23" s="46" t="str">
        <f t="shared" si="1"/>
        <v/>
      </c>
    </row>
    <row r="24" spans="1:21" ht="15.75">
      <c r="A24" s="45">
        <v>18</v>
      </c>
      <c r="B24" s="46" t="str">
        <f>IF(AND(B6=$B$2,A24=$B$3),"●","")</f>
        <v/>
      </c>
      <c r="C24" s="46" t="str">
        <f>IF(AND(C6=$B$2,A24=$B$3),"●","")</f>
        <v/>
      </c>
      <c r="D24" s="46" t="str">
        <f>IF(AND(D6=$B$2,A24=$B$3),"●","")</f>
        <v/>
      </c>
      <c r="E24" s="46" t="str">
        <f>IF(AND(E6=$B$2,A24=$B$3),"●","")</f>
        <v/>
      </c>
      <c r="F24" s="46" t="str">
        <f>IF(AND(F6=$B$2,A24=$B$3),"●","")</f>
        <v/>
      </c>
      <c r="G24" s="46" t="str">
        <f>IF(AND(G6=$B$2,A24=$B$3),"●","")</f>
        <v/>
      </c>
      <c r="H24" s="46" t="str">
        <f>IF(AND(H6=$B$2,A24=$B$3),"●","")</f>
        <v/>
      </c>
      <c r="I24" s="46" t="str">
        <f>IF(AND(I6=$B$2,A24=$B$3),"●","")</f>
        <v/>
      </c>
      <c r="J24" s="46" t="str">
        <f>IF(AND(J6=$B$2,A24=$B$3),"●","")</f>
        <v/>
      </c>
      <c r="K24" s="46" t="str">
        <f>IF(AND(K6=$B$2,A24=$B$3),"●","")</f>
        <v/>
      </c>
      <c r="L24" s="46" t="str">
        <f>IF(AND(L6=$B$2,A24=$B$3),"●","")</f>
        <v/>
      </c>
      <c r="M24" s="46" t="str">
        <f>IF(AND(M6=$B$2,A24=$B$3),"●","")</f>
        <v/>
      </c>
      <c r="N24" s="46" t="str">
        <f t="shared" si="1"/>
        <v/>
      </c>
      <c r="O24" s="46" t="str">
        <f t="shared" si="1"/>
        <v/>
      </c>
      <c r="P24" s="46" t="str">
        <f t="shared" si="1"/>
        <v/>
      </c>
      <c r="Q24" s="46" t="str">
        <f t="shared" si="1"/>
        <v/>
      </c>
      <c r="R24" s="46" t="str">
        <f t="shared" si="1"/>
        <v/>
      </c>
      <c r="S24" s="46" t="str">
        <f t="shared" si="1"/>
        <v/>
      </c>
      <c r="T24" s="46" t="str">
        <f t="shared" si="1"/>
        <v/>
      </c>
      <c r="U24" s="46" t="str">
        <f t="shared" si="1"/>
        <v/>
      </c>
    </row>
    <row r="25" spans="1:21" ht="15.75">
      <c r="A25" s="45">
        <v>19</v>
      </c>
      <c r="B25" s="46" t="str">
        <f>IF(AND(B6=$B$2,A25=$B$3),"●","")</f>
        <v/>
      </c>
      <c r="C25" s="46" t="str">
        <f>IF(AND(C6=$B$2,A25=$B$3),"●","")</f>
        <v/>
      </c>
      <c r="D25" s="46" t="str">
        <f>IF(AND(D6=$B$2,A25=$B$3),"●","")</f>
        <v/>
      </c>
      <c r="E25" s="46" t="str">
        <f>IF(AND(E6=$B$2,A25=$B$3),"●","")</f>
        <v/>
      </c>
      <c r="F25" s="46" t="str">
        <f>IF(AND(F6=$B$2,A25=$B$3),"●","")</f>
        <v/>
      </c>
      <c r="G25" s="46" t="str">
        <f>IF(AND(G6=$B$2,A25=$B$3),"●","")</f>
        <v/>
      </c>
      <c r="H25" s="46" t="str">
        <f>IF(AND(H6=$B$2,A25=$B$3),"●","")</f>
        <v/>
      </c>
      <c r="I25" s="46" t="str">
        <f>IF(AND(I6=$B$2,A25=$B$3),"●","")</f>
        <v/>
      </c>
      <c r="J25" s="46" t="str">
        <f>IF(AND(J6=$B$2,A25=$B$3),"●","")</f>
        <v/>
      </c>
      <c r="K25" s="46" t="str">
        <f>IF(AND(K6=$B$2,A25=$B$3),"●","")</f>
        <v/>
      </c>
      <c r="L25" s="46" t="str">
        <f>IF(AND(L6=$B$2,A25=$B$3),"●","")</f>
        <v/>
      </c>
      <c r="M25" s="46" t="str">
        <f>IF(AND(M6=$B$2,A25=$B$3),"●","")</f>
        <v/>
      </c>
      <c r="N25" s="46" t="str">
        <f t="shared" si="1"/>
        <v/>
      </c>
      <c r="O25" s="46" t="str">
        <f t="shared" si="1"/>
        <v/>
      </c>
      <c r="P25" s="46" t="str">
        <f t="shared" si="1"/>
        <v/>
      </c>
      <c r="Q25" s="46" t="str">
        <f t="shared" si="1"/>
        <v/>
      </c>
      <c r="R25" s="46" t="str">
        <f t="shared" si="1"/>
        <v/>
      </c>
      <c r="S25" s="46" t="str">
        <f t="shared" si="1"/>
        <v/>
      </c>
      <c r="T25" s="46" t="str">
        <f t="shared" si="1"/>
        <v/>
      </c>
      <c r="U25" s="46" t="str">
        <f t="shared" si="1"/>
        <v/>
      </c>
    </row>
    <row r="26" spans="1:21" ht="15.75">
      <c r="A26" s="45">
        <v>20</v>
      </c>
      <c r="B26" s="46" t="str">
        <f>IF(AND(B6=$B$2,A26=$B$3),"●","")</f>
        <v/>
      </c>
      <c r="C26" s="46" t="str">
        <f>IF(AND(C6=$B$2,A26=$B$3),"●","")</f>
        <v/>
      </c>
      <c r="D26" s="46" t="str">
        <f>IF(AND(D6=$B$2,A26=$B$3),"●","")</f>
        <v/>
      </c>
      <c r="E26" s="46" t="str">
        <f>IF(AND(E6=$B$2,A26=$B$3),"●","")</f>
        <v/>
      </c>
      <c r="F26" s="46" t="str">
        <f>IF(AND(F6=$B$2,A26=$B$3),"●","")</f>
        <v/>
      </c>
      <c r="G26" s="46" t="str">
        <f>IF(AND(G6=$B$2,A26=$B$3),"●","")</f>
        <v/>
      </c>
      <c r="H26" s="46" t="str">
        <f>IF(AND(H6=$B$2,A26=$B$3),"●","")</f>
        <v/>
      </c>
      <c r="I26" s="46" t="str">
        <f>IF(AND(I6=$B$2,A26=$B$3),"●","")</f>
        <v/>
      </c>
      <c r="J26" s="46" t="str">
        <f>IF(AND(J6=$B$2,A26=$B$3),"●","")</f>
        <v/>
      </c>
      <c r="K26" s="46" t="str">
        <f>IF(AND(K6=$B$2,A26=$B$3),"●","")</f>
        <v/>
      </c>
      <c r="L26" s="46" t="str">
        <f>IF(AND(L6=$B$2,A26=$B$3),"●","")</f>
        <v/>
      </c>
      <c r="M26" s="46" t="str">
        <f>IF(AND(M6=$B$2,A26=$B$3),"●","")</f>
        <v/>
      </c>
      <c r="N26" s="46" t="str">
        <f t="shared" si="1"/>
        <v/>
      </c>
      <c r="O26" s="46" t="str">
        <f t="shared" si="1"/>
        <v/>
      </c>
      <c r="P26" s="46" t="str">
        <f t="shared" si="1"/>
        <v/>
      </c>
      <c r="Q26" s="46" t="str">
        <f t="shared" si="1"/>
        <v/>
      </c>
      <c r="R26" s="46" t="str">
        <f t="shared" si="1"/>
        <v/>
      </c>
      <c r="S26" s="46" t="str">
        <f t="shared" si="1"/>
        <v/>
      </c>
      <c r="T26" s="46" t="str">
        <f t="shared" si="1"/>
        <v/>
      </c>
      <c r="U26" s="46" t="str">
        <f t="shared" si="1"/>
        <v/>
      </c>
    </row>
    <row r="27" spans="1:21" ht="15.75">
      <c r="A27" s="45">
        <v>21</v>
      </c>
      <c r="B27" s="46" t="str">
        <f t="shared" ref="B27:M36" si="2">IF(AND($A27=$B$2,B$6=$B$3),"●","")</f>
        <v/>
      </c>
      <c r="C27" s="46" t="str">
        <f t="shared" si="2"/>
        <v/>
      </c>
      <c r="D27" s="46" t="str">
        <f t="shared" si="2"/>
        <v/>
      </c>
      <c r="E27" s="46" t="str">
        <f t="shared" si="2"/>
        <v/>
      </c>
      <c r="F27" s="46" t="str">
        <f t="shared" si="2"/>
        <v/>
      </c>
      <c r="G27" s="46" t="str">
        <f t="shared" si="2"/>
        <v/>
      </c>
      <c r="H27" s="46" t="str">
        <f t="shared" si="2"/>
        <v/>
      </c>
      <c r="I27" s="46" t="str">
        <f t="shared" si="2"/>
        <v/>
      </c>
      <c r="J27" s="46" t="str">
        <f t="shared" si="2"/>
        <v/>
      </c>
      <c r="K27" s="46" t="str">
        <f t="shared" si="2"/>
        <v/>
      </c>
      <c r="L27" s="46" t="str">
        <f t="shared" si="2"/>
        <v/>
      </c>
      <c r="M27" s="46" t="str">
        <f t="shared" si="2"/>
        <v/>
      </c>
      <c r="N27" s="46" t="str">
        <f t="shared" ref="N27:U36" si="3">IF(AND($A27=$B$2,N$6=$B$3),"●","")</f>
        <v/>
      </c>
      <c r="O27" s="46" t="str">
        <f t="shared" si="3"/>
        <v/>
      </c>
      <c r="P27" s="46" t="str">
        <f t="shared" si="3"/>
        <v/>
      </c>
      <c r="Q27" s="46" t="str">
        <f t="shared" si="3"/>
        <v/>
      </c>
      <c r="R27" s="46" t="str">
        <f t="shared" si="3"/>
        <v/>
      </c>
      <c r="S27" s="46" t="str">
        <f t="shared" si="3"/>
        <v/>
      </c>
      <c r="T27" s="46" t="str">
        <f t="shared" si="3"/>
        <v/>
      </c>
      <c r="U27" s="46" t="str">
        <f t="shared" si="3"/>
        <v/>
      </c>
    </row>
    <row r="28" spans="1:21" ht="15.75">
      <c r="A28" s="45" t="s">
        <v>1278</v>
      </c>
      <c r="B28" s="46" t="str">
        <f t="shared" si="2"/>
        <v/>
      </c>
      <c r="C28" s="46" t="str">
        <f t="shared" si="2"/>
        <v/>
      </c>
      <c r="D28" s="46" t="str">
        <f t="shared" si="2"/>
        <v/>
      </c>
      <c r="E28" s="46" t="str">
        <f t="shared" si="2"/>
        <v/>
      </c>
      <c r="F28" s="46" t="str">
        <f t="shared" si="2"/>
        <v/>
      </c>
      <c r="G28" s="46" t="str">
        <f t="shared" si="2"/>
        <v/>
      </c>
      <c r="H28" s="46" t="str">
        <f t="shared" si="2"/>
        <v/>
      </c>
      <c r="I28" s="46" t="str">
        <f t="shared" si="2"/>
        <v/>
      </c>
      <c r="J28" s="46" t="str">
        <f t="shared" si="2"/>
        <v/>
      </c>
      <c r="K28" s="46" t="str">
        <f t="shared" si="2"/>
        <v/>
      </c>
      <c r="L28" s="46" t="str">
        <f t="shared" si="2"/>
        <v/>
      </c>
      <c r="M28" s="46" t="str">
        <f t="shared" si="2"/>
        <v/>
      </c>
      <c r="N28" s="46" t="str">
        <f t="shared" si="3"/>
        <v/>
      </c>
      <c r="O28" s="46" t="str">
        <f t="shared" si="3"/>
        <v/>
      </c>
      <c r="P28" s="46" t="str">
        <f t="shared" si="3"/>
        <v/>
      </c>
      <c r="Q28" s="46" t="str">
        <f t="shared" si="3"/>
        <v/>
      </c>
      <c r="R28" s="46" t="str">
        <f t="shared" si="3"/>
        <v/>
      </c>
      <c r="S28" s="46" t="str">
        <f t="shared" si="3"/>
        <v/>
      </c>
      <c r="T28" s="46" t="str">
        <f t="shared" si="3"/>
        <v/>
      </c>
      <c r="U28" s="46" t="str">
        <f t="shared" si="3"/>
        <v/>
      </c>
    </row>
    <row r="29" spans="1:21" ht="15.75">
      <c r="A29" s="45">
        <v>23</v>
      </c>
      <c r="B29" s="46" t="str">
        <f t="shared" si="2"/>
        <v/>
      </c>
      <c r="C29" s="46" t="str">
        <f t="shared" si="2"/>
        <v/>
      </c>
      <c r="D29" s="46" t="str">
        <f t="shared" si="2"/>
        <v/>
      </c>
      <c r="E29" s="46" t="str">
        <f t="shared" si="2"/>
        <v/>
      </c>
      <c r="F29" s="46" t="str">
        <f t="shared" si="2"/>
        <v/>
      </c>
      <c r="G29" s="46" t="str">
        <f t="shared" si="2"/>
        <v/>
      </c>
      <c r="H29" s="46" t="str">
        <f t="shared" si="2"/>
        <v/>
      </c>
      <c r="I29" s="46" t="str">
        <f t="shared" si="2"/>
        <v/>
      </c>
      <c r="J29" s="46" t="str">
        <f t="shared" si="2"/>
        <v/>
      </c>
      <c r="K29" s="46" t="str">
        <f t="shared" si="2"/>
        <v/>
      </c>
      <c r="L29" s="46" t="str">
        <f t="shared" si="2"/>
        <v/>
      </c>
      <c r="M29" s="46" t="str">
        <f t="shared" si="2"/>
        <v/>
      </c>
      <c r="N29" s="46" t="str">
        <f t="shared" si="3"/>
        <v/>
      </c>
      <c r="O29" s="46" t="str">
        <f t="shared" si="3"/>
        <v/>
      </c>
      <c r="P29" s="46" t="str">
        <f t="shared" si="3"/>
        <v/>
      </c>
      <c r="Q29" s="46" t="str">
        <f t="shared" si="3"/>
        <v/>
      </c>
      <c r="R29" s="46" t="str">
        <f t="shared" si="3"/>
        <v/>
      </c>
      <c r="S29" s="46" t="str">
        <f t="shared" si="3"/>
        <v/>
      </c>
      <c r="T29" s="46" t="str">
        <f t="shared" si="3"/>
        <v/>
      </c>
      <c r="U29" s="46" t="str">
        <f t="shared" si="3"/>
        <v/>
      </c>
    </row>
    <row r="30" spans="1:21" ht="15.75">
      <c r="A30" s="45">
        <v>24</v>
      </c>
      <c r="B30" s="46" t="str">
        <f t="shared" si="2"/>
        <v/>
      </c>
      <c r="C30" s="46" t="str">
        <f t="shared" si="2"/>
        <v/>
      </c>
      <c r="D30" s="46" t="str">
        <f t="shared" si="2"/>
        <v/>
      </c>
      <c r="E30" s="46" t="str">
        <f t="shared" si="2"/>
        <v/>
      </c>
      <c r="F30" s="46" t="str">
        <f t="shared" si="2"/>
        <v/>
      </c>
      <c r="G30" s="46" t="str">
        <f t="shared" si="2"/>
        <v/>
      </c>
      <c r="H30" s="46" t="str">
        <f t="shared" si="2"/>
        <v/>
      </c>
      <c r="I30" s="46" t="str">
        <f t="shared" si="2"/>
        <v/>
      </c>
      <c r="J30" s="46" t="str">
        <f t="shared" si="2"/>
        <v/>
      </c>
      <c r="K30" s="46" t="str">
        <f t="shared" si="2"/>
        <v/>
      </c>
      <c r="L30" s="46" t="str">
        <f t="shared" si="2"/>
        <v/>
      </c>
      <c r="M30" s="46" t="str">
        <f t="shared" si="2"/>
        <v/>
      </c>
      <c r="N30" s="46" t="str">
        <f t="shared" si="3"/>
        <v/>
      </c>
      <c r="O30" s="46" t="str">
        <f t="shared" si="3"/>
        <v/>
      </c>
      <c r="P30" s="46" t="str">
        <f t="shared" si="3"/>
        <v/>
      </c>
      <c r="Q30" s="46" t="str">
        <f t="shared" si="3"/>
        <v/>
      </c>
      <c r="R30" s="46" t="str">
        <f t="shared" si="3"/>
        <v/>
      </c>
      <c r="S30" s="46" t="str">
        <f t="shared" si="3"/>
        <v/>
      </c>
      <c r="T30" s="46" t="str">
        <f t="shared" si="3"/>
        <v/>
      </c>
      <c r="U30" s="46" t="str">
        <f t="shared" si="3"/>
        <v/>
      </c>
    </row>
    <row r="31" spans="1:21" ht="15.75">
      <c r="A31" s="45">
        <v>25</v>
      </c>
      <c r="B31" s="46" t="str">
        <f t="shared" si="2"/>
        <v/>
      </c>
      <c r="C31" s="46" t="str">
        <f t="shared" si="2"/>
        <v/>
      </c>
      <c r="D31" s="46" t="str">
        <f t="shared" si="2"/>
        <v/>
      </c>
      <c r="E31" s="46" t="str">
        <f t="shared" si="2"/>
        <v/>
      </c>
      <c r="F31" s="46" t="str">
        <f t="shared" si="2"/>
        <v/>
      </c>
      <c r="G31" s="46" t="str">
        <f t="shared" si="2"/>
        <v/>
      </c>
      <c r="H31" s="46" t="str">
        <f t="shared" si="2"/>
        <v/>
      </c>
      <c r="I31" s="46" t="str">
        <f t="shared" si="2"/>
        <v/>
      </c>
      <c r="J31" s="46" t="str">
        <f t="shared" si="2"/>
        <v/>
      </c>
      <c r="K31" s="46" t="str">
        <f t="shared" si="2"/>
        <v/>
      </c>
      <c r="L31" s="46" t="str">
        <f t="shared" si="2"/>
        <v/>
      </c>
      <c r="M31" s="46" t="str">
        <f t="shared" si="2"/>
        <v/>
      </c>
      <c r="N31" s="46" t="str">
        <f t="shared" si="3"/>
        <v/>
      </c>
      <c r="O31" s="46" t="str">
        <f t="shared" si="3"/>
        <v/>
      </c>
      <c r="P31" s="46" t="str">
        <f t="shared" si="3"/>
        <v/>
      </c>
      <c r="Q31" s="46" t="str">
        <f t="shared" si="3"/>
        <v/>
      </c>
      <c r="R31" s="46" t="str">
        <f t="shared" si="3"/>
        <v/>
      </c>
      <c r="S31" s="46" t="str">
        <f t="shared" si="3"/>
        <v/>
      </c>
      <c r="T31" s="46" t="str">
        <f t="shared" si="3"/>
        <v/>
      </c>
      <c r="U31" s="46" t="str">
        <f t="shared" si="3"/>
        <v/>
      </c>
    </row>
    <row r="32" spans="1:21" ht="15.75">
      <c r="A32" s="45">
        <v>26</v>
      </c>
      <c r="B32" s="46" t="str">
        <f t="shared" si="2"/>
        <v/>
      </c>
      <c r="C32" s="46" t="str">
        <f t="shared" si="2"/>
        <v/>
      </c>
      <c r="D32" s="46" t="str">
        <f t="shared" si="2"/>
        <v/>
      </c>
      <c r="E32" s="46" t="str">
        <f t="shared" si="2"/>
        <v/>
      </c>
      <c r="F32" s="46" t="str">
        <f t="shared" si="2"/>
        <v/>
      </c>
      <c r="G32" s="46" t="str">
        <f t="shared" si="2"/>
        <v/>
      </c>
      <c r="H32" s="46" t="str">
        <f t="shared" si="2"/>
        <v/>
      </c>
      <c r="I32" s="46" t="str">
        <f t="shared" si="2"/>
        <v/>
      </c>
      <c r="J32" s="46" t="str">
        <f t="shared" si="2"/>
        <v/>
      </c>
      <c r="K32" s="46" t="str">
        <f t="shared" si="2"/>
        <v/>
      </c>
      <c r="L32" s="46" t="str">
        <f t="shared" si="2"/>
        <v/>
      </c>
      <c r="M32" s="46" t="str">
        <f t="shared" si="2"/>
        <v/>
      </c>
      <c r="N32" s="46" t="str">
        <f t="shared" si="3"/>
        <v/>
      </c>
      <c r="O32" s="46" t="str">
        <f t="shared" si="3"/>
        <v/>
      </c>
      <c r="P32" s="46" t="str">
        <f t="shared" si="3"/>
        <v/>
      </c>
      <c r="Q32" s="46" t="str">
        <f t="shared" si="3"/>
        <v/>
      </c>
      <c r="R32" s="46" t="str">
        <f t="shared" si="3"/>
        <v/>
      </c>
      <c r="S32" s="46" t="str">
        <f t="shared" si="3"/>
        <v/>
      </c>
      <c r="T32" s="46" t="str">
        <f t="shared" si="3"/>
        <v/>
      </c>
      <c r="U32" s="46" t="str">
        <f t="shared" si="3"/>
        <v/>
      </c>
    </row>
    <row r="33" spans="1:21" ht="15.75">
      <c r="A33" s="45">
        <v>27</v>
      </c>
      <c r="B33" s="46" t="str">
        <f t="shared" si="2"/>
        <v/>
      </c>
      <c r="C33" s="46" t="str">
        <f t="shared" si="2"/>
        <v/>
      </c>
      <c r="D33" s="46" t="str">
        <f t="shared" si="2"/>
        <v/>
      </c>
      <c r="E33" s="46" t="str">
        <f t="shared" si="2"/>
        <v/>
      </c>
      <c r="F33" s="46" t="str">
        <f t="shared" si="2"/>
        <v/>
      </c>
      <c r="G33" s="46" t="str">
        <f t="shared" si="2"/>
        <v/>
      </c>
      <c r="H33" s="46" t="str">
        <f t="shared" si="2"/>
        <v/>
      </c>
      <c r="I33" s="46" t="str">
        <f t="shared" si="2"/>
        <v/>
      </c>
      <c r="J33" s="46" t="str">
        <f t="shared" si="2"/>
        <v/>
      </c>
      <c r="K33" s="46" t="str">
        <f t="shared" si="2"/>
        <v/>
      </c>
      <c r="L33" s="46" t="str">
        <f t="shared" si="2"/>
        <v/>
      </c>
      <c r="M33" s="46" t="str">
        <f t="shared" si="2"/>
        <v/>
      </c>
      <c r="N33" s="46" t="str">
        <f t="shared" si="3"/>
        <v/>
      </c>
      <c r="O33" s="46" t="str">
        <f t="shared" si="3"/>
        <v/>
      </c>
      <c r="P33" s="46" t="str">
        <f t="shared" si="3"/>
        <v/>
      </c>
      <c r="Q33" s="46" t="str">
        <f t="shared" si="3"/>
        <v/>
      </c>
      <c r="R33" s="46" t="str">
        <f t="shared" si="3"/>
        <v/>
      </c>
      <c r="S33" s="46" t="str">
        <f t="shared" si="3"/>
        <v/>
      </c>
      <c r="T33" s="46" t="str">
        <f t="shared" si="3"/>
        <v/>
      </c>
      <c r="U33" s="46" t="str">
        <f t="shared" si="3"/>
        <v/>
      </c>
    </row>
    <row r="34" spans="1:21" ht="15.75">
      <c r="A34" s="45">
        <v>28</v>
      </c>
      <c r="B34" s="46" t="str">
        <f t="shared" si="2"/>
        <v/>
      </c>
      <c r="C34" s="46" t="str">
        <f t="shared" si="2"/>
        <v/>
      </c>
      <c r="D34" s="46" t="str">
        <f t="shared" si="2"/>
        <v/>
      </c>
      <c r="E34" s="46" t="str">
        <f t="shared" si="2"/>
        <v/>
      </c>
      <c r="F34" s="46" t="str">
        <f t="shared" si="2"/>
        <v/>
      </c>
      <c r="G34" s="46" t="str">
        <f t="shared" si="2"/>
        <v/>
      </c>
      <c r="H34" s="46" t="str">
        <f t="shared" si="2"/>
        <v/>
      </c>
      <c r="I34" s="46" t="str">
        <f t="shared" si="2"/>
        <v/>
      </c>
      <c r="J34" s="46" t="str">
        <f t="shared" si="2"/>
        <v/>
      </c>
      <c r="K34" s="46" t="str">
        <f t="shared" si="2"/>
        <v/>
      </c>
      <c r="L34" s="46" t="str">
        <f t="shared" si="2"/>
        <v/>
      </c>
      <c r="M34" s="46" t="str">
        <f t="shared" si="2"/>
        <v/>
      </c>
      <c r="N34" s="46" t="str">
        <f t="shared" si="3"/>
        <v/>
      </c>
      <c r="O34" s="46" t="str">
        <f t="shared" si="3"/>
        <v/>
      </c>
      <c r="P34" s="46" t="str">
        <f t="shared" si="3"/>
        <v/>
      </c>
      <c r="Q34" s="46" t="str">
        <f t="shared" si="3"/>
        <v/>
      </c>
      <c r="R34" s="46" t="str">
        <f t="shared" si="3"/>
        <v/>
      </c>
      <c r="S34" s="46" t="str">
        <f t="shared" si="3"/>
        <v/>
      </c>
      <c r="T34" s="46" t="str">
        <f t="shared" si="3"/>
        <v/>
      </c>
      <c r="U34" s="46" t="str">
        <f t="shared" si="3"/>
        <v/>
      </c>
    </row>
    <row r="35" spans="1:21" ht="15.75">
      <c r="A35" s="45">
        <v>29</v>
      </c>
      <c r="B35" s="46" t="str">
        <f t="shared" si="2"/>
        <v/>
      </c>
      <c r="C35" s="46" t="str">
        <f t="shared" si="2"/>
        <v/>
      </c>
      <c r="D35" s="46" t="str">
        <f t="shared" si="2"/>
        <v/>
      </c>
      <c r="E35" s="46" t="str">
        <f t="shared" si="2"/>
        <v/>
      </c>
      <c r="F35" s="46" t="str">
        <f t="shared" si="2"/>
        <v/>
      </c>
      <c r="G35" s="46" t="str">
        <f t="shared" si="2"/>
        <v/>
      </c>
      <c r="H35" s="46" t="str">
        <f t="shared" si="2"/>
        <v/>
      </c>
      <c r="I35" s="46" t="str">
        <f t="shared" si="2"/>
        <v/>
      </c>
      <c r="J35" s="46" t="str">
        <f t="shared" si="2"/>
        <v/>
      </c>
      <c r="K35" s="46" t="str">
        <f t="shared" si="2"/>
        <v/>
      </c>
      <c r="L35" s="46" t="str">
        <f t="shared" si="2"/>
        <v/>
      </c>
      <c r="M35" s="46" t="str">
        <f t="shared" si="2"/>
        <v/>
      </c>
      <c r="N35" s="46" t="str">
        <f t="shared" si="3"/>
        <v/>
      </c>
      <c r="O35" s="46" t="str">
        <f t="shared" si="3"/>
        <v/>
      </c>
      <c r="P35" s="46" t="str">
        <f t="shared" si="3"/>
        <v/>
      </c>
      <c r="Q35" s="46" t="str">
        <f t="shared" si="3"/>
        <v/>
      </c>
      <c r="R35" s="46" t="str">
        <f t="shared" si="3"/>
        <v/>
      </c>
      <c r="S35" s="46" t="str">
        <f t="shared" si="3"/>
        <v/>
      </c>
      <c r="T35" s="46" t="str">
        <f t="shared" si="3"/>
        <v/>
      </c>
      <c r="U35" s="46" t="str">
        <f t="shared" si="3"/>
        <v/>
      </c>
    </row>
    <row r="36" spans="1:21" ht="15.75">
      <c r="A36" s="45">
        <v>30</v>
      </c>
      <c r="B36" s="46" t="str">
        <f t="shared" si="2"/>
        <v/>
      </c>
      <c r="C36" s="46" t="str">
        <f t="shared" si="2"/>
        <v/>
      </c>
      <c r="D36" s="46" t="str">
        <f t="shared" si="2"/>
        <v/>
      </c>
      <c r="E36" s="46" t="str">
        <f t="shared" si="2"/>
        <v/>
      </c>
      <c r="F36" s="46" t="str">
        <f t="shared" si="2"/>
        <v/>
      </c>
      <c r="G36" s="46" t="str">
        <f t="shared" si="2"/>
        <v/>
      </c>
      <c r="H36" s="46" t="str">
        <f t="shared" si="2"/>
        <v/>
      </c>
      <c r="I36" s="46" t="str">
        <f t="shared" si="2"/>
        <v/>
      </c>
      <c r="J36" s="46" t="str">
        <f t="shared" si="2"/>
        <v/>
      </c>
      <c r="K36" s="46" t="str">
        <f t="shared" si="2"/>
        <v/>
      </c>
      <c r="L36" s="46" t="str">
        <f t="shared" si="2"/>
        <v/>
      </c>
      <c r="M36" s="46" t="str">
        <f t="shared" si="2"/>
        <v/>
      </c>
      <c r="N36" s="46" t="str">
        <f t="shared" si="3"/>
        <v/>
      </c>
      <c r="O36" s="46" t="str">
        <f t="shared" si="3"/>
        <v/>
      </c>
      <c r="P36" s="46" t="str">
        <f t="shared" si="3"/>
        <v/>
      </c>
      <c r="Q36" s="46" t="str">
        <f t="shared" si="3"/>
        <v/>
      </c>
      <c r="R36" s="46" t="str">
        <f t="shared" si="3"/>
        <v/>
      </c>
      <c r="S36" s="46" t="str">
        <f t="shared" si="3"/>
        <v/>
      </c>
      <c r="T36" s="46" t="str">
        <f t="shared" si="3"/>
        <v/>
      </c>
      <c r="U36" s="46" t="str">
        <f t="shared" si="3"/>
        <v/>
      </c>
    </row>
    <row r="38" spans="1:21">
      <c r="A38" s="10" t="s">
        <v>1279</v>
      </c>
    </row>
    <row r="39" spans="1:21">
      <c r="A39" s="39" t="s">
        <v>1280</v>
      </c>
    </row>
    <row r="40" spans="1:21">
      <c r="A40" s="39" t="s">
        <v>1280</v>
      </c>
    </row>
  </sheetData>
  <dataValidations count="1">
    <dataValidation type="custom" allowBlank="1" showInputMessage="1" showErrorMessage="1" errorTitle="Automated field, foo 🤡" error="Skedaddle 💨. Don't overwrite formulas 😄" sqref="A3:A5 A8:A36 C7:C36 D7:D36 E7:E36 F7:F36 G7:G36 H7:H36 I7:I36 J7:J36 K7:K36 L7:L36 M7:M36 N7:N36 O7:O36 P7:P36 Q7:Q36 R7:R36 S7:S36 T7:T36 U7:U36" xr:uid="{00000000-0002-0000-0800-000000000000}">
      <formula1>FALSE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0.59999389629810485"/>
  </sheetPr>
  <dimension ref="A1:L300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8" customWidth="1"/>
    <col min="4" max="4" width="8" customWidth="1"/>
    <col min="5" max="5" width="10" customWidth="1"/>
    <col min="6" max="6" width="14" customWidth="1"/>
    <col min="7" max="7" width="18" customWidth="1"/>
    <col min="8" max="8" width="30" customWidth="1"/>
    <col min="9" max="9" width="18" customWidth="1"/>
    <col min="10" max="10" width="12" customWidth="1"/>
    <col min="12" max="12" width="13" hidden="1" customWidth="1"/>
  </cols>
  <sheetData>
    <row r="1" spans="1:12" ht="27.75" customHeight="1">
      <c r="A1" s="67" t="s">
        <v>180</v>
      </c>
      <c r="B1" s="67" t="s">
        <v>1281</v>
      </c>
      <c r="C1" s="67" t="s">
        <v>1282</v>
      </c>
      <c r="D1" s="67" t="s">
        <v>1058</v>
      </c>
      <c r="E1" s="67" t="s">
        <v>1283</v>
      </c>
      <c r="F1" s="67" t="s">
        <v>1284</v>
      </c>
      <c r="G1" s="67" t="s">
        <v>1285</v>
      </c>
      <c r="H1" s="67" t="s">
        <v>189</v>
      </c>
      <c r="I1" s="67" t="s">
        <v>1286</v>
      </c>
      <c r="J1" s="67" t="s">
        <v>1287</v>
      </c>
      <c r="L1" s="67" t="s">
        <v>1288</v>
      </c>
    </row>
    <row r="2" spans="1:12">
      <c r="I2" t="str">
        <f>IF(OR($A2="",$B2=""),"",IF(COUNTIFS($A$2:$A2,$A2,$B$2:$B2,$B2)=1,1,0))</f>
        <v/>
      </c>
      <c r="J2" t="str">
        <f t="shared" ref="J2:J65" si="0">IF($A2="","",ROW())</f>
        <v/>
      </c>
      <c r="L2" t="str">
        <f>IF('01_Warehouse_Ledger'!$A2="","",'01_Warehouse_Ledger'!$A2)</f>
        <v>OVERFLOW-RICH-CYBERNETS-CFAM-CCMC</v>
      </c>
    </row>
    <row r="3" spans="1:12">
      <c r="I3" t="str">
        <f>IF(OR($A3="",$B3=""),"",IF(COUNTIFS($A$2:$A3,$A3,$B$2:$B3,$B3)=1,1,0))</f>
        <v/>
      </c>
      <c r="J3" t="str">
        <f t="shared" si="0"/>
        <v/>
      </c>
      <c r="L3" t="str">
        <f>IF('01_Warehouse_Ledger'!$A3="","",'01_Warehouse_Ledger'!$A3)</f>
        <v>WH-STAGE-IN</v>
      </c>
    </row>
    <row r="4" spans="1:12">
      <c r="I4" t="str">
        <f>IF(OR($A4="",$B4=""),"",IF(COUNTIFS($A$2:$A4,$A4,$B$2:$B4,$B4)=1,1,0))</f>
        <v/>
      </c>
      <c r="J4" t="str">
        <f t="shared" si="0"/>
        <v/>
      </c>
      <c r="L4" t="str">
        <f>IF('01_Warehouse_Ledger'!$A4="","",'01_Warehouse_Ledger'!$A4)</f>
        <v>OVERFLOW-CHRIS-UMAIR_TICKETS-</v>
      </c>
    </row>
    <row r="5" spans="1:12">
      <c r="I5" t="str">
        <f>IF(OR($A5="",$B5=""),"",IF(COUNTIFS($A$2:$A5,$A5,$B$2:$B5,$B5)=1,1,0))</f>
        <v/>
      </c>
      <c r="J5" t="str">
        <f t="shared" si="0"/>
        <v/>
      </c>
      <c r="L5" t="str">
        <f>IF('01_Warehouse_Ledger'!$A5="","",'01_Warehouse_Ledger'!$A5)</f>
        <v>WH-Z1-AisleO-Bay10-Level1</v>
      </c>
    </row>
    <row r="6" spans="1:12">
      <c r="I6" t="str">
        <f>IF(OR($A6="",$B6=""),"",IF(COUNTIFS($A$2:$A6,$A6,$B$2:$B6,$B6)=1,1,0))</f>
        <v/>
      </c>
      <c r="J6" t="str">
        <f t="shared" si="0"/>
        <v/>
      </c>
      <c r="L6" t="str">
        <f>IF('01_Warehouse_Ledger'!$A6="","",'01_Warehouse_Ledger'!$A6)</f>
        <v>Northwell Capsule &amp; GCX</v>
      </c>
    </row>
    <row r="7" spans="1:12">
      <c r="I7" t="str">
        <f>IF(OR($A7="",$B7=""),"",IF(COUNTIFS($A$2:$A7,$A7,$B$2:$B7,$B7)=1,1,0))</f>
        <v/>
      </c>
      <c r="J7" t="str">
        <f t="shared" si="0"/>
        <v/>
      </c>
      <c r="L7" t="str">
        <f>IF('01_Warehouse_Ledger'!$A7="","",'01_Warehouse_Ledger'!$A7)</f>
        <v>WH-Z1-NOOverflow</v>
      </c>
    </row>
    <row r="8" spans="1:12">
      <c r="I8" t="str">
        <f>IF(OR($A8="",$B8=""),"",IF(COUNTIFS($A$2:$A8,$A8,$B$2:$B8,$B8)=1,1,0))</f>
        <v/>
      </c>
      <c r="J8" t="str">
        <f t="shared" si="0"/>
        <v/>
      </c>
      <c r="L8" t="str">
        <f>IF('01_Warehouse_Ledger'!$A8="","",'01_Warehouse_Ledger'!$A8)</f>
        <v>WH-Z1-AisleO-Bay7-Level1</v>
      </c>
    </row>
    <row r="9" spans="1:12">
      <c r="I9" t="str">
        <f>IF(OR($A9="",$B9=""),"",IF(COUNTIFS($A$2:$A9,$A9,$B$2:$B9,$B9)=1,1,0))</f>
        <v/>
      </c>
      <c r="J9" t="str">
        <f t="shared" si="0"/>
        <v/>
      </c>
      <c r="L9" t="str">
        <f>IF('01_Warehouse_Ledger'!$A9="","",'01_Warehouse_Ledger'!$A9)</f>
        <v>OVERFLOW-SAMPLE-PO1007-CAT3-PAL008</v>
      </c>
    </row>
    <row r="10" spans="1:12">
      <c r="I10" t="str">
        <f>IF(OR($A10="",$B10=""),"",IF(COUNTIFS($A$2:$A10,$A10,$B$2:$B10,$B10)=1,1,0))</f>
        <v/>
      </c>
      <c r="J10" t="str">
        <f t="shared" si="0"/>
        <v/>
      </c>
      <c r="L10" t="str">
        <f>IF('01_Warehouse_Ledger'!$A10="","",'01_Warehouse_Ledger'!$A10)</f>
        <v>WH-Z1-AisleA-Bay1-Level6</v>
      </c>
    </row>
    <row r="11" spans="1:12">
      <c r="I11" t="str">
        <f>IF(OR($A11="",$B11=""),"",IF(COUNTIFS($A$2:$A11,$A11,$B$2:$B11,$B11)=1,1,0))</f>
        <v/>
      </c>
      <c r="J11" t="str">
        <f t="shared" si="0"/>
        <v/>
      </c>
      <c r="L11" t="str">
        <f>IF('01_Warehouse_Ledger'!$A11="","",'01_Warehouse_Ledger'!$A11)</f>
        <v>WH-Z1-AisleA-Bay1-Level7</v>
      </c>
    </row>
    <row r="12" spans="1:12">
      <c r="I12" t="str">
        <f>IF(OR($A12="",$B12=""),"",IF(COUNTIFS($A$2:$A12,$A12,$B$2:$B12,$B12)=1,1,0))</f>
        <v/>
      </c>
      <c r="J12" t="str">
        <f t="shared" si="0"/>
        <v/>
      </c>
      <c r="L12" t="str">
        <f>IF('01_Warehouse_Ledger'!$A12="","",'01_Warehouse_Ledger'!$A12)</f>
        <v>WH-Z1-AisleA-Bay1-Level8</v>
      </c>
    </row>
    <row r="13" spans="1:12">
      <c r="I13" t="str">
        <f>IF(OR($A13="",$B13=""),"",IF(COUNTIFS($A$2:$A13,$A13,$B$2:$B13,$B13)=1,1,0))</f>
        <v/>
      </c>
      <c r="J13" t="str">
        <f t="shared" si="0"/>
        <v/>
      </c>
      <c r="L13" t="str">
        <f>IF('01_Warehouse_Ledger'!$A13="","",'01_Warehouse_Ledger'!$A13)</f>
        <v>WH-Z1-AisleA-Bay1-Level9</v>
      </c>
    </row>
    <row r="14" spans="1:12">
      <c r="I14" t="str">
        <f>IF(OR($A14="",$B14=""),"",IF(COUNTIFS($A$2:$A14,$A14,$B$2:$B14,$B14)=1,1,0))</f>
        <v/>
      </c>
      <c r="J14" t="str">
        <f t="shared" si="0"/>
        <v/>
      </c>
      <c r="L14" t="str">
        <f>IF('01_Warehouse_Ledger'!$A14="","",'01_Warehouse_Ledger'!$A14)</f>
        <v>WH-Z1-AisleA-Bay1-Level10</v>
      </c>
    </row>
    <row r="15" spans="1:12">
      <c r="I15" t="str">
        <f>IF(OR($A15="",$B15=""),"",IF(COUNTIFS($A$2:$A15,$A15,$B$2:$B15,$B15)=1,1,0))</f>
        <v/>
      </c>
      <c r="J15" t="str">
        <f t="shared" si="0"/>
        <v/>
      </c>
      <c r="L15" t="str">
        <f>IF('01_Warehouse_Ledger'!$A15="","",'01_Warehouse_Ledger'!$A15)</f>
        <v>WH-Z1-AisleA-Bay1-Level11</v>
      </c>
    </row>
    <row r="16" spans="1:12">
      <c r="I16" t="str">
        <f>IF(OR($A16="",$B16=""),"",IF(COUNTIFS($A$2:$A16,$A16,$B$2:$B16,$B16)=1,1,0))</f>
        <v/>
      </c>
      <c r="J16" t="str">
        <f t="shared" si="0"/>
        <v/>
      </c>
      <c r="L16" t="str">
        <f>IF('01_Warehouse_Ledger'!$A16="","",'01_Warehouse_Ledger'!$A16)</f>
        <v>OVERFLOW-SAMPLE-PO1014-CAT5-PAL015</v>
      </c>
    </row>
    <row r="17" spans="9:12">
      <c r="I17" t="str">
        <f>IF(OR($A17="",$B17=""),"",IF(COUNTIFS($A$2:$A17,$A17,$B$2:$B17,$B17)=1,1,0))</f>
        <v/>
      </c>
      <c r="J17" t="str">
        <f t="shared" si="0"/>
        <v/>
      </c>
      <c r="L17" t="str">
        <f>IF('01_Warehouse_Ledger'!$A17="","",'01_Warehouse_Ledger'!$A17)</f>
        <v>WH-Z1-AisleA-Bay1-Level13</v>
      </c>
    </row>
    <row r="18" spans="9:12">
      <c r="I18" t="str">
        <f>IF(OR($A18="",$B18=""),"",IF(COUNTIFS($A$2:$A18,$A18,$B$2:$B18,$B18)=1,1,0))</f>
        <v/>
      </c>
      <c r="J18" t="str">
        <f t="shared" si="0"/>
        <v/>
      </c>
      <c r="L18" t="str">
        <f>IF('01_Warehouse_Ledger'!$A18="","",'01_Warehouse_Ledger'!$A18)</f>
        <v>WH-Z1-AisleA-Bay1-Level14</v>
      </c>
    </row>
    <row r="19" spans="9:12">
      <c r="I19" t="str">
        <f>IF(OR($A19="",$B19=""),"",IF(COUNTIFS($A$2:$A19,$A19,$B$2:$B19,$B19)=1,1,0))</f>
        <v/>
      </c>
      <c r="J19" t="str">
        <f t="shared" si="0"/>
        <v/>
      </c>
      <c r="L19" t="str">
        <f>IF('01_Warehouse_Ledger'!$A19="","",'01_Warehouse_Ledger'!$A19)</f>
        <v>WH-Z1-AisleA-Bay1-Level15</v>
      </c>
    </row>
    <row r="20" spans="9:12">
      <c r="I20" t="str">
        <f>IF(OR($A20="",$B20=""),"",IF(COUNTIFS($A$2:$A20,$A20,$B$2:$B20,$B20)=1,1,0))</f>
        <v/>
      </c>
      <c r="J20" t="str">
        <f t="shared" si="0"/>
        <v/>
      </c>
      <c r="L20" t="str">
        <f>IF('01_Warehouse_Ledger'!$A20="","",'01_Warehouse_Ledger'!$A20)</f>
        <v>WH-Z1-AisleA-Bay1-Level16</v>
      </c>
    </row>
    <row r="21" spans="9:12">
      <c r="I21" t="str">
        <f>IF(OR($A21="",$B21=""),"",IF(COUNTIFS($A$2:$A21,$A21,$B$2:$B21,$B21)=1,1,0))</f>
        <v/>
      </c>
      <c r="J21" t="str">
        <f t="shared" si="0"/>
        <v/>
      </c>
      <c r="L21" t="str">
        <f>IF('01_Warehouse_Ledger'!$A21="","",'01_Warehouse_Ledger'!$A21)</f>
        <v>WH-Z1-AisleA-Bay1-Level17</v>
      </c>
    </row>
    <row r="22" spans="9:12">
      <c r="I22" t="str">
        <f>IF(OR($A22="",$B22=""),"",IF(COUNTIFS($A$2:$A22,$A22,$B$2:$B22,$B22)=1,1,0))</f>
        <v/>
      </c>
      <c r="J22" t="str">
        <f t="shared" si="0"/>
        <v/>
      </c>
      <c r="L22" t="str">
        <f>IF('01_Warehouse_Ledger'!$A22="","",'01_Warehouse_Ledger'!$A22)</f>
        <v>WH-Z1-AisleA-Bay1-Level18</v>
      </c>
    </row>
    <row r="23" spans="9:12">
      <c r="I23" t="str">
        <f>IF(OR($A23="",$B23=""),"",IF(COUNTIFS($A$2:$A23,$A23,$B$2:$B23,$B23)=1,1,0))</f>
        <v/>
      </c>
      <c r="J23" t="str">
        <f t="shared" si="0"/>
        <v/>
      </c>
      <c r="L23" t="str">
        <f>IF('01_Warehouse_Ledger'!$A23="","",'01_Warehouse_Ledger'!$A23)</f>
        <v>OVERFLOW-SAMPLE-PO1021-CAT2-PAL022</v>
      </c>
    </row>
    <row r="24" spans="9:12">
      <c r="I24" t="str">
        <f>IF(OR($A24="",$B24=""),"",IF(COUNTIFS($A$2:$A24,$A24,$B$2:$B24,$B24)=1,1,0))</f>
        <v/>
      </c>
      <c r="J24" t="str">
        <f t="shared" si="0"/>
        <v/>
      </c>
      <c r="L24" t="str">
        <f>IF('01_Warehouse_Ledger'!$A24="","",'01_Warehouse_Ledger'!$A24)</f>
        <v>WH-Z1-AisleA-Bay1-Level20</v>
      </c>
    </row>
    <row r="25" spans="9:12">
      <c r="I25" t="str">
        <f>IF(OR($A25="",$B25=""),"",IF(COUNTIFS($A$2:$A25,$A25,$B$2:$B25,$B25)=1,1,0))</f>
        <v/>
      </c>
      <c r="J25" t="str">
        <f t="shared" si="0"/>
        <v/>
      </c>
      <c r="L25" t="str">
        <f>IF('01_Warehouse_Ledger'!$A25="","",'01_Warehouse_Ledger'!$A25)</f>
        <v>WH-Z1-AisleB-Bay1-Level1</v>
      </c>
    </row>
    <row r="26" spans="9:12">
      <c r="I26" t="str">
        <f>IF(OR($A26="",$B26=""),"",IF(COUNTIFS($A$2:$A26,$A26,$B$2:$B26,$B26)=1,1,0))</f>
        <v/>
      </c>
      <c r="J26" t="str">
        <f t="shared" si="0"/>
        <v/>
      </c>
      <c r="L26" t="str">
        <f>IF('01_Warehouse_Ledger'!$A26="","",'01_Warehouse_Ledger'!$A26)</f>
        <v>WH-Z1-AisleB-Bay1-Level2</v>
      </c>
    </row>
    <row r="27" spans="9:12">
      <c r="I27" t="str">
        <f>IF(OR($A27="",$B27=""),"",IF(COUNTIFS($A$2:$A27,$A27,$B$2:$B27,$B27)=1,1,0))</f>
        <v/>
      </c>
      <c r="J27" t="str">
        <f t="shared" si="0"/>
        <v/>
      </c>
      <c r="L27" t="str">
        <f>IF('01_Warehouse_Ledger'!$A27="","",'01_Warehouse_Ledger'!$A27)</f>
        <v>WH-Z1-AisleB-Bay1-Level3</v>
      </c>
    </row>
    <row r="28" spans="9:12">
      <c r="I28" t="str">
        <f>IF(OR($A28="",$B28=""),"",IF(COUNTIFS($A$2:$A28,$A28,$B$2:$B28,$B28)=1,1,0))</f>
        <v/>
      </c>
      <c r="J28" t="str">
        <f t="shared" si="0"/>
        <v/>
      </c>
      <c r="L28" t="str">
        <f>IF('01_Warehouse_Ledger'!$A28="","",'01_Warehouse_Ledger'!$A28)</f>
        <v>WH-Z1-AisleB-Bay1-Level4</v>
      </c>
    </row>
    <row r="29" spans="9:12">
      <c r="I29" t="str">
        <f>IF(OR($A29="",$B29=""),"",IF(COUNTIFS($A$2:$A29,$A29,$B$2:$B29,$B29)=1,1,0))</f>
        <v/>
      </c>
      <c r="J29" t="str">
        <f t="shared" si="0"/>
        <v/>
      </c>
      <c r="L29" t="str">
        <f>IF('01_Warehouse_Ledger'!$A29="","",'01_Warehouse_Ledger'!$A29)</f>
        <v>WH-Z1-AisleB-Bay1-Level5</v>
      </c>
    </row>
    <row r="30" spans="9:12">
      <c r="I30" t="str">
        <f>IF(OR($A30="",$B30=""),"",IF(COUNTIFS($A$2:$A30,$A30,$B$2:$B30,$B30)=1,1,0))</f>
        <v/>
      </c>
      <c r="J30" t="str">
        <f t="shared" si="0"/>
        <v/>
      </c>
      <c r="L30" t="str">
        <f>IF('01_Warehouse_Ledger'!$A30="","",'01_Warehouse_Ledger'!$A30)</f>
        <v>OVERFLOW-SAMPLE-PO1028-CAT4-PAL029</v>
      </c>
    </row>
    <row r="31" spans="9:12">
      <c r="I31" t="str">
        <f>IF(OR($A31="",$B31=""),"",IF(COUNTIFS($A$2:$A31,$A31,$B$2:$B31,$B31)=1,1,0))</f>
        <v/>
      </c>
      <c r="J31" t="str">
        <f t="shared" si="0"/>
        <v/>
      </c>
      <c r="L31" t="str">
        <f>IF('01_Warehouse_Ledger'!$A31="","",'01_Warehouse_Ledger'!$A31)</f>
        <v>WH-Z1-AisleB-Bay1-Level7</v>
      </c>
    </row>
    <row r="32" spans="9:12">
      <c r="I32" t="str">
        <f>IF(OR($A32="",$B32=""),"",IF(COUNTIFS($A$2:$A32,$A32,$B$2:$B32,$B32)=1,1,0))</f>
        <v/>
      </c>
      <c r="J32" t="str">
        <f t="shared" si="0"/>
        <v/>
      </c>
      <c r="L32" t="str">
        <f>IF('01_Warehouse_Ledger'!$A32="","",'01_Warehouse_Ledger'!$A32)</f>
        <v>WH-Z1-AisleB-Bay1-Level8</v>
      </c>
    </row>
    <row r="33" spans="9:12">
      <c r="I33" t="str">
        <f>IF(OR($A33="",$B33=""),"",IF(COUNTIFS($A$2:$A33,$A33,$B$2:$B33,$B33)=1,1,0))</f>
        <v/>
      </c>
      <c r="J33" t="str">
        <f t="shared" si="0"/>
        <v/>
      </c>
      <c r="L33" t="str">
        <f>IF('01_Warehouse_Ledger'!$A33="","",'01_Warehouse_Ledger'!$A33)</f>
        <v>WH-Z1-AisleB-Bay1-Level9</v>
      </c>
    </row>
    <row r="34" spans="9:12">
      <c r="I34" t="str">
        <f>IF(OR($A34="",$B34=""),"",IF(COUNTIFS($A$2:$A34,$A34,$B$2:$B34,$B34)=1,1,0))</f>
        <v/>
      </c>
      <c r="J34" t="str">
        <f t="shared" si="0"/>
        <v/>
      </c>
      <c r="L34" t="str">
        <f>IF('01_Warehouse_Ledger'!$A34="","",'01_Warehouse_Ledger'!$A34)</f>
        <v>WH-Z1-AisleB-Bay1-Level10</v>
      </c>
    </row>
    <row r="35" spans="9:12">
      <c r="I35" t="str">
        <f>IF(OR($A35="",$B35=""),"",IF(COUNTIFS($A$2:$A35,$A35,$B$2:$B35,$B35)=1,1,0))</f>
        <v/>
      </c>
      <c r="J35" t="str">
        <f t="shared" si="0"/>
        <v/>
      </c>
      <c r="L35" t="str">
        <f>IF('01_Warehouse_Ledger'!$A35="","",'01_Warehouse_Ledger'!$A35)</f>
        <v>WH-Z1-AisleB-Bay1-Level11</v>
      </c>
    </row>
    <row r="36" spans="9:12">
      <c r="I36" t="str">
        <f>IF(OR($A36="",$B36=""),"",IF(COUNTIFS($A$2:$A36,$A36,$B$2:$B36,$B36)=1,1,0))</f>
        <v/>
      </c>
      <c r="J36" t="str">
        <f t="shared" si="0"/>
        <v/>
      </c>
      <c r="L36" t="str">
        <f>IF('01_Warehouse_Ledger'!$A36="","",'01_Warehouse_Ledger'!$A36)</f>
        <v>WH-Z1-AisleB-Bay1-Level12</v>
      </c>
    </row>
    <row r="37" spans="9:12">
      <c r="I37" t="str">
        <f>IF(OR($A37="",$B37=""),"",IF(COUNTIFS($A$2:$A37,$A37,$B$2:$B37,$B37)=1,1,0))</f>
        <v/>
      </c>
      <c r="J37" t="str">
        <f t="shared" si="0"/>
        <v/>
      </c>
      <c r="L37" t="str">
        <f>IF('01_Warehouse_Ledger'!$A37="","",'01_Warehouse_Ledger'!$A37)</f>
        <v>OVERFLOW-SAMPLE-PO1035-CAT1-PAL036</v>
      </c>
    </row>
    <row r="38" spans="9:12">
      <c r="I38" t="str">
        <f>IF(OR($A38="",$B38=""),"",IF(COUNTIFS($A$2:$A38,$A38,$B$2:$B38,$B38)=1,1,0))</f>
        <v/>
      </c>
      <c r="J38" t="str">
        <f t="shared" si="0"/>
        <v/>
      </c>
      <c r="L38" t="str">
        <f>IF('01_Warehouse_Ledger'!$A38="","",'01_Warehouse_Ledger'!$A38)</f>
        <v>WH-Z1-AisleB-Bay1-Level14</v>
      </c>
    </row>
    <row r="39" spans="9:12">
      <c r="I39" t="str">
        <f>IF(OR($A39="",$B39=""),"",IF(COUNTIFS($A$2:$A39,$A39,$B$2:$B39,$B39)=1,1,0))</f>
        <v/>
      </c>
      <c r="J39" t="str">
        <f t="shared" si="0"/>
        <v/>
      </c>
      <c r="L39" t="str">
        <f>IF('01_Warehouse_Ledger'!$A39="","",'01_Warehouse_Ledger'!$A39)</f>
        <v>WH-Z1-AisleB-Bay1-Level15</v>
      </c>
    </row>
    <row r="40" spans="9:12">
      <c r="I40" t="str">
        <f>IF(OR($A40="",$B40=""),"",IF(COUNTIFS($A$2:$A40,$A40,$B$2:$B40,$B40)=1,1,0))</f>
        <v/>
      </c>
      <c r="J40" t="str">
        <f t="shared" si="0"/>
        <v/>
      </c>
      <c r="L40" t="str">
        <f>IF('01_Warehouse_Ledger'!$A40="","",'01_Warehouse_Ledger'!$A40)</f>
        <v>WH-Z1-AisleB-Bay1-Level16</v>
      </c>
    </row>
    <row r="41" spans="9:12">
      <c r="I41" t="str">
        <f>IF(OR($A41="",$B41=""),"",IF(COUNTIFS($A$2:$A41,$A41,$B$2:$B41,$B41)=1,1,0))</f>
        <v/>
      </c>
      <c r="J41" t="str">
        <f t="shared" si="0"/>
        <v/>
      </c>
      <c r="L41" t="str">
        <f>IF('01_Warehouse_Ledger'!$A41="","",'01_Warehouse_Ledger'!$A41)</f>
        <v>WH-Z1-AisleB-Bay1-Level17</v>
      </c>
    </row>
    <row r="42" spans="9:12">
      <c r="I42" t="str">
        <f>IF(OR($A42="",$B42=""),"",IF(COUNTIFS($A$2:$A42,$A42,$B$2:$B42,$B42)=1,1,0))</f>
        <v/>
      </c>
      <c r="J42" t="str">
        <f t="shared" si="0"/>
        <v/>
      </c>
      <c r="L42" t="str">
        <f>IF('01_Warehouse_Ledger'!$A42="","",'01_Warehouse_Ledger'!$A42)</f>
        <v>WH-Z1-AisleB-Bay1-Level18</v>
      </c>
    </row>
    <row r="43" spans="9:12">
      <c r="I43" t="str">
        <f>IF(OR($A43="",$B43=""),"",IF(COUNTIFS($A$2:$A43,$A43,$B$2:$B43,$B43)=1,1,0))</f>
        <v/>
      </c>
      <c r="J43" t="str">
        <f t="shared" si="0"/>
        <v/>
      </c>
      <c r="L43" t="str">
        <f>IF('01_Warehouse_Ledger'!$A43="","",'01_Warehouse_Ledger'!$A43)</f>
        <v>WH-Z1-AisleB-Bay1-Level19</v>
      </c>
    </row>
    <row r="44" spans="9:12">
      <c r="I44" t="str">
        <f>IF(OR($A44="",$B44=""),"",IF(COUNTIFS($A$2:$A44,$A44,$B$2:$B44,$B44)=1,1,0))</f>
        <v/>
      </c>
      <c r="J44" t="str">
        <f t="shared" si="0"/>
        <v/>
      </c>
      <c r="L44" t="str">
        <f>IF('01_Warehouse_Ledger'!$A44="","",'01_Warehouse_Ledger'!$A44)</f>
        <v>OVERFLOW-SAMPLE-PO1042-CAT3-PAL043</v>
      </c>
    </row>
    <row r="45" spans="9:12">
      <c r="I45" t="str">
        <f>IF(OR($A45="",$B45=""),"",IF(COUNTIFS($A$2:$A45,$A45,$B$2:$B45,$B45)=1,1,0))</f>
        <v/>
      </c>
      <c r="J45" t="str">
        <f t="shared" si="0"/>
        <v/>
      </c>
      <c r="L45" t="str">
        <f>IF('01_Warehouse_Ledger'!$A45="","",'01_Warehouse_Ledger'!$A45)</f>
        <v>WH-Z1-AisleC-Bay1-Level1</v>
      </c>
    </row>
    <row r="46" spans="9:12">
      <c r="I46" t="str">
        <f>IF(OR($A46="",$B46=""),"",IF(COUNTIFS($A$2:$A46,$A46,$B$2:$B46,$B46)=1,1,0))</f>
        <v/>
      </c>
      <c r="J46" t="str">
        <f t="shared" si="0"/>
        <v/>
      </c>
      <c r="L46" t="str">
        <f>IF('01_Warehouse_Ledger'!$A46="","",'01_Warehouse_Ledger'!$A46)</f>
        <v>WH-Z1-AisleC-Bay1-Level2</v>
      </c>
    </row>
    <row r="47" spans="9:12">
      <c r="I47" t="str">
        <f>IF(OR($A47="",$B47=""),"",IF(COUNTIFS($A$2:$A47,$A47,$B$2:$B47,$B47)=1,1,0))</f>
        <v/>
      </c>
      <c r="J47" t="str">
        <f t="shared" si="0"/>
        <v/>
      </c>
      <c r="L47" t="str">
        <f>IF('01_Warehouse_Ledger'!$A47="","",'01_Warehouse_Ledger'!$A47)</f>
        <v>WH-Z1-AisleC-Bay1-Level3</v>
      </c>
    </row>
    <row r="48" spans="9:12">
      <c r="I48" t="str">
        <f>IF(OR($A48="",$B48=""),"",IF(COUNTIFS($A$2:$A48,$A48,$B$2:$B48,$B48)=1,1,0))</f>
        <v/>
      </c>
      <c r="J48" t="str">
        <f t="shared" si="0"/>
        <v/>
      </c>
      <c r="L48" t="str">
        <f>IF('01_Warehouse_Ledger'!$A48="","",'01_Warehouse_Ledger'!$A48)</f>
        <v>WH-Z1-AisleC-Bay1-Level4</v>
      </c>
    </row>
    <row r="49" spans="9:12">
      <c r="I49" t="str">
        <f>IF(OR($A49="",$B49=""),"",IF(COUNTIFS($A$2:$A49,$A49,$B$2:$B49,$B49)=1,1,0))</f>
        <v/>
      </c>
      <c r="J49" t="str">
        <f t="shared" si="0"/>
        <v/>
      </c>
      <c r="L49" t="str">
        <f>IF('01_Warehouse_Ledger'!$A49="","",'01_Warehouse_Ledger'!$A49)</f>
        <v>WH-Z1-AisleC-Bay1-Level5</v>
      </c>
    </row>
    <row r="50" spans="9:12">
      <c r="I50" t="str">
        <f>IF(OR($A50="",$B50=""),"",IF(COUNTIFS($A$2:$A50,$A50,$B$2:$B50,$B50)=1,1,0))</f>
        <v/>
      </c>
      <c r="J50" t="str">
        <f t="shared" si="0"/>
        <v/>
      </c>
      <c r="L50" t="str">
        <f>IF('01_Warehouse_Ledger'!$A50="","",'01_Warehouse_Ledger'!$A50)</f>
        <v>WH-Z1-AisleC-Bay1-Level6</v>
      </c>
    </row>
    <row r="51" spans="9:12">
      <c r="I51" t="str">
        <f>IF(OR($A51="",$B51=""),"",IF(COUNTIFS($A$2:$A51,$A51,$B$2:$B51,$B51)=1,1,0))</f>
        <v/>
      </c>
      <c r="J51" t="str">
        <f t="shared" si="0"/>
        <v/>
      </c>
      <c r="L51" t="str">
        <f>IF('01_Warehouse_Ledger'!$A51="","",'01_Warehouse_Ledger'!$A51)</f>
        <v>OVERFLOW-SAMPLE-PO1049-CAT5-PAL050</v>
      </c>
    </row>
    <row r="52" spans="9:12">
      <c r="I52" t="str">
        <f>IF(OR($A52="",$B52=""),"",IF(COUNTIFS($A$2:$A52,$A52,$B$2:$B52,$B52)=1,1,0))</f>
        <v/>
      </c>
      <c r="J52" t="str">
        <f t="shared" si="0"/>
        <v/>
      </c>
      <c r="L52" t="str">
        <f>IF('01_Warehouse_Ledger'!$A52="","",'01_Warehouse_Ledger'!$A52)</f>
        <v>WH-Z1-AisleC-Bay1-Level8</v>
      </c>
    </row>
    <row r="53" spans="9:12">
      <c r="I53" t="str">
        <f>IF(OR($A53="",$B53=""),"",IF(COUNTIFS($A$2:$A53,$A53,$B$2:$B53,$B53)=1,1,0))</f>
        <v/>
      </c>
      <c r="J53" t="str">
        <f t="shared" si="0"/>
        <v/>
      </c>
      <c r="L53" t="str">
        <f>IF('01_Warehouse_Ledger'!$A53="","",'01_Warehouse_Ledger'!$A53)</f>
        <v>WH-Z1-AisleC-Bay1-Level9</v>
      </c>
    </row>
    <row r="54" spans="9:12">
      <c r="I54" t="str">
        <f>IF(OR($A54="",$B54=""),"",IF(COUNTIFS($A$2:$A54,$A54,$B$2:$B54,$B54)=1,1,0))</f>
        <v/>
      </c>
      <c r="J54" t="str">
        <f t="shared" si="0"/>
        <v/>
      </c>
      <c r="L54" t="str">
        <f>IF('01_Warehouse_Ledger'!$A54="","",'01_Warehouse_Ledger'!$A54)</f>
        <v>WH-Z1-AisleC-Bay1-Level10</v>
      </c>
    </row>
    <row r="55" spans="9:12">
      <c r="I55" t="str">
        <f>IF(OR($A55="",$B55=""),"",IF(COUNTIFS($A$2:$A55,$A55,$B$2:$B55,$B55)=1,1,0))</f>
        <v/>
      </c>
      <c r="J55" t="str">
        <f t="shared" si="0"/>
        <v/>
      </c>
      <c r="L55" t="str">
        <f>IF('01_Warehouse_Ledger'!$A55="","",'01_Warehouse_Ledger'!$A55)</f>
        <v>WH-Z1-AisleC-Bay1-Level11</v>
      </c>
    </row>
    <row r="56" spans="9:12">
      <c r="I56" t="str">
        <f>IF(OR($A56="",$B56=""),"",IF(COUNTIFS($A$2:$A56,$A56,$B$2:$B56,$B56)=1,1,0))</f>
        <v/>
      </c>
      <c r="J56" t="str">
        <f t="shared" si="0"/>
        <v/>
      </c>
      <c r="L56" t="str">
        <f>IF('01_Warehouse_Ledger'!$A56="","",'01_Warehouse_Ledger'!$A56)</f>
        <v>WH-Z1-AisleC-Bay1-Level12</v>
      </c>
    </row>
    <row r="57" spans="9:12">
      <c r="I57" t="str">
        <f>IF(OR($A57="",$B57=""),"",IF(COUNTIFS($A$2:$A57,$A57,$B$2:$B57,$B57)=1,1,0))</f>
        <v/>
      </c>
      <c r="J57" t="str">
        <f t="shared" si="0"/>
        <v/>
      </c>
      <c r="L57" t="str">
        <f>IF('01_Warehouse_Ledger'!$A57="","",'01_Warehouse_Ledger'!$A57)</f>
        <v>WH-Z1-AisleC-Bay1-Level13</v>
      </c>
    </row>
    <row r="58" spans="9:12">
      <c r="I58" t="str">
        <f>IF(OR($A58="",$B58=""),"",IF(COUNTIFS($A$2:$A58,$A58,$B$2:$B58,$B58)=1,1,0))</f>
        <v/>
      </c>
      <c r="J58" t="str">
        <f t="shared" si="0"/>
        <v/>
      </c>
      <c r="L58" t="str">
        <f>IF('01_Warehouse_Ledger'!$A58="","",'01_Warehouse_Ledger'!$A58)</f>
        <v>OVERFLOW-SAMPLE-PO1056-CAT2-PAL057</v>
      </c>
    </row>
    <row r="59" spans="9:12">
      <c r="I59" t="str">
        <f>IF(OR($A59="",$B59=""),"",IF(COUNTIFS($A$2:$A59,$A59,$B$2:$B59,$B59)=1,1,0))</f>
        <v/>
      </c>
      <c r="J59" t="str">
        <f t="shared" si="0"/>
        <v/>
      </c>
      <c r="L59" t="str">
        <f>IF('01_Warehouse_Ledger'!$A59="","",'01_Warehouse_Ledger'!$A59)</f>
        <v>WH-Z1-AisleC-Bay1-Level15</v>
      </c>
    </row>
    <row r="60" spans="9:12">
      <c r="I60" t="str">
        <f>IF(OR($A60="",$B60=""),"",IF(COUNTIFS($A$2:$A60,$A60,$B$2:$B60,$B60)=1,1,0))</f>
        <v/>
      </c>
      <c r="J60" t="str">
        <f t="shared" si="0"/>
        <v/>
      </c>
      <c r="L60" t="str">
        <f>IF('01_Warehouse_Ledger'!$A60="","",'01_Warehouse_Ledger'!$A60)</f>
        <v>WH-Z1-AisleC-Bay1-Level16</v>
      </c>
    </row>
    <row r="61" spans="9:12">
      <c r="I61" t="str">
        <f>IF(OR($A61="",$B61=""),"",IF(COUNTIFS($A$2:$A61,$A61,$B$2:$B61,$B61)=1,1,0))</f>
        <v/>
      </c>
      <c r="J61" t="str">
        <f t="shared" si="0"/>
        <v/>
      </c>
      <c r="L61" t="str">
        <f>IF('01_Warehouse_Ledger'!$A61="","",'01_Warehouse_Ledger'!$A61)</f>
        <v>WH-Z1-AisleC-Bay1-Level17</v>
      </c>
    </row>
    <row r="62" spans="9:12">
      <c r="I62" t="str">
        <f>IF(OR($A62="",$B62=""),"",IF(COUNTIFS($A$2:$A62,$A62,$B$2:$B62,$B62)=1,1,0))</f>
        <v/>
      </c>
      <c r="J62" t="str">
        <f t="shared" si="0"/>
        <v/>
      </c>
      <c r="L62" t="str">
        <f>IF('01_Warehouse_Ledger'!$A62="","",'01_Warehouse_Ledger'!$A62)</f>
        <v>PAL-0000062</v>
      </c>
    </row>
    <row r="63" spans="9:12">
      <c r="I63" t="str">
        <f>IF(OR($A63="",$B63=""),"",IF(COUNTIFS($A$2:$A63,$A63,$B$2:$B63,$B63)=1,1,0))</f>
        <v/>
      </c>
      <c r="J63" t="str">
        <f t="shared" si="0"/>
        <v/>
      </c>
      <c r="L63" t="str">
        <f>IF('01_Warehouse_Ledger'!$A63="","",'01_Warehouse_Ledger'!$A63)</f>
        <v>PAL-0000063</v>
      </c>
    </row>
    <row r="64" spans="9:12">
      <c r="I64" t="str">
        <f>IF(OR($A64="",$B64=""),"",IF(COUNTIFS($A$2:$A64,$A64,$B$2:$B64,$B64)=1,1,0))</f>
        <v/>
      </c>
      <c r="J64" t="str">
        <f t="shared" si="0"/>
        <v/>
      </c>
      <c r="L64" t="str">
        <f>IF('01_Warehouse_Ledger'!$A64="","",'01_Warehouse_Ledger'!$A64)</f>
        <v>PAL-0000064</v>
      </c>
    </row>
    <row r="65" spans="9:12">
      <c r="I65" t="str">
        <f>IF(OR($A65="",$B65=""),"",IF(COUNTIFS($A$2:$A65,$A65,$B$2:$B65,$B65)=1,1,0))</f>
        <v/>
      </c>
      <c r="J65" t="str">
        <f t="shared" si="0"/>
        <v/>
      </c>
      <c r="L65" t="str">
        <f>IF('01_Warehouse_Ledger'!$A65="","",'01_Warehouse_Ledger'!$A65)</f>
        <v>PAL-0000065</v>
      </c>
    </row>
    <row r="66" spans="9:12">
      <c r="I66" t="str">
        <f>IF(OR($A66="",$B66=""),"",IF(COUNTIFS($A$2:$A66,$A66,$B$2:$B66,$B66)=1,1,0))</f>
        <v/>
      </c>
      <c r="J66" t="str">
        <f t="shared" ref="J66:J129" si="1">IF($A66="","",ROW())</f>
        <v/>
      </c>
      <c r="L66" t="str">
        <f>IF('01_Warehouse_Ledger'!$A66="","",'01_Warehouse_Ledger'!$A66)</f>
        <v>PAL-0000066</v>
      </c>
    </row>
    <row r="67" spans="9:12">
      <c r="I67" t="str">
        <f>IF(OR($A67="",$B67=""),"",IF(COUNTIFS($A$2:$A67,$A67,$B$2:$B67,$B67)=1,1,0))</f>
        <v/>
      </c>
      <c r="J67" t="str">
        <f t="shared" si="1"/>
        <v/>
      </c>
      <c r="L67" t="str">
        <f>IF('01_Warehouse_Ledger'!$A67="","",'01_Warehouse_Ledger'!$A67)</f>
        <v>PAL-0000067</v>
      </c>
    </row>
    <row r="68" spans="9:12">
      <c r="I68" t="str">
        <f>IF(OR($A68="",$B68=""),"",IF(COUNTIFS($A$2:$A68,$A68,$B$2:$B68,$B68)=1,1,0))</f>
        <v/>
      </c>
      <c r="J68" t="str">
        <f t="shared" si="1"/>
        <v/>
      </c>
      <c r="L68" t="str">
        <f>IF('01_Warehouse_Ledger'!$A68="","",'01_Warehouse_Ledger'!$A68)</f>
        <v>PAL-0000068</v>
      </c>
    </row>
    <row r="69" spans="9:12">
      <c r="I69" t="str">
        <f>IF(OR($A69="",$B69=""),"",IF(COUNTIFS($A$2:$A69,$A69,$B$2:$B69,$B69)=1,1,0))</f>
        <v/>
      </c>
      <c r="J69" t="str">
        <f t="shared" si="1"/>
        <v/>
      </c>
      <c r="L69" t="str">
        <f>IF('01_Warehouse_Ledger'!$A69="","",'01_Warehouse_Ledger'!$A69)</f>
        <v>PAL-0000069</v>
      </c>
    </row>
    <row r="70" spans="9:12">
      <c r="I70" t="str">
        <f>IF(OR($A70="",$B70=""),"",IF(COUNTIFS($A$2:$A70,$A70,$B$2:$B70,$B70)=1,1,0))</f>
        <v/>
      </c>
      <c r="J70" t="str">
        <f t="shared" si="1"/>
        <v/>
      </c>
      <c r="L70" t="str">
        <f>IF('01_Warehouse_Ledger'!$A70="","",'01_Warehouse_Ledger'!$A70)</f>
        <v>PAL-0000070</v>
      </c>
    </row>
    <row r="71" spans="9:12">
      <c r="I71" t="str">
        <f>IF(OR($A71="",$B71=""),"",IF(COUNTIFS($A$2:$A71,$A71,$B$2:$B71,$B71)=1,1,0))</f>
        <v/>
      </c>
      <c r="J71" t="str">
        <f t="shared" si="1"/>
        <v/>
      </c>
      <c r="L71" t="str">
        <f>IF('01_Warehouse_Ledger'!$A71="","",'01_Warehouse_Ledger'!$A71)</f>
        <v>PAL-0000071</v>
      </c>
    </row>
    <row r="72" spans="9:12">
      <c r="I72" t="str">
        <f>IF(OR($A72="",$B72=""),"",IF(COUNTIFS($A$2:$A72,$A72,$B$2:$B72,$B72)=1,1,0))</f>
        <v/>
      </c>
      <c r="J72" t="str">
        <f t="shared" si="1"/>
        <v/>
      </c>
      <c r="L72" t="str">
        <f>IF('01_Warehouse_Ledger'!$A72="","",'01_Warehouse_Ledger'!$A72)</f>
        <v>PAL-0000072</v>
      </c>
    </row>
    <row r="73" spans="9:12">
      <c r="I73" t="str">
        <f>IF(OR($A73="",$B73=""),"",IF(COUNTIFS($A$2:$A73,$A73,$B$2:$B73,$B73)=1,1,0))</f>
        <v/>
      </c>
      <c r="J73" t="str">
        <f t="shared" si="1"/>
        <v/>
      </c>
      <c r="L73" t="str">
        <f>IF('01_Warehouse_Ledger'!$A73="","",'01_Warehouse_Ledger'!$A73)</f>
        <v>PAL-0000073</v>
      </c>
    </row>
    <row r="74" spans="9:12">
      <c r="I74" t="str">
        <f>IF(OR($A74="",$B74=""),"",IF(COUNTIFS($A$2:$A74,$A74,$B$2:$B74,$B74)=1,1,0))</f>
        <v/>
      </c>
      <c r="J74" t="str">
        <f t="shared" si="1"/>
        <v/>
      </c>
      <c r="L74" t="str">
        <f>IF('01_Warehouse_Ledger'!$A74="","",'01_Warehouse_Ledger'!$A74)</f>
        <v>PAL-0000074</v>
      </c>
    </row>
    <row r="75" spans="9:12">
      <c r="I75" t="str">
        <f>IF(OR($A75="",$B75=""),"",IF(COUNTIFS($A$2:$A75,$A75,$B$2:$B75,$B75)=1,1,0))</f>
        <v/>
      </c>
      <c r="J75" t="str">
        <f t="shared" si="1"/>
        <v/>
      </c>
      <c r="L75" t="str">
        <f>IF('01_Warehouse_Ledger'!$A75="","",'01_Warehouse_Ledger'!$A75)</f>
        <v>PAL-0000075</v>
      </c>
    </row>
    <row r="76" spans="9:12">
      <c r="I76" t="str">
        <f>IF(OR($A76="",$B76=""),"",IF(COUNTIFS($A$2:$A76,$A76,$B$2:$B76,$B76)=1,1,0))</f>
        <v/>
      </c>
      <c r="J76" t="str">
        <f t="shared" si="1"/>
        <v/>
      </c>
      <c r="L76" t="str">
        <f>IF('01_Warehouse_Ledger'!$A76="","",'01_Warehouse_Ledger'!$A76)</f>
        <v>PAL-0000076</v>
      </c>
    </row>
    <row r="77" spans="9:12">
      <c r="I77" t="str">
        <f>IF(OR($A77="",$B77=""),"",IF(COUNTIFS($A$2:$A77,$A77,$B$2:$B77,$B77)=1,1,0))</f>
        <v/>
      </c>
      <c r="J77" t="str">
        <f t="shared" si="1"/>
        <v/>
      </c>
      <c r="L77" t="str">
        <f>IF('01_Warehouse_Ledger'!$A77="","",'01_Warehouse_Ledger'!$A77)</f>
        <v>PAL-0000077</v>
      </c>
    </row>
    <row r="78" spans="9:12">
      <c r="I78" t="str">
        <f>IF(OR($A78="",$B78=""),"",IF(COUNTIFS($A$2:$A78,$A78,$B$2:$B78,$B78)=1,1,0))</f>
        <v/>
      </c>
      <c r="J78" t="str">
        <f t="shared" si="1"/>
        <v/>
      </c>
      <c r="L78" t="str">
        <f>IF('01_Warehouse_Ledger'!$A78="","",'01_Warehouse_Ledger'!$A78)</f>
        <v>PAL-0000078</v>
      </c>
    </row>
    <row r="79" spans="9:12">
      <c r="I79" t="str">
        <f>IF(OR($A79="",$B79=""),"",IF(COUNTIFS($A$2:$A79,$A79,$B$2:$B79,$B79)=1,1,0))</f>
        <v/>
      </c>
      <c r="J79" t="str">
        <f t="shared" si="1"/>
        <v/>
      </c>
      <c r="L79" t="str">
        <f>IF('01_Warehouse_Ledger'!$A79="","",'01_Warehouse_Ledger'!$A79)</f>
        <v>PAL-0000079</v>
      </c>
    </row>
    <row r="80" spans="9:12">
      <c r="I80" t="str">
        <f>IF(OR($A80="",$B80=""),"",IF(COUNTIFS($A$2:$A80,$A80,$B$2:$B80,$B80)=1,1,0))</f>
        <v/>
      </c>
      <c r="J80" t="str">
        <f t="shared" si="1"/>
        <v/>
      </c>
      <c r="L80" t="str">
        <f>IF('01_Warehouse_Ledger'!$A80="","",'01_Warehouse_Ledger'!$A80)</f>
        <v>PAL-0000080</v>
      </c>
    </row>
    <row r="81" spans="9:12">
      <c r="I81" t="str">
        <f>IF(OR($A81="",$B81=""),"",IF(COUNTIFS($A$2:$A81,$A81,$B$2:$B81,$B81)=1,1,0))</f>
        <v/>
      </c>
      <c r="J81" t="str">
        <f t="shared" si="1"/>
        <v/>
      </c>
      <c r="L81" t="str">
        <f>IF('01_Warehouse_Ledger'!$A81="","",'01_Warehouse_Ledger'!$A81)</f>
        <v>PAL-0000081</v>
      </c>
    </row>
    <row r="82" spans="9:12">
      <c r="I82" t="str">
        <f>IF(OR($A82="",$B82=""),"",IF(COUNTIFS($A$2:$A82,$A82,$B$2:$B82,$B82)=1,1,0))</f>
        <v/>
      </c>
      <c r="J82" t="str">
        <f t="shared" si="1"/>
        <v/>
      </c>
      <c r="L82" t="str">
        <f>IF('01_Warehouse_Ledger'!$A82="","",'01_Warehouse_Ledger'!$A82)</f>
        <v>PAL-0000082</v>
      </c>
    </row>
    <row r="83" spans="9:12">
      <c r="I83" t="str">
        <f>IF(OR($A83="",$B83=""),"",IF(COUNTIFS($A$2:$A83,$A83,$B$2:$B83,$B83)=1,1,0))</f>
        <v/>
      </c>
      <c r="J83" t="str">
        <f t="shared" si="1"/>
        <v/>
      </c>
      <c r="L83" t="str">
        <f>IF('01_Warehouse_Ledger'!$A83="","",'01_Warehouse_Ledger'!$A83)</f>
        <v>PAL-0000083</v>
      </c>
    </row>
    <row r="84" spans="9:12">
      <c r="I84" t="str">
        <f>IF(OR($A84="",$B84=""),"",IF(COUNTIFS($A$2:$A84,$A84,$B$2:$B84,$B84)=1,1,0))</f>
        <v/>
      </c>
      <c r="J84" t="str">
        <f t="shared" si="1"/>
        <v/>
      </c>
      <c r="L84" t="str">
        <f>IF('01_Warehouse_Ledger'!$A84="","",'01_Warehouse_Ledger'!$A84)</f>
        <v>PAL-0000084</v>
      </c>
    </row>
    <row r="85" spans="9:12">
      <c r="I85" t="str">
        <f>IF(OR($A85="",$B85=""),"",IF(COUNTIFS($A$2:$A85,$A85,$B$2:$B85,$B85)=1,1,0))</f>
        <v/>
      </c>
      <c r="J85" t="str">
        <f t="shared" si="1"/>
        <v/>
      </c>
      <c r="L85" t="str">
        <f>IF('01_Warehouse_Ledger'!$A85="","",'01_Warehouse_Ledger'!$A85)</f>
        <v>PAL-0000085</v>
      </c>
    </row>
    <row r="86" spans="9:12">
      <c r="I86" t="str">
        <f>IF(OR($A86="",$B86=""),"",IF(COUNTIFS($A$2:$A86,$A86,$B$2:$B86,$B86)=1,1,0))</f>
        <v/>
      </c>
      <c r="J86" t="str">
        <f t="shared" si="1"/>
        <v/>
      </c>
      <c r="L86" t="str">
        <f>IF('01_Warehouse_Ledger'!$A86="","",'01_Warehouse_Ledger'!$A86)</f>
        <v>PAL-0000086</v>
      </c>
    </row>
    <row r="87" spans="9:12">
      <c r="I87" t="str">
        <f>IF(OR($A87="",$B87=""),"",IF(COUNTIFS($A$2:$A87,$A87,$B$2:$B87,$B87)=1,1,0))</f>
        <v/>
      </c>
      <c r="J87" t="str">
        <f t="shared" si="1"/>
        <v/>
      </c>
      <c r="L87" t="str">
        <f>IF('01_Warehouse_Ledger'!$A87="","",'01_Warehouse_Ledger'!$A87)</f>
        <v>PAL-0000087</v>
      </c>
    </row>
    <row r="88" spans="9:12">
      <c r="I88" t="str">
        <f>IF(OR($A88="",$B88=""),"",IF(COUNTIFS($A$2:$A88,$A88,$B$2:$B88,$B88)=1,1,0))</f>
        <v/>
      </c>
      <c r="J88" t="str">
        <f t="shared" si="1"/>
        <v/>
      </c>
      <c r="L88" t="str">
        <f>IF('01_Warehouse_Ledger'!$A88="","",'01_Warehouse_Ledger'!$A88)</f>
        <v>PAL-0000088</v>
      </c>
    </row>
    <row r="89" spans="9:12">
      <c r="I89" t="str">
        <f>IF(OR($A89="",$B89=""),"",IF(COUNTIFS($A$2:$A89,$A89,$B$2:$B89,$B89)=1,1,0))</f>
        <v/>
      </c>
      <c r="J89" t="str">
        <f t="shared" si="1"/>
        <v/>
      </c>
      <c r="L89" t="str">
        <f>IF('01_Warehouse_Ledger'!$A89="","",'01_Warehouse_Ledger'!$A89)</f>
        <v>PAL-0000089</v>
      </c>
    </row>
    <row r="90" spans="9:12">
      <c r="I90" t="str">
        <f>IF(OR($A90="",$B90=""),"",IF(COUNTIFS($A$2:$A90,$A90,$B$2:$B90,$B90)=1,1,0))</f>
        <v/>
      </c>
      <c r="J90" t="str">
        <f t="shared" si="1"/>
        <v/>
      </c>
      <c r="L90" t="str">
        <f>IF('01_Warehouse_Ledger'!$A90="","",'01_Warehouse_Ledger'!$A90)</f>
        <v>PAL-0000090</v>
      </c>
    </row>
    <row r="91" spans="9:12">
      <c r="I91" t="str">
        <f>IF(OR($A91="",$B91=""),"",IF(COUNTIFS($A$2:$A91,$A91,$B$2:$B91,$B91)=1,1,0))</f>
        <v/>
      </c>
      <c r="J91" t="str">
        <f t="shared" si="1"/>
        <v/>
      </c>
      <c r="L91" t="str">
        <f>IF('01_Warehouse_Ledger'!$A91="","",'01_Warehouse_Ledger'!$A91)</f>
        <v>PAL-0000091</v>
      </c>
    </row>
    <row r="92" spans="9:12">
      <c r="I92" t="str">
        <f>IF(OR($A92="",$B92=""),"",IF(COUNTIFS($A$2:$A92,$A92,$B$2:$B92,$B92)=1,1,0))</f>
        <v/>
      </c>
      <c r="J92" t="str">
        <f t="shared" si="1"/>
        <v/>
      </c>
      <c r="L92" t="str">
        <f>IF('01_Warehouse_Ledger'!$A92="","",'01_Warehouse_Ledger'!$A92)</f>
        <v>PAL-0000092</v>
      </c>
    </row>
    <row r="93" spans="9:12">
      <c r="I93" t="str">
        <f>IF(OR($A93="",$B93=""),"",IF(COUNTIFS($A$2:$A93,$A93,$B$2:$B93,$B93)=1,1,0))</f>
        <v/>
      </c>
      <c r="J93" t="str">
        <f t="shared" si="1"/>
        <v/>
      </c>
      <c r="L93" t="str">
        <f>IF('01_Warehouse_Ledger'!$A93="","",'01_Warehouse_Ledger'!$A93)</f>
        <v>PAL-0000093</v>
      </c>
    </row>
    <row r="94" spans="9:12">
      <c r="I94" t="str">
        <f>IF(OR($A94="",$B94=""),"",IF(COUNTIFS($A$2:$A94,$A94,$B$2:$B94,$B94)=1,1,0))</f>
        <v/>
      </c>
      <c r="J94" t="str">
        <f t="shared" si="1"/>
        <v/>
      </c>
      <c r="L94" t="str">
        <f>IF('01_Warehouse_Ledger'!$A94="","",'01_Warehouse_Ledger'!$A94)</f>
        <v>PAL-0000094</v>
      </c>
    </row>
    <row r="95" spans="9:12">
      <c r="I95" t="str">
        <f>IF(OR($A95="",$B95=""),"",IF(COUNTIFS($A$2:$A95,$A95,$B$2:$B95,$B95)=1,1,0))</f>
        <v/>
      </c>
      <c r="J95" t="str">
        <f t="shared" si="1"/>
        <v/>
      </c>
      <c r="L95" t="str">
        <f>IF('01_Warehouse_Ledger'!$A95="","",'01_Warehouse_Ledger'!$A95)</f>
        <v>PAL-0000095</v>
      </c>
    </row>
    <row r="96" spans="9:12">
      <c r="I96" t="str">
        <f>IF(OR($A96="",$B96=""),"",IF(COUNTIFS($A$2:$A96,$A96,$B$2:$B96,$B96)=1,1,0))</f>
        <v/>
      </c>
      <c r="J96" t="str">
        <f t="shared" si="1"/>
        <v/>
      </c>
      <c r="L96" t="str">
        <f>IF('01_Warehouse_Ledger'!$A96="","",'01_Warehouse_Ledger'!$A96)</f>
        <v>PAL-0000096</v>
      </c>
    </row>
    <row r="97" spans="9:12">
      <c r="I97" t="str">
        <f>IF(OR($A97="",$B97=""),"",IF(COUNTIFS($A$2:$A97,$A97,$B$2:$B97,$B97)=1,1,0))</f>
        <v/>
      </c>
      <c r="J97" t="str">
        <f t="shared" si="1"/>
        <v/>
      </c>
      <c r="L97" t="str">
        <f>IF('01_Warehouse_Ledger'!$A97="","",'01_Warehouse_Ledger'!$A97)</f>
        <v>PAL-0000097</v>
      </c>
    </row>
    <row r="98" spans="9:12">
      <c r="I98" t="str">
        <f>IF(OR($A98="",$B98=""),"",IF(COUNTIFS($A$2:$A98,$A98,$B$2:$B98,$B98)=1,1,0))</f>
        <v/>
      </c>
      <c r="J98" t="str">
        <f t="shared" si="1"/>
        <v/>
      </c>
      <c r="L98" t="str">
        <f>IF('01_Warehouse_Ledger'!$A98="","",'01_Warehouse_Ledger'!$A98)</f>
        <v>PAL-0000098</v>
      </c>
    </row>
    <row r="99" spans="9:12">
      <c r="I99" t="str">
        <f>IF(OR($A99="",$B99=""),"",IF(COUNTIFS($A$2:$A99,$A99,$B$2:$B99,$B99)=1,1,0))</f>
        <v/>
      </c>
      <c r="J99" t="str">
        <f t="shared" si="1"/>
        <v/>
      </c>
      <c r="L99" t="str">
        <f>IF('01_Warehouse_Ledger'!$A99="","",'01_Warehouse_Ledger'!$A99)</f>
        <v>PAL-0000099</v>
      </c>
    </row>
    <row r="100" spans="9:12">
      <c r="I100" t="str">
        <f>IF(OR($A100="",$B100=""),"",IF(COUNTIFS($A$2:$A100,$A100,$B$2:$B100,$B100)=1,1,0))</f>
        <v/>
      </c>
      <c r="J100" t="str">
        <f t="shared" si="1"/>
        <v/>
      </c>
      <c r="L100" t="str">
        <f>IF('01_Warehouse_Ledger'!$A100="","",'01_Warehouse_Ledger'!$A100)</f>
        <v>PAL-0000100</v>
      </c>
    </row>
    <row r="101" spans="9:12">
      <c r="I101" t="str">
        <f>IF(OR($A101="",$B101=""),"",IF(COUNTIFS($A$2:$A101,$A101,$B$2:$B101,$B101)=1,1,0))</f>
        <v/>
      </c>
      <c r="J101" t="str">
        <f t="shared" si="1"/>
        <v/>
      </c>
      <c r="L101" t="str">
        <f>IF('01_Warehouse_Ledger'!$A101="","",'01_Warehouse_Ledger'!$A101)</f>
        <v>PAL-0000101</v>
      </c>
    </row>
    <row r="102" spans="9:12">
      <c r="I102" t="str">
        <f>IF(OR($A102="",$B102=""),"",IF(COUNTIFS($A$2:$A102,$A102,$B$2:$B102,$B102)=1,1,0))</f>
        <v/>
      </c>
      <c r="J102" t="str">
        <f t="shared" si="1"/>
        <v/>
      </c>
      <c r="L102" t="str">
        <f>IF('01_Warehouse_Ledger'!$A102="","",'01_Warehouse_Ledger'!$A102)</f>
        <v>PAL-0000102</v>
      </c>
    </row>
    <row r="103" spans="9:12">
      <c r="I103" t="str">
        <f>IF(OR($A103="",$B103=""),"",IF(COUNTIFS($A$2:$A103,$A103,$B$2:$B103,$B103)=1,1,0))</f>
        <v/>
      </c>
      <c r="J103" t="str">
        <f t="shared" si="1"/>
        <v/>
      </c>
      <c r="L103" t="str">
        <f>IF('01_Warehouse_Ledger'!$A103="","",'01_Warehouse_Ledger'!$A103)</f>
        <v>PAL-0000103</v>
      </c>
    </row>
    <row r="104" spans="9:12">
      <c r="I104" t="str">
        <f>IF(OR($A104="",$B104=""),"",IF(COUNTIFS($A$2:$A104,$A104,$B$2:$B104,$B104)=1,1,0))</f>
        <v/>
      </c>
      <c r="J104" t="str">
        <f t="shared" si="1"/>
        <v/>
      </c>
      <c r="L104" t="str">
        <f>IF('01_Warehouse_Ledger'!$A104="","",'01_Warehouse_Ledger'!$A104)</f>
        <v>PAL-0000104</v>
      </c>
    </row>
    <row r="105" spans="9:12">
      <c r="I105" t="str">
        <f>IF(OR($A105="",$B105=""),"",IF(COUNTIFS($A$2:$A105,$A105,$B$2:$B105,$B105)=1,1,0))</f>
        <v/>
      </c>
      <c r="J105" t="str">
        <f t="shared" si="1"/>
        <v/>
      </c>
      <c r="L105" t="str">
        <f>IF('01_Warehouse_Ledger'!$A105="","",'01_Warehouse_Ledger'!$A105)</f>
        <v>PAL-0000105</v>
      </c>
    </row>
    <row r="106" spans="9:12">
      <c r="I106" t="str">
        <f>IF(OR($A106="",$B106=""),"",IF(COUNTIFS($A$2:$A106,$A106,$B$2:$B106,$B106)=1,1,0))</f>
        <v/>
      </c>
      <c r="J106" t="str">
        <f t="shared" si="1"/>
        <v/>
      </c>
      <c r="L106" t="str">
        <f>IF('01_Warehouse_Ledger'!$A106="","",'01_Warehouse_Ledger'!$A106)</f>
        <v>PAL-0000106</v>
      </c>
    </row>
    <row r="107" spans="9:12">
      <c r="I107" t="str">
        <f>IF(OR($A107="",$B107=""),"",IF(COUNTIFS($A$2:$A107,$A107,$B$2:$B107,$B107)=1,1,0))</f>
        <v/>
      </c>
      <c r="J107" t="str">
        <f t="shared" si="1"/>
        <v/>
      </c>
      <c r="L107" t="str">
        <f>IF('01_Warehouse_Ledger'!$A107="","",'01_Warehouse_Ledger'!$A107)</f>
        <v>PAL-0000107</v>
      </c>
    </row>
    <row r="108" spans="9:12">
      <c r="I108" t="str">
        <f>IF(OR($A108="",$B108=""),"",IF(COUNTIFS($A$2:$A108,$A108,$B$2:$B108,$B108)=1,1,0))</f>
        <v/>
      </c>
      <c r="J108" t="str">
        <f t="shared" si="1"/>
        <v/>
      </c>
      <c r="L108" t="str">
        <f>IF('01_Warehouse_Ledger'!$A108="","",'01_Warehouse_Ledger'!$A108)</f>
        <v>PAL-0000108</v>
      </c>
    </row>
    <row r="109" spans="9:12">
      <c r="I109" t="str">
        <f>IF(OR($A109="",$B109=""),"",IF(COUNTIFS($A$2:$A109,$A109,$B$2:$B109,$B109)=1,1,0))</f>
        <v/>
      </c>
      <c r="J109" t="str">
        <f t="shared" si="1"/>
        <v/>
      </c>
      <c r="L109" t="str">
        <f>IF('01_Warehouse_Ledger'!$A109="","",'01_Warehouse_Ledger'!$A109)</f>
        <v>PAL-0000109</v>
      </c>
    </row>
    <row r="110" spans="9:12">
      <c r="I110" t="str">
        <f>IF(OR($A110="",$B110=""),"",IF(COUNTIFS($A$2:$A110,$A110,$B$2:$B110,$B110)=1,1,0))</f>
        <v/>
      </c>
      <c r="J110" t="str">
        <f t="shared" si="1"/>
        <v/>
      </c>
      <c r="L110" t="str">
        <f>IF('01_Warehouse_Ledger'!$A110="","",'01_Warehouse_Ledger'!$A110)</f>
        <v>PAL-0000110</v>
      </c>
    </row>
    <row r="111" spans="9:12">
      <c r="I111" t="str">
        <f>IF(OR($A111="",$B111=""),"",IF(COUNTIFS($A$2:$A111,$A111,$B$2:$B111,$B111)=1,1,0))</f>
        <v/>
      </c>
      <c r="J111" t="str">
        <f t="shared" si="1"/>
        <v/>
      </c>
      <c r="L111" t="str">
        <f>IF('01_Warehouse_Ledger'!$A111="","",'01_Warehouse_Ledger'!$A111)</f>
        <v>PAL-0000111</v>
      </c>
    </row>
    <row r="112" spans="9:12">
      <c r="I112" t="str">
        <f>IF(OR($A112="",$B112=""),"",IF(COUNTIFS($A$2:$A112,$A112,$B$2:$B112,$B112)=1,1,0))</f>
        <v/>
      </c>
      <c r="J112" t="str">
        <f t="shared" si="1"/>
        <v/>
      </c>
      <c r="L112" t="str">
        <f>IF('01_Warehouse_Ledger'!$A112="","",'01_Warehouse_Ledger'!$A112)</f>
        <v>PAL-0000112</v>
      </c>
    </row>
    <row r="113" spans="9:12">
      <c r="I113" t="str">
        <f>IF(OR($A113="",$B113=""),"",IF(COUNTIFS($A$2:$A113,$A113,$B$2:$B113,$B113)=1,1,0))</f>
        <v/>
      </c>
      <c r="J113" t="str">
        <f t="shared" si="1"/>
        <v/>
      </c>
      <c r="L113" t="str">
        <f>IF('01_Warehouse_Ledger'!$A113="","",'01_Warehouse_Ledger'!$A113)</f>
        <v>PAL-0000113</v>
      </c>
    </row>
    <row r="114" spans="9:12">
      <c r="I114" t="str">
        <f>IF(OR($A114="",$B114=""),"",IF(COUNTIFS($A$2:$A114,$A114,$B$2:$B114,$B114)=1,1,0))</f>
        <v/>
      </c>
      <c r="J114" t="str">
        <f t="shared" si="1"/>
        <v/>
      </c>
      <c r="L114" t="str">
        <f>IF('01_Warehouse_Ledger'!$A114="","",'01_Warehouse_Ledger'!$A114)</f>
        <v>PAL-0000114</v>
      </c>
    </row>
    <row r="115" spans="9:12">
      <c r="I115" t="str">
        <f>IF(OR($A115="",$B115=""),"",IF(COUNTIFS($A$2:$A115,$A115,$B$2:$B115,$B115)=1,1,0))</f>
        <v/>
      </c>
      <c r="J115" t="str">
        <f t="shared" si="1"/>
        <v/>
      </c>
      <c r="L115" t="str">
        <f>IF('01_Warehouse_Ledger'!$A115="","",'01_Warehouse_Ledger'!$A115)</f>
        <v>PAL-0000115</v>
      </c>
    </row>
    <row r="116" spans="9:12">
      <c r="I116" t="str">
        <f>IF(OR($A116="",$B116=""),"",IF(COUNTIFS($A$2:$A116,$A116,$B$2:$B116,$B116)=1,1,0))</f>
        <v/>
      </c>
      <c r="J116" t="str">
        <f t="shared" si="1"/>
        <v/>
      </c>
      <c r="L116" t="str">
        <f>IF('01_Warehouse_Ledger'!$A116="","",'01_Warehouse_Ledger'!$A116)</f>
        <v>PAL-0000116</v>
      </c>
    </row>
    <row r="117" spans="9:12">
      <c r="I117" t="str">
        <f>IF(OR($A117="",$B117=""),"",IF(COUNTIFS($A$2:$A117,$A117,$B$2:$B117,$B117)=1,1,0))</f>
        <v/>
      </c>
      <c r="J117" t="str">
        <f t="shared" si="1"/>
        <v/>
      </c>
      <c r="L117" t="str">
        <f>IF('01_Warehouse_Ledger'!$A117="","",'01_Warehouse_Ledger'!$A117)</f>
        <v>PAL-0000117</v>
      </c>
    </row>
    <row r="118" spans="9:12">
      <c r="I118" t="str">
        <f>IF(OR($A118="",$B118=""),"",IF(COUNTIFS($A$2:$A118,$A118,$B$2:$B118,$B118)=1,1,0))</f>
        <v/>
      </c>
      <c r="J118" t="str">
        <f t="shared" si="1"/>
        <v/>
      </c>
      <c r="L118" t="str">
        <f>IF('01_Warehouse_Ledger'!$A118="","",'01_Warehouse_Ledger'!$A118)</f>
        <v>PAL-0000118</v>
      </c>
    </row>
    <row r="119" spans="9:12">
      <c r="I119" t="str">
        <f>IF(OR($A119="",$B119=""),"",IF(COUNTIFS($A$2:$A119,$A119,$B$2:$B119,$B119)=1,1,0))</f>
        <v/>
      </c>
      <c r="J119" t="str">
        <f t="shared" si="1"/>
        <v/>
      </c>
      <c r="L119" t="str">
        <f>IF('01_Warehouse_Ledger'!$A119="","",'01_Warehouse_Ledger'!$A119)</f>
        <v>PAL-0000119</v>
      </c>
    </row>
    <row r="120" spans="9:12">
      <c r="I120" t="str">
        <f>IF(OR($A120="",$B120=""),"",IF(COUNTIFS($A$2:$A120,$A120,$B$2:$B120,$B120)=1,1,0))</f>
        <v/>
      </c>
      <c r="J120" t="str">
        <f t="shared" si="1"/>
        <v/>
      </c>
      <c r="L120" t="str">
        <f>IF('01_Warehouse_Ledger'!$A120="","",'01_Warehouse_Ledger'!$A120)</f>
        <v>PAL-0000120</v>
      </c>
    </row>
    <row r="121" spans="9:12">
      <c r="I121" t="str">
        <f>IF(OR($A121="",$B121=""),"",IF(COUNTIFS($A$2:$A121,$A121,$B$2:$B121,$B121)=1,1,0))</f>
        <v/>
      </c>
      <c r="J121" t="str">
        <f t="shared" si="1"/>
        <v/>
      </c>
      <c r="L121" t="str">
        <f>IF('01_Warehouse_Ledger'!$A121="","",'01_Warehouse_Ledger'!$A121)</f>
        <v>PAL-0000121</v>
      </c>
    </row>
    <row r="122" spans="9:12">
      <c r="I122" t="str">
        <f>IF(OR($A122="",$B122=""),"",IF(COUNTIFS($A$2:$A122,$A122,$B$2:$B122,$B122)=1,1,0))</f>
        <v/>
      </c>
      <c r="J122" t="str">
        <f t="shared" si="1"/>
        <v/>
      </c>
      <c r="L122" t="str">
        <f>IF('01_Warehouse_Ledger'!$A122="","",'01_Warehouse_Ledger'!$A122)</f>
        <v>PAL-0000122</v>
      </c>
    </row>
    <row r="123" spans="9:12">
      <c r="I123" t="str">
        <f>IF(OR($A123="",$B123=""),"",IF(COUNTIFS($A$2:$A123,$A123,$B$2:$B123,$B123)=1,1,0))</f>
        <v/>
      </c>
      <c r="J123" t="str">
        <f t="shared" si="1"/>
        <v/>
      </c>
      <c r="L123" t="str">
        <f>IF('01_Warehouse_Ledger'!$A123="","",'01_Warehouse_Ledger'!$A123)</f>
        <v>PAL-0000123</v>
      </c>
    </row>
    <row r="124" spans="9:12">
      <c r="I124" t="str">
        <f>IF(OR($A124="",$B124=""),"",IF(COUNTIFS($A$2:$A124,$A124,$B$2:$B124,$B124)=1,1,0))</f>
        <v/>
      </c>
      <c r="J124" t="str">
        <f t="shared" si="1"/>
        <v/>
      </c>
      <c r="L124" t="str">
        <f>IF('01_Warehouse_Ledger'!$A124="","",'01_Warehouse_Ledger'!$A124)</f>
        <v>PAL-0000124</v>
      </c>
    </row>
    <row r="125" spans="9:12">
      <c r="I125" t="str">
        <f>IF(OR($A125="",$B125=""),"",IF(COUNTIFS($A$2:$A125,$A125,$B$2:$B125,$B125)=1,1,0))</f>
        <v/>
      </c>
      <c r="J125" t="str">
        <f t="shared" si="1"/>
        <v/>
      </c>
      <c r="L125" t="str">
        <f>IF('01_Warehouse_Ledger'!$A125="","",'01_Warehouse_Ledger'!$A125)</f>
        <v>PAL-0000125</v>
      </c>
    </row>
    <row r="126" spans="9:12">
      <c r="I126" t="str">
        <f>IF(OR($A126="",$B126=""),"",IF(COUNTIFS($A$2:$A126,$A126,$B$2:$B126,$B126)=1,1,0))</f>
        <v/>
      </c>
      <c r="J126" t="str">
        <f t="shared" si="1"/>
        <v/>
      </c>
      <c r="L126" t="str">
        <f>IF('01_Warehouse_Ledger'!$A126="","",'01_Warehouse_Ledger'!$A126)</f>
        <v>PAL-0000126</v>
      </c>
    </row>
    <row r="127" spans="9:12">
      <c r="I127" t="str">
        <f>IF(OR($A127="",$B127=""),"",IF(COUNTIFS($A$2:$A127,$A127,$B$2:$B127,$B127)=1,1,0))</f>
        <v/>
      </c>
      <c r="J127" t="str">
        <f t="shared" si="1"/>
        <v/>
      </c>
      <c r="L127" t="str">
        <f>IF('01_Warehouse_Ledger'!$A127="","",'01_Warehouse_Ledger'!$A127)</f>
        <v>PAL-0000127</v>
      </c>
    </row>
    <row r="128" spans="9:12">
      <c r="I128" t="str">
        <f>IF(OR($A128="",$B128=""),"",IF(COUNTIFS($A$2:$A128,$A128,$B$2:$B128,$B128)=1,1,0))</f>
        <v/>
      </c>
      <c r="J128" t="str">
        <f t="shared" si="1"/>
        <v/>
      </c>
      <c r="L128" t="str">
        <f>IF('01_Warehouse_Ledger'!$A128="","",'01_Warehouse_Ledger'!$A128)</f>
        <v>PAL-0000128</v>
      </c>
    </row>
    <row r="129" spans="9:12">
      <c r="I129" t="str">
        <f>IF(OR($A129="",$B129=""),"",IF(COUNTIFS($A$2:$A129,$A129,$B$2:$B129,$B129)=1,1,0))</f>
        <v/>
      </c>
      <c r="J129" t="str">
        <f t="shared" si="1"/>
        <v/>
      </c>
      <c r="L129" t="str">
        <f>IF('01_Warehouse_Ledger'!$A129="","",'01_Warehouse_Ledger'!$A129)</f>
        <v>PAL-0000129</v>
      </c>
    </row>
    <row r="130" spans="9:12">
      <c r="I130" t="str">
        <f>IF(OR($A130="",$B130=""),"",IF(COUNTIFS($A$2:$A130,$A130,$B$2:$B130,$B130)=1,1,0))</f>
        <v/>
      </c>
      <c r="J130" t="str">
        <f t="shared" ref="J130:J193" si="2">IF($A130="","",ROW())</f>
        <v/>
      </c>
      <c r="L130" t="str">
        <f>IF('01_Warehouse_Ledger'!$A130="","",'01_Warehouse_Ledger'!$A130)</f>
        <v>PAL-0000130</v>
      </c>
    </row>
    <row r="131" spans="9:12">
      <c r="I131" t="str">
        <f>IF(OR($A131="",$B131=""),"",IF(COUNTIFS($A$2:$A131,$A131,$B$2:$B131,$B131)=1,1,0))</f>
        <v/>
      </c>
      <c r="J131" t="str">
        <f t="shared" si="2"/>
        <v/>
      </c>
      <c r="L131" t="str">
        <f>IF('01_Warehouse_Ledger'!$A131="","",'01_Warehouse_Ledger'!$A131)</f>
        <v>PAL-0000131</v>
      </c>
    </row>
    <row r="132" spans="9:12">
      <c r="I132" t="str">
        <f>IF(OR($A132="",$B132=""),"",IF(COUNTIFS($A$2:$A132,$A132,$B$2:$B132,$B132)=1,1,0))</f>
        <v/>
      </c>
      <c r="J132" t="str">
        <f t="shared" si="2"/>
        <v/>
      </c>
      <c r="L132" t="str">
        <f>IF('01_Warehouse_Ledger'!$A132="","",'01_Warehouse_Ledger'!$A132)</f>
        <v>PAL-0000132</v>
      </c>
    </row>
    <row r="133" spans="9:12">
      <c r="I133" t="str">
        <f>IF(OR($A133="",$B133=""),"",IF(COUNTIFS($A$2:$A133,$A133,$B$2:$B133,$B133)=1,1,0))</f>
        <v/>
      </c>
      <c r="J133" t="str">
        <f t="shared" si="2"/>
        <v/>
      </c>
      <c r="L133" t="str">
        <f>IF('01_Warehouse_Ledger'!$A133="","",'01_Warehouse_Ledger'!$A133)</f>
        <v>PAL-0000133</v>
      </c>
    </row>
    <row r="134" spans="9:12">
      <c r="I134" t="str">
        <f>IF(OR($A134="",$B134=""),"",IF(COUNTIFS($A$2:$A134,$A134,$B$2:$B134,$B134)=1,1,0))</f>
        <v/>
      </c>
      <c r="J134" t="str">
        <f t="shared" si="2"/>
        <v/>
      </c>
      <c r="L134" t="str">
        <f>IF('01_Warehouse_Ledger'!$A134="","",'01_Warehouse_Ledger'!$A134)</f>
        <v>PAL-0000134</v>
      </c>
    </row>
    <row r="135" spans="9:12">
      <c r="I135" t="str">
        <f>IF(OR($A135="",$B135=""),"",IF(COUNTIFS($A$2:$A135,$A135,$B$2:$B135,$B135)=1,1,0))</f>
        <v/>
      </c>
      <c r="J135" t="str">
        <f t="shared" si="2"/>
        <v/>
      </c>
      <c r="L135" t="str">
        <f>IF('01_Warehouse_Ledger'!$A135="","",'01_Warehouse_Ledger'!$A135)</f>
        <v>PAL-0000135</v>
      </c>
    </row>
    <row r="136" spans="9:12">
      <c r="I136" t="str">
        <f>IF(OR($A136="",$B136=""),"",IF(COUNTIFS($A$2:$A136,$A136,$B$2:$B136,$B136)=1,1,0))</f>
        <v/>
      </c>
      <c r="J136" t="str">
        <f t="shared" si="2"/>
        <v/>
      </c>
      <c r="L136" t="str">
        <f>IF('01_Warehouse_Ledger'!$A136="","",'01_Warehouse_Ledger'!$A136)</f>
        <v>PAL-0000136</v>
      </c>
    </row>
    <row r="137" spans="9:12">
      <c r="I137" t="str">
        <f>IF(OR($A137="",$B137=""),"",IF(COUNTIFS($A$2:$A137,$A137,$B$2:$B137,$B137)=1,1,0))</f>
        <v/>
      </c>
      <c r="J137" t="str">
        <f t="shared" si="2"/>
        <v/>
      </c>
      <c r="L137" t="str">
        <f>IF('01_Warehouse_Ledger'!$A137="","",'01_Warehouse_Ledger'!$A137)</f>
        <v>PAL-0000137</v>
      </c>
    </row>
    <row r="138" spans="9:12">
      <c r="I138" t="str">
        <f>IF(OR($A138="",$B138=""),"",IF(COUNTIFS($A$2:$A138,$A138,$B$2:$B138,$B138)=1,1,0))</f>
        <v/>
      </c>
      <c r="J138" t="str">
        <f t="shared" si="2"/>
        <v/>
      </c>
      <c r="L138" t="str">
        <f>IF('01_Warehouse_Ledger'!$A138="","",'01_Warehouse_Ledger'!$A138)</f>
        <v>PAL-0000138</v>
      </c>
    </row>
    <row r="139" spans="9:12">
      <c r="I139" t="str">
        <f>IF(OR($A139="",$B139=""),"",IF(COUNTIFS($A$2:$A139,$A139,$B$2:$B139,$B139)=1,1,0))</f>
        <v/>
      </c>
      <c r="J139" t="str">
        <f t="shared" si="2"/>
        <v/>
      </c>
      <c r="L139" t="str">
        <f>IF('01_Warehouse_Ledger'!$A139="","",'01_Warehouse_Ledger'!$A139)</f>
        <v>PAL-0000139</v>
      </c>
    </row>
    <row r="140" spans="9:12">
      <c r="I140" t="str">
        <f>IF(OR($A140="",$B140=""),"",IF(COUNTIFS($A$2:$A140,$A140,$B$2:$B140,$B140)=1,1,0))</f>
        <v/>
      </c>
      <c r="J140" t="str">
        <f t="shared" si="2"/>
        <v/>
      </c>
      <c r="L140" t="str">
        <f>IF('01_Warehouse_Ledger'!$A140="","",'01_Warehouse_Ledger'!$A140)</f>
        <v>PAL-0000140</v>
      </c>
    </row>
    <row r="141" spans="9:12">
      <c r="I141" t="str">
        <f>IF(OR($A141="",$B141=""),"",IF(COUNTIFS($A$2:$A141,$A141,$B$2:$B141,$B141)=1,1,0))</f>
        <v/>
      </c>
      <c r="J141" t="str">
        <f t="shared" si="2"/>
        <v/>
      </c>
      <c r="L141" t="str">
        <f>IF('01_Warehouse_Ledger'!$A141="","",'01_Warehouse_Ledger'!$A141)</f>
        <v>PAL-0000141</v>
      </c>
    </row>
    <row r="142" spans="9:12">
      <c r="I142" t="str">
        <f>IF(OR($A142="",$B142=""),"",IF(COUNTIFS($A$2:$A142,$A142,$B$2:$B142,$B142)=1,1,0))</f>
        <v/>
      </c>
      <c r="J142" t="str">
        <f t="shared" si="2"/>
        <v/>
      </c>
      <c r="L142" t="str">
        <f>IF('01_Warehouse_Ledger'!$A142="","",'01_Warehouse_Ledger'!$A142)</f>
        <v>PAL-0000142</v>
      </c>
    </row>
    <row r="143" spans="9:12">
      <c r="I143" t="str">
        <f>IF(OR($A143="",$B143=""),"",IF(COUNTIFS($A$2:$A143,$A143,$B$2:$B143,$B143)=1,1,0))</f>
        <v/>
      </c>
      <c r="J143" t="str">
        <f t="shared" si="2"/>
        <v/>
      </c>
      <c r="L143" t="str">
        <f>IF('01_Warehouse_Ledger'!$A143="","",'01_Warehouse_Ledger'!$A143)</f>
        <v>PAL-0000143</v>
      </c>
    </row>
    <row r="144" spans="9:12">
      <c r="I144" t="str">
        <f>IF(OR($A144="",$B144=""),"",IF(COUNTIFS($A$2:$A144,$A144,$B$2:$B144,$B144)=1,1,0))</f>
        <v/>
      </c>
      <c r="J144" t="str">
        <f t="shared" si="2"/>
        <v/>
      </c>
      <c r="L144" t="str">
        <f>IF('01_Warehouse_Ledger'!$A144="","",'01_Warehouse_Ledger'!$A144)</f>
        <v>PAL-0000144</v>
      </c>
    </row>
    <row r="145" spans="9:12">
      <c r="I145" t="str">
        <f>IF(OR($A145="",$B145=""),"",IF(COUNTIFS($A$2:$A145,$A145,$B$2:$B145,$B145)=1,1,0))</f>
        <v/>
      </c>
      <c r="J145" t="str">
        <f t="shared" si="2"/>
        <v/>
      </c>
      <c r="L145" t="str">
        <f>IF('01_Warehouse_Ledger'!$A145="","",'01_Warehouse_Ledger'!$A145)</f>
        <v>PAL-0000145</v>
      </c>
    </row>
    <row r="146" spans="9:12">
      <c r="I146" t="str">
        <f>IF(OR($A146="",$B146=""),"",IF(COUNTIFS($A$2:$A146,$A146,$B$2:$B146,$B146)=1,1,0))</f>
        <v/>
      </c>
      <c r="J146" t="str">
        <f t="shared" si="2"/>
        <v/>
      </c>
      <c r="L146" t="str">
        <f>IF('01_Warehouse_Ledger'!$A146="","",'01_Warehouse_Ledger'!$A146)</f>
        <v>PAL-0000146</v>
      </c>
    </row>
    <row r="147" spans="9:12">
      <c r="I147" t="str">
        <f>IF(OR($A147="",$B147=""),"",IF(COUNTIFS($A$2:$A147,$A147,$B$2:$B147,$B147)=1,1,0))</f>
        <v/>
      </c>
      <c r="J147" t="str">
        <f t="shared" si="2"/>
        <v/>
      </c>
      <c r="L147" t="str">
        <f>IF('01_Warehouse_Ledger'!$A147="","",'01_Warehouse_Ledger'!$A147)</f>
        <v>PAL-0000147</v>
      </c>
    </row>
    <row r="148" spans="9:12">
      <c r="I148" t="str">
        <f>IF(OR($A148="",$B148=""),"",IF(COUNTIFS($A$2:$A148,$A148,$B$2:$B148,$B148)=1,1,0))</f>
        <v/>
      </c>
      <c r="J148" t="str">
        <f t="shared" si="2"/>
        <v/>
      </c>
      <c r="L148" t="str">
        <f>IF('01_Warehouse_Ledger'!$A148="","",'01_Warehouse_Ledger'!$A148)</f>
        <v>PAL-0000148</v>
      </c>
    </row>
    <row r="149" spans="9:12">
      <c r="I149" t="str">
        <f>IF(OR($A149="",$B149=""),"",IF(COUNTIFS($A$2:$A149,$A149,$B$2:$B149,$B149)=1,1,0))</f>
        <v/>
      </c>
      <c r="J149" t="str">
        <f t="shared" si="2"/>
        <v/>
      </c>
      <c r="L149" t="str">
        <f>IF('01_Warehouse_Ledger'!$A149="","",'01_Warehouse_Ledger'!$A149)</f>
        <v>PAL-0000149</v>
      </c>
    </row>
    <row r="150" spans="9:12">
      <c r="I150" t="str">
        <f>IF(OR($A150="",$B150=""),"",IF(COUNTIFS($A$2:$A150,$A150,$B$2:$B150,$B150)=1,1,0))</f>
        <v/>
      </c>
      <c r="J150" t="str">
        <f t="shared" si="2"/>
        <v/>
      </c>
      <c r="L150" t="str">
        <f>IF('01_Warehouse_Ledger'!$A150="","",'01_Warehouse_Ledger'!$A150)</f>
        <v>PAL-0000150</v>
      </c>
    </row>
    <row r="151" spans="9:12">
      <c r="I151" t="str">
        <f>IF(OR($A151="",$B151=""),"",IF(COUNTIFS($A$2:$A151,$A151,$B$2:$B151,$B151)=1,1,0))</f>
        <v/>
      </c>
      <c r="J151" t="str">
        <f t="shared" si="2"/>
        <v/>
      </c>
      <c r="L151" t="str">
        <f>IF('01_Warehouse_Ledger'!$A151="","",'01_Warehouse_Ledger'!$A151)</f>
        <v>PAL-0000151</v>
      </c>
    </row>
    <row r="152" spans="9:12">
      <c r="I152" t="str">
        <f>IF(OR($A152="",$B152=""),"",IF(COUNTIFS($A$2:$A152,$A152,$B$2:$B152,$B152)=1,1,0))</f>
        <v/>
      </c>
      <c r="J152" t="str">
        <f t="shared" si="2"/>
        <v/>
      </c>
      <c r="L152" t="str">
        <f>IF('01_Warehouse_Ledger'!$A152="","",'01_Warehouse_Ledger'!$A152)</f>
        <v>PAL-0000152</v>
      </c>
    </row>
    <row r="153" spans="9:12">
      <c r="I153" t="str">
        <f>IF(OR($A153="",$B153=""),"",IF(COUNTIFS($A$2:$A153,$A153,$B$2:$B153,$B153)=1,1,0))</f>
        <v/>
      </c>
      <c r="J153" t="str">
        <f t="shared" si="2"/>
        <v/>
      </c>
      <c r="L153" t="str">
        <f>IF('01_Warehouse_Ledger'!$A153="","",'01_Warehouse_Ledger'!$A153)</f>
        <v>PAL-0000153</v>
      </c>
    </row>
    <row r="154" spans="9:12">
      <c r="I154" t="str">
        <f>IF(OR($A154="",$B154=""),"",IF(COUNTIFS($A$2:$A154,$A154,$B$2:$B154,$B154)=1,1,0))</f>
        <v/>
      </c>
      <c r="J154" t="str">
        <f t="shared" si="2"/>
        <v/>
      </c>
      <c r="L154" t="str">
        <f>IF('01_Warehouse_Ledger'!$A154="","",'01_Warehouse_Ledger'!$A154)</f>
        <v>PAL-0000154</v>
      </c>
    </row>
    <row r="155" spans="9:12">
      <c r="I155" t="str">
        <f>IF(OR($A155="",$B155=""),"",IF(COUNTIFS($A$2:$A155,$A155,$B$2:$B155,$B155)=1,1,0))</f>
        <v/>
      </c>
      <c r="J155" t="str">
        <f t="shared" si="2"/>
        <v/>
      </c>
      <c r="L155" t="str">
        <f>IF('01_Warehouse_Ledger'!$A155="","",'01_Warehouse_Ledger'!$A155)</f>
        <v>PAL-0000155</v>
      </c>
    </row>
    <row r="156" spans="9:12">
      <c r="I156" t="str">
        <f>IF(OR($A156="",$B156=""),"",IF(COUNTIFS($A$2:$A156,$A156,$B$2:$B156,$B156)=1,1,0))</f>
        <v/>
      </c>
      <c r="J156" t="str">
        <f t="shared" si="2"/>
        <v/>
      </c>
      <c r="L156" t="str">
        <f>IF('01_Warehouse_Ledger'!$A156="","",'01_Warehouse_Ledger'!$A156)</f>
        <v>PAL-0000156</v>
      </c>
    </row>
    <row r="157" spans="9:12">
      <c r="I157" t="str">
        <f>IF(OR($A157="",$B157=""),"",IF(COUNTIFS($A$2:$A157,$A157,$B$2:$B157,$B157)=1,1,0))</f>
        <v/>
      </c>
      <c r="J157" t="str">
        <f t="shared" si="2"/>
        <v/>
      </c>
      <c r="L157" t="str">
        <f>IF('01_Warehouse_Ledger'!$A157="","",'01_Warehouse_Ledger'!$A157)</f>
        <v>PAL-0000157</v>
      </c>
    </row>
    <row r="158" spans="9:12">
      <c r="I158" t="str">
        <f>IF(OR($A158="",$B158=""),"",IF(COUNTIFS($A$2:$A158,$A158,$B$2:$B158,$B158)=1,1,0))</f>
        <v/>
      </c>
      <c r="J158" t="str">
        <f t="shared" si="2"/>
        <v/>
      </c>
      <c r="L158" t="str">
        <f>IF('01_Warehouse_Ledger'!$A158="","",'01_Warehouse_Ledger'!$A158)</f>
        <v>PAL-0000158</v>
      </c>
    </row>
    <row r="159" spans="9:12">
      <c r="I159" t="str">
        <f>IF(OR($A159="",$B159=""),"",IF(COUNTIFS($A$2:$A159,$A159,$B$2:$B159,$B159)=1,1,0))</f>
        <v/>
      </c>
      <c r="J159" t="str">
        <f t="shared" si="2"/>
        <v/>
      </c>
      <c r="L159" t="str">
        <f>IF('01_Warehouse_Ledger'!$A159="","",'01_Warehouse_Ledger'!$A159)</f>
        <v>PAL-0000159</v>
      </c>
    </row>
    <row r="160" spans="9:12">
      <c r="I160" t="str">
        <f>IF(OR($A160="",$B160=""),"",IF(COUNTIFS($A$2:$A160,$A160,$B$2:$B160,$B160)=1,1,0))</f>
        <v/>
      </c>
      <c r="J160" t="str">
        <f t="shared" si="2"/>
        <v/>
      </c>
      <c r="L160" t="str">
        <f>IF('01_Warehouse_Ledger'!$A160="","",'01_Warehouse_Ledger'!$A160)</f>
        <v>PAL-0000160</v>
      </c>
    </row>
    <row r="161" spans="9:12">
      <c r="I161" t="str">
        <f>IF(OR($A161="",$B161=""),"",IF(COUNTIFS($A$2:$A161,$A161,$B$2:$B161,$B161)=1,1,0))</f>
        <v/>
      </c>
      <c r="J161" t="str">
        <f t="shared" si="2"/>
        <v/>
      </c>
      <c r="L161" t="str">
        <f>IF('01_Warehouse_Ledger'!$A161="","",'01_Warehouse_Ledger'!$A161)</f>
        <v>PAL-0000161</v>
      </c>
    </row>
    <row r="162" spans="9:12">
      <c r="I162" t="str">
        <f>IF(OR($A162="",$B162=""),"",IF(COUNTIFS($A$2:$A162,$A162,$B$2:$B162,$B162)=1,1,0))</f>
        <v/>
      </c>
      <c r="J162" t="str">
        <f t="shared" si="2"/>
        <v/>
      </c>
      <c r="L162" t="str">
        <f>IF('01_Warehouse_Ledger'!$A162="","",'01_Warehouse_Ledger'!$A162)</f>
        <v>PAL-0000162</v>
      </c>
    </row>
    <row r="163" spans="9:12">
      <c r="I163" t="str">
        <f>IF(OR($A163="",$B163=""),"",IF(COUNTIFS($A$2:$A163,$A163,$B$2:$B163,$B163)=1,1,0))</f>
        <v/>
      </c>
      <c r="J163" t="str">
        <f t="shared" si="2"/>
        <v/>
      </c>
      <c r="L163" t="str">
        <f>IF('01_Warehouse_Ledger'!$A163="","",'01_Warehouse_Ledger'!$A163)</f>
        <v>PAL-0000163</v>
      </c>
    </row>
    <row r="164" spans="9:12">
      <c r="I164" t="str">
        <f>IF(OR($A164="",$B164=""),"",IF(COUNTIFS($A$2:$A164,$A164,$B$2:$B164,$B164)=1,1,0))</f>
        <v/>
      </c>
      <c r="J164" t="str">
        <f t="shared" si="2"/>
        <v/>
      </c>
      <c r="L164" t="str">
        <f>IF('01_Warehouse_Ledger'!$A164="","",'01_Warehouse_Ledger'!$A164)</f>
        <v>PAL-0000164</v>
      </c>
    </row>
    <row r="165" spans="9:12">
      <c r="I165" t="str">
        <f>IF(OR($A165="",$B165=""),"",IF(COUNTIFS($A$2:$A165,$A165,$B$2:$B165,$B165)=1,1,0))</f>
        <v/>
      </c>
      <c r="J165" t="str">
        <f t="shared" si="2"/>
        <v/>
      </c>
      <c r="L165" t="str">
        <f>IF('01_Warehouse_Ledger'!$A165="","",'01_Warehouse_Ledger'!$A165)</f>
        <v>PAL-0000165</v>
      </c>
    </row>
    <row r="166" spans="9:12">
      <c r="I166" t="str">
        <f>IF(OR($A166="",$B166=""),"",IF(COUNTIFS($A$2:$A166,$A166,$B$2:$B166,$B166)=1,1,0))</f>
        <v/>
      </c>
      <c r="J166" t="str">
        <f t="shared" si="2"/>
        <v/>
      </c>
      <c r="L166" t="str">
        <f>IF('01_Warehouse_Ledger'!$A166="","",'01_Warehouse_Ledger'!$A166)</f>
        <v>PAL-0000166</v>
      </c>
    </row>
    <row r="167" spans="9:12">
      <c r="I167" t="str">
        <f>IF(OR($A167="",$B167=""),"",IF(COUNTIFS($A$2:$A167,$A167,$B$2:$B167,$B167)=1,1,0))</f>
        <v/>
      </c>
      <c r="J167" t="str">
        <f t="shared" si="2"/>
        <v/>
      </c>
      <c r="L167" t="str">
        <f>IF('01_Warehouse_Ledger'!$A167="","",'01_Warehouse_Ledger'!$A167)</f>
        <v>PAL-0000167</v>
      </c>
    </row>
    <row r="168" spans="9:12">
      <c r="I168" t="str">
        <f>IF(OR($A168="",$B168=""),"",IF(COUNTIFS($A$2:$A168,$A168,$B$2:$B168,$B168)=1,1,0))</f>
        <v/>
      </c>
      <c r="J168" t="str">
        <f t="shared" si="2"/>
        <v/>
      </c>
      <c r="L168" t="str">
        <f>IF('01_Warehouse_Ledger'!$A168="","",'01_Warehouse_Ledger'!$A168)</f>
        <v>PAL-0000168</v>
      </c>
    </row>
    <row r="169" spans="9:12">
      <c r="I169" t="str">
        <f>IF(OR($A169="",$B169=""),"",IF(COUNTIFS($A$2:$A169,$A169,$B$2:$B169,$B169)=1,1,0))</f>
        <v/>
      </c>
      <c r="J169" t="str">
        <f t="shared" si="2"/>
        <v/>
      </c>
      <c r="L169" t="str">
        <f>IF('01_Warehouse_Ledger'!$A169="","",'01_Warehouse_Ledger'!$A169)</f>
        <v>PAL-0000169</v>
      </c>
    </row>
    <row r="170" spans="9:12">
      <c r="I170" t="str">
        <f>IF(OR($A170="",$B170=""),"",IF(COUNTIFS($A$2:$A170,$A170,$B$2:$B170,$B170)=1,1,0))</f>
        <v/>
      </c>
      <c r="J170" t="str">
        <f t="shared" si="2"/>
        <v/>
      </c>
      <c r="L170" t="str">
        <f>IF('01_Warehouse_Ledger'!$A170="","",'01_Warehouse_Ledger'!$A170)</f>
        <v>PAL-0000170</v>
      </c>
    </row>
    <row r="171" spans="9:12">
      <c r="I171" t="str">
        <f>IF(OR($A171="",$B171=""),"",IF(COUNTIFS($A$2:$A171,$A171,$B$2:$B171,$B171)=1,1,0))</f>
        <v/>
      </c>
      <c r="J171" t="str">
        <f t="shared" si="2"/>
        <v/>
      </c>
      <c r="L171" t="str">
        <f>IF('01_Warehouse_Ledger'!$A171="","",'01_Warehouse_Ledger'!$A171)</f>
        <v>PAL-0000171</v>
      </c>
    </row>
    <row r="172" spans="9:12">
      <c r="I172" t="str">
        <f>IF(OR($A172="",$B172=""),"",IF(COUNTIFS($A$2:$A172,$A172,$B$2:$B172,$B172)=1,1,0))</f>
        <v/>
      </c>
      <c r="J172" t="str">
        <f t="shared" si="2"/>
        <v/>
      </c>
      <c r="L172" t="str">
        <f>IF('01_Warehouse_Ledger'!$A172="","",'01_Warehouse_Ledger'!$A172)</f>
        <v>PAL-0000172</v>
      </c>
    </row>
    <row r="173" spans="9:12">
      <c r="I173" t="str">
        <f>IF(OR($A173="",$B173=""),"",IF(COUNTIFS($A$2:$A173,$A173,$B$2:$B173,$B173)=1,1,0))</f>
        <v/>
      </c>
      <c r="J173" t="str">
        <f t="shared" si="2"/>
        <v/>
      </c>
      <c r="L173" t="str">
        <f>IF('01_Warehouse_Ledger'!$A173="","",'01_Warehouse_Ledger'!$A173)</f>
        <v>PAL-0000173</v>
      </c>
    </row>
    <row r="174" spans="9:12">
      <c r="I174" t="str">
        <f>IF(OR($A174="",$B174=""),"",IF(COUNTIFS($A$2:$A174,$A174,$B$2:$B174,$B174)=1,1,0))</f>
        <v/>
      </c>
      <c r="J174" t="str">
        <f t="shared" si="2"/>
        <v/>
      </c>
      <c r="L174" t="str">
        <f>IF('01_Warehouse_Ledger'!$A174="","",'01_Warehouse_Ledger'!$A174)</f>
        <v>PAL-0000174</v>
      </c>
    </row>
    <row r="175" spans="9:12">
      <c r="I175" t="str">
        <f>IF(OR($A175="",$B175=""),"",IF(COUNTIFS($A$2:$A175,$A175,$B$2:$B175,$B175)=1,1,0))</f>
        <v/>
      </c>
      <c r="J175" t="str">
        <f t="shared" si="2"/>
        <v/>
      </c>
      <c r="L175" t="str">
        <f>IF('01_Warehouse_Ledger'!$A175="","",'01_Warehouse_Ledger'!$A175)</f>
        <v>PAL-0000175</v>
      </c>
    </row>
    <row r="176" spans="9:12">
      <c r="I176" t="str">
        <f>IF(OR($A176="",$B176=""),"",IF(COUNTIFS($A$2:$A176,$A176,$B$2:$B176,$B176)=1,1,0))</f>
        <v/>
      </c>
      <c r="J176" t="str">
        <f t="shared" si="2"/>
        <v/>
      </c>
      <c r="L176" t="str">
        <f>IF('01_Warehouse_Ledger'!$A176="","",'01_Warehouse_Ledger'!$A176)</f>
        <v>PAL-0000176</v>
      </c>
    </row>
    <row r="177" spans="9:12">
      <c r="I177" t="str">
        <f>IF(OR($A177="",$B177=""),"",IF(COUNTIFS($A$2:$A177,$A177,$B$2:$B177,$B177)=1,1,0))</f>
        <v/>
      </c>
      <c r="J177" t="str">
        <f t="shared" si="2"/>
        <v/>
      </c>
      <c r="L177" t="str">
        <f>IF('01_Warehouse_Ledger'!$A177="","",'01_Warehouse_Ledger'!$A177)</f>
        <v>PAL-0000177</v>
      </c>
    </row>
    <row r="178" spans="9:12">
      <c r="I178" t="str">
        <f>IF(OR($A178="",$B178=""),"",IF(COUNTIFS($A$2:$A178,$A178,$B$2:$B178,$B178)=1,1,0))</f>
        <v/>
      </c>
      <c r="J178" t="str">
        <f t="shared" si="2"/>
        <v/>
      </c>
      <c r="L178" t="str">
        <f>IF('01_Warehouse_Ledger'!$A178="","",'01_Warehouse_Ledger'!$A178)</f>
        <v>PAL-0000178</v>
      </c>
    </row>
    <row r="179" spans="9:12">
      <c r="I179" t="str">
        <f>IF(OR($A179="",$B179=""),"",IF(COUNTIFS($A$2:$A179,$A179,$B$2:$B179,$B179)=1,1,0))</f>
        <v/>
      </c>
      <c r="J179" t="str">
        <f t="shared" si="2"/>
        <v/>
      </c>
      <c r="L179" t="str">
        <f>IF('01_Warehouse_Ledger'!$A179="","",'01_Warehouse_Ledger'!$A179)</f>
        <v>PAL-0000179</v>
      </c>
    </row>
    <row r="180" spans="9:12">
      <c r="I180" t="str">
        <f>IF(OR($A180="",$B180=""),"",IF(COUNTIFS($A$2:$A180,$A180,$B$2:$B180,$B180)=1,1,0))</f>
        <v/>
      </c>
      <c r="J180" t="str">
        <f t="shared" si="2"/>
        <v/>
      </c>
      <c r="L180" t="str">
        <f>IF('01_Warehouse_Ledger'!$A180="","",'01_Warehouse_Ledger'!$A180)</f>
        <v>PAL-0000180</v>
      </c>
    </row>
    <row r="181" spans="9:12">
      <c r="I181" t="str">
        <f>IF(OR($A181="",$B181=""),"",IF(COUNTIFS($A$2:$A181,$A181,$B$2:$B181,$B181)=1,1,0))</f>
        <v/>
      </c>
      <c r="J181" t="str">
        <f t="shared" si="2"/>
        <v/>
      </c>
      <c r="L181" t="str">
        <f>IF('01_Warehouse_Ledger'!$A181="","",'01_Warehouse_Ledger'!$A181)</f>
        <v>PAL-0000181</v>
      </c>
    </row>
    <row r="182" spans="9:12">
      <c r="I182" t="str">
        <f>IF(OR($A182="",$B182=""),"",IF(COUNTIFS($A$2:$A182,$A182,$B$2:$B182,$B182)=1,1,0))</f>
        <v/>
      </c>
      <c r="J182" t="str">
        <f t="shared" si="2"/>
        <v/>
      </c>
      <c r="L182" t="str">
        <f>IF('01_Warehouse_Ledger'!$A182="","",'01_Warehouse_Ledger'!$A182)</f>
        <v>PAL-0000182</v>
      </c>
    </row>
    <row r="183" spans="9:12">
      <c r="I183" t="str">
        <f>IF(OR($A183="",$B183=""),"",IF(COUNTIFS($A$2:$A183,$A183,$B$2:$B183,$B183)=1,1,0))</f>
        <v/>
      </c>
      <c r="J183" t="str">
        <f t="shared" si="2"/>
        <v/>
      </c>
      <c r="L183" t="str">
        <f>IF('01_Warehouse_Ledger'!$A183="","",'01_Warehouse_Ledger'!$A183)</f>
        <v>PAL-0000183</v>
      </c>
    </row>
    <row r="184" spans="9:12">
      <c r="I184" t="str">
        <f>IF(OR($A184="",$B184=""),"",IF(COUNTIFS($A$2:$A184,$A184,$B$2:$B184,$B184)=1,1,0))</f>
        <v/>
      </c>
      <c r="J184" t="str">
        <f t="shared" si="2"/>
        <v/>
      </c>
      <c r="L184" t="str">
        <f>IF('01_Warehouse_Ledger'!$A184="","",'01_Warehouse_Ledger'!$A184)</f>
        <v>PAL-0000184</v>
      </c>
    </row>
    <row r="185" spans="9:12">
      <c r="I185" t="str">
        <f>IF(OR($A185="",$B185=""),"",IF(COUNTIFS($A$2:$A185,$A185,$B$2:$B185,$B185)=1,1,0))</f>
        <v/>
      </c>
      <c r="J185" t="str">
        <f t="shared" si="2"/>
        <v/>
      </c>
      <c r="L185" t="str">
        <f>IF('01_Warehouse_Ledger'!$A185="","",'01_Warehouse_Ledger'!$A185)</f>
        <v>PAL-0000185</v>
      </c>
    </row>
    <row r="186" spans="9:12">
      <c r="I186" t="str">
        <f>IF(OR($A186="",$B186=""),"",IF(COUNTIFS($A$2:$A186,$A186,$B$2:$B186,$B186)=1,1,0))</f>
        <v/>
      </c>
      <c r="J186" t="str">
        <f t="shared" si="2"/>
        <v/>
      </c>
      <c r="L186" t="str">
        <f>IF('01_Warehouse_Ledger'!$A186="","",'01_Warehouse_Ledger'!$A186)</f>
        <v>PAL-0000186</v>
      </c>
    </row>
    <row r="187" spans="9:12">
      <c r="I187" t="str">
        <f>IF(OR($A187="",$B187=""),"",IF(COUNTIFS($A$2:$A187,$A187,$B$2:$B187,$B187)=1,1,0))</f>
        <v/>
      </c>
      <c r="J187" t="str">
        <f t="shared" si="2"/>
        <v/>
      </c>
      <c r="L187" t="str">
        <f>IF('01_Warehouse_Ledger'!$A187="","",'01_Warehouse_Ledger'!$A187)</f>
        <v>PAL-0000187</v>
      </c>
    </row>
    <row r="188" spans="9:12">
      <c r="I188" t="str">
        <f>IF(OR($A188="",$B188=""),"",IF(COUNTIFS($A$2:$A188,$A188,$B$2:$B188,$B188)=1,1,0))</f>
        <v/>
      </c>
      <c r="J188" t="str">
        <f t="shared" si="2"/>
        <v/>
      </c>
      <c r="L188" t="str">
        <f>IF('01_Warehouse_Ledger'!$A188="","",'01_Warehouse_Ledger'!$A188)</f>
        <v>PAL-0000188</v>
      </c>
    </row>
    <row r="189" spans="9:12">
      <c r="I189" t="str">
        <f>IF(OR($A189="",$B189=""),"",IF(COUNTIFS($A$2:$A189,$A189,$B$2:$B189,$B189)=1,1,0))</f>
        <v/>
      </c>
      <c r="J189" t="str">
        <f t="shared" si="2"/>
        <v/>
      </c>
      <c r="L189" t="str">
        <f>IF('01_Warehouse_Ledger'!$A189="","",'01_Warehouse_Ledger'!$A189)</f>
        <v>PAL-0000189</v>
      </c>
    </row>
    <row r="190" spans="9:12">
      <c r="I190" t="str">
        <f>IF(OR($A190="",$B190=""),"",IF(COUNTIFS($A$2:$A190,$A190,$B$2:$B190,$B190)=1,1,0))</f>
        <v/>
      </c>
      <c r="J190" t="str">
        <f t="shared" si="2"/>
        <v/>
      </c>
      <c r="L190" t="str">
        <f>IF('01_Warehouse_Ledger'!$A190="","",'01_Warehouse_Ledger'!$A190)</f>
        <v>PAL-0000190</v>
      </c>
    </row>
    <row r="191" spans="9:12">
      <c r="I191" t="str">
        <f>IF(OR($A191="",$B191=""),"",IF(COUNTIFS($A$2:$A191,$A191,$B$2:$B191,$B191)=1,1,0))</f>
        <v/>
      </c>
      <c r="J191" t="str">
        <f t="shared" si="2"/>
        <v/>
      </c>
      <c r="L191" t="str">
        <f>IF('01_Warehouse_Ledger'!$A191="","",'01_Warehouse_Ledger'!$A191)</f>
        <v>PAL-0000191</v>
      </c>
    </row>
    <row r="192" spans="9:12">
      <c r="I192" t="str">
        <f>IF(OR($A192="",$B192=""),"",IF(COUNTIFS($A$2:$A192,$A192,$B$2:$B192,$B192)=1,1,0))</f>
        <v/>
      </c>
      <c r="J192" t="str">
        <f t="shared" si="2"/>
        <v/>
      </c>
      <c r="L192" t="str">
        <f>IF('01_Warehouse_Ledger'!$A192="","",'01_Warehouse_Ledger'!$A192)</f>
        <v>PAL-0000192</v>
      </c>
    </row>
    <row r="193" spans="9:12">
      <c r="I193" t="str">
        <f>IF(OR($A193="",$B193=""),"",IF(COUNTIFS($A$2:$A193,$A193,$B$2:$B193,$B193)=1,1,0))</f>
        <v/>
      </c>
      <c r="J193" t="str">
        <f t="shared" si="2"/>
        <v/>
      </c>
      <c r="L193" t="str">
        <f>IF('01_Warehouse_Ledger'!$A193="","",'01_Warehouse_Ledger'!$A193)</f>
        <v>PAL-0000193</v>
      </c>
    </row>
    <row r="194" spans="9:12">
      <c r="I194" t="str">
        <f>IF(OR($A194="",$B194=""),"",IF(COUNTIFS($A$2:$A194,$A194,$B$2:$B194,$B194)=1,1,0))</f>
        <v/>
      </c>
      <c r="J194" t="str">
        <f t="shared" ref="J194:J257" si="3">IF($A194="","",ROW())</f>
        <v/>
      </c>
      <c r="L194" t="str">
        <f>IF('01_Warehouse_Ledger'!$A194="","",'01_Warehouse_Ledger'!$A194)</f>
        <v>PAL-0000194</v>
      </c>
    </row>
    <row r="195" spans="9:12">
      <c r="I195" t="str">
        <f>IF(OR($A195="",$B195=""),"",IF(COUNTIFS($A$2:$A195,$A195,$B$2:$B195,$B195)=1,1,0))</f>
        <v/>
      </c>
      <c r="J195" t="str">
        <f t="shared" si="3"/>
        <v/>
      </c>
      <c r="L195" t="str">
        <f>IF('01_Warehouse_Ledger'!$A195="","",'01_Warehouse_Ledger'!$A195)</f>
        <v>PAL-0000195</v>
      </c>
    </row>
    <row r="196" spans="9:12">
      <c r="I196" t="str">
        <f>IF(OR($A196="",$B196=""),"",IF(COUNTIFS($A$2:$A196,$A196,$B$2:$B196,$B196)=1,1,0))</f>
        <v/>
      </c>
      <c r="J196" t="str">
        <f t="shared" si="3"/>
        <v/>
      </c>
      <c r="L196" t="str">
        <f>IF('01_Warehouse_Ledger'!$A196="","",'01_Warehouse_Ledger'!$A196)</f>
        <v>PAL-0000196</v>
      </c>
    </row>
    <row r="197" spans="9:12">
      <c r="I197" t="str">
        <f>IF(OR($A197="",$B197=""),"",IF(COUNTIFS($A$2:$A197,$A197,$B$2:$B197,$B197)=1,1,0))</f>
        <v/>
      </c>
      <c r="J197" t="str">
        <f t="shared" si="3"/>
        <v/>
      </c>
      <c r="L197" t="str">
        <f>IF('01_Warehouse_Ledger'!$A197="","",'01_Warehouse_Ledger'!$A197)</f>
        <v>PAL-0000197</v>
      </c>
    </row>
    <row r="198" spans="9:12">
      <c r="I198" t="str">
        <f>IF(OR($A198="",$B198=""),"",IF(COUNTIFS($A$2:$A198,$A198,$B$2:$B198,$B198)=1,1,0))</f>
        <v/>
      </c>
      <c r="J198" t="str">
        <f t="shared" si="3"/>
        <v/>
      </c>
      <c r="L198" t="str">
        <f>IF('01_Warehouse_Ledger'!$A198="","",'01_Warehouse_Ledger'!$A198)</f>
        <v>PAL-0000198</v>
      </c>
    </row>
    <row r="199" spans="9:12">
      <c r="I199" t="str">
        <f>IF(OR($A199="",$B199=""),"",IF(COUNTIFS($A$2:$A199,$A199,$B$2:$B199,$B199)=1,1,0))</f>
        <v/>
      </c>
      <c r="J199" t="str">
        <f t="shared" si="3"/>
        <v/>
      </c>
      <c r="L199" t="str">
        <f>IF('01_Warehouse_Ledger'!$A199="","",'01_Warehouse_Ledger'!$A199)</f>
        <v>PAL-0000199</v>
      </c>
    </row>
    <row r="200" spans="9:12">
      <c r="I200" t="str">
        <f>IF(OR($A200="",$B200=""),"",IF(COUNTIFS($A$2:$A200,$A200,$B$2:$B200,$B200)=1,1,0))</f>
        <v/>
      </c>
      <c r="J200" t="str">
        <f t="shared" si="3"/>
        <v/>
      </c>
      <c r="L200" t="str">
        <f>IF('01_Warehouse_Ledger'!$A200="","",'01_Warehouse_Ledger'!$A200)</f>
        <v>PAL-0000200</v>
      </c>
    </row>
    <row r="201" spans="9:12">
      <c r="I201" t="str">
        <f>IF(OR($A201="",$B201=""),"",IF(COUNTIFS($A$2:$A201,$A201,$B$2:$B201,$B201)=1,1,0))</f>
        <v/>
      </c>
      <c r="J201" t="str">
        <f t="shared" si="3"/>
        <v/>
      </c>
      <c r="L201" t="str">
        <f>IF('01_Warehouse_Ledger'!$A201="","",'01_Warehouse_Ledger'!$A201)</f>
        <v>PAL-0000201</v>
      </c>
    </row>
    <row r="202" spans="9:12">
      <c r="I202" t="str">
        <f>IF(OR($A202="",$B202=""),"",IF(COUNTIFS($A$2:$A202,$A202,$B$2:$B202,$B202)=1,1,0))</f>
        <v/>
      </c>
      <c r="J202" t="str">
        <f t="shared" si="3"/>
        <v/>
      </c>
      <c r="L202" t="str">
        <f>IF('01_Warehouse_Ledger'!$A202="","",'01_Warehouse_Ledger'!$A202)</f>
        <v>PAL-0000202</v>
      </c>
    </row>
    <row r="203" spans="9:12">
      <c r="I203" t="str">
        <f>IF(OR($A203="",$B203=""),"",IF(COUNTIFS($A$2:$A203,$A203,$B$2:$B203,$B203)=1,1,0))</f>
        <v/>
      </c>
      <c r="J203" t="str">
        <f t="shared" si="3"/>
        <v/>
      </c>
      <c r="L203" t="str">
        <f>IF('01_Warehouse_Ledger'!$A203="","",'01_Warehouse_Ledger'!$A203)</f>
        <v>PAL-0000203</v>
      </c>
    </row>
    <row r="204" spans="9:12">
      <c r="I204" t="str">
        <f>IF(OR($A204="",$B204=""),"",IF(COUNTIFS($A$2:$A204,$A204,$B$2:$B204,$B204)=1,1,0))</f>
        <v/>
      </c>
      <c r="J204" t="str">
        <f t="shared" si="3"/>
        <v/>
      </c>
      <c r="L204" t="str">
        <f>IF('01_Warehouse_Ledger'!$A204="","",'01_Warehouse_Ledger'!$A204)</f>
        <v>PAL-0000204</v>
      </c>
    </row>
    <row r="205" spans="9:12">
      <c r="I205" t="str">
        <f>IF(OR($A205="",$B205=""),"",IF(COUNTIFS($A$2:$A205,$A205,$B$2:$B205,$B205)=1,1,0))</f>
        <v/>
      </c>
      <c r="J205" t="str">
        <f t="shared" si="3"/>
        <v/>
      </c>
      <c r="L205" t="str">
        <f>IF('01_Warehouse_Ledger'!$A205="","",'01_Warehouse_Ledger'!$A205)</f>
        <v>PAL-0000205</v>
      </c>
    </row>
    <row r="206" spans="9:12">
      <c r="I206" t="str">
        <f>IF(OR($A206="",$B206=""),"",IF(COUNTIFS($A$2:$A206,$A206,$B$2:$B206,$B206)=1,1,0))</f>
        <v/>
      </c>
      <c r="J206" t="str">
        <f t="shared" si="3"/>
        <v/>
      </c>
      <c r="L206" t="str">
        <f>IF('01_Warehouse_Ledger'!$A206="","",'01_Warehouse_Ledger'!$A206)</f>
        <v>PAL-0000206</v>
      </c>
    </row>
    <row r="207" spans="9:12">
      <c r="I207" t="str">
        <f>IF(OR($A207="",$B207=""),"",IF(COUNTIFS($A$2:$A207,$A207,$B$2:$B207,$B207)=1,1,0))</f>
        <v/>
      </c>
      <c r="J207" t="str">
        <f t="shared" si="3"/>
        <v/>
      </c>
      <c r="L207" t="str">
        <f>IF('01_Warehouse_Ledger'!$A207="","",'01_Warehouse_Ledger'!$A207)</f>
        <v>PAL-0000207</v>
      </c>
    </row>
    <row r="208" spans="9:12">
      <c r="I208" t="str">
        <f>IF(OR($A208="",$B208=""),"",IF(COUNTIFS($A$2:$A208,$A208,$B$2:$B208,$B208)=1,1,0))</f>
        <v/>
      </c>
      <c r="J208" t="str">
        <f t="shared" si="3"/>
        <v/>
      </c>
      <c r="L208" t="str">
        <f>IF('01_Warehouse_Ledger'!$A208="","",'01_Warehouse_Ledger'!$A208)</f>
        <v>PAL-0000208</v>
      </c>
    </row>
    <row r="209" spans="9:12">
      <c r="I209" t="str">
        <f>IF(OR($A209="",$B209=""),"",IF(COUNTIFS($A$2:$A209,$A209,$B$2:$B209,$B209)=1,1,0))</f>
        <v/>
      </c>
      <c r="J209" t="str">
        <f t="shared" si="3"/>
        <v/>
      </c>
      <c r="L209" t="str">
        <f>IF('01_Warehouse_Ledger'!$A209="","",'01_Warehouse_Ledger'!$A209)</f>
        <v>PAL-0000209</v>
      </c>
    </row>
    <row r="210" spans="9:12">
      <c r="I210" t="str">
        <f>IF(OR($A210="",$B210=""),"",IF(COUNTIFS($A$2:$A210,$A210,$B$2:$B210,$B210)=1,1,0))</f>
        <v/>
      </c>
      <c r="J210" t="str">
        <f t="shared" si="3"/>
        <v/>
      </c>
      <c r="L210" t="str">
        <f>IF('01_Warehouse_Ledger'!$A210="","",'01_Warehouse_Ledger'!$A210)</f>
        <v>PAL-0000210</v>
      </c>
    </row>
    <row r="211" spans="9:12">
      <c r="I211" t="str">
        <f>IF(OR($A211="",$B211=""),"",IF(COUNTIFS($A$2:$A211,$A211,$B$2:$B211,$B211)=1,1,0))</f>
        <v/>
      </c>
      <c r="J211" t="str">
        <f t="shared" si="3"/>
        <v/>
      </c>
      <c r="L211" t="str">
        <f>IF('01_Warehouse_Ledger'!$A211="","",'01_Warehouse_Ledger'!$A211)</f>
        <v>PAL-0000211</v>
      </c>
    </row>
    <row r="212" spans="9:12">
      <c r="I212" t="str">
        <f>IF(OR($A212="",$B212=""),"",IF(COUNTIFS($A$2:$A212,$A212,$B$2:$B212,$B212)=1,1,0))</f>
        <v/>
      </c>
      <c r="J212" t="str">
        <f t="shared" si="3"/>
        <v/>
      </c>
      <c r="L212" t="str">
        <f>IF('01_Warehouse_Ledger'!$A212="","",'01_Warehouse_Ledger'!$A212)</f>
        <v>PAL-0000212</v>
      </c>
    </row>
    <row r="213" spans="9:12">
      <c r="I213" t="str">
        <f>IF(OR($A213="",$B213=""),"",IF(COUNTIFS($A$2:$A213,$A213,$B$2:$B213,$B213)=1,1,0))</f>
        <v/>
      </c>
      <c r="J213" t="str">
        <f t="shared" si="3"/>
        <v/>
      </c>
      <c r="L213" t="str">
        <f>IF('01_Warehouse_Ledger'!$A213="","",'01_Warehouse_Ledger'!$A213)</f>
        <v>PAL-0000213</v>
      </c>
    </row>
    <row r="214" spans="9:12">
      <c r="I214" t="str">
        <f>IF(OR($A214="",$B214=""),"",IF(COUNTIFS($A$2:$A214,$A214,$B$2:$B214,$B214)=1,1,0))</f>
        <v/>
      </c>
      <c r="J214" t="str">
        <f t="shared" si="3"/>
        <v/>
      </c>
      <c r="L214" t="str">
        <f>IF('01_Warehouse_Ledger'!$A214="","",'01_Warehouse_Ledger'!$A214)</f>
        <v>PAL-0000214</v>
      </c>
    </row>
    <row r="215" spans="9:12">
      <c r="I215" t="str">
        <f>IF(OR($A215="",$B215=""),"",IF(COUNTIFS($A$2:$A215,$A215,$B$2:$B215,$B215)=1,1,0))</f>
        <v/>
      </c>
      <c r="J215" t="str">
        <f t="shared" si="3"/>
        <v/>
      </c>
      <c r="L215" t="str">
        <f>IF('01_Warehouse_Ledger'!$A215="","",'01_Warehouse_Ledger'!$A215)</f>
        <v>PAL-0000215</v>
      </c>
    </row>
    <row r="216" spans="9:12">
      <c r="I216" t="str">
        <f>IF(OR($A216="",$B216=""),"",IF(COUNTIFS($A$2:$A216,$A216,$B$2:$B216,$B216)=1,1,0))</f>
        <v/>
      </c>
      <c r="J216" t="str">
        <f t="shared" si="3"/>
        <v/>
      </c>
      <c r="L216" t="str">
        <f>IF('01_Warehouse_Ledger'!$A216="","",'01_Warehouse_Ledger'!$A216)</f>
        <v>PAL-0000216</v>
      </c>
    </row>
    <row r="217" spans="9:12">
      <c r="I217" t="str">
        <f>IF(OR($A217="",$B217=""),"",IF(COUNTIFS($A$2:$A217,$A217,$B$2:$B217,$B217)=1,1,0))</f>
        <v/>
      </c>
      <c r="J217" t="str">
        <f t="shared" si="3"/>
        <v/>
      </c>
      <c r="L217" t="str">
        <f>IF('01_Warehouse_Ledger'!$A217="","",'01_Warehouse_Ledger'!$A217)</f>
        <v>PAL-0000217</v>
      </c>
    </row>
    <row r="218" spans="9:12">
      <c r="I218" t="str">
        <f>IF(OR($A218="",$B218=""),"",IF(COUNTIFS($A$2:$A218,$A218,$B$2:$B218,$B218)=1,1,0))</f>
        <v/>
      </c>
      <c r="J218" t="str">
        <f t="shared" si="3"/>
        <v/>
      </c>
      <c r="L218" t="str">
        <f>IF('01_Warehouse_Ledger'!$A218="","",'01_Warehouse_Ledger'!$A218)</f>
        <v>PAL-0000218</v>
      </c>
    </row>
    <row r="219" spans="9:12">
      <c r="I219" t="str">
        <f>IF(OR($A219="",$B219=""),"",IF(COUNTIFS($A$2:$A219,$A219,$B$2:$B219,$B219)=1,1,0))</f>
        <v/>
      </c>
      <c r="J219" t="str">
        <f t="shared" si="3"/>
        <v/>
      </c>
      <c r="L219" t="str">
        <f>IF('01_Warehouse_Ledger'!$A219="","",'01_Warehouse_Ledger'!$A219)</f>
        <v>PAL-0000219</v>
      </c>
    </row>
    <row r="220" spans="9:12">
      <c r="I220" t="str">
        <f>IF(OR($A220="",$B220=""),"",IF(COUNTIFS($A$2:$A220,$A220,$B$2:$B220,$B220)=1,1,0))</f>
        <v/>
      </c>
      <c r="J220" t="str">
        <f t="shared" si="3"/>
        <v/>
      </c>
      <c r="L220" t="str">
        <f>IF('01_Warehouse_Ledger'!$A220="","",'01_Warehouse_Ledger'!$A220)</f>
        <v>PAL-0000220</v>
      </c>
    </row>
    <row r="221" spans="9:12">
      <c r="I221" t="str">
        <f>IF(OR($A221="",$B221=""),"",IF(COUNTIFS($A$2:$A221,$A221,$B$2:$B221,$B221)=1,1,0))</f>
        <v/>
      </c>
      <c r="J221" t="str">
        <f t="shared" si="3"/>
        <v/>
      </c>
      <c r="L221" t="str">
        <f>IF('01_Warehouse_Ledger'!$A221="","",'01_Warehouse_Ledger'!$A221)</f>
        <v>PAL-0000221</v>
      </c>
    </row>
    <row r="222" spans="9:12">
      <c r="I222" t="str">
        <f>IF(OR($A222="",$B222=""),"",IF(COUNTIFS($A$2:$A222,$A222,$B$2:$B222,$B222)=1,1,0))</f>
        <v/>
      </c>
      <c r="J222" t="str">
        <f t="shared" si="3"/>
        <v/>
      </c>
      <c r="L222" t="str">
        <f>IF('01_Warehouse_Ledger'!$A222="","",'01_Warehouse_Ledger'!$A222)</f>
        <v>PAL-0000222</v>
      </c>
    </row>
    <row r="223" spans="9:12">
      <c r="I223" t="str">
        <f>IF(OR($A223="",$B223=""),"",IF(COUNTIFS($A$2:$A223,$A223,$B$2:$B223,$B223)=1,1,0))</f>
        <v/>
      </c>
      <c r="J223" t="str">
        <f t="shared" si="3"/>
        <v/>
      </c>
      <c r="L223" t="str">
        <f>IF('01_Warehouse_Ledger'!$A223="","",'01_Warehouse_Ledger'!$A223)</f>
        <v>PAL-0000223</v>
      </c>
    </row>
    <row r="224" spans="9:12">
      <c r="I224" t="str">
        <f>IF(OR($A224="",$B224=""),"",IF(COUNTIFS($A$2:$A224,$A224,$B$2:$B224,$B224)=1,1,0))</f>
        <v/>
      </c>
      <c r="J224" t="str">
        <f t="shared" si="3"/>
        <v/>
      </c>
      <c r="L224" t="str">
        <f>IF('01_Warehouse_Ledger'!$A224="","",'01_Warehouse_Ledger'!$A224)</f>
        <v>PAL-0000224</v>
      </c>
    </row>
    <row r="225" spans="9:12">
      <c r="I225" t="str">
        <f>IF(OR($A225="",$B225=""),"",IF(COUNTIFS($A$2:$A225,$A225,$B$2:$B225,$B225)=1,1,0))</f>
        <v/>
      </c>
      <c r="J225" t="str">
        <f t="shared" si="3"/>
        <v/>
      </c>
      <c r="L225" t="str">
        <f>IF('01_Warehouse_Ledger'!$A225="","",'01_Warehouse_Ledger'!$A225)</f>
        <v>PAL-0000225</v>
      </c>
    </row>
    <row r="226" spans="9:12">
      <c r="I226" t="str">
        <f>IF(OR($A226="",$B226=""),"",IF(COUNTIFS($A$2:$A226,$A226,$B$2:$B226,$B226)=1,1,0))</f>
        <v/>
      </c>
      <c r="J226" t="str">
        <f t="shared" si="3"/>
        <v/>
      </c>
      <c r="L226" t="str">
        <f>IF('01_Warehouse_Ledger'!$A226="","",'01_Warehouse_Ledger'!$A226)</f>
        <v>PAL-0000226</v>
      </c>
    </row>
    <row r="227" spans="9:12">
      <c r="I227" t="str">
        <f>IF(OR($A227="",$B227=""),"",IF(COUNTIFS($A$2:$A227,$A227,$B$2:$B227,$B227)=1,1,0))</f>
        <v/>
      </c>
      <c r="J227" t="str">
        <f t="shared" si="3"/>
        <v/>
      </c>
      <c r="L227" t="str">
        <f>IF('01_Warehouse_Ledger'!$A227="","",'01_Warehouse_Ledger'!$A227)</f>
        <v>PAL-0000227</v>
      </c>
    </row>
    <row r="228" spans="9:12">
      <c r="I228" t="str">
        <f>IF(OR($A228="",$B228=""),"",IF(COUNTIFS($A$2:$A228,$A228,$B$2:$B228,$B228)=1,1,0))</f>
        <v/>
      </c>
      <c r="J228" t="str">
        <f t="shared" si="3"/>
        <v/>
      </c>
      <c r="L228" t="str">
        <f>IF('01_Warehouse_Ledger'!$A228="","",'01_Warehouse_Ledger'!$A228)</f>
        <v>PAL-0000228</v>
      </c>
    </row>
    <row r="229" spans="9:12">
      <c r="I229" t="str">
        <f>IF(OR($A229="",$B229=""),"",IF(COUNTIFS($A$2:$A229,$A229,$B$2:$B229,$B229)=1,1,0))</f>
        <v/>
      </c>
      <c r="J229" t="str">
        <f t="shared" si="3"/>
        <v/>
      </c>
      <c r="L229" t="str">
        <f>IF('01_Warehouse_Ledger'!$A229="","",'01_Warehouse_Ledger'!$A229)</f>
        <v>PAL-0000229</v>
      </c>
    </row>
    <row r="230" spans="9:12">
      <c r="I230" t="str">
        <f>IF(OR($A230="",$B230=""),"",IF(COUNTIFS($A$2:$A230,$A230,$B$2:$B230,$B230)=1,1,0))</f>
        <v/>
      </c>
      <c r="J230" t="str">
        <f t="shared" si="3"/>
        <v/>
      </c>
      <c r="L230" t="str">
        <f>IF('01_Warehouse_Ledger'!$A230="","",'01_Warehouse_Ledger'!$A230)</f>
        <v>PAL-0000230</v>
      </c>
    </row>
    <row r="231" spans="9:12">
      <c r="I231" t="str">
        <f>IF(OR($A231="",$B231=""),"",IF(COUNTIFS($A$2:$A231,$A231,$B$2:$B231,$B231)=1,1,0))</f>
        <v/>
      </c>
      <c r="J231" t="str">
        <f t="shared" si="3"/>
        <v/>
      </c>
      <c r="L231" t="str">
        <f>IF('01_Warehouse_Ledger'!$A231="","",'01_Warehouse_Ledger'!$A231)</f>
        <v>PAL-0000231</v>
      </c>
    </row>
    <row r="232" spans="9:12">
      <c r="I232" t="str">
        <f>IF(OR($A232="",$B232=""),"",IF(COUNTIFS($A$2:$A232,$A232,$B$2:$B232,$B232)=1,1,0))</f>
        <v/>
      </c>
      <c r="J232" t="str">
        <f t="shared" si="3"/>
        <v/>
      </c>
      <c r="L232" t="str">
        <f>IF('01_Warehouse_Ledger'!$A232="","",'01_Warehouse_Ledger'!$A232)</f>
        <v>PAL-0000232</v>
      </c>
    </row>
    <row r="233" spans="9:12">
      <c r="I233" t="str">
        <f>IF(OR($A233="",$B233=""),"",IF(COUNTIFS($A$2:$A233,$A233,$B$2:$B233,$B233)=1,1,0))</f>
        <v/>
      </c>
      <c r="J233" t="str">
        <f t="shared" si="3"/>
        <v/>
      </c>
      <c r="L233" t="str">
        <f>IF('01_Warehouse_Ledger'!$A233="","",'01_Warehouse_Ledger'!$A233)</f>
        <v>PAL-0000233</v>
      </c>
    </row>
    <row r="234" spans="9:12">
      <c r="I234" t="str">
        <f>IF(OR($A234="",$B234=""),"",IF(COUNTIFS($A$2:$A234,$A234,$B$2:$B234,$B234)=1,1,0))</f>
        <v/>
      </c>
      <c r="J234" t="str">
        <f t="shared" si="3"/>
        <v/>
      </c>
      <c r="L234" t="str">
        <f>IF('01_Warehouse_Ledger'!$A234="","",'01_Warehouse_Ledger'!$A234)</f>
        <v>PAL-0000234</v>
      </c>
    </row>
    <row r="235" spans="9:12">
      <c r="I235" t="str">
        <f>IF(OR($A235="",$B235=""),"",IF(COUNTIFS($A$2:$A235,$A235,$B$2:$B235,$B235)=1,1,0))</f>
        <v/>
      </c>
      <c r="J235" t="str">
        <f t="shared" si="3"/>
        <v/>
      </c>
      <c r="L235" t="str">
        <f>IF('01_Warehouse_Ledger'!$A235="","",'01_Warehouse_Ledger'!$A235)</f>
        <v>PAL-0000235</v>
      </c>
    </row>
    <row r="236" spans="9:12">
      <c r="I236" t="str">
        <f>IF(OR($A236="",$B236=""),"",IF(COUNTIFS($A$2:$A236,$A236,$B$2:$B236,$B236)=1,1,0))</f>
        <v/>
      </c>
      <c r="J236" t="str">
        <f t="shared" si="3"/>
        <v/>
      </c>
      <c r="L236" t="str">
        <f>IF('01_Warehouse_Ledger'!$A236="","",'01_Warehouse_Ledger'!$A236)</f>
        <v>PAL-0000236</v>
      </c>
    </row>
    <row r="237" spans="9:12">
      <c r="I237" t="str">
        <f>IF(OR($A237="",$B237=""),"",IF(COUNTIFS($A$2:$A237,$A237,$B$2:$B237,$B237)=1,1,0))</f>
        <v/>
      </c>
      <c r="J237" t="str">
        <f t="shared" si="3"/>
        <v/>
      </c>
      <c r="L237" t="str">
        <f>IF('01_Warehouse_Ledger'!$A237="","",'01_Warehouse_Ledger'!$A237)</f>
        <v>PAL-0000237</v>
      </c>
    </row>
    <row r="238" spans="9:12">
      <c r="I238" t="str">
        <f>IF(OR($A238="",$B238=""),"",IF(COUNTIFS($A$2:$A238,$A238,$B$2:$B238,$B238)=1,1,0))</f>
        <v/>
      </c>
      <c r="J238" t="str">
        <f t="shared" si="3"/>
        <v/>
      </c>
      <c r="L238" t="str">
        <f>IF('01_Warehouse_Ledger'!$A238="","",'01_Warehouse_Ledger'!$A238)</f>
        <v>PAL-0000238</v>
      </c>
    </row>
    <row r="239" spans="9:12">
      <c r="I239" t="str">
        <f>IF(OR($A239="",$B239=""),"",IF(COUNTIFS($A$2:$A239,$A239,$B$2:$B239,$B239)=1,1,0))</f>
        <v/>
      </c>
      <c r="J239" t="str">
        <f t="shared" si="3"/>
        <v/>
      </c>
      <c r="L239" t="str">
        <f>IF('01_Warehouse_Ledger'!$A239="","",'01_Warehouse_Ledger'!$A239)</f>
        <v>PAL-0000239</v>
      </c>
    </row>
    <row r="240" spans="9:12">
      <c r="I240" t="str">
        <f>IF(OR($A240="",$B240=""),"",IF(COUNTIFS($A$2:$A240,$A240,$B$2:$B240,$B240)=1,1,0))</f>
        <v/>
      </c>
      <c r="J240" t="str">
        <f t="shared" si="3"/>
        <v/>
      </c>
      <c r="L240" t="str">
        <f>IF('01_Warehouse_Ledger'!$A240="","",'01_Warehouse_Ledger'!$A240)</f>
        <v>PAL-0000240</v>
      </c>
    </row>
    <row r="241" spans="9:12">
      <c r="I241" t="str">
        <f>IF(OR($A241="",$B241=""),"",IF(COUNTIFS($A$2:$A241,$A241,$B$2:$B241,$B241)=1,1,0))</f>
        <v/>
      </c>
      <c r="J241" t="str">
        <f t="shared" si="3"/>
        <v/>
      </c>
      <c r="L241" t="str">
        <f>IF('01_Warehouse_Ledger'!$A241="","",'01_Warehouse_Ledger'!$A241)</f>
        <v>PAL-0000241</v>
      </c>
    </row>
    <row r="242" spans="9:12">
      <c r="I242" t="str">
        <f>IF(OR($A242="",$B242=""),"",IF(COUNTIFS($A$2:$A242,$A242,$B$2:$B242,$B242)=1,1,0))</f>
        <v/>
      </c>
      <c r="J242" t="str">
        <f t="shared" si="3"/>
        <v/>
      </c>
      <c r="L242" t="str">
        <f>IF('01_Warehouse_Ledger'!$A242="","",'01_Warehouse_Ledger'!$A242)</f>
        <v>PAL-0000242</v>
      </c>
    </row>
    <row r="243" spans="9:12">
      <c r="I243" t="str">
        <f>IF(OR($A243="",$B243=""),"",IF(COUNTIFS($A$2:$A243,$A243,$B$2:$B243,$B243)=1,1,0))</f>
        <v/>
      </c>
      <c r="J243" t="str">
        <f t="shared" si="3"/>
        <v/>
      </c>
      <c r="L243" t="str">
        <f>IF('01_Warehouse_Ledger'!$A243="","",'01_Warehouse_Ledger'!$A243)</f>
        <v>PAL-0000243</v>
      </c>
    </row>
    <row r="244" spans="9:12">
      <c r="I244" t="str">
        <f>IF(OR($A244="",$B244=""),"",IF(COUNTIFS($A$2:$A244,$A244,$B$2:$B244,$B244)=1,1,0))</f>
        <v/>
      </c>
      <c r="J244" t="str">
        <f t="shared" si="3"/>
        <v/>
      </c>
      <c r="L244" t="str">
        <f>IF('01_Warehouse_Ledger'!$A244="","",'01_Warehouse_Ledger'!$A244)</f>
        <v>PAL-0000244</v>
      </c>
    </row>
    <row r="245" spans="9:12">
      <c r="I245" t="str">
        <f>IF(OR($A245="",$B245=""),"",IF(COUNTIFS($A$2:$A245,$A245,$B$2:$B245,$B245)=1,1,0))</f>
        <v/>
      </c>
      <c r="J245" t="str">
        <f t="shared" si="3"/>
        <v/>
      </c>
      <c r="L245" t="str">
        <f>IF('01_Warehouse_Ledger'!$A245="","",'01_Warehouse_Ledger'!$A245)</f>
        <v>PAL-0000245</v>
      </c>
    </row>
    <row r="246" spans="9:12">
      <c r="I246" t="str">
        <f>IF(OR($A246="",$B246=""),"",IF(COUNTIFS($A$2:$A246,$A246,$B$2:$B246,$B246)=1,1,0))</f>
        <v/>
      </c>
      <c r="J246" t="str">
        <f t="shared" si="3"/>
        <v/>
      </c>
      <c r="L246" t="str">
        <f>IF('01_Warehouse_Ledger'!$A246="","",'01_Warehouse_Ledger'!$A246)</f>
        <v>PAL-0000246</v>
      </c>
    </row>
    <row r="247" spans="9:12">
      <c r="I247" t="str">
        <f>IF(OR($A247="",$B247=""),"",IF(COUNTIFS($A$2:$A247,$A247,$B$2:$B247,$B247)=1,1,0))</f>
        <v/>
      </c>
      <c r="J247" t="str">
        <f t="shared" si="3"/>
        <v/>
      </c>
      <c r="L247" t="str">
        <f>IF('01_Warehouse_Ledger'!$A247="","",'01_Warehouse_Ledger'!$A247)</f>
        <v>PAL-0000247</v>
      </c>
    </row>
    <row r="248" spans="9:12">
      <c r="I248" t="str">
        <f>IF(OR($A248="",$B248=""),"",IF(COUNTIFS($A$2:$A248,$A248,$B$2:$B248,$B248)=1,1,0))</f>
        <v/>
      </c>
      <c r="J248" t="str">
        <f t="shared" si="3"/>
        <v/>
      </c>
      <c r="L248" t="str">
        <f>IF('01_Warehouse_Ledger'!$A248="","",'01_Warehouse_Ledger'!$A248)</f>
        <v>PAL-0000248</v>
      </c>
    </row>
    <row r="249" spans="9:12">
      <c r="I249" t="str">
        <f>IF(OR($A249="",$B249=""),"",IF(COUNTIFS($A$2:$A249,$A249,$B$2:$B249,$B249)=1,1,0))</f>
        <v/>
      </c>
      <c r="J249" t="str">
        <f t="shared" si="3"/>
        <v/>
      </c>
      <c r="L249" t="str">
        <f>IF('01_Warehouse_Ledger'!$A249="","",'01_Warehouse_Ledger'!$A249)</f>
        <v>PAL-0000249</v>
      </c>
    </row>
    <row r="250" spans="9:12">
      <c r="I250" t="str">
        <f>IF(OR($A250="",$B250=""),"",IF(COUNTIFS($A$2:$A250,$A250,$B$2:$B250,$B250)=1,1,0))</f>
        <v/>
      </c>
      <c r="J250" t="str">
        <f t="shared" si="3"/>
        <v/>
      </c>
      <c r="L250" t="str">
        <f>IF('01_Warehouse_Ledger'!$A250="","",'01_Warehouse_Ledger'!$A250)</f>
        <v>PAL-0000250</v>
      </c>
    </row>
    <row r="251" spans="9:12">
      <c r="I251" t="str">
        <f>IF(OR($A251="",$B251=""),"",IF(COUNTIFS($A$2:$A251,$A251,$B$2:$B251,$B251)=1,1,0))</f>
        <v/>
      </c>
      <c r="J251" t="str">
        <f t="shared" si="3"/>
        <v/>
      </c>
      <c r="L251" t="str">
        <f>IF('01_Warehouse_Ledger'!$A251="","",'01_Warehouse_Ledger'!$A251)</f>
        <v>PAL-0000251</v>
      </c>
    </row>
    <row r="252" spans="9:12">
      <c r="I252" t="str">
        <f>IF(OR($A252="",$B252=""),"",IF(COUNTIFS($A$2:$A252,$A252,$B$2:$B252,$B252)=1,1,0))</f>
        <v/>
      </c>
      <c r="J252" t="str">
        <f t="shared" si="3"/>
        <v/>
      </c>
      <c r="L252" t="str">
        <f>IF('01_Warehouse_Ledger'!$A252="","",'01_Warehouse_Ledger'!$A252)</f>
        <v>PAL-0000252</v>
      </c>
    </row>
    <row r="253" spans="9:12">
      <c r="I253" t="str">
        <f>IF(OR($A253="",$B253=""),"",IF(COUNTIFS($A$2:$A253,$A253,$B$2:$B253,$B253)=1,1,0))</f>
        <v/>
      </c>
      <c r="J253" t="str">
        <f t="shared" si="3"/>
        <v/>
      </c>
      <c r="L253" t="str">
        <f>IF('01_Warehouse_Ledger'!$A253="","",'01_Warehouse_Ledger'!$A253)</f>
        <v>PAL-0000253</v>
      </c>
    </row>
    <row r="254" spans="9:12">
      <c r="I254" t="str">
        <f>IF(OR($A254="",$B254=""),"",IF(COUNTIFS($A$2:$A254,$A254,$B$2:$B254,$B254)=1,1,0))</f>
        <v/>
      </c>
      <c r="J254" t="str">
        <f t="shared" si="3"/>
        <v/>
      </c>
      <c r="L254" t="str">
        <f>IF('01_Warehouse_Ledger'!$A254="","",'01_Warehouse_Ledger'!$A254)</f>
        <v>PAL-0000254</v>
      </c>
    </row>
    <row r="255" spans="9:12">
      <c r="I255" t="str">
        <f>IF(OR($A255="",$B255=""),"",IF(COUNTIFS($A$2:$A255,$A255,$B$2:$B255,$B255)=1,1,0))</f>
        <v/>
      </c>
      <c r="J255" t="str">
        <f t="shared" si="3"/>
        <v/>
      </c>
      <c r="L255" t="str">
        <f>IF('01_Warehouse_Ledger'!$A255="","",'01_Warehouse_Ledger'!$A255)</f>
        <v>PAL-0000255</v>
      </c>
    </row>
    <row r="256" spans="9:12">
      <c r="I256" t="str">
        <f>IF(OR($A256="",$B256=""),"",IF(COUNTIFS($A$2:$A256,$A256,$B$2:$B256,$B256)=1,1,0))</f>
        <v/>
      </c>
      <c r="J256" t="str">
        <f t="shared" si="3"/>
        <v/>
      </c>
      <c r="L256" t="str">
        <f>IF('01_Warehouse_Ledger'!$A256="","",'01_Warehouse_Ledger'!$A256)</f>
        <v>PAL-0000256</v>
      </c>
    </row>
    <row r="257" spans="9:12">
      <c r="I257" t="str">
        <f>IF(OR($A257="",$B257=""),"",IF(COUNTIFS($A$2:$A257,$A257,$B$2:$B257,$B257)=1,1,0))</f>
        <v/>
      </c>
      <c r="J257" t="str">
        <f t="shared" si="3"/>
        <v/>
      </c>
      <c r="L257" t="str">
        <f>IF('01_Warehouse_Ledger'!$A257="","",'01_Warehouse_Ledger'!$A257)</f>
        <v>PAL-0000257</v>
      </c>
    </row>
    <row r="258" spans="9:12">
      <c r="I258" t="str">
        <f>IF(OR($A258="",$B258=""),"",IF(COUNTIFS($A$2:$A258,$A258,$B$2:$B258,$B258)=1,1,0))</f>
        <v/>
      </c>
      <c r="J258" t="str">
        <f t="shared" ref="J258:J321" si="4">IF($A258="","",ROW())</f>
        <v/>
      </c>
      <c r="L258" t="str">
        <f>IF('01_Warehouse_Ledger'!$A258="","",'01_Warehouse_Ledger'!$A258)</f>
        <v>PAL-0000258</v>
      </c>
    </row>
    <row r="259" spans="9:12">
      <c r="I259" t="str">
        <f>IF(OR($A259="",$B259=""),"",IF(COUNTIFS($A$2:$A259,$A259,$B$2:$B259,$B259)=1,1,0))</f>
        <v/>
      </c>
      <c r="J259" t="str">
        <f t="shared" si="4"/>
        <v/>
      </c>
      <c r="L259" t="str">
        <f>IF('01_Warehouse_Ledger'!$A259="","",'01_Warehouse_Ledger'!$A259)</f>
        <v>PAL-0000259</v>
      </c>
    </row>
    <row r="260" spans="9:12">
      <c r="I260" t="str">
        <f>IF(OR($A260="",$B260=""),"",IF(COUNTIFS($A$2:$A260,$A260,$B$2:$B260,$B260)=1,1,0))</f>
        <v/>
      </c>
      <c r="J260" t="str">
        <f t="shared" si="4"/>
        <v/>
      </c>
      <c r="L260" t="str">
        <f>IF('01_Warehouse_Ledger'!$A260="","",'01_Warehouse_Ledger'!$A260)</f>
        <v>PAL-0000260</v>
      </c>
    </row>
    <row r="261" spans="9:12">
      <c r="I261" t="str">
        <f>IF(OR($A261="",$B261=""),"",IF(COUNTIFS($A$2:$A261,$A261,$B$2:$B261,$B261)=1,1,0))</f>
        <v/>
      </c>
      <c r="J261" t="str">
        <f t="shared" si="4"/>
        <v/>
      </c>
      <c r="L261" t="str">
        <f>IF('01_Warehouse_Ledger'!$A261="","",'01_Warehouse_Ledger'!$A261)</f>
        <v>PAL-0000261</v>
      </c>
    </row>
    <row r="262" spans="9:12">
      <c r="I262" t="str">
        <f>IF(OR($A262="",$B262=""),"",IF(COUNTIFS($A$2:$A262,$A262,$B$2:$B262,$B262)=1,1,0))</f>
        <v/>
      </c>
      <c r="J262" t="str">
        <f t="shared" si="4"/>
        <v/>
      </c>
      <c r="L262" t="str">
        <f>IF('01_Warehouse_Ledger'!$A262="","",'01_Warehouse_Ledger'!$A262)</f>
        <v>PAL-0000262</v>
      </c>
    </row>
    <row r="263" spans="9:12">
      <c r="I263" t="str">
        <f>IF(OR($A263="",$B263=""),"",IF(COUNTIFS($A$2:$A263,$A263,$B$2:$B263,$B263)=1,1,0))</f>
        <v/>
      </c>
      <c r="J263" t="str">
        <f t="shared" si="4"/>
        <v/>
      </c>
      <c r="L263" t="str">
        <f>IF('01_Warehouse_Ledger'!$A263="","",'01_Warehouse_Ledger'!$A263)</f>
        <v>PAL-0000263</v>
      </c>
    </row>
    <row r="264" spans="9:12">
      <c r="I264" t="str">
        <f>IF(OR($A264="",$B264=""),"",IF(COUNTIFS($A$2:$A264,$A264,$B$2:$B264,$B264)=1,1,0))</f>
        <v/>
      </c>
      <c r="J264" t="str">
        <f t="shared" si="4"/>
        <v/>
      </c>
      <c r="L264" t="str">
        <f>IF('01_Warehouse_Ledger'!$A264="","",'01_Warehouse_Ledger'!$A264)</f>
        <v>PAL-0000264</v>
      </c>
    </row>
    <row r="265" spans="9:12">
      <c r="I265" t="str">
        <f>IF(OR($A265="",$B265=""),"",IF(COUNTIFS($A$2:$A265,$A265,$B$2:$B265,$B265)=1,1,0))</f>
        <v/>
      </c>
      <c r="J265" t="str">
        <f t="shared" si="4"/>
        <v/>
      </c>
      <c r="L265" t="str">
        <f>IF('01_Warehouse_Ledger'!$A265="","",'01_Warehouse_Ledger'!$A265)</f>
        <v>PAL-0000265</v>
      </c>
    </row>
    <row r="266" spans="9:12">
      <c r="I266" t="str">
        <f>IF(OR($A266="",$B266=""),"",IF(COUNTIFS($A$2:$A266,$A266,$B$2:$B266,$B266)=1,1,0))</f>
        <v/>
      </c>
      <c r="J266" t="str">
        <f t="shared" si="4"/>
        <v/>
      </c>
      <c r="L266" t="str">
        <f>IF('01_Warehouse_Ledger'!$A266="","",'01_Warehouse_Ledger'!$A266)</f>
        <v>PAL-0000266</v>
      </c>
    </row>
    <row r="267" spans="9:12">
      <c r="I267" t="str">
        <f>IF(OR($A267="",$B267=""),"",IF(COUNTIFS($A$2:$A267,$A267,$B$2:$B267,$B267)=1,1,0))</f>
        <v/>
      </c>
      <c r="J267" t="str">
        <f t="shared" si="4"/>
        <v/>
      </c>
      <c r="L267" t="str">
        <f>IF('01_Warehouse_Ledger'!$A267="","",'01_Warehouse_Ledger'!$A267)</f>
        <v>PAL-0000267</v>
      </c>
    </row>
    <row r="268" spans="9:12">
      <c r="I268" t="str">
        <f>IF(OR($A268="",$B268=""),"",IF(COUNTIFS($A$2:$A268,$A268,$B$2:$B268,$B268)=1,1,0))</f>
        <v/>
      </c>
      <c r="J268" t="str">
        <f t="shared" si="4"/>
        <v/>
      </c>
      <c r="L268" t="str">
        <f>IF('01_Warehouse_Ledger'!$A268="","",'01_Warehouse_Ledger'!$A268)</f>
        <v>PAL-0000268</v>
      </c>
    </row>
    <row r="269" spans="9:12">
      <c r="I269" t="str">
        <f>IF(OR($A269="",$B269=""),"",IF(COUNTIFS($A$2:$A269,$A269,$B$2:$B269,$B269)=1,1,0))</f>
        <v/>
      </c>
      <c r="J269" t="str">
        <f t="shared" si="4"/>
        <v/>
      </c>
      <c r="L269" t="str">
        <f>IF('01_Warehouse_Ledger'!$A269="","",'01_Warehouse_Ledger'!$A269)</f>
        <v>PAL-0000269</v>
      </c>
    </row>
    <row r="270" spans="9:12">
      <c r="I270" t="str">
        <f>IF(OR($A270="",$B270=""),"",IF(COUNTIFS($A$2:$A270,$A270,$B$2:$B270,$B270)=1,1,0))</f>
        <v/>
      </c>
      <c r="J270" t="str">
        <f t="shared" si="4"/>
        <v/>
      </c>
      <c r="L270" t="str">
        <f>IF('01_Warehouse_Ledger'!$A270="","",'01_Warehouse_Ledger'!$A270)</f>
        <v>PAL-0000270</v>
      </c>
    </row>
    <row r="271" spans="9:12">
      <c r="I271" t="str">
        <f>IF(OR($A271="",$B271=""),"",IF(COUNTIFS($A$2:$A271,$A271,$B$2:$B271,$B271)=1,1,0))</f>
        <v/>
      </c>
      <c r="J271" t="str">
        <f t="shared" si="4"/>
        <v/>
      </c>
      <c r="L271" t="str">
        <f>IF('01_Warehouse_Ledger'!$A271="","",'01_Warehouse_Ledger'!$A271)</f>
        <v>PAL-0000271</v>
      </c>
    </row>
    <row r="272" spans="9:12">
      <c r="I272" t="str">
        <f>IF(OR($A272="",$B272=""),"",IF(COUNTIFS($A$2:$A272,$A272,$B$2:$B272,$B272)=1,1,0))</f>
        <v/>
      </c>
      <c r="J272" t="str">
        <f t="shared" si="4"/>
        <v/>
      </c>
      <c r="L272" t="str">
        <f>IF('01_Warehouse_Ledger'!$A272="","",'01_Warehouse_Ledger'!$A272)</f>
        <v>PAL-0000272</v>
      </c>
    </row>
    <row r="273" spans="9:12">
      <c r="I273" t="str">
        <f>IF(OR($A273="",$B273=""),"",IF(COUNTIFS($A$2:$A273,$A273,$B$2:$B273,$B273)=1,1,0))</f>
        <v/>
      </c>
      <c r="J273" t="str">
        <f t="shared" si="4"/>
        <v/>
      </c>
      <c r="L273" t="str">
        <f>IF('01_Warehouse_Ledger'!$A273="","",'01_Warehouse_Ledger'!$A273)</f>
        <v>PAL-0000273</v>
      </c>
    </row>
    <row r="274" spans="9:12">
      <c r="I274" t="str">
        <f>IF(OR($A274="",$B274=""),"",IF(COUNTIFS($A$2:$A274,$A274,$B$2:$B274,$B274)=1,1,0))</f>
        <v/>
      </c>
      <c r="J274" t="str">
        <f t="shared" si="4"/>
        <v/>
      </c>
      <c r="L274" t="str">
        <f>IF('01_Warehouse_Ledger'!$A274="","",'01_Warehouse_Ledger'!$A274)</f>
        <v>PAL-0000274</v>
      </c>
    </row>
    <row r="275" spans="9:12">
      <c r="I275" t="str">
        <f>IF(OR($A275="",$B275=""),"",IF(COUNTIFS($A$2:$A275,$A275,$B$2:$B275,$B275)=1,1,0))</f>
        <v/>
      </c>
      <c r="J275" t="str">
        <f t="shared" si="4"/>
        <v/>
      </c>
      <c r="L275" t="str">
        <f>IF('01_Warehouse_Ledger'!$A275="","",'01_Warehouse_Ledger'!$A275)</f>
        <v>PAL-0000275</v>
      </c>
    </row>
    <row r="276" spans="9:12">
      <c r="I276" t="str">
        <f>IF(OR($A276="",$B276=""),"",IF(COUNTIFS($A$2:$A276,$A276,$B$2:$B276,$B276)=1,1,0))</f>
        <v/>
      </c>
      <c r="J276" t="str">
        <f t="shared" si="4"/>
        <v/>
      </c>
      <c r="L276" t="str">
        <f>IF('01_Warehouse_Ledger'!$A276="","",'01_Warehouse_Ledger'!$A276)</f>
        <v>PAL-0000276</v>
      </c>
    </row>
    <row r="277" spans="9:12">
      <c r="I277" t="str">
        <f>IF(OR($A277="",$B277=""),"",IF(COUNTIFS($A$2:$A277,$A277,$B$2:$B277,$B277)=1,1,0))</f>
        <v/>
      </c>
      <c r="J277" t="str">
        <f t="shared" si="4"/>
        <v/>
      </c>
      <c r="L277" t="str">
        <f>IF('01_Warehouse_Ledger'!$A277="","",'01_Warehouse_Ledger'!$A277)</f>
        <v>PAL-0000277</v>
      </c>
    </row>
    <row r="278" spans="9:12">
      <c r="I278" t="str">
        <f>IF(OR($A278="",$B278=""),"",IF(COUNTIFS($A$2:$A278,$A278,$B$2:$B278,$B278)=1,1,0))</f>
        <v/>
      </c>
      <c r="J278" t="str">
        <f t="shared" si="4"/>
        <v/>
      </c>
      <c r="L278" t="str">
        <f>IF('01_Warehouse_Ledger'!$A278="","",'01_Warehouse_Ledger'!$A278)</f>
        <v>PAL-0000278</v>
      </c>
    </row>
    <row r="279" spans="9:12">
      <c r="I279" t="str">
        <f>IF(OR($A279="",$B279=""),"",IF(COUNTIFS($A$2:$A279,$A279,$B$2:$B279,$B279)=1,1,0))</f>
        <v/>
      </c>
      <c r="J279" t="str">
        <f t="shared" si="4"/>
        <v/>
      </c>
      <c r="L279" t="str">
        <f>IF('01_Warehouse_Ledger'!$A279="","",'01_Warehouse_Ledger'!$A279)</f>
        <v>PAL-0000279</v>
      </c>
    </row>
    <row r="280" spans="9:12">
      <c r="I280" t="str">
        <f>IF(OR($A280="",$B280=""),"",IF(COUNTIFS($A$2:$A280,$A280,$B$2:$B280,$B280)=1,1,0))</f>
        <v/>
      </c>
      <c r="J280" t="str">
        <f t="shared" si="4"/>
        <v/>
      </c>
      <c r="L280" t="str">
        <f>IF('01_Warehouse_Ledger'!$A280="","",'01_Warehouse_Ledger'!$A280)</f>
        <v>PAL-0000280</v>
      </c>
    </row>
    <row r="281" spans="9:12">
      <c r="I281" t="str">
        <f>IF(OR($A281="",$B281=""),"",IF(COUNTIFS($A$2:$A281,$A281,$B$2:$B281,$B281)=1,1,0))</f>
        <v/>
      </c>
      <c r="J281" t="str">
        <f t="shared" si="4"/>
        <v/>
      </c>
      <c r="L281" t="str">
        <f>IF('01_Warehouse_Ledger'!$A281="","",'01_Warehouse_Ledger'!$A281)</f>
        <v>PAL-0000281</v>
      </c>
    </row>
    <row r="282" spans="9:12">
      <c r="I282" t="str">
        <f>IF(OR($A282="",$B282=""),"",IF(COUNTIFS($A$2:$A282,$A282,$B$2:$B282,$B282)=1,1,0))</f>
        <v/>
      </c>
      <c r="J282" t="str">
        <f t="shared" si="4"/>
        <v/>
      </c>
      <c r="L282" t="str">
        <f>IF('01_Warehouse_Ledger'!$A282="","",'01_Warehouse_Ledger'!$A282)</f>
        <v>PAL-0000282</v>
      </c>
    </row>
    <row r="283" spans="9:12">
      <c r="I283" t="str">
        <f>IF(OR($A283="",$B283=""),"",IF(COUNTIFS($A$2:$A283,$A283,$B$2:$B283,$B283)=1,1,0))</f>
        <v/>
      </c>
      <c r="J283" t="str">
        <f t="shared" si="4"/>
        <v/>
      </c>
      <c r="L283" t="str">
        <f>IF('01_Warehouse_Ledger'!$A283="","",'01_Warehouse_Ledger'!$A283)</f>
        <v>PAL-0000283</v>
      </c>
    </row>
    <row r="284" spans="9:12">
      <c r="I284" t="str">
        <f>IF(OR($A284="",$B284=""),"",IF(COUNTIFS($A$2:$A284,$A284,$B$2:$B284,$B284)=1,1,0))</f>
        <v/>
      </c>
      <c r="J284" t="str">
        <f t="shared" si="4"/>
        <v/>
      </c>
      <c r="L284" t="str">
        <f>IF('01_Warehouse_Ledger'!$A284="","",'01_Warehouse_Ledger'!$A284)</f>
        <v>PAL-0000284</v>
      </c>
    </row>
    <row r="285" spans="9:12">
      <c r="I285" t="str">
        <f>IF(OR($A285="",$B285=""),"",IF(COUNTIFS($A$2:$A285,$A285,$B$2:$B285,$B285)=1,1,0))</f>
        <v/>
      </c>
      <c r="J285" t="str">
        <f t="shared" si="4"/>
        <v/>
      </c>
      <c r="L285" t="str">
        <f>IF('01_Warehouse_Ledger'!$A285="","",'01_Warehouse_Ledger'!$A285)</f>
        <v>PAL-0000285</v>
      </c>
    </row>
    <row r="286" spans="9:12">
      <c r="I286" t="str">
        <f>IF(OR($A286="",$B286=""),"",IF(COUNTIFS($A$2:$A286,$A286,$B$2:$B286,$B286)=1,1,0))</f>
        <v/>
      </c>
      <c r="J286" t="str">
        <f t="shared" si="4"/>
        <v/>
      </c>
      <c r="L286" t="str">
        <f>IF('01_Warehouse_Ledger'!$A286="","",'01_Warehouse_Ledger'!$A286)</f>
        <v>PAL-0000286</v>
      </c>
    </row>
    <row r="287" spans="9:12">
      <c r="I287" t="str">
        <f>IF(OR($A287="",$B287=""),"",IF(COUNTIFS($A$2:$A287,$A287,$B$2:$B287,$B287)=1,1,0))</f>
        <v/>
      </c>
      <c r="J287" t="str">
        <f t="shared" si="4"/>
        <v/>
      </c>
      <c r="L287" t="str">
        <f>IF('01_Warehouse_Ledger'!$A287="","",'01_Warehouse_Ledger'!$A287)</f>
        <v>PAL-0000287</v>
      </c>
    </row>
    <row r="288" spans="9:12">
      <c r="I288" t="str">
        <f>IF(OR($A288="",$B288=""),"",IF(COUNTIFS($A$2:$A288,$A288,$B$2:$B288,$B288)=1,1,0))</f>
        <v/>
      </c>
      <c r="J288" t="str">
        <f t="shared" si="4"/>
        <v/>
      </c>
      <c r="L288" t="str">
        <f>IF('01_Warehouse_Ledger'!$A288="","",'01_Warehouse_Ledger'!$A288)</f>
        <v>PAL-0000288</v>
      </c>
    </row>
    <row r="289" spans="9:12">
      <c r="I289" t="str">
        <f>IF(OR($A289="",$B289=""),"",IF(COUNTIFS($A$2:$A289,$A289,$B$2:$B289,$B289)=1,1,0))</f>
        <v/>
      </c>
      <c r="J289" t="str">
        <f t="shared" si="4"/>
        <v/>
      </c>
      <c r="L289" t="str">
        <f>IF('01_Warehouse_Ledger'!$A289="","",'01_Warehouse_Ledger'!$A289)</f>
        <v>PAL-0000289</v>
      </c>
    </row>
    <row r="290" spans="9:12">
      <c r="I290" t="str">
        <f>IF(OR($A290="",$B290=""),"",IF(COUNTIFS($A$2:$A290,$A290,$B$2:$B290,$B290)=1,1,0))</f>
        <v/>
      </c>
      <c r="J290" t="str">
        <f t="shared" si="4"/>
        <v/>
      </c>
      <c r="L290" t="str">
        <f>IF('01_Warehouse_Ledger'!$A290="","",'01_Warehouse_Ledger'!$A290)</f>
        <v>PAL-0000290</v>
      </c>
    </row>
    <row r="291" spans="9:12">
      <c r="I291" t="str">
        <f>IF(OR($A291="",$B291=""),"",IF(COUNTIFS($A$2:$A291,$A291,$B$2:$B291,$B291)=1,1,0))</f>
        <v/>
      </c>
      <c r="J291" t="str">
        <f t="shared" si="4"/>
        <v/>
      </c>
      <c r="L291" t="str">
        <f>IF('01_Warehouse_Ledger'!$A291="","",'01_Warehouse_Ledger'!$A291)</f>
        <v>PAL-0000291</v>
      </c>
    </row>
    <row r="292" spans="9:12">
      <c r="I292" t="str">
        <f>IF(OR($A292="",$B292=""),"",IF(COUNTIFS($A$2:$A292,$A292,$B$2:$B292,$B292)=1,1,0))</f>
        <v/>
      </c>
      <c r="J292" t="str">
        <f t="shared" si="4"/>
        <v/>
      </c>
      <c r="L292" t="str">
        <f>IF('01_Warehouse_Ledger'!$A292="","",'01_Warehouse_Ledger'!$A292)</f>
        <v>PAL-0000292</v>
      </c>
    </row>
    <row r="293" spans="9:12">
      <c r="I293" t="str">
        <f>IF(OR($A293="",$B293=""),"",IF(COUNTIFS($A$2:$A293,$A293,$B$2:$B293,$B293)=1,1,0))</f>
        <v/>
      </c>
      <c r="J293" t="str">
        <f t="shared" si="4"/>
        <v/>
      </c>
      <c r="L293" t="str">
        <f>IF('01_Warehouse_Ledger'!$A293="","",'01_Warehouse_Ledger'!$A293)</f>
        <v>PAL-0000293</v>
      </c>
    </row>
    <row r="294" spans="9:12">
      <c r="I294" t="str">
        <f>IF(OR($A294="",$B294=""),"",IF(COUNTIFS($A$2:$A294,$A294,$B$2:$B294,$B294)=1,1,0))</f>
        <v/>
      </c>
      <c r="J294" t="str">
        <f t="shared" si="4"/>
        <v/>
      </c>
      <c r="L294" t="str">
        <f>IF('01_Warehouse_Ledger'!$A294="","",'01_Warehouse_Ledger'!$A294)</f>
        <v>PAL-0000294</v>
      </c>
    </row>
    <row r="295" spans="9:12">
      <c r="I295" t="str">
        <f>IF(OR($A295="",$B295=""),"",IF(COUNTIFS($A$2:$A295,$A295,$B$2:$B295,$B295)=1,1,0))</f>
        <v/>
      </c>
      <c r="J295" t="str">
        <f t="shared" si="4"/>
        <v/>
      </c>
      <c r="L295" t="str">
        <f>IF('01_Warehouse_Ledger'!$A295="","",'01_Warehouse_Ledger'!$A295)</f>
        <v>PAL-0000295</v>
      </c>
    </row>
    <row r="296" spans="9:12">
      <c r="I296" t="str">
        <f>IF(OR($A296="",$B296=""),"",IF(COUNTIFS($A$2:$A296,$A296,$B$2:$B296,$B296)=1,1,0))</f>
        <v/>
      </c>
      <c r="J296" t="str">
        <f t="shared" si="4"/>
        <v/>
      </c>
      <c r="L296" t="str">
        <f>IF('01_Warehouse_Ledger'!$A296="","",'01_Warehouse_Ledger'!$A296)</f>
        <v>PAL-0000296</v>
      </c>
    </row>
    <row r="297" spans="9:12">
      <c r="I297" t="str">
        <f>IF(OR($A297="",$B297=""),"",IF(COUNTIFS($A$2:$A297,$A297,$B$2:$B297,$B297)=1,1,0))</f>
        <v/>
      </c>
      <c r="J297" t="str">
        <f t="shared" si="4"/>
        <v/>
      </c>
      <c r="L297" t="str">
        <f>IF('01_Warehouse_Ledger'!$A297="","",'01_Warehouse_Ledger'!$A297)</f>
        <v>PAL-0000297</v>
      </c>
    </row>
    <row r="298" spans="9:12">
      <c r="I298" t="str">
        <f>IF(OR($A298="",$B298=""),"",IF(COUNTIFS($A$2:$A298,$A298,$B$2:$B298,$B298)=1,1,0))</f>
        <v/>
      </c>
      <c r="J298" t="str">
        <f t="shared" si="4"/>
        <v/>
      </c>
      <c r="L298" t="str">
        <f>IF('01_Warehouse_Ledger'!$A298="","",'01_Warehouse_Ledger'!$A298)</f>
        <v>PAL-0000298</v>
      </c>
    </row>
    <row r="299" spans="9:12">
      <c r="I299" t="str">
        <f>IF(OR($A299="",$B299=""),"",IF(COUNTIFS($A$2:$A299,$A299,$B$2:$B299,$B299)=1,1,0))</f>
        <v/>
      </c>
      <c r="J299" t="str">
        <f t="shared" si="4"/>
        <v/>
      </c>
      <c r="L299" t="str">
        <f>IF('01_Warehouse_Ledger'!$A299="","",'01_Warehouse_Ledger'!$A299)</f>
        <v>PAL-0000299</v>
      </c>
    </row>
    <row r="300" spans="9:12">
      <c r="I300" t="str">
        <f>IF(OR($A300="",$B300=""),"",IF(COUNTIFS($A$2:$A300,$A300,$B$2:$B300,$B300)=1,1,0))</f>
        <v/>
      </c>
      <c r="J300" t="str">
        <f t="shared" si="4"/>
        <v/>
      </c>
      <c r="L300" t="str">
        <f>IF('01_Warehouse_Ledger'!$A300="","",'01_Warehouse_Ledger'!$A300)</f>
        <v>PAL-0000300</v>
      </c>
    </row>
    <row r="301" spans="9:12">
      <c r="I301" t="str">
        <f>IF(OR($A301="",$B301=""),"",IF(COUNTIFS($A$2:$A301,$A301,$B$2:$B301,$B301)=1,1,0))</f>
        <v/>
      </c>
      <c r="J301" t="str">
        <f t="shared" si="4"/>
        <v/>
      </c>
      <c r="L301" t="str">
        <f>IF('01_Warehouse_Ledger'!$A301="","",'01_Warehouse_Ledger'!$A301)</f>
        <v>PAL-0000301</v>
      </c>
    </row>
    <row r="302" spans="9:12">
      <c r="I302" t="str">
        <f>IF(OR($A302="",$B302=""),"",IF(COUNTIFS($A$2:$A302,$A302,$B$2:$B302,$B302)=1,1,0))</f>
        <v/>
      </c>
      <c r="J302" t="str">
        <f t="shared" si="4"/>
        <v/>
      </c>
      <c r="L302" t="str">
        <f>IF('01_Warehouse_Ledger'!$A302="","",'01_Warehouse_Ledger'!$A302)</f>
        <v>PAL-0000302</v>
      </c>
    </row>
    <row r="303" spans="9:12">
      <c r="I303" t="str">
        <f>IF(OR($A303="",$B303=""),"",IF(COUNTIFS($A$2:$A303,$A303,$B$2:$B303,$B303)=1,1,0))</f>
        <v/>
      </c>
      <c r="J303" t="str">
        <f t="shared" si="4"/>
        <v/>
      </c>
      <c r="L303" t="str">
        <f>IF('01_Warehouse_Ledger'!$A303="","",'01_Warehouse_Ledger'!$A303)</f>
        <v>PAL-0000303</v>
      </c>
    </row>
    <row r="304" spans="9:12">
      <c r="I304" t="str">
        <f>IF(OR($A304="",$B304=""),"",IF(COUNTIFS($A$2:$A304,$A304,$B$2:$B304,$B304)=1,1,0))</f>
        <v/>
      </c>
      <c r="J304" t="str">
        <f t="shared" si="4"/>
        <v/>
      </c>
      <c r="L304" t="str">
        <f>IF('01_Warehouse_Ledger'!$A304="","",'01_Warehouse_Ledger'!$A304)</f>
        <v>PAL-0000304</v>
      </c>
    </row>
    <row r="305" spans="9:12">
      <c r="I305" t="str">
        <f>IF(OR($A305="",$B305=""),"",IF(COUNTIFS($A$2:$A305,$A305,$B$2:$B305,$B305)=1,1,0))</f>
        <v/>
      </c>
      <c r="J305" t="str">
        <f t="shared" si="4"/>
        <v/>
      </c>
      <c r="L305" t="str">
        <f>IF('01_Warehouse_Ledger'!$A305="","",'01_Warehouse_Ledger'!$A305)</f>
        <v>PAL-0000305</v>
      </c>
    </row>
    <row r="306" spans="9:12">
      <c r="I306" t="str">
        <f>IF(OR($A306="",$B306=""),"",IF(COUNTIFS($A$2:$A306,$A306,$B$2:$B306,$B306)=1,1,0))</f>
        <v/>
      </c>
      <c r="J306" t="str">
        <f t="shared" si="4"/>
        <v/>
      </c>
      <c r="L306" t="str">
        <f>IF('01_Warehouse_Ledger'!$A306="","",'01_Warehouse_Ledger'!$A306)</f>
        <v>PAL-0000306</v>
      </c>
    </row>
    <row r="307" spans="9:12">
      <c r="I307" t="str">
        <f>IF(OR($A307="",$B307=""),"",IF(COUNTIFS($A$2:$A307,$A307,$B$2:$B307,$B307)=1,1,0))</f>
        <v/>
      </c>
      <c r="J307" t="str">
        <f t="shared" si="4"/>
        <v/>
      </c>
      <c r="L307" t="str">
        <f>IF('01_Warehouse_Ledger'!$A307="","",'01_Warehouse_Ledger'!$A307)</f>
        <v>PAL-0000307</v>
      </c>
    </row>
    <row r="308" spans="9:12">
      <c r="I308" t="str">
        <f>IF(OR($A308="",$B308=""),"",IF(COUNTIFS($A$2:$A308,$A308,$B$2:$B308,$B308)=1,1,0))</f>
        <v/>
      </c>
      <c r="J308" t="str">
        <f t="shared" si="4"/>
        <v/>
      </c>
      <c r="L308" t="str">
        <f>IF('01_Warehouse_Ledger'!$A308="","",'01_Warehouse_Ledger'!$A308)</f>
        <v>PAL-0000308</v>
      </c>
    </row>
    <row r="309" spans="9:12">
      <c r="I309" t="str">
        <f>IF(OR($A309="",$B309=""),"",IF(COUNTIFS($A$2:$A309,$A309,$B$2:$B309,$B309)=1,1,0))</f>
        <v/>
      </c>
      <c r="J309" t="str">
        <f t="shared" si="4"/>
        <v/>
      </c>
      <c r="L309" t="str">
        <f>IF('01_Warehouse_Ledger'!$A309="","",'01_Warehouse_Ledger'!$A309)</f>
        <v>PAL-0000309</v>
      </c>
    </row>
    <row r="310" spans="9:12">
      <c r="I310" t="str">
        <f>IF(OR($A310="",$B310=""),"",IF(COUNTIFS($A$2:$A310,$A310,$B$2:$B310,$B310)=1,1,0))</f>
        <v/>
      </c>
      <c r="J310" t="str">
        <f t="shared" si="4"/>
        <v/>
      </c>
      <c r="L310" t="str">
        <f>IF('01_Warehouse_Ledger'!$A310="","",'01_Warehouse_Ledger'!$A310)</f>
        <v>PAL-0000310</v>
      </c>
    </row>
    <row r="311" spans="9:12">
      <c r="I311" t="str">
        <f>IF(OR($A311="",$B311=""),"",IF(COUNTIFS($A$2:$A311,$A311,$B$2:$B311,$B311)=1,1,0))</f>
        <v/>
      </c>
      <c r="J311" t="str">
        <f t="shared" si="4"/>
        <v/>
      </c>
      <c r="L311" t="str">
        <f>IF('01_Warehouse_Ledger'!$A311="","",'01_Warehouse_Ledger'!$A311)</f>
        <v>PAL-0000311</v>
      </c>
    </row>
    <row r="312" spans="9:12">
      <c r="I312" t="str">
        <f>IF(OR($A312="",$B312=""),"",IF(COUNTIFS($A$2:$A312,$A312,$B$2:$B312,$B312)=1,1,0))</f>
        <v/>
      </c>
      <c r="J312" t="str">
        <f t="shared" si="4"/>
        <v/>
      </c>
      <c r="L312" t="str">
        <f>IF('01_Warehouse_Ledger'!$A312="","",'01_Warehouse_Ledger'!$A312)</f>
        <v>PAL-0000312</v>
      </c>
    </row>
    <row r="313" spans="9:12">
      <c r="I313" t="str">
        <f>IF(OR($A313="",$B313=""),"",IF(COUNTIFS($A$2:$A313,$A313,$B$2:$B313,$B313)=1,1,0))</f>
        <v/>
      </c>
      <c r="J313" t="str">
        <f t="shared" si="4"/>
        <v/>
      </c>
      <c r="L313" t="str">
        <f>IF('01_Warehouse_Ledger'!$A313="","",'01_Warehouse_Ledger'!$A313)</f>
        <v>PAL-0000313</v>
      </c>
    </row>
    <row r="314" spans="9:12">
      <c r="I314" t="str">
        <f>IF(OR($A314="",$B314=""),"",IF(COUNTIFS($A$2:$A314,$A314,$B$2:$B314,$B314)=1,1,0))</f>
        <v/>
      </c>
      <c r="J314" t="str">
        <f t="shared" si="4"/>
        <v/>
      </c>
      <c r="L314" t="str">
        <f>IF('01_Warehouse_Ledger'!$A314="","",'01_Warehouse_Ledger'!$A314)</f>
        <v>PAL-0000314</v>
      </c>
    </row>
    <row r="315" spans="9:12">
      <c r="I315" t="str">
        <f>IF(OR($A315="",$B315=""),"",IF(COUNTIFS($A$2:$A315,$A315,$B$2:$B315,$B315)=1,1,0))</f>
        <v/>
      </c>
      <c r="J315" t="str">
        <f t="shared" si="4"/>
        <v/>
      </c>
      <c r="L315" t="str">
        <f>IF('01_Warehouse_Ledger'!$A315="","",'01_Warehouse_Ledger'!$A315)</f>
        <v>PAL-0000315</v>
      </c>
    </row>
    <row r="316" spans="9:12">
      <c r="I316" t="str">
        <f>IF(OR($A316="",$B316=""),"",IF(COUNTIFS($A$2:$A316,$A316,$B$2:$B316,$B316)=1,1,0))</f>
        <v/>
      </c>
      <c r="J316" t="str">
        <f t="shared" si="4"/>
        <v/>
      </c>
      <c r="L316" t="str">
        <f>IF('01_Warehouse_Ledger'!$A316="","",'01_Warehouse_Ledger'!$A316)</f>
        <v>PAL-0000316</v>
      </c>
    </row>
    <row r="317" spans="9:12">
      <c r="I317" t="str">
        <f>IF(OR($A317="",$B317=""),"",IF(COUNTIFS($A$2:$A317,$A317,$B$2:$B317,$B317)=1,1,0))</f>
        <v/>
      </c>
      <c r="J317" t="str">
        <f t="shared" si="4"/>
        <v/>
      </c>
      <c r="L317" t="str">
        <f>IF('01_Warehouse_Ledger'!$A317="","",'01_Warehouse_Ledger'!$A317)</f>
        <v>PAL-0000317</v>
      </c>
    </row>
    <row r="318" spans="9:12">
      <c r="I318" t="str">
        <f>IF(OR($A318="",$B318=""),"",IF(COUNTIFS($A$2:$A318,$A318,$B$2:$B318,$B318)=1,1,0))</f>
        <v/>
      </c>
      <c r="J318" t="str">
        <f t="shared" si="4"/>
        <v/>
      </c>
      <c r="L318" t="str">
        <f>IF('01_Warehouse_Ledger'!$A318="","",'01_Warehouse_Ledger'!$A318)</f>
        <v>PAL-0000318</v>
      </c>
    </row>
    <row r="319" spans="9:12">
      <c r="I319" t="str">
        <f>IF(OR($A319="",$B319=""),"",IF(COUNTIFS($A$2:$A319,$A319,$B$2:$B319,$B319)=1,1,0))</f>
        <v/>
      </c>
      <c r="J319" t="str">
        <f t="shared" si="4"/>
        <v/>
      </c>
      <c r="L319" t="str">
        <f>IF('01_Warehouse_Ledger'!$A319="","",'01_Warehouse_Ledger'!$A319)</f>
        <v>PAL-0000319</v>
      </c>
    </row>
    <row r="320" spans="9:12">
      <c r="I320" t="str">
        <f>IF(OR($A320="",$B320=""),"",IF(COUNTIFS($A$2:$A320,$A320,$B$2:$B320,$B320)=1,1,0))</f>
        <v/>
      </c>
      <c r="J320" t="str">
        <f t="shared" si="4"/>
        <v/>
      </c>
      <c r="L320" t="str">
        <f>IF('01_Warehouse_Ledger'!$A320="","",'01_Warehouse_Ledger'!$A320)</f>
        <v>PAL-0000320</v>
      </c>
    </row>
    <row r="321" spans="9:12">
      <c r="I321" t="str">
        <f>IF(OR($A321="",$B321=""),"",IF(COUNTIFS($A$2:$A321,$A321,$B$2:$B321,$B321)=1,1,0))</f>
        <v/>
      </c>
      <c r="J321" t="str">
        <f t="shared" si="4"/>
        <v/>
      </c>
      <c r="L321" t="str">
        <f>IF('01_Warehouse_Ledger'!$A321="","",'01_Warehouse_Ledger'!$A321)</f>
        <v>PAL-0000321</v>
      </c>
    </row>
    <row r="322" spans="9:12">
      <c r="I322" t="str">
        <f>IF(OR($A322="",$B322=""),"",IF(COUNTIFS($A$2:$A322,$A322,$B$2:$B322,$B322)=1,1,0))</f>
        <v/>
      </c>
      <c r="J322" t="str">
        <f t="shared" ref="J322:J385" si="5">IF($A322="","",ROW())</f>
        <v/>
      </c>
      <c r="L322" t="str">
        <f>IF('01_Warehouse_Ledger'!$A322="","",'01_Warehouse_Ledger'!$A322)</f>
        <v>PAL-0000322</v>
      </c>
    </row>
    <row r="323" spans="9:12">
      <c r="I323" t="str">
        <f>IF(OR($A323="",$B323=""),"",IF(COUNTIFS($A$2:$A323,$A323,$B$2:$B323,$B323)=1,1,0))</f>
        <v/>
      </c>
      <c r="J323" t="str">
        <f t="shared" si="5"/>
        <v/>
      </c>
      <c r="L323" t="str">
        <f>IF('01_Warehouse_Ledger'!$A323="","",'01_Warehouse_Ledger'!$A323)</f>
        <v>PAL-0000323</v>
      </c>
    </row>
    <row r="324" spans="9:12">
      <c r="I324" t="str">
        <f>IF(OR($A324="",$B324=""),"",IF(COUNTIFS($A$2:$A324,$A324,$B$2:$B324,$B324)=1,1,0))</f>
        <v/>
      </c>
      <c r="J324" t="str">
        <f t="shared" si="5"/>
        <v/>
      </c>
      <c r="L324" t="str">
        <f>IF('01_Warehouse_Ledger'!$A324="","",'01_Warehouse_Ledger'!$A324)</f>
        <v>PAL-0000324</v>
      </c>
    </row>
    <row r="325" spans="9:12">
      <c r="I325" t="str">
        <f>IF(OR($A325="",$B325=""),"",IF(COUNTIFS($A$2:$A325,$A325,$B$2:$B325,$B325)=1,1,0))</f>
        <v/>
      </c>
      <c r="J325" t="str">
        <f t="shared" si="5"/>
        <v/>
      </c>
      <c r="L325" t="str">
        <f>IF('01_Warehouse_Ledger'!$A325="","",'01_Warehouse_Ledger'!$A325)</f>
        <v>PAL-0000325</v>
      </c>
    </row>
    <row r="326" spans="9:12">
      <c r="I326" t="str">
        <f>IF(OR($A326="",$B326=""),"",IF(COUNTIFS($A$2:$A326,$A326,$B$2:$B326,$B326)=1,1,0))</f>
        <v/>
      </c>
      <c r="J326" t="str">
        <f t="shared" si="5"/>
        <v/>
      </c>
      <c r="L326" t="str">
        <f>IF('01_Warehouse_Ledger'!$A326="","",'01_Warehouse_Ledger'!$A326)</f>
        <v>PAL-0000326</v>
      </c>
    </row>
    <row r="327" spans="9:12">
      <c r="I327" t="str">
        <f>IF(OR($A327="",$B327=""),"",IF(COUNTIFS($A$2:$A327,$A327,$B$2:$B327,$B327)=1,1,0))</f>
        <v/>
      </c>
      <c r="J327" t="str">
        <f t="shared" si="5"/>
        <v/>
      </c>
      <c r="L327" t="str">
        <f>IF('01_Warehouse_Ledger'!$A327="","",'01_Warehouse_Ledger'!$A327)</f>
        <v>PAL-0000327</v>
      </c>
    </row>
    <row r="328" spans="9:12">
      <c r="I328" t="str">
        <f>IF(OR($A328="",$B328=""),"",IF(COUNTIFS($A$2:$A328,$A328,$B$2:$B328,$B328)=1,1,0))</f>
        <v/>
      </c>
      <c r="J328" t="str">
        <f t="shared" si="5"/>
        <v/>
      </c>
      <c r="L328" t="str">
        <f>IF('01_Warehouse_Ledger'!$A328="","",'01_Warehouse_Ledger'!$A328)</f>
        <v>PAL-0000328</v>
      </c>
    </row>
    <row r="329" spans="9:12">
      <c r="I329" t="str">
        <f>IF(OR($A329="",$B329=""),"",IF(COUNTIFS($A$2:$A329,$A329,$B$2:$B329,$B329)=1,1,0))</f>
        <v/>
      </c>
      <c r="J329" t="str">
        <f t="shared" si="5"/>
        <v/>
      </c>
      <c r="L329" t="str">
        <f>IF('01_Warehouse_Ledger'!$A329="","",'01_Warehouse_Ledger'!$A329)</f>
        <v>PAL-0000329</v>
      </c>
    </row>
    <row r="330" spans="9:12">
      <c r="I330" t="str">
        <f>IF(OR($A330="",$B330=""),"",IF(COUNTIFS($A$2:$A330,$A330,$B$2:$B330,$B330)=1,1,0))</f>
        <v/>
      </c>
      <c r="J330" t="str">
        <f t="shared" si="5"/>
        <v/>
      </c>
      <c r="L330" t="str">
        <f>IF('01_Warehouse_Ledger'!$A330="","",'01_Warehouse_Ledger'!$A330)</f>
        <v>PAL-0000330</v>
      </c>
    </row>
    <row r="331" spans="9:12">
      <c r="I331" t="str">
        <f>IF(OR($A331="",$B331=""),"",IF(COUNTIFS($A$2:$A331,$A331,$B$2:$B331,$B331)=1,1,0))</f>
        <v/>
      </c>
      <c r="J331" t="str">
        <f t="shared" si="5"/>
        <v/>
      </c>
      <c r="L331" t="str">
        <f>IF('01_Warehouse_Ledger'!$A331="","",'01_Warehouse_Ledger'!$A331)</f>
        <v>PAL-0000331</v>
      </c>
    </row>
    <row r="332" spans="9:12">
      <c r="I332" t="str">
        <f>IF(OR($A332="",$B332=""),"",IF(COUNTIFS($A$2:$A332,$A332,$B$2:$B332,$B332)=1,1,0))</f>
        <v/>
      </c>
      <c r="J332" t="str">
        <f t="shared" si="5"/>
        <v/>
      </c>
      <c r="L332" t="str">
        <f>IF('01_Warehouse_Ledger'!$A332="","",'01_Warehouse_Ledger'!$A332)</f>
        <v>PAL-0000332</v>
      </c>
    </row>
    <row r="333" spans="9:12">
      <c r="I333" t="str">
        <f>IF(OR($A333="",$B333=""),"",IF(COUNTIFS($A$2:$A333,$A333,$B$2:$B333,$B333)=1,1,0))</f>
        <v/>
      </c>
      <c r="J333" t="str">
        <f t="shared" si="5"/>
        <v/>
      </c>
      <c r="L333" t="str">
        <f>IF('01_Warehouse_Ledger'!$A333="","",'01_Warehouse_Ledger'!$A333)</f>
        <v>PAL-0000333</v>
      </c>
    </row>
    <row r="334" spans="9:12">
      <c r="I334" t="str">
        <f>IF(OR($A334="",$B334=""),"",IF(COUNTIFS($A$2:$A334,$A334,$B$2:$B334,$B334)=1,1,0))</f>
        <v/>
      </c>
      <c r="J334" t="str">
        <f t="shared" si="5"/>
        <v/>
      </c>
      <c r="L334" t="str">
        <f>IF('01_Warehouse_Ledger'!$A334="","",'01_Warehouse_Ledger'!$A334)</f>
        <v>PAL-0000334</v>
      </c>
    </row>
    <row r="335" spans="9:12">
      <c r="I335" t="str">
        <f>IF(OR($A335="",$B335=""),"",IF(COUNTIFS($A$2:$A335,$A335,$B$2:$B335,$B335)=1,1,0))</f>
        <v/>
      </c>
      <c r="J335" t="str">
        <f t="shared" si="5"/>
        <v/>
      </c>
      <c r="L335" t="str">
        <f>IF('01_Warehouse_Ledger'!$A335="","",'01_Warehouse_Ledger'!$A335)</f>
        <v>PAL-0000335</v>
      </c>
    </row>
    <row r="336" spans="9:12">
      <c r="I336" t="str">
        <f>IF(OR($A336="",$B336=""),"",IF(COUNTIFS($A$2:$A336,$A336,$B$2:$B336,$B336)=1,1,0))</f>
        <v/>
      </c>
      <c r="J336" t="str">
        <f t="shared" si="5"/>
        <v/>
      </c>
      <c r="L336" t="str">
        <f>IF('01_Warehouse_Ledger'!$A336="","",'01_Warehouse_Ledger'!$A336)</f>
        <v>PAL-0000336</v>
      </c>
    </row>
    <row r="337" spans="9:12">
      <c r="I337" t="str">
        <f>IF(OR($A337="",$B337=""),"",IF(COUNTIFS($A$2:$A337,$A337,$B$2:$B337,$B337)=1,1,0))</f>
        <v/>
      </c>
      <c r="J337" t="str">
        <f t="shared" si="5"/>
        <v/>
      </c>
      <c r="L337" t="str">
        <f>IF('01_Warehouse_Ledger'!$A337="","",'01_Warehouse_Ledger'!$A337)</f>
        <v>PAL-0000337</v>
      </c>
    </row>
    <row r="338" spans="9:12">
      <c r="I338" t="str">
        <f>IF(OR($A338="",$B338=""),"",IF(COUNTIFS($A$2:$A338,$A338,$B$2:$B338,$B338)=1,1,0))</f>
        <v/>
      </c>
      <c r="J338" t="str">
        <f t="shared" si="5"/>
        <v/>
      </c>
      <c r="L338" t="str">
        <f>IF('01_Warehouse_Ledger'!$A338="","",'01_Warehouse_Ledger'!$A338)</f>
        <v>PAL-0000338</v>
      </c>
    </row>
    <row r="339" spans="9:12">
      <c r="I339" t="str">
        <f>IF(OR($A339="",$B339=""),"",IF(COUNTIFS($A$2:$A339,$A339,$B$2:$B339,$B339)=1,1,0))</f>
        <v/>
      </c>
      <c r="J339" t="str">
        <f t="shared" si="5"/>
        <v/>
      </c>
      <c r="L339" t="str">
        <f>IF('01_Warehouse_Ledger'!$A339="","",'01_Warehouse_Ledger'!$A339)</f>
        <v>PAL-0000339</v>
      </c>
    </row>
    <row r="340" spans="9:12">
      <c r="I340" t="str">
        <f>IF(OR($A340="",$B340=""),"",IF(COUNTIFS($A$2:$A340,$A340,$B$2:$B340,$B340)=1,1,0))</f>
        <v/>
      </c>
      <c r="J340" t="str">
        <f t="shared" si="5"/>
        <v/>
      </c>
      <c r="L340" t="str">
        <f>IF('01_Warehouse_Ledger'!$A340="","",'01_Warehouse_Ledger'!$A340)</f>
        <v>PAL-0000340</v>
      </c>
    </row>
    <row r="341" spans="9:12">
      <c r="I341" t="str">
        <f>IF(OR($A341="",$B341=""),"",IF(COUNTIFS($A$2:$A341,$A341,$B$2:$B341,$B341)=1,1,0))</f>
        <v/>
      </c>
      <c r="J341" t="str">
        <f t="shared" si="5"/>
        <v/>
      </c>
      <c r="L341" t="str">
        <f>IF('01_Warehouse_Ledger'!$A341="","",'01_Warehouse_Ledger'!$A341)</f>
        <v>PAL-0000341</v>
      </c>
    </row>
    <row r="342" spans="9:12">
      <c r="I342" t="str">
        <f>IF(OR($A342="",$B342=""),"",IF(COUNTIFS($A$2:$A342,$A342,$B$2:$B342,$B342)=1,1,0))</f>
        <v/>
      </c>
      <c r="J342" t="str">
        <f t="shared" si="5"/>
        <v/>
      </c>
      <c r="L342" t="str">
        <f>IF('01_Warehouse_Ledger'!$A342="","",'01_Warehouse_Ledger'!$A342)</f>
        <v>PAL-0000342</v>
      </c>
    </row>
    <row r="343" spans="9:12">
      <c r="I343" t="str">
        <f>IF(OR($A343="",$B343=""),"",IF(COUNTIFS($A$2:$A343,$A343,$B$2:$B343,$B343)=1,1,0))</f>
        <v/>
      </c>
      <c r="J343" t="str">
        <f t="shared" si="5"/>
        <v/>
      </c>
      <c r="L343" t="str">
        <f>IF('01_Warehouse_Ledger'!$A343="","",'01_Warehouse_Ledger'!$A343)</f>
        <v>PAL-0000343</v>
      </c>
    </row>
    <row r="344" spans="9:12">
      <c r="I344" t="str">
        <f>IF(OR($A344="",$B344=""),"",IF(COUNTIFS($A$2:$A344,$A344,$B$2:$B344,$B344)=1,1,0))</f>
        <v/>
      </c>
      <c r="J344" t="str">
        <f t="shared" si="5"/>
        <v/>
      </c>
      <c r="L344" t="str">
        <f>IF('01_Warehouse_Ledger'!$A344="","",'01_Warehouse_Ledger'!$A344)</f>
        <v>PAL-0000344</v>
      </c>
    </row>
    <row r="345" spans="9:12">
      <c r="I345" t="str">
        <f>IF(OR($A345="",$B345=""),"",IF(COUNTIFS($A$2:$A345,$A345,$B$2:$B345,$B345)=1,1,0))</f>
        <v/>
      </c>
      <c r="J345" t="str">
        <f t="shared" si="5"/>
        <v/>
      </c>
      <c r="L345" t="str">
        <f>IF('01_Warehouse_Ledger'!$A345="","",'01_Warehouse_Ledger'!$A345)</f>
        <v>PAL-0000345</v>
      </c>
    </row>
    <row r="346" spans="9:12">
      <c r="I346" t="str">
        <f>IF(OR($A346="",$B346=""),"",IF(COUNTIFS($A$2:$A346,$A346,$B$2:$B346,$B346)=1,1,0))</f>
        <v/>
      </c>
      <c r="J346" t="str">
        <f t="shared" si="5"/>
        <v/>
      </c>
      <c r="L346" t="str">
        <f>IF('01_Warehouse_Ledger'!$A346="","",'01_Warehouse_Ledger'!$A346)</f>
        <v>PAL-0000346</v>
      </c>
    </row>
    <row r="347" spans="9:12">
      <c r="I347" t="str">
        <f>IF(OR($A347="",$B347=""),"",IF(COUNTIFS($A$2:$A347,$A347,$B$2:$B347,$B347)=1,1,0))</f>
        <v/>
      </c>
      <c r="J347" t="str">
        <f t="shared" si="5"/>
        <v/>
      </c>
      <c r="L347" t="str">
        <f>IF('01_Warehouse_Ledger'!$A347="","",'01_Warehouse_Ledger'!$A347)</f>
        <v>PAL-0000347</v>
      </c>
    </row>
    <row r="348" spans="9:12">
      <c r="I348" t="str">
        <f>IF(OR($A348="",$B348=""),"",IF(COUNTIFS($A$2:$A348,$A348,$B$2:$B348,$B348)=1,1,0))</f>
        <v/>
      </c>
      <c r="J348" t="str">
        <f t="shared" si="5"/>
        <v/>
      </c>
      <c r="L348" t="str">
        <f>IF('01_Warehouse_Ledger'!$A348="","",'01_Warehouse_Ledger'!$A348)</f>
        <v>PAL-0000348</v>
      </c>
    </row>
    <row r="349" spans="9:12">
      <c r="I349" t="str">
        <f>IF(OR($A349="",$B349=""),"",IF(COUNTIFS($A$2:$A349,$A349,$B$2:$B349,$B349)=1,1,0))</f>
        <v/>
      </c>
      <c r="J349" t="str">
        <f t="shared" si="5"/>
        <v/>
      </c>
      <c r="L349" t="str">
        <f>IF('01_Warehouse_Ledger'!$A349="","",'01_Warehouse_Ledger'!$A349)</f>
        <v>PAL-0000349</v>
      </c>
    </row>
    <row r="350" spans="9:12">
      <c r="I350" t="str">
        <f>IF(OR($A350="",$B350=""),"",IF(COUNTIFS($A$2:$A350,$A350,$B$2:$B350,$B350)=1,1,0))</f>
        <v/>
      </c>
      <c r="J350" t="str">
        <f t="shared" si="5"/>
        <v/>
      </c>
      <c r="L350" t="str">
        <f>IF('01_Warehouse_Ledger'!$A350="","",'01_Warehouse_Ledger'!$A350)</f>
        <v>PAL-0000350</v>
      </c>
    </row>
    <row r="351" spans="9:12">
      <c r="I351" t="str">
        <f>IF(OR($A351="",$B351=""),"",IF(COUNTIFS($A$2:$A351,$A351,$B$2:$B351,$B351)=1,1,0))</f>
        <v/>
      </c>
      <c r="J351" t="str">
        <f t="shared" si="5"/>
        <v/>
      </c>
      <c r="L351" t="str">
        <f>IF('01_Warehouse_Ledger'!$A351="","",'01_Warehouse_Ledger'!$A351)</f>
        <v>PAL-0000351</v>
      </c>
    </row>
    <row r="352" spans="9:12">
      <c r="I352" t="str">
        <f>IF(OR($A352="",$B352=""),"",IF(COUNTIFS($A$2:$A352,$A352,$B$2:$B352,$B352)=1,1,0))</f>
        <v/>
      </c>
      <c r="J352" t="str">
        <f t="shared" si="5"/>
        <v/>
      </c>
      <c r="L352" t="str">
        <f>IF('01_Warehouse_Ledger'!$A352="","",'01_Warehouse_Ledger'!$A352)</f>
        <v>PAL-0000352</v>
      </c>
    </row>
    <row r="353" spans="9:12">
      <c r="I353" t="str">
        <f>IF(OR($A353="",$B353=""),"",IF(COUNTIFS($A$2:$A353,$A353,$B$2:$B353,$B353)=1,1,0))</f>
        <v/>
      </c>
      <c r="J353" t="str">
        <f t="shared" si="5"/>
        <v/>
      </c>
      <c r="L353" t="str">
        <f>IF('01_Warehouse_Ledger'!$A353="","",'01_Warehouse_Ledger'!$A353)</f>
        <v>PAL-0000353</v>
      </c>
    </row>
    <row r="354" spans="9:12">
      <c r="I354" t="str">
        <f>IF(OR($A354="",$B354=""),"",IF(COUNTIFS($A$2:$A354,$A354,$B$2:$B354,$B354)=1,1,0))</f>
        <v/>
      </c>
      <c r="J354" t="str">
        <f t="shared" si="5"/>
        <v/>
      </c>
      <c r="L354" t="str">
        <f>IF('01_Warehouse_Ledger'!$A354="","",'01_Warehouse_Ledger'!$A354)</f>
        <v>PAL-0000354</v>
      </c>
    </row>
    <row r="355" spans="9:12">
      <c r="I355" t="str">
        <f>IF(OR($A355="",$B355=""),"",IF(COUNTIFS($A$2:$A355,$A355,$B$2:$B355,$B355)=1,1,0))</f>
        <v/>
      </c>
      <c r="J355" t="str">
        <f t="shared" si="5"/>
        <v/>
      </c>
      <c r="L355" t="str">
        <f>IF('01_Warehouse_Ledger'!$A355="","",'01_Warehouse_Ledger'!$A355)</f>
        <v>PAL-0000355</v>
      </c>
    </row>
    <row r="356" spans="9:12">
      <c r="I356" t="str">
        <f>IF(OR($A356="",$B356=""),"",IF(COUNTIFS($A$2:$A356,$A356,$B$2:$B356,$B356)=1,1,0))</f>
        <v/>
      </c>
      <c r="J356" t="str">
        <f t="shared" si="5"/>
        <v/>
      </c>
      <c r="L356" t="str">
        <f>IF('01_Warehouse_Ledger'!$A356="","",'01_Warehouse_Ledger'!$A356)</f>
        <v>PAL-0000356</v>
      </c>
    </row>
    <row r="357" spans="9:12">
      <c r="I357" t="str">
        <f>IF(OR($A357="",$B357=""),"",IF(COUNTIFS($A$2:$A357,$A357,$B$2:$B357,$B357)=1,1,0))</f>
        <v/>
      </c>
      <c r="J357" t="str">
        <f t="shared" si="5"/>
        <v/>
      </c>
      <c r="L357" t="str">
        <f>IF('01_Warehouse_Ledger'!$A357="","",'01_Warehouse_Ledger'!$A357)</f>
        <v>PAL-0000357</v>
      </c>
    </row>
    <row r="358" spans="9:12">
      <c r="I358" t="str">
        <f>IF(OR($A358="",$B358=""),"",IF(COUNTIFS($A$2:$A358,$A358,$B$2:$B358,$B358)=1,1,0))</f>
        <v/>
      </c>
      <c r="J358" t="str">
        <f t="shared" si="5"/>
        <v/>
      </c>
      <c r="L358" t="str">
        <f>IF('01_Warehouse_Ledger'!$A358="","",'01_Warehouse_Ledger'!$A358)</f>
        <v>PAL-0000358</v>
      </c>
    </row>
    <row r="359" spans="9:12">
      <c r="I359" t="str">
        <f>IF(OR($A359="",$B359=""),"",IF(COUNTIFS($A$2:$A359,$A359,$B$2:$B359,$B359)=1,1,0))</f>
        <v/>
      </c>
      <c r="J359" t="str">
        <f t="shared" si="5"/>
        <v/>
      </c>
      <c r="L359" t="str">
        <f>IF('01_Warehouse_Ledger'!$A359="","",'01_Warehouse_Ledger'!$A359)</f>
        <v>PAL-0000359</v>
      </c>
    </row>
    <row r="360" spans="9:12">
      <c r="I360" t="str">
        <f>IF(OR($A360="",$B360=""),"",IF(COUNTIFS($A$2:$A360,$A360,$B$2:$B360,$B360)=1,1,0))</f>
        <v/>
      </c>
      <c r="J360" t="str">
        <f t="shared" si="5"/>
        <v/>
      </c>
      <c r="L360" t="str">
        <f>IF('01_Warehouse_Ledger'!$A360="","",'01_Warehouse_Ledger'!$A360)</f>
        <v>PAL-0000360</v>
      </c>
    </row>
    <row r="361" spans="9:12">
      <c r="I361" t="str">
        <f>IF(OR($A361="",$B361=""),"",IF(COUNTIFS($A$2:$A361,$A361,$B$2:$B361,$B361)=1,1,0))</f>
        <v/>
      </c>
      <c r="J361" t="str">
        <f t="shared" si="5"/>
        <v/>
      </c>
      <c r="L361" t="str">
        <f>IF('01_Warehouse_Ledger'!$A361="","",'01_Warehouse_Ledger'!$A361)</f>
        <v>PAL-0000361</v>
      </c>
    </row>
    <row r="362" spans="9:12">
      <c r="I362" t="str">
        <f>IF(OR($A362="",$B362=""),"",IF(COUNTIFS($A$2:$A362,$A362,$B$2:$B362,$B362)=1,1,0))</f>
        <v/>
      </c>
      <c r="J362" t="str">
        <f t="shared" si="5"/>
        <v/>
      </c>
      <c r="L362" t="str">
        <f>IF('01_Warehouse_Ledger'!$A362="","",'01_Warehouse_Ledger'!$A362)</f>
        <v>PAL-0000362</v>
      </c>
    </row>
    <row r="363" spans="9:12">
      <c r="I363" t="str">
        <f>IF(OR($A363="",$B363=""),"",IF(COUNTIFS($A$2:$A363,$A363,$B$2:$B363,$B363)=1,1,0))</f>
        <v/>
      </c>
      <c r="J363" t="str">
        <f t="shared" si="5"/>
        <v/>
      </c>
      <c r="L363" t="str">
        <f>IF('01_Warehouse_Ledger'!$A363="","",'01_Warehouse_Ledger'!$A363)</f>
        <v>PAL-0000363</v>
      </c>
    </row>
    <row r="364" spans="9:12">
      <c r="I364" t="str">
        <f>IF(OR($A364="",$B364=""),"",IF(COUNTIFS($A$2:$A364,$A364,$B$2:$B364,$B364)=1,1,0))</f>
        <v/>
      </c>
      <c r="J364" t="str">
        <f t="shared" si="5"/>
        <v/>
      </c>
      <c r="L364" t="str">
        <f>IF('01_Warehouse_Ledger'!$A364="","",'01_Warehouse_Ledger'!$A364)</f>
        <v>PAL-0000364</v>
      </c>
    </row>
    <row r="365" spans="9:12">
      <c r="I365" t="str">
        <f>IF(OR($A365="",$B365=""),"",IF(COUNTIFS($A$2:$A365,$A365,$B$2:$B365,$B365)=1,1,0))</f>
        <v/>
      </c>
      <c r="J365" t="str">
        <f t="shared" si="5"/>
        <v/>
      </c>
      <c r="L365" t="str">
        <f>IF('01_Warehouse_Ledger'!$A365="","",'01_Warehouse_Ledger'!$A365)</f>
        <v>PAL-0000365</v>
      </c>
    </row>
    <row r="366" spans="9:12">
      <c r="I366" t="str">
        <f>IF(OR($A366="",$B366=""),"",IF(COUNTIFS($A$2:$A366,$A366,$B$2:$B366,$B366)=1,1,0))</f>
        <v/>
      </c>
      <c r="J366" t="str">
        <f t="shared" si="5"/>
        <v/>
      </c>
      <c r="L366" t="str">
        <f>IF('01_Warehouse_Ledger'!$A366="","",'01_Warehouse_Ledger'!$A366)</f>
        <v>PAL-0000366</v>
      </c>
    </row>
    <row r="367" spans="9:12">
      <c r="I367" t="str">
        <f>IF(OR($A367="",$B367=""),"",IF(COUNTIFS($A$2:$A367,$A367,$B$2:$B367,$B367)=1,1,0))</f>
        <v/>
      </c>
      <c r="J367" t="str">
        <f t="shared" si="5"/>
        <v/>
      </c>
      <c r="L367" t="str">
        <f>IF('01_Warehouse_Ledger'!$A367="","",'01_Warehouse_Ledger'!$A367)</f>
        <v>PAL-0000367</v>
      </c>
    </row>
    <row r="368" spans="9:12">
      <c r="I368" t="str">
        <f>IF(OR($A368="",$B368=""),"",IF(COUNTIFS($A$2:$A368,$A368,$B$2:$B368,$B368)=1,1,0))</f>
        <v/>
      </c>
      <c r="J368" t="str">
        <f t="shared" si="5"/>
        <v/>
      </c>
      <c r="L368" t="str">
        <f>IF('01_Warehouse_Ledger'!$A368="","",'01_Warehouse_Ledger'!$A368)</f>
        <v>PAL-0000368</v>
      </c>
    </row>
    <row r="369" spans="9:12">
      <c r="I369" t="str">
        <f>IF(OR($A369="",$B369=""),"",IF(COUNTIFS($A$2:$A369,$A369,$B$2:$B369,$B369)=1,1,0))</f>
        <v/>
      </c>
      <c r="J369" t="str">
        <f t="shared" si="5"/>
        <v/>
      </c>
      <c r="L369" t="str">
        <f>IF('01_Warehouse_Ledger'!$A369="","",'01_Warehouse_Ledger'!$A369)</f>
        <v>PAL-0000369</v>
      </c>
    </row>
    <row r="370" spans="9:12">
      <c r="I370" t="str">
        <f>IF(OR($A370="",$B370=""),"",IF(COUNTIFS($A$2:$A370,$A370,$B$2:$B370,$B370)=1,1,0))</f>
        <v/>
      </c>
      <c r="J370" t="str">
        <f t="shared" si="5"/>
        <v/>
      </c>
      <c r="L370" t="str">
        <f>IF('01_Warehouse_Ledger'!$A370="","",'01_Warehouse_Ledger'!$A370)</f>
        <v>PAL-0000370</v>
      </c>
    </row>
    <row r="371" spans="9:12">
      <c r="I371" t="str">
        <f>IF(OR($A371="",$B371=""),"",IF(COUNTIFS($A$2:$A371,$A371,$B$2:$B371,$B371)=1,1,0))</f>
        <v/>
      </c>
      <c r="J371" t="str">
        <f t="shared" si="5"/>
        <v/>
      </c>
      <c r="L371" t="str">
        <f>IF('01_Warehouse_Ledger'!$A371="","",'01_Warehouse_Ledger'!$A371)</f>
        <v>PAL-0000371</v>
      </c>
    </row>
    <row r="372" spans="9:12">
      <c r="I372" t="str">
        <f>IF(OR($A372="",$B372=""),"",IF(COUNTIFS($A$2:$A372,$A372,$B$2:$B372,$B372)=1,1,0))</f>
        <v/>
      </c>
      <c r="J372" t="str">
        <f t="shared" si="5"/>
        <v/>
      </c>
      <c r="L372" t="str">
        <f>IF('01_Warehouse_Ledger'!$A372="","",'01_Warehouse_Ledger'!$A372)</f>
        <v>PAL-0000372</v>
      </c>
    </row>
    <row r="373" spans="9:12">
      <c r="I373" t="str">
        <f>IF(OR($A373="",$B373=""),"",IF(COUNTIFS($A$2:$A373,$A373,$B$2:$B373,$B373)=1,1,0))</f>
        <v/>
      </c>
      <c r="J373" t="str">
        <f t="shared" si="5"/>
        <v/>
      </c>
      <c r="L373" t="str">
        <f>IF('01_Warehouse_Ledger'!$A373="","",'01_Warehouse_Ledger'!$A373)</f>
        <v>PAL-0000373</v>
      </c>
    </row>
    <row r="374" spans="9:12">
      <c r="I374" t="str">
        <f>IF(OR($A374="",$B374=""),"",IF(COUNTIFS($A$2:$A374,$A374,$B$2:$B374,$B374)=1,1,0))</f>
        <v/>
      </c>
      <c r="J374" t="str">
        <f t="shared" si="5"/>
        <v/>
      </c>
      <c r="L374" t="str">
        <f>IF('01_Warehouse_Ledger'!$A374="","",'01_Warehouse_Ledger'!$A374)</f>
        <v>PAL-0000374</v>
      </c>
    </row>
    <row r="375" spans="9:12">
      <c r="I375" t="str">
        <f>IF(OR($A375="",$B375=""),"",IF(COUNTIFS($A$2:$A375,$A375,$B$2:$B375,$B375)=1,1,0))</f>
        <v/>
      </c>
      <c r="J375" t="str">
        <f t="shared" si="5"/>
        <v/>
      </c>
      <c r="L375" t="str">
        <f>IF('01_Warehouse_Ledger'!$A375="","",'01_Warehouse_Ledger'!$A375)</f>
        <v>PAL-0000375</v>
      </c>
    </row>
    <row r="376" spans="9:12">
      <c r="I376" t="str">
        <f>IF(OR($A376="",$B376=""),"",IF(COUNTIFS($A$2:$A376,$A376,$B$2:$B376,$B376)=1,1,0))</f>
        <v/>
      </c>
      <c r="J376" t="str">
        <f t="shared" si="5"/>
        <v/>
      </c>
      <c r="L376" t="str">
        <f>IF('01_Warehouse_Ledger'!$A376="","",'01_Warehouse_Ledger'!$A376)</f>
        <v>PAL-0000376</v>
      </c>
    </row>
    <row r="377" spans="9:12">
      <c r="I377" t="str">
        <f>IF(OR($A377="",$B377=""),"",IF(COUNTIFS($A$2:$A377,$A377,$B$2:$B377,$B377)=1,1,0))</f>
        <v/>
      </c>
      <c r="J377" t="str">
        <f t="shared" si="5"/>
        <v/>
      </c>
      <c r="L377" t="str">
        <f>IF('01_Warehouse_Ledger'!$A377="","",'01_Warehouse_Ledger'!$A377)</f>
        <v>PAL-0000377</v>
      </c>
    </row>
    <row r="378" spans="9:12">
      <c r="I378" t="str">
        <f>IF(OR($A378="",$B378=""),"",IF(COUNTIFS($A$2:$A378,$A378,$B$2:$B378,$B378)=1,1,0))</f>
        <v/>
      </c>
      <c r="J378" t="str">
        <f t="shared" si="5"/>
        <v/>
      </c>
      <c r="L378" t="str">
        <f>IF('01_Warehouse_Ledger'!$A378="","",'01_Warehouse_Ledger'!$A378)</f>
        <v>PAL-0000378</v>
      </c>
    </row>
    <row r="379" spans="9:12">
      <c r="I379" t="str">
        <f>IF(OR($A379="",$B379=""),"",IF(COUNTIFS($A$2:$A379,$A379,$B$2:$B379,$B379)=1,1,0))</f>
        <v/>
      </c>
      <c r="J379" t="str">
        <f t="shared" si="5"/>
        <v/>
      </c>
      <c r="L379" t="str">
        <f>IF('01_Warehouse_Ledger'!$A379="","",'01_Warehouse_Ledger'!$A379)</f>
        <v>PAL-0000379</v>
      </c>
    </row>
    <row r="380" spans="9:12">
      <c r="I380" t="str">
        <f>IF(OR($A380="",$B380=""),"",IF(COUNTIFS($A$2:$A380,$A380,$B$2:$B380,$B380)=1,1,0))</f>
        <v/>
      </c>
      <c r="J380" t="str">
        <f t="shared" si="5"/>
        <v/>
      </c>
      <c r="L380" t="str">
        <f>IF('01_Warehouse_Ledger'!$A380="","",'01_Warehouse_Ledger'!$A380)</f>
        <v>PAL-0000380</v>
      </c>
    </row>
    <row r="381" spans="9:12">
      <c r="I381" t="str">
        <f>IF(OR($A381="",$B381=""),"",IF(COUNTIFS($A$2:$A381,$A381,$B$2:$B381,$B381)=1,1,0))</f>
        <v/>
      </c>
      <c r="J381" t="str">
        <f t="shared" si="5"/>
        <v/>
      </c>
      <c r="L381" t="str">
        <f>IF('01_Warehouse_Ledger'!$A381="","",'01_Warehouse_Ledger'!$A381)</f>
        <v>PAL-0000381</v>
      </c>
    </row>
    <row r="382" spans="9:12">
      <c r="I382" t="str">
        <f>IF(OR($A382="",$B382=""),"",IF(COUNTIFS($A$2:$A382,$A382,$B$2:$B382,$B382)=1,1,0))</f>
        <v/>
      </c>
      <c r="J382" t="str">
        <f t="shared" si="5"/>
        <v/>
      </c>
      <c r="L382" t="str">
        <f>IF('01_Warehouse_Ledger'!$A382="","",'01_Warehouse_Ledger'!$A382)</f>
        <v>PAL-0000382</v>
      </c>
    </row>
    <row r="383" spans="9:12">
      <c r="I383" t="str">
        <f>IF(OR($A383="",$B383=""),"",IF(COUNTIFS($A$2:$A383,$A383,$B$2:$B383,$B383)=1,1,0))</f>
        <v/>
      </c>
      <c r="J383" t="str">
        <f t="shared" si="5"/>
        <v/>
      </c>
      <c r="L383" t="str">
        <f>IF('01_Warehouse_Ledger'!$A383="","",'01_Warehouse_Ledger'!$A383)</f>
        <v>PAL-0000383</v>
      </c>
    </row>
    <row r="384" spans="9:12">
      <c r="I384" t="str">
        <f>IF(OR($A384="",$B384=""),"",IF(COUNTIFS($A$2:$A384,$A384,$B$2:$B384,$B384)=1,1,0))</f>
        <v/>
      </c>
      <c r="J384" t="str">
        <f t="shared" si="5"/>
        <v/>
      </c>
      <c r="L384" t="str">
        <f>IF('01_Warehouse_Ledger'!$A384="","",'01_Warehouse_Ledger'!$A384)</f>
        <v>PAL-0000384</v>
      </c>
    </row>
    <row r="385" spans="9:12">
      <c r="I385" t="str">
        <f>IF(OR($A385="",$B385=""),"",IF(COUNTIFS($A$2:$A385,$A385,$B$2:$B385,$B385)=1,1,0))</f>
        <v/>
      </c>
      <c r="J385" t="str">
        <f t="shared" si="5"/>
        <v/>
      </c>
      <c r="L385" t="str">
        <f>IF('01_Warehouse_Ledger'!$A385="","",'01_Warehouse_Ledger'!$A385)</f>
        <v>PAL-0000385</v>
      </c>
    </row>
    <row r="386" spans="9:12">
      <c r="I386" t="str">
        <f>IF(OR($A386="",$B386=""),"",IF(COUNTIFS($A$2:$A386,$A386,$B$2:$B386,$B386)=1,1,0))</f>
        <v/>
      </c>
      <c r="J386" t="str">
        <f t="shared" ref="J386:J449" si="6">IF($A386="","",ROW())</f>
        <v/>
      </c>
      <c r="L386" t="str">
        <f>IF('01_Warehouse_Ledger'!$A386="","",'01_Warehouse_Ledger'!$A386)</f>
        <v>PAL-0000386</v>
      </c>
    </row>
    <row r="387" spans="9:12">
      <c r="I387" t="str">
        <f>IF(OR($A387="",$B387=""),"",IF(COUNTIFS($A$2:$A387,$A387,$B$2:$B387,$B387)=1,1,0))</f>
        <v/>
      </c>
      <c r="J387" t="str">
        <f t="shared" si="6"/>
        <v/>
      </c>
      <c r="L387" t="str">
        <f>IF('01_Warehouse_Ledger'!$A387="","",'01_Warehouse_Ledger'!$A387)</f>
        <v>PAL-0000387</v>
      </c>
    </row>
    <row r="388" spans="9:12">
      <c r="I388" t="str">
        <f>IF(OR($A388="",$B388=""),"",IF(COUNTIFS($A$2:$A388,$A388,$B$2:$B388,$B388)=1,1,0))</f>
        <v/>
      </c>
      <c r="J388" t="str">
        <f t="shared" si="6"/>
        <v/>
      </c>
      <c r="L388" t="str">
        <f>IF('01_Warehouse_Ledger'!$A388="","",'01_Warehouse_Ledger'!$A388)</f>
        <v>PAL-0000388</v>
      </c>
    </row>
    <row r="389" spans="9:12">
      <c r="I389" t="str">
        <f>IF(OR($A389="",$B389=""),"",IF(COUNTIFS($A$2:$A389,$A389,$B$2:$B389,$B389)=1,1,0))</f>
        <v/>
      </c>
      <c r="J389" t="str">
        <f t="shared" si="6"/>
        <v/>
      </c>
      <c r="L389" t="str">
        <f>IF('01_Warehouse_Ledger'!$A389="","",'01_Warehouse_Ledger'!$A389)</f>
        <v>PAL-0000389</v>
      </c>
    </row>
    <row r="390" spans="9:12">
      <c r="I390" t="str">
        <f>IF(OR($A390="",$B390=""),"",IF(COUNTIFS($A$2:$A390,$A390,$B$2:$B390,$B390)=1,1,0))</f>
        <v/>
      </c>
      <c r="J390" t="str">
        <f t="shared" si="6"/>
        <v/>
      </c>
      <c r="L390" t="str">
        <f>IF('01_Warehouse_Ledger'!$A390="","",'01_Warehouse_Ledger'!$A390)</f>
        <v>PAL-0000390</v>
      </c>
    </row>
    <row r="391" spans="9:12">
      <c r="I391" t="str">
        <f>IF(OR($A391="",$B391=""),"",IF(COUNTIFS($A$2:$A391,$A391,$B$2:$B391,$B391)=1,1,0))</f>
        <v/>
      </c>
      <c r="J391" t="str">
        <f t="shared" si="6"/>
        <v/>
      </c>
      <c r="L391" t="str">
        <f>IF('01_Warehouse_Ledger'!$A391="","",'01_Warehouse_Ledger'!$A391)</f>
        <v>PAL-0000391</v>
      </c>
    </row>
    <row r="392" spans="9:12">
      <c r="I392" t="str">
        <f>IF(OR($A392="",$B392=""),"",IF(COUNTIFS($A$2:$A392,$A392,$B$2:$B392,$B392)=1,1,0))</f>
        <v/>
      </c>
      <c r="J392" t="str">
        <f t="shared" si="6"/>
        <v/>
      </c>
      <c r="L392" t="str">
        <f>IF('01_Warehouse_Ledger'!$A392="","",'01_Warehouse_Ledger'!$A392)</f>
        <v>PAL-0000392</v>
      </c>
    </row>
    <row r="393" spans="9:12">
      <c r="I393" t="str">
        <f>IF(OR($A393="",$B393=""),"",IF(COUNTIFS($A$2:$A393,$A393,$B$2:$B393,$B393)=1,1,0))</f>
        <v/>
      </c>
      <c r="J393" t="str">
        <f t="shared" si="6"/>
        <v/>
      </c>
      <c r="L393" t="str">
        <f>IF('01_Warehouse_Ledger'!$A393="","",'01_Warehouse_Ledger'!$A393)</f>
        <v>PAL-0000393</v>
      </c>
    </row>
    <row r="394" spans="9:12">
      <c r="I394" t="str">
        <f>IF(OR($A394="",$B394=""),"",IF(COUNTIFS($A$2:$A394,$A394,$B$2:$B394,$B394)=1,1,0))</f>
        <v/>
      </c>
      <c r="J394" t="str">
        <f t="shared" si="6"/>
        <v/>
      </c>
      <c r="L394" t="str">
        <f>IF('01_Warehouse_Ledger'!$A394="","",'01_Warehouse_Ledger'!$A394)</f>
        <v>PAL-0000394</v>
      </c>
    </row>
    <row r="395" spans="9:12">
      <c r="I395" t="str">
        <f>IF(OR($A395="",$B395=""),"",IF(COUNTIFS($A$2:$A395,$A395,$B$2:$B395,$B395)=1,1,0))</f>
        <v/>
      </c>
      <c r="J395" t="str">
        <f t="shared" si="6"/>
        <v/>
      </c>
      <c r="L395" t="str">
        <f>IF('01_Warehouse_Ledger'!$A395="","",'01_Warehouse_Ledger'!$A395)</f>
        <v>PAL-0000395</v>
      </c>
    </row>
    <row r="396" spans="9:12">
      <c r="I396" t="str">
        <f>IF(OR($A396="",$B396=""),"",IF(COUNTIFS($A$2:$A396,$A396,$B$2:$B396,$B396)=1,1,0))</f>
        <v/>
      </c>
      <c r="J396" t="str">
        <f t="shared" si="6"/>
        <v/>
      </c>
      <c r="L396" t="str">
        <f>IF('01_Warehouse_Ledger'!$A396="","",'01_Warehouse_Ledger'!$A396)</f>
        <v>PAL-0000396</v>
      </c>
    </row>
    <row r="397" spans="9:12">
      <c r="I397" t="str">
        <f>IF(OR($A397="",$B397=""),"",IF(COUNTIFS($A$2:$A397,$A397,$B$2:$B397,$B397)=1,1,0))</f>
        <v/>
      </c>
      <c r="J397" t="str">
        <f t="shared" si="6"/>
        <v/>
      </c>
      <c r="L397" t="str">
        <f>IF('01_Warehouse_Ledger'!$A397="","",'01_Warehouse_Ledger'!$A397)</f>
        <v>PAL-0000397</v>
      </c>
    </row>
    <row r="398" spans="9:12">
      <c r="I398" t="str">
        <f>IF(OR($A398="",$B398=""),"",IF(COUNTIFS($A$2:$A398,$A398,$B$2:$B398,$B398)=1,1,0))</f>
        <v/>
      </c>
      <c r="J398" t="str">
        <f t="shared" si="6"/>
        <v/>
      </c>
      <c r="L398" t="str">
        <f>IF('01_Warehouse_Ledger'!$A398="","",'01_Warehouse_Ledger'!$A398)</f>
        <v>PAL-0000398</v>
      </c>
    </row>
    <row r="399" spans="9:12">
      <c r="I399" t="str">
        <f>IF(OR($A399="",$B399=""),"",IF(COUNTIFS($A$2:$A399,$A399,$B$2:$B399,$B399)=1,1,0))</f>
        <v/>
      </c>
      <c r="J399" t="str">
        <f t="shared" si="6"/>
        <v/>
      </c>
      <c r="L399" t="str">
        <f>IF('01_Warehouse_Ledger'!$A399="","",'01_Warehouse_Ledger'!$A399)</f>
        <v>PAL-0000399</v>
      </c>
    </row>
    <row r="400" spans="9:12">
      <c r="I400" t="str">
        <f>IF(OR($A400="",$B400=""),"",IF(COUNTIFS($A$2:$A400,$A400,$B$2:$B400,$B400)=1,1,0))</f>
        <v/>
      </c>
      <c r="J400" t="str">
        <f t="shared" si="6"/>
        <v/>
      </c>
      <c r="L400" t="str">
        <f>IF('01_Warehouse_Ledger'!$A400="","",'01_Warehouse_Ledger'!$A400)</f>
        <v>PAL-0000400</v>
      </c>
    </row>
    <row r="401" spans="9:12">
      <c r="I401" t="str">
        <f>IF(OR($A401="",$B401=""),"",IF(COUNTIFS($A$2:$A401,$A401,$B$2:$B401,$B401)=1,1,0))</f>
        <v/>
      </c>
      <c r="J401" t="str">
        <f t="shared" si="6"/>
        <v/>
      </c>
      <c r="L401" t="str">
        <f>IF('01_Warehouse_Ledger'!$A401="","",'01_Warehouse_Ledger'!$A401)</f>
        <v>PAL-0000401</v>
      </c>
    </row>
    <row r="402" spans="9:12">
      <c r="I402" t="str">
        <f>IF(OR($A402="",$B402=""),"",IF(COUNTIFS($A$2:$A402,$A402,$B$2:$B402,$B402)=1,1,0))</f>
        <v/>
      </c>
      <c r="J402" t="str">
        <f t="shared" si="6"/>
        <v/>
      </c>
      <c r="L402" t="str">
        <f>IF('01_Warehouse_Ledger'!$A402="","",'01_Warehouse_Ledger'!$A402)</f>
        <v>PAL-0000402</v>
      </c>
    </row>
    <row r="403" spans="9:12">
      <c r="I403" t="str">
        <f>IF(OR($A403="",$B403=""),"",IF(COUNTIFS($A$2:$A403,$A403,$B$2:$B403,$B403)=1,1,0))</f>
        <v/>
      </c>
      <c r="J403" t="str">
        <f t="shared" si="6"/>
        <v/>
      </c>
      <c r="L403" t="str">
        <f>IF('01_Warehouse_Ledger'!$A403="","",'01_Warehouse_Ledger'!$A403)</f>
        <v>PAL-0000403</v>
      </c>
    </row>
    <row r="404" spans="9:12">
      <c r="I404" t="str">
        <f>IF(OR($A404="",$B404=""),"",IF(COUNTIFS($A$2:$A404,$A404,$B$2:$B404,$B404)=1,1,0))</f>
        <v/>
      </c>
      <c r="J404" t="str">
        <f t="shared" si="6"/>
        <v/>
      </c>
      <c r="L404" t="str">
        <f>IF('01_Warehouse_Ledger'!$A404="","",'01_Warehouse_Ledger'!$A404)</f>
        <v>PAL-0000404</v>
      </c>
    </row>
    <row r="405" spans="9:12">
      <c r="I405" t="str">
        <f>IF(OR($A405="",$B405=""),"",IF(COUNTIFS($A$2:$A405,$A405,$B$2:$B405,$B405)=1,1,0))</f>
        <v/>
      </c>
      <c r="J405" t="str">
        <f t="shared" si="6"/>
        <v/>
      </c>
      <c r="L405" t="str">
        <f>IF('01_Warehouse_Ledger'!$A405="","",'01_Warehouse_Ledger'!$A405)</f>
        <v>PAL-0000405</v>
      </c>
    </row>
    <row r="406" spans="9:12">
      <c r="I406" t="str">
        <f>IF(OR($A406="",$B406=""),"",IF(COUNTIFS($A$2:$A406,$A406,$B$2:$B406,$B406)=1,1,0))</f>
        <v/>
      </c>
      <c r="J406" t="str">
        <f t="shared" si="6"/>
        <v/>
      </c>
      <c r="L406" t="str">
        <f>IF('01_Warehouse_Ledger'!$A406="","",'01_Warehouse_Ledger'!$A406)</f>
        <v>PAL-0000406</v>
      </c>
    </row>
    <row r="407" spans="9:12">
      <c r="I407" t="str">
        <f>IF(OR($A407="",$B407=""),"",IF(COUNTIFS($A$2:$A407,$A407,$B$2:$B407,$B407)=1,1,0))</f>
        <v/>
      </c>
      <c r="J407" t="str">
        <f t="shared" si="6"/>
        <v/>
      </c>
      <c r="L407" t="str">
        <f>IF('01_Warehouse_Ledger'!$A407="","",'01_Warehouse_Ledger'!$A407)</f>
        <v>PAL-0000407</v>
      </c>
    </row>
    <row r="408" spans="9:12">
      <c r="I408" t="str">
        <f>IF(OR($A408="",$B408=""),"",IF(COUNTIFS($A$2:$A408,$A408,$B$2:$B408,$B408)=1,1,0))</f>
        <v/>
      </c>
      <c r="J408" t="str">
        <f t="shared" si="6"/>
        <v/>
      </c>
      <c r="L408" t="str">
        <f>IF('01_Warehouse_Ledger'!$A408="","",'01_Warehouse_Ledger'!$A408)</f>
        <v>PAL-0000408</v>
      </c>
    </row>
    <row r="409" spans="9:12">
      <c r="I409" t="str">
        <f>IF(OR($A409="",$B409=""),"",IF(COUNTIFS($A$2:$A409,$A409,$B$2:$B409,$B409)=1,1,0))</f>
        <v/>
      </c>
      <c r="J409" t="str">
        <f t="shared" si="6"/>
        <v/>
      </c>
      <c r="L409" t="str">
        <f>IF('01_Warehouse_Ledger'!$A409="","",'01_Warehouse_Ledger'!$A409)</f>
        <v>PAL-0000409</v>
      </c>
    </row>
    <row r="410" spans="9:12">
      <c r="I410" t="str">
        <f>IF(OR($A410="",$B410=""),"",IF(COUNTIFS($A$2:$A410,$A410,$B$2:$B410,$B410)=1,1,0))</f>
        <v/>
      </c>
      <c r="J410" t="str">
        <f t="shared" si="6"/>
        <v/>
      </c>
      <c r="L410" t="str">
        <f>IF('01_Warehouse_Ledger'!$A410="","",'01_Warehouse_Ledger'!$A410)</f>
        <v>PAL-0000410</v>
      </c>
    </row>
    <row r="411" spans="9:12">
      <c r="I411" t="str">
        <f>IF(OR($A411="",$B411=""),"",IF(COUNTIFS($A$2:$A411,$A411,$B$2:$B411,$B411)=1,1,0))</f>
        <v/>
      </c>
      <c r="J411" t="str">
        <f t="shared" si="6"/>
        <v/>
      </c>
      <c r="L411" t="str">
        <f>IF('01_Warehouse_Ledger'!$A411="","",'01_Warehouse_Ledger'!$A411)</f>
        <v>PAL-0000411</v>
      </c>
    </row>
    <row r="412" spans="9:12">
      <c r="I412" t="str">
        <f>IF(OR($A412="",$B412=""),"",IF(COUNTIFS($A$2:$A412,$A412,$B$2:$B412,$B412)=1,1,0))</f>
        <v/>
      </c>
      <c r="J412" t="str">
        <f t="shared" si="6"/>
        <v/>
      </c>
      <c r="L412" t="str">
        <f>IF('01_Warehouse_Ledger'!$A412="","",'01_Warehouse_Ledger'!$A412)</f>
        <v>PAL-0000412</v>
      </c>
    </row>
    <row r="413" spans="9:12">
      <c r="I413" t="str">
        <f>IF(OR($A413="",$B413=""),"",IF(COUNTIFS($A$2:$A413,$A413,$B$2:$B413,$B413)=1,1,0))</f>
        <v/>
      </c>
      <c r="J413" t="str">
        <f t="shared" si="6"/>
        <v/>
      </c>
      <c r="L413" t="str">
        <f>IF('01_Warehouse_Ledger'!$A413="","",'01_Warehouse_Ledger'!$A413)</f>
        <v>PAL-0000413</v>
      </c>
    </row>
    <row r="414" spans="9:12">
      <c r="I414" t="str">
        <f>IF(OR($A414="",$B414=""),"",IF(COUNTIFS($A$2:$A414,$A414,$B$2:$B414,$B414)=1,1,0))</f>
        <v/>
      </c>
      <c r="J414" t="str">
        <f t="shared" si="6"/>
        <v/>
      </c>
      <c r="L414" t="str">
        <f>IF('01_Warehouse_Ledger'!$A414="","",'01_Warehouse_Ledger'!$A414)</f>
        <v>PAL-0000414</v>
      </c>
    </row>
    <row r="415" spans="9:12">
      <c r="I415" t="str">
        <f>IF(OR($A415="",$B415=""),"",IF(COUNTIFS($A$2:$A415,$A415,$B$2:$B415,$B415)=1,1,0))</f>
        <v/>
      </c>
      <c r="J415" t="str">
        <f t="shared" si="6"/>
        <v/>
      </c>
      <c r="L415" t="str">
        <f>IF('01_Warehouse_Ledger'!$A415="","",'01_Warehouse_Ledger'!$A415)</f>
        <v>PAL-0000415</v>
      </c>
    </row>
    <row r="416" spans="9:12">
      <c r="I416" t="str">
        <f>IF(OR($A416="",$B416=""),"",IF(COUNTIFS($A$2:$A416,$A416,$B$2:$B416,$B416)=1,1,0))</f>
        <v/>
      </c>
      <c r="J416" t="str">
        <f t="shared" si="6"/>
        <v/>
      </c>
      <c r="L416" t="str">
        <f>IF('01_Warehouse_Ledger'!$A416="","",'01_Warehouse_Ledger'!$A416)</f>
        <v>PAL-0000416</v>
      </c>
    </row>
    <row r="417" spans="9:12">
      <c r="I417" t="str">
        <f>IF(OR($A417="",$B417=""),"",IF(COUNTIFS($A$2:$A417,$A417,$B$2:$B417,$B417)=1,1,0))</f>
        <v/>
      </c>
      <c r="J417" t="str">
        <f t="shared" si="6"/>
        <v/>
      </c>
      <c r="L417" t="str">
        <f>IF('01_Warehouse_Ledger'!$A417="","",'01_Warehouse_Ledger'!$A417)</f>
        <v>PAL-0000417</v>
      </c>
    </row>
    <row r="418" spans="9:12">
      <c r="I418" t="str">
        <f>IF(OR($A418="",$B418=""),"",IF(COUNTIFS($A$2:$A418,$A418,$B$2:$B418,$B418)=1,1,0))</f>
        <v/>
      </c>
      <c r="J418" t="str">
        <f t="shared" si="6"/>
        <v/>
      </c>
      <c r="L418" t="str">
        <f>IF('01_Warehouse_Ledger'!$A418="","",'01_Warehouse_Ledger'!$A418)</f>
        <v>PAL-0000418</v>
      </c>
    </row>
    <row r="419" spans="9:12">
      <c r="I419" t="str">
        <f>IF(OR($A419="",$B419=""),"",IF(COUNTIFS($A$2:$A419,$A419,$B$2:$B419,$B419)=1,1,0))</f>
        <v/>
      </c>
      <c r="J419" t="str">
        <f t="shared" si="6"/>
        <v/>
      </c>
      <c r="L419" t="str">
        <f>IF('01_Warehouse_Ledger'!$A419="","",'01_Warehouse_Ledger'!$A419)</f>
        <v>PAL-0000419</v>
      </c>
    </row>
    <row r="420" spans="9:12">
      <c r="I420" t="str">
        <f>IF(OR($A420="",$B420=""),"",IF(COUNTIFS($A$2:$A420,$A420,$B$2:$B420,$B420)=1,1,0))</f>
        <v/>
      </c>
      <c r="J420" t="str">
        <f t="shared" si="6"/>
        <v/>
      </c>
      <c r="L420" t="str">
        <f>IF('01_Warehouse_Ledger'!$A420="","",'01_Warehouse_Ledger'!$A420)</f>
        <v>PAL-0000420</v>
      </c>
    </row>
    <row r="421" spans="9:12">
      <c r="I421" t="str">
        <f>IF(OR($A421="",$B421=""),"",IF(COUNTIFS($A$2:$A421,$A421,$B$2:$B421,$B421)=1,1,0))</f>
        <v/>
      </c>
      <c r="J421" t="str">
        <f t="shared" si="6"/>
        <v/>
      </c>
      <c r="L421" t="str">
        <f>IF('01_Warehouse_Ledger'!$A421="","",'01_Warehouse_Ledger'!$A421)</f>
        <v>PAL-0000421</v>
      </c>
    </row>
    <row r="422" spans="9:12">
      <c r="I422" t="str">
        <f>IF(OR($A422="",$B422=""),"",IF(COUNTIFS($A$2:$A422,$A422,$B$2:$B422,$B422)=1,1,0))</f>
        <v/>
      </c>
      <c r="J422" t="str">
        <f t="shared" si="6"/>
        <v/>
      </c>
      <c r="L422" t="str">
        <f>IF('01_Warehouse_Ledger'!$A422="","",'01_Warehouse_Ledger'!$A422)</f>
        <v>PAL-0000422</v>
      </c>
    </row>
    <row r="423" spans="9:12">
      <c r="I423" t="str">
        <f>IF(OR($A423="",$B423=""),"",IF(COUNTIFS($A$2:$A423,$A423,$B$2:$B423,$B423)=1,1,0))</f>
        <v/>
      </c>
      <c r="J423" t="str">
        <f t="shared" si="6"/>
        <v/>
      </c>
      <c r="L423" t="str">
        <f>IF('01_Warehouse_Ledger'!$A423="","",'01_Warehouse_Ledger'!$A423)</f>
        <v>PAL-0000423</v>
      </c>
    </row>
    <row r="424" spans="9:12">
      <c r="I424" t="str">
        <f>IF(OR($A424="",$B424=""),"",IF(COUNTIFS($A$2:$A424,$A424,$B$2:$B424,$B424)=1,1,0))</f>
        <v/>
      </c>
      <c r="J424" t="str">
        <f t="shared" si="6"/>
        <v/>
      </c>
      <c r="L424" t="str">
        <f>IF('01_Warehouse_Ledger'!$A424="","",'01_Warehouse_Ledger'!$A424)</f>
        <v>PAL-0000424</v>
      </c>
    </row>
    <row r="425" spans="9:12">
      <c r="I425" t="str">
        <f>IF(OR($A425="",$B425=""),"",IF(COUNTIFS($A$2:$A425,$A425,$B$2:$B425,$B425)=1,1,0))</f>
        <v/>
      </c>
      <c r="J425" t="str">
        <f t="shared" si="6"/>
        <v/>
      </c>
      <c r="L425" t="str">
        <f>IF('01_Warehouse_Ledger'!$A425="","",'01_Warehouse_Ledger'!$A425)</f>
        <v>PAL-0000425</v>
      </c>
    </row>
    <row r="426" spans="9:12">
      <c r="I426" t="str">
        <f>IF(OR($A426="",$B426=""),"",IF(COUNTIFS($A$2:$A426,$A426,$B$2:$B426,$B426)=1,1,0))</f>
        <v/>
      </c>
      <c r="J426" t="str">
        <f t="shared" si="6"/>
        <v/>
      </c>
      <c r="L426" t="str">
        <f>IF('01_Warehouse_Ledger'!$A426="","",'01_Warehouse_Ledger'!$A426)</f>
        <v>PAL-0000426</v>
      </c>
    </row>
    <row r="427" spans="9:12">
      <c r="I427" t="str">
        <f>IF(OR($A427="",$B427=""),"",IF(COUNTIFS($A$2:$A427,$A427,$B$2:$B427,$B427)=1,1,0))</f>
        <v/>
      </c>
      <c r="J427" t="str">
        <f t="shared" si="6"/>
        <v/>
      </c>
      <c r="L427" t="str">
        <f>IF('01_Warehouse_Ledger'!$A427="","",'01_Warehouse_Ledger'!$A427)</f>
        <v>PAL-0000427</v>
      </c>
    </row>
    <row r="428" spans="9:12">
      <c r="I428" t="str">
        <f>IF(OR($A428="",$B428=""),"",IF(COUNTIFS($A$2:$A428,$A428,$B$2:$B428,$B428)=1,1,0))</f>
        <v/>
      </c>
      <c r="J428" t="str">
        <f t="shared" si="6"/>
        <v/>
      </c>
      <c r="L428" t="str">
        <f>IF('01_Warehouse_Ledger'!$A428="","",'01_Warehouse_Ledger'!$A428)</f>
        <v>PAL-0000428</v>
      </c>
    </row>
    <row r="429" spans="9:12">
      <c r="I429" t="str">
        <f>IF(OR($A429="",$B429=""),"",IF(COUNTIFS($A$2:$A429,$A429,$B$2:$B429,$B429)=1,1,0))</f>
        <v/>
      </c>
      <c r="J429" t="str">
        <f t="shared" si="6"/>
        <v/>
      </c>
      <c r="L429" t="str">
        <f>IF('01_Warehouse_Ledger'!$A429="","",'01_Warehouse_Ledger'!$A429)</f>
        <v>PAL-0000429</v>
      </c>
    </row>
    <row r="430" spans="9:12">
      <c r="I430" t="str">
        <f>IF(OR($A430="",$B430=""),"",IF(COUNTIFS($A$2:$A430,$A430,$B$2:$B430,$B430)=1,1,0))</f>
        <v/>
      </c>
      <c r="J430" t="str">
        <f t="shared" si="6"/>
        <v/>
      </c>
      <c r="L430" t="str">
        <f>IF('01_Warehouse_Ledger'!$A430="","",'01_Warehouse_Ledger'!$A430)</f>
        <v>PAL-0000430</v>
      </c>
    </row>
    <row r="431" spans="9:12">
      <c r="I431" t="str">
        <f>IF(OR($A431="",$B431=""),"",IF(COUNTIFS($A$2:$A431,$A431,$B$2:$B431,$B431)=1,1,0))</f>
        <v/>
      </c>
      <c r="J431" t="str">
        <f t="shared" si="6"/>
        <v/>
      </c>
      <c r="L431" t="str">
        <f>IF('01_Warehouse_Ledger'!$A431="","",'01_Warehouse_Ledger'!$A431)</f>
        <v>PAL-0000431</v>
      </c>
    </row>
    <row r="432" spans="9:12">
      <c r="I432" t="str">
        <f>IF(OR($A432="",$B432=""),"",IF(COUNTIFS($A$2:$A432,$A432,$B$2:$B432,$B432)=1,1,0))</f>
        <v/>
      </c>
      <c r="J432" t="str">
        <f t="shared" si="6"/>
        <v/>
      </c>
      <c r="L432" t="str">
        <f>IF('01_Warehouse_Ledger'!$A432="","",'01_Warehouse_Ledger'!$A432)</f>
        <v>PAL-0000432</v>
      </c>
    </row>
    <row r="433" spans="9:12">
      <c r="I433" t="str">
        <f>IF(OR($A433="",$B433=""),"",IF(COUNTIFS($A$2:$A433,$A433,$B$2:$B433,$B433)=1,1,0))</f>
        <v/>
      </c>
      <c r="J433" t="str">
        <f t="shared" si="6"/>
        <v/>
      </c>
      <c r="L433" t="str">
        <f>IF('01_Warehouse_Ledger'!$A433="","",'01_Warehouse_Ledger'!$A433)</f>
        <v>PAL-0000433</v>
      </c>
    </row>
    <row r="434" spans="9:12">
      <c r="I434" t="str">
        <f>IF(OR($A434="",$B434=""),"",IF(COUNTIFS($A$2:$A434,$A434,$B$2:$B434,$B434)=1,1,0))</f>
        <v/>
      </c>
      <c r="J434" t="str">
        <f t="shared" si="6"/>
        <v/>
      </c>
      <c r="L434" t="str">
        <f>IF('01_Warehouse_Ledger'!$A434="","",'01_Warehouse_Ledger'!$A434)</f>
        <v>PAL-0000434</v>
      </c>
    </row>
    <row r="435" spans="9:12">
      <c r="I435" t="str">
        <f>IF(OR($A435="",$B435=""),"",IF(COUNTIFS($A$2:$A435,$A435,$B$2:$B435,$B435)=1,1,0))</f>
        <v/>
      </c>
      <c r="J435" t="str">
        <f t="shared" si="6"/>
        <v/>
      </c>
      <c r="L435" t="str">
        <f>IF('01_Warehouse_Ledger'!$A435="","",'01_Warehouse_Ledger'!$A435)</f>
        <v>PAL-0000435</v>
      </c>
    </row>
    <row r="436" spans="9:12">
      <c r="I436" t="str">
        <f>IF(OR($A436="",$B436=""),"",IF(COUNTIFS($A$2:$A436,$A436,$B$2:$B436,$B436)=1,1,0))</f>
        <v/>
      </c>
      <c r="J436" t="str">
        <f t="shared" si="6"/>
        <v/>
      </c>
      <c r="L436" t="str">
        <f>IF('01_Warehouse_Ledger'!$A436="","",'01_Warehouse_Ledger'!$A436)</f>
        <v>PAL-0000436</v>
      </c>
    </row>
    <row r="437" spans="9:12">
      <c r="I437" t="str">
        <f>IF(OR($A437="",$B437=""),"",IF(COUNTIFS($A$2:$A437,$A437,$B$2:$B437,$B437)=1,1,0))</f>
        <v/>
      </c>
      <c r="J437" t="str">
        <f t="shared" si="6"/>
        <v/>
      </c>
      <c r="L437" t="str">
        <f>IF('01_Warehouse_Ledger'!$A437="","",'01_Warehouse_Ledger'!$A437)</f>
        <v>PAL-0000437</v>
      </c>
    </row>
    <row r="438" spans="9:12">
      <c r="I438" t="str">
        <f>IF(OR($A438="",$B438=""),"",IF(COUNTIFS($A$2:$A438,$A438,$B$2:$B438,$B438)=1,1,0))</f>
        <v/>
      </c>
      <c r="J438" t="str">
        <f t="shared" si="6"/>
        <v/>
      </c>
      <c r="L438" t="str">
        <f>IF('01_Warehouse_Ledger'!$A438="","",'01_Warehouse_Ledger'!$A438)</f>
        <v>PAL-0000438</v>
      </c>
    </row>
    <row r="439" spans="9:12">
      <c r="I439" t="str">
        <f>IF(OR($A439="",$B439=""),"",IF(COUNTIFS($A$2:$A439,$A439,$B$2:$B439,$B439)=1,1,0))</f>
        <v/>
      </c>
      <c r="J439" t="str">
        <f t="shared" si="6"/>
        <v/>
      </c>
      <c r="L439" t="str">
        <f>IF('01_Warehouse_Ledger'!$A439="","",'01_Warehouse_Ledger'!$A439)</f>
        <v>PAL-0000439</v>
      </c>
    </row>
    <row r="440" spans="9:12">
      <c r="I440" t="str">
        <f>IF(OR($A440="",$B440=""),"",IF(COUNTIFS($A$2:$A440,$A440,$B$2:$B440,$B440)=1,1,0))</f>
        <v/>
      </c>
      <c r="J440" t="str">
        <f t="shared" si="6"/>
        <v/>
      </c>
      <c r="L440" t="str">
        <f>IF('01_Warehouse_Ledger'!$A440="","",'01_Warehouse_Ledger'!$A440)</f>
        <v>PAL-0000440</v>
      </c>
    </row>
    <row r="441" spans="9:12">
      <c r="I441" t="str">
        <f>IF(OR($A441="",$B441=""),"",IF(COUNTIFS($A$2:$A441,$A441,$B$2:$B441,$B441)=1,1,0))</f>
        <v/>
      </c>
      <c r="J441" t="str">
        <f t="shared" si="6"/>
        <v/>
      </c>
      <c r="L441" t="str">
        <f>IF('01_Warehouse_Ledger'!$A441="","",'01_Warehouse_Ledger'!$A441)</f>
        <v>PAL-0000441</v>
      </c>
    </row>
    <row r="442" spans="9:12">
      <c r="I442" t="str">
        <f>IF(OR($A442="",$B442=""),"",IF(COUNTIFS($A$2:$A442,$A442,$B$2:$B442,$B442)=1,1,0))</f>
        <v/>
      </c>
      <c r="J442" t="str">
        <f t="shared" si="6"/>
        <v/>
      </c>
      <c r="L442" t="str">
        <f>IF('01_Warehouse_Ledger'!$A442="","",'01_Warehouse_Ledger'!$A442)</f>
        <v>PAL-0000442</v>
      </c>
    </row>
    <row r="443" spans="9:12">
      <c r="I443" t="str">
        <f>IF(OR($A443="",$B443=""),"",IF(COUNTIFS($A$2:$A443,$A443,$B$2:$B443,$B443)=1,1,0))</f>
        <v/>
      </c>
      <c r="J443" t="str">
        <f t="shared" si="6"/>
        <v/>
      </c>
      <c r="L443" t="str">
        <f>IF('01_Warehouse_Ledger'!$A443="","",'01_Warehouse_Ledger'!$A443)</f>
        <v>PAL-0000443</v>
      </c>
    </row>
    <row r="444" spans="9:12">
      <c r="I444" t="str">
        <f>IF(OR($A444="",$B444=""),"",IF(COUNTIFS($A$2:$A444,$A444,$B$2:$B444,$B444)=1,1,0))</f>
        <v/>
      </c>
      <c r="J444" t="str">
        <f t="shared" si="6"/>
        <v/>
      </c>
      <c r="L444" t="str">
        <f>IF('01_Warehouse_Ledger'!$A444="","",'01_Warehouse_Ledger'!$A444)</f>
        <v>PAL-0000444</v>
      </c>
    </row>
    <row r="445" spans="9:12">
      <c r="I445" t="str">
        <f>IF(OR($A445="",$B445=""),"",IF(COUNTIFS($A$2:$A445,$A445,$B$2:$B445,$B445)=1,1,0))</f>
        <v/>
      </c>
      <c r="J445" t="str">
        <f t="shared" si="6"/>
        <v/>
      </c>
      <c r="L445" t="str">
        <f>IF('01_Warehouse_Ledger'!$A445="","",'01_Warehouse_Ledger'!$A445)</f>
        <v>PAL-0000445</v>
      </c>
    </row>
    <row r="446" spans="9:12">
      <c r="I446" t="str">
        <f>IF(OR($A446="",$B446=""),"",IF(COUNTIFS($A$2:$A446,$A446,$B$2:$B446,$B446)=1,1,0))</f>
        <v/>
      </c>
      <c r="J446" t="str">
        <f t="shared" si="6"/>
        <v/>
      </c>
      <c r="L446" t="str">
        <f>IF('01_Warehouse_Ledger'!$A446="","",'01_Warehouse_Ledger'!$A446)</f>
        <v>PAL-0000446</v>
      </c>
    </row>
    <row r="447" spans="9:12">
      <c r="I447" t="str">
        <f>IF(OR($A447="",$B447=""),"",IF(COUNTIFS($A$2:$A447,$A447,$B$2:$B447,$B447)=1,1,0))</f>
        <v/>
      </c>
      <c r="J447" t="str">
        <f t="shared" si="6"/>
        <v/>
      </c>
      <c r="L447" t="str">
        <f>IF('01_Warehouse_Ledger'!$A447="","",'01_Warehouse_Ledger'!$A447)</f>
        <v>PAL-0000447</v>
      </c>
    </row>
    <row r="448" spans="9:12">
      <c r="I448" t="str">
        <f>IF(OR($A448="",$B448=""),"",IF(COUNTIFS($A$2:$A448,$A448,$B$2:$B448,$B448)=1,1,0))</f>
        <v/>
      </c>
      <c r="J448" t="str">
        <f t="shared" si="6"/>
        <v/>
      </c>
      <c r="L448" t="str">
        <f>IF('01_Warehouse_Ledger'!$A448="","",'01_Warehouse_Ledger'!$A448)</f>
        <v>PAL-0000448</v>
      </c>
    </row>
    <row r="449" spans="9:12">
      <c r="I449" t="str">
        <f>IF(OR($A449="",$B449=""),"",IF(COUNTIFS($A$2:$A449,$A449,$B$2:$B449,$B449)=1,1,0))</f>
        <v/>
      </c>
      <c r="J449" t="str">
        <f t="shared" si="6"/>
        <v/>
      </c>
      <c r="L449" t="str">
        <f>IF('01_Warehouse_Ledger'!$A449="","",'01_Warehouse_Ledger'!$A449)</f>
        <v>PAL-0000449</v>
      </c>
    </row>
    <row r="450" spans="9:12">
      <c r="I450" t="str">
        <f>IF(OR($A450="",$B450=""),"",IF(COUNTIFS($A$2:$A450,$A450,$B$2:$B450,$B450)=1,1,0))</f>
        <v/>
      </c>
      <c r="J450" t="str">
        <f t="shared" ref="J450:J513" si="7">IF($A450="","",ROW())</f>
        <v/>
      </c>
      <c r="L450" t="str">
        <f>IF('01_Warehouse_Ledger'!$A450="","",'01_Warehouse_Ledger'!$A450)</f>
        <v>PAL-0000450</v>
      </c>
    </row>
    <row r="451" spans="9:12">
      <c r="I451" t="str">
        <f>IF(OR($A451="",$B451=""),"",IF(COUNTIFS($A$2:$A451,$A451,$B$2:$B451,$B451)=1,1,0))</f>
        <v/>
      </c>
      <c r="J451" t="str">
        <f t="shared" si="7"/>
        <v/>
      </c>
      <c r="L451" t="str">
        <f>IF('01_Warehouse_Ledger'!$A451="","",'01_Warehouse_Ledger'!$A451)</f>
        <v>PAL-0000451</v>
      </c>
    </row>
    <row r="452" spans="9:12">
      <c r="I452" t="str">
        <f>IF(OR($A452="",$B452=""),"",IF(COUNTIFS($A$2:$A452,$A452,$B$2:$B452,$B452)=1,1,0))</f>
        <v/>
      </c>
      <c r="J452" t="str">
        <f t="shared" si="7"/>
        <v/>
      </c>
      <c r="L452" t="str">
        <f>IF('01_Warehouse_Ledger'!$A452="","",'01_Warehouse_Ledger'!$A452)</f>
        <v>PAL-0000452</v>
      </c>
    </row>
    <row r="453" spans="9:12">
      <c r="I453" t="str">
        <f>IF(OR($A453="",$B453=""),"",IF(COUNTIFS($A$2:$A453,$A453,$B$2:$B453,$B453)=1,1,0))</f>
        <v/>
      </c>
      <c r="J453" t="str">
        <f t="shared" si="7"/>
        <v/>
      </c>
      <c r="L453" t="str">
        <f>IF('01_Warehouse_Ledger'!$A453="","",'01_Warehouse_Ledger'!$A453)</f>
        <v>PAL-0000453</v>
      </c>
    </row>
    <row r="454" spans="9:12">
      <c r="I454" t="str">
        <f>IF(OR($A454="",$B454=""),"",IF(COUNTIFS($A$2:$A454,$A454,$B$2:$B454,$B454)=1,1,0))</f>
        <v/>
      </c>
      <c r="J454" t="str">
        <f t="shared" si="7"/>
        <v/>
      </c>
      <c r="L454" t="str">
        <f>IF('01_Warehouse_Ledger'!$A454="","",'01_Warehouse_Ledger'!$A454)</f>
        <v>PAL-0000454</v>
      </c>
    </row>
    <row r="455" spans="9:12">
      <c r="I455" t="str">
        <f>IF(OR($A455="",$B455=""),"",IF(COUNTIFS($A$2:$A455,$A455,$B$2:$B455,$B455)=1,1,0))</f>
        <v/>
      </c>
      <c r="J455" t="str">
        <f t="shared" si="7"/>
        <v/>
      </c>
      <c r="L455" t="str">
        <f>IF('01_Warehouse_Ledger'!$A455="","",'01_Warehouse_Ledger'!$A455)</f>
        <v>PAL-0000455</v>
      </c>
    </row>
    <row r="456" spans="9:12">
      <c r="I456" t="str">
        <f>IF(OR($A456="",$B456=""),"",IF(COUNTIFS($A$2:$A456,$A456,$B$2:$B456,$B456)=1,1,0))</f>
        <v/>
      </c>
      <c r="J456" t="str">
        <f t="shared" si="7"/>
        <v/>
      </c>
      <c r="L456" t="str">
        <f>IF('01_Warehouse_Ledger'!$A456="","",'01_Warehouse_Ledger'!$A456)</f>
        <v>PAL-0000456</v>
      </c>
    </row>
    <row r="457" spans="9:12">
      <c r="I457" t="str">
        <f>IF(OR($A457="",$B457=""),"",IF(COUNTIFS($A$2:$A457,$A457,$B$2:$B457,$B457)=1,1,0))</f>
        <v/>
      </c>
      <c r="J457" t="str">
        <f t="shared" si="7"/>
        <v/>
      </c>
      <c r="L457" t="str">
        <f>IF('01_Warehouse_Ledger'!$A457="","",'01_Warehouse_Ledger'!$A457)</f>
        <v>PAL-0000457</v>
      </c>
    </row>
    <row r="458" spans="9:12">
      <c r="I458" t="str">
        <f>IF(OR($A458="",$B458=""),"",IF(COUNTIFS($A$2:$A458,$A458,$B$2:$B458,$B458)=1,1,0))</f>
        <v/>
      </c>
      <c r="J458" t="str">
        <f t="shared" si="7"/>
        <v/>
      </c>
      <c r="L458" t="str">
        <f>IF('01_Warehouse_Ledger'!$A458="","",'01_Warehouse_Ledger'!$A458)</f>
        <v>PAL-0000458</v>
      </c>
    </row>
    <row r="459" spans="9:12">
      <c r="I459" t="str">
        <f>IF(OR($A459="",$B459=""),"",IF(COUNTIFS($A$2:$A459,$A459,$B$2:$B459,$B459)=1,1,0))</f>
        <v/>
      </c>
      <c r="J459" t="str">
        <f t="shared" si="7"/>
        <v/>
      </c>
      <c r="L459" t="str">
        <f>IF('01_Warehouse_Ledger'!$A459="","",'01_Warehouse_Ledger'!$A459)</f>
        <v>PAL-0000459</v>
      </c>
    </row>
    <row r="460" spans="9:12">
      <c r="I460" t="str">
        <f>IF(OR($A460="",$B460=""),"",IF(COUNTIFS($A$2:$A460,$A460,$B$2:$B460,$B460)=1,1,0))</f>
        <v/>
      </c>
      <c r="J460" t="str">
        <f t="shared" si="7"/>
        <v/>
      </c>
      <c r="L460" t="str">
        <f>IF('01_Warehouse_Ledger'!$A460="","",'01_Warehouse_Ledger'!$A460)</f>
        <v>PAL-0000460</v>
      </c>
    </row>
    <row r="461" spans="9:12">
      <c r="I461" t="str">
        <f>IF(OR($A461="",$B461=""),"",IF(COUNTIFS($A$2:$A461,$A461,$B$2:$B461,$B461)=1,1,0))</f>
        <v/>
      </c>
      <c r="J461" t="str">
        <f t="shared" si="7"/>
        <v/>
      </c>
      <c r="L461" t="str">
        <f>IF('01_Warehouse_Ledger'!$A461="","",'01_Warehouse_Ledger'!$A461)</f>
        <v>PAL-0000461</v>
      </c>
    </row>
    <row r="462" spans="9:12">
      <c r="I462" t="str">
        <f>IF(OR($A462="",$B462=""),"",IF(COUNTIFS($A$2:$A462,$A462,$B$2:$B462,$B462)=1,1,0))</f>
        <v/>
      </c>
      <c r="J462" t="str">
        <f t="shared" si="7"/>
        <v/>
      </c>
      <c r="L462" t="str">
        <f>IF('01_Warehouse_Ledger'!$A462="","",'01_Warehouse_Ledger'!$A462)</f>
        <v>PAL-0000462</v>
      </c>
    </row>
    <row r="463" spans="9:12">
      <c r="I463" t="str">
        <f>IF(OR($A463="",$B463=""),"",IF(COUNTIFS($A$2:$A463,$A463,$B$2:$B463,$B463)=1,1,0))</f>
        <v/>
      </c>
      <c r="J463" t="str">
        <f t="shared" si="7"/>
        <v/>
      </c>
      <c r="L463" t="str">
        <f>IF('01_Warehouse_Ledger'!$A463="","",'01_Warehouse_Ledger'!$A463)</f>
        <v>PAL-0000463</v>
      </c>
    </row>
    <row r="464" spans="9:12">
      <c r="I464" t="str">
        <f>IF(OR($A464="",$B464=""),"",IF(COUNTIFS($A$2:$A464,$A464,$B$2:$B464,$B464)=1,1,0))</f>
        <v/>
      </c>
      <c r="J464" t="str">
        <f t="shared" si="7"/>
        <v/>
      </c>
      <c r="L464" t="str">
        <f>IF('01_Warehouse_Ledger'!$A464="","",'01_Warehouse_Ledger'!$A464)</f>
        <v>PAL-0000464</v>
      </c>
    </row>
    <row r="465" spans="9:12">
      <c r="I465" t="str">
        <f>IF(OR($A465="",$B465=""),"",IF(COUNTIFS($A$2:$A465,$A465,$B$2:$B465,$B465)=1,1,0))</f>
        <v/>
      </c>
      <c r="J465" t="str">
        <f t="shared" si="7"/>
        <v/>
      </c>
      <c r="L465" t="str">
        <f>IF('01_Warehouse_Ledger'!$A465="","",'01_Warehouse_Ledger'!$A465)</f>
        <v>PAL-0000465</v>
      </c>
    </row>
    <row r="466" spans="9:12">
      <c r="I466" t="str">
        <f>IF(OR($A466="",$B466=""),"",IF(COUNTIFS($A$2:$A466,$A466,$B$2:$B466,$B466)=1,1,0))</f>
        <v/>
      </c>
      <c r="J466" t="str">
        <f t="shared" si="7"/>
        <v/>
      </c>
      <c r="L466" t="str">
        <f>IF('01_Warehouse_Ledger'!$A466="","",'01_Warehouse_Ledger'!$A466)</f>
        <v>PAL-0000466</v>
      </c>
    </row>
    <row r="467" spans="9:12">
      <c r="I467" t="str">
        <f>IF(OR($A467="",$B467=""),"",IF(COUNTIFS($A$2:$A467,$A467,$B$2:$B467,$B467)=1,1,0))</f>
        <v/>
      </c>
      <c r="J467" t="str">
        <f t="shared" si="7"/>
        <v/>
      </c>
      <c r="L467" t="str">
        <f>IF('01_Warehouse_Ledger'!$A467="","",'01_Warehouse_Ledger'!$A467)</f>
        <v>PAL-0000467</v>
      </c>
    </row>
    <row r="468" spans="9:12">
      <c r="I468" t="str">
        <f>IF(OR($A468="",$B468=""),"",IF(COUNTIFS($A$2:$A468,$A468,$B$2:$B468,$B468)=1,1,0))</f>
        <v/>
      </c>
      <c r="J468" t="str">
        <f t="shared" si="7"/>
        <v/>
      </c>
      <c r="L468" t="str">
        <f>IF('01_Warehouse_Ledger'!$A468="","",'01_Warehouse_Ledger'!$A468)</f>
        <v>PAL-0000468</v>
      </c>
    </row>
    <row r="469" spans="9:12">
      <c r="I469" t="str">
        <f>IF(OR($A469="",$B469=""),"",IF(COUNTIFS($A$2:$A469,$A469,$B$2:$B469,$B469)=1,1,0))</f>
        <v/>
      </c>
      <c r="J469" t="str">
        <f t="shared" si="7"/>
        <v/>
      </c>
      <c r="L469" t="str">
        <f>IF('01_Warehouse_Ledger'!$A469="","",'01_Warehouse_Ledger'!$A469)</f>
        <v>PAL-0000469</v>
      </c>
    </row>
    <row r="470" spans="9:12">
      <c r="I470" t="str">
        <f>IF(OR($A470="",$B470=""),"",IF(COUNTIFS($A$2:$A470,$A470,$B$2:$B470,$B470)=1,1,0))</f>
        <v/>
      </c>
      <c r="J470" t="str">
        <f t="shared" si="7"/>
        <v/>
      </c>
      <c r="L470" t="str">
        <f>IF('01_Warehouse_Ledger'!$A470="","",'01_Warehouse_Ledger'!$A470)</f>
        <v>PAL-0000470</v>
      </c>
    </row>
    <row r="471" spans="9:12">
      <c r="I471" t="str">
        <f>IF(OR($A471="",$B471=""),"",IF(COUNTIFS($A$2:$A471,$A471,$B$2:$B471,$B471)=1,1,0))</f>
        <v/>
      </c>
      <c r="J471" t="str">
        <f t="shared" si="7"/>
        <v/>
      </c>
      <c r="L471" t="str">
        <f>IF('01_Warehouse_Ledger'!$A471="","",'01_Warehouse_Ledger'!$A471)</f>
        <v>PAL-0000471</v>
      </c>
    </row>
    <row r="472" spans="9:12">
      <c r="I472" t="str">
        <f>IF(OR($A472="",$B472=""),"",IF(COUNTIFS($A$2:$A472,$A472,$B$2:$B472,$B472)=1,1,0))</f>
        <v/>
      </c>
      <c r="J472" t="str">
        <f t="shared" si="7"/>
        <v/>
      </c>
      <c r="L472" t="str">
        <f>IF('01_Warehouse_Ledger'!$A472="","",'01_Warehouse_Ledger'!$A472)</f>
        <v>PAL-0000472</v>
      </c>
    </row>
    <row r="473" spans="9:12">
      <c r="I473" t="str">
        <f>IF(OR($A473="",$B473=""),"",IF(COUNTIFS($A$2:$A473,$A473,$B$2:$B473,$B473)=1,1,0))</f>
        <v/>
      </c>
      <c r="J473" t="str">
        <f t="shared" si="7"/>
        <v/>
      </c>
      <c r="L473" t="str">
        <f>IF('01_Warehouse_Ledger'!$A473="","",'01_Warehouse_Ledger'!$A473)</f>
        <v>PAL-0000473</v>
      </c>
    </row>
    <row r="474" spans="9:12">
      <c r="I474" t="str">
        <f>IF(OR($A474="",$B474=""),"",IF(COUNTIFS($A$2:$A474,$A474,$B$2:$B474,$B474)=1,1,0))</f>
        <v/>
      </c>
      <c r="J474" t="str">
        <f t="shared" si="7"/>
        <v/>
      </c>
      <c r="L474" t="str">
        <f>IF('01_Warehouse_Ledger'!$A474="","",'01_Warehouse_Ledger'!$A474)</f>
        <v>PAL-0000474</v>
      </c>
    </row>
    <row r="475" spans="9:12">
      <c r="I475" t="str">
        <f>IF(OR($A475="",$B475=""),"",IF(COUNTIFS($A$2:$A475,$A475,$B$2:$B475,$B475)=1,1,0))</f>
        <v/>
      </c>
      <c r="J475" t="str">
        <f t="shared" si="7"/>
        <v/>
      </c>
      <c r="L475" t="str">
        <f>IF('01_Warehouse_Ledger'!$A475="","",'01_Warehouse_Ledger'!$A475)</f>
        <v>PAL-0000475</v>
      </c>
    </row>
    <row r="476" spans="9:12">
      <c r="I476" t="str">
        <f>IF(OR($A476="",$B476=""),"",IF(COUNTIFS($A$2:$A476,$A476,$B$2:$B476,$B476)=1,1,0))</f>
        <v/>
      </c>
      <c r="J476" t="str">
        <f t="shared" si="7"/>
        <v/>
      </c>
      <c r="L476" t="str">
        <f>IF('01_Warehouse_Ledger'!$A476="","",'01_Warehouse_Ledger'!$A476)</f>
        <v>PAL-0000476</v>
      </c>
    </row>
    <row r="477" spans="9:12">
      <c r="I477" t="str">
        <f>IF(OR($A477="",$B477=""),"",IF(COUNTIFS($A$2:$A477,$A477,$B$2:$B477,$B477)=1,1,0))</f>
        <v/>
      </c>
      <c r="J477" t="str">
        <f t="shared" si="7"/>
        <v/>
      </c>
      <c r="L477" t="str">
        <f>IF('01_Warehouse_Ledger'!$A477="","",'01_Warehouse_Ledger'!$A477)</f>
        <v>PAL-0000477</v>
      </c>
    </row>
    <row r="478" spans="9:12">
      <c r="I478" t="str">
        <f>IF(OR($A478="",$B478=""),"",IF(COUNTIFS($A$2:$A478,$A478,$B$2:$B478,$B478)=1,1,0))</f>
        <v/>
      </c>
      <c r="J478" t="str">
        <f t="shared" si="7"/>
        <v/>
      </c>
      <c r="L478" t="str">
        <f>IF('01_Warehouse_Ledger'!$A478="","",'01_Warehouse_Ledger'!$A478)</f>
        <v>PAL-0000478</v>
      </c>
    </row>
    <row r="479" spans="9:12">
      <c r="I479" t="str">
        <f>IF(OR($A479="",$B479=""),"",IF(COUNTIFS($A$2:$A479,$A479,$B$2:$B479,$B479)=1,1,0))</f>
        <v/>
      </c>
      <c r="J479" t="str">
        <f t="shared" si="7"/>
        <v/>
      </c>
      <c r="L479" t="str">
        <f>IF('01_Warehouse_Ledger'!$A479="","",'01_Warehouse_Ledger'!$A479)</f>
        <v>PAL-0000479</v>
      </c>
    </row>
    <row r="480" spans="9:12">
      <c r="I480" t="str">
        <f>IF(OR($A480="",$B480=""),"",IF(COUNTIFS($A$2:$A480,$A480,$B$2:$B480,$B480)=1,1,0))</f>
        <v/>
      </c>
      <c r="J480" t="str">
        <f t="shared" si="7"/>
        <v/>
      </c>
      <c r="L480" t="str">
        <f>IF('01_Warehouse_Ledger'!$A480="","",'01_Warehouse_Ledger'!$A480)</f>
        <v>PAL-0000480</v>
      </c>
    </row>
    <row r="481" spans="9:12">
      <c r="I481" t="str">
        <f>IF(OR($A481="",$B481=""),"",IF(COUNTIFS($A$2:$A481,$A481,$B$2:$B481,$B481)=1,1,0))</f>
        <v/>
      </c>
      <c r="J481" t="str">
        <f t="shared" si="7"/>
        <v/>
      </c>
      <c r="L481" t="str">
        <f>IF('01_Warehouse_Ledger'!$A481="","",'01_Warehouse_Ledger'!$A481)</f>
        <v>PAL-0000481</v>
      </c>
    </row>
    <row r="482" spans="9:12">
      <c r="I482" t="str">
        <f>IF(OR($A482="",$B482=""),"",IF(COUNTIFS($A$2:$A482,$A482,$B$2:$B482,$B482)=1,1,0))</f>
        <v/>
      </c>
      <c r="J482" t="str">
        <f t="shared" si="7"/>
        <v/>
      </c>
      <c r="L482" t="str">
        <f>IF('01_Warehouse_Ledger'!$A482="","",'01_Warehouse_Ledger'!$A482)</f>
        <v>PAL-0000482</v>
      </c>
    </row>
    <row r="483" spans="9:12">
      <c r="I483" t="str">
        <f>IF(OR($A483="",$B483=""),"",IF(COUNTIFS($A$2:$A483,$A483,$B$2:$B483,$B483)=1,1,0))</f>
        <v/>
      </c>
      <c r="J483" t="str">
        <f t="shared" si="7"/>
        <v/>
      </c>
      <c r="L483" t="str">
        <f>IF('01_Warehouse_Ledger'!$A483="","",'01_Warehouse_Ledger'!$A483)</f>
        <v>PAL-0000483</v>
      </c>
    </row>
    <row r="484" spans="9:12">
      <c r="I484" t="str">
        <f>IF(OR($A484="",$B484=""),"",IF(COUNTIFS($A$2:$A484,$A484,$B$2:$B484,$B484)=1,1,0))</f>
        <v/>
      </c>
      <c r="J484" t="str">
        <f t="shared" si="7"/>
        <v/>
      </c>
      <c r="L484" t="str">
        <f>IF('01_Warehouse_Ledger'!$A484="","",'01_Warehouse_Ledger'!$A484)</f>
        <v>PAL-0000484</v>
      </c>
    </row>
    <row r="485" spans="9:12">
      <c r="I485" t="str">
        <f>IF(OR($A485="",$B485=""),"",IF(COUNTIFS($A$2:$A485,$A485,$B$2:$B485,$B485)=1,1,0))</f>
        <v/>
      </c>
      <c r="J485" t="str">
        <f t="shared" si="7"/>
        <v/>
      </c>
      <c r="L485" t="str">
        <f>IF('01_Warehouse_Ledger'!$A485="","",'01_Warehouse_Ledger'!$A485)</f>
        <v>PAL-0000485</v>
      </c>
    </row>
    <row r="486" spans="9:12">
      <c r="I486" t="str">
        <f>IF(OR($A486="",$B486=""),"",IF(COUNTIFS($A$2:$A486,$A486,$B$2:$B486,$B486)=1,1,0))</f>
        <v/>
      </c>
      <c r="J486" t="str">
        <f t="shared" si="7"/>
        <v/>
      </c>
      <c r="L486" t="str">
        <f>IF('01_Warehouse_Ledger'!$A486="","",'01_Warehouse_Ledger'!$A486)</f>
        <v>PAL-0000486</v>
      </c>
    </row>
    <row r="487" spans="9:12">
      <c r="I487" t="str">
        <f>IF(OR($A487="",$B487=""),"",IF(COUNTIFS($A$2:$A487,$A487,$B$2:$B487,$B487)=1,1,0))</f>
        <v/>
      </c>
      <c r="J487" t="str">
        <f t="shared" si="7"/>
        <v/>
      </c>
      <c r="L487" t="str">
        <f>IF('01_Warehouse_Ledger'!$A487="","",'01_Warehouse_Ledger'!$A487)</f>
        <v>PAL-0000487</v>
      </c>
    </row>
    <row r="488" spans="9:12">
      <c r="I488" t="str">
        <f>IF(OR($A488="",$B488=""),"",IF(COUNTIFS($A$2:$A488,$A488,$B$2:$B488,$B488)=1,1,0))</f>
        <v/>
      </c>
      <c r="J488" t="str">
        <f t="shared" si="7"/>
        <v/>
      </c>
      <c r="L488" t="str">
        <f>IF('01_Warehouse_Ledger'!$A488="","",'01_Warehouse_Ledger'!$A488)</f>
        <v>PAL-0000488</v>
      </c>
    </row>
    <row r="489" spans="9:12">
      <c r="I489" t="str">
        <f>IF(OR($A489="",$B489=""),"",IF(COUNTIFS($A$2:$A489,$A489,$B$2:$B489,$B489)=1,1,0))</f>
        <v/>
      </c>
      <c r="J489" t="str">
        <f t="shared" si="7"/>
        <v/>
      </c>
      <c r="L489" t="str">
        <f>IF('01_Warehouse_Ledger'!$A489="","",'01_Warehouse_Ledger'!$A489)</f>
        <v>PAL-0000489</v>
      </c>
    </row>
    <row r="490" spans="9:12">
      <c r="I490" t="str">
        <f>IF(OR($A490="",$B490=""),"",IF(COUNTIFS($A$2:$A490,$A490,$B$2:$B490,$B490)=1,1,0))</f>
        <v/>
      </c>
      <c r="J490" t="str">
        <f t="shared" si="7"/>
        <v/>
      </c>
      <c r="L490" t="str">
        <f>IF('01_Warehouse_Ledger'!$A490="","",'01_Warehouse_Ledger'!$A490)</f>
        <v>PAL-0000490</v>
      </c>
    </row>
    <row r="491" spans="9:12">
      <c r="I491" t="str">
        <f>IF(OR($A491="",$B491=""),"",IF(COUNTIFS($A$2:$A491,$A491,$B$2:$B491,$B491)=1,1,0))</f>
        <v/>
      </c>
      <c r="J491" t="str">
        <f t="shared" si="7"/>
        <v/>
      </c>
      <c r="L491" t="str">
        <f>IF('01_Warehouse_Ledger'!$A491="","",'01_Warehouse_Ledger'!$A491)</f>
        <v>PAL-0000491</v>
      </c>
    </row>
    <row r="492" spans="9:12">
      <c r="I492" t="str">
        <f>IF(OR($A492="",$B492=""),"",IF(COUNTIFS($A$2:$A492,$A492,$B$2:$B492,$B492)=1,1,0))</f>
        <v/>
      </c>
      <c r="J492" t="str">
        <f t="shared" si="7"/>
        <v/>
      </c>
      <c r="L492" t="str">
        <f>IF('01_Warehouse_Ledger'!$A492="","",'01_Warehouse_Ledger'!$A492)</f>
        <v>PAL-0000492</v>
      </c>
    </row>
    <row r="493" spans="9:12">
      <c r="I493" t="str">
        <f>IF(OR($A493="",$B493=""),"",IF(COUNTIFS($A$2:$A493,$A493,$B$2:$B493,$B493)=1,1,0))</f>
        <v/>
      </c>
      <c r="J493" t="str">
        <f t="shared" si="7"/>
        <v/>
      </c>
      <c r="L493" t="str">
        <f>IF('01_Warehouse_Ledger'!$A493="","",'01_Warehouse_Ledger'!$A493)</f>
        <v>PAL-0000493</v>
      </c>
    </row>
    <row r="494" spans="9:12">
      <c r="I494" t="str">
        <f>IF(OR($A494="",$B494=""),"",IF(COUNTIFS($A$2:$A494,$A494,$B$2:$B494,$B494)=1,1,0))</f>
        <v/>
      </c>
      <c r="J494" t="str">
        <f t="shared" si="7"/>
        <v/>
      </c>
      <c r="L494" t="str">
        <f>IF('01_Warehouse_Ledger'!$A494="","",'01_Warehouse_Ledger'!$A494)</f>
        <v>PAL-0000494</v>
      </c>
    </row>
    <row r="495" spans="9:12">
      <c r="I495" t="str">
        <f>IF(OR($A495="",$B495=""),"",IF(COUNTIFS($A$2:$A495,$A495,$B$2:$B495,$B495)=1,1,0))</f>
        <v/>
      </c>
      <c r="J495" t="str">
        <f t="shared" si="7"/>
        <v/>
      </c>
      <c r="L495" t="str">
        <f>IF('01_Warehouse_Ledger'!$A495="","",'01_Warehouse_Ledger'!$A495)</f>
        <v>PAL-0000495</v>
      </c>
    </row>
    <row r="496" spans="9:12">
      <c r="I496" t="str">
        <f>IF(OR($A496="",$B496=""),"",IF(COUNTIFS($A$2:$A496,$A496,$B$2:$B496,$B496)=1,1,0))</f>
        <v/>
      </c>
      <c r="J496" t="str">
        <f t="shared" si="7"/>
        <v/>
      </c>
      <c r="L496" t="str">
        <f>IF('01_Warehouse_Ledger'!$A496="","",'01_Warehouse_Ledger'!$A496)</f>
        <v>PAL-0000496</v>
      </c>
    </row>
    <row r="497" spans="9:12">
      <c r="I497" t="str">
        <f>IF(OR($A497="",$B497=""),"",IF(COUNTIFS($A$2:$A497,$A497,$B$2:$B497,$B497)=1,1,0))</f>
        <v/>
      </c>
      <c r="J497" t="str">
        <f t="shared" si="7"/>
        <v/>
      </c>
      <c r="L497" t="str">
        <f>IF('01_Warehouse_Ledger'!$A497="","",'01_Warehouse_Ledger'!$A497)</f>
        <v>PAL-0000497</v>
      </c>
    </row>
    <row r="498" spans="9:12">
      <c r="I498" t="str">
        <f>IF(OR($A498="",$B498=""),"",IF(COUNTIFS($A$2:$A498,$A498,$B$2:$B498,$B498)=1,1,0))</f>
        <v/>
      </c>
      <c r="J498" t="str">
        <f t="shared" si="7"/>
        <v/>
      </c>
      <c r="L498" t="str">
        <f>IF('01_Warehouse_Ledger'!$A498="","",'01_Warehouse_Ledger'!$A498)</f>
        <v>PAL-0000498</v>
      </c>
    </row>
    <row r="499" spans="9:12">
      <c r="I499" t="str">
        <f>IF(OR($A499="",$B499=""),"",IF(COUNTIFS($A$2:$A499,$A499,$B$2:$B499,$B499)=1,1,0))</f>
        <v/>
      </c>
      <c r="J499" t="str">
        <f t="shared" si="7"/>
        <v/>
      </c>
      <c r="L499" t="str">
        <f>IF('01_Warehouse_Ledger'!$A499="","",'01_Warehouse_Ledger'!$A499)</f>
        <v>PAL-0000499</v>
      </c>
    </row>
    <row r="500" spans="9:12">
      <c r="I500" t="str">
        <f>IF(OR($A500="",$B500=""),"",IF(COUNTIFS($A$2:$A500,$A500,$B$2:$B500,$B500)=1,1,0))</f>
        <v/>
      </c>
      <c r="J500" t="str">
        <f t="shared" si="7"/>
        <v/>
      </c>
      <c r="L500" t="str">
        <f>IF('01_Warehouse_Ledger'!$A500="","",'01_Warehouse_Ledger'!$A500)</f>
        <v>PAL-0000500</v>
      </c>
    </row>
    <row r="501" spans="9:12">
      <c r="I501" t="str">
        <f>IF(OR($A501="",$B501=""),"",IF(COUNTIFS($A$2:$A501,$A501,$B$2:$B501,$B501)=1,1,0))</f>
        <v/>
      </c>
      <c r="J501" t="str">
        <f t="shared" si="7"/>
        <v/>
      </c>
      <c r="L501" t="str">
        <f>IF('01_Warehouse_Ledger'!$A501="","",'01_Warehouse_Ledger'!$A501)</f>
        <v>end</v>
      </c>
    </row>
    <row r="502" spans="9:12">
      <c r="I502" t="str">
        <f>IF(OR($A502="",$B502=""),"",IF(COUNTIFS($A$2:$A502,$A502,$B$2:$B502,$B502)=1,1,0))</f>
        <v/>
      </c>
      <c r="J502" t="str">
        <f t="shared" si="7"/>
        <v/>
      </c>
      <c r="L502" t="str">
        <f>IF('01_Warehouse_Ledger'!$A502="","",'01_Warehouse_Ledger'!$A502)</f>
        <v>END</v>
      </c>
    </row>
    <row r="503" spans="9:12">
      <c r="I503" t="str">
        <f>IF(OR($A503="",$B503=""),"",IF(COUNTIFS($A$2:$A503,$A503,$B$2:$B503,$B503)=1,1,0))</f>
        <v/>
      </c>
      <c r="J503" t="str">
        <f t="shared" si="7"/>
        <v/>
      </c>
      <c r="L503" t="str">
        <f>IF('01_Warehouse_Ledger'!$A503="","",'01_Warehouse_Ledger'!$A503)</f>
        <v/>
      </c>
    </row>
    <row r="504" spans="9:12">
      <c r="I504" t="str">
        <f>IF(OR($A504="",$B504=""),"",IF(COUNTIFS($A$2:$A504,$A504,$B$2:$B504,$B504)=1,1,0))</f>
        <v/>
      </c>
      <c r="J504" t="str">
        <f t="shared" si="7"/>
        <v/>
      </c>
      <c r="L504" t="str">
        <f>IF('01_Warehouse_Ledger'!$A504="","",'01_Warehouse_Ledger'!$A504)</f>
        <v/>
      </c>
    </row>
    <row r="505" spans="9:12">
      <c r="I505" t="str">
        <f>IF(OR($A505="",$B505=""),"",IF(COUNTIFS($A$2:$A505,$A505,$B$2:$B505,$B505)=1,1,0))</f>
        <v/>
      </c>
      <c r="J505" t="str">
        <f t="shared" si="7"/>
        <v/>
      </c>
      <c r="L505" t="str">
        <f>IF('01_Warehouse_Ledger'!$A505="","",'01_Warehouse_Ledger'!$A505)</f>
        <v/>
      </c>
    </row>
    <row r="506" spans="9:12">
      <c r="I506" t="str">
        <f>IF(OR($A506="",$B506=""),"",IF(COUNTIFS($A$2:$A506,$A506,$B$2:$B506,$B506)=1,1,0))</f>
        <v/>
      </c>
      <c r="J506" t="str">
        <f t="shared" si="7"/>
        <v/>
      </c>
      <c r="L506" t="str">
        <f>IF('01_Warehouse_Ledger'!$A506="","",'01_Warehouse_Ledger'!$A506)</f>
        <v/>
      </c>
    </row>
    <row r="507" spans="9:12">
      <c r="I507" t="str">
        <f>IF(OR($A507="",$B507=""),"",IF(COUNTIFS($A$2:$A507,$A507,$B$2:$B507,$B507)=1,1,0))</f>
        <v/>
      </c>
      <c r="J507" t="str">
        <f t="shared" si="7"/>
        <v/>
      </c>
      <c r="L507" t="str">
        <f>IF('01_Warehouse_Ledger'!$A507="","",'01_Warehouse_Ledger'!$A507)</f>
        <v/>
      </c>
    </row>
    <row r="508" spans="9:12">
      <c r="I508" t="str">
        <f>IF(OR($A508="",$B508=""),"",IF(COUNTIFS($A$2:$A508,$A508,$B$2:$B508,$B508)=1,1,0))</f>
        <v/>
      </c>
      <c r="J508" t="str">
        <f t="shared" si="7"/>
        <v/>
      </c>
      <c r="L508" t="str">
        <f>IF('01_Warehouse_Ledger'!$A508="","",'01_Warehouse_Ledger'!$A508)</f>
        <v/>
      </c>
    </row>
    <row r="509" spans="9:12">
      <c r="I509" t="str">
        <f>IF(OR($A509="",$B509=""),"",IF(COUNTIFS($A$2:$A509,$A509,$B$2:$B509,$B509)=1,1,0))</f>
        <v/>
      </c>
      <c r="J509" t="str">
        <f t="shared" si="7"/>
        <v/>
      </c>
      <c r="L509" t="str">
        <f>IF('01_Warehouse_Ledger'!$A509="","",'01_Warehouse_Ledger'!$A509)</f>
        <v/>
      </c>
    </row>
    <row r="510" spans="9:12">
      <c r="I510" t="str">
        <f>IF(OR($A510="",$B510=""),"",IF(COUNTIFS($A$2:$A510,$A510,$B$2:$B510,$B510)=1,1,0))</f>
        <v/>
      </c>
      <c r="J510" t="str">
        <f t="shared" si="7"/>
        <v/>
      </c>
      <c r="L510" t="str">
        <f>IF('01_Warehouse_Ledger'!$A510="","",'01_Warehouse_Ledger'!$A510)</f>
        <v/>
      </c>
    </row>
    <row r="511" spans="9:12">
      <c r="I511" t="str">
        <f>IF(OR($A511="",$B511=""),"",IF(COUNTIFS($A$2:$A511,$A511,$B$2:$B511,$B511)=1,1,0))</f>
        <v/>
      </c>
      <c r="J511" t="str">
        <f t="shared" si="7"/>
        <v/>
      </c>
      <c r="L511" t="str">
        <f>IF('01_Warehouse_Ledger'!$A511="","",'01_Warehouse_Ledger'!$A511)</f>
        <v/>
      </c>
    </row>
    <row r="512" spans="9:12">
      <c r="I512" t="str">
        <f>IF(OR($A512="",$B512=""),"",IF(COUNTIFS($A$2:$A512,$A512,$B$2:$B512,$B512)=1,1,0))</f>
        <v/>
      </c>
      <c r="J512" t="str">
        <f t="shared" si="7"/>
        <v/>
      </c>
      <c r="L512" t="str">
        <f>IF('01_Warehouse_Ledger'!$A512="","",'01_Warehouse_Ledger'!$A512)</f>
        <v/>
      </c>
    </row>
    <row r="513" spans="9:12">
      <c r="I513" t="str">
        <f>IF(OR($A513="",$B513=""),"",IF(COUNTIFS($A$2:$A513,$A513,$B$2:$B513,$B513)=1,1,0))</f>
        <v/>
      </c>
      <c r="J513" t="str">
        <f t="shared" si="7"/>
        <v/>
      </c>
      <c r="L513" t="str">
        <f>IF('01_Warehouse_Ledger'!$A513="","",'01_Warehouse_Ledger'!$A513)</f>
        <v/>
      </c>
    </row>
    <row r="514" spans="9:12">
      <c r="I514" t="str">
        <f>IF(OR($A514="",$B514=""),"",IF(COUNTIFS($A$2:$A514,$A514,$B$2:$B514,$B514)=1,1,0))</f>
        <v/>
      </c>
      <c r="J514" t="str">
        <f t="shared" ref="J514:J577" si="8">IF($A514="","",ROW())</f>
        <v/>
      </c>
      <c r="L514" t="str">
        <f>IF('01_Warehouse_Ledger'!$A514="","",'01_Warehouse_Ledger'!$A514)</f>
        <v/>
      </c>
    </row>
    <row r="515" spans="9:12">
      <c r="I515" t="str">
        <f>IF(OR($A515="",$B515=""),"",IF(COUNTIFS($A$2:$A515,$A515,$B$2:$B515,$B515)=1,1,0))</f>
        <v/>
      </c>
      <c r="J515" t="str">
        <f t="shared" si="8"/>
        <v/>
      </c>
      <c r="L515" t="str">
        <f>IF('01_Warehouse_Ledger'!$A515="","",'01_Warehouse_Ledger'!$A515)</f>
        <v/>
      </c>
    </row>
    <row r="516" spans="9:12">
      <c r="I516" t="str">
        <f>IF(OR($A516="",$B516=""),"",IF(COUNTIFS($A$2:$A516,$A516,$B$2:$B516,$B516)=1,1,0))</f>
        <v/>
      </c>
      <c r="J516" t="str">
        <f t="shared" si="8"/>
        <v/>
      </c>
      <c r="L516" t="str">
        <f>IF('01_Warehouse_Ledger'!$A516="","",'01_Warehouse_Ledger'!$A516)</f>
        <v/>
      </c>
    </row>
    <row r="517" spans="9:12">
      <c r="I517" t="str">
        <f>IF(OR($A517="",$B517=""),"",IF(COUNTIFS($A$2:$A517,$A517,$B$2:$B517,$B517)=1,1,0))</f>
        <v/>
      </c>
      <c r="J517" t="str">
        <f t="shared" si="8"/>
        <v/>
      </c>
      <c r="L517" t="str">
        <f>IF('01_Warehouse_Ledger'!$A517="","",'01_Warehouse_Ledger'!$A517)</f>
        <v/>
      </c>
    </row>
    <row r="518" spans="9:12">
      <c r="I518" t="str">
        <f>IF(OR($A518="",$B518=""),"",IF(COUNTIFS($A$2:$A518,$A518,$B$2:$B518,$B518)=1,1,0))</f>
        <v/>
      </c>
      <c r="J518" t="str">
        <f t="shared" si="8"/>
        <v/>
      </c>
      <c r="L518" t="str">
        <f>IF('01_Warehouse_Ledger'!$A518="","",'01_Warehouse_Ledger'!$A518)</f>
        <v/>
      </c>
    </row>
    <row r="519" spans="9:12">
      <c r="I519" t="str">
        <f>IF(OR($A519="",$B519=""),"",IF(COUNTIFS($A$2:$A519,$A519,$B$2:$B519,$B519)=1,1,0))</f>
        <v/>
      </c>
      <c r="J519" t="str">
        <f t="shared" si="8"/>
        <v/>
      </c>
      <c r="L519" t="str">
        <f>IF('01_Warehouse_Ledger'!$A519="","",'01_Warehouse_Ledger'!$A519)</f>
        <v/>
      </c>
    </row>
    <row r="520" spans="9:12">
      <c r="I520" t="str">
        <f>IF(OR($A520="",$B520=""),"",IF(COUNTIFS($A$2:$A520,$A520,$B$2:$B520,$B520)=1,1,0))</f>
        <v/>
      </c>
      <c r="J520" t="str">
        <f t="shared" si="8"/>
        <v/>
      </c>
      <c r="L520" t="str">
        <f>IF('01_Warehouse_Ledger'!$A520="","",'01_Warehouse_Ledger'!$A520)</f>
        <v/>
      </c>
    </row>
    <row r="521" spans="9:12">
      <c r="I521" t="str">
        <f>IF(OR($A521="",$B521=""),"",IF(COUNTIFS($A$2:$A521,$A521,$B$2:$B521,$B521)=1,1,0))</f>
        <v/>
      </c>
      <c r="J521" t="str">
        <f t="shared" si="8"/>
        <v/>
      </c>
      <c r="L521" t="str">
        <f>IF('01_Warehouse_Ledger'!$A521="","",'01_Warehouse_Ledger'!$A521)</f>
        <v/>
      </c>
    </row>
    <row r="522" spans="9:12">
      <c r="I522" t="str">
        <f>IF(OR($A522="",$B522=""),"",IF(COUNTIFS($A$2:$A522,$A522,$B$2:$B522,$B522)=1,1,0))</f>
        <v/>
      </c>
      <c r="J522" t="str">
        <f t="shared" si="8"/>
        <v/>
      </c>
      <c r="L522" t="str">
        <f>IF('01_Warehouse_Ledger'!$A522="","",'01_Warehouse_Ledger'!$A522)</f>
        <v/>
      </c>
    </row>
    <row r="523" spans="9:12">
      <c r="I523" t="str">
        <f>IF(OR($A523="",$B523=""),"",IF(COUNTIFS($A$2:$A523,$A523,$B$2:$B523,$B523)=1,1,0))</f>
        <v/>
      </c>
      <c r="J523" t="str">
        <f t="shared" si="8"/>
        <v/>
      </c>
      <c r="L523" t="str">
        <f>IF('01_Warehouse_Ledger'!$A523="","",'01_Warehouse_Ledger'!$A523)</f>
        <v/>
      </c>
    </row>
    <row r="524" spans="9:12">
      <c r="I524" t="str">
        <f>IF(OR($A524="",$B524=""),"",IF(COUNTIFS($A$2:$A524,$A524,$B$2:$B524,$B524)=1,1,0))</f>
        <v/>
      </c>
      <c r="J524" t="str">
        <f t="shared" si="8"/>
        <v/>
      </c>
      <c r="L524" t="str">
        <f>IF('01_Warehouse_Ledger'!$A524="","",'01_Warehouse_Ledger'!$A524)</f>
        <v/>
      </c>
    </row>
    <row r="525" spans="9:12">
      <c r="I525" t="str">
        <f>IF(OR($A525="",$B525=""),"",IF(COUNTIFS($A$2:$A525,$A525,$B$2:$B525,$B525)=1,1,0))</f>
        <v/>
      </c>
      <c r="J525" t="str">
        <f t="shared" si="8"/>
        <v/>
      </c>
      <c r="L525" t="str">
        <f>IF('01_Warehouse_Ledger'!$A525="","",'01_Warehouse_Ledger'!$A525)</f>
        <v/>
      </c>
    </row>
    <row r="526" spans="9:12">
      <c r="I526" t="str">
        <f>IF(OR($A526="",$B526=""),"",IF(COUNTIFS($A$2:$A526,$A526,$B$2:$B526,$B526)=1,1,0))</f>
        <v/>
      </c>
      <c r="J526" t="str">
        <f t="shared" si="8"/>
        <v/>
      </c>
      <c r="L526" t="str">
        <f>IF('01_Warehouse_Ledger'!$A526="","",'01_Warehouse_Ledger'!$A526)</f>
        <v/>
      </c>
    </row>
    <row r="527" spans="9:12">
      <c r="I527" t="str">
        <f>IF(OR($A527="",$B527=""),"",IF(COUNTIFS($A$2:$A527,$A527,$B$2:$B527,$B527)=1,1,0))</f>
        <v/>
      </c>
      <c r="J527" t="str">
        <f t="shared" si="8"/>
        <v/>
      </c>
      <c r="L527" t="str">
        <f>IF('01_Warehouse_Ledger'!$A527="","",'01_Warehouse_Ledger'!$A527)</f>
        <v/>
      </c>
    </row>
    <row r="528" spans="9:12">
      <c r="I528" t="str">
        <f>IF(OR($A528="",$B528=""),"",IF(COUNTIFS($A$2:$A528,$A528,$B$2:$B528,$B528)=1,1,0))</f>
        <v/>
      </c>
      <c r="J528" t="str">
        <f t="shared" si="8"/>
        <v/>
      </c>
      <c r="L528" t="str">
        <f>IF('01_Warehouse_Ledger'!$A528="","",'01_Warehouse_Ledger'!$A528)</f>
        <v/>
      </c>
    </row>
    <row r="529" spans="9:12">
      <c r="I529" t="str">
        <f>IF(OR($A529="",$B529=""),"",IF(COUNTIFS($A$2:$A529,$A529,$B$2:$B529,$B529)=1,1,0))</f>
        <v/>
      </c>
      <c r="J529" t="str">
        <f t="shared" si="8"/>
        <v/>
      </c>
      <c r="L529" t="str">
        <f>IF('01_Warehouse_Ledger'!$A529="","",'01_Warehouse_Ledger'!$A529)</f>
        <v/>
      </c>
    </row>
    <row r="530" spans="9:12">
      <c r="I530" t="str">
        <f>IF(OR($A530="",$B530=""),"",IF(COUNTIFS($A$2:$A530,$A530,$B$2:$B530,$B530)=1,1,0))</f>
        <v/>
      </c>
      <c r="J530" t="str">
        <f t="shared" si="8"/>
        <v/>
      </c>
      <c r="L530" t="str">
        <f>IF('01_Warehouse_Ledger'!$A530="","",'01_Warehouse_Ledger'!$A530)</f>
        <v/>
      </c>
    </row>
    <row r="531" spans="9:12">
      <c r="I531" t="str">
        <f>IF(OR($A531="",$B531=""),"",IF(COUNTIFS($A$2:$A531,$A531,$B$2:$B531,$B531)=1,1,0))</f>
        <v/>
      </c>
      <c r="J531" t="str">
        <f t="shared" si="8"/>
        <v/>
      </c>
      <c r="L531" t="str">
        <f>IF('01_Warehouse_Ledger'!$A531="","",'01_Warehouse_Ledger'!$A531)</f>
        <v/>
      </c>
    </row>
    <row r="532" spans="9:12">
      <c r="I532" t="str">
        <f>IF(OR($A532="",$B532=""),"",IF(COUNTIFS($A$2:$A532,$A532,$B$2:$B532,$B532)=1,1,0))</f>
        <v/>
      </c>
      <c r="J532" t="str">
        <f t="shared" si="8"/>
        <v/>
      </c>
      <c r="L532" t="str">
        <f>IF('01_Warehouse_Ledger'!$A532="","",'01_Warehouse_Ledger'!$A532)</f>
        <v/>
      </c>
    </row>
    <row r="533" spans="9:12">
      <c r="I533" t="str">
        <f>IF(OR($A533="",$B533=""),"",IF(COUNTIFS($A$2:$A533,$A533,$B$2:$B533,$B533)=1,1,0))</f>
        <v/>
      </c>
      <c r="J533" t="str">
        <f t="shared" si="8"/>
        <v/>
      </c>
      <c r="L533" t="str">
        <f>IF('01_Warehouse_Ledger'!$A533="","",'01_Warehouse_Ledger'!$A533)</f>
        <v/>
      </c>
    </row>
    <row r="534" spans="9:12">
      <c r="I534" t="str">
        <f>IF(OR($A534="",$B534=""),"",IF(COUNTIFS($A$2:$A534,$A534,$B$2:$B534,$B534)=1,1,0))</f>
        <v/>
      </c>
      <c r="J534" t="str">
        <f t="shared" si="8"/>
        <v/>
      </c>
      <c r="L534" t="str">
        <f>IF('01_Warehouse_Ledger'!$A534="","",'01_Warehouse_Ledger'!$A534)</f>
        <v/>
      </c>
    </row>
    <row r="535" spans="9:12">
      <c r="I535" t="str">
        <f>IF(OR($A535="",$B535=""),"",IF(COUNTIFS($A$2:$A535,$A535,$B$2:$B535,$B535)=1,1,0))</f>
        <v/>
      </c>
      <c r="J535" t="str">
        <f t="shared" si="8"/>
        <v/>
      </c>
      <c r="L535" t="str">
        <f>IF('01_Warehouse_Ledger'!$A535="","",'01_Warehouse_Ledger'!$A535)</f>
        <v/>
      </c>
    </row>
    <row r="536" spans="9:12">
      <c r="I536" t="str">
        <f>IF(OR($A536="",$B536=""),"",IF(COUNTIFS($A$2:$A536,$A536,$B$2:$B536,$B536)=1,1,0))</f>
        <v/>
      </c>
      <c r="J536" t="str">
        <f t="shared" si="8"/>
        <v/>
      </c>
      <c r="L536" t="str">
        <f>IF('01_Warehouse_Ledger'!$A536="","",'01_Warehouse_Ledger'!$A536)</f>
        <v/>
      </c>
    </row>
    <row r="537" spans="9:12">
      <c r="I537" t="str">
        <f>IF(OR($A537="",$B537=""),"",IF(COUNTIFS($A$2:$A537,$A537,$B$2:$B537,$B537)=1,1,0))</f>
        <v/>
      </c>
      <c r="J537" t="str">
        <f t="shared" si="8"/>
        <v/>
      </c>
      <c r="L537" t="str">
        <f>IF('01_Warehouse_Ledger'!$A537="","",'01_Warehouse_Ledger'!$A537)</f>
        <v/>
      </c>
    </row>
    <row r="538" spans="9:12">
      <c r="I538" t="str">
        <f>IF(OR($A538="",$B538=""),"",IF(COUNTIFS($A$2:$A538,$A538,$B$2:$B538,$B538)=1,1,0))</f>
        <v/>
      </c>
      <c r="J538" t="str">
        <f t="shared" si="8"/>
        <v/>
      </c>
      <c r="L538" t="str">
        <f>IF('01_Warehouse_Ledger'!$A538="","",'01_Warehouse_Ledger'!$A538)</f>
        <v/>
      </c>
    </row>
    <row r="539" spans="9:12">
      <c r="I539" t="str">
        <f>IF(OR($A539="",$B539=""),"",IF(COUNTIFS($A$2:$A539,$A539,$B$2:$B539,$B539)=1,1,0))</f>
        <v/>
      </c>
      <c r="J539" t="str">
        <f t="shared" si="8"/>
        <v/>
      </c>
      <c r="L539" t="str">
        <f>IF('01_Warehouse_Ledger'!$A539="","",'01_Warehouse_Ledger'!$A539)</f>
        <v/>
      </c>
    </row>
    <row r="540" spans="9:12">
      <c r="I540" t="str">
        <f>IF(OR($A540="",$B540=""),"",IF(COUNTIFS($A$2:$A540,$A540,$B$2:$B540,$B540)=1,1,0))</f>
        <v/>
      </c>
      <c r="J540" t="str">
        <f t="shared" si="8"/>
        <v/>
      </c>
      <c r="L540" t="str">
        <f>IF('01_Warehouse_Ledger'!$A540="","",'01_Warehouse_Ledger'!$A540)</f>
        <v/>
      </c>
    </row>
    <row r="541" spans="9:12">
      <c r="I541" t="str">
        <f>IF(OR($A541="",$B541=""),"",IF(COUNTIFS($A$2:$A541,$A541,$B$2:$B541,$B541)=1,1,0))</f>
        <v/>
      </c>
      <c r="J541" t="str">
        <f t="shared" si="8"/>
        <v/>
      </c>
      <c r="L541" t="str">
        <f>IF('01_Warehouse_Ledger'!$A541="","",'01_Warehouse_Ledger'!$A541)</f>
        <v/>
      </c>
    </row>
    <row r="542" spans="9:12">
      <c r="I542" t="str">
        <f>IF(OR($A542="",$B542=""),"",IF(COUNTIFS($A$2:$A542,$A542,$B$2:$B542,$B542)=1,1,0))</f>
        <v/>
      </c>
      <c r="J542" t="str">
        <f t="shared" si="8"/>
        <v/>
      </c>
      <c r="L542" t="str">
        <f>IF('01_Warehouse_Ledger'!$A542="","",'01_Warehouse_Ledger'!$A542)</f>
        <v/>
      </c>
    </row>
    <row r="543" spans="9:12">
      <c r="I543" t="str">
        <f>IF(OR($A543="",$B543=""),"",IF(COUNTIFS($A$2:$A543,$A543,$B$2:$B543,$B543)=1,1,0))</f>
        <v/>
      </c>
      <c r="J543" t="str">
        <f t="shared" si="8"/>
        <v/>
      </c>
      <c r="L543" t="str">
        <f>IF('01_Warehouse_Ledger'!$A543="","",'01_Warehouse_Ledger'!$A543)</f>
        <v/>
      </c>
    </row>
    <row r="544" spans="9:12">
      <c r="I544" t="str">
        <f>IF(OR($A544="",$B544=""),"",IF(COUNTIFS($A$2:$A544,$A544,$B$2:$B544,$B544)=1,1,0))</f>
        <v/>
      </c>
      <c r="J544" t="str">
        <f t="shared" si="8"/>
        <v/>
      </c>
      <c r="L544" t="str">
        <f>IF('01_Warehouse_Ledger'!$A544="","",'01_Warehouse_Ledger'!$A544)</f>
        <v/>
      </c>
    </row>
    <row r="545" spans="9:12">
      <c r="I545" t="str">
        <f>IF(OR($A545="",$B545=""),"",IF(COUNTIFS($A$2:$A545,$A545,$B$2:$B545,$B545)=1,1,0))</f>
        <v/>
      </c>
      <c r="J545" t="str">
        <f t="shared" si="8"/>
        <v/>
      </c>
      <c r="L545" t="str">
        <f>IF('01_Warehouse_Ledger'!$A545="","",'01_Warehouse_Ledger'!$A545)</f>
        <v/>
      </c>
    </row>
    <row r="546" spans="9:12">
      <c r="I546" t="str">
        <f>IF(OR($A546="",$B546=""),"",IF(COUNTIFS($A$2:$A546,$A546,$B$2:$B546,$B546)=1,1,0))</f>
        <v/>
      </c>
      <c r="J546" t="str">
        <f t="shared" si="8"/>
        <v/>
      </c>
      <c r="L546" t="str">
        <f>IF('01_Warehouse_Ledger'!$A546="","",'01_Warehouse_Ledger'!$A546)</f>
        <v/>
      </c>
    </row>
    <row r="547" spans="9:12">
      <c r="I547" t="str">
        <f>IF(OR($A547="",$B547=""),"",IF(COUNTIFS($A$2:$A547,$A547,$B$2:$B547,$B547)=1,1,0))</f>
        <v/>
      </c>
      <c r="J547" t="str">
        <f t="shared" si="8"/>
        <v/>
      </c>
      <c r="L547" t="str">
        <f>IF('01_Warehouse_Ledger'!$A547="","",'01_Warehouse_Ledger'!$A547)</f>
        <v/>
      </c>
    </row>
    <row r="548" spans="9:12">
      <c r="I548" t="str">
        <f>IF(OR($A548="",$B548=""),"",IF(COUNTIFS($A$2:$A548,$A548,$B$2:$B548,$B548)=1,1,0))</f>
        <v/>
      </c>
      <c r="J548" t="str">
        <f t="shared" si="8"/>
        <v/>
      </c>
      <c r="L548" t="str">
        <f>IF('01_Warehouse_Ledger'!$A548="","",'01_Warehouse_Ledger'!$A548)</f>
        <v/>
      </c>
    </row>
    <row r="549" spans="9:12">
      <c r="I549" t="str">
        <f>IF(OR($A549="",$B549=""),"",IF(COUNTIFS($A$2:$A549,$A549,$B$2:$B549,$B549)=1,1,0))</f>
        <v/>
      </c>
      <c r="J549" t="str">
        <f t="shared" si="8"/>
        <v/>
      </c>
      <c r="L549" t="str">
        <f>IF('01_Warehouse_Ledger'!$A549="","",'01_Warehouse_Ledger'!$A549)</f>
        <v/>
      </c>
    </row>
    <row r="550" spans="9:12">
      <c r="I550" t="str">
        <f>IF(OR($A550="",$B550=""),"",IF(COUNTIFS($A$2:$A550,$A550,$B$2:$B550,$B550)=1,1,0))</f>
        <v/>
      </c>
      <c r="J550" t="str">
        <f t="shared" si="8"/>
        <v/>
      </c>
      <c r="L550" t="str">
        <f>IF('01_Warehouse_Ledger'!$A550="","",'01_Warehouse_Ledger'!$A550)</f>
        <v/>
      </c>
    </row>
    <row r="551" spans="9:12">
      <c r="I551" t="str">
        <f>IF(OR($A551="",$B551=""),"",IF(COUNTIFS($A$2:$A551,$A551,$B$2:$B551,$B551)=1,1,0))</f>
        <v/>
      </c>
      <c r="J551" t="str">
        <f t="shared" si="8"/>
        <v/>
      </c>
      <c r="L551" t="str">
        <f>IF('01_Warehouse_Ledger'!$A551="","",'01_Warehouse_Ledger'!$A551)</f>
        <v/>
      </c>
    </row>
    <row r="552" spans="9:12">
      <c r="I552" t="str">
        <f>IF(OR($A552="",$B552=""),"",IF(COUNTIFS($A$2:$A552,$A552,$B$2:$B552,$B552)=1,1,0))</f>
        <v/>
      </c>
      <c r="J552" t="str">
        <f t="shared" si="8"/>
        <v/>
      </c>
      <c r="L552" t="str">
        <f>IF('01_Warehouse_Ledger'!$A552="","",'01_Warehouse_Ledger'!$A552)</f>
        <v/>
      </c>
    </row>
    <row r="553" spans="9:12">
      <c r="I553" t="str">
        <f>IF(OR($A553="",$B553=""),"",IF(COUNTIFS($A$2:$A553,$A553,$B$2:$B553,$B553)=1,1,0))</f>
        <v/>
      </c>
      <c r="J553" t="str">
        <f t="shared" si="8"/>
        <v/>
      </c>
      <c r="L553" t="str">
        <f>IF('01_Warehouse_Ledger'!$A553="","",'01_Warehouse_Ledger'!$A553)</f>
        <v/>
      </c>
    </row>
    <row r="554" spans="9:12">
      <c r="I554" t="str">
        <f>IF(OR($A554="",$B554=""),"",IF(COUNTIFS($A$2:$A554,$A554,$B$2:$B554,$B554)=1,1,0))</f>
        <v/>
      </c>
      <c r="J554" t="str">
        <f t="shared" si="8"/>
        <v/>
      </c>
      <c r="L554" t="str">
        <f>IF('01_Warehouse_Ledger'!$A554="","",'01_Warehouse_Ledger'!$A554)</f>
        <v/>
      </c>
    </row>
    <row r="555" spans="9:12">
      <c r="I555" t="str">
        <f>IF(OR($A555="",$B555=""),"",IF(COUNTIFS($A$2:$A555,$A555,$B$2:$B555,$B555)=1,1,0))</f>
        <v/>
      </c>
      <c r="J555" t="str">
        <f t="shared" si="8"/>
        <v/>
      </c>
      <c r="L555" t="str">
        <f>IF('01_Warehouse_Ledger'!$A555="","",'01_Warehouse_Ledger'!$A555)</f>
        <v/>
      </c>
    </row>
    <row r="556" spans="9:12">
      <c r="I556" t="str">
        <f>IF(OR($A556="",$B556=""),"",IF(COUNTIFS($A$2:$A556,$A556,$B$2:$B556,$B556)=1,1,0))</f>
        <v/>
      </c>
      <c r="J556" t="str">
        <f t="shared" si="8"/>
        <v/>
      </c>
      <c r="L556" t="str">
        <f>IF('01_Warehouse_Ledger'!$A556="","",'01_Warehouse_Ledger'!$A556)</f>
        <v/>
      </c>
    </row>
    <row r="557" spans="9:12">
      <c r="I557" t="str">
        <f>IF(OR($A557="",$B557=""),"",IF(COUNTIFS($A$2:$A557,$A557,$B$2:$B557,$B557)=1,1,0))</f>
        <v/>
      </c>
      <c r="J557" t="str">
        <f t="shared" si="8"/>
        <v/>
      </c>
      <c r="L557" t="str">
        <f>IF('01_Warehouse_Ledger'!$A557="","",'01_Warehouse_Ledger'!$A557)</f>
        <v/>
      </c>
    </row>
    <row r="558" spans="9:12">
      <c r="I558" t="str">
        <f>IF(OR($A558="",$B558=""),"",IF(COUNTIFS($A$2:$A558,$A558,$B$2:$B558,$B558)=1,1,0))</f>
        <v/>
      </c>
      <c r="J558" t="str">
        <f t="shared" si="8"/>
        <v/>
      </c>
      <c r="L558" t="str">
        <f>IF('01_Warehouse_Ledger'!$A558="","",'01_Warehouse_Ledger'!$A558)</f>
        <v/>
      </c>
    </row>
    <row r="559" spans="9:12">
      <c r="I559" t="str">
        <f>IF(OR($A559="",$B559=""),"",IF(COUNTIFS($A$2:$A559,$A559,$B$2:$B559,$B559)=1,1,0))</f>
        <v/>
      </c>
      <c r="J559" t="str">
        <f t="shared" si="8"/>
        <v/>
      </c>
      <c r="L559" t="str">
        <f>IF('01_Warehouse_Ledger'!$A559="","",'01_Warehouse_Ledger'!$A559)</f>
        <v/>
      </c>
    </row>
    <row r="560" spans="9:12">
      <c r="I560" t="str">
        <f>IF(OR($A560="",$B560=""),"",IF(COUNTIFS($A$2:$A560,$A560,$B$2:$B560,$B560)=1,1,0))</f>
        <v/>
      </c>
      <c r="J560" t="str">
        <f t="shared" si="8"/>
        <v/>
      </c>
      <c r="L560" t="str">
        <f>IF('01_Warehouse_Ledger'!$A560="","",'01_Warehouse_Ledger'!$A560)</f>
        <v/>
      </c>
    </row>
    <row r="561" spans="9:12">
      <c r="I561" t="str">
        <f>IF(OR($A561="",$B561=""),"",IF(COUNTIFS($A$2:$A561,$A561,$B$2:$B561,$B561)=1,1,0))</f>
        <v/>
      </c>
      <c r="J561" t="str">
        <f t="shared" si="8"/>
        <v/>
      </c>
      <c r="L561" t="str">
        <f>IF('01_Warehouse_Ledger'!$A561="","",'01_Warehouse_Ledger'!$A561)</f>
        <v/>
      </c>
    </row>
    <row r="562" spans="9:12">
      <c r="I562" t="str">
        <f>IF(OR($A562="",$B562=""),"",IF(COUNTIFS($A$2:$A562,$A562,$B$2:$B562,$B562)=1,1,0))</f>
        <v/>
      </c>
      <c r="J562" t="str">
        <f t="shared" si="8"/>
        <v/>
      </c>
      <c r="L562" t="str">
        <f>IF('01_Warehouse_Ledger'!$A562="","",'01_Warehouse_Ledger'!$A562)</f>
        <v/>
      </c>
    </row>
    <row r="563" spans="9:12">
      <c r="I563" t="str">
        <f>IF(OR($A563="",$B563=""),"",IF(COUNTIFS($A$2:$A563,$A563,$B$2:$B563,$B563)=1,1,0))</f>
        <v/>
      </c>
      <c r="J563" t="str">
        <f t="shared" si="8"/>
        <v/>
      </c>
      <c r="L563" t="str">
        <f>IF('01_Warehouse_Ledger'!$A563="","",'01_Warehouse_Ledger'!$A563)</f>
        <v/>
      </c>
    </row>
    <row r="564" spans="9:12">
      <c r="I564" t="str">
        <f>IF(OR($A564="",$B564=""),"",IF(COUNTIFS($A$2:$A564,$A564,$B$2:$B564,$B564)=1,1,0))</f>
        <v/>
      </c>
      <c r="J564" t="str">
        <f t="shared" si="8"/>
        <v/>
      </c>
      <c r="L564" t="str">
        <f>IF('01_Warehouse_Ledger'!$A564="","",'01_Warehouse_Ledger'!$A564)</f>
        <v/>
      </c>
    </row>
    <row r="565" spans="9:12">
      <c r="I565" t="str">
        <f>IF(OR($A565="",$B565=""),"",IF(COUNTIFS($A$2:$A565,$A565,$B$2:$B565,$B565)=1,1,0))</f>
        <v/>
      </c>
      <c r="J565" t="str">
        <f t="shared" si="8"/>
        <v/>
      </c>
      <c r="L565" t="str">
        <f>IF('01_Warehouse_Ledger'!$A565="","",'01_Warehouse_Ledger'!$A565)</f>
        <v/>
      </c>
    </row>
    <row r="566" spans="9:12">
      <c r="I566" t="str">
        <f>IF(OR($A566="",$B566=""),"",IF(COUNTIFS($A$2:$A566,$A566,$B$2:$B566,$B566)=1,1,0))</f>
        <v/>
      </c>
      <c r="J566" t="str">
        <f t="shared" si="8"/>
        <v/>
      </c>
      <c r="L566" t="str">
        <f>IF('01_Warehouse_Ledger'!$A566="","",'01_Warehouse_Ledger'!$A566)</f>
        <v/>
      </c>
    </row>
    <row r="567" spans="9:12">
      <c r="I567" t="str">
        <f>IF(OR($A567="",$B567=""),"",IF(COUNTIFS($A$2:$A567,$A567,$B$2:$B567,$B567)=1,1,0))</f>
        <v/>
      </c>
      <c r="J567" t="str">
        <f t="shared" si="8"/>
        <v/>
      </c>
      <c r="L567" t="str">
        <f>IF('01_Warehouse_Ledger'!$A567="","",'01_Warehouse_Ledger'!$A567)</f>
        <v/>
      </c>
    </row>
    <row r="568" spans="9:12">
      <c r="I568" t="str">
        <f>IF(OR($A568="",$B568=""),"",IF(COUNTIFS($A$2:$A568,$A568,$B$2:$B568,$B568)=1,1,0))</f>
        <v/>
      </c>
      <c r="J568" t="str">
        <f t="shared" si="8"/>
        <v/>
      </c>
      <c r="L568" t="str">
        <f>IF('01_Warehouse_Ledger'!$A568="","",'01_Warehouse_Ledger'!$A568)</f>
        <v/>
      </c>
    </row>
    <row r="569" spans="9:12">
      <c r="I569" t="str">
        <f>IF(OR($A569="",$B569=""),"",IF(COUNTIFS($A$2:$A569,$A569,$B$2:$B569,$B569)=1,1,0))</f>
        <v/>
      </c>
      <c r="J569" t="str">
        <f t="shared" si="8"/>
        <v/>
      </c>
      <c r="L569" t="str">
        <f>IF('01_Warehouse_Ledger'!$A569="","",'01_Warehouse_Ledger'!$A569)</f>
        <v/>
      </c>
    </row>
    <row r="570" spans="9:12">
      <c r="I570" t="str">
        <f>IF(OR($A570="",$B570=""),"",IF(COUNTIFS($A$2:$A570,$A570,$B$2:$B570,$B570)=1,1,0))</f>
        <v/>
      </c>
      <c r="J570" t="str">
        <f t="shared" si="8"/>
        <v/>
      </c>
      <c r="L570" t="str">
        <f>IF('01_Warehouse_Ledger'!$A570="","",'01_Warehouse_Ledger'!$A570)</f>
        <v/>
      </c>
    </row>
    <row r="571" spans="9:12">
      <c r="I571" t="str">
        <f>IF(OR($A571="",$B571=""),"",IF(COUNTIFS($A$2:$A571,$A571,$B$2:$B571,$B571)=1,1,0))</f>
        <v/>
      </c>
      <c r="J571" t="str">
        <f t="shared" si="8"/>
        <v/>
      </c>
      <c r="L571" t="str">
        <f>IF('01_Warehouse_Ledger'!$A571="","",'01_Warehouse_Ledger'!$A571)</f>
        <v/>
      </c>
    </row>
    <row r="572" spans="9:12">
      <c r="I572" t="str">
        <f>IF(OR($A572="",$B572=""),"",IF(COUNTIFS($A$2:$A572,$A572,$B$2:$B572,$B572)=1,1,0))</f>
        <v/>
      </c>
      <c r="J572" t="str">
        <f t="shared" si="8"/>
        <v/>
      </c>
      <c r="L572" t="str">
        <f>IF('01_Warehouse_Ledger'!$A572="","",'01_Warehouse_Ledger'!$A572)</f>
        <v/>
      </c>
    </row>
    <row r="573" spans="9:12">
      <c r="I573" t="str">
        <f>IF(OR($A573="",$B573=""),"",IF(COUNTIFS($A$2:$A573,$A573,$B$2:$B573,$B573)=1,1,0))</f>
        <v/>
      </c>
      <c r="J573" t="str">
        <f t="shared" si="8"/>
        <v/>
      </c>
      <c r="L573" t="str">
        <f>IF('01_Warehouse_Ledger'!$A573="","",'01_Warehouse_Ledger'!$A573)</f>
        <v/>
      </c>
    </row>
    <row r="574" spans="9:12">
      <c r="I574" t="str">
        <f>IF(OR($A574="",$B574=""),"",IF(COUNTIFS($A$2:$A574,$A574,$B$2:$B574,$B574)=1,1,0))</f>
        <v/>
      </c>
      <c r="J574" t="str">
        <f t="shared" si="8"/>
        <v/>
      </c>
      <c r="L574" t="str">
        <f>IF('01_Warehouse_Ledger'!$A574="","",'01_Warehouse_Ledger'!$A574)</f>
        <v/>
      </c>
    </row>
    <row r="575" spans="9:12">
      <c r="I575" t="str">
        <f>IF(OR($A575="",$B575=""),"",IF(COUNTIFS($A$2:$A575,$A575,$B$2:$B575,$B575)=1,1,0))</f>
        <v/>
      </c>
      <c r="J575" t="str">
        <f t="shared" si="8"/>
        <v/>
      </c>
      <c r="L575" t="str">
        <f>IF('01_Warehouse_Ledger'!$A575="","",'01_Warehouse_Ledger'!$A575)</f>
        <v/>
      </c>
    </row>
    <row r="576" spans="9:12">
      <c r="I576" t="str">
        <f>IF(OR($A576="",$B576=""),"",IF(COUNTIFS($A$2:$A576,$A576,$B$2:$B576,$B576)=1,1,0))</f>
        <v/>
      </c>
      <c r="J576" t="str">
        <f t="shared" si="8"/>
        <v/>
      </c>
      <c r="L576" t="str">
        <f>IF('01_Warehouse_Ledger'!$A576="","",'01_Warehouse_Ledger'!$A576)</f>
        <v/>
      </c>
    </row>
    <row r="577" spans="9:12">
      <c r="I577" t="str">
        <f>IF(OR($A577="",$B577=""),"",IF(COUNTIFS($A$2:$A577,$A577,$B$2:$B577,$B577)=1,1,0))</f>
        <v/>
      </c>
      <c r="J577" t="str">
        <f t="shared" si="8"/>
        <v/>
      </c>
      <c r="L577" t="str">
        <f>IF('01_Warehouse_Ledger'!$A577="","",'01_Warehouse_Ledger'!$A577)</f>
        <v/>
      </c>
    </row>
    <row r="578" spans="9:12">
      <c r="I578" t="str">
        <f>IF(OR($A578="",$B578=""),"",IF(COUNTIFS($A$2:$A578,$A578,$B$2:$B578,$B578)=1,1,0))</f>
        <v/>
      </c>
      <c r="J578" t="str">
        <f t="shared" ref="J578:J641" si="9">IF($A578="","",ROW())</f>
        <v/>
      </c>
      <c r="L578" t="str">
        <f>IF('01_Warehouse_Ledger'!$A578="","",'01_Warehouse_Ledger'!$A578)</f>
        <v/>
      </c>
    </row>
    <row r="579" spans="9:12">
      <c r="I579" t="str">
        <f>IF(OR($A579="",$B579=""),"",IF(COUNTIFS($A$2:$A579,$A579,$B$2:$B579,$B579)=1,1,0))</f>
        <v/>
      </c>
      <c r="J579" t="str">
        <f t="shared" si="9"/>
        <v/>
      </c>
      <c r="L579" t="str">
        <f>IF('01_Warehouse_Ledger'!$A579="","",'01_Warehouse_Ledger'!$A579)</f>
        <v/>
      </c>
    </row>
    <row r="580" spans="9:12">
      <c r="I580" t="str">
        <f>IF(OR($A580="",$B580=""),"",IF(COUNTIFS($A$2:$A580,$A580,$B$2:$B580,$B580)=1,1,0))</f>
        <v/>
      </c>
      <c r="J580" t="str">
        <f t="shared" si="9"/>
        <v/>
      </c>
      <c r="L580" t="str">
        <f>IF('01_Warehouse_Ledger'!$A580="","",'01_Warehouse_Ledger'!$A580)</f>
        <v/>
      </c>
    </row>
    <row r="581" spans="9:12">
      <c r="I581" t="str">
        <f>IF(OR($A581="",$B581=""),"",IF(COUNTIFS($A$2:$A581,$A581,$B$2:$B581,$B581)=1,1,0))</f>
        <v/>
      </c>
      <c r="J581" t="str">
        <f t="shared" si="9"/>
        <v/>
      </c>
      <c r="L581" t="str">
        <f>IF('01_Warehouse_Ledger'!$A581="","",'01_Warehouse_Ledger'!$A581)</f>
        <v/>
      </c>
    </row>
    <row r="582" spans="9:12">
      <c r="I582" t="str">
        <f>IF(OR($A582="",$B582=""),"",IF(COUNTIFS($A$2:$A582,$A582,$B$2:$B582,$B582)=1,1,0))</f>
        <v/>
      </c>
      <c r="J582" t="str">
        <f t="shared" si="9"/>
        <v/>
      </c>
      <c r="L582" t="str">
        <f>IF('01_Warehouse_Ledger'!$A582="","",'01_Warehouse_Ledger'!$A582)</f>
        <v/>
      </c>
    </row>
    <row r="583" spans="9:12">
      <c r="I583" t="str">
        <f>IF(OR($A583="",$B583=""),"",IF(COUNTIFS($A$2:$A583,$A583,$B$2:$B583,$B583)=1,1,0))</f>
        <v/>
      </c>
      <c r="J583" t="str">
        <f t="shared" si="9"/>
        <v/>
      </c>
      <c r="L583" t="str">
        <f>IF('01_Warehouse_Ledger'!$A583="","",'01_Warehouse_Ledger'!$A583)</f>
        <v/>
      </c>
    </row>
    <row r="584" spans="9:12">
      <c r="I584" t="str">
        <f>IF(OR($A584="",$B584=""),"",IF(COUNTIFS($A$2:$A584,$A584,$B$2:$B584,$B584)=1,1,0))</f>
        <v/>
      </c>
      <c r="J584" t="str">
        <f t="shared" si="9"/>
        <v/>
      </c>
      <c r="L584" t="str">
        <f>IF('01_Warehouse_Ledger'!$A584="","",'01_Warehouse_Ledger'!$A584)</f>
        <v/>
      </c>
    </row>
    <row r="585" spans="9:12">
      <c r="I585" t="str">
        <f>IF(OR($A585="",$B585=""),"",IF(COUNTIFS($A$2:$A585,$A585,$B$2:$B585,$B585)=1,1,0))</f>
        <v/>
      </c>
      <c r="J585" t="str">
        <f t="shared" si="9"/>
        <v/>
      </c>
      <c r="L585" t="str">
        <f>IF('01_Warehouse_Ledger'!$A585="","",'01_Warehouse_Ledger'!$A585)</f>
        <v/>
      </c>
    </row>
    <row r="586" spans="9:12">
      <c r="I586" t="str">
        <f>IF(OR($A586="",$B586=""),"",IF(COUNTIFS($A$2:$A586,$A586,$B$2:$B586,$B586)=1,1,0))</f>
        <v/>
      </c>
      <c r="J586" t="str">
        <f t="shared" si="9"/>
        <v/>
      </c>
      <c r="L586" t="str">
        <f>IF('01_Warehouse_Ledger'!$A586="","",'01_Warehouse_Ledger'!$A586)</f>
        <v/>
      </c>
    </row>
    <row r="587" spans="9:12">
      <c r="I587" t="str">
        <f>IF(OR($A587="",$B587=""),"",IF(COUNTIFS($A$2:$A587,$A587,$B$2:$B587,$B587)=1,1,0))</f>
        <v/>
      </c>
      <c r="J587" t="str">
        <f t="shared" si="9"/>
        <v/>
      </c>
      <c r="L587" t="str">
        <f>IF('01_Warehouse_Ledger'!$A587="","",'01_Warehouse_Ledger'!$A587)</f>
        <v/>
      </c>
    </row>
    <row r="588" spans="9:12">
      <c r="I588" t="str">
        <f>IF(OR($A588="",$B588=""),"",IF(COUNTIFS($A$2:$A588,$A588,$B$2:$B588,$B588)=1,1,0))</f>
        <v/>
      </c>
      <c r="J588" t="str">
        <f t="shared" si="9"/>
        <v/>
      </c>
      <c r="L588" t="str">
        <f>IF('01_Warehouse_Ledger'!$A588="","",'01_Warehouse_Ledger'!$A588)</f>
        <v/>
      </c>
    </row>
    <row r="589" spans="9:12">
      <c r="I589" t="str">
        <f>IF(OR($A589="",$B589=""),"",IF(COUNTIFS($A$2:$A589,$A589,$B$2:$B589,$B589)=1,1,0))</f>
        <v/>
      </c>
      <c r="J589" t="str">
        <f t="shared" si="9"/>
        <v/>
      </c>
      <c r="L589" t="str">
        <f>IF('01_Warehouse_Ledger'!$A589="","",'01_Warehouse_Ledger'!$A589)</f>
        <v/>
      </c>
    </row>
    <row r="590" spans="9:12">
      <c r="I590" t="str">
        <f>IF(OR($A590="",$B590=""),"",IF(COUNTIFS($A$2:$A590,$A590,$B$2:$B590,$B590)=1,1,0))</f>
        <v/>
      </c>
      <c r="J590" t="str">
        <f t="shared" si="9"/>
        <v/>
      </c>
      <c r="L590" t="str">
        <f>IF('01_Warehouse_Ledger'!$A590="","",'01_Warehouse_Ledger'!$A590)</f>
        <v/>
      </c>
    </row>
    <row r="591" spans="9:12">
      <c r="I591" t="str">
        <f>IF(OR($A591="",$B591=""),"",IF(COUNTIFS($A$2:$A591,$A591,$B$2:$B591,$B591)=1,1,0))</f>
        <v/>
      </c>
      <c r="J591" t="str">
        <f t="shared" si="9"/>
        <v/>
      </c>
      <c r="L591" t="str">
        <f>IF('01_Warehouse_Ledger'!$A591="","",'01_Warehouse_Ledger'!$A591)</f>
        <v/>
      </c>
    </row>
    <row r="592" spans="9:12">
      <c r="I592" t="str">
        <f>IF(OR($A592="",$B592=""),"",IF(COUNTIFS($A$2:$A592,$A592,$B$2:$B592,$B592)=1,1,0))</f>
        <v/>
      </c>
      <c r="J592" t="str">
        <f t="shared" si="9"/>
        <v/>
      </c>
      <c r="L592" t="str">
        <f>IF('01_Warehouse_Ledger'!$A592="","",'01_Warehouse_Ledger'!$A592)</f>
        <v/>
      </c>
    </row>
    <row r="593" spans="9:12">
      <c r="I593" t="str">
        <f>IF(OR($A593="",$B593=""),"",IF(COUNTIFS($A$2:$A593,$A593,$B$2:$B593,$B593)=1,1,0))</f>
        <v/>
      </c>
      <c r="J593" t="str">
        <f t="shared" si="9"/>
        <v/>
      </c>
      <c r="L593" t="str">
        <f>IF('01_Warehouse_Ledger'!$A593="","",'01_Warehouse_Ledger'!$A593)</f>
        <v/>
      </c>
    </row>
    <row r="594" spans="9:12">
      <c r="I594" t="str">
        <f>IF(OR($A594="",$B594=""),"",IF(COUNTIFS($A$2:$A594,$A594,$B$2:$B594,$B594)=1,1,0))</f>
        <v/>
      </c>
      <c r="J594" t="str">
        <f t="shared" si="9"/>
        <v/>
      </c>
      <c r="L594" t="str">
        <f>IF('01_Warehouse_Ledger'!$A594="","",'01_Warehouse_Ledger'!$A594)</f>
        <v/>
      </c>
    </row>
    <row r="595" spans="9:12">
      <c r="I595" t="str">
        <f>IF(OR($A595="",$B595=""),"",IF(COUNTIFS($A$2:$A595,$A595,$B$2:$B595,$B595)=1,1,0))</f>
        <v/>
      </c>
      <c r="J595" t="str">
        <f t="shared" si="9"/>
        <v/>
      </c>
      <c r="L595" t="str">
        <f>IF('01_Warehouse_Ledger'!$A595="","",'01_Warehouse_Ledger'!$A595)</f>
        <v/>
      </c>
    </row>
    <row r="596" spans="9:12">
      <c r="I596" t="str">
        <f>IF(OR($A596="",$B596=""),"",IF(COUNTIFS($A$2:$A596,$A596,$B$2:$B596,$B596)=1,1,0))</f>
        <v/>
      </c>
      <c r="J596" t="str">
        <f t="shared" si="9"/>
        <v/>
      </c>
      <c r="L596" t="str">
        <f>IF('01_Warehouse_Ledger'!$A596="","",'01_Warehouse_Ledger'!$A596)</f>
        <v/>
      </c>
    </row>
    <row r="597" spans="9:12">
      <c r="I597" t="str">
        <f>IF(OR($A597="",$B597=""),"",IF(COUNTIFS($A$2:$A597,$A597,$B$2:$B597,$B597)=1,1,0))</f>
        <v/>
      </c>
      <c r="J597" t="str">
        <f t="shared" si="9"/>
        <v/>
      </c>
      <c r="L597" t="str">
        <f>IF('01_Warehouse_Ledger'!$A597="","",'01_Warehouse_Ledger'!$A597)</f>
        <v/>
      </c>
    </row>
    <row r="598" spans="9:12">
      <c r="I598" t="str">
        <f>IF(OR($A598="",$B598=""),"",IF(COUNTIFS($A$2:$A598,$A598,$B$2:$B598,$B598)=1,1,0))</f>
        <v/>
      </c>
      <c r="J598" t="str">
        <f t="shared" si="9"/>
        <v/>
      </c>
      <c r="L598" t="str">
        <f>IF('01_Warehouse_Ledger'!$A598="","",'01_Warehouse_Ledger'!$A598)</f>
        <v/>
      </c>
    </row>
    <row r="599" spans="9:12">
      <c r="I599" t="str">
        <f>IF(OR($A599="",$B599=""),"",IF(COUNTIFS($A$2:$A599,$A599,$B$2:$B599,$B599)=1,1,0))</f>
        <v/>
      </c>
      <c r="J599" t="str">
        <f t="shared" si="9"/>
        <v/>
      </c>
      <c r="L599" t="str">
        <f>IF('01_Warehouse_Ledger'!$A599="","",'01_Warehouse_Ledger'!$A599)</f>
        <v/>
      </c>
    </row>
    <row r="600" spans="9:12">
      <c r="I600" t="str">
        <f>IF(OR($A600="",$B600=""),"",IF(COUNTIFS($A$2:$A600,$A600,$B$2:$B600,$B600)=1,1,0))</f>
        <v/>
      </c>
      <c r="J600" t="str">
        <f t="shared" si="9"/>
        <v/>
      </c>
      <c r="L600" t="str">
        <f>IF('01_Warehouse_Ledger'!$A600="","",'01_Warehouse_Ledger'!$A600)</f>
        <v/>
      </c>
    </row>
    <row r="601" spans="9:12">
      <c r="I601" t="str">
        <f>IF(OR($A601="",$B601=""),"",IF(COUNTIFS($A$2:$A601,$A601,$B$2:$B601,$B601)=1,1,0))</f>
        <v/>
      </c>
      <c r="J601" t="str">
        <f t="shared" si="9"/>
        <v/>
      </c>
      <c r="L601" t="str">
        <f>IF('01_Warehouse_Ledger'!$A601="","",'01_Warehouse_Ledger'!$A601)</f>
        <v/>
      </c>
    </row>
    <row r="602" spans="9:12">
      <c r="I602" t="str">
        <f>IF(OR($A602="",$B602=""),"",IF(COUNTIFS($A$2:$A602,$A602,$B$2:$B602,$B602)=1,1,0))</f>
        <v/>
      </c>
      <c r="J602" t="str">
        <f t="shared" si="9"/>
        <v/>
      </c>
      <c r="L602" t="str">
        <f>IF('01_Warehouse_Ledger'!$A602="","",'01_Warehouse_Ledger'!$A602)</f>
        <v/>
      </c>
    </row>
    <row r="603" spans="9:12">
      <c r="I603" t="str">
        <f>IF(OR($A603="",$B603=""),"",IF(COUNTIFS($A$2:$A603,$A603,$B$2:$B603,$B603)=1,1,0))</f>
        <v/>
      </c>
      <c r="J603" t="str">
        <f t="shared" si="9"/>
        <v/>
      </c>
      <c r="L603" t="str">
        <f>IF('01_Warehouse_Ledger'!$A603="","",'01_Warehouse_Ledger'!$A603)</f>
        <v/>
      </c>
    </row>
    <row r="604" spans="9:12">
      <c r="I604" t="str">
        <f>IF(OR($A604="",$B604=""),"",IF(COUNTIFS($A$2:$A604,$A604,$B$2:$B604,$B604)=1,1,0))</f>
        <v/>
      </c>
      <c r="J604" t="str">
        <f t="shared" si="9"/>
        <v/>
      </c>
      <c r="L604" t="str">
        <f>IF('01_Warehouse_Ledger'!$A604="","",'01_Warehouse_Ledger'!$A604)</f>
        <v/>
      </c>
    </row>
    <row r="605" spans="9:12">
      <c r="I605" t="str">
        <f>IF(OR($A605="",$B605=""),"",IF(COUNTIFS($A$2:$A605,$A605,$B$2:$B605,$B605)=1,1,0))</f>
        <v/>
      </c>
      <c r="J605" t="str">
        <f t="shared" si="9"/>
        <v/>
      </c>
      <c r="L605" t="str">
        <f>IF('01_Warehouse_Ledger'!$A605="","",'01_Warehouse_Ledger'!$A605)</f>
        <v/>
      </c>
    </row>
    <row r="606" spans="9:12">
      <c r="I606" t="str">
        <f>IF(OR($A606="",$B606=""),"",IF(COUNTIFS($A$2:$A606,$A606,$B$2:$B606,$B606)=1,1,0))</f>
        <v/>
      </c>
      <c r="J606" t="str">
        <f t="shared" si="9"/>
        <v/>
      </c>
      <c r="L606" t="str">
        <f>IF('01_Warehouse_Ledger'!$A606="","",'01_Warehouse_Ledger'!$A606)</f>
        <v/>
      </c>
    </row>
    <row r="607" spans="9:12">
      <c r="I607" t="str">
        <f>IF(OR($A607="",$B607=""),"",IF(COUNTIFS($A$2:$A607,$A607,$B$2:$B607,$B607)=1,1,0))</f>
        <v/>
      </c>
      <c r="J607" t="str">
        <f t="shared" si="9"/>
        <v/>
      </c>
      <c r="L607" t="str">
        <f>IF('01_Warehouse_Ledger'!$A607="","",'01_Warehouse_Ledger'!$A607)</f>
        <v/>
      </c>
    </row>
    <row r="608" spans="9:12">
      <c r="I608" t="str">
        <f>IF(OR($A608="",$B608=""),"",IF(COUNTIFS($A$2:$A608,$A608,$B$2:$B608,$B608)=1,1,0))</f>
        <v/>
      </c>
      <c r="J608" t="str">
        <f t="shared" si="9"/>
        <v/>
      </c>
      <c r="L608" t="str">
        <f>IF('01_Warehouse_Ledger'!$A608="","",'01_Warehouse_Ledger'!$A608)</f>
        <v/>
      </c>
    </row>
    <row r="609" spans="9:12">
      <c r="I609" t="str">
        <f>IF(OR($A609="",$B609=""),"",IF(COUNTIFS($A$2:$A609,$A609,$B$2:$B609,$B609)=1,1,0))</f>
        <v/>
      </c>
      <c r="J609" t="str">
        <f t="shared" si="9"/>
        <v/>
      </c>
      <c r="L609" t="str">
        <f>IF('01_Warehouse_Ledger'!$A609="","",'01_Warehouse_Ledger'!$A609)</f>
        <v/>
      </c>
    </row>
    <row r="610" spans="9:12">
      <c r="I610" t="str">
        <f>IF(OR($A610="",$B610=""),"",IF(COUNTIFS($A$2:$A610,$A610,$B$2:$B610,$B610)=1,1,0))</f>
        <v/>
      </c>
      <c r="J610" t="str">
        <f t="shared" si="9"/>
        <v/>
      </c>
      <c r="L610" t="str">
        <f>IF('01_Warehouse_Ledger'!$A610="","",'01_Warehouse_Ledger'!$A610)</f>
        <v/>
      </c>
    </row>
    <row r="611" spans="9:12">
      <c r="I611" t="str">
        <f>IF(OR($A611="",$B611=""),"",IF(COUNTIFS($A$2:$A611,$A611,$B$2:$B611,$B611)=1,1,0))</f>
        <v/>
      </c>
      <c r="J611" t="str">
        <f t="shared" si="9"/>
        <v/>
      </c>
      <c r="L611" t="str">
        <f>IF('01_Warehouse_Ledger'!$A611="","",'01_Warehouse_Ledger'!$A611)</f>
        <v/>
      </c>
    </row>
    <row r="612" spans="9:12">
      <c r="I612" t="str">
        <f>IF(OR($A612="",$B612=""),"",IF(COUNTIFS($A$2:$A612,$A612,$B$2:$B612,$B612)=1,1,0))</f>
        <v/>
      </c>
      <c r="J612" t="str">
        <f t="shared" si="9"/>
        <v/>
      </c>
      <c r="L612" t="str">
        <f>IF('01_Warehouse_Ledger'!$A612="","",'01_Warehouse_Ledger'!$A612)</f>
        <v/>
      </c>
    </row>
    <row r="613" spans="9:12">
      <c r="I613" t="str">
        <f>IF(OR($A613="",$B613=""),"",IF(COUNTIFS($A$2:$A613,$A613,$B$2:$B613,$B613)=1,1,0))</f>
        <v/>
      </c>
      <c r="J613" t="str">
        <f t="shared" si="9"/>
        <v/>
      </c>
      <c r="L613" t="str">
        <f>IF('01_Warehouse_Ledger'!$A613="","",'01_Warehouse_Ledger'!$A613)</f>
        <v/>
      </c>
    </row>
    <row r="614" spans="9:12">
      <c r="I614" t="str">
        <f>IF(OR($A614="",$B614=""),"",IF(COUNTIFS($A$2:$A614,$A614,$B$2:$B614,$B614)=1,1,0))</f>
        <v/>
      </c>
      <c r="J614" t="str">
        <f t="shared" si="9"/>
        <v/>
      </c>
      <c r="L614" t="str">
        <f>IF('01_Warehouse_Ledger'!$A614="","",'01_Warehouse_Ledger'!$A614)</f>
        <v/>
      </c>
    </row>
    <row r="615" spans="9:12">
      <c r="I615" t="str">
        <f>IF(OR($A615="",$B615=""),"",IF(COUNTIFS($A$2:$A615,$A615,$B$2:$B615,$B615)=1,1,0))</f>
        <v/>
      </c>
      <c r="J615" t="str">
        <f t="shared" si="9"/>
        <v/>
      </c>
      <c r="L615" t="str">
        <f>IF('01_Warehouse_Ledger'!$A615="","",'01_Warehouse_Ledger'!$A615)</f>
        <v/>
      </c>
    </row>
    <row r="616" spans="9:12">
      <c r="I616" t="str">
        <f>IF(OR($A616="",$B616=""),"",IF(COUNTIFS($A$2:$A616,$A616,$B$2:$B616,$B616)=1,1,0))</f>
        <v/>
      </c>
      <c r="J616" t="str">
        <f t="shared" si="9"/>
        <v/>
      </c>
      <c r="L616" t="str">
        <f>IF('01_Warehouse_Ledger'!$A616="","",'01_Warehouse_Ledger'!$A616)</f>
        <v/>
      </c>
    </row>
    <row r="617" spans="9:12">
      <c r="I617" t="str">
        <f>IF(OR($A617="",$B617=""),"",IF(COUNTIFS($A$2:$A617,$A617,$B$2:$B617,$B617)=1,1,0))</f>
        <v/>
      </c>
      <c r="J617" t="str">
        <f t="shared" si="9"/>
        <v/>
      </c>
      <c r="L617" t="str">
        <f>IF('01_Warehouse_Ledger'!$A617="","",'01_Warehouse_Ledger'!$A617)</f>
        <v/>
      </c>
    </row>
    <row r="618" spans="9:12">
      <c r="I618" t="str">
        <f>IF(OR($A618="",$B618=""),"",IF(COUNTIFS($A$2:$A618,$A618,$B$2:$B618,$B618)=1,1,0))</f>
        <v/>
      </c>
      <c r="J618" t="str">
        <f t="shared" si="9"/>
        <v/>
      </c>
      <c r="L618" t="str">
        <f>IF('01_Warehouse_Ledger'!$A618="","",'01_Warehouse_Ledger'!$A618)</f>
        <v/>
      </c>
    </row>
    <row r="619" spans="9:12">
      <c r="I619" t="str">
        <f>IF(OR($A619="",$B619=""),"",IF(COUNTIFS($A$2:$A619,$A619,$B$2:$B619,$B619)=1,1,0))</f>
        <v/>
      </c>
      <c r="J619" t="str">
        <f t="shared" si="9"/>
        <v/>
      </c>
      <c r="L619" t="str">
        <f>IF('01_Warehouse_Ledger'!$A619="","",'01_Warehouse_Ledger'!$A619)</f>
        <v/>
      </c>
    </row>
    <row r="620" spans="9:12">
      <c r="I620" t="str">
        <f>IF(OR($A620="",$B620=""),"",IF(COUNTIFS($A$2:$A620,$A620,$B$2:$B620,$B620)=1,1,0))</f>
        <v/>
      </c>
      <c r="J620" t="str">
        <f t="shared" si="9"/>
        <v/>
      </c>
      <c r="L620" t="str">
        <f>IF('01_Warehouse_Ledger'!$A620="","",'01_Warehouse_Ledger'!$A620)</f>
        <v/>
      </c>
    </row>
    <row r="621" spans="9:12">
      <c r="I621" t="str">
        <f>IF(OR($A621="",$B621=""),"",IF(COUNTIFS($A$2:$A621,$A621,$B$2:$B621,$B621)=1,1,0))</f>
        <v/>
      </c>
      <c r="J621" t="str">
        <f t="shared" si="9"/>
        <v/>
      </c>
      <c r="L621" t="str">
        <f>IF('01_Warehouse_Ledger'!$A621="","",'01_Warehouse_Ledger'!$A621)</f>
        <v/>
      </c>
    </row>
    <row r="622" spans="9:12">
      <c r="I622" t="str">
        <f>IF(OR($A622="",$B622=""),"",IF(COUNTIFS($A$2:$A622,$A622,$B$2:$B622,$B622)=1,1,0))</f>
        <v/>
      </c>
      <c r="J622" t="str">
        <f t="shared" si="9"/>
        <v/>
      </c>
      <c r="L622" t="str">
        <f>IF('01_Warehouse_Ledger'!$A622="","",'01_Warehouse_Ledger'!$A622)</f>
        <v/>
      </c>
    </row>
    <row r="623" spans="9:12">
      <c r="I623" t="str">
        <f>IF(OR($A623="",$B623=""),"",IF(COUNTIFS($A$2:$A623,$A623,$B$2:$B623,$B623)=1,1,0))</f>
        <v/>
      </c>
      <c r="J623" t="str">
        <f t="shared" si="9"/>
        <v/>
      </c>
      <c r="L623" t="str">
        <f>IF('01_Warehouse_Ledger'!$A623="","",'01_Warehouse_Ledger'!$A623)</f>
        <v/>
      </c>
    </row>
    <row r="624" spans="9:12">
      <c r="I624" t="str">
        <f>IF(OR($A624="",$B624=""),"",IF(COUNTIFS($A$2:$A624,$A624,$B$2:$B624,$B624)=1,1,0))</f>
        <v/>
      </c>
      <c r="J624" t="str">
        <f t="shared" si="9"/>
        <v/>
      </c>
      <c r="L624" t="str">
        <f>IF('01_Warehouse_Ledger'!$A624="","",'01_Warehouse_Ledger'!$A624)</f>
        <v/>
      </c>
    </row>
    <row r="625" spans="9:12">
      <c r="I625" t="str">
        <f>IF(OR($A625="",$B625=""),"",IF(COUNTIFS($A$2:$A625,$A625,$B$2:$B625,$B625)=1,1,0))</f>
        <v/>
      </c>
      <c r="J625" t="str">
        <f t="shared" si="9"/>
        <v/>
      </c>
      <c r="L625" t="str">
        <f>IF('01_Warehouse_Ledger'!$A625="","",'01_Warehouse_Ledger'!$A625)</f>
        <v/>
      </c>
    </row>
    <row r="626" spans="9:12">
      <c r="I626" t="str">
        <f>IF(OR($A626="",$B626=""),"",IF(COUNTIFS($A$2:$A626,$A626,$B$2:$B626,$B626)=1,1,0))</f>
        <v/>
      </c>
      <c r="J626" t="str">
        <f t="shared" si="9"/>
        <v/>
      </c>
      <c r="L626" t="str">
        <f>IF('01_Warehouse_Ledger'!$A626="","",'01_Warehouse_Ledger'!$A626)</f>
        <v/>
      </c>
    </row>
    <row r="627" spans="9:12">
      <c r="I627" t="str">
        <f>IF(OR($A627="",$B627=""),"",IF(COUNTIFS($A$2:$A627,$A627,$B$2:$B627,$B627)=1,1,0))</f>
        <v/>
      </c>
      <c r="J627" t="str">
        <f t="shared" si="9"/>
        <v/>
      </c>
      <c r="L627" t="str">
        <f>IF('01_Warehouse_Ledger'!$A627="","",'01_Warehouse_Ledger'!$A627)</f>
        <v/>
      </c>
    </row>
    <row r="628" spans="9:12">
      <c r="I628" t="str">
        <f>IF(OR($A628="",$B628=""),"",IF(COUNTIFS($A$2:$A628,$A628,$B$2:$B628,$B628)=1,1,0))</f>
        <v/>
      </c>
      <c r="J628" t="str">
        <f t="shared" si="9"/>
        <v/>
      </c>
      <c r="L628" t="str">
        <f>IF('01_Warehouse_Ledger'!$A628="","",'01_Warehouse_Ledger'!$A628)</f>
        <v/>
      </c>
    </row>
    <row r="629" spans="9:12">
      <c r="I629" t="str">
        <f>IF(OR($A629="",$B629=""),"",IF(COUNTIFS($A$2:$A629,$A629,$B$2:$B629,$B629)=1,1,0))</f>
        <v/>
      </c>
      <c r="J629" t="str">
        <f t="shared" si="9"/>
        <v/>
      </c>
      <c r="L629" t="str">
        <f>IF('01_Warehouse_Ledger'!$A629="","",'01_Warehouse_Ledger'!$A629)</f>
        <v/>
      </c>
    </row>
    <row r="630" spans="9:12">
      <c r="I630" t="str">
        <f>IF(OR($A630="",$B630=""),"",IF(COUNTIFS($A$2:$A630,$A630,$B$2:$B630,$B630)=1,1,0))</f>
        <v/>
      </c>
      <c r="J630" t="str">
        <f t="shared" si="9"/>
        <v/>
      </c>
      <c r="L630" t="str">
        <f>IF('01_Warehouse_Ledger'!$A630="","",'01_Warehouse_Ledger'!$A630)</f>
        <v/>
      </c>
    </row>
    <row r="631" spans="9:12">
      <c r="I631" t="str">
        <f>IF(OR($A631="",$B631=""),"",IF(COUNTIFS($A$2:$A631,$A631,$B$2:$B631,$B631)=1,1,0))</f>
        <v/>
      </c>
      <c r="J631" t="str">
        <f t="shared" si="9"/>
        <v/>
      </c>
      <c r="L631" t="str">
        <f>IF('01_Warehouse_Ledger'!$A631="","",'01_Warehouse_Ledger'!$A631)</f>
        <v/>
      </c>
    </row>
    <row r="632" spans="9:12">
      <c r="I632" t="str">
        <f>IF(OR($A632="",$B632=""),"",IF(COUNTIFS($A$2:$A632,$A632,$B$2:$B632,$B632)=1,1,0))</f>
        <v/>
      </c>
      <c r="J632" t="str">
        <f t="shared" si="9"/>
        <v/>
      </c>
      <c r="L632" t="str">
        <f>IF('01_Warehouse_Ledger'!$A632="","",'01_Warehouse_Ledger'!$A632)</f>
        <v/>
      </c>
    </row>
    <row r="633" spans="9:12">
      <c r="I633" t="str">
        <f>IF(OR($A633="",$B633=""),"",IF(COUNTIFS($A$2:$A633,$A633,$B$2:$B633,$B633)=1,1,0))</f>
        <v/>
      </c>
      <c r="J633" t="str">
        <f t="shared" si="9"/>
        <v/>
      </c>
      <c r="L633" t="str">
        <f>IF('01_Warehouse_Ledger'!$A633="","",'01_Warehouse_Ledger'!$A633)</f>
        <v/>
      </c>
    </row>
    <row r="634" spans="9:12">
      <c r="I634" t="str">
        <f>IF(OR($A634="",$B634=""),"",IF(COUNTIFS($A$2:$A634,$A634,$B$2:$B634,$B634)=1,1,0))</f>
        <v/>
      </c>
      <c r="J634" t="str">
        <f t="shared" si="9"/>
        <v/>
      </c>
      <c r="L634" t="str">
        <f>IF('01_Warehouse_Ledger'!$A634="","",'01_Warehouse_Ledger'!$A634)</f>
        <v/>
      </c>
    </row>
    <row r="635" spans="9:12">
      <c r="I635" t="str">
        <f>IF(OR($A635="",$B635=""),"",IF(COUNTIFS($A$2:$A635,$A635,$B$2:$B635,$B635)=1,1,0))</f>
        <v/>
      </c>
      <c r="J635" t="str">
        <f t="shared" si="9"/>
        <v/>
      </c>
      <c r="L635" t="str">
        <f>IF('01_Warehouse_Ledger'!$A635="","",'01_Warehouse_Ledger'!$A635)</f>
        <v/>
      </c>
    </row>
    <row r="636" spans="9:12">
      <c r="I636" t="str">
        <f>IF(OR($A636="",$B636=""),"",IF(COUNTIFS($A$2:$A636,$A636,$B$2:$B636,$B636)=1,1,0))</f>
        <v/>
      </c>
      <c r="J636" t="str">
        <f t="shared" si="9"/>
        <v/>
      </c>
      <c r="L636" t="str">
        <f>IF('01_Warehouse_Ledger'!$A636="","",'01_Warehouse_Ledger'!$A636)</f>
        <v/>
      </c>
    </row>
    <row r="637" spans="9:12">
      <c r="I637" t="str">
        <f>IF(OR($A637="",$B637=""),"",IF(COUNTIFS($A$2:$A637,$A637,$B$2:$B637,$B637)=1,1,0))</f>
        <v/>
      </c>
      <c r="J637" t="str">
        <f t="shared" si="9"/>
        <v/>
      </c>
      <c r="L637" t="str">
        <f>IF('01_Warehouse_Ledger'!$A637="","",'01_Warehouse_Ledger'!$A637)</f>
        <v/>
      </c>
    </row>
    <row r="638" spans="9:12">
      <c r="I638" t="str">
        <f>IF(OR($A638="",$B638=""),"",IF(COUNTIFS($A$2:$A638,$A638,$B$2:$B638,$B638)=1,1,0))</f>
        <v/>
      </c>
      <c r="J638" t="str">
        <f t="shared" si="9"/>
        <v/>
      </c>
      <c r="L638" t="str">
        <f>IF('01_Warehouse_Ledger'!$A638="","",'01_Warehouse_Ledger'!$A638)</f>
        <v/>
      </c>
    </row>
    <row r="639" spans="9:12">
      <c r="I639" t="str">
        <f>IF(OR($A639="",$B639=""),"",IF(COUNTIFS($A$2:$A639,$A639,$B$2:$B639,$B639)=1,1,0))</f>
        <v/>
      </c>
      <c r="J639" t="str">
        <f t="shared" si="9"/>
        <v/>
      </c>
      <c r="L639" t="str">
        <f>IF('01_Warehouse_Ledger'!$A639="","",'01_Warehouse_Ledger'!$A639)</f>
        <v/>
      </c>
    </row>
    <row r="640" spans="9:12">
      <c r="I640" t="str">
        <f>IF(OR($A640="",$B640=""),"",IF(COUNTIFS($A$2:$A640,$A640,$B$2:$B640,$B640)=1,1,0))</f>
        <v/>
      </c>
      <c r="J640" t="str">
        <f t="shared" si="9"/>
        <v/>
      </c>
      <c r="L640" t="str">
        <f>IF('01_Warehouse_Ledger'!$A640="","",'01_Warehouse_Ledger'!$A640)</f>
        <v/>
      </c>
    </row>
    <row r="641" spans="9:12">
      <c r="I641" t="str">
        <f>IF(OR($A641="",$B641=""),"",IF(COUNTIFS($A$2:$A641,$A641,$B$2:$B641,$B641)=1,1,0))</f>
        <v/>
      </c>
      <c r="J641" t="str">
        <f t="shared" si="9"/>
        <v/>
      </c>
      <c r="L641" t="str">
        <f>IF('01_Warehouse_Ledger'!$A641="","",'01_Warehouse_Ledger'!$A641)</f>
        <v/>
      </c>
    </row>
    <row r="642" spans="9:12">
      <c r="I642" t="str">
        <f>IF(OR($A642="",$B642=""),"",IF(COUNTIFS($A$2:$A642,$A642,$B$2:$B642,$B642)=1,1,0))</f>
        <v/>
      </c>
      <c r="J642" t="str">
        <f t="shared" ref="J642:J705" si="10">IF($A642="","",ROW())</f>
        <v/>
      </c>
      <c r="L642" t="str">
        <f>IF('01_Warehouse_Ledger'!$A642="","",'01_Warehouse_Ledger'!$A642)</f>
        <v/>
      </c>
    </row>
    <row r="643" spans="9:12">
      <c r="I643" t="str">
        <f>IF(OR($A643="",$B643=""),"",IF(COUNTIFS($A$2:$A643,$A643,$B$2:$B643,$B643)=1,1,0))</f>
        <v/>
      </c>
      <c r="J643" t="str">
        <f t="shared" si="10"/>
        <v/>
      </c>
      <c r="L643" t="str">
        <f>IF('01_Warehouse_Ledger'!$A643="","",'01_Warehouse_Ledger'!$A643)</f>
        <v/>
      </c>
    </row>
    <row r="644" spans="9:12">
      <c r="I644" t="str">
        <f>IF(OR($A644="",$B644=""),"",IF(COUNTIFS($A$2:$A644,$A644,$B$2:$B644,$B644)=1,1,0))</f>
        <v/>
      </c>
      <c r="J644" t="str">
        <f t="shared" si="10"/>
        <v/>
      </c>
      <c r="L644" t="str">
        <f>IF('01_Warehouse_Ledger'!$A644="","",'01_Warehouse_Ledger'!$A644)</f>
        <v/>
      </c>
    </row>
    <row r="645" spans="9:12">
      <c r="I645" t="str">
        <f>IF(OR($A645="",$B645=""),"",IF(COUNTIFS($A$2:$A645,$A645,$B$2:$B645,$B645)=1,1,0))</f>
        <v/>
      </c>
      <c r="J645" t="str">
        <f t="shared" si="10"/>
        <v/>
      </c>
      <c r="L645" t="str">
        <f>IF('01_Warehouse_Ledger'!$A645="","",'01_Warehouse_Ledger'!$A645)</f>
        <v/>
      </c>
    </row>
    <row r="646" spans="9:12">
      <c r="I646" t="str">
        <f>IF(OR($A646="",$B646=""),"",IF(COUNTIFS($A$2:$A646,$A646,$B$2:$B646,$B646)=1,1,0))</f>
        <v/>
      </c>
      <c r="J646" t="str">
        <f t="shared" si="10"/>
        <v/>
      </c>
      <c r="L646" t="str">
        <f>IF('01_Warehouse_Ledger'!$A646="","",'01_Warehouse_Ledger'!$A646)</f>
        <v/>
      </c>
    </row>
    <row r="647" spans="9:12">
      <c r="I647" t="str">
        <f>IF(OR($A647="",$B647=""),"",IF(COUNTIFS($A$2:$A647,$A647,$B$2:$B647,$B647)=1,1,0))</f>
        <v/>
      </c>
      <c r="J647" t="str">
        <f t="shared" si="10"/>
        <v/>
      </c>
      <c r="L647" t="str">
        <f>IF('01_Warehouse_Ledger'!$A647="","",'01_Warehouse_Ledger'!$A647)</f>
        <v/>
      </c>
    </row>
    <row r="648" spans="9:12">
      <c r="I648" t="str">
        <f>IF(OR($A648="",$B648=""),"",IF(COUNTIFS($A$2:$A648,$A648,$B$2:$B648,$B648)=1,1,0))</f>
        <v/>
      </c>
      <c r="J648" t="str">
        <f t="shared" si="10"/>
        <v/>
      </c>
      <c r="L648" t="str">
        <f>IF('01_Warehouse_Ledger'!$A648="","",'01_Warehouse_Ledger'!$A648)</f>
        <v/>
      </c>
    </row>
    <row r="649" spans="9:12">
      <c r="I649" t="str">
        <f>IF(OR($A649="",$B649=""),"",IF(COUNTIFS($A$2:$A649,$A649,$B$2:$B649,$B649)=1,1,0))</f>
        <v/>
      </c>
      <c r="J649" t="str">
        <f t="shared" si="10"/>
        <v/>
      </c>
      <c r="L649" t="str">
        <f>IF('01_Warehouse_Ledger'!$A649="","",'01_Warehouse_Ledger'!$A649)</f>
        <v/>
      </c>
    </row>
    <row r="650" spans="9:12">
      <c r="I650" t="str">
        <f>IF(OR($A650="",$B650=""),"",IF(COUNTIFS($A$2:$A650,$A650,$B$2:$B650,$B650)=1,1,0))</f>
        <v/>
      </c>
      <c r="J650" t="str">
        <f t="shared" si="10"/>
        <v/>
      </c>
      <c r="L650" t="str">
        <f>IF('01_Warehouse_Ledger'!$A650="","",'01_Warehouse_Ledger'!$A650)</f>
        <v/>
      </c>
    </row>
    <row r="651" spans="9:12">
      <c r="I651" t="str">
        <f>IF(OR($A651="",$B651=""),"",IF(COUNTIFS($A$2:$A651,$A651,$B$2:$B651,$B651)=1,1,0))</f>
        <v/>
      </c>
      <c r="J651" t="str">
        <f t="shared" si="10"/>
        <v/>
      </c>
      <c r="L651" t="str">
        <f>IF('01_Warehouse_Ledger'!$A651="","",'01_Warehouse_Ledger'!$A651)</f>
        <v/>
      </c>
    </row>
    <row r="652" spans="9:12">
      <c r="I652" t="str">
        <f>IF(OR($A652="",$B652=""),"",IF(COUNTIFS($A$2:$A652,$A652,$B$2:$B652,$B652)=1,1,0))</f>
        <v/>
      </c>
      <c r="J652" t="str">
        <f t="shared" si="10"/>
        <v/>
      </c>
      <c r="L652" t="str">
        <f>IF('01_Warehouse_Ledger'!$A652="","",'01_Warehouse_Ledger'!$A652)</f>
        <v/>
      </c>
    </row>
    <row r="653" spans="9:12">
      <c r="I653" t="str">
        <f>IF(OR($A653="",$B653=""),"",IF(COUNTIFS($A$2:$A653,$A653,$B$2:$B653,$B653)=1,1,0))</f>
        <v/>
      </c>
      <c r="J653" t="str">
        <f t="shared" si="10"/>
        <v/>
      </c>
      <c r="L653" t="str">
        <f>IF('01_Warehouse_Ledger'!$A653="","",'01_Warehouse_Ledger'!$A653)</f>
        <v/>
      </c>
    </row>
    <row r="654" spans="9:12">
      <c r="I654" t="str">
        <f>IF(OR($A654="",$B654=""),"",IF(COUNTIFS($A$2:$A654,$A654,$B$2:$B654,$B654)=1,1,0))</f>
        <v/>
      </c>
      <c r="J654" t="str">
        <f t="shared" si="10"/>
        <v/>
      </c>
      <c r="L654" t="str">
        <f>IF('01_Warehouse_Ledger'!$A654="","",'01_Warehouse_Ledger'!$A654)</f>
        <v/>
      </c>
    </row>
    <row r="655" spans="9:12">
      <c r="I655" t="str">
        <f>IF(OR($A655="",$B655=""),"",IF(COUNTIFS($A$2:$A655,$A655,$B$2:$B655,$B655)=1,1,0))</f>
        <v/>
      </c>
      <c r="J655" t="str">
        <f t="shared" si="10"/>
        <v/>
      </c>
      <c r="L655" t="str">
        <f>IF('01_Warehouse_Ledger'!$A655="","",'01_Warehouse_Ledger'!$A655)</f>
        <v/>
      </c>
    </row>
    <row r="656" spans="9:12">
      <c r="I656" t="str">
        <f>IF(OR($A656="",$B656=""),"",IF(COUNTIFS($A$2:$A656,$A656,$B$2:$B656,$B656)=1,1,0))</f>
        <v/>
      </c>
      <c r="J656" t="str">
        <f t="shared" si="10"/>
        <v/>
      </c>
      <c r="L656" t="str">
        <f>IF('01_Warehouse_Ledger'!$A656="","",'01_Warehouse_Ledger'!$A656)</f>
        <v/>
      </c>
    </row>
    <row r="657" spans="9:12">
      <c r="I657" t="str">
        <f>IF(OR($A657="",$B657=""),"",IF(COUNTIFS($A$2:$A657,$A657,$B$2:$B657,$B657)=1,1,0))</f>
        <v/>
      </c>
      <c r="J657" t="str">
        <f t="shared" si="10"/>
        <v/>
      </c>
      <c r="L657" t="str">
        <f>IF('01_Warehouse_Ledger'!$A657="","",'01_Warehouse_Ledger'!$A657)</f>
        <v/>
      </c>
    </row>
    <row r="658" spans="9:12">
      <c r="I658" t="str">
        <f>IF(OR($A658="",$B658=""),"",IF(COUNTIFS($A$2:$A658,$A658,$B$2:$B658,$B658)=1,1,0))</f>
        <v/>
      </c>
      <c r="J658" t="str">
        <f t="shared" si="10"/>
        <v/>
      </c>
      <c r="L658" t="str">
        <f>IF('01_Warehouse_Ledger'!$A658="","",'01_Warehouse_Ledger'!$A658)</f>
        <v/>
      </c>
    </row>
    <row r="659" spans="9:12">
      <c r="I659" t="str">
        <f>IF(OR($A659="",$B659=""),"",IF(COUNTIFS($A$2:$A659,$A659,$B$2:$B659,$B659)=1,1,0))</f>
        <v/>
      </c>
      <c r="J659" t="str">
        <f t="shared" si="10"/>
        <v/>
      </c>
      <c r="L659" t="str">
        <f>IF('01_Warehouse_Ledger'!$A659="","",'01_Warehouse_Ledger'!$A659)</f>
        <v/>
      </c>
    </row>
    <row r="660" spans="9:12">
      <c r="I660" t="str">
        <f>IF(OR($A660="",$B660=""),"",IF(COUNTIFS($A$2:$A660,$A660,$B$2:$B660,$B660)=1,1,0))</f>
        <v/>
      </c>
      <c r="J660" t="str">
        <f t="shared" si="10"/>
        <v/>
      </c>
      <c r="L660" t="str">
        <f>IF('01_Warehouse_Ledger'!$A660="","",'01_Warehouse_Ledger'!$A660)</f>
        <v/>
      </c>
    </row>
    <row r="661" spans="9:12">
      <c r="I661" t="str">
        <f>IF(OR($A661="",$B661=""),"",IF(COUNTIFS($A$2:$A661,$A661,$B$2:$B661,$B661)=1,1,0))</f>
        <v/>
      </c>
      <c r="J661" t="str">
        <f t="shared" si="10"/>
        <v/>
      </c>
      <c r="L661" t="str">
        <f>IF('01_Warehouse_Ledger'!$A661="","",'01_Warehouse_Ledger'!$A661)</f>
        <v/>
      </c>
    </row>
    <row r="662" spans="9:12">
      <c r="I662" t="str">
        <f>IF(OR($A662="",$B662=""),"",IF(COUNTIFS($A$2:$A662,$A662,$B$2:$B662,$B662)=1,1,0))</f>
        <v/>
      </c>
      <c r="J662" t="str">
        <f t="shared" si="10"/>
        <v/>
      </c>
      <c r="L662" t="str">
        <f>IF('01_Warehouse_Ledger'!$A662="","",'01_Warehouse_Ledger'!$A662)</f>
        <v/>
      </c>
    </row>
    <row r="663" spans="9:12">
      <c r="I663" t="str">
        <f>IF(OR($A663="",$B663=""),"",IF(COUNTIFS($A$2:$A663,$A663,$B$2:$B663,$B663)=1,1,0))</f>
        <v/>
      </c>
      <c r="J663" t="str">
        <f t="shared" si="10"/>
        <v/>
      </c>
      <c r="L663" t="str">
        <f>IF('01_Warehouse_Ledger'!$A663="","",'01_Warehouse_Ledger'!$A663)</f>
        <v/>
      </c>
    </row>
    <row r="664" spans="9:12">
      <c r="I664" t="str">
        <f>IF(OR($A664="",$B664=""),"",IF(COUNTIFS($A$2:$A664,$A664,$B$2:$B664,$B664)=1,1,0))</f>
        <v/>
      </c>
      <c r="J664" t="str">
        <f t="shared" si="10"/>
        <v/>
      </c>
      <c r="L664" t="str">
        <f>IF('01_Warehouse_Ledger'!$A664="","",'01_Warehouse_Ledger'!$A664)</f>
        <v/>
      </c>
    </row>
    <row r="665" spans="9:12">
      <c r="I665" t="str">
        <f>IF(OR($A665="",$B665=""),"",IF(COUNTIFS($A$2:$A665,$A665,$B$2:$B665,$B665)=1,1,0))</f>
        <v/>
      </c>
      <c r="J665" t="str">
        <f t="shared" si="10"/>
        <v/>
      </c>
      <c r="L665" t="str">
        <f>IF('01_Warehouse_Ledger'!$A665="","",'01_Warehouse_Ledger'!$A665)</f>
        <v/>
      </c>
    </row>
    <row r="666" spans="9:12">
      <c r="I666" t="str">
        <f>IF(OR($A666="",$B666=""),"",IF(COUNTIFS($A$2:$A666,$A666,$B$2:$B666,$B666)=1,1,0))</f>
        <v/>
      </c>
      <c r="J666" t="str">
        <f t="shared" si="10"/>
        <v/>
      </c>
      <c r="L666" t="str">
        <f>IF('01_Warehouse_Ledger'!$A666="","",'01_Warehouse_Ledger'!$A666)</f>
        <v/>
      </c>
    </row>
    <row r="667" spans="9:12">
      <c r="I667" t="str">
        <f>IF(OR($A667="",$B667=""),"",IF(COUNTIFS($A$2:$A667,$A667,$B$2:$B667,$B667)=1,1,0))</f>
        <v/>
      </c>
      <c r="J667" t="str">
        <f t="shared" si="10"/>
        <v/>
      </c>
      <c r="L667" t="str">
        <f>IF('01_Warehouse_Ledger'!$A667="","",'01_Warehouse_Ledger'!$A667)</f>
        <v/>
      </c>
    </row>
    <row r="668" spans="9:12">
      <c r="I668" t="str">
        <f>IF(OR($A668="",$B668=""),"",IF(COUNTIFS($A$2:$A668,$A668,$B$2:$B668,$B668)=1,1,0))</f>
        <v/>
      </c>
      <c r="J668" t="str">
        <f t="shared" si="10"/>
        <v/>
      </c>
      <c r="L668" t="str">
        <f>IF('01_Warehouse_Ledger'!$A668="","",'01_Warehouse_Ledger'!$A668)</f>
        <v/>
      </c>
    </row>
    <row r="669" spans="9:12">
      <c r="I669" t="str">
        <f>IF(OR($A669="",$B669=""),"",IF(COUNTIFS($A$2:$A669,$A669,$B$2:$B669,$B669)=1,1,0))</f>
        <v/>
      </c>
      <c r="J669" t="str">
        <f t="shared" si="10"/>
        <v/>
      </c>
      <c r="L669" t="str">
        <f>IF('01_Warehouse_Ledger'!$A669="","",'01_Warehouse_Ledger'!$A669)</f>
        <v/>
      </c>
    </row>
    <row r="670" spans="9:12">
      <c r="I670" t="str">
        <f>IF(OR($A670="",$B670=""),"",IF(COUNTIFS($A$2:$A670,$A670,$B$2:$B670,$B670)=1,1,0))</f>
        <v/>
      </c>
      <c r="J670" t="str">
        <f t="shared" si="10"/>
        <v/>
      </c>
      <c r="L670" t="str">
        <f>IF('01_Warehouse_Ledger'!$A670="","",'01_Warehouse_Ledger'!$A670)</f>
        <v/>
      </c>
    </row>
    <row r="671" spans="9:12">
      <c r="I671" t="str">
        <f>IF(OR($A671="",$B671=""),"",IF(COUNTIFS($A$2:$A671,$A671,$B$2:$B671,$B671)=1,1,0))</f>
        <v/>
      </c>
      <c r="J671" t="str">
        <f t="shared" si="10"/>
        <v/>
      </c>
      <c r="L671" t="str">
        <f>IF('01_Warehouse_Ledger'!$A671="","",'01_Warehouse_Ledger'!$A671)</f>
        <v/>
      </c>
    </row>
    <row r="672" spans="9:12">
      <c r="I672" t="str">
        <f>IF(OR($A672="",$B672=""),"",IF(COUNTIFS($A$2:$A672,$A672,$B$2:$B672,$B672)=1,1,0))</f>
        <v/>
      </c>
      <c r="J672" t="str">
        <f t="shared" si="10"/>
        <v/>
      </c>
      <c r="L672" t="str">
        <f>IF('01_Warehouse_Ledger'!$A672="","",'01_Warehouse_Ledger'!$A672)</f>
        <v/>
      </c>
    </row>
    <row r="673" spans="9:12">
      <c r="I673" t="str">
        <f>IF(OR($A673="",$B673=""),"",IF(COUNTIFS($A$2:$A673,$A673,$B$2:$B673,$B673)=1,1,0))</f>
        <v/>
      </c>
      <c r="J673" t="str">
        <f t="shared" si="10"/>
        <v/>
      </c>
      <c r="L673" t="str">
        <f>IF('01_Warehouse_Ledger'!$A673="","",'01_Warehouse_Ledger'!$A673)</f>
        <v/>
      </c>
    </row>
    <row r="674" spans="9:12">
      <c r="I674" t="str">
        <f>IF(OR($A674="",$B674=""),"",IF(COUNTIFS($A$2:$A674,$A674,$B$2:$B674,$B674)=1,1,0))</f>
        <v/>
      </c>
      <c r="J674" t="str">
        <f t="shared" si="10"/>
        <v/>
      </c>
      <c r="L674" t="str">
        <f>IF('01_Warehouse_Ledger'!$A674="","",'01_Warehouse_Ledger'!$A674)</f>
        <v/>
      </c>
    </row>
    <row r="675" spans="9:12">
      <c r="I675" t="str">
        <f>IF(OR($A675="",$B675=""),"",IF(COUNTIFS($A$2:$A675,$A675,$B$2:$B675,$B675)=1,1,0))</f>
        <v/>
      </c>
      <c r="J675" t="str">
        <f t="shared" si="10"/>
        <v/>
      </c>
      <c r="L675" t="str">
        <f>IF('01_Warehouse_Ledger'!$A675="","",'01_Warehouse_Ledger'!$A675)</f>
        <v/>
      </c>
    </row>
    <row r="676" spans="9:12">
      <c r="I676" t="str">
        <f>IF(OR($A676="",$B676=""),"",IF(COUNTIFS($A$2:$A676,$A676,$B$2:$B676,$B676)=1,1,0))</f>
        <v/>
      </c>
      <c r="J676" t="str">
        <f t="shared" si="10"/>
        <v/>
      </c>
      <c r="L676" t="str">
        <f>IF('01_Warehouse_Ledger'!$A676="","",'01_Warehouse_Ledger'!$A676)</f>
        <v/>
      </c>
    </row>
    <row r="677" spans="9:12">
      <c r="I677" t="str">
        <f>IF(OR($A677="",$B677=""),"",IF(COUNTIFS($A$2:$A677,$A677,$B$2:$B677,$B677)=1,1,0))</f>
        <v/>
      </c>
      <c r="J677" t="str">
        <f t="shared" si="10"/>
        <v/>
      </c>
      <c r="L677" t="str">
        <f>IF('01_Warehouse_Ledger'!$A677="","",'01_Warehouse_Ledger'!$A677)</f>
        <v/>
      </c>
    </row>
    <row r="678" spans="9:12">
      <c r="I678" t="str">
        <f>IF(OR($A678="",$B678=""),"",IF(COUNTIFS($A$2:$A678,$A678,$B$2:$B678,$B678)=1,1,0))</f>
        <v/>
      </c>
      <c r="J678" t="str">
        <f t="shared" si="10"/>
        <v/>
      </c>
      <c r="L678" t="str">
        <f>IF('01_Warehouse_Ledger'!$A678="","",'01_Warehouse_Ledger'!$A678)</f>
        <v/>
      </c>
    </row>
    <row r="679" spans="9:12">
      <c r="I679" t="str">
        <f>IF(OR($A679="",$B679=""),"",IF(COUNTIFS($A$2:$A679,$A679,$B$2:$B679,$B679)=1,1,0))</f>
        <v/>
      </c>
      <c r="J679" t="str">
        <f t="shared" si="10"/>
        <v/>
      </c>
      <c r="L679" t="str">
        <f>IF('01_Warehouse_Ledger'!$A679="","",'01_Warehouse_Ledger'!$A679)</f>
        <v/>
      </c>
    </row>
    <row r="680" spans="9:12">
      <c r="I680" t="str">
        <f>IF(OR($A680="",$B680=""),"",IF(COUNTIFS($A$2:$A680,$A680,$B$2:$B680,$B680)=1,1,0))</f>
        <v/>
      </c>
      <c r="J680" t="str">
        <f t="shared" si="10"/>
        <v/>
      </c>
      <c r="L680" t="str">
        <f>IF('01_Warehouse_Ledger'!$A680="","",'01_Warehouse_Ledger'!$A680)</f>
        <v/>
      </c>
    </row>
    <row r="681" spans="9:12">
      <c r="I681" t="str">
        <f>IF(OR($A681="",$B681=""),"",IF(COUNTIFS($A$2:$A681,$A681,$B$2:$B681,$B681)=1,1,0))</f>
        <v/>
      </c>
      <c r="J681" t="str">
        <f t="shared" si="10"/>
        <v/>
      </c>
      <c r="L681" t="str">
        <f>IF('01_Warehouse_Ledger'!$A681="","",'01_Warehouse_Ledger'!$A681)</f>
        <v/>
      </c>
    </row>
    <row r="682" spans="9:12">
      <c r="I682" t="str">
        <f>IF(OR($A682="",$B682=""),"",IF(COUNTIFS($A$2:$A682,$A682,$B$2:$B682,$B682)=1,1,0))</f>
        <v/>
      </c>
      <c r="J682" t="str">
        <f t="shared" si="10"/>
        <v/>
      </c>
      <c r="L682" t="str">
        <f>IF('01_Warehouse_Ledger'!$A682="","",'01_Warehouse_Ledger'!$A682)</f>
        <v/>
      </c>
    </row>
    <row r="683" spans="9:12">
      <c r="I683" t="str">
        <f>IF(OR($A683="",$B683=""),"",IF(COUNTIFS($A$2:$A683,$A683,$B$2:$B683,$B683)=1,1,0))</f>
        <v/>
      </c>
      <c r="J683" t="str">
        <f t="shared" si="10"/>
        <v/>
      </c>
      <c r="L683" t="str">
        <f>IF('01_Warehouse_Ledger'!$A683="","",'01_Warehouse_Ledger'!$A683)</f>
        <v/>
      </c>
    </row>
    <row r="684" spans="9:12">
      <c r="I684" t="str">
        <f>IF(OR($A684="",$B684=""),"",IF(COUNTIFS($A$2:$A684,$A684,$B$2:$B684,$B684)=1,1,0))</f>
        <v/>
      </c>
      <c r="J684" t="str">
        <f t="shared" si="10"/>
        <v/>
      </c>
      <c r="L684" t="str">
        <f>IF('01_Warehouse_Ledger'!$A684="","",'01_Warehouse_Ledger'!$A684)</f>
        <v/>
      </c>
    </row>
    <row r="685" spans="9:12">
      <c r="I685" t="str">
        <f>IF(OR($A685="",$B685=""),"",IF(COUNTIFS($A$2:$A685,$A685,$B$2:$B685,$B685)=1,1,0))</f>
        <v/>
      </c>
      <c r="J685" t="str">
        <f t="shared" si="10"/>
        <v/>
      </c>
      <c r="L685" t="str">
        <f>IF('01_Warehouse_Ledger'!$A685="","",'01_Warehouse_Ledger'!$A685)</f>
        <v/>
      </c>
    </row>
    <row r="686" spans="9:12">
      <c r="I686" t="str">
        <f>IF(OR($A686="",$B686=""),"",IF(COUNTIFS($A$2:$A686,$A686,$B$2:$B686,$B686)=1,1,0))</f>
        <v/>
      </c>
      <c r="J686" t="str">
        <f t="shared" si="10"/>
        <v/>
      </c>
      <c r="L686" t="str">
        <f>IF('01_Warehouse_Ledger'!$A686="","",'01_Warehouse_Ledger'!$A686)</f>
        <v/>
      </c>
    </row>
    <row r="687" spans="9:12">
      <c r="I687" t="str">
        <f>IF(OR($A687="",$B687=""),"",IF(COUNTIFS($A$2:$A687,$A687,$B$2:$B687,$B687)=1,1,0))</f>
        <v/>
      </c>
      <c r="J687" t="str">
        <f t="shared" si="10"/>
        <v/>
      </c>
      <c r="L687" t="str">
        <f>IF('01_Warehouse_Ledger'!$A687="","",'01_Warehouse_Ledger'!$A687)</f>
        <v/>
      </c>
    </row>
    <row r="688" spans="9:12">
      <c r="I688" t="str">
        <f>IF(OR($A688="",$B688=""),"",IF(COUNTIFS($A$2:$A688,$A688,$B$2:$B688,$B688)=1,1,0))</f>
        <v/>
      </c>
      <c r="J688" t="str">
        <f t="shared" si="10"/>
        <v/>
      </c>
      <c r="L688" t="str">
        <f>IF('01_Warehouse_Ledger'!$A688="","",'01_Warehouse_Ledger'!$A688)</f>
        <v/>
      </c>
    </row>
    <row r="689" spans="9:12">
      <c r="I689" t="str">
        <f>IF(OR($A689="",$B689=""),"",IF(COUNTIFS($A$2:$A689,$A689,$B$2:$B689,$B689)=1,1,0))</f>
        <v/>
      </c>
      <c r="J689" t="str">
        <f t="shared" si="10"/>
        <v/>
      </c>
      <c r="L689" t="str">
        <f>IF('01_Warehouse_Ledger'!$A689="","",'01_Warehouse_Ledger'!$A689)</f>
        <v/>
      </c>
    </row>
    <row r="690" spans="9:12">
      <c r="I690" t="str">
        <f>IF(OR($A690="",$B690=""),"",IF(COUNTIFS($A$2:$A690,$A690,$B$2:$B690,$B690)=1,1,0))</f>
        <v/>
      </c>
      <c r="J690" t="str">
        <f t="shared" si="10"/>
        <v/>
      </c>
      <c r="L690" t="str">
        <f>IF('01_Warehouse_Ledger'!$A690="","",'01_Warehouse_Ledger'!$A690)</f>
        <v/>
      </c>
    </row>
    <row r="691" spans="9:12">
      <c r="I691" t="str">
        <f>IF(OR($A691="",$B691=""),"",IF(COUNTIFS($A$2:$A691,$A691,$B$2:$B691,$B691)=1,1,0))</f>
        <v/>
      </c>
      <c r="J691" t="str">
        <f t="shared" si="10"/>
        <v/>
      </c>
      <c r="L691" t="str">
        <f>IF('01_Warehouse_Ledger'!$A691="","",'01_Warehouse_Ledger'!$A691)</f>
        <v/>
      </c>
    </row>
    <row r="692" spans="9:12">
      <c r="I692" t="str">
        <f>IF(OR($A692="",$B692=""),"",IF(COUNTIFS($A$2:$A692,$A692,$B$2:$B692,$B692)=1,1,0))</f>
        <v/>
      </c>
      <c r="J692" t="str">
        <f t="shared" si="10"/>
        <v/>
      </c>
      <c r="L692" t="str">
        <f>IF('01_Warehouse_Ledger'!$A692="","",'01_Warehouse_Ledger'!$A692)</f>
        <v/>
      </c>
    </row>
    <row r="693" spans="9:12">
      <c r="I693" t="str">
        <f>IF(OR($A693="",$B693=""),"",IF(COUNTIFS($A$2:$A693,$A693,$B$2:$B693,$B693)=1,1,0))</f>
        <v/>
      </c>
      <c r="J693" t="str">
        <f t="shared" si="10"/>
        <v/>
      </c>
      <c r="L693" t="str">
        <f>IF('01_Warehouse_Ledger'!$A693="","",'01_Warehouse_Ledger'!$A693)</f>
        <v/>
      </c>
    </row>
    <row r="694" spans="9:12">
      <c r="I694" t="str">
        <f>IF(OR($A694="",$B694=""),"",IF(COUNTIFS($A$2:$A694,$A694,$B$2:$B694,$B694)=1,1,0))</f>
        <v/>
      </c>
      <c r="J694" t="str">
        <f t="shared" si="10"/>
        <v/>
      </c>
      <c r="L694" t="str">
        <f>IF('01_Warehouse_Ledger'!$A694="","",'01_Warehouse_Ledger'!$A694)</f>
        <v/>
      </c>
    </row>
    <row r="695" spans="9:12">
      <c r="I695" t="str">
        <f>IF(OR($A695="",$B695=""),"",IF(COUNTIFS($A$2:$A695,$A695,$B$2:$B695,$B695)=1,1,0))</f>
        <v/>
      </c>
      <c r="J695" t="str">
        <f t="shared" si="10"/>
        <v/>
      </c>
      <c r="L695" t="str">
        <f>IF('01_Warehouse_Ledger'!$A695="","",'01_Warehouse_Ledger'!$A695)</f>
        <v/>
      </c>
    </row>
    <row r="696" spans="9:12">
      <c r="I696" t="str">
        <f>IF(OR($A696="",$B696=""),"",IF(COUNTIFS($A$2:$A696,$A696,$B$2:$B696,$B696)=1,1,0))</f>
        <v/>
      </c>
      <c r="J696" t="str">
        <f t="shared" si="10"/>
        <v/>
      </c>
      <c r="L696" t="str">
        <f>IF('01_Warehouse_Ledger'!$A696="","",'01_Warehouse_Ledger'!$A696)</f>
        <v/>
      </c>
    </row>
    <row r="697" spans="9:12">
      <c r="I697" t="str">
        <f>IF(OR($A697="",$B697=""),"",IF(COUNTIFS($A$2:$A697,$A697,$B$2:$B697,$B697)=1,1,0))</f>
        <v/>
      </c>
      <c r="J697" t="str">
        <f t="shared" si="10"/>
        <v/>
      </c>
      <c r="L697" t="str">
        <f>IF('01_Warehouse_Ledger'!$A697="","",'01_Warehouse_Ledger'!$A697)</f>
        <v/>
      </c>
    </row>
    <row r="698" spans="9:12">
      <c r="I698" t="str">
        <f>IF(OR($A698="",$B698=""),"",IF(COUNTIFS($A$2:$A698,$A698,$B$2:$B698,$B698)=1,1,0))</f>
        <v/>
      </c>
      <c r="J698" t="str">
        <f t="shared" si="10"/>
        <v/>
      </c>
      <c r="L698" t="str">
        <f>IF('01_Warehouse_Ledger'!$A698="","",'01_Warehouse_Ledger'!$A698)</f>
        <v/>
      </c>
    </row>
    <row r="699" spans="9:12">
      <c r="I699" t="str">
        <f>IF(OR($A699="",$B699=""),"",IF(COUNTIFS($A$2:$A699,$A699,$B$2:$B699,$B699)=1,1,0))</f>
        <v/>
      </c>
      <c r="J699" t="str">
        <f t="shared" si="10"/>
        <v/>
      </c>
      <c r="L699" t="str">
        <f>IF('01_Warehouse_Ledger'!$A699="","",'01_Warehouse_Ledger'!$A699)</f>
        <v/>
      </c>
    </row>
    <row r="700" spans="9:12">
      <c r="I700" t="str">
        <f>IF(OR($A700="",$B700=""),"",IF(COUNTIFS($A$2:$A700,$A700,$B$2:$B700,$B700)=1,1,0))</f>
        <v/>
      </c>
      <c r="J700" t="str">
        <f t="shared" si="10"/>
        <v/>
      </c>
      <c r="L700" t="str">
        <f>IF('01_Warehouse_Ledger'!$A700="","",'01_Warehouse_Ledger'!$A700)</f>
        <v/>
      </c>
    </row>
    <row r="701" spans="9:12">
      <c r="I701" t="str">
        <f>IF(OR($A701="",$B701=""),"",IF(COUNTIFS($A$2:$A701,$A701,$B$2:$B701,$B701)=1,1,0))</f>
        <v/>
      </c>
      <c r="J701" t="str">
        <f t="shared" si="10"/>
        <v/>
      </c>
      <c r="L701" t="str">
        <f>IF('01_Warehouse_Ledger'!$A701="","",'01_Warehouse_Ledger'!$A701)</f>
        <v/>
      </c>
    </row>
    <row r="702" spans="9:12">
      <c r="I702" t="str">
        <f>IF(OR($A702="",$B702=""),"",IF(COUNTIFS($A$2:$A702,$A702,$B$2:$B702,$B702)=1,1,0))</f>
        <v/>
      </c>
      <c r="J702" t="str">
        <f t="shared" si="10"/>
        <v/>
      </c>
      <c r="L702" t="str">
        <f>IF('01_Warehouse_Ledger'!$A702="","",'01_Warehouse_Ledger'!$A702)</f>
        <v/>
      </c>
    </row>
    <row r="703" spans="9:12">
      <c r="I703" t="str">
        <f>IF(OR($A703="",$B703=""),"",IF(COUNTIFS($A$2:$A703,$A703,$B$2:$B703,$B703)=1,1,0))</f>
        <v/>
      </c>
      <c r="J703" t="str">
        <f t="shared" si="10"/>
        <v/>
      </c>
      <c r="L703" t="str">
        <f>IF('01_Warehouse_Ledger'!$A703="","",'01_Warehouse_Ledger'!$A703)</f>
        <v/>
      </c>
    </row>
    <row r="704" spans="9:12">
      <c r="I704" t="str">
        <f>IF(OR($A704="",$B704=""),"",IF(COUNTIFS($A$2:$A704,$A704,$B$2:$B704,$B704)=1,1,0))</f>
        <v/>
      </c>
      <c r="J704" t="str">
        <f t="shared" si="10"/>
        <v/>
      </c>
      <c r="L704" t="str">
        <f>IF('01_Warehouse_Ledger'!$A704="","",'01_Warehouse_Ledger'!$A704)</f>
        <v/>
      </c>
    </row>
    <row r="705" spans="9:12">
      <c r="I705" t="str">
        <f>IF(OR($A705="",$B705=""),"",IF(COUNTIFS($A$2:$A705,$A705,$B$2:$B705,$B705)=1,1,0))</f>
        <v/>
      </c>
      <c r="J705" t="str">
        <f t="shared" si="10"/>
        <v/>
      </c>
      <c r="L705" t="str">
        <f>IF('01_Warehouse_Ledger'!$A705="","",'01_Warehouse_Ledger'!$A705)</f>
        <v/>
      </c>
    </row>
    <row r="706" spans="9:12">
      <c r="I706" t="str">
        <f>IF(OR($A706="",$B706=""),"",IF(COUNTIFS($A$2:$A706,$A706,$B$2:$B706,$B706)=1,1,0))</f>
        <v/>
      </c>
      <c r="J706" t="str">
        <f t="shared" ref="J706:J769" si="11">IF($A706="","",ROW())</f>
        <v/>
      </c>
      <c r="L706" t="str">
        <f>IF('01_Warehouse_Ledger'!$A706="","",'01_Warehouse_Ledger'!$A706)</f>
        <v/>
      </c>
    </row>
    <row r="707" spans="9:12">
      <c r="I707" t="str">
        <f>IF(OR($A707="",$B707=""),"",IF(COUNTIFS($A$2:$A707,$A707,$B$2:$B707,$B707)=1,1,0))</f>
        <v/>
      </c>
      <c r="J707" t="str">
        <f t="shared" si="11"/>
        <v/>
      </c>
      <c r="L707" t="str">
        <f>IF('01_Warehouse_Ledger'!$A707="","",'01_Warehouse_Ledger'!$A707)</f>
        <v/>
      </c>
    </row>
    <row r="708" spans="9:12">
      <c r="I708" t="str">
        <f>IF(OR($A708="",$B708=""),"",IF(COUNTIFS($A$2:$A708,$A708,$B$2:$B708,$B708)=1,1,0))</f>
        <v/>
      </c>
      <c r="J708" t="str">
        <f t="shared" si="11"/>
        <v/>
      </c>
      <c r="L708" t="str">
        <f>IF('01_Warehouse_Ledger'!$A708="","",'01_Warehouse_Ledger'!$A708)</f>
        <v/>
      </c>
    </row>
    <row r="709" spans="9:12">
      <c r="I709" t="str">
        <f>IF(OR($A709="",$B709=""),"",IF(COUNTIFS($A$2:$A709,$A709,$B$2:$B709,$B709)=1,1,0))</f>
        <v/>
      </c>
      <c r="J709" t="str">
        <f t="shared" si="11"/>
        <v/>
      </c>
      <c r="L709" t="str">
        <f>IF('01_Warehouse_Ledger'!$A709="","",'01_Warehouse_Ledger'!$A709)</f>
        <v/>
      </c>
    </row>
    <row r="710" spans="9:12">
      <c r="I710" t="str">
        <f>IF(OR($A710="",$B710=""),"",IF(COUNTIFS($A$2:$A710,$A710,$B$2:$B710,$B710)=1,1,0))</f>
        <v/>
      </c>
      <c r="J710" t="str">
        <f t="shared" si="11"/>
        <v/>
      </c>
      <c r="L710" t="str">
        <f>IF('01_Warehouse_Ledger'!$A710="","",'01_Warehouse_Ledger'!$A710)</f>
        <v/>
      </c>
    </row>
    <row r="711" spans="9:12">
      <c r="I711" t="str">
        <f>IF(OR($A711="",$B711=""),"",IF(COUNTIFS($A$2:$A711,$A711,$B$2:$B711,$B711)=1,1,0))</f>
        <v/>
      </c>
      <c r="J711" t="str">
        <f t="shared" si="11"/>
        <v/>
      </c>
      <c r="L711" t="str">
        <f>IF('01_Warehouse_Ledger'!$A711="","",'01_Warehouse_Ledger'!$A711)</f>
        <v/>
      </c>
    </row>
    <row r="712" spans="9:12">
      <c r="I712" t="str">
        <f>IF(OR($A712="",$B712=""),"",IF(COUNTIFS($A$2:$A712,$A712,$B$2:$B712,$B712)=1,1,0))</f>
        <v/>
      </c>
      <c r="J712" t="str">
        <f t="shared" si="11"/>
        <v/>
      </c>
      <c r="L712" t="str">
        <f>IF('01_Warehouse_Ledger'!$A712="","",'01_Warehouse_Ledger'!$A712)</f>
        <v/>
      </c>
    </row>
    <row r="713" spans="9:12">
      <c r="I713" t="str">
        <f>IF(OR($A713="",$B713=""),"",IF(COUNTIFS($A$2:$A713,$A713,$B$2:$B713,$B713)=1,1,0))</f>
        <v/>
      </c>
      <c r="J713" t="str">
        <f t="shared" si="11"/>
        <v/>
      </c>
      <c r="L713" t="str">
        <f>IF('01_Warehouse_Ledger'!$A713="","",'01_Warehouse_Ledger'!$A713)</f>
        <v/>
      </c>
    </row>
    <row r="714" spans="9:12">
      <c r="I714" t="str">
        <f>IF(OR($A714="",$B714=""),"",IF(COUNTIFS($A$2:$A714,$A714,$B$2:$B714,$B714)=1,1,0))</f>
        <v/>
      </c>
      <c r="J714" t="str">
        <f t="shared" si="11"/>
        <v/>
      </c>
      <c r="L714" t="str">
        <f>IF('01_Warehouse_Ledger'!$A714="","",'01_Warehouse_Ledger'!$A714)</f>
        <v/>
      </c>
    </row>
    <row r="715" spans="9:12">
      <c r="I715" t="str">
        <f>IF(OR($A715="",$B715=""),"",IF(COUNTIFS($A$2:$A715,$A715,$B$2:$B715,$B715)=1,1,0))</f>
        <v/>
      </c>
      <c r="J715" t="str">
        <f t="shared" si="11"/>
        <v/>
      </c>
      <c r="L715" t="str">
        <f>IF('01_Warehouse_Ledger'!$A715="","",'01_Warehouse_Ledger'!$A715)</f>
        <v/>
      </c>
    </row>
    <row r="716" spans="9:12">
      <c r="I716" t="str">
        <f>IF(OR($A716="",$B716=""),"",IF(COUNTIFS($A$2:$A716,$A716,$B$2:$B716,$B716)=1,1,0))</f>
        <v/>
      </c>
      <c r="J716" t="str">
        <f t="shared" si="11"/>
        <v/>
      </c>
      <c r="L716" t="str">
        <f>IF('01_Warehouse_Ledger'!$A716="","",'01_Warehouse_Ledger'!$A716)</f>
        <v/>
      </c>
    </row>
    <row r="717" spans="9:12">
      <c r="I717" t="str">
        <f>IF(OR($A717="",$B717=""),"",IF(COUNTIFS($A$2:$A717,$A717,$B$2:$B717,$B717)=1,1,0))</f>
        <v/>
      </c>
      <c r="J717" t="str">
        <f t="shared" si="11"/>
        <v/>
      </c>
      <c r="L717" t="str">
        <f>IF('01_Warehouse_Ledger'!$A717="","",'01_Warehouse_Ledger'!$A717)</f>
        <v/>
      </c>
    </row>
    <row r="718" spans="9:12">
      <c r="I718" t="str">
        <f>IF(OR($A718="",$B718=""),"",IF(COUNTIFS($A$2:$A718,$A718,$B$2:$B718,$B718)=1,1,0))</f>
        <v/>
      </c>
      <c r="J718" t="str">
        <f t="shared" si="11"/>
        <v/>
      </c>
      <c r="L718" t="str">
        <f>IF('01_Warehouse_Ledger'!$A718="","",'01_Warehouse_Ledger'!$A718)</f>
        <v/>
      </c>
    </row>
    <row r="719" spans="9:12">
      <c r="I719" t="str">
        <f>IF(OR($A719="",$B719=""),"",IF(COUNTIFS($A$2:$A719,$A719,$B$2:$B719,$B719)=1,1,0))</f>
        <v/>
      </c>
      <c r="J719" t="str">
        <f t="shared" si="11"/>
        <v/>
      </c>
      <c r="L719" t="str">
        <f>IF('01_Warehouse_Ledger'!$A719="","",'01_Warehouse_Ledger'!$A719)</f>
        <v/>
      </c>
    </row>
    <row r="720" spans="9:12">
      <c r="I720" t="str">
        <f>IF(OR($A720="",$B720=""),"",IF(COUNTIFS($A$2:$A720,$A720,$B$2:$B720,$B720)=1,1,0))</f>
        <v/>
      </c>
      <c r="J720" t="str">
        <f t="shared" si="11"/>
        <v/>
      </c>
      <c r="L720" t="str">
        <f>IF('01_Warehouse_Ledger'!$A720="","",'01_Warehouse_Ledger'!$A720)</f>
        <v/>
      </c>
    </row>
    <row r="721" spans="9:12">
      <c r="I721" t="str">
        <f>IF(OR($A721="",$B721=""),"",IF(COUNTIFS($A$2:$A721,$A721,$B$2:$B721,$B721)=1,1,0))</f>
        <v/>
      </c>
      <c r="J721" t="str">
        <f t="shared" si="11"/>
        <v/>
      </c>
      <c r="L721" t="str">
        <f>IF('01_Warehouse_Ledger'!$A721="","",'01_Warehouse_Ledger'!$A721)</f>
        <v/>
      </c>
    </row>
    <row r="722" spans="9:12">
      <c r="I722" t="str">
        <f>IF(OR($A722="",$B722=""),"",IF(COUNTIFS($A$2:$A722,$A722,$B$2:$B722,$B722)=1,1,0))</f>
        <v/>
      </c>
      <c r="J722" t="str">
        <f t="shared" si="11"/>
        <v/>
      </c>
      <c r="L722" t="str">
        <f>IF('01_Warehouse_Ledger'!$A722="","",'01_Warehouse_Ledger'!$A722)</f>
        <v/>
      </c>
    </row>
    <row r="723" spans="9:12">
      <c r="I723" t="str">
        <f>IF(OR($A723="",$B723=""),"",IF(COUNTIFS($A$2:$A723,$A723,$B$2:$B723,$B723)=1,1,0))</f>
        <v/>
      </c>
      <c r="J723" t="str">
        <f t="shared" si="11"/>
        <v/>
      </c>
      <c r="L723" t="str">
        <f>IF('01_Warehouse_Ledger'!$A723="","",'01_Warehouse_Ledger'!$A723)</f>
        <v/>
      </c>
    </row>
    <row r="724" spans="9:12">
      <c r="I724" t="str">
        <f>IF(OR($A724="",$B724=""),"",IF(COUNTIFS($A$2:$A724,$A724,$B$2:$B724,$B724)=1,1,0))</f>
        <v/>
      </c>
      <c r="J724" t="str">
        <f t="shared" si="11"/>
        <v/>
      </c>
      <c r="L724" t="str">
        <f>IF('01_Warehouse_Ledger'!$A724="","",'01_Warehouse_Ledger'!$A724)</f>
        <v/>
      </c>
    </row>
    <row r="725" spans="9:12">
      <c r="I725" t="str">
        <f>IF(OR($A725="",$B725=""),"",IF(COUNTIFS($A$2:$A725,$A725,$B$2:$B725,$B725)=1,1,0))</f>
        <v/>
      </c>
      <c r="J725" t="str">
        <f t="shared" si="11"/>
        <v/>
      </c>
      <c r="L725" t="str">
        <f>IF('01_Warehouse_Ledger'!$A725="","",'01_Warehouse_Ledger'!$A725)</f>
        <v/>
      </c>
    </row>
    <row r="726" spans="9:12">
      <c r="I726" t="str">
        <f>IF(OR($A726="",$B726=""),"",IF(COUNTIFS($A$2:$A726,$A726,$B$2:$B726,$B726)=1,1,0))</f>
        <v/>
      </c>
      <c r="J726" t="str">
        <f t="shared" si="11"/>
        <v/>
      </c>
      <c r="L726" t="str">
        <f>IF('01_Warehouse_Ledger'!$A726="","",'01_Warehouse_Ledger'!$A726)</f>
        <v/>
      </c>
    </row>
    <row r="727" spans="9:12">
      <c r="I727" t="str">
        <f>IF(OR($A727="",$B727=""),"",IF(COUNTIFS($A$2:$A727,$A727,$B$2:$B727,$B727)=1,1,0))</f>
        <v/>
      </c>
      <c r="J727" t="str">
        <f t="shared" si="11"/>
        <v/>
      </c>
      <c r="L727" t="str">
        <f>IF('01_Warehouse_Ledger'!$A727="","",'01_Warehouse_Ledger'!$A727)</f>
        <v/>
      </c>
    </row>
    <row r="728" spans="9:12">
      <c r="I728" t="str">
        <f>IF(OR($A728="",$B728=""),"",IF(COUNTIFS($A$2:$A728,$A728,$B$2:$B728,$B728)=1,1,0))</f>
        <v/>
      </c>
      <c r="J728" t="str">
        <f t="shared" si="11"/>
        <v/>
      </c>
      <c r="L728" t="str">
        <f>IF('01_Warehouse_Ledger'!$A728="","",'01_Warehouse_Ledger'!$A728)</f>
        <v/>
      </c>
    </row>
    <row r="729" spans="9:12">
      <c r="I729" t="str">
        <f>IF(OR($A729="",$B729=""),"",IF(COUNTIFS($A$2:$A729,$A729,$B$2:$B729,$B729)=1,1,0))</f>
        <v/>
      </c>
      <c r="J729" t="str">
        <f t="shared" si="11"/>
        <v/>
      </c>
      <c r="L729" t="str">
        <f>IF('01_Warehouse_Ledger'!$A729="","",'01_Warehouse_Ledger'!$A729)</f>
        <v/>
      </c>
    </row>
    <row r="730" spans="9:12">
      <c r="I730" t="str">
        <f>IF(OR($A730="",$B730=""),"",IF(COUNTIFS($A$2:$A730,$A730,$B$2:$B730,$B730)=1,1,0))</f>
        <v/>
      </c>
      <c r="J730" t="str">
        <f t="shared" si="11"/>
        <v/>
      </c>
      <c r="L730" t="str">
        <f>IF('01_Warehouse_Ledger'!$A730="","",'01_Warehouse_Ledger'!$A730)</f>
        <v/>
      </c>
    </row>
    <row r="731" spans="9:12">
      <c r="I731" t="str">
        <f>IF(OR($A731="",$B731=""),"",IF(COUNTIFS($A$2:$A731,$A731,$B$2:$B731,$B731)=1,1,0))</f>
        <v/>
      </c>
      <c r="J731" t="str">
        <f t="shared" si="11"/>
        <v/>
      </c>
      <c r="L731" t="str">
        <f>IF('01_Warehouse_Ledger'!$A731="","",'01_Warehouse_Ledger'!$A731)</f>
        <v/>
      </c>
    </row>
    <row r="732" spans="9:12">
      <c r="I732" t="str">
        <f>IF(OR($A732="",$B732=""),"",IF(COUNTIFS($A$2:$A732,$A732,$B$2:$B732,$B732)=1,1,0))</f>
        <v/>
      </c>
      <c r="J732" t="str">
        <f t="shared" si="11"/>
        <v/>
      </c>
      <c r="L732" t="str">
        <f>IF('01_Warehouse_Ledger'!$A732="","",'01_Warehouse_Ledger'!$A732)</f>
        <v/>
      </c>
    </row>
    <row r="733" spans="9:12">
      <c r="I733" t="str">
        <f>IF(OR($A733="",$B733=""),"",IF(COUNTIFS($A$2:$A733,$A733,$B$2:$B733,$B733)=1,1,0))</f>
        <v/>
      </c>
      <c r="J733" t="str">
        <f t="shared" si="11"/>
        <v/>
      </c>
      <c r="L733" t="str">
        <f>IF('01_Warehouse_Ledger'!$A733="","",'01_Warehouse_Ledger'!$A733)</f>
        <v/>
      </c>
    </row>
    <row r="734" spans="9:12">
      <c r="I734" t="str">
        <f>IF(OR($A734="",$B734=""),"",IF(COUNTIFS($A$2:$A734,$A734,$B$2:$B734,$B734)=1,1,0))</f>
        <v/>
      </c>
      <c r="J734" t="str">
        <f t="shared" si="11"/>
        <v/>
      </c>
      <c r="L734" t="str">
        <f>IF('01_Warehouse_Ledger'!$A734="","",'01_Warehouse_Ledger'!$A734)</f>
        <v/>
      </c>
    </row>
    <row r="735" spans="9:12">
      <c r="I735" t="str">
        <f>IF(OR($A735="",$B735=""),"",IF(COUNTIFS($A$2:$A735,$A735,$B$2:$B735,$B735)=1,1,0))</f>
        <v/>
      </c>
      <c r="J735" t="str">
        <f t="shared" si="11"/>
        <v/>
      </c>
      <c r="L735" t="str">
        <f>IF('01_Warehouse_Ledger'!$A735="","",'01_Warehouse_Ledger'!$A735)</f>
        <v/>
      </c>
    </row>
    <row r="736" spans="9:12">
      <c r="I736" t="str">
        <f>IF(OR($A736="",$B736=""),"",IF(COUNTIFS($A$2:$A736,$A736,$B$2:$B736,$B736)=1,1,0))</f>
        <v/>
      </c>
      <c r="J736" t="str">
        <f t="shared" si="11"/>
        <v/>
      </c>
      <c r="L736" t="str">
        <f>IF('01_Warehouse_Ledger'!$A736="","",'01_Warehouse_Ledger'!$A736)</f>
        <v/>
      </c>
    </row>
    <row r="737" spans="9:12">
      <c r="I737" t="str">
        <f>IF(OR($A737="",$B737=""),"",IF(COUNTIFS($A$2:$A737,$A737,$B$2:$B737,$B737)=1,1,0))</f>
        <v/>
      </c>
      <c r="J737" t="str">
        <f t="shared" si="11"/>
        <v/>
      </c>
      <c r="L737" t="str">
        <f>IF('01_Warehouse_Ledger'!$A737="","",'01_Warehouse_Ledger'!$A737)</f>
        <v/>
      </c>
    </row>
    <row r="738" spans="9:12">
      <c r="I738" t="str">
        <f>IF(OR($A738="",$B738=""),"",IF(COUNTIFS($A$2:$A738,$A738,$B$2:$B738,$B738)=1,1,0))</f>
        <v/>
      </c>
      <c r="J738" t="str">
        <f t="shared" si="11"/>
        <v/>
      </c>
      <c r="L738" t="str">
        <f>IF('01_Warehouse_Ledger'!$A738="","",'01_Warehouse_Ledger'!$A738)</f>
        <v/>
      </c>
    </row>
    <row r="739" spans="9:12">
      <c r="I739" t="str">
        <f>IF(OR($A739="",$B739=""),"",IF(COUNTIFS($A$2:$A739,$A739,$B$2:$B739,$B739)=1,1,0))</f>
        <v/>
      </c>
      <c r="J739" t="str">
        <f t="shared" si="11"/>
        <v/>
      </c>
      <c r="L739" t="str">
        <f>IF('01_Warehouse_Ledger'!$A739="","",'01_Warehouse_Ledger'!$A739)</f>
        <v/>
      </c>
    </row>
    <row r="740" spans="9:12">
      <c r="I740" t="str">
        <f>IF(OR($A740="",$B740=""),"",IF(COUNTIFS($A$2:$A740,$A740,$B$2:$B740,$B740)=1,1,0))</f>
        <v/>
      </c>
      <c r="J740" t="str">
        <f t="shared" si="11"/>
        <v/>
      </c>
      <c r="L740" t="str">
        <f>IF('01_Warehouse_Ledger'!$A740="","",'01_Warehouse_Ledger'!$A740)</f>
        <v/>
      </c>
    </row>
    <row r="741" spans="9:12">
      <c r="I741" t="str">
        <f>IF(OR($A741="",$B741=""),"",IF(COUNTIFS($A$2:$A741,$A741,$B$2:$B741,$B741)=1,1,0))</f>
        <v/>
      </c>
      <c r="J741" t="str">
        <f t="shared" si="11"/>
        <v/>
      </c>
      <c r="L741" t="str">
        <f>IF('01_Warehouse_Ledger'!$A741="","",'01_Warehouse_Ledger'!$A741)</f>
        <v/>
      </c>
    </row>
    <row r="742" spans="9:12">
      <c r="I742" t="str">
        <f>IF(OR($A742="",$B742=""),"",IF(COUNTIFS($A$2:$A742,$A742,$B$2:$B742,$B742)=1,1,0))</f>
        <v/>
      </c>
      <c r="J742" t="str">
        <f t="shared" si="11"/>
        <v/>
      </c>
      <c r="L742" t="str">
        <f>IF('01_Warehouse_Ledger'!$A742="","",'01_Warehouse_Ledger'!$A742)</f>
        <v/>
      </c>
    </row>
    <row r="743" spans="9:12">
      <c r="I743" t="str">
        <f>IF(OR($A743="",$B743=""),"",IF(COUNTIFS($A$2:$A743,$A743,$B$2:$B743,$B743)=1,1,0))</f>
        <v/>
      </c>
      <c r="J743" t="str">
        <f t="shared" si="11"/>
        <v/>
      </c>
      <c r="L743" t="str">
        <f>IF('01_Warehouse_Ledger'!$A743="","",'01_Warehouse_Ledger'!$A743)</f>
        <v/>
      </c>
    </row>
    <row r="744" spans="9:12">
      <c r="I744" t="str">
        <f>IF(OR($A744="",$B744=""),"",IF(COUNTIFS($A$2:$A744,$A744,$B$2:$B744,$B744)=1,1,0))</f>
        <v/>
      </c>
      <c r="J744" t="str">
        <f t="shared" si="11"/>
        <v/>
      </c>
      <c r="L744" t="str">
        <f>IF('01_Warehouse_Ledger'!$A744="","",'01_Warehouse_Ledger'!$A744)</f>
        <v/>
      </c>
    </row>
    <row r="745" spans="9:12">
      <c r="I745" t="str">
        <f>IF(OR($A745="",$B745=""),"",IF(COUNTIFS($A$2:$A745,$A745,$B$2:$B745,$B745)=1,1,0))</f>
        <v/>
      </c>
      <c r="J745" t="str">
        <f t="shared" si="11"/>
        <v/>
      </c>
      <c r="L745" t="str">
        <f>IF('01_Warehouse_Ledger'!$A745="","",'01_Warehouse_Ledger'!$A745)</f>
        <v/>
      </c>
    </row>
    <row r="746" spans="9:12">
      <c r="I746" t="str">
        <f>IF(OR($A746="",$B746=""),"",IF(COUNTIFS($A$2:$A746,$A746,$B$2:$B746,$B746)=1,1,0))</f>
        <v/>
      </c>
      <c r="J746" t="str">
        <f t="shared" si="11"/>
        <v/>
      </c>
      <c r="L746" t="str">
        <f>IF('01_Warehouse_Ledger'!$A746="","",'01_Warehouse_Ledger'!$A746)</f>
        <v/>
      </c>
    </row>
    <row r="747" spans="9:12">
      <c r="I747" t="str">
        <f>IF(OR($A747="",$B747=""),"",IF(COUNTIFS($A$2:$A747,$A747,$B$2:$B747,$B747)=1,1,0))</f>
        <v/>
      </c>
      <c r="J747" t="str">
        <f t="shared" si="11"/>
        <v/>
      </c>
      <c r="L747" t="str">
        <f>IF('01_Warehouse_Ledger'!$A747="","",'01_Warehouse_Ledger'!$A747)</f>
        <v/>
      </c>
    </row>
    <row r="748" spans="9:12">
      <c r="I748" t="str">
        <f>IF(OR($A748="",$B748=""),"",IF(COUNTIFS($A$2:$A748,$A748,$B$2:$B748,$B748)=1,1,0))</f>
        <v/>
      </c>
      <c r="J748" t="str">
        <f t="shared" si="11"/>
        <v/>
      </c>
      <c r="L748" t="str">
        <f>IF('01_Warehouse_Ledger'!$A748="","",'01_Warehouse_Ledger'!$A748)</f>
        <v/>
      </c>
    </row>
    <row r="749" spans="9:12">
      <c r="I749" t="str">
        <f>IF(OR($A749="",$B749=""),"",IF(COUNTIFS($A$2:$A749,$A749,$B$2:$B749,$B749)=1,1,0))</f>
        <v/>
      </c>
      <c r="J749" t="str">
        <f t="shared" si="11"/>
        <v/>
      </c>
      <c r="L749" t="str">
        <f>IF('01_Warehouse_Ledger'!$A749="","",'01_Warehouse_Ledger'!$A749)</f>
        <v/>
      </c>
    </row>
    <row r="750" spans="9:12">
      <c r="I750" t="str">
        <f>IF(OR($A750="",$B750=""),"",IF(COUNTIFS($A$2:$A750,$A750,$B$2:$B750,$B750)=1,1,0))</f>
        <v/>
      </c>
      <c r="J750" t="str">
        <f t="shared" si="11"/>
        <v/>
      </c>
      <c r="L750" t="str">
        <f>IF('01_Warehouse_Ledger'!$A750="","",'01_Warehouse_Ledger'!$A750)</f>
        <v/>
      </c>
    </row>
    <row r="751" spans="9:12">
      <c r="I751" t="str">
        <f>IF(OR($A751="",$B751=""),"",IF(COUNTIFS($A$2:$A751,$A751,$B$2:$B751,$B751)=1,1,0))</f>
        <v/>
      </c>
      <c r="J751" t="str">
        <f t="shared" si="11"/>
        <v/>
      </c>
      <c r="L751" t="str">
        <f>IF('01_Warehouse_Ledger'!$A751="","",'01_Warehouse_Ledger'!$A751)</f>
        <v/>
      </c>
    </row>
    <row r="752" spans="9:12">
      <c r="I752" t="str">
        <f>IF(OR($A752="",$B752=""),"",IF(COUNTIFS($A$2:$A752,$A752,$B$2:$B752,$B752)=1,1,0))</f>
        <v/>
      </c>
      <c r="J752" t="str">
        <f t="shared" si="11"/>
        <v/>
      </c>
      <c r="L752" t="str">
        <f>IF('01_Warehouse_Ledger'!$A752="","",'01_Warehouse_Ledger'!$A752)</f>
        <v/>
      </c>
    </row>
    <row r="753" spans="9:12">
      <c r="I753" t="str">
        <f>IF(OR($A753="",$B753=""),"",IF(COUNTIFS($A$2:$A753,$A753,$B$2:$B753,$B753)=1,1,0))</f>
        <v/>
      </c>
      <c r="J753" t="str">
        <f t="shared" si="11"/>
        <v/>
      </c>
      <c r="L753" t="str">
        <f>IF('01_Warehouse_Ledger'!$A753="","",'01_Warehouse_Ledger'!$A753)</f>
        <v/>
      </c>
    </row>
    <row r="754" spans="9:12">
      <c r="I754" t="str">
        <f>IF(OR($A754="",$B754=""),"",IF(COUNTIFS($A$2:$A754,$A754,$B$2:$B754,$B754)=1,1,0))</f>
        <v/>
      </c>
      <c r="J754" t="str">
        <f t="shared" si="11"/>
        <v/>
      </c>
      <c r="L754" t="str">
        <f>IF('01_Warehouse_Ledger'!$A754="","",'01_Warehouse_Ledger'!$A754)</f>
        <v/>
      </c>
    </row>
    <row r="755" spans="9:12">
      <c r="I755" t="str">
        <f>IF(OR($A755="",$B755=""),"",IF(COUNTIFS($A$2:$A755,$A755,$B$2:$B755,$B755)=1,1,0))</f>
        <v/>
      </c>
      <c r="J755" t="str">
        <f t="shared" si="11"/>
        <v/>
      </c>
      <c r="L755" t="str">
        <f>IF('01_Warehouse_Ledger'!$A755="","",'01_Warehouse_Ledger'!$A755)</f>
        <v/>
      </c>
    </row>
    <row r="756" spans="9:12">
      <c r="I756" t="str">
        <f>IF(OR($A756="",$B756=""),"",IF(COUNTIFS($A$2:$A756,$A756,$B$2:$B756,$B756)=1,1,0))</f>
        <v/>
      </c>
      <c r="J756" t="str">
        <f t="shared" si="11"/>
        <v/>
      </c>
      <c r="L756" t="str">
        <f>IF('01_Warehouse_Ledger'!$A756="","",'01_Warehouse_Ledger'!$A756)</f>
        <v/>
      </c>
    </row>
    <row r="757" spans="9:12">
      <c r="I757" t="str">
        <f>IF(OR($A757="",$B757=""),"",IF(COUNTIFS($A$2:$A757,$A757,$B$2:$B757,$B757)=1,1,0))</f>
        <v/>
      </c>
      <c r="J757" t="str">
        <f t="shared" si="11"/>
        <v/>
      </c>
      <c r="L757" t="str">
        <f>IF('01_Warehouse_Ledger'!$A757="","",'01_Warehouse_Ledger'!$A757)</f>
        <v/>
      </c>
    </row>
    <row r="758" spans="9:12">
      <c r="I758" t="str">
        <f>IF(OR($A758="",$B758=""),"",IF(COUNTIFS($A$2:$A758,$A758,$B$2:$B758,$B758)=1,1,0))</f>
        <v/>
      </c>
      <c r="J758" t="str">
        <f t="shared" si="11"/>
        <v/>
      </c>
      <c r="L758" t="str">
        <f>IF('01_Warehouse_Ledger'!$A758="","",'01_Warehouse_Ledger'!$A758)</f>
        <v/>
      </c>
    </row>
    <row r="759" spans="9:12">
      <c r="I759" t="str">
        <f>IF(OR($A759="",$B759=""),"",IF(COUNTIFS($A$2:$A759,$A759,$B$2:$B759,$B759)=1,1,0))</f>
        <v/>
      </c>
      <c r="J759" t="str">
        <f t="shared" si="11"/>
        <v/>
      </c>
      <c r="L759" t="str">
        <f>IF('01_Warehouse_Ledger'!$A759="","",'01_Warehouse_Ledger'!$A759)</f>
        <v/>
      </c>
    </row>
    <row r="760" spans="9:12">
      <c r="I760" t="str">
        <f>IF(OR($A760="",$B760=""),"",IF(COUNTIFS($A$2:$A760,$A760,$B$2:$B760,$B760)=1,1,0))</f>
        <v/>
      </c>
      <c r="J760" t="str">
        <f t="shared" si="11"/>
        <v/>
      </c>
      <c r="L760" t="str">
        <f>IF('01_Warehouse_Ledger'!$A760="","",'01_Warehouse_Ledger'!$A760)</f>
        <v/>
      </c>
    </row>
    <row r="761" spans="9:12">
      <c r="I761" t="str">
        <f>IF(OR($A761="",$B761=""),"",IF(COUNTIFS($A$2:$A761,$A761,$B$2:$B761,$B761)=1,1,0))</f>
        <v/>
      </c>
      <c r="J761" t="str">
        <f t="shared" si="11"/>
        <v/>
      </c>
      <c r="L761" t="str">
        <f>IF('01_Warehouse_Ledger'!$A761="","",'01_Warehouse_Ledger'!$A761)</f>
        <v/>
      </c>
    </row>
    <row r="762" spans="9:12">
      <c r="I762" t="str">
        <f>IF(OR($A762="",$B762=""),"",IF(COUNTIFS($A$2:$A762,$A762,$B$2:$B762,$B762)=1,1,0))</f>
        <v/>
      </c>
      <c r="J762" t="str">
        <f t="shared" si="11"/>
        <v/>
      </c>
      <c r="L762" t="str">
        <f>IF('01_Warehouse_Ledger'!$A762="","",'01_Warehouse_Ledger'!$A762)</f>
        <v/>
      </c>
    </row>
    <row r="763" spans="9:12">
      <c r="I763" t="str">
        <f>IF(OR($A763="",$B763=""),"",IF(COUNTIFS($A$2:$A763,$A763,$B$2:$B763,$B763)=1,1,0))</f>
        <v/>
      </c>
      <c r="J763" t="str">
        <f t="shared" si="11"/>
        <v/>
      </c>
      <c r="L763" t="str">
        <f>IF('01_Warehouse_Ledger'!$A763="","",'01_Warehouse_Ledger'!$A763)</f>
        <v/>
      </c>
    </row>
    <row r="764" spans="9:12">
      <c r="I764" t="str">
        <f>IF(OR($A764="",$B764=""),"",IF(COUNTIFS($A$2:$A764,$A764,$B$2:$B764,$B764)=1,1,0))</f>
        <v/>
      </c>
      <c r="J764" t="str">
        <f t="shared" si="11"/>
        <v/>
      </c>
      <c r="L764" t="str">
        <f>IF('01_Warehouse_Ledger'!$A764="","",'01_Warehouse_Ledger'!$A764)</f>
        <v/>
      </c>
    </row>
    <row r="765" spans="9:12">
      <c r="I765" t="str">
        <f>IF(OR($A765="",$B765=""),"",IF(COUNTIFS($A$2:$A765,$A765,$B$2:$B765,$B765)=1,1,0))</f>
        <v/>
      </c>
      <c r="J765" t="str">
        <f t="shared" si="11"/>
        <v/>
      </c>
      <c r="L765" t="str">
        <f>IF('01_Warehouse_Ledger'!$A765="","",'01_Warehouse_Ledger'!$A765)</f>
        <v/>
      </c>
    </row>
    <row r="766" spans="9:12">
      <c r="I766" t="str">
        <f>IF(OR($A766="",$B766=""),"",IF(COUNTIFS($A$2:$A766,$A766,$B$2:$B766,$B766)=1,1,0))</f>
        <v/>
      </c>
      <c r="J766" t="str">
        <f t="shared" si="11"/>
        <v/>
      </c>
      <c r="L766" t="str">
        <f>IF('01_Warehouse_Ledger'!$A766="","",'01_Warehouse_Ledger'!$A766)</f>
        <v/>
      </c>
    </row>
    <row r="767" spans="9:12">
      <c r="I767" t="str">
        <f>IF(OR($A767="",$B767=""),"",IF(COUNTIFS($A$2:$A767,$A767,$B$2:$B767,$B767)=1,1,0))</f>
        <v/>
      </c>
      <c r="J767" t="str">
        <f t="shared" si="11"/>
        <v/>
      </c>
      <c r="L767" t="str">
        <f>IF('01_Warehouse_Ledger'!$A767="","",'01_Warehouse_Ledger'!$A767)</f>
        <v/>
      </c>
    </row>
    <row r="768" spans="9:12">
      <c r="I768" t="str">
        <f>IF(OR($A768="",$B768=""),"",IF(COUNTIFS($A$2:$A768,$A768,$B$2:$B768,$B768)=1,1,0))</f>
        <v/>
      </c>
      <c r="J768" t="str">
        <f t="shared" si="11"/>
        <v/>
      </c>
      <c r="L768" t="str">
        <f>IF('01_Warehouse_Ledger'!$A768="","",'01_Warehouse_Ledger'!$A768)</f>
        <v/>
      </c>
    </row>
    <row r="769" spans="9:12">
      <c r="I769" t="str">
        <f>IF(OR($A769="",$B769=""),"",IF(COUNTIFS($A$2:$A769,$A769,$B$2:$B769,$B769)=1,1,0))</f>
        <v/>
      </c>
      <c r="J769" t="str">
        <f t="shared" si="11"/>
        <v/>
      </c>
      <c r="L769" t="str">
        <f>IF('01_Warehouse_Ledger'!$A769="","",'01_Warehouse_Ledger'!$A769)</f>
        <v/>
      </c>
    </row>
    <row r="770" spans="9:12">
      <c r="I770" t="str">
        <f>IF(OR($A770="",$B770=""),"",IF(COUNTIFS($A$2:$A770,$A770,$B$2:$B770,$B770)=1,1,0))</f>
        <v/>
      </c>
      <c r="J770" t="str">
        <f t="shared" ref="J770:J833" si="12">IF($A770="","",ROW())</f>
        <v/>
      </c>
      <c r="L770" t="str">
        <f>IF('01_Warehouse_Ledger'!$A770="","",'01_Warehouse_Ledger'!$A770)</f>
        <v/>
      </c>
    </row>
    <row r="771" spans="9:12">
      <c r="I771" t="str">
        <f>IF(OR($A771="",$B771=""),"",IF(COUNTIFS($A$2:$A771,$A771,$B$2:$B771,$B771)=1,1,0))</f>
        <v/>
      </c>
      <c r="J771" t="str">
        <f t="shared" si="12"/>
        <v/>
      </c>
      <c r="L771" t="str">
        <f>IF('01_Warehouse_Ledger'!$A771="","",'01_Warehouse_Ledger'!$A771)</f>
        <v/>
      </c>
    </row>
    <row r="772" spans="9:12">
      <c r="I772" t="str">
        <f>IF(OR($A772="",$B772=""),"",IF(COUNTIFS($A$2:$A772,$A772,$B$2:$B772,$B772)=1,1,0))</f>
        <v/>
      </c>
      <c r="J772" t="str">
        <f t="shared" si="12"/>
        <v/>
      </c>
      <c r="L772" t="str">
        <f>IF('01_Warehouse_Ledger'!$A772="","",'01_Warehouse_Ledger'!$A772)</f>
        <v/>
      </c>
    </row>
    <row r="773" spans="9:12">
      <c r="I773" t="str">
        <f>IF(OR($A773="",$B773=""),"",IF(COUNTIFS($A$2:$A773,$A773,$B$2:$B773,$B773)=1,1,0))</f>
        <v/>
      </c>
      <c r="J773" t="str">
        <f t="shared" si="12"/>
        <v/>
      </c>
      <c r="L773" t="str">
        <f>IF('01_Warehouse_Ledger'!$A773="","",'01_Warehouse_Ledger'!$A773)</f>
        <v/>
      </c>
    </row>
    <row r="774" spans="9:12">
      <c r="I774" t="str">
        <f>IF(OR($A774="",$B774=""),"",IF(COUNTIFS($A$2:$A774,$A774,$B$2:$B774,$B774)=1,1,0))</f>
        <v/>
      </c>
      <c r="J774" t="str">
        <f t="shared" si="12"/>
        <v/>
      </c>
      <c r="L774" t="str">
        <f>IF('01_Warehouse_Ledger'!$A774="","",'01_Warehouse_Ledger'!$A774)</f>
        <v/>
      </c>
    </row>
    <row r="775" spans="9:12">
      <c r="I775" t="str">
        <f>IF(OR($A775="",$B775=""),"",IF(COUNTIFS($A$2:$A775,$A775,$B$2:$B775,$B775)=1,1,0))</f>
        <v/>
      </c>
      <c r="J775" t="str">
        <f t="shared" si="12"/>
        <v/>
      </c>
      <c r="L775" t="str">
        <f>IF('01_Warehouse_Ledger'!$A775="","",'01_Warehouse_Ledger'!$A775)</f>
        <v/>
      </c>
    </row>
    <row r="776" spans="9:12">
      <c r="I776" t="str">
        <f>IF(OR($A776="",$B776=""),"",IF(COUNTIFS($A$2:$A776,$A776,$B$2:$B776,$B776)=1,1,0))</f>
        <v/>
      </c>
      <c r="J776" t="str">
        <f t="shared" si="12"/>
        <v/>
      </c>
      <c r="L776" t="str">
        <f>IF('01_Warehouse_Ledger'!$A776="","",'01_Warehouse_Ledger'!$A776)</f>
        <v/>
      </c>
    </row>
    <row r="777" spans="9:12">
      <c r="I777" t="str">
        <f>IF(OR($A777="",$B777=""),"",IF(COUNTIFS($A$2:$A777,$A777,$B$2:$B777,$B777)=1,1,0))</f>
        <v/>
      </c>
      <c r="J777" t="str">
        <f t="shared" si="12"/>
        <v/>
      </c>
      <c r="L777" t="str">
        <f>IF('01_Warehouse_Ledger'!$A777="","",'01_Warehouse_Ledger'!$A777)</f>
        <v/>
      </c>
    </row>
    <row r="778" spans="9:12">
      <c r="I778" t="str">
        <f>IF(OR($A778="",$B778=""),"",IF(COUNTIFS($A$2:$A778,$A778,$B$2:$B778,$B778)=1,1,0))</f>
        <v/>
      </c>
      <c r="J778" t="str">
        <f t="shared" si="12"/>
        <v/>
      </c>
      <c r="L778" t="str">
        <f>IF('01_Warehouse_Ledger'!$A778="","",'01_Warehouse_Ledger'!$A778)</f>
        <v/>
      </c>
    </row>
    <row r="779" spans="9:12">
      <c r="I779" t="str">
        <f>IF(OR($A779="",$B779=""),"",IF(COUNTIFS($A$2:$A779,$A779,$B$2:$B779,$B779)=1,1,0))</f>
        <v/>
      </c>
      <c r="J779" t="str">
        <f t="shared" si="12"/>
        <v/>
      </c>
      <c r="L779" t="str">
        <f>IF('01_Warehouse_Ledger'!$A779="","",'01_Warehouse_Ledger'!$A779)</f>
        <v/>
      </c>
    </row>
    <row r="780" spans="9:12">
      <c r="I780" t="str">
        <f>IF(OR($A780="",$B780=""),"",IF(COUNTIFS($A$2:$A780,$A780,$B$2:$B780,$B780)=1,1,0))</f>
        <v/>
      </c>
      <c r="J780" t="str">
        <f t="shared" si="12"/>
        <v/>
      </c>
      <c r="L780" t="str">
        <f>IF('01_Warehouse_Ledger'!$A780="","",'01_Warehouse_Ledger'!$A780)</f>
        <v/>
      </c>
    </row>
    <row r="781" spans="9:12">
      <c r="I781" t="str">
        <f>IF(OR($A781="",$B781=""),"",IF(COUNTIFS($A$2:$A781,$A781,$B$2:$B781,$B781)=1,1,0))</f>
        <v/>
      </c>
      <c r="J781" t="str">
        <f t="shared" si="12"/>
        <v/>
      </c>
      <c r="L781" t="str">
        <f>IF('01_Warehouse_Ledger'!$A781="","",'01_Warehouse_Ledger'!$A781)</f>
        <v/>
      </c>
    </row>
    <row r="782" spans="9:12">
      <c r="I782" t="str">
        <f>IF(OR($A782="",$B782=""),"",IF(COUNTIFS($A$2:$A782,$A782,$B$2:$B782,$B782)=1,1,0))</f>
        <v/>
      </c>
      <c r="J782" t="str">
        <f t="shared" si="12"/>
        <v/>
      </c>
      <c r="L782" t="str">
        <f>IF('01_Warehouse_Ledger'!$A782="","",'01_Warehouse_Ledger'!$A782)</f>
        <v/>
      </c>
    </row>
    <row r="783" spans="9:12">
      <c r="I783" t="str">
        <f>IF(OR($A783="",$B783=""),"",IF(COUNTIFS($A$2:$A783,$A783,$B$2:$B783,$B783)=1,1,0))</f>
        <v/>
      </c>
      <c r="J783" t="str">
        <f t="shared" si="12"/>
        <v/>
      </c>
      <c r="L783" t="str">
        <f>IF('01_Warehouse_Ledger'!$A783="","",'01_Warehouse_Ledger'!$A783)</f>
        <v/>
      </c>
    </row>
    <row r="784" spans="9:12">
      <c r="I784" t="str">
        <f>IF(OR($A784="",$B784=""),"",IF(COUNTIFS($A$2:$A784,$A784,$B$2:$B784,$B784)=1,1,0))</f>
        <v/>
      </c>
      <c r="J784" t="str">
        <f t="shared" si="12"/>
        <v/>
      </c>
      <c r="L784" t="str">
        <f>IF('01_Warehouse_Ledger'!$A784="","",'01_Warehouse_Ledger'!$A784)</f>
        <v/>
      </c>
    </row>
    <row r="785" spans="9:12">
      <c r="I785" t="str">
        <f>IF(OR($A785="",$B785=""),"",IF(COUNTIFS($A$2:$A785,$A785,$B$2:$B785,$B785)=1,1,0))</f>
        <v/>
      </c>
      <c r="J785" t="str">
        <f t="shared" si="12"/>
        <v/>
      </c>
      <c r="L785" t="str">
        <f>IF('01_Warehouse_Ledger'!$A785="","",'01_Warehouse_Ledger'!$A785)</f>
        <v/>
      </c>
    </row>
    <row r="786" spans="9:12">
      <c r="I786" t="str">
        <f>IF(OR($A786="",$B786=""),"",IF(COUNTIFS($A$2:$A786,$A786,$B$2:$B786,$B786)=1,1,0))</f>
        <v/>
      </c>
      <c r="J786" t="str">
        <f t="shared" si="12"/>
        <v/>
      </c>
      <c r="L786" t="str">
        <f>IF('01_Warehouse_Ledger'!$A786="","",'01_Warehouse_Ledger'!$A786)</f>
        <v/>
      </c>
    </row>
    <row r="787" spans="9:12">
      <c r="I787" t="str">
        <f>IF(OR($A787="",$B787=""),"",IF(COUNTIFS($A$2:$A787,$A787,$B$2:$B787,$B787)=1,1,0))</f>
        <v/>
      </c>
      <c r="J787" t="str">
        <f t="shared" si="12"/>
        <v/>
      </c>
      <c r="L787" t="str">
        <f>IF('01_Warehouse_Ledger'!$A787="","",'01_Warehouse_Ledger'!$A787)</f>
        <v/>
      </c>
    </row>
    <row r="788" spans="9:12">
      <c r="I788" t="str">
        <f>IF(OR($A788="",$B788=""),"",IF(COUNTIFS($A$2:$A788,$A788,$B$2:$B788,$B788)=1,1,0))</f>
        <v/>
      </c>
      <c r="J788" t="str">
        <f t="shared" si="12"/>
        <v/>
      </c>
      <c r="L788" t="str">
        <f>IF('01_Warehouse_Ledger'!$A788="","",'01_Warehouse_Ledger'!$A788)</f>
        <v/>
      </c>
    </row>
    <row r="789" spans="9:12">
      <c r="I789" t="str">
        <f>IF(OR($A789="",$B789=""),"",IF(COUNTIFS($A$2:$A789,$A789,$B$2:$B789,$B789)=1,1,0))</f>
        <v/>
      </c>
      <c r="J789" t="str">
        <f t="shared" si="12"/>
        <v/>
      </c>
      <c r="L789" t="str">
        <f>IF('01_Warehouse_Ledger'!$A789="","",'01_Warehouse_Ledger'!$A789)</f>
        <v/>
      </c>
    </row>
    <row r="790" spans="9:12">
      <c r="I790" t="str">
        <f>IF(OR($A790="",$B790=""),"",IF(COUNTIFS($A$2:$A790,$A790,$B$2:$B790,$B790)=1,1,0))</f>
        <v/>
      </c>
      <c r="J790" t="str">
        <f t="shared" si="12"/>
        <v/>
      </c>
      <c r="L790" t="str">
        <f>IF('01_Warehouse_Ledger'!$A790="","",'01_Warehouse_Ledger'!$A790)</f>
        <v/>
      </c>
    </row>
    <row r="791" spans="9:12">
      <c r="I791" t="str">
        <f>IF(OR($A791="",$B791=""),"",IF(COUNTIFS($A$2:$A791,$A791,$B$2:$B791,$B791)=1,1,0))</f>
        <v/>
      </c>
      <c r="J791" t="str">
        <f t="shared" si="12"/>
        <v/>
      </c>
      <c r="L791" t="str">
        <f>IF('01_Warehouse_Ledger'!$A791="","",'01_Warehouse_Ledger'!$A791)</f>
        <v/>
      </c>
    </row>
    <row r="792" spans="9:12">
      <c r="I792" t="str">
        <f>IF(OR($A792="",$B792=""),"",IF(COUNTIFS($A$2:$A792,$A792,$B$2:$B792,$B792)=1,1,0))</f>
        <v/>
      </c>
      <c r="J792" t="str">
        <f t="shared" si="12"/>
        <v/>
      </c>
      <c r="L792" t="str">
        <f>IF('01_Warehouse_Ledger'!$A792="","",'01_Warehouse_Ledger'!$A792)</f>
        <v/>
      </c>
    </row>
    <row r="793" spans="9:12">
      <c r="I793" t="str">
        <f>IF(OR($A793="",$B793=""),"",IF(COUNTIFS($A$2:$A793,$A793,$B$2:$B793,$B793)=1,1,0))</f>
        <v/>
      </c>
      <c r="J793" t="str">
        <f t="shared" si="12"/>
        <v/>
      </c>
      <c r="L793" t="str">
        <f>IF('01_Warehouse_Ledger'!$A793="","",'01_Warehouse_Ledger'!$A793)</f>
        <v/>
      </c>
    </row>
    <row r="794" spans="9:12">
      <c r="I794" t="str">
        <f>IF(OR($A794="",$B794=""),"",IF(COUNTIFS($A$2:$A794,$A794,$B$2:$B794,$B794)=1,1,0))</f>
        <v/>
      </c>
      <c r="J794" t="str">
        <f t="shared" si="12"/>
        <v/>
      </c>
      <c r="L794" t="str">
        <f>IF('01_Warehouse_Ledger'!$A794="","",'01_Warehouse_Ledger'!$A794)</f>
        <v/>
      </c>
    </row>
    <row r="795" spans="9:12">
      <c r="I795" t="str">
        <f>IF(OR($A795="",$B795=""),"",IF(COUNTIFS($A$2:$A795,$A795,$B$2:$B795,$B795)=1,1,0))</f>
        <v/>
      </c>
      <c r="J795" t="str">
        <f t="shared" si="12"/>
        <v/>
      </c>
      <c r="L795" t="str">
        <f>IF('01_Warehouse_Ledger'!$A795="","",'01_Warehouse_Ledger'!$A795)</f>
        <v/>
      </c>
    </row>
    <row r="796" spans="9:12">
      <c r="I796" t="str">
        <f>IF(OR($A796="",$B796=""),"",IF(COUNTIFS($A$2:$A796,$A796,$B$2:$B796,$B796)=1,1,0))</f>
        <v/>
      </c>
      <c r="J796" t="str">
        <f t="shared" si="12"/>
        <v/>
      </c>
      <c r="L796" t="str">
        <f>IF('01_Warehouse_Ledger'!$A796="","",'01_Warehouse_Ledger'!$A796)</f>
        <v/>
      </c>
    </row>
    <row r="797" spans="9:12">
      <c r="I797" t="str">
        <f>IF(OR($A797="",$B797=""),"",IF(COUNTIFS($A$2:$A797,$A797,$B$2:$B797,$B797)=1,1,0))</f>
        <v/>
      </c>
      <c r="J797" t="str">
        <f t="shared" si="12"/>
        <v/>
      </c>
      <c r="L797" t="str">
        <f>IF('01_Warehouse_Ledger'!$A797="","",'01_Warehouse_Ledger'!$A797)</f>
        <v/>
      </c>
    </row>
    <row r="798" spans="9:12">
      <c r="I798" t="str">
        <f>IF(OR($A798="",$B798=""),"",IF(COUNTIFS($A$2:$A798,$A798,$B$2:$B798,$B798)=1,1,0))</f>
        <v/>
      </c>
      <c r="J798" t="str">
        <f t="shared" si="12"/>
        <v/>
      </c>
      <c r="L798" t="str">
        <f>IF('01_Warehouse_Ledger'!$A798="","",'01_Warehouse_Ledger'!$A798)</f>
        <v/>
      </c>
    </row>
    <row r="799" spans="9:12">
      <c r="I799" t="str">
        <f>IF(OR($A799="",$B799=""),"",IF(COUNTIFS($A$2:$A799,$A799,$B$2:$B799,$B799)=1,1,0))</f>
        <v/>
      </c>
      <c r="J799" t="str">
        <f t="shared" si="12"/>
        <v/>
      </c>
      <c r="L799" t="str">
        <f>IF('01_Warehouse_Ledger'!$A799="","",'01_Warehouse_Ledger'!$A799)</f>
        <v/>
      </c>
    </row>
    <row r="800" spans="9:12">
      <c r="I800" t="str">
        <f>IF(OR($A800="",$B800=""),"",IF(COUNTIFS($A$2:$A800,$A800,$B$2:$B800,$B800)=1,1,0))</f>
        <v/>
      </c>
      <c r="J800" t="str">
        <f t="shared" si="12"/>
        <v/>
      </c>
      <c r="L800" t="str">
        <f>IF('01_Warehouse_Ledger'!$A800="","",'01_Warehouse_Ledger'!$A800)</f>
        <v/>
      </c>
    </row>
    <row r="801" spans="9:12">
      <c r="I801" t="str">
        <f>IF(OR($A801="",$B801=""),"",IF(COUNTIFS($A$2:$A801,$A801,$B$2:$B801,$B801)=1,1,0))</f>
        <v/>
      </c>
      <c r="J801" t="str">
        <f t="shared" si="12"/>
        <v/>
      </c>
      <c r="L801" t="str">
        <f>IF('01_Warehouse_Ledger'!$A801="","",'01_Warehouse_Ledger'!$A801)</f>
        <v/>
      </c>
    </row>
    <row r="802" spans="9:12">
      <c r="I802" t="str">
        <f>IF(OR($A802="",$B802=""),"",IF(COUNTIFS($A$2:$A802,$A802,$B$2:$B802,$B802)=1,1,0))</f>
        <v/>
      </c>
      <c r="J802" t="str">
        <f t="shared" si="12"/>
        <v/>
      </c>
      <c r="L802" t="str">
        <f>IF('01_Warehouse_Ledger'!$A802="","",'01_Warehouse_Ledger'!$A802)</f>
        <v/>
      </c>
    </row>
    <row r="803" spans="9:12">
      <c r="I803" t="str">
        <f>IF(OR($A803="",$B803=""),"",IF(COUNTIFS($A$2:$A803,$A803,$B$2:$B803,$B803)=1,1,0))</f>
        <v/>
      </c>
      <c r="J803" t="str">
        <f t="shared" si="12"/>
        <v/>
      </c>
      <c r="L803" t="str">
        <f>IF('01_Warehouse_Ledger'!$A803="","",'01_Warehouse_Ledger'!$A803)</f>
        <v/>
      </c>
    </row>
    <row r="804" spans="9:12">
      <c r="I804" t="str">
        <f>IF(OR($A804="",$B804=""),"",IF(COUNTIFS($A$2:$A804,$A804,$B$2:$B804,$B804)=1,1,0))</f>
        <v/>
      </c>
      <c r="J804" t="str">
        <f t="shared" si="12"/>
        <v/>
      </c>
      <c r="L804" t="str">
        <f>IF('01_Warehouse_Ledger'!$A804="","",'01_Warehouse_Ledger'!$A804)</f>
        <v/>
      </c>
    </row>
    <row r="805" spans="9:12">
      <c r="I805" t="str">
        <f>IF(OR($A805="",$B805=""),"",IF(COUNTIFS($A$2:$A805,$A805,$B$2:$B805,$B805)=1,1,0))</f>
        <v/>
      </c>
      <c r="J805" t="str">
        <f t="shared" si="12"/>
        <v/>
      </c>
      <c r="L805" t="str">
        <f>IF('01_Warehouse_Ledger'!$A805="","",'01_Warehouse_Ledger'!$A805)</f>
        <v/>
      </c>
    </row>
    <row r="806" spans="9:12">
      <c r="I806" t="str">
        <f>IF(OR($A806="",$B806=""),"",IF(COUNTIFS($A$2:$A806,$A806,$B$2:$B806,$B806)=1,1,0))</f>
        <v/>
      </c>
      <c r="J806" t="str">
        <f t="shared" si="12"/>
        <v/>
      </c>
      <c r="L806" t="str">
        <f>IF('01_Warehouse_Ledger'!$A806="","",'01_Warehouse_Ledger'!$A806)</f>
        <v/>
      </c>
    </row>
    <row r="807" spans="9:12">
      <c r="I807" t="str">
        <f>IF(OR($A807="",$B807=""),"",IF(COUNTIFS($A$2:$A807,$A807,$B$2:$B807,$B807)=1,1,0))</f>
        <v/>
      </c>
      <c r="J807" t="str">
        <f t="shared" si="12"/>
        <v/>
      </c>
      <c r="L807" t="str">
        <f>IF('01_Warehouse_Ledger'!$A807="","",'01_Warehouse_Ledger'!$A807)</f>
        <v/>
      </c>
    </row>
    <row r="808" spans="9:12">
      <c r="I808" t="str">
        <f>IF(OR($A808="",$B808=""),"",IF(COUNTIFS($A$2:$A808,$A808,$B$2:$B808,$B808)=1,1,0))</f>
        <v/>
      </c>
      <c r="J808" t="str">
        <f t="shared" si="12"/>
        <v/>
      </c>
      <c r="L808" t="str">
        <f>IF('01_Warehouse_Ledger'!$A808="","",'01_Warehouse_Ledger'!$A808)</f>
        <v/>
      </c>
    </row>
    <row r="809" spans="9:12">
      <c r="I809" t="str">
        <f>IF(OR($A809="",$B809=""),"",IF(COUNTIFS($A$2:$A809,$A809,$B$2:$B809,$B809)=1,1,0))</f>
        <v/>
      </c>
      <c r="J809" t="str">
        <f t="shared" si="12"/>
        <v/>
      </c>
      <c r="L809" t="str">
        <f>IF('01_Warehouse_Ledger'!$A809="","",'01_Warehouse_Ledger'!$A809)</f>
        <v/>
      </c>
    </row>
    <row r="810" spans="9:12">
      <c r="I810" t="str">
        <f>IF(OR($A810="",$B810=""),"",IF(COUNTIFS($A$2:$A810,$A810,$B$2:$B810,$B810)=1,1,0))</f>
        <v/>
      </c>
      <c r="J810" t="str">
        <f t="shared" si="12"/>
        <v/>
      </c>
      <c r="L810" t="str">
        <f>IF('01_Warehouse_Ledger'!$A810="","",'01_Warehouse_Ledger'!$A810)</f>
        <v/>
      </c>
    </row>
    <row r="811" spans="9:12">
      <c r="I811" t="str">
        <f>IF(OR($A811="",$B811=""),"",IF(COUNTIFS($A$2:$A811,$A811,$B$2:$B811,$B811)=1,1,0))</f>
        <v/>
      </c>
      <c r="J811" t="str">
        <f t="shared" si="12"/>
        <v/>
      </c>
      <c r="L811" t="str">
        <f>IF('01_Warehouse_Ledger'!$A811="","",'01_Warehouse_Ledger'!$A811)</f>
        <v/>
      </c>
    </row>
    <row r="812" spans="9:12">
      <c r="I812" t="str">
        <f>IF(OR($A812="",$B812=""),"",IF(COUNTIFS($A$2:$A812,$A812,$B$2:$B812,$B812)=1,1,0))</f>
        <v/>
      </c>
      <c r="J812" t="str">
        <f t="shared" si="12"/>
        <v/>
      </c>
      <c r="L812" t="str">
        <f>IF('01_Warehouse_Ledger'!$A812="","",'01_Warehouse_Ledger'!$A812)</f>
        <v/>
      </c>
    </row>
    <row r="813" spans="9:12">
      <c r="I813" t="str">
        <f>IF(OR($A813="",$B813=""),"",IF(COUNTIFS($A$2:$A813,$A813,$B$2:$B813,$B813)=1,1,0))</f>
        <v/>
      </c>
      <c r="J813" t="str">
        <f t="shared" si="12"/>
        <v/>
      </c>
      <c r="L813" t="str">
        <f>IF('01_Warehouse_Ledger'!$A813="","",'01_Warehouse_Ledger'!$A813)</f>
        <v/>
      </c>
    </row>
    <row r="814" spans="9:12">
      <c r="I814" t="str">
        <f>IF(OR($A814="",$B814=""),"",IF(COUNTIFS($A$2:$A814,$A814,$B$2:$B814,$B814)=1,1,0))</f>
        <v/>
      </c>
      <c r="J814" t="str">
        <f t="shared" si="12"/>
        <v/>
      </c>
      <c r="L814" t="str">
        <f>IF('01_Warehouse_Ledger'!$A814="","",'01_Warehouse_Ledger'!$A814)</f>
        <v/>
      </c>
    </row>
    <row r="815" spans="9:12">
      <c r="I815" t="str">
        <f>IF(OR($A815="",$B815=""),"",IF(COUNTIFS($A$2:$A815,$A815,$B$2:$B815,$B815)=1,1,0))</f>
        <v/>
      </c>
      <c r="J815" t="str">
        <f t="shared" si="12"/>
        <v/>
      </c>
      <c r="L815" t="str">
        <f>IF('01_Warehouse_Ledger'!$A815="","",'01_Warehouse_Ledger'!$A815)</f>
        <v/>
      </c>
    </row>
    <row r="816" spans="9:12">
      <c r="I816" t="str">
        <f>IF(OR($A816="",$B816=""),"",IF(COUNTIFS($A$2:$A816,$A816,$B$2:$B816,$B816)=1,1,0))</f>
        <v/>
      </c>
      <c r="J816" t="str">
        <f t="shared" si="12"/>
        <v/>
      </c>
      <c r="L816" t="str">
        <f>IF('01_Warehouse_Ledger'!$A816="","",'01_Warehouse_Ledger'!$A816)</f>
        <v/>
      </c>
    </row>
    <row r="817" spans="9:12">
      <c r="I817" t="str">
        <f>IF(OR($A817="",$B817=""),"",IF(COUNTIFS($A$2:$A817,$A817,$B$2:$B817,$B817)=1,1,0))</f>
        <v/>
      </c>
      <c r="J817" t="str">
        <f t="shared" si="12"/>
        <v/>
      </c>
      <c r="L817" t="str">
        <f>IF('01_Warehouse_Ledger'!$A817="","",'01_Warehouse_Ledger'!$A817)</f>
        <v/>
      </c>
    </row>
    <row r="818" spans="9:12">
      <c r="I818" t="str">
        <f>IF(OR($A818="",$B818=""),"",IF(COUNTIFS($A$2:$A818,$A818,$B$2:$B818,$B818)=1,1,0))</f>
        <v/>
      </c>
      <c r="J818" t="str">
        <f t="shared" si="12"/>
        <v/>
      </c>
      <c r="L818" t="str">
        <f>IF('01_Warehouse_Ledger'!$A818="","",'01_Warehouse_Ledger'!$A818)</f>
        <v/>
      </c>
    </row>
    <row r="819" spans="9:12">
      <c r="I819" t="str">
        <f>IF(OR($A819="",$B819=""),"",IF(COUNTIFS($A$2:$A819,$A819,$B$2:$B819,$B819)=1,1,0))</f>
        <v/>
      </c>
      <c r="J819" t="str">
        <f t="shared" si="12"/>
        <v/>
      </c>
      <c r="L819" t="str">
        <f>IF('01_Warehouse_Ledger'!$A819="","",'01_Warehouse_Ledger'!$A819)</f>
        <v/>
      </c>
    </row>
    <row r="820" spans="9:12">
      <c r="I820" t="str">
        <f>IF(OR($A820="",$B820=""),"",IF(COUNTIFS($A$2:$A820,$A820,$B$2:$B820,$B820)=1,1,0))</f>
        <v/>
      </c>
      <c r="J820" t="str">
        <f t="shared" si="12"/>
        <v/>
      </c>
      <c r="L820" t="str">
        <f>IF('01_Warehouse_Ledger'!$A820="","",'01_Warehouse_Ledger'!$A820)</f>
        <v/>
      </c>
    </row>
    <row r="821" spans="9:12">
      <c r="I821" t="str">
        <f>IF(OR($A821="",$B821=""),"",IF(COUNTIFS($A$2:$A821,$A821,$B$2:$B821,$B821)=1,1,0))</f>
        <v/>
      </c>
      <c r="J821" t="str">
        <f t="shared" si="12"/>
        <v/>
      </c>
      <c r="L821" t="str">
        <f>IF('01_Warehouse_Ledger'!$A821="","",'01_Warehouse_Ledger'!$A821)</f>
        <v/>
      </c>
    </row>
    <row r="822" spans="9:12">
      <c r="I822" t="str">
        <f>IF(OR($A822="",$B822=""),"",IF(COUNTIFS($A$2:$A822,$A822,$B$2:$B822,$B822)=1,1,0))</f>
        <v/>
      </c>
      <c r="J822" t="str">
        <f t="shared" si="12"/>
        <v/>
      </c>
      <c r="L822" t="str">
        <f>IF('01_Warehouse_Ledger'!$A822="","",'01_Warehouse_Ledger'!$A822)</f>
        <v/>
      </c>
    </row>
    <row r="823" spans="9:12">
      <c r="I823" t="str">
        <f>IF(OR($A823="",$B823=""),"",IF(COUNTIFS($A$2:$A823,$A823,$B$2:$B823,$B823)=1,1,0))</f>
        <v/>
      </c>
      <c r="J823" t="str">
        <f t="shared" si="12"/>
        <v/>
      </c>
      <c r="L823" t="str">
        <f>IF('01_Warehouse_Ledger'!$A823="","",'01_Warehouse_Ledger'!$A823)</f>
        <v/>
      </c>
    </row>
    <row r="824" spans="9:12">
      <c r="I824" t="str">
        <f>IF(OR($A824="",$B824=""),"",IF(COUNTIFS($A$2:$A824,$A824,$B$2:$B824,$B824)=1,1,0))</f>
        <v/>
      </c>
      <c r="J824" t="str">
        <f t="shared" si="12"/>
        <v/>
      </c>
      <c r="L824" t="str">
        <f>IF('01_Warehouse_Ledger'!$A824="","",'01_Warehouse_Ledger'!$A824)</f>
        <v/>
      </c>
    </row>
    <row r="825" spans="9:12">
      <c r="I825" t="str">
        <f>IF(OR($A825="",$B825=""),"",IF(COUNTIFS($A$2:$A825,$A825,$B$2:$B825,$B825)=1,1,0))</f>
        <v/>
      </c>
      <c r="J825" t="str">
        <f t="shared" si="12"/>
        <v/>
      </c>
      <c r="L825" t="str">
        <f>IF('01_Warehouse_Ledger'!$A825="","",'01_Warehouse_Ledger'!$A825)</f>
        <v/>
      </c>
    </row>
    <row r="826" spans="9:12">
      <c r="I826" t="str">
        <f>IF(OR($A826="",$B826=""),"",IF(COUNTIFS($A$2:$A826,$A826,$B$2:$B826,$B826)=1,1,0))</f>
        <v/>
      </c>
      <c r="J826" t="str">
        <f t="shared" si="12"/>
        <v/>
      </c>
      <c r="L826" t="str">
        <f>IF('01_Warehouse_Ledger'!$A826="","",'01_Warehouse_Ledger'!$A826)</f>
        <v/>
      </c>
    </row>
    <row r="827" spans="9:12">
      <c r="I827" t="str">
        <f>IF(OR($A827="",$B827=""),"",IF(COUNTIFS($A$2:$A827,$A827,$B$2:$B827,$B827)=1,1,0))</f>
        <v/>
      </c>
      <c r="J827" t="str">
        <f t="shared" si="12"/>
        <v/>
      </c>
      <c r="L827" t="str">
        <f>IF('01_Warehouse_Ledger'!$A827="","",'01_Warehouse_Ledger'!$A827)</f>
        <v/>
      </c>
    </row>
    <row r="828" spans="9:12">
      <c r="I828" t="str">
        <f>IF(OR($A828="",$B828=""),"",IF(COUNTIFS($A$2:$A828,$A828,$B$2:$B828,$B828)=1,1,0))</f>
        <v/>
      </c>
      <c r="J828" t="str">
        <f t="shared" si="12"/>
        <v/>
      </c>
      <c r="L828" t="str">
        <f>IF('01_Warehouse_Ledger'!$A828="","",'01_Warehouse_Ledger'!$A828)</f>
        <v/>
      </c>
    </row>
    <row r="829" spans="9:12">
      <c r="I829" t="str">
        <f>IF(OR($A829="",$B829=""),"",IF(COUNTIFS($A$2:$A829,$A829,$B$2:$B829,$B829)=1,1,0))</f>
        <v/>
      </c>
      <c r="J829" t="str">
        <f t="shared" si="12"/>
        <v/>
      </c>
      <c r="L829" t="str">
        <f>IF('01_Warehouse_Ledger'!$A829="","",'01_Warehouse_Ledger'!$A829)</f>
        <v/>
      </c>
    </row>
    <row r="830" spans="9:12">
      <c r="I830" t="str">
        <f>IF(OR($A830="",$B830=""),"",IF(COUNTIFS($A$2:$A830,$A830,$B$2:$B830,$B830)=1,1,0))</f>
        <v/>
      </c>
      <c r="J830" t="str">
        <f t="shared" si="12"/>
        <v/>
      </c>
      <c r="L830" t="str">
        <f>IF('01_Warehouse_Ledger'!$A830="","",'01_Warehouse_Ledger'!$A830)</f>
        <v/>
      </c>
    </row>
    <row r="831" spans="9:12">
      <c r="I831" t="str">
        <f>IF(OR($A831="",$B831=""),"",IF(COUNTIFS($A$2:$A831,$A831,$B$2:$B831,$B831)=1,1,0))</f>
        <v/>
      </c>
      <c r="J831" t="str">
        <f t="shared" si="12"/>
        <v/>
      </c>
      <c r="L831" t="str">
        <f>IF('01_Warehouse_Ledger'!$A831="","",'01_Warehouse_Ledger'!$A831)</f>
        <v/>
      </c>
    </row>
    <row r="832" spans="9:12">
      <c r="I832" t="str">
        <f>IF(OR($A832="",$B832=""),"",IF(COUNTIFS($A$2:$A832,$A832,$B$2:$B832,$B832)=1,1,0))</f>
        <v/>
      </c>
      <c r="J832" t="str">
        <f t="shared" si="12"/>
        <v/>
      </c>
      <c r="L832" t="str">
        <f>IF('01_Warehouse_Ledger'!$A832="","",'01_Warehouse_Ledger'!$A832)</f>
        <v/>
      </c>
    </row>
    <row r="833" spans="9:12">
      <c r="I833" t="str">
        <f>IF(OR($A833="",$B833=""),"",IF(COUNTIFS($A$2:$A833,$A833,$B$2:$B833,$B833)=1,1,0))</f>
        <v/>
      </c>
      <c r="J833" t="str">
        <f t="shared" si="12"/>
        <v/>
      </c>
      <c r="L833" t="str">
        <f>IF('01_Warehouse_Ledger'!$A833="","",'01_Warehouse_Ledger'!$A833)</f>
        <v/>
      </c>
    </row>
    <row r="834" spans="9:12">
      <c r="I834" t="str">
        <f>IF(OR($A834="",$B834=""),"",IF(COUNTIFS($A$2:$A834,$A834,$B$2:$B834,$B834)=1,1,0))</f>
        <v/>
      </c>
      <c r="J834" t="str">
        <f t="shared" ref="J834:J897" si="13">IF($A834="","",ROW())</f>
        <v/>
      </c>
      <c r="L834" t="str">
        <f>IF('01_Warehouse_Ledger'!$A834="","",'01_Warehouse_Ledger'!$A834)</f>
        <v/>
      </c>
    </row>
    <row r="835" spans="9:12">
      <c r="I835" t="str">
        <f>IF(OR($A835="",$B835=""),"",IF(COUNTIFS($A$2:$A835,$A835,$B$2:$B835,$B835)=1,1,0))</f>
        <v/>
      </c>
      <c r="J835" t="str">
        <f t="shared" si="13"/>
        <v/>
      </c>
      <c r="L835" t="str">
        <f>IF('01_Warehouse_Ledger'!$A835="","",'01_Warehouse_Ledger'!$A835)</f>
        <v/>
      </c>
    </row>
    <row r="836" spans="9:12">
      <c r="I836" t="str">
        <f>IF(OR($A836="",$B836=""),"",IF(COUNTIFS($A$2:$A836,$A836,$B$2:$B836,$B836)=1,1,0))</f>
        <v/>
      </c>
      <c r="J836" t="str">
        <f t="shared" si="13"/>
        <v/>
      </c>
      <c r="L836" t="str">
        <f>IF('01_Warehouse_Ledger'!$A836="","",'01_Warehouse_Ledger'!$A836)</f>
        <v/>
      </c>
    </row>
    <row r="837" spans="9:12">
      <c r="I837" t="str">
        <f>IF(OR($A837="",$B837=""),"",IF(COUNTIFS($A$2:$A837,$A837,$B$2:$B837,$B837)=1,1,0))</f>
        <v/>
      </c>
      <c r="J837" t="str">
        <f t="shared" si="13"/>
        <v/>
      </c>
      <c r="L837" t="str">
        <f>IF('01_Warehouse_Ledger'!$A837="","",'01_Warehouse_Ledger'!$A837)</f>
        <v/>
      </c>
    </row>
    <row r="838" spans="9:12">
      <c r="I838" t="str">
        <f>IF(OR($A838="",$B838=""),"",IF(COUNTIFS($A$2:$A838,$A838,$B$2:$B838,$B838)=1,1,0))</f>
        <v/>
      </c>
      <c r="J838" t="str">
        <f t="shared" si="13"/>
        <v/>
      </c>
      <c r="L838" t="str">
        <f>IF('01_Warehouse_Ledger'!$A838="","",'01_Warehouse_Ledger'!$A838)</f>
        <v/>
      </c>
    </row>
    <row r="839" spans="9:12">
      <c r="I839" t="str">
        <f>IF(OR($A839="",$B839=""),"",IF(COUNTIFS($A$2:$A839,$A839,$B$2:$B839,$B839)=1,1,0))</f>
        <v/>
      </c>
      <c r="J839" t="str">
        <f t="shared" si="13"/>
        <v/>
      </c>
      <c r="L839" t="str">
        <f>IF('01_Warehouse_Ledger'!$A839="","",'01_Warehouse_Ledger'!$A839)</f>
        <v/>
      </c>
    </row>
    <row r="840" spans="9:12">
      <c r="I840" t="str">
        <f>IF(OR($A840="",$B840=""),"",IF(COUNTIFS($A$2:$A840,$A840,$B$2:$B840,$B840)=1,1,0))</f>
        <v/>
      </c>
      <c r="J840" t="str">
        <f t="shared" si="13"/>
        <v/>
      </c>
      <c r="L840" t="str">
        <f>IF('01_Warehouse_Ledger'!$A840="","",'01_Warehouse_Ledger'!$A840)</f>
        <v/>
      </c>
    </row>
    <row r="841" spans="9:12">
      <c r="I841" t="str">
        <f>IF(OR($A841="",$B841=""),"",IF(COUNTIFS($A$2:$A841,$A841,$B$2:$B841,$B841)=1,1,0))</f>
        <v/>
      </c>
      <c r="J841" t="str">
        <f t="shared" si="13"/>
        <v/>
      </c>
      <c r="L841" t="str">
        <f>IF('01_Warehouse_Ledger'!$A841="","",'01_Warehouse_Ledger'!$A841)</f>
        <v/>
      </c>
    </row>
    <row r="842" spans="9:12">
      <c r="I842" t="str">
        <f>IF(OR($A842="",$B842=""),"",IF(COUNTIFS($A$2:$A842,$A842,$B$2:$B842,$B842)=1,1,0))</f>
        <v/>
      </c>
      <c r="J842" t="str">
        <f t="shared" si="13"/>
        <v/>
      </c>
      <c r="L842" t="str">
        <f>IF('01_Warehouse_Ledger'!$A842="","",'01_Warehouse_Ledger'!$A842)</f>
        <v/>
      </c>
    </row>
    <row r="843" spans="9:12">
      <c r="I843" t="str">
        <f>IF(OR($A843="",$B843=""),"",IF(COUNTIFS($A$2:$A843,$A843,$B$2:$B843,$B843)=1,1,0))</f>
        <v/>
      </c>
      <c r="J843" t="str">
        <f t="shared" si="13"/>
        <v/>
      </c>
      <c r="L843" t="str">
        <f>IF('01_Warehouse_Ledger'!$A843="","",'01_Warehouse_Ledger'!$A843)</f>
        <v/>
      </c>
    </row>
    <row r="844" spans="9:12">
      <c r="I844" t="str">
        <f>IF(OR($A844="",$B844=""),"",IF(COUNTIFS($A$2:$A844,$A844,$B$2:$B844,$B844)=1,1,0))</f>
        <v/>
      </c>
      <c r="J844" t="str">
        <f t="shared" si="13"/>
        <v/>
      </c>
      <c r="L844" t="str">
        <f>IF('01_Warehouse_Ledger'!$A844="","",'01_Warehouse_Ledger'!$A844)</f>
        <v/>
      </c>
    </row>
    <row r="845" spans="9:12">
      <c r="I845" t="str">
        <f>IF(OR($A845="",$B845=""),"",IF(COUNTIFS($A$2:$A845,$A845,$B$2:$B845,$B845)=1,1,0))</f>
        <v/>
      </c>
      <c r="J845" t="str">
        <f t="shared" si="13"/>
        <v/>
      </c>
      <c r="L845" t="str">
        <f>IF('01_Warehouse_Ledger'!$A845="","",'01_Warehouse_Ledger'!$A845)</f>
        <v/>
      </c>
    </row>
    <row r="846" spans="9:12">
      <c r="I846" t="str">
        <f>IF(OR($A846="",$B846=""),"",IF(COUNTIFS($A$2:$A846,$A846,$B$2:$B846,$B846)=1,1,0))</f>
        <v/>
      </c>
      <c r="J846" t="str">
        <f t="shared" si="13"/>
        <v/>
      </c>
      <c r="L846" t="str">
        <f>IF('01_Warehouse_Ledger'!$A846="","",'01_Warehouse_Ledger'!$A846)</f>
        <v/>
      </c>
    </row>
    <row r="847" spans="9:12">
      <c r="I847" t="str">
        <f>IF(OR($A847="",$B847=""),"",IF(COUNTIFS($A$2:$A847,$A847,$B$2:$B847,$B847)=1,1,0))</f>
        <v/>
      </c>
      <c r="J847" t="str">
        <f t="shared" si="13"/>
        <v/>
      </c>
      <c r="L847" t="str">
        <f>IF('01_Warehouse_Ledger'!$A847="","",'01_Warehouse_Ledger'!$A847)</f>
        <v/>
      </c>
    </row>
    <row r="848" spans="9:12">
      <c r="I848" t="str">
        <f>IF(OR($A848="",$B848=""),"",IF(COUNTIFS($A$2:$A848,$A848,$B$2:$B848,$B848)=1,1,0))</f>
        <v/>
      </c>
      <c r="J848" t="str">
        <f t="shared" si="13"/>
        <v/>
      </c>
      <c r="L848" t="str">
        <f>IF('01_Warehouse_Ledger'!$A848="","",'01_Warehouse_Ledger'!$A848)</f>
        <v/>
      </c>
    </row>
    <row r="849" spans="9:12">
      <c r="I849" t="str">
        <f>IF(OR($A849="",$B849=""),"",IF(COUNTIFS($A$2:$A849,$A849,$B$2:$B849,$B849)=1,1,0))</f>
        <v/>
      </c>
      <c r="J849" t="str">
        <f t="shared" si="13"/>
        <v/>
      </c>
      <c r="L849" t="str">
        <f>IF('01_Warehouse_Ledger'!$A849="","",'01_Warehouse_Ledger'!$A849)</f>
        <v/>
      </c>
    </row>
    <row r="850" spans="9:12">
      <c r="I850" t="str">
        <f>IF(OR($A850="",$B850=""),"",IF(COUNTIFS($A$2:$A850,$A850,$B$2:$B850,$B850)=1,1,0))</f>
        <v/>
      </c>
      <c r="J850" t="str">
        <f t="shared" si="13"/>
        <v/>
      </c>
      <c r="L850" t="str">
        <f>IF('01_Warehouse_Ledger'!$A850="","",'01_Warehouse_Ledger'!$A850)</f>
        <v/>
      </c>
    </row>
    <row r="851" spans="9:12">
      <c r="I851" t="str">
        <f>IF(OR($A851="",$B851=""),"",IF(COUNTIFS($A$2:$A851,$A851,$B$2:$B851,$B851)=1,1,0))</f>
        <v/>
      </c>
      <c r="J851" t="str">
        <f t="shared" si="13"/>
        <v/>
      </c>
      <c r="L851" t="str">
        <f>IF('01_Warehouse_Ledger'!$A851="","",'01_Warehouse_Ledger'!$A851)</f>
        <v/>
      </c>
    </row>
    <row r="852" spans="9:12">
      <c r="I852" t="str">
        <f>IF(OR($A852="",$B852=""),"",IF(COUNTIFS($A$2:$A852,$A852,$B$2:$B852,$B852)=1,1,0))</f>
        <v/>
      </c>
      <c r="J852" t="str">
        <f t="shared" si="13"/>
        <v/>
      </c>
      <c r="L852" t="str">
        <f>IF('01_Warehouse_Ledger'!$A852="","",'01_Warehouse_Ledger'!$A852)</f>
        <v/>
      </c>
    </row>
    <row r="853" spans="9:12">
      <c r="I853" t="str">
        <f>IF(OR($A853="",$B853=""),"",IF(COUNTIFS($A$2:$A853,$A853,$B$2:$B853,$B853)=1,1,0))</f>
        <v/>
      </c>
      <c r="J853" t="str">
        <f t="shared" si="13"/>
        <v/>
      </c>
      <c r="L853" t="str">
        <f>IF('01_Warehouse_Ledger'!$A853="","",'01_Warehouse_Ledger'!$A853)</f>
        <v/>
      </c>
    </row>
    <row r="854" spans="9:12">
      <c r="I854" t="str">
        <f>IF(OR($A854="",$B854=""),"",IF(COUNTIFS($A$2:$A854,$A854,$B$2:$B854,$B854)=1,1,0))</f>
        <v/>
      </c>
      <c r="J854" t="str">
        <f t="shared" si="13"/>
        <v/>
      </c>
      <c r="L854" t="str">
        <f>IF('01_Warehouse_Ledger'!$A854="","",'01_Warehouse_Ledger'!$A854)</f>
        <v/>
      </c>
    </row>
    <row r="855" spans="9:12">
      <c r="I855" t="str">
        <f>IF(OR($A855="",$B855=""),"",IF(COUNTIFS($A$2:$A855,$A855,$B$2:$B855,$B855)=1,1,0))</f>
        <v/>
      </c>
      <c r="J855" t="str">
        <f t="shared" si="13"/>
        <v/>
      </c>
      <c r="L855" t="str">
        <f>IF('01_Warehouse_Ledger'!$A855="","",'01_Warehouse_Ledger'!$A855)</f>
        <v/>
      </c>
    </row>
    <row r="856" spans="9:12">
      <c r="I856" t="str">
        <f>IF(OR($A856="",$B856=""),"",IF(COUNTIFS($A$2:$A856,$A856,$B$2:$B856,$B856)=1,1,0))</f>
        <v/>
      </c>
      <c r="J856" t="str">
        <f t="shared" si="13"/>
        <v/>
      </c>
      <c r="L856" t="str">
        <f>IF('01_Warehouse_Ledger'!$A856="","",'01_Warehouse_Ledger'!$A856)</f>
        <v/>
      </c>
    </row>
    <row r="857" spans="9:12">
      <c r="I857" t="str">
        <f>IF(OR($A857="",$B857=""),"",IF(COUNTIFS($A$2:$A857,$A857,$B$2:$B857,$B857)=1,1,0))</f>
        <v/>
      </c>
      <c r="J857" t="str">
        <f t="shared" si="13"/>
        <v/>
      </c>
      <c r="L857" t="str">
        <f>IF('01_Warehouse_Ledger'!$A857="","",'01_Warehouse_Ledger'!$A857)</f>
        <v/>
      </c>
    </row>
    <row r="858" spans="9:12">
      <c r="I858" t="str">
        <f>IF(OR($A858="",$B858=""),"",IF(COUNTIFS($A$2:$A858,$A858,$B$2:$B858,$B858)=1,1,0))</f>
        <v/>
      </c>
      <c r="J858" t="str">
        <f t="shared" si="13"/>
        <v/>
      </c>
      <c r="L858" t="str">
        <f>IF('01_Warehouse_Ledger'!$A858="","",'01_Warehouse_Ledger'!$A858)</f>
        <v/>
      </c>
    </row>
    <row r="859" spans="9:12">
      <c r="I859" t="str">
        <f>IF(OR($A859="",$B859=""),"",IF(COUNTIFS($A$2:$A859,$A859,$B$2:$B859,$B859)=1,1,0))</f>
        <v/>
      </c>
      <c r="J859" t="str">
        <f t="shared" si="13"/>
        <v/>
      </c>
      <c r="L859" t="str">
        <f>IF('01_Warehouse_Ledger'!$A859="","",'01_Warehouse_Ledger'!$A859)</f>
        <v/>
      </c>
    </row>
    <row r="860" spans="9:12">
      <c r="I860" t="str">
        <f>IF(OR($A860="",$B860=""),"",IF(COUNTIFS($A$2:$A860,$A860,$B$2:$B860,$B860)=1,1,0))</f>
        <v/>
      </c>
      <c r="J860" t="str">
        <f t="shared" si="13"/>
        <v/>
      </c>
      <c r="L860" t="str">
        <f>IF('01_Warehouse_Ledger'!$A860="","",'01_Warehouse_Ledger'!$A860)</f>
        <v/>
      </c>
    </row>
    <row r="861" spans="9:12">
      <c r="I861" t="str">
        <f>IF(OR($A861="",$B861=""),"",IF(COUNTIFS($A$2:$A861,$A861,$B$2:$B861,$B861)=1,1,0))</f>
        <v/>
      </c>
      <c r="J861" t="str">
        <f t="shared" si="13"/>
        <v/>
      </c>
      <c r="L861" t="str">
        <f>IF('01_Warehouse_Ledger'!$A861="","",'01_Warehouse_Ledger'!$A861)</f>
        <v/>
      </c>
    </row>
    <row r="862" spans="9:12">
      <c r="I862" t="str">
        <f>IF(OR($A862="",$B862=""),"",IF(COUNTIFS($A$2:$A862,$A862,$B$2:$B862,$B862)=1,1,0))</f>
        <v/>
      </c>
      <c r="J862" t="str">
        <f t="shared" si="13"/>
        <v/>
      </c>
      <c r="L862" t="str">
        <f>IF('01_Warehouse_Ledger'!$A862="","",'01_Warehouse_Ledger'!$A862)</f>
        <v/>
      </c>
    </row>
    <row r="863" spans="9:12">
      <c r="I863" t="str">
        <f>IF(OR($A863="",$B863=""),"",IF(COUNTIFS($A$2:$A863,$A863,$B$2:$B863,$B863)=1,1,0))</f>
        <v/>
      </c>
      <c r="J863" t="str">
        <f t="shared" si="13"/>
        <v/>
      </c>
      <c r="L863" t="str">
        <f>IF('01_Warehouse_Ledger'!$A863="","",'01_Warehouse_Ledger'!$A863)</f>
        <v/>
      </c>
    </row>
    <row r="864" spans="9:12">
      <c r="I864" t="str">
        <f>IF(OR($A864="",$B864=""),"",IF(COUNTIFS($A$2:$A864,$A864,$B$2:$B864,$B864)=1,1,0))</f>
        <v/>
      </c>
      <c r="J864" t="str">
        <f t="shared" si="13"/>
        <v/>
      </c>
      <c r="L864" t="str">
        <f>IF('01_Warehouse_Ledger'!$A864="","",'01_Warehouse_Ledger'!$A864)</f>
        <v/>
      </c>
    </row>
    <row r="865" spans="9:12">
      <c r="I865" t="str">
        <f>IF(OR($A865="",$B865=""),"",IF(COUNTIFS($A$2:$A865,$A865,$B$2:$B865,$B865)=1,1,0))</f>
        <v/>
      </c>
      <c r="J865" t="str">
        <f t="shared" si="13"/>
        <v/>
      </c>
      <c r="L865" t="str">
        <f>IF('01_Warehouse_Ledger'!$A865="","",'01_Warehouse_Ledger'!$A865)</f>
        <v/>
      </c>
    </row>
    <row r="866" spans="9:12">
      <c r="I866" t="str">
        <f>IF(OR($A866="",$B866=""),"",IF(COUNTIFS($A$2:$A866,$A866,$B$2:$B866,$B866)=1,1,0))</f>
        <v/>
      </c>
      <c r="J866" t="str">
        <f t="shared" si="13"/>
        <v/>
      </c>
      <c r="L866" t="str">
        <f>IF('01_Warehouse_Ledger'!$A866="","",'01_Warehouse_Ledger'!$A866)</f>
        <v/>
      </c>
    </row>
    <row r="867" spans="9:12">
      <c r="I867" t="str">
        <f>IF(OR($A867="",$B867=""),"",IF(COUNTIFS($A$2:$A867,$A867,$B$2:$B867,$B867)=1,1,0))</f>
        <v/>
      </c>
      <c r="J867" t="str">
        <f t="shared" si="13"/>
        <v/>
      </c>
      <c r="L867" t="str">
        <f>IF('01_Warehouse_Ledger'!$A867="","",'01_Warehouse_Ledger'!$A867)</f>
        <v/>
      </c>
    </row>
    <row r="868" spans="9:12">
      <c r="I868" t="str">
        <f>IF(OR($A868="",$B868=""),"",IF(COUNTIFS($A$2:$A868,$A868,$B$2:$B868,$B868)=1,1,0))</f>
        <v/>
      </c>
      <c r="J868" t="str">
        <f t="shared" si="13"/>
        <v/>
      </c>
      <c r="L868" t="str">
        <f>IF('01_Warehouse_Ledger'!$A868="","",'01_Warehouse_Ledger'!$A868)</f>
        <v/>
      </c>
    </row>
    <row r="869" spans="9:12">
      <c r="I869" t="str">
        <f>IF(OR($A869="",$B869=""),"",IF(COUNTIFS($A$2:$A869,$A869,$B$2:$B869,$B869)=1,1,0))</f>
        <v/>
      </c>
      <c r="J869" t="str">
        <f t="shared" si="13"/>
        <v/>
      </c>
      <c r="L869" t="str">
        <f>IF('01_Warehouse_Ledger'!$A869="","",'01_Warehouse_Ledger'!$A869)</f>
        <v/>
      </c>
    </row>
    <row r="870" spans="9:12">
      <c r="I870" t="str">
        <f>IF(OR($A870="",$B870=""),"",IF(COUNTIFS($A$2:$A870,$A870,$B$2:$B870,$B870)=1,1,0))</f>
        <v/>
      </c>
      <c r="J870" t="str">
        <f t="shared" si="13"/>
        <v/>
      </c>
      <c r="L870" t="str">
        <f>IF('01_Warehouse_Ledger'!$A870="","",'01_Warehouse_Ledger'!$A870)</f>
        <v/>
      </c>
    </row>
    <row r="871" spans="9:12">
      <c r="I871" t="str">
        <f>IF(OR($A871="",$B871=""),"",IF(COUNTIFS($A$2:$A871,$A871,$B$2:$B871,$B871)=1,1,0))</f>
        <v/>
      </c>
      <c r="J871" t="str">
        <f t="shared" si="13"/>
        <v/>
      </c>
      <c r="L871" t="str">
        <f>IF('01_Warehouse_Ledger'!$A871="","",'01_Warehouse_Ledger'!$A871)</f>
        <v/>
      </c>
    </row>
    <row r="872" spans="9:12">
      <c r="I872" t="str">
        <f>IF(OR($A872="",$B872=""),"",IF(COUNTIFS($A$2:$A872,$A872,$B$2:$B872,$B872)=1,1,0))</f>
        <v/>
      </c>
      <c r="J872" t="str">
        <f t="shared" si="13"/>
        <v/>
      </c>
      <c r="L872" t="str">
        <f>IF('01_Warehouse_Ledger'!$A872="","",'01_Warehouse_Ledger'!$A872)</f>
        <v/>
      </c>
    </row>
    <row r="873" spans="9:12">
      <c r="I873" t="str">
        <f>IF(OR($A873="",$B873=""),"",IF(COUNTIFS($A$2:$A873,$A873,$B$2:$B873,$B873)=1,1,0))</f>
        <v/>
      </c>
      <c r="J873" t="str">
        <f t="shared" si="13"/>
        <v/>
      </c>
      <c r="L873" t="str">
        <f>IF('01_Warehouse_Ledger'!$A873="","",'01_Warehouse_Ledger'!$A873)</f>
        <v/>
      </c>
    </row>
    <row r="874" spans="9:12">
      <c r="I874" t="str">
        <f>IF(OR($A874="",$B874=""),"",IF(COUNTIFS($A$2:$A874,$A874,$B$2:$B874,$B874)=1,1,0))</f>
        <v/>
      </c>
      <c r="J874" t="str">
        <f t="shared" si="13"/>
        <v/>
      </c>
      <c r="L874" t="str">
        <f>IF('01_Warehouse_Ledger'!$A874="","",'01_Warehouse_Ledger'!$A874)</f>
        <v/>
      </c>
    </row>
    <row r="875" spans="9:12">
      <c r="I875" t="str">
        <f>IF(OR($A875="",$B875=""),"",IF(COUNTIFS($A$2:$A875,$A875,$B$2:$B875,$B875)=1,1,0))</f>
        <v/>
      </c>
      <c r="J875" t="str">
        <f t="shared" si="13"/>
        <v/>
      </c>
      <c r="L875" t="str">
        <f>IF('01_Warehouse_Ledger'!$A875="","",'01_Warehouse_Ledger'!$A875)</f>
        <v/>
      </c>
    </row>
    <row r="876" spans="9:12">
      <c r="I876" t="str">
        <f>IF(OR($A876="",$B876=""),"",IF(COUNTIFS($A$2:$A876,$A876,$B$2:$B876,$B876)=1,1,0))</f>
        <v/>
      </c>
      <c r="J876" t="str">
        <f t="shared" si="13"/>
        <v/>
      </c>
      <c r="L876" t="str">
        <f>IF('01_Warehouse_Ledger'!$A876="","",'01_Warehouse_Ledger'!$A876)</f>
        <v/>
      </c>
    </row>
    <row r="877" spans="9:12">
      <c r="I877" t="str">
        <f>IF(OR($A877="",$B877=""),"",IF(COUNTIFS($A$2:$A877,$A877,$B$2:$B877,$B877)=1,1,0))</f>
        <v/>
      </c>
      <c r="J877" t="str">
        <f t="shared" si="13"/>
        <v/>
      </c>
      <c r="L877" t="str">
        <f>IF('01_Warehouse_Ledger'!$A877="","",'01_Warehouse_Ledger'!$A877)</f>
        <v/>
      </c>
    </row>
    <row r="878" spans="9:12">
      <c r="I878" t="str">
        <f>IF(OR($A878="",$B878=""),"",IF(COUNTIFS($A$2:$A878,$A878,$B$2:$B878,$B878)=1,1,0))</f>
        <v/>
      </c>
      <c r="J878" t="str">
        <f t="shared" si="13"/>
        <v/>
      </c>
      <c r="L878" t="str">
        <f>IF('01_Warehouse_Ledger'!$A878="","",'01_Warehouse_Ledger'!$A878)</f>
        <v/>
      </c>
    </row>
    <row r="879" spans="9:12">
      <c r="I879" t="str">
        <f>IF(OR($A879="",$B879=""),"",IF(COUNTIFS($A$2:$A879,$A879,$B$2:$B879,$B879)=1,1,0))</f>
        <v/>
      </c>
      <c r="J879" t="str">
        <f t="shared" si="13"/>
        <v/>
      </c>
      <c r="L879" t="str">
        <f>IF('01_Warehouse_Ledger'!$A879="","",'01_Warehouse_Ledger'!$A879)</f>
        <v/>
      </c>
    </row>
    <row r="880" spans="9:12">
      <c r="I880" t="str">
        <f>IF(OR($A880="",$B880=""),"",IF(COUNTIFS($A$2:$A880,$A880,$B$2:$B880,$B880)=1,1,0))</f>
        <v/>
      </c>
      <c r="J880" t="str">
        <f t="shared" si="13"/>
        <v/>
      </c>
      <c r="L880" t="str">
        <f>IF('01_Warehouse_Ledger'!$A880="","",'01_Warehouse_Ledger'!$A880)</f>
        <v/>
      </c>
    </row>
    <row r="881" spans="9:12">
      <c r="I881" t="str">
        <f>IF(OR($A881="",$B881=""),"",IF(COUNTIFS($A$2:$A881,$A881,$B$2:$B881,$B881)=1,1,0))</f>
        <v/>
      </c>
      <c r="J881" t="str">
        <f t="shared" si="13"/>
        <v/>
      </c>
      <c r="L881" t="str">
        <f>IF('01_Warehouse_Ledger'!$A881="","",'01_Warehouse_Ledger'!$A881)</f>
        <v/>
      </c>
    </row>
    <row r="882" spans="9:12">
      <c r="I882" t="str">
        <f>IF(OR($A882="",$B882=""),"",IF(COUNTIFS($A$2:$A882,$A882,$B$2:$B882,$B882)=1,1,0))</f>
        <v/>
      </c>
      <c r="J882" t="str">
        <f t="shared" si="13"/>
        <v/>
      </c>
      <c r="L882" t="str">
        <f>IF('01_Warehouse_Ledger'!$A882="","",'01_Warehouse_Ledger'!$A882)</f>
        <v/>
      </c>
    </row>
    <row r="883" spans="9:12">
      <c r="I883" t="str">
        <f>IF(OR($A883="",$B883=""),"",IF(COUNTIFS($A$2:$A883,$A883,$B$2:$B883,$B883)=1,1,0))</f>
        <v/>
      </c>
      <c r="J883" t="str">
        <f t="shared" si="13"/>
        <v/>
      </c>
      <c r="L883" t="str">
        <f>IF('01_Warehouse_Ledger'!$A883="","",'01_Warehouse_Ledger'!$A883)</f>
        <v/>
      </c>
    </row>
    <row r="884" spans="9:12">
      <c r="I884" t="str">
        <f>IF(OR($A884="",$B884=""),"",IF(COUNTIFS($A$2:$A884,$A884,$B$2:$B884,$B884)=1,1,0))</f>
        <v/>
      </c>
      <c r="J884" t="str">
        <f t="shared" si="13"/>
        <v/>
      </c>
      <c r="L884" t="str">
        <f>IF('01_Warehouse_Ledger'!$A884="","",'01_Warehouse_Ledger'!$A884)</f>
        <v/>
      </c>
    </row>
    <row r="885" spans="9:12">
      <c r="I885" t="str">
        <f>IF(OR($A885="",$B885=""),"",IF(COUNTIFS($A$2:$A885,$A885,$B$2:$B885,$B885)=1,1,0))</f>
        <v/>
      </c>
      <c r="J885" t="str">
        <f t="shared" si="13"/>
        <v/>
      </c>
      <c r="L885" t="str">
        <f>IF('01_Warehouse_Ledger'!$A885="","",'01_Warehouse_Ledger'!$A885)</f>
        <v/>
      </c>
    </row>
    <row r="886" spans="9:12">
      <c r="I886" t="str">
        <f>IF(OR($A886="",$B886=""),"",IF(COUNTIFS($A$2:$A886,$A886,$B$2:$B886,$B886)=1,1,0))</f>
        <v/>
      </c>
      <c r="J886" t="str">
        <f t="shared" si="13"/>
        <v/>
      </c>
      <c r="L886" t="str">
        <f>IF('01_Warehouse_Ledger'!$A886="","",'01_Warehouse_Ledger'!$A886)</f>
        <v/>
      </c>
    </row>
    <row r="887" spans="9:12">
      <c r="I887" t="str">
        <f>IF(OR($A887="",$B887=""),"",IF(COUNTIFS($A$2:$A887,$A887,$B$2:$B887,$B887)=1,1,0))</f>
        <v/>
      </c>
      <c r="J887" t="str">
        <f t="shared" si="13"/>
        <v/>
      </c>
      <c r="L887" t="str">
        <f>IF('01_Warehouse_Ledger'!$A887="","",'01_Warehouse_Ledger'!$A887)</f>
        <v/>
      </c>
    </row>
    <row r="888" spans="9:12">
      <c r="I888" t="str">
        <f>IF(OR($A888="",$B888=""),"",IF(COUNTIFS($A$2:$A888,$A888,$B$2:$B888,$B888)=1,1,0))</f>
        <v/>
      </c>
      <c r="J888" t="str">
        <f t="shared" si="13"/>
        <v/>
      </c>
      <c r="L888" t="str">
        <f>IF('01_Warehouse_Ledger'!$A888="","",'01_Warehouse_Ledger'!$A888)</f>
        <v/>
      </c>
    </row>
    <row r="889" spans="9:12">
      <c r="I889" t="str">
        <f>IF(OR($A889="",$B889=""),"",IF(COUNTIFS($A$2:$A889,$A889,$B$2:$B889,$B889)=1,1,0))</f>
        <v/>
      </c>
      <c r="J889" t="str">
        <f t="shared" si="13"/>
        <v/>
      </c>
      <c r="L889" t="str">
        <f>IF('01_Warehouse_Ledger'!$A889="","",'01_Warehouse_Ledger'!$A889)</f>
        <v/>
      </c>
    </row>
    <row r="890" spans="9:12">
      <c r="I890" t="str">
        <f>IF(OR($A890="",$B890=""),"",IF(COUNTIFS($A$2:$A890,$A890,$B$2:$B890,$B890)=1,1,0))</f>
        <v/>
      </c>
      <c r="J890" t="str">
        <f t="shared" si="13"/>
        <v/>
      </c>
      <c r="L890" t="str">
        <f>IF('01_Warehouse_Ledger'!$A890="","",'01_Warehouse_Ledger'!$A890)</f>
        <v/>
      </c>
    </row>
    <row r="891" spans="9:12">
      <c r="I891" t="str">
        <f>IF(OR($A891="",$B891=""),"",IF(COUNTIFS($A$2:$A891,$A891,$B$2:$B891,$B891)=1,1,0))</f>
        <v/>
      </c>
      <c r="J891" t="str">
        <f t="shared" si="13"/>
        <v/>
      </c>
      <c r="L891" t="str">
        <f>IF('01_Warehouse_Ledger'!$A891="","",'01_Warehouse_Ledger'!$A891)</f>
        <v/>
      </c>
    </row>
    <row r="892" spans="9:12">
      <c r="I892" t="str">
        <f>IF(OR($A892="",$B892=""),"",IF(COUNTIFS($A$2:$A892,$A892,$B$2:$B892,$B892)=1,1,0))</f>
        <v/>
      </c>
      <c r="J892" t="str">
        <f t="shared" si="13"/>
        <v/>
      </c>
      <c r="L892" t="str">
        <f>IF('01_Warehouse_Ledger'!$A892="","",'01_Warehouse_Ledger'!$A892)</f>
        <v/>
      </c>
    </row>
    <row r="893" spans="9:12">
      <c r="I893" t="str">
        <f>IF(OR($A893="",$B893=""),"",IF(COUNTIFS($A$2:$A893,$A893,$B$2:$B893,$B893)=1,1,0))</f>
        <v/>
      </c>
      <c r="J893" t="str">
        <f t="shared" si="13"/>
        <v/>
      </c>
      <c r="L893" t="str">
        <f>IF('01_Warehouse_Ledger'!$A893="","",'01_Warehouse_Ledger'!$A893)</f>
        <v/>
      </c>
    </row>
    <row r="894" spans="9:12">
      <c r="I894" t="str">
        <f>IF(OR($A894="",$B894=""),"",IF(COUNTIFS($A$2:$A894,$A894,$B$2:$B894,$B894)=1,1,0))</f>
        <v/>
      </c>
      <c r="J894" t="str">
        <f t="shared" si="13"/>
        <v/>
      </c>
      <c r="L894" t="str">
        <f>IF('01_Warehouse_Ledger'!$A894="","",'01_Warehouse_Ledger'!$A894)</f>
        <v/>
      </c>
    </row>
    <row r="895" spans="9:12">
      <c r="I895" t="str">
        <f>IF(OR($A895="",$B895=""),"",IF(COUNTIFS($A$2:$A895,$A895,$B$2:$B895,$B895)=1,1,0))</f>
        <v/>
      </c>
      <c r="J895" t="str">
        <f t="shared" si="13"/>
        <v/>
      </c>
      <c r="L895" t="str">
        <f>IF('01_Warehouse_Ledger'!$A895="","",'01_Warehouse_Ledger'!$A895)</f>
        <v/>
      </c>
    </row>
    <row r="896" spans="9:12">
      <c r="I896" t="str">
        <f>IF(OR($A896="",$B896=""),"",IF(COUNTIFS($A$2:$A896,$A896,$B$2:$B896,$B896)=1,1,0))</f>
        <v/>
      </c>
      <c r="J896" t="str">
        <f t="shared" si="13"/>
        <v/>
      </c>
      <c r="L896" t="str">
        <f>IF('01_Warehouse_Ledger'!$A896="","",'01_Warehouse_Ledger'!$A896)</f>
        <v/>
      </c>
    </row>
    <row r="897" spans="9:12">
      <c r="I897" t="str">
        <f>IF(OR($A897="",$B897=""),"",IF(COUNTIFS($A$2:$A897,$A897,$B$2:$B897,$B897)=1,1,0))</f>
        <v/>
      </c>
      <c r="J897" t="str">
        <f t="shared" si="13"/>
        <v/>
      </c>
      <c r="L897" t="str">
        <f>IF('01_Warehouse_Ledger'!$A897="","",'01_Warehouse_Ledger'!$A897)</f>
        <v/>
      </c>
    </row>
    <row r="898" spans="9:12">
      <c r="I898" t="str">
        <f>IF(OR($A898="",$B898=""),"",IF(COUNTIFS($A$2:$A898,$A898,$B$2:$B898,$B898)=1,1,0))</f>
        <v/>
      </c>
      <c r="J898" t="str">
        <f t="shared" ref="J898:J961" si="14">IF($A898="","",ROW())</f>
        <v/>
      </c>
      <c r="L898" t="str">
        <f>IF('01_Warehouse_Ledger'!$A898="","",'01_Warehouse_Ledger'!$A898)</f>
        <v/>
      </c>
    </row>
    <row r="899" spans="9:12">
      <c r="I899" t="str">
        <f>IF(OR($A899="",$B899=""),"",IF(COUNTIFS($A$2:$A899,$A899,$B$2:$B899,$B899)=1,1,0))</f>
        <v/>
      </c>
      <c r="J899" t="str">
        <f t="shared" si="14"/>
        <v/>
      </c>
      <c r="L899" t="str">
        <f>IF('01_Warehouse_Ledger'!$A899="","",'01_Warehouse_Ledger'!$A899)</f>
        <v/>
      </c>
    </row>
    <row r="900" spans="9:12">
      <c r="I900" t="str">
        <f>IF(OR($A900="",$B900=""),"",IF(COUNTIFS($A$2:$A900,$A900,$B$2:$B900,$B900)=1,1,0))</f>
        <v/>
      </c>
      <c r="J900" t="str">
        <f t="shared" si="14"/>
        <v/>
      </c>
      <c r="L900" t="str">
        <f>IF('01_Warehouse_Ledger'!$A900="","",'01_Warehouse_Ledger'!$A900)</f>
        <v/>
      </c>
    </row>
    <row r="901" spans="9:12">
      <c r="I901" t="str">
        <f>IF(OR($A901="",$B901=""),"",IF(COUNTIFS($A$2:$A901,$A901,$B$2:$B901,$B901)=1,1,0))</f>
        <v/>
      </c>
      <c r="J901" t="str">
        <f t="shared" si="14"/>
        <v/>
      </c>
      <c r="L901" t="str">
        <f>IF('01_Warehouse_Ledger'!$A901="","",'01_Warehouse_Ledger'!$A901)</f>
        <v/>
      </c>
    </row>
    <row r="902" spans="9:12">
      <c r="I902" t="str">
        <f>IF(OR($A902="",$B902=""),"",IF(COUNTIFS($A$2:$A902,$A902,$B$2:$B902,$B902)=1,1,0))</f>
        <v/>
      </c>
      <c r="J902" t="str">
        <f t="shared" si="14"/>
        <v/>
      </c>
      <c r="L902" t="str">
        <f>IF('01_Warehouse_Ledger'!$A902="","",'01_Warehouse_Ledger'!$A902)</f>
        <v/>
      </c>
    </row>
    <row r="903" spans="9:12">
      <c r="I903" t="str">
        <f>IF(OR($A903="",$B903=""),"",IF(COUNTIFS($A$2:$A903,$A903,$B$2:$B903,$B903)=1,1,0))</f>
        <v/>
      </c>
      <c r="J903" t="str">
        <f t="shared" si="14"/>
        <v/>
      </c>
      <c r="L903" t="str">
        <f>IF('01_Warehouse_Ledger'!$A903="","",'01_Warehouse_Ledger'!$A903)</f>
        <v/>
      </c>
    </row>
    <row r="904" spans="9:12">
      <c r="I904" t="str">
        <f>IF(OR($A904="",$B904=""),"",IF(COUNTIFS($A$2:$A904,$A904,$B$2:$B904,$B904)=1,1,0))</f>
        <v/>
      </c>
      <c r="J904" t="str">
        <f t="shared" si="14"/>
        <v/>
      </c>
      <c r="L904" t="str">
        <f>IF('01_Warehouse_Ledger'!$A904="","",'01_Warehouse_Ledger'!$A904)</f>
        <v/>
      </c>
    </row>
    <row r="905" spans="9:12">
      <c r="I905" t="str">
        <f>IF(OR($A905="",$B905=""),"",IF(COUNTIFS($A$2:$A905,$A905,$B$2:$B905,$B905)=1,1,0))</f>
        <v/>
      </c>
      <c r="J905" t="str">
        <f t="shared" si="14"/>
        <v/>
      </c>
      <c r="L905" t="str">
        <f>IF('01_Warehouse_Ledger'!$A905="","",'01_Warehouse_Ledger'!$A905)</f>
        <v/>
      </c>
    </row>
    <row r="906" spans="9:12">
      <c r="I906" t="str">
        <f>IF(OR($A906="",$B906=""),"",IF(COUNTIFS($A$2:$A906,$A906,$B$2:$B906,$B906)=1,1,0))</f>
        <v/>
      </c>
      <c r="J906" t="str">
        <f t="shared" si="14"/>
        <v/>
      </c>
      <c r="L906" t="str">
        <f>IF('01_Warehouse_Ledger'!$A906="","",'01_Warehouse_Ledger'!$A906)</f>
        <v/>
      </c>
    </row>
    <row r="907" spans="9:12">
      <c r="I907" t="str">
        <f>IF(OR($A907="",$B907=""),"",IF(COUNTIFS($A$2:$A907,$A907,$B$2:$B907,$B907)=1,1,0))</f>
        <v/>
      </c>
      <c r="J907" t="str">
        <f t="shared" si="14"/>
        <v/>
      </c>
      <c r="L907" t="str">
        <f>IF('01_Warehouse_Ledger'!$A907="","",'01_Warehouse_Ledger'!$A907)</f>
        <v/>
      </c>
    </row>
    <row r="908" spans="9:12">
      <c r="I908" t="str">
        <f>IF(OR($A908="",$B908=""),"",IF(COUNTIFS($A$2:$A908,$A908,$B$2:$B908,$B908)=1,1,0))</f>
        <v/>
      </c>
      <c r="J908" t="str">
        <f t="shared" si="14"/>
        <v/>
      </c>
      <c r="L908" t="str">
        <f>IF('01_Warehouse_Ledger'!$A908="","",'01_Warehouse_Ledger'!$A908)</f>
        <v/>
      </c>
    </row>
    <row r="909" spans="9:12">
      <c r="I909" t="str">
        <f>IF(OR($A909="",$B909=""),"",IF(COUNTIFS($A$2:$A909,$A909,$B$2:$B909,$B909)=1,1,0))</f>
        <v/>
      </c>
      <c r="J909" t="str">
        <f t="shared" si="14"/>
        <v/>
      </c>
      <c r="L909" t="str">
        <f>IF('01_Warehouse_Ledger'!$A909="","",'01_Warehouse_Ledger'!$A909)</f>
        <v/>
      </c>
    </row>
    <row r="910" spans="9:12">
      <c r="I910" t="str">
        <f>IF(OR($A910="",$B910=""),"",IF(COUNTIFS($A$2:$A910,$A910,$B$2:$B910,$B910)=1,1,0))</f>
        <v/>
      </c>
      <c r="J910" t="str">
        <f t="shared" si="14"/>
        <v/>
      </c>
      <c r="L910" t="str">
        <f>IF('01_Warehouse_Ledger'!$A910="","",'01_Warehouse_Ledger'!$A910)</f>
        <v/>
      </c>
    </row>
    <row r="911" spans="9:12">
      <c r="I911" t="str">
        <f>IF(OR($A911="",$B911=""),"",IF(COUNTIFS($A$2:$A911,$A911,$B$2:$B911,$B911)=1,1,0))</f>
        <v/>
      </c>
      <c r="J911" t="str">
        <f t="shared" si="14"/>
        <v/>
      </c>
      <c r="L911" t="str">
        <f>IF('01_Warehouse_Ledger'!$A911="","",'01_Warehouse_Ledger'!$A911)</f>
        <v/>
      </c>
    </row>
    <row r="912" spans="9:12">
      <c r="I912" t="str">
        <f>IF(OR($A912="",$B912=""),"",IF(COUNTIFS($A$2:$A912,$A912,$B$2:$B912,$B912)=1,1,0))</f>
        <v/>
      </c>
      <c r="J912" t="str">
        <f t="shared" si="14"/>
        <v/>
      </c>
      <c r="L912" t="str">
        <f>IF('01_Warehouse_Ledger'!$A912="","",'01_Warehouse_Ledger'!$A912)</f>
        <v/>
      </c>
    </row>
    <row r="913" spans="9:12">
      <c r="I913" t="str">
        <f>IF(OR($A913="",$B913=""),"",IF(COUNTIFS($A$2:$A913,$A913,$B$2:$B913,$B913)=1,1,0))</f>
        <v/>
      </c>
      <c r="J913" t="str">
        <f t="shared" si="14"/>
        <v/>
      </c>
      <c r="L913" t="str">
        <f>IF('01_Warehouse_Ledger'!$A913="","",'01_Warehouse_Ledger'!$A913)</f>
        <v/>
      </c>
    </row>
    <row r="914" spans="9:12">
      <c r="I914" t="str">
        <f>IF(OR($A914="",$B914=""),"",IF(COUNTIFS($A$2:$A914,$A914,$B$2:$B914,$B914)=1,1,0))</f>
        <v/>
      </c>
      <c r="J914" t="str">
        <f t="shared" si="14"/>
        <v/>
      </c>
      <c r="L914" t="str">
        <f>IF('01_Warehouse_Ledger'!$A914="","",'01_Warehouse_Ledger'!$A914)</f>
        <v/>
      </c>
    </row>
    <row r="915" spans="9:12">
      <c r="I915" t="str">
        <f>IF(OR($A915="",$B915=""),"",IF(COUNTIFS($A$2:$A915,$A915,$B$2:$B915,$B915)=1,1,0))</f>
        <v/>
      </c>
      <c r="J915" t="str">
        <f t="shared" si="14"/>
        <v/>
      </c>
      <c r="L915" t="str">
        <f>IF('01_Warehouse_Ledger'!$A915="","",'01_Warehouse_Ledger'!$A915)</f>
        <v/>
      </c>
    </row>
    <row r="916" spans="9:12">
      <c r="I916" t="str">
        <f>IF(OR($A916="",$B916=""),"",IF(COUNTIFS($A$2:$A916,$A916,$B$2:$B916,$B916)=1,1,0))</f>
        <v/>
      </c>
      <c r="J916" t="str">
        <f t="shared" si="14"/>
        <v/>
      </c>
      <c r="L916" t="str">
        <f>IF('01_Warehouse_Ledger'!$A916="","",'01_Warehouse_Ledger'!$A916)</f>
        <v/>
      </c>
    </row>
    <row r="917" spans="9:12">
      <c r="I917" t="str">
        <f>IF(OR($A917="",$B917=""),"",IF(COUNTIFS($A$2:$A917,$A917,$B$2:$B917,$B917)=1,1,0))</f>
        <v/>
      </c>
      <c r="J917" t="str">
        <f t="shared" si="14"/>
        <v/>
      </c>
      <c r="L917" t="str">
        <f>IF('01_Warehouse_Ledger'!$A917="","",'01_Warehouse_Ledger'!$A917)</f>
        <v/>
      </c>
    </row>
    <row r="918" spans="9:12">
      <c r="I918" t="str">
        <f>IF(OR($A918="",$B918=""),"",IF(COUNTIFS($A$2:$A918,$A918,$B$2:$B918,$B918)=1,1,0))</f>
        <v/>
      </c>
      <c r="J918" t="str">
        <f t="shared" si="14"/>
        <v/>
      </c>
      <c r="L918" t="str">
        <f>IF('01_Warehouse_Ledger'!$A918="","",'01_Warehouse_Ledger'!$A918)</f>
        <v/>
      </c>
    </row>
    <row r="919" spans="9:12">
      <c r="I919" t="str">
        <f>IF(OR($A919="",$B919=""),"",IF(COUNTIFS($A$2:$A919,$A919,$B$2:$B919,$B919)=1,1,0))</f>
        <v/>
      </c>
      <c r="J919" t="str">
        <f t="shared" si="14"/>
        <v/>
      </c>
      <c r="L919" t="str">
        <f>IF('01_Warehouse_Ledger'!$A919="","",'01_Warehouse_Ledger'!$A919)</f>
        <v/>
      </c>
    </row>
    <row r="920" spans="9:12">
      <c r="I920" t="str">
        <f>IF(OR($A920="",$B920=""),"",IF(COUNTIFS($A$2:$A920,$A920,$B$2:$B920,$B920)=1,1,0))</f>
        <v/>
      </c>
      <c r="J920" t="str">
        <f t="shared" si="14"/>
        <v/>
      </c>
      <c r="L920" t="str">
        <f>IF('01_Warehouse_Ledger'!$A920="","",'01_Warehouse_Ledger'!$A920)</f>
        <v/>
      </c>
    </row>
    <row r="921" spans="9:12">
      <c r="I921" t="str">
        <f>IF(OR($A921="",$B921=""),"",IF(COUNTIFS($A$2:$A921,$A921,$B$2:$B921,$B921)=1,1,0))</f>
        <v/>
      </c>
      <c r="J921" t="str">
        <f t="shared" si="14"/>
        <v/>
      </c>
      <c r="L921" t="str">
        <f>IF('01_Warehouse_Ledger'!$A921="","",'01_Warehouse_Ledger'!$A921)</f>
        <v/>
      </c>
    </row>
    <row r="922" spans="9:12">
      <c r="I922" t="str">
        <f>IF(OR($A922="",$B922=""),"",IF(COUNTIFS($A$2:$A922,$A922,$B$2:$B922,$B922)=1,1,0))</f>
        <v/>
      </c>
      <c r="J922" t="str">
        <f t="shared" si="14"/>
        <v/>
      </c>
      <c r="L922" t="str">
        <f>IF('01_Warehouse_Ledger'!$A922="","",'01_Warehouse_Ledger'!$A922)</f>
        <v/>
      </c>
    </row>
    <row r="923" spans="9:12">
      <c r="I923" t="str">
        <f>IF(OR($A923="",$B923=""),"",IF(COUNTIFS($A$2:$A923,$A923,$B$2:$B923,$B923)=1,1,0))</f>
        <v/>
      </c>
      <c r="J923" t="str">
        <f t="shared" si="14"/>
        <v/>
      </c>
      <c r="L923" t="str">
        <f>IF('01_Warehouse_Ledger'!$A923="","",'01_Warehouse_Ledger'!$A923)</f>
        <v/>
      </c>
    </row>
    <row r="924" spans="9:12">
      <c r="I924" t="str">
        <f>IF(OR($A924="",$B924=""),"",IF(COUNTIFS($A$2:$A924,$A924,$B$2:$B924,$B924)=1,1,0))</f>
        <v/>
      </c>
      <c r="J924" t="str">
        <f t="shared" si="14"/>
        <v/>
      </c>
      <c r="L924" t="str">
        <f>IF('01_Warehouse_Ledger'!$A924="","",'01_Warehouse_Ledger'!$A924)</f>
        <v/>
      </c>
    </row>
    <row r="925" spans="9:12">
      <c r="I925" t="str">
        <f>IF(OR($A925="",$B925=""),"",IF(COUNTIFS($A$2:$A925,$A925,$B$2:$B925,$B925)=1,1,0))</f>
        <v/>
      </c>
      <c r="J925" t="str">
        <f t="shared" si="14"/>
        <v/>
      </c>
      <c r="L925" t="str">
        <f>IF('01_Warehouse_Ledger'!$A925="","",'01_Warehouse_Ledger'!$A925)</f>
        <v/>
      </c>
    </row>
    <row r="926" spans="9:12">
      <c r="I926" t="str">
        <f>IF(OR($A926="",$B926=""),"",IF(COUNTIFS($A$2:$A926,$A926,$B$2:$B926,$B926)=1,1,0))</f>
        <v/>
      </c>
      <c r="J926" t="str">
        <f t="shared" si="14"/>
        <v/>
      </c>
      <c r="L926" t="str">
        <f>IF('01_Warehouse_Ledger'!$A926="","",'01_Warehouse_Ledger'!$A926)</f>
        <v/>
      </c>
    </row>
    <row r="927" spans="9:12">
      <c r="I927" t="str">
        <f>IF(OR($A927="",$B927=""),"",IF(COUNTIFS($A$2:$A927,$A927,$B$2:$B927,$B927)=1,1,0))</f>
        <v/>
      </c>
      <c r="J927" t="str">
        <f t="shared" si="14"/>
        <v/>
      </c>
      <c r="L927" t="str">
        <f>IF('01_Warehouse_Ledger'!$A927="","",'01_Warehouse_Ledger'!$A927)</f>
        <v/>
      </c>
    </row>
    <row r="928" spans="9:12">
      <c r="I928" t="str">
        <f>IF(OR($A928="",$B928=""),"",IF(COUNTIFS($A$2:$A928,$A928,$B$2:$B928,$B928)=1,1,0))</f>
        <v/>
      </c>
      <c r="J928" t="str">
        <f t="shared" si="14"/>
        <v/>
      </c>
      <c r="L928" t="str">
        <f>IF('01_Warehouse_Ledger'!$A928="","",'01_Warehouse_Ledger'!$A928)</f>
        <v/>
      </c>
    </row>
    <row r="929" spans="9:12">
      <c r="I929" t="str">
        <f>IF(OR($A929="",$B929=""),"",IF(COUNTIFS($A$2:$A929,$A929,$B$2:$B929,$B929)=1,1,0))</f>
        <v/>
      </c>
      <c r="J929" t="str">
        <f t="shared" si="14"/>
        <v/>
      </c>
      <c r="L929" t="str">
        <f>IF('01_Warehouse_Ledger'!$A929="","",'01_Warehouse_Ledger'!$A929)</f>
        <v/>
      </c>
    </row>
    <row r="930" spans="9:12">
      <c r="I930" t="str">
        <f>IF(OR($A930="",$B930=""),"",IF(COUNTIFS($A$2:$A930,$A930,$B$2:$B930,$B930)=1,1,0))</f>
        <v/>
      </c>
      <c r="J930" t="str">
        <f t="shared" si="14"/>
        <v/>
      </c>
      <c r="L930" t="str">
        <f>IF('01_Warehouse_Ledger'!$A930="","",'01_Warehouse_Ledger'!$A930)</f>
        <v/>
      </c>
    </row>
    <row r="931" spans="9:12">
      <c r="I931" t="str">
        <f>IF(OR($A931="",$B931=""),"",IF(COUNTIFS($A$2:$A931,$A931,$B$2:$B931,$B931)=1,1,0))</f>
        <v/>
      </c>
      <c r="J931" t="str">
        <f t="shared" si="14"/>
        <v/>
      </c>
      <c r="L931" t="str">
        <f>IF('01_Warehouse_Ledger'!$A931="","",'01_Warehouse_Ledger'!$A931)</f>
        <v/>
      </c>
    </row>
    <row r="932" spans="9:12">
      <c r="I932" t="str">
        <f>IF(OR($A932="",$B932=""),"",IF(COUNTIFS($A$2:$A932,$A932,$B$2:$B932,$B932)=1,1,0))</f>
        <v/>
      </c>
      <c r="J932" t="str">
        <f t="shared" si="14"/>
        <v/>
      </c>
      <c r="L932" t="str">
        <f>IF('01_Warehouse_Ledger'!$A932="","",'01_Warehouse_Ledger'!$A932)</f>
        <v/>
      </c>
    </row>
    <row r="933" spans="9:12">
      <c r="I933" t="str">
        <f>IF(OR($A933="",$B933=""),"",IF(COUNTIFS($A$2:$A933,$A933,$B$2:$B933,$B933)=1,1,0))</f>
        <v/>
      </c>
      <c r="J933" t="str">
        <f t="shared" si="14"/>
        <v/>
      </c>
      <c r="L933" t="str">
        <f>IF('01_Warehouse_Ledger'!$A933="","",'01_Warehouse_Ledger'!$A933)</f>
        <v/>
      </c>
    </row>
    <row r="934" spans="9:12">
      <c r="I934" t="str">
        <f>IF(OR($A934="",$B934=""),"",IF(COUNTIFS($A$2:$A934,$A934,$B$2:$B934,$B934)=1,1,0))</f>
        <v/>
      </c>
      <c r="J934" t="str">
        <f t="shared" si="14"/>
        <v/>
      </c>
      <c r="L934" t="str">
        <f>IF('01_Warehouse_Ledger'!$A934="","",'01_Warehouse_Ledger'!$A934)</f>
        <v/>
      </c>
    </row>
    <row r="935" spans="9:12">
      <c r="I935" t="str">
        <f>IF(OR($A935="",$B935=""),"",IF(COUNTIFS($A$2:$A935,$A935,$B$2:$B935,$B935)=1,1,0))</f>
        <v/>
      </c>
      <c r="J935" t="str">
        <f t="shared" si="14"/>
        <v/>
      </c>
      <c r="L935" t="str">
        <f>IF('01_Warehouse_Ledger'!$A935="","",'01_Warehouse_Ledger'!$A935)</f>
        <v/>
      </c>
    </row>
    <row r="936" spans="9:12">
      <c r="I936" t="str">
        <f>IF(OR($A936="",$B936=""),"",IF(COUNTIFS($A$2:$A936,$A936,$B$2:$B936,$B936)=1,1,0))</f>
        <v/>
      </c>
      <c r="J936" t="str">
        <f t="shared" si="14"/>
        <v/>
      </c>
      <c r="L936" t="str">
        <f>IF('01_Warehouse_Ledger'!$A936="","",'01_Warehouse_Ledger'!$A936)</f>
        <v/>
      </c>
    </row>
    <row r="937" spans="9:12">
      <c r="I937" t="str">
        <f>IF(OR($A937="",$B937=""),"",IF(COUNTIFS($A$2:$A937,$A937,$B$2:$B937,$B937)=1,1,0))</f>
        <v/>
      </c>
      <c r="J937" t="str">
        <f t="shared" si="14"/>
        <v/>
      </c>
      <c r="L937" t="str">
        <f>IF('01_Warehouse_Ledger'!$A937="","",'01_Warehouse_Ledger'!$A937)</f>
        <v/>
      </c>
    </row>
    <row r="938" spans="9:12">
      <c r="I938" t="str">
        <f>IF(OR($A938="",$B938=""),"",IF(COUNTIFS($A$2:$A938,$A938,$B$2:$B938,$B938)=1,1,0))</f>
        <v/>
      </c>
      <c r="J938" t="str">
        <f t="shared" si="14"/>
        <v/>
      </c>
      <c r="L938" t="str">
        <f>IF('01_Warehouse_Ledger'!$A938="","",'01_Warehouse_Ledger'!$A938)</f>
        <v/>
      </c>
    </row>
    <row r="939" spans="9:12">
      <c r="I939" t="str">
        <f>IF(OR($A939="",$B939=""),"",IF(COUNTIFS($A$2:$A939,$A939,$B$2:$B939,$B939)=1,1,0))</f>
        <v/>
      </c>
      <c r="J939" t="str">
        <f t="shared" si="14"/>
        <v/>
      </c>
      <c r="L939" t="str">
        <f>IF('01_Warehouse_Ledger'!$A939="","",'01_Warehouse_Ledger'!$A939)</f>
        <v/>
      </c>
    </row>
    <row r="940" spans="9:12">
      <c r="I940" t="str">
        <f>IF(OR($A940="",$B940=""),"",IF(COUNTIFS($A$2:$A940,$A940,$B$2:$B940,$B940)=1,1,0))</f>
        <v/>
      </c>
      <c r="J940" t="str">
        <f t="shared" si="14"/>
        <v/>
      </c>
      <c r="L940" t="str">
        <f>IF('01_Warehouse_Ledger'!$A940="","",'01_Warehouse_Ledger'!$A940)</f>
        <v/>
      </c>
    </row>
    <row r="941" spans="9:12">
      <c r="I941" t="str">
        <f>IF(OR($A941="",$B941=""),"",IF(COUNTIFS($A$2:$A941,$A941,$B$2:$B941,$B941)=1,1,0))</f>
        <v/>
      </c>
      <c r="J941" t="str">
        <f t="shared" si="14"/>
        <v/>
      </c>
      <c r="L941" t="str">
        <f>IF('01_Warehouse_Ledger'!$A941="","",'01_Warehouse_Ledger'!$A941)</f>
        <v/>
      </c>
    </row>
    <row r="942" spans="9:12">
      <c r="I942" t="str">
        <f>IF(OR($A942="",$B942=""),"",IF(COUNTIFS($A$2:$A942,$A942,$B$2:$B942,$B942)=1,1,0))</f>
        <v/>
      </c>
      <c r="J942" t="str">
        <f t="shared" si="14"/>
        <v/>
      </c>
      <c r="L942" t="str">
        <f>IF('01_Warehouse_Ledger'!$A942="","",'01_Warehouse_Ledger'!$A942)</f>
        <v/>
      </c>
    </row>
    <row r="943" spans="9:12">
      <c r="I943" t="str">
        <f>IF(OR($A943="",$B943=""),"",IF(COUNTIFS($A$2:$A943,$A943,$B$2:$B943,$B943)=1,1,0))</f>
        <v/>
      </c>
      <c r="J943" t="str">
        <f t="shared" si="14"/>
        <v/>
      </c>
      <c r="L943" t="str">
        <f>IF('01_Warehouse_Ledger'!$A943="","",'01_Warehouse_Ledger'!$A943)</f>
        <v/>
      </c>
    </row>
    <row r="944" spans="9:12">
      <c r="I944" t="str">
        <f>IF(OR($A944="",$B944=""),"",IF(COUNTIFS($A$2:$A944,$A944,$B$2:$B944,$B944)=1,1,0))</f>
        <v/>
      </c>
      <c r="J944" t="str">
        <f t="shared" si="14"/>
        <v/>
      </c>
      <c r="L944" t="str">
        <f>IF('01_Warehouse_Ledger'!$A944="","",'01_Warehouse_Ledger'!$A944)</f>
        <v/>
      </c>
    </row>
    <row r="945" spans="9:12">
      <c r="I945" t="str">
        <f>IF(OR($A945="",$B945=""),"",IF(COUNTIFS($A$2:$A945,$A945,$B$2:$B945,$B945)=1,1,0))</f>
        <v/>
      </c>
      <c r="J945" t="str">
        <f t="shared" si="14"/>
        <v/>
      </c>
      <c r="L945" t="str">
        <f>IF('01_Warehouse_Ledger'!$A945="","",'01_Warehouse_Ledger'!$A945)</f>
        <v/>
      </c>
    </row>
    <row r="946" spans="9:12">
      <c r="I946" t="str">
        <f>IF(OR($A946="",$B946=""),"",IF(COUNTIFS($A$2:$A946,$A946,$B$2:$B946,$B946)=1,1,0))</f>
        <v/>
      </c>
      <c r="J946" t="str">
        <f t="shared" si="14"/>
        <v/>
      </c>
      <c r="L946" t="str">
        <f>IF('01_Warehouse_Ledger'!$A946="","",'01_Warehouse_Ledger'!$A946)</f>
        <v/>
      </c>
    </row>
    <row r="947" spans="9:12">
      <c r="I947" t="str">
        <f>IF(OR($A947="",$B947=""),"",IF(COUNTIFS($A$2:$A947,$A947,$B$2:$B947,$B947)=1,1,0))</f>
        <v/>
      </c>
      <c r="J947" t="str">
        <f t="shared" si="14"/>
        <v/>
      </c>
      <c r="L947" t="str">
        <f>IF('01_Warehouse_Ledger'!$A947="","",'01_Warehouse_Ledger'!$A947)</f>
        <v/>
      </c>
    </row>
    <row r="948" spans="9:12">
      <c r="I948" t="str">
        <f>IF(OR($A948="",$B948=""),"",IF(COUNTIFS($A$2:$A948,$A948,$B$2:$B948,$B948)=1,1,0))</f>
        <v/>
      </c>
      <c r="J948" t="str">
        <f t="shared" si="14"/>
        <v/>
      </c>
      <c r="L948" t="str">
        <f>IF('01_Warehouse_Ledger'!$A948="","",'01_Warehouse_Ledger'!$A948)</f>
        <v/>
      </c>
    </row>
    <row r="949" spans="9:12">
      <c r="I949" t="str">
        <f>IF(OR($A949="",$B949=""),"",IF(COUNTIFS($A$2:$A949,$A949,$B$2:$B949,$B949)=1,1,0))</f>
        <v/>
      </c>
      <c r="J949" t="str">
        <f t="shared" si="14"/>
        <v/>
      </c>
      <c r="L949" t="str">
        <f>IF('01_Warehouse_Ledger'!$A949="","",'01_Warehouse_Ledger'!$A949)</f>
        <v/>
      </c>
    </row>
    <row r="950" spans="9:12">
      <c r="I950" t="str">
        <f>IF(OR($A950="",$B950=""),"",IF(COUNTIFS($A$2:$A950,$A950,$B$2:$B950,$B950)=1,1,0))</f>
        <v/>
      </c>
      <c r="J950" t="str">
        <f t="shared" si="14"/>
        <v/>
      </c>
      <c r="L950" t="str">
        <f>IF('01_Warehouse_Ledger'!$A950="","",'01_Warehouse_Ledger'!$A950)</f>
        <v/>
      </c>
    </row>
    <row r="951" spans="9:12">
      <c r="I951" t="str">
        <f>IF(OR($A951="",$B951=""),"",IF(COUNTIFS($A$2:$A951,$A951,$B$2:$B951,$B951)=1,1,0))</f>
        <v/>
      </c>
      <c r="J951" t="str">
        <f t="shared" si="14"/>
        <v/>
      </c>
      <c r="L951" t="str">
        <f>IF('01_Warehouse_Ledger'!$A951="","",'01_Warehouse_Ledger'!$A951)</f>
        <v/>
      </c>
    </row>
    <row r="952" spans="9:12">
      <c r="I952" t="str">
        <f>IF(OR($A952="",$B952=""),"",IF(COUNTIFS($A$2:$A952,$A952,$B$2:$B952,$B952)=1,1,0))</f>
        <v/>
      </c>
      <c r="J952" t="str">
        <f t="shared" si="14"/>
        <v/>
      </c>
      <c r="L952" t="str">
        <f>IF('01_Warehouse_Ledger'!$A952="","",'01_Warehouse_Ledger'!$A952)</f>
        <v/>
      </c>
    </row>
    <row r="953" spans="9:12">
      <c r="I953" t="str">
        <f>IF(OR($A953="",$B953=""),"",IF(COUNTIFS($A$2:$A953,$A953,$B$2:$B953,$B953)=1,1,0))</f>
        <v/>
      </c>
      <c r="J953" t="str">
        <f t="shared" si="14"/>
        <v/>
      </c>
      <c r="L953" t="str">
        <f>IF('01_Warehouse_Ledger'!$A953="","",'01_Warehouse_Ledger'!$A953)</f>
        <v/>
      </c>
    </row>
    <row r="954" spans="9:12">
      <c r="I954" t="str">
        <f>IF(OR($A954="",$B954=""),"",IF(COUNTIFS($A$2:$A954,$A954,$B$2:$B954,$B954)=1,1,0))</f>
        <v/>
      </c>
      <c r="J954" t="str">
        <f t="shared" si="14"/>
        <v/>
      </c>
      <c r="L954" t="str">
        <f>IF('01_Warehouse_Ledger'!$A954="","",'01_Warehouse_Ledger'!$A954)</f>
        <v/>
      </c>
    </row>
    <row r="955" spans="9:12">
      <c r="I955" t="str">
        <f>IF(OR($A955="",$B955=""),"",IF(COUNTIFS($A$2:$A955,$A955,$B$2:$B955,$B955)=1,1,0))</f>
        <v/>
      </c>
      <c r="J955" t="str">
        <f t="shared" si="14"/>
        <v/>
      </c>
      <c r="L955" t="str">
        <f>IF('01_Warehouse_Ledger'!$A955="","",'01_Warehouse_Ledger'!$A955)</f>
        <v/>
      </c>
    </row>
    <row r="956" spans="9:12">
      <c r="I956" t="str">
        <f>IF(OR($A956="",$B956=""),"",IF(COUNTIFS($A$2:$A956,$A956,$B$2:$B956,$B956)=1,1,0))</f>
        <v/>
      </c>
      <c r="J956" t="str">
        <f t="shared" si="14"/>
        <v/>
      </c>
      <c r="L956" t="str">
        <f>IF('01_Warehouse_Ledger'!$A956="","",'01_Warehouse_Ledger'!$A956)</f>
        <v/>
      </c>
    </row>
    <row r="957" spans="9:12">
      <c r="I957" t="str">
        <f>IF(OR($A957="",$B957=""),"",IF(COUNTIFS($A$2:$A957,$A957,$B$2:$B957,$B957)=1,1,0))</f>
        <v/>
      </c>
      <c r="J957" t="str">
        <f t="shared" si="14"/>
        <v/>
      </c>
      <c r="L957" t="str">
        <f>IF('01_Warehouse_Ledger'!$A957="","",'01_Warehouse_Ledger'!$A957)</f>
        <v/>
      </c>
    </row>
    <row r="958" spans="9:12">
      <c r="I958" t="str">
        <f>IF(OR($A958="",$B958=""),"",IF(COUNTIFS($A$2:$A958,$A958,$B$2:$B958,$B958)=1,1,0))</f>
        <v/>
      </c>
      <c r="J958" t="str">
        <f t="shared" si="14"/>
        <v/>
      </c>
      <c r="L958" t="str">
        <f>IF('01_Warehouse_Ledger'!$A958="","",'01_Warehouse_Ledger'!$A958)</f>
        <v/>
      </c>
    </row>
    <row r="959" spans="9:12">
      <c r="I959" t="str">
        <f>IF(OR($A959="",$B959=""),"",IF(COUNTIFS($A$2:$A959,$A959,$B$2:$B959,$B959)=1,1,0))</f>
        <v/>
      </c>
      <c r="J959" t="str">
        <f t="shared" si="14"/>
        <v/>
      </c>
      <c r="L959" t="str">
        <f>IF('01_Warehouse_Ledger'!$A959="","",'01_Warehouse_Ledger'!$A959)</f>
        <v/>
      </c>
    </row>
    <row r="960" spans="9:12">
      <c r="I960" t="str">
        <f>IF(OR($A960="",$B960=""),"",IF(COUNTIFS($A$2:$A960,$A960,$B$2:$B960,$B960)=1,1,0))</f>
        <v/>
      </c>
      <c r="J960" t="str">
        <f t="shared" si="14"/>
        <v/>
      </c>
      <c r="L960" t="str">
        <f>IF('01_Warehouse_Ledger'!$A960="","",'01_Warehouse_Ledger'!$A960)</f>
        <v/>
      </c>
    </row>
    <row r="961" spans="9:12">
      <c r="I961" t="str">
        <f>IF(OR($A961="",$B961=""),"",IF(COUNTIFS($A$2:$A961,$A961,$B$2:$B961,$B961)=1,1,0))</f>
        <v/>
      </c>
      <c r="J961" t="str">
        <f t="shared" si="14"/>
        <v/>
      </c>
      <c r="L961" t="str">
        <f>IF('01_Warehouse_Ledger'!$A961="","",'01_Warehouse_Ledger'!$A961)</f>
        <v/>
      </c>
    </row>
    <row r="962" spans="9:12">
      <c r="I962" t="str">
        <f>IF(OR($A962="",$B962=""),"",IF(COUNTIFS($A$2:$A962,$A962,$B$2:$B962,$B962)=1,1,0))</f>
        <v/>
      </c>
      <c r="J962" t="str">
        <f t="shared" ref="J962:J1025" si="15">IF($A962="","",ROW())</f>
        <v/>
      </c>
      <c r="L962" t="str">
        <f>IF('01_Warehouse_Ledger'!$A962="","",'01_Warehouse_Ledger'!$A962)</f>
        <v/>
      </c>
    </row>
    <row r="963" spans="9:12">
      <c r="I963" t="str">
        <f>IF(OR($A963="",$B963=""),"",IF(COUNTIFS($A$2:$A963,$A963,$B$2:$B963,$B963)=1,1,0))</f>
        <v/>
      </c>
      <c r="J963" t="str">
        <f t="shared" si="15"/>
        <v/>
      </c>
      <c r="L963" t="str">
        <f>IF('01_Warehouse_Ledger'!$A963="","",'01_Warehouse_Ledger'!$A963)</f>
        <v/>
      </c>
    </row>
    <row r="964" spans="9:12">
      <c r="I964" t="str">
        <f>IF(OR($A964="",$B964=""),"",IF(COUNTIFS($A$2:$A964,$A964,$B$2:$B964,$B964)=1,1,0))</f>
        <v/>
      </c>
      <c r="J964" t="str">
        <f t="shared" si="15"/>
        <v/>
      </c>
      <c r="L964" t="str">
        <f>IF('01_Warehouse_Ledger'!$A964="","",'01_Warehouse_Ledger'!$A964)</f>
        <v/>
      </c>
    </row>
    <row r="965" spans="9:12">
      <c r="I965" t="str">
        <f>IF(OR($A965="",$B965=""),"",IF(COUNTIFS($A$2:$A965,$A965,$B$2:$B965,$B965)=1,1,0))</f>
        <v/>
      </c>
      <c r="J965" t="str">
        <f t="shared" si="15"/>
        <v/>
      </c>
      <c r="L965" t="str">
        <f>IF('01_Warehouse_Ledger'!$A965="","",'01_Warehouse_Ledger'!$A965)</f>
        <v/>
      </c>
    </row>
    <row r="966" spans="9:12">
      <c r="I966" t="str">
        <f>IF(OR($A966="",$B966=""),"",IF(COUNTIFS($A$2:$A966,$A966,$B$2:$B966,$B966)=1,1,0))</f>
        <v/>
      </c>
      <c r="J966" t="str">
        <f t="shared" si="15"/>
        <v/>
      </c>
      <c r="L966" t="str">
        <f>IF('01_Warehouse_Ledger'!$A966="","",'01_Warehouse_Ledger'!$A966)</f>
        <v/>
      </c>
    </row>
    <row r="967" spans="9:12">
      <c r="I967" t="str">
        <f>IF(OR($A967="",$B967=""),"",IF(COUNTIFS($A$2:$A967,$A967,$B$2:$B967,$B967)=1,1,0))</f>
        <v/>
      </c>
      <c r="J967" t="str">
        <f t="shared" si="15"/>
        <v/>
      </c>
      <c r="L967" t="str">
        <f>IF('01_Warehouse_Ledger'!$A967="","",'01_Warehouse_Ledger'!$A967)</f>
        <v/>
      </c>
    </row>
    <row r="968" spans="9:12">
      <c r="I968" t="str">
        <f>IF(OR($A968="",$B968=""),"",IF(COUNTIFS($A$2:$A968,$A968,$B$2:$B968,$B968)=1,1,0))</f>
        <v/>
      </c>
      <c r="J968" t="str">
        <f t="shared" si="15"/>
        <v/>
      </c>
      <c r="L968" t="str">
        <f>IF('01_Warehouse_Ledger'!$A968="","",'01_Warehouse_Ledger'!$A968)</f>
        <v/>
      </c>
    </row>
    <row r="969" spans="9:12">
      <c r="I969" t="str">
        <f>IF(OR($A969="",$B969=""),"",IF(COUNTIFS($A$2:$A969,$A969,$B$2:$B969,$B969)=1,1,0))</f>
        <v/>
      </c>
      <c r="J969" t="str">
        <f t="shared" si="15"/>
        <v/>
      </c>
      <c r="L969" t="str">
        <f>IF('01_Warehouse_Ledger'!$A969="","",'01_Warehouse_Ledger'!$A969)</f>
        <v/>
      </c>
    </row>
    <row r="970" spans="9:12">
      <c r="I970" t="str">
        <f>IF(OR($A970="",$B970=""),"",IF(COUNTIFS($A$2:$A970,$A970,$B$2:$B970,$B970)=1,1,0))</f>
        <v/>
      </c>
      <c r="J970" t="str">
        <f t="shared" si="15"/>
        <v/>
      </c>
      <c r="L970" t="str">
        <f>IF('01_Warehouse_Ledger'!$A970="","",'01_Warehouse_Ledger'!$A970)</f>
        <v/>
      </c>
    </row>
    <row r="971" spans="9:12">
      <c r="I971" t="str">
        <f>IF(OR($A971="",$B971=""),"",IF(COUNTIFS($A$2:$A971,$A971,$B$2:$B971,$B971)=1,1,0))</f>
        <v/>
      </c>
      <c r="J971" t="str">
        <f t="shared" si="15"/>
        <v/>
      </c>
      <c r="L971" t="str">
        <f>IF('01_Warehouse_Ledger'!$A971="","",'01_Warehouse_Ledger'!$A971)</f>
        <v/>
      </c>
    </row>
    <row r="972" spans="9:12">
      <c r="I972" t="str">
        <f>IF(OR($A972="",$B972=""),"",IF(COUNTIFS($A$2:$A972,$A972,$B$2:$B972,$B972)=1,1,0))</f>
        <v/>
      </c>
      <c r="J972" t="str">
        <f t="shared" si="15"/>
        <v/>
      </c>
      <c r="L972" t="str">
        <f>IF('01_Warehouse_Ledger'!$A972="","",'01_Warehouse_Ledger'!$A972)</f>
        <v/>
      </c>
    </row>
    <row r="973" spans="9:12">
      <c r="I973" t="str">
        <f>IF(OR($A973="",$B973=""),"",IF(COUNTIFS($A$2:$A973,$A973,$B$2:$B973,$B973)=1,1,0))</f>
        <v/>
      </c>
      <c r="J973" t="str">
        <f t="shared" si="15"/>
        <v/>
      </c>
      <c r="L973" t="str">
        <f>IF('01_Warehouse_Ledger'!$A973="","",'01_Warehouse_Ledger'!$A973)</f>
        <v/>
      </c>
    </row>
    <row r="974" spans="9:12">
      <c r="I974" t="str">
        <f>IF(OR($A974="",$B974=""),"",IF(COUNTIFS($A$2:$A974,$A974,$B$2:$B974,$B974)=1,1,0))</f>
        <v/>
      </c>
      <c r="J974" t="str">
        <f t="shared" si="15"/>
        <v/>
      </c>
      <c r="L974" t="str">
        <f>IF('01_Warehouse_Ledger'!$A974="","",'01_Warehouse_Ledger'!$A974)</f>
        <v/>
      </c>
    </row>
    <row r="975" spans="9:12">
      <c r="I975" t="str">
        <f>IF(OR($A975="",$B975=""),"",IF(COUNTIFS($A$2:$A975,$A975,$B$2:$B975,$B975)=1,1,0))</f>
        <v/>
      </c>
      <c r="J975" t="str">
        <f t="shared" si="15"/>
        <v/>
      </c>
      <c r="L975" t="str">
        <f>IF('01_Warehouse_Ledger'!$A975="","",'01_Warehouse_Ledger'!$A975)</f>
        <v/>
      </c>
    </row>
    <row r="976" spans="9:12">
      <c r="I976" t="str">
        <f>IF(OR($A976="",$B976=""),"",IF(COUNTIFS($A$2:$A976,$A976,$B$2:$B976,$B976)=1,1,0))</f>
        <v/>
      </c>
      <c r="J976" t="str">
        <f t="shared" si="15"/>
        <v/>
      </c>
      <c r="L976" t="str">
        <f>IF('01_Warehouse_Ledger'!$A976="","",'01_Warehouse_Ledger'!$A976)</f>
        <v/>
      </c>
    </row>
    <row r="977" spans="9:12">
      <c r="I977" t="str">
        <f>IF(OR($A977="",$B977=""),"",IF(COUNTIFS($A$2:$A977,$A977,$B$2:$B977,$B977)=1,1,0))</f>
        <v/>
      </c>
      <c r="J977" t="str">
        <f t="shared" si="15"/>
        <v/>
      </c>
      <c r="L977" t="str">
        <f>IF('01_Warehouse_Ledger'!$A977="","",'01_Warehouse_Ledger'!$A977)</f>
        <v/>
      </c>
    </row>
    <row r="978" spans="9:12">
      <c r="I978" t="str">
        <f>IF(OR($A978="",$B978=""),"",IF(COUNTIFS($A$2:$A978,$A978,$B$2:$B978,$B978)=1,1,0))</f>
        <v/>
      </c>
      <c r="J978" t="str">
        <f t="shared" si="15"/>
        <v/>
      </c>
      <c r="L978" t="str">
        <f>IF('01_Warehouse_Ledger'!$A978="","",'01_Warehouse_Ledger'!$A978)</f>
        <v/>
      </c>
    </row>
    <row r="979" spans="9:12">
      <c r="I979" t="str">
        <f>IF(OR($A979="",$B979=""),"",IF(COUNTIFS($A$2:$A979,$A979,$B$2:$B979,$B979)=1,1,0))</f>
        <v/>
      </c>
      <c r="J979" t="str">
        <f t="shared" si="15"/>
        <v/>
      </c>
      <c r="L979" t="str">
        <f>IF('01_Warehouse_Ledger'!$A979="","",'01_Warehouse_Ledger'!$A979)</f>
        <v/>
      </c>
    </row>
    <row r="980" spans="9:12">
      <c r="I980" t="str">
        <f>IF(OR($A980="",$B980=""),"",IF(COUNTIFS($A$2:$A980,$A980,$B$2:$B980,$B980)=1,1,0))</f>
        <v/>
      </c>
      <c r="J980" t="str">
        <f t="shared" si="15"/>
        <v/>
      </c>
      <c r="L980" t="str">
        <f>IF('01_Warehouse_Ledger'!$A980="","",'01_Warehouse_Ledger'!$A980)</f>
        <v/>
      </c>
    </row>
    <row r="981" spans="9:12">
      <c r="I981" t="str">
        <f>IF(OR($A981="",$B981=""),"",IF(COUNTIFS($A$2:$A981,$A981,$B$2:$B981,$B981)=1,1,0))</f>
        <v/>
      </c>
      <c r="J981" t="str">
        <f t="shared" si="15"/>
        <v/>
      </c>
      <c r="L981" t="str">
        <f>IF('01_Warehouse_Ledger'!$A981="","",'01_Warehouse_Ledger'!$A981)</f>
        <v/>
      </c>
    </row>
    <row r="982" spans="9:12">
      <c r="I982" t="str">
        <f>IF(OR($A982="",$B982=""),"",IF(COUNTIFS($A$2:$A982,$A982,$B$2:$B982,$B982)=1,1,0))</f>
        <v/>
      </c>
      <c r="J982" t="str">
        <f t="shared" si="15"/>
        <v/>
      </c>
      <c r="L982" t="str">
        <f>IF('01_Warehouse_Ledger'!$A982="","",'01_Warehouse_Ledger'!$A982)</f>
        <v/>
      </c>
    </row>
    <row r="983" spans="9:12">
      <c r="I983" t="str">
        <f>IF(OR($A983="",$B983=""),"",IF(COUNTIFS($A$2:$A983,$A983,$B$2:$B983,$B983)=1,1,0))</f>
        <v/>
      </c>
      <c r="J983" t="str">
        <f t="shared" si="15"/>
        <v/>
      </c>
      <c r="L983" t="str">
        <f>IF('01_Warehouse_Ledger'!$A983="","",'01_Warehouse_Ledger'!$A983)</f>
        <v/>
      </c>
    </row>
    <row r="984" spans="9:12">
      <c r="I984" t="str">
        <f>IF(OR($A984="",$B984=""),"",IF(COUNTIFS($A$2:$A984,$A984,$B$2:$B984,$B984)=1,1,0))</f>
        <v/>
      </c>
      <c r="J984" t="str">
        <f t="shared" si="15"/>
        <v/>
      </c>
      <c r="L984" t="str">
        <f>IF('01_Warehouse_Ledger'!$A984="","",'01_Warehouse_Ledger'!$A984)</f>
        <v/>
      </c>
    </row>
    <row r="985" spans="9:12">
      <c r="I985" t="str">
        <f>IF(OR($A985="",$B985=""),"",IF(COUNTIFS($A$2:$A985,$A985,$B$2:$B985,$B985)=1,1,0))</f>
        <v/>
      </c>
      <c r="J985" t="str">
        <f t="shared" si="15"/>
        <v/>
      </c>
      <c r="L985" t="str">
        <f>IF('01_Warehouse_Ledger'!$A985="","",'01_Warehouse_Ledger'!$A985)</f>
        <v/>
      </c>
    </row>
    <row r="986" spans="9:12">
      <c r="I986" t="str">
        <f>IF(OR($A986="",$B986=""),"",IF(COUNTIFS($A$2:$A986,$A986,$B$2:$B986,$B986)=1,1,0))</f>
        <v/>
      </c>
      <c r="J986" t="str">
        <f t="shared" si="15"/>
        <v/>
      </c>
      <c r="L986" t="str">
        <f>IF('01_Warehouse_Ledger'!$A986="","",'01_Warehouse_Ledger'!$A986)</f>
        <v/>
      </c>
    </row>
    <row r="987" spans="9:12">
      <c r="I987" t="str">
        <f>IF(OR($A987="",$B987=""),"",IF(COUNTIFS($A$2:$A987,$A987,$B$2:$B987,$B987)=1,1,0))</f>
        <v/>
      </c>
      <c r="J987" t="str">
        <f t="shared" si="15"/>
        <v/>
      </c>
      <c r="L987" t="str">
        <f>IF('01_Warehouse_Ledger'!$A987="","",'01_Warehouse_Ledger'!$A987)</f>
        <v/>
      </c>
    </row>
    <row r="988" spans="9:12">
      <c r="I988" t="str">
        <f>IF(OR($A988="",$B988=""),"",IF(COUNTIFS($A$2:$A988,$A988,$B$2:$B988,$B988)=1,1,0))</f>
        <v/>
      </c>
      <c r="J988" t="str">
        <f t="shared" si="15"/>
        <v/>
      </c>
      <c r="L988" t="str">
        <f>IF('01_Warehouse_Ledger'!$A988="","",'01_Warehouse_Ledger'!$A988)</f>
        <v/>
      </c>
    </row>
    <row r="989" spans="9:12">
      <c r="I989" t="str">
        <f>IF(OR($A989="",$B989=""),"",IF(COUNTIFS($A$2:$A989,$A989,$B$2:$B989,$B989)=1,1,0))</f>
        <v/>
      </c>
      <c r="J989" t="str">
        <f t="shared" si="15"/>
        <v/>
      </c>
      <c r="L989" t="str">
        <f>IF('01_Warehouse_Ledger'!$A989="","",'01_Warehouse_Ledger'!$A989)</f>
        <v/>
      </c>
    </row>
    <row r="990" spans="9:12">
      <c r="I990" t="str">
        <f>IF(OR($A990="",$B990=""),"",IF(COUNTIFS($A$2:$A990,$A990,$B$2:$B990,$B990)=1,1,0))</f>
        <v/>
      </c>
      <c r="J990" t="str">
        <f t="shared" si="15"/>
        <v/>
      </c>
      <c r="L990" t="str">
        <f>IF('01_Warehouse_Ledger'!$A990="","",'01_Warehouse_Ledger'!$A990)</f>
        <v/>
      </c>
    </row>
    <row r="991" spans="9:12">
      <c r="I991" t="str">
        <f>IF(OR($A991="",$B991=""),"",IF(COUNTIFS($A$2:$A991,$A991,$B$2:$B991,$B991)=1,1,0))</f>
        <v/>
      </c>
      <c r="J991" t="str">
        <f t="shared" si="15"/>
        <v/>
      </c>
      <c r="L991" t="str">
        <f>IF('01_Warehouse_Ledger'!$A991="","",'01_Warehouse_Ledger'!$A991)</f>
        <v/>
      </c>
    </row>
    <row r="992" spans="9:12">
      <c r="I992" t="str">
        <f>IF(OR($A992="",$B992=""),"",IF(COUNTIFS($A$2:$A992,$A992,$B$2:$B992,$B992)=1,1,0))</f>
        <v/>
      </c>
      <c r="J992" t="str">
        <f t="shared" si="15"/>
        <v/>
      </c>
      <c r="L992" t="str">
        <f>IF('01_Warehouse_Ledger'!$A992="","",'01_Warehouse_Ledger'!$A992)</f>
        <v/>
      </c>
    </row>
    <row r="993" spans="9:12">
      <c r="I993" t="str">
        <f>IF(OR($A993="",$B993=""),"",IF(COUNTIFS($A$2:$A993,$A993,$B$2:$B993,$B993)=1,1,0))</f>
        <v/>
      </c>
      <c r="J993" t="str">
        <f t="shared" si="15"/>
        <v/>
      </c>
      <c r="L993" t="str">
        <f>IF('01_Warehouse_Ledger'!$A993="","",'01_Warehouse_Ledger'!$A993)</f>
        <v/>
      </c>
    </row>
    <row r="994" spans="9:12">
      <c r="I994" t="str">
        <f>IF(OR($A994="",$B994=""),"",IF(COUNTIFS($A$2:$A994,$A994,$B$2:$B994,$B994)=1,1,0))</f>
        <v/>
      </c>
      <c r="J994" t="str">
        <f t="shared" si="15"/>
        <v/>
      </c>
      <c r="L994" t="str">
        <f>IF('01_Warehouse_Ledger'!$A994="","",'01_Warehouse_Ledger'!$A994)</f>
        <v/>
      </c>
    </row>
    <row r="995" spans="9:12">
      <c r="I995" t="str">
        <f>IF(OR($A995="",$B995=""),"",IF(COUNTIFS($A$2:$A995,$A995,$B$2:$B995,$B995)=1,1,0))</f>
        <v/>
      </c>
      <c r="J995" t="str">
        <f t="shared" si="15"/>
        <v/>
      </c>
      <c r="L995" t="str">
        <f>IF('01_Warehouse_Ledger'!$A995="","",'01_Warehouse_Ledger'!$A995)</f>
        <v/>
      </c>
    </row>
    <row r="996" spans="9:12">
      <c r="I996" t="str">
        <f>IF(OR($A996="",$B996=""),"",IF(COUNTIFS($A$2:$A996,$A996,$B$2:$B996,$B996)=1,1,0))</f>
        <v/>
      </c>
      <c r="J996" t="str">
        <f t="shared" si="15"/>
        <v/>
      </c>
      <c r="L996" t="str">
        <f>IF('01_Warehouse_Ledger'!$A996="","",'01_Warehouse_Ledger'!$A996)</f>
        <v/>
      </c>
    </row>
    <row r="997" spans="9:12">
      <c r="I997" t="str">
        <f>IF(OR($A997="",$B997=""),"",IF(COUNTIFS($A$2:$A997,$A997,$B$2:$B997,$B997)=1,1,0))</f>
        <v/>
      </c>
      <c r="J997" t="str">
        <f t="shared" si="15"/>
        <v/>
      </c>
      <c r="L997" t="str">
        <f>IF('01_Warehouse_Ledger'!$A997="","",'01_Warehouse_Ledger'!$A997)</f>
        <v/>
      </c>
    </row>
    <row r="998" spans="9:12">
      <c r="I998" t="str">
        <f>IF(OR($A998="",$B998=""),"",IF(COUNTIFS($A$2:$A998,$A998,$B$2:$B998,$B998)=1,1,0))</f>
        <v/>
      </c>
      <c r="J998" t="str">
        <f t="shared" si="15"/>
        <v/>
      </c>
      <c r="L998" t="str">
        <f>IF('01_Warehouse_Ledger'!$A998="","",'01_Warehouse_Ledger'!$A998)</f>
        <v/>
      </c>
    </row>
    <row r="999" spans="9:12">
      <c r="I999" t="str">
        <f>IF(OR($A999="",$B999=""),"",IF(COUNTIFS($A$2:$A999,$A999,$B$2:$B999,$B999)=1,1,0))</f>
        <v/>
      </c>
      <c r="J999" t="str">
        <f t="shared" si="15"/>
        <v/>
      </c>
      <c r="L999" t="str">
        <f>IF('01_Warehouse_Ledger'!$A999="","",'01_Warehouse_Ledger'!$A999)</f>
        <v/>
      </c>
    </row>
    <row r="1000" spans="9:12">
      <c r="I1000" t="str">
        <f>IF(OR($A1000="",$B1000=""),"",IF(COUNTIFS($A$2:$A1000,$A1000,$B$2:$B1000,$B1000)=1,1,0))</f>
        <v/>
      </c>
      <c r="J1000" t="str">
        <f t="shared" si="15"/>
        <v/>
      </c>
      <c r="L1000" t="str">
        <f>IF('01_Warehouse_Ledger'!$A1000="","",'01_Warehouse_Ledger'!$A1000)</f>
        <v/>
      </c>
    </row>
    <row r="1001" spans="9:12">
      <c r="I1001" t="str">
        <f>IF(OR($A1001="",$B1001=""),"",IF(COUNTIFS($A$2:$A1001,$A1001,$B$2:$B1001,$B1001)=1,1,0))</f>
        <v/>
      </c>
      <c r="J1001" t="str">
        <f t="shared" si="15"/>
        <v/>
      </c>
      <c r="L1001" t="str">
        <f>IF('01_Warehouse_Ledger'!$A1001="","",'01_Warehouse_Ledger'!$A1001)</f>
        <v/>
      </c>
    </row>
    <row r="1002" spans="9:12">
      <c r="I1002" t="str">
        <f>IF(OR($A1002="",$B1002=""),"",IF(COUNTIFS($A$2:$A1002,$A1002,$B$2:$B1002,$B1002)=1,1,0))</f>
        <v/>
      </c>
      <c r="J1002" t="str">
        <f t="shared" si="15"/>
        <v/>
      </c>
      <c r="L1002" t="str">
        <f>IF('01_Warehouse_Ledger'!$A1002="","",'01_Warehouse_Ledger'!$A1002)</f>
        <v/>
      </c>
    </row>
    <row r="1003" spans="9:12">
      <c r="I1003" t="str">
        <f>IF(OR($A1003="",$B1003=""),"",IF(COUNTIFS($A$2:$A1003,$A1003,$B$2:$B1003,$B1003)=1,1,0))</f>
        <v/>
      </c>
      <c r="J1003" t="str">
        <f t="shared" si="15"/>
        <v/>
      </c>
      <c r="L1003" t="str">
        <f>IF('01_Warehouse_Ledger'!$A1003="","",'01_Warehouse_Ledger'!$A1003)</f>
        <v/>
      </c>
    </row>
    <row r="1004" spans="9:12">
      <c r="I1004" t="str">
        <f>IF(OR($A1004="",$B1004=""),"",IF(COUNTIFS($A$2:$A1004,$A1004,$B$2:$B1004,$B1004)=1,1,0))</f>
        <v/>
      </c>
      <c r="J1004" t="str">
        <f t="shared" si="15"/>
        <v/>
      </c>
      <c r="L1004" t="str">
        <f>IF('01_Warehouse_Ledger'!$A1004="","",'01_Warehouse_Ledger'!$A1004)</f>
        <v/>
      </c>
    </row>
    <row r="1005" spans="9:12">
      <c r="I1005" t="str">
        <f>IF(OR($A1005="",$B1005=""),"",IF(COUNTIFS($A$2:$A1005,$A1005,$B$2:$B1005,$B1005)=1,1,0))</f>
        <v/>
      </c>
      <c r="J1005" t="str">
        <f t="shared" si="15"/>
        <v/>
      </c>
      <c r="L1005" t="str">
        <f>IF('01_Warehouse_Ledger'!$A1005="","",'01_Warehouse_Ledger'!$A1005)</f>
        <v/>
      </c>
    </row>
    <row r="1006" spans="9:12">
      <c r="I1006" t="str">
        <f>IF(OR($A1006="",$B1006=""),"",IF(COUNTIFS($A$2:$A1006,$A1006,$B$2:$B1006,$B1006)=1,1,0))</f>
        <v/>
      </c>
      <c r="J1006" t="str">
        <f t="shared" si="15"/>
        <v/>
      </c>
      <c r="L1006" t="str">
        <f>IF('01_Warehouse_Ledger'!$A1006="","",'01_Warehouse_Ledger'!$A1006)</f>
        <v/>
      </c>
    </row>
    <row r="1007" spans="9:12">
      <c r="I1007" t="str">
        <f>IF(OR($A1007="",$B1007=""),"",IF(COUNTIFS($A$2:$A1007,$A1007,$B$2:$B1007,$B1007)=1,1,0))</f>
        <v/>
      </c>
      <c r="J1007" t="str">
        <f t="shared" si="15"/>
        <v/>
      </c>
      <c r="L1007" t="str">
        <f>IF('01_Warehouse_Ledger'!$A1007="","",'01_Warehouse_Ledger'!$A1007)</f>
        <v/>
      </c>
    </row>
    <row r="1008" spans="9:12">
      <c r="I1008" t="str">
        <f>IF(OR($A1008="",$B1008=""),"",IF(COUNTIFS($A$2:$A1008,$A1008,$B$2:$B1008,$B1008)=1,1,0))</f>
        <v/>
      </c>
      <c r="J1008" t="str">
        <f t="shared" si="15"/>
        <v/>
      </c>
      <c r="L1008" t="str">
        <f>IF('01_Warehouse_Ledger'!$A1008="","",'01_Warehouse_Ledger'!$A1008)</f>
        <v/>
      </c>
    </row>
    <row r="1009" spans="9:12">
      <c r="I1009" t="str">
        <f>IF(OR($A1009="",$B1009=""),"",IF(COUNTIFS($A$2:$A1009,$A1009,$B$2:$B1009,$B1009)=1,1,0))</f>
        <v/>
      </c>
      <c r="J1009" t="str">
        <f t="shared" si="15"/>
        <v/>
      </c>
      <c r="L1009" t="str">
        <f>IF('01_Warehouse_Ledger'!$A1009="","",'01_Warehouse_Ledger'!$A1009)</f>
        <v/>
      </c>
    </row>
    <row r="1010" spans="9:12">
      <c r="I1010" t="str">
        <f>IF(OR($A1010="",$B1010=""),"",IF(COUNTIFS($A$2:$A1010,$A1010,$B$2:$B1010,$B1010)=1,1,0))</f>
        <v/>
      </c>
      <c r="J1010" t="str">
        <f t="shared" si="15"/>
        <v/>
      </c>
      <c r="L1010" t="str">
        <f>IF('01_Warehouse_Ledger'!$A1010="","",'01_Warehouse_Ledger'!$A1010)</f>
        <v/>
      </c>
    </row>
    <row r="1011" spans="9:12">
      <c r="I1011" t="str">
        <f>IF(OR($A1011="",$B1011=""),"",IF(COUNTIFS($A$2:$A1011,$A1011,$B$2:$B1011,$B1011)=1,1,0))</f>
        <v/>
      </c>
      <c r="J1011" t="str">
        <f t="shared" si="15"/>
        <v/>
      </c>
      <c r="L1011" t="str">
        <f>IF('01_Warehouse_Ledger'!$A1011="","",'01_Warehouse_Ledger'!$A1011)</f>
        <v/>
      </c>
    </row>
    <row r="1012" spans="9:12">
      <c r="I1012" t="str">
        <f>IF(OR($A1012="",$B1012=""),"",IF(COUNTIFS($A$2:$A1012,$A1012,$B$2:$B1012,$B1012)=1,1,0))</f>
        <v/>
      </c>
      <c r="J1012" t="str">
        <f t="shared" si="15"/>
        <v/>
      </c>
      <c r="L1012" t="str">
        <f>IF('01_Warehouse_Ledger'!$A1012="","",'01_Warehouse_Ledger'!$A1012)</f>
        <v/>
      </c>
    </row>
    <row r="1013" spans="9:12">
      <c r="I1013" t="str">
        <f>IF(OR($A1013="",$B1013=""),"",IF(COUNTIFS($A$2:$A1013,$A1013,$B$2:$B1013,$B1013)=1,1,0))</f>
        <v/>
      </c>
      <c r="J1013" t="str">
        <f t="shared" si="15"/>
        <v/>
      </c>
      <c r="L1013" t="str">
        <f>IF('01_Warehouse_Ledger'!$A1013="","",'01_Warehouse_Ledger'!$A1013)</f>
        <v/>
      </c>
    </row>
    <row r="1014" spans="9:12">
      <c r="I1014" t="str">
        <f>IF(OR($A1014="",$B1014=""),"",IF(COUNTIFS($A$2:$A1014,$A1014,$B$2:$B1014,$B1014)=1,1,0))</f>
        <v/>
      </c>
      <c r="J1014" t="str">
        <f t="shared" si="15"/>
        <v/>
      </c>
      <c r="L1014" t="str">
        <f>IF('01_Warehouse_Ledger'!$A1014="","",'01_Warehouse_Ledger'!$A1014)</f>
        <v/>
      </c>
    </row>
    <row r="1015" spans="9:12">
      <c r="I1015" t="str">
        <f>IF(OR($A1015="",$B1015=""),"",IF(COUNTIFS($A$2:$A1015,$A1015,$B$2:$B1015,$B1015)=1,1,0))</f>
        <v/>
      </c>
      <c r="J1015" t="str">
        <f t="shared" si="15"/>
        <v/>
      </c>
      <c r="L1015" t="str">
        <f>IF('01_Warehouse_Ledger'!$A1015="","",'01_Warehouse_Ledger'!$A1015)</f>
        <v/>
      </c>
    </row>
    <row r="1016" spans="9:12">
      <c r="I1016" t="str">
        <f>IF(OR($A1016="",$B1016=""),"",IF(COUNTIFS($A$2:$A1016,$A1016,$B$2:$B1016,$B1016)=1,1,0))</f>
        <v/>
      </c>
      <c r="J1016" t="str">
        <f t="shared" si="15"/>
        <v/>
      </c>
      <c r="L1016" t="str">
        <f>IF('01_Warehouse_Ledger'!$A1016="","",'01_Warehouse_Ledger'!$A1016)</f>
        <v/>
      </c>
    </row>
    <row r="1017" spans="9:12">
      <c r="I1017" t="str">
        <f>IF(OR($A1017="",$B1017=""),"",IF(COUNTIFS($A$2:$A1017,$A1017,$B$2:$B1017,$B1017)=1,1,0))</f>
        <v/>
      </c>
      <c r="J1017" t="str">
        <f t="shared" si="15"/>
        <v/>
      </c>
      <c r="L1017" t="str">
        <f>IF('01_Warehouse_Ledger'!$A1017="","",'01_Warehouse_Ledger'!$A1017)</f>
        <v/>
      </c>
    </row>
    <row r="1018" spans="9:12">
      <c r="I1018" t="str">
        <f>IF(OR($A1018="",$B1018=""),"",IF(COUNTIFS($A$2:$A1018,$A1018,$B$2:$B1018,$B1018)=1,1,0))</f>
        <v/>
      </c>
      <c r="J1018" t="str">
        <f t="shared" si="15"/>
        <v/>
      </c>
      <c r="L1018" t="str">
        <f>IF('01_Warehouse_Ledger'!$A1018="","",'01_Warehouse_Ledger'!$A1018)</f>
        <v/>
      </c>
    </row>
    <row r="1019" spans="9:12">
      <c r="I1019" t="str">
        <f>IF(OR($A1019="",$B1019=""),"",IF(COUNTIFS($A$2:$A1019,$A1019,$B$2:$B1019,$B1019)=1,1,0))</f>
        <v/>
      </c>
      <c r="J1019" t="str">
        <f t="shared" si="15"/>
        <v/>
      </c>
      <c r="L1019" t="str">
        <f>IF('01_Warehouse_Ledger'!$A1019="","",'01_Warehouse_Ledger'!$A1019)</f>
        <v/>
      </c>
    </row>
    <row r="1020" spans="9:12">
      <c r="I1020" t="str">
        <f>IF(OR($A1020="",$B1020=""),"",IF(COUNTIFS($A$2:$A1020,$A1020,$B$2:$B1020,$B1020)=1,1,0))</f>
        <v/>
      </c>
      <c r="J1020" t="str">
        <f t="shared" si="15"/>
        <v/>
      </c>
      <c r="L1020" t="str">
        <f>IF('01_Warehouse_Ledger'!$A1020="","",'01_Warehouse_Ledger'!$A1020)</f>
        <v/>
      </c>
    </row>
    <row r="1021" spans="9:12">
      <c r="I1021" t="str">
        <f>IF(OR($A1021="",$B1021=""),"",IF(COUNTIFS($A$2:$A1021,$A1021,$B$2:$B1021,$B1021)=1,1,0))</f>
        <v/>
      </c>
      <c r="J1021" t="str">
        <f t="shared" si="15"/>
        <v/>
      </c>
      <c r="L1021" t="str">
        <f>IF('01_Warehouse_Ledger'!$A1021="","",'01_Warehouse_Ledger'!$A1021)</f>
        <v/>
      </c>
    </row>
    <row r="1022" spans="9:12">
      <c r="I1022" t="str">
        <f>IF(OR($A1022="",$B1022=""),"",IF(COUNTIFS($A$2:$A1022,$A1022,$B$2:$B1022,$B1022)=1,1,0))</f>
        <v/>
      </c>
      <c r="J1022" t="str">
        <f t="shared" si="15"/>
        <v/>
      </c>
      <c r="L1022" t="str">
        <f>IF('01_Warehouse_Ledger'!$A1022="","",'01_Warehouse_Ledger'!$A1022)</f>
        <v/>
      </c>
    </row>
    <row r="1023" spans="9:12">
      <c r="I1023" t="str">
        <f>IF(OR($A1023="",$B1023=""),"",IF(COUNTIFS($A$2:$A1023,$A1023,$B$2:$B1023,$B1023)=1,1,0))</f>
        <v/>
      </c>
      <c r="J1023" t="str">
        <f t="shared" si="15"/>
        <v/>
      </c>
      <c r="L1023" t="str">
        <f>IF('01_Warehouse_Ledger'!$A1023="","",'01_Warehouse_Ledger'!$A1023)</f>
        <v/>
      </c>
    </row>
    <row r="1024" spans="9:12">
      <c r="I1024" t="str">
        <f>IF(OR($A1024="",$B1024=""),"",IF(COUNTIFS($A$2:$A1024,$A1024,$B$2:$B1024,$B1024)=1,1,0))</f>
        <v/>
      </c>
      <c r="J1024" t="str">
        <f t="shared" si="15"/>
        <v/>
      </c>
      <c r="L1024" t="str">
        <f>IF('01_Warehouse_Ledger'!$A1024="","",'01_Warehouse_Ledger'!$A1024)</f>
        <v/>
      </c>
    </row>
    <row r="1025" spans="9:12">
      <c r="I1025" t="str">
        <f>IF(OR($A1025="",$B1025=""),"",IF(COUNTIFS($A$2:$A1025,$A1025,$B$2:$B1025,$B1025)=1,1,0))</f>
        <v/>
      </c>
      <c r="J1025" t="str">
        <f t="shared" si="15"/>
        <v/>
      </c>
      <c r="L1025" t="str">
        <f>IF('01_Warehouse_Ledger'!$A1025="","",'01_Warehouse_Ledger'!$A1025)</f>
        <v/>
      </c>
    </row>
    <row r="1026" spans="9:12">
      <c r="I1026" t="str">
        <f>IF(OR($A1026="",$B1026=""),"",IF(COUNTIFS($A$2:$A1026,$A1026,$B$2:$B1026,$B1026)=1,1,0))</f>
        <v/>
      </c>
      <c r="J1026" t="str">
        <f t="shared" ref="J1026:J1089" si="16">IF($A1026="","",ROW())</f>
        <v/>
      </c>
      <c r="L1026" t="str">
        <f>IF('01_Warehouse_Ledger'!$A1026="","",'01_Warehouse_Ledger'!$A1026)</f>
        <v/>
      </c>
    </row>
    <row r="1027" spans="9:12">
      <c r="I1027" t="str">
        <f>IF(OR($A1027="",$B1027=""),"",IF(COUNTIFS($A$2:$A1027,$A1027,$B$2:$B1027,$B1027)=1,1,0))</f>
        <v/>
      </c>
      <c r="J1027" t="str">
        <f t="shared" si="16"/>
        <v/>
      </c>
      <c r="L1027" t="str">
        <f>IF('01_Warehouse_Ledger'!$A1027="","",'01_Warehouse_Ledger'!$A1027)</f>
        <v/>
      </c>
    </row>
    <row r="1028" spans="9:12">
      <c r="I1028" t="str">
        <f>IF(OR($A1028="",$B1028=""),"",IF(COUNTIFS($A$2:$A1028,$A1028,$B$2:$B1028,$B1028)=1,1,0))</f>
        <v/>
      </c>
      <c r="J1028" t="str">
        <f t="shared" si="16"/>
        <v/>
      </c>
      <c r="L1028" t="str">
        <f>IF('01_Warehouse_Ledger'!$A1028="","",'01_Warehouse_Ledger'!$A1028)</f>
        <v/>
      </c>
    </row>
    <row r="1029" spans="9:12">
      <c r="I1029" t="str">
        <f>IF(OR($A1029="",$B1029=""),"",IF(COUNTIFS($A$2:$A1029,$A1029,$B$2:$B1029,$B1029)=1,1,0))</f>
        <v/>
      </c>
      <c r="J1029" t="str">
        <f t="shared" si="16"/>
        <v/>
      </c>
      <c r="L1029" t="str">
        <f>IF('01_Warehouse_Ledger'!$A1029="","",'01_Warehouse_Ledger'!$A1029)</f>
        <v/>
      </c>
    </row>
    <row r="1030" spans="9:12">
      <c r="I1030" t="str">
        <f>IF(OR($A1030="",$B1030=""),"",IF(COUNTIFS($A$2:$A1030,$A1030,$B$2:$B1030,$B1030)=1,1,0))</f>
        <v/>
      </c>
      <c r="J1030" t="str">
        <f t="shared" si="16"/>
        <v/>
      </c>
      <c r="L1030" t="str">
        <f>IF('01_Warehouse_Ledger'!$A1030="","",'01_Warehouse_Ledger'!$A1030)</f>
        <v/>
      </c>
    </row>
    <row r="1031" spans="9:12">
      <c r="I1031" t="str">
        <f>IF(OR($A1031="",$B1031=""),"",IF(COUNTIFS($A$2:$A1031,$A1031,$B$2:$B1031,$B1031)=1,1,0))</f>
        <v/>
      </c>
      <c r="J1031" t="str">
        <f t="shared" si="16"/>
        <v/>
      </c>
      <c r="L1031" t="str">
        <f>IF('01_Warehouse_Ledger'!$A1031="","",'01_Warehouse_Ledger'!$A1031)</f>
        <v/>
      </c>
    </row>
    <row r="1032" spans="9:12">
      <c r="I1032" t="str">
        <f>IF(OR($A1032="",$B1032=""),"",IF(COUNTIFS($A$2:$A1032,$A1032,$B$2:$B1032,$B1032)=1,1,0))</f>
        <v/>
      </c>
      <c r="J1032" t="str">
        <f t="shared" si="16"/>
        <v/>
      </c>
      <c r="L1032" t="str">
        <f>IF('01_Warehouse_Ledger'!$A1032="","",'01_Warehouse_Ledger'!$A1032)</f>
        <v/>
      </c>
    </row>
    <row r="1033" spans="9:12">
      <c r="I1033" t="str">
        <f>IF(OR($A1033="",$B1033=""),"",IF(COUNTIFS($A$2:$A1033,$A1033,$B$2:$B1033,$B1033)=1,1,0))</f>
        <v/>
      </c>
      <c r="J1033" t="str">
        <f t="shared" si="16"/>
        <v/>
      </c>
      <c r="L1033" t="str">
        <f>IF('01_Warehouse_Ledger'!$A1033="","",'01_Warehouse_Ledger'!$A1033)</f>
        <v/>
      </c>
    </row>
    <row r="1034" spans="9:12">
      <c r="I1034" t="str">
        <f>IF(OR($A1034="",$B1034=""),"",IF(COUNTIFS($A$2:$A1034,$A1034,$B$2:$B1034,$B1034)=1,1,0))</f>
        <v/>
      </c>
      <c r="J1034" t="str">
        <f t="shared" si="16"/>
        <v/>
      </c>
      <c r="L1034" t="str">
        <f>IF('01_Warehouse_Ledger'!$A1034="","",'01_Warehouse_Ledger'!$A1034)</f>
        <v/>
      </c>
    </row>
    <row r="1035" spans="9:12">
      <c r="I1035" t="str">
        <f>IF(OR($A1035="",$B1035=""),"",IF(COUNTIFS($A$2:$A1035,$A1035,$B$2:$B1035,$B1035)=1,1,0))</f>
        <v/>
      </c>
      <c r="J1035" t="str">
        <f t="shared" si="16"/>
        <v/>
      </c>
      <c r="L1035" t="str">
        <f>IF('01_Warehouse_Ledger'!$A1035="","",'01_Warehouse_Ledger'!$A1035)</f>
        <v/>
      </c>
    </row>
    <row r="1036" spans="9:12">
      <c r="I1036" t="str">
        <f>IF(OR($A1036="",$B1036=""),"",IF(COUNTIFS($A$2:$A1036,$A1036,$B$2:$B1036,$B1036)=1,1,0))</f>
        <v/>
      </c>
      <c r="J1036" t="str">
        <f t="shared" si="16"/>
        <v/>
      </c>
      <c r="L1036" t="str">
        <f>IF('01_Warehouse_Ledger'!$A1036="","",'01_Warehouse_Ledger'!$A1036)</f>
        <v/>
      </c>
    </row>
    <row r="1037" spans="9:12">
      <c r="I1037" t="str">
        <f>IF(OR($A1037="",$B1037=""),"",IF(COUNTIFS($A$2:$A1037,$A1037,$B$2:$B1037,$B1037)=1,1,0))</f>
        <v/>
      </c>
      <c r="J1037" t="str">
        <f t="shared" si="16"/>
        <v/>
      </c>
      <c r="L1037" t="str">
        <f>IF('01_Warehouse_Ledger'!$A1037="","",'01_Warehouse_Ledger'!$A1037)</f>
        <v/>
      </c>
    </row>
    <row r="1038" spans="9:12">
      <c r="I1038" t="str">
        <f>IF(OR($A1038="",$B1038=""),"",IF(COUNTIFS($A$2:$A1038,$A1038,$B$2:$B1038,$B1038)=1,1,0))</f>
        <v/>
      </c>
      <c r="J1038" t="str">
        <f t="shared" si="16"/>
        <v/>
      </c>
      <c r="L1038" t="str">
        <f>IF('01_Warehouse_Ledger'!$A1038="","",'01_Warehouse_Ledger'!$A1038)</f>
        <v/>
      </c>
    </row>
    <row r="1039" spans="9:12">
      <c r="I1039" t="str">
        <f>IF(OR($A1039="",$B1039=""),"",IF(COUNTIFS($A$2:$A1039,$A1039,$B$2:$B1039,$B1039)=1,1,0))</f>
        <v/>
      </c>
      <c r="J1039" t="str">
        <f t="shared" si="16"/>
        <v/>
      </c>
      <c r="L1039" t="str">
        <f>IF('01_Warehouse_Ledger'!$A1039="","",'01_Warehouse_Ledger'!$A1039)</f>
        <v/>
      </c>
    </row>
    <row r="1040" spans="9:12">
      <c r="I1040" t="str">
        <f>IF(OR($A1040="",$B1040=""),"",IF(COUNTIFS($A$2:$A1040,$A1040,$B$2:$B1040,$B1040)=1,1,0))</f>
        <v/>
      </c>
      <c r="J1040" t="str">
        <f t="shared" si="16"/>
        <v/>
      </c>
      <c r="L1040" t="str">
        <f>IF('01_Warehouse_Ledger'!$A1040="","",'01_Warehouse_Ledger'!$A1040)</f>
        <v/>
      </c>
    </row>
    <row r="1041" spans="9:12">
      <c r="I1041" t="str">
        <f>IF(OR($A1041="",$B1041=""),"",IF(COUNTIFS($A$2:$A1041,$A1041,$B$2:$B1041,$B1041)=1,1,0))</f>
        <v/>
      </c>
      <c r="J1041" t="str">
        <f t="shared" si="16"/>
        <v/>
      </c>
      <c r="L1041" t="str">
        <f>IF('01_Warehouse_Ledger'!$A1041="","",'01_Warehouse_Ledger'!$A1041)</f>
        <v/>
      </c>
    </row>
    <row r="1042" spans="9:12">
      <c r="I1042" t="str">
        <f>IF(OR($A1042="",$B1042=""),"",IF(COUNTIFS($A$2:$A1042,$A1042,$B$2:$B1042,$B1042)=1,1,0))</f>
        <v/>
      </c>
      <c r="J1042" t="str">
        <f t="shared" si="16"/>
        <v/>
      </c>
      <c r="L1042" t="str">
        <f>IF('01_Warehouse_Ledger'!$A1042="","",'01_Warehouse_Ledger'!$A1042)</f>
        <v/>
      </c>
    </row>
    <row r="1043" spans="9:12">
      <c r="I1043" t="str">
        <f>IF(OR($A1043="",$B1043=""),"",IF(COUNTIFS($A$2:$A1043,$A1043,$B$2:$B1043,$B1043)=1,1,0))</f>
        <v/>
      </c>
      <c r="J1043" t="str">
        <f t="shared" si="16"/>
        <v/>
      </c>
      <c r="L1043" t="str">
        <f>IF('01_Warehouse_Ledger'!$A1043="","",'01_Warehouse_Ledger'!$A1043)</f>
        <v/>
      </c>
    </row>
    <row r="1044" spans="9:12">
      <c r="I1044" t="str">
        <f>IF(OR($A1044="",$B1044=""),"",IF(COUNTIFS($A$2:$A1044,$A1044,$B$2:$B1044,$B1044)=1,1,0))</f>
        <v/>
      </c>
      <c r="J1044" t="str">
        <f t="shared" si="16"/>
        <v/>
      </c>
      <c r="L1044" t="str">
        <f>IF('01_Warehouse_Ledger'!$A1044="","",'01_Warehouse_Ledger'!$A1044)</f>
        <v/>
      </c>
    </row>
    <row r="1045" spans="9:12">
      <c r="I1045" t="str">
        <f>IF(OR($A1045="",$B1045=""),"",IF(COUNTIFS($A$2:$A1045,$A1045,$B$2:$B1045,$B1045)=1,1,0))</f>
        <v/>
      </c>
      <c r="J1045" t="str">
        <f t="shared" si="16"/>
        <v/>
      </c>
      <c r="L1045" t="str">
        <f>IF('01_Warehouse_Ledger'!$A1045="","",'01_Warehouse_Ledger'!$A1045)</f>
        <v/>
      </c>
    </row>
    <row r="1046" spans="9:12">
      <c r="I1046" t="str">
        <f>IF(OR($A1046="",$B1046=""),"",IF(COUNTIFS($A$2:$A1046,$A1046,$B$2:$B1046,$B1046)=1,1,0))</f>
        <v/>
      </c>
      <c r="J1046" t="str">
        <f t="shared" si="16"/>
        <v/>
      </c>
      <c r="L1046" t="str">
        <f>IF('01_Warehouse_Ledger'!$A1046="","",'01_Warehouse_Ledger'!$A1046)</f>
        <v/>
      </c>
    </row>
    <row r="1047" spans="9:12">
      <c r="I1047" t="str">
        <f>IF(OR($A1047="",$B1047=""),"",IF(COUNTIFS($A$2:$A1047,$A1047,$B$2:$B1047,$B1047)=1,1,0))</f>
        <v/>
      </c>
      <c r="J1047" t="str">
        <f t="shared" si="16"/>
        <v/>
      </c>
      <c r="L1047" t="str">
        <f>IF('01_Warehouse_Ledger'!$A1047="","",'01_Warehouse_Ledger'!$A1047)</f>
        <v/>
      </c>
    </row>
    <row r="1048" spans="9:12">
      <c r="I1048" t="str">
        <f>IF(OR($A1048="",$B1048=""),"",IF(COUNTIFS($A$2:$A1048,$A1048,$B$2:$B1048,$B1048)=1,1,0))</f>
        <v/>
      </c>
      <c r="J1048" t="str">
        <f t="shared" si="16"/>
        <v/>
      </c>
      <c r="L1048" t="str">
        <f>IF('01_Warehouse_Ledger'!$A1048="","",'01_Warehouse_Ledger'!$A1048)</f>
        <v/>
      </c>
    </row>
    <row r="1049" spans="9:12">
      <c r="I1049" t="str">
        <f>IF(OR($A1049="",$B1049=""),"",IF(COUNTIFS($A$2:$A1049,$A1049,$B$2:$B1049,$B1049)=1,1,0))</f>
        <v/>
      </c>
      <c r="J1049" t="str">
        <f t="shared" si="16"/>
        <v/>
      </c>
      <c r="L1049" t="str">
        <f>IF('01_Warehouse_Ledger'!$A1049="","",'01_Warehouse_Ledger'!$A1049)</f>
        <v/>
      </c>
    </row>
    <row r="1050" spans="9:12">
      <c r="I1050" t="str">
        <f>IF(OR($A1050="",$B1050=""),"",IF(COUNTIFS($A$2:$A1050,$A1050,$B$2:$B1050,$B1050)=1,1,0))</f>
        <v/>
      </c>
      <c r="J1050" t="str">
        <f t="shared" si="16"/>
        <v/>
      </c>
      <c r="L1050" t="str">
        <f>IF('01_Warehouse_Ledger'!$A1050="","",'01_Warehouse_Ledger'!$A1050)</f>
        <v/>
      </c>
    </row>
    <row r="1051" spans="9:12">
      <c r="I1051" t="str">
        <f>IF(OR($A1051="",$B1051=""),"",IF(COUNTIFS($A$2:$A1051,$A1051,$B$2:$B1051,$B1051)=1,1,0))</f>
        <v/>
      </c>
      <c r="J1051" t="str">
        <f t="shared" si="16"/>
        <v/>
      </c>
      <c r="L1051" t="str">
        <f>IF('01_Warehouse_Ledger'!$A1051="","",'01_Warehouse_Ledger'!$A1051)</f>
        <v/>
      </c>
    </row>
    <row r="1052" spans="9:12">
      <c r="I1052" t="str">
        <f>IF(OR($A1052="",$B1052=""),"",IF(COUNTIFS($A$2:$A1052,$A1052,$B$2:$B1052,$B1052)=1,1,0))</f>
        <v/>
      </c>
      <c r="J1052" t="str">
        <f t="shared" si="16"/>
        <v/>
      </c>
      <c r="L1052" t="str">
        <f>IF('01_Warehouse_Ledger'!$A1052="","",'01_Warehouse_Ledger'!$A1052)</f>
        <v/>
      </c>
    </row>
    <row r="1053" spans="9:12">
      <c r="I1053" t="str">
        <f>IF(OR($A1053="",$B1053=""),"",IF(COUNTIFS($A$2:$A1053,$A1053,$B$2:$B1053,$B1053)=1,1,0))</f>
        <v/>
      </c>
      <c r="J1053" t="str">
        <f t="shared" si="16"/>
        <v/>
      </c>
      <c r="L1053" t="str">
        <f>IF('01_Warehouse_Ledger'!$A1053="","",'01_Warehouse_Ledger'!$A1053)</f>
        <v/>
      </c>
    </row>
    <row r="1054" spans="9:12">
      <c r="I1054" t="str">
        <f>IF(OR($A1054="",$B1054=""),"",IF(COUNTIFS($A$2:$A1054,$A1054,$B$2:$B1054,$B1054)=1,1,0))</f>
        <v/>
      </c>
      <c r="J1054" t="str">
        <f t="shared" si="16"/>
        <v/>
      </c>
      <c r="L1054" t="str">
        <f>IF('01_Warehouse_Ledger'!$A1054="","",'01_Warehouse_Ledger'!$A1054)</f>
        <v/>
      </c>
    </row>
    <row r="1055" spans="9:12">
      <c r="I1055" t="str">
        <f>IF(OR($A1055="",$B1055=""),"",IF(COUNTIFS($A$2:$A1055,$A1055,$B$2:$B1055,$B1055)=1,1,0))</f>
        <v/>
      </c>
      <c r="J1055" t="str">
        <f t="shared" si="16"/>
        <v/>
      </c>
      <c r="L1055" t="str">
        <f>IF('01_Warehouse_Ledger'!$A1055="","",'01_Warehouse_Ledger'!$A1055)</f>
        <v/>
      </c>
    </row>
    <row r="1056" spans="9:12">
      <c r="I1056" t="str">
        <f>IF(OR($A1056="",$B1056=""),"",IF(COUNTIFS($A$2:$A1056,$A1056,$B$2:$B1056,$B1056)=1,1,0))</f>
        <v/>
      </c>
      <c r="J1056" t="str">
        <f t="shared" si="16"/>
        <v/>
      </c>
      <c r="L1056" t="str">
        <f>IF('01_Warehouse_Ledger'!$A1056="","",'01_Warehouse_Ledger'!$A1056)</f>
        <v/>
      </c>
    </row>
    <row r="1057" spans="9:12">
      <c r="I1057" t="str">
        <f>IF(OR($A1057="",$B1057=""),"",IF(COUNTIFS($A$2:$A1057,$A1057,$B$2:$B1057,$B1057)=1,1,0))</f>
        <v/>
      </c>
      <c r="J1057" t="str">
        <f t="shared" si="16"/>
        <v/>
      </c>
      <c r="L1057" t="str">
        <f>IF('01_Warehouse_Ledger'!$A1057="","",'01_Warehouse_Ledger'!$A1057)</f>
        <v/>
      </c>
    </row>
    <row r="1058" spans="9:12">
      <c r="I1058" t="str">
        <f>IF(OR($A1058="",$B1058=""),"",IF(COUNTIFS($A$2:$A1058,$A1058,$B$2:$B1058,$B1058)=1,1,0))</f>
        <v/>
      </c>
      <c r="J1058" t="str">
        <f t="shared" si="16"/>
        <v/>
      </c>
      <c r="L1058" t="str">
        <f>IF('01_Warehouse_Ledger'!$A1058="","",'01_Warehouse_Ledger'!$A1058)</f>
        <v/>
      </c>
    </row>
    <row r="1059" spans="9:12">
      <c r="I1059" t="str">
        <f>IF(OR($A1059="",$B1059=""),"",IF(COUNTIFS($A$2:$A1059,$A1059,$B$2:$B1059,$B1059)=1,1,0))</f>
        <v/>
      </c>
      <c r="J1059" t="str">
        <f t="shared" si="16"/>
        <v/>
      </c>
      <c r="L1059" t="str">
        <f>IF('01_Warehouse_Ledger'!$A1059="","",'01_Warehouse_Ledger'!$A1059)</f>
        <v/>
      </c>
    </row>
    <row r="1060" spans="9:12">
      <c r="I1060" t="str">
        <f>IF(OR($A1060="",$B1060=""),"",IF(COUNTIFS($A$2:$A1060,$A1060,$B$2:$B1060,$B1060)=1,1,0))</f>
        <v/>
      </c>
      <c r="J1060" t="str">
        <f t="shared" si="16"/>
        <v/>
      </c>
      <c r="L1060" t="str">
        <f>IF('01_Warehouse_Ledger'!$A1060="","",'01_Warehouse_Ledger'!$A1060)</f>
        <v/>
      </c>
    </row>
    <row r="1061" spans="9:12">
      <c r="I1061" t="str">
        <f>IF(OR($A1061="",$B1061=""),"",IF(COUNTIFS($A$2:$A1061,$A1061,$B$2:$B1061,$B1061)=1,1,0))</f>
        <v/>
      </c>
      <c r="J1061" t="str">
        <f t="shared" si="16"/>
        <v/>
      </c>
      <c r="L1061" t="str">
        <f>IF('01_Warehouse_Ledger'!$A1061="","",'01_Warehouse_Ledger'!$A1061)</f>
        <v/>
      </c>
    </row>
    <row r="1062" spans="9:12">
      <c r="I1062" t="str">
        <f>IF(OR($A1062="",$B1062=""),"",IF(COUNTIFS($A$2:$A1062,$A1062,$B$2:$B1062,$B1062)=1,1,0))</f>
        <v/>
      </c>
      <c r="J1062" t="str">
        <f t="shared" si="16"/>
        <v/>
      </c>
      <c r="L1062" t="str">
        <f>IF('01_Warehouse_Ledger'!$A1062="","",'01_Warehouse_Ledger'!$A1062)</f>
        <v/>
      </c>
    </row>
    <row r="1063" spans="9:12">
      <c r="I1063" t="str">
        <f>IF(OR($A1063="",$B1063=""),"",IF(COUNTIFS($A$2:$A1063,$A1063,$B$2:$B1063,$B1063)=1,1,0))</f>
        <v/>
      </c>
      <c r="J1063" t="str">
        <f t="shared" si="16"/>
        <v/>
      </c>
      <c r="L1063" t="str">
        <f>IF('01_Warehouse_Ledger'!$A1063="","",'01_Warehouse_Ledger'!$A1063)</f>
        <v/>
      </c>
    </row>
    <row r="1064" spans="9:12">
      <c r="I1064" t="str">
        <f>IF(OR($A1064="",$B1064=""),"",IF(COUNTIFS($A$2:$A1064,$A1064,$B$2:$B1064,$B1064)=1,1,0))</f>
        <v/>
      </c>
      <c r="J1064" t="str">
        <f t="shared" si="16"/>
        <v/>
      </c>
      <c r="L1064" t="str">
        <f>IF('01_Warehouse_Ledger'!$A1064="","",'01_Warehouse_Ledger'!$A1064)</f>
        <v/>
      </c>
    </row>
    <row r="1065" spans="9:12">
      <c r="I1065" t="str">
        <f>IF(OR($A1065="",$B1065=""),"",IF(COUNTIFS($A$2:$A1065,$A1065,$B$2:$B1065,$B1065)=1,1,0))</f>
        <v/>
      </c>
      <c r="J1065" t="str">
        <f t="shared" si="16"/>
        <v/>
      </c>
      <c r="L1065" t="str">
        <f>IF('01_Warehouse_Ledger'!$A1065="","",'01_Warehouse_Ledger'!$A1065)</f>
        <v/>
      </c>
    </row>
    <row r="1066" spans="9:12">
      <c r="I1066" t="str">
        <f>IF(OR($A1066="",$B1066=""),"",IF(COUNTIFS($A$2:$A1066,$A1066,$B$2:$B1066,$B1066)=1,1,0))</f>
        <v/>
      </c>
      <c r="J1066" t="str">
        <f t="shared" si="16"/>
        <v/>
      </c>
      <c r="L1066" t="str">
        <f>IF('01_Warehouse_Ledger'!$A1066="","",'01_Warehouse_Ledger'!$A1066)</f>
        <v/>
      </c>
    </row>
    <row r="1067" spans="9:12">
      <c r="I1067" t="str">
        <f>IF(OR($A1067="",$B1067=""),"",IF(COUNTIFS($A$2:$A1067,$A1067,$B$2:$B1067,$B1067)=1,1,0))</f>
        <v/>
      </c>
      <c r="J1067" t="str">
        <f t="shared" si="16"/>
        <v/>
      </c>
      <c r="L1067" t="str">
        <f>IF('01_Warehouse_Ledger'!$A1067="","",'01_Warehouse_Ledger'!$A1067)</f>
        <v/>
      </c>
    </row>
    <row r="1068" spans="9:12">
      <c r="I1068" t="str">
        <f>IF(OR($A1068="",$B1068=""),"",IF(COUNTIFS($A$2:$A1068,$A1068,$B$2:$B1068,$B1068)=1,1,0))</f>
        <v/>
      </c>
      <c r="J1068" t="str">
        <f t="shared" si="16"/>
        <v/>
      </c>
      <c r="L1068" t="str">
        <f>IF('01_Warehouse_Ledger'!$A1068="","",'01_Warehouse_Ledger'!$A1068)</f>
        <v/>
      </c>
    </row>
    <row r="1069" spans="9:12">
      <c r="I1069" t="str">
        <f>IF(OR($A1069="",$B1069=""),"",IF(COUNTIFS($A$2:$A1069,$A1069,$B$2:$B1069,$B1069)=1,1,0))</f>
        <v/>
      </c>
      <c r="J1069" t="str">
        <f t="shared" si="16"/>
        <v/>
      </c>
      <c r="L1069" t="str">
        <f>IF('01_Warehouse_Ledger'!$A1069="","",'01_Warehouse_Ledger'!$A1069)</f>
        <v/>
      </c>
    </row>
    <row r="1070" spans="9:12">
      <c r="I1070" t="str">
        <f>IF(OR($A1070="",$B1070=""),"",IF(COUNTIFS($A$2:$A1070,$A1070,$B$2:$B1070,$B1070)=1,1,0))</f>
        <v/>
      </c>
      <c r="J1070" t="str">
        <f t="shared" si="16"/>
        <v/>
      </c>
      <c r="L1070" t="str">
        <f>IF('01_Warehouse_Ledger'!$A1070="","",'01_Warehouse_Ledger'!$A1070)</f>
        <v/>
      </c>
    </row>
    <row r="1071" spans="9:12">
      <c r="I1071" t="str">
        <f>IF(OR($A1071="",$B1071=""),"",IF(COUNTIFS($A$2:$A1071,$A1071,$B$2:$B1071,$B1071)=1,1,0))</f>
        <v/>
      </c>
      <c r="J1071" t="str">
        <f t="shared" si="16"/>
        <v/>
      </c>
      <c r="L1071" t="str">
        <f>IF('01_Warehouse_Ledger'!$A1071="","",'01_Warehouse_Ledger'!$A1071)</f>
        <v/>
      </c>
    </row>
    <row r="1072" spans="9:12">
      <c r="I1072" t="str">
        <f>IF(OR($A1072="",$B1072=""),"",IF(COUNTIFS($A$2:$A1072,$A1072,$B$2:$B1072,$B1072)=1,1,0))</f>
        <v/>
      </c>
      <c r="J1072" t="str">
        <f t="shared" si="16"/>
        <v/>
      </c>
      <c r="L1072" t="str">
        <f>IF('01_Warehouse_Ledger'!$A1072="","",'01_Warehouse_Ledger'!$A1072)</f>
        <v/>
      </c>
    </row>
    <row r="1073" spans="9:12">
      <c r="I1073" t="str">
        <f>IF(OR($A1073="",$B1073=""),"",IF(COUNTIFS($A$2:$A1073,$A1073,$B$2:$B1073,$B1073)=1,1,0))</f>
        <v/>
      </c>
      <c r="J1073" t="str">
        <f t="shared" si="16"/>
        <v/>
      </c>
      <c r="L1073" t="str">
        <f>IF('01_Warehouse_Ledger'!$A1073="","",'01_Warehouse_Ledger'!$A1073)</f>
        <v/>
      </c>
    </row>
    <row r="1074" spans="9:12">
      <c r="I1074" t="str">
        <f>IF(OR($A1074="",$B1074=""),"",IF(COUNTIFS($A$2:$A1074,$A1074,$B$2:$B1074,$B1074)=1,1,0))</f>
        <v/>
      </c>
      <c r="J1074" t="str">
        <f t="shared" si="16"/>
        <v/>
      </c>
      <c r="L1074" t="str">
        <f>IF('01_Warehouse_Ledger'!$A1074="","",'01_Warehouse_Ledger'!$A1074)</f>
        <v/>
      </c>
    </row>
    <row r="1075" spans="9:12">
      <c r="I1075" t="str">
        <f>IF(OR($A1075="",$B1075=""),"",IF(COUNTIFS($A$2:$A1075,$A1075,$B$2:$B1075,$B1075)=1,1,0))</f>
        <v/>
      </c>
      <c r="J1075" t="str">
        <f t="shared" si="16"/>
        <v/>
      </c>
      <c r="L1075" t="str">
        <f>IF('01_Warehouse_Ledger'!$A1075="","",'01_Warehouse_Ledger'!$A1075)</f>
        <v/>
      </c>
    </row>
    <row r="1076" spans="9:12">
      <c r="I1076" t="str">
        <f>IF(OR($A1076="",$B1076=""),"",IF(COUNTIFS($A$2:$A1076,$A1076,$B$2:$B1076,$B1076)=1,1,0))</f>
        <v/>
      </c>
      <c r="J1076" t="str">
        <f t="shared" si="16"/>
        <v/>
      </c>
      <c r="L1076" t="str">
        <f>IF('01_Warehouse_Ledger'!$A1076="","",'01_Warehouse_Ledger'!$A1076)</f>
        <v/>
      </c>
    </row>
    <row r="1077" spans="9:12">
      <c r="I1077" t="str">
        <f>IF(OR($A1077="",$B1077=""),"",IF(COUNTIFS($A$2:$A1077,$A1077,$B$2:$B1077,$B1077)=1,1,0))</f>
        <v/>
      </c>
      <c r="J1077" t="str">
        <f t="shared" si="16"/>
        <v/>
      </c>
      <c r="L1077" t="str">
        <f>IF('01_Warehouse_Ledger'!$A1077="","",'01_Warehouse_Ledger'!$A1077)</f>
        <v/>
      </c>
    </row>
    <row r="1078" spans="9:12">
      <c r="I1078" t="str">
        <f>IF(OR($A1078="",$B1078=""),"",IF(COUNTIFS($A$2:$A1078,$A1078,$B$2:$B1078,$B1078)=1,1,0))</f>
        <v/>
      </c>
      <c r="J1078" t="str">
        <f t="shared" si="16"/>
        <v/>
      </c>
      <c r="L1078" t="str">
        <f>IF('01_Warehouse_Ledger'!$A1078="","",'01_Warehouse_Ledger'!$A1078)</f>
        <v/>
      </c>
    </row>
    <row r="1079" spans="9:12">
      <c r="I1079" t="str">
        <f>IF(OR($A1079="",$B1079=""),"",IF(COUNTIFS($A$2:$A1079,$A1079,$B$2:$B1079,$B1079)=1,1,0))</f>
        <v/>
      </c>
      <c r="J1079" t="str">
        <f t="shared" si="16"/>
        <v/>
      </c>
      <c r="L1079" t="str">
        <f>IF('01_Warehouse_Ledger'!$A1079="","",'01_Warehouse_Ledger'!$A1079)</f>
        <v/>
      </c>
    </row>
    <row r="1080" spans="9:12">
      <c r="I1080" t="str">
        <f>IF(OR($A1080="",$B1080=""),"",IF(COUNTIFS($A$2:$A1080,$A1080,$B$2:$B1080,$B1080)=1,1,0))</f>
        <v/>
      </c>
      <c r="J1080" t="str">
        <f t="shared" si="16"/>
        <v/>
      </c>
      <c r="L1080" t="str">
        <f>IF('01_Warehouse_Ledger'!$A1080="","",'01_Warehouse_Ledger'!$A1080)</f>
        <v/>
      </c>
    </row>
    <row r="1081" spans="9:12">
      <c r="I1081" t="str">
        <f>IF(OR($A1081="",$B1081=""),"",IF(COUNTIFS($A$2:$A1081,$A1081,$B$2:$B1081,$B1081)=1,1,0))</f>
        <v/>
      </c>
      <c r="J1081" t="str">
        <f t="shared" si="16"/>
        <v/>
      </c>
      <c r="L1081" t="str">
        <f>IF('01_Warehouse_Ledger'!$A1081="","",'01_Warehouse_Ledger'!$A1081)</f>
        <v/>
      </c>
    </row>
    <row r="1082" spans="9:12">
      <c r="I1082" t="str">
        <f>IF(OR($A1082="",$B1082=""),"",IF(COUNTIFS($A$2:$A1082,$A1082,$B$2:$B1082,$B1082)=1,1,0))</f>
        <v/>
      </c>
      <c r="J1082" t="str">
        <f t="shared" si="16"/>
        <v/>
      </c>
      <c r="L1082" t="str">
        <f>IF('01_Warehouse_Ledger'!$A1082="","",'01_Warehouse_Ledger'!$A1082)</f>
        <v/>
      </c>
    </row>
    <row r="1083" spans="9:12">
      <c r="I1083" t="str">
        <f>IF(OR($A1083="",$B1083=""),"",IF(COUNTIFS($A$2:$A1083,$A1083,$B$2:$B1083,$B1083)=1,1,0))</f>
        <v/>
      </c>
      <c r="J1083" t="str">
        <f t="shared" si="16"/>
        <v/>
      </c>
      <c r="L1083" t="str">
        <f>IF('01_Warehouse_Ledger'!$A1083="","",'01_Warehouse_Ledger'!$A1083)</f>
        <v/>
      </c>
    </row>
    <row r="1084" spans="9:12">
      <c r="I1084" t="str">
        <f>IF(OR($A1084="",$B1084=""),"",IF(COUNTIFS($A$2:$A1084,$A1084,$B$2:$B1084,$B1084)=1,1,0))</f>
        <v/>
      </c>
      <c r="J1084" t="str">
        <f t="shared" si="16"/>
        <v/>
      </c>
      <c r="L1084" t="str">
        <f>IF('01_Warehouse_Ledger'!$A1084="","",'01_Warehouse_Ledger'!$A1084)</f>
        <v/>
      </c>
    </row>
    <row r="1085" spans="9:12">
      <c r="I1085" t="str">
        <f>IF(OR($A1085="",$B1085=""),"",IF(COUNTIFS($A$2:$A1085,$A1085,$B$2:$B1085,$B1085)=1,1,0))</f>
        <v/>
      </c>
      <c r="J1085" t="str">
        <f t="shared" si="16"/>
        <v/>
      </c>
      <c r="L1085" t="str">
        <f>IF('01_Warehouse_Ledger'!$A1085="","",'01_Warehouse_Ledger'!$A1085)</f>
        <v/>
      </c>
    </row>
    <row r="1086" spans="9:12">
      <c r="I1086" t="str">
        <f>IF(OR($A1086="",$B1086=""),"",IF(COUNTIFS($A$2:$A1086,$A1086,$B$2:$B1086,$B1086)=1,1,0))</f>
        <v/>
      </c>
      <c r="J1086" t="str">
        <f t="shared" si="16"/>
        <v/>
      </c>
      <c r="L1086" t="str">
        <f>IF('01_Warehouse_Ledger'!$A1086="","",'01_Warehouse_Ledger'!$A1086)</f>
        <v/>
      </c>
    </row>
    <row r="1087" spans="9:12">
      <c r="I1087" t="str">
        <f>IF(OR($A1087="",$B1087=""),"",IF(COUNTIFS($A$2:$A1087,$A1087,$B$2:$B1087,$B1087)=1,1,0))</f>
        <v/>
      </c>
      <c r="J1087" t="str">
        <f t="shared" si="16"/>
        <v/>
      </c>
      <c r="L1087" t="str">
        <f>IF('01_Warehouse_Ledger'!$A1087="","",'01_Warehouse_Ledger'!$A1087)</f>
        <v/>
      </c>
    </row>
    <row r="1088" spans="9:12">
      <c r="I1088" t="str">
        <f>IF(OR($A1088="",$B1088=""),"",IF(COUNTIFS($A$2:$A1088,$A1088,$B$2:$B1088,$B1088)=1,1,0))</f>
        <v/>
      </c>
      <c r="J1088" t="str">
        <f t="shared" si="16"/>
        <v/>
      </c>
      <c r="L1088" t="str">
        <f>IF('01_Warehouse_Ledger'!$A1088="","",'01_Warehouse_Ledger'!$A1088)</f>
        <v/>
      </c>
    </row>
    <row r="1089" spans="9:12">
      <c r="I1089" t="str">
        <f>IF(OR($A1089="",$B1089=""),"",IF(COUNTIFS($A$2:$A1089,$A1089,$B$2:$B1089,$B1089)=1,1,0))</f>
        <v/>
      </c>
      <c r="J1089" t="str">
        <f t="shared" si="16"/>
        <v/>
      </c>
      <c r="L1089" t="str">
        <f>IF('01_Warehouse_Ledger'!$A1089="","",'01_Warehouse_Ledger'!$A1089)</f>
        <v/>
      </c>
    </row>
    <row r="1090" spans="9:12">
      <c r="I1090" t="str">
        <f>IF(OR($A1090="",$B1090=""),"",IF(COUNTIFS($A$2:$A1090,$A1090,$B$2:$B1090,$B1090)=1,1,0))</f>
        <v/>
      </c>
      <c r="J1090" t="str">
        <f t="shared" ref="J1090:J1153" si="17">IF($A1090="","",ROW())</f>
        <v/>
      </c>
      <c r="L1090" t="str">
        <f>IF('01_Warehouse_Ledger'!$A1090="","",'01_Warehouse_Ledger'!$A1090)</f>
        <v/>
      </c>
    </row>
    <row r="1091" spans="9:12">
      <c r="I1091" t="str">
        <f>IF(OR($A1091="",$B1091=""),"",IF(COUNTIFS($A$2:$A1091,$A1091,$B$2:$B1091,$B1091)=1,1,0))</f>
        <v/>
      </c>
      <c r="J1091" t="str">
        <f t="shared" si="17"/>
        <v/>
      </c>
      <c r="L1091" t="str">
        <f>IF('01_Warehouse_Ledger'!$A1091="","",'01_Warehouse_Ledger'!$A1091)</f>
        <v/>
      </c>
    </row>
    <row r="1092" spans="9:12">
      <c r="I1092" t="str">
        <f>IF(OR($A1092="",$B1092=""),"",IF(COUNTIFS($A$2:$A1092,$A1092,$B$2:$B1092,$B1092)=1,1,0))</f>
        <v/>
      </c>
      <c r="J1092" t="str">
        <f t="shared" si="17"/>
        <v/>
      </c>
      <c r="L1092" t="str">
        <f>IF('01_Warehouse_Ledger'!$A1092="","",'01_Warehouse_Ledger'!$A1092)</f>
        <v/>
      </c>
    </row>
    <row r="1093" spans="9:12">
      <c r="I1093" t="str">
        <f>IF(OR($A1093="",$B1093=""),"",IF(COUNTIFS($A$2:$A1093,$A1093,$B$2:$B1093,$B1093)=1,1,0))</f>
        <v/>
      </c>
      <c r="J1093" t="str">
        <f t="shared" si="17"/>
        <v/>
      </c>
      <c r="L1093" t="str">
        <f>IF('01_Warehouse_Ledger'!$A1093="","",'01_Warehouse_Ledger'!$A1093)</f>
        <v/>
      </c>
    </row>
    <row r="1094" spans="9:12">
      <c r="I1094" t="str">
        <f>IF(OR($A1094="",$B1094=""),"",IF(COUNTIFS($A$2:$A1094,$A1094,$B$2:$B1094,$B1094)=1,1,0))</f>
        <v/>
      </c>
      <c r="J1094" t="str">
        <f t="shared" si="17"/>
        <v/>
      </c>
      <c r="L1094" t="str">
        <f>IF('01_Warehouse_Ledger'!$A1094="","",'01_Warehouse_Ledger'!$A1094)</f>
        <v/>
      </c>
    </row>
    <row r="1095" spans="9:12">
      <c r="I1095" t="str">
        <f>IF(OR($A1095="",$B1095=""),"",IF(COUNTIFS($A$2:$A1095,$A1095,$B$2:$B1095,$B1095)=1,1,0))</f>
        <v/>
      </c>
      <c r="J1095" t="str">
        <f t="shared" si="17"/>
        <v/>
      </c>
      <c r="L1095" t="str">
        <f>IF('01_Warehouse_Ledger'!$A1095="","",'01_Warehouse_Ledger'!$A1095)</f>
        <v/>
      </c>
    </row>
    <row r="1096" spans="9:12">
      <c r="I1096" t="str">
        <f>IF(OR($A1096="",$B1096=""),"",IF(COUNTIFS($A$2:$A1096,$A1096,$B$2:$B1096,$B1096)=1,1,0))</f>
        <v/>
      </c>
      <c r="J1096" t="str">
        <f t="shared" si="17"/>
        <v/>
      </c>
      <c r="L1096" t="str">
        <f>IF('01_Warehouse_Ledger'!$A1096="","",'01_Warehouse_Ledger'!$A1096)</f>
        <v/>
      </c>
    </row>
    <row r="1097" spans="9:12">
      <c r="I1097" t="str">
        <f>IF(OR($A1097="",$B1097=""),"",IF(COUNTIFS($A$2:$A1097,$A1097,$B$2:$B1097,$B1097)=1,1,0))</f>
        <v/>
      </c>
      <c r="J1097" t="str">
        <f t="shared" si="17"/>
        <v/>
      </c>
      <c r="L1097" t="str">
        <f>IF('01_Warehouse_Ledger'!$A1097="","",'01_Warehouse_Ledger'!$A1097)</f>
        <v/>
      </c>
    </row>
    <row r="1098" spans="9:12">
      <c r="I1098" t="str">
        <f>IF(OR($A1098="",$B1098=""),"",IF(COUNTIFS($A$2:$A1098,$A1098,$B$2:$B1098,$B1098)=1,1,0))</f>
        <v/>
      </c>
      <c r="J1098" t="str">
        <f t="shared" si="17"/>
        <v/>
      </c>
      <c r="L1098" t="str">
        <f>IF('01_Warehouse_Ledger'!$A1098="","",'01_Warehouse_Ledger'!$A1098)</f>
        <v/>
      </c>
    </row>
    <row r="1099" spans="9:12">
      <c r="I1099" t="str">
        <f>IF(OR($A1099="",$B1099=""),"",IF(COUNTIFS($A$2:$A1099,$A1099,$B$2:$B1099,$B1099)=1,1,0))</f>
        <v/>
      </c>
      <c r="J1099" t="str">
        <f t="shared" si="17"/>
        <v/>
      </c>
      <c r="L1099" t="str">
        <f>IF('01_Warehouse_Ledger'!$A1099="","",'01_Warehouse_Ledger'!$A1099)</f>
        <v/>
      </c>
    </row>
    <row r="1100" spans="9:12">
      <c r="I1100" t="str">
        <f>IF(OR($A1100="",$B1100=""),"",IF(COUNTIFS($A$2:$A1100,$A1100,$B$2:$B1100,$B1100)=1,1,0))</f>
        <v/>
      </c>
      <c r="J1100" t="str">
        <f t="shared" si="17"/>
        <v/>
      </c>
      <c r="L1100" t="str">
        <f>IF('01_Warehouse_Ledger'!$A1100="","",'01_Warehouse_Ledger'!$A1100)</f>
        <v/>
      </c>
    </row>
    <row r="1101" spans="9:12">
      <c r="I1101" t="str">
        <f>IF(OR($A1101="",$B1101=""),"",IF(COUNTIFS($A$2:$A1101,$A1101,$B$2:$B1101,$B1101)=1,1,0))</f>
        <v/>
      </c>
      <c r="J1101" t="str">
        <f t="shared" si="17"/>
        <v/>
      </c>
      <c r="L1101" t="str">
        <f>IF('01_Warehouse_Ledger'!$A1101="","",'01_Warehouse_Ledger'!$A1101)</f>
        <v/>
      </c>
    </row>
    <row r="1102" spans="9:12">
      <c r="I1102" t="str">
        <f>IF(OR($A1102="",$B1102=""),"",IF(COUNTIFS($A$2:$A1102,$A1102,$B$2:$B1102,$B1102)=1,1,0))</f>
        <v/>
      </c>
      <c r="J1102" t="str">
        <f t="shared" si="17"/>
        <v/>
      </c>
      <c r="L1102" t="str">
        <f>IF('01_Warehouse_Ledger'!$A1102="","",'01_Warehouse_Ledger'!$A1102)</f>
        <v/>
      </c>
    </row>
    <row r="1103" spans="9:12">
      <c r="I1103" t="str">
        <f>IF(OR($A1103="",$B1103=""),"",IF(COUNTIFS($A$2:$A1103,$A1103,$B$2:$B1103,$B1103)=1,1,0))</f>
        <v/>
      </c>
      <c r="J1103" t="str">
        <f t="shared" si="17"/>
        <v/>
      </c>
      <c r="L1103" t="str">
        <f>IF('01_Warehouse_Ledger'!$A1103="","",'01_Warehouse_Ledger'!$A1103)</f>
        <v/>
      </c>
    </row>
    <row r="1104" spans="9:12">
      <c r="I1104" t="str">
        <f>IF(OR($A1104="",$B1104=""),"",IF(COUNTIFS($A$2:$A1104,$A1104,$B$2:$B1104,$B1104)=1,1,0))</f>
        <v/>
      </c>
      <c r="J1104" t="str">
        <f t="shared" si="17"/>
        <v/>
      </c>
      <c r="L1104" t="str">
        <f>IF('01_Warehouse_Ledger'!$A1104="","",'01_Warehouse_Ledger'!$A1104)</f>
        <v/>
      </c>
    </row>
    <row r="1105" spans="9:12">
      <c r="I1105" t="str">
        <f>IF(OR($A1105="",$B1105=""),"",IF(COUNTIFS($A$2:$A1105,$A1105,$B$2:$B1105,$B1105)=1,1,0))</f>
        <v/>
      </c>
      <c r="J1105" t="str">
        <f t="shared" si="17"/>
        <v/>
      </c>
      <c r="L1105" t="str">
        <f>IF('01_Warehouse_Ledger'!$A1105="","",'01_Warehouse_Ledger'!$A1105)</f>
        <v/>
      </c>
    </row>
    <row r="1106" spans="9:12">
      <c r="I1106" t="str">
        <f>IF(OR($A1106="",$B1106=""),"",IF(COUNTIFS($A$2:$A1106,$A1106,$B$2:$B1106,$B1106)=1,1,0))</f>
        <v/>
      </c>
      <c r="J1106" t="str">
        <f t="shared" si="17"/>
        <v/>
      </c>
      <c r="L1106" t="str">
        <f>IF('01_Warehouse_Ledger'!$A1106="","",'01_Warehouse_Ledger'!$A1106)</f>
        <v/>
      </c>
    </row>
    <row r="1107" spans="9:12">
      <c r="I1107" t="str">
        <f>IF(OR($A1107="",$B1107=""),"",IF(COUNTIFS($A$2:$A1107,$A1107,$B$2:$B1107,$B1107)=1,1,0))</f>
        <v/>
      </c>
      <c r="J1107" t="str">
        <f t="shared" si="17"/>
        <v/>
      </c>
      <c r="L1107" t="str">
        <f>IF('01_Warehouse_Ledger'!$A1107="","",'01_Warehouse_Ledger'!$A1107)</f>
        <v/>
      </c>
    </row>
    <row r="1108" spans="9:12">
      <c r="I1108" t="str">
        <f>IF(OR($A1108="",$B1108=""),"",IF(COUNTIFS($A$2:$A1108,$A1108,$B$2:$B1108,$B1108)=1,1,0))</f>
        <v/>
      </c>
      <c r="J1108" t="str">
        <f t="shared" si="17"/>
        <v/>
      </c>
      <c r="L1108" t="str">
        <f>IF('01_Warehouse_Ledger'!$A1108="","",'01_Warehouse_Ledger'!$A1108)</f>
        <v/>
      </c>
    </row>
    <row r="1109" spans="9:12">
      <c r="I1109" t="str">
        <f>IF(OR($A1109="",$B1109=""),"",IF(COUNTIFS($A$2:$A1109,$A1109,$B$2:$B1109,$B1109)=1,1,0))</f>
        <v/>
      </c>
      <c r="J1109" t="str">
        <f t="shared" si="17"/>
        <v/>
      </c>
      <c r="L1109" t="str">
        <f>IF('01_Warehouse_Ledger'!$A1109="","",'01_Warehouse_Ledger'!$A1109)</f>
        <v/>
      </c>
    </row>
    <row r="1110" spans="9:12">
      <c r="I1110" t="str">
        <f>IF(OR($A1110="",$B1110=""),"",IF(COUNTIFS($A$2:$A1110,$A1110,$B$2:$B1110,$B1110)=1,1,0))</f>
        <v/>
      </c>
      <c r="J1110" t="str">
        <f t="shared" si="17"/>
        <v/>
      </c>
      <c r="L1110" t="str">
        <f>IF('01_Warehouse_Ledger'!$A1110="","",'01_Warehouse_Ledger'!$A1110)</f>
        <v/>
      </c>
    </row>
    <row r="1111" spans="9:12">
      <c r="I1111" t="str">
        <f>IF(OR($A1111="",$B1111=""),"",IF(COUNTIFS($A$2:$A1111,$A1111,$B$2:$B1111,$B1111)=1,1,0))</f>
        <v/>
      </c>
      <c r="J1111" t="str">
        <f t="shared" si="17"/>
        <v/>
      </c>
      <c r="L1111" t="str">
        <f>IF('01_Warehouse_Ledger'!$A1111="","",'01_Warehouse_Ledger'!$A1111)</f>
        <v/>
      </c>
    </row>
    <row r="1112" spans="9:12">
      <c r="I1112" t="str">
        <f>IF(OR($A1112="",$B1112=""),"",IF(COUNTIFS($A$2:$A1112,$A1112,$B$2:$B1112,$B1112)=1,1,0))</f>
        <v/>
      </c>
      <c r="J1112" t="str">
        <f t="shared" si="17"/>
        <v/>
      </c>
      <c r="L1112" t="str">
        <f>IF('01_Warehouse_Ledger'!$A1112="","",'01_Warehouse_Ledger'!$A1112)</f>
        <v/>
      </c>
    </row>
    <row r="1113" spans="9:12">
      <c r="I1113" t="str">
        <f>IF(OR($A1113="",$B1113=""),"",IF(COUNTIFS($A$2:$A1113,$A1113,$B$2:$B1113,$B1113)=1,1,0))</f>
        <v/>
      </c>
      <c r="J1113" t="str">
        <f t="shared" si="17"/>
        <v/>
      </c>
      <c r="L1113" t="str">
        <f>IF('01_Warehouse_Ledger'!$A1113="","",'01_Warehouse_Ledger'!$A1113)</f>
        <v/>
      </c>
    </row>
    <row r="1114" spans="9:12">
      <c r="I1114" t="str">
        <f>IF(OR($A1114="",$B1114=""),"",IF(COUNTIFS($A$2:$A1114,$A1114,$B$2:$B1114,$B1114)=1,1,0))</f>
        <v/>
      </c>
      <c r="J1114" t="str">
        <f t="shared" si="17"/>
        <v/>
      </c>
      <c r="L1114" t="str">
        <f>IF('01_Warehouse_Ledger'!$A1114="","",'01_Warehouse_Ledger'!$A1114)</f>
        <v/>
      </c>
    </row>
    <row r="1115" spans="9:12">
      <c r="I1115" t="str">
        <f>IF(OR($A1115="",$B1115=""),"",IF(COUNTIFS($A$2:$A1115,$A1115,$B$2:$B1115,$B1115)=1,1,0))</f>
        <v/>
      </c>
      <c r="J1115" t="str">
        <f t="shared" si="17"/>
        <v/>
      </c>
      <c r="L1115" t="str">
        <f>IF('01_Warehouse_Ledger'!$A1115="","",'01_Warehouse_Ledger'!$A1115)</f>
        <v/>
      </c>
    </row>
    <row r="1116" spans="9:12">
      <c r="I1116" t="str">
        <f>IF(OR($A1116="",$B1116=""),"",IF(COUNTIFS($A$2:$A1116,$A1116,$B$2:$B1116,$B1116)=1,1,0))</f>
        <v/>
      </c>
      <c r="J1116" t="str">
        <f t="shared" si="17"/>
        <v/>
      </c>
      <c r="L1116" t="str">
        <f>IF('01_Warehouse_Ledger'!$A1116="","",'01_Warehouse_Ledger'!$A1116)</f>
        <v/>
      </c>
    </row>
    <row r="1117" spans="9:12">
      <c r="I1117" t="str">
        <f>IF(OR($A1117="",$B1117=""),"",IF(COUNTIFS($A$2:$A1117,$A1117,$B$2:$B1117,$B1117)=1,1,0))</f>
        <v/>
      </c>
      <c r="J1117" t="str">
        <f t="shared" si="17"/>
        <v/>
      </c>
      <c r="L1117" t="str">
        <f>IF('01_Warehouse_Ledger'!$A1117="","",'01_Warehouse_Ledger'!$A1117)</f>
        <v/>
      </c>
    </row>
    <row r="1118" spans="9:12">
      <c r="I1118" t="str">
        <f>IF(OR($A1118="",$B1118=""),"",IF(COUNTIFS($A$2:$A1118,$A1118,$B$2:$B1118,$B1118)=1,1,0))</f>
        <v/>
      </c>
      <c r="J1118" t="str">
        <f t="shared" si="17"/>
        <v/>
      </c>
      <c r="L1118" t="str">
        <f>IF('01_Warehouse_Ledger'!$A1118="","",'01_Warehouse_Ledger'!$A1118)</f>
        <v/>
      </c>
    </row>
    <row r="1119" spans="9:12">
      <c r="I1119" t="str">
        <f>IF(OR($A1119="",$B1119=""),"",IF(COUNTIFS($A$2:$A1119,$A1119,$B$2:$B1119,$B1119)=1,1,0))</f>
        <v/>
      </c>
      <c r="J1119" t="str">
        <f t="shared" si="17"/>
        <v/>
      </c>
      <c r="L1119" t="str">
        <f>IF('01_Warehouse_Ledger'!$A1119="","",'01_Warehouse_Ledger'!$A1119)</f>
        <v/>
      </c>
    </row>
    <row r="1120" spans="9:12">
      <c r="I1120" t="str">
        <f>IF(OR($A1120="",$B1120=""),"",IF(COUNTIFS($A$2:$A1120,$A1120,$B$2:$B1120,$B1120)=1,1,0))</f>
        <v/>
      </c>
      <c r="J1120" t="str">
        <f t="shared" si="17"/>
        <v/>
      </c>
      <c r="L1120" t="str">
        <f>IF('01_Warehouse_Ledger'!$A1120="","",'01_Warehouse_Ledger'!$A1120)</f>
        <v/>
      </c>
    </row>
    <row r="1121" spans="9:12">
      <c r="I1121" t="str">
        <f>IF(OR($A1121="",$B1121=""),"",IF(COUNTIFS($A$2:$A1121,$A1121,$B$2:$B1121,$B1121)=1,1,0))</f>
        <v/>
      </c>
      <c r="J1121" t="str">
        <f t="shared" si="17"/>
        <v/>
      </c>
      <c r="L1121" t="str">
        <f>IF('01_Warehouse_Ledger'!$A1121="","",'01_Warehouse_Ledger'!$A1121)</f>
        <v/>
      </c>
    </row>
    <row r="1122" spans="9:12">
      <c r="I1122" t="str">
        <f>IF(OR($A1122="",$B1122=""),"",IF(COUNTIFS($A$2:$A1122,$A1122,$B$2:$B1122,$B1122)=1,1,0))</f>
        <v/>
      </c>
      <c r="J1122" t="str">
        <f t="shared" si="17"/>
        <v/>
      </c>
      <c r="L1122" t="str">
        <f>IF('01_Warehouse_Ledger'!$A1122="","",'01_Warehouse_Ledger'!$A1122)</f>
        <v/>
      </c>
    </row>
    <row r="1123" spans="9:12">
      <c r="I1123" t="str">
        <f>IF(OR($A1123="",$B1123=""),"",IF(COUNTIFS($A$2:$A1123,$A1123,$B$2:$B1123,$B1123)=1,1,0))</f>
        <v/>
      </c>
      <c r="J1123" t="str">
        <f t="shared" si="17"/>
        <v/>
      </c>
      <c r="L1123" t="str">
        <f>IF('01_Warehouse_Ledger'!$A1123="","",'01_Warehouse_Ledger'!$A1123)</f>
        <v/>
      </c>
    </row>
    <row r="1124" spans="9:12">
      <c r="I1124" t="str">
        <f>IF(OR($A1124="",$B1124=""),"",IF(COUNTIFS($A$2:$A1124,$A1124,$B$2:$B1124,$B1124)=1,1,0))</f>
        <v/>
      </c>
      <c r="J1124" t="str">
        <f t="shared" si="17"/>
        <v/>
      </c>
      <c r="L1124" t="str">
        <f>IF('01_Warehouse_Ledger'!$A1124="","",'01_Warehouse_Ledger'!$A1124)</f>
        <v/>
      </c>
    </row>
    <row r="1125" spans="9:12">
      <c r="I1125" t="str">
        <f>IF(OR($A1125="",$B1125=""),"",IF(COUNTIFS($A$2:$A1125,$A1125,$B$2:$B1125,$B1125)=1,1,0))</f>
        <v/>
      </c>
      <c r="J1125" t="str">
        <f t="shared" si="17"/>
        <v/>
      </c>
      <c r="L1125" t="str">
        <f>IF('01_Warehouse_Ledger'!$A1125="","",'01_Warehouse_Ledger'!$A1125)</f>
        <v/>
      </c>
    </row>
    <row r="1126" spans="9:12">
      <c r="I1126" t="str">
        <f>IF(OR($A1126="",$B1126=""),"",IF(COUNTIFS($A$2:$A1126,$A1126,$B$2:$B1126,$B1126)=1,1,0))</f>
        <v/>
      </c>
      <c r="J1126" t="str">
        <f t="shared" si="17"/>
        <v/>
      </c>
      <c r="L1126" t="str">
        <f>IF('01_Warehouse_Ledger'!$A1126="","",'01_Warehouse_Ledger'!$A1126)</f>
        <v/>
      </c>
    </row>
    <row r="1127" spans="9:12">
      <c r="I1127" t="str">
        <f>IF(OR($A1127="",$B1127=""),"",IF(COUNTIFS($A$2:$A1127,$A1127,$B$2:$B1127,$B1127)=1,1,0))</f>
        <v/>
      </c>
      <c r="J1127" t="str">
        <f t="shared" si="17"/>
        <v/>
      </c>
      <c r="L1127" t="str">
        <f>IF('01_Warehouse_Ledger'!$A1127="","",'01_Warehouse_Ledger'!$A1127)</f>
        <v/>
      </c>
    </row>
    <row r="1128" spans="9:12">
      <c r="I1128" t="str">
        <f>IF(OR($A1128="",$B1128=""),"",IF(COUNTIFS($A$2:$A1128,$A1128,$B$2:$B1128,$B1128)=1,1,0))</f>
        <v/>
      </c>
      <c r="J1128" t="str">
        <f t="shared" si="17"/>
        <v/>
      </c>
      <c r="L1128" t="str">
        <f>IF('01_Warehouse_Ledger'!$A1128="","",'01_Warehouse_Ledger'!$A1128)</f>
        <v/>
      </c>
    </row>
    <row r="1129" spans="9:12">
      <c r="I1129" t="str">
        <f>IF(OR($A1129="",$B1129=""),"",IF(COUNTIFS($A$2:$A1129,$A1129,$B$2:$B1129,$B1129)=1,1,0))</f>
        <v/>
      </c>
      <c r="J1129" t="str">
        <f t="shared" si="17"/>
        <v/>
      </c>
      <c r="L1129" t="str">
        <f>IF('01_Warehouse_Ledger'!$A1129="","",'01_Warehouse_Ledger'!$A1129)</f>
        <v/>
      </c>
    </row>
    <row r="1130" spans="9:12">
      <c r="I1130" t="str">
        <f>IF(OR($A1130="",$B1130=""),"",IF(COUNTIFS($A$2:$A1130,$A1130,$B$2:$B1130,$B1130)=1,1,0))</f>
        <v/>
      </c>
      <c r="J1130" t="str">
        <f t="shared" si="17"/>
        <v/>
      </c>
      <c r="L1130" t="str">
        <f>IF('01_Warehouse_Ledger'!$A1130="","",'01_Warehouse_Ledger'!$A1130)</f>
        <v/>
      </c>
    </row>
    <row r="1131" spans="9:12">
      <c r="I1131" t="str">
        <f>IF(OR($A1131="",$B1131=""),"",IF(COUNTIFS($A$2:$A1131,$A1131,$B$2:$B1131,$B1131)=1,1,0))</f>
        <v/>
      </c>
      <c r="J1131" t="str">
        <f t="shared" si="17"/>
        <v/>
      </c>
      <c r="L1131" t="str">
        <f>IF('01_Warehouse_Ledger'!$A1131="","",'01_Warehouse_Ledger'!$A1131)</f>
        <v/>
      </c>
    </row>
    <row r="1132" spans="9:12">
      <c r="I1132" t="str">
        <f>IF(OR($A1132="",$B1132=""),"",IF(COUNTIFS($A$2:$A1132,$A1132,$B$2:$B1132,$B1132)=1,1,0))</f>
        <v/>
      </c>
      <c r="J1132" t="str">
        <f t="shared" si="17"/>
        <v/>
      </c>
      <c r="L1132" t="str">
        <f>IF('01_Warehouse_Ledger'!$A1132="","",'01_Warehouse_Ledger'!$A1132)</f>
        <v/>
      </c>
    </row>
    <row r="1133" spans="9:12">
      <c r="I1133" t="str">
        <f>IF(OR($A1133="",$B1133=""),"",IF(COUNTIFS($A$2:$A1133,$A1133,$B$2:$B1133,$B1133)=1,1,0))</f>
        <v/>
      </c>
      <c r="J1133" t="str">
        <f t="shared" si="17"/>
        <v/>
      </c>
      <c r="L1133" t="str">
        <f>IF('01_Warehouse_Ledger'!$A1133="","",'01_Warehouse_Ledger'!$A1133)</f>
        <v/>
      </c>
    </row>
    <row r="1134" spans="9:12">
      <c r="I1134" t="str">
        <f>IF(OR($A1134="",$B1134=""),"",IF(COUNTIFS($A$2:$A1134,$A1134,$B$2:$B1134,$B1134)=1,1,0))</f>
        <v/>
      </c>
      <c r="J1134" t="str">
        <f t="shared" si="17"/>
        <v/>
      </c>
      <c r="L1134" t="str">
        <f>IF('01_Warehouse_Ledger'!$A1134="","",'01_Warehouse_Ledger'!$A1134)</f>
        <v/>
      </c>
    </row>
    <row r="1135" spans="9:12">
      <c r="I1135" t="str">
        <f>IF(OR($A1135="",$B1135=""),"",IF(COUNTIFS($A$2:$A1135,$A1135,$B$2:$B1135,$B1135)=1,1,0))</f>
        <v/>
      </c>
      <c r="J1135" t="str">
        <f t="shared" si="17"/>
        <v/>
      </c>
      <c r="L1135" t="str">
        <f>IF('01_Warehouse_Ledger'!$A1135="","",'01_Warehouse_Ledger'!$A1135)</f>
        <v/>
      </c>
    </row>
    <row r="1136" spans="9:12">
      <c r="I1136" t="str">
        <f>IF(OR($A1136="",$B1136=""),"",IF(COUNTIFS($A$2:$A1136,$A1136,$B$2:$B1136,$B1136)=1,1,0))</f>
        <v/>
      </c>
      <c r="J1136" t="str">
        <f t="shared" si="17"/>
        <v/>
      </c>
      <c r="L1136" t="str">
        <f>IF('01_Warehouse_Ledger'!$A1136="","",'01_Warehouse_Ledger'!$A1136)</f>
        <v/>
      </c>
    </row>
    <row r="1137" spans="9:12">
      <c r="I1137" t="str">
        <f>IF(OR($A1137="",$B1137=""),"",IF(COUNTIFS($A$2:$A1137,$A1137,$B$2:$B1137,$B1137)=1,1,0))</f>
        <v/>
      </c>
      <c r="J1137" t="str">
        <f t="shared" si="17"/>
        <v/>
      </c>
      <c r="L1137" t="str">
        <f>IF('01_Warehouse_Ledger'!$A1137="","",'01_Warehouse_Ledger'!$A1137)</f>
        <v/>
      </c>
    </row>
    <row r="1138" spans="9:12">
      <c r="I1138" t="str">
        <f>IF(OR($A1138="",$B1138=""),"",IF(COUNTIFS($A$2:$A1138,$A1138,$B$2:$B1138,$B1138)=1,1,0))</f>
        <v/>
      </c>
      <c r="J1138" t="str">
        <f t="shared" si="17"/>
        <v/>
      </c>
      <c r="L1138" t="str">
        <f>IF('01_Warehouse_Ledger'!$A1138="","",'01_Warehouse_Ledger'!$A1138)</f>
        <v/>
      </c>
    </row>
    <row r="1139" spans="9:12">
      <c r="I1139" t="str">
        <f>IF(OR($A1139="",$B1139=""),"",IF(COUNTIFS($A$2:$A1139,$A1139,$B$2:$B1139,$B1139)=1,1,0))</f>
        <v/>
      </c>
      <c r="J1139" t="str">
        <f t="shared" si="17"/>
        <v/>
      </c>
      <c r="L1139" t="str">
        <f>IF('01_Warehouse_Ledger'!$A1139="","",'01_Warehouse_Ledger'!$A1139)</f>
        <v/>
      </c>
    </row>
    <row r="1140" spans="9:12">
      <c r="I1140" t="str">
        <f>IF(OR($A1140="",$B1140=""),"",IF(COUNTIFS($A$2:$A1140,$A1140,$B$2:$B1140,$B1140)=1,1,0))</f>
        <v/>
      </c>
      <c r="J1140" t="str">
        <f t="shared" si="17"/>
        <v/>
      </c>
      <c r="L1140" t="str">
        <f>IF('01_Warehouse_Ledger'!$A1140="","",'01_Warehouse_Ledger'!$A1140)</f>
        <v/>
      </c>
    </row>
    <row r="1141" spans="9:12">
      <c r="I1141" t="str">
        <f>IF(OR($A1141="",$B1141=""),"",IF(COUNTIFS($A$2:$A1141,$A1141,$B$2:$B1141,$B1141)=1,1,0))</f>
        <v/>
      </c>
      <c r="J1141" t="str">
        <f t="shared" si="17"/>
        <v/>
      </c>
      <c r="L1141" t="str">
        <f>IF('01_Warehouse_Ledger'!$A1141="","",'01_Warehouse_Ledger'!$A1141)</f>
        <v/>
      </c>
    </row>
    <row r="1142" spans="9:12">
      <c r="I1142" t="str">
        <f>IF(OR($A1142="",$B1142=""),"",IF(COUNTIFS($A$2:$A1142,$A1142,$B$2:$B1142,$B1142)=1,1,0))</f>
        <v/>
      </c>
      <c r="J1142" t="str">
        <f t="shared" si="17"/>
        <v/>
      </c>
      <c r="L1142" t="str">
        <f>IF('01_Warehouse_Ledger'!$A1142="","",'01_Warehouse_Ledger'!$A1142)</f>
        <v/>
      </c>
    </row>
    <row r="1143" spans="9:12">
      <c r="I1143" t="str">
        <f>IF(OR($A1143="",$B1143=""),"",IF(COUNTIFS($A$2:$A1143,$A1143,$B$2:$B1143,$B1143)=1,1,0))</f>
        <v/>
      </c>
      <c r="J1143" t="str">
        <f t="shared" si="17"/>
        <v/>
      </c>
      <c r="L1143" t="str">
        <f>IF('01_Warehouse_Ledger'!$A1143="","",'01_Warehouse_Ledger'!$A1143)</f>
        <v/>
      </c>
    </row>
    <row r="1144" spans="9:12">
      <c r="I1144" t="str">
        <f>IF(OR($A1144="",$B1144=""),"",IF(COUNTIFS($A$2:$A1144,$A1144,$B$2:$B1144,$B1144)=1,1,0))</f>
        <v/>
      </c>
      <c r="J1144" t="str">
        <f t="shared" si="17"/>
        <v/>
      </c>
      <c r="L1144" t="str">
        <f>IF('01_Warehouse_Ledger'!$A1144="","",'01_Warehouse_Ledger'!$A1144)</f>
        <v/>
      </c>
    </row>
    <row r="1145" spans="9:12">
      <c r="I1145" t="str">
        <f>IF(OR($A1145="",$B1145=""),"",IF(COUNTIFS($A$2:$A1145,$A1145,$B$2:$B1145,$B1145)=1,1,0))</f>
        <v/>
      </c>
      <c r="J1145" t="str">
        <f t="shared" si="17"/>
        <v/>
      </c>
      <c r="L1145" t="str">
        <f>IF('01_Warehouse_Ledger'!$A1145="","",'01_Warehouse_Ledger'!$A1145)</f>
        <v/>
      </c>
    </row>
    <row r="1146" spans="9:12">
      <c r="I1146" t="str">
        <f>IF(OR($A1146="",$B1146=""),"",IF(COUNTIFS($A$2:$A1146,$A1146,$B$2:$B1146,$B1146)=1,1,0))</f>
        <v/>
      </c>
      <c r="J1146" t="str">
        <f t="shared" si="17"/>
        <v/>
      </c>
      <c r="L1146" t="str">
        <f>IF('01_Warehouse_Ledger'!$A1146="","",'01_Warehouse_Ledger'!$A1146)</f>
        <v/>
      </c>
    </row>
    <row r="1147" spans="9:12">
      <c r="I1147" t="str">
        <f>IF(OR($A1147="",$B1147=""),"",IF(COUNTIFS($A$2:$A1147,$A1147,$B$2:$B1147,$B1147)=1,1,0))</f>
        <v/>
      </c>
      <c r="J1147" t="str">
        <f t="shared" si="17"/>
        <v/>
      </c>
      <c r="L1147" t="str">
        <f>IF('01_Warehouse_Ledger'!$A1147="","",'01_Warehouse_Ledger'!$A1147)</f>
        <v/>
      </c>
    </row>
    <row r="1148" spans="9:12">
      <c r="I1148" t="str">
        <f>IF(OR($A1148="",$B1148=""),"",IF(COUNTIFS($A$2:$A1148,$A1148,$B$2:$B1148,$B1148)=1,1,0))</f>
        <v/>
      </c>
      <c r="J1148" t="str">
        <f t="shared" si="17"/>
        <v/>
      </c>
      <c r="L1148" t="str">
        <f>IF('01_Warehouse_Ledger'!$A1148="","",'01_Warehouse_Ledger'!$A1148)</f>
        <v/>
      </c>
    </row>
    <row r="1149" spans="9:12">
      <c r="I1149" t="str">
        <f>IF(OR($A1149="",$B1149=""),"",IF(COUNTIFS($A$2:$A1149,$A1149,$B$2:$B1149,$B1149)=1,1,0))</f>
        <v/>
      </c>
      <c r="J1149" t="str">
        <f t="shared" si="17"/>
        <v/>
      </c>
      <c r="L1149" t="str">
        <f>IF('01_Warehouse_Ledger'!$A1149="","",'01_Warehouse_Ledger'!$A1149)</f>
        <v/>
      </c>
    </row>
    <row r="1150" spans="9:12">
      <c r="I1150" t="str">
        <f>IF(OR($A1150="",$B1150=""),"",IF(COUNTIFS($A$2:$A1150,$A1150,$B$2:$B1150,$B1150)=1,1,0))</f>
        <v/>
      </c>
      <c r="J1150" t="str">
        <f t="shared" si="17"/>
        <v/>
      </c>
      <c r="L1150" t="str">
        <f>IF('01_Warehouse_Ledger'!$A1150="","",'01_Warehouse_Ledger'!$A1150)</f>
        <v/>
      </c>
    </row>
    <row r="1151" spans="9:12">
      <c r="I1151" t="str">
        <f>IF(OR($A1151="",$B1151=""),"",IF(COUNTIFS($A$2:$A1151,$A1151,$B$2:$B1151,$B1151)=1,1,0))</f>
        <v/>
      </c>
      <c r="J1151" t="str">
        <f t="shared" si="17"/>
        <v/>
      </c>
      <c r="L1151" t="str">
        <f>IF('01_Warehouse_Ledger'!$A1151="","",'01_Warehouse_Ledger'!$A1151)</f>
        <v/>
      </c>
    </row>
    <row r="1152" spans="9:12">
      <c r="I1152" t="str">
        <f>IF(OR($A1152="",$B1152=""),"",IF(COUNTIFS($A$2:$A1152,$A1152,$B$2:$B1152,$B1152)=1,1,0))</f>
        <v/>
      </c>
      <c r="J1152" t="str">
        <f t="shared" si="17"/>
        <v/>
      </c>
      <c r="L1152" t="str">
        <f>IF('01_Warehouse_Ledger'!$A1152="","",'01_Warehouse_Ledger'!$A1152)</f>
        <v/>
      </c>
    </row>
    <row r="1153" spans="9:12">
      <c r="I1153" t="str">
        <f>IF(OR($A1153="",$B1153=""),"",IF(COUNTIFS($A$2:$A1153,$A1153,$B$2:$B1153,$B1153)=1,1,0))</f>
        <v/>
      </c>
      <c r="J1153" t="str">
        <f t="shared" si="17"/>
        <v/>
      </c>
      <c r="L1153" t="str">
        <f>IF('01_Warehouse_Ledger'!$A1153="","",'01_Warehouse_Ledger'!$A1153)</f>
        <v/>
      </c>
    </row>
    <row r="1154" spans="9:12">
      <c r="I1154" t="str">
        <f>IF(OR($A1154="",$B1154=""),"",IF(COUNTIFS($A$2:$A1154,$A1154,$B$2:$B1154,$B1154)=1,1,0))</f>
        <v/>
      </c>
      <c r="J1154" t="str">
        <f t="shared" ref="J1154:J1217" si="18">IF($A1154="","",ROW())</f>
        <v/>
      </c>
      <c r="L1154" t="str">
        <f>IF('01_Warehouse_Ledger'!$A1154="","",'01_Warehouse_Ledger'!$A1154)</f>
        <v/>
      </c>
    </row>
    <row r="1155" spans="9:12">
      <c r="I1155" t="str">
        <f>IF(OR($A1155="",$B1155=""),"",IF(COUNTIFS($A$2:$A1155,$A1155,$B$2:$B1155,$B1155)=1,1,0))</f>
        <v/>
      </c>
      <c r="J1155" t="str">
        <f t="shared" si="18"/>
        <v/>
      </c>
      <c r="L1155" t="str">
        <f>IF('01_Warehouse_Ledger'!$A1155="","",'01_Warehouse_Ledger'!$A1155)</f>
        <v/>
      </c>
    </row>
    <row r="1156" spans="9:12">
      <c r="I1156" t="str">
        <f>IF(OR($A1156="",$B1156=""),"",IF(COUNTIFS($A$2:$A1156,$A1156,$B$2:$B1156,$B1156)=1,1,0))</f>
        <v/>
      </c>
      <c r="J1156" t="str">
        <f t="shared" si="18"/>
        <v/>
      </c>
      <c r="L1156" t="str">
        <f>IF('01_Warehouse_Ledger'!$A1156="","",'01_Warehouse_Ledger'!$A1156)</f>
        <v/>
      </c>
    </row>
    <row r="1157" spans="9:12">
      <c r="I1157" t="str">
        <f>IF(OR($A1157="",$B1157=""),"",IF(COUNTIFS($A$2:$A1157,$A1157,$B$2:$B1157,$B1157)=1,1,0))</f>
        <v/>
      </c>
      <c r="J1157" t="str">
        <f t="shared" si="18"/>
        <v/>
      </c>
      <c r="L1157" t="str">
        <f>IF('01_Warehouse_Ledger'!$A1157="","",'01_Warehouse_Ledger'!$A1157)</f>
        <v/>
      </c>
    </row>
    <row r="1158" spans="9:12">
      <c r="I1158" t="str">
        <f>IF(OR($A1158="",$B1158=""),"",IF(COUNTIFS($A$2:$A1158,$A1158,$B$2:$B1158,$B1158)=1,1,0))</f>
        <v/>
      </c>
      <c r="J1158" t="str">
        <f t="shared" si="18"/>
        <v/>
      </c>
      <c r="L1158" t="str">
        <f>IF('01_Warehouse_Ledger'!$A1158="","",'01_Warehouse_Ledger'!$A1158)</f>
        <v/>
      </c>
    </row>
    <row r="1159" spans="9:12">
      <c r="I1159" t="str">
        <f>IF(OR($A1159="",$B1159=""),"",IF(COUNTIFS($A$2:$A1159,$A1159,$B$2:$B1159,$B1159)=1,1,0))</f>
        <v/>
      </c>
      <c r="J1159" t="str">
        <f t="shared" si="18"/>
        <v/>
      </c>
      <c r="L1159" t="str">
        <f>IF('01_Warehouse_Ledger'!$A1159="","",'01_Warehouse_Ledger'!$A1159)</f>
        <v/>
      </c>
    </row>
    <row r="1160" spans="9:12">
      <c r="I1160" t="str">
        <f>IF(OR($A1160="",$B1160=""),"",IF(COUNTIFS($A$2:$A1160,$A1160,$B$2:$B1160,$B1160)=1,1,0))</f>
        <v/>
      </c>
      <c r="J1160" t="str">
        <f t="shared" si="18"/>
        <v/>
      </c>
      <c r="L1160" t="str">
        <f>IF('01_Warehouse_Ledger'!$A1160="","",'01_Warehouse_Ledger'!$A1160)</f>
        <v/>
      </c>
    </row>
    <row r="1161" spans="9:12">
      <c r="I1161" t="str">
        <f>IF(OR($A1161="",$B1161=""),"",IF(COUNTIFS($A$2:$A1161,$A1161,$B$2:$B1161,$B1161)=1,1,0))</f>
        <v/>
      </c>
      <c r="J1161" t="str">
        <f t="shared" si="18"/>
        <v/>
      </c>
      <c r="L1161" t="str">
        <f>IF('01_Warehouse_Ledger'!$A1161="","",'01_Warehouse_Ledger'!$A1161)</f>
        <v/>
      </c>
    </row>
    <row r="1162" spans="9:12">
      <c r="I1162" t="str">
        <f>IF(OR($A1162="",$B1162=""),"",IF(COUNTIFS($A$2:$A1162,$A1162,$B$2:$B1162,$B1162)=1,1,0))</f>
        <v/>
      </c>
      <c r="J1162" t="str">
        <f t="shared" si="18"/>
        <v/>
      </c>
      <c r="L1162" t="str">
        <f>IF('01_Warehouse_Ledger'!$A1162="","",'01_Warehouse_Ledger'!$A1162)</f>
        <v/>
      </c>
    </row>
    <row r="1163" spans="9:12">
      <c r="I1163" t="str">
        <f>IF(OR($A1163="",$B1163=""),"",IF(COUNTIFS($A$2:$A1163,$A1163,$B$2:$B1163,$B1163)=1,1,0))</f>
        <v/>
      </c>
      <c r="J1163" t="str">
        <f t="shared" si="18"/>
        <v/>
      </c>
      <c r="L1163" t="str">
        <f>IF('01_Warehouse_Ledger'!$A1163="","",'01_Warehouse_Ledger'!$A1163)</f>
        <v/>
      </c>
    </row>
    <row r="1164" spans="9:12">
      <c r="I1164" t="str">
        <f>IF(OR($A1164="",$B1164=""),"",IF(COUNTIFS($A$2:$A1164,$A1164,$B$2:$B1164,$B1164)=1,1,0))</f>
        <v/>
      </c>
      <c r="J1164" t="str">
        <f t="shared" si="18"/>
        <v/>
      </c>
      <c r="L1164" t="str">
        <f>IF('01_Warehouse_Ledger'!$A1164="","",'01_Warehouse_Ledger'!$A1164)</f>
        <v/>
      </c>
    </row>
    <row r="1165" spans="9:12">
      <c r="I1165" t="str">
        <f>IF(OR($A1165="",$B1165=""),"",IF(COUNTIFS($A$2:$A1165,$A1165,$B$2:$B1165,$B1165)=1,1,0))</f>
        <v/>
      </c>
      <c r="J1165" t="str">
        <f t="shared" si="18"/>
        <v/>
      </c>
      <c r="L1165" t="str">
        <f>IF('01_Warehouse_Ledger'!$A1165="","",'01_Warehouse_Ledger'!$A1165)</f>
        <v/>
      </c>
    </row>
    <row r="1166" spans="9:12">
      <c r="I1166" t="str">
        <f>IF(OR($A1166="",$B1166=""),"",IF(COUNTIFS($A$2:$A1166,$A1166,$B$2:$B1166,$B1166)=1,1,0))</f>
        <v/>
      </c>
      <c r="J1166" t="str">
        <f t="shared" si="18"/>
        <v/>
      </c>
      <c r="L1166" t="str">
        <f>IF('01_Warehouse_Ledger'!$A1166="","",'01_Warehouse_Ledger'!$A1166)</f>
        <v/>
      </c>
    </row>
    <row r="1167" spans="9:12">
      <c r="I1167" t="str">
        <f>IF(OR($A1167="",$B1167=""),"",IF(COUNTIFS($A$2:$A1167,$A1167,$B$2:$B1167,$B1167)=1,1,0))</f>
        <v/>
      </c>
      <c r="J1167" t="str">
        <f t="shared" si="18"/>
        <v/>
      </c>
      <c r="L1167" t="str">
        <f>IF('01_Warehouse_Ledger'!$A1167="","",'01_Warehouse_Ledger'!$A1167)</f>
        <v/>
      </c>
    </row>
    <row r="1168" spans="9:12">
      <c r="I1168" t="str">
        <f>IF(OR($A1168="",$B1168=""),"",IF(COUNTIFS($A$2:$A1168,$A1168,$B$2:$B1168,$B1168)=1,1,0))</f>
        <v/>
      </c>
      <c r="J1168" t="str">
        <f t="shared" si="18"/>
        <v/>
      </c>
      <c r="L1168" t="str">
        <f>IF('01_Warehouse_Ledger'!$A1168="","",'01_Warehouse_Ledger'!$A1168)</f>
        <v/>
      </c>
    </row>
    <row r="1169" spans="9:12">
      <c r="I1169" t="str">
        <f>IF(OR($A1169="",$B1169=""),"",IF(COUNTIFS($A$2:$A1169,$A1169,$B$2:$B1169,$B1169)=1,1,0))</f>
        <v/>
      </c>
      <c r="J1169" t="str">
        <f t="shared" si="18"/>
        <v/>
      </c>
      <c r="L1169" t="str">
        <f>IF('01_Warehouse_Ledger'!$A1169="","",'01_Warehouse_Ledger'!$A1169)</f>
        <v/>
      </c>
    </row>
    <row r="1170" spans="9:12">
      <c r="I1170" t="str">
        <f>IF(OR($A1170="",$B1170=""),"",IF(COUNTIFS($A$2:$A1170,$A1170,$B$2:$B1170,$B1170)=1,1,0))</f>
        <v/>
      </c>
      <c r="J1170" t="str">
        <f t="shared" si="18"/>
        <v/>
      </c>
      <c r="L1170" t="str">
        <f>IF('01_Warehouse_Ledger'!$A1170="","",'01_Warehouse_Ledger'!$A1170)</f>
        <v/>
      </c>
    </row>
    <row r="1171" spans="9:12">
      <c r="I1171" t="str">
        <f>IF(OR($A1171="",$B1171=""),"",IF(COUNTIFS($A$2:$A1171,$A1171,$B$2:$B1171,$B1171)=1,1,0))</f>
        <v/>
      </c>
      <c r="J1171" t="str">
        <f t="shared" si="18"/>
        <v/>
      </c>
      <c r="L1171" t="str">
        <f>IF('01_Warehouse_Ledger'!$A1171="","",'01_Warehouse_Ledger'!$A1171)</f>
        <v/>
      </c>
    </row>
    <row r="1172" spans="9:12">
      <c r="I1172" t="str">
        <f>IF(OR($A1172="",$B1172=""),"",IF(COUNTIFS($A$2:$A1172,$A1172,$B$2:$B1172,$B1172)=1,1,0))</f>
        <v/>
      </c>
      <c r="J1172" t="str">
        <f t="shared" si="18"/>
        <v/>
      </c>
      <c r="L1172" t="str">
        <f>IF('01_Warehouse_Ledger'!$A1172="","",'01_Warehouse_Ledger'!$A1172)</f>
        <v/>
      </c>
    </row>
    <row r="1173" spans="9:12">
      <c r="I1173" t="str">
        <f>IF(OR($A1173="",$B1173=""),"",IF(COUNTIFS($A$2:$A1173,$A1173,$B$2:$B1173,$B1173)=1,1,0))</f>
        <v/>
      </c>
      <c r="J1173" t="str">
        <f t="shared" si="18"/>
        <v/>
      </c>
      <c r="L1173" t="str">
        <f>IF('01_Warehouse_Ledger'!$A1173="","",'01_Warehouse_Ledger'!$A1173)</f>
        <v/>
      </c>
    </row>
    <row r="1174" spans="9:12">
      <c r="I1174" t="str">
        <f>IF(OR($A1174="",$B1174=""),"",IF(COUNTIFS($A$2:$A1174,$A1174,$B$2:$B1174,$B1174)=1,1,0))</f>
        <v/>
      </c>
      <c r="J1174" t="str">
        <f t="shared" si="18"/>
        <v/>
      </c>
      <c r="L1174" t="str">
        <f>IF('01_Warehouse_Ledger'!$A1174="","",'01_Warehouse_Ledger'!$A1174)</f>
        <v/>
      </c>
    </row>
    <row r="1175" spans="9:12">
      <c r="I1175" t="str">
        <f>IF(OR($A1175="",$B1175=""),"",IF(COUNTIFS($A$2:$A1175,$A1175,$B$2:$B1175,$B1175)=1,1,0))</f>
        <v/>
      </c>
      <c r="J1175" t="str">
        <f t="shared" si="18"/>
        <v/>
      </c>
      <c r="L1175" t="str">
        <f>IF('01_Warehouse_Ledger'!$A1175="","",'01_Warehouse_Ledger'!$A1175)</f>
        <v/>
      </c>
    </row>
    <row r="1176" spans="9:12">
      <c r="I1176" t="str">
        <f>IF(OR($A1176="",$B1176=""),"",IF(COUNTIFS($A$2:$A1176,$A1176,$B$2:$B1176,$B1176)=1,1,0))</f>
        <v/>
      </c>
      <c r="J1176" t="str">
        <f t="shared" si="18"/>
        <v/>
      </c>
      <c r="L1176" t="str">
        <f>IF('01_Warehouse_Ledger'!$A1176="","",'01_Warehouse_Ledger'!$A1176)</f>
        <v/>
      </c>
    </row>
    <row r="1177" spans="9:12">
      <c r="I1177" t="str">
        <f>IF(OR($A1177="",$B1177=""),"",IF(COUNTIFS($A$2:$A1177,$A1177,$B$2:$B1177,$B1177)=1,1,0))</f>
        <v/>
      </c>
      <c r="J1177" t="str">
        <f t="shared" si="18"/>
        <v/>
      </c>
      <c r="L1177" t="str">
        <f>IF('01_Warehouse_Ledger'!$A1177="","",'01_Warehouse_Ledger'!$A1177)</f>
        <v/>
      </c>
    </row>
    <row r="1178" spans="9:12">
      <c r="I1178" t="str">
        <f>IF(OR($A1178="",$B1178=""),"",IF(COUNTIFS($A$2:$A1178,$A1178,$B$2:$B1178,$B1178)=1,1,0))</f>
        <v/>
      </c>
      <c r="J1178" t="str">
        <f t="shared" si="18"/>
        <v/>
      </c>
      <c r="L1178" t="str">
        <f>IF('01_Warehouse_Ledger'!$A1178="","",'01_Warehouse_Ledger'!$A1178)</f>
        <v/>
      </c>
    </row>
    <row r="1179" spans="9:12">
      <c r="I1179" t="str">
        <f>IF(OR($A1179="",$B1179=""),"",IF(COUNTIFS($A$2:$A1179,$A1179,$B$2:$B1179,$B1179)=1,1,0))</f>
        <v/>
      </c>
      <c r="J1179" t="str">
        <f t="shared" si="18"/>
        <v/>
      </c>
      <c r="L1179" t="str">
        <f>IF('01_Warehouse_Ledger'!$A1179="","",'01_Warehouse_Ledger'!$A1179)</f>
        <v/>
      </c>
    </row>
    <row r="1180" spans="9:12">
      <c r="I1180" t="str">
        <f>IF(OR($A1180="",$B1180=""),"",IF(COUNTIFS($A$2:$A1180,$A1180,$B$2:$B1180,$B1180)=1,1,0))</f>
        <v/>
      </c>
      <c r="J1180" t="str">
        <f t="shared" si="18"/>
        <v/>
      </c>
      <c r="L1180" t="str">
        <f>IF('01_Warehouse_Ledger'!$A1180="","",'01_Warehouse_Ledger'!$A1180)</f>
        <v/>
      </c>
    </row>
    <row r="1181" spans="9:12">
      <c r="I1181" t="str">
        <f>IF(OR($A1181="",$B1181=""),"",IF(COUNTIFS($A$2:$A1181,$A1181,$B$2:$B1181,$B1181)=1,1,0))</f>
        <v/>
      </c>
      <c r="J1181" t="str">
        <f t="shared" si="18"/>
        <v/>
      </c>
      <c r="L1181" t="str">
        <f>IF('01_Warehouse_Ledger'!$A1181="","",'01_Warehouse_Ledger'!$A1181)</f>
        <v/>
      </c>
    </row>
    <row r="1182" spans="9:12">
      <c r="I1182" t="str">
        <f>IF(OR($A1182="",$B1182=""),"",IF(COUNTIFS($A$2:$A1182,$A1182,$B$2:$B1182,$B1182)=1,1,0))</f>
        <v/>
      </c>
      <c r="J1182" t="str">
        <f t="shared" si="18"/>
        <v/>
      </c>
      <c r="L1182" t="str">
        <f>IF('01_Warehouse_Ledger'!$A1182="","",'01_Warehouse_Ledger'!$A1182)</f>
        <v/>
      </c>
    </row>
    <row r="1183" spans="9:12">
      <c r="I1183" t="str">
        <f>IF(OR($A1183="",$B1183=""),"",IF(COUNTIFS($A$2:$A1183,$A1183,$B$2:$B1183,$B1183)=1,1,0))</f>
        <v/>
      </c>
      <c r="J1183" t="str">
        <f t="shared" si="18"/>
        <v/>
      </c>
      <c r="L1183" t="str">
        <f>IF('01_Warehouse_Ledger'!$A1183="","",'01_Warehouse_Ledger'!$A1183)</f>
        <v/>
      </c>
    </row>
    <row r="1184" spans="9:12">
      <c r="I1184" t="str">
        <f>IF(OR($A1184="",$B1184=""),"",IF(COUNTIFS($A$2:$A1184,$A1184,$B$2:$B1184,$B1184)=1,1,0))</f>
        <v/>
      </c>
      <c r="J1184" t="str">
        <f t="shared" si="18"/>
        <v/>
      </c>
      <c r="L1184" t="str">
        <f>IF('01_Warehouse_Ledger'!$A1184="","",'01_Warehouse_Ledger'!$A1184)</f>
        <v/>
      </c>
    </row>
    <row r="1185" spans="9:12">
      <c r="I1185" t="str">
        <f>IF(OR($A1185="",$B1185=""),"",IF(COUNTIFS($A$2:$A1185,$A1185,$B$2:$B1185,$B1185)=1,1,0))</f>
        <v/>
      </c>
      <c r="J1185" t="str">
        <f t="shared" si="18"/>
        <v/>
      </c>
      <c r="L1185" t="str">
        <f>IF('01_Warehouse_Ledger'!$A1185="","",'01_Warehouse_Ledger'!$A1185)</f>
        <v/>
      </c>
    </row>
    <row r="1186" spans="9:12">
      <c r="I1186" t="str">
        <f>IF(OR($A1186="",$B1186=""),"",IF(COUNTIFS($A$2:$A1186,$A1186,$B$2:$B1186,$B1186)=1,1,0))</f>
        <v/>
      </c>
      <c r="J1186" t="str">
        <f t="shared" si="18"/>
        <v/>
      </c>
      <c r="L1186" t="str">
        <f>IF('01_Warehouse_Ledger'!$A1186="","",'01_Warehouse_Ledger'!$A1186)</f>
        <v/>
      </c>
    </row>
    <row r="1187" spans="9:12">
      <c r="I1187" t="str">
        <f>IF(OR($A1187="",$B1187=""),"",IF(COUNTIFS($A$2:$A1187,$A1187,$B$2:$B1187,$B1187)=1,1,0))</f>
        <v/>
      </c>
      <c r="J1187" t="str">
        <f t="shared" si="18"/>
        <v/>
      </c>
      <c r="L1187" t="str">
        <f>IF('01_Warehouse_Ledger'!$A1187="","",'01_Warehouse_Ledger'!$A1187)</f>
        <v/>
      </c>
    </row>
    <row r="1188" spans="9:12">
      <c r="I1188" t="str">
        <f>IF(OR($A1188="",$B1188=""),"",IF(COUNTIFS($A$2:$A1188,$A1188,$B$2:$B1188,$B1188)=1,1,0))</f>
        <v/>
      </c>
      <c r="J1188" t="str">
        <f t="shared" si="18"/>
        <v/>
      </c>
      <c r="L1188" t="str">
        <f>IF('01_Warehouse_Ledger'!$A1188="","",'01_Warehouse_Ledger'!$A1188)</f>
        <v/>
      </c>
    </row>
    <row r="1189" spans="9:12">
      <c r="I1189" t="str">
        <f>IF(OR($A1189="",$B1189=""),"",IF(COUNTIFS($A$2:$A1189,$A1189,$B$2:$B1189,$B1189)=1,1,0))</f>
        <v/>
      </c>
      <c r="J1189" t="str">
        <f t="shared" si="18"/>
        <v/>
      </c>
      <c r="L1189" t="str">
        <f>IF('01_Warehouse_Ledger'!$A1189="","",'01_Warehouse_Ledger'!$A1189)</f>
        <v/>
      </c>
    </row>
    <row r="1190" spans="9:12">
      <c r="I1190" t="str">
        <f>IF(OR($A1190="",$B1190=""),"",IF(COUNTIFS($A$2:$A1190,$A1190,$B$2:$B1190,$B1190)=1,1,0))</f>
        <v/>
      </c>
      <c r="J1190" t="str">
        <f t="shared" si="18"/>
        <v/>
      </c>
      <c r="L1190" t="str">
        <f>IF('01_Warehouse_Ledger'!$A1190="","",'01_Warehouse_Ledger'!$A1190)</f>
        <v/>
      </c>
    </row>
    <row r="1191" spans="9:12">
      <c r="I1191" t="str">
        <f>IF(OR($A1191="",$B1191=""),"",IF(COUNTIFS($A$2:$A1191,$A1191,$B$2:$B1191,$B1191)=1,1,0))</f>
        <v/>
      </c>
      <c r="J1191" t="str">
        <f t="shared" si="18"/>
        <v/>
      </c>
      <c r="L1191" t="str">
        <f>IF('01_Warehouse_Ledger'!$A1191="","",'01_Warehouse_Ledger'!$A1191)</f>
        <v/>
      </c>
    </row>
    <row r="1192" spans="9:12">
      <c r="I1192" t="str">
        <f>IF(OR($A1192="",$B1192=""),"",IF(COUNTIFS($A$2:$A1192,$A1192,$B$2:$B1192,$B1192)=1,1,0))</f>
        <v/>
      </c>
      <c r="J1192" t="str">
        <f t="shared" si="18"/>
        <v/>
      </c>
      <c r="L1192" t="str">
        <f>IF('01_Warehouse_Ledger'!$A1192="","",'01_Warehouse_Ledger'!$A1192)</f>
        <v/>
      </c>
    </row>
    <row r="1193" spans="9:12">
      <c r="I1193" t="str">
        <f>IF(OR($A1193="",$B1193=""),"",IF(COUNTIFS($A$2:$A1193,$A1193,$B$2:$B1193,$B1193)=1,1,0))</f>
        <v/>
      </c>
      <c r="J1193" t="str">
        <f t="shared" si="18"/>
        <v/>
      </c>
      <c r="L1193" t="str">
        <f>IF('01_Warehouse_Ledger'!$A1193="","",'01_Warehouse_Ledger'!$A1193)</f>
        <v/>
      </c>
    </row>
    <row r="1194" spans="9:12">
      <c r="I1194" t="str">
        <f>IF(OR($A1194="",$B1194=""),"",IF(COUNTIFS($A$2:$A1194,$A1194,$B$2:$B1194,$B1194)=1,1,0))</f>
        <v/>
      </c>
      <c r="J1194" t="str">
        <f t="shared" si="18"/>
        <v/>
      </c>
      <c r="L1194" t="str">
        <f>IF('01_Warehouse_Ledger'!$A1194="","",'01_Warehouse_Ledger'!$A1194)</f>
        <v/>
      </c>
    </row>
    <row r="1195" spans="9:12">
      <c r="I1195" t="str">
        <f>IF(OR($A1195="",$B1195=""),"",IF(COUNTIFS($A$2:$A1195,$A1195,$B$2:$B1195,$B1195)=1,1,0))</f>
        <v/>
      </c>
      <c r="J1195" t="str">
        <f t="shared" si="18"/>
        <v/>
      </c>
      <c r="L1195" t="str">
        <f>IF('01_Warehouse_Ledger'!$A1195="","",'01_Warehouse_Ledger'!$A1195)</f>
        <v/>
      </c>
    </row>
    <row r="1196" spans="9:12">
      <c r="I1196" t="str">
        <f>IF(OR($A1196="",$B1196=""),"",IF(COUNTIFS($A$2:$A1196,$A1196,$B$2:$B1196,$B1196)=1,1,0))</f>
        <v/>
      </c>
      <c r="J1196" t="str">
        <f t="shared" si="18"/>
        <v/>
      </c>
      <c r="L1196" t="str">
        <f>IF('01_Warehouse_Ledger'!$A1196="","",'01_Warehouse_Ledger'!$A1196)</f>
        <v/>
      </c>
    </row>
    <row r="1197" spans="9:12">
      <c r="I1197" t="str">
        <f>IF(OR($A1197="",$B1197=""),"",IF(COUNTIFS($A$2:$A1197,$A1197,$B$2:$B1197,$B1197)=1,1,0))</f>
        <v/>
      </c>
      <c r="J1197" t="str">
        <f t="shared" si="18"/>
        <v/>
      </c>
      <c r="L1197" t="str">
        <f>IF('01_Warehouse_Ledger'!$A1197="","",'01_Warehouse_Ledger'!$A1197)</f>
        <v/>
      </c>
    </row>
    <row r="1198" spans="9:12">
      <c r="I1198" t="str">
        <f>IF(OR($A1198="",$B1198=""),"",IF(COUNTIFS($A$2:$A1198,$A1198,$B$2:$B1198,$B1198)=1,1,0))</f>
        <v/>
      </c>
      <c r="J1198" t="str">
        <f t="shared" si="18"/>
        <v/>
      </c>
      <c r="L1198" t="str">
        <f>IF('01_Warehouse_Ledger'!$A1198="","",'01_Warehouse_Ledger'!$A1198)</f>
        <v/>
      </c>
    </row>
    <row r="1199" spans="9:12">
      <c r="I1199" t="str">
        <f>IF(OR($A1199="",$B1199=""),"",IF(COUNTIFS($A$2:$A1199,$A1199,$B$2:$B1199,$B1199)=1,1,0))</f>
        <v/>
      </c>
      <c r="J1199" t="str">
        <f t="shared" si="18"/>
        <v/>
      </c>
      <c r="L1199" t="str">
        <f>IF('01_Warehouse_Ledger'!$A1199="","",'01_Warehouse_Ledger'!$A1199)</f>
        <v/>
      </c>
    </row>
    <row r="1200" spans="9:12">
      <c r="I1200" t="str">
        <f>IF(OR($A1200="",$B1200=""),"",IF(COUNTIFS($A$2:$A1200,$A1200,$B$2:$B1200,$B1200)=1,1,0))</f>
        <v/>
      </c>
      <c r="J1200" t="str">
        <f t="shared" si="18"/>
        <v/>
      </c>
      <c r="L1200" t="str">
        <f>IF('01_Warehouse_Ledger'!$A1200="","",'01_Warehouse_Ledger'!$A1200)</f>
        <v/>
      </c>
    </row>
    <row r="1201" spans="9:12">
      <c r="I1201" t="str">
        <f>IF(OR($A1201="",$B1201=""),"",IF(COUNTIFS($A$2:$A1201,$A1201,$B$2:$B1201,$B1201)=1,1,0))</f>
        <v/>
      </c>
      <c r="J1201" t="str">
        <f t="shared" si="18"/>
        <v/>
      </c>
      <c r="L1201" t="str">
        <f>IF('01_Warehouse_Ledger'!$A1201="","",'01_Warehouse_Ledger'!$A1201)</f>
        <v/>
      </c>
    </row>
    <row r="1202" spans="9:12">
      <c r="I1202" t="str">
        <f>IF(OR($A1202="",$B1202=""),"",IF(COUNTIFS($A$2:$A1202,$A1202,$B$2:$B1202,$B1202)=1,1,0))</f>
        <v/>
      </c>
      <c r="J1202" t="str">
        <f t="shared" si="18"/>
        <v/>
      </c>
      <c r="L1202" t="str">
        <f>IF('01_Warehouse_Ledger'!$A1202="","",'01_Warehouse_Ledger'!$A1202)</f>
        <v/>
      </c>
    </row>
    <row r="1203" spans="9:12">
      <c r="I1203" t="str">
        <f>IF(OR($A1203="",$B1203=""),"",IF(COUNTIFS($A$2:$A1203,$A1203,$B$2:$B1203,$B1203)=1,1,0))</f>
        <v/>
      </c>
      <c r="J1203" t="str">
        <f t="shared" si="18"/>
        <v/>
      </c>
      <c r="L1203" t="str">
        <f>IF('01_Warehouse_Ledger'!$A1203="","",'01_Warehouse_Ledger'!$A1203)</f>
        <v/>
      </c>
    </row>
    <row r="1204" spans="9:12">
      <c r="I1204" t="str">
        <f>IF(OR($A1204="",$B1204=""),"",IF(COUNTIFS($A$2:$A1204,$A1204,$B$2:$B1204,$B1204)=1,1,0))</f>
        <v/>
      </c>
      <c r="J1204" t="str">
        <f t="shared" si="18"/>
        <v/>
      </c>
      <c r="L1204" t="str">
        <f>IF('01_Warehouse_Ledger'!$A1204="","",'01_Warehouse_Ledger'!$A1204)</f>
        <v/>
      </c>
    </row>
    <row r="1205" spans="9:12">
      <c r="I1205" t="str">
        <f>IF(OR($A1205="",$B1205=""),"",IF(COUNTIFS($A$2:$A1205,$A1205,$B$2:$B1205,$B1205)=1,1,0))</f>
        <v/>
      </c>
      <c r="J1205" t="str">
        <f t="shared" si="18"/>
        <v/>
      </c>
      <c r="L1205" t="str">
        <f>IF('01_Warehouse_Ledger'!$A1205="","",'01_Warehouse_Ledger'!$A1205)</f>
        <v/>
      </c>
    </row>
    <row r="1206" spans="9:12">
      <c r="I1206" t="str">
        <f>IF(OR($A1206="",$B1206=""),"",IF(COUNTIFS($A$2:$A1206,$A1206,$B$2:$B1206,$B1206)=1,1,0))</f>
        <v/>
      </c>
      <c r="J1206" t="str">
        <f t="shared" si="18"/>
        <v/>
      </c>
      <c r="L1206" t="str">
        <f>IF('01_Warehouse_Ledger'!$A1206="","",'01_Warehouse_Ledger'!$A1206)</f>
        <v/>
      </c>
    </row>
    <row r="1207" spans="9:12">
      <c r="I1207" t="str">
        <f>IF(OR($A1207="",$B1207=""),"",IF(COUNTIFS($A$2:$A1207,$A1207,$B$2:$B1207,$B1207)=1,1,0))</f>
        <v/>
      </c>
      <c r="J1207" t="str">
        <f t="shared" si="18"/>
        <v/>
      </c>
      <c r="L1207" t="str">
        <f>IF('01_Warehouse_Ledger'!$A1207="","",'01_Warehouse_Ledger'!$A1207)</f>
        <v/>
      </c>
    </row>
    <row r="1208" spans="9:12">
      <c r="I1208" t="str">
        <f>IF(OR($A1208="",$B1208=""),"",IF(COUNTIFS($A$2:$A1208,$A1208,$B$2:$B1208,$B1208)=1,1,0))</f>
        <v/>
      </c>
      <c r="J1208" t="str">
        <f t="shared" si="18"/>
        <v/>
      </c>
      <c r="L1208" t="str">
        <f>IF('01_Warehouse_Ledger'!$A1208="","",'01_Warehouse_Ledger'!$A1208)</f>
        <v/>
      </c>
    </row>
    <row r="1209" spans="9:12">
      <c r="I1209" t="str">
        <f>IF(OR($A1209="",$B1209=""),"",IF(COUNTIFS($A$2:$A1209,$A1209,$B$2:$B1209,$B1209)=1,1,0))</f>
        <v/>
      </c>
      <c r="J1209" t="str">
        <f t="shared" si="18"/>
        <v/>
      </c>
      <c r="L1209" t="str">
        <f>IF('01_Warehouse_Ledger'!$A1209="","",'01_Warehouse_Ledger'!$A1209)</f>
        <v/>
      </c>
    </row>
    <row r="1210" spans="9:12">
      <c r="I1210" t="str">
        <f>IF(OR($A1210="",$B1210=""),"",IF(COUNTIFS($A$2:$A1210,$A1210,$B$2:$B1210,$B1210)=1,1,0))</f>
        <v/>
      </c>
      <c r="J1210" t="str">
        <f t="shared" si="18"/>
        <v/>
      </c>
      <c r="L1210" t="str">
        <f>IF('01_Warehouse_Ledger'!$A1210="","",'01_Warehouse_Ledger'!$A1210)</f>
        <v/>
      </c>
    </row>
    <row r="1211" spans="9:12">
      <c r="I1211" t="str">
        <f>IF(OR($A1211="",$B1211=""),"",IF(COUNTIFS($A$2:$A1211,$A1211,$B$2:$B1211,$B1211)=1,1,0))</f>
        <v/>
      </c>
      <c r="J1211" t="str">
        <f t="shared" si="18"/>
        <v/>
      </c>
      <c r="L1211" t="str">
        <f>IF('01_Warehouse_Ledger'!$A1211="","",'01_Warehouse_Ledger'!$A1211)</f>
        <v/>
      </c>
    </row>
    <row r="1212" spans="9:12">
      <c r="I1212" t="str">
        <f>IF(OR($A1212="",$B1212=""),"",IF(COUNTIFS($A$2:$A1212,$A1212,$B$2:$B1212,$B1212)=1,1,0))</f>
        <v/>
      </c>
      <c r="J1212" t="str">
        <f t="shared" si="18"/>
        <v/>
      </c>
      <c r="L1212" t="str">
        <f>IF('01_Warehouse_Ledger'!$A1212="","",'01_Warehouse_Ledger'!$A1212)</f>
        <v/>
      </c>
    </row>
    <row r="1213" spans="9:12">
      <c r="I1213" t="str">
        <f>IF(OR($A1213="",$B1213=""),"",IF(COUNTIFS($A$2:$A1213,$A1213,$B$2:$B1213,$B1213)=1,1,0))</f>
        <v/>
      </c>
      <c r="J1213" t="str">
        <f t="shared" si="18"/>
        <v/>
      </c>
      <c r="L1213" t="str">
        <f>IF('01_Warehouse_Ledger'!$A1213="","",'01_Warehouse_Ledger'!$A1213)</f>
        <v/>
      </c>
    </row>
    <row r="1214" spans="9:12">
      <c r="I1214" t="str">
        <f>IF(OR($A1214="",$B1214=""),"",IF(COUNTIFS($A$2:$A1214,$A1214,$B$2:$B1214,$B1214)=1,1,0))</f>
        <v/>
      </c>
      <c r="J1214" t="str">
        <f t="shared" si="18"/>
        <v/>
      </c>
      <c r="L1214" t="str">
        <f>IF('01_Warehouse_Ledger'!$A1214="","",'01_Warehouse_Ledger'!$A1214)</f>
        <v/>
      </c>
    </row>
    <row r="1215" spans="9:12">
      <c r="I1215" t="str">
        <f>IF(OR($A1215="",$B1215=""),"",IF(COUNTIFS($A$2:$A1215,$A1215,$B$2:$B1215,$B1215)=1,1,0))</f>
        <v/>
      </c>
      <c r="J1215" t="str">
        <f t="shared" si="18"/>
        <v/>
      </c>
      <c r="L1215" t="str">
        <f>IF('01_Warehouse_Ledger'!$A1215="","",'01_Warehouse_Ledger'!$A1215)</f>
        <v/>
      </c>
    </row>
    <row r="1216" spans="9:12">
      <c r="I1216" t="str">
        <f>IF(OR($A1216="",$B1216=""),"",IF(COUNTIFS($A$2:$A1216,$A1216,$B$2:$B1216,$B1216)=1,1,0))</f>
        <v/>
      </c>
      <c r="J1216" t="str">
        <f t="shared" si="18"/>
        <v/>
      </c>
      <c r="L1216" t="str">
        <f>IF('01_Warehouse_Ledger'!$A1216="","",'01_Warehouse_Ledger'!$A1216)</f>
        <v/>
      </c>
    </row>
    <row r="1217" spans="9:12">
      <c r="I1217" t="str">
        <f>IF(OR($A1217="",$B1217=""),"",IF(COUNTIFS($A$2:$A1217,$A1217,$B$2:$B1217,$B1217)=1,1,0))</f>
        <v/>
      </c>
      <c r="J1217" t="str">
        <f t="shared" si="18"/>
        <v/>
      </c>
      <c r="L1217" t="str">
        <f>IF('01_Warehouse_Ledger'!$A1217="","",'01_Warehouse_Ledger'!$A1217)</f>
        <v/>
      </c>
    </row>
    <row r="1218" spans="9:12">
      <c r="I1218" t="str">
        <f>IF(OR($A1218="",$B1218=""),"",IF(COUNTIFS($A$2:$A1218,$A1218,$B$2:$B1218,$B1218)=1,1,0))</f>
        <v/>
      </c>
      <c r="J1218" t="str">
        <f t="shared" ref="J1218:J1281" si="19">IF($A1218="","",ROW())</f>
        <v/>
      </c>
      <c r="L1218" t="str">
        <f>IF('01_Warehouse_Ledger'!$A1218="","",'01_Warehouse_Ledger'!$A1218)</f>
        <v/>
      </c>
    </row>
    <row r="1219" spans="9:12">
      <c r="I1219" t="str">
        <f>IF(OR($A1219="",$B1219=""),"",IF(COUNTIFS($A$2:$A1219,$A1219,$B$2:$B1219,$B1219)=1,1,0))</f>
        <v/>
      </c>
      <c r="J1219" t="str">
        <f t="shared" si="19"/>
        <v/>
      </c>
      <c r="L1219" t="str">
        <f>IF('01_Warehouse_Ledger'!$A1219="","",'01_Warehouse_Ledger'!$A1219)</f>
        <v/>
      </c>
    </row>
    <row r="1220" spans="9:12">
      <c r="I1220" t="str">
        <f>IF(OR($A1220="",$B1220=""),"",IF(COUNTIFS($A$2:$A1220,$A1220,$B$2:$B1220,$B1220)=1,1,0))</f>
        <v/>
      </c>
      <c r="J1220" t="str">
        <f t="shared" si="19"/>
        <v/>
      </c>
      <c r="L1220" t="str">
        <f>IF('01_Warehouse_Ledger'!$A1220="","",'01_Warehouse_Ledger'!$A1220)</f>
        <v/>
      </c>
    </row>
    <row r="1221" spans="9:12">
      <c r="I1221" t="str">
        <f>IF(OR($A1221="",$B1221=""),"",IF(COUNTIFS($A$2:$A1221,$A1221,$B$2:$B1221,$B1221)=1,1,0))</f>
        <v/>
      </c>
      <c r="J1221" t="str">
        <f t="shared" si="19"/>
        <v/>
      </c>
      <c r="L1221" t="str">
        <f>IF('01_Warehouse_Ledger'!$A1221="","",'01_Warehouse_Ledger'!$A1221)</f>
        <v/>
      </c>
    </row>
    <row r="1222" spans="9:12">
      <c r="I1222" t="str">
        <f>IF(OR($A1222="",$B1222=""),"",IF(COUNTIFS($A$2:$A1222,$A1222,$B$2:$B1222,$B1222)=1,1,0))</f>
        <v/>
      </c>
      <c r="J1222" t="str">
        <f t="shared" si="19"/>
        <v/>
      </c>
      <c r="L1222" t="str">
        <f>IF('01_Warehouse_Ledger'!$A1222="","",'01_Warehouse_Ledger'!$A1222)</f>
        <v/>
      </c>
    </row>
    <row r="1223" spans="9:12">
      <c r="I1223" t="str">
        <f>IF(OR($A1223="",$B1223=""),"",IF(COUNTIFS($A$2:$A1223,$A1223,$B$2:$B1223,$B1223)=1,1,0))</f>
        <v/>
      </c>
      <c r="J1223" t="str">
        <f t="shared" si="19"/>
        <v/>
      </c>
      <c r="L1223" t="str">
        <f>IF('01_Warehouse_Ledger'!$A1223="","",'01_Warehouse_Ledger'!$A1223)</f>
        <v/>
      </c>
    </row>
    <row r="1224" spans="9:12">
      <c r="I1224" t="str">
        <f>IF(OR($A1224="",$B1224=""),"",IF(COUNTIFS($A$2:$A1224,$A1224,$B$2:$B1224,$B1224)=1,1,0))</f>
        <v/>
      </c>
      <c r="J1224" t="str">
        <f t="shared" si="19"/>
        <v/>
      </c>
      <c r="L1224" t="str">
        <f>IF('01_Warehouse_Ledger'!$A1224="","",'01_Warehouse_Ledger'!$A1224)</f>
        <v/>
      </c>
    </row>
    <row r="1225" spans="9:12">
      <c r="I1225" t="str">
        <f>IF(OR($A1225="",$B1225=""),"",IF(COUNTIFS($A$2:$A1225,$A1225,$B$2:$B1225,$B1225)=1,1,0))</f>
        <v/>
      </c>
      <c r="J1225" t="str">
        <f t="shared" si="19"/>
        <v/>
      </c>
      <c r="L1225" t="str">
        <f>IF('01_Warehouse_Ledger'!$A1225="","",'01_Warehouse_Ledger'!$A1225)</f>
        <v/>
      </c>
    </row>
    <row r="1226" spans="9:12">
      <c r="I1226" t="str">
        <f>IF(OR($A1226="",$B1226=""),"",IF(COUNTIFS($A$2:$A1226,$A1226,$B$2:$B1226,$B1226)=1,1,0))</f>
        <v/>
      </c>
      <c r="J1226" t="str">
        <f t="shared" si="19"/>
        <v/>
      </c>
      <c r="L1226" t="str">
        <f>IF('01_Warehouse_Ledger'!$A1226="","",'01_Warehouse_Ledger'!$A1226)</f>
        <v/>
      </c>
    </row>
    <row r="1227" spans="9:12">
      <c r="I1227" t="str">
        <f>IF(OR($A1227="",$B1227=""),"",IF(COUNTIFS($A$2:$A1227,$A1227,$B$2:$B1227,$B1227)=1,1,0))</f>
        <v/>
      </c>
      <c r="J1227" t="str">
        <f t="shared" si="19"/>
        <v/>
      </c>
      <c r="L1227" t="str">
        <f>IF('01_Warehouse_Ledger'!$A1227="","",'01_Warehouse_Ledger'!$A1227)</f>
        <v/>
      </c>
    </row>
    <row r="1228" spans="9:12">
      <c r="I1228" t="str">
        <f>IF(OR($A1228="",$B1228=""),"",IF(COUNTIFS($A$2:$A1228,$A1228,$B$2:$B1228,$B1228)=1,1,0))</f>
        <v/>
      </c>
      <c r="J1228" t="str">
        <f t="shared" si="19"/>
        <v/>
      </c>
      <c r="L1228" t="str">
        <f>IF('01_Warehouse_Ledger'!$A1228="","",'01_Warehouse_Ledger'!$A1228)</f>
        <v/>
      </c>
    </row>
    <row r="1229" spans="9:12">
      <c r="I1229" t="str">
        <f>IF(OR($A1229="",$B1229=""),"",IF(COUNTIFS($A$2:$A1229,$A1229,$B$2:$B1229,$B1229)=1,1,0))</f>
        <v/>
      </c>
      <c r="J1229" t="str">
        <f t="shared" si="19"/>
        <v/>
      </c>
      <c r="L1229" t="str">
        <f>IF('01_Warehouse_Ledger'!$A1229="","",'01_Warehouse_Ledger'!$A1229)</f>
        <v/>
      </c>
    </row>
    <row r="1230" spans="9:12">
      <c r="I1230" t="str">
        <f>IF(OR($A1230="",$B1230=""),"",IF(COUNTIFS($A$2:$A1230,$A1230,$B$2:$B1230,$B1230)=1,1,0))</f>
        <v/>
      </c>
      <c r="J1230" t="str">
        <f t="shared" si="19"/>
        <v/>
      </c>
      <c r="L1230" t="str">
        <f>IF('01_Warehouse_Ledger'!$A1230="","",'01_Warehouse_Ledger'!$A1230)</f>
        <v/>
      </c>
    </row>
    <row r="1231" spans="9:12">
      <c r="I1231" t="str">
        <f>IF(OR($A1231="",$B1231=""),"",IF(COUNTIFS($A$2:$A1231,$A1231,$B$2:$B1231,$B1231)=1,1,0))</f>
        <v/>
      </c>
      <c r="J1231" t="str">
        <f t="shared" si="19"/>
        <v/>
      </c>
      <c r="L1231" t="str">
        <f>IF('01_Warehouse_Ledger'!$A1231="","",'01_Warehouse_Ledger'!$A1231)</f>
        <v/>
      </c>
    </row>
    <row r="1232" spans="9:12">
      <c r="I1232" t="str">
        <f>IF(OR($A1232="",$B1232=""),"",IF(COUNTIFS($A$2:$A1232,$A1232,$B$2:$B1232,$B1232)=1,1,0))</f>
        <v/>
      </c>
      <c r="J1232" t="str">
        <f t="shared" si="19"/>
        <v/>
      </c>
      <c r="L1232" t="str">
        <f>IF('01_Warehouse_Ledger'!$A1232="","",'01_Warehouse_Ledger'!$A1232)</f>
        <v/>
      </c>
    </row>
    <row r="1233" spans="9:12">
      <c r="I1233" t="str">
        <f>IF(OR($A1233="",$B1233=""),"",IF(COUNTIFS($A$2:$A1233,$A1233,$B$2:$B1233,$B1233)=1,1,0))</f>
        <v/>
      </c>
      <c r="J1233" t="str">
        <f t="shared" si="19"/>
        <v/>
      </c>
      <c r="L1233" t="str">
        <f>IF('01_Warehouse_Ledger'!$A1233="","",'01_Warehouse_Ledger'!$A1233)</f>
        <v/>
      </c>
    </row>
    <row r="1234" spans="9:12">
      <c r="I1234" t="str">
        <f>IF(OR($A1234="",$B1234=""),"",IF(COUNTIFS($A$2:$A1234,$A1234,$B$2:$B1234,$B1234)=1,1,0))</f>
        <v/>
      </c>
      <c r="J1234" t="str">
        <f t="shared" si="19"/>
        <v/>
      </c>
      <c r="L1234" t="str">
        <f>IF('01_Warehouse_Ledger'!$A1234="","",'01_Warehouse_Ledger'!$A1234)</f>
        <v/>
      </c>
    </row>
    <row r="1235" spans="9:12">
      <c r="I1235" t="str">
        <f>IF(OR($A1235="",$B1235=""),"",IF(COUNTIFS($A$2:$A1235,$A1235,$B$2:$B1235,$B1235)=1,1,0))</f>
        <v/>
      </c>
      <c r="J1235" t="str">
        <f t="shared" si="19"/>
        <v/>
      </c>
      <c r="L1235" t="str">
        <f>IF('01_Warehouse_Ledger'!$A1235="","",'01_Warehouse_Ledger'!$A1235)</f>
        <v/>
      </c>
    </row>
    <row r="1236" spans="9:12">
      <c r="I1236" t="str">
        <f>IF(OR($A1236="",$B1236=""),"",IF(COUNTIFS($A$2:$A1236,$A1236,$B$2:$B1236,$B1236)=1,1,0))</f>
        <v/>
      </c>
      <c r="J1236" t="str">
        <f t="shared" si="19"/>
        <v/>
      </c>
      <c r="L1236" t="str">
        <f>IF('01_Warehouse_Ledger'!$A1236="","",'01_Warehouse_Ledger'!$A1236)</f>
        <v/>
      </c>
    </row>
    <row r="1237" spans="9:12">
      <c r="I1237" t="str">
        <f>IF(OR($A1237="",$B1237=""),"",IF(COUNTIFS($A$2:$A1237,$A1237,$B$2:$B1237,$B1237)=1,1,0))</f>
        <v/>
      </c>
      <c r="J1237" t="str">
        <f t="shared" si="19"/>
        <v/>
      </c>
      <c r="L1237" t="str">
        <f>IF('01_Warehouse_Ledger'!$A1237="","",'01_Warehouse_Ledger'!$A1237)</f>
        <v/>
      </c>
    </row>
    <row r="1238" spans="9:12">
      <c r="I1238" t="str">
        <f>IF(OR($A1238="",$B1238=""),"",IF(COUNTIFS($A$2:$A1238,$A1238,$B$2:$B1238,$B1238)=1,1,0))</f>
        <v/>
      </c>
      <c r="J1238" t="str">
        <f t="shared" si="19"/>
        <v/>
      </c>
      <c r="L1238" t="str">
        <f>IF('01_Warehouse_Ledger'!$A1238="","",'01_Warehouse_Ledger'!$A1238)</f>
        <v/>
      </c>
    </row>
    <row r="1239" spans="9:12">
      <c r="I1239" t="str">
        <f>IF(OR($A1239="",$B1239=""),"",IF(COUNTIFS($A$2:$A1239,$A1239,$B$2:$B1239,$B1239)=1,1,0))</f>
        <v/>
      </c>
      <c r="J1239" t="str">
        <f t="shared" si="19"/>
        <v/>
      </c>
      <c r="L1239" t="str">
        <f>IF('01_Warehouse_Ledger'!$A1239="","",'01_Warehouse_Ledger'!$A1239)</f>
        <v/>
      </c>
    </row>
    <row r="1240" spans="9:12">
      <c r="I1240" t="str">
        <f>IF(OR($A1240="",$B1240=""),"",IF(COUNTIFS($A$2:$A1240,$A1240,$B$2:$B1240,$B1240)=1,1,0))</f>
        <v/>
      </c>
      <c r="J1240" t="str">
        <f t="shared" si="19"/>
        <v/>
      </c>
      <c r="L1240" t="str">
        <f>IF('01_Warehouse_Ledger'!$A1240="","",'01_Warehouse_Ledger'!$A1240)</f>
        <v/>
      </c>
    </row>
    <row r="1241" spans="9:12">
      <c r="I1241" t="str">
        <f>IF(OR($A1241="",$B1241=""),"",IF(COUNTIFS($A$2:$A1241,$A1241,$B$2:$B1241,$B1241)=1,1,0))</f>
        <v/>
      </c>
      <c r="J1241" t="str">
        <f t="shared" si="19"/>
        <v/>
      </c>
      <c r="L1241" t="str">
        <f>IF('01_Warehouse_Ledger'!$A1241="","",'01_Warehouse_Ledger'!$A1241)</f>
        <v/>
      </c>
    </row>
    <row r="1242" spans="9:12">
      <c r="I1242" t="str">
        <f>IF(OR($A1242="",$B1242=""),"",IF(COUNTIFS($A$2:$A1242,$A1242,$B$2:$B1242,$B1242)=1,1,0))</f>
        <v/>
      </c>
      <c r="J1242" t="str">
        <f t="shared" si="19"/>
        <v/>
      </c>
      <c r="L1242" t="str">
        <f>IF('01_Warehouse_Ledger'!$A1242="","",'01_Warehouse_Ledger'!$A1242)</f>
        <v/>
      </c>
    </row>
    <row r="1243" spans="9:12">
      <c r="I1243" t="str">
        <f>IF(OR($A1243="",$B1243=""),"",IF(COUNTIFS($A$2:$A1243,$A1243,$B$2:$B1243,$B1243)=1,1,0))</f>
        <v/>
      </c>
      <c r="J1243" t="str">
        <f t="shared" si="19"/>
        <v/>
      </c>
      <c r="L1243" t="str">
        <f>IF('01_Warehouse_Ledger'!$A1243="","",'01_Warehouse_Ledger'!$A1243)</f>
        <v/>
      </c>
    </row>
    <row r="1244" spans="9:12">
      <c r="I1244" t="str">
        <f>IF(OR($A1244="",$B1244=""),"",IF(COUNTIFS($A$2:$A1244,$A1244,$B$2:$B1244,$B1244)=1,1,0))</f>
        <v/>
      </c>
      <c r="J1244" t="str">
        <f t="shared" si="19"/>
        <v/>
      </c>
      <c r="L1244" t="str">
        <f>IF('01_Warehouse_Ledger'!$A1244="","",'01_Warehouse_Ledger'!$A1244)</f>
        <v/>
      </c>
    </row>
    <row r="1245" spans="9:12">
      <c r="I1245" t="str">
        <f>IF(OR($A1245="",$B1245=""),"",IF(COUNTIFS($A$2:$A1245,$A1245,$B$2:$B1245,$B1245)=1,1,0))</f>
        <v/>
      </c>
      <c r="J1245" t="str">
        <f t="shared" si="19"/>
        <v/>
      </c>
      <c r="L1245" t="str">
        <f>IF('01_Warehouse_Ledger'!$A1245="","",'01_Warehouse_Ledger'!$A1245)</f>
        <v/>
      </c>
    </row>
    <row r="1246" spans="9:12">
      <c r="I1246" t="str">
        <f>IF(OR($A1246="",$B1246=""),"",IF(COUNTIFS($A$2:$A1246,$A1246,$B$2:$B1246,$B1246)=1,1,0))</f>
        <v/>
      </c>
      <c r="J1246" t="str">
        <f t="shared" si="19"/>
        <v/>
      </c>
      <c r="L1246" t="str">
        <f>IF('01_Warehouse_Ledger'!$A1246="","",'01_Warehouse_Ledger'!$A1246)</f>
        <v/>
      </c>
    </row>
    <row r="1247" spans="9:12">
      <c r="I1247" t="str">
        <f>IF(OR($A1247="",$B1247=""),"",IF(COUNTIFS($A$2:$A1247,$A1247,$B$2:$B1247,$B1247)=1,1,0))</f>
        <v/>
      </c>
      <c r="J1247" t="str">
        <f t="shared" si="19"/>
        <v/>
      </c>
      <c r="L1247" t="str">
        <f>IF('01_Warehouse_Ledger'!$A1247="","",'01_Warehouse_Ledger'!$A1247)</f>
        <v/>
      </c>
    </row>
    <row r="1248" spans="9:12">
      <c r="I1248" t="str">
        <f>IF(OR($A1248="",$B1248=""),"",IF(COUNTIFS($A$2:$A1248,$A1248,$B$2:$B1248,$B1248)=1,1,0))</f>
        <v/>
      </c>
      <c r="J1248" t="str">
        <f t="shared" si="19"/>
        <v/>
      </c>
      <c r="L1248" t="str">
        <f>IF('01_Warehouse_Ledger'!$A1248="","",'01_Warehouse_Ledger'!$A1248)</f>
        <v/>
      </c>
    </row>
    <row r="1249" spans="9:12">
      <c r="I1249" t="str">
        <f>IF(OR($A1249="",$B1249=""),"",IF(COUNTIFS($A$2:$A1249,$A1249,$B$2:$B1249,$B1249)=1,1,0))</f>
        <v/>
      </c>
      <c r="J1249" t="str">
        <f t="shared" si="19"/>
        <v/>
      </c>
      <c r="L1249" t="str">
        <f>IF('01_Warehouse_Ledger'!$A1249="","",'01_Warehouse_Ledger'!$A1249)</f>
        <v/>
      </c>
    </row>
    <row r="1250" spans="9:12">
      <c r="I1250" t="str">
        <f>IF(OR($A1250="",$B1250=""),"",IF(COUNTIFS($A$2:$A1250,$A1250,$B$2:$B1250,$B1250)=1,1,0))</f>
        <v/>
      </c>
      <c r="J1250" t="str">
        <f t="shared" si="19"/>
        <v/>
      </c>
      <c r="L1250" t="str">
        <f>IF('01_Warehouse_Ledger'!$A1250="","",'01_Warehouse_Ledger'!$A1250)</f>
        <v/>
      </c>
    </row>
    <row r="1251" spans="9:12">
      <c r="I1251" t="str">
        <f>IF(OR($A1251="",$B1251=""),"",IF(COUNTIFS($A$2:$A1251,$A1251,$B$2:$B1251,$B1251)=1,1,0))</f>
        <v/>
      </c>
      <c r="J1251" t="str">
        <f t="shared" si="19"/>
        <v/>
      </c>
      <c r="L1251" t="str">
        <f>IF('01_Warehouse_Ledger'!$A1251="","",'01_Warehouse_Ledger'!$A1251)</f>
        <v/>
      </c>
    </row>
    <row r="1252" spans="9:12">
      <c r="I1252" t="str">
        <f>IF(OR($A1252="",$B1252=""),"",IF(COUNTIFS($A$2:$A1252,$A1252,$B$2:$B1252,$B1252)=1,1,0))</f>
        <v/>
      </c>
      <c r="J1252" t="str">
        <f t="shared" si="19"/>
        <v/>
      </c>
      <c r="L1252" t="str">
        <f>IF('01_Warehouse_Ledger'!$A1252="","",'01_Warehouse_Ledger'!$A1252)</f>
        <v/>
      </c>
    </row>
    <row r="1253" spans="9:12">
      <c r="I1253" t="str">
        <f>IF(OR($A1253="",$B1253=""),"",IF(COUNTIFS($A$2:$A1253,$A1253,$B$2:$B1253,$B1253)=1,1,0))</f>
        <v/>
      </c>
      <c r="J1253" t="str">
        <f t="shared" si="19"/>
        <v/>
      </c>
      <c r="L1253" t="str">
        <f>IF('01_Warehouse_Ledger'!$A1253="","",'01_Warehouse_Ledger'!$A1253)</f>
        <v/>
      </c>
    </row>
    <row r="1254" spans="9:12">
      <c r="I1254" t="str">
        <f>IF(OR($A1254="",$B1254=""),"",IF(COUNTIFS($A$2:$A1254,$A1254,$B$2:$B1254,$B1254)=1,1,0))</f>
        <v/>
      </c>
      <c r="J1254" t="str">
        <f t="shared" si="19"/>
        <v/>
      </c>
      <c r="L1254" t="str">
        <f>IF('01_Warehouse_Ledger'!$A1254="","",'01_Warehouse_Ledger'!$A1254)</f>
        <v/>
      </c>
    </row>
    <row r="1255" spans="9:12">
      <c r="I1255" t="str">
        <f>IF(OR($A1255="",$B1255=""),"",IF(COUNTIFS($A$2:$A1255,$A1255,$B$2:$B1255,$B1255)=1,1,0))</f>
        <v/>
      </c>
      <c r="J1255" t="str">
        <f t="shared" si="19"/>
        <v/>
      </c>
      <c r="L1255" t="str">
        <f>IF('01_Warehouse_Ledger'!$A1255="","",'01_Warehouse_Ledger'!$A1255)</f>
        <v/>
      </c>
    </row>
    <row r="1256" spans="9:12">
      <c r="I1256" t="str">
        <f>IF(OR($A1256="",$B1256=""),"",IF(COUNTIFS($A$2:$A1256,$A1256,$B$2:$B1256,$B1256)=1,1,0))</f>
        <v/>
      </c>
      <c r="J1256" t="str">
        <f t="shared" si="19"/>
        <v/>
      </c>
      <c r="L1256" t="str">
        <f>IF('01_Warehouse_Ledger'!$A1256="","",'01_Warehouse_Ledger'!$A1256)</f>
        <v/>
      </c>
    </row>
    <row r="1257" spans="9:12">
      <c r="I1257" t="str">
        <f>IF(OR($A1257="",$B1257=""),"",IF(COUNTIFS($A$2:$A1257,$A1257,$B$2:$B1257,$B1257)=1,1,0))</f>
        <v/>
      </c>
      <c r="J1257" t="str">
        <f t="shared" si="19"/>
        <v/>
      </c>
      <c r="L1257" t="str">
        <f>IF('01_Warehouse_Ledger'!$A1257="","",'01_Warehouse_Ledger'!$A1257)</f>
        <v/>
      </c>
    </row>
    <row r="1258" spans="9:12">
      <c r="I1258" t="str">
        <f>IF(OR($A1258="",$B1258=""),"",IF(COUNTIFS($A$2:$A1258,$A1258,$B$2:$B1258,$B1258)=1,1,0))</f>
        <v/>
      </c>
      <c r="J1258" t="str">
        <f t="shared" si="19"/>
        <v/>
      </c>
      <c r="L1258" t="str">
        <f>IF('01_Warehouse_Ledger'!$A1258="","",'01_Warehouse_Ledger'!$A1258)</f>
        <v/>
      </c>
    </row>
    <row r="1259" spans="9:12">
      <c r="I1259" t="str">
        <f>IF(OR($A1259="",$B1259=""),"",IF(COUNTIFS($A$2:$A1259,$A1259,$B$2:$B1259,$B1259)=1,1,0))</f>
        <v/>
      </c>
      <c r="J1259" t="str">
        <f t="shared" si="19"/>
        <v/>
      </c>
      <c r="L1259" t="str">
        <f>IF('01_Warehouse_Ledger'!$A1259="","",'01_Warehouse_Ledger'!$A1259)</f>
        <v/>
      </c>
    </row>
    <row r="1260" spans="9:12">
      <c r="I1260" t="str">
        <f>IF(OR($A1260="",$B1260=""),"",IF(COUNTIFS($A$2:$A1260,$A1260,$B$2:$B1260,$B1260)=1,1,0))</f>
        <v/>
      </c>
      <c r="J1260" t="str">
        <f t="shared" si="19"/>
        <v/>
      </c>
      <c r="L1260" t="str">
        <f>IF('01_Warehouse_Ledger'!$A1260="","",'01_Warehouse_Ledger'!$A1260)</f>
        <v/>
      </c>
    </row>
    <row r="1261" spans="9:12">
      <c r="I1261" t="str">
        <f>IF(OR($A1261="",$B1261=""),"",IF(COUNTIFS($A$2:$A1261,$A1261,$B$2:$B1261,$B1261)=1,1,0))</f>
        <v/>
      </c>
      <c r="J1261" t="str">
        <f t="shared" si="19"/>
        <v/>
      </c>
      <c r="L1261" t="str">
        <f>IF('01_Warehouse_Ledger'!$A1261="","",'01_Warehouse_Ledger'!$A1261)</f>
        <v/>
      </c>
    </row>
    <row r="1262" spans="9:12">
      <c r="I1262" t="str">
        <f>IF(OR($A1262="",$B1262=""),"",IF(COUNTIFS($A$2:$A1262,$A1262,$B$2:$B1262,$B1262)=1,1,0))</f>
        <v/>
      </c>
      <c r="J1262" t="str">
        <f t="shared" si="19"/>
        <v/>
      </c>
      <c r="L1262" t="str">
        <f>IF('01_Warehouse_Ledger'!$A1262="","",'01_Warehouse_Ledger'!$A1262)</f>
        <v/>
      </c>
    </row>
    <row r="1263" spans="9:12">
      <c r="I1263" t="str">
        <f>IF(OR($A1263="",$B1263=""),"",IF(COUNTIFS($A$2:$A1263,$A1263,$B$2:$B1263,$B1263)=1,1,0))</f>
        <v/>
      </c>
      <c r="J1263" t="str">
        <f t="shared" si="19"/>
        <v/>
      </c>
      <c r="L1263" t="str">
        <f>IF('01_Warehouse_Ledger'!$A1263="","",'01_Warehouse_Ledger'!$A1263)</f>
        <v/>
      </c>
    </row>
    <row r="1264" spans="9:12">
      <c r="I1264" t="str">
        <f>IF(OR($A1264="",$B1264=""),"",IF(COUNTIFS($A$2:$A1264,$A1264,$B$2:$B1264,$B1264)=1,1,0))</f>
        <v/>
      </c>
      <c r="J1264" t="str">
        <f t="shared" si="19"/>
        <v/>
      </c>
      <c r="L1264" t="str">
        <f>IF('01_Warehouse_Ledger'!$A1264="","",'01_Warehouse_Ledger'!$A1264)</f>
        <v/>
      </c>
    </row>
    <row r="1265" spans="9:12">
      <c r="I1265" t="str">
        <f>IF(OR($A1265="",$B1265=""),"",IF(COUNTIFS($A$2:$A1265,$A1265,$B$2:$B1265,$B1265)=1,1,0))</f>
        <v/>
      </c>
      <c r="J1265" t="str">
        <f t="shared" si="19"/>
        <v/>
      </c>
      <c r="L1265" t="str">
        <f>IF('01_Warehouse_Ledger'!$A1265="","",'01_Warehouse_Ledger'!$A1265)</f>
        <v/>
      </c>
    </row>
    <row r="1266" spans="9:12">
      <c r="I1266" t="str">
        <f>IF(OR($A1266="",$B1266=""),"",IF(COUNTIFS($A$2:$A1266,$A1266,$B$2:$B1266,$B1266)=1,1,0))</f>
        <v/>
      </c>
      <c r="J1266" t="str">
        <f t="shared" si="19"/>
        <v/>
      </c>
      <c r="L1266" t="str">
        <f>IF('01_Warehouse_Ledger'!$A1266="","",'01_Warehouse_Ledger'!$A1266)</f>
        <v/>
      </c>
    </row>
    <row r="1267" spans="9:12">
      <c r="I1267" t="str">
        <f>IF(OR($A1267="",$B1267=""),"",IF(COUNTIFS($A$2:$A1267,$A1267,$B$2:$B1267,$B1267)=1,1,0))</f>
        <v/>
      </c>
      <c r="J1267" t="str">
        <f t="shared" si="19"/>
        <v/>
      </c>
      <c r="L1267" t="str">
        <f>IF('01_Warehouse_Ledger'!$A1267="","",'01_Warehouse_Ledger'!$A1267)</f>
        <v/>
      </c>
    </row>
    <row r="1268" spans="9:12">
      <c r="I1268" t="str">
        <f>IF(OR($A1268="",$B1268=""),"",IF(COUNTIFS($A$2:$A1268,$A1268,$B$2:$B1268,$B1268)=1,1,0))</f>
        <v/>
      </c>
      <c r="J1268" t="str">
        <f t="shared" si="19"/>
        <v/>
      </c>
      <c r="L1268" t="str">
        <f>IF('01_Warehouse_Ledger'!$A1268="","",'01_Warehouse_Ledger'!$A1268)</f>
        <v/>
      </c>
    </row>
    <row r="1269" spans="9:12">
      <c r="I1269" t="str">
        <f>IF(OR($A1269="",$B1269=""),"",IF(COUNTIFS($A$2:$A1269,$A1269,$B$2:$B1269,$B1269)=1,1,0))</f>
        <v/>
      </c>
      <c r="J1269" t="str">
        <f t="shared" si="19"/>
        <v/>
      </c>
      <c r="L1269" t="str">
        <f>IF('01_Warehouse_Ledger'!$A1269="","",'01_Warehouse_Ledger'!$A1269)</f>
        <v/>
      </c>
    </row>
    <row r="1270" spans="9:12">
      <c r="I1270" t="str">
        <f>IF(OR($A1270="",$B1270=""),"",IF(COUNTIFS($A$2:$A1270,$A1270,$B$2:$B1270,$B1270)=1,1,0))</f>
        <v/>
      </c>
      <c r="J1270" t="str">
        <f t="shared" si="19"/>
        <v/>
      </c>
      <c r="L1270" t="str">
        <f>IF('01_Warehouse_Ledger'!$A1270="","",'01_Warehouse_Ledger'!$A1270)</f>
        <v/>
      </c>
    </row>
    <row r="1271" spans="9:12">
      <c r="I1271" t="str">
        <f>IF(OR($A1271="",$B1271=""),"",IF(COUNTIFS($A$2:$A1271,$A1271,$B$2:$B1271,$B1271)=1,1,0))</f>
        <v/>
      </c>
      <c r="J1271" t="str">
        <f t="shared" si="19"/>
        <v/>
      </c>
      <c r="L1271" t="str">
        <f>IF('01_Warehouse_Ledger'!$A1271="","",'01_Warehouse_Ledger'!$A1271)</f>
        <v/>
      </c>
    </row>
    <row r="1272" spans="9:12">
      <c r="I1272" t="str">
        <f>IF(OR($A1272="",$B1272=""),"",IF(COUNTIFS($A$2:$A1272,$A1272,$B$2:$B1272,$B1272)=1,1,0))</f>
        <v/>
      </c>
      <c r="J1272" t="str">
        <f t="shared" si="19"/>
        <v/>
      </c>
      <c r="L1272" t="str">
        <f>IF('01_Warehouse_Ledger'!$A1272="","",'01_Warehouse_Ledger'!$A1272)</f>
        <v/>
      </c>
    </row>
    <row r="1273" spans="9:12">
      <c r="I1273" t="str">
        <f>IF(OR($A1273="",$B1273=""),"",IF(COUNTIFS($A$2:$A1273,$A1273,$B$2:$B1273,$B1273)=1,1,0))</f>
        <v/>
      </c>
      <c r="J1273" t="str">
        <f t="shared" si="19"/>
        <v/>
      </c>
      <c r="L1273" t="str">
        <f>IF('01_Warehouse_Ledger'!$A1273="","",'01_Warehouse_Ledger'!$A1273)</f>
        <v/>
      </c>
    </row>
    <row r="1274" spans="9:12">
      <c r="I1274" t="str">
        <f>IF(OR($A1274="",$B1274=""),"",IF(COUNTIFS($A$2:$A1274,$A1274,$B$2:$B1274,$B1274)=1,1,0))</f>
        <v/>
      </c>
      <c r="J1274" t="str">
        <f t="shared" si="19"/>
        <v/>
      </c>
      <c r="L1274" t="str">
        <f>IF('01_Warehouse_Ledger'!$A1274="","",'01_Warehouse_Ledger'!$A1274)</f>
        <v/>
      </c>
    </row>
    <row r="1275" spans="9:12">
      <c r="I1275" t="str">
        <f>IF(OR($A1275="",$B1275=""),"",IF(COUNTIFS($A$2:$A1275,$A1275,$B$2:$B1275,$B1275)=1,1,0))</f>
        <v/>
      </c>
      <c r="J1275" t="str">
        <f t="shared" si="19"/>
        <v/>
      </c>
      <c r="L1275" t="str">
        <f>IF('01_Warehouse_Ledger'!$A1275="","",'01_Warehouse_Ledger'!$A1275)</f>
        <v/>
      </c>
    </row>
    <row r="1276" spans="9:12">
      <c r="I1276" t="str">
        <f>IF(OR($A1276="",$B1276=""),"",IF(COUNTIFS($A$2:$A1276,$A1276,$B$2:$B1276,$B1276)=1,1,0))</f>
        <v/>
      </c>
      <c r="J1276" t="str">
        <f t="shared" si="19"/>
        <v/>
      </c>
      <c r="L1276" t="str">
        <f>IF('01_Warehouse_Ledger'!$A1276="","",'01_Warehouse_Ledger'!$A1276)</f>
        <v/>
      </c>
    </row>
    <row r="1277" spans="9:12">
      <c r="I1277" t="str">
        <f>IF(OR($A1277="",$B1277=""),"",IF(COUNTIFS($A$2:$A1277,$A1277,$B$2:$B1277,$B1277)=1,1,0))</f>
        <v/>
      </c>
      <c r="J1277" t="str">
        <f t="shared" si="19"/>
        <v/>
      </c>
      <c r="L1277" t="str">
        <f>IF('01_Warehouse_Ledger'!$A1277="","",'01_Warehouse_Ledger'!$A1277)</f>
        <v/>
      </c>
    </row>
    <row r="1278" spans="9:12">
      <c r="I1278" t="str">
        <f>IF(OR($A1278="",$B1278=""),"",IF(COUNTIFS($A$2:$A1278,$A1278,$B$2:$B1278,$B1278)=1,1,0))</f>
        <v/>
      </c>
      <c r="J1278" t="str">
        <f t="shared" si="19"/>
        <v/>
      </c>
      <c r="L1278" t="str">
        <f>IF('01_Warehouse_Ledger'!$A1278="","",'01_Warehouse_Ledger'!$A1278)</f>
        <v/>
      </c>
    </row>
    <row r="1279" spans="9:12">
      <c r="I1279" t="str">
        <f>IF(OR($A1279="",$B1279=""),"",IF(COUNTIFS($A$2:$A1279,$A1279,$B$2:$B1279,$B1279)=1,1,0))</f>
        <v/>
      </c>
      <c r="J1279" t="str">
        <f t="shared" si="19"/>
        <v/>
      </c>
      <c r="L1279" t="str">
        <f>IF('01_Warehouse_Ledger'!$A1279="","",'01_Warehouse_Ledger'!$A1279)</f>
        <v/>
      </c>
    </row>
    <row r="1280" spans="9:12">
      <c r="I1280" t="str">
        <f>IF(OR($A1280="",$B1280=""),"",IF(COUNTIFS($A$2:$A1280,$A1280,$B$2:$B1280,$B1280)=1,1,0))</f>
        <v/>
      </c>
      <c r="J1280" t="str">
        <f t="shared" si="19"/>
        <v/>
      </c>
      <c r="L1280" t="str">
        <f>IF('01_Warehouse_Ledger'!$A1280="","",'01_Warehouse_Ledger'!$A1280)</f>
        <v/>
      </c>
    </row>
    <row r="1281" spans="9:12">
      <c r="I1281" t="str">
        <f>IF(OR($A1281="",$B1281=""),"",IF(COUNTIFS($A$2:$A1281,$A1281,$B$2:$B1281,$B1281)=1,1,0))</f>
        <v/>
      </c>
      <c r="J1281" t="str">
        <f t="shared" si="19"/>
        <v/>
      </c>
      <c r="L1281" t="str">
        <f>IF('01_Warehouse_Ledger'!$A1281="","",'01_Warehouse_Ledger'!$A1281)</f>
        <v/>
      </c>
    </row>
    <row r="1282" spans="9:12">
      <c r="I1282" t="str">
        <f>IF(OR($A1282="",$B1282=""),"",IF(COUNTIFS($A$2:$A1282,$A1282,$B$2:$B1282,$B1282)=1,1,0))</f>
        <v/>
      </c>
      <c r="J1282" t="str">
        <f t="shared" ref="J1282:J1345" si="20">IF($A1282="","",ROW())</f>
        <v/>
      </c>
      <c r="L1282" t="str">
        <f>IF('01_Warehouse_Ledger'!$A1282="","",'01_Warehouse_Ledger'!$A1282)</f>
        <v/>
      </c>
    </row>
    <row r="1283" spans="9:12">
      <c r="I1283" t="str">
        <f>IF(OR($A1283="",$B1283=""),"",IF(COUNTIFS($A$2:$A1283,$A1283,$B$2:$B1283,$B1283)=1,1,0))</f>
        <v/>
      </c>
      <c r="J1283" t="str">
        <f t="shared" si="20"/>
        <v/>
      </c>
      <c r="L1283" t="str">
        <f>IF('01_Warehouse_Ledger'!$A1283="","",'01_Warehouse_Ledger'!$A1283)</f>
        <v/>
      </c>
    </row>
    <row r="1284" spans="9:12">
      <c r="I1284" t="str">
        <f>IF(OR($A1284="",$B1284=""),"",IF(COUNTIFS($A$2:$A1284,$A1284,$B$2:$B1284,$B1284)=1,1,0))</f>
        <v/>
      </c>
      <c r="J1284" t="str">
        <f t="shared" si="20"/>
        <v/>
      </c>
      <c r="L1284" t="str">
        <f>IF('01_Warehouse_Ledger'!$A1284="","",'01_Warehouse_Ledger'!$A1284)</f>
        <v/>
      </c>
    </row>
    <row r="1285" spans="9:12">
      <c r="I1285" t="str">
        <f>IF(OR($A1285="",$B1285=""),"",IF(COUNTIFS($A$2:$A1285,$A1285,$B$2:$B1285,$B1285)=1,1,0))</f>
        <v/>
      </c>
      <c r="J1285" t="str">
        <f t="shared" si="20"/>
        <v/>
      </c>
      <c r="L1285" t="str">
        <f>IF('01_Warehouse_Ledger'!$A1285="","",'01_Warehouse_Ledger'!$A1285)</f>
        <v/>
      </c>
    </row>
    <row r="1286" spans="9:12">
      <c r="I1286" t="str">
        <f>IF(OR($A1286="",$B1286=""),"",IF(COUNTIFS($A$2:$A1286,$A1286,$B$2:$B1286,$B1286)=1,1,0))</f>
        <v/>
      </c>
      <c r="J1286" t="str">
        <f t="shared" si="20"/>
        <v/>
      </c>
      <c r="L1286" t="str">
        <f>IF('01_Warehouse_Ledger'!$A1286="","",'01_Warehouse_Ledger'!$A1286)</f>
        <v/>
      </c>
    </row>
    <row r="1287" spans="9:12">
      <c r="I1287" t="str">
        <f>IF(OR($A1287="",$B1287=""),"",IF(COUNTIFS($A$2:$A1287,$A1287,$B$2:$B1287,$B1287)=1,1,0))</f>
        <v/>
      </c>
      <c r="J1287" t="str">
        <f t="shared" si="20"/>
        <v/>
      </c>
      <c r="L1287" t="str">
        <f>IF('01_Warehouse_Ledger'!$A1287="","",'01_Warehouse_Ledger'!$A1287)</f>
        <v/>
      </c>
    </row>
    <row r="1288" spans="9:12">
      <c r="I1288" t="str">
        <f>IF(OR($A1288="",$B1288=""),"",IF(COUNTIFS($A$2:$A1288,$A1288,$B$2:$B1288,$B1288)=1,1,0))</f>
        <v/>
      </c>
      <c r="J1288" t="str">
        <f t="shared" si="20"/>
        <v/>
      </c>
      <c r="L1288" t="str">
        <f>IF('01_Warehouse_Ledger'!$A1288="","",'01_Warehouse_Ledger'!$A1288)</f>
        <v/>
      </c>
    </row>
    <row r="1289" spans="9:12">
      <c r="I1289" t="str">
        <f>IF(OR($A1289="",$B1289=""),"",IF(COUNTIFS($A$2:$A1289,$A1289,$B$2:$B1289,$B1289)=1,1,0))</f>
        <v/>
      </c>
      <c r="J1289" t="str">
        <f t="shared" si="20"/>
        <v/>
      </c>
      <c r="L1289" t="str">
        <f>IF('01_Warehouse_Ledger'!$A1289="","",'01_Warehouse_Ledger'!$A1289)</f>
        <v/>
      </c>
    </row>
    <row r="1290" spans="9:12">
      <c r="I1290" t="str">
        <f>IF(OR($A1290="",$B1290=""),"",IF(COUNTIFS($A$2:$A1290,$A1290,$B$2:$B1290,$B1290)=1,1,0))</f>
        <v/>
      </c>
      <c r="J1290" t="str">
        <f t="shared" si="20"/>
        <v/>
      </c>
      <c r="L1290" t="str">
        <f>IF('01_Warehouse_Ledger'!$A1290="","",'01_Warehouse_Ledger'!$A1290)</f>
        <v/>
      </c>
    </row>
    <row r="1291" spans="9:12">
      <c r="I1291" t="str">
        <f>IF(OR($A1291="",$B1291=""),"",IF(COUNTIFS($A$2:$A1291,$A1291,$B$2:$B1291,$B1291)=1,1,0))</f>
        <v/>
      </c>
      <c r="J1291" t="str">
        <f t="shared" si="20"/>
        <v/>
      </c>
      <c r="L1291" t="str">
        <f>IF('01_Warehouse_Ledger'!$A1291="","",'01_Warehouse_Ledger'!$A1291)</f>
        <v/>
      </c>
    </row>
    <row r="1292" spans="9:12">
      <c r="I1292" t="str">
        <f>IF(OR($A1292="",$B1292=""),"",IF(COUNTIFS($A$2:$A1292,$A1292,$B$2:$B1292,$B1292)=1,1,0))</f>
        <v/>
      </c>
      <c r="J1292" t="str">
        <f t="shared" si="20"/>
        <v/>
      </c>
      <c r="L1292" t="str">
        <f>IF('01_Warehouse_Ledger'!$A1292="","",'01_Warehouse_Ledger'!$A1292)</f>
        <v/>
      </c>
    </row>
    <row r="1293" spans="9:12">
      <c r="I1293" t="str">
        <f>IF(OR($A1293="",$B1293=""),"",IF(COUNTIFS($A$2:$A1293,$A1293,$B$2:$B1293,$B1293)=1,1,0))</f>
        <v/>
      </c>
      <c r="J1293" t="str">
        <f t="shared" si="20"/>
        <v/>
      </c>
      <c r="L1293" t="str">
        <f>IF('01_Warehouse_Ledger'!$A1293="","",'01_Warehouse_Ledger'!$A1293)</f>
        <v/>
      </c>
    </row>
    <row r="1294" spans="9:12">
      <c r="I1294" t="str">
        <f>IF(OR($A1294="",$B1294=""),"",IF(COUNTIFS($A$2:$A1294,$A1294,$B$2:$B1294,$B1294)=1,1,0))</f>
        <v/>
      </c>
      <c r="J1294" t="str">
        <f t="shared" si="20"/>
        <v/>
      </c>
      <c r="L1294" t="str">
        <f>IF('01_Warehouse_Ledger'!$A1294="","",'01_Warehouse_Ledger'!$A1294)</f>
        <v/>
      </c>
    </row>
    <row r="1295" spans="9:12">
      <c r="I1295" t="str">
        <f>IF(OR($A1295="",$B1295=""),"",IF(COUNTIFS($A$2:$A1295,$A1295,$B$2:$B1295,$B1295)=1,1,0))</f>
        <v/>
      </c>
      <c r="J1295" t="str">
        <f t="shared" si="20"/>
        <v/>
      </c>
      <c r="L1295" t="str">
        <f>IF('01_Warehouse_Ledger'!$A1295="","",'01_Warehouse_Ledger'!$A1295)</f>
        <v/>
      </c>
    </row>
    <row r="1296" spans="9:12">
      <c r="I1296" t="str">
        <f>IF(OR($A1296="",$B1296=""),"",IF(COUNTIFS($A$2:$A1296,$A1296,$B$2:$B1296,$B1296)=1,1,0))</f>
        <v/>
      </c>
      <c r="J1296" t="str">
        <f t="shared" si="20"/>
        <v/>
      </c>
      <c r="L1296" t="str">
        <f>IF('01_Warehouse_Ledger'!$A1296="","",'01_Warehouse_Ledger'!$A1296)</f>
        <v/>
      </c>
    </row>
    <row r="1297" spans="9:12">
      <c r="I1297" t="str">
        <f>IF(OR($A1297="",$B1297=""),"",IF(COUNTIFS($A$2:$A1297,$A1297,$B$2:$B1297,$B1297)=1,1,0))</f>
        <v/>
      </c>
      <c r="J1297" t="str">
        <f t="shared" si="20"/>
        <v/>
      </c>
      <c r="L1297" t="str">
        <f>IF('01_Warehouse_Ledger'!$A1297="","",'01_Warehouse_Ledger'!$A1297)</f>
        <v/>
      </c>
    </row>
    <row r="1298" spans="9:12">
      <c r="I1298" t="str">
        <f>IF(OR($A1298="",$B1298=""),"",IF(COUNTIFS($A$2:$A1298,$A1298,$B$2:$B1298,$B1298)=1,1,0))</f>
        <v/>
      </c>
      <c r="J1298" t="str">
        <f t="shared" si="20"/>
        <v/>
      </c>
      <c r="L1298" t="str">
        <f>IF('01_Warehouse_Ledger'!$A1298="","",'01_Warehouse_Ledger'!$A1298)</f>
        <v/>
      </c>
    </row>
    <row r="1299" spans="9:12">
      <c r="I1299" t="str">
        <f>IF(OR($A1299="",$B1299=""),"",IF(COUNTIFS($A$2:$A1299,$A1299,$B$2:$B1299,$B1299)=1,1,0))</f>
        <v/>
      </c>
      <c r="J1299" t="str">
        <f t="shared" si="20"/>
        <v/>
      </c>
      <c r="L1299" t="str">
        <f>IF('01_Warehouse_Ledger'!$A1299="","",'01_Warehouse_Ledger'!$A1299)</f>
        <v/>
      </c>
    </row>
    <row r="1300" spans="9:12">
      <c r="I1300" t="str">
        <f>IF(OR($A1300="",$B1300=""),"",IF(COUNTIFS($A$2:$A1300,$A1300,$B$2:$B1300,$B1300)=1,1,0))</f>
        <v/>
      </c>
      <c r="J1300" t="str">
        <f t="shared" si="20"/>
        <v/>
      </c>
      <c r="L1300" t="str">
        <f>IF('01_Warehouse_Ledger'!$A1300="","",'01_Warehouse_Ledger'!$A1300)</f>
        <v/>
      </c>
    </row>
    <row r="1301" spans="9:12">
      <c r="I1301" t="str">
        <f>IF(OR($A1301="",$B1301=""),"",IF(COUNTIFS($A$2:$A1301,$A1301,$B$2:$B1301,$B1301)=1,1,0))</f>
        <v/>
      </c>
      <c r="J1301" t="str">
        <f t="shared" si="20"/>
        <v/>
      </c>
      <c r="L1301" t="str">
        <f>IF('01_Warehouse_Ledger'!$A1301="","",'01_Warehouse_Ledger'!$A1301)</f>
        <v/>
      </c>
    </row>
    <row r="1302" spans="9:12">
      <c r="I1302" t="str">
        <f>IF(OR($A1302="",$B1302=""),"",IF(COUNTIFS($A$2:$A1302,$A1302,$B$2:$B1302,$B1302)=1,1,0))</f>
        <v/>
      </c>
      <c r="J1302" t="str">
        <f t="shared" si="20"/>
        <v/>
      </c>
      <c r="L1302" t="str">
        <f>IF('01_Warehouse_Ledger'!$A1302="","",'01_Warehouse_Ledger'!$A1302)</f>
        <v/>
      </c>
    </row>
    <row r="1303" spans="9:12">
      <c r="I1303" t="str">
        <f>IF(OR($A1303="",$B1303=""),"",IF(COUNTIFS($A$2:$A1303,$A1303,$B$2:$B1303,$B1303)=1,1,0))</f>
        <v/>
      </c>
      <c r="J1303" t="str">
        <f t="shared" si="20"/>
        <v/>
      </c>
      <c r="L1303" t="str">
        <f>IF('01_Warehouse_Ledger'!$A1303="","",'01_Warehouse_Ledger'!$A1303)</f>
        <v/>
      </c>
    </row>
    <row r="1304" spans="9:12">
      <c r="I1304" t="str">
        <f>IF(OR($A1304="",$B1304=""),"",IF(COUNTIFS($A$2:$A1304,$A1304,$B$2:$B1304,$B1304)=1,1,0))</f>
        <v/>
      </c>
      <c r="J1304" t="str">
        <f t="shared" si="20"/>
        <v/>
      </c>
      <c r="L1304" t="str">
        <f>IF('01_Warehouse_Ledger'!$A1304="","",'01_Warehouse_Ledger'!$A1304)</f>
        <v/>
      </c>
    </row>
    <row r="1305" spans="9:12">
      <c r="I1305" t="str">
        <f>IF(OR($A1305="",$B1305=""),"",IF(COUNTIFS($A$2:$A1305,$A1305,$B$2:$B1305,$B1305)=1,1,0))</f>
        <v/>
      </c>
      <c r="J1305" t="str">
        <f t="shared" si="20"/>
        <v/>
      </c>
      <c r="L1305" t="str">
        <f>IF('01_Warehouse_Ledger'!$A1305="","",'01_Warehouse_Ledger'!$A1305)</f>
        <v/>
      </c>
    </row>
    <row r="1306" spans="9:12">
      <c r="I1306" t="str">
        <f>IF(OR($A1306="",$B1306=""),"",IF(COUNTIFS($A$2:$A1306,$A1306,$B$2:$B1306,$B1306)=1,1,0))</f>
        <v/>
      </c>
      <c r="J1306" t="str">
        <f t="shared" si="20"/>
        <v/>
      </c>
      <c r="L1306" t="str">
        <f>IF('01_Warehouse_Ledger'!$A1306="","",'01_Warehouse_Ledger'!$A1306)</f>
        <v/>
      </c>
    </row>
    <row r="1307" spans="9:12">
      <c r="I1307" t="str">
        <f>IF(OR($A1307="",$B1307=""),"",IF(COUNTIFS($A$2:$A1307,$A1307,$B$2:$B1307,$B1307)=1,1,0))</f>
        <v/>
      </c>
      <c r="J1307" t="str">
        <f t="shared" si="20"/>
        <v/>
      </c>
      <c r="L1307" t="str">
        <f>IF('01_Warehouse_Ledger'!$A1307="","",'01_Warehouse_Ledger'!$A1307)</f>
        <v/>
      </c>
    </row>
    <row r="1308" spans="9:12">
      <c r="I1308" t="str">
        <f>IF(OR($A1308="",$B1308=""),"",IF(COUNTIFS($A$2:$A1308,$A1308,$B$2:$B1308,$B1308)=1,1,0))</f>
        <v/>
      </c>
      <c r="J1308" t="str">
        <f t="shared" si="20"/>
        <v/>
      </c>
      <c r="L1308" t="str">
        <f>IF('01_Warehouse_Ledger'!$A1308="","",'01_Warehouse_Ledger'!$A1308)</f>
        <v/>
      </c>
    </row>
    <row r="1309" spans="9:12">
      <c r="I1309" t="str">
        <f>IF(OR($A1309="",$B1309=""),"",IF(COUNTIFS($A$2:$A1309,$A1309,$B$2:$B1309,$B1309)=1,1,0))</f>
        <v/>
      </c>
      <c r="J1309" t="str">
        <f t="shared" si="20"/>
        <v/>
      </c>
      <c r="L1309" t="str">
        <f>IF('01_Warehouse_Ledger'!$A1309="","",'01_Warehouse_Ledger'!$A1309)</f>
        <v/>
      </c>
    </row>
    <row r="1310" spans="9:12">
      <c r="I1310" t="str">
        <f>IF(OR($A1310="",$B1310=""),"",IF(COUNTIFS($A$2:$A1310,$A1310,$B$2:$B1310,$B1310)=1,1,0))</f>
        <v/>
      </c>
      <c r="J1310" t="str">
        <f t="shared" si="20"/>
        <v/>
      </c>
      <c r="L1310" t="str">
        <f>IF('01_Warehouse_Ledger'!$A1310="","",'01_Warehouse_Ledger'!$A1310)</f>
        <v/>
      </c>
    </row>
    <row r="1311" spans="9:12">
      <c r="I1311" t="str">
        <f>IF(OR($A1311="",$B1311=""),"",IF(COUNTIFS($A$2:$A1311,$A1311,$B$2:$B1311,$B1311)=1,1,0))</f>
        <v/>
      </c>
      <c r="J1311" t="str">
        <f t="shared" si="20"/>
        <v/>
      </c>
      <c r="L1311" t="str">
        <f>IF('01_Warehouse_Ledger'!$A1311="","",'01_Warehouse_Ledger'!$A1311)</f>
        <v/>
      </c>
    </row>
    <row r="1312" spans="9:12">
      <c r="I1312" t="str">
        <f>IF(OR($A1312="",$B1312=""),"",IF(COUNTIFS($A$2:$A1312,$A1312,$B$2:$B1312,$B1312)=1,1,0))</f>
        <v/>
      </c>
      <c r="J1312" t="str">
        <f t="shared" si="20"/>
        <v/>
      </c>
      <c r="L1312" t="str">
        <f>IF('01_Warehouse_Ledger'!$A1312="","",'01_Warehouse_Ledger'!$A1312)</f>
        <v/>
      </c>
    </row>
    <row r="1313" spans="9:12">
      <c r="I1313" t="str">
        <f>IF(OR($A1313="",$B1313=""),"",IF(COUNTIFS($A$2:$A1313,$A1313,$B$2:$B1313,$B1313)=1,1,0))</f>
        <v/>
      </c>
      <c r="J1313" t="str">
        <f t="shared" si="20"/>
        <v/>
      </c>
      <c r="L1313" t="str">
        <f>IF('01_Warehouse_Ledger'!$A1313="","",'01_Warehouse_Ledger'!$A1313)</f>
        <v/>
      </c>
    </row>
    <row r="1314" spans="9:12">
      <c r="I1314" t="str">
        <f>IF(OR($A1314="",$B1314=""),"",IF(COUNTIFS($A$2:$A1314,$A1314,$B$2:$B1314,$B1314)=1,1,0))</f>
        <v/>
      </c>
      <c r="J1314" t="str">
        <f t="shared" si="20"/>
        <v/>
      </c>
      <c r="L1314" t="str">
        <f>IF('01_Warehouse_Ledger'!$A1314="","",'01_Warehouse_Ledger'!$A1314)</f>
        <v/>
      </c>
    </row>
    <row r="1315" spans="9:12">
      <c r="I1315" t="str">
        <f>IF(OR($A1315="",$B1315=""),"",IF(COUNTIFS($A$2:$A1315,$A1315,$B$2:$B1315,$B1315)=1,1,0))</f>
        <v/>
      </c>
      <c r="J1315" t="str">
        <f t="shared" si="20"/>
        <v/>
      </c>
      <c r="L1315" t="str">
        <f>IF('01_Warehouse_Ledger'!$A1315="","",'01_Warehouse_Ledger'!$A1315)</f>
        <v/>
      </c>
    </row>
    <row r="1316" spans="9:12">
      <c r="I1316" t="str">
        <f>IF(OR($A1316="",$B1316=""),"",IF(COUNTIFS($A$2:$A1316,$A1316,$B$2:$B1316,$B1316)=1,1,0))</f>
        <v/>
      </c>
      <c r="J1316" t="str">
        <f t="shared" si="20"/>
        <v/>
      </c>
      <c r="L1316" t="str">
        <f>IF('01_Warehouse_Ledger'!$A1316="","",'01_Warehouse_Ledger'!$A1316)</f>
        <v/>
      </c>
    </row>
    <row r="1317" spans="9:12">
      <c r="I1317" t="str">
        <f>IF(OR($A1317="",$B1317=""),"",IF(COUNTIFS($A$2:$A1317,$A1317,$B$2:$B1317,$B1317)=1,1,0))</f>
        <v/>
      </c>
      <c r="J1317" t="str">
        <f t="shared" si="20"/>
        <v/>
      </c>
      <c r="L1317" t="str">
        <f>IF('01_Warehouse_Ledger'!$A1317="","",'01_Warehouse_Ledger'!$A1317)</f>
        <v/>
      </c>
    </row>
    <row r="1318" spans="9:12">
      <c r="I1318" t="str">
        <f>IF(OR($A1318="",$B1318=""),"",IF(COUNTIFS($A$2:$A1318,$A1318,$B$2:$B1318,$B1318)=1,1,0))</f>
        <v/>
      </c>
      <c r="J1318" t="str">
        <f t="shared" si="20"/>
        <v/>
      </c>
      <c r="L1318" t="str">
        <f>IF('01_Warehouse_Ledger'!$A1318="","",'01_Warehouse_Ledger'!$A1318)</f>
        <v/>
      </c>
    </row>
    <row r="1319" spans="9:12">
      <c r="I1319" t="str">
        <f>IF(OR($A1319="",$B1319=""),"",IF(COUNTIFS($A$2:$A1319,$A1319,$B$2:$B1319,$B1319)=1,1,0))</f>
        <v/>
      </c>
      <c r="J1319" t="str">
        <f t="shared" si="20"/>
        <v/>
      </c>
      <c r="L1319" t="str">
        <f>IF('01_Warehouse_Ledger'!$A1319="","",'01_Warehouse_Ledger'!$A1319)</f>
        <v/>
      </c>
    </row>
    <row r="1320" spans="9:12">
      <c r="I1320" t="str">
        <f>IF(OR($A1320="",$B1320=""),"",IF(COUNTIFS($A$2:$A1320,$A1320,$B$2:$B1320,$B1320)=1,1,0))</f>
        <v/>
      </c>
      <c r="J1320" t="str">
        <f t="shared" si="20"/>
        <v/>
      </c>
      <c r="L1320" t="str">
        <f>IF('01_Warehouse_Ledger'!$A1320="","",'01_Warehouse_Ledger'!$A1320)</f>
        <v/>
      </c>
    </row>
    <row r="1321" spans="9:12">
      <c r="I1321" t="str">
        <f>IF(OR($A1321="",$B1321=""),"",IF(COUNTIFS($A$2:$A1321,$A1321,$B$2:$B1321,$B1321)=1,1,0))</f>
        <v/>
      </c>
      <c r="J1321" t="str">
        <f t="shared" si="20"/>
        <v/>
      </c>
      <c r="L1321" t="str">
        <f>IF('01_Warehouse_Ledger'!$A1321="","",'01_Warehouse_Ledger'!$A1321)</f>
        <v/>
      </c>
    </row>
    <row r="1322" spans="9:12">
      <c r="I1322" t="str">
        <f>IF(OR($A1322="",$B1322=""),"",IF(COUNTIFS($A$2:$A1322,$A1322,$B$2:$B1322,$B1322)=1,1,0))</f>
        <v/>
      </c>
      <c r="J1322" t="str">
        <f t="shared" si="20"/>
        <v/>
      </c>
      <c r="L1322" t="str">
        <f>IF('01_Warehouse_Ledger'!$A1322="","",'01_Warehouse_Ledger'!$A1322)</f>
        <v/>
      </c>
    </row>
    <row r="1323" spans="9:12">
      <c r="I1323" t="str">
        <f>IF(OR($A1323="",$B1323=""),"",IF(COUNTIFS($A$2:$A1323,$A1323,$B$2:$B1323,$B1323)=1,1,0))</f>
        <v/>
      </c>
      <c r="J1323" t="str">
        <f t="shared" si="20"/>
        <v/>
      </c>
      <c r="L1323" t="str">
        <f>IF('01_Warehouse_Ledger'!$A1323="","",'01_Warehouse_Ledger'!$A1323)</f>
        <v/>
      </c>
    </row>
    <row r="1324" spans="9:12">
      <c r="I1324" t="str">
        <f>IF(OR($A1324="",$B1324=""),"",IF(COUNTIFS($A$2:$A1324,$A1324,$B$2:$B1324,$B1324)=1,1,0))</f>
        <v/>
      </c>
      <c r="J1324" t="str">
        <f t="shared" si="20"/>
        <v/>
      </c>
      <c r="L1324" t="str">
        <f>IF('01_Warehouse_Ledger'!$A1324="","",'01_Warehouse_Ledger'!$A1324)</f>
        <v/>
      </c>
    </row>
    <row r="1325" spans="9:12">
      <c r="I1325" t="str">
        <f>IF(OR($A1325="",$B1325=""),"",IF(COUNTIFS($A$2:$A1325,$A1325,$B$2:$B1325,$B1325)=1,1,0))</f>
        <v/>
      </c>
      <c r="J1325" t="str">
        <f t="shared" si="20"/>
        <v/>
      </c>
      <c r="L1325" t="str">
        <f>IF('01_Warehouse_Ledger'!$A1325="","",'01_Warehouse_Ledger'!$A1325)</f>
        <v/>
      </c>
    </row>
    <row r="1326" spans="9:12">
      <c r="I1326" t="str">
        <f>IF(OR($A1326="",$B1326=""),"",IF(COUNTIFS($A$2:$A1326,$A1326,$B$2:$B1326,$B1326)=1,1,0))</f>
        <v/>
      </c>
      <c r="J1326" t="str">
        <f t="shared" si="20"/>
        <v/>
      </c>
      <c r="L1326" t="str">
        <f>IF('01_Warehouse_Ledger'!$A1326="","",'01_Warehouse_Ledger'!$A1326)</f>
        <v/>
      </c>
    </row>
    <row r="1327" spans="9:12">
      <c r="I1327" t="str">
        <f>IF(OR($A1327="",$B1327=""),"",IF(COUNTIFS($A$2:$A1327,$A1327,$B$2:$B1327,$B1327)=1,1,0))</f>
        <v/>
      </c>
      <c r="J1327" t="str">
        <f t="shared" si="20"/>
        <v/>
      </c>
      <c r="L1327" t="str">
        <f>IF('01_Warehouse_Ledger'!$A1327="","",'01_Warehouse_Ledger'!$A1327)</f>
        <v/>
      </c>
    </row>
    <row r="1328" spans="9:12">
      <c r="I1328" t="str">
        <f>IF(OR($A1328="",$B1328=""),"",IF(COUNTIFS($A$2:$A1328,$A1328,$B$2:$B1328,$B1328)=1,1,0))</f>
        <v/>
      </c>
      <c r="J1328" t="str">
        <f t="shared" si="20"/>
        <v/>
      </c>
      <c r="L1328" t="str">
        <f>IF('01_Warehouse_Ledger'!$A1328="","",'01_Warehouse_Ledger'!$A1328)</f>
        <v/>
      </c>
    </row>
    <row r="1329" spans="9:12">
      <c r="I1329" t="str">
        <f>IF(OR($A1329="",$B1329=""),"",IF(COUNTIFS($A$2:$A1329,$A1329,$B$2:$B1329,$B1329)=1,1,0))</f>
        <v/>
      </c>
      <c r="J1329" t="str">
        <f t="shared" si="20"/>
        <v/>
      </c>
      <c r="L1329" t="str">
        <f>IF('01_Warehouse_Ledger'!$A1329="","",'01_Warehouse_Ledger'!$A1329)</f>
        <v/>
      </c>
    </row>
    <row r="1330" spans="9:12">
      <c r="I1330" t="str">
        <f>IF(OR($A1330="",$B1330=""),"",IF(COUNTIFS($A$2:$A1330,$A1330,$B$2:$B1330,$B1330)=1,1,0))</f>
        <v/>
      </c>
      <c r="J1330" t="str">
        <f t="shared" si="20"/>
        <v/>
      </c>
      <c r="L1330" t="str">
        <f>IF('01_Warehouse_Ledger'!$A1330="","",'01_Warehouse_Ledger'!$A1330)</f>
        <v/>
      </c>
    </row>
    <row r="1331" spans="9:12">
      <c r="I1331" t="str">
        <f>IF(OR($A1331="",$B1331=""),"",IF(COUNTIFS($A$2:$A1331,$A1331,$B$2:$B1331,$B1331)=1,1,0))</f>
        <v/>
      </c>
      <c r="J1331" t="str">
        <f t="shared" si="20"/>
        <v/>
      </c>
      <c r="L1331" t="str">
        <f>IF('01_Warehouse_Ledger'!$A1331="","",'01_Warehouse_Ledger'!$A1331)</f>
        <v/>
      </c>
    </row>
    <row r="1332" spans="9:12">
      <c r="I1332" t="str">
        <f>IF(OR($A1332="",$B1332=""),"",IF(COUNTIFS($A$2:$A1332,$A1332,$B$2:$B1332,$B1332)=1,1,0))</f>
        <v/>
      </c>
      <c r="J1332" t="str">
        <f t="shared" si="20"/>
        <v/>
      </c>
      <c r="L1332" t="str">
        <f>IF('01_Warehouse_Ledger'!$A1332="","",'01_Warehouse_Ledger'!$A1332)</f>
        <v/>
      </c>
    </row>
    <row r="1333" spans="9:12">
      <c r="I1333" t="str">
        <f>IF(OR($A1333="",$B1333=""),"",IF(COUNTIFS($A$2:$A1333,$A1333,$B$2:$B1333,$B1333)=1,1,0))</f>
        <v/>
      </c>
      <c r="J1333" t="str">
        <f t="shared" si="20"/>
        <v/>
      </c>
      <c r="L1333" t="str">
        <f>IF('01_Warehouse_Ledger'!$A1333="","",'01_Warehouse_Ledger'!$A1333)</f>
        <v/>
      </c>
    </row>
    <row r="1334" spans="9:12">
      <c r="I1334" t="str">
        <f>IF(OR($A1334="",$B1334=""),"",IF(COUNTIFS($A$2:$A1334,$A1334,$B$2:$B1334,$B1334)=1,1,0))</f>
        <v/>
      </c>
      <c r="J1334" t="str">
        <f t="shared" si="20"/>
        <v/>
      </c>
      <c r="L1334" t="str">
        <f>IF('01_Warehouse_Ledger'!$A1334="","",'01_Warehouse_Ledger'!$A1334)</f>
        <v/>
      </c>
    </row>
    <row r="1335" spans="9:12">
      <c r="I1335" t="str">
        <f>IF(OR($A1335="",$B1335=""),"",IF(COUNTIFS($A$2:$A1335,$A1335,$B$2:$B1335,$B1335)=1,1,0))</f>
        <v/>
      </c>
      <c r="J1335" t="str">
        <f t="shared" si="20"/>
        <v/>
      </c>
      <c r="L1335" t="str">
        <f>IF('01_Warehouse_Ledger'!$A1335="","",'01_Warehouse_Ledger'!$A1335)</f>
        <v/>
      </c>
    </row>
    <row r="1336" spans="9:12">
      <c r="I1336" t="str">
        <f>IF(OR($A1336="",$B1336=""),"",IF(COUNTIFS($A$2:$A1336,$A1336,$B$2:$B1336,$B1336)=1,1,0))</f>
        <v/>
      </c>
      <c r="J1336" t="str">
        <f t="shared" si="20"/>
        <v/>
      </c>
      <c r="L1336" t="str">
        <f>IF('01_Warehouse_Ledger'!$A1336="","",'01_Warehouse_Ledger'!$A1336)</f>
        <v/>
      </c>
    </row>
    <row r="1337" spans="9:12">
      <c r="I1337" t="str">
        <f>IF(OR($A1337="",$B1337=""),"",IF(COUNTIFS($A$2:$A1337,$A1337,$B$2:$B1337,$B1337)=1,1,0))</f>
        <v/>
      </c>
      <c r="J1337" t="str">
        <f t="shared" si="20"/>
        <v/>
      </c>
      <c r="L1337" t="str">
        <f>IF('01_Warehouse_Ledger'!$A1337="","",'01_Warehouse_Ledger'!$A1337)</f>
        <v/>
      </c>
    </row>
    <row r="1338" spans="9:12">
      <c r="I1338" t="str">
        <f>IF(OR($A1338="",$B1338=""),"",IF(COUNTIFS($A$2:$A1338,$A1338,$B$2:$B1338,$B1338)=1,1,0))</f>
        <v/>
      </c>
      <c r="J1338" t="str">
        <f t="shared" si="20"/>
        <v/>
      </c>
      <c r="L1338" t="str">
        <f>IF('01_Warehouse_Ledger'!$A1338="","",'01_Warehouse_Ledger'!$A1338)</f>
        <v/>
      </c>
    </row>
    <row r="1339" spans="9:12">
      <c r="I1339" t="str">
        <f>IF(OR($A1339="",$B1339=""),"",IF(COUNTIFS($A$2:$A1339,$A1339,$B$2:$B1339,$B1339)=1,1,0))</f>
        <v/>
      </c>
      <c r="J1339" t="str">
        <f t="shared" si="20"/>
        <v/>
      </c>
      <c r="L1339" t="str">
        <f>IF('01_Warehouse_Ledger'!$A1339="","",'01_Warehouse_Ledger'!$A1339)</f>
        <v/>
      </c>
    </row>
    <row r="1340" spans="9:12">
      <c r="I1340" t="str">
        <f>IF(OR($A1340="",$B1340=""),"",IF(COUNTIFS($A$2:$A1340,$A1340,$B$2:$B1340,$B1340)=1,1,0))</f>
        <v/>
      </c>
      <c r="J1340" t="str">
        <f t="shared" si="20"/>
        <v/>
      </c>
      <c r="L1340" t="str">
        <f>IF('01_Warehouse_Ledger'!$A1340="","",'01_Warehouse_Ledger'!$A1340)</f>
        <v/>
      </c>
    </row>
    <row r="1341" spans="9:12">
      <c r="I1341" t="str">
        <f>IF(OR($A1341="",$B1341=""),"",IF(COUNTIFS($A$2:$A1341,$A1341,$B$2:$B1341,$B1341)=1,1,0))</f>
        <v/>
      </c>
      <c r="J1341" t="str">
        <f t="shared" si="20"/>
        <v/>
      </c>
      <c r="L1341" t="str">
        <f>IF('01_Warehouse_Ledger'!$A1341="","",'01_Warehouse_Ledger'!$A1341)</f>
        <v/>
      </c>
    </row>
    <row r="1342" spans="9:12">
      <c r="I1342" t="str">
        <f>IF(OR($A1342="",$B1342=""),"",IF(COUNTIFS($A$2:$A1342,$A1342,$B$2:$B1342,$B1342)=1,1,0))</f>
        <v/>
      </c>
      <c r="J1342" t="str">
        <f t="shared" si="20"/>
        <v/>
      </c>
      <c r="L1342" t="str">
        <f>IF('01_Warehouse_Ledger'!$A1342="","",'01_Warehouse_Ledger'!$A1342)</f>
        <v/>
      </c>
    </row>
    <row r="1343" spans="9:12">
      <c r="I1343" t="str">
        <f>IF(OR($A1343="",$B1343=""),"",IF(COUNTIFS($A$2:$A1343,$A1343,$B$2:$B1343,$B1343)=1,1,0))</f>
        <v/>
      </c>
      <c r="J1343" t="str">
        <f t="shared" si="20"/>
        <v/>
      </c>
      <c r="L1343" t="str">
        <f>IF('01_Warehouse_Ledger'!$A1343="","",'01_Warehouse_Ledger'!$A1343)</f>
        <v/>
      </c>
    </row>
    <row r="1344" spans="9:12">
      <c r="I1344" t="str">
        <f>IF(OR($A1344="",$B1344=""),"",IF(COUNTIFS($A$2:$A1344,$A1344,$B$2:$B1344,$B1344)=1,1,0))</f>
        <v/>
      </c>
      <c r="J1344" t="str">
        <f t="shared" si="20"/>
        <v/>
      </c>
      <c r="L1344" t="str">
        <f>IF('01_Warehouse_Ledger'!$A1344="","",'01_Warehouse_Ledger'!$A1344)</f>
        <v/>
      </c>
    </row>
    <row r="1345" spans="9:12">
      <c r="I1345" t="str">
        <f>IF(OR($A1345="",$B1345=""),"",IF(COUNTIFS($A$2:$A1345,$A1345,$B$2:$B1345,$B1345)=1,1,0))</f>
        <v/>
      </c>
      <c r="J1345" t="str">
        <f t="shared" si="20"/>
        <v/>
      </c>
      <c r="L1345" t="str">
        <f>IF('01_Warehouse_Ledger'!$A1345="","",'01_Warehouse_Ledger'!$A1345)</f>
        <v/>
      </c>
    </row>
    <row r="1346" spans="9:12">
      <c r="I1346" t="str">
        <f>IF(OR($A1346="",$B1346=""),"",IF(COUNTIFS($A$2:$A1346,$A1346,$B$2:$B1346,$B1346)=1,1,0))</f>
        <v/>
      </c>
      <c r="J1346" t="str">
        <f t="shared" ref="J1346:J1409" si="21">IF($A1346="","",ROW())</f>
        <v/>
      </c>
      <c r="L1346" t="str">
        <f>IF('01_Warehouse_Ledger'!$A1346="","",'01_Warehouse_Ledger'!$A1346)</f>
        <v/>
      </c>
    </row>
    <row r="1347" spans="9:12">
      <c r="I1347" t="str">
        <f>IF(OR($A1347="",$B1347=""),"",IF(COUNTIFS($A$2:$A1347,$A1347,$B$2:$B1347,$B1347)=1,1,0))</f>
        <v/>
      </c>
      <c r="J1347" t="str">
        <f t="shared" si="21"/>
        <v/>
      </c>
      <c r="L1347" t="str">
        <f>IF('01_Warehouse_Ledger'!$A1347="","",'01_Warehouse_Ledger'!$A1347)</f>
        <v/>
      </c>
    </row>
    <row r="1348" spans="9:12">
      <c r="I1348" t="str">
        <f>IF(OR($A1348="",$B1348=""),"",IF(COUNTIFS($A$2:$A1348,$A1348,$B$2:$B1348,$B1348)=1,1,0))</f>
        <v/>
      </c>
      <c r="J1348" t="str">
        <f t="shared" si="21"/>
        <v/>
      </c>
      <c r="L1348" t="str">
        <f>IF('01_Warehouse_Ledger'!$A1348="","",'01_Warehouse_Ledger'!$A1348)</f>
        <v/>
      </c>
    </row>
    <row r="1349" spans="9:12">
      <c r="I1349" t="str">
        <f>IF(OR($A1349="",$B1349=""),"",IF(COUNTIFS($A$2:$A1349,$A1349,$B$2:$B1349,$B1349)=1,1,0))</f>
        <v/>
      </c>
      <c r="J1349" t="str">
        <f t="shared" si="21"/>
        <v/>
      </c>
      <c r="L1349" t="str">
        <f>IF('01_Warehouse_Ledger'!$A1349="","",'01_Warehouse_Ledger'!$A1349)</f>
        <v/>
      </c>
    </row>
    <row r="1350" spans="9:12">
      <c r="I1350" t="str">
        <f>IF(OR($A1350="",$B1350=""),"",IF(COUNTIFS($A$2:$A1350,$A1350,$B$2:$B1350,$B1350)=1,1,0))</f>
        <v/>
      </c>
      <c r="J1350" t="str">
        <f t="shared" si="21"/>
        <v/>
      </c>
      <c r="L1350" t="str">
        <f>IF('01_Warehouse_Ledger'!$A1350="","",'01_Warehouse_Ledger'!$A1350)</f>
        <v/>
      </c>
    </row>
    <row r="1351" spans="9:12">
      <c r="I1351" t="str">
        <f>IF(OR($A1351="",$B1351=""),"",IF(COUNTIFS($A$2:$A1351,$A1351,$B$2:$B1351,$B1351)=1,1,0))</f>
        <v/>
      </c>
      <c r="J1351" t="str">
        <f t="shared" si="21"/>
        <v/>
      </c>
      <c r="L1351" t="str">
        <f>IF('01_Warehouse_Ledger'!$A1351="","",'01_Warehouse_Ledger'!$A1351)</f>
        <v/>
      </c>
    </row>
    <row r="1352" spans="9:12">
      <c r="I1352" t="str">
        <f>IF(OR($A1352="",$B1352=""),"",IF(COUNTIFS($A$2:$A1352,$A1352,$B$2:$B1352,$B1352)=1,1,0))</f>
        <v/>
      </c>
      <c r="J1352" t="str">
        <f t="shared" si="21"/>
        <v/>
      </c>
      <c r="L1352" t="str">
        <f>IF('01_Warehouse_Ledger'!$A1352="","",'01_Warehouse_Ledger'!$A1352)</f>
        <v/>
      </c>
    </row>
    <row r="1353" spans="9:12">
      <c r="I1353" t="str">
        <f>IF(OR($A1353="",$B1353=""),"",IF(COUNTIFS($A$2:$A1353,$A1353,$B$2:$B1353,$B1353)=1,1,0))</f>
        <v/>
      </c>
      <c r="J1353" t="str">
        <f t="shared" si="21"/>
        <v/>
      </c>
      <c r="L1353" t="str">
        <f>IF('01_Warehouse_Ledger'!$A1353="","",'01_Warehouse_Ledger'!$A1353)</f>
        <v/>
      </c>
    </row>
    <row r="1354" spans="9:12">
      <c r="I1354" t="str">
        <f>IF(OR($A1354="",$B1354=""),"",IF(COUNTIFS($A$2:$A1354,$A1354,$B$2:$B1354,$B1354)=1,1,0))</f>
        <v/>
      </c>
      <c r="J1354" t="str">
        <f t="shared" si="21"/>
        <v/>
      </c>
      <c r="L1354" t="str">
        <f>IF('01_Warehouse_Ledger'!$A1354="","",'01_Warehouse_Ledger'!$A1354)</f>
        <v/>
      </c>
    </row>
    <row r="1355" spans="9:12">
      <c r="I1355" t="str">
        <f>IF(OR($A1355="",$B1355=""),"",IF(COUNTIFS($A$2:$A1355,$A1355,$B$2:$B1355,$B1355)=1,1,0))</f>
        <v/>
      </c>
      <c r="J1355" t="str">
        <f t="shared" si="21"/>
        <v/>
      </c>
      <c r="L1355" t="str">
        <f>IF('01_Warehouse_Ledger'!$A1355="","",'01_Warehouse_Ledger'!$A1355)</f>
        <v/>
      </c>
    </row>
    <row r="1356" spans="9:12">
      <c r="I1356" t="str">
        <f>IF(OR($A1356="",$B1356=""),"",IF(COUNTIFS($A$2:$A1356,$A1356,$B$2:$B1356,$B1356)=1,1,0))</f>
        <v/>
      </c>
      <c r="J1356" t="str">
        <f t="shared" si="21"/>
        <v/>
      </c>
      <c r="L1356" t="str">
        <f>IF('01_Warehouse_Ledger'!$A1356="","",'01_Warehouse_Ledger'!$A1356)</f>
        <v/>
      </c>
    </row>
    <row r="1357" spans="9:12">
      <c r="I1357" t="str">
        <f>IF(OR($A1357="",$B1357=""),"",IF(COUNTIFS($A$2:$A1357,$A1357,$B$2:$B1357,$B1357)=1,1,0))</f>
        <v/>
      </c>
      <c r="J1357" t="str">
        <f t="shared" si="21"/>
        <v/>
      </c>
      <c r="L1357" t="str">
        <f>IF('01_Warehouse_Ledger'!$A1357="","",'01_Warehouse_Ledger'!$A1357)</f>
        <v/>
      </c>
    </row>
    <row r="1358" spans="9:12">
      <c r="I1358" t="str">
        <f>IF(OR($A1358="",$B1358=""),"",IF(COUNTIFS($A$2:$A1358,$A1358,$B$2:$B1358,$B1358)=1,1,0))</f>
        <v/>
      </c>
      <c r="J1358" t="str">
        <f t="shared" si="21"/>
        <v/>
      </c>
      <c r="L1358" t="str">
        <f>IF('01_Warehouse_Ledger'!$A1358="","",'01_Warehouse_Ledger'!$A1358)</f>
        <v/>
      </c>
    </row>
    <row r="1359" spans="9:12">
      <c r="I1359" t="str">
        <f>IF(OR($A1359="",$B1359=""),"",IF(COUNTIFS($A$2:$A1359,$A1359,$B$2:$B1359,$B1359)=1,1,0))</f>
        <v/>
      </c>
      <c r="J1359" t="str">
        <f t="shared" si="21"/>
        <v/>
      </c>
      <c r="L1359" t="str">
        <f>IF('01_Warehouse_Ledger'!$A1359="","",'01_Warehouse_Ledger'!$A1359)</f>
        <v/>
      </c>
    </row>
    <row r="1360" spans="9:12">
      <c r="I1360" t="str">
        <f>IF(OR($A1360="",$B1360=""),"",IF(COUNTIFS($A$2:$A1360,$A1360,$B$2:$B1360,$B1360)=1,1,0))</f>
        <v/>
      </c>
      <c r="J1360" t="str">
        <f t="shared" si="21"/>
        <v/>
      </c>
      <c r="L1360" t="str">
        <f>IF('01_Warehouse_Ledger'!$A1360="","",'01_Warehouse_Ledger'!$A1360)</f>
        <v/>
      </c>
    </row>
    <row r="1361" spans="9:12">
      <c r="I1361" t="str">
        <f>IF(OR($A1361="",$B1361=""),"",IF(COUNTIFS($A$2:$A1361,$A1361,$B$2:$B1361,$B1361)=1,1,0))</f>
        <v/>
      </c>
      <c r="J1361" t="str">
        <f t="shared" si="21"/>
        <v/>
      </c>
      <c r="L1361" t="str">
        <f>IF('01_Warehouse_Ledger'!$A1361="","",'01_Warehouse_Ledger'!$A1361)</f>
        <v/>
      </c>
    </row>
    <row r="1362" spans="9:12">
      <c r="I1362" t="str">
        <f>IF(OR($A1362="",$B1362=""),"",IF(COUNTIFS($A$2:$A1362,$A1362,$B$2:$B1362,$B1362)=1,1,0))</f>
        <v/>
      </c>
      <c r="J1362" t="str">
        <f t="shared" si="21"/>
        <v/>
      </c>
      <c r="L1362" t="str">
        <f>IF('01_Warehouse_Ledger'!$A1362="","",'01_Warehouse_Ledger'!$A1362)</f>
        <v/>
      </c>
    </row>
    <row r="1363" spans="9:12">
      <c r="I1363" t="str">
        <f>IF(OR($A1363="",$B1363=""),"",IF(COUNTIFS($A$2:$A1363,$A1363,$B$2:$B1363,$B1363)=1,1,0))</f>
        <v/>
      </c>
      <c r="J1363" t="str">
        <f t="shared" si="21"/>
        <v/>
      </c>
      <c r="L1363" t="str">
        <f>IF('01_Warehouse_Ledger'!$A1363="","",'01_Warehouse_Ledger'!$A1363)</f>
        <v/>
      </c>
    </row>
    <row r="1364" spans="9:12">
      <c r="I1364" t="str">
        <f>IF(OR($A1364="",$B1364=""),"",IF(COUNTIFS($A$2:$A1364,$A1364,$B$2:$B1364,$B1364)=1,1,0))</f>
        <v/>
      </c>
      <c r="J1364" t="str">
        <f t="shared" si="21"/>
        <v/>
      </c>
      <c r="L1364" t="str">
        <f>IF('01_Warehouse_Ledger'!$A1364="","",'01_Warehouse_Ledger'!$A1364)</f>
        <v/>
      </c>
    </row>
    <row r="1365" spans="9:12">
      <c r="I1365" t="str">
        <f>IF(OR($A1365="",$B1365=""),"",IF(COUNTIFS($A$2:$A1365,$A1365,$B$2:$B1365,$B1365)=1,1,0))</f>
        <v/>
      </c>
      <c r="J1365" t="str">
        <f t="shared" si="21"/>
        <v/>
      </c>
      <c r="L1365" t="str">
        <f>IF('01_Warehouse_Ledger'!$A1365="","",'01_Warehouse_Ledger'!$A1365)</f>
        <v/>
      </c>
    </row>
    <row r="1366" spans="9:12">
      <c r="I1366" t="str">
        <f>IF(OR($A1366="",$B1366=""),"",IF(COUNTIFS($A$2:$A1366,$A1366,$B$2:$B1366,$B1366)=1,1,0))</f>
        <v/>
      </c>
      <c r="J1366" t="str">
        <f t="shared" si="21"/>
        <v/>
      </c>
      <c r="L1366" t="str">
        <f>IF('01_Warehouse_Ledger'!$A1366="","",'01_Warehouse_Ledger'!$A1366)</f>
        <v/>
      </c>
    </row>
    <row r="1367" spans="9:12">
      <c r="I1367" t="str">
        <f>IF(OR($A1367="",$B1367=""),"",IF(COUNTIFS($A$2:$A1367,$A1367,$B$2:$B1367,$B1367)=1,1,0))</f>
        <v/>
      </c>
      <c r="J1367" t="str">
        <f t="shared" si="21"/>
        <v/>
      </c>
      <c r="L1367" t="str">
        <f>IF('01_Warehouse_Ledger'!$A1367="","",'01_Warehouse_Ledger'!$A1367)</f>
        <v/>
      </c>
    </row>
    <row r="1368" spans="9:12">
      <c r="I1368" t="str">
        <f>IF(OR($A1368="",$B1368=""),"",IF(COUNTIFS($A$2:$A1368,$A1368,$B$2:$B1368,$B1368)=1,1,0))</f>
        <v/>
      </c>
      <c r="J1368" t="str">
        <f t="shared" si="21"/>
        <v/>
      </c>
      <c r="L1368" t="str">
        <f>IF('01_Warehouse_Ledger'!$A1368="","",'01_Warehouse_Ledger'!$A1368)</f>
        <v/>
      </c>
    </row>
    <row r="1369" spans="9:12">
      <c r="I1369" t="str">
        <f>IF(OR($A1369="",$B1369=""),"",IF(COUNTIFS($A$2:$A1369,$A1369,$B$2:$B1369,$B1369)=1,1,0))</f>
        <v/>
      </c>
      <c r="J1369" t="str">
        <f t="shared" si="21"/>
        <v/>
      </c>
      <c r="L1369" t="str">
        <f>IF('01_Warehouse_Ledger'!$A1369="","",'01_Warehouse_Ledger'!$A1369)</f>
        <v/>
      </c>
    </row>
    <row r="1370" spans="9:12">
      <c r="I1370" t="str">
        <f>IF(OR($A1370="",$B1370=""),"",IF(COUNTIFS($A$2:$A1370,$A1370,$B$2:$B1370,$B1370)=1,1,0))</f>
        <v/>
      </c>
      <c r="J1370" t="str">
        <f t="shared" si="21"/>
        <v/>
      </c>
      <c r="L1370" t="str">
        <f>IF('01_Warehouse_Ledger'!$A1370="","",'01_Warehouse_Ledger'!$A1370)</f>
        <v/>
      </c>
    </row>
    <row r="1371" spans="9:12">
      <c r="I1371" t="str">
        <f>IF(OR($A1371="",$B1371=""),"",IF(COUNTIFS($A$2:$A1371,$A1371,$B$2:$B1371,$B1371)=1,1,0))</f>
        <v/>
      </c>
      <c r="J1371" t="str">
        <f t="shared" si="21"/>
        <v/>
      </c>
      <c r="L1371" t="str">
        <f>IF('01_Warehouse_Ledger'!$A1371="","",'01_Warehouse_Ledger'!$A1371)</f>
        <v/>
      </c>
    </row>
    <row r="1372" spans="9:12">
      <c r="I1372" t="str">
        <f>IF(OR($A1372="",$B1372=""),"",IF(COUNTIFS($A$2:$A1372,$A1372,$B$2:$B1372,$B1372)=1,1,0))</f>
        <v/>
      </c>
      <c r="J1372" t="str">
        <f t="shared" si="21"/>
        <v/>
      </c>
      <c r="L1372" t="str">
        <f>IF('01_Warehouse_Ledger'!$A1372="","",'01_Warehouse_Ledger'!$A1372)</f>
        <v/>
      </c>
    </row>
    <row r="1373" spans="9:12">
      <c r="I1373" t="str">
        <f>IF(OR($A1373="",$B1373=""),"",IF(COUNTIFS($A$2:$A1373,$A1373,$B$2:$B1373,$B1373)=1,1,0))</f>
        <v/>
      </c>
      <c r="J1373" t="str">
        <f t="shared" si="21"/>
        <v/>
      </c>
      <c r="L1373" t="str">
        <f>IF('01_Warehouse_Ledger'!$A1373="","",'01_Warehouse_Ledger'!$A1373)</f>
        <v/>
      </c>
    </row>
    <row r="1374" spans="9:12">
      <c r="I1374" t="str">
        <f>IF(OR($A1374="",$B1374=""),"",IF(COUNTIFS($A$2:$A1374,$A1374,$B$2:$B1374,$B1374)=1,1,0))</f>
        <v/>
      </c>
      <c r="J1374" t="str">
        <f t="shared" si="21"/>
        <v/>
      </c>
      <c r="L1374" t="str">
        <f>IF('01_Warehouse_Ledger'!$A1374="","",'01_Warehouse_Ledger'!$A1374)</f>
        <v/>
      </c>
    </row>
    <row r="1375" spans="9:12">
      <c r="I1375" t="str">
        <f>IF(OR($A1375="",$B1375=""),"",IF(COUNTIFS($A$2:$A1375,$A1375,$B$2:$B1375,$B1375)=1,1,0))</f>
        <v/>
      </c>
      <c r="J1375" t="str">
        <f t="shared" si="21"/>
        <v/>
      </c>
      <c r="L1375" t="str">
        <f>IF('01_Warehouse_Ledger'!$A1375="","",'01_Warehouse_Ledger'!$A1375)</f>
        <v/>
      </c>
    </row>
    <row r="1376" spans="9:12">
      <c r="I1376" t="str">
        <f>IF(OR($A1376="",$B1376=""),"",IF(COUNTIFS($A$2:$A1376,$A1376,$B$2:$B1376,$B1376)=1,1,0))</f>
        <v/>
      </c>
      <c r="J1376" t="str">
        <f t="shared" si="21"/>
        <v/>
      </c>
      <c r="L1376" t="str">
        <f>IF('01_Warehouse_Ledger'!$A1376="","",'01_Warehouse_Ledger'!$A1376)</f>
        <v/>
      </c>
    </row>
    <row r="1377" spans="9:12">
      <c r="I1377" t="str">
        <f>IF(OR($A1377="",$B1377=""),"",IF(COUNTIFS($A$2:$A1377,$A1377,$B$2:$B1377,$B1377)=1,1,0))</f>
        <v/>
      </c>
      <c r="J1377" t="str">
        <f t="shared" si="21"/>
        <v/>
      </c>
      <c r="L1377" t="str">
        <f>IF('01_Warehouse_Ledger'!$A1377="","",'01_Warehouse_Ledger'!$A1377)</f>
        <v/>
      </c>
    </row>
    <row r="1378" spans="9:12">
      <c r="I1378" t="str">
        <f>IF(OR($A1378="",$B1378=""),"",IF(COUNTIFS($A$2:$A1378,$A1378,$B$2:$B1378,$B1378)=1,1,0))</f>
        <v/>
      </c>
      <c r="J1378" t="str">
        <f t="shared" si="21"/>
        <v/>
      </c>
      <c r="L1378" t="str">
        <f>IF('01_Warehouse_Ledger'!$A1378="","",'01_Warehouse_Ledger'!$A1378)</f>
        <v/>
      </c>
    </row>
    <row r="1379" spans="9:12">
      <c r="I1379" t="str">
        <f>IF(OR($A1379="",$B1379=""),"",IF(COUNTIFS($A$2:$A1379,$A1379,$B$2:$B1379,$B1379)=1,1,0))</f>
        <v/>
      </c>
      <c r="J1379" t="str">
        <f t="shared" si="21"/>
        <v/>
      </c>
      <c r="L1379" t="str">
        <f>IF('01_Warehouse_Ledger'!$A1379="","",'01_Warehouse_Ledger'!$A1379)</f>
        <v/>
      </c>
    </row>
    <row r="1380" spans="9:12">
      <c r="I1380" t="str">
        <f>IF(OR($A1380="",$B1380=""),"",IF(COUNTIFS($A$2:$A1380,$A1380,$B$2:$B1380,$B1380)=1,1,0))</f>
        <v/>
      </c>
      <c r="J1380" t="str">
        <f t="shared" si="21"/>
        <v/>
      </c>
      <c r="L1380" t="str">
        <f>IF('01_Warehouse_Ledger'!$A1380="","",'01_Warehouse_Ledger'!$A1380)</f>
        <v/>
      </c>
    </row>
    <row r="1381" spans="9:12">
      <c r="I1381" t="str">
        <f>IF(OR($A1381="",$B1381=""),"",IF(COUNTIFS($A$2:$A1381,$A1381,$B$2:$B1381,$B1381)=1,1,0))</f>
        <v/>
      </c>
      <c r="J1381" t="str">
        <f t="shared" si="21"/>
        <v/>
      </c>
      <c r="L1381" t="str">
        <f>IF('01_Warehouse_Ledger'!$A1381="","",'01_Warehouse_Ledger'!$A1381)</f>
        <v/>
      </c>
    </row>
    <row r="1382" spans="9:12">
      <c r="I1382" t="str">
        <f>IF(OR($A1382="",$B1382=""),"",IF(COUNTIFS($A$2:$A1382,$A1382,$B$2:$B1382,$B1382)=1,1,0))</f>
        <v/>
      </c>
      <c r="J1382" t="str">
        <f t="shared" si="21"/>
        <v/>
      </c>
      <c r="L1382" t="str">
        <f>IF('01_Warehouse_Ledger'!$A1382="","",'01_Warehouse_Ledger'!$A1382)</f>
        <v/>
      </c>
    </row>
    <row r="1383" spans="9:12">
      <c r="I1383" t="str">
        <f>IF(OR($A1383="",$B1383=""),"",IF(COUNTIFS($A$2:$A1383,$A1383,$B$2:$B1383,$B1383)=1,1,0))</f>
        <v/>
      </c>
      <c r="J1383" t="str">
        <f t="shared" si="21"/>
        <v/>
      </c>
      <c r="L1383" t="str">
        <f>IF('01_Warehouse_Ledger'!$A1383="","",'01_Warehouse_Ledger'!$A1383)</f>
        <v/>
      </c>
    </row>
    <row r="1384" spans="9:12">
      <c r="I1384" t="str">
        <f>IF(OR($A1384="",$B1384=""),"",IF(COUNTIFS($A$2:$A1384,$A1384,$B$2:$B1384,$B1384)=1,1,0))</f>
        <v/>
      </c>
      <c r="J1384" t="str">
        <f t="shared" si="21"/>
        <v/>
      </c>
      <c r="L1384" t="str">
        <f>IF('01_Warehouse_Ledger'!$A1384="","",'01_Warehouse_Ledger'!$A1384)</f>
        <v/>
      </c>
    </row>
    <row r="1385" spans="9:12">
      <c r="I1385" t="str">
        <f>IF(OR($A1385="",$B1385=""),"",IF(COUNTIFS($A$2:$A1385,$A1385,$B$2:$B1385,$B1385)=1,1,0))</f>
        <v/>
      </c>
      <c r="J1385" t="str">
        <f t="shared" si="21"/>
        <v/>
      </c>
      <c r="L1385" t="str">
        <f>IF('01_Warehouse_Ledger'!$A1385="","",'01_Warehouse_Ledger'!$A1385)</f>
        <v/>
      </c>
    </row>
    <row r="1386" spans="9:12">
      <c r="I1386" t="str">
        <f>IF(OR($A1386="",$B1386=""),"",IF(COUNTIFS($A$2:$A1386,$A1386,$B$2:$B1386,$B1386)=1,1,0))</f>
        <v/>
      </c>
      <c r="J1386" t="str">
        <f t="shared" si="21"/>
        <v/>
      </c>
      <c r="L1386" t="str">
        <f>IF('01_Warehouse_Ledger'!$A1386="","",'01_Warehouse_Ledger'!$A1386)</f>
        <v/>
      </c>
    </row>
    <row r="1387" spans="9:12">
      <c r="I1387" t="str">
        <f>IF(OR($A1387="",$B1387=""),"",IF(COUNTIFS($A$2:$A1387,$A1387,$B$2:$B1387,$B1387)=1,1,0))</f>
        <v/>
      </c>
      <c r="J1387" t="str">
        <f t="shared" si="21"/>
        <v/>
      </c>
      <c r="L1387" t="str">
        <f>IF('01_Warehouse_Ledger'!$A1387="","",'01_Warehouse_Ledger'!$A1387)</f>
        <v/>
      </c>
    </row>
    <row r="1388" spans="9:12">
      <c r="I1388" t="str">
        <f>IF(OR($A1388="",$B1388=""),"",IF(COUNTIFS($A$2:$A1388,$A1388,$B$2:$B1388,$B1388)=1,1,0))</f>
        <v/>
      </c>
      <c r="J1388" t="str">
        <f t="shared" si="21"/>
        <v/>
      </c>
      <c r="L1388" t="str">
        <f>IF('01_Warehouse_Ledger'!$A1388="","",'01_Warehouse_Ledger'!$A1388)</f>
        <v/>
      </c>
    </row>
    <row r="1389" spans="9:12">
      <c r="I1389" t="str">
        <f>IF(OR($A1389="",$B1389=""),"",IF(COUNTIFS($A$2:$A1389,$A1389,$B$2:$B1389,$B1389)=1,1,0))</f>
        <v/>
      </c>
      <c r="J1389" t="str">
        <f t="shared" si="21"/>
        <v/>
      </c>
      <c r="L1389" t="str">
        <f>IF('01_Warehouse_Ledger'!$A1389="","",'01_Warehouse_Ledger'!$A1389)</f>
        <v/>
      </c>
    </row>
    <row r="1390" spans="9:12">
      <c r="I1390" t="str">
        <f>IF(OR($A1390="",$B1390=""),"",IF(COUNTIFS($A$2:$A1390,$A1390,$B$2:$B1390,$B1390)=1,1,0))</f>
        <v/>
      </c>
      <c r="J1390" t="str">
        <f t="shared" si="21"/>
        <v/>
      </c>
      <c r="L1390" t="str">
        <f>IF('01_Warehouse_Ledger'!$A1390="","",'01_Warehouse_Ledger'!$A1390)</f>
        <v/>
      </c>
    </row>
    <row r="1391" spans="9:12">
      <c r="I1391" t="str">
        <f>IF(OR($A1391="",$B1391=""),"",IF(COUNTIFS($A$2:$A1391,$A1391,$B$2:$B1391,$B1391)=1,1,0))</f>
        <v/>
      </c>
      <c r="J1391" t="str">
        <f t="shared" si="21"/>
        <v/>
      </c>
      <c r="L1391" t="str">
        <f>IF('01_Warehouse_Ledger'!$A1391="","",'01_Warehouse_Ledger'!$A1391)</f>
        <v/>
      </c>
    </row>
    <row r="1392" spans="9:12">
      <c r="I1392" t="str">
        <f>IF(OR($A1392="",$B1392=""),"",IF(COUNTIFS($A$2:$A1392,$A1392,$B$2:$B1392,$B1392)=1,1,0))</f>
        <v/>
      </c>
      <c r="J1392" t="str">
        <f t="shared" si="21"/>
        <v/>
      </c>
      <c r="L1392" t="str">
        <f>IF('01_Warehouse_Ledger'!$A1392="","",'01_Warehouse_Ledger'!$A1392)</f>
        <v/>
      </c>
    </row>
    <row r="1393" spans="9:12">
      <c r="I1393" t="str">
        <f>IF(OR($A1393="",$B1393=""),"",IF(COUNTIFS($A$2:$A1393,$A1393,$B$2:$B1393,$B1393)=1,1,0))</f>
        <v/>
      </c>
      <c r="J1393" t="str">
        <f t="shared" si="21"/>
        <v/>
      </c>
      <c r="L1393" t="str">
        <f>IF('01_Warehouse_Ledger'!$A1393="","",'01_Warehouse_Ledger'!$A1393)</f>
        <v/>
      </c>
    </row>
    <row r="1394" spans="9:12">
      <c r="I1394" t="str">
        <f>IF(OR($A1394="",$B1394=""),"",IF(COUNTIFS($A$2:$A1394,$A1394,$B$2:$B1394,$B1394)=1,1,0))</f>
        <v/>
      </c>
      <c r="J1394" t="str">
        <f t="shared" si="21"/>
        <v/>
      </c>
      <c r="L1394" t="str">
        <f>IF('01_Warehouse_Ledger'!$A1394="","",'01_Warehouse_Ledger'!$A1394)</f>
        <v/>
      </c>
    </row>
    <row r="1395" spans="9:12">
      <c r="I1395" t="str">
        <f>IF(OR($A1395="",$B1395=""),"",IF(COUNTIFS($A$2:$A1395,$A1395,$B$2:$B1395,$B1395)=1,1,0))</f>
        <v/>
      </c>
      <c r="J1395" t="str">
        <f t="shared" si="21"/>
        <v/>
      </c>
      <c r="L1395" t="str">
        <f>IF('01_Warehouse_Ledger'!$A1395="","",'01_Warehouse_Ledger'!$A1395)</f>
        <v/>
      </c>
    </row>
    <row r="1396" spans="9:12">
      <c r="I1396" t="str">
        <f>IF(OR($A1396="",$B1396=""),"",IF(COUNTIFS($A$2:$A1396,$A1396,$B$2:$B1396,$B1396)=1,1,0))</f>
        <v/>
      </c>
      <c r="J1396" t="str">
        <f t="shared" si="21"/>
        <v/>
      </c>
      <c r="L1396" t="str">
        <f>IF('01_Warehouse_Ledger'!$A1396="","",'01_Warehouse_Ledger'!$A1396)</f>
        <v/>
      </c>
    </row>
    <row r="1397" spans="9:12">
      <c r="I1397" t="str">
        <f>IF(OR($A1397="",$B1397=""),"",IF(COUNTIFS($A$2:$A1397,$A1397,$B$2:$B1397,$B1397)=1,1,0))</f>
        <v/>
      </c>
      <c r="J1397" t="str">
        <f t="shared" si="21"/>
        <v/>
      </c>
      <c r="L1397" t="str">
        <f>IF('01_Warehouse_Ledger'!$A1397="","",'01_Warehouse_Ledger'!$A1397)</f>
        <v/>
      </c>
    </row>
    <row r="1398" spans="9:12">
      <c r="I1398" t="str">
        <f>IF(OR($A1398="",$B1398=""),"",IF(COUNTIFS($A$2:$A1398,$A1398,$B$2:$B1398,$B1398)=1,1,0))</f>
        <v/>
      </c>
      <c r="J1398" t="str">
        <f t="shared" si="21"/>
        <v/>
      </c>
      <c r="L1398" t="str">
        <f>IF('01_Warehouse_Ledger'!$A1398="","",'01_Warehouse_Ledger'!$A1398)</f>
        <v/>
      </c>
    </row>
    <row r="1399" spans="9:12">
      <c r="I1399" t="str">
        <f>IF(OR($A1399="",$B1399=""),"",IF(COUNTIFS($A$2:$A1399,$A1399,$B$2:$B1399,$B1399)=1,1,0))</f>
        <v/>
      </c>
      <c r="J1399" t="str">
        <f t="shared" si="21"/>
        <v/>
      </c>
      <c r="L1399" t="str">
        <f>IF('01_Warehouse_Ledger'!$A1399="","",'01_Warehouse_Ledger'!$A1399)</f>
        <v/>
      </c>
    </row>
    <row r="1400" spans="9:12">
      <c r="I1400" t="str">
        <f>IF(OR($A1400="",$B1400=""),"",IF(COUNTIFS($A$2:$A1400,$A1400,$B$2:$B1400,$B1400)=1,1,0))</f>
        <v/>
      </c>
      <c r="J1400" t="str">
        <f t="shared" si="21"/>
        <v/>
      </c>
      <c r="L1400" t="str">
        <f>IF('01_Warehouse_Ledger'!$A1400="","",'01_Warehouse_Ledger'!$A1400)</f>
        <v/>
      </c>
    </row>
    <row r="1401" spans="9:12">
      <c r="I1401" t="str">
        <f>IF(OR($A1401="",$B1401=""),"",IF(COUNTIFS($A$2:$A1401,$A1401,$B$2:$B1401,$B1401)=1,1,0))</f>
        <v/>
      </c>
      <c r="J1401" t="str">
        <f t="shared" si="21"/>
        <v/>
      </c>
      <c r="L1401" t="str">
        <f>IF('01_Warehouse_Ledger'!$A1401="","",'01_Warehouse_Ledger'!$A1401)</f>
        <v/>
      </c>
    </row>
    <row r="1402" spans="9:12">
      <c r="I1402" t="str">
        <f>IF(OR($A1402="",$B1402=""),"",IF(COUNTIFS($A$2:$A1402,$A1402,$B$2:$B1402,$B1402)=1,1,0))</f>
        <v/>
      </c>
      <c r="J1402" t="str">
        <f t="shared" si="21"/>
        <v/>
      </c>
      <c r="L1402" t="str">
        <f>IF('01_Warehouse_Ledger'!$A1402="","",'01_Warehouse_Ledger'!$A1402)</f>
        <v/>
      </c>
    </row>
    <row r="1403" spans="9:12">
      <c r="I1403" t="str">
        <f>IF(OR($A1403="",$B1403=""),"",IF(COUNTIFS($A$2:$A1403,$A1403,$B$2:$B1403,$B1403)=1,1,0))</f>
        <v/>
      </c>
      <c r="J1403" t="str">
        <f t="shared" si="21"/>
        <v/>
      </c>
      <c r="L1403" t="str">
        <f>IF('01_Warehouse_Ledger'!$A1403="","",'01_Warehouse_Ledger'!$A1403)</f>
        <v/>
      </c>
    </row>
    <row r="1404" spans="9:12">
      <c r="I1404" t="str">
        <f>IF(OR($A1404="",$B1404=""),"",IF(COUNTIFS($A$2:$A1404,$A1404,$B$2:$B1404,$B1404)=1,1,0))</f>
        <v/>
      </c>
      <c r="J1404" t="str">
        <f t="shared" si="21"/>
        <v/>
      </c>
      <c r="L1404" t="str">
        <f>IF('01_Warehouse_Ledger'!$A1404="","",'01_Warehouse_Ledger'!$A1404)</f>
        <v/>
      </c>
    </row>
    <row r="1405" spans="9:12">
      <c r="I1405" t="str">
        <f>IF(OR($A1405="",$B1405=""),"",IF(COUNTIFS($A$2:$A1405,$A1405,$B$2:$B1405,$B1405)=1,1,0))</f>
        <v/>
      </c>
      <c r="J1405" t="str">
        <f t="shared" si="21"/>
        <v/>
      </c>
      <c r="L1405" t="str">
        <f>IF('01_Warehouse_Ledger'!$A1405="","",'01_Warehouse_Ledger'!$A1405)</f>
        <v/>
      </c>
    </row>
    <row r="1406" spans="9:12">
      <c r="I1406" t="str">
        <f>IF(OR($A1406="",$B1406=""),"",IF(COUNTIFS($A$2:$A1406,$A1406,$B$2:$B1406,$B1406)=1,1,0))</f>
        <v/>
      </c>
      <c r="J1406" t="str">
        <f t="shared" si="21"/>
        <v/>
      </c>
      <c r="L1406" t="str">
        <f>IF('01_Warehouse_Ledger'!$A1406="","",'01_Warehouse_Ledger'!$A1406)</f>
        <v/>
      </c>
    </row>
    <row r="1407" spans="9:12">
      <c r="I1407" t="str">
        <f>IF(OR($A1407="",$B1407=""),"",IF(COUNTIFS($A$2:$A1407,$A1407,$B$2:$B1407,$B1407)=1,1,0))</f>
        <v/>
      </c>
      <c r="J1407" t="str">
        <f t="shared" si="21"/>
        <v/>
      </c>
      <c r="L1407" t="str">
        <f>IF('01_Warehouse_Ledger'!$A1407="","",'01_Warehouse_Ledger'!$A1407)</f>
        <v/>
      </c>
    </row>
    <row r="1408" spans="9:12">
      <c r="I1408" t="str">
        <f>IF(OR($A1408="",$B1408=""),"",IF(COUNTIFS($A$2:$A1408,$A1408,$B$2:$B1408,$B1408)=1,1,0))</f>
        <v/>
      </c>
      <c r="J1408" t="str">
        <f t="shared" si="21"/>
        <v/>
      </c>
      <c r="L1408" t="str">
        <f>IF('01_Warehouse_Ledger'!$A1408="","",'01_Warehouse_Ledger'!$A1408)</f>
        <v/>
      </c>
    </row>
    <row r="1409" spans="9:12">
      <c r="I1409" t="str">
        <f>IF(OR($A1409="",$B1409=""),"",IF(COUNTIFS($A$2:$A1409,$A1409,$B$2:$B1409,$B1409)=1,1,0))</f>
        <v/>
      </c>
      <c r="J1409" t="str">
        <f t="shared" si="21"/>
        <v/>
      </c>
      <c r="L1409" t="str">
        <f>IF('01_Warehouse_Ledger'!$A1409="","",'01_Warehouse_Ledger'!$A1409)</f>
        <v/>
      </c>
    </row>
    <row r="1410" spans="9:12">
      <c r="I1410" t="str">
        <f>IF(OR($A1410="",$B1410=""),"",IF(COUNTIFS($A$2:$A1410,$A1410,$B$2:$B1410,$B1410)=1,1,0))</f>
        <v/>
      </c>
      <c r="J1410" t="str">
        <f t="shared" ref="J1410:J1473" si="22">IF($A1410="","",ROW())</f>
        <v/>
      </c>
      <c r="L1410" t="str">
        <f>IF('01_Warehouse_Ledger'!$A1410="","",'01_Warehouse_Ledger'!$A1410)</f>
        <v/>
      </c>
    </row>
    <row r="1411" spans="9:12">
      <c r="I1411" t="str">
        <f>IF(OR($A1411="",$B1411=""),"",IF(COUNTIFS($A$2:$A1411,$A1411,$B$2:$B1411,$B1411)=1,1,0))</f>
        <v/>
      </c>
      <c r="J1411" t="str">
        <f t="shared" si="22"/>
        <v/>
      </c>
      <c r="L1411" t="str">
        <f>IF('01_Warehouse_Ledger'!$A1411="","",'01_Warehouse_Ledger'!$A1411)</f>
        <v/>
      </c>
    </row>
    <row r="1412" spans="9:12">
      <c r="I1412" t="str">
        <f>IF(OR($A1412="",$B1412=""),"",IF(COUNTIFS($A$2:$A1412,$A1412,$B$2:$B1412,$B1412)=1,1,0))</f>
        <v/>
      </c>
      <c r="J1412" t="str">
        <f t="shared" si="22"/>
        <v/>
      </c>
      <c r="L1412" t="str">
        <f>IF('01_Warehouse_Ledger'!$A1412="","",'01_Warehouse_Ledger'!$A1412)</f>
        <v/>
      </c>
    </row>
    <row r="1413" spans="9:12">
      <c r="I1413" t="str">
        <f>IF(OR($A1413="",$B1413=""),"",IF(COUNTIFS($A$2:$A1413,$A1413,$B$2:$B1413,$B1413)=1,1,0))</f>
        <v/>
      </c>
      <c r="J1413" t="str">
        <f t="shared" si="22"/>
        <v/>
      </c>
      <c r="L1413" t="str">
        <f>IF('01_Warehouse_Ledger'!$A1413="","",'01_Warehouse_Ledger'!$A1413)</f>
        <v/>
      </c>
    </row>
    <row r="1414" spans="9:12">
      <c r="I1414" t="str">
        <f>IF(OR($A1414="",$B1414=""),"",IF(COUNTIFS($A$2:$A1414,$A1414,$B$2:$B1414,$B1414)=1,1,0))</f>
        <v/>
      </c>
      <c r="J1414" t="str">
        <f t="shared" si="22"/>
        <v/>
      </c>
      <c r="L1414" t="str">
        <f>IF('01_Warehouse_Ledger'!$A1414="","",'01_Warehouse_Ledger'!$A1414)</f>
        <v/>
      </c>
    </row>
    <row r="1415" spans="9:12">
      <c r="I1415" t="str">
        <f>IF(OR($A1415="",$B1415=""),"",IF(COUNTIFS($A$2:$A1415,$A1415,$B$2:$B1415,$B1415)=1,1,0))</f>
        <v/>
      </c>
      <c r="J1415" t="str">
        <f t="shared" si="22"/>
        <v/>
      </c>
      <c r="L1415" t="str">
        <f>IF('01_Warehouse_Ledger'!$A1415="","",'01_Warehouse_Ledger'!$A1415)</f>
        <v/>
      </c>
    </row>
    <row r="1416" spans="9:12">
      <c r="I1416" t="str">
        <f>IF(OR($A1416="",$B1416=""),"",IF(COUNTIFS($A$2:$A1416,$A1416,$B$2:$B1416,$B1416)=1,1,0))</f>
        <v/>
      </c>
      <c r="J1416" t="str">
        <f t="shared" si="22"/>
        <v/>
      </c>
      <c r="L1416" t="str">
        <f>IF('01_Warehouse_Ledger'!$A1416="","",'01_Warehouse_Ledger'!$A1416)</f>
        <v/>
      </c>
    </row>
    <row r="1417" spans="9:12">
      <c r="I1417" t="str">
        <f>IF(OR($A1417="",$B1417=""),"",IF(COUNTIFS($A$2:$A1417,$A1417,$B$2:$B1417,$B1417)=1,1,0))</f>
        <v/>
      </c>
      <c r="J1417" t="str">
        <f t="shared" si="22"/>
        <v/>
      </c>
      <c r="L1417" t="str">
        <f>IF('01_Warehouse_Ledger'!$A1417="","",'01_Warehouse_Ledger'!$A1417)</f>
        <v/>
      </c>
    </row>
    <row r="1418" spans="9:12">
      <c r="I1418" t="str">
        <f>IF(OR($A1418="",$B1418=""),"",IF(COUNTIFS($A$2:$A1418,$A1418,$B$2:$B1418,$B1418)=1,1,0))</f>
        <v/>
      </c>
      <c r="J1418" t="str">
        <f t="shared" si="22"/>
        <v/>
      </c>
      <c r="L1418" t="str">
        <f>IF('01_Warehouse_Ledger'!$A1418="","",'01_Warehouse_Ledger'!$A1418)</f>
        <v/>
      </c>
    </row>
    <row r="1419" spans="9:12">
      <c r="I1419" t="str">
        <f>IF(OR($A1419="",$B1419=""),"",IF(COUNTIFS($A$2:$A1419,$A1419,$B$2:$B1419,$B1419)=1,1,0))</f>
        <v/>
      </c>
      <c r="J1419" t="str">
        <f t="shared" si="22"/>
        <v/>
      </c>
      <c r="L1419" t="str">
        <f>IF('01_Warehouse_Ledger'!$A1419="","",'01_Warehouse_Ledger'!$A1419)</f>
        <v/>
      </c>
    </row>
    <row r="1420" spans="9:12">
      <c r="I1420" t="str">
        <f>IF(OR($A1420="",$B1420=""),"",IF(COUNTIFS($A$2:$A1420,$A1420,$B$2:$B1420,$B1420)=1,1,0))</f>
        <v/>
      </c>
      <c r="J1420" t="str">
        <f t="shared" si="22"/>
        <v/>
      </c>
      <c r="L1420" t="str">
        <f>IF('01_Warehouse_Ledger'!$A1420="","",'01_Warehouse_Ledger'!$A1420)</f>
        <v/>
      </c>
    </row>
    <row r="1421" spans="9:12">
      <c r="I1421" t="str">
        <f>IF(OR($A1421="",$B1421=""),"",IF(COUNTIFS($A$2:$A1421,$A1421,$B$2:$B1421,$B1421)=1,1,0))</f>
        <v/>
      </c>
      <c r="J1421" t="str">
        <f t="shared" si="22"/>
        <v/>
      </c>
      <c r="L1421" t="str">
        <f>IF('01_Warehouse_Ledger'!$A1421="","",'01_Warehouse_Ledger'!$A1421)</f>
        <v/>
      </c>
    </row>
    <row r="1422" spans="9:12">
      <c r="I1422" t="str">
        <f>IF(OR($A1422="",$B1422=""),"",IF(COUNTIFS($A$2:$A1422,$A1422,$B$2:$B1422,$B1422)=1,1,0))</f>
        <v/>
      </c>
      <c r="J1422" t="str">
        <f t="shared" si="22"/>
        <v/>
      </c>
      <c r="L1422" t="str">
        <f>IF('01_Warehouse_Ledger'!$A1422="","",'01_Warehouse_Ledger'!$A1422)</f>
        <v/>
      </c>
    </row>
    <row r="1423" spans="9:12">
      <c r="I1423" t="str">
        <f>IF(OR($A1423="",$B1423=""),"",IF(COUNTIFS($A$2:$A1423,$A1423,$B$2:$B1423,$B1423)=1,1,0))</f>
        <v/>
      </c>
      <c r="J1423" t="str">
        <f t="shared" si="22"/>
        <v/>
      </c>
      <c r="L1423" t="str">
        <f>IF('01_Warehouse_Ledger'!$A1423="","",'01_Warehouse_Ledger'!$A1423)</f>
        <v/>
      </c>
    </row>
    <row r="1424" spans="9:12">
      <c r="I1424" t="str">
        <f>IF(OR($A1424="",$B1424=""),"",IF(COUNTIFS($A$2:$A1424,$A1424,$B$2:$B1424,$B1424)=1,1,0))</f>
        <v/>
      </c>
      <c r="J1424" t="str">
        <f t="shared" si="22"/>
        <v/>
      </c>
      <c r="L1424" t="str">
        <f>IF('01_Warehouse_Ledger'!$A1424="","",'01_Warehouse_Ledger'!$A1424)</f>
        <v/>
      </c>
    </row>
    <row r="1425" spans="9:12">
      <c r="I1425" t="str">
        <f>IF(OR($A1425="",$B1425=""),"",IF(COUNTIFS($A$2:$A1425,$A1425,$B$2:$B1425,$B1425)=1,1,0))</f>
        <v/>
      </c>
      <c r="J1425" t="str">
        <f t="shared" si="22"/>
        <v/>
      </c>
      <c r="L1425" t="str">
        <f>IF('01_Warehouse_Ledger'!$A1425="","",'01_Warehouse_Ledger'!$A1425)</f>
        <v/>
      </c>
    </row>
    <row r="1426" spans="9:12">
      <c r="I1426" t="str">
        <f>IF(OR($A1426="",$B1426=""),"",IF(COUNTIFS($A$2:$A1426,$A1426,$B$2:$B1426,$B1426)=1,1,0))</f>
        <v/>
      </c>
      <c r="J1426" t="str">
        <f t="shared" si="22"/>
        <v/>
      </c>
      <c r="L1426" t="str">
        <f>IF('01_Warehouse_Ledger'!$A1426="","",'01_Warehouse_Ledger'!$A1426)</f>
        <v/>
      </c>
    </row>
    <row r="1427" spans="9:12">
      <c r="I1427" t="str">
        <f>IF(OR($A1427="",$B1427=""),"",IF(COUNTIFS($A$2:$A1427,$A1427,$B$2:$B1427,$B1427)=1,1,0))</f>
        <v/>
      </c>
      <c r="J1427" t="str">
        <f t="shared" si="22"/>
        <v/>
      </c>
      <c r="L1427" t="str">
        <f>IF('01_Warehouse_Ledger'!$A1427="","",'01_Warehouse_Ledger'!$A1427)</f>
        <v/>
      </c>
    </row>
    <row r="1428" spans="9:12">
      <c r="I1428" t="str">
        <f>IF(OR($A1428="",$B1428=""),"",IF(COUNTIFS($A$2:$A1428,$A1428,$B$2:$B1428,$B1428)=1,1,0))</f>
        <v/>
      </c>
      <c r="J1428" t="str">
        <f t="shared" si="22"/>
        <v/>
      </c>
      <c r="L1428" t="str">
        <f>IF('01_Warehouse_Ledger'!$A1428="","",'01_Warehouse_Ledger'!$A1428)</f>
        <v/>
      </c>
    </row>
    <row r="1429" spans="9:12">
      <c r="I1429" t="str">
        <f>IF(OR($A1429="",$B1429=""),"",IF(COUNTIFS($A$2:$A1429,$A1429,$B$2:$B1429,$B1429)=1,1,0))</f>
        <v/>
      </c>
      <c r="J1429" t="str">
        <f t="shared" si="22"/>
        <v/>
      </c>
      <c r="L1429" t="str">
        <f>IF('01_Warehouse_Ledger'!$A1429="","",'01_Warehouse_Ledger'!$A1429)</f>
        <v/>
      </c>
    </row>
    <row r="1430" spans="9:12">
      <c r="I1430" t="str">
        <f>IF(OR($A1430="",$B1430=""),"",IF(COUNTIFS($A$2:$A1430,$A1430,$B$2:$B1430,$B1430)=1,1,0))</f>
        <v/>
      </c>
      <c r="J1430" t="str">
        <f t="shared" si="22"/>
        <v/>
      </c>
      <c r="L1430" t="str">
        <f>IF('01_Warehouse_Ledger'!$A1430="","",'01_Warehouse_Ledger'!$A1430)</f>
        <v/>
      </c>
    </row>
    <row r="1431" spans="9:12">
      <c r="I1431" t="str">
        <f>IF(OR($A1431="",$B1431=""),"",IF(COUNTIFS($A$2:$A1431,$A1431,$B$2:$B1431,$B1431)=1,1,0))</f>
        <v/>
      </c>
      <c r="J1431" t="str">
        <f t="shared" si="22"/>
        <v/>
      </c>
      <c r="L1431" t="str">
        <f>IF('01_Warehouse_Ledger'!$A1431="","",'01_Warehouse_Ledger'!$A1431)</f>
        <v/>
      </c>
    </row>
    <row r="1432" spans="9:12">
      <c r="I1432" t="str">
        <f>IF(OR($A1432="",$B1432=""),"",IF(COUNTIFS($A$2:$A1432,$A1432,$B$2:$B1432,$B1432)=1,1,0))</f>
        <v/>
      </c>
      <c r="J1432" t="str">
        <f t="shared" si="22"/>
        <v/>
      </c>
      <c r="L1432" t="str">
        <f>IF('01_Warehouse_Ledger'!$A1432="","",'01_Warehouse_Ledger'!$A1432)</f>
        <v/>
      </c>
    </row>
    <row r="1433" spans="9:12">
      <c r="I1433" t="str">
        <f>IF(OR($A1433="",$B1433=""),"",IF(COUNTIFS($A$2:$A1433,$A1433,$B$2:$B1433,$B1433)=1,1,0))</f>
        <v/>
      </c>
      <c r="J1433" t="str">
        <f t="shared" si="22"/>
        <v/>
      </c>
      <c r="L1433" t="str">
        <f>IF('01_Warehouse_Ledger'!$A1433="","",'01_Warehouse_Ledger'!$A1433)</f>
        <v/>
      </c>
    </row>
    <row r="1434" spans="9:12">
      <c r="I1434" t="str">
        <f>IF(OR($A1434="",$B1434=""),"",IF(COUNTIFS($A$2:$A1434,$A1434,$B$2:$B1434,$B1434)=1,1,0))</f>
        <v/>
      </c>
      <c r="J1434" t="str">
        <f t="shared" si="22"/>
        <v/>
      </c>
      <c r="L1434" t="str">
        <f>IF('01_Warehouse_Ledger'!$A1434="","",'01_Warehouse_Ledger'!$A1434)</f>
        <v/>
      </c>
    </row>
    <row r="1435" spans="9:12">
      <c r="I1435" t="str">
        <f>IF(OR($A1435="",$B1435=""),"",IF(COUNTIFS($A$2:$A1435,$A1435,$B$2:$B1435,$B1435)=1,1,0))</f>
        <v/>
      </c>
      <c r="J1435" t="str">
        <f t="shared" si="22"/>
        <v/>
      </c>
      <c r="L1435" t="str">
        <f>IF('01_Warehouse_Ledger'!$A1435="","",'01_Warehouse_Ledger'!$A1435)</f>
        <v/>
      </c>
    </row>
    <row r="1436" spans="9:12">
      <c r="I1436" t="str">
        <f>IF(OR($A1436="",$B1436=""),"",IF(COUNTIFS($A$2:$A1436,$A1436,$B$2:$B1436,$B1436)=1,1,0))</f>
        <v/>
      </c>
      <c r="J1436" t="str">
        <f t="shared" si="22"/>
        <v/>
      </c>
      <c r="L1436" t="str">
        <f>IF('01_Warehouse_Ledger'!$A1436="","",'01_Warehouse_Ledger'!$A1436)</f>
        <v/>
      </c>
    </row>
    <row r="1437" spans="9:12">
      <c r="I1437" t="str">
        <f>IF(OR($A1437="",$B1437=""),"",IF(COUNTIFS($A$2:$A1437,$A1437,$B$2:$B1437,$B1437)=1,1,0))</f>
        <v/>
      </c>
      <c r="J1437" t="str">
        <f t="shared" si="22"/>
        <v/>
      </c>
      <c r="L1437" t="str">
        <f>IF('01_Warehouse_Ledger'!$A1437="","",'01_Warehouse_Ledger'!$A1437)</f>
        <v/>
      </c>
    </row>
    <row r="1438" spans="9:12">
      <c r="I1438" t="str">
        <f>IF(OR($A1438="",$B1438=""),"",IF(COUNTIFS($A$2:$A1438,$A1438,$B$2:$B1438,$B1438)=1,1,0))</f>
        <v/>
      </c>
      <c r="J1438" t="str">
        <f t="shared" si="22"/>
        <v/>
      </c>
      <c r="L1438" t="str">
        <f>IF('01_Warehouse_Ledger'!$A1438="","",'01_Warehouse_Ledger'!$A1438)</f>
        <v/>
      </c>
    </row>
    <row r="1439" spans="9:12">
      <c r="I1439" t="str">
        <f>IF(OR($A1439="",$B1439=""),"",IF(COUNTIFS($A$2:$A1439,$A1439,$B$2:$B1439,$B1439)=1,1,0))</f>
        <v/>
      </c>
      <c r="J1439" t="str">
        <f t="shared" si="22"/>
        <v/>
      </c>
      <c r="L1439" t="str">
        <f>IF('01_Warehouse_Ledger'!$A1439="","",'01_Warehouse_Ledger'!$A1439)</f>
        <v/>
      </c>
    </row>
    <row r="1440" spans="9:12">
      <c r="I1440" t="str">
        <f>IF(OR($A1440="",$B1440=""),"",IF(COUNTIFS($A$2:$A1440,$A1440,$B$2:$B1440,$B1440)=1,1,0))</f>
        <v/>
      </c>
      <c r="J1440" t="str">
        <f t="shared" si="22"/>
        <v/>
      </c>
      <c r="L1440" t="str">
        <f>IF('01_Warehouse_Ledger'!$A1440="","",'01_Warehouse_Ledger'!$A1440)</f>
        <v/>
      </c>
    </row>
    <row r="1441" spans="9:12">
      <c r="I1441" t="str">
        <f>IF(OR($A1441="",$B1441=""),"",IF(COUNTIFS($A$2:$A1441,$A1441,$B$2:$B1441,$B1441)=1,1,0))</f>
        <v/>
      </c>
      <c r="J1441" t="str">
        <f t="shared" si="22"/>
        <v/>
      </c>
      <c r="L1441" t="str">
        <f>IF('01_Warehouse_Ledger'!$A1441="","",'01_Warehouse_Ledger'!$A1441)</f>
        <v/>
      </c>
    </row>
    <row r="1442" spans="9:12">
      <c r="I1442" t="str">
        <f>IF(OR($A1442="",$B1442=""),"",IF(COUNTIFS($A$2:$A1442,$A1442,$B$2:$B1442,$B1442)=1,1,0))</f>
        <v/>
      </c>
      <c r="J1442" t="str">
        <f t="shared" si="22"/>
        <v/>
      </c>
      <c r="L1442" t="str">
        <f>IF('01_Warehouse_Ledger'!$A1442="","",'01_Warehouse_Ledger'!$A1442)</f>
        <v/>
      </c>
    </row>
    <row r="1443" spans="9:12">
      <c r="I1443" t="str">
        <f>IF(OR($A1443="",$B1443=""),"",IF(COUNTIFS($A$2:$A1443,$A1443,$B$2:$B1443,$B1443)=1,1,0))</f>
        <v/>
      </c>
      <c r="J1443" t="str">
        <f t="shared" si="22"/>
        <v/>
      </c>
      <c r="L1443" t="str">
        <f>IF('01_Warehouse_Ledger'!$A1443="","",'01_Warehouse_Ledger'!$A1443)</f>
        <v/>
      </c>
    </row>
    <row r="1444" spans="9:12">
      <c r="I1444" t="str">
        <f>IF(OR($A1444="",$B1444=""),"",IF(COUNTIFS($A$2:$A1444,$A1444,$B$2:$B1444,$B1444)=1,1,0))</f>
        <v/>
      </c>
      <c r="J1444" t="str">
        <f t="shared" si="22"/>
        <v/>
      </c>
      <c r="L1444" t="str">
        <f>IF('01_Warehouse_Ledger'!$A1444="","",'01_Warehouse_Ledger'!$A1444)</f>
        <v/>
      </c>
    </row>
    <row r="1445" spans="9:12">
      <c r="I1445" t="str">
        <f>IF(OR($A1445="",$B1445=""),"",IF(COUNTIFS($A$2:$A1445,$A1445,$B$2:$B1445,$B1445)=1,1,0))</f>
        <v/>
      </c>
      <c r="J1445" t="str">
        <f t="shared" si="22"/>
        <v/>
      </c>
      <c r="L1445" t="str">
        <f>IF('01_Warehouse_Ledger'!$A1445="","",'01_Warehouse_Ledger'!$A1445)</f>
        <v/>
      </c>
    </row>
    <row r="1446" spans="9:12">
      <c r="I1446" t="str">
        <f>IF(OR($A1446="",$B1446=""),"",IF(COUNTIFS($A$2:$A1446,$A1446,$B$2:$B1446,$B1446)=1,1,0))</f>
        <v/>
      </c>
      <c r="J1446" t="str">
        <f t="shared" si="22"/>
        <v/>
      </c>
      <c r="L1446" t="str">
        <f>IF('01_Warehouse_Ledger'!$A1446="","",'01_Warehouse_Ledger'!$A1446)</f>
        <v/>
      </c>
    </row>
    <row r="1447" spans="9:12">
      <c r="I1447" t="str">
        <f>IF(OR($A1447="",$B1447=""),"",IF(COUNTIFS($A$2:$A1447,$A1447,$B$2:$B1447,$B1447)=1,1,0))</f>
        <v/>
      </c>
      <c r="J1447" t="str">
        <f t="shared" si="22"/>
        <v/>
      </c>
      <c r="L1447" t="str">
        <f>IF('01_Warehouse_Ledger'!$A1447="","",'01_Warehouse_Ledger'!$A1447)</f>
        <v/>
      </c>
    </row>
    <row r="1448" spans="9:12">
      <c r="I1448" t="str">
        <f>IF(OR($A1448="",$B1448=""),"",IF(COUNTIFS($A$2:$A1448,$A1448,$B$2:$B1448,$B1448)=1,1,0))</f>
        <v/>
      </c>
      <c r="J1448" t="str">
        <f t="shared" si="22"/>
        <v/>
      </c>
      <c r="L1448" t="str">
        <f>IF('01_Warehouse_Ledger'!$A1448="","",'01_Warehouse_Ledger'!$A1448)</f>
        <v/>
      </c>
    </row>
    <row r="1449" spans="9:12">
      <c r="I1449" t="str">
        <f>IF(OR($A1449="",$B1449=""),"",IF(COUNTIFS($A$2:$A1449,$A1449,$B$2:$B1449,$B1449)=1,1,0))</f>
        <v/>
      </c>
      <c r="J1449" t="str">
        <f t="shared" si="22"/>
        <v/>
      </c>
      <c r="L1449" t="str">
        <f>IF('01_Warehouse_Ledger'!$A1449="","",'01_Warehouse_Ledger'!$A1449)</f>
        <v/>
      </c>
    </row>
    <row r="1450" spans="9:12">
      <c r="I1450" t="str">
        <f>IF(OR($A1450="",$B1450=""),"",IF(COUNTIFS($A$2:$A1450,$A1450,$B$2:$B1450,$B1450)=1,1,0))</f>
        <v/>
      </c>
      <c r="J1450" t="str">
        <f t="shared" si="22"/>
        <v/>
      </c>
      <c r="L1450" t="str">
        <f>IF('01_Warehouse_Ledger'!$A1450="","",'01_Warehouse_Ledger'!$A1450)</f>
        <v/>
      </c>
    </row>
    <row r="1451" spans="9:12">
      <c r="I1451" t="str">
        <f>IF(OR($A1451="",$B1451=""),"",IF(COUNTIFS($A$2:$A1451,$A1451,$B$2:$B1451,$B1451)=1,1,0))</f>
        <v/>
      </c>
      <c r="J1451" t="str">
        <f t="shared" si="22"/>
        <v/>
      </c>
      <c r="L1451" t="str">
        <f>IF('01_Warehouse_Ledger'!$A1451="","",'01_Warehouse_Ledger'!$A1451)</f>
        <v/>
      </c>
    </row>
    <row r="1452" spans="9:12">
      <c r="I1452" t="str">
        <f>IF(OR($A1452="",$B1452=""),"",IF(COUNTIFS($A$2:$A1452,$A1452,$B$2:$B1452,$B1452)=1,1,0))</f>
        <v/>
      </c>
      <c r="J1452" t="str">
        <f t="shared" si="22"/>
        <v/>
      </c>
      <c r="L1452" t="str">
        <f>IF('01_Warehouse_Ledger'!$A1452="","",'01_Warehouse_Ledger'!$A1452)</f>
        <v/>
      </c>
    </row>
    <row r="1453" spans="9:12">
      <c r="I1453" t="str">
        <f>IF(OR($A1453="",$B1453=""),"",IF(COUNTIFS($A$2:$A1453,$A1453,$B$2:$B1453,$B1453)=1,1,0))</f>
        <v/>
      </c>
      <c r="J1453" t="str">
        <f t="shared" si="22"/>
        <v/>
      </c>
      <c r="L1453" t="str">
        <f>IF('01_Warehouse_Ledger'!$A1453="","",'01_Warehouse_Ledger'!$A1453)</f>
        <v/>
      </c>
    </row>
    <row r="1454" spans="9:12">
      <c r="I1454" t="str">
        <f>IF(OR($A1454="",$B1454=""),"",IF(COUNTIFS($A$2:$A1454,$A1454,$B$2:$B1454,$B1454)=1,1,0))</f>
        <v/>
      </c>
      <c r="J1454" t="str">
        <f t="shared" si="22"/>
        <v/>
      </c>
      <c r="L1454" t="str">
        <f>IF('01_Warehouse_Ledger'!$A1454="","",'01_Warehouse_Ledger'!$A1454)</f>
        <v/>
      </c>
    </row>
    <row r="1455" spans="9:12">
      <c r="I1455" t="str">
        <f>IF(OR($A1455="",$B1455=""),"",IF(COUNTIFS($A$2:$A1455,$A1455,$B$2:$B1455,$B1455)=1,1,0))</f>
        <v/>
      </c>
      <c r="J1455" t="str">
        <f t="shared" si="22"/>
        <v/>
      </c>
      <c r="L1455" t="str">
        <f>IF('01_Warehouse_Ledger'!$A1455="","",'01_Warehouse_Ledger'!$A1455)</f>
        <v/>
      </c>
    </row>
    <row r="1456" spans="9:12">
      <c r="I1456" t="str">
        <f>IF(OR($A1456="",$B1456=""),"",IF(COUNTIFS($A$2:$A1456,$A1456,$B$2:$B1456,$B1456)=1,1,0))</f>
        <v/>
      </c>
      <c r="J1456" t="str">
        <f t="shared" si="22"/>
        <v/>
      </c>
      <c r="L1456" t="str">
        <f>IF('01_Warehouse_Ledger'!$A1456="","",'01_Warehouse_Ledger'!$A1456)</f>
        <v/>
      </c>
    </row>
    <row r="1457" spans="9:12">
      <c r="I1457" t="str">
        <f>IF(OR($A1457="",$B1457=""),"",IF(COUNTIFS($A$2:$A1457,$A1457,$B$2:$B1457,$B1457)=1,1,0))</f>
        <v/>
      </c>
      <c r="J1457" t="str">
        <f t="shared" si="22"/>
        <v/>
      </c>
      <c r="L1457" t="str">
        <f>IF('01_Warehouse_Ledger'!$A1457="","",'01_Warehouse_Ledger'!$A1457)</f>
        <v/>
      </c>
    </row>
    <row r="1458" spans="9:12">
      <c r="I1458" t="str">
        <f>IF(OR($A1458="",$B1458=""),"",IF(COUNTIFS($A$2:$A1458,$A1458,$B$2:$B1458,$B1458)=1,1,0))</f>
        <v/>
      </c>
      <c r="J1458" t="str">
        <f t="shared" si="22"/>
        <v/>
      </c>
      <c r="L1458" t="str">
        <f>IF('01_Warehouse_Ledger'!$A1458="","",'01_Warehouse_Ledger'!$A1458)</f>
        <v/>
      </c>
    </row>
    <row r="1459" spans="9:12">
      <c r="I1459" t="str">
        <f>IF(OR($A1459="",$B1459=""),"",IF(COUNTIFS($A$2:$A1459,$A1459,$B$2:$B1459,$B1459)=1,1,0))</f>
        <v/>
      </c>
      <c r="J1459" t="str">
        <f t="shared" si="22"/>
        <v/>
      </c>
      <c r="L1459" t="str">
        <f>IF('01_Warehouse_Ledger'!$A1459="","",'01_Warehouse_Ledger'!$A1459)</f>
        <v/>
      </c>
    </row>
    <row r="1460" spans="9:12">
      <c r="I1460" t="str">
        <f>IF(OR($A1460="",$B1460=""),"",IF(COUNTIFS($A$2:$A1460,$A1460,$B$2:$B1460,$B1460)=1,1,0))</f>
        <v/>
      </c>
      <c r="J1460" t="str">
        <f t="shared" si="22"/>
        <v/>
      </c>
      <c r="L1460" t="str">
        <f>IF('01_Warehouse_Ledger'!$A1460="","",'01_Warehouse_Ledger'!$A1460)</f>
        <v/>
      </c>
    </row>
    <row r="1461" spans="9:12">
      <c r="I1461" t="str">
        <f>IF(OR($A1461="",$B1461=""),"",IF(COUNTIFS($A$2:$A1461,$A1461,$B$2:$B1461,$B1461)=1,1,0))</f>
        <v/>
      </c>
      <c r="J1461" t="str">
        <f t="shared" si="22"/>
        <v/>
      </c>
      <c r="L1461" t="str">
        <f>IF('01_Warehouse_Ledger'!$A1461="","",'01_Warehouse_Ledger'!$A1461)</f>
        <v/>
      </c>
    </row>
    <row r="1462" spans="9:12">
      <c r="I1462" t="str">
        <f>IF(OR($A1462="",$B1462=""),"",IF(COUNTIFS($A$2:$A1462,$A1462,$B$2:$B1462,$B1462)=1,1,0))</f>
        <v/>
      </c>
      <c r="J1462" t="str">
        <f t="shared" si="22"/>
        <v/>
      </c>
      <c r="L1462" t="str">
        <f>IF('01_Warehouse_Ledger'!$A1462="","",'01_Warehouse_Ledger'!$A1462)</f>
        <v/>
      </c>
    </row>
    <row r="1463" spans="9:12">
      <c r="I1463" t="str">
        <f>IF(OR($A1463="",$B1463=""),"",IF(COUNTIFS($A$2:$A1463,$A1463,$B$2:$B1463,$B1463)=1,1,0))</f>
        <v/>
      </c>
      <c r="J1463" t="str">
        <f t="shared" si="22"/>
        <v/>
      </c>
      <c r="L1463" t="str">
        <f>IF('01_Warehouse_Ledger'!$A1463="","",'01_Warehouse_Ledger'!$A1463)</f>
        <v/>
      </c>
    </row>
    <row r="1464" spans="9:12">
      <c r="I1464" t="str">
        <f>IF(OR($A1464="",$B1464=""),"",IF(COUNTIFS($A$2:$A1464,$A1464,$B$2:$B1464,$B1464)=1,1,0))</f>
        <v/>
      </c>
      <c r="J1464" t="str">
        <f t="shared" si="22"/>
        <v/>
      </c>
      <c r="L1464" t="str">
        <f>IF('01_Warehouse_Ledger'!$A1464="","",'01_Warehouse_Ledger'!$A1464)</f>
        <v/>
      </c>
    </row>
    <row r="1465" spans="9:12">
      <c r="I1465" t="str">
        <f>IF(OR($A1465="",$B1465=""),"",IF(COUNTIFS($A$2:$A1465,$A1465,$B$2:$B1465,$B1465)=1,1,0))</f>
        <v/>
      </c>
      <c r="J1465" t="str">
        <f t="shared" si="22"/>
        <v/>
      </c>
      <c r="L1465" t="str">
        <f>IF('01_Warehouse_Ledger'!$A1465="","",'01_Warehouse_Ledger'!$A1465)</f>
        <v/>
      </c>
    </row>
    <row r="1466" spans="9:12">
      <c r="I1466" t="str">
        <f>IF(OR($A1466="",$B1466=""),"",IF(COUNTIFS($A$2:$A1466,$A1466,$B$2:$B1466,$B1466)=1,1,0))</f>
        <v/>
      </c>
      <c r="J1466" t="str">
        <f t="shared" si="22"/>
        <v/>
      </c>
      <c r="L1466" t="str">
        <f>IF('01_Warehouse_Ledger'!$A1466="","",'01_Warehouse_Ledger'!$A1466)</f>
        <v/>
      </c>
    </row>
    <row r="1467" spans="9:12">
      <c r="I1467" t="str">
        <f>IF(OR($A1467="",$B1467=""),"",IF(COUNTIFS($A$2:$A1467,$A1467,$B$2:$B1467,$B1467)=1,1,0))</f>
        <v/>
      </c>
      <c r="J1467" t="str">
        <f t="shared" si="22"/>
        <v/>
      </c>
      <c r="L1467" t="str">
        <f>IF('01_Warehouse_Ledger'!$A1467="","",'01_Warehouse_Ledger'!$A1467)</f>
        <v/>
      </c>
    </row>
    <row r="1468" spans="9:12">
      <c r="I1468" t="str">
        <f>IF(OR($A1468="",$B1468=""),"",IF(COUNTIFS($A$2:$A1468,$A1468,$B$2:$B1468,$B1468)=1,1,0))</f>
        <v/>
      </c>
      <c r="J1468" t="str">
        <f t="shared" si="22"/>
        <v/>
      </c>
      <c r="L1468" t="str">
        <f>IF('01_Warehouse_Ledger'!$A1468="","",'01_Warehouse_Ledger'!$A1468)</f>
        <v/>
      </c>
    </row>
    <row r="1469" spans="9:12">
      <c r="I1469" t="str">
        <f>IF(OR($A1469="",$B1469=""),"",IF(COUNTIFS($A$2:$A1469,$A1469,$B$2:$B1469,$B1469)=1,1,0))</f>
        <v/>
      </c>
      <c r="J1469" t="str">
        <f t="shared" si="22"/>
        <v/>
      </c>
      <c r="L1469" t="str">
        <f>IF('01_Warehouse_Ledger'!$A1469="","",'01_Warehouse_Ledger'!$A1469)</f>
        <v/>
      </c>
    </row>
    <row r="1470" spans="9:12">
      <c r="I1470" t="str">
        <f>IF(OR($A1470="",$B1470=""),"",IF(COUNTIFS($A$2:$A1470,$A1470,$B$2:$B1470,$B1470)=1,1,0))</f>
        <v/>
      </c>
      <c r="J1470" t="str">
        <f t="shared" si="22"/>
        <v/>
      </c>
      <c r="L1470" t="str">
        <f>IF('01_Warehouse_Ledger'!$A1470="","",'01_Warehouse_Ledger'!$A1470)</f>
        <v/>
      </c>
    </row>
    <row r="1471" spans="9:12">
      <c r="I1471" t="str">
        <f>IF(OR($A1471="",$B1471=""),"",IF(COUNTIFS($A$2:$A1471,$A1471,$B$2:$B1471,$B1471)=1,1,0))</f>
        <v/>
      </c>
      <c r="J1471" t="str">
        <f t="shared" si="22"/>
        <v/>
      </c>
      <c r="L1471" t="str">
        <f>IF('01_Warehouse_Ledger'!$A1471="","",'01_Warehouse_Ledger'!$A1471)</f>
        <v/>
      </c>
    </row>
    <row r="1472" spans="9:12">
      <c r="I1472" t="str">
        <f>IF(OR($A1472="",$B1472=""),"",IF(COUNTIFS($A$2:$A1472,$A1472,$B$2:$B1472,$B1472)=1,1,0))</f>
        <v/>
      </c>
      <c r="J1472" t="str">
        <f t="shared" si="22"/>
        <v/>
      </c>
      <c r="L1472" t="str">
        <f>IF('01_Warehouse_Ledger'!$A1472="","",'01_Warehouse_Ledger'!$A1472)</f>
        <v/>
      </c>
    </row>
    <row r="1473" spans="9:12">
      <c r="I1473" t="str">
        <f>IF(OR($A1473="",$B1473=""),"",IF(COUNTIFS($A$2:$A1473,$A1473,$B$2:$B1473,$B1473)=1,1,0))</f>
        <v/>
      </c>
      <c r="J1473" t="str">
        <f t="shared" si="22"/>
        <v/>
      </c>
      <c r="L1473" t="str">
        <f>IF('01_Warehouse_Ledger'!$A1473="","",'01_Warehouse_Ledger'!$A1473)</f>
        <v/>
      </c>
    </row>
    <row r="1474" spans="9:12">
      <c r="I1474" t="str">
        <f>IF(OR($A1474="",$B1474=""),"",IF(COUNTIFS($A$2:$A1474,$A1474,$B$2:$B1474,$B1474)=1,1,0))</f>
        <v/>
      </c>
      <c r="J1474" t="str">
        <f t="shared" ref="J1474:J1537" si="23">IF($A1474="","",ROW())</f>
        <v/>
      </c>
      <c r="L1474" t="str">
        <f>IF('01_Warehouse_Ledger'!$A1474="","",'01_Warehouse_Ledger'!$A1474)</f>
        <v/>
      </c>
    </row>
    <row r="1475" spans="9:12">
      <c r="I1475" t="str">
        <f>IF(OR($A1475="",$B1475=""),"",IF(COUNTIFS($A$2:$A1475,$A1475,$B$2:$B1475,$B1475)=1,1,0))</f>
        <v/>
      </c>
      <c r="J1475" t="str">
        <f t="shared" si="23"/>
        <v/>
      </c>
      <c r="L1475" t="str">
        <f>IF('01_Warehouse_Ledger'!$A1475="","",'01_Warehouse_Ledger'!$A1475)</f>
        <v/>
      </c>
    </row>
    <row r="1476" spans="9:12">
      <c r="I1476" t="str">
        <f>IF(OR($A1476="",$B1476=""),"",IF(COUNTIFS($A$2:$A1476,$A1476,$B$2:$B1476,$B1476)=1,1,0))</f>
        <v/>
      </c>
      <c r="J1476" t="str">
        <f t="shared" si="23"/>
        <v/>
      </c>
      <c r="L1476" t="str">
        <f>IF('01_Warehouse_Ledger'!$A1476="","",'01_Warehouse_Ledger'!$A1476)</f>
        <v/>
      </c>
    </row>
    <row r="1477" spans="9:12">
      <c r="I1477" t="str">
        <f>IF(OR($A1477="",$B1477=""),"",IF(COUNTIFS($A$2:$A1477,$A1477,$B$2:$B1477,$B1477)=1,1,0))</f>
        <v/>
      </c>
      <c r="J1477" t="str">
        <f t="shared" si="23"/>
        <v/>
      </c>
      <c r="L1477" t="str">
        <f>IF('01_Warehouse_Ledger'!$A1477="","",'01_Warehouse_Ledger'!$A1477)</f>
        <v/>
      </c>
    </row>
    <row r="1478" spans="9:12">
      <c r="I1478" t="str">
        <f>IF(OR($A1478="",$B1478=""),"",IF(COUNTIFS($A$2:$A1478,$A1478,$B$2:$B1478,$B1478)=1,1,0))</f>
        <v/>
      </c>
      <c r="J1478" t="str">
        <f t="shared" si="23"/>
        <v/>
      </c>
      <c r="L1478" t="str">
        <f>IF('01_Warehouse_Ledger'!$A1478="","",'01_Warehouse_Ledger'!$A1478)</f>
        <v/>
      </c>
    </row>
    <row r="1479" spans="9:12">
      <c r="I1479" t="str">
        <f>IF(OR($A1479="",$B1479=""),"",IF(COUNTIFS($A$2:$A1479,$A1479,$B$2:$B1479,$B1479)=1,1,0))</f>
        <v/>
      </c>
      <c r="J1479" t="str">
        <f t="shared" si="23"/>
        <v/>
      </c>
      <c r="L1479" t="str">
        <f>IF('01_Warehouse_Ledger'!$A1479="","",'01_Warehouse_Ledger'!$A1479)</f>
        <v/>
      </c>
    </row>
    <row r="1480" spans="9:12">
      <c r="I1480" t="str">
        <f>IF(OR($A1480="",$B1480=""),"",IF(COUNTIFS($A$2:$A1480,$A1480,$B$2:$B1480,$B1480)=1,1,0))</f>
        <v/>
      </c>
      <c r="J1480" t="str">
        <f t="shared" si="23"/>
        <v/>
      </c>
      <c r="L1480" t="str">
        <f>IF('01_Warehouse_Ledger'!$A1480="","",'01_Warehouse_Ledger'!$A1480)</f>
        <v/>
      </c>
    </row>
    <row r="1481" spans="9:12">
      <c r="I1481" t="str">
        <f>IF(OR($A1481="",$B1481=""),"",IF(COUNTIFS($A$2:$A1481,$A1481,$B$2:$B1481,$B1481)=1,1,0))</f>
        <v/>
      </c>
      <c r="J1481" t="str">
        <f t="shared" si="23"/>
        <v/>
      </c>
      <c r="L1481" t="str">
        <f>IF('01_Warehouse_Ledger'!$A1481="","",'01_Warehouse_Ledger'!$A1481)</f>
        <v/>
      </c>
    </row>
    <row r="1482" spans="9:12">
      <c r="I1482" t="str">
        <f>IF(OR($A1482="",$B1482=""),"",IF(COUNTIFS($A$2:$A1482,$A1482,$B$2:$B1482,$B1482)=1,1,0))</f>
        <v/>
      </c>
      <c r="J1482" t="str">
        <f t="shared" si="23"/>
        <v/>
      </c>
      <c r="L1482" t="str">
        <f>IF('01_Warehouse_Ledger'!$A1482="","",'01_Warehouse_Ledger'!$A1482)</f>
        <v/>
      </c>
    </row>
    <row r="1483" spans="9:12">
      <c r="I1483" t="str">
        <f>IF(OR($A1483="",$B1483=""),"",IF(COUNTIFS($A$2:$A1483,$A1483,$B$2:$B1483,$B1483)=1,1,0))</f>
        <v/>
      </c>
      <c r="J1483" t="str">
        <f t="shared" si="23"/>
        <v/>
      </c>
      <c r="L1483" t="str">
        <f>IF('01_Warehouse_Ledger'!$A1483="","",'01_Warehouse_Ledger'!$A1483)</f>
        <v/>
      </c>
    </row>
    <row r="1484" spans="9:12">
      <c r="I1484" t="str">
        <f>IF(OR($A1484="",$B1484=""),"",IF(COUNTIFS($A$2:$A1484,$A1484,$B$2:$B1484,$B1484)=1,1,0))</f>
        <v/>
      </c>
      <c r="J1484" t="str">
        <f t="shared" si="23"/>
        <v/>
      </c>
      <c r="L1484" t="str">
        <f>IF('01_Warehouse_Ledger'!$A1484="","",'01_Warehouse_Ledger'!$A1484)</f>
        <v/>
      </c>
    </row>
    <row r="1485" spans="9:12">
      <c r="I1485" t="str">
        <f>IF(OR($A1485="",$B1485=""),"",IF(COUNTIFS($A$2:$A1485,$A1485,$B$2:$B1485,$B1485)=1,1,0))</f>
        <v/>
      </c>
      <c r="J1485" t="str">
        <f t="shared" si="23"/>
        <v/>
      </c>
      <c r="L1485" t="str">
        <f>IF('01_Warehouse_Ledger'!$A1485="","",'01_Warehouse_Ledger'!$A1485)</f>
        <v/>
      </c>
    </row>
    <row r="1486" spans="9:12">
      <c r="I1486" t="str">
        <f>IF(OR($A1486="",$B1486=""),"",IF(COUNTIFS($A$2:$A1486,$A1486,$B$2:$B1486,$B1486)=1,1,0))</f>
        <v/>
      </c>
      <c r="J1486" t="str">
        <f t="shared" si="23"/>
        <v/>
      </c>
      <c r="L1486" t="str">
        <f>IF('01_Warehouse_Ledger'!$A1486="","",'01_Warehouse_Ledger'!$A1486)</f>
        <v/>
      </c>
    </row>
    <row r="1487" spans="9:12">
      <c r="I1487" t="str">
        <f>IF(OR($A1487="",$B1487=""),"",IF(COUNTIFS($A$2:$A1487,$A1487,$B$2:$B1487,$B1487)=1,1,0))</f>
        <v/>
      </c>
      <c r="J1487" t="str">
        <f t="shared" si="23"/>
        <v/>
      </c>
      <c r="L1487" t="str">
        <f>IF('01_Warehouse_Ledger'!$A1487="","",'01_Warehouse_Ledger'!$A1487)</f>
        <v/>
      </c>
    </row>
    <row r="1488" spans="9:12">
      <c r="I1488" t="str">
        <f>IF(OR($A1488="",$B1488=""),"",IF(COUNTIFS($A$2:$A1488,$A1488,$B$2:$B1488,$B1488)=1,1,0))</f>
        <v/>
      </c>
      <c r="J1488" t="str">
        <f t="shared" si="23"/>
        <v/>
      </c>
      <c r="L1488" t="str">
        <f>IF('01_Warehouse_Ledger'!$A1488="","",'01_Warehouse_Ledger'!$A1488)</f>
        <v/>
      </c>
    </row>
    <row r="1489" spans="9:12">
      <c r="I1489" t="str">
        <f>IF(OR($A1489="",$B1489=""),"",IF(COUNTIFS($A$2:$A1489,$A1489,$B$2:$B1489,$B1489)=1,1,0))</f>
        <v/>
      </c>
      <c r="J1489" t="str">
        <f t="shared" si="23"/>
        <v/>
      </c>
      <c r="L1489" t="str">
        <f>IF('01_Warehouse_Ledger'!$A1489="","",'01_Warehouse_Ledger'!$A1489)</f>
        <v/>
      </c>
    </row>
    <row r="1490" spans="9:12">
      <c r="I1490" t="str">
        <f>IF(OR($A1490="",$B1490=""),"",IF(COUNTIFS($A$2:$A1490,$A1490,$B$2:$B1490,$B1490)=1,1,0))</f>
        <v/>
      </c>
      <c r="J1490" t="str">
        <f t="shared" si="23"/>
        <v/>
      </c>
      <c r="L1490" t="str">
        <f>IF('01_Warehouse_Ledger'!$A1490="","",'01_Warehouse_Ledger'!$A1490)</f>
        <v/>
      </c>
    </row>
    <row r="1491" spans="9:12">
      <c r="I1491" t="str">
        <f>IF(OR($A1491="",$B1491=""),"",IF(COUNTIFS($A$2:$A1491,$A1491,$B$2:$B1491,$B1491)=1,1,0))</f>
        <v/>
      </c>
      <c r="J1491" t="str">
        <f t="shared" si="23"/>
        <v/>
      </c>
      <c r="L1491" t="str">
        <f>IF('01_Warehouse_Ledger'!$A1491="","",'01_Warehouse_Ledger'!$A1491)</f>
        <v/>
      </c>
    </row>
    <row r="1492" spans="9:12">
      <c r="I1492" t="str">
        <f>IF(OR($A1492="",$B1492=""),"",IF(COUNTIFS($A$2:$A1492,$A1492,$B$2:$B1492,$B1492)=1,1,0))</f>
        <v/>
      </c>
      <c r="J1492" t="str">
        <f t="shared" si="23"/>
        <v/>
      </c>
      <c r="L1492" t="str">
        <f>IF('01_Warehouse_Ledger'!$A1492="","",'01_Warehouse_Ledger'!$A1492)</f>
        <v/>
      </c>
    </row>
    <row r="1493" spans="9:12">
      <c r="I1493" t="str">
        <f>IF(OR($A1493="",$B1493=""),"",IF(COUNTIFS($A$2:$A1493,$A1493,$B$2:$B1493,$B1493)=1,1,0))</f>
        <v/>
      </c>
      <c r="J1493" t="str">
        <f t="shared" si="23"/>
        <v/>
      </c>
      <c r="L1493" t="str">
        <f>IF('01_Warehouse_Ledger'!$A1493="","",'01_Warehouse_Ledger'!$A1493)</f>
        <v/>
      </c>
    </row>
    <row r="1494" spans="9:12">
      <c r="I1494" t="str">
        <f>IF(OR($A1494="",$B1494=""),"",IF(COUNTIFS($A$2:$A1494,$A1494,$B$2:$B1494,$B1494)=1,1,0))</f>
        <v/>
      </c>
      <c r="J1494" t="str">
        <f t="shared" si="23"/>
        <v/>
      </c>
      <c r="L1494" t="str">
        <f>IF('01_Warehouse_Ledger'!$A1494="","",'01_Warehouse_Ledger'!$A1494)</f>
        <v/>
      </c>
    </row>
    <row r="1495" spans="9:12">
      <c r="I1495" t="str">
        <f>IF(OR($A1495="",$B1495=""),"",IF(COUNTIFS($A$2:$A1495,$A1495,$B$2:$B1495,$B1495)=1,1,0))</f>
        <v/>
      </c>
      <c r="J1495" t="str">
        <f t="shared" si="23"/>
        <v/>
      </c>
      <c r="L1495" t="str">
        <f>IF('01_Warehouse_Ledger'!$A1495="","",'01_Warehouse_Ledger'!$A1495)</f>
        <v/>
      </c>
    </row>
    <row r="1496" spans="9:12">
      <c r="I1496" t="str">
        <f>IF(OR($A1496="",$B1496=""),"",IF(COUNTIFS($A$2:$A1496,$A1496,$B$2:$B1496,$B1496)=1,1,0))</f>
        <v/>
      </c>
      <c r="J1496" t="str">
        <f t="shared" si="23"/>
        <v/>
      </c>
      <c r="L1496" t="str">
        <f>IF('01_Warehouse_Ledger'!$A1496="","",'01_Warehouse_Ledger'!$A1496)</f>
        <v/>
      </c>
    </row>
    <row r="1497" spans="9:12">
      <c r="I1497" t="str">
        <f>IF(OR($A1497="",$B1497=""),"",IF(COUNTIFS($A$2:$A1497,$A1497,$B$2:$B1497,$B1497)=1,1,0))</f>
        <v/>
      </c>
      <c r="J1497" t="str">
        <f t="shared" si="23"/>
        <v/>
      </c>
      <c r="L1497" t="str">
        <f>IF('01_Warehouse_Ledger'!$A1497="","",'01_Warehouse_Ledger'!$A1497)</f>
        <v/>
      </c>
    </row>
    <row r="1498" spans="9:12">
      <c r="I1498" t="str">
        <f>IF(OR($A1498="",$B1498=""),"",IF(COUNTIFS($A$2:$A1498,$A1498,$B$2:$B1498,$B1498)=1,1,0))</f>
        <v/>
      </c>
      <c r="J1498" t="str">
        <f t="shared" si="23"/>
        <v/>
      </c>
      <c r="L1498" t="str">
        <f>IF('01_Warehouse_Ledger'!$A1498="","",'01_Warehouse_Ledger'!$A1498)</f>
        <v/>
      </c>
    </row>
    <row r="1499" spans="9:12">
      <c r="I1499" t="str">
        <f>IF(OR($A1499="",$B1499=""),"",IF(COUNTIFS($A$2:$A1499,$A1499,$B$2:$B1499,$B1499)=1,1,0))</f>
        <v/>
      </c>
      <c r="J1499" t="str">
        <f t="shared" si="23"/>
        <v/>
      </c>
      <c r="L1499" t="str">
        <f>IF('01_Warehouse_Ledger'!$A1499="","",'01_Warehouse_Ledger'!$A1499)</f>
        <v/>
      </c>
    </row>
    <row r="1500" spans="9:12">
      <c r="I1500" t="str">
        <f>IF(OR($A1500="",$B1500=""),"",IF(COUNTIFS($A$2:$A1500,$A1500,$B$2:$B1500,$B1500)=1,1,0))</f>
        <v/>
      </c>
      <c r="J1500" t="str">
        <f t="shared" si="23"/>
        <v/>
      </c>
      <c r="L1500" t="str">
        <f>IF('01_Warehouse_Ledger'!$A1500="","",'01_Warehouse_Ledger'!$A1500)</f>
        <v/>
      </c>
    </row>
    <row r="1501" spans="9:12">
      <c r="I1501" t="str">
        <f>IF(OR($A1501="",$B1501=""),"",IF(COUNTIFS($A$2:$A1501,$A1501,$B$2:$B1501,$B1501)=1,1,0))</f>
        <v/>
      </c>
      <c r="J1501" t="str">
        <f t="shared" si="23"/>
        <v/>
      </c>
      <c r="L1501" t="str">
        <f>IF('01_Warehouse_Ledger'!$A1501="","",'01_Warehouse_Ledger'!$A1501)</f>
        <v/>
      </c>
    </row>
    <row r="1502" spans="9:12">
      <c r="I1502" t="str">
        <f>IF(OR($A1502="",$B1502=""),"",IF(COUNTIFS($A$2:$A1502,$A1502,$B$2:$B1502,$B1502)=1,1,0))</f>
        <v/>
      </c>
      <c r="J1502" t="str">
        <f t="shared" si="23"/>
        <v/>
      </c>
      <c r="L1502" t="str">
        <f>IF('01_Warehouse_Ledger'!$A1502="","",'01_Warehouse_Ledger'!$A1502)</f>
        <v/>
      </c>
    </row>
    <row r="1503" spans="9:12">
      <c r="I1503" t="str">
        <f>IF(OR($A1503="",$B1503=""),"",IF(COUNTIFS($A$2:$A1503,$A1503,$B$2:$B1503,$B1503)=1,1,0))</f>
        <v/>
      </c>
      <c r="J1503" t="str">
        <f t="shared" si="23"/>
        <v/>
      </c>
      <c r="L1503" t="str">
        <f>IF('01_Warehouse_Ledger'!$A1503="","",'01_Warehouse_Ledger'!$A1503)</f>
        <v/>
      </c>
    </row>
    <row r="1504" spans="9:12">
      <c r="I1504" t="str">
        <f>IF(OR($A1504="",$B1504=""),"",IF(COUNTIFS($A$2:$A1504,$A1504,$B$2:$B1504,$B1504)=1,1,0))</f>
        <v/>
      </c>
      <c r="J1504" t="str">
        <f t="shared" si="23"/>
        <v/>
      </c>
      <c r="L1504" t="str">
        <f>IF('01_Warehouse_Ledger'!$A1504="","",'01_Warehouse_Ledger'!$A1504)</f>
        <v/>
      </c>
    </row>
    <row r="1505" spans="9:12">
      <c r="I1505" t="str">
        <f>IF(OR($A1505="",$B1505=""),"",IF(COUNTIFS($A$2:$A1505,$A1505,$B$2:$B1505,$B1505)=1,1,0))</f>
        <v/>
      </c>
      <c r="J1505" t="str">
        <f t="shared" si="23"/>
        <v/>
      </c>
      <c r="L1505" t="str">
        <f>IF('01_Warehouse_Ledger'!$A1505="","",'01_Warehouse_Ledger'!$A1505)</f>
        <v/>
      </c>
    </row>
    <row r="1506" spans="9:12">
      <c r="I1506" t="str">
        <f>IF(OR($A1506="",$B1506=""),"",IF(COUNTIFS($A$2:$A1506,$A1506,$B$2:$B1506,$B1506)=1,1,0))</f>
        <v/>
      </c>
      <c r="J1506" t="str">
        <f t="shared" si="23"/>
        <v/>
      </c>
      <c r="L1506" t="str">
        <f>IF('01_Warehouse_Ledger'!$A1506="","",'01_Warehouse_Ledger'!$A1506)</f>
        <v/>
      </c>
    </row>
    <row r="1507" spans="9:12">
      <c r="I1507" t="str">
        <f>IF(OR($A1507="",$B1507=""),"",IF(COUNTIFS($A$2:$A1507,$A1507,$B$2:$B1507,$B1507)=1,1,0))</f>
        <v/>
      </c>
      <c r="J1507" t="str">
        <f t="shared" si="23"/>
        <v/>
      </c>
      <c r="L1507" t="str">
        <f>IF('01_Warehouse_Ledger'!$A1507="","",'01_Warehouse_Ledger'!$A1507)</f>
        <v/>
      </c>
    </row>
    <row r="1508" spans="9:12">
      <c r="I1508" t="str">
        <f>IF(OR($A1508="",$B1508=""),"",IF(COUNTIFS($A$2:$A1508,$A1508,$B$2:$B1508,$B1508)=1,1,0))</f>
        <v/>
      </c>
      <c r="J1508" t="str">
        <f t="shared" si="23"/>
        <v/>
      </c>
      <c r="L1508" t="str">
        <f>IF('01_Warehouse_Ledger'!$A1508="","",'01_Warehouse_Ledger'!$A1508)</f>
        <v/>
      </c>
    </row>
    <row r="1509" spans="9:12">
      <c r="I1509" t="str">
        <f>IF(OR($A1509="",$B1509=""),"",IF(COUNTIFS($A$2:$A1509,$A1509,$B$2:$B1509,$B1509)=1,1,0))</f>
        <v/>
      </c>
      <c r="J1509" t="str">
        <f t="shared" si="23"/>
        <v/>
      </c>
      <c r="L1509" t="str">
        <f>IF('01_Warehouse_Ledger'!$A1509="","",'01_Warehouse_Ledger'!$A1509)</f>
        <v/>
      </c>
    </row>
    <row r="1510" spans="9:12">
      <c r="I1510" t="str">
        <f>IF(OR($A1510="",$B1510=""),"",IF(COUNTIFS($A$2:$A1510,$A1510,$B$2:$B1510,$B1510)=1,1,0))</f>
        <v/>
      </c>
      <c r="J1510" t="str">
        <f t="shared" si="23"/>
        <v/>
      </c>
      <c r="L1510" t="str">
        <f>IF('01_Warehouse_Ledger'!$A1510="","",'01_Warehouse_Ledger'!$A1510)</f>
        <v/>
      </c>
    </row>
    <row r="1511" spans="9:12">
      <c r="I1511" t="str">
        <f>IF(OR($A1511="",$B1511=""),"",IF(COUNTIFS($A$2:$A1511,$A1511,$B$2:$B1511,$B1511)=1,1,0))</f>
        <v/>
      </c>
      <c r="J1511" t="str">
        <f t="shared" si="23"/>
        <v/>
      </c>
      <c r="L1511" t="str">
        <f>IF('01_Warehouse_Ledger'!$A1511="","",'01_Warehouse_Ledger'!$A1511)</f>
        <v/>
      </c>
    </row>
    <row r="1512" spans="9:12">
      <c r="I1512" t="str">
        <f>IF(OR($A1512="",$B1512=""),"",IF(COUNTIFS($A$2:$A1512,$A1512,$B$2:$B1512,$B1512)=1,1,0))</f>
        <v/>
      </c>
      <c r="J1512" t="str">
        <f t="shared" si="23"/>
        <v/>
      </c>
      <c r="L1512" t="str">
        <f>IF('01_Warehouse_Ledger'!$A1512="","",'01_Warehouse_Ledger'!$A1512)</f>
        <v/>
      </c>
    </row>
    <row r="1513" spans="9:12">
      <c r="I1513" t="str">
        <f>IF(OR($A1513="",$B1513=""),"",IF(COUNTIFS($A$2:$A1513,$A1513,$B$2:$B1513,$B1513)=1,1,0))</f>
        <v/>
      </c>
      <c r="J1513" t="str">
        <f t="shared" si="23"/>
        <v/>
      </c>
      <c r="L1513" t="str">
        <f>IF('01_Warehouse_Ledger'!$A1513="","",'01_Warehouse_Ledger'!$A1513)</f>
        <v/>
      </c>
    </row>
    <row r="1514" spans="9:12">
      <c r="I1514" t="str">
        <f>IF(OR($A1514="",$B1514=""),"",IF(COUNTIFS($A$2:$A1514,$A1514,$B$2:$B1514,$B1514)=1,1,0))</f>
        <v/>
      </c>
      <c r="J1514" t="str">
        <f t="shared" si="23"/>
        <v/>
      </c>
      <c r="L1514" t="str">
        <f>IF('01_Warehouse_Ledger'!$A1514="","",'01_Warehouse_Ledger'!$A1514)</f>
        <v/>
      </c>
    </row>
    <row r="1515" spans="9:12">
      <c r="I1515" t="str">
        <f>IF(OR($A1515="",$B1515=""),"",IF(COUNTIFS($A$2:$A1515,$A1515,$B$2:$B1515,$B1515)=1,1,0))</f>
        <v/>
      </c>
      <c r="J1515" t="str">
        <f t="shared" si="23"/>
        <v/>
      </c>
      <c r="L1515" t="str">
        <f>IF('01_Warehouse_Ledger'!$A1515="","",'01_Warehouse_Ledger'!$A1515)</f>
        <v/>
      </c>
    </row>
    <row r="1516" spans="9:12">
      <c r="I1516" t="str">
        <f>IF(OR($A1516="",$B1516=""),"",IF(COUNTIFS($A$2:$A1516,$A1516,$B$2:$B1516,$B1516)=1,1,0))</f>
        <v/>
      </c>
      <c r="J1516" t="str">
        <f t="shared" si="23"/>
        <v/>
      </c>
      <c r="L1516" t="str">
        <f>IF('01_Warehouse_Ledger'!$A1516="","",'01_Warehouse_Ledger'!$A1516)</f>
        <v/>
      </c>
    </row>
    <row r="1517" spans="9:12">
      <c r="I1517" t="str">
        <f>IF(OR($A1517="",$B1517=""),"",IF(COUNTIFS($A$2:$A1517,$A1517,$B$2:$B1517,$B1517)=1,1,0))</f>
        <v/>
      </c>
      <c r="J1517" t="str">
        <f t="shared" si="23"/>
        <v/>
      </c>
      <c r="L1517" t="str">
        <f>IF('01_Warehouse_Ledger'!$A1517="","",'01_Warehouse_Ledger'!$A1517)</f>
        <v/>
      </c>
    </row>
    <row r="1518" spans="9:12">
      <c r="I1518" t="str">
        <f>IF(OR($A1518="",$B1518=""),"",IF(COUNTIFS($A$2:$A1518,$A1518,$B$2:$B1518,$B1518)=1,1,0))</f>
        <v/>
      </c>
      <c r="J1518" t="str">
        <f t="shared" si="23"/>
        <v/>
      </c>
      <c r="L1518" t="str">
        <f>IF('01_Warehouse_Ledger'!$A1518="","",'01_Warehouse_Ledger'!$A1518)</f>
        <v/>
      </c>
    </row>
    <row r="1519" spans="9:12">
      <c r="I1519" t="str">
        <f>IF(OR($A1519="",$B1519=""),"",IF(COUNTIFS($A$2:$A1519,$A1519,$B$2:$B1519,$B1519)=1,1,0))</f>
        <v/>
      </c>
      <c r="J1519" t="str">
        <f t="shared" si="23"/>
        <v/>
      </c>
      <c r="L1519" t="str">
        <f>IF('01_Warehouse_Ledger'!$A1519="","",'01_Warehouse_Ledger'!$A1519)</f>
        <v/>
      </c>
    </row>
    <row r="1520" spans="9:12">
      <c r="I1520" t="str">
        <f>IF(OR($A1520="",$B1520=""),"",IF(COUNTIFS($A$2:$A1520,$A1520,$B$2:$B1520,$B1520)=1,1,0))</f>
        <v/>
      </c>
      <c r="J1520" t="str">
        <f t="shared" si="23"/>
        <v/>
      </c>
      <c r="L1520" t="str">
        <f>IF('01_Warehouse_Ledger'!$A1520="","",'01_Warehouse_Ledger'!$A1520)</f>
        <v/>
      </c>
    </row>
    <row r="1521" spans="9:12">
      <c r="I1521" t="str">
        <f>IF(OR($A1521="",$B1521=""),"",IF(COUNTIFS($A$2:$A1521,$A1521,$B$2:$B1521,$B1521)=1,1,0))</f>
        <v/>
      </c>
      <c r="J1521" t="str">
        <f t="shared" si="23"/>
        <v/>
      </c>
      <c r="L1521" t="str">
        <f>IF('01_Warehouse_Ledger'!$A1521="","",'01_Warehouse_Ledger'!$A1521)</f>
        <v/>
      </c>
    </row>
    <row r="1522" spans="9:12">
      <c r="I1522" t="str">
        <f>IF(OR($A1522="",$B1522=""),"",IF(COUNTIFS($A$2:$A1522,$A1522,$B$2:$B1522,$B1522)=1,1,0))</f>
        <v/>
      </c>
      <c r="J1522" t="str">
        <f t="shared" si="23"/>
        <v/>
      </c>
      <c r="L1522" t="str">
        <f>IF('01_Warehouse_Ledger'!$A1522="","",'01_Warehouse_Ledger'!$A1522)</f>
        <v/>
      </c>
    </row>
    <row r="1523" spans="9:12">
      <c r="I1523" t="str">
        <f>IF(OR($A1523="",$B1523=""),"",IF(COUNTIFS($A$2:$A1523,$A1523,$B$2:$B1523,$B1523)=1,1,0))</f>
        <v/>
      </c>
      <c r="J1523" t="str">
        <f t="shared" si="23"/>
        <v/>
      </c>
      <c r="L1523" t="str">
        <f>IF('01_Warehouse_Ledger'!$A1523="","",'01_Warehouse_Ledger'!$A1523)</f>
        <v/>
      </c>
    </row>
    <row r="1524" spans="9:12">
      <c r="I1524" t="str">
        <f>IF(OR($A1524="",$B1524=""),"",IF(COUNTIFS($A$2:$A1524,$A1524,$B$2:$B1524,$B1524)=1,1,0))</f>
        <v/>
      </c>
      <c r="J1524" t="str">
        <f t="shared" si="23"/>
        <v/>
      </c>
      <c r="L1524" t="str">
        <f>IF('01_Warehouse_Ledger'!$A1524="","",'01_Warehouse_Ledger'!$A1524)</f>
        <v/>
      </c>
    </row>
    <row r="1525" spans="9:12">
      <c r="I1525" t="str">
        <f>IF(OR($A1525="",$B1525=""),"",IF(COUNTIFS($A$2:$A1525,$A1525,$B$2:$B1525,$B1525)=1,1,0))</f>
        <v/>
      </c>
      <c r="J1525" t="str">
        <f t="shared" si="23"/>
        <v/>
      </c>
      <c r="L1525" t="str">
        <f>IF('01_Warehouse_Ledger'!$A1525="","",'01_Warehouse_Ledger'!$A1525)</f>
        <v/>
      </c>
    </row>
    <row r="1526" spans="9:12">
      <c r="I1526" t="str">
        <f>IF(OR($A1526="",$B1526=""),"",IF(COUNTIFS($A$2:$A1526,$A1526,$B$2:$B1526,$B1526)=1,1,0))</f>
        <v/>
      </c>
      <c r="J1526" t="str">
        <f t="shared" si="23"/>
        <v/>
      </c>
      <c r="L1526" t="str">
        <f>IF('01_Warehouse_Ledger'!$A1526="","",'01_Warehouse_Ledger'!$A1526)</f>
        <v/>
      </c>
    </row>
    <row r="1527" spans="9:12">
      <c r="I1527" t="str">
        <f>IF(OR($A1527="",$B1527=""),"",IF(COUNTIFS($A$2:$A1527,$A1527,$B$2:$B1527,$B1527)=1,1,0))</f>
        <v/>
      </c>
      <c r="J1527" t="str">
        <f t="shared" si="23"/>
        <v/>
      </c>
      <c r="L1527" t="str">
        <f>IF('01_Warehouse_Ledger'!$A1527="","",'01_Warehouse_Ledger'!$A1527)</f>
        <v/>
      </c>
    </row>
    <row r="1528" spans="9:12">
      <c r="I1528" t="str">
        <f>IF(OR($A1528="",$B1528=""),"",IF(COUNTIFS($A$2:$A1528,$A1528,$B$2:$B1528,$B1528)=1,1,0))</f>
        <v/>
      </c>
      <c r="J1528" t="str">
        <f t="shared" si="23"/>
        <v/>
      </c>
      <c r="L1528" t="str">
        <f>IF('01_Warehouse_Ledger'!$A1528="","",'01_Warehouse_Ledger'!$A1528)</f>
        <v/>
      </c>
    </row>
    <row r="1529" spans="9:12">
      <c r="I1529" t="str">
        <f>IF(OR($A1529="",$B1529=""),"",IF(COUNTIFS($A$2:$A1529,$A1529,$B$2:$B1529,$B1529)=1,1,0))</f>
        <v/>
      </c>
      <c r="J1529" t="str">
        <f t="shared" si="23"/>
        <v/>
      </c>
      <c r="L1529" t="str">
        <f>IF('01_Warehouse_Ledger'!$A1529="","",'01_Warehouse_Ledger'!$A1529)</f>
        <v/>
      </c>
    </row>
    <row r="1530" spans="9:12">
      <c r="I1530" t="str">
        <f>IF(OR($A1530="",$B1530=""),"",IF(COUNTIFS($A$2:$A1530,$A1530,$B$2:$B1530,$B1530)=1,1,0))</f>
        <v/>
      </c>
      <c r="J1530" t="str">
        <f t="shared" si="23"/>
        <v/>
      </c>
      <c r="L1530" t="str">
        <f>IF('01_Warehouse_Ledger'!$A1530="","",'01_Warehouse_Ledger'!$A1530)</f>
        <v/>
      </c>
    </row>
    <row r="1531" spans="9:12">
      <c r="I1531" t="str">
        <f>IF(OR($A1531="",$B1531=""),"",IF(COUNTIFS($A$2:$A1531,$A1531,$B$2:$B1531,$B1531)=1,1,0))</f>
        <v/>
      </c>
      <c r="J1531" t="str">
        <f t="shared" si="23"/>
        <v/>
      </c>
      <c r="L1531" t="str">
        <f>IF('01_Warehouse_Ledger'!$A1531="","",'01_Warehouse_Ledger'!$A1531)</f>
        <v/>
      </c>
    </row>
    <row r="1532" spans="9:12">
      <c r="I1532" t="str">
        <f>IF(OR($A1532="",$B1532=""),"",IF(COUNTIFS($A$2:$A1532,$A1532,$B$2:$B1532,$B1532)=1,1,0))</f>
        <v/>
      </c>
      <c r="J1532" t="str">
        <f t="shared" si="23"/>
        <v/>
      </c>
      <c r="L1532" t="str">
        <f>IF('01_Warehouse_Ledger'!$A1532="","",'01_Warehouse_Ledger'!$A1532)</f>
        <v/>
      </c>
    </row>
    <row r="1533" spans="9:12">
      <c r="I1533" t="str">
        <f>IF(OR($A1533="",$B1533=""),"",IF(COUNTIFS($A$2:$A1533,$A1533,$B$2:$B1533,$B1533)=1,1,0))</f>
        <v/>
      </c>
      <c r="J1533" t="str">
        <f t="shared" si="23"/>
        <v/>
      </c>
      <c r="L1533" t="str">
        <f>IF('01_Warehouse_Ledger'!$A1533="","",'01_Warehouse_Ledger'!$A1533)</f>
        <v/>
      </c>
    </row>
    <row r="1534" spans="9:12">
      <c r="I1534" t="str">
        <f>IF(OR($A1534="",$B1534=""),"",IF(COUNTIFS($A$2:$A1534,$A1534,$B$2:$B1534,$B1534)=1,1,0))</f>
        <v/>
      </c>
      <c r="J1534" t="str">
        <f t="shared" si="23"/>
        <v/>
      </c>
      <c r="L1534" t="str">
        <f>IF('01_Warehouse_Ledger'!$A1534="","",'01_Warehouse_Ledger'!$A1534)</f>
        <v/>
      </c>
    </row>
    <row r="1535" spans="9:12">
      <c r="I1535" t="str">
        <f>IF(OR($A1535="",$B1535=""),"",IF(COUNTIFS($A$2:$A1535,$A1535,$B$2:$B1535,$B1535)=1,1,0))</f>
        <v/>
      </c>
      <c r="J1535" t="str">
        <f t="shared" si="23"/>
        <v/>
      </c>
      <c r="L1535" t="str">
        <f>IF('01_Warehouse_Ledger'!$A1535="","",'01_Warehouse_Ledger'!$A1535)</f>
        <v/>
      </c>
    </row>
    <row r="1536" spans="9:12">
      <c r="I1536" t="str">
        <f>IF(OR($A1536="",$B1536=""),"",IF(COUNTIFS($A$2:$A1536,$A1536,$B$2:$B1536,$B1536)=1,1,0))</f>
        <v/>
      </c>
      <c r="J1536" t="str">
        <f t="shared" si="23"/>
        <v/>
      </c>
      <c r="L1536" t="str">
        <f>IF('01_Warehouse_Ledger'!$A1536="","",'01_Warehouse_Ledger'!$A1536)</f>
        <v/>
      </c>
    </row>
    <row r="1537" spans="9:12">
      <c r="I1537" t="str">
        <f>IF(OR($A1537="",$B1537=""),"",IF(COUNTIFS($A$2:$A1537,$A1537,$B$2:$B1537,$B1537)=1,1,0))</f>
        <v/>
      </c>
      <c r="J1537" t="str">
        <f t="shared" si="23"/>
        <v/>
      </c>
      <c r="L1537" t="str">
        <f>IF('01_Warehouse_Ledger'!$A1537="","",'01_Warehouse_Ledger'!$A1537)</f>
        <v/>
      </c>
    </row>
    <row r="1538" spans="9:12">
      <c r="I1538" t="str">
        <f>IF(OR($A1538="",$B1538=""),"",IF(COUNTIFS($A$2:$A1538,$A1538,$B$2:$B1538,$B1538)=1,1,0))</f>
        <v/>
      </c>
      <c r="J1538" t="str">
        <f t="shared" ref="J1538:J1601" si="24">IF($A1538="","",ROW())</f>
        <v/>
      </c>
      <c r="L1538" t="str">
        <f>IF('01_Warehouse_Ledger'!$A1538="","",'01_Warehouse_Ledger'!$A1538)</f>
        <v/>
      </c>
    </row>
    <row r="1539" spans="9:12">
      <c r="I1539" t="str">
        <f>IF(OR($A1539="",$B1539=""),"",IF(COUNTIFS($A$2:$A1539,$A1539,$B$2:$B1539,$B1539)=1,1,0))</f>
        <v/>
      </c>
      <c r="J1539" t="str">
        <f t="shared" si="24"/>
        <v/>
      </c>
      <c r="L1539" t="str">
        <f>IF('01_Warehouse_Ledger'!$A1539="","",'01_Warehouse_Ledger'!$A1539)</f>
        <v/>
      </c>
    </row>
    <row r="1540" spans="9:12">
      <c r="I1540" t="str">
        <f>IF(OR($A1540="",$B1540=""),"",IF(COUNTIFS($A$2:$A1540,$A1540,$B$2:$B1540,$B1540)=1,1,0))</f>
        <v/>
      </c>
      <c r="J1540" t="str">
        <f t="shared" si="24"/>
        <v/>
      </c>
      <c r="L1540" t="str">
        <f>IF('01_Warehouse_Ledger'!$A1540="","",'01_Warehouse_Ledger'!$A1540)</f>
        <v/>
      </c>
    </row>
    <row r="1541" spans="9:12">
      <c r="I1541" t="str">
        <f>IF(OR($A1541="",$B1541=""),"",IF(COUNTIFS($A$2:$A1541,$A1541,$B$2:$B1541,$B1541)=1,1,0))</f>
        <v/>
      </c>
      <c r="J1541" t="str">
        <f t="shared" si="24"/>
        <v/>
      </c>
      <c r="L1541" t="str">
        <f>IF('01_Warehouse_Ledger'!$A1541="","",'01_Warehouse_Ledger'!$A1541)</f>
        <v/>
      </c>
    </row>
    <row r="1542" spans="9:12">
      <c r="I1542" t="str">
        <f>IF(OR($A1542="",$B1542=""),"",IF(COUNTIFS($A$2:$A1542,$A1542,$B$2:$B1542,$B1542)=1,1,0))</f>
        <v/>
      </c>
      <c r="J1542" t="str">
        <f t="shared" si="24"/>
        <v/>
      </c>
      <c r="L1542" t="str">
        <f>IF('01_Warehouse_Ledger'!$A1542="","",'01_Warehouse_Ledger'!$A1542)</f>
        <v/>
      </c>
    </row>
    <row r="1543" spans="9:12">
      <c r="I1543" t="str">
        <f>IF(OR($A1543="",$B1543=""),"",IF(COUNTIFS($A$2:$A1543,$A1543,$B$2:$B1543,$B1543)=1,1,0))</f>
        <v/>
      </c>
      <c r="J1543" t="str">
        <f t="shared" si="24"/>
        <v/>
      </c>
      <c r="L1543" t="str">
        <f>IF('01_Warehouse_Ledger'!$A1543="","",'01_Warehouse_Ledger'!$A1543)</f>
        <v/>
      </c>
    </row>
    <row r="1544" spans="9:12">
      <c r="I1544" t="str">
        <f>IF(OR($A1544="",$B1544=""),"",IF(COUNTIFS($A$2:$A1544,$A1544,$B$2:$B1544,$B1544)=1,1,0))</f>
        <v/>
      </c>
      <c r="J1544" t="str">
        <f t="shared" si="24"/>
        <v/>
      </c>
      <c r="L1544" t="str">
        <f>IF('01_Warehouse_Ledger'!$A1544="","",'01_Warehouse_Ledger'!$A1544)</f>
        <v/>
      </c>
    </row>
    <row r="1545" spans="9:12">
      <c r="I1545" t="str">
        <f>IF(OR($A1545="",$B1545=""),"",IF(COUNTIFS($A$2:$A1545,$A1545,$B$2:$B1545,$B1545)=1,1,0))</f>
        <v/>
      </c>
      <c r="J1545" t="str">
        <f t="shared" si="24"/>
        <v/>
      </c>
      <c r="L1545" t="str">
        <f>IF('01_Warehouse_Ledger'!$A1545="","",'01_Warehouse_Ledger'!$A1545)</f>
        <v/>
      </c>
    </row>
    <row r="1546" spans="9:12">
      <c r="I1546" t="str">
        <f>IF(OR($A1546="",$B1546=""),"",IF(COUNTIFS($A$2:$A1546,$A1546,$B$2:$B1546,$B1546)=1,1,0))</f>
        <v/>
      </c>
      <c r="J1546" t="str">
        <f t="shared" si="24"/>
        <v/>
      </c>
      <c r="L1546" t="str">
        <f>IF('01_Warehouse_Ledger'!$A1546="","",'01_Warehouse_Ledger'!$A1546)</f>
        <v/>
      </c>
    </row>
    <row r="1547" spans="9:12">
      <c r="I1547" t="str">
        <f>IF(OR($A1547="",$B1547=""),"",IF(COUNTIFS($A$2:$A1547,$A1547,$B$2:$B1547,$B1547)=1,1,0))</f>
        <v/>
      </c>
      <c r="J1547" t="str">
        <f t="shared" si="24"/>
        <v/>
      </c>
      <c r="L1547" t="str">
        <f>IF('01_Warehouse_Ledger'!$A1547="","",'01_Warehouse_Ledger'!$A1547)</f>
        <v/>
      </c>
    </row>
    <row r="1548" spans="9:12">
      <c r="I1548" t="str">
        <f>IF(OR($A1548="",$B1548=""),"",IF(COUNTIFS($A$2:$A1548,$A1548,$B$2:$B1548,$B1548)=1,1,0))</f>
        <v/>
      </c>
      <c r="J1548" t="str">
        <f t="shared" si="24"/>
        <v/>
      </c>
      <c r="L1548" t="str">
        <f>IF('01_Warehouse_Ledger'!$A1548="","",'01_Warehouse_Ledger'!$A1548)</f>
        <v/>
      </c>
    </row>
    <row r="1549" spans="9:12">
      <c r="I1549" t="str">
        <f>IF(OR($A1549="",$B1549=""),"",IF(COUNTIFS($A$2:$A1549,$A1549,$B$2:$B1549,$B1549)=1,1,0))</f>
        <v/>
      </c>
      <c r="J1549" t="str">
        <f t="shared" si="24"/>
        <v/>
      </c>
      <c r="L1549" t="str">
        <f>IF('01_Warehouse_Ledger'!$A1549="","",'01_Warehouse_Ledger'!$A1549)</f>
        <v/>
      </c>
    </row>
    <row r="1550" spans="9:12">
      <c r="I1550" t="str">
        <f>IF(OR($A1550="",$B1550=""),"",IF(COUNTIFS($A$2:$A1550,$A1550,$B$2:$B1550,$B1550)=1,1,0))</f>
        <v/>
      </c>
      <c r="J1550" t="str">
        <f t="shared" si="24"/>
        <v/>
      </c>
      <c r="L1550" t="str">
        <f>IF('01_Warehouse_Ledger'!$A1550="","",'01_Warehouse_Ledger'!$A1550)</f>
        <v/>
      </c>
    </row>
    <row r="1551" spans="9:12">
      <c r="I1551" t="str">
        <f>IF(OR($A1551="",$B1551=""),"",IF(COUNTIFS($A$2:$A1551,$A1551,$B$2:$B1551,$B1551)=1,1,0))</f>
        <v/>
      </c>
      <c r="J1551" t="str">
        <f t="shared" si="24"/>
        <v/>
      </c>
      <c r="L1551" t="str">
        <f>IF('01_Warehouse_Ledger'!$A1551="","",'01_Warehouse_Ledger'!$A1551)</f>
        <v/>
      </c>
    </row>
    <row r="1552" spans="9:12">
      <c r="I1552" t="str">
        <f>IF(OR($A1552="",$B1552=""),"",IF(COUNTIFS($A$2:$A1552,$A1552,$B$2:$B1552,$B1552)=1,1,0))</f>
        <v/>
      </c>
      <c r="J1552" t="str">
        <f t="shared" si="24"/>
        <v/>
      </c>
      <c r="L1552" t="str">
        <f>IF('01_Warehouse_Ledger'!$A1552="","",'01_Warehouse_Ledger'!$A1552)</f>
        <v/>
      </c>
    </row>
    <row r="1553" spans="9:12">
      <c r="I1553" t="str">
        <f>IF(OR($A1553="",$B1553=""),"",IF(COUNTIFS($A$2:$A1553,$A1553,$B$2:$B1553,$B1553)=1,1,0))</f>
        <v/>
      </c>
      <c r="J1553" t="str">
        <f t="shared" si="24"/>
        <v/>
      </c>
      <c r="L1553" t="str">
        <f>IF('01_Warehouse_Ledger'!$A1553="","",'01_Warehouse_Ledger'!$A1553)</f>
        <v/>
      </c>
    </row>
    <row r="1554" spans="9:12">
      <c r="I1554" t="str">
        <f>IF(OR($A1554="",$B1554=""),"",IF(COUNTIFS($A$2:$A1554,$A1554,$B$2:$B1554,$B1554)=1,1,0))</f>
        <v/>
      </c>
      <c r="J1554" t="str">
        <f t="shared" si="24"/>
        <v/>
      </c>
      <c r="L1554" t="str">
        <f>IF('01_Warehouse_Ledger'!$A1554="","",'01_Warehouse_Ledger'!$A1554)</f>
        <v/>
      </c>
    </row>
    <row r="1555" spans="9:12">
      <c r="I1555" t="str">
        <f>IF(OR($A1555="",$B1555=""),"",IF(COUNTIFS($A$2:$A1555,$A1555,$B$2:$B1555,$B1555)=1,1,0))</f>
        <v/>
      </c>
      <c r="J1555" t="str">
        <f t="shared" si="24"/>
        <v/>
      </c>
      <c r="L1555" t="str">
        <f>IF('01_Warehouse_Ledger'!$A1555="","",'01_Warehouse_Ledger'!$A1555)</f>
        <v/>
      </c>
    </row>
    <row r="1556" spans="9:12">
      <c r="I1556" t="str">
        <f>IF(OR($A1556="",$B1556=""),"",IF(COUNTIFS($A$2:$A1556,$A1556,$B$2:$B1556,$B1556)=1,1,0))</f>
        <v/>
      </c>
      <c r="J1556" t="str">
        <f t="shared" si="24"/>
        <v/>
      </c>
      <c r="L1556" t="str">
        <f>IF('01_Warehouse_Ledger'!$A1556="","",'01_Warehouse_Ledger'!$A1556)</f>
        <v/>
      </c>
    </row>
    <row r="1557" spans="9:12">
      <c r="I1557" t="str">
        <f>IF(OR($A1557="",$B1557=""),"",IF(COUNTIFS($A$2:$A1557,$A1557,$B$2:$B1557,$B1557)=1,1,0))</f>
        <v/>
      </c>
      <c r="J1557" t="str">
        <f t="shared" si="24"/>
        <v/>
      </c>
      <c r="L1557" t="str">
        <f>IF('01_Warehouse_Ledger'!$A1557="","",'01_Warehouse_Ledger'!$A1557)</f>
        <v/>
      </c>
    </row>
    <row r="1558" spans="9:12">
      <c r="I1558" t="str">
        <f>IF(OR($A1558="",$B1558=""),"",IF(COUNTIFS($A$2:$A1558,$A1558,$B$2:$B1558,$B1558)=1,1,0))</f>
        <v/>
      </c>
      <c r="J1558" t="str">
        <f t="shared" si="24"/>
        <v/>
      </c>
      <c r="L1558" t="str">
        <f>IF('01_Warehouse_Ledger'!$A1558="","",'01_Warehouse_Ledger'!$A1558)</f>
        <v/>
      </c>
    </row>
    <row r="1559" spans="9:12">
      <c r="I1559" t="str">
        <f>IF(OR($A1559="",$B1559=""),"",IF(COUNTIFS($A$2:$A1559,$A1559,$B$2:$B1559,$B1559)=1,1,0))</f>
        <v/>
      </c>
      <c r="J1559" t="str">
        <f t="shared" si="24"/>
        <v/>
      </c>
      <c r="L1559" t="str">
        <f>IF('01_Warehouse_Ledger'!$A1559="","",'01_Warehouse_Ledger'!$A1559)</f>
        <v/>
      </c>
    </row>
    <row r="1560" spans="9:12">
      <c r="I1560" t="str">
        <f>IF(OR($A1560="",$B1560=""),"",IF(COUNTIFS($A$2:$A1560,$A1560,$B$2:$B1560,$B1560)=1,1,0))</f>
        <v/>
      </c>
      <c r="J1560" t="str">
        <f t="shared" si="24"/>
        <v/>
      </c>
      <c r="L1560" t="str">
        <f>IF('01_Warehouse_Ledger'!$A1560="","",'01_Warehouse_Ledger'!$A1560)</f>
        <v/>
      </c>
    </row>
    <row r="1561" spans="9:12">
      <c r="I1561" t="str">
        <f>IF(OR($A1561="",$B1561=""),"",IF(COUNTIFS($A$2:$A1561,$A1561,$B$2:$B1561,$B1561)=1,1,0))</f>
        <v/>
      </c>
      <c r="J1561" t="str">
        <f t="shared" si="24"/>
        <v/>
      </c>
      <c r="L1561" t="str">
        <f>IF('01_Warehouse_Ledger'!$A1561="","",'01_Warehouse_Ledger'!$A1561)</f>
        <v/>
      </c>
    </row>
    <row r="1562" spans="9:12">
      <c r="I1562" t="str">
        <f>IF(OR($A1562="",$B1562=""),"",IF(COUNTIFS($A$2:$A1562,$A1562,$B$2:$B1562,$B1562)=1,1,0))</f>
        <v/>
      </c>
      <c r="J1562" t="str">
        <f t="shared" si="24"/>
        <v/>
      </c>
      <c r="L1562" t="str">
        <f>IF('01_Warehouse_Ledger'!$A1562="","",'01_Warehouse_Ledger'!$A1562)</f>
        <v/>
      </c>
    </row>
    <row r="1563" spans="9:12">
      <c r="I1563" t="str">
        <f>IF(OR($A1563="",$B1563=""),"",IF(COUNTIFS($A$2:$A1563,$A1563,$B$2:$B1563,$B1563)=1,1,0))</f>
        <v/>
      </c>
      <c r="J1563" t="str">
        <f t="shared" si="24"/>
        <v/>
      </c>
      <c r="L1563" t="str">
        <f>IF('01_Warehouse_Ledger'!$A1563="","",'01_Warehouse_Ledger'!$A1563)</f>
        <v/>
      </c>
    </row>
    <row r="1564" spans="9:12">
      <c r="I1564" t="str">
        <f>IF(OR($A1564="",$B1564=""),"",IF(COUNTIFS($A$2:$A1564,$A1564,$B$2:$B1564,$B1564)=1,1,0))</f>
        <v/>
      </c>
      <c r="J1564" t="str">
        <f t="shared" si="24"/>
        <v/>
      </c>
      <c r="L1564" t="str">
        <f>IF('01_Warehouse_Ledger'!$A1564="","",'01_Warehouse_Ledger'!$A1564)</f>
        <v/>
      </c>
    </row>
    <row r="1565" spans="9:12">
      <c r="I1565" t="str">
        <f>IF(OR($A1565="",$B1565=""),"",IF(COUNTIFS($A$2:$A1565,$A1565,$B$2:$B1565,$B1565)=1,1,0))</f>
        <v/>
      </c>
      <c r="J1565" t="str">
        <f t="shared" si="24"/>
        <v/>
      </c>
      <c r="L1565" t="str">
        <f>IF('01_Warehouse_Ledger'!$A1565="","",'01_Warehouse_Ledger'!$A1565)</f>
        <v/>
      </c>
    </row>
    <row r="1566" spans="9:12">
      <c r="I1566" t="str">
        <f>IF(OR($A1566="",$B1566=""),"",IF(COUNTIFS($A$2:$A1566,$A1566,$B$2:$B1566,$B1566)=1,1,0))</f>
        <v/>
      </c>
      <c r="J1566" t="str">
        <f t="shared" si="24"/>
        <v/>
      </c>
      <c r="L1566" t="str">
        <f>IF('01_Warehouse_Ledger'!$A1566="","",'01_Warehouse_Ledger'!$A1566)</f>
        <v/>
      </c>
    </row>
    <row r="1567" spans="9:12">
      <c r="I1567" t="str">
        <f>IF(OR($A1567="",$B1567=""),"",IF(COUNTIFS($A$2:$A1567,$A1567,$B$2:$B1567,$B1567)=1,1,0))</f>
        <v/>
      </c>
      <c r="J1567" t="str">
        <f t="shared" si="24"/>
        <v/>
      </c>
      <c r="L1567" t="str">
        <f>IF('01_Warehouse_Ledger'!$A1567="","",'01_Warehouse_Ledger'!$A1567)</f>
        <v/>
      </c>
    </row>
    <row r="1568" spans="9:12">
      <c r="I1568" t="str">
        <f>IF(OR($A1568="",$B1568=""),"",IF(COUNTIFS($A$2:$A1568,$A1568,$B$2:$B1568,$B1568)=1,1,0))</f>
        <v/>
      </c>
      <c r="J1568" t="str">
        <f t="shared" si="24"/>
        <v/>
      </c>
      <c r="L1568" t="str">
        <f>IF('01_Warehouse_Ledger'!$A1568="","",'01_Warehouse_Ledger'!$A1568)</f>
        <v/>
      </c>
    </row>
    <row r="1569" spans="9:12">
      <c r="I1569" t="str">
        <f>IF(OR($A1569="",$B1569=""),"",IF(COUNTIFS($A$2:$A1569,$A1569,$B$2:$B1569,$B1569)=1,1,0))</f>
        <v/>
      </c>
      <c r="J1569" t="str">
        <f t="shared" si="24"/>
        <v/>
      </c>
      <c r="L1569" t="str">
        <f>IF('01_Warehouse_Ledger'!$A1569="","",'01_Warehouse_Ledger'!$A1569)</f>
        <v/>
      </c>
    </row>
    <row r="1570" spans="9:12">
      <c r="I1570" t="str">
        <f>IF(OR($A1570="",$B1570=""),"",IF(COUNTIFS($A$2:$A1570,$A1570,$B$2:$B1570,$B1570)=1,1,0))</f>
        <v/>
      </c>
      <c r="J1570" t="str">
        <f t="shared" si="24"/>
        <v/>
      </c>
      <c r="L1570" t="str">
        <f>IF('01_Warehouse_Ledger'!$A1570="","",'01_Warehouse_Ledger'!$A1570)</f>
        <v/>
      </c>
    </row>
    <row r="1571" spans="9:12">
      <c r="I1571" t="str">
        <f>IF(OR($A1571="",$B1571=""),"",IF(COUNTIFS($A$2:$A1571,$A1571,$B$2:$B1571,$B1571)=1,1,0))</f>
        <v/>
      </c>
      <c r="J1571" t="str">
        <f t="shared" si="24"/>
        <v/>
      </c>
      <c r="L1571" t="str">
        <f>IF('01_Warehouse_Ledger'!$A1571="","",'01_Warehouse_Ledger'!$A1571)</f>
        <v/>
      </c>
    </row>
    <row r="1572" spans="9:12">
      <c r="I1572" t="str">
        <f>IF(OR($A1572="",$B1572=""),"",IF(COUNTIFS($A$2:$A1572,$A1572,$B$2:$B1572,$B1572)=1,1,0))</f>
        <v/>
      </c>
      <c r="J1572" t="str">
        <f t="shared" si="24"/>
        <v/>
      </c>
      <c r="L1572" t="str">
        <f>IF('01_Warehouse_Ledger'!$A1572="","",'01_Warehouse_Ledger'!$A1572)</f>
        <v/>
      </c>
    </row>
    <row r="1573" spans="9:12">
      <c r="I1573" t="str">
        <f>IF(OR($A1573="",$B1573=""),"",IF(COUNTIFS($A$2:$A1573,$A1573,$B$2:$B1573,$B1573)=1,1,0))</f>
        <v/>
      </c>
      <c r="J1573" t="str">
        <f t="shared" si="24"/>
        <v/>
      </c>
      <c r="L1573" t="str">
        <f>IF('01_Warehouse_Ledger'!$A1573="","",'01_Warehouse_Ledger'!$A1573)</f>
        <v/>
      </c>
    </row>
    <row r="1574" spans="9:12">
      <c r="I1574" t="str">
        <f>IF(OR($A1574="",$B1574=""),"",IF(COUNTIFS($A$2:$A1574,$A1574,$B$2:$B1574,$B1574)=1,1,0))</f>
        <v/>
      </c>
      <c r="J1574" t="str">
        <f t="shared" si="24"/>
        <v/>
      </c>
      <c r="L1574" t="str">
        <f>IF('01_Warehouse_Ledger'!$A1574="","",'01_Warehouse_Ledger'!$A1574)</f>
        <v/>
      </c>
    </row>
    <row r="1575" spans="9:12">
      <c r="I1575" t="str">
        <f>IF(OR($A1575="",$B1575=""),"",IF(COUNTIFS($A$2:$A1575,$A1575,$B$2:$B1575,$B1575)=1,1,0))</f>
        <v/>
      </c>
      <c r="J1575" t="str">
        <f t="shared" si="24"/>
        <v/>
      </c>
      <c r="L1575" t="str">
        <f>IF('01_Warehouse_Ledger'!$A1575="","",'01_Warehouse_Ledger'!$A1575)</f>
        <v/>
      </c>
    </row>
    <row r="1576" spans="9:12">
      <c r="I1576" t="str">
        <f>IF(OR($A1576="",$B1576=""),"",IF(COUNTIFS($A$2:$A1576,$A1576,$B$2:$B1576,$B1576)=1,1,0))</f>
        <v/>
      </c>
      <c r="J1576" t="str">
        <f t="shared" si="24"/>
        <v/>
      </c>
      <c r="L1576" t="str">
        <f>IF('01_Warehouse_Ledger'!$A1576="","",'01_Warehouse_Ledger'!$A1576)</f>
        <v/>
      </c>
    </row>
    <row r="1577" spans="9:12">
      <c r="I1577" t="str">
        <f>IF(OR($A1577="",$B1577=""),"",IF(COUNTIFS($A$2:$A1577,$A1577,$B$2:$B1577,$B1577)=1,1,0))</f>
        <v/>
      </c>
      <c r="J1577" t="str">
        <f t="shared" si="24"/>
        <v/>
      </c>
      <c r="L1577" t="str">
        <f>IF('01_Warehouse_Ledger'!$A1577="","",'01_Warehouse_Ledger'!$A1577)</f>
        <v/>
      </c>
    </row>
    <row r="1578" spans="9:12">
      <c r="I1578" t="str">
        <f>IF(OR($A1578="",$B1578=""),"",IF(COUNTIFS($A$2:$A1578,$A1578,$B$2:$B1578,$B1578)=1,1,0))</f>
        <v/>
      </c>
      <c r="J1578" t="str">
        <f t="shared" si="24"/>
        <v/>
      </c>
      <c r="L1578" t="str">
        <f>IF('01_Warehouse_Ledger'!$A1578="","",'01_Warehouse_Ledger'!$A1578)</f>
        <v/>
      </c>
    </row>
    <row r="1579" spans="9:12">
      <c r="I1579" t="str">
        <f>IF(OR($A1579="",$B1579=""),"",IF(COUNTIFS($A$2:$A1579,$A1579,$B$2:$B1579,$B1579)=1,1,0))</f>
        <v/>
      </c>
      <c r="J1579" t="str">
        <f t="shared" si="24"/>
        <v/>
      </c>
      <c r="L1579" t="str">
        <f>IF('01_Warehouse_Ledger'!$A1579="","",'01_Warehouse_Ledger'!$A1579)</f>
        <v/>
      </c>
    </row>
    <row r="1580" spans="9:12">
      <c r="I1580" t="str">
        <f>IF(OR($A1580="",$B1580=""),"",IF(COUNTIFS($A$2:$A1580,$A1580,$B$2:$B1580,$B1580)=1,1,0))</f>
        <v/>
      </c>
      <c r="J1580" t="str">
        <f t="shared" si="24"/>
        <v/>
      </c>
      <c r="L1580" t="str">
        <f>IF('01_Warehouse_Ledger'!$A1580="","",'01_Warehouse_Ledger'!$A1580)</f>
        <v/>
      </c>
    </row>
    <row r="1581" spans="9:12">
      <c r="I1581" t="str">
        <f>IF(OR($A1581="",$B1581=""),"",IF(COUNTIFS($A$2:$A1581,$A1581,$B$2:$B1581,$B1581)=1,1,0))</f>
        <v/>
      </c>
      <c r="J1581" t="str">
        <f t="shared" si="24"/>
        <v/>
      </c>
      <c r="L1581" t="str">
        <f>IF('01_Warehouse_Ledger'!$A1581="","",'01_Warehouse_Ledger'!$A1581)</f>
        <v/>
      </c>
    </row>
    <row r="1582" spans="9:12">
      <c r="I1582" t="str">
        <f>IF(OR($A1582="",$B1582=""),"",IF(COUNTIFS($A$2:$A1582,$A1582,$B$2:$B1582,$B1582)=1,1,0))</f>
        <v/>
      </c>
      <c r="J1582" t="str">
        <f t="shared" si="24"/>
        <v/>
      </c>
      <c r="L1582" t="str">
        <f>IF('01_Warehouse_Ledger'!$A1582="","",'01_Warehouse_Ledger'!$A1582)</f>
        <v/>
      </c>
    </row>
    <row r="1583" spans="9:12">
      <c r="I1583" t="str">
        <f>IF(OR($A1583="",$B1583=""),"",IF(COUNTIFS($A$2:$A1583,$A1583,$B$2:$B1583,$B1583)=1,1,0))</f>
        <v/>
      </c>
      <c r="J1583" t="str">
        <f t="shared" si="24"/>
        <v/>
      </c>
      <c r="L1583" t="str">
        <f>IF('01_Warehouse_Ledger'!$A1583="","",'01_Warehouse_Ledger'!$A1583)</f>
        <v/>
      </c>
    </row>
    <row r="1584" spans="9:12">
      <c r="I1584" t="str">
        <f>IF(OR($A1584="",$B1584=""),"",IF(COUNTIFS($A$2:$A1584,$A1584,$B$2:$B1584,$B1584)=1,1,0))</f>
        <v/>
      </c>
      <c r="J1584" t="str">
        <f t="shared" si="24"/>
        <v/>
      </c>
      <c r="L1584" t="str">
        <f>IF('01_Warehouse_Ledger'!$A1584="","",'01_Warehouse_Ledger'!$A1584)</f>
        <v/>
      </c>
    </row>
    <row r="1585" spans="9:12">
      <c r="I1585" t="str">
        <f>IF(OR($A1585="",$B1585=""),"",IF(COUNTIFS($A$2:$A1585,$A1585,$B$2:$B1585,$B1585)=1,1,0))</f>
        <v/>
      </c>
      <c r="J1585" t="str">
        <f t="shared" si="24"/>
        <v/>
      </c>
      <c r="L1585" t="str">
        <f>IF('01_Warehouse_Ledger'!$A1585="","",'01_Warehouse_Ledger'!$A1585)</f>
        <v/>
      </c>
    </row>
    <row r="1586" spans="9:12">
      <c r="I1586" t="str">
        <f>IF(OR($A1586="",$B1586=""),"",IF(COUNTIFS($A$2:$A1586,$A1586,$B$2:$B1586,$B1586)=1,1,0))</f>
        <v/>
      </c>
      <c r="J1586" t="str">
        <f t="shared" si="24"/>
        <v/>
      </c>
      <c r="L1586" t="str">
        <f>IF('01_Warehouse_Ledger'!$A1586="","",'01_Warehouse_Ledger'!$A1586)</f>
        <v/>
      </c>
    </row>
    <row r="1587" spans="9:12">
      <c r="I1587" t="str">
        <f>IF(OR($A1587="",$B1587=""),"",IF(COUNTIFS($A$2:$A1587,$A1587,$B$2:$B1587,$B1587)=1,1,0))</f>
        <v/>
      </c>
      <c r="J1587" t="str">
        <f t="shared" si="24"/>
        <v/>
      </c>
      <c r="L1587" t="str">
        <f>IF('01_Warehouse_Ledger'!$A1587="","",'01_Warehouse_Ledger'!$A1587)</f>
        <v/>
      </c>
    </row>
    <row r="1588" spans="9:12">
      <c r="I1588" t="str">
        <f>IF(OR($A1588="",$B1588=""),"",IF(COUNTIFS($A$2:$A1588,$A1588,$B$2:$B1588,$B1588)=1,1,0))</f>
        <v/>
      </c>
      <c r="J1588" t="str">
        <f t="shared" si="24"/>
        <v/>
      </c>
      <c r="L1588" t="str">
        <f>IF('01_Warehouse_Ledger'!$A1588="","",'01_Warehouse_Ledger'!$A1588)</f>
        <v/>
      </c>
    </row>
    <row r="1589" spans="9:12">
      <c r="I1589" t="str">
        <f>IF(OR($A1589="",$B1589=""),"",IF(COUNTIFS($A$2:$A1589,$A1589,$B$2:$B1589,$B1589)=1,1,0))</f>
        <v/>
      </c>
      <c r="J1589" t="str">
        <f t="shared" si="24"/>
        <v/>
      </c>
      <c r="L1589" t="str">
        <f>IF('01_Warehouse_Ledger'!$A1589="","",'01_Warehouse_Ledger'!$A1589)</f>
        <v/>
      </c>
    </row>
    <row r="1590" spans="9:12">
      <c r="I1590" t="str">
        <f>IF(OR($A1590="",$B1590=""),"",IF(COUNTIFS($A$2:$A1590,$A1590,$B$2:$B1590,$B1590)=1,1,0))</f>
        <v/>
      </c>
      <c r="J1590" t="str">
        <f t="shared" si="24"/>
        <v/>
      </c>
      <c r="L1590" t="str">
        <f>IF('01_Warehouse_Ledger'!$A1590="","",'01_Warehouse_Ledger'!$A1590)</f>
        <v/>
      </c>
    </row>
    <row r="1591" spans="9:12">
      <c r="I1591" t="str">
        <f>IF(OR($A1591="",$B1591=""),"",IF(COUNTIFS($A$2:$A1591,$A1591,$B$2:$B1591,$B1591)=1,1,0))</f>
        <v/>
      </c>
      <c r="J1591" t="str">
        <f t="shared" si="24"/>
        <v/>
      </c>
      <c r="L1591" t="str">
        <f>IF('01_Warehouse_Ledger'!$A1591="","",'01_Warehouse_Ledger'!$A1591)</f>
        <v/>
      </c>
    </row>
    <row r="1592" spans="9:12">
      <c r="I1592" t="str">
        <f>IF(OR($A1592="",$B1592=""),"",IF(COUNTIFS($A$2:$A1592,$A1592,$B$2:$B1592,$B1592)=1,1,0))</f>
        <v/>
      </c>
      <c r="J1592" t="str">
        <f t="shared" si="24"/>
        <v/>
      </c>
      <c r="L1592" t="str">
        <f>IF('01_Warehouse_Ledger'!$A1592="","",'01_Warehouse_Ledger'!$A1592)</f>
        <v/>
      </c>
    </row>
    <row r="1593" spans="9:12">
      <c r="I1593" t="str">
        <f>IF(OR($A1593="",$B1593=""),"",IF(COUNTIFS($A$2:$A1593,$A1593,$B$2:$B1593,$B1593)=1,1,0))</f>
        <v/>
      </c>
      <c r="J1593" t="str">
        <f t="shared" si="24"/>
        <v/>
      </c>
      <c r="L1593" t="str">
        <f>IF('01_Warehouse_Ledger'!$A1593="","",'01_Warehouse_Ledger'!$A1593)</f>
        <v/>
      </c>
    </row>
    <row r="1594" spans="9:12">
      <c r="I1594" t="str">
        <f>IF(OR($A1594="",$B1594=""),"",IF(COUNTIFS($A$2:$A1594,$A1594,$B$2:$B1594,$B1594)=1,1,0))</f>
        <v/>
      </c>
      <c r="J1594" t="str">
        <f t="shared" si="24"/>
        <v/>
      </c>
      <c r="L1594" t="str">
        <f>IF('01_Warehouse_Ledger'!$A1594="","",'01_Warehouse_Ledger'!$A1594)</f>
        <v/>
      </c>
    </row>
    <row r="1595" spans="9:12">
      <c r="I1595" t="str">
        <f>IF(OR($A1595="",$B1595=""),"",IF(COUNTIFS($A$2:$A1595,$A1595,$B$2:$B1595,$B1595)=1,1,0))</f>
        <v/>
      </c>
      <c r="J1595" t="str">
        <f t="shared" si="24"/>
        <v/>
      </c>
      <c r="L1595" t="str">
        <f>IF('01_Warehouse_Ledger'!$A1595="","",'01_Warehouse_Ledger'!$A1595)</f>
        <v/>
      </c>
    </row>
    <row r="1596" spans="9:12">
      <c r="I1596" t="str">
        <f>IF(OR($A1596="",$B1596=""),"",IF(COUNTIFS($A$2:$A1596,$A1596,$B$2:$B1596,$B1596)=1,1,0))</f>
        <v/>
      </c>
      <c r="J1596" t="str">
        <f t="shared" si="24"/>
        <v/>
      </c>
      <c r="L1596" t="str">
        <f>IF('01_Warehouse_Ledger'!$A1596="","",'01_Warehouse_Ledger'!$A1596)</f>
        <v/>
      </c>
    </row>
    <row r="1597" spans="9:12">
      <c r="I1597" t="str">
        <f>IF(OR($A1597="",$B1597=""),"",IF(COUNTIFS($A$2:$A1597,$A1597,$B$2:$B1597,$B1597)=1,1,0))</f>
        <v/>
      </c>
      <c r="J1597" t="str">
        <f t="shared" si="24"/>
        <v/>
      </c>
      <c r="L1597" t="str">
        <f>IF('01_Warehouse_Ledger'!$A1597="","",'01_Warehouse_Ledger'!$A1597)</f>
        <v/>
      </c>
    </row>
    <row r="1598" spans="9:12">
      <c r="I1598" t="str">
        <f>IF(OR($A1598="",$B1598=""),"",IF(COUNTIFS($A$2:$A1598,$A1598,$B$2:$B1598,$B1598)=1,1,0))</f>
        <v/>
      </c>
      <c r="J1598" t="str">
        <f t="shared" si="24"/>
        <v/>
      </c>
      <c r="L1598" t="str">
        <f>IF('01_Warehouse_Ledger'!$A1598="","",'01_Warehouse_Ledger'!$A1598)</f>
        <v/>
      </c>
    </row>
    <row r="1599" spans="9:12">
      <c r="I1599" t="str">
        <f>IF(OR($A1599="",$B1599=""),"",IF(COUNTIFS($A$2:$A1599,$A1599,$B$2:$B1599,$B1599)=1,1,0))</f>
        <v/>
      </c>
      <c r="J1599" t="str">
        <f t="shared" si="24"/>
        <v/>
      </c>
      <c r="L1599" t="str">
        <f>IF('01_Warehouse_Ledger'!$A1599="","",'01_Warehouse_Ledger'!$A1599)</f>
        <v/>
      </c>
    </row>
    <row r="1600" spans="9:12">
      <c r="I1600" t="str">
        <f>IF(OR($A1600="",$B1600=""),"",IF(COUNTIFS($A$2:$A1600,$A1600,$B$2:$B1600,$B1600)=1,1,0))</f>
        <v/>
      </c>
      <c r="J1600" t="str">
        <f t="shared" si="24"/>
        <v/>
      </c>
      <c r="L1600" t="str">
        <f>IF('01_Warehouse_Ledger'!$A1600="","",'01_Warehouse_Ledger'!$A1600)</f>
        <v/>
      </c>
    </row>
    <row r="1601" spans="9:12">
      <c r="I1601" t="str">
        <f>IF(OR($A1601="",$B1601=""),"",IF(COUNTIFS($A$2:$A1601,$A1601,$B$2:$B1601,$B1601)=1,1,0))</f>
        <v/>
      </c>
      <c r="J1601" t="str">
        <f t="shared" si="24"/>
        <v/>
      </c>
      <c r="L1601" t="str">
        <f>IF('01_Warehouse_Ledger'!$A1601="","",'01_Warehouse_Ledger'!$A1601)</f>
        <v/>
      </c>
    </row>
    <row r="1602" spans="9:12">
      <c r="I1602" t="str">
        <f>IF(OR($A1602="",$B1602=""),"",IF(COUNTIFS($A$2:$A1602,$A1602,$B$2:$B1602,$B1602)=1,1,0))</f>
        <v/>
      </c>
      <c r="J1602" t="str">
        <f t="shared" ref="J1602:J1665" si="25">IF($A1602="","",ROW())</f>
        <v/>
      </c>
      <c r="L1602" t="str">
        <f>IF('01_Warehouse_Ledger'!$A1602="","",'01_Warehouse_Ledger'!$A1602)</f>
        <v/>
      </c>
    </row>
    <row r="1603" spans="9:12">
      <c r="I1603" t="str">
        <f>IF(OR($A1603="",$B1603=""),"",IF(COUNTIFS($A$2:$A1603,$A1603,$B$2:$B1603,$B1603)=1,1,0))</f>
        <v/>
      </c>
      <c r="J1603" t="str">
        <f t="shared" si="25"/>
        <v/>
      </c>
      <c r="L1603" t="str">
        <f>IF('01_Warehouse_Ledger'!$A1603="","",'01_Warehouse_Ledger'!$A1603)</f>
        <v/>
      </c>
    </row>
    <row r="1604" spans="9:12">
      <c r="I1604" t="str">
        <f>IF(OR($A1604="",$B1604=""),"",IF(COUNTIFS($A$2:$A1604,$A1604,$B$2:$B1604,$B1604)=1,1,0))</f>
        <v/>
      </c>
      <c r="J1604" t="str">
        <f t="shared" si="25"/>
        <v/>
      </c>
      <c r="L1604" t="str">
        <f>IF('01_Warehouse_Ledger'!$A1604="","",'01_Warehouse_Ledger'!$A1604)</f>
        <v/>
      </c>
    </row>
    <row r="1605" spans="9:12">
      <c r="I1605" t="str">
        <f>IF(OR($A1605="",$B1605=""),"",IF(COUNTIFS($A$2:$A1605,$A1605,$B$2:$B1605,$B1605)=1,1,0))</f>
        <v/>
      </c>
      <c r="J1605" t="str">
        <f t="shared" si="25"/>
        <v/>
      </c>
      <c r="L1605" t="str">
        <f>IF('01_Warehouse_Ledger'!$A1605="","",'01_Warehouse_Ledger'!$A1605)</f>
        <v/>
      </c>
    </row>
    <row r="1606" spans="9:12">
      <c r="I1606" t="str">
        <f>IF(OR($A1606="",$B1606=""),"",IF(COUNTIFS($A$2:$A1606,$A1606,$B$2:$B1606,$B1606)=1,1,0))</f>
        <v/>
      </c>
      <c r="J1606" t="str">
        <f t="shared" si="25"/>
        <v/>
      </c>
      <c r="L1606" t="str">
        <f>IF('01_Warehouse_Ledger'!$A1606="","",'01_Warehouse_Ledger'!$A1606)</f>
        <v/>
      </c>
    </row>
    <row r="1607" spans="9:12">
      <c r="I1607" t="str">
        <f>IF(OR($A1607="",$B1607=""),"",IF(COUNTIFS($A$2:$A1607,$A1607,$B$2:$B1607,$B1607)=1,1,0))</f>
        <v/>
      </c>
      <c r="J1607" t="str">
        <f t="shared" si="25"/>
        <v/>
      </c>
      <c r="L1607" t="str">
        <f>IF('01_Warehouse_Ledger'!$A1607="","",'01_Warehouse_Ledger'!$A1607)</f>
        <v/>
      </c>
    </row>
    <row r="1608" spans="9:12">
      <c r="I1608" t="str">
        <f>IF(OR($A1608="",$B1608=""),"",IF(COUNTIFS($A$2:$A1608,$A1608,$B$2:$B1608,$B1608)=1,1,0))</f>
        <v/>
      </c>
      <c r="J1608" t="str">
        <f t="shared" si="25"/>
        <v/>
      </c>
      <c r="L1608" t="str">
        <f>IF('01_Warehouse_Ledger'!$A1608="","",'01_Warehouse_Ledger'!$A1608)</f>
        <v/>
      </c>
    </row>
    <row r="1609" spans="9:12">
      <c r="I1609" t="str">
        <f>IF(OR($A1609="",$B1609=""),"",IF(COUNTIFS($A$2:$A1609,$A1609,$B$2:$B1609,$B1609)=1,1,0))</f>
        <v/>
      </c>
      <c r="J1609" t="str">
        <f t="shared" si="25"/>
        <v/>
      </c>
      <c r="L1609" t="str">
        <f>IF('01_Warehouse_Ledger'!$A1609="","",'01_Warehouse_Ledger'!$A1609)</f>
        <v/>
      </c>
    </row>
    <row r="1610" spans="9:12">
      <c r="I1610" t="str">
        <f>IF(OR($A1610="",$B1610=""),"",IF(COUNTIFS($A$2:$A1610,$A1610,$B$2:$B1610,$B1610)=1,1,0))</f>
        <v/>
      </c>
      <c r="J1610" t="str">
        <f t="shared" si="25"/>
        <v/>
      </c>
      <c r="L1610" t="str">
        <f>IF('01_Warehouse_Ledger'!$A1610="","",'01_Warehouse_Ledger'!$A1610)</f>
        <v/>
      </c>
    </row>
    <row r="1611" spans="9:12">
      <c r="I1611" t="str">
        <f>IF(OR($A1611="",$B1611=""),"",IF(COUNTIFS($A$2:$A1611,$A1611,$B$2:$B1611,$B1611)=1,1,0))</f>
        <v/>
      </c>
      <c r="J1611" t="str">
        <f t="shared" si="25"/>
        <v/>
      </c>
      <c r="L1611" t="str">
        <f>IF('01_Warehouse_Ledger'!$A1611="","",'01_Warehouse_Ledger'!$A1611)</f>
        <v/>
      </c>
    </row>
    <row r="1612" spans="9:12">
      <c r="I1612" t="str">
        <f>IF(OR($A1612="",$B1612=""),"",IF(COUNTIFS($A$2:$A1612,$A1612,$B$2:$B1612,$B1612)=1,1,0))</f>
        <v/>
      </c>
      <c r="J1612" t="str">
        <f t="shared" si="25"/>
        <v/>
      </c>
      <c r="L1612" t="str">
        <f>IF('01_Warehouse_Ledger'!$A1612="","",'01_Warehouse_Ledger'!$A1612)</f>
        <v/>
      </c>
    </row>
    <row r="1613" spans="9:12">
      <c r="I1613" t="str">
        <f>IF(OR($A1613="",$B1613=""),"",IF(COUNTIFS($A$2:$A1613,$A1613,$B$2:$B1613,$B1613)=1,1,0))</f>
        <v/>
      </c>
      <c r="J1613" t="str">
        <f t="shared" si="25"/>
        <v/>
      </c>
      <c r="L1613" t="str">
        <f>IF('01_Warehouse_Ledger'!$A1613="","",'01_Warehouse_Ledger'!$A1613)</f>
        <v/>
      </c>
    </row>
    <row r="1614" spans="9:12">
      <c r="I1614" t="str">
        <f>IF(OR($A1614="",$B1614=""),"",IF(COUNTIFS($A$2:$A1614,$A1614,$B$2:$B1614,$B1614)=1,1,0))</f>
        <v/>
      </c>
      <c r="J1614" t="str">
        <f t="shared" si="25"/>
        <v/>
      </c>
      <c r="L1614" t="str">
        <f>IF('01_Warehouse_Ledger'!$A1614="","",'01_Warehouse_Ledger'!$A1614)</f>
        <v/>
      </c>
    </row>
    <row r="1615" spans="9:12">
      <c r="I1615" t="str">
        <f>IF(OR($A1615="",$B1615=""),"",IF(COUNTIFS($A$2:$A1615,$A1615,$B$2:$B1615,$B1615)=1,1,0))</f>
        <v/>
      </c>
      <c r="J1615" t="str">
        <f t="shared" si="25"/>
        <v/>
      </c>
      <c r="L1615" t="str">
        <f>IF('01_Warehouse_Ledger'!$A1615="","",'01_Warehouse_Ledger'!$A1615)</f>
        <v/>
      </c>
    </row>
    <row r="1616" spans="9:12">
      <c r="I1616" t="str">
        <f>IF(OR($A1616="",$B1616=""),"",IF(COUNTIFS($A$2:$A1616,$A1616,$B$2:$B1616,$B1616)=1,1,0))</f>
        <v/>
      </c>
      <c r="J1616" t="str">
        <f t="shared" si="25"/>
        <v/>
      </c>
      <c r="L1616" t="str">
        <f>IF('01_Warehouse_Ledger'!$A1616="","",'01_Warehouse_Ledger'!$A1616)</f>
        <v/>
      </c>
    </row>
    <row r="1617" spans="9:12">
      <c r="I1617" t="str">
        <f>IF(OR($A1617="",$B1617=""),"",IF(COUNTIFS($A$2:$A1617,$A1617,$B$2:$B1617,$B1617)=1,1,0))</f>
        <v/>
      </c>
      <c r="J1617" t="str">
        <f t="shared" si="25"/>
        <v/>
      </c>
      <c r="L1617" t="str">
        <f>IF('01_Warehouse_Ledger'!$A1617="","",'01_Warehouse_Ledger'!$A1617)</f>
        <v/>
      </c>
    </row>
    <row r="1618" spans="9:12">
      <c r="I1618" t="str">
        <f>IF(OR($A1618="",$B1618=""),"",IF(COUNTIFS($A$2:$A1618,$A1618,$B$2:$B1618,$B1618)=1,1,0))</f>
        <v/>
      </c>
      <c r="J1618" t="str">
        <f t="shared" si="25"/>
        <v/>
      </c>
      <c r="L1618" t="str">
        <f>IF('01_Warehouse_Ledger'!$A1618="","",'01_Warehouse_Ledger'!$A1618)</f>
        <v/>
      </c>
    </row>
    <row r="1619" spans="9:12">
      <c r="I1619" t="str">
        <f>IF(OR($A1619="",$B1619=""),"",IF(COUNTIFS($A$2:$A1619,$A1619,$B$2:$B1619,$B1619)=1,1,0))</f>
        <v/>
      </c>
      <c r="J1619" t="str">
        <f t="shared" si="25"/>
        <v/>
      </c>
      <c r="L1619" t="str">
        <f>IF('01_Warehouse_Ledger'!$A1619="","",'01_Warehouse_Ledger'!$A1619)</f>
        <v/>
      </c>
    </row>
    <row r="1620" spans="9:12">
      <c r="I1620" t="str">
        <f>IF(OR($A1620="",$B1620=""),"",IF(COUNTIFS($A$2:$A1620,$A1620,$B$2:$B1620,$B1620)=1,1,0))</f>
        <v/>
      </c>
      <c r="J1620" t="str">
        <f t="shared" si="25"/>
        <v/>
      </c>
      <c r="L1620" t="str">
        <f>IF('01_Warehouse_Ledger'!$A1620="","",'01_Warehouse_Ledger'!$A1620)</f>
        <v/>
      </c>
    </row>
    <row r="1621" spans="9:12">
      <c r="I1621" t="str">
        <f>IF(OR($A1621="",$B1621=""),"",IF(COUNTIFS($A$2:$A1621,$A1621,$B$2:$B1621,$B1621)=1,1,0))</f>
        <v/>
      </c>
      <c r="J1621" t="str">
        <f t="shared" si="25"/>
        <v/>
      </c>
      <c r="L1621" t="str">
        <f>IF('01_Warehouse_Ledger'!$A1621="","",'01_Warehouse_Ledger'!$A1621)</f>
        <v/>
      </c>
    </row>
    <row r="1622" spans="9:12">
      <c r="I1622" t="str">
        <f>IF(OR($A1622="",$B1622=""),"",IF(COUNTIFS($A$2:$A1622,$A1622,$B$2:$B1622,$B1622)=1,1,0))</f>
        <v/>
      </c>
      <c r="J1622" t="str">
        <f t="shared" si="25"/>
        <v/>
      </c>
      <c r="L1622" t="str">
        <f>IF('01_Warehouse_Ledger'!$A1622="","",'01_Warehouse_Ledger'!$A1622)</f>
        <v/>
      </c>
    </row>
    <row r="1623" spans="9:12">
      <c r="I1623" t="str">
        <f>IF(OR($A1623="",$B1623=""),"",IF(COUNTIFS($A$2:$A1623,$A1623,$B$2:$B1623,$B1623)=1,1,0))</f>
        <v/>
      </c>
      <c r="J1623" t="str">
        <f t="shared" si="25"/>
        <v/>
      </c>
      <c r="L1623" t="str">
        <f>IF('01_Warehouse_Ledger'!$A1623="","",'01_Warehouse_Ledger'!$A1623)</f>
        <v/>
      </c>
    </row>
    <row r="1624" spans="9:12">
      <c r="I1624" t="str">
        <f>IF(OR($A1624="",$B1624=""),"",IF(COUNTIFS($A$2:$A1624,$A1624,$B$2:$B1624,$B1624)=1,1,0))</f>
        <v/>
      </c>
      <c r="J1624" t="str">
        <f t="shared" si="25"/>
        <v/>
      </c>
      <c r="L1624" t="str">
        <f>IF('01_Warehouse_Ledger'!$A1624="","",'01_Warehouse_Ledger'!$A1624)</f>
        <v/>
      </c>
    </row>
    <row r="1625" spans="9:12">
      <c r="I1625" t="str">
        <f>IF(OR($A1625="",$B1625=""),"",IF(COUNTIFS($A$2:$A1625,$A1625,$B$2:$B1625,$B1625)=1,1,0))</f>
        <v/>
      </c>
      <c r="J1625" t="str">
        <f t="shared" si="25"/>
        <v/>
      </c>
      <c r="L1625" t="str">
        <f>IF('01_Warehouse_Ledger'!$A1625="","",'01_Warehouse_Ledger'!$A1625)</f>
        <v/>
      </c>
    </row>
    <row r="1626" spans="9:12">
      <c r="I1626" t="str">
        <f>IF(OR($A1626="",$B1626=""),"",IF(COUNTIFS($A$2:$A1626,$A1626,$B$2:$B1626,$B1626)=1,1,0))</f>
        <v/>
      </c>
      <c r="J1626" t="str">
        <f t="shared" si="25"/>
        <v/>
      </c>
      <c r="L1626" t="str">
        <f>IF('01_Warehouse_Ledger'!$A1626="","",'01_Warehouse_Ledger'!$A1626)</f>
        <v/>
      </c>
    </row>
    <row r="1627" spans="9:12">
      <c r="I1627" t="str">
        <f>IF(OR($A1627="",$B1627=""),"",IF(COUNTIFS($A$2:$A1627,$A1627,$B$2:$B1627,$B1627)=1,1,0))</f>
        <v/>
      </c>
      <c r="J1627" t="str">
        <f t="shared" si="25"/>
        <v/>
      </c>
      <c r="L1627" t="str">
        <f>IF('01_Warehouse_Ledger'!$A1627="","",'01_Warehouse_Ledger'!$A1627)</f>
        <v/>
      </c>
    </row>
    <row r="1628" spans="9:12">
      <c r="I1628" t="str">
        <f>IF(OR($A1628="",$B1628=""),"",IF(COUNTIFS($A$2:$A1628,$A1628,$B$2:$B1628,$B1628)=1,1,0))</f>
        <v/>
      </c>
      <c r="J1628" t="str">
        <f t="shared" si="25"/>
        <v/>
      </c>
      <c r="L1628" t="str">
        <f>IF('01_Warehouse_Ledger'!$A1628="","",'01_Warehouse_Ledger'!$A1628)</f>
        <v/>
      </c>
    </row>
    <row r="1629" spans="9:12">
      <c r="I1629" t="str">
        <f>IF(OR($A1629="",$B1629=""),"",IF(COUNTIFS($A$2:$A1629,$A1629,$B$2:$B1629,$B1629)=1,1,0))</f>
        <v/>
      </c>
      <c r="J1629" t="str">
        <f t="shared" si="25"/>
        <v/>
      </c>
      <c r="L1629" t="str">
        <f>IF('01_Warehouse_Ledger'!$A1629="","",'01_Warehouse_Ledger'!$A1629)</f>
        <v/>
      </c>
    </row>
    <row r="1630" spans="9:12">
      <c r="I1630" t="str">
        <f>IF(OR($A1630="",$B1630=""),"",IF(COUNTIFS($A$2:$A1630,$A1630,$B$2:$B1630,$B1630)=1,1,0))</f>
        <v/>
      </c>
      <c r="J1630" t="str">
        <f t="shared" si="25"/>
        <v/>
      </c>
      <c r="L1630" t="str">
        <f>IF('01_Warehouse_Ledger'!$A1630="","",'01_Warehouse_Ledger'!$A1630)</f>
        <v/>
      </c>
    </row>
    <row r="1631" spans="9:12">
      <c r="I1631" t="str">
        <f>IF(OR($A1631="",$B1631=""),"",IF(COUNTIFS($A$2:$A1631,$A1631,$B$2:$B1631,$B1631)=1,1,0))</f>
        <v/>
      </c>
      <c r="J1631" t="str">
        <f t="shared" si="25"/>
        <v/>
      </c>
      <c r="L1631" t="str">
        <f>IF('01_Warehouse_Ledger'!$A1631="","",'01_Warehouse_Ledger'!$A1631)</f>
        <v/>
      </c>
    </row>
    <row r="1632" spans="9:12">
      <c r="I1632" t="str">
        <f>IF(OR($A1632="",$B1632=""),"",IF(COUNTIFS($A$2:$A1632,$A1632,$B$2:$B1632,$B1632)=1,1,0))</f>
        <v/>
      </c>
      <c r="J1632" t="str">
        <f t="shared" si="25"/>
        <v/>
      </c>
      <c r="L1632" t="str">
        <f>IF('01_Warehouse_Ledger'!$A1632="","",'01_Warehouse_Ledger'!$A1632)</f>
        <v/>
      </c>
    </row>
    <row r="1633" spans="9:12">
      <c r="I1633" t="str">
        <f>IF(OR($A1633="",$B1633=""),"",IF(COUNTIFS($A$2:$A1633,$A1633,$B$2:$B1633,$B1633)=1,1,0))</f>
        <v/>
      </c>
      <c r="J1633" t="str">
        <f t="shared" si="25"/>
        <v/>
      </c>
      <c r="L1633" t="str">
        <f>IF('01_Warehouse_Ledger'!$A1633="","",'01_Warehouse_Ledger'!$A1633)</f>
        <v/>
      </c>
    </row>
    <row r="1634" spans="9:12">
      <c r="I1634" t="str">
        <f>IF(OR($A1634="",$B1634=""),"",IF(COUNTIFS($A$2:$A1634,$A1634,$B$2:$B1634,$B1634)=1,1,0))</f>
        <v/>
      </c>
      <c r="J1634" t="str">
        <f t="shared" si="25"/>
        <v/>
      </c>
      <c r="L1634" t="str">
        <f>IF('01_Warehouse_Ledger'!$A1634="","",'01_Warehouse_Ledger'!$A1634)</f>
        <v/>
      </c>
    </row>
    <row r="1635" spans="9:12">
      <c r="I1635" t="str">
        <f>IF(OR($A1635="",$B1635=""),"",IF(COUNTIFS($A$2:$A1635,$A1635,$B$2:$B1635,$B1635)=1,1,0))</f>
        <v/>
      </c>
      <c r="J1635" t="str">
        <f t="shared" si="25"/>
        <v/>
      </c>
      <c r="L1635" t="str">
        <f>IF('01_Warehouse_Ledger'!$A1635="","",'01_Warehouse_Ledger'!$A1635)</f>
        <v/>
      </c>
    </row>
    <row r="1636" spans="9:12">
      <c r="I1636" t="str">
        <f>IF(OR($A1636="",$B1636=""),"",IF(COUNTIFS($A$2:$A1636,$A1636,$B$2:$B1636,$B1636)=1,1,0))</f>
        <v/>
      </c>
      <c r="J1636" t="str">
        <f t="shared" si="25"/>
        <v/>
      </c>
      <c r="L1636" t="str">
        <f>IF('01_Warehouse_Ledger'!$A1636="","",'01_Warehouse_Ledger'!$A1636)</f>
        <v/>
      </c>
    </row>
    <row r="1637" spans="9:12">
      <c r="I1637" t="str">
        <f>IF(OR($A1637="",$B1637=""),"",IF(COUNTIFS($A$2:$A1637,$A1637,$B$2:$B1637,$B1637)=1,1,0))</f>
        <v/>
      </c>
      <c r="J1637" t="str">
        <f t="shared" si="25"/>
        <v/>
      </c>
      <c r="L1637" t="str">
        <f>IF('01_Warehouse_Ledger'!$A1637="","",'01_Warehouse_Ledger'!$A1637)</f>
        <v/>
      </c>
    </row>
    <row r="1638" spans="9:12">
      <c r="I1638" t="str">
        <f>IF(OR($A1638="",$B1638=""),"",IF(COUNTIFS($A$2:$A1638,$A1638,$B$2:$B1638,$B1638)=1,1,0))</f>
        <v/>
      </c>
      <c r="J1638" t="str">
        <f t="shared" si="25"/>
        <v/>
      </c>
      <c r="L1638" t="str">
        <f>IF('01_Warehouse_Ledger'!$A1638="","",'01_Warehouse_Ledger'!$A1638)</f>
        <v/>
      </c>
    </row>
    <row r="1639" spans="9:12">
      <c r="I1639" t="str">
        <f>IF(OR($A1639="",$B1639=""),"",IF(COUNTIFS($A$2:$A1639,$A1639,$B$2:$B1639,$B1639)=1,1,0))</f>
        <v/>
      </c>
      <c r="J1639" t="str">
        <f t="shared" si="25"/>
        <v/>
      </c>
      <c r="L1639" t="str">
        <f>IF('01_Warehouse_Ledger'!$A1639="","",'01_Warehouse_Ledger'!$A1639)</f>
        <v/>
      </c>
    </row>
    <row r="1640" spans="9:12">
      <c r="I1640" t="str">
        <f>IF(OR($A1640="",$B1640=""),"",IF(COUNTIFS($A$2:$A1640,$A1640,$B$2:$B1640,$B1640)=1,1,0))</f>
        <v/>
      </c>
      <c r="J1640" t="str">
        <f t="shared" si="25"/>
        <v/>
      </c>
      <c r="L1640" t="str">
        <f>IF('01_Warehouse_Ledger'!$A1640="","",'01_Warehouse_Ledger'!$A1640)</f>
        <v/>
      </c>
    </row>
    <row r="1641" spans="9:12">
      <c r="I1641" t="str">
        <f>IF(OR($A1641="",$B1641=""),"",IF(COUNTIFS($A$2:$A1641,$A1641,$B$2:$B1641,$B1641)=1,1,0))</f>
        <v/>
      </c>
      <c r="J1641" t="str">
        <f t="shared" si="25"/>
        <v/>
      </c>
      <c r="L1641" t="str">
        <f>IF('01_Warehouse_Ledger'!$A1641="","",'01_Warehouse_Ledger'!$A1641)</f>
        <v/>
      </c>
    </row>
    <row r="1642" spans="9:12">
      <c r="I1642" t="str">
        <f>IF(OR($A1642="",$B1642=""),"",IF(COUNTIFS($A$2:$A1642,$A1642,$B$2:$B1642,$B1642)=1,1,0))</f>
        <v/>
      </c>
      <c r="J1642" t="str">
        <f t="shared" si="25"/>
        <v/>
      </c>
      <c r="L1642" t="str">
        <f>IF('01_Warehouse_Ledger'!$A1642="","",'01_Warehouse_Ledger'!$A1642)</f>
        <v/>
      </c>
    </row>
    <row r="1643" spans="9:12">
      <c r="I1643" t="str">
        <f>IF(OR($A1643="",$B1643=""),"",IF(COUNTIFS($A$2:$A1643,$A1643,$B$2:$B1643,$B1643)=1,1,0))</f>
        <v/>
      </c>
      <c r="J1643" t="str">
        <f t="shared" si="25"/>
        <v/>
      </c>
      <c r="L1643" t="str">
        <f>IF('01_Warehouse_Ledger'!$A1643="","",'01_Warehouse_Ledger'!$A1643)</f>
        <v/>
      </c>
    </row>
    <row r="1644" spans="9:12">
      <c r="I1644" t="str">
        <f>IF(OR($A1644="",$B1644=""),"",IF(COUNTIFS($A$2:$A1644,$A1644,$B$2:$B1644,$B1644)=1,1,0))</f>
        <v/>
      </c>
      <c r="J1644" t="str">
        <f t="shared" si="25"/>
        <v/>
      </c>
      <c r="L1644" t="str">
        <f>IF('01_Warehouse_Ledger'!$A1644="","",'01_Warehouse_Ledger'!$A1644)</f>
        <v/>
      </c>
    </row>
    <row r="1645" spans="9:12">
      <c r="I1645" t="str">
        <f>IF(OR($A1645="",$B1645=""),"",IF(COUNTIFS($A$2:$A1645,$A1645,$B$2:$B1645,$B1645)=1,1,0))</f>
        <v/>
      </c>
      <c r="J1645" t="str">
        <f t="shared" si="25"/>
        <v/>
      </c>
      <c r="L1645" t="str">
        <f>IF('01_Warehouse_Ledger'!$A1645="","",'01_Warehouse_Ledger'!$A1645)</f>
        <v/>
      </c>
    </row>
    <row r="1646" spans="9:12">
      <c r="I1646" t="str">
        <f>IF(OR($A1646="",$B1646=""),"",IF(COUNTIFS($A$2:$A1646,$A1646,$B$2:$B1646,$B1646)=1,1,0))</f>
        <v/>
      </c>
      <c r="J1646" t="str">
        <f t="shared" si="25"/>
        <v/>
      </c>
      <c r="L1646" t="str">
        <f>IF('01_Warehouse_Ledger'!$A1646="","",'01_Warehouse_Ledger'!$A1646)</f>
        <v/>
      </c>
    </row>
    <row r="1647" spans="9:12">
      <c r="I1647" t="str">
        <f>IF(OR($A1647="",$B1647=""),"",IF(COUNTIFS($A$2:$A1647,$A1647,$B$2:$B1647,$B1647)=1,1,0))</f>
        <v/>
      </c>
      <c r="J1647" t="str">
        <f t="shared" si="25"/>
        <v/>
      </c>
      <c r="L1647" t="str">
        <f>IF('01_Warehouse_Ledger'!$A1647="","",'01_Warehouse_Ledger'!$A1647)</f>
        <v/>
      </c>
    </row>
    <row r="1648" spans="9:12">
      <c r="I1648" t="str">
        <f>IF(OR($A1648="",$B1648=""),"",IF(COUNTIFS($A$2:$A1648,$A1648,$B$2:$B1648,$B1648)=1,1,0))</f>
        <v/>
      </c>
      <c r="J1648" t="str">
        <f t="shared" si="25"/>
        <v/>
      </c>
      <c r="L1648" t="str">
        <f>IF('01_Warehouse_Ledger'!$A1648="","",'01_Warehouse_Ledger'!$A1648)</f>
        <v/>
      </c>
    </row>
    <row r="1649" spans="9:12">
      <c r="I1649" t="str">
        <f>IF(OR($A1649="",$B1649=""),"",IF(COUNTIFS($A$2:$A1649,$A1649,$B$2:$B1649,$B1649)=1,1,0))</f>
        <v/>
      </c>
      <c r="J1649" t="str">
        <f t="shared" si="25"/>
        <v/>
      </c>
      <c r="L1649" t="str">
        <f>IF('01_Warehouse_Ledger'!$A1649="","",'01_Warehouse_Ledger'!$A1649)</f>
        <v/>
      </c>
    </row>
    <row r="1650" spans="9:12">
      <c r="I1650" t="str">
        <f>IF(OR($A1650="",$B1650=""),"",IF(COUNTIFS($A$2:$A1650,$A1650,$B$2:$B1650,$B1650)=1,1,0))</f>
        <v/>
      </c>
      <c r="J1650" t="str">
        <f t="shared" si="25"/>
        <v/>
      </c>
      <c r="L1650" t="str">
        <f>IF('01_Warehouse_Ledger'!$A1650="","",'01_Warehouse_Ledger'!$A1650)</f>
        <v/>
      </c>
    </row>
    <row r="1651" spans="9:12">
      <c r="I1651" t="str">
        <f>IF(OR($A1651="",$B1651=""),"",IF(COUNTIFS($A$2:$A1651,$A1651,$B$2:$B1651,$B1651)=1,1,0))</f>
        <v/>
      </c>
      <c r="J1651" t="str">
        <f t="shared" si="25"/>
        <v/>
      </c>
      <c r="L1651" t="str">
        <f>IF('01_Warehouse_Ledger'!$A1651="","",'01_Warehouse_Ledger'!$A1651)</f>
        <v/>
      </c>
    </row>
    <row r="1652" spans="9:12">
      <c r="I1652" t="str">
        <f>IF(OR($A1652="",$B1652=""),"",IF(COUNTIFS($A$2:$A1652,$A1652,$B$2:$B1652,$B1652)=1,1,0))</f>
        <v/>
      </c>
      <c r="J1652" t="str">
        <f t="shared" si="25"/>
        <v/>
      </c>
      <c r="L1652" t="str">
        <f>IF('01_Warehouse_Ledger'!$A1652="","",'01_Warehouse_Ledger'!$A1652)</f>
        <v/>
      </c>
    </row>
    <row r="1653" spans="9:12">
      <c r="I1653" t="str">
        <f>IF(OR($A1653="",$B1653=""),"",IF(COUNTIFS($A$2:$A1653,$A1653,$B$2:$B1653,$B1653)=1,1,0))</f>
        <v/>
      </c>
      <c r="J1653" t="str">
        <f t="shared" si="25"/>
        <v/>
      </c>
      <c r="L1653" t="str">
        <f>IF('01_Warehouse_Ledger'!$A1653="","",'01_Warehouse_Ledger'!$A1653)</f>
        <v/>
      </c>
    </row>
    <row r="1654" spans="9:12">
      <c r="I1654" t="str">
        <f>IF(OR($A1654="",$B1654=""),"",IF(COUNTIFS($A$2:$A1654,$A1654,$B$2:$B1654,$B1654)=1,1,0))</f>
        <v/>
      </c>
      <c r="J1654" t="str">
        <f t="shared" si="25"/>
        <v/>
      </c>
      <c r="L1654" t="str">
        <f>IF('01_Warehouse_Ledger'!$A1654="","",'01_Warehouse_Ledger'!$A1654)</f>
        <v/>
      </c>
    </row>
    <row r="1655" spans="9:12">
      <c r="I1655" t="str">
        <f>IF(OR($A1655="",$B1655=""),"",IF(COUNTIFS($A$2:$A1655,$A1655,$B$2:$B1655,$B1655)=1,1,0))</f>
        <v/>
      </c>
      <c r="J1655" t="str">
        <f t="shared" si="25"/>
        <v/>
      </c>
      <c r="L1655" t="str">
        <f>IF('01_Warehouse_Ledger'!$A1655="","",'01_Warehouse_Ledger'!$A1655)</f>
        <v/>
      </c>
    </row>
    <row r="1656" spans="9:12">
      <c r="I1656" t="str">
        <f>IF(OR($A1656="",$B1656=""),"",IF(COUNTIFS($A$2:$A1656,$A1656,$B$2:$B1656,$B1656)=1,1,0))</f>
        <v/>
      </c>
      <c r="J1656" t="str">
        <f t="shared" si="25"/>
        <v/>
      </c>
      <c r="L1656" t="str">
        <f>IF('01_Warehouse_Ledger'!$A1656="","",'01_Warehouse_Ledger'!$A1656)</f>
        <v/>
      </c>
    </row>
    <row r="1657" spans="9:12">
      <c r="I1657" t="str">
        <f>IF(OR($A1657="",$B1657=""),"",IF(COUNTIFS($A$2:$A1657,$A1657,$B$2:$B1657,$B1657)=1,1,0))</f>
        <v/>
      </c>
      <c r="J1657" t="str">
        <f t="shared" si="25"/>
        <v/>
      </c>
      <c r="L1657" t="str">
        <f>IF('01_Warehouse_Ledger'!$A1657="","",'01_Warehouse_Ledger'!$A1657)</f>
        <v/>
      </c>
    </row>
    <row r="1658" spans="9:12">
      <c r="I1658" t="str">
        <f>IF(OR($A1658="",$B1658=""),"",IF(COUNTIFS($A$2:$A1658,$A1658,$B$2:$B1658,$B1658)=1,1,0))</f>
        <v/>
      </c>
      <c r="J1658" t="str">
        <f t="shared" si="25"/>
        <v/>
      </c>
      <c r="L1658" t="str">
        <f>IF('01_Warehouse_Ledger'!$A1658="","",'01_Warehouse_Ledger'!$A1658)</f>
        <v/>
      </c>
    </row>
    <row r="1659" spans="9:12">
      <c r="I1659" t="str">
        <f>IF(OR($A1659="",$B1659=""),"",IF(COUNTIFS($A$2:$A1659,$A1659,$B$2:$B1659,$B1659)=1,1,0))</f>
        <v/>
      </c>
      <c r="J1659" t="str">
        <f t="shared" si="25"/>
        <v/>
      </c>
      <c r="L1659" t="str">
        <f>IF('01_Warehouse_Ledger'!$A1659="","",'01_Warehouse_Ledger'!$A1659)</f>
        <v/>
      </c>
    </row>
    <row r="1660" spans="9:12">
      <c r="I1660" t="str">
        <f>IF(OR($A1660="",$B1660=""),"",IF(COUNTIFS($A$2:$A1660,$A1660,$B$2:$B1660,$B1660)=1,1,0))</f>
        <v/>
      </c>
      <c r="J1660" t="str">
        <f t="shared" si="25"/>
        <v/>
      </c>
      <c r="L1660" t="str">
        <f>IF('01_Warehouse_Ledger'!$A1660="","",'01_Warehouse_Ledger'!$A1660)</f>
        <v/>
      </c>
    </row>
    <row r="1661" spans="9:12">
      <c r="I1661" t="str">
        <f>IF(OR($A1661="",$B1661=""),"",IF(COUNTIFS($A$2:$A1661,$A1661,$B$2:$B1661,$B1661)=1,1,0))</f>
        <v/>
      </c>
      <c r="J1661" t="str">
        <f t="shared" si="25"/>
        <v/>
      </c>
      <c r="L1661" t="str">
        <f>IF('01_Warehouse_Ledger'!$A1661="","",'01_Warehouse_Ledger'!$A1661)</f>
        <v/>
      </c>
    </row>
    <row r="1662" spans="9:12">
      <c r="I1662" t="str">
        <f>IF(OR($A1662="",$B1662=""),"",IF(COUNTIFS($A$2:$A1662,$A1662,$B$2:$B1662,$B1662)=1,1,0))</f>
        <v/>
      </c>
      <c r="J1662" t="str">
        <f t="shared" si="25"/>
        <v/>
      </c>
      <c r="L1662" t="str">
        <f>IF('01_Warehouse_Ledger'!$A1662="","",'01_Warehouse_Ledger'!$A1662)</f>
        <v/>
      </c>
    </row>
    <row r="1663" spans="9:12">
      <c r="I1663" t="str">
        <f>IF(OR($A1663="",$B1663=""),"",IF(COUNTIFS($A$2:$A1663,$A1663,$B$2:$B1663,$B1663)=1,1,0))</f>
        <v/>
      </c>
      <c r="J1663" t="str">
        <f t="shared" si="25"/>
        <v/>
      </c>
      <c r="L1663" t="str">
        <f>IF('01_Warehouse_Ledger'!$A1663="","",'01_Warehouse_Ledger'!$A1663)</f>
        <v/>
      </c>
    </row>
    <row r="1664" spans="9:12">
      <c r="I1664" t="str">
        <f>IF(OR($A1664="",$B1664=""),"",IF(COUNTIFS($A$2:$A1664,$A1664,$B$2:$B1664,$B1664)=1,1,0))</f>
        <v/>
      </c>
      <c r="J1664" t="str">
        <f t="shared" si="25"/>
        <v/>
      </c>
      <c r="L1664" t="str">
        <f>IF('01_Warehouse_Ledger'!$A1664="","",'01_Warehouse_Ledger'!$A1664)</f>
        <v/>
      </c>
    </row>
    <row r="1665" spans="9:12">
      <c r="I1665" t="str">
        <f>IF(OR($A1665="",$B1665=""),"",IF(COUNTIFS($A$2:$A1665,$A1665,$B$2:$B1665,$B1665)=1,1,0))</f>
        <v/>
      </c>
      <c r="J1665" t="str">
        <f t="shared" si="25"/>
        <v/>
      </c>
      <c r="L1665" t="str">
        <f>IF('01_Warehouse_Ledger'!$A1665="","",'01_Warehouse_Ledger'!$A1665)</f>
        <v/>
      </c>
    </row>
    <row r="1666" spans="9:12">
      <c r="I1666" t="str">
        <f>IF(OR($A1666="",$B1666=""),"",IF(COUNTIFS($A$2:$A1666,$A1666,$B$2:$B1666,$B1666)=1,1,0))</f>
        <v/>
      </c>
      <c r="J1666" t="str">
        <f t="shared" ref="J1666:J1729" si="26">IF($A1666="","",ROW())</f>
        <v/>
      </c>
      <c r="L1666" t="str">
        <f>IF('01_Warehouse_Ledger'!$A1666="","",'01_Warehouse_Ledger'!$A1666)</f>
        <v/>
      </c>
    </row>
    <row r="1667" spans="9:12">
      <c r="I1667" t="str">
        <f>IF(OR($A1667="",$B1667=""),"",IF(COUNTIFS($A$2:$A1667,$A1667,$B$2:$B1667,$B1667)=1,1,0))</f>
        <v/>
      </c>
      <c r="J1667" t="str">
        <f t="shared" si="26"/>
        <v/>
      </c>
      <c r="L1667" t="str">
        <f>IF('01_Warehouse_Ledger'!$A1667="","",'01_Warehouse_Ledger'!$A1667)</f>
        <v/>
      </c>
    </row>
    <row r="1668" spans="9:12">
      <c r="I1668" t="str">
        <f>IF(OR($A1668="",$B1668=""),"",IF(COUNTIFS($A$2:$A1668,$A1668,$B$2:$B1668,$B1668)=1,1,0))</f>
        <v/>
      </c>
      <c r="J1668" t="str">
        <f t="shared" si="26"/>
        <v/>
      </c>
      <c r="L1668" t="str">
        <f>IF('01_Warehouse_Ledger'!$A1668="","",'01_Warehouse_Ledger'!$A1668)</f>
        <v/>
      </c>
    </row>
    <row r="1669" spans="9:12">
      <c r="I1669" t="str">
        <f>IF(OR($A1669="",$B1669=""),"",IF(COUNTIFS($A$2:$A1669,$A1669,$B$2:$B1669,$B1669)=1,1,0))</f>
        <v/>
      </c>
      <c r="J1669" t="str">
        <f t="shared" si="26"/>
        <v/>
      </c>
      <c r="L1669" t="str">
        <f>IF('01_Warehouse_Ledger'!$A1669="","",'01_Warehouse_Ledger'!$A1669)</f>
        <v/>
      </c>
    </row>
    <row r="1670" spans="9:12">
      <c r="I1670" t="str">
        <f>IF(OR($A1670="",$B1670=""),"",IF(COUNTIFS($A$2:$A1670,$A1670,$B$2:$B1670,$B1670)=1,1,0))</f>
        <v/>
      </c>
      <c r="J1670" t="str">
        <f t="shared" si="26"/>
        <v/>
      </c>
      <c r="L1670" t="str">
        <f>IF('01_Warehouse_Ledger'!$A1670="","",'01_Warehouse_Ledger'!$A1670)</f>
        <v/>
      </c>
    </row>
    <row r="1671" spans="9:12">
      <c r="I1671" t="str">
        <f>IF(OR($A1671="",$B1671=""),"",IF(COUNTIFS($A$2:$A1671,$A1671,$B$2:$B1671,$B1671)=1,1,0))</f>
        <v/>
      </c>
      <c r="J1671" t="str">
        <f t="shared" si="26"/>
        <v/>
      </c>
      <c r="L1671" t="str">
        <f>IF('01_Warehouse_Ledger'!$A1671="","",'01_Warehouse_Ledger'!$A1671)</f>
        <v/>
      </c>
    </row>
    <row r="1672" spans="9:12">
      <c r="I1672" t="str">
        <f>IF(OR($A1672="",$B1672=""),"",IF(COUNTIFS($A$2:$A1672,$A1672,$B$2:$B1672,$B1672)=1,1,0))</f>
        <v/>
      </c>
      <c r="J1672" t="str">
        <f t="shared" si="26"/>
        <v/>
      </c>
      <c r="L1672" t="str">
        <f>IF('01_Warehouse_Ledger'!$A1672="","",'01_Warehouse_Ledger'!$A1672)</f>
        <v/>
      </c>
    </row>
    <row r="1673" spans="9:12">
      <c r="I1673" t="str">
        <f>IF(OR($A1673="",$B1673=""),"",IF(COUNTIFS($A$2:$A1673,$A1673,$B$2:$B1673,$B1673)=1,1,0))</f>
        <v/>
      </c>
      <c r="J1673" t="str">
        <f t="shared" si="26"/>
        <v/>
      </c>
      <c r="L1673" t="str">
        <f>IF('01_Warehouse_Ledger'!$A1673="","",'01_Warehouse_Ledger'!$A1673)</f>
        <v/>
      </c>
    </row>
    <row r="1674" spans="9:12">
      <c r="I1674" t="str">
        <f>IF(OR($A1674="",$B1674=""),"",IF(COUNTIFS($A$2:$A1674,$A1674,$B$2:$B1674,$B1674)=1,1,0))</f>
        <v/>
      </c>
      <c r="J1674" t="str">
        <f t="shared" si="26"/>
        <v/>
      </c>
      <c r="L1674" t="str">
        <f>IF('01_Warehouse_Ledger'!$A1674="","",'01_Warehouse_Ledger'!$A1674)</f>
        <v/>
      </c>
    </row>
    <row r="1675" spans="9:12">
      <c r="I1675" t="str">
        <f>IF(OR($A1675="",$B1675=""),"",IF(COUNTIFS($A$2:$A1675,$A1675,$B$2:$B1675,$B1675)=1,1,0))</f>
        <v/>
      </c>
      <c r="J1675" t="str">
        <f t="shared" si="26"/>
        <v/>
      </c>
      <c r="L1675" t="str">
        <f>IF('01_Warehouse_Ledger'!$A1675="","",'01_Warehouse_Ledger'!$A1675)</f>
        <v/>
      </c>
    </row>
    <row r="1676" spans="9:12">
      <c r="I1676" t="str">
        <f>IF(OR($A1676="",$B1676=""),"",IF(COUNTIFS($A$2:$A1676,$A1676,$B$2:$B1676,$B1676)=1,1,0))</f>
        <v/>
      </c>
      <c r="J1676" t="str">
        <f t="shared" si="26"/>
        <v/>
      </c>
      <c r="L1676" t="str">
        <f>IF('01_Warehouse_Ledger'!$A1676="","",'01_Warehouse_Ledger'!$A1676)</f>
        <v/>
      </c>
    </row>
    <row r="1677" spans="9:12">
      <c r="I1677" t="str">
        <f>IF(OR($A1677="",$B1677=""),"",IF(COUNTIFS($A$2:$A1677,$A1677,$B$2:$B1677,$B1677)=1,1,0))</f>
        <v/>
      </c>
      <c r="J1677" t="str">
        <f t="shared" si="26"/>
        <v/>
      </c>
      <c r="L1677" t="str">
        <f>IF('01_Warehouse_Ledger'!$A1677="","",'01_Warehouse_Ledger'!$A1677)</f>
        <v/>
      </c>
    </row>
    <row r="1678" spans="9:12">
      <c r="I1678" t="str">
        <f>IF(OR($A1678="",$B1678=""),"",IF(COUNTIFS($A$2:$A1678,$A1678,$B$2:$B1678,$B1678)=1,1,0))</f>
        <v/>
      </c>
      <c r="J1678" t="str">
        <f t="shared" si="26"/>
        <v/>
      </c>
      <c r="L1678" t="str">
        <f>IF('01_Warehouse_Ledger'!$A1678="","",'01_Warehouse_Ledger'!$A1678)</f>
        <v/>
      </c>
    </row>
    <row r="1679" spans="9:12">
      <c r="I1679" t="str">
        <f>IF(OR($A1679="",$B1679=""),"",IF(COUNTIFS($A$2:$A1679,$A1679,$B$2:$B1679,$B1679)=1,1,0))</f>
        <v/>
      </c>
      <c r="J1679" t="str">
        <f t="shared" si="26"/>
        <v/>
      </c>
      <c r="L1679" t="str">
        <f>IF('01_Warehouse_Ledger'!$A1679="","",'01_Warehouse_Ledger'!$A1679)</f>
        <v/>
      </c>
    </row>
    <row r="1680" spans="9:12">
      <c r="I1680" t="str">
        <f>IF(OR($A1680="",$B1680=""),"",IF(COUNTIFS($A$2:$A1680,$A1680,$B$2:$B1680,$B1680)=1,1,0))</f>
        <v/>
      </c>
      <c r="J1680" t="str">
        <f t="shared" si="26"/>
        <v/>
      </c>
      <c r="L1680" t="str">
        <f>IF('01_Warehouse_Ledger'!$A1680="","",'01_Warehouse_Ledger'!$A1680)</f>
        <v/>
      </c>
    </row>
    <row r="1681" spans="9:12">
      <c r="I1681" t="str">
        <f>IF(OR($A1681="",$B1681=""),"",IF(COUNTIFS($A$2:$A1681,$A1681,$B$2:$B1681,$B1681)=1,1,0))</f>
        <v/>
      </c>
      <c r="J1681" t="str">
        <f t="shared" si="26"/>
        <v/>
      </c>
      <c r="L1681" t="str">
        <f>IF('01_Warehouse_Ledger'!$A1681="","",'01_Warehouse_Ledger'!$A1681)</f>
        <v/>
      </c>
    </row>
    <row r="1682" spans="9:12">
      <c r="I1682" t="str">
        <f>IF(OR($A1682="",$B1682=""),"",IF(COUNTIFS($A$2:$A1682,$A1682,$B$2:$B1682,$B1682)=1,1,0))</f>
        <v/>
      </c>
      <c r="J1682" t="str">
        <f t="shared" si="26"/>
        <v/>
      </c>
      <c r="L1682" t="str">
        <f>IF('01_Warehouse_Ledger'!$A1682="","",'01_Warehouse_Ledger'!$A1682)</f>
        <v/>
      </c>
    </row>
    <row r="1683" spans="9:12">
      <c r="I1683" t="str">
        <f>IF(OR($A1683="",$B1683=""),"",IF(COUNTIFS($A$2:$A1683,$A1683,$B$2:$B1683,$B1683)=1,1,0))</f>
        <v/>
      </c>
      <c r="J1683" t="str">
        <f t="shared" si="26"/>
        <v/>
      </c>
      <c r="L1683" t="str">
        <f>IF('01_Warehouse_Ledger'!$A1683="","",'01_Warehouse_Ledger'!$A1683)</f>
        <v/>
      </c>
    </row>
    <row r="1684" spans="9:12">
      <c r="I1684" t="str">
        <f>IF(OR($A1684="",$B1684=""),"",IF(COUNTIFS($A$2:$A1684,$A1684,$B$2:$B1684,$B1684)=1,1,0))</f>
        <v/>
      </c>
      <c r="J1684" t="str">
        <f t="shared" si="26"/>
        <v/>
      </c>
      <c r="L1684" t="str">
        <f>IF('01_Warehouse_Ledger'!$A1684="","",'01_Warehouse_Ledger'!$A1684)</f>
        <v/>
      </c>
    </row>
    <row r="1685" spans="9:12">
      <c r="I1685" t="str">
        <f>IF(OR($A1685="",$B1685=""),"",IF(COUNTIFS($A$2:$A1685,$A1685,$B$2:$B1685,$B1685)=1,1,0))</f>
        <v/>
      </c>
      <c r="J1685" t="str">
        <f t="shared" si="26"/>
        <v/>
      </c>
      <c r="L1685" t="str">
        <f>IF('01_Warehouse_Ledger'!$A1685="","",'01_Warehouse_Ledger'!$A1685)</f>
        <v/>
      </c>
    </row>
    <row r="1686" spans="9:12">
      <c r="I1686" t="str">
        <f>IF(OR($A1686="",$B1686=""),"",IF(COUNTIFS($A$2:$A1686,$A1686,$B$2:$B1686,$B1686)=1,1,0))</f>
        <v/>
      </c>
      <c r="J1686" t="str">
        <f t="shared" si="26"/>
        <v/>
      </c>
      <c r="L1686" t="str">
        <f>IF('01_Warehouse_Ledger'!$A1686="","",'01_Warehouse_Ledger'!$A1686)</f>
        <v/>
      </c>
    </row>
    <row r="1687" spans="9:12">
      <c r="I1687" t="str">
        <f>IF(OR($A1687="",$B1687=""),"",IF(COUNTIFS($A$2:$A1687,$A1687,$B$2:$B1687,$B1687)=1,1,0))</f>
        <v/>
      </c>
      <c r="J1687" t="str">
        <f t="shared" si="26"/>
        <v/>
      </c>
      <c r="L1687" t="str">
        <f>IF('01_Warehouse_Ledger'!$A1687="","",'01_Warehouse_Ledger'!$A1687)</f>
        <v/>
      </c>
    </row>
    <row r="1688" spans="9:12">
      <c r="I1688" t="str">
        <f>IF(OR($A1688="",$B1688=""),"",IF(COUNTIFS($A$2:$A1688,$A1688,$B$2:$B1688,$B1688)=1,1,0))</f>
        <v/>
      </c>
      <c r="J1688" t="str">
        <f t="shared" si="26"/>
        <v/>
      </c>
      <c r="L1688" t="str">
        <f>IF('01_Warehouse_Ledger'!$A1688="","",'01_Warehouse_Ledger'!$A1688)</f>
        <v/>
      </c>
    </row>
    <row r="1689" spans="9:12">
      <c r="I1689" t="str">
        <f>IF(OR($A1689="",$B1689=""),"",IF(COUNTIFS($A$2:$A1689,$A1689,$B$2:$B1689,$B1689)=1,1,0))</f>
        <v/>
      </c>
      <c r="J1689" t="str">
        <f t="shared" si="26"/>
        <v/>
      </c>
      <c r="L1689" t="str">
        <f>IF('01_Warehouse_Ledger'!$A1689="","",'01_Warehouse_Ledger'!$A1689)</f>
        <v/>
      </c>
    </row>
    <row r="1690" spans="9:12">
      <c r="I1690" t="str">
        <f>IF(OR($A1690="",$B1690=""),"",IF(COUNTIFS($A$2:$A1690,$A1690,$B$2:$B1690,$B1690)=1,1,0))</f>
        <v/>
      </c>
      <c r="J1690" t="str">
        <f t="shared" si="26"/>
        <v/>
      </c>
      <c r="L1690" t="str">
        <f>IF('01_Warehouse_Ledger'!$A1690="","",'01_Warehouse_Ledger'!$A1690)</f>
        <v/>
      </c>
    </row>
    <row r="1691" spans="9:12">
      <c r="I1691" t="str">
        <f>IF(OR($A1691="",$B1691=""),"",IF(COUNTIFS($A$2:$A1691,$A1691,$B$2:$B1691,$B1691)=1,1,0))</f>
        <v/>
      </c>
      <c r="J1691" t="str">
        <f t="shared" si="26"/>
        <v/>
      </c>
      <c r="L1691" t="str">
        <f>IF('01_Warehouse_Ledger'!$A1691="","",'01_Warehouse_Ledger'!$A1691)</f>
        <v/>
      </c>
    </row>
    <row r="1692" spans="9:12">
      <c r="I1692" t="str">
        <f>IF(OR($A1692="",$B1692=""),"",IF(COUNTIFS($A$2:$A1692,$A1692,$B$2:$B1692,$B1692)=1,1,0))</f>
        <v/>
      </c>
      <c r="J1692" t="str">
        <f t="shared" si="26"/>
        <v/>
      </c>
      <c r="L1692" t="str">
        <f>IF('01_Warehouse_Ledger'!$A1692="","",'01_Warehouse_Ledger'!$A1692)</f>
        <v/>
      </c>
    </row>
    <row r="1693" spans="9:12">
      <c r="I1693" t="str">
        <f>IF(OR($A1693="",$B1693=""),"",IF(COUNTIFS($A$2:$A1693,$A1693,$B$2:$B1693,$B1693)=1,1,0))</f>
        <v/>
      </c>
      <c r="J1693" t="str">
        <f t="shared" si="26"/>
        <v/>
      </c>
      <c r="L1693" t="str">
        <f>IF('01_Warehouse_Ledger'!$A1693="","",'01_Warehouse_Ledger'!$A1693)</f>
        <v/>
      </c>
    </row>
    <row r="1694" spans="9:12">
      <c r="I1694" t="str">
        <f>IF(OR($A1694="",$B1694=""),"",IF(COUNTIFS($A$2:$A1694,$A1694,$B$2:$B1694,$B1694)=1,1,0))</f>
        <v/>
      </c>
      <c r="J1694" t="str">
        <f t="shared" si="26"/>
        <v/>
      </c>
      <c r="L1694" t="str">
        <f>IF('01_Warehouse_Ledger'!$A1694="","",'01_Warehouse_Ledger'!$A1694)</f>
        <v/>
      </c>
    </row>
    <row r="1695" spans="9:12">
      <c r="I1695" t="str">
        <f>IF(OR($A1695="",$B1695=""),"",IF(COUNTIFS($A$2:$A1695,$A1695,$B$2:$B1695,$B1695)=1,1,0))</f>
        <v/>
      </c>
      <c r="J1695" t="str">
        <f t="shared" si="26"/>
        <v/>
      </c>
      <c r="L1695" t="str">
        <f>IF('01_Warehouse_Ledger'!$A1695="","",'01_Warehouse_Ledger'!$A1695)</f>
        <v/>
      </c>
    </row>
    <row r="1696" spans="9:12">
      <c r="I1696" t="str">
        <f>IF(OR($A1696="",$B1696=""),"",IF(COUNTIFS($A$2:$A1696,$A1696,$B$2:$B1696,$B1696)=1,1,0))</f>
        <v/>
      </c>
      <c r="J1696" t="str">
        <f t="shared" si="26"/>
        <v/>
      </c>
      <c r="L1696" t="str">
        <f>IF('01_Warehouse_Ledger'!$A1696="","",'01_Warehouse_Ledger'!$A1696)</f>
        <v/>
      </c>
    </row>
    <row r="1697" spans="9:12">
      <c r="I1697" t="str">
        <f>IF(OR($A1697="",$B1697=""),"",IF(COUNTIFS($A$2:$A1697,$A1697,$B$2:$B1697,$B1697)=1,1,0))</f>
        <v/>
      </c>
      <c r="J1697" t="str">
        <f t="shared" si="26"/>
        <v/>
      </c>
      <c r="L1697" t="str">
        <f>IF('01_Warehouse_Ledger'!$A1697="","",'01_Warehouse_Ledger'!$A1697)</f>
        <v/>
      </c>
    </row>
    <row r="1698" spans="9:12">
      <c r="I1698" t="str">
        <f>IF(OR($A1698="",$B1698=""),"",IF(COUNTIFS($A$2:$A1698,$A1698,$B$2:$B1698,$B1698)=1,1,0))</f>
        <v/>
      </c>
      <c r="J1698" t="str">
        <f t="shared" si="26"/>
        <v/>
      </c>
      <c r="L1698" t="str">
        <f>IF('01_Warehouse_Ledger'!$A1698="","",'01_Warehouse_Ledger'!$A1698)</f>
        <v/>
      </c>
    </row>
    <row r="1699" spans="9:12">
      <c r="I1699" t="str">
        <f>IF(OR($A1699="",$B1699=""),"",IF(COUNTIFS($A$2:$A1699,$A1699,$B$2:$B1699,$B1699)=1,1,0))</f>
        <v/>
      </c>
      <c r="J1699" t="str">
        <f t="shared" si="26"/>
        <v/>
      </c>
      <c r="L1699" t="str">
        <f>IF('01_Warehouse_Ledger'!$A1699="","",'01_Warehouse_Ledger'!$A1699)</f>
        <v/>
      </c>
    </row>
    <row r="1700" spans="9:12">
      <c r="I1700" t="str">
        <f>IF(OR($A1700="",$B1700=""),"",IF(COUNTIFS($A$2:$A1700,$A1700,$B$2:$B1700,$B1700)=1,1,0))</f>
        <v/>
      </c>
      <c r="J1700" t="str">
        <f t="shared" si="26"/>
        <v/>
      </c>
      <c r="L1700" t="str">
        <f>IF('01_Warehouse_Ledger'!$A1700="","",'01_Warehouse_Ledger'!$A1700)</f>
        <v/>
      </c>
    </row>
    <row r="1701" spans="9:12">
      <c r="I1701" t="str">
        <f>IF(OR($A1701="",$B1701=""),"",IF(COUNTIFS($A$2:$A1701,$A1701,$B$2:$B1701,$B1701)=1,1,0))</f>
        <v/>
      </c>
      <c r="J1701" t="str">
        <f t="shared" si="26"/>
        <v/>
      </c>
      <c r="L1701" t="str">
        <f>IF('01_Warehouse_Ledger'!$A1701="","",'01_Warehouse_Ledger'!$A1701)</f>
        <v/>
      </c>
    </row>
    <row r="1702" spans="9:12">
      <c r="I1702" t="str">
        <f>IF(OR($A1702="",$B1702=""),"",IF(COUNTIFS($A$2:$A1702,$A1702,$B$2:$B1702,$B1702)=1,1,0))</f>
        <v/>
      </c>
      <c r="J1702" t="str">
        <f t="shared" si="26"/>
        <v/>
      </c>
      <c r="L1702" t="str">
        <f>IF('01_Warehouse_Ledger'!$A1702="","",'01_Warehouse_Ledger'!$A1702)</f>
        <v/>
      </c>
    </row>
    <row r="1703" spans="9:12">
      <c r="I1703" t="str">
        <f>IF(OR($A1703="",$B1703=""),"",IF(COUNTIFS($A$2:$A1703,$A1703,$B$2:$B1703,$B1703)=1,1,0))</f>
        <v/>
      </c>
      <c r="J1703" t="str">
        <f t="shared" si="26"/>
        <v/>
      </c>
      <c r="L1703" t="str">
        <f>IF('01_Warehouse_Ledger'!$A1703="","",'01_Warehouse_Ledger'!$A1703)</f>
        <v/>
      </c>
    </row>
    <row r="1704" spans="9:12">
      <c r="I1704" t="str">
        <f>IF(OR($A1704="",$B1704=""),"",IF(COUNTIFS($A$2:$A1704,$A1704,$B$2:$B1704,$B1704)=1,1,0))</f>
        <v/>
      </c>
      <c r="J1704" t="str">
        <f t="shared" si="26"/>
        <v/>
      </c>
      <c r="L1704" t="str">
        <f>IF('01_Warehouse_Ledger'!$A1704="","",'01_Warehouse_Ledger'!$A1704)</f>
        <v/>
      </c>
    </row>
    <row r="1705" spans="9:12">
      <c r="I1705" t="str">
        <f>IF(OR($A1705="",$B1705=""),"",IF(COUNTIFS($A$2:$A1705,$A1705,$B$2:$B1705,$B1705)=1,1,0))</f>
        <v/>
      </c>
      <c r="J1705" t="str">
        <f t="shared" si="26"/>
        <v/>
      </c>
      <c r="L1705" t="str">
        <f>IF('01_Warehouse_Ledger'!$A1705="","",'01_Warehouse_Ledger'!$A1705)</f>
        <v/>
      </c>
    </row>
    <row r="1706" spans="9:12">
      <c r="I1706" t="str">
        <f>IF(OR($A1706="",$B1706=""),"",IF(COUNTIFS($A$2:$A1706,$A1706,$B$2:$B1706,$B1706)=1,1,0))</f>
        <v/>
      </c>
      <c r="J1706" t="str">
        <f t="shared" si="26"/>
        <v/>
      </c>
      <c r="L1706" t="str">
        <f>IF('01_Warehouse_Ledger'!$A1706="","",'01_Warehouse_Ledger'!$A1706)</f>
        <v/>
      </c>
    </row>
    <row r="1707" spans="9:12">
      <c r="I1707" t="str">
        <f>IF(OR($A1707="",$B1707=""),"",IF(COUNTIFS($A$2:$A1707,$A1707,$B$2:$B1707,$B1707)=1,1,0))</f>
        <v/>
      </c>
      <c r="J1707" t="str">
        <f t="shared" si="26"/>
        <v/>
      </c>
      <c r="L1707" t="str">
        <f>IF('01_Warehouse_Ledger'!$A1707="","",'01_Warehouse_Ledger'!$A1707)</f>
        <v/>
      </c>
    </row>
    <row r="1708" spans="9:12">
      <c r="I1708" t="str">
        <f>IF(OR($A1708="",$B1708=""),"",IF(COUNTIFS($A$2:$A1708,$A1708,$B$2:$B1708,$B1708)=1,1,0))</f>
        <v/>
      </c>
      <c r="J1708" t="str">
        <f t="shared" si="26"/>
        <v/>
      </c>
      <c r="L1708" t="str">
        <f>IF('01_Warehouse_Ledger'!$A1708="","",'01_Warehouse_Ledger'!$A1708)</f>
        <v/>
      </c>
    </row>
    <row r="1709" spans="9:12">
      <c r="I1709" t="str">
        <f>IF(OR($A1709="",$B1709=""),"",IF(COUNTIFS($A$2:$A1709,$A1709,$B$2:$B1709,$B1709)=1,1,0))</f>
        <v/>
      </c>
      <c r="J1709" t="str">
        <f t="shared" si="26"/>
        <v/>
      </c>
      <c r="L1709" t="str">
        <f>IF('01_Warehouse_Ledger'!$A1709="","",'01_Warehouse_Ledger'!$A1709)</f>
        <v/>
      </c>
    </row>
    <row r="1710" spans="9:12">
      <c r="I1710" t="str">
        <f>IF(OR($A1710="",$B1710=""),"",IF(COUNTIFS($A$2:$A1710,$A1710,$B$2:$B1710,$B1710)=1,1,0))</f>
        <v/>
      </c>
      <c r="J1710" t="str">
        <f t="shared" si="26"/>
        <v/>
      </c>
      <c r="L1710" t="str">
        <f>IF('01_Warehouse_Ledger'!$A1710="","",'01_Warehouse_Ledger'!$A1710)</f>
        <v/>
      </c>
    </row>
    <row r="1711" spans="9:12">
      <c r="I1711" t="str">
        <f>IF(OR($A1711="",$B1711=""),"",IF(COUNTIFS($A$2:$A1711,$A1711,$B$2:$B1711,$B1711)=1,1,0))</f>
        <v/>
      </c>
      <c r="J1711" t="str">
        <f t="shared" si="26"/>
        <v/>
      </c>
      <c r="L1711" t="str">
        <f>IF('01_Warehouse_Ledger'!$A1711="","",'01_Warehouse_Ledger'!$A1711)</f>
        <v/>
      </c>
    </row>
    <row r="1712" spans="9:12">
      <c r="I1712" t="str">
        <f>IF(OR($A1712="",$B1712=""),"",IF(COUNTIFS($A$2:$A1712,$A1712,$B$2:$B1712,$B1712)=1,1,0))</f>
        <v/>
      </c>
      <c r="J1712" t="str">
        <f t="shared" si="26"/>
        <v/>
      </c>
      <c r="L1712" t="str">
        <f>IF('01_Warehouse_Ledger'!$A1712="","",'01_Warehouse_Ledger'!$A1712)</f>
        <v/>
      </c>
    </row>
    <row r="1713" spans="9:12">
      <c r="I1713" t="str">
        <f>IF(OR($A1713="",$B1713=""),"",IF(COUNTIFS($A$2:$A1713,$A1713,$B$2:$B1713,$B1713)=1,1,0))</f>
        <v/>
      </c>
      <c r="J1713" t="str">
        <f t="shared" si="26"/>
        <v/>
      </c>
      <c r="L1713" t="str">
        <f>IF('01_Warehouse_Ledger'!$A1713="","",'01_Warehouse_Ledger'!$A1713)</f>
        <v/>
      </c>
    </row>
    <row r="1714" spans="9:12">
      <c r="I1714" t="str">
        <f>IF(OR($A1714="",$B1714=""),"",IF(COUNTIFS($A$2:$A1714,$A1714,$B$2:$B1714,$B1714)=1,1,0))</f>
        <v/>
      </c>
      <c r="J1714" t="str">
        <f t="shared" si="26"/>
        <v/>
      </c>
      <c r="L1714" t="str">
        <f>IF('01_Warehouse_Ledger'!$A1714="","",'01_Warehouse_Ledger'!$A1714)</f>
        <v/>
      </c>
    </row>
    <row r="1715" spans="9:12">
      <c r="I1715" t="str">
        <f>IF(OR($A1715="",$B1715=""),"",IF(COUNTIFS($A$2:$A1715,$A1715,$B$2:$B1715,$B1715)=1,1,0))</f>
        <v/>
      </c>
      <c r="J1715" t="str">
        <f t="shared" si="26"/>
        <v/>
      </c>
      <c r="L1715" t="str">
        <f>IF('01_Warehouse_Ledger'!$A1715="","",'01_Warehouse_Ledger'!$A1715)</f>
        <v/>
      </c>
    </row>
    <row r="1716" spans="9:12">
      <c r="I1716" t="str">
        <f>IF(OR($A1716="",$B1716=""),"",IF(COUNTIFS($A$2:$A1716,$A1716,$B$2:$B1716,$B1716)=1,1,0))</f>
        <v/>
      </c>
      <c r="J1716" t="str">
        <f t="shared" si="26"/>
        <v/>
      </c>
      <c r="L1716" t="str">
        <f>IF('01_Warehouse_Ledger'!$A1716="","",'01_Warehouse_Ledger'!$A1716)</f>
        <v/>
      </c>
    </row>
    <row r="1717" spans="9:12">
      <c r="I1717" t="str">
        <f>IF(OR($A1717="",$B1717=""),"",IF(COUNTIFS($A$2:$A1717,$A1717,$B$2:$B1717,$B1717)=1,1,0))</f>
        <v/>
      </c>
      <c r="J1717" t="str">
        <f t="shared" si="26"/>
        <v/>
      </c>
      <c r="L1717" t="str">
        <f>IF('01_Warehouse_Ledger'!$A1717="","",'01_Warehouse_Ledger'!$A1717)</f>
        <v/>
      </c>
    </row>
    <row r="1718" spans="9:12">
      <c r="I1718" t="str">
        <f>IF(OR($A1718="",$B1718=""),"",IF(COUNTIFS($A$2:$A1718,$A1718,$B$2:$B1718,$B1718)=1,1,0))</f>
        <v/>
      </c>
      <c r="J1718" t="str">
        <f t="shared" si="26"/>
        <v/>
      </c>
      <c r="L1718" t="str">
        <f>IF('01_Warehouse_Ledger'!$A1718="","",'01_Warehouse_Ledger'!$A1718)</f>
        <v/>
      </c>
    </row>
    <row r="1719" spans="9:12">
      <c r="I1719" t="str">
        <f>IF(OR($A1719="",$B1719=""),"",IF(COUNTIFS($A$2:$A1719,$A1719,$B$2:$B1719,$B1719)=1,1,0))</f>
        <v/>
      </c>
      <c r="J1719" t="str">
        <f t="shared" si="26"/>
        <v/>
      </c>
      <c r="L1719" t="str">
        <f>IF('01_Warehouse_Ledger'!$A1719="","",'01_Warehouse_Ledger'!$A1719)</f>
        <v/>
      </c>
    </row>
    <row r="1720" spans="9:12">
      <c r="I1720" t="str">
        <f>IF(OR($A1720="",$B1720=""),"",IF(COUNTIFS($A$2:$A1720,$A1720,$B$2:$B1720,$B1720)=1,1,0))</f>
        <v/>
      </c>
      <c r="J1720" t="str">
        <f t="shared" si="26"/>
        <v/>
      </c>
      <c r="L1720" t="str">
        <f>IF('01_Warehouse_Ledger'!$A1720="","",'01_Warehouse_Ledger'!$A1720)</f>
        <v/>
      </c>
    </row>
    <row r="1721" spans="9:12">
      <c r="I1721" t="str">
        <f>IF(OR($A1721="",$B1721=""),"",IF(COUNTIFS($A$2:$A1721,$A1721,$B$2:$B1721,$B1721)=1,1,0))</f>
        <v/>
      </c>
      <c r="J1721" t="str">
        <f t="shared" si="26"/>
        <v/>
      </c>
      <c r="L1721" t="str">
        <f>IF('01_Warehouse_Ledger'!$A1721="","",'01_Warehouse_Ledger'!$A1721)</f>
        <v/>
      </c>
    </row>
    <row r="1722" spans="9:12">
      <c r="I1722" t="str">
        <f>IF(OR($A1722="",$B1722=""),"",IF(COUNTIFS($A$2:$A1722,$A1722,$B$2:$B1722,$B1722)=1,1,0))</f>
        <v/>
      </c>
      <c r="J1722" t="str">
        <f t="shared" si="26"/>
        <v/>
      </c>
      <c r="L1722" t="str">
        <f>IF('01_Warehouse_Ledger'!$A1722="","",'01_Warehouse_Ledger'!$A1722)</f>
        <v/>
      </c>
    </row>
    <row r="1723" spans="9:12">
      <c r="I1723" t="str">
        <f>IF(OR($A1723="",$B1723=""),"",IF(COUNTIFS($A$2:$A1723,$A1723,$B$2:$B1723,$B1723)=1,1,0))</f>
        <v/>
      </c>
      <c r="J1723" t="str">
        <f t="shared" si="26"/>
        <v/>
      </c>
      <c r="L1723" t="str">
        <f>IF('01_Warehouse_Ledger'!$A1723="","",'01_Warehouse_Ledger'!$A1723)</f>
        <v/>
      </c>
    </row>
    <row r="1724" spans="9:12">
      <c r="I1724" t="str">
        <f>IF(OR($A1724="",$B1724=""),"",IF(COUNTIFS($A$2:$A1724,$A1724,$B$2:$B1724,$B1724)=1,1,0))</f>
        <v/>
      </c>
      <c r="J1724" t="str">
        <f t="shared" si="26"/>
        <v/>
      </c>
      <c r="L1724" t="str">
        <f>IF('01_Warehouse_Ledger'!$A1724="","",'01_Warehouse_Ledger'!$A1724)</f>
        <v/>
      </c>
    </row>
    <row r="1725" spans="9:12">
      <c r="I1725" t="str">
        <f>IF(OR($A1725="",$B1725=""),"",IF(COUNTIFS($A$2:$A1725,$A1725,$B$2:$B1725,$B1725)=1,1,0))</f>
        <v/>
      </c>
      <c r="J1725" t="str">
        <f t="shared" si="26"/>
        <v/>
      </c>
      <c r="L1725" t="str">
        <f>IF('01_Warehouse_Ledger'!$A1725="","",'01_Warehouse_Ledger'!$A1725)</f>
        <v/>
      </c>
    </row>
    <row r="1726" spans="9:12">
      <c r="I1726" t="str">
        <f>IF(OR($A1726="",$B1726=""),"",IF(COUNTIFS($A$2:$A1726,$A1726,$B$2:$B1726,$B1726)=1,1,0))</f>
        <v/>
      </c>
      <c r="J1726" t="str">
        <f t="shared" si="26"/>
        <v/>
      </c>
      <c r="L1726" t="str">
        <f>IF('01_Warehouse_Ledger'!$A1726="","",'01_Warehouse_Ledger'!$A1726)</f>
        <v/>
      </c>
    </row>
    <row r="1727" spans="9:12">
      <c r="I1727" t="str">
        <f>IF(OR($A1727="",$B1727=""),"",IF(COUNTIFS($A$2:$A1727,$A1727,$B$2:$B1727,$B1727)=1,1,0))</f>
        <v/>
      </c>
      <c r="J1727" t="str">
        <f t="shared" si="26"/>
        <v/>
      </c>
      <c r="L1727" t="str">
        <f>IF('01_Warehouse_Ledger'!$A1727="","",'01_Warehouse_Ledger'!$A1727)</f>
        <v/>
      </c>
    </row>
    <row r="1728" spans="9:12">
      <c r="I1728" t="str">
        <f>IF(OR($A1728="",$B1728=""),"",IF(COUNTIFS($A$2:$A1728,$A1728,$B$2:$B1728,$B1728)=1,1,0))</f>
        <v/>
      </c>
      <c r="J1728" t="str">
        <f t="shared" si="26"/>
        <v/>
      </c>
      <c r="L1728" t="str">
        <f>IF('01_Warehouse_Ledger'!$A1728="","",'01_Warehouse_Ledger'!$A1728)</f>
        <v/>
      </c>
    </row>
    <row r="1729" spans="9:12">
      <c r="I1729" t="str">
        <f>IF(OR($A1729="",$B1729=""),"",IF(COUNTIFS($A$2:$A1729,$A1729,$B$2:$B1729,$B1729)=1,1,0))</f>
        <v/>
      </c>
      <c r="J1729" t="str">
        <f t="shared" si="26"/>
        <v/>
      </c>
      <c r="L1729" t="str">
        <f>IF('01_Warehouse_Ledger'!$A1729="","",'01_Warehouse_Ledger'!$A1729)</f>
        <v/>
      </c>
    </row>
    <row r="1730" spans="9:12">
      <c r="I1730" t="str">
        <f>IF(OR($A1730="",$B1730=""),"",IF(COUNTIFS($A$2:$A1730,$A1730,$B$2:$B1730,$B1730)=1,1,0))</f>
        <v/>
      </c>
      <c r="J1730" t="str">
        <f t="shared" ref="J1730:J1793" si="27">IF($A1730="","",ROW())</f>
        <v/>
      </c>
      <c r="L1730" t="str">
        <f>IF('01_Warehouse_Ledger'!$A1730="","",'01_Warehouse_Ledger'!$A1730)</f>
        <v/>
      </c>
    </row>
    <row r="1731" spans="9:12">
      <c r="I1731" t="str">
        <f>IF(OR($A1731="",$B1731=""),"",IF(COUNTIFS($A$2:$A1731,$A1731,$B$2:$B1731,$B1731)=1,1,0))</f>
        <v/>
      </c>
      <c r="J1731" t="str">
        <f t="shared" si="27"/>
        <v/>
      </c>
      <c r="L1731" t="str">
        <f>IF('01_Warehouse_Ledger'!$A1731="","",'01_Warehouse_Ledger'!$A1731)</f>
        <v/>
      </c>
    </row>
    <row r="1732" spans="9:12">
      <c r="I1732" t="str">
        <f>IF(OR($A1732="",$B1732=""),"",IF(COUNTIFS($A$2:$A1732,$A1732,$B$2:$B1732,$B1732)=1,1,0))</f>
        <v/>
      </c>
      <c r="J1732" t="str">
        <f t="shared" si="27"/>
        <v/>
      </c>
      <c r="L1732" t="str">
        <f>IF('01_Warehouse_Ledger'!$A1732="","",'01_Warehouse_Ledger'!$A1732)</f>
        <v/>
      </c>
    </row>
    <row r="1733" spans="9:12">
      <c r="I1733" t="str">
        <f>IF(OR($A1733="",$B1733=""),"",IF(COUNTIFS($A$2:$A1733,$A1733,$B$2:$B1733,$B1733)=1,1,0))</f>
        <v/>
      </c>
      <c r="J1733" t="str">
        <f t="shared" si="27"/>
        <v/>
      </c>
      <c r="L1733" t="str">
        <f>IF('01_Warehouse_Ledger'!$A1733="","",'01_Warehouse_Ledger'!$A1733)</f>
        <v/>
      </c>
    </row>
    <row r="1734" spans="9:12">
      <c r="I1734" t="str">
        <f>IF(OR($A1734="",$B1734=""),"",IF(COUNTIFS($A$2:$A1734,$A1734,$B$2:$B1734,$B1734)=1,1,0))</f>
        <v/>
      </c>
      <c r="J1734" t="str">
        <f t="shared" si="27"/>
        <v/>
      </c>
      <c r="L1734" t="str">
        <f>IF('01_Warehouse_Ledger'!$A1734="","",'01_Warehouse_Ledger'!$A1734)</f>
        <v/>
      </c>
    </row>
    <row r="1735" spans="9:12">
      <c r="I1735" t="str">
        <f>IF(OR($A1735="",$B1735=""),"",IF(COUNTIFS($A$2:$A1735,$A1735,$B$2:$B1735,$B1735)=1,1,0))</f>
        <v/>
      </c>
      <c r="J1735" t="str">
        <f t="shared" si="27"/>
        <v/>
      </c>
      <c r="L1735" t="str">
        <f>IF('01_Warehouse_Ledger'!$A1735="","",'01_Warehouse_Ledger'!$A1735)</f>
        <v/>
      </c>
    </row>
    <row r="1736" spans="9:12">
      <c r="I1736" t="str">
        <f>IF(OR($A1736="",$B1736=""),"",IF(COUNTIFS($A$2:$A1736,$A1736,$B$2:$B1736,$B1736)=1,1,0))</f>
        <v/>
      </c>
      <c r="J1736" t="str">
        <f t="shared" si="27"/>
        <v/>
      </c>
      <c r="L1736" t="str">
        <f>IF('01_Warehouse_Ledger'!$A1736="","",'01_Warehouse_Ledger'!$A1736)</f>
        <v/>
      </c>
    </row>
    <row r="1737" spans="9:12">
      <c r="I1737" t="str">
        <f>IF(OR($A1737="",$B1737=""),"",IF(COUNTIFS($A$2:$A1737,$A1737,$B$2:$B1737,$B1737)=1,1,0))</f>
        <v/>
      </c>
      <c r="J1737" t="str">
        <f t="shared" si="27"/>
        <v/>
      </c>
      <c r="L1737" t="str">
        <f>IF('01_Warehouse_Ledger'!$A1737="","",'01_Warehouse_Ledger'!$A1737)</f>
        <v/>
      </c>
    </row>
    <row r="1738" spans="9:12">
      <c r="I1738" t="str">
        <f>IF(OR($A1738="",$B1738=""),"",IF(COUNTIFS($A$2:$A1738,$A1738,$B$2:$B1738,$B1738)=1,1,0))</f>
        <v/>
      </c>
      <c r="J1738" t="str">
        <f t="shared" si="27"/>
        <v/>
      </c>
      <c r="L1738" t="str">
        <f>IF('01_Warehouse_Ledger'!$A1738="","",'01_Warehouse_Ledger'!$A1738)</f>
        <v/>
      </c>
    </row>
    <row r="1739" spans="9:12">
      <c r="I1739" t="str">
        <f>IF(OR($A1739="",$B1739=""),"",IF(COUNTIFS($A$2:$A1739,$A1739,$B$2:$B1739,$B1739)=1,1,0))</f>
        <v/>
      </c>
      <c r="J1739" t="str">
        <f t="shared" si="27"/>
        <v/>
      </c>
      <c r="L1739" t="str">
        <f>IF('01_Warehouse_Ledger'!$A1739="","",'01_Warehouse_Ledger'!$A1739)</f>
        <v/>
      </c>
    </row>
    <row r="1740" spans="9:12">
      <c r="I1740" t="str">
        <f>IF(OR($A1740="",$B1740=""),"",IF(COUNTIFS($A$2:$A1740,$A1740,$B$2:$B1740,$B1740)=1,1,0))</f>
        <v/>
      </c>
      <c r="J1740" t="str">
        <f t="shared" si="27"/>
        <v/>
      </c>
      <c r="L1740" t="str">
        <f>IF('01_Warehouse_Ledger'!$A1740="","",'01_Warehouse_Ledger'!$A1740)</f>
        <v/>
      </c>
    </row>
    <row r="1741" spans="9:12">
      <c r="I1741" t="str">
        <f>IF(OR($A1741="",$B1741=""),"",IF(COUNTIFS($A$2:$A1741,$A1741,$B$2:$B1741,$B1741)=1,1,0))</f>
        <v/>
      </c>
      <c r="J1741" t="str">
        <f t="shared" si="27"/>
        <v/>
      </c>
      <c r="L1741" t="str">
        <f>IF('01_Warehouse_Ledger'!$A1741="","",'01_Warehouse_Ledger'!$A1741)</f>
        <v/>
      </c>
    </row>
    <row r="1742" spans="9:12">
      <c r="I1742" t="str">
        <f>IF(OR($A1742="",$B1742=""),"",IF(COUNTIFS($A$2:$A1742,$A1742,$B$2:$B1742,$B1742)=1,1,0))</f>
        <v/>
      </c>
      <c r="J1742" t="str">
        <f t="shared" si="27"/>
        <v/>
      </c>
      <c r="L1742" t="str">
        <f>IF('01_Warehouse_Ledger'!$A1742="","",'01_Warehouse_Ledger'!$A1742)</f>
        <v/>
      </c>
    </row>
    <row r="1743" spans="9:12">
      <c r="I1743" t="str">
        <f>IF(OR($A1743="",$B1743=""),"",IF(COUNTIFS($A$2:$A1743,$A1743,$B$2:$B1743,$B1743)=1,1,0))</f>
        <v/>
      </c>
      <c r="J1743" t="str">
        <f t="shared" si="27"/>
        <v/>
      </c>
      <c r="L1743" t="str">
        <f>IF('01_Warehouse_Ledger'!$A1743="","",'01_Warehouse_Ledger'!$A1743)</f>
        <v/>
      </c>
    </row>
    <row r="1744" spans="9:12">
      <c r="I1744" t="str">
        <f>IF(OR($A1744="",$B1744=""),"",IF(COUNTIFS($A$2:$A1744,$A1744,$B$2:$B1744,$B1744)=1,1,0))</f>
        <v/>
      </c>
      <c r="J1744" t="str">
        <f t="shared" si="27"/>
        <v/>
      </c>
      <c r="L1744" t="str">
        <f>IF('01_Warehouse_Ledger'!$A1744="","",'01_Warehouse_Ledger'!$A1744)</f>
        <v/>
      </c>
    </row>
    <row r="1745" spans="9:12">
      <c r="I1745" t="str">
        <f>IF(OR($A1745="",$B1745=""),"",IF(COUNTIFS($A$2:$A1745,$A1745,$B$2:$B1745,$B1745)=1,1,0))</f>
        <v/>
      </c>
      <c r="J1745" t="str">
        <f t="shared" si="27"/>
        <v/>
      </c>
      <c r="L1745" t="str">
        <f>IF('01_Warehouse_Ledger'!$A1745="","",'01_Warehouse_Ledger'!$A1745)</f>
        <v/>
      </c>
    </row>
    <row r="1746" spans="9:12">
      <c r="I1746" t="str">
        <f>IF(OR($A1746="",$B1746=""),"",IF(COUNTIFS($A$2:$A1746,$A1746,$B$2:$B1746,$B1746)=1,1,0))</f>
        <v/>
      </c>
      <c r="J1746" t="str">
        <f t="shared" si="27"/>
        <v/>
      </c>
      <c r="L1746" t="str">
        <f>IF('01_Warehouse_Ledger'!$A1746="","",'01_Warehouse_Ledger'!$A1746)</f>
        <v/>
      </c>
    </row>
    <row r="1747" spans="9:12">
      <c r="I1747" t="str">
        <f>IF(OR($A1747="",$B1747=""),"",IF(COUNTIFS($A$2:$A1747,$A1747,$B$2:$B1747,$B1747)=1,1,0))</f>
        <v/>
      </c>
      <c r="J1747" t="str">
        <f t="shared" si="27"/>
        <v/>
      </c>
      <c r="L1747" t="str">
        <f>IF('01_Warehouse_Ledger'!$A1747="","",'01_Warehouse_Ledger'!$A1747)</f>
        <v/>
      </c>
    </row>
    <row r="1748" spans="9:12">
      <c r="I1748" t="str">
        <f>IF(OR($A1748="",$B1748=""),"",IF(COUNTIFS($A$2:$A1748,$A1748,$B$2:$B1748,$B1748)=1,1,0))</f>
        <v/>
      </c>
      <c r="J1748" t="str">
        <f t="shared" si="27"/>
        <v/>
      </c>
      <c r="L1748" t="str">
        <f>IF('01_Warehouse_Ledger'!$A1748="","",'01_Warehouse_Ledger'!$A1748)</f>
        <v/>
      </c>
    </row>
    <row r="1749" spans="9:12">
      <c r="I1749" t="str">
        <f>IF(OR($A1749="",$B1749=""),"",IF(COUNTIFS($A$2:$A1749,$A1749,$B$2:$B1749,$B1749)=1,1,0))</f>
        <v/>
      </c>
      <c r="J1749" t="str">
        <f t="shared" si="27"/>
        <v/>
      </c>
      <c r="L1749" t="str">
        <f>IF('01_Warehouse_Ledger'!$A1749="","",'01_Warehouse_Ledger'!$A1749)</f>
        <v/>
      </c>
    </row>
    <row r="1750" spans="9:12">
      <c r="I1750" t="str">
        <f>IF(OR($A1750="",$B1750=""),"",IF(COUNTIFS($A$2:$A1750,$A1750,$B$2:$B1750,$B1750)=1,1,0))</f>
        <v/>
      </c>
      <c r="J1750" t="str">
        <f t="shared" si="27"/>
        <v/>
      </c>
      <c r="L1750" t="str">
        <f>IF('01_Warehouse_Ledger'!$A1750="","",'01_Warehouse_Ledger'!$A1750)</f>
        <v/>
      </c>
    </row>
    <row r="1751" spans="9:12">
      <c r="I1751" t="str">
        <f>IF(OR($A1751="",$B1751=""),"",IF(COUNTIFS($A$2:$A1751,$A1751,$B$2:$B1751,$B1751)=1,1,0))</f>
        <v/>
      </c>
      <c r="J1751" t="str">
        <f t="shared" si="27"/>
        <v/>
      </c>
      <c r="L1751" t="str">
        <f>IF('01_Warehouse_Ledger'!$A1751="","",'01_Warehouse_Ledger'!$A1751)</f>
        <v/>
      </c>
    </row>
    <row r="1752" spans="9:12">
      <c r="I1752" t="str">
        <f>IF(OR($A1752="",$B1752=""),"",IF(COUNTIFS($A$2:$A1752,$A1752,$B$2:$B1752,$B1752)=1,1,0))</f>
        <v/>
      </c>
      <c r="J1752" t="str">
        <f t="shared" si="27"/>
        <v/>
      </c>
      <c r="L1752" t="str">
        <f>IF('01_Warehouse_Ledger'!$A1752="","",'01_Warehouse_Ledger'!$A1752)</f>
        <v/>
      </c>
    </row>
    <row r="1753" spans="9:12">
      <c r="I1753" t="str">
        <f>IF(OR($A1753="",$B1753=""),"",IF(COUNTIFS($A$2:$A1753,$A1753,$B$2:$B1753,$B1753)=1,1,0))</f>
        <v/>
      </c>
      <c r="J1753" t="str">
        <f t="shared" si="27"/>
        <v/>
      </c>
      <c r="L1753" t="str">
        <f>IF('01_Warehouse_Ledger'!$A1753="","",'01_Warehouse_Ledger'!$A1753)</f>
        <v/>
      </c>
    </row>
    <row r="1754" spans="9:12">
      <c r="I1754" t="str">
        <f>IF(OR($A1754="",$B1754=""),"",IF(COUNTIFS($A$2:$A1754,$A1754,$B$2:$B1754,$B1754)=1,1,0))</f>
        <v/>
      </c>
      <c r="J1754" t="str">
        <f t="shared" si="27"/>
        <v/>
      </c>
      <c r="L1754" t="str">
        <f>IF('01_Warehouse_Ledger'!$A1754="","",'01_Warehouse_Ledger'!$A1754)</f>
        <v/>
      </c>
    </row>
    <row r="1755" spans="9:12">
      <c r="I1755" t="str">
        <f>IF(OR($A1755="",$B1755=""),"",IF(COUNTIFS($A$2:$A1755,$A1755,$B$2:$B1755,$B1755)=1,1,0))</f>
        <v/>
      </c>
      <c r="J1755" t="str">
        <f t="shared" si="27"/>
        <v/>
      </c>
      <c r="L1755" t="str">
        <f>IF('01_Warehouse_Ledger'!$A1755="","",'01_Warehouse_Ledger'!$A1755)</f>
        <v/>
      </c>
    </row>
    <row r="1756" spans="9:12">
      <c r="I1756" t="str">
        <f>IF(OR($A1756="",$B1756=""),"",IF(COUNTIFS($A$2:$A1756,$A1756,$B$2:$B1756,$B1756)=1,1,0))</f>
        <v/>
      </c>
      <c r="J1756" t="str">
        <f t="shared" si="27"/>
        <v/>
      </c>
      <c r="L1756" t="str">
        <f>IF('01_Warehouse_Ledger'!$A1756="","",'01_Warehouse_Ledger'!$A1756)</f>
        <v/>
      </c>
    </row>
    <row r="1757" spans="9:12">
      <c r="I1757" t="str">
        <f>IF(OR($A1757="",$B1757=""),"",IF(COUNTIFS($A$2:$A1757,$A1757,$B$2:$B1757,$B1757)=1,1,0))</f>
        <v/>
      </c>
      <c r="J1757" t="str">
        <f t="shared" si="27"/>
        <v/>
      </c>
      <c r="L1757" t="str">
        <f>IF('01_Warehouse_Ledger'!$A1757="","",'01_Warehouse_Ledger'!$A1757)</f>
        <v/>
      </c>
    </row>
    <row r="1758" spans="9:12">
      <c r="I1758" t="str">
        <f>IF(OR($A1758="",$B1758=""),"",IF(COUNTIFS($A$2:$A1758,$A1758,$B$2:$B1758,$B1758)=1,1,0))</f>
        <v/>
      </c>
      <c r="J1758" t="str">
        <f t="shared" si="27"/>
        <v/>
      </c>
      <c r="L1758" t="str">
        <f>IF('01_Warehouse_Ledger'!$A1758="","",'01_Warehouse_Ledger'!$A1758)</f>
        <v/>
      </c>
    </row>
    <row r="1759" spans="9:12">
      <c r="I1759" t="str">
        <f>IF(OR($A1759="",$B1759=""),"",IF(COUNTIFS($A$2:$A1759,$A1759,$B$2:$B1759,$B1759)=1,1,0))</f>
        <v/>
      </c>
      <c r="J1759" t="str">
        <f t="shared" si="27"/>
        <v/>
      </c>
      <c r="L1759" t="str">
        <f>IF('01_Warehouse_Ledger'!$A1759="","",'01_Warehouse_Ledger'!$A1759)</f>
        <v/>
      </c>
    </row>
    <row r="1760" spans="9:12">
      <c r="I1760" t="str">
        <f>IF(OR($A1760="",$B1760=""),"",IF(COUNTIFS($A$2:$A1760,$A1760,$B$2:$B1760,$B1760)=1,1,0))</f>
        <v/>
      </c>
      <c r="J1760" t="str">
        <f t="shared" si="27"/>
        <v/>
      </c>
      <c r="L1760" t="str">
        <f>IF('01_Warehouse_Ledger'!$A1760="","",'01_Warehouse_Ledger'!$A1760)</f>
        <v/>
      </c>
    </row>
    <row r="1761" spans="9:12">
      <c r="I1761" t="str">
        <f>IF(OR($A1761="",$B1761=""),"",IF(COUNTIFS($A$2:$A1761,$A1761,$B$2:$B1761,$B1761)=1,1,0))</f>
        <v/>
      </c>
      <c r="J1761" t="str">
        <f t="shared" si="27"/>
        <v/>
      </c>
      <c r="L1761" t="str">
        <f>IF('01_Warehouse_Ledger'!$A1761="","",'01_Warehouse_Ledger'!$A1761)</f>
        <v/>
      </c>
    </row>
    <row r="1762" spans="9:12">
      <c r="I1762" t="str">
        <f>IF(OR($A1762="",$B1762=""),"",IF(COUNTIFS($A$2:$A1762,$A1762,$B$2:$B1762,$B1762)=1,1,0))</f>
        <v/>
      </c>
      <c r="J1762" t="str">
        <f t="shared" si="27"/>
        <v/>
      </c>
      <c r="L1762" t="str">
        <f>IF('01_Warehouse_Ledger'!$A1762="","",'01_Warehouse_Ledger'!$A1762)</f>
        <v/>
      </c>
    </row>
    <row r="1763" spans="9:12">
      <c r="I1763" t="str">
        <f>IF(OR($A1763="",$B1763=""),"",IF(COUNTIFS($A$2:$A1763,$A1763,$B$2:$B1763,$B1763)=1,1,0))</f>
        <v/>
      </c>
      <c r="J1763" t="str">
        <f t="shared" si="27"/>
        <v/>
      </c>
      <c r="L1763" t="str">
        <f>IF('01_Warehouse_Ledger'!$A1763="","",'01_Warehouse_Ledger'!$A1763)</f>
        <v/>
      </c>
    </row>
    <row r="1764" spans="9:12">
      <c r="I1764" t="str">
        <f>IF(OR($A1764="",$B1764=""),"",IF(COUNTIFS($A$2:$A1764,$A1764,$B$2:$B1764,$B1764)=1,1,0))</f>
        <v/>
      </c>
      <c r="J1764" t="str">
        <f t="shared" si="27"/>
        <v/>
      </c>
      <c r="L1764" t="str">
        <f>IF('01_Warehouse_Ledger'!$A1764="","",'01_Warehouse_Ledger'!$A1764)</f>
        <v/>
      </c>
    </row>
    <row r="1765" spans="9:12">
      <c r="I1765" t="str">
        <f>IF(OR($A1765="",$B1765=""),"",IF(COUNTIFS($A$2:$A1765,$A1765,$B$2:$B1765,$B1765)=1,1,0))</f>
        <v/>
      </c>
      <c r="J1765" t="str">
        <f t="shared" si="27"/>
        <v/>
      </c>
      <c r="L1765" t="str">
        <f>IF('01_Warehouse_Ledger'!$A1765="","",'01_Warehouse_Ledger'!$A1765)</f>
        <v/>
      </c>
    </row>
    <row r="1766" spans="9:12">
      <c r="I1766" t="str">
        <f>IF(OR($A1766="",$B1766=""),"",IF(COUNTIFS($A$2:$A1766,$A1766,$B$2:$B1766,$B1766)=1,1,0))</f>
        <v/>
      </c>
      <c r="J1766" t="str">
        <f t="shared" si="27"/>
        <v/>
      </c>
      <c r="L1766" t="str">
        <f>IF('01_Warehouse_Ledger'!$A1766="","",'01_Warehouse_Ledger'!$A1766)</f>
        <v/>
      </c>
    </row>
    <row r="1767" spans="9:12">
      <c r="I1767" t="str">
        <f>IF(OR($A1767="",$B1767=""),"",IF(COUNTIFS($A$2:$A1767,$A1767,$B$2:$B1767,$B1767)=1,1,0))</f>
        <v/>
      </c>
      <c r="J1767" t="str">
        <f t="shared" si="27"/>
        <v/>
      </c>
      <c r="L1767" t="str">
        <f>IF('01_Warehouse_Ledger'!$A1767="","",'01_Warehouse_Ledger'!$A1767)</f>
        <v/>
      </c>
    </row>
    <row r="1768" spans="9:12">
      <c r="I1768" t="str">
        <f>IF(OR($A1768="",$B1768=""),"",IF(COUNTIFS($A$2:$A1768,$A1768,$B$2:$B1768,$B1768)=1,1,0))</f>
        <v/>
      </c>
      <c r="J1768" t="str">
        <f t="shared" si="27"/>
        <v/>
      </c>
      <c r="L1768" t="str">
        <f>IF('01_Warehouse_Ledger'!$A1768="","",'01_Warehouse_Ledger'!$A1768)</f>
        <v/>
      </c>
    </row>
    <row r="1769" spans="9:12">
      <c r="I1769" t="str">
        <f>IF(OR($A1769="",$B1769=""),"",IF(COUNTIFS($A$2:$A1769,$A1769,$B$2:$B1769,$B1769)=1,1,0))</f>
        <v/>
      </c>
      <c r="J1769" t="str">
        <f t="shared" si="27"/>
        <v/>
      </c>
      <c r="L1769" t="str">
        <f>IF('01_Warehouse_Ledger'!$A1769="","",'01_Warehouse_Ledger'!$A1769)</f>
        <v/>
      </c>
    </row>
    <row r="1770" spans="9:12">
      <c r="I1770" t="str">
        <f>IF(OR($A1770="",$B1770=""),"",IF(COUNTIFS($A$2:$A1770,$A1770,$B$2:$B1770,$B1770)=1,1,0))</f>
        <v/>
      </c>
      <c r="J1770" t="str">
        <f t="shared" si="27"/>
        <v/>
      </c>
      <c r="L1770" t="str">
        <f>IF('01_Warehouse_Ledger'!$A1770="","",'01_Warehouse_Ledger'!$A1770)</f>
        <v/>
      </c>
    </row>
    <row r="1771" spans="9:12">
      <c r="I1771" t="str">
        <f>IF(OR($A1771="",$B1771=""),"",IF(COUNTIFS($A$2:$A1771,$A1771,$B$2:$B1771,$B1771)=1,1,0))</f>
        <v/>
      </c>
      <c r="J1771" t="str">
        <f t="shared" si="27"/>
        <v/>
      </c>
      <c r="L1771" t="str">
        <f>IF('01_Warehouse_Ledger'!$A1771="","",'01_Warehouse_Ledger'!$A1771)</f>
        <v/>
      </c>
    </row>
    <row r="1772" spans="9:12">
      <c r="I1772" t="str">
        <f>IF(OR($A1772="",$B1772=""),"",IF(COUNTIFS($A$2:$A1772,$A1772,$B$2:$B1772,$B1772)=1,1,0))</f>
        <v/>
      </c>
      <c r="J1772" t="str">
        <f t="shared" si="27"/>
        <v/>
      </c>
      <c r="L1772" t="str">
        <f>IF('01_Warehouse_Ledger'!$A1772="","",'01_Warehouse_Ledger'!$A1772)</f>
        <v/>
      </c>
    </row>
    <row r="1773" spans="9:12">
      <c r="I1773" t="str">
        <f>IF(OR($A1773="",$B1773=""),"",IF(COUNTIFS($A$2:$A1773,$A1773,$B$2:$B1773,$B1773)=1,1,0))</f>
        <v/>
      </c>
      <c r="J1773" t="str">
        <f t="shared" si="27"/>
        <v/>
      </c>
      <c r="L1773" t="str">
        <f>IF('01_Warehouse_Ledger'!$A1773="","",'01_Warehouse_Ledger'!$A1773)</f>
        <v/>
      </c>
    </row>
    <row r="1774" spans="9:12">
      <c r="I1774" t="str">
        <f>IF(OR($A1774="",$B1774=""),"",IF(COUNTIFS($A$2:$A1774,$A1774,$B$2:$B1774,$B1774)=1,1,0))</f>
        <v/>
      </c>
      <c r="J1774" t="str">
        <f t="shared" si="27"/>
        <v/>
      </c>
      <c r="L1774" t="str">
        <f>IF('01_Warehouse_Ledger'!$A1774="","",'01_Warehouse_Ledger'!$A1774)</f>
        <v/>
      </c>
    </row>
    <row r="1775" spans="9:12">
      <c r="I1775" t="str">
        <f>IF(OR($A1775="",$B1775=""),"",IF(COUNTIFS($A$2:$A1775,$A1775,$B$2:$B1775,$B1775)=1,1,0))</f>
        <v/>
      </c>
      <c r="J1775" t="str">
        <f t="shared" si="27"/>
        <v/>
      </c>
      <c r="L1775" t="str">
        <f>IF('01_Warehouse_Ledger'!$A1775="","",'01_Warehouse_Ledger'!$A1775)</f>
        <v/>
      </c>
    </row>
    <row r="1776" spans="9:12">
      <c r="I1776" t="str">
        <f>IF(OR($A1776="",$B1776=""),"",IF(COUNTIFS($A$2:$A1776,$A1776,$B$2:$B1776,$B1776)=1,1,0))</f>
        <v/>
      </c>
      <c r="J1776" t="str">
        <f t="shared" si="27"/>
        <v/>
      </c>
      <c r="L1776" t="str">
        <f>IF('01_Warehouse_Ledger'!$A1776="","",'01_Warehouse_Ledger'!$A1776)</f>
        <v/>
      </c>
    </row>
    <row r="1777" spans="9:12">
      <c r="I1777" t="str">
        <f>IF(OR($A1777="",$B1777=""),"",IF(COUNTIFS($A$2:$A1777,$A1777,$B$2:$B1777,$B1777)=1,1,0))</f>
        <v/>
      </c>
      <c r="J1777" t="str">
        <f t="shared" si="27"/>
        <v/>
      </c>
      <c r="L1777" t="str">
        <f>IF('01_Warehouse_Ledger'!$A1777="","",'01_Warehouse_Ledger'!$A1777)</f>
        <v/>
      </c>
    </row>
    <row r="1778" spans="9:12">
      <c r="I1778" t="str">
        <f>IF(OR($A1778="",$B1778=""),"",IF(COUNTIFS($A$2:$A1778,$A1778,$B$2:$B1778,$B1778)=1,1,0))</f>
        <v/>
      </c>
      <c r="J1778" t="str">
        <f t="shared" si="27"/>
        <v/>
      </c>
      <c r="L1778" t="str">
        <f>IF('01_Warehouse_Ledger'!$A1778="","",'01_Warehouse_Ledger'!$A1778)</f>
        <v/>
      </c>
    </row>
    <row r="1779" spans="9:12">
      <c r="I1779" t="str">
        <f>IF(OR($A1779="",$B1779=""),"",IF(COUNTIFS($A$2:$A1779,$A1779,$B$2:$B1779,$B1779)=1,1,0))</f>
        <v/>
      </c>
      <c r="J1779" t="str">
        <f t="shared" si="27"/>
        <v/>
      </c>
      <c r="L1779" t="str">
        <f>IF('01_Warehouse_Ledger'!$A1779="","",'01_Warehouse_Ledger'!$A1779)</f>
        <v/>
      </c>
    </row>
    <row r="1780" spans="9:12">
      <c r="I1780" t="str">
        <f>IF(OR($A1780="",$B1780=""),"",IF(COUNTIFS($A$2:$A1780,$A1780,$B$2:$B1780,$B1780)=1,1,0))</f>
        <v/>
      </c>
      <c r="J1780" t="str">
        <f t="shared" si="27"/>
        <v/>
      </c>
      <c r="L1780" t="str">
        <f>IF('01_Warehouse_Ledger'!$A1780="","",'01_Warehouse_Ledger'!$A1780)</f>
        <v/>
      </c>
    </row>
    <row r="1781" spans="9:12">
      <c r="I1781" t="str">
        <f>IF(OR($A1781="",$B1781=""),"",IF(COUNTIFS($A$2:$A1781,$A1781,$B$2:$B1781,$B1781)=1,1,0))</f>
        <v/>
      </c>
      <c r="J1781" t="str">
        <f t="shared" si="27"/>
        <v/>
      </c>
      <c r="L1781" t="str">
        <f>IF('01_Warehouse_Ledger'!$A1781="","",'01_Warehouse_Ledger'!$A1781)</f>
        <v/>
      </c>
    </row>
    <row r="1782" spans="9:12">
      <c r="I1782" t="str">
        <f>IF(OR($A1782="",$B1782=""),"",IF(COUNTIFS($A$2:$A1782,$A1782,$B$2:$B1782,$B1782)=1,1,0))</f>
        <v/>
      </c>
      <c r="J1782" t="str">
        <f t="shared" si="27"/>
        <v/>
      </c>
      <c r="L1782" t="str">
        <f>IF('01_Warehouse_Ledger'!$A1782="","",'01_Warehouse_Ledger'!$A1782)</f>
        <v/>
      </c>
    </row>
    <row r="1783" spans="9:12">
      <c r="I1783" t="str">
        <f>IF(OR($A1783="",$B1783=""),"",IF(COUNTIFS($A$2:$A1783,$A1783,$B$2:$B1783,$B1783)=1,1,0))</f>
        <v/>
      </c>
      <c r="J1783" t="str">
        <f t="shared" si="27"/>
        <v/>
      </c>
      <c r="L1783" t="str">
        <f>IF('01_Warehouse_Ledger'!$A1783="","",'01_Warehouse_Ledger'!$A1783)</f>
        <v/>
      </c>
    </row>
    <row r="1784" spans="9:12">
      <c r="I1784" t="str">
        <f>IF(OR($A1784="",$B1784=""),"",IF(COUNTIFS($A$2:$A1784,$A1784,$B$2:$B1784,$B1784)=1,1,0))</f>
        <v/>
      </c>
      <c r="J1784" t="str">
        <f t="shared" si="27"/>
        <v/>
      </c>
      <c r="L1784" t="str">
        <f>IF('01_Warehouse_Ledger'!$A1784="","",'01_Warehouse_Ledger'!$A1784)</f>
        <v/>
      </c>
    </row>
    <row r="1785" spans="9:12">
      <c r="I1785" t="str">
        <f>IF(OR($A1785="",$B1785=""),"",IF(COUNTIFS($A$2:$A1785,$A1785,$B$2:$B1785,$B1785)=1,1,0))</f>
        <v/>
      </c>
      <c r="J1785" t="str">
        <f t="shared" si="27"/>
        <v/>
      </c>
      <c r="L1785" t="str">
        <f>IF('01_Warehouse_Ledger'!$A1785="","",'01_Warehouse_Ledger'!$A1785)</f>
        <v/>
      </c>
    </row>
    <row r="1786" spans="9:12">
      <c r="I1786" t="str">
        <f>IF(OR($A1786="",$B1786=""),"",IF(COUNTIFS($A$2:$A1786,$A1786,$B$2:$B1786,$B1786)=1,1,0))</f>
        <v/>
      </c>
      <c r="J1786" t="str">
        <f t="shared" si="27"/>
        <v/>
      </c>
      <c r="L1786" t="str">
        <f>IF('01_Warehouse_Ledger'!$A1786="","",'01_Warehouse_Ledger'!$A1786)</f>
        <v/>
      </c>
    </row>
    <row r="1787" spans="9:12">
      <c r="I1787" t="str">
        <f>IF(OR($A1787="",$B1787=""),"",IF(COUNTIFS($A$2:$A1787,$A1787,$B$2:$B1787,$B1787)=1,1,0))</f>
        <v/>
      </c>
      <c r="J1787" t="str">
        <f t="shared" si="27"/>
        <v/>
      </c>
      <c r="L1787" t="str">
        <f>IF('01_Warehouse_Ledger'!$A1787="","",'01_Warehouse_Ledger'!$A1787)</f>
        <v/>
      </c>
    </row>
    <row r="1788" spans="9:12">
      <c r="I1788" t="str">
        <f>IF(OR($A1788="",$B1788=""),"",IF(COUNTIFS($A$2:$A1788,$A1788,$B$2:$B1788,$B1788)=1,1,0))</f>
        <v/>
      </c>
      <c r="J1788" t="str">
        <f t="shared" si="27"/>
        <v/>
      </c>
      <c r="L1788" t="str">
        <f>IF('01_Warehouse_Ledger'!$A1788="","",'01_Warehouse_Ledger'!$A1788)</f>
        <v/>
      </c>
    </row>
    <row r="1789" spans="9:12">
      <c r="I1789" t="str">
        <f>IF(OR($A1789="",$B1789=""),"",IF(COUNTIFS($A$2:$A1789,$A1789,$B$2:$B1789,$B1789)=1,1,0))</f>
        <v/>
      </c>
      <c r="J1789" t="str">
        <f t="shared" si="27"/>
        <v/>
      </c>
      <c r="L1789" t="str">
        <f>IF('01_Warehouse_Ledger'!$A1789="","",'01_Warehouse_Ledger'!$A1789)</f>
        <v/>
      </c>
    </row>
    <row r="1790" spans="9:12">
      <c r="I1790" t="str">
        <f>IF(OR($A1790="",$B1790=""),"",IF(COUNTIFS($A$2:$A1790,$A1790,$B$2:$B1790,$B1790)=1,1,0))</f>
        <v/>
      </c>
      <c r="J1790" t="str">
        <f t="shared" si="27"/>
        <v/>
      </c>
      <c r="L1790" t="str">
        <f>IF('01_Warehouse_Ledger'!$A1790="","",'01_Warehouse_Ledger'!$A1790)</f>
        <v/>
      </c>
    </row>
    <row r="1791" spans="9:12">
      <c r="I1791" t="str">
        <f>IF(OR($A1791="",$B1791=""),"",IF(COUNTIFS($A$2:$A1791,$A1791,$B$2:$B1791,$B1791)=1,1,0))</f>
        <v/>
      </c>
      <c r="J1791" t="str">
        <f t="shared" si="27"/>
        <v/>
      </c>
      <c r="L1791" t="str">
        <f>IF('01_Warehouse_Ledger'!$A1791="","",'01_Warehouse_Ledger'!$A1791)</f>
        <v/>
      </c>
    </row>
    <row r="1792" spans="9:12">
      <c r="I1792" t="str">
        <f>IF(OR($A1792="",$B1792=""),"",IF(COUNTIFS($A$2:$A1792,$A1792,$B$2:$B1792,$B1792)=1,1,0))</f>
        <v/>
      </c>
      <c r="J1792" t="str">
        <f t="shared" si="27"/>
        <v/>
      </c>
      <c r="L1792" t="str">
        <f>IF('01_Warehouse_Ledger'!$A1792="","",'01_Warehouse_Ledger'!$A1792)</f>
        <v/>
      </c>
    </row>
    <row r="1793" spans="9:12">
      <c r="I1793" t="str">
        <f>IF(OR($A1793="",$B1793=""),"",IF(COUNTIFS($A$2:$A1793,$A1793,$B$2:$B1793,$B1793)=1,1,0))</f>
        <v/>
      </c>
      <c r="J1793" t="str">
        <f t="shared" si="27"/>
        <v/>
      </c>
      <c r="L1793" t="str">
        <f>IF('01_Warehouse_Ledger'!$A1793="","",'01_Warehouse_Ledger'!$A1793)</f>
        <v/>
      </c>
    </row>
    <row r="1794" spans="9:12">
      <c r="I1794" t="str">
        <f>IF(OR($A1794="",$B1794=""),"",IF(COUNTIFS($A$2:$A1794,$A1794,$B$2:$B1794,$B1794)=1,1,0))</f>
        <v/>
      </c>
      <c r="J1794" t="str">
        <f t="shared" ref="J1794:J1857" si="28">IF($A1794="","",ROW())</f>
        <v/>
      </c>
      <c r="L1794" t="str">
        <f>IF('01_Warehouse_Ledger'!$A1794="","",'01_Warehouse_Ledger'!$A1794)</f>
        <v/>
      </c>
    </row>
    <row r="1795" spans="9:12">
      <c r="I1795" t="str">
        <f>IF(OR($A1795="",$B1795=""),"",IF(COUNTIFS($A$2:$A1795,$A1795,$B$2:$B1795,$B1795)=1,1,0))</f>
        <v/>
      </c>
      <c r="J1795" t="str">
        <f t="shared" si="28"/>
        <v/>
      </c>
      <c r="L1795" t="str">
        <f>IF('01_Warehouse_Ledger'!$A1795="","",'01_Warehouse_Ledger'!$A1795)</f>
        <v/>
      </c>
    </row>
    <row r="1796" spans="9:12">
      <c r="I1796" t="str">
        <f>IF(OR($A1796="",$B1796=""),"",IF(COUNTIFS($A$2:$A1796,$A1796,$B$2:$B1796,$B1796)=1,1,0))</f>
        <v/>
      </c>
      <c r="J1796" t="str">
        <f t="shared" si="28"/>
        <v/>
      </c>
      <c r="L1796" t="str">
        <f>IF('01_Warehouse_Ledger'!$A1796="","",'01_Warehouse_Ledger'!$A1796)</f>
        <v/>
      </c>
    </row>
    <row r="1797" spans="9:12">
      <c r="I1797" t="str">
        <f>IF(OR($A1797="",$B1797=""),"",IF(COUNTIFS($A$2:$A1797,$A1797,$B$2:$B1797,$B1797)=1,1,0))</f>
        <v/>
      </c>
      <c r="J1797" t="str">
        <f t="shared" si="28"/>
        <v/>
      </c>
      <c r="L1797" t="str">
        <f>IF('01_Warehouse_Ledger'!$A1797="","",'01_Warehouse_Ledger'!$A1797)</f>
        <v/>
      </c>
    </row>
    <row r="1798" spans="9:12">
      <c r="I1798" t="str">
        <f>IF(OR($A1798="",$B1798=""),"",IF(COUNTIFS($A$2:$A1798,$A1798,$B$2:$B1798,$B1798)=1,1,0))</f>
        <v/>
      </c>
      <c r="J1798" t="str">
        <f t="shared" si="28"/>
        <v/>
      </c>
      <c r="L1798" t="str">
        <f>IF('01_Warehouse_Ledger'!$A1798="","",'01_Warehouse_Ledger'!$A1798)</f>
        <v/>
      </c>
    </row>
    <row r="1799" spans="9:12">
      <c r="I1799" t="str">
        <f>IF(OR($A1799="",$B1799=""),"",IF(COUNTIFS($A$2:$A1799,$A1799,$B$2:$B1799,$B1799)=1,1,0))</f>
        <v/>
      </c>
      <c r="J1799" t="str">
        <f t="shared" si="28"/>
        <v/>
      </c>
      <c r="L1799" t="str">
        <f>IF('01_Warehouse_Ledger'!$A1799="","",'01_Warehouse_Ledger'!$A1799)</f>
        <v/>
      </c>
    </row>
    <row r="1800" spans="9:12">
      <c r="I1800" t="str">
        <f>IF(OR($A1800="",$B1800=""),"",IF(COUNTIFS($A$2:$A1800,$A1800,$B$2:$B1800,$B1800)=1,1,0))</f>
        <v/>
      </c>
      <c r="J1800" t="str">
        <f t="shared" si="28"/>
        <v/>
      </c>
      <c r="L1800" t="str">
        <f>IF('01_Warehouse_Ledger'!$A1800="","",'01_Warehouse_Ledger'!$A1800)</f>
        <v/>
      </c>
    </row>
    <row r="1801" spans="9:12">
      <c r="I1801" t="str">
        <f>IF(OR($A1801="",$B1801=""),"",IF(COUNTIFS($A$2:$A1801,$A1801,$B$2:$B1801,$B1801)=1,1,0))</f>
        <v/>
      </c>
      <c r="J1801" t="str">
        <f t="shared" si="28"/>
        <v/>
      </c>
      <c r="L1801" t="str">
        <f>IF('01_Warehouse_Ledger'!$A1801="","",'01_Warehouse_Ledger'!$A1801)</f>
        <v/>
      </c>
    </row>
    <row r="1802" spans="9:12">
      <c r="I1802" t="str">
        <f>IF(OR($A1802="",$B1802=""),"",IF(COUNTIFS($A$2:$A1802,$A1802,$B$2:$B1802,$B1802)=1,1,0))</f>
        <v/>
      </c>
      <c r="J1802" t="str">
        <f t="shared" si="28"/>
        <v/>
      </c>
      <c r="L1802" t="str">
        <f>IF('01_Warehouse_Ledger'!$A1802="","",'01_Warehouse_Ledger'!$A1802)</f>
        <v/>
      </c>
    </row>
    <row r="1803" spans="9:12">
      <c r="I1803" t="str">
        <f>IF(OR($A1803="",$B1803=""),"",IF(COUNTIFS($A$2:$A1803,$A1803,$B$2:$B1803,$B1803)=1,1,0))</f>
        <v/>
      </c>
      <c r="J1803" t="str">
        <f t="shared" si="28"/>
        <v/>
      </c>
      <c r="L1803" t="str">
        <f>IF('01_Warehouse_Ledger'!$A1803="","",'01_Warehouse_Ledger'!$A1803)</f>
        <v/>
      </c>
    </row>
    <row r="1804" spans="9:12">
      <c r="I1804" t="str">
        <f>IF(OR($A1804="",$B1804=""),"",IF(COUNTIFS($A$2:$A1804,$A1804,$B$2:$B1804,$B1804)=1,1,0))</f>
        <v/>
      </c>
      <c r="J1804" t="str">
        <f t="shared" si="28"/>
        <v/>
      </c>
      <c r="L1804" t="str">
        <f>IF('01_Warehouse_Ledger'!$A1804="","",'01_Warehouse_Ledger'!$A1804)</f>
        <v/>
      </c>
    </row>
    <row r="1805" spans="9:12">
      <c r="I1805" t="str">
        <f>IF(OR($A1805="",$B1805=""),"",IF(COUNTIFS($A$2:$A1805,$A1805,$B$2:$B1805,$B1805)=1,1,0))</f>
        <v/>
      </c>
      <c r="J1805" t="str">
        <f t="shared" si="28"/>
        <v/>
      </c>
      <c r="L1805" t="str">
        <f>IF('01_Warehouse_Ledger'!$A1805="","",'01_Warehouse_Ledger'!$A1805)</f>
        <v/>
      </c>
    </row>
    <row r="1806" spans="9:12">
      <c r="I1806" t="str">
        <f>IF(OR($A1806="",$B1806=""),"",IF(COUNTIFS($A$2:$A1806,$A1806,$B$2:$B1806,$B1806)=1,1,0))</f>
        <v/>
      </c>
      <c r="J1806" t="str">
        <f t="shared" si="28"/>
        <v/>
      </c>
      <c r="L1806" t="str">
        <f>IF('01_Warehouse_Ledger'!$A1806="","",'01_Warehouse_Ledger'!$A1806)</f>
        <v/>
      </c>
    </row>
    <row r="1807" spans="9:12">
      <c r="I1807" t="str">
        <f>IF(OR($A1807="",$B1807=""),"",IF(COUNTIFS($A$2:$A1807,$A1807,$B$2:$B1807,$B1807)=1,1,0))</f>
        <v/>
      </c>
      <c r="J1807" t="str">
        <f t="shared" si="28"/>
        <v/>
      </c>
      <c r="L1807" t="str">
        <f>IF('01_Warehouse_Ledger'!$A1807="","",'01_Warehouse_Ledger'!$A1807)</f>
        <v/>
      </c>
    </row>
    <row r="1808" spans="9:12">
      <c r="I1808" t="str">
        <f>IF(OR($A1808="",$B1808=""),"",IF(COUNTIFS($A$2:$A1808,$A1808,$B$2:$B1808,$B1808)=1,1,0))</f>
        <v/>
      </c>
      <c r="J1808" t="str">
        <f t="shared" si="28"/>
        <v/>
      </c>
      <c r="L1808" t="str">
        <f>IF('01_Warehouse_Ledger'!$A1808="","",'01_Warehouse_Ledger'!$A1808)</f>
        <v/>
      </c>
    </row>
    <row r="1809" spans="9:12">
      <c r="I1809" t="str">
        <f>IF(OR($A1809="",$B1809=""),"",IF(COUNTIFS($A$2:$A1809,$A1809,$B$2:$B1809,$B1809)=1,1,0))</f>
        <v/>
      </c>
      <c r="J1809" t="str">
        <f t="shared" si="28"/>
        <v/>
      </c>
      <c r="L1809" t="str">
        <f>IF('01_Warehouse_Ledger'!$A1809="","",'01_Warehouse_Ledger'!$A1809)</f>
        <v/>
      </c>
    </row>
    <row r="1810" spans="9:12">
      <c r="I1810" t="str">
        <f>IF(OR($A1810="",$B1810=""),"",IF(COUNTIFS($A$2:$A1810,$A1810,$B$2:$B1810,$B1810)=1,1,0))</f>
        <v/>
      </c>
      <c r="J1810" t="str">
        <f t="shared" si="28"/>
        <v/>
      </c>
      <c r="L1810" t="str">
        <f>IF('01_Warehouse_Ledger'!$A1810="","",'01_Warehouse_Ledger'!$A1810)</f>
        <v/>
      </c>
    </row>
    <row r="1811" spans="9:12">
      <c r="I1811" t="str">
        <f>IF(OR($A1811="",$B1811=""),"",IF(COUNTIFS($A$2:$A1811,$A1811,$B$2:$B1811,$B1811)=1,1,0))</f>
        <v/>
      </c>
      <c r="J1811" t="str">
        <f t="shared" si="28"/>
        <v/>
      </c>
      <c r="L1811" t="str">
        <f>IF('01_Warehouse_Ledger'!$A1811="","",'01_Warehouse_Ledger'!$A1811)</f>
        <v/>
      </c>
    </row>
    <row r="1812" spans="9:12">
      <c r="I1812" t="str">
        <f>IF(OR($A1812="",$B1812=""),"",IF(COUNTIFS($A$2:$A1812,$A1812,$B$2:$B1812,$B1812)=1,1,0))</f>
        <v/>
      </c>
      <c r="J1812" t="str">
        <f t="shared" si="28"/>
        <v/>
      </c>
      <c r="L1812" t="str">
        <f>IF('01_Warehouse_Ledger'!$A1812="","",'01_Warehouse_Ledger'!$A1812)</f>
        <v/>
      </c>
    </row>
    <row r="1813" spans="9:12">
      <c r="I1813" t="str">
        <f>IF(OR($A1813="",$B1813=""),"",IF(COUNTIFS($A$2:$A1813,$A1813,$B$2:$B1813,$B1813)=1,1,0))</f>
        <v/>
      </c>
      <c r="J1813" t="str">
        <f t="shared" si="28"/>
        <v/>
      </c>
      <c r="L1813" t="str">
        <f>IF('01_Warehouse_Ledger'!$A1813="","",'01_Warehouse_Ledger'!$A1813)</f>
        <v/>
      </c>
    </row>
    <row r="1814" spans="9:12">
      <c r="I1814" t="str">
        <f>IF(OR($A1814="",$B1814=""),"",IF(COUNTIFS($A$2:$A1814,$A1814,$B$2:$B1814,$B1814)=1,1,0))</f>
        <v/>
      </c>
      <c r="J1814" t="str">
        <f t="shared" si="28"/>
        <v/>
      </c>
      <c r="L1814" t="str">
        <f>IF('01_Warehouse_Ledger'!$A1814="","",'01_Warehouse_Ledger'!$A1814)</f>
        <v/>
      </c>
    </row>
    <row r="1815" spans="9:12">
      <c r="I1815" t="str">
        <f>IF(OR($A1815="",$B1815=""),"",IF(COUNTIFS($A$2:$A1815,$A1815,$B$2:$B1815,$B1815)=1,1,0))</f>
        <v/>
      </c>
      <c r="J1815" t="str">
        <f t="shared" si="28"/>
        <v/>
      </c>
      <c r="L1815" t="str">
        <f>IF('01_Warehouse_Ledger'!$A1815="","",'01_Warehouse_Ledger'!$A1815)</f>
        <v/>
      </c>
    </row>
    <row r="1816" spans="9:12">
      <c r="I1816" t="str">
        <f>IF(OR($A1816="",$B1816=""),"",IF(COUNTIFS($A$2:$A1816,$A1816,$B$2:$B1816,$B1816)=1,1,0))</f>
        <v/>
      </c>
      <c r="J1816" t="str">
        <f t="shared" si="28"/>
        <v/>
      </c>
      <c r="L1816" t="str">
        <f>IF('01_Warehouse_Ledger'!$A1816="","",'01_Warehouse_Ledger'!$A1816)</f>
        <v/>
      </c>
    </row>
    <row r="1817" spans="9:12">
      <c r="I1817" t="str">
        <f>IF(OR($A1817="",$B1817=""),"",IF(COUNTIFS($A$2:$A1817,$A1817,$B$2:$B1817,$B1817)=1,1,0))</f>
        <v/>
      </c>
      <c r="J1817" t="str">
        <f t="shared" si="28"/>
        <v/>
      </c>
      <c r="L1817" t="str">
        <f>IF('01_Warehouse_Ledger'!$A1817="","",'01_Warehouse_Ledger'!$A1817)</f>
        <v/>
      </c>
    </row>
    <row r="1818" spans="9:12">
      <c r="I1818" t="str">
        <f>IF(OR($A1818="",$B1818=""),"",IF(COUNTIFS($A$2:$A1818,$A1818,$B$2:$B1818,$B1818)=1,1,0))</f>
        <v/>
      </c>
      <c r="J1818" t="str">
        <f t="shared" si="28"/>
        <v/>
      </c>
      <c r="L1818" t="str">
        <f>IF('01_Warehouse_Ledger'!$A1818="","",'01_Warehouse_Ledger'!$A1818)</f>
        <v/>
      </c>
    </row>
    <row r="1819" spans="9:12">
      <c r="I1819" t="str">
        <f>IF(OR($A1819="",$B1819=""),"",IF(COUNTIFS($A$2:$A1819,$A1819,$B$2:$B1819,$B1819)=1,1,0))</f>
        <v/>
      </c>
      <c r="J1819" t="str">
        <f t="shared" si="28"/>
        <v/>
      </c>
      <c r="L1819" t="str">
        <f>IF('01_Warehouse_Ledger'!$A1819="","",'01_Warehouse_Ledger'!$A1819)</f>
        <v/>
      </c>
    </row>
    <row r="1820" spans="9:12">
      <c r="I1820" t="str">
        <f>IF(OR($A1820="",$B1820=""),"",IF(COUNTIFS($A$2:$A1820,$A1820,$B$2:$B1820,$B1820)=1,1,0))</f>
        <v/>
      </c>
      <c r="J1820" t="str">
        <f t="shared" si="28"/>
        <v/>
      </c>
      <c r="L1820" t="str">
        <f>IF('01_Warehouse_Ledger'!$A1820="","",'01_Warehouse_Ledger'!$A1820)</f>
        <v/>
      </c>
    </row>
    <row r="1821" spans="9:12">
      <c r="I1821" t="str">
        <f>IF(OR($A1821="",$B1821=""),"",IF(COUNTIFS($A$2:$A1821,$A1821,$B$2:$B1821,$B1821)=1,1,0))</f>
        <v/>
      </c>
      <c r="J1821" t="str">
        <f t="shared" si="28"/>
        <v/>
      </c>
      <c r="L1821" t="str">
        <f>IF('01_Warehouse_Ledger'!$A1821="","",'01_Warehouse_Ledger'!$A1821)</f>
        <v/>
      </c>
    </row>
    <row r="1822" spans="9:12">
      <c r="I1822" t="str">
        <f>IF(OR($A1822="",$B1822=""),"",IF(COUNTIFS($A$2:$A1822,$A1822,$B$2:$B1822,$B1822)=1,1,0))</f>
        <v/>
      </c>
      <c r="J1822" t="str">
        <f t="shared" si="28"/>
        <v/>
      </c>
      <c r="L1822" t="str">
        <f>IF('01_Warehouse_Ledger'!$A1822="","",'01_Warehouse_Ledger'!$A1822)</f>
        <v/>
      </c>
    </row>
    <row r="1823" spans="9:12">
      <c r="I1823" t="str">
        <f>IF(OR($A1823="",$B1823=""),"",IF(COUNTIFS($A$2:$A1823,$A1823,$B$2:$B1823,$B1823)=1,1,0))</f>
        <v/>
      </c>
      <c r="J1823" t="str">
        <f t="shared" si="28"/>
        <v/>
      </c>
      <c r="L1823" t="str">
        <f>IF('01_Warehouse_Ledger'!$A1823="","",'01_Warehouse_Ledger'!$A1823)</f>
        <v/>
      </c>
    </row>
    <row r="1824" spans="9:12">
      <c r="I1824" t="str">
        <f>IF(OR($A1824="",$B1824=""),"",IF(COUNTIFS($A$2:$A1824,$A1824,$B$2:$B1824,$B1824)=1,1,0))</f>
        <v/>
      </c>
      <c r="J1824" t="str">
        <f t="shared" si="28"/>
        <v/>
      </c>
      <c r="L1824" t="str">
        <f>IF('01_Warehouse_Ledger'!$A1824="","",'01_Warehouse_Ledger'!$A1824)</f>
        <v/>
      </c>
    </row>
    <row r="1825" spans="9:12">
      <c r="I1825" t="str">
        <f>IF(OR($A1825="",$B1825=""),"",IF(COUNTIFS($A$2:$A1825,$A1825,$B$2:$B1825,$B1825)=1,1,0))</f>
        <v/>
      </c>
      <c r="J1825" t="str">
        <f t="shared" si="28"/>
        <v/>
      </c>
      <c r="L1825" t="str">
        <f>IF('01_Warehouse_Ledger'!$A1825="","",'01_Warehouse_Ledger'!$A1825)</f>
        <v/>
      </c>
    </row>
    <row r="1826" spans="9:12">
      <c r="I1826" t="str">
        <f>IF(OR($A1826="",$B1826=""),"",IF(COUNTIFS($A$2:$A1826,$A1826,$B$2:$B1826,$B1826)=1,1,0))</f>
        <v/>
      </c>
      <c r="J1826" t="str">
        <f t="shared" si="28"/>
        <v/>
      </c>
      <c r="L1826" t="str">
        <f>IF('01_Warehouse_Ledger'!$A1826="","",'01_Warehouse_Ledger'!$A1826)</f>
        <v/>
      </c>
    </row>
    <row r="1827" spans="9:12">
      <c r="I1827" t="str">
        <f>IF(OR($A1827="",$B1827=""),"",IF(COUNTIFS($A$2:$A1827,$A1827,$B$2:$B1827,$B1827)=1,1,0))</f>
        <v/>
      </c>
      <c r="J1827" t="str">
        <f t="shared" si="28"/>
        <v/>
      </c>
      <c r="L1827" t="str">
        <f>IF('01_Warehouse_Ledger'!$A1827="","",'01_Warehouse_Ledger'!$A1827)</f>
        <v/>
      </c>
    </row>
    <row r="1828" spans="9:12">
      <c r="I1828" t="str">
        <f>IF(OR($A1828="",$B1828=""),"",IF(COUNTIFS($A$2:$A1828,$A1828,$B$2:$B1828,$B1828)=1,1,0))</f>
        <v/>
      </c>
      <c r="J1828" t="str">
        <f t="shared" si="28"/>
        <v/>
      </c>
      <c r="L1828" t="str">
        <f>IF('01_Warehouse_Ledger'!$A1828="","",'01_Warehouse_Ledger'!$A1828)</f>
        <v/>
      </c>
    </row>
    <row r="1829" spans="9:12">
      <c r="I1829" t="str">
        <f>IF(OR($A1829="",$B1829=""),"",IF(COUNTIFS($A$2:$A1829,$A1829,$B$2:$B1829,$B1829)=1,1,0))</f>
        <v/>
      </c>
      <c r="J1829" t="str">
        <f t="shared" si="28"/>
        <v/>
      </c>
      <c r="L1829" t="str">
        <f>IF('01_Warehouse_Ledger'!$A1829="","",'01_Warehouse_Ledger'!$A1829)</f>
        <v/>
      </c>
    </row>
    <row r="1830" spans="9:12">
      <c r="I1830" t="str">
        <f>IF(OR($A1830="",$B1830=""),"",IF(COUNTIFS($A$2:$A1830,$A1830,$B$2:$B1830,$B1830)=1,1,0))</f>
        <v/>
      </c>
      <c r="J1830" t="str">
        <f t="shared" si="28"/>
        <v/>
      </c>
      <c r="L1830" t="str">
        <f>IF('01_Warehouse_Ledger'!$A1830="","",'01_Warehouse_Ledger'!$A1830)</f>
        <v/>
      </c>
    </row>
    <row r="1831" spans="9:12">
      <c r="I1831" t="str">
        <f>IF(OR($A1831="",$B1831=""),"",IF(COUNTIFS($A$2:$A1831,$A1831,$B$2:$B1831,$B1831)=1,1,0))</f>
        <v/>
      </c>
      <c r="J1831" t="str">
        <f t="shared" si="28"/>
        <v/>
      </c>
      <c r="L1831" t="str">
        <f>IF('01_Warehouse_Ledger'!$A1831="","",'01_Warehouse_Ledger'!$A1831)</f>
        <v/>
      </c>
    </row>
    <row r="1832" spans="9:12">
      <c r="I1832" t="str">
        <f>IF(OR($A1832="",$B1832=""),"",IF(COUNTIFS($A$2:$A1832,$A1832,$B$2:$B1832,$B1832)=1,1,0))</f>
        <v/>
      </c>
      <c r="J1832" t="str">
        <f t="shared" si="28"/>
        <v/>
      </c>
      <c r="L1832" t="str">
        <f>IF('01_Warehouse_Ledger'!$A1832="","",'01_Warehouse_Ledger'!$A1832)</f>
        <v/>
      </c>
    </row>
    <row r="1833" spans="9:12">
      <c r="I1833" t="str">
        <f>IF(OR($A1833="",$B1833=""),"",IF(COUNTIFS($A$2:$A1833,$A1833,$B$2:$B1833,$B1833)=1,1,0))</f>
        <v/>
      </c>
      <c r="J1833" t="str">
        <f t="shared" si="28"/>
        <v/>
      </c>
      <c r="L1833" t="str">
        <f>IF('01_Warehouse_Ledger'!$A1833="","",'01_Warehouse_Ledger'!$A1833)</f>
        <v/>
      </c>
    </row>
    <row r="1834" spans="9:12">
      <c r="I1834" t="str">
        <f>IF(OR($A1834="",$B1834=""),"",IF(COUNTIFS($A$2:$A1834,$A1834,$B$2:$B1834,$B1834)=1,1,0))</f>
        <v/>
      </c>
      <c r="J1834" t="str">
        <f t="shared" si="28"/>
        <v/>
      </c>
      <c r="L1834" t="str">
        <f>IF('01_Warehouse_Ledger'!$A1834="","",'01_Warehouse_Ledger'!$A1834)</f>
        <v/>
      </c>
    </row>
    <row r="1835" spans="9:12">
      <c r="I1835" t="str">
        <f>IF(OR($A1835="",$B1835=""),"",IF(COUNTIFS($A$2:$A1835,$A1835,$B$2:$B1835,$B1835)=1,1,0))</f>
        <v/>
      </c>
      <c r="J1835" t="str">
        <f t="shared" si="28"/>
        <v/>
      </c>
      <c r="L1835" t="str">
        <f>IF('01_Warehouse_Ledger'!$A1835="","",'01_Warehouse_Ledger'!$A1835)</f>
        <v/>
      </c>
    </row>
    <row r="1836" spans="9:12">
      <c r="I1836" t="str">
        <f>IF(OR($A1836="",$B1836=""),"",IF(COUNTIFS($A$2:$A1836,$A1836,$B$2:$B1836,$B1836)=1,1,0))</f>
        <v/>
      </c>
      <c r="J1836" t="str">
        <f t="shared" si="28"/>
        <v/>
      </c>
      <c r="L1836" t="str">
        <f>IF('01_Warehouse_Ledger'!$A1836="","",'01_Warehouse_Ledger'!$A1836)</f>
        <v/>
      </c>
    </row>
    <row r="1837" spans="9:12">
      <c r="I1837" t="str">
        <f>IF(OR($A1837="",$B1837=""),"",IF(COUNTIFS($A$2:$A1837,$A1837,$B$2:$B1837,$B1837)=1,1,0))</f>
        <v/>
      </c>
      <c r="J1837" t="str">
        <f t="shared" si="28"/>
        <v/>
      </c>
      <c r="L1837" t="str">
        <f>IF('01_Warehouse_Ledger'!$A1837="","",'01_Warehouse_Ledger'!$A1837)</f>
        <v/>
      </c>
    </row>
    <row r="1838" spans="9:12">
      <c r="I1838" t="str">
        <f>IF(OR($A1838="",$B1838=""),"",IF(COUNTIFS($A$2:$A1838,$A1838,$B$2:$B1838,$B1838)=1,1,0))</f>
        <v/>
      </c>
      <c r="J1838" t="str">
        <f t="shared" si="28"/>
        <v/>
      </c>
      <c r="L1838" t="str">
        <f>IF('01_Warehouse_Ledger'!$A1838="","",'01_Warehouse_Ledger'!$A1838)</f>
        <v/>
      </c>
    </row>
    <row r="1839" spans="9:12">
      <c r="I1839" t="str">
        <f>IF(OR($A1839="",$B1839=""),"",IF(COUNTIFS($A$2:$A1839,$A1839,$B$2:$B1839,$B1839)=1,1,0))</f>
        <v/>
      </c>
      <c r="J1839" t="str">
        <f t="shared" si="28"/>
        <v/>
      </c>
      <c r="L1839" t="str">
        <f>IF('01_Warehouse_Ledger'!$A1839="","",'01_Warehouse_Ledger'!$A1839)</f>
        <v/>
      </c>
    </row>
    <row r="1840" spans="9:12">
      <c r="I1840" t="str">
        <f>IF(OR($A1840="",$B1840=""),"",IF(COUNTIFS($A$2:$A1840,$A1840,$B$2:$B1840,$B1840)=1,1,0))</f>
        <v/>
      </c>
      <c r="J1840" t="str">
        <f t="shared" si="28"/>
        <v/>
      </c>
      <c r="L1840" t="str">
        <f>IF('01_Warehouse_Ledger'!$A1840="","",'01_Warehouse_Ledger'!$A1840)</f>
        <v/>
      </c>
    </row>
    <row r="1841" spans="9:12">
      <c r="I1841" t="str">
        <f>IF(OR($A1841="",$B1841=""),"",IF(COUNTIFS($A$2:$A1841,$A1841,$B$2:$B1841,$B1841)=1,1,0))</f>
        <v/>
      </c>
      <c r="J1841" t="str">
        <f t="shared" si="28"/>
        <v/>
      </c>
      <c r="L1841" t="str">
        <f>IF('01_Warehouse_Ledger'!$A1841="","",'01_Warehouse_Ledger'!$A1841)</f>
        <v/>
      </c>
    </row>
    <row r="1842" spans="9:12">
      <c r="I1842" t="str">
        <f>IF(OR($A1842="",$B1842=""),"",IF(COUNTIFS($A$2:$A1842,$A1842,$B$2:$B1842,$B1842)=1,1,0))</f>
        <v/>
      </c>
      <c r="J1842" t="str">
        <f t="shared" si="28"/>
        <v/>
      </c>
      <c r="L1842" t="str">
        <f>IF('01_Warehouse_Ledger'!$A1842="","",'01_Warehouse_Ledger'!$A1842)</f>
        <v/>
      </c>
    </row>
    <row r="1843" spans="9:12">
      <c r="I1843" t="str">
        <f>IF(OR($A1843="",$B1843=""),"",IF(COUNTIFS($A$2:$A1843,$A1843,$B$2:$B1843,$B1843)=1,1,0))</f>
        <v/>
      </c>
      <c r="J1843" t="str">
        <f t="shared" si="28"/>
        <v/>
      </c>
      <c r="L1843" t="str">
        <f>IF('01_Warehouse_Ledger'!$A1843="","",'01_Warehouse_Ledger'!$A1843)</f>
        <v/>
      </c>
    </row>
    <row r="1844" spans="9:12">
      <c r="I1844" t="str">
        <f>IF(OR($A1844="",$B1844=""),"",IF(COUNTIFS($A$2:$A1844,$A1844,$B$2:$B1844,$B1844)=1,1,0))</f>
        <v/>
      </c>
      <c r="J1844" t="str">
        <f t="shared" si="28"/>
        <v/>
      </c>
      <c r="L1844" t="str">
        <f>IF('01_Warehouse_Ledger'!$A1844="","",'01_Warehouse_Ledger'!$A1844)</f>
        <v/>
      </c>
    </row>
    <row r="1845" spans="9:12">
      <c r="I1845" t="str">
        <f>IF(OR($A1845="",$B1845=""),"",IF(COUNTIFS($A$2:$A1845,$A1845,$B$2:$B1845,$B1845)=1,1,0))</f>
        <v/>
      </c>
      <c r="J1845" t="str">
        <f t="shared" si="28"/>
        <v/>
      </c>
      <c r="L1845" t="str">
        <f>IF('01_Warehouse_Ledger'!$A1845="","",'01_Warehouse_Ledger'!$A1845)</f>
        <v/>
      </c>
    </row>
    <row r="1846" spans="9:12">
      <c r="I1846" t="str">
        <f>IF(OR($A1846="",$B1846=""),"",IF(COUNTIFS($A$2:$A1846,$A1846,$B$2:$B1846,$B1846)=1,1,0))</f>
        <v/>
      </c>
      <c r="J1846" t="str">
        <f t="shared" si="28"/>
        <v/>
      </c>
      <c r="L1846" t="str">
        <f>IF('01_Warehouse_Ledger'!$A1846="","",'01_Warehouse_Ledger'!$A1846)</f>
        <v/>
      </c>
    </row>
    <row r="1847" spans="9:12">
      <c r="I1847" t="str">
        <f>IF(OR($A1847="",$B1847=""),"",IF(COUNTIFS($A$2:$A1847,$A1847,$B$2:$B1847,$B1847)=1,1,0))</f>
        <v/>
      </c>
      <c r="J1847" t="str">
        <f t="shared" si="28"/>
        <v/>
      </c>
      <c r="L1847" t="str">
        <f>IF('01_Warehouse_Ledger'!$A1847="","",'01_Warehouse_Ledger'!$A1847)</f>
        <v/>
      </c>
    </row>
    <row r="1848" spans="9:12">
      <c r="I1848" t="str">
        <f>IF(OR($A1848="",$B1848=""),"",IF(COUNTIFS($A$2:$A1848,$A1848,$B$2:$B1848,$B1848)=1,1,0))</f>
        <v/>
      </c>
      <c r="J1848" t="str">
        <f t="shared" si="28"/>
        <v/>
      </c>
      <c r="L1848" t="str">
        <f>IF('01_Warehouse_Ledger'!$A1848="","",'01_Warehouse_Ledger'!$A1848)</f>
        <v/>
      </c>
    </row>
    <row r="1849" spans="9:12">
      <c r="I1849" t="str">
        <f>IF(OR($A1849="",$B1849=""),"",IF(COUNTIFS($A$2:$A1849,$A1849,$B$2:$B1849,$B1849)=1,1,0))</f>
        <v/>
      </c>
      <c r="J1849" t="str">
        <f t="shared" si="28"/>
        <v/>
      </c>
      <c r="L1849" t="str">
        <f>IF('01_Warehouse_Ledger'!$A1849="","",'01_Warehouse_Ledger'!$A1849)</f>
        <v/>
      </c>
    </row>
    <row r="1850" spans="9:12">
      <c r="I1850" t="str">
        <f>IF(OR($A1850="",$B1850=""),"",IF(COUNTIFS($A$2:$A1850,$A1850,$B$2:$B1850,$B1850)=1,1,0))</f>
        <v/>
      </c>
      <c r="J1850" t="str">
        <f t="shared" si="28"/>
        <v/>
      </c>
      <c r="L1850" t="str">
        <f>IF('01_Warehouse_Ledger'!$A1850="","",'01_Warehouse_Ledger'!$A1850)</f>
        <v/>
      </c>
    </row>
    <row r="1851" spans="9:12">
      <c r="I1851" t="str">
        <f>IF(OR($A1851="",$B1851=""),"",IF(COUNTIFS($A$2:$A1851,$A1851,$B$2:$B1851,$B1851)=1,1,0))</f>
        <v/>
      </c>
      <c r="J1851" t="str">
        <f t="shared" si="28"/>
        <v/>
      </c>
      <c r="L1851" t="str">
        <f>IF('01_Warehouse_Ledger'!$A1851="","",'01_Warehouse_Ledger'!$A1851)</f>
        <v/>
      </c>
    </row>
    <row r="1852" spans="9:12">
      <c r="I1852" t="str">
        <f>IF(OR($A1852="",$B1852=""),"",IF(COUNTIFS($A$2:$A1852,$A1852,$B$2:$B1852,$B1852)=1,1,0))</f>
        <v/>
      </c>
      <c r="J1852" t="str">
        <f t="shared" si="28"/>
        <v/>
      </c>
      <c r="L1852" t="str">
        <f>IF('01_Warehouse_Ledger'!$A1852="","",'01_Warehouse_Ledger'!$A1852)</f>
        <v/>
      </c>
    </row>
    <row r="1853" spans="9:12">
      <c r="I1853" t="str">
        <f>IF(OR($A1853="",$B1853=""),"",IF(COUNTIFS($A$2:$A1853,$A1853,$B$2:$B1853,$B1853)=1,1,0))</f>
        <v/>
      </c>
      <c r="J1853" t="str">
        <f t="shared" si="28"/>
        <v/>
      </c>
      <c r="L1853" t="str">
        <f>IF('01_Warehouse_Ledger'!$A1853="","",'01_Warehouse_Ledger'!$A1853)</f>
        <v/>
      </c>
    </row>
    <row r="1854" spans="9:12">
      <c r="I1854" t="str">
        <f>IF(OR($A1854="",$B1854=""),"",IF(COUNTIFS($A$2:$A1854,$A1854,$B$2:$B1854,$B1854)=1,1,0))</f>
        <v/>
      </c>
      <c r="J1854" t="str">
        <f t="shared" si="28"/>
        <v/>
      </c>
      <c r="L1854" t="str">
        <f>IF('01_Warehouse_Ledger'!$A1854="","",'01_Warehouse_Ledger'!$A1854)</f>
        <v/>
      </c>
    </row>
    <row r="1855" spans="9:12">
      <c r="I1855" t="str">
        <f>IF(OR($A1855="",$B1855=""),"",IF(COUNTIFS($A$2:$A1855,$A1855,$B$2:$B1855,$B1855)=1,1,0))</f>
        <v/>
      </c>
      <c r="J1855" t="str">
        <f t="shared" si="28"/>
        <v/>
      </c>
      <c r="L1855" t="str">
        <f>IF('01_Warehouse_Ledger'!$A1855="","",'01_Warehouse_Ledger'!$A1855)</f>
        <v/>
      </c>
    </row>
    <row r="1856" spans="9:12">
      <c r="I1856" t="str">
        <f>IF(OR($A1856="",$B1856=""),"",IF(COUNTIFS($A$2:$A1856,$A1856,$B$2:$B1856,$B1856)=1,1,0))</f>
        <v/>
      </c>
      <c r="J1856" t="str">
        <f t="shared" si="28"/>
        <v/>
      </c>
      <c r="L1856" t="str">
        <f>IF('01_Warehouse_Ledger'!$A1856="","",'01_Warehouse_Ledger'!$A1856)</f>
        <v/>
      </c>
    </row>
    <row r="1857" spans="9:12">
      <c r="I1857" t="str">
        <f>IF(OR($A1857="",$B1857=""),"",IF(COUNTIFS($A$2:$A1857,$A1857,$B$2:$B1857,$B1857)=1,1,0))</f>
        <v/>
      </c>
      <c r="J1857" t="str">
        <f t="shared" si="28"/>
        <v/>
      </c>
      <c r="L1857" t="str">
        <f>IF('01_Warehouse_Ledger'!$A1857="","",'01_Warehouse_Ledger'!$A1857)</f>
        <v/>
      </c>
    </row>
    <row r="1858" spans="9:12">
      <c r="I1858" t="str">
        <f>IF(OR($A1858="",$B1858=""),"",IF(COUNTIFS($A$2:$A1858,$A1858,$B$2:$B1858,$B1858)=1,1,0))</f>
        <v/>
      </c>
      <c r="J1858" t="str">
        <f t="shared" ref="J1858:J1921" si="29">IF($A1858="","",ROW())</f>
        <v/>
      </c>
      <c r="L1858" t="str">
        <f>IF('01_Warehouse_Ledger'!$A1858="","",'01_Warehouse_Ledger'!$A1858)</f>
        <v/>
      </c>
    </row>
    <row r="1859" spans="9:12">
      <c r="I1859" t="str">
        <f>IF(OR($A1859="",$B1859=""),"",IF(COUNTIFS($A$2:$A1859,$A1859,$B$2:$B1859,$B1859)=1,1,0))</f>
        <v/>
      </c>
      <c r="J1859" t="str">
        <f t="shared" si="29"/>
        <v/>
      </c>
      <c r="L1859" t="str">
        <f>IF('01_Warehouse_Ledger'!$A1859="","",'01_Warehouse_Ledger'!$A1859)</f>
        <v/>
      </c>
    </row>
    <row r="1860" spans="9:12">
      <c r="I1860" t="str">
        <f>IF(OR($A1860="",$B1860=""),"",IF(COUNTIFS($A$2:$A1860,$A1860,$B$2:$B1860,$B1860)=1,1,0))</f>
        <v/>
      </c>
      <c r="J1860" t="str">
        <f t="shared" si="29"/>
        <v/>
      </c>
      <c r="L1860" t="str">
        <f>IF('01_Warehouse_Ledger'!$A1860="","",'01_Warehouse_Ledger'!$A1860)</f>
        <v/>
      </c>
    </row>
    <row r="1861" spans="9:12">
      <c r="I1861" t="str">
        <f>IF(OR($A1861="",$B1861=""),"",IF(COUNTIFS($A$2:$A1861,$A1861,$B$2:$B1861,$B1861)=1,1,0))</f>
        <v/>
      </c>
      <c r="J1861" t="str">
        <f t="shared" si="29"/>
        <v/>
      </c>
      <c r="L1861" t="str">
        <f>IF('01_Warehouse_Ledger'!$A1861="","",'01_Warehouse_Ledger'!$A1861)</f>
        <v/>
      </c>
    </row>
    <row r="1862" spans="9:12">
      <c r="I1862" t="str">
        <f>IF(OR($A1862="",$B1862=""),"",IF(COUNTIFS($A$2:$A1862,$A1862,$B$2:$B1862,$B1862)=1,1,0))</f>
        <v/>
      </c>
      <c r="J1862" t="str">
        <f t="shared" si="29"/>
        <v/>
      </c>
      <c r="L1862" t="str">
        <f>IF('01_Warehouse_Ledger'!$A1862="","",'01_Warehouse_Ledger'!$A1862)</f>
        <v/>
      </c>
    </row>
    <row r="1863" spans="9:12">
      <c r="I1863" t="str">
        <f>IF(OR($A1863="",$B1863=""),"",IF(COUNTIFS($A$2:$A1863,$A1863,$B$2:$B1863,$B1863)=1,1,0))</f>
        <v/>
      </c>
      <c r="J1863" t="str">
        <f t="shared" si="29"/>
        <v/>
      </c>
      <c r="L1863" t="str">
        <f>IF('01_Warehouse_Ledger'!$A1863="","",'01_Warehouse_Ledger'!$A1863)</f>
        <v/>
      </c>
    </row>
    <row r="1864" spans="9:12">
      <c r="I1864" t="str">
        <f>IF(OR($A1864="",$B1864=""),"",IF(COUNTIFS($A$2:$A1864,$A1864,$B$2:$B1864,$B1864)=1,1,0))</f>
        <v/>
      </c>
      <c r="J1864" t="str">
        <f t="shared" si="29"/>
        <v/>
      </c>
      <c r="L1864" t="str">
        <f>IF('01_Warehouse_Ledger'!$A1864="","",'01_Warehouse_Ledger'!$A1864)</f>
        <v/>
      </c>
    </row>
    <row r="1865" spans="9:12">
      <c r="I1865" t="str">
        <f>IF(OR($A1865="",$B1865=""),"",IF(COUNTIFS($A$2:$A1865,$A1865,$B$2:$B1865,$B1865)=1,1,0))</f>
        <v/>
      </c>
      <c r="J1865" t="str">
        <f t="shared" si="29"/>
        <v/>
      </c>
      <c r="L1865" t="str">
        <f>IF('01_Warehouse_Ledger'!$A1865="","",'01_Warehouse_Ledger'!$A1865)</f>
        <v/>
      </c>
    </row>
    <row r="1866" spans="9:12">
      <c r="I1866" t="str">
        <f>IF(OR($A1866="",$B1866=""),"",IF(COUNTIFS($A$2:$A1866,$A1866,$B$2:$B1866,$B1866)=1,1,0))</f>
        <v/>
      </c>
      <c r="J1866" t="str">
        <f t="shared" si="29"/>
        <v/>
      </c>
      <c r="L1866" t="str">
        <f>IF('01_Warehouse_Ledger'!$A1866="","",'01_Warehouse_Ledger'!$A1866)</f>
        <v/>
      </c>
    </row>
    <row r="1867" spans="9:12">
      <c r="I1867" t="str">
        <f>IF(OR($A1867="",$B1867=""),"",IF(COUNTIFS($A$2:$A1867,$A1867,$B$2:$B1867,$B1867)=1,1,0))</f>
        <v/>
      </c>
      <c r="J1867" t="str">
        <f t="shared" si="29"/>
        <v/>
      </c>
      <c r="L1867" t="str">
        <f>IF('01_Warehouse_Ledger'!$A1867="","",'01_Warehouse_Ledger'!$A1867)</f>
        <v/>
      </c>
    </row>
    <row r="1868" spans="9:12">
      <c r="I1868" t="str">
        <f>IF(OR($A1868="",$B1868=""),"",IF(COUNTIFS($A$2:$A1868,$A1868,$B$2:$B1868,$B1868)=1,1,0))</f>
        <v/>
      </c>
      <c r="J1868" t="str">
        <f t="shared" si="29"/>
        <v/>
      </c>
      <c r="L1868" t="str">
        <f>IF('01_Warehouse_Ledger'!$A1868="","",'01_Warehouse_Ledger'!$A1868)</f>
        <v/>
      </c>
    </row>
    <row r="1869" spans="9:12">
      <c r="I1869" t="str">
        <f>IF(OR($A1869="",$B1869=""),"",IF(COUNTIFS($A$2:$A1869,$A1869,$B$2:$B1869,$B1869)=1,1,0))</f>
        <v/>
      </c>
      <c r="J1869" t="str">
        <f t="shared" si="29"/>
        <v/>
      </c>
      <c r="L1869" t="str">
        <f>IF('01_Warehouse_Ledger'!$A1869="","",'01_Warehouse_Ledger'!$A1869)</f>
        <v/>
      </c>
    </row>
    <row r="1870" spans="9:12">
      <c r="I1870" t="str">
        <f>IF(OR($A1870="",$B1870=""),"",IF(COUNTIFS($A$2:$A1870,$A1870,$B$2:$B1870,$B1870)=1,1,0))</f>
        <v/>
      </c>
      <c r="J1870" t="str">
        <f t="shared" si="29"/>
        <v/>
      </c>
      <c r="L1870" t="str">
        <f>IF('01_Warehouse_Ledger'!$A1870="","",'01_Warehouse_Ledger'!$A1870)</f>
        <v/>
      </c>
    </row>
    <row r="1871" spans="9:12">
      <c r="I1871" t="str">
        <f>IF(OR($A1871="",$B1871=""),"",IF(COUNTIFS($A$2:$A1871,$A1871,$B$2:$B1871,$B1871)=1,1,0))</f>
        <v/>
      </c>
      <c r="J1871" t="str">
        <f t="shared" si="29"/>
        <v/>
      </c>
      <c r="L1871" t="str">
        <f>IF('01_Warehouse_Ledger'!$A1871="","",'01_Warehouse_Ledger'!$A1871)</f>
        <v/>
      </c>
    </row>
    <row r="1872" spans="9:12">
      <c r="I1872" t="str">
        <f>IF(OR($A1872="",$B1872=""),"",IF(COUNTIFS($A$2:$A1872,$A1872,$B$2:$B1872,$B1872)=1,1,0))</f>
        <v/>
      </c>
      <c r="J1872" t="str">
        <f t="shared" si="29"/>
        <v/>
      </c>
      <c r="L1872" t="str">
        <f>IF('01_Warehouse_Ledger'!$A1872="","",'01_Warehouse_Ledger'!$A1872)</f>
        <v/>
      </c>
    </row>
    <row r="1873" spans="9:12">
      <c r="I1873" t="str">
        <f>IF(OR($A1873="",$B1873=""),"",IF(COUNTIFS($A$2:$A1873,$A1873,$B$2:$B1873,$B1873)=1,1,0))</f>
        <v/>
      </c>
      <c r="J1873" t="str">
        <f t="shared" si="29"/>
        <v/>
      </c>
      <c r="L1873" t="str">
        <f>IF('01_Warehouse_Ledger'!$A1873="","",'01_Warehouse_Ledger'!$A1873)</f>
        <v/>
      </c>
    </row>
    <row r="1874" spans="9:12">
      <c r="I1874" t="str">
        <f>IF(OR($A1874="",$B1874=""),"",IF(COUNTIFS($A$2:$A1874,$A1874,$B$2:$B1874,$B1874)=1,1,0))</f>
        <v/>
      </c>
      <c r="J1874" t="str">
        <f t="shared" si="29"/>
        <v/>
      </c>
      <c r="L1874" t="str">
        <f>IF('01_Warehouse_Ledger'!$A1874="","",'01_Warehouse_Ledger'!$A1874)</f>
        <v/>
      </c>
    </row>
    <row r="1875" spans="9:12">
      <c r="I1875" t="str">
        <f>IF(OR($A1875="",$B1875=""),"",IF(COUNTIFS($A$2:$A1875,$A1875,$B$2:$B1875,$B1875)=1,1,0))</f>
        <v/>
      </c>
      <c r="J1875" t="str">
        <f t="shared" si="29"/>
        <v/>
      </c>
      <c r="L1875" t="str">
        <f>IF('01_Warehouse_Ledger'!$A1875="","",'01_Warehouse_Ledger'!$A1875)</f>
        <v/>
      </c>
    </row>
    <row r="1876" spans="9:12">
      <c r="I1876" t="str">
        <f>IF(OR($A1876="",$B1876=""),"",IF(COUNTIFS($A$2:$A1876,$A1876,$B$2:$B1876,$B1876)=1,1,0))</f>
        <v/>
      </c>
      <c r="J1876" t="str">
        <f t="shared" si="29"/>
        <v/>
      </c>
      <c r="L1876" t="str">
        <f>IF('01_Warehouse_Ledger'!$A1876="","",'01_Warehouse_Ledger'!$A1876)</f>
        <v/>
      </c>
    </row>
    <row r="1877" spans="9:12">
      <c r="I1877" t="str">
        <f>IF(OR($A1877="",$B1877=""),"",IF(COUNTIFS($A$2:$A1877,$A1877,$B$2:$B1877,$B1877)=1,1,0))</f>
        <v/>
      </c>
      <c r="J1877" t="str">
        <f t="shared" si="29"/>
        <v/>
      </c>
      <c r="L1877" t="str">
        <f>IF('01_Warehouse_Ledger'!$A1877="","",'01_Warehouse_Ledger'!$A1877)</f>
        <v/>
      </c>
    </row>
    <row r="1878" spans="9:12">
      <c r="I1878" t="str">
        <f>IF(OR($A1878="",$B1878=""),"",IF(COUNTIFS($A$2:$A1878,$A1878,$B$2:$B1878,$B1878)=1,1,0))</f>
        <v/>
      </c>
      <c r="J1878" t="str">
        <f t="shared" si="29"/>
        <v/>
      </c>
      <c r="L1878" t="str">
        <f>IF('01_Warehouse_Ledger'!$A1878="","",'01_Warehouse_Ledger'!$A1878)</f>
        <v/>
      </c>
    </row>
    <row r="1879" spans="9:12">
      <c r="I1879" t="str">
        <f>IF(OR($A1879="",$B1879=""),"",IF(COUNTIFS($A$2:$A1879,$A1879,$B$2:$B1879,$B1879)=1,1,0))</f>
        <v/>
      </c>
      <c r="J1879" t="str">
        <f t="shared" si="29"/>
        <v/>
      </c>
      <c r="L1879" t="str">
        <f>IF('01_Warehouse_Ledger'!$A1879="","",'01_Warehouse_Ledger'!$A1879)</f>
        <v/>
      </c>
    </row>
    <row r="1880" spans="9:12">
      <c r="I1880" t="str">
        <f>IF(OR($A1880="",$B1880=""),"",IF(COUNTIFS($A$2:$A1880,$A1880,$B$2:$B1880,$B1880)=1,1,0))</f>
        <v/>
      </c>
      <c r="J1880" t="str">
        <f t="shared" si="29"/>
        <v/>
      </c>
      <c r="L1880" t="str">
        <f>IF('01_Warehouse_Ledger'!$A1880="","",'01_Warehouse_Ledger'!$A1880)</f>
        <v/>
      </c>
    </row>
    <row r="1881" spans="9:12">
      <c r="I1881" t="str">
        <f>IF(OR($A1881="",$B1881=""),"",IF(COUNTIFS($A$2:$A1881,$A1881,$B$2:$B1881,$B1881)=1,1,0))</f>
        <v/>
      </c>
      <c r="J1881" t="str">
        <f t="shared" si="29"/>
        <v/>
      </c>
      <c r="L1881" t="str">
        <f>IF('01_Warehouse_Ledger'!$A1881="","",'01_Warehouse_Ledger'!$A1881)</f>
        <v/>
      </c>
    </row>
    <row r="1882" spans="9:12">
      <c r="I1882" t="str">
        <f>IF(OR($A1882="",$B1882=""),"",IF(COUNTIFS($A$2:$A1882,$A1882,$B$2:$B1882,$B1882)=1,1,0))</f>
        <v/>
      </c>
      <c r="J1882" t="str">
        <f t="shared" si="29"/>
        <v/>
      </c>
      <c r="L1882" t="str">
        <f>IF('01_Warehouse_Ledger'!$A1882="","",'01_Warehouse_Ledger'!$A1882)</f>
        <v/>
      </c>
    </row>
    <row r="1883" spans="9:12">
      <c r="I1883" t="str">
        <f>IF(OR($A1883="",$B1883=""),"",IF(COUNTIFS($A$2:$A1883,$A1883,$B$2:$B1883,$B1883)=1,1,0))</f>
        <v/>
      </c>
      <c r="J1883" t="str">
        <f t="shared" si="29"/>
        <v/>
      </c>
      <c r="L1883" t="str">
        <f>IF('01_Warehouse_Ledger'!$A1883="","",'01_Warehouse_Ledger'!$A1883)</f>
        <v/>
      </c>
    </row>
    <row r="1884" spans="9:12">
      <c r="I1884" t="str">
        <f>IF(OR($A1884="",$B1884=""),"",IF(COUNTIFS($A$2:$A1884,$A1884,$B$2:$B1884,$B1884)=1,1,0))</f>
        <v/>
      </c>
      <c r="J1884" t="str">
        <f t="shared" si="29"/>
        <v/>
      </c>
      <c r="L1884" t="str">
        <f>IF('01_Warehouse_Ledger'!$A1884="","",'01_Warehouse_Ledger'!$A1884)</f>
        <v/>
      </c>
    </row>
    <row r="1885" spans="9:12">
      <c r="I1885" t="str">
        <f>IF(OR($A1885="",$B1885=""),"",IF(COUNTIFS($A$2:$A1885,$A1885,$B$2:$B1885,$B1885)=1,1,0))</f>
        <v/>
      </c>
      <c r="J1885" t="str">
        <f t="shared" si="29"/>
        <v/>
      </c>
      <c r="L1885" t="str">
        <f>IF('01_Warehouse_Ledger'!$A1885="","",'01_Warehouse_Ledger'!$A1885)</f>
        <v/>
      </c>
    </row>
    <row r="1886" spans="9:12">
      <c r="I1886" t="str">
        <f>IF(OR($A1886="",$B1886=""),"",IF(COUNTIFS($A$2:$A1886,$A1886,$B$2:$B1886,$B1886)=1,1,0))</f>
        <v/>
      </c>
      <c r="J1886" t="str">
        <f t="shared" si="29"/>
        <v/>
      </c>
      <c r="L1886" t="str">
        <f>IF('01_Warehouse_Ledger'!$A1886="","",'01_Warehouse_Ledger'!$A1886)</f>
        <v/>
      </c>
    </row>
    <row r="1887" spans="9:12">
      <c r="I1887" t="str">
        <f>IF(OR($A1887="",$B1887=""),"",IF(COUNTIFS($A$2:$A1887,$A1887,$B$2:$B1887,$B1887)=1,1,0))</f>
        <v/>
      </c>
      <c r="J1887" t="str">
        <f t="shared" si="29"/>
        <v/>
      </c>
      <c r="L1887" t="str">
        <f>IF('01_Warehouse_Ledger'!$A1887="","",'01_Warehouse_Ledger'!$A1887)</f>
        <v/>
      </c>
    </row>
    <row r="1888" spans="9:12">
      <c r="I1888" t="str">
        <f>IF(OR($A1888="",$B1888=""),"",IF(COUNTIFS($A$2:$A1888,$A1888,$B$2:$B1888,$B1888)=1,1,0))</f>
        <v/>
      </c>
      <c r="J1888" t="str">
        <f t="shared" si="29"/>
        <v/>
      </c>
      <c r="L1888" t="str">
        <f>IF('01_Warehouse_Ledger'!$A1888="","",'01_Warehouse_Ledger'!$A1888)</f>
        <v/>
      </c>
    </row>
    <row r="1889" spans="9:12">
      <c r="I1889" t="str">
        <f>IF(OR($A1889="",$B1889=""),"",IF(COUNTIFS($A$2:$A1889,$A1889,$B$2:$B1889,$B1889)=1,1,0))</f>
        <v/>
      </c>
      <c r="J1889" t="str">
        <f t="shared" si="29"/>
        <v/>
      </c>
      <c r="L1889" t="str">
        <f>IF('01_Warehouse_Ledger'!$A1889="","",'01_Warehouse_Ledger'!$A1889)</f>
        <v/>
      </c>
    </row>
    <row r="1890" spans="9:12">
      <c r="I1890" t="str">
        <f>IF(OR($A1890="",$B1890=""),"",IF(COUNTIFS($A$2:$A1890,$A1890,$B$2:$B1890,$B1890)=1,1,0))</f>
        <v/>
      </c>
      <c r="J1890" t="str">
        <f t="shared" si="29"/>
        <v/>
      </c>
      <c r="L1890" t="str">
        <f>IF('01_Warehouse_Ledger'!$A1890="","",'01_Warehouse_Ledger'!$A1890)</f>
        <v/>
      </c>
    </row>
    <row r="1891" spans="9:12">
      <c r="I1891" t="str">
        <f>IF(OR($A1891="",$B1891=""),"",IF(COUNTIFS($A$2:$A1891,$A1891,$B$2:$B1891,$B1891)=1,1,0))</f>
        <v/>
      </c>
      <c r="J1891" t="str">
        <f t="shared" si="29"/>
        <v/>
      </c>
      <c r="L1891" t="str">
        <f>IF('01_Warehouse_Ledger'!$A1891="","",'01_Warehouse_Ledger'!$A1891)</f>
        <v/>
      </c>
    </row>
    <row r="1892" spans="9:12">
      <c r="I1892" t="str">
        <f>IF(OR($A1892="",$B1892=""),"",IF(COUNTIFS($A$2:$A1892,$A1892,$B$2:$B1892,$B1892)=1,1,0))</f>
        <v/>
      </c>
      <c r="J1892" t="str">
        <f t="shared" si="29"/>
        <v/>
      </c>
      <c r="L1892" t="str">
        <f>IF('01_Warehouse_Ledger'!$A1892="","",'01_Warehouse_Ledger'!$A1892)</f>
        <v/>
      </c>
    </row>
    <row r="1893" spans="9:12">
      <c r="I1893" t="str">
        <f>IF(OR($A1893="",$B1893=""),"",IF(COUNTIFS($A$2:$A1893,$A1893,$B$2:$B1893,$B1893)=1,1,0))</f>
        <v/>
      </c>
      <c r="J1893" t="str">
        <f t="shared" si="29"/>
        <v/>
      </c>
      <c r="L1893" t="str">
        <f>IF('01_Warehouse_Ledger'!$A1893="","",'01_Warehouse_Ledger'!$A1893)</f>
        <v/>
      </c>
    </row>
    <row r="1894" spans="9:12">
      <c r="I1894" t="str">
        <f>IF(OR($A1894="",$B1894=""),"",IF(COUNTIFS($A$2:$A1894,$A1894,$B$2:$B1894,$B1894)=1,1,0))</f>
        <v/>
      </c>
      <c r="J1894" t="str">
        <f t="shared" si="29"/>
        <v/>
      </c>
      <c r="L1894" t="str">
        <f>IF('01_Warehouse_Ledger'!$A1894="","",'01_Warehouse_Ledger'!$A1894)</f>
        <v/>
      </c>
    </row>
    <row r="1895" spans="9:12">
      <c r="I1895" t="str">
        <f>IF(OR($A1895="",$B1895=""),"",IF(COUNTIFS($A$2:$A1895,$A1895,$B$2:$B1895,$B1895)=1,1,0))</f>
        <v/>
      </c>
      <c r="J1895" t="str">
        <f t="shared" si="29"/>
        <v/>
      </c>
      <c r="L1895" t="str">
        <f>IF('01_Warehouse_Ledger'!$A1895="","",'01_Warehouse_Ledger'!$A1895)</f>
        <v/>
      </c>
    </row>
    <row r="1896" spans="9:12">
      <c r="I1896" t="str">
        <f>IF(OR($A1896="",$B1896=""),"",IF(COUNTIFS($A$2:$A1896,$A1896,$B$2:$B1896,$B1896)=1,1,0))</f>
        <v/>
      </c>
      <c r="J1896" t="str">
        <f t="shared" si="29"/>
        <v/>
      </c>
      <c r="L1896" t="str">
        <f>IF('01_Warehouse_Ledger'!$A1896="","",'01_Warehouse_Ledger'!$A1896)</f>
        <v/>
      </c>
    </row>
    <row r="1897" spans="9:12">
      <c r="I1897" t="str">
        <f>IF(OR($A1897="",$B1897=""),"",IF(COUNTIFS($A$2:$A1897,$A1897,$B$2:$B1897,$B1897)=1,1,0))</f>
        <v/>
      </c>
      <c r="J1897" t="str">
        <f t="shared" si="29"/>
        <v/>
      </c>
      <c r="L1897" t="str">
        <f>IF('01_Warehouse_Ledger'!$A1897="","",'01_Warehouse_Ledger'!$A1897)</f>
        <v/>
      </c>
    </row>
    <row r="1898" spans="9:12">
      <c r="I1898" t="str">
        <f>IF(OR($A1898="",$B1898=""),"",IF(COUNTIFS($A$2:$A1898,$A1898,$B$2:$B1898,$B1898)=1,1,0))</f>
        <v/>
      </c>
      <c r="J1898" t="str">
        <f t="shared" si="29"/>
        <v/>
      </c>
      <c r="L1898" t="str">
        <f>IF('01_Warehouse_Ledger'!$A1898="","",'01_Warehouse_Ledger'!$A1898)</f>
        <v/>
      </c>
    </row>
    <row r="1899" spans="9:12">
      <c r="I1899" t="str">
        <f>IF(OR($A1899="",$B1899=""),"",IF(COUNTIFS($A$2:$A1899,$A1899,$B$2:$B1899,$B1899)=1,1,0))</f>
        <v/>
      </c>
      <c r="J1899" t="str">
        <f t="shared" si="29"/>
        <v/>
      </c>
      <c r="L1899" t="str">
        <f>IF('01_Warehouse_Ledger'!$A1899="","",'01_Warehouse_Ledger'!$A1899)</f>
        <v/>
      </c>
    </row>
    <row r="1900" spans="9:12">
      <c r="I1900" t="str">
        <f>IF(OR($A1900="",$B1900=""),"",IF(COUNTIFS($A$2:$A1900,$A1900,$B$2:$B1900,$B1900)=1,1,0))</f>
        <v/>
      </c>
      <c r="J1900" t="str">
        <f t="shared" si="29"/>
        <v/>
      </c>
      <c r="L1900" t="str">
        <f>IF('01_Warehouse_Ledger'!$A1900="","",'01_Warehouse_Ledger'!$A1900)</f>
        <v/>
      </c>
    </row>
    <row r="1901" spans="9:12">
      <c r="I1901" t="str">
        <f>IF(OR($A1901="",$B1901=""),"",IF(COUNTIFS($A$2:$A1901,$A1901,$B$2:$B1901,$B1901)=1,1,0))</f>
        <v/>
      </c>
      <c r="J1901" t="str">
        <f t="shared" si="29"/>
        <v/>
      </c>
      <c r="L1901" t="str">
        <f>IF('01_Warehouse_Ledger'!$A1901="","",'01_Warehouse_Ledger'!$A1901)</f>
        <v/>
      </c>
    </row>
    <row r="1902" spans="9:12">
      <c r="I1902" t="str">
        <f>IF(OR($A1902="",$B1902=""),"",IF(COUNTIFS($A$2:$A1902,$A1902,$B$2:$B1902,$B1902)=1,1,0))</f>
        <v/>
      </c>
      <c r="J1902" t="str">
        <f t="shared" si="29"/>
        <v/>
      </c>
      <c r="L1902" t="str">
        <f>IF('01_Warehouse_Ledger'!$A1902="","",'01_Warehouse_Ledger'!$A1902)</f>
        <v/>
      </c>
    </row>
    <row r="1903" spans="9:12">
      <c r="I1903" t="str">
        <f>IF(OR($A1903="",$B1903=""),"",IF(COUNTIFS($A$2:$A1903,$A1903,$B$2:$B1903,$B1903)=1,1,0))</f>
        <v/>
      </c>
      <c r="J1903" t="str">
        <f t="shared" si="29"/>
        <v/>
      </c>
      <c r="L1903" t="str">
        <f>IF('01_Warehouse_Ledger'!$A1903="","",'01_Warehouse_Ledger'!$A1903)</f>
        <v/>
      </c>
    </row>
    <row r="1904" spans="9:12">
      <c r="I1904" t="str">
        <f>IF(OR($A1904="",$B1904=""),"",IF(COUNTIFS($A$2:$A1904,$A1904,$B$2:$B1904,$B1904)=1,1,0))</f>
        <v/>
      </c>
      <c r="J1904" t="str">
        <f t="shared" si="29"/>
        <v/>
      </c>
      <c r="L1904" t="str">
        <f>IF('01_Warehouse_Ledger'!$A1904="","",'01_Warehouse_Ledger'!$A1904)</f>
        <v/>
      </c>
    </row>
    <row r="1905" spans="9:12">
      <c r="I1905" t="str">
        <f>IF(OR($A1905="",$B1905=""),"",IF(COUNTIFS($A$2:$A1905,$A1905,$B$2:$B1905,$B1905)=1,1,0))</f>
        <v/>
      </c>
      <c r="J1905" t="str">
        <f t="shared" si="29"/>
        <v/>
      </c>
      <c r="L1905" t="str">
        <f>IF('01_Warehouse_Ledger'!$A1905="","",'01_Warehouse_Ledger'!$A1905)</f>
        <v/>
      </c>
    </row>
    <row r="1906" spans="9:12">
      <c r="I1906" t="str">
        <f>IF(OR($A1906="",$B1906=""),"",IF(COUNTIFS($A$2:$A1906,$A1906,$B$2:$B1906,$B1906)=1,1,0))</f>
        <v/>
      </c>
      <c r="J1906" t="str">
        <f t="shared" si="29"/>
        <v/>
      </c>
      <c r="L1906" t="str">
        <f>IF('01_Warehouse_Ledger'!$A1906="","",'01_Warehouse_Ledger'!$A1906)</f>
        <v/>
      </c>
    </row>
    <row r="1907" spans="9:12">
      <c r="I1907" t="str">
        <f>IF(OR($A1907="",$B1907=""),"",IF(COUNTIFS($A$2:$A1907,$A1907,$B$2:$B1907,$B1907)=1,1,0))</f>
        <v/>
      </c>
      <c r="J1907" t="str">
        <f t="shared" si="29"/>
        <v/>
      </c>
      <c r="L1907" t="str">
        <f>IF('01_Warehouse_Ledger'!$A1907="","",'01_Warehouse_Ledger'!$A1907)</f>
        <v/>
      </c>
    </row>
    <row r="1908" spans="9:12">
      <c r="I1908" t="str">
        <f>IF(OR($A1908="",$B1908=""),"",IF(COUNTIFS($A$2:$A1908,$A1908,$B$2:$B1908,$B1908)=1,1,0))</f>
        <v/>
      </c>
      <c r="J1908" t="str">
        <f t="shared" si="29"/>
        <v/>
      </c>
      <c r="L1908" t="str">
        <f>IF('01_Warehouse_Ledger'!$A1908="","",'01_Warehouse_Ledger'!$A1908)</f>
        <v/>
      </c>
    </row>
    <row r="1909" spans="9:12">
      <c r="I1909" t="str">
        <f>IF(OR($A1909="",$B1909=""),"",IF(COUNTIFS($A$2:$A1909,$A1909,$B$2:$B1909,$B1909)=1,1,0))</f>
        <v/>
      </c>
      <c r="J1909" t="str">
        <f t="shared" si="29"/>
        <v/>
      </c>
      <c r="L1909" t="str">
        <f>IF('01_Warehouse_Ledger'!$A1909="","",'01_Warehouse_Ledger'!$A1909)</f>
        <v/>
      </c>
    </row>
    <row r="1910" spans="9:12">
      <c r="I1910" t="str">
        <f>IF(OR($A1910="",$B1910=""),"",IF(COUNTIFS($A$2:$A1910,$A1910,$B$2:$B1910,$B1910)=1,1,0))</f>
        <v/>
      </c>
      <c r="J1910" t="str">
        <f t="shared" si="29"/>
        <v/>
      </c>
      <c r="L1910" t="str">
        <f>IF('01_Warehouse_Ledger'!$A1910="","",'01_Warehouse_Ledger'!$A1910)</f>
        <v/>
      </c>
    </row>
    <row r="1911" spans="9:12">
      <c r="I1911" t="str">
        <f>IF(OR($A1911="",$B1911=""),"",IF(COUNTIFS($A$2:$A1911,$A1911,$B$2:$B1911,$B1911)=1,1,0))</f>
        <v/>
      </c>
      <c r="J1911" t="str">
        <f t="shared" si="29"/>
        <v/>
      </c>
      <c r="L1911" t="str">
        <f>IF('01_Warehouse_Ledger'!$A1911="","",'01_Warehouse_Ledger'!$A1911)</f>
        <v/>
      </c>
    </row>
    <row r="1912" spans="9:12">
      <c r="I1912" t="str">
        <f>IF(OR($A1912="",$B1912=""),"",IF(COUNTIFS($A$2:$A1912,$A1912,$B$2:$B1912,$B1912)=1,1,0))</f>
        <v/>
      </c>
      <c r="J1912" t="str">
        <f t="shared" si="29"/>
        <v/>
      </c>
      <c r="L1912" t="str">
        <f>IF('01_Warehouse_Ledger'!$A1912="","",'01_Warehouse_Ledger'!$A1912)</f>
        <v/>
      </c>
    </row>
    <row r="1913" spans="9:12">
      <c r="I1913" t="str">
        <f>IF(OR($A1913="",$B1913=""),"",IF(COUNTIFS($A$2:$A1913,$A1913,$B$2:$B1913,$B1913)=1,1,0))</f>
        <v/>
      </c>
      <c r="J1913" t="str">
        <f t="shared" si="29"/>
        <v/>
      </c>
      <c r="L1913" t="str">
        <f>IF('01_Warehouse_Ledger'!$A1913="","",'01_Warehouse_Ledger'!$A1913)</f>
        <v/>
      </c>
    </row>
    <row r="1914" spans="9:12">
      <c r="I1914" t="str">
        <f>IF(OR($A1914="",$B1914=""),"",IF(COUNTIFS($A$2:$A1914,$A1914,$B$2:$B1914,$B1914)=1,1,0))</f>
        <v/>
      </c>
      <c r="J1914" t="str">
        <f t="shared" si="29"/>
        <v/>
      </c>
      <c r="L1914" t="str">
        <f>IF('01_Warehouse_Ledger'!$A1914="","",'01_Warehouse_Ledger'!$A1914)</f>
        <v/>
      </c>
    </row>
    <row r="1915" spans="9:12">
      <c r="I1915" t="str">
        <f>IF(OR($A1915="",$B1915=""),"",IF(COUNTIFS($A$2:$A1915,$A1915,$B$2:$B1915,$B1915)=1,1,0))</f>
        <v/>
      </c>
      <c r="J1915" t="str">
        <f t="shared" si="29"/>
        <v/>
      </c>
      <c r="L1915" t="str">
        <f>IF('01_Warehouse_Ledger'!$A1915="","",'01_Warehouse_Ledger'!$A1915)</f>
        <v/>
      </c>
    </row>
    <row r="1916" spans="9:12">
      <c r="I1916" t="str">
        <f>IF(OR($A1916="",$B1916=""),"",IF(COUNTIFS($A$2:$A1916,$A1916,$B$2:$B1916,$B1916)=1,1,0))</f>
        <v/>
      </c>
      <c r="J1916" t="str">
        <f t="shared" si="29"/>
        <v/>
      </c>
      <c r="L1916" t="str">
        <f>IF('01_Warehouse_Ledger'!$A1916="","",'01_Warehouse_Ledger'!$A1916)</f>
        <v/>
      </c>
    </row>
    <row r="1917" spans="9:12">
      <c r="I1917" t="str">
        <f>IF(OR($A1917="",$B1917=""),"",IF(COUNTIFS($A$2:$A1917,$A1917,$B$2:$B1917,$B1917)=1,1,0))</f>
        <v/>
      </c>
      <c r="J1917" t="str">
        <f t="shared" si="29"/>
        <v/>
      </c>
      <c r="L1917" t="str">
        <f>IF('01_Warehouse_Ledger'!$A1917="","",'01_Warehouse_Ledger'!$A1917)</f>
        <v/>
      </c>
    </row>
    <row r="1918" spans="9:12">
      <c r="I1918" t="str">
        <f>IF(OR($A1918="",$B1918=""),"",IF(COUNTIFS($A$2:$A1918,$A1918,$B$2:$B1918,$B1918)=1,1,0))</f>
        <v/>
      </c>
      <c r="J1918" t="str">
        <f t="shared" si="29"/>
        <v/>
      </c>
      <c r="L1918" t="str">
        <f>IF('01_Warehouse_Ledger'!$A1918="","",'01_Warehouse_Ledger'!$A1918)</f>
        <v/>
      </c>
    </row>
    <row r="1919" spans="9:12">
      <c r="I1919" t="str">
        <f>IF(OR($A1919="",$B1919=""),"",IF(COUNTIFS($A$2:$A1919,$A1919,$B$2:$B1919,$B1919)=1,1,0))</f>
        <v/>
      </c>
      <c r="J1919" t="str">
        <f t="shared" si="29"/>
        <v/>
      </c>
      <c r="L1919" t="str">
        <f>IF('01_Warehouse_Ledger'!$A1919="","",'01_Warehouse_Ledger'!$A1919)</f>
        <v/>
      </c>
    </row>
    <row r="1920" spans="9:12">
      <c r="I1920" t="str">
        <f>IF(OR($A1920="",$B1920=""),"",IF(COUNTIFS($A$2:$A1920,$A1920,$B$2:$B1920,$B1920)=1,1,0))</f>
        <v/>
      </c>
      <c r="J1920" t="str">
        <f t="shared" si="29"/>
        <v/>
      </c>
      <c r="L1920" t="str">
        <f>IF('01_Warehouse_Ledger'!$A1920="","",'01_Warehouse_Ledger'!$A1920)</f>
        <v/>
      </c>
    </row>
    <row r="1921" spans="9:12">
      <c r="I1921" t="str">
        <f>IF(OR($A1921="",$B1921=""),"",IF(COUNTIFS($A$2:$A1921,$A1921,$B$2:$B1921,$B1921)=1,1,0))</f>
        <v/>
      </c>
      <c r="J1921" t="str">
        <f t="shared" si="29"/>
        <v/>
      </c>
      <c r="L1921" t="str">
        <f>IF('01_Warehouse_Ledger'!$A1921="","",'01_Warehouse_Ledger'!$A1921)</f>
        <v/>
      </c>
    </row>
    <row r="1922" spans="9:12">
      <c r="I1922" t="str">
        <f>IF(OR($A1922="",$B1922=""),"",IF(COUNTIFS($A$2:$A1922,$A1922,$B$2:$B1922,$B1922)=1,1,0))</f>
        <v/>
      </c>
      <c r="J1922" t="str">
        <f t="shared" ref="J1922:J1985" si="30">IF($A1922="","",ROW())</f>
        <v/>
      </c>
      <c r="L1922" t="str">
        <f>IF('01_Warehouse_Ledger'!$A1922="","",'01_Warehouse_Ledger'!$A1922)</f>
        <v/>
      </c>
    </row>
    <row r="1923" spans="9:12">
      <c r="I1923" t="str">
        <f>IF(OR($A1923="",$B1923=""),"",IF(COUNTIFS($A$2:$A1923,$A1923,$B$2:$B1923,$B1923)=1,1,0))</f>
        <v/>
      </c>
      <c r="J1923" t="str">
        <f t="shared" si="30"/>
        <v/>
      </c>
      <c r="L1923" t="str">
        <f>IF('01_Warehouse_Ledger'!$A1923="","",'01_Warehouse_Ledger'!$A1923)</f>
        <v/>
      </c>
    </row>
    <row r="1924" spans="9:12">
      <c r="I1924" t="str">
        <f>IF(OR($A1924="",$B1924=""),"",IF(COUNTIFS($A$2:$A1924,$A1924,$B$2:$B1924,$B1924)=1,1,0))</f>
        <v/>
      </c>
      <c r="J1924" t="str">
        <f t="shared" si="30"/>
        <v/>
      </c>
      <c r="L1924" t="str">
        <f>IF('01_Warehouse_Ledger'!$A1924="","",'01_Warehouse_Ledger'!$A1924)</f>
        <v/>
      </c>
    </row>
    <row r="1925" spans="9:12">
      <c r="I1925" t="str">
        <f>IF(OR($A1925="",$B1925=""),"",IF(COUNTIFS($A$2:$A1925,$A1925,$B$2:$B1925,$B1925)=1,1,0))</f>
        <v/>
      </c>
      <c r="J1925" t="str">
        <f t="shared" si="30"/>
        <v/>
      </c>
      <c r="L1925" t="str">
        <f>IF('01_Warehouse_Ledger'!$A1925="","",'01_Warehouse_Ledger'!$A1925)</f>
        <v/>
      </c>
    </row>
    <row r="1926" spans="9:12">
      <c r="I1926" t="str">
        <f>IF(OR($A1926="",$B1926=""),"",IF(COUNTIFS($A$2:$A1926,$A1926,$B$2:$B1926,$B1926)=1,1,0))</f>
        <v/>
      </c>
      <c r="J1926" t="str">
        <f t="shared" si="30"/>
        <v/>
      </c>
      <c r="L1926" t="str">
        <f>IF('01_Warehouse_Ledger'!$A1926="","",'01_Warehouse_Ledger'!$A1926)</f>
        <v/>
      </c>
    </row>
    <row r="1927" spans="9:12">
      <c r="I1927" t="str">
        <f>IF(OR($A1927="",$B1927=""),"",IF(COUNTIFS($A$2:$A1927,$A1927,$B$2:$B1927,$B1927)=1,1,0))</f>
        <v/>
      </c>
      <c r="J1927" t="str">
        <f t="shared" si="30"/>
        <v/>
      </c>
      <c r="L1927" t="str">
        <f>IF('01_Warehouse_Ledger'!$A1927="","",'01_Warehouse_Ledger'!$A1927)</f>
        <v/>
      </c>
    </row>
    <row r="1928" spans="9:12">
      <c r="I1928" t="str">
        <f>IF(OR($A1928="",$B1928=""),"",IF(COUNTIFS($A$2:$A1928,$A1928,$B$2:$B1928,$B1928)=1,1,0))</f>
        <v/>
      </c>
      <c r="J1928" t="str">
        <f t="shared" si="30"/>
        <v/>
      </c>
      <c r="L1928" t="str">
        <f>IF('01_Warehouse_Ledger'!$A1928="","",'01_Warehouse_Ledger'!$A1928)</f>
        <v/>
      </c>
    </row>
    <row r="1929" spans="9:12">
      <c r="I1929" t="str">
        <f>IF(OR($A1929="",$B1929=""),"",IF(COUNTIFS($A$2:$A1929,$A1929,$B$2:$B1929,$B1929)=1,1,0))</f>
        <v/>
      </c>
      <c r="J1929" t="str">
        <f t="shared" si="30"/>
        <v/>
      </c>
      <c r="L1929" t="str">
        <f>IF('01_Warehouse_Ledger'!$A1929="","",'01_Warehouse_Ledger'!$A1929)</f>
        <v/>
      </c>
    </row>
    <row r="1930" spans="9:12">
      <c r="I1930" t="str">
        <f>IF(OR($A1930="",$B1930=""),"",IF(COUNTIFS($A$2:$A1930,$A1930,$B$2:$B1930,$B1930)=1,1,0))</f>
        <v/>
      </c>
      <c r="J1930" t="str">
        <f t="shared" si="30"/>
        <v/>
      </c>
      <c r="L1930" t="str">
        <f>IF('01_Warehouse_Ledger'!$A1930="","",'01_Warehouse_Ledger'!$A1930)</f>
        <v/>
      </c>
    </row>
    <row r="1931" spans="9:12">
      <c r="I1931" t="str">
        <f>IF(OR($A1931="",$B1931=""),"",IF(COUNTIFS($A$2:$A1931,$A1931,$B$2:$B1931,$B1931)=1,1,0))</f>
        <v/>
      </c>
      <c r="J1931" t="str">
        <f t="shared" si="30"/>
        <v/>
      </c>
      <c r="L1931" t="str">
        <f>IF('01_Warehouse_Ledger'!$A1931="","",'01_Warehouse_Ledger'!$A1931)</f>
        <v/>
      </c>
    </row>
    <row r="1932" spans="9:12">
      <c r="I1932" t="str">
        <f>IF(OR($A1932="",$B1932=""),"",IF(COUNTIFS($A$2:$A1932,$A1932,$B$2:$B1932,$B1932)=1,1,0))</f>
        <v/>
      </c>
      <c r="J1932" t="str">
        <f t="shared" si="30"/>
        <v/>
      </c>
      <c r="L1932" t="str">
        <f>IF('01_Warehouse_Ledger'!$A1932="","",'01_Warehouse_Ledger'!$A1932)</f>
        <v/>
      </c>
    </row>
    <row r="1933" spans="9:12">
      <c r="I1933" t="str">
        <f>IF(OR($A1933="",$B1933=""),"",IF(COUNTIFS($A$2:$A1933,$A1933,$B$2:$B1933,$B1933)=1,1,0))</f>
        <v/>
      </c>
      <c r="J1933" t="str">
        <f t="shared" si="30"/>
        <v/>
      </c>
      <c r="L1933" t="str">
        <f>IF('01_Warehouse_Ledger'!$A1933="","",'01_Warehouse_Ledger'!$A1933)</f>
        <v/>
      </c>
    </row>
    <row r="1934" spans="9:12">
      <c r="I1934" t="str">
        <f>IF(OR($A1934="",$B1934=""),"",IF(COUNTIFS($A$2:$A1934,$A1934,$B$2:$B1934,$B1934)=1,1,0))</f>
        <v/>
      </c>
      <c r="J1934" t="str">
        <f t="shared" si="30"/>
        <v/>
      </c>
      <c r="L1934" t="str">
        <f>IF('01_Warehouse_Ledger'!$A1934="","",'01_Warehouse_Ledger'!$A1934)</f>
        <v/>
      </c>
    </row>
    <row r="1935" spans="9:12">
      <c r="I1935" t="str">
        <f>IF(OR($A1935="",$B1935=""),"",IF(COUNTIFS($A$2:$A1935,$A1935,$B$2:$B1935,$B1935)=1,1,0))</f>
        <v/>
      </c>
      <c r="J1935" t="str">
        <f t="shared" si="30"/>
        <v/>
      </c>
      <c r="L1935" t="str">
        <f>IF('01_Warehouse_Ledger'!$A1935="","",'01_Warehouse_Ledger'!$A1935)</f>
        <v/>
      </c>
    </row>
    <row r="1936" spans="9:12">
      <c r="I1936" t="str">
        <f>IF(OR($A1936="",$B1936=""),"",IF(COUNTIFS($A$2:$A1936,$A1936,$B$2:$B1936,$B1936)=1,1,0))</f>
        <v/>
      </c>
      <c r="J1936" t="str">
        <f t="shared" si="30"/>
        <v/>
      </c>
      <c r="L1936" t="str">
        <f>IF('01_Warehouse_Ledger'!$A1936="","",'01_Warehouse_Ledger'!$A1936)</f>
        <v/>
      </c>
    </row>
    <row r="1937" spans="9:12">
      <c r="I1937" t="str">
        <f>IF(OR($A1937="",$B1937=""),"",IF(COUNTIFS($A$2:$A1937,$A1937,$B$2:$B1937,$B1937)=1,1,0))</f>
        <v/>
      </c>
      <c r="J1937" t="str">
        <f t="shared" si="30"/>
        <v/>
      </c>
      <c r="L1937" t="str">
        <f>IF('01_Warehouse_Ledger'!$A1937="","",'01_Warehouse_Ledger'!$A1937)</f>
        <v/>
      </c>
    </row>
    <row r="1938" spans="9:12">
      <c r="I1938" t="str">
        <f>IF(OR($A1938="",$B1938=""),"",IF(COUNTIFS($A$2:$A1938,$A1938,$B$2:$B1938,$B1938)=1,1,0))</f>
        <v/>
      </c>
      <c r="J1938" t="str">
        <f t="shared" si="30"/>
        <v/>
      </c>
      <c r="L1938" t="str">
        <f>IF('01_Warehouse_Ledger'!$A1938="","",'01_Warehouse_Ledger'!$A1938)</f>
        <v/>
      </c>
    </row>
    <row r="1939" spans="9:12">
      <c r="I1939" t="str">
        <f>IF(OR($A1939="",$B1939=""),"",IF(COUNTIFS($A$2:$A1939,$A1939,$B$2:$B1939,$B1939)=1,1,0))</f>
        <v/>
      </c>
      <c r="J1939" t="str">
        <f t="shared" si="30"/>
        <v/>
      </c>
      <c r="L1939" t="str">
        <f>IF('01_Warehouse_Ledger'!$A1939="","",'01_Warehouse_Ledger'!$A1939)</f>
        <v/>
      </c>
    </row>
    <row r="1940" spans="9:12">
      <c r="I1940" t="str">
        <f>IF(OR($A1940="",$B1940=""),"",IF(COUNTIFS($A$2:$A1940,$A1940,$B$2:$B1940,$B1940)=1,1,0))</f>
        <v/>
      </c>
      <c r="J1940" t="str">
        <f t="shared" si="30"/>
        <v/>
      </c>
      <c r="L1940" t="str">
        <f>IF('01_Warehouse_Ledger'!$A1940="","",'01_Warehouse_Ledger'!$A1940)</f>
        <v/>
      </c>
    </row>
    <row r="1941" spans="9:12">
      <c r="I1941" t="str">
        <f>IF(OR($A1941="",$B1941=""),"",IF(COUNTIFS($A$2:$A1941,$A1941,$B$2:$B1941,$B1941)=1,1,0))</f>
        <v/>
      </c>
      <c r="J1941" t="str">
        <f t="shared" si="30"/>
        <v/>
      </c>
      <c r="L1941" t="str">
        <f>IF('01_Warehouse_Ledger'!$A1941="","",'01_Warehouse_Ledger'!$A1941)</f>
        <v/>
      </c>
    </row>
    <row r="1942" spans="9:12">
      <c r="I1942" t="str">
        <f>IF(OR($A1942="",$B1942=""),"",IF(COUNTIFS($A$2:$A1942,$A1942,$B$2:$B1942,$B1942)=1,1,0))</f>
        <v/>
      </c>
      <c r="J1942" t="str">
        <f t="shared" si="30"/>
        <v/>
      </c>
      <c r="L1942" t="str">
        <f>IF('01_Warehouse_Ledger'!$A1942="","",'01_Warehouse_Ledger'!$A1942)</f>
        <v/>
      </c>
    </row>
    <row r="1943" spans="9:12">
      <c r="I1943" t="str">
        <f>IF(OR($A1943="",$B1943=""),"",IF(COUNTIFS($A$2:$A1943,$A1943,$B$2:$B1943,$B1943)=1,1,0))</f>
        <v/>
      </c>
      <c r="J1943" t="str">
        <f t="shared" si="30"/>
        <v/>
      </c>
      <c r="L1943" t="str">
        <f>IF('01_Warehouse_Ledger'!$A1943="","",'01_Warehouse_Ledger'!$A1943)</f>
        <v/>
      </c>
    </row>
    <row r="1944" spans="9:12">
      <c r="I1944" t="str">
        <f>IF(OR($A1944="",$B1944=""),"",IF(COUNTIFS($A$2:$A1944,$A1944,$B$2:$B1944,$B1944)=1,1,0))</f>
        <v/>
      </c>
      <c r="J1944" t="str">
        <f t="shared" si="30"/>
        <v/>
      </c>
      <c r="L1944" t="str">
        <f>IF('01_Warehouse_Ledger'!$A1944="","",'01_Warehouse_Ledger'!$A1944)</f>
        <v/>
      </c>
    </row>
    <row r="1945" spans="9:12">
      <c r="I1945" t="str">
        <f>IF(OR($A1945="",$B1945=""),"",IF(COUNTIFS($A$2:$A1945,$A1945,$B$2:$B1945,$B1945)=1,1,0))</f>
        <v/>
      </c>
      <c r="J1945" t="str">
        <f t="shared" si="30"/>
        <v/>
      </c>
      <c r="L1945" t="str">
        <f>IF('01_Warehouse_Ledger'!$A1945="","",'01_Warehouse_Ledger'!$A1945)</f>
        <v/>
      </c>
    </row>
    <row r="1946" spans="9:12">
      <c r="I1946" t="str">
        <f>IF(OR($A1946="",$B1946=""),"",IF(COUNTIFS($A$2:$A1946,$A1946,$B$2:$B1946,$B1946)=1,1,0))</f>
        <v/>
      </c>
      <c r="J1946" t="str">
        <f t="shared" si="30"/>
        <v/>
      </c>
      <c r="L1946" t="str">
        <f>IF('01_Warehouse_Ledger'!$A1946="","",'01_Warehouse_Ledger'!$A1946)</f>
        <v/>
      </c>
    </row>
    <row r="1947" spans="9:12">
      <c r="I1947" t="str">
        <f>IF(OR($A1947="",$B1947=""),"",IF(COUNTIFS($A$2:$A1947,$A1947,$B$2:$B1947,$B1947)=1,1,0))</f>
        <v/>
      </c>
      <c r="J1947" t="str">
        <f t="shared" si="30"/>
        <v/>
      </c>
      <c r="L1947" t="str">
        <f>IF('01_Warehouse_Ledger'!$A1947="","",'01_Warehouse_Ledger'!$A1947)</f>
        <v/>
      </c>
    </row>
    <row r="1948" spans="9:12">
      <c r="I1948" t="str">
        <f>IF(OR($A1948="",$B1948=""),"",IF(COUNTIFS($A$2:$A1948,$A1948,$B$2:$B1948,$B1948)=1,1,0))</f>
        <v/>
      </c>
      <c r="J1948" t="str">
        <f t="shared" si="30"/>
        <v/>
      </c>
      <c r="L1948" t="str">
        <f>IF('01_Warehouse_Ledger'!$A1948="","",'01_Warehouse_Ledger'!$A1948)</f>
        <v/>
      </c>
    </row>
    <row r="1949" spans="9:12">
      <c r="I1949" t="str">
        <f>IF(OR($A1949="",$B1949=""),"",IF(COUNTIFS($A$2:$A1949,$A1949,$B$2:$B1949,$B1949)=1,1,0))</f>
        <v/>
      </c>
      <c r="J1949" t="str">
        <f t="shared" si="30"/>
        <v/>
      </c>
      <c r="L1949" t="str">
        <f>IF('01_Warehouse_Ledger'!$A1949="","",'01_Warehouse_Ledger'!$A1949)</f>
        <v/>
      </c>
    </row>
    <row r="1950" spans="9:12">
      <c r="I1950" t="str">
        <f>IF(OR($A1950="",$B1950=""),"",IF(COUNTIFS($A$2:$A1950,$A1950,$B$2:$B1950,$B1950)=1,1,0))</f>
        <v/>
      </c>
      <c r="J1950" t="str">
        <f t="shared" si="30"/>
        <v/>
      </c>
      <c r="L1950" t="str">
        <f>IF('01_Warehouse_Ledger'!$A1950="","",'01_Warehouse_Ledger'!$A1950)</f>
        <v/>
      </c>
    </row>
    <row r="1951" spans="9:12">
      <c r="I1951" t="str">
        <f>IF(OR($A1951="",$B1951=""),"",IF(COUNTIFS($A$2:$A1951,$A1951,$B$2:$B1951,$B1951)=1,1,0))</f>
        <v/>
      </c>
      <c r="J1951" t="str">
        <f t="shared" si="30"/>
        <v/>
      </c>
      <c r="L1951" t="str">
        <f>IF('01_Warehouse_Ledger'!$A1951="","",'01_Warehouse_Ledger'!$A1951)</f>
        <v/>
      </c>
    </row>
    <row r="1952" spans="9:12">
      <c r="I1952" t="str">
        <f>IF(OR($A1952="",$B1952=""),"",IF(COUNTIFS($A$2:$A1952,$A1952,$B$2:$B1952,$B1952)=1,1,0))</f>
        <v/>
      </c>
      <c r="J1952" t="str">
        <f t="shared" si="30"/>
        <v/>
      </c>
      <c r="L1952" t="str">
        <f>IF('01_Warehouse_Ledger'!$A1952="","",'01_Warehouse_Ledger'!$A1952)</f>
        <v/>
      </c>
    </row>
    <row r="1953" spans="9:12">
      <c r="I1953" t="str">
        <f>IF(OR($A1953="",$B1953=""),"",IF(COUNTIFS($A$2:$A1953,$A1953,$B$2:$B1953,$B1953)=1,1,0))</f>
        <v/>
      </c>
      <c r="J1953" t="str">
        <f t="shared" si="30"/>
        <v/>
      </c>
      <c r="L1953" t="str">
        <f>IF('01_Warehouse_Ledger'!$A1953="","",'01_Warehouse_Ledger'!$A1953)</f>
        <v/>
      </c>
    </row>
    <row r="1954" spans="9:12">
      <c r="I1954" t="str">
        <f>IF(OR($A1954="",$B1954=""),"",IF(COUNTIFS($A$2:$A1954,$A1954,$B$2:$B1954,$B1954)=1,1,0))</f>
        <v/>
      </c>
      <c r="J1954" t="str">
        <f t="shared" si="30"/>
        <v/>
      </c>
      <c r="L1954" t="str">
        <f>IF('01_Warehouse_Ledger'!$A1954="","",'01_Warehouse_Ledger'!$A1954)</f>
        <v/>
      </c>
    </row>
    <row r="1955" spans="9:12">
      <c r="I1955" t="str">
        <f>IF(OR($A1955="",$B1955=""),"",IF(COUNTIFS($A$2:$A1955,$A1955,$B$2:$B1955,$B1955)=1,1,0))</f>
        <v/>
      </c>
      <c r="J1955" t="str">
        <f t="shared" si="30"/>
        <v/>
      </c>
      <c r="L1955" t="str">
        <f>IF('01_Warehouse_Ledger'!$A1955="","",'01_Warehouse_Ledger'!$A1955)</f>
        <v/>
      </c>
    </row>
    <row r="1956" spans="9:12">
      <c r="I1956" t="str">
        <f>IF(OR($A1956="",$B1956=""),"",IF(COUNTIFS($A$2:$A1956,$A1956,$B$2:$B1956,$B1956)=1,1,0))</f>
        <v/>
      </c>
      <c r="J1956" t="str">
        <f t="shared" si="30"/>
        <v/>
      </c>
      <c r="L1956" t="str">
        <f>IF('01_Warehouse_Ledger'!$A1956="","",'01_Warehouse_Ledger'!$A1956)</f>
        <v/>
      </c>
    </row>
    <row r="1957" spans="9:12">
      <c r="I1957" t="str">
        <f>IF(OR($A1957="",$B1957=""),"",IF(COUNTIFS($A$2:$A1957,$A1957,$B$2:$B1957,$B1957)=1,1,0))</f>
        <v/>
      </c>
      <c r="J1957" t="str">
        <f t="shared" si="30"/>
        <v/>
      </c>
      <c r="L1957" t="str">
        <f>IF('01_Warehouse_Ledger'!$A1957="","",'01_Warehouse_Ledger'!$A1957)</f>
        <v/>
      </c>
    </row>
    <row r="1958" spans="9:12">
      <c r="I1958" t="str">
        <f>IF(OR($A1958="",$B1958=""),"",IF(COUNTIFS($A$2:$A1958,$A1958,$B$2:$B1958,$B1958)=1,1,0))</f>
        <v/>
      </c>
      <c r="J1958" t="str">
        <f t="shared" si="30"/>
        <v/>
      </c>
      <c r="L1958" t="str">
        <f>IF('01_Warehouse_Ledger'!$A1958="","",'01_Warehouse_Ledger'!$A1958)</f>
        <v/>
      </c>
    </row>
    <row r="1959" spans="9:12">
      <c r="I1959" t="str">
        <f>IF(OR($A1959="",$B1959=""),"",IF(COUNTIFS($A$2:$A1959,$A1959,$B$2:$B1959,$B1959)=1,1,0))</f>
        <v/>
      </c>
      <c r="J1959" t="str">
        <f t="shared" si="30"/>
        <v/>
      </c>
      <c r="L1959" t="str">
        <f>IF('01_Warehouse_Ledger'!$A1959="","",'01_Warehouse_Ledger'!$A1959)</f>
        <v/>
      </c>
    </row>
    <row r="1960" spans="9:12">
      <c r="I1960" t="str">
        <f>IF(OR($A1960="",$B1960=""),"",IF(COUNTIFS($A$2:$A1960,$A1960,$B$2:$B1960,$B1960)=1,1,0))</f>
        <v/>
      </c>
      <c r="J1960" t="str">
        <f t="shared" si="30"/>
        <v/>
      </c>
      <c r="L1960" t="str">
        <f>IF('01_Warehouse_Ledger'!$A1960="","",'01_Warehouse_Ledger'!$A1960)</f>
        <v/>
      </c>
    </row>
    <row r="1961" spans="9:12">
      <c r="I1961" t="str">
        <f>IF(OR($A1961="",$B1961=""),"",IF(COUNTIFS($A$2:$A1961,$A1961,$B$2:$B1961,$B1961)=1,1,0))</f>
        <v/>
      </c>
      <c r="J1961" t="str">
        <f t="shared" si="30"/>
        <v/>
      </c>
      <c r="L1961" t="str">
        <f>IF('01_Warehouse_Ledger'!$A1961="","",'01_Warehouse_Ledger'!$A1961)</f>
        <v/>
      </c>
    </row>
    <row r="1962" spans="9:12">
      <c r="I1962" t="str">
        <f>IF(OR($A1962="",$B1962=""),"",IF(COUNTIFS($A$2:$A1962,$A1962,$B$2:$B1962,$B1962)=1,1,0))</f>
        <v/>
      </c>
      <c r="J1962" t="str">
        <f t="shared" si="30"/>
        <v/>
      </c>
      <c r="L1962" t="str">
        <f>IF('01_Warehouse_Ledger'!$A1962="","",'01_Warehouse_Ledger'!$A1962)</f>
        <v/>
      </c>
    </row>
    <row r="1963" spans="9:12">
      <c r="I1963" t="str">
        <f>IF(OR($A1963="",$B1963=""),"",IF(COUNTIFS($A$2:$A1963,$A1963,$B$2:$B1963,$B1963)=1,1,0))</f>
        <v/>
      </c>
      <c r="J1963" t="str">
        <f t="shared" si="30"/>
        <v/>
      </c>
      <c r="L1963" t="str">
        <f>IF('01_Warehouse_Ledger'!$A1963="","",'01_Warehouse_Ledger'!$A1963)</f>
        <v/>
      </c>
    </row>
    <row r="1964" spans="9:12">
      <c r="I1964" t="str">
        <f>IF(OR($A1964="",$B1964=""),"",IF(COUNTIFS($A$2:$A1964,$A1964,$B$2:$B1964,$B1964)=1,1,0))</f>
        <v/>
      </c>
      <c r="J1964" t="str">
        <f t="shared" si="30"/>
        <v/>
      </c>
      <c r="L1964" t="str">
        <f>IF('01_Warehouse_Ledger'!$A1964="","",'01_Warehouse_Ledger'!$A1964)</f>
        <v/>
      </c>
    </row>
    <row r="1965" spans="9:12">
      <c r="I1965" t="str">
        <f>IF(OR($A1965="",$B1965=""),"",IF(COUNTIFS($A$2:$A1965,$A1965,$B$2:$B1965,$B1965)=1,1,0))</f>
        <v/>
      </c>
      <c r="J1965" t="str">
        <f t="shared" si="30"/>
        <v/>
      </c>
      <c r="L1965" t="str">
        <f>IF('01_Warehouse_Ledger'!$A1965="","",'01_Warehouse_Ledger'!$A1965)</f>
        <v/>
      </c>
    </row>
    <row r="1966" spans="9:12">
      <c r="I1966" t="str">
        <f>IF(OR($A1966="",$B1966=""),"",IF(COUNTIFS($A$2:$A1966,$A1966,$B$2:$B1966,$B1966)=1,1,0))</f>
        <v/>
      </c>
      <c r="J1966" t="str">
        <f t="shared" si="30"/>
        <v/>
      </c>
      <c r="L1966" t="str">
        <f>IF('01_Warehouse_Ledger'!$A1966="","",'01_Warehouse_Ledger'!$A1966)</f>
        <v/>
      </c>
    </row>
    <row r="1967" spans="9:12">
      <c r="I1967" t="str">
        <f>IF(OR($A1967="",$B1967=""),"",IF(COUNTIFS($A$2:$A1967,$A1967,$B$2:$B1967,$B1967)=1,1,0))</f>
        <v/>
      </c>
      <c r="J1967" t="str">
        <f t="shared" si="30"/>
        <v/>
      </c>
      <c r="L1967" t="str">
        <f>IF('01_Warehouse_Ledger'!$A1967="","",'01_Warehouse_Ledger'!$A1967)</f>
        <v/>
      </c>
    </row>
    <row r="1968" spans="9:12">
      <c r="I1968" t="str">
        <f>IF(OR($A1968="",$B1968=""),"",IF(COUNTIFS($A$2:$A1968,$A1968,$B$2:$B1968,$B1968)=1,1,0))</f>
        <v/>
      </c>
      <c r="J1968" t="str">
        <f t="shared" si="30"/>
        <v/>
      </c>
      <c r="L1968" t="str">
        <f>IF('01_Warehouse_Ledger'!$A1968="","",'01_Warehouse_Ledger'!$A1968)</f>
        <v/>
      </c>
    </row>
    <row r="1969" spans="9:12">
      <c r="I1969" t="str">
        <f>IF(OR($A1969="",$B1969=""),"",IF(COUNTIFS($A$2:$A1969,$A1969,$B$2:$B1969,$B1969)=1,1,0))</f>
        <v/>
      </c>
      <c r="J1969" t="str">
        <f t="shared" si="30"/>
        <v/>
      </c>
      <c r="L1969" t="str">
        <f>IF('01_Warehouse_Ledger'!$A1969="","",'01_Warehouse_Ledger'!$A1969)</f>
        <v/>
      </c>
    </row>
    <row r="1970" spans="9:12">
      <c r="I1970" t="str">
        <f>IF(OR($A1970="",$B1970=""),"",IF(COUNTIFS($A$2:$A1970,$A1970,$B$2:$B1970,$B1970)=1,1,0))</f>
        <v/>
      </c>
      <c r="J1970" t="str">
        <f t="shared" si="30"/>
        <v/>
      </c>
      <c r="L1970" t="str">
        <f>IF('01_Warehouse_Ledger'!$A1970="","",'01_Warehouse_Ledger'!$A1970)</f>
        <v/>
      </c>
    </row>
    <row r="1971" spans="9:12">
      <c r="I1971" t="str">
        <f>IF(OR($A1971="",$B1971=""),"",IF(COUNTIFS($A$2:$A1971,$A1971,$B$2:$B1971,$B1971)=1,1,0))</f>
        <v/>
      </c>
      <c r="J1971" t="str">
        <f t="shared" si="30"/>
        <v/>
      </c>
      <c r="L1971" t="str">
        <f>IF('01_Warehouse_Ledger'!$A1971="","",'01_Warehouse_Ledger'!$A1971)</f>
        <v/>
      </c>
    </row>
    <row r="1972" spans="9:12">
      <c r="I1972" t="str">
        <f>IF(OR($A1972="",$B1972=""),"",IF(COUNTIFS($A$2:$A1972,$A1972,$B$2:$B1972,$B1972)=1,1,0))</f>
        <v/>
      </c>
      <c r="J1972" t="str">
        <f t="shared" si="30"/>
        <v/>
      </c>
      <c r="L1972" t="str">
        <f>IF('01_Warehouse_Ledger'!$A1972="","",'01_Warehouse_Ledger'!$A1972)</f>
        <v/>
      </c>
    </row>
    <row r="1973" spans="9:12">
      <c r="I1973" t="str">
        <f>IF(OR($A1973="",$B1973=""),"",IF(COUNTIFS($A$2:$A1973,$A1973,$B$2:$B1973,$B1973)=1,1,0))</f>
        <v/>
      </c>
      <c r="J1973" t="str">
        <f t="shared" si="30"/>
        <v/>
      </c>
      <c r="L1973" t="str">
        <f>IF('01_Warehouse_Ledger'!$A1973="","",'01_Warehouse_Ledger'!$A1973)</f>
        <v/>
      </c>
    </row>
    <row r="1974" spans="9:12">
      <c r="I1974" t="str">
        <f>IF(OR($A1974="",$B1974=""),"",IF(COUNTIFS($A$2:$A1974,$A1974,$B$2:$B1974,$B1974)=1,1,0))</f>
        <v/>
      </c>
      <c r="J1974" t="str">
        <f t="shared" si="30"/>
        <v/>
      </c>
      <c r="L1974" t="str">
        <f>IF('01_Warehouse_Ledger'!$A1974="","",'01_Warehouse_Ledger'!$A1974)</f>
        <v/>
      </c>
    </row>
    <row r="1975" spans="9:12">
      <c r="I1975" t="str">
        <f>IF(OR($A1975="",$B1975=""),"",IF(COUNTIFS($A$2:$A1975,$A1975,$B$2:$B1975,$B1975)=1,1,0))</f>
        <v/>
      </c>
      <c r="J1975" t="str">
        <f t="shared" si="30"/>
        <v/>
      </c>
      <c r="L1975" t="str">
        <f>IF('01_Warehouse_Ledger'!$A1975="","",'01_Warehouse_Ledger'!$A1975)</f>
        <v/>
      </c>
    </row>
    <row r="1976" spans="9:12">
      <c r="I1976" t="str">
        <f>IF(OR($A1976="",$B1976=""),"",IF(COUNTIFS($A$2:$A1976,$A1976,$B$2:$B1976,$B1976)=1,1,0))</f>
        <v/>
      </c>
      <c r="J1976" t="str">
        <f t="shared" si="30"/>
        <v/>
      </c>
      <c r="L1976" t="str">
        <f>IF('01_Warehouse_Ledger'!$A1976="","",'01_Warehouse_Ledger'!$A1976)</f>
        <v/>
      </c>
    </row>
    <row r="1977" spans="9:12">
      <c r="I1977" t="str">
        <f>IF(OR($A1977="",$B1977=""),"",IF(COUNTIFS($A$2:$A1977,$A1977,$B$2:$B1977,$B1977)=1,1,0))</f>
        <v/>
      </c>
      <c r="J1977" t="str">
        <f t="shared" si="30"/>
        <v/>
      </c>
      <c r="L1977" t="str">
        <f>IF('01_Warehouse_Ledger'!$A1977="","",'01_Warehouse_Ledger'!$A1977)</f>
        <v/>
      </c>
    </row>
    <row r="1978" spans="9:12">
      <c r="I1978" t="str">
        <f>IF(OR($A1978="",$B1978=""),"",IF(COUNTIFS($A$2:$A1978,$A1978,$B$2:$B1978,$B1978)=1,1,0))</f>
        <v/>
      </c>
      <c r="J1978" t="str">
        <f t="shared" si="30"/>
        <v/>
      </c>
      <c r="L1978" t="str">
        <f>IF('01_Warehouse_Ledger'!$A1978="","",'01_Warehouse_Ledger'!$A1978)</f>
        <v/>
      </c>
    </row>
    <row r="1979" spans="9:12">
      <c r="I1979" t="str">
        <f>IF(OR($A1979="",$B1979=""),"",IF(COUNTIFS($A$2:$A1979,$A1979,$B$2:$B1979,$B1979)=1,1,0))</f>
        <v/>
      </c>
      <c r="J1979" t="str">
        <f t="shared" si="30"/>
        <v/>
      </c>
      <c r="L1979" t="str">
        <f>IF('01_Warehouse_Ledger'!$A1979="","",'01_Warehouse_Ledger'!$A1979)</f>
        <v/>
      </c>
    </row>
    <row r="1980" spans="9:12">
      <c r="I1980" t="str">
        <f>IF(OR($A1980="",$B1980=""),"",IF(COUNTIFS($A$2:$A1980,$A1980,$B$2:$B1980,$B1980)=1,1,0))</f>
        <v/>
      </c>
      <c r="J1980" t="str">
        <f t="shared" si="30"/>
        <v/>
      </c>
      <c r="L1980" t="str">
        <f>IF('01_Warehouse_Ledger'!$A1980="","",'01_Warehouse_Ledger'!$A1980)</f>
        <v/>
      </c>
    </row>
    <row r="1981" spans="9:12">
      <c r="I1981" t="str">
        <f>IF(OR($A1981="",$B1981=""),"",IF(COUNTIFS($A$2:$A1981,$A1981,$B$2:$B1981,$B1981)=1,1,0))</f>
        <v/>
      </c>
      <c r="J1981" t="str">
        <f t="shared" si="30"/>
        <v/>
      </c>
      <c r="L1981" t="str">
        <f>IF('01_Warehouse_Ledger'!$A1981="","",'01_Warehouse_Ledger'!$A1981)</f>
        <v/>
      </c>
    </row>
    <row r="1982" spans="9:12">
      <c r="I1982" t="str">
        <f>IF(OR($A1982="",$B1982=""),"",IF(COUNTIFS($A$2:$A1982,$A1982,$B$2:$B1982,$B1982)=1,1,0))</f>
        <v/>
      </c>
      <c r="J1982" t="str">
        <f t="shared" si="30"/>
        <v/>
      </c>
      <c r="L1982" t="str">
        <f>IF('01_Warehouse_Ledger'!$A1982="","",'01_Warehouse_Ledger'!$A1982)</f>
        <v/>
      </c>
    </row>
    <row r="1983" spans="9:12">
      <c r="I1983" t="str">
        <f>IF(OR($A1983="",$B1983=""),"",IF(COUNTIFS($A$2:$A1983,$A1983,$B$2:$B1983,$B1983)=1,1,0))</f>
        <v/>
      </c>
      <c r="J1983" t="str">
        <f t="shared" si="30"/>
        <v/>
      </c>
      <c r="L1983" t="str">
        <f>IF('01_Warehouse_Ledger'!$A1983="","",'01_Warehouse_Ledger'!$A1983)</f>
        <v/>
      </c>
    </row>
    <row r="1984" spans="9:12">
      <c r="I1984" t="str">
        <f>IF(OR($A1984="",$B1984=""),"",IF(COUNTIFS($A$2:$A1984,$A1984,$B$2:$B1984,$B1984)=1,1,0))</f>
        <v/>
      </c>
      <c r="J1984" t="str">
        <f t="shared" si="30"/>
        <v/>
      </c>
      <c r="L1984" t="str">
        <f>IF('01_Warehouse_Ledger'!$A1984="","",'01_Warehouse_Ledger'!$A1984)</f>
        <v/>
      </c>
    </row>
    <row r="1985" spans="9:12">
      <c r="I1985" t="str">
        <f>IF(OR($A1985="",$B1985=""),"",IF(COUNTIFS($A$2:$A1985,$A1985,$B$2:$B1985,$B1985)=1,1,0))</f>
        <v/>
      </c>
      <c r="J1985" t="str">
        <f t="shared" si="30"/>
        <v/>
      </c>
      <c r="L1985" t="str">
        <f>IF('01_Warehouse_Ledger'!$A1985="","",'01_Warehouse_Ledger'!$A1985)</f>
        <v/>
      </c>
    </row>
    <row r="1986" spans="9:12">
      <c r="I1986" t="str">
        <f>IF(OR($A1986="",$B1986=""),"",IF(COUNTIFS($A$2:$A1986,$A1986,$B$2:$B1986,$B1986)=1,1,0))</f>
        <v/>
      </c>
      <c r="J1986" t="str">
        <f t="shared" ref="J1986:J2049" si="31">IF($A1986="","",ROW())</f>
        <v/>
      </c>
      <c r="L1986" t="str">
        <f>IF('01_Warehouse_Ledger'!$A1986="","",'01_Warehouse_Ledger'!$A1986)</f>
        <v/>
      </c>
    </row>
    <row r="1987" spans="9:12">
      <c r="I1987" t="str">
        <f>IF(OR($A1987="",$B1987=""),"",IF(COUNTIFS($A$2:$A1987,$A1987,$B$2:$B1987,$B1987)=1,1,0))</f>
        <v/>
      </c>
      <c r="J1987" t="str">
        <f t="shared" si="31"/>
        <v/>
      </c>
      <c r="L1987" t="str">
        <f>IF('01_Warehouse_Ledger'!$A1987="","",'01_Warehouse_Ledger'!$A1987)</f>
        <v/>
      </c>
    </row>
    <row r="1988" spans="9:12">
      <c r="I1988" t="str">
        <f>IF(OR($A1988="",$B1988=""),"",IF(COUNTIFS($A$2:$A1988,$A1988,$B$2:$B1988,$B1988)=1,1,0))</f>
        <v/>
      </c>
      <c r="J1988" t="str">
        <f t="shared" si="31"/>
        <v/>
      </c>
      <c r="L1988" t="str">
        <f>IF('01_Warehouse_Ledger'!$A1988="","",'01_Warehouse_Ledger'!$A1988)</f>
        <v/>
      </c>
    </row>
    <row r="1989" spans="9:12">
      <c r="I1989" t="str">
        <f>IF(OR($A1989="",$B1989=""),"",IF(COUNTIFS($A$2:$A1989,$A1989,$B$2:$B1989,$B1989)=1,1,0))</f>
        <v/>
      </c>
      <c r="J1989" t="str">
        <f t="shared" si="31"/>
        <v/>
      </c>
      <c r="L1989" t="str">
        <f>IF('01_Warehouse_Ledger'!$A1989="","",'01_Warehouse_Ledger'!$A1989)</f>
        <v/>
      </c>
    </row>
    <row r="1990" spans="9:12">
      <c r="I1990" t="str">
        <f>IF(OR($A1990="",$B1990=""),"",IF(COUNTIFS($A$2:$A1990,$A1990,$B$2:$B1990,$B1990)=1,1,0))</f>
        <v/>
      </c>
      <c r="J1990" t="str">
        <f t="shared" si="31"/>
        <v/>
      </c>
      <c r="L1990" t="str">
        <f>IF('01_Warehouse_Ledger'!$A1990="","",'01_Warehouse_Ledger'!$A1990)</f>
        <v/>
      </c>
    </row>
    <row r="1991" spans="9:12">
      <c r="I1991" t="str">
        <f>IF(OR($A1991="",$B1991=""),"",IF(COUNTIFS($A$2:$A1991,$A1991,$B$2:$B1991,$B1991)=1,1,0))</f>
        <v/>
      </c>
      <c r="J1991" t="str">
        <f t="shared" si="31"/>
        <v/>
      </c>
      <c r="L1991" t="str">
        <f>IF('01_Warehouse_Ledger'!$A1991="","",'01_Warehouse_Ledger'!$A1991)</f>
        <v/>
      </c>
    </row>
    <row r="1992" spans="9:12">
      <c r="I1992" t="str">
        <f>IF(OR($A1992="",$B1992=""),"",IF(COUNTIFS($A$2:$A1992,$A1992,$B$2:$B1992,$B1992)=1,1,0))</f>
        <v/>
      </c>
      <c r="J1992" t="str">
        <f t="shared" si="31"/>
        <v/>
      </c>
      <c r="L1992" t="str">
        <f>IF('01_Warehouse_Ledger'!$A1992="","",'01_Warehouse_Ledger'!$A1992)</f>
        <v/>
      </c>
    </row>
    <row r="1993" spans="9:12">
      <c r="I1993" t="str">
        <f>IF(OR($A1993="",$B1993=""),"",IF(COUNTIFS($A$2:$A1993,$A1993,$B$2:$B1993,$B1993)=1,1,0))</f>
        <v/>
      </c>
      <c r="J1993" t="str">
        <f t="shared" si="31"/>
        <v/>
      </c>
      <c r="L1993" t="str">
        <f>IF('01_Warehouse_Ledger'!$A1993="","",'01_Warehouse_Ledger'!$A1993)</f>
        <v/>
      </c>
    </row>
    <row r="1994" spans="9:12">
      <c r="I1994" t="str">
        <f>IF(OR($A1994="",$B1994=""),"",IF(COUNTIFS($A$2:$A1994,$A1994,$B$2:$B1994,$B1994)=1,1,0))</f>
        <v/>
      </c>
      <c r="J1994" t="str">
        <f t="shared" si="31"/>
        <v/>
      </c>
      <c r="L1994" t="str">
        <f>IF('01_Warehouse_Ledger'!$A1994="","",'01_Warehouse_Ledger'!$A1994)</f>
        <v/>
      </c>
    </row>
    <row r="1995" spans="9:12">
      <c r="I1995" t="str">
        <f>IF(OR($A1995="",$B1995=""),"",IF(COUNTIFS($A$2:$A1995,$A1995,$B$2:$B1995,$B1995)=1,1,0))</f>
        <v/>
      </c>
      <c r="J1995" t="str">
        <f t="shared" si="31"/>
        <v/>
      </c>
      <c r="L1995" t="str">
        <f>IF('01_Warehouse_Ledger'!$A1995="","",'01_Warehouse_Ledger'!$A1995)</f>
        <v/>
      </c>
    </row>
    <row r="1996" spans="9:12">
      <c r="I1996" t="str">
        <f>IF(OR($A1996="",$B1996=""),"",IF(COUNTIFS($A$2:$A1996,$A1996,$B$2:$B1996,$B1996)=1,1,0))</f>
        <v/>
      </c>
      <c r="J1996" t="str">
        <f t="shared" si="31"/>
        <v/>
      </c>
      <c r="L1996" t="str">
        <f>IF('01_Warehouse_Ledger'!$A1996="","",'01_Warehouse_Ledger'!$A1996)</f>
        <v/>
      </c>
    </row>
    <row r="1997" spans="9:12">
      <c r="I1997" t="str">
        <f>IF(OR($A1997="",$B1997=""),"",IF(COUNTIFS($A$2:$A1997,$A1997,$B$2:$B1997,$B1997)=1,1,0))</f>
        <v/>
      </c>
      <c r="J1997" t="str">
        <f t="shared" si="31"/>
        <v/>
      </c>
      <c r="L1997" t="str">
        <f>IF('01_Warehouse_Ledger'!$A1997="","",'01_Warehouse_Ledger'!$A1997)</f>
        <v/>
      </c>
    </row>
    <row r="1998" spans="9:12">
      <c r="I1998" t="str">
        <f>IF(OR($A1998="",$B1998=""),"",IF(COUNTIFS($A$2:$A1998,$A1998,$B$2:$B1998,$B1998)=1,1,0))</f>
        <v/>
      </c>
      <c r="J1998" t="str">
        <f t="shared" si="31"/>
        <v/>
      </c>
      <c r="L1998" t="str">
        <f>IF('01_Warehouse_Ledger'!$A1998="","",'01_Warehouse_Ledger'!$A1998)</f>
        <v/>
      </c>
    </row>
    <row r="1999" spans="9:12">
      <c r="I1999" t="str">
        <f>IF(OR($A1999="",$B1999=""),"",IF(COUNTIFS($A$2:$A1999,$A1999,$B$2:$B1999,$B1999)=1,1,0))</f>
        <v/>
      </c>
      <c r="J1999" t="str">
        <f t="shared" si="31"/>
        <v/>
      </c>
      <c r="L1999" t="str">
        <f>IF('01_Warehouse_Ledger'!$A1999="","",'01_Warehouse_Ledger'!$A1999)</f>
        <v/>
      </c>
    </row>
    <row r="2000" spans="9:12">
      <c r="I2000" t="str">
        <f>IF(OR($A2000="",$B2000=""),"",IF(COUNTIFS($A$2:$A2000,$A2000,$B$2:$B2000,$B2000)=1,1,0))</f>
        <v/>
      </c>
      <c r="J2000" t="str">
        <f t="shared" si="31"/>
        <v/>
      </c>
      <c r="L2000" t="str">
        <f>IF('01_Warehouse_Ledger'!$A2000="","",'01_Warehouse_Ledger'!$A2000)</f>
        <v/>
      </c>
    </row>
    <row r="2001" spans="9:12">
      <c r="I2001" t="str">
        <f>IF(OR($A2001="",$B2001=""),"",IF(COUNTIFS($A$2:$A2001,$A2001,$B$2:$B2001,$B2001)=1,1,0))</f>
        <v/>
      </c>
      <c r="J2001" t="str">
        <f t="shared" si="31"/>
        <v/>
      </c>
      <c r="L2001" t="str">
        <f>IF('01_Warehouse_Ledger'!$A2001="","",'01_Warehouse_Ledger'!$A2001)</f>
        <v/>
      </c>
    </row>
    <row r="2002" spans="9:12">
      <c r="I2002" t="str">
        <f>IF(OR($A2002="",$B2002=""),"",IF(COUNTIFS($A$2:$A2002,$A2002,$B$2:$B2002,$B2002)=1,1,0))</f>
        <v/>
      </c>
      <c r="J2002" t="str">
        <f t="shared" si="31"/>
        <v/>
      </c>
    </row>
    <row r="2003" spans="9:12">
      <c r="I2003" t="str">
        <f>IF(OR($A2003="",$B2003=""),"",IF(COUNTIFS($A$2:$A2003,$A2003,$B$2:$B2003,$B2003)=1,1,0))</f>
        <v/>
      </c>
      <c r="J2003" t="str">
        <f t="shared" si="31"/>
        <v/>
      </c>
    </row>
    <row r="2004" spans="9:12">
      <c r="I2004" t="str">
        <f>IF(OR($A2004="",$B2004=""),"",IF(COUNTIFS($A$2:$A2004,$A2004,$B$2:$B2004,$B2004)=1,1,0))</f>
        <v/>
      </c>
      <c r="J2004" t="str">
        <f t="shared" si="31"/>
        <v/>
      </c>
    </row>
    <row r="2005" spans="9:12">
      <c r="I2005" t="str">
        <f>IF(OR($A2005="",$B2005=""),"",IF(COUNTIFS($A$2:$A2005,$A2005,$B$2:$B2005,$B2005)=1,1,0))</f>
        <v/>
      </c>
      <c r="J2005" t="str">
        <f t="shared" si="31"/>
        <v/>
      </c>
    </row>
    <row r="2006" spans="9:12">
      <c r="I2006" t="str">
        <f>IF(OR($A2006="",$B2006=""),"",IF(COUNTIFS($A$2:$A2006,$A2006,$B$2:$B2006,$B2006)=1,1,0))</f>
        <v/>
      </c>
      <c r="J2006" t="str">
        <f t="shared" si="31"/>
        <v/>
      </c>
    </row>
    <row r="2007" spans="9:12">
      <c r="I2007" t="str">
        <f>IF(OR($A2007="",$B2007=""),"",IF(COUNTIFS($A$2:$A2007,$A2007,$B$2:$B2007,$B2007)=1,1,0))</f>
        <v/>
      </c>
      <c r="J2007" t="str">
        <f t="shared" si="31"/>
        <v/>
      </c>
    </row>
    <row r="2008" spans="9:12">
      <c r="I2008" t="str">
        <f>IF(OR($A2008="",$B2008=""),"",IF(COUNTIFS($A$2:$A2008,$A2008,$B$2:$B2008,$B2008)=1,1,0))</f>
        <v/>
      </c>
      <c r="J2008" t="str">
        <f t="shared" si="31"/>
        <v/>
      </c>
    </row>
    <row r="2009" spans="9:12">
      <c r="I2009" t="str">
        <f>IF(OR($A2009="",$B2009=""),"",IF(COUNTIFS($A$2:$A2009,$A2009,$B$2:$B2009,$B2009)=1,1,0))</f>
        <v/>
      </c>
      <c r="J2009" t="str">
        <f t="shared" si="31"/>
        <v/>
      </c>
    </row>
    <row r="2010" spans="9:12">
      <c r="I2010" t="str">
        <f>IF(OR($A2010="",$B2010=""),"",IF(COUNTIFS($A$2:$A2010,$A2010,$B$2:$B2010,$B2010)=1,1,0))</f>
        <v/>
      </c>
      <c r="J2010" t="str">
        <f t="shared" si="31"/>
        <v/>
      </c>
    </row>
    <row r="2011" spans="9:12">
      <c r="I2011" t="str">
        <f>IF(OR($A2011="",$B2011=""),"",IF(COUNTIFS($A$2:$A2011,$A2011,$B$2:$B2011,$B2011)=1,1,0))</f>
        <v/>
      </c>
      <c r="J2011" t="str">
        <f t="shared" si="31"/>
        <v/>
      </c>
    </row>
    <row r="2012" spans="9:12">
      <c r="I2012" t="str">
        <f>IF(OR($A2012="",$B2012=""),"",IF(COUNTIFS($A$2:$A2012,$A2012,$B$2:$B2012,$B2012)=1,1,0))</f>
        <v/>
      </c>
      <c r="J2012" t="str">
        <f t="shared" si="31"/>
        <v/>
      </c>
    </row>
    <row r="2013" spans="9:12">
      <c r="I2013" t="str">
        <f>IF(OR($A2013="",$B2013=""),"",IF(COUNTIFS($A$2:$A2013,$A2013,$B$2:$B2013,$B2013)=1,1,0))</f>
        <v/>
      </c>
      <c r="J2013" t="str">
        <f t="shared" si="31"/>
        <v/>
      </c>
    </row>
    <row r="2014" spans="9:12">
      <c r="I2014" t="str">
        <f>IF(OR($A2014="",$B2014=""),"",IF(COUNTIFS($A$2:$A2014,$A2014,$B$2:$B2014,$B2014)=1,1,0))</f>
        <v/>
      </c>
      <c r="J2014" t="str">
        <f t="shared" si="31"/>
        <v/>
      </c>
    </row>
    <row r="2015" spans="9:12">
      <c r="I2015" t="str">
        <f>IF(OR($A2015="",$B2015=""),"",IF(COUNTIFS($A$2:$A2015,$A2015,$B$2:$B2015,$B2015)=1,1,0))</f>
        <v/>
      </c>
      <c r="J2015" t="str">
        <f t="shared" si="31"/>
        <v/>
      </c>
    </row>
    <row r="2016" spans="9:12">
      <c r="I2016" t="str">
        <f>IF(OR($A2016="",$B2016=""),"",IF(COUNTIFS($A$2:$A2016,$A2016,$B$2:$B2016,$B2016)=1,1,0))</f>
        <v/>
      </c>
      <c r="J2016" t="str">
        <f t="shared" si="31"/>
        <v/>
      </c>
    </row>
    <row r="2017" spans="9:10">
      <c r="I2017" t="str">
        <f>IF(OR($A2017="",$B2017=""),"",IF(COUNTIFS($A$2:$A2017,$A2017,$B$2:$B2017,$B2017)=1,1,0))</f>
        <v/>
      </c>
      <c r="J2017" t="str">
        <f t="shared" si="31"/>
        <v/>
      </c>
    </row>
    <row r="2018" spans="9:10">
      <c r="I2018" t="str">
        <f>IF(OR($A2018="",$B2018=""),"",IF(COUNTIFS($A$2:$A2018,$A2018,$B$2:$B2018,$B2018)=1,1,0))</f>
        <v/>
      </c>
      <c r="J2018" t="str">
        <f t="shared" si="31"/>
        <v/>
      </c>
    </row>
    <row r="2019" spans="9:10">
      <c r="I2019" t="str">
        <f>IF(OR($A2019="",$B2019=""),"",IF(COUNTIFS($A$2:$A2019,$A2019,$B$2:$B2019,$B2019)=1,1,0))</f>
        <v/>
      </c>
      <c r="J2019" t="str">
        <f t="shared" si="31"/>
        <v/>
      </c>
    </row>
    <row r="2020" spans="9:10">
      <c r="I2020" t="str">
        <f>IF(OR($A2020="",$B2020=""),"",IF(COUNTIFS($A$2:$A2020,$A2020,$B$2:$B2020,$B2020)=1,1,0))</f>
        <v/>
      </c>
      <c r="J2020" t="str">
        <f t="shared" si="31"/>
        <v/>
      </c>
    </row>
    <row r="2021" spans="9:10">
      <c r="I2021" t="str">
        <f>IF(OR($A2021="",$B2021=""),"",IF(COUNTIFS($A$2:$A2021,$A2021,$B$2:$B2021,$B2021)=1,1,0))</f>
        <v/>
      </c>
      <c r="J2021" t="str">
        <f t="shared" si="31"/>
        <v/>
      </c>
    </row>
    <row r="2022" spans="9:10">
      <c r="I2022" t="str">
        <f>IF(OR($A2022="",$B2022=""),"",IF(COUNTIFS($A$2:$A2022,$A2022,$B$2:$B2022,$B2022)=1,1,0))</f>
        <v/>
      </c>
      <c r="J2022" t="str">
        <f t="shared" si="31"/>
        <v/>
      </c>
    </row>
    <row r="2023" spans="9:10">
      <c r="I2023" t="str">
        <f>IF(OR($A2023="",$B2023=""),"",IF(COUNTIFS($A$2:$A2023,$A2023,$B$2:$B2023,$B2023)=1,1,0))</f>
        <v/>
      </c>
      <c r="J2023" t="str">
        <f t="shared" si="31"/>
        <v/>
      </c>
    </row>
    <row r="2024" spans="9:10">
      <c r="I2024" t="str">
        <f>IF(OR($A2024="",$B2024=""),"",IF(COUNTIFS($A$2:$A2024,$A2024,$B$2:$B2024,$B2024)=1,1,0))</f>
        <v/>
      </c>
      <c r="J2024" t="str">
        <f t="shared" si="31"/>
        <v/>
      </c>
    </row>
    <row r="2025" spans="9:10">
      <c r="I2025" t="str">
        <f>IF(OR($A2025="",$B2025=""),"",IF(COUNTIFS($A$2:$A2025,$A2025,$B$2:$B2025,$B2025)=1,1,0))</f>
        <v/>
      </c>
      <c r="J2025" t="str">
        <f t="shared" si="31"/>
        <v/>
      </c>
    </row>
    <row r="2026" spans="9:10">
      <c r="I2026" t="str">
        <f>IF(OR($A2026="",$B2026=""),"",IF(COUNTIFS($A$2:$A2026,$A2026,$B$2:$B2026,$B2026)=1,1,0))</f>
        <v/>
      </c>
      <c r="J2026" t="str">
        <f t="shared" si="31"/>
        <v/>
      </c>
    </row>
    <row r="2027" spans="9:10">
      <c r="I2027" t="str">
        <f>IF(OR($A2027="",$B2027=""),"",IF(COUNTIFS($A$2:$A2027,$A2027,$B$2:$B2027,$B2027)=1,1,0))</f>
        <v/>
      </c>
      <c r="J2027" t="str">
        <f t="shared" si="31"/>
        <v/>
      </c>
    </row>
    <row r="2028" spans="9:10">
      <c r="I2028" t="str">
        <f>IF(OR($A2028="",$B2028=""),"",IF(COUNTIFS($A$2:$A2028,$A2028,$B$2:$B2028,$B2028)=1,1,0))</f>
        <v/>
      </c>
      <c r="J2028" t="str">
        <f t="shared" si="31"/>
        <v/>
      </c>
    </row>
    <row r="2029" spans="9:10">
      <c r="I2029" t="str">
        <f>IF(OR($A2029="",$B2029=""),"",IF(COUNTIFS($A$2:$A2029,$A2029,$B$2:$B2029,$B2029)=1,1,0))</f>
        <v/>
      </c>
      <c r="J2029" t="str">
        <f t="shared" si="31"/>
        <v/>
      </c>
    </row>
    <row r="2030" spans="9:10">
      <c r="I2030" t="str">
        <f>IF(OR($A2030="",$B2030=""),"",IF(COUNTIFS($A$2:$A2030,$A2030,$B$2:$B2030,$B2030)=1,1,0))</f>
        <v/>
      </c>
      <c r="J2030" t="str">
        <f t="shared" si="31"/>
        <v/>
      </c>
    </row>
    <row r="2031" spans="9:10">
      <c r="I2031" t="str">
        <f>IF(OR($A2031="",$B2031=""),"",IF(COUNTIFS($A$2:$A2031,$A2031,$B$2:$B2031,$B2031)=1,1,0))</f>
        <v/>
      </c>
      <c r="J2031" t="str">
        <f t="shared" si="31"/>
        <v/>
      </c>
    </row>
    <row r="2032" spans="9:10">
      <c r="I2032" t="str">
        <f>IF(OR($A2032="",$B2032=""),"",IF(COUNTIFS($A$2:$A2032,$A2032,$B$2:$B2032,$B2032)=1,1,0))</f>
        <v/>
      </c>
      <c r="J2032" t="str">
        <f t="shared" si="31"/>
        <v/>
      </c>
    </row>
    <row r="2033" spans="9:10">
      <c r="I2033" t="str">
        <f>IF(OR($A2033="",$B2033=""),"",IF(COUNTIFS($A$2:$A2033,$A2033,$B$2:$B2033,$B2033)=1,1,0))</f>
        <v/>
      </c>
      <c r="J2033" t="str">
        <f t="shared" si="31"/>
        <v/>
      </c>
    </row>
    <row r="2034" spans="9:10">
      <c r="I2034" t="str">
        <f>IF(OR($A2034="",$B2034=""),"",IF(COUNTIFS($A$2:$A2034,$A2034,$B$2:$B2034,$B2034)=1,1,0))</f>
        <v/>
      </c>
      <c r="J2034" t="str">
        <f t="shared" si="31"/>
        <v/>
      </c>
    </row>
    <row r="2035" spans="9:10">
      <c r="I2035" t="str">
        <f>IF(OR($A2035="",$B2035=""),"",IF(COUNTIFS($A$2:$A2035,$A2035,$B$2:$B2035,$B2035)=1,1,0))</f>
        <v/>
      </c>
      <c r="J2035" t="str">
        <f t="shared" si="31"/>
        <v/>
      </c>
    </row>
    <row r="2036" spans="9:10">
      <c r="I2036" t="str">
        <f>IF(OR($A2036="",$B2036=""),"",IF(COUNTIFS($A$2:$A2036,$A2036,$B$2:$B2036,$B2036)=1,1,0))</f>
        <v/>
      </c>
      <c r="J2036" t="str">
        <f t="shared" si="31"/>
        <v/>
      </c>
    </row>
    <row r="2037" spans="9:10">
      <c r="I2037" t="str">
        <f>IF(OR($A2037="",$B2037=""),"",IF(COUNTIFS($A$2:$A2037,$A2037,$B$2:$B2037,$B2037)=1,1,0))</f>
        <v/>
      </c>
      <c r="J2037" t="str">
        <f t="shared" si="31"/>
        <v/>
      </c>
    </row>
    <row r="2038" spans="9:10">
      <c r="I2038" t="str">
        <f>IF(OR($A2038="",$B2038=""),"",IF(COUNTIFS($A$2:$A2038,$A2038,$B$2:$B2038,$B2038)=1,1,0))</f>
        <v/>
      </c>
      <c r="J2038" t="str">
        <f t="shared" si="31"/>
        <v/>
      </c>
    </row>
    <row r="2039" spans="9:10">
      <c r="I2039" t="str">
        <f>IF(OR($A2039="",$B2039=""),"",IF(COUNTIFS($A$2:$A2039,$A2039,$B$2:$B2039,$B2039)=1,1,0))</f>
        <v/>
      </c>
      <c r="J2039" t="str">
        <f t="shared" si="31"/>
        <v/>
      </c>
    </row>
    <row r="2040" spans="9:10">
      <c r="I2040" t="str">
        <f>IF(OR($A2040="",$B2040=""),"",IF(COUNTIFS($A$2:$A2040,$A2040,$B$2:$B2040,$B2040)=1,1,0))</f>
        <v/>
      </c>
      <c r="J2040" t="str">
        <f t="shared" si="31"/>
        <v/>
      </c>
    </row>
    <row r="2041" spans="9:10">
      <c r="I2041" t="str">
        <f>IF(OR($A2041="",$B2041=""),"",IF(COUNTIFS($A$2:$A2041,$A2041,$B$2:$B2041,$B2041)=1,1,0))</f>
        <v/>
      </c>
      <c r="J2041" t="str">
        <f t="shared" si="31"/>
        <v/>
      </c>
    </row>
    <row r="2042" spans="9:10">
      <c r="I2042" t="str">
        <f>IF(OR($A2042="",$B2042=""),"",IF(COUNTIFS($A$2:$A2042,$A2042,$B$2:$B2042,$B2042)=1,1,0))</f>
        <v/>
      </c>
      <c r="J2042" t="str">
        <f t="shared" si="31"/>
        <v/>
      </c>
    </row>
    <row r="2043" spans="9:10">
      <c r="I2043" t="str">
        <f>IF(OR($A2043="",$B2043=""),"",IF(COUNTIFS($A$2:$A2043,$A2043,$B$2:$B2043,$B2043)=1,1,0))</f>
        <v/>
      </c>
      <c r="J2043" t="str">
        <f t="shared" si="31"/>
        <v/>
      </c>
    </row>
    <row r="2044" spans="9:10">
      <c r="I2044" t="str">
        <f>IF(OR($A2044="",$B2044=""),"",IF(COUNTIFS($A$2:$A2044,$A2044,$B$2:$B2044,$B2044)=1,1,0))</f>
        <v/>
      </c>
      <c r="J2044" t="str">
        <f t="shared" si="31"/>
        <v/>
      </c>
    </row>
    <row r="2045" spans="9:10">
      <c r="I2045" t="str">
        <f>IF(OR($A2045="",$B2045=""),"",IF(COUNTIFS($A$2:$A2045,$A2045,$B$2:$B2045,$B2045)=1,1,0))</f>
        <v/>
      </c>
      <c r="J2045" t="str">
        <f t="shared" si="31"/>
        <v/>
      </c>
    </row>
    <row r="2046" spans="9:10">
      <c r="I2046" t="str">
        <f>IF(OR($A2046="",$B2046=""),"",IF(COUNTIFS($A$2:$A2046,$A2046,$B$2:$B2046,$B2046)=1,1,0))</f>
        <v/>
      </c>
      <c r="J2046" t="str">
        <f t="shared" si="31"/>
        <v/>
      </c>
    </row>
    <row r="2047" spans="9:10">
      <c r="I2047" t="str">
        <f>IF(OR($A2047="",$B2047=""),"",IF(COUNTIFS($A$2:$A2047,$A2047,$B$2:$B2047,$B2047)=1,1,0))</f>
        <v/>
      </c>
      <c r="J2047" t="str">
        <f t="shared" si="31"/>
        <v/>
      </c>
    </row>
    <row r="2048" spans="9:10">
      <c r="I2048" t="str">
        <f>IF(OR($A2048="",$B2048=""),"",IF(COUNTIFS($A$2:$A2048,$A2048,$B$2:$B2048,$B2048)=1,1,0))</f>
        <v/>
      </c>
      <c r="J2048" t="str">
        <f t="shared" si="31"/>
        <v/>
      </c>
    </row>
    <row r="2049" spans="9:10">
      <c r="I2049" t="str">
        <f>IF(OR($A2049="",$B2049=""),"",IF(COUNTIFS($A$2:$A2049,$A2049,$B$2:$B2049,$B2049)=1,1,0))</f>
        <v/>
      </c>
      <c r="J2049" t="str">
        <f t="shared" si="31"/>
        <v/>
      </c>
    </row>
    <row r="2050" spans="9:10">
      <c r="I2050" t="str">
        <f>IF(OR($A2050="",$B2050=""),"",IF(COUNTIFS($A$2:$A2050,$A2050,$B$2:$B2050,$B2050)=1,1,0))</f>
        <v/>
      </c>
      <c r="J2050" t="str">
        <f t="shared" ref="J2050:J2113" si="32">IF($A2050="","",ROW())</f>
        <v/>
      </c>
    </row>
    <row r="2051" spans="9:10">
      <c r="I2051" t="str">
        <f>IF(OR($A2051="",$B2051=""),"",IF(COUNTIFS($A$2:$A2051,$A2051,$B$2:$B2051,$B2051)=1,1,0))</f>
        <v/>
      </c>
      <c r="J2051" t="str">
        <f t="shared" si="32"/>
        <v/>
      </c>
    </row>
    <row r="2052" spans="9:10">
      <c r="I2052" t="str">
        <f>IF(OR($A2052="",$B2052=""),"",IF(COUNTIFS($A$2:$A2052,$A2052,$B$2:$B2052,$B2052)=1,1,0))</f>
        <v/>
      </c>
      <c r="J2052" t="str">
        <f t="shared" si="32"/>
        <v/>
      </c>
    </row>
    <row r="2053" spans="9:10">
      <c r="I2053" t="str">
        <f>IF(OR($A2053="",$B2053=""),"",IF(COUNTIFS($A$2:$A2053,$A2053,$B$2:$B2053,$B2053)=1,1,0))</f>
        <v/>
      </c>
      <c r="J2053" t="str">
        <f t="shared" si="32"/>
        <v/>
      </c>
    </row>
    <row r="2054" spans="9:10">
      <c r="I2054" t="str">
        <f>IF(OR($A2054="",$B2054=""),"",IF(COUNTIFS($A$2:$A2054,$A2054,$B$2:$B2054,$B2054)=1,1,0))</f>
        <v/>
      </c>
      <c r="J2054" t="str">
        <f t="shared" si="32"/>
        <v/>
      </c>
    </row>
    <row r="2055" spans="9:10">
      <c r="I2055" t="str">
        <f>IF(OR($A2055="",$B2055=""),"",IF(COUNTIFS($A$2:$A2055,$A2055,$B$2:$B2055,$B2055)=1,1,0))</f>
        <v/>
      </c>
      <c r="J2055" t="str">
        <f t="shared" si="32"/>
        <v/>
      </c>
    </row>
    <row r="2056" spans="9:10">
      <c r="I2056" t="str">
        <f>IF(OR($A2056="",$B2056=""),"",IF(COUNTIFS($A$2:$A2056,$A2056,$B$2:$B2056,$B2056)=1,1,0))</f>
        <v/>
      </c>
      <c r="J2056" t="str">
        <f t="shared" si="32"/>
        <v/>
      </c>
    </row>
    <row r="2057" spans="9:10">
      <c r="I2057" t="str">
        <f>IF(OR($A2057="",$B2057=""),"",IF(COUNTIFS($A$2:$A2057,$A2057,$B$2:$B2057,$B2057)=1,1,0))</f>
        <v/>
      </c>
      <c r="J2057" t="str">
        <f t="shared" si="32"/>
        <v/>
      </c>
    </row>
    <row r="2058" spans="9:10">
      <c r="I2058" t="str">
        <f>IF(OR($A2058="",$B2058=""),"",IF(COUNTIFS($A$2:$A2058,$A2058,$B$2:$B2058,$B2058)=1,1,0))</f>
        <v/>
      </c>
      <c r="J2058" t="str">
        <f t="shared" si="32"/>
        <v/>
      </c>
    </row>
    <row r="2059" spans="9:10">
      <c r="I2059" t="str">
        <f>IF(OR($A2059="",$B2059=""),"",IF(COUNTIFS($A$2:$A2059,$A2059,$B$2:$B2059,$B2059)=1,1,0))</f>
        <v/>
      </c>
      <c r="J2059" t="str">
        <f t="shared" si="32"/>
        <v/>
      </c>
    </row>
    <row r="2060" spans="9:10">
      <c r="I2060" t="str">
        <f>IF(OR($A2060="",$B2060=""),"",IF(COUNTIFS($A$2:$A2060,$A2060,$B$2:$B2060,$B2060)=1,1,0))</f>
        <v/>
      </c>
      <c r="J2060" t="str">
        <f t="shared" si="32"/>
        <v/>
      </c>
    </row>
    <row r="2061" spans="9:10">
      <c r="I2061" t="str">
        <f>IF(OR($A2061="",$B2061=""),"",IF(COUNTIFS($A$2:$A2061,$A2061,$B$2:$B2061,$B2061)=1,1,0))</f>
        <v/>
      </c>
      <c r="J2061" t="str">
        <f t="shared" si="32"/>
        <v/>
      </c>
    </row>
    <row r="2062" spans="9:10">
      <c r="I2062" t="str">
        <f>IF(OR($A2062="",$B2062=""),"",IF(COUNTIFS($A$2:$A2062,$A2062,$B$2:$B2062,$B2062)=1,1,0))</f>
        <v/>
      </c>
      <c r="J2062" t="str">
        <f t="shared" si="32"/>
        <v/>
      </c>
    </row>
    <row r="2063" spans="9:10">
      <c r="I2063" t="str">
        <f>IF(OR($A2063="",$B2063=""),"",IF(COUNTIFS($A$2:$A2063,$A2063,$B$2:$B2063,$B2063)=1,1,0))</f>
        <v/>
      </c>
      <c r="J2063" t="str">
        <f t="shared" si="32"/>
        <v/>
      </c>
    </row>
    <row r="2064" spans="9:10">
      <c r="I2064" t="str">
        <f>IF(OR($A2064="",$B2064=""),"",IF(COUNTIFS($A$2:$A2064,$A2064,$B$2:$B2064,$B2064)=1,1,0))</f>
        <v/>
      </c>
      <c r="J2064" t="str">
        <f t="shared" si="32"/>
        <v/>
      </c>
    </row>
    <row r="2065" spans="9:10">
      <c r="I2065" t="str">
        <f>IF(OR($A2065="",$B2065=""),"",IF(COUNTIFS($A$2:$A2065,$A2065,$B$2:$B2065,$B2065)=1,1,0))</f>
        <v/>
      </c>
      <c r="J2065" t="str">
        <f t="shared" si="32"/>
        <v/>
      </c>
    </row>
    <row r="2066" spans="9:10">
      <c r="I2066" t="str">
        <f>IF(OR($A2066="",$B2066=""),"",IF(COUNTIFS($A$2:$A2066,$A2066,$B$2:$B2066,$B2066)=1,1,0))</f>
        <v/>
      </c>
      <c r="J2066" t="str">
        <f t="shared" si="32"/>
        <v/>
      </c>
    </row>
    <row r="2067" spans="9:10">
      <c r="I2067" t="str">
        <f>IF(OR($A2067="",$B2067=""),"",IF(COUNTIFS($A$2:$A2067,$A2067,$B$2:$B2067,$B2067)=1,1,0))</f>
        <v/>
      </c>
      <c r="J2067" t="str">
        <f t="shared" si="32"/>
        <v/>
      </c>
    </row>
    <row r="2068" spans="9:10">
      <c r="I2068" t="str">
        <f>IF(OR($A2068="",$B2068=""),"",IF(COUNTIFS($A$2:$A2068,$A2068,$B$2:$B2068,$B2068)=1,1,0))</f>
        <v/>
      </c>
      <c r="J2068" t="str">
        <f t="shared" si="32"/>
        <v/>
      </c>
    </row>
    <row r="2069" spans="9:10">
      <c r="I2069" t="str">
        <f>IF(OR($A2069="",$B2069=""),"",IF(COUNTIFS($A$2:$A2069,$A2069,$B$2:$B2069,$B2069)=1,1,0))</f>
        <v/>
      </c>
      <c r="J2069" t="str">
        <f t="shared" si="32"/>
        <v/>
      </c>
    </row>
    <row r="2070" spans="9:10">
      <c r="I2070" t="str">
        <f>IF(OR($A2070="",$B2070=""),"",IF(COUNTIFS($A$2:$A2070,$A2070,$B$2:$B2070,$B2070)=1,1,0))</f>
        <v/>
      </c>
      <c r="J2070" t="str">
        <f t="shared" si="32"/>
        <v/>
      </c>
    </row>
    <row r="2071" spans="9:10">
      <c r="I2071" t="str">
        <f>IF(OR($A2071="",$B2071=""),"",IF(COUNTIFS($A$2:$A2071,$A2071,$B$2:$B2071,$B2071)=1,1,0))</f>
        <v/>
      </c>
      <c r="J2071" t="str">
        <f t="shared" si="32"/>
        <v/>
      </c>
    </row>
    <row r="2072" spans="9:10">
      <c r="I2072" t="str">
        <f>IF(OR($A2072="",$B2072=""),"",IF(COUNTIFS($A$2:$A2072,$A2072,$B$2:$B2072,$B2072)=1,1,0))</f>
        <v/>
      </c>
      <c r="J2072" t="str">
        <f t="shared" si="32"/>
        <v/>
      </c>
    </row>
    <row r="2073" spans="9:10">
      <c r="I2073" t="str">
        <f>IF(OR($A2073="",$B2073=""),"",IF(COUNTIFS($A$2:$A2073,$A2073,$B$2:$B2073,$B2073)=1,1,0))</f>
        <v/>
      </c>
      <c r="J2073" t="str">
        <f t="shared" si="32"/>
        <v/>
      </c>
    </row>
    <row r="2074" spans="9:10">
      <c r="I2074" t="str">
        <f>IF(OR($A2074="",$B2074=""),"",IF(COUNTIFS($A$2:$A2074,$A2074,$B$2:$B2074,$B2074)=1,1,0))</f>
        <v/>
      </c>
      <c r="J2074" t="str">
        <f t="shared" si="32"/>
        <v/>
      </c>
    </row>
    <row r="2075" spans="9:10">
      <c r="I2075" t="str">
        <f>IF(OR($A2075="",$B2075=""),"",IF(COUNTIFS($A$2:$A2075,$A2075,$B$2:$B2075,$B2075)=1,1,0))</f>
        <v/>
      </c>
      <c r="J2075" t="str">
        <f t="shared" si="32"/>
        <v/>
      </c>
    </row>
    <row r="2076" spans="9:10">
      <c r="I2076" t="str">
        <f>IF(OR($A2076="",$B2076=""),"",IF(COUNTIFS($A$2:$A2076,$A2076,$B$2:$B2076,$B2076)=1,1,0))</f>
        <v/>
      </c>
      <c r="J2076" t="str">
        <f t="shared" si="32"/>
        <v/>
      </c>
    </row>
    <row r="2077" spans="9:10">
      <c r="I2077" t="str">
        <f>IF(OR($A2077="",$B2077=""),"",IF(COUNTIFS($A$2:$A2077,$A2077,$B$2:$B2077,$B2077)=1,1,0))</f>
        <v/>
      </c>
      <c r="J2077" t="str">
        <f t="shared" si="32"/>
        <v/>
      </c>
    </row>
    <row r="2078" spans="9:10">
      <c r="I2078" t="str">
        <f>IF(OR($A2078="",$B2078=""),"",IF(COUNTIFS($A$2:$A2078,$A2078,$B$2:$B2078,$B2078)=1,1,0))</f>
        <v/>
      </c>
      <c r="J2078" t="str">
        <f t="shared" si="32"/>
        <v/>
      </c>
    </row>
    <row r="2079" spans="9:10">
      <c r="I2079" t="str">
        <f>IF(OR($A2079="",$B2079=""),"",IF(COUNTIFS($A$2:$A2079,$A2079,$B$2:$B2079,$B2079)=1,1,0))</f>
        <v/>
      </c>
      <c r="J2079" t="str">
        <f t="shared" si="32"/>
        <v/>
      </c>
    </row>
    <row r="2080" spans="9:10">
      <c r="I2080" t="str">
        <f>IF(OR($A2080="",$B2080=""),"",IF(COUNTIFS($A$2:$A2080,$A2080,$B$2:$B2080,$B2080)=1,1,0))</f>
        <v/>
      </c>
      <c r="J2080" t="str">
        <f t="shared" si="32"/>
        <v/>
      </c>
    </row>
    <row r="2081" spans="9:10">
      <c r="I2081" t="str">
        <f>IF(OR($A2081="",$B2081=""),"",IF(COUNTIFS($A$2:$A2081,$A2081,$B$2:$B2081,$B2081)=1,1,0))</f>
        <v/>
      </c>
      <c r="J2081" t="str">
        <f t="shared" si="32"/>
        <v/>
      </c>
    </row>
    <row r="2082" spans="9:10">
      <c r="I2082" t="str">
        <f>IF(OR($A2082="",$B2082=""),"",IF(COUNTIFS($A$2:$A2082,$A2082,$B$2:$B2082,$B2082)=1,1,0))</f>
        <v/>
      </c>
      <c r="J2082" t="str">
        <f t="shared" si="32"/>
        <v/>
      </c>
    </row>
    <row r="2083" spans="9:10">
      <c r="I2083" t="str">
        <f>IF(OR($A2083="",$B2083=""),"",IF(COUNTIFS($A$2:$A2083,$A2083,$B$2:$B2083,$B2083)=1,1,0))</f>
        <v/>
      </c>
      <c r="J2083" t="str">
        <f t="shared" si="32"/>
        <v/>
      </c>
    </row>
    <row r="2084" spans="9:10">
      <c r="I2084" t="str">
        <f>IF(OR($A2084="",$B2084=""),"",IF(COUNTIFS($A$2:$A2084,$A2084,$B$2:$B2084,$B2084)=1,1,0))</f>
        <v/>
      </c>
      <c r="J2084" t="str">
        <f t="shared" si="32"/>
        <v/>
      </c>
    </row>
    <row r="2085" spans="9:10">
      <c r="I2085" t="str">
        <f>IF(OR($A2085="",$B2085=""),"",IF(COUNTIFS($A$2:$A2085,$A2085,$B$2:$B2085,$B2085)=1,1,0))</f>
        <v/>
      </c>
      <c r="J2085" t="str">
        <f t="shared" si="32"/>
        <v/>
      </c>
    </row>
    <row r="2086" spans="9:10">
      <c r="I2086" t="str">
        <f>IF(OR($A2086="",$B2086=""),"",IF(COUNTIFS($A$2:$A2086,$A2086,$B$2:$B2086,$B2086)=1,1,0))</f>
        <v/>
      </c>
      <c r="J2086" t="str">
        <f t="shared" si="32"/>
        <v/>
      </c>
    </row>
    <row r="2087" spans="9:10">
      <c r="I2087" t="str">
        <f>IF(OR($A2087="",$B2087=""),"",IF(COUNTIFS($A$2:$A2087,$A2087,$B$2:$B2087,$B2087)=1,1,0))</f>
        <v/>
      </c>
      <c r="J2087" t="str">
        <f t="shared" si="32"/>
        <v/>
      </c>
    </row>
    <row r="2088" spans="9:10">
      <c r="I2088" t="str">
        <f>IF(OR($A2088="",$B2088=""),"",IF(COUNTIFS($A$2:$A2088,$A2088,$B$2:$B2088,$B2088)=1,1,0))</f>
        <v/>
      </c>
      <c r="J2088" t="str">
        <f t="shared" si="32"/>
        <v/>
      </c>
    </row>
    <row r="2089" spans="9:10">
      <c r="I2089" t="str">
        <f>IF(OR($A2089="",$B2089=""),"",IF(COUNTIFS($A$2:$A2089,$A2089,$B$2:$B2089,$B2089)=1,1,0))</f>
        <v/>
      </c>
      <c r="J2089" t="str">
        <f t="shared" si="32"/>
        <v/>
      </c>
    </row>
    <row r="2090" spans="9:10">
      <c r="I2090" t="str">
        <f>IF(OR($A2090="",$B2090=""),"",IF(COUNTIFS($A$2:$A2090,$A2090,$B$2:$B2090,$B2090)=1,1,0))</f>
        <v/>
      </c>
      <c r="J2090" t="str">
        <f t="shared" si="32"/>
        <v/>
      </c>
    </row>
    <row r="2091" spans="9:10">
      <c r="I2091" t="str">
        <f>IF(OR($A2091="",$B2091=""),"",IF(COUNTIFS($A$2:$A2091,$A2091,$B$2:$B2091,$B2091)=1,1,0))</f>
        <v/>
      </c>
      <c r="J2091" t="str">
        <f t="shared" si="32"/>
        <v/>
      </c>
    </row>
    <row r="2092" spans="9:10">
      <c r="I2092" t="str">
        <f>IF(OR($A2092="",$B2092=""),"",IF(COUNTIFS($A$2:$A2092,$A2092,$B$2:$B2092,$B2092)=1,1,0))</f>
        <v/>
      </c>
      <c r="J2092" t="str">
        <f t="shared" si="32"/>
        <v/>
      </c>
    </row>
    <row r="2093" spans="9:10">
      <c r="I2093" t="str">
        <f>IF(OR($A2093="",$B2093=""),"",IF(COUNTIFS($A$2:$A2093,$A2093,$B$2:$B2093,$B2093)=1,1,0))</f>
        <v/>
      </c>
      <c r="J2093" t="str">
        <f t="shared" si="32"/>
        <v/>
      </c>
    </row>
    <row r="2094" spans="9:10">
      <c r="I2094" t="str">
        <f>IF(OR($A2094="",$B2094=""),"",IF(COUNTIFS($A$2:$A2094,$A2094,$B$2:$B2094,$B2094)=1,1,0))</f>
        <v/>
      </c>
      <c r="J2094" t="str">
        <f t="shared" si="32"/>
        <v/>
      </c>
    </row>
    <row r="2095" spans="9:10">
      <c r="I2095" t="str">
        <f>IF(OR($A2095="",$B2095=""),"",IF(COUNTIFS($A$2:$A2095,$A2095,$B$2:$B2095,$B2095)=1,1,0))</f>
        <v/>
      </c>
      <c r="J2095" t="str">
        <f t="shared" si="32"/>
        <v/>
      </c>
    </row>
    <row r="2096" spans="9:10">
      <c r="I2096" t="str">
        <f>IF(OR($A2096="",$B2096=""),"",IF(COUNTIFS($A$2:$A2096,$A2096,$B$2:$B2096,$B2096)=1,1,0))</f>
        <v/>
      </c>
      <c r="J2096" t="str">
        <f t="shared" si="32"/>
        <v/>
      </c>
    </row>
    <row r="2097" spans="9:10">
      <c r="I2097" t="str">
        <f>IF(OR($A2097="",$B2097=""),"",IF(COUNTIFS($A$2:$A2097,$A2097,$B$2:$B2097,$B2097)=1,1,0))</f>
        <v/>
      </c>
      <c r="J2097" t="str">
        <f t="shared" si="32"/>
        <v/>
      </c>
    </row>
    <row r="2098" spans="9:10">
      <c r="I2098" t="str">
        <f>IF(OR($A2098="",$B2098=""),"",IF(COUNTIFS($A$2:$A2098,$A2098,$B$2:$B2098,$B2098)=1,1,0))</f>
        <v/>
      </c>
      <c r="J2098" t="str">
        <f t="shared" si="32"/>
        <v/>
      </c>
    </row>
    <row r="2099" spans="9:10">
      <c r="I2099" t="str">
        <f>IF(OR($A2099="",$B2099=""),"",IF(COUNTIFS($A$2:$A2099,$A2099,$B$2:$B2099,$B2099)=1,1,0))</f>
        <v/>
      </c>
      <c r="J2099" t="str">
        <f t="shared" si="32"/>
        <v/>
      </c>
    </row>
    <row r="2100" spans="9:10">
      <c r="I2100" t="str">
        <f>IF(OR($A2100="",$B2100=""),"",IF(COUNTIFS($A$2:$A2100,$A2100,$B$2:$B2100,$B2100)=1,1,0))</f>
        <v/>
      </c>
      <c r="J2100" t="str">
        <f t="shared" si="32"/>
        <v/>
      </c>
    </row>
    <row r="2101" spans="9:10">
      <c r="I2101" t="str">
        <f>IF(OR($A2101="",$B2101=""),"",IF(COUNTIFS($A$2:$A2101,$A2101,$B$2:$B2101,$B2101)=1,1,0))</f>
        <v/>
      </c>
      <c r="J2101" t="str">
        <f t="shared" si="32"/>
        <v/>
      </c>
    </row>
    <row r="2102" spans="9:10">
      <c r="I2102" t="str">
        <f>IF(OR($A2102="",$B2102=""),"",IF(COUNTIFS($A$2:$A2102,$A2102,$B$2:$B2102,$B2102)=1,1,0))</f>
        <v/>
      </c>
      <c r="J2102" t="str">
        <f t="shared" si="32"/>
        <v/>
      </c>
    </row>
    <row r="2103" spans="9:10">
      <c r="I2103" t="str">
        <f>IF(OR($A2103="",$B2103=""),"",IF(COUNTIFS($A$2:$A2103,$A2103,$B$2:$B2103,$B2103)=1,1,0))</f>
        <v/>
      </c>
      <c r="J2103" t="str">
        <f t="shared" si="32"/>
        <v/>
      </c>
    </row>
    <row r="2104" spans="9:10">
      <c r="I2104" t="str">
        <f>IF(OR($A2104="",$B2104=""),"",IF(COUNTIFS($A$2:$A2104,$A2104,$B$2:$B2104,$B2104)=1,1,0))</f>
        <v/>
      </c>
      <c r="J2104" t="str">
        <f t="shared" si="32"/>
        <v/>
      </c>
    </row>
    <row r="2105" spans="9:10">
      <c r="I2105" t="str">
        <f>IF(OR($A2105="",$B2105=""),"",IF(COUNTIFS($A$2:$A2105,$A2105,$B$2:$B2105,$B2105)=1,1,0))</f>
        <v/>
      </c>
      <c r="J2105" t="str">
        <f t="shared" si="32"/>
        <v/>
      </c>
    </row>
    <row r="2106" spans="9:10">
      <c r="I2106" t="str">
        <f>IF(OR($A2106="",$B2106=""),"",IF(COUNTIFS($A$2:$A2106,$A2106,$B$2:$B2106,$B2106)=1,1,0))</f>
        <v/>
      </c>
      <c r="J2106" t="str">
        <f t="shared" si="32"/>
        <v/>
      </c>
    </row>
    <row r="2107" spans="9:10">
      <c r="I2107" t="str">
        <f>IF(OR($A2107="",$B2107=""),"",IF(COUNTIFS($A$2:$A2107,$A2107,$B$2:$B2107,$B2107)=1,1,0))</f>
        <v/>
      </c>
      <c r="J2107" t="str">
        <f t="shared" si="32"/>
        <v/>
      </c>
    </row>
    <row r="2108" spans="9:10">
      <c r="I2108" t="str">
        <f>IF(OR($A2108="",$B2108=""),"",IF(COUNTIFS($A$2:$A2108,$A2108,$B$2:$B2108,$B2108)=1,1,0))</f>
        <v/>
      </c>
      <c r="J2108" t="str">
        <f t="shared" si="32"/>
        <v/>
      </c>
    </row>
    <row r="2109" spans="9:10">
      <c r="I2109" t="str">
        <f>IF(OR($A2109="",$B2109=""),"",IF(COUNTIFS($A$2:$A2109,$A2109,$B$2:$B2109,$B2109)=1,1,0))</f>
        <v/>
      </c>
      <c r="J2109" t="str">
        <f t="shared" si="32"/>
        <v/>
      </c>
    </row>
    <row r="2110" spans="9:10">
      <c r="I2110" t="str">
        <f>IF(OR($A2110="",$B2110=""),"",IF(COUNTIFS($A$2:$A2110,$A2110,$B$2:$B2110,$B2110)=1,1,0))</f>
        <v/>
      </c>
      <c r="J2110" t="str">
        <f t="shared" si="32"/>
        <v/>
      </c>
    </row>
    <row r="2111" spans="9:10">
      <c r="I2111" t="str">
        <f>IF(OR($A2111="",$B2111=""),"",IF(COUNTIFS($A$2:$A2111,$A2111,$B$2:$B2111,$B2111)=1,1,0))</f>
        <v/>
      </c>
      <c r="J2111" t="str">
        <f t="shared" si="32"/>
        <v/>
      </c>
    </row>
    <row r="2112" spans="9:10">
      <c r="I2112" t="str">
        <f>IF(OR($A2112="",$B2112=""),"",IF(COUNTIFS($A$2:$A2112,$A2112,$B$2:$B2112,$B2112)=1,1,0))</f>
        <v/>
      </c>
      <c r="J2112" t="str">
        <f t="shared" si="32"/>
        <v/>
      </c>
    </row>
    <row r="2113" spans="9:10">
      <c r="I2113" t="str">
        <f>IF(OR($A2113="",$B2113=""),"",IF(COUNTIFS($A$2:$A2113,$A2113,$B$2:$B2113,$B2113)=1,1,0))</f>
        <v/>
      </c>
      <c r="J2113" t="str">
        <f t="shared" si="32"/>
        <v/>
      </c>
    </row>
    <row r="2114" spans="9:10">
      <c r="I2114" t="str">
        <f>IF(OR($A2114="",$B2114=""),"",IF(COUNTIFS($A$2:$A2114,$A2114,$B$2:$B2114,$B2114)=1,1,0))</f>
        <v/>
      </c>
      <c r="J2114" t="str">
        <f t="shared" ref="J2114:J2177" si="33">IF($A2114="","",ROW())</f>
        <v/>
      </c>
    </row>
    <row r="2115" spans="9:10">
      <c r="I2115" t="str">
        <f>IF(OR($A2115="",$B2115=""),"",IF(COUNTIFS($A$2:$A2115,$A2115,$B$2:$B2115,$B2115)=1,1,0))</f>
        <v/>
      </c>
      <c r="J2115" t="str">
        <f t="shared" si="33"/>
        <v/>
      </c>
    </row>
    <row r="2116" spans="9:10">
      <c r="I2116" t="str">
        <f>IF(OR($A2116="",$B2116=""),"",IF(COUNTIFS($A$2:$A2116,$A2116,$B$2:$B2116,$B2116)=1,1,0))</f>
        <v/>
      </c>
      <c r="J2116" t="str">
        <f t="shared" si="33"/>
        <v/>
      </c>
    </row>
    <row r="2117" spans="9:10">
      <c r="I2117" t="str">
        <f>IF(OR($A2117="",$B2117=""),"",IF(COUNTIFS($A$2:$A2117,$A2117,$B$2:$B2117,$B2117)=1,1,0))</f>
        <v/>
      </c>
      <c r="J2117" t="str">
        <f t="shared" si="33"/>
        <v/>
      </c>
    </row>
    <row r="2118" spans="9:10">
      <c r="I2118" t="str">
        <f>IF(OR($A2118="",$B2118=""),"",IF(COUNTIFS($A$2:$A2118,$A2118,$B$2:$B2118,$B2118)=1,1,0))</f>
        <v/>
      </c>
      <c r="J2118" t="str">
        <f t="shared" si="33"/>
        <v/>
      </c>
    </row>
    <row r="2119" spans="9:10">
      <c r="I2119" t="str">
        <f>IF(OR($A2119="",$B2119=""),"",IF(COUNTIFS($A$2:$A2119,$A2119,$B$2:$B2119,$B2119)=1,1,0))</f>
        <v/>
      </c>
      <c r="J2119" t="str">
        <f t="shared" si="33"/>
        <v/>
      </c>
    </row>
    <row r="2120" spans="9:10">
      <c r="I2120" t="str">
        <f>IF(OR($A2120="",$B2120=""),"",IF(COUNTIFS($A$2:$A2120,$A2120,$B$2:$B2120,$B2120)=1,1,0))</f>
        <v/>
      </c>
      <c r="J2120" t="str">
        <f t="shared" si="33"/>
        <v/>
      </c>
    </row>
    <row r="2121" spans="9:10">
      <c r="I2121" t="str">
        <f>IF(OR($A2121="",$B2121=""),"",IF(COUNTIFS($A$2:$A2121,$A2121,$B$2:$B2121,$B2121)=1,1,0))</f>
        <v/>
      </c>
      <c r="J2121" t="str">
        <f t="shared" si="33"/>
        <v/>
      </c>
    </row>
    <row r="2122" spans="9:10">
      <c r="I2122" t="str">
        <f>IF(OR($A2122="",$B2122=""),"",IF(COUNTIFS($A$2:$A2122,$A2122,$B$2:$B2122,$B2122)=1,1,0))</f>
        <v/>
      </c>
      <c r="J2122" t="str">
        <f t="shared" si="33"/>
        <v/>
      </c>
    </row>
    <row r="2123" spans="9:10">
      <c r="I2123" t="str">
        <f>IF(OR($A2123="",$B2123=""),"",IF(COUNTIFS($A$2:$A2123,$A2123,$B$2:$B2123,$B2123)=1,1,0))</f>
        <v/>
      </c>
      <c r="J2123" t="str">
        <f t="shared" si="33"/>
        <v/>
      </c>
    </row>
    <row r="2124" spans="9:10">
      <c r="I2124" t="str">
        <f>IF(OR($A2124="",$B2124=""),"",IF(COUNTIFS($A$2:$A2124,$A2124,$B$2:$B2124,$B2124)=1,1,0))</f>
        <v/>
      </c>
      <c r="J2124" t="str">
        <f t="shared" si="33"/>
        <v/>
      </c>
    </row>
    <row r="2125" spans="9:10">
      <c r="I2125" t="str">
        <f>IF(OR($A2125="",$B2125=""),"",IF(COUNTIFS($A$2:$A2125,$A2125,$B$2:$B2125,$B2125)=1,1,0))</f>
        <v/>
      </c>
      <c r="J2125" t="str">
        <f t="shared" si="33"/>
        <v/>
      </c>
    </row>
    <row r="2126" spans="9:10">
      <c r="I2126" t="str">
        <f>IF(OR($A2126="",$B2126=""),"",IF(COUNTIFS($A$2:$A2126,$A2126,$B$2:$B2126,$B2126)=1,1,0))</f>
        <v/>
      </c>
      <c r="J2126" t="str">
        <f t="shared" si="33"/>
        <v/>
      </c>
    </row>
    <row r="2127" spans="9:10">
      <c r="I2127" t="str">
        <f>IF(OR($A2127="",$B2127=""),"",IF(COUNTIFS($A$2:$A2127,$A2127,$B$2:$B2127,$B2127)=1,1,0))</f>
        <v/>
      </c>
      <c r="J2127" t="str">
        <f t="shared" si="33"/>
        <v/>
      </c>
    </row>
    <row r="2128" spans="9:10">
      <c r="I2128" t="str">
        <f>IF(OR($A2128="",$B2128=""),"",IF(COUNTIFS($A$2:$A2128,$A2128,$B$2:$B2128,$B2128)=1,1,0))</f>
        <v/>
      </c>
      <c r="J2128" t="str">
        <f t="shared" si="33"/>
        <v/>
      </c>
    </row>
    <row r="2129" spans="9:10">
      <c r="I2129" t="str">
        <f>IF(OR($A2129="",$B2129=""),"",IF(COUNTIFS($A$2:$A2129,$A2129,$B$2:$B2129,$B2129)=1,1,0))</f>
        <v/>
      </c>
      <c r="J2129" t="str">
        <f t="shared" si="33"/>
        <v/>
      </c>
    </row>
    <row r="2130" spans="9:10">
      <c r="I2130" t="str">
        <f>IF(OR($A2130="",$B2130=""),"",IF(COUNTIFS($A$2:$A2130,$A2130,$B$2:$B2130,$B2130)=1,1,0))</f>
        <v/>
      </c>
      <c r="J2130" t="str">
        <f t="shared" si="33"/>
        <v/>
      </c>
    </row>
    <row r="2131" spans="9:10">
      <c r="I2131" t="str">
        <f>IF(OR($A2131="",$B2131=""),"",IF(COUNTIFS($A$2:$A2131,$A2131,$B$2:$B2131,$B2131)=1,1,0))</f>
        <v/>
      </c>
      <c r="J2131" t="str">
        <f t="shared" si="33"/>
        <v/>
      </c>
    </row>
    <row r="2132" spans="9:10">
      <c r="I2132" t="str">
        <f>IF(OR($A2132="",$B2132=""),"",IF(COUNTIFS($A$2:$A2132,$A2132,$B$2:$B2132,$B2132)=1,1,0))</f>
        <v/>
      </c>
      <c r="J2132" t="str">
        <f t="shared" si="33"/>
        <v/>
      </c>
    </row>
    <row r="2133" spans="9:10">
      <c r="I2133" t="str">
        <f>IF(OR($A2133="",$B2133=""),"",IF(COUNTIFS($A$2:$A2133,$A2133,$B$2:$B2133,$B2133)=1,1,0))</f>
        <v/>
      </c>
      <c r="J2133" t="str">
        <f t="shared" si="33"/>
        <v/>
      </c>
    </row>
    <row r="2134" spans="9:10">
      <c r="I2134" t="str">
        <f>IF(OR($A2134="",$B2134=""),"",IF(COUNTIFS($A$2:$A2134,$A2134,$B$2:$B2134,$B2134)=1,1,0))</f>
        <v/>
      </c>
      <c r="J2134" t="str">
        <f t="shared" si="33"/>
        <v/>
      </c>
    </row>
    <row r="2135" spans="9:10">
      <c r="I2135" t="str">
        <f>IF(OR($A2135="",$B2135=""),"",IF(COUNTIFS($A$2:$A2135,$A2135,$B$2:$B2135,$B2135)=1,1,0))</f>
        <v/>
      </c>
      <c r="J2135" t="str">
        <f t="shared" si="33"/>
        <v/>
      </c>
    </row>
    <row r="2136" spans="9:10">
      <c r="I2136" t="str">
        <f>IF(OR($A2136="",$B2136=""),"",IF(COUNTIFS($A$2:$A2136,$A2136,$B$2:$B2136,$B2136)=1,1,0))</f>
        <v/>
      </c>
      <c r="J2136" t="str">
        <f t="shared" si="33"/>
        <v/>
      </c>
    </row>
    <row r="2137" spans="9:10">
      <c r="I2137" t="str">
        <f>IF(OR($A2137="",$B2137=""),"",IF(COUNTIFS($A$2:$A2137,$A2137,$B$2:$B2137,$B2137)=1,1,0))</f>
        <v/>
      </c>
      <c r="J2137" t="str">
        <f t="shared" si="33"/>
        <v/>
      </c>
    </row>
    <row r="2138" spans="9:10">
      <c r="I2138" t="str">
        <f>IF(OR($A2138="",$B2138=""),"",IF(COUNTIFS($A$2:$A2138,$A2138,$B$2:$B2138,$B2138)=1,1,0))</f>
        <v/>
      </c>
      <c r="J2138" t="str">
        <f t="shared" si="33"/>
        <v/>
      </c>
    </row>
    <row r="2139" spans="9:10">
      <c r="I2139" t="str">
        <f>IF(OR($A2139="",$B2139=""),"",IF(COUNTIFS($A$2:$A2139,$A2139,$B$2:$B2139,$B2139)=1,1,0))</f>
        <v/>
      </c>
      <c r="J2139" t="str">
        <f t="shared" si="33"/>
        <v/>
      </c>
    </row>
    <row r="2140" spans="9:10">
      <c r="I2140" t="str">
        <f>IF(OR($A2140="",$B2140=""),"",IF(COUNTIFS($A$2:$A2140,$A2140,$B$2:$B2140,$B2140)=1,1,0))</f>
        <v/>
      </c>
      <c r="J2140" t="str">
        <f t="shared" si="33"/>
        <v/>
      </c>
    </row>
    <row r="2141" spans="9:10">
      <c r="I2141" t="str">
        <f>IF(OR($A2141="",$B2141=""),"",IF(COUNTIFS($A$2:$A2141,$A2141,$B$2:$B2141,$B2141)=1,1,0))</f>
        <v/>
      </c>
      <c r="J2141" t="str">
        <f t="shared" si="33"/>
        <v/>
      </c>
    </row>
    <row r="2142" spans="9:10">
      <c r="I2142" t="str">
        <f>IF(OR($A2142="",$B2142=""),"",IF(COUNTIFS($A$2:$A2142,$A2142,$B$2:$B2142,$B2142)=1,1,0))</f>
        <v/>
      </c>
      <c r="J2142" t="str">
        <f t="shared" si="33"/>
        <v/>
      </c>
    </row>
    <row r="2143" spans="9:10">
      <c r="I2143" t="str">
        <f>IF(OR($A2143="",$B2143=""),"",IF(COUNTIFS($A$2:$A2143,$A2143,$B$2:$B2143,$B2143)=1,1,0))</f>
        <v/>
      </c>
      <c r="J2143" t="str">
        <f t="shared" si="33"/>
        <v/>
      </c>
    </row>
    <row r="2144" spans="9:10">
      <c r="I2144" t="str">
        <f>IF(OR($A2144="",$B2144=""),"",IF(COUNTIFS($A$2:$A2144,$A2144,$B$2:$B2144,$B2144)=1,1,0))</f>
        <v/>
      </c>
      <c r="J2144" t="str">
        <f t="shared" si="33"/>
        <v/>
      </c>
    </row>
    <row r="2145" spans="9:10">
      <c r="I2145" t="str">
        <f>IF(OR($A2145="",$B2145=""),"",IF(COUNTIFS($A$2:$A2145,$A2145,$B$2:$B2145,$B2145)=1,1,0))</f>
        <v/>
      </c>
      <c r="J2145" t="str">
        <f t="shared" si="33"/>
        <v/>
      </c>
    </row>
    <row r="2146" spans="9:10">
      <c r="I2146" t="str">
        <f>IF(OR($A2146="",$B2146=""),"",IF(COUNTIFS($A$2:$A2146,$A2146,$B$2:$B2146,$B2146)=1,1,0))</f>
        <v/>
      </c>
      <c r="J2146" t="str">
        <f t="shared" si="33"/>
        <v/>
      </c>
    </row>
    <row r="2147" spans="9:10">
      <c r="I2147" t="str">
        <f>IF(OR($A2147="",$B2147=""),"",IF(COUNTIFS($A$2:$A2147,$A2147,$B$2:$B2147,$B2147)=1,1,0))</f>
        <v/>
      </c>
      <c r="J2147" t="str">
        <f t="shared" si="33"/>
        <v/>
      </c>
    </row>
    <row r="2148" spans="9:10">
      <c r="I2148" t="str">
        <f>IF(OR($A2148="",$B2148=""),"",IF(COUNTIFS($A$2:$A2148,$A2148,$B$2:$B2148,$B2148)=1,1,0))</f>
        <v/>
      </c>
      <c r="J2148" t="str">
        <f t="shared" si="33"/>
        <v/>
      </c>
    </row>
    <row r="2149" spans="9:10">
      <c r="I2149" t="str">
        <f>IF(OR($A2149="",$B2149=""),"",IF(COUNTIFS($A$2:$A2149,$A2149,$B$2:$B2149,$B2149)=1,1,0))</f>
        <v/>
      </c>
      <c r="J2149" t="str">
        <f t="shared" si="33"/>
        <v/>
      </c>
    </row>
    <row r="2150" spans="9:10">
      <c r="I2150" t="str">
        <f>IF(OR($A2150="",$B2150=""),"",IF(COUNTIFS($A$2:$A2150,$A2150,$B$2:$B2150,$B2150)=1,1,0))</f>
        <v/>
      </c>
      <c r="J2150" t="str">
        <f t="shared" si="33"/>
        <v/>
      </c>
    </row>
    <row r="2151" spans="9:10">
      <c r="I2151" t="str">
        <f>IF(OR($A2151="",$B2151=""),"",IF(COUNTIFS($A$2:$A2151,$A2151,$B$2:$B2151,$B2151)=1,1,0))</f>
        <v/>
      </c>
      <c r="J2151" t="str">
        <f t="shared" si="33"/>
        <v/>
      </c>
    </row>
    <row r="2152" spans="9:10">
      <c r="I2152" t="str">
        <f>IF(OR($A2152="",$B2152=""),"",IF(COUNTIFS($A$2:$A2152,$A2152,$B$2:$B2152,$B2152)=1,1,0))</f>
        <v/>
      </c>
      <c r="J2152" t="str">
        <f t="shared" si="33"/>
        <v/>
      </c>
    </row>
    <row r="2153" spans="9:10">
      <c r="I2153" t="str">
        <f>IF(OR($A2153="",$B2153=""),"",IF(COUNTIFS($A$2:$A2153,$A2153,$B$2:$B2153,$B2153)=1,1,0))</f>
        <v/>
      </c>
      <c r="J2153" t="str">
        <f t="shared" si="33"/>
        <v/>
      </c>
    </row>
    <row r="2154" spans="9:10">
      <c r="I2154" t="str">
        <f>IF(OR($A2154="",$B2154=""),"",IF(COUNTIFS($A$2:$A2154,$A2154,$B$2:$B2154,$B2154)=1,1,0))</f>
        <v/>
      </c>
      <c r="J2154" t="str">
        <f t="shared" si="33"/>
        <v/>
      </c>
    </row>
    <row r="2155" spans="9:10">
      <c r="I2155" t="str">
        <f>IF(OR($A2155="",$B2155=""),"",IF(COUNTIFS($A$2:$A2155,$A2155,$B$2:$B2155,$B2155)=1,1,0))</f>
        <v/>
      </c>
      <c r="J2155" t="str">
        <f t="shared" si="33"/>
        <v/>
      </c>
    </row>
    <row r="2156" spans="9:10">
      <c r="I2156" t="str">
        <f>IF(OR($A2156="",$B2156=""),"",IF(COUNTIFS($A$2:$A2156,$A2156,$B$2:$B2156,$B2156)=1,1,0))</f>
        <v/>
      </c>
      <c r="J2156" t="str">
        <f t="shared" si="33"/>
        <v/>
      </c>
    </row>
    <row r="2157" spans="9:10">
      <c r="I2157" t="str">
        <f>IF(OR($A2157="",$B2157=""),"",IF(COUNTIFS($A$2:$A2157,$A2157,$B$2:$B2157,$B2157)=1,1,0))</f>
        <v/>
      </c>
      <c r="J2157" t="str">
        <f t="shared" si="33"/>
        <v/>
      </c>
    </row>
    <row r="2158" spans="9:10">
      <c r="I2158" t="str">
        <f>IF(OR($A2158="",$B2158=""),"",IF(COUNTIFS($A$2:$A2158,$A2158,$B$2:$B2158,$B2158)=1,1,0))</f>
        <v/>
      </c>
      <c r="J2158" t="str">
        <f t="shared" si="33"/>
        <v/>
      </c>
    </row>
    <row r="2159" spans="9:10">
      <c r="I2159" t="str">
        <f>IF(OR($A2159="",$B2159=""),"",IF(COUNTIFS($A$2:$A2159,$A2159,$B$2:$B2159,$B2159)=1,1,0))</f>
        <v/>
      </c>
      <c r="J2159" t="str">
        <f t="shared" si="33"/>
        <v/>
      </c>
    </row>
    <row r="2160" spans="9:10">
      <c r="I2160" t="str">
        <f>IF(OR($A2160="",$B2160=""),"",IF(COUNTIFS($A$2:$A2160,$A2160,$B$2:$B2160,$B2160)=1,1,0))</f>
        <v/>
      </c>
      <c r="J2160" t="str">
        <f t="shared" si="33"/>
        <v/>
      </c>
    </row>
    <row r="2161" spans="9:10">
      <c r="I2161" t="str">
        <f>IF(OR($A2161="",$B2161=""),"",IF(COUNTIFS($A$2:$A2161,$A2161,$B$2:$B2161,$B2161)=1,1,0))</f>
        <v/>
      </c>
      <c r="J2161" t="str">
        <f t="shared" si="33"/>
        <v/>
      </c>
    </row>
    <row r="2162" spans="9:10">
      <c r="I2162" t="str">
        <f>IF(OR($A2162="",$B2162=""),"",IF(COUNTIFS($A$2:$A2162,$A2162,$B$2:$B2162,$B2162)=1,1,0))</f>
        <v/>
      </c>
      <c r="J2162" t="str">
        <f t="shared" si="33"/>
        <v/>
      </c>
    </row>
    <row r="2163" spans="9:10">
      <c r="I2163" t="str">
        <f>IF(OR($A2163="",$B2163=""),"",IF(COUNTIFS($A$2:$A2163,$A2163,$B$2:$B2163,$B2163)=1,1,0))</f>
        <v/>
      </c>
      <c r="J2163" t="str">
        <f t="shared" si="33"/>
        <v/>
      </c>
    </row>
    <row r="2164" spans="9:10">
      <c r="I2164" t="str">
        <f>IF(OR($A2164="",$B2164=""),"",IF(COUNTIFS($A$2:$A2164,$A2164,$B$2:$B2164,$B2164)=1,1,0))</f>
        <v/>
      </c>
      <c r="J2164" t="str">
        <f t="shared" si="33"/>
        <v/>
      </c>
    </row>
    <row r="2165" spans="9:10">
      <c r="I2165" t="str">
        <f>IF(OR($A2165="",$B2165=""),"",IF(COUNTIFS($A$2:$A2165,$A2165,$B$2:$B2165,$B2165)=1,1,0))</f>
        <v/>
      </c>
      <c r="J2165" t="str">
        <f t="shared" si="33"/>
        <v/>
      </c>
    </row>
    <row r="2166" spans="9:10">
      <c r="I2166" t="str">
        <f>IF(OR($A2166="",$B2166=""),"",IF(COUNTIFS($A$2:$A2166,$A2166,$B$2:$B2166,$B2166)=1,1,0))</f>
        <v/>
      </c>
      <c r="J2166" t="str">
        <f t="shared" si="33"/>
        <v/>
      </c>
    </row>
    <row r="2167" spans="9:10">
      <c r="I2167" t="str">
        <f>IF(OR($A2167="",$B2167=""),"",IF(COUNTIFS($A$2:$A2167,$A2167,$B$2:$B2167,$B2167)=1,1,0))</f>
        <v/>
      </c>
      <c r="J2167" t="str">
        <f t="shared" si="33"/>
        <v/>
      </c>
    </row>
    <row r="2168" spans="9:10">
      <c r="I2168" t="str">
        <f>IF(OR($A2168="",$B2168=""),"",IF(COUNTIFS($A$2:$A2168,$A2168,$B$2:$B2168,$B2168)=1,1,0))</f>
        <v/>
      </c>
      <c r="J2168" t="str">
        <f t="shared" si="33"/>
        <v/>
      </c>
    </row>
    <row r="2169" spans="9:10">
      <c r="I2169" t="str">
        <f>IF(OR($A2169="",$B2169=""),"",IF(COUNTIFS($A$2:$A2169,$A2169,$B$2:$B2169,$B2169)=1,1,0))</f>
        <v/>
      </c>
      <c r="J2169" t="str">
        <f t="shared" si="33"/>
        <v/>
      </c>
    </row>
    <row r="2170" spans="9:10">
      <c r="I2170" t="str">
        <f>IF(OR($A2170="",$B2170=""),"",IF(COUNTIFS($A$2:$A2170,$A2170,$B$2:$B2170,$B2170)=1,1,0))</f>
        <v/>
      </c>
      <c r="J2170" t="str">
        <f t="shared" si="33"/>
        <v/>
      </c>
    </row>
    <row r="2171" spans="9:10">
      <c r="I2171" t="str">
        <f>IF(OR($A2171="",$B2171=""),"",IF(COUNTIFS($A$2:$A2171,$A2171,$B$2:$B2171,$B2171)=1,1,0))</f>
        <v/>
      </c>
      <c r="J2171" t="str">
        <f t="shared" si="33"/>
        <v/>
      </c>
    </row>
    <row r="2172" spans="9:10">
      <c r="I2172" t="str">
        <f>IF(OR($A2172="",$B2172=""),"",IF(COUNTIFS($A$2:$A2172,$A2172,$B$2:$B2172,$B2172)=1,1,0))</f>
        <v/>
      </c>
      <c r="J2172" t="str">
        <f t="shared" si="33"/>
        <v/>
      </c>
    </row>
    <row r="2173" spans="9:10">
      <c r="I2173" t="str">
        <f>IF(OR($A2173="",$B2173=""),"",IF(COUNTIFS($A$2:$A2173,$A2173,$B$2:$B2173,$B2173)=1,1,0))</f>
        <v/>
      </c>
      <c r="J2173" t="str">
        <f t="shared" si="33"/>
        <v/>
      </c>
    </row>
    <row r="2174" spans="9:10">
      <c r="I2174" t="str">
        <f>IF(OR($A2174="",$B2174=""),"",IF(COUNTIFS($A$2:$A2174,$A2174,$B$2:$B2174,$B2174)=1,1,0))</f>
        <v/>
      </c>
      <c r="J2174" t="str">
        <f t="shared" si="33"/>
        <v/>
      </c>
    </row>
    <row r="2175" spans="9:10">
      <c r="I2175" t="str">
        <f>IF(OR($A2175="",$B2175=""),"",IF(COUNTIFS($A$2:$A2175,$A2175,$B$2:$B2175,$B2175)=1,1,0))</f>
        <v/>
      </c>
      <c r="J2175" t="str">
        <f t="shared" si="33"/>
        <v/>
      </c>
    </row>
    <row r="2176" spans="9:10">
      <c r="I2176" t="str">
        <f>IF(OR($A2176="",$B2176=""),"",IF(COUNTIFS($A$2:$A2176,$A2176,$B$2:$B2176,$B2176)=1,1,0))</f>
        <v/>
      </c>
      <c r="J2176" t="str">
        <f t="shared" si="33"/>
        <v/>
      </c>
    </row>
    <row r="2177" spans="9:10">
      <c r="I2177" t="str">
        <f>IF(OR($A2177="",$B2177=""),"",IF(COUNTIFS($A$2:$A2177,$A2177,$B$2:$B2177,$B2177)=1,1,0))</f>
        <v/>
      </c>
      <c r="J2177" t="str">
        <f t="shared" si="33"/>
        <v/>
      </c>
    </row>
    <row r="2178" spans="9:10">
      <c r="I2178" t="str">
        <f>IF(OR($A2178="",$B2178=""),"",IF(COUNTIFS($A$2:$A2178,$A2178,$B$2:$B2178,$B2178)=1,1,0))</f>
        <v/>
      </c>
      <c r="J2178" t="str">
        <f t="shared" ref="J2178:J2241" si="34">IF($A2178="","",ROW())</f>
        <v/>
      </c>
    </row>
    <row r="2179" spans="9:10">
      <c r="I2179" t="str">
        <f>IF(OR($A2179="",$B2179=""),"",IF(COUNTIFS($A$2:$A2179,$A2179,$B$2:$B2179,$B2179)=1,1,0))</f>
        <v/>
      </c>
      <c r="J2179" t="str">
        <f t="shared" si="34"/>
        <v/>
      </c>
    </row>
    <row r="2180" spans="9:10">
      <c r="I2180" t="str">
        <f>IF(OR($A2180="",$B2180=""),"",IF(COUNTIFS($A$2:$A2180,$A2180,$B$2:$B2180,$B2180)=1,1,0))</f>
        <v/>
      </c>
      <c r="J2180" t="str">
        <f t="shared" si="34"/>
        <v/>
      </c>
    </row>
    <row r="2181" spans="9:10">
      <c r="I2181" t="str">
        <f>IF(OR($A2181="",$B2181=""),"",IF(COUNTIFS($A$2:$A2181,$A2181,$B$2:$B2181,$B2181)=1,1,0))</f>
        <v/>
      </c>
      <c r="J2181" t="str">
        <f t="shared" si="34"/>
        <v/>
      </c>
    </row>
    <row r="2182" spans="9:10">
      <c r="I2182" t="str">
        <f>IF(OR($A2182="",$B2182=""),"",IF(COUNTIFS($A$2:$A2182,$A2182,$B$2:$B2182,$B2182)=1,1,0))</f>
        <v/>
      </c>
      <c r="J2182" t="str">
        <f t="shared" si="34"/>
        <v/>
      </c>
    </row>
    <row r="2183" spans="9:10">
      <c r="I2183" t="str">
        <f>IF(OR($A2183="",$B2183=""),"",IF(COUNTIFS($A$2:$A2183,$A2183,$B$2:$B2183,$B2183)=1,1,0))</f>
        <v/>
      </c>
      <c r="J2183" t="str">
        <f t="shared" si="34"/>
        <v/>
      </c>
    </row>
    <row r="2184" spans="9:10">
      <c r="I2184" t="str">
        <f>IF(OR($A2184="",$B2184=""),"",IF(COUNTIFS($A$2:$A2184,$A2184,$B$2:$B2184,$B2184)=1,1,0))</f>
        <v/>
      </c>
      <c r="J2184" t="str">
        <f t="shared" si="34"/>
        <v/>
      </c>
    </row>
    <row r="2185" spans="9:10">
      <c r="I2185" t="str">
        <f>IF(OR($A2185="",$B2185=""),"",IF(COUNTIFS($A$2:$A2185,$A2185,$B$2:$B2185,$B2185)=1,1,0))</f>
        <v/>
      </c>
      <c r="J2185" t="str">
        <f t="shared" si="34"/>
        <v/>
      </c>
    </row>
    <row r="2186" spans="9:10">
      <c r="I2186" t="str">
        <f>IF(OR($A2186="",$B2186=""),"",IF(COUNTIFS($A$2:$A2186,$A2186,$B$2:$B2186,$B2186)=1,1,0))</f>
        <v/>
      </c>
      <c r="J2186" t="str">
        <f t="shared" si="34"/>
        <v/>
      </c>
    </row>
    <row r="2187" spans="9:10">
      <c r="I2187" t="str">
        <f>IF(OR($A2187="",$B2187=""),"",IF(COUNTIFS($A$2:$A2187,$A2187,$B$2:$B2187,$B2187)=1,1,0))</f>
        <v/>
      </c>
      <c r="J2187" t="str">
        <f t="shared" si="34"/>
        <v/>
      </c>
    </row>
    <row r="2188" spans="9:10">
      <c r="I2188" t="str">
        <f>IF(OR($A2188="",$B2188=""),"",IF(COUNTIFS($A$2:$A2188,$A2188,$B$2:$B2188,$B2188)=1,1,0))</f>
        <v/>
      </c>
      <c r="J2188" t="str">
        <f t="shared" si="34"/>
        <v/>
      </c>
    </row>
    <row r="2189" spans="9:10">
      <c r="I2189" t="str">
        <f>IF(OR($A2189="",$B2189=""),"",IF(COUNTIFS($A$2:$A2189,$A2189,$B$2:$B2189,$B2189)=1,1,0))</f>
        <v/>
      </c>
      <c r="J2189" t="str">
        <f t="shared" si="34"/>
        <v/>
      </c>
    </row>
    <row r="2190" spans="9:10">
      <c r="I2190" t="str">
        <f>IF(OR($A2190="",$B2190=""),"",IF(COUNTIFS($A$2:$A2190,$A2190,$B$2:$B2190,$B2190)=1,1,0))</f>
        <v/>
      </c>
      <c r="J2190" t="str">
        <f t="shared" si="34"/>
        <v/>
      </c>
    </row>
    <row r="2191" spans="9:10">
      <c r="I2191" t="str">
        <f>IF(OR($A2191="",$B2191=""),"",IF(COUNTIFS($A$2:$A2191,$A2191,$B$2:$B2191,$B2191)=1,1,0))</f>
        <v/>
      </c>
      <c r="J2191" t="str">
        <f t="shared" si="34"/>
        <v/>
      </c>
    </row>
    <row r="2192" spans="9:10">
      <c r="I2192" t="str">
        <f>IF(OR($A2192="",$B2192=""),"",IF(COUNTIFS($A$2:$A2192,$A2192,$B$2:$B2192,$B2192)=1,1,0))</f>
        <v/>
      </c>
      <c r="J2192" t="str">
        <f t="shared" si="34"/>
        <v/>
      </c>
    </row>
    <row r="2193" spans="9:10">
      <c r="I2193" t="str">
        <f>IF(OR($A2193="",$B2193=""),"",IF(COUNTIFS($A$2:$A2193,$A2193,$B$2:$B2193,$B2193)=1,1,0))</f>
        <v/>
      </c>
      <c r="J2193" t="str">
        <f t="shared" si="34"/>
        <v/>
      </c>
    </row>
    <row r="2194" spans="9:10">
      <c r="I2194" t="str">
        <f>IF(OR($A2194="",$B2194=""),"",IF(COUNTIFS($A$2:$A2194,$A2194,$B$2:$B2194,$B2194)=1,1,0))</f>
        <v/>
      </c>
      <c r="J2194" t="str">
        <f t="shared" si="34"/>
        <v/>
      </c>
    </row>
    <row r="2195" spans="9:10">
      <c r="I2195" t="str">
        <f>IF(OR($A2195="",$B2195=""),"",IF(COUNTIFS($A$2:$A2195,$A2195,$B$2:$B2195,$B2195)=1,1,0))</f>
        <v/>
      </c>
      <c r="J2195" t="str">
        <f t="shared" si="34"/>
        <v/>
      </c>
    </row>
    <row r="2196" spans="9:10">
      <c r="I2196" t="str">
        <f>IF(OR($A2196="",$B2196=""),"",IF(COUNTIFS($A$2:$A2196,$A2196,$B$2:$B2196,$B2196)=1,1,0))</f>
        <v/>
      </c>
      <c r="J2196" t="str">
        <f t="shared" si="34"/>
        <v/>
      </c>
    </row>
    <row r="2197" spans="9:10">
      <c r="I2197" t="str">
        <f>IF(OR($A2197="",$B2197=""),"",IF(COUNTIFS($A$2:$A2197,$A2197,$B$2:$B2197,$B2197)=1,1,0))</f>
        <v/>
      </c>
      <c r="J2197" t="str">
        <f t="shared" si="34"/>
        <v/>
      </c>
    </row>
    <row r="2198" spans="9:10">
      <c r="I2198" t="str">
        <f>IF(OR($A2198="",$B2198=""),"",IF(COUNTIFS($A$2:$A2198,$A2198,$B$2:$B2198,$B2198)=1,1,0))</f>
        <v/>
      </c>
      <c r="J2198" t="str">
        <f t="shared" si="34"/>
        <v/>
      </c>
    </row>
    <row r="2199" spans="9:10">
      <c r="I2199" t="str">
        <f>IF(OR($A2199="",$B2199=""),"",IF(COUNTIFS($A$2:$A2199,$A2199,$B$2:$B2199,$B2199)=1,1,0))</f>
        <v/>
      </c>
      <c r="J2199" t="str">
        <f t="shared" si="34"/>
        <v/>
      </c>
    </row>
    <row r="2200" spans="9:10">
      <c r="I2200" t="str">
        <f>IF(OR($A2200="",$B2200=""),"",IF(COUNTIFS($A$2:$A2200,$A2200,$B$2:$B2200,$B2200)=1,1,0))</f>
        <v/>
      </c>
      <c r="J2200" t="str">
        <f t="shared" si="34"/>
        <v/>
      </c>
    </row>
    <row r="2201" spans="9:10">
      <c r="I2201" t="str">
        <f>IF(OR($A2201="",$B2201=""),"",IF(COUNTIFS($A$2:$A2201,$A2201,$B$2:$B2201,$B2201)=1,1,0))</f>
        <v/>
      </c>
      <c r="J2201" t="str">
        <f t="shared" si="34"/>
        <v/>
      </c>
    </row>
    <row r="2202" spans="9:10">
      <c r="I2202" t="str">
        <f>IF(OR($A2202="",$B2202=""),"",IF(COUNTIFS($A$2:$A2202,$A2202,$B$2:$B2202,$B2202)=1,1,0))</f>
        <v/>
      </c>
      <c r="J2202" t="str">
        <f t="shared" si="34"/>
        <v/>
      </c>
    </row>
    <row r="2203" spans="9:10">
      <c r="I2203" t="str">
        <f>IF(OR($A2203="",$B2203=""),"",IF(COUNTIFS($A$2:$A2203,$A2203,$B$2:$B2203,$B2203)=1,1,0))</f>
        <v/>
      </c>
      <c r="J2203" t="str">
        <f t="shared" si="34"/>
        <v/>
      </c>
    </row>
    <row r="2204" spans="9:10">
      <c r="I2204" t="str">
        <f>IF(OR($A2204="",$B2204=""),"",IF(COUNTIFS($A$2:$A2204,$A2204,$B$2:$B2204,$B2204)=1,1,0))</f>
        <v/>
      </c>
      <c r="J2204" t="str">
        <f t="shared" si="34"/>
        <v/>
      </c>
    </row>
    <row r="2205" spans="9:10">
      <c r="I2205" t="str">
        <f>IF(OR($A2205="",$B2205=""),"",IF(COUNTIFS($A$2:$A2205,$A2205,$B$2:$B2205,$B2205)=1,1,0))</f>
        <v/>
      </c>
      <c r="J2205" t="str">
        <f t="shared" si="34"/>
        <v/>
      </c>
    </row>
    <row r="2206" spans="9:10">
      <c r="I2206" t="str">
        <f>IF(OR($A2206="",$B2206=""),"",IF(COUNTIFS($A$2:$A2206,$A2206,$B$2:$B2206,$B2206)=1,1,0))</f>
        <v/>
      </c>
      <c r="J2206" t="str">
        <f t="shared" si="34"/>
        <v/>
      </c>
    </row>
    <row r="2207" spans="9:10">
      <c r="I2207" t="str">
        <f>IF(OR($A2207="",$B2207=""),"",IF(COUNTIFS($A$2:$A2207,$A2207,$B$2:$B2207,$B2207)=1,1,0))</f>
        <v/>
      </c>
      <c r="J2207" t="str">
        <f t="shared" si="34"/>
        <v/>
      </c>
    </row>
    <row r="2208" spans="9:10">
      <c r="I2208" t="str">
        <f>IF(OR($A2208="",$B2208=""),"",IF(COUNTIFS($A$2:$A2208,$A2208,$B$2:$B2208,$B2208)=1,1,0))</f>
        <v/>
      </c>
      <c r="J2208" t="str">
        <f t="shared" si="34"/>
        <v/>
      </c>
    </row>
    <row r="2209" spans="9:10">
      <c r="I2209" t="str">
        <f>IF(OR($A2209="",$B2209=""),"",IF(COUNTIFS($A$2:$A2209,$A2209,$B$2:$B2209,$B2209)=1,1,0))</f>
        <v/>
      </c>
      <c r="J2209" t="str">
        <f t="shared" si="34"/>
        <v/>
      </c>
    </row>
    <row r="2210" spans="9:10">
      <c r="I2210" t="str">
        <f>IF(OR($A2210="",$B2210=""),"",IF(COUNTIFS($A$2:$A2210,$A2210,$B$2:$B2210,$B2210)=1,1,0))</f>
        <v/>
      </c>
      <c r="J2210" t="str">
        <f t="shared" si="34"/>
        <v/>
      </c>
    </row>
    <row r="2211" spans="9:10">
      <c r="I2211" t="str">
        <f>IF(OR($A2211="",$B2211=""),"",IF(COUNTIFS($A$2:$A2211,$A2211,$B$2:$B2211,$B2211)=1,1,0))</f>
        <v/>
      </c>
      <c r="J2211" t="str">
        <f t="shared" si="34"/>
        <v/>
      </c>
    </row>
    <row r="2212" spans="9:10">
      <c r="I2212" t="str">
        <f>IF(OR($A2212="",$B2212=""),"",IF(COUNTIFS($A$2:$A2212,$A2212,$B$2:$B2212,$B2212)=1,1,0))</f>
        <v/>
      </c>
      <c r="J2212" t="str">
        <f t="shared" si="34"/>
        <v/>
      </c>
    </row>
    <row r="2213" spans="9:10">
      <c r="I2213" t="str">
        <f>IF(OR($A2213="",$B2213=""),"",IF(COUNTIFS($A$2:$A2213,$A2213,$B$2:$B2213,$B2213)=1,1,0))</f>
        <v/>
      </c>
      <c r="J2213" t="str">
        <f t="shared" si="34"/>
        <v/>
      </c>
    </row>
    <row r="2214" spans="9:10">
      <c r="I2214" t="str">
        <f>IF(OR($A2214="",$B2214=""),"",IF(COUNTIFS($A$2:$A2214,$A2214,$B$2:$B2214,$B2214)=1,1,0))</f>
        <v/>
      </c>
      <c r="J2214" t="str">
        <f t="shared" si="34"/>
        <v/>
      </c>
    </row>
    <row r="2215" spans="9:10">
      <c r="I2215" t="str">
        <f>IF(OR($A2215="",$B2215=""),"",IF(COUNTIFS($A$2:$A2215,$A2215,$B$2:$B2215,$B2215)=1,1,0))</f>
        <v/>
      </c>
      <c r="J2215" t="str">
        <f t="shared" si="34"/>
        <v/>
      </c>
    </row>
    <row r="2216" spans="9:10">
      <c r="I2216" t="str">
        <f>IF(OR($A2216="",$B2216=""),"",IF(COUNTIFS($A$2:$A2216,$A2216,$B$2:$B2216,$B2216)=1,1,0))</f>
        <v/>
      </c>
      <c r="J2216" t="str">
        <f t="shared" si="34"/>
        <v/>
      </c>
    </row>
    <row r="2217" spans="9:10">
      <c r="I2217" t="str">
        <f>IF(OR($A2217="",$B2217=""),"",IF(COUNTIFS($A$2:$A2217,$A2217,$B$2:$B2217,$B2217)=1,1,0))</f>
        <v/>
      </c>
      <c r="J2217" t="str">
        <f t="shared" si="34"/>
        <v/>
      </c>
    </row>
    <row r="2218" spans="9:10">
      <c r="I2218" t="str">
        <f>IF(OR($A2218="",$B2218=""),"",IF(COUNTIFS($A$2:$A2218,$A2218,$B$2:$B2218,$B2218)=1,1,0))</f>
        <v/>
      </c>
      <c r="J2218" t="str">
        <f t="shared" si="34"/>
        <v/>
      </c>
    </row>
    <row r="2219" spans="9:10">
      <c r="I2219" t="str">
        <f>IF(OR($A2219="",$B2219=""),"",IF(COUNTIFS($A$2:$A2219,$A2219,$B$2:$B2219,$B2219)=1,1,0))</f>
        <v/>
      </c>
      <c r="J2219" t="str">
        <f t="shared" si="34"/>
        <v/>
      </c>
    </row>
    <row r="2220" spans="9:10">
      <c r="I2220" t="str">
        <f>IF(OR($A2220="",$B2220=""),"",IF(COUNTIFS($A$2:$A2220,$A2220,$B$2:$B2220,$B2220)=1,1,0))</f>
        <v/>
      </c>
      <c r="J2220" t="str">
        <f t="shared" si="34"/>
        <v/>
      </c>
    </row>
    <row r="2221" spans="9:10">
      <c r="I2221" t="str">
        <f>IF(OR($A2221="",$B2221=""),"",IF(COUNTIFS($A$2:$A2221,$A2221,$B$2:$B2221,$B2221)=1,1,0))</f>
        <v/>
      </c>
      <c r="J2221" t="str">
        <f t="shared" si="34"/>
        <v/>
      </c>
    </row>
    <row r="2222" spans="9:10">
      <c r="I2222" t="str">
        <f>IF(OR($A2222="",$B2222=""),"",IF(COUNTIFS($A$2:$A2222,$A2222,$B$2:$B2222,$B2222)=1,1,0))</f>
        <v/>
      </c>
      <c r="J2222" t="str">
        <f t="shared" si="34"/>
        <v/>
      </c>
    </row>
    <row r="2223" spans="9:10">
      <c r="I2223" t="str">
        <f>IF(OR($A2223="",$B2223=""),"",IF(COUNTIFS($A$2:$A2223,$A2223,$B$2:$B2223,$B2223)=1,1,0))</f>
        <v/>
      </c>
      <c r="J2223" t="str">
        <f t="shared" si="34"/>
        <v/>
      </c>
    </row>
    <row r="2224" spans="9:10">
      <c r="I2224" t="str">
        <f>IF(OR($A2224="",$B2224=""),"",IF(COUNTIFS($A$2:$A2224,$A2224,$B$2:$B2224,$B2224)=1,1,0))</f>
        <v/>
      </c>
      <c r="J2224" t="str">
        <f t="shared" si="34"/>
        <v/>
      </c>
    </row>
    <row r="2225" spans="9:10">
      <c r="I2225" t="str">
        <f>IF(OR($A2225="",$B2225=""),"",IF(COUNTIFS($A$2:$A2225,$A2225,$B$2:$B2225,$B2225)=1,1,0))</f>
        <v/>
      </c>
      <c r="J2225" t="str">
        <f t="shared" si="34"/>
        <v/>
      </c>
    </row>
    <row r="2226" spans="9:10">
      <c r="I2226" t="str">
        <f>IF(OR($A2226="",$B2226=""),"",IF(COUNTIFS($A$2:$A2226,$A2226,$B$2:$B2226,$B2226)=1,1,0))</f>
        <v/>
      </c>
      <c r="J2226" t="str">
        <f t="shared" si="34"/>
        <v/>
      </c>
    </row>
    <row r="2227" spans="9:10">
      <c r="I2227" t="str">
        <f>IF(OR($A2227="",$B2227=""),"",IF(COUNTIFS($A$2:$A2227,$A2227,$B$2:$B2227,$B2227)=1,1,0))</f>
        <v/>
      </c>
      <c r="J2227" t="str">
        <f t="shared" si="34"/>
        <v/>
      </c>
    </row>
    <row r="2228" spans="9:10">
      <c r="I2228" t="str">
        <f>IF(OR($A2228="",$B2228=""),"",IF(COUNTIFS($A$2:$A2228,$A2228,$B$2:$B2228,$B2228)=1,1,0))</f>
        <v/>
      </c>
      <c r="J2228" t="str">
        <f t="shared" si="34"/>
        <v/>
      </c>
    </row>
    <row r="2229" spans="9:10">
      <c r="I2229" t="str">
        <f>IF(OR($A2229="",$B2229=""),"",IF(COUNTIFS($A$2:$A2229,$A2229,$B$2:$B2229,$B2229)=1,1,0))</f>
        <v/>
      </c>
      <c r="J2229" t="str">
        <f t="shared" si="34"/>
        <v/>
      </c>
    </row>
    <row r="2230" spans="9:10">
      <c r="I2230" t="str">
        <f>IF(OR($A2230="",$B2230=""),"",IF(COUNTIFS($A$2:$A2230,$A2230,$B$2:$B2230,$B2230)=1,1,0))</f>
        <v/>
      </c>
      <c r="J2230" t="str">
        <f t="shared" si="34"/>
        <v/>
      </c>
    </row>
    <row r="2231" spans="9:10">
      <c r="I2231" t="str">
        <f>IF(OR($A2231="",$B2231=""),"",IF(COUNTIFS($A$2:$A2231,$A2231,$B$2:$B2231,$B2231)=1,1,0))</f>
        <v/>
      </c>
      <c r="J2231" t="str">
        <f t="shared" si="34"/>
        <v/>
      </c>
    </row>
    <row r="2232" spans="9:10">
      <c r="I2232" t="str">
        <f>IF(OR($A2232="",$B2232=""),"",IF(COUNTIFS($A$2:$A2232,$A2232,$B$2:$B2232,$B2232)=1,1,0))</f>
        <v/>
      </c>
      <c r="J2232" t="str">
        <f t="shared" si="34"/>
        <v/>
      </c>
    </row>
    <row r="2233" spans="9:10">
      <c r="I2233" t="str">
        <f>IF(OR($A2233="",$B2233=""),"",IF(COUNTIFS($A$2:$A2233,$A2233,$B$2:$B2233,$B2233)=1,1,0))</f>
        <v/>
      </c>
      <c r="J2233" t="str">
        <f t="shared" si="34"/>
        <v/>
      </c>
    </row>
    <row r="2234" spans="9:10">
      <c r="I2234" t="str">
        <f>IF(OR($A2234="",$B2234=""),"",IF(COUNTIFS($A$2:$A2234,$A2234,$B$2:$B2234,$B2234)=1,1,0))</f>
        <v/>
      </c>
      <c r="J2234" t="str">
        <f t="shared" si="34"/>
        <v/>
      </c>
    </row>
    <row r="2235" spans="9:10">
      <c r="I2235" t="str">
        <f>IF(OR($A2235="",$B2235=""),"",IF(COUNTIFS($A$2:$A2235,$A2235,$B$2:$B2235,$B2235)=1,1,0))</f>
        <v/>
      </c>
      <c r="J2235" t="str">
        <f t="shared" si="34"/>
        <v/>
      </c>
    </row>
    <row r="2236" spans="9:10">
      <c r="I2236" t="str">
        <f>IF(OR($A2236="",$B2236=""),"",IF(COUNTIFS($A$2:$A2236,$A2236,$B$2:$B2236,$B2236)=1,1,0))</f>
        <v/>
      </c>
      <c r="J2236" t="str">
        <f t="shared" si="34"/>
        <v/>
      </c>
    </row>
    <row r="2237" spans="9:10">
      <c r="I2237" t="str">
        <f>IF(OR($A2237="",$B2237=""),"",IF(COUNTIFS($A$2:$A2237,$A2237,$B$2:$B2237,$B2237)=1,1,0))</f>
        <v/>
      </c>
      <c r="J2237" t="str">
        <f t="shared" si="34"/>
        <v/>
      </c>
    </row>
    <row r="2238" spans="9:10">
      <c r="I2238" t="str">
        <f>IF(OR($A2238="",$B2238=""),"",IF(COUNTIFS($A$2:$A2238,$A2238,$B$2:$B2238,$B2238)=1,1,0))</f>
        <v/>
      </c>
      <c r="J2238" t="str">
        <f t="shared" si="34"/>
        <v/>
      </c>
    </row>
    <row r="2239" spans="9:10">
      <c r="I2239" t="str">
        <f>IF(OR($A2239="",$B2239=""),"",IF(COUNTIFS($A$2:$A2239,$A2239,$B$2:$B2239,$B2239)=1,1,0))</f>
        <v/>
      </c>
      <c r="J2239" t="str">
        <f t="shared" si="34"/>
        <v/>
      </c>
    </row>
    <row r="2240" spans="9:10">
      <c r="I2240" t="str">
        <f>IF(OR($A2240="",$B2240=""),"",IF(COUNTIFS($A$2:$A2240,$A2240,$B$2:$B2240,$B2240)=1,1,0))</f>
        <v/>
      </c>
      <c r="J2240" t="str">
        <f t="shared" si="34"/>
        <v/>
      </c>
    </row>
    <row r="2241" spans="9:10">
      <c r="I2241" t="str">
        <f>IF(OR($A2241="",$B2241=""),"",IF(COUNTIFS($A$2:$A2241,$A2241,$B$2:$B2241,$B2241)=1,1,0))</f>
        <v/>
      </c>
      <c r="J2241" t="str">
        <f t="shared" si="34"/>
        <v/>
      </c>
    </row>
    <row r="2242" spans="9:10">
      <c r="I2242" t="str">
        <f>IF(OR($A2242="",$B2242=""),"",IF(COUNTIFS($A$2:$A2242,$A2242,$B$2:$B2242,$B2242)=1,1,0))</f>
        <v/>
      </c>
      <c r="J2242" t="str">
        <f t="shared" ref="J2242:J2305" si="35">IF($A2242="","",ROW())</f>
        <v/>
      </c>
    </row>
    <row r="2243" spans="9:10">
      <c r="I2243" t="str">
        <f>IF(OR($A2243="",$B2243=""),"",IF(COUNTIFS($A$2:$A2243,$A2243,$B$2:$B2243,$B2243)=1,1,0))</f>
        <v/>
      </c>
      <c r="J2243" t="str">
        <f t="shared" si="35"/>
        <v/>
      </c>
    </row>
    <row r="2244" spans="9:10">
      <c r="I2244" t="str">
        <f>IF(OR($A2244="",$B2244=""),"",IF(COUNTIFS($A$2:$A2244,$A2244,$B$2:$B2244,$B2244)=1,1,0))</f>
        <v/>
      </c>
      <c r="J2244" t="str">
        <f t="shared" si="35"/>
        <v/>
      </c>
    </row>
    <row r="2245" spans="9:10">
      <c r="I2245" t="str">
        <f>IF(OR($A2245="",$B2245=""),"",IF(COUNTIFS($A$2:$A2245,$A2245,$B$2:$B2245,$B2245)=1,1,0))</f>
        <v/>
      </c>
      <c r="J2245" t="str">
        <f t="shared" si="35"/>
        <v/>
      </c>
    </row>
    <row r="2246" spans="9:10">
      <c r="I2246" t="str">
        <f>IF(OR($A2246="",$B2246=""),"",IF(COUNTIFS($A$2:$A2246,$A2246,$B$2:$B2246,$B2246)=1,1,0))</f>
        <v/>
      </c>
      <c r="J2246" t="str">
        <f t="shared" si="35"/>
        <v/>
      </c>
    </row>
    <row r="2247" spans="9:10">
      <c r="I2247" t="str">
        <f>IF(OR($A2247="",$B2247=""),"",IF(COUNTIFS($A$2:$A2247,$A2247,$B$2:$B2247,$B2247)=1,1,0))</f>
        <v/>
      </c>
      <c r="J2247" t="str">
        <f t="shared" si="35"/>
        <v/>
      </c>
    </row>
    <row r="2248" spans="9:10">
      <c r="I2248" t="str">
        <f>IF(OR($A2248="",$B2248=""),"",IF(COUNTIFS($A$2:$A2248,$A2248,$B$2:$B2248,$B2248)=1,1,0))</f>
        <v/>
      </c>
      <c r="J2248" t="str">
        <f t="shared" si="35"/>
        <v/>
      </c>
    </row>
    <row r="2249" spans="9:10">
      <c r="I2249" t="str">
        <f>IF(OR($A2249="",$B2249=""),"",IF(COUNTIFS($A$2:$A2249,$A2249,$B$2:$B2249,$B2249)=1,1,0))</f>
        <v/>
      </c>
      <c r="J2249" t="str">
        <f t="shared" si="35"/>
        <v/>
      </c>
    </row>
    <row r="2250" spans="9:10">
      <c r="I2250" t="str">
        <f>IF(OR($A2250="",$B2250=""),"",IF(COUNTIFS($A$2:$A2250,$A2250,$B$2:$B2250,$B2250)=1,1,0))</f>
        <v/>
      </c>
      <c r="J2250" t="str">
        <f t="shared" si="35"/>
        <v/>
      </c>
    </row>
    <row r="2251" spans="9:10">
      <c r="I2251" t="str">
        <f>IF(OR($A2251="",$B2251=""),"",IF(COUNTIFS($A$2:$A2251,$A2251,$B$2:$B2251,$B2251)=1,1,0))</f>
        <v/>
      </c>
      <c r="J2251" t="str">
        <f t="shared" si="35"/>
        <v/>
      </c>
    </row>
    <row r="2252" spans="9:10">
      <c r="I2252" t="str">
        <f>IF(OR($A2252="",$B2252=""),"",IF(COUNTIFS($A$2:$A2252,$A2252,$B$2:$B2252,$B2252)=1,1,0))</f>
        <v/>
      </c>
      <c r="J2252" t="str">
        <f t="shared" si="35"/>
        <v/>
      </c>
    </row>
    <row r="2253" spans="9:10">
      <c r="I2253" t="str">
        <f>IF(OR($A2253="",$B2253=""),"",IF(COUNTIFS($A$2:$A2253,$A2253,$B$2:$B2253,$B2253)=1,1,0))</f>
        <v/>
      </c>
      <c r="J2253" t="str">
        <f t="shared" si="35"/>
        <v/>
      </c>
    </row>
    <row r="2254" spans="9:10">
      <c r="I2254" t="str">
        <f>IF(OR($A2254="",$B2254=""),"",IF(COUNTIFS($A$2:$A2254,$A2254,$B$2:$B2254,$B2254)=1,1,0))</f>
        <v/>
      </c>
      <c r="J2254" t="str">
        <f t="shared" si="35"/>
        <v/>
      </c>
    </row>
    <row r="2255" spans="9:10">
      <c r="I2255" t="str">
        <f>IF(OR($A2255="",$B2255=""),"",IF(COUNTIFS($A$2:$A2255,$A2255,$B$2:$B2255,$B2255)=1,1,0))</f>
        <v/>
      </c>
      <c r="J2255" t="str">
        <f t="shared" si="35"/>
        <v/>
      </c>
    </row>
    <row r="2256" spans="9:10">
      <c r="I2256" t="str">
        <f>IF(OR($A2256="",$B2256=""),"",IF(COUNTIFS($A$2:$A2256,$A2256,$B$2:$B2256,$B2256)=1,1,0))</f>
        <v/>
      </c>
      <c r="J2256" t="str">
        <f t="shared" si="35"/>
        <v/>
      </c>
    </row>
    <row r="2257" spans="9:10">
      <c r="I2257" t="str">
        <f>IF(OR($A2257="",$B2257=""),"",IF(COUNTIFS($A$2:$A2257,$A2257,$B$2:$B2257,$B2257)=1,1,0))</f>
        <v/>
      </c>
      <c r="J2257" t="str">
        <f t="shared" si="35"/>
        <v/>
      </c>
    </row>
    <row r="2258" spans="9:10">
      <c r="I2258" t="str">
        <f>IF(OR($A2258="",$B2258=""),"",IF(COUNTIFS($A$2:$A2258,$A2258,$B$2:$B2258,$B2258)=1,1,0))</f>
        <v/>
      </c>
      <c r="J2258" t="str">
        <f t="shared" si="35"/>
        <v/>
      </c>
    </row>
    <row r="2259" spans="9:10">
      <c r="I2259" t="str">
        <f>IF(OR($A2259="",$B2259=""),"",IF(COUNTIFS($A$2:$A2259,$A2259,$B$2:$B2259,$B2259)=1,1,0))</f>
        <v/>
      </c>
      <c r="J2259" t="str">
        <f t="shared" si="35"/>
        <v/>
      </c>
    </row>
    <row r="2260" spans="9:10">
      <c r="I2260" t="str">
        <f>IF(OR($A2260="",$B2260=""),"",IF(COUNTIFS($A$2:$A2260,$A2260,$B$2:$B2260,$B2260)=1,1,0))</f>
        <v/>
      </c>
      <c r="J2260" t="str">
        <f t="shared" si="35"/>
        <v/>
      </c>
    </row>
    <row r="2261" spans="9:10">
      <c r="I2261" t="str">
        <f>IF(OR($A2261="",$B2261=""),"",IF(COUNTIFS($A$2:$A2261,$A2261,$B$2:$B2261,$B2261)=1,1,0))</f>
        <v/>
      </c>
      <c r="J2261" t="str">
        <f t="shared" si="35"/>
        <v/>
      </c>
    </row>
    <row r="2262" spans="9:10">
      <c r="I2262" t="str">
        <f>IF(OR($A2262="",$B2262=""),"",IF(COUNTIFS($A$2:$A2262,$A2262,$B$2:$B2262,$B2262)=1,1,0))</f>
        <v/>
      </c>
      <c r="J2262" t="str">
        <f t="shared" si="35"/>
        <v/>
      </c>
    </row>
    <row r="2263" spans="9:10">
      <c r="I2263" t="str">
        <f>IF(OR($A2263="",$B2263=""),"",IF(COUNTIFS($A$2:$A2263,$A2263,$B$2:$B2263,$B2263)=1,1,0))</f>
        <v/>
      </c>
      <c r="J2263" t="str">
        <f t="shared" si="35"/>
        <v/>
      </c>
    </row>
    <row r="2264" spans="9:10">
      <c r="I2264" t="str">
        <f>IF(OR($A2264="",$B2264=""),"",IF(COUNTIFS($A$2:$A2264,$A2264,$B$2:$B2264,$B2264)=1,1,0))</f>
        <v/>
      </c>
      <c r="J2264" t="str">
        <f t="shared" si="35"/>
        <v/>
      </c>
    </row>
    <row r="2265" spans="9:10">
      <c r="I2265" t="str">
        <f>IF(OR($A2265="",$B2265=""),"",IF(COUNTIFS($A$2:$A2265,$A2265,$B$2:$B2265,$B2265)=1,1,0))</f>
        <v/>
      </c>
      <c r="J2265" t="str">
        <f t="shared" si="35"/>
        <v/>
      </c>
    </row>
    <row r="2266" spans="9:10">
      <c r="I2266" t="str">
        <f>IF(OR($A2266="",$B2266=""),"",IF(COUNTIFS($A$2:$A2266,$A2266,$B$2:$B2266,$B2266)=1,1,0))</f>
        <v/>
      </c>
      <c r="J2266" t="str">
        <f t="shared" si="35"/>
        <v/>
      </c>
    </row>
    <row r="2267" spans="9:10">
      <c r="I2267" t="str">
        <f>IF(OR($A2267="",$B2267=""),"",IF(COUNTIFS($A$2:$A2267,$A2267,$B$2:$B2267,$B2267)=1,1,0))</f>
        <v/>
      </c>
      <c r="J2267" t="str">
        <f t="shared" si="35"/>
        <v/>
      </c>
    </row>
    <row r="2268" spans="9:10">
      <c r="I2268" t="str">
        <f>IF(OR($A2268="",$B2268=""),"",IF(COUNTIFS($A$2:$A2268,$A2268,$B$2:$B2268,$B2268)=1,1,0))</f>
        <v/>
      </c>
      <c r="J2268" t="str">
        <f t="shared" si="35"/>
        <v/>
      </c>
    </row>
    <row r="2269" spans="9:10">
      <c r="I2269" t="str">
        <f>IF(OR($A2269="",$B2269=""),"",IF(COUNTIFS($A$2:$A2269,$A2269,$B$2:$B2269,$B2269)=1,1,0))</f>
        <v/>
      </c>
      <c r="J2269" t="str">
        <f t="shared" si="35"/>
        <v/>
      </c>
    </row>
    <row r="2270" spans="9:10">
      <c r="I2270" t="str">
        <f>IF(OR($A2270="",$B2270=""),"",IF(COUNTIFS($A$2:$A2270,$A2270,$B$2:$B2270,$B2270)=1,1,0))</f>
        <v/>
      </c>
      <c r="J2270" t="str">
        <f t="shared" si="35"/>
        <v/>
      </c>
    </row>
    <row r="2271" spans="9:10">
      <c r="I2271" t="str">
        <f>IF(OR($A2271="",$B2271=""),"",IF(COUNTIFS($A$2:$A2271,$A2271,$B$2:$B2271,$B2271)=1,1,0))</f>
        <v/>
      </c>
      <c r="J2271" t="str">
        <f t="shared" si="35"/>
        <v/>
      </c>
    </row>
    <row r="2272" spans="9:10">
      <c r="I2272" t="str">
        <f>IF(OR($A2272="",$B2272=""),"",IF(COUNTIFS($A$2:$A2272,$A2272,$B$2:$B2272,$B2272)=1,1,0))</f>
        <v/>
      </c>
      <c r="J2272" t="str">
        <f t="shared" si="35"/>
        <v/>
      </c>
    </row>
    <row r="2273" spans="9:10">
      <c r="I2273" t="str">
        <f>IF(OR($A2273="",$B2273=""),"",IF(COUNTIFS($A$2:$A2273,$A2273,$B$2:$B2273,$B2273)=1,1,0))</f>
        <v/>
      </c>
      <c r="J2273" t="str">
        <f t="shared" si="35"/>
        <v/>
      </c>
    </row>
    <row r="2274" spans="9:10">
      <c r="I2274" t="str">
        <f>IF(OR($A2274="",$B2274=""),"",IF(COUNTIFS($A$2:$A2274,$A2274,$B$2:$B2274,$B2274)=1,1,0))</f>
        <v/>
      </c>
      <c r="J2274" t="str">
        <f t="shared" si="35"/>
        <v/>
      </c>
    </row>
    <row r="2275" spans="9:10">
      <c r="I2275" t="str">
        <f>IF(OR($A2275="",$B2275=""),"",IF(COUNTIFS($A$2:$A2275,$A2275,$B$2:$B2275,$B2275)=1,1,0))</f>
        <v/>
      </c>
      <c r="J2275" t="str">
        <f t="shared" si="35"/>
        <v/>
      </c>
    </row>
    <row r="2276" spans="9:10">
      <c r="I2276" t="str">
        <f>IF(OR($A2276="",$B2276=""),"",IF(COUNTIFS($A$2:$A2276,$A2276,$B$2:$B2276,$B2276)=1,1,0))</f>
        <v/>
      </c>
      <c r="J2276" t="str">
        <f t="shared" si="35"/>
        <v/>
      </c>
    </row>
    <row r="2277" spans="9:10">
      <c r="I2277" t="str">
        <f>IF(OR($A2277="",$B2277=""),"",IF(COUNTIFS($A$2:$A2277,$A2277,$B$2:$B2277,$B2277)=1,1,0))</f>
        <v/>
      </c>
      <c r="J2277" t="str">
        <f t="shared" si="35"/>
        <v/>
      </c>
    </row>
    <row r="2278" spans="9:10">
      <c r="I2278" t="str">
        <f>IF(OR($A2278="",$B2278=""),"",IF(COUNTIFS($A$2:$A2278,$A2278,$B$2:$B2278,$B2278)=1,1,0))</f>
        <v/>
      </c>
      <c r="J2278" t="str">
        <f t="shared" si="35"/>
        <v/>
      </c>
    </row>
    <row r="2279" spans="9:10">
      <c r="I2279" t="str">
        <f>IF(OR($A2279="",$B2279=""),"",IF(COUNTIFS($A$2:$A2279,$A2279,$B$2:$B2279,$B2279)=1,1,0))</f>
        <v/>
      </c>
      <c r="J2279" t="str">
        <f t="shared" si="35"/>
        <v/>
      </c>
    </row>
    <row r="2280" spans="9:10">
      <c r="I2280" t="str">
        <f>IF(OR($A2280="",$B2280=""),"",IF(COUNTIFS($A$2:$A2280,$A2280,$B$2:$B2280,$B2280)=1,1,0))</f>
        <v/>
      </c>
      <c r="J2280" t="str">
        <f t="shared" si="35"/>
        <v/>
      </c>
    </row>
    <row r="2281" spans="9:10">
      <c r="I2281" t="str">
        <f>IF(OR($A2281="",$B2281=""),"",IF(COUNTIFS($A$2:$A2281,$A2281,$B$2:$B2281,$B2281)=1,1,0))</f>
        <v/>
      </c>
      <c r="J2281" t="str">
        <f t="shared" si="35"/>
        <v/>
      </c>
    </row>
    <row r="2282" spans="9:10">
      <c r="I2282" t="str">
        <f>IF(OR($A2282="",$B2282=""),"",IF(COUNTIFS($A$2:$A2282,$A2282,$B$2:$B2282,$B2282)=1,1,0))</f>
        <v/>
      </c>
      <c r="J2282" t="str">
        <f t="shared" si="35"/>
        <v/>
      </c>
    </row>
    <row r="2283" spans="9:10">
      <c r="I2283" t="str">
        <f>IF(OR($A2283="",$B2283=""),"",IF(COUNTIFS($A$2:$A2283,$A2283,$B$2:$B2283,$B2283)=1,1,0))</f>
        <v/>
      </c>
      <c r="J2283" t="str">
        <f t="shared" si="35"/>
        <v/>
      </c>
    </row>
    <row r="2284" spans="9:10">
      <c r="I2284" t="str">
        <f>IF(OR($A2284="",$B2284=""),"",IF(COUNTIFS($A$2:$A2284,$A2284,$B$2:$B2284,$B2284)=1,1,0))</f>
        <v/>
      </c>
      <c r="J2284" t="str">
        <f t="shared" si="35"/>
        <v/>
      </c>
    </row>
    <row r="2285" spans="9:10">
      <c r="I2285" t="str">
        <f>IF(OR($A2285="",$B2285=""),"",IF(COUNTIFS($A$2:$A2285,$A2285,$B$2:$B2285,$B2285)=1,1,0))</f>
        <v/>
      </c>
      <c r="J2285" t="str">
        <f t="shared" si="35"/>
        <v/>
      </c>
    </row>
    <row r="2286" spans="9:10">
      <c r="I2286" t="str">
        <f>IF(OR($A2286="",$B2286=""),"",IF(COUNTIFS($A$2:$A2286,$A2286,$B$2:$B2286,$B2286)=1,1,0))</f>
        <v/>
      </c>
      <c r="J2286" t="str">
        <f t="shared" si="35"/>
        <v/>
      </c>
    </row>
    <row r="2287" spans="9:10">
      <c r="I2287" t="str">
        <f>IF(OR($A2287="",$B2287=""),"",IF(COUNTIFS($A$2:$A2287,$A2287,$B$2:$B2287,$B2287)=1,1,0))</f>
        <v/>
      </c>
      <c r="J2287" t="str">
        <f t="shared" si="35"/>
        <v/>
      </c>
    </row>
    <row r="2288" spans="9:10">
      <c r="I2288" t="str">
        <f>IF(OR($A2288="",$B2288=""),"",IF(COUNTIFS($A$2:$A2288,$A2288,$B$2:$B2288,$B2288)=1,1,0))</f>
        <v/>
      </c>
      <c r="J2288" t="str">
        <f t="shared" si="35"/>
        <v/>
      </c>
    </row>
    <row r="2289" spans="9:10">
      <c r="I2289" t="str">
        <f>IF(OR($A2289="",$B2289=""),"",IF(COUNTIFS($A$2:$A2289,$A2289,$B$2:$B2289,$B2289)=1,1,0))</f>
        <v/>
      </c>
      <c r="J2289" t="str">
        <f t="shared" si="35"/>
        <v/>
      </c>
    </row>
    <row r="2290" spans="9:10">
      <c r="I2290" t="str">
        <f>IF(OR($A2290="",$B2290=""),"",IF(COUNTIFS($A$2:$A2290,$A2290,$B$2:$B2290,$B2290)=1,1,0))</f>
        <v/>
      </c>
      <c r="J2290" t="str">
        <f t="shared" si="35"/>
        <v/>
      </c>
    </row>
    <row r="2291" spans="9:10">
      <c r="I2291" t="str">
        <f>IF(OR($A2291="",$B2291=""),"",IF(COUNTIFS($A$2:$A2291,$A2291,$B$2:$B2291,$B2291)=1,1,0))</f>
        <v/>
      </c>
      <c r="J2291" t="str">
        <f t="shared" si="35"/>
        <v/>
      </c>
    </row>
    <row r="2292" spans="9:10">
      <c r="I2292" t="str">
        <f>IF(OR($A2292="",$B2292=""),"",IF(COUNTIFS($A$2:$A2292,$A2292,$B$2:$B2292,$B2292)=1,1,0))</f>
        <v/>
      </c>
      <c r="J2292" t="str">
        <f t="shared" si="35"/>
        <v/>
      </c>
    </row>
    <row r="2293" spans="9:10">
      <c r="I2293" t="str">
        <f>IF(OR($A2293="",$B2293=""),"",IF(COUNTIFS($A$2:$A2293,$A2293,$B$2:$B2293,$B2293)=1,1,0))</f>
        <v/>
      </c>
      <c r="J2293" t="str">
        <f t="shared" si="35"/>
        <v/>
      </c>
    </row>
    <row r="2294" spans="9:10">
      <c r="I2294" t="str">
        <f>IF(OR($A2294="",$B2294=""),"",IF(COUNTIFS($A$2:$A2294,$A2294,$B$2:$B2294,$B2294)=1,1,0))</f>
        <v/>
      </c>
      <c r="J2294" t="str">
        <f t="shared" si="35"/>
        <v/>
      </c>
    </row>
    <row r="2295" spans="9:10">
      <c r="I2295" t="str">
        <f>IF(OR($A2295="",$B2295=""),"",IF(COUNTIFS($A$2:$A2295,$A2295,$B$2:$B2295,$B2295)=1,1,0))</f>
        <v/>
      </c>
      <c r="J2295" t="str">
        <f t="shared" si="35"/>
        <v/>
      </c>
    </row>
    <row r="2296" spans="9:10">
      <c r="I2296" t="str">
        <f>IF(OR($A2296="",$B2296=""),"",IF(COUNTIFS($A$2:$A2296,$A2296,$B$2:$B2296,$B2296)=1,1,0))</f>
        <v/>
      </c>
      <c r="J2296" t="str">
        <f t="shared" si="35"/>
        <v/>
      </c>
    </row>
    <row r="2297" spans="9:10">
      <c r="I2297" t="str">
        <f>IF(OR($A2297="",$B2297=""),"",IF(COUNTIFS($A$2:$A2297,$A2297,$B$2:$B2297,$B2297)=1,1,0))</f>
        <v/>
      </c>
      <c r="J2297" t="str">
        <f t="shared" si="35"/>
        <v/>
      </c>
    </row>
    <row r="2298" spans="9:10">
      <c r="I2298" t="str">
        <f>IF(OR($A2298="",$B2298=""),"",IF(COUNTIFS($A$2:$A2298,$A2298,$B$2:$B2298,$B2298)=1,1,0))</f>
        <v/>
      </c>
      <c r="J2298" t="str">
        <f t="shared" si="35"/>
        <v/>
      </c>
    </row>
    <row r="2299" spans="9:10">
      <c r="I2299" t="str">
        <f>IF(OR($A2299="",$B2299=""),"",IF(COUNTIFS($A$2:$A2299,$A2299,$B$2:$B2299,$B2299)=1,1,0))</f>
        <v/>
      </c>
      <c r="J2299" t="str">
        <f t="shared" si="35"/>
        <v/>
      </c>
    </row>
    <row r="2300" spans="9:10">
      <c r="I2300" t="str">
        <f>IF(OR($A2300="",$B2300=""),"",IF(COUNTIFS($A$2:$A2300,$A2300,$B$2:$B2300,$B2300)=1,1,0))</f>
        <v/>
      </c>
      <c r="J2300" t="str">
        <f t="shared" si="35"/>
        <v/>
      </c>
    </row>
    <row r="2301" spans="9:10">
      <c r="I2301" t="str">
        <f>IF(OR($A2301="",$B2301=""),"",IF(COUNTIFS($A$2:$A2301,$A2301,$B$2:$B2301,$B2301)=1,1,0))</f>
        <v/>
      </c>
      <c r="J2301" t="str">
        <f t="shared" si="35"/>
        <v/>
      </c>
    </row>
    <row r="2302" spans="9:10">
      <c r="I2302" t="str">
        <f>IF(OR($A2302="",$B2302=""),"",IF(COUNTIFS($A$2:$A2302,$A2302,$B$2:$B2302,$B2302)=1,1,0))</f>
        <v/>
      </c>
      <c r="J2302" t="str">
        <f t="shared" si="35"/>
        <v/>
      </c>
    </row>
    <row r="2303" spans="9:10">
      <c r="I2303" t="str">
        <f>IF(OR($A2303="",$B2303=""),"",IF(COUNTIFS($A$2:$A2303,$A2303,$B$2:$B2303,$B2303)=1,1,0))</f>
        <v/>
      </c>
      <c r="J2303" t="str">
        <f t="shared" si="35"/>
        <v/>
      </c>
    </row>
    <row r="2304" spans="9:10">
      <c r="I2304" t="str">
        <f>IF(OR($A2304="",$B2304=""),"",IF(COUNTIFS($A$2:$A2304,$A2304,$B$2:$B2304,$B2304)=1,1,0))</f>
        <v/>
      </c>
      <c r="J2304" t="str">
        <f t="shared" si="35"/>
        <v/>
      </c>
    </row>
    <row r="2305" spans="9:10">
      <c r="I2305" t="str">
        <f>IF(OR($A2305="",$B2305=""),"",IF(COUNTIFS($A$2:$A2305,$A2305,$B$2:$B2305,$B2305)=1,1,0))</f>
        <v/>
      </c>
      <c r="J2305" t="str">
        <f t="shared" si="35"/>
        <v/>
      </c>
    </row>
    <row r="2306" spans="9:10">
      <c r="I2306" t="str">
        <f>IF(OR($A2306="",$B2306=""),"",IF(COUNTIFS($A$2:$A2306,$A2306,$B$2:$B2306,$B2306)=1,1,0))</f>
        <v/>
      </c>
      <c r="J2306" t="str">
        <f t="shared" ref="J2306:J2369" si="36">IF($A2306="","",ROW())</f>
        <v/>
      </c>
    </row>
    <row r="2307" spans="9:10">
      <c r="I2307" t="str">
        <f>IF(OR($A2307="",$B2307=""),"",IF(COUNTIFS($A$2:$A2307,$A2307,$B$2:$B2307,$B2307)=1,1,0))</f>
        <v/>
      </c>
      <c r="J2307" t="str">
        <f t="shared" si="36"/>
        <v/>
      </c>
    </row>
    <row r="2308" spans="9:10">
      <c r="I2308" t="str">
        <f>IF(OR($A2308="",$B2308=""),"",IF(COUNTIFS($A$2:$A2308,$A2308,$B$2:$B2308,$B2308)=1,1,0))</f>
        <v/>
      </c>
      <c r="J2308" t="str">
        <f t="shared" si="36"/>
        <v/>
      </c>
    </row>
    <row r="2309" spans="9:10">
      <c r="I2309" t="str">
        <f>IF(OR($A2309="",$B2309=""),"",IF(COUNTIFS($A$2:$A2309,$A2309,$B$2:$B2309,$B2309)=1,1,0))</f>
        <v/>
      </c>
      <c r="J2309" t="str">
        <f t="shared" si="36"/>
        <v/>
      </c>
    </row>
    <row r="2310" spans="9:10">
      <c r="I2310" t="str">
        <f>IF(OR($A2310="",$B2310=""),"",IF(COUNTIFS($A$2:$A2310,$A2310,$B$2:$B2310,$B2310)=1,1,0))</f>
        <v/>
      </c>
      <c r="J2310" t="str">
        <f t="shared" si="36"/>
        <v/>
      </c>
    </row>
    <row r="2311" spans="9:10">
      <c r="I2311" t="str">
        <f>IF(OR($A2311="",$B2311=""),"",IF(COUNTIFS($A$2:$A2311,$A2311,$B$2:$B2311,$B2311)=1,1,0))</f>
        <v/>
      </c>
      <c r="J2311" t="str">
        <f t="shared" si="36"/>
        <v/>
      </c>
    </row>
    <row r="2312" spans="9:10">
      <c r="I2312" t="str">
        <f>IF(OR($A2312="",$B2312=""),"",IF(COUNTIFS($A$2:$A2312,$A2312,$B$2:$B2312,$B2312)=1,1,0))</f>
        <v/>
      </c>
      <c r="J2312" t="str">
        <f t="shared" si="36"/>
        <v/>
      </c>
    </row>
    <row r="2313" spans="9:10">
      <c r="I2313" t="str">
        <f>IF(OR($A2313="",$B2313=""),"",IF(COUNTIFS($A$2:$A2313,$A2313,$B$2:$B2313,$B2313)=1,1,0))</f>
        <v/>
      </c>
      <c r="J2313" t="str">
        <f t="shared" si="36"/>
        <v/>
      </c>
    </row>
    <row r="2314" spans="9:10">
      <c r="I2314" t="str">
        <f>IF(OR($A2314="",$B2314=""),"",IF(COUNTIFS($A$2:$A2314,$A2314,$B$2:$B2314,$B2314)=1,1,0))</f>
        <v/>
      </c>
      <c r="J2314" t="str">
        <f t="shared" si="36"/>
        <v/>
      </c>
    </row>
    <row r="2315" spans="9:10">
      <c r="I2315" t="str">
        <f>IF(OR($A2315="",$B2315=""),"",IF(COUNTIFS($A$2:$A2315,$A2315,$B$2:$B2315,$B2315)=1,1,0))</f>
        <v/>
      </c>
      <c r="J2315" t="str">
        <f t="shared" si="36"/>
        <v/>
      </c>
    </row>
    <row r="2316" spans="9:10">
      <c r="I2316" t="str">
        <f>IF(OR($A2316="",$B2316=""),"",IF(COUNTIFS($A$2:$A2316,$A2316,$B$2:$B2316,$B2316)=1,1,0))</f>
        <v/>
      </c>
      <c r="J2316" t="str">
        <f t="shared" si="36"/>
        <v/>
      </c>
    </row>
    <row r="2317" spans="9:10">
      <c r="I2317" t="str">
        <f>IF(OR($A2317="",$B2317=""),"",IF(COUNTIFS($A$2:$A2317,$A2317,$B$2:$B2317,$B2317)=1,1,0))</f>
        <v/>
      </c>
      <c r="J2317" t="str">
        <f t="shared" si="36"/>
        <v/>
      </c>
    </row>
    <row r="2318" spans="9:10">
      <c r="I2318" t="str">
        <f>IF(OR($A2318="",$B2318=""),"",IF(COUNTIFS($A$2:$A2318,$A2318,$B$2:$B2318,$B2318)=1,1,0))</f>
        <v/>
      </c>
      <c r="J2318" t="str">
        <f t="shared" si="36"/>
        <v/>
      </c>
    </row>
    <row r="2319" spans="9:10">
      <c r="I2319" t="str">
        <f>IF(OR($A2319="",$B2319=""),"",IF(COUNTIFS($A$2:$A2319,$A2319,$B$2:$B2319,$B2319)=1,1,0))</f>
        <v/>
      </c>
      <c r="J2319" t="str">
        <f t="shared" si="36"/>
        <v/>
      </c>
    </row>
    <row r="2320" spans="9:10">
      <c r="I2320" t="str">
        <f>IF(OR($A2320="",$B2320=""),"",IF(COUNTIFS($A$2:$A2320,$A2320,$B$2:$B2320,$B2320)=1,1,0))</f>
        <v/>
      </c>
      <c r="J2320" t="str">
        <f t="shared" si="36"/>
        <v/>
      </c>
    </row>
    <row r="2321" spans="9:10">
      <c r="I2321" t="str">
        <f>IF(OR($A2321="",$B2321=""),"",IF(COUNTIFS($A$2:$A2321,$A2321,$B$2:$B2321,$B2321)=1,1,0))</f>
        <v/>
      </c>
      <c r="J2321" t="str">
        <f t="shared" si="36"/>
        <v/>
      </c>
    </row>
    <row r="2322" spans="9:10">
      <c r="I2322" t="str">
        <f>IF(OR($A2322="",$B2322=""),"",IF(COUNTIFS($A$2:$A2322,$A2322,$B$2:$B2322,$B2322)=1,1,0))</f>
        <v/>
      </c>
      <c r="J2322" t="str">
        <f t="shared" si="36"/>
        <v/>
      </c>
    </row>
    <row r="2323" spans="9:10">
      <c r="I2323" t="str">
        <f>IF(OR($A2323="",$B2323=""),"",IF(COUNTIFS($A$2:$A2323,$A2323,$B$2:$B2323,$B2323)=1,1,0))</f>
        <v/>
      </c>
      <c r="J2323" t="str">
        <f t="shared" si="36"/>
        <v/>
      </c>
    </row>
    <row r="2324" spans="9:10">
      <c r="I2324" t="str">
        <f>IF(OR($A2324="",$B2324=""),"",IF(COUNTIFS($A$2:$A2324,$A2324,$B$2:$B2324,$B2324)=1,1,0))</f>
        <v/>
      </c>
      <c r="J2324" t="str">
        <f t="shared" si="36"/>
        <v/>
      </c>
    </row>
    <row r="2325" spans="9:10">
      <c r="I2325" t="str">
        <f>IF(OR($A2325="",$B2325=""),"",IF(COUNTIFS($A$2:$A2325,$A2325,$B$2:$B2325,$B2325)=1,1,0))</f>
        <v/>
      </c>
      <c r="J2325" t="str">
        <f t="shared" si="36"/>
        <v/>
      </c>
    </row>
    <row r="2326" spans="9:10">
      <c r="I2326" t="str">
        <f>IF(OR($A2326="",$B2326=""),"",IF(COUNTIFS($A$2:$A2326,$A2326,$B$2:$B2326,$B2326)=1,1,0))</f>
        <v/>
      </c>
      <c r="J2326" t="str">
        <f t="shared" si="36"/>
        <v/>
      </c>
    </row>
    <row r="2327" spans="9:10">
      <c r="I2327" t="str">
        <f>IF(OR($A2327="",$B2327=""),"",IF(COUNTIFS($A$2:$A2327,$A2327,$B$2:$B2327,$B2327)=1,1,0))</f>
        <v/>
      </c>
      <c r="J2327" t="str">
        <f t="shared" si="36"/>
        <v/>
      </c>
    </row>
    <row r="2328" spans="9:10">
      <c r="I2328" t="str">
        <f>IF(OR($A2328="",$B2328=""),"",IF(COUNTIFS($A$2:$A2328,$A2328,$B$2:$B2328,$B2328)=1,1,0))</f>
        <v/>
      </c>
      <c r="J2328" t="str">
        <f t="shared" si="36"/>
        <v/>
      </c>
    </row>
    <row r="2329" spans="9:10">
      <c r="I2329" t="str">
        <f>IF(OR($A2329="",$B2329=""),"",IF(COUNTIFS($A$2:$A2329,$A2329,$B$2:$B2329,$B2329)=1,1,0))</f>
        <v/>
      </c>
      <c r="J2329" t="str">
        <f t="shared" si="36"/>
        <v/>
      </c>
    </row>
    <row r="2330" spans="9:10">
      <c r="I2330" t="str">
        <f>IF(OR($A2330="",$B2330=""),"",IF(COUNTIFS($A$2:$A2330,$A2330,$B$2:$B2330,$B2330)=1,1,0))</f>
        <v/>
      </c>
      <c r="J2330" t="str">
        <f t="shared" si="36"/>
        <v/>
      </c>
    </row>
    <row r="2331" spans="9:10">
      <c r="I2331" t="str">
        <f>IF(OR($A2331="",$B2331=""),"",IF(COUNTIFS($A$2:$A2331,$A2331,$B$2:$B2331,$B2331)=1,1,0))</f>
        <v/>
      </c>
      <c r="J2331" t="str">
        <f t="shared" si="36"/>
        <v/>
      </c>
    </row>
    <row r="2332" spans="9:10">
      <c r="I2332" t="str">
        <f>IF(OR($A2332="",$B2332=""),"",IF(COUNTIFS($A$2:$A2332,$A2332,$B$2:$B2332,$B2332)=1,1,0))</f>
        <v/>
      </c>
      <c r="J2332" t="str">
        <f t="shared" si="36"/>
        <v/>
      </c>
    </row>
    <row r="2333" spans="9:10">
      <c r="I2333" t="str">
        <f>IF(OR($A2333="",$B2333=""),"",IF(COUNTIFS($A$2:$A2333,$A2333,$B$2:$B2333,$B2333)=1,1,0))</f>
        <v/>
      </c>
      <c r="J2333" t="str">
        <f t="shared" si="36"/>
        <v/>
      </c>
    </row>
    <row r="2334" spans="9:10">
      <c r="I2334" t="str">
        <f>IF(OR($A2334="",$B2334=""),"",IF(COUNTIFS($A$2:$A2334,$A2334,$B$2:$B2334,$B2334)=1,1,0))</f>
        <v/>
      </c>
      <c r="J2334" t="str">
        <f t="shared" si="36"/>
        <v/>
      </c>
    </row>
    <row r="2335" spans="9:10">
      <c r="I2335" t="str">
        <f>IF(OR($A2335="",$B2335=""),"",IF(COUNTIFS($A$2:$A2335,$A2335,$B$2:$B2335,$B2335)=1,1,0))</f>
        <v/>
      </c>
      <c r="J2335" t="str">
        <f t="shared" si="36"/>
        <v/>
      </c>
    </row>
    <row r="2336" spans="9:10">
      <c r="I2336" t="str">
        <f>IF(OR($A2336="",$B2336=""),"",IF(COUNTIFS($A$2:$A2336,$A2336,$B$2:$B2336,$B2336)=1,1,0))</f>
        <v/>
      </c>
      <c r="J2336" t="str">
        <f t="shared" si="36"/>
        <v/>
      </c>
    </row>
    <row r="2337" spans="9:10">
      <c r="I2337" t="str">
        <f>IF(OR($A2337="",$B2337=""),"",IF(COUNTIFS($A$2:$A2337,$A2337,$B$2:$B2337,$B2337)=1,1,0))</f>
        <v/>
      </c>
      <c r="J2337" t="str">
        <f t="shared" si="36"/>
        <v/>
      </c>
    </row>
    <row r="2338" spans="9:10">
      <c r="I2338" t="str">
        <f>IF(OR($A2338="",$B2338=""),"",IF(COUNTIFS($A$2:$A2338,$A2338,$B$2:$B2338,$B2338)=1,1,0))</f>
        <v/>
      </c>
      <c r="J2338" t="str">
        <f t="shared" si="36"/>
        <v/>
      </c>
    </row>
    <row r="2339" spans="9:10">
      <c r="I2339" t="str">
        <f>IF(OR($A2339="",$B2339=""),"",IF(COUNTIFS($A$2:$A2339,$A2339,$B$2:$B2339,$B2339)=1,1,0))</f>
        <v/>
      </c>
      <c r="J2339" t="str">
        <f t="shared" si="36"/>
        <v/>
      </c>
    </row>
    <row r="2340" spans="9:10">
      <c r="I2340" t="str">
        <f>IF(OR($A2340="",$B2340=""),"",IF(COUNTIFS($A$2:$A2340,$A2340,$B$2:$B2340,$B2340)=1,1,0))</f>
        <v/>
      </c>
      <c r="J2340" t="str">
        <f t="shared" si="36"/>
        <v/>
      </c>
    </row>
    <row r="2341" spans="9:10">
      <c r="I2341" t="str">
        <f>IF(OR($A2341="",$B2341=""),"",IF(COUNTIFS($A$2:$A2341,$A2341,$B$2:$B2341,$B2341)=1,1,0))</f>
        <v/>
      </c>
      <c r="J2341" t="str">
        <f t="shared" si="36"/>
        <v/>
      </c>
    </row>
    <row r="2342" spans="9:10">
      <c r="I2342" t="str">
        <f>IF(OR($A2342="",$B2342=""),"",IF(COUNTIFS($A$2:$A2342,$A2342,$B$2:$B2342,$B2342)=1,1,0))</f>
        <v/>
      </c>
      <c r="J2342" t="str">
        <f t="shared" si="36"/>
        <v/>
      </c>
    </row>
    <row r="2343" spans="9:10">
      <c r="I2343" t="str">
        <f>IF(OR($A2343="",$B2343=""),"",IF(COUNTIFS($A$2:$A2343,$A2343,$B$2:$B2343,$B2343)=1,1,0))</f>
        <v/>
      </c>
      <c r="J2343" t="str">
        <f t="shared" si="36"/>
        <v/>
      </c>
    </row>
    <row r="2344" spans="9:10">
      <c r="I2344" t="str">
        <f>IF(OR($A2344="",$B2344=""),"",IF(COUNTIFS($A$2:$A2344,$A2344,$B$2:$B2344,$B2344)=1,1,0))</f>
        <v/>
      </c>
      <c r="J2344" t="str">
        <f t="shared" si="36"/>
        <v/>
      </c>
    </row>
    <row r="2345" spans="9:10">
      <c r="I2345" t="str">
        <f>IF(OR($A2345="",$B2345=""),"",IF(COUNTIFS($A$2:$A2345,$A2345,$B$2:$B2345,$B2345)=1,1,0))</f>
        <v/>
      </c>
      <c r="J2345" t="str">
        <f t="shared" si="36"/>
        <v/>
      </c>
    </row>
    <row r="2346" spans="9:10">
      <c r="I2346" t="str">
        <f>IF(OR($A2346="",$B2346=""),"",IF(COUNTIFS($A$2:$A2346,$A2346,$B$2:$B2346,$B2346)=1,1,0))</f>
        <v/>
      </c>
      <c r="J2346" t="str">
        <f t="shared" si="36"/>
        <v/>
      </c>
    </row>
    <row r="2347" spans="9:10">
      <c r="I2347" t="str">
        <f>IF(OR($A2347="",$B2347=""),"",IF(COUNTIFS($A$2:$A2347,$A2347,$B$2:$B2347,$B2347)=1,1,0))</f>
        <v/>
      </c>
      <c r="J2347" t="str">
        <f t="shared" si="36"/>
        <v/>
      </c>
    </row>
    <row r="2348" spans="9:10">
      <c r="I2348" t="str">
        <f>IF(OR($A2348="",$B2348=""),"",IF(COUNTIFS($A$2:$A2348,$A2348,$B$2:$B2348,$B2348)=1,1,0))</f>
        <v/>
      </c>
      <c r="J2348" t="str">
        <f t="shared" si="36"/>
        <v/>
      </c>
    </row>
    <row r="2349" spans="9:10">
      <c r="I2349" t="str">
        <f>IF(OR($A2349="",$B2349=""),"",IF(COUNTIFS($A$2:$A2349,$A2349,$B$2:$B2349,$B2349)=1,1,0))</f>
        <v/>
      </c>
      <c r="J2349" t="str">
        <f t="shared" si="36"/>
        <v/>
      </c>
    </row>
    <row r="2350" spans="9:10">
      <c r="I2350" t="str">
        <f>IF(OR($A2350="",$B2350=""),"",IF(COUNTIFS($A$2:$A2350,$A2350,$B$2:$B2350,$B2350)=1,1,0))</f>
        <v/>
      </c>
      <c r="J2350" t="str">
        <f t="shared" si="36"/>
        <v/>
      </c>
    </row>
    <row r="2351" spans="9:10">
      <c r="I2351" t="str">
        <f>IF(OR($A2351="",$B2351=""),"",IF(COUNTIFS($A$2:$A2351,$A2351,$B$2:$B2351,$B2351)=1,1,0))</f>
        <v/>
      </c>
      <c r="J2351" t="str">
        <f t="shared" si="36"/>
        <v/>
      </c>
    </row>
    <row r="2352" spans="9:10">
      <c r="I2352" t="str">
        <f>IF(OR($A2352="",$B2352=""),"",IF(COUNTIFS($A$2:$A2352,$A2352,$B$2:$B2352,$B2352)=1,1,0))</f>
        <v/>
      </c>
      <c r="J2352" t="str">
        <f t="shared" si="36"/>
        <v/>
      </c>
    </row>
    <row r="2353" spans="9:10">
      <c r="I2353" t="str">
        <f>IF(OR($A2353="",$B2353=""),"",IF(COUNTIFS($A$2:$A2353,$A2353,$B$2:$B2353,$B2353)=1,1,0))</f>
        <v/>
      </c>
      <c r="J2353" t="str">
        <f t="shared" si="36"/>
        <v/>
      </c>
    </row>
    <row r="2354" spans="9:10">
      <c r="I2354" t="str">
        <f>IF(OR($A2354="",$B2354=""),"",IF(COUNTIFS($A$2:$A2354,$A2354,$B$2:$B2354,$B2354)=1,1,0))</f>
        <v/>
      </c>
      <c r="J2354" t="str">
        <f t="shared" si="36"/>
        <v/>
      </c>
    </row>
    <row r="2355" spans="9:10">
      <c r="I2355" t="str">
        <f>IF(OR($A2355="",$B2355=""),"",IF(COUNTIFS($A$2:$A2355,$A2355,$B$2:$B2355,$B2355)=1,1,0))</f>
        <v/>
      </c>
      <c r="J2355" t="str">
        <f t="shared" si="36"/>
        <v/>
      </c>
    </row>
    <row r="2356" spans="9:10">
      <c r="I2356" t="str">
        <f>IF(OR($A2356="",$B2356=""),"",IF(COUNTIFS($A$2:$A2356,$A2356,$B$2:$B2356,$B2356)=1,1,0))</f>
        <v/>
      </c>
      <c r="J2356" t="str">
        <f t="shared" si="36"/>
        <v/>
      </c>
    </row>
    <row r="2357" spans="9:10">
      <c r="I2357" t="str">
        <f>IF(OR($A2357="",$B2357=""),"",IF(COUNTIFS($A$2:$A2357,$A2357,$B$2:$B2357,$B2357)=1,1,0))</f>
        <v/>
      </c>
      <c r="J2357" t="str">
        <f t="shared" si="36"/>
        <v/>
      </c>
    </row>
    <row r="2358" spans="9:10">
      <c r="I2358" t="str">
        <f>IF(OR($A2358="",$B2358=""),"",IF(COUNTIFS($A$2:$A2358,$A2358,$B$2:$B2358,$B2358)=1,1,0))</f>
        <v/>
      </c>
      <c r="J2358" t="str">
        <f t="shared" si="36"/>
        <v/>
      </c>
    </row>
    <row r="2359" spans="9:10">
      <c r="I2359" t="str">
        <f>IF(OR($A2359="",$B2359=""),"",IF(COUNTIFS($A$2:$A2359,$A2359,$B$2:$B2359,$B2359)=1,1,0))</f>
        <v/>
      </c>
      <c r="J2359" t="str">
        <f t="shared" si="36"/>
        <v/>
      </c>
    </row>
    <row r="2360" spans="9:10">
      <c r="I2360" t="str">
        <f>IF(OR($A2360="",$B2360=""),"",IF(COUNTIFS($A$2:$A2360,$A2360,$B$2:$B2360,$B2360)=1,1,0))</f>
        <v/>
      </c>
      <c r="J2360" t="str">
        <f t="shared" si="36"/>
        <v/>
      </c>
    </row>
    <row r="2361" spans="9:10">
      <c r="I2361" t="str">
        <f>IF(OR($A2361="",$B2361=""),"",IF(COUNTIFS($A$2:$A2361,$A2361,$B$2:$B2361,$B2361)=1,1,0))</f>
        <v/>
      </c>
      <c r="J2361" t="str">
        <f t="shared" si="36"/>
        <v/>
      </c>
    </row>
    <row r="2362" spans="9:10">
      <c r="I2362" t="str">
        <f>IF(OR($A2362="",$B2362=""),"",IF(COUNTIFS($A$2:$A2362,$A2362,$B$2:$B2362,$B2362)=1,1,0))</f>
        <v/>
      </c>
      <c r="J2362" t="str">
        <f t="shared" si="36"/>
        <v/>
      </c>
    </row>
    <row r="2363" spans="9:10">
      <c r="I2363" t="str">
        <f>IF(OR($A2363="",$B2363=""),"",IF(COUNTIFS($A$2:$A2363,$A2363,$B$2:$B2363,$B2363)=1,1,0))</f>
        <v/>
      </c>
      <c r="J2363" t="str">
        <f t="shared" si="36"/>
        <v/>
      </c>
    </row>
    <row r="2364" spans="9:10">
      <c r="I2364" t="str">
        <f>IF(OR($A2364="",$B2364=""),"",IF(COUNTIFS($A$2:$A2364,$A2364,$B$2:$B2364,$B2364)=1,1,0))</f>
        <v/>
      </c>
      <c r="J2364" t="str">
        <f t="shared" si="36"/>
        <v/>
      </c>
    </row>
    <row r="2365" spans="9:10">
      <c r="I2365" t="str">
        <f>IF(OR($A2365="",$B2365=""),"",IF(COUNTIFS($A$2:$A2365,$A2365,$B$2:$B2365,$B2365)=1,1,0))</f>
        <v/>
      </c>
      <c r="J2365" t="str">
        <f t="shared" si="36"/>
        <v/>
      </c>
    </row>
    <row r="2366" spans="9:10">
      <c r="I2366" t="str">
        <f>IF(OR($A2366="",$B2366=""),"",IF(COUNTIFS($A$2:$A2366,$A2366,$B$2:$B2366,$B2366)=1,1,0))</f>
        <v/>
      </c>
      <c r="J2366" t="str">
        <f t="shared" si="36"/>
        <v/>
      </c>
    </row>
    <row r="2367" spans="9:10">
      <c r="I2367" t="str">
        <f>IF(OR($A2367="",$B2367=""),"",IF(COUNTIFS($A$2:$A2367,$A2367,$B$2:$B2367,$B2367)=1,1,0))</f>
        <v/>
      </c>
      <c r="J2367" t="str">
        <f t="shared" si="36"/>
        <v/>
      </c>
    </row>
    <row r="2368" spans="9:10">
      <c r="I2368" t="str">
        <f>IF(OR($A2368="",$B2368=""),"",IF(COUNTIFS($A$2:$A2368,$A2368,$B$2:$B2368,$B2368)=1,1,0))</f>
        <v/>
      </c>
      <c r="J2368" t="str">
        <f t="shared" si="36"/>
        <v/>
      </c>
    </row>
    <row r="2369" spans="9:10">
      <c r="I2369" t="str">
        <f>IF(OR($A2369="",$B2369=""),"",IF(COUNTIFS($A$2:$A2369,$A2369,$B$2:$B2369,$B2369)=1,1,0))</f>
        <v/>
      </c>
      <c r="J2369" t="str">
        <f t="shared" si="36"/>
        <v/>
      </c>
    </row>
    <row r="2370" spans="9:10">
      <c r="I2370" t="str">
        <f>IF(OR($A2370="",$B2370=""),"",IF(COUNTIFS($A$2:$A2370,$A2370,$B$2:$B2370,$B2370)=1,1,0))</f>
        <v/>
      </c>
      <c r="J2370" t="str">
        <f t="shared" ref="J2370:J2433" si="37">IF($A2370="","",ROW())</f>
        <v/>
      </c>
    </row>
    <row r="2371" spans="9:10">
      <c r="I2371" t="str">
        <f>IF(OR($A2371="",$B2371=""),"",IF(COUNTIFS($A$2:$A2371,$A2371,$B$2:$B2371,$B2371)=1,1,0))</f>
        <v/>
      </c>
      <c r="J2371" t="str">
        <f t="shared" si="37"/>
        <v/>
      </c>
    </row>
    <row r="2372" spans="9:10">
      <c r="I2372" t="str">
        <f>IF(OR($A2372="",$B2372=""),"",IF(COUNTIFS($A$2:$A2372,$A2372,$B$2:$B2372,$B2372)=1,1,0))</f>
        <v/>
      </c>
      <c r="J2372" t="str">
        <f t="shared" si="37"/>
        <v/>
      </c>
    </row>
    <row r="2373" spans="9:10">
      <c r="I2373" t="str">
        <f>IF(OR($A2373="",$B2373=""),"",IF(COUNTIFS($A$2:$A2373,$A2373,$B$2:$B2373,$B2373)=1,1,0))</f>
        <v/>
      </c>
      <c r="J2373" t="str">
        <f t="shared" si="37"/>
        <v/>
      </c>
    </row>
    <row r="2374" spans="9:10">
      <c r="I2374" t="str">
        <f>IF(OR($A2374="",$B2374=""),"",IF(COUNTIFS($A$2:$A2374,$A2374,$B$2:$B2374,$B2374)=1,1,0))</f>
        <v/>
      </c>
      <c r="J2374" t="str">
        <f t="shared" si="37"/>
        <v/>
      </c>
    </row>
    <row r="2375" spans="9:10">
      <c r="I2375" t="str">
        <f>IF(OR($A2375="",$B2375=""),"",IF(COUNTIFS($A$2:$A2375,$A2375,$B$2:$B2375,$B2375)=1,1,0))</f>
        <v/>
      </c>
      <c r="J2375" t="str">
        <f t="shared" si="37"/>
        <v/>
      </c>
    </row>
    <row r="2376" spans="9:10">
      <c r="I2376" t="str">
        <f>IF(OR($A2376="",$B2376=""),"",IF(COUNTIFS($A$2:$A2376,$A2376,$B$2:$B2376,$B2376)=1,1,0))</f>
        <v/>
      </c>
      <c r="J2376" t="str">
        <f t="shared" si="37"/>
        <v/>
      </c>
    </row>
    <row r="2377" spans="9:10">
      <c r="I2377" t="str">
        <f>IF(OR($A2377="",$B2377=""),"",IF(COUNTIFS($A$2:$A2377,$A2377,$B$2:$B2377,$B2377)=1,1,0))</f>
        <v/>
      </c>
      <c r="J2377" t="str">
        <f t="shared" si="37"/>
        <v/>
      </c>
    </row>
    <row r="2378" spans="9:10">
      <c r="I2378" t="str">
        <f>IF(OR($A2378="",$B2378=""),"",IF(COUNTIFS($A$2:$A2378,$A2378,$B$2:$B2378,$B2378)=1,1,0))</f>
        <v/>
      </c>
      <c r="J2378" t="str">
        <f t="shared" si="37"/>
        <v/>
      </c>
    </row>
    <row r="2379" spans="9:10">
      <c r="I2379" t="str">
        <f>IF(OR($A2379="",$B2379=""),"",IF(COUNTIFS($A$2:$A2379,$A2379,$B$2:$B2379,$B2379)=1,1,0))</f>
        <v/>
      </c>
      <c r="J2379" t="str">
        <f t="shared" si="37"/>
        <v/>
      </c>
    </row>
    <row r="2380" spans="9:10">
      <c r="I2380" t="str">
        <f>IF(OR($A2380="",$B2380=""),"",IF(COUNTIFS($A$2:$A2380,$A2380,$B$2:$B2380,$B2380)=1,1,0))</f>
        <v/>
      </c>
      <c r="J2380" t="str">
        <f t="shared" si="37"/>
        <v/>
      </c>
    </row>
    <row r="2381" spans="9:10">
      <c r="I2381" t="str">
        <f>IF(OR($A2381="",$B2381=""),"",IF(COUNTIFS($A$2:$A2381,$A2381,$B$2:$B2381,$B2381)=1,1,0))</f>
        <v/>
      </c>
      <c r="J2381" t="str">
        <f t="shared" si="37"/>
        <v/>
      </c>
    </row>
    <row r="2382" spans="9:10">
      <c r="I2382" t="str">
        <f>IF(OR($A2382="",$B2382=""),"",IF(COUNTIFS($A$2:$A2382,$A2382,$B$2:$B2382,$B2382)=1,1,0))</f>
        <v/>
      </c>
      <c r="J2382" t="str">
        <f t="shared" si="37"/>
        <v/>
      </c>
    </row>
    <row r="2383" spans="9:10">
      <c r="I2383" t="str">
        <f>IF(OR($A2383="",$B2383=""),"",IF(COUNTIFS($A$2:$A2383,$A2383,$B$2:$B2383,$B2383)=1,1,0))</f>
        <v/>
      </c>
      <c r="J2383" t="str">
        <f t="shared" si="37"/>
        <v/>
      </c>
    </row>
    <row r="2384" spans="9:10">
      <c r="I2384" t="str">
        <f>IF(OR($A2384="",$B2384=""),"",IF(COUNTIFS($A$2:$A2384,$A2384,$B$2:$B2384,$B2384)=1,1,0))</f>
        <v/>
      </c>
      <c r="J2384" t="str">
        <f t="shared" si="37"/>
        <v/>
      </c>
    </row>
    <row r="2385" spans="9:10">
      <c r="I2385" t="str">
        <f>IF(OR($A2385="",$B2385=""),"",IF(COUNTIFS($A$2:$A2385,$A2385,$B$2:$B2385,$B2385)=1,1,0))</f>
        <v/>
      </c>
      <c r="J2385" t="str">
        <f t="shared" si="37"/>
        <v/>
      </c>
    </row>
    <row r="2386" spans="9:10">
      <c r="I2386" t="str">
        <f>IF(OR($A2386="",$B2386=""),"",IF(COUNTIFS($A$2:$A2386,$A2386,$B$2:$B2386,$B2386)=1,1,0))</f>
        <v/>
      </c>
      <c r="J2386" t="str">
        <f t="shared" si="37"/>
        <v/>
      </c>
    </row>
    <row r="2387" spans="9:10">
      <c r="I2387" t="str">
        <f>IF(OR($A2387="",$B2387=""),"",IF(COUNTIFS($A$2:$A2387,$A2387,$B$2:$B2387,$B2387)=1,1,0))</f>
        <v/>
      </c>
      <c r="J2387" t="str">
        <f t="shared" si="37"/>
        <v/>
      </c>
    </row>
    <row r="2388" spans="9:10">
      <c r="I2388" t="str">
        <f>IF(OR($A2388="",$B2388=""),"",IF(COUNTIFS($A$2:$A2388,$A2388,$B$2:$B2388,$B2388)=1,1,0))</f>
        <v/>
      </c>
      <c r="J2388" t="str">
        <f t="shared" si="37"/>
        <v/>
      </c>
    </row>
    <row r="2389" spans="9:10">
      <c r="I2389" t="str">
        <f>IF(OR($A2389="",$B2389=""),"",IF(COUNTIFS($A$2:$A2389,$A2389,$B$2:$B2389,$B2389)=1,1,0))</f>
        <v/>
      </c>
      <c r="J2389" t="str">
        <f t="shared" si="37"/>
        <v/>
      </c>
    </row>
    <row r="2390" spans="9:10">
      <c r="I2390" t="str">
        <f>IF(OR($A2390="",$B2390=""),"",IF(COUNTIFS($A$2:$A2390,$A2390,$B$2:$B2390,$B2390)=1,1,0))</f>
        <v/>
      </c>
      <c r="J2390" t="str">
        <f t="shared" si="37"/>
        <v/>
      </c>
    </row>
    <row r="2391" spans="9:10">
      <c r="I2391" t="str">
        <f>IF(OR($A2391="",$B2391=""),"",IF(COUNTIFS($A$2:$A2391,$A2391,$B$2:$B2391,$B2391)=1,1,0))</f>
        <v/>
      </c>
      <c r="J2391" t="str">
        <f t="shared" si="37"/>
        <v/>
      </c>
    </row>
    <row r="2392" spans="9:10">
      <c r="I2392" t="str">
        <f>IF(OR($A2392="",$B2392=""),"",IF(COUNTIFS($A$2:$A2392,$A2392,$B$2:$B2392,$B2392)=1,1,0))</f>
        <v/>
      </c>
      <c r="J2392" t="str">
        <f t="shared" si="37"/>
        <v/>
      </c>
    </row>
    <row r="2393" spans="9:10">
      <c r="I2393" t="str">
        <f>IF(OR($A2393="",$B2393=""),"",IF(COUNTIFS($A$2:$A2393,$A2393,$B$2:$B2393,$B2393)=1,1,0))</f>
        <v/>
      </c>
      <c r="J2393" t="str">
        <f t="shared" si="37"/>
        <v/>
      </c>
    </row>
    <row r="2394" spans="9:10">
      <c r="I2394" t="str">
        <f>IF(OR($A2394="",$B2394=""),"",IF(COUNTIFS($A$2:$A2394,$A2394,$B$2:$B2394,$B2394)=1,1,0))</f>
        <v/>
      </c>
      <c r="J2394" t="str">
        <f t="shared" si="37"/>
        <v/>
      </c>
    </row>
    <row r="2395" spans="9:10">
      <c r="I2395" t="str">
        <f>IF(OR($A2395="",$B2395=""),"",IF(COUNTIFS($A$2:$A2395,$A2395,$B$2:$B2395,$B2395)=1,1,0))</f>
        <v/>
      </c>
      <c r="J2395" t="str">
        <f t="shared" si="37"/>
        <v/>
      </c>
    </row>
    <row r="2396" spans="9:10">
      <c r="I2396" t="str">
        <f>IF(OR($A2396="",$B2396=""),"",IF(COUNTIFS($A$2:$A2396,$A2396,$B$2:$B2396,$B2396)=1,1,0))</f>
        <v/>
      </c>
      <c r="J2396" t="str">
        <f t="shared" si="37"/>
        <v/>
      </c>
    </row>
    <row r="2397" spans="9:10">
      <c r="I2397" t="str">
        <f>IF(OR($A2397="",$B2397=""),"",IF(COUNTIFS($A$2:$A2397,$A2397,$B$2:$B2397,$B2397)=1,1,0))</f>
        <v/>
      </c>
      <c r="J2397" t="str">
        <f t="shared" si="37"/>
        <v/>
      </c>
    </row>
    <row r="2398" spans="9:10">
      <c r="I2398" t="str">
        <f>IF(OR($A2398="",$B2398=""),"",IF(COUNTIFS($A$2:$A2398,$A2398,$B$2:$B2398,$B2398)=1,1,0))</f>
        <v/>
      </c>
      <c r="J2398" t="str">
        <f t="shared" si="37"/>
        <v/>
      </c>
    </row>
    <row r="2399" spans="9:10">
      <c r="I2399" t="str">
        <f>IF(OR($A2399="",$B2399=""),"",IF(COUNTIFS($A$2:$A2399,$A2399,$B$2:$B2399,$B2399)=1,1,0))</f>
        <v/>
      </c>
      <c r="J2399" t="str">
        <f t="shared" si="37"/>
        <v/>
      </c>
    </row>
    <row r="2400" spans="9:10">
      <c r="I2400" t="str">
        <f>IF(OR($A2400="",$B2400=""),"",IF(COUNTIFS($A$2:$A2400,$A2400,$B$2:$B2400,$B2400)=1,1,0))</f>
        <v/>
      </c>
      <c r="J2400" t="str">
        <f t="shared" si="37"/>
        <v/>
      </c>
    </row>
    <row r="2401" spans="9:10">
      <c r="I2401" t="str">
        <f>IF(OR($A2401="",$B2401=""),"",IF(COUNTIFS($A$2:$A2401,$A2401,$B$2:$B2401,$B2401)=1,1,0))</f>
        <v/>
      </c>
      <c r="J2401" t="str">
        <f t="shared" si="37"/>
        <v/>
      </c>
    </row>
    <row r="2402" spans="9:10">
      <c r="I2402" t="str">
        <f>IF(OR($A2402="",$B2402=""),"",IF(COUNTIFS($A$2:$A2402,$A2402,$B$2:$B2402,$B2402)=1,1,0))</f>
        <v/>
      </c>
      <c r="J2402" t="str">
        <f t="shared" si="37"/>
        <v/>
      </c>
    </row>
    <row r="2403" spans="9:10">
      <c r="I2403" t="str">
        <f>IF(OR($A2403="",$B2403=""),"",IF(COUNTIFS($A$2:$A2403,$A2403,$B$2:$B2403,$B2403)=1,1,0))</f>
        <v/>
      </c>
      <c r="J2403" t="str">
        <f t="shared" si="37"/>
        <v/>
      </c>
    </row>
    <row r="2404" spans="9:10">
      <c r="I2404" t="str">
        <f>IF(OR($A2404="",$B2404=""),"",IF(COUNTIFS($A$2:$A2404,$A2404,$B$2:$B2404,$B2404)=1,1,0))</f>
        <v/>
      </c>
      <c r="J2404" t="str">
        <f t="shared" si="37"/>
        <v/>
      </c>
    </row>
    <row r="2405" spans="9:10">
      <c r="I2405" t="str">
        <f>IF(OR($A2405="",$B2405=""),"",IF(COUNTIFS($A$2:$A2405,$A2405,$B$2:$B2405,$B2405)=1,1,0))</f>
        <v/>
      </c>
      <c r="J2405" t="str">
        <f t="shared" si="37"/>
        <v/>
      </c>
    </row>
    <row r="2406" spans="9:10">
      <c r="I2406" t="str">
        <f>IF(OR($A2406="",$B2406=""),"",IF(COUNTIFS($A$2:$A2406,$A2406,$B$2:$B2406,$B2406)=1,1,0))</f>
        <v/>
      </c>
      <c r="J2406" t="str">
        <f t="shared" si="37"/>
        <v/>
      </c>
    </row>
    <row r="2407" spans="9:10">
      <c r="I2407" t="str">
        <f>IF(OR($A2407="",$B2407=""),"",IF(COUNTIFS($A$2:$A2407,$A2407,$B$2:$B2407,$B2407)=1,1,0))</f>
        <v/>
      </c>
      <c r="J2407" t="str">
        <f t="shared" si="37"/>
        <v/>
      </c>
    </row>
    <row r="2408" spans="9:10">
      <c r="I2408" t="str">
        <f>IF(OR($A2408="",$B2408=""),"",IF(COUNTIFS($A$2:$A2408,$A2408,$B$2:$B2408,$B2408)=1,1,0))</f>
        <v/>
      </c>
      <c r="J2408" t="str">
        <f t="shared" si="37"/>
        <v/>
      </c>
    </row>
    <row r="2409" spans="9:10">
      <c r="I2409" t="str">
        <f>IF(OR($A2409="",$B2409=""),"",IF(COUNTIFS($A$2:$A2409,$A2409,$B$2:$B2409,$B2409)=1,1,0))</f>
        <v/>
      </c>
      <c r="J2409" t="str">
        <f t="shared" si="37"/>
        <v/>
      </c>
    </row>
    <row r="2410" spans="9:10">
      <c r="I2410" t="str">
        <f>IF(OR($A2410="",$B2410=""),"",IF(COUNTIFS($A$2:$A2410,$A2410,$B$2:$B2410,$B2410)=1,1,0))</f>
        <v/>
      </c>
      <c r="J2410" t="str">
        <f t="shared" si="37"/>
        <v/>
      </c>
    </row>
    <row r="2411" spans="9:10">
      <c r="I2411" t="str">
        <f>IF(OR($A2411="",$B2411=""),"",IF(COUNTIFS($A$2:$A2411,$A2411,$B$2:$B2411,$B2411)=1,1,0))</f>
        <v/>
      </c>
      <c r="J2411" t="str">
        <f t="shared" si="37"/>
        <v/>
      </c>
    </row>
    <row r="2412" spans="9:10">
      <c r="I2412" t="str">
        <f>IF(OR($A2412="",$B2412=""),"",IF(COUNTIFS($A$2:$A2412,$A2412,$B$2:$B2412,$B2412)=1,1,0))</f>
        <v/>
      </c>
      <c r="J2412" t="str">
        <f t="shared" si="37"/>
        <v/>
      </c>
    </row>
    <row r="2413" spans="9:10">
      <c r="I2413" t="str">
        <f>IF(OR($A2413="",$B2413=""),"",IF(COUNTIFS($A$2:$A2413,$A2413,$B$2:$B2413,$B2413)=1,1,0))</f>
        <v/>
      </c>
      <c r="J2413" t="str">
        <f t="shared" si="37"/>
        <v/>
      </c>
    </row>
    <row r="2414" spans="9:10">
      <c r="I2414" t="str">
        <f>IF(OR($A2414="",$B2414=""),"",IF(COUNTIFS($A$2:$A2414,$A2414,$B$2:$B2414,$B2414)=1,1,0))</f>
        <v/>
      </c>
      <c r="J2414" t="str">
        <f t="shared" si="37"/>
        <v/>
      </c>
    </row>
    <row r="2415" spans="9:10">
      <c r="I2415" t="str">
        <f>IF(OR($A2415="",$B2415=""),"",IF(COUNTIFS($A$2:$A2415,$A2415,$B$2:$B2415,$B2415)=1,1,0))</f>
        <v/>
      </c>
      <c r="J2415" t="str">
        <f t="shared" si="37"/>
        <v/>
      </c>
    </row>
    <row r="2416" spans="9:10">
      <c r="I2416" t="str">
        <f>IF(OR($A2416="",$B2416=""),"",IF(COUNTIFS($A$2:$A2416,$A2416,$B$2:$B2416,$B2416)=1,1,0))</f>
        <v/>
      </c>
      <c r="J2416" t="str">
        <f t="shared" si="37"/>
        <v/>
      </c>
    </row>
    <row r="2417" spans="9:10">
      <c r="I2417" t="str">
        <f>IF(OR($A2417="",$B2417=""),"",IF(COUNTIFS($A$2:$A2417,$A2417,$B$2:$B2417,$B2417)=1,1,0))</f>
        <v/>
      </c>
      <c r="J2417" t="str">
        <f t="shared" si="37"/>
        <v/>
      </c>
    </row>
    <row r="2418" spans="9:10">
      <c r="I2418" t="str">
        <f>IF(OR($A2418="",$B2418=""),"",IF(COUNTIFS($A$2:$A2418,$A2418,$B$2:$B2418,$B2418)=1,1,0))</f>
        <v/>
      </c>
      <c r="J2418" t="str">
        <f t="shared" si="37"/>
        <v/>
      </c>
    </row>
    <row r="2419" spans="9:10">
      <c r="I2419" t="str">
        <f>IF(OR($A2419="",$B2419=""),"",IF(COUNTIFS($A$2:$A2419,$A2419,$B$2:$B2419,$B2419)=1,1,0))</f>
        <v/>
      </c>
      <c r="J2419" t="str">
        <f t="shared" si="37"/>
        <v/>
      </c>
    </row>
    <row r="2420" spans="9:10">
      <c r="I2420" t="str">
        <f>IF(OR($A2420="",$B2420=""),"",IF(COUNTIFS($A$2:$A2420,$A2420,$B$2:$B2420,$B2420)=1,1,0))</f>
        <v/>
      </c>
      <c r="J2420" t="str">
        <f t="shared" si="37"/>
        <v/>
      </c>
    </row>
    <row r="2421" spans="9:10">
      <c r="I2421" t="str">
        <f>IF(OR($A2421="",$B2421=""),"",IF(COUNTIFS($A$2:$A2421,$A2421,$B$2:$B2421,$B2421)=1,1,0))</f>
        <v/>
      </c>
      <c r="J2421" t="str">
        <f t="shared" si="37"/>
        <v/>
      </c>
    </row>
    <row r="2422" spans="9:10">
      <c r="I2422" t="str">
        <f>IF(OR($A2422="",$B2422=""),"",IF(COUNTIFS($A$2:$A2422,$A2422,$B$2:$B2422,$B2422)=1,1,0))</f>
        <v/>
      </c>
      <c r="J2422" t="str">
        <f t="shared" si="37"/>
        <v/>
      </c>
    </row>
    <row r="2423" spans="9:10">
      <c r="I2423" t="str">
        <f>IF(OR($A2423="",$B2423=""),"",IF(COUNTIFS($A$2:$A2423,$A2423,$B$2:$B2423,$B2423)=1,1,0))</f>
        <v/>
      </c>
      <c r="J2423" t="str">
        <f t="shared" si="37"/>
        <v/>
      </c>
    </row>
    <row r="2424" spans="9:10">
      <c r="I2424" t="str">
        <f>IF(OR($A2424="",$B2424=""),"",IF(COUNTIFS($A$2:$A2424,$A2424,$B$2:$B2424,$B2424)=1,1,0))</f>
        <v/>
      </c>
      <c r="J2424" t="str">
        <f t="shared" si="37"/>
        <v/>
      </c>
    </row>
    <row r="2425" spans="9:10">
      <c r="I2425" t="str">
        <f>IF(OR($A2425="",$B2425=""),"",IF(COUNTIFS($A$2:$A2425,$A2425,$B$2:$B2425,$B2425)=1,1,0))</f>
        <v/>
      </c>
      <c r="J2425" t="str">
        <f t="shared" si="37"/>
        <v/>
      </c>
    </row>
    <row r="2426" spans="9:10">
      <c r="I2426" t="str">
        <f>IF(OR($A2426="",$B2426=""),"",IF(COUNTIFS($A$2:$A2426,$A2426,$B$2:$B2426,$B2426)=1,1,0))</f>
        <v/>
      </c>
      <c r="J2426" t="str">
        <f t="shared" si="37"/>
        <v/>
      </c>
    </row>
    <row r="2427" spans="9:10">
      <c r="I2427" t="str">
        <f>IF(OR($A2427="",$B2427=""),"",IF(COUNTIFS($A$2:$A2427,$A2427,$B$2:$B2427,$B2427)=1,1,0))</f>
        <v/>
      </c>
      <c r="J2427" t="str">
        <f t="shared" si="37"/>
        <v/>
      </c>
    </row>
    <row r="2428" spans="9:10">
      <c r="I2428" t="str">
        <f>IF(OR($A2428="",$B2428=""),"",IF(COUNTIFS($A$2:$A2428,$A2428,$B$2:$B2428,$B2428)=1,1,0))</f>
        <v/>
      </c>
      <c r="J2428" t="str">
        <f t="shared" si="37"/>
        <v/>
      </c>
    </row>
    <row r="2429" spans="9:10">
      <c r="I2429" t="str">
        <f>IF(OR($A2429="",$B2429=""),"",IF(COUNTIFS($A$2:$A2429,$A2429,$B$2:$B2429,$B2429)=1,1,0))</f>
        <v/>
      </c>
      <c r="J2429" t="str">
        <f t="shared" si="37"/>
        <v/>
      </c>
    </row>
    <row r="2430" spans="9:10">
      <c r="I2430" t="str">
        <f>IF(OR($A2430="",$B2430=""),"",IF(COUNTIFS($A$2:$A2430,$A2430,$B$2:$B2430,$B2430)=1,1,0))</f>
        <v/>
      </c>
      <c r="J2430" t="str">
        <f t="shared" si="37"/>
        <v/>
      </c>
    </row>
    <row r="2431" spans="9:10">
      <c r="I2431" t="str">
        <f>IF(OR($A2431="",$B2431=""),"",IF(COUNTIFS($A$2:$A2431,$A2431,$B$2:$B2431,$B2431)=1,1,0))</f>
        <v/>
      </c>
      <c r="J2431" t="str">
        <f t="shared" si="37"/>
        <v/>
      </c>
    </row>
    <row r="2432" spans="9:10">
      <c r="I2432" t="str">
        <f>IF(OR($A2432="",$B2432=""),"",IF(COUNTIFS($A$2:$A2432,$A2432,$B$2:$B2432,$B2432)=1,1,0))</f>
        <v/>
      </c>
      <c r="J2432" t="str">
        <f t="shared" si="37"/>
        <v/>
      </c>
    </row>
    <row r="2433" spans="9:10">
      <c r="I2433" t="str">
        <f>IF(OR($A2433="",$B2433=""),"",IF(COUNTIFS($A$2:$A2433,$A2433,$B$2:$B2433,$B2433)=1,1,0))</f>
        <v/>
      </c>
      <c r="J2433" t="str">
        <f t="shared" si="37"/>
        <v/>
      </c>
    </row>
    <row r="2434" spans="9:10">
      <c r="I2434" t="str">
        <f>IF(OR($A2434="",$B2434=""),"",IF(COUNTIFS($A$2:$A2434,$A2434,$B$2:$B2434,$B2434)=1,1,0))</f>
        <v/>
      </c>
      <c r="J2434" t="str">
        <f t="shared" ref="J2434:J2497" si="38">IF($A2434="","",ROW())</f>
        <v/>
      </c>
    </row>
    <row r="2435" spans="9:10">
      <c r="I2435" t="str">
        <f>IF(OR($A2435="",$B2435=""),"",IF(COUNTIFS($A$2:$A2435,$A2435,$B$2:$B2435,$B2435)=1,1,0))</f>
        <v/>
      </c>
      <c r="J2435" t="str">
        <f t="shared" si="38"/>
        <v/>
      </c>
    </row>
    <row r="2436" spans="9:10">
      <c r="I2436" t="str">
        <f>IF(OR($A2436="",$B2436=""),"",IF(COUNTIFS($A$2:$A2436,$A2436,$B$2:$B2436,$B2436)=1,1,0))</f>
        <v/>
      </c>
      <c r="J2436" t="str">
        <f t="shared" si="38"/>
        <v/>
      </c>
    </row>
    <row r="2437" spans="9:10">
      <c r="I2437" t="str">
        <f>IF(OR($A2437="",$B2437=""),"",IF(COUNTIFS($A$2:$A2437,$A2437,$B$2:$B2437,$B2437)=1,1,0))</f>
        <v/>
      </c>
      <c r="J2437" t="str">
        <f t="shared" si="38"/>
        <v/>
      </c>
    </row>
    <row r="2438" spans="9:10">
      <c r="I2438" t="str">
        <f>IF(OR($A2438="",$B2438=""),"",IF(COUNTIFS($A$2:$A2438,$A2438,$B$2:$B2438,$B2438)=1,1,0))</f>
        <v/>
      </c>
      <c r="J2438" t="str">
        <f t="shared" si="38"/>
        <v/>
      </c>
    </row>
    <row r="2439" spans="9:10">
      <c r="I2439" t="str">
        <f>IF(OR($A2439="",$B2439=""),"",IF(COUNTIFS($A$2:$A2439,$A2439,$B$2:$B2439,$B2439)=1,1,0))</f>
        <v/>
      </c>
      <c r="J2439" t="str">
        <f t="shared" si="38"/>
        <v/>
      </c>
    </row>
    <row r="2440" spans="9:10">
      <c r="I2440" t="str">
        <f>IF(OR($A2440="",$B2440=""),"",IF(COUNTIFS($A$2:$A2440,$A2440,$B$2:$B2440,$B2440)=1,1,0))</f>
        <v/>
      </c>
      <c r="J2440" t="str">
        <f t="shared" si="38"/>
        <v/>
      </c>
    </row>
    <row r="2441" spans="9:10">
      <c r="I2441" t="str">
        <f>IF(OR($A2441="",$B2441=""),"",IF(COUNTIFS($A$2:$A2441,$A2441,$B$2:$B2441,$B2441)=1,1,0))</f>
        <v/>
      </c>
      <c r="J2441" t="str">
        <f t="shared" si="38"/>
        <v/>
      </c>
    </row>
    <row r="2442" spans="9:10">
      <c r="I2442" t="str">
        <f>IF(OR($A2442="",$B2442=""),"",IF(COUNTIFS($A$2:$A2442,$A2442,$B$2:$B2442,$B2442)=1,1,0))</f>
        <v/>
      </c>
      <c r="J2442" t="str">
        <f t="shared" si="38"/>
        <v/>
      </c>
    </row>
    <row r="2443" spans="9:10">
      <c r="I2443" t="str">
        <f>IF(OR($A2443="",$B2443=""),"",IF(COUNTIFS($A$2:$A2443,$A2443,$B$2:$B2443,$B2443)=1,1,0))</f>
        <v/>
      </c>
      <c r="J2443" t="str">
        <f t="shared" si="38"/>
        <v/>
      </c>
    </row>
    <row r="2444" spans="9:10">
      <c r="I2444" t="str">
        <f>IF(OR($A2444="",$B2444=""),"",IF(COUNTIFS($A$2:$A2444,$A2444,$B$2:$B2444,$B2444)=1,1,0))</f>
        <v/>
      </c>
      <c r="J2444" t="str">
        <f t="shared" si="38"/>
        <v/>
      </c>
    </row>
    <row r="2445" spans="9:10">
      <c r="I2445" t="str">
        <f>IF(OR($A2445="",$B2445=""),"",IF(COUNTIFS($A$2:$A2445,$A2445,$B$2:$B2445,$B2445)=1,1,0))</f>
        <v/>
      </c>
      <c r="J2445" t="str">
        <f t="shared" si="38"/>
        <v/>
      </c>
    </row>
    <row r="2446" spans="9:10">
      <c r="I2446" t="str">
        <f>IF(OR($A2446="",$B2446=""),"",IF(COUNTIFS($A$2:$A2446,$A2446,$B$2:$B2446,$B2446)=1,1,0))</f>
        <v/>
      </c>
      <c r="J2446" t="str">
        <f t="shared" si="38"/>
        <v/>
      </c>
    </row>
    <row r="2447" spans="9:10">
      <c r="I2447" t="str">
        <f>IF(OR($A2447="",$B2447=""),"",IF(COUNTIFS($A$2:$A2447,$A2447,$B$2:$B2447,$B2447)=1,1,0))</f>
        <v/>
      </c>
      <c r="J2447" t="str">
        <f t="shared" si="38"/>
        <v/>
      </c>
    </row>
    <row r="2448" spans="9:10">
      <c r="I2448" t="str">
        <f>IF(OR($A2448="",$B2448=""),"",IF(COUNTIFS($A$2:$A2448,$A2448,$B$2:$B2448,$B2448)=1,1,0))</f>
        <v/>
      </c>
      <c r="J2448" t="str">
        <f t="shared" si="38"/>
        <v/>
      </c>
    </row>
    <row r="2449" spans="9:10">
      <c r="I2449" t="str">
        <f>IF(OR($A2449="",$B2449=""),"",IF(COUNTIFS($A$2:$A2449,$A2449,$B$2:$B2449,$B2449)=1,1,0))</f>
        <v/>
      </c>
      <c r="J2449" t="str">
        <f t="shared" si="38"/>
        <v/>
      </c>
    </row>
    <row r="2450" spans="9:10">
      <c r="I2450" t="str">
        <f>IF(OR($A2450="",$B2450=""),"",IF(COUNTIFS($A$2:$A2450,$A2450,$B$2:$B2450,$B2450)=1,1,0))</f>
        <v/>
      </c>
      <c r="J2450" t="str">
        <f t="shared" si="38"/>
        <v/>
      </c>
    </row>
    <row r="2451" spans="9:10">
      <c r="I2451" t="str">
        <f>IF(OR($A2451="",$B2451=""),"",IF(COUNTIFS($A$2:$A2451,$A2451,$B$2:$B2451,$B2451)=1,1,0))</f>
        <v/>
      </c>
      <c r="J2451" t="str">
        <f t="shared" si="38"/>
        <v/>
      </c>
    </row>
    <row r="2452" spans="9:10">
      <c r="I2452" t="str">
        <f>IF(OR($A2452="",$B2452=""),"",IF(COUNTIFS($A$2:$A2452,$A2452,$B$2:$B2452,$B2452)=1,1,0))</f>
        <v/>
      </c>
      <c r="J2452" t="str">
        <f t="shared" si="38"/>
        <v/>
      </c>
    </row>
    <row r="2453" spans="9:10">
      <c r="I2453" t="str">
        <f>IF(OR($A2453="",$B2453=""),"",IF(COUNTIFS($A$2:$A2453,$A2453,$B$2:$B2453,$B2453)=1,1,0))</f>
        <v/>
      </c>
      <c r="J2453" t="str">
        <f t="shared" si="38"/>
        <v/>
      </c>
    </row>
    <row r="2454" spans="9:10">
      <c r="I2454" t="str">
        <f>IF(OR($A2454="",$B2454=""),"",IF(COUNTIFS($A$2:$A2454,$A2454,$B$2:$B2454,$B2454)=1,1,0))</f>
        <v/>
      </c>
      <c r="J2454" t="str">
        <f t="shared" si="38"/>
        <v/>
      </c>
    </row>
    <row r="2455" spans="9:10">
      <c r="I2455" t="str">
        <f>IF(OR($A2455="",$B2455=""),"",IF(COUNTIFS($A$2:$A2455,$A2455,$B$2:$B2455,$B2455)=1,1,0))</f>
        <v/>
      </c>
      <c r="J2455" t="str">
        <f t="shared" si="38"/>
        <v/>
      </c>
    </row>
    <row r="2456" spans="9:10">
      <c r="I2456" t="str">
        <f>IF(OR($A2456="",$B2456=""),"",IF(COUNTIFS($A$2:$A2456,$A2456,$B$2:$B2456,$B2456)=1,1,0))</f>
        <v/>
      </c>
      <c r="J2456" t="str">
        <f t="shared" si="38"/>
        <v/>
      </c>
    </row>
    <row r="2457" spans="9:10">
      <c r="I2457" t="str">
        <f>IF(OR($A2457="",$B2457=""),"",IF(COUNTIFS($A$2:$A2457,$A2457,$B$2:$B2457,$B2457)=1,1,0))</f>
        <v/>
      </c>
      <c r="J2457" t="str">
        <f t="shared" si="38"/>
        <v/>
      </c>
    </row>
    <row r="2458" spans="9:10">
      <c r="I2458" t="str">
        <f>IF(OR($A2458="",$B2458=""),"",IF(COUNTIFS($A$2:$A2458,$A2458,$B$2:$B2458,$B2458)=1,1,0))</f>
        <v/>
      </c>
      <c r="J2458" t="str">
        <f t="shared" si="38"/>
        <v/>
      </c>
    </row>
    <row r="2459" spans="9:10">
      <c r="I2459" t="str">
        <f>IF(OR($A2459="",$B2459=""),"",IF(COUNTIFS($A$2:$A2459,$A2459,$B$2:$B2459,$B2459)=1,1,0))</f>
        <v/>
      </c>
      <c r="J2459" t="str">
        <f t="shared" si="38"/>
        <v/>
      </c>
    </row>
    <row r="2460" spans="9:10">
      <c r="I2460" t="str">
        <f>IF(OR($A2460="",$B2460=""),"",IF(COUNTIFS($A$2:$A2460,$A2460,$B$2:$B2460,$B2460)=1,1,0))</f>
        <v/>
      </c>
      <c r="J2460" t="str">
        <f t="shared" si="38"/>
        <v/>
      </c>
    </row>
    <row r="2461" spans="9:10">
      <c r="I2461" t="str">
        <f>IF(OR($A2461="",$B2461=""),"",IF(COUNTIFS($A$2:$A2461,$A2461,$B$2:$B2461,$B2461)=1,1,0))</f>
        <v/>
      </c>
      <c r="J2461" t="str">
        <f t="shared" si="38"/>
        <v/>
      </c>
    </row>
    <row r="2462" spans="9:10">
      <c r="I2462" t="str">
        <f>IF(OR($A2462="",$B2462=""),"",IF(COUNTIFS($A$2:$A2462,$A2462,$B$2:$B2462,$B2462)=1,1,0))</f>
        <v/>
      </c>
      <c r="J2462" t="str">
        <f t="shared" si="38"/>
        <v/>
      </c>
    </row>
    <row r="2463" spans="9:10">
      <c r="I2463" t="str">
        <f>IF(OR($A2463="",$B2463=""),"",IF(COUNTIFS($A$2:$A2463,$A2463,$B$2:$B2463,$B2463)=1,1,0))</f>
        <v/>
      </c>
      <c r="J2463" t="str">
        <f t="shared" si="38"/>
        <v/>
      </c>
    </row>
    <row r="2464" spans="9:10">
      <c r="I2464" t="str">
        <f>IF(OR($A2464="",$B2464=""),"",IF(COUNTIFS($A$2:$A2464,$A2464,$B$2:$B2464,$B2464)=1,1,0))</f>
        <v/>
      </c>
      <c r="J2464" t="str">
        <f t="shared" si="38"/>
        <v/>
      </c>
    </row>
    <row r="2465" spans="9:10">
      <c r="I2465" t="str">
        <f>IF(OR($A2465="",$B2465=""),"",IF(COUNTIFS($A$2:$A2465,$A2465,$B$2:$B2465,$B2465)=1,1,0))</f>
        <v/>
      </c>
      <c r="J2465" t="str">
        <f t="shared" si="38"/>
        <v/>
      </c>
    </row>
    <row r="2466" spans="9:10">
      <c r="I2466" t="str">
        <f>IF(OR($A2466="",$B2466=""),"",IF(COUNTIFS($A$2:$A2466,$A2466,$B$2:$B2466,$B2466)=1,1,0))</f>
        <v/>
      </c>
      <c r="J2466" t="str">
        <f t="shared" si="38"/>
        <v/>
      </c>
    </row>
    <row r="2467" spans="9:10">
      <c r="I2467" t="str">
        <f>IF(OR($A2467="",$B2467=""),"",IF(COUNTIFS($A$2:$A2467,$A2467,$B$2:$B2467,$B2467)=1,1,0))</f>
        <v/>
      </c>
      <c r="J2467" t="str">
        <f t="shared" si="38"/>
        <v/>
      </c>
    </row>
    <row r="2468" spans="9:10">
      <c r="I2468" t="str">
        <f>IF(OR($A2468="",$B2468=""),"",IF(COUNTIFS($A$2:$A2468,$A2468,$B$2:$B2468,$B2468)=1,1,0))</f>
        <v/>
      </c>
      <c r="J2468" t="str">
        <f t="shared" si="38"/>
        <v/>
      </c>
    </row>
    <row r="2469" spans="9:10">
      <c r="I2469" t="str">
        <f>IF(OR($A2469="",$B2469=""),"",IF(COUNTIFS($A$2:$A2469,$A2469,$B$2:$B2469,$B2469)=1,1,0))</f>
        <v/>
      </c>
      <c r="J2469" t="str">
        <f t="shared" si="38"/>
        <v/>
      </c>
    </row>
    <row r="2470" spans="9:10">
      <c r="I2470" t="str">
        <f>IF(OR($A2470="",$B2470=""),"",IF(COUNTIFS($A$2:$A2470,$A2470,$B$2:$B2470,$B2470)=1,1,0))</f>
        <v/>
      </c>
      <c r="J2470" t="str">
        <f t="shared" si="38"/>
        <v/>
      </c>
    </row>
    <row r="2471" spans="9:10">
      <c r="I2471" t="str">
        <f>IF(OR($A2471="",$B2471=""),"",IF(COUNTIFS($A$2:$A2471,$A2471,$B$2:$B2471,$B2471)=1,1,0))</f>
        <v/>
      </c>
      <c r="J2471" t="str">
        <f t="shared" si="38"/>
        <v/>
      </c>
    </row>
    <row r="2472" spans="9:10">
      <c r="I2472" t="str">
        <f>IF(OR($A2472="",$B2472=""),"",IF(COUNTIFS($A$2:$A2472,$A2472,$B$2:$B2472,$B2472)=1,1,0))</f>
        <v/>
      </c>
      <c r="J2472" t="str">
        <f t="shared" si="38"/>
        <v/>
      </c>
    </row>
    <row r="2473" spans="9:10">
      <c r="I2473" t="str">
        <f>IF(OR($A2473="",$B2473=""),"",IF(COUNTIFS($A$2:$A2473,$A2473,$B$2:$B2473,$B2473)=1,1,0))</f>
        <v/>
      </c>
      <c r="J2473" t="str">
        <f t="shared" si="38"/>
        <v/>
      </c>
    </row>
    <row r="2474" spans="9:10">
      <c r="I2474" t="str">
        <f>IF(OR($A2474="",$B2474=""),"",IF(COUNTIFS($A$2:$A2474,$A2474,$B$2:$B2474,$B2474)=1,1,0))</f>
        <v/>
      </c>
      <c r="J2474" t="str">
        <f t="shared" si="38"/>
        <v/>
      </c>
    </row>
    <row r="2475" spans="9:10">
      <c r="I2475" t="str">
        <f>IF(OR($A2475="",$B2475=""),"",IF(COUNTIFS($A$2:$A2475,$A2475,$B$2:$B2475,$B2475)=1,1,0))</f>
        <v/>
      </c>
      <c r="J2475" t="str">
        <f t="shared" si="38"/>
        <v/>
      </c>
    </row>
    <row r="2476" spans="9:10">
      <c r="I2476" t="str">
        <f>IF(OR($A2476="",$B2476=""),"",IF(COUNTIFS($A$2:$A2476,$A2476,$B$2:$B2476,$B2476)=1,1,0))</f>
        <v/>
      </c>
      <c r="J2476" t="str">
        <f t="shared" si="38"/>
        <v/>
      </c>
    </row>
    <row r="2477" spans="9:10">
      <c r="I2477" t="str">
        <f>IF(OR($A2477="",$B2477=""),"",IF(COUNTIFS($A$2:$A2477,$A2477,$B$2:$B2477,$B2477)=1,1,0))</f>
        <v/>
      </c>
      <c r="J2477" t="str">
        <f t="shared" si="38"/>
        <v/>
      </c>
    </row>
    <row r="2478" spans="9:10">
      <c r="I2478" t="str">
        <f>IF(OR($A2478="",$B2478=""),"",IF(COUNTIFS($A$2:$A2478,$A2478,$B$2:$B2478,$B2478)=1,1,0))</f>
        <v/>
      </c>
      <c r="J2478" t="str">
        <f t="shared" si="38"/>
        <v/>
      </c>
    </row>
    <row r="2479" spans="9:10">
      <c r="I2479" t="str">
        <f>IF(OR($A2479="",$B2479=""),"",IF(COUNTIFS($A$2:$A2479,$A2479,$B$2:$B2479,$B2479)=1,1,0))</f>
        <v/>
      </c>
      <c r="J2479" t="str">
        <f t="shared" si="38"/>
        <v/>
      </c>
    </row>
    <row r="2480" spans="9:10">
      <c r="I2480" t="str">
        <f>IF(OR($A2480="",$B2480=""),"",IF(COUNTIFS($A$2:$A2480,$A2480,$B$2:$B2480,$B2480)=1,1,0))</f>
        <v/>
      </c>
      <c r="J2480" t="str">
        <f t="shared" si="38"/>
        <v/>
      </c>
    </row>
    <row r="2481" spans="9:10">
      <c r="I2481" t="str">
        <f>IF(OR($A2481="",$B2481=""),"",IF(COUNTIFS($A$2:$A2481,$A2481,$B$2:$B2481,$B2481)=1,1,0))</f>
        <v/>
      </c>
      <c r="J2481" t="str">
        <f t="shared" si="38"/>
        <v/>
      </c>
    </row>
    <row r="2482" spans="9:10">
      <c r="I2482" t="str">
        <f>IF(OR($A2482="",$B2482=""),"",IF(COUNTIFS($A$2:$A2482,$A2482,$B$2:$B2482,$B2482)=1,1,0))</f>
        <v/>
      </c>
      <c r="J2482" t="str">
        <f t="shared" si="38"/>
        <v/>
      </c>
    </row>
    <row r="2483" spans="9:10">
      <c r="I2483" t="str">
        <f>IF(OR($A2483="",$B2483=""),"",IF(COUNTIFS($A$2:$A2483,$A2483,$B$2:$B2483,$B2483)=1,1,0))</f>
        <v/>
      </c>
      <c r="J2483" t="str">
        <f t="shared" si="38"/>
        <v/>
      </c>
    </row>
    <row r="2484" spans="9:10">
      <c r="I2484" t="str">
        <f>IF(OR($A2484="",$B2484=""),"",IF(COUNTIFS($A$2:$A2484,$A2484,$B$2:$B2484,$B2484)=1,1,0))</f>
        <v/>
      </c>
      <c r="J2484" t="str">
        <f t="shared" si="38"/>
        <v/>
      </c>
    </row>
    <row r="2485" spans="9:10">
      <c r="I2485" t="str">
        <f>IF(OR($A2485="",$B2485=""),"",IF(COUNTIFS($A$2:$A2485,$A2485,$B$2:$B2485,$B2485)=1,1,0))</f>
        <v/>
      </c>
      <c r="J2485" t="str">
        <f t="shared" si="38"/>
        <v/>
      </c>
    </row>
    <row r="2486" spans="9:10">
      <c r="I2486" t="str">
        <f>IF(OR($A2486="",$B2486=""),"",IF(COUNTIFS($A$2:$A2486,$A2486,$B$2:$B2486,$B2486)=1,1,0))</f>
        <v/>
      </c>
      <c r="J2486" t="str">
        <f t="shared" si="38"/>
        <v/>
      </c>
    </row>
    <row r="2487" spans="9:10">
      <c r="I2487" t="str">
        <f>IF(OR($A2487="",$B2487=""),"",IF(COUNTIFS($A$2:$A2487,$A2487,$B$2:$B2487,$B2487)=1,1,0))</f>
        <v/>
      </c>
      <c r="J2487" t="str">
        <f t="shared" si="38"/>
        <v/>
      </c>
    </row>
    <row r="2488" spans="9:10">
      <c r="I2488" t="str">
        <f>IF(OR($A2488="",$B2488=""),"",IF(COUNTIFS($A$2:$A2488,$A2488,$B$2:$B2488,$B2488)=1,1,0))</f>
        <v/>
      </c>
      <c r="J2488" t="str">
        <f t="shared" si="38"/>
        <v/>
      </c>
    </row>
    <row r="2489" spans="9:10">
      <c r="I2489" t="str">
        <f>IF(OR($A2489="",$B2489=""),"",IF(COUNTIFS($A$2:$A2489,$A2489,$B$2:$B2489,$B2489)=1,1,0))</f>
        <v/>
      </c>
      <c r="J2489" t="str">
        <f t="shared" si="38"/>
        <v/>
      </c>
    </row>
    <row r="2490" spans="9:10">
      <c r="I2490" t="str">
        <f>IF(OR($A2490="",$B2490=""),"",IF(COUNTIFS($A$2:$A2490,$A2490,$B$2:$B2490,$B2490)=1,1,0))</f>
        <v/>
      </c>
      <c r="J2490" t="str">
        <f t="shared" si="38"/>
        <v/>
      </c>
    </row>
    <row r="2491" spans="9:10">
      <c r="I2491" t="str">
        <f>IF(OR($A2491="",$B2491=""),"",IF(COUNTIFS($A$2:$A2491,$A2491,$B$2:$B2491,$B2491)=1,1,0))</f>
        <v/>
      </c>
      <c r="J2491" t="str">
        <f t="shared" si="38"/>
        <v/>
      </c>
    </row>
    <row r="2492" spans="9:10">
      <c r="I2492" t="str">
        <f>IF(OR($A2492="",$B2492=""),"",IF(COUNTIFS($A$2:$A2492,$A2492,$B$2:$B2492,$B2492)=1,1,0))</f>
        <v/>
      </c>
      <c r="J2492" t="str">
        <f t="shared" si="38"/>
        <v/>
      </c>
    </row>
    <row r="2493" spans="9:10">
      <c r="I2493" t="str">
        <f>IF(OR($A2493="",$B2493=""),"",IF(COUNTIFS($A$2:$A2493,$A2493,$B$2:$B2493,$B2493)=1,1,0))</f>
        <v/>
      </c>
      <c r="J2493" t="str">
        <f t="shared" si="38"/>
        <v/>
      </c>
    </row>
    <row r="2494" spans="9:10">
      <c r="I2494" t="str">
        <f>IF(OR($A2494="",$B2494=""),"",IF(COUNTIFS($A$2:$A2494,$A2494,$B$2:$B2494,$B2494)=1,1,0))</f>
        <v/>
      </c>
      <c r="J2494" t="str">
        <f t="shared" si="38"/>
        <v/>
      </c>
    </row>
    <row r="2495" spans="9:10">
      <c r="I2495" t="str">
        <f>IF(OR($A2495="",$B2495=""),"",IF(COUNTIFS($A$2:$A2495,$A2495,$B$2:$B2495,$B2495)=1,1,0))</f>
        <v/>
      </c>
      <c r="J2495" t="str">
        <f t="shared" si="38"/>
        <v/>
      </c>
    </row>
    <row r="2496" spans="9:10">
      <c r="I2496" t="str">
        <f>IF(OR($A2496="",$B2496=""),"",IF(COUNTIFS($A$2:$A2496,$A2496,$B$2:$B2496,$B2496)=1,1,0))</f>
        <v/>
      </c>
      <c r="J2496" t="str">
        <f t="shared" si="38"/>
        <v/>
      </c>
    </row>
    <row r="2497" spans="9:10">
      <c r="I2497" t="str">
        <f>IF(OR($A2497="",$B2497=""),"",IF(COUNTIFS($A$2:$A2497,$A2497,$B$2:$B2497,$B2497)=1,1,0))</f>
        <v/>
      </c>
      <c r="J2497" t="str">
        <f t="shared" si="38"/>
        <v/>
      </c>
    </row>
    <row r="2498" spans="9:10">
      <c r="I2498" t="str">
        <f>IF(OR($A2498="",$B2498=""),"",IF(COUNTIFS($A$2:$A2498,$A2498,$B$2:$B2498,$B2498)=1,1,0))</f>
        <v/>
      </c>
      <c r="J2498" t="str">
        <f t="shared" ref="J2498:J2561" si="39">IF($A2498="","",ROW())</f>
        <v/>
      </c>
    </row>
    <row r="2499" spans="9:10">
      <c r="I2499" t="str">
        <f>IF(OR($A2499="",$B2499=""),"",IF(COUNTIFS($A$2:$A2499,$A2499,$B$2:$B2499,$B2499)=1,1,0))</f>
        <v/>
      </c>
      <c r="J2499" t="str">
        <f t="shared" si="39"/>
        <v/>
      </c>
    </row>
    <row r="2500" spans="9:10">
      <c r="I2500" t="str">
        <f>IF(OR($A2500="",$B2500=""),"",IF(COUNTIFS($A$2:$A2500,$A2500,$B$2:$B2500,$B2500)=1,1,0))</f>
        <v/>
      </c>
      <c r="J2500" t="str">
        <f t="shared" si="39"/>
        <v/>
      </c>
    </row>
    <row r="2501" spans="9:10">
      <c r="I2501" t="str">
        <f>IF(OR($A2501="",$B2501=""),"",IF(COUNTIFS($A$2:$A2501,$A2501,$B$2:$B2501,$B2501)=1,1,0))</f>
        <v/>
      </c>
      <c r="J2501" t="str">
        <f t="shared" si="39"/>
        <v/>
      </c>
    </row>
    <row r="2502" spans="9:10">
      <c r="I2502" t="str">
        <f>IF(OR($A2502="",$B2502=""),"",IF(COUNTIFS($A$2:$A2502,$A2502,$B$2:$B2502,$B2502)=1,1,0))</f>
        <v/>
      </c>
      <c r="J2502" t="str">
        <f t="shared" si="39"/>
        <v/>
      </c>
    </row>
    <row r="2503" spans="9:10">
      <c r="I2503" t="str">
        <f>IF(OR($A2503="",$B2503=""),"",IF(COUNTIFS($A$2:$A2503,$A2503,$B$2:$B2503,$B2503)=1,1,0))</f>
        <v/>
      </c>
      <c r="J2503" t="str">
        <f t="shared" si="39"/>
        <v/>
      </c>
    </row>
    <row r="2504" spans="9:10">
      <c r="I2504" t="str">
        <f>IF(OR($A2504="",$B2504=""),"",IF(COUNTIFS($A$2:$A2504,$A2504,$B$2:$B2504,$B2504)=1,1,0))</f>
        <v/>
      </c>
      <c r="J2504" t="str">
        <f t="shared" si="39"/>
        <v/>
      </c>
    </row>
    <row r="2505" spans="9:10">
      <c r="I2505" t="str">
        <f>IF(OR($A2505="",$B2505=""),"",IF(COUNTIFS($A$2:$A2505,$A2505,$B$2:$B2505,$B2505)=1,1,0))</f>
        <v/>
      </c>
      <c r="J2505" t="str">
        <f t="shared" si="39"/>
        <v/>
      </c>
    </row>
    <row r="2506" spans="9:10">
      <c r="I2506" t="str">
        <f>IF(OR($A2506="",$B2506=""),"",IF(COUNTIFS($A$2:$A2506,$A2506,$B$2:$B2506,$B2506)=1,1,0))</f>
        <v/>
      </c>
      <c r="J2506" t="str">
        <f t="shared" si="39"/>
        <v/>
      </c>
    </row>
    <row r="2507" spans="9:10">
      <c r="I2507" t="str">
        <f>IF(OR($A2507="",$B2507=""),"",IF(COUNTIFS($A$2:$A2507,$A2507,$B$2:$B2507,$B2507)=1,1,0))</f>
        <v/>
      </c>
      <c r="J2507" t="str">
        <f t="shared" si="39"/>
        <v/>
      </c>
    </row>
    <row r="2508" spans="9:10">
      <c r="I2508" t="str">
        <f>IF(OR($A2508="",$B2508=""),"",IF(COUNTIFS($A$2:$A2508,$A2508,$B$2:$B2508,$B2508)=1,1,0))</f>
        <v/>
      </c>
      <c r="J2508" t="str">
        <f t="shared" si="39"/>
        <v/>
      </c>
    </row>
    <row r="2509" spans="9:10">
      <c r="I2509" t="str">
        <f>IF(OR($A2509="",$B2509=""),"",IF(COUNTIFS($A$2:$A2509,$A2509,$B$2:$B2509,$B2509)=1,1,0))</f>
        <v/>
      </c>
      <c r="J2509" t="str">
        <f t="shared" si="39"/>
        <v/>
      </c>
    </row>
    <row r="2510" spans="9:10">
      <c r="I2510" t="str">
        <f>IF(OR($A2510="",$B2510=""),"",IF(COUNTIFS($A$2:$A2510,$A2510,$B$2:$B2510,$B2510)=1,1,0))</f>
        <v/>
      </c>
      <c r="J2510" t="str">
        <f t="shared" si="39"/>
        <v/>
      </c>
    </row>
    <row r="2511" spans="9:10">
      <c r="I2511" t="str">
        <f>IF(OR($A2511="",$B2511=""),"",IF(COUNTIFS($A$2:$A2511,$A2511,$B$2:$B2511,$B2511)=1,1,0))</f>
        <v/>
      </c>
      <c r="J2511" t="str">
        <f t="shared" si="39"/>
        <v/>
      </c>
    </row>
    <row r="2512" spans="9:10">
      <c r="I2512" t="str">
        <f>IF(OR($A2512="",$B2512=""),"",IF(COUNTIFS($A$2:$A2512,$A2512,$B$2:$B2512,$B2512)=1,1,0))</f>
        <v/>
      </c>
      <c r="J2512" t="str">
        <f t="shared" si="39"/>
        <v/>
      </c>
    </row>
    <row r="2513" spans="9:10">
      <c r="I2513" t="str">
        <f>IF(OR($A2513="",$B2513=""),"",IF(COUNTIFS($A$2:$A2513,$A2513,$B$2:$B2513,$B2513)=1,1,0))</f>
        <v/>
      </c>
      <c r="J2513" t="str">
        <f t="shared" si="39"/>
        <v/>
      </c>
    </row>
    <row r="2514" spans="9:10">
      <c r="I2514" t="str">
        <f>IF(OR($A2514="",$B2514=""),"",IF(COUNTIFS($A$2:$A2514,$A2514,$B$2:$B2514,$B2514)=1,1,0))</f>
        <v/>
      </c>
      <c r="J2514" t="str">
        <f t="shared" si="39"/>
        <v/>
      </c>
    </row>
    <row r="2515" spans="9:10">
      <c r="I2515" t="str">
        <f>IF(OR($A2515="",$B2515=""),"",IF(COUNTIFS($A$2:$A2515,$A2515,$B$2:$B2515,$B2515)=1,1,0))</f>
        <v/>
      </c>
      <c r="J2515" t="str">
        <f t="shared" si="39"/>
        <v/>
      </c>
    </row>
    <row r="2516" spans="9:10">
      <c r="I2516" t="str">
        <f>IF(OR($A2516="",$B2516=""),"",IF(COUNTIFS($A$2:$A2516,$A2516,$B$2:$B2516,$B2516)=1,1,0))</f>
        <v/>
      </c>
      <c r="J2516" t="str">
        <f t="shared" si="39"/>
        <v/>
      </c>
    </row>
    <row r="2517" spans="9:10">
      <c r="I2517" t="str">
        <f>IF(OR($A2517="",$B2517=""),"",IF(COUNTIFS($A$2:$A2517,$A2517,$B$2:$B2517,$B2517)=1,1,0))</f>
        <v/>
      </c>
      <c r="J2517" t="str">
        <f t="shared" si="39"/>
        <v/>
      </c>
    </row>
    <row r="2518" spans="9:10">
      <c r="I2518" t="str">
        <f>IF(OR($A2518="",$B2518=""),"",IF(COUNTIFS($A$2:$A2518,$A2518,$B$2:$B2518,$B2518)=1,1,0))</f>
        <v/>
      </c>
      <c r="J2518" t="str">
        <f t="shared" si="39"/>
        <v/>
      </c>
    </row>
    <row r="2519" spans="9:10">
      <c r="I2519" t="str">
        <f>IF(OR($A2519="",$B2519=""),"",IF(COUNTIFS($A$2:$A2519,$A2519,$B$2:$B2519,$B2519)=1,1,0))</f>
        <v/>
      </c>
      <c r="J2519" t="str">
        <f t="shared" si="39"/>
        <v/>
      </c>
    </row>
    <row r="2520" spans="9:10">
      <c r="I2520" t="str">
        <f>IF(OR($A2520="",$B2520=""),"",IF(COUNTIFS($A$2:$A2520,$A2520,$B$2:$B2520,$B2520)=1,1,0))</f>
        <v/>
      </c>
      <c r="J2520" t="str">
        <f t="shared" si="39"/>
        <v/>
      </c>
    </row>
    <row r="2521" spans="9:10">
      <c r="I2521" t="str">
        <f>IF(OR($A2521="",$B2521=""),"",IF(COUNTIFS($A$2:$A2521,$A2521,$B$2:$B2521,$B2521)=1,1,0))</f>
        <v/>
      </c>
      <c r="J2521" t="str">
        <f t="shared" si="39"/>
        <v/>
      </c>
    </row>
    <row r="2522" spans="9:10">
      <c r="I2522" t="str">
        <f>IF(OR($A2522="",$B2522=""),"",IF(COUNTIFS($A$2:$A2522,$A2522,$B$2:$B2522,$B2522)=1,1,0))</f>
        <v/>
      </c>
      <c r="J2522" t="str">
        <f t="shared" si="39"/>
        <v/>
      </c>
    </row>
    <row r="2523" spans="9:10">
      <c r="I2523" t="str">
        <f>IF(OR($A2523="",$B2523=""),"",IF(COUNTIFS($A$2:$A2523,$A2523,$B$2:$B2523,$B2523)=1,1,0))</f>
        <v/>
      </c>
      <c r="J2523" t="str">
        <f t="shared" si="39"/>
        <v/>
      </c>
    </row>
    <row r="2524" spans="9:10">
      <c r="I2524" t="str">
        <f>IF(OR($A2524="",$B2524=""),"",IF(COUNTIFS($A$2:$A2524,$A2524,$B$2:$B2524,$B2524)=1,1,0))</f>
        <v/>
      </c>
      <c r="J2524" t="str">
        <f t="shared" si="39"/>
        <v/>
      </c>
    </row>
    <row r="2525" spans="9:10">
      <c r="I2525" t="str">
        <f>IF(OR($A2525="",$B2525=""),"",IF(COUNTIFS($A$2:$A2525,$A2525,$B$2:$B2525,$B2525)=1,1,0))</f>
        <v/>
      </c>
      <c r="J2525" t="str">
        <f t="shared" si="39"/>
        <v/>
      </c>
    </row>
    <row r="2526" spans="9:10">
      <c r="I2526" t="str">
        <f>IF(OR($A2526="",$B2526=""),"",IF(COUNTIFS($A$2:$A2526,$A2526,$B$2:$B2526,$B2526)=1,1,0))</f>
        <v/>
      </c>
      <c r="J2526" t="str">
        <f t="shared" si="39"/>
        <v/>
      </c>
    </row>
    <row r="2527" spans="9:10">
      <c r="I2527" t="str">
        <f>IF(OR($A2527="",$B2527=""),"",IF(COUNTIFS($A$2:$A2527,$A2527,$B$2:$B2527,$B2527)=1,1,0))</f>
        <v/>
      </c>
      <c r="J2527" t="str">
        <f t="shared" si="39"/>
        <v/>
      </c>
    </row>
    <row r="2528" spans="9:10">
      <c r="I2528" t="str">
        <f>IF(OR($A2528="",$B2528=""),"",IF(COUNTIFS($A$2:$A2528,$A2528,$B$2:$B2528,$B2528)=1,1,0))</f>
        <v/>
      </c>
      <c r="J2528" t="str">
        <f t="shared" si="39"/>
        <v/>
      </c>
    </row>
    <row r="2529" spans="9:10">
      <c r="I2529" t="str">
        <f>IF(OR($A2529="",$B2529=""),"",IF(COUNTIFS($A$2:$A2529,$A2529,$B$2:$B2529,$B2529)=1,1,0))</f>
        <v/>
      </c>
      <c r="J2529" t="str">
        <f t="shared" si="39"/>
        <v/>
      </c>
    </row>
    <row r="2530" spans="9:10">
      <c r="I2530" t="str">
        <f>IF(OR($A2530="",$B2530=""),"",IF(COUNTIFS($A$2:$A2530,$A2530,$B$2:$B2530,$B2530)=1,1,0))</f>
        <v/>
      </c>
      <c r="J2530" t="str">
        <f t="shared" si="39"/>
        <v/>
      </c>
    </row>
    <row r="2531" spans="9:10">
      <c r="I2531" t="str">
        <f>IF(OR($A2531="",$B2531=""),"",IF(COUNTIFS($A$2:$A2531,$A2531,$B$2:$B2531,$B2531)=1,1,0))</f>
        <v/>
      </c>
      <c r="J2531" t="str">
        <f t="shared" si="39"/>
        <v/>
      </c>
    </row>
    <row r="2532" spans="9:10">
      <c r="I2532" t="str">
        <f>IF(OR($A2532="",$B2532=""),"",IF(COUNTIFS($A$2:$A2532,$A2532,$B$2:$B2532,$B2532)=1,1,0))</f>
        <v/>
      </c>
      <c r="J2532" t="str">
        <f t="shared" si="39"/>
        <v/>
      </c>
    </row>
    <row r="2533" spans="9:10">
      <c r="I2533" t="str">
        <f>IF(OR($A2533="",$B2533=""),"",IF(COUNTIFS($A$2:$A2533,$A2533,$B$2:$B2533,$B2533)=1,1,0))</f>
        <v/>
      </c>
      <c r="J2533" t="str">
        <f t="shared" si="39"/>
        <v/>
      </c>
    </row>
    <row r="2534" spans="9:10">
      <c r="I2534" t="str">
        <f>IF(OR($A2534="",$B2534=""),"",IF(COUNTIFS($A$2:$A2534,$A2534,$B$2:$B2534,$B2534)=1,1,0))</f>
        <v/>
      </c>
      <c r="J2534" t="str">
        <f t="shared" si="39"/>
        <v/>
      </c>
    </row>
    <row r="2535" spans="9:10">
      <c r="I2535" t="str">
        <f>IF(OR($A2535="",$B2535=""),"",IF(COUNTIFS($A$2:$A2535,$A2535,$B$2:$B2535,$B2535)=1,1,0))</f>
        <v/>
      </c>
      <c r="J2535" t="str">
        <f t="shared" si="39"/>
        <v/>
      </c>
    </row>
    <row r="2536" spans="9:10">
      <c r="I2536" t="str">
        <f>IF(OR($A2536="",$B2536=""),"",IF(COUNTIFS($A$2:$A2536,$A2536,$B$2:$B2536,$B2536)=1,1,0))</f>
        <v/>
      </c>
      <c r="J2536" t="str">
        <f t="shared" si="39"/>
        <v/>
      </c>
    </row>
    <row r="2537" spans="9:10">
      <c r="I2537" t="str">
        <f>IF(OR($A2537="",$B2537=""),"",IF(COUNTIFS($A$2:$A2537,$A2537,$B$2:$B2537,$B2537)=1,1,0))</f>
        <v/>
      </c>
      <c r="J2537" t="str">
        <f t="shared" si="39"/>
        <v/>
      </c>
    </row>
    <row r="2538" spans="9:10">
      <c r="I2538" t="str">
        <f>IF(OR($A2538="",$B2538=""),"",IF(COUNTIFS($A$2:$A2538,$A2538,$B$2:$B2538,$B2538)=1,1,0))</f>
        <v/>
      </c>
      <c r="J2538" t="str">
        <f t="shared" si="39"/>
        <v/>
      </c>
    </row>
    <row r="2539" spans="9:10">
      <c r="I2539" t="str">
        <f>IF(OR($A2539="",$B2539=""),"",IF(COUNTIFS($A$2:$A2539,$A2539,$B$2:$B2539,$B2539)=1,1,0))</f>
        <v/>
      </c>
      <c r="J2539" t="str">
        <f t="shared" si="39"/>
        <v/>
      </c>
    </row>
    <row r="2540" spans="9:10">
      <c r="I2540" t="str">
        <f>IF(OR($A2540="",$B2540=""),"",IF(COUNTIFS($A$2:$A2540,$A2540,$B$2:$B2540,$B2540)=1,1,0))</f>
        <v/>
      </c>
      <c r="J2540" t="str">
        <f t="shared" si="39"/>
        <v/>
      </c>
    </row>
    <row r="2541" spans="9:10">
      <c r="I2541" t="str">
        <f>IF(OR($A2541="",$B2541=""),"",IF(COUNTIFS($A$2:$A2541,$A2541,$B$2:$B2541,$B2541)=1,1,0))</f>
        <v/>
      </c>
      <c r="J2541" t="str">
        <f t="shared" si="39"/>
        <v/>
      </c>
    </row>
    <row r="2542" spans="9:10">
      <c r="I2542" t="str">
        <f>IF(OR($A2542="",$B2542=""),"",IF(COUNTIFS($A$2:$A2542,$A2542,$B$2:$B2542,$B2542)=1,1,0))</f>
        <v/>
      </c>
      <c r="J2542" t="str">
        <f t="shared" si="39"/>
        <v/>
      </c>
    </row>
    <row r="2543" spans="9:10">
      <c r="I2543" t="str">
        <f>IF(OR($A2543="",$B2543=""),"",IF(COUNTIFS($A$2:$A2543,$A2543,$B$2:$B2543,$B2543)=1,1,0))</f>
        <v/>
      </c>
      <c r="J2543" t="str">
        <f t="shared" si="39"/>
        <v/>
      </c>
    </row>
    <row r="2544" spans="9:10">
      <c r="I2544" t="str">
        <f>IF(OR($A2544="",$B2544=""),"",IF(COUNTIFS($A$2:$A2544,$A2544,$B$2:$B2544,$B2544)=1,1,0))</f>
        <v/>
      </c>
      <c r="J2544" t="str">
        <f t="shared" si="39"/>
        <v/>
      </c>
    </row>
    <row r="2545" spans="9:10">
      <c r="I2545" t="str">
        <f>IF(OR($A2545="",$B2545=""),"",IF(COUNTIFS($A$2:$A2545,$A2545,$B$2:$B2545,$B2545)=1,1,0))</f>
        <v/>
      </c>
      <c r="J2545" t="str">
        <f t="shared" si="39"/>
        <v/>
      </c>
    </row>
    <row r="2546" spans="9:10">
      <c r="I2546" t="str">
        <f>IF(OR($A2546="",$B2546=""),"",IF(COUNTIFS($A$2:$A2546,$A2546,$B$2:$B2546,$B2546)=1,1,0))</f>
        <v/>
      </c>
      <c r="J2546" t="str">
        <f t="shared" si="39"/>
        <v/>
      </c>
    </row>
    <row r="2547" spans="9:10">
      <c r="I2547" t="str">
        <f>IF(OR($A2547="",$B2547=""),"",IF(COUNTIFS($A$2:$A2547,$A2547,$B$2:$B2547,$B2547)=1,1,0))</f>
        <v/>
      </c>
      <c r="J2547" t="str">
        <f t="shared" si="39"/>
        <v/>
      </c>
    </row>
    <row r="2548" spans="9:10">
      <c r="I2548" t="str">
        <f>IF(OR($A2548="",$B2548=""),"",IF(COUNTIFS($A$2:$A2548,$A2548,$B$2:$B2548,$B2548)=1,1,0))</f>
        <v/>
      </c>
      <c r="J2548" t="str">
        <f t="shared" si="39"/>
        <v/>
      </c>
    </row>
    <row r="2549" spans="9:10">
      <c r="I2549" t="str">
        <f>IF(OR($A2549="",$B2549=""),"",IF(COUNTIFS($A$2:$A2549,$A2549,$B$2:$B2549,$B2549)=1,1,0))</f>
        <v/>
      </c>
      <c r="J2549" t="str">
        <f t="shared" si="39"/>
        <v/>
      </c>
    </row>
    <row r="2550" spans="9:10">
      <c r="I2550" t="str">
        <f>IF(OR($A2550="",$B2550=""),"",IF(COUNTIFS($A$2:$A2550,$A2550,$B$2:$B2550,$B2550)=1,1,0))</f>
        <v/>
      </c>
      <c r="J2550" t="str">
        <f t="shared" si="39"/>
        <v/>
      </c>
    </row>
    <row r="2551" spans="9:10">
      <c r="I2551" t="str">
        <f>IF(OR($A2551="",$B2551=""),"",IF(COUNTIFS($A$2:$A2551,$A2551,$B$2:$B2551,$B2551)=1,1,0))</f>
        <v/>
      </c>
      <c r="J2551" t="str">
        <f t="shared" si="39"/>
        <v/>
      </c>
    </row>
    <row r="2552" spans="9:10">
      <c r="I2552" t="str">
        <f>IF(OR($A2552="",$B2552=""),"",IF(COUNTIFS($A$2:$A2552,$A2552,$B$2:$B2552,$B2552)=1,1,0))</f>
        <v/>
      </c>
      <c r="J2552" t="str">
        <f t="shared" si="39"/>
        <v/>
      </c>
    </row>
    <row r="2553" spans="9:10">
      <c r="I2553" t="str">
        <f>IF(OR($A2553="",$B2553=""),"",IF(COUNTIFS($A$2:$A2553,$A2553,$B$2:$B2553,$B2553)=1,1,0))</f>
        <v/>
      </c>
      <c r="J2553" t="str">
        <f t="shared" si="39"/>
        <v/>
      </c>
    </row>
    <row r="2554" spans="9:10">
      <c r="I2554" t="str">
        <f>IF(OR($A2554="",$B2554=""),"",IF(COUNTIFS($A$2:$A2554,$A2554,$B$2:$B2554,$B2554)=1,1,0))</f>
        <v/>
      </c>
      <c r="J2554" t="str">
        <f t="shared" si="39"/>
        <v/>
      </c>
    </row>
    <row r="2555" spans="9:10">
      <c r="I2555" t="str">
        <f>IF(OR($A2555="",$B2555=""),"",IF(COUNTIFS($A$2:$A2555,$A2555,$B$2:$B2555,$B2555)=1,1,0))</f>
        <v/>
      </c>
      <c r="J2555" t="str">
        <f t="shared" si="39"/>
        <v/>
      </c>
    </row>
    <row r="2556" spans="9:10">
      <c r="I2556" t="str">
        <f>IF(OR($A2556="",$B2556=""),"",IF(COUNTIFS($A$2:$A2556,$A2556,$B$2:$B2556,$B2556)=1,1,0))</f>
        <v/>
      </c>
      <c r="J2556" t="str">
        <f t="shared" si="39"/>
        <v/>
      </c>
    </row>
    <row r="2557" spans="9:10">
      <c r="I2557" t="str">
        <f>IF(OR($A2557="",$B2557=""),"",IF(COUNTIFS($A$2:$A2557,$A2557,$B$2:$B2557,$B2557)=1,1,0))</f>
        <v/>
      </c>
      <c r="J2557" t="str">
        <f t="shared" si="39"/>
        <v/>
      </c>
    </row>
    <row r="2558" spans="9:10">
      <c r="I2558" t="str">
        <f>IF(OR($A2558="",$B2558=""),"",IF(COUNTIFS($A$2:$A2558,$A2558,$B$2:$B2558,$B2558)=1,1,0))</f>
        <v/>
      </c>
      <c r="J2558" t="str">
        <f t="shared" si="39"/>
        <v/>
      </c>
    </row>
    <row r="2559" spans="9:10">
      <c r="I2559" t="str">
        <f>IF(OR($A2559="",$B2559=""),"",IF(COUNTIFS($A$2:$A2559,$A2559,$B$2:$B2559,$B2559)=1,1,0))</f>
        <v/>
      </c>
      <c r="J2559" t="str">
        <f t="shared" si="39"/>
        <v/>
      </c>
    </row>
    <row r="2560" spans="9:10">
      <c r="I2560" t="str">
        <f>IF(OR($A2560="",$B2560=""),"",IF(COUNTIFS($A$2:$A2560,$A2560,$B$2:$B2560,$B2560)=1,1,0))</f>
        <v/>
      </c>
      <c r="J2560" t="str">
        <f t="shared" si="39"/>
        <v/>
      </c>
    </row>
    <row r="2561" spans="9:10">
      <c r="I2561" t="str">
        <f>IF(OR($A2561="",$B2561=""),"",IF(COUNTIFS($A$2:$A2561,$A2561,$B$2:$B2561,$B2561)=1,1,0))</f>
        <v/>
      </c>
      <c r="J2561" t="str">
        <f t="shared" si="39"/>
        <v/>
      </c>
    </row>
    <row r="2562" spans="9:10">
      <c r="I2562" t="str">
        <f>IF(OR($A2562="",$B2562=""),"",IF(COUNTIFS($A$2:$A2562,$A2562,$B$2:$B2562,$B2562)=1,1,0))</f>
        <v/>
      </c>
      <c r="J2562" t="str">
        <f t="shared" ref="J2562:J2625" si="40">IF($A2562="","",ROW())</f>
        <v/>
      </c>
    </row>
    <row r="2563" spans="9:10">
      <c r="I2563" t="str">
        <f>IF(OR($A2563="",$B2563=""),"",IF(COUNTIFS($A$2:$A2563,$A2563,$B$2:$B2563,$B2563)=1,1,0))</f>
        <v/>
      </c>
      <c r="J2563" t="str">
        <f t="shared" si="40"/>
        <v/>
      </c>
    </row>
    <row r="2564" spans="9:10">
      <c r="I2564" t="str">
        <f>IF(OR($A2564="",$B2564=""),"",IF(COUNTIFS($A$2:$A2564,$A2564,$B$2:$B2564,$B2564)=1,1,0))</f>
        <v/>
      </c>
      <c r="J2564" t="str">
        <f t="shared" si="40"/>
        <v/>
      </c>
    </row>
    <row r="2565" spans="9:10">
      <c r="I2565" t="str">
        <f>IF(OR($A2565="",$B2565=""),"",IF(COUNTIFS($A$2:$A2565,$A2565,$B$2:$B2565,$B2565)=1,1,0))</f>
        <v/>
      </c>
      <c r="J2565" t="str">
        <f t="shared" si="40"/>
        <v/>
      </c>
    </row>
    <row r="2566" spans="9:10">
      <c r="I2566" t="str">
        <f>IF(OR($A2566="",$B2566=""),"",IF(COUNTIFS($A$2:$A2566,$A2566,$B$2:$B2566,$B2566)=1,1,0))</f>
        <v/>
      </c>
      <c r="J2566" t="str">
        <f t="shared" si="40"/>
        <v/>
      </c>
    </row>
    <row r="2567" spans="9:10">
      <c r="I2567" t="str">
        <f>IF(OR($A2567="",$B2567=""),"",IF(COUNTIFS($A$2:$A2567,$A2567,$B$2:$B2567,$B2567)=1,1,0))</f>
        <v/>
      </c>
      <c r="J2567" t="str">
        <f t="shared" si="40"/>
        <v/>
      </c>
    </row>
    <row r="2568" spans="9:10">
      <c r="I2568" t="str">
        <f>IF(OR($A2568="",$B2568=""),"",IF(COUNTIFS($A$2:$A2568,$A2568,$B$2:$B2568,$B2568)=1,1,0))</f>
        <v/>
      </c>
      <c r="J2568" t="str">
        <f t="shared" si="40"/>
        <v/>
      </c>
    </row>
    <row r="2569" spans="9:10">
      <c r="I2569" t="str">
        <f>IF(OR($A2569="",$B2569=""),"",IF(COUNTIFS($A$2:$A2569,$A2569,$B$2:$B2569,$B2569)=1,1,0))</f>
        <v/>
      </c>
      <c r="J2569" t="str">
        <f t="shared" si="40"/>
        <v/>
      </c>
    </row>
    <row r="2570" spans="9:10">
      <c r="I2570" t="str">
        <f>IF(OR($A2570="",$B2570=""),"",IF(COUNTIFS($A$2:$A2570,$A2570,$B$2:$B2570,$B2570)=1,1,0))</f>
        <v/>
      </c>
      <c r="J2570" t="str">
        <f t="shared" si="40"/>
        <v/>
      </c>
    </row>
    <row r="2571" spans="9:10">
      <c r="I2571" t="str">
        <f>IF(OR($A2571="",$B2571=""),"",IF(COUNTIFS($A$2:$A2571,$A2571,$B$2:$B2571,$B2571)=1,1,0))</f>
        <v/>
      </c>
      <c r="J2571" t="str">
        <f t="shared" si="40"/>
        <v/>
      </c>
    </row>
    <row r="2572" spans="9:10">
      <c r="I2572" t="str">
        <f>IF(OR($A2572="",$B2572=""),"",IF(COUNTIFS($A$2:$A2572,$A2572,$B$2:$B2572,$B2572)=1,1,0))</f>
        <v/>
      </c>
      <c r="J2572" t="str">
        <f t="shared" si="40"/>
        <v/>
      </c>
    </row>
    <row r="2573" spans="9:10">
      <c r="I2573" t="str">
        <f>IF(OR($A2573="",$B2573=""),"",IF(COUNTIFS($A$2:$A2573,$A2573,$B$2:$B2573,$B2573)=1,1,0))</f>
        <v/>
      </c>
      <c r="J2573" t="str">
        <f t="shared" si="40"/>
        <v/>
      </c>
    </row>
    <row r="2574" spans="9:10">
      <c r="I2574" t="str">
        <f>IF(OR($A2574="",$B2574=""),"",IF(COUNTIFS($A$2:$A2574,$A2574,$B$2:$B2574,$B2574)=1,1,0))</f>
        <v/>
      </c>
      <c r="J2574" t="str">
        <f t="shared" si="40"/>
        <v/>
      </c>
    </row>
    <row r="2575" spans="9:10">
      <c r="I2575" t="str">
        <f>IF(OR($A2575="",$B2575=""),"",IF(COUNTIFS($A$2:$A2575,$A2575,$B$2:$B2575,$B2575)=1,1,0))</f>
        <v/>
      </c>
      <c r="J2575" t="str">
        <f t="shared" si="40"/>
        <v/>
      </c>
    </row>
    <row r="2576" spans="9:10">
      <c r="I2576" t="str">
        <f>IF(OR($A2576="",$B2576=""),"",IF(COUNTIFS($A$2:$A2576,$A2576,$B$2:$B2576,$B2576)=1,1,0))</f>
        <v/>
      </c>
      <c r="J2576" t="str">
        <f t="shared" si="40"/>
        <v/>
      </c>
    </row>
    <row r="2577" spans="9:10">
      <c r="I2577" t="str">
        <f>IF(OR($A2577="",$B2577=""),"",IF(COUNTIFS($A$2:$A2577,$A2577,$B$2:$B2577,$B2577)=1,1,0))</f>
        <v/>
      </c>
      <c r="J2577" t="str">
        <f t="shared" si="40"/>
        <v/>
      </c>
    </row>
    <row r="2578" spans="9:10">
      <c r="I2578" t="str">
        <f>IF(OR($A2578="",$B2578=""),"",IF(COUNTIFS($A$2:$A2578,$A2578,$B$2:$B2578,$B2578)=1,1,0))</f>
        <v/>
      </c>
      <c r="J2578" t="str">
        <f t="shared" si="40"/>
        <v/>
      </c>
    </row>
    <row r="2579" spans="9:10">
      <c r="I2579" t="str">
        <f>IF(OR($A2579="",$B2579=""),"",IF(COUNTIFS($A$2:$A2579,$A2579,$B$2:$B2579,$B2579)=1,1,0))</f>
        <v/>
      </c>
      <c r="J2579" t="str">
        <f t="shared" si="40"/>
        <v/>
      </c>
    </row>
    <row r="2580" spans="9:10">
      <c r="I2580" t="str">
        <f>IF(OR($A2580="",$B2580=""),"",IF(COUNTIFS($A$2:$A2580,$A2580,$B$2:$B2580,$B2580)=1,1,0))</f>
        <v/>
      </c>
      <c r="J2580" t="str">
        <f t="shared" si="40"/>
        <v/>
      </c>
    </row>
    <row r="2581" spans="9:10">
      <c r="I2581" t="str">
        <f>IF(OR($A2581="",$B2581=""),"",IF(COUNTIFS($A$2:$A2581,$A2581,$B$2:$B2581,$B2581)=1,1,0))</f>
        <v/>
      </c>
      <c r="J2581" t="str">
        <f t="shared" si="40"/>
        <v/>
      </c>
    </row>
    <row r="2582" spans="9:10">
      <c r="I2582" t="str">
        <f>IF(OR($A2582="",$B2582=""),"",IF(COUNTIFS($A$2:$A2582,$A2582,$B$2:$B2582,$B2582)=1,1,0))</f>
        <v/>
      </c>
      <c r="J2582" t="str">
        <f t="shared" si="40"/>
        <v/>
      </c>
    </row>
    <row r="2583" spans="9:10">
      <c r="I2583" t="str">
        <f>IF(OR($A2583="",$B2583=""),"",IF(COUNTIFS($A$2:$A2583,$A2583,$B$2:$B2583,$B2583)=1,1,0))</f>
        <v/>
      </c>
      <c r="J2583" t="str">
        <f t="shared" si="40"/>
        <v/>
      </c>
    </row>
    <row r="2584" spans="9:10">
      <c r="I2584" t="str">
        <f>IF(OR($A2584="",$B2584=""),"",IF(COUNTIFS($A$2:$A2584,$A2584,$B$2:$B2584,$B2584)=1,1,0))</f>
        <v/>
      </c>
      <c r="J2584" t="str">
        <f t="shared" si="40"/>
        <v/>
      </c>
    </row>
    <row r="2585" spans="9:10">
      <c r="I2585" t="str">
        <f>IF(OR($A2585="",$B2585=""),"",IF(COUNTIFS($A$2:$A2585,$A2585,$B$2:$B2585,$B2585)=1,1,0))</f>
        <v/>
      </c>
      <c r="J2585" t="str">
        <f t="shared" si="40"/>
        <v/>
      </c>
    </row>
    <row r="2586" spans="9:10">
      <c r="I2586" t="str">
        <f>IF(OR($A2586="",$B2586=""),"",IF(COUNTIFS($A$2:$A2586,$A2586,$B$2:$B2586,$B2586)=1,1,0))</f>
        <v/>
      </c>
      <c r="J2586" t="str">
        <f t="shared" si="40"/>
        <v/>
      </c>
    </row>
    <row r="2587" spans="9:10">
      <c r="I2587" t="str">
        <f>IF(OR($A2587="",$B2587=""),"",IF(COUNTIFS($A$2:$A2587,$A2587,$B$2:$B2587,$B2587)=1,1,0))</f>
        <v/>
      </c>
      <c r="J2587" t="str">
        <f t="shared" si="40"/>
        <v/>
      </c>
    </row>
    <row r="2588" spans="9:10">
      <c r="I2588" t="str">
        <f>IF(OR($A2588="",$B2588=""),"",IF(COUNTIFS($A$2:$A2588,$A2588,$B$2:$B2588,$B2588)=1,1,0))</f>
        <v/>
      </c>
      <c r="J2588" t="str">
        <f t="shared" si="40"/>
        <v/>
      </c>
    </row>
    <row r="2589" spans="9:10">
      <c r="I2589" t="str">
        <f>IF(OR($A2589="",$B2589=""),"",IF(COUNTIFS($A$2:$A2589,$A2589,$B$2:$B2589,$B2589)=1,1,0))</f>
        <v/>
      </c>
      <c r="J2589" t="str">
        <f t="shared" si="40"/>
        <v/>
      </c>
    </row>
    <row r="2590" spans="9:10">
      <c r="I2590" t="str">
        <f>IF(OR($A2590="",$B2590=""),"",IF(COUNTIFS($A$2:$A2590,$A2590,$B$2:$B2590,$B2590)=1,1,0))</f>
        <v/>
      </c>
      <c r="J2590" t="str">
        <f t="shared" si="40"/>
        <v/>
      </c>
    </row>
    <row r="2591" spans="9:10">
      <c r="I2591" t="str">
        <f>IF(OR($A2591="",$B2591=""),"",IF(COUNTIFS($A$2:$A2591,$A2591,$B$2:$B2591,$B2591)=1,1,0))</f>
        <v/>
      </c>
      <c r="J2591" t="str">
        <f t="shared" si="40"/>
        <v/>
      </c>
    </row>
    <row r="2592" spans="9:10">
      <c r="I2592" t="str">
        <f>IF(OR($A2592="",$B2592=""),"",IF(COUNTIFS($A$2:$A2592,$A2592,$B$2:$B2592,$B2592)=1,1,0))</f>
        <v/>
      </c>
      <c r="J2592" t="str">
        <f t="shared" si="40"/>
        <v/>
      </c>
    </row>
    <row r="2593" spans="9:10">
      <c r="I2593" t="str">
        <f>IF(OR($A2593="",$B2593=""),"",IF(COUNTIFS($A$2:$A2593,$A2593,$B$2:$B2593,$B2593)=1,1,0))</f>
        <v/>
      </c>
      <c r="J2593" t="str">
        <f t="shared" si="40"/>
        <v/>
      </c>
    </row>
    <row r="2594" spans="9:10">
      <c r="I2594" t="str">
        <f>IF(OR($A2594="",$B2594=""),"",IF(COUNTIFS($A$2:$A2594,$A2594,$B$2:$B2594,$B2594)=1,1,0))</f>
        <v/>
      </c>
      <c r="J2594" t="str">
        <f t="shared" si="40"/>
        <v/>
      </c>
    </row>
    <row r="2595" spans="9:10">
      <c r="I2595" t="str">
        <f>IF(OR($A2595="",$B2595=""),"",IF(COUNTIFS($A$2:$A2595,$A2595,$B$2:$B2595,$B2595)=1,1,0))</f>
        <v/>
      </c>
      <c r="J2595" t="str">
        <f t="shared" si="40"/>
        <v/>
      </c>
    </row>
    <row r="2596" spans="9:10">
      <c r="I2596" t="str">
        <f>IF(OR($A2596="",$B2596=""),"",IF(COUNTIFS($A$2:$A2596,$A2596,$B$2:$B2596,$B2596)=1,1,0))</f>
        <v/>
      </c>
      <c r="J2596" t="str">
        <f t="shared" si="40"/>
        <v/>
      </c>
    </row>
    <row r="2597" spans="9:10">
      <c r="I2597" t="str">
        <f>IF(OR($A2597="",$B2597=""),"",IF(COUNTIFS($A$2:$A2597,$A2597,$B$2:$B2597,$B2597)=1,1,0))</f>
        <v/>
      </c>
      <c r="J2597" t="str">
        <f t="shared" si="40"/>
        <v/>
      </c>
    </row>
    <row r="2598" spans="9:10">
      <c r="I2598" t="str">
        <f>IF(OR($A2598="",$B2598=""),"",IF(COUNTIFS($A$2:$A2598,$A2598,$B$2:$B2598,$B2598)=1,1,0))</f>
        <v/>
      </c>
      <c r="J2598" t="str">
        <f t="shared" si="40"/>
        <v/>
      </c>
    </row>
    <row r="2599" spans="9:10">
      <c r="I2599" t="str">
        <f>IF(OR($A2599="",$B2599=""),"",IF(COUNTIFS($A$2:$A2599,$A2599,$B$2:$B2599,$B2599)=1,1,0))</f>
        <v/>
      </c>
      <c r="J2599" t="str">
        <f t="shared" si="40"/>
        <v/>
      </c>
    </row>
    <row r="2600" spans="9:10">
      <c r="I2600" t="str">
        <f>IF(OR($A2600="",$B2600=""),"",IF(COUNTIFS($A$2:$A2600,$A2600,$B$2:$B2600,$B2600)=1,1,0))</f>
        <v/>
      </c>
      <c r="J2600" t="str">
        <f t="shared" si="40"/>
        <v/>
      </c>
    </row>
    <row r="2601" spans="9:10">
      <c r="I2601" t="str">
        <f>IF(OR($A2601="",$B2601=""),"",IF(COUNTIFS($A$2:$A2601,$A2601,$B$2:$B2601,$B2601)=1,1,0))</f>
        <v/>
      </c>
      <c r="J2601" t="str">
        <f t="shared" si="40"/>
        <v/>
      </c>
    </row>
    <row r="2602" spans="9:10">
      <c r="I2602" t="str">
        <f>IF(OR($A2602="",$B2602=""),"",IF(COUNTIFS($A$2:$A2602,$A2602,$B$2:$B2602,$B2602)=1,1,0))</f>
        <v/>
      </c>
      <c r="J2602" t="str">
        <f t="shared" si="40"/>
        <v/>
      </c>
    </row>
    <row r="2603" spans="9:10">
      <c r="I2603" t="str">
        <f>IF(OR($A2603="",$B2603=""),"",IF(COUNTIFS($A$2:$A2603,$A2603,$B$2:$B2603,$B2603)=1,1,0))</f>
        <v/>
      </c>
      <c r="J2603" t="str">
        <f t="shared" si="40"/>
        <v/>
      </c>
    </row>
    <row r="2604" spans="9:10">
      <c r="I2604" t="str">
        <f>IF(OR($A2604="",$B2604=""),"",IF(COUNTIFS($A$2:$A2604,$A2604,$B$2:$B2604,$B2604)=1,1,0))</f>
        <v/>
      </c>
      <c r="J2604" t="str">
        <f t="shared" si="40"/>
        <v/>
      </c>
    </row>
    <row r="2605" spans="9:10">
      <c r="I2605" t="str">
        <f>IF(OR($A2605="",$B2605=""),"",IF(COUNTIFS($A$2:$A2605,$A2605,$B$2:$B2605,$B2605)=1,1,0))</f>
        <v/>
      </c>
      <c r="J2605" t="str">
        <f t="shared" si="40"/>
        <v/>
      </c>
    </row>
    <row r="2606" spans="9:10">
      <c r="I2606" t="str">
        <f>IF(OR($A2606="",$B2606=""),"",IF(COUNTIFS($A$2:$A2606,$A2606,$B$2:$B2606,$B2606)=1,1,0))</f>
        <v/>
      </c>
      <c r="J2606" t="str">
        <f t="shared" si="40"/>
        <v/>
      </c>
    </row>
    <row r="2607" spans="9:10">
      <c r="I2607" t="str">
        <f>IF(OR($A2607="",$B2607=""),"",IF(COUNTIFS($A$2:$A2607,$A2607,$B$2:$B2607,$B2607)=1,1,0))</f>
        <v/>
      </c>
      <c r="J2607" t="str">
        <f t="shared" si="40"/>
        <v/>
      </c>
    </row>
    <row r="2608" spans="9:10">
      <c r="I2608" t="str">
        <f>IF(OR($A2608="",$B2608=""),"",IF(COUNTIFS($A$2:$A2608,$A2608,$B$2:$B2608,$B2608)=1,1,0))</f>
        <v/>
      </c>
      <c r="J2608" t="str">
        <f t="shared" si="40"/>
        <v/>
      </c>
    </row>
    <row r="2609" spans="9:10">
      <c r="I2609" t="str">
        <f>IF(OR($A2609="",$B2609=""),"",IF(COUNTIFS($A$2:$A2609,$A2609,$B$2:$B2609,$B2609)=1,1,0))</f>
        <v/>
      </c>
      <c r="J2609" t="str">
        <f t="shared" si="40"/>
        <v/>
      </c>
    </row>
    <row r="2610" spans="9:10">
      <c r="I2610" t="str">
        <f>IF(OR($A2610="",$B2610=""),"",IF(COUNTIFS($A$2:$A2610,$A2610,$B$2:$B2610,$B2610)=1,1,0))</f>
        <v/>
      </c>
      <c r="J2610" t="str">
        <f t="shared" si="40"/>
        <v/>
      </c>
    </row>
    <row r="2611" spans="9:10">
      <c r="I2611" t="str">
        <f>IF(OR($A2611="",$B2611=""),"",IF(COUNTIFS($A$2:$A2611,$A2611,$B$2:$B2611,$B2611)=1,1,0))</f>
        <v/>
      </c>
      <c r="J2611" t="str">
        <f t="shared" si="40"/>
        <v/>
      </c>
    </row>
    <row r="2612" spans="9:10">
      <c r="I2612" t="str">
        <f>IF(OR($A2612="",$B2612=""),"",IF(COUNTIFS($A$2:$A2612,$A2612,$B$2:$B2612,$B2612)=1,1,0))</f>
        <v/>
      </c>
      <c r="J2612" t="str">
        <f t="shared" si="40"/>
        <v/>
      </c>
    </row>
    <row r="2613" spans="9:10">
      <c r="I2613" t="str">
        <f>IF(OR($A2613="",$B2613=""),"",IF(COUNTIFS($A$2:$A2613,$A2613,$B$2:$B2613,$B2613)=1,1,0))</f>
        <v/>
      </c>
      <c r="J2613" t="str">
        <f t="shared" si="40"/>
        <v/>
      </c>
    </row>
    <row r="2614" spans="9:10">
      <c r="I2614" t="str">
        <f>IF(OR($A2614="",$B2614=""),"",IF(COUNTIFS($A$2:$A2614,$A2614,$B$2:$B2614,$B2614)=1,1,0))</f>
        <v/>
      </c>
      <c r="J2614" t="str">
        <f t="shared" si="40"/>
        <v/>
      </c>
    </row>
    <row r="2615" spans="9:10">
      <c r="I2615" t="str">
        <f>IF(OR($A2615="",$B2615=""),"",IF(COUNTIFS($A$2:$A2615,$A2615,$B$2:$B2615,$B2615)=1,1,0))</f>
        <v/>
      </c>
      <c r="J2615" t="str">
        <f t="shared" si="40"/>
        <v/>
      </c>
    </row>
    <row r="2616" spans="9:10">
      <c r="I2616" t="str">
        <f>IF(OR($A2616="",$B2616=""),"",IF(COUNTIFS($A$2:$A2616,$A2616,$B$2:$B2616,$B2616)=1,1,0))</f>
        <v/>
      </c>
      <c r="J2616" t="str">
        <f t="shared" si="40"/>
        <v/>
      </c>
    </row>
    <row r="2617" spans="9:10">
      <c r="I2617" t="str">
        <f>IF(OR($A2617="",$B2617=""),"",IF(COUNTIFS($A$2:$A2617,$A2617,$B$2:$B2617,$B2617)=1,1,0))</f>
        <v/>
      </c>
      <c r="J2617" t="str">
        <f t="shared" si="40"/>
        <v/>
      </c>
    </row>
    <row r="2618" spans="9:10">
      <c r="I2618" t="str">
        <f>IF(OR($A2618="",$B2618=""),"",IF(COUNTIFS($A$2:$A2618,$A2618,$B$2:$B2618,$B2618)=1,1,0))</f>
        <v/>
      </c>
      <c r="J2618" t="str">
        <f t="shared" si="40"/>
        <v/>
      </c>
    </row>
    <row r="2619" spans="9:10">
      <c r="I2619" t="str">
        <f>IF(OR($A2619="",$B2619=""),"",IF(COUNTIFS($A$2:$A2619,$A2619,$B$2:$B2619,$B2619)=1,1,0))</f>
        <v/>
      </c>
      <c r="J2619" t="str">
        <f t="shared" si="40"/>
        <v/>
      </c>
    </row>
    <row r="2620" spans="9:10">
      <c r="I2620" t="str">
        <f>IF(OR($A2620="",$B2620=""),"",IF(COUNTIFS($A$2:$A2620,$A2620,$B$2:$B2620,$B2620)=1,1,0))</f>
        <v/>
      </c>
      <c r="J2620" t="str">
        <f t="shared" si="40"/>
        <v/>
      </c>
    </row>
    <row r="2621" spans="9:10">
      <c r="I2621" t="str">
        <f>IF(OR($A2621="",$B2621=""),"",IF(COUNTIFS($A$2:$A2621,$A2621,$B$2:$B2621,$B2621)=1,1,0))</f>
        <v/>
      </c>
      <c r="J2621" t="str">
        <f t="shared" si="40"/>
        <v/>
      </c>
    </row>
    <row r="2622" spans="9:10">
      <c r="I2622" t="str">
        <f>IF(OR($A2622="",$B2622=""),"",IF(COUNTIFS($A$2:$A2622,$A2622,$B$2:$B2622,$B2622)=1,1,0))</f>
        <v/>
      </c>
      <c r="J2622" t="str">
        <f t="shared" si="40"/>
        <v/>
      </c>
    </row>
    <row r="2623" spans="9:10">
      <c r="I2623" t="str">
        <f>IF(OR($A2623="",$B2623=""),"",IF(COUNTIFS($A$2:$A2623,$A2623,$B$2:$B2623,$B2623)=1,1,0))</f>
        <v/>
      </c>
      <c r="J2623" t="str">
        <f t="shared" si="40"/>
        <v/>
      </c>
    </row>
    <row r="2624" spans="9:10">
      <c r="I2624" t="str">
        <f>IF(OR($A2624="",$B2624=""),"",IF(COUNTIFS($A$2:$A2624,$A2624,$B$2:$B2624,$B2624)=1,1,0))</f>
        <v/>
      </c>
      <c r="J2624" t="str">
        <f t="shared" si="40"/>
        <v/>
      </c>
    </row>
    <row r="2625" spans="9:10">
      <c r="I2625" t="str">
        <f>IF(OR($A2625="",$B2625=""),"",IF(COUNTIFS($A$2:$A2625,$A2625,$B$2:$B2625,$B2625)=1,1,0))</f>
        <v/>
      </c>
      <c r="J2625" t="str">
        <f t="shared" si="40"/>
        <v/>
      </c>
    </row>
    <row r="2626" spans="9:10">
      <c r="I2626" t="str">
        <f>IF(OR($A2626="",$B2626=""),"",IF(COUNTIFS($A$2:$A2626,$A2626,$B$2:$B2626,$B2626)=1,1,0))</f>
        <v/>
      </c>
      <c r="J2626" t="str">
        <f t="shared" ref="J2626:J2689" si="41">IF($A2626="","",ROW())</f>
        <v/>
      </c>
    </row>
    <row r="2627" spans="9:10">
      <c r="I2627" t="str">
        <f>IF(OR($A2627="",$B2627=""),"",IF(COUNTIFS($A$2:$A2627,$A2627,$B$2:$B2627,$B2627)=1,1,0))</f>
        <v/>
      </c>
      <c r="J2627" t="str">
        <f t="shared" si="41"/>
        <v/>
      </c>
    </row>
    <row r="2628" spans="9:10">
      <c r="I2628" t="str">
        <f>IF(OR($A2628="",$B2628=""),"",IF(COUNTIFS($A$2:$A2628,$A2628,$B$2:$B2628,$B2628)=1,1,0))</f>
        <v/>
      </c>
      <c r="J2628" t="str">
        <f t="shared" si="41"/>
        <v/>
      </c>
    </row>
    <row r="2629" spans="9:10">
      <c r="I2629" t="str">
        <f>IF(OR($A2629="",$B2629=""),"",IF(COUNTIFS($A$2:$A2629,$A2629,$B$2:$B2629,$B2629)=1,1,0))</f>
        <v/>
      </c>
      <c r="J2629" t="str">
        <f t="shared" si="41"/>
        <v/>
      </c>
    </row>
    <row r="2630" spans="9:10">
      <c r="I2630" t="str">
        <f>IF(OR($A2630="",$B2630=""),"",IF(COUNTIFS($A$2:$A2630,$A2630,$B$2:$B2630,$B2630)=1,1,0))</f>
        <v/>
      </c>
      <c r="J2630" t="str">
        <f t="shared" si="41"/>
        <v/>
      </c>
    </row>
    <row r="2631" spans="9:10">
      <c r="I2631" t="str">
        <f>IF(OR($A2631="",$B2631=""),"",IF(COUNTIFS($A$2:$A2631,$A2631,$B$2:$B2631,$B2631)=1,1,0))</f>
        <v/>
      </c>
      <c r="J2631" t="str">
        <f t="shared" si="41"/>
        <v/>
      </c>
    </row>
    <row r="2632" spans="9:10">
      <c r="I2632" t="str">
        <f>IF(OR($A2632="",$B2632=""),"",IF(COUNTIFS($A$2:$A2632,$A2632,$B$2:$B2632,$B2632)=1,1,0))</f>
        <v/>
      </c>
      <c r="J2632" t="str">
        <f t="shared" si="41"/>
        <v/>
      </c>
    </row>
    <row r="2633" spans="9:10">
      <c r="I2633" t="str">
        <f>IF(OR($A2633="",$B2633=""),"",IF(COUNTIFS($A$2:$A2633,$A2633,$B$2:$B2633,$B2633)=1,1,0))</f>
        <v/>
      </c>
      <c r="J2633" t="str">
        <f t="shared" si="41"/>
        <v/>
      </c>
    </row>
    <row r="2634" spans="9:10">
      <c r="I2634" t="str">
        <f>IF(OR($A2634="",$B2634=""),"",IF(COUNTIFS($A$2:$A2634,$A2634,$B$2:$B2634,$B2634)=1,1,0))</f>
        <v/>
      </c>
      <c r="J2634" t="str">
        <f t="shared" si="41"/>
        <v/>
      </c>
    </row>
    <row r="2635" spans="9:10">
      <c r="I2635" t="str">
        <f>IF(OR($A2635="",$B2635=""),"",IF(COUNTIFS($A$2:$A2635,$A2635,$B$2:$B2635,$B2635)=1,1,0))</f>
        <v/>
      </c>
      <c r="J2635" t="str">
        <f t="shared" si="41"/>
        <v/>
      </c>
    </row>
    <row r="2636" spans="9:10">
      <c r="I2636" t="str">
        <f>IF(OR($A2636="",$B2636=""),"",IF(COUNTIFS($A$2:$A2636,$A2636,$B$2:$B2636,$B2636)=1,1,0))</f>
        <v/>
      </c>
      <c r="J2636" t="str">
        <f t="shared" si="41"/>
        <v/>
      </c>
    </row>
    <row r="2637" spans="9:10">
      <c r="I2637" t="str">
        <f>IF(OR($A2637="",$B2637=""),"",IF(COUNTIFS($A$2:$A2637,$A2637,$B$2:$B2637,$B2637)=1,1,0))</f>
        <v/>
      </c>
      <c r="J2637" t="str">
        <f t="shared" si="41"/>
        <v/>
      </c>
    </row>
    <row r="2638" spans="9:10">
      <c r="I2638" t="str">
        <f>IF(OR($A2638="",$B2638=""),"",IF(COUNTIFS($A$2:$A2638,$A2638,$B$2:$B2638,$B2638)=1,1,0))</f>
        <v/>
      </c>
      <c r="J2638" t="str">
        <f t="shared" si="41"/>
        <v/>
      </c>
    </row>
    <row r="2639" spans="9:10">
      <c r="I2639" t="str">
        <f>IF(OR($A2639="",$B2639=""),"",IF(COUNTIFS($A$2:$A2639,$A2639,$B$2:$B2639,$B2639)=1,1,0))</f>
        <v/>
      </c>
      <c r="J2639" t="str">
        <f t="shared" si="41"/>
        <v/>
      </c>
    </row>
    <row r="2640" spans="9:10">
      <c r="I2640" t="str">
        <f>IF(OR($A2640="",$B2640=""),"",IF(COUNTIFS($A$2:$A2640,$A2640,$B$2:$B2640,$B2640)=1,1,0))</f>
        <v/>
      </c>
      <c r="J2640" t="str">
        <f t="shared" si="41"/>
        <v/>
      </c>
    </row>
    <row r="2641" spans="9:10">
      <c r="I2641" t="str">
        <f>IF(OR($A2641="",$B2641=""),"",IF(COUNTIFS($A$2:$A2641,$A2641,$B$2:$B2641,$B2641)=1,1,0))</f>
        <v/>
      </c>
      <c r="J2641" t="str">
        <f t="shared" si="41"/>
        <v/>
      </c>
    </row>
    <row r="2642" spans="9:10">
      <c r="I2642" t="str">
        <f>IF(OR($A2642="",$B2642=""),"",IF(COUNTIFS($A$2:$A2642,$A2642,$B$2:$B2642,$B2642)=1,1,0))</f>
        <v/>
      </c>
      <c r="J2642" t="str">
        <f t="shared" si="41"/>
        <v/>
      </c>
    </row>
    <row r="2643" spans="9:10">
      <c r="I2643" t="str">
        <f>IF(OR($A2643="",$B2643=""),"",IF(COUNTIFS($A$2:$A2643,$A2643,$B$2:$B2643,$B2643)=1,1,0))</f>
        <v/>
      </c>
      <c r="J2643" t="str">
        <f t="shared" si="41"/>
        <v/>
      </c>
    </row>
    <row r="2644" spans="9:10">
      <c r="I2644" t="str">
        <f>IF(OR($A2644="",$B2644=""),"",IF(COUNTIFS($A$2:$A2644,$A2644,$B$2:$B2644,$B2644)=1,1,0))</f>
        <v/>
      </c>
      <c r="J2644" t="str">
        <f t="shared" si="41"/>
        <v/>
      </c>
    </row>
    <row r="2645" spans="9:10">
      <c r="I2645" t="str">
        <f>IF(OR($A2645="",$B2645=""),"",IF(COUNTIFS($A$2:$A2645,$A2645,$B$2:$B2645,$B2645)=1,1,0))</f>
        <v/>
      </c>
      <c r="J2645" t="str">
        <f t="shared" si="41"/>
        <v/>
      </c>
    </row>
    <row r="2646" spans="9:10">
      <c r="I2646" t="str">
        <f>IF(OR($A2646="",$B2646=""),"",IF(COUNTIFS($A$2:$A2646,$A2646,$B$2:$B2646,$B2646)=1,1,0))</f>
        <v/>
      </c>
      <c r="J2646" t="str">
        <f t="shared" si="41"/>
        <v/>
      </c>
    </row>
    <row r="2647" spans="9:10">
      <c r="I2647" t="str">
        <f>IF(OR($A2647="",$B2647=""),"",IF(COUNTIFS($A$2:$A2647,$A2647,$B$2:$B2647,$B2647)=1,1,0))</f>
        <v/>
      </c>
      <c r="J2647" t="str">
        <f t="shared" si="41"/>
        <v/>
      </c>
    </row>
    <row r="2648" spans="9:10">
      <c r="I2648" t="str">
        <f>IF(OR($A2648="",$B2648=""),"",IF(COUNTIFS($A$2:$A2648,$A2648,$B$2:$B2648,$B2648)=1,1,0))</f>
        <v/>
      </c>
      <c r="J2648" t="str">
        <f t="shared" si="41"/>
        <v/>
      </c>
    </row>
    <row r="2649" spans="9:10">
      <c r="I2649" t="str">
        <f>IF(OR($A2649="",$B2649=""),"",IF(COUNTIFS($A$2:$A2649,$A2649,$B$2:$B2649,$B2649)=1,1,0))</f>
        <v/>
      </c>
      <c r="J2649" t="str">
        <f t="shared" si="41"/>
        <v/>
      </c>
    </row>
    <row r="2650" spans="9:10">
      <c r="I2650" t="str">
        <f>IF(OR($A2650="",$B2650=""),"",IF(COUNTIFS($A$2:$A2650,$A2650,$B$2:$B2650,$B2650)=1,1,0))</f>
        <v/>
      </c>
      <c r="J2650" t="str">
        <f t="shared" si="41"/>
        <v/>
      </c>
    </row>
    <row r="2651" spans="9:10">
      <c r="I2651" t="str">
        <f>IF(OR($A2651="",$B2651=""),"",IF(COUNTIFS($A$2:$A2651,$A2651,$B$2:$B2651,$B2651)=1,1,0))</f>
        <v/>
      </c>
      <c r="J2651" t="str">
        <f t="shared" si="41"/>
        <v/>
      </c>
    </row>
    <row r="2652" spans="9:10">
      <c r="I2652" t="str">
        <f>IF(OR($A2652="",$B2652=""),"",IF(COUNTIFS($A$2:$A2652,$A2652,$B$2:$B2652,$B2652)=1,1,0))</f>
        <v/>
      </c>
      <c r="J2652" t="str">
        <f t="shared" si="41"/>
        <v/>
      </c>
    </row>
    <row r="2653" spans="9:10">
      <c r="I2653" t="str">
        <f>IF(OR($A2653="",$B2653=""),"",IF(COUNTIFS($A$2:$A2653,$A2653,$B$2:$B2653,$B2653)=1,1,0))</f>
        <v/>
      </c>
      <c r="J2653" t="str">
        <f t="shared" si="41"/>
        <v/>
      </c>
    </row>
    <row r="2654" spans="9:10">
      <c r="I2654" t="str">
        <f>IF(OR($A2654="",$B2654=""),"",IF(COUNTIFS($A$2:$A2654,$A2654,$B$2:$B2654,$B2654)=1,1,0))</f>
        <v/>
      </c>
      <c r="J2654" t="str">
        <f t="shared" si="41"/>
        <v/>
      </c>
    </row>
    <row r="2655" spans="9:10">
      <c r="I2655" t="str">
        <f>IF(OR($A2655="",$B2655=""),"",IF(COUNTIFS($A$2:$A2655,$A2655,$B$2:$B2655,$B2655)=1,1,0))</f>
        <v/>
      </c>
      <c r="J2655" t="str">
        <f t="shared" si="41"/>
        <v/>
      </c>
    </row>
    <row r="2656" spans="9:10">
      <c r="I2656" t="str">
        <f>IF(OR($A2656="",$B2656=""),"",IF(COUNTIFS($A$2:$A2656,$A2656,$B$2:$B2656,$B2656)=1,1,0))</f>
        <v/>
      </c>
      <c r="J2656" t="str">
        <f t="shared" si="41"/>
        <v/>
      </c>
    </row>
    <row r="2657" spans="9:10">
      <c r="I2657" t="str">
        <f>IF(OR($A2657="",$B2657=""),"",IF(COUNTIFS($A$2:$A2657,$A2657,$B$2:$B2657,$B2657)=1,1,0))</f>
        <v/>
      </c>
      <c r="J2657" t="str">
        <f t="shared" si="41"/>
        <v/>
      </c>
    </row>
    <row r="2658" spans="9:10">
      <c r="I2658" t="str">
        <f>IF(OR($A2658="",$B2658=""),"",IF(COUNTIFS($A$2:$A2658,$A2658,$B$2:$B2658,$B2658)=1,1,0))</f>
        <v/>
      </c>
      <c r="J2658" t="str">
        <f t="shared" si="41"/>
        <v/>
      </c>
    </row>
    <row r="2659" spans="9:10">
      <c r="I2659" t="str">
        <f>IF(OR($A2659="",$B2659=""),"",IF(COUNTIFS($A$2:$A2659,$A2659,$B$2:$B2659,$B2659)=1,1,0))</f>
        <v/>
      </c>
      <c r="J2659" t="str">
        <f t="shared" si="41"/>
        <v/>
      </c>
    </row>
    <row r="2660" spans="9:10">
      <c r="I2660" t="str">
        <f>IF(OR($A2660="",$B2660=""),"",IF(COUNTIFS($A$2:$A2660,$A2660,$B$2:$B2660,$B2660)=1,1,0))</f>
        <v/>
      </c>
      <c r="J2660" t="str">
        <f t="shared" si="41"/>
        <v/>
      </c>
    </row>
    <row r="2661" spans="9:10">
      <c r="I2661" t="str">
        <f>IF(OR($A2661="",$B2661=""),"",IF(COUNTIFS($A$2:$A2661,$A2661,$B$2:$B2661,$B2661)=1,1,0))</f>
        <v/>
      </c>
      <c r="J2661" t="str">
        <f t="shared" si="41"/>
        <v/>
      </c>
    </row>
    <row r="2662" spans="9:10">
      <c r="I2662" t="str">
        <f>IF(OR($A2662="",$B2662=""),"",IF(COUNTIFS($A$2:$A2662,$A2662,$B$2:$B2662,$B2662)=1,1,0))</f>
        <v/>
      </c>
      <c r="J2662" t="str">
        <f t="shared" si="41"/>
        <v/>
      </c>
    </row>
    <row r="2663" spans="9:10">
      <c r="I2663" t="str">
        <f>IF(OR($A2663="",$B2663=""),"",IF(COUNTIFS($A$2:$A2663,$A2663,$B$2:$B2663,$B2663)=1,1,0))</f>
        <v/>
      </c>
      <c r="J2663" t="str">
        <f t="shared" si="41"/>
        <v/>
      </c>
    </row>
    <row r="2664" spans="9:10">
      <c r="I2664" t="str">
        <f>IF(OR($A2664="",$B2664=""),"",IF(COUNTIFS($A$2:$A2664,$A2664,$B$2:$B2664,$B2664)=1,1,0))</f>
        <v/>
      </c>
      <c r="J2664" t="str">
        <f t="shared" si="41"/>
        <v/>
      </c>
    </row>
    <row r="2665" spans="9:10">
      <c r="I2665" t="str">
        <f>IF(OR($A2665="",$B2665=""),"",IF(COUNTIFS($A$2:$A2665,$A2665,$B$2:$B2665,$B2665)=1,1,0))</f>
        <v/>
      </c>
      <c r="J2665" t="str">
        <f t="shared" si="41"/>
        <v/>
      </c>
    </row>
    <row r="2666" spans="9:10">
      <c r="I2666" t="str">
        <f>IF(OR($A2666="",$B2666=""),"",IF(COUNTIFS($A$2:$A2666,$A2666,$B$2:$B2666,$B2666)=1,1,0))</f>
        <v/>
      </c>
      <c r="J2666" t="str">
        <f t="shared" si="41"/>
        <v/>
      </c>
    </row>
    <row r="2667" spans="9:10">
      <c r="I2667" t="str">
        <f>IF(OR($A2667="",$B2667=""),"",IF(COUNTIFS($A$2:$A2667,$A2667,$B$2:$B2667,$B2667)=1,1,0))</f>
        <v/>
      </c>
      <c r="J2667" t="str">
        <f t="shared" si="41"/>
        <v/>
      </c>
    </row>
    <row r="2668" spans="9:10">
      <c r="I2668" t="str">
        <f>IF(OR($A2668="",$B2668=""),"",IF(COUNTIFS($A$2:$A2668,$A2668,$B$2:$B2668,$B2668)=1,1,0))</f>
        <v/>
      </c>
      <c r="J2668" t="str">
        <f t="shared" si="41"/>
        <v/>
      </c>
    </row>
    <row r="2669" spans="9:10">
      <c r="I2669" t="str">
        <f>IF(OR($A2669="",$B2669=""),"",IF(COUNTIFS($A$2:$A2669,$A2669,$B$2:$B2669,$B2669)=1,1,0))</f>
        <v/>
      </c>
      <c r="J2669" t="str">
        <f t="shared" si="41"/>
        <v/>
      </c>
    </row>
    <row r="2670" spans="9:10">
      <c r="I2670" t="str">
        <f>IF(OR($A2670="",$B2670=""),"",IF(COUNTIFS($A$2:$A2670,$A2670,$B$2:$B2670,$B2670)=1,1,0))</f>
        <v/>
      </c>
      <c r="J2670" t="str">
        <f t="shared" si="41"/>
        <v/>
      </c>
    </row>
    <row r="2671" spans="9:10">
      <c r="I2671" t="str">
        <f>IF(OR($A2671="",$B2671=""),"",IF(COUNTIFS($A$2:$A2671,$A2671,$B$2:$B2671,$B2671)=1,1,0))</f>
        <v/>
      </c>
      <c r="J2671" t="str">
        <f t="shared" si="41"/>
        <v/>
      </c>
    </row>
    <row r="2672" spans="9:10">
      <c r="I2672" t="str">
        <f>IF(OR($A2672="",$B2672=""),"",IF(COUNTIFS($A$2:$A2672,$A2672,$B$2:$B2672,$B2672)=1,1,0))</f>
        <v/>
      </c>
      <c r="J2672" t="str">
        <f t="shared" si="41"/>
        <v/>
      </c>
    </row>
    <row r="2673" spans="9:10">
      <c r="I2673" t="str">
        <f>IF(OR($A2673="",$B2673=""),"",IF(COUNTIFS($A$2:$A2673,$A2673,$B$2:$B2673,$B2673)=1,1,0))</f>
        <v/>
      </c>
      <c r="J2673" t="str">
        <f t="shared" si="41"/>
        <v/>
      </c>
    </row>
    <row r="2674" spans="9:10">
      <c r="I2674" t="str">
        <f>IF(OR($A2674="",$B2674=""),"",IF(COUNTIFS($A$2:$A2674,$A2674,$B$2:$B2674,$B2674)=1,1,0))</f>
        <v/>
      </c>
      <c r="J2674" t="str">
        <f t="shared" si="41"/>
        <v/>
      </c>
    </row>
    <row r="2675" spans="9:10">
      <c r="I2675" t="str">
        <f>IF(OR($A2675="",$B2675=""),"",IF(COUNTIFS($A$2:$A2675,$A2675,$B$2:$B2675,$B2675)=1,1,0))</f>
        <v/>
      </c>
      <c r="J2675" t="str">
        <f t="shared" si="41"/>
        <v/>
      </c>
    </row>
    <row r="2676" spans="9:10">
      <c r="I2676" t="str">
        <f>IF(OR($A2676="",$B2676=""),"",IF(COUNTIFS($A$2:$A2676,$A2676,$B$2:$B2676,$B2676)=1,1,0))</f>
        <v/>
      </c>
      <c r="J2676" t="str">
        <f t="shared" si="41"/>
        <v/>
      </c>
    </row>
    <row r="2677" spans="9:10">
      <c r="I2677" t="str">
        <f>IF(OR($A2677="",$B2677=""),"",IF(COUNTIFS($A$2:$A2677,$A2677,$B$2:$B2677,$B2677)=1,1,0))</f>
        <v/>
      </c>
      <c r="J2677" t="str">
        <f t="shared" si="41"/>
        <v/>
      </c>
    </row>
    <row r="2678" spans="9:10">
      <c r="I2678" t="str">
        <f>IF(OR($A2678="",$B2678=""),"",IF(COUNTIFS($A$2:$A2678,$A2678,$B$2:$B2678,$B2678)=1,1,0))</f>
        <v/>
      </c>
      <c r="J2678" t="str">
        <f t="shared" si="41"/>
        <v/>
      </c>
    </row>
    <row r="2679" spans="9:10">
      <c r="I2679" t="str">
        <f>IF(OR($A2679="",$B2679=""),"",IF(COUNTIFS($A$2:$A2679,$A2679,$B$2:$B2679,$B2679)=1,1,0))</f>
        <v/>
      </c>
      <c r="J2679" t="str">
        <f t="shared" si="41"/>
        <v/>
      </c>
    </row>
    <row r="2680" spans="9:10">
      <c r="I2680" t="str">
        <f>IF(OR($A2680="",$B2680=""),"",IF(COUNTIFS($A$2:$A2680,$A2680,$B$2:$B2680,$B2680)=1,1,0))</f>
        <v/>
      </c>
      <c r="J2680" t="str">
        <f t="shared" si="41"/>
        <v/>
      </c>
    </row>
    <row r="2681" spans="9:10">
      <c r="I2681" t="str">
        <f>IF(OR($A2681="",$B2681=""),"",IF(COUNTIFS($A$2:$A2681,$A2681,$B$2:$B2681,$B2681)=1,1,0))</f>
        <v/>
      </c>
      <c r="J2681" t="str">
        <f t="shared" si="41"/>
        <v/>
      </c>
    </row>
    <row r="2682" spans="9:10">
      <c r="I2682" t="str">
        <f>IF(OR($A2682="",$B2682=""),"",IF(COUNTIFS($A$2:$A2682,$A2682,$B$2:$B2682,$B2682)=1,1,0))</f>
        <v/>
      </c>
      <c r="J2682" t="str">
        <f t="shared" si="41"/>
        <v/>
      </c>
    </row>
    <row r="2683" spans="9:10">
      <c r="I2683" t="str">
        <f>IF(OR($A2683="",$B2683=""),"",IF(COUNTIFS($A$2:$A2683,$A2683,$B$2:$B2683,$B2683)=1,1,0))</f>
        <v/>
      </c>
      <c r="J2683" t="str">
        <f t="shared" si="41"/>
        <v/>
      </c>
    </row>
    <row r="2684" spans="9:10">
      <c r="I2684" t="str">
        <f>IF(OR($A2684="",$B2684=""),"",IF(COUNTIFS($A$2:$A2684,$A2684,$B$2:$B2684,$B2684)=1,1,0))</f>
        <v/>
      </c>
      <c r="J2684" t="str">
        <f t="shared" si="41"/>
        <v/>
      </c>
    </row>
    <row r="2685" spans="9:10">
      <c r="I2685" t="str">
        <f>IF(OR($A2685="",$B2685=""),"",IF(COUNTIFS($A$2:$A2685,$A2685,$B$2:$B2685,$B2685)=1,1,0))</f>
        <v/>
      </c>
      <c r="J2685" t="str">
        <f t="shared" si="41"/>
        <v/>
      </c>
    </row>
    <row r="2686" spans="9:10">
      <c r="I2686" t="str">
        <f>IF(OR($A2686="",$B2686=""),"",IF(COUNTIFS($A$2:$A2686,$A2686,$B$2:$B2686,$B2686)=1,1,0))</f>
        <v/>
      </c>
      <c r="J2686" t="str">
        <f t="shared" si="41"/>
        <v/>
      </c>
    </row>
    <row r="2687" spans="9:10">
      <c r="I2687" t="str">
        <f>IF(OR($A2687="",$B2687=""),"",IF(COUNTIFS($A$2:$A2687,$A2687,$B$2:$B2687,$B2687)=1,1,0))</f>
        <v/>
      </c>
      <c r="J2687" t="str">
        <f t="shared" si="41"/>
        <v/>
      </c>
    </row>
    <row r="2688" spans="9:10">
      <c r="I2688" t="str">
        <f>IF(OR($A2688="",$B2688=""),"",IF(COUNTIFS($A$2:$A2688,$A2688,$B$2:$B2688,$B2688)=1,1,0))</f>
        <v/>
      </c>
      <c r="J2688" t="str">
        <f t="shared" si="41"/>
        <v/>
      </c>
    </row>
    <row r="2689" spans="9:10">
      <c r="I2689" t="str">
        <f>IF(OR($A2689="",$B2689=""),"",IF(COUNTIFS($A$2:$A2689,$A2689,$B$2:$B2689,$B2689)=1,1,0))</f>
        <v/>
      </c>
      <c r="J2689" t="str">
        <f t="shared" si="41"/>
        <v/>
      </c>
    </row>
    <row r="2690" spans="9:10">
      <c r="I2690" t="str">
        <f>IF(OR($A2690="",$B2690=""),"",IF(COUNTIFS($A$2:$A2690,$A2690,$B$2:$B2690,$B2690)=1,1,0))</f>
        <v/>
      </c>
      <c r="J2690" t="str">
        <f t="shared" ref="J2690:J2753" si="42">IF($A2690="","",ROW())</f>
        <v/>
      </c>
    </row>
    <row r="2691" spans="9:10">
      <c r="I2691" t="str">
        <f>IF(OR($A2691="",$B2691=""),"",IF(COUNTIFS($A$2:$A2691,$A2691,$B$2:$B2691,$B2691)=1,1,0))</f>
        <v/>
      </c>
      <c r="J2691" t="str">
        <f t="shared" si="42"/>
        <v/>
      </c>
    </row>
    <row r="2692" spans="9:10">
      <c r="I2692" t="str">
        <f>IF(OR($A2692="",$B2692=""),"",IF(COUNTIFS($A$2:$A2692,$A2692,$B$2:$B2692,$B2692)=1,1,0))</f>
        <v/>
      </c>
      <c r="J2692" t="str">
        <f t="shared" si="42"/>
        <v/>
      </c>
    </row>
    <row r="2693" spans="9:10">
      <c r="I2693" t="str">
        <f>IF(OR($A2693="",$B2693=""),"",IF(COUNTIFS($A$2:$A2693,$A2693,$B$2:$B2693,$B2693)=1,1,0))</f>
        <v/>
      </c>
      <c r="J2693" t="str">
        <f t="shared" si="42"/>
        <v/>
      </c>
    </row>
    <row r="2694" spans="9:10">
      <c r="I2694" t="str">
        <f>IF(OR($A2694="",$B2694=""),"",IF(COUNTIFS($A$2:$A2694,$A2694,$B$2:$B2694,$B2694)=1,1,0))</f>
        <v/>
      </c>
      <c r="J2694" t="str">
        <f t="shared" si="42"/>
        <v/>
      </c>
    </row>
    <row r="2695" spans="9:10">
      <c r="I2695" t="str">
        <f>IF(OR($A2695="",$B2695=""),"",IF(COUNTIFS($A$2:$A2695,$A2695,$B$2:$B2695,$B2695)=1,1,0))</f>
        <v/>
      </c>
      <c r="J2695" t="str">
        <f t="shared" si="42"/>
        <v/>
      </c>
    </row>
    <row r="2696" spans="9:10">
      <c r="I2696" t="str">
        <f>IF(OR($A2696="",$B2696=""),"",IF(COUNTIFS($A$2:$A2696,$A2696,$B$2:$B2696,$B2696)=1,1,0))</f>
        <v/>
      </c>
      <c r="J2696" t="str">
        <f t="shared" si="42"/>
        <v/>
      </c>
    </row>
    <row r="2697" spans="9:10">
      <c r="I2697" t="str">
        <f>IF(OR($A2697="",$B2697=""),"",IF(COUNTIFS($A$2:$A2697,$A2697,$B$2:$B2697,$B2697)=1,1,0))</f>
        <v/>
      </c>
      <c r="J2697" t="str">
        <f t="shared" si="42"/>
        <v/>
      </c>
    </row>
    <row r="2698" spans="9:10">
      <c r="I2698" t="str">
        <f>IF(OR($A2698="",$B2698=""),"",IF(COUNTIFS($A$2:$A2698,$A2698,$B$2:$B2698,$B2698)=1,1,0))</f>
        <v/>
      </c>
      <c r="J2698" t="str">
        <f t="shared" si="42"/>
        <v/>
      </c>
    </row>
    <row r="2699" spans="9:10">
      <c r="I2699" t="str">
        <f>IF(OR($A2699="",$B2699=""),"",IF(COUNTIFS($A$2:$A2699,$A2699,$B$2:$B2699,$B2699)=1,1,0))</f>
        <v/>
      </c>
      <c r="J2699" t="str">
        <f t="shared" si="42"/>
        <v/>
      </c>
    </row>
    <row r="2700" spans="9:10">
      <c r="I2700" t="str">
        <f>IF(OR($A2700="",$B2700=""),"",IF(COUNTIFS($A$2:$A2700,$A2700,$B$2:$B2700,$B2700)=1,1,0))</f>
        <v/>
      </c>
      <c r="J2700" t="str">
        <f t="shared" si="42"/>
        <v/>
      </c>
    </row>
    <row r="2701" spans="9:10">
      <c r="I2701" t="str">
        <f>IF(OR($A2701="",$B2701=""),"",IF(COUNTIFS($A$2:$A2701,$A2701,$B$2:$B2701,$B2701)=1,1,0))</f>
        <v/>
      </c>
      <c r="J2701" t="str">
        <f t="shared" si="42"/>
        <v/>
      </c>
    </row>
    <row r="2702" spans="9:10">
      <c r="I2702" t="str">
        <f>IF(OR($A2702="",$B2702=""),"",IF(COUNTIFS($A$2:$A2702,$A2702,$B$2:$B2702,$B2702)=1,1,0))</f>
        <v/>
      </c>
      <c r="J2702" t="str">
        <f t="shared" si="42"/>
        <v/>
      </c>
    </row>
    <row r="2703" spans="9:10">
      <c r="I2703" t="str">
        <f>IF(OR($A2703="",$B2703=""),"",IF(COUNTIFS($A$2:$A2703,$A2703,$B$2:$B2703,$B2703)=1,1,0))</f>
        <v/>
      </c>
      <c r="J2703" t="str">
        <f t="shared" si="42"/>
        <v/>
      </c>
    </row>
    <row r="2704" spans="9:10">
      <c r="I2704" t="str">
        <f>IF(OR($A2704="",$B2704=""),"",IF(COUNTIFS($A$2:$A2704,$A2704,$B$2:$B2704,$B2704)=1,1,0))</f>
        <v/>
      </c>
      <c r="J2704" t="str">
        <f t="shared" si="42"/>
        <v/>
      </c>
    </row>
    <row r="2705" spans="9:10">
      <c r="I2705" t="str">
        <f>IF(OR($A2705="",$B2705=""),"",IF(COUNTIFS($A$2:$A2705,$A2705,$B$2:$B2705,$B2705)=1,1,0))</f>
        <v/>
      </c>
      <c r="J2705" t="str">
        <f t="shared" si="42"/>
        <v/>
      </c>
    </row>
    <row r="2706" spans="9:10">
      <c r="I2706" t="str">
        <f>IF(OR($A2706="",$B2706=""),"",IF(COUNTIFS($A$2:$A2706,$A2706,$B$2:$B2706,$B2706)=1,1,0))</f>
        <v/>
      </c>
      <c r="J2706" t="str">
        <f t="shared" si="42"/>
        <v/>
      </c>
    </row>
    <row r="2707" spans="9:10">
      <c r="I2707" t="str">
        <f>IF(OR($A2707="",$B2707=""),"",IF(COUNTIFS($A$2:$A2707,$A2707,$B$2:$B2707,$B2707)=1,1,0))</f>
        <v/>
      </c>
      <c r="J2707" t="str">
        <f t="shared" si="42"/>
        <v/>
      </c>
    </row>
    <row r="2708" spans="9:10">
      <c r="I2708" t="str">
        <f>IF(OR($A2708="",$B2708=""),"",IF(COUNTIFS($A$2:$A2708,$A2708,$B$2:$B2708,$B2708)=1,1,0))</f>
        <v/>
      </c>
      <c r="J2708" t="str">
        <f t="shared" si="42"/>
        <v/>
      </c>
    </row>
    <row r="2709" spans="9:10">
      <c r="I2709" t="str">
        <f>IF(OR($A2709="",$B2709=""),"",IF(COUNTIFS($A$2:$A2709,$A2709,$B$2:$B2709,$B2709)=1,1,0))</f>
        <v/>
      </c>
      <c r="J2709" t="str">
        <f t="shared" si="42"/>
        <v/>
      </c>
    </row>
    <row r="2710" spans="9:10">
      <c r="I2710" t="str">
        <f>IF(OR($A2710="",$B2710=""),"",IF(COUNTIFS($A$2:$A2710,$A2710,$B$2:$B2710,$B2710)=1,1,0))</f>
        <v/>
      </c>
      <c r="J2710" t="str">
        <f t="shared" si="42"/>
        <v/>
      </c>
    </row>
    <row r="2711" spans="9:10">
      <c r="I2711" t="str">
        <f>IF(OR($A2711="",$B2711=""),"",IF(COUNTIFS($A$2:$A2711,$A2711,$B$2:$B2711,$B2711)=1,1,0))</f>
        <v/>
      </c>
      <c r="J2711" t="str">
        <f t="shared" si="42"/>
        <v/>
      </c>
    </row>
    <row r="2712" spans="9:10">
      <c r="I2712" t="str">
        <f>IF(OR($A2712="",$B2712=""),"",IF(COUNTIFS($A$2:$A2712,$A2712,$B$2:$B2712,$B2712)=1,1,0))</f>
        <v/>
      </c>
      <c r="J2712" t="str">
        <f t="shared" si="42"/>
        <v/>
      </c>
    </row>
    <row r="2713" spans="9:10">
      <c r="I2713" t="str">
        <f>IF(OR($A2713="",$B2713=""),"",IF(COUNTIFS($A$2:$A2713,$A2713,$B$2:$B2713,$B2713)=1,1,0))</f>
        <v/>
      </c>
      <c r="J2713" t="str">
        <f t="shared" si="42"/>
        <v/>
      </c>
    </row>
    <row r="2714" spans="9:10">
      <c r="I2714" t="str">
        <f>IF(OR($A2714="",$B2714=""),"",IF(COUNTIFS($A$2:$A2714,$A2714,$B$2:$B2714,$B2714)=1,1,0))</f>
        <v/>
      </c>
      <c r="J2714" t="str">
        <f t="shared" si="42"/>
        <v/>
      </c>
    </row>
    <row r="2715" spans="9:10">
      <c r="I2715" t="str">
        <f>IF(OR($A2715="",$B2715=""),"",IF(COUNTIFS($A$2:$A2715,$A2715,$B$2:$B2715,$B2715)=1,1,0))</f>
        <v/>
      </c>
      <c r="J2715" t="str">
        <f t="shared" si="42"/>
        <v/>
      </c>
    </row>
    <row r="2716" spans="9:10">
      <c r="I2716" t="str">
        <f>IF(OR($A2716="",$B2716=""),"",IF(COUNTIFS($A$2:$A2716,$A2716,$B$2:$B2716,$B2716)=1,1,0))</f>
        <v/>
      </c>
      <c r="J2716" t="str">
        <f t="shared" si="42"/>
        <v/>
      </c>
    </row>
    <row r="2717" spans="9:10">
      <c r="I2717" t="str">
        <f>IF(OR($A2717="",$B2717=""),"",IF(COUNTIFS($A$2:$A2717,$A2717,$B$2:$B2717,$B2717)=1,1,0))</f>
        <v/>
      </c>
      <c r="J2717" t="str">
        <f t="shared" si="42"/>
        <v/>
      </c>
    </row>
    <row r="2718" spans="9:10">
      <c r="I2718" t="str">
        <f>IF(OR($A2718="",$B2718=""),"",IF(COUNTIFS($A$2:$A2718,$A2718,$B$2:$B2718,$B2718)=1,1,0))</f>
        <v/>
      </c>
      <c r="J2718" t="str">
        <f t="shared" si="42"/>
        <v/>
      </c>
    </row>
    <row r="2719" spans="9:10">
      <c r="I2719" t="str">
        <f>IF(OR($A2719="",$B2719=""),"",IF(COUNTIFS($A$2:$A2719,$A2719,$B$2:$B2719,$B2719)=1,1,0))</f>
        <v/>
      </c>
      <c r="J2719" t="str">
        <f t="shared" si="42"/>
        <v/>
      </c>
    </row>
    <row r="2720" spans="9:10">
      <c r="I2720" t="str">
        <f>IF(OR($A2720="",$B2720=""),"",IF(COUNTIFS($A$2:$A2720,$A2720,$B$2:$B2720,$B2720)=1,1,0))</f>
        <v/>
      </c>
      <c r="J2720" t="str">
        <f t="shared" si="42"/>
        <v/>
      </c>
    </row>
    <row r="2721" spans="9:10">
      <c r="I2721" t="str">
        <f>IF(OR($A2721="",$B2721=""),"",IF(COUNTIFS($A$2:$A2721,$A2721,$B$2:$B2721,$B2721)=1,1,0))</f>
        <v/>
      </c>
      <c r="J2721" t="str">
        <f t="shared" si="42"/>
        <v/>
      </c>
    </row>
    <row r="2722" spans="9:10">
      <c r="I2722" t="str">
        <f>IF(OR($A2722="",$B2722=""),"",IF(COUNTIFS($A$2:$A2722,$A2722,$B$2:$B2722,$B2722)=1,1,0))</f>
        <v/>
      </c>
      <c r="J2722" t="str">
        <f t="shared" si="42"/>
        <v/>
      </c>
    </row>
    <row r="2723" spans="9:10">
      <c r="I2723" t="str">
        <f>IF(OR($A2723="",$B2723=""),"",IF(COUNTIFS($A$2:$A2723,$A2723,$B$2:$B2723,$B2723)=1,1,0))</f>
        <v/>
      </c>
      <c r="J2723" t="str">
        <f t="shared" si="42"/>
        <v/>
      </c>
    </row>
    <row r="2724" spans="9:10">
      <c r="I2724" t="str">
        <f>IF(OR($A2724="",$B2724=""),"",IF(COUNTIFS($A$2:$A2724,$A2724,$B$2:$B2724,$B2724)=1,1,0))</f>
        <v/>
      </c>
      <c r="J2724" t="str">
        <f t="shared" si="42"/>
        <v/>
      </c>
    </row>
    <row r="2725" spans="9:10">
      <c r="I2725" t="str">
        <f>IF(OR($A2725="",$B2725=""),"",IF(COUNTIFS($A$2:$A2725,$A2725,$B$2:$B2725,$B2725)=1,1,0))</f>
        <v/>
      </c>
      <c r="J2725" t="str">
        <f t="shared" si="42"/>
        <v/>
      </c>
    </row>
    <row r="2726" spans="9:10">
      <c r="I2726" t="str">
        <f>IF(OR($A2726="",$B2726=""),"",IF(COUNTIFS($A$2:$A2726,$A2726,$B$2:$B2726,$B2726)=1,1,0))</f>
        <v/>
      </c>
      <c r="J2726" t="str">
        <f t="shared" si="42"/>
        <v/>
      </c>
    </row>
    <row r="2727" spans="9:10">
      <c r="I2727" t="str">
        <f>IF(OR($A2727="",$B2727=""),"",IF(COUNTIFS($A$2:$A2727,$A2727,$B$2:$B2727,$B2727)=1,1,0))</f>
        <v/>
      </c>
      <c r="J2727" t="str">
        <f t="shared" si="42"/>
        <v/>
      </c>
    </row>
    <row r="2728" spans="9:10">
      <c r="I2728" t="str">
        <f>IF(OR($A2728="",$B2728=""),"",IF(COUNTIFS($A$2:$A2728,$A2728,$B$2:$B2728,$B2728)=1,1,0))</f>
        <v/>
      </c>
      <c r="J2728" t="str">
        <f t="shared" si="42"/>
        <v/>
      </c>
    </row>
    <row r="2729" spans="9:10">
      <c r="I2729" t="str">
        <f>IF(OR($A2729="",$B2729=""),"",IF(COUNTIFS($A$2:$A2729,$A2729,$B$2:$B2729,$B2729)=1,1,0))</f>
        <v/>
      </c>
      <c r="J2729" t="str">
        <f t="shared" si="42"/>
        <v/>
      </c>
    </row>
    <row r="2730" spans="9:10">
      <c r="I2730" t="str">
        <f>IF(OR($A2730="",$B2730=""),"",IF(COUNTIFS($A$2:$A2730,$A2730,$B$2:$B2730,$B2730)=1,1,0))</f>
        <v/>
      </c>
      <c r="J2730" t="str">
        <f t="shared" si="42"/>
        <v/>
      </c>
    </row>
    <row r="2731" spans="9:10">
      <c r="I2731" t="str">
        <f>IF(OR($A2731="",$B2731=""),"",IF(COUNTIFS($A$2:$A2731,$A2731,$B$2:$B2731,$B2731)=1,1,0))</f>
        <v/>
      </c>
      <c r="J2731" t="str">
        <f t="shared" si="42"/>
        <v/>
      </c>
    </row>
    <row r="2732" spans="9:10">
      <c r="I2732" t="str">
        <f>IF(OR($A2732="",$B2732=""),"",IF(COUNTIFS($A$2:$A2732,$A2732,$B$2:$B2732,$B2732)=1,1,0))</f>
        <v/>
      </c>
      <c r="J2732" t="str">
        <f t="shared" si="42"/>
        <v/>
      </c>
    </row>
    <row r="2733" spans="9:10">
      <c r="I2733" t="str">
        <f>IF(OR($A2733="",$B2733=""),"",IF(COUNTIFS($A$2:$A2733,$A2733,$B$2:$B2733,$B2733)=1,1,0))</f>
        <v/>
      </c>
      <c r="J2733" t="str">
        <f t="shared" si="42"/>
        <v/>
      </c>
    </row>
    <row r="2734" spans="9:10">
      <c r="I2734" t="str">
        <f>IF(OR($A2734="",$B2734=""),"",IF(COUNTIFS($A$2:$A2734,$A2734,$B$2:$B2734,$B2734)=1,1,0))</f>
        <v/>
      </c>
      <c r="J2734" t="str">
        <f t="shared" si="42"/>
        <v/>
      </c>
    </row>
    <row r="2735" spans="9:10">
      <c r="I2735" t="str">
        <f>IF(OR($A2735="",$B2735=""),"",IF(COUNTIFS($A$2:$A2735,$A2735,$B$2:$B2735,$B2735)=1,1,0))</f>
        <v/>
      </c>
      <c r="J2735" t="str">
        <f t="shared" si="42"/>
        <v/>
      </c>
    </row>
    <row r="2736" spans="9:10">
      <c r="I2736" t="str">
        <f>IF(OR($A2736="",$B2736=""),"",IF(COUNTIFS($A$2:$A2736,$A2736,$B$2:$B2736,$B2736)=1,1,0))</f>
        <v/>
      </c>
      <c r="J2736" t="str">
        <f t="shared" si="42"/>
        <v/>
      </c>
    </row>
    <row r="2737" spans="9:10">
      <c r="I2737" t="str">
        <f>IF(OR($A2737="",$B2737=""),"",IF(COUNTIFS($A$2:$A2737,$A2737,$B$2:$B2737,$B2737)=1,1,0))</f>
        <v/>
      </c>
      <c r="J2737" t="str">
        <f t="shared" si="42"/>
        <v/>
      </c>
    </row>
    <row r="2738" spans="9:10">
      <c r="I2738" t="str">
        <f>IF(OR($A2738="",$B2738=""),"",IF(COUNTIFS($A$2:$A2738,$A2738,$B$2:$B2738,$B2738)=1,1,0))</f>
        <v/>
      </c>
      <c r="J2738" t="str">
        <f t="shared" si="42"/>
        <v/>
      </c>
    </row>
    <row r="2739" spans="9:10">
      <c r="I2739" t="str">
        <f>IF(OR($A2739="",$B2739=""),"",IF(COUNTIFS($A$2:$A2739,$A2739,$B$2:$B2739,$B2739)=1,1,0))</f>
        <v/>
      </c>
      <c r="J2739" t="str">
        <f t="shared" si="42"/>
        <v/>
      </c>
    </row>
    <row r="2740" spans="9:10">
      <c r="I2740" t="str">
        <f>IF(OR($A2740="",$B2740=""),"",IF(COUNTIFS($A$2:$A2740,$A2740,$B$2:$B2740,$B2740)=1,1,0))</f>
        <v/>
      </c>
      <c r="J2740" t="str">
        <f t="shared" si="42"/>
        <v/>
      </c>
    </row>
    <row r="2741" spans="9:10">
      <c r="I2741" t="str">
        <f>IF(OR($A2741="",$B2741=""),"",IF(COUNTIFS($A$2:$A2741,$A2741,$B$2:$B2741,$B2741)=1,1,0))</f>
        <v/>
      </c>
      <c r="J2741" t="str">
        <f t="shared" si="42"/>
        <v/>
      </c>
    </row>
    <row r="2742" spans="9:10">
      <c r="I2742" t="str">
        <f>IF(OR($A2742="",$B2742=""),"",IF(COUNTIFS($A$2:$A2742,$A2742,$B$2:$B2742,$B2742)=1,1,0))</f>
        <v/>
      </c>
      <c r="J2742" t="str">
        <f t="shared" si="42"/>
        <v/>
      </c>
    </row>
    <row r="2743" spans="9:10">
      <c r="I2743" t="str">
        <f>IF(OR($A2743="",$B2743=""),"",IF(COUNTIFS($A$2:$A2743,$A2743,$B$2:$B2743,$B2743)=1,1,0))</f>
        <v/>
      </c>
      <c r="J2743" t="str">
        <f t="shared" si="42"/>
        <v/>
      </c>
    </row>
    <row r="2744" spans="9:10">
      <c r="I2744" t="str">
        <f>IF(OR($A2744="",$B2744=""),"",IF(COUNTIFS($A$2:$A2744,$A2744,$B$2:$B2744,$B2744)=1,1,0))</f>
        <v/>
      </c>
      <c r="J2744" t="str">
        <f t="shared" si="42"/>
        <v/>
      </c>
    </row>
    <row r="2745" spans="9:10">
      <c r="I2745" t="str">
        <f>IF(OR($A2745="",$B2745=""),"",IF(COUNTIFS($A$2:$A2745,$A2745,$B$2:$B2745,$B2745)=1,1,0))</f>
        <v/>
      </c>
      <c r="J2745" t="str">
        <f t="shared" si="42"/>
        <v/>
      </c>
    </row>
    <row r="2746" spans="9:10">
      <c r="I2746" t="str">
        <f>IF(OR($A2746="",$B2746=""),"",IF(COUNTIFS($A$2:$A2746,$A2746,$B$2:$B2746,$B2746)=1,1,0))</f>
        <v/>
      </c>
      <c r="J2746" t="str">
        <f t="shared" si="42"/>
        <v/>
      </c>
    </row>
    <row r="2747" spans="9:10">
      <c r="I2747" t="str">
        <f>IF(OR($A2747="",$B2747=""),"",IF(COUNTIFS($A$2:$A2747,$A2747,$B$2:$B2747,$B2747)=1,1,0))</f>
        <v/>
      </c>
      <c r="J2747" t="str">
        <f t="shared" si="42"/>
        <v/>
      </c>
    </row>
    <row r="2748" spans="9:10">
      <c r="I2748" t="str">
        <f>IF(OR($A2748="",$B2748=""),"",IF(COUNTIFS($A$2:$A2748,$A2748,$B$2:$B2748,$B2748)=1,1,0))</f>
        <v/>
      </c>
      <c r="J2748" t="str">
        <f t="shared" si="42"/>
        <v/>
      </c>
    </row>
    <row r="2749" spans="9:10">
      <c r="I2749" t="str">
        <f>IF(OR($A2749="",$B2749=""),"",IF(COUNTIFS($A$2:$A2749,$A2749,$B$2:$B2749,$B2749)=1,1,0))</f>
        <v/>
      </c>
      <c r="J2749" t="str">
        <f t="shared" si="42"/>
        <v/>
      </c>
    </row>
    <row r="2750" spans="9:10">
      <c r="I2750" t="str">
        <f>IF(OR($A2750="",$B2750=""),"",IF(COUNTIFS($A$2:$A2750,$A2750,$B$2:$B2750,$B2750)=1,1,0))</f>
        <v/>
      </c>
      <c r="J2750" t="str">
        <f t="shared" si="42"/>
        <v/>
      </c>
    </row>
    <row r="2751" spans="9:10">
      <c r="I2751" t="str">
        <f>IF(OR($A2751="",$B2751=""),"",IF(COUNTIFS($A$2:$A2751,$A2751,$B$2:$B2751,$B2751)=1,1,0))</f>
        <v/>
      </c>
      <c r="J2751" t="str">
        <f t="shared" si="42"/>
        <v/>
      </c>
    </row>
    <row r="2752" spans="9:10">
      <c r="I2752" t="str">
        <f>IF(OR($A2752="",$B2752=""),"",IF(COUNTIFS($A$2:$A2752,$A2752,$B$2:$B2752,$B2752)=1,1,0))</f>
        <v/>
      </c>
      <c r="J2752" t="str">
        <f t="shared" si="42"/>
        <v/>
      </c>
    </row>
    <row r="2753" spans="9:10">
      <c r="I2753" t="str">
        <f>IF(OR($A2753="",$B2753=""),"",IF(COUNTIFS($A$2:$A2753,$A2753,$B$2:$B2753,$B2753)=1,1,0))</f>
        <v/>
      </c>
      <c r="J2753" t="str">
        <f t="shared" si="42"/>
        <v/>
      </c>
    </row>
    <row r="2754" spans="9:10">
      <c r="I2754" t="str">
        <f>IF(OR($A2754="",$B2754=""),"",IF(COUNTIFS($A$2:$A2754,$A2754,$B$2:$B2754,$B2754)=1,1,0))</f>
        <v/>
      </c>
      <c r="J2754" t="str">
        <f t="shared" ref="J2754:J2817" si="43">IF($A2754="","",ROW())</f>
        <v/>
      </c>
    </row>
    <row r="2755" spans="9:10">
      <c r="I2755" t="str">
        <f>IF(OR($A2755="",$B2755=""),"",IF(COUNTIFS($A$2:$A2755,$A2755,$B$2:$B2755,$B2755)=1,1,0))</f>
        <v/>
      </c>
      <c r="J2755" t="str">
        <f t="shared" si="43"/>
        <v/>
      </c>
    </row>
    <row r="2756" spans="9:10">
      <c r="I2756" t="str">
        <f>IF(OR($A2756="",$B2756=""),"",IF(COUNTIFS($A$2:$A2756,$A2756,$B$2:$B2756,$B2756)=1,1,0))</f>
        <v/>
      </c>
      <c r="J2756" t="str">
        <f t="shared" si="43"/>
        <v/>
      </c>
    </row>
    <row r="2757" spans="9:10">
      <c r="I2757" t="str">
        <f>IF(OR($A2757="",$B2757=""),"",IF(COUNTIFS($A$2:$A2757,$A2757,$B$2:$B2757,$B2757)=1,1,0))</f>
        <v/>
      </c>
      <c r="J2757" t="str">
        <f t="shared" si="43"/>
        <v/>
      </c>
    </row>
    <row r="2758" spans="9:10">
      <c r="I2758" t="str">
        <f>IF(OR($A2758="",$B2758=""),"",IF(COUNTIFS($A$2:$A2758,$A2758,$B$2:$B2758,$B2758)=1,1,0))</f>
        <v/>
      </c>
      <c r="J2758" t="str">
        <f t="shared" si="43"/>
        <v/>
      </c>
    </row>
    <row r="2759" spans="9:10">
      <c r="I2759" t="str">
        <f>IF(OR($A2759="",$B2759=""),"",IF(COUNTIFS($A$2:$A2759,$A2759,$B$2:$B2759,$B2759)=1,1,0))</f>
        <v/>
      </c>
      <c r="J2759" t="str">
        <f t="shared" si="43"/>
        <v/>
      </c>
    </row>
    <row r="2760" spans="9:10">
      <c r="I2760" t="str">
        <f>IF(OR($A2760="",$B2760=""),"",IF(COUNTIFS($A$2:$A2760,$A2760,$B$2:$B2760,$B2760)=1,1,0))</f>
        <v/>
      </c>
      <c r="J2760" t="str">
        <f t="shared" si="43"/>
        <v/>
      </c>
    </row>
    <row r="2761" spans="9:10">
      <c r="I2761" t="str">
        <f>IF(OR($A2761="",$B2761=""),"",IF(COUNTIFS($A$2:$A2761,$A2761,$B$2:$B2761,$B2761)=1,1,0))</f>
        <v/>
      </c>
      <c r="J2761" t="str">
        <f t="shared" si="43"/>
        <v/>
      </c>
    </row>
    <row r="2762" spans="9:10">
      <c r="I2762" t="str">
        <f>IF(OR($A2762="",$B2762=""),"",IF(COUNTIFS($A$2:$A2762,$A2762,$B$2:$B2762,$B2762)=1,1,0))</f>
        <v/>
      </c>
      <c r="J2762" t="str">
        <f t="shared" si="43"/>
        <v/>
      </c>
    </row>
    <row r="2763" spans="9:10">
      <c r="I2763" t="str">
        <f>IF(OR($A2763="",$B2763=""),"",IF(COUNTIFS($A$2:$A2763,$A2763,$B$2:$B2763,$B2763)=1,1,0))</f>
        <v/>
      </c>
      <c r="J2763" t="str">
        <f t="shared" si="43"/>
        <v/>
      </c>
    </row>
    <row r="2764" spans="9:10">
      <c r="I2764" t="str">
        <f>IF(OR($A2764="",$B2764=""),"",IF(COUNTIFS($A$2:$A2764,$A2764,$B$2:$B2764,$B2764)=1,1,0))</f>
        <v/>
      </c>
      <c r="J2764" t="str">
        <f t="shared" si="43"/>
        <v/>
      </c>
    </row>
    <row r="2765" spans="9:10">
      <c r="I2765" t="str">
        <f>IF(OR($A2765="",$B2765=""),"",IF(COUNTIFS($A$2:$A2765,$A2765,$B$2:$B2765,$B2765)=1,1,0))</f>
        <v/>
      </c>
      <c r="J2765" t="str">
        <f t="shared" si="43"/>
        <v/>
      </c>
    </row>
    <row r="2766" spans="9:10">
      <c r="I2766" t="str">
        <f>IF(OR($A2766="",$B2766=""),"",IF(COUNTIFS($A$2:$A2766,$A2766,$B$2:$B2766,$B2766)=1,1,0))</f>
        <v/>
      </c>
      <c r="J2766" t="str">
        <f t="shared" si="43"/>
        <v/>
      </c>
    </row>
    <row r="2767" spans="9:10">
      <c r="I2767" t="str">
        <f>IF(OR($A2767="",$B2767=""),"",IF(COUNTIFS($A$2:$A2767,$A2767,$B$2:$B2767,$B2767)=1,1,0))</f>
        <v/>
      </c>
      <c r="J2767" t="str">
        <f t="shared" si="43"/>
        <v/>
      </c>
    </row>
    <row r="2768" spans="9:10">
      <c r="I2768" t="str">
        <f>IF(OR($A2768="",$B2768=""),"",IF(COUNTIFS($A$2:$A2768,$A2768,$B$2:$B2768,$B2768)=1,1,0))</f>
        <v/>
      </c>
      <c r="J2768" t="str">
        <f t="shared" si="43"/>
        <v/>
      </c>
    </row>
    <row r="2769" spans="9:10">
      <c r="I2769" t="str">
        <f>IF(OR($A2769="",$B2769=""),"",IF(COUNTIFS($A$2:$A2769,$A2769,$B$2:$B2769,$B2769)=1,1,0))</f>
        <v/>
      </c>
      <c r="J2769" t="str">
        <f t="shared" si="43"/>
        <v/>
      </c>
    </row>
    <row r="2770" spans="9:10">
      <c r="I2770" t="str">
        <f>IF(OR($A2770="",$B2770=""),"",IF(COUNTIFS($A$2:$A2770,$A2770,$B$2:$B2770,$B2770)=1,1,0))</f>
        <v/>
      </c>
      <c r="J2770" t="str">
        <f t="shared" si="43"/>
        <v/>
      </c>
    </row>
    <row r="2771" spans="9:10">
      <c r="I2771" t="str">
        <f>IF(OR($A2771="",$B2771=""),"",IF(COUNTIFS($A$2:$A2771,$A2771,$B$2:$B2771,$B2771)=1,1,0))</f>
        <v/>
      </c>
      <c r="J2771" t="str">
        <f t="shared" si="43"/>
        <v/>
      </c>
    </row>
    <row r="2772" spans="9:10">
      <c r="I2772" t="str">
        <f>IF(OR($A2772="",$B2772=""),"",IF(COUNTIFS($A$2:$A2772,$A2772,$B$2:$B2772,$B2772)=1,1,0))</f>
        <v/>
      </c>
      <c r="J2772" t="str">
        <f t="shared" si="43"/>
        <v/>
      </c>
    </row>
    <row r="2773" spans="9:10">
      <c r="I2773" t="str">
        <f>IF(OR($A2773="",$B2773=""),"",IF(COUNTIFS($A$2:$A2773,$A2773,$B$2:$B2773,$B2773)=1,1,0))</f>
        <v/>
      </c>
      <c r="J2773" t="str">
        <f t="shared" si="43"/>
        <v/>
      </c>
    </row>
    <row r="2774" spans="9:10">
      <c r="I2774" t="str">
        <f>IF(OR($A2774="",$B2774=""),"",IF(COUNTIFS($A$2:$A2774,$A2774,$B$2:$B2774,$B2774)=1,1,0))</f>
        <v/>
      </c>
      <c r="J2774" t="str">
        <f t="shared" si="43"/>
        <v/>
      </c>
    </row>
    <row r="2775" spans="9:10">
      <c r="I2775" t="str">
        <f>IF(OR($A2775="",$B2775=""),"",IF(COUNTIFS($A$2:$A2775,$A2775,$B$2:$B2775,$B2775)=1,1,0))</f>
        <v/>
      </c>
      <c r="J2775" t="str">
        <f t="shared" si="43"/>
        <v/>
      </c>
    </row>
    <row r="2776" spans="9:10">
      <c r="I2776" t="str">
        <f>IF(OR($A2776="",$B2776=""),"",IF(COUNTIFS($A$2:$A2776,$A2776,$B$2:$B2776,$B2776)=1,1,0))</f>
        <v/>
      </c>
      <c r="J2776" t="str">
        <f t="shared" si="43"/>
        <v/>
      </c>
    </row>
    <row r="2777" spans="9:10">
      <c r="I2777" t="str">
        <f>IF(OR($A2777="",$B2777=""),"",IF(COUNTIFS($A$2:$A2777,$A2777,$B$2:$B2777,$B2777)=1,1,0))</f>
        <v/>
      </c>
      <c r="J2777" t="str">
        <f t="shared" si="43"/>
        <v/>
      </c>
    </row>
    <row r="2778" spans="9:10">
      <c r="I2778" t="str">
        <f>IF(OR($A2778="",$B2778=""),"",IF(COUNTIFS($A$2:$A2778,$A2778,$B$2:$B2778,$B2778)=1,1,0))</f>
        <v/>
      </c>
      <c r="J2778" t="str">
        <f t="shared" si="43"/>
        <v/>
      </c>
    </row>
    <row r="2779" spans="9:10">
      <c r="I2779" t="str">
        <f>IF(OR($A2779="",$B2779=""),"",IF(COUNTIFS($A$2:$A2779,$A2779,$B$2:$B2779,$B2779)=1,1,0))</f>
        <v/>
      </c>
      <c r="J2779" t="str">
        <f t="shared" si="43"/>
        <v/>
      </c>
    </row>
    <row r="2780" spans="9:10">
      <c r="I2780" t="str">
        <f>IF(OR($A2780="",$B2780=""),"",IF(COUNTIFS($A$2:$A2780,$A2780,$B$2:$B2780,$B2780)=1,1,0))</f>
        <v/>
      </c>
      <c r="J2780" t="str">
        <f t="shared" si="43"/>
        <v/>
      </c>
    </row>
    <row r="2781" spans="9:10">
      <c r="I2781" t="str">
        <f>IF(OR($A2781="",$B2781=""),"",IF(COUNTIFS($A$2:$A2781,$A2781,$B$2:$B2781,$B2781)=1,1,0))</f>
        <v/>
      </c>
      <c r="J2781" t="str">
        <f t="shared" si="43"/>
        <v/>
      </c>
    </row>
    <row r="2782" spans="9:10">
      <c r="I2782" t="str">
        <f>IF(OR($A2782="",$B2782=""),"",IF(COUNTIFS($A$2:$A2782,$A2782,$B$2:$B2782,$B2782)=1,1,0))</f>
        <v/>
      </c>
      <c r="J2782" t="str">
        <f t="shared" si="43"/>
        <v/>
      </c>
    </row>
    <row r="2783" spans="9:10">
      <c r="I2783" t="str">
        <f>IF(OR($A2783="",$B2783=""),"",IF(COUNTIFS($A$2:$A2783,$A2783,$B$2:$B2783,$B2783)=1,1,0))</f>
        <v/>
      </c>
      <c r="J2783" t="str">
        <f t="shared" si="43"/>
        <v/>
      </c>
    </row>
    <row r="2784" spans="9:10">
      <c r="I2784" t="str">
        <f>IF(OR($A2784="",$B2784=""),"",IF(COUNTIFS($A$2:$A2784,$A2784,$B$2:$B2784,$B2784)=1,1,0))</f>
        <v/>
      </c>
      <c r="J2784" t="str">
        <f t="shared" si="43"/>
        <v/>
      </c>
    </row>
    <row r="2785" spans="9:10">
      <c r="I2785" t="str">
        <f>IF(OR($A2785="",$B2785=""),"",IF(COUNTIFS($A$2:$A2785,$A2785,$B$2:$B2785,$B2785)=1,1,0))</f>
        <v/>
      </c>
      <c r="J2785" t="str">
        <f t="shared" si="43"/>
        <v/>
      </c>
    </row>
    <row r="2786" spans="9:10">
      <c r="I2786" t="str">
        <f>IF(OR($A2786="",$B2786=""),"",IF(COUNTIFS($A$2:$A2786,$A2786,$B$2:$B2786,$B2786)=1,1,0))</f>
        <v/>
      </c>
      <c r="J2786" t="str">
        <f t="shared" si="43"/>
        <v/>
      </c>
    </row>
    <row r="2787" spans="9:10">
      <c r="I2787" t="str">
        <f>IF(OR($A2787="",$B2787=""),"",IF(COUNTIFS($A$2:$A2787,$A2787,$B$2:$B2787,$B2787)=1,1,0))</f>
        <v/>
      </c>
      <c r="J2787" t="str">
        <f t="shared" si="43"/>
        <v/>
      </c>
    </row>
    <row r="2788" spans="9:10">
      <c r="I2788" t="str">
        <f>IF(OR($A2788="",$B2788=""),"",IF(COUNTIFS($A$2:$A2788,$A2788,$B$2:$B2788,$B2788)=1,1,0))</f>
        <v/>
      </c>
      <c r="J2788" t="str">
        <f t="shared" si="43"/>
        <v/>
      </c>
    </row>
    <row r="2789" spans="9:10">
      <c r="I2789" t="str">
        <f>IF(OR($A2789="",$B2789=""),"",IF(COUNTIFS($A$2:$A2789,$A2789,$B$2:$B2789,$B2789)=1,1,0))</f>
        <v/>
      </c>
      <c r="J2789" t="str">
        <f t="shared" si="43"/>
        <v/>
      </c>
    </row>
    <row r="2790" spans="9:10">
      <c r="I2790" t="str">
        <f>IF(OR($A2790="",$B2790=""),"",IF(COUNTIFS($A$2:$A2790,$A2790,$B$2:$B2790,$B2790)=1,1,0))</f>
        <v/>
      </c>
      <c r="J2790" t="str">
        <f t="shared" si="43"/>
        <v/>
      </c>
    </row>
    <row r="2791" spans="9:10">
      <c r="I2791" t="str">
        <f>IF(OR($A2791="",$B2791=""),"",IF(COUNTIFS($A$2:$A2791,$A2791,$B$2:$B2791,$B2791)=1,1,0))</f>
        <v/>
      </c>
      <c r="J2791" t="str">
        <f t="shared" si="43"/>
        <v/>
      </c>
    </row>
    <row r="2792" spans="9:10">
      <c r="I2792" t="str">
        <f>IF(OR($A2792="",$B2792=""),"",IF(COUNTIFS($A$2:$A2792,$A2792,$B$2:$B2792,$B2792)=1,1,0))</f>
        <v/>
      </c>
      <c r="J2792" t="str">
        <f t="shared" si="43"/>
        <v/>
      </c>
    </row>
    <row r="2793" spans="9:10">
      <c r="I2793" t="str">
        <f>IF(OR($A2793="",$B2793=""),"",IF(COUNTIFS($A$2:$A2793,$A2793,$B$2:$B2793,$B2793)=1,1,0))</f>
        <v/>
      </c>
      <c r="J2793" t="str">
        <f t="shared" si="43"/>
        <v/>
      </c>
    </row>
    <row r="2794" spans="9:10">
      <c r="I2794" t="str">
        <f>IF(OR($A2794="",$B2794=""),"",IF(COUNTIFS($A$2:$A2794,$A2794,$B$2:$B2794,$B2794)=1,1,0))</f>
        <v/>
      </c>
      <c r="J2794" t="str">
        <f t="shared" si="43"/>
        <v/>
      </c>
    </row>
    <row r="2795" spans="9:10">
      <c r="I2795" t="str">
        <f>IF(OR($A2795="",$B2795=""),"",IF(COUNTIFS($A$2:$A2795,$A2795,$B$2:$B2795,$B2795)=1,1,0))</f>
        <v/>
      </c>
      <c r="J2795" t="str">
        <f t="shared" si="43"/>
        <v/>
      </c>
    </row>
    <row r="2796" spans="9:10">
      <c r="I2796" t="str">
        <f>IF(OR($A2796="",$B2796=""),"",IF(COUNTIFS($A$2:$A2796,$A2796,$B$2:$B2796,$B2796)=1,1,0))</f>
        <v/>
      </c>
      <c r="J2796" t="str">
        <f t="shared" si="43"/>
        <v/>
      </c>
    </row>
    <row r="2797" spans="9:10">
      <c r="I2797" t="str">
        <f>IF(OR($A2797="",$B2797=""),"",IF(COUNTIFS($A$2:$A2797,$A2797,$B$2:$B2797,$B2797)=1,1,0))</f>
        <v/>
      </c>
      <c r="J2797" t="str">
        <f t="shared" si="43"/>
        <v/>
      </c>
    </row>
    <row r="2798" spans="9:10">
      <c r="I2798" t="str">
        <f>IF(OR($A2798="",$B2798=""),"",IF(COUNTIFS($A$2:$A2798,$A2798,$B$2:$B2798,$B2798)=1,1,0))</f>
        <v/>
      </c>
      <c r="J2798" t="str">
        <f t="shared" si="43"/>
        <v/>
      </c>
    </row>
    <row r="2799" spans="9:10">
      <c r="I2799" t="str">
        <f>IF(OR($A2799="",$B2799=""),"",IF(COUNTIFS($A$2:$A2799,$A2799,$B$2:$B2799,$B2799)=1,1,0))</f>
        <v/>
      </c>
      <c r="J2799" t="str">
        <f t="shared" si="43"/>
        <v/>
      </c>
    </row>
    <row r="2800" spans="9:10">
      <c r="I2800" t="str">
        <f>IF(OR($A2800="",$B2800=""),"",IF(COUNTIFS($A$2:$A2800,$A2800,$B$2:$B2800,$B2800)=1,1,0))</f>
        <v/>
      </c>
      <c r="J2800" t="str">
        <f t="shared" si="43"/>
        <v/>
      </c>
    </row>
    <row r="2801" spans="9:10">
      <c r="I2801" t="str">
        <f>IF(OR($A2801="",$B2801=""),"",IF(COUNTIFS($A$2:$A2801,$A2801,$B$2:$B2801,$B2801)=1,1,0))</f>
        <v/>
      </c>
      <c r="J2801" t="str">
        <f t="shared" si="43"/>
        <v/>
      </c>
    </row>
    <row r="2802" spans="9:10">
      <c r="I2802" t="str">
        <f>IF(OR($A2802="",$B2802=""),"",IF(COUNTIFS($A$2:$A2802,$A2802,$B$2:$B2802,$B2802)=1,1,0))</f>
        <v/>
      </c>
      <c r="J2802" t="str">
        <f t="shared" si="43"/>
        <v/>
      </c>
    </row>
    <row r="2803" spans="9:10">
      <c r="I2803" t="str">
        <f>IF(OR($A2803="",$B2803=""),"",IF(COUNTIFS($A$2:$A2803,$A2803,$B$2:$B2803,$B2803)=1,1,0))</f>
        <v/>
      </c>
      <c r="J2803" t="str">
        <f t="shared" si="43"/>
        <v/>
      </c>
    </row>
    <row r="2804" spans="9:10">
      <c r="I2804" t="str">
        <f>IF(OR($A2804="",$B2804=""),"",IF(COUNTIFS($A$2:$A2804,$A2804,$B$2:$B2804,$B2804)=1,1,0))</f>
        <v/>
      </c>
      <c r="J2804" t="str">
        <f t="shared" si="43"/>
        <v/>
      </c>
    </row>
    <row r="2805" spans="9:10">
      <c r="I2805" t="str">
        <f>IF(OR($A2805="",$B2805=""),"",IF(COUNTIFS($A$2:$A2805,$A2805,$B$2:$B2805,$B2805)=1,1,0))</f>
        <v/>
      </c>
      <c r="J2805" t="str">
        <f t="shared" si="43"/>
        <v/>
      </c>
    </row>
    <row r="2806" spans="9:10">
      <c r="I2806" t="str">
        <f>IF(OR($A2806="",$B2806=""),"",IF(COUNTIFS($A$2:$A2806,$A2806,$B$2:$B2806,$B2806)=1,1,0))</f>
        <v/>
      </c>
      <c r="J2806" t="str">
        <f t="shared" si="43"/>
        <v/>
      </c>
    </row>
    <row r="2807" spans="9:10">
      <c r="I2807" t="str">
        <f>IF(OR($A2807="",$B2807=""),"",IF(COUNTIFS($A$2:$A2807,$A2807,$B$2:$B2807,$B2807)=1,1,0))</f>
        <v/>
      </c>
      <c r="J2807" t="str">
        <f t="shared" si="43"/>
        <v/>
      </c>
    </row>
    <row r="2808" spans="9:10">
      <c r="I2808" t="str">
        <f>IF(OR($A2808="",$B2808=""),"",IF(COUNTIFS($A$2:$A2808,$A2808,$B$2:$B2808,$B2808)=1,1,0))</f>
        <v/>
      </c>
      <c r="J2808" t="str">
        <f t="shared" si="43"/>
        <v/>
      </c>
    </row>
    <row r="2809" spans="9:10">
      <c r="I2809" t="str">
        <f>IF(OR($A2809="",$B2809=""),"",IF(COUNTIFS($A$2:$A2809,$A2809,$B$2:$B2809,$B2809)=1,1,0))</f>
        <v/>
      </c>
      <c r="J2809" t="str">
        <f t="shared" si="43"/>
        <v/>
      </c>
    </row>
    <row r="2810" spans="9:10">
      <c r="I2810" t="str">
        <f>IF(OR($A2810="",$B2810=""),"",IF(COUNTIFS($A$2:$A2810,$A2810,$B$2:$B2810,$B2810)=1,1,0))</f>
        <v/>
      </c>
      <c r="J2810" t="str">
        <f t="shared" si="43"/>
        <v/>
      </c>
    </row>
    <row r="2811" spans="9:10">
      <c r="I2811" t="str">
        <f>IF(OR($A2811="",$B2811=""),"",IF(COUNTIFS($A$2:$A2811,$A2811,$B$2:$B2811,$B2811)=1,1,0))</f>
        <v/>
      </c>
      <c r="J2811" t="str">
        <f t="shared" si="43"/>
        <v/>
      </c>
    </row>
    <row r="2812" spans="9:10">
      <c r="I2812" t="str">
        <f>IF(OR($A2812="",$B2812=""),"",IF(COUNTIFS($A$2:$A2812,$A2812,$B$2:$B2812,$B2812)=1,1,0))</f>
        <v/>
      </c>
      <c r="J2812" t="str">
        <f t="shared" si="43"/>
        <v/>
      </c>
    </row>
    <row r="2813" spans="9:10">
      <c r="I2813" t="str">
        <f>IF(OR($A2813="",$B2813=""),"",IF(COUNTIFS($A$2:$A2813,$A2813,$B$2:$B2813,$B2813)=1,1,0))</f>
        <v/>
      </c>
      <c r="J2813" t="str">
        <f t="shared" si="43"/>
        <v/>
      </c>
    </row>
    <row r="2814" spans="9:10">
      <c r="I2814" t="str">
        <f>IF(OR($A2814="",$B2814=""),"",IF(COUNTIFS($A$2:$A2814,$A2814,$B$2:$B2814,$B2814)=1,1,0))</f>
        <v/>
      </c>
      <c r="J2814" t="str">
        <f t="shared" si="43"/>
        <v/>
      </c>
    </row>
    <row r="2815" spans="9:10">
      <c r="I2815" t="str">
        <f>IF(OR($A2815="",$B2815=""),"",IF(COUNTIFS($A$2:$A2815,$A2815,$B$2:$B2815,$B2815)=1,1,0))</f>
        <v/>
      </c>
      <c r="J2815" t="str">
        <f t="shared" si="43"/>
        <v/>
      </c>
    </row>
    <row r="2816" spans="9:10">
      <c r="I2816" t="str">
        <f>IF(OR($A2816="",$B2816=""),"",IF(COUNTIFS($A$2:$A2816,$A2816,$B$2:$B2816,$B2816)=1,1,0))</f>
        <v/>
      </c>
      <c r="J2816" t="str">
        <f t="shared" si="43"/>
        <v/>
      </c>
    </row>
    <row r="2817" spans="9:10">
      <c r="I2817" t="str">
        <f>IF(OR($A2817="",$B2817=""),"",IF(COUNTIFS($A$2:$A2817,$A2817,$B$2:$B2817,$B2817)=1,1,0))</f>
        <v/>
      </c>
      <c r="J2817" t="str">
        <f t="shared" si="43"/>
        <v/>
      </c>
    </row>
    <row r="2818" spans="9:10">
      <c r="I2818" t="str">
        <f>IF(OR($A2818="",$B2818=""),"",IF(COUNTIFS($A$2:$A2818,$A2818,$B$2:$B2818,$B2818)=1,1,0))</f>
        <v/>
      </c>
      <c r="J2818" t="str">
        <f t="shared" ref="J2818:J2881" si="44">IF($A2818="","",ROW())</f>
        <v/>
      </c>
    </row>
    <row r="2819" spans="9:10">
      <c r="I2819" t="str">
        <f>IF(OR($A2819="",$B2819=""),"",IF(COUNTIFS($A$2:$A2819,$A2819,$B$2:$B2819,$B2819)=1,1,0))</f>
        <v/>
      </c>
      <c r="J2819" t="str">
        <f t="shared" si="44"/>
        <v/>
      </c>
    </row>
    <row r="2820" spans="9:10">
      <c r="I2820" t="str">
        <f>IF(OR($A2820="",$B2820=""),"",IF(COUNTIFS($A$2:$A2820,$A2820,$B$2:$B2820,$B2820)=1,1,0))</f>
        <v/>
      </c>
      <c r="J2820" t="str">
        <f t="shared" si="44"/>
        <v/>
      </c>
    </row>
    <row r="2821" spans="9:10">
      <c r="I2821" t="str">
        <f>IF(OR($A2821="",$B2821=""),"",IF(COUNTIFS($A$2:$A2821,$A2821,$B$2:$B2821,$B2821)=1,1,0))</f>
        <v/>
      </c>
      <c r="J2821" t="str">
        <f t="shared" si="44"/>
        <v/>
      </c>
    </row>
    <row r="2822" spans="9:10">
      <c r="I2822" t="str">
        <f>IF(OR($A2822="",$B2822=""),"",IF(COUNTIFS($A$2:$A2822,$A2822,$B$2:$B2822,$B2822)=1,1,0))</f>
        <v/>
      </c>
      <c r="J2822" t="str">
        <f t="shared" si="44"/>
        <v/>
      </c>
    </row>
    <row r="2823" spans="9:10">
      <c r="I2823" t="str">
        <f>IF(OR($A2823="",$B2823=""),"",IF(COUNTIFS($A$2:$A2823,$A2823,$B$2:$B2823,$B2823)=1,1,0))</f>
        <v/>
      </c>
      <c r="J2823" t="str">
        <f t="shared" si="44"/>
        <v/>
      </c>
    </row>
    <row r="2824" spans="9:10">
      <c r="I2824" t="str">
        <f>IF(OR($A2824="",$B2824=""),"",IF(COUNTIFS($A$2:$A2824,$A2824,$B$2:$B2824,$B2824)=1,1,0))</f>
        <v/>
      </c>
      <c r="J2824" t="str">
        <f t="shared" si="44"/>
        <v/>
      </c>
    </row>
    <row r="2825" spans="9:10">
      <c r="I2825" t="str">
        <f>IF(OR($A2825="",$B2825=""),"",IF(COUNTIFS($A$2:$A2825,$A2825,$B$2:$B2825,$B2825)=1,1,0))</f>
        <v/>
      </c>
      <c r="J2825" t="str">
        <f t="shared" si="44"/>
        <v/>
      </c>
    </row>
    <row r="2826" spans="9:10">
      <c r="I2826" t="str">
        <f>IF(OR($A2826="",$B2826=""),"",IF(COUNTIFS($A$2:$A2826,$A2826,$B$2:$B2826,$B2826)=1,1,0))</f>
        <v/>
      </c>
      <c r="J2826" t="str">
        <f t="shared" si="44"/>
        <v/>
      </c>
    </row>
    <row r="2827" spans="9:10">
      <c r="I2827" t="str">
        <f>IF(OR($A2827="",$B2827=""),"",IF(COUNTIFS($A$2:$A2827,$A2827,$B$2:$B2827,$B2827)=1,1,0))</f>
        <v/>
      </c>
      <c r="J2827" t="str">
        <f t="shared" si="44"/>
        <v/>
      </c>
    </row>
    <row r="2828" spans="9:10">
      <c r="I2828" t="str">
        <f>IF(OR($A2828="",$B2828=""),"",IF(COUNTIFS($A$2:$A2828,$A2828,$B$2:$B2828,$B2828)=1,1,0))</f>
        <v/>
      </c>
      <c r="J2828" t="str">
        <f t="shared" si="44"/>
        <v/>
      </c>
    </row>
    <row r="2829" spans="9:10">
      <c r="I2829" t="str">
        <f>IF(OR($A2829="",$B2829=""),"",IF(COUNTIFS($A$2:$A2829,$A2829,$B$2:$B2829,$B2829)=1,1,0))</f>
        <v/>
      </c>
      <c r="J2829" t="str">
        <f t="shared" si="44"/>
        <v/>
      </c>
    </row>
    <row r="2830" spans="9:10">
      <c r="I2830" t="str">
        <f>IF(OR($A2830="",$B2830=""),"",IF(COUNTIFS($A$2:$A2830,$A2830,$B$2:$B2830,$B2830)=1,1,0))</f>
        <v/>
      </c>
      <c r="J2830" t="str">
        <f t="shared" si="44"/>
        <v/>
      </c>
    </row>
    <row r="2831" spans="9:10">
      <c r="I2831" t="str">
        <f>IF(OR($A2831="",$B2831=""),"",IF(COUNTIFS($A$2:$A2831,$A2831,$B$2:$B2831,$B2831)=1,1,0))</f>
        <v/>
      </c>
      <c r="J2831" t="str">
        <f t="shared" si="44"/>
        <v/>
      </c>
    </row>
    <row r="2832" spans="9:10">
      <c r="I2832" t="str">
        <f>IF(OR($A2832="",$B2832=""),"",IF(COUNTIFS($A$2:$A2832,$A2832,$B$2:$B2832,$B2832)=1,1,0))</f>
        <v/>
      </c>
      <c r="J2832" t="str">
        <f t="shared" si="44"/>
        <v/>
      </c>
    </row>
    <row r="2833" spans="9:10">
      <c r="I2833" t="str">
        <f>IF(OR($A2833="",$B2833=""),"",IF(COUNTIFS($A$2:$A2833,$A2833,$B$2:$B2833,$B2833)=1,1,0))</f>
        <v/>
      </c>
      <c r="J2833" t="str">
        <f t="shared" si="44"/>
        <v/>
      </c>
    </row>
    <row r="2834" spans="9:10">
      <c r="I2834" t="str">
        <f>IF(OR($A2834="",$B2834=""),"",IF(COUNTIFS($A$2:$A2834,$A2834,$B$2:$B2834,$B2834)=1,1,0))</f>
        <v/>
      </c>
      <c r="J2834" t="str">
        <f t="shared" si="44"/>
        <v/>
      </c>
    </row>
    <row r="2835" spans="9:10">
      <c r="I2835" t="str">
        <f>IF(OR($A2835="",$B2835=""),"",IF(COUNTIFS($A$2:$A2835,$A2835,$B$2:$B2835,$B2835)=1,1,0))</f>
        <v/>
      </c>
      <c r="J2835" t="str">
        <f t="shared" si="44"/>
        <v/>
      </c>
    </row>
    <row r="2836" spans="9:10">
      <c r="I2836" t="str">
        <f>IF(OR($A2836="",$B2836=""),"",IF(COUNTIFS($A$2:$A2836,$A2836,$B$2:$B2836,$B2836)=1,1,0))</f>
        <v/>
      </c>
      <c r="J2836" t="str">
        <f t="shared" si="44"/>
        <v/>
      </c>
    </row>
    <row r="2837" spans="9:10">
      <c r="I2837" t="str">
        <f>IF(OR($A2837="",$B2837=""),"",IF(COUNTIFS($A$2:$A2837,$A2837,$B$2:$B2837,$B2837)=1,1,0))</f>
        <v/>
      </c>
      <c r="J2837" t="str">
        <f t="shared" si="44"/>
        <v/>
      </c>
    </row>
    <row r="2838" spans="9:10">
      <c r="I2838" t="str">
        <f>IF(OR($A2838="",$B2838=""),"",IF(COUNTIFS($A$2:$A2838,$A2838,$B$2:$B2838,$B2838)=1,1,0))</f>
        <v/>
      </c>
      <c r="J2838" t="str">
        <f t="shared" si="44"/>
        <v/>
      </c>
    </row>
    <row r="2839" spans="9:10">
      <c r="I2839" t="str">
        <f>IF(OR($A2839="",$B2839=""),"",IF(COUNTIFS($A$2:$A2839,$A2839,$B$2:$B2839,$B2839)=1,1,0))</f>
        <v/>
      </c>
      <c r="J2839" t="str">
        <f t="shared" si="44"/>
        <v/>
      </c>
    </row>
    <row r="2840" spans="9:10">
      <c r="I2840" t="str">
        <f>IF(OR($A2840="",$B2840=""),"",IF(COUNTIFS($A$2:$A2840,$A2840,$B$2:$B2840,$B2840)=1,1,0))</f>
        <v/>
      </c>
      <c r="J2840" t="str">
        <f t="shared" si="44"/>
        <v/>
      </c>
    </row>
    <row r="2841" spans="9:10">
      <c r="I2841" t="str">
        <f>IF(OR($A2841="",$B2841=""),"",IF(COUNTIFS($A$2:$A2841,$A2841,$B$2:$B2841,$B2841)=1,1,0))</f>
        <v/>
      </c>
      <c r="J2841" t="str">
        <f t="shared" si="44"/>
        <v/>
      </c>
    </row>
    <row r="2842" spans="9:10">
      <c r="I2842" t="str">
        <f>IF(OR($A2842="",$B2842=""),"",IF(COUNTIFS($A$2:$A2842,$A2842,$B$2:$B2842,$B2842)=1,1,0))</f>
        <v/>
      </c>
      <c r="J2842" t="str">
        <f t="shared" si="44"/>
        <v/>
      </c>
    </row>
    <row r="2843" spans="9:10">
      <c r="I2843" t="str">
        <f>IF(OR($A2843="",$B2843=""),"",IF(COUNTIFS($A$2:$A2843,$A2843,$B$2:$B2843,$B2843)=1,1,0))</f>
        <v/>
      </c>
      <c r="J2843" t="str">
        <f t="shared" si="44"/>
        <v/>
      </c>
    </row>
    <row r="2844" spans="9:10">
      <c r="I2844" t="str">
        <f>IF(OR($A2844="",$B2844=""),"",IF(COUNTIFS($A$2:$A2844,$A2844,$B$2:$B2844,$B2844)=1,1,0))</f>
        <v/>
      </c>
      <c r="J2844" t="str">
        <f t="shared" si="44"/>
        <v/>
      </c>
    </row>
    <row r="2845" spans="9:10">
      <c r="I2845" t="str">
        <f>IF(OR($A2845="",$B2845=""),"",IF(COUNTIFS($A$2:$A2845,$A2845,$B$2:$B2845,$B2845)=1,1,0))</f>
        <v/>
      </c>
      <c r="J2845" t="str">
        <f t="shared" si="44"/>
        <v/>
      </c>
    </row>
    <row r="2846" spans="9:10">
      <c r="I2846" t="str">
        <f>IF(OR($A2846="",$B2846=""),"",IF(COUNTIFS($A$2:$A2846,$A2846,$B$2:$B2846,$B2846)=1,1,0))</f>
        <v/>
      </c>
      <c r="J2846" t="str">
        <f t="shared" si="44"/>
        <v/>
      </c>
    </row>
    <row r="2847" spans="9:10">
      <c r="I2847" t="str">
        <f>IF(OR($A2847="",$B2847=""),"",IF(COUNTIFS($A$2:$A2847,$A2847,$B$2:$B2847,$B2847)=1,1,0))</f>
        <v/>
      </c>
      <c r="J2847" t="str">
        <f t="shared" si="44"/>
        <v/>
      </c>
    </row>
    <row r="2848" spans="9:10">
      <c r="I2848" t="str">
        <f>IF(OR($A2848="",$B2848=""),"",IF(COUNTIFS($A$2:$A2848,$A2848,$B$2:$B2848,$B2848)=1,1,0))</f>
        <v/>
      </c>
      <c r="J2848" t="str">
        <f t="shared" si="44"/>
        <v/>
      </c>
    </row>
    <row r="2849" spans="9:10">
      <c r="I2849" t="str">
        <f>IF(OR($A2849="",$B2849=""),"",IF(COUNTIFS($A$2:$A2849,$A2849,$B$2:$B2849,$B2849)=1,1,0))</f>
        <v/>
      </c>
      <c r="J2849" t="str">
        <f t="shared" si="44"/>
        <v/>
      </c>
    </row>
    <row r="2850" spans="9:10">
      <c r="I2850" t="str">
        <f>IF(OR($A2850="",$B2850=""),"",IF(COUNTIFS($A$2:$A2850,$A2850,$B$2:$B2850,$B2850)=1,1,0))</f>
        <v/>
      </c>
      <c r="J2850" t="str">
        <f t="shared" si="44"/>
        <v/>
      </c>
    </row>
    <row r="2851" spans="9:10">
      <c r="I2851" t="str">
        <f>IF(OR($A2851="",$B2851=""),"",IF(COUNTIFS($A$2:$A2851,$A2851,$B$2:$B2851,$B2851)=1,1,0))</f>
        <v/>
      </c>
      <c r="J2851" t="str">
        <f t="shared" si="44"/>
        <v/>
      </c>
    </row>
    <row r="2852" spans="9:10">
      <c r="I2852" t="str">
        <f>IF(OR($A2852="",$B2852=""),"",IF(COUNTIFS($A$2:$A2852,$A2852,$B$2:$B2852,$B2852)=1,1,0))</f>
        <v/>
      </c>
      <c r="J2852" t="str">
        <f t="shared" si="44"/>
        <v/>
      </c>
    </row>
    <row r="2853" spans="9:10">
      <c r="I2853" t="str">
        <f>IF(OR($A2853="",$B2853=""),"",IF(COUNTIFS($A$2:$A2853,$A2853,$B$2:$B2853,$B2853)=1,1,0))</f>
        <v/>
      </c>
      <c r="J2853" t="str">
        <f t="shared" si="44"/>
        <v/>
      </c>
    </row>
    <row r="2854" spans="9:10">
      <c r="I2854" t="str">
        <f>IF(OR($A2854="",$B2854=""),"",IF(COUNTIFS($A$2:$A2854,$A2854,$B$2:$B2854,$B2854)=1,1,0))</f>
        <v/>
      </c>
      <c r="J2854" t="str">
        <f t="shared" si="44"/>
        <v/>
      </c>
    </row>
    <row r="2855" spans="9:10">
      <c r="I2855" t="str">
        <f>IF(OR($A2855="",$B2855=""),"",IF(COUNTIFS($A$2:$A2855,$A2855,$B$2:$B2855,$B2855)=1,1,0))</f>
        <v/>
      </c>
      <c r="J2855" t="str">
        <f t="shared" si="44"/>
        <v/>
      </c>
    </row>
    <row r="2856" spans="9:10">
      <c r="I2856" t="str">
        <f>IF(OR($A2856="",$B2856=""),"",IF(COUNTIFS($A$2:$A2856,$A2856,$B$2:$B2856,$B2856)=1,1,0))</f>
        <v/>
      </c>
      <c r="J2856" t="str">
        <f t="shared" si="44"/>
        <v/>
      </c>
    </row>
    <row r="2857" spans="9:10">
      <c r="I2857" t="str">
        <f>IF(OR($A2857="",$B2857=""),"",IF(COUNTIFS($A$2:$A2857,$A2857,$B$2:$B2857,$B2857)=1,1,0))</f>
        <v/>
      </c>
      <c r="J2857" t="str">
        <f t="shared" si="44"/>
        <v/>
      </c>
    </row>
    <row r="2858" spans="9:10">
      <c r="I2858" t="str">
        <f>IF(OR($A2858="",$B2858=""),"",IF(COUNTIFS($A$2:$A2858,$A2858,$B$2:$B2858,$B2858)=1,1,0))</f>
        <v/>
      </c>
      <c r="J2858" t="str">
        <f t="shared" si="44"/>
        <v/>
      </c>
    </row>
    <row r="2859" spans="9:10">
      <c r="I2859" t="str">
        <f>IF(OR($A2859="",$B2859=""),"",IF(COUNTIFS($A$2:$A2859,$A2859,$B$2:$B2859,$B2859)=1,1,0))</f>
        <v/>
      </c>
      <c r="J2859" t="str">
        <f t="shared" si="44"/>
        <v/>
      </c>
    </row>
    <row r="2860" spans="9:10">
      <c r="I2860" t="str">
        <f>IF(OR($A2860="",$B2860=""),"",IF(COUNTIFS($A$2:$A2860,$A2860,$B$2:$B2860,$B2860)=1,1,0))</f>
        <v/>
      </c>
      <c r="J2860" t="str">
        <f t="shared" si="44"/>
        <v/>
      </c>
    </row>
    <row r="2861" spans="9:10">
      <c r="I2861" t="str">
        <f>IF(OR($A2861="",$B2861=""),"",IF(COUNTIFS($A$2:$A2861,$A2861,$B$2:$B2861,$B2861)=1,1,0))</f>
        <v/>
      </c>
      <c r="J2861" t="str">
        <f t="shared" si="44"/>
        <v/>
      </c>
    </row>
    <row r="2862" spans="9:10">
      <c r="I2862" t="str">
        <f>IF(OR($A2862="",$B2862=""),"",IF(COUNTIFS($A$2:$A2862,$A2862,$B$2:$B2862,$B2862)=1,1,0))</f>
        <v/>
      </c>
      <c r="J2862" t="str">
        <f t="shared" si="44"/>
        <v/>
      </c>
    </row>
    <row r="2863" spans="9:10">
      <c r="I2863" t="str">
        <f>IF(OR($A2863="",$B2863=""),"",IF(COUNTIFS($A$2:$A2863,$A2863,$B$2:$B2863,$B2863)=1,1,0))</f>
        <v/>
      </c>
      <c r="J2863" t="str">
        <f t="shared" si="44"/>
        <v/>
      </c>
    </row>
    <row r="2864" spans="9:10">
      <c r="I2864" t="str">
        <f>IF(OR($A2864="",$B2864=""),"",IF(COUNTIFS($A$2:$A2864,$A2864,$B$2:$B2864,$B2864)=1,1,0))</f>
        <v/>
      </c>
      <c r="J2864" t="str">
        <f t="shared" si="44"/>
        <v/>
      </c>
    </row>
    <row r="2865" spans="9:10">
      <c r="I2865" t="str">
        <f>IF(OR($A2865="",$B2865=""),"",IF(COUNTIFS($A$2:$A2865,$A2865,$B$2:$B2865,$B2865)=1,1,0))</f>
        <v/>
      </c>
      <c r="J2865" t="str">
        <f t="shared" si="44"/>
        <v/>
      </c>
    </row>
    <row r="2866" spans="9:10">
      <c r="I2866" t="str">
        <f>IF(OR($A2866="",$B2866=""),"",IF(COUNTIFS($A$2:$A2866,$A2866,$B$2:$B2866,$B2866)=1,1,0))</f>
        <v/>
      </c>
      <c r="J2866" t="str">
        <f t="shared" si="44"/>
        <v/>
      </c>
    </row>
    <row r="2867" spans="9:10">
      <c r="I2867" t="str">
        <f>IF(OR($A2867="",$B2867=""),"",IF(COUNTIFS($A$2:$A2867,$A2867,$B$2:$B2867,$B2867)=1,1,0))</f>
        <v/>
      </c>
      <c r="J2867" t="str">
        <f t="shared" si="44"/>
        <v/>
      </c>
    </row>
    <row r="2868" spans="9:10">
      <c r="I2868" t="str">
        <f>IF(OR($A2868="",$B2868=""),"",IF(COUNTIFS($A$2:$A2868,$A2868,$B$2:$B2868,$B2868)=1,1,0))</f>
        <v/>
      </c>
      <c r="J2868" t="str">
        <f t="shared" si="44"/>
        <v/>
      </c>
    </row>
    <row r="2869" spans="9:10">
      <c r="I2869" t="str">
        <f>IF(OR($A2869="",$B2869=""),"",IF(COUNTIFS($A$2:$A2869,$A2869,$B$2:$B2869,$B2869)=1,1,0))</f>
        <v/>
      </c>
      <c r="J2869" t="str">
        <f t="shared" si="44"/>
        <v/>
      </c>
    </row>
    <row r="2870" spans="9:10">
      <c r="I2870" t="str">
        <f>IF(OR($A2870="",$B2870=""),"",IF(COUNTIFS($A$2:$A2870,$A2870,$B$2:$B2870,$B2870)=1,1,0))</f>
        <v/>
      </c>
      <c r="J2870" t="str">
        <f t="shared" si="44"/>
        <v/>
      </c>
    </row>
    <row r="2871" spans="9:10">
      <c r="I2871" t="str">
        <f>IF(OR($A2871="",$B2871=""),"",IF(COUNTIFS($A$2:$A2871,$A2871,$B$2:$B2871,$B2871)=1,1,0))</f>
        <v/>
      </c>
      <c r="J2871" t="str">
        <f t="shared" si="44"/>
        <v/>
      </c>
    </row>
    <row r="2872" spans="9:10">
      <c r="I2872" t="str">
        <f>IF(OR($A2872="",$B2872=""),"",IF(COUNTIFS($A$2:$A2872,$A2872,$B$2:$B2872,$B2872)=1,1,0))</f>
        <v/>
      </c>
      <c r="J2872" t="str">
        <f t="shared" si="44"/>
        <v/>
      </c>
    </row>
    <row r="2873" spans="9:10">
      <c r="I2873" t="str">
        <f>IF(OR($A2873="",$B2873=""),"",IF(COUNTIFS($A$2:$A2873,$A2873,$B$2:$B2873,$B2873)=1,1,0))</f>
        <v/>
      </c>
      <c r="J2873" t="str">
        <f t="shared" si="44"/>
        <v/>
      </c>
    </row>
    <row r="2874" spans="9:10">
      <c r="I2874" t="str">
        <f>IF(OR($A2874="",$B2874=""),"",IF(COUNTIFS($A$2:$A2874,$A2874,$B$2:$B2874,$B2874)=1,1,0))</f>
        <v/>
      </c>
      <c r="J2874" t="str">
        <f t="shared" si="44"/>
        <v/>
      </c>
    </row>
    <row r="2875" spans="9:10">
      <c r="I2875" t="str">
        <f>IF(OR($A2875="",$B2875=""),"",IF(COUNTIFS($A$2:$A2875,$A2875,$B$2:$B2875,$B2875)=1,1,0))</f>
        <v/>
      </c>
      <c r="J2875" t="str">
        <f t="shared" si="44"/>
        <v/>
      </c>
    </row>
    <row r="2876" spans="9:10">
      <c r="I2876" t="str">
        <f>IF(OR($A2876="",$B2876=""),"",IF(COUNTIFS($A$2:$A2876,$A2876,$B$2:$B2876,$B2876)=1,1,0))</f>
        <v/>
      </c>
      <c r="J2876" t="str">
        <f t="shared" si="44"/>
        <v/>
      </c>
    </row>
    <row r="2877" spans="9:10">
      <c r="I2877" t="str">
        <f>IF(OR($A2877="",$B2877=""),"",IF(COUNTIFS($A$2:$A2877,$A2877,$B$2:$B2877,$B2877)=1,1,0))</f>
        <v/>
      </c>
      <c r="J2877" t="str">
        <f t="shared" si="44"/>
        <v/>
      </c>
    </row>
    <row r="2878" spans="9:10">
      <c r="I2878" t="str">
        <f>IF(OR($A2878="",$B2878=""),"",IF(COUNTIFS($A$2:$A2878,$A2878,$B$2:$B2878,$B2878)=1,1,0))</f>
        <v/>
      </c>
      <c r="J2878" t="str">
        <f t="shared" si="44"/>
        <v/>
      </c>
    </row>
    <row r="2879" spans="9:10">
      <c r="I2879" t="str">
        <f>IF(OR($A2879="",$B2879=""),"",IF(COUNTIFS($A$2:$A2879,$A2879,$B$2:$B2879,$B2879)=1,1,0))</f>
        <v/>
      </c>
      <c r="J2879" t="str">
        <f t="shared" si="44"/>
        <v/>
      </c>
    </row>
    <row r="2880" spans="9:10">
      <c r="I2880" t="str">
        <f>IF(OR($A2880="",$B2880=""),"",IF(COUNTIFS($A$2:$A2880,$A2880,$B$2:$B2880,$B2880)=1,1,0))</f>
        <v/>
      </c>
      <c r="J2880" t="str">
        <f t="shared" si="44"/>
        <v/>
      </c>
    </row>
    <row r="2881" spans="9:10">
      <c r="I2881" t="str">
        <f>IF(OR($A2881="",$B2881=""),"",IF(COUNTIFS($A$2:$A2881,$A2881,$B$2:$B2881,$B2881)=1,1,0))</f>
        <v/>
      </c>
      <c r="J2881" t="str">
        <f t="shared" si="44"/>
        <v/>
      </c>
    </row>
    <row r="2882" spans="9:10">
      <c r="I2882" t="str">
        <f>IF(OR($A2882="",$B2882=""),"",IF(COUNTIFS($A$2:$A2882,$A2882,$B$2:$B2882,$B2882)=1,1,0))</f>
        <v/>
      </c>
      <c r="J2882" t="str">
        <f t="shared" ref="J2882:J2945" si="45">IF($A2882="","",ROW())</f>
        <v/>
      </c>
    </row>
    <row r="2883" spans="9:10">
      <c r="I2883" t="str">
        <f>IF(OR($A2883="",$B2883=""),"",IF(COUNTIFS($A$2:$A2883,$A2883,$B$2:$B2883,$B2883)=1,1,0))</f>
        <v/>
      </c>
      <c r="J2883" t="str">
        <f t="shared" si="45"/>
        <v/>
      </c>
    </row>
    <row r="2884" spans="9:10">
      <c r="I2884" t="str">
        <f>IF(OR($A2884="",$B2884=""),"",IF(COUNTIFS($A$2:$A2884,$A2884,$B$2:$B2884,$B2884)=1,1,0))</f>
        <v/>
      </c>
      <c r="J2884" t="str">
        <f t="shared" si="45"/>
        <v/>
      </c>
    </row>
    <row r="2885" spans="9:10">
      <c r="I2885" t="str">
        <f>IF(OR($A2885="",$B2885=""),"",IF(COUNTIFS($A$2:$A2885,$A2885,$B$2:$B2885,$B2885)=1,1,0))</f>
        <v/>
      </c>
      <c r="J2885" t="str">
        <f t="shared" si="45"/>
        <v/>
      </c>
    </row>
    <row r="2886" spans="9:10">
      <c r="I2886" t="str">
        <f>IF(OR($A2886="",$B2886=""),"",IF(COUNTIFS($A$2:$A2886,$A2886,$B$2:$B2886,$B2886)=1,1,0))</f>
        <v/>
      </c>
      <c r="J2886" t="str">
        <f t="shared" si="45"/>
        <v/>
      </c>
    </row>
    <row r="2887" spans="9:10">
      <c r="I2887" t="str">
        <f>IF(OR($A2887="",$B2887=""),"",IF(COUNTIFS($A$2:$A2887,$A2887,$B$2:$B2887,$B2887)=1,1,0))</f>
        <v/>
      </c>
      <c r="J2887" t="str">
        <f t="shared" si="45"/>
        <v/>
      </c>
    </row>
    <row r="2888" spans="9:10">
      <c r="I2888" t="str">
        <f>IF(OR($A2888="",$B2888=""),"",IF(COUNTIFS($A$2:$A2888,$A2888,$B$2:$B2888,$B2888)=1,1,0))</f>
        <v/>
      </c>
      <c r="J2888" t="str">
        <f t="shared" si="45"/>
        <v/>
      </c>
    </row>
    <row r="2889" spans="9:10">
      <c r="I2889" t="str">
        <f>IF(OR($A2889="",$B2889=""),"",IF(COUNTIFS($A$2:$A2889,$A2889,$B$2:$B2889,$B2889)=1,1,0))</f>
        <v/>
      </c>
      <c r="J2889" t="str">
        <f t="shared" si="45"/>
        <v/>
      </c>
    </row>
    <row r="2890" spans="9:10">
      <c r="I2890" t="str">
        <f>IF(OR($A2890="",$B2890=""),"",IF(COUNTIFS($A$2:$A2890,$A2890,$B$2:$B2890,$B2890)=1,1,0))</f>
        <v/>
      </c>
      <c r="J2890" t="str">
        <f t="shared" si="45"/>
        <v/>
      </c>
    </row>
    <row r="2891" spans="9:10">
      <c r="I2891" t="str">
        <f>IF(OR($A2891="",$B2891=""),"",IF(COUNTIFS($A$2:$A2891,$A2891,$B$2:$B2891,$B2891)=1,1,0))</f>
        <v/>
      </c>
      <c r="J2891" t="str">
        <f t="shared" si="45"/>
        <v/>
      </c>
    </row>
    <row r="2892" spans="9:10">
      <c r="I2892" t="str">
        <f>IF(OR($A2892="",$B2892=""),"",IF(COUNTIFS($A$2:$A2892,$A2892,$B$2:$B2892,$B2892)=1,1,0))</f>
        <v/>
      </c>
      <c r="J2892" t="str">
        <f t="shared" si="45"/>
        <v/>
      </c>
    </row>
    <row r="2893" spans="9:10">
      <c r="I2893" t="str">
        <f>IF(OR($A2893="",$B2893=""),"",IF(COUNTIFS($A$2:$A2893,$A2893,$B$2:$B2893,$B2893)=1,1,0))</f>
        <v/>
      </c>
      <c r="J2893" t="str">
        <f t="shared" si="45"/>
        <v/>
      </c>
    </row>
    <row r="2894" spans="9:10">
      <c r="I2894" t="str">
        <f>IF(OR($A2894="",$B2894=""),"",IF(COUNTIFS($A$2:$A2894,$A2894,$B$2:$B2894,$B2894)=1,1,0))</f>
        <v/>
      </c>
      <c r="J2894" t="str">
        <f t="shared" si="45"/>
        <v/>
      </c>
    </row>
    <row r="2895" spans="9:10">
      <c r="I2895" t="str">
        <f>IF(OR($A2895="",$B2895=""),"",IF(COUNTIFS($A$2:$A2895,$A2895,$B$2:$B2895,$B2895)=1,1,0))</f>
        <v/>
      </c>
      <c r="J2895" t="str">
        <f t="shared" si="45"/>
        <v/>
      </c>
    </row>
    <row r="2896" spans="9:10">
      <c r="I2896" t="str">
        <f>IF(OR($A2896="",$B2896=""),"",IF(COUNTIFS($A$2:$A2896,$A2896,$B$2:$B2896,$B2896)=1,1,0))</f>
        <v/>
      </c>
      <c r="J2896" t="str">
        <f t="shared" si="45"/>
        <v/>
      </c>
    </row>
    <row r="2897" spans="9:10">
      <c r="I2897" t="str">
        <f>IF(OR($A2897="",$B2897=""),"",IF(COUNTIFS($A$2:$A2897,$A2897,$B$2:$B2897,$B2897)=1,1,0))</f>
        <v/>
      </c>
      <c r="J2897" t="str">
        <f t="shared" si="45"/>
        <v/>
      </c>
    </row>
    <row r="2898" spans="9:10">
      <c r="I2898" t="str">
        <f>IF(OR($A2898="",$B2898=""),"",IF(COUNTIFS($A$2:$A2898,$A2898,$B$2:$B2898,$B2898)=1,1,0))</f>
        <v/>
      </c>
      <c r="J2898" t="str">
        <f t="shared" si="45"/>
        <v/>
      </c>
    </row>
    <row r="2899" spans="9:10">
      <c r="I2899" t="str">
        <f>IF(OR($A2899="",$B2899=""),"",IF(COUNTIFS($A$2:$A2899,$A2899,$B$2:$B2899,$B2899)=1,1,0))</f>
        <v/>
      </c>
      <c r="J2899" t="str">
        <f t="shared" si="45"/>
        <v/>
      </c>
    </row>
    <row r="2900" spans="9:10">
      <c r="I2900" t="str">
        <f>IF(OR($A2900="",$B2900=""),"",IF(COUNTIFS($A$2:$A2900,$A2900,$B$2:$B2900,$B2900)=1,1,0))</f>
        <v/>
      </c>
      <c r="J2900" t="str">
        <f t="shared" si="45"/>
        <v/>
      </c>
    </row>
    <row r="2901" spans="9:10">
      <c r="I2901" t="str">
        <f>IF(OR($A2901="",$B2901=""),"",IF(COUNTIFS($A$2:$A2901,$A2901,$B$2:$B2901,$B2901)=1,1,0))</f>
        <v/>
      </c>
      <c r="J2901" t="str">
        <f t="shared" si="45"/>
        <v/>
      </c>
    </row>
    <row r="2902" spans="9:10">
      <c r="I2902" t="str">
        <f>IF(OR($A2902="",$B2902=""),"",IF(COUNTIFS($A$2:$A2902,$A2902,$B$2:$B2902,$B2902)=1,1,0))</f>
        <v/>
      </c>
      <c r="J2902" t="str">
        <f t="shared" si="45"/>
        <v/>
      </c>
    </row>
    <row r="2903" spans="9:10">
      <c r="I2903" t="str">
        <f>IF(OR($A2903="",$B2903=""),"",IF(COUNTIFS($A$2:$A2903,$A2903,$B$2:$B2903,$B2903)=1,1,0))</f>
        <v/>
      </c>
      <c r="J2903" t="str">
        <f t="shared" si="45"/>
        <v/>
      </c>
    </row>
    <row r="2904" spans="9:10">
      <c r="I2904" t="str">
        <f>IF(OR($A2904="",$B2904=""),"",IF(COUNTIFS($A$2:$A2904,$A2904,$B$2:$B2904,$B2904)=1,1,0))</f>
        <v/>
      </c>
      <c r="J2904" t="str">
        <f t="shared" si="45"/>
        <v/>
      </c>
    </row>
    <row r="2905" spans="9:10">
      <c r="I2905" t="str">
        <f>IF(OR($A2905="",$B2905=""),"",IF(COUNTIFS($A$2:$A2905,$A2905,$B$2:$B2905,$B2905)=1,1,0))</f>
        <v/>
      </c>
      <c r="J2905" t="str">
        <f t="shared" si="45"/>
        <v/>
      </c>
    </row>
    <row r="2906" spans="9:10">
      <c r="I2906" t="str">
        <f>IF(OR($A2906="",$B2906=""),"",IF(COUNTIFS($A$2:$A2906,$A2906,$B$2:$B2906,$B2906)=1,1,0))</f>
        <v/>
      </c>
      <c r="J2906" t="str">
        <f t="shared" si="45"/>
        <v/>
      </c>
    </row>
    <row r="2907" spans="9:10">
      <c r="I2907" t="str">
        <f>IF(OR($A2907="",$B2907=""),"",IF(COUNTIFS($A$2:$A2907,$A2907,$B$2:$B2907,$B2907)=1,1,0))</f>
        <v/>
      </c>
      <c r="J2907" t="str">
        <f t="shared" si="45"/>
        <v/>
      </c>
    </row>
    <row r="2908" spans="9:10">
      <c r="I2908" t="str">
        <f>IF(OR($A2908="",$B2908=""),"",IF(COUNTIFS($A$2:$A2908,$A2908,$B$2:$B2908,$B2908)=1,1,0))</f>
        <v/>
      </c>
      <c r="J2908" t="str">
        <f t="shared" si="45"/>
        <v/>
      </c>
    </row>
    <row r="2909" spans="9:10">
      <c r="I2909" t="str">
        <f>IF(OR($A2909="",$B2909=""),"",IF(COUNTIFS($A$2:$A2909,$A2909,$B$2:$B2909,$B2909)=1,1,0))</f>
        <v/>
      </c>
      <c r="J2909" t="str">
        <f t="shared" si="45"/>
        <v/>
      </c>
    </row>
    <row r="2910" spans="9:10">
      <c r="I2910" t="str">
        <f>IF(OR($A2910="",$B2910=""),"",IF(COUNTIFS($A$2:$A2910,$A2910,$B$2:$B2910,$B2910)=1,1,0))</f>
        <v/>
      </c>
      <c r="J2910" t="str">
        <f t="shared" si="45"/>
        <v/>
      </c>
    </row>
    <row r="2911" spans="9:10">
      <c r="I2911" t="str">
        <f>IF(OR($A2911="",$B2911=""),"",IF(COUNTIFS($A$2:$A2911,$A2911,$B$2:$B2911,$B2911)=1,1,0))</f>
        <v/>
      </c>
      <c r="J2911" t="str">
        <f t="shared" si="45"/>
        <v/>
      </c>
    </row>
    <row r="2912" spans="9:10">
      <c r="I2912" t="str">
        <f>IF(OR($A2912="",$B2912=""),"",IF(COUNTIFS($A$2:$A2912,$A2912,$B$2:$B2912,$B2912)=1,1,0))</f>
        <v/>
      </c>
      <c r="J2912" t="str">
        <f t="shared" si="45"/>
        <v/>
      </c>
    </row>
    <row r="2913" spans="9:10">
      <c r="I2913" t="str">
        <f>IF(OR($A2913="",$B2913=""),"",IF(COUNTIFS($A$2:$A2913,$A2913,$B$2:$B2913,$B2913)=1,1,0))</f>
        <v/>
      </c>
      <c r="J2913" t="str">
        <f t="shared" si="45"/>
        <v/>
      </c>
    </row>
    <row r="2914" spans="9:10">
      <c r="I2914" t="str">
        <f>IF(OR($A2914="",$B2914=""),"",IF(COUNTIFS($A$2:$A2914,$A2914,$B$2:$B2914,$B2914)=1,1,0))</f>
        <v/>
      </c>
      <c r="J2914" t="str">
        <f t="shared" si="45"/>
        <v/>
      </c>
    </row>
    <row r="2915" spans="9:10">
      <c r="I2915" t="str">
        <f>IF(OR($A2915="",$B2915=""),"",IF(COUNTIFS($A$2:$A2915,$A2915,$B$2:$B2915,$B2915)=1,1,0))</f>
        <v/>
      </c>
      <c r="J2915" t="str">
        <f t="shared" si="45"/>
        <v/>
      </c>
    </row>
    <row r="2916" spans="9:10">
      <c r="I2916" t="str">
        <f>IF(OR($A2916="",$B2916=""),"",IF(COUNTIFS($A$2:$A2916,$A2916,$B$2:$B2916,$B2916)=1,1,0))</f>
        <v/>
      </c>
      <c r="J2916" t="str">
        <f t="shared" si="45"/>
        <v/>
      </c>
    </row>
    <row r="2917" spans="9:10">
      <c r="I2917" t="str">
        <f>IF(OR($A2917="",$B2917=""),"",IF(COUNTIFS($A$2:$A2917,$A2917,$B$2:$B2917,$B2917)=1,1,0))</f>
        <v/>
      </c>
      <c r="J2917" t="str">
        <f t="shared" si="45"/>
        <v/>
      </c>
    </row>
    <row r="2918" spans="9:10">
      <c r="I2918" t="str">
        <f>IF(OR($A2918="",$B2918=""),"",IF(COUNTIFS($A$2:$A2918,$A2918,$B$2:$B2918,$B2918)=1,1,0))</f>
        <v/>
      </c>
      <c r="J2918" t="str">
        <f t="shared" si="45"/>
        <v/>
      </c>
    </row>
    <row r="2919" spans="9:10">
      <c r="I2919" t="str">
        <f>IF(OR($A2919="",$B2919=""),"",IF(COUNTIFS($A$2:$A2919,$A2919,$B$2:$B2919,$B2919)=1,1,0))</f>
        <v/>
      </c>
      <c r="J2919" t="str">
        <f t="shared" si="45"/>
        <v/>
      </c>
    </row>
    <row r="2920" spans="9:10">
      <c r="I2920" t="str">
        <f>IF(OR($A2920="",$B2920=""),"",IF(COUNTIFS($A$2:$A2920,$A2920,$B$2:$B2920,$B2920)=1,1,0))</f>
        <v/>
      </c>
      <c r="J2920" t="str">
        <f t="shared" si="45"/>
        <v/>
      </c>
    </row>
    <row r="2921" spans="9:10">
      <c r="I2921" t="str">
        <f>IF(OR($A2921="",$B2921=""),"",IF(COUNTIFS($A$2:$A2921,$A2921,$B$2:$B2921,$B2921)=1,1,0))</f>
        <v/>
      </c>
      <c r="J2921" t="str">
        <f t="shared" si="45"/>
        <v/>
      </c>
    </row>
    <row r="2922" spans="9:10">
      <c r="I2922" t="str">
        <f>IF(OR($A2922="",$B2922=""),"",IF(COUNTIFS($A$2:$A2922,$A2922,$B$2:$B2922,$B2922)=1,1,0))</f>
        <v/>
      </c>
      <c r="J2922" t="str">
        <f t="shared" si="45"/>
        <v/>
      </c>
    </row>
    <row r="2923" spans="9:10">
      <c r="I2923" t="str">
        <f>IF(OR($A2923="",$B2923=""),"",IF(COUNTIFS($A$2:$A2923,$A2923,$B$2:$B2923,$B2923)=1,1,0))</f>
        <v/>
      </c>
      <c r="J2923" t="str">
        <f t="shared" si="45"/>
        <v/>
      </c>
    </row>
    <row r="2924" spans="9:10">
      <c r="I2924" t="str">
        <f>IF(OR($A2924="",$B2924=""),"",IF(COUNTIFS($A$2:$A2924,$A2924,$B$2:$B2924,$B2924)=1,1,0))</f>
        <v/>
      </c>
      <c r="J2924" t="str">
        <f t="shared" si="45"/>
        <v/>
      </c>
    </row>
    <row r="2925" spans="9:10">
      <c r="I2925" t="str">
        <f>IF(OR($A2925="",$B2925=""),"",IF(COUNTIFS($A$2:$A2925,$A2925,$B$2:$B2925,$B2925)=1,1,0))</f>
        <v/>
      </c>
      <c r="J2925" t="str">
        <f t="shared" si="45"/>
        <v/>
      </c>
    </row>
    <row r="2926" spans="9:10">
      <c r="I2926" t="str">
        <f>IF(OR($A2926="",$B2926=""),"",IF(COUNTIFS($A$2:$A2926,$A2926,$B$2:$B2926,$B2926)=1,1,0))</f>
        <v/>
      </c>
      <c r="J2926" t="str">
        <f t="shared" si="45"/>
        <v/>
      </c>
    </row>
    <row r="2927" spans="9:10">
      <c r="I2927" t="str">
        <f>IF(OR($A2927="",$B2927=""),"",IF(COUNTIFS($A$2:$A2927,$A2927,$B$2:$B2927,$B2927)=1,1,0))</f>
        <v/>
      </c>
      <c r="J2927" t="str">
        <f t="shared" si="45"/>
        <v/>
      </c>
    </row>
    <row r="2928" spans="9:10">
      <c r="I2928" t="str">
        <f>IF(OR($A2928="",$B2928=""),"",IF(COUNTIFS($A$2:$A2928,$A2928,$B$2:$B2928,$B2928)=1,1,0))</f>
        <v/>
      </c>
      <c r="J2928" t="str">
        <f t="shared" si="45"/>
        <v/>
      </c>
    </row>
    <row r="2929" spans="9:10">
      <c r="I2929" t="str">
        <f>IF(OR($A2929="",$B2929=""),"",IF(COUNTIFS($A$2:$A2929,$A2929,$B$2:$B2929,$B2929)=1,1,0))</f>
        <v/>
      </c>
      <c r="J2929" t="str">
        <f t="shared" si="45"/>
        <v/>
      </c>
    </row>
    <row r="2930" spans="9:10">
      <c r="I2930" t="str">
        <f>IF(OR($A2930="",$B2930=""),"",IF(COUNTIFS($A$2:$A2930,$A2930,$B$2:$B2930,$B2930)=1,1,0))</f>
        <v/>
      </c>
      <c r="J2930" t="str">
        <f t="shared" si="45"/>
        <v/>
      </c>
    </row>
    <row r="2931" spans="9:10">
      <c r="I2931" t="str">
        <f>IF(OR($A2931="",$B2931=""),"",IF(COUNTIFS($A$2:$A2931,$A2931,$B$2:$B2931,$B2931)=1,1,0))</f>
        <v/>
      </c>
      <c r="J2931" t="str">
        <f t="shared" si="45"/>
        <v/>
      </c>
    </row>
    <row r="2932" spans="9:10">
      <c r="I2932" t="str">
        <f>IF(OR($A2932="",$B2932=""),"",IF(COUNTIFS($A$2:$A2932,$A2932,$B$2:$B2932,$B2932)=1,1,0))</f>
        <v/>
      </c>
      <c r="J2932" t="str">
        <f t="shared" si="45"/>
        <v/>
      </c>
    </row>
    <row r="2933" spans="9:10">
      <c r="I2933" t="str">
        <f>IF(OR($A2933="",$B2933=""),"",IF(COUNTIFS($A$2:$A2933,$A2933,$B$2:$B2933,$B2933)=1,1,0))</f>
        <v/>
      </c>
      <c r="J2933" t="str">
        <f t="shared" si="45"/>
        <v/>
      </c>
    </row>
    <row r="2934" spans="9:10">
      <c r="I2934" t="str">
        <f>IF(OR($A2934="",$B2934=""),"",IF(COUNTIFS($A$2:$A2934,$A2934,$B$2:$B2934,$B2934)=1,1,0))</f>
        <v/>
      </c>
      <c r="J2934" t="str">
        <f t="shared" si="45"/>
        <v/>
      </c>
    </row>
    <row r="2935" spans="9:10">
      <c r="I2935" t="str">
        <f>IF(OR($A2935="",$B2935=""),"",IF(COUNTIFS($A$2:$A2935,$A2935,$B$2:$B2935,$B2935)=1,1,0))</f>
        <v/>
      </c>
      <c r="J2935" t="str">
        <f t="shared" si="45"/>
        <v/>
      </c>
    </row>
    <row r="2936" spans="9:10">
      <c r="I2936" t="str">
        <f>IF(OR($A2936="",$B2936=""),"",IF(COUNTIFS($A$2:$A2936,$A2936,$B$2:$B2936,$B2936)=1,1,0))</f>
        <v/>
      </c>
      <c r="J2936" t="str">
        <f t="shared" si="45"/>
        <v/>
      </c>
    </row>
    <row r="2937" spans="9:10">
      <c r="I2937" t="str">
        <f>IF(OR($A2937="",$B2937=""),"",IF(COUNTIFS($A$2:$A2937,$A2937,$B$2:$B2937,$B2937)=1,1,0))</f>
        <v/>
      </c>
      <c r="J2937" t="str">
        <f t="shared" si="45"/>
        <v/>
      </c>
    </row>
    <row r="2938" spans="9:10">
      <c r="I2938" t="str">
        <f>IF(OR($A2938="",$B2938=""),"",IF(COUNTIFS($A$2:$A2938,$A2938,$B$2:$B2938,$B2938)=1,1,0))</f>
        <v/>
      </c>
      <c r="J2938" t="str">
        <f t="shared" si="45"/>
        <v/>
      </c>
    </row>
    <row r="2939" spans="9:10">
      <c r="I2939" t="str">
        <f>IF(OR($A2939="",$B2939=""),"",IF(COUNTIFS($A$2:$A2939,$A2939,$B$2:$B2939,$B2939)=1,1,0))</f>
        <v/>
      </c>
      <c r="J2939" t="str">
        <f t="shared" si="45"/>
        <v/>
      </c>
    </row>
    <row r="2940" spans="9:10">
      <c r="I2940" t="str">
        <f>IF(OR($A2940="",$B2940=""),"",IF(COUNTIFS($A$2:$A2940,$A2940,$B$2:$B2940,$B2940)=1,1,0))</f>
        <v/>
      </c>
      <c r="J2940" t="str">
        <f t="shared" si="45"/>
        <v/>
      </c>
    </row>
    <row r="2941" spans="9:10">
      <c r="I2941" t="str">
        <f>IF(OR($A2941="",$B2941=""),"",IF(COUNTIFS($A$2:$A2941,$A2941,$B$2:$B2941,$B2941)=1,1,0))</f>
        <v/>
      </c>
      <c r="J2941" t="str">
        <f t="shared" si="45"/>
        <v/>
      </c>
    </row>
    <row r="2942" spans="9:10">
      <c r="I2942" t="str">
        <f>IF(OR($A2942="",$B2942=""),"",IF(COUNTIFS($A$2:$A2942,$A2942,$B$2:$B2942,$B2942)=1,1,0))</f>
        <v/>
      </c>
      <c r="J2942" t="str">
        <f t="shared" si="45"/>
        <v/>
      </c>
    </row>
    <row r="2943" spans="9:10">
      <c r="I2943" t="str">
        <f>IF(OR($A2943="",$B2943=""),"",IF(COUNTIFS($A$2:$A2943,$A2943,$B$2:$B2943,$B2943)=1,1,0))</f>
        <v/>
      </c>
      <c r="J2943" t="str">
        <f t="shared" si="45"/>
        <v/>
      </c>
    </row>
    <row r="2944" spans="9:10">
      <c r="I2944" t="str">
        <f>IF(OR($A2944="",$B2944=""),"",IF(COUNTIFS($A$2:$A2944,$A2944,$B$2:$B2944,$B2944)=1,1,0))</f>
        <v/>
      </c>
      <c r="J2944" t="str">
        <f t="shared" si="45"/>
        <v/>
      </c>
    </row>
    <row r="2945" spans="9:10">
      <c r="I2945" t="str">
        <f>IF(OR($A2945="",$B2945=""),"",IF(COUNTIFS($A$2:$A2945,$A2945,$B$2:$B2945,$B2945)=1,1,0))</f>
        <v/>
      </c>
      <c r="J2945" t="str">
        <f t="shared" si="45"/>
        <v/>
      </c>
    </row>
    <row r="2946" spans="9:10">
      <c r="I2946" t="str">
        <f>IF(OR($A2946="",$B2946=""),"",IF(COUNTIFS($A$2:$A2946,$A2946,$B$2:$B2946,$B2946)=1,1,0))</f>
        <v/>
      </c>
      <c r="J2946" t="str">
        <f t="shared" ref="J2946:J3000" si="46">IF($A2946="","",ROW())</f>
        <v/>
      </c>
    </row>
    <row r="2947" spans="9:10">
      <c r="I2947" t="str">
        <f>IF(OR($A2947="",$B2947=""),"",IF(COUNTIFS($A$2:$A2947,$A2947,$B$2:$B2947,$B2947)=1,1,0))</f>
        <v/>
      </c>
      <c r="J2947" t="str">
        <f t="shared" si="46"/>
        <v/>
      </c>
    </row>
    <row r="2948" spans="9:10">
      <c r="I2948" t="str">
        <f>IF(OR($A2948="",$B2948=""),"",IF(COUNTIFS($A$2:$A2948,$A2948,$B$2:$B2948,$B2948)=1,1,0))</f>
        <v/>
      </c>
      <c r="J2948" t="str">
        <f t="shared" si="46"/>
        <v/>
      </c>
    </row>
    <row r="2949" spans="9:10">
      <c r="I2949" t="str">
        <f>IF(OR($A2949="",$B2949=""),"",IF(COUNTIFS($A$2:$A2949,$A2949,$B$2:$B2949,$B2949)=1,1,0))</f>
        <v/>
      </c>
      <c r="J2949" t="str">
        <f t="shared" si="46"/>
        <v/>
      </c>
    </row>
    <row r="2950" spans="9:10">
      <c r="I2950" t="str">
        <f>IF(OR($A2950="",$B2950=""),"",IF(COUNTIFS($A$2:$A2950,$A2950,$B$2:$B2950,$B2950)=1,1,0))</f>
        <v/>
      </c>
      <c r="J2950" t="str">
        <f t="shared" si="46"/>
        <v/>
      </c>
    </row>
    <row r="2951" spans="9:10">
      <c r="I2951" t="str">
        <f>IF(OR($A2951="",$B2951=""),"",IF(COUNTIFS($A$2:$A2951,$A2951,$B$2:$B2951,$B2951)=1,1,0))</f>
        <v/>
      </c>
      <c r="J2951" t="str">
        <f t="shared" si="46"/>
        <v/>
      </c>
    </row>
    <row r="2952" spans="9:10">
      <c r="I2952" t="str">
        <f>IF(OR($A2952="",$B2952=""),"",IF(COUNTIFS($A$2:$A2952,$A2952,$B$2:$B2952,$B2952)=1,1,0))</f>
        <v/>
      </c>
      <c r="J2952" t="str">
        <f t="shared" si="46"/>
        <v/>
      </c>
    </row>
    <row r="2953" spans="9:10">
      <c r="I2953" t="str">
        <f>IF(OR($A2953="",$B2953=""),"",IF(COUNTIFS($A$2:$A2953,$A2953,$B$2:$B2953,$B2953)=1,1,0))</f>
        <v/>
      </c>
      <c r="J2953" t="str">
        <f t="shared" si="46"/>
        <v/>
      </c>
    </row>
    <row r="2954" spans="9:10">
      <c r="I2954" t="str">
        <f>IF(OR($A2954="",$B2954=""),"",IF(COUNTIFS($A$2:$A2954,$A2954,$B$2:$B2954,$B2954)=1,1,0))</f>
        <v/>
      </c>
      <c r="J2954" t="str">
        <f t="shared" si="46"/>
        <v/>
      </c>
    </row>
    <row r="2955" spans="9:10">
      <c r="I2955" t="str">
        <f>IF(OR($A2955="",$B2955=""),"",IF(COUNTIFS($A$2:$A2955,$A2955,$B$2:$B2955,$B2955)=1,1,0))</f>
        <v/>
      </c>
      <c r="J2955" t="str">
        <f t="shared" si="46"/>
        <v/>
      </c>
    </row>
    <row r="2956" spans="9:10">
      <c r="I2956" t="str">
        <f>IF(OR($A2956="",$B2956=""),"",IF(COUNTIFS($A$2:$A2956,$A2956,$B$2:$B2956,$B2956)=1,1,0))</f>
        <v/>
      </c>
      <c r="J2956" t="str">
        <f t="shared" si="46"/>
        <v/>
      </c>
    </row>
    <row r="2957" spans="9:10">
      <c r="I2957" t="str">
        <f>IF(OR($A2957="",$B2957=""),"",IF(COUNTIFS($A$2:$A2957,$A2957,$B$2:$B2957,$B2957)=1,1,0))</f>
        <v/>
      </c>
      <c r="J2957" t="str">
        <f t="shared" si="46"/>
        <v/>
      </c>
    </row>
    <row r="2958" spans="9:10">
      <c r="I2958" t="str">
        <f>IF(OR($A2958="",$B2958=""),"",IF(COUNTIFS($A$2:$A2958,$A2958,$B$2:$B2958,$B2958)=1,1,0))</f>
        <v/>
      </c>
      <c r="J2958" t="str">
        <f t="shared" si="46"/>
        <v/>
      </c>
    </row>
    <row r="2959" spans="9:10">
      <c r="I2959" t="str">
        <f>IF(OR($A2959="",$B2959=""),"",IF(COUNTIFS($A$2:$A2959,$A2959,$B$2:$B2959,$B2959)=1,1,0))</f>
        <v/>
      </c>
      <c r="J2959" t="str">
        <f t="shared" si="46"/>
        <v/>
      </c>
    </row>
    <row r="2960" spans="9:10">
      <c r="I2960" t="str">
        <f>IF(OR($A2960="",$B2960=""),"",IF(COUNTIFS($A$2:$A2960,$A2960,$B$2:$B2960,$B2960)=1,1,0))</f>
        <v/>
      </c>
      <c r="J2960" t="str">
        <f t="shared" si="46"/>
        <v/>
      </c>
    </row>
    <row r="2961" spans="9:10">
      <c r="I2961" t="str">
        <f>IF(OR($A2961="",$B2961=""),"",IF(COUNTIFS($A$2:$A2961,$A2961,$B$2:$B2961,$B2961)=1,1,0))</f>
        <v/>
      </c>
      <c r="J2961" t="str">
        <f t="shared" si="46"/>
        <v/>
      </c>
    </row>
    <row r="2962" spans="9:10">
      <c r="I2962" t="str">
        <f>IF(OR($A2962="",$B2962=""),"",IF(COUNTIFS($A$2:$A2962,$A2962,$B$2:$B2962,$B2962)=1,1,0))</f>
        <v/>
      </c>
      <c r="J2962" t="str">
        <f t="shared" si="46"/>
        <v/>
      </c>
    </row>
    <row r="2963" spans="9:10">
      <c r="I2963" t="str">
        <f>IF(OR($A2963="",$B2963=""),"",IF(COUNTIFS($A$2:$A2963,$A2963,$B$2:$B2963,$B2963)=1,1,0))</f>
        <v/>
      </c>
      <c r="J2963" t="str">
        <f t="shared" si="46"/>
        <v/>
      </c>
    </row>
    <row r="2964" spans="9:10">
      <c r="I2964" t="str">
        <f>IF(OR($A2964="",$B2964=""),"",IF(COUNTIFS($A$2:$A2964,$A2964,$B$2:$B2964,$B2964)=1,1,0))</f>
        <v/>
      </c>
      <c r="J2964" t="str">
        <f t="shared" si="46"/>
        <v/>
      </c>
    </row>
    <row r="2965" spans="9:10">
      <c r="I2965" t="str">
        <f>IF(OR($A2965="",$B2965=""),"",IF(COUNTIFS($A$2:$A2965,$A2965,$B$2:$B2965,$B2965)=1,1,0))</f>
        <v/>
      </c>
      <c r="J2965" t="str">
        <f t="shared" si="46"/>
        <v/>
      </c>
    </row>
    <row r="2966" spans="9:10">
      <c r="I2966" t="str">
        <f>IF(OR($A2966="",$B2966=""),"",IF(COUNTIFS($A$2:$A2966,$A2966,$B$2:$B2966,$B2966)=1,1,0))</f>
        <v/>
      </c>
      <c r="J2966" t="str">
        <f t="shared" si="46"/>
        <v/>
      </c>
    </row>
    <row r="2967" spans="9:10">
      <c r="I2967" t="str">
        <f>IF(OR($A2967="",$B2967=""),"",IF(COUNTIFS($A$2:$A2967,$A2967,$B$2:$B2967,$B2967)=1,1,0))</f>
        <v/>
      </c>
      <c r="J2967" t="str">
        <f t="shared" si="46"/>
        <v/>
      </c>
    </row>
    <row r="2968" spans="9:10">
      <c r="I2968" t="str">
        <f>IF(OR($A2968="",$B2968=""),"",IF(COUNTIFS($A$2:$A2968,$A2968,$B$2:$B2968,$B2968)=1,1,0))</f>
        <v/>
      </c>
      <c r="J2968" t="str">
        <f t="shared" si="46"/>
        <v/>
      </c>
    </row>
    <row r="2969" spans="9:10">
      <c r="I2969" t="str">
        <f>IF(OR($A2969="",$B2969=""),"",IF(COUNTIFS($A$2:$A2969,$A2969,$B$2:$B2969,$B2969)=1,1,0))</f>
        <v/>
      </c>
      <c r="J2969" t="str">
        <f t="shared" si="46"/>
        <v/>
      </c>
    </row>
    <row r="2970" spans="9:10">
      <c r="I2970" t="str">
        <f>IF(OR($A2970="",$B2970=""),"",IF(COUNTIFS($A$2:$A2970,$A2970,$B$2:$B2970,$B2970)=1,1,0))</f>
        <v/>
      </c>
      <c r="J2970" t="str">
        <f t="shared" si="46"/>
        <v/>
      </c>
    </row>
    <row r="2971" spans="9:10">
      <c r="I2971" t="str">
        <f>IF(OR($A2971="",$B2971=""),"",IF(COUNTIFS($A$2:$A2971,$A2971,$B$2:$B2971,$B2971)=1,1,0))</f>
        <v/>
      </c>
      <c r="J2971" t="str">
        <f t="shared" si="46"/>
        <v/>
      </c>
    </row>
    <row r="2972" spans="9:10">
      <c r="I2972" t="str">
        <f>IF(OR($A2972="",$B2972=""),"",IF(COUNTIFS($A$2:$A2972,$A2972,$B$2:$B2972,$B2972)=1,1,0))</f>
        <v/>
      </c>
      <c r="J2972" t="str">
        <f t="shared" si="46"/>
        <v/>
      </c>
    </row>
    <row r="2973" spans="9:10">
      <c r="I2973" t="str">
        <f>IF(OR($A2973="",$B2973=""),"",IF(COUNTIFS($A$2:$A2973,$A2973,$B$2:$B2973,$B2973)=1,1,0))</f>
        <v/>
      </c>
      <c r="J2973" t="str">
        <f t="shared" si="46"/>
        <v/>
      </c>
    </row>
    <row r="2974" spans="9:10">
      <c r="I2974" t="str">
        <f>IF(OR($A2974="",$B2974=""),"",IF(COUNTIFS($A$2:$A2974,$A2974,$B$2:$B2974,$B2974)=1,1,0))</f>
        <v/>
      </c>
      <c r="J2974" t="str">
        <f t="shared" si="46"/>
        <v/>
      </c>
    </row>
    <row r="2975" spans="9:10">
      <c r="I2975" t="str">
        <f>IF(OR($A2975="",$B2975=""),"",IF(COUNTIFS($A$2:$A2975,$A2975,$B$2:$B2975,$B2975)=1,1,0))</f>
        <v/>
      </c>
      <c r="J2975" t="str">
        <f t="shared" si="46"/>
        <v/>
      </c>
    </row>
    <row r="2976" spans="9:10">
      <c r="I2976" t="str">
        <f>IF(OR($A2976="",$B2976=""),"",IF(COUNTIFS($A$2:$A2976,$A2976,$B$2:$B2976,$B2976)=1,1,0))</f>
        <v/>
      </c>
      <c r="J2976" t="str">
        <f t="shared" si="46"/>
        <v/>
      </c>
    </row>
    <row r="2977" spans="9:10">
      <c r="I2977" t="str">
        <f>IF(OR($A2977="",$B2977=""),"",IF(COUNTIFS($A$2:$A2977,$A2977,$B$2:$B2977,$B2977)=1,1,0))</f>
        <v/>
      </c>
      <c r="J2977" t="str">
        <f t="shared" si="46"/>
        <v/>
      </c>
    </row>
    <row r="2978" spans="9:10">
      <c r="I2978" t="str">
        <f>IF(OR($A2978="",$B2978=""),"",IF(COUNTIFS($A$2:$A2978,$A2978,$B$2:$B2978,$B2978)=1,1,0))</f>
        <v/>
      </c>
      <c r="J2978" t="str">
        <f t="shared" si="46"/>
        <v/>
      </c>
    </row>
    <row r="2979" spans="9:10">
      <c r="I2979" t="str">
        <f>IF(OR($A2979="",$B2979=""),"",IF(COUNTIFS($A$2:$A2979,$A2979,$B$2:$B2979,$B2979)=1,1,0))</f>
        <v/>
      </c>
      <c r="J2979" t="str">
        <f t="shared" si="46"/>
        <v/>
      </c>
    </row>
    <row r="2980" spans="9:10">
      <c r="I2980" t="str">
        <f>IF(OR($A2980="",$B2980=""),"",IF(COUNTIFS($A$2:$A2980,$A2980,$B$2:$B2980,$B2980)=1,1,0))</f>
        <v/>
      </c>
      <c r="J2980" t="str">
        <f t="shared" si="46"/>
        <v/>
      </c>
    </row>
    <row r="2981" spans="9:10">
      <c r="I2981" t="str">
        <f>IF(OR($A2981="",$B2981=""),"",IF(COUNTIFS($A$2:$A2981,$A2981,$B$2:$B2981,$B2981)=1,1,0))</f>
        <v/>
      </c>
      <c r="J2981" t="str">
        <f t="shared" si="46"/>
        <v/>
      </c>
    </row>
    <row r="2982" spans="9:10">
      <c r="I2982" t="str">
        <f>IF(OR($A2982="",$B2982=""),"",IF(COUNTIFS($A$2:$A2982,$A2982,$B$2:$B2982,$B2982)=1,1,0))</f>
        <v/>
      </c>
      <c r="J2982" t="str">
        <f t="shared" si="46"/>
        <v/>
      </c>
    </row>
    <row r="2983" spans="9:10">
      <c r="I2983" t="str">
        <f>IF(OR($A2983="",$B2983=""),"",IF(COUNTIFS($A$2:$A2983,$A2983,$B$2:$B2983,$B2983)=1,1,0))</f>
        <v/>
      </c>
      <c r="J2983" t="str">
        <f t="shared" si="46"/>
        <v/>
      </c>
    </row>
    <row r="2984" spans="9:10">
      <c r="I2984" t="str">
        <f>IF(OR($A2984="",$B2984=""),"",IF(COUNTIFS($A$2:$A2984,$A2984,$B$2:$B2984,$B2984)=1,1,0))</f>
        <v/>
      </c>
      <c r="J2984" t="str">
        <f t="shared" si="46"/>
        <v/>
      </c>
    </row>
    <row r="2985" spans="9:10">
      <c r="I2985" t="str">
        <f>IF(OR($A2985="",$B2985=""),"",IF(COUNTIFS($A$2:$A2985,$A2985,$B$2:$B2985,$B2985)=1,1,0))</f>
        <v/>
      </c>
      <c r="J2985" t="str">
        <f t="shared" si="46"/>
        <v/>
      </c>
    </row>
    <row r="2986" spans="9:10">
      <c r="I2986" t="str">
        <f>IF(OR($A2986="",$B2986=""),"",IF(COUNTIFS($A$2:$A2986,$A2986,$B$2:$B2986,$B2986)=1,1,0))</f>
        <v/>
      </c>
      <c r="J2986" t="str">
        <f t="shared" si="46"/>
        <v/>
      </c>
    </row>
    <row r="2987" spans="9:10">
      <c r="I2987" t="str">
        <f>IF(OR($A2987="",$B2987=""),"",IF(COUNTIFS($A$2:$A2987,$A2987,$B$2:$B2987,$B2987)=1,1,0))</f>
        <v/>
      </c>
      <c r="J2987" t="str">
        <f t="shared" si="46"/>
        <v/>
      </c>
    </row>
    <row r="2988" spans="9:10">
      <c r="I2988" t="str">
        <f>IF(OR($A2988="",$B2988=""),"",IF(COUNTIFS($A$2:$A2988,$A2988,$B$2:$B2988,$B2988)=1,1,0))</f>
        <v/>
      </c>
      <c r="J2988" t="str">
        <f t="shared" si="46"/>
        <v/>
      </c>
    </row>
    <row r="2989" spans="9:10">
      <c r="I2989" t="str">
        <f>IF(OR($A2989="",$B2989=""),"",IF(COUNTIFS($A$2:$A2989,$A2989,$B$2:$B2989,$B2989)=1,1,0))</f>
        <v/>
      </c>
      <c r="J2989" t="str">
        <f t="shared" si="46"/>
        <v/>
      </c>
    </row>
    <row r="2990" spans="9:10">
      <c r="I2990" t="str">
        <f>IF(OR($A2990="",$B2990=""),"",IF(COUNTIFS($A$2:$A2990,$A2990,$B$2:$B2990,$B2990)=1,1,0))</f>
        <v/>
      </c>
      <c r="J2990" t="str">
        <f t="shared" si="46"/>
        <v/>
      </c>
    </row>
    <row r="2991" spans="9:10">
      <c r="I2991" t="str">
        <f>IF(OR($A2991="",$B2991=""),"",IF(COUNTIFS($A$2:$A2991,$A2991,$B$2:$B2991,$B2991)=1,1,0))</f>
        <v/>
      </c>
      <c r="J2991" t="str">
        <f t="shared" si="46"/>
        <v/>
      </c>
    </row>
    <row r="2992" spans="9:10">
      <c r="I2992" t="str">
        <f>IF(OR($A2992="",$B2992=""),"",IF(COUNTIFS($A$2:$A2992,$A2992,$B$2:$B2992,$B2992)=1,1,0))</f>
        <v/>
      </c>
      <c r="J2992" t="str">
        <f t="shared" si="46"/>
        <v/>
      </c>
    </row>
    <row r="2993" spans="9:10">
      <c r="I2993" t="str">
        <f>IF(OR($A2993="",$B2993=""),"",IF(COUNTIFS($A$2:$A2993,$A2993,$B$2:$B2993,$B2993)=1,1,0))</f>
        <v/>
      </c>
      <c r="J2993" t="str">
        <f t="shared" si="46"/>
        <v/>
      </c>
    </row>
    <row r="2994" spans="9:10">
      <c r="I2994" t="str">
        <f>IF(OR($A2994="",$B2994=""),"",IF(COUNTIFS($A$2:$A2994,$A2994,$B$2:$B2994,$B2994)=1,1,0))</f>
        <v/>
      </c>
      <c r="J2994" t="str">
        <f t="shared" si="46"/>
        <v/>
      </c>
    </row>
    <row r="2995" spans="9:10">
      <c r="I2995" t="str">
        <f>IF(OR($A2995="",$B2995=""),"",IF(COUNTIFS($A$2:$A2995,$A2995,$B$2:$B2995,$B2995)=1,1,0))</f>
        <v/>
      </c>
      <c r="J2995" t="str">
        <f t="shared" si="46"/>
        <v/>
      </c>
    </row>
    <row r="2996" spans="9:10">
      <c r="I2996" t="str">
        <f>IF(OR($A2996="",$B2996=""),"",IF(COUNTIFS($A$2:$A2996,$A2996,$B$2:$B2996,$B2996)=1,1,0))</f>
        <v/>
      </c>
      <c r="J2996" t="str">
        <f t="shared" si="46"/>
        <v/>
      </c>
    </row>
    <row r="2997" spans="9:10">
      <c r="I2997" t="str">
        <f>IF(OR($A2997="",$B2997=""),"",IF(COUNTIFS($A$2:$A2997,$A2997,$B$2:$B2997,$B2997)=1,1,0))</f>
        <v/>
      </c>
      <c r="J2997" t="str">
        <f t="shared" si="46"/>
        <v/>
      </c>
    </row>
    <row r="2998" spans="9:10">
      <c r="I2998" t="str">
        <f>IF(OR($A2998="",$B2998=""),"",IF(COUNTIFS($A$2:$A2998,$A2998,$B$2:$B2998,$B2998)=1,1,0))</f>
        <v/>
      </c>
      <c r="J2998" t="str">
        <f t="shared" si="46"/>
        <v/>
      </c>
    </row>
    <row r="2999" spans="9:10">
      <c r="I2999" t="str">
        <f>IF(OR($A2999="",$B2999=""),"",IF(COUNTIFS($A$2:$A2999,$A2999,$B$2:$B2999,$B2999)=1,1,0))</f>
        <v/>
      </c>
      <c r="J2999" t="str">
        <f t="shared" si="46"/>
        <v/>
      </c>
    </row>
    <row r="3000" spans="9:10">
      <c r="I3000" t="str">
        <f>IF(OR($A3000="",$B3000=""),"",IF(COUNTIFS($A$2:$A3000,$A3000,$B$2:$B3000,$B3000)=1,1,0))</f>
        <v/>
      </c>
      <c r="J3000" t="str">
        <f t="shared" si="46"/>
        <v/>
      </c>
    </row>
  </sheetData>
  <dataValidations count="2">
    <dataValidation type="list" allowBlank="1" showDropDown="1" sqref="A2:A3000" xr:uid="{00000000-0002-0000-0900-000000000000}">
      <formula1>$L$2:$L$2001</formula1>
    </dataValidation>
    <dataValidation type="custom" allowBlank="1" showInputMessage="1" showErrorMessage="1" errorTitle="Automated field, foo 🤡" error="Skedaddle 💨. Don't overwrite formulas 😄" sqref="I3:I3000 J2:J3000 L2:L2001" xr:uid="{00000000-0002-0000-0900-000001000000}">
      <formula1>FALSE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H200"/>
  <sheetViews>
    <sheetView workbookViewId="0">
      <selection activeCell="D10" sqref="D10"/>
    </sheetView>
  </sheetViews>
  <sheetFormatPr defaultColWidth="20.7109375" defaultRowHeight="15"/>
  <cols>
    <col min="3" max="3" width="40.28515625" bestFit="1" customWidth="1"/>
    <col min="4" max="4" width="9.140625" style="15" bestFit="1" customWidth="1"/>
    <col min="5" max="5" width="20.7109375" style="15" customWidth="1"/>
    <col min="6" max="6" width="30.7109375" style="15" customWidth="1"/>
    <col min="7" max="7" width="54.85546875" style="15" bestFit="1" customWidth="1"/>
    <col min="8" max="8" width="50.5703125" bestFit="1" customWidth="1"/>
  </cols>
  <sheetData>
    <row r="1" spans="1:8" s="17" customFormat="1" ht="20.25" customHeight="1">
      <c r="A1" s="17" t="s">
        <v>1289</v>
      </c>
      <c r="B1" s="17" t="s">
        <v>1290</v>
      </c>
      <c r="C1" s="17" t="s">
        <v>1291</v>
      </c>
      <c r="D1" s="17" t="s">
        <v>1292</v>
      </c>
      <c r="E1" s="17" t="s">
        <v>1293</v>
      </c>
      <c r="F1" s="17" t="s">
        <v>1294</v>
      </c>
      <c r="G1" s="17" t="s">
        <v>1295</v>
      </c>
      <c r="H1" s="17" t="s">
        <v>189</v>
      </c>
    </row>
    <row r="2" spans="1:8" ht="20.25" customHeight="1">
      <c r="B2" t="s">
        <v>1296</v>
      </c>
      <c r="C2" t="s">
        <v>1297</v>
      </c>
      <c r="D2" s="15">
        <v>56</v>
      </c>
      <c r="E2" s="15" t="s">
        <v>1298</v>
      </c>
      <c r="F2" s="15" t="s">
        <v>1299</v>
      </c>
      <c r="G2" s="15" t="s">
        <v>1300</v>
      </c>
    </row>
    <row r="3" spans="1:8" ht="20.25" customHeight="1">
      <c r="B3" t="s">
        <v>1296</v>
      </c>
      <c r="C3" t="s">
        <v>1301</v>
      </c>
      <c r="D3" s="15">
        <v>35</v>
      </c>
      <c r="E3" s="15" t="s">
        <v>1298</v>
      </c>
      <c r="F3" s="15" t="s">
        <v>1299</v>
      </c>
      <c r="G3" s="15" t="s">
        <v>1300</v>
      </c>
    </row>
    <row r="4" spans="1:8" s="58" customFormat="1" ht="20.25" customHeight="1">
      <c r="B4" s="58" t="s">
        <v>1296</v>
      </c>
      <c r="C4" s="58" t="s">
        <v>1302</v>
      </c>
      <c r="D4" s="59">
        <v>28</v>
      </c>
      <c r="E4" s="59" t="s">
        <v>1298</v>
      </c>
      <c r="F4" s="59" t="s">
        <v>1299</v>
      </c>
      <c r="G4" s="59" t="s">
        <v>1300</v>
      </c>
    </row>
    <row r="5" spans="1:8" s="58" customFormat="1" ht="20.25" customHeight="1">
      <c r="B5" s="58" t="s">
        <v>1296</v>
      </c>
      <c r="C5" s="58" t="s">
        <v>1303</v>
      </c>
      <c r="D5" s="59">
        <v>52</v>
      </c>
      <c r="E5" s="59" t="s">
        <v>1298</v>
      </c>
      <c r="F5" s="59" t="s">
        <v>1299</v>
      </c>
      <c r="G5" s="59" t="s">
        <v>1300</v>
      </c>
    </row>
    <row r="6" spans="1:8" s="58" customFormat="1" ht="20.25" customHeight="1">
      <c r="B6" s="58" t="s">
        <v>1296</v>
      </c>
      <c r="C6" s="58" t="s">
        <v>1304</v>
      </c>
      <c r="D6" s="59">
        <v>50</v>
      </c>
      <c r="E6" s="59" t="s">
        <v>1298</v>
      </c>
      <c r="F6" s="59" t="s">
        <v>1299</v>
      </c>
      <c r="G6" s="59" t="s">
        <v>1300</v>
      </c>
    </row>
    <row r="7" spans="1:8" ht="20.25" customHeight="1">
      <c r="B7" t="s">
        <v>1296</v>
      </c>
      <c r="C7" t="s">
        <v>1305</v>
      </c>
      <c r="D7" s="15">
        <v>29</v>
      </c>
      <c r="E7" s="15" t="s">
        <v>1298</v>
      </c>
      <c r="F7" s="15" t="s">
        <v>1299</v>
      </c>
      <c r="G7" s="15" t="s">
        <v>1300</v>
      </c>
    </row>
    <row r="8" spans="1:8" s="58" customFormat="1" ht="20.25" customHeight="1">
      <c r="B8" s="58" t="s">
        <v>1296</v>
      </c>
      <c r="C8" s="58" t="s">
        <v>1306</v>
      </c>
      <c r="D8" s="59">
        <v>13</v>
      </c>
      <c r="E8" s="59" t="s">
        <v>1298</v>
      </c>
      <c r="F8" s="59" t="s">
        <v>1299</v>
      </c>
      <c r="G8" s="59" t="s">
        <v>1300</v>
      </c>
    </row>
    <row r="9" spans="1:8" s="60" customFormat="1" ht="20.25" customHeight="1">
      <c r="B9" s="60" t="s">
        <v>1296</v>
      </c>
      <c r="C9" s="60" t="s">
        <v>1307</v>
      </c>
      <c r="D9" s="61">
        <v>4</v>
      </c>
      <c r="E9" s="61" t="s">
        <v>1298</v>
      </c>
      <c r="F9" s="61" t="s">
        <v>1299</v>
      </c>
      <c r="G9" s="61" t="s">
        <v>1300</v>
      </c>
    </row>
    <row r="10" spans="1:8" ht="20.25" customHeight="1">
      <c r="B10" t="s">
        <v>1296</v>
      </c>
      <c r="C10" t="s">
        <v>1308</v>
      </c>
      <c r="D10" s="15">
        <v>2</v>
      </c>
      <c r="E10" s="15" t="s">
        <v>1298</v>
      </c>
      <c r="F10" s="15" t="s">
        <v>1299</v>
      </c>
      <c r="G10" s="15" t="s">
        <v>1300</v>
      </c>
    </row>
    <row r="11" spans="1:8" s="58" customFormat="1" ht="20.25" customHeight="1">
      <c r="B11" s="58" t="s">
        <v>1296</v>
      </c>
      <c r="C11" s="58" t="s">
        <v>1309</v>
      </c>
      <c r="D11" s="59">
        <v>2</v>
      </c>
      <c r="E11" s="59" t="s">
        <v>1298</v>
      </c>
      <c r="F11" s="59" t="s">
        <v>1299</v>
      </c>
      <c r="G11" s="59" t="s">
        <v>1300</v>
      </c>
    </row>
    <row r="12" spans="1:8" ht="20.25" customHeight="1">
      <c r="B12" t="s">
        <v>1296</v>
      </c>
      <c r="C12" t="s">
        <v>1310</v>
      </c>
      <c r="D12" s="15">
        <v>117</v>
      </c>
      <c r="E12" s="15" t="s">
        <v>1298</v>
      </c>
      <c r="F12" s="15" t="s">
        <v>1299</v>
      </c>
      <c r="G12" s="15" t="s">
        <v>1300</v>
      </c>
    </row>
    <row r="13" spans="1:8" s="58" customFormat="1" ht="20.25" customHeight="1">
      <c r="B13" s="58" t="s">
        <v>1296</v>
      </c>
      <c r="C13" s="58" t="s">
        <v>1311</v>
      </c>
      <c r="D13" s="59">
        <v>73</v>
      </c>
      <c r="E13" s="59" t="s">
        <v>1298</v>
      </c>
      <c r="F13" s="59" t="s">
        <v>1299</v>
      </c>
      <c r="G13" s="59" t="s">
        <v>1300</v>
      </c>
    </row>
    <row r="14" spans="1:8" ht="20.25" customHeight="1">
      <c r="B14" t="s">
        <v>1296</v>
      </c>
      <c r="C14" t="s">
        <v>1312</v>
      </c>
      <c r="D14" s="15">
        <v>35</v>
      </c>
      <c r="E14" s="15" t="s">
        <v>1298</v>
      </c>
      <c r="F14" s="15" t="s">
        <v>1299</v>
      </c>
      <c r="G14" s="15" t="s">
        <v>1300</v>
      </c>
    </row>
    <row r="15" spans="1:8" ht="20.25" customHeight="1">
      <c r="B15" t="s">
        <v>1296</v>
      </c>
      <c r="C15" t="s">
        <v>1313</v>
      </c>
      <c r="D15" s="15">
        <v>16</v>
      </c>
      <c r="E15" s="15" t="s">
        <v>1298</v>
      </c>
      <c r="F15" s="15" t="s">
        <v>1299</v>
      </c>
      <c r="G15" s="15" t="s">
        <v>1300</v>
      </c>
    </row>
    <row r="16" spans="1:8" ht="20.25" customHeight="1">
      <c r="B16" t="s">
        <v>1296</v>
      </c>
      <c r="C16" t="s">
        <v>1314</v>
      </c>
      <c r="D16" s="15">
        <v>122</v>
      </c>
      <c r="E16" s="15" t="s">
        <v>1298</v>
      </c>
      <c r="F16" s="15" t="s">
        <v>1315</v>
      </c>
      <c r="G16" s="15" t="s">
        <v>1315</v>
      </c>
    </row>
    <row r="17" spans="2:8" ht="20.25" customHeight="1">
      <c r="B17" t="s">
        <v>1296</v>
      </c>
      <c r="C17" t="s">
        <v>1316</v>
      </c>
      <c r="D17" s="15">
        <v>26</v>
      </c>
      <c r="E17" s="15" t="s">
        <v>1317</v>
      </c>
      <c r="F17" s="15" t="s">
        <v>1318</v>
      </c>
      <c r="G17" s="15" t="s">
        <v>1319</v>
      </c>
      <c r="H17" t="s">
        <v>1320</v>
      </c>
    </row>
    <row r="18" spans="2:8" ht="20.25" customHeight="1">
      <c r="B18" t="s">
        <v>1321</v>
      </c>
      <c r="C18" t="s">
        <v>1322</v>
      </c>
      <c r="D18" s="15">
        <v>55</v>
      </c>
      <c r="E18" s="15" t="s">
        <v>1317</v>
      </c>
      <c r="F18" s="15" t="s">
        <v>1318</v>
      </c>
      <c r="G18" s="15" t="s">
        <v>1319</v>
      </c>
      <c r="H18" t="s">
        <v>1320</v>
      </c>
    </row>
    <row r="19" spans="2:8" ht="20.25" customHeight="1">
      <c r="B19" t="s">
        <v>1321</v>
      </c>
      <c r="C19" t="s">
        <v>1323</v>
      </c>
      <c r="D19" s="15">
        <v>98</v>
      </c>
      <c r="E19" s="15" t="s">
        <v>1317</v>
      </c>
      <c r="F19" s="15" t="s">
        <v>1318</v>
      </c>
      <c r="G19" s="15" t="s">
        <v>1319</v>
      </c>
      <c r="H19" t="s">
        <v>1320</v>
      </c>
    </row>
    <row r="20" spans="2:8" ht="20.25" customHeight="1">
      <c r="B20" t="s">
        <v>1321</v>
      </c>
      <c r="C20" t="s">
        <v>1324</v>
      </c>
      <c r="D20" s="15">
        <v>45</v>
      </c>
      <c r="E20" s="15" t="s">
        <v>1317</v>
      </c>
      <c r="F20" s="15" t="s">
        <v>1318</v>
      </c>
      <c r="G20" s="15" t="s">
        <v>1325</v>
      </c>
      <c r="H20" t="s">
        <v>1326</v>
      </c>
    </row>
    <row r="21" spans="2:8" ht="20.25" customHeight="1">
      <c r="B21" t="s">
        <v>1327</v>
      </c>
      <c r="C21" t="s">
        <v>1327</v>
      </c>
      <c r="D21" s="15">
        <v>53</v>
      </c>
      <c r="E21" s="15" t="s">
        <v>1317</v>
      </c>
      <c r="F21" s="15" t="s">
        <v>1318</v>
      </c>
      <c r="G21" s="15" t="s">
        <v>1319</v>
      </c>
      <c r="H21" t="s">
        <v>1320</v>
      </c>
    </row>
    <row r="22" spans="2:8" ht="20.25" customHeight="1">
      <c r="B22" t="s">
        <v>1328</v>
      </c>
      <c r="C22" t="s">
        <v>1329</v>
      </c>
      <c r="D22" s="15">
        <v>25</v>
      </c>
      <c r="E22" s="15" t="s">
        <v>1317</v>
      </c>
      <c r="F22" s="15" t="s">
        <v>1318</v>
      </c>
      <c r="G22" s="15" t="s">
        <v>1319</v>
      </c>
      <c r="H22" t="s">
        <v>1320</v>
      </c>
    </row>
    <row r="23" spans="2:8" ht="20.25" customHeight="1">
      <c r="B23" t="s">
        <v>1330</v>
      </c>
      <c r="C23" t="s">
        <v>1330</v>
      </c>
      <c r="D23" s="15">
        <v>25</v>
      </c>
      <c r="E23" s="15" t="s">
        <v>1317</v>
      </c>
      <c r="F23" s="15" t="s">
        <v>1318</v>
      </c>
      <c r="G23" s="15" t="s">
        <v>1319</v>
      </c>
      <c r="H23" t="s">
        <v>1320</v>
      </c>
    </row>
    <row r="24" spans="2:8" ht="20.25" customHeight="1">
      <c r="B24" t="s">
        <v>1331</v>
      </c>
      <c r="C24" t="s">
        <v>1332</v>
      </c>
      <c r="D24" s="15">
        <v>45</v>
      </c>
      <c r="E24" s="15" t="s">
        <v>1317</v>
      </c>
      <c r="F24" s="15" t="s">
        <v>1318</v>
      </c>
      <c r="G24" s="15" t="s">
        <v>1333</v>
      </c>
      <c r="H24" t="s">
        <v>1326</v>
      </c>
    </row>
    <row r="25" spans="2:8" ht="20.25" customHeight="1">
      <c r="B25" t="s">
        <v>1334</v>
      </c>
      <c r="C25" t="s">
        <v>1335</v>
      </c>
      <c r="D25" s="15">
        <v>28</v>
      </c>
      <c r="E25" s="15" t="s">
        <v>1317</v>
      </c>
      <c r="F25" s="15" t="s">
        <v>1318</v>
      </c>
      <c r="G25" s="15" t="s">
        <v>1319</v>
      </c>
    </row>
    <row r="26" spans="2:8" ht="20.25" customHeight="1">
      <c r="B26" t="s">
        <v>1336</v>
      </c>
      <c r="C26" t="s">
        <v>1337</v>
      </c>
      <c r="D26" s="15">
        <v>25</v>
      </c>
      <c r="E26" s="15" t="s">
        <v>1298</v>
      </c>
      <c r="F26" s="15" t="s">
        <v>1299</v>
      </c>
      <c r="G26" s="15" t="s">
        <v>1338</v>
      </c>
    </row>
    <row r="27" spans="2:8" ht="20.25" customHeight="1">
      <c r="B27" t="s">
        <v>1321</v>
      </c>
      <c r="C27" t="s">
        <v>1339</v>
      </c>
      <c r="D27" s="15">
        <v>25</v>
      </c>
      <c r="E27" s="15" t="s">
        <v>1298</v>
      </c>
      <c r="F27" s="15" t="s">
        <v>1299</v>
      </c>
      <c r="G27" s="15" t="s">
        <v>1338</v>
      </c>
      <c r="H27" t="s">
        <v>1340</v>
      </c>
    </row>
    <row r="28" spans="2:8" ht="20.25" customHeight="1">
      <c r="B28" t="s">
        <v>1321</v>
      </c>
      <c r="C28" t="s">
        <v>1341</v>
      </c>
      <c r="D28" s="15">
        <v>4</v>
      </c>
      <c r="E28" s="15" t="s">
        <v>1298</v>
      </c>
      <c r="F28" s="15" t="s">
        <v>1299</v>
      </c>
      <c r="G28" s="15" t="s">
        <v>1319</v>
      </c>
    </row>
    <row r="29" spans="2:8" ht="20.25" customHeight="1">
      <c r="B29" t="s">
        <v>1334</v>
      </c>
      <c r="C29" s="18" t="s">
        <v>1342</v>
      </c>
      <c r="D29" s="15">
        <v>0</v>
      </c>
      <c r="E29" s="15" t="s">
        <v>1343</v>
      </c>
    </row>
    <row r="30" spans="2:8" ht="20.25" customHeight="1">
      <c r="C30" t="s">
        <v>1344</v>
      </c>
      <c r="D30" s="15">
        <v>1</v>
      </c>
    </row>
    <row r="31" spans="2:8" s="58" customFormat="1" ht="20.25" customHeight="1">
      <c r="B31" s="58" t="s">
        <v>1330</v>
      </c>
      <c r="C31" s="58" t="s">
        <v>1345</v>
      </c>
      <c r="D31" s="59">
        <v>69</v>
      </c>
      <c r="E31" s="59" t="s">
        <v>1298</v>
      </c>
      <c r="F31" s="59" t="s">
        <v>1346</v>
      </c>
      <c r="G31" s="59" t="s">
        <v>1347</v>
      </c>
      <c r="H31" s="58" t="s">
        <v>1348</v>
      </c>
    </row>
    <row r="32" spans="2:8" s="58" customFormat="1" ht="20.25" customHeight="1">
      <c r="B32" s="58" t="s">
        <v>1328</v>
      </c>
      <c r="C32" s="58" t="s">
        <v>1349</v>
      </c>
      <c r="D32" s="59">
        <v>60</v>
      </c>
      <c r="E32" s="59" t="s">
        <v>1298</v>
      </c>
      <c r="F32" s="59" t="s">
        <v>1346</v>
      </c>
      <c r="G32" s="59" t="s">
        <v>1347</v>
      </c>
      <c r="H32" s="58" t="s">
        <v>1348</v>
      </c>
    </row>
    <row r="33" spans="2:8" ht="20.25" customHeight="1">
      <c r="B33" t="s">
        <v>1321</v>
      </c>
      <c r="C33" s="58" t="s">
        <v>1350</v>
      </c>
      <c r="D33" s="15">
        <v>211</v>
      </c>
      <c r="E33" s="15" t="s">
        <v>1298</v>
      </c>
      <c r="F33" s="15" t="s">
        <v>1351</v>
      </c>
      <c r="G33" s="15" t="s">
        <v>1347</v>
      </c>
      <c r="H33" t="s">
        <v>1352</v>
      </c>
    </row>
    <row r="34" spans="2:8" ht="20.25" customHeight="1"/>
    <row r="35" spans="2:8" ht="20.25" customHeight="1"/>
    <row r="36" spans="2:8" ht="20.25" customHeight="1"/>
    <row r="37" spans="2:8" ht="20.25" customHeight="1"/>
    <row r="38" spans="2:8" ht="20.25" customHeight="1"/>
    <row r="39" spans="2:8" ht="20.25" customHeight="1"/>
    <row r="40" spans="2:8" ht="20.25" customHeight="1"/>
    <row r="41" spans="2:8" ht="20.25" customHeight="1"/>
    <row r="42" spans="2:8" ht="20.25" customHeight="1"/>
    <row r="43" spans="2:8" ht="20.25" customHeight="1"/>
    <row r="44" spans="2:8" ht="20.25" customHeight="1"/>
    <row r="45" spans="2:8" ht="20.25" customHeight="1"/>
    <row r="46" spans="2:8" ht="20.25" customHeight="1"/>
    <row r="47" spans="2:8" ht="20.25" customHeight="1"/>
    <row r="48" spans="2:8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  <row r="56" ht="20.25" customHeight="1"/>
    <row r="57" ht="20.25" customHeight="1"/>
    <row r="58" ht="20.25" customHeight="1"/>
    <row r="59" ht="20.25" customHeight="1"/>
    <row r="60" ht="20.25" customHeight="1"/>
    <row r="61" ht="20.25" customHeight="1"/>
    <row r="62" ht="20.25" customHeight="1"/>
    <row r="63" ht="20.25" customHeight="1"/>
    <row r="64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  <row r="72" ht="20.25" customHeight="1"/>
    <row r="73" ht="20.25" customHeight="1"/>
    <row r="74" ht="20.25" customHeight="1"/>
    <row r="75" ht="20.25" customHeight="1"/>
    <row r="76" ht="20.25" customHeight="1"/>
    <row r="77" ht="20.25" customHeight="1"/>
    <row r="78" ht="20.25" customHeight="1"/>
    <row r="79" ht="20.25" customHeight="1"/>
    <row r="80" ht="20.25" customHeight="1"/>
    <row r="81" ht="20.25" customHeight="1"/>
    <row r="82" ht="20.25" customHeight="1"/>
    <row r="83" ht="20.25" customHeight="1"/>
    <row r="84" ht="20.25" customHeight="1"/>
    <row r="85" ht="20.25" customHeight="1"/>
    <row r="86" ht="20.25" customHeight="1"/>
    <row r="87" ht="20.25" customHeight="1"/>
    <row r="88" ht="20.25" customHeight="1"/>
    <row r="89" ht="20.25" customHeight="1"/>
    <row r="90" ht="20.25" customHeight="1"/>
    <row r="91" ht="20.25" customHeight="1"/>
    <row r="92" ht="20.25" customHeight="1"/>
    <row r="93" ht="20.25" customHeight="1"/>
    <row r="94" ht="20.25" customHeight="1"/>
    <row r="95" ht="20.25" customHeight="1"/>
    <row r="96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  <row r="186" ht="20.25" customHeight="1"/>
    <row r="187" ht="20.25" customHeight="1"/>
    <row r="188" ht="20.25" customHeight="1"/>
    <row r="189" ht="20.25" customHeight="1"/>
    <row r="190" ht="20.25" customHeight="1"/>
    <row r="191" ht="20.25" customHeight="1"/>
    <row r="192" ht="20.25" customHeight="1"/>
    <row r="193" ht="20.25" customHeight="1"/>
    <row r="194" ht="20.25" customHeight="1"/>
    <row r="195" ht="20.25" customHeight="1"/>
    <row r="196" ht="20.25" customHeight="1"/>
    <row r="197" ht="20.25" customHeight="1"/>
    <row r="198" ht="20.25" customHeight="1"/>
    <row r="199" ht="20.25" customHeight="1"/>
    <row r="200" ht="20.25" customHeight="1"/>
  </sheetData>
  <dataValidations count="2">
    <dataValidation type="list" allowBlank="1" showInputMessage="1" showErrorMessage="1" sqref="E2:E1048576" xr:uid="{00000000-0002-0000-0A00-000000000000}">
      <formula1>"Plainview HQ, 1 Marcus, Other"</formula1>
    </dataValidation>
    <dataValidation type="list" allowBlank="1" showInputMessage="1" showErrorMessage="1" sqref="B2:B1048576" xr:uid="{00000000-0002-0000-0A00-000001000000}">
      <formula1>"Adapter, GCX Arm, Accessories, DIMs, Neuron, Cybernet, Keyboard, Mice"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 tint="0.59999389629810485"/>
  </sheetPr>
  <dimension ref="A1:CK528"/>
  <sheetViews>
    <sheetView topLeftCell="BG1" workbookViewId="0"/>
  </sheetViews>
  <sheetFormatPr defaultColWidth="9.140625" defaultRowHeight="15"/>
  <cols>
    <col min="1" max="2" width="18" customWidth="1"/>
    <col min="3" max="5" width="18" style="15" customWidth="1"/>
    <col min="6" max="8" width="20.140625" customWidth="1"/>
    <col min="9" max="17" width="27.7109375" customWidth="1"/>
    <col min="18" max="26" width="42.85546875" customWidth="1"/>
    <col min="27" max="32" width="28.28515625" customWidth="1"/>
    <col min="33" max="33" width="28.28515625" style="15" customWidth="1"/>
    <col min="34" max="47" width="28.28515625" customWidth="1"/>
    <col min="48" max="51" width="13" hidden="1" customWidth="1"/>
    <col min="52" max="69" width="28.28515625" customWidth="1"/>
    <col min="70" max="74" width="13" hidden="1" customWidth="1"/>
    <col min="75" max="77" width="28.28515625" customWidth="1"/>
    <col min="78" max="79" width="20" customWidth="1"/>
    <col min="80" max="80" width="28.28515625" customWidth="1"/>
    <col min="81" max="89" width="13" customWidth="1"/>
  </cols>
  <sheetData>
    <row r="1" spans="1:89" ht="30.75" customHeight="1">
      <c r="A1" s="67" t="s">
        <v>1</v>
      </c>
      <c r="B1" s="67" t="s">
        <v>2</v>
      </c>
      <c r="C1" s="67" t="s">
        <v>3</v>
      </c>
      <c r="D1" s="67" t="s">
        <v>1353</v>
      </c>
      <c r="E1" s="67" t="s">
        <v>1354</v>
      </c>
      <c r="F1" s="67" t="s">
        <v>1355</v>
      </c>
      <c r="G1" s="67" t="s">
        <v>1356</v>
      </c>
      <c r="H1" s="67" t="s">
        <v>1357</v>
      </c>
      <c r="I1" s="67" t="s">
        <v>1358</v>
      </c>
      <c r="J1" s="67" t="s">
        <v>1359</v>
      </c>
      <c r="K1" s="67" t="s">
        <v>1360</v>
      </c>
      <c r="L1" s="67" t="s">
        <v>1361</v>
      </c>
      <c r="M1" s="67" t="s">
        <v>1362</v>
      </c>
      <c r="N1" s="67" t="s">
        <v>1363</v>
      </c>
      <c r="O1" s="67" t="s">
        <v>1364</v>
      </c>
      <c r="P1" s="67" t="s">
        <v>1365</v>
      </c>
      <c r="Q1" s="67" t="s">
        <v>1366</v>
      </c>
      <c r="R1" s="67" t="s">
        <v>4</v>
      </c>
      <c r="S1" s="67" t="s">
        <v>5</v>
      </c>
      <c r="T1" s="67" t="s">
        <v>1367</v>
      </c>
      <c r="U1" s="67" t="s">
        <v>1368</v>
      </c>
      <c r="V1" s="67" t="s">
        <v>1369</v>
      </c>
      <c r="W1" s="67" t="s">
        <v>1370</v>
      </c>
      <c r="X1" s="67" t="s">
        <v>1371</v>
      </c>
      <c r="Y1" s="67" t="s">
        <v>1372</v>
      </c>
      <c r="Z1" s="67" t="s">
        <v>1373</v>
      </c>
      <c r="AA1" s="67" t="s">
        <v>1374</v>
      </c>
      <c r="AB1" s="67" t="s">
        <v>1375</v>
      </c>
      <c r="AC1" s="67" t="s">
        <v>1376</v>
      </c>
      <c r="AD1" s="67" t="s">
        <v>1377</v>
      </c>
      <c r="AE1" s="67" t="s">
        <v>1378</v>
      </c>
      <c r="AF1" s="67" t="s">
        <v>1379</v>
      </c>
      <c r="AG1" s="67" t="s">
        <v>1380</v>
      </c>
      <c r="AH1" s="67" t="s">
        <v>1381</v>
      </c>
      <c r="AI1" s="67" t="s">
        <v>1382</v>
      </c>
      <c r="AJ1" s="67" t="s">
        <v>1383</v>
      </c>
      <c r="AK1" s="67" t="s">
        <v>1384</v>
      </c>
      <c r="AL1" s="67" t="s">
        <v>1385</v>
      </c>
      <c r="AM1" s="67" t="s">
        <v>1386</v>
      </c>
      <c r="AN1" s="67" t="s">
        <v>1387</v>
      </c>
      <c r="AO1" s="67" t="s">
        <v>1388</v>
      </c>
      <c r="AP1" s="67" t="s">
        <v>1389</v>
      </c>
      <c r="AQ1" s="67" t="s">
        <v>1390</v>
      </c>
      <c r="AR1" s="67" t="s">
        <v>1391</v>
      </c>
      <c r="AS1" s="67" t="s">
        <v>1392</v>
      </c>
      <c r="AT1" s="67" t="s">
        <v>1393</v>
      </c>
      <c r="AU1" s="67" t="s">
        <v>1394</v>
      </c>
      <c r="AV1" s="67" t="s">
        <v>1395</v>
      </c>
      <c r="AW1" s="67" t="s">
        <v>1396</v>
      </c>
      <c r="AX1" s="67" t="s">
        <v>1397</v>
      </c>
      <c r="AY1" s="67" t="s">
        <v>1398</v>
      </c>
      <c r="AZ1" s="67" t="s">
        <v>1399</v>
      </c>
      <c r="BA1" s="67" t="s">
        <v>1400</v>
      </c>
      <c r="BB1" s="67" t="s">
        <v>189</v>
      </c>
      <c r="BC1" s="67" t="s">
        <v>1401</v>
      </c>
      <c r="BD1" s="67" t="s">
        <v>1402</v>
      </c>
      <c r="BE1" s="67" t="s">
        <v>1403</v>
      </c>
      <c r="BF1" s="67" t="s">
        <v>1404</v>
      </c>
      <c r="BG1" s="67" t="s">
        <v>1405</v>
      </c>
      <c r="BH1" s="67" t="s">
        <v>6</v>
      </c>
      <c r="BI1" s="67" t="s">
        <v>1406</v>
      </c>
      <c r="BJ1" s="67" t="s">
        <v>1407</v>
      </c>
      <c r="BK1" s="67" t="s">
        <v>1408</v>
      </c>
      <c r="BL1" s="67" t="s">
        <v>1409</v>
      </c>
      <c r="BM1" s="67" t="s">
        <v>1410</v>
      </c>
      <c r="BN1" s="67" t="s">
        <v>1411</v>
      </c>
      <c r="BO1" s="67" t="s">
        <v>1412</v>
      </c>
      <c r="BP1" s="67" t="s">
        <v>1413</v>
      </c>
      <c r="BQ1" s="67" t="s">
        <v>1414</v>
      </c>
      <c r="BR1" s="47" t="s">
        <v>1415</v>
      </c>
      <c r="BS1" s="47" t="s">
        <v>1416</v>
      </c>
      <c r="BT1" s="47" t="s">
        <v>1417</v>
      </c>
      <c r="BU1" s="47" t="s">
        <v>1418</v>
      </c>
      <c r="BV1" s="47" t="s">
        <v>1419</v>
      </c>
      <c r="BW1" s="47" t="s">
        <v>1420</v>
      </c>
      <c r="BX1" s="47" t="s">
        <v>1421</v>
      </c>
      <c r="BY1" s="47" t="s">
        <v>1422</v>
      </c>
      <c r="BZ1" s="47" t="s">
        <v>1423</v>
      </c>
      <c r="CA1" s="47" t="s">
        <v>1424</v>
      </c>
      <c r="CB1" s="47" t="s">
        <v>1425</v>
      </c>
      <c r="CC1" s="47" t="s">
        <v>1426</v>
      </c>
      <c r="CD1" s="47" t="s">
        <v>1427</v>
      </c>
      <c r="CE1" s="47" t="s">
        <v>1428</v>
      </c>
      <c r="CF1" s="47" t="s">
        <v>1429</v>
      </c>
      <c r="CG1" s="47" t="s">
        <v>1430</v>
      </c>
      <c r="CH1" s="47" t="s">
        <v>1431</v>
      </c>
      <c r="CI1" s="47" t="s">
        <v>1432</v>
      </c>
      <c r="CJ1" s="47" t="s">
        <v>1433</v>
      </c>
      <c r="CK1" s="47" t="s">
        <v>1434</v>
      </c>
    </row>
    <row r="2" spans="1:89" ht="120">
      <c r="A2" s="8" t="s">
        <v>1331</v>
      </c>
      <c r="B2" s="8" t="s">
        <v>1435</v>
      </c>
      <c r="C2" s="15" t="s">
        <v>1435</v>
      </c>
      <c r="D2" s="15" t="str">
        <f t="shared" ref="D2:D65" si="0">IF($B2&lt;&gt;"Yes","",IF($C2="No","Yes",IF($C2="Yes","No","")))</f>
        <v>No</v>
      </c>
      <c r="E2" s="15" t="str">
        <f t="shared" ref="E2:E49" si="1">IF($A2="","",IF($A2="Neuron",IF(OR(AND($S2&lt;&gt;"",LOWER(TRIM($S2))&lt;&gt;"n/a",COUNTIF($S$2:$S$528,$S2)&gt;1),AND($T2&lt;&gt;"",LOWER(TRIM($T2))&lt;&gt;"n/a",COUNTIF($T$2:$T$528,$T2)&gt;1),AND($W2&lt;&gt;"",LOWER(TRIM($W2))&lt;&gt;"n/a",COUNTIF($W$2:$W$528,$W2)&gt;1)),"Yes","No"),IF($A2="Cybernet",IF(OR(AND($Y2&lt;&gt;"",LOWER(TRIM($Y2))&lt;&gt;"n/a",COUNTIF($Y$2:$Y$528,$Y2)&gt;1),AND($Z2&lt;&gt;"",LOWER(TRIM($Z2))&lt;&gt;"n/a",COUNTIF($Z$2:$Z$528,$Z2)&gt;1)),"Yes","No"),IF(AND($AL2&lt;&gt;"",LOWER(TRIM($AL2))&lt;&gt;"n/a",COUNTIF($AL$2:$AL$528,$AL2)&gt;1),"Yes","No"))))</f>
        <v>No</v>
      </c>
      <c r="F2" t="str">
        <f t="shared" ref="F2:F49" si="2">IF($B2&lt;&gt;"Yes","",
IF($A2="Neuron",
IF(OR(
AND($S2&lt;&gt;"",LOWER(TRIM($S2))&lt;&gt;"n/a",COUNTIFS($B$2:$B$528,"Yes",$A$2:$A$528,"Neuron",$S$2:$S$528,$S2)&gt;1),
AND($T2&lt;&gt;"",LOWER(TRIM($T2))&lt;&gt;"n/a",COUNTIFS($B$2:$B$528,"Yes",$A$2:$A$528,"Neuron",$T$2:$T$528,$T2)&gt;1),
AND($W2&lt;&gt;"",LOWER(TRIM($W2))&lt;&gt;"n/a",COUNTIFS($B$2:$B$528,"Yes",$A$2:$A$528,"Neuron",$W$2:$W$528,$W2)&gt;1)
),"Yes","No"),
IF($A2="Cybernet",
IF(OR(
AND($Y2&lt;&gt;"",LOWER(TRIM($Y2))&lt;&gt;"n/a",COUNTIFS($B$2:$B$528,"Yes",$A$2:$A$528,"Cybernet",$Y$2:$Y$528,$Y2)&gt;1),
AND($Z2&lt;&gt;"",LOWER(TRIM($Z2))&lt;&gt;"n/a",COUNTIFS($B$2:$B$528,"Yes",$A$2:$A$528,"Cybernet",$Z$2:$Z$528,$Z2)&gt;1)
),"Yes","No"),
IF(AND($AL2&lt;&gt;"",LOWER(TRIM($AL2))&lt;&gt;"n/a"),
IF(COUNTIFS($B$2:$B$528,"Yes",$A$2:$A$528,$A2,$AL$2:$AL$528,$AL2)&gt;1,"Yes","No"),
"No")
)
)
)</f>
        <v>No</v>
      </c>
      <c r="G2" s="4" t="s">
        <v>1436</v>
      </c>
      <c r="H2" s="4" t="s">
        <v>1436</v>
      </c>
      <c r="I2" s="4" t="s">
        <v>1437</v>
      </c>
      <c r="J2" s="4" t="s">
        <v>1438</v>
      </c>
      <c r="K2" s="4" t="s">
        <v>1438</v>
      </c>
      <c r="L2" s="4" t="s">
        <v>1438</v>
      </c>
      <c r="M2" s="4"/>
      <c r="N2" s="4"/>
      <c r="O2" s="4"/>
      <c r="P2" s="4"/>
      <c r="Q2" s="4"/>
      <c r="R2" s="4"/>
      <c r="S2" s="4" t="s">
        <v>1439</v>
      </c>
      <c r="T2" s="4" t="s">
        <v>1440</v>
      </c>
      <c r="U2" s="4" t="s">
        <v>1441</v>
      </c>
      <c r="V2" s="4" t="s">
        <v>1435</v>
      </c>
      <c r="W2" s="4" t="s">
        <v>1442</v>
      </c>
      <c r="X2" s="4" t="s">
        <v>1443</v>
      </c>
      <c r="Y2" s="4" t="s">
        <v>1444</v>
      </c>
      <c r="Z2" s="4"/>
      <c r="AA2" s="4" t="s">
        <v>1445</v>
      </c>
      <c r="AB2" s="4"/>
      <c r="AC2" s="4" t="s">
        <v>1446</v>
      </c>
      <c r="AD2" s="4" t="s">
        <v>1444</v>
      </c>
      <c r="AE2" s="8"/>
      <c r="AF2" s="4" t="s">
        <v>1447</v>
      </c>
      <c r="AG2" s="4" t="s">
        <v>1448</v>
      </c>
      <c r="AH2" s="14">
        <v>1</v>
      </c>
      <c r="AI2" s="16" t="s">
        <v>1449</v>
      </c>
      <c r="AJ2" s="4" t="s">
        <v>1450</v>
      </c>
      <c r="AK2" s="4" t="s">
        <v>1451</v>
      </c>
      <c r="AL2" s="4" t="s">
        <v>1446</v>
      </c>
      <c r="AM2" t="s">
        <v>1335</v>
      </c>
      <c r="AN2" s="4"/>
      <c r="AO2" s="4"/>
      <c r="AP2" s="4"/>
      <c r="AQ2" s="4"/>
      <c r="AR2" s="4" t="s">
        <v>1444</v>
      </c>
      <c r="AS2" s="4" t="s">
        <v>1452</v>
      </c>
      <c r="AT2" s="4" t="s">
        <v>1444</v>
      </c>
      <c r="AU2" s="4" t="s">
        <v>1444</v>
      </c>
      <c r="AV2" s="4" t="s">
        <v>1444</v>
      </c>
      <c r="AW2" s="8" t="s">
        <v>1435</v>
      </c>
      <c r="AX2" s="8" t="s">
        <v>1435</v>
      </c>
      <c r="AY2" s="8"/>
      <c r="AZ2" s="8"/>
      <c r="BA2" s="12">
        <v>46027</v>
      </c>
      <c r="BB2" s="8" t="s">
        <v>1435</v>
      </c>
      <c r="BC2" s="4"/>
      <c r="BD2" s="4" t="s">
        <v>1403</v>
      </c>
      <c r="BE2" s="8" t="s">
        <v>1435</v>
      </c>
      <c r="BF2" s="8" t="s">
        <v>1435</v>
      </c>
      <c r="BG2" s="8" t="s">
        <v>1435</v>
      </c>
      <c r="BH2" s="8" t="s">
        <v>1435</v>
      </c>
      <c r="BI2" s="8" t="s">
        <v>1453</v>
      </c>
      <c r="BJ2" s="8" t="s">
        <v>1435</v>
      </c>
      <c r="BK2" s="8" t="s">
        <v>1454</v>
      </c>
      <c r="BL2" s="4" t="str">
        <f t="shared" ref="BL2:BL45" si="3">IF($T2="","",IF((IF(AND($AW2&lt;&gt;"Yes",$AW2&lt;&gt;"N/A"),"Power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",""))="","",LEFT(IF(AND($AW2&lt;&gt;"Yes",$AW2&lt;&gt;"N/A"),"Power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",""),LEN(IF(AND($AW2&lt;&gt;"Yes",$AW2&lt;&gt;"N/A"),"Power Cable, ","")&amp;IF(AND($AX2&lt;&gt;"Yes",$AX2&lt;&gt;"N/A"),"Battery, ","")&amp;IF(AND($BE2&lt;&gt;"Yes",$BE2&lt;&gt;"N/A"),"Firmware Download, ","")&amp;IF(AND(OR($BE2="Yes",$BE2="N/A"),$BF2&lt;&gt;"Yes",$BF2&lt;&gt;"N/A"),"Firmware Install, ","")&amp;IF(AND($BJ2&lt;&gt;"Yes",$BJ2&lt;&gt;"N/A"),"Device ID, ","")&amp;IF(AND($BK2&lt;&gt;"Yes",$BK2&lt;&gt;"N/A"),"Epic Beans Relay, ",""))-2)))</f>
        <v>Epic Beans Relay</v>
      </c>
      <c r="BM2" s="8" t="str">
        <f t="shared" ref="BM2:BM45" si="4">IF($T2="","",IF($BL2="","Yes","Blocked"))</f>
        <v>Blocked</v>
      </c>
      <c r="BP2" t="str">
        <f>IF($BO2="","",IFERROR(VLOOKUP($BO2,'01_Warehouse_Ledger'!$A:$N,4,FALSE),""))</f>
        <v/>
      </c>
      <c r="BQ2" t="str">
        <f>IF($BO2="","",IFERROR(VLOOKUP($BO2,'01_Warehouse_Ledger'!$A:$N,5,FALSE),""))</f>
        <v/>
      </c>
      <c r="BR2" t="str">
        <f>IF($BO2="","",IFERROR(VLOOKUP($BO2,'01_Warehouse_Ledger'!$A:$N,13,FALSE),""))</f>
        <v/>
      </c>
    </row>
    <row r="3" spans="1:89">
      <c r="A3" s="8" t="s">
        <v>1331</v>
      </c>
      <c r="B3" s="8" t="s">
        <v>1435</v>
      </c>
      <c r="C3" s="15" t="s">
        <v>1435</v>
      </c>
      <c r="D3" s="15" t="str">
        <f t="shared" si="0"/>
        <v>No</v>
      </c>
      <c r="E3" s="15" t="str">
        <f t="shared" si="1"/>
        <v>No</v>
      </c>
      <c r="F3" t="str">
        <f t="shared" si="2"/>
        <v>No</v>
      </c>
      <c r="G3" s="4" t="s">
        <v>1436</v>
      </c>
      <c r="H3" s="4" t="s">
        <v>1436</v>
      </c>
      <c r="I3" s="4"/>
      <c r="J3" s="4" t="s">
        <v>1438</v>
      </c>
      <c r="K3" s="4" t="s">
        <v>1438</v>
      </c>
      <c r="L3" s="4" t="s">
        <v>1438</v>
      </c>
      <c r="M3" s="4"/>
      <c r="N3" s="4"/>
      <c r="O3" s="4"/>
      <c r="P3" s="4"/>
      <c r="Q3" s="4"/>
      <c r="R3" s="4"/>
      <c r="S3" s="4" t="s">
        <v>1455</v>
      </c>
      <c r="T3" s="4" t="s">
        <v>1456</v>
      </c>
      <c r="U3" s="4" t="s">
        <v>1457</v>
      </c>
      <c r="V3" s="4" t="s">
        <v>1435</v>
      </c>
      <c r="W3" s="4" t="s">
        <v>1458</v>
      </c>
      <c r="X3" s="4" t="s">
        <v>1443</v>
      </c>
      <c r="Y3" s="4" t="s">
        <v>1444</v>
      </c>
      <c r="Z3" s="4"/>
      <c r="AA3" s="4" t="s">
        <v>1445</v>
      </c>
      <c r="AB3" s="4"/>
      <c r="AC3" s="4" t="s">
        <v>1459</v>
      </c>
      <c r="AD3" s="4" t="s">
        <v>1444</v>
      </c>
      <c r="AE3" s="8"/>
      <c r="AF3" s="4" t="s">
        <v>1447</v>
      </c>
      <c r="AG3" s="4" t="s">
        <v>1448</v>
      </c>
      <c r="AH3" s="14">
        <v>2</v>
      </c>
      <c r="AI3" s="16" t="s">
        <v>1460</v>
      </c>
      <c r="AJ3" s="4" t="s">
        <v>1450</v>
      </c>
      <c r="AK3" s="4" t="s">
        <v>1451</v>
      </c>
      <c r="AL3" s="4" t="s">
        <v>1459</v>
      </c>
      <c r="AM3" s="4" t="s">
        <v>1335</v>
      </c>
      <c r="AN3" s="4"/>
      <c r="AO3" s="4"/>
      <c r="AP3" s="4"/>
      <c r="AQ3" s="4"/>
      <c r="AR3" s="4" t="s">
        <v>1444</v>
      </c>
      <c r="AS3" s="4" t="s">
        <v>1452</v>
      </c>
      <c r="AT3" s="4" t="s">
        <v>1444</v>
      </c>
      <c r="AU3" s="4" t="s">
        <v>1444</v>
      </c>
      <c r="AV3" s="4" t="s">
        <v>1444</v>
      </c>
      <c r="AW3" s="8" t="s">
        <v>1435</v>
      </c>
      <c r="AX3" s="8" t="s">
        <v>1435</v>
      </c>
      <c r="AY3" s="8"/>
      <c r="AZ3" s="8"/>
      <c r="BA3" s="12">
        <v>46027</v>
      </c>
      <c r="BB3" s="8" t="s">
        <v>1435</v>
      </c>
      <c r="BC3" s="4"/>
      <c r="BD3" s="4" t="s">
        <v>1403</v>
      </c>
      <c r="BE3" s="8" t="s">
        <v>1435</v>
      </c>
      <c r="BF3" s="8" t="s">
        <v>1435</v>
      </c>
      <c r="BG3" s="8" t="s">
        <v>1435</v>
      </c>
      <c r="BH3" s="8" t="s">
        <v>1435</v>
      </c>
      <c r="BI3" s="8"/>
      <c r="BJ3" s="8" t="s">
        <v>1435</v>
      </c>
      <c r="BK3" s="8" t="s">
        <v>1454</v>
      </c>
      <c r="BL3" s="4" t="str">
        <f t="shared" si="3"/>
        <v>Epic Beans Relay</v>
      </c>
      <c r="BM3" s="8" t="str">
        <f t="shared" si="4"/>
        <v>Blocked</v>
      </c>
      <c r="BP3" t="str">
        <f>IF($BO3="","",IFERROR(VLOOKUP($BO3,'01_Warehouse_Ledger'!$A:$N,4,FALSE),""))</f>
        <v/>
      </c>
      <c r="BQ3" t="str">
        <f>IF($BO3="","",IFERROR(VLOOKUP($BO3,'01_Warehouse_Ledger'!$A:$N,5,FALSE),""))</f>
        <v/>
      </c>
      <c r="BR3" t="str">
        <f>IF($BO3="","",IFERROR(VLOOKUP($BO3,'01_Warehouse_Ledger'!$A:$N,13,FALSE),""))</f>
        <v/>
      </c>
    </row>
    <row r="4" spans="1:89">
      <c r="A4" s="8" t="s">
        <v>1331</v>
      </c>
      <c r="B4" s="8" t="s">
        <v>1435</v>
      </c>
      <c r="C4" s="15" t="s">
        <v>1435</v>
      </c>
      <c r="D4" s="15" t="str">
        <f t="shared" si="0"/>
        <v>No</v>
      </c>
      <c r="E4" s="15" t="str">
        <f t="shared" si="1"/>
        <v>No</v>
      </c>
      <c r="F4" t="str">
        <f t="shared" si="2"/>
        <v>No</v>
      </c>
      <c r="G4" s="4" t="s">
        <v>1436</v>
      </c>
      <c r="H4" s="4" t="s">
        <v>1436</v>
      </c>
      <c r="I4" s="4"/>
      <c r="J4" s="4" t="s">
        <v>1438</v>
      </c>
      <c r="K4" s="4" t="s">
        <v>1438</v>
      </c>
      <c r="L4" s="4" t="s">
        <v>1438</v>
      </c>
      <c r="M4" s="4"/>
      <c r="N4" s="4"/>
      <c r="O4" s="4"/>
      <c r="P4" s="4"/>
      <c r="Q4" s="4"/>
      <c r="R4" s="4"/>
      <c r="S4" s="4" t="s">
        <v>1461</v>
      </c>
      <c r="T4" s="4" t="s">
        <v>1462</v>
      </c>
      <c r="U4" s="4" t="s">
        <v>1463</v>
      </c>
      <c r="V4" s="4" t="s">
        <v>1435</v>
      </c>
      <c r="W4" s="4" t="s">
        <v>1464</v>
      </c>
      <c r="X4" s="4" t="s">
        <v>1443</v>
      </c>
      <c r="Y4" s="4" t="s">
        <v>1444</v>
      </c>
      <c r="Z4" s="4"/>
      <c r="AA4" s="4" t="s">
        <v>1445</v>
      </c>
      <c r="AB4" s="4"/>
      <c r="AC4" s="4" t="s">
        <v>1465</v>
      </c>
      <c r="AD4" s="4" t="s">
        <v>1444</v>
      </c>
      <c r="AE4" s="8"/>
      <c r="AF4" s="4" t="s">
        <v>1447</v>
      </c>
      <c r="AG4" s="4" t="s">
        <v>1448</v>
      </c>
      <c r="AH4" s="14">
        <v>3</v>
      </c>
      <c r="AI4" s="16" t="s">
        <v>1466</v>
      </c>
      <c r="AJ4" s="4" t="s">
        <v>1450</v>
      </c>
      <c r="AK4" s="4" t="s">
        <v>1451</v>
      </c>
      <c r="AL4" s="4" t="s">
        <v>1465</v>
      </c>
      <c r="AM4" s="4" t="s">
        <v>1335</v>
      </c>
      <c r="AN4" s="4"/>
      <c r="AO4" s="4"/>
      <c r="AP4" s="4"/>
      <c r="AQ4" s="4"/>
      <c r="AR4" s="4" t="s">
        <v>1444</v>
      </c>
      <c r="AS4" s="4" t="s">
        <v>1452</v>
      </c>
      <c r="AT4" s="4" t="s">
        <v>1444</v>
      </c>
      <c r="AU4" s="4" t="s">
        <v>1444</v>
      </c>
      <c r="AV4" s="4" t="s">
        <v>1444</v>
      </c>
      <c r="AW4" s="8" t="s">
        <v>1435</v>
      </c>
      <c r="AX4" s="8" t="s">
        <v>1435</v>
      </c>
      <c r="AY4" s="8"/>
      <c r="AZ4" s="8"/>
      <c r="BA4" s="12">
        <v>46027</v>
      </c>
      <c r="BB4" s="8" t="s">
        <v>1435</v>
      </c>
      <c r="BC4" s="4"/>
      <c r="BD4" s="4" t="s">
        <v>1403</v>
      </c>
      <c r="BE4" s="8" t="s">
        <v>1435</v>
      </c>
      <c r="BF4" s="8" t="s">
        <v>1435</v>
      </c>
      <c r="BG4" s="8" t="s">
        <v>1435</v>
      </c>
      <c r="BH4" s="8" t="s">
        <v>1435</v>
      </c>
      <c r="BI4" s="8"/>
      <c r="BJ4" s="8" t="s">
        <v>1435</v>
      </c>
      <c r="BK4" s="8" t="s">
        <v>1454</v>
      </c>
      <c r="BL4" s="4" t="str">
        <f t="shared" si="3"/>
        <v>Epic Beans Relay</v>
      </c>
      <c r="BM4" s="8" t="str">
        <f t="shared" si="4"/>
        <v>Blocked</v>
      </c>
      <c r="BP4" t="str">
        <f>IF($BO4="","",IFERROR(VLOOKUP($BO4,'01_Warehouse_Ledger'!$A:$N,4,FALSE),""))</f>
        <v/>
      </c>
      <c r="BQ4" t="str">
        <f>IF($BO4="","",IFERROR(VLOOKUP($BO4,'01_Warehouse_Ledger'!$A:$N,5,FALSE),""))</f>
        <v/>
      </c>
      <c r="BR4" t="str">
        <f>IF($BO4="","",IFERROR(VLOOKUP($BO4,'01_Warehouse_Ledger'!$A:$N,13,FALSE),""))</f>
        <v/>
      </c>
    </row>
    <row r="5" spans="1:89">
      <c r="A5" s="8" t="s">
        <v>1331</v>
      </c>
      <c r="B5" s="8" t="s">
        <v>1435</v>
      </c>
      <c r="C5" s="15" t="s">
        <v>1435</v>
      </c>
      <c r="D5" s="15" t="str">
        <f t="shared" si="0"/>
        <v>No</v>
      </c>
      <c r="E5" s="15" t="str">
        <f t="shared" si="1"/>
        <v>No</v>
      </c>
      <c r="F5" t="str">
        <f t="shared" si="2"/>
        <v>No</v>
      </c>
      <c r="G5" s="4" t="s">
        <v>1436</v>
      </c>
      <c r="H5" s="4" t="s">
        <v>1436</v>
      </c>
      <c r="I5" s="4"/>
      <c r="J5" s="4" t="s">
        <v>1438</v>
      </c>
      <c r="K5" s="4" t="s">
        <v>1438</v>
      </c>
      <c r="L5" s="4" t="s">
        <v>1438</v>
      </c>
      <c r="M5" s="4"/>
      <c r="N5" s="4"/>
      <c r="O5" s="4"/>
      <c r="P5" s="4"/>
      <c r="Q5" s="4"/>
      <c r="R5" s="4"/>
      <c r="S5" s="4" t="s">
        <v>1467</v>
      </c>
      <c r="T5" s="4" t="s">
        <v>1468</v>
      </c>
      <c r="U5" s="4" t="s">
        <v>1469</v>
      </c>
      <c r="V5" s="4" t="s">
        <v>1435</v>
      </c>
      <c r="W5" s="4" t="s">
        <v>1470</v>
      </c>
      <c r="X5" s="4" t="s">
        <v>1443</v>
      </c>
      <c r="Y5" s="4" t="s">
        <v>1444</v>
      </c>
      <c r="Z5" s="4"/>
      <c r="AA5" s="4" t="s">
        <v>1445</v>
      </c>
      <c r="AB5" s="4"/>
      <c r="AC5" s="4" t="s">
        <v>1471</v>
      </c>
      <c r="AD5" s="4" t="s">
        <v>1444</v>
      </c>
      <c r="AE5" s="8"/>
      <c r="AF5" s="4" t="s">
        <v>1447</v>
      </c>
      <c r="AG5" s="4" t="s">
        <v>1448</v>
      </c>
      <c r="AH5" s="14">
        <v>4</v>
      </c>
      <c r="AI5" s="16" t="s">
        <v>1472</v>
      </c>
      <c r="AJ5" s="4" t="s">
        <v>1450</v>
      </c>
      <c r="AK5" s="4" t="s">
        <v>1451</v>
      </c>
      <c r="AL5" s="4" t="s">
        <v>1471</v>
      </c>
      <c r="AM5" s="4" t="s">
        <v>1335</v>
      </c>
      <c r="AN5" s="4"/>
      <c r="AO5" s="4"/>
      <c r="AP5" s="4"/>
      <c r="AQ5" s="4"/>
      <c r="AR5" s="4" t="s">
        <v>1444</v>
      </c>
      <c r="AS5" s="4" t="s">
        <v>1452</v>
      </c>
      <c r="AT5" s="4" t="s">
        <v>1444</v>
      </c>
      <c r="AU5" s="4" t="s">
        <v>1444</v>
      </c>
      <c r="AV5" s="4" t="s">
        <v>1444</v>
      </c>
      <c r="AW5" s="8" t="s">
        <v>1435</v>
      </c>
      <c r="AX5" s="8" t="s">
        <v>1435</v>
      </c>
      <c r="AY5" s="8"/>
      <c r="AZ5" s="8"/>
      <c r="BA5" s="12">
        <v>46027</v>
      </c>
      <c r="BB5" s="8" t="s">
        <v>1435</v>
      </c>
      <c r="BC5" s="4"/>
      <c r="BD5" s="4" t="s">
        <v>1403</v>
      </c>
      <c r="BE5" s="8" t="s">
        <v>1435</v>
      </c>
      <c r="BF5" s="8" t="s">
        <v>1435</v>
      </c>
      <c r="BG5" s="8" t="s">
        <v>1435</v>
      </c>
      <c r="BH5" s="8" t="s">
        <v>1435</v>
      </c>
      <c r="BI5" s="8"/>
      <c r="BJ5" s="8" t="s">
        <v>1435</v>
      </c>
      <c r="BK5" s="8" t="s">
        <v>1454</v>
      </c>
      <c r="BL5" s="4" t="str">
        <f t="shared" si="3"/>
        <v>Epic Beans Relay</v>
      </c>
      <c r="BM5" s="8" t="str">
        <f t="shared" si="4"/>
        <v>Blocked</v>
      </c>
      <c r="BP5" t="str">
        <f>IF($BO5="","",IFERROR(VLOOKUP($BO5,'01_Warehouse_Ledger'!$A:$N,4,FALSE),""))</f>
        <v/>
      </c>
      <c r="BQ5" t="str">
        <f>IF($BO5="","",IFERROR(VLOOKUP($BO5,'01_Warehouse_Ledger'!$A:$N,5,FALSE),""))</f>
        <v/>
      </c>
      <c r="BR5" t="str">
        <f>IF($BO5="","",IFERROR(VLOOKUP($BO5,'01_Warehouse_Ledger'!$A:$N,13,FALSE),""))</f>
        <v/>
      </c>
    </row>
    <row r="6" spans="1:89">
      <c r="A6" s="8" t="s">
        <v>1331</v>
      </c>
      <c r="B6" s="8" t="s">
        <v>1435</v>
      </c>
      <c r="C6" s="15" t="s">
        <v>1435</v>
      </c>
      <c r="D6" s="15" t="str">
        <f t="shared" si="0"/>
        <v>No</v>
      </c>
      <c r="E6" s="15" t="str">
        <f t="shared" si="1"/>
        <v>No</v>
      </c>
      <c r="F6" t="str">
        <f t="shared" si="2"/>
        <v>No</v>
      </c>
      <c r="G6" s="4" t="s">
        <v>1436</v>
      </c>
      <c r="H6" s="4" t="s">
        <v>1436</v>
      </c>
      <c r="I6" s="4"/>
      <c r="J6" s="4" t="s">
        <v>1438</v>
      </c>
      <c r="K6" s="4" t="s">
        <v>1438</v>
      </c>
      <c r="L6" s="4" t="s">
        <v>1438</v>
      </c>
      <c r="M6" s="4"/>
      <c r="N6" s="4"/>
      <c r="O6" s="4"/>
      <c r="P6" s="4"/>
      <c r="Q6" s="4"/>
      <c r="R6" s="4"/>
      <c r="S6" s="4" t="s">
        <v>1473</v>
      </c>
      <c r="T6" s="4" t="s">
        <v>1474</v>
      </c>
      <c r="U6" s="4" t="s">
        <v>1475</v>
      </c>
      <c r="V6" s="4" t="s">
        <v>1435</v>
      </c>
      <c r="W6" s="4" t="s">
        <v>1476</v>
      </c>
      <c r="X6" s="4" t="s">
        <v>1443</v>
      </c>
      <c r="Y6" s="4" t="s">
        <v>1444</v>
      </c>
      <c r="Z6" s="4"/>
      <c r="AA6" s="4" t="s">
        <v>1445</v>
      </c>
      <c r="AB6" s="4"/>
      <c r="AC6" s="4" t="s">
        <v>1477</v>
      </c>
      <c r="AD6" s="4" t="s">
        <v>1444</v>
      </c>
      <c r="AE6" s="8"/>
      <c r="AF6" s="4" t="s">
        <v>1447</v>
      </c>
      <c r="AG6" s="4" t="s">
        <v>1448</v>
      </c>
      <c r="AH6" s="14">
        <v>5</v>
      </c>
      <c r="AI6" s="16" t="s">
        <v>1478</v>
      </c>
      <c r="AJ6" s="4" t="s">
        <v>1450</v>
      </c>
      <c r="AK6" s="4" t="s">
        <v>1451</v>
      </c>
      <c r="AL6" s="4" t="s">
        <v>1477</v>
      </c>
      <c r="AM6" s="4" t="s">
        <v>1335</v>
      </c>
      <c r="AN6" s="4"/>
      <c r="AO6" s="4"/>
      <c r="AP6" s="4"/>
      <c r="AQ6" s="4"/>
      <c r="AR6" s="4" t="s">
        <v>1444</v>
      </c>
      <c r="AS6" s="4" t="s">
        <v>1452</v>
      </c>
      <c r="AT6" s="4" t="s">
        <v>1444</v>
      </c>
      <c r="AU6" s="4" t="s">
        <v>1444</v>
      </c>
      <c r="AV6" s="4" t="s">
        <v>1444</v>
      </c>
      <c r="AW6" s="8" t="s">
        <v>1435</v>
      </c>
      <c r="AX6" s="8" t="s">
        <v>1435</v>
      </c>
      <c r="AY6" s="8"/>
      <c r="AZ6" s="8"/>
      <c r="BA6" s="12">
        <v>46027</v>
      </c>
      <c r="BB6" s="8" t="s">
        <v>1435</v>
      </c>
      <c r="BC6" s="4"/>
      <c r="BD6" s="4" t="s">
        <v>1403</v>
      </c>
      <c r="BE6" s="8" t="s">
        <v>1435</v>
      </c>
      <c r="BF6" s="8" t="s">
        <v>1435</v>
      </c>
      <c r="BG6" s="8" t="s">
        <v>1435</v>
      </c>
      <c r="BH6" s="8" t="s">
        <v>1435</v>
      </c>
      <c r="BI6" s="8"/>
      <c r="BJ6" s="8" t="s">
        <v>1435</v>
      </c>
      <c r="BK6" s="8" t="s">
        <v>1454</v>
      </c>
      <c r="BL6" s="4" t="str">
        <f t="shared" si="3"/>
        <v>Epic Beans Relay</v>
      </c>
      <c r="BM6" s="8" t="str">
        <f t="shared" si="4"/>
        <v>Blocked</v>
      </c>
      <c r="BP6" t="str">
        <f>IF($BO6="","",IFERROR(VLOOKUP($BO6,'01_Warehouse_Ledger'!$A:$N,4,FALSE),""))</f>
        <v/>
      </c>
      <c r="BQ6" t="str">
        <f>IF($BO6="","",IFERROR(VLOOKUP($BO6,'01_Warehouse_Ledger'!$A:$N,5,FALSE),""))</f>
        <v/>
      </c>
      <c r="BR6" t="str">
        <f>IF($BO6="","",IFERROR(VLOOKUP($BO6,'01_Warehouse_Ledger'!$A:$N,13,FALSE),""))</f>
        <v/>
      </c>
    </row>
    <row r="7" spans="1:89">
      <c r="A7" s="8" t="s">
        <v>1331</v>
      </c>
      <c r="B7" s="8" t="s">
        <v>1435</v>
      </c>
      <c r="C7" s="15" t="s">
        <v>1435</v>
      </c>
      <c r="D7" s="15" t="str">
        <f t="shared" si="0"/>
        <v>No</v>
      </c>
      <c r="E7" s="15" t="str">
        <f t="shared" si="1"/>
        <v>No</v>
      </c>
      <c r="F7" t="str">
        <f t="shared" si="2"/>
        <v>No</v>
      </c>
      <c r="G7" s="4" t="s">
        <v>1436</v>
      </c>
      <c r="H7" s="4" t="s">
        <v>1436</v>
      </c>
      <c r="I7" s="4"/>
      <c r="J7" s="4" t="s">
        <v>1438</v>
      </c>
      <c r="K7" s="4" t="s">
        <v>1438</v>
      </c>
      <c r="L7" s="4" t="s">
        <v>1438</v>
      </c>
      <c r="M7" s="4"/>
      <c r="N7" s="4"/>
      <c r="O7" s="4"/>
      <c r="P7" s="4"/>
      <c r="Q7" s="4"/>
      <c r="R7" s="4"/>
      <c r="S7" s="4" t="s">
        <v>1479</v>
      </c>
      <c r="T7" s="4" t="s">
        <v>1480</v>
      </c>
      <c r="U7" s="4" t="s">
        <v>1481</v>
      </c>
      <c r="V7" s="4" t="s">
        <v>1435</v>
      </c>
      <c r="W7" s="4" t="s">
        <v>1482</v>
      </c>
      <c r="X7" s="4" t="s">
        <v>1443</v>
      </c>
      <c r="Y7" s="4" t="s">
        <v>1444</v>
      </c>
      <c r="Z7" s="4"/>
      <c r="AA7" s="4" t="s">
        <v>1445</v>
      </c>
      <c r="AB7" s="4"/>
      <c r="AC7" s="4" t="s">
        <v>1483</v>
      </c>
      <c r="AD7" s="4" t="s">
        <v>1444</v>
      </c>
      <c r="AE7" s="8"/>
      <c r="AF7" s="4" t="s">
        <v>1447</v>
      </c>
      <c r="AG7" s="4" t="s">
        <v>1448</v>
      </c>
      <c r="AH7" s="14">
        <v>6</v>
      </c>
      <c r="AI7" s="16" t="s">
        <v>1484</v>
      </c>
      <c r="AJ7" s="4" t="s">
        <v>1450</v>
      </c>
      <c r="AK7" s="4" t="s">
        <v>1451</v>
      </c>
      <c r="AL7" s="4" t="s">
        <v>1483</v>
      </c>
      <c r="AM7" s="4" t="s">
        <v>1335</v>
      </c>
      <c r="AN7" s="4"/>
      <c r="AO7" s="4"/>
      <c r="AP7" s="4"/>
      <c r="AQ7" s="4"/>
      <c r="AR7" s="4" t="s">
        <v>1444</v>
      </c>
      <c r="AS7" s="4" t="s">
        <v>1452</v>
      </c>
      <c r="AT7" s="4" t="s">
        <v>1444</v>
      </c>
      <c r="AU7" s="4" t="s">
        <v>1444</v>
      </c>
      <c r="AV7" s="4" t="s">
        <v>1444</v>
      </c>
      <c r="AW7" s="8" t="s">
        <v>1435</v>
      </c>
      <c r="AX7" s="8" t="s">
        <v>1435</v>
      </c>
      <c r="AY7" s="8"/>
      <c r="AZ7" s="8"/>
      <c r="BA7" s="12">
        <v>46027</v>
      </c>
      <c r="BB7" s="8" t="s">
        <v>1435</v>
      </c>
      <c r="BC7" s="4"/>
      <c r="BD7" s="4" t="s">
        <v>1403</v>
      </c>
      <c r="BE7" s="8" t="s">
        <v>1435</v>
      </c>
      <c r="BF7" s="8" t="s">
        <v>1435</v>
      </c>
      <c r="BG7" s="8" t="s">
        <v>1435</v>
      </c>
      <c r="BH7" s="8" t="s">
        <v>1435</v>
      </c>
      <c r="BI7" s="8"/>
      <c r="BJ7" s="8" t="s">
        <v>1435</v>
      </c>
      <c r="BK7" s="8" t="s">
        <v>1454</v>
      </c>
      <c r="BL7" s="4" t="str">
        <f t="shared" si="3"/>
        <v>Epic Beans Relay</v>
      </c>
      <c r="BM7" s="8" t="str">
        <f t="shared" si="4"/>
        <v>Blocked</v>
      </c>
      <c r="BP7" t="str">
        <f>IF($BO7="","",IFERROR(VLOOKUP($BO7,'01_Warehouse_Ledger'!$A:$N,4,FALSE),""))</f>
        <v/>
      </c>
      <c r="BQ7" t="str">
        <f>IF($BO7="","",IFERROR(VLOOKUP($BO7,'01_Warehouse_Ledger'!$A:$N,5,FALSE),""))</f>
        <v/>
      </c>
      <c r="BR7" t="str">
        <f>IF($BO7="","",IFERROR(VLOOKUP($BO7,'01_Warehouse_Ledger'!$A:$N,13,FALSE),""))</f>
        <v/>
      </c>
    </row>
    <row r="8" spans="1:89">
      <c r="A8" s="8" t="s">
        <v>1331</v>
      </c>
      <c r="B8" s="8" t="s">
        <v>1435</v>
      </c>
      <c r="C8" s="15" t="s">
        <v>1435</v>
      </c>
      <c r="D8" s="15" t="str">
        <f t="shared" si="0"/>
        <v>No</v>
      </c>
      <c r="E8" s="15" t="str">
        <f t="shared" si="1"/>
        <v>No</v>
      </c>
      <c r="F8" t="str">
        <f t="shared" si="2"/>
        <v>No</v>
      </c>
      <c r="G8" s="4" t="s">
        <v>1436</v>
      </c>
      <c r="H8" s="4" t="s">
        <v>1436</v>
      </c>
      <c r="I8" s="4"/>
      <c r="J8" s="4" t="s">
        <v>1438</v>
      </c>
      <c r="K8" s="4" t="s">
        <v>1438</v>
      </c>
      <c r="L8" s="4" t="s">
        <v>1438</v>
      </c>
      <c r="M8" s="4"/>
      <c r="N8" s="4"/>
      <c r="O8" s="4"/>
      <c r="P8" s="4"/>
      <c r="Q8" s="4"/>
      <c r="R8" s="4"/>
      <c r="S8" s="4" t="s">
        <v>1485</v>
      </c>
      <c r="T8" s="4" t="s">
        <v>1486</v>
      </c>
      <c r="U8" s="4" t="s">
        <v>1487</v>
      </c>
      <c r="V8" s="4" t="s">
        <v>1435</v>
      </c>
      <c r="W8" s="4" t="s">
        <v>1488</v>
      </c>
      <c r="X8" s="4" t="s">
        <v>1443</v>
      </c>
      <c r="Y8" s="4" t="s">
        <v>1444</v>
      </c>
      <c r="Z8" s="4"/>
      <c r="AA8" s="4" t="s">
        <v>1445</v>
      </c>
      <c r="AB8" s="4"/>
      <c r="AC8" s="4" t="s">
        <v>1489</v>
      </c>
      <c r="AD8" s="4" t="s">
        <v>1444</v>
      </c>
      <c r="AE8" s="8"/>
      <c r="AF8" s="4" t="s">
        <v>1447</v>
      </c>
      <c r="AG8" s="4" t="s">
        <v>1448</v>
      </c>
      <c r="AH8" s="14">
        <v>7</v>
      </c>
      <c r="AI8" s="16" t="s">
        <v>1490</v>
      </c>
      <c r="AJ8" s="4" t="s">
        <v>1450</v>
      </c>
      <c r="AK8" s="4" t="s">
        <v>1451</v>
      </c>
      <c r="AL8" s="4" t="s">
        <v>1489</v>
      </c>
      <c r="AM8" s="4" t="s">
        <v>1335</v>
      </c>
      <c r="AN8" s="4"/>
      <c r="AO8" s="4"/>
      <c r="AP8" s="4"/>
      <c r="AQ8" s="4"/>
      <c r="AR8" s="4" t="s">
        <v>1444</v>
      </c>
      <c r="AS8" s="4" t="s">
        <v>1452</v>
      </c>
      <c r="AT8" s="4" t="s">
        <v>1444</v>
      </c>
      <c r="AU8" s="4" t="s">
        <v>1444</v>
      </c>
      <c r="AV8" s="4" t="s">
        <v>1444</v>
      </c>
      <c r="AW8" s="8" t="s">
        <v>1435</v>
      </c>
      <c r="AX8" s="8" t="s">
        <v>1435</v>
      </c>
      <c r="AY8" s="8"/>
      <c r="AZ8" s="8"/>
      <c r="BA8" s="12">
        <v>46027</v>
      </c>
      <c r="BB8" s="8" t="s">
        <v>1435</v>
      </c>
      <c r="BC8" s="4"/>
      <c r="BD8" s="4" t="s">
        <v>1403</v>
      </c>
      <c r="BE8" s="8" t="s">
        <v>1435</v>
      </c>
      <c r="BF8" s="8" t="s">
        <v>1435</v>
      </c>
      <c r="BG8" s="8" t="s">
        <v>1435</v>
      </c>
      <c r="BH8" s="8" t="s">
        <v>1435</v>
      </c>
      <c r="BI8" s="8"/>
      <c r="BJ8" s="8" t="s">
        <v>1435</v>
      </c>
      <c r="BK8" s="8" t="s">
        <v>1454</v>
      </c>
      <c r="BL8" s="4" t="str">
        <f t="shared" si="3"/>
        <v>Epic Beans Relay</v>
      </c>
      <c r="BM8" s="8" t="str">
        <f t="shared" si="4"/>
        <v>Blocked</v>
      </c>
      <c r="BP8" t="str">
        <f>IF($BO8="","",IFERROR(VLOOKUP($BO8,'01_Warehouse_Ledger'!$A:$N,4,FALSE),""))</f>
        <v/>
      </c>
      <c r="BQ8" t="str">
        <f>IF($BO8="","",IFERROR(VLOOKUP($BO8,'01_Warehouse_Ledger'!$A:$N,5,FALSE),""))</f>
        <v/>
      </c>
      <c r="BR8" t="str">
        <f>IF($BO8="","",IFERROR(VLOOKUP($BO8,'01_Warehouse_Ledger'!$A:$N,13,FALSE),""))</f>
        <v/>
      </c>
    </row>
    <row r="9" spans="1:89">
      <c r="A9" s="8" t="s">
        <v>1331</v>
      </c>
      <c r="B9" s="8" t="s">
        <v>1435</v>
      </c>
      <c r="C9" s="15" t="s">
        <v>1435</v>
      </c>
      <c r="D9" s="15" t="str">
        <f t="shared" si="0"/>
        <v>No</v>
      </c>
      <c r="E9" s="15" t="str">
        <f t="shared" si="1"/>
        <v>No</v>
      </c>
      <c r="F9" t="str">
        <f t="shared" si="2"/>
        <v>No</v>
      </c>
      <c r="G9" s="4" t="s">
        <v>1436</v>
      </c>
      <c r="H9" s="4" t="s">
        <v>1436</v>
      </c>
      <c r="I9" s="4"/>
      <c r="J9" s="4" t="s">
        <v>1438</v>
      </c>
      <c r="K9" s="4" t="s">
        <v>1438</v>
      </c>
      <c r="L9" s="4" t="s">
        <v>1438</v>
      </c>
      <c r="M9" s="4"/>
      <c r="N9" s="4"/>
      <c r="O9" s="4"/>
      <c r="P9" s="4"/>
      <c r="Q9" s="4"/>
      <c r="R9" s="4"/>
      <c r="S9" s="4" t="s">
        <v>1491</v>
      </c>
      <c r="T9" s="4" t="s">
        <v>1492</v>
      </c>
      <c r="U9" s="4" t="s">
        <v>1493</v>
      </c>
      <c r="V9" s="4" t="s">
        <v>1435</v>
      </c>
      <c r="W9" s="4" t="s">
        <v>1494</v>
      </c>
      <c r="X9" s="4" t="s">
        <v>1443</v>
      </c>
      <c r="Y9" s="4" t="s">
        <v>1444</v>
      </c>
      <c r="Z9" s="4"/>
      <c r="AA9" s="4" t="s">
        <v>1445</v>
      </c>
      <c r="AB9" s="4"/>
      <c r="AC9" s="4" t="s">
        <v>1495</v>
      </c>
      <c r="AD9" s="4" t="s">
        <v>1444</v>
      </c>
      <c r="AE9" s="8"/>
      <c r="AF9" s="4" t="s">
        <v>1447</v>
      </c>
      <c r="AG9" s="4" t="s">
        <v>1448</v>
      </c>
      <c r="AH9" s="14">
        <v>8</v>
      </c>
      <c r="AI9" s="16" t="s">
        <v>1496</v>
      </c>
      <c r="AJ9" s="4" t="s">
        <v>1450</v>
      </c>
      <c r="AK9" s="4" t="s">
        <v>1451</v>
      </c>
      <c r="AL9" s="4" t="s">
        <v>1495</v>
      </c>
      <c r="AM9" s="4" t="s">
        <v>1335</v>
      </c>
      <c r="AN9" s="4"/>
      <c r="AO9" s="4"/>
      <c r="AP9" s="4"/>
      <c r="AQ9" s="4"/>
      <c r="AR9" s="4" t="s">
        <v>1444</v>
      </c>
      <c r="AS9" s="4" t="s">
        <v>1452</v>
      </c>
      <c r="AT9" s="4" t="s">
        <v>1444</v>
      </c>
      <c r="AU9" s="4" t="s">
        <v>1444</v>
      </c>
      <c r="AV9" s="4" t="s">
        <v>1444</v>
      </c>
      <c r="AW9" s="8" t="s">
        <v>1435</v>
      </c>
      <c r="AX9" s="8" t="s">
        <v>1435</v>
      </c>
      <c r="AY9" s="8"/>
      <c r="AZ9" s="8"/>
      <c r="BA9" s="12">
        <v>46027</v>
      </c>
      <c r="BB9" s="8" t="s">
        <v>1435</v>
      </c>
      <c r="BC9" s="4"/>
      <c r="BD9" s="4" t="s">
        <v>1403</v>
      </c>
      <c r="BE9" s="8" t="s">
        <v>1435</v>
      </c>
      <c r="BF9" s="8" t="s">
        <v>1435</v>
      </c>
      <c r="BG9" s="8" t="s">
        <v>1435</v>
      </c>
      <c r="BH9" s="8" t="s">
        <v>1435</v>
      </c>
      <c r="BI9" s="8"/>
      <c r="BJ9" s="8" t="s">
        <v>1435</v>
      </c>
      <c r="BK9" s="8" t="s">
        <v>1454</v>
      </c>
      <c r="BL9" s="4" t="str">
        <f t="shared" si="3"/>
        <v>Epic Beans Relay</v>
      </c>
      <c r="BM9" s="8" t="str">
        <f t="shared" si="4"/>
        <v>Blocked</v>
      </c>
      <c r="BP9" t="str">
        <f>IF($BO9="","",IFERROR(VLOOKUP($BO9,'01_Warehouse_Ledger'!$A:$N,4,FALSE),""))</f>
        <v/>
      </c>
      <c r="BQ9" t="str">
        <f>IF($BO9="","",IFERROR(VLOOKUP($BO9,'01_Warehouse_Ledger'!$A:$N,5,FALSE),""))</f>
        <v/>
      </c>
      <c r="BR9" t="str">
        <f>IF($BO9="","",IFERROR(VLOOKUP($BO9,'01_Warehouse_Ledger'!$A:$N,13,FALSE),""))</f>
        <v/>
      </c>
    </row>
    <row r="10" spans="1:89">
      <c r="A10" s="8" t="s">
        <v>1331</v>
      </c>
      <c r="B10" s="8" t="s">
        <v>1435</v>
      </c>
      <c r="C10" s="15" t="s">
        <v>1435</v>
      </c>
      <c r="D10" s="15" t="str">
        <f t="shared" si="0"/>
        <v>No</v>
      </c>
      <c r="E10" s="15" t="str">
        <f t="shared" si="1"/>
        <v>No</v>
      </c>
      <c r="F10" t="str">
        <f t="shared" si="2"/>
        <v>No</v>
      </c>
      <c r="G10" s="4" t="s">
        <v>1436</v>
      </c>
      <c r="H10" s="4" t="s">
        <v>1436</v>
      </c>
      <c r="I10" s="4"/>
      <c r="J10" s="4" t="s">
        <v>1438</v>
      </c>
      <c r="K10" s="4" t="s">
        <v>1438</v>
      </c>
      <c r="L10" s="4" t="s">
        <v>1438</v>
      </c>
      <c r="M10" s="4"/>
      <c r="N10" s="4"/>
      <c r="O10" s="4"/>
      <c r="P10" s="4"/>
      <c r="Q10" s="4"/>
      <c r="R10" s="4"/>
      <c r="S10" s="4" t="s">
        <v>1497</v>
      </c>
      <c r="T10" s="4" t="s">
        <v>1498</v>
      </c>
      <c r="U10" s="4" t="s">
        <v>1499</v>
      </c>
      <c r="V10" s="4" t="s">
        <v>1435</v>
      </c>
      <c r="W10" s="4" t="s">
        <v>1500</v>
      </c>
      <c r="X10" s="4" t="s">
        <v>1443</v>
      </c>
      <c r="Y10" s="4" t="s">
        <v>1444</v>
      </c>
      <c r="Z10" s="4"/>
      <c r="AA10" s="4" t="s">
        <v>1445</v>
      </c>
      <c r="AB10" s="4"/>
      <c r="AC10" s="4" t="s">
        <v>1501</v>
      </c>
      <c r="AD10" s="4" t="s">
        <v>1444</v>
      </c>
      <c r="AE10" s="8"/>
      <c r="AF10" s="4" t="s">
        <v>1447</v>
      </c>
      <c r="AG10" s="4" t="s">
        <v>1448</v>
      </c>
      <c r="AH10" s="14">
        <v>9</v>
      </c>
      <c r="AI10" s="16" t="s">
        <v>1502</v>
      </c>
      <c r="AJ10" s="4" t="s">
        <v>1450</v>
      </c>
      <c r="AK10" s="4" t="s">
        <v>1451</v>
      </c>
      <c r="AL10" s="4" t="s">
        <v>1501</v>
      </c>
      <c r="AM10" s="4" t="s">
        <v>1335</v>
      </c>
      <c r="AN10" s="4"/>
      <c r="AO10" s="4"/>
      <c r="AP10" s="4"/>
      <c r="AQ10" s="4"/>
      <c r="AR10" s="4" t="s">
        <v>1444</v>
      </c>
      <c r="AS10" s="4" t="s">
        <v>1452</v>
      </c>
      <c r="AT10" s="4" t="s">
        <v>1444</v>
      </c>
      <c r="AU10" s="4" t="s">
        <v>1444</v>
      </c>
      <c r="AV10" s="4" t="s">
        <v>1444</v>
      </c>
      <c r="AW10" s="8" t="s">
        <v>1435</v>
      </c>
      <c r="AX10" s="8" t="s">
        <v>1435</v>
      </c>
      <c r="AY10" s="8"/>
      <c r="AZ10" s="8"/>
      <c r="BA10" s="12">
        <v>46027</v>
      </c>
      <c r="BB10" s="8" t="s">
        <v>1435</v>
      </c>
      <c r="BC10" s="4"/>
      <c r="BD10" s="4" t="s">
        <v>1403</v>
      </c>
      <c r="BE10" s="8" t="s">
        <v>1435</v>
      </c>
      <c r="BF10" s="8" t="s">
        <v>1435</v>
      </c>
      <c r="BG10" s="8" t="s">
        <v>1435</v>
      </c>
      <c r="BH10" s="8" t="s">
        <v>1435</v>
      </c>
      <c r="BI10" s="8"/>
      <c r="BJ10" s="8" t="s">
        <v>1435</v>
      </c>
      <c r="BK10" s="8" t="s">
        <v>1454</v>
      </c>
      <c r="BL10" s="4" t="str">
        <f t="shared" si="3"/>
        <v>Epic Beans Relay</v>
      </c>
      <c r="BM10" s="8" t="str">
        <f t="shared" si="4"/>
        <v>Blocked</v>
      </c>
      <c r="BP10" t="str">
        <f>IF($BO10="","",IFERROR(VLOOKUP($BO10,'01_Warehouse_Ledger'!$A:$N,4,FALSE),""))</f>
        <v/>
      </c>
      <c r="BQ10" t="str">
        <f>IF($BO10="","",IFERROR(VLOOKUP($BO10,'01_Warehouse_Ledger'!$A:$N,5,FALSE),""))</f>
        <v/>
      </c>
      <c r="BR10" t="str">
        <f>IF($BO10="","",IFERROR(VLOOKUP($BO10,'01_Warehouse_Ledger'!$A:$N,13,FALSE),""))</f>
        <v/>
      </c>
    </row>
    <row r="11" spans="1:89">
      <c r="A11" s="8" t="s">
        <v>1331</v>
      </c>
      <c r="B11" s="8" t="s">
        <v>1435</v>
      </c>
      <c r="C11" s="15" t="s">
        <v>1435</v>
      </c>
      <c r="D11" s="15" t="str">
        <f t="shared" si="0"/>
        <v>No</v>
      </c>
      <c r="E11" s="15" t="str">
        <f t="shared" si="1"/>
        <v>No</v>
      </c>
      <c r="F11" t="str">
        <f t="shared" si="2"/>
        <v>No</v>
      </c>
      <c r="G11" s="4" t="s">
        <v>1436</v>
      </c>
      <c r="H11" s="4" t="s">
        <v>1436</v>
      </c>
      <c r="I11" s="4"/>
      <c r="J11" s="4" t="s">
        <v>1438</v>
      </c>
      <c r="K11" s="4" t="s">
        <v>1438</v>
      </c>
      <c r="L11" s="4" t="s">
        <v>1438</v>
      </c>
      <c r="M11" s="4"/>
      <c r="N11" s="4"/>
      <c r="O11" s="4"/>
      <c r="P11" s="4"/>
      <c r="Q11" s="4"/>
      <c r="R11" s="4"/>
      <c r="S11" s="4" t="s">
        <v>1503</v>
      </c>
      <c r="T11" s="4" t="s">
        <v>1504</v>
      </c>
      <c r="U11" s="4" t="s">
        <v>1505</v>
      </c>
      <c r="V11" s="4" t="s">
        <v>1435</v>
      </c>
      <c r="W11" s="4" t="s">
        <v>1506</v>
      </c>
      <c r="X11" s="4" t="s">
        <v>1443</v>
      </c>
      <c r="Y11" s="4" t="s">
        <v>1444</v>
      </c>
      <c r="Z11" s="4"/>
      <c r="AA11" s="4" t="s">
        <v>1445</v>
      </c>
      <c r="AB11" s="4"/>
      <c r="AC11" s="4" t="s">
        <v>1507</v>
      </c>
      <c r="AD11" s="4" t="s">
        <v>1444</v>
      </c>
      <c r="AE11" s="8"/>
      <c r="AF11" s="4" t="s">
        <v>1447</v>
      </c>
      <c r="AG11" s="4" t="s">
        <v>1448</v>
      </c>
      <c r="AH11" s="14">
        <v>10</v>
      </c>
      <c r="AI11" s="16" t="s">
        <v>1508</v>
      </c>
      <c r="AJ11" s="4" t="s">
        <v>1450</v>
      </c>
      <c r="AK11" s="4" t="s">
        <v>1451</v>
      </c>
      <c r="AL11" s="4" t="s">
        <v>1507</v>
      </c>
      <c r="AM11" s="4" t="s">
        <v>1335</v>
      </c>
      <c r="AN11" s="4"/>
      <c r="AO11" s="4"/>
      <c r="AP11" s="4"/>
      <c r="AQ11" s="4"/>
      <c r="AR11" s="4" t="s">
        <v>1444</v>
      </c>
      <c r="AS11" s="4" t="s">
        <v>1452</v>
      </c>
      <c r="AT11" s="4" t="s">
        <v>1444</v>
      </c>
      <c r="AU11" s="4" t="s">
        <v>1444</v>
      </c>
      <c r="AV11" s="4" t="s">
        <v>1444</v>
      </c>
      <c r="AW11" s="8" t="s">
        <v>1435</v>
      </c>
      <c r="AX11" s="8" t="s">
        <v>1435</v>
      </c>
      <c r="AY11" s="8"/>
      <c r="AZ11" s="8"/>
      <c r="BA11" s="12">
        <v>46027</v>
      </c>
      <c r="BB11" s="8" t="s">
        <v>1435</v>
      </c>
      <c r="BC11" s="4"/>
      <c r="BD11" s="4" t="s">
        <v>1403</v>
      </c>
      <c r="BE11" s="8" t="s">
        <v>1435</v>
      </c>
      <c r="BF11" s="8" t="s">
        <v>1435</v>
      </c>
      <c r="BG11" s="8" t="s">
        <v>1435</v>
      </c>
      <c r="BH11" s="8" t="s">
        <v>1435</v>
      </c>
      <c r="BI11" s="8"/>
      <c r="BJ11" s="8" t="s">
        <v>1435</v>
      </c>
      <c r="BK11" s="8" t="s">
        <v>1454</v>
      </c>
      <c r="BL11" s="4" t="str">
        <f t="shared" si="3"/>
        <v>Epic Beans Relay</v>
      </c>
      <c r="BM11" s="8" t="str">
        <f t="shared" si="4"/>
        <v>Blocked</v>
      </c>
      <c r="BP11" t="str">
        <f>IF($BO11="","",IFERROR(VLOOKUP($BO11,'01_Warehouse_Ledger'!$A:$N,4,FALSE),""))</f>
        <v/>
      </c>
      <c r="BQ11" t="str">
        <f>IF($BO11="","",IFERROR(VLOOKUP($BO11,'01_Warehouse_Ledger'!$A:$N,5,FALSE),""))</f>
        <v/>
      </c>
      <c r="BR11" t="str">
        <f>IF($BO11="","",IFERROR(VLOOKUP($BO11,'01_Warehouse_Ledger'!$A:$N,13,FALSE),""))</f>
        <v/>
      </c>
    </row>
    <row r="12" spans="1:89">
      <c r="A12" s="8" t="s">
        <v>1331</v>
      </c>
      <c r="B12" s="8" t="s">
        <v>1435</v>
      </c>
      <c r="C12" s="15" t="s">
        <v>1435</v>
      </c>
      <c r="D12" s="15" t="str">
        <f t="shared" si="0"/>
        <v>No</v>
      </c>
      <c r="E12" s="15" t="str">
        <f t="shared" si="1"/>
        <v>No</v>
      </c>
      <c r="F12" t="str">
        <f t="shared" si="2"/>
        <v>No</v>
      </c>
      <c r="G12" s="4" t="s">
        <v>1436</v>
      </c>
      <c r="H12" s="4" t="s">
        <v>1436</v>
      </c>
      <c r="I12" s="4"/>
      <c r="J12" s="4" t="s">
        <v>1438</v>
      </c>
      <c r="K12" s="4" t="s">
        <v>1438</v>
      </c>
      <c r="L12" s="4" t="s">
        <v>1438</v>
      </c>
      <c r="M12" s="4"/>
      <c r="N12" s="4"/>
      <c r="O12" s="4"/>
      <c r="P12" s="4"/>
      <c r="Q12" s="4"/>
      <c r="R12" s="4"/>
      <c r="S12" s="4" t="s">
        <v>1509</v>
      </c>
      <c r="T12" s="4" t="s">
        <v>1510</v>
      </c>
      <c r="U12" s="4" t="s">
        <v>1511</v>
      </c>
      <c r="V12" s="4" t="s">
        <v>1435</v>
      </c>
      <c r="W12" s="4" t="s">
        <v>1512</v>
      </c>
      <c r="X12" s="4" t="s">
        <v>1443</v>
      </c>
      <c r="Y12" s="4" t="s">
        <v>1444</v>
      </c>
      <c r="Z12" s="4"/>
      <c r="AA12" s="4" t="s">
        <v>1445</v>
      </c>
      <c r="AB12" s="4"/>
      <c r="AC12" s="4" t="s">
        <v>1513</v>
      </c>
      <c r="AD12" s="4" t="s">
        <v>1444</v>
      </c>
      <c r="AE12" s="8"/>
      <c r="AF12" s="4" t="s">
        <v>1447</v>
      </c>
      <c r="AG12" s="4" t="s">
        <v>1448</v>
      </c>
      <c r="AH12" s="14">
        <v>11</v>
      </c>
      <c r="AI12" s="4" t="s">
        <v>1514</v>
      </c>
      <c r="AJ12" s="4" t="s">
        <v>1450</v>
      </c>
      <c r="AK12" s="4" t="s">
        <v>1451</v>
      </c>
      <c r="AL12" s="4" t="s">
        <v>1513</v>
      </c>
      <c r="AM12" s="4" t="s">
        <v>1335</v>
      </c>
      <c r="AN12" s="4"/>
      <c r="AO12" s="4"/>
      <c r="AP12" s="4"/>
      <c r="AQ12" s="4"/>
      <c r="AR12" s="4" t="s">
        <v>1444</v>
      </c>
      <c r="AS12" s="4" t="s">
        <v>1452</v>
      </c>
      <c r="AT12" s="4" t="s">
        <v>1444</v>
      </c>
      <c r="AU12" s="4" t="s">
        <v>1444</v>
      </c>
      <c r="AV12" s="4" t="s">
        <v>1444</v>
      </c>
      <c r="AW12" s="8" t="s">
        <v>1435</v>
      </c>
      <c r="AX12" s="8" t="s">
        <v>1435</v>
      </c>
      <c r="AY12" s="8"/>
      <c r="AZ12" s="8"/>
      <c r="BA12" s="12">
        <v>46027</v>
      </c>
      <c r="BB12" s="8" t="s">
        <v>1435</v>
      </c>
      <c r="BC12" s="4" t="s">
        <v>1515</v>
      </c>
      <c r="BD12" s="4" t="s">
        <v>1403</v>
      </c>
      <c r="BE12" s="8" t="s">
        <v>1435</v>
      </c>
      <c r="BF12" s="8" t="s">
        <v>1435</v>
      </c>
      <c r="BG12" s="8" t="s">
        <v>1435</v>
      </c>
      <c r="BH12" s="8" t="s">
        <v>1435</v>
      </c>
      <c r="BI12" s="8"/>
      <c r="BJ12" s="8" t="s">
        <v>1435</v>
      </c>
      <c r="BK12" s="8" t="s">
        <v>1454</v>
      </c>
      <c r="BL12" s="4" t="str">
        <f t="shared" si="3"/>
        <v>Epic Beans Relay</v>
      </c>
      <c r="BM12" s="8" t="str">
        <f t="shared" si="4"/>
        <v>Blocked</v>
      </c>
      <c r="BP12" t="str">
        <f>IF($BO12="","",IFERROR(VLOOKUP($BO12,'01_Warehouse_Ledger'!$A:$N,4,FALSE),""))</f>
        <v/>
      </c>
      <c r="BQ12" t="str">
        <f>IF($BO12="","",IFERROR(VLOOKUP($BO12,'01_Warehouse_Ledger'!$A:$N,5,FALSE),""))</f>
        <v/>
      </c>
      <c r="BR12" t="str">
        <f>IF($BO12="","",IFERROR(VLOOKUP($BO12,'01_Warehouse_Ledger'!$A:$N,13,FALSE),""))</f>
        <v/>
      </c>
    </row>
    <row r="13" spans="1:89">
      <c r="A13" s="8" t="s">
        <v>1331</v>
      </c>
      <c r="B13" s="8" t="s">
        <v>1435</v>
      </c>
      <c r="C13" s="15" t="s">
        <v>1435</v>
      </c>
      <c r="D13" s="15" t="str">
        <f t="shared" si="0"/>
        <v>No</v>
      </c>
      <c r="E13" s="15" t="str">
        <f t="shared" si="1"/>
        <v>No</v>
      </c>
      <c r="F13" t="str">
        <f t="shared" si="2"/>
        <v>No</v>
      </c>
      <c r="G13" s="4" t="s">
        <v>1436</v>
      </c>
      <c r="H13" s="4" t="s">
        <v>1436</v>
      </c>
      <c r="I13" s="4"/>
      <c r="J13" s="4" t="s">
        <v>1438</v>
      </c>
      <c r="K13" s="4" t="s">
        <v>1438</v>
      </c>
      <c r="L13" s="4" t="s">
        <v>1438</v>
      </c>
      <c r="M13" s="4"/>
      <c r="N13" s="4"/>
      <c r="O13" s="4"/>
      <c r="P13" s="4"/>
      <c r="Q13" s="4"/>
      <c r="R13" s="4"/>
      <c r="S13" s="4" t="s">
        <v>1516</v>
      </c>
      <c r="T13" s="4" t="s">
        <v>1517</v>
      </c>
      <c r="U13" s="4" t="s">
        <v>1518</v>
      </c>
      <c r="V13" s="4" t="s">
        <v>1435</v>
      </c>
      <c r="W13" s="4" t="s">
        <v>1519</v>
      </c>
      <c r="X13" s="4" t="s">
        <v>1443</v>
      </c>
      <c r="Y13" s="4" t="s">
        <v>1444</v>
      </c>
      <c r="Z13" s="4"/>
      <c r="AA13" s="4" t="s">
        <v>1445</v>
      </c>
      <c r="AB13" s="4"/>
      <c r="AC13" s="4" t="s">
        <v>1520</v>
      </c>
      <c r="AD13" s="4" t="s">
        <v>1444</v>
      </c>
      <c r="AE13" s="8"/>
      <c r="AF13" s="4" t="s">
        <v>1447</v>
      </c>
      <c r="AG13" s="4" t="s">
        <v>1448</v>
      </c>
      <c r="AH13" s="14">
        <v>12</v>
      </c>
      <c r="AI13" s="4" t="s">
        <v>1521</v>
      </c>
      <c r="AJ13" s="4" t="s">
        <v>1450</v>
      </c>
      <c r="AK13" s="4" t="s">
        <v>1451</v>
      </c>
      <c r="AL13" s="4" t="s">
        <v>1520</v>
      </c>
      <c r="AM13" s="4" t="s">
        <v>1335</v>
      </c>
      <c r="AN13" s="4"/>
      <c r="AO13" s="4"/>
      <c r="AP13" s="4"/>
      <c r="AQ13" s="4"/>
      <c r="AR13" s="4" t="s">
        <v>1444</v>
      </c>
      <c r="AS13" s="4" t="s">
        <v>1452</v>
      </c>
      <c r="AT13" s="4" t="s">
        <v>1444</v>
      </c>
      <c r="AU13" s="4" t="s">
        <v>1444</v>
      </c>
      <c r="AV13" s="4" t="s">
        <v>1444</v>
      </c>
      <c r="AW13" s="8" t="s">
        <v>1435</v>
      </c>
      <c r="AX13" s="8" t="s">
        <v>1435</v>
      </c>
      <c r="AY13" s="8"/>
      <c r="AZ13" s="8"/>
      <c r="BA13" s="12">
        <v>46027</v>
      </c>
      <c r="BB13" s="8" t="s">
        <v>1435</v>
      </c>
      <c r="BC13" s="4"/>
      <c r="BD13" s="4" t="s">
        <v>1403</v>
      </c>
      <c r="BE13" s="8" t="s">
        <v>1435</v>
      </c>
      <c r="BF13" s="8" t="s">
        <v>1435</v>
      </c>
      <c r="BG13" s="8" t="s">
        <v>1435</v>
      </c>
      <c r="BH13" s="8" t="s">
        <v>1435</v>
      </c>
      <c r="BI13" s="8"/>
      <c r="BJ13" s="8" t="s">
        <v>1435</v>
      </c>
      <c r="BK13" s="8" t="s">
        <v>1454</v>
      </c>
      <c r="BL13" s="4" t="str">
        <f t="shared" si="3"/>
        <v>Epic Beans Relay</v>
      </c>
      <c r="BM13" s="8" t="str">
        <f t="shared" si="4"/>
        <v>Blocked</v>
      </c>
      <c r="BP13" t="str">
        <f>IF($BO13="","",IFERROR(VLOOKUP($BO13,'01_Warehouse_Ledger'!$A:$N,4,FALSE),""))</f>
        <v/>
      </c>
      <c r="BQ13" t="str">
        <f>IF($BO13="","",IFERROR(VLOOKUP($BO13,'01_Warehouse_Ledger'!$A:$N,5,FALSE),""))</f>
        <v/>
      </c>
      <c r="BR13" t="str">
        <f>IF($BO13="","",IFERROR(VLOOKUP($BO13,'01_Warehouse_Ledger'!$A:$N,13,FALSE),""))</f>
        <v/>
      </c>
    </row>
    <row r="14" spans="1:89">
      <c r="A14" s="8" t="s">
        <v>1331</v>
      </c>
      <c r="B14" s="8" t="s">
        <v>1435</v>
      </c>
      <c r="C14" s="15" t="s">
        <v>1435</v>
      </c>
      <c r="D14" s="15" t="str">
        <f t="shared" si="0"/>
        <v>No</v>
      </c>
      <c r="E14" s="15" t="str">
        <f t="shared" si="1"/>
        <v>No</v>
      </c>
      <c r="F14" t="str">
        <f t="shared" si="2"/>
        <v>No</v>
      </c>
      <c r="G14" s="4" t="s">
        <v>1436</v>
      </c>
      <c r="H14" s="4" t="s">
        <v>1436</v>
      </c>
      <c r="I14" s="4"/>
      <c r="J14" s="4" t="s">
        <v>1438</v>
      </c>
      <c r="K14" s="4" t="s">
        <v>1438</v>
      </c>
      <c r="L14" s="4" t="s">
        <v>1438</v>
      </c>
      <c r="M14" s="4"/>
      <c r="N14" s="4"/>
      <c r="O14" s="4"/>
      <c r="P14" s="4"/>
      <c r="Q14" s="4"/>
      <c r="R14" s="4"/>
      <c r="S14" s="4" t="s">
        <v>1522</v>
      </c>
      <c r="T14" s="4" t="s">
        <v>1523</v>
      </c>
      <c r="U14" s="4" t="s">
        <v>1524</v>
      </c>
      <c r="V14" s="4" t="s">
        <v>1435</v>
      </c>
      <c r="W14" s="4" t="s">
        <v>1525</v>
      </c>
      <c r="X14" s="4" t="s">
        <v>1443</v>
      </c>
      <c r="Y14" s="4" t="s">
        <v>1444</v>
      </c>
      <c r="Z14" s="4"/>
      <c r="AA14" s="4" t="s">
        <v>1445</v>
      </c>
      <c r="AB14" s="4"/>
      <c r="AC14" s="4" t="s">
        <v>1526</v>
      </c>
      <c r="AD14" s="4" t="s">
        <v>1444</v>
      </c>
      <c r="AE14" s="8"/>
      <c r="AF14" s="4" t="s">
        <v>1447</v>
      </c>
      <c r="AG14" s="4" t="s">
        <v>1448</v>
      </c>
      <c r="AH14" s="14">
        <v>13</v>
      </c>
      <c r="AI14" s="4" t="s">
        <v>1527</v>
      </c>
      <c r="AJ14" s="4" t="s">
        <v>1450</v>
      </c>
      <c r="AK14" s="4" t="s">
        <v>1451</v>
      </c>
      <c r="AL14" s="4" t="s">
        <v>1526</v>
      </c>
      <c r="AM14" s="4" t="s">
        <v>1335</v>
      </c>
      <c r="AN14" s="4"/>
      <c r="AO14" s="4"/>
      <c r="AP14" s="4"/>
      <c r="AQ14" s="4"/>
      <c r="AR14" s="4" t="s">
        <v>1444</v>
      </c>
      <c r="AS14" s="4" t="s">
        <v>1452</v>
      </c>
      <c r="AT14" s="4" t="s">
        <v>1444</v>
      </c>
      <c r="AU14" s="4" t="s">
        <v>1444</v>
      </c>
      <c r="AV14" s="4" t="s">
        <v>1444</v>
      </c>
      <c r="AW14" s="8" t="s">
        <v>1435</v>
      </c>
      <c r="AX14" s="8" t="s">
        <v>1435</v>
      </c>
      <c r="AY14" s="8"/>
      <c r="AZ14" s="8"/>
      <c r="BA14" s="12">
        <v>46027</v>
      </c>
      <c r="BB14" s="8" t="s">
        <v>1435</v>
      </c>
      <c r="BC14" s="4"/>
      <c r="BD14" s="4" t="s">
        <v>1403</v>
      </c>
      <c r="BE14" s="8" t="s">
        <v>1435</v>
      </c>
      <c r="BF14" s="8" t="s">
        <v>1435</v>
      </c>
      <c r="BG14" s="8" t="s">
        <v>1435</v>
      </c>
      <c r="BH14" s="8" t="s">
        <v>1435</v>
      </c>
      <c r="BI14" s="8"/>
      <c r="BJ14" s="8" t="s">
        <v>1435</v>
      </c>
      <c r="BK14" s="8" t="s">
        <v>1454</v>
      </c>
      <c r="BL14" s="4" t="str">
        <f t="shared" si="3"/>
        <v>Epic Beans Relay</v>
      </c>
      <c r="BM14" s="8" t="str">
        <f t="shared" si="4"/>
        <v>Blocked</v>
      </c>
      <c r="BP14" t="str">
        <f>IF($BO14="","",IFERROR(VLOOKUP($BO14,'01_Warehouse_Ledger'!$A:$N,4,FALSE),""))</f>
        <v/>
      </c>
      <c r="BQ14" t="str">
        <f>IF($BO14="","",IFERROR(VLOOKUP($BO14,'01_Warehouse_Ledger'!$A:$N,5,FALSE),""))</f>
        <v/>
      </c>
      <c r="BR14" t="str">
        <f>IF($BO14="","",IFERROR(VLOOKUP($BO14,'01_Warehouse_Ledger'!$A:$N,13,FALSE),""))</f>
        <v/>
      </c>
    </row>
    <row r="15" spans="1:89">
      <c r="A15" s="8" t="s">
        <v>1331</v>
      </c>
      <c r="B15" s="8" t="s">
        <v>1435</v>
      </c>
      <c r="C15" s="15" t="s">
        <v>1435</v>
      </c>
      <c r="D15" s="15" t="str">
        <f t="shared" si="0"/>
        <v>No</v>
      </c>
      <c r="E15" s="15" t="str">
        <f t="shared" si="1"/>
        <v>No</v>
      </c>
      <c r="F15" t="str">
        <f t="shared" si="2"/>
        <v>No</v>
      </c>
      <c r="G15" s="4" t="s">
        <v>1436</v>
      </c>
      <c r="H15" s="4" t="s">
        <v>1436</v>
      </c>
      <c r="I15" s="4"/>
      <c r="J15" s="4" t="s">
        <v>1438</v>
      </c>
      <c r="K15" s="4" t="s">
        <v>1438</v>
      </c>
      <c r="L15" s="4" t="s">
        <v>1438</v>
      </c>
      <c r="M15" s="4"/>
      <c r="N15" s="4"/>
      <c r="O15" s="4"/>
      <c r="P15" s="4"/>
      <c r="Q15" s="4"/>
      <c r="R15" s="4"/>
      <c r="S15" s="4" t="s">
        <v>1528</v>
      </c>
      <c r="T15" s="4" t="s">
        <v>1529</v>
      </c>
      <c r="U15" s="4" t="s">
        <v>1530</v>
      </c>
      <c r="V15" s="4" t="s">
        <v>1435</v>
      </c>
      <c r="W15" s="4" t="s">
        <v>1531</v>
      </c>
      <c r="X15" s="4" t="s">
        <v>1443</v>
      </c>
      <c r="Y15" s="4" t="s">
        <v>1444</v>
      </c>
      <c r="Z15" s="4"/>
      <c r="AA15" s="4" t="s">
        <v>1445</v>
      </c>
      <c r="AB15" s="4"/>
      <c r="AC15" s="4" t="s">
        <v>1532</v>
      </c>
      <c r="AD15" s="4" t="s">
        <v>1444</v>
      </c>
      <c r="AE15" s="8"/>
      <c r="AF15" s="4" t="s">
        <v>1447</v>
      </c>
      <c r="AG15" s="4" t="s">
        <v>1448</v>
      </c>
      <c r="AH15" s="14">
        <v>14</v>
      </c>
      <c r="AI15" s="4" t="s">
        <v>1533</v>
      </c>
      <c r="AJ15" s="4" t="s">
        <v>1450</v>
      </c>
      <c r="AK15" s="2" t="s">
        <v>1451</v>
      </c>
      <c r="AL15" t="s">
        <v>1532</v>
      </c>
      <c r="AM15" t="s">
        <v>1335</v>
      </c>
      <c r="AR15" t="s">
        <v>1444</v>
      </c>
      <c r="AS15" t="s">
        <v>1452</v>
      </c>
      <c r="AT15" t="s">
        <v>1444</v>
      </c>
      <c r="AU15" t="s">
        <v>1444</v>
      </c>
      <c r="AV15" t="s">
        <v>1444</v>
      </c>
      <c r="AW15" s="8" t="s">
        <v>1435</v>
      </c>
      <c r="AX15" s="8" t="s">
        <v>1435</v>
      </c>
      <c r="AY15" s="8"/>
      <c r="AZ15" s="8"/>
      <c r="BA15" s="12">
        <v>46027</v>
      </c>
      <c r="BB15" s="8" t="s">
        <v>1435</v>
      </c>
      <c r="BC15" s="4"/>
      <c r="BD15" s="4" t="s">
        <v>1403</v>
      </c>
      <c r="BE15" s="8" t="s">
        <v>1435</v>
      </c>
      <c r="BF15" s="8" t="s">
        <v>1435</v>
      </c>
      <c r="BG15" s="8" t="s">
        <v>1435</v>
      </c>
      <c r="BH15" s="8" t="s">
        <v>1435</v>
      </c>
      <c r="BI15" s="8"/>
      <c r="BJ15" s="8" t="s">
        <v>1435</v>
      </c>
      <c r="BK15" s="8" t="s">
        <v>1454</v>
      </c>
      <c r="BL15" s="4" t="str">
        <f t="shared" si="3"/>
        <v>Epic Beans Relay</v>
      </c>
      <c r="BM15" s="8" t="str">
        <f t="shared" si="4"/>
        <v>Blocked</v>
      </c>
      <c r="BP15" t="str">
        <f>IF($BO15="","",IFERROR(VLOOKUP($BO15,'01_Warehouse_Ledger'!$A:$N,4,FALSE),""))</f>
        <v/>
      </c>
      <c r="BQ15" t="str">
        <f>IF($BO15="","",IFERROR(VLOOKUP($BO15,'01_Warehouse_Ledger'!$A:$N,5,FALSE),""))</f>
        <v/>
      </c>
      <c r="BR15" t="str">
        <f>IF($BO15="","",IFERROR(VLOOKUP($BO15,'01_Warehouse_Ledger'!$A:$N,13,FALSE),""))</f>
        <v/>
      </c>
    </row>
    <row r="16" spans="1:89">
      <c r="A16" s="8" t="s">
        <v>1331</v>
      </c>
      <c r="B16" s="8" t="s">
        <v>1435</v>
      </c>
      <c r="C16" s="15" t="s">
        <v>1435</v>
      </c>
      <c r="D16" s="15" t="str">
        <f t="shared" si="0"/>
        <v>No</v>
      </c>
      <c r="E16" s="15" t="str">
        <f t="shared" si="1"/>
        <v>No</v>
      </c>
      <c r="F16" t="str">
        <f t="shared" si="2"/>
        <v>No</v>
      </c>
      <c r="G16" s="4" t="s">
        <v>1436</v>
      </c>
      <c r="H16" s="4" t="s">
        <v>1436</v>
      </c>
      <c r="I16" s="4"/>
      <c r="J16" s="4" t="s">
        <v>1438</v>
      </c>
      <c r="K16" s="4" t="s">
        <v>1438</v>
      </c>
      <c r="L16" s="4" t="s">
        <v>1438</v>
      </c>
      <c r="M16" s="4"/>
      <c r="N16" s="4"/>
      <c r="O16" s="4"/>
      <c r="P16" s="4"/>
      <c r="Q16" s="4"/>
      <c r="R16" s="4"/>
      <c r="S16" s="4" t="s">
        <v>1534</v>
      </c>
      <c r="T16" s="4" t="s">
        <v>1535</v>
      </c>
      <c r="U16" s="4" t="s">
        <v>1536</v>
      </c>
      <c r="V16" s="4" t="s">
        <v>1435</v>
      </c>
      <c r="W16" s="4" t="s">
        <v>1537</v>
      </c>
      <c r="X16" s="4" t="s">
        <v>1443</v>
      </c>
      <c r="Y16" s="4" t="s">
        <v>1444</v>
      </c>
      <c r="Z16" s="4"/>
      <c r="AA16" s="4" t="s">
        <v>1445</v>
      </c>
      <c r="AB16" s="4"/>
      <c r="AC16" s="4" t="s">
        <v>1538</v>
      </c>
      <c r="AD16" s="4" t="s">
        <v>1444</v>
      </c>
      <c r="AE16" s="8"/>
      <c r="AF16" s="4" t="s">
        <v>1447</v>
      </c>
      <c r="AG16" s="4" t="s">
        <v>1448</v>
      </c>
      <c r="AH16" s="14">
        <v>15</v>
      </c>
      <c r="AI16" s="4" t="s">
        <v>1539</v>
      </c>
      <c r="AJ16" s="4" t="s">
        <v>1450</v>
      </c>
      <c r="AK16" s="4" t="s">
        <v>1451</v>
      </c>
      <c r="AL16" s="4" t="s">
        <v>1538</v>
      </c>
      <c r="AM16" s="4" t="s">
        <v>1335</v>
      </c>
      <c r="AN16" s="4"/>
      <c r="AO16" s="4"/>
      <c r="AP16" s="4"/>
      <c r="AQ16" s="4"/>
      <c r="AR16" s="4" t="s">
        <v>1444</v>
      </c>
      <c r="AS16" s="4" t="s">
        <v>1452</v>
      </c>
      <c r="AT16" s="4" t="s">
        <v>1444</v>
      </c>
      <c r="AU16" s="4" t="s">
        <v>1444</v>
      </c>
      <c r="AV16" s="4" t="s">
        <v>1444</v>
      </c>
      <c r="AW16" s="8" t="s">
        <v>1435</v>
      </c>
      <c r="AX16" s="8" t="s">
        <v>1435</v>
      </c>
      <c r="AY16" s="8"/>
      <c r="AZ16" s="8"/>
      <c r="BA16" s="12">
        <v>46027</v>
      </c>
      <c r="BB16" s="8" t="s">
        <v>1435</v>
      </c>
      <c r="BC16" s="4"/>
      <c r="BD16" s="4" t="s">
        <v>1403</v>
      </c>
      <c r="BE16" s="8" t="s">
        <v>1435</v>
      </c>
      <c r="BF16" s="8" t="s">
        <v>1435</v>
      </c>
      <c r="BG16" s="8" t="s">
        <v>1435</v>
      </c>
      <c r="BH16" s="8" t="s">
        <v>1435</v>
      </c>
      <c r="BI16" s="8"/>
      <c r="BJ16" s="8" t="s">
        <v>1435</v>
      </c>
      <c r="BK16" s="8" t="s">
        <v>1454</v>
      </c>
      <c r="BL16" s="4" t="str">
        <f t="shared" si="3"/>
        <v>Epic Beans Relay</v>
      </c>
      <c r="BM16" s="8" t="str">
        <f t="shared" si="4"/>
        <v>Blocked</v>
      </c>
      <c r="BP16" t="str">
        <f>IF($BO16="","",IFERROR(VLOOKUP($BO16,'01_Warehouse_Ledger'!$A:$N,4,FALSE),""))</f>
        <v/>
      </c>
      <c r="BQ16" t="str">
        <f>IF($BO16="","",IFERROR(VLOOKUP($BO16,'01_Warehouse_Ledger'!$A:$N,5,FALSE),""))</f>
        <v/>
      </c>
      <c r="BR16" t="str">
        <f>IF($BO16="","",IFERROR(VLOOKUP($BO16,'01_Warehouse_Ledger'!$A:$N,13,FALSE),""))</f>
        <v/>
      </c>
    </row>
    <row r="17" spans="1:70">
      <c r="A17" s="8" t="s">
        <v>1331</v>
      </c>
      <c r="B17" s="8" t="s">
        <v>1435</v>
      </c>
      <c r="C17" s="15" t="s">
        <v>1435</v>
      </c>
      <c r="D17" s="15" t="str">
        <f t="shared" si="0"/>
        <v>No</v>
      </c>
      <c r="E17" s="15" t="str">
        <f t="shared" si="1"/>
        <v>No</v>
      </c>
      <c r="F17" t="str">
        <f t="shared" si="2"/>
        <v>No</v>
      </c>
      <c r="G17" s="4" t="s">
        <v>1436</v>
      </c>
      <c r="H17" s="4" t="s">
        <v>1436</v>
      </c>
      <c r="I17" s="4"/>
      <c r="J17" s="4" t="s">
        <v>1438</v>
      </c>
      <c r="K17" s="4" t="s">
        <v>1438</v>
      </c>
      <c r="L17" s="4" t="s">
        <v>1438</v>
      </c>
      <c r="M17" s="4"/>
      <c r="N17" s="4"/>
      <c r="O17" s="4"/>
      <c r="P17" s="4"/>
      <c r="Q17" s="4"/>
      <c r="R17" s="4"/>
      <c r="S17" s="4" t="s">
        <v>1540</v>
      </c>
      <c r="T17" s="4" t="s">
        <v>1541</v>
      </c>
      <c r="U17" s="4" t="s">
        <v>1542</v>
      </c>
      <c r="V17" s="4" t="s">
        <v>1435</v>
      </c>
      <c r="W17" s="4" t="s">
        <v>1543</v>
      </c>
      <c r="X17" s="4" t="s">
        <v>1443</v>
      </c>
      <c r="Y17" s="4" t="s">
        <v>1444</v>
      </c>
      <c r="Z17" s="4"/>
      <c r="AA17" s="4" t="s">
        <v>1445</v>
      </c>
      <c r="AB17" s="4"/>
      <c r="AC17" s="4" t="s">
        <v>1544</v>
      </c>
      <c r="AD17" s="4" t="s">
        <v>1444</v>
      </c>
      <c r="AE17" s="8"/>
      <c r="AF17" s="4" t="s">
        <v>1447</v>
      </c>
      <c r="AG17" s="4" t="s">
        <v>1448</v>
      </c>
      <c r="AH17" s="14">
        <v>16</v>
      </c>
      <c r="AI17" s="4" t="s">
        <v>1545</v>
      </c>
      <c r="AJ17" s="4" t="s">
        <v>1450</v>
      </c>
      <c r="AK17" s="4" t="s">
        <v>1451</v>
      </c>
      <c r="AL17" s="4" t="s">
        <v>1544</v>
      </c>
      <c r="AM17" s="4" t="s">
        <v>1335</v>
      </c>
      <c r="AN17" s="4"/>
      <c r="AO17" s="4"/>
      <c r="AP17" s="4"/>
      <c r="AQ17" s="4"/>
      <c r="AR17" s="4" t="s">
        <v>1444</v>
      </c>
      <c r="AS17" s="4" t="s">
        <v>1452</v>
      </c>
      <c r="AT17" s="4" t="s">
        <v>1444</v>
      </c>
      <c r="AU17" s="4" t="s">
        <v>1444</v>
      </c>
      <c r="AV17" s="4" t="s">
        <v>1444</v>
      </c>
      <c r="AW17" s="8" t="s">
        <v>1435</v>
      </c>
      <c r="AX17" s="8" t="s">
        <v>1435</v>
      </c>
      <c r="AY17" s="8"/>
      <c r="AZ17" s="8"/>
      <c r="BA17" s="12">
        <v>46027</v>
      </c>
      <c r="BB17" s="8" t="s">
        <v>1435</v>
      </c>
      <c r="BC17" s="4"/>
      <c r="BD17" s="4" t="s">
        <v>1403</v>
      </c>
      <c r="BE17" s="8" t="s">
        <v>1435</v>
      </c>
      <c r="BF17" s="8" t="s">
        <v>1435</v>
      </c>
      <c r="BG17" s="8" t="s">
        <v>1435</v>
      </c>
      <c r="BH17" s="8" t="s">
        <v>1435</v>
      </c>
      <c r="BI17" s="8"/>
      <c r="BJ17" s="8" t="s">
        <v>1435</v>
      </c>
      <c r="BK17" s="8" t="s">
        <v>1454</v>
      </c>
      <c r="BL17" s="4" t="str">
        <f t="shared" si="3"/>
        <v>Epic Beans Relay</v>
      </c>
      <c r="BM17" s="8" t="str">
        <f t="shared" si="4"/>
        <v>Blocked</v>
      </c>
      <c r="BP17" t="str">
        <f>IF($BO17="","",IFERROR(VLOOKUP($BO17,'01_Warehouse_Ledger'!$A:$N,4,FALSE),""))</f>
        <v/>
      </c>
      <c r="BQ17" t="str">
        <f>IF($BO17="","",IFERROR(VLOOKUP($BO17,'01_Warehouse_Ledger'!$A:$N,5,FALSE),""))</f>
        <v/>
      </c>
      <c r="BR17" t="str">
        <f>IF($BO17="","",IFERROR(VLOOKUP($BO17,'01_Warehouse_Ledger'!$A:$N,13,FALSE),""))</f>
        <v/>
      </c>
    </row>
    <row r="18" spans="1:70">
      <c r="A18" s="8" t="s">
        <v>1331</v>
      </c>
      <c r="B18" s="8" t="s">
        <v>1435</v>
      </c>
      <c r="C18" s="15" t="s">
        <v>1435</v>
      </c>
      <c r="D18" s="15" t="str">
        <f t="shared" si="0"/>
        <v>No</v>
      </c>
      <c r="E18" s="15" t="str">
        <f t="shared" si="1"/>
        <v>No</v>
      </c>
      <c r="F18" t="str">
        <f t="shared" si="2"/>
        <v>No</v>
      </c>
      <c r="G18" s="4" t="s">
        <v>1436</v>
      </c>
      <c r="H18" s="4" t="s">
        <v>1436</v>
      </c>
      <c r="I18" s="4"/>
      <c r="J18" s="4" t="s">
        <v>1438</v>
      </c>
      <c r="K18" s="4" t="s">
        <v>1438</v>
      </c>
      <c r="L18" s="4" t="s">
        <v>1438</v>
      </c>
      <c r="M18" s="4"/>
      <c r="N18" s="4"/>
      <c r="O18" s="4"/>
      <c r="P18" s="4"/>
      <c r="Q18" s="4"/>
      <c r="R18" s="4"/>
      <c r="S18" s="4" t="s">
        <v>1546</v>
      </c>
      <c r="T18" s="4" t="s">
        <v>1547</v>
      </c>
      <c r="U18" s="4" t="s">
        <v>1548</v>
      </c>
      <c r="V18" s="4" t="s">
        <v>1435</v>
      </c>
      <c r="W18" s="4" t="s">
        <v>1549</v>
      </c>
      <c r="X18" s="4" t="s">
        <v>1443</v>
      </c>
      <c r="Y18" s="4" t="s">
        <v>1444</v>
      </c>
      <c r="Z18" s="4"/>
      <c r="AA18" s="4" t="s">
        <v>1445</v>
      </c>
      <c r="AB18" s="4"/>
      <c r="AC18" s="4" t="s">
        <v>1550</v>
      </c>
      <c r="AD18" s="4" t="s">
        <v>1444</v>
      </c>
      <c r="AE18" s="8"/>
      <c r="AF18" s="4" t="s">
        <v>1447</v>
      </c>
      <c r="AG18" s="4" t="s">
        <v>1448</v>
      </c>
      <c r="AH18" s="14">
        <v>17</v>
      </c>
      <c r="AI18" s="4" t="s">
        <v>1551</v>
      </c>
      <c r="AJ18" s="4" t="s">
        <v>1450</v>
      </c>
      <c r="AK18" s="4" t="s">
        <v>1451</v>
      </c>
      <c r="AL18" s="4" t="s">
        <v>1550</v>
      </c>
      <c r="AM18" s="4" t="s">
        <v>1335</v>
      </c>
      <c r="AN18" s="4"/>
      <c r="AO18" s="4"/>
      <c r="AP18" s="4"/>
      <c r="AQ18" s="4"/>
      <c r="AR18" s="4" t="s">
        <v>1444</v>
      </c>
      <c r="AS18" s="4" t="s">
        <v>1452</v>
      </c>
      <c r="AT18" s="4" t="s">
        <v>1444</v>
      </c>
      <c r="AU18" s="4" t="s">
        <v>1444</v>
      </c>
      <c r="AV18" s="4" t="s">
        <v>1444</v>
      </c>
      <c r="AW18" s="8" t="s">
        <v>1435</v>
      </c>
      <c r="AX18" s="8" t="s">
        <v>1435</v>
      </c>
      <c r="AY18" s="8"/>
      <c r="AZ18" s="8"/>
      <c r="BA18" s="12">
        <v>46027</v>
      </c>
      <c r="BB18" s="8" t="s">
        <v>1435</v>
      </c>
      <c r="BC18" s="4"/>
      <c r="BD18" s="4" t="s">
        <v>1403</v>
      </c>
      <c r="BE18" s="8" t="s">
        <v>1435</v>
      </c>
      <c r="BF18" s="8" t="s">
        <v>1435</v>
      </c>
      <c r="BG18" s="8" t="s">
        <v>1435</v>
      </c>
      <c r="BH18" s="8" t="s">
        <v>1435</v>
      </c>
      <c r="BI18" s="8"/>
      <c r="BJ18" s="8" t="s">
        <v>1435</v>
      </c>
      <c r="BK18" s="8" t="s">
        <v>1454</v>
      </c>
      <c r="BL18" s="4" t="str">
        <f t="shared" si="3"/>
        <v>Epic Beans Relay</v>
      </c>
      <c r="BM18" s="8" t="str">
        <f t="shared" si="4"/>
        <v>Blocked</v>
      </c>
      <c r="BP18" t="str">
        <f>IF($BO18="","",IFERROR(VLOOKUP($BO18,'01_Warehouse_Ledger'!$A:$N,4,FALSE),""))</f>
        <v/>
      </c>
      <c r="BQ18" t="str">
        <f>IF($BO18="","",IFERROR(VLOOKUP($BO18,'01_Warehouse_Ledger'!$A:$N,5,FALSE),""))</f>
        <v/>
      </c>
      <c r="BR18" t="str">
        <f>IF($BO18="","",IFERROR(VLOOKUP($BO18,'01_Warehouse_Ledger'!$A:$N,13,FALSE),""))</f>
        <v/>
      </c>
    </row>
    <row r="19" spans="1:70">
      <c r="A19" s="8" t="s">
        <v>1331</v>
      </c>
      <c r="B19" s="8" t="s">
        <v>1435</v>
      </c>
      <c r="C19" s="15" t="s">
        <v>1435</v>
      </c>
      <c r="D19" s="15" t="str">
        <f t="shared" si="0"/>
        <v>No</v>
      </c>
      <c r="E19" s="15" t="str">
        <f t="shared" si="1"/>
        <v>No</v>
      </c>
      <c r="F19" t="str">
        <f t="shared" si="2"/>
        <v>No</v>
      </c>
      <c r="G19" s="4" t="s">
        <v>1436</v>
      </c>
      <c r="H19" s="4" t="s">
        <v>1436</v>
      </c>
      <c r="I19" s="4"/>
      <c r="J19" s="4" t="s">
        <v>1438</v>
      </c>
      <c r="K19" s="4" t="s">
        <v>1438</v>
      </c>
      <c r="L19" s="4" t="s">
        <v>1438</v>
      </c>
      <c r="M19" s="4"/>
      <c r="N19" s="4"/>
      <c r="O19" s="4"/>
      <c r="P19" s="4"/>
      <c r="Q19" s="4"/>
      <c r="R19" s="4"/>
      <c r="S19" s="4" t="s">
        <v>1552</v>
      </c>
      <c r="T19" s="4" t="s">
        <v>1553</v>
      </c>
      <c r="U19" s="4" t="s">
        <v>1554</v>
      </c>
      <c r="V19" s="4" t="s">
        <v>1435</v>
      </c>
      <c r="W19" s="4" t="s">
        <v>1555</v>
      </c>
      <c r="X19" s="4" t="s">
        <v>1443</v>
      </c>
      <c r="Y19" s="4" t="s">
        <v>1444</v>
      </c>
      <c r="Z19" s="4"/>
      <c r="AA19" s="4" t="s">
        <v>1445</v>
      </c>
      <c r="AB19" s="4"/>
      <c r="AC19" s="4" t="s">
        <v>1556</v>
      </c>
      <c r="AD19" s="4" t="s">
        <v>1444</v>
      </c>
      <c r="AE19" s="8"/>
      <c r="AF19" s="4" t="s">
        <v>1447</v>
      </c>
      <c r="AG19" s="4" t="s">
        <v>1448</v>
      </c>
      <c r="AH19" s="14">
        <v>18</v>
      </c>
      <c r="AI19" s="4" t="s">
        <v>1557</v>
      </c>
      <c r="AJ19" s="4" t="s">
        <v>1450</v>
      </c>
      <c r="AK19" s="4" t="s">
        <v>1451</v>
      </c>
      <c r="AL19" s="4" t="s">
        <v>1556</v>
      </c>
      <c r="AM19" s="4" t="s">
        <v>1335</v>
      </c>
      <c r="AN19" s="4"/>
      <c r="AO19" s="4"/>
      <c r="AP19" s="4"/>
      <c r="AQ19" s="4"/>
      <c r="AR19" s="4" t="s">
        <v>1444</v>
      </c>
      <c r="AS19" s="4" t="s">
        <v>1452</v>
      </c>
      <c r="AT19" s="4" t="s">
        <v>1444</v>
      </c>
      <c r="AU19" s="4" t="s">
        <v>1444</v>
      </c>
      <c r="AV19" s="4" t="s">
        <v>1444</v>
      </c>
      <c r="AW19" s="8" t="s">
        <v>1435</v>
      </c>
      <c r="AX19" s="8" t="s">
        <v>1435</v>
      </c>
      <c r="AY19" s="8"/>
      <c r="AZ19" s="8"/>
      <c r="BA19" s="12">
        <v>46027</v>
      </c>
      <c r="BB19" s="8" t="s">
        <v>1435</v>
      </c>
      <c r="BC19" s="4"/>
      <c r="BD19" s="4" t="s">
        <v>1403</v>
      </c>
      <c r="BE19" s="8" t="s">
        <v>1435</v>
      </c>
      <c r="BF19" s="8" t="s">
        <v>1435</v>
      </c>
      <c r="BG19" s="8" t="s">
        <v>1435</v>
      </c>
      <c r="BH19" s="8" t="s">
        <v>1435</v>
      </c>
      <c r="BI19" s="8"/>
      <c r="BJ19" s="8" t="s">
        <v>1435</v>
      </c>
      <c r="BK19" s="8" t="s">
        <v>1454</v>
      </c>
      <c r="BL19" s="4" t="str">
        <f t="shared" si="3"/>
        <v>Epic Beans Relay</v>
      </c>
      <c r="BM19" s="8" t="str">
        <f t="shared" si="4"/>
        <v>Blocked</v>
      </c>
      <c r="BP19" t="str">
        <f>IF($BO19="","",IFERROR(VLOOKUP($BO19,'01_Warehouse_Ledger'!$A:$N,4,FALSE),""))</f>
        <v/>
      </c>
      <c r="BQ19" t="str">
        <f>IF($BO19="","",IFERROR(VLOOKUP($BO19,'01_Warehouse_Ledger'!$A:$N,5,FALSE),""))</f>
        <v/>
      </c>
      <c r="BR19" t="str">
        <f>IF($BO19="","",IFERROR(VLOOKUP($BO19,'01_Warehouse_Ledger'!$A:$N,13,FALSE),""))</f>
        <v/>
      </c>
    </row>
    <row r="20" spans="1:70">
      <c r="A20" s="8" t="s">
        <v>1331</v>
      </c>
      <c r="B20" s="8" t="s">
        <v>1435</v>
      </c>
      <c r="C20" s="15" t="s">
        <v>1435</v>
      </c>
      <c r="D20" s="15" t="str">
        <f t="shared" si="0"/>
        <v>No</v>
      </c>
      <c r="E20" s="15" t="str">
        <f t="shared" si="1"/>
        <v>No</v>
      </c>
      <c r="F20" t="str">
        <f t="shared" si="2"/>
        <v>No</v>
      </c>
      <c r="G20" s="4" t="s">
        <v>1436</v>
      </c>
      <c r="H20" s="4" t="s">
        <v>1436</v>
      </c>
      <c r="I20" s="4"/>
      <c r="J20" s="4" t="s">
        <v>1438</v>
      </c>
      <c r="K20" s="4" t="s">
        <v>1438</v>
      </c>
      <c r="L20" s="4" t="s">
        <v>1438</v>
      </c>
      <c r="M20" s="4"/>
      <c r="N20" s="4"/>
      <c r="O20" s="4"/>
      <c r="P20" s="4"/>
      <c r="Q20" s="4"/>
      <c r="R20" s="4"/>
      <c r="S20" s="4" t="s">
        <v>1558</v>
      </c>
      <c r="T20" s="4" t="s">
        <v>1559</v>
      </c>
      <c r="U20" s="4" t="s">
        <v>1560</v>
      </c>
      <c r="V20" s="4" t="s">
        <v>1435</v>
      </c>
      <c r="W20" s="4" t="s">
        <v>1561</v>
      </c>
      <c r="X20" s="4" t="s">
        <v>1443</v>
      </c>
      <c r="Y20" s="4" t="s">
        <v>1444</v>
      </c>
      <c r="Z20" s="4"/>
      <c r="AA20" s="4" t="s">
        <v>1445</v>
      </c>
      <c r="AB20" s="4"/>
      <c r="AC20" s="4" t="s">
        <v>1562</v>
      </c>
      <c r="AD20" s="4" t="s">
        <v>1444</v>
      </c>
      <c r="AE20" s="8"/>
      <c r="AF20" s="4" t="s">
        <v>1447</v>
      </c>
      <c r="AG20" s="4" t="s">
        <v>1448</v>
      </c>
      <c r="AH20" s="14">
        <v>19</v>
      </c>
      <c r="AI20" s="4" t="s">
        <v>1563</v>
      </c>
      <c r="AJ20" s="4" t="s">
        <v>1450</v>
      </c>
      <c r="AK20" s="4" t="s">
        <v>1451</v>
      </c>
      <c r="AL20" s="4" t="s">
        <v>1562</v>
      </c>
      <c r="AM20" s="4" t="s">
        <v>1335</v>
      </c>
      <c r="AN20" s="4"/>
      <c r="AO20" s="4"/>
      <c r="AP20" s="4"/>
      <c r="AQ20" s="4"/>
      <c r="AR20" s="4" t="s">
        <v>1444</v>
      </c>
      <c r="AS20" s="4" t="s">
        <v>1452</v>
      </c>
      <c r="AT20" s="4" t="s">
        <v>1444</v>
      </c>
      <c r="AU20" s="4" t="s">
        <v>1444</v>
      </c>
      <c r="AV20" s="4" t="s">
        <v>1444</v>
      </c>
      <c r="AW20" s="8" t="s">
        <v>1435</v>
      </c>
      <c r="AX20" s="8" t="s">
        <v>1435</v>
      </c>
      <c r="AY20" s="8"/>
      <c r="AZ20" s="8"/>
      <c r="BA20" s="12">
        <v>46027</v>
      </c>
      <c r="BB20" s="8" t="s">
        <v>1435</v>
      </c>
      <c r="BC20" s="4"/>
      <c r="BD20" s="4" t="s">
        <v>1403</v>
      </c>
      <c r="BE20" s="8" t="s">
        <v>1435</v>
      </c>
      <c r="BF20" s="8" t="s">
        <v>1435</v>
      </c>
      <c r="BG20" s="8" t="s">
        <v>1435</v>
      </c>
      <c r="BH20" s="8" t="s">
        <v>1435</v>
      </c>
      <c r="BI20" s="8"/>
      <c r="BJ20" s="8" t="s">
        <v>1435</v>
      </c>
      <c r="BK20" s="8" t="s">
        <v>1454</v>
      </c>
      <c r="BL20" s="4" t="str">
        <f t="shared" si="3"/>
        <v>Epic Beans Relay</v>
      </c>
      <c r="BM20" s="8" t="str">
        <f t="shared" si="4"/>
        <v>Blocked</v>
      </c>
      <c r="BP20" t="str">
        <f>IF($BO20="","",IFERROR(VLOOKUP($BO20,'01_Warehouse_Ledger'!$A:$N,4,FALSE),""))</f>
        <v/>
      </c>
      <c r="BQ20" t="str">
        <f>IF($BO20="","",IFERROR(VLOOKUP($BO20,'01_Warehouse_Ledger'!$A:$N,5,FALSE),""))</f>
        <v/>
      </c>
      <c r="BR20" t="str">
        <f>IF($BO20="","",IFERROR(VLOOKUP($BO20,'01_Warehouse_Ledger'!$A:$N,13,FALSE),""))</f>
        <v/>
      </c>
    </row>
    <row r="21" spans="1:70">
      <c r="A21" s="8" t="s">
        <v>1331</v>
      </c>
      <c r="B21" s="8" t="s">
        <v>1435</v>
      </c>
      <c r="C21" s="15" t="s">
        <v>1435</v>
      </c>
      <c r="D21" s="15" t="str">
        <f t="shared" si="0"/>
        <v>No</v>
      </c>
      <c r="E21" s="15" t="str">
        <f t="shared" si="1"/>
        <v>No</v>
      </c>
      <c r="F21" t="str">
        <f t="shared" si="2"/>
        <v>No</v>
      </c>
      <c r="G21" s="4" t="s">
        <v>1436</v>
      </c>
      <c r="H21" s="4" t="s">
        <v>1436</v>
      </c>
      <c r="I21" s="4"/>
      <c r="J21" s="4" t="s">
        <v>1438</v>
      </c>
      <c r="K21" s="4" t="s">
        <v>1438</v>
      </c>
      <c r="L21" s="4" t="s">
        <v>1438</v>
      </c>
      <c r="M21" s="4"/>
      <c r="N21" s="4"/>
      <c r="O21" s="4"/>
      <c r="P21" s="4"/>
      <c r="Q21" s="4"/>
      <c r="R21" s="4"/>
      <c r="S21" s="4" t="s">
        <v>1564</v>
      </c>
      <c r="T21" s="4" t="s">
        <v>1565</v>
      </c>
      <c r="U21" s="4" t="s">
        <v>1566</v>
      </c>
      <c r="V21" s="4" t="s">
        <v>1435</v>
      </c>
      <c r="W21" s="4" t="s">
        <v>1567</v>
      </c>
      <c r="X21" s="4" t="s">
        <v>1443</v>
      </c>
      <c r="Y21" s="4" t="s">
        <v>1444</v>
      </c>
      <c r="Z21" s="4"/>
      <c r="AA21" s="4" t="s">
        <v>1445</v>
      </c>
      <c r="AB21" s="4"/>
      <c r="AC21" s="4" t="s">
        <v>1568</v>
      </c>
      <c r="AD21" s="4" t="s">
        <v>1444</v>
      </c>
      <c r="AE21" s="8"/>
      <c r="AF21" s="4" t="s">
        <v>1447</v>
      </c>
      <c r="AG21" s="4" t="s">
        <v>1448</v>
      </c>
      <c r="AH21" s="14">
        <v>20</v>
      </c>
      <c r="AI21" s="4" t="s">
        <v>1569</v>
      </c>
      <c r="AJ21" s="4" t="s">
        <v>1450</v>
      </c>
      <c r="AK21" s="4" t="s">
        <v>1451</v>
      </c>
      <c r="AL21" s="4" t="s">
        <v>1568</v>
      </c>
      <c r="AM21" s="4" t="s">
        <v>1335</v>
      </c>
      <c r="AN21" s="4"/>
      <c r="AO21" s="4"/>
      <c r="AP21" s="4"/>
      <c r="AQ21" s="4"/>
      <c r="AR21" s="4" t="s">
        <v>1444</v>
      </c>
      <c r="AS21" s="4" t="s">
        <v>1452</v>
      </c>
      <c r="AT21" s="4" t="s">
        <v>1444</v>
      </c>
      <c r="AU21" s="4" t="s">
        <v>1444</v>
      </c>
      <c r="AV21" s="4" t="s">
        <v>1444</v>
      </c>
      <c r="AW21" s="8" t="s">
        <v>1435</v>
      </c>
      <c r="AX21" s="8" t="s">
        <v>1435</v>
      </c>
      <c r="AY21" s="8"/>
      <c r="AZ21" s="8"/>
      <c r="BA21" s="12">
        <v>46027</v>
      </c>
      <c r="BB21" s="8" t="s">
        <v>1435</v>
      </c>
      <c r="BC21" s="4"/>
      <c r="BD21" s="4" t="s">
        <v>1403</v>
      </c>
      <c r="BE21" s="8" t="s">
        <v>1435</v>
      </c>
      <c r="BF21" s="8" t="s">
        <v>1435</v>
      </c>
      <c r="BG21" s="8" t="s">
        <v>1435</v>
      </c>
      <c r="BH21" s="8" t="s">
        <v>1435</v>
      </c>
      <c r="BI21" s="8"/>
      <c r="BJ21" s="8" t="s">
        <v>1435</v>
      </c>
      <c r="BK21" s="8" t="s">
        <v>1454</v>
      </c>
      <c r="BL21" s="4" t="str">
        <f t="shared" si="3"/>
        <v>Epic Beans Relay</v>
      </c>
      <c r="BM21" s="8" t="str">
        <f t="shared" si="4"/>
        <v>Blocked</v>
      </c>
      <c r="BP21" t="str">
        <f>IF($BO21="","",IFERROR(VLOOKUP($BO21,'01_Warehouse_Ledger'!$A:$N,4,FALSE),""))</f>
        <v/>
      </c>
      <c r="BQ21" t="str">
        <f>IF($BO21="","",IFERROR(VLOOKUP($BO21,'01_Warehouse_Ledger'!$A:$N,5,FALSE),""))</f>
        <v/>
      </c>
      <c r="BR21" t="str">
        <f>IF($BO21="","",IFERROR(VLOOKUP($BO21,'01_Warehouse_Ledger'!$A:$N,13,FALSE),""))</f>
        <v/>
      </c>
    </row>
    <row r="22" spans="1:70">
      <c r="A22" s="8" t="s">
        <v>1331</v>
      </c>
      <c r="B22" s="8" t="s">
        <v>1435</v>
      </c>
      <c r="C22" s="15" t="s">
        <v>1435</v>
      </c>
      <c r="D22" s="15" t="str">
        <f t="shared" si="0"/>
        <v>No</v>
      </c>
      <c r="E22" s="15" t="str">
        <f t="shared" si="1"/>
        <v>No</v>
      </c>
      <c r="F22" t="str">
        <f t="shared" si="2"/>
        <v>No</v>
      </c>
      <c r="G22" s="4" t="s">
        <v>1436</v>
      </c>
      <c r="H22" s="4" t="s">
        <v>1436</v>
      </c>
      <c r="I22" s="4"/>
      <c r="J22" s="4" t="s">
        <v>1438</v>
      </c>
      <c r="K22" s="4" t="s">
        <v>1438</v>
      </c>
      <c r="L22" s="4" t="s">
        <v>1438</v>
      </c>
      <c r="M22" s="4"/>
      <c r="N22" s="4"/>
      <c r="O22" s="4"/>
      <c r="P22" s="4"/>
      <c r="Q22" s="4"/>
      <c r="R22" s="4"/>
      <c r="S22" s="4" t="s">
        <v>1570</v>
      </c>
      <c r="T22" s="4" t="s">
        <v>1571</v>
      </c>
      <c r="U22" s="4" t="s">
        <v>1572</v>
      </c>
      <c r="V22" s="4" t="s">
        <v>1435</v>
      </c>
      <c r="W22" s="4" t="s">
        <v>1573</v>
      </c>
      <c r="X22" s="4" t="s">
        <v>1443</v>
      </c>
      <c r="Y22" s="4" t="s">
        <v>1444</v>
      </c>
      <c r="Z22" s="4"/>
      <c r="AA22" s="4" t="s">
        <v>1445</v>
      </c>
      <c r="AB22" s="4"/>
      <c r="AC22" s="4" t="s">
        <v>1574</v>
      </c>
      <c r="AD22" s="4" t="s">
        <v>1444</v>
      </c>
      <c r="AE22" s="8"/>
      <c r="AF22" s="4" t="s">
        <v>1447</v>
      </c>
      <c r="AG22" s="4" t="s">
        <v>1448</v>
      </c>
      <c r="AH22" s="14">
        <v>21</v>
      </c>
      <c r="AI22" s="4" t="s">
        <v>1575</v>
      </c>
      <c r="AJ22" s="4" t="s">
        <v>1450</v>
      </c>
      <c r="AK22" s="4" t="s">
        <v>1451</v>
      </c>
      <c r="AL22" s="4" t="s">
        <v>1574</v>
      </c>
      <c r="AM22" s="4" t="s">
        <v>1335</v>
      </c>
      <c r="AN22" s="4"/>
      <c r="AO22" s="4"/>
      <c r="AP22" s="4"/>
      <c r="AQ22" s="4"/>
      <c r="AR22" s="4" t="s">
        <v>1444</v>
      </c>
      <c r="AS22" s="4" t="s">
        <v>1452</v>
      </c>
      <c r="AT22" s="4" t="s">
        <v>1444</v>
      </c>
      <c r="AU22" s="4" t="s">
        <v>1444</v>
      </c>
      <c r="AV22" s="4" t="s">
        <v>1444</v>
      </c>
      <c r="AW22" s="8" t="s">
        <v>1435</v>
      </c>
      <c r="AX22" s="8" t="s">
        <v>1435</v>
      </c>
      <c r="AY22" s="8"/>
      <c r="AZ22" s="8"/>
      <c r="BA22" s="12">
        <v>46027</v>
      </c>
      <c r="BB22" s="8" t="s">
        <v>1435</v>
      </c>
      <c r="BC22" s="4"/>
      <c r="BD22" s="4" t="s">
        <v>1403</v>
      </c>
      <c r="BE22" s="8" t="s">
        <v>1435</v>
      </c>
      <c r="BF22" s="8" t="s">
        <v>1435</v>
      </c>
      <c r="BG22" s="8" t="s">
        <v>1435</v>
      </c>
      <c r="BH22" s="8" t="s">
        <v>1435</v>
      </c>
      <c r="BI22" s="8"/>
      <c r="BJ22" s="8" t="s">
        <v>1435</v>
      </c>
      <c r="BK22" s="8" t="s">
        <v>1454</v>
      </c>
      <c r="BL22" s="4" t="str">
        <f t="shared" si="3"/>
        <v>Epic Beans Relay</v>
      </c>
      <c r="BM22" s="8" t="str">
        <f t="shared" si="4"/>
        <v>Blocked</v>
      </c>
      <c r="BP22" t="str">
        <f>IF($BO22="","",IFERROR(VLOOKUP($BO22,'01_Warehouse_Ledger'!$A:$N,4,FALSE),""))</f>
        <v/>
      </c>
      <c r="BQ22" t="str">
        <f>IF($BO22="","",IFERROR(VLOOKUP($BO22,'01_Warehouse_Ledger'!$A:$N,5,FALSE),""))</f>
        <v/>
      </c>
      <c r="BR22" t="str">
        <f>IF($BO22="","",IFERROR(VLOOKUP($BO22,'01_Warehouse_Ledger'!$A:$N,13,FALSE),""))</f>
        <v/>
      </c>
    </row>
    <row r="23" spans="1:70">
      <c r="A23" s="8" t="s">
        <v>1331</v>
      </c>
      <c r="B23" s="8" t="s">
        <v>1435</v>
      </c>
      <c r="C23" s="15" t="s">
        <v>1435</v>
      </c>
      <c r="D23" s="15" t="str">
        <f t="shared" si="0"/>
        <v>No</v>
      </c>
      <c r="E23" s="15" t="str">
        <f t="shared" si="1"/>
        <v>No</v>
      </c>
      <c r="F23" t="str">
        <f t="shared" si="2"/>
        <v>No</v>
      </c>
      <c r="G23" s="4" t="s">
        <v>1436</v>
      </c>
      <c r="H23" s="4" t="s">
        <v>1436</v>
      </c>
      <c r="I23" s="4"/>
      <c r="J23" s="4" t="s">
        <v>1438</v>
      </c>
      <c r="K23" s="4" t="s">
        <v>1438</v>
      </c>
      <c r="L23" s="4" t="s">
        <v>1438</v>
      </c>
      <c r="M23" s="4"/>
      <c r="N23" s="4"/>
      <c r="O23" s="4"/>
      <c r="P23" s="4"/>
      <c r="Q23" s="4"/>
      <c r="R23" s="4"/>
      <c r="S23" s="4" t="s">
        <v>1576</v>
      </c>
      <c r="T23" s="4" t="s">
        <v>1577</v>
      </c>
      <c r="U23" s="4" t="s">
        <v>1578</v>
      </c>
      <c r="V23" s="4" t="s">
        <v>1435</v>
      </c>
      <c r="W23" s="4" t="s">
        <v>1579</v>
      </c>
      <c r="X23" s="4" t="s">
        <v>1443</v>
      </c>
      <c r="Y23" s="4" t="s">
        <v>1444</v>
      </c>
      <c r="Z23" s="4"/>
      <c r="AA23" s="4" t="s">
        <v>1445</v>
      </c>
      <c r="AB23" s="4"/>
      <c r="AC23" s="4" t="s">
        <v>1580</v>
      </c>
      <c r="AD23" s="4" t="s">
        <v>1444</v>
      </c>
      <c r="AE23" s="8"/>
      <c r="AF23" s="4" t="s">
        <v>1447</v>
      </c>
      <c r="AG23" s="4" t="s">
        <v>1448</v>
      </c>
      <c r="AH23" s="14">
        <v>22</v>
      </c>
      <c r="AI23" s="4" t="s">
        <v>1581</v>
      </c>
      <c r="AJ23" s="4" t="s">
        <v>1450</v>
      </c>
      <c r="AK23" s="4" t="s">
        <v>1451</v>
      </c>
      <c r="AL23" s="4" t="s">
        <v>1580</v>
      </c>
      <c r="AM23" s="4" t="s">
        <v>1335</v>
      </c>
      <c r="AN23" s="4"/>
      <c r="AO23" s="4"/>
      <c r="AP23" s="4"/>
      <c r="AQ23" s="4"/>
      <c r="AR23" s="4" t="s">
        <v>1444</v>
      </c>
      <c r="AS23" s="4" t="s">
        <v>1452</v>
      </c>
      <c r="AT23" s="4" t="s">
        <v>1444</v>
      </c>
      <c r="AU23" s="4" t="s">
        <v>1444</v>
      </c>
      <c r="AV23" s="4" t="s">
        <v>1444</v>
      </c>
      <c r="AW23" s="8" t="s">
        <v>1435</v>
      </c>
      <c r="AX23" s="8" t="s">
        <v>1435</v>
      </c>
      <c r="AY23" s="8"/>
      <c r="AZ23" s="8"/>
      <c r="BA23" s="12">
        <v>46027</v>
      </c>
      <c r="BB23" s="8" t="s">
        <v>1435</v>
      </c>
      <c r="BC23" s="4"/>
      <c r="BD23" s="4" t="s">
        <v>1403</v>
      </c>
      <c r="BE23" s="8" t="s">
        <v>1435</v>
      </c>
      <c r="BF23" s="8" t="s">
        <v>1435</v>
      </c>
      <c r="BG23" s="8" t="s">
        <v>1435</v>
      </c>
      <c r="BH23" s="8" t="s">
        <v>1435</v>
      </c>
      <c r="BI23" s="8"/>
      <c r="BJ23" s="8" t="s">
        <v>1435</v>
      </c>
      <c r="BK23" s="8" t="s">
        <v>1454</v>
      </c>
      <c r="BL23" s="4" t="str">
        <f t="shared" si="3"/>
        <v>Epic Beans Relay</v>
      </c>
      <c r="BM23" s="8" t="str">
        <f t="shared" si="4"/>
        <v>Blocked</v>
      </c>
      <c r="BP23" t="str">
        <f>IF($BO23="","",IFERROR(VLOOKUP($BO23,'01_Warehouse_Ledger'!$A:$N,4,FALSE),""))</f>
        <v/>
      </c>
      <c r="BQ23" t="str">
        <f>IF($BO23="","",IFERROR(VLOOKUP($BO23,'01_Warehouse_Ledger'!$A:$N,5,FALSE),""))</f>
        <v/>
      </c>
      <c r="BR23" t="str">
        <f>IF($BO23="","",IFERROR(VLOOKUP($BO23,'01_Warehouse_Ledger'!$A:$N,13,FALSE),""))</f>
        <v/>
      </c>
    </row>
    <row r="24" spans="1:70">
      <c r="A24" s="8" t="s">
        <v>1331</v>
      </c>
      <c r="B24" s="8" t="s">
        <v>1435</v>
      </c>
      <c r="C24" s="15" t="s">
        <v>1435</v>
      </c>
      <c r="D24" s="15" t="str">
        <f t="shared" si="0"/>
        <v>No</v>
      </c>
      <c r="E24" s="15" t="str">
        <f t="shared" si="1"/>
        <v>No</v>
      </c>
      <c r="F24" t="str">
        <f t="shared" si="2"/>
        <v>No</v>
      </c>
      <c r="G24" s="4" t="s">
        <v>1436</v>
      </c>
      <c r="H24" s="4" t="s">
        <v>1436</v>
      </c>
      <c r="I24" s="4"/>
      <c r="J24" s="4" t="s">
        <v>1438</v>
      </c>
      <c r="K24" s="4" t="s">
        <v>1438</v>
      </c>
      <c r="L24" s="4" t="s">
        <v>1438</v>
      </c>
      <c r="M24" s="4"/>
      <c r="N24" s="4"/>
      <c r="O24" s="4"/>
      <c r="P24" s="4"/>
      <c r="Q24" s="4"/>
      <c r="R24" s="4"/>
      <c r="S24" s="4" t="s">
        <v>1582</v>
      </c>
      <c r="T24" s="4" t="s">
        <v>1583</v>
      </c>
      <c r="U24" s="4" t="s">
        <v>1584</v>
      </c>
      <c r="V24" s="4" t="s">
        <v>1435</v>
      </c>
      <c r="W24" s="4" t="s">
        <v>1585</v>
      </c>
      <c r="X24" s="4" t="s">
        <v>1443</v>
      </c>
      <c r="Y24" s="4" t="s">
        <v>1444</v>
      </c>
      <c r="Z24" s="4"/>
      <c r="AA24" s="4" t="s">
        <v>1445</v>
      </c>
      <c r="AB24" s="4"/>
      <c r="AC24" s="4" t="s">
        <v>1586</v>
      </c>
      <c r="AD24" s="4" t="s">
        <v>1444</v>
      </c>
      <c r="AE24" s="8"/>
      <c r="AF24" s="4" t="s">
        <v>1447</v>
      </c>
      <c r="AG24" s="4" t="s">
        <v>1448</v>
      </c>
      <c r="AH24" s="14">
        <v>23</v>
      </c>
      <c r="AI24" s="4" t="s">
        <v>1587</v>
      </c>
      <c r="AJ24" s="4" t="s">
        <v>1450</v>
      </c>
      <c r="AK24" s="4" t="s">
        <v>1451</v>
      </c>
      <c r="AL24" s="4" t="s">
        <v>1586</v>
      </c>
      <c r="AM24" s="4" t="s">
        <v>1335</v>
      </c>
      <c r="AN24" s="4"/>
      <c r="AO24" s="4"/>
      <c r="AP24" s="4"/>
      <c r="AQ24" s="4"/>
      <c r="AR24" s="4" t="s">
        <v>1444</v>
      </c>
      <c r="AS24" s="4" t="s">
        <v>1452</v>
      </c>
      <c r="AT24" s="4" t="s">
        <v>1444</v>
      </c>
      <c r="AU24" s="4" t="s">
        <v>1444</v>
      </c>
      <c r="AV24" s="4" t="s">
        <v>1444</v>
      </c>
      <c r="AW24" s="8" t="s">
        <v>1435</v>
      </c>
      <c r="AX24" s="8" t="s">
        <v>1435</v>
      </c>
      <c r="AY24" s="8"/>
      <c r="AZ24" s="8"/>
      <c r="BA24" s="12">
        <v>46027</v>
      </c>
      <c r="BB24" s="8" t="s">
        <v>1435</v>
      </c>
      <c r="BC24" s="4"/>
      <c r="BD24" s="4" t="s">
        <v>1403</v>
      </c>
      <c r="BE24" s="8" t="s">
        <v>1435</v>
      </c>
      <c r="BF24" s="8" t="s">
        <v>1435</v>
      </c>
      <c r="BG24" s="8" t="s">
        <v>1435</v>
      </c>
      <c r="BH24" s="8" t="s">
        <v>1435</v>
      </c>
      <c r="BI24" s="8"/>
      <c r="BJ24" s="8" t="s">
        <v>1435</v>
      </c>
      <c r="BK24" s="8" t="s">
        <v>1454</v>
      </c>
      <c r="BL24" s="4" t="str">
        <f t="shared" si="3"/>
        <v>Epic Beans Relay</v>
      </c>
      <c r="BM24" s="8" t="str">
        <f t="shared" si="4"/>
        <v>Blocked</v>
      </c>
      <c r="BP24" t="str">
        <f>IF($BO24="","",IFERROR(VLOOKUP($BO24,'01_Warehouse_Ledger'!$A:$N,4,FALSE),""))</f>
        <v/>
      </c>
      <c r="BQ24" t="str">
        <f>IF($BO24="","",IFERROR(VLOOKUP($BO24,'01_Warehouse_Ledger'!$A:$N,5,FALSE),""))</f>
        <v/>
      </c>
      <c r="BR24" t="str">
        <f>IF($BO24="","",IFERROR(VLOOKUP($BO24,'01_Warehouse_Ledger'!$A:$N,13,FALSE),""))</f>
        <v/>
      </c>
    </row>
    <row r="25" spans="1:70">
      <c r="A25" s="8" t="s">
        <v>1331</v>
      </c>
      <c r="B25" s="8" t="s">
        <v>1435</v>
      </c>
      <c r="C25" s="15" t="s">
        <v>1435</v>
      </c>
      <c r="D25" s="15" t="str">
        <f t="shared" si="0"/>
        <v>No</v>
      </c>
      <c r="E25" s="15" t="str">
        <f t="shared" si="1"/>
        <v>No</v>
      </c>
      <c r="F25" t="str">
        <f t="shared" si="2"/>
        <v>No</v>
      </c>
      <c r="G25" s="4" t="s">
        <v>1436</v>
      </c>
      <c r="H25" s="4" t="s">
        <v>1436</v>
      </c>
      <c r="I25" s="4"/>
      <c r="J25" s="4" t="s">
        <v>1438</v>
      </c>
      <c r="K25" s="4" t="s">
        <v>1438</v>
      </c>
      <c r="L25" s="4" t="s">
        <v>1438</v>
      </c>
      <c r="M25" s="4"/>
      <c r="N25" s="4"/>
      <c r="O25" s="4"/>
      <c r="P25" s="4"/>
      <c r="Q25" s="4"/>
      <c r="R25" s="4"/>
      <c r="S25" s="4" t="s">
        <v>1588</v>
      </c>
      <c r="T25" s="4" t="s">
        <v>1589</v>
      </c>
      <c r="U25" s="4" t="s">
        <v>1590</v>
      </c>
      <c r="V25" s="4" t="s">
        <v>1435</v>
      </c>
      <c r="W25" s="4" t="s">
        <v>1591</v>
      </c>
      <c r="X25" s="4" t="s">
        <v>1443</v>
      </c>
      <c r="Y25" s="4" t="s">
        <v>1444</v>
      </c>
      <c r="Z25" s="4"/>
      <c r="AA25" s="4" t="s">
        <v>1445</v>
      </c>
      <c r="AB25" s="4"/>
      <c r="AC25" s="4" t="s">
        <v>1592</v>
      </c>
      <c r="AD25" s="4" t="s">
        <v>1444</v>
      </c>
      <c r="AE25" s="8"/>
      <c r="AF25" s="4" t="s">
        <v>1447</v>
      </c>
      <c r="AG25" s="4" t="s">
        <v>1448</v>
      </c>
      <c r="AH25" s="14">
        <v>24</v>
      </c>
      <c r="AI25" s="4" t="s">
        <v>1593</v>
      </c>
      <c r="AJ25" s="4" t="s">
        <v>1450</v>
      </c>
      <c r="AK25" s="4" t="s">
        <v>1451</v>
      </c>
      <c r="AL25" s="4" t="s">
        <v>1592</v>
      </c>
      <c r="AM25" s="4" t="s">
        <v>1335</v>
      </c>
      <c r="AN25" s="4"/>
      <c r="AO25" s="4"/>
      <c r="AP25" s="4"/>
      <c r="AQ25" s="4"/>
      <c r="AR25" s="4" t="s">
        <v>1444</v>
      </c>
      <c r="AS25" s="4" t="s">
        <v>1452</v>
      </c>
      <c r="AT25" s="4" t="s">
        <v>1444</v>
      </c>
      <c r="AU25" s="4" t="s">
        <v>1444</v>
      </c>
      <c r="AV25" s="4" t="s">
        <v>1444</v>
      </c>
      <c r="AW25" s="8" t="s">
        <v>1435</v>
      </c>
      <c r="AX25" s="8" t="s">
        <v>1435</v>
      </c>
      <c r="AY25" s="8"/>
      <c r="AZ25" s="8"/>
      <c r="BA25" s="12">
        <v>46027</v>
      </c>
      <c r="BB25" s="8" t="s">
        <v>1435</v>
      </c>
      <c r="BC25" s="4"/>
      <c r="BD25" s="4" t="s">
        <v>1403</v>
      </c>
      <c r="BE25" s="8" t="s">
        <v>1435</v>
      </c>
      <c r="BF25" s="8" t="s">
        <v>1435</v>
      </c>
      <c r="BG25" s="8" t="s">
        <v>1435</v>
      </c>
      <c r="BH25" s="8" t="s">
        <v>1435</v>
      </c>
      <c r="BI25" s="8"/>
      <c r="BJ25" s="8" t="s">
        <v>1435</v>
      </c>
      <c r="BK25" s="8" t="s">
        <v>1454</v>
      </c>
      <c r="BL25" s="4" t="str">
        <f t="shared" si="3"/>
        <v>Epic Beans Relay</v>
      </c>
      <c r="BM25" s="8" t="str">
        <f t="shared" si="4"/>
        <v>Blocked</v>
      </c>
      <c r="BP25" t="str">
        <f>IF($BO25="","",IFERROR(VLOOKUP($BO25,'01_Warehouse_Ledger'!$A:$N,4,FALSE),""))</f>
        <v/>
      </c>
      <c r="BQ25" t="str">
        <f>IF($BO25="","",IFERROR(VLOOKUP($BO25,'01_Warehouse_Ledger'!$A:$N,5,FALSE),""))</f>
        <v/>
      </c>
      <c r="BR25" t="str">
        <f>IF($BO25="","",IFERROR(VLOOKUP($BO25,'01_Warehouse_Ledger'!$A:$N,13,FALSE),""))</f>
        <v/>
      </c>
    </row>
    <row r="26" spans="1:70">
      <c r="A26" s="8" t="s">
        <v>1331</v>
      </c>
      <c r="B26" s="8" t="s">
        <v>1435</v>
      </c>
      <c r="C26" s="15" t="s">
        <v>1435</v>
      </c>
      <c r="D26" s="15" t="str">
        <f t="shared" si="0"/>
        <v>No</v>
      </c>
      <c r="E26" s="15" t="str">
        <f t="shared" si="1"/>
        <v>No</v>
      </c>
      <c r="F26" t="str">
        <f t="shared" si="2"/>
        <v>No</v>
      </c>
      <c r="G26" s="4" t="s">
        <v>1436</v>
      </c>
      <c r="H26" s="4" t="s">
        <v>1436</v>
      </c>
      <c r="I26" s="4"/>
      <c r="J26" s="4" t="s">
        <v>1438</v>
      </c>
      <c r="K26" s="4" t="s">
        <v>1438</v>
      </c>
      <c r="L26" s="4" t="s">
        <v>1438</v>
      </c>
      <c r="M26" s="4"/>
      <c r="N26" s="4"/>
      <c r="O26" s="4"/>
      <c r="P26" s="4"/>
      <c r="Q26" s="4"/>
      <c r="R26" s="4"/>
      <c r="S26" s="4" t="s">
        <v>1594</v>
      </c>
      <c r="T26" s="4" t="s">
        <v>1595</v>
      </c>
      <c r="U26" s="4" t="s">
        <v>1596</v>
      </c>
      <c r="V26" s="4" t="s">
        <v>1435</v>
      </c>
      <c r="W26" s="4" t="s">
        <v>1597</v>
      </c>
      <c r="X26" s="4" t="s">
        <v>1443</v>
      </c>
      <c r="Y26" s="4" t="s">
        <v>1444</v>
      </c>
      <c r="Z26" s="4"/>
      <c r="AA26" s="4" t="s">
        <v>1445</v>
      </c>
      <c r="AB26" s="4"/>
      <c r="AC26" s="4" t="s">
        <v>1598</v>
      </c>
      <c r="AD26" s="4" t="s">
        <v>1444</v>
      </c>
      <c r="AE26" s="8"/>
      <c r="AF26" s="4" t="s">
        <v>1447</v>
      </c>
      <c r="AG26" s="4" t="s">
        <v>1448</v>
      </c>
      <c r="AH26" s="14">
        <v>25</v>
      </c>
      <c r="AI26" s="4" t="s">
        <v>1599</v>
      </c>
      <c r="AJ26" s="4" t="s">
        <v>1450</v>
      </c>
      <c r="AK26" s="4" t="s">
        <v>1451</v>
      </c>
      <c r="AL26" s="4" t="s">
        <v>1598</v>
      </c>
      <c r="AM26" s="4" t="s">
        <v>1335</v>
      </c>
      <c r="AN26" s="4"/>
      <c r="AO26" s="4"/>
      <c r="AP26" s="4"/>
      <c r="AQ26" s="4"/>
      <c r="AR26" s="4" t="s">
        <v>1444</v>
      </c>
      <c r="AS26" s="4" t="s">
        <v>1452</v>
      </c>
      <c r="AT26" s="4" t="s">
        <v>1444</v>
      </c>
      <c r="AU26" s="4" t="s">
        <v>1444</v>
      </c>
      <c r="AV26" s="4" t="s">
        <v>1444</v>
      </c>
      <c r="AW26" s="8" t="s">
        <v>1435</v>
      </c>
      <c r="AX26" s="8" t="s">
        <v>1435</v>
      </c>
      <c r="AY26" s="8"/>
      <c r="AZ26" s="8"/>
      <c r="BA26" s="12">
        <v>46027</v>
      </c>
      <c r="BB26" s="8" t="s">
        <v>1435</v>
      </c>
      <c r="BC26" s="4"/>
      <c r="BD26" s="4" t="s">
        <v>1403</v>
      </c>
      <c r="BE26" s="8" t="s">
        <v>1435</v>
      </c>
      <c r="BF26" s="8" t="s">
        <v>1435</v>
      </c>
      <c r="BG26" s="8" t="s">
        <v>1435</v>
      </c>
      <c r="BH26" s="8" t="s">
        <v>1435</v>
      </c>
      <c r="BI26" s="8"/>
      <c r="BJ26" s="8" t="s">
        <v>1435</v>
      </c>
      <c r="BK26" s="8" t="s">
        <v>1454</v>
      </c>
      <c r="BL26" s="4" t="str">
        <f t="shared" si="3"/>
        <v>Epic Beans Relay</v>
      </c>
      <c r="BM26" s="8" t="str">
        <f t="shared" si="4"/>
        <v>Blocked</v>
      </c>
      <c r="BP26" t="str">
        <f>IF($BO26="","",IFERROR(VLOOKUP($BO26,'01_Warehouse_Ledger'!$A:$N,4,FALSE),""))</f>
        <v/>
      </c>
      <c r="BQ26" t="str">
        <f>IF($BO26="","",IFERROR(VLOOKUP($BO26,'01_Warehouse_Ledger'!$A:$N,5,FALSE),""))</f>
        <v/>
      </c>
      <c r="BR26" t="str">
        <f>IF($BO26="","",IFERROR(VLOOKUP($BO26,'01_Warehouse_Ledger'!$A:$N,13,FALSE),""))</f>
        <v/>
      </c>
    </row>
    <row r="27" spans="1:70">
      <c r="A27" s="8" t="s">
        <v>1331</v>
      </c>
      <c r="B27" s="8" t="s">
        <v>1435</v>
      </c>
      <c r="C27" s="15" t="s">
        <v>1454</v>
      </c>
      <c r="D27" s="15" t="str">
        <f t="shared" si="0"/>
        <v>Yes</v>
      </c>
      <c r="E27" s="15" t="str">
        <f t="shared" si="1"/>
        <v>No</v>
      </c>
      <c r="F27" t="str">
        <f t="shared" si="2"/>
        <v>No</v>
      </c>
      <c r="G27" s="4" t="s">
        <v>1436</v>
      </c>
      <c r="H27" s="4" t="s">
        <v>1436</v>
      </c>
      <c r="I27" s="4"/>
      <c r="J27" s="4" t="s">
        <v>1438</v>
      </c>
      <c r="K27" s="4" t="s">
        <v>1438</v>
      </c>
      <c r="L27" s="4" t="s">
        <v>1438</v>
      </c>
      <c r="M27" s="4"/>
      <c r="N27" s="4"/>
      <c r="O27" s="4"/>
      <c r="P27" s="4"/>
      <c r="Q27" s="4"/>
      <c r="R27" s="4"/>
      <c r="S27" s="4" t="s">
        <v>1600</v>
      </c>
      <c r="T27" s="4" t="s">
        <v>1601</v>
      </c>
      <c r="U27" s="4" t="s">
        <v>1602</v>
      </c>
      <c r="V27" s="4" t="s">
        <v>1435</v>
      </c>
      <c r="W27" s="4" t="s">
        <v>1603</v>
      </c>
      <c r="X27" s="4" t="s">
        <v>1443</v>
      </c>
      <c r="Y27" s="4" t="s">
        <v>1444</v>
      </c>
      <c r="Z27" s="4"/>
      <c r="AA27" s="4" t="s">
        <v>1445</v>
      </c>
      <c r="AB27" s="4"/>
      <c r="AC27" s="4"/>
      <c r="AD27" s="4" t="s">
        <v>1444</v>
      </c>
      <c r="AE27" s="8"/>
      <c r="AF27" s="4"/>
      <c r="AG27" s="4"/>
      <c r="AH27" s="1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8" t="s">
        <v>1435</v>
      </c>
      <c r="AX27" s="8" t="s">
        <v>1435</v>
      </c>
      <c r="AY27" s="8"/>
      <c r="AZ27" s="8"/>
      <c r="BA27" s="12">
        <v>46027</v>
      </c>
      <c r="BB27" s="8" t="s">
        <v>1435</v>
      </c>
      <c r="BC27" s="4"/>
      <c r="BD27" s="4" t="s">
        <v>1403</v>
      </c>
      <c r="BE27" s="8" t="s">
        <v>1435</v>
      </c>
      <c r="BF27" s="8" t="s">
        <v>1435</v>
      </c>
      <c r="BG27" s="8" t="s">
        <v>1435</v>
      </c>
      <c r="BH27" s="8" t="s">
        <v>1435</v>
      </c>
      <c r="BI27" s="8"/>
      <c r="BJ27" s="8" t="s">
        <v>1435</v>
      </c>
      <c r="BK27" s="8" t="s">
        <v>1454</v>
      </c>
      <c r="BL27" s="4" t="str">
        <f t="shared" si="3"/>
        <v>Epic Beans Relay</v>
      </c>
      <c r="BM27" s="8" t="str">
        <f t="shared" si="4"/>
        <v>Blocked</v>
      </c>
      <c r="BP27" t="str">
        <f>IF($BO27="","",IFERROR(VLOOKUP($BO27,'01_Warehouse_Ledger'!$A:$N,4,FALSE),""))</f>
        <v/>
      </c>
      <c r="BQ27" t="str">
        <f>IF($BO27="","",IFERROR(VLOOKUP($BO27,'01_Warehouse_Ledger'!$A:$N,5,FALSE),""))</f>
        <v/>
      </c>
      <c r="BR27" t="str">
        <f>IF($BO27="","",IFERROR(VLOOKUP($BO27,'01_Warehouse_Ledger'!$A:$N,13,FALSE),""))</f>
        <v/>
      </c>
    </row>
    <row r="28" spans="1:70">
      <c r="A28" s="8" t="s">
        <v>1331</v>
      </c>
      <c r="B28" s="8" t="s">
        <v>1435</v>
      </c>
      <c r="C28" s="15" t="s">
        <v>1454</v>
      </c>
      <c r="D28" s="15" t="str">
        <f t="shared" si="0"/>
        <v>Yes</v>
      </c>
      <c r="E28" s="15" t="str">
        <f t="shared" si="1"/>
        <v>No</v>
      </c>
      <c r="F28" t="str">
        <f t="shared" si="2"/>
        <v>No</v>
      </c>
      <c r="G28" s="4" t="s">
        <v>1436</v>
      </c>
      <c r="H28" s="4" t="s">
        <v>1436</v>
      </c>
      <c r="I28" s="4"/>
      <c r="J28" s="4" t="s">
        <v>1438</v>
      </c>
      <c r="K28" s="4" t="s">
        <v>1438</v>
      </c>
      <c r="L28" s="4" t="s">
        <v>1438</v>
      </c>
      <c r="M28" s="4"/>
      <c r="N28" s="4"/>
      <c r="O28" s="4"/>
      <c r="P28" s="4"/>
      <c r="Q28" s="4"/>
      <c r="R28" s="4"/>
      <c r="S28" s="4" t="s">
        <v>1604</v>
      </c>
      <c r="T28" s="4" t="s">
        <v>1605</v>
      </c>
      <c r="U28" s="4" t="s">
        <v>1606</v>
      </c>
      <c r="V28" s="4" t="s">
        <v>1435</v>
      </c>
      <c r="W28" s="4" t="s">
        <v>1607</v>
      </c>
      <c r="X28" s="4" t="s">
        <v>1443</v>
      </c>
      <c r="Y28" s="4" t="s">
        <v>1444</v>
      </c>
      <c r="Z28" s="4"/>
      <c r="AA28" s="4" t="s">
        <v>1445</v>
      </c>
      <c r="AB28" s="4"/>
      <c r="AC28" s="4"/>
      <c r="AD28" s="4" t="s">
        <v>1444</v>
      </c>
      <c r="AE28" s="8"/>
      <c r="AF28" s="4"/>
      <c r="AG28" s="4"/>
      <c r="AH28" s="1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8" t="s">
        <v>1435</v>
      </c>
      <c r="AX28" s="8" t="s">
        <v>1435</v>
      </c>
      <c r="AY28" s="8"/>
      <c r="AZ28" s="8"/>
      <c r="BA28" s="12">
        <v>46027</v>
      </c>
      <c r="BB28" s="8" t="s">
        <v>1435</v>
      </c>
      <c r="BC28" s="4"/>
      <c r="BD28" s="4" t="s">
        <v>1403</v>
      </c>
      <c r="BE28" s="8" t="s">
        <v>1435</v>
      </c>
      <c r="BF28" s="8" t="s">
        <v>1435</v>
      </c>
      <c r="BG28" s="8" t="s">
        <v>1435</v>
      </c>
      <c r="BH28" s="8" t="s">
        <v>1435</v>
      </c>
      <c r="BI28" s="8"/>
      <c r="BJ28" s="8" t="s">
        <v>1435</v>
      </c>
      <c r="BK28" s="8" t="s">
        <v>1454</v>
      </c>
      <c r="BL28" s="4" t="str">
        <f t="shared" si="3"/>
        <v>Epic Beans Relay</v>
      </c>
      <c r="BM28" s="8" t="str">
        <f t="shared" si="4"/>
        <v>Blocked</v>
      </c>
      <c r="BP28" t="str">
        <f>IF($BO28="","",IFERROR(VLOOKUP($BO28,'01_Warehouse_Ledger'!$A:$N,4,FALSE),""))</f>
        <v/>
      </c>
      <c r="BQ28" t="str">
        <f>IF($BO28="","",IFERROR(VLOOKUP($BO28,'01_Warehouse_Ledger'!$A:$N,5,FALSE),""))</f>
        <v/>
      </c>
      <c r="BR28" t="str">
        <f>IF($BO28="","",IFERROR(VLOOKUP($BO28,'01_Warehouse_Ledger'!$A:$N,13,FALSE),""))</f>
        <v/>
      </c>
    </row>
    <row r="29" spans="1:70">
      <c r="A29" s="8" t="s">
        <v>1331</v>
      </c>
      <c r="B29" s="8" t="s">
        <v>1435</v>
      </c>
      <c r="C29" s="15" t="s">
        <v>1454</v>
      </c>
      <c r="D29" s="15" t="str">
        <f t="shared" si="0"/>
        <v>Yes</v>
      </c>
      <c r="E29" s="15" t="str">
        <f t="shared" si="1"/>
        <v>No</v>
      </c>
      <c r="F29" t="str">
        <f t="shared" si="2"/>
        <v>No</v>
      </c>
      <c r="G29" s="4" t="s">
        <v>1436</v>
      </c>
      <c r="H29" s="4" t="s">
        <v>1436</v>
      </c>
      <c r="I29" s="4"/>
      <c r="J29" s="4" t="s">
        <v>1438</v>
      </c>
      <c r="K29" s="4" t="s">
        <v>1438</v>
      </c>
      <c r="L29" s="4" t="s">
        <v>1438</v>
      </c>
      <c r="M29" s="4"/>
      <c r="N29" s="4"/>
      <c r="O29" s="4"/>
      <c r="P29" s="4"/>
      <c r="Q29" s="4"/>
      <c r="R29" s="4"/>
      <c r="S29" s="4" t="s">
        <v>1608</v>
      </c>
      <c r="T29" s="4" t="s">
        <v>1609</v>
      </c>
      <c r="U29" s="4" t="s">
        <v>1610</v>
      </c>
      <c r="V29" s="4" t="s">
        <v>1435</v>
      </c>
      <c r="W29" s="4" t="s">
        <v>1611</v>
      </c>
      <c r="X29" s="4" t="s">
        <v>1443</v>
      </c>
      <c r="Y29" s="4" t="s">
        <v>1444</v>
      </c>
      <c r="Z29" s="4"/>
      <c r="AA29" s="4" t="s">
        <v>1445</v>
      </c>
      <c r="AB29" s="4"/>
      <c r="AC29" s="4"/>
      <c r="AD29" s="4" t="s">
        <v>1444</v>
      </c>
      <c r="AE29" s="8"/>
      <c r="AF29" s="4"/>
      <c r="AG29" s="4"/>
      <c r="AH29" s="17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8" t="s">
        <v>1435</v>
      </c>
      <c r="AX29" s="8" t="s">
        <v>1435</v>
      </c>
      <c r="AY29" s="8"/>
      <c r="AZ29" s="8"/>
      <c r="BA29" s="12">
        <v>46027</v>
      </c>
      <c r="BB29" s="8" t="s">
        <v>1435</v>
      </c>
      <c r="BC29" s="4"/>
      <c r="BD29" s="4" t="s">
        <v>1403</v>
      </c>
      <c r="BE29" s="8" t="s">
        <v>1435</v>
      </c>
      <c r="BF29" s="8" t="s">
        <v>1435</v>
      </c>
      <c r="BG29" s="8" t="s">
        <v>1435</v>
      </c>
      <c r="BH29" s="8" t="s">
        <v>1435</v>
      </c>
      <c r="BI29" s="8"/>
      <c r="BJ29" s="8" t="s">
        <v>1435</v>
      </c>
      <c r="BK29" s="8" t="s">
        <v>1454</v>
      </c>
      <c r="BL29" s="4" t="str">
        <f t="shared" si="3"/>
        <v>Epic Beans Relay</v>
      </c>
      <c r="BM29" s="8" t="str">
        <f t="shared" si="4"/>
        <v>Blocked</v>
      </c>
      <c r="BP29" t="str">
        <f>IF($BO29="","",IFERROR(VLOOKUP($BO29,'01_Warehouse_Ledger'!$A:$N,4,FALSE),""))</f>
        <v/>
      </c>
      <c r="BQ29" t="str">
        <f>IF($BO29="","",IFERROR(VLOOKUP($BO29,'01_Warehouse_Ledger'!$A:$N,5,FALSE),""))</f>
        <v/>
      </c>
      <c r="BR29" t="str">
        <f>IF($BO29="","",IFERROR(VLOOKUP($BO29,'01_Warehouse_Ledger'!$A:$N,13,FALSE),""))</f>
        <v/>
      </c>
    </row>
    <row r="30" spans="1:70" ht="23.25">
      <c r="A30" s="61" t="s">
        <v>1331</v>
      </c>
      <c r="B30" s="61" t="s">
        <v>1454</v>
      </c>
      <c r="C30" s="15" t="s">
        <v>1454</v>
      </c>
      <c r="D30" s="15" t="str">
        <f t="shared" si="0"/>
        <v/>
      </c>
      <c r="E30" s="15" t="str">
        <f t="shared" si="1"/>
        <v>Yes</v>
      </c>
      <c r="F30" t="str">
        <f t="shared" si="2"/>
        <v/>
      </c>
      <c r="G30" s="62" t="s">
        <v>1317</v>
      </c>
      <c r="H30" s="62" t="s">
        <v>1436</v>
      </c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 t="s">
        <v>1612</v>
      </c>
      <c r="T30" s="62" t="s">
        <v>1613</v>
      </c>
      <c r="U30" s="62" t="s">
        <v>1614</v>
      </c>
      <c r="V30" s="62" t="s">
        <v>1435</v>
      </c>
      <c r="W30" s="62" t="s">
        <v>1615</v>
      </c>
      <c r="X30" s="62" t="s">
        <v>1443</v>
      </c>
      <c r="Y30" s="62" t="s">
        <v>1444</v>
      </c>
      <c r="Z30" s="62"/>
      <c r="AA30" s="62"/>
      <c r="AB30" s="62"/>
      <c r="AC30" s="62"/>
      <c r="AD30" s="62" t="s">
        <v>1444</v>
      </c>
      <c r="AE30" s="61"/>
      <c r="AF30" s="62"/>
      <c r="AG30" s="62"/>
      <c r="AH30" s="63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1" t="s">
        <v>1435</v>
      </c>
      <c r="AX30" s="61" t="s">
        <v>1435</v>
      </c>
      <c r="AY30" s="61"/>
      <c r="AZ30" s="61"/>
      <c r="BA30" s="64">
        <v>46027</v>
      </c>
      <c r="BB30" s="61" t="s">
        <v>1435</v>
      </c>
      <c r="BC30" s="62" t="s">
        <v>1616</v>
      </c>
      <c r="BD30" s="62" t="s">
        <v>1403</v>
      </c>
      <c r="BE30" s="61" t="s">
        <v>1435</v>
      </c>
      <c r="BF30" s="61" t="s">
        <v>1435</v>
      </c>
      <c r="BG30" s="61" t="s">
        <v>1435</v>
      </c>
      <c r="BH30" s="61" t="s">
        <v>1435</v>
      </c>
      <c r="BI30" s="61"/>
      <c r="BJ30" s="61" t="s">
        <v>1435</v>
      </c>
      <c r="BK30" s="61" t="s">
        <v>1454</v>
      </c>
      <c r="BL30" s="62" t="str">
        <f t="shared" si="3"/>
        <v>Epic Beans Relay</v>
      </c>
      <c r="BM30" s="61" t="str">
        <f t="shared" si="4"/>
        <v>Blocked</v>
      </c>
      <c r="BN30" s="60" t="s">
        <v>1617</v>
      </c>
      <c r="BP30" t="str">
        <f>IF($BO30="","",IFERROR(VLOOKUP($BO30,'01_Warehouse_Ledger'!$A:$N,4,FALSE),""))</f>
        <v/>
      </c>
      <c r="BQ30" t="str">
        <f>IF($BO30="","",IFERROR(VLOOKUP($BO30,'01_Warehouse_Ledger'!$A:$N,5,FALSE),""))</f>
        <v/>
      </c>
      <c r="BR30" t="str">
        <f>IF($BO30="","",IFERROR(VLOOKUP($BO30,'01_Warehouse_Ledger'!$A:$N,13,FALSE),""))</f>
        <v/>
      </c>
    </row>
    <row r="31" spans="1:70" ht="23.25">
      <c r="A31" s="61" t="s">
        <v>1331</v>
      </c>
      <c r="B31" s="61" t="s">
        <v>1454</v>
      </c>
      <c r="C31" s="15" t="s">
        <v>1454</v>
      </c>
      <c r="D31" s="15" t="str">
        <f t="shared" si="0"/>
        <v/>
      </c>
      <c r="E31" s="15" t="str">
        <f t="shared" si="1"/>
        <v>Yes</v>
      </c>
      <c r="F31" t="str">
        <f t="shared" si="2"/>
        <v/>
      </c>
      <c r="G31" s="62" t="s">
        <v>1317</v>
      </c>
      <c r="H31" s="62" t="s">
        <v>1436</v>
      </c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 t="s">
        <v>1618</v>
      </c>
      <c r="T31" s="62" t="s">
        <v>1619</v>
      </c>
      <c r="U31" s="62" t="s">
        <v>1620</v>
      </c>
      <c r="V31" s="62" t="s">
        <v>1435</v>
      </c>
      <c r="W31" s="62" t="s">
        <v>1621</v>
      </c>
      <c r="X31" s="62" t="s">
        <v>1443</v>
      </c>
      <c r="Y31" s="62" t="s">
        <v>1444</v>
      </c>
      <c r="Z31" s="62"/>
      <c r="AA31" s="62"/>
      <c r="AB31" s="62"/>
      <c r="AC31" s="62"/>
      <c r="AD31" s="62" t="s">
        <v>1444</v>
      </c>
      <c r="AE31" s="61"/>
      <c r="AF31" s="62"/>
      <c r="AG31" s="62"/>
      <c r="AH31" s="63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1" t="s">
        <v>1435</v>
      </c>
      <c r="AX31" s="61" t="s">
        <v>1435</v>
      </c>
      <c r="AY31" s="61"/>
      <c r="AZ31" s="61"/>
      <c r="BA31" s="64">
        <v>46027</v>
      </c>
      <c r="BB31" s="61" t="s">
        <v>1435</v>
      </c>
      <c r="BC31" s="62" t="s">
        <v>1616</v>
      </c>
      <c r="BD31" s="62" t="s">
        <v>1403</v>
      </c>
      <c r="BE31" s="61" t="s">
        <v>1435</v>
      </c>
      <c r="BF31" s="61" t="s">
        <v>1435</v>
      </c>
      <c r="BG31" s="61" t="s">
        <v>1435</v>
      </c>
      <c r="BH31" s="61" t="s">
        <v>1435</v>
      </c>
      <c r="BI31" s="61"/>
      <c r="BJ31" s="61" t="s">
        <v>1435</v>
      </c>
      <c r="BK31" s="61" t="s">
        <v>1454</v>
      </c>
      <c r="BL31" s="62" t="str">
        <f t="shared" si="3"/>
        <v>Epic Beans Relay</v>
      </c>
      <c r="BM31" s="61" t="str">
        <f t="shared" si="4"/>
        <v>Blocked</v>
      </c>
      <c r="BN31" s="60" t="s">
        <v>1622</v>
      </c>
      <c r="BP31" t="str">
        <f>IF($BO31="","",IFERROR(VLOOKUP($BO31,'01_Warehouse_Ledger'!$A:$N,4,FALSE),""))</f>
        <v/>
      </c>
      <c r="BQ31" t="str">
        <f>IF($BO31="","",IFERROR(VLOOKUP($BO31,'01_Warehouse_Ledger'!$A:$N,5,FALSE),""))</f>
        <v/>
      </c>
      <c r="BR31" t="str">
        <f>IF($BO31="","",IFERROR(VLOOKUP($BO31,'01_Warehouse_Ledger'!$A:$N,13,FALSE),""))</f>
        <v/>
      </c>
    </row>
    <row r="32" spans="1:70" ht="23.25">
      <c r="A32" s="61" t="s">
        <v>1331</v>
      </c>
      <c r="B32" s="61" t="s">
        <v>1454</v>
      </c>
      <c r="C32" s="15" t="s">
        <v>1454</v>
      </c>
      <c r="D32" s="15" t="str">
        <f t="shared" si="0"/>
        <v/>
      </c>
      <c r="E32" s="15" t="str">
        <f t="shared" si="1"/>
        <v>No</v>
      </c>
      <c r="F32" t="str">
        <f t="shared" si="2"/>
        <v/>
      </c>
      <c r="G32" s="62" t="s">
        <v>1317</v>
      </c>
      <c r="H32" s="62" t="s">
        <v>1436</v>
      </c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 t="s">
        <v>1623</v>
      </c>
      <c r="T32" s="62" t="s">
        <v>1624</v>
      </c>
      <c r="U32" s="62" t="s">
        <v>1625</v>
      </c>
      <c r="V32" s="62" t="s">
        <v>1435</v>
      </c>
      <c r="W32" s="62" t="s">
        <v>1626</v>
      </c>
      <c r="X32" s="62" t="s">
        <v>1443</v>
      </c>
      <c r="Y32" s="62" t="s">
        <v>1444</v>
      </c>
      <c r="Z32" s="62"/>
      <c r="AA32" s="62"/>
      <c r="AB32" s="62"/>
      <c r="AC32" s="62"/>
      <c r="AD32" s="62" t="s">
        <v>1444</v>
      </c>
      <c r="AE32" s="61"/>
      <c r="AF32" s="62"/>
      <c r="AG32" s="62"/>
      <c r="AH32" s="63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1" t="s">
        <v>1435</v>
      </c>
      <c r="AX32" s="61" t="s">
        <v>1435</v>
      </c>
      <c r="AY32" s="61"/>
      <c r="AZ32" s="61"/>
      <c r="BA32" s="64">
        <v>46027</v>
      </c>
      <c r="BB32" s="61" t="s">
        <v>1435</v>
      </c>
      <c r="BC32" s="62" t="s">
        <v>1616</v>
      </c>
      <c r="BD32" s="62" t="s">
        <v>1403</v>
      </c>
      <c r="BE32" s="61" t="s">
        <v>1435</v>
      </c>
      <c r="BF32" s="61" t="s">
        <v>1435</v>
      </c>
      <c r="BG32" s="61" t="s">
        <v>1435</v>
      </c>
      <c r="BH32" s="61" t="s">
        <v>1435</v>
      </c>
      <c r="BI32" s="61"/>
      <c r="BJ32" s="61" t="s">
        <v>1435</v>
      </c>
      <c r="BK32" s="61" t="s">
        <v>1454</v>
      </c>
      <c r="BL32" s="62" t="str">
        <f t="shared" si="3"/>
        <v>Epic Beans Relay</v>
      </c>
      <c r="BM32" s="61" t="str">
        <f t="shared" si="4"/>
        <v>Blocked</v>
      </c>
      <c r="BN32" s="60"/>
      <c r="BP32" t="str">
        <f>IF($BO32="","",IFERROR(VLOOKUP($BO32,'01_Warehouse_Ledger'!$A:$N,4,FALSE),""))</f>
        <v/>
      </c>
      <c r="BQ32" t="str">
        <f>IF($BO32="","",IFERROR(VLOOKUP($BO32,'01_Warehouse_Ledger'!$A:$N,5,FALSE),""))</f>
        <v/>
      </c>
      <c r="BR32" t="str">
        <f>IF($BO32="","",IFERROR(VLOOKUP($BO32,'01_Warehouse_Ledger'!$A:$N,13,FALSE),""))</f>
        <v/>
      </c>
    </row>
    <row r="33" spans="1:76" ht="23.25">
      <c r="A33" s="61" t="s">
        <v>1331</v>
      </c>
      <c r="B33" s="61" t="s">
        <v>1454</v>
      </c>
      <c r="C33" s="15" t="s">
        <v>1454</v>
      </c>
      <c r="D33" s="15" t="str">
        <f t="shared" si="0"/>
        <v/>
      </c>
      <c r="E33" s="15" t="str">
        <f t="shared" si="1"/>
        <v>No</v>
      </c>
      <c r="F33" t="str">
        <f t="shared" si="2"/>
        <v/>
      </c>
      <c r="G33" s="62" t="s">
        <v>1317</v>
      </c>
      <c r="H33" s="62" t="s">
        <v>1436</v>
      </c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 t="s">
        <v>1627</v>
      </c>
      <c r="T33" s="62" t="s">
        <v>1628</v>
      </c>
      <c r="U33" s="62" t="s">
        <v>1629</v>
      </c>
      <c r="V33" s="62" t="s">
        <v>1435</v>
      </c>
      <c r="W33" s="62" t="s">
        <v>1630</v>
      </c>
      <c r="X33" s="62" t="s">
        <v>1443</v>
      </c>
      <c r="Y33" s="62" t="s">
        <v>1444</v>
      </c>
      <c r="Z33" s="62"/>
      <c r="AA33" s="62"/>
      <c r="AB33" s="62"/>
      <c r="AC33" s="62"/>
      <c r="AD33" s="62" t="s">
        <v>1444</v>
      </c>
      <c r="AE33" s="61"/>
      <c r="AF33" s="62"/>
      <c r="AG33" s="62"/>
      <c r="AH33" s="63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1" t="s">
        <v>1435</v>
      </c>
      <c r="AX33" s="61" t="s">
        <v>1435</v>
      </c>
      <c r="AY33" s="61"/>
      <c r="AZ33" s="61"/>
      <c r="BA33" s="64">
        <v>46027</v>
      </c>
      <c r="BB33" s="61" t="s">
        <v>1435</v>
      </c>
      <c r="BC33" s="62" t="s">
        <v>1616</v>
      </c>
      <c r="BD33" s="62" t="s">
        <v>1403</v>
      </c>
      <c r="BE33" s="61" t="s">
        <v>1435</v>
      </c>
      <c r="BF33" s="61" t="s">
        <v>1435</v>
      </c>
      <c r="BG33" s="61" t="s">
        <v>1435</v>
      </c>
      <c r="BH33" s="61" t="s">
        <v>1435</v>
      </c>
      <c r="BI33" s="61"/>
      <c r="BJ33" s="61" t="s">
        <v>1435</v>
      </c>
      <c r="BK33" s="61" t="s">
        <v>1454</v>
      </c>
      <c r="BL33" s="62" t="str">
        <f t="shared" si="3"/>
        <v>Epic Beans Relay</v>
      </c>
      <c r="BM33" s="61" t="str">
        <f t="shared" si="4"/>
        <v>Blocked</v>
      </c>
      <c r="BN33" s="60"/>
      <c r="BP33" t="str">
        <f>IF($BO33="","",IFERROR(VLOOKUP($BO33,'01_Warehouse_Ledger'!$A:$N,4,FALSE),""))</f>
        <v/>
      </c>
      <c r="BQ33" t="str">
        <f>IF($BO33="","",IFERROR(VLOOKUP($BO33,'01_Warehouse_Ledger'!$A:$N,5,FALSE),""))</f>
        <v/>
      </c>
      <c r="BR33" t="str">
        <f>IF($BO33="","",IFERROR(VLOOKUP($BO33,'01_Warehouse_Ledger'!$A:$N,13,FALSE),""))</f>
        <v/>
      </c>
    </row>
    <row r="34" spans="1:76" ht="30.75" customHeight="1">
      <c r="A34" s="8" t="s">
        <v>1331</v>
      </c>
      <c r="B34" s="8" t="s">
        <v>1435</v>
      </c>
      <c r="C34" s="15" t="s">
        <v>1454</v>
      </c>
      <c r="D34" s="15" t="str">
        <f t="shared" si="0"/>
        <v>Yes</v>
      </c>
      <c r="E34" s="15" t="str">
        <f t="shared" si="1"/>
        <v>No</v>
      </c>
      <c r="F34" t="str">
        <f t="shared" si="2"/>
        <v>No</v>
      </c>
      <c r="G34" s="4" t="s">
        <v>1631</v>
      </c>
      <c r="H34" s="4" t="s">
        <v>1631</v>
      </c>
      <c r="I34" s="4"/>
      <c r="J34" s="4" t="s">
        <v>1438</v>
      </c>
      <c r="K34" s="4" t="s">
        <v>1438</v>
      </c>
      <c r="L34" s="4" t="s">
        <v>1438</v>
      </c>
      <c r="M34" s="4"/>
      <c r="N34" s="4"/>
      <c r="O34" s="4"/>
      <c r="P34" s="4"/>
      <c r="Q34" s="4"/>
      <c r="R34" s="4"/>
      <c r="S34" s="4" t="s">
        <v>1632</v>
      </c>
      <c r="T34" s="4" t="s">
        <v>1633</v>
      </c>
      <c r="U34" s="4" t="s">
        <v>1634</v>
      </c>
      <c r="V34" s="4" t="s">
        <v>1435</v>
      </c>
      <c r="W34" s="4" t="s">
        <v>1635</v>
      </c>
      <c r="X34" s="4" t="s">
        <v>1443</v>
      </c>
      <c r="Y34" s="4" t="s">
        <v>1444</v>
      </c>
      <c r="Z34" s="4" t="s">
        <v>1444</v>
      </c>
      <c r="AA34" s="4" t="s">
        <v>1636</v>
      </c>
      <c r="AB34" s="4"/>
      <c r="AC34" s="4" t="s">
        <v>1444</v>
      </c>
      <c r="AD34" s="4" t="s">
        <v>1637</v>
      </c>
      <c r="AE34" s="8"/>
      <c r="AF34" s="4" t="s">
        <v>1638</v>
      </c>
      <c r="AG34" s="4" t="s">
        <v>1639</v>
      </c>
      <c r="AH34" s="14" t="s">
        <v>1640</v>
      </c>
      <c r="AI34" s="4"/>
      <c r="AJ34" s="4" t="s">
        <v>1641</v>
      </c>
      <c r="AK34" s="4" t="s">
        <v>1642</v>
      </c>
      <c r="AL34" s="4" t="s">
        <v>1637</v>
      </c>
      <c r="AM34" t="s">
        <v>1335</v>
      </c>
      <c r="AN34" s="4" t="s">
        <v>1307</v>
      </c>
      <c r="AO34" s="4"/>
      <c r="AP34" s="4"/>
      <c r="AQ34" s="4"/>
      <c r="AR34" s="4" t="s">
        <v>1643</v>
      </c>
      <c r="AS34" s="4" t="s">
        <v>1644</v>
      </c>
      <c r="AT34" s="4"/>
      <c r="AU34" s="4"/>
      <c r="AV34" s="4"/>
      <c r="AW34" s="8" t="s">
        <v>1435</v>
      </c>
      <c r="AX34" s="8" t="s">
        <v>1435</v>
      </c>
      <c r="AY34" s="8"/>
      <c r="AZ34" s="8"/>
      <c r="BA34" s="12">
        <v>46030</v>
      </c>
      <c r="BB34" s="8" t="s">
        <v>1435</v>
      </c>
      <c r="BC34" s="4" t="s">
        <v>1631</v>
      </c>
      <c r="BD34" s="4" t="s">
        <v>1403</v>
      </c>
      <c r="BE34" s="8" t="s">
        <v>1435</v>
      </c>
      <c r="BF34" s="8" t="s">
        <v>1435</v>
      </c>
      <c r="BG34" s="8" t="s">
        <v>1435</v>
      </c>
      <c r="BH34" s="8" t="s">
        <v>1435</v>
      </c>
      <c r="BI34" s="8"/>
      <c r="BJ34" s="8" t="s">
        <v>1435</v>
      </c>
      <c r="BK34" s="8" t="s">
        <v>1454</v>
      </c>
      <c r="BL34" s="4" t="str">
        <f t="shared" si="3"/>
        <v>Epic Beans Relay</v>
      </c>
      <c r="BM34" s="8" t="str">
        <f t="shared" si="4"/>
        <v>Blocked</v>
      </c>
      <c r="BP34" t="str">
        <f>IF($BO34="","",IFERROR(VLOOKUP($BO34,'01_Warehouse_Ledger'!$A:$N,4,FALSE),""))</f>
        <v/>
      </c>
      <c r="BQ34" t="str">
        <f>IF($BO34="","",IFERROR(VLOOKUP($BO34,'01_Warehouse_Ledger'!$A:$N,5,FALSE),""))</f>
        <v/>
      </c>
      <c r="BR34" t="str">
        <f>IF($BO34="","",IFERROR(VLOOKUP($BO34,'01_Warehouse_Ledger'!$A:$N,13,FALSE),""))</f>
        <v/>
      </c>
      <c r="BX34">
        <v>125200</v>
      </c>
    </row>
    <row r="35" spans="1:76">
      <c r="A35" s="8" t="s">
        <v>1645</v>
      </c>
      <c r="B35" s="8" t="s">
        <v>1435</v>
      </c>
      <c r="C35" s="15" t="s">
        <v>1454</v>
      </c>
      <c r="D35" s="15" t="str">
        <f t="shared" si="0"/>
        <v>Yes</v>
      </c>
      <c r="E35" s="15" t="str">
        <f t="shared" si="1"/>
        <v>No</v>
      </c>
      <c r="F35" t="str">
        <f t="shared" si="2"/>
        <v>No</v>
      </c>
      <c r="G35" s="4" t="s">
        <v>1631</v>
      </c>
      <c r="H35" s="4" t="s">
        <v>1631</v>
      </c>
      <c r="I35" s="4" t="s">
        <v>1646</v>
      </c>
      <c r="J35" s="4"/>
      <c r="K35" s="4"/>
      <c r="L35" s="4"/>
      <c r="M35" s="4"/>
      <c r="N35" s="4"/>
      <c r="O35" s="4"/>
      <c r="P35" s="4"/>
      <c r="Q35" s="4"/>
      <c r="R35" s="4" t="s">
        <v>1647</v>
      </c>
      <c r="S35" s="4" t="s">
        <v>1444</v>
      </c>
      <c r="T35" s="4" t="s">
        <v>1444</v>
      </c>
      <c r="U35" s="4" t="s">
        <v>1444</v>
      </c>
      <c r="V35" s="4" t="s">
        <v>1444</v>
      </c>
      <c r="W35" s="4" t="s">
        <v>1444</v>
      </c>
      <c r="X35" s="4" t="s">
        <v>1444</v>
      </c>
      <c r="Y35" s="4" t="s">
        <v>1648</v>
      </c>
      <c r="Z35" s="4" t="s">
        <v>1649</v>
      </c>
      <c r="AA35" s="4" t="s">
        <v>1636</v>
      </c>
      <c r="AB35" s="4"/>
      <c r="AC35" s="4" t="s">
        <v>1444</v>
      </c>
      <c r="AD35" s="4" t="s">
        <v>1650</v>
      </c>
      <c r="AE35" s="8"/>
      <c r="AF35" s="4" t="s">
        <v>1638</v>
      </c>
      <c r="AG35" s="4" t="s">
        <v>1639</v>
      </c>
      <c r="AH35" s="14" t="s">
        <v>1640</v>
      </c>
      <c r="AI35" s="4"/>
      <c r="AJ35" s="4" t="s">
        <v>1641</v>
      </c>
      <c r="AK35" s="4" t="s">
        <v>1642</v>
      </c>
      <c r="AL35" s="4" t="s">
        <v>1650</v>
      </c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8" t="s">
        <v>1435</v>
      </c>
      <c r="AX35" s="8" t="s">
        <v>1435</v>
      </c>
      <c r="AY35" s="8" t="s">
        <v>1435</v>
      </c>
      <c r="AZ35" s="8"/>
      <c r="BA35" s="12">
        <v>46030</v>
      </c>
      <c r="BB35" s="8" t="s">
        <v>1435</v>
      </c>
      <c r="BC35" s="4" t="s">
        <v>1631</v>
      </c>
      <c r="BD35" s="4" t="s">
        <v>1403</v>
      </c>
      <c r="BE35" s="8" t="s">
        <v>1435</v>
      </c>
      <c r="BF35" s="8" t="s">
        <v>1435</v>
      </c>
      <c r="BG35" s="8" t="s">
        <v>1435</v>
      </c>
      <c r="BH35" s="8" t="s">
        <v>1435</v>
      </c>
      <c r="BI35" s="8"/>
      <c r="BJ35" s="8" t="s">
        <v>1435</v>
      </c>
      <c r="BK35" s="8"/>
      <c r="BL35" s="4" t="str">
        <f t="shared" si="3"/>
        <v>Epic Beans Relay</v>
      </c>
      <c r="BM35" s="8" t="str">
        <f t="shared" si="4"/>
        <v>Blocked</v>
      </c>
      <c r="BP35" t="str">
        <f>IF($BO35="","",IFERROR(VLOOKUP($BO35,'01_Warehouse_Ledger'!$A:$N,4,FALSE),""))</f>
        <v/>
      </c>
      <c r="BQ35" t="str">
        <f>IF($BO35="","",IFERROR(VLOOKUP($BO35,'01_Warehouse_Ledger'!$A:$N,5,FALSE),""))</f>
        <v/>
      </c>
      <c r="BR35" t="str">
        <f>IF($BO35="","",IFERROR(VLOOKUP($BO35,'01_Warehouse_Ledger'!$A:$N,13,FALSE),""))</f>
        <v/>
      </c>
    </row>
    <row r="36" spans="1:76" ht="30.75" customHeight="1">
      <c r="A36" s="8" t="s">
        <v>1331</v>
      </c>
      <c r="B36" s="8" t="s">
        <v>1454</v>
      </c>
      <c r="C36" s="15" t="s">
        <v>1454</v>
      </c>
      <c r="D36" s="15" t="str">
        <f t="shared" si="0"/>
        <v/>
      </c>
      <c r="E36" s="15" t="str">
        <f t="shared" si="1"/>
        <v>Yes</v>
      </c>
      <c r="F36" t="str">
        <f t="shared" si="2"/>
        <v/>
      </c>
      <c r="G36" s="4" t="s">
        <v>1317</v>
      </c>
      <c r="H36" s="4" t="s">
        <v>1651</v>
      </c>
      <c r="I36" s="4"/>
      <c r="J36" s="4" t="s">
        <v>1438</v>
      </c>
      <c r="K36" s="4" t="s">
        <v>1438</v>
      </c>
      <c r="L36" s="4" t="s">
        <v>1438</v>
      </c>
      <c r="M36" s="4"/>
      <c r="N36" s="4"/>
      <c r="O36" s="4"/>
      <c r="P36" s="4"/>
      <c r="Q36" s="4"/>
      <c r="R36" s="4"/>
      <c r="S36" s="4" t="s">
        <v>1652</v>
      </c>
      <c r="T36" s="4" t="s">
        <v>1619</v>
      </c>
      <c r="U36" s="4"/>
      <c r="V36" s="4"/>
      <c r="W36" s="4" t="s">
        <v>1621</v>
      </c>
      <c r="X36" s="4"/>
      <c r="Y36" s="4"/>
      <c r="Z36" s="4"/>
      <c r="AA36" s="4"/>
      <c r="AB36" s="4"/>
      <c r="AC36" s="4"/>
      <c r="AD36" s="4"/>
      <c r="AE36" s="8"/>
      <c r="AF36" s="4"/>
      <c r="AG36" s="4"/>
      <c r="AH36" s="1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8"/>
      <c r="AX36" s="8"/>
      <c r="AY36" s="8"/>
      <c r="AZ36" s="8"/>
      <c r="BA36" s="12"/>
      <c r="BB36" s="8"/>
      <c r="BC36" s="4"/>
      <c r="BD36" s="4" t="s">
        <v>1653</v>
      </c>
      <c r="BE36" s="8"/>
      <c r="BF36" s="8"/>
      <c r="BG36" s="8"/>
      <c r="BH36" s="8"/>
      <c r="BI36" s="8"/>
      <c r="BJ36" s="8"/>
      <c r="BK36" s="8"/>
      <c r="BL36" s="4" t="str">
        <f t="shared" si="3"/>
        <v>Power Cable, Battery, Firmware Download, Device ID, Epic Beans Relay</v>
      </c>
      <c r="BM36" s="8" t="str">
        <f t="shared" si="4"/>
        <v>Blocked</v>
      </c>
      <c r="BP36" t="str">
        <f>IF($BO36="","",IFERROR(VLOOKUP($BO36,'01_Warehouse_Ledger'!$A:$N,4,FALSE),""))</f>
        <v/>
      </c>
      <c r="BQ36" t="str">
        <f>IF($BO36="","",IFERROR(VLOOKUP($BO36,'01_Warehouse_Ledger'!$A:$N,5,FALSE),""))</f>
        <v/>
      </c>
      <c r="BR36" t="str">
        <f>IF($BO36="","",IFERROR(VLOOKUP($BO36,'01_Warehouse_Ledger'!$A:$N,13,FALSE),""))</f>
        <v/>
      </c>
    </row>
    <row r="37" spans="1:76" ht="30.75" customHeight="1">
      <c r="A37" s="8" t="s">
        <v>1331</v>
      </c>
      <c r="B37" s="8" t="s">
        <v>1454</v>
      </c>
      <c r="C37" s="15" t="s">
        <v>1454</v>
      </c>
      <c r="D37" s="15" t="str">
        <f t="shared" si="0"/>
        <v/>
      </c>
      <c r="E37" s="15" t="str">
        <f t="shared" si="1"/>
        <v>No</v>
      </c>
      <c r="F37" t="str">
        <f t="shared" si="2"/>
        <v/>
      </c>
      <c r="G37" s="4" t="s">
        <v>1317</v>
      </c>
      <c r="H37" s="4" t="s">
        <v>1651</v>
      </c>
      <c r="I37" s="4"/>
      <c r="J37" s="4" t="s">
        <v>1438</v>
      </c>
      <c r="K37" s="4" t="s">
        <v>1438</v>
      </c>
      <c r="L37" s="4" t="s">
        <v>1438</v>
      </c>
      <c r="M37" s="4"/>
      <c r="N37" s="4"/>
      <c r="O37" s="4"/>
      <c r="P37" s="4"/>
      <c r="Q37" s="4"/>
      <c r="R37" s="4"/>
      <c r="S37" s="4" t="s">
        <v>1654</v>
      </c>
      <c r="T37" s="4" t="s">
        <v>1655</v>
      </c>
      <c r="U37" s="4"/>
      <c r="V37" s="4"/>
      <c r="W37" s="4" t="s">
        <v>1656</v>
      </c>
      <c r="X37" s="4"/>
      <c r="Y37" s="4"/>
      <c r="Z37" s="4"/>
      <c r="AA37" s="4"/>
      <c r="AB37" s="4"/>
      <c r="AC37" s="4"/>
      <c r="AD37" s="4"/>
      <c r="AE37" s="8"/>
      <c r="AF37" s="4"/>
      <c r="AG37" s="4"/>
      <c r="AH37" s="1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8"/>
      <c r="AX37" s="8"/>
      <c r="AY37" s="8"/>
      <c r="AZ37" s="8"/>
      <c r="BA37" s="12"/>
      <c r="BB37" s="8"/>
      <c r="BC37" s="4"/>
      <c r="BD37" s="4" t="s">
        <v>1653</v>
      </c>
      <c r="BE37" s="8"/>
      <c r="BF37" s="8"/>
      <c r="BG37" s="8"/>
      <c r="BH37" s="8"/>
      <c r="BI37" s="8"/>
      <c r="BJ37" s="8"/>
      <c r="BK37" s="8"/>
      <c r="BL37" s="4" t="str">
        <f t="shared" si="3"/>
        <v>Power Cable, Battery, Firmware Download, Device ID, Epic Beans Relay</v>
      </c>
      <c r="BM37" s="8" t="str">
        <f t="shared" si="4"/>
        <v>Blocked</v>
      </c>
      <c r="BP37" t="str">
        <f>IF($BO37="","",IFERROR(VLOOKUP($BO37,'01_Warehouse_Ledger'!$A:$N,4,FALSE),""))</f>
        <v/>
      </c>
      <c r="BQ37" t="str">
        <f>IF($BO37="","",IFERROR(VLOOKUP($BO37,'01_Warehouse_Ledger'!$A:$N,5,FALSE),""))</f>
        <v/>
      </c>
      <c r="BR37" t="str">
        <f>IF($BO37="","",IFERROR(VLOOKUP($BO37,'01_Warehouse_Ledger'!$A:$N,13,FALSE),""))</f>
        <v/>
      </c>
    </row>
    <row r="38" spans="1:76" ht="30.75" customHeight="1">
      <c r="A38" s="8" t="s">
        <v>1331</v>
      </c>
      <c r="B38" s="8" t="s">
        <v>1454</v>
      </c>
      <c r="C38" s="15" t="s">
        <v>1454</v>
      </c>
      <c r="D38" s="15" t="str">
        <f t="shared" si="0"/>
        <v/>
      </c>
      <c r="E38" s="15" t="str">
        <f t="shared" si="1"/>
        <v>No</v>
      </c>
      <c r="F38" t="str">
        <f t="shared" si="2"/>
        <v/>
      </c>
      <c r="G38" s="4" t="s">
        <v>1317</v>
      </c>
      <c r="H38" s="4" t="s">
        <v>1651</v>
      </c>
      <c r="I38" s="4"/>
      <c r="J38" s="4" t="s">
        <v>1438</v>
      </c>
      <c r="K38" s="4" t="s">
        <v>1438</v>
      </c>
      <c r="L38" s="4" t="s">
        <v>1438</v>
      </c>
      <c r="M38" s="4"/>
      <c r="N38" s="4"/>
      <c r="O38" s="4"/>
      <c r="P38" s="4"/>
      <c r="Q38" s="4"/>
      <c r="R38" s="4"/>
      <c r="S38" s="4" t="s">
        <v>1657</v>
      </c>
      <c r="T38" s="4" t="s">
        <v>1658</v>
      </c>
      <c r="U38" s="4"/>
      <c r="V38" s="4"/>
      <c r="W38" s="4" t="s">
        <v>1659</v>
      </c>
      <c r="X38" s="4"/>
      <c r="Y38" s="4"/>
      <c r="Z38" s="4"/>
      <c r="AA38" s="4"/>
      <c r="AB38" s="4"/>
      <c r="AC38" s="4"/>
      <c r="AD38" s="4"/>
      <c r="AE38" s="8"/>
      <c r="AF38" s="4"/>
      <c r="AG38" s="4"/>
      <c r="AH38" s="1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8"/>
      <c r="AX38" s="8"/>
      <c r="AY38" s="8"/>
      <c r="AZ38" s="8"/>
      <c r="BA38" s="12"/>
      <c r="BB38" s="8"/>
      <c r="BC38" s="4"/>
      <c r="BD38" s="4" t="s">
        <v>1653</v>
      </c>
      <c r="BE38" s="8"/>
      <c r="BF38" s="8"/>
      <c r="BG38" s="8"/>
      <c r="BH38" s="8"/>
      <c r="BI38" s="8"/>
      <c r="BJ38" s="8"/>
      <c r="BK38" s="8"/>
      <c r="BL38" s="4" t="str">
        <f t="shared" si="3"/>
        <v>Power Cable, Battery, Firmware Download, Device ID, Epic Beans Relay</v>
      </c>
      <c r="BM38" s="8" t="str">
        <f t="shared" si="4"/>
        <v>Blocked</v>
      </c>
      <c r="BP38" t="str">
        <f>IF($BO38="","",IFERROR(VLOOKUP($BO38,'01_Warehouse_Ledger'!$A:$N,4,FALSE),""))</f>
        <v/>
      </c>
      <c r="BQ38" t="str">
        <f>IF($BO38="","",IFERROR(VLOOKUP($BO38,'01_Warehouse_Ledger'!$A:$N,5,FALSE),""))</f>
        <v/>
      </c>
      <c r="BR38" t="str">
        <f>IF($BO38="","",IFERROR(VLOOKUP($BO38,'01_Warehouse_Ledger'!$A:$N,13,FALSE),""))</f>
        <v/>
      </c>
    </row>
    <row r="39" spans="1:76" ht="30.75" customHeight="1">
      <c r="A39" s="8" t="s">
        <v>1331</v>
      </c>
      <c r="B39" s="8" t="s">
        <v>1454</v>
      </c>
      <c r="C39" s="15" t="s">
        <v>1454</v>
      </c>
      <c r="D39" s="15" t="str">
        <f t="shared" si="0"/>
        <v/>
      </c>
      <c r="E39" s="15" t="str">
        <f t="shared" si="1"/>
        <v>No</v>
      </c>
      <c r="F39" t="str">
        <f t="shared" si="2"/>
        <v/>
      </c>
      <c r="G39" s="4" t="s">
        <v>1317</v>
      </c>
      <c r="H39" s="4" t="s">
        <v>1660</v>
      </c>
      <c r="I39" s="4"/>
      <c r="J39" s="4" t="s">
        <v>1438</v>
      </c>
      <c r="K39" s="4" t="s">
        <v>1438</v>
      </c>
      <c r="L39" s="4" t="s">
        <v>1438</v>
      </c>
      <c r="M39" s="4"/>
      <c r="N39" s="4"/>
      <c r="O39" s="4"/>
      <c r="P39" s="4"/>
      <c r="Q39" s="4"/>
      <c r="R39" s="19"/>
      <c r="S39" s="19" t="s">
        <v>1661</v>
      </c>
      <c r="T39" s="4" t="s">
        <v>1662</v>
      </c>
      <c r="U39" s="4"/>
      <c r="V39" s="4"/>
      <c r="W39" s="4" t="s">
        <v>1663</v>
      </c>
      <c r="X39" s="4"/>
      <c r="Y39" s="4"/>
      <c r="Z39" s="4"/>
      <c r="AA39" s="4"/>
      <c r="AB39" s="4"/>
      <c r="AC39" s="4"/>
      <c r="AD39" s="4"/>
      <c r="AE39" s="8"/>
      <c r="AF39" s="4"/>
      <c r="AG39" s="4"/>
      <c r="AH39" s="1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8"/>
      <c r="AX39" s="8"/>
      <c r="AY39" s="8"/>
      <c r="AZ39" s="8"/>
      <c r="BA39" s="12"/>
      <c r="BB39" s="8"/>
      <c r="BC39" s="4"/>
      <c r="BD39" s="4" t="s">
        <v>1653</v>
      </c>
      <c r="BE39" s="8"/>
      <c r="BF39" s="8"/>
      <c r="BG39" s="8"/>
      <c r="BH39" s="8"/>
      <c r="BI39" s="8"/>
      <c r="BJ39" s="8"/>
      <c r="BK39" s="8"/>
      <c r="BL39" s="4" t="str">
        <f t="shared" si="3"/>
        <v>Power Cable, Battery, Firmware Download, Device ID, Epic Beans Relay</v>
      </c>
      <c r="BM39" s="8" t="str">
        <f t="shared" si="4"/>
        <v>Blocked</v>
      </c>
      <c r="BP39" t="str">
        <f>IF($BO39="","",IFERROR(VLOOKUP($BO39,'01_Warehouse_Ledger'!$A:$N,4,FALSE),""))</f>
        <v/>
      </c>
      <c r="BQ39" t="str">
        <f>IF($BO39="","",IFERROR(VLOOKUP($BO39,'01_Warehouse_Ledger'!$A:$N,5,FALSE),""))</f>
        <v/>
      </c>
      <c r="BR39" t="str">
        <f>IF($BO39="","",IFERROR(VLOOKUP($BO39,'01_Warehouse_Ledger'!$A:$N,13,FALSE),""))</f>
        <v/>
      </c>
    </row>
    <row r="40" spans="1:76" ht="30.75" customHeight="1">
      <c r="A40" s="8" t="s">
        <v>1331</v>
      </c>
      <c r="B40" s="8" t="s">
        <v>1454</v>
      </c>
      <c r="C40" s="15" t="s">
        <v>1454</v>
      </c>
      <c r="D40" s="15" t="str">
        <f t="shared" si="0"/>
        <v/>
      </c>
      <c r="E40" s="15" t="str">
        <f t="shared" si="1"/>
        <v>No</v>
      </c>
      <c r="F40" t="str">
        <f t="shared" si="2"/>
        <v/>
      </c>
      <c r="G40" s="4" t="s">
        <v>1317</v>
      </c>
      <c r="H40" s="4" t="s">
        <v>1660</v>
      </c>
      <c r="I40" s="4"/>
      <c r="J40" s="4" t="s">
        <v>1438</v>
      </c>
      <c r="K40" s="4" t="s">
        <v>1438</v>
      </c>
      <c r="L40" s="4" t="s">
        <v>1438</v>
      </c>
      <c r="M40" s="4"/>
      <c r="N40" s="4"/>
      <c r="O40" s="4"/>
      <c r="P40" s="4"/>
      <c r="Q40" s="4"/>
      <c r="R40" s="19"/>
      <c r="S40" s="19" t="s">
        <v>1664</v>
      </c>
      <c r="T40" s="4" t="s">
        <v>1665</v>
      </c>
      <c r="U40" s="4"/>
      <c r="V40" s="4"/>
      <c r="W40" s="4" t="s">
        <v>1666</v>
      </c>
      <c r="X40" s="4"/>
      <c r="Y40" s="4"/>
      <c r="Z40" s="4"/>
      <c r="AA40" s="4"/>
      <c r="AB40" s="4"/>
      <c r="AC40" s="4"/>
      <c r="AD40" s="4"/>
      <c r="AE40" s="8"/>
      <c r="AF40" s="4"/>
      <c r="AG40" s="4"/>
      <c r="AH40" s="1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8"/>
      <c r="AX40" s="8"/>
      <c r="AY40" s="8"/>
      <c r="AZ40" s="8"/>
      <c r="BA40" s="12"/>
      <c r="BB40" s="8"/>
      <c r="BC40" s="4"/>
      <c r="BD40" s="4" t="s">
        <v>1653</v>
      </c>
      <c r="BE40" s="8"/>
      <c r="BF40" s="8"/>
      <c r="BG40" s="8"/>
      <c r="BH40" s="8"/>
      <c r="BI40" s="8"/>
      <c r="BJ40" s="8"/>
      <c r="BK40" s="8"/>
      <c r="BL40" s="4" t="str">
        <f t="shared" si="3"/>
        <v>Power Cable, Battery, Firmware Download, Device ID, Epic Beans Relay</v>
      </c>
      <c r="BM40" s="8" t="str">
        <f t="shared" si="4"/>
        <v>Blocked</v>
      </c>
      <c r="BP40" t="str">
        <f>IF($BO40="","",IFERROR(VLOOKUP($BO40,'01_Warehouse_Ledger'!$A:$N,4,FALSE),""))</f>
        <v/>
      </c>
      <c r="BQ40" t="str">
        <f>IF($BO40="","",IFERROR(VLOOKUP($BO40,'01_Warehouse_Ledger'!$A:$N,5,FALSE),""))</f>
        <v/>
      </c>
      <c r="BR40" t="str">
        <f>IF($BO40="","",IFERROR(VLOOKUP($BO40,'01_Warehouse_Ledger'!$A:$N,13,FALSE),""))</f>
        <v/>
      </c>
    </row>
    <row r="41" spans="1:76" ht="30.75" customHeight="1">
      <c r="A41" s="8" t="s">
        <v>1331</v>
      </c>
      <c r="B41" s="8" t="s">
        <v>1454</v>
      </c>
      <c r="C41" s="15" t="s">
        <v>1454</v>
      </c>
      <c r="D41" s="15" t="str">
        <f t="shared" si="0"/>
        <v/>
      </c>
      <c r="E41" s="15" t="str">
        <f t="shared" si="1"/>
        <v>No</v>
      </c>
      <c r="F41" t="str">
        <f t="shared" si="2"/>
        <v/>
      </c>
      <c r="G41" s="4" t="s">
        <v>1317</v>
      </c>
      <c r="H41" s="4" t="s">
        <v>1660</v>
      </c>
      <c r="I41" s="4"/>
      <c r="J41" s="4" t="s">
        <v>1438</v>
      </c>
      <c r="K41" s="4" t="s">
        <v>1438</v>
      </c>
      <c r="L41" s="4" t="s">
        <v>1438</v>
      </c>
      <c r="M41" s="4"/>
      <c r="N41" s="4"/>
      <c r="O41" s="4"/>
      <c r="P41" s="4"/>
      <c r="Q41" s="4"/>
      <c r="R41" s="4"/>
      <c r="S41" s="4" t="s">
        <v>1667</v>
      </c>
      <c r="T41" s="4" t="s">
        <v>1668</v>
      </c>
      <c r="U41" s="4"/>
      <c r="V41" s="4"/>
      <c r="W41" s="4" t="s">
        <v>1669</v>
      </c>
      <c r="X41" s="4"/>
      <c r="Y41" s="4"/>
      <c r="Z41" s="4"/>
      <c r="AA41" s="4"/>
      <c r="AB41" s="4"/>
      <c r="AC41" s="4"/>
      <c r="AD41" s="4"/>
      <c r="AE41" s="8"/>
      <c r="AF41" s="4"/>
      <c r="AG41" s="4"/>
      <c r="AH41" s="1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8"/>
      <c r="AX41" s="8"/>
      <c r="AY41" s="8"/>
      <c r="AZ41" s="8"/>
      <c r="BA41" s="12"/>
      <c r="BB41" s="8"/>
      <c r="BC41" s="4"/>
      <c r="BD41" s="4" t="s">
        <v>1653</v>
      </c>
      <c r="BE41" s="8"/>
      <c r="BF41" s="8"/>
      <c r="BG41" s="8"/>
      <c r="BH41" s="8"/>
      <c r="BI41" s="8"/>
      <c r="BJ41" s="8"/>
      <c r="BK41" s="8"/>
      <c r="BL41" s="4" t="str">
        <f t="shared" si="3"/>
        <v>Power Cable, Battery, Firmware Download, Device ID, Epic Beans Relay</v>
      </c>
      <c r="BM41" s="8" t="str">
        <f t="shared" si="4"/>
        <v>Blocked</v>
      </c>
      <c r="BP41" t="str">
        <f>IF($BO41="","",IFERROR(VLOOKUP($BO41,'01_Warehouse_Ledger'!$A:$N,4,FALSE),""))</f>
        <v/>
      </c>
      <c r="BQ41" t="str">
        <f>IF($BO41="","",IFERROR(VLOOKUP($BO41,'01_Warehouse_Ledger'!$A:$N,5,FALSE),""))</f>
        <v/>
      </c>
      <c r="BR41" t="str">
        <f>IF($BO41="","",IFERROR(VLOOKUP($BO41,'01_Warehouse_Ledger'!$A:$N,13,FALSE),""))</f>
        <v/>
      </c>
    </row>
    <row r="42" spans="1:76" ht="30.75" customHeight="1">
      <c r="A42" s="8" t="s">
        <v>1331</v>
      </c>
      <c r="B42" s="8" t="s">
        <v>1454</v>
      </c>
      <c r="C42" s="15" t="s">
        <v>1454</v>
      </c>
      <c r="D42" s="15" t="str">
        <f t="shared" si="0"/>
        <v/>
      </c>
      <c r="E42" s="15" t="str">
        <f t="shared" si="1"/>
        <v>No</v>
      </c>
      <c r="F42" t="str">
        <f t="shared" si="2"/>
        <v/>
      </c>
      <c r="G42" s="4" t="s">
        <v>1317</v>
      </c>
      <c r="H42" s="4" t="s">
        <v>1670</v>
      </c>
      <c r="I42" s="4"/>
      <c r="J42" s="4" t="s">
        <v>1438</v>
      </c>
      <c r="K42" s="4" t="s">
        <v>1438</v>
      </c>
      <c r="L42" s="4" t="s">
        <v>1438</v>
      </c>
      <c r="M42" s="4"/>
      <c r="N42" s="4"/>
      <c r="O42" s="4"/>
      <c r="P42" s="4"/>
      <c r="Q42" s="4"/>
      <c r="R42" s="4"/>
      <c r="S42" s="4" t="s">
        <v>1671</v>
      </c>
      <c r="T42" s="4" t="s">
        <v>1672</v>
      </c>
      <c r="U42" s="4"/>
      <c r="V42" s="4"/>
      <c r="W42" s="4" t="s">
        <v>1673</v>
      </c>
      <c r="X42" s="4"/>
      <c r="Y42" s="4"/>
      <c r="Z42" s="4"/>
      <c r="AA42" s="4"/>
      <c r="AB42" s="4"/>
      <c r="AC42" s="4"/>
      <c r="AD42" s="4"/>
      <c r="AE42" s="8"/>
      <c r="AF42" s="4"/>
      <c r="AG42" s="4"/>
      <c r="AH42" s="1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8"/>
      <c r="AX42" s="8"/>
      <c r="AY42" s="8"/>
      <c r="AZ42" s="8"/>
      <c r="BA42" s="12"/>
      <c r="BB42" s="8"/>
      <c r="BC42" s="4"/>
      <c r="BD42" s="4" t="s">
        <v>1653</v>
      </c>
      <c r="BE42" s="8"/>
      <c r="BF42" s="8"/>
      <c r="BG42" s="8"/>
      <c r="BH42" s="8"/>
      <c r="BI42" s="8"/>
      <c r="BJ42" s="8"/>
      <c r="BK42" s="8"/>
      <c r="BL42" s="4" t="str">
        <f t="shared" si="3"/>
        <v>Power Cable, Battery, Firmware Download, Device ID, Epic Beans Relay</v>
      </c>
      <c r="BM42" s="8" t="str">
        <f t="shared" si="4"/>
        <v>Blocked</v>
      </c>
      <c r="BP42" t="str">
        <f>IF($BO42="","",IFERROR(VLOOKUP($BO42,'01_Warehouse_Ledger'!$A:$N,4,FALSE),""))</f>
        <v/>
      </c>
      <c r="BQ42" t="str">
        <f>IF($BO42="","",IFERROR(VLOOKUP($BO42,'01_Warehouse_Ledger'!$A:$N,5,FALSE),""))</f>
        <v/>
      </c>
      <c r="BR42" t="str">
        <f>IF($BO42="","",IFERROR(VLOOKUP($BO42,'01_Warehouse_Ledger'!$A:$N,13,FALSE),""))</f>
        <v/>
      </c>
    </row>
    <row r="43" spans="1:76" ht="30.75" customHeight="1">
      <c r="A43" s="8" t="s">
        <v>1331</v>
      </c>
      <c r="B43" s="8" t="s">
        <v>1454</v>
      </c>
      <c r="C43" s="15" t="s">
        <v>1454</v>
      </c>
      <c r="D43" s="15" t="str">
        <f t="shared" si="0"/>
        <v/>
      </c>
      <c r="E43" s="15" t="str">
        <f t="shared" si="1"/>
        <v>No</v>
      </c>
      <c r="F43" t="str">
        <f t="shared" si="2"/>
        <v/>
      </c>
      <c r="G43" s="4" t="s">
        <v>1317</v>
      </c>
      <c r="H43" s="4" t="s">
        <v>1674</v>
      </c>
      <c r="I43" s="4"/>
      <c r="J43" s="4" t="s">
        <v>1438</v>
      </c>
      <c r="K43" s="4" t="s">
        <v>1438</v>
      </c>
      <c r="L43" s="4" t="s">
        <v>1438</v>
      </c>
      <c r="M43" s="4"/>
      <c r="N43" s="4"/>
      <c r="O43" s="4"/>
      <c r="P43" s="4"/>
      <c r="Q43" s="4"/>
      <c r="R43" s="4"/>
      <c r="S43" s="4" t="s">
        <v>1675</v>
      </c>
      <c r="T43" s="4" t="s">
        <v>1676</v>
      </c>
      <c r="U43" s="4"/>
      <c r="V43" s="4"/>
      <c r="W43" s="4" t="s">
        <v>1677</v>
      </c>
      <c r="X43" s="4"/>
      <c r="Y43" s="4"/>
      <c r="Z43" s="4"/>
      <c r="AA43" s="4"/>
      <c r="AB43" s="4"/>
      <c r="AC43" s="4"/>
      <c r="AD43" s="4"/>
      <c r="AE43" s="8"/>
      <c r="AF43" s="4"/>
      <c r="AG43" s="4"/>
      <c r="AH43" s="1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8"/>
      <c r="AX43" s="8"/>
      <c r="AY43" s="8"/>
      <c r="AZ43" s="8"/>
      <c r="BA43" s="12"/>
      <c r="BB43" s="8"/>
      <c r="BC43" s="4"/>
      <c r="BD43" s="4" t="s">
        <v>1653</v>
      </c>
      <c r="BE43" s="8"/>
      <c r="BF43" s="8"/>
      <c r="BG43" s="8"/>
      <c r="BH43" s="8"/>
      <c r="BI43" s="8"/>
      <c r="BJ43" s="8"/>
      <c r="BK43" s="8"/>
      <c r="BL43" s="4" t="str">
        <f t="shared" si="3"/>
        <v>Power Cable, Battery, Firmware Download, Device ID, Epic Beans Relay</v>
      </c>
      <c r="BM43" s="8" t="str">
        <f t="shared" si="4"/>
        <v>Blocked</v>
      </c>
      <c r="BP43" t="str">
        <f>IF($BO43="","",IFERROR(VLOOKUP($BO43,'01_Warehouse_Ledger'!$A:$N,4,FALSE),""))</f>
        <v/>
      </c>
      <c r="BQ43" t="str">
        <f>IF($BO43="","",IFERROR(VLOOKUP($BO43,'01_Warehouse_Ledger'!$A:$N,5,FALSE),""))</f>
        <v/>
      </c>
      <c r="BR43" t="str">
        <f>IF($BO43="","",IFERROR(VLOOKUP($BO43,'01_Warehouse_Ledger'!$A:$N,13,FALSE),""))</f>
        <v/>
      </c>
    </row>
    <row r="44" spans="1:76" ht="30.75" customHeight="1">
      <c r="A44" s="8" t="s">
        <v>1331</v>
      </c>
      <c r="B44" s="8" t="s">
        <v>1454</v>
      </c>
      <c r="C44" s="15" t="s">
        <v>1454</v>
      </c>
      <c r="D44" s="15" t="str">
        <f t="shared" si="0"/>
        <v/>
      </c>
      <c r="E44" s="15" t="str">
        <f t="shared" si="1"/>
        <v>No</v>
      </c>
      <c r="F44" t="str">
        <f t="shared" si="2"/>
        <v/>
      </c>
      <c r="G44" s="4" t="s">
        <v>1317</v>
      </c>
      <c r="H44" s="4" t="s">
        <v>1674</v>
      </c>
      <c r="I44" s="4"/>
      <c r="J44" s="4" t="s">
        <v>1438</v>
      </c>
      <c r="K44" s="4" t="s">
        <v>1438</v>
      </c>
      <c r="L44" s="4" t="s">
        <v>1438</v>
      </c>
      <c r="M44" s="4"/>
      <c r="N44" s="4"/>
      <c r="O44" s="4"/>
      <c r="P44" s="4"/>
      <c r="Q44" s="4"/>
      <c r="R44" s="4"/>
      <c r="S44" s="4" t="s">
        <v>1678</v>
      </c>
      <c r="T44" s="4" t="s">
        <v>1679</v>
      </c>
      <c r="U44" s="4"/>
      <c r="V44" s="4"/>
      <c r="W44" s="4" t="s">
        <v>1680</v>
      </c>
      <c r="X44" s="4"/>
      <c r="Y44" s="4"/>
      <c r="Z44" s="4"/>
      <c r="AA44" s="4"/>
      <c r="AB44" s="4"/>
      <c r="AC44" s="4"/>
      <c r="AD44" s="4"/>
      <c r="AE44" s="8"/>
      <c r="AF44" s="4"/>
      <c r="AG44" s="4"/>
      <c r="AH44" s="1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8"/>
      <c r="AX44" s="8"/>
      <c r="AY44" s="8"/>
      <c r="AZ44" s="8"/>
      <c r="BA44" s="12"/>
      <c r="BB44" s="8"/>
      <c r="BC44" s="4"/>
      <c r="BD44" s="4" t="s">
        <v>1653</v>
      </c>
      <c r="BE44" s="8"/>
      <c r="BF44" s="8"/>
      <c r="BG44" s="8"/>
      <c r="BH44" s="8"/>
      <c r="BI44" s="8"/>
      <c r="BJ44" s="8"/>
      <c r="BK44" s="8"/>
      <c r="BL44" s="4" t="str">
        <f t="shared" si="3"/>
        <v>Power Cable, Battery, Firmware Download, Device ID, Epic Beans Relay</v>
      </c>
      <c r="BM44" s="8" t="str">
        <f t="shared" si="4"/>
        <v>Blocked</v>
      </c>
      <c r="BP44" t="str">
        <f>IF($BO44="","",IFERROR(VLOOKUP($BO44,'01_Warehouse_Ledger'!$A:$N,4,FALSE),""))</f>
        <v/>
      </c>
      <c r="BQ44" t="str">
        <f>IF($BO44="","",IFERROR(VLOOKUP($BO44,'01_Warehouse_Ledger'!$A:$N,5,FALSE),""))</f>
        <v/>
      </c>
      <c r="BR44" t="str">
        <f>IF($BO44="","",IFERROR(VLOOKUP($BO44,'01_Warehouse_Ledger'!$A:$N,13,FALSE),""))</f>
        <v/>
      </c>
    </row>
    <row r="45" spans="1:76" ht="30.75" customHeight="1">
      <c r="A45" s="8" t="s">
        <v>1331</v>
      </c>
      <c r="B45" s="8" t="s">
        <v>1454</v>
      </c>
      <c r="C45" s="15" t="s">
        <v>1454</v>
      </c>
      <c r="D45" s="15" t="str">
        <f t="shared" si="0"/>
        <v/>
      </c>
      <c r="E45" s="15" t="str">
        <f t="shared" si="1"/>
        <v>No</v>
      </c>
      <c r="F45" t="str">
        <f t="shared" si="2"/>
        <v/>
      </c>
      <c r="G45" s="4" t="s">
        <v>1317</v>
      </c>
      <c r="H45" s="4" t="s">
        <v>1674</v>
      </c>
      <c r="I45" s="4"/>
      <c r="J45" s="4" t="s">
        <v>1438</v>
      </c>
      <c r="K45" s="4" t="s">
        <v>1438</v>
      </c>
      <c r="L45" s="4" t="s">
        <v>1438</v>
      </c>
      <c r="M45" s="4"/>
      <c r="N45" s="4"/>
      <c r="O45" s="4"/>
      <c r="P45" s="4"/>
      <c r="Q45" s="4"/>
      <c r="R45" s="4"/>
      <c r="S45" s="4" t="s">
        <v>1681</v>
      </c>
      <c r="T45" s="4" t="s">
        <v>1682</v>
      </c>
      <c r="U45" s="4"/>
      <c r="V45" s="4"/>
      <c r="W45" s="4" t="s">
        <v>1683</v>
      </c>
      <c r="X45" s="4"/>
      <c r="Y45" s="4"/>
      <c r="Z45" s="4"/>
      <c r="AA45" s="4"/>
      <c r="AB45" s="4"/>
      <c r="AC45" s="4"/>
      <c r="AD45" s="4"/>
      <c r="AE45" s="8"/>
      <c r="AF45" s="4"/>
      <c r="AG45" s="4"/>
      <c r="AH45" s="1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8"/>
      <c r="AX45" s="8"/>
      <c r="AY45" s="8"/>
      <c r="AZ45" s="8"/>
      <c r="BA45" s="12"/>
      <c r="BB45" s="8"/>
      <c r="BC45" s="4"/>
      <c r="BD45" s="4" t="s">
        <v>1653</v>
      </c>
      <c r="BE45" s="8"/>
      <c r="BF45" s="8"/>
      <c r="BG45" s="8"/>
      <c r="BH45" s="8"/>
      <c r="BI45" s="8"/>
      <c r="BJ45" s="8"/>
      <c r="BK45" s="8"/>
      <c r="BL45" s="4" t="str">
        <f t="shared" si="3"/>
        <v>Power Cable, Battery, Firmware Download, Device ID, Epic Beans Relay</v>
      </c>
      <c r="BM45" s="8" t="str">
        <f t="shared" si="4"/>
        <v>Blocked</v>
      </c>
      <c r="BP45" t="str">
        <f>IF($BO45="","",IFERROR(VLOOKUP($BO45,'01_Warehouse_Ledger'!$A:$N,4,FALSE),""))</f>
        <v/>
      </c>
      <c r="BQ45" t="str">
        <f>IF($BO45="","",IFERROR(VLOOKUP($BO45,'01_Warehouse_Ledger'!$A:$N,5,FALSE),""))</f>
        <v/>
      </c>
      <c r="BR45" t="str">
        <f>IF($BO45="","",IFERROR(VLOOKUP($BO45,'01_Warehouse_Ledger'!$A:$N,13,FALSE),""))</f>
        <v/>
      </c>
    </row>
    <row r="46" spans="1:76" ht="45">
      <c r="A46" s="8" t="s">
        <v>1331</v>
      </c>
      <c r="B46" s="8" t="s">
        <v>1454</v>
      </c>
      <c r="C46" s="15" t="s">
        <v>1454</v>
      </c>
      <c r="D46" s="15" t="str">
        <f t="shared" si="0"/>
        <v/>
      </c>
      <c r="E46" s="15" t="str">
        <f t="shared" si="1"/>
        <v>No</v>
      </c>
      <c r="F46" t="str">
        <f t="shared" si="2"/>
        <v/>
      </c>
      <c r="G46" s="4" t="s">
        <v>1317</v>
      </c>
      <c r="H46" s="4" t="s">
        <v>1674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 t="s">
        <v>1684</v>
      </c>
      <c r="T46" s="4" t="s">
        <v>1685</v>
      </c>
      <c r="U46" s="4"/>
      <c r="V46" s="4"/>
      <c r="W46" s="4" t="s">
        <v>1686</v>
      </c>
      <c r="X46" s="4"/>
      <c r="Y46" s="4"/>
      <c r="Z46" s="4"/>
      <c r="AA46" s="4"/>
      <c r="AB46" s="4"/>
      <c r="AC46" s="4"/>
      <c r="AD46" s="4"/>
      <c r="AE46" s="8"/>
      <c r="AF46" s="4"/>
      <c r="AG46" s="4"/>
      <c r="AH46" s="1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8"/>
      <c r="AX46" s="8"/>
      <c r="AY46" s="8"/>
      <c r="AZ46" s="8"/>
      <c r="BA46" s="12"/>
      <c r="BB46" s="8"/>
      <c r="BC46" s="4"/>
      <c r="BD46" s="4"/>
      <c r="BE46" s="8"/>
      <c r="BF46" s="8"/>
      <c r="BG46" s="8"/>
      <c r="BH46" s="8"/>
      <c r="BI46" s="8"/>
      <c r="BJ46" s="8"/>
      <c r="BK46" s="8"/>
      <c r="BL46" s="4" t="str">
        <f>IF($T46="","",IF((IF(AND($AW46&lt;&gt;"Yes",$AW46&lt;&gt;"N/A"),"Power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",""))="","",LEFT(IF(AND($AW46&lt;&gt;"Yes",$AW46&lt;&gt;"N/A"),"Power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",""),LEN(IF(AND($AW46&lt;&gt;"Yes",$AW46&lt;&gt;"N/A"),"Power Cable, ","")&amp;IF(AND($AX46&lt;&gt;"Yes",$AX46&lt;&gt;"N/A"),"Battery, ","")&amp;IF(AND($BE46&lt;&gt;"Yes",$BE46&lt;&gt;"N/A"),"Firmware Download, ","")&amp;IF(AND(OR($BE46="Yes",$BE46="N/A"),$BF46&lt;&gt;"Yes",$BF46&lt;&gt;"N/A"),"Firmware Install, ","")&amp;IF(AND($BJ46&lt;&gt;"Yes",$BJ46&lt;&gt;"N/A"),"Device ID, ","")&amp;IF(AND($BK46&lt;&gt;"Yes",$BK46&lt;&gt;"N/A"),"Epic Beans Relay, ",""))-2)))</f>
        <v>Power Cable, Battery, Firmware Download, Device ID, Epic Beans Relay</v>
      </c>
      <c r="BM46" s="8" t="str">
        <f>IF($T46="","",IF($BL46="","Yes","Blocked"))</f>
        <v>Blocked</v>
      </c>
      <c r="BP46" t="str">
        <f>IF($BO46="","",IFERROR(VLOOKUP($BO46,'01_Warehouse_Ledger'!$A:$N,4,FALSE),""))</f>
        <v/>
      </c>
      <c r="BQ46" t="str">
        <f>IF($BO46="","",IFERROR(VLOOKUP($BO46,'01_Warehouse_Ledger'!$A:$N,5,FALSE),""))</f>
        <v/>
      </c>
      <c r="BR46" t="str">
        <f>IF($BO46="","",IFERROR(VLOOKUP($BO46,'01_Warehouse_Ledger'!$A:$N,13,FALSE),""))</f>
        <v/>
      </c>
    </row>
    <row r="47" spans="1:76" ht="30.75" customHeight="1">
      <c r="A47" s="8" t="s">
        <v>1331</v>
      </c>
      <c r="B47" s="8" t="s">
        <v>1454</v>
      </c>
      <c r="C47" s="15" t="s">
        <v>1454</v>
      </c>
      <c r="D47" s="15" t="str">
        <f t="shared" si="0"/>
        <v/>
      </c>
      <c r="E47" s="15" t="str">
        <f t="shared" si="1"/>
        <v>No</v>
      </c>
      <c r="F47" t="str">
        <f t="shared" si="2"/>
        <v/>
      </c>
      <c r="G47" s="4" t="s">
        <v>1317</v>
      </c>
      <c r="H47" s="4" t="s">
        <v>1674</v>
      </c>
      <c r="I47" s="4"/>
      <c r="J47" s="4" t="s">
        <v>1438</v>
      </c>
      <c r="K47" s="4" t="s">
        <v>1438</v>
      </c>
      <c r="L47" s="4" t="s">
        <v>1438</v>
      </c>
      <c r="M47" s="4"/>
      <c r="N47" s="4"/>
      <c r="O47" s="4"/>
      <c r="P47" s="4"/>
      <c r="Q47" s="4"/>
      <c r="R47" s="4"/>
      <c r="S47" s="4" t="s">
        <v>1687</v>
      </c>
      <c r="T47" s="4" t="s">
        <v>1688</v>
      </c>
      <c r="U47" s="4"/>
      <c r="V47" s="4"/>
      <c r="W47" s="4" t="s">
        <v>1689</v>
      </c>
      <c r="X47" s="4"/>
      <c r="Y47" s="4"/>
      <c r="Z47" s="4"/>
      <c r="AA47" s="4"/>
      <c r="AB47" s="4"/>
      <c r="AC47" s="4"/>
      <c r="AD47" s="4"/>
      <c r="AE47" s="8"/>
      <c r="AF47" s="4"/>
      <c r="AG47" s="4"/>
      <c r="AH47" s="1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8"/>
      <c r="AX47" s="8"/>
      <c r="AY47" s="8"/>
      <c r="AZ47" s="8"/>
      <c r="BA47" s="12"/>
      <c r="BB47" s="8"/>
      <c r="BC47" s="4"/>
      <c r="BD47" s="4" t="s">
        <v>1653</v>
      </c>
      <c r="BE47" s="8"/>
      <c r="BF47" s="8"/>
      <c r="BG47" s="8"/>
      <c r="BH47" s="8"/>
      <c r="BI47" s="8"/>
      <c r="BJ47" s="8"/>
      <c r="BK47" s="8"/>
      <c r="BL47" s="4" t="str">
        <f>IF($T47="","",IF((IF(AND($AW47&lt;&gt;"Yes",$AW47&lt;&gt;"N/A"),"Power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",""))="","",LEFT(IF(AND($AW47&lt;&gt;"Yes",$AW47&lt;&gt;"N/A"),"Power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",""),LEN(IF(AND($AW47&lt;&gt;"Yes",$AW47&lt;&gt;"N/A"),"Power Cable, ","")&amp;IF(AND($AX47&lt;&gt;"Yes",$AX47&lt;&gt;"N/A"),"Battery, ","")&amp;IF(AND($BE47&lt;&gt;"Yes",$BE47&lt;&gt;"N/A"),"Firmware Download, ","")&amp;IF(AND(OR($BE47="Yes",$BE47="N/A"),$BF47&lt;&gt;"Yes",$BF47&lt;&gt;"N/A"),"Firmware Install, ","")&amp;IF(AND($BJ47&lt;&gt;"Yes",$BJ47&lt;&gt;"N/A"),"Device ID, ","")&amp;IF(AND($BK47&lt;&gt;"Yes",$BK47&lt;&gt;"N/A"),"Epic Beans Relay, ",""))-2)))</f>
        <v>Power Cable, Battery, Firmware Download, Device ID, Epic Beans Relay</v>
      </c>
      <c r="BM47" s="8" t="str">
        <f>IF($T47="","",IF($BL47="","Yes","Blocked"))</f>
        <v>Blocked</v>
      </c>
      <c r="BP47" t="str">
        <f>IF($BO47="","",IFERROR(VLOOKUP($BO47,'01_Warehouse_Ledger'!$A:$N,4,FALSE),""))</f>
        <v/>
      </c>
      <c r="BQ47" t="str">
        <f>IF($BO47="","",IFERROR(VLOOKUP($BO47,'01_Warehouse_Ledger'!$A:$N,5,FALSE),""))</f>
        <v/>
      </c>
      <c r="BR47" t="str">
        <f>IF($BO47="","",IFERROR(VLOOKUP($BO47,'01_Warehouse_Ledger'!$A:$N,13,FALSE),""))</f>
        <v/>
      </c>
    </row>
    <row r="48" spans="1:76" ht="30.75" customHeight="1">
      <c r="A48" s="8" t="s">
        <v>1331</v>
      </c>
      <c r="B48" s="8" t="s">
        <v>1454</v>
      </c>
      <c r="C48" s="15" t="s">
        <v>1454</v>
      </c>
      <c r="D48" s="15" t="str">
        <f t="shared" si="0"/>
        <v/>
      </c>
      <c r="E48" s="15" t="str">
        <f t="shared" si="1"/>
        <v>No</v>
      </c>
      <c r="F48" t="str">
        <f t="shared" si="2"/>
        <v/>
      </c>
      <c r="G48" s="4" t="s">
        <v>1317</v>
      </c>
      <c r="H48" s="4" t="s">
        <v>1674</v>
      </c>
      <c r="I48" s="4"/>
      <c r="J48" s="4" t="s">
        <v>1438</v>
      </c>
      <c r="K48" s="4" t="s">
        <v>1438</v>
      </c>
      <c r="L48" s="4" t="s">
        <v>1438</v>
      </c>
      <c r="M48" s="4"/>
      <c r="N48" s="4"/>
      <c r="O48" s="4"/>
      <c r="P48" s="4"/>
      <c r="Q48" s="4"/>
      <c r="R48" s="4"/>
      <c r="S48" s="4" t="s">
        <v>1690</v>
      </c>
      <c r="T48" s="4" t="s">
        <v>1691</v>
      </c>
      <c r="U48" s="4"/>
      <c r="V48" s="4"/>
      <c r="W48" s="4" t="s">
        <v>1692</v>
      </c>
      <c r="X48" s="4"/>
      <c r="Y48" s="4"/>
      <c r="Z48" s="4"/>
      <c r="AA48" s="4"/>
      <c r="AB48" s="4"/>
      <c r="AC48" s="4"/>
      <c r="AD48" s="4"/>
      <c r="AE48" s="8"/>
      <c r="AF48" s="4"/>
      <c r="AG48" s="4"/>
      <c r="AH48" s="1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8"/>
      <c r="AX48" s="8"/>
      <c r="AY48" s="8"/>
      <c r="AZ48" s="8"/>
      <c r="BA48" s="12"/>
      <c r="BB48" s="8"/>
      <c r="BC48" s="4"/>
      <c r="BD48" s="4" t="s">
        <v>1653</v>
      </c>
      <c r="BE48" s="8"/>
      <c r="BF48" s="8"/>
      <c r="BG48" s="8"/>
      <c r="BH48" s="8"/>
      <c r="BI48" s="8"/>
      <c r="BJ48" s="8"/>
      <c r="BK48" s="8"/>
      <c r="BL48" s="4" t="str">
        <f>IF($T48="","",IF((IF(AND($AW48&lt;&gt;"Yes",$AW48&lt;&gt;"N/A"),"Power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",""))="","",LEFT(IF(AND($AW48&lt;&gt;"Yes",$AW48&lt;&gt;"N/A"),"Power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",""),LEN(IF(AND($AW48&lt;&gt;"Yes",$AW48&lt;&gt;"N/A"),"Power Cable, ","")&amp;IF(AND($AX48&lt;&gt;"Yes",$AX48&lt;&gt;"N/A"),"Battery, ","")&amp;IF(AND($BE48&lt;&gt;"Yes",$BE48&lt;&gt;"N/A"),"Firmware Download, ","")&amp;IF(AND(OR($BE48="Yes",$BE48="N/A"),$BF48&lt;&gt;"Yes",$BF48&lt;&gt;"N/A"),"Firmware Install, ","")&amp;IF(AND($BJ48&lt;&gt;"Yes",$BJ48&lt;&gt;"N/A"),"Device ID, ","")&amp;IF(AND($BK48&lt;&gt;"Yes",$BK48&lt;&gt;"N/A"),"Epic Beans Relay, ",""))-2)))</f>
        <v>Power Cable, Battery, Firmware Download, Device ID, Epic Beans Relay</v>
      </c>
      <c r="BM48" s="8" t="str">
        <f>IF($T48="","",IF($BL48="","Yes","Blocked"))</f>
        <v>Blocked</v>
      </c>
      <c r="BP48" t="str">
        <f>IF($BO48="","",IFERROR(VLOOKUP($BO48,'01_Warehouse_Ledger'!$A:$N,4,FALSE),""))</f>
        <v/>
      </c>
      <c r="BQ48" t="str">
        <f>IF($BO48="","",IFERROR(VLOOKUP($BO48,'01_Warehouse_Ledger'!$A:$N,5,FALSE),""))</f>
        <v/>
      </c>
      <c r="BR48" t="str">
        <f>IF($BO48="","",IFERROR(VLOOKUP($BO48,'01_Warehouse_Ledger'!$A:$N,13,FALSE),""))</f>
        <v/>
      </c>
    </row>
    <row r="49" spans="1:70" ht="30.75" customHeight="1">
      <c r="A49" s="8" t="s">
        <v>1331</v>
      </c>
      <c r="B49" s="8" t="s">
        <v>1454</v>
      </c>
      <c r="C49" s="15" t="s">
        <v>1454</v>
      </c>
      <c r="D49" s="15" t="str">
        <f t="shared" si="0"/>
        <v/>
      </c>
      <c r="E49" s="15" t="str">
        <f t="shared" si="1"/>
        <v>Yes</v>
      </c>
      <c r="F49" t="str">
        <f t="shared" si="2"/>
        <v/>
      </c>
      <c r="G49" s="4" t="s">
        <v>1317</v>
      </c>
      <c r="H49" s="4" t="s">
        <v>1674</v>
      </c>
      <c r="I49" s="4"/>
      <c r="J49" s="4" t="s">
        <v>1438</v>
      </c>
      <c r="K49" s="4" t="s">
        <v>1438</v>
      </c>
      <c r="L49" s="4" t="s">
        <v>1438</v>
      </c>
      <c r="M49" s="4"/>
      <c r="N49" s="4"/>
      <c r="O49" s="4"/>
      <c r="P49" s="4"/>
      <c r="Q49" s="4"/>
      <c r="R49" s="2"/>
      <c r="S49" s="4" t="s">
        <v>1693</v>
      </c>
      <c r="T49" t="s">
        <v>1613</v>
      </c>
      <c r="W49" t="s">
        <v>1615</v>
      </c>
      <c r="X49" s="4"/>
      <c r="Y49" s="4"/>
      <c r="Z49" s="4"/>
      <c r="AA49" s="4"/>
      <c r="AB49" s="4"/>
      <c r="AC49" s="4"/>
      <c r="AD49" s="4"/>
      <c r="AE49" s="8"/>
      <c r="AF49" s="4"/>
      <c r="AG49" s="4"/>
      <c r="AH49" s="1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8"/>
      <c r="AX49" s="8"/>
      <c r="AY49" s="8"/>
      <c r="AZ49" s="8"/>
      <c r="BA49" s="12"/>
      <c r="BB49" s="8"/>
      <c r="BC49" s="4"/>
      <c r="BD49" s="4" t="s">
        <v>1653</v>
      </c>
      <c r="BE49" s="8"/>
      <c r="BF49" s="8"/>
      <c r="BG49" s="8"/>
      <c r="BH49" s="8"/>
      <c r="BI49" s="8"/>
      <c r="BJ49" s="8"/>
      <c r="BK49" s="8"/>
      <c r="BL49" s="4" t="str">
        <f>IF($T49="","",IF((IF(AND($AW49&lt;&gt;"Yes",$AW49&lt;&gt;"N/A"),"Power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",""))="","",LEFT(IF(AND($AW49&lt;&gt;"Yes",$AW49&lt;&gt;"N/A"),"Power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",""),LEN(IF(AND($AW49&lt;&gt;"Yes",$AW49&lt;&gt;"N/A"),"Power Cable, ","")&amp;IF(AND($AX49&lt;&gt;"Yes",$AX49&lt;&gt;"N/A"),"Battery, ","")&amp;IF(AND($BE49&lt;&gt;"Yes",$BE49&lt;&gt;"N/A"),"Firmware Download, ","")&amp;IF(AND(OR($BE49="Yes",$BE49="N/A"),$BF49&lt;&gt;"Yes",$BF49&lt;&gt;"N/A"),"Firmware Install, ","")&amp;IF(AND($BJ49&lt;&gt;"Yes",$BJ49&lt;&gt;"N/A"),"Device ID, ","")&amp;IF(AND($BK49&lt;&gt;"Yes",$BK49&lt;&gt;"N/A"),"Epic Beans Relay, ",""))-2)))</f>
        <v>Power Cable, Battery, Firmware Download, Device ID, Epic Beans Relay</v>
      </c>
      <c r="BM49" s="8" t="str">
        <f>IF($T49="","",IF($BL49="","Yes","Blocked"))</f>
        <v>Blocked</v>
      </c>
      <c r="BP49" t="str">
        <f>IF($BO49="","",IFERROR(VLOOKUP($BO49,'01_Warehouse_Ledger'!$A:$N,4,FALSE),""))</f>
        <v/>
      </c>
      <c r="BQ49" t="str">
        <f>IF($BO49="","",IFERROR(VLOOKUP($BO49,'01_Warehouse_Ledger'!$A:$N,5,FALSE),""))</f>
        <v/>
      </c>
      <c r="BR49" t="str">
        <f>IF($BO49="","",IFERROR(VLOOKUP($BO49,'01_Warehouse_Ledger'!$A:$N,13,FALSE),""))</f>
        <v/>
      </c>
    </row>
    <row r="50" spans="1:70" ht="30.75" customHeight="1">
      <c r="A50" s="8" t="s">
        <v>1645</v>
      </c>
      <c r="B50" s="8" t="s">
        <v>1454</v>
      </c>
      <c r="C50" s="15" t="s">
        <v>1454</v>
      </c>
      <c r="D50" s="15" t="str">
        <f t="shared" si="0"/>
        <v/>
      </c>
      <c r="E50" s="15" t="str">
        <f t="shared" ref="E50:E81" si="5">IF($A50="","",IF($A50="Neuron",IF(OR(AND($R50&lt;&gt;"",LOWER(TRIM($R50))&lt;&gt;"n/a",COUNTIF($S$2:$S$528,$R50)&gt;1),AND($T50&lt;&gt;"",LOWER(TRIM($T50))&lt;&gt;"n/a",COUNTIF($T$2:$T$528,$T50)&gt;1),AND($W50&lt;&gt;"",LOWER(TRIM($W50))&lt;&gt;"n/a",COUNTIF($W$2:$W$528,$W50)&gt;1)),"Yes","No"),IF($A50="Cybernet",IF(OR(AND($Y50&lt;&gt;"",LOWER(TRIM($Y50))&lt;&gt;"n/a",COUNTIF($Y$2:$Y$528,$Y50)&gt;1),AND($Z50&lt;&gt;"",LOWER(TRIM($Z50))&lt;&gt;"n/a",COUNTIF($Z$2:$Z$528,$Z50)&gt;1)),"Yes","No"),IF(AND($AL50&lt;&gt;"",LOWER(TRIM($AL50))&lt;&gt;"n/a",COUNTIF($AL$2:$AL$528,$AL50)&gt;1),"Yes","No"))))</f>
        <v>No</v>
      </c>
      <c r="F50" t="str">
        <f t="shared" ref="F50:F81" si="6">IF($B50&lt;&gt;"Yes","",
IF($A50="Neuron",
IF(OR(
AND($R50&lt;&gt;"",LOWER(TRIM($R50))&lt;&gt;"n/a",COUNTIFS($B$2:$B$528,"Yes",$A$2:$A$528,"Neuron",$S$2:$S$528,$R50)&gt;1),
AND($T50&lt;&gt;"",LOWER(TRIM($T50))&lt;&gt;"n/a",COUNTIFS($B$2:$B$528,"Yes",$A$2:$A$528,"Neuron",$T$2:$T$528,$T50)&gt;1),
AND($W50&lt;&gt;"",LOWER(TRIM($W50))&lt;&gt;"n/a",COUNTIFS($B$2:$B$528,"Yes",$A$2:$A$528,"Neuron",$W$2:$W$528,$W50)&gt;1)
),"Yes","No"),
IF($A50="Cybernet",
IF(OR(
AND($Y50&lt;&gt;"",LOWER(TRIM($Y50))&lt;&gt;"n/a",COUNTIFS($B$2:$B$528,"Yes",$A$2:$A$528,"Cybernet",$Y$2:$Y$528,$Y50)&gt;1),
AND($Z50&lt;&gt;"",LOWER(TRIM($Z50))&lt;&gt;"n/a",COUNTIFS($B$2:$B$528,"Yes",$A$2:$A$528,"Cybernet",$Z$2:$Z$528,$Z50)&gt;1)
),"Yes","No"),
IF(AND($AL50&lt;&gt;"",LOWER(TRIM($AL50))&lt;&gt;"n/a"),
IF(COUNTIFS($B$2:$B$528,"Yes",$A$2:$A$528,$A50,$AL$2:$AL$528,$AL50)&gt;1,"Yes","No"),
"No")
)
)
)</f>
        <v/>
      </c>
      <c r="G50" s="20" t="s">
        <v>1694</v>
      </c>
      <c r="H50" s="4" t="s">
        <v>1695</v>
      </c>
      <c r="I50" s="2"/>
      <c r="J50" s="2" t="s">
        <v>1435</v>
      </c>
      <c r="K50" s="2" t="s">
        <v>1454</v>
      </c>
      <c r="L50" s="2" t="s">
        <v>1454</v>
      </c>
      <c r="M50" s="2"/>
      <c r="N50" s="2"/>
      <c r="O50" s="2"/>
      <c r="P50" s="2"/>
      <c r="Q50" s="20"/>
      <c r="R50" s="4" t="s">
        <v>1696</v>
      </c>
      <c r="T50" s="4"/>
      <c r="U50" s="4"/>
      <c r="V50" s="4"/>
      <c r="W50" s="4"/>
      <c r="X50" s="4"/>
      <c r="Y50" s="21" t="s">
        <v>1697</v>
      </c>
      <c r="Z50" s="23" t="s">
        <v>1698</v>
      </c>
      <c r="AA50" s="4"/>
      <c r="AB50" s="4"/>
      <c r="AC50" s="4"/>
      <c r="AD50" s="4"/>
      <c r="AE50" s="8"/>
      <c r="AF50" s="4"/>
      <c r="AG50" s="4"/>
      <c r="AH50" s="14"/>
      <c r="AI50" s="4"/>
      <c r="AJ50" s="4" t="s">
        <v>1699</v>
      </c>
      <c r="AK50" s="4" t="s">
        <v>1700</v>
      </c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8"/>
      <c r="AX50" s="8"/>
      <c r="AY50" s="8"/>
      <c r="AZ50" s="8"/>
      <c r="BA50" s="12"/>
      <c r="BB50" s="8"/>
      <c r="BC50" s="4" t="s">
        <v>1701</v>
      </c>
      <c r="BD50" s="4" t="s">
        <v>1653</v>
      </c>
      <c r="BE50" s="8"/>
      <c r="BF50" s="8"/>
      <c r="BG50" s="8"/>
      <c r="BH50" s="8"/>
      <c r="BI50" s="8"/>
      <c r="BJ50" s="8"/>
      <c r="BK50" s="8"/>
      <c r="BL50" s="4" t="str">
        <f t="shared" ref="BL50:BL113" si="7">IF($T50="","",IF((IF(AND($AW50&lt;&gt;"Yes",$AW50&lt;&gt;"N/A"),"Power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",""))="","",LEFT(IF(AND($AW50&lt;&gt;"Yes",$AW50&lt;&gt;"N/A"),"Power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",""),LEN(IF(AND($AW50&lt;&gt;"Yes",$AW50&lt;&gt;"N/A"),"Power Cable, ","")&amp;IF(AND($AX50&lt;&gt;"Yes",$AX50&lt;&gt;"N/A"),"Battery, ","")&amp;IF(AND($BE50&lt;&gt;"Yes",$BE50&lt;&gt;"N/A"),"Firmware Download, ","")&amp;IF(AND(OR($BE50="Yes",$BE50="N/A"),$BF50&lt;&gt;"Yes",$BF50&lt;&gt;"N/A"),"Firmware Install, ","")&amp;IF(AND($BJ50&lt;&gt;"Yes",$BJ50&lt;&gt;"N/A"),"Device ID, ","")&amp;IF(AND($BK50&lt;&gt;"Yes",$BK50&lt;&gt;"N/A"),"Epic Beans Relay, ",""))-2)))</f>
        <v/>
      </c>
      <c r="BM50" s="8" t="str">
        <f t="shared" ref="BM50:BM113" si="8">IF($T50="","",IF($BL50="","Yes","Blocked"))</f>
        <v/>
      </c>
      <c r="BP50" t="str">
        <f>IF($BO50="","",IFERROR(VLOOKUP($BO50,'01_Warehouse_Ledger'!$A:$N,4,FALSE),""))</f>
        <v/>
      </c>
      <c r="BQ50" t="str">
        <f>IF($BO50="","",IFERROR(VLOOKUP($BO50,'01_Warehouse_Ledger'!$A:$N,5,FALSE),""))</f>
        <v/>
      </c>
      <c r="BR50" t="str">
        <f>IF($BO50="","",IFERROR(VLOOKUP($BO50,'01_Warehouse_Ledger'!$A:$N,13,FALSE),""))</f>
        <v/>
      </c>
    </row>
    <row r="51" spans="1:70" ht="30.75" customHeight="1">
      <c r="A51" s="8" t="s">
        <v>1645</v>
      </c>
      <c r="B51" s="8" t="s">
        <v>1454</v>
      </c>
      <c r="C51" s="15" t="s">
        <v>1454</v>
      </c>
      <c r="D51" s="15" t="str">
        <f t="shared" si="0"/>
        <v/>
      </c>
      <c r="E51" s="15" t="str">
        <f t="shared" si="5"/>
        <v>No</v>
      </c>
      <c r="F51" t="str">
        <f t="shared" si="6"/>
        <v/>
      </c>
      <c r="G51" s="20" t="s">
        <v>1694</v>
      </c>
      <c r="H51" s="4" t="s">
        <v>1695</v>
      </c>
      <c r="I51" s="2"/>
      <c r="J51" s="2" t="s">
        <v>1435</v>
      </c>
      <c r="K51" s="2" t="s">
        <v>1454</v>
      </c>
      <c r="L51" s="2" t="s">
        <v>1454</v>
      </c>
      <c r="M51" s="2"/>
      <c r="N51" s="2"/>
      <c r="O51" s="2"/>
      <c r="P51" s="2"/>
      <c r="Q51" s="20"/>
      <c r="R51" s="4" t="s">
        <v>1702</v>
      </c>
      <c r="T51" s="4"/>
      <c r="U51" s="4"/>
      <c r="V51" s="4"/>
      <c r="W51" s="4"/>
      <c r="X51" s="4"/>
      <c r="Y51" s="22" t="s">
        <v>1703</v>
      </c>
      <c r="Z51" s="23" t="s">
        <v>1704</v>
      </c>
      <c r="AA51" s="4"/>
      <c r="AB51" s="4"/>
      <c r="AC51" s="4"/>
      <c r="AD51" s="4"/>
      <c r="AE51" s="8"/>
      <c r="AF51" s="4"/>
      <c r="AG51" s="4"/>
      <c r="AH51" s="14"/>
      <c r="AI51" s="4"/>
      <c r="AJ51" s="4" t="s">
        <v>1699</v>
      </c>
      <c r="AK51" s="4" t="s">
        <v>1700</v>
      </c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8"/>
      <c r="AX51" s="8"/>
      <c r="AY51" s="8"/>
      <c r="AZ51" s="8"/>
      <c r="BA51" s="12"/>
      <c r="BB51" s="8"/>
      <c r="BC51" s="24" t="s">
        <v>1701</v>
      </c>
      <c r="BD51" s="4" t="s">
        <v>1653</v>
      </c>
      <c r="BE51" s="8"/>
      <c r="BF51" s="8"/>
      <c r="BG51" s="8"/>
      <c r="BH51" s="8"/>
      <c r="BI51" s="8"/>
      <c r="BJ51" s="8"/>
      <c r="BK51" s="8"/>
      <c r="BL51" s="4" t="str">
        <f t="shared" si="7"/>
        <v/>
      </c>
      <c r="BM51" s="8" t="str">
        <f t="shared" si="8"/>
        <v/>
      </c>
      <c r="BP51" t="str">
        <f>IF($BO51="","",IFERROR(VLOOKUP($BO51,'01_Warehouse_Ledger'!$A:$N,4,FALSE),""))</f>
        <v/>
      </c>
      <c r="BQ51" t="str">
        <f>IF($BO51="","",IFERROR(VLOOKUP($BO51,'01_Warehouse_Ledger'!$A:$N,5,FALSE),""))</f>
        <v/>
      </c>
      <c r="BR51" t="str">
        <f>IF($BO51="","",IFERROR(VLOOKUP($BO51,'01_Warehouse_Ledger'!$A:$N,13,FALSE),""))</f>
        <v/>
      </c>
    </row>
    <row r="52" spans="1:70">
      <c r="A52" s="8" t="s">
        <v>1645</v>
      </c>
      <c r="B52" s="8" t="s">
        <v>1454</v>
      </c>
      <c r="C52" s="15" t="s">
        <v>1454</v>
      </c>
      <c r="D52" s="15" t="str">
        <f t="shared" si="0"/>
        <v/>
      </c>
      <c r="E52" s="15" t="str">
        <f t="shared" si="5"/>
        <v>No</v>
      </c>
      <c r="F52" t="str">
        <f t="shared" si="6"/>
        <v/>
      </c>
      <c r="G52" s="20" t="s">
        <v>1694</v>
      </c>
      <c r="H52" s="4" t="s">
        <v>1651</v>
      </c>
      <c r="I52" s="2"/>
      <c r="J52" s="2" t="s">
        <v>1435</v>
      </c>
      <c r="K52" s="2" t="s">
        <v>1454</v>
      </c>
      <c r="L52" s="2" t="s">
        <v>1454</v>
      </c>
      <c r="M52" s="2"/>
      <c r="N52" s="2"/>
      <c r="O52" s="2"/>
      <c r="P52" s="2"/>
      <c r="Q52" s="20"/>
      <c r="R52" s="20" t="s">
        <v>1705</v>
      </c>
      <c r="T52" s="4"/>
      <c r="U52" s="4"/>
      <c r="V52" s="4"/>
      <c r="W52" s="4"/>
      <c r="X52" s="4"/>
      <c r="Y52" s="25" t="s">
        <v>1706</v>
      </c>
      <c r="Z52" s="23" t="s">
        <v>1707</v>
      </c>
      <c r="AA52" s="4"/>
      <c r="AB52" s="4"/>
      <c r="AC52" s="4"/>
      <c r="AD52" s="4"/>
      <c r="AE52" s="8"/>
      <c r="AF52" s="4"/>
      <c r="AG52" s="4"/>
      <c r="AH52" s="1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8"/>
      <c r="AX52" s="8"/>
      <c r="AY52" s="8"/>
      <c r="AZ52" s="8"/>
      <c r="BA52" s="12"/>
      <c r="BB52" s="8"/>
      <c r="BC52" s="20" t="s">
        <v>1708</v>
      </c>
      <c r="BD52" s="4"/>
      <c r="BE52" s="8"/>
      <c r="BF52" s="8"/>
      <c r="BG52" s="8"/>
      <c r="BH52" s="8"/>
      <c r="BI52" s="8"/>
      <c r="BJ52" s="8"/>
      <c r="BK52" s="8"/>
      <c r="BL52" s="4" t="str">
        <f t="shared" si="7"/>
        <v/>
      </c>
      <c r="BM52" s="8" t="str">
        <f t="shared" si="8"/>
        <v/>
      </c>
      <c r="BP52" t="str">
        <f>IF($BO52="","",IFERROR(VLOOKUP($BO52,'01_Warehouse_Ledger'!$A:$N,4,FALSE),""))</f>
        <v/>
      </c>
      <c r="BQ52" t="str">
        <f>IF($BO52="","",IFERROR(VLOOKUP($BO52,'01_Warehouse_Ledger'!$A:$N,5,FALSE),""))</f>
        <v/>
      </c>
      <c r="BR52" t="str">
        <f>IF($BO52="","",IFERROR(VLOOKUP($BO52,'01_Warehouse_Ledger'!$A:$N,13,FALSE),""))</f>
        <v/>
      </c>
    </row>
    <row r="53" spans="1:70">
      <c r="A53" s="8" t="s">
        <v>1645</v>
      </c>
      <c r="B53" s="8" t="s">
        <v>1454</v>
      </c>
      <c r="C53" s="15" t="s">
        <v>1454</v>
      </c>
      <c r="D53" s="15" t="str">
        <f t="shared" si="0"/>
        <v/>
      </c>
      <c r="E53" s="15" t="str">
        <f t="shared" si="5"/>
        <v>No</v>
      </c>
      <c r="F53" t="str">
        <f t="shared" si="6"/>
        <v/>
      </c>
      <c r="G53" s="20" t="s">
        <v>1694</v>
      </c>
      <c r="H53" s="4" t="s">
        <v>1651</v>
      </c>
      <c r="I53" s="2"/>
      <c r="J53" s="2" t="s">
        <v>1435</v>
      </c>
      <c r="K53" s="2" t="s">
        <v>1454</v>
      </c>
      <c r="L53" s="2" t="s">
        <v>1454</v>
      </c>
      <c r="M53" s="2"/>
      <c r="N53" s="2"/>
      <c r="O53" s="2"/>
      <c r="P53" s="2"/>
      <c r="Q53" s="20"/>
      <c r="R53" s="20" t="s">
        <v>1709</v>
      </c>
      <c r="T53" s="4"/>
      <c r="U53" s="4"/>
      <c r="V53" s="4"/>
      <c r="W53" s="4"/>
      <c r="X53" s="4"/>
      <c r="Y53" s="25" t="s">
        <v>1710</v>
      </c>
      <c r="Z53" s="23" t="s">
        <v>1711</v>
      </c>
      <c r="AA53" s="4"/>
      <c r="AB53" s="4"/>
      <c r="AC53" s="4"/>
      <c r="AD53" s="4"/>
      <c r="AE53" s="8"/>
      <c r="AF53" s="4"/>
      <c r="AG53" s="4"/>
      <c r="AH53" s="1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8"/>
      <c r="AX53" s="8"/>
      <c r="AY53" s="8"/>
      <c r="AZ53" s="8"/>
      <c r="BA53" s="12"/>
      <c r="BB53" s="8"/>
      <c r="BC53" s="20" t="s">
        <v>1712</v>
      </c>
      <c r="BD53" s="4"/>
      <c r="BE53" s="8"/>
      <c r="BF53" s="8"/>
      <c r="BG53" s="8"/>
      <c r="BH53" s="8"/>
      <c r="BI53" s="8"/>
      <c r="BJ53" s="8"/>
      <c r="BK53" s="8"/>
      <c r="BL53" s="4" t="str">
        <f t="shared" si="7"/>
        <v/>
      </c>
      <c r="BM53" s="8" t="str">
        <f t="shared" si="8"/>
        <v/>
      </c>
      <c r="BP53" t="str">
        <f>IF($BO53="","",IFERROR(VLOOKUP($BO53,'01_Warehouse_Ledger'!$A:$N,4,FALSE),""))</f>
        <v/>
      </c>
      <c r="BQ53" t="str">
        <f>IF($BO53="","",IFERROR(VLOOKUP($BO53,'01_Warehouse_Ledger'!$A:$N,5,FALSE),""))</f>
        <v/>
      </c>
      <c r="BR53" t="str">
        <f>IF($BO53="","",IFERROR(VLOOKUP($BO53,'01_Warehouse_Ledger'!$A:$N,13,FALSE),""))</f>
        <v/>
      </c>
    </row>
    <row r="54" spans="1:70" ht="30.75" customHeight="1">
      <c r="A54" s="8" t="s">
        <v>1645</v>
      </c>
      <c r="B54" s="8" t="s">
        <v>1454</v>
      </c>
      <c r="C54" s="15" t="s">
        <v>1454</v>
      </c>
      <c r="D54" s="15" t="str">
        <f t="shared" si="0"/>
        <v/>
      </c>
      <c r="E54" s="15" t="str">
        <f t="shared" si="5"/>
        <v>No</v>
      </c>
      <c r="F54" t="str">
        <f t="shared" si="6"/>
        <v/>
      </c>
      <c r="G54" s="20" t="s">
        <v>1694</v>
      </c>
      <c r="H54" s="4" t="s">
        <v>1713</v>
      </c>
      <c r="I54" s="2"/>
      <c r="J54" s="2" t="s">
        <v>1435</v>
      </c>
      <c r="K54" s="2" t="s">
        <v>1454</v>
      </c>
      <c r="L54" s="2" t="s">
        <v>1454</v>
      </c>
      <c r="M54" s="2"/>
      <c r="N54" s="2"/>
      <c r="O54" s="2"/>
      <c r="P54" s="2"/>
      <c r="Q54" s="20"/>
      <c r="R54" s="4" t="s">
        <v>1714</v>
      </c>
      <c r="T54" s="4"/>
      <c r="U54" s="4"/>
      <c r="V54" s="4"/>
      <c r="W54" s="4"/>
      <c r="X54" s="4"/>
      <c r="Y54" s="4" t="s">
        <v>1715</v>
      </c>
      <c r="Z54" s="4" t="s">
        <v>1716</v>
      </c>
      <c r="AA54" s="4"/>
      <c r="AB54" s="4"/>
      <c r="AC54" s="4"/>
      <c r="AD54" s="4"/>
      <c r="AE54" s="8"/>
      <c r="AF54" s="4"/>
      <c r="AG54" s="4"/>
      <c r="AH54" s="14"/>
      <c r="AI54" s="4"/>
      <c r="AJ54" s="4" t="s">
        <v>1699</v>
      </c>
      <c r="AK54" s="4" t="s">
        <v>1700</v>
      </c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8"/>
      <c r="AX54" s="8"/>
      <c r="AY54" s="8"/>
      <c r="AZ54" s="8"/>
      <c r="BA54" s="12"/>
      <c r="BB54" s="8"/>
      <c r="BC54" s="4" t="s">
        <v>1717</v>
      </c>
      <c r="BD54" s="4" t="s">
        <v>1653</v>
      </c>
      <c r="BE54" s="8"/>
      <c r="BF54" s="8"/>
      <c r="BG54" s="8"/>
      <c r="BH54" s="8"/>
      <c r="BI54" s="8"/>
      <c r="BJ54" s="8"/>
      <c r="BK54" s="8"/>
      <c r="BL54" s="4" t="str">
        <f t="shared" si="7"/>
        <v/>
      </c>
      <c r="BM54" s="8" t="str">
        <f t="shared" si="8"/>
        <v/>
      </c>
      <c r="BP54" t="str">
        <f>IF($BO54="","",IFERROR(VLOOKUP($BO54,'01_Warehouse_Ledger'!$A:$N,4,FALSE),""))</f>
        <v/>
      </c>
      <c r="BQ54" t="str">
        <f>IF($BO54="","",IFERROR(VLOOKUP($BO54,'01_Warehouse_Ledger'!$A:$N,5,FALSE),""))</f>
        <v/>
      </c>
      <c r="BR54" t="str">
        <f>IF($BO54="","",IFERROR(VLOOKUP($BO54,'01_Warehouse_Ledger'!$A:$N,13,FALSE),""))</f>
        <v/>
      </c>
    </row>
    <row r="55" spans="1:70" ht="30.75" customHeight="1">
      <c r="A55" s="8" t="s">
        <v>1645</v>
      </c>
      <c r="B55" s="8" t="s">
        <v>1454</v>
      </c>
      <c r="C55" s="15" t="s">
        <v>1454</v>
      </c>
      <c r="D55" s="15" t="str">
        <f t="shared" si="0"/>
        <v/>
      </c>
      <c r="E55" s="15" t="str">
        <f t="shared" si="5"/>
        <v>No</v>
      </c>
      <c r="F55" t="str">
        <f t="shared" si="6"/>
        <v/>
      </c>
      <c r="G55" s="20" t="s">
        <v>1694</v>
      </c>
      <c r="H55" s="4" t="s">
        <v>1713</v>
      </c>
      <c r="I55" s="2"/>
      <c r="J55" s="2" t="s">
        <v>1435</v>
      </c>
      <c r="K55" s="2" t="s">
        <v>1454</v>
      </c>
      <c r="L55" s="2" t="s">
        <v>1454</v>
      </c>
      <c r="M55" s="2"/>
      <c r="N55" s="2"/>
      <c r="O55" s="2"/>
      <c r="P55" s="2"/>
      <c r="Q55" s="20"/>
      <c r="R55" s="4" t="s">
        <v>1718</v>
      </c>
      <c r="T55" s="4"/>
      <c r="U55" s="4"/>
      <c r="V55" s="4"/>
      <c r="W55" s="4"/>
      <c r="X55" s="4"/>
      <c r="Y55" s="4" t="s">
        <v>1719</v>
      </c>
      <c r="Z55" s="4" t="s">
        <v>1720</v>
      </c>
      <c r="AA55" s="4"/>
      <c r="AB55" s="4"/>
      <c r="AC55" s="4"/>
      <c r="AD55" s="4"/>
      <c r="AE55" s="8"/>
      <c r="AF55" s="4"/>
      <c r="AG55" s="4"/>
      <c r="AH55" s="14"/>
      <c r="AI55" s="4"/>
      <c r="AJ55" s="4" t="s">
        <v>1699</v>
      </c>
      <c r="AK55" s="4" t="s">
        <v>1700</v>
      </c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8"/>
      <c r="AX55" s="8"/>
      <c r="AY55" s="8"/>
      <c r="AZ55" s="8"/>
      <c r="BA55" s="12"/>
      <c r="BB55" s="8"/>
      <c r="BC55" s="4" t="s">
        <v>1717</v>
      </c>
      <c r="BD55" s="4" t="s">
        <v>1653</v>
      </c>
      <c r="BE55" s="8"/>
      <c r="BF55" s="8"/>
      <c r="BG55" s="8"/>
      <c r="BH55" s="8"/>
      <c r="BI55" s="8"/>
      <c r="BJ55" s="8"/>
      <c r="BK55" s="8"/>
      <c r="BL55" s="4" t="str">
        <f t="shared" si="7"/>
        <v/>
      </c>
      <c r="BM55" s="8" t="str">
        <f t="shared" si="8"/>
        <v/>
      </c>
      <c r="BP55" t="str">
        <f>IF($BO55="","",IFERROR(VLOOKUP($BO55,'01_Warehouse_Ledger'!$A:$N,4,FALSE),""))</f>
        <v/>
      </c>
      <c r="BQ55" t="str">
        <f>IF($BO55="","",IFERROR(VLOOKUP($BO55,'01_Warehouse_Ledger'!$A:$N,5,FALSE),""))</f>
        <v/>
      </c>
      <c r="BR55" t="str">
        <f>IF($BO55="","",IFERROR(VLOOKUP($BO55,'01_Warehouse_Ledger'!$A:$N,13,FALSE),""))</f>
        <v/>
      </c>
    </row>
    <row r="56" spans="1:70">
      <c r="A56" s="8" t="s">
        <v>1645</v>
      </c>
      <c r="B56" s="8" t="s">
        <v>1454</v>
      </c>
      <c r="C56" s="15" t="s">
        <v>1454</v>
      </c>
      <c r="D56" s="15" t="str">
        <f t="shared" si="0"/>
        <v/>
      </c>
      <c r="E56" s="15" t="str">
        <f t="shared" si="5"/>
        <v>No</v>
      </c>
      <c r="F56" t="str">
        <f t="shared" si="6"/>
        <v/>
      </c>
      <c r="G56" s="4" t="s">
        <v>1694</v>
      </c>
      <c r="H56" s="4" t="s">
        <v>1713</v>
      </c>
      <c r="I56" s="4"/>
      <c r="J56" s="2" t="s">
        <v>1435</v>
      </c>
      <c r="K56" s="2" t="s">
        <v>1454</v>
      </c>
      <c r="L56" s="2" t="s">
        <v>1454</v>
      </c>
      <c r="M56" s="2"/>
      <c r="N56" s="4"/>
      <c r="O56" s="4"/>
      <c r="P56" s="4"/>
      <c r="Q56" s="4"/>
      <c r="R56" s="4" t="s">
        <v>1721</v>
      </c>
      <c r="T56" s="4"/>
      <c r="U56" s="4"/>
      <c r="V56" s="4"/>
      <c r="W56" s="4"/>
      <c r="X56" s="4" t="s">
        <v>1722</v>
      </c>
      <c r="Y56" s="4" t="s">
        <v>1723</v>
      </c>
      <c r="Z56" s="4" t="s">
        <v>1724</v>
      </c>
      <c r="AA56" s="4"/>
      <c r="AB56" s="4"/>
      <c r="AC56" s="4"/>
      <c r="AD56" s="4"/>
      <c r="AE56" s="8"/>
      <c r="AF56" s="4"/>
      <c r="AG56" s="4"/>
      <c r="AH56" s="1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8"/>
      <c r="AX56" s="8"/>
      <c r="AY56" s="8"/>
      <c r="AZ56" s="8"/>
      <c r="BA56" s="12"/>
      <c r="BB56" s="8"/>
      <c r="BC56" s="4"/>
      <c r="BD56" s="4" t="s">
        <v>1653</v>
      </c>
      <c r="BE56" s="8"/>
      <c r="BF56" s="8"/>
      <c r="BG56" s="8"/>
      <c r="BH56" s="8"/>
      <c r="BI56" s="8"/>
      <c r="BJ56" s="8"/>
      <c r="BK56" s="8"/>
      <c r="BL56" s="4" t="str">
        <f t="shared" si="7"/>
        <v/>
      </c>
      <c r="BM56" s="8" t="str">
        <f t="shared" si="8"/>
        <v/>
      </c>
      <c r="BP56" t="str">
        <f>IF($BO56="","",IFERROR(VLOOKUP($BO56,'01_Warehouse_Ledger'!$A:$N,4,FALSE),""))</f>
        <v/>
      </c>
      <c r="BQ56" t="str">
        <f>IF($BO56="","",IFERROR(VLOOKUP($BO56,'01_Warehouse_Ledger'!$A:$N,5,FALSE),""))</f>
        <v/>
      </c>
      <c r="BR56" t="str">
        <f>IF($BO56="","",IFERROR(VLOOKUP($BO56,'01_Warehouse_Ledger'!$A:$N,13,FALSE),""))</f>
        <v/>
      </c>
    </row>
    <row r="57" spans="1:70">
      <c r="A57" s="8" t="s">
        <v>1645</v>
      </c>
      <c r="B57" s="8" t="s">
        <v>1454</v>
      </c>
      <c r="C57" s="15" t="s">
        <v>1454</v>
      </c>
      <c r="D57" s="15" t="str">
        <f t="shared" si="0"/>
        <v/>
      </c>
      <c r="E57" s="15" t="str">
        <f t="shared" si="5"/>
        <v>No</v>
      </c>
      <c r="F57" t="str">
        <f t="shared" si="6"/>
        <v/>
      </c>
      <c r="G57" s="4" t="s">
        <v>1694</v>
      </c>
      <c r="H57" s="4" t="s">
        <v>1713</v>
      </c>
      <c r="I57" s="4"/>
      <c r="J57" s="2" t="s">
        <v>1435</v>
      </c>
      <c r="K57" s="2" t="s">
        <v>1454</v>
      </c>
      <c r="L57" s="2" t="s">
        <v>1454</v>
      </c>
      <c r="M57" s="2"/>
      <c r="N57" s="4"/>
      <c r="O57" s="4"/>
      <c r="P57" s="4"/>
      <c r="Q57" s="4"/>
      <c r="R57" s="4" t="s">
        <v>1725</v>
      </c>
      <c r="T57" s="4"/>
      <c r="U57" s="4"/>
      <c r="V57" s="4"/>
      <c r="W57" s="4"/>
      <c r="X57" s="4"/>
      <c r="Y57" s="4" t="s">
        <v>1726</v>
      </c>
      <c r="Z57" s="4" t="s">
        <v>1727</v>
      </c>
      <c r="AA57" s="4"/>
      <c r="AB57" s="4"/>
      <c r="AC57" s="4"/>
      <c r="AD57" s="4"/>
      <c r="AE57" s="8"/>
      <c r="AF57" s="4"/>
      <c r="AG57" s="4"/>
      <c r="AH57" s="1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8"/>
      <c r="AX57" s="8"/>
      <c r="AY57" s="8"/>
      <c r="AZ57" s="8"/>
      <c r="BA57" s="12"/>
      <c r="BB57" s="8"/>
      <c r="BC57" s="4"/>
      <c r="BD57" s="4" t="s">
        <v>1653</v>
      </c>
      <c r="BE57" s="8"/>
      <c r="BF57" s="8"/>
      <c r="BG57" s="8"/>
      <c r="BH57" s="8"/>
      <c r="BI57" s="8"/>
      <c r="BJ57" s="8"/>
      <c r="BK57" s="8"/>
      <c r="BL57" s="4" t="str">
        <f t="shared" si="7"/>
        <v/>
      </c>
      <c r="BM57" s="8" t="str">
        <f t="shared" si="8"/>
        <v/>
      </c>
      <c r="BP57" t="str">
        <f>IF($BO57="","",IFERROR(VLOOKUP($BO57,'01_Warehouse_Ledger'!$A:$N,4,FALSE),""))</f>
        <v/>
      </c>
      <c r="BQ57" t="str">
        <f>IF($BO57="","",IFERROR(VLOOKUP($BO57,'01_Warehouse_Ledger'!$A:$N,5,FALSE),""))</f>
        <v/>
      </c>
      <c r="BR57" t="str">
        <f>IF($BO57="","",IFERROR(VLOOKUP($BO57,'01_Warehouse_Ledger'!$A:$N,13,FALSE),""))</f>
        <v/>
      </c>
    </row>
    <row r="58" spans="1:70">
      <c r="A58" s="8" t="s">
        <v>1645</v>
      </c>
      <c r="B58" s="8" t="s">
        <v>1454</v>
      </c>
      <c r="C58" s="15" t="s">
        <v>1454</v>
      </c>
      <c r="D58" s="15" t="str">
        <f t="shared" si="0"/>
        <v/>
      </c>
      <c r="E58" s="15" t="str">
        <f t="shared" si="5"/>
        <v>No</v>
      </c>
      <c r="F58" t="str">
        <f t="shared" si="6"/>
        <v/>
      </c>
      <c r="G58" s="4" t="s">
        <v>1694</v>
      </c>
      <c r="H58" s="4" t="s">
        <v>1713</v>
      </c>
      <c r="I58" s="4"/>
      <c r="J58" s="2" t="s">
        <v>1435</v>
      </c>
      <c r="K58" s="2" t="s">
        <v>1454</v>
      </c>
      <c r="L58" s="2" t="s">
        <v>1454</v>
      </c>
      <c r="M58" s="2"/>
      <c r="N58" s="4"/>
      <c r="O58" s="4"/>
      <c r="P58" s="4"/>
      <c r="Q58" s="4"/>
      <c r="R58" s="4" t="s">
        <v>1728</v>
      </c>
      <c r="T58" s="4"/>
      <c r="U58" s="4"/>
      <c r="V58" s="4"/>
      <c r="W58" s="4"/>
      <c r="X58" s="4"/>
      <c r="Y58" s="4" t="s">
        <v>1729</v>
      </c>
      <c r="Z58" s="4" t="s">
        <v>1730</v>
      </c>
      <c r="AA58" s="4"/>
      <c r="AB58" s="4"/>
      <c r="AC58" s="4"/>
      <c r="AD58" s="4"/>
      <c r="AE58" s="8"/>
      <c r="AF58" s="4"/>
      <c r="AG58" s="4"/>
      <c r="AH58" s="1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8"/>
      <c r="AX58" s="8"/>
      <c r="AY58" s="8"/>
      <c r="AZ58" s="8"/>
      <c r="BA58" s="12"/>
      <c r="BB58" s="8"/>
      <c r="BC58" s="4"/>
      <c r="BD58" s="4" t="s">
        <v>1653</v>
      </c>
      <c r="BE58" s="8"/>
      <c r="BF58" s="8"/>
      <c r="BG58" s="8"/>
      <c r="BH58" s="8"/>
      <c r="BI58" s="8"/>
      <c r="BJ58" s="8"/>
      <c r="BK58" s="8"/>
      <c r="BL58" s="4" t="str">
        <f t="shared" si="7"/>
        <v/>
      </c>
      <c r="BM58" s="8" t="str">
        <f t="shared" si="8"/>
        <v/>
      </c>
      <c r="BP58" t="str">
        <f>IF($BO58="","",IFERROR(VLOOKUP($BO58,'01_Warehouse_Ledger'!$A:$N,4,FALSE),""))</f>
        <v/>
      </c>
      <c r="BQ58" t="str">
        <f>IF($BO58="","",IFERROR(VLOOKUP($BO58,'01_Warehouse_Ledger'!$A:$N,5,FALSE),""))</f>
        <v/>
      </c>
      <c r="BR58" t="str">
        <f>IF($BO58="","",IFERROR(VLOOKUP($BO58,'01_Warehouse_Ledger'!$A:$N,13,FALSE),""))</f>
        <v/>
      </c>
    </row>
    <row r="59" spans="1:70">
      <c r="A59" s="8" t="s">
        <v>1645</v>
      </c>
      <c r="B59" s="8" t="s">
        <v>1454</v>
      </c>
      <c r="C59" s="15" t="s">
        <v>1454</v>
      </c>
      <c r="D59" s="15" t="str">
        <f t="shared" si="0"/>
        <v/>
      </c>
      <c r="E59" s="15" t="str">
        <f t="shared" si="5"/>
        <v>No</v>
      </c>
      <c r="F59" t="str">
        <f t="shared" si="6"/>
        <v/>
      </c>
      <c r="G59" s="4" t="s">
        <v>1694</v>
      </c>
      <c r="H59" s="4" t="s">
        <v>1713</v>
      </c>
      <c r="I59" s="4"/>
      <c r="J59" s="2" t="s">
        <v>1435</v>
      </c>
      <c r="K59" s="2" t="s">
        <v>1454</v>
      </c>
      <c r="L59" s="2" t="s">
        <v>1454</v>
      </c>
      <c r="M59" s="2"/>
      <c r="N59" s="4"/>
      <c r="O59" s="4"/>
      <c r="P59" s="4"/>
      <c r="Q59" s="4"/>
      <c r="R59" s="4" t="s">
        <v>1731</v>
      </c>
      <c r="T59" s="4"/>
      <c r="U59" s="4"/>
      <c r="V59" s="4"/>
      <c r="W59" s="4"/>
      <c r="X59" s="4"/>
      <c r="Y59" s="4" t="s">
        <v>1732</v>
      </c>
      <c r="Z59" s="4" t="s">
        <v>1733</v>
      </c>
      <c r="AA59" s="4"/>
      <c r="AB59" s="4"/>
      <c r="AC59" s="4"/>
      <c r="AD59" s="4"/>
      <c r="AE59" s="8"/>
      <c r="AF59" s="4"/>
      <c r="AG59" s="4"/>
      <c r="AH59" s="1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8"/>
      <c r="AX59" s="8"/>
      <c r="AY59" s="8"/>
      <c r="AZ59" s="8"/>
      <c r="BA59" s="12"/>
      <c r="BB59" s="8"/>
      <c r="BC59" s="4"/>
      <c r="BD59" s="4" t="s">
        <v>1653</v>
      </c>
      <c r="BE59" s="8"/>
      <c r="BF59" s="8"/>
      <c r="BG59" s="8"/>
      <c r="BH59" s="8"/>
      <c r="BI59" s="8"/>
      <c r="BJ59" s="8"/>
      <c r="BK59" s="8"/>
      <c r="BL59" s="4" t="str">
        <f t="shared" si="7"/>
        <v/>
      </c>
      <c r="BM59" s="8" t="str">
        <f t="shared" si="8"/>
        <v/>
      </c>
      <c r="BP59" t="str">
        <f>IF($BO59="","",IFERROR(VLOOKUP($BO59,'01_Warehouse_Ledger'!$A:$N,4,FALSE),""))</f>
        <v/>
      </c>
      <c r="BQ59" t="str">
        <f>IF($BO59="","",IFERROR(VLOOKUP($BO59,'01_Warehouse_Ledger'!$A:$N,5,FALSE),""))</f>
        <v/>
      </c>
      <c r="BR59" t="str">
        <f>IF($BO59="","",IFERROR(VLOOKUP($BO59,'01_Warehouse_Ledger'!$A:$N,13,FALSE),""))</f>
        <v/>
      </c>
    </row>
    <row r="60" spans="1:70">
      <c r="A60" s="8" t="s">
        <v>1645</v>
      </c>
      <c r="B60" s="8" t="s">
        <v>1454</v>
      </c>
      <c r="C60" s="15" t="s">
        <v>1454</v>
      </c>
      <c r="D60" s="15" t="str">
        <f t="shared" si="0"/>
        <v/>
      </c>
      <c r="E60" s="15" t="str">
        <f t="shared" si="5"/>
        <v>No</v>
      </c>
      <c r="F60" t="str">
        <f t="shared" si="6"/>
        <v/>
      </c>
      <c r="G60" s="4" t="s">
        <v>1694</v>
      </c>
      <c r="H60" s="4" t="s">
        <v>1713</v>
      </c>
      <c r="I60" s="4"/>
      <c r="J60" s="2" t="s">
        <v>1435</v>
      </c>
      <c r="K60" s="2" t="s">
        <v>1454</v>
      </c>
      <c r="L60" s="2" t="s">
        <v>1454</v>
      </c>
      <c r="M60" s="2"/>
      <c r="N60" s="4"/>
      <c r="O60" s="4"/>
      <c r="P60" s="4"/>
      <c r="Q60" s="4"/>
      <c r="R60" s="4" t="s">
        <v>1734</v>
      </c>
      <c r="T60" s="4"/>
      <c r="U60" s="4"/>
      <c r="V60" s="4"/>
      <c r="W60" s="4"/>
      <c r="X60" s="4"/>
      <c r="Y60" s="4" t="s">
        <v>1735</v>
      </c>
      <c r="Z60" s="4" t="s">
        <v>1736</v>
      </c>
      <c r="AA60" s="4"/>
      <c r="AB60" s="4"/>
      <c r="AC60" s="4"/>
      <c r="AD60" s="4"/>
      <c r="AE60" s="8"/>
      <c r="AF60" s="4"/>
      <c r="AG60" s="4"/>
      <c r="AH60" s="1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8"/>
      <c r="AX60" s="8"/>
      <c r="AY60" s="8"/>
      <c r="AZ60" s="8"/>
      <c r="BA60" s="12"/>
      <c r="BB60" s="8"/>
      <c r="BC60" s="4"/>
      <c r="BD60" s="4" t="s">
        <v>1653</v>
      </c>
      <c r="BE60" s="8"/>
      <c r="BF60" s="8"/>
      <c r="BG60" s="8"/>
      <c r="BH60" s="8"/>
      <c r="BI60" s="8"/>
      <c r="BJ60" s="8"/>
      <c r="BK60" s="8"/>
      <c r="BL60" s="4" t="str">
        <f t="shared" si="7"/>
        <v/>
      </c>
      <c r="BM60" s="8" t="str">
        <f t="shared" si="8"/>
        <v/>
      </c>
      <c r="BP60" t="str">
        <f>IF($BO60="","",IFERROR(VLOOKUP($BO60,'01_Warehouse_Ledger'!$A:$N,4,FALSE),""))</f>
        <v/>
      </c>
      <c r="BQ60" t="str">
        <f>IF($BO60="","",IFERROR(VLOOKUP($BO60,'01_Warehouse_Ledger'!$A:$N,5,FALSE),""))</f>
        <v/>
      </c>
      <c r="BR60" t="str">
        <f>IF($BO60="","",IFERROR(VLOOKUP($BO60,'01_Warehouse_Ledger'!$A:$N,13,FALSE),""))</f>
        <v/>
      </c>
    </row>
    <row r="61" spans="1:70">
      <c r="A61" s="8" t="s">
        <v>1645</v>
      </c>
      <c r="B61" s="8" t="s">
        <v>1454</v>
      </c>
      <c r="C61" s="15" t="s">
        <v>1454</v>
      </c>
      <c r="D61" s="15" t="str">
        <f t="shared" si="0"/>
        <v/>
      </c>
      <c r="E61" s="15" t="str">
        <f t="shared" si="5"/>
        <v>No</v>
      </c>
      <c r="F61" t="str">
        <f t="shared" si="6"/>
        <v/>
      </c>
      <c r="G61" s="4" t="s">
        <v>1694</v>
      </c>
      <c r="H61" s="4" t="s">
        <v>1713</v>
      </c>
      <c r="I61" s="4"/>
      <c r="J61" s="2" t="s">
        <v>1435</v>
      </c>
      <c r="K61" s="2" t="s">
        <v>1454</v>
      </c>
      <c r="L61" s="2" t="s">
        <v>1454</v>
      </c>
      <c r="M61" s="2"/>
      <c r="N61" s="4"/>
      <c r="O61" s="4"/>
      <c r="P61" s="4"/>
      <c r="Q61" s="4"/>
      <c r="R61" s="4" t="s">
        <v>1737</v>
      </c>
      <c r="T61" s="4"/>
      <c r="U61" s="4"/>
      <c r="V61" s="4"/>
      <c r="W61" s="4"/>
      <c r="X61" s="4"/>
      <c r="Y61" s="4" t="s">
        <v>1738</v>
      </c>
      <c r="Z61" s="4" t="s">
        <v>1739</v>
      </c>
      <c r="AA61" s="4"/>
      <c r="AB61" s="4"/>
      <c r="AC61" s="4"/>
      <c r="AD61" s="4"/>
      <c r="AE61" s="8"/>
      <c r="AF61" s="4"/>
      <c r="AG61" s="4"/>
      <c r="AH61" s="1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8"/>
      <c r="AX61" s="8"/>
      <c r="AY61" s="8"/>
      <c r="AZ61" s="8"/>
      <c r="BA61" s="12"/>
      <c r="BB61" s="8"/>
      <c r="BC61" s="4"/>
      <c r="BD61" s="4" t="s">
        <v>1653</v>
      </c>
      <c r="BE61" s="8"/>
      <c r="BF61" s="8"/>
      <c r="BG61" s="8"/>
      <c r="BH61" s="8"/>
      <c r="BI61" s="8"/>
      <c r="BJ61" s="8"/>
      <c r="BK61" s="8"/>
      <c r="BL61" s="4" t="str">
        <f t="shared" si="7"/>
        <v/>
      </c>
      <c r="BM61" s="8" t="str">
        <f t="shared" si="8"/>
        <v/>
      </c>
      <c r="BP61" t="str">
        <f>IF($BO61="","",IFERROR(VLOOKUP($BO61,'01_Warehouse_Ledger'!$A:$N,4,FALSE),""))</f>
        <v/>
      </c>
      <c r="BQ61" t="str">
        <f>IF($BO61="","",IFERROR(VLOOKUP($BO61,'01_Warehouse_Ledger'!$A:$N,5,FALSE),""))</f>
        <v/>
      </c>
      <c r="BR61" t="str">
        <f>IF($BO61="","",IFERROR(VLOOKUP($BO61,'01_Warehouse_Ledger'!$A:$N,13,FALSE),""))</f>
        <v/>
      </c>
    </row>
    <row r="62" spans="1:70">
      <c r="A62" s="8" t="s">
        <v>1645</v>
      </c>
      <c r="B62" s="8" t="s">
        <v>1454</v>
      </c>
      <c r="C62" s="15" t="s">
        <v>1454</v>
      </c>
      <c r="D62" s="15" t="str">
        <f t="shared" si="0"/>
        <v/>
      </c>
      <c r="E62" s="15" t="str">
        <f t="shared" si="5"/>
        <v>No</v>
      </c>
      <c r="F62" t="str">
        <f t="shared" si="6"/>
        <v/>
      </c>
      <c r="G62" s="4" t="s">
        <v>1694</v>
      </c>
      <c r="H62" s="4" t="s">
        <v>1713</v>
      </c>
      <c r="I62" s="4"/>
      <c r="J62" s="2" t="s">
        <v>1435</v>
      </c>
      <c r="K62" s="2" t="s">
        <v>1454</v>
      </c>
      <c r="L62" s="2" t="s">
        <v>1454</v>
      </c>
      <c r="M62" s="2"/>
      <c r="N62" s="4"/>
      <c r="O62" s="4"/>
      <c r="P62" s="4"/>
      <c r="Q62" s="4"/>
      <c r="R62" s="4" t="s">
        <v>1740</v>
      </c>
      <c r="T62" s="4"/>
      <c r="U62" s="4"/>
      <c r="V62" s="4"/>
      <c r="W62" s="4"/>
      <c r="X62" s="4"/>
      <c r="Y62" s="4" t="s">
        <v>1741</v>
      </c>
      <c r="Z62" s="4" t="s">
        <v>1742</v>
      </c>
      <c r="AA62" s="4"/>
      <c r="AB62" s="4"/>
      <c r="AC62" s="4"/>
      <c r="AD62" s="4"/>
      <c r="AE62" s="8"/>
      <c r="AF62" s="4"/>
      <c r="AG62" s="4"/>
      <c r="AH62" s="1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8"/>
      <c r="AX62" s="8"/>
      <c r="AY62" s="8"/>
      <c r="AZ62" s="8"/>
      <c r="BA62" s="12"/>
      <c r="BB62" s="8"/>
      <c r="BC62" s="4"/>
      <c r="BD62" s="4" t="s">
        <v>1653</v>
      </c>
      <c r="BE62" s="8"/>
      <c r="BF62" s="8"/>
      <c r="BG62" s="8"/>
      <c r="BH62" s="8"/>
      <c r="BI62" s="8"/>
      <c r="BJ62" s="8"/>
      <c r="BK62" s="8"/>
      <c r="BL62" s="4" t="str">
        <f t="shared" si="7"/>
        <v/>
      </c>
      <c r="BM62" s="8" t="str">
        <f t="shared" si="8"/>
        <v/>
      </c>
      <c r="BP62" t="str">
        <f>IF($BO62="","",IFERROR(VLOOKUP($BO62,'01_Warehouse_Ledger'!$A:$N,4,FALSE),""))</f>
        <v/>
      </c>
      <c r="BQ62" t="str">
        <f>IF($BO62="","",IFERROR(VLOOKUP($BO62,'01_Warehouse_Ledger'!$A:$N,5,FALSE),""))</f>
        <v/>
      </c>
      <c r="BR62" t="str">
        <f>IF($BO62="","",IFERROR(VLOOKUP($BO62,'01_Warehouse_Ledger'!$A:$N,13,FALSE),""))</f>
        <v/>
      </c>
    </row>
    <row r="63" spans="1:70">
      <c r="A63" s="8" t="s">
        <v>1645</v>
      </c>
      <c r="B63" s="8" t="s">
        <v>1454</v>
      </c>
      <c r="C63" s="15" t="s">
        <v>1454</v>
      </c>
      <c r="D63" s="15" t="str">
        <f t="shared" si="0"/>
        <v/>
      </c>
      <c r="E63" s="15" t="str">
        <f t="shared" si="5"/>
        <v>No</v>
      </c>
      <c r="F63" t="str">
        <f t="shared" si="6"/>
        <v/>
      </c>
      <c r="G63" s="4" t="s">
        <v>1694</v>
      </c>
      <c r="H63" s="4" t="s">
        <v>1713</v>
      </c>
      <c r="I63" s="4"/>
      <c r="J63" s="2" t="s">
        <v>1435</v>
      </c>
      <c r="K63" s="2" t="s">
        <v>1454</v>
      </c>
      <c r="L63" s="2" t="s">
        <v>1454</v>
      </c>
      <c r="M63" s="2"/>
      <c r="N63" s="4"/>
      <c r="O63" s="4"/>
      <c r="P63" s="4"/>
      <c r="Q63" s="4"/>
      <c r="R63" s="4" t="s">
        <v>1743</v>
      </c>
      <c r="T63" s="4"/>
      <c r="U63" s="4"/>
      <c r="V63" s="4"/>
      <c r="W63" s="4"/>
      <c r="X63" s="4"/>
      <c r="Y63" s="4" t="s">
        <v>1744</v>
      </c>
      <c r="Z63" s="4" t="s">
        <v>1745</v>
      </c>
      <c r="AA63" s="4"/>
      <c r="AB63" s="4"/>
      <c r="AC63" s="4"/>
      <c r="AD63" s="4"/>
      <c r="AE63" s="8"/>
      <c r="AF63" s="4"/>
      <c r="AG63" s="4"/>
      <c r="AH63" s="1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8"/>
      <c r="AX63" s="8"/>
      <c r="AY63" s="8"/>
      <c r="AZ63" s="8"/>
      <c r="BA63" s="12"/>
      <c r="BB63" s="8"/>
      <c r="BC63" s="4"/>
      <c r="BD63" s="4" t="s">
        <v>1653</v>
      </c>
      <c r="BE63" s="8"/>
      <c r="BF63" s="8"/>
      <c r="BG63" s="8"/>
      <c r="BH63" s="8"/>
      <c r="BI63" s="8"/>
      <c r="BJ63" s="8"/>
      <c r="BK63" s="8"/>
      <c r="BL63" s="4" t="str">
        <f t="shared" si="7"/>
        <v/>
      </c>
      <c r="BM63" s="8" t="str">
        <f t="shared" si="8"/>
        <v/>
      </c>
      <c r="BP63" t="str">
        <f>IF($BO63="","",IFERROR(VLOOKUP($BO63,'01_Warehouse_Ledger'!$A:$N,4,FALSE),""))</f>
        <v/>
      </c>
      <c r="BQ63" t="str">
        <f>IF($BO63="","",IFERROR(VLOOKUP($BO63,'01_Warehouse_Ledger'!$A:$N,5,FALSE),""))</f>
        <v/>
      </c>
      <c r="BR63" t="str">
        <f>IF($BO63="","",IFERROR(VLOOKUP($BO63,'01_Warehouse_Ledger'!$A:$N,13,FALSE),""))</f>
        <v/>
      </c>
    </row>
    <row r="64" spans="1:70">
      <c r="A64" s="8" t="s">
        <v>1645</v>
      </c>
      <c r="B64" s="8" t="s">
        <v>1454</v>
      </c>
      <c r="C64" s="15" t="s">
        <v>1454</v>
      </c>
      <c r="D64" s="15" t="str">
        <f t="shared" si="0"/>
        <v/>
      </c>
      <c r="E64" s="15" t="str">
        <f t="shared" si="5"/>
        <v>No</v>
      </c>
      <c r="F64" t="str">
        <f t="shared" si="6"/>
        <v/>
      </c>
      <c r="G64" s="4" t="s">
        <v>1694</v>
      </c>
      <c r="H64" s="4" t="s">
        <v>1713</v>
      </c>
      <c r="I64" s="4"/>
      <c r="J64" s="2" t="s">
        <v>1435</v>
      </c>
      <c r="K64" s="2" t="s">
        <v>1454</v>
      </c>
      <c r="L64" s="2" t="s">
        <v>1454</v>
      </c>
      <c r="M64" s="2"/>
      <c r="N64" s="4"/>
      <c r="O64" s="4"/>
      <c r="P64" s="4"/>
      <c r="Q64" s="4"/>
      <c r="R64" s="4" t="s">
        <v>1746</v>
      </c>
      <c r="T64" s="4"/>
      <c r="U64" s="4"/>
      <c r="V64" s="4"/>
      <c r="W64" s="4"/>
      <c r="X64" s="4"/>
      <c r="Y64" s="4" t="s">
        <v>1747</v>
      </c>
      <c r="Z64" s="4" t="s">
        <v>1748</v>
      </c>
      <c r="AA64" s="4"/>
      <c r="AB64" s="4"/>
      <c r="AC64" s="4"/>
      <c r="AD64" s="4"/>
      <c r="AE64" s="8"/>
      <c r="AF64" s="4"/>
      <c r="AG64" s="4"/>
      <c r="AH64" s="1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8"/>
      <c r="AX64" s="8"/>
      <c r="AY64" s="8"/>
      <c r="AZ64" s="8"/>
      <c r="BA64" s="12"/>
      <c r="BB64" s="8"/>
      <c r="BC64" s="4"/>
      <c r="BD64" s="4" t="s">
        <v>1653</v>
      </c>
      <c r="BE64" s="8"/>
      <c r="BF64" s="8"/>
      <c r="BG64" s="8"/>
      <c r="BH64" s="8"/>
      <c r="BI64" s="8"/>
      <c r="BJ64" s="8"/>
      <c r="BK64" s="8"/>
      <c r="BL64" s="4" t="str">
        <f t="shared" si="7"/>
        <v/>
      </c>
      <c r="BM64" s="8" t="str">
        <f t="shared" si="8"/>
        <v/>
      </c>
      <c r="BP64" t="str">
        <f>IF($BO64="","",IFERROR(VLOOKUP($BO64,'01_Warehouse_Ledger'!$A:$N,4,FALSE),""))</f>
        <v/>
      </c>
      <c r="BQ64" t="str">
        <f>IF($BO64="","",IFERROR(VLOOKUP($BO64,'01_Warehouse_Ledger'!$A:$N,5,FALSE),""))</f>
        <v/>
      </c>
      <c r="BR64" t="str">
        <f>IF($BO64="","",IFERROR(VLOOKUP($BO64,'01_Warehouse_Ledger'!$A:$N,13,FALSE),""))</f>
        <v/>
      </c>
    </row>
    <row r="65" spans="1:70">
      <c r="A65" s="8" t="s">
        <v>1645</v>
      </c>
      <c r="B65" s="8" t="s">
        <v>1454</v>
      </c>
      <c r="C65" s="15" t="s">
        <v>1454</v>
      </c>
      <c r="D65" s="15" t="str">
        <f t="shared" si="0"/>
        <v/>
      </c>
      <c r="E65" s="15" t="str">
        <f t="shared" si="5"/>
        <v>No</v>
      </c>
      <c r="F65" t="str">
        <f t="shared" si="6"/>
        <v/>
      </c>
      <c r="G65" s="4" t="s">
        <v>1694</v>
      </c>
      <c r="H65" s="4" t="s">
        <v>1713</v>
      </c>
      <c r="I65" s="4"/>
      <c r="J65" s="2" t="s">
        <v>1435</v>
      </c>
      <c r="K65" s="2" t="s">
        <v>1454</v>
      </c>
      <c r="L65" s="2" t="s">
        <v>1454</v>
      </c>
      <c r="M65" s="2"/>
      <c r="N65" s="4"/>
      <c r="O65" s="4"/>
      <c r="P65" s="4"/>
      <c r="Q65" s="4"/>
      <c r="R65" s="4" t="s">
        <v>1749</v>
      </c>
      <c r="T65" s="4"/>
      <c r="U65" s="4"/>
      <c r="V65" s="4"/>
      <c r="W65" s="4"/>
      <c r="X65" s="4"/>
      <c r="Y65" s="4" t="s">
        <v>1750</v>
      </c>
      <c r="Z65" s="19" t="s">
        <v>1751</v>
      </c>
      <c r="AA65" s="4"/>
      <c r="AB65" s="4"/>
      <c r="AC65" s="4"/>
      <c r="AD65" s="4"/>
      <c r="AE65" s="8"/>
      <c r="AF65" s="4"/>
      <c r="AG65" s="4"/>
      <c r="AH65" s="1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8"/>
      <c r="AX65" s="8"/>
      <c r="AY65" s="8"/>
      <c r="AZ65" s="8"/>
      <c r="BA65" s="12"/>
      <c r="BB65" s="8"/>
      <c r="BC65" s="4"/>
      <c r="BD65" s="4" t="s">
        <v>1653</v>
      </c>
      <c r="BE65" s="8"/>
      <c r="BF65" s="8"/>
      <c r="BG65" s="8"/>
      <c r="BH65" s="8"/>
      <c r="BI65" s="8"/>
      <c r="BJ65" s="8"/>
      <c r="BK65" s="8"/>
      <c r="BL65" s="4" t="str">
        <f t="shared" si="7"/>
        <v/>
      </c>
      <c r="BM65" s="8" t="str">
        <f t="shared" si="8"/>
        <v/>
      </c>
      <c r="BP65" t="str">
        <f>IF($BO65="","",IFERROR(VLOOKUP($BO65,'01_Warehouse_Ledger'!$A:$N,4,FALSE),""))</f>
        <v/>
      </c>
      <c r="BQ65" t="str">
        <f>IF($BO65="","",IFERROR(VLOOKUP($BO65,'01_Warehouse_Ledger'!$A:$N,5,FALSE),""))</f>
        <v/>
      </c>
      <c r="BR65" t="str">
        <f>IF($BO65="","",IFERROR(VLOOKUP($BO65,'01_Warehouse_Ledger'!$A:$N,13,FALSE),""))</f>
        <v/>
      </c>
    </row>
    <row r="66" spans="1:70">
      <c r="A66" s="8" t="s">
        <v>1645</v>
      </c>
      <c r="B66" s="8" t="s">
        <v>1454</v>
      </c>
      <c r="C66" s="15" t="s">
        <v>1454</v>
      </c>
      <c r="D66" s="15" t="str">
        <f t="shared" ref="D66:D129" si="9">IF($B66&lt;&gt;"Yes","",IF($C66="No","Yes",IF($C66="Yes","No","")))</f>
        <v/>
      </c>
      <c r="E66" s="15" t="str">
        <f t="shared" si="5"/>
        <v>No</v>
      </c>
      <c r="F66" t="str">
        <f t="shared" si="6"/>
        <v/>
      </c>
      <c r="G66" s="4" t="s">
        <v>1694</v>
      </c>
      <c r="H66" s="4" t="s">
        <v>1713</v>
      </c>
      <c r="I66" s="4"/>
      <c r="J66" s="2" t="s">
        <v>1435</v>
      </c>
      <c r="K66" s="2" t="s">
        <v>1454</v>
      </c>
      <c r="L66" s="2" t="s">
        <v>1454</v>
      </c>
      <c r="M66" s="2"/>
      <c r="N66" s="4"/>
      <c r="O66" s="4"/>
      <c r="P66" s="4"/>
      <c r="Q66" s="4"/>
      <c r="R66" s="4" t="s">
        <v>1752</v>
      </c>
      <c r="T66" s="4"/>
      <c r="U66" s="4"/>
      <c r="V66" s="4"/>
      <c r="W66" s="4"/>
      <c r="X66" s="4"/>
      <c r="Y66" t="s">
        <v>1753</v>
      </c>
      <c r="Z66" s="4" t="s">
        <v>1754</v>
      </c>
      <c r="AA66" s="4"/>
      <c r="AB66" s="4"/>
      <c r="AC66" s="4"/>
      <c r="AD66" s="4"/>
      <c r="AE66" s="8"/>
      <c r="AF66" s="4"/>
      <c r="AG66" s="4"/>
      <c r="AH66" s="1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8"/>
      <c r="AX66" s="8"/>
      <c r="AY66" s="8"/>
      <c r="AZ66" s="8"/>
      <c r="BA66" s="12"/>
      <c r="BB66" s="8"/>
      <c r="BC66" s="4"/>
      <c r="BD66" s="4"/>
      <c r="BE66" s="8"/>
      <c r="BF66" s="8"/>
      <c r="BG66" s="8"/>
      <c r="BH66" s="8"/>
      <c r="BI66" s="8"/>
      <c r="BJ66" s="8"/>
      <c r="BK66" s="8"/>
      <c r="BL66" s="4" t="str">
        <f t="shared" si="7"/>
        <v/>
      </c>
      <c r="BM66" s="8" t="str">
        <f t="shared" si="8"/>
        <v/>
      </c>
      <c r="BP66" t="str">
        <f>IF($BO66="","",IFERROR(VLOOKUP($BO66,'01_Warehouse_Ledger'!$A:$N,4,FALSE),""))</f>
        <v/>
      </c>
      <c r="BQ66" t="str">
        <f>IF($BO66="","",IFERROR(VLOOKUP($BO66,'01_Warehouse_Ledger'!$A:$N,5,FALSE),""))</f>
        <v/>
      </c>
      <c r="BR66" t="str">
        <f>IF($BO66="","",IFERROR(VLOOKUP($BO66,'01_Warehouse_Ledger'!$A:$N,13,FALSE),""))</f>
        <v/>
      </c>
    </row>
    <row r="67" spans="1:70">
      <c r="A67" s="8" t="s">
        <v>1645</v>
      </c>
      <c r="B67" s="8" t="s">
        <v>1454</v>
      </c>
      <c r="C67" s="15" t="s">
        <v>1454</v>
      </c>
      <c r="D67" s="15" t="str">
        <f t="shared" si="9"/>
        <v/>
      </c>
      <c r="E67" s="15" t="str">
        <f t="shared" si="5"/>
        <v>No</v>
      </c>
      <c r="F67" t="str">
        <f t="shared" si="6"/>
        <v/>
      </c>
      <c r="G67" s="4" t="s">
        <v>1694</v>
      </c>
      <c r="H67" s="4" t="s">
        <v>1713</v>
      </c>
      <c r="I67" s="4"/>
      <c r="J67" s="2" t="s">
        <v>1435</v>
      </c>
      <c r="K67" s="2" t="s">
        <v>1454</v>
      </c>
      <c r="L67" s="2" t="s">
        <v>1454</v>
      </c>
      <c r="M67" s="2"/>
      <c r="N67" s="4"/>
      <c r="O67" s="4"/>
      <c r="P67" s="4"/>
      <c r="Q67" s="4"/>
      <c r="R67" s="4" t="s">
        <v>1755</v>
      </c>
      <c r="T67" s="4"/>
      <c r="U67" s="4"/>
      <c r="V67" s="4"/>
      <c r="W67" s="4"/>
      <c r="X67" s="4"/>
      <c r="Y67" s="4" t="s">
        <v>1756</v>
      </c>
      <c r="Z67" s="4" t="s">
        <v>1757</v>
      </c>
      <c r="AA67" s="4"/>
      <c r="AB67" s="4"/>
      <c r="AC67" s="4"/>
      <c r="AD67" s="4"/>
      <c r="AE67" s="8"/>
      <c r="AF67" s="4"/>
      <c r="AG67" s="4"/>
      <c r="AH67" s="1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8"/>
      <c r="AX67" s="8"/>
      <c r="AY67" s="8"/>
      <c r="AZ67" s="8"/>
      <c r="BA67" s="12"/>
      <c r="BB67" s="8"/>
      <c r="BC67" s="4"/>
      <c r="BD67" s="4"/>
      <c r="BE67" s="8"/>
      <c r="BF67" s="8"/>
      <c r="BG67" s="8"/>
      <c r="BH67" s="8"/>
      <c r="BI67" s="8"/>
      <c r="BJ67" s="8"/>
      <c r="BK67" s="8"/>
      <c r="BL67" s="4" t="str">
        <f t="shared" si="7"/>
        <v/>
      </c>
      <c r="BM67" s="8" t="str">
        <f t="shared" si="8"/>
        <v/>
      </c>
      <c r="BP67" t="str">
        <f>IF($BO67="","",IFERROR(VLOOKUP($BO67,'01_Warehouse_Ledger'!$A:$N,4,FALSE),""))</f>
        <v/>
      </c>
      <c r="BQ67" t="str">
        <f>IF($BO67="","",IFERROR(VLOOKUP($BO67,'01_Warehouse_Ledger'!$A:$N,5,FALSE),""))</f>
        <v/>
      </c>
      <c r="BR67" t="str">
        <f>IF($BO67="","",IFERROR(VLOOKUP($BO67,'01_Warehouse_Ledger'!$A:$N,13,FALSE),""))</f>
        <v/>
      </c>
    </row>
    <row r="68" spans="1:70">
      <c r="A68" s="8" t="s">
        <v>1645</v>
      </c>
      <c r="B68" s="8" t="s">
        <v>1454</v>
      </c>
      <c r="C68" s="15" t="s">
        <v>1454</v>
      </c>
      <c r="D68" s="15" t="str">
        <f t="shared" si="9"/>
        <v/>
      </c>
      <c r="E68" s="15" t="str">
        <f t="shared" si="5"/>
        <v>No</v>
      </c>
      <c r="F68" t="str">
        <f t="shared" si="6"/>
        <v/>
      </c>
      <c r="G68" s="4" t="s">
        <v>1694</v>
      </c>
      <c r="H68" s="4" t="s">
        <v>1713</v>
      </c>
      <c r="I68" s="4"/>
      <c r="J68" s="2" t="s">
        <v>1435</v>
      </c>
      <c r="K68" s="2" t="s">
        <v>1454</v>
      </c>
      <c r="L68" s="2" t="s">
        <v>1454</v>
      </c>
      <c r="M68" s="2"/>
      <c r="N68" s="4"/>
      <c r="O68" s="4"/>
      <c r="P68" s="4"/>
      <c r="Q68" s="4"/>
      <c r="R68" s="4" t="s">
        <v>1758</v>
      </c>
      <c r="T68" s="4"/>
      <c r="U68" s="4"/>
      <c r="V68" s="4"/>
      <c r="W68" s="4"/>
      <c r="X68" s="4"/>
      <c r="Y68" s="4" t="s">
        <v>1759</v>
      </c>
      <c r="Z68" s="4" t="s">
        <v>1760</v>
      </c>
      <c r="AA68" s="4"/>
      <c r="AB68" s="4"/>
      <c r="AC68" s="4"/>
      <c r="AD68" s="4"/>
      <c r="AE68" s="8"/>
      <c r="AF68" s="4"/>
      <c r="AG68" s="4"/>
      <c r="AH68" s="1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8"/>
      <c r="AX68" s="8"/>
      <c r="AY68" s="8"/>
      <c r="AZ68" s="8"/>
      <c r="BA68" s="12"/>
      <c r="BB68" s="8"/>
      <c r="BC68" s="4"/>
      <c r="BD68" s="4"/>
      <c r="BE68" s="8"/>
      <c r="BF68" s="8"/>
      <c r="BG68" s="8"/>
      <c r="BH68" s="8"/>
      <c r="BI68" s="8"/>
      <c r="BJ68" s="8"/>
      <c r="BK68" s="8"/>
      <c r="BL68" s="4" t="str">
        <f t="shared" si="7"/>
        <v/>
      </c>
      <c r="BM68" s="8" t="str">
        <f t="shared" si="8"/>
        <v/>
      </c>
      <c r="BP68" t="str">
        <f>IF($BO68="","",IFERROR(VLOOKUP($BO68,'01_Warehouse_Ledger'!$A:$N,4,FALSE),""))</f>
        <v/>
      </c>
      <c r="BQ68" t="str">
        <f>IF($BO68="","",IFERROR(VLOOKUP($BO68,'01_Warehouse_Ledger'!$A:$N,5,FALSE),""))</f>
        <v/>
      </c>
      <c r="BR68" t="str">
        <f>IF($BO68="","",IFERROR(VLOOKUP($BO68,'01_Warehouse_Ledger'!$A:$N,13,FALSE),""))</f>
        <v/>
      </c>
    </row>
    <row r="69" spans="1:70">
      <c r="A69" s="8" t="s">
        <v>1645</v>
      </c>
      <c r="B69" s="8" t="s">
        <v>1454</v>
      </c>
      <c r="C69" s="15" t="s">
        <v>1454</v>
      </c>
      <c r="D69" s="15" t="str">
        <f t="shared" si="9"/>
        <v/>
      </c>
      <c r="E69" s="15" t="str">
        <f t="shared" si="5"/>
        <v>No</v>
      </c>
      <c r="F69" t="str">
        <f t="shared" si="6"/>
        <v/>
      </c>
      <c r="G69" s="4" t="s">
        <v>1694</v>
      </c>
      <c r="H69" s="4" t="s">
        <v>1761</v>
      </c>
      <c r="I69" s="4"/>
      <c r="J69" s="2" t="s">
        <v>1435</v>
      </c>
      <c r="K69" s="2" t="s">
        <v>1454</v>
      </c>
      <c r="L69" s="2" t="s">
        <v>1454</v>
      </c>
      <c r="M69" s="2"/>
      <c r="N69" s="4"/>
      <c r="O69" s="4"/>
      <c r="P69" s="4"/>
      <c r="Q69" s="4"/>
      <c r="R69" s="4" t="s">
        <v>1762</v>
      </c>
      <c r="T69" s="4"/>
      <c r="U69" s="4"/>
      <c r="V69" s="4"/>
      <c r="W69" s="4"/>
      <c r="X69" s="4"/>
      <c r="Y69" s="4" t="s">
        <v>1763</v>
      </c>
      <c r="Z69" s="4" t="s">
        <v>1764</v>
      </c>
      <c r="AA69" s="4"/>
      <c r="AB69" s="4"/>
      <c r="AC69" s="4"/>
      <c r="AD69" s="4"/>
      <c r="AE69" s="8"/>
      <c r="AF69" s="4"/>
      <c r="AG69" s="4"/>
      <c r="AH69" s="1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8"/>
      <c r="AX69" s="8"/>
      <c r="AY69" s="8"/>
      <c r="AZ69" s="8"/>
      <c r="BA69" s="12"/>
      <c r="BB69" s="8"/>
      <c r="BC69" s="4"/>
      <c r="BD69" s="4"/>
      <c r="BE69" s="8"/>
      <c r="BF69" s="8"/>
      <c r="BG69" s="8"/>
      <c r="BH69" s="8"/>
      <c r="BI69" s="8"/>
      <c r="BJ69" s="8"/>
      <c r="BK69" s="8"/>
      <c r="BL69" s="4" t="str">
        <f t="shared" si="7"/>
        <v/>
      </c>
      <c r="BM69" s="8" t="str">
        <f t="shared" si="8"/>
        <v/>
      </c>
      <c r="BP69" t="str">
        <f>IF($BO69="","",IFERROR(VLOOKUP($BO69,'01_Warehouse_Ledger'!$A:$N,4,FALSE),""))</f>
        <v/>
      </c>
      <c r="BQ69" t="str">
        <f>IF($BO69="","",IFERROR(VLOOKUP($BO69,'01_Warehouse_Ledger'!$A:$N,5,FALSE),""))</f>
        <v/>
      </c>
      <c r="BR69" t="str">
        <f>IF($BO69="","",IFERROR(VLOOKUP($BO69,'01_Warehouse_Ledger'!$A:$N,13,FALSE),""))</f>
        <v/>
      </c>
    </row>
    <row r="70" spans="1:70">
      <c r="A70" s="8" t="s">
        <v>1645</v>
      </c>
      <c r="B70" s="8" t="s">
        <v>1454</v>
      </c>
      <c r="C70" s="15" t="s">
        <v>1454</v>
      </c>
      <c r="D70" s="15" t="str">
        <f t="shared" si="9"/>
        <v/>
      </c>
      <c r="E70" s="15" t="str">
        <f t="shared" si="5"/>
        <v>No</v>
      </c>
      <c r="F70" t="str">
        <f t="shared" si="6"/>
        <v/>
      </c>
      <c r="G70" s="4" t="s">
        <v>1694</v>
      </c>
      <c r="H70" s="4" t="s">
        <v>1761</v>
      </c>
      <c r="I70" s="4"/>
      <c r="J70" s="2" t="s">
        <v>1435</v>
      </c>
      <c r="K70" s="2" t="s">
        <v>1454</v>
      </c>
      <c r="L70" s="2" t="s">
        <v>1454</v>
      </c>
      <c r="M70" s="2"/>
      <c r="N70" s="4"/>
      <c r="O70" s="4"/>
      <c r="P70" s="4"/>
      <c r="Q70" s="4"/>
      <c r="R70" s="4" t="s">
        <v>1765</v>
      </c>
      <c r="T70" s="4"/>
      <c r="U70" s="4"/>
      <c r="V70" s="4"/>
      <c r="W70" s="4"/>
      <c r="X70" s="4"/>
      <c r="Y70" s="4" t="s">
        <v>1766</v>
      </c>
      <c r="Z70" s="4" t="s">
        <v>1767</v>
      </c>
      <c r="AA70" s="4"/>
      <c r="AB70" s="4"/>
      <c r="AC70" s="4"/>
      <c r="AD70" s="4"/>
      <c r="AE70" s="8"/>
      <c r="AF70" s="4"/>
      <c r="AG70" s="4"/>
      <c r="AH70" s="1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8"/>
      <c r="AX70" s="8"/>
      <c r="AY70" s="8"/>
      <c r="AZ70" s="8"/>
      <c r="BA70" s="12"/>
      <c r="BB70" s="8"/>
      <c r="BC70" s="4"/>
      <c r="BD70" s="4"/>
      <c r="BE70" s="8"/>
      <c r="BF70" s="8"/>
      <c r="BG70" s="8"/>
      <c r="BH70" s="8"/>
      <c r="BI70" s="8"/>
      <c r="BJ70" s="8"/>
      <c r="BK70" s="8"/>
      <c r="BL70" s="4" t="str">
        <f t="shared" si="7"/>
        <v/>
      </c>
      <c r="BM70" s="8" t="str">
        <f t="shared" si="8"/>
        <v/>
      </c>
      <c r="BP70" t="str">
        <f>IF($BO70="","",IFERROR(VLOOKUP($BO70,'01_Warehouse_Ledger'!$A:$N,4,FALSE),""))</f>
        <v/>
      </c>
      <c r="BQ70" t="str">
        <f>IF($BO70="","",IFERROR(VLOOKUP($BO70,'01_Warehouse_Ledger'!$A:$N,5,FALSE),""))</f>
        <v/>
      </c>
      <c r="BR70" t="str">
        <f>IF($BO70="","",IFERROR(VLOOKUP($BO70,'01_Warehouse_Ledger'!$A:$N,13,FALSE),""))</f>
        <v/>
      </c>
    </row>
    <row r="71" spans="1:70">
      <c r="A71" s="8" t="s">
        <v>1645</v>
      </c>
      <c r="B71" s="8" t="s">
        <v>1454</v>
      </c>
      <c r="C71" s="15" t="s">
        <v>1454</v>
      </c>
      <c r="D71" s="15" t="str">
        <f t="shared" si="9"/>
        <v/>
      </c>
      <c r="E71" s="15" t="str">
        <f t="shared" si="5"/>
        <v>No</v>
      </c>
      <c r="F71" t="str">
        <f t="shared" si="6"/>
        <v/>
      </c>
      <c r="G71" s="4" t="s">
        <v>1694</v>
      </c>
      <c r="H71" s="4" t="s">
        <v>1761</v>
      </c>
      <c r="I71" s="4"/>
      <c r="J71" s="2" t="s">
        <v>1435</v>
      </c>
      <c r="K71" s="2" t="s">
        <v>1454</v>
      </c>
      <c r="L71" s="2" t="s">
        <v>1454</v>
      </c>
      <c r="M71" s="2"/>
      <c r="N71" s="4"/>
      <c r="O71" s="4"/>
      <c r="P71" s="4"/>
      <c r="Q71" s="4"/>
      <c r="R71" s="4" t="s">
        <v>1768</v>
      </c>
      <c r="T71" s="4"/>
      <c r="U71" s="4"/>
      <c r="V71" s="4"/>
      <c r="W71" s="4"/>
      <c r="X71" s="4"/>
      <c r="Y71" s="4" t="s">
        <v>1769</v>
      </c>
      <c r="Z71" s="4" t="s">
        <v>1770</v>
      </c>
      <c r="AA71" s="4"/>
      <c r="AB71" s="4"/>
      <c r="AC71" s="4"/>
      <c r="AD71" s="4"/>
      <c r="AE71" s="8"/>
      <c r="AF71" s="4"/>
      <c r="AG71" s="4"/>
      <c r="AH71" s="1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8"/>
      <c r="AX71" s="8"/>
      <c r="AY71" s="8"/>
      <c r="AZ71" s="8"/>
      <c r="BA71" s="12"/>
      <c r="BB71" s="8"/>
      <c r="BC71" s="4"/>
      <c r="BD71" s="4"/>
      <c r="BE71" s="8"/>
      <c r="BF71" s="8"/>
      <c r="BG71" s="8"/>
      <c r="BH71" s="8"/>
      <c r="BI71" s="8"/>
      <c r="BJ71" s="8"/>
      <c r="BK71" s="8"/>
      <c r="BL71" s="4" t="str">
        <f t="shared" si="7"/>
        <v/>
      </c>
      <c r="BM71" s="8" t="str">
        <f t="shared" si="8"/>
        <v/>
      </c>
      <c r="BP71" t="str">
        <f>IF($BO71="","",IFERROR(VLOOKUP($BO71,'01_Warehouse_Ledger'!$A:$N,4,FALSE),""))</f>
        <v/>
      </c>
      <c r="BQ71" t="str">
        <f>IF($BO71="","",IFERROR(VLOOKUP($BO71,'01_Warehouse_Ledger'!$A:$N,5,FALSE),""))</f>
        <v/>
      </c>
      <c r="BR71" t="str">
        <f>IF($BO71="","",IFERROR(VLOOKUP($BO71,'01_Warehouse_Ledger'!$A:$N,13,FALSE),""))</f>
        <v/>
      </c>
    </row>
    <row r="72" spans="1:70">
      <c r="A72" s="8" t="s">
        <v>1645</v>
      </c>
      <c r="B72" s="8" t="s">
        <v>1454</v>
      </c>
      <c r="C72" s="15" t="s">
        <v>1454</v>
      </c>
      <c r="D72" s="15" t="str">
        <f t="shared" si="9"/>
        <v/>
      </c>
      <c r="E72" s="15" t="str">
        <f t="shared" si="5"/>
        <v>No</v>
      </c>
      <c r="F72" t="str">
        <f t="shared" si="6"/>
        <v/>
      </c>
      <c r="G72" s="4" t="s">
        <v>1694</v>
      </c>
      <c r="H72" s="4" t="s">
        <v>1761</v>
      </c>
      <c r="I72" s="4"/>
      <c r="J72" s="2" t="s">
        <v>1435</v>
      </c>
      <c r="K72" s="2" t="s">
        <v>1454</v>
      </c>
      <c r="L72" s="2" t="s">
        <v>1454</v>
      </c>
      <c r="M72" s="2"/>
      <c r="N72" s="4"/>
      <c r="O72" s="4"/>
      <c r="P72" s="4"/>
      <c r="Q72" s="4"/>
      <c r="R72" s="4" t="s">
        <v>1771</v>
      </c>
      <c r="T72" s="4"/>
      <c r="U72" s="4"/>
      <c r="V72" s="4"/>
      <c r="W72" s="4"/>
      <c r="X72" s="4"/>
      <c r="Y72" s="4" t="s">
        <v>1772</v>
      </c>
      <c r="Z72" s="4" t="s">
        <v>1773</v>
      </c>
      <c r="AA72" s="4"/>
      <c r="AB72" s="4"/>
      <c r="AC72" s="4"/>
      <c r="AD72" s="4"/>
      <c r="AE72" s="8"/>
      <c r="AF72" s="4"/>
      <c r="AG72" s="4"/>
      <c r="AH72" s="1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8"/>
      <c r="AX72" s="8"/>
      <c r="AY72" s="8"/>
      <c r="AZ72" s="8"/>
      <c r="BA72" s="12"/>
      <c r="BB72" s="8"/>
      <c r="BC72" s="4"/>
      <c r="BD72" s="4"/>
      <c r="BE72" s="8"/>
      <c r="BF72" s="8"/>
      <c r="BG72" s="8"/>
      <c r="BH72" s="8"/>
      <c r="BI72" s="8"/>
      <c r="BJ72" s="8"/>
      <c r="BK72" s="8"/>
      <c r="BL72" s="4" t="str">
        <f t="shared" si="7"/>
        <v/>
      </c>
      <c r="BM72" s="8" t="str">
        <f t="shared" si="8"/>
        <v/>
      </c>
      <c r="BP72" t="str">
        <f>IF($BO72="","",IFERROR(VLOOKUP($BO72,'01_Warehouse_Ledger'!$A:$N,4,FALSE),""))</f>
        <v/>
      </c>
      <c r="BQ72" t="str">
        <f>IF($BO72="","",IFERROR(VLOOKUP($BO72,'01_Warehouse_Ledger'!$A:$N,5,FALSE),""))</f>
        <v/>
      </c>
      <c r="BR72" t="str">
        <f>IF($BO72="","",IFERROR(VLOOKUP($BO72,'01_Warehouse_Ledger'!$A:$N,13,FALSE),""))</f>
        <v/>
      </c>
    </row>
    <row r="73" spans="1:70">
      <c r="A73" s="8" t="s">
        <v>1645</v>
      </c>
      <c r="B73" s="8" t="s">
        <v>1454</v>
      </c>
      <c r="C73" s="15" t="s">
        <v>1454</v>
      </c>
      <c r="D73" s="15" t="str">
        <f t="shared" si="9"/>
        <v/>
      </c>
      <c r="E73" s="15" t="str">
        <f t="shared" si="5"/>
        <v>No</v>
      </c>
      <c r="F73" t="str">
        <f t="shared" si="6"/>
        <v/>
      </c>
      <c r="G73" s="4" t="s">
        <v>1694</v>
      </c>
      <c r="H73" s="4" t="s">
        <v>1761</v>
      </c>
      <c r="I73" s="4"/>
      <c r="J73" s="2" t="s">
        <v>1435</v>
      </c>
      <c r="K73" s="2" t="s">
        <v>1454</v>
      </c>
      <c r="L73" s="2" t="s">
        <v>1454</v>
      </c>
      <c r="M73" s="2"/>
      <c r="N73" s="4"/>
      <c r="O73" s="4"/>
      <c r="P73" s="4"/>
      <c r="Q73" s="4"/>
      <c r="R73" s="4" t="s">
        <v>1774</v>
      </c>
      <c r="T73" s="4"/>
      <c r="U73" s="4"/>
      <c r="V73" s="4"/>
      <c r="W73" s="4"/>
      <c r="X73" s="4"/>
      <c r="Y73" s="4" t="s">
        <v>1775</v>
      </c>
      <c r="Z73" s="4" t="s">
        <v>1776</v>
      </c>
      <c r="AA73" s="4"/>
      <c r="AB73" s="4"/>
      <c r="AC73" s="4"/>
      <c r="AD73" s="4"/>
      <c r="AE73" s="8"/>
      <c r="AF73" s="4"/>
      <c r="AG73" s="4"/>
      <c r="AH73" s="1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8"/>
      <c r="AX73" s="8"/>
      <c r="AY73" s="8"/>
      <c r="AZ73" s="8"/>
      <c r="BA73" s="12"/>
      <c r="BB73" s="8"/>
      <c r="BC73" s="4"/>
      <c r="BD73" s="4"/>
      <c r="BE73" s="8"/>
      <c r="BF73" s="8"/>
      <c r="BG73" s="8"/>
      <c r="BH73" s="8"/>
      <c r="BI73" s="8"/>
      <c r="BJ73" s="8"/>
      <c r="BK73" s="8"/>
      <c r="BL73" s="4" t="str">
        <f t="shared" si="7"/>
        <v/>
      </c>
      <c r="BM73" s="8" t="str">
        <f t="shared" si="8"/>
        <v/>
      </c>
      <c r="BP73" t="str">
        <f>IF($BO73="","",IFERROR(VLOOKUP($BO73,'01_Warehouse_Ledger'!$A:$N,4,FALSE),""))</f>
        <v/>
      </c>
      <c r="BQ73" t="str">
        <f>IF($BO73="","",IFERROR(VLOOKUP($BO73,'01_Warehouse_Ledger'!$A:$N,5,FALSE),""))</f>
        <v/>
      </c>
      <c r="BR73" t="str">
        <f>IF($BO73="","",IFERROR(VLOOKUP($BO73,'01_Warehouse_Ledger'!$A:$N,13,FALSE),""))</f>
        <v/>
      </c>
    </row>
    <row r="74" spans="1:70">
      <c r="A74" s="8" t="s">
        <v>1645</v>
      </c>
      <c r="B74" s="8" t="s">
        <v>1454</v>
      </c>
      <c r="C74" s="15" t="s">
        <v>1454</v>
      </c>
      <c r="D74" s="15" t="str">
        <f t="shared" si="9"/>
        <v/>
      </c>
      <c r="E74" s="15" t="str">
        <f t="shared" si="5"/>
        <v>No</v>
      </c>
      <c r="F74" t="str">
        <f t="shared" si="6"/>
        <v/>
      </c>
      <c r="G74" s="4" t="s">
        <v>1694</v>
      </c>
      <c r="H74" s="4" t="s">
        <v>1761</v>
      </c>
      <c r="I74" s="4"/>
      <c r="J74" s="2" t="s">
        <v>1435</v>
      </c>
      <c r="K74" s="2" t="s">
        <v>1454</v>
      </c>
      <c r="L74" s="2" t="s">
        <v>1454</v>
      </c>
      <c r="M74" s="2"/>
      <c r="N74" s="4"/>
      <c r="O74" s="4"/>
      <c r="P74" s="4"/>
      <c r="Q74" s="4"/>
      <c r="R74" s="4" t="s">
        <v>1777</v>
      </c>
      <c r="T74" s="4"/>
      <c r="U74" s="4"/>
      <c r="V74" s="4"/>
      <c r="W74" s="4"/>
      <c r="X74" s="4"/>
      <c r="Y74" s="4" t="s">
        <v>1778</v>
      </c>
      <c r="Z74" s="4" t="s">
        <v>1779</v>
      </c>
      <c r="AA74" s="4"/>
      <c r="AB74" s="4"/>
      <c r="AC74" s="4"/>
      <c r="AD74" s="4"/>
      <c r="AE74" s="8"/>
      <c r="AF74" s="4"/>
      <c r="AG74" s="4"/>
      <c r="AH74" s="1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8"/>
      <c r="AX74" s="8"/>
      <c r="AY74" s="8"/>
      <c r="AZ74" s="8"/>
      <c r="BA74" s="12"/>
      <c r="BB74" s="8"/>
      <c r="BC74" s="4"/>
      <c r="BD74" s="4"/>
      <c r="BE74" s="8"/>
      <c r="BF74" s="8"/>
      <c r="BG74" s="8"/>
      <c r="BH74" s="8"/>
      <c r="BI74" s="8"/>
      <c r="BJ74" s="8"/>
      <c r="BK74" s="8"/>
      <c r="BL74" s="4" t="str">
        <f t="shared" si="7"/>
        <v/>
      </c>
      <c r="BM74" s="8" t="str">
        <f t="shared" si="8"/>
        <v/>
      </c>
      <c r="BP74" t="str">
        <f>IF($BO74="","",IFERROR(VLOOKUP($BO74,'01_Warehouse_Ledger'!$A:$N,4,FALSE),""))</f>
        <v/>
      </c>
      <c r="BQ74" t="str">
        <f>IF($BO74="","",IFERROR(VLOOKUP($BO74,'01_Warehouse_Ledger'!$A:$N,5,FALSE),""))</f>
        <v/>
      </c>
      <c r="BR74" t="str">
        <f>IF($BO74="","",IFERROR(VLOOKUP($BO74,'01_Warehouse_Ledger'!$A:$N,13,FALSE),""))</f>
        <v/>
      </c>
    </row>
    <row r="75" spans="1:70">
      <c r="A75" s="8" t="s">
        <v>1645</v>
      </c>
      <c r="B75" s="8" t="s">
        <v>1454</v>
      </c>
      <c r="C75" s="15" t="s">
        <v>1454</v>
      </c>
      <c r="D75" s="15" t="str">
        <f t="shared" si="9"/>
        <v/>
      </c>
      <c r="E75" s="15" t="str">
        <f t="shared" si="5"/>
        <v>No</v>
      </c>
      <c r="F75" t="str">
        <f t="shared" si="6"/>
        <v/>
      </c>
      <c r="G75" s="4" t="s">
        <v>1694</v>
      </c>
      <c r="H75" s="4" t="s">
        <v>1761</v>
      </c>
      <c r="I75" s="4"/>
      <c r="J75" s="2" t="s">
        <v>1435</v>
      </c>
      <c r="K75" s="2" t="s">
        <v>1454</v>
      </c>
      <c r="L75" s="2" t="s">
        <v>1454</v>
      </c>
      <c r="M75" s="2"/>
      <c r="N75" s="4"/>
      <c r="O75" s="4"/>
      <c r="P75" s="4"/>
      <c r="Q75" s="4"/>
      <c r="R75" s="4" t="s">
        <v>1780</v>
      </c>
      <c r="T75" s="4"/>
      <c r="U75" s="4"/>
      <c r="V75" s="4"/>
      <c r="W75" s="4"/>
      <c r="X75" s="4"/>
      <c r="Y75" s="4" t="s">
        <v>1781</v>
      </c>
      <c r="Z75" s="4" t="s">
        <v>1782</v>
      </c>
      <c r="AA75" s="4"/>
      <c r="AB75" s="4"/>
      <c r="AC75" s="4"/>
      <c r="AD75" s="4"/>
      <c r="AE75" s="8"/>
      <c r="AF75" s="4"/>
      <c r="AG75" s="4"/>
      <c r="AH75" s="1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8"/>
      <c r="AX75" s="8"/>
      <c r="AY75" s="8"/>
      <c r="AZ75" s="8"/>
      <c r="BA75" s="12"/>
      <c r="BB75" s="8"/>
      <c r="BC75" s="4"/>
      <c r="BD75" s="4"/>
      <c r="BE75" s="8"/>
      <c r="BF75" s="8"/>
      <c r="BG75" s="8"/>
      <c r="BH75" s="8"/>
      <c r="BI75" s="8"/>
      <c r="BJ75" s="8"/>
      <c r="BK75" s="8"/>
      <c r="BL75" s="4" t="str">
        <f t="shared" si="7"/>
        <v/>
      </c>
      <c r="BM75" s="8" t="str">
        <f t="shared" si="8"/>
        <v/>
      </c>
      <c r="BP75" t="str">
        <f>IF($BO75="","",IFERROR(VLOOKUP($BO75,'01_Warehouse_Ledger'!$A:$N,4,FALSE),""))</f>
        <v/>
      </c>
      <c r="BQ75" t="str">
        <f>IF($BO75="","",IFERROR(VLOOKUP($BO75,'01_Warehouse_Ledger'!$A:$N,5,FALSE),""))</f>
        <v/>
      </c>
      <c r="BR75" t="str">
        <f>IF($BO75="","",IFERROR(VLOOKUP($BO75,'01_Warehouse_Ledger'!$A:$N,13,FALSE),""))</f>
        <v/>
      </c>
    </row>
    <row r="76" spans="1:70">
      <c r="A76" s="8" t="s">
        <v>1645</v>
      </c>
      <c r="B76" s="8" t="s">
        <v>1454</v>
      </c>
      <c r="C76" s="15" t="s">
        <v>1454</v>
      </c>
      <c r="D76" s="15" t="str">
        <f t="shared" si="9"/>
        <v/>
      </c>
      <c r="E76" s="15" t="str">
        <f t="shared" si="5"/>
        <v>No</v>
      </c>
      <c r="F76" t="str">
        <f t="shared" si="6"/>
        <v/>
      </c>
      <c r="G76" s="4" t="s">
        <v>1694</v>
      </c>
      <c r="H76" s="4" t="s">
        <v>1761</v>
      </c>
      <c r="I76" s="4"/>
      <c r="J76" s="2" t="s">
        <v>1435</v>
      </c>
      <c r="K76" s="2" t="s">
        <v>1454</v>
      </c>
      <c r="L76" s="2" t="s">
        <v>1454</v>
      </c>
      <c r="M76" s="2"/>
      <c r="N76" s="4"/>
      <c r="O76" s="4"/>
      <c r="P76" s="4"/>
      <c r="Q76" s="4"/>
      <c r="R76" s="4" t="s">
        <v>1783</v>
      </c>
      <c r="T76" s="4"/>
      <c r="U76" s="4"/>
      <c r="V76" s="4"/>
      <c r="W76" s="4"/>
      <c r="X76" s="4"/>
      <c r="Y76" s="4" t="s">
        <v>1784</v>
      </c>
      <c r="Z76" s="4" t="s">
        <v>1785</v>
      </c>
      <c r="AA76" s="4"/>
      <c r="AB76" s="4"/>
      <c r="AC76" s="4"/>
      <c r="AD76" s="4"/>
      <c r="AE76" s="8"/>
      <c r="AF76" s="4"/>
      <c r="AG76" s="4"/>
      <c r="AH76" s="1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8"/>
      <c r="AX76" s="8"/>
      <c r="AY76" s="8"/>
      <c r="AZ76" s="8"/>
      <c r="BA76" s="12"/>
      <c r="BB76" s="8"/>
      <c r="BC76" s="4"/>
      <c r="BD76" s="4"/>
      <c r="BE76" s="8"/>
      <c r="BF76" s="8"/>
      <c r="BG76" s="8"/>
      <c r="BH76" s="8"/>
      <c r="BI76" s="8"/>
      <c r="BJ76" s="8"/>
      <c r="BK76" s="8"/>
      <c r="BL76" s="4" t="str">
        <f t="shared" si="7"/>
        <v/>
      </c>
      <c r="BM76" s="8" t="str">
        <f t="shared" si="8"/>
        <v/>
      </c>
      <c r="BP76" t="str">
        <f>IF($BO76="","",IFERROR(VLOOKUP($BO76,'01_Warehouse_Ledger'!$A:$N,4,FALSE),""))</f>
        <v/>
      </c>
      <c r="BQ76" t="str">
        <f>IF($BO76="","",IFERROR(VLOOKUP($BO76,'01_Warehouse_Ledger'!$A:$N,5,FALSE),""))</f>
        <v/>
      </c>
      <c r="BR76" t="str">
        <f>IF($BO76="","",IFERROR(VLOOKUP($BO76,'01_Warehouse_Ledger'!$A:$N,13,FALSE),""))</f>
        <v/>
      </c>
    </row>
    <row r="77" spans="1:70">
      <c r="A77" s="8" t="s">
        <v>1645</v>
      </c>
      <c r="B77" s="8" t="s">
        <v>1454</v>
      </c>
      <c r="C77" s="15" t="s">
        <v>1454</v>
      </c>
      <c r="D77" s="15" t="str">
        <f t="shared" si="9"/>
        <v/>
      </c>
      <c r="E77" s="15" t="str">
        <f t="shared" si="5"/>
        <v>No</v>
      </c>
      <c r="F77" t="str">
        <f t="shared" si="6"/>
        <v/>
      </c>
      <c r="G77" s="4" t="s">
        <v>1694</v>
      </c>
      <c r="H77" s="4" t="s">
        <v>1761</v>
      </c>
      <c r="I77" s="4"/>
      <c r="J77" s="2" t="s">
        <v>1435</v>
      </c>
      <c r="K77" s="2" t="s">
        <v>1454</v>
      </c>
      <c r="L77" s="2" t="s">
        <v>1454</v>
      </c>
      <c r="M77" s="2"/>
      <c r="N77" s="4"/>
      <c r="O77" s="4"/>
      <c r="P77" s="4"/>
      <c r="Q77" s="4"/>
      <c r="R77" s="4" t="s">
        <v>1786</v>
      </c>
      <c r="T77" s="4"/>
      <c r="U77" s="4"/>
      <c r="V77" s="4"/>
      <c r="W77" s="4"/>
      <c r="X77" s="4"/>
      <c r="Y77" s="4" t="s">
        <v>1787</v>
      </c>
      <c r="Z77" s="4" t="s">
        <v>1788</v>
      </c>
      <c r="AA77" s="4"/>
      <c r="AB77" s="4"/>
      <c r="AC77" s="4"/>
      <c r="AD77" s="4"/>
      <c r="AE77" s="8"/>
      <c r="AF77" s="4"/>
      <c r="AG77" s="4"/>
      <c r="AH77" s="1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8"/>
      <c r="AX77" s="8"/>
      <c r="AY77" s="8"/>
      <c r="AZ77" s="8"/>
      <c r="BA77" s="12"/>
      <c r="BB77" s="8"/>
      <c r="BC77" s="4"/>
      <c r="BD77" s="4"/>
      <c r="BE77" s="8"/>
      <c r="BF77" s="8"/>
      <c r="BG77" s="8"/>
      <c r="BH77" s="8"/>
      <c r="BI77" s="8"/>
      <c r="BJ77" s="8"/>
      <c r="BK77" s="8"/>
      <c r="BL77" s="4" t="str">
        <f t="shared" si="7"/>
        <v/>
      </c>
      <c r="BM77" s="8" t="str">
        <f t="shared" si="8"/>
        <v/>
      </c>
      <c r="BP77" t="str">
        <f>IF($BO77="","",IFERROR(VLOOKUP($BO77,'01_Warehouse_Ledger'!$A:$N,4,FALSE),""))</f>
        <v/>
      </c>
      <c r="BQ77" t="str">
        <f>IF($BO77="","",IFERROR(VLOOKUP($BO77,'01_Warehouse_Ledger'!$A:$N,5,FALSE),""))</f>
        <v/>
      </c>
      <c r="BR77" t="str">
        <f>IF($BO77="","",IFERROR(VLOOKUP($BO77,'01_Warehouse_Ledger'!$A:$N,13,FALSE),""))</f>
        <v/>
      </c>
    </row>
    <row r="78" spans="1:70">
      <c r="A78" s="8" t="s">
        <v>1645</v>
      </c>
      <c r="B78" s="8"/>
      <c r="C78" s="15" t="s">
        <v>1454</v>
      </c>
      <c r="D78" s="15" t="str">
        <f t="shared" si="9"/>
        <v/>
      </c>
      <c r="E78" s="15" t="str">
        <f t="shared" si="5"/>
        <v>No</v>
      </c>
      <c r="F78" t="str">
        <f t="shared" si="6"/>
        <v/>
      </c>
      <c r="G78" s="4" t="s">
        <v>1694</v>
      </c>
      <c r="H78" s="4" t="s">
        <v>1789</v>
      </c>
      <c r="I78" s="4"/>
      <c r="J78" s="2" t="s">
        <v>1435</v>
      </c>
      <c r="K78" s="2" t="s">
        <v>1454</v>
      </c>
      <c r="L78" s="2" t="s">
        <v>1454</v>
      </c>
      <c r="M78" s="2"/>
      <c r="N78" s="4"/>
      <c r="O78" s="4"/>
      <c r="P78" s="4"/>
      <c r="Q78" s="4"/>
      <c r="R78" s="4" t="s">
        <v>1790</v>
      </c>
      <c r="T78" s="4"/>
      <c r="U78" s="4"/>
      <c r="V78" s="4"/>
      <c r="W78" s="4"/>
      <c r="X78" s="4"/>
      <c r="Y78" s="4" t="s">
        <v>1791</v>
      </c>
      <c r="Z78" s="4" t="s">
        <v>1792</v>
      </c>
      <c r="AA78" s="4"/>
      <c r="AB78" s="4"/>
      <c r="AC78" s="4"/>
      <c r="AD78" s="4"/>
      <c r="AE78" s="8"/>
      <c r="AF78" s="4"/>
      <c r="AG78" s="4"/>
      <c r="AH78" s="1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8"/>
      <c r="AX78" s="8"/>
      <c r="AY78" s="8"/>
      <c r="AZ78" s="8"/>
      <c r="BA78" s="12"/>
      <c r="BB78" s="8"/>
      <c r="BC78" s="4"/>
      <c r="BD78" s="4"/>
      <c r="BE78" s="8"/>
      <c r="BF78" s="8"/>
      <c r="BG78" s="8"/>
      <c r="BH78" s="8"/>
      <c r="BI78" s="8"/>
      <c r="BJ78" s="8"/>
      <c r="BK78" s="8"/>
      <c r="BL78" s="4" t="str">
        <f t="shared" si="7"/>
        <v/>
      </c>
      <c r="BM78" s="8" t="str">
        <f t="shared" si="8"/>
        <v/>
      </c>
      <c r="BP78" t="str">
        <f>IF($BO78="","",IFERROR(VLOOKUP($BO78,'01_Warehouse_Ledger'!$A:$N,4,FALSE),""))</f>
        <v/>
      </c>
      <c r="BQ78" t="str">
        <f>IF($BO78="","",IFERROR(VLOOKUP($BO78,'01_Warehouse_Ledger'!$A:$N,5,FALSE),""))</f>
        <v/>
      </c>
      <c r="BR78" t="str">
        <f>IF($BO78="","",IFERROR(VLOOKUP($BO78,'01_Warehouse_Ledger'!$A:$N,13,FALSE),""))</f>
        <v/>
      </c>
    </row>
    <row r="79" spans="1:70">
      <c r="A79" s="8" t="s">
        <v>1645</v>
      </c>
      <c r="B79" s="8"/>
      <c r="C79" s="15" t="s">
        <v>1454</v>
      </c>
      <c r="D79" s="15" t="str">
        <f t="shared" si="9"/>
        <v/>
      </c>
      <c r="E79" s="15" t="str">
        <f t="shared" si="5"/>
        <v>No</v>
      </c>
      <c r="F79" t="str">
        <f t="shared" si="6"/>
        <v/>
      </c>
      <c r="G79" s="4" t="s">
        <v>1694</v>
      </c>
      <c r="H79" s="4" t="s">
        <v>1789</v>
      </c>
      <c r="I79" s="4"/>
      <c r="J79" s="2" t="s">
        <v>1435</v>
      </c>
      <c r="K79" s="2" t="s">
        <v>1454</v>
      </c>
      <c r="L79" s="2" t="s">
        <v>1454</v>
      </c>
      <c r="M79" s="2"/>
      <c r="N79" s="4"/>
      <c r="O79" s="4"/>
      <c r="P79" s="4"/>
      <c r="Q79" s="4"/>
      <c r="R79" s="4" t="s">
        <v>1793</v>
      </c>
      <c r="T79" s="4"/>
      <c r="U79" s="4"/>
      <c r="V79" s="4"/>
      <c r="W79" s="4"/>
      <c r="X79" s="4"/>
      <c r="Y79" s="4" t="s">
        <v>1794</v>
      </c>
      <c r="Z79" s="4" t="s">
        <v>1795</v>
      </c>
      <c r="AA79" s="4"/>
      <c r="AB79" s="4"/>
      <c r="AC79" s="4"/>
      <c r="AD79" s="4"/>
      <c r="AE79" s="8"/>
      <c r="AF79" s="4"/>
      <c r="AG79" s="4"/>
      <c r="AH79" s="1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8"/>
      <c r="AX79" s="8"/>
      <c r="AY79" s="8"/>
      <c r="AZ79" s="8"/>
      <c r="BA79" s="12"/>
      <c r="BB79" s="8"/>
      <c r="BC79" s="4"/>
      <c r="BD79" s="4"/>
      <c r="BE79" s="8"/>
      <c r="BF79" s="8"/>
      <c r="BG79" s="8"/>
      <c r="BH79" s="8"/>
      <c r="BI79" s="8"/>
      <c r="BJ79" s="8"/>
      <c r="BK79" s="8"/>
      <c r="BL79" s="4" t="str">
        <f t="shared" si="7"/>
        <v/>
      </c>
      <c r="BM79" s="8" t="str">
        <f t="shared" si="8"/>
        <v/>
      </c>
      <c r="BP79" t="str">
        <f>IF($BO79="","",IFERROR(VLOOKUP($BO79,'01_Warehouse_Ledger'!$A:$N,4,FALSE),""))</f>
        <v/>
      </c>
      <c r="BQ79" t="str">
        <f>IF($BO79="","",IFERROR(VLOOKUP($BO79,'01_Warehouse_Ledger'!$A:$N,5,FALSE),""))</f>
        <v/>
      </c>
      <c r="BR79" t="str">
        <f>IF($BO79="","",IFERROR(VLOOKUP($BO79,'01_Warehouse_Ledger'!$A:$N,13,FALSE),""))</f>
        <v/>
      </c>
    </row>
    <row r="80" spans="1:70">
      <c r="A80" s="8" t="s">
        <v>1645</v>
      </c>
      <c r="B80" s="8"/>
      <c r="C80" s="15" t="s">
        <v>1454</v>
      </c>
      <c r="D80" s="15" t="str">
        <f t="shared" si="9"/>
        <v/>
      </c>
      <c r="E80" s="15" t="str">
        <f t="shared" si="5"/>
        <v>No</v>
      </c>
      <c r="F80" t="str">
        <f t="shared" si="6"/>
        <v/>
      </c>
      <c r="G80" s="4" t="s">
        <v>1694</v>
      </c>
      <c r="H80" s="4" t="s">
        <v>1789</v>
      </c>
      <c r="I80" s="4"/>
      <c r="J80" s="2" t="s">
        <v>1435</v>
      </c>
      <c r="K80" s="2" t="s">
        <v>1454</v>
      </c>
      <c r="L80" s="2" t="s">
        <v>1454</v>
      </c>
      <c r="M80" s="2"/>
      <c r="N80" s="4"/>
      <c r="O80" s="4"/>
      <c r="P80" s="4"/>
      <c r="Q80" s="4"/>
      <c r="R80" s="4" t="s">
        <v>1796</v>
      </c>
      <c r="T80" s="4"/>
      <c r="U80" s="4"/>
      <c r="V80" s="4"/>
      <c r="W80" s="4"/>
      <c r="X80" s="4"/>
      <c r="Y80" s="4" t="s">
        <v>1797</v>
      </c>
      <c r="Z80" s="4" t="s">
        <v>1798</v>
      </c>
      <c r="AA80" s="4"/>
      <c r="AB80" s="4"/>
      <c r="AC80" s="4"/>
      <c r="AD80" s="4"/>
      <c r="AE80" s="8"/>
      <c r="AF80" s="4"/>
      <c r="AG80" s="4"/>
      <c r="AH80" s="1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8"/>
      <c r="AX80" s="8"/>
      <c r="AY80" s="8"/>
      <c r="AZ80" s="8"/>
      <c r="BA80" s="12"/>
      <c r="BB80" s="8"/>
      <c r="BC80" s="4"/>
      <c r="BD80" s="4"/>
      <c r="BE80" s="8"/>
      <c r="BF80" s="8"/>
      <c r="BG80" s="8"/>
      <c r="BH80" s="8"/>
      <c r="BI80" s="8"/>
      <c r="BJ80" s="8"/>
      <c r="BK80" s="8"/>
      <c r="BL80" s="4" t="str">
        <f t="shared" si="7"/>
        <v/>
      </c>
      <c r="BM80" s="8" t="str">
        <f t="shared" si="8"/>
        <v/>
      </c>
      <c r="BP80" t="str">
        <f>IF($BO80="","",IFERROR(VLOOKUP($BO80,'01_Warehouse_Ledger'!$A:$N,4,FALSE),""))</f>
        <v/>
      </c>
      <c r="BQ80" t="str">
        <f>IF($BO80="","",IFERROR(VLOOKUP($BO80,'01_Warehouse_Ledger'!$A:$N,5,FALSE),""))</f>
        <v/>
      </c>
      <c r="BR80" t="str">
        <f>IF($BO80="","",IFERROR(VLOOKUP($BO80,'01_Warehouse_Ledger'!$A:$N,13,FALSE),""))</f>
        <v/>
      </c>
    </row>
    <row r="81" spans="1:70">
      <c r="A81" s="8" t="s">
        <v>1645</v>
      </c>
      <c r="B81" s="8"/>
      <c r="C81" s="15" t="s">
        <v>1454</v>
      </c>
      <c r="D81" s="15" t="str">
        <f t="shared" si="9"/>
        <v/>
      </c>
      <c r="E81" s="15" t="str">
        <f t="shared" si="5"/>
        <v>No</v>
      </c>
      <c r="F81" t="str">
        <f t="shared" si="6"/>
        <v/>
      </c>
      <c r="G81" s="4" t="s">
        <v>1694</v>
      </c>
      <c r="H81" s="4" t="s">
        <v>1789</v>
      </c>
      <c r="I81" s="4"/>
      <c r="J81" s="2" t="s">
        <v>1435</v>
      </c>
      <c r="K81" s="2" t="s">
        <v>1454</v>
      </c>
      <c r="L81" s="2" t="s">
        <v>1454</v>
      </c>
      <c r="M81" s="2"/>
      <c r="N81" s="4"/>
      <c r="O81" s="4"/>
      <c r="P81" s="4"/>
      <c r="Q81" s="4"/>
      <c r="R81" s="4" t="s">
        <v>1799</v>
      </c>
      <c r="T81" s="4"/>
      <c r="U81" s="4"/>
      <c r="V81" s="4"/>
      <c r="W81" s="4"/>
      <c r="X81" s="4"/>
      <c r="Y81" s="4" t="s">
        <v>1800</v>
      </c>
      <c r="Z81" s="4" t="s">
        <v>1801</v>
      </c>
      <c r="AA81" s="4"/>
      <c r="AB81" s="4"/>
      <c r="AC81" s="4"/>
      <c r="AD81" s="4"/>
      <c r="AE81" s="8"/>
      <c r="AF81" s="4"/>
      <c r="AG81" s="4"/>
      <c r="AH81" s="1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8"/>
      <c r="AX81" s="8"/>
      <c r="AY81" s="8"/>
      <c r="AZ81" s="8"/>
      <c r="BA81" s="12"/>
      <c r="BB81" s="8"/>
      <c r="BC81" s="4"/>
      <c r="BD81" s="4"/>
      <c r="BE81" s="8"/>
      <c r="BF81" s="8"/>
      <c r="BG81" s="8"/>
      <c r="BH81" s="8"/>
      <c r="BI81" s="8"/>
      <c r="BJ81" s="8"/>
      <c r="BK81" s="8"/>
      <c r="BL81" s="4" t="str">
        <f t="shared" si="7"/>
        <v/>
      </c>
      <c r="BM81" s="8" t="str">
        <f t="shared" si="8"/>
        <v/>
      </c>
      <c r="BP81" t="str">
        <f>IF($BO81="","",IFERROR(VLOOKUP($BO81,'01_Warehouse_Ledger'!$A:$N,4,FALSE),""))</f>
        <v/>
      </c>
      <c r="BQ81" t="str">
        <f>IF($BO81="","",IFERROR(VLOOKUP($BO81,'01_Warehouse_Ledger'!$A:$N,5,FALSE),""))</f>
        <v/>
      </c>
      <c r="BR81" t="str">
        <f>IF($BO81="","",IFERROR(VLOOKUP($BO81,'01_Warehouse_Ledger'!$A:$N,13,FALSE),""))</f>
        <v/>
      </c>
    </row>
    <row r="82" spans="1:70">
      <c r="A82" s="8" t="s">
        <v>1645</v>
      </c>
      <c r="B82" s="8"/>
      <c r="C82" s="15" t="s">
        <v>1454</v>
      </c>
      <c r="D82" s="15" t="str">
        <f t="shared" si="9"/>
        <v/>
      </c>
      <c r="E82" s="15" t="str">
        <f t="shared" ref="E82:E113" si="10">IF($A82="","",IF($A82="Neuron",IF(OR(AND($R82&lt;&gt;"",LOWER(TRIM($R82))&lt;&gt;"n/a",COUNTIF($S$2:$S$528,$R82)&gt;1),AND($T82&lt;&gt;"",LOWER(TRIM($T82))&lt;&gt;"n/a",COUNTIF($T$2:$T$528,$T82)&gt;1),AND($W82&lt;&gt;"",LOWER(TRIM($W82))&lt;&gt;"n/a",COUNTIF($W$2:$W$528,$W82)&gt;1)),"Yes","No"),IF($A82="Cybernet",IF(OR(AND($Y82&lt;&gt;"",LOWER(TRIM($Y82))&lt;&gt;"n/a",COUNTIF($Y$2:$Y$528,$Y82)&gt;1),AND($Z82&lt;&gt;"",LOWER(TRIM($Z82))&lt;&gt;"n/a",COUNTIF($Z$2:$Z$528,$Z82)&gt;1)),"Yes","No"),IF(AND($AL82&lt;&gt;"",LOWER(TRIM($AL82))&lt;&gt;"n/a",COUNTIF($AL$2:$AL$528,$AL82)&gt;1),"Yes","No"))))</f>
        <v>No</v>
      </c>
      <c r="F82" t="str">
        <f t="shared" ref="F82:F113" si="11">IF($B82&lt;&gt;"Yes","",
IF($A82="Neuron",
IF(OR(
AND($R82&lt;&gt;"",LOWER(TRIM($R82))&lt;&gt;"n/a",COUNTIFS($B$2:$B$528,"Yes",$A$2:$A$528,"Neuron",$S$2:$S$528,$R82)&gt;1),
AND($T82&lt;&gt;"",LOWER(TRIM($T82))&lt;&gt;"n/a",COUNTIFS($B$2:$B$528,"Yes",$A$2:$A$528,"Neuron",$T$2:$T$528,$T82)&gt;1),
AND($W82&lt;&gt;"",LOWER(TRIM($W82))&lt;&gt;"n/a",COUNTIFS($B$2:$B$528,"Yes",$A$2:$A$528,"Neuron",$W$2:$W$528,$W82)&gt;1)
),"Yes","No"),
IF($A82="Cybernet",
IF(OR(
AND($Y82&lt;&gt;"",LOWER(TRIM($Y82))&lt;&gt;"n/a",COUNTIFS($B$2:$B$528,"Yes",$A$2:$A$528,"Cybernet",$Y$2:$Y$528,$Y82)&gt;1),
AND($Z82&lt;&gt;"",LOWER(TRIM($Z82))&lt;&gt;"n/a",COUNTIFS($B$2:$B$528,"Yes",$A$2:$A$528,"Cybernet",$Z$2:$Z$528,$Z82)&gt;1)
),"Yes","No"),
IF(AND($AL82&lt;&gt;"",LOWER(TRIM($AL82))&lt;&gt;"n/a"),
IF(COUNTIFS($B$2:$B$528,"Yes",$A$2:$A$528,$A82,$AL$2:$AL$528,$AL82)&gt;1,"Yes","No"),
"No")
)
)
)</f>
        <v/>
      </c>
      <c r="G82" s="4" t="s">
        <v>1694</v>
      </c>
      <c r="H82" s="4" t="s">
        <v>1789</v>
      </c>
      <c r="I82" s="4"/>
      <c r="J82" s="2" t="s">
        <v>1435</v>
      </c>
      <c r="K82" s="2" t="s">
        <v>1454</v>
      </c>
      <c r="L82" s="2" t="s">
        <v>1454</v>
      </c>
      <c r="M82" s="2"/>
      <c r="N82" s="4"/>
      <c r="O82" s="4"/>
      <c r="P82" s="4"/>
      <c r="Q82" s="4"/>
      <c r="R82" s="4" t="s">
        <v>1802</v>
      </c>
      <c r="T82" s="4"/>
      <c r="U82" s="4"/>
      <c r="V82" s="4"/>
      <c r="W82" s="4"/>
      <c r="X82" s="4"/>
      <c r="Y82" s="4" t="s">
        <v>1803</v>
      </c>
      <c r="Z82" s="4" t="s">
        <v>1804</v>
      </c>
      <c r="AA82" s="4"/>
      <c r="AB82" s="4"/>
      <c r="AC82" s="4"/>
      <c r="AD82" s="4"/>
      <c r="AE82" s="8"/>
      <c r="AF82" s="4"/>
      <c r="AG82" s="4"/>
      <c r="AH82" s="1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8"/>
      <c r="AX82" s="8"/>
      <c r="AY82" s="8"/>
      <c r="AZ82" s="8"/>
      <c r="BA82" s="12"/>
      <c r="BB82" s="8"/>
      <c r="BC82" s="4"/>
      <c r="BD82" s="4"/>
      <c r="BE82" s="8"/>
      <c r="BF82" s="8"/>
      <c r="BG82" s="8"/>
      <c r="BH82" s="8"/>
      <c r="BI82" s="8"/>
      <c r="BJ82" s="8"/>
      <c r="BK82" s="8"/>
      <c r="BL82" s="4" t="str">
        <f t="shared" si="7"/>
        <v/>
      </c>
      <c r="BM82" s="8" t="str">
        <f t="shared" si="8"/>
        <v/>
      </c>
      <c r="BP82" t="str">
        <f>IF($BO82="","",IFERROR(VLOOKUP($BO82,'01_Warehouse_Ledger'!$A:$N,4,FALSE),""))</f>
        <v/>
      </c>
      <c r="BQ82" t="str">
        <f>IF($BO82="","",IFERROR(VLOOKUP($BO82,'01_Warehouse_Ledger'!$A:$N,5,FALSE),""))</f>
        <v/>
      </c>
      <c r="BR82" t="str">
        <f>IF($BO82="","",IFERROR(VLOOKUP($BO82,'01_Warehouse_Ledger'!$A:$N,13,FALSE),""))</f>
        <v/>
      </c>
    </row>
    <row r="83" spans="1:70">
      <c r="A83" s="8" t="s">
        <v>1645</v>
      </c>
      <c r="B83" s="8"/>
      <c r="C83" s="15" t="s">
        <v>1454</v>
      </c>
      <c r="D83" s="15" t="str">
        <f t="shared" si="9"/>
        <v/>
      </c>
      <c r="E83" s="15" t="str">
        <f t="shared" si="10"/>
        <v>No</v>
      </c>
      <c r="F83" t="str">
        <f t="shared" si="11"/>
        <v/>
      </c>
      <c r="G83" s="4" t="s">
        <v>1694</v>
      </c>
      <c r="H83" s="4" t="s">
        <v>1789</v>
      </c>
      <c r="I83" s="4"/>
      <c r="J83" s="2" t="s">
        <v>1435</v>
      </c>
      <c r="K83" s="2" t="s">
        <v>1454</v>
      </c>
      <c r="L83" s="2" t="s">
        <v>1454</v>
      </c>
      <c r="M83" s="2"/>
      <c r="N83" s="4"/>
      <c r="O83" s="4"/>
      <c r="P83" s="4"/>
      <c r="Q83" s="4"/>
      <c r="R83" s="4" t="s">
        <v>1805</v>
      </c>
      <c r="T83" s="4"/>
      <c r="U83" s="4"/>
      <c r="V83" s="4"/>
      <c r="W83" s="4"/>
      <c r="X83" s="4"/>
      <c r="Y83" s="4" t="s">
        <v>1806</v>
      </c>
      <c r="Z83" s="4" t="s">
        <v>1807</v>
      </c>
      <c r="AA83" s="4"/>
      <c r="AB83" s="4"/>
      <c r="AC83" s="4"/>
      <c r="AD83" s="4"/>
      <c r="AE83" s="8"/>
      <c r="AF83" s="4"/>
      <c r="AG83" s="4"/>
      <c r="AH83" s="1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8"/>
      <c r="AX83" s="8"/>
      <c r="AY83" s="8"/>
      <c r="AZ83" s="8"/>
      <c r="BA83" s="12"/>
      <c r="BB83" s="8"/>
      <c r="BC83" s="4"/>
      <c r="BD83" s="4"/>
      <c r="BE83" s="8"/>
      <c r="BF83" s="8"/>
      <c r="BG83" s="8"/>
      <c r="BH83" s="8"/>
      <c r="BI83" s="8"/>
      <c r="BJ83" s="8"/>
      <c r="BK83" s="8"/>
      <c r="BL83" s="4" t="str">
        <f t="shared" si="7"/>
        <v/>
      </c>
      <c r="BM83" s="8" t="str">
        <f t="shared" si="8"/>
        <v/>
      </c>
      <c r="BP83" t="str">
        <f>IF($BO83="","",IFERROR(VLOOKUP($BO83,'01_Warehouse_Ledger'!$A:$N,4,FALSE),""))</f>
        <v/>
      </c>
      <c r="BQ83" t="str">
        <f>IF($BO83="","",IFERROR(VLOOKUP($BO83,'01_Warehouse_Ledger'!$A:$N,5,FALSE),""))</f>
        <v/>
      </c>
      <c r="BR83" t="str">
        <f>IF($BO83="","",IFERROR(VLOOKUP($BO83,'01_Warehouse_Ledger'!$A:$N,13,FALSE),""))</f>
        <v/>
      </c>
    </row>
    <row r="84" spans="1:70">
      <c r="A84" s="8" t="s">
        <v>1645</v>
      </c>
      <c r="B84" s="8"/>
      <c r="C84" s="15" t="s">
        <v>1454</v>
      </c>
      <c r="D84" s="15" t="str">
        <f t="shared" si="9"/>
        <v/>
      </c>
      <c r="E84" s="15" t="str">
        <f t="shared" si="10"/>
        <v>No</v>
      </c>
      <c r="F84" t="str">
        <f t="shared" si="11"/>
        <v/>
      </c>
      <c r="G84" s="4" t="s">
        <v>1694</v>
      </c>
      <c r="H84" s="4" t="s">
        <v>1789</v>
      </c>
      <c r="I84" s="4"/>
      <c r="J84" s="2" t="s">
        <v>1435</v>
      </c>
      <c r="K84" s="2" t="s">
        <v>1454</v>
      </c>
      <c r="L84" s="2" t="s">
        <v>1454</v>
      </c>
      <c r="M84" s="2"/>
      <c r="N84" s="4"/>
      <c r="O84" s="4"/>
      <c r="P84" s="4"/>
      <c r="Q84" s="4"/>
      <c r="R84" s="4" t="s">
        <v>1808</v>
      </c>
      <c r="T84" s="4"/>
      <c r="U84" s="4"/>
      <c r="V84" s="4"/>
      <c r="W84" s="4"/>
      <c r="X84" s="4"/>
      <c r="Y84" s="4" t="s">
        <v>1809</v>
      </c>
      <c r="Z84" s="4" t="s">
        <v>1810</v>
      </c>
      <c r="AA84" s="4"/>
      <c r="AB84" s="4"/>
      <c r="AC84" s="4"/>
      <c r="AD84" s="4"/>
      <c r="AE84" s="8"/>
      <c r="AF84" s="4"/>
      <c r="AG84" s="4"/>
      <c r="AH84" s="1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8"/>
      <c r="AX84" s="8"/>
      <c r="AY84" s="8"/>
      <c r="AZ84" s="8"/>
      <c r="BA84" s="12"/>
      <c r="BB84" s="8"/>
      <c r="BC84" s="4"/>
      <c r="BD84" s="4"/>
      <c r="BE84" s="8"/>
      <c r="BF84" s="8"/>
      <c r="BG84" s="8"/>
      <c r="BH84" s="8"/>
      <c r="BI84" s="8"/>
      <c r="BJ84" s="8"/>
      <c r="BK84" s="8"/>
      <c r="BL84" s="4" t="str">
        <f t="shared" si="7"/>
        <v/>
      </c>
      <c r="BM84" s="8" t="str">
        <f t="shared" si="8"/>
        <v/>
      </c>
      <c r="BP84" t="str">
        <f>IF($BO84="","",IFERROR(VLOOKUP($BO84,'01_Warehouse_Ledger'!$A:$N,4,FALSE),""))</f>
        <v/>
      </c>
      <c r="BQ84" t="str">
        <f>IF($BO84="","",IFERROR(VLOOKUP($BO84,'01_Warehouse_Ledger'!$A:$N,5,FALSE),""))</f>
        <v/>
      </c>
      <c r="BR84" t="str">
        <f>IF($BO84="","",IFERROR(VLOOKUP($BO84,'01_Warehouse_Ledger'!$A:$N,13,FALSE),""))</f>
        <v/>
      </c>
    </row>
    <row r="85" spans="1:70">
      <c r="A85" s="8" t="s">
        <v>1645</v>
      </c>
      <c r="B85" s="8" t="s">
        <v>1454</v>
      </c>
      <c r="C85" s="15" t="s">
        <v>1454</v>
      </c>
      <c r="D85" s="15" t="str">
        <f t="shared" si="9"/>
        <v/>
      </c>
      <c r="E85" s="15" t="str">
        <f t="shared" si="10"/>
        <v>No</v>
      </c>
      <c r="F85" t="str">
        <f t="shared" si="11"/>
        <v/>
      </c>
      <c r="G85" s="4" t="s">
        <v>1694</v>
      </c>
      <c r="H85" s="4" t="s">
        <v>1761</v>
      </c>
      <c r="I85" s="4"/>
      <c r="J85" s="2" t="s">
        <v>1435</v>
      </c>
      <c r="K85" s="2" t="s">
        <v>1454</v>
      </c>
      <c r="L85" s="2" t="s">
        <v>1454</v>
      </c>
      <c r="M85" s="2"/>
      <c r="N85" s="4"/>
      <c r="O85" s="4"/>
      <c r="P85" s="4"/>
      <c r="Q85" s="4"/>
      <c r="R85" s="4" t="s">
        <v>1811</v>
      </c>
      <c r="T85" s="4"/>
      <c r="U85" s="4"/>
      <c r="V85" s="4"/>
      <c r="W85" s="4"/>
      <c r="X85" s="4"/>
      <c r="Y85" s="4" t="s">
        <v>1812</v>
      </c>
      <c r="Z85" s="4" t="s">
        <v>1813</v>
      </c>
      <c r="AA85" s="4"/>
      <c r="AB85" s="4"/>
      <c r="AC85" s="4"/>
      <c r="AD85" s="4"/>
      <c r="AE85" s="8"/>
      <c r="AF85" s="4"/>
      <c r="AG85" s="4"/>
      <c r="AH85" s="1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8"/>
      <c r="AX85" s="8"/>
      <c r="AY85" s="8"/>
      <c r="AZ85" s="8"/>
      <c r="BA85" s="12"/>
      <c r="BB85" s="8"/>
      <c r="BC85" s="4"/>
      <c r="BD85" s="4"/>
      <c r="BE85" s="8"/>
      <c r="BF85" s="8"/>
      <c r="BG85" s="8"/>
      <c r="BH85" s="8"/>
      <c r="BI85" s="8"/>
      <c r="BJ85" s="8"/>
      <c r="BK85" s="8"/>
      <c r="BL85" s="4" t="str">
        <f t="shared" si="7"/>
        <v/>
      </c>
      <c r="BM85" s="8" t="str">
        <f t="shared" si="8"/>
        <v/>
      </c>
      <c r="BP85" t="str">
        <f>IF($BO85="","",IFERROR(VLOOKUP($BO85,'01_Warehouse_Ledger'!$A:$N,4,FALSE),""))</f>
        <v/>
      </c>
      <c r="BQ85" t="str">
        <f>IF($BO85="","",IFERROR(VLOOKUP($BO85,'01_Warehouse_Ledger'!$A:$N,5,FALSE),""))</f>
        <v/>
      </c>
      <c r="BR85" t="str">
        <f>IF($BO85="","",IFERROR(VLOOKUP($BO85,'01_Warehouse_Ledger'!$A:$N,13,FALSE),""))</f>
        <v/>
      </c>
    </row>
    <row r="86" spans="1:70">
      <c r="A86" s="8" t="s">
        <v>1645</v>
      </c>
      <c r="B86" s="8" t="s">
        <v>1454</v>
      </c>
      <c r="C86" s="15" t="s">
        <v>1454</v>
      </c>
      <c r="D86" s="15" t="str">
        <f t="shared" si="9"/>
        <v/>
      </c>
      <c r="E86" s="15" t="str">
        <f t="shared" si="10"/>
        <v>No</v>
      </c>
      <c r="F86" t="str">
        <f t="shared" si="11"/>
        <v/>
      </c>
      <c r="G86" s="4" t="s">
        <v>1694</v>
      </c>
      <c r="H86" s="4" t="s">
        <v>1761</v>
      </c>
      <c r="I86" s="4"/>
      <c r="J86" s="2" t="s">
        <v>1435</v>
      </c>
      <c r="K86" s="2" t="s">
        <v>1454</v>
      </c>
      <c r="L86" s="2" t="s">
        <v>1454</v>
      </c>
      <c r="M86" s="2"/>
      <c r="N86" s="4"/>
      <c r="O86" s="4"/>
      <c r="P86" s="4"/>
      <c r="Q86" s="4"/>
      <c r="R86" s="4" t="s">
        <v>1814</v>
      </c>
      <c r="T86" s="4"/>
      <c r="U86" s="4"/>
      <c r="V86" s="4"/>
      <c r="W86" s="4"/>
      <c r="X86" s="4"/>
      <c r="Y86" s="19" t="s">
        <v>1815</v>
      </c>
      <c r="Z86" s="4" t="s">
        <v>1816</v>
      </c>
      <c r="AA86" s="4"/>
      <c r="AB86" s="4"/>
      <c r="AC86" s="4"/>
      <c r="AD86" s="4"/>
      <c r="AE86" s="8"/>
      <c r="AF86" s="4"/>
      <c r="AG86" s="4"/>
      <c r="AH86" s="1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8"/>
      <c r="AX86" s="8"/>
      <c r="AY86" s="8"/>
      <c r="AZ86" s="8"/>
      <c r="BA86" s="12"/>
      <c r="BB86" s="8"/>
      <c r="BC86" s="4"/>
      <c r="BD86" s="4"/>
      <c r="BE86" s="8"/>
      <c r="BF86" s="8"/>
      <c r="BG86" s="8"/>
      <c r="BH86" s="8"/>
      <c r="BI86" s="8"/>
      <c r="BJ86" s="8"/>
      <c r="BK86" s="8"/>
      <c r="BL86" s="4" t="str">
        <f t="shared" si="7"/>
        <v/>
      </c>
      <c r="BM86" s="8" t="str">
        <f t="shared" si="8"/>
        <v/>
      </c>
      <c r="BP86" t="str">
        <f>IF($BO86="","",IFERROR(VLOOKUP($BO86,'01_Warehouse_Ledger'!$A:$N,4,FALSE),""))</f>
        <v/>
      </c>
      <c r="BQ86" t="str">
        <f>IF($BO86="","",IFERROR(VLOOKUP($BO86,'01_Warehouse_Ledger'!$A:$N,5,FALSE),""))</f>
        <v/>
      </c>
      <c r="BR86" t="str">
        <f>IF($BO86="","",IFERROR(VLOOKUP($BO86,'01_Warehouse_Ledger'!$A:$N,13,FALSE),""))</f>
        <v/>
      </c>
    </row>
    <row r="87" spans="1:70" ht="15.75">
      <c r="A87" s="50" t="s">
        <v>1645</v>
      </c>
      <c r="B87" s="50" t="s">
        <v>1454</v>
      </c>
      <c r="C87" s="15" t="s">
        <v>1454</v>
      </c>
      <c r="D87" s="15" t="str">
        <f t="shared" si="9"/>
        <v/>
      </c>
      <c r="E87" s="15" t="str">
        <f t="shared" si="10"/>
        <v>No</v>
      </c>
      <c r="F87" t="str">
        <f t="shared" si="11"/>
        <v/>
      </c>
      <c r="G87" s="51" t="s">
        <v>1694</v>
      </c>
      <c r="H87" s="51" t="s">
        <v>1761</v>
      </c>
      <c r="I87" s="51"/>
      <c r="J87" s="2" t="s">
        <v>1435</v>
      </c>
      <c r="K87" s="2" t="s">
        <v>1454</v>
      </c>
      <c r="L87" s="2" t="s">
        <v>1454</v>
      </c>
      <c r="M87" s="2"/>
      <c r="N87" s="51"/>
      <c r="O87" s="51"/>
      <c r="P87" s="51"/>
      <c r="Q87" s="51"/>
      <c r="R87" s="51" t="s">
        <v>1817</v>
      </c>
      <c r="T87" s="51"/>
      <c r="U87" s="51"/>
      <c r="V87" s="51"/>
      <c r="W87" s="51"/>
      <c r="X87" s="51"/>
      <c r="Y87" s="52" t="s">
        <v>1818</v>
      </c>
      <c r="Z87" s="51" t="s">
        <v>1819</v>
      </c>
      <c r="AA87" s="51"/>
      <c r="AB87" s="51"/>
      <c r="AC87" s="4"/>
      <c r="AD87" s="4"/>
      <c r="AE87" s="8"/>
      <c r="AF87" s="4"/>
      <c r="AG87" s="4"/>
      <c r="AH87" s="1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8"/>
      <c r="AX87" s="8"/>
      <c r="AY87" s="8"/>
      <c r="AZ87" s="8"/>
      <c r="BA87" s="12"/>
      <c r="BB87" s="8"/>
      <c r="BC87" s="4"/>
      <c r="BD87" s="4"/>
      <c r="BE87" s="8"/>
      <c r="BF87" s="8"/>
      <c r="BG87" s="8"/>
      <c r="BH87" s="8"/>
      <c r="BI87" s="8"/>
      <c r="BJ87" s="8"/>
      <c r="BK87" s="8"/>
      <c r="BL87" s="4" t="str">
        <f t="shared" si="7"/>
        <v/>
      </c>
      <c r="BM87" s="8" t="str">
        <f t="shared" si="8"/>
        <v/>
      </c>
      <c r="BP87" t="str">
        <f>IF($BO87="","",IFERROR(VLOOKUP($BO87,'01_Warehouse_Ledger'!$A:$N,4,FALSE),""))</f>
        <v/>
      </c>
      <c r="BQ87" t="str">
        <f>IF($BO87="","",IFERROR(VLOOKUP($BO87,'01_Warehouse_Ledger'!$A:$N,5,FALSE),""))</f>
        <v/>
      </c>
      <c r="BR87" t="str">
        <f>IF($BO87="","",IFERROR(VLOOKUP($BO87,'01_Warehouse_Ledger'!$A:$N,13,FALSE),""))</f>
        <v/>
      </c>
    </row>
    <row r="88" spans="1:70">
      <c r="A88" s="53" t="s">
        <v>1645</v>
      </c>
      <c r="B88" s="53" t="s">
        <v>1454</v>
      </c>
      <c r="C88" s="15" t="s">
        <v>1454</v>
      </c>
      <c r="D88" s="15" t="str">
        <f t="shared" si="9"/>
        <v/>
      </c>
      <c r="E88" s="15" t="str">
        <f t="shared" si="10"/>
        <v>No</v>
      </c>
      <c r="F88" t="str">
        <f t="shared" si="11"/>
        <v/>
      </c>
      <c r="G88" s="54" t="s">
        <v>1694</v>
      </c>
      <c r="H88" s="54" t="s">
        <v>1761</v>
      </c>
      <c r="I88" s="54"/>
      <c r="J88" s="2" t="s">
        <v>1435</v>
      </c>
      <c r="K88" s="2" t="s">
        <v>1454</v>
      </c>
      <c r="L88" s="2" t="s">
        <v>1454</v>
      </c>
      <c r="M88" s="2"/>
      <c r="N88" s="54"/>
      <c r="O88" s="54"/>
      <c r="P88" s="54"/>
      <c r="Q88" s="54"/>
      <c r="R88" s="54" t="s">
        <v>1820</v>
      </c>
      <c r="T88" s="54"/>
      <c r="U88" s="54"/>
      <c r="V88" s="54"/>
      <c r="W88" s="54"/>
      <c r="X88" s="54"/>
      <c r="Y88" s="55" t="s">
        <v>1821</v>
      </c>
      <c r="Z88" s="54" t="s">
        <v>1822</v>
      </c>
      <c r="AA88" s="54"/>
      <c r="AB88" s="54"/>
      <c r="AC88" s="4"/>
      <c r="AD88" s="4"/>
      <c r="AE88" s="8"/>
      <c r="AF88" s="4"/>
      <c r="AG88" s="4"/>
      <c r="AH88" s="1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8"/>
      <c r="AX88" s="8"/>
      <c r="AY88" s="8"/>
      <c r="AZ88" s="8"/>
      <c r="BA88" s="12"/>
      <c r="BB88" s="8"/>
      <c r="BC88" s="4"/>
      <c r="BD88" s="4"/>
      <c r="BE88" s="8"/>
      <c r="BF88" s="8"/>
      <c r="BG88" s="8"/>
      <c r="BH88" s="8"/>
      <c r="BI88" s="8"/>
      <c r="BJ88" s="8"/>
      <c r="BK88" s="8"/>
      <c r="BL88" s="4" t="str">
        <f t="shared" si="7"/>
        <v/>
      </c>
      <c r="BM88" s="8" t="str">
        <f t="shared" si="8"/>
        <v/>
      </c>
      <c r="BP88" t="str">
        <f>IF($BO88="","",IFERROR(VLOOKUP($BO88,'01_Warehouse_Ledger'!$A:$N,4,FALSE),""))</f>
        <v/>
      </c>
      <c r="BQ88" t="str">
        <f>IF($BO88="","",IFERROR(VLOOKUP($BO88,'01_Warehouse_Ledger'!$A:$N,5,FALSE),""))</f>
        <v/>
      </c>
      <c r="BR88" t="str">
        <f>IF($BO88="","",IFERROR(VLOOKUP($BO88,'01_Warehouse_Ledger'!$A:$N,13,FALSE),""))</f>
        <v/>
      </c>
    </row>
    <row r="89" spans="1:70" ht="15.75">
      <c r="A89" s="50" t="s">
        <v>1645</v>
      </c>
      <c r="B89" s="50" t="s">
        <v>1454</v>
      </c>
      <c r="C89" s="15" t="s">
        <v>1454</v>
      </c>
      <c r="D89" s="15" t="str">
        <f t="shared" si="9"/>
        <v/>
      </c>
      <c r="E89" s="15" t="str">
        <f t="shared" si="10"/>
        <v>No</v>
      </c>
      <c r="F89" t="str">
        <f t="shared" si="11"/>
        <v/>
      </c>
      <c r="G89" s="51" t="s">
        <v>1694</v>
      </c>
      <c r="H89" s="51" t="s">
        <v>1761</v>
      </c>
      <c r="I89" s="51"/>
      <c r="J89" s="2" t="s">
        <v>1435</v>
      </c>
      <c r="K89" s="2" t="s">
        <v>1454</v>
      </c>
      <c r="L89" s="2" t="s">
        <v>1454</v>
      </c>
      <c r="M89" s="2"/>
      <c r="N89" s="51"/>
      <c r="O89" s="51"/>
      <c r="P89" s="51"/>
      <c r="Q89" s="51"/>
      <c r="R89" s="51" t="s">
        <v>1823</v>
      </c>
      <c r="T89" s="51"/>
      <c r="U89" s="51"/>
      <c r="V89" s="51"/>
      <c r="W89" s="51"/>
      <c r="X89" s="51"/>
      <c r="Y89" s="51" t="s">
        <v>1824</v>
      </c>
      <c r="Z89" s="52" t="s">
        <v>1825</v>
      </c>
      <c r="AA89" s="51"/>
      <c r="AB89" s="51"/>
      <c r="AC89" s="4"/>
      <c r="AD89" s="4"/>
      <c r="AE89" s="8"/>
      <c r="AF89" s="4"/>
      <c r="AG89" s="4"/>
      <c r="AH89" s="1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8"/>
      <c r="AX89" s="8"/>
      <c r="AY89" s="8"/>
      <c r="AZ89" s="8"/>
      <c r="BA89" s="12"/>
      <c r="BB89" s="8"/>
      <c r="BC89" s="4"/>
      <c r="BD89" s="4"/>
      <c r="BE89" s="8"/>
      <c r="BF89" s="8"/>
      <c r="BG89" s="8"/>
      <c r="BH89" s="8"/>
      <c r="BI89" s="8"/>
      <c r="BJ89" s="8"/>
      <c r="BK89" s="8"/>
      <c r="BL89" s="4" t="str">
        <f t="shared" si="7"/>
        <v/>
      </c>
      <c r="BM89" s="8" t="str">
        <f t="shared" si="8"/>
        <v/>
      </c>
      <c r="BP89" t="str">
        <f>IF($BO89="","",IFERROR(VLOOKUP($BO89,'01_Warehouse_Ledger'!$A:$N,4,FALSE),""))</f>
        <v/>
      </c>
      <c r="BQ89" t="str">
        <f>IF($BO89="","",IFERROR(VLOOKUP($BO89,'01_Warehouse_Ledger'!$A:$N,5,FALSE),""))</f>
        <v/>
      </c>
      <c r="BR89" t="str">
        <f>IF($BO89="","",IFERROR(VLOOKUP($BO89,'01_Warehouse_Ledger'!$A:$N,13,FALSE),""))</f>
        <v/>
      </c>
    </row>
    <row r="90" spans="1:70">
      <c r="A90" s="53" t="s">
        <v>1645</v>
      </c>
      <c r="B90" s="53"/>
      <c r="C90" s="15" t="s">
        <v>1454</v>
      </c>
      <c r="D90" s="15" t="str">
        <f t="shared" si="9"/>
        <v/>
      </c>
      <c r="E90" s="15" t="str">
        <f t="shared" si="10"/>
        <v>No</v>
      </c>
      <c r="F90" t="str">
        <f t="shared" si="11"/>
        <v/>
      </c>
      <c r="G90" s="54" t="s">
        <v>1694</v>
      </c>
      <c r="H90" s="54" t="s">
        <v>1826</v>
      </c>
      <c r="I90" s="54"/>
      <c r="J90" s="2" t="s">
        <v>1435</v>
      </c>
      <c r="K90" s="2" t="s">
        <v>1454</v>
      </c>
      <c r="L90" s="2" t="s">
        <v>1454</v>
      </c>
      <c r="M90" s="2"/>
      <c r="N90" s="54"/>
      <c r="O90" s="54"/>
      <c r="P90" s="54"/>
      <c r="Q90" s="54"/>
      <c r="R90" s="56" t="s">
        <v>1827</v>
      </c>
      <c r="T90" s="54"/>
      <c r="U90" s="54"/>
      <c r="V90" s="54"/>
      <c r="W90" s="54"/>
      <c r="X90" s="54"/>
      <c r="Y90" s="54" t="s">
        <v>1828</v>
      </c>
      <c r="Z90" s="55" t="s">
        <v>1829</v>
      </c>
      <c r="AA90" s="54"/>
      <c r="AB90" s="54"/>
      <c r="AC90" s="4"/>
      <c r="AD90" s="4"/>
      <c r="AE90" s="8"/>
      <c r="AF90" s="4"/>
      <c r="AG90" s="4"/>
      <c r="AH90" s="1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8"/>
      <c r="AX90" s="8"/>
      <c r="AY90" s="8"/>
      <c r="AZ90" s="8"/>
      <c r="BA90" s="12"/>
      <c r="BB90" s="8"/>
      <c r="BC90" s="4"/>
      <c r="BD90" s="4"/>
      <c r="BE90" s="8"/>
      <c r="BF90" s="8"/>
      <c r="BG90" s="8"/>
      <c r="BH90" s="8"/>
      <c r="BI90" s="8"/>
      <c r="BJ90" s="8"/>
      <c r="BK90" s="8"/>
      <c r="BL90" s="4" t="str">
        <f t="shared" si="7"/>
        <v/>
      </c>
      <c r="BM90" s="8" t="str">
        <f t="shared" si="8"/>
        <v/>
      </c>
      <c r="BP90" t="str">
        <f>IF($BO90="","",IFERROR(VLOOKUP($BO90,'01_Warehouse_Ledger'!$A:$N,4,FALSE),""))</f>
        <v/>
      </c>
      <c r="BQ90" t="str">
        <f>IF($BO90="","",IFERROR(VLOOKUP($BO90,'01_Warehouse_Ledger'!$A:$N,5,FALSE),""))</f>
        <v/>
      </c>
      <c r="BR90" t="str">
        <f>IF($BO90="","",IFERROR(VLOOKUP($BO90,'01_Warehouse_Ledger'!$A:$N,13,FALSE),""))</f>
        <v/>
      </c>
    </row>
    <row r="91" spans="1:70" ht="15.75">
      <c r="A91" s="50" t="s">
        <v>1645</v>
      </c>
      <c r="B91" s="50"/>
      <c r="C91" s="15" t="s">
        <v>1454</v>
      </c>
      <c r="D91" s="15" t="str">
        <f t="shared" si="9"/>
        <v/>
      </c>
      <c r="E91" s="15" t="str">
        <f t="shared" si="10"/>
        <v>No</v>
      </c>
      <c r="F91" t="str">
        <f t="shared" si="11"/>
        <v/>
      </c>
      <c r="G91" s="51" t="s">
        <v>1694</v>
      </c>
      <c r="H91" s="51" t="s">
        <v>1826</v>
      </c>
      <c r="I91" s="51"/>
      <c r="J91" s="2" t="s">
        <v>1435</v>
      </c>
      <c r="K91" s="2" t="s">
        <v>1454</v>
      </c>
      <c r="L91" s="2" t="s">
        <v>1454</v>
      </c>
      <c r="M91" s="2"/>
      <c r="N91" s="51"/>
      <c r="O91" s="51"/>
      <c r="P91" s="51"/>
      <c r="Q91" s="51"/>
      <c r="R91" s="57" t="s">
        <v>1830</v>
      </c>
      <c r="T91" s="51"/>
      <c r="U91" s="51"/>
      <c r="V91" s="51"/>
      <c r="W91" s="51"/>
      <c r="X91" s="51"/>
      <c r="Y91" s="51" t="s">
        <v>1831</v>
      </c>
      <c r="Z91" s="51" t="s">
        <v>1832</v>
      </c>
      <c r="AA91" s="51"/>
      <c r="AB91" s="51"/>
      <c r="AC91" s="4"/>
      <c r="AD91" s="4"/>
      <c r="AE91" s="8"/>
      <c r="AF91" s="4"/>
      <c r="AG91" s="4"/>
      <c r="AH91" s="1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8"/>
      <c r="AX91" s="8"/>
      <c r="AY91" s="8"/>
      <c r="AZ91" s="8"/>
      <c r="BA91" s="12"/>
      <c r="BB91" s="8"/>
      <c r="BC91" s="4"/>
      <c r="BD91" s="4"/>
      <c r="BE91" s="8"/>
      <c r="BF91" s="8"/>
      <c r="BG91" s="8"/>
      <c r="BH91" s="8"/>
      <c r="BI91" s="8"/>
      <c r="BJ91" s="8"/>
      <c r="BK91" s="8"/>
      <c r="BL91" s="4" t="str">
        <f t="shared" si="7"/>
        <v/>
      </c>
      <c r="BM91" s="8" t="str">
        <f t="shared" si="8"/>
        <v/>
      </c>
      <c r="BP91" t="str">
        <f>IF($BO91="","",IFERROR(VLOOKUP($BO91,'01_Warehouse_Ledger'!$A:$N,4,FALSE),""))</f>
        <v/>
      </c>
      <c r="BQ91" t="str">
        <f>IF($BO91="","",IFERROR(VLOOKUP($BO91,'01_Warehouse_Ledger'!$A:$N,5,FALSE),""))</f>
        <v/>
      </c>
      <c r="BR91" t="str">
        <f>IF($BO91="","",IFERROR(VLOOKUP($BO91,'01_Warehouse_Ledger'!$A:$N,13,FALSE),""))</f>
        <v/>
      </c>
    </row>
    <row r="92" spans="1:70">
      <c r="A92" s="53" t="s">
        <v>1645</v>
      </c>
      <c r="B92" s="53"/>
      <c r="C92" s="15" t="s">
        <v>1454</v>
      </c>
      <c r="D92" s="15" t="str">
        <f t="shared" si="9"/>
        <v/>
      </c>
      <c r="E92" s="15" t="str">
        <f t="shared" si="10"/>
        <v>No</v>
      </c>
      <c r="F92" t="str">
        <f t="shared" si="11"/>
        <v/>
      </c>
      <c r="G92" s="54" t="s">
        <v>1694</v>
      </c>
      <c r="H92" s="54" t="s">
        <v>1826</v>
      </c>
      <c r="I92" s="54"/>
      <c r="J92" s="2" t="s">
        <v>1435</v>
      </c>
      <c r="K92" s="2" t="s">
        <v>1454</v>
      </c>
      <c r="L92" s="2" t="s">
        <v>1454</v>
      </c>
      <c r="M92" s="2"/>
      <c r="N92" s="54"/>
      <c r="O92" s="54"/>
      <c r="P92" s="54"/>
      <c r="Q92" s="54"/>
      <c r="R92" s="56" t="s">
        <v>1833</v>
      </c>
      <c r="T92" s="54"/>
      <c r="U92" s="54"/>
      <c r="V92" s="54"/>
      <c r="W92" s="54"/>
      <c r="X92" s="54"/>
      <c r="Y92" s="54" t="s">
        <v>1834</v>
      </c>
      <c r="Z92" s="54" t="s">
        <v>1835</v>
      </c>
      <c r="AA92" s="54"/>
      <c r="AB92" s="54"/>
      <c r="AC92" s="4"/>
      <c r="AD92" s="4"/>
      <c r="AE92" s="8"/>
      <c r="AF92" s="4"/>
      <c r="AG92" s="4"/>
      <c r="AH92" s="1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8"/>
      <c r="AX92" s="8"/>
      <c r="AY92" s="8"/>
      <c r="AZ92" s="8"/>
      <c r="BA92" s="12"/>
      <c r="BB92" s="8"/>
      <c r="BC92" s="4"/>
      <c r="BD92" s="4"/>
      <c r="BE92" s="8"/>
      <c r="BF92" s="8"/>
      <c r="BG92" s="8"/>
      <c r="BH92" s="8"/>
      <c r="BI92" s="8"/>
      <c r="BJ92" s="8"/>
      <c r="BK92" s="8"/>
      <c r="BL92" s="4" t="str">
        <f t="shared" si="7"/>
        <v/>
      </c>
      <c r="BM92" s="8" t="str">
        <f t="shared" si="8"/>
        <v/>
      </c>
      <c r="BP92" t="str">
        <f>IF($BO92="","",IFERROR(VLOOKUP($BO92,'01_Warehouse_Ledger'!$A:$N,4,FALSE),""))</f>
        <v/>
      </c>
      <c r="BQ92" t="str">
        <f>IF($BO92="","",IFERROR(VLOOKUP($BO92,'01_Warehouse_Ledger'!$A:$N,5,FALSE),""))</f>
        <v/>
      </c>
      <c r="BR92" t="str">
        <f>IF($BO92="","",IFERROR(VLOOKUP($BO92,'01_Warehouse_Ledger'!$A:$N,13,FALSE),""))</f>
        <v/>
      </c>
    </row>
    <row r="93" spans="1:70" ht="15.75">
      <c r="A93" s="50" t="s">
        <v>1645</v>
      </c>
      <c r="B93" s="50"/>
      <c r="C93" s="15" t="s">
        <v>1454</v>
      </c>
      <c r="D93" s="15" t="str">
        <f t="shared" si="9"/>
        <v/>
      </c>
      <c r="E93" s="15" t="str">
        <f t="shared" si="10"/>
        <v>No</v>
      </c>
      <c r="F93" t="str">
        <f t="shared" si="11"/>
        <v/>
      </c>
      <c r="G93" s="51" t="s">
        <v>1694</v>
      </c>
      <c r="H93" s="51" t="s">
        <v>1826</v>
      </c>
      <c r="I93" s="51"/>
      <c r="J93" s="2" t="s">
        <v>1435</v>
      </c>
      <c r="K93" s="2" t="s">
        <v>1454</v>
      </c>
      <c r="L93" s="2" t="s">
        <v>1454</v>
      </c>
      <c r="M93" s="2"/>
      <c r="N93" s="51"/>
      <c r="O93" s="51"/>
      <c r="P93" s="51"/>
      <c r="Q93" s="51"/>
      <c r="R93" s="57" t="s">
        <v>1836</v>
      </c>
      <c r="T93" s="51"/>
      <c r="U93" s="51"/>
      <c r="V93" s="51"/>
      <c r="W93" s="51"/>
      <c r="X93" s="51"/>
      <c r="Y93" s="51" t="s">
        <v>1837</v>
      </c>
      <c r="Z93" s="51" t="s">
        <v>1838</v>
      </c>
      <c r="AA93" s="51"/>
      <c r="AB93" s="51"/>
      <c r="AC93" s="4"/>
      <c r="AD93" s="4"/>
      <c r="AE93" s="8"/>
      <c r="AF93" s="4"/>
      <c r="AG93" s="4"/>
      <c r="AH93" s="1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8"/>
      <c r="AX93" s="8"/>
      <c r="AY93" s="8"/>
      <c r="AZ93" s="8"/>
      <c r="BA93" s="12"/>
      <c r="BB93" s="8"/>
      <c r="BC93" s="4"/>
      <c r="BD93" s="4"/>
      <c r="BE93" s="8"/>
      <c r="BF93" s="8"/>
      <c r="BG93" s="8"/>
      <c r="BH93" s="8"/>
      <c r="BI93" s="8"/>
      <c r="BJ93" s="8"/>
      <c r="BK93" s="8"/>
      <c r="BL93" s="4" t="str">
        <f t="shared" si="7"/>
        <v/>
      </c>
      <c r="BM93" s="8" t="str">
        <f t="shared" si="8"/>
        <v/>
      </c>
      <c r="BP93" t="str">
        <f>IF($BO93="","",IFERROR(VLOOKUP($BO93,'01_Warehouse_Ledger'!$A:$N,4,FALSE),""))</f>
        <v/>
      </c>
      <c r="BQ93" t="str">
        <f>IF($BO93="","",IFERROR(VLOOKUP($BO93,'01_Warehouse_Ledger'!$A:$N,5,FALSE),""))</f>
        <v/>
      </c>
      <c r="BR93" t="str">
        <f>IF($BO93="","",IFERROR(VLOOKUP($BO93,'01_Warehouse_Ledger'!$A:$N,13,FALSE),""))</f>
        <v/>
      </c>
    </row>
    <row r="94" spans="1:70">
      <c r="A94" s="53" t="s">
        <v>1645</v>
      </c>
      <c r="B94" s="53"/>
      <c r="C94" s="15" t="s">
        <v>1454</v>
      </c>
      <c r="D94" s="15" t="str">
        <f t="shared" si="9"/>
        <v/>
      </c>
      <c r="E94" s="15" t="str">
        <f t="shared" si="10"/>
        <v>No</v>
      </c>
      <c r="F94" t="str">
        <f t="shared" si="11"/>
        <v/>
      </c>
      <c r="G94" s="54" t="s">
        <v>1694</v>
      </c>
      <c r="H94" s="54" t="s">
        <v>1826</v>
      </c>
      <c r="I94" s="54"/>
      <c r="J94" s="2" t="s">
        <v>1435</v>
      </c>
      <c r="K94" s="2" t="s">
        <v>1454</v>
      </c>
      <c r="L94" s="2" t="s">
        <v>1454</v>
      </c>
      <c r="M94" s="2"/>
      <c r="N94" s="54"/>
      <c r="O94" s="54"/>
      <c r="P94" s="54"/>
      <c r="Q94" s="54"/>
      <c r="R94" s="54" t="s">
        <v>1839</v>
      </c>
      <c r="T94" s="54"/>
      <c r="U94" s="54"/>
      <c r="V94" s="54"/>
      <c r="W94" s="54"/>
      <c r="X94" s="54"/>
      <c r="Y94" s="54" t="s">
        <v>1840</v>
      </c>
      <c r="Z94" s="54" t="s">
        <v>1841</v>
      </c>
      <c r="AA94" s="54"/>
      <c r="AB94" s="54"/>
      <c r="AC94" s="4"/>
      <c r="AD94" s="4"/>
      <c r="AE94" s="8"/>
      <c r="AF94" s="4"/>
      <c r="AG94" s="4"/>
      <c r="AH94" s="1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8"/>
      <c r="AX94" s="8"/>
      <c r="AY94" s="8"/>
      <c r="AZ94" s="8"/>
      <c r="BA94" s="12"/>
      <c r="BB94" s="8"/>
      <c r="BC94" s="4"/>
      <c r="BD94" s="4"/>
      <c r="BE94" s="8"/>
      <c r="BF94" s="8"/>
      <c r="BG94" s="8"/>
      <c r="BH94" s="8"/>
      <c r="BI94" s="8"/>
      <c r="BJ94" s="8"/>
      <c r="BK94" s="8"/>
      <c r="BL94" s="4" t="str">
        <f t="shared" si="7"/>
        <v/>
      </c>
      <c r="BM94" s="8" t="str">
        <f t="shared" si="8"/>
        <v/>
      </c>
      <c r="BP94" t="str">
        <f>IF($BO94="","",IFERROR(VLOOKUP($BO94,'01_Warehouse_Ledger'!$A:$N,4,FALSE),""))</f>
        <v/>
      </c>
      <c r="BQ94" t="str">
        <f>IF($BO94="","",IFERROR(VLOOKUP($BO94,'01_Warehouse_Ledger'!$A:$N,5,FALSE),""))</f>
        <v/>
      </c>
      <c r="BR94" t="str">
        <f>IF($BO94="","",IFERROR(VLOOKUP($BO94,'01_Warehouse_Ledger'!$A:$N,13,FALSE),""))</f>
        <v/>
      </c>
    </row>
    <row r="95" spans="1:70" ht="15.75">
      <c r="A95" s="50" t="s">
        <v>1645</v>
      </c>
      <c r="B95" s="50"/>
      <c r="C95" s="15" t="s">
        <v>1454</v>
      </c>
      <c r="D95" s="15" t="str">
        <f t="shared" si="9"/>
        <v/>
      </c>
      <c r="E95" s="15" t="str">
        <f t="shared" si="10"/>
        <v>No</v>
      </c>
      <c r="F95" t="str">
        <f t="shared" si="11"/>
        <v/>
      </c>
      <c r="G95" s="51" t="s">
        <v>1694</v>
      </c>
      <c r="H95" s="51" t="s">
        <v>1826</v>
      </c>
      <c r="I95" s="51"/>
      <c r="J95" s="2" t="s">
        <v>1435</v>
      </c>
      <c r="K95" s="2" t="s">
        <v>1454</v>
      </c>
      <c r="L95" s="2" t="s">
        <v>1454</v>
      </c>
      <c r="M95" s="2"/>
      <c r="N95" s="51"/>
      <c r="O95" s="51"/>
      <c r="P95" s="51"/>
      <c r="Q95" s="51"/>
      <c r="R95" s="51" t="s">
        <v>1842</v>
      </c>
      <c r="T95" s="51"/>
      <c r="U95" s="51"/>
      <c r="V95" s="51"/>
      <c r="W95" s="51"/>
      <c r="X95" s="51"/>
      <c r="Y95" s="51" t="s">
        <v>1843</v>
      </c>
      <c r="Z95" s="51" t="s">
        <v>1844</v>
      </c>
      <c r="AA95" s="51"/>
      <c r="AB95" s="51"/>
      <c r="AC95" s="4"/>
      <c r="AD95" s="4"/>
      <c r="AE95" s="8"/>
      <c r="AF95" s="4"/>
      <c r="AG95" s="4"/>
      <c r="AH95" s="1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8"/>
      <c r="AX95" s="8"/>
      <c r="AY95" s="8"/>
      <c r="AZ95" s="8"/>
      <c r="BA95" s="12"/>
      <c r="BB95" s="8"/>
      <c r="BC95" s="4"/>
      <c r="BD95" s="4"/>
      <c r="BE95" s="8"/>
      <c r="BF95" s="8"/>
      <c r="BG95" s="8"/>
      <c r="BH95" s="8"/>
      <c r="BI95" s="8"/>
      <c r="BJ95" s="8"/>
      <c r="BK95" s="8"/>
      <c r="BL95" s="4" t="str">
        <f t="shared" si="7"/>
        <v/>
      </c>
      <c r="BM95" s="8" t="str">
        <f t="shared" si="8"/>
        <v/>
      </c>
      <c r="BP95" t="str">
        <f>IF($BO95="","",IFERROR(VLOOKUP($BO95,'01_Warehouse_Ledger'!$A:$N,4,FALSE),""))</f>
        <v/>
      </c>
      <c r="BQ95" t="str">
        <f>IF($BO95="","",IFERROR(VLOOKUP($BO95,'01_Warehouse_Ledger'!$A:$N,5,FALSE),""))</f>
        <v/>
      </c>
      <c r="BR95" t="str">
        <f>IF($BO95="","",IFERROR(VLOOKUP($BO95,'01_Warehouse_Ledger'!$A:$N,13,FALSE),""))</f>
        <v/>
      </c>
    </row>
    <row r="96" spans="1:70">
      <c r="A96" s="53" t="s">
        <v>1645</v>
      </c>
      <c r="B96" s="53"/>
      <c r="C96" s="15" t="s">
        <v>1454</v>
      </c>
      <c r="D96" s="15" t="str">
        <f t="shared" si="9"/>
        <v/>
      </c>
      <c r="E96" s="15" t="str">
        <f t="shared" si="10"/>
        <v>No</v>
      </c>
      <c r="F96" t="str">
        <f t="shared" si="11"/>
        <v/>
      </c>
      <c r="G96" s="54" t="s">
        <v>1694</v>
      </c>
      <c r="H96" s="54" t="s">
        <v>1826</v>
      </c>
      <c r="I96" s="54"/>
      <c r="J96" s="2" t="s">
        <v>1435</v>
      </c>
      <c r="K96" s="2" t="s">
        <v>1454</v>
      </c>
      <c r="L96" s="2" t="s">
        <v>1454</v>
      </c>
      <c r="M96" s="2"/>
      <c r="N96" s="54"/>
      <c r="O96" s="54"/>
      <c r="P96" s="54"/>
      <c r="Q96" s="54"/>
      <c r="R96" s="54" t="s">
        <v>1845</v>
      </c>
      <c r="T96" s="54"/>
      <c r="U96" s="54"/>
      <c r="V96" s="54"/>
      <c r="W96" s="54"/>
      <c r="X96" s="54"/>
      <c r="Y96" s="54" t="s">
        <v>1846</v>
      </c>
      <c r="Z96" s="54" t="s">
        <v>1847</v>
      </c>
      <c r="AA96" s="54"/>
      <c r="AB96" s="54"/>
      <c r="AC96" s="4"/>
      <c r="AD96" s="4"/>
      <c r="AE96" s="8"/>
      <c r="AF96" s="4"/>
      <c r="AG96" s="4"/>
      <c r="AH96" s="1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8"/>
      <c r="AX96" s="8"/>
      <c r="AY96" s="8"/>
      <c r="AZ96" s="8"/>
      <c r="BA96" s="12"/>
      <c r="BB96" s="8"/>
      <c r="BC96" s="4"/>
      <c r="BD96" s="4"/>
      <c r="BE96" s="8"/>
      <c r="BF96" s="8"/>
      <c r="BG96" s="8"/>
      <c r="BH96" s="8"/>
      <c r="BI96" s="8"/>
      <c r="BJ96" s="8"/>
      <c r="BK96" s="8"/>
      <c r="BL96" s="4" t="str">
        <f t="shared" si="7"/>
        <v/>
      </c>
      <c r="BM96" s="8" t="str">
        <f t="shared" si="8"/>
        <v/>
      </c>
      <c r="BP96" t="str">
        <f>IF($BO96="","",IFERROR(VLOOKUP($BO96,'01_Warehouse_Ledger'!$A:$N,4,FALSE),""))</f>
        <v/>
      </c>
      <c r="BQ96" t="str">
        <f>IF($BO96="","",IFERROR(VLOOKUP($BO96,'01_Warehouse_Ledger'!$A:$N,5,FALSE),""))</f>
        <v/>
      </c>
      <c r="BR96" t="str">
        <f>IF($BO96="","",IFERROR(VLOOKUP($BO96,'01_Warehouse_Ledger'!$A:$N,13,FALSE),""))</f>
        <v/>
      </c>
    </row>
    <row r="97" spans="1:70" ht="15.75">
      <c r="A97" s="50" t="s">
        <v>1645</v>
      </c>
      <c r="B97" s="50"/>
      <c r="C97" s="15" t="s">
        <v>1454</v>
      </c>
      <c r="D97" s="15" t="str">
        <f t="shared" si="9"/>
        <v/>
      </c>
      <c r="E97" s="15" t="str">
        <f t="shared" si="10"/>
        <v>No</v>
      </c>
      <c r="F97" t="str">
        <f t="shared" si="11"/>
        <v/>
      </c>
      <c r="G97" s="51" t="s">
        <v>1694</v>
      </c>
      <c r="H97" s="51" t="s">
        <v>1826</v>
      </c>
      <c r="I97" s="51"/>
      <c r="J97" s="2" t="s">
        <v>1435</v>
      </c>
      <c r="K97" s="2" t="s">
        <v>1454</v>
      </c>
      <c r="L97" s="2" t="s">
        <v>1454</v>
      </c>
      <c r="M97" s="2"/>
      <c r="N97" s="51"/>
      <c r="O97" s="51"/>
      <c r="P97" s="51"/>
      <c r="Q97" s="51"/>
      <c r="R97" s="51" t="s">
        <v>1848</v>
      </c>
      <c r="T97" s="51"/>
      <c r="U97" s="51"/>
      <c r="V97" s="51"/>
      <c r="W97" s="51"/>
      <c r="X97" s="51"/>
      <c r="Y97" s="51" t="s">
        <v>1849</v>
      </c>
      <c r="Z97" s="51" t="s">
        <v>1850</v>
      </c>
      <c r="AA97" s="51"/>
      <c r="AB97" s="51"/>
      <c r="AC97" s="4"/>
      <c r="AD97" s="4"/>
      <c r="AE97" s="8"/>
      <c r="AF97" s="4"/>
      <c r="AG97" s="4"/>
      <c r="AH97" s="1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8"/>
      <c r="AX97" s="8"/>
      <c r="AY97" s="8"/>
      <c r="AZ97" s="8"/>
      <c r="BA97" s="12"/>
      <c r="BB97" s="8"/>
      <c r="BC97" s="4"/>
      <c r="BD97" s="4"/>
      <c r="BE97" s="8"/>
      <c r="BF97" s="8"/>
      <c r="BG97" s="8"/>
      <c r="BH97" s="8"/>
      <c r="BI97" s="8"/>
      <c r="BJ97" s="8"/>
      <c r="BK97" s="8"/>
      <c r="BL97" s="4" t="str">
        <f t="shared" si="7"/>
        <v/>
      </c>
      <c r="BM97" s="8" t="str">
        <f t="shared" si="8"/>
        <v/>
      </c>
      <c r="BP97" t="str">
        <f>IF($BO97="","",IFERROR(VLOOKUP($BO97,'01_Warehouse_Ledger'!$A:$N,4,FALSE),""))</f>
        <v/>
      </c>
      <c r="BQ97" t="str">
        <f>IF($BO97="","",IFERROR(VLOOKUP($BO97,'01_Warehouse_Ledger'!$A:$N,5,FALSE),""))</f>
        <v/>
      </c>
      <c r="BR97" t="str">
        <f>IF($BO97="","",IFERROR(VLOOKUP($BO97,'01_Warehouse_Ledger'!$A:$N,13,FALSE),""))</f>
        <v/>
      </c>
    </row>
    <row r="98" spans="1:70">
      <c r="A98" s="53" t="s">
        <v>1645</v>
      </c>
      <c r="B98" s="53"/>
      <c r="C98" s="15" t="s">
        <v>1454</v>
      </c>
      <c r="D98" s="15" t="str">
        <f t="shared" si="9"/>
        <v/>
      </c>
      <c r="E98" s="15" t="str">
        <f t="shared" si="10"/>
        <v>No</v>
      </c>
      <c r="F98" t="str">
        <f t="shared" si="11"/>
        <v/>
      </c>
      <c r="G98" s="54" t="s">
        <v>1694</v>
      </c>
      <c r="H98" s="54" t="s">
        <v>1826</v>
      </c>
      <c r="I98" s="54"/>
      <c r="J98" s="2" t="s">
        <v>1435</v>
      </c>
      <c r="K98" s="2" t="s">
        <v>1454</v>
      </c>
      <c r="L98" s="2" t="s">
        <v>1454</v>
      </c>
      <c r="M98" s="2"/>
      <c r="N98" s="54"/>
      <c r="O98" s="54"/>
      <c r="P98" s="54"/>
      <c r="Q98" s="54"/>
      <c r="R98" s="54" t="s">
        <v>1851</v>
      </c>
      <c r="T98" s="54"/>
      <c r="U98" s="54"/>
      <c r="V98" s="54"/>
      <c r="W98" s="54"/>
      <c r="X98" s="54"/>
      <c r="Y98" s="54" t="s">
        <v>1852</v>
      </c>
      <c r="Z98" s="54" t="s">
        <v>1853</v>
      </c>
      <c r="AA98" s="54"/>
      <c r="AB98" s="54"/>
      <c r="AC98" s="4"/>
      <c r="AD98" s="4"/>
      <c r="AE98" s="8"/>
      <c r="AF98" s="4"/>
      <c r="AG98" s="4"/>
      <c r="AH98" s="1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8"/>
      <c r="AX98" s="8"/>
      <c r="AY98" s="8"/>
      <c r="AZ98" s="8"/>
      <c r="BA98" s="12"/>
      <c r="BB98" s="8"/>
      <c r="BC98" s="4"/>
      <c r="BD98" s="4"/>
      <c r="BE98" s="8"/>
      <c r="BF98" s="8"/>
      <c r="BG98" s="8"/>
      <c r="BH98" s="8"/>
      <c r="BI98" s="8"/>
      <c r="BJ98" s="8"/>
      <c r="BK98" s="8"/>
      <c r="BL98" s="4" t="str">
        <f t="shared" si="7"/>
        <v/>
      </c>
      <c r="BM98" s="8" t="str">
        <f t="shared" si="8"/>
        <v/>
      </c>
      <c r="BP98" t="str">
        <f>IF($BO98="","",IFERROR(VLOOKUP($BO98,'01_Warehouse_Ledger'!$A:$N,4,FALSE),""))</f>
        <v/>
      </c>
      <c r="BQ98" t="str">
        <f>IF($BO98="","",IFERROR(VLOOKUP($BO98,'01_Warehouse_Ledger'!$A:$N,5,FALSE),""))</f>
        <v/>
      </c>
      <c r="BR98" t="str">
        <f>IF($BO98="","",IFERROR(VLOOKUP($BO98,'01_Warehouse_Ledger'!$A:$N,13,FALSE),""))</f>
        <v/>
      </c>
    </row>
    <row r="99" spans="1:70" ht="15.75">
      <c r="A99" s="8" t="s">
        <v>1645</v>
      </c>
      <c r="B99" s="8"/>
      <c r="C99" s="15" t="s">
        <v>1454</v>
      </c>
      <c r="D99" s="15" t="str">
        <f t="shared" si="9"/>
        <v/>
      </c>
      <c r="E99" s="15" t="str">
        <f t="shared" si="10"/>
        <v>No</v>
      </c>
      <c r="F99" t="str">
        <f t="shared" si="11"/>
        <v/>
      </c>
      <c r="G99" s="51" t="s">
        <v>1694</v>
      </c>
      <c r="H99" s="4" t="s">
        <v>1826</v>
      </c>
      <c r="I99" s="4"/>
      <c r="J99" s="2" t="s">
        <v>1435</v>
      </c>
      <c r="K99" s="2" t="s">
        <v>1454</v>
      </c>
      <c r="L99" s="2" t="s">
        <v>1454</v>
      </c>
      <c r="M99" s="2"/>
      <c r="N99" s="4"/>
      <c r="O99" s="4"/>
      <c r="P99" s="4"/>
      <c r="Q99" s="4"/>
      <c r="R99" s="4" t="s">
        <v>1854</v>
      </c>
      <c r="T99" s="4"/>
      <c r="U99" s="4"/>
      <c r="V99" s="4"/>
      <c r="W99" s="4"/>
      <c r="X99" s="4"/>
      <c r="Y99" s="4" t="s">
        <v>1855</v>
      </c>
      <c r="Z99" s="4" t="s">
        <v>1856</v>
      </c>
      <c r="AA99" s="4"/>
      <c r="AB99" s="4"/>
      <c r="AC99" s="4"/>
      <c r="AD99" s="4"/>
      <c r="AE99" s="8"/>
      <c r="AF99" s="4"/>
      <c r="AG99" s="4"/>
      <c r="AH99" s="1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8"/>
      <c r="AX99" s="8"/>
      <c r="AY99" s="8"/>
      <c r="AZ99" s="8"/>
      <c r="BA99" s="12"/>
      <c r="BB99" s="8"/>
      <c r="BC99" s="4"/>
      <c r="BD99" s="4"/>
      <c r="BE99" s="8"/>
      <c r="BF99" s="8"/>
      <c r="BG99" s="8"/>
      <c r="BH99" s="8"/>
      <c r="BI99" s="8"/>
      <c r="BJ99" s="8"/>
      <c r="BK99" s="8"/>
      <c r="BL99" s="4" t="str">
        <f t="shared" si="7"/>
        <v/>
      </c>
      <c r="BM99" s="8" t="str">
        <f t="shared" si="8"/>
        <v/>
      </c>
      <c r="BP99" t="str">
        <f>IF($BO99="","",IFERROR(VLOOKUP($BO99,'01_Warehouse_Ledger'!$A:$N,4,FALSE),""))</f>
        <v/>
      </c>
      <c r="BQ99" t="str">
        <f>IF($BO99="","",IFERROR(VLOOKUP($BO99,'01_Warehouse_Ledger'!$A:$N,5,FALSE),""))</f>
        <v/>
      </c>
      <c r="BR99" t="str">
        <f>IF($BO99="","",IFERROR(VLOOKUP($BO99,'01_Warehouse_Ledger'!$A:$N,13,FALSE),""))</f>
        <v/>
      </c>
    </row>
    <row r="100" spans="1:70" ht="15" customHeight="1">
      <c r="A100" s="8" t="s">
        <v>1645</v>
      </c>
      <c r="B100" s="8"/>
      <c r="C100" s="15" t="s">
        <v>1454</v>
      </c>
      <c r="D100" s="15" t="str">
        <f t="shared" si="9"/>
        <v/>
      </c>
      <c r="E100" s="15" t="str">
        <f t="shared" si="10"/>
        <v>No</v>
      </c>
      <c r="F100" t="str">
        <f t="shared" si="11"/>
        <v/>
      </c>
      <c r="G100" s="54" t="s">
        <v>1694</v>
      </c>
      <c r="H100" s="4" t="s">
        <v>1826</v>
      </c>
      <c r="I100" s="4"/>
      <c r="J100" s="2" t="s">
        <v>1435</v>
      </c>
      <c r="K100" s="2" t="s">
        <v>1454</v>
      </c>
      <c r="L100" s="2" t="s">
        <v>1454</v>
      </c>
      <c r="M100" s="2"/>
      <c r="N100" s="4"/>
      <c r="O100" s="4"/>
      <c r="P100" s="4"/>
      <c r="Q100" s="4"/>
      <c r="R100" s="65" t="s">
        <v>1857</v>
      </c>
      <c r="T100" s="4"/>
      <c r="U100" s="4"/>
      <c r="V100" s="4"/>
      <c r="W100" s="4"/>
      <c r="X100" s="4"/>
      <c r="Y100" s="4" t="s">
        <v>1858</v>
      </c>
      <c r="Z100" s="4" t="s">
        <v>1859</v>
      </c>
      <c r="AA100" s="4"/>
      <c r="AB100" s="4"/>
      <c r="AC100" s="4"/>
      <c r="AD100" s="4"/>
      <c r="AE100" s="8"/>
      <c r="AF100" s="4"/>
      <c r="AG100" s="4"/>
      <c r="AH100" s="1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8"/>
      <c r="AX100" s="8"/>
      <c r="AY100" s="8"/>
      <c r="AZ100" s="8"/>
      <c r="BA100" s="12"/>
      <c r="BB100" s="8"/>
      <c r="BC100" s="4"/>
      <c r="BD100" s="4"/>
      <c r="BE100" s="8"/>
      <c r="BF100" s="8"/>
      <c r="BG100" s="8"/>
      <c r="BH100" s="8"/>
      <c r="BI100" s="8"/>
      <c r="BJ100" s="8"/>
      <c r="BK100" s="8"/>
      <c r="BL100" s="4" t="str">
        <f t="shared" si="7"/>
        <v/>
      </c>
      <c r="BM100" s="8" t="str">
        <f t="shared" si="8"/>
        <v/>
      </c>
      <c r="BP100" t="str">
        <f>IF($BO100="","",IFERROR(VLOOKUP($BO100,'01_Warehouse_Ledger'!$A:$N,4,FALSE),""))</f>
        <v/>
      </c>
      <c r="BQ100" t="str">
        <f>IF($BO100="","",IFERROR(VLOOKUP($BO100,'01_Warehouse_Ledger'!$A:$N,5,FALSE),""))</f>
        <v/>
      </c>
      <c r="BR100" t="str">
        <f>IF($BO100="","",IFERROR(VLOOKUP($BO100,'01_Warehouse_Ledger'!$A:$N,13,FALSE),""))</f>
        <v/>
      </c>
    </row>
    <row r="101" spans="1:70" ht="15.75">
      <c r="A101" s="8" t="s">
        <v>1645</v>
      </c>
      <c r="B101" s="8"/>
      <c r="C101" s="15" t="s">
        <v>1454</v>
      </c>
      <c r="D101" s="15" t="str">
        <f t="shared" si="9"/>
        <v/>
      </c>
      <c r="E101" s="15" t="str">
        <f t="shared" si="10"/>
        <v>No</v>
      </c>
      <c r="F101" t="str">
        <f t="shared" si="11"/>
        <v/>
      </c>
      <c r="G101" s="51" t="s">
        <v>1694</v>
      </c>
      <c r="H101" s="4" t="s">
        <v>1826</v>
      </c>
      <c r="I101" s="4"/>
      <c r="J101" s="2" t="s">
        <v>1435</v>
      </c>
      <c r="K101" s="2" t="s">
        <v>1454</v>
      </c>
      <c r="L101" s="2" t="s">
        <v>1454</v>
      </c>
      <c r="M101" s="2"/>
      <c r="N101" s="4"/>
      <c r="O101" s="4"/>
      <c r="P101" s="4"/>
      <c r="Q101" s="4"/>
      <c r="R101" s="4" t="s">
        <v>1860</v>
      </c>
      <c r="T101" s="4"/>
      <c r="U101" s="4"/>
      <c r="V101" s="4"/>
      <c r="W101" s="4"/>
      <c r="X101" s="4"/>
      <c r="Y101" s="4" t="s">
        <v>1861</v>
      </c>
      <c r="Z101" s="4" t="s">
        <v>1862</v>
      </c>
      <c r="AA101" s="4"/>
      <c r="AB101" s="4"/>
      <c r="AC101" s="4"/>
      <c r="AD101" s="4"/>
      <c r="AE101" s="8"/>
      <c r="AF101" s="4"/>
      <c r="AG101" s="4"/>
      <c r="AH101" s="1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8"/>
      <c r="AX101" s="8"/>
      <c r="AY101" s="8"/>
      <c r="AZ101" s="8"/>
      <c r="BA101" s="12"/>
      <c r="BB101" s="8"/>
      <c r="BC101" s="4"/>
      <c r="BD101" s="4"/>
      <c r="BE101" s="8"/>
      <c r="BF101" s="8"/>
      <c r="BG101" s="8"/>
      <c r="BH101" s="8"/>
      <c r="BI101" s="8"/>
      <c r="BJ101" s="8"/>
      <c r="BK101" s="8"/>
      <c r="BL101" s="4" t="str">
        <f t="shared" si="7"/>
        <v/>
      </c>
      <c r="BM101" s="8" t="str">
        <f t="shared" si="8"/>
        <v/>
      </c>
      <c r="BP101" t="str">
        <f>IF($BO101="","",IFERROR(VLOOKUP($BO101,'01_Warehouse_Ledger'!$A:$N,4,FALSE),""))</f>
        <v/>
      </c>
      <c r="BQ101" t="str">
        <f>IF($BO101="","",IFERROR(VLOOKUP($BO101,'01_Warehouse_Ledger'!$A:$N,5,FALSE),""))</f>
        <v/>
      </c>
      <c r="BR101" t="str">
        <f>IF($BO101="","",IFERROR(VLOOKUP($BO101,'01_Warehouse_Ledger'!$A:$N,13,FALSE),""))</f>
        <v/>
      </c>
    </row>
    <row r="102" spans="1:70">
      <c r="A102" s="8" t="s">
        <v>1645</v>
      </c>
      <c r="B102" s="8"/>
      <c r="C102" s="15" t="s">
        <v>1454</v>
      </c>
      <c r="D102" s="15" t="str">
        <f t="shared" si="9"/>
        <v/>
      </c>
      <c r="E102" s="15" t="str">
        <f t="shared" si="10"/>
        <v>No</v>
      </c>
      <c r="F102" t="str">
        <f t="shared" si="11"/>
        <v/>
      </c>
      <c r="G102" s="54" t="s">
        <v>1694</v>
      </c>
      <c r="H102" s="4" t="s">
        <v>1826</v>
      </c>
      <c r="I102" s="4"/>
      <c r="J102" s="2" t="s">
        <v>1435</v>
      </c>
      <c r="K102" s="2" t="s">
        <v>1454</v>
      </c>
      <c r="L102" s="2" t="s">
        <v>1454</v>
      </c>
      <c r="M102" s="2"/>
      <c r="N102" s="4"/>
      <c r="O102" s="4"/>
      <c r="P102" s="4"/>
      <c r="Q102" s="4"/>
      <c r="R102" s="4" t="s">
        <v>1863</v>
      </c>
      <c r="T102" s="4"/>
      <c r="U102" s="4"/>
      <c r="V102" s="4"/>
      <c r="W102" s="4"/>
      <c r="X102" s="4"/>
      <c r="Y102" s="4" t="s">
        <v>1864</v>
      </c>
      <c r="Z102" s="4" t="s">
        <v>1865</v>
      </c>
      <c r="AA102" s="4"/>
      <c r="AB102" s="4"/>
      <c r="AC102" s="4"/>
      <c r="AD102" s="4"/>
      <c r="AE102" s="8"/>
      <c r="AF102" s="4"/>
      <c r="AG102" s="4"/>
      <c r="AH102" s="1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8"/>
      <c r="AX102" s="8"/>
      <c r="AY102" s="8"/>
      <c r="AZ102" s="8"/>
      <c r="BA102" s="12"/>
      <c r="BB102" s="8"/>
      <c r="BC102" s="4"/>
      <c r="BD102" s="4"/>
      <c r="BE102" s="8"/>
      <c r="BF102" s="8"/>
      <c r="BG102" s="8"/>
      <c r="BH102" s="8"/>
      <c r="BI102" s="8"/>
      <c r="BJ102" s="8"/>
      <c r="BK102" s="8"/>
      <c r="BL102" s="4" t="str">
        <f t="shared" si="7"/>
        <v/>
      </c>
      <c r="BM102" s="8" t="str">
        <f t="shared" si="8"/>
        <v/>
      </c>
      <c r="BP102" t="str">
        <f>IF($BO102="","",IFERROR(VLOOKUP($BO102,'01_Warehouse_Ledger'!$A:$N,4,FALSE),""))</f>
        <v/>
      </c>
      <c r="BQ102" t="str">
        <f>IF($BO102="","",IFERROR(VLOOKUP($BO102,'01_Warehouse_Ledger'!$A:$N,5,FALSE),""))</f>
        <v/>
      </c>
      <c r="BR102" t="str">
        <f>IF($BO102="","",IFERROR(VLOOKUP($BO102,'01_Warehouse_Ledger'!$A:$N,13,FALSE),""))</f>
        <v/>
      </c>
    </row>
    <row r="103" spans="1:70" ht="15.75">
      <c r="A103" s="8" t="s">
        <v>1645</v>
      </c>
      <c r="B103" s="8"/>
      <c r="C103" s="15" t="s">
        <v>1454</v>
      </c>
      <c r="D103" s="15" t="str">
        <f t="shared" si="9"/>
        <v/>
      </c>
      <c r="E103" s="15" t="str">
        <f t="shared" si="10"/>
        <v>No</v>
      </c>
      <c r="F103" t="str">
        <f t="shared" si="11"/>
        <v/>
      </c>
      <c r="G103" s="51" t="s">
        <v>1694</v>
      </c>
      <c r="H103" s="4" t="s">
        <v>1826</v>
      </c>
      <c r="I103" s="4"/>
      <c r="J103" s="2" t="s">
        <v>1435</v>
      </c>
      <c r="K103" s="2" t="s">
        <v>1454</v>
      </c>
      <c r="L103" s="2" t="s">
        <v>1454</v>
      </c>
      <c r="M103" s="2"/>
      <c r="N103" s="4"/>
      <c r="O103" s="4"/>
      <c r="P103" s="4"/>
      <c r="Q103" s="4"/>
      <c r="R103" s="4" t="s">
        <v>1866</v>
      </c>
      <c r="T103" s="4"/>
      <c r="U103" s="4"/>
      <c r="V103" s="4"/>
      <c r="W103" s="4"/>
      <c r="X103" s="4"/>
      <c r="Y103" s="4" t="s">
        <v>1867</v>
      </c>
      <c r="Z103" s="4" t="s">
        <v>1868</v>
      </c>
      <c r="AA103" s="4"/>
      <c r="AB103" s="4"/>
      <c r="AC103" s="4"/>
      <c r="AD103" s="4"/>
      <c r="AE103" s="8"/>
      <c r="AF103" s="4"/>
      <c r="AG103" s="4"/>
      <c r="AH103" s="1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8"/>
      <c r="AX103" s="8"/>
      <c r="AY103" s="8"/>
      <c r="AZ103" s="8"/>
      <c r="BA103" s="12"/>
      <c r="BB103" s="8"/>
      <c r="BC103" s="4"/>
      <c r="BD103" s="4"/>
      <c r="BE103" s="8"/>
      <c r="BF103" s="8"/>
      <c r="BG103" s="8"/>
      <c r="BH103" s="8"/>
      <c r="BI103" s="8"/>
      <c r="BJ103" s="8"/>
      <c r="BK103" s="8"/>
      <c r="BL103" s="4" t="str">
        <f t="shared" si="7"/>
        <v/>
      </c>
      <c r="BM103" s="8" t="str">
        <f t="shared" si="8"/>
        <v/>
      </c>
      <c r="BP103" t="str">
        <f>IF($BO103="","",IFERROR(VLOOKUP($BO103,'01_Warehouse_Ledger'!$A:$N,4,FALSE),""))</f>
        <v/>
      </c>
      <c r="BQ103" t="str">
        <f>IF($BO103="","",IFERROR(VLOOKUP($BO103,'01_Warehouse_Ledger'!$A:$N,5,FALSE),""))</f>
        <v/>
      </c>
      <c r="BR103" t="str">
        <f>IF($BO103="","",IFERROR(VLOOKUP($BO103,'01_Warehouse_Ledger'!$A:$N,13,FALSE),""))</f>
        <v/>
      </c>
    </row>
    <row r="104" spans="1:70">
      <c r="A104" s="8" t="s">
        <v>1645</v>
      </c>
      <c r="B104" s="8"/>
      <c r="C104" s="15" t="s">
        <v>1454</v>
      </c>
      <c r="D104" s="15" t="str">
        <f t="shared" si="9"/>
        <v/>
      </c>
      <c r="E104" s="15" t="str">
        <f t="shared" si="10"/>
        <v>No</v>
      </c>
      <c r="F104" t="str">
        <f t="shared" si="11"/>
        <v/>
      </c>
      <c r="G104" s="54" t="s">
        <v>1694</v>
      </c>
      <c r="H104" s="4" t="s">
        <v>1826</v>
      </c>
      <c r="I104" s="4"/>
      <c r="J104" s="2" t="s">
        <v>1435</v>
      </c>
      <c r="K104" s="2" t="s">
        <v>1454</v>
      </c>
      <c r="L104" s="2" t="s">
        <v>1454</v>
      </c>
      <c r="M104" s="2"/>
      <c r="N104" s="4"/>
      <c r="O104" s="4"/>
      <c r="P104" s="4"/>
      <c r="Q104" s="4"/>
      <c r="R104" s="4" t="s">
        <v>1869</v>
      </c>
      <c r="T104" s="4"/>
      <c r="U104" s="4"/>
      <c r="V104" s="4"/>
      <c r="W104" s="4"/>
      <c r="X104" s="4"/>
      <c r="Y104" s="4" t="s">
        <v>1870</v>
      </c>
      <c r="Z104" s="4" t="s">
        <v>1871</v>
      </c>
      <c r="AA104" s="4"/>
      <c r="AB104" s="4"/>
      <c r="AC104" s="4"/>
      <c r="AD104" s="4"/>
      <c r="AE104" s="8"/>
      <c r="AF104" s="4"/>
      <c r="AG104" s="4"/>
      <c r="AH104" s="1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8"/>
      <c r="AX104" s="8"/>
      <c r="AY104" s="8"/>
      <c r="AZ104" s="8"/>
      <c r="BA104" s="12"/>
      <c r="BB104" s="8"/>
      <c r="BC104" s="4"/>
      <c r="BD104" s="4"/>
      <c r="BE104" s="8"/>
      <c r="BF104" s="8"/>
      <c r="BG104" s="8"/>
      <c r="BH104" s="8"/>
      <c r="BI104" s="8"/>
      <c r="BJ104" s="8"/>
      <c r="BK104" s="8"/>
      <c r="BL104" s="4" t="str">
        <f t="shared" si="7"/>
        <v/>
      </c>
      <c r="BM104" s="8" t="str">
        <f t="shared" si="8"/>
        <v/>
      </c>
      <c r="BP104" t="str">
        <f>IF($BO104="","",IFERROR(VLOOKUP($BO104,'01_Warehouse_Ledger'!$A:$N,4,FALSE),""))</f>
        <v/>
      </c>
      <c r="BQ104" t="str">
        <f>IF($BO104="","",IFERROR(VLOOKUP($BO104,'01_Warehouse_Ledger'!$A:$N,5,FALSE),""))</f>
        <v/>
      </c>
      <c r="BR104" t="str">
        <f>IF($BO104="","",IFERROR(VLOOKUP($BO104,'01_Warehouse_Ledger'!$A:$N,13,FALSE),""))</f>
        <v/>
      </c>
    </row>
    <row r="105" spans="1:70" ht="15.75">
      <c r="A105" s="8" t="s">
        <v>1645</v>
      </c>
      <c r="B105" s="8"/>
      <c r="C105" s="15" t="s">
        <v>1454</v>
      </c>
      <c r="D105" s="15" t="str">
        <f t="shared" si="9"/>
        <v/>
      </c>
      <c r="E105" s="15" t="str">
        <f t="shared" si="10"/>
        <v>No</v>
      </c>
      <c r="F105" t="str">
        <f t="shared" si="11"/>
        <v/>
      </c>
      <c r="G105" s="51" t="s">
        <v>1694</v>
      </c>
      <c r="H105" s="4" t="s">
        <v>1826</v>
      </c>
      <c r="I105" s="4"/>
      <c r="J105" s="2" t="s">
        <v>1435</v>
      </c>
      <c r="K105" s="2" t="s">
        <v>1454</v>
      </c>
      <c r="L105" s="2" t="s">
        <v>1454</v>
      </c>
      <c r="M105" s="2"/>
      <c r="N105" s="4"/>
      <c r="O105" s="4"/>
      <c r="P105" s="4"/>
      <c r="Q105" s="4"/>
      <c r="R105" s="4" t="s">
        <v>1872</v>
      </c>
      <c r="T105" s="4"/>
      <c r="U105" s="4"/>
      <c r="V105" s="4"/>
      <c r="W105" s="4"/>
      <c r="X105" s="4"/>
      <c r="Y105" s="4" t="s">
        <v>1873</v>
      </c>
      <c r="Z105" s="4" t="s">
        <v>1874</v>
      </c>
      <c r="AA105" s="4"/>
      <c r="AB105" s="4"/>
      <c r="AC105" s="4"/>
      <c r="AD105" s="4"/>
      <c r="AE105" s="8"/>
      <c r="AF105" s="4"/>
      <c r="AG105" s="4"/>
      <c r="AH105" s="1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8"/>
      <c r="AX105" s="8"/>
      <c r="AY105" s="8"/>
      <c r="AZ105" s="8"/>
      <c r="BA105" s="12"/>
      <c r="BB105" s="8"/>
      <c r="BC105" s="4"/>
      <c r="BD105" s="4"/>
      <c r="BE105" s="8"/>
      <c r="BF105" s="8"/>
      <c r="BG105" s="8"/>
      <c r="BH105" s="8"/>
      <c r="BI105" s="8"/>
      <c r="BJ105" s="8"/>
      <c r="BK105" s="8"/>
      <c r="BL105" s="4" t="str">
        <f t="shared" si="7"/>
        <v/>
      </c>
      <c r="BM105" s="8" t="str">
        <f t="shared" si="8"/>
        <v/>
      </c>
      <c r="BP105" t="str">
        <f>IF($BO105="","",IFERROR(VLOOKUP($BO105,'01_Warehouse_Ledger'!$A:$N,4,FALSE),""))</f>
        <v/>
      </c>
      <c r="BQ105" t="str">
        <f>IF($BO105="","",IFERROR(VLOOKUP($BO105,'01_Warehouse_Ledger'!$A:$N,5,FALSE),""))</f>
        <v/>
      </c>
      <c r="BR105" t="str">
        <f>IF($BO105="","",IFERROR(VLOOKUP($BO105,'01_Warehouse_Ledger'!$A:$N,13,FALSE),""))</f>
        <v/>
      </c>
    </row>
    <row r="106" spans="1:70">
      <c r="A106" s="8" t="s">
        <v>1645</v>
      </c>
      <c r="B106" s="8"/>
      <c r="C106" s="15" t="s">
        <v>1454</v>
      </c>
      <c r="D106" s="15" t="str">
        <f t="shared" si="9"/>
        <v/>
      </c>
      <c r="E106" s="15" t="str">
        <f t="shared" si="10"/>
        <v>No</v>
      </c>
      <c r="F106" t="str">
        <f t="shared" si="11"/>
        <v/>
      </c>
      <c r="G106" s="54" t="s">
        <v>1694</v>
      </c>
      <c r="H106" s="4" t="s">
        <v>1826</v>
      </c>
      <c r="I106" s="4"/>
      <c r="J106" s="2" t="s">
        <v>1435</v>
      </c>
      <c r="K106" s="2" t="s">
        <v>1454</v>
      </c>
      <c r="L106" s="2" t="s">
        <v>1454</v>
      </c>
      <c r="M106" s="2"/>
      <c r="N106" s="4"/>
      <c r="O106" s="4"/>
      <c r="P106" s="4"/>
      <c r="Q106" s="4"/>
      <c r="R106" s="4" t="s">
        <v>1875</v>
      </c>
      <c r="T106" s="4"/>
      <c r="U106" s="4"/>
      <c r="V106" s="4"/>
      <c r="W106" s="4"/>
      <c r="X106" s="4"/>
      <c r="Y106" s="4" t="s">
        <v>1876</v>
      </c>
      <c r="Z106" s="4" t="s">
        <v>1877</v>
      </c>
      <c r="AA106" s="4"/>
      <c r="AB106" s="4"/>
      <c r="AC106" s="4"/>
      <c r="AD106" s="4"/>
      <c r="AE106" s="8"/>
      <c r="AF106" s="4"/>
      <c r="AG106" s="4"/>
      <c r="AH106" s="1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8"/>
      <c r="AX106" s="8"/>
      <c r="AY106" s="8"/>
      <c r="AZ106" s="8"/>
      <c r="BA106" s="12"/>
      <c r="BB106" s="8"/>
      <c r="BC106" s="4"/>
      <c r="BD106" s="4"/>
      <c r="BE106" s="8"/>
      <c r="BF106" s="8"/>
      <c r="BG106" s="8"/>
      <c r="BH106" s="8"/>
      <c r="BI106" s="8"/>
      <c r="BJ106" s="8"/>
      <c r="BK106" s="8"/>
      <c r="BL106" s="4" t="str">
        <f t="shared" si="7"/>
        <v/>
      </c>
      <c r="BM106" s="8" t="str">
        <f t="shared" si="8"/>
        <v/>
      </c>
      <c r="BP106" t="str">
        <f>IF($BO106="","",IFERROR(VLOOKUP($BO106,'01_Warehouse_Ledger'!$A:$N,4,FALSE),""))</f>
        <v/>
      </c>
      <c r="BQ106" t="str">
        <f>IF($BO106="","",IFERROR(VLOOKUP($BO106,'01_Warehouse_Ledger'!$A:$N,5,FALSE),""))</f>
        <v/>
      </c>
      <c r="BR106" t="str">
        <f>IF($BO106="","",IFERROR(VLOOKUP($BO106,'01_Warehouse_Ledger'!$A:$N,13,FALSE),""))</f>
        <v/>
      </c>
    </row>
    <row r="107" spans="1:70" ht="15.75">
      <c r="A107" s="8" t="s">
        <v>1645</v>
      </c>
      <c r="B107" s="8"/>
      <c r="C107" s="15" t="s">
        <v>1454</v>
      </c>
      <c r="D107" s="15" t="str">
        <f t="shared" si="9"/>
        <v/>
      </c>
      <c r="E107" s="15" t="str">
        <f t="shared" si="10"/>
        <v>No</v>
      </c>
      <c r="F107" t="str">
        <f t="shared" si="11"/>
        <v/>
      </c>
      <c r="G107" s="51" t="s">
        <v>1694</v>
      </c>
      <c r="H107" s="4" t="s">
        <v>1826</v>
      </c>
      <c r="I107" s="4"/>
      <c r="J107" s="2" t="s">
        <v>1435</v>
      </c>
      <c r="K107" s="2" t="s">
        <v>1454</v>
      </c>
      <c r="L107" s="2" t="s">
        <v>1454</v>
      </c>
      <c r="M107" s="2"/>
      <c r="N107" s="4"/>
      <c r="O107" s="4"/>
      <c r="P107" s="4"/>
      <c r="Q107" s="4"/>
      <c r="R107" s="4" t="s">
        <v>1878</v>
      </c>
      <c r="T107" s="4"/>
      <c r="U107" s="4"/>
      <c r="V107" s="4"/>
      <c r="W107" s="4"/>
      <c r="X107" s="4"/>
      <c r="Y107" s="4" t="s">
        <v>1879</v>
      </c>
      <c r="Z107" s="4" t="s">
        <v>1880</v>
      </c>
      <c r="AA107" s="4"/>
      <c r="AB107" s="4"/>
      <c r="AC107" s="4"/>
      <c r="AD107" s="4"/>
      <c r="AE107" s="8"/>
      <c r="AF107" s="4"/>
      <c r="AG107" s="4"/>
      <c r="AH107" s="1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8"/>
      <c r="AX107" s="8"/>
      <c r="AY107" s="8"/>
      <c r="AZ107" s="8"/>
      <c r="BA107" s="12"/>
      <c r="BB107" s="8"/>
      <c r="BC107" s="4"/>
      <c r="BD107" s="4"/>
      <c r="BE107" s="8"/>
      <c r="BF107" s="8"/>
      <c r="BG107" s="8"/>
      <c r="BH107" s="8"/>
      <c r="BI107" s="8"/>
      <c r="BJ107" s="8"/>
      <c r="BK107" s="8"/>
      <c r="BL107" s="4" t="str">
        <f t="shared" si="7"/>
        <v/>
      </c>
      <c r="BM107" s="8" t="str">
        <f t="shared" si="8"/>
        <v/>
      </c>
      <c r="BP107" t="str">
        <f>IF($BO107="","",IFERROR(VLOOKUP($BO107,'01_Warehouse_Ledger'!$A:$N,4,FALSE),""))</f>
        <v/>
      </c>
      <c r="BQ107" t="str">
        <f>IF($BO107="","",IFERROR(VLOOKUP($BO107,'01_Warehouse_Ledger'!$A:$N,5,FALSE),""))</f>
        <v/>
      </c>
      <c r="BR107" t="str">
        <f>IF($BO107="","",IFERROR(VLOOKUP($BO107,'01_Warehouse_Ledger'!$A:$N,13,FALSE),""))</f>
        <v/>
      </c>
    </row>
    <row r="108" spans="1:70">
      <c r="A108" s="8" t="s">
        <v>1645</v>
      </c>
      <c r="B108" s="8"/>
      <c r="C108" s="15" t="s">
        <v>1454</v>
      </c>
      <c r="D108" s="15" t="str">
        <f t="shared" si="9"/>
        <v/>
      </c>
      <c r="E108" s="15" t="str">
        <f t="shared" si="10"/>
        <v>No</v>
      </c>
      <c r="F108" t="str">
        <f t="shared" si="11"/>
        <v/>
      </c>
      <c r="G108" s="54" t="s">
        <v>1694</v>
      </c>
      <c r="H108" s="4" t="s">
        <v>1826</v>
      </c>
      <c r="I108" s="4"/>
      <c r="J108" s="2" t="s">
        <v>1435</v>
      </c>
      <c r="K108" s="2" t="s">
        <v>1454</v>
      </c>
      <c r="L108" s="2" t="s">
        <v>1454</v>
      </c>
      <c r="M108" s="2"/>
      <c r="N108" s="4"/>
      <c r="O108" s="4"/>
      <c r="P108" s="4"/>
      <c r="Q108" s="4"/>
      <c r="R108" s="4" t="s">
        <v>1881</v>
      </c>
      <c r="T108" s="4"/>
      <c r="U108" s="4"/>
      <c r="V108" s="4"/>
      <c r="W108" s="4"/>
      <c r="X108" s="4"/>
      <c r="Y108" s="4" t="s">
        <v>1882</v>
      </c>
      <c r="Z108" s="4" t="s">
        <v>1883</v>
      </c>
      <c r="AA108" s="4"/>
      <c r="AB108" s="4"/>
      <c r="AC108" s="4"/>
      <c r="AD108" s="4"/>
      <c r="AE108" s="8"/>
      <c r="AF108" s="4"/>
      <c r="AG108" s="4"/>
      <c r="AH108" s="1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8"/>
      <c r="AX108" s="8"/>
      <c r="AY108" s="8"/>
      <c r="AZ108" s="8"/>
      <c r="BA108" s="12"/>
      <c r="BB108" s="8"/>
      <c r="BC108" s="4"/>
      <c r="BD108" s="4"/>
      <c r="BE108" s="8"/>
      <c r="BF108" s="8"/>
      <c r="BG108" s="8"/>
      <c r="BH108" s="8"/>
      <c r="BI108" s="8"/>
      <c r="BJ108" s="8"/>
      <c r="BK108" s="8"/>
      <c r="BL108" s="4" t="str">
        <f t="shared" si="7"/>
        <v/>
      </c>
      <c r="BM108" s="8" t="str">
        <f t="shared" si="8"/>
        <v/>
      </c>
      <c r="BP108" t="str">
        <f>IF($BO108="","",IFERROR(VLOOKUP($BO108,'01_Warehouse_Ledger'!$A:$N,4,FALSE),""))</f>
        <v/>
      </c>
      <c r="BQ108" t="str">
        <f>IF($BO108="","",IFERROR(VLOOKUP($BO108,'01_Warehouse_Ledger'!$A:$N,5,FALSE),""))</f>
        <v/>
      </c>
      <c r="BR108" t="str">
        <f>IF($BO108="","",IFERROR(VLOOKUP($BO108,'01_Warehouse_Ledger'!$A:$N,13,FALSE),""))</f>
        <v/>
      </c>
    </row>
    <row r="109" spans="1:70" ht="15.75">
      <c r="A109" s="8" t="s">
        <v>1645</v>
      </c>
      <c r="B109" s="8"/>
      <c r="C109" s="15" t="s">
        <v>1454</v>
      </c>
      <c r="D109" s="15" t="str">
        <f t="shared" si="9"/>
        <v/>
      </c>
      <c r="E109" s="15" t="str">
        <f t="shared" si="10"/>
        <v>No</v>
      </c>
      <c r="F109" t="str">
        <f t="shared" si="11"/>
        <v/>
      </c>
      <c r="G109" s="51" t="s">
        <v>1694</v>
      </c>
      <c r="H109" s="4" t="s">
        <v>1826</v>
      </c>
      <c r="I109" s="4"/>
      <c r="J109" s="2" t="s">
        <v>1435</v>
      </c>
      <c r="K109" s="2" t="s">
        <v>1454</v>
      </c>
      <c r="L109" s="2" t="s">
        <v>1454</v>
      </c>
      <c r="M109" s="2"/>
      <c r="N109" s="4"/>
      <c r="O109" s="4"/>
      <c r="P109" s="4"/>
      <c r="Q109" s="4"/>
      <c r="R109" s="4" t="s">
        <v>1884</v>
      </c>
      <c r="T109" s="4"/>
      <c r="U109" s="4"/>
      <c r="V109" s="4"/>
      <c r="W109" s="4"/>
      <c r="X109" s="4"/>
      <c r="Y109" s="4" t="s">
        <v>1885</v>
      </c>
      <c r="Z109" s="4" t="s">
        <v>1886</v>
      </c>
      <c r="AA109" s="4"/>
      <c r="AB109" s="4"/>
      <c r="AC109" s="4"/>
      <c r="AD109" s="4"/>
      <c r="AE109" s="8"/>
      <c r="AF109" s="4"/>
      <c r="AG109" s="4"/>
      <c r="AH109" s="1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8"/>
      <c r="AX109" s="8"/>
      <c r="AY109" s="8"/>
      <c r="AZ109" s="8"/>
      <c r="BA109" s="12"/>
      <c r="BB109" s="8"/>
      <c r="BC109" s="4"/>
      <c r="BD109" s="4"/>
      <c r="BE109" s="8"/>
      <c r="BF109" s="8"/>
      <c r="BG109" s="8"/>
      <c r="BH109" s="8"/>
      <c r="BI109" s="8"/>
      <c r="BJ109" s="8"/>
      <c r="BK109" s="8"/>
      <c r="BL109" s="4" t="str">
        <f t="shared" si="7"/>
        <v/>
      </c>
      <c r="BM109" s="8" t="str">
        <f t="shared" si="8"/>
        <v/>
      </c>
      <c r="BP109" t="str">
        <f>IF($BO109="","",IFERROR(VLOOKUP($BO109,'01_Warehouse_Ledger'!$A:$N,4,FALSE),""))</f>
        <v/>
      </c>
      <c r="BQ109" t="str">
        <f>IF($BO109="","",IFERROR(VLOOKUP($BO109,'01_Warehouse_Ledger'!$A:$N,5,FALSE),""))</f>
        <v/>
      </c>
      <c r="BR109" t="str">
        <f>IF($BO109="","",IFERROR(VLOOKUP($BO109,'01_Warehouse_Ledger'!$A:$N,13,FALSE),""))</f>
        <v/>
      </c>
    </row>
    <row r="110" spans="1:70">
      <c r="A110" s="8" t="s">
        <v>1645</v>
      </c>
      <c r="B110" s="8"/>
      <c r="C110" s="15" t="s">
        <v>1454</v>
      </c>
      <c r="D110" s="15" t="str">
        <f t="shared" si="9"/>
        <v/>
      </c>
      <c r="E110" s="15" t="str">
        <f t="shared" si="10"/>
        <v>No</v>
      </c>
      <c r="F110" t="str">
        <f t="shared" si="11"/>
        <v/>
      </c>
      <c r="G110" s="54" t="s">
        <v>1694</v>
      </c>
      <c r="H110" s="4" t="s">
        <v>1887</v>
      </c>
      <c r="I110" s="4"/>
      <c r="J110" s="2" t="s">
        <v>1435</v>
      </c>
      <c r="K110" s="2" t="s">
        <v>1454</v>
      </c>
      <c r="L110" s="2" t="s">
        <v>1454</v>
      </c>
      <c r="M110" s="2"/>
      <c r="N110" s="4"/>
      <c r="O110" s="4"/>
      <c r="P110" s="4"/>
      <c r="Q110" s="4"/>
      <c r="R110" s="4" t="s">
        <v>1888</v>
      </c>
      <c r="T110" s="4"/>
      <c r="U110" s="4"/>
      <c r="V110" s="4"/>
      <c r="W110" s="4"/>
      <c r="X110" s="4"/>
      <c r="Y110" s="4" t="s">
        <v>1889</v>
      </c>
      <c r="Z110" s="4" t="s">
        <v>1890</v>
      </c>
      <c r="AA110" s="4"/>
      <c r="AB110" s="4"/>
      <c r="AC110" s="4"/>
      <c r="AD110" s="4"/>
      <c r="AE110" s="8"/>
      <c r="AF110" s="4"/>
      <c r="AG110" s="4"/>
      <c r="AH110" s="1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8"/>
      <c r="AX110" s="8"/>
      <c r="AY110" s="8"/>
      <c r="AZ110" s="8"/>
      <c r="BA110" s="12"/>
      <c r="BB110" s="8"/>
      <c r="BC110" s="4"/>
      <c r="BD110" s="4"/>
      <c r="BE110" s="8"/>
      <c r="BF110" s="8"/>
      <c r="BG110" s="8"/>
      <c r="BH110" s="8"/>
      <c r="BI110" s="8"/>
      <c r="BJ110" s="8"/>
      <c r="BK110" s="8"/>
      <c r="BL110" s="4" t="str">
        <f t="shared" si="7"/>
        <v/>
      </c>
      <c r="BM110" s="8" t="str">
        <f t="shared" si="8"/>
        <v/>
      </c>
      <c r="BP110" t="str">
        <f>IF($BO110="","",IFERROR(VLOOKUP($BO110,'01_Warehouse_Ledger'!$A:$N,4,FALSE),""))</f>
        <v/>
      </c>
      <c r="BQ110" t="str">
        <f>IF($BO110="","",IFERROR(VLOOKUP($BO110,'01_Warehouse_Ledger'!$A:$N,5,FALSE),""))</f>
        <v/>
      </c>
      <c r="BR110" t="str">
        <f>IF($BO110="","",IFERROR(VLOOKUP($BO110,'01_Warehouse_Ledger'!$A:$N,13,FALSE),""))</f>
        <v/>
      </c>
    </row>
    <row r="111" spans="1:70">
      <c r="A111" s="8" t="s">
        <v>1645</v>
      </c>
      <c r="B111" s="8"/>
      <c r="C111" s="15" t="s">
        <v>1454</v>
      </c>
      <c r="D111" s="15" t="str">
        <f t="shared" si="9"/>
        <v/>
      </c>
      <c r="E111" s="15" t="str">
        <f t="shared" si="10"/>
        <v>No</v>
      </c>
      <c r="F111" t="str">
        <f t="shared" si="11"/>
        <v/>
      </c>
      <c r="G111" t="s">
        <v>1694</v>
      </c>
      <c r="H111" s="4" t="s">
        <v>1887</v>
      </c>
      <c r="I111" s="4"/>
      <c r="J111" s="2" t="s">
        <v>1435</v>
      </c>
      <c r="K111" s="2" t="s">
        <v>1454</v>
      </c>
      <c r="L111" s="2" t="s">
        <v>1454</v>
      </c>
      <c r="M111" s="2"/>
      <c r="N111" s="4"/>
      <c r="O111" s="4"/>
      <c r="P111" s="4"/>
      <c r="Q111" s="4"/>
      <c r="R111" s="4" t="s">
        <v>1891</v>
      </c>
      <c r="T111" s="4"/>
      <c r="U111" s="4"/>
      <c r="V111" s="4"/>
      <c r="W111" s="4"/>
      <c r="X111" s="4"/>
      <c r="Y111" s="4" t="s">
        <v>1892</v>
      </c>
      <c r="Z111" s="4" t="s">
        <v>1893</v>
      </c>
      <c r="AA111" s="4"/>
      <c r="AB111" s="4"/>
      <c r="AC111" s="4"/>
      <c r="AD111" s="4"/>
      <c r="AE111" s="8"/>
      <c r="AF111" s="4"/>
      <c r="AG111" s="4"/>
      <c r="AH111" s="1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8"/>
      <c r="AX111" s="8"/>
      <c r="AY111" s="8"/>
      <c r="AZ111" s="8"/>
      <c r="BA111" s="12"/>
      <c r="BB111" s="8"/>
      <c r="BC111" s="4"/>
      <c r="BD111" s="4"/>
      <c r="BE111" s="8"/>
      <c r="BF111" s="8"/>
      <c r="BG111" s="8"/>
      <c r="BH111" s="8"/>
      <c r="BI111" s="8"/>
      <c r="BJ111" s="8"/>
      <c r="BK111" s="8"/>
      <c r="BL111" s="4" t="str">
        <f t="shared" si="7"/>
        <v/>
      </c>
      <c r="BM111" s="8" t="str">
        <f t="shared" si="8"/>
        <v/>
      </c>
      <c r="BP111" t="str">
        <f>IF($BO111="","",IFERROR(VLOOKUP($BO111,'01_Warehouse_Ledger'!$A:$N,4,FALSE),""))</f>
        <v/>
      </c>
      <c r="BQ111" t="str">
        <f>IF($BO111="","",IFERROR(VLOOKUP($BO111,'01_Warehouse_Ledger'!$A:$N,5,FALSE),""))</f>
        <v/>
      </c>
      <c r="BR111" t="str">
        <f>IF($BO111="","",IFERROR(VLOOKUP($BO111,'01_Warehouse_Ledger'!$A:$N,13,FALSE),""))</f>
        <v/>
      </c>
    </row>
    <row r="112" spans="1:70">
      <c r="A112" s="8" t="s">
        <v>1645</v>
      </c>
      <c r="B112" s="8"/>
      <c r="C112" s="15" t="s">
        <v>1454</v>
      </c>
      <c r="D112" s="15" t="str">
        <f t="shared" si="9"/>
        <v/>
      </c>
      <c r="E112" s="15" t="str">
        <f t="shared" si="10"/>
        <v>No</v>
      </c>
      <c r="F112" t="str">
        <f t="shared" si="11"/>
        <v/>
      </c>
      <c r="G112" s="54" t="s">
        <v>1694</v>
      </c>
      <c r="H112" s="4" t="s">
        <v>1887</v>
      </c>
      <c r="I112" s="4"/>
      <c r="J112" s="2" t="s">
        <v>1435</v>
      </c>
      <c r="K112" s="2" t="s">
        <v>1454</v>
      </c>
      <c r="L112" s="2" t="s">
        <v>1454</v>
      </c>
      <c r="M112" s="2"/>
      <c r="N112" s="4"/>
      <c r="O112" s="4"/>
      <c r="P112" s="4"/>
      <c r="Q112" s="4"/>
      <c r="R112" s="4" t="s">
        <v>1894</v>
      </c>
      <c r="T112" s="4"/>
      <c r="U112" s="4"/>
      <c r="V112" s="4"/>
      <c r="W112" s="4"/>
      <c r="X112" s="4"/>
      <c r="Y112" s="4" t="s">
        <v>1895</v>
      </c>
      <c r="Z112" s="4" t="s">
        <v>1896</v>
      </c>
      <c r="AA112" s="4"/>
      <c r="AB112" s="4"/>
      <c r="AC112" s="4"/>
      <c r="AD112" s="4"/>
      <c r="AE112" s="8"/>
      <c r="AF112" s="4"/>
      <c r="AG112" s="4"/>
      <c r="AH112" s="1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8"/>
      <c r="AX112" s="8"/>
      <c r="AY112" s="8"/>
      <c r="AZ112" s="8"/>
      <c r="BA112" s="12"/>
      <c r="BB112" s="8"/>
      <c r="BC112" s="4"/>
      <c r="BD112" s="4"/>
      <c r="BE112" s="8"/>
      <c r="BF112" s="8"/>
      <c r="BG112" s="8"/>
      <c r="BH112" s="8"/>
      <c r="BI112" s="8"/>
      <c r="BJ112" s="8"/>
      <c r="BK112" s="8"/>
      <c r="BL112" s="4" t="str">
        <f t="shared" si="7"/>
        <v/>
      </c>
      <c r="BM112" s="8" t="str">
        <f t="shared" si="8"/>
        <v/>
      </c>
      <c r="BP112" t="str">
        <f>IF($BO112="","",IFERROR(VLOOKUP($BO112,'01_Warehouse_Ledger'!$A:$N,4,FALSE),""))</f>
        <v/>
      </c>
      <c r="BQ112" t="str">
        <f>IF($BO112="","",IFERROR(VLOOKUP($BO112,'01_Warehouse_Ledger'!$A:$N,5,FALSE),""))</f>
        <v/>
      </c>
      <c r="BR112" t="str">
        <f>IF($BO112="","",IFERROR(VLOOKUP($BO112,'01_Warehouse_Ledger'!$A:$N,13,FALSE),""))</f>
        <v/>
      </c>
    </row>
    <row r="113" spans="1:70" ht="15.75">
      <c r="A113" s="8" t="s">
        <v>1645</v>
      </c>
      <c r="B113" s="8"/>
      <c r="C113" s="15" t="s">
        <v>1454</v>
      </c>
      <c r="D113" s="15" t="str">
        <f t="shared" si="9"/>
        <v/>
      </c>
      <c r="E113" s="15" t="str">
        <f t="shared" si="10"/>
        <v>No</v>
      </c>
      <c r="F113" t="str">
        <f t="shared" si="11"/>
        <v/>
      </c>
      <c r="G113" s="51" t="s">
        <v>1694</v>
      </c>
      <c r="H113" s="4" t="s">
        <v>1887</v>
      </c>
      <c r="I113" s="4"/>
      <c r="J113" s="2" t="s">
        <v>1435</v>
      </c>
      <c r="K113" s="2" t="s">
        <v>1454</v>
      </c>
      <c r="L113" s="2" t="s">
        <v>1454</v>
      </c>
      <c r="M113" s="2"/>
      <c r="N113" s="4"/>
      <c r="O113" s="4"/>
      <c r="P113" s="4"/>
      <c r="Q113" s="4"/>
      <c r="R113" s="4" t="s">
        <v>1897</v>
      </c>
      <c r="T113" s="4"/>
      <c r="U113" s="4"/>
      <c r="V113" s="4"/>
      <c r="W113" s="4"/>
      <c r="X113" s="4"/>
      <c r="Y113" s="4" t="s">
        <v>1898</v>
      </c>
      <c r="Z113" s="4" t="s">
        <v>1899</v>
      </c>
      <c r="AA113" s="4"/>
      <c r="AB113" s="4"/>
      <c r="AC113" s="4"/>
      <c r="AD113" s="4"/>
      <c r="AE113" s="8"/>
      <c r="AF113" s="4"/>
      <c r="AG113" s="4"/>
      <c r="AH113" s="1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8"/>
      <c r="AX113" s="8"/>
      <c r="AY113" s="8"/>
      <c r="AZ113" s="8"/>
      <c r="BA113" s="12"/>
      <c r="BB113" s="8"/>
      <c r="BC113" s="4"/>
      <c r="BD113" s="4"/>
      <c r="BE113" s="8"/>
      <c r="BF113" s="8"/>
      <c r="BG113" s="8"/>
      <c r="BH113" s="8"/>
      <c r="BI113" s="8"/>
      <c r="BJ113" s="8"/>
      <c r="BK113" s="8"/>
      <c r="BL113" s="4" t="str">
        <f t="shared" si="7"/>
        <v/>
      </c>
      <c r="BM113" s="8" t="str">
        <f t="shared" si="8"/>
        <v/>
      </c>
      <c r="BP113" t="str">
        <f>IF($BO113="","",IFERROR(VLOOKUP($BO113,'01_Warehouse_Ledger'!$A:$N,4,FALSE),""))</f>
        <v/>
      </c>
      <c r="BQ113" t="str">
        <f>IF($BO113="","",IFERROR(VLOOKUP($BO113,'01_Warehouse_Ledger'!$A:$N,5,FALSE),""))</f>
        <v/>
      </c>
      <c r="BR113" t="str">
        <f>IF($BO113="","",IFERROR(VLOOKUP($BO113,'01_Warehouse_Ledger'!$A:$N,13,FALSE),""))</f>
        <v/>
      </c>
    </row>
    <row r="114" spans="1:70">
      <c r="A114" s="8" t="s">
        <v>1645</v>
      </c>
      <c r="B114" s="8"/>
      <c r="C114" s="15" t="s">
        <v>1454</v>
      </c>
      <c r="D114" s="15" t="str">
        <f t="shared" si="9"/>
        <v/>
      </c>
      <c r="E114" s="15" t="str">
        <f t="shared" ref="E114:E145" si="12">IF($A114="","",IF($A114="Neuron",IF(OR(AND($R114&lt;&gt;"",LOWER(TRIM($R114))&lt;&gt;"n/a",COUNTIF($S$2:$S$528,$R114)&gt;1),AND($T114&lt;&gt;"",LOWER(TRIM($T114))&lt;&gt;"n/a",COUNTIF($T$2:$T$528,$T114)&gt;1),AND($W114&lt;&gt;"",LOWER(TRIM($W114))&lt;&gt;"n/a",COUNTIF($W$2:$W$528,$W114)&gt;1)),"Yes","No"),IF($A114="Cybernet",IF(OR(AND($Y114&lt;&gt;"",LOWER(TRIM($Y114))&lt;&gt;"n/a",COUNTIF($Y$2:$Y$528,$Y114)&gt;1),AND($Z114&lt;&gt;"",LOWER(TRIM($Z114))&lt;&gt;"n/a",COUNTIF($Z$2:$Z$528,$Z114)&gt;1)),"Yes","No"),IF(AND($AL114&lt;&gt;"",LOWER(TRIM($AL114))&lt;&gt;"n/a",COUNTIF($AL$2:$AL$528,$AL114)&gt;1),"Yes","No"))))</f>
        <v>No</v>
      </c>
      <c r="F114" t="str">
        <f t="shared" ref="F114:F137" si="13">IF($B114&lt;&gt;"Yes","",
IF($A114="Neuron",
IF(OR(
AND($R114&lt;&gt;"",LOWER(TRIM($R114))&lt;&gt;"n/a",COUNTIFS($B$2:$B$528,"Yes",$A$2:$A$528,"Neuron",$S$2:$S$528,$R114)&gt;1),
AND($T114&lt;&gt;"",LOWER(TRIM($T114))&lt;&gt;"n/a",COUNTIFS($B$2:$B$528,"Yes",$A$2:$A$528,"Neuron",$T$2:$T$528,$T114)&gt;1),
AND($W114&lt;&gt;"",LOWER(TRIM($W114))&lt;&gt;"n/a",COUNTIFS($B$2:$B$528,"Yes",$A$2:$A$528,"Neuron",$W$2:$W$528,$W114)&gt;1)
),"Yes","No"),
IF($A114="Cybernet",
IF(OR(
AND($Y114&lt;&gt;"",LOWER(TRIM($Y114))&lt;&gt;"n/a",COUNTIFS($B$2:$B$528,"Yes",$A$2:$A$528,"Cybernet",$Y$2:$Y$528,$Y114)&gt;1),
AND($Z114&lt;&gt;"",LOWER(TRIM($Z114))&lt;&gt;"n/a",COUNTIFS($B$2:$B$528,"Yes",$A$2:$A$528,"Cybernet",$Z$2:$Z$528,$Z114)&gt;1)
),"Yes","No"),
IF(AND($AL114&lt;&gt;"",LOWER(TRIM($AL114))&lt;&gt;"n/a"),
IF(COUNTIFS($B$2:$B$528,"Yes",$A$2:$A$528,$A114,$AL$2:$AL$528,$AL114)&gt;1,"Yes","No"),
"No")
)
)
)</f>
        <v/>
      </c>
      <c r="G114" s="54" t="s">
        <v>1694</v>
      </c>
      <c r="H114" s="4" t="s">
        <v>1887</v>
      </c>
      <c r="I114" s="4"/>
      <c r="J114" s="2" t="s">
        <v>1435</v>
      </c>
      <c r="K114" s="2" t="s">
        <v>1454</v>
      </c>
      <c r="L114" s="2" t="s">
        <v>1454</v>
      </c>
      <c r="M114" s="2"/>
      <c r="N114" s="4"/>
      <c r="O114" s="4"/>
      <c r="P114" s="4"/>
      <c r="Q114" s="4"/>
      <c r="R114" s="4" t="s">
        <v>1900</v>
      </c>
      <c r="T114" s="4"/>
      <c r="U114" s="4"/>
      <c r="V114" s="4"/>
      <c r="W114" s="4"/>
      <c r="X114" s="4"/>
      <c r="Y114" s="4" t="s">
        <v>1901</v>
      </c>
      <c r="Z114" s="4" t="s">
        <v>1902</v>
      </c>
      <c r="AA114" s="4"/>
      <c r="AB114" s="4"/>
      <c r="AC114" s="4"/>
      <c r="AD114" s="4"/>
      <c r="AE114" s="8"/>
      <c r="AF114" s="4"/>
      <c r="AG114" s="4"/>
      <c r="AH114" s="1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8"/>
      <c r="AX114" s="8"/>
      <c r="AY114" s="8"/>
      <c r="AZ114" s="8"/>
      <c r="BA114" s="12"/>
      <c r="BB114" s="8"/>
      <c r="BC114" s="4"/>
      <c r="BD114" s="4"/>
      <c r="BE114" s="8"/>
      <c r="BF114" s="8"/>
      <c r="BG114" s="8"/>
      <c r="BH114" s="8"/>
      <c r="BI114" s="8"/>
      <c r="BJ114" s="8"/>
      <c r="BK114" s="8"/>
      <c r="BL114" s="4" t="str">
        <f t="shared" ref="BL114:BL178" si="14">IF($T114="","",IF((IF(AND($AW114&lt;&gt;"Yes",$AW114&lt;&gt;"N/A"),"Power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",""))="","",LEFT(IF(AND($AW114&lt;&gt;"Yes",$AW114&lt;&gt;"N/A"),"Power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",""),LEN(IF(AND($AW114&lt;&gt;"Yes",$AW114&lt;&gt;"N/A"),"Power Cable, ","")&amp;IF(AND($AX114&lt;&gt;"Yes",$AX114&lt;&gt;"N/A"),"Battery, ","")&amp;IF(AND($BE114&lt;&gt;"Yes",$BE114&lt;&gt;"N/A"),"Firmware Download, ","")&amp;IF(AND(OR($BE114="Yes",$BE114="N/A"),$BF114&lt;&gt;"Yes",$BF114&lt;&gt;"N/A"),"Firmware Install, ","")&amp;IF(AND($BJ114&lt;&gt;"Yes",$BJ114&lt;&gt;"N/A"),"Device ID, ","")&amp;IF(AND($BK114&lt;&gt;"Yes",$BK114&lt;&gt;"N/A"),"Epic Beans Relay, ",""))-2)))</f>
        <v/>
      </c>
      <c r="BM114" s="8" t="str">
        <f t="shared" ref="BM114:BM178" si="15">IF($T114="","",IF($BL114="","Yes","Blocked"))</f>
        <v/>
      </c>
      <c r="BP114" t="str">
        <f>IF($BO114="","",IFERROR(VLOOKUP($BO114,'01_Warehouse_Ledger'!$A:$N,4,FALSE),""))</f>
        <v/>
      </c>
      <c r="BQ114" t="str">
        <f>IF($BO114="","",IFERROR(VLOOKUP($BO114,'01_Warehouse_Ledger'!$A:$N,5,FALSE),""))</f>
        <v/>
      </c>
      <c r="BR114" t="str">
        <f>IF($BO114="","",IFERROR(VLOOKUP($BO114,'01_Warehouse_Ledger'!$A:$N,13,FALSE),""))</f>
        <v/>
      </c>
    </row>
    <row r="115" spans="1:70">
      <c r="A115" s="8" t="s">
        <v>1645</v>
      </c>
      <c r="B115" s="8"/>
      <c r="C115" s="15" t="s">
        <v>1454</v>
      </c>
      <c r="D115" s="15" t="str">
        <f t="shared" si="9"/>
        <v/>
      </c>
      <c r="E115" s="15" t="str">
        <f t="shared" si="12"/>
        <v>No</v>
      </c>
      <c r="F115" t="str">
        <f t="shared" si="13"/>
        <v/>
      </c>
      <c r="G115" t="s">
        <v>1694</v>
      </c>
      <c r="H115" s="4" t="s">
        <v>1887</v>
      </c>
      <c r="I115" s="4"/>
      <c r="J115" s="2" t="s">
        <v>1435</v>
      </c>
      <c r="K115" s="2" t="s">
        <v>1454</v>
      </c>
      <c r="L115" s="2" t="s">
        <v>1454</v>
      </c>
      <c r="M115" s="2"/>
      <c r="N115" s="4"/>
      <c r="O115" s="4"/>
      <c r="P115" s="4"/>
      <c r="Q115" s="4"/>
      <c r="R115" s="4" t="s">
        <v>1903</v>
      </c>
      <c r="T115" s="4"/>
      <c r="U115" s="4"/>
      <c r="V115" s="4"/>
      <c r="W115" s="4"/>
      <c r="X115" s="4"/>
      <c r="Y115" s="4" t="s">
        <v>1904</v>
      </c>
      <c r="Z115" s="4" t="s">
        <v>1905</v>
      </c>
      <c r="AA115" s="4"/>
      <c r="AB115" s="4"/>
      <c r="AC115" s="4"/>
      <c r="AD115" s="4"/>
      <c r="AE115" s="8"/>
      <c r="AF115" s="4"/>
      <c r="AG115" s="4"/>
      <c r="AH115" s="1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8"/>
      <c r="AX115" s="8"/>
      <c r="AY115" s="8"/>
      <c r="AZ115" s="8"/>
      <c r="BA115" s="12"/>
      <c r="BB115" s="8"/>
      <c r="BC115" s="4"/>
      <c r="BD115" s="4"/>
      <c r="BE115" s="8"/>
      <c r="BF115" s="8"/>
      <c r="BG115" s="8"/>
      <c r="BH115" s="8"/>
      <c r="BI115" s="8"/>
      <c r="BJ115" s="8"/>
      <c r="BK115" s="8"/>
      <c r="BL115" s="4" t="str">
        <f t="shared" si="14"/>
        <v/>
      </c>
      <c r="BM115" s="8" t="str">
        <f t="shared" si="15"/>
        <v/>
      </c>
      <c r="BP115" t="str">
        <f>IF($BO115="","",IFERROR(VLOOKUP($BO115,'01_Warehouse_Ledger'!$A:$N,4,FALSE),""))</f>
        <v/>
      </c>
      <c r="BQ115" t="str">
        <f>IF($BO115="","",IFERROR(VLOOKUP($BO115,'01_Warehouse_Ledger'!$A:$N,5,FALSE),""))</f>
        <v/>
      </c>
      <c r="BR115" t="str">
        <f>IF($BO115="","",IFERROR(VLOOKUP($BO115,'01_Warehouse_Ledger'!$A:$N,13,FALSE),""))</f>
        <v/>
      </c>
    </row>
    <row r="116" spans="1:70">
      <c r="A116" s="8" t="s">
        <v>1645</v>
      </c>
      <c r="B116" s="8"/>
      <c r="C116" s="15" t="s">
        <v>1454</v>
      </c>
      <c r="D116" s="15" t="str">
        <f t="shared" si="9"/>
        <v/>
      </c>
      <c r="E116" s="15" t="str">
        <f t="shared" si="12"/>
        <v>No</v>
      </c>
      <c r="F116" t="str">
        <f t="shared" si="13"/>
        <v/>
      </c>
      <c r="G116" s="54" t="s">
        <v>1694</v>
      </c>
      <c r="H116" s="4" t="s">
        <v>1887</v>
      </c>
      <c r="I116" s="4"/>
      <c r="J116" s="2" t="s">
        <v>1435</v>
      </c>
      <c r="K116" s="2" t="s">
        <v>1454</v>
      </c>
      <c r="L116" s="2" t="s">
        <v>1454</v>
      </c>
      <c r="M116" s="2"/>
      <c r="N116" s="4"/>
      <c r="O116" s="4"/>
      <c r="P116" s="4"/>
      <c r="Q116" s="4"/>
      <c r="R116" s="4" t="s">
        <v>1906</v>
      </c>
      <c r="T116" s="4"/>
      <c r="U116" s="4"/>
      <c r="V116" s="4"/>
      <c r="W116" s="4"/>
      <c r="X116" s="4"/>
      <c r="Y116" s="4" t="s">
        <v>1907</v>
      </c>
      <c r="Z116" s="19" t="s">
        <v>1908</v>
      </c>
      <c r="AA116" s="4"/>
      <c r="AB116" s="4"/>
      <c r="AC116" s="4"/>
      <c r="AD116" s="4"/>
      <c r="AE116" s="8"/>
      <c r="AF116" s="4"/>
      <c r="AG116" s="4"/>
      <c r="AH116" s="1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8"/>
      <c r="AX116" s="8"/>
      <c r="AY116" s="8"/>
      <c r="AZ116" s="8"/>
      <c r="BA116" s="12"/>
      <c r="BB116" s="8"/>
      <c r="BC116" s="4"/>
      <c r="BD116" s="4"/>
      <c r="BE116" s="8"/>
      <c r="BF116" s="8"/>
      <c r="BG116" s="8"/>
      <c r="BH116" s="8"/>
      <c r="BI116" s="8"/>
      <c r="BJ116" s="8"/>
      <c r="BK116" s="8"/>
      <c r="BL116" s="4" t="str">
        <f t="shared" si="14"/>
        <v/>
      </c>
      <c r="BM116" s="8" t="str">
        <f t="shared" si="15"/>
        <v/>
      </c>
      <c r="BP116" t="str">
        <f>IF($BO116="","",IFERROR(VLOOKUP($BO116,'01_Warehouse_Ledger'!$A:$N,4,FALSE),""))</f>
        <v/>
      </c>
      <c r="BQ116" t="str">
        <f>IF($BO116="","",IFERROR(VLOOKUP($BO116,'01_Warehouse_Ledger'!$A:$N,5,FALSE),""))</f>
        <v/>
      </c>
      <c r="BR116" t="str">
        <f>IF($BO116="","",IFERROR(VLOOKUP($BO116,'01_Warehouse_Ledger'!$A:$N,13,FALSE),""))</f>
        <v/>
      </c>
    </row>
    <row r="117" spans="1:70" ht="15.75">
      <c r="A117" s="8" t="s">
        <v>1645</v>
      </c>
      <c r="B117" s="8"/>
      <c r="C117" s="15" t="s">
        <v>1454</v>
      </c>
      <c r="D117" s="15" t="str">
        <f t="shared" si="9"/>
        <v/>
      </c>
      <c r="E117" s="15" t="str">
        <f t="shared" si="12"/>
        <v>No</v>
      </c>
      <c r="F117" t="str">
        <f t="shared" si="13"/>
        <v/>
      </c>
      <c r="G117" s="51" t="s">
        <v>1694</v>
      </c>
      <c r="H117" s="4" t="s">
        <v>1887</v>
      </c>
      <c r="I117" s="4"/>
      <c r="J117" s="2" t="s">
        <v>1435</v>
      </c>
      <c r="K117" s="2" t="s">
        <v>1454</v>
      </c>
      <c r="L117" s="2" t="s">
        <v>1454</v>
      </c>
      <c r="M117" s="2"/>
      <c r="N117" s="4"/>
      <c r="O117" s="4"/>
      <c r="P117" s="4"/>
      <c r="Q117" s="4"/>
      <c r="R117" s="4" t="s">
        <v>1909</v>
      </c>
      <c r="T117" s="4"/>
      <c r="U117" s="4"/>
      <c r="V117" s="4"/>
      <c r="W117" s="4"/>
      <c r="X117" s="4"/>
      <c r="Y117" s="4" t="s">
        <v>1910</v>
      </c>
      <c r="Z117" s="19" t="s">
        <v>1911</v>
      </c>
      <c r="AA117" s="4"/>
      <c r="AB117" s="4"/>
      <c r="AC117" s="4"/>
      <c r="AD117" s="4"/>
      <c r="AE117" s="8"/>
      <c r="AF117" s="4"/>
      <c r="AG117" s="4"/>
      <c r="AH117" s="1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8"/>
      <c r="AX117" s="8"/>
      <c r="AY117" s="8"/>
      <c r="AZ117" s="8"/>
      <c r="BA117" s="12"/>
      <c r="BB117" s="8"/>
      <c r="BC117" s="4"/>
      <c r="BD117" s="4"/>
      <c r="BE117" s="8"/>
      <c r="BF117" s="8"/>
      <c r="BG117" s="8"/>
      <c r="BH117" s="8"/>
      <c r="BI117" s="8"/>
      <c r="BJ117" s="8"/>
      <c r="BK117" s="8"/>
      <c r="BL117" s="4" t="str">
        <f t="shared" si="14"/>
        <v/>
      </c>
      <c r="BM117" s="8" t="str">
        <f t="shared" si="15"/>
        <v/>
      </c>
      <c r="BP117" t="str">
        <f>IF($BO117="","",IFERROR(VLOOKUP($BO117,'01_Warehouse_Ledger'!$A:$N,4,FALSE),""))</f>
        <v/>
      </c>
      <c r="BQ117" t="str">
        <f>IF($BO117="","",IFERROR(VLOOKUP($BO117,'01_Warehouse_Ledger'!$A:$N,5,FALSE),""))</f>
        <v/>
      </c>
      <c r="BR117" t="str">
        <f>IF($BO117="","",IFERROR(VLOOKUP($BO117,'01_Warehouse_Ledger'!$A:$N,13,FALSE),""))</f>
        <v/>
      </c>
    </row>
    <row r="118" spans="1:70">
      <c r="A118" s="8" t="s">
        <v>1645</v>
      </c>
      <c r="B118" s="8"/>
      <c r="C118" s="15" t="s">
        <v>1454</v>
      </c>
      <c r="D118" s="15" t="str">
        <f t="shared" si="9"/>
        <v/>
      </c>
      <c r="E118" s="15" t="str">
        <f t="shared" si="12"/>
        <v>No</v>
      </c>
      <c r="F118" t="str">
        <f t="shared" si="13"/>
        <v/>
      </c>
      <c r="G118" s="54" t="s">
        <v>1694</v>
      </c>
      <c r="H118" s="4" t="s">
        <v>1887</v>
      </c>
      <c r="I118" s="4"/>
      <c r="J118" s="2" t="s">
        <v>1435</v>
      </c>
      <c r="K118" s="2" t="s">
        <v>1454</v>
      </c>
      <c r="L118" s="2" t="s">
        <v>1454</v>
      </c>
      <c r="M118" s="2"/>
      <c r="N118" s="4"/>
      <c r="O118" s="4"/>
      <c r="P118" s="4"/>
      <c r="Q118" s="4"/>
      <c r="R118" s="4" t="s">
        <v>1912</v>
      </c>
      <c r="T118" s="4"/>
      <c r="U118" s="4"/>
      <c r="V118" s="4"/>
      <c r="W118" s="4"/>
      <c r="X118" s="4"/>
      <c r="Y118" s="4" t="s">
        <v>1913</v>
      </c>
      <c r="Z118" s="19" t="s">
        <v>1914</v>
      </c>
      <c r="AA118" s="4"/>
      <c r="AB118" s="4"/>
      <c r="AC118" s="4"/>
      <c r="AD118" s="4"/>
      <c r="AE118" s="8"/>
      <c r="AF118" s="4"/>
      <c r="AG118" s="4"/>
      <c r="AH118" s="1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8"/>
      <c r="AX118" s="8"/>
      <c r="AY118" s="8"/>
      <c r="AZ118" s="8"/>
      <c r="BA118" s="12"/>
      <c r="BB118" s="8"/>
      <c r="BC118" s="4"/>
      <c r="BD118" s="4"/>
      <c r="BE118" s="8"/>
      <c r="BF118" s="8"/>
      <c r="BG118" s="8"/>
      <c r="BH118" s="8"/>
      <c r="BI118" s="8"/>
      <c r="BJ118" s="8"/>
      <c r="BK118" s="8"/>
      <c r="BL118" s="4" t="str">
        <f t="shared" si="14"/>
        <v/>
      </c>
      <c r="BM118" s="8" t="str">
        <f t="shared" si="15"/>
        <v/>
      </c>
      <c r="BP118" t="str">
        <f>IF($BO118="","",IFERROR(VLOOKUP($BO118,'01_Warehouse_Ledger'!$A:$N,4,FALSE),""))</f>
        <v/>
      </c>
      <c r="BQ118" t="str">
        <f>IF($BO118="","",IFERROR(VLOOKUP($BO118,'01_Warehouse_Ledger'!$A:$N,5,FALSE),""))</f>
        <v/>
      </c>
      <c r="BR118" t="str">
        <f>IF($BO118="","",IFERROR(VLOOKUP($BO118,'01_Warehouse_Ledger'!$A:$N,13,FALSE),""))</f>
        <v/>
      </c>
    </row>
    <row r="119" spans="1:70" ht="15.75">
      <c r="A119" s="8" t="s">
        <v>1645</v>
      </c>
      <c r="B119" s="8"/>
      <c r="C119" s="15" t="s">
        <v>1454</v>
      </c>
      <c r="D119" s="15" t="str">
        <f t="shared" si="9"/>
        <v/>
      </c>
      <c r="E119" s="15" t="str">
        <f t="shared" si="12"/>
        <v>No</v>
      </c>
      <c r="F119" t="str">
        <f t="shared" si="13"/>
        <v/>
      </c>
      <c r="G119" s="51" t="s">
        <v>1694</v>
      </c>
      <c r="H119" s="4" t="s">
        <v>1887</v>
      </c>
      <c r="I119" s="4"/>
      <c r="J119" s="2" t="s">
        <v>1435</v>
      </c>
      <c r="K119" s="2" t="s">
        <v>1454</v>
      </c>
      <c r="L119" s="2" t="s">
        <v>1454</v>
      </c>
      <c r="M119" s="2"/>
      <c r="N119" s="4"/>
      <c r="O119" s="4"/>
      <c r="P119" s="4"/>
      <c r="Q119" s="4"/>
      <c r="R119" s="4" t="s">
        <v>1915</v>
      </c>
      <c r="T119" s="4"/>
      <c r="U119" s="4"/>
      <c r="V119" s="4"/>
      <c r="W119" s="4"/>
      <c r="X119" s="4"/>
      <c r="Y119" s="4" t="s">
        <v>1916</v>
      </c>
      <c r="Z119" s="19" t="s">
        <v>1917</v>
      </c>
      <c r="AA119" s="4"/>
      <c r="AB119" s="4"/>
      <c r="AC119" s="4"/>
      <c r="AD119" s="4"/>
      <c r="AE119" s="8"/>
      <c r="AF119" s="4"/>
      <c r="AG119" s="4"/>
      <c r="AH119" s="1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8"/>
      <c r="AX119" s="8"/>
      <c r="AY119" s="8"/>
      <c r="AZ119" s="8"/>
      <c r="BA119" s="12"/>
      <c r="BB119" s="8"/>
      <c r="BC119" s="4"/>
      <c r="BD119" s="4"/>
      <c r="BE119" s="8"/>
      <c r="BF119" s="8"/>
      <c r="BG119" s="8"/>
      <c r="BH119" s="8"/>
      <c r="BI119" s="8"/>
      <c r="BJ119" s="8"/>
      <c r="BK119" s="8"/>
      <c r="BL119" s="4" t="str">
        <f t="shared" si="14"/>
        <v/>
      </c>
      <c r="BM119" s="8" t="str">
        <f t="shared" si="15"/>
        <v/>
      </c>
      <c r="BP119" t="str">
        <f>IF($BO119="","",IFERROR(VLOOKUP($BO119,'01_Warehouse_Ledger'!$A:$N,4,FALSE),""))</f>
        <v/>
      </c>
      <c r="BQ119" t="str">
        <f>IF($BO119="","",IFERROR(VLOOKUP($BO119,'01_Warehouse_Ledger'!$A:$N,5,FALSE),""))</f>
        <v/>
      </c>
      <c r="BR119" t="str">
        <f>IF($BO119="","",IFERROR(VLOOKUP($BO119,'01_Warehouse_Ledger'!$A:$N,13,FALSE),""))</f>
        <v/>
      </c>
    </row>
    <row r="120" spans="1:70">
      <c r="A120" s="8" t="s">
        <v>1645</v>
      </c>
      <c r="B120" s="8"/>
      <c r="C120" s="15" t="s">
        <v>1454</v>
      </c>
      <c r="D120" s="15" t="str">
        <f t="shared" si="9"/>
        <v/>
      </c>
      <c r="E120" s="15" t="str">
        <f t="shared" si="12"/>
        <v>No</v>
      </c>
      <c r="F120" t="str">
        <f t="shared" si="13"/>
        <v/>
      </c>
      <c r="G120" s="54" t="s">
        <v>1694</v>
      </c>
      <c r="H120" s="4" t="s">
        <v>1887</v>
      </c>
      <c r="I120" s="4"/>
      <c r="J120" s="2" t="s">
        <v>1435</v>
      </c>
      <c r="K120" s="2" t="s">
        <v>1454</v>
      </c>
      <c r="L120" s="2" t="s">
        <v>1454</v>
      </c>
      <c r="M120" s="2"/>
      <c r="N120" s="4"/>
      <c r="O120" s="4"/>
      <c r="P120" s="4"/>
      <c r="Q120" s="4"/>
      <c r="R120" s="4" t="s">
        <v>1918</v>
      </c>
      <c r="T120" s="4"/>
      <c r="U120" s="4"/>
      <c r="V120" s="4"/>
      <c r="W120" s="4"/>
      <c r="X120" s="4"/>
      <c r="Y120" s="4" t="s">
        <v>1919</v>
      </c>
      <c r="Z120" s="4" t="s">
        <v>1920</v>
      </c>
      <c r="AA120" s="4"/>
      <c r="AB120" s="4"/>
      <c r="AC120" s="4"/>
      <c r="AD120" s="4"/>
      <c r="AE120" s="8"/>
      <c r="AF120" s="4"/>
      <c r="AG120" s="4"/>
      <c r="AH120" s="1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8"/>
      <c r="AX120" s="8"/>
      <c r="AY120" s="8"/>
      <c r="AZ120" s="8"/>
      <c r="BA120" s="12"/>
      <c r="BB120" s="8"/>
      <c r="BC120" s="4"/>
      <c r="BD120" s="4"/>
      <c r="BE120" s="8"/>
      <c r="BF120" s="8"/>
      <c r="BG120" s="8"/>
      <c r="BH120" s="8"/>
      <c r="BI120" s="8"/>
      <c r="BJ120" s="8"/>
      <c r="BK120" s="8"/>
      <c r="BL120" s="4" t="str">
        <f t="shared" si="14"/>
        <v/>
      </c>
      <c r="BM120" s="8" t="str">
        <f t="shared" si="15"/>
        <v/>
      </c>
      <c r="BP120" t="str">
        <f>IF($BO120="","",IFERROR(VLOOKUP($BO120,'01_Warehouse_Ledger'!$A:$N,4,FALSE),""))</f>
        <v/>
      </c>
      <c r="BQ120" t="str">
        <f>IF($BO120="","",IFERROR(VLOOKUP($BO120,'01_Warehouse_Ledger'!$A:$N,5,FALSE),""))</f>
        <v/>
      </c>
      <c r="BR120" t="str">
        <f>IF($BO120="","",IFERROR(VLOOKUP($BO120,'01_Warehouse_Ledger'!$A:$N,13,FALSE),""))</f>
        <v/>
      </c>
    </row>
    <row r="121" spans="1:70" ht="15.75">
      <c r="A121" s="8" t="s">
        <v>1645</v>
      </c>
      <c r="B121" s="8"/>
      <c r="C121" s="15" t="s">
        <v>1454</v>
      </c>
      <c r="D121" s="15" t="str">
        <f t="shared" si="9"/>
        <v/>
      </c>
      <c r="E121" s="15" t="str">
        <f t="shared" si="12"/>
        <v>No</v>
      </c>
      <c r="F121" t="str">
        <f t="shared" si="13"/>
        <v/>
      </c>
      <c r="G121" s="51" t="s">
        <v>1694</v>
      </c>
      <c r="H121" s="4" t="s">
        <v>1887</v>
      </c>
      <c r="I121" s="4"/>
      <c r="J121" s="2" t="s">
        <v>1435</v>
      </c>
      <c r="K121" s="2" t="s">
        <v>1454</v>
      </c>
      <c r="L121" s="2" t="s">
        <v>1454</v>
      </c>
      <c r="M121" s="2"/>
      <c r="N121" s="4"/>
      <c r="O121" s="4"/>
      <c r="P121" s="4"/>
      <c r="Q121" s="4"/>
      <c r="R121" s="4" t="s">
        <v>1921</v>
      </c>
      <c r="T121" s="4"/>
      <c r="U121" s="4"/>
      <c r="V121" s="4"/>
      <c r="W121" s="4"/>
      <c r="X121" s="4"/>
      <c r="Y121" s="4" t="s">
        <v>1922</v>
      </c>
      <c r="Z121" s="4" t="s">
        <v>1923</v>
      </c>
      <c r="AA121" s="4"/>
      <c r="AB121" s="4"/>
      <c r="AC121" s="4"/>
      <c r="AD121" s="4"/>
      <c r="AE121" s="8"/>
      <c r="AF121" s="4"/>
      <c r="AG121" s="4"/>
      <c r="AH121" s="1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8"/>
      <c r="AX121" s="8"/>
      <c r="AY121" s="8"/>
      <c r="AZ121" s="8"/>
      <c r="BA121" s="12"/>
      <c r="BB121" s="8"/>
      <c r="BC121" s="4"/>
      <c r="BD121" s="4"/>
      <c r="BE121" s="8"/>
      <c r="BF121" s="8"/>
      <c r="BG121" s="8"/>
      <c r="BH121" s="8"/>
      <c r="BI121" s="8"/>
      <c r="BJ121" s="8"/>
      <c r="BK121" s="8"/>
      <c r="BL121" s="4" t="str">
        <f t="shared" si="14"/>
        <v/>
      </c>
      <c r="BM121" s="8" t="str">
        <f t="shared" si="15"/>
        <v/>
      </c>
      <c r="BP121" t="str">
        <f>IF($BO121="","",IFERROR(VLOOKUP($BO121,'01_Warehouse_Ledger'!$A:$N,4,FALSE),""))</f>
        <v/>
      </c>
      <c r="BQ121" t="str">
        <f>IF($BO121="","",IFERROR(VLOOKUP($BO121,'01_Warehouse_Ledger'!$A:$N,5,FALSE),""))</f>
        <v/>
      </c>
      <c r="BR121" t="str">
        <f>IF($BO121="","",IFERROR(VLOOKUP($BO121,'01_Warehouse_Ledger'!$A:$N,13,FALSE),""))</f>
        <v/>
      </c>
    </row>
    <row r="122" spans="1:70">
      <c r="A122" s="8" t="s">
        <v>1645</v>
      </c>
      <c r="B122" s="8"/>
      <c r="C122" s="15" t="s">
        <v>1454</v>
      </c>
      <c r="D122" s="15" t="str">
        <f t="shared" si="9"/>
        <v/>
      </c>
      <c r="E122" s="15" t="str">
        <f t="shared" si="12"/>
        <v>No</v>
      </c>
      <c r="F122" t="str">
        <f t="shared" si="13"/>
        <v/>
      </c>
      <c r="G122" s="54" t="s">
        <v>1694</v>
      </c>
      <c r="H122" s="4" t="s">
        <v>1887</v>
      </c>
      <c r="I122" s="4"/>
      <c r="J122" s="2" t="s">
        <v>1435</v>
      </c>
      <c r="K122" s="2" t="s">
        <v>1454</v>
      </c>
      <c r="L122" s="2" t="s">
        <v>1454</v>
      </c>
      <c r="M122" s="2"/>
      <c r="N122" s="4"/>
      <c r="O122" s="4"/>
      <c r="P122" s="4"/>
      <c r="Q122" s="4"/>
      <c r="R122" s="4" t="s">
        <v>1924</v>
      </c>
      <c r="T122" s="4"/>
      <c r="U122" s="4"/>
      <c r="V122" s="4"/>
      <c r="W122" s="4"/>
      <c r="X122" s="4"/>
      <c r="Y122" s="4" t="s">
        <v>1925</v>
      </c>
      <c r="Z122" s="4" t="s">
        <v>1926</v>
      </c>
      <c r="AA122" s="4"/>
      <c r="AB122" s="4"/>
      <c r="AC122" s="4"/>
      <c r="AD122" s="4"/>
      <c r="AE122" s="8"/>
      <c r="AF122" s="4"/>
      <c r="AG122" s="4"/>
      <c r="AH122" s="1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8"/>
      <c r="AX122" s="8"/>
      <c r="AY122" s="8"/>
      <c r="AZ122" s="8"/>
      <c r="BA122" s="12"/>
      <c r="BB122" s="8"/>
      <c r="BC122" s="4"/>
      <c r="BD122" s="4"/>
      <c r="BE122" s="8"/>
      <c r="BF122" s="8"/>
      <c r="BG122" s="8"/>
      <c r="BH122" s="8"/>
      <c r="BI122" s="8"/>
      <c r="BJ122" s="8"/>
      <c r="BK122" s="8"/>
      <c r="BL122" s="4" t="str">
        <f t="shared" si="14"/>
        <v/>
      </c>
      <c r="BM122" s="8" t="str">
        <f t="shared" si="15"/>
        <v/>
      </c>
      <c r="BP122" t="str">
        <f>IF($BO122="","",IFERROR(VLOOKUP($BO122,'01_Warehouse_Ledger'!$A:$N,4,FALSE),""))</f>
        <v/>
      </c>
      <c r="BQ122" t="str">
        <f>IF($BO122="","",IFERROR(VLOOKUP($BO122,'01_Warehouse_Ledger'!$A:$N,5,FALSE),""))</f>
        <v/>
      </c>
      <c r="BR122" t="str">
        <f>IF($BO122="","",IFERROR(VLOOKUP($BO122,'01_Warehouse_Ledger'!$A:$N,13,FALSE),""))</f>
        <v/>
      </c>
    </row>
    <row r="123" spans="1:70" ht="15.75">
      <c r="A123" s="8" t="s">
        <v>1645</v>
      </c>
      <c r="B123" s="8"/>
      <c r="C123" s="15" t="s">
        <v>1454</v>
      </c>
      <c r="D123" s="15" t="str">
        <f t="shared" si="9"/>
        <v/>
      </c>
      <c r="E123" s="15" t="str">
        <f t="shared" si="12"/>
        <v>No</v>
      </c>
      <c r="F123" t="str">
        <f t="shared" si="13"/>
        <v/>
      </c>
      <c r="G123" s="51" t="s">
        <v>1694</v>
      </c>
      <c r="H123" s="4" t="s">
        <v>1887</v>
      </c>
      <c r="I123" s="4"/>
      <c r="J123" s="2" t="s">
        <v>1435</v>
      </c>
      <c r="K123" s="2" t="s">
        <v>1454</v>
      </c>
      <c r="L123" s="2" t="s">
        <v>1454</v>
      </c>
      <c r="M123" s="2"/>
      <c r="N123" s="4"/>
      <c r="O123" s="4"/>
      <c r="P123" s="4"/>
      <c r="Q123" s="4"/>
      <c r="R123" s="4" t="s">
        <v>1927</v>
      </c>
      <c r="T123" s="4"/>
      <c r="U123" s="4"/>
      <c r="V123" s="4"/>
      <c r="W123" s="4"/>
      <c r="X123" s="4"/>
      <c r="Y123" s="4" t="s">
        <v>1928</v>
      </c>
      <c r="Z123" s="4" t="s">
        <v>1929</v>
      </c>
      <c r="AA123" s="4"/>
      <c r="AB123" s="4"/>
      <c r="AC123" s="4"/>
      <c r="AD123" s="4"/>
      <c r="AE123" s="8"/>
      <c r="AF123" s="4"/>
      <c r="AG123" s="4"/>
      <c r="AH123" s="1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8"/>
      <c r="AX123" s="8"/>
      <c r="AY123" s="8"/>
      <c r="AZ123" s="8"/>
      <c r="BA123" s="12"/>
      <c r="BB123" s="8"/>
      <c r="BC123" s="4"/>
      <c r="BD123" s="4"/>
      <c r="BE123" s="8"/>
      <c r="BF123" s="8"/>
      <c r="BG123" s="8"/>
      <c r="BH123" s="8"/>
      <c r="BI123" s="8"/>
      <c r="BJ123" s="8"/>
      <c r="BK123" s="8"/>
      <c r="BL123" s="4" t="str">
        <f t="shared" si="14"/>
        <v/>
      </c>
      <c r="BM123" s="8" t="str">
        <f t="shared" si="15"/>
        <v/>
      </c>
      <c r="BP123" t="str">
        <f>IF($BO123="","",IFERROR(VLOOKUP($BO123,'01_Warehouse_Ledger'!$A:$N,4,FALSE),""))</f>
        <v/>
      </c>
      <c r="BQ123" t="str">
        <f>IF($BO123="","",IFERROR(VLOOKUP($BO123,'01_Warehouse_Ledger'!$A:$N,5,FALSE),""))</f>
        <v/>
      </c>
      <c r="BR123" t="str">
        <f>IF($BO123="","",IFERROR(VLOOKUP($BO123,'01_Warehouse_Ledger'!$A:$N,13,FALSE),""))</f>
        <v/>
      </c>
    </row>
    <row r="124" spans="1:70">
      <c r="A124" s="8" t="s">
        <v>1645</v>
      </c>
      <c r="B124" s="8"/>
      <c r="C124" s="15" t="s">
        <v>1454</v>
      </c>
      <c r="D124" s="15" t="str">
        <f t="shared" si="9"/>
        <v/>
      </c>
      <c r="E124" s="15" t="str">
        <f t="shared" si="12"/>
        <v>No</v>
      </c>
      <c r="F124" t="str">
        <f t="shared" si="13"/>
        <v/>
      </c>
      <c r="G124" s="54" t="s">
        <v>1694</v>
      </c>
      <c r="H124" s="4" t="s">
        <v>1887</v>
      </c>
      <c r="I124" s="4"/>
      <c r="J124" s="2" t="s">
        <v>1435</v>
      </c>
      <c r="K124" s="2" t="s">
        <v>1454</v>
      </c>
      <c r="L124" s="2" t="s">
        <v>1454</v>
      </c>
      <c r="M124" s="2"/>
      <c r="N124" s="4"/>
      <c r="O124" s="4"/>
      <c r="P124" s="4"/>
      <c r="Q124" s="4"/>
      <c r="R124" s="4" t="s">
        <v>1930</v>
      </c>
      <c r="T124" s="4"/>
      <c r="U124" s="4"/>
      <c r="V124" s="4"/>
      <c r="W124" s="4"/>
      <c r="X124" s="4"/>
      <c r="Y124" s="4" t="s">
        <v>1931</v>
      </c>
      <c r="Z124" s="4" t="s">
        <v>1932</v>
      </c>
      <c r="AA124" s="4"/>
      <c r="AB124" s="4"/>
      <c r="AC124" s="4"/>
      <c r="AD124" s="4"/>
      <c r="AE124" s="8"/>
      <c r="AF124" s="4"/>
      <c r="AG124" s="4"/>
      <c r="AH124" s="1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8"/>
      <c r="AX124" s="8"/>
      <c r="AY124" s="8"/>
      <c r="AZ124" s="8"/>
      <c r="BA124" s="12"/>
      <c r="BB124" s="8"/>
      <c r="BC124" s="4"/>
      <c r="BD124" s="4"/>
      <c r="BE124" s="8"/>
      <c r="BF124" s="8"/>
      <c r="BG124" s="8"/>
      <c r="BH124" s="8"/>
      <c r="BI124" s="8"/>
      <c r="BJ124" s="8"/>
      <c r="BK124" s="8"/>
      <c r="BL124" s="4" t="str">
        <f t="shared" si="14"/>
        <v/>
      </c>
      <c r="BM124" s="8" t="str">
        <f t="shared" si="15"/>
        <v/>
      </c>
      <c r="BP124" t="str">
        <f>IF($BO124="","",IFERROR(VLOOKUP($BO124,'01_Warehouse_Ledger'!$A:$N,4,FALSE),""))</f>
        <v/>
      </c>
      <c r="BQ124" t="str">
        <f>IF($BO124="","",IFERROR(VLOOKUP($BO124,'01_Warehouse_Ledger'!$A:$N,5,FALSE),""))</f>
        <v/>
      </c>
      <c r="BR124" t="str">
        <f>IF($BO124="","",IFERROR(VLOOKUP($BO124,'01_Warehouse_Ledger'!$A:$N,13,FALSE),""))</f>
        <v/>
      </c>
    </row>
    <row r="125" spans="1:70" ht="15.75">
      <c r="A125" s="8" t="s">
        <v>1645</v>
      </c>
      <c r="B125" s="8"/>
      <c r="C125" s="15" t="s">
        <v>1454</v>
      </c>
      <c r="D125" s="15" t="str">
        <f t="shared" si="9"/>
        <v/>
      </c>
      <c r="E125" s="15" t="str">
        <f t="shared" si="12"/>
        <v>No</v>
      </c>
      <c r="F125" t="str">
        <f t="shared" si="13"/>
        <v/>
      </c>
      <c r="G125" s="51" t="s">
        <v>1694</v>
      </c>
      <c r="H125" s="4" t="s">
        <v>1887</v>
      </c>
      <c r="I125" s="4"/>
      <c r="J125" s="2" t="s">
        <v>1435</v>
      </c>
      <c r="K125" s="2" t="s">
        <v>1454</v>
      </c>
      <c r="L125" s="2" t="s">
        <v>1454</v>
      </c>
      <c r="M125" s="2"/>
      <c r="N125" s="4"/>
      <c r="O125" s="4"/>
      <c r="P125" s="4"/>
      <c r="Q125" s="4"/>
      <c r="R125" s="4" t="s">
        <v>1933</v>
      </c>
      <c r="T125" s="4"/>
      <c r="U125" s="4"/>
      <c r="V125" s="4"/>
      <c r="W125" s="4"/>
      <c r="X125" s="4"/>
      <c r="Y125" s="4" t="s">
        <v>1934</v>
      </c>
      <c r="Z125" s="4" t="s">
        <v>1935</v>
      </c>
      <c r="AA125" s="4"/>
      <c r="AB125" s="4"/>
      <c r="AC125" s="4"/>
      <c r="AD125" s="4"/>
      <c r="AE125" s="8"/>
      <c r="AF125" s="4"/>
      <c r="AG125" s="4"/>
      <c r="AH125" s="1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8"/>
      <c r="AX125" s="8"/>
      <c r="AY125" s="8"/>
      <c r="AZ125" s="8"/>
      <c r="BA125" s="12"/>
      <c r="BB125" s="8"/>
      <c r="BC125" s="4"/>
      <c r="BD125" s="4"/>
      <c r="BE125" s="8"/>
      <c r="BF125" s="8"/>
      <c r="BG125" s="8"/>
      <c r="BH125" s="8"/>
      <c r="BI125" s="8"/>
      <c r="BJ125" s="8"/>
      <c r="BK125" s="8"/>
      <c r="BL125" s="4" t="str">
        <f t="shared" si="14"/>
        <v/>
      </c>
      <c r="BM125" s="8" t="str">
        <f t="shared" si="15"/>
        <v/>
      </c>
      <c r="BP125" t="str">
        <f>IF($BO125="","",IFERROR(VLOOKUP($BO125,'01_Warehouse_Ledger'!$A:$N,4,FALSE),""))</f>
        <v/>
      </c>
      <c r="BQ125" t="str">
        <f>IF($BO125="","",IFERROR(VLOOKUP($BO125,'01_Warehouse_Ledger'!$A:$N,5,FALSE),""))</f>
        <v/>
      </c>
      <c r="BR125" t="str">
        <f>IF($BO125="","",IFERROR(VLOOKUP($BO125,'01_Warehouse_Ledger'!$A:$N,13,FALSE),""))</f>
        <v/>
      </c>
    </row>
    <row r="126" spans="1:70">
      <c r="A126" s="8" t="s">
        <v>1645</v>
      </c>
      <c r="B126" s="8"/>
      <c r="C126" s="15" t="s">
        <v>1454</v>
      </c>
      <c r="D126" s="15" t="str">
        <f t="shared" si="9"/>
        <v/>
      </c>
      <c r="E126" s="15" t="str">
        <f t="shared" si="12"/>
        <v>No</v>
      </c>
      <c r="F126" t="str">
        <f t="shared" si="13"/>
        <v/>
      </c>
      <c r="G126" s="54" t="s">
        <v>1694</v>
      </c>
      <c r="H126" s="4" t="s">
        <v>1887</v>
      </c>
      <c r="I126" s="4"/>
      <c r="J126" s="2" t="s">
        <v>1435</v>
      </c>
      <c r="K126" s="2" t="s">
        <v>1454</v>
      </c>
      <c r="L126" s="2" t="s">
        <v>1454</v>
      </c>
      <c r="M126" s="2"/>
      <c r="N126" s="4"/>
      <c r="O126" s="4"/>
      <c r="P126" s="4"/>
      <c r="Q126" s="4"/>
      <c r="R126" s="4" t="s">
        <v>1936</v>
      </c>
      <c r="T126" s="4"/>
      <c r="U126" s="4"/>
      <c r="V126" s="4"/>
      <c r="W126" s="4"/>
      <c r="X126" s="4"/>
      <c r="Y126" s="4" t="s">
        <v>1937</v>
      </c>
      <c r="Z126" s="4" t="s">
        <v>1938</v>
      </c>
      <c r="AA126" s="4"/>
      <c r="AB126" s="4"/>
      <c r="AC126" s="4"/>
      <c r="AD126" s="4"/>
      <c r="AE126" s="8"/>
      <c r="AF126" s="4"/>
      <c r="AG126" s="4"/>
      <c r="AH126" s="1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8"/>
      <c r="AX126" s="8"/>
      <c r="AY126" s="8"/>
      <c r="AZ126" s="8"/>
      <c r="BA126" s="12"/>
      <c r="BB126" s="8"/>
      <c r="BC126" s="4"/>
      <c r="BD126" s="4"/>
      <c r="BE126" s="8"/>
      <c r="BF126" s="8"/>
      <c r="BG126" s="8"/>
      <c r="BH126" s="8"/>
      <c r="BI126" s="8"/>
      <c r="BJ126" s="8"/>
      <c r="BK126" s="8"/>
      <c r="BL126" s="4" t="str">
        <f t="shared" si="14"/>
        <v/>
      </c>
      <c r="BM126" s="8" t="str">
        <f t="shared" si="15"/>
        <v/>
      </c>
      <c r="BP126" t="str">
        <f>IF($BO126="","",IFERROR(VLOOKUP($BO126,'01_Warehouse_Ledger'!$A:$N,4,FALSE),""))</f>
        <v/>
      </c>
      <c r="BQ126" t="str">
        <f>IF($BO126="","",IFERROR(VLOOKUP($BO126,'01_Warehouse_Ledger'!$A:$N,5,FALSE),""))</f>
        <v/>
      </c>
      <c r="BR126" t="str">
        <f>IF($BO126="","",IFERROR(VLOOKUP($BO126,'01_Warehouse_Ledger'!$A:$N,13,FALSE),""))</f>
        <v/>
      </c>
    </row>
    <row r="127" spans="1:70" ht="15.75">
      <c r="A127" s="8" t="s">
        <v>1645</v>
      </c>
      <c r="B127" s="8" t="s">
        <v>1454</v>
      </c>
      <c r="C127" s="15" t="s">
        <v>1454</v>
      </c>
      <c r="D127" s="15" t="str">
        <f t="shared" si="9"/>
        <v/>
      </c>
      <c r="E127" s="15" t="str">
        <f t="shared" si="12"/>
        <v>No</v>
      </c>
      <c r="F127" t="str">
        <f t="shared" si="13"/>
        <v/>
      </c>
      <c r="G127" s="51" t="s">
        <v>1694</v>
      </c>
      <c r="H127" s="4" t="s">
        <v>1887</v>
      </c>
      <c r="I127" s="4"/>
      <c r="J127" s="2" t="s">
        <v>1435</v>
      </c>
      <c r="K127" s="2" t="s">
        <v>1454</v>
      </c>
      <c r="L127" s="2" t="s">
        <v>1454</v>
      </c>
      <c r="M127" s="2"/>
      <c r="N127" s="4"/>
      <c r="O127" s="4"/>
      <c r="P127" s="4"/>
      <c r="Q127" s="4"/>
      <c r="R127" s="4" t="s">
        <v>1939</v>
      </c>
      <c r="T127" s="4"/>
      <c r="U127" s="4"/>
      <c r="V127" s="4"/>
      <c r="W127" s="4"/>
      <c r="X127" s="4"/>
      <c r="Y127" s="4" t="s">
        <v>1940</v>
      </c>
      <c r="Z127" s="4" t="s">
        <v>1941</v>
      </c>
      <c r="AA127" s="4"/>
      <c r="AB127" s="4"/>
      <c r="AC127" s="4"/>
      <c r="AD127" s="4"/>
      <c r="AE127" s="8"/>
      <c r="AF127" s="4"/>
      <c r="AG127" s="4"/>
      <c r="AH127" s="1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8"/>
      <c r="AX127" s="8"/>
      <c r="AY127" s="8"/>
      <c r="AZ127" s="8"/>
      <c r="BA127" s="12"/>
      <c r="BB127" s="8"/>
      <c r="BC127" s="4"/>
      <c r="BD127" s="4"/>
      <c r="BE127" s="8"/>
      <c r="BF127" s="8"/>
      <c r="BG127" s="8"/>
      <c r="BH127" s="8"/>
      <c r="BI127" s="8"/>
      <c r="BJ127" s="8"/>
      <c r="BK127" s="8"/>
      <c r="BL127" s="4" t="str">
        <f t="shared" si="14"/>
        <v/>
      </c>
      <c r="BM127" s="8" t="str">
        <f t="shared" si="15"/>
        <v/>
      </c>
      <c r="BP127" t="str">
        <f>IF($BO127="","",IFERROR(VLOOKUP($BO127,'01_Warehouse_Ledger'!$A:$N,4,FALSE),""))</f>
        <v/>
      </c>
      <c r="BQ127" t="str">
        <f>IF($BO127="","",IFERROR(VLOOKUP($BO127,'01_Warehouse_Ledger'!$A:$N,5,FALSE),""))</f>
        <v/>
      </c>
      <c r="BR127" t="str">
        <f>IF($BO127="","",IFERROR(VLOOKUP($BO127,'01_Warehouse_Ledger'!$A:$N,13,FALSE),""))</f>
        <v/>
      </c>
    </row>
    <row r="128" spans="1:70">
      <c r="A128" s="8" t="s">
        <v>1645</v>
      </c>
      <c r="B128" s="8"/>
      <c r="C128" s="15" t="s">
        <v>1454</v>
      </c>
      <c r="D128" s="15" t="str">
        <f t="shared" si="9"/>
        <v/>
      </c>
      <c r="E128" s="15" t="str">
        <f t="shared" si="12"/>
        <v>No</v>
      </c>
      <c r="F128" t="str">
        <f t="shared" si="13"/>
        <v/>
      </c>
      <c r="G128" s="54" t="s">
        <v>1694</v>
      </c>
      <c r="H128" s="4" t="s">
        <v>1887</v>
      </c>
      <c r="I128" s="4"/>
      <c r="J128" s="2" t="s">
        <v>1435</v>
      </c>
      <c r="K128" s="2" t="s">
        <v>1454</v>
      </c>
      <c r="L128" s="2" t="s">
        <v>1454</v>
      </c>
      <c r="M128" s="2"/>
      <c r="N128" s="4"/>
      <c r="O128" s="4"/>
      <c r="P128" s="4"/>
      <c r="Q128" s="4"/>
      <c r="R128" s="4" t="s">
        <v>1942</v>
      </c>
      <c r="T128" s="4"/>
      <c r="U128" s="4"/>
      <c r="V128" s="4"/>
      <c r="W128" s="4"/>
      <c r="X128" s="4"/>
      <c r="Y128" s="4" t="s">
        <v>1943</v>
      </c>
      <c r="Z128" s="4" t="s">
        <v>1944</v>
      </c>
      <c r="AA128" s="4"/>
      <c r="AB128" s="4"/>
      <c r="AC128" s="4"/>
      <c r="AD128" s="4"/>
      <c r="AE128" s="8"/>
      <c r="AF128" s="4"/>
      <c r="AG128" s="4"/>
      <c r="AH128" s="1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8"/>
      <c r="AX128" s="8"/>
      <c r="AY128" s="8"/>
      <c r="AZ128" s="8"/>
      <c r="BA128" s="12"/>
      <c r="BB128" s="8"/>
      <c r="BC128" s="4"/>
      <c r="BD128" s="4"/>
      <c r="BE128" s="8"/>
      <c r="BF128" s="8"/>
      <c r="BG128" s="8"/>
      <c r="BH128" s="8"/>
      <c r="BI128" s="8"/>
      <c r="BJ128" s="8"/>
      <c r="BK128" s="8"/>
      <c r="BL128" s="4" t="str">
        <f t="shared" si="14"/>
        <v/>
      </c>
      <c r="BM128" s="8" t="str">
        <f t="shared" si="15"/>
        <v/>
      </c>
      <c r="BP128" t="str">
        <f>IF($BO128="","",IFERROR(VLOOKUP($BO128,'01_Warehouse_Ledger'!$A:$N,4,FALSE),""))</f>
        <v/>
      </c>
      <c r="BQ128" t="str">
        <f>IF($BO128="","",IFERROR(VLOOKUP($BO128,'01_Warehouse_Ledger'!$A:$N,5,FALSE),""))</f>
        <v/>
      </c>
      <c r="BR128" t="str">
        <f>IF($BO128="","",IFERROR(VLOOKUP($BO128,'01_Warehouse_Ledger'!$A:$N,13,FALSE),""))</f>
        <v/>
      </c>
    </row>
    <row r="129" spans="1:74">
      <c r="A129" s="8" t="s">
        <v>1645</v>
      </c>
      <c r="B129" s="8" t="s">
        <v>1454</v>
      </c>
      <c r="C129" s="15" t="s">
        <v>1454</v>
      </c>
      <c r="D129" s="15" t="str">
        <f t="shared" si="9"/>
        <v/>
      </c>
      <c r="E129" s="15" t="str">
        <f t="shared" si="12"/>
        <v>No</v>
      </c>
      <c r="F129" t="str">
        <f t="shared" si="13"/>
        <v/>
      </c>
      <c r="G129" t="s">
        <v>1694</v>
      </c>
      <c r="H129" s="4" t="s">
        <v>1887</v>
      </c>
      <c r="I129" s="4"/>
      <c r="J129" s="2" t="s">
        <v>1435</v>
      </c>
      <c r="K129" s="2" t="s">
        <v>1454</v>
      </c>
      <c r="L129" s="2" t="s">
        <v>1454</v>
      </c>
      <c r="M129" s="2"/>
      <c r="N129" s="4"/>
      <c r="O129" s="4"/>
      <c r="P129" s="4"/>
      <c r="Q129" s="4"/>
      <c r="R129" s="4" t="s">
        <v>1945</v>
      </c>
      <c r="T129" s="4"/>
      <c r="U129" s="4"/>
      <c r="V129" s="4"/>
      <c r="W129" s="4"/>
      <c r="X129" s="4"/>
      <c r="Y129" s="4" t="s">
        <v>1946</v>
      </c>
      <c r="Z129" s="4" t="s">
        <v>1947</v>
      </c>
      <c r="AA129" s="4"/>
      <c r="AB129" s="4"/>
      <c r="AC129" s="4"/>
      <c r="AD129" s="4"/>
      <c r="AE129" s="8"/>
      <c r="AF129" s="4"/>
      <c r="AG129" s="4"/>
      <c r="AH129" s="1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8"/>
      <c r="AX129" s="8"/>
      <c r="AY129" s="8"/>
      <c r="AZ129" s="8"/>
      <c r="BA129" s="12"/>
      <c r="BB129" s="8"/>
      <c r="BC129" s="4"/>
      <c r="BD129" s="4"/>
      <c r="BE129" s="8"/>
      <c r="BF129" s="8"/>
      <c r="BG129" s="8"/>
      <c r="BH129" s="8"/>
      <c r="BI129" s="8"/>
      <c r="BJ129" s="8"/>
      <c r="BK129" s="8"/>
      <c r="BL129" s="4" t="str">
        <f t="shared" si="14"/>
        <v/>
      </c>
      <c r="BM129" s="8" t="str">
        <f t="shared" si="15"/>
        <v/>
      </c>
      <c r="BP129" t="str">
        <f>IF($BO129="","",IFERROR(VLOOKUP($BO129,'01_Warehouse_Ledger'!$A:$N,4,FALSE),""))</f>
        <v/>
      </c>
      <c r="BQ129" t="str">
        <f>IF($BO129="","",IFERROR(VLOOKUP($BO129,'01_Warehouse_Ledger'!$A:$N,5,FALSE),""))</f>
        <v/>
      </c>
      <c r="BR129" t="str">
        <f>IF($BO129="","",IFERROR(VLOOKUP($BO129,'01_Warehouse_Ledger'!$A:$N,13,FALSE),""))</f>
        <v/>
      </c>
    </row>
    <row r="130" spans="1:74">
      <c r="A130" s="8" t="s">
        <v>1645</v>
      </c>
      <c r="B130" s="8"/>
      <c r="C130" s="15" t="s">
        <v>1454</v>
      </c>
      <c r="D130" s="15" t="str">
        <f t="shared" ref="D130:D137" si="16">IF($B130&lt;&gt;"Yes","",IF($C130="No","Yes",IF($C130="Yes","No","")))</f>
        <v/>
      </c>
      <c r="E130" s="15" t="str">
        <f t="shared" si="12"/>
        <v>No</v>
      </c>
      <c r="F130" t="str">
        <f t="shared" si="13"/>
        <v/>
      </c>
      <c r="G130" s="54" t="s">
        <v>1694</v>
      </c>
      <c r="H130" s="4" t="s">
        <v>1887</v>
      </c>
      <c r="I130" s="4"/>
      <c r="J130" s="2" t="s">
        <v>1435</v>
      </c>
      <c r="K130" s="2" t="s">
        <v>1454</v>
      </c>
      <c r="L130" s="2" t="s">
        <v>1454</v>
      </c>
      <c r="M130" s="2"/>
      <c r="N130" s="4"/>
      <c r="O130" s="4"/>
      <c r="P130" s="4"/>
      <c r="Q130" s="4"/>
      <c r="R130" s="4" t="s">
        <v>1948</v>
      </c>
      <c r="T130" s="4"/>
      <c r="U130" s="4"/>
      <c r="V130" s="4"/>
      <c r="W130" s="4"/>
      <c r="X130" s="4"/>
      <c r="Y130" s="4" t="s">
        <v>1949</v>
      </c>
      <c r="Z130" s="4" t="s">
        <v>1950</v>
      </c>
      <c r="AA130" s="4"/>
      <c r="AB130" s="4"/>
      <c r="AC130" s="4"/>
      <c r="AD130" s="4"/>
      <c r="AE130" s="8"/>
      <c r="AF130" s="4"/>
      <c r="AG130" s="4"/>
      <c r="AH130" s="1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8"/>
      <c r="AX130" s="8"/>
      <c r="AY130" s="8"/>
      <c r="AZ130" s="8"/>
      <c r="BA130" s="12"/>
      <c r="BB130" s="8"/>
      <c r="BC130" s="4"/>
      <c r="BD130" s="4"/>
      <c r="BE130" s="8"/>
      <c r="BF130" s="8"/>
      <c r="BG130" s="8"/>
      <c r="BH130" s="8"/>
      <c r="BI130" s="8"/>
      <c r="BJ130" s="8"/>
      <c r="BK130" s="8"/>
      <c r="BL130" s="4" t="str">
        <f t="shared" si="14"/>
        <v/>
      </c>
      <c r="BM130" s="8" t="str">
        <f t="shared" si="15"/>
        <v/>
      </c>
      <c r="BP130" t="str">
        <f>IF($BO130="","",IFERROR(VLOOKUP($BO130,'01_Warehouse_Ledger'!$A:$N,4,FALSE),""))</f>
        <v/>
      </c>
      <c r="BQ130" t="str">
        <f>IF($BO130="","",IFERROR(VLOOKUP($BO130,'01_Warehouse_Ledger'!$A:$N,5,FALSE),""))</f>
        <v/>
      </c>
      <c r="BR130" t="str">
        <f>IF($BO130="","",IFERROR(VLOOKUP($BO130,'01_Warehouse_Ledger'!$A:$N,13,FALSE),""))</f>
        <v/>
      </c>
    </row>
    <row r="131" spans="1:74" ht="15.75">
      <c r="A131" s="8" t="s">
        <v>1645</v>
      </c>
      <c r="B131" s="8"/>
      <c r="C131" s="15" t="s">
        <v>1454</v>
      </c>
      <c r="D131" s="15" t="str">
        <f t="shared" si="16"/>
        <v/>
      </c>
      <c r="E131" s="15" t="str">
        <f t="shared" si="12"/>
        <v>No</v>
      </c>
      <c r="F131" t="str">
        <f t="shared" si="13"/>
        <v/>
      </c>
      <c r="G131" s="51" t="s">
        <v>1694</v>
      </c>
      <c r="H131" s="4" t="s">
        <v>1887</v>
      </c>
      <c r="I131" s="4"/>
      <c r="J131" s="2" t="s">
        <v>1435</v>
      </c>
      <c r="K131" s="2" t="s">
        <v>1454</v>
      </c>
      <c r="L131" s="2" t="s">
        <v>1454</v>
      </c>
      <c r="M131" s="2"/>
      <c r="N131" s="4"/>
      <c r="O131" s="4"/>
      <c r="P131" s="4"/>
      <c r="Q131" s="4"/>
      <c r="R131" s="4" t="s">
        <v>1951</v>
      </c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8"/>
      <c r="AF131" s="4"/>
      <c r="AG131" s="4"/>
      <c r="AH131" s="1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8"/>
      <c r="AX131" s="8"/>
      <c r="AY131" s="8"/>
      <c r="AZ131" s="8"/>
      <c r="BA131" s="12"/>
      <c r="BB131" s="8"/>
      <c r="BC131" s="4"/>
      <c r="BD131" s="4"/>
      <c r="BE131" s="8"/>
      <c r="BF131" s="8"/>
      <c r="BG131" s="8"/>
      <c r="BH131" s="8"/>
      <c r="BI131" s="8"/>
      <c r="BJ131" s="8"/>
      <c r="BK131" s="8"/>
      <c r="BL131" s="4" t="str">
        <f t="shared" si="14"/>
        <v/>
      </c>
      <c r="BM131" s="8" t="str">
        <f t="shared" si="15"/>
        <v/>
      </c>
      <c r="BP131" t="str">
        <f>IF($BO131="","",IFERROR(VLOOKUP($BO131,'01_Warehouse_Ledger'!$A:$N,4,FALSE),""))</f>
        <v/>
      </c>
      <c r="BQ131" t="str">
        <f>IF($BO131="","",IFERROR(VLOOKUP($BO131,'01_Warehouse_Ledger'!$A:$N,5,FALSE),""))</f>
        <v/>
      </c>
      <c r="BR131" t="str">
        <f>IF($BO131="","",IFERROR(VLOOKUP($BO131,'01_Warehouse_Ledger'!$A:$N,13,FALSE),""))</f>
        <v/>
      </c>
    </row>
    <row r="132" spans="1:74">
      <c r="A132" s="8" t="s">
        <v>1645</v>
      </c>
      <c r="B132" s="8"/>
      <c r="C132" s="15" t="s">
        <v>1454</v>
      </c>
      <c r="D132" s="15" t="str">
        <f t="shared" si="16"/>
        <v/>
      </c>
      <c r="E132" s="15" t="str">
        <f t="shared" si="12"/>
        <v>No</v>
      </c>
      <c r="F132" t="str">
        <f t="shared" si="13"/>
        <v/>
      </c>
      <c r="G132" s="54" t="s">
        <v>1694</v>
      </c>
      <c r="H132" s="4" t="s">
        <v>1887</v>
      </c>
      <c r="I132" s="4"/>
      <c r="J132" s="2" t="s">
        <v>1435</v>
      </c>
      <c r="K132" s="2" t="s">
        <v>1454</v>
      </c>
      <c r="L132" s="2" t="s">
        <v>1454</v>
      </c>
      <c r="M132" s="2"/>
      <c r="N132" s="4"/>
      <c r="O132" s="4"/>
      <c r="P132" s="4"/>
      <c r="Q132" s="4"/>
      <c r="R132" s="4" t="s">
        <v>1952</v>
      </c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8"/>
      <c r="AF132" s="4"/>
      <c r="AG132" s="4"/>
      <c r="AH132" s="1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8"/>
      <c r="AX132" s="8"/>
      <c r="AY132" s="8"/>
      <c r="AZ132" s="8"/>
      <c r="BA132" s="12"/>
      <c r="BB132" s="8"/>
      <c r="BC132" s="4"/>
      <c r="BD132" s="4"/>
      <c r="BE132" s="8"/>
      <c r="BF132" s="8"/>
      <c r="BG132" s="8"/>
      <c r="BH132" s="8"/>
      <c r="BI132" s="8"/>
      <c r="BJ132" s="8"/>
      <c r="BK132" s="8"/>
      <c r="BL132" s="4" t="str">
        <f t="shared" si="14"/>
        <v/>
      </c>
      <c r="BM132" s="8" t="str">
        <f t="shared" si="15"/>
        <v/>
      </c>
      <c r="BP132" t="str">
        <f>IF($BO132="","",IFERROR(VLOOKUP($BO132,'01_Warehouse_Ledger'!$A:$N,4,FALSE),""))</f>
        <v/>
      </c>
      <c r="BQ132" t="str">
        <f>IF($BO132="","",IFERROR(VLOOKUP($BO132,'01_Warehouse_Ledger'!$A:$N,5,FALSE),""))</f>
        <v/>
      </c>
      <c r="BR132" t="str">
        <f>IF($BO132="","",IFERROR(VLOOKUP($BO132,'01_Warehouse_Ledger'!$A:$N,13,FALSE),""))</f>
        <v/>
      </c>
    </row>
    <row r="133" spans="1:74">
      <c r="A133" s="8" t="s">
        <v>1645</v>
      </c>
      <c r="B133" s="8"/>
      <c r="C133" s="15" t="s">
        <v>1454</v>
      </c>
      <c r="D133" s="15" t="str">
        <f t="shared" si="16"/>
        <v/>
      </c>
      <c r="E133" s="15" t="str">
        <f t="shared" si="12"/>
        <v>No</v>
      </c>
      <c r="F133" t="str">
        <f t="shared" si="13"/>
        <v/>
      </c>
      <c r="G133" t="s">
        <v>1694</v>
      </c>
      <c r="H133" s="4" t="s">
        <v>1887</v>
      </c>
      <c r="I133" s="4"/>
      <c r="J133" s="2" t="s">
        <v>1435</v>
      </c>
      <c r="K133" s="2" t="s">
        <v>1454</v>
      </c>
      <c r="L133" s="2" t="s">
        <v>1454</v>
      </c>
      <c r="M133" s="2"/>
      <c r="N133" s="4"/>
      <c r="O133" s="4"/>
      <c r="P133" s="4"/>
      <c r="Q133" s="4"/>
      <c r="R133" s="4" t="s">
        <v>1953</v>
      </c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8"/>
      <c r="AF133" s="4"/>
      <c r="AG133" s="4"/>
      <c r="AH133" s="1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8"/>
      <c r="AX133" s="8"/>
      <c r="AY133" s="8"/>
      <c r="AZ133" s="8"/>
      <c r="BA133" s="12"/>
      <c r="BB133" s="8"/>
      <c r="BC133" s="4"/>
      <c r="BD133" s="4"/>
      <c r="BE133" s="8"/>
      <c r="BF133" s="8"/>
      <c r="BG133" s="8"/>
      <c r="BH133" s="8"/>
      <c r="BI133" s="8"/>
      <c r="BJ133" s="8"/>
      <c r="BK133" s="8"/>
      <c r="BL133" s="4" t="str">
        <f t="shared" si="14"/>
        <v/>
      </c>
      <c r="BM133" s="8" t="str">
        <f t="shared" si="15"/>
        <v/>
      </c>
      <c r="BP133" t="str">
        <f>IF($BO133="","",IFERROR(VLOOKUP($BO133,'01_Warehouse_Ledger'!$A:$N,4,FALSE),""))</f>
        <v/>
      </c>
      <c r="BQ133" t="str">
        <f>IF($BO133="","",IFERROR(VLOOKUP($BO133,'01_Warehouse_Ledger'!$A:$N,5,FALSE),""))</f>
        <v/>
      </c>
      <c r="BR133" t="str">
        <f>IF($BO133="","",IFERROR(VLOOKUP($BO133,'01_Warehouse_Ledger'!$A:$N,13,FALSE),""))</f>
        <v/>
      </c>
    </row>
    <row r="134" spans="1:74">
      <c r="A134" s="8" t="s">
        <v>1645</v>
      </c>
      <c r="B134" s="8"/>
      <c r="C134" s="15" t="s">
        <v>1454</v>
      </c>
      <c r="D134" s="15" t="str">
        <f t="shared" si="16"/>
        <v/>
      </c>
      <c r="E134" s="15" t="str">
        <f t="shared" si="12"/>
        <v>No</v>
      </c>
      <c r="F134" t="str">
        <f t="shared" si="13"/>
        <v/>
      </c>
      <c r="G134" s="54" t="s">
        <v>1694</v>
      </c>
      <c r="H134" s="4" t="s">
        <v>1887</v>
      </c>
      <c r="I134" s="4"/>
      <c r="J134" s="2" t="s">
        <v>1435</v>
      </c>
      <c r="K134" s="2" t="s">
        <v>1454</v>
      </c>
      <c r="L134" s="2" t="s">
        <v>1454</v>
      </c>
      <c r="M134" s="2"/>
      <c r="N134" s="4"/>
      <c r="O134" s="4"/>
      <c r="P134" s="4"/>
      <c r="Q134" s="4"/>
      <c r="R134" s="4" t="s">
        <v>1954</v>
      </c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8"/>
      <c r="AF134" s="4"/>
      <c r="AG134" s="4"/>
      <c r="AH134" s="1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8"/>
      <c r="AX134" s="8"/>
      <c r="AY134" s="8"/>
      <c r="AZ134" s="8"/>
      <c r="BA134" s="12"/>
      <c r="BB134" s="8"/>
      <c r="BC134" s="4"/>
      <c r="BD134" s="4"/>
      <c r="BE134" s="8"/>
      <c r="BF134" s="8"/>
      <c r="BG134" s="8"/>
      <c r="BH134" s="8"/>
      <c r="BI134" s="8"/>
      <c r="BJ134" s="8"/>
      <c r="BK134" s="8"/>
      <c r="BL134" s="4" t="str">
        <f t="shared" si="14"/>
        <v/>
      </c>
      <c r="BM134" s="8" t="str">
        <f t="shared" si="15"/>
        <v/>
      </c>
      <c r="BP134" t="str">
        <f>IF($BO134="","",IFERROR(VLOOKUP($BO134,'01_Warehouse_Ledger'!$A:$N,4,FALSE),""))</f>
        <v/>
      </c>
      <c r="BQ134" t="str">
        <f>IF($BO134="","",IFERROR(VLOOKUP($BO134,'01_Warehouse_Ledger'!$A:$N,5,FALSE),""))</f>
        <v/>
      </c>
      <c r="BR134" t="str">
        <f>IF($BO134="","",IFERROR(VLOOKUP($BO134,'01_Warehouse_Ledger'!$A:$N,13,FALSE),""))</f>
        <v/>
      </c>
    </row>
    <row r="135" spans="1:74" ht="15.75">
      <c r="A135" s="8" t="s">
        <v>1645</v>
      </c>
      <c r="B135" s="8"/>
      <c r="C135" s="15" t="s">
        <v>1454</v>
      </c>
      <c r="D135" s="15" t="str">
        <f t="shared" si="16"/>
        <v/>
      </c>
      <c r="E135" s="15" t="str">
        <f t="shared" si="12"/>
        <v>No</v>
      </c>
      <c r="F135" t="str">
        <f t="shared" si="13"/>
        <v/>
      </c>
      <c r="G135" s="51" t="s">
        <v>1694</v>
      </c>
      <c r="H135" s="4" t="s">
        <v>1887</v>
      </c>
      <c r="I135" s="4"/>
      <c r="J135" s="2" t="s">
        <v>1435</v>
      </c>
      <c r="K135" s="2" t="s">
        <v>1454</v>
      </c>
      <c r="L135" s="2" t="s">
        <v>1454</v>
      </c>
      <c r="M135" s="2"/>
      <c r="N135" s="4"/>
      <c r="O135" s="4"/>
      <c r="P135" s="4"/>
      <c r="Q135" s="4"/>
      <c r="R135" s="4" t="s">
        <v>1955</v>
      </c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8"/>
      <c r="AF135" s="4"/>
      <c r="AG135" s="4"/>
      <c r="AH135" s="1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8"/>
      <c r="AX135" s="8"/>
      <c r="AY135" s="8"/>
      <c r="AZ135" s="8"/>
      <c r="BA135" s="12"/>
      <c r="BB135" s="8"/>
      <c r="BC135" s="4"/>
      <c r="BD135" s="4"/>
      <c r="BE135" s="8"/>
      <c r="BF135" s="8"/>
      <c r="BG135" s="8"/>
      <c r="BH135" s="8"/>
      <c r="BI135" s="8"/>
      <c r="BJ135" s="8"/>
      <c r="BK135" s="8"/>
      <c r="BL135" s="4" t="str">
        <f t="shared" si="14"/>
        <v/>
      </c>
      <c r="BM135" s="8" t="str">
        <f t="shared" si="15"/>
        <v/>
      </c>
      <c r="BP135" t="str">
        <f>IF($BO135="","",IFERROR(VLOOKUP($BO135,'01_Warehouse_Ledger'!$A:$N,4,FALSE),""))</f>
        <v/>
      </c>
      <c r="BQ135" t="str">
        <f>IF($BO135="","",IFERROR(VLOOKUP($BO135,'01_Warehouse_Ledger'!$A:$N,5,FALSE),""))</f>
        <v/>
      </c>
      <c r="BR135" t="str">
        <f>IF($BO135="","",IFERROR(VLOOKUP($BO135,'01_Warehouse_Ledger'!$A:$N,13,FALSE),""))</f>
        <v/>
      </c>
    </row>
    <row r="136" spans="1:74">
      <c r="A136" s="8" t="s">
        <v>1645</v>
      </c>
      <c r="B136" s="8"/>
      <c r="C136" s="15" t="s">
        <v>1454</v>
      </c>
      <c r="D136" s="15" t="str">
        <f t="shared" si="16"/>
        <v/>
      </c>
      <c r="E136" s="15" t="str">
        <f t="shared" si="12"/>
        <v>No</v>
      </c>
      <c r="F136" t="str">
        <f t="shared" si="13"/>
        <v/>
      </c>
      <c r="G136" s="54" t="s">
        <v>1694</v>
      </c>
      <c r="H136" s="4" t="s">
        <v>1887</v>
      </c>
      <c r="I136" s="4"/>
      <c r="J136" s="2" t="s">
        <v>1435</v>
      </c>
      <c r="K136" s="2" t="s">
        <v>1454</v>
      </c>
      <c r="L136" s="2" t="s">
        <v>1454</v>
      </c>
      <c r="M136" s="2"/>
      <c r="N136" s="4"/>
      <c r="O136" s="4"/>
      <c r="P136" s="4"/>
      <c r="Q136" s="4"/>
      <c r="R136" s="4" t="s">
        <v>1956</v>
      </c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8"/>
      <c r="AF136" s="4"/>
      <c r="AG136" s="4"/>
      <c r="AH136" s="1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8"/>
      <c r="AX136" s="8"/>
      <c r="AY136" s="8"/>
      <c r="AZ136" s="8"/>
      <c r="BA136" s="12"/>
      <c r="BB136" s="8"/>
      <c r="BC136" s="4"/>
      <c r="BD136" s="4"/>
      <c r="BE136" s="8"/>
      <c r="BF136" s="8"/>
      <c r="BG136" s="8"/>
      <c r="BH136" s="8"/>
      <c r="BI136" s="8"/>
      <c r="BJ136" s="8"/>
      <c r="BK136" s="8"/>
      <c r="BL136" s="4" t="str">
        <f t="shared" si="14"/>
        <v/>
      </c>
      <c r="BM136" s="8" t="str">
        <f t="shared" si="15"/>
        <v/>
      </c>
      <c r="BP136" t="str">
        <f>IF($BO136="","",IFERROR(VLOOKUP($BO136,'01_Warehouse_Ledger'!$A:$N,4,FALSE),""))</f>
        <v/>
      </c>
      <c r="BQ136" t="str">
        <f>IF($BO136="","",IFERROR(VLOOKUP($BO136,'01_Warehouse_Ledger'!$A:$N,5,FALSE),""))</f>
        <v/>
      </c>
      <c r="BR136" t="str">
        <f>IF($BO136="","",IFERROR(VLOOKUP($BO136,'01_Warehouse_Ledger'!$A:$N,13,FALSE),""))</f>
        <v/>
      </c>
    </row>
    <row r="137" spans="1:74">
      <c r="A137" s="8" t="s">
        <v>1645</v>
      </c>
      <c r="B137" s="8"/>
      <c r="C137" s="15" t="s">
        <v>1454</v>
      </c>
      <c r="D137" s="15" t="str">
        <f t="shared" si="16"/>
        <v/>
      </c>
      <c r="E137" s="15" t="str">
        <f t="shared" si="12"/>
        <v>No</v>
      </c>
      <c r="F137" t="str">
        <f t="shared" si="13"/>
        <v/>
      </c>
      <c r="G137" t="s">
        <v>1694</v>
      </c>
      <c r="H137" s="4" t="s">
        <v>1887</v>
      </c>
      <c r="I137" s="4"/>
      <c r="J137" s="2" t="s">
        <v>1435</v>
      </c>
      <c r="K137" s="2" t="s">
        <v>1454</v>
      </c>
      <c r="L137" s="2" t="s">
        <v>1454</v>
      </c>
      <c r="M137" s="2"/>
      <c r="N137" s="4"/>
      <c r="O137" s="4"/>
      <c r="P137" s="4"/>
      <c r="Q137" s="4"/>
      <c r="R137" s="4" t="s">
        <v>1957</v>
      </c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8"/>
      <c r="AF137" s="4"/>
      <c r="AG137" s="4"/>
      <c r="AH137" s="1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8"/>
      <c r="AX137" s="8"/>
      <c r="AY137" s="8"/>
      <c r="AZ137" s="8"/>
      <c r="BA137" s="12"/>
      <c r="BB137" s="8"/>
      <c r="BC137" s="4"/>
      <c r="BD137" s="4"/>
      <c r="BE137" s="8"/>
      <c r="BF137" s="8"/>
      <c r="BG137" s="8"/>
      <c r="BH137" s="8"/>
      <c r="BI137" s="8"/>
      <c r="BJ137" s="8"/>
      <c r="BK137" s="8"/>
      <c r="BL137" s="4" t="str">
        <f t="shared" si="14"/>
        <v/>
      </c>
      <c r="BM137" s="8" t="str">
        <f t="shared" si="15"/>
        <v/>
      </c>
      <c r="BP137" t="str">
        <f>IF($BO137="","",IFERROR(VLOOKUP($BO137,'01_Warehouse_Ledger'!$A:$N,4,FALSE),""))</f>
        <v/>
      </c>
      <c r="BQ137" t="str">
        <f>IF($BO137="","",IFERROR(VLOOKUP($BO137,'01_Warehouse_Ledger'!$A:$N,5,FALSE),""))</f>
        <v/>
      </c>
      <c r="BR137" t="str">
        <f>IF($BO137="","",IFERROR(VLOOKUP($BO137,'01_Warehouse_Ledger'!$A:$N,13,FALSE),""))</f>
        <v/>
      </c>
    </row>
    <row r="138" spans="1:74">
      <c r="A138" s="8" t="s">
        <v>1645</v>
      </c>
      <c r="B138" s="8"/>
      <c r="C138" s="15" t="s">
        <v>1454</v>
      </c>
      <c r="E138" s="15" t="str">
        <f t="shared" si="12"/>
        <v>No</v>
      </c>
      <c r="F138" t="str">
        <f>IF($B138&lt;&gt;"Yes","",IF($A138="Neuron",IF(OR(AND($R138&lt;&gt;"",LOWER(TRIM($R138))&lt;&gt;"n/a",COUNTIFS($B$2:$B$528,"Yes",$A$2:$A$528,"Neuron",$S$2:$S$528,$R138)&gt;1),AND($T138&lt;&gt;"",LOWER(TRIM($T138))&lt;&gt;"n/a",COUNTIFS($B$2:$B$528,"Yes",$A$2:$A$528,"Neuron",$T$2:$T$528,$T138)&gt;1),AND($W138&lt;&gt;"",LOWER(TRIM($W138))&lt;&gt;"n/a",COUNTIFS($B$2:$B$528,"Yes",$A$2:$A$528,"Neuron",$W$2:$W$528,$W138)&gt;1)),"Yes","No"),IF($A138="Cybernet",IF(OR(AND($Y138&lt;&gt;"",LOWER(TRIM($Y138))&lt;&gt;"n/a",COUNTIFS($B$2:$B$528,"Yes",$A$2:$A$528,"Cybernet",$Y$2:$Y$528,$Y138)&gt;1),AND($Z138&lt;&gt;"",LOWER(TRIM($Z138))&lt;&gt;"n/a",COUNTIFS($B$2:$B$528,"Yes",$A$2:$A$528,"Cybernet",$Z$2:$Z$528,$Z138)&gt;1)),"Yes","No"),IF(AND($AL138&lt;&gt;"",LOWER(TRIM($AL138))&lt;&gt;"n/a"),IF(COUNTIFS($B$2:$B$528,"Yes",$A$2:$A$528,$A138,$AL$2:$AL$528,$AL138)&gt;1,"Yes","No"),"No"))))</f>
        <v/>
      </c>
      <c r="H138" s="4"/>
      <c r="I138" s="4"/>
      <c r="J138" s="2"/>
      <c r="K138" s="2"/>
      <c r="L138" s="2"/>
      <c r="M138" s="2"/>
      <c r="N138" s="4"/>
      <c r="O138" s="4"/>
      <c r="P138" s="4"/>
      <c r="Q138" s="4"/>
      <c r="R138" s="4" t="s">
        <v>1958</v>
      </c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8"/>
      <c r="AF138" s="4"/>
      <c r="AG138" s="4"/>
      <c r="AH138" s="1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8"/>
      <c r="AX138" s="8"/>
      <c r="AY138" s="8"/>
      <c r="AZ138" s="8"/>
      <c r="BA138" s="12"/>
      <c r="BB138" s="8"/>
      <c r="BC138" s="4"/>
      <c r="BD138" s="4"/>
      <c r="BE138" s="8"/>
      <c r="BF138" s="8"/>
      <c r="BG138" s="8"/>
      <c r="BH138" s="8"/>
      <c r="BI138" s="8"/>
      <c r="BJ138" s="8"/>
      <c r="BK138" s="8"/>
      <c r="BL138" s="4" t="str">
        <f>IF($T138="","",IF((IF(AND($AW138&lt;&gt;"Yes",$AW138&lt;&gt;"N/A"),"Power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",""))="","",LEFT(IF(AND($AW138&lt;&gt;"Yes",$AW138&lt;&gt;"N/A"),"Power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",""),LEN(IF(AND($AW138&lt;&gt;"Yes",$AW138&lt;&gt;"N/A"),"Power Cable, ","")&amp;IF(AND($AX138&lt;&gt;"Yes",$AX138&lt;&gt;"N/A"),"Battery, ","")&amp;IF(AND($BE138&lt;&gt;"Yes",$BE138&lt;&gt;"N/A"),"Firmware Download, ","")&amp;IF(AND(OR($BE138="Yes",$BE138="N/A"),$BF138&lt;&gt;"Yes",$BF138&lt;&gt;"N/A"),"Firmware Install, ","")&amp;IF(AND($BJ138&lt;&gt;"Yes",$BJ138&lt;&gt;"N/A"),"Device ID, ","")&amp;IF(AND($BK138&lt;&gt;"Yes",$BK138&lt;&gt;"N/A"),"Epic Beans Relay, ",""))-2)))</f>
        <v/>
      </c>
      <c r="BM138" s="8" t="str">
        <f>IF($T138="","",IF($BL138="","Yes","Blocked"))</f>
        <v/>
      </c>
    </row>
    <row r="139" spans="1:74" ht="45">
      <c r="A139" s="8" t="s">
        <v>1959</v>
      </c>
      <c r="B139" s="8" t="s">
        <v>1435</v>
      </c>
      <c r="C139" s="15" t="s">
        <v>1435</v>
      </c>
      <c r="D139" s="15" t="str">
        <f t="shared" ref="D139:D202" si="17">IF($B139&lt;&gt;"Yes","",IF($C139="No","Yes",IF($C139="Yes","No","")))</f>
        <v>No</v>
      </c>
      <c r="E139" s="15" t="str">
        <f t="shared" si="12"/>
        <v>No</v>
      </c>
      <c r="F139" t="str">
        <f t="shared" ref="F139:F145" si="18">IF($B139&lt;&gt;"Yes","",
IF($A139="Neuron",
IF(OR(
AND($R139&lt;&gt;"",LOWER(TRIM($R139))&lt;&gt;"n/a",COUNTIFS($B$2:$B$528,"Yes",$A$2:$A$528,"Neuron",$S$2:$S$528,$R139)&gt;1),
AND($T139&lt;&gt;"",LOWER(TRIM($T139))&lt;&gt;"n/a",COUNTIFS($B$2:$B$528,"Yes",$A$2:$A$528,"Neuron",$T$2:$T$528,$T139)&gt;1),
AND($W139&lt;&gt;"",LOWER(TRIM($W139))&lt;&gt;"n/a",COUNTIFS($B$2:$B$528,"Yes",$A$2:$A$528,"Neuron",$W$2:$W$528,$W139)&gt;1)
),"Yes","No"),
IF($A139="Cybernet",
IF(OR(
AND($Y139&lt;&gt;"",LOWER(TRIM($Y139))&lt;&gt;"n/a",COUNTIFS($B$2:$B$528,"Yes",$A$2:$A$528,"Cybernet",$Y$2:$Y$528,$Y139)&gt;1),
AND($Z139&lt;&gt;"",LOWER(TRIM($Z139))&lt;&gt;"n/a",COUNTIFS($B$2:$B$528,"Yes",$A$2:$A$528,"Cybernet",$Z$2:$Z$528,$Z139)&gt;1)
),"Yes","No"),
IF(AND($AL139&lt;&gt;"",LOWER(TRIM($AL139))&lt;&gt;"n/a"),
IF(COUNTIFS($B$2:$B$528,"Yes",$A$2:$A$528,$A139,$AL$2:$AL$528,$AL139)&gt;1,"Yes","No"),
"No")
)
)
)</f>
        <v>No</v>
      </c>
      <c r="G139" s="4" t="s">
        <v>1960</v>
      </c>
      <c r="H139" s="4" t="s">
        <v>1960</v>
      </c>
      <c r="I139" s="4"/>
      <c r="J139" s="4"/>
      <c r="K139" s="4"/>
      <c r="L139" s="4"/>
      <c r="M139" s="4"/>
      <c r="N139" s="4"/>
      <c r="O139" s="4"/>
      <c r="P139" s="4"/>
      <c r="Q139" s="4"/>
      <c r="R139" s="4" t="s">
        <v>1961</v>
      </c>
      <c r="T139" s="4" t="s">
        <v>1962</v>
      </c>
      <c r="U139" s="4"/>
      <c r="V139" s="4"/>
      <c r="W139" s="4" t="s">
        <v>1963</v>
      </c>
      <c r="X139" s="4" t="s">
        <v>1960</v>
      </c>
      <c r="Y139" s="4" t="s">
        <v>1964</v>
      </c>
      <c r="Z139" s="4" t="s">
        <v>1965</v>
      </c>
      <c r="AA139" s="4" t="s">
        <v>1636</v>
      </c>
      <c r="AB139" s="4"/>
      <c r="AC139" s="4"/>
      <c r="AD139" s="4" t="s">
        <v>1966</v>
      </c>
      <c r="AE139" s="8">
        <v>1</v>
      </c>
      <c r="AF139" s="4" t="s">
        <v>1967</v>
      </c>
      <c r="AG139" s="4" t="s">
        <v>1968</v>
      </c>
      <c r="AH139" s="14"/>
      <c r="AI139" s="4"/>
      <c r="AJ139" s="4" t="s">
        <v>1969</v>
      </c>
      <c r="AK139" s="4"/>
      <c r="AL139" s="4"/>
      <c r="AM139" s="4" t="s">
        <v>1297</v>
      </c>
      <c r="AN139" s="4"/>
      <c r="AO139" s="4"/>
      <c r="AP139" s="4"/>
      <c r="AQ139" s="4"/>
      <c r="AR139" s="4" t="s">
        <v>1970</v>
      </c>
      <c r="AS139" s="4" t="s">
        <v>1971</v>
      </c>
      <c r="AT139" s="4"/>
      <c r="AU139" s="4"/>
      <c r="AV139" s="4"/>
      <c r="AW139" s="8"/>
      <c r="AX139" s="8"/>
      <c r="AY139" s="8" t="s">
        <v>1435</v>
      </c>
      <c r="AZ139" s="8" t="s">
        <v>1435</v>
      </c>
      <c r="BA139" s="12"/>
      <c r="BB139" s="8" t="s">
        <v>1435</v>
      </c>
      <c r="BC139" s="4" t="s">
        <v>1972</v>
      </c>
      <c r="BD139" s="4"/>
      <c r="BE139" s="8"/>
      <c r="BF139" s="8"/>
      <c r="BG139" s="8"/>
      <c r="BH139" s="8"/>
      <c r="BI139" s="8"/>
      <c r="BJ139" s="8"/>
      <c r="BK139" s="8"/>
      <c r="BL139" s="4" t="str">
        <f t="shared" si="14"/>
        <v>Power Cable, Battery, Firmware Download, Device ID, Epic Beans Relay</v>
      </c>
      <c r="BM139" s="8" t="str">
        <f t="shared" si="15"/>
        <v>Blocked</v>
      </c>
      <c r="BP139" t="str">
        <f>IF($BO139="","",IFERROR(VLOOKUP($BO139,'01_Warehouse_Ledger'!$A:$N,4,FALSE),""))</f>
        <v/>
      </c>
      <c r="BQ139" t="str">
        <f>IF($BO139="","",IFERROR(VLOOKUP($BO139,'01_Warehouse_Ledger'!$A:$N,5,FALSE),""))</f>
        <v/>
      </c>
      <c r="BR139" t="str">
        <f>IF($BO139="","",IFERROR(VLOOKUP($BO139,'01_Warehouse_Ledger'!$A:$N,13,FALSE),""))</f>
        <v/>
      </c>
      <c r="BS139" t="s">
        <v>1435</v>
      </c>
      <c r="BT139" t="s">
        <v>1435</v>
      </c>
      <c r="BU139" t="s">
        <v>1435</v>
      </c>
      <c r="BV139" t="s">
        <v>1435</v>
      </c>
    </row>
    <row r="140" spans="1:74" ht="45">
      <c r="A140" s="8" t="s">
        <v>1959</v>
      </c>
      <c r="B140" s="8" t="s">
        <v>1435</v>
      </c>
      <c r="C140" s="15" t="s">
        <v>1435</v>
      </c>
      <c r="D140" s="15" t="str">
        <f t="shared" si="17"/>
        <v>No</v>
      </c>
      <c r="E140" s="15" t="str">
        <f t="shared" si="12"/>
        <v>No</v>
      </c>
      <c r="F140" t="str">
        <f t="shared" si="18"/>
        <v>No</v>
      </c>
      <c r="G140" s="4" t="s">
        <v>1960</v>
      </c>
      <c r="H140" s="4" t="s">
        <v>1960</v>
      </c>
      <c r="I140" s="4"/>
      <c r="J140" s="4"/>
      <c r="K140" s="4"/>
      <c r="L140" s="4"/>
      <c r="M140" s="4"/>
      <c r="N140" s="4"/>
      <c r="O140" s="4"/>
      <c r="P140" s="4"/>
      <c r="Q140" s="4"/>
      <c r="R140" s="4" t="s">
        <v>1973</v>
      </c>
      <c r="T140" s="4" t="s">
        <v>1974</v>
      </c>
      <c r="U140" s="4"/>
      <c r="V140" s="4"/>
      <c r="W140" s="4" t="s">
        <v>1975</v>
      </c>
      <c r="X140" s="4"/>
      <c r="Y140" s="4" t="s">
        <v>1976</v>
      </c>
      <c r="Z140" s="4" t="s">
        <v>1444</v>
      </c>
      <c r="AA140" s="4" t="s">
        <v>1636</v>
      </c>
      <c r="AB140" s="4"/>
      <c r="AC140" s="4"/>
      <c r="AD140" s="4" t="s">
        <v>1966</v>
      </c>
      <c r="AE140" s="8">
        <v>1</v>
      </c>
      <c r="AF140" s="4" t="s">
        <v>1977</v>
      </c>
      <c r="AG140" s="4" t="s">
        <v>1978</v>
      </c>
      <c r="AH140" s="14"/>
      <c r="AI140" s="4"/>
      <c r="AJ140" s="4" t="s">
        <v>1979</v>
      </c>
      <c r="AK140" s="4"/>
      <c r="AL140" s="4"/>
      <c r="AM140" s="4"/>
      <c r="AN140" s="4"/>
      <c r="AO140" s="4"/>
      <c r="AP140" s="4"/>
      <c r="AQ140" s="4"/>
      <c r="AR140" s="4" t="s">
        <v>1331</v>
      </c>
      <c r="AS140" s="4" t="s">
        <v>1980</v>
      </c>
      <c r="AT140" s="4"/>
      <c r="AU140" s="4"/>
      <c r="AV140" s="4"/>
      <c r="AW140" s="8"/>
      <c r="AX140" s="8"/>
      <c r="AY140" s="8" t="s">
        <v>1435</v>
      </c>
      <c r="AZ140" s="8" t="s">
        <v>1435</v>
      </c>
      <c r="BA140" s="12"/>
      <c r="BB140" s="8" t="s">
        <v>1435</v>
      </c>
      <c r="BC140" s="4" t="s">
        <v>1972</v>
      </c>
      <c r="BD140" s="4"/>
      <c r="BE140" s="8"/>
      <c r="BF140" s="8"/>
      <c r="BG140" s="8"/>
      <c r="BH140" s="8"/>
      <c r="BI140" s="8"/>
      <c r="BJ140" s="8"/>
      <c r="BK140" s="8"/>
      <c r="BL140" s="4" t="str">
        <f t="shared" si="14"/>
        <v>Power Cable, Battery, Firmware Download, Device ID, Epic Beans Relay</v>
      </c>
      <c r="BM140" s="8" t="str">
        <f t="shared" si="15"/>
        <v>Blocked</v>
      </c>
      <c r="BP140" t="str">
        <f>IF($BO140="","",IFERROR(VLOOKUP($BO140,'01_Warehouse_Ledger'!$A:$N,4,FALSE),""))</f>
        <v/>
      </c>
      <c r="BQ140" t="str">
        <f>IF($BO140="","",IFERROR(VLOOKUP($BO140,'01_Warehouse_Ledger'!$A:$N,5,FALSE),""))</f>
        <v/>
      </c>
      <c r="BR140" t="str">
        <f>IF($BO140="","",IFERROR(VLOOKUP($BO140,'01_Warehouse_Ledger'!$A:$N,13,FALSE),""))</f>
        <v/>
      </c>
      <c r="BS140" t="s">
        <v>1435</v>
      </c>
      <c r="BT140" t="s">
        <v>1435</v>
      </c>
      <c r="BU140" t="s">
        <v>1435</v>
      </c>
      <c r="BV140" t="s">
        <v>1435</v>
      </c>
    </row>
    <row r="141" spans="1:74" ht="45">
      <c r="A141" s="8" t="s">
        <v>1959</v>
      </c>
      <c r="B141" s="8" t="s">
        <v>1435</v>
      </c>
      <c r="C141" s="15" t="s">
        <v>1435</v>
      </c>
      <c r="D141" s="15" t="str">
        <f t="shared" si="17"/>
        <v>No</v>
      </c>
      <c r="E141" s="15" t="str">
        <f t="shared" si="12"/>
        <v>No</v>
      </c>
      <c r="F141" t="str">
        <f t="shared" si="18"/>
        <v>No</v>
      </c>
      <c r="G141" s="4" t="s">
        <v>1960</v>
      </c>
      <c r="H141" s="4" t="s">
        <v>1960</v>
      </c>
      <c r="I141" s="4"/>
      <c r="J141" s="4"/>
      <c r="K141" s="4"/>
      <c r="L141" s="4"/>
      <c r="M141" s="4"/>
      <c r="N141" s="4"/>
      <c r="O141" s="4"/>
      <c r="P141" s="4"/>
      <c r="Q141" s="4"/>
      <c r="R141" s="4" t="s">
        <v>1981</v>
      </c>
      <c r="T141" s="4" t="s">
        <v>1982</v>
      </c>
      <c r="U141" s="4"/>
      <c r="V141" s="4"/>
      <c r="W141" s="4" t="s">
        <v>1983</v>
      </c>
      <c r="X141" s="4"/>
      <c r="Y141" s="4" t="s">
        <v>1984</v>
      </c>
      <c r="Z141" s="4" t="s">
        <v>1640</v>
      </c>
      <c r="AA141" s="4" t="s">
        <v>1636</v>
      </c>
      <c r="AB141" s="4"/>
      <c r="AC141" s="4"/>
      <c r="AD141" s="4" t="s">
        <v>1966</v>
      </c>
      <c r="AE141" s="8">
        <v>1</v>
      </c>
      <c r="AF141" s="4" t="s">
        <v>1977</v>
      </c>
      <c r="AG141" s="4" t="s">
        <v>1985</v>
      </c>
      <c r="AH141" s="14"/>
      <c r="AI141" s="4"/>
      <c r="AJ141" s="4" t="s">
        <v>1979</v>
      </c>
      <c r="AK141" s="4"/>
      <c r="AL141" s="4"/>
      <c r="AM141" s="4"/>
      <c r="AN141" s="4"/>
      <c r="AO141" s="4"/>
      <c r="AP141" s="4"/>
      <c r="AQ141" s="4"/>
      <c r="AR141" s="4" t="s">
        <v>1331</v>
      </c>
      <c r="AS141" s="4" t="s">
        <v>1986</v>
      </c>
      <c r="AT141" s="4"/>
      <c r="AU141" s="4"/>
      <c r="AV141" s="4"/>
      <c r="AW141" s="8"/>
      <c r="AX141" s="8"/>
      <c r="AY141" s="8" t="s">
        <v>1435</v>
      </c>
      <c r="AZ141" s="8" t="s">
        <v>1454</v>
      </c>
      <c r="BA141" s="12"/>
      <c r="BB141" s="8" t="s">
        <v>1435</v>
      </c>
      <c r="BC141" s="4" t="s">
        <v>1987</v>
      </c>
      <c r="BD141" s="4"/>
      <c r="BE141" s="8"/>
      <c r="BF141" s="8"/>
      <c r="BG141" s="8"/>
      <c r="BH141" s="8"/>
      <c r="BI141" s="8"/>
      <c r="BJ141" s="8"/>
      <c r="BK141" s="8"/>
      <c r="BL141" s="4" t="str">
        <f t="shared" si="14"/>
        <v>Power Cable, Battery, Firmware Download, Device ID, Epic Beans Relay</v>
      </c>
      <c r="BM141" s="8" t="str">
        <f t="shared" si="15"/>
        <v>Blocked</v>
      </c>
      <c r="BP141" t="str">
        <f>IF($BO141="","",IFERROR(VLOOKUP($BO141,'01_Warehouse_Ledger'!$A:$N,4,FALSE),""))</f>
        <v/>
      </c>
      <c r="BQ141" t="str">
        <f>IF($BO141="","",IFERROR(VLOOKUP($BO141,'01_Warehouse_Ledger'!$A:$N,5,FALSE),""))</f>
        <v/>
      </c>
      <c r="BR141" t="str">
        <f>IF($BO141="","",IFERROR(VLOOKUP($BO141,'01_Warehouse_Ledger'!$A:$N,13,FALSE),""))</f>
        <v/>
      </c>
      <c r="BS141" t="s">
        <v>1435</v>
      </c>
      <c r="BT141" t="s">
        <v>1435</v>
      </c>
      <c r="BU141" t="s">
        <v>1435</v>
      </c>
      <c r="BV141" t="s">
        <v>1435</v>
      </c>
    </row>
    <row r="142" spans="1:74" ht="75">
      <c r="A142" s="8" t="s">
        <v>1959</v>
      </c>
      <c r="B142" s="8" t="s">
        <v>1435</v>
      </c>
      <c r="C142" s="15" t="s">
        <v>1435</v>
      </c>
      <c r="D142" s="15" t="str">
        <f t="shared" si="17"/>
        <v>No</v>
      </c>
      <c r="E142" s="15" t="str">
        <f t="shared" si="12"/>
        <v>No</v>
      </c>
      <c r="F142" t="str">
        <f t="shared" si="18"/>
        <v>No</v>
      </c>
      <c r="G142" s="4" t="s">
        <v>1960</v>
      </c>
      <c r="H142" s="4" t="s">
        <v>1960</v>
      </c>
      <c r="I142" s="4"/>
      <c r="J142" s="4"/>
      <c r="K142" s="4"/>
      <c r="L142" s="4"/>
      <c r="M142" s="4"/>
      <c r="N142" s="4"/>
      <c r="O142" s="4"/>
      <c r="P142" s="4"/>
      <c r="Q142" s="4"/>
      <c r="R142" s="4" t="s">
        <v>1988</v>
      </c>
      <c r="T142" s="4" t="s">
        <v>1989</v>
      </c>
      <c r="U142" s="4"/>
      <c r="V142" s="4"/>
      <c r="W142" s="4" t="s">
        <v>1990</v>
      </c>
      <c r="X142" s="4"/>
      <c r="Y142" s="4" t="s">
        <v>1991</v>
      </c>
      <c r="Z142" s="4" t="s">
        <v>1640</v>
      </c>
      <c r="AA142" s="4" t="s">
        <v>1636</v>
      </c>
      <c r="AB142" s="4"/>
      <c r="AC142" s="4"/>
      <c r="AD142" s="4" t="s">
        <v>1966</v>
      </c>
      <c r="AE142" s="8">
        <v>1</v>
      </c>
      <c r="AF142" s="4" t="s">
        <v>1977</v>
      </c>
      <c r="AG142" s="4" t="s">
        <v>1992</v>
      </c>
      <c r="AH142" s="14"/>
      <c r="AI142" s="4"/>
      <c r="AJ142" s="4" t="s">
        <v>1993</v>
      </c>
      <c r="AK142" s="4"/>
      <c r="AL142" s="4"/>
      <c r="AM142" s="4"/>
      <c r="AN142" s="4"/>
      <c r="AO142" s="4"/>
      <c r="AP142" s="4"/>
      <c r="AQ142" s="4"/>
      <c r="AR142" s="4" t="s">
        <v>1331</v>
      </c>
      <c r="AS142" s="4" t="s">
        <v>1994</v>
      </c>
      <c r="AT142" s="4"/>
      <c r="AU142" s="4"/>
      <c r="AV142" s="4"/>
      <c r="AW142" s="8"/>
      <c r="AX142" s="8"/>
      <c r="AY142" s="8" t="s">
        <v>1435</v>
      </c>
      <c r="AZ142" s="8" t="s">
        <v>1454</v>
      </c>
      <c r="BA142" s="12"/>
      <c r="BB142" s="8" t="s">
        <v>1435</v>
      </c>
      <c r="BC142" s="4" t="s">
        <v>1995</v>
      </c>
      <c r="BD142" s="4"/>
      <c r="BE142" s="8"/>
      <c r="BF142" s="8"/>
      <c r="BG142" s="8"/>
      <c r="BH142" s="8"/>
      <c r="BI142" s="8"/>
      <c r="BJ142" s="8"/>
      <c r="BK142" s="8"/>
      <c r="BL142" s="4" t="str">
        <f t="shared" si="14"/>
        <v>Power Cable, Battery, Firmware Download, Device ID, Epic Beans Relay</v>
      </c>
      <c r="BM142" s="8" t="str">
        <f t="shared" si="15"/>
        <v>Blocked</v>
      </c>
      <c r="BP142" t="str">
        <f>IF($BO142="","",IFERROR(VLOOKUP($BO142,'01_Warehouse_Ledger'!$A:$N,4,FALSE),""))</f>
        <v/>
      </c>
      <c r="BQ142" t="str">
        <f>IF($BO142="","",IFERROR(VLOOKUP($BO142,'01_Warehouse_Ledger'!$A:$N,5,FALSE),""))</f>
        <v/>
      </c>
      <c r="BR142" t="str">
        <f>IF($BO142="","",IFERROR(VLOOKUP($BO142,'01_Warehouse_Ledger'!$A:$N,13,FALSE),""))</f>
        <v/>
      </c>
      <c r="BS142" t="s">
        <v>1435</v>
      </c>
      <c r="BT142" t="s">
        <v>1435</v>
      </c>
      <c r="BU142" t="s">
        <v>1435</v>
      </c>
      <c r="BV142" t="s">
        <v>1435</v>
      </c>
    </row>
    <row r="143" spans="1:74" ht="45">
      <c r="A143" s="8" t="s">
        <v>1959</v>
      </c>
      <c r="B143" s="8" t="s">
        <v>1435</v>
      </c>
      <c r="C143" s="15" t="s">
        <v>1435</v>
      </c>
      <c r="D143" s="15" t="str">
        <f t="shared" si="17"/>
        <v>No</v>
      </c>
      <c r="E143" s="15" t="str">
        <f t="shared" si="12"/>
        <v>No</v>
      </c>
      <c r="F143" t="str">
        <f t="shared" si="18"/>
        <v>No</v>
      </c>
      <c r="G143" s="4" t="s">
        <v>1960</v>
      </c>
      <c r="H143" s="4" t="s">
        <v>1960</v>
      </c>
      <c r="I143" s="4"/>
      <c r="J143" s="4"/>
      <c r="K143" s="4"/>
      <c r="L143" s="4"/>
      <c r="M143" s="4"/>
      <c r="N143" s="4"/>
      <c r="O143" s="4"/>
      <c r="P143" s="4"/>
      <c r="Q143" s="4"/>
      <c r="R143" s="4" t="s">
        <v>1996</v>
      </c>
      <c r="T143" s="4" t="s">
        <v>1997</v>
      </c>
      <c r="U143" s="4"/>
      <c r="V143" s="4"/>
      <c r="W143" s="4" t="s">
        <v>1998</v>
      </c>
      <c r="X143" s="4"/>
      <c r="Y143" s="4" t="s">
        <v>1999</v>
      </c>
      <c r="Z143" s="4"/>
      <c r="AA143" s="4" t="s">
        <v>1636</v>
      </c>
      <c r="AB143" s="4"/>
      <c r="AC143" s="4"/>
      <c r="AD143" s="4" t="s">
        <v>1966</v>
      </c>
      <c r="AE143" s="8">
        <v>1</v>
      </c>
      <c r="AF143" s="4" t="s">
        <v>1977</v>
      </c>
      <c r="AG143" s="4" t="s">
        <v>2000</v>
      </c>
      <c r="AH143" s="14"/>
      <c r="AI143" s="4"/>
      <c r="AJ143" s="4" t="s">
        <v>1993</v>
      </c>
      <c r="AK143" s="4"/>
      <c r="AL143" s="4"/>
      <c r="AM143" s="4"/>
      <c r="AN143" s="4"/>
      <c r="AO143" s="4"/>
      <c r="AP143" s="4"/>
      <c r="AQ143" s="4"/>
      <c r="AR143" s="4" t="s">
        <v>1331</v>
      </c>
      <c r="AS143" s="4" t="s">
        <v>1980</v>
      </c>
      <c r="AT143" s="4"/>
      <c r="AU143" s="4"/>
      <c r="AV143" s="4"/>
      <c r="AW143" s="8"/>
      <c r="AX143" s="8"/>
      <c r="AY143" s="8" t="s">
        <v>1435</v>
      </c>
      <c r="AZ143" s="8" t="s">
        <v>1435</v>
      </c>
      <c r="BA143" s="12"/>
      <c r="BB143" s="8" t="s">
        <v>1435</v>
      </c>
      <c r="BC143" s="4" t="s">
        <v>2001</v>
      </c>
      <c r="BD143" s="4"/>
      <c r="BE143" s="8"/>
      <c r="BF143" s="8"/>
      <c r="BG143" s="8"/>
      <c r="BH143" s="8"/>
      <c r="BI143" s="8"/>
      <c r="BJ143" s="8"/>
      <c r="BK143" s="8"/>
      <c r="BL143" s="4" t="str">
        <f t="shared" si="14"/>
        <v>Power Cable, Battery, Firmware Download, Device ID, Epic Beans Relay</v>
      </c>
      <c r="BM143" s="8" t="str">
        <f t="shared" si="15"/>
        <v>Blocked</v>
      </c>
      <c r="BP143" t="str">
        <f>IF($BO143="","",IFERROR(VLOOKUP($BO143,'01_Warehouse_Ledger'!$A:$N,4,FALSE),""))</f>
        <v/>
      </c>
      <c r="BQ143" t="str">
        <f>IF($BO143="","",IFERROR(VLOOKUP($BO143,'01_Warehouse_Ledger'!$A:$N,5,FALSE),""))</f>
        <v/>
      </c>
      <c r="BR143" t="str">
        <f>IF($BO143="","",IFERROR(VLOOKUP($BO143,'01_Warehouse_Ledger'!$A:$N,13,FALSE),""))</f>
        <v/>
      </c>
      <c r="BS143" t="s">
        <v>1435</v>
      </c>
      <c r="BT143" t="s">
        <v>1435</v>
      </c>
      <c r="BU143" t="s">
        <v>1435</v>
      </c>
      <c r="BV143" t="s">
        <v>1435</v>
      </c>
    </row>
    <row r="144" spans="1:74" ht="45">
      <c r="A144" s="8" t="s">
        <v>1959</v>
      </c>
      <c r="B144" s="8" t="s">
        <v>1435</v>
      </c>
      <c r="C144" s="15" t="s">
        <v>1435</v>
      </c>
      <c r="D144" s="15" t="str">
        <f t="shared" si="17"/>
        <v>No</v>
      </c>
      <c r="E144" s="15" t="str">
        <f t="shared" si="12"/>
        <v>No</v>
      </c>
      <c r="F144" t="str">
        <f t="shared" si="18"/>
        <v>No</v>
      </c>
      <c r="G144" s="4" t="s">
        <v>1960</v>
      </c>
      <c r="H144" s="4" t="s">
        <v>1960</v>
      </c>
      <c r="I144" s="4"/>
      <c r="J144" s="4"/>
      <c r="K144" s="4"/>
      <c r="L144" s="4"/>
      <c r="M144" s="4"/>
      <c r="N144" s="4"/>
      <c r="O144" s="4"/>
      <c r="P144" s="4"/>
      <c r="Q144" s="4"/>
      <c r="R144" s="4" t="s">
        <v>2002</v>
      </c>
      <c r="T144" s="4" t="s">
        <v>2003</v>
      </c>
      <c r="U144" s="4"/>
      <c r="V144" s="4"/>
      <c r="W144" s="4" t="s">
        <v>2004</v>
      </c>
      <c r="X144" s="4"/>
      <c r="Y144" s="4" t="s">
        <v>2005</v>
      </c>
      <c r="Z144" s="4"/>
      <c r="AA144" s="4" t="s">
        <v>1636</v>
      </c>
      <c r="AB144" s="4"/>
      <c r="AC144" s="4"/>
      <c r="AD144" s="4" t="s">
        <v>1966</v>
      </c>
      <c r="AE144" s="8">
        <v>1</v>
      </c>
      <c r="AF144" s="4" t="s">
        <v>1977</v>
      </c>
      <c r="AG144" s="4" t="s">
        <v>2006</v>
      </c>
      <c r="AH144" s="14"/>
      <c r="AI144" s="4"/>
      <c r="AJ144" s="4" t="s">
        <v>2007</v>
      </c>
      <c r="AK144" s="4"/>
      <c r="AL144" s="4"/>
      <c r="AM144" s="4"/>
      <c r="AN144" s="4"/>
      <c r="AO144" s="4"/>
      <c r="AP144" s="4"/>
      <c r="AQ144" s="4"/>
      <c r="AR144" s="4" t="s">
        <v>2008</v>
      </c>
      <c r="AS144" s="4" t="s">
        <v>1980</v>
      </c>
      <c r="AT144" s="4"/>
      <c r="AU144" s="4"/>
      <c r="AV144" s="4"/>
      <c r="AW144" s="8"/>
      <c r="AX144" s="8"/>
      <c r="AY144" s="8" t="s">
        <v>1435</v>
      </c>
      <c r="AZ144" s="8" t="s">
        <v>1435</v>
      </c>
      <c r="BA144" s="12"/>
      <c r="BB144" s="8" t="s">
        <v>1435</v>
      </c>
      <c r="BC144" s="4" t="s">
        <v>2009</v>
      </c>
      <c r="BD144" s="4"/>
      <c r="BE144" s="8"/>
      <c r="BF144" s="8"/>
      <c r="BG144" s="8"/>
      <c r="BH144" s="8"/>
      <c r="BI144" s="8"/>
      <c r="BJ144" s="8"/>
      <c r="BK144" s="8"/>
      <c r="BL144" s="4" t="str">
        <f t="shared" si="14"/>
        <v>Power Cable, Battery, Firmware Download, Device ID, Epic Beans Relay</v>
      </c>
      <c r="BM144" s="8" t="str">
        <f t="shared" si="15"/>
        <v>Blocked</v>
      </c>
      <c r="BP144" t="str">
        <f>IF($BO144="","",IFERROR(VLOOKUP($BO144,'01_Warehouse_Ledger'!$A:$N,4,FALSE),""))</f>
        <v/>
      </c>
      <c r="BQ144" t="str">
        <f>IF($BO144="","",IFERROR(VLOOKUP($BO144,'01_Warehouse_Ledger'!$A:$N,5,FALSE),""))</f>
        <v/>
      </c>
      <c r="BR144" t="str">
        <f>IF($BO144="","",IFERROR(VLOOKUP($BO144,'01_Warehouse_Ledger'!$A:$N,13,FALSE),""))</f>
        <v/>
      </c>
      <c r="BS144" t="s">
        <v>1435</v>
      </c>
      <c r="BT144" t="s">
        <v>1435</v>
      </c>
      <c r="BU144" t="s">
        <v>1435</v>
      </c>
      <c r="BV144" t="s">
        <v>1435</v>
      </c>
    </row>
    <row r="145" spans="1:75" ht="45">
      <c r="A145" s="8" t="s">
        <v>1959</v>
      </c>
      <c r="B145" s="8" t="s">
        <v>1435</v>
      </c>
      <c r="C145" s="15" t="s">
        <v>1435</v>
      </c>
      <c r="D145" s="15" t="str">
        <f t="shared" si="17"/>
        <v>No</v>
      </c>
      <c r="E145" s="15" t="str">
        <f t="shared" si="12"/>
        <v>No</v>
      </c>
      <c r="F145" t="str">
        <f t="shared" si="18"/>
        <v>No</v>
      </c>
      <c r="G145" s="4" t="s">
        <v>1960</v>
      </c>
      <c r="H145" s="4" t="s">
        <v>1960</v>
      </c>
      <c r="I145" s="4"/>
      <c r="J145" s="4"/>
      <c r="K145" s="4"/>
      <c r="L145" s="4"/>
      <c r="M145" s="4"/>
      <c r="N145" s="4"/>
      <c r="O145" s="4"/>
      <c r="P145" s="4"/>
      <c r="Q145" s="4"/>
      <c r="R145" s="4" t="s">
        <v>2010</v>
      </c>
      <c r="T145" s="4" t="s">
        <v>2011</v>
      </c>
      <c r="U145" s="4"/>
      <c r="V145" s="4"/>
      <c r="W145" s="4" t="s">
        <v>2012</v>
      </c>
      <c r="X145" s="4"/>
      <c r="Y145" s="4" t="s">
        <v>2013</v>
      </c>
      <c r="Z145" s="4"/>
      <c r="AA145" s="4" t="s">
        <v>1636</v>
      </c>
      <c r="AB145" s="4"/>
      <c r="AC145" s="4"/>
      <c r="AD145" s="4" t="s">
        <v>1966</v>
      </c>
      <c r="AE145" s="8">
        <v>1</v>
      </c>
      <c r="AF145" s="4" t="s">
        <v>1977</v>
      </c>
      <c r="AG145" s="4" t="s">
        <v>2014</v>
      </c>
      <c r="AH145" s="14"/>
      <c r="AI145" s="4"/>
      <c r="AJ145" s="4" t="s">
        <v>1979</v>
      </c>
      <c r="AK145" s="4"/>
      <c r="AL145" s="4"/>
      <c r="AM145" s="4"/>
      <c r="AN145" s="4"/>
      <c r="AO145" s="4"/>
      <c r="AP145" s="4"/>
      <c r="AQ145" s="4"/>
      <c r="AR145" s="4" t="s">
        <v>2008</v>
      </c>
      <c r="AS145" s="4" t="s">
        <v>2015</v>
      </c>
      <c r="AT145" s="4"/>
      <c r="AU145" s="4"/>
      <c r="AV145" s="4"/>
      <c r="AW145" s="8"/>
      <c r="AX145" s="8"/>
      <c r="AY145" s="8" t="s">
        <v>1435</v>
      </c>
      <c r="AZ145" s="8" t="s">
        <v>1435</v>
      </c>
      <c r="BA145" s="12"/>
      <c r="BB145" s="8" t="s">
        <v>1435</v>
      </c>
      <c r="BC145" s="4" t="s">
        <v>2001</v>
      </c>
      <c r="BD145" s="4"/>
      <c r="BE145" s="8"/>
      <c r="BF145" s="8"/>
      <c r="BG145" s="8"/>
      <c r="BH145" s="8"/>
      <c r="BI145" s="8"/>
      <c r="BJ145" s="8"/>
      <c r="BK145" s="8"/>
      <c r="BL145" s="4" t="str">
        <f t="shared" si="14"/>
        <v>Power Cable, Battery, Firmware Download, Device ID, Epic Beans Relay</v>
      </c>
      <c r="BM145" s="8" t="str">
        <f t="shared" si="15"/>
        <v>Blocked</v>
      </c>
      <c r="BP145" t="str">
        <f>IF($BO145="","",IFERROR(VLOOKUP($BO145,'01_Warehouse_Ledger'!$A:$N,4,FALSE),""))</f>
        <v/>
      </c>
      <c r="BQ145" t="str">
        <f>IF($BO145="","",IFERROR(VLOOKUP($BO145,'01_Warehouse_Ledger'!$A:$N,5,FALSE),""))</f>
        <v/>
      </c>
      <c r="BR145" t="str">
        <f>IF($BO145="","",IFERROR(VLOOKUP($BO145,'01_Warehouse_Ledger'!$A:$N,13,FALSE),""))</f>
        <v/>
      </c>
      <c r="BS145" t="s">
        <v>1435</v>
      </c>
      <c r="BT145" t="s">
        <v>1435</v>
      </c>
      <c r="BU145" t="s">
        <v>1435</v>
      </c>
      <c r="BV145" t="s">
        <v>1435</v>
      </c>
    </row>
    <row r="146" spans="1:75">
      <c r="A146" s="8" t="s">
        <v>1959</v>
      </c>
      <c r="B146" s="8" t="s">
        <v>1454</v>
      </c>
      <c r="C146" s="15" t="s">
        <v>1454</v>
      </c>
      <c r="D146" s="15" t="str">
        <f t="shared" si="17"/>
        <v/>
      </c>
      <c r="E146" s="15" t="str">
        <f>IF($A146="","",IF($A146="Neuron",IF(OR(AND($S146&lt;&gt;"",LOWER(TRIM($S146))&lt;&gt;"n/a",COUNTIF($S$2:$S$528,$S146)&gt;1),AND($T146&lt;&gt;"",LOWER(TRIM($T146))&lt;&gt;"n/a",COUNTIF($T$2:$T$528,$T146)&gt;1),AND($W146&lt;&gt;"",LOWER(TRIM($W146))&lt;&gt;"n/a",COUNTIF($W$2:$W$528,$W146)&gt;1)),"Yes","No"),IF($A146="Cybernet",IF(OR(AND($Y146&lt;&gt;"",LOWER(TRIM($Y146))&lt;&gt;"n/a",COUNTIF($Y$2:$Y$528,$Y146)&gt;1),AND($Z146&lt;&gt;"",LOWER(TRIM($Z146))&lt;&gt;"n/a",COUNTIF($Z$2:$Z$528,$Z146)&gt;1)),"Yes","No"),IF(AND($AL146&lt;&gt;"",LOWER(TRIM($AL146))&lt;&gt;"n/a",COUNTIF($AL$2:$AL$528,$AL146)&gt;1),"Yes","No"))))</f>
        <v>No</v>
      </c>
      <c r="F146" t="str">
        <f>IF($B146&lt;&gt;"Yes","",
IF($A146="Neuron",
IF(OR(
AND($S146&lt;&gt;"",LOWER(TRIM($S146))&lt;&gt;"n/a",COUNTIFS($B$2:$B$528,"Yes",$A$2:$A$528,"Neuron",$S$2:$S$528,$S146)&gt;1),
AND($T146&lt;&gt;"",LOWER(TRIM($T146))&lt;&gt;"n/a",COUNTIFS($B$2:$B$528,"Yes",$A$2:$A$528,"Neuron",$T$2:$T$528,$T146)&gt;1),
AND($W146&lt;&gt;"",LOWER(TRIM($W146))&lt;&gt;"n/a",COUNTIFS($B$2:$B$528,"Yes",$A$2:$A$528,"Neuron",$W$2:$W$528,$W146)&gt;1)
),"Yes","No"),
IF($A146="Cybernet",
IF(OR(
AND($Y146&lt;&gt;"",LOWER(TRIM($Y146))&lt;&gt;"n/a",COUNTIFS($B$2:$B$528,"Yes",$A$2:$A$528,"Cybernet",$Y$2:$Y$528,$Y146)&gt;1),
AND($Z146&lt;&gt;"",LOWER(TRIM($Z146))&lt;&gt;"n/a",COUNTIFS($B$2:$B$528,"Yes",$A$2:$A$528,"Cybernet",$Z$2:$Z$528,$Z146)&gt;1)
),"Yes","No"),
IF(AND($AL146&lt;&gt;"",LOWER(TRIM($AL146))&lt;&gt;"n/a"),
IF(COUNTIFS($B$2:$B$528,"Yes",$A$2:$A$528,$A146,$AL$2:$AL$528,$AL146)&gt;1,"Yes","No"),
"No")
)
)
)</f>
        <v/>
      </c>
      <c r="G146" s="4" t="s">
        <v>1960</v>
      </c>
      <c r="H146" s="4" t="s">
        <v>1960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 t="s">
        <v>1636</v>
      </c>
      <c r="AB146" s="4"/>
      <c r="AC146" s="4"/>
      <c r="AD146" s="4" t="s">
        <v>1966</v>
      </c>
      <c r="AE146" s="8">
        <v>1</v>
      </c>
      <c r="AF146" s="4"/>
      <c r="AG146" s="4"/>
      <c r="AH146" s="1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8"/>
      <c r="AX146" s="8"/>
      <c r="AY146" s="8" t="s">
        <v>1454</v>
      </c>
      <c r="AZ146" s="8" t="s">
        <v>1435</v>
      </c>
      <c r="BA146" s="12"/>
      <c r="BB146" s="8" t="s">
        <v>1435</v>
      </c>
      <c r="BC146" s="4" t="s">
        <v>2016</v>
      </c>
      <c r="BD146" s="4"/>
      <c r="BE146" s="8"/>
      <c r="BF146" s="8"/>
      <c r="BG146" s="8"/>
      <c r="BH146" s="8"/>
      <c r="BI146" s="8"/>
      <c r="BJ146" s="8"/>
      <c r="BK146" s="8"/>
      <c r="BL146" s="4" t="str">
        <f t="shared" si="14"/>
        <v/>
      </c>
      <c r="BM146" s="8" t="str">
        <f t="shared" si="15"/>
        <v/>
      </c>
      <c r="BP146" t="str">
        <f>IF($BO146="","",IFERROR(VLOOKUP($BO146,'01_Warehouse_Ledger'!$A:$N,4,FALSE),""))</f>
        <v/>
      </c>
      <c r="BQ146" t="str">
        <f>IF($BO146="","",IFERROR(VLOOKUP($BO146,'01_Warehouse_Ledger'!$A:$N,5,FALSE),""))</f>
        <v/>
      </c>
      <c r="BR146" t="str">
        <f>IF($BO146="","",IFERROR(VLOOKUP($BO146,'01_Warehouse_Ledger'!$A:$N,13,FALSE),""))</f>
        <v/>
      </c>
      <c r="BS146" t="s">
        <v>1435</v>
      </c>
      <c r="BT146" t="s">
        <v>1435</v>
      </c>
      <c r="BU146" t="s">
        <v>1435</v>
      </c>
      <c r="BV146" t="s">
        <v>1435</v>
      </c>
    </row>
    <row r="147" spans="1:75">
      <c r="A147" s="8" t="s">
        <v>1959</v>
      </c>
      <c r="B147" s="8" t="s">
        <v>1454</v>
      </c>
      <c r="C147" s="15" t="s">
        <v>1454</v>
      </c>
      <c r="D147" s="15" t="str">
        <f t="shared" si="17"/>
        <v/>
      </c>
      <c r="E147" s="15" t="str">
        <f>IF($A147="","",IF($A147="Neuron",IF(OR(AND($S147&lt;&gt;"",LOWER(TRIM($S147))&lt;&gt;"n/a",COUNTIF($S$2:$S$528,$S147)&gt;1),AND($T147&lt;&gt;"",LOWER(TRIM($T147))&lt;&gt;"n/a",COUNTIF($T$2:$T$528,$T147)&gt;1),AND($W147&lt;&gt;"",LOWER(TRIM($W147))&lt;&gt;"n/a",COUNTIF($W$2:$W$528,$W147)&gt;1)),"Yes","No"),IF($A147="Cybernet",IF(OR(AND($Y147&lt;&gt;"",LOWER(TRIM($Y147))&lt;&gt;"n/a",COUNTIF($Y$2:$Y$528,$Y147)&gt;1),AND($Z147&lt;&gt;"",LOWER(TRIM($Z147))&lt;&gt;"n/a",COUNTIF($Z$2:$Z$528,$Z147)&gt;1)),"Yes","No"),IF(AND($AL147&lt;&gt;"",LOWER(TRIM($AL147))&lt;&gt;"n/a",COUNTIF($AL$2:$AL$528,$AL147)&gt;1),"Yes","No"))))</f>
        <v>No</v>
      </c>
      <c r="F147" t="str">
        <f>IF($B147&lt;&gt;"Yes","",
IF($A147="Neuron",
IF(OR(
AND($S147&lt;&gt;"",LOWER(TRIM($S147))&lt;&gt;"n/a",COUNTIFS($B$2:$B$528,"Yes",$A$2:$A$528,"Neuron",$S$2:$S$528,$S147)&gt;1),
AND($T147&lt;&gt;"",LOWER(TRIM($T147))&lt;&gt;"n/a",COUNTIFS($B$2:$B$528,"Yes",$A$2:$A$528,"Neuron",$T$2:$T$528,$T147)&gt;1),
AND($W147&lt;&gt;"",LOWER(TRIM($W147))&lt;&gt;"n/a",COUNTIFS($B$2:$B$528,"Yes",$A$2:$A$528,"Neuron",$W$2:$W$528,$W147)&gt;1)
),"Yes","No"),
IF($A147="Cybernet",
IF(OR(
AND($Y147&lt;&gt;"",LOWER(TRIM($Y147))&lt;&gt;"n/a",COUNTIFS($B$2:$B$528,"Yes",$A$2:$A$528,"Cybernet",$Y$2:$Y$528,$Y147)&gt;1),
AND($Z147&lt;&gt;"",LOWER(TRIM($Z147))&lt;&gt;"n/a",COUNTIFS($B$2:$B$528,"Yes",$A$2:$A$528,"Cybernet",$Z$2:$Z$528,$Z147)&gt;1)
),"Yes","No"),
IF(AND($AL147&lt;&gt;"",LOWER(TRIM($AL147))&lt;&gt;"n/a"),
IF(COUNTIFS($B$2:$B$528,"Yes",$A$2:$A$528,$A147,$AL$2:$AL$528,$AL147)&gt;1,"Yes","No"),
"No")
)
)
)</f>
        <v/>
      </c>
      <c r="G147" s="4" t="s">
        <v>1960</v>
      </c>
      <c r="H147" s="4" t="s">
        <v>1960</v>
      </c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 t="s">
        <v>1636</v>
      </c>
      <c r="AB147" s="4"/>
      <c r="AC147" s="4"/>
      <c r="AD147" s="4" t="s">
        <v>1966</v>
      </c>
      <c r="AE147" s="8">
        <v>1</v>
      </c>
      <c r="AF147" s="4"/>
      <c r="AG147" s="4"/>
      <c r="AH147" s="1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8"/>
      <c r="AX147" s="8"/>
      <c r="AY147" s="8" t="s">
        <v>1454</v>
      </c>
      <c r="AZ147" s="8" t="s">
        <v>1435</v>
      </c>
      <c r="BA147" s="12"/>
      <c r="BB147" s="8" t="s">
        <v>1435</v>
      </c>
      <c r="BC147" s="4" t="s">
        <v>2016</v>
      </c>
      <c r="BD147" s="4"/>
      <c r="BE147" s="8"/>
      <c r="BF147" s="8"/>
      <c r="BG147" s="8"/>
      <c r="BH147" s="8"/>
      <c r="BI147" s="8"/>
      <c r="BJ147" s="8"/>
      <c r="BK147" s="8"/>
      <c r="BL147" s="4" t="str">
        <f t="shared" si="14"/>
        <v/>
      </c>
      <c r="BM147" s="8" t="str">
        <f t="shared" si="15"/>
        <v/>
      </c>
      <c r="BP147" t="str">
        <f>IF($BO147="","",IFERROR(VLOOKUP($BO147,'01_Warehouse_Ledger'!$A:$N,4,FALSE),""))</f>
        <v/>
      </c>
      <c r="BQ147" t="str">
        <f>IF($BO147="","",IFERROR(VLOOKUP($BO147,'01_Warehouse_Ledger'!$A:$N,5,FALSE),""))</f>
        <v/>
      </c>
      <c r="BR147" t="str">
        <f>IF($BO147="","",IFERROR(VLOOKUP($BO147,'01_Warehouse_Ledger'!$A:$N,13,FALSE),""))</f>
        <v/>
      </c>
      <c r="BS147" t="s">
        <v>1435</v>
      </c>
      <c r="BT147" t="s">
        <v>1435</v>
      </c>
      <c r="BU147" t="s">
        <v>1435</v>
      </c>
      <c r="BV147" t="s">
        <v>1435</v>
      </c>
    </row>
    <row r="148" spans="1:75">
      <c r="A148" s="8" t="s">
        <v>1959</v>
      </c>
      <c r="B148" s="8" t="s">
        <v>1454</v>
      </c>
      <c r="C148" s="15" t="s">
        <v>1454</v>
      </c>
      <c r="D148" s="15" t="str">
        <f t="shared" si="17"/>
        <v/>
      </c>
      <c r="E148" s="15" t="str">
        <f>IF($A148="","",IF($A148="Neuron",IF(OR(AND($S148&lt;&gt;"",LOWER(TRIM($S148))&lt;&gt;"n/a",COUNTIF($S$2:$S$528,$S148)&gt;1),AND($T148&lt;&gt;"",LOWER(TRIM($T148))&lt;&gt;"n/a",COUNTIF($T$2:$T$528,$T148)&gt;1),AND($W148&lt;&gt;"",LOWER(TRIM($W148))&lt;&gt;"n/a",COUNTIF($W$2:$W$528,$W148)&gt;1)),"Yes","No"),IF($A148="Cybernet",IF(OR(AND($Y148&lt;&gt;"",LOWER(TRIM($Y148))&lt;&gt;"n/a",COUNTIF($Y$2:$Y$528,$Y148)&gt;1),AND($Z148&lt;&gt;"",LOWER(TRIM($Z148))&lt;&gt;"n/a",COUNTIF($Z$2:$Z$528,$Z148)&gt;1)),"Yes","No"),IF(AND($AL148&lt;&gt;"",LOWER(TRIM($AL148))&lt;&gt;"n/a",COUNTIF($AL$2:$AL$528,$AL148)&gt;1),"Yes","No"))))</f>
        <v>No</v>
      </c>
      <c r="F148" t="str">
        <f>IF($B148&lt;&gt;"Yes","",
IF($A148="Neuron",
IF(OR(
AND($S148&lt;&gt;"",LOWER(TRIM($S148))&lt;&gt;"n/a",COUNTIFS($B$2:$B$528,"Yes",$A$2:$A$528,"Neuron",$S$2:$S$528,$S148)&gt;1),
AND($T148&lt;&gt;"",LOWER(TRIM($T148))&lt;&gt;"n/a",COUNTIFS($B$2:$B$528,"Yes",$A$2:$A$528,"Neuron",$T$2:$T$528,$T148)&gt;1),
AND($W148&lt;&gt;"",LOWER(TRIM($W148))&lt;&gt;"n/a",COUNTIFS($B$2:$B$528,"Yes",$A$2:$A$528,"Neuron",$W$2:$W$528,$W148)&gt;1)
),"Yes","No"),
IF($A148="Cybernet",
IF(OR(
AND($Y148&lt;&gt;"",LOWER(TRIM($Y148))&lt;&gt;"n/a",COUNTIFS($B$2:$B$528,"Yes",$A$2:$A$528,"Cybernet",$Y$2:$Y$528,$Y148)&gt;1),
AND($Z148&lt;&gt;"",LOWER(TRIM($Z148))&lt;&gt;"n/a",COUNTIFS($B$2:$B$528,"Yes",$A$2:$A$528,"Cybernet",$Z$2:$Z$528,$Z148)&gt;1)
),"Yes","No"),
IF(AND($AL148&lt;&gt;"",LOWER(TRIM($AL148))&lt;&gt;"n/a"),
IF(COUNTIFS($B$2:$B$528,"Yes",$A$2:$A$528,$A148,$AL$2:$AL$528,$AL148)&gt;1,"Yes","No"),
"No")
)
)
)</f>
        <v/>
      </c>
      <c r="G148" s="4" t="s">
        <v>1960</v>
      </c>
      <c r="H148" s="4" t="s">
        <v>1960</v>
      </c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 t="s">
        <v>1636</v>
      </c>
      <c r="AB148" s="4"/>
      <c r="AC148" s="4"/>
      <c r="AD148" s="4" t="s">
        <v>1966</v>
      </c>
      <c r="AE148" s="8">
        <v>1</v>
      </c>
      <c r="AF148" s="4"/>
      <c r="AG148" s="4"/>
      <c r="AH148" s="1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8"/>
      <c r="AX148" s="8"/>
      <c r="AY148" s="8" t="s">
        <v>1454</v>
      </c>
      <c r="AZ148" s="8" t="s">
        <v>1435</v>
      </c>
      <c r="BA148" s="12"/>
      <c r="BB148" s="8" t="s">
        <v>1435</v>
      </c>
      <c r="BC148" s="4" t="s">
        <v>2016</v>
      </c>
      <c r="BD148" s="4"/>
      <c r="BE148" s="8"/>
      <c r="BF148" s="8"/>
      <c r="BG148" s="8"/>
      <c r="BH148" s="8"/>
      <c r="BI148" s="8"/>
      <c r="BJ148" s="8"/>
      <c r="BK148" s="8"/>
      <c r="BL148" s="4" t="str">
        <f t="shared" si="14"/>
        <v/>
      </c>
      <c r="BM148" s="8" t="str">
        <f t="shared" si="15"/>
        <v/>
      </c>
      <c r="BP148" t="str">
        <f>IF($BO148="","",IFERROR(VLOOKUP($BO148,'01_Warehouse_Ledger'!$A:$N,4,FALSE),""))</f>
        <v/>
      </c>
      <c r="BQ148" t="str">
        <f>IF($BO148="","",IFERROR(VLOOKUP($BO148,'01_Warehouse_Ledger'!$A:$N,5,FALSE),""))</f>
        <v/>
      </c>
      <c r="BR148" t="str">
        <f>IF($BO148="","",IFERROR(VLOOKUP($BO148,'01_Warehouse_Ledger'!$A:$N,13,FALSE),""))</f>
        <v/>
      </c>
      <c r="BS148" t="s">
        <v>1435</v>
      </c>
      <c r="BT148" t="s">
        <v>1435</v>
      </c>
      <c r="BU148" t="s">
        <v>1435</v>
      </c>
      <c r="BV148" t="s">
        <v>1435</v>
      </c>
    </row>
    <row r="149" spans="1:75" ht="15" customHeight="1">
      <c r="A149" s="8" t="s">
        <v>1645</v>
      </c>
      <c r="B149" s="8" t="s">
        <v>1435</v>
      </c>
      <c r="C149" s="15" t="s">
        <v>1435</v>
      </c>
      <c r="D149" s="15" t="str">
        <f t="shared" si="17"/>
        <v>No</v>
      </c>
      <c r="E149" s="15" t="str">
        <f>IF($A149="","",IF($A149="Neuron",IF(OR(AND($S149&lt;&gt;"",LOWER(TRIM($S149))&lt;&gt;"n/a",COUNTIF($S$2:$S$528,$S149)&gt;1),AND($T149&lt;&gt;"",LOWER(TRIM($T149))&lt;&gt;"n/a",COUNTIF($T$2:$T$528,$T149)&gt;1),AND($W149&lt;&gt;"",LOWER(TRIM($W149))&lt;&gt;"n/a",COUNTIF($W$2:$W$528,$W149)&gt;1)),"Yes","No"),IF($A149="Cybernet",IF(OR(AND($Y149&lt;&gt;"",LOWER(TRIM($Y149))&lt;&gt;"n/a",COUNTIF($Y$2:$Y$528,$Y149)&gt;1),AND($Z149&lt;&gt;"",LOWER(TRIM($Z149))&lt;&gt;"n/a",COUNTIF($Z$2:$Z$528,$Z149)&gt;1)),"Yes","No"),IF(AND($AL149&lt;&gt;"",LOWER(TRIM($AL149))&lt;&gt;"n/a",COUNTIF($AL$2:$AL$528,$AL149)&gt;1),"Yes","No"))))</f>
        <v>No</v>
      </c>
      <c r="F149" t="str">
        <f>IF($B149&lt;&gt;"Yes","",
IF($A149="Neuron",
IF(OR(
AND($S149&lt;&gt;"",LOWER(TRIM($S149))&lt;&gt;"n/a",COUNTIFS($B$2:$B$528,"Yes",$A$2:$A$528,"Neuron",$S$2:$S$528,$S149)&gt;1),
AND($T149&lt;&gt;"",LOWER(TRIM($T149))&lt;&gt;"n/a",COUNTIFS($B$2:$B$528,"Yes",$A$2:$A$528,"Neuron",$T$2:$T$528,$T149)&gt;1),
AND($W149&lt;&gt;"",LOWER(TRIM($W149))&lt;&gt;"n/a",COUNTIFS($B$2:$B$528,"Yes",$A$2:$A$528,"Neuron",$W$2:$W$528,$W149)&gt;1)
),"Yes","No"),
IF($A149="Cybernet",
IF(OR(
AND($Y149&lt;&gt;"",LOWER(TRIM($Y149))&lt;&gt;"n/a",COUNTIFS($B$2:$B$528,"Yes",$A$2:$A$528,"Cybernet",$Y$2:$Y$528,$Y149)&gt;1),
AND($Z149&lt;&gt;"",LOWER(TRIM($Z149))&lt;&gt;"n/a",COUNTIFS($B$2:$B$528,"Yes",$A$2:$A$528,"Cybernet",$Z$2:$Z$528,$Z149)&gt;1)
),"Yes","No"),
IF(AND($AL149&lt;&gt;"",LOWER(TRIM($AL149))&lt;&gt;"n/a"),
IF(COUNTIFS($B$2:$B$528,"Yes",$A$2:$A$528,$A149,$AL$2:$AL$528,$AL149)&gt;1,"Yes","No"),
"No")
)
)
)</f>
        <v>No</v>
      </c>
      <c r="G149" s="4" t="s">
        <v>1670</v>
      </c>
      <c r="H149" s="4" t="s">
        <v>1670</v>
      </c>
      <c r="I149" s="4" t="s">
        <v>2017</v>
      </c>
      <c r="J149" s="4" t="s">
        <v>2018</v>
      </c>
      <c r="K149" s="4" t="s">
        <v>2019</v>
      </c>
      <c r="L149" s="4" t="s">
        <v>2019</v>
      </c>
      <c r="M149" s="4" t="s">
        <v>2020</v>
      </c>
      <c r="N149" s="4" t="s">
        <v>2021</v>
      </c>
      <c r="O149" s="4" t="s">
        <v>1444</v>
      </c>
      <c r="P149" s="4" t="s">
        <v>2022</v>
      </c>
      <c r="Q149" s="41">
        <v>46067</v>
      </c>
      <c r="R149" s="4" t="s">
        <v>2023</v>
      </c>
      <c r="S149" s="4"/>
      <c r="T149" s="4"/>
      <c r="U149" s="4" t="s">
        <v>2024</v>
      </c>
      <c r="V149" s="4"/>
      <c r="W149" s="4"/>
      <c r="X149" s="4"/>
      <c r="Y149" s="4" t="s">
        <v>2025</v>
      </c>
      <c r="Z149" s="4"/>
      <c r="AA149" s="4" t="s">
        <v>1636</v>
      </c>
      <c r="AB149" s="4"/>
      <c r="AC149" s="4"/>
      <c r="AD149" s="4" t="s">
        <v>2026</v>
      </c>
      <c r="AE149" s="8">
        <v>2</v>
      </c>
      <c r="AF149" s="4" t="s">
        <v>2027</v>
      </c>
      <c r="AG149" s="4" t="s">
        <v>2028</v>
      </c>
      <c r="AH149" s="14"/>
      <c r="AI149" s="4">
        <v>5601483</v>
      </c>
      <c r="AJ149" s="4" t="s">
        <v>1979</v>
      </c>
      <c r="AK149" s="4" t="s">
        <v>2029</v>
      </c>
      <c r="AL149" s="4" t="s">
        <v>2030</v>
      </c>
      <c r="AM149" s="4" t="s">
        <v>1444</v>
      </c>
      <c r="AN149" s="4" t="s">
        <v>1444</v>
      </c>
      <c r="AO149" s="4" t="s">
        <v>1444</v>
      </c>
      <c r="AP149" s="4" t="s">
        <v>1444</v>
      </c>
      <c r="AQ149" s="4" t="s">
        <v>1444</v>
      </c>
      <c r="AR149" s="4" t="s">
        <v>1331</v>
      </c>
      <c r="AS149" s="4" t="s">
        <v>2031</v>
      </c>
      <c r="AT149" s="4"/>
      <c r="AU149" s="4"/>
      <c r="AV149" s="4"/>
      <c r="AW149" s="8"/>
      <c r="AX149" s="8"/>
      <c r="AY149" s="8" t="s">
        <v>1454</v>
      </c>
      <c r="AZ149" s="8" t="s">
        <v>1435</v>
      </c>
      <c r="BA149" s="12"/>
      <c r="BB149" s="8" t="s">
        <v>1435</v>
      </c>
      <c r="BC149" s="4"/>
      <c r="BD149" s="4"/>
      <c r="BE149" s="8"/>
      <c r="BF149" s="8"/>
      <c r="BG149" s="8"/>
      <c r="BH149" s="8"/>
      <c r="BI149" s="8"/>
      <c r="BJ149" s="8"/>
      <c r="BK149" s="8"/>
      <c r="BL149" s="4" t="str">
        <f t="shared" si="14"/>
        <v/>
      </c>
      <c r="BM149" s="8" t="str">
        <f t="shared" si="15"/>
        <v/>
      </c>
      <c r="BP149" t="str">
        <f>IF($BO149="","",IFERROR(VLOOKUP($BO149,'01_Warehouse_Ledger'!$A:$N,4,FALSE),""))</f>
        <v/>
      </c>
      <c r="BQ149" t="str">
        <f>IF($BO149="","",IFERROR(VLOOKUP($BO149,'01_Warehouse_Ledger'!$A:$N,5,FALSE),""))</f>
        <v/>
      </c>
      <c r="BR149" t="str">
        <f>IF($BO149="","",IFERROR(VLOOKUP($BO149,'01_Warehouse_Ledger'!$A:$N,13,FALSE),""))</f>
        <v/>
      </c>
      <c r="BS149" t="s">
        <v>1454</v>
      </c>
      <c r="BT149" t="s">
        <v>1435</v>
      </c>
      <c r="BU149" t="s">
        <v>1435</v>
      </c>
      <c r="BV149" t="s">
        <v>1454</v>
      </c>
      <c r="BW149" t="s">
        <v>1435</v>
      </c>
    </row>
    <row r="150" spans="1:75" ht="15" customHeight="1">
      <c r="A150" s="8" t="s">
        <v>1645</v>
      </c>
      <c r="B150" s="8" t="s">
        <v>1435</v>
      </c>
      <c r="C150" s="15" t="s">
        <v>1435</v>
      </c>
      <c r="D150" s="15" t="str">
        <f t="shared" si="17"/>
        <v>No</v>
      </c>
      <c r="E150" s="15" t="s">
        <v>1454</v>
      </c>
      <c r="F150" t="s">
        <v>1454</v>
      </c>
      <c r="G150" s="4" t="s">
        <v>1670</v>
      </c>
      <c r="H150" s="4" t="s">
        <v>1670</v>
      </c>
      <c r="I150" s="4" t="s">
        <v>2017</v>
      </c>
      <c r="J150" s="4" t="s">
        <v>2018</v>
      </c>
      <c r="K150" s="4" t="s">
        <v>2019</v>
      </c>
      <c r="L150" s="4" t="s">
        <v>2019</v>
      </c>
      <c r="M150" s="4" t="s">
        <v>2020</v>
      </c>
      <c r="N150" s="4" t="s">
        <v>2021</v>
      </c>
      <c r="O150" s="4" t="s">
        <v>1444</v>
      </c>
      <c r="P150" s="4" t="s">
        <v>2022</v>
      </c>
      <c r="Q150" s="41">
        <v>46067</v>
      </c>
      <c r="R150" s="4" t="s">
        <v>2032</v>
      </c>
      <c r="S150" s="4"/>
      <c r="T150" s="4"/>
      <c r="U150" s="4"/>
      <c r="V150" s="4"/>
      <c r="W150" s="4"/>
      <c r="X150" s="4"/>
      <c r="Y150" s="4" t="s">
        <v>2033</v>
      </c>
      <c r="Z150" s="4"/>
      <c r="AA150" s="4" t="s">
        <v>1636</v>
      </c>
      <c r="AB150" s="4"/>
      <c r="AC150" s="4"/>
      <c r="AD150" s="4" t="s">
        <v>2034</v>
      </c>
      <c r="AE150" s="8">
        <v>2</v>
      </c>
      <c r="AF150" s="4" t="s">
        <v>2027</v>
      </c>
      <c r="AG150" s="4" t="s">
        <v>1992</v>
      </c>
      <c r="AH150" s="14"/>
      <c r="AI150" s="4">
        <v>5601483</v>
      </c>
      <c r="AJ150" s="4" t="s">
        <v>1979</v>
      </c>
      <c r="AK150" s="4" t="s">
        <v>2029</v>
      </c>
      <c r="AL150" s="4" t="s">
        <v>2030</v>
      </c>
      <c r="AM150" s="4" t="s">
        <v>1444</v>
      </c>
      <c r="AN150" s="4" t="s">
        <v>1444</v>
      </c>
      <c r="AO150" s="4" t="s">
        <v>1444</v>
      </c>
      <c r="AP150" s="4" t="s">
        <v>1444</v>
      </c>
      <c r="AQ150" s="4" t="s">
        <v>1444</v>
      </c>
      <c r="AR150" s="4" t="s">
        <v>1331</v>
      </c>
      <c r="AS150" s="4" t="s">
        <v>2031</v>
      </c>
      <c r="AT150" s="4"/>
      <c r="AU150" s="4"/>
      <c r="AV150" s="4"/>
      <c r="AW150" s="8"/>
      <c r="AX150" s="8"/>
      <c r="AY150" s="8" t="s">
        <v>1454</v>
      </c>
      <c r="AZ150" s="8" t="s">
        <v>1435</v>
      </c>
      <c r="BA150" s="12"/>
      <c r="BB150" s="8" t="s">
        <v>1435</v>
      </c>
      <c r="BC150" s="4"/>
      <c r="BD150" s="4"/>
      <c r="BE150" s="8"/>
      <c r="BF150" s="8"/>
      <c r="BG150" s="8"/>
      <c r="BH150" s="8"/>
      <c r="BI150" s="8"/>
      <c r="BJ150" s="8"/>
      <c r="BK150" s="8"/>
      <c r="BL150" s="4" t="s">
        <v>2035</v>
      </c>
      <c r="BM150" s="8" t="s">
        <v>2035</v>
      </c>
      <c r="BP150" t="s">
        <v>2035</v>
      </c>
      <c r="BQ150" t="s">
        <v>2035</v>
      </c>
      <c r="BR150" t="s">
        <v>2035</v>
      </c>
      <c r="BS150" t="s">
        <v>1454</v>
      </c>
      <c r="BT150" t="s">
        <v>1435</v>
      </c>
      <c r="BU150" t="s">
        <v>1435</v>
      </c>
      <c r="BV150" t="s">
        <v>1454</v>
      </c>
      <c r="BW150" t="s">
        <v>1435</v>
      </c>
    </row>
    <row r="151" spans="1:75" ht="15" customHeight="1">
      <c r="A151" s="8" t="s">
        <v>1645</v>
      </c>
      <c r="B151" s="8" t="s">
        <v>1435</v>
      </c>
      <c r="C151" s="15" t="s">
        <v>1435</v>
      </c>
      <c r="D151" s="15" t="str">
        <f t="shared" si="17"/>
        <v>No</v>
      </c>
      <c r="E151" s="15" t="s">
        <v>1454</v>
      </c>
      <c r="F151" t="s">
        <v>1454</v>
      </c>
      <c r="G151" s="4" t="s">
        <v>1670</v>
      </c>
      <c r="H151" s="4" t="s">
        <v>1670</v>
      </c>
      <c r="I151" s="4" t="s">
        <v>2017</v>
      </c>
      <c r="J151" s="4" t="s">
        <v>2018</v>
      </c>
      <c r="K151" s="4" t="s">
        <v>2019</v>
      </c>
      <c r="L151" s="4" t="s">
        <v>2019</v>
      </c>
      <c r="M151" s="4" t="s">
        <v>2020</v>
      </c>
      <c r="N151" s="4" t="s">
        <v>2021</v>
      </c>
      <c r="O151" s="4" t="s">
        <v>1444</v>
      </c>
      <c r="P151" s="4" t="s">
        <v>2022</v>
      </c>
      <c r="Q151" s="41">
        <v>46067</v>
      </c>
      <c r="R151" s="4" t="s">
        <v>2036</v>
      </c>
      <c r="S151" s="4"/>
      <c r="T151" s="4"/>
      <c r="U151" s="4"/>
      <c r="V151" s="4"/>
      <c r="W151" s="4"/>
      <c r="X151" s="4"/>
      <c r="Y151" s="4" t="s">
        <v>2037</v>
      </c>
      <c r="Z151" s="4"/>
      <c r="AA151" s="4" t="s">
        <v>1636</v>
      </c>
      <c r="AB151" s="4"/>
      <c r="AC151" s="4"/>
      <c r="AD151" s="4" t="s">
        <v>2038</v>
      </c>
      <c r="AE151" s="8">
        <v>2</v>
      </c>
      <c r="AF151" s="4" t="s">
        <v>2027</v>
      </c>
      <c r="AG151" s="4" t="s">
        <v>2000</v>
      </c>
      <c r="AH151" s="14"/>
      <c r="AI151" s="4">
        <v>5601483</v>
      </c>
      <c r="AJ151" s="4" t="s">
        <v>1979</v>
      </c>
      <c r="AK151" s="4" t="s">
        <v>2029</v>
      </c>
      <c r="AL151" s="4" t="s">
        <v>2030</v>
      </c>
      <c r="AM151" s="4" t="s">
        <v>1444</v>
      </c>
      <c r="AN151" s="4" t="s">
        <v>1444</v>
      </c>
      <c r="AO151" s="4" t="s">
        <v>1444</v>
      </c>
      <c r="AP151" s="4" t="s">
        <v>1444</v>
      </c>
      <c r="AQ151" s="4" t="s">
        <v>1444</v>
      </c>
      <c r="AR151" s="4" t="s">
        <v>1331</v>
      </c>
      <c r="AS151" s="4" t="s">
        <v>2031</v>
      </c>
      <c r="AT151" s="4"/>
      <c r="AU151" s="4"/>
      <c r="AV151" s="4"/>
      <c r="AW151" s="8"/>
      <c r="AX151" s="8"/>
      <c r="AY151" s="8" t="s">
        <v>1454</v>
      </c>
      <c r="AZ151" s="8" t="s">
        <v>1435</v>
      </c>
      <c r="BA151" s="12"/>
      <c r="BB151" s="8" t="s">
        <v>1435</v>
      </c>
      <c r="BC151" s="4"/>
      <c r="BD151" s="4"/>
      <c r="BE151" s="8"/>
      <c r="BF151" s="8"/>
      <c r="BG151" s="8"/>
      <c r="BH151" s="8"/>
      <c r="BI151" s="8"/>
      <c r="BJ151" s="8"/>
      <c r="BK151" s="8"/>
      <c r="BL151" s="4" t="s">
        <v>2035</v>
      </c>
      <c r="BM151" s="8" t="s">
        <v>2035</v>
      </c>
      <c r="BP151" t="s">
        <v>2035</v>
      </c>
      <c r="BQ151" t="s">
        <v>2035</v>
      </c>
      <c r="BR151" t="s">
        <v>2035</v>
      </c>
      <c r="BS151" t="s">
        <v>1454</v>
      </c>
      <c r="BT151" t="s">
        <v>1435</v>
      </c>
      <c r="BU151" t="s">
        <v>1435</v>
      </c>
      <c r="BV151" t="s">
        <v>1454</v>
      </c>
      <c r="BW151" t="s">
        <v>1435</v>
      </c>
    </row>
    <row r="152" spans="1:75" ht="15" customHeight="1">
      <c r="A152" s="8" t="s">
        <v>1645</v>
      </c>
      <c r="B152" s="8" t="s">
        <v>1435</v>
      </c>
      <c r="C152" s="15" t="s">
        <v>1435</v>
      </c>
      <c r="D152" s="15" t="str">
        <f t="shared" si="17"/>
        <v>No</v>
      </c>
      <c r="E152" s="15" t="s">
        <v>1454</v>
      </c>
      <c r="F152" t="s">
        <v>1454</v>
      </c>
      <c r="G152" s="4" t="s">
        <v>1670</v>
      </c>
      <c r="H152" s="4" t="s">
        <v>1670</v>
      </c>
      <c r="I152" s="4" t="s">
        <v>2017</v>
      </c>
      <c r="J152" s="4" t="s">
        <v>2018</v>
      </c>
      <c r="K152" s="4" t="s">
        <v>2019</v>
      </c>
      <c r="L152" s="4" t="s">
        <v>2019</v>
      </c>
      <c r="M152" s="4" t="s">
        <v>2020</v>
      </c>
      <c r="N152" s="4" t="s">
        <v>2021</v>
      </c>
      <c r="O152" s="4" t="s">
        <v>1444</v>
      </c>
      <c r="P152" s="4" t="s">
        <v>2022</v>
      </c>
      <c r="Q152" s="41">
        <v>46067</v>
      </c>
      <c r="R152" s="4" t="s">
        <v>2039</v>
      </c>
      <c r="S152" s="4"/>
      <c r="T152" s="4"/>
      <c r="U152" s="4"/>
      <c r="V152" s="4"/>
      <c r="W152" s="4"/>
      <c r="X152" s="4"/>
      <c r="Y152" s="4" t="s">
        <v>2040</v>
      </c>
      <c r="Z152" s="4"/>
      <c r="AA152" s="4" t="s">
        <v>1636</v>
      </c>
      <c r="AB152" s="4"/>
      <c r="AC152" s="4"/>
      <c r="AD152" s="4" t="s">
        <v>2041</v>
      </c>
      <c r="AE152" s="8">
        <v>2</v>
      </c>
      <c r="AF152" s="4" t="s">
        <v>2027</v>
      </c>
      <c r="AG152" s="4" t="s">
        <v>2006</v>
      </c>
      <c r="AH152" s="14"/>
      <c r="AI152" s="4">
        <v>5601483</v>
      </c>
      <c r="AJ152" s="4" t="s">
        <v>1979</v>
      </c>
      <c r="AK152" s="4" t="s">
        <v>2029</v>
      </c>
      <c r="AL152" s="4" t="s">
        <v>2030</v>
      </c>
      <c r="AM152" s="4" t="s">
        <v>1444</v>
      </c>
      <c r="AN152" s="4" t="s">
        <v>1444</v>
      </c>
      <c r="AO152" s="4" t="s">
        <v>1444</v>
      </c>
      <c r="AP152" s="4" t="s">
        <v>1444</v>
      </c>
      <c r="AQ152" s="4" t="s">
        <v>1444</v>
      </c>
      <c r="AR152" s="4" t="s">
        <v>1331</v>
      </c>
      <c r="AS152" s="4" t="s">
        <v>2031</v>
      </c>
      <c r="AT152" s="4"/>
      <c r="AU152" s="4"/>
      <c r="AV152" s="4"/>
      <c r="AW152" s="8"/>
      <c r="AX152" s="8"/>
      <c r="AY152" s="8" t="s">
        <v>1454</v>
      </c>
      <c r="AZ152" s="8" t="s">
        <v>1435</v>
      </c>
      <c r="BA152" s="12"/>
      <c r="BB152" s="8" t="s">
        <v>1435</v>
      </c>
      <c r="BC152" s="4"/>
      <c r="BD152" s="4"/>
      <c r="BE152" s="8"/>
      <c r="BF152" s="8"/>
      <c r="BG152" s="8"/>
      <c r="BH152" s="8"/>
      <c r="BI152" s="8"/>
      <c r="BJ152" s="8"/>
      <c r="BK152" s="8"/>
      <c r="BL152" s="4" t="s">
        <v>2035</v>
      </c>
      <c r="BM152" s="8" t="s">
        <v>2035</v>
      </c>
      <c r="BP152" t="s">
        <v>2035</v>
      </c>
      <c r="BQ152" t="s">
        <v>2035</v>
      </c>
      <c r="BR152" t="s">
        <v>2035</v>
      </c>
      <c r="BS152" t="s">
        <v>1454</v>
      </c>
      <c r="BT152" t="s">
        <v>1435</v>
      </c>
      <c r="BU152" t="s">
        <v>1435</v>
      </c>
      <c r="BV152" t="s">
        <v>1454</v>
      </c>
      <c r="BW152" t="s">
        <v>1435</v>
      </c>
    </row>
    <row r="153" spans="1:75" ht="15" customHeight="1">
      <c r="A153" s="8" t="s">
        <v>1645</v>
      </c>
      <c r="B153" s="8" t="s">
        <v>1435</v>
      </c>
      <c r="C153" s="15" t="s">
        <v>1435</v>
      </c>
      <c r="D153" s="15" t="str">
        <f t="shared" si="17"/>
        <v>No</v>
      </c>
      <c r="E153" s="15" t="s">
        <v>1454</v>
      </c>
      <c r="F153" t="s">
        <v>1454</v>
      </c>
      <c r="G153" s="4" t="s">
        <v>1670</v>
      </c>
      <c r="H153" s="4" t="s">
        <v>1670</v>
      </c>
      <c r="I153" s="4" t="s">
        <v>2017</v>
      </c>
      <c r="J153" s="4" t="s">
        <v>2018</v>
      </c>
      <c r="K153" s="4" t="s">
        <v>2019</v>
      </c>
      <c r="L153" s="4" t="s">
        <v>2019</v>
      </c>
      <c r="M153" s="4" t="s">
        <v>2020</v>
      </c>
      <c r="N153" s="4" t="s">
        <v>2021</v>
      </c>
      <c r="O153" s="4" t="s">
        <v>1444</v>
      </c>
      <c r="P153" s="4" t="s">
        <v>2022</v>
      </c>
      <c r="Q153" s="41">
        <v>46067</v>
      </c>
      <c r="R153" s="4" t="s">
        <v>2023</v>
      </c>
      <c r="S153" s="4"/>
      <c r="T153" s="4"/>
      <c r="U153" s="4"/>
      <c r="V153" s="4"/>
      <c r="W153" s="4"/>
      <c r="X153" s="4"/>
      <c r="Y153" s="4" t="s">
        <v>2042</v>
      </c>
      <c r="Z153" s="4"/>
      <c r="AA153" s="4" t="s">
        <v>1636</v>
      </c>
      <c r="AB153" s="4"/>
      <c r="AC153" s="4"/>
      <c r="AD153" s="4" t="s">
        <v>2043</v>
      </c>
      <c r="AE153" s="8">
        <v>2</v>
      </c>
      <c r="AF153" s="4" t="s">
        <v>2027</v>
      </c>
      <c r="AG153" s="4" t="s">
        <v>1978</v>
      </c>
      <c r="AH153" s="14"/>
      <c r="AI153" s="4">
        <v>5601483</v>
      </c>
      <c r="AJ153" s="4" t="s">
        <v>1979</v>
      </c>
      <c r="AK153" s="4" t="s">
        <v>2029</v>
      </c>
      <c r="AL153" s="4" t="s">
        <v>2030</v>
      </c>
      <c r="AM153" s="4" t="s">
        <v>1444</v>
      </c>
      <c r="AN153" s="4" t="s">
        <v>1444</v>
      </c>
      <c r="AO153" s="4" t="s">
        <v>1444</v>
      </c>
      <c r="AP153" s="4" t="s">
        <v>1444</v>
      </c>
      <c r="AQ153" s="4" t="s">
        <v>1444</v>
      </c>
      <c r="AR153" s="4" t="s">
        <v>1331</v>
      </c>
      <c r="AS153" s="4" t="s">
        <v>2031</v>
      </c>
      <c r="AT153" s="4"/>
      <c r="AU153" s="4"/>
      <c r="AV153" s="4"/>
      <c r="AW153" s="8"/>
      <c r="AX153" s="8"/>
      <c r="AY153" s="8" t="s">
        <v>1454</v>
      </c>
      <c r="AZ153" s="8" t="s">
        <v>1435</v>
      </c>
      <c r="BA153" s="12"/>
      <c r="BB153" s="8" t="s">
        <v>1435</v>
      </c>
      <c r="BC153" s="4"/>
      <c r="BD153" s="4"/>
      <c r="BE153" s="8"/>
      <c r="BF153" s="8"/>
      <c r="BG153" s="8"/>
      <c r="BH153" s="8"/>
      <c r="BI153" s="8"/>
      <c r="BJ153" s="8"/>
      <c r="BK153" s="8"/>
      <c r="BL153" s="4" t="s">
        <v>2035</v>
      </c>
      <c r="BM153" s="8" t="s">
        <v>2035</v>
      </c>
      <c r="BP153" t="s">
        <v>2035</v>
      </c>
      <c r="BQ153" t="s">
        <v>2035</v>
      </c>
      <c r="BR153" t="s">
        <v>2035</v>
      </c>
      <c r="BS153" t="s">
        <v>1454</v>
      </c>
      <c r="BT153" t="s">
        <v>1435</v>
      </c>
      <c r="BU153" t="s">
        <v>1435</v>
      </c>
      <c r="BV153" t="s">
        <v>1454</v>
      </c>
      <c r="BW153" t="s">
        <v>1435</v>
      </c>
    </row>
    <row r="154" spans="1:75" ht="15" customHeight="1">
      <c r="A154" s="8" t="s">
        <v>1645</v>
      </c>
      <c r="B154" s="8" t="s">
        <v>1435</v>
      </c>
      <c r="C154" s="15" t="s">
        <v>1435</v>
      </c>
      <c r="D154" s="15" t="str">
        <f t="shared" si="17"/>
        <v>No</v>
      </c>
      <c r="E154" s="15" t="s">
        <v>1454</v>
      </c>
      <c r="F154" t="s">
        <v>1454</v>
      </c>
      <c r="G154" s="4" t="s">
        <v>1670</v>
      </c>
      <c r="H154" s="4" t="s">
        <v>1670</v>
      </c>
      <c r="I154" s="4" t="s">
        <v>2017</v>
      </c>
      <c r="J154" s="4" t="s">
        <v>2018</v>
      </c>
      <c r="K154" s="4" t="s">
        <v>2019</v>
      </c>
      <c r="L154" s="4" t="s">
        <v>2019</v>
      </c>
      <c r="M154" s="4" t="s">
        <v>2020</v>
      </c>
      <c r="N154" s="4" t="s">
        <v>2021</v>
      </c>
      <c r="O154" s="4" t="s">
        <v>1444</v>
      </c>
      <c r="P154" s="4" t="s">
        <v>2022</v>
      </c>
      <c r="Q154" s="41">
        <v>46067</v>
      </c>
      <c r="R154" s="4" t="s">
        <v>2023</v>
      </c>
      <c r="S154" s="4"/>
      <c r="T154" s="4"/>
      <c r="U154" s="4"/>
      <c r="V154" s="4"/>
      <c r="W154" s="4"/>
      <c r="X154" s="4"/>
      <c r="Y154" s="4" t="s">
        <v>2044</v>
      </c>
      <c r="Z154" s="4"/>
      <c r="AA154" s="4" t="s">
        <v>1636</v>
      </c>
      <c r="AB154" s="4"/>
      <c r="AC154" s="4"/>
      <c r="AD154" s="4" t="s">
        <v>2045</v>
      </c>
      <c r="AE154" s="8">
        <v>2</v>
      </c>
      <c r="AF154" s="4" t="s">
        <v>2027</v>
      </c>
      <c r="AG154" s="4" t="s">
        <v>1985</v>
      </c>
      <c r="AH154" s="14"/>
      <c r="AI154" s="4">
        <v>5601483</v>
      </c>
      <c r="AJ154" s="4" t="s">
        <v>1979</v>
      </c>
      <c r="AK154" s="4" t="s">
        <v>2029</v>
      </c>
      <c r="AL154" s="4" t="s">
        <v>2030</v>
      </c>
      <c r="AM154" s="4" t="s">
        <v>1444</v>
      </c>
      <c r="AN154" s="4" t="s">
        <v>1444</v>
      </c>
      <c r="AO154" s="4" t="s">
        <v>1444</v>
      </c>
      <c r="AP154" s="4" t="s">
        <v>1444</v>
      </c>
      <c r="AQ154" s="4" t="s">
        <v>1444</v>
      </c>
      <c r="AR154" s="4" t="s">
        <v>1331</v>
      </c>
      <c r="AS154" s="4" t="s">
        <v>2031</v>
      </c>
      <c r="AT154" s="4"/>
      <c r="AU154" s="4"/>
      <c r="AV154" s="4"/>
      <c r="AW154" s="8"/>
      <c r="AX154" s="8"/>
      <c r="AY154" s="8" t="s">
        <v>1454</v>
      </c>
      <c r="AZ154" s="8" t="s">
        <v>1435</v>
      </c>
      <c r="BA154" s="12"/>
      <c r="BB154" s="8" t="s">
        <v>1435</v>
      </c>
      <c r="BC154" s="4"/>
      <c r="BD154" s="4"/>
      <c r="BE154" s="8"/>
      <c r="BF154" s="8"/>
      <c r="BG154" s="8"/>
      <c r="BH154" s="8"/>
      <c r="BI154" s="8"/>
      <c r="BJ154" s="8"/>
      <c r="BK154" s="8"/>
      <c r="BL154" s="4" t="s">
        <v>2035</v>
      </c>
      <c r="BM154" s="8" t="s">
        <v>2035</v>
      </c>
      <c r="BP154" t="s">
        <v>2035</v>
      </c>
      <c r="BQ154" t="s">
        <v>2035</v>
      </c>
      <c r="BR154" t="s">
        <v>2035</v>
      </c>
      <c r="BS154" t="s">
        <v>1454</v>
      </c>
      <c r="BT154" t="s">
        <v>1435</v>
      </c>
      <c r="BU154" t="s">
        <v>1435</v>
      </c>
      <c r="BV154" t="s">
        <v>1454</v>
      </c>
      <c r="BW154" t="s">
        <v>1435</v>
      </c>
    </row>
    <row r="155" spans="1:75" ht="15" customHeight="1">
      <c r="A155" s="8" t="s">
        <v>1645</v>
      </c>
      <c r="B155" s="8" t="s">
        <v>1435</v>
      </c>
      <c r="C155" s="15" t="s">
        <v>1435</v>
      </c>
      <c r="D155" s="15" t="str">
        <f t="shared" si="17"/>
        <v>No</v>
      </c>
      <c r="E155" s="15" t="s">
        <v>1454</v>
      </c>
      <c r="F155" t="s">
        <v>1454</v>
      </c>
      <c r="G155" s="4" t="s">
        <v>1670</v>
      </c>
      <c r="H155" s="4" t="s">
        <v>1670</v>
      </c>
      <c r="I155" s="4" t="s">
        <v>2017</v>
      </c>
      <c r="J155" s="4" t="s">
        <v>2018</v>
      </c>
      <c r="K155" s="4" t="s">
        <v>2019</v>
      </c>
      <c r="L155" s="4" t="s">
        <v>2019</v>
      </c>
      <c r="M155" s="4" t="s">
        <v>2020</v>
      </c>
      <c r="N155" s="4" t="s">
        <v>2021</v>
      </c>
      <c r="O155" s="4" t="s">
        <v>1444</v>
      </c>
      <c r="P155" s="4" t="s">
        <v>2022</v>
      </c>
      <c r="Q155" s="41">
        <v>46067</v>
      </c>
      <c r="R155" s="4" t="s">
        <v>2023</v>
      </c>
      <c r="S155" s="4"/>
      <c r="T155" s="4"/>
      <c r="U155" s="4"/>
      <c r="V155" s="4"/>
      <c r="W155" s="4"/>
      <c r="X155" s="4"/>
      <c r="Y155" s="4" t="s">
        <v>2046</v>
      </c>
      <c r="Z155" s="4"/>
      <c r="AA155" s="4" t="s">
        <v>1636</v>
      </c>
      <c r="AB155" s="4"/>
      <c r="AC155" s="4"/>
      <c r="AD155" s="4" t="s">
        <v>2047</v>
      </c>
      <c r="AE155" s="8">
        <v>2</v>
      </c>
      <c r="AF155" s="4" t="s">
        <v>2027</v>
      </c>
      <c r="AG155" s="4" t="s">
        <v>2048</v>
      </c>
      <c r="AH155" s="14"/>
      <c r="AI155" s="4">
        <v>5601483</v>
      </c>
      <c r="AJ155" s="4" t="s">
        <v>1979</v>
      </c>
      <c r="AK155" s="4" t="s">
        <v>2029</v>
      </c>
      <c r="AL155" s="4" t="s">
        <v>2030</v>
      </c>
      <c r="AM155" s="4" t="s">
        <v>1444</v>
      </c>
      <c r="AN155" s="4" t="s">
        <v>1444</v>
      </c>
      <c r="AO155" s="4" t="s">
        <v>1444</v>
      </c>
      <c r="AP155" s="4" t="s">
        <v>1444</v>
      </c>
      <c r="AQ155" s="4" t="s">
        <v>1444</v>
      </c>
      <c r="AR155" s="4" t="s">
        <v>1331</v>
      </c>
      <c r="AS155" s="4" t="s">
        <v>2031</v>
      </c>
      <c r="AT155" s="4"/>
      <c r="AU155" s="4"/>
      <c r="AV155" s="4"/>
      <c r="AW155" s="8"/>
      <c r="AX155" s="8"/>
      <c r="AY155" s="8" t="s">
        <v>1454</v>
      </c>
      <c r="AZ155" s="8" t="s">
        <v>1435</v>
      </c>
      <c r="BA155" s="12"/>
      <c r="BB155" s="8" t="s">
        <v>1435</v>
      </c>
      <c r="BC155" s="4"/>
      <c r="BD155" s="4"/>
      <c r="BE155" s="8"/>
      <c r="BF155" s="8"/>
      <c r="BG155" s="8"/>
      <c r="BH155" s="8"/>
      <c r="BI155" s="8"/>
      <c r="BJ155" s="8"/>
      <c r="BK155" s="8"/>
      <c r="BL155" s="4" t="s">
        <v>2035</v>
      </c>
      <c r="BM155" s="8" t="s">
        <v>2035</v>
      </c>
      <c r="BP155" t="s">
        <v>2035</v>
      </c>
      <c r="BQ155" t="s">
        <v>2035</v>
      </c>
      <c r="BR155" t="s">
        <v>2035</v>
      </c>
      <c r="BS155" t="s">
        <v>1454</v>
      </c>
      <c r="BT155" t="s">
        <v>1435</v>
      </c>
      <c r="BU155" t="s">
        <v>1435</v>
      </c>
      <c r="BV155" t="s">
        <v>1454</v>
      </c>
      <c r="BW155" t="s">
        <v>1435</v>
      </c>
    </row>
    <row r="156" spans="1:75" ht="15" customHeight="1">
      <c r="A156" s="8" t="s">
        <v>1645</v>
      </c>
      <c r="B156" s="8" t="s">
        <v>1435</v>
      </c>
      <c r="C156" s="15" t="s">
        <v>1435</v>
      </c>
      <c r="D156" s="15" t="str">
        <f t="shared" si="17"/>
        <v>No</v>
      </c>
      <c r="E156" s="15" t="s">
        <v>1454</v>
      </c>
      <c r="F156" t="s">
        <v>1454</v>
      </c>
      <c r="G156" s="4" t="s">
        <v>1670</v>
      </c>
      <c r="H156" s="4" t="s">
        <v>1670</v>
      </c>
      <c r="I156" s="4" t="s">
        <v>2017</v>
      </c>
      <c r="J156" s="4" t="s">
        <v>2018</v>
      </c>
      <c r="K156" s="4" t="s">
        <v>2019</v>
      </c>
      <c r="L156" s="4" t="s">
        <v>2019</v>
      </c>
      <c r="M156" s="4" t="s">
        <v>2020</v>
      </c>
      <c r="N156" s="4" t="s">
        <v>2021</v>
      </c>
      <c r="O156" s="4" t="s">
        <v>1444</v>
      </c>
      <c r="P156" s="4" t="s">
        <v>2022</v>
      </c>
      <c r="Q156" s="41">
        <v>46067</v>
      </c>
      <c r="R156" s="4" t="s">
        <v>1765</v>
      </c>
      <c r="S156" s="4"/>
      <c r="T156" s="4"/>
      <c r="U156" s="4"/>
      <c r="V156" s="4"/>
      <c r="W156" s="4"/>
      <c r="X156" s="4"/>
      <c r="Y156" s="4" t="s">
        <v>2049</v>
      </c>
      <c r="Z156" s="4"/>
      <c r="AA156" s="4" t="s">
        <v>1636</v>
      </c>
      <c r="AB156" s="4"/>
      <c r="AC156" s="4"/>
      <c r="AD156" s="4" t="s">
        <v>2050</v>
      </c>
      <c r="AE156" s="8">
        <v>2</v>
      </c>
      <c r="AF156" s="4" t="s">
        <v>2027</v>
      </c>
      <c r="AG156" s="4" t="s">
        <v>2014</v>
      </c>
      <c r="AH156" s="14"/>
      <c r="AI156" s="4">
        <v>5601483</v>
      </c>
      <c r="AJ156" s="4" t="s">
        <v>1979</v>
      </c>
      <c r="AK156" s="4" t="s">
        <v>2029</v>
      </c>
      <c r="AL156" s="4" t="s">
        <v>2030</v>
      </c>
      <c r="AM156" s="4" t="s">
        <v>1444</v>
      </c>
      <c r="AN156" s="4" t="s">
        <v>1444</v>
      </c>
      <c r="AO156" s="4" t="s">
        <v>1444</v>
      </c>
      <c r="AP156" s="4" t="s">
        <v>1444</v>
      </c>
      <c r="AQ156" s="4" t="s">
        <v>1444</v>
      </c>
      <c r="AR156" s="4" t="s">
        <v>1331</v>
      </c>
      <c r="AS156" s="4" t="s">
        <v>2031</v>
      </c>
      <c r="AT156" s="4"/>
      <c r="AU156" s="4"/>
      <c r="AV156" s="4"/>
      <c r="AW156" s="8"/>
      <c r="AX156" s="8"/>
      <c r="AY156" s="8" t="s">
        <v>1454</v>
      </c>
      <c r="AZ156" s="8" t="s">
        <v>1435</v>
      </c>
      <c r="BA156" s="12"/>
      <c r="BB156" s="8" t="s">
        <v>1435</v>
      </c>
      <c r="BC156" s="4"/>
      <c r="BD156" s="4"/>
      <c r="BE156" s="8"/>
      <c r="BF156" s="8"/>
      <c r="BG156" s="8"/>
      <c r="BH156" s="8"/>
      <c r="BI156" s="8"/>
      <c r="BJ156" s="8"/>
      <c r="BK156" s="8"/>
      <c r="BL156" s="4" t="s">
        <v>2035</v>
      </c>
      <c r="BM156" s="8" t="s">
        <v>2035</v>
      </c>
      <c r="BP156" t="s">
        <v>2035</v>
      </c>
      <c r="BQ156" t="s">
        <v>2035</v>
      </c>
      <c r="BR156" t="s">
        <v>2035</v>
      </c>
      <c r="BS156" t="s">
        <v>1454</v>
      </c>
      <c r="BT156" t="s">
        <v>1435</v>
      </c>
      <c r="BU156" t="s">
        <v>1435</v>
      </c>
      <c r="BV156" t="s">
        <v>1454</v>
      </c>
      <c r="BW156" t="s">
        <v>1435</v>
      </c>
    </row>
    <row r="157" spans="1:75" ht="15" customHeight="1">
      <c r="A157" s="8" t="s">
        <v>1645</v>
      </c>
      <c r="B157" s="8" t="s">
        <v>1435</v>
      </c>
      <c r="C157" s="15" t="s">
        <v>1435</v>
      </c>
      <c r="D157" s="15" t="str">
        <f t="shared" si="17"/>
        <v>No</v>
      </c>
      <c r="E157" s="15" t="s">
        <v>1454</v>
      </c>
      <c r="F157" t="s">
        <v>1454</v>
      </c>
      <c r="G157" s="4" t="s">
        <v>1670</v>
      </c>
      <c r="H157" s="4" t="s">
        <v>1670</v>
      </c>
      <c r="I157" s="4" t="s">
        <v>2017</v>
      </c>
      <c r="J157" s="4" t="s">
        <v>2018</v>
      </c>
      <c r="K157" s="4" t="s">
        <v>2019</v>
      </c>
      <c r="L157" s="4" t="s">
        <v>2019</v>
      </c>
      <c r="M157" s="4" t="s">
        <v>2020</v>
      </c>
      <c r="N157" s="4" t="s">
        <v>2021</v>
      </c>
      <c r="O157" s="4" t="s">
        <v>1444</v>
      </c>
      <c r="P157" s="4" t="s">
        <v>2022</v>
      </c>
      <c r="Q157" s="41">
        <v>46067</v>
      </c>
      <c r="R157" s="4" t="s">
        <v>2051</v>
      </c>
      <c r="S157" s="4"/>
      <c r="T157" s="4"/>
      <c r="U157" s="4"/>
      <c r="V157" s="4"/>
      <c r="W157" s="4"/>
      <c r="X157" s="4"/>
      <c r="Y157" s="4" t="s">
        <v>2052</v>
      </c>
      <c r="Z157" s="4"/>
      <c r="AA157" s="4" t="s">
        <v>1636</v>
      </c>
      <c r="AB157" s="4"/>
      <c r="AC157" s="4"/>
      <c r="AD157" s="4" t="s">
        <v>2053</v>
      </c>
      <c r="AE157" s="8">
        <v>2</v>
      </c>
      <c r="AF157" s="4" t="s">
        <v>2027</v>
      </c>
      <c r="AG157" s="4" t="s">
        <v>2054</v>
      </c>
      <c r="AH157" s="14"/>
      <c r="AI157" s="4">
        <v>5601483</v>
      </c>
      <c r="AJ157" s="4" t="s">
        <v>1979</v>
      </c>
      <c r="AK157" s="4" t="s">
        <v>2029</v>
      </c>
      <c r="AL157" s="4" t="s">
        <v>2030</v>
      </c>
      <c r="AM157" s="4" t="s">
        <v>1444</v>
      </c>
      <c r="AN157" s="4" t="s">
        <v>1444</v>
      </c>
      <c r="AO157" s="4" t="s">
        <v>1444</v>
      </c>
      <c r="AP157" s="4" t="s">
        <v>1444</v>
      </c>
      <c r="AQ157" s="4" t="s">
        <v>1444</v>
      </c>
      <c r="AR157" s="4" t="s">
        <v>1331</v>
      </c>
      <c r="AS157" s="4" t="s">
        <v>2031</v>
      </c>
      <c r="AT157" s="4"/>
      <c r="AU157" s="4"/>
      <c r="AV157" s="4"/>
      <c r="AW157" s="8"/>
      <c r="AX157" s="8"/>
      <c r="AY157" s="8" t="s">
        <v>1454</v>
      </c>
      <c r="AZ157" s="8" t="s">
        <v>1435</v>
      </c>
      <c r="BA157" s="12"/>
      <c r="BB157" s="8" t="s">
        <v>1435</v>
      </c>
      <c r="BC157" s="4"/>
      <c r="BD157" s="4"/>
      <c r="BE157" s="8"/>
      <c r="BF157" s="8"/>
      <c r="BG157" s="8"/>
      <c r="BH157" s="8"/>
      <c r="BI157" s="8"/>
      <c r="BJ157" s="8"/>
      <c r="BK157" s="8"/>
      <c r="BL157" s="4" t="s">
        <v>2035</v>
      </c>
      <c r="BM157" s="8" t="s">
        <v>2035</v>
      </c>
      <c r="BP157" t="s">
        <v>2035</v>
      </c>
      <c r="BQ157" t="s">
        <v>2035</v>
      </c>
      <c r="BR157" t="s">
        <v>2035</v>
      </c>
      <c r="BS157" t="s">
        <v>1454</v>
      </c>
      <c r="BT157" t="s">
        <v>1435</v>
      </c>
      <c r="BU157" t="s">
        <v>1435</v>
      </c>
      <c r="BV157" t="s">
        <v>1454</v>
      </c>
      <c r="BW157" t="s">
        <v>1435</v>
      </c>
    </row>
    <row r="158" spans="1:75" ht="15" customHeight="1">
      <c r="A158" s="8"/>
      <c r="B158" s="8"/>
      <c r="D158" s="15" t="str">
        <f t="shared" si="17"/>
        <v/>
      </c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1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8"/>
      <c r="AF158" s="4"/>
      <c r="AG158" s="4"/>
      <c r="AH158" s="1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8"/>
      <c r="AX158" s="8"/>
      <c r="AY158" s="8"/>
      <c r="AZ158" s="8"/>
      <c r="BA158" s="12"/>
      <c r="BB158" s="8"/>
      <c r="BC158" s="4"/>
      <c r="BD158" s="4"/>
      <c r="BE158" s="8"/>
      <c r="BF158" s="8"/>
      <c r="BG158" s="8"/>
      <c r="BH158" s="8"/>
      <c r="BI158" s="8"/>
      <c r="BJ158" s="8"/>
      <c r="BK158" s="8"/>
      <c r="BL158" s="4"/>
      <c r="BM158" s="8"/>
    </row>
    <row r="159" spans="1:75" ht="15" customHeight="1">
      <c r="A159" s="8"/>
      <c r="B159" s="8"/>
      <c r="D159" s="15" t="str">
        <f t="shared" si="17"/>
        <v/>
      </c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1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8"/>
      <c r="AF159" s="4"/>
      <c r="AG159" s="4"/>
      <c r="AH159" s="1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8"/>
      <c r="AX159" s="8"/>
      <c r="AY159" s="8"/>
      <c r="AZ159" s="8"/>
      <c r="BA159" s="12"/>
      <c r="BB159" s="8"/>
      <c r="BC159" s="4"/>
      <c r="BD159" s="4"/>
      <c r="BE159" s="8"/>
      <c r="BF159" s="8"/>
      <c r="BG159" s="8"/>
      <c r="BH159" s="8"/>
      <c r="BI159" s="8"/>
      <c r="BJ159" s="8"/>
      <c r="BK159" s="8"/>
      <c r="BL159" s="4"/>
      <c r="BM159" s="8"/>
    </row>
    <row r="160" spans="1:75" ht="15" customHeight="1">
      <c r="A160" s="8"/>
      <c r="B160" s="8"/>
      <c r="D160" s="15" t="str">
        <f t="shared" si="17"/>
        <v/>
      </c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1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8"/>
      <c r="AF160" s="4"/>
      <c r="AG160" s="4"/>
      <c r="AH160" s="1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8"/>
      <c r="AX160" s="8"/>
      <c r="AY160" s="8"/>
      <c r="AZ160" s="8"/>
      <c r="BA160" s="12"/>
      <c r="BB160" s="8"/>
      <c r="BC160" s="4"/>
      <c r="BD160" s="4"/>
      <c r="BE160" s="8"/>
      <c r="BF160" s="8"/>
      <c r="BG160" s="8"/>
      <c r="BH160" s="8"/>
      <c r="BI160" s="8"/>
      <c r="BJ160" s="8"/>
      <c r="BK160" s="8"/>
      <c r="BL160" s="4"/>
      <c r="BM160" s="8"/>
    </row>
    <row r="161" spans="1:70" ht="15" customHeight="1">
      <c r="A161" s="8"/>
      <c r="B161" s="8"/>
      <c r="D161" s="15" t="str">
        <f t="shared" si="17"/>
        <v/>
      </c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1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8"/>
      <c r="AF161" s="4"/>
      <c r="AG161" s="4"/>
      <c r="AH161" s="1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8"/>
      <c r="AX161" s="8"/>
      <c r="AY161" s="8"/>
      <c r="AZ161" s="8"/>
      <c r="BA161" s="12"/>
      <c r="BB161" s="8"/>
      <c r="BC161" s="4"/>
      <c r="BD161" s="4"/>
      <c r="BE161" s="8"/>
      <c r="BF161" s="8"/>
      <c r="BG161" s="8"/>
      <c r="BH161" s="8"/>
      <c r="BI161" s="8"/>
      <c r="BJ161" s="8"/>
      <c r="BK161" s="8"/>
      <c r="BL161" s="4"/>
      <c r="BM161" s="8"/>
    </row>
    <row r="162" spans="1:70" ht="15" customHeight="1">
      <c r="A162" s="8"/>
      <c r="B162" s="8"/>
      <c r="D162" s="15" t="str">
        <f t="shared" si="17"/>
        <v/>
      </c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1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8"/>
      <c r="AF162" s="4"/>
      <c r="AG162" s="4"/>
      <c r="AH162" s="1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8"/>
      <c r="AX162" s="8"/>
      <c r="AY162" s="8"/>
      <c r="AZ162" s="8"/>
      <c r="BA162" s="12"/>
      <c r="BB162" s="8"/>
      <c r="BC162" s="4"/>
      <c r="BD162" s="4"/>
      <c r="BE162" s="8"/>
      <c r="BF162" s="8"/>
      <c r="BG162" s="8"/>
      <c r="BH162" s="8"/>
      <c r="BI162" s="8"/>
      <c r="BJ162" s="8"/>
      <c r="BK162" s="8"/>
      <c r="BL162" s="4"/>
      <c r="BM162" s="8"/>
    </row>
    <row r="163" spans="1:70" ht="15" customHeight="1">
      <c r="A163" s="8"/>
      <c r="B163" s="8"/>
      <c r="D163" s="15" t="str">
        <f t="shared" si="17"/>
        <v/>
      </c>
      <c r="E163" s="15" t="str">
        <f t="shared" ref="E163:E226" si="19">IF($A163="","",IF($A163="Neuron",IF(OR(AND($S163&lt;&gt;"",LOWER(TRIM($S163))&lt;&gt;"n/a",COUNTIF($S$2:$S$528,$S163)&gt;1),AND($T163&lt;&gt;"",LOWER(TRIM($T163))&lt;&gt;"n/a",COUNTIF($T$2:$T$528,$T163)&gt;1),AND($W163&lt;&gt;"",LOWER(TRIM($W163))&lt;&gt;"n/a",COUNTIF($W$2:$W$528,$W163)&gt;1)),"Yes","No"),IF($A163="Cybernet",IF(OR(AND($Y163&lt;&gt;"",LOWER(TRIM($Y163))&lt;&gt;"n/a",COUNTIF($Y$2:$Y$528,$Y163)&gt;1),AND($Z163&lt;&gt;"",LOWER(TRIM($Z163))&lt;&gt;"n/a",COUNTIF($Z$2:$Z$528,$Z163)&gt;1)),"Yes","No"),IF(AND($AL163&lt;&gt;"",LOWER(TRIM($AL163))&lt;&gt;"n/a",COUNTIF($AL$2:$AL$528,$AL163)&gt;1),"Yes","No"))))</f>
        <v/>
      </c>
      <c r="F163" t="str">
        <f t="shared" ref="F163:F226" si="20">IF($B163&lt;&gt;"Yes","",
IF($A163="Neuron",
IF(OR(
AND($S163&lt;&gt;"",LOWER(TRIM($S163))&lt;&gt;"n/a",COUNTIFS($B$2:$B$528,"Yes",$A$2:$A$528,"Neuron",$S$2:$S$528,$S163)&gt;1),
AND($T163&lt;&gt;"",LOWER(TRIM($T163))&lt;&gt;"n/a",COUNTIFS($B$2:$B$528,"Yes",$A$2:$A$528,"Neuron",$T$2:$T$528,$T163)&gt;1),
AND($W163&lt;&gt;"",LOWER(TRIM($W163))&lt;&gt;"n/a",COUNTIFS($B$2:$B$528,"Yes",$A$2:$A$528,"Neuron",$W$2:$W$528,$W163)&gt;1)
),"Yes","No"),
IF($A163="Cybernet",
IF(OR(
AND($Y163&lt;&gt;"",LOWER(TRIM($Y163))&lt;&gt;"n/a",COUNTIFS($B$2:$B$528,"Yes",$A$2:$A$528,"Cybernet",$Y$2:$Y$528,$Y163)&gt;1),
AND($Z163&lt;&gt;"",LOWER(TRIM($Z163))&lt;&gt;"n/a",COUNTIFS($B$2:$B$528,"Yes",$A$2:$A$528,"Cybernet",$Z$2:$Z$528,$Z163)&gt;1)
),"Yes","No"),
IF(AND($AL163&lt;&gt;"",LOWER(TRIM($AL163))&lt;&gt;"n/a"),
IF(COUNTIFS($B$2:$B$528,"Yes",$A$2:$A$528,$A163,$AL$2:$AL$528,$AL163)&gt;1,"Yes","No"),
"No")
)
)
)</f>
        <v/>
      </c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8"/>
      <c r="AF163" s="4"/>
      <c r="AG163" s="4"/>
      <c r="AH163" s="1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8"/>
      <c r="AX163" s="8"/>
      <c r="AY163" s="8"/>
      <c r="AZ163" s="8"/>
      <c r="BA163" s="12"/>
      <c r="BB163" s="8"/>
      <c r="BC163" s="4"/>
      <c r="BD163" s="4"/>
      <c r="BE163" s="8"/>
      <c r="BF163" s="8"/>
      <c r="BG163" s="8"/>
      <c r="BH163" s="8"/>
      <c r="BI163" s="8"/>
      <c r="BJ163" s="8"/>
      <c r="BK163" s="8"/>
      <c r="BL163" s="4" t="str">
        <f t="shared" si="14"/>
        <v/>
      </c>
      <c r="BM163" s="8" t="str">
        <f t="shared" si="15"/>
        <v/>
      </c>
      <c r="BP163" t="str">
        <f>IF($BO163="","",IFERROR(VLOOKUP($BO163,'01_Warehouse_Ledger'!$A:$N,4,FALSE),""))</f>
        <v/>
      </c>
      <c r="BQ163" t="str">
        <f>IF($BO163="","",IFERROR(VLOOKUP($BO163,'01_Warehouse_Ledger'!$A:$N,5,FALSE),""))</f>
        <v/>
      </c>
      <c r="BR163" t="str">
        <f>IF($BO163="","",IFERROR(VLOOKUP($BO163,'01_Warehouse_Ledger'!$A:$N,13,FALSE),""))</f>
        <v/>
      </c>
    </row>
    <row r="164" spans="1:70" ht="15" customHeight="1">
      <c r="A164" s="8"/>
      <c r="B164" s="8"/>
      <c r="D164" s="15" t="str">
        <f t="shared" si="17"/>
        <v/>
      </c>
      <c r="E164" s="15" t="str">
        <f t="shared" si="19"/>
        <v/>
      </c>
      <c r="F164" t="str">
        <f t="shared" si="20"/>
        <v/>
      </c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8"/>
      <c r="AF164" s="4"/>
      <c r="AG164" s="4"/>
      <c r="AH164" s="1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8"/>
      <c r="AX164" s="8"/>
      <c r="AY164" s="8"/>
      <c r="AZ164" s="8"/>
      <c r="BA164" s="12"/>
      <c r="BB164" s="8"/>
      <c r="BC164" s="4"/>
      <c r="BD164" s="4"/>
      <c r="BE164" s="8"/>
      <c r="BF164" s="8"/>
      <c r="BG164" s="8"/>
      <c r="BH164" s="8"/>
      <c r="BI164" s="8"/>
      <c r="BJ164" s="8"/>
      <c r="BK164" s="8"/>
      <c r="BL164" s="4" t="str">
        <f t="shared" si="14"/>
        <v/>
      </c>
      <c r="BM164" s="8" t="str">
        <f t="shared" si="15"/>
        <v/>
      </c>
      <c r="BP164" t="str">
        <f>IF($BO164="","",IFERROR(VLOOKUP($BO164,'01_Warehouse_Ledger'!$A:$N,4,FALSE),""))</f>
        <v/>
      </c>
      <c r="BQ164" t="str">
        <f>IF($BO164="","",IFERROR(VLOOKUP($BO164,'01_Warehouse_Ledger'!$A:$N,5,FALSE),""))</f>
        <v/>
      </c>
      <c r="BR164" t="str">
        <f>IF($BO164="","",IFERROR(VLOOKUP($BO164,'01_Warehouse_Ledger'!$A:$N,13,FALSE),""))</f>
        <v/>
      </c>
    </row>
    <row r="165" spans="1:70" ht="15" customHeight="1">
      <c r="A165" s="8"/>
      <c r="B165" s="8"/>
      <c r="D165" s="15" t="str">
        <f t="shared" si="17"/>
        <v/>
      </c>
      <c r="E165" s="15" t="str">
        <f t="shared" si="19"/>
        <v/>
      </c>
      <c r="F165" t="str">
        <f t="shared" si="20"/>
        <v/>
      </c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8"/>
      <c r="AF165" s="4"/>
      <c r="AG165" s="4"/>
      <c r="AH165" s="1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8"/>
      <c r="AX165" s="8"/>
      <c r="AY165" s="8"/>
      <c r="AZ165" s="8"/>
      <c r="BA165" s="12"/>
      <c r="BB165" s="8"/>
      <c r="BC165" s="4"/>
      <c r="BD165" s="4"/>
      <c r="BE165" s="8"/>
      <c r="BF165" s="8"/>
      <c r="BG165" s="8"/>
      <c r="BH165" s="8"/>
      <c r="BI165" s="8"/>
      <c r="BJ165" s="8"/>
      <c r="BK165" s="8"/>
      <c r="BL165" s="4" t="str">
        <f t="shared" si="14"/>
        <v/>
      </c>
      <c r="BM165" s="8" t="str">
        <f t="shared" si="15"/>
        <v/>
      </c>
      <c r="BP165" t="str">
        <f>IF($BO165="","",IFERROR(VLOOKUP($BO165,'01_Warehouse_Ledger'!$A:$N,4,FALSE),""))</f>
        <v/>
      </c>
      <c r="BQ165" t="str">
        <f>IF($BO165="","",IFERROR(VLOOKUP($BO165,'01_Warehouse_Ledger'!$A:$N,5,FALSE),""))</f>
        <v/>
      </c>
      <c r="BR165" t="str">
        <f>IF($BO165="","",IFERROR(VLOOKUP($BO165,'01_Warehouse_Ledger'!$A:$N,13,FALSE),""))</f>
        <v/>
      </c>
    </row>
    <row r="166" spans="1:70" ht="15" customHeight="1">
      <c r="A166" s="8"/>
      <c r="B166" s="8"/>
      <c r="D166" s="15" t="str">
        <f t="shared" si="17"/>
        <v/>
      </c>
      <c r="E166" s="15" t="str">
        <f t="shared" si="19"/>
        <v/>
      </c>
      <c r="F166" t="str">
        <f t="shared" si="20"/>
        <v/>
      </c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8"/>
      <c r="AF166" s="4"/>
      <c r="AG166" s="4"/>
      <c r="AH166" s="1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8"/>
      <c r="AX166" s="8"/>
      <c r="AY166" s="8"/>
      <c r="AZ166" s="8"/>
      <c r="BA166" s="12"/>
      <c r="BB166" s="8"/>
      <c r="BC166" s="4"/>
      <c r="BD166" s="4"/>
      <c r="BE166" s="8"/>
      <c r="BF166" s="8"/>
      <c r="BG166" s="8"/>
      <c r="BH166" s="8"/>
      <c r="BI166" s="8"/>
      <c r="BJ166" s="8"/>
      <c r="BK166" s="8"/>
      <c r="BL166" s="4" t="str">
        <f t="shared" si="14"/>
        <v/>
      </c>
      <c r="BM166" s="8" t="str">
        <f t="shared" si="15"/>
        <v/>
      </c>
      <c r="BP166" t="str">
        <f>IF($BO166="","",IFERROR(VLOOKUP($BO166,'01_Warehouse_Ledger'!$A:$N,4,FALSE),""))</f>
        <v/>
      </c>
      <c r="BQ166" t="str">
        <f>IF($BO166="","",IFERROR(VLOOKUP($BO166,'01_Warehouse_Ledger'!$A:$N,5,FALSE),""))</f>
        <v/>
      </c>
      <c r="BR166" t="str">
        <f>IF($BO166="","",IFERROR(VLOOKUP($BO166,'01_Warehouse_Ledger'!$A:$N,13,FALSE),""))</f>
        <v/>
      </c>
    </row>
    <row r="167" spans="1:70" ht="15" customHeight="1">
      <c r="A167" s="8"/>
      <c r="B167" s="8"/>
      <c r="D167" s="15" t="str">
        <f t="shared" si="17"/>
        <v/>
      </c>
      <c r="E167" s="15" t="str">
        <f t="shared" si="19"/>
        <v/>
      </c>
      <c r="F167" t="str">
        <f t="shared" si="20"/>
        <v/>
      </c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8"/>
      <c r="AF167" s="4"/>
      <c r="AG167" s="4"/>
      <c r="AH167" s="1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8"/>
      <c r="AX167" s="8"/>
      <c r="AY167" s="8"/>
      <c r="AZ167" s="8"/>
      <c r="BA167" s="12"/>
      <c r="BB167" s="8"/>
      <c r="BC167" s="4"/>
      <c r="BD167" s="4"/>
      <c r="BE167" s="8"/>
      <c r="BF167" s="8"/>
      <c r="BG167" s="8"/>
      <c r="BH167" s="8"/>
      <c r="BI167" s="8"/>
      <c r="BJ167" s="8"/>
      <c r="BK167" s="8"/>
      <c r="BL167" s="4" t="str">
        <f t="shared" si="14"/>
        <v/>
      </c>
      <c r="BM167" s="8" t="str">
        <f t="shared" si="15"/>
        <v/>
      </c>
      <c r="BP167" t="str">
        <f>IF($BO167="","",IFERROR(VLOOKUP($BO167,'01_Warehouse_Ledger'!$A:$N,4,FALSE),""))</f>
        <v/>
      </c>
      <c r="BQ167" t="str">
        <f>IF($BO167="","",IFERROR(VLOOKUP($BO167,'01_Warehouse_Ledger'!$A:$N,5,FALSE),""))</f>
        <v/>
      </c>
      <c r="BR167" t="str">
        <f>IF($BO167="","",IFERROR(VLOOKUP($BO167,'01_Warehouse_Ledger'!$A:$N,13,FALSE),""))</f>
        <v/>
      </c>
    </row>
    <row r="168" spans="1:70" ht="15" customHeight="1">
      <c r="A168" s="8"/>
      <c r="B168" s="8"/>
      <c r="D168" s="15" t="str">
        <f t="shared" si="17"/>
        <v/>
      </c>
      <c r="E168" s="15" t="str">
        <f t="shared" si="19"/>
        <v/>
      </c>
      <c r="F168" t="str">
        <f t="shared" si="20"/>
        <v/>
      </c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8"/>
      <c r="AF168" s="4"/>
      <c r="AG168" s="4"/>
      <c r="AH168" s="1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8"/>
      <c r="AX168" s="8"/>
      <c r="AY168" s="8"/>
      <c r="AZ168" s="8"/>
      <c r="BA168" s="12"/>
      <c r="BB168" s="8"/>
      <c r="BC168" s="4"/>
      <c r="BD168" s="4"/>
      <c r="BE168" s="8"/>
      <c r="BF168" s="8"/>
      <c r="BG168" s="8"/>
      <c r="BH168" s="8"/>
      <c r="BI168" s="8"/>
      <c r="BJ168" s="8"/>
      <c r="BK168" s="8"/>
      <c r="BL168" s="4" t="str">
        <f t="shared" si="14"/>
        <v/>
      </c>
      <c r="BM168" s="8" t="str">
        <f t="shared" si="15"/>
        <v/>
      </c>
      <c r="BP168" t="str">
        <f>IF($BO168="","",IFERROR(VLOOKUP($BO168,'01_Warehouse_Ledger'!$A:$N,4,FALSE),""))</f>
        <v/>
      </c>
      <c r="BQ168" t="str">
        <f>IF($BO168="","",IFERROR(VLOOKUP($BO168,'01_Warehouse_Ledger'!$A:$N,5,FALSE),""))</f>
        <v/>
      </c>
      <c r="BR168" t="str">
        <f>IF($BO168="","",IFERROR(VLOOKUP($BO168,'01_Warehouse_Ledger'!$A:$N,13,FALSE),""))</f>
        <v/>
      </c>
    </row>
    <row r="169" spans="1:70" ht="15" customHeight="1">
      <c r="A169" s="8"/>
      <c r="B169" s="8"/>
      <c r="D169" s="15" t="str">
        <f t="shared" si="17"/>
        <v/>
      </c>
      <c r="E169" s="15" t="str">
        <f t="shared" si="19"/>
        <v/>
      </c>
      <c r="F169" t="str">
        <f t="shared" si="20"/>
        <v/>
      </c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8"/>
      <c r="AF169" s="4"/>
      <c r="AG169" s="4"/>
      <c r="AH169" s="1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8"/>
      <c r="AX169" s="8"/>
      <c r="AY169" s="8"/>
      <c r="AZ169" s="8"/>
      <c r="BA169" s="12"/>
      <c r="BB169" s="8"/>
      <c r="BC169" s="4"/>
      <c r="BD169" s="4"/>
      <c r="BE169" s="8"/>
      <c r="BF169" s="8"/>
      <c r="BG169" s="8"/>
      <c r="BH169" s="8"/>
      <c r="BI169" s="8"/>
      <c r="BJ169" s="8"/>
      <c r="BK169" s="8"/>
      <c r="BL169" s="4" t="str">
        <f t="shared" si="14"/>
        <v/>
      </c>
      <c r="BM169" s="8" t="str">
        <f t="shared" si="15"/>
        <v/>
      </c>
      <c r="BP169" t="str">
        <f>IF($BO169="","",IFERROR(VLOOKUP($BO169,'01_Warehouse_Ledger'!$A:$N,4,FALSE),""))</f>
        <v/>
      </c>
      <c r="BQ169" t="str">
        <f>IF($BO169="","",IFERROR(VLOOKUP($BO169,'01_Warehouse_Ledger'!$A:$N,5,FALSE),""))</f>
        <v/>
      </c>
      <c r="BR169" t="str">
        <f>IF($BO169="","",IFERROR(VLOOKUP($BO169,'01_Warehouse_Ledger'!$A:$N,13,FALSE),""))</f>
        <v/>
      </c>
    </row>
    <row r="170" spans="1:70" ht="15" customHeight="1">
      <c r="A170" s="8"/>
      <c r="B170" s="8"/>
      <c r="D170" s="15" t="str">
        <f t="shared" si="17"/>
        <v/>
      </c>
      <c r="E170" s="15" t="str">
        <f t="shared" si="19"/>
        <v/>
      </c>
      <c r="F170" t="str">
        <f t="shared" si="20"/>
        <v/>
      </c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8"/>
      <c r="AF170" s="4"/>
      <c r="AG170" s="4"/>
      <c r="AH170" s="1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8"/>
      <c r="AX170" s="8"/>
      <c r="AY170" s="8"/>
      <c r="AZ170" s="8"/>
      <c r="BA170" s="12"/>
      <c r="BB170" s="8"/>
      <c r="BC170" s="4"/>
      <c r="BD170" s="4"/>
      <c r="BE170" s="8"/>
      <c r="BF170" s="8"/>
      <c r="BG170" s="8"/>
      <c r="BH170" s="8"/>
      <c r="BI170" s="8"/>
      <c r="BJ170" s="8"/>
      <c r="BK170" s="8"/>
      <c r="BL170" s="4" t="str">
        <f t="shared" si="14"/>
        <v/>
      </c>
      <c r="BM170" s="8" t="str">
        <f t="shared" si="15"/>
        <v/>
      </c>
      <c r="BP170" t="str">
        <f>IF($BO170="","",IFERROR(VLOOKUP($BO170,'01_Warehouse_Ledger'!$A:$N,4,FALSE),""))</f>
        <v/>
      </c>
      <c r="BQ170" t="str">
        <f>IF($BO170="","",IFERROR(VLOOKUP($BO170,'01_Warehouse_Ledger'!$A:$N,5,FALSE),""))</f>
        <v/>
      </c>
      <c r="BR170" t="str">
        <f>IF($BO170="","",IFERROR(VLOOKUP($BO170,'01_Warehouse_Ledger'!$A:$N,13,FALSE),""))</f>
        <v/>
      </c>
    </row>
    <row r="171" spans="1:70" ht="15" customHeight="1">
      <c r="A171" s="8"/>
      <c r="B171" s="8"/>
      <c r="D171" s="15" t="str">
        <f t="shared" si="17"/>
        <v/>
      </c>
      <c r="E171" s="15" t="str">
        <f t="shared" si="19"/>
        <v/>
      </c>
      <c r="F171" t="str">
        <f t="shared" si="20"/>
        <v/>
      </c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8"/>
      <c r="AF171" s="4"/>
      <c r="AG171" s="4"/>
      <c r="AH171" s="1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8"/>
      <c r="AX171" s="8"/>
      <c r="AY171" s="8"/>
      <c r="AZ171" s="8"/>
      <c r="BA171" s="12"/>
      <c r="BB171" s="8"/>
      <c r="BC171" s="4"/>
      <c r="BD171" s="4"/>
      <c r="BE171" s="8"/>
      <c r="BF171" s="8"/>
      <c r="BG171" s="8"/>
      <c r="BH171" s="8"/>
      <c r="BI171" s="8"/>
      <c r="BJ171" s="8"/>
      <c r="BK171" s="8"/>
      <c r="BL171" s="4" t="str">
        <f t="shared" si="14"/>
        <v/>
      </c>
      <c r="BM171" s="8" t="str">
        <f t="shared" si="15"/>
        <v/>
      </c>
      <c r="BP171" t="str">
        <f>IF($BO171="","",IFERROR(VLOOKUP($BO171,'01_Warehouse_Ledger'!$A:$N,4,FALSE),""))</f>
        <v/>
      </c>
      <c r="BQ171" t="str">
        <f>IF($BO171="","",IFERROR(VLOOKUP($BO171,'01_Warehouse_Ledger'!$A:$N,5,FALSE),""))</f>
        <v/>
      </c>
      <c r="BR171" t="str">
        <f>IF($BO171="","",IFERROR(VLOOKUP($BO171,'01_Warehouse_Ledger'!$A:$N,13,FALSE),""))</f>
        <v/>
      </c>
    </row>
    <row r="172" spans="1:70" ht="15" customHeight="1">
      <c r="A172" s="8"/>
      <c r="B172" s="8"/>
      <c r="D172" s="15" t="str">
        <f t="shared" si="17"/>
        <v/>
      </c>
      <c r="E172" s="15" t="str">
        <f t="shared" si="19"/>
        <v/>
      </c>
      <c r="F172" t="str">
        <f t="shared" si="20"/>
        <v/>
      </c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8"/>
      <c r="AF172" s="4"/>
      <c r="AG172" s="4"/>
      <c r="AH172" s="1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8"/>
      <c r="AX172" s="8"/>
      <c r="AY172" s="8"/>
      <c r="AZ172" s="8"/>
      <c r="BA172" s="12"/>
      <c r="BB172" s="8"/>
      <c r="BC172" s="4"/>
      <c r="BD172" s="4"/>
      <c r="BE172" s="8"/>
      <c r="BF172" s="8"/>
      <c r="BG172" s="8"/>
      <c r="BH172" s="8"/>
      <c r="BI172" s="8"/>
      <c r="BJ172" s="8"/>
      <c r="BK172" s="8"/>
      <c r="BL172" s="4" t="str">
        <f t="shared" si="14"/>
        <v/>
      </c>
      <c r="BM172" s="8" t="str">
        <f t="shared" si="15"/>
        <v/>
      </c>
      <c r="BP172" t="str">
        <f>IF($BO172="","",IFERROR(VLOOKUP($BO172,'01_Warehouse_Ledger'!$A:$N,4,FALSE),""))</f>
        <v/>
      </c>
      <c r="BQ172" t="str">
        <f>IF($BO172="","",IFERROR(VLOOKUP($BO172,'01_Warehouse_Ledger'!$A:$N,5,FALSE),""))</f>
        <v/>
      </c>
      <c r="BR172" t="str">
        <f>IF($BO172="","",IFERROR(VLOOKUP($BO172,'01_Warehouse_Ledger'!$A:$N,13,FALSE),""))</f>
        <v/>
      </c>
    </row>
    <row r="173" spans="1:70" ht="15" customHeight="1">
      <c r="A173" s="8"/>
      <c r="B173" s="8"/>
      <c r="D173" s="15" t="str">
        <f t="shared" si="17"/>
        <v/>
      </c>
      <c r="E173" s="15" t="str">
        <f t="shared" si="19"/>
        <v/>
      </c>
      <c r="F173" t="str">
        <f t="shared" si="20"/>
        <v/>
      </c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8"/>
      <c r="AF173" s="4"/>
      <c r="AG173" s="4"/>
      <c r="AH173" s="1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8"/>
      <c r="AX173" s="8"/>
      <c r="AY173" s="8"/>
      <c r="AZ173" s="8"/>
      <c r="BA173" s="12"/>
      <c r="BB173" s="8"/>
      <c r="BC173" s="4"/>
      <c r="BD173" s="4"/>
      <c r="BE173" s="8"/>
      <c r="BF173" s="8"/>
      <c r="BG173" s="8"/>
      <c r="BH173" s="8"/>
      <c r="BI173" s="8"/>
      <c r="BJ173" s="8"/>
      <c r="BK173" s="8"/>
      <c r="BL173" s="4" t="str">
        <f t="shared" si="14"/>
        <v/>
      </c>
      <c r="BM173" s="8" t="str">
        <f t="shared" si="15"/>
        <v/>
      </c>
      <c r="BP173" t="str">
        <f>IF($BO173="","",IFERROR(VLOOKUP($BO173,'01_Warehouse_Ledger'!$A:$N,4,FALSE),""))</f>
        <v/>
      </c>
      <c r="BQ173" t="str">
        <f>IF($BO173="","",IFERROR(VLOOKUP($BO173,'01_Warehouse_Ledger'!$A:$N,5,FALSE),""))</f>
        <v/>
      </c>
      <c r="BR173" t="str">
        <f>IF($BO173="","",IFERROR(VLOOKUP($BO173,'01_Warehouse_Ledger'!$A:$N,13,FALSE),""))</f>
        <v/>
      </c>
    </row>
    <row r="174" spans="1:70" ht="15" customHeight="1">
      <c r="A174" s="8"/>
      <c r="B174" s="8"/>
      <c r="D174" s="15" t="str">
        <f t="shared" si="17"/>
        <v/>
      </c>
      <c r="E174" s="15" t="str">
        <f t="shared" si="19"/>
        <v/>
      </c>
      <c r="F174" t="str">
        <f t="shared" si="20"/>
        <v/>
      </c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8"/>
      <c r="AF174" s="4"/>
      <c r="AG174" s="4"/>
      <c r="AH174" s="1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8"/>
      <c r="AX174" s="8"/>
      <c r="AY174" s="8"/>
      <c r="AZ174" s="8"/>
      <c r="BA174" s="12"/>
      <c r="BB174" s="8"/>
      <c r="BC174" s="4"/>
      <c r="BD174" s="4"/>
      <c r="BE174" s="8"/>
      <c r="BF174" s="8"/>
      <c r="BG174" s="8"/>
      <c r="BH174" s="8"/>
      <c r="BI174" s="8"/>
      <c r="BJ174" s="8"/>
      <c r="BK174" s="8"/>
      <c r="BL174" s="4" t="str">
        <f t="shared" si="14"/>
        <v/>
      </c>
      <c r="BM174" s="8" t="str">
        <f t="shared" si="15"/>
        <v/>
      </c>
      <c r="BP174" t="str">
        <f>IF($BO174="","",IFERROR(VLOOKUP($BO174,'01_Warehouse_Ledger'!$A:$N,4,FALSE),""))</f>
        <v/>
      </c>
      <c r="BQ174" t="str">
        <f>IF($BO174="","",IFERROR(VLOOKUP($BO174,'01_Warehouse_Ledger'!$A:$N,5,FALSE),""))</f>
        <v/>
      </c>
      <c r="BR174" t="str">
        <f>IF($BO174="","",IFERROR(VLOOKUP($BO174,'01_Warehouse_Ledger'!$A:$N,13,FALSE),""))</f>
        <v/>
      </c>
    </row>
    <row r="175" spans="1:70" ht="15" customHeight="1">
      <c r="A175" s="8"/>
      <c r="B175" s="8"/>
      <c r="D175" s="15" t="str">
        <f t="shared" si="17"/>
        <v/>
      </c>
      <c r="E175" s="15" t="str">
        <f t="shared" si="19"/>
        <v/>
      </c>
      <c r="F175" t="str">
        <f t="shared" si="20"/>
        <v/>
      </c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8"/>
      <c r="AF175" s="4"/>
      <c r="AG175" s="4"/>
      <c r="AH175" s="1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8"/>
      <c r="AX175" s="8"/>
      <c r="AY175" s="8"/>
      <c r="AZ175" s="8"/>
      <c r="BA175" s="12"/>
      <c r="BB175" s="8"/>
      <c r="BC175" s="4"/>
      <c r="BD175" s="4"/>
      <c r="BE175" s="8"/>
      <c r="BF175" s="8"/>
      <c r="BG175" s="8"/>
      <c r="BH175" s="8"/>
      <c r="BI175" s="8"/>
      <c r="BJ175" s="8"/>
      <c r="BK175" s="8"/>
      <c r="BL175" s="4" t="str">
        <f t="shared" si="14"/>
        <v/>
      </c>
      <c r="BM175" s="8" t="str">
        <f t="shared" si="15"/>
        <v/>
      </c>
      <c r="BP175" t="str">
        <f>IF($BO175="","",IFERROR(VLOOKUP($BO175,'01_Warehouse_Ledger'!$A:$N,4,FALSE),""))</f>
        <v/>
      </c>
      <c r="BQ175" t="str">
        <f>IF($BO175="","",IFERROR(VLOOKUP($BO175,'01_Warehouse_Ledger'!$A:$N,5,FALSE),""))</f>
        <v/>
      </c>
      <c r="BR175" t="str">
        <f>IF($BO175="","",IFERROR(VLOOKUP($BO175,'01_Warehouse_Ledger'!$A:$N,13,FALSE),""))</f>
        <v/>
      </c>
    </row>
    <row r="176" spans="1:70" ht="15" customHeight="1">
      <c r="A176" s="8"/>
      <c r="B176" s="8"/>
      <c r="D176" s="15" t="str">
        <f t="shared" si="17"/>
        <v/>
      </c>
      <c r="E176" s="15" t="str">
        <f t="shared" si="19"/>
        <v/>
      </c>
      <c r="F176" t="str">
        <f t="shared" si="20"/>
        <v/>
      </c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8"/>
      <c r="AF176" s="4"/>
      <c r="AG176" s="4"/>
      <c r="AH176" s="1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8"/>
      <c r="AX176" s="8"/>
      <c r="AY176" s="8"/>
      <c r="AZ176" s="8"/>
      <c r="BA176" s="12"/>
      <c r="BB176" s="8"/>
      <c r="BC176" s="4"/>
      <c r="BD176" s="4"/>
      <c r="BE176" s="8"/>
      <c r="BF176" s="8"/>
      <c r="BG176" s="8"/>
      <c r="BH176" s="8"/>
      <c r="BI176" s="8"/>
      <c r="BJ176" s="8"/>
      <c r="BK176" s="8"/>
      <c r="BL176" s="4" t="str">
        <f t="shared" si="14"/>
        <v/>
      </c>
      <c r="BM176" s="8" t="str">
        <f t="shared" si="15"/>
        <v/>
      </c>
      <c r="BP176" t="str">
        <f>IF($BO176="","",IFERROR(VLOOKUP($BO176,'01_Warehouse_Ledger'!$A:$N,4,FALSE),""))</f>
        <v/>
      </c>
      <c r="BQ176" t="str">
        <f>IF($BO176="","",IFERROR(VLOOKUP($BO176,'01_Warehouse_Ledger'!$A:$N,5,FALSE),""))</f>
        <v/>
      </c>
      <c r="BR176" t="str">
        <f>IF($BO176="","",IFERROR(VLOOKUP($BO176,'01_Warehouse_Ledger'!$A:$N,13,FALSE),""))</f>
        <v/>
      </c>
    </row>
    <row r="177" spans="1:70" ht="15" customHeight="1">
      <c r="A177" s="8"/>
      <c r="B177" s="8"/>
      <c r="D177" s="15" t="str">
        <f t="shared" si="17"/>
        <v/>
      </c>
      <c r="E177" s="15" t="str">
        <f t="shared" si="19"/>
        <v/>
      </c>
      <c r="F177" t="str">
        <f t="shared" si="20"/>
        <v/>
      </c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8"/>
      <c r="AF177" s="4"/>
      <c r="AG177" s="4"/>
      <c r="AH177" s="1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8"/>
      <c r="AX177" s="8"/>
      <c r="AY177" s="8"/>
      <c r="AZ177" s="8"/>
      <c r="BA177" s="12"/>
      <c r="BB177" s="8"/>
      <c r="BC177" s="4"/>
      <c r="BD177" s="4"/>
      <c r="BE177" s="8"/>
      <c r="BF177" s="8"/>
      <c r="BG177" s="8"/>
      <c r="BH177" s="8"/>
      <c r="BI177" s="8"/>
      <c r="BJ177" s="8"/>
      <c r="BK177" s="8"/>
      <c r="BL177" s="4" t="str">
        <f t="shared" si="14"/>
        <v/>
      </c>
      <c r="BM177" s="8" t="str">
        <f t="shared" si="15"/>
        <v/>
      </c>
      <c r="BP177" t="str">
        <f>IF($BO177="","",IFERROR(VLOOKUP($BO177,'01_Warehouse_Ledger'!$A:$N,4,FALSE),""))</f>
        <v/>
      </c>
      <c r="BQ177" t="str">
        <f>IF($BO177="","",IFERROR(VLOOKUP($BO177,'01_Warehouse_Ledger'!$A:$N,5,FALSE),""))</f>
        <v/>
      </c>
      <c r="BR177" t="str">
        <f>IF($BO177="","",IFERROR(VLOOKUP($BO177,'01_Warehouse_Ledger'!$A:$N,13,FALSE),""))</f>
        <v/>
      </c>
    </row>
    <row r="178" spans="1:70" ht="15" customHeight="1">
      <c r="A178" s="8"/>
      <c r="B178" s="8"/>
      <c r="D178" s="15" t="str">
        <f t="shared" si="17"/>
        <v/>
      </c>
      <c r="E178" s="15" t="str">
        <f t="shared" si="19"/>
        <v/>
      </c>
      <c r="F178" t="str">
        <f t="shared" si="20"/>
        <v/>
      </c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8"/>
      <c r="AF178" s="4"/>
      <c r="AG178" s="4"/>
      <c r="AH178" s="1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8"/>
      <c r="AX178" s="8"/>
      <c r="AY178" s="8"/>
      <c r="AZ178" s="8"/>
      <c r="BA178" s="12"/>
      <c r="BB178" s="8"/>
      <c r="BC178" s="4"/>
      <c r="BD178" s="4"/>
      <c r="BE178" s="8"/>
      <c r="BF178" s="8"/>
      <c r="BG178" s="8"/>
      <c r="BH178" s="8"/>
      <c r="BI178" s="8"/>
      <c r="BJ178" s="8"/>
      <c r="BK178" s="8"/>
      <c r="BL178" s="4" t="str">
        <f t="shared" si="14"/>
        <v/>
      </c>
      <c r="BM178" s="8" t="str">
        <f t="shared" si="15"/>
        <v/>
      </c>
      <c r="BP178" t="str">
        <f>IF($BO178="","",IFERROR(VLOOKUP($BO178,'01_Warehouse_Ledger'!$A:$N,4,FALSE),""))</f>
        <v/>
      </c>
      <c r="BQ178" t="str">
        <f>IF($BO178="","",IFERROR(VLOOKUP($BO178,'01_Warehouse_Ledger'!$A:$N,5,FALSE),""))</f>
        <v/>
      </c>
      <c r="BR178" t="str">
        <f>IF($BO178="","",IFERROR(VLOOKUP($BO178,'01_Warehouse_Ledger'!$A:$N,13,FALSE),""))</f>
        <v/>
      </c>
    </row>
    <row r="179" spans="1:70" ht="15" customHeight="1">
      <c r="A179" s="8"/>
      <c r="B179" s="8"/>
      <c r="D179" s="15" t="str">
        <f t="shared" si="17"/>
        <v/>
      </c>
      <c r="E179" s="15" t="str">
        <f t="shared" si="19"/>
        <v/>
      </c>
      <c r="F179" t="str">
        <f t="shared" si="20"/>
        <v/>
      </c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8"/>
      <c r="AF179" s="4"/>
      <c r="AG179" s="4"/>
      <c r="AH179" s="1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8"/>
      <c r="AX179" s="8"/>
      <c r="AY179" s="8"/>
      <c r="AZ179" s="8"/>
      <c r="BA179" s="12"/>
      <c r="BB179" s="8"/>
      <c r="BC179" s="4"/>
      <c r="BD179" s="4"/>
      <c r="BE179" s="8"/>
      <c r="BF179" s="8"/>
      <c r="BG179" s="8"/>
      <c r="BH179" s="8"/>
      <c r="BI179" s="8"/>
      <c r="BJ179" s="8"/>
      <c r="BK179" s="8"/>
      <c r="BL179" s="4" t="str">
        <f t="shared" ref="BL179:BL242" si="21">IF($T179="","",IF((IF(AND($AW179&lt;&gt;"Yes",$AW179&lt;&gt;"N/A"),"Power Cable, ","")&amp;IF(AND($AX179&lt;&gt;"Yes",$AX179&lt;&gt;"N/A"),"Battery, ","")&amp;IF(AND($BE179&lt;&gt;"Yes",$BE179&lt;&gt;"N/A"),"Firmware Download, ","")&amp;IF(AND(OR($BE179="Yes",$BE179="N/A"),$BF179&lt;&gt;"Yes",$BF179&lt;&gt;"N/A"),"Firmware Install, ","")&amp;IF(AND($BJ179&lt;&gt;"Yes",$BJ179&lt;&gt;"N/A"),"Device ID, ","")&amp;IF(AND($BK179&lt;&gt;"Yes",$BK179&lt;&gt;"N/A"),"Epic Beans Relay, ",""))="","",LEFT(IF(AND($AW179&lt;&gt;"Yes",$AW179&lt;&gt;"N/A"),"Power Cable, ","")&amp;IF(AND($AX179&lt;&gt;"Yes",$AX179&lt;&gt;"N/A"),"Battery, ","")&amp;IF(AND($BE179&lt;&gt;"Yes",$BE179&lt;&gt;"N/A"),"Firmware Download, ","")&amp;IF(AND(OR($BE179="Yes",$BE179="N/A"),$BF179&lt;&gt;"Yes",$BF179&lt;&gt;"N/A"),"Firmware Install, ","")&amp;IF(AND($BJ179&lt;&gt;"Yes",$BJ179&lt;&gt;"N/A"),"Device ID, ","")&amp;IF(AND($BK179&lt;&gt;"Yes",$BK179&lt;&gt;"N/A"),"Epic Beans Relay, ",""),LEN(IF(AND($AW179&lt;&gt;"Yes",$AW179&lt;&gt;"N/A"),"Power Cable, ","")&amp;IF(AND($AX179&lt;&gt;"Yes",$AX179&lt;&gt;"N/A"),"Battery, ","")&amp;IF(AND($BE179&lt;&gt;"Yes",$BE179&lt;&gt;"N/A"),"Firmware Download, ","")&amp;IF(AND(OR($BE179="Yes",$BE179="N/A"),$BF179&lt;&gt;"Yes",$BF179&lt;&gt;"N/A"),"Firmware Install, ","")&amp;IF(AND($BJ179&lt;&gt;"Yes",$BJ179&lt;&gt;"N/A"),"Device ID, ","")&amp;IF(AND($BK179&lt;&gt;"Yes",$BK179&lt;&gt;"N/A"),"Epic Beans Relay, ",""))-2)))</f>
        <v/>
      </c>
      <c r="BM179" s="8" t="str">
        <f t="shared" ref="BM179:BM242" si="22">IF($T179="","",IF($BL179="","Yes","Blocked"))</f>
        <v/>
      </c>
      <c r="BP179" t="str">
        <f>IF($BO179="","",IFERROR(VLOOKUP($BO179,'01_Warehouse_Ledger'!$A:$N,4,FALSE),""))</f>
        <v/>
      </c>
      <c r="BQ179" t="str">
        <f>IF($BO179="","",IFERROR(VLOOKUP($BO179,'01_Warehouse_Ledger'!$A:$N,5,FALSE),""))</f>
        <v/>
      </c>
      <c r="BR179" t="str">
        <f>IF($BO179="","",IFERROR(VLOOKUP($BO179,'01_Warehouse_Ledger'!$A:$N,13,FALSE),""))</f>
        <v/>
      </c>
    </row>
    <row r="180" spans="1:70" ht="15" customHeight="1">
      <c r="A180" s="8"/>
      <c r="B180" s="8"/>
      <c r="D180" s="15" t="str">
        <f t="shared" si="17"/>
        <v/>
      </c>
      <c r="E180" s="15" t="str">
        <f t="shared" si="19"/>
        <v/>
      </c>
      <c r="F180" t="str">
        <f t="shared" si="20"/>
        <v/>
      </c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8"/>
      <c r="AF180" s="4"/>
      <c r="AG180" s="4"/>
      <c r="AH180" s="1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8"/>
      <c r="AX180" s="8"/>
      <c r="AY180" s="8"/>
      <c r="AZ180" s="8"/>
      <c r="BA180" s="12"/>
      <c r="BB180" s="8"/>
      <c r="BC180" s="4"/>
      <c r="BD180" s="4"/>
      <c r="BE180" s="8"/>
      <c r="BF180" s="8"/>
      <c r="BG180" s="8"/>
      <c r="BH180" s="8"/>
      <c r="BI180" s="8"/>
      <c r="BJ180" s="8"/>
      <c r="BK180" s="8"/>
      <c r="BL180" s="4" t="str">
        <f t="shared" si="21"/>
        <v/>
      </c>
      <c r="BM180" s="8" t="str">
        <f t="shared" si="22"/>
        <v/>
      </c>
      <c r="BP180" t="str">
        <f>IF($BO180="","",IFERROR(VLOOKUP($BO180,'01_Warehouse_Ledger'!$A:$N,4,FALSE),""))</f>
        <v/>
      </c>
      <c r="BQ180" t="str">
        <f>IF($BO180="","",IFERROR(VLOOKUP($BO180,'01_Warehouse_Ledger'!$A:$N,5,FALSE),""))</f>
        <v/>
      </c>
      <c r="BR180" t="str">
        <f>IF($BO180="","",IFERROR(VLOOKUP($BO180,'01_Warehouse_Ledger'!$A:$N,13,FALSE),""))</f>
        <v/>
      </c>
    </row>
    <row r="181" spans="1:70" ht="15" customHeight="1">
      <c r="A181" s="8"/>
      <c r="B181" s="8"/>
      <c r="D181" s="15" t="str">
        <f t="shared" si="17"/>
        <v/>
      </c>
      <c r="E181" s="15" t="str">
        <f t="shared" si="19"/>
        <v/>
      </c>
      <c r="F181" t="str">
        <f t="shared" si="20"/>
        <v/>
      </c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8"/>
      <c r="AF181" s="4"/>
      <c r="AG181" s="4"/>
      <c r="AH181" s="1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8"/>
      <c r="AX181" s="8"/>
      <c r="AY181" s="8"/>
      <c r="AZ181" s="8"/>
      <c r="BA181" s="12"/>
      <c r="BB181" s="8"/>
      <c r="BC181" s="4"/>
      <c r="BD181" s="4"/>
      <c r="BE181" s="8"/>
      <c r="BF181" s="8"/>
      <c r="BG181" s="8"/>
      <c r="BH181" s="8"/>
      <c r="BI181" s="8"/>
      <c r="BJ181" s="8"/>
      <c r="BK181" s="8"/>
      <c r="BL181" s="4" t="str">
        <f t="shared" si="21"/>
        <v/>
      </c>
      <c r="BM181" s="8" t="str">
        <f t="shared" si="22"/>
        <v/>
      </c>
      <c r="BP181" t="str">
        <f>IF($BO181="","",IFERROR(VLOOKUP($BO181,'01_Warehouse_Ledger'!$A:$N,4,FALSE),""))</f>
        <v/>
      </c>
      <c r="BQ181" t="str">
        <f>IF($BO181="","",IFERROR(VLOOKUP($BO181,'01_Warehouse_Ledger'!$A:$N,5,FALSE),""))</f>
        <v/>
      </c>
      <c r="BR181" t="str">
        <f>IF($BO181="","",IFERROR(VLOOKUP($BO181,'01_Warehouse_Ledger'!$A:$N,13,FALSE),""))</f>
        <v/>
      </c>
    </row>
    <row r="182" spans="1:70" ht="15" customHeight="1">
      <c r="A182" s="8"/>
      <c r="B182" s="8"/>
      <c r="D182" s="15" t="str">
        <f t="shared" si="17"/>
        <v/>
      </c>
      <c r="E182" s="15" t="str">
        <f t="shared" si="19"/>
        <v/>
      </c>
      <c r="F182" t="str">
        <f t="shared" si="20"/>
        <v/>
      </c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8"/>
      <c r="AF182" s="4"/>
      <c r="AG182" s="4"/>
      <c r="AH182" s="1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8"/>
      <c r="AX182" s="8"/>
      <c r="AY182" s="8"/>
      <c r="AZ182" s="8"/>
      <c r="BA182" s="12"/>
      <c r="BB182" s="8"/>
      <c r="BC182" s="4"/>
      <c r="BD182" s="4"/>
      <c r="BE182" s="8"/>
      <c r="BF182" s="8"/>
      <c r="BG182" s="8"/>
      <c r="BH182" s="8"/>
      <c r="BI182" s="8"/>
      <c r="BJ182" s="8"/>
      <c r="BK182" s="8"/>
      <c r="BL182" s="4" t="str">
        <f t="shared" si="21"/>
        <v/>
      </c>
      <c r="BM182" s="8" t="str">
        <f t="shared" si="22"/>
        <v/>
      </c>
      <c r="BP182" t="str">
        <f>IF($BO182="","",IFERROR(VLOOKUP($BO182,'01_Warehouse_Ledger'!$A:$N,4,FALSE),""))</f>
        <v/>
      </c>
      <c r="BQ182" t="str">
        <f>IF($BO182="","",IFERROR(VLOOKUP($BO182,'01_Warehouse_Ledger'!$A:$N,5,FALSE),""))</f>
        <v/>
      </c>
      <c r="BR182" t="str">
        <f>IF($BO182="","",IFERROR(VLOOKUP($BO182,'01_Warehouse_Ledger'!$A:$N,13,FALSE),""))</f>
        <v/>
      </c>
    </row>
    <row r="183" spans="1:70" ht="15" customHeight="1">
      <c r="A183" s="8"/>
      <c r="B183" s="8"/>
      <c r="D183" s="15" t="str">
        <f t="shared" si="17"/>
        <v/>
      </c>
      <c r="E183" s="15" t="str">
        <f t="shared" si="19"/>
        <v/>
      </c>
      <c r="F183" t="str">
        <f t="shared" si="20"/>
        <v/>
      </c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8"/>
      <c r="AF183" s="4"/>
      <c r="AG183" s="4"/>
      <c r="AH183" s="1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8"/>
      <c r="AX183" s="8"/>
      <c r="AY183" s="8"/>
      <c r="AZ183" s="8"/>
      <c r="BA183" s="12"/>
      <c r="BB183" s="8"/>
      <c r="BC183" s="4"/>
      <c r="BD183" s="4"/>
      <c r="BE183" s="8"/>
      <c r="BF183" s="8"/>
      <c r="BG183" s="8"/>
      <c r="BH183" s="8"/>
      <c r="BI183" s="8"/>
      <c r="BJ183" s="8"/>
      <c r="BK183" s="8"/>
      <c r="BL183" s="4" t="str">
        <f t="shared" si="21"/>
        <v/>
      </c>
      <c r="BM183" s="8" t="str">
        <f t="shared" si="22"/>
        <v/>
      </c>
      <c r="BP183" t="str">
        <f>IF($BO183="","",IFERROR(VLOOKUP($BO183,'01_Warehouse_Ledger'!$A:$N,4,FALSE),""))</f>
        <v/>
      </c>
      <c r="BQ183" t="str">
        <f>IF($BO183="","",IFERROR(VLOOKUP($BO183,'01_Warehouse_Ledger'!$A:$N,5,FALSE),""))</f>
        <v/>
      </c>
      <c r="BR183" t="str">
        <f>IF($BO183="","",IFERROR(VLOOKUP($BO183,'01_Warehouse_Ledger'!$A:$N,13,FALSE),""))</f>
        <v/>
      </c>
    </row>
    <row r="184" spans="1:70" ht="15" customHeight="1">
      <c r="A184" s="8"/>
      <c r="B184" s="8"/>
      <c r="D184" s="15" t="str">
        <f t="shared" si="17"/>
        <v/>
      </c>
      <c r="E184" s="15" t="str">
        <f t="shared" si="19"/>
        <v/>
      </c>
      <c r="F184" t="str">
        <f t="shared" si="20"/>
        <v/>
      </c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8"/>
      <c r="AF184" s="4"/>
      <c r="AG184" s="4"/>
      <c r="AH184" s="1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8"/>
      <c r="AX184" s="8"/>
      <c r="AY184" s="8"/>
      <c r="AZ184" s="8"/>
      <c r="BA184" s="12"/>
      <c r="BB184" s="8"/>
      <c r="BC184" s="4"/>
      <c r="BD184" s="4"/>
      <c r="BE184" s="8"/>
      <c r="BF184" s="8"/>
      <c r="BG184" s="8"/>
      <c r="BH184" s="8"/>
      <c r="BI184" s="8"/>
      <c r="BJ184" s="8"/>
      <c r="BK184" s="8"/>
      <c r="BL184" s="4" t="str">
        <f t="shared" si="21"/>
        <v/>
      </c>
      <c r="BM184" s="8" t="str">
        <f t="shared" si="22"/>
        <v/>
      </c>
      <c r="BP184" t="str">
        <f>IF($BO184="","",IFERROR(VLOOKUP($BO184,'01_Warehouse_Ledger'!$A:$N,4,FALSE),""))</f>
        <v/>
      </c>
      <c r="BQ184" t="str">
        <f>IF($BO184="","",IFERROR(VLOOKUP($BO184,'01_Warehouse_Ledger'!$A:$N,5,FALSE),""))</f>
        <v/>
      </c>
      <c r="BR184" t="str">
        <f>IF($BO184="","",IFERROR(VLOOKUP($BO184,'01_Warehouse_Ledger'!$A:$N,13,FALSE),""))</f>
        <v/>
      </c>
    </row>
    <row r="185" spans="1:70" ht="15" customHeight="1">
      <c r="A185" s="8"/>
      <c r="B185" s="8"/>
      <c r="D185" s="15" t="str">
        <f t="shared" si="17"/>
        <v/>
      </c>
      <c r="E185" s="15" t="str">
        <f t="shared" si="19"/>
        <v/>
      </c>
      <c r="F185" t="str">
        <f t="shared" si="20"/>
        <v/>
      </c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8"/>
      <c r="AF185" s="4"/>
      <c r="AG185" s="4"/>
      <c r="AH185" s="1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8"/>
      <c r="AX185" s="8"/>
      <c r="AY185" s="8"/>
      <c r="AZ185" s="8"/>
      <c r="BA185" s="12"/>
      <c r="BB185" s="8"/>
      <c r="BC185" s="4"/>
      <c r="BD185" s="4"/>
      <c r="BE185" s="8"/>
      <c r="BF185" s="8"/>
      <c r="BG185" s="8"/>
      <c r="BH185" s="8"/>
      <c r="BI185" s="8"/>
      <c r="BJ185" s="8"/>
      <c r="BK185" s="8"/>
      <c r="BL185" s="4" t="str">
        <f t="shared" si="21"/>
        <v/>
      </c>
      <c r="BM185" s="8" t="str">
        <f t="shared" si="22"/>
        <v/>
      </c>
      <c r="BP185" t="str">
        <f>IF($BO185="","",IFERROR(VLOOKUP($BO185,'01_Warehouse_Ledger'!$A:$N,4,FALSE),""))</f>
        <v/>
      </c>
      <c r="BQ185" t="str">
        <f>IF($BO185="","",IFERROR(VLOOKUP($BO185,'01_Warehouse_Ledger'!$A:$N,5,FALSE),""))</f>
        <v/>
      </c>
      <c r="BR185" t="str">
        <f>IF($BO185="","",IFERROR(VLOOKUP($BO185,'01_Warehouse_Ledger'!$A:$N,13,FALSE),""))</f>
        <v/>
      </c>
    </row>
    <row r="186" spans="1:70" ht="15" customHeight="1">
      <c r="A186" s="8"/>
      <c r="B186" s="8"/>
      <c r="D186" s="15" t="str">
        <f t="shared" si="17"/>
        <v/>
      </c>
      <c r="E186" s="15" t="str">
        <f t="shared" si="19"/>
        <v/>
      </c>
      <c r="F186" t="str">
        <f t="shared" si="20"/>
        <v/>
      </c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8"/>
      <c r="AF186" s="4"/>
      <c r="AG186" s="4"/>
      <c r="AH186" s="1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8"/>
      <c r="AX186" s="8"/>
      <c r="AY186" s="8"/>
      <c r="AZ186" s="8"/>
      <c r="BA186" s="12"/>
      <c r="BB186" s="8"/>
      <c r="BC186" s="4"/>
      <c r="BD186" s="4"/>
      <c r="BE186" s="8"/>
      <c r="BF186" s="8"/>
      <c r="BG186" s="8"/>
      <c r="BH186" s="8"/>
      <c r="BI186" s="8"/>
      <c r="BJ186" s="8"/>
      <c r="BK186" s="8"/>
      <c r="BL186" s="4" t="str">
        <f t="shared" si="21"/>
        <v/>
      </c>
      <c r="BM186" s="8" t="str">
        <f t="shared" si="22"/>
        <v/>
      </c>
      <c r="BP186" t="str">
        <f>IF($BO186="","",IFERROR(VLOOKUP($BO186,'01_Warehouse_Ledger'!$A:$N,4,FALSE),""))</f>
        <v/>
      </c>
      <c r="BQ186" t="str">
        <f>IF($BO186="","",IFERROR(VLOOKUP($BO186,'01_Warehouse_Ledger'!$A:$N,5,FALSE),""))</f>
        <v/>
      </c>
      <c r="BR186" t="str">
        <f>IF($BO186="","",IFERROR(VLOOKUP($BO186,'01_Warehouse_Ledger'!$A:$N,13,FALSE),""))</f>
        <v/>
      </c>
    </row>
    <row r="187" spans="1:70" ht="15" customHeight="1">
      <c r="A187" s="8"/>
      <c r="B187" s="8"/>
      <c r="D187" s="15" t="str">
        <f t="shared" si="17"/>
        <v/>
      </c>
      <c r="E187" s="15" t="str">
        <f t="shared" si="19"/>
        <v/>
      </c>
      <c r="F187" t="str">
        <f t="shared" si="20"/>
        <v/>
      </c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8"/>
      <c r="AF187" s="4"/>
      <c r="AG187" s="4"/>
      <c r="AH187" s="1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8"/>
      <c r="AX187" s="8"/>
      <c r="AY187" s="8"/>
      <c r="AZ187" s="8"/>
      <c r="BA187" s="12"/>
      <c r="BB187" s="8"/>
      <c r="BC187" s="4"/>
      <c r="BD187" s="4"/>
      <c r="BE187" s="8"/>
      <c r="BF187" s="8"/>
      <c r="BG187" s="8"/>
      <c r="BH187" s="8"/>
      <c r="BI187" s="8"/>
      <c r="BJ187" s="8"/>
      <c r="BK187" s="8"/>
      <c r="BL187" s="4" t="str">
        <f t="shared" si="21"/>
        <v/>
      </c>
      <c r="BM187" s="8" t="str">
        <f t="shared" si="22"/>
        <v/>
      </c>
      <c r="BP187" t="str">
        <f>IF($BO187="","",IFERROR(VLOOKUP($BO187,'01_Warehouse_Ledger'!$A:$N,4,FALSE),""))</f>
        <v/>
      </c>
      <c r="BQ187" t="str">
        <f>IF($BO187="","",IFERROR(VLOOKUP($BO187,'01_Warehouse_Ledger'!$A:$N,5,FALSE),""))</f>
        <v/>
      </c>
      <c r="BR187" t="str">
        <f>IF($BO187="","",IFERROR(VLOOKUP($BO187,'01_Warehouse_Ledger'!$A:$N,13,FALSE),""))</f>
        <v/>
      </c>
    </row>
    <row r="188" spans="1:70" ht="15" customHeight="1">
      <c r="A188" s="8"/>
      <c r="B188" s="8"/>
      <c r="D188" s="15" t="str">
        <f t="shared" si="17"/>
        <v/>
      </c>
      <c r="E188" s="15" t="str">
        <f t="shared" si="19"/>
        <v/>
      </c>
      <c r="F188" t="str">
        <f t="shared" si="20"/>
        <v/>
      </c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8"/>
      <c r="AF188" s="4"/>
      <c r="AG188" s="4"/>
      <c r="AH188" s="1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8"/>
      <c r="AX188" s="8"/>
      <c r="AY188" s="8"/>
      <c r="AZ188" s="8"/>
      <c r="BA188" s="12"/>
      <c r="BB188" s="8"/>
      <c r="BC188" s="4"/>
      <c r="BD188" s="4"/>
      <c r="BE188" s="8"/>
      <c r="BF188" s="8"/>
      <c r="BG188" s="8"/>
      <c r="BH188" s="8"/>
      <c r="BI188" s="8"/>
      <c r="BJ188" s="8"/>
      <c r="BK188" s="8"/>
      <c r="BL188" s="4" t="str">
        <f t="shared" si="21"/>
        <v/>
      </c>
      <c r="BM188" s="8" t="str">
        <f t="shared" si="22"/>
        <v/>
      </c>
      <c r="BP188" t="str">
        <f>IF($BO188="","",IFERROR(VLOOKUP($BO188,'01_Warehouse_Ledger'!$A:$N,4,FALSE),""))</f>
        <v/>
      </c>
      <c r="BQ188" t="str">
        <f>IF($BO188="","",IFERROR(VLOOKUP($BO188,'01_Warehouse_Ledger'!$A:$N,5,FALSE),""))</f>
        <v/>
      </c>
      <c r="BR188" t="str">
        <f>IF($BO188="","",IFERROR(VLOOKUP($BO188,'01_Warehouse_Ledger'!$A:$N,13,FALSE),""))</f>
        <v/>
      </c>
    </row>
    <row r="189" spans="1:70" ht="15" customHeight="1">
      <c r="A189" s="8"/>
      <c r="B189" s="8"/>
      <c r="D189" s="15" t="str">
        <f t="shared" si="17"/>
        <v/>
      </c>
      <c r="E189" s="15" t="str">
        <f t="shared" si="19"/>
        <v/>
      </c>
      <c r="F189" t="str">
        <f t="shared" si="20"/>
        <v/>
      </c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8"/>
      <c r="AF189" s="4"/>
      <c r="AG189" s="4"/>
      <c r="AH189" s="1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8"/>
      <c r="AX189" s="8"/>
      <c r="AY189" s="8"/>
      <c r="AZ189" s="8"/>
      <c r="BA189" s="12"/>
      <c r="BB189" s="8"/>
      <c r="BC189" s="4"/>
      <c r="BD189" s="4"/>
      <c r="BE189" s="8"/>
      <c r="BF189" s="8"/>
      <c r="BG189" s="8"/>
      <c r="BH189" s="8"/>
      <c r="BI189" s="8"/>
      <c r="BJ189" s="8"/>
      <c r="BK189" s="8"/>
      <c r="BL189" s="4" t="str">
        <f t="shared" si="21"/>
        <v/>
      </c>
      <c r="BM189" s="8" t="str">
        <f t="shared" si="22"/>
        <v/>
      </c>
      <c r="BP189" t="str">
        <f>IF($BO189="","",IFERROR(VLOOKUP($BO189,'01_Warehouse_Ledger'!$A:$N,4,FALSE),""))</f>
        <v/>
      </c>
      <c r="BQ189" t="str">
        <f>IF($BO189="","",IFERROR(VLOOKUP($BO189,'01_Warehouse_Ledger'!$A:$N,5,FALSE),""))</f>
        <v/>
      </c>
      <c r="BR189" t="str">
        <f>IF($BO189="","",IFERROR(VLOOKUP($BO189,'01_Warehouse_Ledger'!$A:$N,13,FALSE),""))</f>
        <v/>
      </c>
    </row>
    <row r="190" spans="1:70" ht="15" customHeight="1">
      <c r="A190" s="8"/>
      <c r="B190" s="8"/>
      <c r="D190" s="15" t="str">
        <f t="shared" si="17"/>
        <v/>
      </c>
      <c r="E190" s="15" t="str">
        <f t="shared" si="19"/>
        <v/>
      </c>
      <c r="F190" t="str">
        <f t="shared" si="20"/>
        <v/>
      </c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8"/>
      <c r="AF190" s="4"/>
      <c r="AG190" s="4"/>
      <c r="AH190" s="1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8"/>
      <c r="AX190" s="8"/>
      <c r="AY190" s="8"/>
      <c r="AZ190" s="8"/>
      <c r="BA190" s="12"/>
      <c r="BB190" s="8"/>
      <c r="BC190" s="4"/>
      <c r="BD190" s="4"/>
      <c r="BE190" s="8"/>
      <c r="BF190" s="8"/>
      <c r="BG190" s="8"/>
      <c r="BH190" s="8"/>
      <c r="BI190" s="8"/>
      <c r="BJ190" s="8"/>
      <c r="BK190" s="8"/>
      <c r="BL190" s="4" t="str">
        <f t="shared" si="21"/>
        <v/>
      </c>
      <c r="BM190" s="8" t="str">
        <f t="shared" si="22"/>
        <v/>
      </c>
      <c r="BP190" t="str">
        <f>IF($BO190="","",IFERROR(VLOOKUP($BO190,'01_Warehouse_Ledger'!$A:$N,4,FALSE),""))</f>
        <v/>
      </c>
      <c r="BQ190" t="str">
        <f>IF($BO190="","",IFERROR(VLOOKUP($BO190,'01_Warehouse_Ledger'!$A:$N,5,FALSE),""))</f>
        <v/>
      </c>
      <c r="BR190" t="str">
        <f>IF($BO190="","",IFERROR(VLOOKUP($BO190,'01_Warehouse_Ledger'!$A:$N,13,FALSE),""))</f>
        <v/>
      </c>
    </row>
    <row r="191" spans="1:70" ht="15" customHeight="1">
      <c r="A191" s="8"/>
      <c r="B191" s="8"/>
      <c r="D191" s="15" t="str">
        <f t="shared" si="17"/>
        <v/>
      </c>
      <c r="E191" s="15" t="str">
        <f t="shared" si="19"/>
        <v/>
      </c>
      <c r="F191" t="str">
        <f t="shared" si="20"/>
        <v/>
      </c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8"/>
      <c r="AF191" s="4"/>
      <c r="AG191" s="4"/>
      <c r="AH191" s="1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8"/>
      <c r="AX191" s="8"/>
      <c r="AY191" s="8"/>
      <c r="AZ191" s="8"/>
      <c r="BA191" s="12"/>
      <c r="BB191" s="8"/>
      <c r="BC191" s="4"/>
      <c r="BD191" s="4"/>
      <c r="BE191" s="8"/>
      <c r="BF191" s="8"/>
      <c r="BG191" s="8"/>
      <c r="BH191" s="8"/>
      <c r="BI191" s="8"/>
      <c r="BJ191" s="8"/>
      <c r="BK191" s="8"/>
      <c r="BL191" s="4" t="str">
        <f t="shared" si="21"/>
        <v/>
      </c>
      <c r="BM191" s="8" t="str">
        <f t="shared" si="22"/>
        <v/>
      </c>
      <c r="BP191" t="str">
        <f>IF($BO191="","",IFERROR(VLOOKUP($BO191,'01_Warehouse_Ledger'!$A:$N,4,FALSE),""))</f>
        <v/>
      </c>
      <c r="BQ191" t="str">
        <f>IF($BO191="","",IFERROR(VLOOKUP($BO191,'01_Warehouse_Ledger'!$A:$N,5,FALSE),""))</f>
        <v/>
      </c>
      <c r="BR191" t="str">
        <f>IF($BO191="","",IFERROR(VLOOKUP($BO191,'01_Warehouse_Ledger'!$A:$N,13,FALSE),""))</f>
        <v/>
      </c>
    </row>
    <row r="192" spans="1:70" ht="15" customHeight="1">
      <c r="A192" s="8"/>
      <c r="B192" s="8"/>
      <c r="D192" s="15" t="str">
        <f t="shared" si="17"/>
        <v/>
      </c>
      <c r="E192" s="15" t="str">
        <f t="shared" si="19"/>
        <v/>
      </c>
      <c r="F192" t="str">
        <f t="shared" si="20"/>
        <v/>
      </c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8"/>
      <c r="AF192" s="4"/>
      <c r="AG192" s="4"/>
      <c r="AH192" s="1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8"/>
      <c r="AX192" s="8"/>
      <c r="AY192" s="8"/>
      <c r="AZ192" s="8"/>
      <c r="BA192" s="12"/>
      <c r="BB192" s="8"/>
      <c r="BC192" s="4"/>
      <c r="BD192" s="4"/>
      <c r="BE192" s="8"/>
      <c r="BF192" s="8"/>
      <c r="BG192" s="8"/>
      <c r="BH192" s="8"/>
      <c r="BI192" s="8"/>
      <c r="BJ192" s="8"/>
      <c r="BK192" s="8"/>
      <c r="BL192" s="4" t="str">
        <f t="shared" si="21"/>
        <v/>
      </c>
      <c r="BM192" s="8" t="str">
        <f t="shared" si="22"/>
        <v/>
      </c>
      <c r="BP192" t="str">
        <f>IF($BO192="","",IFERROR(VLOOKUP($BO192,'01_Warehouse_Ledger'!$A:$N,4,FALSE),""))</f>
        <v/>
      </c>
      <c r="BQ192" t="str">
        <f>IF($BO192="","",IFERROR(VLOOKUP($BO192,'01_Warehouse_Ledger'!$A:$N,5,FALSE),""))</f>
        <v/>
      </c>
      <c r="BR192" t="str">
        <f>IF($BO192="","",IFERROR(VLOOKUP($BO192,'01_Warehouse_Ledger'!$A:$N,13,FALSE),""))</f>
        <v/>
      </c>
    </row>
    <row r="193" spans="1:70" ht="15" customHeight="1">
      <c r="A193" s="8"/>
      <c r="B193" s="8"/>
      <c r="D193" s="15" t="str">
        <f t="shared" si="17"/>
        <v/>
      </c>
      <c r="E193" s="15" t="str">
        <f t="shared" si="19"/>
        <v/>
      </c>
      <c r="F193" t="str">
        <f t="shared" si="20"/>
        <v/>
      </c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8"/>
      <c r="AF193" s="4"/>
      <c r="AG193" s="4"/>
      <c r="AH193" s="1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8"/>
      <c r="AX193" s="8"/>
      <c r="AY193" s="8"/>
      <c r="AZ193" s="8"/>
      <c r="BA193" s="12"/>
      <c r="BB193" s="8"/>
      <c r="BC193" s="4"/>
      <c r="BD193" s="4"/>
      <c r="BE193" s="8"/>
      <c r="BF193" s="8"/>
      <c r="BG193" s="8"/>
      <c r="BH193" s="8"/>
      <c r="BI193" s="8"/>
      <c r="BJ193" s="8"/>
      <c r="BK193" s="8"/>
      <c r="BL193" s="4" t="str">
        <f t="shared" si="21"/>
        <v/>
      </c>
      <c r="BM193" s="8" t="str">
        <f t="shared" si="22"/>
        <v/>
      </c>
      <c r="BP193" t="str">
        <f>IF($BO193="","",IFERROR(VLOOKUP($BO193,'01_Warehouse_Ledger'!$A:$N,4,FALSE),""))</f>
        <v/>
      </c>
      <c r="BQ193" t="str">
        <f>IF($BO193="","",IFERROR(VLOOKUP($BO193,'01_Warehouse_Ledger'!$A:$N,5,FALSE),""))</f>
        <v/>
      </c>
      <c r="BR193" t="str">
        <f>IF($BO193="","",IFERROR(VLOOKUP($BO193,'01_Warehouse_Ledger'!$A:$N,13,FALSE),""))</f>
        <v/>
      </c>
    </row>
    <row r="194" spans="1:70" ht="15" customHeight="1">
      <c r="A194" s="8"/>
      <c r="B194" s="8"/>
      <c r="D194" s="15" t="str">
        <f t="shared" si="17"/>
        <v/>
      </c>
      <c r="E194" s="15" t="str">
        <f t="shared" si="19"/>
        <v/>
      </c>
      <c r="F194" t="str">
        <f t="shared" si="20"/>
        <v/>
      </c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8"/>
      <c r="AF194" s="4"/>
      <c r="AG194" s="4"/>
      <c r="AH194" s="1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8"/>
      <c r="AX194" s="8"/>
      <c r="AY194" s="8"/>
      <c r="AZ194" s="8"/>
      <c r="BA194" s="12"/>
      <c r="BB194" s="8"/>
      <c r="BC194" s="4"/>
      <c r="BD194" s="4"/>
      <c r="BE194" s="8"/>
      <c r="BF194" s="8"/>
      <c r="BG194" s="8"/>
      <c r="BH194" s="8"/>
      <c r="BI194" s="8"/>
      <c r="BJ194" s="8"/>
      <c r="BK194" s="8"/>
      <c r="BL194" s="4" t="str">
        <f t="shared" si="21"/>
        <v/>
      </c>
      <c r="BM194" s="8" t="str">
        <f t="shared" si="22"/>
        <v/>
      </c>
      <c r="BP194" t="str">
        <f>IF($BO194="","",IFERROR(VLOOKUP($BO194,'01_Warehouse_Ledger'!$A:$N,4,FALSE),""))</f>
        <v/>
      </c>
      <c r="BQ194" t="str">
        <f>IF($BO194="","",IFERROR(VLOOKUP($BO194,'01_Warehouse_Ledger'!$A:$N,5,FALSE),""))</f>
        <v/>
      </c>
      <c r="BR194" t="str">
        <f>IF($BO194="","",IFERROR(VLOOKUP($BO194,'01_Warehouse_Ledger'!$A:$N,13,FALSE),""))</f>
        <v/>
      </c>
    </row>
    <row r="195" spans="1:70" ht="15" customHeight="1">
      <c r="A195" s="8"/>
      <c r="B195" s="8"/>
      <c r="D195" s="15" t="str">
        <f t="shared" si="17"/>
        <v/>
      </c>
      <c r="E195" s="15" t="str">
        <f t="shared" si="19"/>
        <v/>
      </c>
      <c r="F195" t="str">
        <f t="shared" si="20"/>
        <v/>
      </c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8"/>
      <c r="AF195" s="4"/>
      <c r="AG195" s="4"/>
      <c r="AH195" s="1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8"/>
      <c r="AX195" s="8"/>
      <c r="AY195" s="8"/>
      <c r="AZ195" s="8"/>
      <c r="BA195" s="12"/>
      <c r="BB195" s="8"/>
      <c r="BC195" s="4"/>
      <c r="BD195" s="4"/>
      <c r="BE195" s="8"/>
      <c r="BF195" s="8"/>
      <c r="BG195" s="8"/>
      <c r="BH195" s="8"/>
      <c r="BI195" s="8"/>
      <c r="BJ195" s="8"/>
      <c r="BK195" s="8"/>
      <c r="BL195" s="4" t="str">
        <f t="shared" si="21"/>
        <v/>
      </c>
      <c r="BM195" s="8" t="str">
        <f t="shared" si="22"/>
        <v/>
      </c>
      <c r="BP195" t="str">
        <f>IF($BO195="","",IFERROR(VLOOKUP($BO195,'01_Warehouse_Ledger'!$A:$N,4,FALSE),""))</f>
        <v/>
      </c>
      <c r="BQ195" t="str">
        <f>IF($BO195="","",IFERROR(VLOOKUP($BO195,'01_Warehouse_Ledger'!$A:$N,5,FALSE),""))</f>
        <v/>
      </c>
      <c r="BR195" t="str">
        <f>IF($BO195="","",IFERROR(VLOOKUP($BO195,'01_Warehouse_Ledger'!$A:$N,13,FALSE),""))</f>
        <v/>
      </c>
    </row>
    <row r="196" spans="1:70" ht="15" customHeight="1">
      <c r="A196" s="8"/>
      <c r="B196" s="8"/>
      <c r="D196" s="15" t="str">
        <f t="shared" si="17"/>
        <v/>
      </c>
      <c r="E196" s="15" t="str">
        <f t="shared" si="19"/>
        <v/>
      </c>
      <c r="F196" t="str">
        <f t="shared" si="20"/>
        <v/>
      </c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8"/>
      <c r="AF196" s="4"/>
      <c r="AG196" s="4"/>
      <c r="AH196" s="1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8"/>
      <c r="AX196" s="8"/>
      <c r="AY196" s="8"/>
      <c r="AZ196" s="8"/>
      <c r="BA196" s="12"/>
      <c r="BB196" s="8"/>
      <c r="BC196" s="4"/>
      <c r="BD196" s="4"/>
      <c r="BE196" s="8"/>
      <c r="BF196" s="8"/>
      <c r="BG196" s="8"/>
      <c r="BH196" s="8"/>
      <c r="BI196" s="8"/>
      <c r="BJ196" s="8"/>
      <c r="BK196" s="8"/>
      <c r="BL196" s="4" t="str">
        <f t="shared" si="21"/>
        <v/>
      </c>
      <c r="BM196" s="8" t="str">
        <f t="shared" si="22"/>
        <v/>
      </c>
      <c r="BP196" t="str">
        <f>IF($BO196="","",IFERROR(VLOOKUP($BO196,'01_Warehouse_Ledger'!$A:$N,4,FALSE),""))</f>
        <v/>
      </c>
      <c r="BQ196" t="str">
        <f>IF($BO196="","",IFERROR(VLOOKUP($BO196,'01_Warehouse_Ledger'!$A:$N,5,FALSE),""))</f>
        <v/>
      </c>
      <c r="BR196" t="str">
        <f>IF($BO196="","",IFERROR(VLOOKUP($BO196,'01_Warehouse_Ledger'!$A:$N,13,FALSE),""))</f>
        <v/>
      </c>
    </row>
    <row r="197" spans="1:70" ht="15" customHeight="1">
      <c r="A197" s="8"/>
      <c r="B197" s="8"/>
      <c r="D197" s="15" t="str">
        <f t="shared" si="17"/>
        <v/>
      </c>
      <c r="E197" s="15" t="str">
        <f t="shared" si="19"/>
        <v/>
      </c>
      <c r="F197" t="str">
        <f t="shared" si="20"/>
        <v/>
      </c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8"/>
      <c r="AF197" s="4"/>
      <c r="AG197" s="4"/>
      <c r="AH197" s="1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8"/>
      <c r="AX197" s="8"/>
      <c r="AY197" s="8"/>
      <c r="AZ197" s="8"/>
      <c r="BA197" s="12"/>
      <c r="BB197" s="8"/>
      <c r="BC197" s="4"/>
      <c r="BD197" s="4"/>
      <c r="BE197" s="8"/>
      <c r="BF197" s="8"/>
      <c r="BG197" s="8"/>
      <c r="BH197" s="8"/>
      <c r="BI197" s="8"/>
      <c r="BJ197" s="8"/>
      <c r="BK197" s="8"/>
      <c r="BL197" s="4" t="str">
        <f t="shared" si="21"/>
        <v/>
      </c>
      <c r="BM197" s="8" t="str">
        <f t="shared" si="22"/>
        <v/>
      </c>
      <c r="BP197" t="str">
        <f>IF($BO197="","",IFERROR(VLOOKUP($BO197,'01_Warehouse_Ledger'!$A:$N,4,FALSE),""))</f>
        <v/>
      </c>
      <c r="BQ197" t="str">
        <f>IF($BO197="","",IFERROR(VLOOKUP($BO197,'01_Warehouse_Ledger'!$A:$N,5,FALSE),""))</f>
        <v/>
      </c>
      <c r="BR197" t="str">
        <f>IF($BO197="","",IFERROR(VLOOKUP($BO197,'01_Warehouse_Ledger'!$A:$N,13,FALSE),""))</f>
        <v/>
      </c>
    </row>
    <row r="198" spans="1:70" ht="15" customHeight="1">
      <c r="A198" s="8"/>
      <c r="B198" s="8"/>
      <c r="D198" s="15" t="str">
        <f t="shared" si="17"/>
        <v/>
      </c>
      <c r="E198" s="15" t="str">
        <f t="shared" si="19"/>
        <v/>
      </c>
      <c r="F198" t="str">
        <f t="shared" si="20"/>
        <v/>
      </c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8"/>
      <c r="AF198" s="4"/>
      <c r="AG198" s="4"/>
      <c r="AH198" s="1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8"/>
      <c r="AX198" s="8"/>
      <c r="AY198" s="8"/>
      <c r="AZ198" s="8"/>
      <c r="BA198" s="12"/>
      <c r="BB198" s="8"/>
      <c r="BC198" s="4"/>
      <c r="BD198" s="4"/>
      <c r="BE198" s="8"/>
      <c r="BF198" s="8"/>
      <c r="BG198" s="8"/>
      <c r="BH198" s="8"/>
      <c r="BI198" s="8"/>
      <c r="BJ198" s="8"/>
      <c r="BK198" s="8"/>
      <c r="BL198" s="4" t="str">
        <f t="shared" si="21"/>
        <v/>
      </c>
      <c r="BM198" s="8" t="str">
        <f t="shared" si="22"/>
        <v/>
      </c>
      <c r="BP198" t="str">
        <f>IF($BO198="","",IFERROR(VLOOKUP($BO198,'01_Warehouse_Ledger'!$A:$N,4,FALSE),""))</f>
        <v/>
      </c>
      <c r="BQ198" t="str">
        <f>IF($BO198="","",IFERROR(VLOOKUP($BO198,'01_Warehouse_Ledger'!$A:$N,5,FALSE),""))</f>
        <v/>
      </c>
      <c r="BR198" t="str">
        <f>IF($BO198="","",IFERROR(VLOOKUP($BO198,'01_Warehouse_Ledger'!$A:$N,13,FALSE),""))</f>
        <v/>
      </c>
    </row>
    <row r="199" spans="1:70" ht="15" customHeight="1">
      <c r="A199" s="8"/>
      <c r="B199" s="8"/>
      <c r="D199" s="15" t="str">
        <f t="shared" si="17"/>
        <v/>
      </c>
      <c r="E199" s="15" t="str">
        <f t="shared" si="19"/>
        <v/>
      </c>
      <c r="F199" t="str">
        <f t="shared" si="20"/>
        <v/>
      </c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8"/>
      <c r="AF199" s="4"/>
      <c r="AG199" s="4"/>
      <c r="AH199" s="1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8"/>
      <c r="AX199" s="8"/>
      <c r="AY199" s="8"/>
      <c r="AZ199" s="8"/>
      <c r="BA199" s="12"/>
      <c r="BB199" s="8"/>
      <c r="BC199" s="4"/>
      <c r="BD199" s="4"/>
      <c r="BE199" s="8"/>
      <c r="BF199" s="8"/>
      <c r="BG199" s="8"/>
      <c r="BH199" s="8"/>
      <c r="BI199" s="8"/>
      <c r="BJ199" s="8"/>
      <c r="BK199" s="8"/>
      <c r="BL199" s="4" t="str">
        <f t="shared" si="21"/>
        <v/>
      </c>
      <c r="BM199" s="8" t="str">
        <f t="shared" si="22"/>
        <v/>
      </c>
      <c r="BP199" t="str">
        <f>IF($BO199="","",IFERROR(VLOOKUP($BO199,'01_Warehouse_Ledger'!$A:$N,4,FALSE),""))</f>
        <v/>
      </c>
      <c r="BQ199" t="str">
        <f>IF($BO199="","",IFERROR(VLOOKUP($BO199,'01_Warehouse_Ledger'!$A:$N,5,FALSE),""))</f>
        <v/>
      </c>
      <c r="BR199" t="str">
        <f>IF($BO199="","",IFERROR(VLOOKUP($BO199,'01_Warehouse_Ledger'!$A:$N,13,FALSE),""))</f>
        <v/>
      </c>
    </row>
    <row r="200" spans="1:70" ht="15" customHeight="1">
      <c r="A200" s="8"/>
      <c r="B200" s="8"/>
      <c r="D200" s="15" t="str">
        <f t="shared" si="17"/>
        <v/>
      </c>
      <c r="E200" s="15" t="str">
        <f t="shared" si="19"/>
        <v/>
      </c>
      <c r="F200" t="str">
        <f t="shared" si="20"/>
        <v/>
      </c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8"/>
      <c r="AF200" s="4"/>
      <c r="AG200" s="4"/>
      <c r="AH200" s="1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8"/>
      <c r="AX200" s="8"/>
      <c r="AY200" s="8"/>
      <c r="AZ200" s="8"/>
      <c r="BA200" s="12"/>
      <c r="BB200" s="8"/>
      <c r="BC200" s="4"/>
      <c r="BD200" s="4"/>
      <c r="BE200" s="8"/>
      <c r="BF200" s="8"/>
      <c r="BG200" s="8"/>
      <c r="BH200" s="8"/>
      <c r="BI200" s="8"/>
      <c r="BJ200" s="8"/>
      <c r="BK200" s="8"/>
      <c r="BL200" s="4" t="str">
        <f t="shared" si="21"/>
        <v/>
      </c>
      <c r="BM200" s="8" t="str">
        <f t="shared" si="22"/>
        <v/>
      </c>
      <c r="BP200" t="str">
        <f>IF($BO200="","",IFERROR(VLOOKUP($BO200,'01_Warehouse_Ledger'!$A:$N,4,FALSE),""))</f>
        <v/>
      </c>
      <c r="BQ200" t="str">
        <f>IF($BO200="","",IFERROR(VLOOKUP($BO200,'01_Warehouse_Ledger'!$A:$N,5,FALSE),""))</f>
        <v/>
      </c>
      <c r="BR200" t="str">
        <f>IF($BO200="","",IFERROR(VLOOKUP($BO200,'01_Warehouse_Ledger'!$A:$N,13,FALSE),""))</f>
        <v/>
      </c>
    </row>
    <row r="201" spans="1:70" ht="15" customHeight="1">
      <c r="A201" s="8"/>
      <c r="B201" s="8"/>
      <c r="D201" s="15" t="str">
        <f t="shared" si="17"/>
        <v/>
      </c>
      <c r="E201" s="15" t="str">
        <f t="shared" si="19"/>
        <v/>
      </c>
      <c r="F201" t="str">
        <f t="shared" si="20"/>
        <v/>
      </c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8"/>
      <c r="AF201" s="4"/>
      <c r="AG201" s="4"/>
      <c r="AH201" s="1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8"/>
      <c r="AX201" s="8"/>
      <c r="AY201" s="8"/>
      <c r="AZ201" s="8"/>
      <c r="BA201" s="12"/>
      <c r="BB201" s="8"/>
      <c r="BC201" s="4"/>
      <c r="BD201" s="4"/>
      <c r="BE201" s="8"/>
      <c r="BF201" s="8"/>
      <c r="BG201" s="8"/>
      <c r="BH201" s="8"/>
      <c r="BI201" s="8"/>
      <c r="BJ201" s="8"/>
      <c r="BK201" s="8"/>
      <c r="BL201" s="4" t="str">
        <f t="shared" si="21"/>
        <v/>
      </c>
      <c r="BM201" s="8" t="str">
        <f t="shared" si="22"/>
        <v/>
      </c>
      <c r="BP201" t="str">
        <f>IF($BO201="","",IFERROR(VLOOKUP($BO201,'01_Warehouse_Ledger'!$A:$N,4,FALSE),""))</f>
        <v/>
      </c>
      <c r="BQ201" t="str">
        <f>IF($BO201="","",IFERROR(VLOOKUP($BO201,'01_Warehouse_Ledger'!$A:$N,5,FALSE),""))</f>
        <v/>
      </c>
      <c r="BR201" t="str">
        <f>IF($BO201="","",IFERROR(VLOOKUP($BO201,'01_Warehouse_Ledger'!$A:$N,13,FALSE),""))</f>
        <v/>
      </c>
    </row>
    <row r="202" spans="1:70" ht="15" customHeight="1">
      <c r="A202" s="8"/>
      <c r="B202" s="8"/>
      <c r="D202" s="15" t="str">
        <f t="shared" si="17"/>
        <v/>
      </c>
      <c r="E202" s="15" t="str">
        <f t="shared" si="19"/>
        <v/>
      </c>
      <c r="F202" t="str">
        <f t="shared" si="20"/>
        <v/>
      </c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8"/>
      <c r="AF202" s="4"/>
      <c r="AG202" s="4"/>
      <c r="AH202" s="1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8"/>
      <c r="AX202" s="8"/>
      <c r="AY202" s="8"/>
      <c r="AZ202" s="8"/>
      <c r="BA202" s="12"/>
      <c r="BB202" s="8"/>
      <c r="BC202" s="4"/>
      <c r="BD202" s="4"/>
      <c r="BE202" s="8"/>
      <c r="BF202" s="8"/>
      <c r="BG202" s="8"/>
      <c r="BH202" s="8"/>
      <c r="BI202" s="8"/>
      <c r="BJ202" s="8"/>
      <c r="BK202" s="8"/>
      <c r="BL202" s="4" t="str">
        <f t="shared" si="21"/>
        <v/>
      </c>
      <c r="BM202" s="8" t="str">
        <f t="shared" si="22"/>
        <v/>
      </c>
      <c r="BP202" t="str">
        <f>IF($BO202="","",IFERROR(VLOOKUP($BO202,'01_Warehouse_Ledger'!$A:$N,4,FALSE),""))</f>
        <v/>
      </c>
      <c r="BQ202" t="str">
        <f>IF($BO202="","",IFERROR(VLOOKUP($BO202,'01_Warehouse_Ledger'!$A:$N,5,FALSE),""))</f>
        <v/>
      </c>
      <c r="BR202" t="str">
        <f>IF($BO202="","",IFERROR(VLOOKUP($BO202,'01_Warehouse_Ledger'!$A:$N,13,FALSE),""))</f>
        <v/>
      </c>
    </row>
    <row r="203" spans="1:70" ht="15" customHeight="1">
      <c r="A203" s="8"/>
      <c r="B203" s="8"/>
      <c r="D203" s="15" t="str">
        <f t="shared" ref="D203:D266" si="23">IF($B203&lt;&gt;"Yes","",IF($C203="No","Yes",IF($C203="Yes","No","")))</f>
        <v/>
      </c>
      <c r="E203" s="15" t="str">
        <f t="shared" si="19"/>
        <v/>
      </c>
      <c r="F203" t="str">
        <f t="shared" si="20"/>
        <v/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8"/>
      <c r="AF203" s="4"/>
      <c r="AG203" s="4"/>
      <c r="AH203" s="1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8"/>
      <c r="AX203" s="8"/>
      <c r="AY203" s="8"/>
      <c r="AZ203" s="8"/>
      <c r="BA203" s="12"/>
      <c r="BB203" s="8"/>
      <c r="BC203" s="4"/>
      <c r="BD203" s="4"/>
      <c r="BE203" s="8"/>
      <c r="BF203" s="8"/>
      <c r="BG203" s="8"/>
      <c r="BH203" s="8"/>
      <c r="BI203" s="8"/>
      <c r="BJ203" s="8"/>
      <c r="BK203" s="8"/>
      <c r="BL203" s="4" t="str">
        <f t="shared" si="21"/>
        <v/>
      </c>
      <c r="BM203" s="8" t="str">
        <f t="shared" si="22"/>
        <v/>
      </c>
      <c r="BP203" t="str">
        <f>IF($BO203="","",IFERROR(VLOOKUP($BO203,'01_Warehouse_Ledger'!$A:$N,4,FALSE),""))</f>
        <v/>
      </c>
      <c r="BQ203" t="str">
        <f>IF($BO203="","",IFERROR(VLOOKUP($BO203,'01_Warehouse_Ledger'!$A:$N,5,FALSE),""))</f>
        <v/>
      </c>
      <c r="BR203" t="str">
        <f>IF($BO203="","",IFERROR(VLOOKUP($BO203,'01_Warehouse_Ledger'!$A:$N,13,FALSE),""))</f>
        <v/>
      </c>
    </row>
    <row r="204" spans="1:70" ht="15" customHeight="1">
      <c r="A204" s="8"/>
      <c r="B204" s="8"/>
      <c r="D204" s="15" t="str">
        <f t="shared" si="23"/>
        <v/>
      </c>
      <c r="E204" s="15" t="str">
        <f t="shared" si="19"/>
        <v/>
      </c>
      <c r="F204" t="str">
        <f t="shared" si="20"/>
        <v/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8"/>
      <c r="AF204" s="4"/>
      <c r="AG204" s="4"/>
      <c r="AH204" s="1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8"/>
      <c r="AX204" s="8"/>
      <c r="AY204" s="8"/>
      <c r="AZ204" s="8"/>
      <c r="BA204" s="12"/>
      <c r="BB204" s="8"/>
      <c r="BC204" s="4"/>
      <c r="BD204" s="4"/>
      <c r="BE204" s="8"/>
      <c r="BF204" s="8"/>
      <c r="BG204" s="8"/>
      <c r="BH204" s="8"/>
      <c r="BI204" s="8"/>
      <c r="BJ204" s="8"/>
      <c r="BK204" s="8"/>
      <c r="BL204" s="4" t="str">
        <f t="shared" si="21"/>
        <v/>
      </c>
      <c r="BM204" s="8" t="str">
        <f t="shared" si="22"/>
        <v/>
      </c>
      <c r="BP204" t="str">
        <f>IF($BO204="","",IFERROR(VLOOKUP($BO204,'01_Warehouse_Ledger'!$A:$N,4,FALSE),""))</f>
        <v/>
      </c>
      <c r="BQ204" t="str">
        <f>IF($BO204="","",IFERROR(VLOOKUP($BO204,'01_Warehouse_Ledger'!$A:$N,5,FALSE),""))</f>
        <v/>
      </c>
      <c r="BR204" t="str">
        <f>IF($BO204="","",IFERROR(VLOOKUP($BO204,'01_Warehouse_Ledger'!$A:$N,13,FALSE),""))</f>
        <v/>
      </c>
    </row>
    <row r="205" spans="1:70" ht="15" customHeight="1">
      <c r="A205" s="8"/>
      <c r="B205" s="8"/>
      <c r="D205" s="15" t="str">
        <f t="shared" si="23"/>
        <v/>
      </c>
      <c r="E205" s="15" t="str">
        <f t="shared" si="19"/>
        <v/>
      </c>
      <c r="F205" t="str">
        <f t="shared" si="20"/>
        <v/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8"/>
      <c r="AF205" s="4"/>
      <c r="AG205" s="4"/>
      <c r="AH205" s="1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8"/>
      <c r="AX205" s="8"/>
      <c r="AY205" s="8"/>
      <c r="AZ205" s="8"/>
      <c r="BA205" s="12"/>
      <c r="BB205" s="8"/>
      <c r="BC205" s="4"/>
      <c r="BD205" s="4"/>
      <c r="BE205" s="8"/>
      <c r="BF205" s="8"/>
      <c r="BG205" s="8"/>
      <c r="BH205" s="8"/>
      <c r="BI205" s="8"/>
      <c r="BJ205" s="8"/>
      <c r="BK205" s="8"/>
      <c r="BL205" s="4" t="str">
        <f t="shared" si="21"/>
        <v/>
      </c>
      <c r="BM205" s="8" t="str">
        <f t="shared" si="22"/>
        <v/>
      </c>
      <c r="BP205" t="str">
        <f>IF($BO205="","",IFERROR(VLOOKUP($BO205,'01_Warehouse_Ledger'!$A:$N,4,FALSE),""))</f>
        <v/>
      </c>
      <c r="BQ205" t="str">
        <f>IF($BO205="","",IFERROR(VLOOKUP($BO205,'01_Warehouse_Ledger'!$A:$N,5,FALSE),""))</f>
        <v/>
      </c>
      <c r="BR205" t="str">
        <f>IF($BO205="","",IFERROR(VLOOKUP($BO205,'01_Warehouse_Ledger'!$A:$N,13,FALSE),""))</f>
        <v/>
      </c>
    </row>
    <row r="206" spans="1:70" ht="15" customHeight="1">
      <c r="A206" s="8"/>
      <c r="B206" s="8"/>
      <c r="D206" s="15" t="str">
        <f t="shared" si="23"/>
        <v/>
      </c>
      <c r="E206" s="15" t="str">
        <f t="shared" si="19"/>
        <v/>
      </c>
      <c r="F206" t="str">
        <f t="shared" si="20"/>
        <v/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8"/>
      <c r="AF206" s="4"/>
      <c r="AG206" s="4"/>
      <c r="AH206" s="1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8"/>
      <c r="AX206" s="8"/>
      <c r="AY206" s="8"/>
      <c r="AZ206" s="8"/>
      <c r="BA206" s="12"/>
      <c r="BB206" s="8"/>
      <c r="BC206" s="4"/>
      <c r="BD206" s="4"/>
      <c r="BE206" s="8"/>
      <c r="BF206" s="8"/>
      <c r="BG206" s="8"/>
      <c r="BH206" s="8"/>
      <c r="BI206" s="8"/>
      <c r="BJ206" s="8"/>
      <c r="BK206" s="8"/>
      <c r="BL206" s="4" t="str">
        <f t="shared" si="21"/>
        <v/>
      </c>
      <c r="BM206" s="8" t="str">
        <f t="shared" si="22"/>
        <v/>
      </c>
      <c r="BP206" t="str">
        <f>IF($BO206="","",IFERROR(VLOOKUP($BO206,'01_Warehouse_Ledger'!$A:$N,4,FALSE),""))</f>
        <v/>
      </c>
      <c r="BQ206" t="str">
        <f>IF($BO206="","",IFERROR(VLOOKUP($BO206,'01_Warehouse_Ledger'!$A:$N,5,FALSE),""))</f>
        <v/>
      </c>
      <c r="BR206" t="str">
        <f>IF($BO206="","",IFERROR(VLOOKUP($BO206,'01_Warehouse_Ledger'!$A:$N,13,FALSE),""))</f>
        <v/>
      </c>
    </row>
    <row r="207" spans="1:70" ht="15" customHeight="1">
      <c r="A207" s="8"/>
      <c r="B207" s="8"/>
      <c r="D207" s="15" t="str">
        <f t="shared" si="23"/>
        <v/>
      </c>
      <c r="E207" s="15" t="str">
        <f t="shared" si="19"/>
        <v/>
      </c>
      <c r="F207" t="str">
        <f t="shared" si="20"/>
        <v/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8"/>
      <c r="AF207" s="4"/>
      <c r="AG207" s="4"/>
      <c r="AH207" s="1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8"/>
      <c r="AX207" s="8"/>
      <c r="AY207" s="8"/>
      <c r="AZ207" s="8"/>
      <c r="BA207" s="12"/>
      <c r="BB207" s="8"/>
      <c r="BC207" s="4"/>
      <c r="BD207" s="4"/>
      <c r="BE207" s="8"/>
      <c r="BF207" s="8"/>
      <c r="BG207" s="8"/>
      <c r="BH207" s="8"/>
      <c r="BI207" s="8"/>
      <c r="BJ207" s="8"/>
      <c r="BK207" s="8"/>
      <c r="BL207" s="4" t="str">
        <f t="shared" si="21"/>
        <v/>
      </c>
      <c r="BM207" s="8" t="str">
        <f t="shared" si="22"/>
        <v/>
      </c>
      <c r="BP207" t="str">
        <f>IF($BO207="","",IFERROR(VLOOKUP($BO207,'01_Warehouse_Ledger'!$A:$N,4,FALSE),""))</f>
        <v/>
      </c>
      <c r="BQ207" t="str">
        <f>IF($BO207="","",IFERROR(VLOOKUP($BO207,'01_Warehouse_Ledger'!$A:$N,5,FALSE),""))</f>
        <v/>
      </c>
      <c r="BR207" t="str">
        <f>IF($BO207="","",IFERROR(VLOOKUP($BO207,'01_Warehouse_Ledger'!$A:$N,13,FALSE),""))</f>
        <v/>
      </c>
    </row>
    <row r="208" spans="1:70" ht="15" customHeight="1">
      <c r="A208" s="8"/>
      <c r="B208" s="8"/>
      <c r="D208" s="15" t="str">
        <f t="shared" si="23"/>
        <v/>
      </c>
      <c r="E208" s="15" t="str">
        <f t="shared" si="19"/>
        <v/>
      </c>
      <c r="F208" t="str">
        <f t="shared" si="20"/>
        <v/>
      </c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8"/>
      <c r="AF208" s="4"/>
      <c r="AG208" s="4"/>
      <c r="AH208" s="1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8"/>
      <c r="AX208" s="8"/>
      <c r="AY208" s="8"/>
      <c r="AZ208" s="8"/>
      <c r="BA208" s="12"/>
      <c r="BB208" s="8"/>
      <c r="BC208" s="4"/>
      <c r="BD208" s="4"/>
      <c r="BE208" s="8"/>
      <c r="BF208" s="8"/>
      <c r="BG208" s="8"/>
      <c r="BH208" s="8"/>
      <c r="BI208" s="8"/>
      <c r="BJ208" s="8"/>
      <c r="BK208" s="8"/>
      <c r="BL208" s="4" t="str">
        <f t="shared" si="21"/>
        <v/>
      </c>
      <c r="BM208" s="8" t="str">
        <f t="shared" si="22"/>
        <v/>
      </c>
      <c r="BP208" t="str">
        <f>IF($BO208="","",IFERROR(VLOOKUP($BO208,'01_Warehouse_Ledger'!$A:$N,4,FALSE),""))</f>
        <v/>
      </c>
      <c r="BQ208" t="str">
        <f>IF($BO208="","",IFERROR(VLOOKUP($BO208,'01_Warehouse_Ledger'!$A:$N,5,FALSE),""))</f>
        <v/>
      </c>
      <c r="BR208" t="str">
        <f>IF($BO208="","",IFERROR(VLOOKUP($BO208,'01_Warehouse_Ledger'!$A:$N,13,FALSE),""))</f>
        <v/>
      </c>
    </row>
    <row r="209" spans="1:70" ht="15" customHeight="1">
      <c r="A209" s="8"/>
      <c r="B209" s="8"/>
      <c r="D209" s="15" t="str">
        <f t="shared" si="23"/>
        <v/>
      </c>
      <c r="E209" s="15" t="str">
        <f t="shared" si="19"/>
        <v/>
      </c>
      <c r="F209" t="str">
        <f t="shared" si="20"/>
        <v/>
      </c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8"/>
      <c r="AF209" s="4"/>
      <c r="AG209" s="4"/>
      <c r="AH209" s="1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8"/>
      <c r="AX209" s="8"/>
      <c r="AY209" s="8"/>
      <c r="AZ209" s="8"/>
      <c r="BA209" s="12"/>
      <c r="BB209" s="8"/>
      <c r="BC209" s="4"/>
      <c r="BD209" s="4"/>
      <c r="BE209" s="8"/>
      <c r="BF209" s="8"/>
      <c r="BG209" s="8"/>
      <c r="BH209" s="8"/>
      <c r="BI209" s="8"/>
      <c r="BJ209" s="8"/>
      <c r="BK209" s="8"/>
      <c r="BL209" s="4" t="str">
        <f t="shared" si="21"/>
        <v/>
      </c>
      <c r="BM209" s="8" t="str">
        <f t="shared" si="22"/>
        <v/>
      </c>
      <c r="BP209" t="str">
        <f>IF($BO209="","",IFERROR(VLOOKUP($BO209,'01_Warehouse_Ledger'!$A:$N,4,FALSE),""))</f>
        <v/>
      </c>
      <c r="BQ209" t="str">
        <f>IF($BO209="","",IFERROR(VLOOKUP($BO209,'01_Warehouse_Ledger'!$A:$N,5,FALSE),""))</f>
        <v/>
      </c>
      <c r="BR209" t="str">
        <f>IF($BO209="","",IFERROR(VLOOKUP($BO209,'01_Warehouse_Ledger'!$A:$N,13,FALSE),""))</f>
        <v/>
      </c>
    </row>
    <row r="210" spans="1:70" ht="15" customHeight="1">
      <c r="A210" s="8"/>
      <c r="B210" s="8"/>
      <c r="D210" s="15" t="str">
        <f t="shared" si="23"/>
        <v/>
      </c>
      <c r="E210" s="15" t="str">
        <f t="shared" si="19"/>
        <v/>
      </c>
      <c r="F210" t="str">
        <f t="shared" si="20"/>
        <v/>
      </c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8"/>
      <c r="AF210" s="4"/>
      <c r="AG210" s="4"/>
      <c r="AH210" s="1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8"/>
      <c r="AX210" s="8"/>
      <c r="AY210" s="8"/>
      <c r="AZ210" s="8"/>
      <c r="BA210" s="12"/>
      <c r="BB210" s="8"/>
      <c r="BC210" s="4"/>
      <c r="BD210" s="4"/>
      <c r="BE210" s="8"/>
      <c r="BF210" s="8"/>
      <c r="BG210" s="8"/>
      <c r="BH210" s="8"/>
      <c r="BI210" s="8"/>
      <c r="BJ210" s="8"/>
      <c r="BK210" s="8"/>
      <c r="BL210" s="4" t="str">
        <f t="shared" si="21"/>
        <v/>
      </c>
      <c r="BM210" s="8" t="str">
        <f t="shared" si="22"/>
        <v/>
      </c>
      <c r="BP210" t="str">
        <f>IF($BO210="","",IFERROR(VLOOKUP($BO210,'01_Warehouse_Ledger'!$A:$N,4,FALSE),""))</f>
        <v/>
      </c>
      <c r="BQ210" t="str">
        <f>IF($BO210="","",IFERROR(VLOOKUP($BO210,'01_Warehouse_Ledger'!$A:$N,5,FALSE),""))</f>
        <v/>
      </c>
      <c r="BR210" t="str">
        <f>IF($BO210="","",IFERROR(VLOOKUP($BO210,'01_Warehouse_Ledger'!$A:$N,13,FALSE),""))</f>
        <v/>
      </c>
    </row>
    <row r="211" spans="1:70" ht="15" customHeight="1">
      <c r="A211" s="8"/>
      <c r="B211" s="8"/>
      <c r="D211" s="15" t="str">
        <f t="shared" si="23"/>
        <v/>
      </c>
      <c r="E211" s="15" t="str">
        <f t="shared" si="19"/>
        <v/>
      </c>
      <c r="F211" t="str">
        <f t="shared" si="20"/>
        <v/>
      </c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8"/>
      <c r="AF211" s="4"/>
      <c r="AG211" s="4"/>
      <c r="AH211" s="1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8"/>
      <c r="AX211" s="8"/>
      <c r="AY211" s="8"/>
      <c r="AZ211" s="8"/>
      <c r="BA211" s="12"/>
      <c r="BB211" s="8"/>
      <c r="BC211" s="4"/>
      <c r="BD211" s="4"/>
      <c r="BE211" s="8"/>
      <c r="BF211" s="8"/>
      <c r="BG211" s="8"/>
      <c r="BH211" s="8"/>
      <c r="BI211" s="8"/>
      <c r="BJ211" s="8"/>
      <c r="BK211" s="8"/>
      <c r="BL211" s="4" t="str">
        <f t="shared" si="21"/>
        <v/>
      </c>
      <c r="BM211" s="8" t="str">
        <f t="shared" si="22"/>
        <v/>
      </c>
      <c r="BP211" t="str">
        <f>IF($BO211="","",IFERROR(VLOOKUP($BO211,'01_Warehouse_Ledger'!$A:$N,4,FALSE),""))</f>
        <v/>
      </c>
      <c r="BQ211" t="str">
        <f>IF($BO211="","",IFERROR(VLOOKUP($BO211,'01_Warehouse_Ledger'!$A:$N,5,FALSE),""))</f>
        <v/>
      </c>
      <c r="BR211" t="str">
        <f>IF($BO211="","",IFERROR(VLOOKUP($BO211,'01_Warehouse_Ledger'!$A:$N,13,FALSE),""))</f>
        <v/>
      </c>
    </row>
    <row r="212" spans="1:70" ht="15" customHeight="1">
      <c r="A212" s="8"/>
      <c r="B212" s="8"/>
      <c r="D212" s="15" t="str">
        <f t="shared" si="23"/>
        <v/>
      </c>
      <c r="E212" s="15" t="str">
        <f t="shared" si="19"/>
        <v/>
      </c>
      <c r="F212" t="str">
        <f t="shared" si="20"/>
        <v/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8"/>
      <c r="AF212" s="4"/>
      <c r="AG212" s="4"/>
      <c r="AH212" s="1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8"/>
      <c r="AX212" s="8"/>
      <c r="AY212" s="8"/>
      <c r="AZ212" s="8"/>
      <c r="BA212" s="12"/>
      <c r="BB212" s="8"/>
      <c r="BC212" s="4"/>
      <c r="BD212" s="4"/>
      <c r="BE212" s="8"/>
      <c r="BF212" s="8"/>
      <c r="BG212" s="8"/>
      <c r="BH212" s="8"/>
      <c r="BI212" s="8"/>
      <c r="BJ212" s="8"/>
      <c r="BK212" s="8"/>
      <c r="BL212" s="4" t="str">
        <f t="shared" si="21"/>
        <v/>
      </c>
      <c r="BM212" s="8" t="str">
        <f t="shared" si="22"/>
        <v/>
      </c>
      <c r="BP212" t="str">
        <f>IF($BO212="","",IFERROR(VLOOKUP($BO212,'01_Warehouse_Ledger'!$A:$N,4,FALSE),""))</f>
        <v/>
      </c>
      <c r="BQ212" t="str">
        <f>IF($BO212="","",IFERROR(VLOOKUP($BO212,'01_Warehouse_Ledger'!$A:$N,5,FALSE),""))</f>
        <v/>
      </c>
      <c r="BR212" t="str">
        <f>IF($BO212="","",IFERROR(VLOOKUP($BO212,'01_Warehouse_Ledger'!$A:$N,13,FALSE),""))</f>
        <v/>
      </c>
    </row>
    <row r="213" spans="1:70" ht="15" customHeight="1">
      <c r="A213" s="8"/>
      <c r="B213" s="8"/>
      <c r="D213" s="15" t="str">
        <f t="shared" si="23"/>
        <v/>
      </c>
      <c r="E213" s="15" t="str">
        <f t="shared" si="19"/>
        <v/>
      </c>
      <c r="F213" t="str">
        <f t="shared" si="20"/>
        <v/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8"/>
      <c r="AF213" s="4"/>
      <c r="AG213" s="4"/>
      <c r="AH213" s="1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8"/>
      <c r="AX213" s="8"/>
      <c r="AY213" s="8"/>
      <c r="AZ213" s="8"/>
      <c r="BA213" s="12"/>
      <c r="BB213" s="8"/>
      <c r="BC213" s="4"/>
      <c r="BD213" s="4"/>
      <c r="BE213" s="8"/>
      <c r="BF213" s="8"/>
      <c r="BG213" s="8"/>
      <c r="BH213" s="8"/>
      <c r="BI213" s="8"/>
      <c r="BJ213" s="8"/>
      <c r="BK213" s="8"/>
      <c r="BL213" s="4" t="str">
        <f t="shared" si="21"/>
        <v/>
      </c>
      <c r="BM213" s="8" t="str">
        <f t="shared" si="22"/>
        <v/>
      </c>
      <c r="BP213" t="str">
        <f>IF($BO213="","",IFERROR(VLOOKUP($BO213,'01_Warehouse_Ledger'!$A:$N,4,FALSE),""))</f>
        <v/>
      </c>
      <c r="BQ213" t="str">
        <f>IF($BO213="","",IFERROR(VLOOKUP($BO213,'01_Warehouse_Ledger'!$A:$N,5,FALSE),""))</f>
        <v/>
      </c>
      <c r="BR213" t="str">
        <f>IF($BO213="","",IFERROR(VLOOKUP($BO213,'01_Warehouse_Ledger'!$A:$N,13,FALSE),""))</f>
        <v/>
      </c>
    </row>
    <row r="214" spans="1:70" ht="15" customHeight="1">
      <c r="A214" s="8"/>
      <c r="B214" s="8"/>
      <c r="D214" s="15" t="str">
        <f t="shared" si="23"/>
        <v/>
      </c>
      <c r="E214" s="15" t="str">
        <f t="shared" si="19"/>
        <v/>
      </c>
      <c r="F214" t="str">
        <f t="shared" si="20"/>
        <v/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8"/>
      <c r="AF214" s="4"/>
      <c r="AG214" s="4"/>
      <c r="AH214" s="1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8"/>
      <c r="AX214" s="8"/>
      <c r="AY214" s="8"/>
      <c r="AZ214" s="8"/>
      <c r="BA214" s="12"/>
      <c r="BB214" s="8"/>
      <c r="BC214" s="4"/>
      <c r="BD214" s="4"/>
      <c r="BE214" s="8"/>
      <c r="BF214" s="8"/>
      <c r="BG214" s="8"/>
      <c r="BH214" s="8"/>
      <c r="BI214" s="8"/>
      <c r="BJ214" s="8"/>
      <c r="BK214" s="8"/>
      <c r="BL214" s="4" t="str">
        <f t="shared" si="21"/>
        <v/>
      </c>
      <c r="BM214" s="8" t="str">
        <f t="shared" si="22"/>
        <v/>
      </c>
      <c r="BP214" t="str">
        <f>IF($BO214="","",IFERROR(VLOOKUP($BO214,'01_Warehouse_Ledger'!$A:$N,4,FALSE),""))</f>
        <v/>
      </c>
      <c r="BQ214" t="str">
        <f>IF($BO214="","",IFERROR(VLOOKUP($BO214,'01_Warehouse_Ledger'!$A:$N,5,FALSE),""))</f>
        <v/>
      </c>
      <c r="BR214" t="str">
        <f>IF($BO214="","",IFERROR(VLOOKUP($BO214,'01_Warehouse_Ledger'!$A:$N,13,FALSE),""))</f>
        <v/>
      </c>
    </row>
    <row r="215" spans="1:70" ht="15" customHeight="1">
      <c r="A215" s="8"/>
      <c r="B215" s="8"/>
      <c r="D215" s="15" t="str">
        <f t="shared" si="23"/>
        <v/>
      </c>
      <c r="E215" s="15" t="str">
        <f t="shared" si="19"/>
        <v/>
      </c>
      <c r="F215" t="str">
        <f t="shared" si="20"/>
        <v/>
      </c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8"/>
      <c r="AF215" s="4"/>
      <c r="AG215" s="4"/>
      <c r="AH215" s="1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8"/>
      <c r="AX215" s="8"/>
      <c r="AY215" s="8"/>
      <c r="AZ215" s="8"/>
      <c r="BA215" s="12"/>
      <c r="BB215" s="8"/>
      <c r="BC215" s="4"/>
      <c r="BD215" s="4"/>
      <c r="BE215" s="8"/>
      <c r="BF215" s="8"/>
      <c r="BG215" s="8"/>
      <c r="BH215" s="8"/>
      <c r="BI215" s="8"/>
      <c r="BJ215" s="8"/>
      <c r="BK215" s="8"/>
      <c r="BL215" s="4" t="str">
        <f t="shared" si="21"/>
        <v/>
      </c>
      <c r="BM215" s="8" t="str">
        <f t="shared" si="22"/>
        <v/>
      </c>
      <c r="BP215" t="str">
        <f>IF($BO215="","",IFERROR(VLOOKUP($BO215,'01_Warehouse_Ledger'!$A:$N,4,FALSE),""))</f>
        <v/>
      </c>
      <c r="BQ215" t="str">
        <f>IF($BO215="","",IFERROR(VLOOKUP($BO215,'01_Warehouse_Ledger'!$A:$N,5,FALSE),""))</f>
        <v/>
      </c>
      <c r="BR215" t="str">
        <f>IF($BO215="","",IFERROR(VLOOKUP($BO215,'01_Warehouse_Ledger'!$A:$N,13,FALSE),""))</f>
        <v/>
      </c>
    </row>
    <row r="216" spans="1:70" ht="15" customHeight="1">
      <c r="A216" s="8"/>
      <c r="B216" s="8"/>
      <c r="D216" s="15" t="str">
        <f t="shared" si="23"/>
        <v/>
      </c>
      <c r="E216" s="15" t="str">
        <f t="shared" si="19"/>
        <v/>
      </c>
      <c r="F216" t="str">
        <f t="shared" si="20"/>
        <v/>
      </c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8"/>
      <c r="AF216" s="4"/>
      <c r="AG216" s="4"/>
      <c r="AH216" s="1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8"/>
      <c r="AX216" s="8"/>
      <c r="AY216" s="8"/>
      <c r="AZ216" s="8"/>
      <c r="BA216" s="12"/>
      <c r="BB216" s="8"/>
      <c r="BC216" s="4"/>
      <c r="BD216" s="4"/>
      <c r="BE216" s="8"/>
      <c r="BF216" s="8"/>
      <c r="BG216" s="8"/>
      <c r="BH216" s="8"/>
      <c r="BI216" s="8"/>
      <c r="BJ216" s="8"/>
      <c r="BK216" s="8"/>
      <c r="BL216" s="4" t="str">
        <f t="shared" si="21"/>
        <v/>
      </c>
      <c r="BM216" s="8" t="str">
        <f t="shared" si="22"/>
        <v/>
      </c>
      <c r="BP216" t="str">
        <f>IF($BO216="","",IFERROR(VLOOKUP($BO216,'01_Warehouse_Ledger'!$A:$N,4,FALSE),""))</f>
        <v/>
      </c>
      <c r="BQ216" t="str">
        <f>IF($BO216="","",IFERROR(VLOOKUP($BO216,'01_Warehouse_Ledger'!$A:$N,5,FALSE),""))</f>
        <v/>
      </c>
      <c r="BR216" t="str">
        <f>IF($BO216="","",IFERROR(VLOOKUP($BO216,'01_Warehouse_Ledger'!$A:$N,13,FALSE),""))</f>
        <v/>
      </c>
    </row>
    <row r="217" spans="1:70" ht="15" customHeight="1">
      <c r="A217" s="8"/>
      <c r="B217" s="8"/>
      <c r="D217" s="15" t="str">
        <f t="shared" si="23"/>
        <v/>
      </c>
      <c r="E217" s="15" t="str">
        <f t="shared" si="19"/>
        <v/>
      </c>
      <c r="F217" t="str">
        <f t="shared" si="20"/>
        <v/>
      </c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8"/>
      <c r="AF217" s="4"/>
      <c r="AG217" s="4"/>
      <c r="AH217" s="1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8"/>
      <c r="AX217" s="8"/>
      <c r="AY217" s="8"/>
      <c r="AZ217" s="8"/>
      <c r="BA217" s="12"/>
      <c r="BB217" s="8"/>
      <c r="BC217" s="4"/>
      <c r="BD217" s="4"/>
      <c r="BE217" s="8"/>
      <c r="BF217" s="8"/>
      <c r="BG217" s="8"/>
      <c r="BH217" s="8"/>
      <c r="BI217" s="8"/>
      <c r="BJ217" s="8"/>
      <c r="BK217" s="8"/>
      <c r="BL217" s="4" t="str">
        <f t="shared" si="21"/>
        <v/>
      </c>
      <c r="BM217" s="8" t="str">
        <f t="shared" si="22"/>
        <v/>
      </c>
      <c r="BP217" t="str">
        <f>IF($BO217="","",IFERROR(VLOOKUP($BO217,'01_Warehouse_Ledger'!$A:$N,4,FALSE),""))</f>
        <v/>
      </c>
      <c r="BQ217" t="str">
        <f>IF($BO217="","",IFERROR(VLOOKUP($BO217,'01_Warehouse_Ledger'!$A:$N,5,FALSE),""))</f>
        <v/>
      </c>
      <c r="BR217" t="str">
        <f>IF($BO217="","",IFERROR(VLOOKUP($BO217,'01_Warehouse_Ledger'!$A:$N,13,FALSE),""))</f>
        <v/>
      </c>
    </row>
    <row r="218" spans="1:70" ht="15" customHeight="1">
      <c r="A218" s="8"/>
      <c r="B218" s="8"/>
      <c r="D218" s="15" t="str">
        <f t="shared" si="23"/>
        <v/>
      </c>
      <c r="E218" s="15" t="str">
        <f t="shared" si="19"/>
        <v/>
      </c>
      <c r="F218" t="str">
        <f t="shared" si="20"/>
        <v/>
      </c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8"/>
      <c r="AF218" s="4"/>
      <c r="AG218" s="4"/>
      <c r="AH218" s="1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8"/>
      <c r="AX218" s="8"/>
      <c r="AY218" s="8"/>
      <c r="AZ218" s="8"/>
      <c r="BA218" s="12"/>
      <c r="BB218" s="8"/>
      <c r="BC218" s="4"/>
      <c r="BD218" s="4"/>
      <c r="BE218" s="8"/>
      <c r="BF218" s="8"/>
      <c r="BG218" s="8"/>
      <c r="BH218" s="8"/>
      <c r="BI218" s="8"/>
      <c r="BJ218" s="8"/>
      <c r="BK218" s="8"/>
      <c r="BL218" s="4" t="str">
        <f t="shared" si="21"/>
        <v/>
      </c>
      <c r="BM218" s="8" t="str">
        <f t="shared" si="22"/>
        <v/>
      </c>
      <c r="BP218" t="str">
        <f>IF($BO218="","",IFERROR(VLOOKUP($BO218,'01_Warehouse_Ledger'!$A:$N,4,FALSE),""))</f>
        <v/>
      </c>
      <c r="BQ218" t="str">
        <f>IF($BO218="","",IFERROR(VLOOKUP($BO218,'01_Warehouse_Ledger'!$A:$N,5,FALSE),""))</f>
        <v/>
      </c>
      <c r="BR218" t="str">
        <f>IF($BO218="","",IFERROR(VLOOKUP($BO218,'01_Warehouse_Ledger'!$A:$N,13,FALSE),""))</f>
        <v/>
      </c>
    </row>
    <row r="219" spans="1:70" ht="15" customHeight="1">
      <c r="A219" s="8"/>
      <c r="B219" s="8"/>
      <c r="D219" s="15" t="str">
        <f t="shared" si="23"/>
        <v/>
      </c>
      <c r="E219" s="15" t="str">
        <f t="shared" si="19"/>
        <v/>
      </c>
      <c r="F219" t="str">
        <f t="shared" si="20"/>
        <v/>
      </c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8"/>
      <c r="AF219" s="4"/>
      <c r="AG219" s="4"/>
      <c r="AH219" s="1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8"/>
      <c r="AX219" s="8"/>
      <c r="AY219" s="8"/>
      <c r="AZ219" s="8"/>
      <c r="BA219" s="12"/>
      <c r="BB219" s="8"/>
      <c r="BC219" s="4"/>
      <c r="BD219" s="4"/>
      <c r="BE219" s="8"/>
      <c r="BF219" s="8"/>
      <c r="BG219" s="8"/>
      <c r="BH219" s="8"/>
      <c r="BI219" s="8"/>
      <c r="BJ219" s="8"/>
      <c r="BK219" s="8"/>
      <c r="BL219" s="4" t="str">
        <f t="shared" si="21"/>
        <v/>
      </c>
      <c r="BM219" s="8" t="str">
        <f t="shared" si="22"/>
        <v/>
      </c>
      <c r="BP219" t="str">
        <f>IF($BO219="","",IFERROR(VLOOKUP($BO219,'01_Warehouse_Ledger'!$A:$N,4,FALSE),""))</f>
        <v/>
      </c>
      <c r="BQ219" t="str">
        <f>IF($BO219="","",IFERROR(VLOOKUP($BO219,'01_Warehouse_Ledger'!$A:$N,5,FALSE),""))</f>
        <v/>
      </c>
      <c r="BR219" t="str">
        <f>IF($BO219="","",IFERROR(VLOOKUP($BO219,'01_Warehouse_Ledger'!$A:$N,13,FALSE),""))</f>
        <v/>
      </c>
    </row>
    <row r="220" spans="1:70" ht="15" customHeight="1">
      <c r="A220" s="8"/>
      <c r="B220" s="8"/>
      <c r="D220" s="15" t="str">
        <f t="shared" si="23"/>
        <v/>
      </c>
      <c r="E220" s="15" t="str">
        <f t="shared" si="19"/>
        <v/>
      </c>
      <c r="F220" t="str">
        <f t="shared" si="20"/>
        <v/>
      </c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8"/>
      <c r="AF220" s="4"/>
      <c r="AG220" s="4"/>
      <c r="AH220" s="1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8"/>
      <c r="AX220" s="8"/>
      <c r="AY220" s="8"/>
      <c r="AZ220" s="8"/>
      <c r="BA220" s="12"/>
      <c r="BB220" s="8"/>
      <c r="BC220" s="4"/>
      <c r="BD220" s="4"/>
      <c r="BE220" s="8"/>
      <c r="BF220" s="8"/>
      <c r="BG220" s="8"/>
      <c r="BH220" s="8"/>
      <c r="BI220" s="8"/>
      <c r="BJ220" s="8"/>
      <c r="BK220" s="8"/>
      <c r="BL220" s="4" t="str">
        <f t="shared" si="21"/>
        <v/>
      </c>
      <c r="BM220" s="8" t="str">
        <f t="shared" si="22"/>
        <v/>
      </c>
      <c r="BP220" t="str">
        <f>IF($BO220="","",IFERROR(VLOOKUP($BO220,'01_Warehouse_Ledger'!$A:$N,4,FALSE),""))</f>
        <v/>
      </c>
      <c r="BQ220" t="str">
        <f>IF($BO220="","",IFERROR(VLOOKUP($BO220,'01_Warehouse_Ledger'!$A:$N,5,FALSE),""))</f>
        <v/>
      </c>
      <c r="BR220" t="str">
        <f>IF($BO220="","",IFERROR(VLOOKUP($BO220,'01_Warehouse_Ledger'!$A:$N,13,FALSE),""))</f>
        <v/>
      </c>
    </row>
    <row r="221" spans="1:70" ht="15" customHeight="1">
      <c r="A221" s="8"/>
      <c r="B221" s="8"/>
      <c r="D221" s="15" t="str">
        <f t="shared" si="23"/>
        <v/>
      </c>
      <c r="E221" s="15" t="str">
        <f t="shared" si="19"/>
        <v/>
      </c>
      <c r="F221" t="str">
        <f t="shared" si="20"/>
        <v/>
      </c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8"/>
      <c r="AF221" s="4"/>
      <c r="AG221" s="4"/>
      <c r="AH221" s="1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8"/>
      <c r="AX221" s="8"/>
      <c r="AY221" s="8"/>
      <c r="AZ221" s="8"/>
      <c r="BA221" s="12"/>
      <c r="BB221" s="8"/>
      <c r="BC221" s="4"/>
      <c r="BD221" s="4"/>
      <c r="BE221" s="8"/>
      <c r="BF221" s="8"/>
      <c r="BG221" s="8"/>
      <c r="BH221" s="8"/>
      <c r="BI221" s="8"/>
      <c r="BJ221" s="8"/>
      <c r="BK221" s="8"/>
      <c r="BL221" s="4" t="str">
        <f t="shared" si="21"/>
        <v/>
      </c>
      <c r="BM221" s="8" t="str">
        <f t="shared" si="22"/>
        <v/>
      </c>
      <c r="BP221" t="str">
        <f>IF($BO221="","",IFERROR(VLOOKUP($BO221,'01_Warehouse_Ledger'!$A:$N,4,FALSE),""))</f>
        <v/>
      </c>
      <c r="BQ221" t="str">
        <f>IF($BO221="","",IFERROR(VLOOKUP($BO221,'01_Warehouse_Ledger'!$A:$N,5,FALSE),""))</f>
        <v/>
      </c>
      <c r="BR221" t="str">
        <f>IF($BO221="","",IFERROR(VLOOKUP($BO221,'01_Warehouse_Ledger'!$A:$N,13,FALSE),""))</f>
        <v/>
      </c>
    </row>
    <row r="222" spans="1:70" ht="15" customHeight="1">
      <c r="A222" s="8"/>
      <c r="B222" s="8"/>
      <c r="D222" s="15" t="str">
        <f t="shared" si="23"/>
        <v/>
      </c>
      <c r="E222" s="15" t="str">
        <f t="shared" si="19"/>
        <v/>
      </c>
      <c r="F222" t="str">
        <f t="shared" si="20"/>
        <v/>
      </c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8"/>
      <c r="AF222" s="4"/>
      <c r="AG222" s="4"/>
      <c r="AH222" s="1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8"/>
      <c r="AX222" s="8"/>
      <c r="AY222" s="8"/>
      <c r="AZ222" s="8"/>
      <c r="BA222" s="12"/>
      <c r="BB222" s="8"/>
      <c r="BC222" s="4"/>
      <c r="BD222" s="4"/>
      <c r="BE222" s="8"/>
      <c r="BF222" s="8"/>
      <c r="BG222" s="8"/>
      <c r="BH222" s="8"/>
      <c r="BI222" s="8"/>
      <c r="BJ222" s="8"/>
      <c r="BK222" s="8"/>
      <c r="BL222" s="4" t="str">
        <f t="shared" si="21"/>
        <v/>
      </c>
      <c r="BM222" s="8" t="str">
        <f t="shared" si="22"/>
        <v/>
      </c>
      <c r="BP222" t="str">
        <f>IF($BO222="","",IFERROR(VLOOKUP($BO222,'01_Warehouse_Ledger'!$A:$N,4,FALSE),""))</f>
        <v/>
      </c>
      <c r="BQ222" t="str">
        <f>IF($BO222="","",IFERROR(VLOOKUP($BO222,'01_Warehouse_Ledger'!$A:$N,5,FALSE),""))</f>
        <v/>
      </c>
      <c r="BR222" t="str">
        <f>IF($BO222="","",IFERROR(VLOOKUP($BO222,'01_Warehouse_Ledger'!$A:$N,13,FALSE),""))</f>
        <v/>
      </c>
    </row>
    <row r="223" spans="1:70" ht="15" customHeight="1">
      <c r="A223" s="8"/>
      <c r="B223" s="8"/>
      <c r="D223" s="15" t="str">
        <f t="shared" si="23"/>
        <v/>
      </c>
      <c r="E223" s="15" t="str">
        <f t="shared" si="19"/>
        <v/>
      </c>
      <c r="F223" t="str">
        <f t="shared" si="20"/>
        <v/>
      </c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8"/>
      <c r="AF223" s="4"/>
      <c r="AG223" s="4"/>
      <c r="AH223" s="1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8"/>
      <c r="AX223" s="8"/>
      <c r="AY223" s="8"/>
      <c r="AZ223" s="8"/>
      <c r="BA223" s="12"/>
      <c r="BB223" s="8"/>
      <c r="BC223" s="4"/>
      <c r="BD223" s="4"/>
      <c r="BE223" s="8"/>
      <c r="BF223" s="8"/>
      <c r="BG223" s="8"/>
      <c r="BH223" s="8"/>
      <c r="BI223" s="8"/>
      <c r="BJ223" s="8"/>
      <c r="BK223" s="8"/>
      <c r="BL223" s="4" t="str">
        <f t="shared" si="21"/>
        <v/>
      </c>
      <c r="BM223" s="8" t="str">
        <f t="shared" si="22"/>
        <v/>
      </c>
      <c r="BP223" t="str">
        <f>IF($BO223="","",IFERROR(VLOOKUP($BO223,'01_Warehouse_Ledger'!$A:$N,4,FALSE),""))</f>
        <v/>
      </c>
      <c r="BQ223" t="str">
        <f>IF($BO223="","",IFERROR(VLOOKUP($BO223,'01_Warehouse_Ledger'!$A:$N,5,FALSE),""))</f>
        <v/>
      </c>
      <c r="BR223" t="str">
        <f>IF($BO223="","",IFERROR(VLOOKUP($BO223,'01_Warehouse_Ledger'!$A:$N,13,FALSE),""))</f>
        <v/>
      </c>
    </row>
    <row r="224" spans="1:70" ht="15" customHeight="1">
      <c r="A224" s="8"/>
      <c r="B224" s="8"/>
      <c r="D224" s="15" t="str">
        <f t="shared" si="23"/>
        <v/>
      </c>
      <c r="E224" s="15" t="str">
        <f t="shared" si="19"/>
        <v/>
      </c>
      <c r="F224" t="str">
        <f t="shared" si="20"/>
        <v/>
      </c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8"/>
      <c r="AF224" s="4"/>
      <c r="AG224" s="4"/>
      <c r="AH224" s="1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8"/>
      <c r="AX224" s="8"/>
      <c r="AY224" s="8"/>
      <c r="AZ224" s="8"/>
      <c r="BA224" s="12"/>
      <c r="BB224" s="8"/>
      <c r="BC224" s="4"/>
      <c r="BD224" s="4"/>
      <c r="BE224" s="8"/>
      <c r="BF224" s="8"/>
      <c r="BG224" s="8"/>
      <c r="BH224" s="8"/>
      <c r="BI224" s="8"/>
      <c r="BJ224" s="8"/>
      <c r="BK224" s="8"/>
      <c r="BL224" s="4" t="str">
        <f t="shared" si="21"/>
        <v/>
      </c>
      <c r="BM224" s="8" t="str">
        <f t="shared" si="22"/>
        <v/>
      </c>
      <c r="BP224" t="str">
        <f>IF($BO224="","",IFERROR(VLOOKUP($BO224,'01_Warehouse_Ledger'!$A:$N,4,FALSE),""))</f>
        <v/>
      </c>
      <c r="BQ224" t="str">
        <f>IF($BO224="","",IFERROR(VLOOKUP($BO224,'01_Warehouse_Ledger'!$A:$N,5,FALSE),""))</f>
        <v/>
      </c>
      <c r="BR224" t="str">
        <f>IF($BO224="","",IFERROR(VLOOKUP($BO224,'01_Warehouse_Ledger'!$A:$N,13,FALSE),""))</f>
        <v/>
      </c>
    </row>
    <row r="225" spans="1:70" ht="15" customHeight="1">
      <c r="A225" s="8"/>
      <c r="B225" s="8"/>
      <c r="D225" s="15" t="str">
        <f t="shared" si="23"/>
        <v/>
      </c>
      <c r="E225" s="15" t="str">
        <f t="shared" si="19"/>
        <v/>
      </c>
      <c r="F225" t="str">
        <f t="shared" si="20"/>
        <v/>
      </c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8"/>
      <c r="AF225" s="4"/>
      <c r="AG225" s="4"/>
      <c r="AH225" s="1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8"/>
      <c r="AX225" s="8"/>
      <c r="AY225" s="8"/>
      <c r="AZ225" s="8"/>
      <c r="BA225" s="12"/>
      <c r="BB225" s="8"/>
      <c r="BC225" s="4"/>
      <c r="BD225" s="4"/>
      <c r="BE225" s="8"/>
      <c r="BF225" s="8"/>
      <c r="BG225" s="8"/>
      <c r="BH225" s="8"/>
      <c r="BI225" s="8"/>
      <c r="BJ225" s="8"/>
      <c r="BK225" s="8"/>
      <c r="BL225" s="4" t="str">
        <f t="shared" si="21"/>
        <v/>
      </c>
      <c r="BM225" s="8" t="str">
        <f t="shared" si="22"/>
        <v/>
      </c>
      <c r="BP225" t="str">
        <f>IF($BO225="","",IFERROR(VLOOKUP($BO225,'01_Warehouse_Ledger'!$A:$N,4,FALSE),""))</f>
        <v/>
      </c>
      <c r="BQ225" t="str">
        <f>IF($BO225="","",IFERROR(VLOOKUP($BO225,'01_Warehouse_Ledger'!$A:$N,5,FALSE),""))</f>
        <v/>
      </c>
      <c r="BR225" t="str">
        <f>IF($BO225="","",IFERROR(VLOOKUP($BO225,'01_Warehouse_Ledger'!$A:$N,13,FALSE),""))</f>
        <v/>
      </c>
    </row>
    <row r="226" spans="1:70" ht="15" customHeight="1">
      <c r="A226" s="8"/>
      <c r="B226" s="8"/>
      <c r="D226" s="15" t="str">
        <f t="shared" si="23"/>
        <v/>
      </c>
      <c r="E226" s="15" t="str">
        <f t="shared" si="19"/>
        <v/>
      </c>
      <c r="F226" t="str">
        <f t="shared" si="20"/>
        <v/>
      </c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8"/>
      <c r="AF226" s="4"/>
      <c r="AG226" s="4"/>
      <c r="AH226" s="1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8"/>
      <c r="AX226" s="8"/>
      <c r="AY226" s="8"/>
      <c r="AZ226" s="8"/>
      <c r="BA226" s="12"/>
      <c r="BB226" s="8"/>
      <c r="BC226" s="4"/>
      <c r="BD226" s="4"/>
      <c r="BE226" s="8"/>
      <c r="BF226" s="8"/>
      <c r="BG226" s="8"/>
      <c r="BH226" s="8"/>
      <c r="BI226" s="8"/>
      <c r="BJ226" s="8"/>
      <c r="BK226" s="8"/>
      <c r="BL226" s="4" t="str">
        <f t="shared" si="21"/>
        <v/>
      </c>
      <c r="BM226" s="8" t="str">
        <f t="shared" si="22"/>
        <v/>
      </c>
      <c r="BP226" t="str">
        <f>IF($BO226="","",IFERROR(VLOOKUP($BO226,'01_Warehouse_Ledger'!$A:$N,4,FALSE),""))</f>
        <v/>
      </c>
      <c r="BQ226" t="str">
        <f>IF($BO226="","",IFERROR(VLOOKUP($BO226,'01_Warehouse_Ledger'!$A:$N,5,FALSE),""))</f>
        <v/>
      </c>
      <c r="BR226" t="str">
        <f>IF($BO226="","",IFERROR(VLOOKUP($BO226,'01_Warehouse_Ledger'!$A:$N,13,FALSE),""))</f>
        <v/>
      </c>
    </row>
    <row r="227" spans="1:70" ht="15" customHeight="1">
      <c r="A227" s="8"/>
      <c r="B227" s="8"/>
      <c r="D227" s="15" t="str">
        <f t="shared" si="23"/>
        <v/>
      </c>
      <c r="E227" s="15" t="str">
        <f t="shared" ref="E227:E290" si="24">IF($A227="","",IF($A227="Neuron",IF(OR(AND($S227&lt;&gt;"",LOWER(TRIM($S227))&lt;&gt;"n/a",COUNTIF($S$2:$S$528,$S227)&gt;1),AND($T227&lt;&gt;"",LOWER(TRIM($T227))&lt;&gt;"n/a",COUNTIF($T$2:$T$528,$T227)&gt;1),AND($W227&lt;&gt;"",LOWER(TRIM($W227))&lt;&gt;"n/a",COUNTIF($W$2:$W$528,$W227)&gt;1)),"Yes","No"),IF($A227="Cybernet",IF(OR(AND($Y227&lt;&gt;"",LOWER(TRIM($Y227))&lt;&gt;"n/a",COUNTIF($Y$2:$Y$528,$Y227)&gt;1),AND($Z227&lt;&gt;"",LOWER(TRIM($Z227))&lt;&gt;"n/a",COUNTIF($Z$2:$Z$528,$Z227)&gt;1)),"Yes","No"),IF(AND($AL227&lt;&gt;"",LOWER(TRIM($AL227))&lt;&gt;"n/a",COUNTIF($AL$2:$AL$528,$AL227)&gt;1),"Yes","No"))))</f>
        <v/>
      </c>
      <c r="F227" t="str">
        <f t="shared" ref="F227:F290" si="25">IF($B227&lt;&gt;"Yes","",
IF($A227="Neuron",
IF(OR(
AND($S227&lt;&gt;"",LOWER(TRIM($S227))&lt;&gt;"n/a",COUNTIFS($B$2:$B$528,"Yes",$A$2:$A$528,"Neuron",$S$2:$S$528,$S227)&gt;1),
AND($T227&lt;&gt;"",LOWER(TRIM($T227))&lt;&gt;"n/a",COUNTIFS($B$2:$B$528,"Yes",$A$2:$A$528,"Neuron",$T$2:$T$528,$T227)&gt;1),
AND($W227&lt;&gt;"",LOWER(TRIM($W227))&lt;&gt;"n/a",COUNTIFS($B$2:$B$528,"Yes",$A$2:$A$528,"Neuron",$W$2:$W$528,$W227)&gt;1)
),"Yes","No"),
IF($A227="Cybernet",
IF(OR(
AND($Y227&lt;&gt;"",LOWER(TRIM($Y227))&lt;&gt;"n/a",COUNTIFS($B$2:$B$528,"Yes",$A$2:$A$528,"Cybernet",$Y$2:$Y$528,$Y227)&gt;1),
AND($Z227&lt;&gt;"",LOWER(TRIM($Z227))&lt;&gt;"n/a",COUNTIFS($B$2:$B$528,"Yes",$A$2:$A$528,"Cybernet",$Z$2:$Z$528,$Z227)&gt;1)
),"Yes","No"),
IF(AND($AL227&lt;&gt;"",LOWER(TRIM($AL227))&lt;&gt;"n/a"),
IF(COUNTIFS($B$2:$B$528,"Yes",$A$2:$A$528,$A227,$AL$2:$AL$528,$AL227)&gt;1,"Yes","No"),
"No")
)
)
)</f>
        <v/>
      </c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8"/>
      <c r="AF227" s="4"/>
      <c r="AG227" s="4"/>
      <c r="AH227" s="1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8"/>
      <c r="AX227" s="8"/>
      <c r="AY227" s="8"/>
      <c r="AZ227" s="8"/>
      <c r="BA227" s="12"/>
      <c r="BB227" s="8"/>
      <c r="BC227" s="4"/>
      <c r="BD227" s="4"/>
      <c r="BE227" s="8"/>
      <c r="BF227" s="8"/>
      <c r="BG227" s="8"/>
      <c r="BH227" s="8"/>
      <c r="BI227" s="8"/>
      <c r="BJ227" s="8"/>
      <c r="BK227" s="8"/>
      <c r="BL227" s="4" t="str">
        <f t="shared" si="21"/>
        <v/>
      </c>
      <c r="BM227" s="8" t="str">
        <f t="shared" si="22"/>
        <v/>
      </c>
      <c r="BP227" t="str">
        <f>IF($BO227="","",IFERROR(VLOOKUP($BO227,'01_Warehouse_Ledger'!$A:$N,4,FALSE),""))</f>
        <v/>
      </c>
      <c r="BQ227" t="str">
        <f>IF($BO227="","",IFERROR(VLOOKUP($BO227,'01_Warehouse_Ledger'!$A:$N,5,FALSE),""))</f>
        <v/>
      </c>
      <c r="BR227" t="str">
        <f>IF($BO227="","",IFERROR(VLOOKUP($BO227,'01_Warehouse_Ledger'!$A:$N,13,FALSE),""))</f>
        <v/>
      </c>
    </row>
    <row r="228" spans="1:70" ht="15" customHeight="1">
      <c r="A228" s="8"/>
      <c r="B228" s="8"/>
      <c r="D228" s="15" t="str">
        <f t="shared" si="23"/>
        <v/>
      </c>
      <c r="E228" s="15" t="str">
        <f t="shared" si="24"/>
        <v/>
      </c>
      <c r="F228" t="str">
        <f t="shared" si="25"/>
        <v/>
      </c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8"/>
      <c r="AF228" s="4"/>
      <c r="AG228" s="4"/>
      <c r="AH228" s="1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8"/>
      <c r="AX228" s="8"/>
      <c r="AY228" s="8"/>
      <c r="AZ228" s="8"/>
      <c r="BA228" s="12"/>
      <c r="BB228" s="8"/>
      <c r="BC228" s="4"/>
      <c r="BD228" s="4"/>
      <c r="BE228" s="8"/>
      <c r="BF228" s="8"/>
      <c r="BG228" s="8"/>
      <c r="BH228" s="8"/>
      <c r="BI228" s="8"/>
      <c r="BJ228" s="8"/>
      <c r="BK228" s="8"/>
      <c r="BL228" s="4" t="str">
        <f t="shared" si="21"/>
        <v/>
      </c>
      <c r="BM228" s="8" t="str">
        <f t="shared" si="22"/>
        <v/>
      </c>
      <c r="BP228" t="str">
        <f>IF($BO228="","",IFERROR(VLOOKUP($BO228,'01_Warehouse_Ledger'!$A:$N,4,FALSE),""))</f>
        <v/>
      </c>
      <c r="BQ228" t="str">
        <f>IF($BO228="","",IFERROR(VLOOKUP($BO228,'01_Warehouse_Ledger'!$A:$N,5,FALSE),""))</f>
        <v/>
      </c>
      <c r="BR228" t="str">
        <f>IF($BO228="","",IFERROR(VLOOKUP($BO228,'01_Warehouse_Ledger'!$A:$N,13,FALSE),""))</f>
        <v/>
      </c>
    </row>
    <row r="229" spans="1:70" ht="15" customHeight="1">
      <c r="A229" s="8"/>
      <c r="B229" s="8"/>
      <c r="D229" s="15" t="str">
        <f t="shared" si="23"/>
        <v/>
      </c>
      <c r="E229" s="15" t="str">
        <f t="shared" si="24"/>
        <v/>
      </c>
      <c r="F229" t="str">
        <f t="shared" si="25"/>
        <v/>
      </c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8"/>
      <c r="AF229" s="4"/>
      <c r="AG229" s="4"/>
      <c r="AH229" s="1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8"/>
      <c r="AX229" s="8"/>
      <c r="AY229" s="8"/>
      <c r="AZ229" s="8"/>
      <c r="BA229" s="12"/>
      <c r="BB229" s="8"/>
      <c r="BC229" s="4"/>
      <c r="BD229" s="4"/>
      <c r="BE229" s="8"/>
      <c r="BF229" s="8"/>
      <c r="BG229" s="8"/>
      <c r="BH229" s="8"/>
      <c r="BI229" s="8"/>
      <c r="BJ229" s="8"/>
      <c r="BK229" s="8"/>
      <c r="BL229" s="4" t="str">
        <f t="shared" si="21"/>
        <v/>
      </c>
      <c r="BM229" s="8" t="str">
        <f t="shared" si="22"/>
        <v/>
      </c>
      <c r="BP229" t="str">
        <f>IF($BO229="","",IFERROR(VLOOKUP($BO229,'01_Warehouse_Ledger'!$A:$N,4,FALSE),""))</f>
        <v/>
      </c>
      <c r="BQ229" t="str">
        <f>IF($BO229="","",IFERROR(VLOOKUP($BO229,'01_Warehouse_Ledger'!$A:$N,5,FALSE),""))</f>
        <v/>
      </c>
      <c r="BR229" t="str">
        <f>IF($BO229="","",IFERROR(VLOOKUP($BO229,'01_Warehouse_Ledger'!$A:$N,13,FALSE),""))</f>
        <v/>
      </c>
    </row>
    <row r="230" spans="1:70" ht="15" customHeight="1">
      <c r="A230" s="8"/>
      <c r="B230" s="8"/>
      <c r="D230" s="15" t="str">
        <f t="shared" si="23"/>
        <v/>
      </c>
      <c r="E230" s="15" t="str">
        <f t="shared" si="24"/>
        <v/>
      </c>
      <c r="F230" t="str">
        <f t="shared" si="25"/>
        <v/>
      </c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8"/>
      <c r="AF230" s="4"/>
      <c r="AG230" s="4"/>
      <c r="AH230" s="1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8"/>
      <c r="AX230" s="8"/>
      <c r="AY230" s="8"/>
      <c r="AZ230" s="8"/>
      <c r="BA230" s="12"/>
      <c r="BB230" s="8"/>
      <c r="BC230" s="4"/>
      <c r="BD230" s="4"/>
      <c r="BE230" s="8"/>
      <c r="BF230" s="8"/>
      <c r="BG230" s="8"/>
      <c r="BH230" s="8"/>
      <c r="BI230" s="8"/>
      <c r="BJ230" s="8"/>
      <c r="BK230" s="8"/>
      <c r="BL230" s="4" t="str">
        <f t="shared" si="21"/>
        <v/>
      </c>
      <c r="BM230" s="8" t="str">
        <f t="shared" si="22"/>
        <v/>
      </c>
      <c r="BP230" t="str">
        <f>IF($BO230="","",IFERROR(VLOOKUP($BO230,'01_Warehouse_Ledger'!$A:$N,4,FALSE),""))</f>
        <v/>
      </c>
      <c r="BQ230" t="str">
        <f>IF($BO230="","",IFERROR(VLOOKUP($BO230,'01_Warehouse_Ledger'!$A:$N,5,FALSE),""))</f>
        <v/>
      </c>
      <c r="BR230" t="str">
        <f>IF($BO230="","",IFERROR(VLOOKUP($BO230,'01_Warehouse_Ledger'!$A:$N,13,FALSE),""))</f>
        <v/>
      </c>
    </row>
    <row r="231" spans="1:70" ht="15" customHeight="1">
      <c r="A231" s="8"/>
      <c r="B231" s="8"/>
      <c r="D231" s="15" t="str">
        <f t="shared" si="23"/>
        <v/>
      </c>
      <c r="E231" s="15" t="str">
        <f t="shared" si="24"/>
        <v/>
      </c>
      <c r="F231" t="str">
        <f t="shared" si="25"/>
        <v/>
      </c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8"/>
      <c r="AF231" s="4"/>
      <c r="AG231" s="4"/>
      <c r="AH231" s="1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8"/>
      <c r="AX231" s="8"/>
      <c r="AY231" s="8"/>
      <c r="AZ231" s="8"/>
      <c r="BA231" s="12"/>
      <c r="BB231" s="8"/>
      <c r="BC231" s="4"/>
      <c r="BD231" s="4"/>
      <c r="BE231" s="8"/>
      <c r="BF231" s="8"/>
      <c r="BG231" s="8"/>
      <c r="BH231" s="8"/>
      <c r="BI231" s="8"/>
      <c r="BJ231" s="8"/>
      <c r="BK231" s="8"/>
      <c r="BL231" s="4" t="str">
        <f t="shared" si="21"/>
        <v/>
      </c>
      <c r="BM231" s="8" t="str">
        <f t="shared" si="22"/>
        <v/>
      </c>
      <c r="BP231" t="str">
        <f>IF($BO231="","",IFERROR(VLOOKUP($BO231,'01_Warehouse_Ledger'!$A:$N,4,FALSE),""))</f>
        <v/>
      </c>
      <c r="BQ231" t="str">
        <f>IF($BO231="","",IFERROR(VLOOKUP($BO231,'01_Warehouse_Ledger'!$A:$N,5,FALSE),""))</f>
        <v/>
      </c>
      <c r="BR231" t="str">
        <f>IF($BO231="","",IFERROR(VLOOKUP($BO231,'01_Warehouse_Ledger'!$A:$N,13,FALSE),""))</f>
        <v/>
      </c>
    </row>
    <row r="232" spans="1:70" ht="15" customHeight="1">
      <c r="A232" s="8"/>
      <c r="B232" s="8"/>
      <c r="D232" s="15" t="str">
        <f t="shared" si="23"/>
        <v/>
      </c>
      <c r="E232" s="15" t="str">
        <f t="shared" si="24"/>
        <v/>
      </c>
      <c r="F232" t="str">
        <f t="shared" si="25"/>
        <v/>
      </c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8"/>
      <c r="AF232" s="4"/>
      <c r="AG232" s="4"/>
      <c r="AH232" s="1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8"/>
      <c r="AX232" s="8"/>
      <c r="AY232" s="8"/>
      <c r="AZ232" s="8"/>
      <c r="BA232" s="12"/>
      <c r="BB232" s="8"/>
      <c r="BC232" s="4"/>
      <c r="BD232" s="4"/>
      <c r="BE232" s="8"/>
      <c r="BF232" s="8"/>
      <c r="BG232" s="8"/>
      <c r="BH232" s="8"/>
      <c r="BI232" s="8"/>
      <c r="BJ232" s="8"/>
      <c r="BK232" s="8"/>
      <c r="BL232" s="4" t="str">
        <f t="shared" si="21"/>
        <v/>
      </c>
      <c r="BM232" s="8" t="str">
        <f t="shared" si="22"/>
        <v/>
      </c>
      <c r="BP232" t="str">
        <f>IF($BO232="","",IFERROR(VLOOKUP($BO232,'01_Warehouse_Ledger'!$A:$N,4,FALSE),""))</f>
        <v/>
      </c>
      <c r="BQ232" t="str">
        <f>IF($BO232="","",IFERROR(VLOOKUP($BO232,'01_Warehouse_Ledger'!$A:$N,5,FALSE),""))</f>
        <v/>
      </c>
      <c r="BR232" t="str">
        <f>IF($BO232="","",IFERROR(VLOOKUP($BO232,'01_Warehouse_Ledger'!$A:$N,13,FALSE),""))</f>
        <v/>
      </c>
    </row>
    <row r="233" spans="1:70" ht="15" customHeight="1">
      <c r="A233" s="8"/>
      <c r="B233" s="8"/>
      <c r="D233" s="15" t="str">
        <f t="shared" si="23"/>
        <v/>
      </c>
      <c r="E233" s="15" t="str">
        <f t="shared" si="24"/>
        <v/>
      </c>
      <c r="F233" t="str">
        <f t="shared" si="25"/>
        <v/>
      </c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8"/>
      <c r="AF233" s="4"/>
      <c r="AG233" s="4"/>
      <c r="AH233" s="1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8"/>
      <c r="AX233" s="8"/>
      <c r="AY233" s="8"/>
      <c r="AZ233" s="8"/>
      <c r="BA233" s="12"/>
      <c r="BB233" s="8"/>
      <c r="BC233" s="4"/>
      <c r="BD233" s="4"/>
      <c r="BE233" s="8"/>
      <c r="BF233" s="8"/>
      <c r="BG233" s="8"/>
      <c r="BH233" s="8"/>
      <c r="BI233" s="8"/>
      <c r="BJ233" s="8"/>
      <c r="BK233" s="8"/>
      <c r="BL233" s="4" t="str">
        <f t="shared" si="21"/>
        <v/>
      </c>
      <c r="BM233" s="8" t="str">
        <f t="shared" si="22"/>
        <v/>
      </c>
      <c r="BP233" t="str">
        <f>IF($BO233="","",IFERROR(VLOOKUP($BO233,'01_Warehouse_Ledger'!$A:$N,4,FALSE),""))</f>
        <v/>
      </c>
      <c r="BQ233" t="str">
        <f>IF($BO233="","",IFERROR(VLOOKUP($BO233,'01_Warehouse_Ledger'!$A:$N,5,FALSE),""))</f>
        <v/>
      </c>
      <c r="BR233" t="str">
        <f>IF($BO233="","",IFERROR(VLOOKUP($BO233,'01_Warehouse_Ledger'!$A:$N,13,FALSE),""))</f>
        <v/>
      </c>
    </row>
    <row r="234" spans="1:70" ht="15" customHeight="1">
      <c r="A234" s="8"/>
      <c r="B234" s="8"/>
      <c r="D234" s="15" t="str">
        <f t="shared" si="23"/>
        <v/>
      </c>
      <c r="E234" s="15" t="str">
        <f t="shared" si="24"/>
        <v/>
      </c>
      <c r="F234" t="str">
        <f t="shared" si="25"/>
        <v/>
      </c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8"/>
      <c r="AF234" s="4"/>
      <c r="AG234" s="4"/>
      <c r="AH234" s="1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8"/>
      <c r="AX234" s="8"/>
      <c r="AY234" s="8"/>
      <c r="AZ234" s="8"/>
      <c r="BA234" s="12"/>
      <c r="BB234" s="8"/>
      <c r="BC234" s="4"/>
      <c r="BD234" s="4"/>
      <c r="BE234" s="8"/>
      <c r="BF234" s="8"/>
      <c r="BG234" s="8"/>
      <c r="BH234" s="8"/>
      <c r="BI234" s="8"/>
      <c r="BJ234" s="8"/>
      <c r="BK234" s="8"/>
      <c r="BL234" s="4" t="str">
        <f t="shared" si="21"/>
        <v/>
      </c>
      <c r="BM234" s="8" t="str">
        <f t="shared" si="22"/>
        <v/>
      </c>
      <c r="BP234" t="str">
        <f>IF($BO234="","",IFERROR(VLOOKUP($BO234,'01_Warehouse_Ledger'!$A:$N,4,FALSE),""))</f>
        <v/>
      </c>
      <c r="BQ234" t="str">
        <f>IF($BO234="","",IFERROR(VLOOKUP($BO234,'01_Warehouse_Ledger'!$A:$N,5,FALSE),""))</f>
        <v/>
      </c>
      <c r="BR234" t="str">
        <f>IF($BO234="","",IFERROR(VLOOKUP($BO234,'01_Warehouse_Ledger'!$A:$N,13,FALSE),""))</f>
        <v/>
      </c>
    </row>
    <row r="235" spans="1:70" ht="15" customHeight="1">
      <c r="A235" s="8"/>
      <c r="B235" s="8"/>
      <c r="D235" s="15" t="str">
        <f t="shared" si="23"/>
        <v/>
      </c>
      <c r="E235" s="15" t="str">
        <f t="shared" si="24"/>
        <v/>
      </c>
      <c r="F235" t="str">
        <f t="shared" si="25"/>
        <v/>
      </c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8"/>
      <c r="AF235" s="4"/>
      <c r="AG235" s="4"/>
      <c r="AH235" s="1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8"/>
      <c r="AX235" s="8"/>
      <c r="AY235" s="8"/>
      <c r="AZ235" s="8"/>
      <c r="BA235" s="12"/>
      <c r="BB235" s="8"/>
      <c r="BC235" s="4"/>
      <c r="BD235" s="4"/>
      <c r="BE235" s="8"/>
      <c r="BF235" s="8"/>
      <c r="BG235" s="8"/>
      <c r="BH235" s="8"/>
      <c r="BI235" s="8"/>
      <c r="BJ235" s="8"/>
      <c r="BK235" s="8"/>
      <c r="BL235" s="4" t="str">
        <f t="shared" si="21"/>
        <v/>
      </c>
      <c r="BM235" s="8" t="str">
        <f t="shared" si="22"/>
        <v/>
      </c>
      <c r="BP235" t="str">
        <f>IF($BO235="","",IFERROR(VLOOKUP($BO235,'01_Warehouse_Ledger'!$A:$N,4,FALSE),""))</f>
        <v/>
      </c>
      <c r="BQ235" t="str">
        <f>IF($BO235="","",IFERROR(VLOOKUP($BO235,'01_Warehouse_Ledger'!$A:$N,5,FALSE),""))</f>
        <v/>
      </c>
      <c r="BR235" t="str">
        <f>IF($BO235="","",IFERROR(VLOOKUP($BO235,'01_Warehouse_Ledger'!$A:$N,13,FALSE),""))</f>
        <v/>
      </c>
    </row>
    <row r="236" spans="1:70" ht="15" customHeight="1">
      <c r="A236" s="8"/>
      <c r="B236" s="8"/>
      <c r="D236" s="15" t="str">
        <f t="shared" si="23"/>
        <v/>
      </c>
      <c r="E236" s="15" t="str">
        <f t="shared" si="24"/>
        <v/>
      </c>
      <c r="F236" t="str">
        <f t="shared" si="25"/>
        <v/>
      </c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8"/>
      <c r="AF236" s="4"/>
      <c r="AG236" s="4"/>
      <c r="AH236" s="1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8"/>
      <c r="AX236" s="8"/>
      <c r="AY236" s="8"/>
      <c r="AZ236" s="8"/>
      <c r="BA236" s="12"/>
      <c r="BB236" s="8"/>
      <c r="BC236" s="4"/>
      <c r="BD236" s="4"/>
      <c r="BE236" s="8"/>
      <c r="BF236" s="8"/>
      <c r="BG236" s="8"/>
      <c r="BH236" s="8"/>
      <c r="BI236" s="8"/>
      <c r="BJ236" s="8"/>
      <c r="BK236" s="8"/>
      <c r="BL236" s="4" t="str">
        <f t="shared" si="21"/>
        <v/>
      </c>
      <c r="BM236" s="8" t="str">
        <f t="shared" si="22"/>
        <v/>
      </c>
      <c r="BP236" t="str">
        <f>IF($BO236="","",IFERROR(VLOOKUP($BO236,'01_Warehouse_Ledger'!$A:$N,4,FALSE),""))</f>
        <v/>
      </c>
      <c r="BQ236" t="str">
        <f>IF($BO236="","",IFERROR(VLOOKUP($BO236,'01_Warehouse_Ledger'!$A:$N,5,FALSE),""))</f>
        <v/>
      </c>
      <c r="BR236" t="str">
        <f>IF($BO236="","",IFERROR(VLOOKUP($BO236,'01_Warehouse_Ledger'!$A:$N,13,FALSE),""))</f>
        <v/>
      </c>
    </row>
    <row r="237" spans="1:70" ht="15" customHeight="1">
      <c r="A237" s="8"/>
      <c r="B237" s="8"/>
      <c r="D237" s="15" t="str">
        <f t="shared" si="23"/>
        <v/>
      </c>
      <c r="E237" s="15" t="str">
        <f t="shared" si="24"/>
        <v/>
      </c>
      <c r="F237" t="str">
        <f t="shared" si="25"/>
        <v/>
      </c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8"/>
      <c r="AF237" s="4"/>
      <c r="AG237" s="4"/>
      <c r="AH237" s="1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8"/>
      <c r="AX237" s="8"/>
      <c r="AY237" s="8"/>
      <c r="AZ237" s="8"/>
      <c r="BA237" s="12"/>
      <c r="BB237" s="8"/>
      <c r="BC237" s="4"/>
      <c r="BD237" s="4"/>
      <c r="BE237" s="8"/>
      <c r="BF237" s="8"/>
      <c r="BG237" s="8"/>
      <c r="BH237" s="8"/>
      <c r="BI237" s="8"/>
      <c r="BJ237" s="8"/>
      <c r="BK237" s="8"/>
      <c r="BL237" s="4" t="str">
        <f t="shared" si="21"/>
        <v/>
      </c>
      <c r="BM237" s="8" t="str">
        <f t="shared" si="22"/>
        <v/>
      </c>
      <c r="BP237" t="str">
        <f>IF($BO237="","",IFERROR(VLOOKUP($BO237,'01_Warehouse_Ledger'!$A:$N,4,FALSE),""))</f>
        <v/>
      </c>
      <c r="BQ237" t="str">
        <f>IF($BO237="","",IFERROR(VLOOKUP($BO237,'01_Warehouse_Ledger'!$A:$N,5,FALSE),""))</f>
        <v/>
      </c>
      <c r="BR237" t="str">
        <f>IF($BO237="","",IFERROR(VLOOKUP($BO237,'01_Warehouse_Ledger'!$A:$N,13,FALSE),""))</f>
        <v/>
      </c>
    </row>
    <row r="238" spans="1:70" ht="15" customHeight="1">
      <c r="A238" s="8"/>
      <c r="B238" s="8"/>
      <c r="D238" s="15" t="str">
        <f t="shared" si="23"/>
        <v/>
      </c>
      <c r="E238" s="15" t="str">
        <f t="shared" si="24"/>
        <v/>
      </c>
      <c r="F238" t="str">
        <f t="shared" si="25"/>
        <v/>
      </c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8"/>
      <c r="AF238" s="4"/>
      <c r="AG238" s="4"/>
      <c r="AH238" s="1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8"/>
      <c r="AX238" s="8"/>
      <c r="AY238" s="8"/>
      <c r="AZ238" s="8"/>
      <c r="BA238" s="12"/>
      <c r="BB238" s="8"/>
      <c r="BC238" s="4"/>
      <c r="BD238" s="4"/>
      <c r="BE238" s="8"/>
      <c r="BF238" s="8"/>
      <c r="BG238" s="8"/>
      <c r="BH238" s="8"/>
      <c r="BI238" s="8"/>
      <c r="BJ238" s="8"/>
      <c r="BK238" s="8"/>
      <c r="BL238" s="4" t="str">
        <f t="shared" si="21"/>
        <v/>
      </c>
      <c r="BM238" s="8" t="str">
        <f t="shared" si="22"/>
        <v/>
      </c>
      <c r="BP238" t="str">
        <f>IF($BO238="","",IFERROR(VLOOKUP($BO238,'01_Warehouse_Ledger'!$A:$N,4,FALSE),""))</f>
        <v/>
      </c>
      <c r="BQ238" t="str">
        <f>IF($BO238="","",IFERROR(VLOOKUP($BO238,'01_Warehouse_Ledger'!$A:$N,5,FALSE),""))</f>
        <v/>
      </c>
      <c r="BR238" t="str">
        <f>IF($BO238="","",IFERROR(VLOOKUP($BO238,'01_Warehouse_Ledger'!$A:$N,13,FALSE),""))</f>
        <v/>
      </c>
    </row>
    <row r="239" spans="1:70" ht="15" customHeight="1">
      <c r="A239" s="8"/>
      <c r="B239" s="8"/>
      <c r="D239" s="15" t="str">
        <f t="shared" si="23"/>
        <v/>
      </c>
      <c r="E239" s="15" t="str">
        <f t="shared" si="24"/>
        <v/>
      </c>
      <c r="F239" t="str">
        <f t="shared" si="25"/>
        <v/>
      </c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8"/>
      <c r="AF239" s="4"/>
      <c r="AG239" s="4"/>
      <c r="AH239" s="1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8"/>
      <c r="AX239" s="8"/>
      <c r="AY239" s="8"/>
      <c r="AZ239" s="8"/>
      <c r="BA239" s="12"/>
      <c r="BB239" s="8"/>
      <c r="BC239" s="4"/>
      <c r="BD239" s="4"/>
      <c r="BE239" s="8"/>
      <c r="BF239" s="8"/>
      <c r="BG239" s="8"/>
      <c r="BH239" s="8"/>
      <c r="BI239" s="8"/>
      <c r="BJ239" s="8"/>
      <c r="BK239" s="8"/>
      <c r="BL239" s="4" t="str">
        <f t="shared" si="21"/>
        <v/>
      </c>
      <c r="BM239" s="8" t="str">
        <f t="shared" si="22"/>
        <v/>
      </c>
      <c r="BP239" t="str">
        <f>IF($BO239="","",IFERROR(VLOOKUP($BO239,'01_Warehouse_Ledger'!$A:$N,4,FALSE),""))</f>
        <v/>
      </c>
      <c r="BQ239" t="str">
        <f>IF($BO239="","",IFERROR(VLOOKUP($BO239,'01_Warehouse_Ledger'!$A:$N,5,FALSE),""))</f>
        <v/>
      </c>
      <c r="BR239" t="str">
        <f>IF($BO239="","",IFERROR(VLOOKUP($BO239,'01_Warehouse_Ledger'!$A:$N,13,FALSE),""))</f>
        <v/>
      </c>
    </row>
    <row r="240" spans="1:70" ht="15" customHeight="1">
      <c r="A240" s="8"/>
      <c r="B240" s="8"/>
      <c r="D240" s="15" t="str">
        <f t="shared" si="23"/>
        <v/>
      </c>
      <c r="E240" s="15" t="str">
        <f t="shared" si="24"/>
        <v/>
      </c>
      <c r="F240" t="str">
        <f t="shared" si="25"/>
        <v/>
      </c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8"/>
      <c r="AF240" s="4"/>
      <c r="AG240" s="4"/>
      <c r="AH240" s="1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8"/>
      <c r="AX240" s="8"/>
      <c r="AY240" s="8"/>
      <c r="AZ240" s="8"/>
      <c r="BA240" s="12"/>
      <c r="BB240" s="8"/>
      <c r="BC240" s="4"/>
      <c r="BD240" s="4"/>
      <c r="BE240" s="8"/>
      <c r="BF240" s="8"/>
      <c r="BG240" s="8"/>
      <c r="BH240" s="8"/>
      <c r="BI240" s="8"/>
      <c r="BJ240" s="8"/>
      <c r="BK240" s="8"/>
      <c r="BL240" s="4" t="str">
        <f t="shared" si="21"/>
        <v/>
      </c>
      <c r="BM240" s="8" t="str">
        <f t="shared" si="22"/>
        <v/>
      </c>
      <c r="BP240" t="str">
        <f>IF($BO240="","",IFERROR(VLOOKUP($BO240,'01_Warehouse_Ledger'!$A:$N,4,FALSE),""))</f>
        <v/>
      </c>
      <c r="BQ240" t="str">
        <f>IF($BO240="","",IFERROR(VLOOKUP($BO240,'01_Warehouse_Ledger'!$A:$N,5,FALSE),""))</f>
        <v/>
      </c>
      <c r="BR240" t="str">
        <f>IF($BO240="","",IFERROR(VLOOKUP($BO240,'01_Warehouse_Ledger'!$A:$N,13,FALSE),""))</f>
        <v/>
      </c>
    </row>
    <row r="241" spans="1:70" ht="15" customHeight="1">
      <c r="A241" s="8"/>
      <c r="B241" s="8"/>
      <c r="D241" s="15" t="str">
        <f t="shared" si="23"/>
        <v/>
      </c>
      <c r="E241" s="15" t="str">
        <f t="shared" si="24"/>
        <v/>
      </c>
      <c r="F241" t="str">
        <f t="shared" si="25"/>
        <v/>
      </c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8"/>
      <c r="AF241" s="4"/>
      <c r="AG241" s="4"/>
      <c r="AH241" s="1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8"/>
      <c r="AX241" s="8"/>
      <c r="AY241" s="8"/>
      <c r="AZ241" s="8"/>
      <c r="BA241" s="12"/>
      <c r="BB241" s="8"/>
      <c r="BC241" s="4"/>
      <c r="BD241" s="4"/>
      <c r="BE241" s="8"/>
      <c r="BF241" s="8"/>
      <c r="BG241" s="8"/>
      <c r="BH241" s="8"/>
      <c r="BI241" s="8"/>
      <c r="BJ241" s="8"/>
      <c r="BK241" s="8"/>
      <c r="BL241" s="4" t="str">
        <f t="shared" si="21"/>
        <v/>
      </c>
      <c r="BM241" s="8" t="str">
        <f t="shared" si="22"/>
        <v/>
      </c>
      <c r="BP241" t="str">
        <f>IF($BO241="","",IFERROR(VLOOKUP($BO241,'01_Warehouse_Ledger'!$A:$N,4,FALSE),""))</f>
        <v/>
      </c>
      <c r="BQ241" t="str">
        <f>IF($BO241="","",IFERROR(VLOOKUP($BO241,'01_Warehouse_Ledger'!$A:$N,5,FALSE),""))</f>
        <v/>
      </c>
      <c r="BR241" t="str">
        <f>IF($BO241="","",IFERROR(VLOOKUP($BO241,'01_Warehouse_Ledger'!$A:$N,13,FALSE),""))</f>
        <v/>
      </c>
    </row>
    <row r="242" spans="1:70" ht="15" customHeight="1">
      <c r="A242" s="8"/>
      <c r="B242" s="8"/>
      <c r="D242" s="15" t="str">
        <f t="shared" si="23"/>
        <v/>
      </c>
      <c r="E242" s="15" t="str">
        <f t="shared" si="24"/>
        <v/>
      </c>
      <c r="F242" t="str">
        <f t="shared" si="25"/>
        <v/>
      </c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8"/>
      <c r="AF242" s="4"/>
      <c r="AG242" s="4"/>
      <c r="AH242" s="1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8"/>
      <c r="AX242" s="8"/>
      <c r="AY242" s="8"/>
      <c r="AZ242" s="8"/>
      <c r="BA242" s="12"/>
      <c r="BB242" s="8"/>
      <c r="BC242" s="4"/>
      <c r="BD242" s="4"/>
      <c r="BE242" s="8"/>
      <c r="BF242" s="8"/>
      <c r="BG242" s="8"/>
      <c r="BH242" s="8"/>
      <c r="BI242" s="8"/>
      <c r="BJ242" s="8"/>
      <c r="BK242" s="8"/>
      <c r="BL242" s="4" t="str">
        <f t="shared" si="21"/>
        <v/>
      </c>
      <c r="BM242" s="8" t="str">
        <f t="shared" si="22"/>
        <v/>
      </c>
      <c r="BP242" t="str">
        <f>IF($BO242="","",IFERROR(VLOOKUP($BO242,'01_Warehouse_Ledger'!$A:$N,4,FALSE),""))</f>
        <v/>
      </c>
      <c r="BQ242" t="str">
        <f>IF($BO242="","",IFERROR(VLOOKUP($BO242,'01_Warehouse_Ledger'!$A:$N,5,FALSE),""))</f>
        <v/>
      </c>
      <c r="BR242" t="str">
        <f>IF($BO242="","",IFERROR(VLOOKUP($BO242,'01_Warehouse_Ledger'!$A:$N,13,FALSE),""))</f>
        <v/>
      </c>
    </row>
    <row r="243" spans="1:70" ht="15" customHeight="1">
      <c r="A243" s="8"/>
      <c r="B243" s="8"/>
      <c r="D243" s="15" t="str">
        <f t="shared" si="23"/>
        <v/>
      </c>
      <c r="E243" s="15" t="str">
        <f t="shared" si="24"/>
        <v/>
      </c>
      <c r="F243" t="str">
        <f t="shared" si="25"/>
        <v/>
      </c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8"/>
      <c r="AF243" s="4"/>
      <c r="AG243" s="4"/>
      <c r="AH243" s="1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8"/>
      <c r="AX243" s="8"/>
      <c r="AY243" s="8"/>
      <c r="AZ243" s="8"/>
      <c r="BA243" s="12"/>
      <c r="BB243" s="8"/>
      <c r="BC243" s="4"/>
      <c r="BD243" s="4"/>
      <c r="BE243" s="8"/>
      <c r="BF243" s="8"/>
      <c r="BG243" s="8"/>
      <c r="BH243" s="8"/>
      <c r="BI243" s="8"/>
      <c r="BJ243" s="8"/>
      <c r="BK243" s="8"/>
      <c r="BL243" s="4" t="str">
        <f t="shared" ref="BL243:BL306" si="26">IF($T243="","",IF((IF(AND($AW243&lt;&gt;"Yes",$AW243&lt;&gt;"N/A"),"Power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",""))="","",LEFT(IF(AND($AW243&lt;&gt;"Yes",$AW243&lt;&gt;"N/A"),"Power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",""),LEN(IF(AND($AW243&lt;&gt;"Yes",$AW243&lt;&gt;"N/A"),"Power Cable, ","")&amp;IF(AND($AX243&lt;&gt;"Yes",$AX243&lt;&gt;"N/A"),"Battery, ","")&amp;IF(AND($BE243&lt;&gt;"Yes",$BE243&lt;&gt;"N/A"),"Firmware Download, ","")&amp;IF(AND(OR($BE243="Yes",$BE243="N/A"),$BF243&lt;&gt;"Yes",$BF243&lt;&gt;"N/A"),"Firmware Install, ","")&amp;IF(AND($BJ243&lt;&gt;"Yes",$BJ243&lt;&gt;"N/A"),"Device ID, ","")&amp;IF(AND($BK243&lt;&gt;"Yes",$BK243&lt;&gt;"N/A"),"Epic Beans Relay, ",""))-2)))</f>
        <v/>
      </c>
      <c r="BM243" s="8" t="str">
        <f t="shared" ref="BM243:BM306" si="27">IF($T243="","",IF($BL243="","Yes","Blocked"))</f>
        <v/>
      </c>
      <c r="BP243" t="str">
        <f>IF($BO243="","",IFERROR(VLOOKUP($BO243,'01_Warehouse_Ledger'!$A:$N,4,FALSE),""))</f>
        <v/>
      </c>
      <c r="BQ243" t="str">
        <f>IF($BO243="","",IFERROR(VLOOKUP($BO243,'01_Warehouse_Ledger'!$A:$N,5,FALSE),""))</f>
        <v/>
      </c>
      <c r="BR243" t="str">
        <f>IF($BO243="","",IFERROR(VLOOKUP($BO243,'01_Warehouse_Ledger'!$A:$N,13,FALSE),""))</f>
        <v/>
      </c>
    </row>
    <row r="244" spans="1:70" ht="15" customHeight="1">
      <c r="A244" s="8"/>
      <c r="B244" s="8"/>
      <c r="D244" s="15" t="str">
        <f t="shared" si="23"/>
        <v/>
      </c>
      <c r="E244" s="15" t="str">
        <f t="shared" si="24"/>
        <v/>
      </c>
      <c r="F244" t="str">
        <f t="shared" si="25"/>
        <v/>
      </c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8"/>
      <c r="AF244" s="4"/>
      <c r="AG244" s="4"/>
      <c r="AH244" s="1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8"/>
      <c r="AX244" s="8"/>
      <c r="AY244" s="8"/>
      <c r="AZ244" s="8"/>
      <c r="BA244" s="12"/>
      <c r="BB244" s="8"/>
      <c r="BC244" s="4"/>
      <c r="BD244" s="4"/>
      <c r="BE244" s="8"/>
      <c r="BF244" s="8"/>
      <c r="BG244" s="8"/>
      <c r="BH244" s="8"/>
      <c r="BI244" s="8"/>
      <c r="BJ244" s="8"/>
      <c r="BK244" s="8"/>
      <c r="BL244" s="4" t="str">
        <f t="shared" si="26"/>
        <v/>
      </c>
      <c r="BM244" s="8" t="str">
        <f t="shared" si="27"/>
        <v/>
      </c>
      <c r="BP244" t="str">
        <f>IF($BO244="","",IFERROR(VLOOKUP($BO244,'01_Warehouse_Ledger'!$A:$N,4,FALSE),""))</f>
        <v/>
      </c>
      <c r="BQ244" t="str">
        <f>IF($BO244="","",IFERROR(VLOOKUP($BO244,'01_Warehouse_Ledger'!$A:$N,5,FALSE),""))</f>
        <v/>
      </c>
      <c r="BR244" t="str">
        <f>IF($BO244="","",IFERROR(VLOOKUP($BO244,'01_Warehouse_Ledger'!$A:$N,13,FALSE),""))</f>
        <v/>
      </c>
    </row>
    <row r="245" spans="1:70" ht="15" customHeight="1">
      <c r="A245" s="8"/>
      <c r="B245" s="8"/>
      <c r="D245" s="15" t="str">
        <f t="shared" si="23"/>
        <v/>
      </c>
      <c r="E245" s="15" t="str">
        <f t="shared" si="24"/>
        <v/>
      </c>
      <c r="F245" t="str">
        <f t="shared" si="25"/>
        <v/>
      </c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8"/>
      <c r="AF245" s="4"/>
      <c r="AG245" s="4"/>
      <c r="AH245" s="1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8"/>
      <c r="AX245" s="8"/>
      <c r="AY245" s="8"/>
      <c r="AZ245" s="8"/>
      <c r="BA245" s="12"/>
      <c r="BB245" s="8"/>
      <c r="BC245" s="4"/>
      <c r="BD245" s="4"/>
      <c r="BE245" s="8"/>
      <c r="BF245" s="8"/>
      <c r="BG245" s="8"/>
      <c r="BH245" s="8"/>
      <c r="BI245" s="8"/>
      <c r="BJ245" s="8"/>
      <c r="BK245" s="8"/>
      <c r="BL245" s="4" t="str">
        <f t="shared" si="26"/>
        <v/>
      </c>
      <c r="BM245" s="8" t="str">
        <f t="shared" si="27"/>
        <v/>
      </c>
      <c r="BP245" t="str">
        <f>IF($BO245="","",IFERROR(VLOOKUP($BO245,'01_Warehouse_Ledger'!$A:$N,4,FALSE),""))</f>
        <v/>
      </c>
      <c r="BQ245" t="str">
        <f>IF($BO245="","",IFERROR(VLOOKUP($BO245,'01_Warehouse_Ledger'!$A:$N,5,FALSE),""))</f>
        <v/>
      </c>
      <c r="BR245" t="str">
        <f>IF($BO245="","",IFERROR(VLOOKUP($BO245,'01_Warehouse_Ledger'!$A:$N,13,FALSE),""))</f>
        <v/>
      </c>
    </row>
    <row r="246" spans="1:70" ht="15" customHeight="1">
      <c r="A246" s="8"/>
      <c r="B246" s="8"/>
      <c r="D246" s="15" t="str">
        <f t="shared" si="23"/>
        <v/>
      </c>
      <c r="E246" s="15" t="str">
        <f t="shared" si="24"/>
        <v/>
      </c>
      <c r="F246" t="str">
        <f t="shared" si="25"/>
        <v/>
      </c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8"/>
      <c r="AF246" s="4"/>
      <c r="AG246" s="4"/>
      <c r="AH246" s="1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8"/>
      <c r="AX246" s="8"/>
      <c r="AY246" s="8"/>
      <c r="AZ246" s="8"/>
      <c r="BA246" s="12"/>
      <c r="BB246" s="8"/>
      <c r="BC246" s="4"/>
      <c r="BD246" s="4"/>
      <c r="BE246" s="8"/>
      <c r="BF246" s="8"/>
      <c r="BG246" s="8"/>
      <c r="BH246" s="8"/>
      <c r="BI246" s="8"/>
      <c r="BJ246" s="8"/>
      <c r="BK246" s="8"/>
      <c r="BL246" s="4" t="str">
        <f t="shared" si="26"/>
        <v/>
      </c>
      <c r="BM246" s="8" t="str">
        <f t="shared" si="27"/>
        <v/>
      </c>
      <c r="BP246" t="str">
        <f>IF($BO246="","",IFERROR(VLOOKUP($BO246,'01_Warehouse_Ledger'!$A:$N,4,FALSE),""))</f>
        <v/>
      </c>
      <c r="BQ246" t="str">
        <f>IF($BO246="","",IFERROR(VLOOKUP($BO246,'01_Warehouse_Ledger'!$A:$N,5,FALSE),""))</f>
        <v/>
      </c>
      <c r="BR246" t="str">
        <f>IF($BO246="","",IFERROR(VLOOKUP($BO246,'01_Warehouse_Ledger'!$A:$N,13,FALSE),""))</f>
        <v/>
      </c>
    </row>
    <row r="247" spans="1:70" ht="15" customHeight="1">
      <c r="A247" s="8"/>
      <c r="B247" s="8"/>
      <c r="D247" s="15" t="str">
        <f t="shared" si="23"/>
        <v/>
      </c>
      <c r="E247" s="15" t="str">
        <f t="shared" si="24"/>
        <v/>
      </c>
      <c r="F247" t="str">
        <f t="shared" si="25"/>
        <v/>
      </c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8"/>
      <c r="AF247" s="4"/>
      <c r="AG247" s="4"/>
      <c r="AH247" s="1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8"/>
      <c r="AX247" s="8"/>
      <c r="AY247" s="8"/>
      <c r="AZ247" s="8"/>
      <c r="BA247" s="12"/>
      <c r="BB247" s="8"/>
      <c r="BC247" s="4"/>
      <c r="BD247" s="4"/>
      <c r="BE247" s="8"/>
      <c r="BF247" s="8"/>
      <c r="BG247" s="8"/>
      <c r="BH247" s="8"/>
      <c r="BI247" s="8"/>
      <c r="BJ247" s="8"/>
      <c r="BK247" s="8"/>
      <c r="BL247" s="4" t="str">
        <f t="shared" si="26"/>
        <v/>
      </c>
      <c r="BM247" s="8" t="str">
        <f t="shared" si="27"/>
        <v/>
      </c>
      <c r="BP247" t="str">
        <f>IF($BO247="","",IFERROR(VLOOKUP($BO247,'01_Warehouse_Ledger'!$A:$N,4,FALSE),""))</f>
        <v/>
      </c>
      <c r="BQ247" t="str">
        <f>IF($BO247="","",IFERROR(VLOOKUP($BO247,'01_Warehouse_Ledger'!$A:$N,5,FALSE),""))</f>
        <v/>
      </c>
      <c r="BR247" t="str">
        <f>IF($BO247="","",IFERROR(VLOOKUP($BO247,'01_Warehouse_Ledger'!$A:$N,13,FALSE),""))</f>
        <v/>
      </c>
    </row>
    <row r="248" spans="1:70" ht="15" customHeight="1">
      <c r="A248" s="8"/>
      <c r="B248" s="8"/>
      <c r="D248" s="15" t="str">
        <f t="shared" si="23"/>
        <v/>
      </c>
      <c r="E248" s="15" t="str">
        <f t="shared" si="24"/>
        <v/>
      </c>
      <c r="F248" t="str">
        <f t="shared" si="25"/>
        <v/>
      </c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8"/>
      <c r="AF248" s="4"/>
      <c r="AG248" s="4"/>
      <c r="AH248" s="1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8"/>
      <c r="AX248" s="8"/>
      <c r="AY248" s="8"/>
      <c r="AZ248" s="8"/>
      <c r="BA248" s="12"/>
      <c r="BB248" s="8"/>
      <c r="BC248" s="4"/>
      <c r="BD248" s="4"/>
      <c r="BE248" s="8"/>
      <c r="BF248" s="8"/>
      <c r="BG248" s="8"/>
      <c r="BH248" s="8"/>
      <c r="BI248" s="8"/>
      <c r="BJ248" s="8"/>
      <c r="BK248" s="8"/>
      <c r="BL248" s="4" t="str">
        <f t="shared" si="26"/>
        <v/>
      </c>
      <c r="BM248" s="8" t="str">
        <f t="shared" si="27"/>
        <v/>
      </c>
      <c r="BP248" t="str">
        <f>IF($BO248="","",IFERROR(VLOOKUP($BO248,'01_Warehouse_Ledger'!$A:$N,4,FALSE),""))</f>
        <v/>
      </c>
      <c r="BQ248" t="str">
        <f>IF($BO248="","",IFERROR(VLOOKUP($BO248,'01_Warehouse_Ledger'!$A:$N,5,FALSE),""))</f>
        <v/>
      </c>
      <c r="BR248" t="str">
        <f>IF($BO248="","",IFERROR(VLOOKUP($BO248,'01_Warehouse_Ledger'!$A:$N,13,FALSE),""))</f>
        <v/>
      </c>
    </row>
    <row r="249" spans="1:70" ht="15" customHeight="1">
      <c r="A249" s="8"/>
      <c r="B249" s="8"/>
      <c r="D249" s="15" t="str">
        <f t="shared" si="23"/>
        <v/>
      </c>
      <c r="E249" s="15" t="str">
        <f t="shared" si="24"/>
        <v/>
      </c>
      <c r="F249" t="str">
        <f t="shared" si="25"/>
        <v/>
      </c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8"/>
      <c r="AF249" s="4"/>
      <c r="AG249" s="4"/>
      <c r="AH249" s="1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8"/>
      <c r="AX249" s="8"/>
      <c r="AY249" s="8"/>
      <c r="AZ249" s="8"/>
      <c r="BA249" s="12"/>
      <c r="BB249" s="8"/>
      <c r="BC249" s="4"/>
      <c r="BD249" s="4"/>
      <c r="BE249" s="8"/>
      <c r="BF249" s="8"/>
      <c r="BG249" s="8"/>
      <c r="BH249" s="8"/>
      <c r="BI249" s="8"/>
      <c r="BJ249" s="8"/>
      <c r="BK249" s="8"/>
      <c r="BL249" s="4" t="str">
        <f t="shared" si="26"/>
        <v/>
      </c>
      <c r="BM249" s="8" t="str">
        <f t="shared" si="27"/>
        <v/>
      </c>
      <c r="BP249" t="str">
        <f>IF($BO249="","",IFERROR(VLOOKUP($BO249,'01_Warehouse_Ledger'!$A:$N,4,FALSE),""))</f>
        <v/>
      </c>
      <c r="BQ249" t="str">
        <f>IF($BO249="","",IFERROR(VLOOKUP($BO249,'01_Warehouse_Ledger'!$A:$N,5,FALSE),""))</f>
        <v/>
      </c>
      <c r="BR249" t="str">
        <f>IF($BO249="","",IFERROR(VLOOKUP($BO249,'01_Warehouse_Ledger'!$A:$N,13,FALSE),""))</f>
        <v/>
      </c>
    </row>
    <row r="250" spans="1:70" ht="15" customHeight="1">
      <c r="A250" s="8"/>
      <c r="B250" s="8"/>
      <c r="D250" s="15" t="str">
        <f t="shared" si="23"/>
        <v/>
      </c>
      <c r="E250" s="15" t="str">
        <f t="shared" si="24"/>
        <v/>
      </c>
      <c r="F250" t="str">
        <f t="shared" si="25"/>
        <v/>
      </c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8"/>
      <c r="AF250" s="4"/>
      <c r="AG250" s="4"/>
      <c r="AH250" s="1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8"/>
      <c r="AX250" s="8"/>
      <c r="AY250" s="8"/>
      <c r="AZ250" s="8"/>
      <c r="BA250" s="12"/>
      <c r="BB250" s="8"/>
      <c r="BC250" s="4"/>
      <c r="BD250" s="4"/>
      <c r="BE250" s="8"/>
      <c r="BF250" s="8"/>
      <c r="BG250" s="8"/>
      <c r="BH250" s="8"/>
      <c r="BI250" s="8"/>
      <c r="BJ250" s="8"/>
      <c r="BK250" s="8"/>
      <c r="BL250" s="4" t="str">
        <f t="shared" si="26"/>
        <v/>
      </c>
      <c r="BM250" s="8" t="str">
        <f t="shared" si="27"/>
        <v/>
      </c>
      <c r="BP250" t="str">
        <f>IF($BO250="","",IFERROR(VLOOKUP($BO250,'01_Warehouse_Ledger'!$A:$N,4,FALSE),""))</f>
        <v/>
      </c>
      <c r="BQ250" t="str">
        <f>IF($BO250="","",IFERROR(VLOOKUP($BO250,'01_Warehouse_Ledger'!$A:$N,5,FALSE),""))</f>
        <v/>
      </c>
      <c r="BR250" t="str">
        <f>IF($BO250="","",IFERROR(VLOOKUP($BO250,'01_Warehouse_Ledger'!$A:$N,13,FALSE),""))</f>
        <v/>
      </c>
    </row>
    <row r="251" spans="1:70" ht="15" customHeight="1">
      <c r="A251" s="8"/>
      <c r="B251" s="8"/>
      <c r="D251" s="15" t="str">
        <f t="shared" si="23"/>
        <v/>
      </c>
      <c r="E251" s="15" t="str">
        <f t="shared" si="24"/>
        <v/>
      </c>
      <c r="F251" t="str">
        <f t="shared" si="25"/>
        <v/>
      </c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8"/>
      <c r="AF251" s="4"/>
      <c r="AG251" s="4"/>
      <c r="AH251" s="1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8"/>
      <c r="AX251" s="8"/>
      <c r="AY251" s="8"/>
      <c r="AZ251" s="8"/>
      <c r="BA251" s="12"/>
      <c r="BB251" s="8"/>
      <c r="BC251" s="4"/>
      <c r="BD251" s="4"/>
      <c r="BE251" s="8"/>
      <c r="BF251" s="8"/>
      <c r="BG251" s="8"/>
      <c r="BH251" s="8"/>
      <c r="BI251" s="8"/>
      <c r="BJ251" s="8"/>
      <c r="BK251" s="8"/>
      <c r="BL251" s="4" t="str">
        <f t="shared" si="26"/>
        <v/>
      </c>
      <c r="BM251" s="8" t="str">
        <f t="shared" si="27"/>
        <v/>
      </c>
      <c r="BP251" t="str">
        <f>IF($BO251="","",IFERROR(VLOOKUP($BO251,'01_Warehouse_Ledger'!$A:$N,4,FALSE),""))</f>
        <v/>
      </c>
      <c r="BQ251" t="str">
        <f>IF($BO251="","",IFERROR(VLOOKUP($BO251,'01_Warehouse_Ledger'!$A:$N,5,FALSE),""))</f>
        <v/>
      </c>
      <c r="BR251" t="str">
        <f>IF($BO251="","",IFERROR(VLOOKUP($BO251,'01_Warehouse_Ledger'!$A:$N,13,FALSE),""))</f>
        <v/>
      </c>
    </row>
    <row r="252" spans="1:70" ht="15" customHeight="1">
      <c r="A252" s="8"/>
      <c r="B252" s="8"/>
      <c r="D252" s="15" t="str">
        <f t="shared" si="23"/>
        <v/>
      </c>
      <c r="E252" s="15" t="str">
        <f t="shared" si="24"/>
        <v/>
      </c>
      <c r="F252" t="str">
        <f t="shared" si="25"/>
        <v/>
      </c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8"/>
      <c r="AF252" s="4"/>
      <c r="AG252" s="4"/>
      <c r="AH252" s="1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8"/>
      <c r="AX252" s="8"/>
      <c r="AY252" s="8"/>
      <c r="AZ252" s="8"/>
      <c r="BA252" s="12"/>
      <c r="BB252" s="8"/>
      <c r="BC252" s="4"/>
      <c r="BD252" s="4"/>
      <c r="BE252" s="8"/>
      <c r="BF252" s="8"/>
      <c r="BG252" s="8"/>
      <c r="BH252" s="8"/>
      <c r="BI252" s="8"/>
      <c r="BJ252" s="8"/>
      <c r="BK252" s="8"/>
      <c r="BL252" s="4" t="str">
        <f t="shared" si="26"/>
        <v/>
      </c>
      <c r="BM252" s="8" t="str">
        <f t="shared" si="27"/>
        <v/>
      </c>
      <c r="BP252" t="str">
        <f>IF($BO252="","",IFERROR(VLOOKUP($BO252,'01_Warehouse_Ledger'!$A:$N,4,FALSE),""))</f>
        <v/>
      </c>
      <c r="BQ252" t="str">
        <f>IF($BO252="","",IFERROR(VLOOKUP($BO252,'01_Warehouse_Ledger'!$A:$N,5,FALSE),""))</f>
        <v/>
      </c>
      <c r="BR252" t="str">
        <f>IF($BO252="","",IFERROR(VLOOKUP($BO252,'01_Warehouse_Ledger'!$A:$N,13,FALSE),""))</f>
        <v/>
      </c>
    </row>
    <row r="253" spans="1:70" ht="15" customHeight="1">
      <c r="A253" s="8"/>
      <c r="B253" s="8"/>
      <c r="D253" s="15" t="str">
        <f t="shared" si="23"/>
        <v/>
      </c>
      <c r="E253" s="15" t="str">
        <f t="shared" si="24"/>
        <v/>
      </c>
      <c r="F253" t="str">
        <f t="shared" si="25"/>
        <v/>
      </c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8"/>
      <c r="AF253" s="4"/>
      <c r="AG253" s="4"/>
      <c r="AH253" s="1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8"/>
      <c r="AX253" s="8"/>
      <c r="AY253" s="8"/>
      <c r="AZ253" s="8"/>
      <c r="BA253" s="12"/>
      <c r="BB253" s="8"/>
      <c r="BC253" s="4"/>
      <c r="BD253" s="4"/>
      <c r="BE253" s="8"/>
      <c r="BF253" s="8"/>
      <c r="BG253" s="8"/>
      <c r="BH253" s="8"/>
      <c r="BI253" s="8"/>
      <c r="BJ253" s="8"/>
      <c r="BK253" s="8"/>
      <c r="BL253" s="4" t="str">
        <f t="shared" si="26"/>
        <v/>
      </c>
      <c r="BM253" s="8" t="str">
        <f t="shared" si="27"/>
        <v/>
      </c>
      <c r="BP253" t="str">
        <f>IF($BO253="","",IFERROR(VLOOKUP($BO253,'01_Warehouse_Ledger'!$A:$N,4,FALSE),""))</f>
        <v/>
      </c>
      <c r="BQ253" t="str">
        <f>IF($BO253="","",IFERROR(VLOOKUP($BO253,'01_Warehouse_Ledger'!$A:$N,5,FALSE),""))</f>
        <v/>
      </c>
      <c r="BR253" t="str">
        <f>IF($BO253="","",IFERROR(VLOOKUP($BO253,'01_Warehouse_Ledger'!$A:$N,13,FALSE),""))</f>
        <v/>
      </c>
    </row>
    <row r="254" spans="1:70" ht="15" customHeight="1">
      <c r="A254" s="8"/>
      <c r="B254" s="8"/>
      <c r="D254" s="15" t="str">
        <f t="shared" si="23"/>
        <v/>
      </c>
      <c r="E254" s="15" t="str">
        <f t="shared" si="24"/>
        <v/>
      </c>
      <c r="F254" t="str">
        <f t="shared" si="25"/>
        <v/>
      </c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8"/>
      <c r="AF254" s="4"/>
      <c r="AG254" s="4"/>
      <c r="AH254" s="1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8"/>
      <c r="AX254" s="8"/>
      <c r="AY254" s="8"/>
      <c r="AZ254" s="8"/>
      <c r="BA254" s="12"/>
      <c r="BB254" s="8"/>
      <c r="BC254" s="4"/>
      <c r="BD254" s="4"/>
      <c r="BE254" s="8"/>
      <c r="BF254" s="8"/>
      <c r="BG254" s="8"/>
      <c r="BH254" s="8"/>
      <c r="BI254" s="8"/>
      <c r="BJ254" s="8"/>
      <c r="BK254" s="8"/>
      <c r="BL254" s="4" t="str">
        <f t="shared" si="26"/>
        <v/>
      </c>
      <c r="BM254" s="8" t="str">
        <f t="shared" si="27"/>
        <v/>
      </c>
      <c r="BP254" t="str">
        <f>IF($BO254="","",IFERROR(VLOOKUP($BO254,'01_Warehouse_Ledger'!$A:$N,4,FALSE),""))</f>
        <v/>
      </c>
      <c r="BQ254" t="str">
        <f>IF($BO254="","",IFERROR(VLOOKUP($BO254,'01_Warehouse_Ledger'!$A:$N,5,FALSE),""))</f>
        <v/>
      </c>
      <c r="BR254" t="str">
        <f>IF($BO254="","",IFERROR(VLOOKUP($BO254,'01_Warehouse_Ledger'!$A:$N,13,FALSE),""))</f>
        <v/>
      </c>
    </row>
    <row r="255" spans="1:70" ht="15" customHeight="1">
      <c r="A255" s="8"/>
      <c r="B255" s="8"/>
      <c r="D255" s="15" t="str">
        <f t="shared" si="23"/>
        <v/>
      </c>
      <c r="E255" s="15" t="str">
        <f t="shared" si="24"/>
        <v/>
      </c>
      <c r="F255" t="str">
        <f t="shared" si="25"/>
        <v/>
      </c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8"/>
      <c r="AF255" s="4"/>
      <c r="AG255" s="4"/>
      <c r="AH255" s="1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8"/>
      <c r="AX255" s="8"/>
      <c r="AY255" s="8"/>
      <c r="AZ255" s="8"/>
      <c r="BA255" s="12"/>
      <c r="BB255" s="8"/>
      <c r="BC255" s="4"/>
      <c r="BD255" s="4"/>
      <c r="BE255" s="8"/>
      <c r="BF255" s="8"/>
      <c r="BG255" s="8"/>
      <c r="BH255" s="8"/>
      <c r="BI255" s="8"/>
      <c r="BJ255" s="8"/>
      <c r="BK255" s="8"/>
      <c r="BL255" s="4" t="str">
        <f t="shared" si="26"/>
        <v/>
      </c>
      <c r="BM255" s="8" t="str">
        <f t="shared" si="27"/>
        <v/>
      </c>
      <c r="BP255" t="str">
        <f>IF($BO255="","",IFERROR(VLOOKUP($BO255,'01_Warehouse_Ledger'!$A:$N,4,FALSE),""))</f>
        <v/>
      </c>
      <c r="BQ255" t="str">
        <f>IF($BO255="","",IFERROR(VLOOKUP($BO255,'01_Warehouse_Ledger'!$A:$N,5,FALSE),""))</f>
        <v/>
      </c>
      <c r="BR255" t="str">
        <f>IF($BO255="","",IFERROR(VLOOKUP($BO255,'01_Warehouse_Ledger'!$A:$N,13,FALSE),""))</f>
        <v/>
      </c>
    </row>
    <row r="256" spans="1:70" ht="15" customHeight="1">
      <c r="A256" s="8"/>
      <c r="B256" s="8"/>
      <c r="D256" s="15" t="str">
        <f t="shared" si="23"/>
        <v/>
      </c>
      <c r="E256" s="15" t="str">
        <f t="shared" si="24"/>
        <v/>
      </c>
      <c r="F256" t="str">
        <f t="shared" si="25"/>
        <v/>
      </c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8"/>
      <c r="AF256" s="4"/>
      <c r="AG256" s="4"/>
      <c r="AH256" s="1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8"/>
      <c r="AX256" s="8"/>
      <c r="AY256" s="8"/>
      <c r="AZ256" s="8"/>
      <c r="BA256" s="12"/>
      <c r="BB256" s="8"/>
      <c r="BC256" s="4"/>
      <c r="BD256" s="4"/>
      <c r="BE256" s="8"/>
      <c r="BF256" s="8"/>
      <c r="BG256" s="8"/>
      <c r="BH256" s="8"/>
      <c r="BI256" s="8"/>
      <c r="BJ256" s="8"/>
      <c r="BK256" s="8"/>
      <c r="BL256" s="4" t="str">
        <f t="shared" si="26"/>
        <v/>
      </c>
      <c r="BM256" s="8" t="str">
        <f t="shared" si="27"/>
        <v/>
      </c>
      <c r="BP256" t="str">
        <f>IF($BO256="","",IFERROR(VLOOKUP($BO256,'01_Warehouse_Ledger'!$A:$N,4,FALSE),""))</f>
        <v/>
      </c>
      <c r="BQ256" t="str">
        <f>IF($BO256="","",IFERROR(VLOOKUP($BO256,'01_Warehouse_Ledger'!$A:$N,5,FALSE),""))</f>
        <v/>
      </c>
      <c r="BR256" t="str">
        <f>IF($BO256="","",IFERROR(VLOOKUP($BO256,'01_Warehouse_Ledger'!$A:$N,13,FALSE),""))</f>
        <v/>
      </c>
    </row>
    <row r="257" spans="1:70" ht="15" customHeight="1">
      <c r="A257" s="8"/>
      <c r="B257" s="8"/>
      <c r="D257" s="15" t="str">
        <f t="shared" si="23"/>
        <v/>
      </c>
      <c r="E257" s="15" t="str">
        <f t="shared" si="24"/>
        <v/>
      </c>
      <c r="F257" t="str">
        <f t="shared" si="25"/>
        <v/>
      </c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8"/>
      <c r="AF257" s="4"/>
      <c r="AG257" s="4"/>
      <c r="AH257" s="1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8"/>
      <c r="AX257" s="8"/>
      <c r="AY257" s="8"/>
      <c r="AZ257" s="8"/>
      <c r="BA257" s="12"/>
      <c r="BB257" s="8"/>
      <c r="BC257" s="4"/>
      <c r="BD257" s="4"/>
      <c r="BE257" s="8"/>
      <c r="BF257" s="8"/>
      <c r="BG257" s="8"/>
      <c r="BH257" s="8"/>
      <c r="BI257" s="8"/>
      <c r="BJ257" s="8"/>
      <c r="BK257" s="8"/>
      <c r="BL257" s="4" t="str">
        <f t="shared" si="26"/>
        <v/>
      </c>
      <c r="BM257" s="8" t="str">
        <f t="shared" si="27"/>
        <v/>
      </c>
      <c r="BP257" t="str">
        <f>IF($BO257="","",IFERROR(VLOOKUP($BO257,'01_Warehouse_Ledger'!$A:$N,4,FALSE),""))</f>
        <v/>
      </c>
      <c r="BQ257" t="str">
        <f>IF($BO257="","",IFERROR(VLOOKUP($BO257,'01_Warehouse_Ledger'!$A:$N,5,FALSE),""))</f>
        <v/>
      </c>
      <c r="BR257" t="str">
        <f>IF($BO257="","",IFERROR(VLOOKUP($BO257,'01_Warehouse_Ledger'!$A:$N,13,FALSE),""))</f>
        <v/>
      </c>
    </row>
    <row r="258" spans="1:70" ht="15" customHeight="1">
      <c r="A258" s="8"/>
      <c r="B258" s="8"/>
      <c r="D258" s="15" t="str">
        <f t="shared" si="23"/>
        <v/>
      </c>
      <c r="E258" s="15" t="str">
        <f t="shared" si="24"/>
        <v/>
      </c>
      <c r="F258" t="str">
        <f t="shared" si="25"/>
        <v/>
      </c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8"/>
      <c r="AF258" s="4"/>
      <c r="AG258" s="4"/>
      <c r="AH258" s="1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8"/>
      <c r="AX258" s="8"/>
      <c r="AY258" s="8"/>
      <c r="AZ258" s="8"/>
      <c r="BA258" s="12"/>
      <c r="BB258" s="8"/>
      <c r="BC258" s="4"/>
      <c r="BD258" s="4"/>
      <c r="BE258" s="8"/>
      <c r="BF258" s="8"/>
      <c r="BG258" s="8"/>
      <c r="BH258" s="8"/>
      <c r="BI258" s="8"/>
      <c r="BJ258" s="8"/>
      <c r="BK258" s="8"/>
      <c r="BL258" s="4" t="str">
        <f t="shared" si="26"/>
        <v/>
      </c>
      <c r="BM258" s="8" t="str">
        <f t="shared" si="27"/>
        <v/>
      </c>
      <c r="BP258" t="str">
        <f>IF($BO258="","",IFERROR(VLOOKUP($BO258,'01_Warehouse_Ledger'!$A:$N,4,FALSE),""))</f>
        <v/>
      </c>
      <c r="BQ258" t="str">
        <f>IF($BO258="","",IFERROR(VLOOKUP($BO258,'01_Warehouse_Ledger'!$A:$N,5,FALSE),""))</f>
        <v/>
      </c>
      <c r="BR258" t="str">
        <f>IF($BO258="","",IFERROR(VLOOKUP($BO258,'01_Warehouse_Ledger'!$A:$N,13,FALSE),""))</f>
        <v/>
      </c>
    </row>
    <row r="259" spans="1:70" ht="15" customHeight="1">
      <c r="A259" s="8"/>
      <c r="B259" s="8"/>
      <c r="D259" s="15" t="str">
        <f t="shared" si="23"/>
        <v/>
      </c>
      <c r="E259" s="15" t="str">
        <f t="shared" si="24"/>
        <v/>
      </c>
      <c r="F259" t="str">
        <f t="shared" si="25"/>
        <v/>
      </c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8"/>
      <c r="AF259" s="4"/>
      <c r="AG259" s="4"/>
      <c r="AH259" s="1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8"/>
      <c r="AX259" s="8"/>
      <c r="AY259" s="8"/>
      <c r="AZ259" s="8"/>
      <c r="BA259" s="12"/>
      <c r="BB259" s="8"/>
      <c r="BC259" s="4"/>
      <c r="BD259" s="4"/>
      <c r="BE259" s="8"/>
      <c r="BF259" s="8"/>
      <c r="BG259" s="8"/>
      <c r="BH259" s="8"/>
      <c r="BI259" s="8"/>
      <c r="BJ259" s="8"/>
      <c r="BK259" s="8"/>
      <c r="BL259" s="4" t="str">
        <f t="shared" si="26"/>
        <v/>
      </c>
      <c r="BM259" s="8" t="str">
        <f t="shared" si="27"/>
        <v/>
      </c>
      <c r="BP259" t="str">
        <f>IF($BO259="","",IFERROR(VLOOKUP($BO259,'01_Warehouse_Ledger'!$A:$N,4,FALSE),""))</f>
        <v/>
      </c>
      <c r="BQ259" t="str">
        <f>IF($BO259="","",IFERROR(VLOOKUP($BO259,'01_Warehouse_Ledger'!$A:$N,5,FALSE),""))</f>
        <v/>
      </c>
      <c r="BR259" t="str">
        <f>IF($BO259="","",IFERROR(VLOOKUP($BO259,'01_Warehouse_Ledger'!$A:$N,13,FALSE),""))</f>
        <v/>
      </c>
    </row>
    <row r="260" spans="1:70" ht="15" customHeight="1">
      <c r="A260" s="8"/>
      <c r="B260" s="8"/>
      <c r="D260" s="15" t="str">
        <f t="shared" si="23"/>
        <v/>
      </c>
      <c r="E260" s="15" t="str">
        <f t="shared" si="24"/>
        <v/>
      </c>
      <c r="F260" t="str">
        <f t="shared" si="25"/>
        <v/>
      </c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8"/>
      <c r="AF260" s="4"/>
      <c r="AG260" s="4"/>
      <c r="AH260" s="1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8"/>
      <c r="AX260" s="8"/>
      <c r="AY260" s="8"/>
      <c r="AZ260" s="8"/>
      <c r="BA260" s="12"/>
      <c r="BB260" s="8"/>
      <c r="BC260" s="4"/>
      <c r="BD260" s="4"/>
      <c r="BE260" s="8"/>
      <c r="BF260" s="8"/>
      <c r="BG260" s="8"/>
      <c r="BH260" s="8"/>
      <c r="BI260" s="8"/>
      <c r="BJ260" s="8"/>
      <c r="BK260" s="8"/>
      <c r="BL260" s="4" t="str">
        <f t="shared" si="26"/>
        <v/>
      </c>
      <c r="BM260" s="8" t="str">
        <f t="shared" si="27"/>
        <v/>
      </c>
      <c r="BP260" t="str">
        <f>IF($BO260="","",IFERROR(VLOOKUP($BO260,'01_Warehouse_Ledger'!$A:$N,4,FALSE),""))</f>
        <v/>
      </c>
      <c r="BQ260" t="str">
        <f>IF($BO260="","",IFERROR(VLOOKUP($BO260,'01_Warehouse_Ledger'!$A:$N,5,FALSE),""))</f>
        <v/>
      </c>
      <c r="BR260" t="str">
        <f>IF($BO260="","",IFERROR(VLOOKUP($BO260,'01_Warehouse_Ledger'!$A:$N,13,FALSE),""))</f>
        <v/>
      </c>
    </row>
    <row r="261" spans="1:70" ht="15" customHeight="1">
      <c r="A261" s="8"/>
      <c r="B261" s="8"/>
      <c r="D261" s="15" t="str">
        <f t="shared" si="23"/>
        <v/>
      </c>
      <c r="E261" s="15" t="str">
        <f t="shared" si="24"/>
        <v/>
      </c>
      <c r="F261" t="str">
        <f t="shared" si="25"/>
        <v/>
      </c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8"/>
      <c r="AF261" s="4"/>
      <c r="AG261" s="4"/>
      <c r="AH261" s="1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8"/>
      <c r="AX261" s="8"/>
      <c r="AY261" s="8"/>
      <c r="AZ261" s="8"/>
      <c r="BA261" s="12"/>
      <c r="BB261" s="8"/>
      <c r="BC261" s="4"/>
      <c r="BD261" s="4"/>
      <c r="BE261" s="8"/>
      <c r="BF261" s="8"/>
      <c r="BG261" s="8"/>
      <c r="BH261" s="8"/>
      <c r="BI261" s="8"/>
      <c r="BJ261" s="8"/>
      <c r="BK261" s="8"/>
      <c r="BL261" s="4" t="str">
        <f t="shared" si="26"/>
        <v/>
      </c>
      <c r="BM261" s="8" t="str">
        <f t="shared" si="27"/>
        <v/>
      </c>
      <c r="BP261" t="str">
        <f>IF($BO261="","",IFERROR(VLOOKUP($BO261,'01_Warehouse_Ledger'!$A:$N,4,FALSE),""))</f>
        <v/>
      </c>
      <c r="BQ261" t="str">
        <f>IF($BO261="","",IFERROR(VLOOKUP($BO261,'01_Warehouse_Ledger'!$A:$N,5,FALSE),""))</f>
        <v/>
      </c>
      <c r="BR261" t="str">
        <f>IF($BO261="","",IFERROR(VLOOKUP($BO261,'01_Warehouse_Ledger'!$A:$N,13,FALSE),""))</f>
        <v/>
      </c>
    </row>
    <row r="262" spans="1:70" ht="15" customHeight="1">
      <c r="A262" s="8"/>
      <c r="B262" s="8"/>
      <c r="D262" s="15" t="str">
        <f t="shared" si="23"/>
        <v/>
      </c>
      <c r="E262" s="15" t="str">
        <f t="shared" si="24"/>
        <v/>
      </c>
      <c r="F262" t="str">
        <f t="shared" si="25"/>
        <v/>
      </c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8"/>
      <c r="AF262" s="4"/>
      <c r="AG262" s="4"/>
      <c r="AH262" s="1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8"/>
      <c r="AX262" s="8"/>
      <c r="AY262" s="8"/>
      <c r="AZ262" s="8"/>
      <c r="BA262" s="12"/>
      <c r="BB262" s="8"/>
      <c r="BC262" s="4"/>
      <c r="BD262" s="4"/>
      <c r="BE262" s="8"/>
      <c r="BF262" s="8"/>
      <c r="BG262" s="8"/>
      <c r="BH262" s="8"/>
      <c r="BI262" s="8"/>
      <c r="BJ262" s="8"/>
      <c r="BK262" s="8"/>
      <c r="BL262" s="4" t="str">
        <f t="shared" si="26"/>
        <v/>
      </c>
      <c r="BM262" s="8" t="str">
        <f t="shared" si="27"/>
        <v/>
      </c>
      <c r="BP262" t="str">
        <f>IF($BO262="","",IFERROR(VLOOKUP($BO262,'01_Warehouse_Ledger'!$A:$N,4,FALSE),""))</f>
        <v/>
      </c>
      <c r="BQ262" t="str">
        <f>IF($BO262="","",IFERROR(VLOOKUP($BO262,'01_Warehouse_Ledger'!$A:$N,5,FALSE),""))</f>
        <v/>
      </c>
      <c r="BR262" t="str">
        <f>IF($BO262="","",IFERROR(VLOOKUP($BO262,'01_Warehouse_Ledger'!$A:$N,13,FALSE),""))</f>
        <v/>
      </c>
    </row>
    <row r="263" spans="1:70" ht="15" customHeight="1">
      <c r="A263" s="8"/>
      <c r="B263" s="8"/>
      <c r="D263" s="15" t="str">
        <f t="shared" si="23"/>
        <v/>
      </c>
      <c r="E263" s="15" t="str">
        <f t="shared" si="24"/>
        <v/>
      </c>
      <c r="F263" t="str">
        <f t="shared" si="25"/>
        <v/>
      </c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8"/>
      <c r="AF263" s="4"/>
      <c r="AG263" s="4"/>
      <c r="AH263" s="1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8"/>
      <c r="AX263" s="8"/>
      <c r="AY263" s="8"/>
      <c r="AZ263" s="8"/>
      <c r="BA263" s="12"/>
      <c r="BB263" s="8"/>
      <c r="BC263" s="4"/>
      <c r="BD263" s="4"/>
      <c r="BE263" s="8"/>
      <c r="BF263" s="8"/>
      <c r="BG263" s="8"/>
      <c r="BH263" s="8"/>
      <c r="BI263" s="8"/>
      <c r="BJ263" s="8"/>
      <c r="BK263" s="8"/>
      <c r="BL263" s="4" t="str">
        <f t="shared" si="26"/>
        <v/>
      </c>
      <c r="BM263" s="8" t="str">
        <f t="shared" si="27"/>
        <v/>
      </c>
      <c r="BP263" t="str">
        <f>IF($BO263="","",IFERROR(VLOOKUP($BO263,'01_Warehouse_Ledger'!$A:$N,4,FALSE),""))</f>
        <v/>
      </c>
      <c r="BQ263" t="str">
        <f>IF($BO263="","",IFERROR(VLOOKUP($BO263,'01_Warehouse_Ledger'!$A:$N,5,FALSE),""))</f>
        <v/>
      </c>
      <c r="BR263" t="str">
        <f>IF($BO263="","",IFERROR(VLOOKUP($BO263,'01_Warehouse_Ledger'!$A:$N,13,FALSE),""))</f>
        <v/>
      </c>
    </row>
    <row r="264" spans="1:70" ht="15" customHeight="1">
      <c r="A264" s="8"/>
      <c r="B264" s="8"/>
      <c r="D264" s="15" t="str">
        <f t="shared" si="23"/>
        <v/>
      </c>
      <c r="E264" s="15" t="str">
        <f t="shared" si="24"/>
        <v/>
      </c>
      <c r="F264" t="str">
        <f t="shared" si="25"/>
        <v/>
      </c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8"/>
      <c r="AF264" s="4"/>
      <c r="AG264" s="4"/>
      <c r="AH264" s="1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8"/>
      <c r="AX264" s="8"/>
      <c r="AY264" s="8"/>
      <c r="AZ264" s="8"/>
      <c r="BA264" s="12"/>
      <c r="BB264" s="8"/>
      <c r="BC264" s="4"/>
      <c r="BD264" s="4"/>
      <c r="BE264" s="8"/>
      <c r="BF264" s="8"/>
      <c r="BG264" s="8"/>
      <c r="BH264" s="8"/>
      <c r="BI264" s="8"/>
      <c r="BJ264" s="8"/>
      <c r="BK264" s="8"/>
      <c r="BL264" s="4" t="str">
        <f t="shared" si="26"/>
        <v/>
      </c>
      <c r="BM264" s="8" t="str">
        <f t="shared" si="27"/>
        <v/>
      </c>
      <c r="BP264" t="str">
        <f>IF($BO264="","",IFERROR(VLOOKUP($BO264,'01_Warehouse_Ledger'!$A:$N,4,FALSE),""))</f>
        <v/>
      </c>
      <c r="BQ264" t="str">
        <f>IF($BO264="","",IFERROR(VLOOKUP($BO264,'01_Warehouse_Ledger'!$A:$N,5,FALSE),""))</f>
        <v/>
      </c>
      <c r="BR264" t="str">
        <f>IF($BO264="","",IFERROR(VLOOKUP($BO264,'01_Warehouse_Ledger'!$A:$N,13,FALSE),""))</f>
        <v/>
      </c>
    </row>
    <row r="265" spans="1:70" ht="15" customHeight="1">
      <c r="A265" s="8"/>
      <c r="B265" s="8"/>
      <c r="D265" s="15" t="str">
        <f t="shared" si="23"/>
        <v/>
      </c>
      <c r="E265" s="15" t="str">
        <f t="shared" si="24"/>
        <v/>
      </c>
      <c r="F265" t="str">
        <f t="shared" si="25"/>
        <v/>
      </c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8"/>
      <c r="AF265" s="4"/>
      <c r="AG265" s="4"/>
      <c r="AH265" s="1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8"/>
      <c r="AX265" s="8"/>
      <c r="AY265" s="8"/>
      <c r="AZ265" s="8"/>
      <c r="BA265" s="12"/>
      <c r="BB265" s="8"/>
      <c r="BC265" s="4"/>
      <c r="BD265" s="4"/>
      <c r="BE265" s="8"/>
      <c r="BF265" s="8"/>
      <c r="BG265" s="8"/>
      <c r="BH265" s="8"/>
      <c r="BI265" s="8"/>
      <c r="BJ265" s="8"/>
      <c r="BK265" s="8"/>
      <c r="BL265" s="4" t="str">
        <f t="shared" si="26"/>
        <v/>
      </c>
      <c r="BM265" s="8" t="str">
        <f t="shared" si="27"/>
        <v/>
      </c>
      <c r="BP265" t="str">
        <f>IF($BO265="","",IFERROR(VLOOKUP($BO265,'01_Warehouse_Ledger'!$A:$N,4,FALSE),""))</f>
        <v/>
      </c>
      <c r="BQ265" t="str">
        <f>IF($BO265="","",IFERROR(VLOOKUP($BO265,'01_Warehouse_Ledger'!$A:$N,5,FALSE),""))</f>
        <v/>
      </c>
      <c r="BR265" t="str">
        <f>IF($BO265="","",IFERROR(VLOOKUP($BO265,'01_Warehouse_Ledger'!$A:$N,13,FALSE),""))</f>
        <v/>
      </c>
    </row>
    <row r="266" spans="1:70" ht="15" customHeight="1">
      <c r="A266" s="8"/>
      <c r="B266" s="8"/>
      <c r="D266" s="15" t="str">
        <f t="shared" si="23"/>
        <v/>
      </c>
      <c r="E266" s="15" t="str">
        <f t="shared" si="24"/>
        <v/>
      </c>
      <c r="F266" t="str">
        <f t="shared" si="25"/>
        <v/>
      </c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8"/>
      <c r="AF266" s="4"/>
      <c r="AG266" s="4"/>
      <c r="AH266" s="1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8"/>
      <c r="AX266" s="8"/>
      <c r="AY266" s="8"/>
      <c r="AZ266" s="8"/>
      <c r="BA266" s="12"/>
      <c r="BB266" s="8"/>
      <c r="BC266" s="4"/>
      <c r="BD266" s="4"/>
      <c r="BE266" s="8"/>
      <c r="BF266" s="8"/>
      <c r="BG266" s="8"/>
      <c r="BH266" s="8"/>
      <c r="BI266" s="8"/>
      <c r="BJ266" s="8"/>
      <c r="BK266" s="8"/>
      <c r="BL266" s="4" t="str">
        <f t="shared" si="26"/>
        <v/>
      </c>
      <c r="BM266" s="8" t="str">
        <f t="shared" si="27"/>
        <v/>
      </c>
      <c r="BP266" t="str">
        <f>IF($BO266="","",IFERROR(VLOOKUP($BO266,'01_Warehouse_Ledger'!$A:$N,4,FALSE),""))</f>
        <v/>
      </c>
      <c r="BQ266" t="str">
        <f>IF($BO266="","",IFERROR(VLOOKUP($BO266,'01_Warehouse_Ledger'!$A:$N,5,FALSE),""))</f>
        <v/>
      </c>
      <c r="BR266" t="str">
        <f>IF($BO266="","",IFERROR(VLOOKUP($BO266,'01_Warehouse_Ledger'!$A:$N,13,FALSE),""))</f>
        <v/>
      </c>
    </row>
    <row r="267" spans="1:70" ht="15" customHeight="1">
      <c r="A267" s="8"/>
      <c r="B267" s="8"/>
      <c r="D267" s="15" t="str">
        <f t="shared" ref="D267:D330" si="28">IF($B267&lt;&gt;"Yes","",IF($C267="No","Yes",IF($C267="Yes","No","")))</f>
        <v/>
      </c>
      <c r="E267" s="15" t="str">
        <f t="shared" si="24"/>
        <v/>
      </c>
      <c r="F267" t="str">
        <f t="shared" si="25"/>
        <v/>
      </c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8"/>
      <c r="AF267" s="4"/>
      <c r="AG267" s="4"/>
      <c r="AH267" s="1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8"/>
      <c r="AX267" s="8"/>
      <c r="AY267" s="8"/>
      <c r="AZ267" s="8"/>
      <c r="BA267" s="12"/>
      <c r="BB267" s="8"/>
      <c r="BC267" s="4"/>
      <c r="BD267" s="4"/>
      <c r="BE267" s="8"/>
      <c r="BF267" s="8"/>
      <c r="BG267" s="8"/>
      <c r="BH267" s="8"/>
      <c r="BI267" s="8"/>
      <c r="BJ267" s="8"/>
      <c r="BK267" s="8"/>
      <c r="BL267" s="4" t="str">
        <f t="shared" si="26"/>
        <v/>
      </c>
      <c r="BM267" s="8" t="str">
        <f t="shared" si="27"/>
        <v/>
      </c>
      <c r="BP267" t="str">
        <f>IF($BO267="","",IFERROR(VLOOKUP($BO267,'01_Warehouse_Ledger'!$A:$N,4,FALSE),""))</f>
        <v/>
      </c>
      <c r="BQ267" t="str">
        <f>IF($BO267="","",IFERROR(VLOOKUP($BO267,'01_Warehouse_Ledger'!$A:$N,5,FALSE),""))</f>
        <v/>
      </c>
      <c r="BR267" t="str">
        <f>IF($BO267="","",IFERROR(VLOOKUP($BO267,'01_Warehouse_Ledger'!$A:$N,13,FALSE),""))</f>
        <v/>
      </c>
    </row>
    <row r="268" spans="1:70" ht="15" customHeight="1">
      <c r="A268" s="8"/>
      <c r="B268" s="8"/>
      <c r="D268" s="15" t="str">
        <f t="shared" si="28"/>
        <v/>
      </c>
      <c r="E268" s="15" t="str">
        <f t="shared" si="24"/>
        <v/>
      </c>
      <c r="F268" t="str">
        <f t="shared" si="25"/>
        <v/>
      </c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8"/>
      <c r="AF268" s="4"/>
      <c r="AG268" s="4"/>
      <c r="AH268" s="1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8"/>
      <c r="AX268" s="8"/>
      <c r="AY268" s="8"/>
      <c r="AZ268" s="8"/>
      <c r="BA268" s="12"/>
      <c r="BB268" s="8"/>
      <c r="BC268" s="4"/>
      <c r="BD268" s="4"/>
      <c r="BE268" s="8"/>
      <c r="BF268" s="8"/>
      <c r="BG268" s="8"/>
      <c r="BH268" s="8"/>
      <c r="BI268" s="8"/>
      <c r="BJ268" s="8"/>
      <c r="BK268" s="8"/>
      <c r="BL268" s="4" t="str">
        <f t="shared" si="26"/>
        <v/>
      </c>
      <c r="BM268" s="8" t="str">
        <f t="shared" si="27"/>
        <v/>
      </c>
      <c r="BP268" t="str">
        <f>IF($BO268="","",IFERROR(VLOOKUP($BO268,'01_Warehouse_Ledger'!$A:$N,4,FALSE),""))</f>
        <v/>
      </c>
      <c r="BQ268" t="str">
        <f>IF($BO268="","",IFERROR(VLOOKUP($BO268,'01_Warehouse_Ledger'!$A:$N,5,FALSE),""))</f>
        <v/>
      </c>
      <c r="BR268" t="str">
        <f>IF($BO268="","",IFERROR(VLOOKUP($BO268,'01_Warehouse_Ledger'!$A:$N,13,FALSE),""))</f>
        <v/>
      </c>
    </row>
    <row r="269" spans="1:70" ht="15" customHeight="1">
      <c r="A269" s="8"/>
      <c r="B269" s="8"/>
      <c r="D269" s="15" t="str">
        <f t="shared" si="28"/>
        <v/>
      </c>
      <c r="E269" s="15" t="str">
        <f t="shared" si="24"/>
        <v/>
      </c>
      <c r="F269" t="str">
        <f t="shared" si="25"/>
        <v/>
      </c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8"/>
      <c r="AF269" s="4"/>
      <c r="AG269" s="4"/>
      <c r="AH269" s="1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8"/>
      <c r="AX269" s="8"/>
      <c r="AY269" s="8"/>
      <c r="AZ269" s="8"/>
      <c r="BA269" s="12"/>
      <c r="BB269" s="8"/>
      <c r="BC269" s="4"/>
      <c r="BD269" s="4"/>
      <c r="BE269" s="8"/>
      <c r="BF269" s="8"/>
      <c r="BG269" s="8"/>
      <c r="BH269" s="8"/>
      <c r="BI269" s="8"/>
      <c r="BJ269" s="8"/>
      <c r="BK269" s="8"/>
      <c r="BL269" s="4" t="str">
        <f t="shared" si="26"/>
        <v/>
      </c>
      <c r="BM269" s="8" t="str">
        <f t="shared" si="27"/>
        <v/>
      </c>
      <c r="BP269" t="str">
        <f>IF($BO269="","",IFERROR(VLOOKUP($BO269,'01_Warehouse_Ledger'!$A:$N,4,FALSE),""))</f>
        <v/>
      </c>
      <c r="BQ269" t="str">
        <f>IF($BO269="","",IFERROR(VLOOKUP($BO269,'01_Warehouse_Ledger'!$A:$N,5,FALSE),""))</f>
        <v/>
      </c>
      <c r="BR269" t="str">
        <f>IF($BO269="","",IFERROR(VLOOKUP($BO269,'01_Warehouse_Ledger'!$A:$N,13,FALSE),""))</f>
        <v/>
      </c>
    </row>
    <row r="270" spans="1:70" ht="15" customHeight="1">
      <c r="A270" s="8"/>
      <c r="B270" s="8"/>
      <c r="D270" s="15" t="str">
        <f t="shared" si="28"/>
        <v/>
      </c>
      <c r="E270" s="15" t="str">
        <f t="shared" si="24"/>
        <v/>
      </c>
      <c r="F270" t="str">
        <f t="shared" si="25"/>
        <v/>
      </c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8"/>
      <c r="AF270" s="4"/>
      <c r="AG270" s="4"/>
      <c r="AH270" s="1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8"/>
      <c r="AX270" s="8"/>
      <c r="AY270" s="8"/>
      <c r="AZ270" s="8"/>
      <c r="BA270" s="12"/>
      <c r="BB270" s="8"/>
      <c r="BC270" s="4"/>
      <c r="BD270" s="4"/>
      <c r="BE270" s="8"/>
      <c r="BF270" s="8"/>
      <c r="BG270" s="8"/>
      <c r="BH270" s="8"/>
      <c r="BI270" s="8"/>
      <c r="BJ270" s="8"/>
      <c r="BK270" s="8"/>
      <c r="BL270" s="4" t="str">
        <f t="shared" si="26"/>
        <v/>
      </c>
      <c r="BM270" s="8" t="str">
        <f t="shared" si="27"/>
        <v/>
      </c>
      <c r="BP270" t="str">
        <f>IF($BO270="","",IFERROR(VLOOKUP($BO270,'01_Warehouse_Ledger'!$A:$N,4,FALSE),""))</f>
        <v/>
      </c>
      <c r="BQ270" t="str">
        <f>IF($BO270="","",IFERROR(VLOOKUP($BO270,'01_Warehouse_Ledger'!$A:$N,5,FALSE),""))</f>
        <v/>
      </c>
      <c r="BR270" t="str">
        <f>IF($BO270="","",IFERROR(VLOOKUP($BO270,'01_Warehouse_Ledger'!$A:$N,13,FALSE),""))</f>
        <v/>
      </c>
    </row>
    <row r="271" spans="1:70" ht="15" customHeight="1">
      <c r="A271" s="8"/>
      <c r="B271" s="8"/>
      <c r="D271" s="15" t="str">
        <f t="shared" si="28"/>
        <v/>
      </c>
      <c r="E271" s="15" t="str">
        <f t="shared" si="24"/>
        <v/>
      </c>
      <c r="F271" t="str">
        <f t="shared" si="25"/>
        <v/>
      </c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8"/>
      <c r="AF271" s="4"/>
      <c r="AG271" s="4"/>
      <c r="AH271" s="1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8"/>
      <c r="AX271" s="8"/>
      <c r="AY271" s="8"/>
      <c r="AZ271" s="8"/>
      <c r="BA271" s="12"/>
      <c r="BB271" s="8"/>
      <c r="BC271" s="4"/>
      <c r="BD271" s="4"/>
      <c r="BE271" s="8"/>
      <c r="BF271" s="8"/>
      <c r="BG271" s="8"/>
      <c r="BH271" s="8"/>
      <c r="BI271" s="8"/>
      <c r="BJ271" s="8"/>
      <c r="BK271" s="8"/>
      <c r="BL271" s="4" t="str">
        <f t="shared" si="26"/>
        <v/>
      </c>
      <c r="BM271" s="8" t="str">
        <f t="shared" si="27"/>
        <v/>
      </c>
      <c r="BP271" t="str">
        <f>IF($BO271="","",IFERROR(VLOOKUP($BO271,'01_Warehouse_Ledger'!$A:$N,4,FALSE),""))</f>
        <v/>
      </c>
      <c r="BQ271" t="str">
        <f>IF($BO271="","",IFERROR(VLOOKUP($BO271,'01_Warehouse_Ledger'!$A:$N,5,FALSE),""))</f>
        <v/>
      </c>
      <c r="BR271" t="str">
        <f>IF($BO271="","",IFERROR(VLOOKUP($BO271,'01_Warehouse_Ledger'!$A:$N,13,FALSE),""))</f>
        <v/>
      </c>
    </row>
    <row r="272" spans="1:70" ht="15" customHeight="1">
      <c r="A272" s="8"/>
      <c r="B272" s="8"/>
      <c r="D272" s="15" t="str">
        <f t="shared" si="28"/>
        <v/>
      </c>
      <c r="E272" s="15" t="str">
        <f t="shared" si="24"/>
        <v/>
      </c>
      <c r="F272" t="str">
        <f t="shared" si="25"/>
        <v/>
      </c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8"/>
      <c r="AF272" s="4"/>
      <c r="AG272" s="4"/>
      <c r="AH272" s="1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8"/>
      <c r="AX272" s="8"/>
      <c r="AY272" s="8"/>
      <c r="AZ272" s="8"/>
      <c r="BA272" s="12"/>
      <c r="BB272" s="8"/>
      <c r="BC272" s="4"/>
      <c r="BD272" s="4"/>
      <c r="BE272" s="8"/>
      <c r="BF272" s="8"/>
      <c r="BG272" s="8"/>
      <c r="BH272" s="8"/>
      <c r="BI272" s="8"/>
      <c r="BJ272" s="8"/>
      <c r="BK272" s="8"/>
      <c r="BL272" s="4" t="str">
        <f t="shared" si="26"/>
        <v/>
      </c>
      <c r="BM272" s="8" t="str">
        <f t="shared" si="27"/>
        <v/>
      </c>
      <c r="BP272" t="str">
        <f>IF($BO272="","",IFERROR(VLOOKUP($BO272,'01_Warehouse_Ledger'!$A:$N,4,FALSE),""))</f>
        <v/>
      </c>
      <c r="BQ272" t="str">
        <f>IF($BO272="","",IFERROR(VLOOKUP($BO272,'01_Warehouse_Ledger'!$A:$N,5,FALSE),""))</f>
        <v/>
      </c>
      <c r="BR272" t="str">
        <f>IF($BO272="","",IFERROR(VLOOKUP($BO272,'01_Warehouse_Ledger'!$A:$N,13,FALSE),""))</f>
        <v/>
      </c>
    </row>
    <row r="273" spans="1:70" ht="15" customHeight="1">
      <c r="A273" s="8"/>
      <c r="B273" s="8"/>
      <c r="D273" s="15" t="str">
        <f t="shared" si="28"/>
        <v/>
      </c>
      <c r="E273" s="15" t="str">
        <f t="shared" si="24"/>
        <v/>
      </c>
      <c r="F273" t="str">
        <f t="shared" si="25"/>
        <v/>
      </c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8"/>
      <c r="AF273" s="4"/>
      <c r="AG273" s="4"/>
      <c r="AH273" s="1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8"/>
      <c r="AX273" s="8"/>
      <c r="AY273" s="8"/>
      <c r="AZ273" s="8"/>
      <c r="BA273" s="12"/>
      <c r="BB273" s="8"/>
      <c r="BC273" s="4"/>
      <c r="BD273" s="4"/>
      <c r="BE273" s="8"/>
      <c r="BF273" s="8"/>
      <c r="BG273" s="8"/>
      <c r="BH273" s="8"/>
      <c r="BI273" s="8"/>
      <c r="BJ273" s="8"/>
      <c r="BK273" s="8"/>
      <c r="BL273" s="4" t="str">
        <f t="shared" si="26"/>
        <v/>
      </c>
      <c r="BM273" s="8" t="str">
        <f t="shared" si="27"/>
        <v/>
      </c>
      <c r="BP273" t="str">
        <f>IF($BO273="","",IFERROR(VLOOKUP($BO273,'01_Warehouse_Ledger'!$A:$N,4,FALSE),""))</f>
        <v/>
      </c>
      <c r="BQ273" t="str">
        <f>IF($BO273="","",IFERROR(VLOOKUP($BO273,'01_Warehouse_Ledger'!$A:$N,5,FALSE),""))</f>
        <v/>
      </c>
      <c r="BR273" t="str">
        <f>IF($BO273="","",IFERROR(VLOOKUP($BO273,'01_Warehouse_Ledger'!$A:$N,13,FALSE),""))</f>
        <v/>
      </c>
    </row>
    <row r="274" spans="1:70" ht="15" customHeight="1">
      <c r="A274" s="8"/>
      <c r="B274" s="8"/>
      <c r="D274" s="15" t="str">
        <f t="shared" si="28"/>
        <v/>
      </c>
      <c r="E274" s="15" t="str">
        <f t="shared" si="24"/>
        <v/>
      </c>
      <c r="F274" t="str">
        <f t="shared" si="25"/>
        <v/>
      </c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8"/>
      <c r="AF274" s="4"/>
      <c r="AG274" s="4"/>
      <c r="AH274" s="1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8"/>
      <c r="AX274" s="8"/>
      <c r="AY274" s="8"/>
      <c r="AZ274" s="8"/>
      <c r="BA274" s="12"/>
      <c r="BB274" s="8"/>
      <c r="BC274" s="4"/>
      <c r="BD274" s="4"/>
      <c r="BE274" s="8"/>
      <c r="BF274" s="8"/>
      <c r="BG274" s="8"/>
      <c r="BH274" s="8"/>
      <c r="BI274" s="8"/>
      <c r="BJ274" s="8"/>
      <c r="BK274" s="8"/>
      <c r="BL274" s="4" t="str">
        <f t="shared" si="26"/>
        <v/>
      </c>
      <c r="BM274" s="8" t="str">
        <f t="shared" si="27"/>
        <v/>
      </c>
      <c r="BP274" t="str">
        <f>IF($BO274="","",IFERROR(VLOOKUP($BO274,'01_Warehouse_Ledger'!$A:$N,4,FALSE),""))</f>
        <v/>
      </c>
      <c r="BQ274" t="str">
        <f>IF($BO274="","",IFERROR(VLOOKUP($BO274,'01_Warehouse_Ledger'!$A:$N,5,FALSE),""))</f>
        <v/>
      </c>
      <c r="BR274" t="str">
        <f>IF($BO274="","",IFERROR(VLOOKUP($BO274,'01_Warehouse_Ledger'!$A:$N,13,FALSE),""))</f>
        <v/>
      </c>
    </row>
    <row r="275" spans="1:70" ht="15" customHeight="1">
      <c r="A275" s="8"/>
      <c r="B275" s="8"/>
      <c r="D275" s="15" t="str">
        <f t="shared" si="28"/>
        <v/>
      </c>
      <c r="E275" s="15" t="str">
        <f t="shared" si="24"/>
        <v/>
      </c>
      <c r="F275" t="str">
        <f t="shared" si="25"/>
        <v/>
      </c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8"/>
      <c r="AF275" s="4"/>
      <c r="AG275" s="4"/>
      <c r="AH275" s="1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8"/>
      <c r="AX275" s="8"/>
      <c r="AY275" s="8"/>
      <c r="AZ275" s="8"/>
      <c r="BA275" s="12"/>
      <c r="BB275" s="8"/>
      <c r="BC275" s="4"/>
      <c r="BD275" s="4"/>
      <c r="BE275" s="8"/>
      <c r="BF275" s="8"/>
      <c r="BG275" s="8"/>
      <c r="BH275" s="8"/>
      <c r="BI275" s="8"/>
      <c r="BJ275" s="8"/>
      <c r="BK275" s="8"/>
      <c r="BL275" s="4" t="str">
        <f t="shared" si="26"/>
        <v/>
      </c>
      <c r="BM275" s="8" t="str">
        <f t="shared" si="27"/>
        <v/>
      </c>
      <c r="BP275" t="str">
        <f>IF($BO275="","",IFERROR(VLOOKUP($BO275,'01_Warehouse_Ledger'!$A:$N,4,FALSE),""))</f>
        <v/>
      </c>
      <c r="BQ275" t="str">
        <f>IF($BO275="","",IFERROR(VLOOKUP($BO275,'01_Warehouse_Ledger'!$A:$N,5,FALSE),""))</f>
        <v/>
      </c>
      <c r="BR275" t="str">
        <f>IF($BO275="","",IFERROR(VLOOKUP($BO275,'01_Warehouse_Ledger'!$A:$N,13,FALSE),""))</f>
        <v/>
      </c>
    </row>
    <row r="276" spans="1:70" ht="15" customHeight="1">
      <c r="A276" s="8"/>
      <c r="B276" s="8"/>
      <c r="D276" s="15" t="str">
        <f t="shared" si="28"/>
        <v/>
      </c>
      <c r="E276" s="15" t="str">
        <f t="shared" si="24"/>
        <v/>
      </c>
      <c r="F276" t="str">
        <f t="shared" si="25"/>
        <v/>
      </c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8"/>
      <c r="AF276" s="4"/>
      <c r="AG276" s="4"/>
      <c r="AH276" s="1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8"/>
      <c r="AX276" s="8"/>
      <c r="AY276" s="8"/>
      <c r="AZ276" s="8"/>
      <c r="BA276" s="12"/>
      <c r="BB276" s="8"/>
      <c r="BC276" s="4"/>
      <c r="BD276" s="4"/>
      <c r="BE276" s="8"/>
      <c r="BF276" s="8"/>
      <c r="BG276" s="8"/>
      <c r="BH276" s="8"/>
      <c r="BI276" s="8"/>
      <c r="BJ276" s="8"/>
      <c r="BK276" s="8"/>
      <c r="BL276" s="4" t="str">
        <f t="shared" si="26"/>
        <v/>
      </c>
      <c r="BM276" s="8" t="str">
        <f t="shared" si="27"/>
        <v/>
      </c>
      <c r="BP276" t="str">
        <f>IF($BO276="","",IFERROR(VLOOKUP($BO276,'01_Warehouse_Ledger'!$A:$N,4,FALSE),""))</f>
        <v/>
      </c>
      <c r="BQ276" t="str">
        <f>IF($BO276="","",IFERROR(VLOOKUP($BO276,'01_Warehouse_Ledger'!$A:$N,5,FALSE),""))</f>
        <v/>
      </c>
      <c r="BR276" t="str">
        <f>IF($BO276="","",IFERROR(VLOOKUP($BO276,'01_Warehouse_Ledger'!$A:$N,13,FALSE),""))</f>
        <v/>
      </c>
    </row>
    <row r="277" spans="1:70" ht="15" customHeight="1">
      <c r="A277" s="8"/>
      <c r="B277" s="8"/>
      <c r="D277" s="15" t="str">
        <f t="shared" si="28"/>
        <v/>
      </c>
      <c r="E277" s="15" t="str">
        <f t="shared" si="24"/>
        <v/>
      </c>
      <c r="F277" t="str">
        <f t="shared" si="25"/>
        <v/>
      </c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8"/>
      <c r="AF277" s="4"/>
      <c r="AG277" s="4"/>
      <c r="AH277" s="1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8"/>
      <c r="AX277" s="8"/>
      <c r="AY277" s="8"/>
      <c r="AZ277" s="8"/>
      <c r="BA277" s="12"/>
      <c r="BB277" s="8"/>
      <c r="BC277" s="4"/>
      <c r="BD277" s="4"/>
      <c r="BE277" s="8"/>
      <c r="BF277" s="8"/>
      <c r="BG277" s="8"/>
      <c r="BH277" s="8"/>
      <c r="BI277" s="8"/>
      <c r="BJ277" s="8"/>
      <c r="BK277" s="8"/>
      <c r="BL277" s="4" t="str">
        <f t="shared" si="26"/>
        <v/>
      </c>
      <c r="BM277" s="8" t="str">
        <f t="shared" si="27"/>
        <v/>
      </c>
      <c r="BP277" t="str">
        <f>IF($BO277="","",IFERROR(VLOOKUP($BO277,'01_Warehouse_Ledger'!$A:$N,4,FALSE),""))</f>
        <v/>
      </c>
      <c r="BQ277" t="str">
        <f>IF($BO277="","",IFERROR(VLOOKUP($BO277,'01_Warehouse_Ledger'!$A:$N,5,FALSE),""))</f>
        <v/>
      </c>
      <c r="BR277" t="str">
        <f>IF($BO277="","",IFERROR(VLOOKUP($BO277,'01_Warehouse_Ledger'!$A:$N,13,FALSE),""))</f>
        <v/>
      </c>
    </row>
    <row r="278" spans="1:70" ht="15" customHeight="1">
      <c r="A278" s="8"/>
      <c r="B278" s="8"/>
      <c r="D278" s="15" t="str">
        <f t="shared" si="28"/>
        <v/>
      </c>
      <c r="E278" s="15" t="str">
        <f t="shared" si="24"/>
        <v/>
      </c>
      <c r="F278" t="str">
        <f t="shared" si="25"/>
        <v/>
      </c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8"/>
      <c r="AF278" s="4"/>
      <c r="AG278" s="4"/>
      <c r="AH278" s="1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8"/>
      <c r="AX278" s="8"/>
      <c r="AY278" s="8"/>
      <c r="AZ278" s="8"/>
      <c r="BA278" s="12"/>
      <c r="BB278" s="8"/>
      <c r="BC278" s="4"/>
      <c r="BD278" s="4"/>
      <c r="BE278" s="8"/>
      <c r="BF278" s="8"/>
      <c r="BG278" s="8"/>
      <c r="BH278" s="8"/>
      <c r="BI278" s="8"/>
      <c r="BJ278" s="8"/>
      <c r="BK278" s="8"/>
      <c r="BL278" s="4" t="str">
        <f t="shared" si="26"/>
        <v/>
      </c>
      <c r="BM278" s="8" t="str">
        <f t="shared" si="27"/>
        <v/>
      </c>
      <c r="BP278" t="str">
        <f>IF($BO278="","",IFERROR(VLOOKUP($BO278,'01_Warehouse_Ledger'!$A:$N,4,FALSE),""))</f>
        <v/>
      </c>
      <c r="BQ278" t="str">
        <f>IF($BO278="","",IFERROR(VLOOKUP($BO278,'01_Warehouse_Ledger'!$A:$N,5,FALSE),""))</f>
        <v/>
      </c>
      <c r="BR278" t="str">
        <f>IF($BO278="","",IFERROR(VLOOKUP($BO278,'01_Warehouse_Ledger'!$A:$N,13,FALSE),""))</f>
        <v/>
      </c>
    </row>
    <row r="279" spans="1:70" ht="15" customHeight="1">
      <c r="A279" s="8"/>
      <c r="B279" s="8"/>
      <c r="D279" s="15" t="str">
        <f t="shared" si="28"/>
        <v/>
      </c>
      <c r="E279" s="15" t="str">
        <f t="shared" si="24"/>
        <v/>
      </c>
      <c r="F279" t="str">
        <f t="shared" si="25"/>
        <v/>
      </c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8"/>
      <c r="AF279" s="4"/>
      <c r="AG279" s="4"/>
      <c r="AH279" s="1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8"/>
      <c r="AX279" s="8"/>
      <c r="AY279" s="8"/>
      <c r="AZ279" s="8"/>
      <c r="BA279" s="12"/>
      <c r="BB279" s="8"/>
      <c r="BC279" s="4"/>
      <c r="BD279" s="4"/>
      <c r="BE279" s="8"/>
      <c r="BF279" s="8"/>
      <c r="BG279" s="8"/>
      <c r="BH279" s="8"/>
      <c r="BI279" s="8"/>
      <c r="BJ279" s="8"/>
      <c r="BK279" s="8"/>
      <c r="BL279" s="4" t="str">
        <f t="shared" si="26"/>
        <v/>
      </c>
      <c r="BM279" s="8" t="str">
        <f t="shared" si="27"/>
        <v/>
      </c>
      <c r="BP279" t="str">
        <f>IF($BO279="","",IFERROR(VLOOKUP($BO279,'01_Warehouse_Ledger'!$A:$N,4,FALSE),""))</f>
        <v/>
      </c>
      <c r="BQ279" t="str">
        <f>IF($BO279="","",IFERROR(VLOOKUP($BO279,'01_Warehouse_Ledger'!$A:$N,5,FALSE),""))</f>
        <v/>
      </c>
      <c r="BR279" t="str">
        <f>IF($BO279="","",IFERROR(VLOOKUP($BO279,'01_Warehouse_Ledger'!$A:$N,13,FALSE),""))</f>
        <v/>
      </c>
    </row>
    <row r="280" spans="1:70" ht="15" customHeight="1">
      <c r="A280" s="8"/>
      <c r="B280" s="8"/>
      <c r="D280" s="15" t="str">
        <f t="shared" si="28"/>
        <v/>
      </c>
      <c r="E280" s="15" t="str">
        <f t="shared" si="24"/>
        <v/>
      </c>
      <c r="F280" t="str">
        <f t="shared" si="25"/>
        <v/>
      </c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8"/>
      <c r="AF280" s="4"/>
      <c r="AG280" s="4"/>
      <c r="AH280" s="1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8"/>
      <c r="AX280" s="8"/>
      <c r="AY280" s="8"/>
      <c r="AZ280" s="8"/>
      <c r="BA280" s="12"/>
      <c r="BB280" s="8"/>
      <c r="BC280" s="4"/>
      <c r="BD280" s="4"/>
      <c r="BE280" s="8"/>
      <c r="BF280" s="8"/>
      <c r="BG280" s="8"/>
      <c r="BH280" s="8"/>
      <c r="BI280" s="8"/>
      <c r="BJ280" s="8"/>
      <c r="BK280" s="8"/>
      <c r="BL280" s="4" t="str">
        <f t="shared" si="26"/>
        <v/>
      </c>
      <c r="BM280" s="8" t="str">
        <f t="shared" si="27"/>
        <v/>
      </c>
      <c r="BP280" t="str">
        <f>IF($BO280="","",IFERROR(VLOOKUP($BO280,'01_Warehouse_Ledger'!$A:$N,4,FALSE),""))</f>
        <v/>
      </c>
      <c r="BQ280" t="str">
        <f>IF($BO280="","",IFERROR(VLOOKUP($BO280,'01_Warehouse_Ledger'!$A:$N,5,FALSE),""))</f>
        <v/>
      </c>
      <c r="BR280" t="str">
        <f>IF($BO280="","",IFERROR(VLOOKUP($BO280,'01_Warehouse_Ledger'!$A:$N,13,FALSE),""))</f>
        <v/>
      </c>
    </row>
    <row r="281" spans="1:70" ht="15" customHeight="1">
      <c r="A281" s="8"/>
      <c r="B281" s="8"/>
      <c r="D281" s="15" t="str">
        <f t="shared" si="28"/>
        <v/>
      </c>
      <c r="E281" s="15" t="str">
        <f t="shared" si="24"/>
        <v/>
      </c>
      <c r="F281" t="str">
        <f t="shared" si="25"/>
        <v/>
      </c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8"/>
      <c r="AF281" s="4"/>
      <c r="AG281" s="4"/>
      <c r="AH281" s="1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8"/>
      <c r="AX281" s="8"/>
      <c r="AY281" s="8"/>
      <c r="AZ281" s="8"/>
      <c r="BA281" s="12"/>
      <c r="BB281" s="8"/>
      <c r="BC281" s="4"/>
      <c r="BD281" s="4"/>
      <c r="BE281" s="8"/>
      <c r="BF281" s="8"/>
      <c r="BG281" s="8"/>
      <c r="BH281" s="8"/>
      <c r="BI281" s="8"/>
      <c r="BJ281" s="8"/>
      <c r="BK281" s="8"/>
      <c r="BL281" s="4" t="str">
        <f t="shared" si="26"/>
        <v/>
      </c>
      <c r="BM281" s="8" t="str">
        <f t="shared" si="27"/>
        <v/>
      </c>
      <c r="BP281" t="str">
        <f>IF($BO281="","",IFERROR(VLOOKUP($BO281,'01_Warehouse_Ledger'!$A:$N,4,FALSE),""))</f>
        <v/>
      </c>
      <c r="BQ281" t="str">
        <f>IF($BO281="","",IFERROR(VLOOKUP($BO281,'01_Warehouse_Ledger'!$A:$N,5,FALSE),""))</f>
        <v/>
      </c>
      <c r="BR281" t="str">
        <f>IF($BO281="","",IFERROR(VLOOKUP($BO281,'01_Warehouse_Ledger'!$A:$N,13,FALSE),""))</f>
        <v/>
      </c>
    </row>
    <row r="282" spans="1:70" ht="15" customHeight="1">
      <c r="A282" s="8"/>
      <c r="B282" s="8"/>
      <c r="D282" s="15" t="str">
        <f t="shared" si="28"/>
        <v/>
      </c>
      <c r="E282" s="15" t="str">
        <f t="shared" si="24"/>
        <v/>
      </c>
      <c r="F282" t="str">
        <f t="shared" si="25"/>
        <v/>
      </c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8"/>
      <c r="AF282" s="4"/>
      <c r="AG282" s="4"/>
      <c r="AH282" s="1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8"/>
      <c r="AX282" s="8"/>
      <c r="AY282" s="8"/>
      <c r="AZ282" s="8"/>
      <c r="BA282" s="12"/>
      <c r="BB282" s="8"/>
      <c r="BC282" s="4"/>
      <c r="BD282" s="4"/>
      <c r="BE282" s="8"/>
      <c r="BF282" s="8"/>
      <c r="BG282" s="8"/>
      <c r="BH282" s="8"/>
      <c r="BI282" s="8"/>
      <c r="BJ282" s="8"/>
      <c r="BK282" s="8"/>
      <c r="BL282" s="4" t="str">
        <f t="shared" si="26"/>
        <v/>
      </c>
      <c r="BM282" s="8" t="str">
        <f t="shared" si="27"/>
        <v/>
      </c>
      <c r="BP282" t="str">
        <f>IF($BO282="","",IFERROR(VLOOKUP($BO282,'01_Warehouse_Ledger'!$A:$N,4,FALSE),""))</f>
        <v/>
      </c>
      <c r="BQ282" t="str">
        <f>IF($BO282="","",IFERROR(VLOOKUP($BO282,'01_Warehouse_Ledger'!$A:$N,5,FALSE),""))</f>
        <v/>
      </c>
      <c r="BR282" t="str">
        <f>IF($BO282="","",IFERROR(VLOOKUP($BO282,'01_Warehouse_Ledger'!$A:$N,13,FALSE),""))</f>
        <v/>
      </c>
    </row>
    <row r="283" spans="1:70" ht="15" customHeight="1">
      <c r="A283" s="8"/>
      <c r="B283" s="8"/>
      <c r="D283" s="15" t="str">
        <f t="shared" si="28"/>
        <v/>
      </c>
      <c r="E283" s="15" t="str">
        <f t="shared" si="24"/>
        <v/>
      </c>
      <c r="F283" t="str">
        <f t="shared" si="25"/>
        <v/>
      </c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8"/>
      <c r="AF283" s="4"/>
      <c r="AG283" s="4"/>
      <c r="AH283" s="1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8"/>
      <c r="AX283" s="8"/>
      <c r="AY283" s="8"/>
      <c r="AZ283" s="8"/>
      <c r="BA283" s="12"/>
      <c r="BB283" s="8"/>
      <c r="BC283" s="4"/>
      <c r="BD283" s="4"/>
      <c r="BE283" s="8"/>
      <c r="BF283" s="8"/>
      <c r="BG283" s="8"/>
      <c r="BH283" s="8"/>
      <c r="BI283" s="8"/>
      <c r="BJ283" s="8"/>
      <c r="BK283" s="8"/>
      <c r="BL283" s="4" t="str">
        <f t="shared" si="26"/>
        <v/>
      </c>
      <c r="BM283" s="8" t="str">
        <f t="shared" si="27"/>
        <v/>
      </c>
      <c r="BP283" t="str">
        <f>IF($BO283="","",IFERROR(VLOOKUP($BO283,'01_Warehouse_Ledger'!$A:$N,4,FALSE),""))</f>
        <v/>
      </c>
      <c r="BQ283" t="str">
        <f>IF($BO283="","",IFERROR(VLOOKUP($BO283,'01_Warehouse_Ledger'!$A:$N,5,FALSE),""))</f>
        <v/>
      </c>
      <c r="BR283" t="str">
        <f>IF($BO283="","",IFERROR(VLOOKUP($BO283,'01_Warehouse_Ledger'!$A:$N,13,FALSE),""))</f>
        <v/>
      </c>
    </row>
    <row r="284" spans="1:70" ht="15" customHeight="1">
      <c r="A284" s="8"/>
      <c r="B284" s="8"/>
      <c r="D284" s="15" t="str">
        <f t="shared" si="28"/>
        <v/>
      </c>
      <c r="E284" s="15" t="str">
        <f t="shared" si="24"/>
        <v/>
      </c>
      <c r="F284" t="str">
        <f t="shared" si="25"/>
        <v/>
      </c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8"/>
      <c r="AF284" s="4"/>
      <c r="AG284" s="4"/>
      <c r="AH284" s="1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8"/>
      <c r="AX284" s="8"/>
      <c r="AY284" s="8"/>
      <c r="AZ284" s="8"/>
      <c r="BA284" s="12"/>
      <c r="BB284" s="8"/>
      <c r="BC284" s="4"/>
      <c r="BD284" s="4"/>
      <c r="BE284" s="8"/>
      <c r="BF284" s="8"/>
      <c r="BG284" s="8"/>
      <c r="BH284" s="8"/>
      <c r="BI284" s="8"/>
      <c r="BJ284" s="8"/>
      <c r="BK284" s="8"/>
      <c r="BL284" s="4" t="str">
        <f t="shared" si="26"/>
        <v/>
      </c>
      <c r="BM284" s="8" t="str">
        <f t="shared" si="27"/>
        <v/>
      </c>
      <c r="BP284" t="str">
        <f>IF($BO284="","",IFERROR(VLOOKUP($BO284,'01_Warehouse_Ledger'!$A:$N,4,FALSE),""))</f>
        <v/>
      </c>
      <c r="BQ284" t="str">
        <f>IF($BO284="","",IFERROR(VLOOKUP($BO284,'01_Warehouse_Ledger'!$A:$N,5,FALSE),""))</f>
        <v/>
      </c>
      <c r="BR284" t="str">
        <f>IF($BO284="","",IFERROR(VLOOKUP($BO284,'01_Warehouse_Ledger'!$A:$N,13,FALSE),""))</f>
        <v/>
      </c>
    </row>
    <row r="285" spans="1:70" ht="15" customHeight="1">
      <c r="A285" s="8"/>
      <c r="B285" s="8"/>
      <c r="D285" s="15" t="str">
        <f t="shared" si="28"/>
        <v/>
      </c>
      <c r="E285" s="15" t="str">
        <f t="shared" si="24"/>
        <v/>
      </c>
      <c r="F285" t="str">
        <f t="shared" si="25"/>
        <v/>
      </c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8"/>
      <c r="AF285" s="4"/>
      <c r="AG285" s="4"/>
      <c r="AH285" s="1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8"/>
      <c r="AX285" s="8"/>
      <c r="AY285" s="8"/>
      <c r="AZ285" s="8"/>
      <c r="BA285" s="12"/>
      <c r="BB285" s="8"/>
      <c r="BC285" s="4"/>
      <c r="BD285" s="4"/>
      <c r="BE285" s="8"/>
      <c r="BF285" s="8"/>
      <c r="BG285" s="8"/>
      <c r="BH285" s="8"/>
      <c r="BI285" s="8"/>
      <c r="BJ285" s="8"/>
      <c r="BK285" s="8"/>
      <c r="BL285" s="4" t="str">
        <f t="shared" si="26"/>
        <v/>
      </c>
      <c r="BM285" s="8" t="str">
        <f t="shared" si="27"/>
        <v/>
      </c>
      <c r="BP285" t="str">
        <f>IF($BO285="","",IFERROR(VLOOKUP($BO285,'01_Warehouse_Ledger'!$A:$N,4,FALSE),""))</f>
        <v/>
      </c>
      <c r="BQ285" t="str">
        <f>IF($BO285="","",IFERROR(VLOOKUP($BO285,'01_Warehouse_Ledger'!$A:$N,5,FALSE),""))</f>
        <v/>
      </c>
      <c r="BR285" t="str">
        <f>IF($BO285="","",IFERROR(VLOOKUP($BO285,'01_Warehouse_Ledger'!$A:$N,13,FALSE),""))</f>
        <v/>
      </c>
    </row>
    <row r="286" spans="1:70" ht="15" customHeight="1">
      <c r="A286" s="8"/>
      <c r="B286" s="8"/>
      <c r="D286" s="15" t="str">
        <f t="shared" si="28"/>
        <v/>
      </c>
      <c r="E286" s="15" t="str">
        <f t="shared" si="24"/>
        <v/>
      </c>
      <c r="F286" t="str">
        <f t="shared" si="25"/>
        <v/>
      </c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8"/>
      <c r="AF286" s="4"/>
      <c r="AG286" s="4"/>
      <c r="AH286" s="1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8"/>
      <c r="AX286" s="8"/>
      <c r="AY286" s="8"/>
      <c r="AZ286" s="8"/>
      <c r="BA286" s="12"/>
      <c r="BB286" s="8"/>
      <c r="BC286" s="4"/>
      <c r="BD286" s="4"/>
      <c r="BE286" s="8"/>
      <c r="BF286" s="8"/>
      <c r="BG286" s="8"/>
      <c r="BH286" s="8"/>
      <c r="BI286" s="8"/>
      <c r="BJ286" s="8"/>
      <c r="BK286" s="8"/>
      <c r="BL286" s="4" t="str">
        <f t="shared" si="26"/>
        <v/>
      </c>
      <c r="BM286" s="8" t="str">
        <f t="shared" si="27"/>
        <v/>
      </c>
      <c r="BP286" t="str">
        <f>IF($BO286="","",IFERROR(VLOOKUP($BO286,'01_Warehouse_Ledger'!$A:$N,4,FALSE),""))</f>
        <v/>
      </c>
      <c r="BQ286" t="str">
        <f>IF($BO286="","",IFERROR(VLOOKUP($BO286,'01_Warehouse_Ledger'!$A:$N,5,FALSE),""))</f>
        <v/>
      </c>
      <c r="BR286" t="str">
        <f>IF($BO286="","",IFERROR(VLOOKUP($BO286,'01_Warehouse_Ledger'!$A:$N,13,FALSE),""))</f>
        <v/>
      </c>
    </row>
    <row r="287" spans="1:70" ht="15" customHeight="1">
      <c r="A287" s="8"/>
      <c r="B287" s="8"/>
      <c r="D287" s="15" t="str">
        <f t="shared" si="28"/>
        <v/>
      </c>
      <c r="E287" s="15" t="str">
        <f t="shared" si="24"/>
        <v/>
      </c>
      <c r="F287" t="str">
        <f t="shared" si="25"/>
        <v/>
      </c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8"/>
      <c r="AF287" s="4"/>
      <c r="AG287" s="4"/>
      <c r="AH287" s="1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8"/>
      <c r="AX287" s="8"/>
      <c r="AY287" s="8"/>
      <c r="AZ287" s="8"/>
      <c r="BA287" s="12"/>
      <c r="BB287" s="8"/>
      <c r="BC287" s="4"/>
      <c r="BD287" s="4"/>
      <c r="BE287" s="8"/>
      <c r="BF287" s="8"/>
      <c r="BG287" s="8"/>
      <c r="BH287" s="8"/>
      <c r="BI287" s="8"/>
      <c r="BJ287" s="8"/>
      <c r="BK287" s="8"/>
      <c r="BL287" s="4" t="str">
        <f t="shared" si="26"/>
        <v/>
      </c>
      <c r="BM287" s="8" t="str">
        <f t="shared" si="27"/>
        <v/>
      </c>
      <c r="BP287" t="str">
        <f>IF($BO287="","",IFERROR(VLOOKUP($BO287,'01_Warehouse_Ledger'!$A:$N,4,FALSE),""))</f>
        <v/>
      </c>
      <c r="BQ287" t="str">
        <f>IF($BO287="","",IFERROR(VLOOKUP($BO287,'01_Warehouse_Ledger'!$A:$N,5,FALSE),""))</f>
        <v/>
      </c>
      <c r="BR287" t="str">
        <f>IF($BO287="","",IFERROR(VLOOKUP($BO287,'01_Warehouse_Ledger'!$A:$N,13,FALSE),""))</f>
        <v/>
      </c>
    </row>
    <row r="288" spans="1:70" ht="15" customHeight="1">
      <c r="A288" s="8"/>
      <c r="B288" s="8"/>
      <c r="D288" s="15" t="str">
        <f t="shared" si="28"/>
        <v/>
      </c>
      <c r="E288" s="15" t="str">
        <f t="shared" si="24"/>
        <v/>
      </c>
      <c r="F288" t="str">
        <f t="shared" si="25"/>
        <v/>
      </c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8"/>
      <c r="AF288" s="4"/>
      <c r="AG288" s="4"/>
      <c r="AH288" s="1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8"/>
      <c r="AX288" s="8"/>
      <c r="AY288" s="8"/>
      <c r="AZ288" s="8"/>
      <c r="BA288" s="12"/>
      <c r="BB288" s="8"/>
      <c r="BC288" s="4"/>
      <c r="BD288" s="4"/>
      <c r="BE288" s="8"/>
      <c r="BF288" s="8"/>
      <c r="BG288" s="8"/>
      <c r="BH288" s="8"/>
      <c r="BI288" s="8"/>
      <c r="BJ288" s="8"/>
      <c r="BK288" s="8"/>
      <c r="BL288" s="4" t="str">
        <f t="shared" si="26"/>
        <v/>
      </c>
      <c r="BM288" s="8" t="str">
        <f t="shared" si="27"/>
        <v/>
      </c>
      <c r="BP288" t="str">
        <f>IF($BO288="","",IFERROR(VLOOKUP($BO288,'01_Warehouse_Ledger'!$A:$N,4,FALSE),""))</f>
        <v/>
      </c>
      <c r="BQ288" t="str">
        <f>IF($BO288="","",IFERROR(VLOOKUP($BO288,'01_Warehouse_Ledger'!$A:$N,5,FALSE),""))</f>
        <v/>
      </c>
      <c r="BR288" t="str">
        <f>IF($BO288="","",IFERROR(VLOOKUP($BO288,'01_Warehouse_Ledger'!$A:$N,13,FALSE),""))</f>
        <v/>
      </c>
    </row>
    <row r="289" spans="1:70" ht="15" customHeight="1">
      <c r="A289" s="8"/>
      <c r="B289" s="8"/>
      <c r="D289" s="15" t="str">
        <f t="shared" si="28"/>
        <v/>
      </c>
      <c r="E289" s="15" t="str">
        <f t="shared" si="24"/>
        <v/>
      </c>
      <c r="F289" t="str">
        <f t="shared" si="25"/>
        <v/>
      </c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8"/>
      <c r="AF289" s="4"/>
      <c r="AG289" s="4"/>
      <c r="AH289" s="1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8"/>
      <c r="AX289" s="8"/>
      <c r="AY289" s="8"/>
      <c r="AZ289" s="8"/>
      <c r="BA289" s="12"/>
      <c r="BB289" s="8"/>
      <c r="BC289" s="4"/>
      <c r="BD289" s="4"/>
      <c r="BE289" s="8"/>
      <c r="BF289" s="8"/>
      <c r="BG289" s="8"/>
      <c r="BH289" s="8"/>
      <c r="BI289" s="8"/>
      <c r="BJ289" s="8"/>
      <c r="BK289" s="8"/>
      <c r="BL289" s="4" t="str">
        <f t="shared" si="26"/>
        <v/>
      </c>
      <c r="BM289" s="8" t="str">
        <f t="shared" si="27"/>
        <v/>
      </c>
      <c r="BP289" t="str">
        <f>IF($BO289="","",IFERROR(VLOOKUP($BO289,'01_Warehouse_Ledger'!$A:$N,4,FALSE),""))</f>
        <v/>
      </c>
      <c r="BQ289" t="str">
        <f>IF($BO289="","",IFERROR(VLOOKUP($BO289,'01_Warehouse_Ledger'!$A:$N,5,FALSE),""))</f>
        <v/>
      </c>
      <c r="BR289" t="str">
        <f>IF($BO289="","",IFERROR(VLOOKUP($BO289,'01_Warehouse_Ledger'!$A:$N,13,FALSE),""))</f>
        <v/>
      </c>
    </row>
    <row r="290" spans="1:70" ht="15" customHeight="1">
      <c r="A290" s="8"/>
      <c r="B290" s="8"/>
      <c r="D290" s="15" t="str">
        <f t="shared" si="28"/>
        <v/>
      </c>
      <c r="E290" s="15" t="str">
        <f t="shared" si="24"/>
        <v/>
      </c>
      <c r="F290" t="str">
        <f t="shared" si="25"/>
        <v/>
      </c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8"/>
      <c r="AF290" s="4"/>
      <c r="AG290" s="4"/>
      <c r="AH290" s="1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8"/>
      <c r="AX290" s="8"/>
      <c r="AY290" s="8"/>
      <c r="AZ290" s="8"/>
      <c r="BA290" s="12"/>
      <c r="BB290" s="8"/>
      <c r="BC290" s="4"/>
      <c r="BD290" s="4"/>
      <c r="BE290" s="8"/>
      <c r="BF290" s="8"/>
      <c r="BG290" s="8"/>
      <c r="BH290" s="8"/>
      <c r="BI290" s="8"/>
      <c r="BJ290" s="8"/>
      <c r="BK290" s="8"/>
      <c r="BL290" s="4" t="str">
        <f t="shared" si="26"/>
        <v/>
      </c>
      <c r="BM290" s="8" t="str">
        <f t="shared" si="27"/>
        <v/>
      </c>
      <c r="BP290" t="str">
        <f>IF($BO290="","",IFERROR(VLOOKUP($BO290,'01_Warehouse_Ledger'!$A:$N,4,FALSE),""))</f>
        <v/>
      </c>
      <c r="BQ290" t="str">
        <f>IF($BO290="","",IFERROR(VLOOKUP($BO290,'01_Warehouse_Ledger'!$A:$N,5,FALSE),""))</f>
        <v/>
      </c>
      <c r="BR290" t="str">
        <f>IF($BO290="","",IFERROR(VLOOKUP($BO290,'01_Warehouse_Ledger'!$A:$N,13,FALSE),""))</f>
        <v/>
      </c>
    </row>
    <row r="291" spans="1:70" ht="15" customHeight="1">
      <c r="A291" s="8"/>
      <c r="B291" s="8"/>
      <c r="D291" s="15" t="str">
        <f t="shared" si="28"/>
        <v/>
      </c>
      <c r="E291" s="15" t="str">
        <f t="shared" ref="E291:E354" si="29">IF($A291="","",IF($A291="Neuron",IF(OR(AND($S291&lt;&gt;"",LOWER(TRIM($S291))&lt;&gt;"n/a",COUNTIF($S$2:$S$528,$S291)&gt;1),AND($T291&lt;&gt;"",LOWER(TRIM($T291))&lt;&gt;"n/a",COUNTIF($T$2:$T$528,$T291)&gt;1),AND($W291&lt;&gt;"",LOWER(TRIM($W291))&lt;&gt;"n/a",COUNTIF($W$2:$W$528,$W291)&gt;1)),"Yes","No"),IF($A291="Cybernet",IF(OR(AND($Y291&lt;&gt;"",LOWER(TRIM($Y291))&lt;&gt;"n/a",COUNTIF($Y$2:$Y$528,$Y291)&gt;1),AND($Z291&lt;&gt;"",LOWER(TRIM($Z291))&lt;&gt;"n/a",COUNTIF($Z$2:$Z$528,$Z291)&gt;1)),"Yes","No"),IF(AND($AL291&lt;&gt;"",LOWER(TRIM($AL291))&lt;&gt;"n/a",COUNTIF($AL$2:$AL$528,$AL291)&gt;1),"Yes","No"))))</f>
        <v/>
      </c>
      <c r="F291" t="str">
        <f t="shared" ref="F291:F354" si="30">IF($B291&lt;&gt;"Yes","",
IF($A291="Neuron",
IF(OR(
AND($S291&lt;&gt;"",LOWER(TRIM($S291))&lt;&gt;"n/a",COUNTIFS($B$2:$B$528,"Yes",$A$2:$A$528,"Neuron",$S$2:$S$528,$S291)&gt;1),
AND($T291&lt;&gt;"",LOWER(TRIM($T291))&lt;&gt;"n/a",COUNTIFS($B$2:$B$528,"Yes",$A$2:$A$528,"Neuron",$T$2:$T$528,$T291)&gt;1),
AND($W291&lt;&gt;"",LOWER(TRIM($W291))&lt;&gt;"n/a",COUNTIFS($B$2:$B$528,"Yes",$A$2:$A$528,"Neuron",$W$2:$W$528,$W291)&gt;1)
),"Yes","No"),
IF($A291="Cybernet",
IF(OR(
AND($Y291&lt;&gt;"",LOWER(TRIM($Y291))&lt;&gt;"n/a",COUNTIFS($B$2:$B$528,"Yes",$A$2:$A$528,"Cybernet",$Y$2:$Y$528,$Y291)&gt;1),
AND($Z291&lt;&gt;"",LOWER(TRIM($Z291))&lt;&gt;"n/a",COUNTIFS($B$2:$B$528,"Yes",$A$2:$A$528,"Cybernet",$Z$2:$Z$528,$Z291)&gt;1)
),"Yes","No"),
IF(AND($AL291&lt;&gt;"",LOWER(TRIM($AL291))&lt;&gt;"n/a"),
IF(COUNTIFS($B$2:$B$528,"Yes",$A$2:$A$528,$A291,$AL$2:$AL$528,$AL291)&gt;1,"Yes","No"),
"No")
)
)
)</f>
        <v/>
      </c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8"/>
      <c r="AF291" s="4"/>
      <c r="AG291" s="4"/>
      <c r="AH291" s="1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8"/>
      <c r="AX291" s="8"/>
      <c r="AY291" s="8"/>
      <c r="AZ291" s="8"/>
      <c r="BA291" s="12"/>
      <c r="BB291" s="8"/>
      <c r="BC291" s="4"/>
      <c r="BD291" s="4"/>
      <c r="BE291" s="8"/>
      <c r="BF291" s="8"/>
      <c r="BG291" s="8"/>
      <c r="BH291" s="8"/>
      <c r="BI291" s="8"/>
      <c r="BJ291" s="8"/>
      <c r="BK291" s="8"/>
      <c r="BL291" s="4" t="str">
        <f t="shared" si="26"/>
        <v/>
      </c>
      <c r="BM291" s="8" t="str">
        <f t="shared" si="27"/>
        <v/>
      </c>
      <c r="BP291" t="str">
        <f>IF($BO291="","",IFERROR(VLOOKUP($BO291,'01_Warehouse_Ledger'!$A:$N,4,FALSE),""))</f>
        <v/>
      </c>
      <c r="BQ291" t="str">
        <f>IF($BO291="","",IFERROR(VLOOKUP($BO291,'01_Warehouse_Ledger'!$A:$N,5,FALSE),""))</f>
        <v/>
      </c>
      <c r="BR291" t="str">
        <f>IF($BO291="","",IFERROR(VLOOKUP($BO291,'01_Warehouse_Ledger'!$A:$N,13,FALSE),""))</f>
        <v/>
      </c>
    </row>
    <row r="292" spans="1:70" ht="15" customHeight="1">
      <c r="A292" s="8"/>
      <c r="B292" s="8"/>
      <c r="D292" s="15" t="str">
        <f t="shared" si="28"/>
        <v/>
      </c>
      <c r="E292" s="15" t="str">
        <f t="shared" si="29"/>
        <v/>
      </c>
      <c r="F292" t="str">
        <f t="shared" si="30"/>
        <v/>
      </c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8"/>
      <c r="AF292" s="4"/>
      <c r="AG292" s="4"/>
      <c r="AH292" s="1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8"/>
      <c r="AX292" s="8"/>
      <c r="AY292" s="8"/>
      <c r="AZ292" s="8"/>
      <c r="BA292" s="12"/>
      <c r="BB292" s="8"/>
      <c r="BC292" s="4"/>
      <c r="BD292" s="4"/>
      <c r="BE292" s="8"/>
      <c r="BF292" s="8"/>
      <c r="BG292" s="8"/>
      <c r="BH292" s="8"/>
      <c r="BI292" s="8"/>
      <c r="BJ292" s="8"/>
      <c r="BK292" s="8"/>
      <c r="BL292" s="4" t="str">
        <f t="shared" si="26"/>
        <v/>
      </c>
      <c r="BM292" s="8" t="str">
        <f t="shared" si="27"/>
        <v/>
      </c>
      <c r="BP292" t="str">
        <f>IF($BO292="","",IFERROR(VLOOKUP($BO292,'01_Warehouse_Ledger'!$A:$N,4,FALSE),""))</f>
        <v/>
      </c>
      <c r="BQ292" t="str">
        <f>IF($BO292="","",IFERROR(VLOOKUP($BO292,'01_Warehouse_Ledger'!$A:$N,5,FALSE),""))</f>
        <v/>
      </c>
      <c r="BR292" t="str">
        <f>IF($BO292="","",IFERROR(VLOOKUP($BO292,'01_Warehouse_Ledger'!$A:$N,13,FALSE),""))</f>
        <v/>
      </c>
    </row>
    <row r="293" spans="1:70" ht="15" customHeight="1">
      <c r="A293" s="8"/>
      <c r="B293" s="8"/>
      <c r="D293" s="15" t="str">
        <f t="shared" si="28"/>
        <v/>
      </c>
      <c r="E293" s="15" t="str">
        <f t="shared" si="29"/>
        <v/>
      </c>
      <c r="F293" t="str">
        <f t="shared" si="30"/>
        <v/>
      </c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8"/>
      <c r="AF293" s="4"/>
      <c r="AG293" s="4"/>
      <c r="AH293" s="1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8"/>
      <c r="AX293" s="8"/>
      <c r="AY293" s="8"/>
      <c r="AZ293" s="8"/>
      <c r="BA293" s="12"/>
      <c r="BB293" s="8"/>
      <c r="BC293" s="4"/>
      <c r="BD293" s="4"/>
      <c r="BE293" s="8"/>
      <c r="BF293" s="8"/>
      <c r="BG293" s="8"/>
      <c r="BH293" s="8"/>
      <c r="BI293" s="8"/>
      <c r="BJ293" s="8"/>
      <c r="BK293" s="8"/>
      <c r="BL293" s="4" t="str">
        <f t="shared" si="26"/>
        <v/>
      </c>
      <c r="BM293" s="8" t="str">
        <f t="shared" si="27"/>
        <v/>
      </c>
      <c r="BP293" t="str">
        <f>IF($BO293="","",IFERROR(VLOOKUP($BO293,'01_Warehouse_Ledger'!$A:$N,4,FALSE),""))</f>
        <v/>
      </c>
      <c r="BQ293" t="str">
        <f>IF($BO293="","",IFERROR(VLOOKUP($BO293,'01_Warehouse_Ledger'!$A:$N,5,FALSE),""))</f>
        <v/>
      </c>
      <c r="BR293" t="str">
        <f>IF($BO293="","",IFERROR(VLOOKUP($BO293,'01_Warehouse_Ledger'!$A:$N,13,FALSE),""))</f>
        <v/>
      </c>
    </row>
    <row r="294" spans="1:70" ht="15" customHeight="1">
      <c r="A294" s="8"/>
      <c r="B294" s="8"/>
      <c r="D294" s="15" t="str">
        <f t="shared" si="28"/>
        <v/>
      </c>
      <c r="E294" s="15" t="str">
        <f t="shared" si="29"/>
        <v/>
      </c>
      <c r="F294" t="str">
        <f t="shared" si="30"/>
        <v/>
      </c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8"/>
      <c r="AF294" s="4"/>
      <c r="AG294" s="4"/>
      <c r="AH294" s="1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8"/>
      <c r="AX294" s="8"/>
      <c r="AY294" s="8"/>
      <c r="AZ294" s="8"/>
      <c r="BA294" s="12"/>
      <c r="BB294" s="8"/>
      <c r="BC294" s="4"/>
      <c r="BD294" s="4"/>
      <c r="BE294" s="8"/>
      <c r="BF294" s="8"/>
      <c r="BG294" s="8"/>
      <c r="BH294" s="8"/>
      <c r="BI294" s="8"/>
      <c r="BJ294" s="8"/>
      <c r="BK294" s="8"/>
      <c r="BL294" s="4" t="str">
        <f t="shared" si="26"/>
        <v/>
      </c>
      <c r="BM294" s="8" t="str">
        <f t="shared" si="27"/>
        <v/>
      </c>
      <c r="BP294" t="str">
        <f>IF($BO294="","",IFERROR(VLOOKUP($BO294,'01_Warehouse_Ledger'!$A:$N,4,FALSE),""))</f>
        <v/>
      </c>
      <c r="BQ294" t="str">
        <f>IF($BO294="","",IFERROR(VLOOKUP($BO294,'01_Warehouse_Ledger'!$A:$N,5,FALSE),""))</f>
        <v/>
      </c>
      <c r="BR294" t="str">
        <f>IF($BO294="","",IFERROR(VLOOKUP($BO294,'01_Warehouse_Ledger'!$A:$N,13,FALSE),""))</f>
        <v/>
      </c>
    </row>
    <row r="295" spans="1:70" ht="15" customHeight="1">
      <c r="A295" s="8"/>
      <c r="B295" s="8"/>
      <c r="D295" s="15" t="str">
        <f t="shared" si="28"/>
        <v/>
      </c>
      <c r="E295" s="15" t="str">
        <f t="shared" si="29"/>
        <v/>
      </c>
      <c r="F295" t="str">
        <f t="shared" si="30"/>
        <v/>
      </c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8"/>
      <c r="AF295" s="4"/>
      <c r="AG295" s="4"/>
      <c r="AH295" s="1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8"/>
      <c r="AX295" s="8"/>
      <c r="AY295" s="8"/>
      <c r="AZ295" s="8"/>
      <c r="BA295" s="12"/>
      <c r="BB295" s="8"/>
      <c r="BC295" s="4"/>
      <c r="BD295" s="4"/>
      <c r="BE295" s="8"/>
      <c r="BF295" s="8"/>
      <c r="BG295" s="8"/>
      <c r="BH295" s="8"/>
      <c r="BI295" s="8"/>
      <c r="BJ295" s="8"/>
      <c r="BK295" s="8"/>
      <c r="BL295" s="4" t="str">
        <f t="shared" si="26"/>
        <v/>
      </c>
      <c r="BM295" s="8" t="str">
        <f t="shared" si="27"/>
        <v/>
      </c>
      <c r="BP295" t="str">
        <f>IF($BO295="","",IFERROR(VLOOKUP($BO295,'01_Warehouse_Ledger'!$A:$N,4,FALSE),""))</f>
        <v/>
      </c>
      <c r="BQ295" t="str">
        <f>IF($BO295="","",IFERROR(VLOOKUP($BO295,'01_Warehouse_Ledger'!$A:$N,5,FALSE),""))</f>
        <v/>
      </c>
      <c r="BR295" t="str">
        <f>IF($BO295="","",IFERROR(VLOOKUP($BO295,'01_Warehouse_Ledger'!$A:$N,13,FALSE),""))</f>
        <v/>
      </c>
    </row>
    <row r="296" spans="1:70" ht="15" customHeight="1">
      <c r="A296" s="8"/>
      <c r="B296" s="8"/>
      <c r="D296" s="15" t="str">
        <f t="shared" si="28"/>
        <v/>
      </c>
      <c r="E296" s="15" t="str">
        <f t="shared" si="29"/>
        <v/>
      </c>
      <c r="F296" t="str">
        <f t="shared" si="30"/>
        <v/>
      </c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8"/>
      <c r="AF296" s="4"/>
      <c r="AG296" s="4"/>
      <c r="AH296" s="1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8"/>
      <c r="AX296" s="8"/>
      <c r="AY296" s="8"/>
      <c r="AZ296" s="8"/>
      <c r="BA296" s="12"/>
      <c r="BB296" s="8"/>
      <c r="BC296" s="4"/>
      <c r="BD296" s="4"/>
      <c r="BE296" s="8"/>
      <c r="BF296" s="8"/>
      <c r="BG296" s="8"/>
      <c r="BH296" s="8"/>
      <c r="BI296" s="8"/>
      <c r="BJ296" s="8"/>
      <c r="BK296" s="8"/>
      <c r="BL296" s="4" t="str">
        <f t="shared" si="26"/>
        <v/>
      </c>
      <c r="BM296" s="8" t="str">
        <f t="shared" si="27"/>
        <v/>
      </c>
      <c r="BP296" t="str">
        <f>IF($BO296="","",IFERROR(VLOOKUP($BO296,'01_Warehouse_Ledger'!$A:$N,4,FALSE),""))</f>
        <v/>
      </c>
      <c r="BQ296" t="str">
        <f>IF($BO296="","",IFERROR(VLOOKUP($BO296,'01_Warehouse_Ledger'!$A:$N,5,FALSE),""))</f>
        <v/>
      </c>
      <c r="BR296" t="str">
        <f>IF($BO296="","",IFERROR(VLOOKUP($BO296,'01_Warehouse_Ledger'!$A:$N,13,FALSE),""))</f>
        <v/>
      </c>
    </row>
    <row r="297" spans="1:70" ht="15" customHeight="1">
      <c r="A297" s="8"/>
      <c r="B297" s="8"/>
      <c r="D297" s="15" t="str">
        <f t="shared" si="28"/>
        <v/>
      </c>
      <c r="E297" s="15" t="str">
        <f t="shared" si="29"/>
        <v/>
      </c>
      <c r="F297" t="str">
        <f t="shared" si="30"/>
        <v/>
      </c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8"/>
      <c r="AF297" s="4"/>
      <c r="AG297" s="4"/>
      <c r="AH297" s="1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8"/>
      <c r="AX297" s="8"/>
      <c r="AY297" s="8"/>
      <c r="AZ297" s="8"/>
      <c r="BA297" s="12"/>
      <c r="BB297" s="8"/>
      <c r="BC297" s="4"/>
      <c r="BD297" s="4"/>
      <c r="BE297" s="8"/>
      <c r="BF297" s="8"/>
      <c r="BG297" s="8"/>
      <c r="BH297" s="8"/>
      <c r="BI297" s="8"/>
      <c r="BJ297" s="8"/>
      <c r="BK297" s="8"/>
      <c r="BL297" s="4" t="str">
        <f t="shared" si="26"/>
        <v/>
      </c>
      <c r="BM297" s="8" t="str">
        <f t="shared" si="27"/>
        <v/>
      </c>
      <c r="BP297" t="str">
        <f>IF($BO297="","",IFERROR(VLOOKUP($BO297,'01_Warehouse_Ledger'!$A:$N,4,FALSE),""))</f>
        <v/>
      </c>
      <c r="BQ297" t="str">
        <f>IF($BO297="","",IFERROR(VLOOKUP($BO297,'01_Warehouse_Ledger'!$A:$N,5,FALSE),""))</f>
        <v/>
      </c>
      <c r="BR297" t="str">
        <f>IF($BO297="","",IFERROR(VLOOKUP($BO297,'01_Warehouse_Ledger'!$A:$N,13,FALSE),""))</f>
        <v/>
      </c>
    </row>
    <row r="298" spans="1:70" ht="15" customHeight="1">
      <c r="A298" s="8"/>
      <c r="B298" s="8"/>
      <c r="D298" s="15" t="str">
        <f t="shared" si="28"/>
        <v/>
      </c>
      <c r="E298" s="15" t="str">
        <f t="shared" si="29"/>
        <v/>
      </c>
      <c r="F298" t="str">
        <f t="shared" si="30"/>
        <v/>
      </c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8"/>
      <c r="AF298" s="4"/>
      <c r="AG298" s="4"/>
      <c r="AH298" s="1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8"/>
      <c r="AX298" s="8"/>
      <c r="AY298" s="8"/>
      <c r="AZ298" s="8"/>
      <c r="BA298" s="12"/>
      <c r="BB298" s="8"/>
      <c r="BC298" s="4"/>
      <c r="BD298" s="4"/>
      <c r="BE298" s="8"/>
      <c r="BF298" s="8"/>
      <c r="BG298" s="8"/>
      <c r="BH298" s="8"/>
      <c r="BI298" s="8"/>
      <c r="BJ298" s="8"/>
      <c r="BK298" s="8"/>
      <c r="BL298" s="4" t="str">
        <f t="shared" si="26"/>
        <v/>
      </c>
      <c r="BM298" s="8" t="str">
        <f t="shared" si="27"/>
        <v/>
      </c>
      <c r="BP298" t="str">
        <f>IF($BO298="","",IFERROR(VLOOKUP($BO298,'01_Warehouse_Ledger'!$A:$N,4,FALSE),""))</f>
        <v/>
      </c>
      <c r="BQ298" t="str">
        <f>IF($BO298="","",IFERROR(VLOOKUP($BO298,'01_Warehouse_Ledger'!$A:$N,5,FALSE),""))</f>
        <v/>
      </c>
      <c r="BR298" t="str">
        <f>IF($BO298="","",IFERROR(VLOOKUP($BO298,'01_Warehouse_Ledger'!$A:$N,13,FALSE),""))</f>
        <v/>
      </c>
    </row>
    <row r="299" spans="1:70" ht="15" customHeight="1">
      <c r="A299" s="8"/>
      <c r="B299" s="8"/>
      <c r="D299" s="15" t="str">
        <f t="shared" si="28"/>
        <v/>
      </c>
      <c r="E299" s="15" t="str">
        <f t="shared" si="29"/>
        <v/>
      </c>
      <c r="F299" t="str">
        <f t="shared" si="30"/>
        <v/>
      </c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8"/>
      <c r="AF299" s="4"/>
      <c r="AG299" s="4"/>
      <c r="AH299" s="1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8"/>
      <c r="AX299" s="8"/>
      <c r="AY299" s="8"/>
      <c r="AZ299" s="8"/>
      <c r="BA299" s="12"/>
      <c r="BB299" s="8"/>
      <c r="BC299" s="4"/>
      <c r="BD299" s="4"/>
      <c r="BE299" s="8"/>
      <c r="BF299" s="8"/>
      <c r="BG299" s="8"/>
      <c r="BH299" s="8"/>
      <c r="BI299" s="8"/>
      <c r="BJ299" s="8"/>
      <c r="BK299" s="8"/>
      <c r="BL299" s="4" t="str">
        <f t="shared" si="26"/>
        <v/>
      </c>
      <c r="BM299" s="8" t="str">
        <f t="shared" si="27"/>
        <v/>
      </c>
      <c r="BP299" t="str">
        <f>IF($BO299="","",IFERROR(VLOOKUP($BO299,'01_Warehouse_Ledger'!$A:$N,4,FALSE),""))</f>
        <v/>
      </c>
      <c r="BQ299" t="str">
        <f>IF($BO299="","",IFERROR(VLOOKUP($BO299,'01_Warehouse_Ledger'!$A:$N,5,FALSE),""))</f>
        <v/>
      </c>
      <c r="BR299" t="str">
        <f>IF($BO299="","",IFERROR(VLOOKUP($BO299,'01_Warehouse_Ledger'!$A:$N,13,FALSE),""))</f>
        <v/>
      </c>
    </row>
    <row r="300" spans="1:70" ht="15" customHeight="1">
      <c r="A300" s="8"/>
      <c r="B300" s="8"/>
      <c r="D300" s="15" t="str">
        <f t="shared" si="28"/>
        <v/>
      </c>
      <c r="E300" s="15" t="str">
        <f t="shared" si="29"/>
        <v/>
      </c>
      <c r="F300" t="str">
        <f t="shared" si="30"/>
        <v/>
      </c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8"/>
      <c r="AF300" s="4"/>
      <c r="AG300" s="4"/>
      <c r="AH300" s="1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8"/>
      <c r="AX300" s="8"/>
      <c r="AY300" s="8"/>
      <c r="AZ300" s="8"/>
      <c r="BA300" s="12"/>
      <c r="BB300" s="8"/>
      <c r="BC300" s="4"/>
      <c r="BD300" s="4"/>
      <c r="BE300" s="8"/>
      <c r="BF300" s="8"/>
      <c r="BG300" s="8"/>
      <c r="BH300" s="8"/>
      <c r="BI300" s="8"/>
      <c r="BJ300" s="8"/>
      <c r="BK300" s="8"/>
      <c r="BL300" s="4" t="str">
        <f t="shared" si="26"/>
        <v/>
      </c>
      <c r="BM300" s="8" t="str">
        <f t="shared" si="27"/>
        <v/>
      </c>
      <c r="BP300" t="str">
        <f>IF($BO300="","",IFERROR(VLOOKUP($BO300,'01_Warehouse_Ledger'!$A:$N,4,FALSE),""))</f>
        <v/>
      </c>
      <c r="BQ300" t="str">
        <f>IF($BO300="","",IFERROR(VLOOKUP($BO300,'01_Warehouse_Ledger'!$A:$N,5,FALSE),""))</f>
        <v/>
      </c>
      <c r="BR300" t="str">
        <f>IF($BO300="","",IFERROR(VLOOKUP($BO300,'01_Warehouse_Ledger'!$A:$N,13,FALSE),""))</f>
        <v/>
      </c>
    </row>
    <row r="301" spans="1:70" ht="15" customHeight="1">
      <c r="A301" s="8"/>
      <c r="B301" s="8"/>
      <c r="D301" s="15" t="str">
        <f t="shared" si="28"/>
        <v/>
      </c>
      <c r="E301" s="15" t="str">
        <f t="shared" si="29"/>
        <v/>
      </c>
      <c r="F301" t="str">
        <f t="shared" si="30"/>
        <v/>
      </c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8"/>
      <c r="AF301" s="4"/>
      <c r="AG301" s="4"/>
      <c r="AH301" s="1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8"/>
      <c r="AX301" s="8"/>
      <c r="AY301" s="8"/>
      <c r="AZ301" s="8"/>
      <c r="BA301" s="12"/>
      <c r="BB301" s="8"/>
      <c r="BC301" s="4"/>
      <c r="BD301" s="4"/>
      <c r="BE301" s="8"/>
      <c r="BF301" s="8"/>
      <c r="BG301" s="8"/>
      <c r="BH301" s="8"/>
      <c r="BI301" s="8"/>
      <c r="BJ301" s="8"/>
      <c r="BK301" s="8"/>
      <c r="BL301" s="4" t="str">
        <f t="shared" si="26"/>
        <v/>
      </c>
      <c r="BM301" s="8" t="str">
        <f t="shared" si="27"/>
        <v/>
      </c>
      <c r="BP301" t="str">
        <f>IF($BO301="","",IFERROR(VLOOKUP($BO301,'01_Warehouse_Ledger'!$A:$N,4,FALSE),""))</f>
        <v/>
      </c>
      <c r="BQ301" t="str">
        <f>IF($BO301="","",IFERROR(VLOOKUP($BO301,'01_Warehouse_Ledger'!$A:$N,5,FALSE),""))</f>
        <v/>
      </c>
      <c r="BR301" t="str">
        <f>IF($BO301="","",IFERROR(VLOOKUP($BO301,'01_Warehouse_Ledger'!$A:$N,13,FALSE),""))</f>
        <v/>
      </c>
    </row>
    <row r="302" spans="1:70" ht="15" customHeight="1">
      <c r="A302" s="8"/>
      <c r="B302" s="8"/>
      <c r="D302" s="15" t="str">
        <f t="shared" si="28"/>
        <v/>
      </c>
      <c r="E302" s="15" t="str">
        <f t="shared" si="29"/>
        <v/>
      </c>
      <c r="F302" t="str">
        <f t="shared" si="30"/>
        <v/>
      </c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8"/>
      <c r="AF302" s="4"/>
      <c r="AG302" s="4"/>
      <c r="AH302" s="1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8"/>
      <c r="AX302" s="8"/>
      <c r="AY302" s="8"/>
      <c r="AZ302" s="8"/>
      <c r="BA302" s="12"/>
      <c r="BB302" s="8"/>
      <c r="BC302" s="4"/>
      <c r="BD302" s="4"/>
      <c r="BE302" s="8"/>
      <c r="BF302" s="8"/>
      <c r="BG302" s="8"/>
      <c r="BH302" s="8"/>
      <c r="BI302" s="8"/>
      <c r="BJ302" s="8"/>
      <c r="BK302" s="8"/>
      <c r="BL302" s="4" t="str">
        <f t="shared" si="26"/>
        <v/>
      </c>
      <c r="BM302" s="8" t="str">
        <f t="shared" si="27"/>
        <v/>
      </c>
      <c r="BP302" t="str">
        <f>IF($BO302="","",IFERROR(VLOOKUP($BO302,'01_Warehouse_Ledger'!$A:$N,4,FALSE),""))</f>
        <v/>
      </c>
      <c r="BQ302" t="str">
        <f>IF($BO302="","",IFERROR(VLOOKUP($BO302,'01_Warehouse_Ledger'!$A:$N,5,FALSE),""))</f>
        <v/>
      </c>
      <c r="BR302" t="str">
        <f>IF($BO302="","",IFERROR(VLOOKUP($BO302,'01_Warehouse_Ledger'!$A:$N,13,FALSE),""))</f>
        <v/>
      </c>
    </row>
    <row r="303" spans="1:70" ht="15" customHeight="1">
      <c r="A303" s="8"/>
      <c r="B303" s="8"/>
      <c r="D303" s="15" t="str">
        <f t="shared" si="28"/>
        <v/>
      </c>
      <c r="E303" s="15" t="str">
        <f t="shared" si="29"/>
        <v/>
      </c>
      <c r="F303" t="str">
        <f t="shared" si="30"/>
        <v/>
      </c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8"/>
      <c r="AF303" s="4"/>
      <c r="AG303" s="4"/>
      <c r="AH303" s="1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8"/>
      <c r="AX303" s="8"/>
      <c r="AY303" s="8"/>
      <c r="AZ303" s="8"/>
      <c r="BA303" s="12"/>
      <c r="BB303" s="8"/>
      <c r="BC303" s="4"/>
      <c r="BD303" s="4"/>
      <c r="BE303" s="8"/>
      <c r="BF303" s="8"/>
      <c r="BG303" s="8"/>
      <c r="BH303" s="8"/>
      <c r="BI303" s="8"/>
      <c r="BJ303" s="8"/>
      <c r="BK303" s="8"/>
      <c r="BL303" s="4" t="str">
        <f t="shared" si="26"/>
        <v/>
      </c>
      <c r="BM303" s="8" t="str">
        <f t="shared" si="27"/>
        <v/>
      </c>
      <c r="BP303" t="str">
        <f>IF($BO303="","",IFERROR(VLOOKUP($BO303,'01_Warehouse_Ledger'!$A:$N,4,FALSE),""))</f>
        <v/>
      </c>
      <c r="BQ303" t="str">
        <f>IF($BO303="","",IFERROR(VLOOKUP($BO303,'01_Warehouse_Ledger'!$A:$N,5,FALSE),""))</f>
        <v/>
      </c>
      <c r="BR303" t="str">
        <f>IF($BO303="","",IFERROR(VLOOKUP($BO303,'01_Warehouse_Ledger'!$A:$N,13,FALSE),""))</f>
        <v/>
      </c>
    </row>
    <row r="304" spans="1:70" ht="15" customHeight="1">
      <c r="D304" s="15" t="str">
        <f t="shared" si="28"/>
        <v/>
      </c>
      <c r="E304" s="15" t="str">
        <f t="shared" si="29"/>
        <v/>
      </c>
      <c r="F304" t="str">
        <f t="shared" si="30"/>
        <v/>
      </c>
      <c r="BL304" s="4" t="str">
        <f t="shared" si="26"/>
        <v/>
      </c>
      <c r="BM304" s="8" t="str">
        <f t="shared" si="27"/>
        <v/>
      </c>
      <c r="BP304" t="str">
        <f>IF($BO304="","",IFERROR(VLOOKUP($BO304,'01_Warehouse_Ledger'!$A:$N,4,FALSE),""))</f>
        <v/>
      </c>
      <c r="BQ304" t="str">
        <f>IF($BO304="","",IFERROR(VLOOKUP($BO304,'01_Warehouse_Ledger'!$A:$N,5,FALSE),""))</f>
        <v/>
      </c>
      <c r="BR304" t="str">
        <f>IF($BO304="","",IFERROR(VLOOKUP($BO304,'01_Warehouse_Ledger'!$A:$N,13,FALSE),""))</f>
        <v/>
      </c>
    </row>
    <row r="305" spans="4:70" ht="15" customHeight="1">
      <c r="D305" s="15" t="str">
        <f t="shared" si="28"/>
        <v/>
      </c>
      <c r="E305" s="15" t="str">
        <f t="shared" si="29"/>
        <v/>
      </c>
      <c r="F305" t="str">
        <f t="shared" si="30"/>
        <v/>
      </c>
      <c r="BL305" s="4" t="str">
        <f t="shared" si="26"/>
        <v/>
      </c>
      <c r="BM305" s="8" t="str">
        <f t="shared" si="27"/>
        <v/>
      </c>
      <c r="BP305" t="str">
        <f>IF($BO305="","",IFERROR(VLOOKUP($BO305,'01_Warehouse_Ledger'!$A:$N,4,FALSE),""))</f>
        <v/>
      </c>
      <c r="BQ305" t="str">
        <f>IF($BO305="","",IFERROR(VLOOKUP($BO305,'01_Warehouse_Ledger'!$A:$N,5,FALSE),""))</f>
        <v/>
      </c>
      <c r="BR305" t="str">
        <f>IF($BO305="","",IFERROR(VLOOKUP($BO305,'01_Warehouse_Ledger'!$A:$N,13,FALSE),""))</f>
        <v/>
      </c>
    </row>
    <row r="306" spans="4:70" ht="15" customHeight="1">
      <c r="D306" s="15" t="str">
        <f t="shared" si="28"/>
        <v/>
      </c>
      <c r="E306" s="15" t="str">
        <f t="shared" si="29"/>
        <v/>
      </c>
      <c r="F306" t="str">
        <f t="shared" si="30"/>
        <v/>
      </c>
      <c r="BL306" s="4" t="str">
        <f t="shared" si="26"/>
        <v/>
      </c>
      <c r="BM306" s="8" t="str">
        <f t="shared" si="27"/>
        <v/>
      </c>
      <c r="BP306" t="str">
        <f>IF($BO306="","",IFERROR(VLOOKUP($BO306,'01_Warehouse_Ledger'!$A:$N,4,FALSE),""))</f>
        <v/>
      </c>
      <c r="BQ306" t="str">
        <f>IF($BO306="","",IFERROR(VLOOKUP($BO306,'01_Warehouse_Ledger'!$A:$N,5,FALSE),""))</f>
        <v/>
      </c>
      <c r="BR306" t="str">
        <f>IF($BO306="","",IFERROR(VLOOKUP($BO306,'01_Warehouse_Ledger'!$A:$N,13,FALSE),""))</f>
        <v/>
      </c>
    </row>
    <row r="307" spans="4:70" ht="15" customHeight="1">
      <c r="D307" s="15" t="str">
        <f t="shared" si="28"/>
        <v/>
      </c>
      <c r="E307" s="15" t="str">
        <f t="shared" si="29"/>
        <v/>
      </c>
      <c r="F307" t="str">
        <f t="shared" si="30"/>
        <v/>
      </c>
      <c r="BL307" s="4" t="str">
        <f t="shared" ref="BL307:BL370" si="31">IF($T307="","",IF((IF(AND($AW307&lt;&gt;"Yes",$AW307&lt;&gt;"N/A"),"Power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",""))="","",LEFT(IF(AND($AW307&lt;&gt;"Yes",$AW307&lt;&gt;"N/A"),"Power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",""),LEN(IF(AND($AW307&lt;&gt;"Yes",$AW307&lt;&gt;"N/A"),"Power Cable, ","")&amp;IF(AND($AX307&lt;&gt;"Yes",$AX307&lt;&gt;"N/A"),"Battery, ","")&amp;IF(AND($BE307&lt;&gt;"Yes",$BE307&lt;&gt;"N/A"),"Firmware Download, ","")&amp;IF(AND(OR($BE307="Yes",$BE307="N/A"),$BF307&lt;&gt;"Yes",$BF307&lt;&gt;"N/A"),"Firmware Install, ","")&amp;IF(AND($BJ307&lt;&gt;"Yes",$BJ307&lt;&gt;"N/A"),"Device ID, ","")&amp;IF(AND($BK307&lt;&gt;"Yes",$BK307&lt;&gt;"N/A"),"Epic Beans Relay, ",""))-2)))</f>
        <v/>
      </c>
      <c r="BM307" s="8" t="str">
        <f t="shared" ref="BM307:BM370" si="32">IF($T307="","",IF($BL307="","Yes","Blocked"))</f>
        <v/>
      </c>
      <c r="BP307" t="str">
        <f>IF($BO307="","",IFERROR(VLOOKUP($BO307,'01_Warehouse_Ledger'!$A:$N,4,FALSE),""))</f>
        <v/>
      </c>
      <c r="BQ307" t="str">
        <f>IF($BO307="","",IFERROR(VLOOKUP($BO307,'01_Warehouse_Ledger'!$A:$N,5,FALSE),""))</f>
        <v/>
      </c>
      <c r="BR307" t="str">
        <f>IF($BO307="","",IFERROR(VLOOKUP($BO307,'01_Warehouse_Ledger'!$A:$N,13,FALSE),""))</f>
        <v/>
      </c>
    </row>
    <row r="308" spans="4:70" ht="15" customHeight="1">
      <c r="D308" s="15" t="str">
        <f t="shared" si="28"/>
        <v/>
      </c>
      <c r="E308" s="15" t="str">
        <f t="shared" si="29"/>
        <v/>
      </c>
      <c r="F308" t="str">
        <f t="shared" si="30"/>
        <v/>
      </c>
      <c r="BL308" s="4" t="str">
        <f t="shared" si="31"/>
        <v/>
      </c>
      <c r="BM308" s="8" t="str">
        <f t="shared" si="32"/>
        <v/>
      </c>
      <c r="BP308" t="str">
        <f>IF($BO308="","",IFERROR(VLOOKUP($BO308,'01_Warehouse_Ledger'!$A:$N,4,FALSE),""))</f>
        <v/>
      </c>
      <c r="BQ308" t="str">
        <f>IF($BO308="","",IFERROR(VLOOKUP($BO308,'01_Warehouse_Ledger'!$A:$N,5,FALSE),""))</f>
        <v/>
      </c>
      <c r="BR308" t="str">
        <f>IF($BO308="","",IFERROR(VLOOKUP($BO308,'01_Warehouse_Ledger'!$A:$N,13,FALSE),""))</f>
        <v/>
      </c>
    </row>
    <row r="309" spans="4:70" ht="15" customHeight="1">
      <c r="D309" s="15" t="str">
        <f t="shared" si="28"/>
        <v/>
      </c>
      <c r="E309" s="15" t="str">
        <f t="shared" si="29"/>
        <v/>
      </c>
      <c r="F309" t="str">
        <f t="shared" si="30"/>
        <v/>
      </c>
      <c r="BL309" s="4" t="str">
        <f t="shared" si="31"/>
        <v/>
      </c>
      <c r="BM309" s="8" t="str">
        <f t="shared" si="32"/>
        <v/>
      </c>
      <c r="BP309" t="str">
        <f>IF($BO309="","",IFERROR(VLOOKUP($BO309,'01_Warehouse_Ledger'!$A:$N,4,FALSE),""))</f>
        <v/>
      </c>
      <c r="BQ309" t="str">
        <f>IF($BO309="","",IFERROR(VLOOKUP($BO309,'01_Warehouse_Ledger'!$A:$N,5,FALSE),""))</f>
        <v/>
      </c>
      <c r="BR309" t="str">
        <f>IF($BO309="","",IFERROR(VLOOKUP($BO309,'01_Warehouse_Ledger'!$A:$N,13,FALSE),""))</f>
        <v/>
      </c>
    </row>
    <row r="310" spans="4:70" ht="15" customHeight="1">
      <c r="D310" s="15" t="str">
        <f t="shared" si="28"/>
        <v/>
      </c>
      <c r="E310" s="15" t="str">
        <f t="shared" si="29"/>
        <v/>
      </c>
      <c r="F310" t="str">
        <f t="shared" si="30"/>
        <v/>
      </c>
      <c r="BL310" s="4" t="str">
        <f t="shared" si="31"/>
        <v/>
      </c>
      <c r="BM310" s="8" t="str">
        <f t="shared" si="32"/>
        <v/>
      </c>
      <c r="BP310" t="str">
        <f>IF($BO310="","",IFERROR(VLOOKUP($BO310,'01_Warehouse_Ledger'!$A:$N,4,FALSE),""))</f>
        <v/>
      </c>
      <c r="BQ310" t="str">
        <f>IF($BO310="","",IFERROR(VLOOKUP($BO310,'01_Warehouse_Ledger'!$A:$N,5,FALSE),""))</f>
        <v/>
      </c>
      <c r="BR310" t="str">
        <f>IF($BO310="","",IFERROR(VLOOKUP($BO310,'01_Warehouse_Ledger'!$A:$N,13,FALSE),""))</f>
        <v/>
      </c>
    </row>
    <row r="311" spans="4:70" ht="15" customHeight="1">
      <c r="D311" s="15" t="str">
        <f t="shared" si="28"/>
        <v/>
      </c>
      <c r="E311" s="15" t="str">
        <f t="shared" si="29"/>
        <v/>
      </c>
      <c r="F311" t="str">
        <f t="shared" si="30"/>
        <v/>
      </c>
      <c r="BL311" s="4" t="str">
        <f t="shared" si="31"/>
        <v/>
      </c>
      <c r="BM311" s="8" t="str">
        <f t="shared" si="32"/>
        <v/>
      </c>
      <c r="BP311" t="str">
        <f>IF($BO311="","",IFERROR(VLOOKUP($BO311,'01_Warehouse_Ledger'!$A:$N,4,FALSE),""))</f>
        <v/>
      </c>
      <c r="BQ311" t="str">
        <f>IF($BO311="","",IFERROR(VLOOKUP($BO311,'01_Warehouse_Ledger'!$A:$N,5,FALSE),""))</f>
        <v/>
      </c>
      <c r="BR311" t="str">
        <f>IF($BO311="","",IFERROR(VLOOKUP($BO311,'01_Warehouse_Ledger'!$A:$N,13,FALSE),""))</f>
        <v/>
      </c>
    </row>
    <row r="312" spans="4:70" ht="15" customHeight="1">
      <c r="D312" s="15" t="str">
        <f t="shared" si="28"/>
        <v/>
      </c>
      <c r="E312" s="15" t="str">
        <f t="shared" si="29"/>
        <v/>
      </c>
      <c r="F312" t="str">
        <f t="shared" si="30"/>
        <v/>
      </c>
      <c r="BL312" s="4" t="str">
        <f t="shared" si="31"/>
        <v/>
      </c>
      <c r="BM312" s="8" t="str">
        <f t="shared" si="32"/>
        <v/>
      </c>
      <c r="BP312" t="str">
        <f>IF($BO312="","",IFERROR(VLOOKUP($BO312,'01_Warehouse_Ledger'!$A:$N,4,FALSE),""))</f>
        <v/>
      </c>
      <c r="BQ312" t="str">
        <f>IF($BO312="","",IFERROR(VLOOKUP($BO312,'01_Warehouse_Ledger'!$A:$N,5,FALSE),""))</f>
        <v/>
      </c>
      <c r="BR312" t="str">
        <f>IF($BO312="","",IFERROR(VLOOKUP($BO312,'01_Warehouse_Ledger'!$A:$N,13,FALSE),""))</f>
        <v/>
      </c>
    </row>
    <row r="313" spans="4:70" ht="15" customHeight="1">
      <c r="D313" s="15" t="str">
        <f t="shared" si="28"/>
        <v/>
      </c>
      <c r="E313" s="15" t="str">
        <f t="shared" si="29"/>
        <v/>
      </c>
      <c r="F313" t="str">
        <f t="shared" si="30"/>
        <v/>
      </c>
      <c r="BL313" s="4" t="str">
        <f t="shared" si="31"/>
        <v/>
      </c>
      <c r="BM313" s="8" t="str">
        <f t="shared" si="32"/>
        <v/>
      </c>
      <c r="BP313" t="str">
        <f>IF($BO313="","",IFERROR(VLOOKUP($BO313,'01_Warehouse_Ledger'!$A:$N,4,FALSE),""))</f>
        <v/>
      </c>
      <c r="BQ313" t="str">
        <f>IF($BO313="","",IFERROR(VLOOKUP($BO313,'01_Warehouse_Ledger'!$A:$N,5,FALSE),""))</f>
        <v/>
      </c>
      <c r="BR313" t="str">
        <f>IF($BO313="","",IFERROR(VLOOKUP($BO313,'01_Warehouse_Ledger'!$A:$N,13,FALSE),""))</f>
        <v/>
      </c>
    </row>
    <row r="314" spans="4:70" ht="15" customHeight="1">
      <c r="D314" s="15" t="str">
        <f t="shared" si="28"/>
        <v/>
      </c>
      <c r="E314" s="15" t="str">
        <f t="shared" si="29"/>
        <v/>
      </c>
      <c r="F314" t="str">
        <f t="shared" si="30"/>
        <v/>
      </c>
      <c r="BL314" s="4" t="str">
        <f t="shared" si="31"/>
        <v/>
      </c>
      <c r="BM314" s="8" t="str">
        <f t="shared" si="32"/>
        <v/>
      </c>
      <c r="BP314" t="str">
        <f>IF($BO314="","",IFERROR(VLOOKUP($BO314,'01_Warehouse_Ledger'!$A:$N,4,FALSE),""))</f>
        <v/>
      </c>
      <c r="BQ314" t="str">
        <f>IF($BO314="","",IFERROR(VLOOKUP($BO314,'01_Warehouse_Ledger'!$A:$N,5,FALSE),""))</f>
        <v/>
      </c>
      <c r="BR314" t="str">
        <f>IF($BO314="","",IFERROR(VLOOKUP($BO314,'01_Warehouse_Ledger'!$A:$N,13,FALSE),""))</f>
        <v/>
      </c>
    </row>
    <row r="315" spans="4:70" ht="15" customHeight="1">
      <c r="D315" s="15" t="str">
        <f t="shared" si="28"/>
        <v/>
      </c>
      <c r="E315" s="15" t="str">
        <f t="shared" si="29"/>
        <v/>
      </c>
      <c r="F315" t="str">
        <f t="shared" si="30"/>
        <v/>
      </c>
      <c r="BL315" s="4" t="str">
        <f t="shared" si="31"/>
        <v/>
      </c>
      <c r="BM315" s="8" t="str">
        <f t="shared" si="32"/>
        <v/>
      </c>
      <c r="BP315" t="str">
        <f>IF($BO315="","",IFERROR(VLOOKUP($BO315,'01_Warehouse_Ledger'!$A:$N,4,FALSE),""))</f>
        <v/>
      </c>
      <c r="BQ315" t="str">
        <f>IF($BO315="","",IFERROR(VLOOKUP($BO315,'01_Warehouse_Ledger'!$A:$N,5,FALSE),""))</f>
        <v/>
      </c>
      <c r="BR315" t="str">
        <f>IF($BO315="","",IFERROR(VLOOKUP($BO315,'01_Warehouse_Ledger'!$A:$N,13,FALSE),""))</f>
        <v/>
      </c>
    </row>
    <row r="316" spans="4:70" ht="15" customHeight="1">
      <c r="D316" s="15" t="str">
        <f t="shared" si="28"/>
        <v/>
      </c>
      <c r="E316" s="15" t="str">
        <f t="shared" si="29"/>
        <v/>
      </c>
      <c r="F316" t="str">
        <f t="shared" si="30"/>
        <v/>
      </c>
      <c r="BL316" s="4" t="str">
        <f t="shared" si="31"/>
        <v/>
      </c>
      <c r="BM316" s="8" t="str">
        <f t="shared" si="32"/>
        <v/>
      </c>
      <c r="BP316" t="str">
        <f>IF($BO316="","",IFERROR(VLOOKUP($BO316,'01_Warehouse_Ledger'!$A:$N,4,FALSE),""))</f>
        <v/>
      </c>
      <c r="BQ316" t="str">
        <f>IF($BO316="","",IFERROR(VLOOKUP($BO316,'01_Warehouse_Ledger'!$A:$N,5,FALSE),""))</f>
        <v/>
      </c>
      <c r="BR316" t="str">
        <f>IF($BO316="","",IFERROR(VLOOKUP($BO316,'01_Warehouse_Ledger'!$A:$N,13,FALSE),""))</f>
        <v/>
      </c>
    </row>
    <row r="317" spans="4:70" ht="15" customHeight="1">
      <c r="D317" s="15" t="str">
        <f t="shared" si="28"/>
        <v/>
      </c>
      <c r="E317" s="15" t="str">
        <f t="shared" si="29"/>
        <v/>
      </c>
      <c r="F317" t="str">
        <f t="shared" si="30"/>
        <v/>
      </c>
      <c r="BL317" s="4" t="str">
        <f t="shared" si="31"/>
        <v/>
      </c>
      <c r="BM317" s="8" t="str">
        <f t="shared" si="32"/>
        <v/>
      </c>
      <c r="BP317" t="str">
        <f>IF($BO317="","",IFERROR(VLOOKUP($BO317,'01_Warehouse_Ledger'!$A:$N,4,FALSE),""))</f>
        <v/>
      </c>
      <c r="BQ317" t="str">
        <f>IF($BO317="","",IFERROR(VLOOKUP($BO317,'01_Warehouse_Ledger'!$A:$N,5,FALSE),""))</f>
        <v/>
      </c>
      <c r="BR317" t="str">
        <f>IF($BO317="","",IFERROR(VLOOKUP($BO317,'01_Warehouse_Ledger'!$A:$N,13,FALSE),""))</f>
        <v/>
      </c>
    </row>
    <row r="318" spans="4:70" ht="15" customHeight="1">
      <c r="D318" s="15" t="str">
        <f t="shared" si="28"/>
        <v/>
      </c>
      <c r="E318" s="15" t="str">
        <f t="shared" si="29"/>
        <v/>
      </c>
      <c r="F318" t="str">
        <f t="shared" si="30"/>
        <v/>
      </c>
      <c r="BL318" s="4" t="str">
        <f t="shared" si="31"/>
        <v/>
      </c>
      <c r="BM318" s="8" t="str">
        <f t="shared" si="32"/>
        <v/>
      </c>
      <c r="BP318" t="str">
        <f>IF($BO318="","",IFERROR(VLOOKUP($BO318,'01_Warehouse_Ledger'!$A:$N,4,FALSE),""))</f>
        <v/>
      </c>
      <c r="BQ318" t="str">
        <f>IF($BO318="","",IFERROR(VLOOKUP($BO318,'01_Warehouse_Ledger'!$A:$N,5,FALSE),""))</f>
        <v/>
      </c>
      <c r="BR318" t="str">
        <f>IF($BO318="","",IFERROR(VLOOKUP($BO318,'01_Warehouse_Ledger'!$A:$N,13,FALSE),""))</f>
        <v/>
      </c>
    </row>
    <row r="319" spans="4:70" ht="15" customHeight="1">
      <c r="D319" s="15" t="str">
        <f t="shared" si="28"/>
        <v/>
      </c>
      <c r="E319" s="15" t="str">
        <f t="shared" si="29"/>
        <v/>
      </c>
      <c r="F319" t="str">
        <f t="shared" si="30"/>
        <v/>
      </c>
      <c r="BL319" s="4" t="str">
        <f t="shared" si="31"/>
        <v/>
      </c>
      <c r="BM319" s="8" t="str">
        <f t="shared" si="32"/>
        <v/>
      </c>
      <c r="BP319" t="str">
        <f>IF($BO319="","",IFERROR(VLOOKUP($BO319,'01_Warehouse_Ledger'!$A:$N,4,FALSE),""))</f>
        <v/>
      </c>
      <c r="BQ319" t="str">
        <f>IF($BO319="","",IFERROR(VLOOKUP($BO319,'01_Warehouse_Ledger'!$A:$N,5,FALSE),""))</f>
        <v/>
      </c>
      <c r="BR319" t="str">
        <f>IF($BO319="","",IFERROR(VLOOKUP($BO319,'01_Warehouse_Ledger'!$A:$N,13,FALSE),""))</f>
        <v/>
      </c>
    </row>
    <row r="320" spans="4:70" ht="15" customHeight="1">
      <c r="D320" s="15" t="str">
        <f t="shared" si="28"/>
        <v/>
      </c>
      <c r="E320" s="15" t="str">
        <f t="shared" si="29"/>
        <v/>
      </c>
      <c r="F320" t="str">
        <f t="shared" si="30"/>
        <v/>
      </c>
      <c r="BL320" s="4" t="str">
        <f t="shared" si="31"/>
        <v/>
      </c>
      <c r="BM320" s="8" t="str">
        <f t="shared" si="32"/>
        <v/>
      </c>
      <c r="BP320" t="str">
        <f>IF($BO320="","",IFERROR(VLOOKUP($BO320,'01_Warehouse_Ledger'!$A:$N,4,FALSE),""))</f>
        <v/>
      </c>
      <c r="BQ320" t="str">
        <f>IF($BO320="","",IFERROR(VLOOKUP($BO320,'01_Warehouse_Ledger'!$A:$N,5,FALSE),""))</f>
        <v/>
      </c>
      <c r="BR320" t="str">
        <f>IF($BO320="","",IFERROR(VLOOKUP($BO320,'01_Warehouse_Ledger'!$A:$N,13,FALSE),""))</f>
        <v/>
      </c>
    </row>
    <row r="321" spans="4:70" ht="15" customHeight="1">
      <c r="D321" s="15" t="str">
        <f t="shared" si="28"/>
        <v/>
      </c>
      <c r="E321" s="15" t="str">
        <f t="shared" si="29"/>
        <v/>
      </c>
      <c r="F321" t="str">
        <f t="shared" si="30"/>
        <v/>
      </c>
      <c r="BL321" s="4" t="str">
        <f t="shared" si="31"/>
        <v/>
      </c>
      <c r="BM321" s="8" t="str">
        <f t="shared" si="32"/>
        <v/>
      </c>
      <c r="BP321" t="str">
        <f>IF($BO321="","",IFERROR(VLOOKUP($BO321,'01_Warehouse_Ledger'!$A:$N,4,FALSE),""))</f>
        <v/>
      </c>
      <c r="BQ321" t="str">
        <f>IF($BO321="","",IFERROR(VLOOKUP($BO321,'01_Warehouse_Ledger'!$A:$N,5,FALSE),""))</f>
        <v/>
      </c>
      <c r="BR321" t="str">
        <f>IF($BO321="","",IFERROR(VLOOKUP($BO321,'01_Warehouse_Ledger'!$A:$N,13,FALSE),""))</f>
        <v/>
      </c>
    </row>
    <row r="322" spans="4:70" ht="15" customHeight="1">
      <c r="D322" s="15" t="str">
        <f t="shared" si="28"/>
        <v/>
      </c>
      <c r="E322" s="15" t="str">
        <f t="shared" si="29"/>
        <v/>
      </c>
      <c r="F322" t="str">
        <f t="shared" si="30"/>
        <v/>
      </c>
      <c r="BL322" s="4" t="str">
        <f t="shared" si="31"/>
        <v/>
      </c>
      <c r="BM322" s="8" t="str">
        <f t="shared" si="32"/>
        <v/>
      </c>
      <c r="BP322" t="str">
        <f>IF($BO322="","",IFERROR(VLOOKUP($BO322,'01_Warehouse_Ledger'!$A:$N,4,FALSE),""))</f>
        <v/>
      </c>
      <c r="BQ322" t="str">
        <f>IF($BO322="","",IFERROR(VLOOKUP($BO322,'01_Warehouse_Ledger'!$A:$N,5,FALSE),""))</f>
        <v/>
      </c>
      <c r="BR322" t="str">
        <f>IF($BO322="","",IFERROR(VLOOKUP($BO322,'01_Warehouse_Ledger'!$A:$N,13,FALSE),""))</f>
        <v/>
      </c>
    </row>
    <row r="323" spans="4:70" ht="15" customHeight="1">
      <c r="D323" s="15" t="str">
        <f t="shared" si="28"/>
        <v/>
      </c>
      <c r="E323" s="15" t="str">
        <f t="shared" si="29"/>
        <v/>
      </c>
      <c r="F323" t="str">
        <f t="shared" si="30"/>
        <v/>
      </c>
      <c r="BL323" s="4" t="str">
        <f t="shared" si="31"/>
        <v/>
      </c>
      <c r="BM323" s="8" t="str">
        <f t="shared" si="32"/>
        <v/>
      </c>
      <c r="BP323" t="str">
        <f>IF($BO323="","",IFERROR(VLOOKUP($BO323,'01_Warehouse_Ledger'!$A:$N,4,FALSE),""))</f>
        <v/>
      </c>
      <c r="BQ323" t="str">
        <f>IF($BO323="","",IFERROR(VLOOKUP($BO323,'01_Warehouse_Ledger'!$A:$N,5,FALSE),""))</f>
        <v/>
      </c>
      <c r="BR323" t="str">
        <f>IF($BO323="","",IFERROR(VLOOKUP($BO323,'01_Warehouse_Ledger'!$A:$N,13,FALSE),""))</f>
        <v/>
      </c>
    </row>
    <row r="324" spans="4:70" ht="15" customHeight="1">
      <c r="D324" s="15" t="str">
        <f t="shared" si="28"/>
        <v/>
      </c>
      <c r="E324" s="15" t="str">
        <f t="shared" si="29"/>
        <v/>
      </c>
      <c r="F324" t="str">
        <f t="shared" si="30"/>
        <v/>
      </c>
      <c r="BL324" s="4" t="str">
        <f t="shared" si="31"/>
        <v/>
      </c>
      <c r="BM324" s="8" t="str">
        <f t="shared" si="32"/>
        <v/>
      </c>
      <c r="BP324" t="str">
        <f>IF($BO324="","",IFERROR(VLOOKUP($BO324,'01_Warehouse_Ledger'!$A:$N,4,FALSE),""))</f>
        <v/>
      </c>
      <c r="BQ324" t="str">
        <f>IF($BO324="","",IFERROR(VLOOKUP($BO324,'01_Warehouse_Ledger'!$A:$N,5,FALSE),""))</f>
        <v/>
      </c>
      <c r="BR324" t="str">
        <f>IF($BO324="","",IFERROR(VLOOKUP($BO324,'01_Warehouse_Ledger'!$A:$N,13,FALSE),""))</f>
        <v/>
      </c>
    </row>
    <row r="325" spans="4:70" ht="15" customHeight="1">
      <c r="D325" s="15" t="str">
        <f t="shared" si="28"/>
        <v/>
      </c>
      <c r="E325" s="15" t="str">
        <f t="shared" si="29"/>
        <v/>
      </c>
      <c r="F325" t="str">
        <f t="shared" si="30"/>
        <v/>
      </c>
      <c r="BL325" s="4" t="str">
        <f t="shared" si="31"/>
        <v/>
      </c>
      <c r="BM325" s="8" t="str">
        <f t="shared" si="32"/>
        <v/>
      </c>
      <c r="BP325" t="str">
        <f>IF($BO325="","",IFERROR(VLOOKUP($BO325,'01_Warehouse_Ledger'!$A:$N,4,FALSE),""))</f>
        <v/>
      </c>
      <c r="BQ325" t="str">
        <f>IF($BO325="","",IFERROR(VLOOKUP($BO325,'01_Warehouse_Ledger'!$A:$N,5,FALSE),""))</f>
        <v/>
      </c>
      <c r="BR325" t="str">
        <f>IF($BO325="","",IFERROR(VLOOKUP($BO325,'01_Warehouse_Ledger'!$A:$N,13,FALSE),""))</f>
        <v/>
      </c>
    </row>
    <row r="326" spans="4:70" ht="15" customHeight="1">
      <c r="D326" s="15" t="str">
        <f t="shared" si="28"/>
        <v/>
      </c>
      <c r="E326" s="15" t="str">
        <f t="shared" si="29"/>
        <v/>
      </c>
      <c r="F326" t="str">
        <f t="shared" si="30"/>
        <v/>
      </c>
      <c r="BL326" s="4" t="str">
        <f t="shared" si="31"/>
        <v/>
      </c>
      <c r="BM326" s="8" t="str">
        <f t="shared" si="32"/>
        <v/>
      </c>
      <c r="BP326" t="str">
        <f>IF($BO326="","",IFERROR(VLOOKUP($BO326,'01_Warehouse_Ledger'!$A:$N,4,FALSE),""))</f>
        <v/>
      </c>
      <c r="BQ326" t="str">
        <f>IF($BO326="","",IFERROR(VLOOKUP($BO326,'01_Warehouse_Ledger'!$A:$N,5,FALSE),""))</f>
        <v/>
      </c>
      <c r="BR326" t="str">
        <f>IF($BO326="","",IFERROR(VLOOKUP($BO326,'01_Warehouse_Ledger'!$A:$N,13,FALSE),""))</f>
        <v/>
      </c>
    </row>
    <row r="327" spans="4:70" ht="15" customHeight="1">
      <c r="D327" s="15" t="str">
        <f t="shared" si="28"/>
        <v/>
      </c>
      <c r="E327" s="15" t="str">
        <f t="shared" si="29"/>
        <v/>
      </c>
      <c r="F327" t="str">
        <f t="shared" si="30"/>
        <v/>
      </c>
      <c r="BL327" s="4" t="str">
        <f t="shared" si="31"/>
        <v/>
      </c>
      <c r="BM327" s="8" t="str">
        <f t="shared" si="32"/>
        <v/>
      </c>
      <c r="BP327" t="str">
        <f>IF($BO327="","",IFERROR(VLOOKUP($BO327,'01_Warehouse_Ledger'!$A:$N,4,FALSE),""))</f>
        <v/>
      </c>
      <c r="BQ327" t="str">
        <f>IF($BO327="","",IFERROR(VLOOKUP($BO327,'01_Warehouse_Ledger'!$A:$N,5,FALSE),""))</f>
        <v/>
      </c>
      <c r="BR327" t="str">
        <f>IF($BO327="","",IFERROR(VLOOKUP($BO327,'01_Warehouse_Ledger'!$A:$N,13,FALSE),""))</f>
        <v/>
      </c>
    </row>
    <row r="328" spans="4:70" ht="15" customHeight="1">
      <c r="D328" s="15" t="str">
        <f t="shared" si="28"/>
        <v/>
      </c>
      <c r="E328" s="15" t="str">
        <f t="shared" si="29"/>
        <v/>
      </c>
      <c r="F328" t="str">
        <f t="shared" si="30"/>
        <v/>
      </c>
      <c r="BL328" s="4" t="str">
        <f t="shared" si="31"/>
        <v/>
      </c>
      <c r="BM328" s="8" t="str">
        <f t="shared" si="32"/>
        <v/>
      </c>
      <c r="BP328" t="str">
        <f>IF($BO328="","",IFERROR(VLOOKUP($BO328,'01_Warehouse_Ledger'!$A:$N,4,FALSE),""))</f>
        <v/>
      </c>
      <c r="BQ328" t="str">
        <f>IF($BO328="","",IFERROR(VLOOKUP($BO328,'01_Warehouse_Ledger'!$A:$N,5,FALSE),""))</f>
        <v/>
      </c>
      <c r="BR328" t="str">
        <f>IF($BO328="","",IFERROR(VLOOKUP($BO328,'01_Warehouse_Ledger'!$A:$N,13,FALSE),""))</f>
        <v/>
      </c>
    </row>
    <row r="329" spans="4:70" ht="15" customHeight="1">
      <c r="D329" s="15" t="str">
        <f t="shared" si="28"/>
        <v/>
      </c>
      <c r="E329" s="15" t="str">
        <f t="shared" si="29"/>
        <v/>
      </c>
      <c r="F329" t="str">
        <f t="shared" si="30"/>
        <v/>
      </c>
      <c r="BL329" s="4" t="str">
        <f t="shared" si="31"/>
        <v/>
      </c>
      <c r="BM329" s="8" t="str">
        <f t="shared" si="32"/>
        <v/>
      </c>
      <c r="BP329" t="str">
        <f>IF($BO329="","",IFERROR(VLOOKUP($BO329,'01_Warehouse_Ledger'!$A:$N,4,FALSE),""))</f>
        <v/>
      </c>
      <c r="BQ329" t="str">
        <f>IF($BO329="","",IFERROR(VLOOKUP($BO329,'01_Warehouse_Ledger'!$A:$N,5,FALSE),""))</f>
        <v/>
      </c>
      <c r="BR329" t="str">
        <f>IF($BO329="","",IFERROR(VLOOKUP($BO329,'01_Warehouse_Ledger'!$A:$N,13,FALSE),""))</f>
        <v/>
      </c>
    </row>
    <row r="330" spans="4:70" ht="15" customHeight="1">
      <c r="D330" s="15" t="str">
        <f t="shared" si="28"/>
        <v/>
      </c>
      <c r="E330" s="15" t="str">
        <f t="shared" si="29"/>
        <v/>
      </c>
      <c r="F330" t="str">
        <f t="shared" si="30"/>
        <v/>
      </c>
      <c r="BL330" s="4" t="str">
        <f t="shared" si="31"/>
        <v/>
      </c>
      <c r="BM330" s="8" t="str">
        <f t="shared" si="32"/>
        <v/>
      </c>
      <c r="BP330" t="str">
        <f>IF($BO330="","",IFERROR(VLOOKUP($BO330,'01_Warehouse_Ledger'!$A:$N,4,FALSE),""))</f>
        <v/>
      </c>
      <c r="BQ330" t="str">
        <f>IF($BO330="","",IFERROR(VLOOKUP($BO330,'01_Warehouse_Ledger'!$A:$N,5,FALSE),""))</f>
        <v/>
      </c>
      <c r="BR330" t="str">
        <f>IF($BO330="","",IFERROR(VLOOKUP($BO330,'01_Warehouse_Ledger'!$A:$N,13,FALSE),""))</f>
        <v/>
      </c>
    </row>
    <row r="331" spans="4:70" ht="15" customHeight="1">
      <c r="D331" s="15" t="str">
        <f t="shared" ref="D331:D394" si="33">IF($B331&lt;&gt;"Yes","",IF($C331="No","Yes",IF($C331="Yes","No","")))</f>
        <v/>
      </c>
      <c r="E331" s="15" t="str">
        <f t="shared" si="29"/>
        <v/>
      </c>
      <c r="F331" t="str">
        <f t="shared" si="30"/>
        <v/>
      </c>
      <c r="BL331" s="4" t="str">
        <f t="shared" si="31"/>
        <v/>
      </c>
      <c r="BM331" s="8" t="str">
        <f t="shared" si="32"/>
        <v/>
      </c>
      <c r="BP331" t="str">
        <f>IF($BO331="","",IFERROR(VLOOKUP($BO331,'01_Warehouse_Ledger'!$A:$N,4,FALSE),""))</f>
        <v/>
      </c>
      <c r="BQ331" t="str">
        <f>IF($BO331="","",IFERROR(VLOOKUP($BO331,'01_Warehouse_Ledger'!$A:$N,5,FALSE),""))</f>
        <v/>
      </c>
      <c r="BR331" t="str">
        <f>IF($BO331="","",IFERROR(VLOOKUP($BO331,'01_Warehouse_Ledger'!$A:$N,13,FALSE),""))</f>
        <v/>
      </c>
    </row>
    <row r="332" spans="4:70" ht="15" customHeight="1">
      <c r="D332" s="15" t="str">
        <f t="shared" si="33"/>
        <v/>
      </c>
      <c r="E332" s="15" t="str">
        <f t="shared" si="29"/>
        <v/>
      </c>
      <c r="F332" t="str">
        <f t="shared" si="30"/>
        <v/>
      </c>
      <c r="BL332" s="4" t="str">
        <f t="shared" si="31"/>
        <v/>
      </c>
      <c r="BM332" s="8" t="str">
        <f t="shared" si="32"/>
        <v/>
      </c>
      <c r="BP332" t="str">
        <f>IF($BO332="","",IFERROR(VLOOKUP($BO332,'01_Warehouse_Ledger'!$A:$N,4,FALSE),""))</f>
        <v/>
      </c>
      <c r="BQ332" t="str">
        <f>IF($BO332="","",IFERROR(VLOOKUP($BO332,'01_Warehouse_Ledger'!$A:$N,5,FALSE),""))</f>
        <v/>
      </c>
      <c r="BR332" t="str">
        <f>IF($BO332="","",IFERROR(VLOOKUP($BO332,'01_Warehouse_Ledger'!$A:$N,13,FALSE),""))</f>
        <v/>
      </c>
    </row>
    <row r="333" spans="4:70" ht="15" customHeight="1">
      <c r="D333" s="15" t="str">
        <f t="shared" si="33"/>
        <v/>
      </c>
      <c r="E333" s="15" t="str">
        <f t="shared" si="29"/>
        <v/>
      </c>
      <c r="F333" t="str">
        <f t="shared" si="30"/>
        <v/>
      </c>
      <c r="BL333" s="4" t="str">
        <f t="shared" si="31"/>
        <v/>
      </c>
      <c r="BM333" s="8" t="str">
        <f t="shared" si="32"/>
        <v/>
      </c>
      <c r="BP333" t="str">
        <f>IF($BO333="","",IFERROR(VLOOKUP($BO333,'01_Warehouse_Ledger'!$A:$N,4,FALSE),""))</f>
        <v/>
      </c>
      <c r="BQ333" t="str">
        <f>IF($BO333="","",IFERROR(VLOOKUP($BO333,'01_Warehouse_Ledger'!$A:$N,5,FALSE),""))</f>
        <v/>
      </c>
      <c r="BR333" t="str">
        <f>IF($BO333="","",IFERROR(VLOOKUP($BO333,'01_Warehouse_Ledger'!$A:$N,13,FALSE),""))</f>
        <v/>
      </c>
    </row>
    <row r="334" spans="4:70" ht="15" customHeight="1">
      <c r="D334" s="15" t="str">
        <f t="shared" si="33"/>
        <v/>
      </c>
      <c r="E334" s="15" t="str">
        <f t="shared" si="29"/>
        <v/>
      </c>
      <c r="F334" t="str">
        <f t="shared" si="30"/>
        <v/>
      </c>
      <c r="BL334" s="4" t="str">
        <f t="shared" si="31"/>
        <v/>
      </c>
      <c r="BM334" s="8" t="str">
        <f t="shared" si="32"/>
        <v/>
      </c>
      <c r="BP334" t="str">
        <f>IF($BO334="","",IFERROR(VLOOKUP($BO334,'01_Warehouse_Ledger'!$A:$N,4,FALSE),""))</f>
        <v/>
      </c>
      <c r="BQ334" t="str">
        <f>IF($BO334="","",IFERROR(VLOOKUP($BO334,'01_Warehouse_Ledger'!$A:$N,5,FALSE),""))</f>
        <v/>
      </c>
      <c r="BR334" t="str">
        <f>IF($BO334="","",IFERROR(VLOOKUP($BO334,'01_Warehouse_Ledger'!$A:$N,13,FALSE),""))</f>
        <v/>
      </c>
    </row>
    <row r="335" spans="4:70" ht="15" customHeight="1">
      <c r="D335" s="15" t="str">
        <f t="shared" si="33"/>
        <v/>
      </c>
      <c r="E335" s="15" t="str">
        <f t="shared" si="29"/>
        <v/>
      </c>
      <c r="F335" t="str">
        <f t="shared" si="30"/>
        <v/>
      </c>
      <c r="BL335" s="4" t="str">
        <f t="shared" si="31"/>
        <v/>
      </c>
      <c r="BM335" s="8" t="str">
        <f t="shared" si="32"/>
        <v/>
      </c>
      <c r="BP335" t="str">
        <f>IF($BO335="","",IFERROR(VLOOKUP($BO335,'01_Warehouse_Ledger'!$A:$N,4,FALSE),""))</f>
        <v/>
      </c>
      <c r="BQ335" t="str">
        <f>IF($BO335="","",IFERROR(VLOOKUP($BO335,'01_Warehouse_Ledger'!$A:$N,5,FALSE),""))</f>
        <v/>
      </c>
      <c r="BR335" t="str">
        <f>IF($BO335="","",IFERROR(VLOOKUP($BO335,'01_Warehouse_Ledger'!$A:$N,13,FALSE),""))</f>
        <v/>
      </c>
    </row>
    <row r="336" spans="4:70" ht="15" customHeight="1">
      <c r="D336" s="15" t="str">
        <f t="shared" si="33"/>
        <v/>
      </c>
      <c r="E336" s="15" t="str">
        <f t="shared" si="29"/>
        <v/>
      </c>
      <c r="F336" t="str">
        <f t="shared" si="30"/>
        <v/>
      </c>
      <c r="BL336" s="4" t="str">
        <f t="shared" si="31"/>
        <v/>
      </c>
      <c r="BM336" s="8" t="str">
        <f t="shared" si="32"/>
        <v/>
      </c>
      <c r="BP336" t="str">
        <f>IF($BO336="","",IFERROR(VLOOKUP($BO336,'01_Warehouse_Ledger'!$A:$N,4,FALSE),""))</f>
        <v/>
      </c>
      <c r="BQ336" t="str">
        <f>IF($BO336="","",IFERROR(VLOOKUP($BO336,'01_Warehouse_Ledger'!$A:$N,5,FALSE),""))</f>
        <v/>
      </c>
      <c r="BR336" t="str">
        <f>IF($BO336="","",IFERROR(VLOOKUP($BO336,'01_Warehouse_Ledger'!$A:$N,13,FALSE),""))</f>
        <v/>
      </c>
    </row>
    <row r="337" spans="4:70" ht="15" customHeight="1">
      <c r="D337" s="15" t="str">
        <f t="shared" si="33"/>
        <v/>
      </c>
      <c r="E337" s="15" t="str">
        <f t="shared" si="29"/>
        <v/>
      </c>
      <c r="F337" t="str">
        <f t="shared" si="30"/>
        <v/>
      </c>
      <c r="BL337" s="4" t="str">
        <f t="shared" si="31"/>
        <v/>
      </c>
      <c r="BM337" s="8" t="str">
        <f t="shared" si="32"/>
        <v/>
      </c>
      <c r="BP337" t="str">
        <f>IF($BO337="","",IFERROR(VLOOKUP($BO337,'01_Warehouse_Ledger'!$A:$N,4,FALSE),""))</f>
        <v/>
      </c>
      <c r="BQ337" t="str">
        <f>IF($BO337="","",IFERROR(VLOOKUP($BO337,'01_Warehouse_Ledger'!$A:$N,5,FALSE),""))</f>
        <v/>
      </c>
      <c r="BR337" t="str">
        <f>IF($BO337="","",IFERROR(VLOOKUP($BO337,'01_Warehouse_Ledger'!$A:$N,13,FALSE),""))</f>
        <v/>
      </c>
    </row>
    <row r="338" spans="4:70" ht="15" customHeight="1">
      <c r="D338" s="15" t="str">
        <f t="shared" si="33"/>
        <v/>
      </c>
      <c r="E338" s="15" t="str">
        <f t="shared" si="29"/>
        <v/>
      </c>
      <c r="F338" t="str">
        <f t="shared" si="30"/>
        <v/>
      </c>
      <c r="BL338" s="4" t="str">
        <f t="shared" si="31"/>
        <v/>
      </c>
      <c r="BM338" s="8" t="str">
        <f t="shared" si="32"/>
        <v/>
      </c>
      <c r="BP338" t="str">
        <f>IF($BO338="","",IFERROR(VLOOKUP($BO338,'01_Warehouse_Ledger'!$A:$N,4,FALSE),""))</f>
        <v/>
      </c>
      <c r="BQ338" t="str">
        <f>IF($BO338="","",IFERROR(VLOOKUP($BO338,'01_Warehouse_Ledger'!$A:$N,5,FALSE),""))</f>
        <v/>
      </c>
      <c r="BR338" t="str">
        <f>IF($BO338="","",IFERROR(VLOOKUP($BO338,'01_Warehouse_Ledger'!$A:$N,13,FALSE),""))</f>
        <v/>
      </c>
    </row>
    <row r="339" spans="4:70" ht="15" customHeight="1">
      <c r="D339" s="15" t="str">
        <f t="shared" si="33"/>
        <v/>
      </c>
      <c r="E339" s="15" t="str">
        <f t="shared" si="29"/>
        <v/>
      </c>
      <c r="F339" t="str">
        <f t="shared" si="30"/>
        <v/>
      </c>
      <c r="BL339" s="4" t="str">
        <f t="shared" si="31"/>
        <v/>
      </c>
      <c r="BM339" s="8" t="str">
        <f t="shared" si="32"/>
        <v/>
      </c>
      <c r="BP339" t="str">
        <f>IF($BO339="","",IFERROR(VLOOKUP($BO339,'01_Warehouse_Ledger'!$A:$N,4,FALSE),""))</f>
        <v/>
      </c>
      <c r="BQ339" t="str">
        <f>IF($BO339="","",IFERROR(VLOOKUP($BO339,'01_Warehouse_Ledger'!$A:$N,5,FALSE),""))</f>
        <v/>
      </c>
      <c r="BR339" t="str">
        <f>IF($BO339="","",IFERROR(VLOOKUP($BO339,'01_Warehouse_Ledger'!$A:$N,13,FALSE),""))</f>
        <v/>
      </c>
    </row>
    <row r="340" spans="4:70" ht="15" customHeight="1">
      <c r="D340" s="15" t="str">
        <f t="shared" si="33"/>
        <v/>
      </c>
      <c r="E340" s="15" t="str">
        <f t="shared" si="29"/>
        <v/>
      </c>
      <c r="F340" t="str">
        <f t="shared" si="30"/>
        <v/>
      </c>
      <c r="BL340" s="4" t="str">
        <f t="shared" si="31"/>
        <v/>
      </c>
      <c r="BM340" s="8" t="str">
        <f t="shared" si="32"/>
        <v/>
      </c>
      <c r="BP340" t="str">
        <f>IF($BO340="","",IFERROR(VLOOKUP($BO340,'01_Warehouse_Ledger'!$A:$N,4,FALSE),""))</f>
        <v/>
      </c>
      <c r="BQ340" t="str">
        <f>IF($BO340="","",IFERROR(VLOOKUP($BO340,'01_Warehouse_Ledger'!$A:$N,5,FALSE),""))</f>
        <v/>
      </c>
      <c r="BR340" t="str">
        <f>IF($BO340="","",IFERROR(VLOOKUP($BO340,'01_Warehouse_Ledger'!$A:$N,13,FALSE),""))</f>
        <v/>
      </c>
    </row>
    <row r="341" spans="4:70" ht="15" customHeight="1">
      <c r="D341" s="15" t="str">
        <f t="shared" si="33"/>
        <v/>
      </c>
      <c r="E341" s="15" t="str">
        <f t="shared" si="29"/>
        <v/>
      </c>
      <c r="F341" t="str">
        <f t="shared" si="30"/>
        <v/>
      </c>
      <c r="BL341" s="4" t="str">
        <f t="shared" si="31"/>
        <v/>
      </c>
      <c r="BM341" s="8" t="str">
        <f t="shared" si="32"/>
        <v/>
      </c>
      <c r="BP341" t="str">
        <f>IF($BO341="","",IFERROR(VLOOKUP($BO341,'01_Warehouse_Ledger'!$A:$N,4,FALSE),""))</f>
        <v/>
      </c>
      <c r="BQ341" t="str">
        <f>IF($BO341="","",IFERROR(VLOOKUP($BO341,'01_Warehouse_Ledger'!$A:$N,5,FALSE),""))</f>
        <v/>
      </c>
      <c r="BR341" t="str">
        <f>IF($BO341="","",IFERROR(VLOOKUP($BO341,'01_Warehouse_Ledger'!$A:$N,13,FALSE),""))</f>
        <v/>
      </c>
    </row>
    <row r="342" spans="4:70" ht="15" customHeight="1">
      <c r="D342" s="15" t="str">
        <f t="shared" si="33"/>
        <v/>
      </c>
      <c r="E342" s="15" t="str">
        <f t="shared" si="29"/>
        <v/>
      </c>
      <c r="F342" t="str">
        <f t="shared" si="30"/>
        <v/>
      </c>
      <c r="BL342" s="4" t="str">
        <f t="shared" si="31"/>
        <v/>
      </c>
      <c r="BM342" s="8" t="str">
        <f t="shared" si="32"/>
        <v/>
      </c>
      <c r="BP342" t="str">
        <f>IF($BO342="","",IFERROR(VLOOKUP($BO342,'01_Warehouse_Ledger'!$A:$N,4,FALSE),""))</f>
        <v/>
      </c>
      <c r="BQ342" t="str">
        <f>IF($BO342="","",IFERROR(VLOOKUP($BO342,'01_Warehouse_Ledger'!$A:$N,5,FALSE),""))</f>
        <v/>
      </c>
      <c r="BR342" t="str">
        <f>IF($BO342="","",IFERROR(VLOOKUP($BO342,'01_Warehouse_Ledger'!$A:$N,13,FALSE),""))</f>
        <v/>
      </c>
    </row>
    <row r="343" spans="4:70" ht="15" customHeight="1">
      <c r="D343" s="15" t="str">
        <f t="shared" si="33"/>
        <v/>
      </c>
      <c r="E343" s="15" t="str">
        <f t="shared" si="29"/>
        <v/>
      </c>
      <c r="F343" t="str">
        <f t="shared" si="30"/>
        <v/>
      </c>
      <c r="BL343" s="4" t="str">
        <f t="shared" si="31"/>
        <v/>
      </c>
      <c r="BM343" s="8" t="str">
        <f t="shared" si="32"/>
        <v/>
      </c>
      <c r="BP343" t="str">
        <f>IF($BO343="","",IFERROR(VLOOKUP($BO343,'01_Warehouse_Ledger'!$A:$N,4,FALSE),""))</f>
        <v/>
      </c>
      <c r="BQ343" t="str">
        <f>IF($BO343="","",IFERROR(VLOOKUP($BO343,'01_Warehouse_Ledger'!$A:$N,5,FALSE),""))</f>
        <v/>
      </c>
      <c r="BR343" t="str">
        <f>IF($BO343="","",IFERROR(VLOOKUP($BO343,'01_Warehouse_Ledger'!$A:$N,13,FALSE),""))</f>
        <v/>
      </c>
    </row>
    <row r="344" spans="4:70" ht="15" customHeight="1">
      <c r="D344" s="15" t="str">
        <f t="shared" si="33"/>
        <v/>
      </c>
      <c r="E344" s="15" t="str">
        <f t="shared" si="29"/>
        <v/>
      </c>
      <c r="F344" t="str">
        <f t="shared" si="30"/>
        <v/>
      </c>
      <c r="BL344" s="4" t="str">
        <f t="shared" si="31"/>
        <v/>
      </c>
      <c r="BM344" s="8" t="str">
        <f t="shared" si="32"/>
        <v/>
      </c>
      <c r="BP344" t="str">
        <f>IF($BO344="","",IFERROR(VLOOKUP($BO344,'01_Warehouse_Ledger'!$A:$N,4,FALSE),""))</f>
        <v/>
      </c>
      <c r="BQ344" t="str">
        <f>IF($BO344="","",IFERROR(VLOOKUP($BO344,'01_Warehouse_Ledger'!$A:$N,5,FALSE),""))</f>
        <v/>
      </c>
      <c r="BR344" t="str">
        <f>IF($BO344="","",IFERROR(VLOOKUP($BO344,'01_Warehouse_Ledger'!$A:$N,13,FALSE),""))</f>
        <v/>
      </c>
    </row>
    <row r="345" spans="4:70" ht="15" customHeight="1">
      <c r="D345" s="15" t="str">
        <f t="shared" si="33"/>
        <v/>
      </c>
      <c r="E345" s="15" t="str">
        <f t="shared" si="29"/>
        <v/>
      </c>
      <c r="F345" t="str">
        <f t="shared" si="30"/>
        <v/>
      </c>
      <c r="BL345" s="4" t="str">
        <f t="shared" si="31"/>
        <v/>
      </c>
      <c r="BM345" s="8" t="str">
        <f t="shared" si="32"/>
        <v/>
      </c>
      <c r="BP345" t="str">
        <f>IF($BO345="","",IFERROR(VLOOKUP($BO345,'01_Warehouse_Ledger'!$A:$N,4,FALSE),""))</f>
        <v/>
      </c>
      <c r="BQ345" t="str">
        <f>IF($BO345="","",IFERROR(VLOOKUP($BO345,'01_Warehouse_Ledger'!$A:$N,5,FALSE),""))</f>
        <v/>
      </c>
      <c r="BR345" t="str">
        <f>IF($BO345="","",IFERROR(VLOOKUP($BO345,'01_Warehouse_Ledger'!$A:$N,13,FALSE),""))</f>
        <v/>
      </c>
    </row>
    <row r="346" spans="4:70" ht="15" customHeight="1">
      <c r="D346" s="15" t="str">
        <f t="shared" si="33"/>
        <v/>
      </c>
      <c r="E346" s="15" t="str">
        <f t="shared" si="29"/>
        <v/>
      </c>
      <c r="F346" t="str">
        <f t="shared" si="30"/>
        <v/>
      </c>
      <c r="BL346" s="4" t="str">
        <f t="shared" si="31"/>
        <v/>
      </c>
      <c r="BM346" s="8" t="str">
        <f t="shared" si="32"/>
        <v/>
      </c>
      <c r="BP346" t="str">
        <f>IF($BO346="","",IFERROR(VLOOKUP($BO346,'01_Warehouse_Ledger'!$A:$N,4,FALSE),""))</f>
        <v/>
      </c>
      <c r="BQ346" t="str">
        <f>IF($BO346="","",IFERROR(VLOOKUP($BO346,'01_Warehouse_Ledger'!$A:$N,5,FALSE),""))</f>
        <v/>
      </c>
      <c r="BR346" t="str">
        <f>IF($BO346="","",IFERROR(VLOOKUP($BO346,'01_Warehouse_Ledger'!$A:$N,13,FALSE),""))</f>
        <v/>
      </c>
    </row>
    <row r="347" spans="4:70" ht="15" customHeight="1">
      <c r="D347" s="15" t="str">
        <f t="shared" si="33"/>
        <v/>
      </c>
      <c r="E347" s="15" t="str">
        <f t="shared" si="29"/>
        <v/>
      </c>
      <c r="F347" t="str">
        <f t="shared" si="30"/>
        <v/>
      </c>
      <c r="BL347" s="4" t="str">
        <f t="shared" si="31"/>
        <v/>
      </c>
      <c r="BM347" s="8" t="str">
        <f t="shared" si="32"/>
        <v/>
      </c>
      <c r="BP347" t="str">
        <f>IF($BO347="","",IFERROR(VLOOKUP($BO347,'01_Warehouse_Ledger'!$A:$N,4,FALSE),""))</f>
        <v/>
      </c>
      <c r="BQ347" t="str">
        <f>IF($BO347="","",IFERROR(VLOOKUP($BO347,'01_Warehouse_Ledger'!$A:$N,5,FALSE),""))</f>
        <v/>
      </c>
      <c r="BR347" t="str">
        <f>IF($BO347="","",IFERROR(VLOOKUP($BO347,'01_Warehouse_Ledger'!$A:$N,13,FALSE),""))</f>
        <v/>
      </c>
    </row>
    <row r="348" spans="4:70" ht="15" customHeight="1">
      <c r="D348" s="15" t="str">
        <f t="shared" si="33"/>
        <v/>
      </c>
      <c r="E348" s="15" t="str">
        <f t="shared" si="29"/>
        <v/>
      </c>
      <c r="F348" t="str">
        <f t="shared" si="30"/>
        <v/>
      </c>
      <c r="BL348" s="4" t="str">
        <f t="shared" si="31"/>
        <v/>
      </c>
      <c r="BM348" s="8" t="str">
        <f t="shared" si="32"/>
        <v/>
      </c>
      <c r="BP348" t="str">
        <f>IF($BO348="","",IFERROR(VLOOKUP($BO348,'01_Warehouse_Ledger'!$A:$N,4,FALSE),""))</f>
        <v/>
      </c>
      <c r="BQ348" t="str">
        <f>IF($BO348="","",IFERROR(VLOOKUP($BO348,'01_Warehouse_Ledger'!$A:$N,5,FALSE),""))</f>
        <v/>
      </c>
      <c r="BR348" t="str">
        <f>IF($BO348="","",IFERROR(VLOOKUP($BO348,'01_Warehouse_Ledger'!$A:$N,13,FALSE),""))</f>
        <v/>
      </c>
    </row>
    <row r="349" spans="4:70" ht="15" customHeight="1">
      <c r="D349" s="15" t="str">
        <f t="shared" si="33"/>
        <v/>
      </c>
      <c r="E349" s="15" t="str">
        <f t="shared" si="29"/>
        <v/>
      </c>
      <c r="F349" t="str">
        <f t="shared" si="30"/>
        <v/>
      </c>
      <c r="BL349" s="4" t="str">
        <f t="shared" si="31"/>
        <v/>
      </c>
      <c r="BM349" s="8" t="str">
        <f t="shared" si="32"/>
        <v/>
      </c>
      <c r="BP349" t="str">
        <f>IF($BO349="","",IFERROR(VLOOKUP($BO349,'01_Warehouse_Ledger'!$A:$N,4,FALSE),""))</f>
        <v/>
      </c>
      <c r="BQ349" t="str">
        <f>IF($BO349="","",IFERROR(VLOOKUP($BO349,'01_Warehouse_Ledger'!$A:$N,5,FALSE),""))</f>
        <v/>
      </c>
      <c r="BR349" t="str">
        <f>IF($BO349="","",IFERROR(VLOOKUP($BO349,'01_Warehouse_Ledger'!$A:$N,13,FALSE),""))</f>
        <v/>
      </c>
    </row>
    <row r="350" spans="4:70" ht="15" customHeight="1">
      <c r="D350" s="15" t="str">
        <f t="shared" si="33"/>
        <v/>
      </c>
      <c r="E350" s="15" t="str">
        <f t="shared" si="29"/>
        <v/>
      </c>
      <c r="F350" t="str">
        <f t="shared" si="30"/>
        <v/>
      </c>
      <c r="BL350" s="4" t="str">
        <f t="shared" si="31"/>
        <v/>
      </c>
      <c r="BM350" s="8" t="str">
        <f t="shared" si="32"/>
        <v/>
      </c>
      <c r="BP350" t="str">
        <f>IF($BO350="","",IFERROR(VLOOKUP($BO350,'01_Warehouse_Ledger'!$A:$N,4,FALSE),""))</f>
        <v/>
      </c>
      <c r="BQ350" t="str">
        <f>IF($BO350="","",IFERROR(VLOOKUP($BO350,'01_Warehouse_Ledger'!$A:$N,5,FALSE),""))</f>
        <v/>
      </c>
      <c r="BR350" t="str">
        <f>IF($BO350="","",IFERROR(VLOOKUP($BO350,'01_Warehouse_Ledger'!$A:$N,13,FALSE),""))</f>
        <v/>
      </c>
    </row>
    <row r="351" spans="4:70" ht="15" customHeight="1">
      <c r="D351" s="15" t="str">
        <f t="shared" si="33"/>
        <v/>
      </c>
      <c r="E351" s="15" t="str">
        <f t="shared" si="29"/>
        <v/>
      </c>
      <c r="F351" t="str">
        <f t="shared" si="30"/>
        <v/>
      </c>
      <c r="BL351" s="4" t="str">
        <f t="shared" si="31"/>
        <v/>
      </c>
      <c r="BM351" s="8" t="str">
        <f t="shared" si="32"/>
        <v/>
      </c>
      <c r="BP351" t="str">
        <f>IF($BO351="","",IFERROR(VLOOKUP($BO351,'01_Warehouse_Ledger'!$A:$N,4,FALSE),""))</f>
        <v/>
      </c>
      <c r="BQ351" t="str">
        <f>IF($BO351="","",IFERROR(VLOOKUP($BO351,'01_Warehouse_Ledger'!$A:$N,5,FALSE),""))</f>
        <v/>
      </c>
      <c r="BR351" t="str">
        <f>IF($BO351="","",IFERROR(VLOOKUP($BO351,'01_Warehouse_Ledger'!$A:$N,13,FALSE),""))</f>
        <v/>
      </c>
    </row>
    <row r="352" spans="4:70" ht="15" customHeight="1">
      <c r="D352" s="15" t="str">
        <f t="shared" si="33"/>
        <v/>
      </c>
      <c r="E352" s="15" t="str">
        <f t="shared" si="29"/>
        <v/>
      </c>
      <c r="F352" t="str">
        <f t="shared" si="30"/>
        <v/>
      </c>
      <c r="BL352" s="4" t="str">
        <f t="shared" si="31"/>
        <v/>
      </c>
      <c r="BM352" s="8" t="str">
        <f t="shared" si="32"/>
        <v/>
      </c>
      <c r="BP352" t="str">
        <f>IF($BO352="","",IFERROR(VLOOKUP($BO352,'01_Warehouse_Ledger'!$A:$N,4,FALSE),""))</f>
        <v/>
      </c>
      <c r="BQ352" t="str">
        <f>IF($BO352="","",IFERROR(VLOOKUP($BO352,'01_Warehouse_Ledger'!$A:$N,5,FALSE),""))</f>
        <v/>
      </c>
      <c r="BR352" t="str">
        <f>IF($BO352="","",IFERROR(VLOOKUP($BO352,'01_Warehouse_Ledger'!$A:$N,13,FALSE),""))</f>
        <v/>
      </c>
    </row>
    <row r="353" spans="4:70" ht="15" customHeight="1">
      <c r="D353" s="15" t="str">
        <f t="shared" si="33"/>
        <v/>
      </c>
      <c r="E353" s="15" t="str">
        <f t="shared" si="29"/>
        <v/>
      </c>
      <c r="F353" t="str">
        <f t="shared" si="30"/>
        <v/>
      </c>
      <c r="BL353" s="4" t="str">
        <f t="shared" si="31"/>
        <v/>
      </c>
      <c r="BM353" s="8" t="str">
        <f t="shared" si="32"/>
        <v/>
      </c>
      <c r="BP353" t="str">
        <f>IF($BO353="","",IFERROR(VLOOKUP($BO353,'01_Warehouse_Ledger'!$A:$N,4,FALSE),""))</f>
        <v/>
      </c>
      <c r="BQ353" t="str">
        <f>IF($BO353="","",IFERROR(VLOOKUP($BO353,'01_Warehouse_Ledger'!$A:$N,5,FALSE),""))</f>
        <v/>
      </c>
      <c r="BR353" t="str">
        <f>IF($BO353="","",IFERROR(VLOOKUP($BO353,'01_Warehouse_Ledger'!$A:$N,13,FALSE),""))</f>
        <v/>
      </c>
    </row>
    <row r="354" spans="4:70" ht="15" customHeight="1">
      <c r="D354" s="15" t="str">
        <f t="shared" si="33"/>
        <v/>
      </c>
      <c r="E354" s="15" t="str">
        <f t="shared" si="29"/>
        <v/>
      </c>
      <c r="F354" t="str">
        <f t="shared" si="30"/>
        <v/>
      </c>
      <c r="BL354" s="4" t="str">
        <f t="shared" si="31"/>
        <v/>
      </c>
      <c r="BM354" s="8" t="str">
        <f t="shared" si="32"/>
        <v/>
      </c>
      <c r="BP354" t="str">
        <f>IF($BO354="","",IFERROR(VLOOKUP($BO354,'01_Warehouse_Ledger'!$A:$N,4,FALSE),""))</f>
        <v/>
      </c>
      <c r="BQ354" t="str">
        <f>IF($BO354="","",IFERROR(VLOOKUP($BO354,'01_Warehouse_Ledger'!$A:$N,5,FALSE),""))</f>
        <v/>
      </c>
      <c r="BR354" t="str">
        <f>IF($BO354="","",IFERROR(VLOOKUP($BO354,'01_Warehouse_Ledger'!$A:$N,13,FALSE),""))</f>
        <v/>
      </c>
    </row>
    <row r="355" spans="4:70" ht="15" customHeight="1">
      <c r="D355" s="15" t="str">
        <f t="shared" si="33"/>
        <v/>
      </c>
      <c r="E355" s="15" t="str">
        <f t="shared" ref="E355:E418" si="34">IF($A355="","",IF($A355="Neuron",IF(OR(AND($S355&lt;&gt;"",LOWER(TRIM($S355))&lt;&gt;"n/a",COUNTIF($S$2:$S$528,$S355)&gt;1),AND($T355&lt;&gt;"",LOWER(TRIM($T355))&lt;&gt;"n/a",COUNTIF($T$2:$T$528,$T355)&gt;1),AND($W355&lt;&gt;"",LOWER(TRIM($W355))&lt;&gt;"n/a",COUNTIF($W$2:$W$528,$W355)&gt;1)),"Yes","No"),IF($A355="Cybernet",IF(OR(AND($Y355&lt;&gt;"",LOWER(TRIM($Y355))&lt;&gt;"n/a",COUNTIF($Y$2:$Y$528,$Y355)&gt;1),AND($Z355&lt;&gt;"",LOWER(TRIM($Z355))&lt;&gt;"n/a",COUNTIF($Z$2:$Z$528,$Z355)&gt;1)),"Yes","No"),IF(AND($AL355&lt;&gt;"",LOWER(TRIM($AL355))&lt;&gt;"n/a",COUNTIF($AL$2:$AL$528,$AL355)&gt;1),"Yes","No"))))</f>
        <v/>
      </c>
      <c r="F355" t="str">
        <f t="shared" ref="F355:F418" si="35">IF($B355&lt;&gt;"Yes","",
IF($A355="Neuron",
IF(OR(
AND($S355&lt;&gt;"",LOWER(TRIM($S355))&lt;&gt;"n/a",COUNTIFS($B$2:$B$528,"Yes",$A$2:$A$528,"Neuron",$S$2:$S$528,$S355)&gt;1),
AND($T355&lt;&gt;"",LOWER(TRIM($T355))&lt;&gt;"n/a",COUNTIFS($B$2:$B$528,"Yes",$A$2:$A$528,"Neuron",$T$2:$T$528,$T355)&gt;1),
AND($W355&lt;&gt;"",LOWER(TRIM($W355))&lt;&gt;"n/a",COUNTIFS($B$2:$B$528,"Yes",$A$2:$A$528,"Neuron",$W$2:$W$528,$W355)&gt;1)
),"Yes","No"),
IF($A355="Cybernet",
IF(OR(
AND($Y355&lt;&gt;"",LOWER(TRIM($Y355))&lt;&gt;"n/a",COUNTIFS($B$2:$B$528,"Yes",$A$2:$A$528,"Cybernet",$Y$2:$Y$528,$Y355)&gt;1),
AND($Z355&lt;&gt;"",LOWER(TRIM($Z355))&lt;&gt;"n/a",COUNTIFS($B$2:$B$528,"Yes",$A$2:$A$528,"Cybernet",$Z$2:$Z$528,$Z355)&gt;1)
),"Yes","No"),
IF(AND($AL355&lt;&gt;"",LOWER(TRIM($AL355))&lt;&gt;"n/a"),
IF(COUNTIFS($B$2:$B$528,"Yes",$A$2:$A$528,$A355,$AL$2:$AL$528,$AL355)&gt;1,"Yes","No"),
"No")
)
)
)</f>
        <v/>
      </c>
      <c r="BL355" s="4" t="str">
        <f t="shared" si="31"/>
        <v/>
      </c>
      <c r="BM355" s="8" t="str">
        <f t="shared" si="32"/>
        <v/>
      </c>
      <c r="BP355" t="str">
        <f>IF($BO355="","",IFERROR(VLOOKUP($BO355,'01_Warehouse_Ledger'!$A:$N,4,FALSE),""))</f>
        <v/>
      </c>
      <c r="BQ355" t="str">
        <f>IF($BO355="","",IFERROR(VLOOKUP($BO355,'01_Warehouse_Ledger'!$A:$N,5,FALSE),""))</f>
        <v/>
      </c>
      <c r="BR355" t="str">
        <f>IF($BO355="","",IFERROR(VLOOKUP($BO355,'01_Warehouse_Ledger'!$A:$N,13,FALSE),""))</f>
        <v/>
      </c>
    </row>
    <row r="356" spans="4:70" ht="15" customHeight="1">
      <c r="D356" s="15" t="str">
        <f t="shared" si="33"/>
        <v/>
      </c>
      <c r="E356" s="15" t="str">
        <f t="shared" si="34"/>
        <v/>
      </c>
      <c r="F356" t="str">
        <f t="shared" si="35"/>
        <v/>
      </c>
      <c r="BL356" s="4" t="str">
        <f t="shared" si="31"/>
        <v/>
      </c>
      <c r="BM356" s="8" t="str">
        <f t="shared" si="32"/>
        <v/>
      </c>
      <c r="BP356" t="str">
        <f>IF($BO356="","",IFERROR(VLOOKUP($BO356,'01_Warehouse_Ledger'!$A:$N,4,FALSE),""))</f>
        <v/>
      </c>
      <c r="BQ356" t="str">
        <f>IF($BO356="","",IFERROR(VLOOKUP($BO356,'01_Warehouse_Ledger'!$A:$N,5,FALSE),""))</f>
        <v/>
      </c>
      <c r="BR356" t="str">
        <f>IF($BO356="","",IFERROR(VLOOKUP($BO356,'01_Warehouse_Ledger'!$A:$N,13,FALSE),""))</f>
        <v/>
      </c>
    </row>
    <row r="357" spans="4:70" ht="15" customHeight="1">
      <c r="D357" s="15" t="str">
        <f t="shared" si="33"/>
        <v/>
      </c>
      <c r="E357" s="15" t="str">
        <f t="shared" si="34"/>
        <v/>
      </c>
      <c r="F357" t="str">
        <f t="shared" si="35"/>
        <v/>
      </c>
      <c r="BL357" s="4" t="str">
        <f t="shared" si="31"/>
        <v/>
      </c>
      <c r="BM357" s="8" t="str">
        <f t="shared" si="32"/>
        <v/>
      </c>
      <c r="BP357" t="str">
        <f>IF($BO357="","",IFERROR(VLOOKUP($BO357,'01_Warehouse_Ledger'!$A:$N,4,FALSE),""))</f>
        <v/>
      </c>
      <c r="BQ357" t="str">
        <f>IF($BO357="","",IFERROR(VLOOKUP($BO357,'01_Warehouse_Ledger'!$A:$N,5,FALSE),""))</f>
        <v/>
      </c>
      <c r="BR357" t="str">
        <f>IF($BO357="","",IFERROR(VLOOKUP($BO357,'01_Warehouse_Ledger'!$A:$N,13,FALSE),""))</f>
        <v/>
      </c>
    </row>
    <row r="358" spans="4:70" ht="15" customHeight="1">
      <c r="D358" s="15" t="str">
        <f t="shared" si="33"/>
        <v/>
      </c>
      <c r="E358" s="15" t="str">
        <f t="shared" si="34"/>
        <v/>
      </c>
      <c r="F358" t="str">
        <f t="shared" si="35"/>
        <v/>
      </c>
      <c r="BL358" s="4" t="str">
        <f t="shared" si="31"/>
        <v/>
      </c>
      <c r="BM358" s="8" t="str">
        <f t="shared" si="32"/>
        <v/>
      </c>
      <c r="BP358" t="str">
        <f>IF($BO358="","",IFERROR(VLOOKUP($BO358,'01_Warehouse_Ledger'!$A:$N,4,FALSE),""))</f>
        <v/>
      </c>
      <c r="BQ358" t="str">
        <f>IF($BO358="","",IFERROR(VLOOKUP($BO358,'01_Warehouse_Ledger'!$A:$N,5,FALSE),""))</f>
        <v/>
      </c>
      <c r="BR358" t="str">
        <f>IF($BO358="","",IFERROR(VLOOKUP($BO358,'01_Warehouse_Ledger'!$A:$N,13,FALSE),""))</f>
        <v/>
      </c>
    </row>
    <row r="359" spans="4:70" ht="15" customHeight="1">
      <c r="D359" s="15" t="str">
        <f t="shared" si="33"/>
        <v/>
      </c>
      <c r="E359" s="15" t="str">
        <f t="shared" si="34"/>
        <v/>
      </c>
      <c r="F359" t="str">
        <f t="shared" si="35"/>
        <v/>
      </c>
      <c r="BL359" s="4" t="str">
        <f t="shared" si="31"/>
        <v/>
      </c>
      <c r="BM359" s="8" t="str">
        <f t="shared" si="32"/>
        <v/>
      </c>
      <c r="BP359" t="str">
        <f>IF($BO359="","",IFERROR(VLOOKUP($BO359,'01_Warehouse_Ledger'!$A:$N,4,FALSE),""))</f>
        <v/>
      </c>
      <c r="BQ359" t="str">
        <f>IF($BO359="","",IFERROR(VLOOKUP($BO359,'01_Warehouse_Ledger'!$A:$N,5,FALSE),""))</f>
        <v/>
      </c>
      <c r="BR359" t="str">
        <f>IF($BO359="","",IFERROR(VLOOKUP($BO359,'01_Warehouse_Ledger'!$A:$N,13,FALSE),""))</f>
        <v/>
      </c>
    </row>
    <row r="360" spans="4:70" ht="15" customHeight="1">
      <c r="D360" s="15" t="str">
        <f t="shared" si="33"/>
        <v/>
      </c>
      <c r="E360" s="15" t="str">
        <f t="shared" si="34"/>
        <v/>
      </c>
      <c r="F360" t="str">
        <f t="shared" si="35"/>
        <v/>
      </c>
      <c r="BL360" s="4" t="str">
        <f t="shared" si="31"/>
        <v/>
      </c>
      <c r="BM360" s="8" t="str">
        <f t="shared" si="32"/>
        <v/>
      </c>
      <c r="BP360" t="str">
        <f>IF($BO360="","",IFERROR(VLOOKUP($BO360,'01_Warehouse_Ledger'!$A:$N,4,FALSE),""))</f>
        <v/>
      </c>
      <c r="BQ360" t="str">
        <f>IF($BO360="","",IFERROR(VLOOKUP($BO360,'01_Warehouse_Ledger'!$A:$N,5,FALSE),""))</f>
        <v/>
      </c>
      <c r="BR360" t="str">
        <f>IF($BO360="","",IFERROR(VLOOKUP($BO360,'01_Warehouse_Ledger'!$A:$N,13,FALSE),""))</f>
        <v/>
      </c>
    </row>
    <row r="361" spans="4:70" ht="15" customHeight="1">
      <c r="D361" s="15" t="str">
        <f t="shared" si="33"/>
        <v/>
      </c>
      <c r="E361" s="15" t="str">
        <f t="shared" si="34"/>
        <v/>
      </c>
      <c r="F361" t="str">
        <f t="shared" si="35"/>
        <v/>
      </c>
      <c r="BL361" s="4" t="str">
        <f t="shared" si="31"/>
        <v/>
      </c>
      <c r="BM361" s="8" t="str">
        <f t="shared" si="32"/>
        <v/>
      </c>
      <c r="BP361" t="str">
        <f>IF($BO361="","",IFERROR(VLOOKUP($BO361,'01_Warehouse_Ledger'!$A:$N,4,FALSE),""))</f>
        <v/>
      </c>
      <c r="BQ361" t="str">
        <f>IF($BO361="","",IFERROR(VLOOKUP($BO361,'01_Warehouse_Ledger'!$A:$N,5,FALSE),""))</f>
        <v/>
      </c>
      <c r="BR361" t="str">
        <f>IF($BO361="","",IFERROR(VLOOKUP($BO361,'01_Warehouse_Ledger'!$A:$N,13,FALSE),""))</f>
        <v/>
      </c>
    </row>
    <row r="362" spans="4:70" ht="15" customHeight="1">
      <c r="D362" s="15" t="str">
        <f t="shared" si="33"/>
        <v/>
      </c>
      <c r="E362" s="15" t="str">
        <f t="shared" si="34"/>
        <v/>
      </c>
      <c r="F362" t="str">
        <f t="shared" si="35"/>
        <v/>
      </c>
      <c r="BL362" s="4" t="str">
        <f t="shared" si="31"/>
        <v/>
      </c>
      <c r="BM362" s="8" t="str">
        <f t="shared" si="32"/>
        <v/>
      </c>
      <c r="BP362" t="str">
        <f>IF($BO362="","",IFERROR(VLOOKUP($BO362,'01_Warehouse_Ledger'!$A:$N,4,FALSE),""))</f>
        <v/>
      </c>
      <c r="BQ362" t="str">
        <f>IF($BO362="","",IFERROR(VLOOKUP($BO362,'01_Warehouse_Ledger'!$A:$N,5,FALSE),""))</f>
        <v/>
      </c>
      <c r="BR362" t="str">
        <f>IF($BO362="","",IFERROR(VLOOKUP($BO362,'01_Warehouse_Ledger'!$A:$N,13,FALSE),""))</f>
        <v/>
      </c>
    </row>
    <row r="363" spans="4:70" ht="15" customHeight="1">
      <c r="D363" s="15" t="str">
        <f t="shared" si="33"/>
        <v/>
      </c>
      <c r="E363" s="15" t="str">
        <f t="shared" si="34"/>
        <v/>
      </c>
      <c r="F363" t="str">
        <f t="shared" si="35"/>
        <v/>
      </c>
      <c r="BL363" s="4" t="str">
        <f t="shared" si="31"/>
        <v/>
      </c>
      <c r="BM363" s="8" t="str">
        <f t="shared" si="32"/>
        <v/>
      </c>
      <c r="BP363" t="str">
        <f>IF($BO363="","",IFERROR(VLOOKUP($BO363,'01_Warehouse_Ledger'!$A:$N,4,FALSE),""))</f>
        <v/>
      </c>
      <c r="BQ363" t="str">
        <f>IF($BO363="","",IFERROR(VLOOKUP($BO363,'01_Warehouse_Ledger'!$A:$N,5,FALSE),""))</f>
        <v/>
      </c>
      <c r="BR363" t="str">
        <f>IF($BO363="","",IFERROR(VLOOKUP($BO363,'01_Warehouse_Ledger'!$A:$N,13,FALSE),""))</f>
        <v/>
      </c>
    </row>
    <row r="364" spans="4:70" ht="15" customHeight="1">
      <c r="D364" s="15" t="str">
        <f t="shared" si="33"/>
        <v/>
      </c>
      <c r="E364" s="15" t="str">
        <f t="shared" si="34"/>
        <v/>
      </c>
      <c r="F364" t="str">
        <f t="shared" si="35"/>
        <v/>
      </c>
      <c r="BL364" s="4" t="str">
        <f t="shared" si="31"/>
        <v/>
      </c>
      <c r="BM364" s="8" t="str">
        <f t="shared" si="32"/>
        <v/>
      </c>
      <c r="BP364" t="str">
        <f>IF($BO364="","",IFERROR(VLOOKUP($BO364,'01_Warehouse_Ledger'!$A:$N,4,FALSE),""))</f>
        <v/>
      </c>
      <c r="BQ364" t="str">
        <f>IF($BO364="","",IFERROR(VLOOKUP($BO364,'01_Warehouse_Ledger'!$A:$N,5,FALSE),""))</f>
        <v/>
      </c>
      <c r="BR364" t="str">
        <f>IF($BO364="","",IFERROR(VLOOKUP($BO364,'01_Warehouse_Ledger'!$A:$N,13,FALSE),""))</f>
        <v/>
      </c>
    </row>
    <row r="365" spans="4:70" ht="15" customHeight="1">
      <c r="D365" s="15" t="str">
        <f t="shared" si="33"/>
        <v/>
      </c>
      <c r="E365" s="15" t="str">
        <f t="shared" si="34"/>
        <v/>
      </c>
      <c r="F365" t="str">
        <f t="shared" si="35"/>
        <v/>
      </c>
      <c r="BL365" s="4" t="str">
        <f t="shared" si="31"/>
        <v/>
      </c>
      <c r="BM365" s="8" t="str">
        <f t="shared" si="32"/>
        <v/>
      </c>
      <c r="BP365" t="str">
        <f>IF($BO365="","",IFERROR(VLOOKUP($BO365,'01_Warehouse_Ledger'!$A:$N,4,FALSE),""))</f>
        <v/>
      </c>
      <c r="BQ365" t="str">
        <f>IF($BO365="","",IFERROR(VLOOKUP($BO365,'01_Warehouse_Ledger'!$A:$N,5,FALSE),""))</f>
        <v/>
      </c>
      <c r="BR365" t="str">
        <f>IF($BO365="","",IFERROR(VLOOKUP($BO365,'01_Warehouse_Ledger'!$A:$N,13,FALSE),""))</f>
        <v/>
      </c>
    </row>
    <row r="366" spans="4:70" ht="15" customHeight="1">
      <c r="D366" s="15" t="str">
        <f t="shared" si="33"/>
        <v/>
      </c>
      <c r="E366" s="15" t="str">
        <f t="shared" si="34"/>
        <v/>
      </c>
      <c r="F366" t="str">
        <f t="shared" si="35"/>
        <v/>
      </c>
      <c r="BL366" s="4" t="str">
        <f t="shared" si="31"/>
        <v/>
      </c>
      <c r="BM366" s="8" t="str">
        <f t="shared" si="32"/>
        <v/>
      </c>
      <c r="BP366" t="str">
        <f>IF($BO366="","",IFERROR(VLOOKUP($BO366,'01_Warehouse_Ledger'!$A:$N,4,FALSE),""))</f>
        <v/>
      </c>
      <c r="BQ366" t="str">
        <f>IF($BO366="","",IFERROR(VLOOKUP($BO366,'01_Warehouse_Ledger'!$A:$N,5,FALSE),""))</f>
        <v/>
      </c>
      <c r="BR366" t="str">
        <f>IF($BO366="","",IFERROR(VLOOKUP($BO366,'01_Warehouse_Ledger'!$A:$N,13,FALSE),""))</f>
        <v/>
      </c>
    </row>
    <row r="367" spans="4:70" ht="15" customHeight="1">
      <c r="D367" s="15" t="str">
        <f t="shared" si="33"/>
        <v/>
      </c>
      <c r="E367" s="15" t="str">
        <f t="shared" si="34"/>
        <v/>
      </c>
      <c r="F367" t="str">
        <f t="shared" si="35"/>
        <v/>
      </c>
      <c r="BL367" s="4" t="str">
        <f t="shared" si="31"/>
        <v/>
      </c>
      <c r="BM367" s="8" t="str">
        <f t="shared" si="32"/>
        <v/>
      </c>
      <c r="BP367" t="str">
        <f>IF($BO367="","",IFERROR(VLOOKUP($BO367,'01_Warehouse_Ledger'!$A:$N,4,FALSE),""))</f>
        <v/>
      </c>
      <c r="BQ367" t="str">
        <f>IF($BO367="","",IFERROR(VLOOKUP($BO367,'01_Warehouse_Ledger'!$A:$N,5,FALSE),""))</f>
        <v/>
      </c>
      <c r="BR367" t="str">
        <f>IF($BO367="","",IFERROR(VLOOKUP($BO367,'01_Warehouse_Ledger'!$A:$N,13,FALSE),""))</f>
        <v/>
      </c>
    </row>
    <row r="368" spans="4:70" ht="15" customHeight="1">
      <c r="D368" s="15" t="str">
        <f t="shared" si="33"/>
        <v/>
      </c>
      <c r="E368" s="15" t="str">
        <f t="shared" si="34"/>
        <v/>
      </c>
      <c r="F368" t="str">
        <f t="shared" si="35"/>
        <v/>
      </c>
      <c r="BL368" s="4" t="str">
        <f t="shared" si="31"/>
        <v/>
      </c>
      <c r="BM368" s="8" t="str">
        <f t="shared" si="32"/>
        <v/>
      </c>
      <c r="BP368" t="str">
        <f>IF($BO368="","",IFERROR(VLOOKUP($BO368,'01_Warehouse_Ledger'!$A:$N,4,FALSE),""))</f>
        <v/>
      </c>
      <c r="BQ368" t="str">
        <f>IF($BO368="","",IFERROR(VLOOKUP($BO368,'01_Warehouse_Ledger'!$A:$N,5,FALSE),""))</f>
        <v/>
      </c>
      <c r="BR368" t="str">
        <f>IF($BO368="","",IFERROR(VLOOKUP($BO368,'01_Warehouse_Ledger'!$A:$N,13,FALSE),""))</f>
        <v/>
      </c>
    </row>
    <row r="369" spans="4:70" ht="15" customHeight="1">
      <c r="D369" s="15" t="str">
        <f t="shared" si="33"/>
        <v/>
      </c>
      <c r="E369" s="15" t="str">
        <f t="shared" si="34"/>
        <v/>
      </c>
      <c r="F369" t="str">
        <f t="shared" si="35"/>
        <v/>
      </c>
      <c r="BL369" s="4" t="str">
        <f t="shared" si="31"/>
        <v/>
      </c>
      <c r="BM369" s="8" t="str">
        <f t="shared" si="32"/>
        <v/>
      </c>
      <c r="BP369" t="str">
        <f>IF($BO369="","",IFERROR(VLOOKUP($BO369,'01_Warehouse_Ledger'!$A:$N,4,FALSE),""))</f>
        <v/>
      </c>
      <c r="BQ369" t="str">
        <f>IF($BO369="","",IFERROR(VLOOKUP($BO369,'01_Warehouse_Ledger'!$A:$N,5,FALSE),""))</f>
        <v/>
      </c>
      <c r="BR369" t="str">
        <f>IF($BO369="","",IFERROR(VLOOKUP($BO369,'01_Warehouse_Ledger'!$A:$N,13,FALSE),""))</f>
        <v/>
      </c>
    </row>
    <row r="370" spans="4:70" ht="15" customHeight="1">
      <c r="D370" s="15" t="str">
        <f t="shared" si="33"/>
        <v/>
      </c>
      <c r="E370" s="15" t="str">
        <f t="shared" si="34"/>
        <v/>
      </c>
      <c r="F370" t="str">
        <f t="shared" si="35"/>
        <v/>
      </c>
      <c r="BL370" s="4" t="str">
        <f t="shared" si="31"/>
        <v/>
      </c>
      <c r="BM370" s="8" t="str">
        <f t="shared" si="32"/>
        <v/>
      </c>
      <c r="BP370" t="str">
        <f>IF($BO370="","",IFERROR(VLOOKUP($BO370,'01_Warehouse_Ledger'!$A:$N,4,FALSE),""))</f>
        <v/>
      </c>
      <c r="BQ370" t="str">
        <f>IF($BO370="","",IFERROR(VLOOKUP($BO370,'01_Warehouse_Ledger'!$A:$N,5,FALSE),""))</f>
        <v/>
      </c>
      <c r="BR370" t="str">
        <f>IF($BO370="","",IFERROR(VLOOKUP($BO370,'01_Warehouse_Ledger'!$A:$N,13,FALSE),""))</f>
        <v/>
      </c>
    </row>
    <row r="371" spans="4:70" ht="15" customHeight="1">
      <c r="D371" s="15" t="str">
        <f t="shared" si="33"/>
        <v/>
      </c>
      <c r="E371" s="15" t="str">
        <f t="shared" si="34"/>
        <v/>
      </c>
      <c r="F371" t="str">
        <f t="shared" si="35"/>
        <v/>
      </c>
      <c r="BL371" s="4" t="str">
        <f t="shared" ref="BL371:BL434" si="36">IF($T371="","",IF((IF(AND($AW371&lt;&gt;"Yes",$AW371&lt;&gt;"N/A"),"Power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",""))="","",LEFT(IF(AND($AW371&lt;&gt;"Yes",$AW371&lt;&gt;"N/A"),"Power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",""),LEN(IF(AND($AW371&lt;&gt;"Yes",$AW371&lt;&gt;"N/A"),"Power Cable, ","")&amp;IF(AND($AX371&lt;&gt;"Yes",$AX371&lt;&gt;"N/A"),"Battery, ","")&amp;IF(AND($BE371&lt;&gt;"Yes",$BE371&lt;&gt;"N/A"),"Firmware Download, ","")&amp;IF(AND(OR($BE371="Yes",$BE371="N/A"),$BF371&lt;&gt;"Yes",$BF371&lt;&gt;"N/A"),"Firmware Install, ","")&amp;IF(AND($BJ371&lt;&gt;"Yes",$BJ371&lt;&gt;"N/A"),"Device ID, ","")&amp;IF(AND($BK371&lt;&gt;"Yes",$BK371&lt;&gt;"N/A"),"Epic Beans Relay, ",""))-2)))</f>
        <v/>
      </c>
      <c r="BM371" s="8" t="str">
        <f t="shared" ref="BM371:BM434" si="37">IF($T371="","",IF($BL371="","Yes","Blocked"))</f>
        <v/>
      </c>
      <c r="BP371" t="str">
        <f>IF($BO371="","",IFERROR(VLOOKUP($BO371,'01_Warehouse_Ledger'!$A:$N,4,FALSE),""))</f>
        <v/>
      </c>
      <c r="BQ371" t="str">
        <f>IF($BO371="","",IFERROR(VLOOKUP($BO371,'01_Warehouse_Ledger'!$A:$N,5,FALSE),""))</f>
        <v/>
      </c>
      <c r="BR371" t="str">
        <f>IF($BO371="","",IFERROR(VLOOKUP($BO371,'01_Warehouse_Ledger'!$A:$N,13,FALSE),""))</f>
        <v/>
      </c>
    </row>
    <row r="372" spans="4:70" ht="15" customHeight="1">
      <c r="D372" s="15" t="str">
        <f t="shared" si="33"/>
        <v/>
      </c>
      <c r="E372" s="15" t="str">
        <f t="shared" si="34"/>
        <v/>
      </c>
      <c r="F372" t="str">
        <f t="shared" si="35"/>
        <v/>
      </c>
      <c r="BL372" s="4" t="str">
        <f t="shared" si="36"/>
        <v/>
      </c>
      <c r="BM372" s="8" t="str">
        <f t="shared" si="37"/>
        <v/>
      </c>
      <c r="BP372" t="str">
        <f>IF($BO372="","",IFERROR(VLOOKUP($BO372,'01_Warehouse_Ledger'!$A:$N,4,FALSE),""))</f>
        <v/>
      </c>
      <c r="BQ372" t="str">
        <f>IF($BO372="","",IFERROR(VLOOKUP($BO372,'01_Warehouse_Ledger'!$A:$N,5,FALSE),""))</f>
        <v/>
      </c>
      <c r="BR372" t="str">
        <f>IF($BO372="","",IFERROR(VLOOKUP($BO372,'01_Warehouse_Ledger'!$A:$N,13,FALSE),""))</f>
        <v/>
      </c>
    </row>
    <row r="373" spans="4:70" ht="15" customHeight="1">
      <c r="D373" s="15" t="str">
        <f t="shared" si="33"/>
        <v/>
      </c>
      <c r="E373" s="15" t="str">
        <f t="shared" si="34"/>
        <v/>
      </c>
      <c r="F373" t="str">
        <f t="shared" si="35"/>
        <v/>
      </c>
      <c r="BL373" s="4" t="str">
        <f t="shared" si="36"/>
        <v/>
      </c>
      <c r="BM373" s="8" t="str">
        <f t="shared" si="37"/>
        <v/>
      </c>
      <c r="BP373" t="str">
        <f>IF($BO373="","",IFERROR(VLOOKUP($BO373,'01_Warehouse_Ledger'!$A:$N,4,FALSE),""))</f>
        <v/>
      </c>
      <c r="BQ373" t="str">
        <f>IF($BO373="","",IFERROR(VLOOKUP($BO373,'01_Warehouse_Ledger'!$A:$N,5,FALSE),""))</f>
        <v/>
      </c>
      <c r="BR373" t="str">
        <f>IF($BO373="","",IFERROR(VLOOKUP($BO373,'01_Warehouse_Ledger'!$A:$N,13,FALSE),""))</f>
        <v/>
      </c>
    </row>
    <row r="374" spans="4:70" ht="15" customHeight="1">
      <c r="D374" s="15" t="str">
        <f t="shared" si="33"/>
        <v/>
      </c>
      <c r="E374" s="15" t="str">
        <f t="shared" si="34"/>
        <v/>
      </c>
      <c r="F374" t="str">
        <f t="shared" si="35"/>
        <v/>
      </c>
      <c r="BL374" s="4" t="str">
        <f t="shared" si="36"/>
        <v/>
      </c>
      <c r="BM374" s="8" t="str">
        <f t="shared" si="37"/>
        <v/>
      </c>
      <c r="BP374" t="str">
        <f>IF($BO374="","",IFERROR(VLOOKUP($BO374,'01_Warehouse_Ledger'!$A:$N,4,FALSE),""))</f>
        <v/>
      </c>
      <c r="BQ374" t="str">
        <f>IF($BO374="","",IFERROR(VLOOKUP($BO374,'01_Warehouse_Ledger'!$A:$N,5,FALSE),""))</f>
        <v/>
      </c>
      <c r="BR374" t="str">
        <f>IF($BO374="","",IFERROR(VLOOKUP($BO374,'01_Warehouse_Ledger'!$A:$N,13,FALSE),""))</f>
        <v/>
      </c>
    </row>
    <row r="375" spans="4:70" ht="15" customHeight="1">
      <c r="D375" s="15" t="str">
        <f t="shared" si="33"/>
        <v/>
      </c>
      <c r="E375" s="15" t="str">
        <f t="shared" si="34"/>
        <v/>
      </c>
      <c r="F375" t="str">
        <f t="shared" si="35"/>
        <v/>
      </c>
      <c r="BL375" s="4" t="str">
        <f t="shared" si="36"/>
        <v/>
      </c>
      <c r="BM375" s="8" t="str">
        <f t="shared" si="37"/>
        <v/>
      </c>
      <c r="BP375" t="str">
        <f>IF($BO375="","",IFERROR(VLOOKUP($BO375,'01_Warehouse_Ledger'!$A:$N,4,FALSE),""))</f>
        <v/>
      </c>
      <c r="BQ375" t="str">
        <f>IF($BO375="","",IFERROR(VLOOKUP($BO375,'01_Warehouse_Ledger'!$A:$N,5,FALSE),""))</f>
        <v/>
      </c>
      <c r="BR375" t="str">
        <f>IF($BO375="","",IFERROR(VLOOKUP($BO375,'01_Warehouse_Ledger'!$A:$N,13,FALSE),""))</f>
        <v/>
      </c>
    </row>
    <row r="376" spans="4:70" ht="15" customHeight="1">
      <c r="D376" s="15" t="str">
        <f t="shared" si="33"/>
        <v/>
      </c>
      <c r="E376" s="15" t="str">
        <f t="shared" si="34"/>
        <v/>
      </c>
      <c r="F376" t="str">
        <f t="shared" si="35"/>
        <v/>
      </c>
      <c r="BL376" s="4" t="str">
        <f t="shared" si="36"/>
        <v/>
      </c>
      <c r="BM376" s="8" t="str">
        <f t="shared" si="37"/>
        <v/>
      </c>
      <c r="BP376" t="str">
        <f>IF($BO376="","",IFERROR(VLOOKUP($BO376,'01_Warehouse_Ledger'!$A:$N,4,FALSE),""))</f>
        <v/>
      </c>
      <c r="BQ376" t="str">
        <f>IF($BO376="","",IFERROR(VLOOKUP($BO376,'01_Warehouse_Ledger'!$A:$N,5,FALSE),""))</f>
        <v/>
      </c>
      <c r="BR376" t="str">
        <f>IF($BO376="","",IFERROR(VLOOKUP($BO376,'01_Warehouse_Ledger'!$A:$N,13,FALSE),""))</f>
        <v/>
      </c>
    </row>
    <row r="377" spans="4:70" ht="15" customHeight="1">
      <c r="D377" s="15" t="str">
        <f t="shared" si="33"/>
        <v/>
      </c>
      <c r="E377" s="15" t="str">
        <f t="shared" si="34"/>
        <v/>
      </c>
      <c r="F377" t="str">
        <f t="shared" si="35"/>
        <v/>
      </c>
      <c r="BL377" s="4" t="str">
        <f t="shared" si="36"/>
        <v/>
      </c>
      <c r="BM377" s="8" t="str">
        <f t="shared" si="37"/>
        <v/>
      </c>
      <c r="BP377" t="str">
        <f>IF($BO377="","",IFERROR(VLOOKUP($BO377,'01_Warehouse_Ledger'!$A:$N,4,FALSE),""))</f>
        <v/>
      </c>
      <c r="BQ377" t="str">
        <f>IF($BO377="","",IFERROR(VLOOKUP($BO377,'01_Warehouse_Ledger'!$A:$N,5,FALSE),""))</f>
        <v/>
      </c>
      <c r="BR377" t="str">
        <f>IF($BO377="","",IFERROR(VLOOKUP($BO377,'01_Warehouse_Ledger'!$A:$N,13,FALSE),""))</f>
        <v/>
      </c>
    </row>
    <row r="378" spans="4:70" ht="15" customHeight="1">
      <c r="D378" s="15" t="str">
        <f t="shared" si="33"/>
        <v/>
      </c>
      <c r="E378" s="15" t="str">
        <f t="shared" si="34"/>
        <v/>
      </c>
      <c r="F378" t="str">
        <f t="shared" si="35"/>
        <v/>
      </c>
      <c r="BL378" s="4" t="str">
        <f t="shared" si="36"/>
        <v/>
      </c>
      <c r="BM378" s="8" t="str">
        <f t="shared" si="37"/>
        <v/>
      </c>
      <c r="BP378" t="str">
        <f>IF($BO378="","",IFERROR(VLOOKUP($BO378,'01_Warehouse_Ledger'!$A:$N,4,FALSE),""))</f>
        <v/>
      </c>
      <c r="BQ378" t="str">
        <f>IF($BO378="","",IFERROR(VLOOKUP($BO378,'01_Warehouse_Ledger'!$A:$N,5,FALSE),""))</f>
        <v/>
      </c>
      <c r="BR378" t="str">
        <f>IF($BO378="","",IFERROR(VLOOKUP($BO378,'01_Warehouse_Ledger'!$A:$N,13,FALSE),""))</f>
        <v/>
      </c>
    </row>
    <row r="379" spans="4:70" ht="15" customHeight="1">
      <c r="D379" s="15" t="str">
        <f t="shared" si="33"/>
        <v/>
      </c>
      <c r="E379" s="15" t="str">
        <f t="shared" si="34"/>
        <v/>
      </c>
      <c r="F379" t="str">
        <f t="shared" si="35"/>
        <v/>
      </c>
      <c r="BL379" s="4" t="str">
        <f t="shared" si="36"/>
        <v/>
      </c>
      <c r="BM379" s="8" t="str">
        <f t="shared" si="37"/>
        <v/>
      </c>
      <c r="BP379" t="str">
        <f>IF($BO379="","",IFERROR(VLOOKUP($BO379,'01_Warehouse_Ledger'!$A:$N,4,FALSE),""))</f>
        <v/>
      </c>
      <c r="BQ379" t="str">
        <f>IF($BO379="","",IFERROR(VLOOKUP($BO379,'01_Warehouse_Ledger'!$A:$N,5,FALSE),""))</f>
        <v/>
      </c>
      <c r="BR379" t="str">
        <f>IF($BO379="","",IFERROR(VLOOKUP($BO379,'01_Warehouse_Ledger'!$A:$N,13,FALSE),""))</f>
        <v/>
      </c>
    </row>
    <row r="380" spans="4:70" ht="15" customHeight="1">
      <c r="D380" s="15" t="str">
        <f t="shared" si="33"/>
        <v/>
      </c>
      <c r="E380" s="15" t="str">
        <f t="shared" si="34"/>
        <v/>
      </c>
      <c r="F380" t="str">
        <f t="shared" si="35"/>
        <v/>
      </c>
      <c r="BL380" s="4" t="str">
        <f t="shared" si="36"/>
        <v/>
      </c>
      <c r="BM380" s="8" t="str">
        <f t="shared" si="37"/>
        <v/>
      </c>
      <c r="BP380" t="str">
        <f>IF($BO380="","",IFERROR(VLOOKUP($BO380,'01_Warehouse_Ledger'!$A:$N,4,FALSE),""))</f>
        <v/>
      </c>
      <c r="BQ380" t="str">
        <f>IF($BO380="","",IFERROR(VLOOKUP($BO380,'01_Warehouse_Ledger'!$A:$N,5,FALSE),""))</f>
        <v/>
      </c>
      <c r="BR380" t="str">
        <f>IF($BO380="","",IFERROR(VLOOKUP($BO380,'01_Warehouse_Ledger'!$A:$N,13,FALSE),""))</f>
        <v/>
      </c>
    </row>
    <row r="381" spans="4:70" ht="15" customHeight="1">
      <c r="D381" s="15" t="str">
        <f t="shared" si="33"/>
        <v/>
      </c>
      <c r="E381" s="15" t="str">
        <f t="shared" si="34"/>
        <v/>
      </c>
      <c r="F381" t="str">
        <f t="shared" si="35"/>
        <v/>
      </c>
      <c r="BL381" s="4" t="str">
        <f t="shared" si="36"/>
        <v/>
      </c>
      <c r="BM381" s="8" t="str">
        <f t="shared" si="37"/>
        <v/>
      </c>
      <c r="BP381" t="str">
        <f>IF($BO381="","",IFERROR(VLOOKUP($BO381,'01_Warehouse_Ledger'!$A:$N,4,FALSE),""))</f>
        <v/>
      </c>
      <c r="BQ381" t="str">
        <f>IF($BO381="","",IFERROR(VLOOKUP($BO381,'01_Warehouse_Ledger'!$A:$N,5,FALSE),""))</f>
        <v/>
      </c>
      <c r="BR381" t="str">
        <f>IF($BO381="","",IFERROR(VLOOKUP($BO381,'01_Warehouse_Ledger'!$A:$N,13,FALSE),""))</f>
        <v/>
      </c>
    </row>
    <row r="382" spans="4:70" ht="15" customHeight="1">
      <c r="D382" s="15" t="str">
        <f t="shared" si="33"/>
        <v/>
      </c>
      <c r="E382" s="15" t="str">
        <f t="shared" si="34"/>
        <v/>
      </c>
      <c r="F382" t="str">
        <f t="shared" si="35"/>
        <v/>
      </c>
      <c r="BL382" s="4" t="str">
        <f t="shared" si="36"/>
        <v/>
      </c>
      <c r="BM382" s="8" t="str">
        <f t="shared" si="37"/>
        <v/>
      </c>
      <c r="BP382" t="str">
        <f>IF($BO382="","",IFERROR(VLOOKUP($BO382,'01_Warehouse_Ledger'!$A:$N,4,FALSE),""))</f>
        <v/>
      </c>
      <c r="BQ382" t="str">
        <f>IF($BO382="","",IFERROR(VLOOKUP($BO382,'01_Warehouse_Ledger'!$A:$N,5,FALSE),""))</f>
        <v/>
      </c>
      <c r="BR382" t="str">
        <f>IF($BO382="","",IFERROR(VLOOKUP($BO382,'01_Warehouse_Ledger'!$A:$N,13,FALSE),""))</f>
        <v/>
      </c>
    </row>
    <row r="383" spans="4:70" ht="15" customHeight="1">
      <c r="D383" s="15" t="str">
        <f t="shared" si="33"/>
        <v/>
      </c>
      <c r="E383" s="15" t="str">
        <f t="shared" si="34"/>
        <v/>
      </c>
      <c r="F383" t="str">
        <f t="shared" si="35"/>
        <v/>
      </c>
      <c r="BL383" s="4" t="str">
        <f t="shared" si="36"/>
        <v/>
      </c>
      <c r="BM383" s="8" t="str">
        <f t="shared" si="37"/>
        <v/>
      </c>
      <c r="BP383" t="str">
        <f>IF($BO383="","",IFERROR(VLOOKUP($BO383,'01_Warehouse_Ledger'!$A:$N,4,FALSE),""))</f>
        <v/>
      </c>
      <c r="BQ383" t="str">
        <f>IF($BO383="","",IFERROR(VLOOKUP($BO383,'01_Warehouse_Ledger'!$A:$N,5,FALSE),""))</f>
        <v/>
      </c>
      <c r="BR383" t="str">
        <f>IF($BO383="","",IFERROR(VLOOKUP($BO383,'01_Warehouse_Ledger'!$A:$N,13,FALSE),""))</f>
        <v/>
      </c>
    </row>
    <row r="384" spans="4:70" ht="15" customHeight="1">
      <c r="D384" s="15" t="str">
        <f t="shared" si="33"/>
        <v/>
      </c>
      <c r="E384" s="15" t="str">
        <f t="shared" si="34"/>
        <v/>
      </c>
      <c r="F384" t="str">
        <f t="shared" si="35"/>
        <v/>
      </c>
      <c r="BL384" s="4" t="str">
        <f t="shared" si="36"/>
        <v/>
      </c>
      <c r="BM384" s="8" t="str">
        <f t="shared" si="37"/>
        <v/>
      </c>
      <c r="BP384" t="str">
        <f>IF($BO384="","",IFERROR(VLOOKUP($BO384,'01_Warehouse_Ledger'!$A:$N,4,FALSE),""))</f>
        <v/>
      </c>
      <c r="BQ384" t="str">
        <f>IF($BO384="","",IFERROR(VLOOKUP($BO384,'01_Warehouse_Ledger'!$A:$N,5,FALSE),""))</f>
        <v/>
      </c>
      <c r="BR384" t="str">
        <f>IF($BO384="","",IFERROR(VLOOKUP($BO384,'01_Warehouse_Ledger'!$A:$N,13,FALSE),""))</f>
        <v/>
      </c>
    </row>
    <row r="385" spans="4:70" ht="15" customHeight="1">
      <c r="D385" s="15" t="str">
        <f t="shared" si="33"/>
        <v/>
      </c>
      <c r="E385" s="15" t="str">
        <f t="shared" si="34"/>
        <v/>
      </c>
      <c r="F385" t="str">
        <f t="shared" si="35"/>
        <v/>
      </c>
      <c r="BL385" s="4" t="str">
        <f t="shared" si="36"/>
        <v/>
      </c>
      <c r="BM385" s="8" t="str">
        <f t="shared" si="37"/>
        <v/>
      </c>
      <c r="BP385" t="str">
        <f>IF($BO385="","",IFERROR(VLOOKUP($BO385,'01_Warehouse_Ledger'!$A:$N,4,FALSE),""))</f>
        <v/>
      </c>
      <c r="BQ385" t="str">
        <f>IF($BO385="","",IFERROR(VLOOKUP($BO385,'01_Warehouse_Ledger'!$A:$N,5,FALSE),""))</f>
        <v/>
      </c>
      <c r="BR385" t="str">
        <f>IF($BO385="","",IFERROR(VLOOKUP($BO385,'01_Warehouse_Ledger'!$A:$N,13,FALSE),""))</f>
        <v/>
      </c>
    </row>
    <row r="386" spans="4:70" ht="15" customHeight="1">
      <c r="D386" s="15" t="str">
        <f t="shared" si="33"/>
        <v/>
      </c>
      <c r="E386" s="15" t="str">
        <f t="shared" si="34"/>
        <v/>
      </c>
      <c r="F386" t="str">
        <f t="shared" si="35"/>
        <v/>
      </c>
      <c r="BL386" s="4" t="str">
        <f t="shared" si="36"/>
        <v/>
      </c>
      <c r="BM386" s="8" t="str">
        <f t="shared" si="37"/>
        <v/>
      </c>
      <c r="BP386" t="str">
        <f>IF($BO386="","",IFERROR(VLOOKUP($BO386,'01_Warehouse_Ledger'!$A:$N,4,FALSE),""))</f>
        <v/>
      </c>
      <c r="BQ386" t="str">
        <f>IF($BO386="","",IFERROR(VLOOKUP($BO386,'01_Warehouse_Ledger'!$A:$N,5,FALSE),""))</f>
        <v/>
      </c>
      <c r="BR386" t="str">
        <f>IF($BO386="","",IFERROR(VLOOKUP($BO386,'01_Warehouse_Ledger'!$A:$N,13,FALSE),""))</f>
        <v/>
      </c>
    </row>
    <row r="387" spans="4:70" ht="15" customHeight="1">
      <c r="D387" s="15" t="str">
        <f t="shared" si="33"/>
        <v/>
      </c>
      <c r="E387" s="15" t="str">
        <f t="shared" si="34"/>
        <v/>
      </c>
      <c r="F387" t="str">
        <f t="shared" si="35"/>
        <v/>
      </c>
      <c r="BL387" s="4" t="str">
        <f t="shared" si="36"/>
        <v/>
      </c>
      <c r="BM387" s="8" t="str">
        <f t="shared" si="37"/>
        <v/>
      </c>
      <c r="BP387" t="str">
        <f>IF($BO387="","",IFERROR(VLOOKUP($BO387,'01_Warehouse_Ledger'!$A:$N,4,FALSE),""))</f>
        <v/>
      </c>
      <c r="BQ387" t="str">
        <f>IF($BO387="","",IFERROR(VLOOKUP($BO387,'01_Warehouse_Ledger'!$A:$N,5,FALSE),""))</f>
        <v/>
      </c>
      <c r="BR387" t="str">
        <f>IF($BO387="","",IFERROR(VLOOKUP($BO387,'01_Warehouse_Ledger'!$A:$N,13,FALSE),""))</f>
        <v/>
      </c>
    </row>
    <row r="388" spans="4:70" ht="15" customHeight="1">
      <c r="D388" s="15" t="str">
        <f t="shared" si="33"/>
        <v/>
      </c>
      <c r="E388" s="15" t="str">
        <f t="shared" si="34"/>
        <v/>
      </c>
      <c r="F388" t="str">
        <f t="shared" si="35"/>
        <v/>
      </c>
      <c r="BL388" s="4" t="str">
        <f t="shared" si="36"/>
        <v/>
      </c>
      <c r="BM388" s="8" t="str">
        <f t="shared" si="37"/>
        <v/>
      </c>
      <c r="BP388" t="str">
        <f>IF($BO388="","",IFERROR(VLOOKUP($BO388,'01_Warehouse_Ledger'!$A:$N,4,FALSE),""))</f>
        <v/>
      </c>
      <c r="BQ388" t="str">
        <f>IF($BO388="","",IFERROR(VLOOKUP($BO388,'01_Warehouse_Ledger'!$A:$N,5,FALSE),""))</f>
        <v/>
      </c>
      <c r="BR388" t="str">
        <f>IF($BO388="","",IFERROR(VLOOKUP($BO388,'01_Warehouse_Ledger'!$A:$N,13,FALSE),""))</f>
        <v/>
      </c>
    </row>
    <row r="389" spans="4:70" ht="15" customHeight="1">
      <c r="D389" s="15" t="str">
        <f t="shared" si="33"/>
        <v/>
      </c>
      <c r="E389" s="15" t="str">
        <f t="shared" si="34"/>
        <v/>
      </c>
      <c r="F389" t="str">
        <f t="shared" si="35"/>
        <v/>
      </c>
      <c r="BL389" s="4" t="str">
        <f t="shared" si="36"/>
        <v/>
      </c>
      <c r="BM389" s="8" t="str">
        <f t="shared" si="37"/>
        <v/>
      </c>
      <c r="BP389" t="str">
        <f>IF($BO389="","",IFERROR(VLOOKUP($BO389,'01_Warehouse_Ledger'!$A:$N,4,FALSE),""))</f>
        <v/>
      </c>
      <c r="BQ389" t="str">
        <f>IF($BO389="","",IFERROR(VLOOKUP($BO389,'01_Warehouse_Ledger'!$A:$N,5,FALSE),""))</f>
        <v/>
      </c>
      <c r="BR389" t="str">
        <f>IF($BO389="","",IFERROR(VLOOKUP($BO389,'01_Warehouse_Ledger'!$A:$N,13,FALSE),""))</f>
        <v/>
      </c>
    </row>
    <row r="390" spans="4:70" ht="15" customHeight="1">
      <c r="D390" s="15" t="str">
        <f t="shared" si="33"/>
        <v/>
      </c>
      <c r="E390" s="15" t="str">
        <f t="shared" si="34"/>
        <v/>
      </c>
      <c r="F390" t="str">
        <f t="shared" si="35"/>
        <v/>
      </c>
      <c r="BL390" s="4" t="str">
        <f t="shared" si="36"/>
        <v/>
      </c>
      <c r="BM390" s="8" t="str">
        <f t="shared" si="37"/>
        <v/>
      </c>
      <c r="BP390" t="str">
        <f>IF($BO390="","",IFERROR(VLOOKUP($BO390,'01_Warehouse_Ledger'!$A:$N,4,FALSE),""))</f>
        <v/>
      </c>
      <c r="BQ390" t="str">
        <f>IF($BO390="","",IFERROR(VLOOKUP($BO390,'01_Warehouse_Ledger'!$A:$N,5,FALSE),""))</f>
        <v/>
      </c>
      <c r="BR390" t="str">
        <f>IF($BO390="","",IFERROR(VLOOKUP($BO390,'01_Warehouse_Ledger'!$A:$N,13,FALSE),""))</f>
        <v/>
      </c>
    </row>
    <row r="391" spans="4:70" ht="15" customHeight="1">
      <c r="D391" s="15" t="str">
        <f t="shared" si="33"/>
        <v/>
      </c>
      <c r="E391" s="15" t="str">
        <f t="shared" si="34"/>
        <v/>
      </c>
      <c r="F391" t="str">
        <f t="shared" si="35"/>
        <v/>
      </c>
      <c r="BL391" s="4" t="str">
        <f t="shared" si="36"/>
        <v/>
      </c>
      <c r="BM391" s="8" t="str">
        <f t="shared" si="37"/>
        <v/>
      </c>
      <c r="BP391" t="str">
        <f>IF($BO391="","",IFERROR(VLOOKUP($BO391,'01_Warehouse_Ledger'!$A:$N,4,FALSE),""))</f>
        <v/>
      </c>
      <c r="BQ391" t="str">
        <f>IF($BO391="","",IFERROR(VLOOKUP($BO391,'01_Warehouse_Ledger'!$A:$N,5,FALSE),""))</f>
        <v/>
      </c>
      <c r="BR391" t="str">
        <f>IF($BO391="","",IFERROR(VLOOKUP($BO391,'01_Warehouse_Ledger'!$A:$N,13,FALSE),""))</f>
        <v/>
      </c>
    </row>
    <row r="392" spans="4:70" ht="15" customHeight="1">
      <c r="D392" s="15" t="str">
        <f t="shared" si="33"/>
        <v/>
      </c>
      <c r="E392" s="15" t="str">
        <f t="shared" si="34"/>
        <v/>
      </c>
      <c r="F392" t="str">
        <f t="shared" si="35"/>
        <v/>
      </c>
      <c r="BL392" s="4" t="str">
        <f t="shared" si="36"/>
        <v/>
      </c>
      <c r="BM392" s="8" t="str">
        <f t="shared" si="37"/>
        <v/>
      </c>
      <c r="BP392" t="str">
        <f>IF($BO392="","",IFERROR(VLOOKUP($BO392,'01_Warehouse_Ledger'!$A:$N,4,FALSE),""))</f>
        <v/>
      </c>
      <c r="BQ392" t="str">
        <f>IF($BO392="","",IFERROR(VLOOKUP($BO392,'01_Warehouse_Ledger'!$A:$N,5,FALSE),""))</f>
        <v/>
      </c>
      <c r="BR392" t="str">
        <f>IF($BO392="","",IFERROR(VLOOKUP($BO392,'01_Warehouse_Ledger'!$A:$N,13,FALSE),""))</f>
        <v/>
      </c>
    </row>
    <row r="393" spans="4:70" ht="15" customHeight="1">
      <c r="D393" s="15" t="str">
        <f t="shared" si="33"/>
        <v/>
      </c>
      <c r="E393" s="15" t="str">
        <f t="shared" si="34"/>
        <v/>
      </c>
      <c r="F393" t="str">
        <f t="shared" si="35"/>
        <v/>
      </c>
      <c r="BL393" s="4" t="str">
        <f t="shared" si="36"/>
        <v/>
      </c>
      <c r="BM393" s="8" t="str">
        <f t="shared" si="37"/>
        <v/>
      </c>
      <c r="BP393" t="str">
        <f>IF($BO393="","",IFERROR(VLOOKUP($BO393,'01_Warehouse_Ledger'!$A:$N,4,FALSE),""))</f>
        <v/>
      </c>
      <c r="BQ393" t="str">
        <f>IF($BO393="","",IFERROR(VLOOKUP($BO393,'01_Warehouse_Ledger'!$A:$N,5,FALSE),""))</f>
        <v/>
      </c>
      <c r="BR393" t="str">
        <f>IF($BO393="","",IFERROR(VLOOKUP($BO393,'01_Warehouse_Ledger'!$A:$N,13,FALSE),""))</f>
        <v/>
      </c>
    </row>
    <row r="394" spans="4:70" ht="15" customHeight="1">
      <c r="D394" s="15" t="str">
        <f t="shared" si="33"/>
        <v/>
      </c>
      <c r="E394" s="15" t="str">
        <f t="shared" si="34"/>
        <v/>
      </c>
      <c r="F394" t="str">
        <f t="shared" si="35"/>
        <v/>
      </c>
      <c r="BL394" s="4" t="str">
        <f t="shared" si="36"/>
        <v/>
      </c>
      <c r="BM394" s="8" t="str">
        <f t="shared" si="37"/>
        <v/>
      </c>
      <c r="BP394" t="str">
        <f>IF($BO394="","",IFERROR(VLOOKUP($BO394,'01_Warehouse_Ledger'!$A:$N,4,FALSE),""))</f>
        <v/>
      </c>
      <c r="BQ394" t="str">
        <f>IF($BO394="","",IFERROR(VLOOKUP($BO394,'01_Warehouse_Ledger'!$A:$N,5,FALSE),""))</f>
        <v/>
      </c>
      <c r="BR394" t="str">
        <f>IF($BO394="","",IFERROR(VLOOKUP($BO394,'01_Warehouse_Ledger'!$A:$N,13,FALSE),""))</f>
        <v/>
      </c>
    </row>
    <row r="395" spans="4:70" ht="15" customHeight="1">
      <c r="D395" s="15" t="str">
        <f t="shared" ref="D395:D458" si="38">IF($B395&lt;&gt;"Yes","",IF($C395="No","Yes",IF($C395="Yes","No","")))</f>
        <v/>
      </c>
      <c r="E395" s="15" t="str">
        <f t="shared" si="34"/>
        <v/>
      </c>
      <c r="F395" t="str">
        <f t="shared" si="35"/>
        <v/>
      </c>
      <c r="BL395" s="4" t="str">
        <f t="shared" si="36"/>
        <v/>
      </c>
      <c r="BM395" s="8" t="str">
        <f t="shared" si="37"/>
        <v/>
      </c>
      <c r="BP395" t="str">
        <f>IF($BO395="","",IFERROR(VLOOKUP($BO395,'01_Warehouse_Ledger'!$A:$N,4,FALSE),""))</f>
        <v/>
      </c>
      <c r="BQ395" t="str">
        <f>IF($BO395="","",IFERROR(VLOOKUP($BO395,'01_Warehouse_Ledger'!$A:$N,5,FALSE),""))</f>
        <v/>
      </c>
      <c r="BR395" t="str">
        <f>IF($BO395="","",IFERROR(VLOOKUP($BO395,'01_Warehouse_Ledger'!$A:$N,13,FALSE),""))</f>
        <v/>
      </c>
    </row>
    <row r="396" spans="4:70" ht="15" customHeight="1">
      <c r="D396" s="15" t="str">
        <f t="shared" si="38"/>
        <v/>
      </c>
      <c r="E396" s="15" t="str">
        <f t="shared" si="34"/>
        <v/>
      </c>
      <c r="F396" t="str">
        <f t="shared" si="35"/>
        <v/>
      </c>
      <c r="BL396" s="4" t="str">
        <f t="shared" si="36"/>
        <v/>
      </c>
      <c r="BM396" s="8" t="str">
        <f t="shared" si="37"/>
        <v/>
      </c>
      <c r="BP396" t="str">
        <f>IF($BO396="","",IFERROR(VLOOKUP($BO396,'01_Warehouse_Ledger'!$A:$N,4,FALSE),""))</f>
        <v/>
      </c>
      <c r="BQ396" t="str">
        <f>IF($BO396="","",IFERROR(VLOOKUP($BO396,'01_Warehouse_Ledger'!$A:$N,5,FALSE),""))</f>
        <v/>
      </c>
      <c r="BR396" t="str">
        <f>IF($BO396="","",IFERROR(VLOOKUP($BO396,'01_Warehouse_Ledger'!$A:$N,13,FALSE),""))</f>
        <v/>
      </c>
    </row>
    <row r="397" spans="4:70" ht="15" customHeight="1">
      <c r="D397" s="15" t="str">
        <f t="shared" si="38"/>
        <v/>
      </c>
      <c r="E397" s="15" t="str">
        <f t="shared" si="34"/>
        <v/>
      </c>
      <c r="F397" t="str">
        <f t="shared" si="35"/>
        <v/>
      </c>
      <c r="BL397" s="4" t="str">
        <f t="shared" si="36"/>
        <v/>
      </c>
      <c r="BM397" s="8" t="str">
        <f t="shared" si="37"/>
        <v/>
      </c>
      <c r="BP397" t="str">
        <f>IF($BO397="","",IFERROR(VLOOKUP($BO397,'01_Warehouse_Ledger'!$A:$N,4,FALSE),""))</f>
        <v/>
      </c>
      <c r="BQ397" t="str">
        <f>IF($BO397="","",IFERROR(VLOOKUP($BO397,'01_Warehouse_Ledger'!$A:$N,5,FALSE),""))</f>
        <v/>
      </c>
      <c r="BR397" t="str">
        <f>IF($BO397="","",IFERROR(VLOOKUP($BO397,'01_Warehouse_Ledger'!$A:$N,13,FALSE),""))</f>
        <v/>
      </c>
    </row>
    <row r="398" spans="4:70" ht="15" customHeight="1">
      <c r="D398" s="15" t="str">
        <f t="shared" si="38"/>
        <v/>
      </c>
      <c r="E398" s="15" t="str">
        <f t="shared" si="34"/>
        <v/>
      </c>
      <c r="F398" t="str">
        <f t="shared" si="35"/>
        <v/>
      </c>
      <c r="BL398" s="4" t="str">
        <f t="shared" si="36"/>
        <v/>
      </c>
      <c r="BM398" s="8" t="str">
        <f t="shared" si="37"/>
        <v/>
      </c>
      <c r="BP398" t="str">
        <f>IF($BO398="","",IFERROR(VLOOKUP($BO398,'01_Warehouse_Ledger'!$A:$N,4,FALSE),""))</f>
        <v/>
      </c>
      <c r="BQ398" t="str">
        <f>IF($BO398="","",IFERROR(VLOOKUP($BO398,'01_Warehouse_Ledger'!$A:$N,5,FALSE),""))</f>
        <v/>
      </c>
      <c r="BR398" t="str">
        <f>IF($BO398="","",IFERROR(VLOOKUP($BO398,'01_Warehouse_Ledger'!$A:$N,13,FALSE),""))</f>
        <v/>
      </c>
    </row>
    <row r="399" spans="4:70" ht="15" customHeight="1">
      <c r="D399" s="15" t="str">
        <f t="shared" si="38"/>
        <v/>
      </c>
      <c r="E399" s="15" t="str">
        <f t="shared" si="34"/>
        <v/>
      </c>
      <c r="F399" t="str">
        <f t="shared" si="35"/>
        <v/>
      </c>
      <c r="BL399" s="4" t="str">
        <f t="shared" si="36"/>
        <v/>
      </c>
      <c r="BM399" s="8" t="str">
        <f t="shared" si="37"/>
        <v/>
      </c>
      <c r="BP399" t="str">
        <f>IF($BO399="","",IFERROR(VLOOKUP($BO399,'01_Warehouse_Ledger'!$A:$N,4,FALSE),""))</f>
        <v/>
      </c>
      <c r="BQ399" t="str">
        <f>IF($BO399="","",IFERROR(VLOOKUP($BO399,'01_Warehouse_Ledger'!$A:$N,5,FALSE),""))</f>
        <v/>
      </c>
      <c r="BR399" t="str">
        <f>IF($BO399="","",IFERROR(VLOOKUP($BO399,'01_Warehouse_Ledger'!$A:$N,13,FALSE),""))</f>
        <v/>
      </c>
    </row>
    <row r="400" spans="4:70" ht="15" customHeight="1">
      <c r="D400" s="15" t="str">
        <f t="shared" si="38"/>
        <v/>
      </c>
      <c r="E400" s="15" t="str">
        <f t="shared" si="34"/>
        <v/>
      </c>
      <c r="F400" t="str">
        <f t="shared" si="35"/>
        <v/>
      </c>
      <c r="BL400" s="4" t="str">
        <f t="shared" si="36"/>
        <v/>
      </c>
      <c r="BM400" s="8" t="str">
        <f t="shared" si="37"/>
        <v/>
      </c>
      <c r="BP400" t="str">
        <f>IF($BO400="","",IFERROR(VLOOKUP($BO400,'01_Warehouse_Ledger'!$A:$N,4,FALSE),""))</f>
        <v/>
      </c>
      <c r="BQ400" t="str">
        <f>IF($BO400="","",IFERROR(VLOOKUP($BO400,'01_Warehouse_Ledger'!$A:$N,5,FALSE),""))</f>
        <v/>
      </c>
      <c r="BR400" t="str">
        <f>IF($BO400="","",IFERROR(VLOOKUP($BO400,'01_Warehouse_Ledger'!$A:$N,13,FALSE),""))</f>
        <v/>
      </c>
    </row>
    <row r="401" spans="4:70" ht="15" customHeight="1">
      <c r="D401" s="15" t="str">
        <f t="shared" si="38"/>
        <v/>
      </c>
      <c r="E401" s="15" t="str">
        <f t="shared" si="34"/>
        <v/>
      </c>
      <c r="F401" t="str">
        <f t="shared" si="35"/>
        <v/>
      </c>
      <c r="BL401" s="4" t="str">
        <f t="shared" si="36"/>
        <v/>
      </c>
      <c r="BM401" s="8" t="str">
        <f t="shared" si="37"/>
        <v/>
      </c>
      <c r="BP401" t="str">
        <f>IF($BO401="","",IFERROR(VLOOKUP($BO401,'01_Warehouse_Ledger'!$A:$N,4,FALSE),""))</f>
        <v/>
      </c>
      <c r="BQ401" t="str">
        <f>IF($BO401="","",IFERROR(VLOOKUP($BO401,'01_Warehouse_Ledger'!$A:$N,5,FALSE),""))</f>
        <v/>
      </c>
      <c r="BR401" t="str">
        <f>IF($BO401="","",IFERROR(VLOOKUP($BO401,'01_Warehouse_Ledger'!$A:$N,13,FALSE),""))</f>
        <v/>
      </c>
    </row>
    <row r="402" spans="4:70" ht="15" customHeight="1">
      <c r="D402" s="15" t="str">
        <f t="shared" si="38"/>
        <v/>
      </c>
      <c r="E402" s="15" t="str">
        <f t="shared" si="34"/>
        <v/>
      </c>
      <c r="F402" t="str">
        <f t="shared" si="35"/>
        <v/>
      </c>
      <c r="BL402" s="4" t="str">
        <f t="shared" si="36"/>
        <v/>
      </c>
      <c r="BM402" s="8" t="str">
        <f t="shared" si="37"/>
        <v/>
      </c>
      <c r="BP402" t="str">
        <f>IF($BO402="","",IFERROR(VLOOKUP($BO402,'01_Warehouse_Ledger'!$A:$N,4,FALSE),""))</f>
        <v/>
      </c>
      <c r="BQ402" t="str">
        <f>IF($BO402="","",IFERROR(VLOOKUP($BO402,'01_Warehouse_Ledger'!$A:$N,5,FALSE),""))</f>
        <v/>
      </c>
      <c r="BR402" t="str">
        <f>IF($BO402="","",IFERROR(VLOOKUP($BO402,'01_Warehouse_Ledger'!$A:$N,13,FALSE),""))</f>
        <v/>
      </c>
    </row>
    <row r="403" spans="4:70" ht="15" customHeight="1">
      <c r="D403" s="15" t="str">
        <f t="shared" si="38"/>
        <v/>
      </c>
      <c r="E403" s="15" t="str">
        <f t="shared" si="34"/>
        <v/>
      </c>
      <c r="F403" t="str">
        <f t="shared" si="35"/>
        <v/>
      </c>
      <c r="BL403" s="4" t="str">
        <f t="shared" si="36"/>
        <v/>
      </c>
      <c r="BM403" s="8" t="str">
        <f t="shared" si="37"/>
        <v/>
      </c>
      <c r="BP403" t="str">
        <f>IF($BO403="","",IFERROR(VLOOKUP($BO403,'01_Warehouse_Ledger'!$A:$N,4,FALSE),""))</f>
        <v/>
      </c>
      <c r="BQ403" t="str">
        <f>IF($BO403="","",IFERROR(VLOOKUP($BO403,'01_Warehouse_Ledger'!$A:$N,5,FALSE),""))</f>
        <v/>
      </c>
      <c r="BR403" t="str">
        <f>IF($BO403="","",IFERROR(VLOOKUP($BO403,'01_Warehouse_Ledger'!$A:$N,13,FALSE),""))</f>
        <v/>
      </c>
    </row>
    <row r="404" spans="4:70" ht="15" customHeight="1">
      <c r="D404" s="15" t="str">
        <f t="shared" si="38"/>
        <v/>
      </c>
      <c r="E404" s="15" t="str">
        <f t="shared" si="34"/>
        <v/>
      </c>
      <c r="F404" t="str">
        <f t="shared" si="35"/>
        <v/>
      </c>
      <c r="BL404" s="4" t="str">
        <f t="shared" si="36"/>
        <v/>
      </c>
      <c r="BM404" s="8" t="str">
        <f t="shared" si="37"/>
        <v/>
      </c>
      <c r="BP404" t="str">
        <f>IF($BO404="","",IFERROR(VLOOKUP($BO404,'01_Warehouse_Ledger'!$A:$N,4,FALSE),""))</f>
        <v/>
      </c>
      <c r="BQ404" t="str">
        <f>IF($BO404="","",IFERROR(VLOOKUP($BO404,'01_Warehouse_Ledger'!$A:$N,5,FALSE),""))</f>
        <v/>
      </c>
      <c r="BR404" t="str">
        <f>IF($BO404="","",IFERROR(VLOOKUP($BO404,'01_Warehouse_Ledger'!$A:$N,13,FALSE),""))</f>
        <v/>
      </c>
    </row>
    <row r="405" spans="4:70" ht="15" customHeight="1">
      <c r="D405" s="15" t="str">
        <f t="shared" si="38"/>
        <v/>
      </c>
      <c r="E405" s="15" t="str">
        <f t="shared" si="34"/>
        <v/>
      </c>
      <c r="F405" t="str">
        <f t="shared" si="35"/>
        <v/>
      </c>
      <c r="BL405" s="4" t="str">
        <f t="shared" si="36"/>
        <v/>
      </c>
      <c r="BM405" s="8" t="str">
        <f t="shared" si="37"/>
        <v/>
      </c>
      <c r="BP405" t="str">
        <f>IF($BO405="","",IFERROR(VLOOKUP($BO405,'01_Warehouse_Ledger'!$A:$N,4,FALSE),""))</f>
        <v/>
      </c>
      <c r="BQ405" t="str">
        <f>IF($BO405="","",IFERROR(VLOOKUP($BO405,'01_Warehouse_Ledger'!$A:$N,5,FALSE),""))</f>
        <v/>
      </c>
      <c r="BR405" t="str">
        <f>IF($BO405="","",IFERROR(VLOOKUP($BO405,'01_Warehouse_Ledger'!$A:$N,13,FALSE),""))</f>
        <v/>
      </c>
    </row>
    <row r="406" spans="4:70" ht="15" customHeight="1">
      <c r="D406" s="15" t="str">
        <f t="shared" si="38"/>
        <v/>
      </c>
      <c r="E406" s="15" t="str">
        <f t="shared" si="34"/>
        <v/>
      </c>
      <c r="F406" t="str">
        <f t="shared" si="35"/>
        <v/>
      </c>
      <c r="BL406" s="4" t="str">
        <f t="shared" si="36"/>
        <v/>
      </c>
      <c r="BM406" s="8" t="str">
        <f t="shared" si="37"/>
        <v/>
      </c>
      <c r="BP406" t="str">
        <f>IF($BO406="","",IFERROR(VLOOKUP($BO406,'01_Warehouse_Ledger'!$A:$N,4,FALSE),""))</f>
        <v/>
      </c>
      <c r="BQ406" t="str">
        <f>IF($BO406="","",IFERROR(VLOOKUP($BO406,'01_Warehouse_Ledger'!$A:$N,5,FALSE),""))</f>
        <v/>
      </c>
      <c r="BR406" t="str">
        <f>IF($BO406="","",IFERROR(VLOOKUP($BO406,'01_Warehouse_Ledger'!$A:$N,13,FALSE),""))</f>
        <v/>
      </c>
    </row>
    <row r="407" spans="4:70" ht="15" customHeight="1">
      <c r="D407" s="15" t="str">
        <f t="shared" si="38"/>
        <v/>
      </c>
      <c r="E407" s="15" t="str">
        <f t="shared" si="34"/>
        <v/>
      </c>
      <c r="F407" t="str">
        <f t="shared" si="35"/>
        <v/>
      </c>
      <c r="BL407" s="4" t="str">
        <f t="shared" si="36"/>
        <v/>
      </c>
      <c r="BM407" s="8" t="str">
        <f t="shared" si="37"/>
        <v/>
      </c>
      <c r="BP407" t="str">
        <f>IF($BO407="","",IFERROR(VLOOKUP($BO407,'01_Warehouse_Ledger'!$A:$N,4,FALSE),""))</f>
        <v/>
      </c>
      <c r="BQ407" t="str">
        <f>IF($BO407="","",IFERROR(VLOOKUP($BO407,'01_Warehouse_Ledger'!$A:$N,5,FALSE),""))</f>
        <v/>
      </c>
      <c r="BR407" t="str">
        <f>IF($BO407="","",IFERROR(VLOOKUP($BO407,'01_Warehouse_Ledger'!$A:$N,13,FALSE),""))</f>
        <v/>
      </c>
    </row>
    <row r="408" spans="4:70" ht="15" customHeight="1">
      <c r="D408" s="15" t="str">
        <f t="shared" si="38"/>
        <v/>
      </c>
      <c r="E408" s="15" t="str">
        <f t="shared" si="34"/>
        <v/>
      </c>
      <c r="F408" t="str">
        <f t="shared" si="35"/>
        <v/>
      </c>
      <c r="BL408" s="4" t="str">
        <f t="shared" si="36"/>
        <v/>
      </c>
      <c r="BM408" s="8" t="str">
        <f t="shared" si="37"/>
        <v/>
      </c>
      <c r="BP408" t="str">
        <f>IF($BO408="","",IFERROR(VLOOKUP($BO408,'01_Warehouse_Ledger'!$A:$N,4,FALSE),""))</f>
        <v/>
      </c>
      <c r="BQ408" t="str">
        <f>IF($BO408="","",IFERROR(VLOOKUP($BO408,'01_Warehouse_Ledger'!$A:$N,5,FALSE),""))</f>
        <v/>
      </c>
      <c r="BR408" t="str">
        <f>IF($BO408="","",IFERROR(VLOOKUP($BO408,'01_Warehouse_Ledger'!$A:$N,13,FALSE),""))</f>
        <v/>
      </c>
    </row>
    <row r="409" spans="4:70" ht="15" customHeight="1">
      <c r="D409" s="15" t="str">
        <f t="shared" si="38"/>
        <v/>
      </c>
      <c r="E409" s="15" t="str">
        <f t="shared" si="34"/>
        <v/>
      </c>
      <c r="F409" t="str">
        <f t="shared" si="35"/>
        <v/>
      </c>
      <c r="BL409" s="4" t="str">
        <f t="shared" si="36"/>
        <v/>
      </c>
      <c r="BM409" s="8" t="str">
        <f t="shared" si="37"/>
        <v/>
      </c>
      <c r="BP409" t="str">
        <f>IF($BO409="","",IFERROR(VLOOKUP($BO409,'01_Warehouse_Ledger'!$A:$N,4,FALSE),""))</f>
        <v/>
      </c>
      <c r="BQ409" t="str">
        <f>IF($BO409="","",IFERROR(VLOOKUP($BO409,'01_Warehouse_Ledger'!$A:$N,5,FALSE),""))</f>
        <v/>
      </c>
      <c r="BR409" t="str">
        <f>IF($BO409="","",IFERROR(VLOOKUP($BO409,'01_Warehouse_Ledger'!$A:$N,13,FALSE),""))</f>
        <v/>
      </c>
    </row>
    <row r="410" spans="4:70" ht="15" customHeight="1">
      <c r="D410" s="15" t="str">
        <f t="shared" si="38"/>
        <v/>
      </c>
      <c r="E410" s="15" t="str">
        <f t="shared" si="34"/>
        <v/>
      </c>
      <c r="F410" t="str">
        <f t="shared" si="35"/>
        <v/>
      </c>
      <c r="BL410" s="4" t="str">
        <f t="shared" si="36"/>
        <v/>
      </c>
      <c r="BM410" s="8" t="str">
        <f t="shared" si="37"/>
        <v/>
      </c>
      <c r="BP410" t="str">
        <f>IF($BO410="","",IFERROR(VLOOKUP($BO410,'01_Warehouse_Ledger'!$A:$N,4,FALSE),""))</f>
        <v/>
      </c>
      <c r="BQ410" t="str">
        <f>IF($BO410="","",IFERROR(VLOOKUP($BO410,'01_Warehouse_Ledger'!$A:$N,5,FALSE),""))</f>
        <v/>
      </c>
      <c r="BR410" t="str">
        <f>IF($BO410="","",IFERROR(VLOOKUP($BO410,'01_Warehouse_Ledger'!$A:$N,13,FALSE),""))</f>
        <v/>
      </c>
    </row>
    <row r="411" spans="4:70" ht="15" customHeight="1">
      <c r="D411" s="15" t="str">
        <f t="shared" si="38"/>
        <v/>
      </c>
      <c r="E411" s="15" t="str">
        <f t="shared" si="34"/>
        <v/>
      </c>
      <c r="F411" t="str">
        <f t="shared" si="35"/>
        <v/>
      </c>
      <c r="BL411" s="4" t="str">
        <f t="shared" si="36"/>
        <v/>
      </c>
      <c r="BM411" s="8" t="str">
        <f t="shared" si="37"/>
        <v/>
      </c>
      <c r="BP411" t="str">
        <f>IF($BO411="","",IFERROR(VLOOKUP($BO411,'01_Warehouse_Ledger'!$A:$N,4,FALSE),""))</f>
        <v/>
      </c>
      <c r="BQ411" t="str">
        <f>IF($BO411="","",IFERROR(VLOOKUP($BO411,'01_Warehouse_Ledger'!$A:$N,5,FALSE),""))</f>
        <v/>
      </c>
      <c r="BR411" t="str">
        <f>IF($BO411="","",IFERROR(VLOOKUP($BO411,'01_Warehouse_Ledger'!$A:$N,13,FALSE),""))</f>
        <v/>
      </c>
    </row>
    <row r="412" spans="4:70" ht="15" customHeight="1">
      <c r="D412" s="15" t="str">
        <f t="shared" si="38"/>
        <v/>
      </c>
      <c r="E412" s="15" t="str">
        <f t="shared" si="34"/>
        <v/>
      </c>
      <c r="F412" t="str">
        <f t="shared" si="35"/>
        <v/>
      </c>
      <c r="BL412" s="4" t="str">
        <f t="shared" si="36"/>
        <v/>
      </c>
      <c r="BM412" s="8" t="str">
        <f t="shared" si="37"/>
        <v/>
      </c>
      <c r="BP412" t="str">
        <f>IF($BO412="","",IFERROR(VLOOKUP($BO412,'01_Warehouse_Ledger'!$A:$N,4,FALSE),""))</f>
        <v/>
      </c>
      <c r="BQ412" t="str">
        <f>IF($BO412="","",IFERROR(VLOOKUP($BO412,'01_Warehouse_Ledger'!$A:$N,5,FALSE),""))</f>
        <v/>
      </c>
      <c r="BR412" t="str">
        <f>IF($BO412="","",IFERROR(VLOOKUP($BO412,'01_Warehouse_Ledger'!$A:$N,13,FALSE),""))</f>
        <v/>
      </c>
    </row>
    <row r="413" spans="4:70" ht="15" customHeight="1">
      <c r="D413" s="15" t="str">
        <f t="shared" si="38"/>
        <v/>
      </c>
      <c r="E413" s="15" t="str">
        <f t="shared" si="34"/>
        <v/>
      </c>
      <c r="F413" t="str">
        <f t="shared" si="35"/>
        <v/>
      </c>
      <c r="BL413" s="4" t="str">
        <f t="shared" si="36"/>
        <v/>
      </c>
      <c r="BM413" s="8" t="str">
        <f t="shared" si="37"/>
        <v/>
      </c>
      <c r="BP413" t="str">
        <f>IF($BO413="","",IFERROR(VLOOKUP($BO413,'01_Warehouse_Ledger'!$A:$N,4,FALSE),""))</f>
        <v/>
      </c>
      <c r="BQ413" t="str">
        <f>IF($BO413="","",IFERROR(VLOOKUP($BO413,'01_Warehouse_Ledger'!$A:$N,5,FALSE),""))</f>
        <v/>
      </c>
      <c r="BR413" t="str">
        <f>IF($BO413="","",IFERROR(VLOOKUP($BO413,'01_Warehouse_Ledger'!$A:$N,13,FALSE),""))</f>
        <v/>
      </c>
    </row>
    <row r="414" spans="4:70" ht="15" customHeight="1">
      <c r="D414" s="15" t="str">
        <f t="shared" si="38"/>
        <v/>
      </c>
      <c r="E414" s="15" t="str">
        <f t="shared" si="34"/>
        <v/>
      </c>
      <c r="F414" t="str">
        <f t="shared" si="35"/>
        <v/>
      </c>
      <c r="BL414" s="4" t="str">
        <f t="shared" si="36"/>
        <v/>
      </c>
      <c r="BM414" s="8" t="str">
        <f t="shared" si="37"/>
        <v/>
      </c>
      <c r="BP414" t="str">
        <f>IF($BO414="","",IFERROR(VLOOKUP($BO414,'01_Warehouse_Ledger'!$A:$N,4,FALSE),""))</f>
        <v/>
      </c>
      <c r="BQ414" t="str">
        <f>IF($BO414="","",IFERROR(VLOOKUP($BO414,'01_Warehouse_Ledger'!$A:$N,5,FALSE),""))</f>
        <v/>
      </c>
      <c r="BR414" t="str">
        <f>IF($BO414="","",IFERROR(VLOOKUP($BO414,'01_Warehouse_Ledger'!$A:$N,13,FALSE),""))</f>
        <v/>
      </c>
    </row>
    <row r="415" spans="4:70" ht="15" customHeight="1">
      <c r="D415" s="15" t="str">
        <f t="shared" si="38"/>
        <v/>
      </c>
      <c r="E415" s="15" t="str">
        <f t="shared" si="34"/>
        <v/>
      </c>
      <c r="F415" t="str">
        <f t="shared" si="35"/>
        <v/>
      </c>
      <c r="BL415" s="4" t="str">
        <f t="shared" si="36"/>
        <v/>
      </c>
      <c r="BM415" s="8" t="str">
        <f t="shared" si="37"/>
        <v/>
      </c>
      <c r="BP415" t="str">
        <f>IF($BO415="","",IFERROR(VLOOKUP($BO415,'01_Warehouse_Ledger'!$A:$N,4,FALSE),""))</f>
        <v/>
      </c>
      <c r="BQ415" t="str">
        <f>IF($BO415="","",IFERROR(VLOOKUP($BO415,'01_Warehouse_Ledger'!$A:$N,5,FALSE),""))</f>
        <v/>
      </c>
      <c r="BR415" t="str">
        <f>IF($BO415="","",IFERROR(VLOOKUP($BO415,'01_Warehouse_Ledger'!$A:$N,13,FALSE),""))</f>
        <v/>
      </c>
    </row>
    <row r="416" spans="4:70" ht="15" customHeight="1">
      <c r="D416" s="15" t="str">
        <f t="shared" si="38"/>
        <v/>
      </c>
      <c r="E416" s="15" t="str">
        <f t="shared" si="34"/>
        <v/>
      </c>
      <c r="F416" t="str">
        <f t="shared" si="35"/>
        <v/>
      </c>
      <c r="BL416" s="4" t="str">
        <f t="shared" si="36"/>
        <v/>
      </c>
      <c r="BM416" s="8" t="str">
        <f t="shared" si="37"/>
        <v/>
      </c>
      <c r="BP416" t="str">
        <f>IF($BO416="","",IFERROR(VLOOKUP($BO416,'01_Warehouse_Ledger'!$A:$N,4,FALSE),""))</f>
        <v/>
      </c>
      <c r="BQ416" t="str">
        <f>IF($BO416="","",IFERROR(VLOOKUP($BO416,'01_Warehouse_Ledger'!$A:$N,5,FALSE),""))</f>
        <v/>
      </c>
      <c r="BR416" t="str">
        <f>IF($BO416="","",IFERROR(VLOOKUP($BO416,'01_Warehouse_Ledger'!$A:$N,13,FALSE),""))</f>
        <v/>
      </c>
    </row>
    <row r="417" spans="4:70" ht="15" customHeight="1">
      <c r="D417" s="15" t="str">
        <f t="shared" si="38"/>
        <v/>
      </c>
      <c r="E417" s="15" t="str">
        <f t="shared" si="34"/>
        <v/>
      </c>
      <c r="F417" t="str">
        <f t="shared" si="35"/>
        <v/>
      </c>
      <c r="BL417" s="4" t="str">
        <f t="shared" si="36"/>
        <v/>
      </c>
      <c r="BM417" s="8" t="str">
        <f t="shared" si="37"/>
        <v/>
      </c>
      <c r="BP417" t="str">
        <f>IF($BO417="","",IFERROR(VLOOKUP($BO417,'01_Warehouse_Ledger'!$A:$N,4,FALSE),""))</f>
        <v/>
      </c>
      <c r="BQ417" t="str">
        <f>IF($BO417="","",IFERROR(VLOOKUP($BO417,'01_Warehouse_Ledger'!$A:$N,5,FALSE),""))</f>
        <v/>
      </c>
      <c r="BR417" t="str">
        <f>IF($BO417="","",IFERROR(VLOOKUP($BO417,'01_Warehouse_Ledger'!$A:$N,13,FALSE),""))</f>
        <v/>
      </c>
    </row>
    <row r="418" spans="4:70" ht="15" customHeight="1">
      <c r="D418" s="15" t="str">
        <f t="shared" si="38"/>
        <v/>
      </c>
      <c r="E418" s="15" t="str">
        <f t="shared" si="34"/>
        <v/>
      </c>
      <c r="F418" t="str">
        <f t="shared" si="35"/>
        <v/>
      </c>
      <c r="BL418" s="4" t="str">
        <f t="shared" si="36"/>
        <v/>
      </c>
      <c r="BM418" s="8" t="str">
        <f t="shared" si="37"/>
        <v/>
      </c>
      <c r="BP418" t="str">
        <f>IF($BO418="","",IFERROR(VLOOKUP($BO418,'01_Warehouse_Ledger'!$A:$N,4,FALSE),""))</f>
        <v/>
      </c>
      <c r="BQ418" t="str">
        <f>IF($BO418="","",IFERROR(VLOOKUP($BO418,'01_Warehouse_Ledger'!$A:$N,5,FALSE),""))</f>
        <v/>
      </c>
      <c r="BR418" t="str">
        <f>IF($BO418="","",IFERROR(VLOOKUP($BO418,'01_Warehouse_Ledger'!$A:$N,13,FALSE),""))</f>
        <v/>
      </c>
    </row>
    <row r="419" spans="4:70" ht="15" customHeight="1">
      <c r="D419" s="15" t="str">
        <f t="shared" si="38"/>
        <v/>
      </c>
      <c r="E419" s="15" t="str">
        <f t="shared" ref="E419:E482" si="39">IF($A419="","",IF($A419="Neuron",IF(OR(AND($S419&lt;&gt;"",LOWER(TRIM($S419))&lt;&gt;"n/a",COUNTIF($S$2:$S$528,$S419)&gt;1),AND($T419&lt;&gt;"",LOWER(TRIM($T419))&lt;&gt;"n/a",COUNTIF($T$2:$T$528,$T419)&gt;1),AND($W419&lt;&gt;"",LOWER(TRIM($W419))&lt;&gt;"n/a",COUNTIF($W$2:$W$528,$W419)&gt;1)),"Yes","No"),IF($A419="Cybernet",IF(OR(AND($Y419&lt;&gt;"",LOWER(TRIM($Y419))&lt;&gt;"n/a",COUNTIF($Y$2:$Y$528,$Y419)&gt;1),AND($Z419&lt;&gt;"",LOWER(TRIM($Z419))&lt;&gt;"n/a",COUNTIF($Z$2:$Z$528,$Z419)&gt;1)),"Yes","No"),IF(AND($AL419&lt;&gt;"",LOWER(TRIM($AL419))&lt;&gt;"n/a",COUNTIF($AL$2:$AL$528,$AL419)&gt;1),"Yes","No"))))</f>
        <v/>
      </c>
      <c r="F419" t="str">
        <f t="shared" ref="F419:F482" si="40">IF($B419&lt;&gt;"Yes","",
IF($A419="Neuron",
IF(OR(
AND($S419&lt;&gt;"",LOWER(TRIM($S419))&lt;&gt;"n/a",COUNTIFS($B$2:$B$528,"Yes",$A$2:$A$528,"Neuron",$S$2:$S$528,$S419)&gt;1),
AND($T419&lt;&gt;"",LOWER(TRIM($T419))&lt;&gt;"n/a",COUNTIFS($B$2:$B$528,"Yes",$A$2:$A$528,"Neuron",$T$2:$T$528,$T419)&gt;1),
AND($W419&lt;&gt;"",LOWER(TRIM($W419))&lt;&gt;"n/a",COUNTIFS($B$2:$B$528,"Yes",$A$2:$A$528,"Neuron",$W$2:$W$528,$W419)&gt;1)
),"Yes","No"),
IF($A419="Cybernet",
IF(OR(
AND($Y419&lt;&gt;"",LOWER(TRIM($Y419))&lt;&gt;"n/a",COUNTIFS($B$2:$B$528,"Yes",$A$2:$A$528,"Cybernet",$Y$2:$Y$528,$Y419)&gt;1),
AND($Z419&lt;&gt;"",LOWER(TRIM($Z419))&lt;&gt;"n/a",COUNTIFS($B$2:$B$528,"Yes",$A$2:$A$528,"Cybernet",$Z$2:$Z$528,$Z419)&gt;1)
),"Yes","No"),
IF(AND($AL419&lt;&gt;"",LOWER(TRIM($AL419))&lt;&gt;"n/a"),
IF(COUNTIFS($B$2:$B$528,"Yes",$A$2:$A$528,$A419,$AL$2:$AL$528,$AL419)&gt;1,"Yes","No"),
"No")
)
)
)</f>
        <v/>
      </c>
      <c r="BL419" s="4" t="str">
        <f t="shared" si="36"/>
        <v/>
      </c>
      <c r="BM419" s="8" t="str">
        <f t="shared" si="37"/>
        <v/>
      </c>
      <c r="BP419" t="str">
        <f>IF($BO419="","",IFERROR(VLOOKUP($BO419,'01_Warehouse_Ledger'!$A:$N,4,FALSE),""))</f>
        <v/>
      </c>
      <c r="BQ419" t="str">
        <f>IF($BO419="","",IFERROR(VLOOKUP($BO419,'01_Warehouse_Ledger'!$A:$N,5,FALSE),""))</f>
        <v/>
      </c>
      <c r="BR419" t="str">
        <f>IF($BO419="","",IFERROR(VLOOKUP($BO419,'01_Warehouse_Ledger'!$A:$N,13,FALSE),""))</f>
        <v/>
      </c>
    </row>
    <row r="420" spans="4:70" ht="15" customHeight="1">
      <c r="D420" s="15" t="str">
        <f t="shared" si="38"/>
        <v/>
      </c>
      <c r="E420" s="15" t="str">
        <f t="shared" si="39"/>
        <v/>
      </c>
      <c r="F420" t="str">
        <f t="shared" si="40"/>
        <v/>
      </c>
      <c r="BL420" s="4" t="str">
        <f t="shared" si="36"/>
        <v/>
      </c>
      <c r="BM420" s="8" t="str">
        <f t="shared" si="37"/>
        <v/>
      </c>
      <c r="BP420" t="str">
        <f>IF($BO420="","",IFERROR(VLOOKUP($BO420,'01_Warehouse_Ledger'!$A:$N,4,FALSE),""))</f>
        <v/>
      </c>
      <c r="BQ420" t="str">
        <f>IF($BO420="","",IFERROR(VLOOKUP($BO420,'01_Warehouse_Ledger'!$A:$N,5,FALSE),""))</f>
        <v/>
      </c>
      <c r="BR420" t="str">
        <f>IF($BO420="","",IFERROR(VLOOKUP($BO420,'01_Warehouse_Ledger'!$A:$N,13,FALSE),""))</f>
        <v/>
      </c>
    </row>
    <row r="421" spans="4:70" ht="15" customHeight="1">
      <c r="D421" s="15" t="str">
        <f t="shared" si="38"/>
        <v/>
      </c>
      <c r="E421" s="15" t="str">
        <f t="shared" si="39"/>
        <v/>
      </c>
      <c r="F421" t="str">
        <f t="shared" si="40"/>
        <v/>
      </c>
      <c r="BL421" s="4" t="str">
        <f t="shared" si="36"/>
        <v/>
      </c>
      <c r="BM421" s="8" t="str">
        <f t="shared" si="37"/>
        <v/>
      </c>
      <c r="BP421" t="str">
        <f>IF($BO421="","",IFERROR(VLOOKUP($BO421,'01_Warehouse_Ledger'!$A:$N,4,FALSE),""))</f>
        <v/>
      </c>
      <c r="BQ421" t="str">
        <f>IF($BO421="","",IFERROR(VLOOKUP($BO421,'01_Warehouse_Ledger'!$A:$N,5,FALSE),""))</f>
        <v/>
      </c>
      <c r="BR421" t="str">
        <f>IF($BO421="","",IFERROR(VLOOKUP($BO421,'01_Warehouse_Ledger'!$A:$N,13,FALSE),""))</f>
        <v/>
      </c>
    </row>
    <row r="422" spans="4:70" ht="15" customHeight="1">
      <c r="D422" s="15" t="str">
        <f t="shared" si="38"/>
        <v/>
      </c>
      <c r="E422" s="15" t="str">
        <f t="shared" si="39"/>
        <v/>
      </c>
      <c r="F422" t="str">
        <f t="shared" si="40"/>
        <v/>
      </c>
      <c r="BL422" s="4" t="str">
        <f t="shared" si="36"/>
        <v/>
      </c>
      <c r="BM422" s="8" t="str">
        <f t="shared" si="37"/>
        <v/>
      </c>
      <c r="BP422" t="str">
        <f>IF($BO422="","",IFERROR(VLOOKUP($BO422,'01_Warehouse_Ledger'!$A:$N,4,FALSE),""))</f>
        <v/>
      </c>
      <c r="BQ422" t="str">
        <f>IF($BO422="","",IFERROR(VLOOKUP($BO422,'01_Warehouse_Ledger'!$A:$N,5,FALSE),""))</f>
        <v/>
      </c>
      <c r="BR422" t="str">
        <f>IF($BO422="","",IFERROR(VLOOKUP($BO422,'01_Warehouse_Ledger'!$A:$N,13,FALSE),""))</f>
        <v/>
      </c>
    </row>
    <row r="423" spans="4:70" ht="15" customHeight="1">
      <c r="D423" s="15" t="str">
        <f t="shared" si="38"/>
        <v/>
      </c>
      <c r="E423" s="15" t="str">
        <f t="shared" si="39"/>
        <v/>
      </c>
      <c r="F423" t="str">
        <f t="shared" si="40"/>
        <v/>
      </c>
      <c r="BL423" s="4" t="str">
        <f t="shared" si="36"/>
        <v/>
      </c>
      <c r="BM423" s="8" t="str">
        <f t="shared" si="37"/>
        <v/>
      </c>
      <c r="BP423" t="str">
        <f>IF($BO423="","",IFERROR(VLOOKUP($BO423,'01_Warehouse_Ledger'!$A:$N,4,FALSE),""))</f>
        <v/>
      </c>
      <c r="BQ423" t="str">
        <f>IF($BO423="","",IFERROR(VLOOKUP($BO423,'01_Warehouse_Ledger'!$A:$N,5,FALSE),""))</f>
        <v/>
      </c>
      <c r="BR423" t="str">
        <f>IF($BO423="","",IFERROR(VLOOKUP($BO423,'01_Warehouse_Ledger'!$A:$N,13,FALSE),""))</f>
        <v/>
      </c>
    </row>
    <row r="424" spans="4:70" ht="15" customHeight="1">
      <c r="D424" s="15" t="str">
        <f t="shared" si="38"/>
        <v/>
      </c>
      <c r="E424" s="15" t="str">
        <f t="shared" si="39"/>
        <v/>
      </c>
      <c r="F424" t="str">
        <f t="shared" si="40"/>
        <v/>
      </c>
      <c r="BL424" s="4" t="str">
        <f t="shared" si="36"/>
        <v/>
      </c>
      <c r="BM424" s="8" t="str">
        <f t="shared" si="37"/>
        <v/>
      </c>
      <c r="BP424" t="str">
        <f>IF($BO424="","",IFERROR(VLOOKUP($BO424,'01_Warehouse_Ledger'!$A:$N,4,FALSE),""))</f>
        <v/>
      </c>
      <c r="BQ424" t="str">
        <f>IF($BO424="","",IFERROR(VLOOKUP($BO424,'01_Warehouse_Ledger'!$A:$N,5,FALSE),""))</f>
        <v/>
      </c>
      <c r="BR424" t="str">
        <f>IF($BO424="","",IFERROR(VLOOKUP($BO424,'01_Warehouse_Ledger'!$A:$N,13,FALSE),""))</f>
        <v/>
      </c>
    </row>
    <row r="425" spans="4:70" ht="15" customHeight="1">
      <c r="D425" s="15" t="str">
        <f t="shared" si="38"/>
        <v/>
      </c>
      <c r="E425" s="15" t="str">
        <f t="shared" si="39"/>
        <v/>
      </c>
      <c r="F425" t="str">
        <f t="shared" si="40"/>
        <v/>
      </c>
      <c r="BL425" s="4" t="str">
        <f t="shared" si="36"/>
        <v/>
      </c>
      <c r="BM425" s="8" t="str">
        <f t="shared" si="37"/>
        <v/>
      </c>
      <c r="BP425" t="str">
        <f>IF($BO425="","",IFERROR(VLOOKUP($BO425,'01_Warehouse_Ledger'!$A:$N,4,FALSE),""))</f>
        <v/>
      </c>
      <c r="BQ425" t="str">
        <f>IF($BO425="","",IFERROR(VLOOKUP($BO425,'01_Warehouse_Ledger'!$A:$N,5,FALSE),""))</f>
        <v/>
      </c>
      <c r="BR425" t="str">
        <f>IF($BO425="","",IFERROR(VLOOKUP($BO425,'01_Warehouse_Ledger'!$A:$N,13,FALSE),""))</f>
        <v/>
      </c>
    </row>
    <row r="426" spans="4:70" ht="15" customHeight="1">
      <c r="D426" s="15" t="str">
        <f t="shared" si="38"/>
        <v/>
      </c>
      <c r="E426" s="15" t="str">
        <f t="shared" si="39"/>
        <v/>
      </c>
      <c r="F426" t="str">
        <f t="shared" si="40"/>
        <v/>
      </c>
      <c r="BL426" s="4" t="str">
        <f t="shared" si="36"/>
        <v/>
      </c>
      <c r="BM426" s="8" t="str">
        <f t="shared" si="37"/>
        <v/>
      </c>
      <c r="BP426" t="str">
        <f>IF($BO426="","",IFERROR(VLOOKUP($BO426,'01_Warehouse_Ledger'!$A:$N,4,FALSE),""))</f>
        <v/>
      </c>
      <c r="BQ426" t="str">
        <f>IF($BO426="","",IFERROR(VLOOKUP($BO426,'01_Warehouse_Ledger'!$A:$N,5,FALSE),""))</f>
        <v/>
      </c>
      <c r="BR426" t="str">
        <f>IF($BO426="","",IFERROR(VLOOKUP($BO426,'01_Warehouse_Ledger'!$A:$N,13,FALSE),""))</f>
        <v/>
      </c>
    </row>
    <row r="427" spans="4:70" ht="15" customHeight="1">
      <c r="D427" s="15" t="str">
        <f t="shared" si="38"/>
        <v/>
      </c>
      <c r="E427" s="15" t="str">
        <f t="shared" si="39"/>
        <v/>
      </c>
      <c r="F427" t="str">
        <f t="shared" si="40"/>
        <v/>
      </c>
      <c r="BL427" s="4" t="str">
        <f t="shared" si="36"/>
        <v/>
      </c>
      <c r="BM427" s="8" t="str">
        <f t="shared" si="37"/>
        <v/>
      </c>
      <c r="BP427" t="str">
        <f>IF($BO427="","",IFERROR(VLOOKUP($BO427,'01_Warehouse_Ledger'!$A:$N,4,FALSE),""))</f>
        <v/>
      </c>
      <c r="BQ427" t="str">
        <f>IF($BO427="","",IFERROR(VLOOKUP($BO427,'01_Warehouse_Ledger'!$A:$N,5,FALSE),""))</f>
        <v/>
      </c>
      <c r="BR427" t="str">
        <f>IF($BO427="","",IFERROR(VLOOKUP($BO427,'01_Warehouse_Ledger'!$A:$N,13,FALSE),""))</f>
        <v/>
      </c>
    </row>
    <row r="428" spans="4:70" ht="15" customHeight="1">
      <c r="D428" s="15" t="str">
        <f t="shared" si="38"/>
        <v/>
      </c>
      <c r="E428" s="15" t="str">
        <f t="shared" si="39"/>
        <v/>
      </c>
      <c r="F428" t="str">
        <f t="shared" si="40"/>
        <v/>
      </c>
      <c r="BL428" s="4" t="str">
        <f t="shared" si="36"/>
        <v/>
      </c>
      <c r="BM428" s="8" t="str">
        <f t="shared" si="37"/>
        <v/>
      </c>
      <c r="BP428" t="str">
        <f>IF($BO428="","",IFERROR(VLOOKUP($BO428,'01_Warehouse_Ledger'!$A:$N,4,FALSE),""))</f>
        <v/>
      </c>
      <c r="BQ428" t="str">
        <f>IF($BO428="","",IFERROR(VLOOKUP($BO428,'01_Warehouse_Ledger'!$A:$N,5,FALSE),""))</f>
        <v/>
      </c>
      <c r="BR428" t="str">
        <f>IF($BO428="","",IFERROR(VLOOKUP($BO428,'01_Warehouse_Ledger'!$A:$N,13,FALSE),""))</f>
        <v/>
      </c>
    </row>
    <row r="429" spans="4:70" ht="15" customHeight="1">
      <c r="D429" s="15" t="str">
        <f t="shared" si="38"/>
        <v/>
      </c>
      <c r="E429" s="15" t="str">
        <f t="shared" si="39"/>
        <v/>
      </c>
      <c r="F429" t="str">
        <f t="shared" si="40"/>
        <v/>
      </c>
      <c r="BL429" s="4" t="str">
        <f t="shared" si="36"/>
        <v/>
      </c>
      <c r="BM429" s="8" t="str">
        <f t="shared" si="37"/>
        <v/>
      </c>
      <c r="BP429" t="str">
        <f>IF($BO429="","",IFERROR(VLOOKUP($BO429,'01_Warehouse_Ledger'!$A:$N,4,FALSE),""))</f>
        <v/>
      </c>
      <c r="BQ429" t="str">
        <f>IF($BO429="","",IFERROR(VLOOKUP($BO429,'01_Warehouse_Ledger'!$A:$N,5,FALSE),""))</f>
        <v/>
      </c>
      <c r="BR429" t="str">
        <f>IF($BO429="","",IFERROR(VLOOKUP($BO429,'01_Warehouse_Ledger'!$A:$N,13,FALSE),""))</f>
        <v/>
      </c>
    </row>
    <row r="430" spans="4:70" ht="15" customHeight="1">
      <c r="D430" s="15" t="str">
        <f t="shared" si="38"/>
        <v/>
      </c>
      <c r="E430" s="15" t="str">
        <f t="shared" si="39"/>
        <v/>
      </c>
      <c r="F430" t="str">
        <f t="shared" si="40"/>
        <v/>
      </c>
      <c r="BL430" s="4" t="str">
        <f t="shared" si="36"/>
        <v/>
      </c>
      <c r="BM430" s="8" t="str">
        <f t="shared" si="37"/>
        <v/>
      </c>
      <c r="BP430" t="str">
        <f>IF($BO430="","",IFERROR(VLOOKUP($BO430,'01_Warehouse_Ledger'!$A:$N,4,FALSE),""))</f>
        <v/>
      </c>
      <c r="BQ430" t="str">
        <f>IF($BO430="","",IFERROR(VLOOKUP($BO430,'01_Warehouse_Ledger'!$A:$N,5,FALSE),""))</f>
        <v/>
      </c>
      <c r="BR430" t="str">
        <f>IF($BO430="","",IFERROR(VLOOKUP($BO430,'01_Warehouse_Ledger'!$A:$N,13,FALSE),""))</f>
        <v/>
      </c>
    </row>
    <row r="431" spans="4:70" ht="15" customHeight="1">
      <c r="D431" s="15" t="str">
        <f t="shared" si="38"/>
        <v/>
      </c>
      <c r="E431" s="15" t="str">
        <f t="shared" si="39"/>
        <v/>
      </c>
      <c r="F431" t="str">
        <f t="shared" si="40"/>
        <v/>
      </c>
      <c r="BL431" s="4" t="str">
        <f t="shared" si="36"/>
        <v/>
      </c>
      <c r="BM431" s="8" t="str">
        <f t="shared" si="37"/>
        <v/>
      </c>
      <c r="BP431" t="str">
        <f>IF($BO431="","",IFERROR(VLOOKUP($BO431,'01_Warehouse_Ledger'!$A:$N,4,FALSE),""))</f>
        <v/>
      </c>
      <c r="BQ431" t="str">
        <f>IF($BO431="","",IFERROR(VLOOKUP($BO431,'01_Warehouse_Ledger'!$A:$N,5,FALSE),""))</f>
        <v/>
      </c>
      <c r="BR431" t="str">
        <f>IF($BO431="","",IFERROR(VLOOKUP($BO431,'01_Warehouse_Ledger'!$A:$N,13,FALSE),""))</f>
        <v/>
      </c>
    </row>
    <row r="432" spans="4:70" ht="15" customHeight="1">
      <c r="D432" s="15" t="str">
        <f t="shared" si="38"/>
        <v/>
      </c>
      <c r="E432" s="15" t="str">
        <f t="shared" si="39"/>
        <v/>
      </c>
      <c r="F432" t="str">
        <f t="shared" si="40"/>
        <v/>
      </c>
      <c r="BL432" s="4" t="str">
        <f t="shared" si="36"/>
        <v/>
      </c>
      <c r="BM432" s="8" t="str">
        <f t="shared" si="37"/>
        <v/>
      </c>
      <c r="BP432" t="str">
        <f>IF($BO432="","",IFERROR(VLOOKUP($BO432,'01_Warehouse_Ledger'!$A:$N,4,FALSE),""))</f>
        <v/>
      </c>
      <c r="BQ432" t="str">
        <f>IF($BO432="","",IFERROR(VLOOKUP($BO432,'01_Warehouse_Ledger'!$A:$N,5,FALSE),""))</f>
        <v/>
      </c>
      <c r="BR432" t="str">
        <f>IF($BO432="","",IFERROR(VLOOKUP($BO432,'01_Warehouse_Ledger'!$A:$N,13,FALSE),""))</f>
        <v/>
      </c>
    </row>
    <row r="433" spans="4:70" ht="15" customHeight="1">
      <c r="D433" s="15" t="str">
        <f t="shared" si="38"/>
        <v/>
      </c>
      <c r="E433" s="15" t="str">
        <f t="shared" si="39"/>
        <v/>
      </c>
      <c r="F433" t="str">
        <f t="shared" si="40"/>
        <v/>
      </c>
      <c r="BL433" s="4" t="str">
        <f t="shared" si="36"/>
        <v/>
      </c>
      <c r="BM433" s="8" t="str">
        <f t="shared" si="37"/>
        <v/>
      </c>
      <c r="BP433" t="str">
        <f>IF($BO433="","",IFERROR(VLOOKUP($BO433,'01_Warehouse_Ledger'!$A:$N,4,FALSE),""))</f>
        <v/>
      </c>
      <c r="BQ433" t="str">
        <f>IF($BO433="","",IFERROR(VLOOKUP($BO433,'01_Warehouse_Ledger'!$A:$N,5,FALSE),""))</f>
        <v/>
      </c>
      <c r="BR433" t="str">
        <f>IF($BO433="","",IFERROR(VLOOKUP($BO433,'01_Warehouse_Ledger'!$A:$N,13,FALSE),""))</f>
        <v/>
      </c>
    </row>
    <row r="434" spans="4:70" ht="15" customHeight="1">
      <c r="D434" s="15" t="str">
        <f t="shared" si="38"/>
        <v/>
      </c>
      <c r="E434" s="15" t="str">
        <f t="shared" si="39"/>
        <v/>
      </c>
      <c r="F434" t="str">
        <f t="shared" si="40"/>
        <v/>
      </c>
      <c r="BL434" s="4" t="str">
        <f t="shared" si="36"/>
        <v/>
      </c>
      <c r="BM434" s="8" t="str">
        <f t="shared" si="37"/>
        <v/>
      </c>
      <c r="BP434" t="str">
        <f>IF($BO434="","",IFERROR(VLOOKUP($BO434,'01_Warehouse_Ledger'!$A:$N,4,FALSE),""))</f>
        <v/>
      </c>
      <c r="BQ434" t="str">
        <f>IF($BO434="","",IFERROR(VLOOKUP($BO434,'01_Warehouse_Ledger'!$A:$N,5,FALSE),""))</f>
        <v/>
      </c>
      <c r="BR434" t="str">
        <f>IF($BO434="","",IFERROR(VLOOKUP($BO434,'01_Warehouse_Ledger'!$A:$N,13,FALSE),""))</f>
        <v/>
      </c>
    </row>
    <row r="435" spans="4:70" ht="15" customHeight="1">
      <c r="D435" s="15" t="str">
        <f t="shared" si="38"/>
        <v/>
      </c>
      <c r="E435" s="15" t="str">
        <f t="shared" si="39"/>
        <v/>
      </c>
      <c r="F435" t="str">
        <f t="shared" si="40"/>
        <v/>
      </c>
      <c r="BL435" s="4" t="str">
        <f t="shared" ref="BL435:BL498" si="41">IF($T435="","",IF((IF(AND($AW435&lt;&gt;"Yes",$AW435&lt;&gt;"N/A"),"Power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",""))="","",LEFT(IF(AND($AW435&lt;&gt;"Yes",$AW435&lt;&gt;"N/A"),"Power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",""),LEN(IF(AND($AW435&lt;&gt;"Yes",$AW435&lt;&gt;"N/A"),"Power Cable, ","")&amp;IF(AND($AX435&lt;&gt;"Yes",$AX435&lt;&gt;"N/A"),"Battery, ","")&amp;IF(AND($BE435&lt;&gt;"Yes",$BE435&lt;&gt;"N/A"),"Firmware Download, ","")&amp;IF(AND(OR($BE435="Yes",$BE435="N/A"),$BF435&lt;&gt;"Yes",$BF435&lt;&gt;"N/A"),"Firmware Install, ","")&amp;IF(AND($BJ435&lt;&gt;"Yes",$BJ435&lt;&gt;"N/A"),"Device ID, ","")&amp;IF(AND($BK435&lt;&gt;"Yes",$BK435&lt;&gt;"N/A"),"Epic Beans Relay, ",""))-2)))</f>
        <v/>
      </c>
      <c r="BM435" s="8" t="str">
        <f t="shared" ref="BM435:BM498" si="42">IF($T435="","",IF($BL435="","Yes","Blocked"))</f>
        <v/>
      </c>
      <c r="BP435" t="str">
        <f>IF($BO435="","",IFERROR(VLOOKUP($BO435,'01_Warehouse_Ledger'!$A:$N,4,FALSE),""))</f>
        <v/>
      </c>
      <c r="BQ435" t="str">
        <f>IF($BO435="","",IFERROR(VLOOKUP($BO435,'01_Warehouse_Ledger'!$A:$N,5,FALSE),""))</f>
        <v/>
      </c>
      <c r="BR435" t="str">
        <f>IF($BO435="","",IFERROR(VLOOKUP($BO435,'01_Warehouse_Ledger'!$A:$N,13,FALSE),""))</f>
        <v/>
      </c>
    </row>
    <row r="436" spans="4:70" ht="15" customHeight="1">
      <c r="D436" s="15" t="str">
        <f t="shared" si="38"/>
        <v/>
      </c>
      <c r="E436" s="15" t="str">
        <f t="shared" si="39"/>
        <v/>
      </c>
      <c r="F436" t="str">
        <f t="shared" si="40"/>
        <v/>
      </c>
      <c r="BL436" s="4" t="str">
        <f t="shared" si="41"/>
        <v/>
      </c>
      <c r="BM436" s="8" t="str">
        <f t="shared" si="42"/>
        <v/>
      </c>
      <c r="BP436" t="str">
        <f>IF($BO436="","",IFERROR(VLOOKUP($BO436,'01_Warehouse_Ledger'!$A:$N,4,FALSE),""))</f>
        <v/>
      </c>
      <c r="BQ436" t="str">
        <f>IF($BO436="","",IFERROR(VLOOKUP($BO436,'01_Warehouse_Ledger'!$A:$N,5,FALSE),""))</f>
        <v/>
      </c>
      <c r="BR436" t="str">
        <f>IF($BO436="","",IFERROR(VLOOKUP($BO436,'01_Warehouse_Ledger'!$A:$N,13,FALSE),""))</f>
        <v/>
      </c>
    </row>
    <row r="437" spans="4:70" ht="15" customHeight="1">
      <c r="D437" s="15" t="str">
        <f t="shared" si="38"/>
        <v/>
      </c>
      <c r="E437" s="15" t="str">
        <f t="shared" si="39"/>
        <v/>
      </c>
      <c r="F437" t="str">
        <f t="shared" si="40"/>
        <v/>
      </c>
      <c r="BL437" s="4" t="str">
        <f t="shared" si="41"/>
        <v/>
      </c>
      <c r="BM437" s="8" t="str">
        <f t="shared" si="42"/>
        <v/>
      </c>
      <c r="BP437" t="str">
        <f>IF($BO437="","",IFERROR(VLOOKUP($BO437,'01_Warehouse_Ledger'!$A:$N,4,FALSE),""))</f>
        <v/>
      </c>
      <c r="BQ437" t="str">
        <f>IF($BO437="","",IFERROR(VLOOKUP($BO437,'01_Warehouse_Ledger'!$A:$N,5,FALSE),""))</f>
        <v/>
      </c>
      <c r="BR437" t="str">
        <f>IF($BO437="","",IFERROR(VLOOKUP($BO437,'01_Warehouse_Ledger'!$A:$N,13,FALSE),""))</f>
        <v/>
      </c>
    </row>
    <row r="438" spans="4:70" ht="15" customHeight="1">
      <c r="D438" s="15" t="str">
        <f t="shared" si="38"/>
        <v/>
      </c>
      <c r="E438" s="15" t="str">
        <f t="shared" si="39"/>
        <v/>
      </c>
      <c r="F438" t="str">
        <f t="shared" si="40"/>
        <v/>
      </c>
      <c r="BL438" s="4" t="str">
        <f t="shared" si="41"/>
        <v/>
      </c>
      <c r="BM438" s="8" t="str">
        <f t="shared" si="42"/>
        <v/>
      </c>
      <c r="BP438" t="str">
        <f>IF($BO438="","",IFERROR(VLOOKUP($BO438,'01_Warehouse_Ledger'!$A:$N,4,FALSE),""))</f>
        <v/>
      </c>
      <c r="BQ438" t="str">
        <f>IF($BO438="","",IFERROR(VLOOKUP($BO438,'01_Warehouse_Ledger'!$A:$N,5,FALSE),""))</f>
        <v/>
      </c>
      <c r="BR438" t="str">
        <f>IF($BO438="","",IFERROR(VLOOKUP($BO438,'01_Warehouse_Ledger'!$A:$N,13,FALSE),""))</f>
        <v/>
      </c>
    </row>
    <row r="439" spans="4:70" ht="15" customHeight="1">
      <c r="D439" s="15" t="str">
        <f t="shared" si="38"/>
        <v/>
      </c>
      <c r="E439" s="15" t="str">
        <f t="shared" si="39"/>
        <v/>
      </c>
      <c r="F439" t="str">
        <f t="shared" si="40"/>
        <v/>
      </c>
      <c r="BL439" s="4" t="str">
        <f t="shared" si="41"/>
        <v/>
      </c>
      <c r="BM439" s="8" t="str">
        <f t="shared" si="42"/>
        <v/>
      </c>
      <c r="BP439" t="str">
        <f>IF($BO439="","",IFERROR(VLOOKUP($BO439,'01_Warehouse_Ledger'!$A:$N,4,FALSE),""))</f>
        <v/>
      </c>
      <c r="BQ439" t="str">
        <f>IF($BO439="","",IFERROR(VLOOKUP($BO439,'01_Warehouse_Ledger'!$A:$N,5,FALSE),""))</f>
        <v/>
      </c>
      <c r="BR439" t="str">
        <f>IF($BO439="","",IFERROR(VLOOKUP($BO439,'01_Warehouse_Ledger'!$A:$N,13,FALSE),""))</f>
        <v/>
      </c>
    </row>
    <row r="440" spans="4:70" ht="15" customHeight="1">
      <c r="D440" s="15" t="str">
        <f t="shared" si="38"/>
        <v/>
      </c>
      <c r="E440" s="15" t="str">
        <f t="shared" si="39"/>
        <v/>
      </c>
      <c r="F440" t="str">
        <f t="shared" si="40"/>
        <v/>
      </c>
      <c r="BL440" s="4" t="str">
        <f t="shared" si="41"/>
        <v/>
      </c>
      <c r="BM440" s="8" t="str">
        <f t="shared" si="42"/>
        <v/>
      </c>
      <c r="BP440" t="str">
        <f>IF($BO440="","",IFERROR(VLOOKUP($BO440,'01_Warehouse_Ledger'!$A:$N,4,FALSE),""))</f>
        <v/>
      </c>
      <c r="BQ440" t="str">
        <f>IF($BO440="","",IFERROR(VLOOKUP($BO440,'01_Warehouse_Ledger'!$A:$N,5,FALSE),""))</f>
        <v/>
      </c>
      <c r="BR440" t="str">
        <f>IF($BO440="","",IFERROR(VLOOKUP($BO440,'01_Warehouse_Ledger'!$A:$N,13,FALSE),""))</f>
        <v/>
      </c>
    </row>
    <row r="441" spans="4:70" ht="15" customHeight="1">
      <c r="D441" s="15" t="str">
        <f t="shared" si="38"/>
        <v/>
      </c>
      <c r="E441" s="15" t="str">
        <f t="shared" si="39"/>
        <v/>
      </c>
      <c r="F441" t="str">
        <f t="shared" si="40"/>
        <v/>
      </c>
      <c r="BL441" s="4" t="str">
        <f t="shared" si="41"/>
        <v/>
      </c>
      <c r="BM441" s="8" t="str">
        <f t="shared" si="42"/>
        <v/>
      </c>
      <c r="BP441" t="str">
        <f>IF($BO441="","",IFERROR(VLOOKUP($BO441,'01_Warehouse_Ledger'!$A:$N,4,FALSE),""))</f>
        <v/>
      </c>
      <c r="BQ441" t="str">
        <f>IF($BO441="","",IFERROR(VLOOKUP($BO441,'01_Warehouse_Ledger'!$A:$N,5,FALSE),""))</f>
        <v/>
      </c>
      <c r="BR441" t="str">
        <f>IF($BO441="","",IFERROR(VLOOKUP($BO441,'01_Warehouse_Ledger'!$A:$N,13,FALSE),""))</f>
        <v/>
      </c>
    </row>
    <row r="442" spans="4:70" ht="15" customHeight="1">
      <c r="D442" s="15" t="str">
        <f t="shared" si="38"/>
        <v/>
      </c>
      <c r="E442" s="15" t="str">
        <f t="shared" si="39"/>
        <v/>
      </c>
      <c r="F442" t="str">
        <f t="shared" si="40"/>
        <v/>
      </c>
      <c r="BL442" s="4" t="str">
        <f t="shared" si="41"/>
        <v/>
      </c>
      <c r="BM442" s="8" t="str">
        <f t="shared" si="42"/>
        <v/>
      </c>
      <c r="BP442" t="str">
        <f>IF($BO442="","",IFERROR(VLOOKUP($BO442,'01_Warehouse_Ledger'!$A:$N,4,FALSE),""))</f>
        <v/>
      </c>
      <c r="BQ442" t="str">
        <f>IF($BO442="","",IFERROR(VLOOKUP($BO442,'01_Warehouse_Ledger'!$A:$N,5,FALSE),""))</f>
        <v/>
      </c>
      <c r="BR442" t="str">
        <f>IF($BO442="","",IFERROR(VLOOKUP($BO442,'01_Warehouse_Ledger'!$A:$N,13,FALSE),""))</f>
        <v/>
      </c>
    </row>
    <row r="443" spans="4:70" ht="15" customHeight="1">
      <c r="D443" s="15" t="str">
        <f t="shared" si="38"/>
        <v/>
      </c>
      <c r="E443" s="15" t="str">
        <f t="shared" si="39"/>
        <v/>
      </c>
      <c r="F443" t="str">
        <f t="shared" si="40"/>
        <v/>
      </c>
      <c r="BL443" s="4" t="str">
        <f t="shared" si="41"/>
        <v/>
      </c>
      <c r="BM443" s="8" t="str">
        <f t="shared" si="42"/>
        <v/>
      </c>
      <c r="BP443" t="str">
        <f>IF($BO443="","",IFERROR(VLOOKUP($BO443,'01_Warehouse_Ledger'!$A:$N,4,FALSE),""))</f>
        <v/>
      </c>
      <c r="BQ443" t="str">
        <f>IF($BO443="","",IFERROR(VLOOKUP($BO443,'01_Warehouse_Ledger'!$A:$N,5,FALSE),""))</f>
        <v/>
      </c>
      <c r="BR443" t="str">
        <f>IF($BO443="","",IFERROR(VLOOKUP($BO443,'01_Warehouse_Ledger'!$A:$N,13,FALSE),""))</f>
        <v/>
      </c>
    </row>
    <row r="444" spans="4:70" ht="15" customHeight="1">
      <c r="D444" s="15" t="str">
        <f t="shared" si="38"/>
        <v/>
      </c>
      <c r="E444" s="15" t="str">
        <f t="shared" si="39"/>
        <v/>
      </c>
      <c r="F444" t="str">
        <f t="shared" si="40"/>
        <v/>
      </c>
      <c r="BL444" s="4" t="str">
        <f t="shared" si="41"/>
        <v/>
      </c>
      <c r="BM444" s="8" t="str">
        <f t="shared" si="42"/>
        <v/>
      </c>
      <c r="BP444" t="str">
        <f>IF($BO444="","",IFERROR(VLOOKUP($BO444,'01_Warehouse_Ledger'!$A:$N,4,FALSE),""))</f>
        <v/>
      </c>
      <c r="BQ444" t="str">
        <f>IF($BO444="","",IFERROR(VLOOKUP($BO444,'01_Warehouse_Ledger'!$A:$N,5,FALSE),""))</f>
        <v/>
      </c>
      <c r="BR444" t="str">
        <f>IF($BO444="","",IFERROR(VLOOKUP($BO444,'01_Warehouse_Ledger'!$A:$N,13,FALSE),""))</f>
        <v/>
      </c>
    </row>
    <row r="445" spans="4:70" ht="15" customHeight="1">
      <c r="D445" s="15" t="str">
        <f t="shared" si="38"/>
        <v/>
      </c>
      <c r="E445" s="15" t="str">
        <f t="shared" si="39"/>
        <v/>
      </c>
      <c r="F445" t="str">
        <f t="shared" si="40"/>
        <v/>
      </c>
      <c r="BL445" s="4" t="str">
        <f t="shared" si="41"/>
        <v/>
      </c>
      <c r="BM445" s="8" t="str">
        <f t="shared" si="42"/>
        <v/>
      </c>
      <c r="BP445" t="str">
        <f>IF($BO445="","",IFERROR(VLOOKUP($BO445,'01_Warehouse_Ledger'!$A:$N,4,FALSE),""))</f>
        <v/>
      </c>
      <c r="BQ445" t="str">
        <f>IF($BO445="","",IFERROR(VLOOKUP($BO445,'01_Warehouse_Ledger'!$A:$N,5,FALSE),""))</f>
        <v/>
      </c>
      <c r="BR445" t="str">
        <f>IF($BO445="","",IFERROR(VLOOKUP($BO445,'01_Warehouse_Ledger'!$A:$N,13,FALSE),""))</f>
        <v/>
      </c>
    </row>
    <row r="446" spans="4:70" ht="15" customHeight="1">
      <c r="D446" s="15" t="str">
        <f t="shared" si="38"/>
        <v/>
      </c>
      <c r="E446" s="15" t="str">
        <f t="shared" si="39"/>
        <v/>
      </c>
      <c r="F446" t="str">
        <f t="shared" si="40"/>
        <v/>
      </c>
      <c r="BL446" s="4" t="str">
        <f t="shared" si="41"/>
        <v/>
      </c>
      <c r="BM446" s="8" t="str">
        <f t="shared" si="42"/>
        <v/>
      </c>
      <c r="BP446" t="str">
        <f>IF($BO446="","",IFERROR(VLOOKUP($BO446,'01_Warehouse_Ledger'!$A:$N,4,FALSE),""))</f>
        <v/>
      </c>
      <c r="BQ446" t="str">
        <f>IF($BO446="","",IFERROR(VLOOKUP($BO446,'01_Warehouse_Ledger'!$A:$N,5,FALSE),""))</f>
        <v/>
      </c>
      <c r="BR446" t="str">
        <f>IF($BO446="","",IFERROR(VLOOKUP($BO446,'01_Warehouse_Ledger'!$A:$N,13,FALSE),""))</f>
        <v/>
      </c>
    </row>
    <row r="447" spans="4:70" ht="15" customHeight="1">
      <c r="D447" s="15" t="str">
        <f t="shared" si="38"/>
        <v/>
      </c>
      <c r="E447" s="15" t="str">
        <f t="shared" si="39"/>
        <v/>
      </c>
      <c r="F447" t="str">
        <f t="shared" si="40"/>
        <v/>
      </c>
      <c r="BL447" s="4" t="str">
        <f t="shared" si="41"/>
        <v/>
      </c>
      <c r="BM447" s="8" t="str">
        <f t="shared" si="42"/>
        <v/>
      </c>
      <c r="BP447" t="str">
        <f>IF($BO447="","",IFERROR(VLOOKUP($BO447,'01_Warehouse_Ledger'!$A:$N,4,FALSE),""))</f>
        <v/>
      </c>
      <c r="BQ447" t="str">
        <f>IF($BO447="","",IFERROR(VLOOKUP($BO447,'01_Warehouse_Ledger'!$A:$N,5,FALSE),""))</f>
        <v/>
      </c>
      <c r="BR447" t="str">
        <f>IF($BO447="","",IFERROR(VLOOKUP($BO447,'01_Warehouse_Ledger'!$A:$N,13,FALSE),""))</f>
        <v/>
      </c>
    </row>
    <row r="448" spans="4:70" ht="15" customHeight="1">
      <c r="D448" s="15" t="str">
        <f t="shared" si="38"/>
        <v/>
      </c>
      <c r="E448" s="15" t="str">
        <f t="shared" si="39"/>
        <v/>
      </c>
      <c r="F448" t="str">
        <f t="shared" si="40"/>
        <v/>
      </c>
      <c r="BL448" s="4" t="str">
        <f t="shared" si="41"/>
        <v/>
      </c>
      <c r="BM448" s="8" t="str">
        <f t="shared" si="42"/>
        <v/>
      </c>
      <c r="BP448" t="str">
        <f>IF($BO448="","",IFERROR(VLOOKUP($BO448,'01_Warehouse_Ledger'!$A:$N,4,FALSE),""))</f>
        <v/>
      </c>
      <c r="BQ448" t="str">
        <f>IF($BO448="","",IFERROR(VLOOKUP($BO448,'01_Warehouse_Ledger'!$A:$N,5,FALSE),""))</f>
        <v/>
      </c>
      <c r="BR448" t="str">
        <f>IF($BO448="","",IFERROR(VLOOKUP($BO448,'01_Warehouse_Ledger'!$A:$N,13,FALSE),""))</f>
        <v/>
      </c>
    </row>
    <row r="449" spans="4:70" ht="15" customHeight="1">
      <c r="D449" s="15" t="str">
        <f t="shared" si="38"/>
        <v/>
      </c>
      <c r="E449" s="15" t="str">
        <f t="shared" si="39"/>
        <v/>
      </c>
      <c r="F449" t="str">
        <f t="shared" si="40"/>
        <v/>
      </c>
      <c r="BL449" s="4" t="str">
        <f t="shared" si="41"/>
        <v/>
      </c>
      <c r="BM449" s="8" t="str">
        <f t="shared" si="42"/>
        <v/>
      </c>
      <c r="BP449" t="str">
        <f>IF($BO449="","",IFERROR(VLOOKUP($BO449,'01_Warehouse_Ledger'!$A:$N,4,FALSE),""))</f>
        <v/>
      </c>
      <c r="BQ449" t="str">
        <f>IF($BO449="","",IFERROR(VLOOKUP($BO449,'01_Warehouse_Ledger'!$A:$N,5,FALSE),""))</f>
        <v/>
      </c>
      <c r="BR449" t="str">
        <f>IF($BO449="","",IFERROR(VLOOKUP($BO449,'01_Warehouse_Ledger'!$A:$N,13,FALSE),""))</f>
        <v/>
      </c>
    </row>
    <row r="450" spans="4:70" ht="15" customHeight="1">
      <c r="D450" s="15" t="str">
        <f t="shared" si="38"/>
        <v/>
      </c>
      <c r="E450" s="15" t="str">
        <f t="shared" si="39"/>
        <v/>
      </c>
      <c r="F450" t="str">
        <f t="shared" si="40"/>
        <v/>
      </c>
      <c r="BL450" s="4" t="str">
        <f t="shared" si="41"/>
        <v/>
      </c>
      <c r="BM450" s="8" t="str">
        <f t="shared" si="42"/>
        <v/>
      </c>
      <c r="BP450" t="str">
        <f>IF($BO450="","",IFERROR(VLOOKUP($BO450,'01_Warehouse_Ledger'!$A:$N,4,FALSE),""))</f>
        <v/>
      </c>
      <c r="BQ450" t="str">
        <f>IF($BO450="","",IFERROR(VLOOKUP($BO450,'01_Warehouse_Ledger'!$A:$N,5,FALSE),""))</f>
        <v/>
      </c>
      <c r="BR450" t="str">
        <f>IF($BO450="","",IFERROR(VLOOKUP($BO450,'01_Warehouse_Ledger'!$A:$N,13,FALSE),""))</f>
        <v/>
      </c>
    </row>
    <row r="451" spans="4:70" ht="15" customHeight="1">
      <c r="D451" s="15" t="str">
        <f t="shared" si="38"/>
        <v/>
      </c>
      <c r="E451" s="15" t="str">
        <f t="shared" si="39"/>
        <v/>
      </c>
      <c r="F451" t="str">
        <f t="shared" si="40"/>
        <v/>
      </c>
      <c r="BL451" s="4" t="str">
        <f t="shared" si="41"/>
        <v/>
      </c>
      <c r="BM451" s="8" t="str">
        <f t="shared" si="42"/>
        <v/>
      </c>
      <c r="BP451" t="str">
        <f>IF($BO451="","",IFERROR(VLOOKUP($BO451,'01_Warehouse_Ledger'!$A:$N,4,FALSE),""))</f>
        <v/>
      </c>
      <c r="BQ451" t="str">
        <f>IF($BO451="","",IFERROR(VLOOKUP($BO451,'01_Warehouse_Ledger'!$A:$N,5,FALSE),""))</f>
        <v/>
      </c>
      <c r="BR451" t="str">
        <f>IF($BO451="","",IFERROR(VLOOKUP($BO451,'01_Warehouse_Ledger'!$A:$N,13,FALSE),""))</f>
        <v/>
      </c>
    </row>
    <row r="452" spans="4:70" ht="15" customHeight="1">
      <c r="D452" s="15" t="str">
        <f t="shared" si="38"/>
        <v/>
      </c>
      <c r="E452" s="15" t="str">
        <f t="shared" si="39"/>
        <v/>
      </c>
      <c r="F452" t="str">
        <f t="shared" si="40"/>
        <v/>
      </c>
      <c r="BL452" s="4" t="str">
        <f t="shared" si="41"/>
        <v/>
      </c>
      <c r="BM452" s="8" t="str">
        <f t="shared" si="42"/>
        <v/>
      </c>
      <c r="BP452" t="str">
        <f>IF($BO452="","",IFERROR(VLOOKUP($BO452,'01_Warehouse_Ledger'!$A:$N,4,FALSE),""))</f>
        <v/>
      </c>
      <c r="BQ452" t="str">
        <f>IF($BO452="","",IFERROR(VLOOKUP($BO452,'01_Warehouse_Ledger'!$A:$N,5,FALSE),""))</f>
        <v/>
      </c>
      <c r="BR452" t="str">
        <f>IF($BO452="","",IFERROR(VLOOKUP($BO452,'01_Warehouse_Ledger'!$A:$N,13,FALSE),""))</f>
        <v/>
      </c>
    </row>
    <row r="453" spans="4:70" ht="15" customHeight="1">
      <c r="D453" s="15" t="str">
        <f t="shared" si="38"/>
        <v/>
      </c>
      <c r="E453" s="15" t="str">
        <f t="shared" si="39"/>
        <v/>
      </c>
      <c r="F453" t="str">
        <f t="shared" si="40"/>
        <v/>
      </c>
      <c r="BL453" s="4" t="str">
        <f t="shared" si="41"/>
        <v/>
      </c>
      <c r="BM453" s="8" t="str">
        <f t="shared" si="42"/>
        <v/>
      </c>
      <c r="BP453" t="str">
        <f>IF($BO453="","",IFERROR(VLOOKUP($BO453,'01_Warehouse_Ledger'!$A:$N,4,FALSE),""))</f>
        <v/>
      </c>
      <c r="BQ453" t="str">
        <f>IF($BO453="","",IFERROR(VLOOKUP($BO453,'01_Warehouse_Ledger'!$A:$N,5,FALSE),""))</f>
        <v/>
      </c>
      <c r="BR453" t="str">
        <f>IF($BO453="","",IFERROR(VLOOKUP($BO453,'01_Warehouse_Ledger'!$A:$N,13,FALSE),""))</f>
        <v/>
      </c>
    </row>
    <row r="454" spans="4:70" ht="15" customHeight="1">
      <c r="D454" s="15" t="str">
        <f t="shared" si="38"/>
        <v/>
      </c>
      <c r="E454" s="15" t="str">
        <f t="shared" si="39"/>
        <v/>
      </c>
      <c r="F454" t="str">
        <f t="shared" si="40"/>
        <v/>
      </c>
      <c r="BL454" s="4" t="str">
        <f t="shared" si="41"/>
        <v/>
      </c>
      <c r="BM454" s="8" t="str">
        <f t="shared" si="42"/>
        <v/>
      </c>
      <c r="BP454" t="str">
        <f>IF($BO454="","",IFERROR(VLOOKUP($BO454,'01_Warehouse_Ledger'!$A:$N,4,FALSE),""))</f>
        <v/>
      </c>
      <c r="BQ454" t="str">
        <f>IF($BO454="","",IFERROR(VLOOKUP($BO454,'01_Warehouse_Ledger'!$A:$N,5,FALSE),""))</f>
        <v/>
      </c>
      <c r="BR454" t="str">
        <f>IF($BO454="","",IFERROR(VLOOKUP($BO454,'01_Warehouse_Ledger'!$A:$N,13,FALSE),""))</f>
        <v/>
      </c>
    </row>
    <row r="455" spans="4:70" ht="15" customHeight="1">
      <c r="D455" s="15" t="str">
        <f t="shared" si="38"/>
        <v/>
      </c>
      <c r="E455" s="15" t="str">
        <f t="shared" si="39"/>
        <v/>
      </c>
      <c r="F455" t="str">
        <f t="shared" si="40"/>
        <v/>
      </c>
      <c r="BL455" s="4" t="str">
        <f t="shared" si="41"/>
        <v/>
      </c>
      <c r="BM455" s="8" t="str">
        <f t="shared" si="42"/>
        <v/>
      </c>
      <c r="BP455" t="str">
        <f>IF($BO455="","",IFERROR(VLOOKUP($BO455,'01_Warehouse_Ledger'!$A:$N,4,FALSE),""))</f>
        <v/>
      </c>
      <c r="BQ455" t="str">
        <f>IF($BO455="","",IFERROR(VLOOKUP($BO455,'01_Warehouse_Ledger'!$A:$N,5,FALSE),""))</f>
        <v/>
      </c>
      <c r="BR455" t="str">
        <f>IF($BO455="","",IFERROR(VLOOKUP($BO455,'01_Warehouse_Ledger'!$A:$N,13,FALSE),""))</f>
        <v/>
      </c>
    </row>
    <row r="456" spans="4:70" ht="15" customHeight="1">
      <c r="D456" s="15" t="str">
        <f t="shared" si="38"/>
        <v/>
      </c>
      <c r="E456" s="15" t="str">
        <f t="shared" si="39"/>
        <v/>
      </c>
      <c r="F456" t="str">
        <f t="shared" si="40"/>
        <v/>
      </c>
      <c r="BL456" s="4" t="str">
        <f t="shared" si="41"/>
        <v/>
      </c>
      <c r="BM456" s="8" t="str">
        <f t="shared" si="42"/>
        <v/>
      </c>
      <c r="BP456" t="str">
        <f>IF($BO456="","",IFERROR(VLOOKUP($BO456,'01_Warehouse_Ledger'!$A:$N,4,FALSE),""))</f>
        <v/>
      </c>
      <c r="BQ456" t="str">
        <f>IF($BO456="","",IFERROR(VLOOKUP($BO456,'01_Warehouse_Ledger'!$A:$N,5,FALSE),""))</f>
        <v/>
      </c>
      <c r="BR456" t="str">
        <f>IF($BO456="","",IFERROR(VLOOKUP($BO456,'01_Warehouse_Ledger'!$A:$N,13,FALSE),""))</f>
        <v/>
      </c>
    </row>
    <row r="457" spans="4:70" ht="15" customHeight="1">
      <c r="D457" s="15" t="str">
        <f t="shared" si="38"/>
        <v/>
      </c>
      <c r="E457" s="15" t="str">
        <f t="shared" si="39"/>
        <v/>
      </c>
      <c r="F457" t="str">
        <f t="shared" si="40"/>
        <v/>
      </c>
      <c r="BL457" s="4" t="str">
        <f t="shared" si="41"/>
        <v/>
      </c>
      <c r="BM457" s="8" t="str">
        <f t="shared" si="42"/>
        <v/>
      </c>
      <c r="BP457" t="str">
        <f>IF($BO457="","",IFERROR(VLOOKUP($BO457,'01_Warehouse_Ledger'!$A:$N,4,FALSE),""))</f>
        <v/>
      </c>
      <c r="BQ457" t="str">
        <f>IF($BO457="","",IFERROR(VLOOKUP($BO457,'01_Warehouse_Ledger'!$A:$N,5,FALSE),""))</f>
        <v/>
      </c>
      <c r="BR457" t="str">
        <f>IF($BO457="","",IFERROR(VLOOKUP($BO457,'01_Warehouse_Ledger'!$A:$N,13,FALSE),""))</f>
        <v/>
      </c>
    </row>
    <row r="458" spans="4:70" ht="15" customHeight="1">
      <c r="D458" s="15" t="str">
        <f t="shared" si="38"/>
        <v/>
      </c>
      <c r="E458" s="15" t="str">
        <f t="shared" si="39"/>
        <v/>
      </c>
      <c r="F458" t="str">
        <f t="shared" si="40"/>
        <v/>
      </c>
      <c r="BL458" s="4" t="str">
        <f t="shared" si="41"/>
        <v/>
      </c>
      <c r="BM458" s="8" t="str">
        <f t="shared" si="42"/>
        <v/>
      </c>
      <c r="BP458" t="str">
        <f>IF($BO458="","",IFERROR(VLOOKUP($BO458,'01_Warehouse_Ledger'!$A:$N,4,FALSE),""))</f>
        <v/>
      </c>
      <c r="BQ458" t="str">
        <f>IF($BO458="","",IFERROR(VLOOKUP($BO458,'01_Warehouse_Ledger'!$A:$N,5,FALSE),""))</f>
        <v/>
      </c>
      <c r="BR458" t="str">
        <f>IF($BO458="","",IFERROR(VLOOKUP($BO458,'01_Warehouse_Ledger'!$A:$N,13,FALSE),""))</f>
        <v/>
      </c>
    </row>
    <row r="459" spans="4:70" ht="15" customHeight="1">
      <c r="D459" s="15" t="str">
        <f t="shared" ref="D459:D522" si="43">IF($B459&lt;&gt;"Yes","",IF($C459="No","Yes",IF($C459="Yes","No","")))</f>
        <v/>
      </c>
      <c r="E459" s="15" t="str">
        <f t="shared" si="39"/>
        <v/>
      </c>
      <c r="F459" t="str">
        <f t="shared" si="40"/>
        <v/>
      </c>
      <c r="BL459" s="4" t="str">
        <f t="shared" si="41"/>
        <v/>
      </c>
      <c r="BM459" s="8" t="str">
        <f t="shared" si="42"/>
        <v/>
      </c>
      <c r="BP459" t="str">
        <f>IF($BO459="","",IFERROR(VLOOKUP($BO459,'01_Warehouse_Ledger'!$A:$N,4,FALSE),""))</f>
        <v/>
      </c>
      <c r="BQ459" t="str">
        <f>IF($BO459="","",IFERROR(VLOOKUP($BO459,'01_Warehouse_Ledger'!$A:$N,5,FALSE),""))</f>
        <v/>
      </c>
      <c r="BR459" t="str">
        <f>IF($BO459="","",IFERROR(VLOOKUP($BO459,'01_Warehouse_Ledger'!$A:$N,13,FALSE),""))</f>
        <v/>
      </c>
    </row>
    <row r="460" spans="4:70" ht="15" customHeight="1">
      <c r="D460" s="15" t="str">
        <f t="shared" si="43"/>
        <v/>
      </c>
      <c r="E460" s="15" t="str">
        <f t="shared" si="39"/>
        <v/>
      </c>
      <c r="F460" t="str">
        <f t="shared" si="40"/>
        <v/>
      </c>
      <c r="BL460" s="4" t="str">
        <f t="shared" si="41"/>
        <v/>
      </c>
      <c r="BM460" s="8" t="str">
        <f t="shared" si="42"/>
        <v/>
      </c>
      <c r="BP460" t="str">
        <f>IF($BO460="","",IFERROR(VLOOKUP($BO460,'01_Warehouse_Ledger'!$A:$N,4,FALSE),""))</f>
        <v/>
      </c>
      <c r="BQ460" t="str">
        <f>IF($BO460="","",IFERROR(VLOOKUP($BO460,'01_Warehouse_Ledger'!$A:$N,5,FALSE),""))</f>
        <v/>
      </c>
      <c r="BR460" t="str">
        <f>IF($BO460="","",IFERROR(VLOOKUP($BO460,'01_Warehouse_Ledger'!$A:$N,13,FALSE),""))</f>
        <v/>
      </c>
    </row>
    <row r="461" spans="4:70" ht="15" customHeight="1">
      <c r="D461" s="15" t="str">
        <f t="shared" si="43"/>
        <v/>
      </c>
      <c r="E461" s="15" t="str">
        <f t="shared" si="39"/>
        <v/>
      </c>
      <c r="F461" t="str">
        <f t="shared" si="40"/>
        <v/>
      </c>
      <c r="BL461" s="4" t="str">
        <f t="shared" si="41"/>
        <v/>
      </c>
      <c r="BM461" s="8" t="str">
        <f t="shared" si="42"/>
        <v/>
      </c>
      <c r="BP461" t="str">
        <f>IF($BO461="","",IFERROR(VLOOKUP($BO461,'01_Warehouse_Ledger'!$A:$N,4,FALSE),""))</f>
        <v/>
      </c>
      <c r="BQ461" t="str">
        <f>IF($BO461="","",IFERROR(VLOOKUP($BO461,'01_Warehouse_Ledger'!$A:$N,5,FALSE),""))</f>
        <v/>
      </c>
      <c r="BR461" t="str">
        <f>IF($BO461="","",IFERROR(VLOOKUP($BO461,'01_Warehouse_Ledger'!$A:$N,13,FALSE),""))</f>
        <v/>
      </c>
    </row>
    <row r="462" spans="4:70" ht="15" customHeight="1">
      <c r="D462" s="15" t="str">
        <f t="shared" si="43"/>
        <v/>
      </c>
      <c r="E462" s="15" t="str">
        <f t="shared" si="39"/>
        <v/>
      </c>
      <c r="F462" t="str">
        <f t="shared" si="40"/>
        <v/>
      </c>
      <c r="BL462" s="4" t="str">
        <f t="shared" si="41"/>
        <v/>
      </c>
      <c r="BM462" s="8" t="str">
        <f t="shared" si="42"/>
        <v/>
      </c>
      <c r="BP462" t="str">
        <f>IF($BO462="","",IFERROR(VLOOKUP($BO462,'01_Warehouse_Ledger'!$A:$N,4,FALSE),""))</f>
        <v/>
      </c>
      <c r="BQ462" t="str">
        <f>IF($BO462="","",IFERROR(VLOOKUP($BO462,'01_Warehouse_Ledger'!$A:$N,5,FALSE),""))</f>
        <v/>
      </c>
      <c r="BR462" t="str">
        <f>IF($BO462="","",IFERROR(VLOOKUP($BO462,'01_Warehouse_Ledger'!$A:$N,13,FALSE),""))</f>
        <v/>
      </c>
    </row>
    <row r="463" spans="4:70" ht="15" customHeight="1">
      <c r="D463" s="15" t="str">
        <f t="shared" si="43"/>
        <v/>
      </c>
      <c r="E463" s="15" t="str">
        <f t="shared" si="39"/>
        <v/>
      </c>
      <c r="F463" t="str">
        <f t="shared" si="40"/>
        <v/>
      </c>
      <c r="BL463" s="4" t="str">
        <f t="shared" si="41"/>
        <v/>
      </c>
      <c r="BM463" s="8" t="str">
        <f t="shared" si="42"/>
        <v/>
      </c>
      <c r="BP463" t="str">
        <f>IF($BO463="","",IFERROR(VLOOKUP($BO463,'01_Warehouse_Ledger'!$A:$N,4,FALSE),""))</f>
        <v/>
      </c>
      <c r="BQ463" t="str">
        <f>IF($BO463="","",IFERROR(VLOOKUP($BO463,'01_Warehouse_Ledger'!$A:$N,5,FALSE),""))</f>
        <v/>
      </c>
      <c r="BR463" t="str">
        <f>IF($BO463="","",IFERROR(VLOOKUP($BO463,'01_Warehouse_Ledger'!$A:$N,13,FALSE),""))</f>
        <v/>
      </c>
    </row>
    <row r="464" spans="4:70" ht="15" customHeight="1">
      <c r="D464" s="15" t="str">
        <f t="shared" si="43"/>
        <v/>
      </c>
      <c r="E464" s="15" t="str">
        <f t="shared" si="39"/>
        <v/>
      </c>
      <c r="F464" t="str">
        <f t="shared" si="40"/>
        <v/>
      </c>
      <c r="BL464" s="4" t="str">
        <f t="shared" si="41"/>
        <v/>
      </c>
      <c r="BM464" s="8" t="str">
        <f t="shared" si="42"/>
        <v/>
      </c>
      <c r="BP464" t="str">
        <f>IF($BO464="","",IFERROR(VLOOKUP($BO464,'01_Warehouse_Ledger'!$A:$N,4,FALSE),""))</f>
        <v/>
      </c>
      <c r="BQ464" t="str">
        <f>IF($BO464="","",IFERROR(VLOOKUP($BO464,'01_Warehouse_Ledger'!$A:$N,5,FALSE),""))</f>
        <v/>
      </c>
      <c r="BR464" t="str">
        <f>IF($BO464="","",IFERROR(VLOOKUP($BO464,'01_Warehouse_Ledger'!$A:$N,13,FALSE),""))</f>
        <v/>
      </c>
    </row>
    <row r="465" spans="4:70" ht="15" customHeight="1">
      <c r="D465" s="15" t="str">
        <f t="shared" si="43"/>
        <v/>
      </c>
      <c r="E465" s="15" t="str">
        <f t="shared" si="39"/>
        <v/>
      </c>
      <c r="F465" t="str">
        <f t="shared" si="40"/>
        <v/>
      </c>
      <c r="BL465" s="4" t="str">
        <f t="shared" si="41"/>
        <v/>
      </c>
      <c r="BM465" s="8" t="str">
        <f t="shared" si="42"/>
        <v/>
      </c>
      <c r="BP465" t="str">
        <f>IF($BO465="","",IFERROR(VLOOKUP($BO465,'01_Warehouse_Ledger'!$A:$N,4,FALSE),""))</f>
        <v/>
      </c>
      <c r="BQ465" t="str">
        <f>IF($BO465="","",IFERROR(VLOOKUP($BO465,'01_Warehouse_Ledger'!$A:$N,5,FALSE),""))</f>
        <v/>
      </c>
      <c r="BR465" t="str">
        <f>IF($BO465="","",IFERROR(VLOOKUP($BO465,'01_Warehouse_Ledger'!$A:$N,13,FALSE),""))</f>
        <v/>
      </c>
    </row>
    <row r="466" spans="4:70" ht="15" customHeight="1">
      <c r="D466" s="15" t="str">
        <f t="shared" si="43"/>
        <v/>
      </c>
      <c r="E466" s="15" t="str">
        <f t="shared" si="39"/>
        <v/>
      </c>
      <c r="F466" t="str">
        <f t="shared" si="40"/>
        <v/>
      </c>
      <c r="BL466" s="4" t="str">
        <f t="shared" si="41"/>
        <v/>
      </c>
      <c r="BM466" s="8" t="str">
        <f t="shared" si="42"/>
        <v/>
      </c>
      <c r="BP466" t="str">
        <f>IF($BO466="","",IFERROR(VLOOKUP($BO466,'01_Warehouse_Ledger'!$A:$N,4,FALSE),""))</f>
        <v/>
      </c>
      <c r="BQ466" t="str">
        <f>IF($BO466="","",IFERROR(VLOOKUP($BO466,'01_Warehouse_Ledger'!$A:$N,5,FALSE),""))</f>
        <v/>
      </c>
      <c r="BR466" t="str">
        <f>IF($BO466="","",IFERROR(VLOOKUP($BO466,'01_Warehouse_Ledger'!$A:$N,13,FALSE),""))</f>
        <v/>
      </c>
    </row>
    <row r="467" spans="4:70" ht="15" customHeight="1">
      <c r="D467" s="15" t="str">
        <f t="shared" si="43"/>
        <v/>
      </c>
      <c r="E467" s="15" t="str">
        <f t="shared" si="39"/>
        <v/>
      </c>
      <c r="F467" t="str">
        <f t="shared" si="40"/>
        <v/>
      </c>
      <c r="BL467" s="4" t="str">
        <f t="shared" si="41"/>
        <v/>
      </c>
      <c r="BM467" s="8" t="str">
        <f t="shared" si="42"/>
        <v/>
      </c>
      <c r="BP467" t="str">
        <f>IF($BO467="","",IFERROR(VLOOKUP($BO467,'01_Warehouse_Ledger'!$A:$N,4,FALSE),""))</f>
        <v/>
      </c>
      <c r="BQ467" t="str">
        <f>IF($BO467="","",IFERROR(VLOOKUP($BO467,'01_Warehouse_Ledger'!$A:$N,5,FALSE),""))</f>
        <v/>
      </c>
      <c r="BR467" t="str">
        <f>IF($BO467="","",IFERROR(VLOOKUP($BO467,'01_Warehouse_Ledger'!$A:$N,13,FALSE),""))</f>
        <v/>
      </c>
    </row>
    <row r="468" spans="4:70" ht="15" customHeight="1">
      <c r="D468" s="15" t="str">
        <f t="shared" si="43"/>
        <v/>
      </c>
      <c r="E468" s="15" t="str">
        <f t="shared" si="39"/>
        <v/>
      </c>
      <c r="F468" t="str">
        <f t="shared" si="40"/>
        <v/>
      </c>
      <c r="BL468" s="4" t="str">
        <f t="shared" si="41"/>
        <v/>
      </c>
      <c r="BM468" s="8" t="str">
        <f t="shared" si="42"/>
        <v/>
      </c>
      <c r="BP468" t="str">
        <f>IF($BO468="","",IFERROR(VLOOKUP($BO468,'01_Warehouse_Ledger'!$A:$N,4,FALSE),""))</f>
        <v/>
      </c>
      <c r="BQ468" t="str">
        <f>IF($BO468="","",IFERROR(VLOOKUP($BO468,'01_Warehouse_Ledger'!$A:$N,5,FALSE),""))</f>
        <v/>
      </c>
      <c r="BR468" t="str">
        <f>IF($BO468="","",IFERROR(VLOOKUP($BO468,'01_Warehouse_Ledger'!$A:$N,13,FALSE),""))</f>
        <v/>
      </c>
    </row>
    <row r="469" spans="4:70" ht="15" customHeight="1">
      <c r="D469" s="15" t="str">
        <f t="shared" si="43"/>
        <v/>
      </c>
      <c r="E469" s="15" t="str">
        <f t="shared" si="39"/>
        <v/>
      </c>
      <c r="F469" t="str">
        <f t="shared" si="40"/>
        <v/>
      </c>
      <c r="BL469" s="4" t="str">
        <f t="shared" si="41"/>
        <v/>
      </c>
      <c r="BM469" s="8" t="str">
        <f t="shared" si="42"/>
        <v/>
      </c>
      <c r="BP469" t="str">
        <f>IF($BO469="","",IFERROR(VLOOKUP($BO469,'01_Warehouse_Ledger'!$A:$N,4,FALSE),""))</f>
        <v/>
      </c>
      <c r="BQ469" t="str">
        <f>IF($BO469="","",IFERROR(VLOOKUP($BO469,'01_Warehouse_Ledger'!$A:$N,5,FALSE),""))</f>
        <v/>
      </c>
      <c r="BR469" t="str">
        <f>IF($BO469="","",IFERROR(VLOOKUP($BO469,'01_Warehouse_Ledger'!$A:$N,13,FALSE),""))</f>
        <v/>
      </c>
    </row>
    <row r="470" spans="4:70" ht="15" customHeight="1">
      <c r="D470" s="15" t="str">
        <f t="shared" si="43"/>
        <v/>
      </c>
      <c r="E470" s="15" t="str">
        <f t="shared" si="39"/>
        <v/>
      </c>
      <c r="F470" t="str">
        <f t="shared" si="40"/>
        <v/>
      </c>
      <c r="BL470" s="4" t="str">
        <f t="shared" si="41"/>
        <v/>
      </c>
      <c r="BM470" s="8" t="str">
        <f t="shared" si="42"/>
        <v/>
      </c>
      <c r="BP470" t="str">
        <f>IF($BO470="","",IFERROR(VLOOKUP($BO470,'01_Warehouse_Ledger'!$A:$N,4,FALSE),""))</f>
        <v/>
      </c>
      <c r="BQ470" t="str">
        <f>IF($BO470="","",IFERROR(VLOOKUP($BO470,'01_Warehouse_Ledger'!$A:$N,5,FALSE),""))</f>
        <v/>
      </c>
      <c r="BR470" t="str">
        <f>IF($BO470="","",IFERROR(VLOOKUP($BO470,'01_Warehouse_Ledger'!$A:$N,13,FALSE),""))</f>
        <v/>
      </c>
    </row>
    <row r="471" spans="4:70" ht="15" customHeight="1">
      <c r="D471" s="15" t="str">
        <f t="shared" si="43"/>
        <v/>
      </c>
      <c r="E471" s="15" t="str">
        <f t="shared" si="39"/>
        <v/>
      </c>
      <c r="F471" t="str">
        <f t="shared" si="40"/>
        <v/>
      </c>
      <c r="BL471" s="4" t="str">
        <f t="shared" si="41"/>
        <v/>
      </c>
      <c r="BM471" s="8" t="str">
        <f t="shared" si="42"/>
        <v/>
      </c>
      <c r="BP471" t="str">
        <f>IF($BO471="","",IFERROR(VLOOKUP($BO471,'01_Warehouse_Ledger'!$A:$N,4,FALSE),""))</f>
        <v/>
      </c>
      <c r="BQ471" t="str">
        <f>IF($BO471="","",IFERROR(VLOOKUP($BO471,'01_Warehouse_Ledger'!$A:$N,5,FALSE),""))</f>
        <v/>
      </c>
      <c r="BR471" t="str">
        <f>IF($BO471="","",IFERROR(VLOOKUP($BO471,'01_Warehouse_Ledger'!$A:$N,13,FALSE),""))</f>
        <v/>
      </c>
    </row>
    <row r="472" spans="4:70" ht="15" customHeight="1">
      <c r="D472" s="15" t="str">
        <f t="shared" si="43"/>
        <v/>
      </c>
      <c r="E472" s="15" t="str">
        <f t="shared" si="39"/>
        <v/>
      </c>
      <c r="F472" t="str">
        <f t="shared" si="40"/>
        <v/>
      </c>
      <c r="BL472" s="4" t="str">
        <f t="shared" si="41"/>
        <v/>
      </c>
      <c r="BM472" s="8" t="str">
        <f t="shared" si="42"/>
        <v/>
      </c>
      <c r="BP472" t="str">
        <f>IF($BO472="","",IFERROR(VLOOKUP($BO472,'01_Warehouse_Ledger'!$A:$N,4,FALSE),""))</f>
        <v/>
      </c>
      <c r="BQ472" t="str">
        <f>IF($BO472="","",IFERROR(VLOOKUP($BO472,'01_Warehouse_Ledger'!$A:$N,5,FALSE),""))</f>
        <v/>
      </c>
      <c r="BR472" t="str">
        <f>IF($BO472="","",IFERROR(VLOOKUP($BO472,'01_Warehouse_Ledger'!$A:$N,13,FALSE),""))</f>
        <v/>
      </c>
    </row>
    <row r="473" spans="4:70" ht="15" customHeight="1">
      <c r="D473" s="15" t="str">
        <f t="shared" si="43"/>
        <v/>
      </c>
      <c r="E473" s="15" t="str">
        <f t="shared" si="39"/>
        <v/>
      </c>
      <c r="F473" t="str">
        <f t="shared" si="40"/>
        <v/>
      </c>
      <c r="BL473" s="4" t="str">
        <f t="shared" si="41"/>
        <v/>
      </c>
      <c r="BM473" s="8" t="str">
        <f t="shared" si="42"/>
        <v/>
      </c>
      <c r="BP473" t="str">
        <f>IF($BO473="","",IFERROR(VLOOKUP($BO473,'01_Warehouse_Ledger'!$A:$N,4,FALSE),""))</f>
        <v/>
      </c>
      <c r="BQ473" t="str">
        <f>IF($BO473="","",IFERROR(VLOOKUP($BO473,'01_Warehouse_Ledger'!$A:$N,5,FALSE),""))</f>
        <v/>
      </c>
      <c r="BR473" t="str">
        <f>IF($BO473="","",IFERROR(VLOOKUP($BO473,'01_Warehouse_Ledger'!$A:$N,13,FALSE),""))</f>
        <v/>
      </c>
    </row>
    <row r="474" spans="4:70" ht="15" customHeight="1">
      <c r="D474" s="15" t="str">
        <f t="shared" si="43"/>
        <v/>
      </c>
      <c r="E474" s="15" t="str">
        <f t="shared" si="39"/>
        <v/>
      </c>
      <c r="F474" t="str">
        <f t="shared" si="40"/>
        <v/>
      </c>
      <c r="BL474" s="4" t="str">
        <f t="shared" si="41"/>
        <v/>
      </c>
      <c r="BM474" s="8" t="str">
        <f t="shared" si="42"/>
        <v/>
      </c>
      <c r="BP474" t="str">
        <f>IF($BO474="","",IFERROR(VLOOKUP($BO474,'01_Warehouse_Ledger'!$A:$N,4,FALSE),""))</f>
        <v/>
      </c>
      <c r="BQ474" t="str">
        <f>IF($BO474="","",IFERROR(VLOOKUP($BO474,'01_Warehouse_Ledger'!$A:$N,5,FALSE),""))</f>
        <v/>
      </c>
      <c r="BR474" t="str">
        <f>IF($BO474="","",IFERROR(VLOOKUP($BO474,'01_Warehouse_Ledger'!$A:$N,13,FALSE),""))</f>
        <v/>
      </c>
    </row>
    <row r="475" spans="4:70" ht="15" customHeight="1">
      <c r="D475" s="15" t="str">
        <f t="shared" si="43"/>
        <v/>
      </c>
      <c r="E475" s="15" t="str">
        <f t="shared" si="39"/>
        <v/>
      </c>
      <c r="F475" t="str">
        <f t="shared" si="40"/>
        <v/>
      </c>
      <c r="BL475" s="4" t="str">
        <f t="shared" si="41"/>
        <v/>
      </c>
      <c r="BM475" s="8" t="str">
        <f t="shared" si="42"/>
        <v/>
      </c>
      <c r="BP475" t="str">
        <f>IF($BO475="","",IFERROR(VLOOKUP($BO475,'01_Warehouse_Ledger'!$A:$N,4,FALSE),""))</f>
        <v/>
      </c>
      <c r="BQ475" t="str">
        <f>IF($BO475="","",IFERROR(VLOOKUP($BO475,'01_Warehouse_Ledger'!$A:$N,5,FALSE),""))</f>
        <v/>
      </c>
      <c r="BR475" t="str">
        <f>IF($BO475="","",IFERROR(VLOOKUP($BO475,'01_Warehouse_Ledger'!$A:$N,13,FALSE),""))</f>
        <v/>
      </c>
    </row>
    <row r="476" spans="4:70" ht="15" customHeight="1">
      <c r="D476" s="15" t="str">
        <f t="shared" si="43"/>
        <v/>
      </c>
      <c r="E476" s="15" t="str">
        <f t="shared" si="39"/>
        <v/>
      </c>
      <c r="F476" t="str">
        <f t="shared" si="40"/>
        <v/>
      </c>
      <c r="BL476" s="4" t="str">
        <f t="shared" si="41"/>
        <v/>
      </c>
      <c r="BM476" s="8" t="str">
        <f t="shared" si="42"/>
        <v/>
      </c>
      <c r="BP476" t="str">
        <f>IF($BO476="","",IFERROR(VLOOKUP($BO476,'01_Warehouse_Ledger'!$A:$N,4,FALSE),""))</f>
        <v/>
      </c>
      <c r="BQ476" t="str">
        <f>IF($BO476="","",IFERROR(VLOOKUP($BO476,'01_Warehouse_Ledger'!$A:$N,5,FALSE),""))</f>
        <v/>
      </c>
      <c r="BR476" t="str">
        <f>IF($BO476="","",IFERROR(VLOOKUP($BO476,'01_Warehouse_Ledger'!$A:$N,13,FALSE),""))</f>
        <v/>
      </c>
    </row>
    <row r="477" spans="4:70" ht="15" customHeight="1">
      <c r="D477" s="15" t="str">
        <f t="shared" si="43"/>
        <v/>
      </c>
      <c r="E477" s="15" t="str">
        <f t="shared" si="39"/>
        <v/>
      </c>
      <c r="F477" t="str">
        <f t="shared" si="40"/>
        <v/>
      </c>
      <c r="BL477" s="4" t="str">
        <f t="shared" si="41"/>
        <v/>
      </c>
      <c r="BM477" s="8" t="str">
        <f t="shared" si="42"/>
        <v/>
      </c>
      <c r="BP477" t="str">
        <f>IF($BO477="","",IFERROR(VLOOKUP($BO477,'01_Warehouse_Ledger'!$A:$N,4,FALSE),""))</f>
        <v/>
      </c>
      <c r="BQ477" t="str">
        <f>IF($BO477="","",IFERROR(VLOOKUP($BO477,'01_Warehouse_Ledger'!$A:$N,5,FALSE),""))</f>
        <v/>
      </c>
      <c r="BR477" t="str">
        <f>IF($BO477="","",IFERROR(VLOOKUP($BO477,'01_Warehouse_Ledger'!$A:$N,13,FALSE),""))</f>
        <v/>
      </c>
    </row>
    <row r="478" spans="4:70" ht="15" customHeight="1">
      <c r="D478" s="15" t="str">
        <f t="shared" si="43"/>
        <v/>
      </c>
      <c r="E478" s="15" t="str">
        <f t="shared" si="39"/>
        <v/>
      </c>
      <c r="F478" t="str">
        <f t="shared" si="40"/>
        <v/>
      </c>
      <c r="BL478" s="4" t="str">
        <f t="shared" si="41"/>
        <v/>
      </c>
      <c r="BM478" s="8" t="str">
        <f t="shared" si="42"/>
        <v/>
      </c>
      <c r="BP478" t="str">
        <f>IF($BO478="","",IFERROR(VLOOKUP($BO478,'01_Warehouse_Ledger'!$A:$N,4,FALSE),""))</f>
        <v/>
      </c>
      <c r="BQ478" t="str">
        <f>IF($BO478="","",IFERROR(VLOOKUP($BO478,'01_Warehouse_Ledger'!$A:$N,5,FALSE),""))</f>
        <v/>
      </c>
      <c r="BR478" t="str">
        <f>IF($BO478="","",IFERROR(VLOOKUP($BO478,'01_Warehouse_Ledger'!$A:$N,13,FALSE),""))</f>
        <v/>
      </c>
    </row>
    <row r="479" spans="4:70" ht="15" customHeight="1">
      <c r="D479" s="15" t="str">
        <f t="shared" si="43"/>
        <v/>
      </c>
      <c r="E479" s="15" t="str">
        <f t="shared" si="39"/>
        <v/>
      </c>
      <c r="F479" t="str">
        <f t="shared" si="40"/>
        <v/>
      </c>
      <c r="BL479" s="4" t="str">
        <f t="shared" si="41"/>
        <v/>
      </c>
      <c r="BM479" s="8" t="str">
        <f t="shared" si="42"/>
        <v/>
      </c>
      <c r="BP479" t="str">
        <f>IF($BO479="","",IFERROR(VLOOKUP($BO479,'01_Warehouse_Ledger'!$A:$N,4,FALSE),""))</f>
        <v/>
      </c>
      <c r="BQ479" t="str">
        <f>IF($BO479="","",IFERROR(VLOOKUP($BO479,'01_Warehouse_Ledger'!$A:$N,5,FALSE),""))</f>
        <v/>
      </c>
      <c r="BR479" t="str">
        <f>IF($BO479="","",IFERROR(VLOOKUP($BO479,'01_Warehouse_Ledger'!$A:$N,13,FALSE),""))</f>
        <v/>
      </c>
    </row>
    <row r="480" spans="4:70" ht="15" customHeight="1">
      <c r="D480" s="15" t="str">
        <f t="shared" si="43"/>
        <v/>
      </c>
      <c r="E480" s="15" t="str">
        <f t="shared" si="39"/>
        <v/>
      </c>
      <c r="F480" t="str">
        <f t="shared" si="40"/>
        <v/>
      </c>
      <c r="BL480" s="4" t="str">
        <f t="shared" si="41"/>
        <v/>
      </c>
      <c r="BM480" s="8" t="str">
        <f t="shared" si="42"/>
        <v/>
      </c>
      <c r="BP480" t="str">
        <f>IF($BO480="","",IFERROR(VLOOKUP($BO480,'01_Warehouse_Ledger'!$A:$N,4,FALSE),""))</f>
        <v/>
      </c>
      <c r="BQ480" t="str">
        <f>IF($BO480="","",IFERROR(VLOOKUP($BO480,'01_Warehouse_Ledger'!$A:$N,5,FALSE),""))</f>
        <v/>
      </c>
      <c r="BR480" t="str">
        <f>IF($BO480="","",IFERROR(VLOOKUP($BO480,'01_Warehouse_Ledger'!$A:$N,13,FALSE),""))</f>
        <v/>
      </c>
    </row>
    <row r="481" spans="4:70" ht="15" customHeight="1">
      <c r="D481" s="15" t="str">
        <f t="shared" si="43"/>
        <v/>
      </c>
      <c r="E481" s="15" t="str">
        <f t="shared" si="39"/>
        <v/>
      </c>
      <c r="F481" t="str">
        <f t="shared" si="40"/>
        <v/>
      </c>
      <c r="BL481" s="4" t="str">
        <f t="shared" si="41"/>
        <v/>
      </c>
      <c r="BM481" s="8" t="str">
        <f t="shared" si="42"/>
        <v/>
      </c>
      <c r="BP481" t="str">
        <f>IF($BO481="","",IFERROR(VLOOKUP($BO481,'01_Warehouse_Ledger'!$A:$N,4,FALSE),""))</f>
        <v/>
      </c>
      <c r="BQ481" t="str">
        <f>IF($BO481="","",IFERROR(VLOOKUP($BO481,'01_Warehouse_Ledger'!$A:$N,5,FALSE),""))</f>
        <v/>
      </c>
      <c r="BR481" t="str">
        <f>IF($BO481="","",IFERROR(VLOOKUP($BO481,'01_Warehouse_Ledger'!$A:$N,13,FALSE),""))</f>
        <v/>
      </c>
    </row>
    <row r="482" spans="4:70" ht="15" customHeight="1">
      <c r="D482" s="15" t="str">
        <f t="shared" si="43"/>
        <v/>
      </c>
      <c r="E482" s="15" t="str">
        <f t="shared" si="39"/>
        <v/>
      </c>
      <c r="F482" t="str">
        <f t="shared" si="40"/>
        <v/>
      </c>
      <c r="BL482" s="4" t="str">
        <f t="shared" si="41"/>
        <v/>
      </c>
      <c r="BM482" s="8" t="str">
        <f t="shared" si="42"/>
        <v/>
      </c>
      <c r="BP482" t="str">
        <f>IF($BO482="","",IFERROR(VLOOKUP($BO482,'01_Warehouse_Ledger'!$A:$N,4,FALSE),""))</f>
        <v/>
      </c>
      <c r="BQ482" t="str">
        <f>IF($BO482="","",IFERROR(VLOOKUP($BO482,'01_Warehouse_Ledger'!$A:$N,5,FALSE),""))</f>
        <v/>
      </c>
      <c r="BR482" t="str">
        <f>IF($BO482="","",IFERROR(VLOOKUP($BO482,'01_Warehouse_Ledger'!$A:$N,13,FALSE),""))</f>
        <v/>
      </c>
    </row>
    <row r="483" spans="4:70" ht="15" customHeight="1">
      <c r="D483" s="15" t="str">
        <f t="shared" si="43"/>
        <v/>
      </c>
      <c r="E483" s="15" t="str">
        <f t="shared" ref="E483:E522" si="44">IF($A483="","",IF($A483="Neuron",IF(OR(AND($S483&lt;&gt;"",LOWER(TRIM($S483))&lt;&gt;"n/a",COUNTIF($S$2:$S$528,$S483)&gt;1),AND($T483&lt;&gt;"",LOWER(TRIM($T483))&lt;&gt;"n/a",COUNTIF($T$2:$T$528,$T483)&gt;1),AND($W483&lt;&gt;"",LOWER(TRIM($W483))&lt;&gt;"n/a",COUNTIF($W$2:$W$528,$W483)&gt;1)),"Yes","No"),IF($A483="Cybernet",IF(OR(AND($Y483&lt;&gt;"",LOWER(TRIM($Y483))&lt;&gt;"n/a",COUNTIF($Y$2:$Y$528,$Y483)&gt;1),AND($Z483&lt;&gt;"",LOWER(TRIM($Z483))&lt;&gt;"n/a",COUNTIF($Z$2:$Z$528,$Z483)&gt;1)),"Yes","No"),IF(AND($AL483&lt;&gt;"",LOWER(TRIM($AL483))&lt;&gt;"n/a",COUNTIF($AL$2:$AL$528,$AL483)&gt;1),"Yes","No"))))</f>
        <v/>
      </c>
      <c r="F483" t="str">
        <f t="shared" ref="F483:F504" si="45">IF($B483&lt;&gt;"Yes","",
IF($A483="Neuron",
IF(OR(
AND($S483&lt;&gt;"",LOWER(TRIM($S483))&lt;&gt;"n/a",COUNTIFS($B$2:$B$528,"Yes",$A$2:$A$528,"Neuron",$S$2:$S$528,$S483)&gt;1),
AND($T483&lt;&gt;"",LOWER(TRIM($T483))&lt;&gt;"n/a",COUNTIFS($B$2:$B$528,"Yes",$A$2:$A$528,"Neuron",$T$2:$T$528,$T483)&gt;1),
AND($W483&lt;&gt;"",LOWER(TRIM($W483))&lt;&gt;"n/a",COUNTIFS($B$2:$B$528,"Yes",$A$2:$A$528,"Neuron",$W$2:$W$528,$W483)&gt;1)
),"Yes","No"),
IF($A483="Cybernet",
IF(OR(
AND($Y483&lt;&gt;"",LOWER(TRIM($Y483))&lt;&gt;"n/a",COUNTIFS($B$2:$B$528,"Yes",$A$2:$A$528,"Cybernet",$Y$2:$Y$528,$Y483)&gt;1),
AND($Z483&lt;&gt;"",LOWER(TRIM($Z483))&lt;&gt;"n/a",COUNTIFS($B$2:$B$528,"Yes",$A$2:$A$528,"Cybernet",$Z$2:$Z$528,$Z483)&gt;1)
),"Yes","No"),
IF(AND($AL483&lt;&gt;"",LOWER(TRIM($AL483))&lt;&gt;"n/a"),
IF(COUNTIFS($B$2:$B$528,"Yes",$A$2:$A$528,$A483,$AL$2:$AL$528,$AL483)&gt;1,"Yes","No"),
"No")
)
)
)</f>
        <v/>
      </c>
      <c r="BL483" s="4" t="str">
        <f t="shared" si="41"/>
        <v/>
      </c>
      <c r="BM483" s="8" t="str">
        <f t="shared" si="42"/>
        <v/>
      </c>
      <c r="BP483" t="str">
        <f>IF($BO483="","",IFERROR(VLOOKUP($BO483,'01_Warehouse_Ledger'!$A:$N,4,FALSE),""))</f>
        <v/>
      </c>
      <c r="BQ483" t="str">
        <f>IF($BO483="","",IFERROR(VLOOKUP($BO483,'01_Warehouse_Ledger'!$A:$N,5,FALSE),""))</f>
        <v/>
      </c>
      <c r="BR483" t="str">
        <f>IF($BO483="","",IFERROR(VLOOKUP($BO483,'01_Warehouse_Ledger'!$A:$N,13,FALSE),""))</f>
        <v/>
      </c>
    </row>
    <row r="484" spans="4:70" ht="15" customHeight="1">
      <c r="D484" s="15" t="str">
        <f t="shared" si="43"/>
        <v/>
      </c>
      <c r="E484" s="15" t="str">
        <f t="shared" si="44"/>
        <v/>
      </c>
      <c r="F484" t="str">
        <f t="shared" si="45"/>
        <v/>
      </c>
      <c r="BL484" s="4" t="str">
        <f t="shared" si="41"/>
        <v/>
      </c>
      <c r="BM484" s="8" t="str">
        <f t="shared" si="42"/>
        <v/>
      </c>
      <c r="BP484" t="str">
        <f>IF($BO484="","",IFERROR(VLOOKUP($BO484,'01_Warehouse_Ledger'!$A:$N,4,FALSE),""))</f>
        <v/>
      </c>
      <c r="BQ484" t="str">
        <f>IF($BO484="","",IFERROR(VLOOKUP($BO484,'01_Warehouse_Ledger'!$A:$N,5,FALSE),""))</f>
        <v/>
      </c>
      <c r="BR484" t="str">
        <f>IF($BO484="","",IFERROR(VLOOKUP($BO484,'01_Warehouse_Ledger'!$A:$N,13,FALSE),""))</f>
        <v/>
      </c>
    </row>
    <row r="485" spans="4:70" ht="15" customHeight="1">
      <c r="D485" s="15" t="str">
        <f t="shared" si="43"/>
        <v/>
      </c>
      <c r="E485" s="15" t="str">
        <f t="shared" si="44"/>
        <v/>
      </c>
      <c r="F485" t="str">
        <f t="shared" si="45"/>
        <v/>
      </c>
      <c r="BL485" s="4" t="str">
        <f t="shared" si="41"/>
        <v/>
      </c>
      <c r="BM485" s="8" t="str">
        <f t="shared" si="42"/>
        <v/>
      </c>
      <c r="BP485" t="str">
        <f>IF($BO485="","",IFERROR(VLOOKUP($BO485,'01_Warehouse_Ledger'!$A:$N,4,FALSE),""))</f>
        <v/>
      </c>
      <c r="BQ485" t="str">
        <f>IF($BO485="","",IFERROR(VLOOKUP($BO485,'01_Warehouse_Ledger'!$A:$N,5,FALSE),""))</f>
        <v/>
      </c>
      <c r="BR485" t="str">
        <f>IF($BO485="","",IFERROR(VLOOKUP($BO485,'01_Warehouse_Ledger'!$A:$N,13,FALSE),""))</f>
        <v/>
      </c>
    </row>
    <row r="486" spans="4:70" ht="15" customHeight="1">
      <c r="D486" s="15" t="str">
        <f t="shared" si="43"/>
        <v/>
      </c>
      <c r="E486" s="15" t="str">
        <f t="shared" si="44"/>
        <v/>
      </c>
      <c r="F486" t="str">
        <f t="shared" si="45"/>
        <v/>
      </c>
      <c r="BL486" s="4" t="str">
        <f t="shared" si="41"/>
        <v/>
      </c>
      <c r="BM486" s="8" t="str">
        <f t="shared" si="42"/>
        <v/>
      </c>
      <c r="BP486" t="str">
        <f>IF($BO486="","",IFERROR(VLOOKUP($BO486,'01_Warehouse_Ledger'!$A:$N,4,FALSE),""))</f>
        <v/>
      </c>
      <c r="BQ486" t="str">
        <f>IF($BO486="","",IFERROR(VLOOKUP($BO486,'01_Warehouse_Ledger'!$A:$N,5,FALSE),""))</f>
        <v/>
      </c>
      <c r="BR486" t="str">
        <f>IF($BO486="","",IFERROR(VLOOKUP($BO486,'01_Warehouse_Ledger'!$A:$N,13,FALSE),""))</f>
        <v/>
      </c>
    </row>
    <row r="487" spans="4:70" ht="15" customHeight="1">
      <c r="D487" s="15" t="str">
        <f t="shared" si="43"/>
        <v/>
      </c>
      <c r="E487" s="15" t="str">
        <f t="shared" si="44"/>
        <v/>
      </c>
      <c r="F487" t="str">
        <f t="shared" si="45"/>
        <v/>
      </c>
      <c r="BL487" s="4" t="str">
        <f t="shared" si="41"/>
        <v/>
      </c>
      <c r="BM487" s="8" t="str">
        <f t="shared" si="42"/>
        <v/>
      </c>
      <c r="BP487" t="str">
        <f>IF($BO487="","",IFERROR(VLOOKUP($BO487,'01_Warehouse_Ledger'!$A:$N,4,FALSE),""))</f>
        <v/>
      </c>
      <c r="BQ487" t="str">
        <f>IF($BO487="","",IFERROR(VLOOKUP($BO487,'01_Warehouse_Ledger'!$A:$N,5,FALSE),""))</f>
        <v/>
      </c>
      <c r="BR487" t="str">
        <f>IF($BO487="","",IFERROR(VLOOKUP($BO487,'01_Warehouse_Ledger'!$A:$N,13,FALSE),""))</f>
        <v/>
      </c>
    </row>
    <row r="488" spans="4:70" ht="15" customHeight="1">
      <c r="D488" s="15" t="str">
        <f t="shared" si="43"/>
        <v/>
      </c>
      <c r="E488" s="15" t="str">
        <f t="shared" si="44"/>
        <v/>
      </c>
      <c r="F488" t="str">
        <f t="shared" si="45"/>
        <v/>
      </c>
      <c r="BL488" s="4" t="str">
        <f t="shared" si="41"/>
        <v/>
      </c>
      <c r="BM488" s="8" t="str">
        <f t="shared" si="42"/>
        <v/>
      </c>
      <c r="BP488" t="str">
        <f>IF($BO488="","",IFERROR(VLOOKUP($BO488,'01_Warehouse_Ledger'!$A:$N,4,FALSE),""))</f>
        <v/>
      </c>
      <c r="BQ488" t="str">
        <f>IF($BO488="","",IFERROR(VLOOKUP($BO488,'01_Warehouse_Ledger'!$A:$N,5,FALSE),""))</f>
        <v/>
      </c>
      <c r="BR488" t="str">
        <f>IF($BO488="","",IFERROR(VLOOKUP($BO488,'01_Warehouse_Ledger'!$A:$N,13,FALSE),""))</f>
        <v/>
      </c>
    </row>
    <row r="489" spans="4:70" ht="15" customHeight="1">
      <c r="D489" s="15" t="str">
        <f t="shared" si="43"/>
        <v/>
      </c>
      <c r="E489" s="15" t="str">
        <f t="shared" si="44"/>
        <v/>
      </c>
      <c r="F489" t="str">
        <f t="shared" si="45"/>
        <v/>
      </c>
      <c r="BL489" s="4" t="str">
        <f t="shared" si="41"/>
        <v/>
      </c>
      <c r="BM489" s="8" t="str">
        <f t="shared" si="42"/>
        <v/>
      </c>
      <c r="BP489" t="str">
        <f>IF($BO489="","",IFERROR(VLOOKUP($BO489,'01_Warehouse_Ledger'!$A:$N,4,FALSE),""))</f>
        <v/>
      </c>
      <c r="BQ489" t="str">
        <f>IF($BO489="","",IFERROR(VLOOKUP($BO489,'01_Warehouse_Ledger'!$A:$N,5,FALSE),""))</f>
        <v/>
      </c>
      <c r="BR489" t="str">
        <f>IF($BO489="","",IFERROR(VLOOKUP($BO489,'01_Warehouse_Ledger'!$A:$N,13,FALSE),""))</f>
        <v/>
      </c>
    </row>
    <row r="490" spans="4:70" ht="15" customHeight="1">
      <c r="D490" s="15" t="str">
        <f t="shared" si="43"/>
        <v/>
      </c>
      <c r="E490" s="15" t="str">
        <f t="shared" si="44"/>
        <v/>
      </c>
      <c r="F490" t="str">
        <f t="shared" si="45"/>
        <v/>
      </c>
      <c r="BL490" s="4" t="str">
        <f t="shared" si="41"/>
        <v/>
      </c>
      <c r="BM490" s="8" t="str">
        <f t="shared" si="42"/>
        <v/>
      </c>
      <c r="BP490" t="str">
        <f>IF($BO490="","",IFERROR(VLOOKUP($BO490,'01_Warehouse_Ledger'!$A:$N,4,FALSE),""))</f>
        <v/>
      </c>
      <c r="BQ490" t="str">
        <f>IF($BO490="","",IFERROR(VLOOKUP($BO490,'01_Warehouse_Ledger'!$A:$N,5,FALSE),""))</f>
        <v/>
      </c>
      <c r="BR490" t="str">
        <f>IF($BO490="","",IFERROR(VLOOKUP($BO490,'01_Warehouse_Ledger'!$A:$N,13,FALSE),""))</f>
        <v/>
      </c>
    </row>
    <row r="491" spans="4:70" ht="15" customHeight="1">
      <c r="D491" s="15" t="str">
        <f t="shared" si="43"/>
        <v/>
      </c>
      <c r="E491" s="15" t="str">
        <f t="shared" si="44"/>
        <v/>
      </c>
      <c r="F491" t="str">
        <f t="shared" si="45"/>
        <v/>
      </c>
      <c r="BL491" s="4" t="str">
        <f t="shared" si="41"/>
        <v/>
      </c>
      <c r="BM491" s="8" t="str">
        <f t="shared" si="42"/>
        <v/>
      </c>
      <c r="BP491" t="str">
        <f>IF($BO491="","",IFERROR(VLOOKUP($BO491,'01_Warehouse_Ledger'!$A:$N,4,FALSE),""))</f>
        <v/>
      </c>
      <c r="BQ491" t="str">
        <f>IF($BO491="","",IFERROR(VLOOKUP($BO491,'01_Warehouse_Ledger'!$A:$N,5,FALSE),""))</f>
        <v/>
      </c>
      <c r="BR491" t="str">
        <f>IF($BO491="","",IFERROR(VLOOKUP($BO491,'01_Warehouse_Ledger'!$A:$N,13,FALSE),""))</f>
        <v/>
      </c>
    </row>
    <row r="492" spans="4:70" ht="15" customHeight="1">
      <c r="D492" s="15" t="str">
        <f t="shared" si="43"/>
        <v/>
      </c>
      <c r="E492" s="15" t="str">
        <f t="shared" si="44"/>
        <v/>
      </c>
      <c r="F492" t="str">
        <f t="shared" si="45"/>
        <v/>
      </c>
      <c r="BL492" s="4" t="str">
        <f t="shared" si="41"/>
        <v/>
      </c>
      <c r="BM492" s="8" t="str">
        <f t="shared" si="42"/>
        <v/>
      </c>
      <c r="BP492" t="str">
        <f>IF($BO492="","",IFERROR(VLOOKUP($BO492,'01_Warehouse_Ledger'!$A:$N,4,FALSE),""))</f>
        <v/>
      </c>
      <c r="BQ492" t="str">
        <f>IF($BO492="","",IFERROR(VLOOKUP($BO492,'01_Warehouse_Ledger'!$A:$N,5,FALSE),""))</f>
        <v/>
      </c>
      <c r="BR492" t="str">
        <f>IF($BO492="","",IFERROR(VLOOKUP($BO492,'01_Warehouse_Ledger'!$A:$N,13,FALSE),""))</f>
        <v/>
      </c>
    </row>
    <row r="493" spans="4:70" ht="15" customHeight="1">
      <c r="D493" s="15" t="str">
        <f t="shared" si="43"/>
        <v/>
      </c>
      <c r="E493" s="15" t="str">
        <f t="shared" si="44"/>
        <v/>
      </c>
      <c r="F493" t="str">
        <f t="shared" si="45"/>
        <v/>
      </c>
      <c r="BL493" s="4" t="str">
        <f t="shared" si="41"/>
        <v/>
      </c>
      <c r="BM493" s="8" t="str">
        <f t="shared" si="42"/>
        <v/>
      </c>
      <c r="BP493" t="str">
        <f>IF($BO493="","",IFERROR(VLOOKUP($BO493,'01_Warehouse_Ledger'!$A:$N,4,FALSE),""))</f>
        <v/>
      </c>
      <c r="BQ493" t="str">
        <f>IF($BO493="","",IFERROR(VLOOKUP($BO493,'01_Warehouse_Ledger'!$A:$N,5,FALSE),""))</f>
        <v/>
      </c>
      <c r="BR493" t="str">
        <f>IF($BO493="","",IFERROR(VLOOKUP($BO493,'01_Warehouse_Ledger'!$A:$N,13,FALSE),""))</f>
        <v/>
      </c>
    </row>
    <row r="494" spans="4:70" ht="15" customHeight="1">
      <c r="D494" s="15" t="str">
        <f t="shared" si="43"/>
        <v/>
      </c>
      <c r="E494" s="15" t="str">
        <f t="shared" si="44"/>
        <v/>
      </c>
      <c r="F494" t="str">
        <f t="shared" si="45"/>
        <v/>
      </c>
      <c r="BL494" s="4" t="str">
        <f t="shared" si="41"/>
        <v/>
      </c>
      <c r="BM494" s="8" t="str">
        <f t="shared" si="42"/>
        <v/>
      </c>
      <c r="BP494" t="str">
        <f>IF($BO494="","",IFERROR(VLOOKUP($BO494,'01_Warehouse_Ledger'!$A:$N,4,FALSE),""))</f>
        <v/>
      </c>
      <c r="BQ494" t="str">
        <f>IF($BO494="","",IFERROR(VLOOKUP($BO494,'01_Warehouse_Ledger'!$A:$N,5,FALSE),""))</f>
        <v/>
      </c>
      <c r="BR494" t="str">
        <f>IF($BO494="","",IFERROR(VLOOKUP($BO494,'01_Warehouse_Ledger'!$A:$N,13,FALSE),""))</f>
        <v/>
      </c>
    </row>
    <row r="495" spans="4:70" ht="15" customHeight="1">
      <c r="D495" s="15" t="str">
        <f t="shared" si="43"/>
        <v/>
      </c>
      <c r="E495" s="15" t="str">
        <f t="shared" si="44"/>
        <v/>
      </c>
      <c r="F495" t="str">
        <f t="shared" si="45"/>
        <v/>
      </c>
      <c r="BL495" s="4" t="str">
        <f t="shared" si="41"/>
        <v/>
      </c>
      <c r="BM495" s="8" t="str">
        <f t="shared" si="42"/>
        <v/>
      </c>
      <c r="BP495" t="str">
        <f>IF($BO495="","",IFERROR(VLOOKUP($BO495,'01_Warehouse_Ledger'!$A:$N,4,FALSE),""))</f>
        <v/>
      </c>
      <c r="BQ495" t="str">
        <f>IF($BO495="","",IFERROR(VLOOKUP($BO495,'01_Warehouse_Ledger'!$A:$N,5,FALSE),""))</f>
        <v/>
      </c>
      <c r="BR495" t="str">
        <f>IF($BO495="","",IFERROR(VLOOKUP($BO495,'01_Warehouse_Ledger'!$A:$N,13,FALSE),""))</f>
        <v/>
      </c>
    </row>
    <row r="496" spans="4:70" ht="15" customHeight="1">
      <c r="D496" s="15" t="str">
        <f t="shared" si="43"/>
        <v/>
      </c>
      <c r="E496" s="15" t="str">
        <f t="shared" si="44"/>
        <v/>
      </c>
      <c r="F496" t="str">
        <f t="shared" si="45"/>
        <v/>
      </c>
      <c r="BL496" s="4" t="str">
        <f t="shared" si="41"/>
        <v/>
      </c>
      <c r="BM496" s="8" t="str">
        <f t="shared" si="42"/>
        <v/>
      </c>
      <c r="BP496" t="str">
        <f>IF($BO496="","",IFERROR(VLOOKUP($BO496,'01_Warehouse_Ledger'!$A:$N,4,FALSE),""))</f>
        <v/>
      </c>
      <c r="BQ496" t="str">
        <f>IF($BO496="","",IFERROR(VLOOKUP($BO496,'01_Warehouse_Ledger'!$A:$N,5,FALSE),""))</f>
        <v/>
      </c>
      <c r="BR496" t="str">
        <f>IF($BO496="","",IFERROR(VLOOKUP($BO496,'01_Warehouse_Ledger'!$A:$N,13,FALSE),""))</f>
        <v/>
      </c>
    </row>
    <row r="497" spans="1:70" ht="15" customHeight="1">
      <c r="D497" s="15" t="str">
        <f t="shared" si="43"/>
        <v/>
      </c>
      <c r="E497" s="15" t="str">
        <f t="shared" si="44"/>
        <v/>
      </c>
      <c r="F497" t="str">
        <f t="shared" si="45"/>
        <v/>
      </c>
      <c r="BL497" s="4" t="str">
        <f t="shared" si="41"/>
        <v/>
      </c>
      <c r="BM497" s="8" t="str">
        <f t="shared" si="42"/>
        <v/>
      </c>
      <c r="BP497" t="str">
        <f>IF($BO497="","",IFERROR(VLOOKUP($BO497,'01_Warehouse_Ledger'!$A:$N,4,FALSE),""))</f>
        <v/>
      </c>
      <c r="BQ497" t="str">
        <f>IF($BO497="","",IFERROR(VLOOKUP($BO497,'01_Warehouse_Ledger'!$A:$N,5,FALSE),""))</f>
        <v/>
      </c>
      <c r="BR497" t="str">
        <f>IF($BO497="","",IFERROR(VLOOKUP($BO497,'01_Warehouse_Ledger'!$A:$N,13,FALSE),""))</f>
        <v/>
      </c>
    </row>
    <row r="498" spans="1:70" ht="15" customHeight="1">
      <c r="D498" s="15" t="str">
        <f t="shared" si="43"/>
        <v/>
      </c>
      <c r="E498" s="15" t="str">
        <f t="shared" si="44"/>
        <v/>
      </c>
      <c r="F498" t="str">
        <f t="shared" si="45"/>
        <v/>
      </c>
      <c r="BL498" s="4" t="str">
        <f t="shared" si="41"/>
        <v/>
      </c>
      <c r="BM498" s="8" t="str">
        <f t="shared" si="42"/>
        <v/>
      </c>
      <c r="BP498" t="str">
        <f>IF($BO498="","",IFERROR(VLOOKUP($BO498,'01_Warehouse_Ledger'!$A:$N,4,FALSE),""))</f>
        <v/>
      </c>
      <c r="BQ498" t="str">
        <f>IF($BO498="","",IFERROR(VLOOKUP($BO498,'01_Warehouse_Ledger'!$A:$N,5,FALSE),""))</f>
        <v/>
      </c>
      <c r="BR498" t="str">
        <f>IF($BO498="","",IFERROR(VLOOKUP($BO498,'01_Warehouse_Ledger'!$A:$N,13,FALSE),""))</f>
        <v/>
      </c>
    </row>
    <row r="499" spans="1:70" ht="15" customHeight="1">
      <c r="D499" s="15" t="str">
        <f t="shared" si="43"/>
        <v/>
      </c>
      <c r="E499" s="15" t="str">
        <f t="shared" si="44"/>
        <v/>
      </c>
      <c r="F499" t="str">
        <f t="shared" si="45"/>
        <v/>
      </c>
      <c r="BL499" s="4" t="str">
        <f t="shared" ref="BL499:BL504" si="46">IF($T499="","",IF((IF(AND($AW499&lt;&gt;"Yes",$AW499&lt;&gt;"N/A"),"Power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",""))="","",LEFT(IF(AND($AW499&lt;&gt;"Yes",$AW499&lt;&gt;"N/A"),"Power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",""),LEN(IF(AND($AW499&lt;&gt;"Yes",$AW499&lt;&gt;"N/A"),"Power Cable, ","")&amp;IF(AND($AX499&lt;&gt;"Yes",$AX499&lt;&gt;"N/A"),"Battery, ","")&amp;IF(AND($BE499&lt;&gt;"Yes",$BE499&lt;&gt;"N/A"),"Firmware Download, ","")&amp;IF(AND(OR($BE499="Yes",$BE499="N/A"),$BF499&lt;&gt;"Yes",$BF499&lt;&gt;"N/A"),"Firmware Install, ","")&amp;IF(AND($BJ499&lt;&gt;"Yes",$BJ499&lt;&gt;"N/A"),"Device ID, ","")&amp;IF(AND($BK499&lt;&gt;"Yes",$BK499&lt;&gt;"N/A"),"Epic Beans Relay, ",""))-2)))</f>
        <v/>
      </c>
      <c r="BM499" s="8" t="str">
        <f t="shared" ref="BM499:BM504" si="47">IF($T499="","",IF($BL499="","Yes","Blocked"))</f>
        <v/>
      </c>
      <c r="BP499" t="str">
        <f>IF($BO499="","",IFERROR(VLOOKUP($BO499,'01_Warehouse_Ledger'!$A:$N,4,FALSE),""))</f>
        <v/>
      </c>
      <c r="BQ499" t="str">
        <f>IF($BO499="","",IFERROR(VLOOKUP($BO499,'01_Warehouse_Ledger'!$A:$N,5,FALSE),""))</f>
        <v/>
      </c>
      <c r="BR499" t="str">
        <f>IF($BO499="","",IFERROR(VLOOKUP($BO499,'01_Warehouse_Ledger'!$A:$N,13,FALSE),""))</f>
        <v/>
      </c>
    </row>
    <row r="500" spans="1:70" ht="15" customHeight="1">
      <c r="D500" s="15" t="str">
        <f t="shared" si="43"/>
        <v/>
      </c>
      <c r="E500" s="15" t="str">
        <f t="shared" si="44"/>
        <v/>
      </c>
      <c r="F500" t="str">
        <f t="shared" si="45"/>
        <v/>
      </c>
      <c r="BL500" s="4" t="str">
        <f t="shared" si="46"/>
        <v/>
      </c>
      <c r="BM500" s="8" t="str">
        <f t="shared" si="47"/>
        <v/>
      </c>
      <c r="BP500" t="str">
        <f>IF($BO500="","",IFERROR(VLOOKUP($BO500,'01_Warehouse_Ledger'!$A:$N,4,FALSE),""))</f>
        <v/>
      </c>
      <c r="BQ500" t="str">
        <f>IF($BO500="","",IFERROR(VLOOKUP($BO500,'01_Warehouse_Ledger'!$A:$N,5,FALSE),""))</f>
        <v/>
      </c>
      <c r="BR500" t="str">
        <f>IF($BO500="","",IFERROR(VLOOKUP($BO500,'01_Warehouse_Ledger'!$A:$N,13,FALSE),""))</f>
        <v/>
      </c>
    </row>
    <row r="501" spans="1:70" ht="15" customHeight="1">
      <c r="D501" s="15" t="str">
        <f t="shared" si="43"/>
        <v/>
      </c>
      <c r="E501" s="15" t="str">
        <f t="shared" si="44"/>
        <v/>
      </c>
      <c r="F501" t="str">
        <f t="shared" si="45"/>
        <v/>
      </c>
      <c r="BL501" s="4" t="str">
        <f t="shared" si="46"/>
        <v/>
      </c>
      <c r="BM501" s="8" t="str">
        <f t="shared" si="47"/>
        <v/>
      </c>
      <c r="BP501" t="str">
        <f>IF($BO501="","",IFERROR(VLOOKUP($BO501,'01_Warehouse_Ledger'!$A:$N,4,FALSE),""))</f>
        <v/>
      </c>
      <c r="BQ501" t="str">
        <f>IF($BO501="","",IFERROR(VLOOKUP($BO501,'01_Warehouse_Ledger'!$A:$N,5,FALSE),""))</f>
        <v/>
      </c>
      <c r="BR501" t="str">
        <f>IF($BO501="","",IFERROR(VLOOKUP($BO501,'01_Warehouse_Ledger'!$A:$N,13,FALSE),""))</f>
        <v/>
      </c>
    </row>
    <row r="502" spans="1:70" ht="15" customHeight="1">
      <c r="D502" s="15" t="str">
        <f t="shared" si="43"/>
        <v/>
      </c>
      <c r="E502" s="15" t="str">
        <f t="shared" si="44"/>
        <v/>
      </c>
      <c r="F502" t="str">
        <f t="shared" si="45"/>
        <v/>
      </c>
      <c r="BL502" s="4" t="str">
        <f t="shared" si="46"/>
        <v/>
      </c>
      <c r="BM502" s="8" t="str">
        <f t="shared" si="47"/>
        <v/>
      </c>
      <c r="BP502" t="str">
        <f>IF($BO502="","",IFERROR(VLOOKUP($BO502,'01_Warehouse_Ledger'!$A:$N,4,FALSE),""))</f>
        <v/>
      </c>
      <c r="BQ502" t="str">
        <f>IF($BO502="","",IFERROR(VLOOKUP($BO502,'01_Warehouse_Ledger'!$A:$N,5,FALSE),""))</f>
        <v/>
      </c>
      <c r="BR502" t="str">
        <f>IF($BO502="","",IFERROR(VLOOKUP($BO502,'01_Warehouse_Ledger'!$A:$N,13,FALSE),""))</f>
        <v/>
      </c>
    </row>
    <row r="503" spans="1:70" ht="15" customHeight="1">
      <c r="D503" s="15" t="str">
        <f t="shared" si="43"/>
        <v/>
      </c>
      <c r="E503" s="15" t="str">
        <f t="shared" si="44"/>
        <v/>
      </c>
      <c r="F503" t="str">
        <f t="shared" si="45"/>
        <v/>
      </c>
      <c r="BL503" s="4" t="str">
        <f t="shared" si="46"/>
        <v/>
      </c>
      <c r="BM503" s="8" t="str">
        <f t="shared" si="47"/>
        <v/>
      </c>
      <c r="BP503" t="str">
        <f>IF($BO503="","",IFERROR(VLOOKUP($BO503,'01_Warehouse_Ledger'!$A:$N,4,FALSE),""))</f>
        <v/>
      </c>
      <c r="BQ503" t="str">
        <f>IF($BO503="","",IFERROR(VLOOKUP($BO503,'01_Warehouse_Ledger'!$A:$N,5,FALSE),""))</f>
        <v/>
      </c>
      <c r="BR503" t="str">
        <f>IF($BO503="","",IFERROR(VLOOKUP($BO503,'01_Warehouse_Ledger'!$A:$N,13,FALSE),""))</f>
        <v/>
      </c>
    </row>
    <row r="504" spans="1:70" ht="15" customHeight="1">
      <c r="D504" s="15" t="str">
        <f t="shared" si="43"/>
        <v/>
      </c>
      <c r="E504" s="15" t="str">
        <f t="shared" si="44"/>
        <v/>
      </c>
      <c r="F504" t="str">
        <f t="shared" si="45"/>
        <v/>
      </c>
      <c r="BL504" s="4" t="str">
        <f t="shared" si="46"/>
        <v/>
      </c>
      <c r="BM504" s="8" t="str">
        <f t="shared" si="47"/>
        <v/>
      </c>
      <c r="BP504" t="str">
        <f>IF($BO504="","",IFERROR(VLOOKUP($BO504,'01_Warehouse_Ledger'!$A:$N,4,FALSE),""))</f>
        <v/>
      </c>
      <c r="BQ504" t="str">
        <f>IF($BO504="","",IFERROR(VLOOKUP($BO504,'01_Warehouse_Ledger'!$A:$N,5,FALSE),""))</f>
        <v/>
      </c>
      <c r="BR504" t="str">
        <f>IF($BO504="","",IFERROR(VLOOKUP($BO504,'01_Warehouse_Ledger'!$A:$N,13,FALSE),""))</f>
        <v/>
      </c>
    </row>
    <row r="505" spans="1:70" ht="15" customHeight="1">
      <c r="A505" s="70"/>
      <c r="D505" s="15" t="str">
        <f t="shared" si="43"/>
        <v/>
      </c>
      <c r="E505" s="15" t="str">
        <f t="shared" si="44"/>
        <v/>
      </c>
      <c r="F505" t="str">
        <f t="shared" ref="F505:F522" si="48">IF($B505&lt;&gt;"Yes","",IF($A505="Neuron",IF(OR(AND($S505&lt;&gt;"",LOWER(TRIM($S505))&lt;&gt;"n/a",COUNTIFS($B$2:$B$528,"Yes",$A$2:$A$528,"Neuron",$S$2:$S$528,$S505)&gt;1),AND($T505&lt;&gt;"",LOWER(TRIM($T505))&lt;&gt;"n/a",COUNTIFS($B$2:$B$528,"Yes",$A$2:$A$528,"Neuron",$T$2:$T$528,$T505)&gt;1),AND($W505&lt;&gt;"",LOWER(TRIM($W505))&lt;&gt;"n/a",COUNTIFS($B$2:$B$528,"Yes",$A$2:$A$528,"Neuron",$W$2:$W$528,$W505)&gt;1)),"Yes","No"),IF($A505="Cybernet",IF(OR(AND($Y505&lt;&gt;"",LOWER(TRIM($Y505))&lt;&gt;"n/a",COUNTIFS($B$2:$B$528,"Yes",$A$2:$A$528,"Cybernet",$Y$2:$Y$528,$Y505)&gt;1),AND($Z505&lt;&gt;"",LOWER(TRIM($Z505))&lt;&gt;"n/a",COUNTIFS($B$2:$B$528,"Yes",$A$2:$A$528,"Cybernet",$Z$2:$Z$528,$Z505)&gt;1)),"Yes","No"),IF(AND($AL505&lt;&gt;"",LOWER(TRIM($AL505))&lt;&gt;"n/a"),IF(COUNTIFS($B$2:$B$528,"Yes",$A$2:$A$528,$A505,$AL$2:$AL$528,$AL505)&gt;1,"Yes","No"),"No"))))</f>
        <v/>
      </c>
      <c r="BL505" t="str">
        <f t="shared" ref="BL505:BL522" si="49">IF($T505="","",IF((IF(AND($AW505&lt;&gt;"Yes",$AW505&lt;&gt;"N/A"),"Power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",""))="","",LEFT(IF(AND($AW505&lt;&gt;"Yes",$AW505&lt;&gt;"N/A"),"Power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",""),LEN(IF(AND($AW505&lt;&gt;"Yes",$AW505&lt;&gt;"N/A"),"Power Cable, ","")&amp;IF(AND($AX505&lt;&gt;"Yes",$AX505&lt;&gt;"N/A"),"Battery, ","")&amp;IF(AND($BE505&lt;&gt;"Yes",$BE505&lt;&gt;"N/A"),"Firmware Download, ","")&amp;IF(AND(OR($BE505="Yes",$BE505="N/A"),$BF505&lt;&gt;"Yes",$BF505&lt;&gt;"N/A"),"Firmware Install, ","")&amp;IF(AND($BJ505&lt;&gt;"Yes",$BJ505&lt;&gt;"N/A"),"Device ID, ","")&amp;IF(AND($BK505&lt;&gt;"Yes",$BK505&lt;&gt;"N/A"),"Epic Beans Relay, ",""))-2)))</f>
        <v/>
      </c>
      <c r="BM505" t="str">
        <f t="shared" ref="BM505:BM527" si="50">IF($T505="","",IF($BL505="","Yes","Blocked"))</f>
        <v/>
      </c>
    </row>
    <row r="506" spans="1:70" ht="15" customHeight="1">
      <c r="A506" s="26"/>
      <c r="B506" s="26"/>
      <c r="C506" s="71"/>
      <c r="D506" s="15" t="str">
        <f t="shared" si="43"/>
        <v/>
      </c>
      <c r="E506" s="15" t="str">
        <f t="shared" si="44"/>
        <v/>
      </c>
      <c r="F506" t="str">
        <f t="shared" si="48"/>
        <v/>
      </c>
      <c r="BL506" t="str">
        <f t="shared" si="49"/>
        <v/>
      </c>
      <c r="BM506" t="str">
        <f t="shared" si="50"/>
        <v/>
      </c>
    </row>
    <row r="507" spans="1:70" ht="15" customHeight="1">
      <c r="D507" s="15" t="str">
        <f t="shared" si="43"/>
        <v/>
      </c>
      <c r="E507" s="15" t="str">
        <f t="shared" si="44"/>
        <v/>
      </c>
      <c r="F507" t="str">
        <f t="shared" si="48"/>
        <v/>
      </c>
      <c r="BL507" t="str">
        <f t="shared" si="49"/>
        <v/>
      </c>
      <c r="BM507" t="str">
        <f t="shared" si="50"/>
        <v/>
      </c>
    </row>
    <row r="508" spans="1:70" ht="15" customHeight="1">
      <c r="D508" s="15" t="str">
        <f t="shared" si="43"/>
        <v/>
      </c>
      <c r="E508" s="15" t="str">
        <f t="shared" si="44"/>
        <v/>
      </c>
      <c r="F508" t="str">
        <f t="shared" si="48"/>
        <v/>
      </c>
      <c r="BL508" t="str">
        <f t="shared" si="49"/>
        <v/>
      </c>
      <c r="BM508" t="str">
        <f t="shared" si="50"/>
        <v/>
      </c>
    </row>
    <row r="509" spans="1:70" ht="15" customHeight="1">
      <c r="D509" s="15" t="str">
        <f t="shared" si="43"/>
        <v/>
      </c>
      <c r="E509" s="15" t="str">
        <f t="shared" si="44"/>
        <v/>
      </c>
      <c r="F509" t="str">
        <f t="shared" si="48"/>
        <v/>
      </c>
      <c r="BL509" t="str">
        <f t="shared" si="49"/>
        <v/>
      </c>
      <c r="BM509" t="str">
        <f t="shared" si="50"/>
        <v/>
      </c>
    </row>
    <row r="510" spans="1:70" ht="15" customHeight="1">
      <c r="D510" s="15" t="str">
        <f t="shared" si="43"/>
        <v/>
      </c>
      <c r="E510" s="15" t="str">
        <f t="shared" si="44"/>
        <v/>
      </c>
      <c r="F510" t="str">
        <f t="shared" si="48"/>
        <v/>
      </c>
      <c r="BL510" t="str">
        <f t="shared" si="49"/>
        <v/>
      </c>
      <c r="BM510" t="str">
        <f t="shared" si="50"/>
        <v/>
      </c>
    </row>
    <row r="511" spans="1:70" ht="15" customHeight="1">
      <c r="D511" s="15" t="str">
        <f t="shared" si="43"/>
        <v/>
      </c>
      <c r="E511" s="15" t="str">
        <f t="shared" si="44"/>
        <v/>
      </c>
      <c r="F511" t="str">
        <f t="shared" si="48"/>
        <v/>
      </c>
      <c r="BL511" t="str">
        <f t="shared" si="49"/>
        <v/>
      </c>
      <c r="BM511" t="str">
        <f t="shared" si="50"/>
        <v/>
      </c>
    </row>
    <row r="512" spans="1:70" ht="15" customHeight="1">
      <c r="C512" s="71"/>
      <c r="D512" s="15" t="str">
        <f t="shared" si="43"/>
        <v/>
      </c>
      <c r="E512" s="15" t="str">
        <f t="shared" si="44"/>
        <v/>
      </c>
      <c r="F512" t="str">
        <f t="shared" si="48"/>
        <v/>
      </c>
      <c r="BL512" t="str">
        <f t="shared" si="49"/>
        <v/>
      </c>
      <c r="BM512" t="str">
        <f t="shared" si="50"/>
        <v/>
      </c>
    </row>
    <row r="513" spans="1:65" ht="15" customHeight="1">
      <c r="D513" s="15" t="str">
        <f t="shared" si="43"/>
        <v/>
      </c>
      <c r="E513" s="15" t="str">
        <f t="shared" si="44"/>
        <v/>
      </c>
      <c r="F513" t="str">
        <f t="shared" si="48"/>
        <v/>
      </c>
      <c r="BL513" t="str">
        <f t="shared" si="49"/>
        <v/>
      </c>
      <c r="BM513" t="str">
        <f t="shared" si="50"/>
        <v/>
      </c>
    </row>
    <row r="514" spans="1:65" ht="15" customHeight="1">
      <c r="D514" s="15" t="str">
        <f t="shared" si="43"/>
        <v/>
      </c>
      <c r="E514" s="15" t="str">
        <f t="shared" si="44"/>
        <v/>
      </c>
      <c r="F514" t="str">
        <f t="shared" si="48"/>
        <v/>
      </c>
      <c r="BL514" t="str">
        <f t="shared" si="49"/>
        <v/>
      </c>
      <c r="BM514" t="str">
        <f t="shared" si="50"/>
        <v/>
      </c>
    </row>
    <row r="515" spans="1:65" ht="15" customHeight="1">
      <c r="D515" s="15" t="str">
        <f t="shared" si="43"/>
        <v/>
      </c>
      <c r="E515" s="15" t="str">
        <f t="shared" si="44"/>
        <v/>
      </c>
      <c r="F515" t="str">
        <f t="shared" si="48"/>
        <v/>
      </c>
      <c r="BL515" t="str">
        <f t="shared" si="49"/>
        <v/>
      </c>
      <c r="BM515" t="str">
        <f t="shared" si="50"/>
        <v/>
      </c>
    </row>
    <row r="516" spans="1:65" ht="15" customHeight="1">
      <c r="D516" s="15" t="str">
        <f t="shared" si="43"/>
        <v/>
      </c>
      <c r="E516" s="15" t="str">
        <f t="shared" si="44"/>
        <v/>
      </c>
      <c r="F516" t="str">
        <f t="shared" si="48"/>
        <v/>
      </c>
      <c r="BL516" t="str">
        <f t="shared" si="49"/>
        <v/>
      </c>
      <c r="BM516" t="str">
        <f t="shared" si="50"/>
        <v/>
      </c>
    </row>
    <row r="517" spans="1:65" ht="15" customHeight="1">
      <c r="D517" s="15" t="str">
        <f t="shared" si="43"/>
        <v/>
      </c>
      <c r="E517" s="15" t="str">
        <f t="shared" si="44"/>
        <v/>
      </c>
      <c r="F517" t="str">
        <f t="shared" si="48"/>
        <v/>
      </c>
      <c r="BL517" t="str">
        <f t="shared" si="49"/>
        <v/>
      </c>
      <c r="BM517" t="str">
        <f t="shared" si="50"/>
        <v/>
      </c>
    </row>
    <row r="518" spans="1:65" ht="15" customHeight="1">
      <c r="D518" s="15" t="str">
        <f t="shared" si="43"/>
        <v/>
      </c>
      <c r="E518" s="15" t="str">
        <f t="shared" si="44"/>
        <v/>
      </c>
      <c r="F518" t="str">
        <f t="shared" si="48"/>
        <v/>
      </c>
      <c r="BL518" t="str">
        <f t="shared" si="49"/>
        <v/>
      </c>
      <c r="BM518" t="str">
        <f t="shared" si="50"/>
        <v/>
      </c>
    </row>
    <row r="519" spans="1:65" ht="15" customHeight="1">
      <c r="D519" s="15" t="str">
        <f t="shared" si="43"/>
        <v/>
      </c>
      <c r="E519" s="15" t="str">
        <f t="shared" si="44"/>
        <v/>
      </c>
      <c r="F519" t="str">
        <f t="shared" si="48"/>
        <v/>
      </c>
      <c r="BL519" t="str">
        <f t="shared" si="49"/>
        <v/>
      </c>
      <c r="BM519" t="str">
        <f t="shared" si="50"/>
        <v/>
      </c>
    </row>
    <row r="520" spans="1:65" ht="15" customHeight="1">
      <c r="D520" s="15" t="str">
        <f t="shared" si="43"/>
        <v/>
      </c>
      <c r="E520" s="15" t="str">
        <f t="shared" si="44"/>
        <v/>
      </c>
      <c r="F520" t="str">
        <f t="shared" si="48"/>
        <v/>
      </c>
      <c r="BL520" t="str">
        <f t="shared" si="49"/>
        <v/>
      </c>
      <c r="BM520" t="str">
        <f t="shared" si="50"/>
        <v/>
      </c>
    </row>
    <row r="521" spans="1:65" ht="15" customHeight="1">
      <c r="D521" s="15" t="str">
        <f t="shared" si="43"/>
        <v/>
      </c>
      <c r="E521" s="15" t="str">
        <f t="shared" si="44"/>
        <v/>
      </c>
      <c r="F521" t="str">
        <f t="shared" si="48"/>
        <v/>
      </c>
      <c r="BL521" t="str">
        <f t="shared" si="49"/>
        <v/>
      </c>
      <c r="BM521" t="str">
        <f t="shared" si="50"/>
        <v/>
      </c>
    </row>
    <row r="522" spans="1:65" ht="15" customHeight="1">
      <c r="A522" s="70"/>
      <c r="D522" s="15" t="str">
        <f t="shared" si="43"/>
        <v/>
      </c>
      <c r="E522" s="15" t="str">
        <f t="shared" si="44"/>
        <v/>
      </c>
      <c r="F522" t="str">
        <f t="shared" si="48"/>
        <v/>
      </c>
      <c r="BL522" t="str">
        <f t="shared" si="49"/>
        <v/>
      </c>
      <c r="BM522" t="str">
        <f t="shared" si="50"/>
        <v/>
      </c>
    </row>
    <row r="523" spans="1:65" ht="15" customHeight="1">
      <c r="D523" s="15" t="str">
        <f t="shared" ref="D523:D527" si="51">IF($B523&lt;&gt;"Yes","",IF($C523="No","Yes",IF($C523="Yes","No","")))</f>
        <v/>
      </c>
      <c r="E523" s="15" t="str">
        <f t="shared" ref="E523:E527" si="52">IF($A523="","",IF($A523="Neuron",IF(OR(AND($S523&lt;&gt;"",LOWER(TRIM($S523))&lt;&gt;"n/a",COUNTIF($S$2:$S$528,$S523)&gt;1),AND($T523&lt;&gt;"",LOWER(TRIM($T523))&lt;&gt;"n/a",COUNTIF($T$2:$T$528,$T523)&gt;1),AND($W523&lt;&gt;"",LOWER(TRIM($W523))&lt;&gt;"n/a",COUNTIF($W$2:$W$528,$W523)&gt;1)),"Yes","No"),IF($A523="Cybernet",IF(OR(AND($Y523&lt;&gt;"",LOWER(TRIM($Y523))&lt;&gt;"n/a",COUNTIF($Y$2:$Y$528,$Y523)&gt;1),AND($Z523&lt;&gt;"",LOWER(TRIM($Z523))&lt;&gt;"n/a",COUNTIF($Z$2:$Z$528,$Z523)&gt;1)),"Yes","No"),IF(AND($AL523&lt;&gt;"",LOWER(TRIM($AL523))&lt;&gt;"n/a",COUNTIF($AL$2:$AL$528,$AL523)&gt;1),"Yes","No"))))</f>
        <v/>
      </c>
      <c r="F523" t="str">
        <f t="shared" ref="F523:F527" si="53">IF($B523&lt;&gt;"Yes","",IF($A523="Neuron",IF(OR(AND($S523&lt;&gt;"",LOWER(TRIM($S523))&lt;&gt;"n/a",COUNTIFS($B$2:$B$528,"Yes",$A$2:$A$528,"Neuron",$S$2:$S$528,$S523)&gt;1),AND($T523&lt;&gt;"",LOWER(TRIM($T523))&lt;&gt;"n/a",COUNTIFS($B$2:$B$528,"Yes",$A$2:$A$528,"Neuron",$T$2:$T$528,$T523)&gt;1),AND($W523&lt;&gt;"",LOWER(TRIM($W523))&lt;&gt;"n/a",COUNTIFS($B$2:$B$528,"Yes",$A$2:$A$528,"Neuron",$W$2:$W$528,$W523)&gt;1)),"Yes","No"),IF($A523="Cybernet",IF(OR(AND($Y523&lt;&gt;"",LOWER(TRIM($Y523))&lt;&gt;"n/a",COUNTIFS($B$2:$B$528,"Yes",$A$2:$A$528,"Cybernet",$Y$2:$Y$528,$Y523)&gt;1),AND($Z523&lt;&gt;"",LOWER(TRIM($Z523))&lt;&gt;"n/a",COUNTIFS($B$2:$B$528,"Yes",$A$2:$A$528,"Cybernet",$Z$2:$Z$528,$Z523)&gt;1)),"Yes","No"),IF(AND($AL523&lt;&gt;"",LOWER(TRIM($AL523))&lt;&gt;"n/a"),IF(COUNTIFS($B$2:$B$528,"Yes",$A$2:$A$528,$A523,$AL$2:$AL$528,$AL523)&gt;1,"Yes","No"),"No"))))</f>
        <v/>
      </c>
      <c r="BM523" t="str">
        <f t="shared" si="50"/>
        <v/>
      </c>
    </row>
    <row r="524" spans="1:65" ht="15" customHeight="1">
      <c r="D524" s="15" t="str">
        <f t="shared" si="51"/>
        <v/>
      </c>
      <c r="E524" s="15" t="str">
        <f t="shared" si="52"/>
        <v/>
      </c>
      <c r="F524" t="str">
        <f t="shared" si="53"/>
        <v/>
      </c>
      <c r="BM524" t="str">
        <f t="shared" si="50"/>
        <v/>
      </c>
    </row>
    <row r="525" spans="1:65" ht="15" customHeight="1">
      <c r="D525" s="15" t="str">
        <f t="shared" si="51"/>
        <v/>
      </c>
      <c r="E525" s="15" t="str">
        <f t="shared" si="52"/>
        <v/>
      </c>
      <c r="F525" t="str">
        <f t="shared" si="53"/>
        <v/>
      </c>
      <c r="BM525" t="str">
        <f t="shared" si="50"/>
        <v/>
      </c>
    </row>
    <row r="526" spans="1:65" ht="15" customHeight="1">
      <c r="D526" s="15" t="str">
        <f t="shared" si="51"/>
        <v/>
      </c>
      <c r="E526" s="15" t="str">
        <f t="shared" si="52"/>
        <v/>
      </c>
      <c r="F526" t="str">
        <f t="shared" si="53"/>
        <v/>
      </c>
      <c r="BM526" t="str">
        <f t="shared" si="50"/>
        <v/>
      </c>
    </row>
    <row r="527" spans="1:65" ht="15" customHeight="1">
      <c r="A527" t="s">
        <v>1331</v>
      </c>
      <c r="B527" t="s">
        <v>1435</v>
      </c>
      <c r="C527" s="15" t="s">
        <v>1435</v>
      </c>
      <c r="D527" s="15" t="str">
        <f t="shared" si="51"/>
        <v>No</v>
      </c>
      <c r="E527" s="15" t="str">
        <f t="shared" si="52"/>
        <v>Yes</v>
      </c>
      <c r="F527" t="str">
        <f t="shared" si="53"/>
        <v>Yes</v>
      </c>
      <c r="S527" t="s">
        <v>1612</v>
      </c>
      <c r="BM527" t="str">
        <f t="shared" si="50"/>
        <v/>
      </c>
    </row>
    <row r="528" spans="1:65" ht="15" customHeight="1">
      <c r="A528" t="s">
        <v>1331</v>
      </c>
      <c r="B528" t="s">
        <v>1435</v>
      </c>
      <c r="C528" s="15" t="s">
        <v>1435</v>
      </c>
      <c r="E528" s="15" t="str">
        <f>IF($A528="","",IF($A528="Neuron",IF(OR(AND($S528&lt;&gt;"",LOWER(TRIM($S528))&lt;&gt;"n/a",COUNTIF($S$2:$S$528,$S528)&gt;1),AND($T528&lt;&gt;"",LOWER(TRIM($T528))&lt;&gt;"n/a",COUNTIF($T$2:$T$528,$T528)&gt;1),AND($W528&lt;&gt;"",LOWER(TRIM($W528))&lt;&gt;"n/a",COUNTIF($W$2:$W$528,$W528)&gt;1)),"Yes","No"),IF($A528="Cybernet",IF(OR(AND($Y528&lt;&gt;"",LOWER(TRIM($Y528))&lt;&gt;"n/a",COUNTIF($Y$2:$Y$528,$Y528)&gt;1),AND($Z528&lt;&gt;"",LOWER(TRIM($Z528))&lt;&gt;"n/a",COUNTIF($Z$2:$Z$528,$Z528)&gt;1)),"Yes","No"),IF(AND($AL528&lt;&gt;"",LOWER(TRIM($AL528))&lt;&gt;"n/a",COUNTIF($AL$2:$AL$528,$AL528)&gt;1),"Yes","No"))))</f>
        <v>Yes</v>
      </c>
      <c r="F528" t="str">
        <f>IF($B528&lt;&gt;"Yes","",IF($A528="Neuron",IF(OR(AND($S528&lt;&gt;"",LOWER(TRIM($S528))&lt;&gt;"n/a",COUNTIFS($B$2:$B$528,"Yes",$A$2:$A$528,"Neuron",$S$2:$S$528,$S528)&gt;1),AND($T528&lt;&gt;"",LOWER(TRIM($T528))&lt;&gt;"n/a",COUNTIFS($B$2:$B$528,"Yes",$A$2:$A$528,"Neuron",$T$2:$T$528,$T528)&gt;1),AND($W528&lt;&gt;"",LOWER(TRIM($W528))&lt;&gt;"n/a",COUNTIFS($B$2:$B$528,"Yes",$A$2:$A$528,"Neuron",$W$2:$W$528,$W528)&gt;1)),"Yes","No"),IF($A528="Cybernet",IF(OR(AND($Y528&lt;&gt;"",LOWER(TRIM($Y528))&lt;&gt;"n/a",COUNTIFS($B$2:$B$528,"Yes",$A$2:$A$528,"Cybernet",$Y$2:$Y$528,$Y528)&gt;1),AND($Z528&lt;&gt;"",LOWER(TRIM($Z528))&lt;&gt;"n/a",COUNTIFS($B$2:$B$528,"Yes",$A$2:$A$528,"Cybernet",$Z$2:$Z$528,$Z528)&gt;1)),"Yes","No"),IF(AND($AL528&lt;&gt;"",LOWER(TRIM($AL528))&lt;&gt;"n/a"),IF(COUNTIFS($B$2:$B$528,"Yes",$A$2:$A$528,$A528,$AL$2:$AL$528,$AL528)&gt;1,"Yes","No"),"No"))))</f>
        <v>Yes</v>
      </c>
      <c r="S528" t="s">
        <v>1612</v>
      </c>
      <c r="BL528" t="str">
        <f>IF($T528="","",IF((IF(AND($AW528&lt;&gt;"Yes",$AW528&lt;&gt;"N/A"),"Power Cable, ","")&amp;IF(AND($AX528&lt;&gt;"Yes",$AX528&lt;&gt;"N/A"),"Battery, ","")&amp;IF(AND($BE528&lt;&gt;"Yes",$BE528&lt;&gt;"N/A"),"Firmware Download, ","")&amp;IF(AND(OR($BE528="Yes",$BE528="N/A"),$BF528&lt;&gt;"Yes",$BF528&lt;&gt;"N/A"),"Firmware Install, ","")&amp;IF(AND($BJ528&lt;&gt;"Yes",$BJ528&lt;&gt;"N/A"),"Device ID, ","")&amp;IF(AND($BK528&lt;&gt;"Yes",$BK528&lt;&gt;"N/A"),"Epic Beans Relay, ",""))="","",LEFT(IF(AND($AW528&lt;&gt;"Yes",$AW528&lt;&gt;"N/A"),"Power Cable, ","")&amp;IF(AND($AX528&lt;&gt;"Yes",$AX528&lt;&gt;"N/A"),"Battery, ","")&amp;IF(AND($BE528&lt;&gt;"Yes",$BE528&lt;&gt;"N/A"),"Firmware Download, ","")&amp;IF(AND(OR($BE528="Yes",$BE528="N/A"),$BF528&lt;&gt;"Yes",$BF528&lt;&gt;"N/A"),"Firmware Install, ","")&amp;IF(AND($BJ528&lt;&gt;"Yes",$BJ528&lt;&gt;"N/A"),"Device ID, ","")&amp;IF(AND($BK528&lt;&gt;"Yes",$BK528&lt;&gt;"N/A"),"Epic Beans Relay, ",""),LEN(IF(AND($AW528&lt;&gt;"Yes",$AW528&lt;&gt;"N/A"),"Power Cable, ","")&amp;IF(AND($AX528&lt;&gt;"Yes",$AX528&lt;&gt;"N/A"),"Battery, ","")&amp;IF(AND($BE528&lt;&gt;"Yes",$BE528&lt;&gt;"N/A"),"Firmware Download, ","")&amp;IF(AND(OR($BE528="Yes",$BE528="N/A"),$BF528&lt;&gt;"Yes",$BF528&lt;&gt;"N/A"),"Firmware Install, ","")&amp;IF(AND($BJ528&lt;&gt;"Yes",$BJ528&lt;&gt;"N/A"),"Device ID, ","")&amp;IF(AND($BK528&lt;&gt;"Yes",$BK528&lt;&gt;"N/A"),"Epic Beans Relay, ",""))-2)))</f>
        <v/>
      </c>
      <c r="BM528" t="str">
        <f>IF($T528="","",IF($BL528="","Yes","Blocked"))</f>
        <v/>
      </c>
    </row>
  </sheetData>
  <conditionalFormatting sqref="A2:B528 F2:F528 AE2:AF528 R2:S528">
    <cfRule type="expression" dxfId="22" priority="1">
      <formula>$F2="Yes"</formula>
    </cfRule>
  </conditionalFormatting>
  <conditionalFormatting sqref="R2:R528">
    <cfRule type="expression" dxfId="21" priority="2">
      <formula>AND($A2="Cybernet",$B2="Yes",$C2&lt;&gt;"Yes",LEN(TRIM(R2))=0)</formula>
    </cfRule>
  </conditionalFormatting>
  <conditionalFormatting sqref="S2:S528">
    <cfRule type="expression" dxfId="20" priority="3">
      <formula>AND($A2="Neuron",$B2="Yes",$C2&lt;&gt;"Yes",LEN(TRIM(S2))=0)</formula>
    </cfRule>
  </conditionalFormatting>
  <conditionalFormatting sqref="BH2:BH528">
    <cfRule type="expression" dxfId="19" priority="4">
      <formula>AND($A2="Cybernet",$B2="Yes",$C2&lt;&gt;"Yes",LEN(TRIM(BH2))=0)</formula>
    </cfRule>
  </conditionalFormatting>
  <conditionalFormatting sqref="I2:I528 N2:N528 P2:Q528">
    <cfRule type="expression" dxfId="18" priority="5">
      <formula>AND($C2="Yes",LEN(TRIM(INDEX($1:$1048576,ROW(),COLUMN())))=0)</formula>
    </cfRule>
  </conditionalFormatting>
  <dataValidations count="19">
    <dataValidation type="list" allowBlank="1" showInputMessage="1" showErrorMessage="1" sqref="B2:B504 V2:V48 V50:V1048576" xr:uid="{00000000-0002-0000-0B00-000000000000}">
      <formula1>"Yes,No"</formula1>
    </dataValidation>
    <dataValidation type="list" allowBlank="1" sqref="BF505:BH5004" xr:uid="{00000000-0002-0000-0B00-000001000000}">
      <formula1>"Not Imaged,Imaged,Configured,Validated"</formula1>
    </dataValidation>
    <dataValidation type="list" allowBlank="1" showInputMessage="1" showErrorMessage="1" sqref="BC505:BC1048576 BF505:BH1048576" xr:uid="{00000000-0002-0000-0B00-000002000000}">
      <formula1>"Firmware Installed,Failed Connection,Firmware TBD"</formula1>
    </dataValidation>
    <dataValidation type="list" allowBlank="1" sqref="A2:B504 A528:B5004 H505:R5004" xr:uid="{00000000-0002-0000-0B00-000003000000}">
      <formula1>"Neuron,Cybernet"</formula1>
    </dataValidation>
    <dataValidation allowBlank="1" showInputMessage="1" showErrorMessage="1" sqref="G1:G1048576 H2:P504 N87:R98 Q2:R86 Q99:R1048576 R2:S51 R54:S1048576" xr:uid="{00000000-0002-0000-0B00-000004000000}"/>
    <dataValidation type="list" allowBlank="1" sqref="AD2:AD5004" xr:uid="{00000000-0002-0000-0B00-000005000000}">
      <formula1>"WAVE_1,WAVE_2,PO_CDW,SPARES,ADDONS"</formula1>
    </dataValidation>
    <dataValidation type="list" allowBlank="1" sqref="AV2:AY5004 CF2:CI5004" xr:uid="{00000000-0002-0000-0B00-000006000000}">
      <formula1>"Yes,No,N/A"</formula1>
    </dataValidation>
    <dataValidation type="list" allowBlank="1" sqref="BA2:BA5004" xr:uid="{00000000-0002-0000-0B00-000007000000}">
      <formula1>"No,Blocked,Yes"</formula1>
    </dataValidation>
    <dataValidation type="list" allowBlank="1" showInputMessage="1" showErrorMessage="1" sqref="AA2:AA527" xr:uid="{00000000-0002-0000-0B00-000008000000}">
      <formula1>"Anesthesia Machine,Dialysis Machine"</formula1>
    </dataValidation>
    <dataValidation type="list" allowBlank="1" sqref="BC2:BJ5004 CC2:CE5004 CJ2:CK5004" xr:uid="{00000000-0002-0000-0B00-000009000000}">
      <formula1>"Yes,No"</formula1>
    </dataValidation>
    <dataValidation type="list" allowBlank="1" showInputMessage="1" showErrorMessage="1" sqref="BC2:BC504" xr:uid="{00000000-0002-0000-0B00-00000A000000}">
      <formula1>"Firmware Installed,Failed Connection,Firmware TBD,In Storage"</formula1>
    </dataValidation>
    <dataValidation type="list" allowBlank="1" error="Choose Yes or No" prompt="Installed status" sqref="C2:C527" xr:uid="{00000000-0002-0000-0B00-00000B000000}">
      <formula1>"Yes,No"</formula1>
    </dataValidation>
    <dataValidation type="custom" allowBlank="1" showInputMessage="1" showErrorMessage="1" sqref="BK2:BK527" xr:uid="{00000000-0002-0000-0B00-00000C000000}">
      <formula1>FALSE</formula1>
    </dataValidation>
    <dataValidation type="custom" allowBlank="1" showInputMessage="1" showErrorMessage="1" errorTitle="This is a header row, foo 🤡" error="Skedaddle 💨" sqref="A1:E1" xr:uid="{00000000-0002-0000-0B00-00000D000000}">
      <formula1>FALSE</formula1>
    </dataValidation>
    <dataValidation type="custom" allowBlank="1" showInputMessage="1" showErrorMessage="1" errorTitle="Automated field, foo 🤡" error="Skedaddle 💨. Don't overwrite formulas 😄" sqref="BL2:BL527 BM30:BM33 BO2:BO29 BO34:BO504 BP2:BQ527" xr:uid="{00000000-0002-0000-0B00-00000E000000}">
      <formula1>FALSE</formula1>
    </dataValidation>
    <dataValidation type="list" allowBlank="1" showInputMessage="1" showErrorMessage="1" errorTitle="Automated field, foo 🤡" error="Skedaddle 💨. Don't overwrite formulas 😄" sqref="BR2:BV527" xr:uid="{00000000-0002-0000-0B00-00000F000000}">
      <formula1>"Yes,No"</formula1>
    </dataValidation>
    <dataValidation type="list" allowBlank="1" showInputMessage="1" showErrorMessage="1" errorTitle="Automated field, foo 🤡" error="Skedaddle 💨. Don't overwrite formulas 😄" sqref="BW2:BW1048576 BX528:BY1048576 CB528:CB1048576" xr:uid="{00000000-0002-0000-0B00-000010000000}">
      <formula1>"19200,125200"</formula1>
    </dataValidation>
    <dataValidation type="custom" allowBlank="1" showInputMessage="1" showErrorMessage="1" errorTitle="This is a formula cell, foo 🤡" error="Skedaddle 💨" sqref="D2:F1048576" xr:uid="{00000000-0002-0000-0B00-000011000000}">
      <formula1>FALSE</formula1>
    </dataValidation>
    <dataValidation allowBlank="1" showInputMessage="1" showErrorMessage="1" errorTitle="Automated field, foo 🤡" error="Skedaddle 💨. Don't overwrite formulas 😄" sqref="BX2:BY527 BZ2:CB527" xr:uid="{00000000-0002-0000-0B00-000012000000}"/>
  </dataValidations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6" tint="0.59999389629810485"/>
  </sheetPr>
  <dimension ref="A1:I18"/>
  <sheetViews>
    <sheetView workbookViewId="0">
      <selection activeCell="E5" sqref="E5"/>
    </sheetView>
  </sheetViews>
  <sheetFormatPr defaultRowHeight="15"/>
  <cols>
    <col min="1" max="1" width="16.140625" customWidth="1"/>
    <col min="2" max="2" width="10.140625" customWidth="1"/>
    <col min="3" max="3" width="11.140625" customWidth="1"/>
    <col min="4" max="4" width="10.140625" bestFit="1" customWidth="1"/>
    <col min="5" max="5" width="19.28515625" bestFit="1" customWidth="1"/>
    <col min="6" max="6" width="12.5703125" bestFit="1" customWidth="1"/>
    <col min="7" max="7" width="21.28515625" bestFit="1" customWidth="1"/>
    <col min="8" max="8" width="18.7109375" bestFit="1" customWidth="1"/>
    <col min="9" max="9" width="52.28515625" customWidth="1"/>
  </cols>
  <sheetData>
    <row r="1" spans="1:9">
      <c r="A1" s="26" t="s">
        <v>2055</v>
      </c>
      <c r="B1" s="26" t="s">
        <v>2056</v>
      </c>
      <c r="C1" s="26" t="s">
        <v>2057</v>
      </c>
      <c r="D1" s="26" t="s">
        <v>2058</v>
      </c>
      <c r="E1" s="26" t="s">
        <v>2059</v>
      </c>
      <c r="F1" s="26" t="s">
        <v>2060</v>
      </c>
      <c r="G1" s="26" t="s">
        <v>2061</v>
      </c>
      <c r="H1" s="26" t="s">
        <v>2062</v>
      </c>
      <c r="I1" s="26" t="s">
        <v>1410</v>
      </c>
    </row>
    <row r="2" spans="1:9">
      <c r="A2" t="s">
        <v>1789</v>
      </c>
      <c r="B2">
        <v>7</v>
      </c>
      <c r="C2">
        <v>7</v>
      </c>
      <c r="D2" s="72">
        <f t="shared" ref="D2:D15" si="0">(C2/B2)</f>
        <v>1</v>
      </c>
      <c r="E2" s="27">
        <v>46088</v>
      </c>
      <c r="F2">
        <f t="shared" ref="F2:F14" ca="1" si="1">E2-TODAY()</f>
        <v>12</v>
      </c>
      <c r="G2" t="s">
        <v>2063</v>
      </c>
      <c r="H2" s="19" t="s">
        <v>2064</v>
      </c>
    </row>
    <row r="3" spans="1:9">
      <c r="A3" t="s">
        <v>1670</v>
      </c>
      <c r="B3">
        <v>14</v>
      </c>
      <c r="C3">
        <v>14</v>
      </c>
      <c r="D3" s="72">
        <f t="shared" si="0"/>
        <v>1</v>
      </c>
      <c r="E3" s="27">
        <v>46067</v>
      </c>
      <c r="F3">
        <f t="shared" ca="1" si="1"/>
        <v>-9</v>
      </c>
      <c r="G3" t="s">
        <v>2065</v>
      </c>
      <c r="H3" t="s">
        <v>2066</v>
      </c>
    </row>
    <row r="4" spans="1:9">
      <c r="A4" t="s">
        <v>2067</v>
      </c>
      <c r="B4">
        <v>19</v>
      </c>
      <c r="C4">
        <v>19</v>
      </c>
      <c r="D4" s="72">
        <f t="shared" si="0"/>
        <v>1</v>
      </c>
      <c r="E4" s="27">
        <v>46081</v>
      </c>
      <c r="F4">
        <f t="shared" ca="1" si="1"/>
        <v>5</v>
      </c>
      <c r="G4" t="s">
        <v>2068</v>
      </c>
      <c r="H4" s="19" t="s">
        <v>2069</v>
      </c>
      <c r="I4" t="s">
        <v>2070</v>
      </c>
    </row>
    <row r="5" spans="1:9">
      <c r="A5" t="s">
        <v>2071</v>
      </c>
      <c r="B5">
        <v>29</v>
      </c>
      <c r="C5">
        <v>21</v>
      </c>
      <c r="D5" s="72">
        <f t="shared" si="0"/>
        <v>0.72413793103448276</v>
      </c>
      <c r="E5" s="27">
        <v>46074</v>
      </c>
      <c r="F5">
        <f t="shared" ca="1" si="1"/>
        <v>-2</v>
      </c>
      <c r="G5" t="s">
        <v>2072</v>
      </c>
      <c r="H5" s="19" t="s">
        <v>2069</v>
      </c>
      <c r="I5" t="s">
        <v>2073</v>
      </c>
    </row>
    <row r="6" spans="1:9">
      <c r="A6" t="s">
        <v>2074</v>
      </c>
      <c r="B6">
        <v>3</v>
      </c>
      <c r="C6">
        <v>0</v>
      </c>
      <c r="D6" s="72">
        <f t="shared" si="0"/>
        <v>0</v>
      </c>
      <c r="E6" s="27">
        <v>46081</v>
      </c>
      <c r="F6">
        <f t="shared" ca="1" si="1"/>
        <v>5</v>
      </c>
      <c r="G6" t="s">
        <v>2075</v>
      </c>
      <c r="H6" s="19" t="s">
        <v>2069</v>
      </c>
    </row>
    <row r="7" spans="1:9">
      <c r="A7" t="s">
        <v>2076</v>
      </c>
      <c r="B7">
        <v>3</v>
      </c>
      <c r="C7">
        <v>0</v>
      </c>
      <c r="D7" s="72">
        <f t="shared" si="0"/>
        <v>0</v>
      </c>
      <c r="E7" s="27">
        <v>46088</v>
      </c>
      <c r="F7">
        <f t="shared" ca="1" si="1"/>
        <v>12</v>
      </c>
      <c r="G7" t="s">
        <v>2077</v>
      </c>
    </row>
    <row r="8" spans="1:9">
      <c r="A8" t="s">
        <v>2078</v>
      </c>
      <c r="B8">
        <v>3</v>
      </c>
      <c r="C8">
        <v>0</v>
      </c>
      <c r="D8" s="72">
        <f t="shared" si="0"/>
        <v>0</v>
      </c>
      <c r="E8" t="s">
        <v>1444</v>
      </c>
      <c r="F8" t="e">
        <f t="shared" ca="1" si="1"/>
        <v>#VALUE!</v>
      </c>
      <c r="G8" t="s">
        <v>2079</v>
      </c>
    </row>
    <row r="9" spans="1:9">
      <c r="A9" t="s">
        <v>2080</v>
      </c>
      <c r="B9">
        <v>12</v>
      </c>
      <c r="C9">
        <v>12</v>
      </c>
      <c r="D9" s="72">
        <f t="shared" si="0"/>
        <v>1</v>
      </c>
      <c r="E9" s="27">
        <v>46102</v>
      </c>
      <c r="F9">
        <f t="shared" ca="1" si="1"/>
        <v>26</v>
      </c>
      <c r="G9" t="s">
        <v>2081</v>
      </c>
    </row>
    <row r="10" spans="1:9">
      <c r="A10" t="s">
        <v>2082</v>
      </c>
      <c r="B10">
        <v>18</v>
      </c>
      <c r="C10">
        <v>2</v>
      </c>
      <c r="D10" s="72">
        <f t="shared" si="0"/>
        <v>0.1111111111111111</v>
      </c>
      <c r="E10" s="27">
        <v>46103</v>
      </c>
      <c r="F10">
        <f t="shared" ca="1" si="1"/>
        <v>27</v>
      </c>
      <c r="G10" t="s">
        <v>2081</v>
      </c>
    </row>
    <row r="11" spans="1:9">
      <c r="A11" t="s">
        <v>2083</v>
      </c>
      <c r="B11">
        <v>10</v>
      </c>
      <c r="C11">
        <v>0</v>
      </c>
      <c r="D11" s="72">
        <f t="shared" si="0"/>
        <v>0</v>
      </c>
      <c r="E11" s="27">
        <v>46095</v>
      </c>
      <c r="F11">
        <f t="shared" ca="1" si="1"/>
        <v>19</v>
      </c>
      <c r="G11" t="s">
        <v>2081</v>
      </c>
    </row>
    <row r="12" spans="1:9">
      <c r="A12" t="s">
        <v>2084</v>
      </c>
      <c r="B12">
        <v>13</v>
      </c>
      <c r="C12">
        <v>0</v>
      </c>
      <c r="D12" s="72">
        <f t="shared" si="0"/>
        <v>0</v>
      </c>
      <c r="E12" s="27">
        <v>46109</v>
      </c>
      <c r="F12">
        <f t="shared" ca="1" si="1"/>
        <v>33</v>
      </c>
      <c r="G12" t="s">
        <v>2081</v>
      </c>
    </row>
    <row r="13" spans="1:9">
      <c r="A13" t="s">
        <v>2085</v>
      </c>
      <c r="B13">
        <v>22</v>
      </c>
      <c r="C13">
        <v>0</v>
      </c>
      <c r="D13" s="72">
        <f t="shared" si="0"/>
        <v>0</v>
      </c>
      <c r="E13" s="27">
        <v>46116</v>
      </c>
      <c r="F13">
        <f t="shared" ca="1" si="1"/>
        <v>40</v>
      </c>
      <c r="G13" t="s">
        <v>2081</v>
      </c>
    </row>
    <row r="14" spans="1:9">
      <c r="A14" t="s">
        <v>2086</v>
      </c>
      <c r="B14">
        <v>6</v>
      </c>
      <c r="C14">
        <v>0</v>
      </c>
      <c r="D14" s="72">
        <f t="shared" si="0"/>
        <v>0</v>
      </c>
      <c r="E14" t="s">
        <v>1444</v>
      </c>
      <c r="F14" t="e">
        <f t="shared" ca="1" si="1"/>
        <v>#VALUE!</v>
      </c>
      <c r="G14" t="s">
        <v>2081</v>
      </c>
    </row>
    <row r="15" spans="1:9">
      <c r="A15" s="25" t="s">
        <v>2087</v>
      </c>
      <c r="B15" s="25">
        <f>(SUM(B2:B14))</f>
        <v>159</v>
      </c>
      <c r="C15" s="25">
        <f>(SUM(C2:C14))</f>
        <v>75</v>
      </c>
      <c r="D15" s="73">
        <f t="shared" si="0"/>
        <v>0.47169811320754718</v>
      </c>
      <c r="E15" s="27"/>
      <c r="F15" s="27"/>
    </row>
    <row r="18" spans="3:3">
      <c r="C18">
        <f>(SUM(B2:B7))</f>
        <v>75</v>
      </c>
    </row>
  </sheetData>
  <conditionalFormatting sqref="D1:D1048576">
    <cfRule type="cellIs" dxfId="12" priority="1" operator="equal">
      <formula>100%</formula>
    </cfRule>
  </conditionalFormatting>
  <conditionalFormatting sqref="F2:F14">
    <cfRule type="cellIs" dxfId="11" priority="2" operator="greaterThan">
      <formula>20</formula>
    </cfRule>
    <cfRule type="cellIs" dxfId="10" priority="3" operator="lessThan">
      <formula>2</formula>
    </cfRule>
    <cfRule type="cellIs" dxfId="9" priority="4" operator="between">
      <formula>6</formula>
      <formula>9</formula>
    </cfRule>
    <cfRule type="cellIs" dxfId="8" priority="5" operator="between">
      <formula>3</formula>
      <formula>5</formula>
    </cfRule>
  </conditionalFormatting>
  <conditionalFormatting sqref="F2:F15">
    <cfRule type="cellIs" dxfId="7" priority="6" operator="between">
      <formula>10</formula>
      <formula>20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C50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8" customWidth="1"/>
    <col min="2" max="2" width="26" customWidth="1"/>
    <col min="3" max="4" width="18" customWidth="1"/>
    <col min="5" max="7" width="10" customWidth="1"/>
    <col min="8" max="8" width="14" customWidth="1"/>
    <col min="9" max="9" width="18" customWidth="1"/>
    <col min="10" max="10" width="22" customWidth="1"/>
    <col min="11" max="13" width="18" customWidth="1"/>
    <col min="14" max="14" width="16" customWidth="1"/>
    <col min="15" max="15" width="18" customWidth="1"/>
    <col min="16" max="17" width="14" customWidth="1"/>
    <col min="18" max="20" width="16" customWidth="1"/>
    <col min="21" max="21" width="14" customWidth="1"/>
    <col min="22" max="23" width="18" customWidth="1"/>
    <col min="24" max="25" width="28" customWidth="1"/>
    <col min="26" max="26" width="18" customWidth="1"/>
    <col min="27" max="27" width="16" customWidth="1"/>
    <col min="28" max="29" width="13" hidden="1" customWidth="1"/>
  </cols>
  <sheetData>
    <row r="1" spans="1:29" ht="45.75" customHeight="1">
      <c r="A1" s="48" t="s">
        <v>2088</v>
      </c>
      <c r="B1" s="48" t="s">
        <v>2089</v>
      </c>
      <c r="C1" s="48" t="s">
        <v>1357</v>
      </c>
      <c r="D1" s="48" t="s">
        <v>1378</v>
      </c>
      <c r="E1" s="48" t="s">
        <v>1379</v>
      </c>
      <c r="F1" s="48" t="s">
        <v>1380</v>
      </c>
      <c r="G1" s="48" t="s">
        <v>1381</v>
      </c>
      <c r="H1" s="48" t="s">
        <v>1</v>
      </c>
      <c r="I1" s="48" t="s">
        <v>1382</v>
      </c>
      <c r="J1" s="48" t="s">
        <v>2090</v>
      </c>
      <c r="K1" s="48" t="s">
        <v>2091</v>
      </c>
      <c r="L1" s="48" t="s">
        <v>1358</v>
      </c>
      <c r="M1" s="48" t="s">
        <v>2092</v>
      </c>
      <c r="N1" s="48" t="s">
        <v>1359</v>
      </c>
      <c r="O1" s="48" t="s">
        <v>1360</v>
      </c>
      <c r="P1" s="48" t="s">
        <v>1361</v>
      </c>
      <c r="Q1" s="48" t="s">
        <v>2093</v>
      </c>
      <c r="R1" s="48" t="s">
        <v>1398</v>
      </c>
      <c r="S1" s="48" t="s">
        <v>1397</v>
      </c>
      <c r="T1" s="48" t="s">
        <v>2094</v>
      </c>
      <c r="U1" s="48" t="s">
        <v>1396</v>
      </c>
      <c r="V1" s="48" t="s">
        <v>1400</v>
      </c>
      <c r="W1" s="48" t="s">
        <v>1401</v>
      </c>
      <c r="X1" s="48" t="s">
        <v>1408</v>
      </c>
      <c r="Y1" s="48" t="s">
        <v>189</v>
      </c>
      <c r="Z1" s="48" t="s">
        <v>1365</v>
      </c>
      <c r="AA1" s="48" t="s">
        <v>1366</v>
      </c>
    </row>
    <row r="2" spans="1:29" ht="45.75" customHeight="1">
      <c r="A2" s="29"/>
      <c r="B2" s="29"/>
      <c r="C2" s="28" t="str">
        <f>IF('12 - Device_Configuration'!H2="","",'12 - Device_Configuration'!H2)</f>
        <v>LIJ SDF</v>
      </c>
      <c r="D2" s="28" t="str">
        <f>IF('12 - Device_Configuration'!AE2="","",'12 - Device_Configuration'!AE2)</f>
        <v>Ground Level/Dialysis</v>
      </c>
      <c r="E2" s="28" t="str">
        <f>IF('12 - Device_Configuration'!AF2="","",'12 - Device_Configuration'!AF2)</f>
        <v>Open Patient Area</v>
      </c>
      <c r="F2" s="28">
        <f>IF('12 - Device_Configuration'!AG2="","",'12 - Device_Configuration'!AG2)</f>
        <v>1</v>
      </c>
      <c r="G2" s="28" t="str">
        <f>IF('12 - Device_Configuration'!AH2="","",'12 - Device_Configuration'!AH2)</f>
        <v>BSM 051 A</v>
      </c>
      <c r="H2" s="28" t="str">
        <f>IF('12 - Device_Configuration'!A2="","",'12 - Device_Configuration'!A2)</f>
        <v>Neuron</v>
      </c>
      <c r="I2" s="28" t="str">
        <f>IF('12 - Device_Configuration'!AI2="","",'12 - Device_Configuration'!AI2)</f>
        <v>Fresenius BlueStar</v>
      </c>
      <c r="J2" s="28" t="str">
        <f>IF('12 - Device_Configuration'!AJ2="","",'12 - Device_Configuration'!AJ2)</f>
        <v>2008T</v>
      </c>
      <c r="K2" s="28" t="str">
        <f>IF('12 - Device_Configuration'!AA2="","",'12 - Device_Configuration'!AA2)</f>
        <v>Dialysis Machine</v>
      </c>
      <c r="L2" s="28" t="str">
        <f>IF('12 - Device_Configuration'!I2="","",'12 - Device_Configuration'!I2)</f>
        <v>Describe the environment in which we're deploying:
For ex, input:
"
OR iPro Cybernet Workstation
"</v>
      </c>
      <c r="M2" s="29"/>
      <c r="N2" s="28" t="str">
        <f>IF('12 - Device_Configuration'!J2="","",'12 - Device_Configuration'!J2)</f>
        <v>NA</v>
      </c>
      <c r="O2" s="28" t="str">
        <f>IF('12 - Device_Configuration'!K2="","",'12 - Device_Configuration'!K2)</f>
        <v>NA</v>
      </c>
      <c r="P2" s="28" t="str">
        <f>IF('12 - Device_Configuration'!L2="","",'12 - Device_Configuration'!L2)</f>
        <v>NA</v>
      </c>
      <c r="Q2" s="29"/>
      <c r="R2" s="28" t="str">
        <f>IF('12 - Device_Configuration'!AY2="","",'12 - Device_Configuration'!AY2)</f>
        <v/>
      </c>
      <c r="S2" s="28" t="str">
        <f>IF('12 - Device_Configuration'!AX2="","",'12 - Device_Configuration'!AX2)</f>
        <v/>
      </c>
      <c r="T2" s="28" t="str">
        <f>IF('12 - Device_Configuration'!AV2="","",'12 - Device_Configuration'!AV2)</f>
        <v/>
      </c>
      <c r="U2" s="28" t="str">
        <f>IF('12 - Device_Configuration'!AW2="","",'12 - Device_Configuration'!AW2)</f>
        <v/>
      </c>
      <c r="V2" s="28" t="str">
        <f>IF('12 - Device_Configuration'!BA2="","",'12 - Device_Configuration'!BA2)</f>
        <v>Yes</v>
      </c>
      <c r="W2" s="28" t="str">
        <f>IF('12 - Device_Configuration'!BC2="","",'12 - Device_Configuration'!BC2)</f>
        <v>Firmware Installed</v>
      </c>
      <c r="X2" s="28" t="str">
        <f>IF('12 - Device_Configuration'!BK2="","",'12 - Device_Configuration'!BK2)</f>
        <v>Power Cable, Battery, Epic Beans Relay</v>
      </c>
      <c r="Y2" s="28" t="str">
        <f>IF('12 - Device_Configuration'!BB2="","",'12 - Device_Configuration'!BB2)</f>
        <v/>
      </c>
      <c r="Z2" s="28" t="str">
        <f>IF('12 - Device_Configuration'!P2="","",'12 - Device_Configuration'!P2)</f>
        <v/>
      </c>
      <c r="AA2" s="28" t="str">
        <f>IF('12 - Device_Configuration'!Q2="","",'12 - Device_Configuration'!Q2)</f>
        <v/>
      </c>
      <c r="AC2" t="s">
        <v>1645</v>
      </c>
    </row>
    <row r="3" spans="1:29" ht="45.75" customHeight="1">
      <c r="A3" s="29"/>
      <c r="B3" s="29"/>
      <c r="C3" s="28" t="str">
        <f>IF('12 - Device_Configuration'!H3="","",'12 - Device_Configuration'!H3)</f>
        <v>LIJ SDF</v>
      </c>
      <c r="D3" s="28" t="str">
        <f>IF('12 - Device_Configuration'!AE3="","",'12 - Device_Configuration'!AE3)</f>
        <v>Ground Level/Dialysis</v>
      </c>
      <c r="E3" s="28" t="str">
        <f>IF('12 - Device_Configuration'!AF3="","",'12 - Device_Configuration'!AF3)</f>
        <v>Open Patient Area</v>
      </c>
      <c r="F3" s="28">
        <f>IF('12 - Device_Configuration'!AG3="","",'12 - Device_Configuration'!AG3)</f>
        <v>2</v>
      </c>
      <c r="G3" s="28" t="str">
        <f>IF('12 - Device_Configuration'!AH3="","",'12 - Device_Configuration'!AH3)</f>
        <v xml:space="preserve">BSM 051 B </v>
      </c>
      <c r="H3" s="28" t="str">
        <f>IF('12 - Device_Configuration'!A3="","",'12 - Device_Configuration'!A3)</f>
        <v>Neuron</v>
      </c>
      <c r="I3" s="28" t="str">
        <f>IF('12 - Device_Configuration'!AI3="","",'12 - Device_Configuration'!AI3)</f>
        <v>Fresenius BlueStar</v>
      </c>
      <c r="J3" s="28" t="str">
        <f>IF('12 - Device_Configuration'!AJ3="","",'12 - Device_Configuration'!AJ3)</f>
        <v>2008T</v>
      </c>
      <c r="K3" s="28" t="str">
        <f>IF('12 - Device_Configuration'!AA3="","",'12 - Device_Configuration'!AA3)</f>
        <v>Dialysis Machine</v>
      </c>
      <c r="L3" s="28" t="str">
        <f>IF('12 - Device_Configuration'!I3="","",'12 - Device_Configuration'!I3)</f>
        <v/>
      </c>
      <c r="M3" s="29"/>
      <c r="N3" s="28" t="str">
        <f>IF('12 - Device_Configuration'!J3="","",'12 - Device_Configuration'!J3)</f>
        <v>NA</v>
      </c>
      <c r="O3" s="28" t="str">
        <f>IF('12 - Device_Configuration'!K3="","",'12 - Device_Configuration'!K3)</f>
        <v>NA</v>
      </c>
      <c r="P3" s="28" t="str">
        <f>IF('12 - Device_Configuration'!L3="","",'12 - Device_Configuration'!L3)</f>
        <v>NA</v>
      </c>
      <c r="Q3" s="29"/>
      <c r="R3" s="28" t="str">
        <f>IF('12 - Device_Configuration'!AY3="","",'12 - Device_Configuration'!AY3)</f>
        <v/>
      </c>
      <c r="S3" s="28" t="str">
        <f>IF('12 - Device_Configuration'!AX3="","",'12 - Device_Configuration'!AX3)</f>
        <v/>
      </c>
      <c r="T3" s="28" t="str">
        <f>IF('12 - Device_Configuration'!AV3="","",'12 - Device_Configuration'!AV3)</f>
        <v/>
      </c>
      <c r="U3" s="28" t="str">
        <f>IF('12 - Device_Configuration'!AW3="","",'12 - Device_Configuration'!AW3)</f>
        <v/>
      </c>
      <c r="V3" s="28" t="str">
        <f>IF('12 - Device_Configuration'!BA3="","",'12 - Device_Configuration'!BA3)</f>
        <v>Yes</v>
      </c>
      <c r="W3" s="28" t="str">
        <f>IF('12 - Device_Configuration'!BC3="","",'12 - Device_Configuration'!BC3)</f>
        <v>Firmware Installed</v>
      </c>
      <c r="X3" s="28" t="str">
        <f>IF('12 - Device_Configuration'!BK3="","",'12 - Device_Configuration'!BK3)</f>
        <v>Power Cable, Battery, Epic Beans Relay</v>
      </c>
      <c r="Y3" s="28" t="str">
        <f>IF('12 - Device_Configuration'!BB3="","",'12 - Device_Configuration'!BB3)</f>
        <v/>
      </c>
      <c r="Z3" s="28" t="str">
        <f>IF('12 - Device_Configuration'!P3="","",'12 - Device_Configuration'!P3)</f>
        <v/>
      </c>
      <c r="AA3" s="28" t="str">
        <f>IF('12 - Device_Configuration'!Q3="","",'12 - Device_Configuration'!Q3)</f>
        <v/>
      </c>
      <c r="AC3" t="s">
        <v>1331</v>
      </c>
    </row>
    <row r="4" spans="1:29" ht="45.75" customHeight="1">
      <c r="A4" s="29"/>
      <c r="B4" s="29"/>
      <c r="C4" s="28" t="str">
        <f>IF('12 - Device_Configuration'!H4="","",'12 - Device_Configuration'!H4)</f>
        <v>LIJ SDF</v>
      </c>
      <c r="D4" s="28" t="str">
        <f>IF('12 - Device_Configuration'!AE4="","",'12 - Device_Configuration'!AE4)</f>
        <v>Ground Level/Dialysis</v>
      </c>
      <c r="E4" s="28" t="str">
        <f>IF('12 - Device_Configuration'!AF4="","",'12 - Device_Configuration'!AF4)</f>
        <v>Open Patient Area</v>
      </c>
      <c r="F4" s="28">
        <f>IF('12 - Device_Configuration'!AG4="","",'12 - Device_Configuration'!AG4)</f>
        <v>3</v>
      </c>
      <c r="G4" s="28" t="str">
        <f>IF('12 - Device_Configuration'!AH4="","",'12 - Device_Configuration'!AH4)</f>
        <v>BSM 033 A</v>
      </c>
      <c r="H4" s="28" t="str">
        <f>IF('12 - Device_Configuration'!A4="","",'12 - Device_Configuration'!A4)</f>
        <v>Neuron</v>
      </c>
      <c r="I4" s="28" t="str">
        <f>IF('12 - Device_Configuration'!AI4="","",'12 - Device_Configuration'!AI4)</f>
        <v>Fresenius BlueStar</v>
      </c>
      <c r="J4" s="28" t="str">
        <f>IF('12 - Device_Configuration'!AJ4="","",'12 - Device_Configuration'!AJ4)</f>
        <v>2008T</v>
      </c>
      <c r="K4" s="28" t="str">
        <f>IF('12 - Device_Configuration'!AA4="","",'12 - Device_Configuration'!AA4)</f>
        <v>Dialysis Machine</v>
      </c>
      <c r="L4" s="28" t="str">
        <f>IF('12 - Device_Configuration'!I4="","",'12 - Device_Configuration'!I4)</f>
        <v/>
      </c>
      <c r="M4" s="29"/>
      <c r="N4" s="28" t="str">
        <f>IF('12 - Device_Configuration'!J4="","",'12 - Device_Configuration'!J4)</f>
        <v>NA</v>
      </c>
      <c r="O4" s="28" t="str">
        <f>IF('12 - Device_Configuration'!K4="","",'12 - Device_Configuration'!K4)</f>
        <v>NA</v>
      </c>
      <c r="P4" s="28" t="str">
        <f>IF('12 - Device_Configuration'!L4="","",'12 - Device_Configuration'!L4)</f>
        <v>NA</v>
      </c>
      <c r="Q4" s="29"/>
      <c r="R4" s="28" t="str">
        <f>IF('12 - Device_Configuration'!AY4="","",'12 - Device_Configuration'!AY4)</f>
        <v/>
      </c>
      <c r="S4" s="28" t="str">
        <f>IF('12 - Device_Configuration'!AX4="","",'12 - Device_Configuration'!AX4)</f>
        <v/>
      </c>
      <c r="T4" s="28" t="str">
        <f>IF('12 - Device_Configuration'!AV4="","",'12 - Device_Configuration'!AV4)</f>
        <v/>
      </c>
      <c r="U4" s="28" t="str">
        <f>IF('12 - Device_Configuration'!AW4="","",'12 - Device_Configuration'!AW4)</f>
        <v/>
      </c>
      <c r="V4" s="28" t="str">
        <f>IF('12 - Device_Configuration'!BA4="","",'12 - Device_Configuration'!BA4)</f>
        <v>Yes</v>
      </c>
      <c r="W4" s="28" t="str">
        <f>IF('12 - Device_Configuration'!BC4="","",'12 - Device_Configuration'!BC4)</f>
        <v>Firmware Installed</v>
      </c>
      <c r="X4" s="28" t="str">
        <f>IF('12 - Device_Configuration'!BK4="","",'12 - Device_Configuration'!BK4)</f>
        <v>Power Cable, Battery, Epic Beans Relay</v>
      </c>
      <c r="Y4" s="28" t="str">
        <f>IF('12 - Device_Configuration'!BB4="","",'12 - Device_Configuration'!BB4)</f>
        <v/>
      </c>
      <c r="Z4" s="28" t="str">
        <f>IF('12 - Device_Configuration'!P4="","",'12 - Device_Configuration'!P4)</f>
        <v/>
      </c>
      <c r="AA4" s="28" t="str">
        <f>IF('12 - Device_Configuration'!Q4="","",'12 - Device_Configuration'!Q4)</f>
        <v/>
      </c>
    </row>
    <row r="5" spans="1:29" ht="45.75" customHeight="1">
      <c r="A5" s="29"/>
      <c r="B5" s="29"/>
      <c r="C5" s="28" t="str">
        <f>IF('12 - Device_Configuration'!H5="","",'12 - Device_Configuration'!H5)</f>
        <v>LIJ SDF</v>
      </c>
      <c r="D5" s="28" t="str">
        <f>IF('12 - Device_Configuration'!AE5="","",'12 - Device_Configuration'!AE5)</f>
        <v>Ground Level/Dialysis</v>
      </c>
      <c r="E5" s="28" t="str">
        <f>IF('12 - Device_Configuration'!AF5="","",'12 - Device_Configuration'!AF5)</f>
        <v>Open Patient Area</v>
      </c>
      <c r="F5" s="28">
        <f>IF('12 - Device_Configuration'!AG5="","",'12 - Device_Configuration'!AG5)</f>
        <v>4</v>
      </c>
      <c r="G5" s="28" t="str">
        <f>IF('12 - Device_Configuration'!AH5="","",'12 - Device_Configuration'!AH5)</f>
        <v>BSM 033 B</v>
      </c>
      <c r="H5" s="28" t="str">
        <f>IF('12 - Device_Configuration'!A5="","",'12 - Device_Configuration'!A5)</f>
        <v>Neuron</v>
      </c>
      <c r="I5" s="28" t="str">
        <f>IF('12 - Device_Configuration'!AI5="","",'12 - Device_Configuration'!AI5)</f>
        <v>Fresenius BlueStar</v>
      </c>
      <c r="J5" s="28" t="str">
        <f>IF('12 - Device_Configuration'!AJ5="","",'12 - Device_Configuration'!AJ5)</f>
        <v>2008T</v>
      </c>
      <c r="K5" s="28" t="str">
        <f>IF('12 - Device_Configuration'!AA5="","",'12 - Device_Configuration'!AA5)</f>
        <v>Dialysis Machine</v>
      </c>
      <c r="L5" s="28" t="str">
        <f>IF('12 - Device_Configuration'!I5="","",'12 - Device_Configuration'!I5)</f>
        <v/>
      </c>
      <c r="M5" s="29"/>
      <c r="N5" s="28" t="str">
        <f>IF('12 - Device_Configuration'!J5="","",'12 - Device_Configuration'!J5)</f>
        <v>NA</v>
      </c>
      <c r="O5" s="28" t="str">
        <f>IF('12 - Device_Configuration'!K5="","",'12 - Device_Configuration'!K5)</f>
        <v>NA</v>
      </c>
      <c r="P5" s="28" t="str">
        <f>IF('12 - Device_Configuration'!L5="","",'12 - Device_Configuration'!L5)</f>
        <v>NA</v>
      </c>
      <c r="Q5" s="29"/>
      <c r="R5" s="28" t="str">
        <f>IF('12 - Device_Configuration'!AY5="","",'12 - Device_Configuration'!AY5)</f>
        <v/>
      </c>
      <c r="S5" s="28" t="str">
        <f>IF('12 - Device_Configuration'!AX5="","",'12 - Device_Configuration'!AX5)</f>
        <v/>
      </c>
      <c r="T5" s="28" t="str">
        <f>IF('12 - Device_Configuration'!AV5="","",'12 - Device_Configuration'!AV5)</f>
        <v/>
      </c>
      <c r="U5" s="28" t="str">
        <f>IF('12 - Device_Configuration'!AW5="","",'12 - Device_Configuration'!AW5)</f>
        <v/>
      </c>
      <c r="V5" s="28" t="str">
        <f>IF('12 - Device_Configuration'!BA5="","",'12 - Device_Configuration'!BA5)</f>
        <v>Yes</v>
      </c>
      <c r="W5" s="28" t="str">
        <f>IF('12 - Device_Configuration'!BC5="","",'12 - Device_Configuration'!BC5)</f>
        <v>Firmware Installed</v>
      </c>
      <c r="X5" s="28" t="str">
        <f>IF('12 - Device_Configuration'!BK5="","",'12 - Device_Configuration'!BK5)</f>
        <v>Power Cable, Battery, Epic Beans Relay</v>
      </c>
      <c r="Y5" s="28" t="str">
        <f>IF('12 - Device_Configuration'!BB5="","",'12 - Device_Configuration'!BB5)</f>
        <v/>
      </c>
      <c r="Z5" s="28" t="str">
        <f>IF('12 - Device_Configuration'!P5="","",'12 - Device_Configuration'!P5)</f>
        <v/>
      </c>
      <c r="AA5" s="28" t="str">
        <f>IF('12 - Device_Configuration'!Q5="","",'12 - Device_Configuration'!Q5)</f>
        <v/>
      </c>
    </row>
    <row r="6" spans="1:29" ht="45.75" customHeight="1">
      <c r="A6" s="29"/>
      <c r="B6" s="29"/>
      <c r="C6" s="28" t="str">
        <f>IF('12 - Device_Configuration'!H6="","",'12 - Device_Configuration'!H6)</f>
        <v>LIJ SDF</v>
      </c>
      <c r="D6" s="28" t="str">
        <f>IF('12 - Device_Configuration'!AE6="","",'12 - Device_Configuration'!AE6)</f>
        <v>Ground Level/Dialysis</v>
      </c>
      <c r="E6" s="28" t="str">
        <f>IF('12 - Device_Configuration'!AF6="","",'12 - Device_Configuration'!AF6)</f>
        <v>Open Patient Area</v>
      </c>
      <c r="F6" s="28">
        <f>IF('12 - Device_Configuration'!AG6="","",'12 - Device_Configuration'!AG6)</f>
        <v>5</v>
      </c>
      <c r="G6" s="28" t="str">
        <f>IF('12 - Device_Configuration'!AH6="","",'12 - Device_Configuration'!AH6)</f>
        <v>BSM 034 A</v>
      </c>
      <c r="H6" s="28" t="str">
        <f>IF('12 - Device_Configuration'!A6="","",'12 - Device_Configuration'!A6)</f>
        <v>Neuron</v>
      </c>
      <c r="I6" s="28" t="str">
        <f>IF('12 - Device_Configuration'!AI6="","",'12 - Device_Configuration'!AI6)</f>
        <v>Fresenius BlueStar</v>
      </c>
      <c r="J6" s="28" t="str">
        <f>IF('12 - Device_Configuration'!AJ6="","",'12 - Device_Configuration'!AJ6)</f>
        <v>2008T</v>
      </c>
      <c r="K6" s="28" t="str">
        <f>IF('12 - Device_Configuration'!AA6="","",'12 - Device_Configuration'!AA6)</f>
        <v>Dialysis Machine</v>
      </c>
      <c r="L6" s="28" t="str">
        <f>IF('12 - Device_Configuration'!I6="","",'12 - Device_Configuration'!I6)</f>
        <v/>
      </c>
      <c r="M6" s="29"/>
      <c r="N6" s="28" t="str">
        <f>IF('12 - Device_Configuration'!J6="","",'12 - Device_Configuration'!J6)</f>
        <v>NA</v>
      </c>
      <c r="O6" s="28" t="str">
        <f>IF('12 - Device_Configuration'!K6="","",'12 - Device_Configuration'!K6)</f>
        <v>NA</v>
      </c>
      <c r="P6" s="28" t="str">
        <f>IF('12 - Device_Configuration'!L6="","",'12 - Device_Configuration'!L6)</f>
        <v>NA</v>
      </c>
      <c r="Q6" s="29"/>
      <c r="R6" s="28" t="str">
        <f>IF('12 - Device_Configuration'!AY6="","",'12 - Device_Configuration'!AY6)</f>
        <v/>
      </c>
      <c r="S6" s="28" t="str">
        <f>IF('12 - Device_Configuration'!AX6="","",'12 - Device_Configuration'!AX6)</f>
        <v/>
      </c>
      <c r="T6" s="28" t="str">
        <f>IF('12 - Device_Configuration'!AV6="","",'12 - Device_Configuration'!AV6)</f>
        <v/>
      </c>
      <c r="U6" s="28" t="str">
        <f>IF('12 - Device_Configuration'!AW6="","",'12 - Device_Configuration'!AW6)</f>
        <v/>
      </c>
      <c r="V6" s="28" t="str">
        <f>IF('12 - Device_Configuration'!BA6="","",'12 - Device_Configuration'!BA6)</f>
        <v>Yes</v>
      </c>
      <c r="W6" s="28" t="str">
        <f>IF('12 - Device_Configuration'!BC6="","",'12 - Device_Configuration'!BC6)</f>
        <v>Firmware Installed</v>
      </c>
      <c r="X6" s="28" t="str">
        <f>IF('12 - Device_Configuration'!BK6="","",'12 - Device_Configuration'!BK6)</f>
        <v>Power Cable, Battery, Epic Beans Relay</v>
      </c>
      <c r="Y6" s="28" t="str">
        <f>IF('12 - Device_Configuration'!BB6="","",'12 - Device_Configuration'!BB6)</f>
        <v/>
      </c>
      <c r="Z6" s="28" t="str">
        <f>IF('12 - Device_Configuration'!P6="","",'12 - Device_Configuration'!P6)</f>
        <v/>
      </c>
      <c r="AA6" s="28" t="str">
        <f>IF('12 - Device_Configuration'!Q6="","",'12 - Device_Configuration'!Q6)</f>
        <v/>
      </c>
    </row>
    <row r="7" spans="1:29" ht="45.75" customHeight="1">
      <c r="A7" s="29"/>
      <c r="B7" s="29"/>
      <c r="C7" s="28" t="str">
        <f>IF('12 - Device_Configuration'!H7="","",'12 - Device_Configuration'!H7)</f>
        <v>LIJ SDF</v>
      </c>
      <c r="D7" s="28" t="str">
        <f>IF('12 - Device_Configuration'!AE7="","",'12 - Device_Configuration'!AE7)</f>
        <v>Ground Level/Dialysis</v>
      </c>
      <c r="E7" s="28" t="str">
        <f>IF('12 - Device_Configuration'!AF7="","",'12 - Device_Configuration'!AF7)</f>
        <v>Open Patient Area</v>
      </c>
      <c r="F7" s="28">
        <f>IF('12 - Device_Configuration'!AG7="","",'12 - Device_Configuration'!AG7)</f>
        <v>6</v>
      </c>
      <c r="G7" s="28" t="str">
        <f>IF('12 - Device_Configuration'!AH7="","",'12 - Device_Configuration'!AH7)</f>
        <v>BSM 034 B</v>
      </c>
      <c r="H7" s="28" t="str">
        <f>IF('12 - Device_Configuration'!A7="","",'12 - Device_Configuration'!A7)</f>
        <v>Neuron</v>
      </c>
      <c r="I7" s="28" t="str">
        <f>IF('12 - Device_Configuration'!AI7="","",'12 - Device_Configuration'!AI7)</f>
        <v>Fresenius BlueStar</v>
      </c>
      <c r="J7" s="28" t="str">
        <f>IF('12 - Device_Configuration'!AJ7="","",'12 - Device_Configuration'!AJ7)</f>
        <v>2008T</v>
      </c>
      <c r="K7" s="28" t="str">
        <f>IF('12 - Device_Configuration'!AA7="","",'12 - Device_Configuration'!AA7)</f>
        <v>Dialysis Machine</v>
      </c>
      <c r="L7" s="28" t="str">
        <f>IF('12 - Device_Configuration'!I7="","",'12 - Device_Configuration'!I7)</f>
        <v/>
      </c>
      <c r="M7" s="29"/>
      <c r="N7" s="28" t="str">
        <f>IF('12 - Device_Configuration'!J7="","",'12 - Device_Configuration'!J7)</f>
        <v>NA</v>
      </c>
      <c r="O7" s="28" t="str">
        <f>IF('12 - Device_Configuration'!K7="","",'12 - Device_Configuration'!K7)</f>
        <v>NA</v>
      </c>
      <c r="P7" s="28" t="str">
        <f>IF('12 - Device_Configuration'!L7="","",'12 - Device_Configuration'!L7)</f>
        <v>NA</v>
      </c>
      <c r="Q7" s="29"/>
      <c r="R7" s="28" t="str">
        <f>IF('12 - Device_Configuration'!AY7="","",'12 - Device_Configuration'!AY7)</f>
        <v/>
      </c>
      <c r="S7" s="28" t="str">
        <f>IF('12 - Device_Configuration'!AX7="","",'12 - Device_Configuration'!AX7)</f>
        <v/>
      </c>
      <c r="T7" s="28" t="str">
        <f>IF('12 - Device_Configuration'!AV7="","",'12 - Device_Configuration'!AV7)</f>
        <v/>
      </c>
      <c r="U7" s="28" t="str">
        <f>IF('12 - Device_Configuration'!AW7="","",'12 - Device_Configuration'!AW7)</f>
        <v/>
      </c>
      <c r="V7" s="28" t="str">
        <f>IF('12 - Device_Configuration'!BA7="","",'12 - Device_Configuration'!BA7)</f>
        <v>Yes</v>
      </c>
      <c r="W7" s="28" t="str">
        <f>IF('12 - Device_Configuration'!BC7="","",'12 - Device_Configuration'!BC7)</f>
        <v>Firmware Installed</v>
      </c>
      <c r="X7" s="28" t="str">
        <f>IF('12 - Device_Configuration'!BK7="","",'12 - Device_Configuration'!BK7)</f>
        <v>Power Cable, Battery, Epic Beans Relay</v>
      </c>
      <c r="Y7" s="28" t="str">
        <f>IF('12 - Device_Configuration'!BB7="","",'12 - Device_Configuration'!BB7)</f>
        <v/>
      </c>
      <c r="Z7" s="28" t="str">
        <f>IF('12 - Device_Configuration'!P7="","",'12 - Device_Configuration'!P7)</f>
        <v/>
      </c>
      <c r="AA7" s="28" t="str">
        <f>IF('12 - Device_Configuration'!Q7="","",'12 - Device_Configuration'!Q7)</f>
        <v/>
      </c>
    </row>
    <row r="8" spans="1:29" ht="45.75" customHeight="1">
      <c r="A8" s="29"/>
      <c r="B8" s="29"/>
      <c r="C8" s="28" t="str">
        <f>IF('12 - Device_Configuration'!H8="","",'12 - Device_Configuration'!H8)</f>
        <v>LIJ SDF</v>
      </c>
      <c r="D8" s="28" t="str">
        <f>IF('12 - Device_Configuration'!AE8="","",'12 - Device_Configuration'!AE8)</f>
        <v>Ground Level/Dialysis</v>
      </c>
      <c r="E8" s="28" t="str">
        <f>IF('12 - Device_Configuration'!AF8="","",'12 - Device_Configuration'!AF8)</f>
        <v>Open Patient Area</v>
      </c>
      <c r="F8" s="28">
        <f>IF('12 - Device_Configuration'!AG8="","",'12 - Device_Configuration'!AG8)</f>
        <v>7</v>
      </c>
      <c r="G8" s="28" t="str">
        <f>IF('12 - Device_Configuration'!AH8="","",'12 - Device_Configuration'!AH8)</f>
        <v>BSM 035 A</v>
      </c>
      <c r="H8" s="28" t="str">
        <f>IF('12 - Device_Configuration'!A8="","",'12 - Device_Configuration'!A8)</f>
        <v>Neuron</v>
      </c>
      <c r="I8" s="28" t="str">
        <f>IF('12 - Device_Configuration'!AI8="","",'12 - Device_Configuration'!AI8)</f>
        <v>Fresenius BlueStar</v>
      </c>
      <c r="J8" s="28" t="str">
        <f>IF('12 - Device_Configuration'!AJ8="","",'12 - Device_Configuration'!AJ8)</f>
        <v>2008T</v>
      </c>
      <c r="K8" s="28" t="str">
        <f>IF('12 - Device_Configuration'!AA8="","",'12 - Device_Configuration'!AA8)</f>
        <v>Dialysis Machine</v>
      </c>
      <c r="L8" s="28" t="str">
        <f>IF('12 - Device_Configuration'!I8="","",'12 - Device_Configuration'!I8)</f>
        <v/>
      </c>
      <c r="M8" s="29"/>
      <c r="N8" s="28" t="str">
        <f>IF('12 - Device_Configuration'!J8="","",'12 - Device_Configuration'!J8)</f>
        <v>NA</v>
      </c>
      <c r="O8" s="28" t="str">
        <f>IF('12 - Device_Configuration'!K8="","",'12 - Device_Configuration'!K8)</f>
        <v>NA</v>
      </c>
      <c r="P8" s="28" t="str">
        <f>IF('12 - Device_Configuration'!L8="","",'12 - Device_Configuration'!L8)</f>
        <v>NA</v>
      </c>
      <c r="Q8" s="29"/>
      <c r="R8" s="28" t="str">
        <f>IF('12 - Device_Configuration'!AY8="","",'12 - Device_Configuration'!AY8)</f>
        <v/>
      </c>
      <c r="S8" s="28" t="str">
        <f>IF('12 - Device_Configuration'!AX8="","",'12 - Device_Configuration'!AX8)</f>
        <v/>
      </c>
      <c r="T8" s="28" t="str">
        <f>IF('12 - Device_Configuration'!AV8="","",'12 - Device_Configuration'!AV8)</f>
        <v/>
      </c>
      <c r="U8" s="28" t="str">
        <f>IF('12 - Device_Configuration'!AW8="","",'12 - Device_Configuration'!AW8)</f>
        <v/>
      </c>
      <c r="V8" s="28" t="str">
        <f>IF('12 - Device_Configuration'!BA8="","",'12 - Device_Configuration'!BA8)</f>
        <v>Yes</v>
      </c>
      <c r="W8" s="28" t="str">
        <f>IF('12 - Device_Configuration'!BC8="","",'12 - Device_Configuration'!BC8)</f>
        <v>Firmware Installed</v>
      </c>
      <c r="X8" s="28" t="str">
        <f>IF('12 - Device_Configuration'!BK8="","",'12 - Device_Configuration'!BK8)</f>
        <v>Power Cable, Battery, Epic Beans Relay</v>
      </c>
      <c r="Y8" s="28" t="str">
        <f>IF('12 - Device_Configuration'!BB8="","",'12 - Device_Configuration'!BB8)</f>
        <v/>
      </c>
      <c r="Z8" s="28" t="str">
        <f>IF('12 - Device_Configuration'!P8="","",'12 - Device_Configuration'!P8)</f>
        <v/>
      </c>
      <c r="AA8" s="28" t="str">
        <f>IF('12 - Device_Configuration'!Q8="","",'12 - Device_Configuration'!Q8)</f>
        <v/>
      </c>
    </row>
    <row r="9" spans="1:29" ht="45.75" customHeight="1">
      <c r="A9" s="29"/>
      <c r="B9" s="29"/>
      <c r="C9" s="28" t="str">
        <f>IF('12 - Device_Configuration'!H9="","",'12 - Device_Configuration'!H9)</f>
        <v>LIJ SDF</v>
      </c>
      <c r="D9" s="28" t="str">
        <f>IF('12 - Device_Configuration'!AE9="","",'12 - Device_Configuration'!AE9)</f>
        <v>Ground Level/Dialysis</v>
      </c>
      <c r="E9" s="28" t="str">
        <f>IF('12 - Device_Configuration'!AF9="","",'12 - Device_Configuration'!AF9)</f>
        <v>Open Patient Area</v>
      </c>
      <c r="F9" s="28">
        <f>IF('12 - Device_Configuration'!AG9="","",'12 - Device_Configuration'!AG9)</f>
        <v>8</v>
      </c>
      <c r="G9" s="28" t="str">
        <f>IF('12 - Device_Configuration'!AH9="","",'12 - Device_Configuration'!AH9)</f>
        <v>BSM 035 B</v>
      </c>
      <c r="H9" s="28" t="str">
        <f>IF('12 - Device_Configuration'!A9="","",'12 - Device_Configuration'!A9)</f>
        <v>Neuron</v>
      </c>
      <c r="I9" s="28" t="str">
        <f>IF('12 - Device_Configuration'!AI9="","",'12 - Device_Configuration'!AI9)</f>
        <v>Fresenius BlueStar</v>
      </c>
      <c r="J9" s="28" t="str">
        <f>IF('12 - Device_Configuration'!AJ9="","",'12 - Device_Configuration'!AJ9)</f>
        <v>2008T</v>
      </c>
      <c r="K9" s="28" t="str">
        <f>IF('12 - Device_Configuration'!AA9="","",'12 - Device_Configuration'!AA9)</f>
        <v>Dialysis Machine</v>
      </c>
      <c r="L9" s="28" t="str">
        <f>IF('12 - Device_Configuration'!I9="","",'12 - Device_Configuration'!I9)</f>
        <v/>
      </c>
      <c r="M9" s="29"/>
      <c r="N9" s="28" t="str">
        <f>IF('12 - Device_Configuration'!J9="","",'12 - Device_Configuration'!J9)</f>
        <v>NA</v>
      </c>
      <c r="O9" s="28" t="str">
        <f>IF('12 - Device_Configuration'!K9="","",'12 - Device_Configuration'!K9)</f>
        <v>NA</v>
      </c>
      <c r="P9" s="28" t="str">
        <f>IF('12 - Device_Configuration'!L9="","",'12 - Device_Configuration'!L9)</f>
        <v>NA</v>
      </c>
      <c r="Q9" s="29"/>
      <c r="R9" s="28" t="str">
        <f>IF('12 - Device_Configuration'!AY9="","",'12 - Device_Configuration'!AY9)</f>
        <v/>
      </c>
      <c r="S9" s="28" t="str">
        <f>IF('12 - Device_Configuration'!AX9="","",'12 - Device_Configuration'!AX9)</f>
        <v/>
      </c>
      <c r="T9" s="28" t="str">
        <f>IF('12 - Device_Configuration'!AV9="","",'12 - Device_Configuration'!AV9)</f>
        <v/>
      </c>
      <c r="U9" s="28" t="str">
        <f>IF('12 - Device_Configuration'!AW9="","",'12 - Device_Configuration'!AW9)</f>
        <v/>
      </c>
      <c r="V9" s="28" t="str">
        <f>IF('12 - Device_Configuration'!BA9="","",'12 - Device_Configuration'!BA9)</f>
        <v>Yes</v>
      </c>
      <c r="W9" s="28" t="str">
        <f>IF('12 - Device_Configuration'!BC9="","",'12 - Device_Configuration'!BC9)</f>
        <v>Firmware Installed</v>
      </c>
      <c r="X9" s="28" t="str">
        <f>IF('12 - Device_Configuration'!BK9="","",'12 - Device_Configuration'!BK9)</f>
        <v>Power Cable, Battery, Epic Beans Relay</v>
      </c>
      <c r="Y9" s="28" t="str">
        <f>IF('12 - Device_Configuration'!BB9="","",'12 - Device_Configuration'!BB9)</f>
        <v/>
      </c>
      <c r="Z9" s="28" t="str">
        <f>IF('12 - Device_Configuration'!P9="","",'12 - Device_Configuration'!P9)</f>
        <v/>
      </c>
      <c r="AA9" s="28" t="str">
        <f>IF('12 - Device_Configuration'!Q9="","",'12 - Device_Configuration'!Q9)</f>
        <v/>
      </c>
    </row>
    <row r="10" spans="1:29" ht="45.75" customHeight="1">
      <c r="A10" s="29"/>
      <c r="B10" s="29"/>
      <c r="C10" s="28" t="str">
        <f>IF('12 - Device_Configuration'!H10="","",'12 - Device_Configuration'!H10)</f>
        <v>LIJ SDF</v>
      </c>
      <c r="D10" s="28" t="str">
        <f>IF('12 - Device_Configuration'!AE10="","",'12 - Device_Configuration'!AE10)</f>
        <v>Ground Level/Dialysis</v>
      </c>
      <c r="E10" s="28" t="str">
        <f>IF('12 - Device_Configuration'!AF10="","",'12 - Device_Configuration'!AF10)</f>
        <v>Open Patient Area</v>
      </c>
      <c r="F10" s="28">
        <f>IF('12 - Device_Configuration'!AG10="","",'12 - Device_Configuration'!AG10)</f>
        <v>9</v>
      </c>
      <c r="G10" s="28" t="str">
        <f>IF('12 - Device_Configuration'!AH10="","",'12 - Device_Configuration'!AH10)</f>
        <v>BSM 036 A</v>
      </c>
      <c r="H10" s="28" t="str">
        <f>IF('12 - Device_Configuration'!A10="","",'12 - Device_Configuration'!A10)</f>
        <v>Neuron</v>
      </c>
      <c r="I10" s="28" t="str">
        <f>IF('12 - Device_Configuration'!AI10="","",'12 - Device_Configuration'!AI10)</f>
        <v>Fresenius BlueStar</v>
      </c>
      <c r="J10" s="28" t="str">
        <f>IF('12 - Device_Configuration'!AJ10="","",'12 - Device_Configuration'!AJ10)</f>
        <v>2008T</v>
      </c>
      <c r="K10" s="28" t="str">
        <f>IF('12 - Device_Configuration'!AA10="","",'12 - Device_Configuration'!AA10)</f>
        <v>Dialysis Machine</v>
      </c>
      <c r="L10" s="28" t="str">
        <f>IF('12 - Device_Configuration'!I10="","",'12 - Device_Configuration'!I10)</f>
        <v/>
      </c>
      <c r="M10" s="29"/>
      <c r="N10" s="28" t="str">
        <f>IF('12 - Device_Configuration'!J10="","",'12 - Device_Configuration'!J10)</f>
        <v>NA</v>
      </c>
      <c r="O10" s="28" t="str">
        <f>IF('12 - Device_Configuration'!K10="","",'12 - Device_Configuration'!K10)</f>
        <v>NA</v>
      </c>
      <c r="P10" s="28" t="str">
        <f>IF('12 - Device_Configuration'!L10="","",'12 - Device_Configuration'!L10)</f>
        <v>NA</v>
      </c>
      <c r="Q10" s="29"/>
      <c r="R10" s="28" t="str">
        <f>IF('12 - Device_Configuration'!AY10="","",'12 - Device_Configuration'!AY10)</f>
        <v/>
      </c>
      <c r="S10" s="28" t="str">
        <f>IF('12 - Device_Configuration'!AX10="","",'12 - Device_Configuration'!AX10)</f>
        <v/>
      </c>
      <c r="T10" s="28" t="str">
        <f>IF('12 - Device_Configuration'!AV10="","",'12 - Device_Configuration'!AV10)</f>
        <v/>
      </c>
      <c r="U10" s="28" t="str">
        <f>IF('12 - Device_Configuration'!AW10="","",'12 - Device_Configuration'!AW10)</f>
        <v/>
      </c>
      <c r="V10" s="28" t="str">
        <f>IF('12 - Device_Configuration'!BA10="","",'12 - Device_Configuration'!BA10)</f>
        <v>Yes</v>
      </c>
      <c r="W10" s="28" t="str">
        <f>IF('12 - Device_Configuration'!BC10="","",'12 - Device_Configuration'!BC10)</f>
        <v>Firmware Installed</v>
      </c>
      <c r="X10" s="28" t="str">
        <f>IF('12 - Device_Configuration'!BK10="","",'12 - Device_Configuration'!BK10)</f>
        <v>Power Cable, Battery, Epic Beans Relay</v>
      </c>
      <c r="Y10" s="28" t="str">
        <f>IF('12 - Device_Configuration'!BB10="","",'12 - Device_Configuration'!BB10)</f>
        <v/>
      </c>
      <c r="Z10" s="28" t="str">
        <f>IF('12 - Device_Configuration'!P10="","",'12 - Device_Configuration'!P10)</f>
        <v/>
      </c>
      <c r="AA10" s="28" t="str">
        <f>IF('12 - Device_Configuration'!Q10="","",'12 - Device_Configuration'!Q10)</f>
        <v/>
      </c>
    </row>
    <row r="11" spans="1:29" ht="45.75" customHeight="1">
      <c r="A11" s="29"/>
      <c r="B11" s="29"/>
      <c r="C11" s="28" t="str">
        <f>IF('12 - Device_Configuration'!H11="","",'12 - Device_Configuration'!H11)</f>
        <v>LIJ SDF</v>
      </c>
      <c r="D11" s="28" t="str">
        <f>IF('12 - Device_Configuration'!AE11="","",'12 - Device_Configuration'!AE11)</f>
        <v>Ground Level/Dialysis</v>
      </c>
      <c r="E11" s="28" t="str">
        <f>IF('12 - Device_Configuration'!AF11="","",'12 - Device_Configuration'!AF11)</f>
        <v>Open Patient Area</v>
      </c>
      <c r="F11" s="28">
        <f>IF('12 - Device_Configuration'!AG11="","",'12 - Device_Configuration'!AG11)</f>
        <v>10</v>
      </c>
      <c r="G11" s="28" t="str">
        <f>IF('12 - Device_Configuration'!AH11="","",'12 - Device_Configuration'!AH11)</f>
        <v>BSM 036 B</v>
      </c>
      <c r="H11" s="28" t="str">
        <f>IF('12 - Device_Configuration'!A11="","",'12 - Device_Configuration'!A11)</f>
        <v>Neuron</v>
      </c>
      <c r="I11" s="28" t="str">
        <f>IF('12 - Device_Configuration'!AI11="","",'12 - Device_Configuration'!AI11)</f>
        <v>Fresenius BlueStar</v>
      </c>
      <c r="J11" s="28" t="str">
        <f>IF('12 - Device_Configuration'!AJ11="","",'12 - Device_Configuration'!AJ11)</f>
        <v>2008T</v>
      </c>
      <c r="K11" s="28" t="str">
        <f>IF('12 - Device_Configuration'!AA11="","",'12 - Device_Configuration'!AA11)</f>
        <v>Dialysis Machine</v>
      </c>
      <c r="L11" s="28" t="str">
        <f>IF('12 - Device_Configuration'!I11="","",'12 - Device_Configuration'!I11)</f>
        <v/>
      </c>
      <c r="M11" s="29"/>
      <c r="N11" s="28" t="str">
        <f>IF('12 - Device_Configuration'!J11="","",'12 - Device_Configuration'!J11)</f>
        <v>NA</v>
      </c>
      <c r="O11" s="28" t="str">
        <f>IF('12 - Device_Configuration'!K11="","",'12 - Device_Configuration'!K11)</f>
        <v>NA</v>
      </c>
      <c r="P11" s="28" t="str">
        <f>IF('12 - Device_Configuration'!L11="","",'12 - Device_Configuration'!L11)</f>
        <v>NA</v>
      </c>
      <c r="Q11" s="29"/>
      <c r="R11" s="28" t="str">
        <f>IF('12 - Device_Configuration'!AY11="","",'12 - Device_Configuration'!AY11)</f>
        <v/>
      </c>
      <c r="S11" s="28" t="str">
        <f>IF('12 - Device_Configuration'!AX11="","",'12 - Device_Configuration'!AX11)</f>
        <v/>
      </c>
      <c r="T11" s="28" t="str">
        <f>IF('12 - Device_Configuration'!AV11="","",'12 - Device_Configuration'!AV11)</f>
        <v/>
      </c>
      <c r="U11" s="28" t="str">
        <f>IF('12 - Device_Configuration'!AW11="","",'12 - Device_Configuration'!AW11)</f>
        <v/>
      </c>
      <c r="V11" s="28" t="str">
        <f>IF('12 - Device_Configuration'!BA11="","",'12 - Device_Configuration'!BA11)</f>
        <v>Yes</v>
      </c>
      <c r="W11" s="28" t="str">
        <f>IF('12 - Device_Configuration'!BC11="","",'12 - Device_Configuration'!BC11)</f>
        <v>Firmware Installed</v>
      </c>
      <c r="X11" s="28" t="str">
        <f>IF('12 - Device_Configuration'!BK11="","",'12 - Device_Configuration'!BK11)</f>
        <v>Power Cable, Battery, Epic Beans Relay</v>
      </c>
      <c r="Y11" s="28" t="str">
        <f>IF('12 - Device_Configuration'!BB11="","",'12 - Device_Configuration'!BB11)</f>
        <v/>
      </c>
      <c r="Z11" s="28" t="str">
        <f>IF('12 - Device_Configuration'!P11="","",'12 - Device_Configuration'!P11)</f>
        <v/>
      </c>
      <c r="AA11" s="28" t="str">
        <f>IF('12 - Device_Configuration'!Q11="","",'12 - Device_Configuration'!Q11)</f>
        <v/>
      </c>
    </row>
    <row r="12" spans="1:29" ht="45.75" customHeight="1">
      <c r="A12" s="29"/>
      <c r="B12" s="29"/>
      <c r="C12" s="28" t="str">
        <f>IF('12 - Device_Configuration'!H12="","",'12 - Device_Configuration'!H12)</f>
        <v>LIJ SDF</v>
      </c>
      <c r="D12" s="28" t="str">
        <f>IF('12 - Device_Configuration'!AE12="","",'12 - Device_Configuration'!AE12)</f>
        <v>Ground Level/Dialysis</v>
      </c>
      <c r="E12" s="28" t="str">
        <f>IF('12 - Device_Configuration'!AF12="","",'12 - Device_Configuration'!AF12)</f>
        <v>Open Patient Area</v>
      </c>
      <c r="F12" s="28">
        <f>IF('12 - Device_Configuration'!AG12="","",'12 - Device_Configuration'!AG12)</f>
        <v>11</v>
      </c>
      <c r="G12" s="28" t="str">
        <f>IF('12 - Device_Configuration'!AH12="","",'12 - Device_Configuration'!AH12)</f>
        <v>BSM 047 D</v>
      </c>
      <c r="H12" s="28" t="str">
        <f>IF('12 - Device_Configuration'!A12="","",'12 - Device_Configuration'!A12)</f>
        <v>Neuron</v>
      </c>
      <c r="I12" s="28" t="str">
        <f>IF('12 - Device_Configuration'!AI12="","",'12 - Device_Configuration'!AI12)</f>
        <v>Fresenius BlueStar</v>
      </c>
      <c r="J12" s="28" t="str">
        <f>IF('12 - Device_Configuration'!AJ12="","",'12 - Device_Configuration'!AJ12)</f>
        <v>2008T</v>
      </c>
      <c r="K12" s="28" t="str">
        <f>IF('12 - Device_Configuration'!AA12="","",'12 - Device_Configuration'!AA12)</f>
        <v>Dialysis Machine</v>
      </c>
      <c r="L12" s="28" t="str">
        <f>IF('12 - Device_Configuration'!I12="","",'12 - Device_Configuration'!I12)</f>
        <v/>
      </c>
      <c r="M12" s="29"/>
      <c r="N12" s="28" t="str">
        <f>IF('12 - Device_Configuration'!J12="","",'12 - Device_Configuration'!J12)</f>
        <v>NA</v>
      </c>
      <c r="O12" s="28" t="str">
        <f>IF('12 - Device_Configuration'!K12="","",'12 - Device_Configuration'!K12)</f>
        <v>NA</v>
      </c>
      <c r="P12" s="28" t="str">
        <f>IF('12 - Device_Configuration'!L12="","",'12 - Device_Configuration'!L12)</f>
        <v>NA</v>
      </c>
      <c r="Q12" s="29"/>
      <c r="R12" s="28" t="str">
        <f>IF('12 - Device_Configuration'!AY12="","",'12 - Device_Configuration'!AY12)</f>
        <v/>
      </c>
      <c r="S12" s="28" t="str">
        <f>IF('12 - Device_Configuration'!AX12="","",'12 - Device_Configuration'!AX12)</f>
        <v/>
      </c>
      <c r="T12" s="28" t="str">
        <f>IF('12 - Device_Configuration'!AV12="","",'12 - Device_Configuration'!AV12)</f>
        <v/>
      </c>
      <c r="U12" s="28" t="str">
        <f>IF('12 - Device_Configuration'!AW12="","",'12 - Device_Configuration'!AW12)</f>
        <v/>
      </c>
      <c r="V12" s="28" t="str">
        <f>IF('12 - Device_Configuration'!BA12="","",'12 - Device_Configuration'!BA12)</f>
        <v>Yes</v>
      </c>
      <c r="W12" s="28" t="str">
        <f>IF('12 - Device_Configuration'!BC12="","",'12 - Device_Configuration'!BC12)</f>
        <v>Firmware Installed</v>
      </c>
      <c r="X12" s="28" t="str">
        <f>IF('12 - Device_Configuration'!BK12="","",'12 - Device_Configuration'!BK12)</f>
        <v>Power Cable, Battery, Epic Beans Relay</v>
      </c>
      <c r="Y12" s="28" t="str">
        <f>IF('12 - Device_Configuration'!BB12="","",'12 - Device_Configuration'!BB12)</f>
        <v>SN scratched off slightly;</v>
      </c>
      <c r="Z12" s="28" t="str">
        <f>IF('12 - Device_Configuration'!P12="","",'12 - Device_Configuration'!P12)</f>
        <v/>
      </c>
      <c r="AA12" s="28" t="str">
        <f>IF('12 - Device_Configuration'!Q12="","",'12 - Device_Configuration'!Q12)</f>
        <v/>
      </c>
    </row>
    <row r="13" spans="1:29" ht="45.75" customHeight="1">
      <c r="A13" s="29"/>
      <c r="B13" s="29"/>
      <c r="C13" s="28" t="str">
        <f>IF('12 - Device_Configuration'!H13="","",'12 - Device_Configuration'!H13)</f>
        <v>LIJ SDF</v>
      </c>
      <c r="D13" s="28" t="str">
        <f>IF('12 - Device_Configuration'!AE13="","",'12 - Device_Configuration'!AE13)</f>
        <v>Ground Level/Dialysis</v>
      </c>
      <c r="E13" s="28" t="str">
        <f>IF('12 - Device_Configuration'!AF13="","",'12 - Device_Configuration'!AF13)</f>
        <v>Open Patient Area</v>
      </c>
      <c r="F13" s="28">
        <f>IF('12 - Device_Configuration'!AG13="","",'12 - Device_Configuration'!AG13)</f>
        <v>12</v>
      </c>
      <c r="G13" s="28" t="str">
        <f>IF('12 - Device_Configuration'!AH13="","",'12 - Device_Configuration'!AH13)</f>
        <v>BSM 050 D</v>
      </c>
      <c r="H13" s="28" t="str">
        <f>IF('12 - Device_Configuration'!A13="","",'12 - Device_Configuration'!A13)</f>
        <v>Neuron</v>
      </c>
      <c r="I13" s="28" t="str">
        <f>IF('12 - Device_Configuration'!AI13="","",'12 - Device_Configuration'!AI13)</f>
        <v>Fresenius BlueStar</v>
      </c>
      <c r="J13" s="28" t="str">
        <f>IF('12 - Device_Configuration'!AJ13="","",'12 - Device_Configuration'!AJ13)</f>
        <v>2008T</v>
      </c>
      <c r="K13" s="28" t="str">
        <f>IF('12 - Device_Configuration'!AA13="","",'12 - Device_Configuration'!AA13)</f>
        <v>Dialysis Machine</v>
      </c>
      <c r="L13" s="28" t="str">
        <f>IF('12 - Device_Configuration'!I13="","",'12 - Device_Configuration'!I13)</f>
        <v/>
      </c>
      <c r="M13" s="29"/>
      <c r="N13" s="28" t="str">
        <f>IF('12 - Device_Configuration'!J13="","",'12 - Device_Configuration'!J13)</f>
        <v>NA</v>
      </c>
      <c r="O13" s="28" t="str">
        <f>IF('12 - Device_Configuration'!K13="","",'12 - Device_Configuration'!K13)</f>
        <v>NA</v>
      </c>
      <c r="P13" s="28" t="str">
        <f>IF('12 - Device_Configuration'!L13="","",'12 - Device_Configuration'!L13)</f>
        <v>NA</v>
      </c>
      <c r="Q13" s="29"/>
      <c r="R13" s="28" t="str">
        <f>IF('12 - Device_Configuration'!AY13="","",'12 - Device_Configuration'!AY13)</f>
        <v/>
      </c>
      <c r="S13" s="28" t="str">
        <f>IF('12 - Device_Configuration'!AX13="","",'12 - Device_Configuration'!AX13)</f>
        <v/>
      </c>
      <c r="T13" s="28" t="str">
        <f>IF('12 - Device_Configuration'!AV13="","",'12 - Device_Configuration'!AV13)</f>
        <v/>
      </c>
      <c r="U13" s="28" t="str">
        <f>IF('12 - Device_Configuration'!AW13="","",'12 - Device_Configuration'!AW13)</f>
        <v/>
      </c>
      <c r="V13" s="28" t="str">
        <f>IF('12 - Device_Configuration'!BA13="","",'12 - Device_Configuration'!BA13)</f>
        <v>Yes</v>
      </c>
      <c r="W13" s="28" t="str">
        <f>IF('12 - Device_Configuration'!BC13="","",'12 - Device_Configuration'!BC13)</f>
        <v>Firmware Installed</v>
      </c>
      <c r="X13" s="28" t="str">
        <f>IF('12 - Device_Configuration'!BK13="","",'12 - Device_Configuration'!BK13)</f>
        <v>Power Cable, Battery, Epic Beans Relay</v>
      </c>
      <c r="Y13" s="28" t="str">
        <f>IF('12 - Device_Configuration'!BB13="","",'12 - Device_Configuration'!BB13)</f>
        <v/>
      </c>
      <c r="Z13" s="28" t="str">
        <f>IF('12 - Device_Configuration'!P13="","",'12 - Device_Configuration'!P13)</f>
        <v/>
      </c>
      <c r="AA13" s="28" t="str">
        <f>IF('12 - Device_Configuration'!Q13="","",'12 - Device_Configuration'!Q13)</f>
        <v/>
      </c>
    </row>
    <row r="14" spans="1:29" ht="45.75" customHeight="1">
      <c r="A14" s="29"/>
      <c r="B14" s="29"/>
      <c r="C14" s="28" t="str">
        <f>IF('12 - Device_Configuration'!H14="","",'12 - Device_Configuration'!H14)</f>
        <v>LIJ SDF</v>
      </c>
      <c r="D14" s="28" t="str">
        <f>IF('12 - Device_Configuration'!AE14="","",'12 - Device_Configuration'!AE14)</f>
        <v>Ground Level/Dialysis</v>
      </c>
      <c r="E14" s="28" t="str">
        <f>IF('12 - Device_Configuration'!AF14="","",'12 - Device_Configuration'!AF14)</f>
        <v>Open Patient Area</v>
      </c>
      <c r="F14" s="28">
        <f>IF('12 - Device_Configuration'!AG14="","",'12 - Device_Configuration'!AG14)</f>
        <v>13</v>
      </c>
      <c r="G14" s="28" t="str">
        <f>IF('12 - Device_Configuration'!AH14="","",'12 - Device_Configuration'!AH14)</f>
        <v>BSM 038 A</v>
      </c>
      <c r="H14" s="28" t="str">
        <f>IF('12 - Device_Configuration'!A14="","",'12 - Device_Configuration'!A14)</f>
        <v>Neuron</v>
      </c>
      <c r="I14" s="28" t="str">
        <f>IF('12 - Device_Configuration'!AI14="","",'12 - Device_Configuration'!AI14)</f>
        <v>Fresenius BlueStar</v>
      </c>
      <c r="J14" s="28" t="str">
        <f>IF('12 - Device_Configuration'!AJ14="","",'12 - Device_Configuration'!AJ14)</f>
        <v>2008T</v>
      </c>
      <c r="K14" s="28" t="str">
        <f>IF('12 - Device_Configuration'!AA14="","",'12 - Device_Configuration'!AA14)</f>
        <v>Dialysis Machine</v>
      </c>
      <c r="L14" s="28" t="str">
        <f>IF('12 - Device_Configuration'!I14="","",'12 - Device_Configuration'!I14)</f>
        <v/>
      </c>
      <c r="M14" s="29"/>
      <c r="N14" s="28" t="str">
        <f>IF('12 - Device_Configuration'!J14="","",'12 - Device_Configuration'!J14)</f>
        <v>NA</v>
      </c>
      <c r="O14" s="28" t="str">
        <f>IF('12 - Device_Configuration'!K14="","",'12 - Device_Configuration'!K14)</f>
        <v>NA</v>
      </c>
      <c r="P14" s="28" t="str">
        <f>IF('12 - Device_Configuration'!L14="","",'12 - Device_Configuration'!L14)</f>
        <v>NA</v>
      </c>
      <c r="Q14" s="29"/>
      <c r="R14" s="28" t="str">
        <f>IF('12 - Device_Configuration'!AY14="","",'12 - Device_Configuration'!AY14)</f>
        <v/>
      </c>
      <c r="S14" s="28" t="str">
        <f>IF('12 - Device_Configuration'!AX14="","",'12 - Device_Configuration'!AX14)</f>
        <v/>
      </c>
      <c r="T14" s="28" t="str">
        <f>IF('12 - Device_Configuration'!AV14="","",'12 - Device_Configuration'!AV14)</f>
        <v/>
      </c>
      <c r="U14" s="28" t="str">
        <f>IF('12 - Device_Configuration'!AW14="","",'12 - Device_Configuration'!AW14)</f>
        <v/>
      </c>
      <c r="V14" s="28" t="str">
        <f>IF('12 - Device_Configuration'!BA14="","",'12 - Device_Configuration'!BA14)</f>
        <v>Yes</v>
      </c>
      <c r="W14" s="28" t="str">
        <f>IF('12 - Device_Configuration'!BC14="","",'12 - Device_Configuration'!BC14)</f>
        <v>Firmware Installed</v>
      </c>
      <c r="X14" s="28" t="str">
        <f>IF('12 - Device_Configuration'!BK14="","",'12 - Device_Configuration'!BK14)</f>
        <v>Power Cable, Battery, Epic Beans Relay</v>
      </c>
      <c r="Y14" s="28" t="str">
        <f>IF('12 - Device_Configuration'!BB14="","",'12 - Device_Configuration'!BB14)</f>
        <v/>
      </c>
      <c r="Z14" s="28" t="str">
        <f>IF('12 - Device_Configuration'!P14="","",'12 - Device_Configuration'!P14)</f>
        <v/>
      </c>
      <c r="AA14" s="28" t="str">
        <f>IF('12 - Device_Configuration'!Q14="","",'12 - Device_Configuration'!Q14)</f>
        <v/>
      </c>
    </row>
    <row r="15" spans="1:29" ht="45.75" customHeight="1">
      <c r="A15" s="29"/>
      <c r="B15" s="29"/>
      <c r="C15" s="28" t="str">
        <f>IF('12 - Device_Configuration'!H15="","",'12 - Device_Configuration'!H15)</f>
        <v>LIJ SDF</v>
      </c>
      <c r="D15" s="28" t="str">
        <f>IF('12 - Device_Configuration'!AE15="","",'12 - Device_Configuration'!AE15)</f>
        <v>Ground Level/Dialysis</v>
      </c>
      <c r="E15" s="28" t="str">
        <f>IF('12 - Device_Configuration'!AF15="","",'12 - Device_Configuration'!AF15)</f>
        <v>Open Patient Area</v>
      </c>
      <c r="F15" s="28">
        <f>IF('12 - Device_Configuration'!AG15="","",'12 - Device_Configuration'!AG15)</f>
        <v>14</v>
      </c>
      <c r="G15" s="28" t="str">
        <f>IF('12 - Device_Configuration'!AH15="","",'12 - Device_Configuration'!AH15)</f>
        <v>BSM 038 B</v>
      </c>
      <c r="H15" s="28" t="str">
        <f>IF('12 - Device_Configuration'!A15="","",'12 - Device_Configuration'!A15)</f>
        <v>Neuron</v>
      </c>
      <c r="I15" s="28" t="str">
        <f>IF('12 - Device_Configuration'!AI15="","",'12 - Device_Configuration'!AI15)</f>
        <v>Fresenius BlueStar</v>
      </c>
      <c r="J15" s="28" t="str">
        <f>IF('12 - Device_Configuration'!AJ15="","",'12 - Device_Configuration'!AJ15)</f>
        <v>2008T</v>
      </c>
      <c r="K15" s="28" t="str">
        <f>IF('12 - Device_Configuration'!AA15="","",'12 - Device_Configuration'!AA15)</f>
        <v>Dialysis Machine</v>
      </c>
      <c r="L15" s="28" t="str">
        <f>IF('12 - Device_Configuration'!I15="","",'12 - Device_Configuration'!I15)</f>
        <v/>
      </c>
      <c r="M15" s="29"/>
      <c r="N15" s="28" t="str">
        <f>IF('12 - Device_Configuration'!J15="","",'12 - Device_Configuration'!J15)</f>
        <v>NA</v>
      </c>
      <c r="O15" s="28" t="str">
        <f>IF('12 - Device_Configuration'!K15="","",'12 - Device_Configuration'!K15)</f>
        <v>NA</v>
      </c>
      <c r="P15" s="28" t="str">
        <f>IF('12 - Device_Configuration'!L15="","",'12 - Device_Configuration'!L15)</f>
        <v>NA</v>
      </c>
      <c r="Q15" s="29"/>
      <c r="R15" s="28" t="str">
        <f>IF('12 - Device_Configuration'!AY15="","",'12 - Device_Configuration'!AY15)</f>
        <v/>
      </c>
      <c r="S15" s="28" t="str">
        <f>IF('12 - Device_Configuration'!AX15="","",'12 - Device_Configuration'!AX15)</f>
        <v/>
      </c>
      <c r="T15" s="28" t="str">
        <f>IF('12 - Device_Configuration'!AV15="","",'12 - Device_Configuration'!AV15)</f>
        <v/>
      </c>
      <c r="U15" s="28" t="str">
        <f>IF('12 - Device_Configuration'!AW15="","",'12 - Device_Configuration'!AW15)</f>
        <v/>
      </c>
      <c r="V15" s="28" t="str">
        <f>IF('12 - Device_Configuration'!BA15="","",'12 - Device_Configuration'!BA15)</f>
        <v>Yes</v>
      </c>
      <c r="W15" s="28" t="str">
        <f>IF('12 - Device_Configuration'!BC15="","",'12 - Device_Configuration'!BC15)</f>
        <v>Firmware Installed</v>
      </c>
      <c r="X15" s="28" t="str">
        <f>IF('12 - Device_Configuration'!BK15="","",'12 - Device_Configuration'!BK15)</f>
        <v>Power Cable, Battery, Epic Beans Relay</v>
      </c>
      <c r="Y15" s="28" t="str">
        <f>IF('12 - Device_Configuration'!BB15="","",'12 - Device_Configuration'!BB15)</f>
        <v/>
      </c>
      <c r="Z15" s="28" t="str">
        <f>IF('12 - Device_Configuration'!P15="","",'12 - Device_Configuration'!P15)</f>
        <v/>
      </c>
      <c r="AA15" s="28" t="str">
        <f>IF('12 - Device_Configuration'!Q15="","",'12 - Device_Configuration'!Q15)</f>
        <v/>
      </c>
    </row>
    <row r="16" spans="1:29" ht="45.75" customHeight="1">
      <c r="A16" s="29"/>
      <c r="B16" s="29"/>
      <c r="C16" s="28" t="str">
        <f>IF('12 - Device_Configuration'!H16="","",'12 - Device_Configuration'!H16)</f>
        <v>LIJ SDF</v>
      </c>
      <c r="D16" s="28" t="str">
        <f>IF('12 - Device_Configuration'!AE16="","",'12 - Device_Configuration'!AE16)</f>
        <v>Ground Level/Dialysis</v>
      </c>
      <c r="E16" s="28" t="str">
        <f>IF('12 - Device_Configuration'!AF16="","",'12 - Device_Configuration'!AF16)</f>
        <v>Open Patient Area</v>
      </c>
      <c r="F16" s="28">
        <f>IF('12 - Device_Configuration'!AG16="","",'12 - Device_Configuration'!AG16)</f>
        <v>15</v>
      </c>
      <c r="G16" s="28" t="str">
        <f>IF('12 - Device_Configuration'!AH16="","",'12 - Device_Configuration'!AH16)</f>
        <v>BSM 039 A</v>
      </c>
      <c r="H16" s="28" t="str">
        <f>IF('12 - Device_Configuration'!A16="","",'12 - Device_Configuration'!A16)</f>
        <v>Neuron</v>
      </c>
      <c r="I16" s="28" t="str">
        <f>IF('12 - Device_Configuration'!AI16="","",'12 - Device_Configuration'!AI16)</f>
        <v>Fresenius BlueStar</v>
      </c>
      <c r="J16" s="28" t="str">
        <f>IF('12 - Device_Configuration'!AJ16="","",'12 - Device_Configuration'!AJ16)</f>
        <v>2008T</v>
      </c>
      <c r="K16" s="28" t="str">
        <f>IF('12 - Device_Configuration'!AA16="","",'12 - Device_Configuration'!AA16)</f>
        <v>Dialysis Machine</v>
      </c>
      <c r="L16" s="28" t="str">
        <f>IF('12 - Device_Configuration'!I16="","",'12 - Device_Configuration'!I16)</f>
        <v/>
      </c>
      <c r="M16" s="29"/>
      <c r="N16" s="28" t="str">
        <f>IF('12 - Device_Configuration'!J16="","",'12 - Device_Configuration'!J16)</f>
        <v>NA</v>
      </c>
      <c r="O16" s="28" t="str">
        <f>IF('12 - Device_Configuration'!K16="","",'12 - Device_Configuration'!K16)</f>
        <v>NA</v>
      </c>
      <c r="P16" s="28" t="str">
        <f>IF('12 - Device_Configuration'!L16="","",'12 - Device_Configuration'!L16)</f>
        <v>NA</v>
      </c>
      <c r="Q16" s="29"/>
      <c r="R16" s="28" t="str">
        <f>IF('12 - Device_Configuration'!AY16="","",'12 - Device_Configuration'!AY16)</f>
        <v/>
      </c>
      <c r="S16" s="28" t="str">
        <f>IF('12 - Device_Configuration'!AX16="","",'12 - Device_Configuration'!AX16)</f>
        <v/>
      </c>
      <c r="T16" s="28" t="str">
        <f>IF('12 - Device_Configuration'!AV16="","",'12 - Device_Configuration'!AV16)</f>
        <v/>
      </c>
      <c r="U16" s="28" t="str">
        <f>IF('12 - Device_Configuration'!AW16="","",'12 - Device_Configuration'!AW16)</f>
        <v/>
      </c>
      <c r="V16" s="28" t="str">
        <f>IF('12 - Device_Configuration'!BA16="","",'12 - Device_Configuration'!BA16)</f>
        <v>Yes</v>
      </c>
      <c r="W16" s="28" t="str">
        <f>IF('12 - Device_Configuration'!BC16="","",'12 - Device_Configuration'!BC16)</f>
        <v>Firmware Installed</v>
      </c>
      <c r="X16" s="28" t="str">
        <f>IF('12 - Device_Configuration'!BK16="","",'12 - Device_Configuration'!BK16)</f>
        <v>Power Cable, Battery, Epic Beans Relay</v>
      </c>
      <c r="Y16" s="28" t="str">
        <f>IF('12 - Device_Configuration'!BB16="","",'12 - Device_Configuration'!BB16)</f>
        <v/>
      </c>
      <c r="Z16" s="28" t="str">
        <f>IF('12 - Device_Configuration'!P16="","",'12 - Device_Configuration'!P16)</f>
        <v/>
      </c>
      <c r="AA16" s="28" t="str">
        <f>IF('12 - Device_Configuration'!Q16="","",'12 - Device_Configuration'!Q16)</f>
        <v/>
      </c>
    </row>
    <row r="17" spans="1:27" ht="45.75" customHeight="1">
      <c r="A17" s="29"/>
      <c r="B17" s="29"/>
      <c r="C17" s="28" t="str">
        <f>IF('12 - Device_Configuration'!H17="","",'12 - Device_Configuration'!H17)</f>
        <v>LIJ SDF</v>
      </c>
      <c r="D17" s="28" t="str">
        <f>IF('12 - Device_Configuration'!AE17="","",'12 - Device_Configuration'!AE17)</f>
        <v>Ground Level/Dialysis</v>
      </c>
      <c r="E17" s="28" t="str">
        <f>IF('12 - Device_Configuration'!AF17="","",'12 - Device_Configuration'!AF17)</f>
        <v>Open Patient Area</v>
      </c>
      <c r="F17" s="28">
        <f>IF('12 - Device_Configuration'!AG17="","",'12 - Device_Configuration'!AG17)</f>
        <v>16</v>
      </c>
      <c r="G17" s="28" t="str">
        <f>IF('12 - Device_Configuration'!AH17="","",'12 - Device_Configuration'!AH17)</f>
        <v>BSM 039 B</v>
      </c>
      <c r="H17" s="28" t="str">
        <f>IF('12 - Device_Configuration'!A17="","",'12 - Device_Configuration'!A17)</f>
        <v>Neuron</v>
      </c>
      <c r="I17" s="28" t="str">
        <f>IF('12 - Device_Configuration'!AI17="","",'12 - Device_Configuration'!AI17)</f>
        <v>Fresenius BlueStar</v>
      </c>
      <c r="J17" s="28" t="str">
        <f>IF('12 - Device_Configuration'!AJ17="","",'12 - Device_Configuration'!AJ17)</f>
        <v>2008T</v>
      </c>
      <c r="K17" s="28" t="str">
        <f>IF('12 - Device_Configuration'!AA17="","",'12 - Device_Configuration'!AA17)</f>
        <v>Dialysis Machine</v>
      </c>
      <c r="L17" s="28" t="str">
        <f>IF('12 - Device_Configuration'!I17="","",'12 - Device_Configuration'!I17)</f>
        <v/>
      </c>
      <c r="M17" s="29"/>
      <c r="N17" s="28" t="str">
        <f>IF('12 - Device_Configuration'!J17="","",'12 - Device_Configuration'!J17)</f>
        <v>NA</v>
      </c>
      <c r="O17" s="28" t="str">
        <f>IF('12 - Device_Configuration'!K17="","",'12 - Device_Configuration'!K17)</f>
        <v>NA</v>
      </c>
      <c r="P17" s="28" t="str">
        <f>IF('12 - Device_Configuration'!L17="","",'12 - Device_Configuration'!L17)</f>
        <v>NA</v>
      </c>
      <c r="Q17" s="29"/>
      <c r="R17" s="28" t="str">
        <f>IF('12 - Device_Configuration'!AY17="","",'12 - Device_Configuration'!AY17)</f>
        <v/>
      </c>
      <c r="S17" s="28" t="str">
        <f>IF('12 - Device_Configuration'!AX17="","",'12 - Device_Configuration'!AX17)</f>
        <v/>
      </c>
      <c r="T17" s="28" t="str">
        <f>IF('12 - Device_Configuration'!AV17="","",'12 - Device_Configuration'!AV17)</f>
        <v/>
      </c>
      <c r="U17" s="28" t="str">
        <f>IF('12 - Device_Configuration'!AW17="","",'12 - Device_Configuration'!AW17)</f>
        <v/>
      </c>
      <c r="V17" s="28" t="str">
        <f>IF('12 - Device_Configuration'!BA17="","",'12 - Device_Configuration'!BA17)</f>
        <v>Yes</v>
      </c>
      <c r="W17" s="28" t="str">
        <f>IF('12 - Device_Configuration'!BC17="","",'12 - Device_Configuration'!BC17)</f>
        <v>Firmware Installed</v>
      </c>
      <c r="X17" s="28" t="str">
        <f>IF('12 - Device_Configuration'!BK17="","",'12 - Device_Configuration'!BK17)</f>
        <v>Power Cable, Battery, Epic Beans Relay</v>
      </c>
      <c r="Y17" s="28" t="str">
        <f>IF('12 - Device_Configuration'!BB17="","",'12 - Device_Configuration'!BB17)</f>
        <v/>
      </c>
      <c r="Z17" s="28" t="str">
        <f>IF('12 - Device_Configuration'!P17="","",'12 - Device_Configuration'!P17)</f>
        <v/>
      </c>
      <c r="AA17" s="28" t="str">
        <f>IF('12 - Device_Configuration'!Q17="","",'12 - Device_Configuration'!Q17)</f>
        <v/>
      </c>
    </row>
    <row r="18" spans="1:27" ht="45.75" customHeight="1">
      <c r="A18" s="29"/>
      <c r="B18" s="29"/>
      <c r="C18" s="28" t="str">
        <f>IF('12 - Device_Configuration'!H18="","",'12 - Device_Configuration'!H18)</f>
        <v>LIJ SDF</v>
      </c>
      <c r="D18" s="28" t="str">
        <f>IF('12 - Device_Configuration'!AE18="","",'12 - Device_Configuration'!AE18)</f>
        <v>Ground Level/Dialysis</v>
      </c>
      <c r="E18" s="28" t="str">
        <f>IF('12 - Device_Configuration'!AF18="","",'12 - Device_Configuration'!AF18)</f>
        <v>Open Patient Area</v>
      </c>
      <c r="F18" s="28">
        <f>IF('12 - Device_Configuration'!AG18="","",'12 - Device_Configuration'!AG18)</f>
        <v>17</v>
      </c>
      <c r="G18" s="28" t="str">
        <f>IF('12 - Device_Configuration'!AH18="","",'12 - Device_Configuration'!AH18)</f>
        <v>BSM 040 A</v>
      </c>
      <c r="H18" s="28" t="str">
        <f>IF('12 - Device_Configuration'!A18="","",'12 - Device_Configuration'!A18)</f>
        <v>Neuron</v>
      </c>
      <c r="I18" s="28" t="str">
        <f>IF('12 - Device_Configuration'!AI18="","",'12 - Device_Configuration'!AI18)</f>
        <v>Fresenius BlueStar</v>
      </c>
      <c r="J18" s="28" t="str">
        <f>IF('12 - Device_Configuration'!AJ18="","",'12 - Device_Configuration'!AJ18)</f>
        <v>2008T</v>
      </c>
      <c r="K18" s="28" t="str">
        <f>IF('12 - Device_Configuration'!AA18="","",'12 - Device_Configuration'!AA18)</f>
        <v>Dialysis Machine</v>
      </c>
      <c r="L18" s="28" t="str">
        <f>IF('12 - Device_Configuration'!I18="","",'12 - Device_Configuration'!I18)</f>
        <v/>
      </c>
      <c r="M18" s="29"/>
      <c r="N18" s="28" t="str">
        <f>IF('12 - Device_Configuration'!J18="","",'12 - Device_Configuration'!J18)</f>
        <v>NA</v>
      </c>
      <c r="O18" s="28" t="str">
        <f>IF('12 - Device_Configuration'!K18="","",'12 - Device_Configuration'!K18)</f>
        <v>NA</v>
      </c>
      <c r="P18" s="28" t="str">
        <f>IF('12 - Device_Configuration'!L18="","",'12 - Device_Configuration'!L18)</f>
        <v>NA</v>
      </c>
      <c r="Q18" s="29"/>
      <c r="R18" s="28" t="str">
        <f>IF('12 - Device_Configuration'!AY18="","",'12 - Device_Configuration'!AY18)</f>
        <v/>
      </c>
      <c r="S18" s="28" t="str">
        <f>IF('12 - Device_Configuration'!AX18="","",'12 - Device_Configuration'!AX18)</f>
        <v/>
      </c>
      <c r="T18" s="28" t="str">
        <f>IF('12 - Device_Configuration'!AV18="","",'12 - Device_Configuration'!AV18)</f>
        <v/>
      </c>
      <c r="U18" s="28" t="str">
        <f>IF('12 - Device_Configuration'!AW18="","",'12 - Device_Configuration'!AW18)</f>
        <v/>
      </c>
      <c r="V18" s="28" t="str">
        <f>IF('12 - Device_Configuration'!BA18="","",'12 - Device_Configuration'!BA18)</f>
        <v>Yes</v>
      </c>
      <c r="W18" s="28" t="str">
        <f>IF('12 - Device_Configuration'!BC18="","",'12 - Device_Configuration'!BC18)</f>
        <v>Firmware Installed</v>
      </c>
      <c r="X18" s="28" t="str">
        <f>IF('12 - Device_Configuration'!BK18="","",'12 - Device_Configuration'!BK18)</f>
        <v>Power Cable, Battery, Epic Beans Relay</v>
      </c>
      <c r="Y18" s="28" t="str">
        <f>IF('12 - Device_Configuration'!BB18="","",'12 - Device_Configuration'!BB18)</f>
        <v/>
      </c>
      <c r="Z18" s="28" t="str">
        <f>IF('12 - Device_Configuration'!P18="","",'12 - Device_Configuration'!P18)</f>
        <v/>
      </c>
      <c r="AA18" s="28" t="str">
        <f>IF('12 - Device_Configuration'!Q18="","",'12 - Device_Configuration'!Q18)</f>
        <v/>
      </c>
    </row>
    <row r="19" spans="1:27" ht="45.75" customHeight="1">
      <c r="A19" s="29"/>
      <c r="B19" s="29"/>
      <c r="C19" s="28" t="str">
        <f>IF('12 - Device_Configuration'!H19="","",'12 - Device_Configuration'!H19)</f>
        <v>LIJ SDF</v>
      </c>
      <c r="D19" s="28" t="str">
        <f>IF('12 - Device_Configuration'!AE19="","",'12 - Device_Configuration'!AE19)</f>
        <v>Ground Level/Dialysis</v>
      </c>
      <c r="E19" s="28" t="str">
        <f>IF('12 - Device_Configuration'!AF19="","",'12 - Device_Configuration'!AF19)</f>
        <v>Open Patient Area</v>
      </c>
      <c r="F19" s="28">
        <f>IF('12 - Device_Configuration'!AG19="","",'12 - Device_Configuration'!AG19)</f>
        <v>18</v>
      </c>
      <c r="G19" s="28" t="str">
        <f>IF('12 - Device_Configuration'!AH19="","",'12 - Device_Configuration'!AH19)</f>
        <v>BSM 040 B</v>
      </c>
      <c r="H19" s="28" t="str">
        <f>IF('12 - Device_Configuration'!A19="","",'12 - Device_Configuration'!A19)</f>
        <v>Neuron</v>
      </c>
      <c r="I19" s="28" t="str">
        <f>IF('12 - Device_Configuration'!AI19="","",'12 - Device_Configuration'!AI19)</f>
        <v>Fresenius BlueStar</v>
      </c>
      <c r="J19" s="28" t="str">
        <f>IF('12 - Device_Configuration'!AJ19="","",'12 - Device_Configuration'!AJ19)</f>
        <v>2008T</v>
      </c>
      <c r="K19" s="28" t="str">
        <f>IF('12 - Device_Configuration'!AA19="","",'12 - Device_Configuration'!AA19)</f>
        <v>Dialysis Machine</v>
      </c>
      <c r="L19" s="28" t="str">
        <f>IF('12 - Device_Configuration'!I19="","",'12 - Device_Configuration'!I19)</f>
        <v/>
      </c>
      <c r="M19" s="29"/>
      <c r="N19" s="28" t="str">
        <f>IF('12 - Device_Configuration'!J19="","",'12 - Device_Configuration'!J19)</f>
        <v>NA</v>
      </c>
      <c r="O19" s="28" t="str">
        <f>IF('12 - Device_Configuration'!K19="","",'12 - Device_Configuration'!K19)</f>
        <v>NA</v>
      </c>
      <c r="P19" s="28" t="str">
        <f>IF('12 - Device_Configuration'!L19="","",'12 - Device_Configuration'!L19)</f>
        <v>NA</v>
      </c>
      <c r="Q19" s="29"/>
      <c r="R19" s="28" t="str">
        <f>IF('12 - Device_Configuration'!AY19="","",'12 - Device_Configuration'!AY19)</f>
        <v/>
      </c>
      <c r="S19" s="28" t="str">
        <f>IF('12 - Device_Configuration'!AX19="","",'12 - Device_Configuration'!AX19)</f>
        <v/>
      </c>
      <c r="T19" s="28" t="str">
        <f>IF('12 - Device_Configuration'!AV19="","",'12 - Device_Configuration'!AV19)</f>
        <v/>
      </c>
      <c r="U19" s="28" t="str">
        <f>IF('12 - Device_Configuration'!AW19="","",'12 - Device_Configuration'!AW19)</f>
        <v/>
      </c>
      <c r="V19" s="28" t="str">
        <f>IF('12 - Device_Configuration'!BA19="","",'12 - Device_Configuration'!BA19)</f>
        <v>Yes</v>
      </c>
      <c r="W19" s="28" t="str">
        <f>IF('12 - Device_Configuration'!BC19="","",'12 - Device_Configuration'!BC19)</f>
        <v>Firmware Installed</v>
      </c>
      <c r="X19" s="28" t="str">
        <f>IF('12 - Device_Configuration'!BK19="","",'12 - Device_Configuration'!BK19)</f>
        <v>Power Cable, Battery, Epic Beans Relay</v>
      </c>
      <c r="Y19" s="28" t="str">
        <f>IF('12 - Device_Configuration'!BB19="","",'12 - Device_Configuration'!BB19)</f>
        <v/>
      </c>
      <c r="Z19" s="28" t="str">
        <f>IF('12 - Device_Configuration'!P19="","",'12 - Device_Configuration'!P19)</f>
        <v/>
      </c>
      <c r="AA19" s="28" t="str">
        <f>IF('12 - Device_Configuration'!Q19="","",'12 - Device_Configuration'!Q19)</f>
        <v/>
      </c>
    </row>
    <row r="20" spans="1:27" ht="45.75" customHeight="1">
      <c r="A20" s="29"/>
      <c r="B20" s="29"/>
      <c r="C20" s="28" t="str">
        <f>IF('12 - Device_Configuration'!H20="","",'12 - Device_Configuration'!H20)</f>
        <v>LIJ SDF</v>
      </c>
      <c r="D20" s="28" t="str">
        <f>IF('12 - Device_Configuration'!AE20="","",'12 - Device_Configuration'!AE20)</f>
        <v>Ground Level/Dialysis</v>
      </c>
      <c r="E20" s="28" t="str">
        <f>IF('12 - Device_Configuration'!AF20="","",'12 - Device_Configuration'!AF20)</f>
        <v>Open Patient Area</v>
      </c>
      <c r="F20" s="28">
        <f>IF('12 - Device_Configuration'!AG20="","",'12 - Device_Configuration'!AG20)</f>
        <v>19</v>
      </c>
      <c r="G20" s="28" t="str">
        <f>IF('12 - Device_Configuration'!AH20="","",'12 - Device_Configuration'!AH20)</f>
        <v>BSM 041 A</v>
      </c>
      <c r="H20" s="28" t="str">
        <f>IF('12 - Device_Configuration'!A20="","",'12 - Device_Configuration'!A20)</f>
        <v>Neuron</v>
      </c>
      <c r="I20" s="28" t="str">
        <f>IF('12 - Device_Configuration'!AI20="","",'12 - Device_Configuration'!AI20)</f>
        <v>Fresenius BlueStar</v>
      </c>
      <c r="J20" s="28" t="str">
        <f>IF('12 - Device_Configuration'!AJ20="","",'12 - Device_Configuration'!AJ20)</f>
        <v>2008T</v>
      </c>
      <c r="K20" s="28" t="str">
        <f>IF('12 - Device_Configuration'!AA20="","",'12 - Device_Configuration'!AA20)</f>
        <v>Dialysis Machine</v>
      </c>
      <c r="L20" s="28" t="str">
        <f>IF('12 - Device_Configuration'!I20="","",'12 - Device_Configuration'!I20)</f>
        <v/>
      </c>
      <c r="M20" s="29"/>
      <c r="N20" s="28" t="str">
        <f>IF('12 - Device_Configuration'!J20="","",'12 - Device_Configuration'!J20)</f>
        <v>NA</v>
      </c>
      <c r="O20" s="28" t="str">
        <f>IF('12 - Device_Configuration'!K20="","",'12 - Device_Configuration'!K20)</f>
        <v>NA</v>
      </c>
      <c r="P20" s="28" t="str">
        <f>IF('12 - Device_Configuration'!L20="","",'12 - Device_Configuration'!L20)</f>
        <v>NA</v>
      </c>
      <c r="Q20" s="29"/>
      <c r="R20" s="28" t="str">
        <f>IF('12 - Device_Configuration'!AY20="","",'12 - Device_Configuration'!AY20)</f>
        <v/>
      </c>
      <c r="S20" s="28" t="str">
        <f>IF('12 - Device_Configuration'!AX20="","",'12 - Device_Configuration'!AX20)</f>
        <v/>
      </c>
      <c r="T20" s="28" t="str">
        <f>IF('12 - Device_Configuration'!AV20="","",'12 - Device_Configuration'!AV20)</f>
        <v/>
      </c>
      <c r="U20" s="28" t="str">
        <f>IF('12 - Device_Configuration'!AW20="","",'12 - Device_Configuration'!AW20)</f>
        <v/>
      </c>
      <c r="V20" s="28" t="str">
        <f>IF('12 - Device_Configuration'!BA20="","",'12 - Device_Configuration'!BA20)</f>
        <v>Yes</v>
      </c>
      <c r="W20" s="28" t="str">
        <f>IF('12 - Device_Configuration'!BC20="","",'12 - Device_Configuration'!BC20)</f>
        <v>Firmware Installed</v>
      </c>
      <c r="X20" s="28" t="str">
        <f>IF('12 - Device_Configuration'!BK20="","",'12 - Device_Configuration'!BK20)</f>
        <v>Power Cable, Battery, Epic Beans Relay</v>
      </c>
      <c r="Y20" s="28" t="str">
        <f>IF('12 - Device_Configuration'!BB20="","",'12 - Device_Configuration'!BB20)</f>
        <v/>
      </c>
      <c r="Z20" s="28" t="str">
        <f>IF('12 - Device_Configuration'!P20="","",'12 - Device_Configuration'!P20)</f>
        <v/>
      </c>
      <c r="AA20" s="28" t="str">
        <f>IF('12 - Device_Configuration'!Q20="","",'12 - Device_Configuration'!Q20)</f>
        <v/>
      </c>
    </row>
    <row r="21" spans="1:27" ht="45.75" customHeight="1">
      <c r="A21" s="29"/>
      <c r="B21" s="29"/>
      <c r="C21" s="28" t="str">
        <f>IF('12 - Device_Configuration'!H21="","",'12 - Device_Configuration'!H21)</f>
        <v>LIJ SDF</v>
      </c>
      <c r="D21" s="28" t="str">
        <f>IF('12 - Device_Configuration'!AE21="","",'12 - Device_Configuration'!AE21)</f>
        <v>Ground Level/Dialysis</v>
      </c>
      <c r="E21" s="28" t="str">
        <f>IF('12 - Device_Configuration'!AF21="","",'12 - Device_Configuration'!AF21)</f>
        <v>Open Patient Area</v>
      </c>
      <c r="F21" s="28">
        <f>IF('12 - Device_Configuration'!AG21="","",'12 - Device_Configuration'!AG21)</f>
        <v>20</v>
      </c>
      <c r="G21" s="28" t="str">
        <f>IF('12 - Device_Configuration'!AH21="","",'12 - Device_Configuration'!AH21)</f>
        <v>BSM 041 B</v>
      </c>
      <c r="H21" s="28" t="str">
        <f>IF('12 - Device_Configuration'!A21="","",'12 - Device_Configuration'!A21)</f>
        <v>Neuron</v>
      </c>
      <c r="I21" s="28" t="str">
        <f>IF('12 - Device_Configuration'!AI21="","",'12 - Device_Configuration'!AI21)</f>
        <v>Fresenius BlueStar</v>
      </c>
      <c r="J21" s="28" t="str">
        <f>IF('12 - Device_Configuration'!AJ21="","",'12 - Device_Configuration'!AJ21)</f>
        <v>2008T</v>
      </c>
      <c r="K21" s="28" t="str">
        <f>IF('12 - Device_Configuration'!AA21="","",'12 - Device_Configuration'!AA21)</f>
        <v>Dialysis Machine</v>
      </c>
      <c r="L21" s="28" t="str">
        <f>IF('12 - Device_Configuration'!I21="","",'12 - Device_Configuration'!I21)</f>
        <v/>
      </c>
      <c r="M21" s="29"/>
      <c r="N21" s="28" t="str">
        <f>IF('12 - Device_Configuration'!J21="","",'12 - Device_Configuration'!J21)</f>
        <v>NA</v>
      </c>
      <c r="O21" s="28" t="str">
        <f>IF('12 - Device_Configuration'!K21="","",'12 - Device_Configuration'!K21)</f>
        <v>NA</v>
      </c>
      <c r="P21" s="28" t="str">
        <f>IF('12 - Device_Configuration'!L21="","",'12 - Device_Configuration'!L21)</f>
        <v>NA</v>
      </c>
      <c r="Q21" s="29"/>
      <c r="R21" s="28" t="str">
        <f>IF('12 - Device_Configuration'!AY21="","",'12 - Device_Configuration'!AY21)</f>
        <v/>
      </c>
      <c r="S21" s="28" t="str">
        <f>IF('12 - Device_Configuration'!AX21="","",'12 - Device_Configuration'!AX21)</f>
        <v/>
      </c>
      <c r="T21" s="28" t="str">
        <f>IF('12 - Device_Configuration'!AV21="","",'12 - Device_Configuration'!AV21)</f>
        <v/>
      </c>
      <c r="U21" s="28" t="str">
        <f>IF('12 - Device_Configuration'!AW21="","",'12 - Device_Configuration'!AW21)</f>
        <v/>
      </c>
      <c r="V21" s="28" t="str">
        <f>IF('12 - Device_Configuration'!BA21="","",'12 - Device_Configuration'!BA21)</f>
        <v>Yes</v>
      </c>
      <c r="W21" s="28" t="str">
        <f>IF('12 - Device_Configuration'!BC21="","",'12 - Device_Configuration'!BC21)</f>
        <v>Firmware Installed</v>
      </c>
      <c r="X21" s="28" t="str">
        <f>IF('12 - Device_Configuration'!BK21="","",'12 - Device_Configuration'!BK21)</f>
        <v>Power Cable, Battery, Epic Beans Relay</v>
      </c>
      <c r="Y21" s="28" t="str">
        <f>IF('12 - Device_Configuration'!BB21="","",'12 - Device_Configuration'!BB21)</f>
        <v/>
      </c>
      <c r="Z21" s="28" t="str">
        <f>IF('12 - Device_Configuration'!P21="","",'12 - Device_Configuration'!P21)</f>
        <v/>
      </c>
      <c r="AA21" s="28" t="str">
        <f>IF('12 - Device_Configuration'!Q21="","",'12 - Device_Configuration'!Q21)</f>
        <v/>
      </c>
    </row>
    <row r="22" spans="1:27" ht="45.75" customHeight="1">
      <c r="A22" s="29"/>
      <c r="B22" s="29"/>
      <c r="C22" s="28" t="str">
        <f>IF('12 - Device_Configuration'!H22="","",'12 - Device_Configuration'!H22)</f>
        <v>LIJ SDF</v>
      </c>
      <c r="D22" s="28" t="str">
        <f>IF('12 - Device_Configuration'!AE22="","",'12 - Device_Configuration'!AE22)</f>
        <v>Ground Level/Dialysis</v>
      </c>
      <c r="E22" s="28" t="str">
        <f>IF('12 - Device_Configuration'!AF22="","",'12 - Device_Configuration'!AF22)</f>
        <v>Open Patient Area</v>
      </c>
      <c r="F22" s="28">
        <f>IF('12 - Device_Configuration'!AG22="","",'12 - Device_Configuration'!AG22)</f>
        <v>21</v>
      </c>
      <c r="G22" s="28" t="str">
        <f>IF('12 - Device_Configuration'!AH22="","",'12 - Device_Configuration'!AH22)</f>
        <v>042V1</v>
      </c>
      <c r="H22" s="28" t="str">
        <f>IF('12 - Device_Configuration'!A22="","",'12 - Device_Configuration'!A22)</f>
        <v>Neuron</v>
      </c>
      <c r="I22" s="28" t="str">
        <f>IF('12 - Device_Configuration'!AI22="","",'12 - Device_Configuration'!AI22)</f>
        <v>Fresenius BlueStar</v>
      </c>
      <c r="J22" s="28" t="str">
        <f>IF('12 - Device_Configuration'!AJ22="","",'12 - Device_Configuration'!AJ22)</f>
        <v>2008T</v>
      </c>
      <c r="K22" s="28" t="str">
        <f>IF('12 - Device_Configuration'!AA22="","",'12 - Device_Configuration'!AA22)</f>
        <v>Dialysis Machine</v>
      </c>
      <c r="L22" s="28" t="str">
        <f>IF('12 - Device_Configuration'!I22="","",'12 - Device_Configuration'!I22)</f>
        <v/>
      </c>
      <c r="M22" s="29"/>
      <c r="N22" s="28" t="str">
        <f>IF('12 - Device_Configuration'!J22="","",'12 - Device_Configuration'!J22)</f>
        <v>NA</v>
      </c>
      <c r="O22" s="28" t="str">
        <f>IF('12 - Device_Configuration'!K22="","",'12 - Device_Configuration'!K22)</f>
        <v>NA</v>
      </c>
      <c r="P22" s="28" t="str">
        <f>IF('12 - Device_Configuration'!L22="","",'12 - Device_Configuration'!L22)</f>
        <v>NA</v>
      </c>
      <c r="Q22" s="29"/>
      <c r="R22" s="28" t="str">
        <f>IF('12 - Device_Configuration'!AY22="","",'12 - Device_Configuration'!AY22)</f>
        <v/>
      </c>
      <c r="S22" s="28" t="str">
        <f>IF('12 - Device_Configuration'!AX22="","",'12 - Device_Configuration'!AX22)</f>
        <v/>
      </c>
      <c r="T22" s="28" t="str">
        <f>IF('12 - Device_Configuration'!AV22="","",'12 - Device_Configuration'!AV22)</f>
        <v/>
      </c>
      <c r="U22" s="28" t="str">
        <f>IF('12 - Device_Configuration'!AW22="","",'12 - Device_Configuration'!AW22)</f>
        <v/>
      </c>
      <c r="V22" s="28" t="str">
        <f>IF('12 - Device_Configuration'!BA22="","",'12 - Device_Configuration'!BA22)</f>
        <v>Yes</v>
      </c>
      <c r="W22" s="28" t="str">
        <f>IF('12 - Device_Configuration'!BC22="","",'12 - Device_Configuration'!BC22)</f>
        <v>Firmware Installed</v>
      </c>
      <c r="X22" s="28" t="str">
        <f>IF('12 - Device_Configuration'!BK22="","",'12 - Device_Configuration'!BK22)</f>
        <v>Power Cable, Battery, Epic Beans Relay</v>
      </c>
      <c r="Y22" s="28" t="str">
        <f>IF('12 - Device_Configuration'!BB22="","",'12 - Device_Configuration'!BB22)</f>
        <v/>
      </c>
      <c r="Z22" s="28" t="str">
        <f>IF('12 - Device_Configuration'!P22="","",'12 - Device_Configuration'!P22)</f>
        <v/>
      </c>
      <c r="AA22" s="28" t="str">
        <f>IF('12 - Device_Configuration'!Q22="","",'12 - Device_Configuration'!Q22)</f>
        <v/>
      </c>
    </row>
    <row r="23" spans="1:27" ht="45.75" customHeight="1">
      <c r="A23" s="29"/>
      <c r="B23" s="29"/>
      <c r="C23" s="28" t="str">
        <f>IF('12 - Device_Configuration'!H23="","",'12 - Device_Configuration'!H23)</f>
        <v>LIJ SDF</v>
      </c>
      <c r="D23" s="28" t="str">
        <f>IF('12 - Device_Configuration'!AE23="","",'12 - Device_Configuration'!AE23)</f>
        <v>Ground Level/Dialysis</v>
      </c>
      <c r="E23" s="28" t="str">
        <f>IF('12 - Device_Configuration'!AF23="","",'12 - Device_Configuration'!AF23)</f>
        <v>Open Patient Area</v>
      </c>
      <c r="F23" s="28">
        <f>IF('12 - Device_Configuration'!AG23="","",'12 - Device_Configuration'!AG23)</f>
        <v>22</v>
      </c>
      <c r="G23" s="28" t="str">
        <f>IF('12 - Device_Configuration'!AH23="","",'12 - Device_Configuration'!AH23)</f>
        <v>042V2</v>
      </c>
      <c r="H23" s="28" t="str">
        <f>IF('12 - Device_Configuration'!A23="","",'12 - Device_Configuration'!A23)</f>
        <v>Neuron</v>
      </c>
      <c r="I23" s="28" t="str">
        <f>IF('12 - Device_Configuration'!AI23="","",'12 - Device_Configuration'!AI23)</f>
        <v>Fresenius BlueStar</v>
      </c>
      <c r="J23" s="28" t="str">
        <f>IF('12 - Device_Configuration'!AJ23="","",'12 - Device_Configuration'!AJ23)</f>
        <v>2008T</v>
      </c>
      <c r="K23" s="28" t="str">
        <f>IF('12 - Device_Configuration'!AA23="","",'12 - Device_Configuration'!AA23)</f>
        <v>Dialysis Machine</v>
      </c>
      <c r="L23" s="28" t="str">
        <f>IF('12 - Device_Configuration'!I23="","",'12 - Device_Configuration'!I23)</f>
        <v/>
      </c>
      <c r="M23" s="29"/>
      <c r="N23" s="28" t="str">
        <f>IF('12 - Device_Configuration'!J23="","",'12 - Device_Configuration'!J23)</f>
        <v>NA</v>
      </c>
      <c r="O23" s="28" t="str">
        <f>IF('12 - Device_Configuration'!K23="","",'12 - Device_Configuration'!K23)</f>
        <v>NA</v>
      </c>
      <c r="P23" s="28" t="str">
        <f>IF('12 - Device_Configuration'!L23="","",'12 - Device_Configuration'!L23)</f>
        <v>NA</v>
      </c>
      <c r="Q23" s="29"/>
      <c r="R23" s="28" t="str">
        <f>IF('12 - Device_Configuration'!AY23="","",'12 - Device_Configuration'!AY23)</f>
        <v/>
      </c>
      <c r="S23" s="28" t="str">
        <f>IF('12 - Device_Configuration'!AX23="","",'12 - Device_Configuration'!AX23)</f>
        <v/>
      </c>
      <c r="T23" s="28" t="str">
        <f>IF('12 - Device_Configuration'!AV23="","",'12 - Device_Configuration'!AV23)</f>
        <v/>
      </c>
      <c r="U23" s="28" t="str">
        <f>IF('12 - Device_Configuration'!AW23="","",'12 - Device_Configuration'!AW23)</f>
        <v/>
      </c>
      <c r="V23" s="28" t="str">
        <f>IF('12 - Device_Configuration'!BA23="","",'12 - Device_Configuration'!BA23)</f>
        <v>Yes</v>
      </c>
      <c r="W23" s="28" t="str">
        <f>IF('12 - Device_Configuration'!BC23="","",'12 - Device_Configuration'!BC23)</f>
        <v>Firmware Installed</v>
      </c>
      <c r="X23" s="28" t="str">
        <f>IF('12 - Device_Configuration'!BK23="","",'12 - Device_Configuration'!BK23)</f>
        <v>Power Cable, Battery, Epic Beans Relay</v>
      </c>
      <c r="Y23" s="28" t="str">
        <f>IF('12 - Device_Configuration'!BB23="","",'12 - Device_Configuration'!BB23)</f>
        <v/>
      </c>
      <c r="Z23" s="28" t="str">
        <f>IF('12 - Device_Configuration'!P23="","",'12 - Device_Configuration'!P23)</f>
        <v/>
      </c>
      <c r="AA23" s="28" t="str">
        <f>IF('12 - Device_Configuration'!Q23="","",'12 - Device_Configuration'!Q23)</f>
        <v/>
      </c>
    </row>
    <row r="24" spans="1:27" ht="45.75" customHeight="1">
      <c r="A24" s="29"/>
      <c r="B24" s="29"/>
      <c r="C24" s="28" t="str">
        <f>IF('12 - Device_Configuration'!H24="","",'12 - Device_Configuration'!H24)</f>
        <v>LIJ SDF</v>
      </c>
      <c r="D24" s="28" t="str">
        <f>IF('12 - Device_Configuration'!AE24="","",'12 - Device_Configuration'!AE24)</f>
        <v>Ground Level/Dialysis</v>
      </c>
      <c r="E24" s="28" t="str">
        <f>IF('12 - Device_Configuration'!AF24="","",'12 - Device_Configuration'!AF24)</f>
        <v>Open Patient Area</v>
      </c>
      <c r="F24" s="28">
        <f>IF('12 - Device_Configuration'!AG24="","",'12 - Device_Configuration'!AG24)</f>
        <v>23</v>
      </c>
      <c r="G24" s="28" t="str">
        <f>IF('12 - Device_Configuration'!AH24="","",'12 - Device_Configuration'!AH24)</f>
        <v>BSM 045D</v>
      </c>
      <c r="H24" s="28" t="str">
        <f>IF('12 - Device_Configuration'!A24="","",'12 - Device_Configuration'!A24)</f>
        <v>Neuron</v>
      </c>
      <c r="I24" s="28" t="str">
        <f>IF('12 - Device_Configuration'!AI24="","",'12 - Device_Configuration'!AI24)</f>
        <v>Fresenius BlueStar</v>
      </c>
      <c r="J24" s="28" t="str">
        <f>IF('12 - Device_Configuration'!AJ24="","",'12 - Device_Configuration'!AJ24)</f>
        <v>2008T</v>
      </c>
      <c r="K24" s="28" t="str">
        <f>IF('12 - Device_Configuration'!AA24="","",'12 - Device_Configuration'!AA24)</f>
        <v>Dialysis Machine</v>
      </c>
      <c r="L24" s="28" t="str">
        <f>IF('12 - Device_Configuration'!I24="","",'12 - Device_Configuration'!I24)</f>
        <v/>
      </c>
      <c r="M24" s="29"/>
      <c r="N24" s="28" t="str">
        <f>IF('12 - Device_Configuration'!J24="","",'12 - Device_Configuration'!J24)</f>
        <v>NA</v>
      </c>
      <c r="O24" s="28" t="str">
        <f>IF('12 - Device_Configuration'!K24="","",'12 - Device_Configuration'!K24)</f>
        <v>NA</v>
      </c>
      <c r="P24" s="28" t="str">
        <f>IF('12 - Device_Configuration'!L24="","",'12 - Device_Configuration'!L24)</f>
        <v>NA</v>
      </c>
      <c r="Q24" s="29"/>
      <c r="R24" s="28" t="str">
        <f>IF('12 - Device_Configuration'!AY24="","",'12 - Device_Configuration'!AY24)</f>
        <v/>
      </c>
      <c r="S24" s="28" t="str">
        <f>IF('12 - Device_Configuration'!AX24="","",'12 - Device_Configuration'!AX24)</f>
        <v/>
      </c>
      <c r="T24" s="28" t="str">
        <f>IF('12 - Device_Configuration'!AV24="","",'12 - Device_Configuration'!AV24)</f>
        <v/>
      </c>
      <c r="U24" s="28" t="str">
        <f>IF('12 - Device_Configuration'!AW24="","",'12 - Device_Configuration'!AW24)</f>
        <v/>
      </c>
      <c r="V24" s="28" t="str">
        <f>IF('12 - Device_Configuration'!BA24="","",'12 - Device_Configuration'!BA24)</f>
        <v>Yes</v>
      </c>
      <c r="W24" s="28" t="str">
        <f>IF('12 - Device_Configuration'!BC24="","",'12 - Device_Configuration'!BC24)</f>
        <v>Firmware Installed</v>
      </c>
      <c r="X24" s="28" t="str">
        <f>IF('12 - Device_Configuration'!BK24="","",'12 - Device_Configuration'!BK24)</f>
        <v>Power Cable, Battery, Epic Beans Relay</v>
      </c>
      <c r="Y24" s="28" t="str">
        <f>IF('12 - Device_Configuration'!BB24="","",'12 - Device_Configuration'!BB24)</f>
        <v/>
      </c>
      <c r="Z24" s="28" t="str">
        <f>IF('12 - Device_Configuration'!P24="","",'12 - Device_Configuration'!P24)</f>
        <v/>
      </c>
      <c r="AA24" s="28" t="str">
        <f>IF('12 - Device_Configuration'!Q24="","",'12 - Device_Configuration'!Q24)</f>
        <v/>
      </c>
    </row>
    <row r="25" spans="1:27" ht="45.75" customHeight="1">
      <c r="A25" s="29"/>
      <c r="B25" s="29"/>
      <c r="C25" s="28" t="str">
        <f>IF('12 - Device_Configuration'!H25="","",'12 - Device_Configuration'!H25)</f>
        <v>LIJ SDF</v>
      </c>
      <c r="D25" s="28" t="str">
        <f>IF('12 - Device_Configuration'!AE25="","",'12 - Device_Configuration'!AE25)</f>
        <v>Ground Level/Dialysis</v>
      </c>
      <c r="E25" s="28" t="str">
        <f>IF('12 - Device_Configuration'!AF25="","",'12 - Device_Configuration'!AF25)</f>
        <v>Open Patient Area</v>
      </c>
      <c r="F25" s="28">
        <f>IF('12 - Device_Configuration'!AG25="","",'12 - Device_Configuration'!AG25)</f>
        <v>24</v>
      </c>
      <c r="G25" s="28" t="str">
        <f>IF('12 - Device_Configuration'!AH25="","",'12 - Device_Configuration'!AH25)</f>
        <v>BSM 046 C</v>
      </c>
      <c r="H25" s="28" t="str">
        <f>IF('12 - Device_Configuration'!A25="","",'12 - Device_Configuration'!A25)</f>
        <v>Neuron</v>
      </c>
      <c r="I25" s="28" t="str">
        <f>IF('12 - Device_Configuration'!AI25="","",'12 - Device_Configuration'!AI25)</f>
        <v>Fresenius BlueStar</v>
      </c>
      <c r="J25" s="28" t="str">
        <f>IF('12 - Device_Configuration'!AJ25="","",'12 - Device_Configuration'!AJ25)</f>
        <v>2008T</v>
      </c>
      <c r="K25" s="28" t="str">
        <f>IF('12 - Device_Configuration'!AA25="","",'12 - Device_Configuration'!AA25)</f>
        <v>Dialysis Machine</v>
      </c>
      <c r="L25" s="28" t="str">
        <f>IF('12 - Device_Configuration'!I25="","",'12 - Device_Configuration'!I25)</f>
        <v/>
      </c>
      <c r="M25" s="29"/>
      <c r="N25" s="28" t="str">
        <f>IF('12 - Device_Configuration'!J25="","",'12 - Device_Configuration'!J25)</f>
        <v>NA</v>
      </c>
      <c r="O25" s="28" t="str">
        <f>IF('12 - Device_Configuration'!K25="","",'12 - Device_Configuration'!K25)</f>
        <v>NA</v>
      </c>
      <c r="P25" s="28" t="str">
        <f>IF('12 - Device_Configuration'!L25="","",'12 - Device_Configuration'!L25)</f>
        <v>NA</v>
      </c>
      <c r="Q25" s="29"/>
      <c r="R25" s="28" t="str">
        <f>IF('12 - Device_Configuration'!AY25="","",'12 - Device_Configuration'!AY25)</f>
        <v/>
      </c>
      <c r="S25" s="28" t="str">
        <f>IF('12 - Device_Configuration'!AX25="","",'12 - Device_Configuration'!AX25)</f>
        <v/>
      </c>
      <c r="T25" s="28" t="str">
        <f>IF('12 - Device_Configuration'!AV25="","",'12 - Device_Configuration'!AV25)</f>
        <v/>
      </c>
      <c r="U25" s="28" t="str">
        <f>IF('12 - Device_Configuration'!AW25="","",'12 - Device_Configuration'!AW25)</f>
        <v/>
      </c>
      <c r="V25" s="28" t="str">
        <f>IF('12 - Device_Configuration'!BA25="","",'12 - Device_Configuration'!BA25)</f>
        <v>Yes</v>
      </c>
      <c r="W25" s="28" t="str">
        <f>IF('12 - Device_Configuration'!BC25="","",'12 - Device_Configuration'!BC25)</f>
        <v>Firmware Installed</v>
      </c>
      <c r="X25" s="28" t="str">
        <f>IF('12 - Device_Configuration'!BK25="","",'12 - Device_Configuration'!BK25)</f>
        <v>Power Cable, Battery, Epic Beans Relay</v>
      </c>
      <c r="Y25" s="28" t="str">
        <f>IF('12 - Device_Configuration'!BB25="","",'12 - Device_Configuration'!BB25)</f>
        <v/>
      </c>
      <c r="Z25" s="28" t="str">
        <f>IF('12 - Device_Configuration'!P25="","",'12 - Device_Configuration'!P25)</f>
        <v/>
      </c>
      <c r="AA25" s="28" t="str">
        <f>IF('12 - Device_Configuration'!Q25="","",'12 - Device_Configuration'!Q25)</f>
        <v/>
      </c>
    </row>
    <row r="26" spans="1:27" ht="45.75" customHeight="1">
      <c r="A26" s="29"/>
      <c r="B26" s="29"/>
      <c r="C26" s="28" t="str">
        <f>IF('12 - Device_Configuration'!H26="","",'12 - Device_Configuration'!H26)</f>
        <v>LIJ SDF</v>
      </c>
      <c r="D26" s="28" t="str">
        <f>IF('12 - Device_Configuration'!AE26="","",'12 - Device_Configuration'!AE26)</f>
        <v>Ground Level/Dialysis</v>
      </c>
      <c r="E26" s="28" t="str">
        <f>IF('12 - Device_Configuration'!AF26="","",'12 - Device_Configuration'!AF26)</f>
        <v>Open Patient Area</v>
      </c>
      <c r="F26" s="28">
        <f>IF('12 - Device_Configuration'!AG26="","",'12 - Device_Configuration'!AG26)</f>
        <v>25</v>
      </c>
      <c r="G26" s="28" t="str">
        <f>IF('12 - Device_Configuration'!AH26="","",'12 - Device_Configuration'!AH26)</f>
        <v>BSM 046D</v>
      </c>
      <c r="H26" s="28" t="str">
        <f>IF('12 - Device_Configuration'!A26="","",'12 - Device_Configuration'!A26)</f>
        <v>Neuron</v>
      </c>
      <c r="I26" s="28" t="str">
        <f>IF('12 - Device_Configuration'!AI26="","",'12 - Device_Configuration'!AI26)</f>
        <v>Fresenius BlueStar</v>
      </c>
      <c r="J26" s="28" t="str">
        <f>IF('12 - Device_Configuration'!AJ26="","",'12 - Device_Configuration'!AJ26)</f>
        <v>2008T</v>
      </c>
      <c r="K26" s="28" t="str">
        <f>IF('12 - Device_Configuration'!AA26="","",'12 - Device_Configuration'!AA26)</f>
        <v>Dialysis Machine</v>
      </c>
      <c r="L26" s="28" t="str">
        <f>IF('12 - Device_Configuration'!I26="","",'12 - Device_Configuration'!I26)</f>
        <v/>
      </c>
      <c r="M26" s="29"/>
      <c r="N26" s="28" t="str">
        <f>IF('12 - Device_Configuration'!J26="","",'12 - Device_Configuration'!J26)</f>
        <v>NA</v>
      </c>
      <c r="O26" s="28" t="str">
        <f>IF('12 - Device_Configuration'!K26="","",'12 - Device_Configuration'!K26)</f>
        <v>NA</v>
      </c>
      <c r="P26" s="28" t="str">
        <f>IF('12 - Device_Configuration'!L26="","",'12 - Device_Configuration'!L26)</f>
        <v>NA</v>
      </c>
      <c r="Q26" s="29"/>
      <c r="R26" s="28" t="str">
        <f>IF('12 - Device_Configuration'!AY26="","",'12 - Device_Configuration'!AY26)</f>
        <v/>
      </c>
      <c r="S26" s="28" t="str">
        <f>IF('12 - Device_Configuration'!AX26="","",'12 - Device_Configuration'!AX26)</f>
        <v/>
      </c>
      <c r="T26" s="28" t="str">
        <f>IF('12 - Device_Configuration'!AV26="","",'12 - Device_Configuration'!AV26)</f>
        <v/>
      </c>
      <c r="U26" s="28" t="str">
        <f>IF('12 - Device_Configuration'!AW26="","",'12 - Device_Configuration'!AW26)</f>
        <v/>
      </c>
      <c r="V26" s="28" t="str">
        <f>IF('12 - Device_Configuration'!BA26="","",'12 - Device_Configuration'!BA26)</f>
        <v>Yes</v>
      </c>
      <c r="W26" s="28" t="str">
        <f>IF('12 - Device_Configuration'!BC26="","",'12 - Device_Configuration'!BC26)</f>
        <v>Firmware Installed</v>
      </c>
      <c r="X26" s="28" t="str">
        <f>IF('12 - Device_Configuration'!BK26="","",'12 - Device_Configuration'!BK26)</f>
        <v>Power Cable, Battery, Epic Beans Relay</v>
      </c>
      <c r="Y26" s="28" t="str">
        <f>IF('12 - Device_Configuration'!BB26="","",'12 - Device_Configuration'!BB26)</f>
        <v/>
      </c>
      <c r="Z26" s="28" t="str">
        <f>IF('12 - Device_Configuration'!P26="","",'12 - Device_Configuration'!P26)</f>
        <v/>
      </c>
      <c r="AA26" s="28" t="str">
        <f>IF('12 - Device_Configuration'!Q26="","",'12 - Device_Configuration'!Q26)</f>
        <v/>
      </c>
    </row>
    <row r="27" spans="1:27" ht="30">
      <c r="A27" s="29"/>
      <c r="B27" s="29"/>
      <c r="C27" s="28" t="str">
        <f>IF('12 - Device_Configuration'!H27="","",'12 - Device_Configuration'!H27)</f>
        <v>LIJ SDF</v>
      </c>
      <c r="D27" s="28" t="str">
        <f>IF('12 - Device_Configuration'!AE27="","",'12 - Device_Configuration'!AE27)</f>
        <v/>
      </c>
      <c r="E27" s="28" t="str">
        <f>IF('12 - Device_Configuration'!AF27="","",'12 - Device_Configuration'!AF27)</f>
        <v/>
      </c>
      <c r="F27" s="28" t="str">
        <f>IF('12 - Device_Configuration'!AG27="","",'12 - Device_Configuration'!AG27)</f>
        <v/>
      </c>
      <c r="G27" s="28" t="str">
        <f>IF('12 - Device_Configuration'!AH27="","",'12 - Device_Configuration'!AH27)</f>
        <v/>
      </c>
      <c r="H27" s="28" t="str">
        <f>IF('12 - Device_Configuration'!A27="","",'12 - Device_Configuration'!A27)</f>
        <v>Neuron</v>
      </c>
      <c r="I27" s="28" t="str">
        <f>IF('12 - Device_Configuration'!AI27="","",'12 - Device_Configuration'!AI27)</f>
        <v/>
      </c>
      <c r="J27" s="28" t="str">
        <f>IF('12 - Device_Configuration'!AJ27="","",'12 - Device_Configuration'!AJ27)</f>
        <v/>
      </c>
      <c r="K27" s="28" t="str">
        <f>IF('12 - Device_Configuration'!AA27="","",'12 - Device_Configuration'!AA27)</f>
        <v>Dialysis Machine</v>
      </c>
      <c r="L27" s="28" t="str">
        <f>IF('12 - Device_Configuration'!I27="","",'12 - Device_Configuration'!I27)</f>
        <v/>
      </c>
      <c r="M27" s="29"/>
      <c r="N27" s="28" t="str">
        <f>IF('12 - Device_Configuration'!J27="","",'12 - Device_Configuration'!J27)</f>
        <v>NA</v>
      </c>
      <c r="O27" s="28" t="str">
        <f>IF('12 - Device_Configuration'!K27="","",'12 - Device_Configuration'!K27)</f>
        <v>NA</v>
      </c>
      <c r="P27" s="28" t="str">
        <f>IF('12 - Device_Configuration'!L27="","",'12 - Device_Configuration'!L27)</f>
        <v>NA</v>
      </c>
      <c r="Q27" s="29"/>
      <c r="R27" s="28" t="str">
        <f>IF('12 - Device_Configuration'!AY27="","",'12 - Device_Configuration'!AY27)</f>
        <v/>
      </c>
      <c r="S27" s="28" t="str">
        <f>IF('12 - Device_Configuration'!AX27="","",'12 - Device_Configuration'!AX27)</f>
        <v/>
      </c>
      <c r="T27" s="28" t="str">
        <f>IF('12 - Device_Configuration'!AV27="","",'12 - Device_Configuration'!AV27)</f>
        <v/>
      </c>
      <c r="U27" s="28" t="str">
        <f>IF('12 - Device_Configuration'!AW27="","",'12 - Device_Configuration'!AW27)</f>
        <v/>
      </c>
      <c r="V27" s="28" t="str">
        <f>IF('12 - Device_Configuration'!BA27="","",'12 - Device_Configuration'!BA27)</f>
        <v>Yes</v>
      </c>
      <c r="W27" s="28" t="str">
        <f>IF('12 - Device_Configuration'!BC27="","",'12 - Device_Configuration'!BC27)</f>
        <v>Firmware Installed</v>
      </c>
      <c r="X27" s="28" t="str">
        <f>IF('12 - Device_Configuration'!BK27="","",'12 - Device_Configuration'!BK27)</f>
        <v>Power Cable, Battery, Epic Beans Relay</v>
      </c>
      <c r="Y27" s="28" t="str">
        <f>IF('12 - Device_Configuration'!BB27="","",'12 - Device_Configuration'!BB27)</f>
        <v/>
      </c>
      <c r="Z27" s="28" t="str">
        <f>IF('12 - Device_Configuration'!P27="","",'12 - Device_Configuration'!P27)</f>
        <v/>
      </c>
      <c r="AA27" s="28" t="str">
        <f>IF('12 - Device_Configuration'!Q27="","",'12 - Device_Configuration'!Q27)</f>
        <v/>
      </c>
    </row>
    <row r="28" spans="1:27" ht="30">
      <c r="A28" s="29"/>
      <c r="B28" s="29"/>
      <c r="C28" s="28" t="str">
        <f>IF('12 - Device_Configuration'!H28="","",'12 - Device_Configuration'!H28)</f>
        <v>LIJ SDF</v>
      </c>
      <c r="D28" s="28" t="str">
        <f>IF('12 - Device_Configuration'!AE28="","",'12 - Device_Configuration'!AE28)</f>
        <v/>
      </c>
      <c r="E28" s="28" t="str">
        <f>IF('12 - Device_Configuration'!AF28="","",'12 - Device_Configuration'!AF28)</f>
        <v/>
      </c>
      <c r="F28" s="28" t="str">
        <f>IF('12 - Device_Configuration'!AG28="","",'12 - Device_Configuration'!AG28)</f>
        <v/>
      </c>
      <c r="G28" s="28" t="str">
        <f>IF('12 - Device_Configuration'!AH28="","",'12 - Device_Configuration'!AH28)</f>
        <v/>
      </c>
      <c r="H28" s="28" t="str">
        <f>IF('12 - Device_Configuration'!A28="","",'12 - Device_Configuration'!A28)</f>
        <v>Neuron</v>
      </c>
      <c r="I28" s="28" t="str">
        <f>IF('12 - Device_Configuration'!AI28="","",'12 - Device_Configuration'!AI28)</f>
        <v/>
      </c>
      <c r="J28" s="28" t="str">
        <f>IF('12 - Device_Configuration'!AJ28="","",'12 - Device_Configuration'!AJ28)</f>
        <v/>
      </c>
      <c r="K28" s="28" t="str">
        <f>IF('12 - Device_Configuration'!AA28="","",'12 - Device_Configuration'!AA28)</f>
        <v>Dialysis Machine</v>
      </c>
      <c r="L28" s="28" t="str">
        <f>IF('12 - Device_Configuration'!I28="","",'12 - Device_Configuration'!I28)</f>
        <v/>
      </c>
      <c r="M28" s="29"/>
      <c r="N28" s="28" t="str">
        <f>IF('12 - Device_Configuration'!J28="","",'12 - Device_Configuration'!J28)</f>
        <v>NA</v>
      </c>
      <c r="O28" s="28" t="str">
        <f>IF('12 - Device_Configuration'!K28="","",'12 - Device_Configuration'!K28)</f>
        <v>NA</v>
      </c>
      <c r="P28" s="28" t="str">
        <f>IF('12 - Device_Configuration'!L28="","",'12 - Device_Configuration'!L28)</f>
        <v>NA</v>
      </c>
      <c r="Q28" s="29"/>
      <c r="R28" s="28" t="str">
        <f>IF('12 - Device_Configuration'!AY28="","",'12 - Device_Configuration'!AY28)</f>
        <v/>
      </c>
      <c r="S28" s="28" t="str">
        <f>IF('12 - Device_Configuration'!AX28="","",'12 - Device_Configuration'!AX28)</f>
        <v/>
      </c>
      <c r="T28" s="28" t="str">
        <f>IF('12 - Device_Configuration'!AV28="","",'12 - Device_Configuration'!AV28)</f>
        <v/>
      </c>
      <c r="U28" s="28" t="str">
        <f>IF('12 - Device_Configuration'!AW28="","",'12 - Device_Configuration'!AW28)</f>
        <v/>
      </c>
      <c r="V28" s="28" t="str">
        <f>IF('12 - Device_Configuration'!BA28="","",'12 - Device_Configuration'!BA28)</f>
        <v>Yes</v>
      </c>
      <c r="W28" s="28" t="str">
        <f>IF('12 - Device_Configuration'!BC28="","",'12 - Device_Configuration'!BC28)</f>
        <v>Firmware Installed</v>
      </c>
      <c r="X28" s="28" t="str">
        <f>IF('12 - Device_Configuration'!BK28="","",'12 - Device_Configuration'!BK28)</f>
        <v>Power Cable, Battery, Epic Beans Relay</v>
      </c>
      <c r="Y28" s="28" t="str">
        <f>IF('12 - Device_Configuration'!BB28="","",'12 - Device_Configuration'!BB28)</f>
        <v/>
      </c>
      <c r="Z28" s="28" t="str">
        <f>IF('12 - Device_Configuration'!P28="","",'12 - Device_Configuration'!P28)</f>
        <v/>
      </c>
      <c r="AA28" s="28" t="str">
        <f>IF('12 - Device_Configuration'!Q28="","",'12 - Device_Configuration'!Q28)</f>
        <v/>
      </c>
    </row>
    <row r="29" spans="1:27" ht="30">
      <c r="A29" s="29"/>
      <c r="B29" s="29"/>
      <c r="C29" s="28" t="str">
        <f>IF('12 - Device_Configuration'!H29="","",'12 - Device_Configuration'!H29)</f>
        <v>LIJ SDF</v>
      </c>
      <c r="D29" s="28" t="str">
        <f>IF('12 - Device_Configuration'!AE29="","",'12 - Device_Configuration'!AE29)</f>
        <v/>
      </c>
      <c r="E29" s="28" t="str">
        <f>IF('12 - Device_Configuration'!AF29="","",'12 - Device_Configuration'!AF29)</f>
        <v/>
      </c>
      <c r="F29" s="28" t="str">
        <f>IF('12 - Device_Configuration'!AG29="","",'12 - Device_Configuration'!AG29)</f>
        <v/>
      </c>
      <c r="G29" s="28" t="str">
        <f>IF('12 - Device_Configuration'!AH29="","",'12 - Device_Configuration'!AH29)</f>
        <v/>
      </c>
      <c r="H29" s="28" t="str">
        <f>IF('12 - Device_Configuration'!A29="","",'12 - Device_Configuration'!A29)</f>
        <v>Neuron</v>
      </c>
      <c r="I29" s="28" t="str">
        <f>IF('12 - Device_Configuration'!AI29="","",'12 - Device_Configuration'!AI29)</f>
        <v/>
      </c>
      <c r="J29" s="28" t="str">
        <f>IF('12 - Device_Configuration'!AJ29="","",'12 - Device_Configuration'!AJ29)</f>
        <v/>
      </c>
      <c r="K29" s="28" t="str">
        <f>IF('12 - Device_Configuration'!AA29="","",'12 - Device_Configuration'!AA29)</f>
        <v>Dialysis Machine</v>
      </c>
      <c r="L29" s="28" t="str">
        <f>IF('12 - Device_Configuration'!I29="","",'12 - Device_Configuration'!I29)</f>
        <v/>
      </c>
      <c r="M29" s="29"/>
      <c r="N29" s="28" t="str">
        <f>IF('12 - Device_Configuration'!J29="","",'12 - Device_Configuration'!J29)</f>
        <v>NA</v>
      </c>
      <c r="O29" s="28" t="str">
        <f>IF('12 - Device_Configuration'!K29="","",'12 - Device_Configuration'!K29)</f>
        <v>NA</v>
      </c>
      <c r="P29" s="28" t="str">
        <f>IF('12 - Device_Configuration'!L29="","",'12 - Device_Configuration'!L29)</f>
        <v>NA</v>
      </c>
      <c r="Q29" s="29"/>
      <c r="R29" s="28" t="str">
        <f>IF('12 - Device_Configuration'!AY29="","",'12 - Device_Configuration'!AY29)</f>
        <v/>
      </c>
      <c r="S29" s="28" t="str">
        <f>IF('12 - Device_Configuration'!AX29="","",'12 - Device_Configuration'!AX29)</f>
        <v/>
      </c>
      <c r="T29" s="28" t="str">
        <f>IF('12 - Device_Configuration'!AV29="","",'12 - Device_Configuration'!AV29)</f>
        <v/>
      </c>
      <c r="U29" s="28" t="str">
        <f>IF('12 - Device_Configuration'!AW29="","",'12 - Device_Configuration'!AW29)</f>
        <v/>
      </c>
      <c r="V29" s="28" t="str">
        <f>IF('12 - Device_Configuration'!BA29="","",'12 - Device_Configuration'!BA29)</f>
        <v>Yes</v>
      </c>
      <c r="W29" s="28" t="str">
        <f>IF('12 - Device_Configuration'!BC29="","",'12 - Device_Configuration'!BC29)</f>
        <v>Firmware Installed</v>
      </c>
      <c r="X29" s="28" t="str">
        <f>IF('12 - Device_Configuration'!BK29="","",'12 - Device_Configuration'!BK29)</f>
        <v>Power Cable, Battery, Epic Beans Relay</v>
      </c>
      <c r="Y29" s="28" t="str">
        <f>IF('12 - Device_Configuration'!BB29="","",'12 - Device_Configuration'!BB29)</f>
        <v/>
      </c>
      <c r="Z29" s="28" t="str">
        <f>IF('12 - Device_Configuration'!P29="","",'12 - Device_Configuration'!P29)</f>
        <v/>
      </c>
      <c r="AA29" s="28" t="str">
        <f>IF('12 - Device_Configuration'!Q29="","",'12 - Device_Configuration'!Q29)</f>
        <v/>
      </c>
    </row>
    <row r="30" spans="1:27" ht="30">
      <c r="A30" s="29"/>
      <c r="B30" s="29"/>
      <c r="C30" s="28" t="str">
        <f>IF('12 - Device_Configuration'!H30="","",'12 - Device_Configuration'!H30)</f>
        <v>LIJ SDF</v>
      </c>
      <c r="D30" s="28" t="str">
        <f>IF('12 - Device_Configuration'!AE30="","",'12 - Device_Configuration'!AE30)</f>
        <v/>
      </c>
      <c r="E30" s="28" t="str">
        <f>IF('12 - Device_Configuration'!AF30="","",'12 - Device_Configuration'!AF30)</f>
        <v/>
      </c>
      <c r="F30" s="28" t="str">
        <f>IF('12 - Device_Configuration'!AG30="","",'12 - Device_Configuration'!AG30)</f>
        <v/>
      </c>
      <c r="G30" s="28" t="str">
        <f>IF('12 - Device_Configuration'!AH30="","",'12 - Device_Configuration'!AH30)</f>
        <v/>
      </c>
      <c r="H30" s="28" t="str">
        <f>IF('12 - Device_Configuration'!A30="","",'12 - Device_Configuration'!A30)</f>
        <v>Neuron</v>
      </c>
      <c r="I30" s="28" t="str">
        <f>IF('12 - Device_Configuration'!AI30="","",'12 - Device_Configuration'!AI30)</f>
        <v/>
      </c>
      <c r="J30" s="28" t="str">
        <f>IF('12 - Device_Configuration'!AJ30="","",'12 - Device_Configuration'!AJ30)</f>
        <v/>
      </c>
      <c r="K30" s="28" t="str">
        <f>IF('12 - Device_Configuration'!AA30="","",'12 - Device_Configuration'!AA30)</f>
        <v/>
      </c>
      <c r="L30" s="28" t="str">
        <f>IF('12 - Device_Configuration'!I30="","",'12 - Device_Configuration'!I30)</f>
        <v/>
      </c>
      <c r="M30" s="29"/>
      <c r="N30" s="28" t="str">
        <f>IF('12 - Device_Configuration'!J30="","",'12 - Device_Configuration'!J30)</f>
        <v/>
      </c>
      <c r="O30" s="28" t="str">
        <f>IF('12 - Device_Configuration'!K30="","",'12 - Device_Configuration'!K30)</f>
        <v/>
      </c>
      <c r="P30" s="28" t="str">
        <f>IF('12 - Device_Configuration'!L30="","",'12 - Device_Configuration'!L30)</f>
        <v/>
      </c>
      <c r="Q30" s="29"/>
      <c r="R30" s="28" t="str">
        <f>IF('12 - Device_Configuration'!AY30="","",'12 - Device_Configuration'!AY30)</f>
        <v/>
      </c>
      <c r="S30" s="28" t="str">
        <f>IF('12 - Device_Configuration'!AX30="","",'12 - Device_Configuration'!AX30)</f>
        <v/>
      </c>
      <c r="T30" s="28" t="str">
        <f>IF('12 - Device_Configuration'!AV30="","",'12 - Device_Configuration'!AV30)</f>
        <v/>
      </c>
      <c r="U30" s="28" t="str">
        <f>IF('12 - Device_Configuration'!AW30="","",'12 - Device_Configuration'!AW30)</f>
        <v/>
      </c>
      <c r="V30" s="28" t="str">
        <f>IF('12 - Device_Configuration'!BA30="","",'12 - Device_Configuration'!BA30)</f>
        <v>Yes</v>
      </c>
      <c r="W30" s="28" t="str">
        <f>IF('12 - Device_Configuration'!BC30="","",'12 - Device_Configuration'!BC30)</f>
        <v>Firmware Installed</v>
      </c>
      <c r="X30" s="28" t="str">
        <f>IF('12 - Device_Configuration'!BK30="","",'12 - Device_Configuration'!BK30)</f>
        <v>Power Cable, Battery, Epic Beans Relay</v>
      </c>
      <c r="Y30" s="28" t="str">
        <f>IF('12 - Device_Configuration'!BB30="","",'12 - Device_Configuration'!BB30)</f>
        <v>Spare Unit</v>
      </c>
      <c r="Z30" s="28" t="str">
        <f>IF('12 - Device_Configuration'!P30="","",'12 - Device_Configuration'!P30)</f>
        <v/>
      </c>
      <c r="AA30" s="28" t="str">
        <f>IF('12 - Device_Configuration'!Q30="","",'12 - Device_Configuration'!Q30)</f>
        <v/>
      </c>
    </row>
    <row r="31" spans="1:27" ht="30">
      <c r="A31" s="29"/>
      <c r="B31" s="29"/>
      <c r="C31" s="28" t="str">
        <f>IF('12 - Device_Configuration'!H31="","",'12 - Device_Configuration'!H31)</f>
        <v>LIJ SDF</v>
      </c>
      <c r="D31" s="28" t="str">
        <f>IF('12 - Device_Configuration'!AE31="","",'12 - Device_Configuration'!AE31)</f>
        <v/>
      </c>
      <c r="E31" s="28" t="str">
        <f>IF('12 - Device_Configuration'!AF31="","",'12 - Device_Configuration'!AF31)</f>
        <v/>
      </c>
      <c r="F31" s="28" t="str">
        <f>IF('12 - Device_Configuration'!AG31="","",'12 - Device_Configuration'!AG31)</f>
        <v/>
      </c>
      <c r="G31" s="28" t="str">
        <f>IF('12 - Device_Configuration'!AH31="","",'12 - Device_Configuration'!AH31)</f>
        <v/>
      </c>
      <c r="H31" s="28" t="str">
        <f>IF('12 - Device_Configuration'!A31="","",'12 - Device_Configuration'!A31)</f>
        <v>Neuron</v>
      </c>
      <c r="I31" s="28" t="str">
        <f>IF('12 - Device_Configuration'!AI31="","",'12 - Device_Configuration'!AI31)</f>
        <v/>
      </c>
      <c r="J31" s="28" t="str">
        <f>IF('12 - Device_Configuration'!AJ31="","",'12 - Device_Configuration'!AJ31)</f>
        <v/>
      </c>
      <c r="K31" s="28" t="str">
        <f>IF('12 - Device_Configuration'!AA31="","",'12 - Device_Configuration'!AA31)</f>
        <v/>
      </c>
      <c r="L31" s="28" t="str">
        <f>IF('12 - Device_Configuration'!I31="","",'12 - Device_Configuration'!I31)</f>
        <v/>
      </c>
      <c r="M31" s="29"/>
      <c r="N31" s="28" t="str">
        <f>IF('12 - Device_Configuration'!J31="","",'12 - Device_Configuration'!J31)</f>
        <v/>
      </c>
      <c r="O31" s="28" t="str">
        <f>IF('12 - Device_Configuration'!K31="","",'12 - Device_Configuration'!K31)</f>
        <v/>
      </c>
      <c r="P31" s="28" t="str">
        <f>IF('12 - Device_Configuration'!L31="","",'12 - Device_Configuration'!L31)</f>
        <v/>
      </c>
      <c r="Q31" s="29"/>
      <c r="R31" s="28" t="str">
        <f>IF('12 - Device_Configuration'!AY31="","",'12 - Device_Configuration'!AY31)</f>
        <v/>
      </c>
      <c r="S31" s="28" t="str">
        <f>IF('12 - Device_Configuration'!AX31="","",'12 - Device_Configuration'!AX31)</f>
        <v/>
      </c>
      <c r="T31" s="28" t="str">
        <f>IF('12 - Device_Configuration'!AV31="","",'12 - Device_Configuration'!AV31)</f>
        <v/>
      </c>
      <c r="U31" s="28" t="str">
        <f>IF('12 - Device_Configuration'!AW31="","",'12 - Device_Configuration'!AW31)</f>
        <v/>
      </c>
      <c r="V31" s="28" t="str">
        <f>IF('12 - Device_Configuration'!BA31="","",'12 - Device_Configuration'!BA31)</f>
        <v>Yes</v>
      </c>
      <c r="W31" s="28" t="str">
        <f>IF('12 - Device_Configuration'!BC31="","",'12 - Device_Configuration'!BC31)</f>
        <v>Firmware Installed</v>
      </c>
      <c r="X31" s="28" t="str">
        <f>IF('12 - Device_Configuration'!BK31="","",'12 - Device_Configuration'!BK31)</f>
        <v>Power Cable, Battery, Epic Beans Relay</v>
      </c>
      <c r="Y31" s="28" t="str">
        <f>IF('12 - Device_Configuration'!BB31="","",'12 - Device_Configuration'!BB31)</f>
        <v>Spare Unit</v>
      </c>
      <c r="Z31" s="28" t="str">
        <f>IF('12 - Device_Configuration'!P31="","",'12 - Device_Configuration'!P31)</f>
        <v/>
      </c>
      <c r="AA31" s="28" t="str">
        <f>IF('12 - Device_Configuration'!Q31="","",'12 - Device_Configuration'!Q31)</f>
        <v/>
      </c>
    </row>
    <row r="32" spans="1:27" ht="30">
      <c r="A32" s="29"/>
      <c r="B32" s="29"/>
      <c r="C32" s="28" t="str">
        <f>IF('12 - Device_Configuration'!H32="","",'12 - Device_Configuration'!H32)</f>
        <v>LIJ SDF</v>
      </c>
      <c r="D32" s="28" t="str">
        <f>IF('12 - Device_Configuration'!AE32="","",'12 - Device_Configuration'!AE32)</f>
        <v/>
      </c>
      <c r="E32" s="28" t="str">
        <f>IF('12 - Device_Configuration'!AF32="","",'12 - Device_Configuration'!AF32)</f>
        <v/>
      </c>
      <c r="F32" s="28" t="str">
        <f>IF('12 - Device_Configuration'!AG32="","",'12 - Device_Configuration'!AG32)</f>
        <v/>
      </c>
      <c r="G32" s="28" t="str">
        <f>IF('12 - Device_Configuration'!AH32="","",'12 - Device_Configuration'!AH32)</f>
        <v/>
      </c>
      <c r="H32" s="28" t="str">
        <f>IF('12 - Device_Configuration'!A32="","",'12 - Device_Configuration'!A32)</f>
        <v>Neuron</v>
      </c>
      <c r="I32" s="28" t="str">
        <f>IF('12 - Device_Configuration'!AI32="","",'12 - Device_Configuration'!AI32)</f>
        <v/>
      </c>
      <c r="J32" s="28" t="str">
        <f>IF('12 - Device_Configuration'!AJ32="","",'12 - Device_Configuration'!AJ32)</f>
        <v/>
      </c>
      <c r="K32" s="28" t="str">
        <f>IF('12 - Device_Configuration'!AA32="","",'12 - Device_Configuration'!AA32)</f>
        <v/>
      </c>
      <c r="L32" s="28" t="str">
        <f>IF('12 - Device_Configuration'!I32="","",'12 - Device_Configuration'!I32)</f>
        <v/>
      </c>
      <c r="M32" s="29"/>
      <c r="N32" s="28" t="str">
        <f>IF('12 - Device_Configuration'!J32="","",'12 - Device_Configuration'!J32)</f>
        <v/>
      </c>
      <c r="O32" s="28" t="str">
        <f>IF('12 - Device_Configuration'!K32="","",'12 - Device_Configuration'!K32)</f>
        <v/>
      </c>
      <c r="P32" s="28" t="str">
        <f>IF('12 - Device_Configuration'!L32="","",'12 - Device_Configuration'!L32)</f>
        <v/>
      </c>
      <c r="Q32" s="29"/>
      <c r="R32" s="28" t="str">
        <f>IF('12 - Device_Configuration'!AY32="","",'12 - Device_Configuration'!AY32)</f>
        <v/>
      </c>
      <c r="S32" s="28" t="str">
        <f>IF('12 - Device_Configuration'!AX32="","",'12 - Device_Configuration'!AX32)</f>
        <v/>
      </c>
      <c r="T32" s="28" t="str">
        <f>IF('12 - Device_Configuration'!AV32="","",'12 - Device_Configuration'!AV32)</f>
        <v/>
      </c>
      <c r="U32" s="28" t="str">
        <f>IF('12 - Device_Configuration'!AW32="","",'12 - Device_Configuration'!AW32)</f>
        <v/>
      </c>
      <c r="V32" s="28" t="str">
        <f>IF('12 - Device_Configuration'!BA32="","",'12 - Device_Configuration'!BA32)</f>
        <v>Yes</v>
      </c>
      <c r="W32" s="28" t="str">
        <f>IF('12 - Device_Configuration'!BC32="","",'12 - Device_Configuration'!BC32)</f>
        <v>Firmware Installed</v>
      </c>
      <c r="X32" s="28" t="str">
        <f>IF('12 - Device_Configuration'!BK32="","",'12 - Device_Configuration'!BK32)</f>
        <v>Power Cable, Battery, Epic Beans Relay</v>
      </c>
      <c r="Y32" s="28" t="str">
        <f>IF('12 - Device_Configuration'!BB32="","",'12 - Device_Configuration'!BB32)</f>
        <v>Spare Unit</v>
      </c>
      <c r="Z32" s="28" t="str">
        <f>IF('12 - Device_Configuration'!P32="","",'12 - Device_Configuration'!P32)</f>
        <v/>
      </c>
      <c r="AA32" s="28" t="str">
        <f>IF('12 - Device_Configuration'!Q32="","",'12 - Device_Configuration'!Q32)</f>
        <v/>
      </c>
    </row>
    <row r="33" spans="1:27" ht="30">
      <c r="A33" s="29"/>
      <c r="B33" s="29"/>
      <c r="C33" s="28" t="str">
        <f>IF('12 - Device_Configuration'!H33="","",'12 - Device_Configuration'!H33)</f>
        <v>LIJ SDF</v>
      </c>
      <c r="D33" s="28" t="str">
        <f>IF('12 - Device_Configuration'!AE33="","",'12 - Device_Configuration'!AE33)</f>
        <v/>
      </c>
      <c r="E33" s="28" t="str">
        <f>IF('12 - Device_Configuration'!AF33="","",'12 - Device_Configuration'!AF33)</f>
        <v/>
      </c>
      <c r="F33" s="28" t="str">
        <f>IF('12 - Device_Configuration'!AG33="","",'12 - Device_Configuration'!AG33)</f>
        <v/>
      </c>
      <c r="G33" s="28" t="str">
        <f>IF('12 - Device_Configuration'!AH33="","",'12 - Device_Configuration'!AH33)</f>
        <v/>
      </c>
      <c r="H33" s="28" t="str">
        <f>IF('12 - Device_Configuration'!A33="","",'12 - Device_Configuration'!A33)</f>
        <v>Neuron</v>
      </c>
      <c r="I33" s="28" t="str">
        <f>IF('12 - Device_Configuration'!AI33="","",'12 - Device_Configuration'!AI33)</f>
        <v/>
      </c>
      <c r="J33" s="28" t="str">
        <f>IF('12 - Device_Configuration'!AJ33="","",'12 - Device_Configuration'!AJ33)</f>
        <v/>
      </c>
      <c r="K33" s="28" t="str">
        <f>IF('12 - Device_Configuration'!AA33="","",'12 - Device_Configuration'!AA33)</f>
        <v/>
      </c>
      <c r="L33" s="28" t="str">
        <f>IF('12 - Device_Configuration'!I33="","",'12 - Device_Configuration'!I33)</f>
        <v/>
      </c>
      <c r="M33" s="29"/>
      <c r="N33" s="28" t="str">
        <f>IF('12 - Device_Configuration'!J33="","",'12 - Device_Configuration'!J33)</f>
        <v/>
      </c>
      <c r="O33" s="28" t="str">
        <f>IF('12 - Device_Configuration'!K33="","",'12 - Device_Configuration'!K33)</f>
        <v/>
      </c>
      <c r="P33" s="28" t="str">
        <f>IF('12 - Device_Configuration'!L33="","",'12 - Device_Configuration'!L33)</f>
        <v/>
      </c>
      <c r="Q33" s="29"/>
      <c r="R33" s="28" t="str">
        <f>IF('12 - Device_Configuration'!AY33="","",'12 - Device_Configuration'!AY33)</f>
        <v/>
      </c>
      <c r="S33" s="28" t="str">
        <f>IF('12 - Device_Configuration'!AX33="","",'12 - Device_Configuration'!AX33)</f>
        <v/>
      </c>
      <c r="T33" s="28" t="str">
        <f>IF('12 - Device_Configuration'!AV33="","",'12 - Device_Configuration'!AV33)</f>
        <v/>
      </c>
      <c r="U33" s="28" t="str">
        <f>IF('12 - Device_Configuration'!AW33="","",'12 - Device_Configuration'!AW33)</f>
        <v/>
      </c>
      <c r="V33" s="28" t="str">
        <f>IF('12 - Device_Configuration'!BA33="","",'12 - Device_Configuration'!BA33)</f>
        <v>Yes</v>
      </c>
      <c r="W33" s="28" t="str">
        <f>IF('12 - Device_Configuration'!BC33="","",'12 - Device_Configuration'!BC33)</f>
        <v>Firmware Installed</v>
      </c>
      <c r="X33" s="28" t="str">
        <f>IF('12 - Device_Configuration'!BK33="","",'12 - Device_Configuration'!BK33)</f>
        <v>Power Cable, Battery, Epic Beans Relay</v>
      </c>
      <c r="Y33" s="28" t="str">
        <f>IF('12 - Device_Configuration'!BB33="","",'12 - Device_Configuration'!BB33)</f>
        <v>Spare Unit</v>
      </c>
      <c r="Z33" s="28" t="str">
        <f>IF('12 - Device_Configuration'!P33="","",'12 - Device_Configuration'!P33)</f>
        <v/>
      </c>
      <c r="AA33" s="28" t="str">
        <f>IF('12 - Device_Configuration'!Q33="","",'12 - Device_Configuration'!Q33)</f>
        <v/>
      </c>
    </row>
    <row r="34" spans="1:27" ht="45.75" customHeight="1">
      <c r="A34" s="29"/>
      <c r="B34" s="29"/>
      <c r="C34" s="28" t="str">
        <f>IF('12 - Device_Configuration'!H34="","",'12 - Device_Configuration'!H34)</f>
        <v>PBMC</v>
      </c>
      <c r="D34" s="28" t="str">
        <f>IF('12 - Device_Configuration'!AE34="","",'12 - Device_Configuration'!AE34)</f>
        <v>Third Floor/Cath Lab</v>
      </c>
      <c r="E34" s="28" t="str">
        <f>IF('12 - Device_Configuration'!AF34="","",'12 - Device_Configuration'!AF34)</f>
        <v>Lab 3/ Neuro BiPlane</v>
      </c>
      <c r="F34" s="28" t="str">
        <f>IF('12 - Device_Configuration'!AG34="","",'12 - Device_Configuration'!AG34)</f>
        <v>N/A</v>
      </c>
      <c r="G34" s="28" t="str">
        <f>IF('12 - Device_Configuration'!AH34="","",'12 - Device_Configuration'!AH34)</f>
        <v/>
      </c>
      <c r="H34" s="28" t="str">
        <f>IF('12 - Device_Configuration'!A34="","",'12 - Device_Configuration'!A34)</f>
        <v>Neuron</v>
      </c>
      <c r="I34" s="28" t="str">
        <f>IF('12 - Device_Configuration'!AI34="","",'12 - Device_Configuration'!AI34)</f>
        <v>Drager</v>
      </c>
      <c r="J34" s="28" t="str">
        <f>IF('12 - Device_Configuration'!AJ34="","",'12 - Device_Configuration'!AJ34)</f>
        <v>Atlan A350</v>
      </c>
      <c r="K34" s="28" t="str">
        <f>IF('12 - Device_Configuration'!AA34="","",'12 - Device_Configuration'!AA34)</f>
        <v>Anesthesia Machine</v>
      </c>
      <c r="L34" s="28" t="str">
        <f>IF('12 - Device_Configuration'!I34="","",'12 - Device_Configuration'!I34)</f>
        <v/>
      </c>
      <c r="M34" s="29"/>
      <c r="N34" s="28" t="str">
        <f>IF('12 - Device_Configuration'!J34="","",'12 - Device_Configuration'!J34)</f>
        <v>NA</v>
      </c>
      <c r="O34" s="28" t="str">
        <f>IF('12 - Device_Configuration'!K34="","",'12 - Device_Configuration'!K34)</f>
        <v>NA</v>
      </c>
      <c r="P34" s="28" t="str">
        <f>IF('12 - Device_Configuration'!L34="","",'12 - Device_Configuration'!L34)</f>
        <v>NA</v>
      </c>
      <c r="Q34" s="29"/>
      <c r="R34" s="28" t="str">
        <f>IF('12 - Device_Configuration'!AY34="","",'12 - Device_Configuration'!AY34)</f>
        <v/>
      </c>
      <c r="S34" s="28" t="str">
        <f>IF('12 - Device_Configuration'!AX34="","",'12 - Device_Configuration'!AX34)</f>
        <v/>
      </c>
      <c r="T34" s="28" t="str">
        <f>IF('12 - Device_Configuration'!AV34="","",'12 - Device_Configuration'!AV34)</f>
        <v/>
      </c>
      <c r="U34" s="28" t="str">
        <f>IF('12 - Device_Configuration'!AW34="","",'12 - Device_Configuration'!AW34)</f>
        <v/>
      </c>
      <c r="V34" s="28" t="str">
        <f>IF('12 - Device_Configuration'!BA34="","",'12 - Device_Configuration'!BA34)</f>
        <v>Yes</v>
      </c>
      <c r="W34" s="28" t="str">
        <f>IF('12 - Device_Configuration'!BC34="","",'12 - Device_Configuration'!BC34)</f>
        <v>Firmware Installed</v>
      </c>
      <c r="X34" s="28" t="str">
        <f>IF('12 - Device_Configuration'!BK34="","",'12 - Device_Configuration'!BK34)</f>
        <v>Power Cable, Battery, Epic Beans Relay</v>
      </c>
      <c r="Y34" s="28" t="str">
        <f>IF('12 - Device_Configuration'!BB34="","",'12 - Device_Configuration'!BB34)</f>
        <v>PBMC</v>
      </c>
      <c r="Z34" s="28" t="str">
        <f>IF('12 - Device_Configuration'!P34="","",'12 - Device_Configuration'!P34)</f>
        <v/>
      </c>
      <c r="AA34" s="28" t="str">
        <f>IF('12 - Device_Configuration'!Q34="","",'12 - Device_Configuration'!Q34)</f>
        <v/>
      </c>
    </row>
    <row r="35" spans="1:27" ht="45.75" customHeight="1">
      <c r="A35" s="29"/>
      <c r="B35" s="29"/>
      <c r="C35" s="28" t="str">
        <f>IF('12 - Device_Configuration'!H35="","",'12 - Device_Configuration'!H35)</f>
        <v>PBMC</v>
      </c>
      <c r="D35" s="28" t="str">
        <f>IF('12 - Device_Configuration'!AE35="","",'12 - Device_Configuration'!AE35)</f>
        <v>Third Floor/Cath Lab</v>
      </c>
      <c r="E35" s="28" t="str">
        <f>IF('12 - Device_Configuration'!AF35="","",'12 - Device_Configuration'!AF35)</f>
        <v>Lab 3/ Neuro BiPlane</v>
      </c>
      <c r="F35" s="28" t="str">
        <f>IF('12 - Device_Configuration'!AG35="","",'12 - Device_Configuration'!AG35)</f>
        <v>N/A</v>
      </c>
      <c r="G35" s="28" t="str">
        <f>IF('12 - Device_Configuration'!AH35="","",'12 - Device_Configuration'!AH35)</f>
        <v/>
      </c>
      <c r="H35" s="28" t="str">
        <f>IF('12 - Device_Configuration'!A35="","",'12 - Device_Configuration'!A35)</f>
        <v>Cybernet</v>
      </c>
      <c r="I35" s="28" t="str">
        <f>IF('12 - Device_Configuration'!AI35="","",'12 - Device_Configuration'!AI35)</f>
        <v>Drager</v>
      </c>
      <c r="J35" s="28" t="str">
        <f>IF('12 - Device_Configuration'!AJ35="","",'12 - Device_Configuration'!AJ35)</f>
        <v>Atlan A350</v>
      </c>
      <c r="K35" s="28" t="str">
        <f>IF('12 - Device_Configuration'!AA35="","",'12 - Device_Configuration'!AA35)</f>
        <v>Anesthesia Machine</v>
      </c>
      <c r="L35" s="28" t="str">
        <f>IF('12 - Device_Configuration'!I35="","",'12 - Device_Configuration'!I35)</f>
        <v/>
      </c>
      <c r="M35" s="29"/>
      <c r="N35" s="28" t="str">
        <f>IF('12 - Device_Configuration'!J35="","",'12 - Device_Configuration'!J35)</f>
        <v/>
      </c>
      <c r="O35" s="28" t="str">
        <f>IF('12 - Device_Configuration'!K35="","",'12 - Device_Configuration'!K35)</f>
        <v/>
      </c>
      <c r="P35" s="28" t="str">
        <f>IF('12 - Device_Configuration'!L35="","",'12 - Device_Configuration'!L35)</f>
        <v/>
      </c>
      <c r="Q35" s="29"/>
      <c r="R35" s="28" t="str">
        <f>IF('12 - Device_Configuration'!AY35="","",'12 - Device_Configuration'!AY35)</f>
        <v/>
      </c>
      <c r="S35" s="28" t="str">
        <f>IF('12 - Device_Configuration'!AX35="","",'12 - Device_Configuration'!AX35)</f>
        <v/>
      </c>
      <c r="T35" s="28" t="str">
        <f>IF('12 - Device_Configuration'!AV35="","",'12 - Device_Configuration'!AV35)</f>
        <v/>
      </c>
      <c r="U35" s="28" t="str">
        <f>IF('12 - Device_Configuration'!AW35="","",'12 - Device_Configuration'!AW35)</f>
        <v/>
      </c>
      <c r="V35" s="28" t="str">
        <f>IF('12 - Device_Configuration'!BA35="","",'12 - Device_Configuration'!BA35)</f>
        <v>Yes</v>
      </c>
      <c r="W35" s="28" t="str">
        <f>IF('12 - Device_Configuration'!BC35="","",'12 - Device_Configuration'!BC35)</f>
        <v>Firmware Installed</v>
      </c>
      <c r="X35" s="28" t="str">
        <f>IF('12 - Device_Configuration'!BK35="","",'12 - Device_Configuration'!BK35)</f>
        <v>Power Cable, Battery, Epic Beans Relay</v>
      </c>
      <c r="Y35" s="28" t="str">
        <f>IF('12 - Device_Configuration'!BB35="","",'12 - Device_Configuration'!BB35)</f>
        <v>PBMC</v>
      </c>
      <c r="Z35" s="28" t="str">
        <f>IF('12 - Device_Configuration'!P35="","",'12 - Device_Configuration'!P35)</f>
        <v/>
      </c>
      <c r="AA35" s="28" t="str">
        <f>IF('12 - Device_Configuration'!Q35="","",'12 - Device_Configuration'!Q35)</f>
        <v/>
      </c>
    </row>
    <row r="36" spans="1:27" ht="45.75" customHeight="1">
      <c r="A36" s="29"/>
      <c r="B36" s="29"/>
      <c r="C36" s="28" t="str">
        <f>IF('12 - Device_Configuration'!H36="","",'12 - Device_Configuration'!H36)</f>
        <v>MEETH</v>
      </c>
      <c r="D36" s="28" t="str">
        <f>IF('12 - Device_Configuration'!AE36="","",'12 - Device_Configuration'!AE36)</f>
        <v/>
      </c>
      <c r="E36" s="28" t="str">
        <f>IF('12 - Device_Configuration'!AF36="","",'12 - Device_Configuration'!AF36)</f>
        <v/>
      </c>
      <c r="F36" s="28" t="str">
        <f>IF('12 - Device_Configuration'!AG36="","",'12 - Device_Configuration'!AG36)</f>
        <v/>
      </c>
      <c r="G36" s="28" t="str">
        <f>IF('12 - Device_Configuration'!AH36="","",'12 - Device_Configuration'!AH36)</f>
        <v/>
      </c>
      <c r="H36" s="28" t="str">
        <f>IF('12 - Device_Configuration'!A36="","",'12 - Device_Configuration'!A36)</f>
        <v>Neuron</v>
      </c>
      <c r="I36" s="28" t="str">
        <f>IF('12 - Device_Configuration'!AI36="","",'12 - Device_Configuration'!AI36)</f>
        <v/>
      </c>
      <c r="J36" s="28" t="str">
        <f>IF('12 - Device_Configuration'!AJ36="","",'12 - Device_Configuration'!AJ36)</f>
        <v/>
      </c>
      <c r="K36" s="28" t="str">
        <f>IF('12 - Device_Configuration'!AA36="","",'12 - Device_Configuration'!AA36)</f>
        <v/>
      </c>
      <c r="L36" s="28" t="str">
        <f>IF('12 - Device_Configuration'!I36="","",'12 - Device_Configuration'!I36)</f>
        <v/>
      </c>
      <c r="M36" s="29"/>
      <c r="N36" s="28" t="str">
        <f>IF('12 - Device_Configuration'!J36="","",'12 - Device_Configuration'!J36)</f>
        <v>NA</v>
      </c>
      <c r="O36" s="28" t="str">
        <f>IF('12 - Device_Configuration'!K36="","",'12 - Device_Configuration'!K36)</f>
        <v>NA</v>
      </c>
      <c r="P36" s="28" t="str">
        <f>IF('12 - Device_Configuration'!L36="","",'12 - Device_Configuration'!L36)</f>
        <v>NA</v>
      </c>
      <c r="Q36" s="29"/>
      <c r="R36" s="28" t="str">
        <f>IF('12 - Device_Configuration'!AY36="","",'12 - Device_Configuration'!AY36)</f>
        <v/>
      </c>
      <c r="S36" s="28" t="str">
        <f>IF('12 - Device_Configuration'!AX36="","",'12 - Device_Configuration'!AX36)</f>
        <v/>
      </c>
      <c r="T36" s="28" t="str">
        <f>IF('12 - Device_Configuration'!AV36="","",'12 - Device_Configuration'!AV36)</f>
        <v/>
      </c>
      <c r="U36" s="28" t="str">
        <f>IF('12 - Device_Configuration'!AW36="","",'12 - Device_Configuration'!AW36)</f>
        <v/>
      </c>
      <c r="V36" s="28" t="str">
        <f>IF('12 - Device_Configuration'!BA36="","",'12 - Device_Configuration'!BA36)</f>
        <v/>
      </c>
      <c r="W36" s="28" t="str">
        <f>IF('12 - Device_Configuration'!BC36="","",'12 - Device_Configuration'!BC36)</f>
        <v>In Storage</v>
      </c>
      <c r="X36" s="28" t="str">
        <f>IF('12 - Device_Configuration'!BK36="","",'12 - Device_Configuration'!BK36)</f>
        <v>Power Cable, Battery, Firmware Download, Device ID, Epic Beans Relay</v>
      </c>
      <c r="Y36" s="28" t="str">
        <f>IF('12 - Device_Configuration'!BB36="","",'12 - Device_Configuration'!BB36)</f>
        <v/>
      </c>
      <c r="Z36" s="28" t="str">
        <f>IF('12 - Device_Configuration'!P36="","",'12 - Device_Configuration'!P36)</f>
        <v/>
      </c>
      <c r="AA36" s="28" t="str">
        <f>IF('12 - Device_Configuration'!Q36="","",'12 - Device_Configuration'!Q36)</f>
        <v/>
      </c>
    </row>
    <row r="37" spans="1:27" ht="45.75" customHeight="1">
      <c r="A37" s="29"/>
      <c r="B37" s="29"/>
      <c r="C37" s="28" t="str">
        <f>IF('12 - Device_Configuration'!H37="","",'12 - Device_Configuration'!H37)</f>
        <v>MEETH</v>
      </c>
      <c r="D37" s="28" t="str">
        <f>IF('12 - Device_Configuration'!AE37="","",'12 - Device_Configuration'!AE37)</f>
        <v/>
      </c>
      <c r="E37" s="28" t="str">
        <f>IF('12 - Device_Configuration'!AF37="","",'12 - Device_Configuration'!AF37)</f>
        <v/>
      </c>
      <c r="F37" s="28" t="str">
        <f>IF('12 - Device_Configuration'!AG37="","",'12 - Device_Configuration'!AG37)</f>
        <v/>
      </c>
      <c r="G37" s="28" t="str">
        <f>IF('12 - Device_Configuration'!AH37="","",'12 - Device_Configuration'!AH37)</f>
        <v/>
      </c>
      <c r="H37" s="28" t="str">
        <f>IF('12 - Device_Configuration'!A37="","",'12 - Device_Configuration'!A37)</f>
        <v>Neuron</v>
      </c>
      <c r="I37" s="28" t="str">
        <f>IF('12 - Device_Configuration'!AI37="","",'12 - Device_Configuration'!AI37)</f>
        <v/>
      </c>
      <c r="J37" s="28" t="str">
        <f>IF('12 - Device_Configuration'!AJ37="","",'12 - Device_Configuration'!AJ37)</f>
        <v/>
      </c>
      <c r="K37" s="28" t="str">
        <f>IF('12 - Device_Configuration'!AA37="","",'12 - Device_Configuration'!AA37)</f>
        <v/>
      </c>
      <c r="L37" s="28" t="str">
        <f>IF('12 - Device_Configuration'!I37="","",'12 - Device_Configuration'!I37)</f>
        <v/>
      </c>
      <c r="M37" s="29"/>
      <c r="N37" s="28" t="str">
        <f>IF('12 - Device_Configuration'!J37="","",'12 - Device_Configuration'!J37)</f>
        <v>NA</v>
      </c>
      <c r="O37" s="28" t="str">
        <f>IF('12 - Device_Configuration'!K37="","",'12 - Device_Configuration'!K37)</f>
        <v>NA</v>
      </c>
      <c r="P37" s="28" t="str">
        <f>IF('12 - Device_Configuration'!L37="","",'12 - Device_Configuration'!L37)</f>
        <v>NA</v>
      </c>
      <c r="Q37" s="29"/>
      <c r="R37" s="28" t="str">
        <f>IF('12 - Device_Configuration'!AY37="","",'12 - Device_Configuration'!AY37)</f>
        <v/>
      </c>
      <c r="S37" s="28" t="str">
        <f>IF('12 - Device_Configuration'!AX37="","",'12 - Device_Configuration'!AX37)</f>
        <v/>
      </c>
      <c r="T37" s="28" t="str">
        <f>IF('12 - Device_Configuration'!AV37="","",'12 - Device_Configuration'!AV37)</f>
        <v/>
      </c>
      <c r="U37" s="28" t="str">
        <f>IF('12 - Device_Configuration'!AW37="","",'12 - Device_Configuration'!AW37)</f>
        <v/>
      </c>
      <c r="V37" s="28" t="str">
        <f>IF('12 - Device_Configuration'!BA37="","",'12 - Device_Configuration'!BA37)</f>
        <v/>
      </c>
      <c r="W37" s="28" t="str">
        <f>IF('12 - Device_Configuration'!BC37="","",'12 - Device_Configuration'!BC37)</f>
        <v>In Storage</v>
      </c>
      <c r="X37" s="28" t="str">
        <f>IF('12 - Device_Configuration'!BK37="","",'12 - Device_Configuration'!BK37)</f>
        <v>Power Cable, Battery, Firmware Download, Device ID, Epic Beans Relay</v>
      </c>
      <c r="Y37" s="28" t="str">
        <f>IF('12 - Device_Configuration'!BB37="","",'12 - Device_Configuration'!BB37)</f>
        <v/>
      </c>
      <c r="Z37" s="28" t="str">
        <f>IF('12 - Device_Configuration'!P37="","",'12 - Device_Configuration'!P37)</f>
        <v/>
      </c>
      <c r="AA37" s="28" t="str">
        <f>IF('12 - Device_Configuration'!Q37="","",'12 - Device_Configuration'!Q37)</f>
        <v/>
      </c>
    </row>
    <row r="38" spans="1:27" ht="45.75" customHeight="1">
      <c r="A38" s="29"/>
      <c r="B38" s="29"/>
      <c r="C38" s="28" t="str">
        <f>IF('12 - Device_Configuration'!H38="","",'12 - Device_Configuration'!H38)</f>
        <v>MEETH</v>
      </c>
      <c r="D38" s="28" t="str">
        <f>IF('12 - Device_Configuration'!AE38="","",'12 - Device_Configuration'!AE38)</f>
        <v/>
      </c>
      <c r="E38" s="28" t="str">
        <f>IF('12 - Device_Configuration'!AF38="","",'12 - Device_Configuration'!AF38)</f>
        <v/>
      </c>
      <c r="F38" s="28" t="str">
        <f>IF('12 - Device_Configuration'!AG38="","",'12 - Device_Configuration'!AG38)</f>
        <v/>
      </c>
      <c r="G38" s="28" t="str">
        <f>IF('12 - Device_Configuration'!AH38="","",'12 - Device_Configuration'!AH38)</f>
        <v/>
      </c>
      <c r="H38" s="28" t="str">
        <f>IF('12 - Device_Configuration'!A38="","",'12 - Device_Configuration'!A38)</f>
        <v>Neuron</v>
      </c>
      <c r="I38" s="28" t="str">
        <f>IF('12 - Device_Configuration'!AI38="","",'12 - Device_Configuration'!AI38)</f>
        <v/>
      </c>
      <c r="J38" s="28" t="str">
        <f>IF('12 - Device_Configuration'!AJ38="","",'12 - Device_Configuration'!AJ38)</f>
        <v/>
      </c>
      <c r="K38" s="28" t="str">
        <f>IF('12 - Device_Configuration'!AA38="","",'12 - Device_Configuration'!AA38)</f>
        <v/>
      </c>
      <c r="L38" s="28" t="str">
        <f>IF('12 - Device_Configuration'!I38="","",'12 - Device_Configuration'!I38)</f>
        <v/>
      </c>
      <c r="M38" s="29"/>
      <c r="N38" s="28" t="str">
        <f>IF('12 - Device_Configuration'!J38="","",'12 - Device_Configuration'!J38)</f>
        <v>NA</v>
      </c>
      <c r="O38" s="28" t="str">
        <f>IF('12 - Device_Configuration'!K38="","",'12 - Device_Configuration'!K38)</f>
        <v>NA</v>
      </c>
      <c r="P38" s="28" t="str">
        <f>IF('12 - Device_Configuration'!L38="","",'12 - Device_Configuration'!L38)</f>
        <v>NA</v>
      </c>
      <c r="Q38" s="29"/>
      <c r="R38" s="28" t="str">
        <f>IF('12 - Device_Configuration'!AY38="","",'12 - Device_Configuration'!AY38)</f>
        <v/>
      </c>
      <c r="S38" s="28" t="str">
        <f>IF('12 - Device_Configuration'!AX38="","",'12 - Device_Configuration'!AX38)</f>
        <v/>
      </c>
      <c r="T38" s="28" t="str">
        <f>IF('12 - Device_Configuration'!AV38="","",'12 - Device_Configuration'!AV38)</f>
        <v/>
      </c>
      <c r="U38" s="28" t="str">
        <f>IF('12 - Device_Configuration'!AW38="","",'12 - Device_Configuration'!AW38)</f>
        <v/>
      </c>
      <c r="V38" s="28" t="str">
        <f>IF('12 - Device_Configuration'!BA38="","",'12 - Device_Configuration'!BA38)</f>
        <v/>
      </c>
      <c r="W38" s="28" t="str">
        <f>IF('12 - Device_Configuration'!BC38="","",'12 - Device_Configuration'!BC38)</f>
        <v>In Storage</v>
      </c>
      <c r="X38" s="28" t="str">
        <f>IF('12 - Device_Configuration'!BK38="","",'12 - Device_Configuration'!BK38)</f>
        <v>Power Cable, Battery, Firmware Download, Device ID, Epic Beans Relay</v>
      </c>
      <c r="Y38" s="28" t="str">
        <f>IF('12 - Device_Configuration'!BB38="","",'12 - Device_Configuration'!BB38)</f>
        <v/>
      </c>
      <c r="Z38" s="28" t="str">
        <f>IF('12 - Device_Configuration'!P38="","",'12 - Device_Configuration'!P38)</f>
        <v/>
      </c>
      <c r="AA38" s="28" t="str">
        <f>IF('12 - Device_Configuration'!Q38="","",'12 - Device_Configuration'!Q38)</f>
        <v/>
      </c>
    </row>
    <row r="39" spans="1:27" ht="45.75" customHeight="1">
      <c r="A39" s="29"/>
      <c r="B39" s="29"/>
      <c r="C39" s="28" t="str">
        <f>IF('12 - Device_Configuration'!H39="","",'12 - Device_Configuration'!H39)</f>
        <v>ZUCKER HOSPITAL</v>
      </c>
      <c r="D39" s="28" t="str">
        <f>IF('12 - Device_Configuration'!AE39="","",'12 - Device_Configuration'!AE39)</f>
        <v/>
      </c>
      <c r="E39" s="28" t="str">
        <f>IF('12 - Device_Configuration'!AF39="","",'12 - Device_Configuration'!AF39)</f>
        <v/>
      </c>
      <c r="F39" s="28" t="str">
        <f>IF('12 - Device_Configuration'!AG39="","",'12 - Device_Configuration'!AG39)</f>
        <v/>
      </c>
      <c r="G39" s="28" t="str">
        <f>IF('12 - Device_Configuration'!AH39="","",'12 - Device_Configuration'!AH39)</f>
        <v/>
      </c>
      <c r="H39" s="28" t="str">
        <f>IF('12 - Device_Configuration'!A39="","",'12 - Device_Configuration'!A39)</f>
        <v>Neuron</v>
      </c>
      <c r="I39" s="28" t="str">
        <f>IF('12 - Device_Configuration'!AI39="","",'12 - Device_Configuration'!AI39)</f>
        <v/>
      </c>
      <c r="J39" s="28" t="str">
        <f>IF('12 - Device_Configuration'!AJ39="","",'12 - Device_Configuration'!AJ39)</f>
        <v/>
      </c>
      <c r="K39" s="28" t="str">
        <f>IF('12 - Device_Configuration'!AA39="","",'12 - Device_Configuration'!AA39)</f>
        <v/>
      </c>
      <c r="L39" s="28" t="str">
        <f>IF('12 - Device_Configuration'!I39="","",'12 - Device_Configuration'!I39)</f>
        <v/>
      </c>
      <c r="M39" s="29"/>
      <c r="N39" s="28" t="str">
        <f>IF('12 - Device_Configuration'!J39="","",'12 - Device_Configuration'!J39)</f>
        <v>NA</v>
      </c>
      <c r="O39" s="28" t="str">
        <f>IF('12 - Device_Configuration'!K39="","",'12 - Device_Configuration'!K39)</f>
        <v>NA</v>
      </c>
      <c r="P39" s="28" t="str">
        <f>IF('12 - Device_Configuration'!L39="","",'12 - Device_Configuration'!L39)</f>
        <v>NA</v>
      </c>
      <c r="Q39" s="29"/>
      <c r="R39" s="28" t="str">
        <f>IF('12 - Device_Configuration'!AY39="","",'12 - Device_Configuration'!AY39)</f>
        <v/>
      </c>
      <c r="S39" s="28" t="str">
        <f>IF('12 - Device_Configuration'!AX39="","",'12 - Device_Configuration'!AX39)</f>
        <v/>
      </c>
      <c r="T39" s="28" t="str">
        <f>IF('12 - Device_Configuration'!AV39="","",'12 - Device_Configuration'!AV39)</f>
        <v/>
      </c>
      <c r="U39" s="28" t="str">
        <f>IF('12 - Device_Configuration'!AW39="","",'12 - Device_Configuration'!AW39)</f>
        <v/>
      </c>
      <c r="V39" s="28" t="str">
        <f>IF('12 - Device_Configuration'!BA39="","",'12 - Device_Configuration'!BA39)</f>
        <v/>
      </c>
      <c r="W39" s="28" t="str">
        <f>IF('12 - Device_Configuration'!BC39="","",'12 - Device_Configuration'!BC39)</f>
        <v>In Storage</v>
      </c>
      <c r="X39" s="28" t="str">
        <f>IF('12 - Device_Configuration'!BK39="","",'12 - Device_Configuration'!BK39)</f>
        <v>Power Cable, Battery, Firmware Download, Device ID, Epic Beans Relay</v>
      </c>
      <c r="Y39" s="28" t="str">
        <f>IF('12 - Device_Configuration'!BB39="","",'12 - Device_Configuration'!BB39)</f>
        <v/>
      </c>
      <c r="Z39" s="28" t="str">
        <f>IF('12 - Device_Configuration'!P39="","",'12 - Device_Configuration'!P39)</f>
        <v/>
      </c>
      <c r="AA39" s="28" t="str">
        <f>IF('12 - Device_Configuration'!Q39="","",'12 - Device_Configuration'!Q39)</f>
        <v/>
      </c>
    </row>
    <row r="40" spans="1:27" ht="45.75" customHeight="1">
      <c r="A40" s="29"/>
      <c r="B40" s="29"/>
      <c r="C40" s="28" t="str">
        <f>IF('12 - Device_Configuration'!H40="","",'12 - Device_Configuration'!H40)</f>
        <v>ZUCKER HOSPITAL</v>
      </c>
      <c r="D40" s="28" t="str">
        <f>IF('12 - Device_Configuration'!AE40="","",'12 - Device_Configuration'!AE40)</f>
        <v/>
      </c>
      <c r="E40" s="28" t="str">
        <f>IF('12 - Device_Configuration'!AF40="","",'12 - Device_Configuration'!AF40)</f>
        <v/>
      </c>
      <c r="F40" s="28" t="str">
        <f>IF('12 - Device_Configuration'!AG40="","",'12 - Device_Configuration'!AG40)</f>
        <v/>
      </c>
      <c r="G40" s="28" t="str">
        <f>IF('12 - Device_Configuration'!AH40="","",'12 - Device_Configuration'!AH40)</f>
        <v/>
      </c>
      <c r="H40" s="28" t="str">
        <f>IF('12 - Device_Configuration'!A40="","",'12 - Device_Configuration'!A40)</f>
        <v>Neuron</v>
      </c>
      <c r="I40" s="28" t="str">
        <f>IF('12 - Device_Configuration'!AI40="","",'12 - Device_Configuration'!AI40)</f>
        <v/>
      </c>
      <c r="J40" s="28" t="str">
        <f>IF('12 - Device_Configuration'!AJ40="","",'12 - Device_Configuration'!AJ40)</f>
        <v/>
      </c>
      <c r="K40" s="28" t="str">
        <f>IF('12 - Device_Configuration'!AA40="","",'12 - Device_Configuration'!AA40)</f>
        <v/>
      </c>
      <c r="L40" s="28" t="str">
        <f>IF('12 - Device_Configuration'!I40="","",'12 - Device_Configuration'!I40)</f>
        <v/>
      </c>
      <c r="M40" s="29"/>
      <c r="N40" s="28" t="str">
        <f>IF('12 - Device_Configuration'!J40="","",'12 - Device_Configuration'!J40)</f>
        <v>NA</v>
      </c>
      <c r="O40" s="28" t="str">
        <f>IF('12 - Device_Configuration'!K40="","",'12 - Device_Configuration'!K40)</f>
        <v>NA</v>
      </c>
      <c r="P40" s="28" t="str">
        <f>IF('12 - Device_Configuration'!L40="","",'12 - Device_Configuration'!L40)</f>
        <v>NA</v>
      </c>
      <c r="Q40" s="29"/>
      <c r="R40" s="28" t="str">
        <f>IF('12 - Device_Configuration'!AY40="","",'12 - Device_Configuration'!AY40)</f>
        <v/>
      </c>
      <c r="S40" s="28" t="str">
        <f>IF('12 - Device_Configuration'!AX40="","",'12 - Device_Configuration'!AX40)</f>
        <v/>
      </c>
      <c r="T40" s="28" t="str">
        <f>IF('12 - Device_Configuration'!AV40="","",'12 - Device_Configuration'!AV40)</f>
        <v/>
      </c>
      <c r="U40" s="28" t="str">
        <f>IF('12 - Device_Configuration'!AW40="","",'12 - Device_Configuration'!AW40)</f>
        <v/>
      </c>
      <c r="V40" s="28" t="str">
        <f>IF('12 - Device_Configuration'!BA40="","",'12 - Device_Configuration'!BA40)</f>
        <v/>
      </c>
      <c r="W40" s="28" t="str">
        <f>IF('12 - Device_Configuration'!BC40="","",'12 - Device_Configuration'!BC40)</f>
        <v>In Storage</v>
      </c>
      <c r="X40" s="28" t="str">
        <f>IF('12 - Device_Configuration'!BK40="","",'12 - Device_Configuration'!BK40)</f>
        <v>Power Cable, Battery, Firmware Download, Device ID, Epic Beans Relay</v>
      </c>
      <c r="Y40" s="28" t="str">
        <f>IF('12 - Device_Configuration'!BB40="","",'12 - Device_Configuration'!BB40)</f>
        <v/>
      </c>
      <c r="Z40" s="28" t="str">
        <f>IF('12 - Device_Configuration'!P40="","",'12 - Device_Configuration'!P40)</f>
        <v/>
      </c>
      <c r="AA40" s="28" t="str">
        <f>IF('12 - Device_Configuration'!Q40="","",'12 - Device_Configuration'!Q40)</f>
        <v/>
      </c>
    </row>
    <row r="41" spans="1:27" ht="45.75" customHeight="1">
      <c r="A41" s="29"/>
      <c r="B41" s="29"/>
      <c r="C41" s="28" t="str">
        <f>IF('12 - Device_Configuration'!H41="","",'12 - Device_Configuration'!H41)</f>
        <v>ZUCKER HOSPITAL</v>
      </c>
      <c r="D41" s="28" t="str">
        <f>IF('12 - Device_Configuration'!AE41="","",'12 - Device_Configuration'!AE41)</f>
        <v/>
      </c>
      <c r="E41" s="28" t="str">
        <f>IF('12 - Device_Configuration'!AF41="","",'12 - Device_Configuration'!AF41)</f>
        <v/>
      </c>
      <c r="F41" s="28" t="str">
        <f>IF('12 - Device_Configuration'!AG41="","",'12 - Device_Configuration'!AG41)</f>
        <v/>
      </c>
      <c r="G41" s="28" t="str">
        <f>IF('12 - Device_Configuration'!AH41="","",'12 - Device_Configuration'!AH41)</f>
        <v/>
      </c>
      <c r="H41" s="28" t="str">
        <f>IF('12 - Device_Configuration'!A41="","",'12 - Device_Configuration'!A41)</f>
        <v>Neuron</v>
      </c>
      <c r="I41" s="28" t="str">
        <f>IF('12 - Device_Configuration'!AI41="","",'12 - Device_Configuration'!AI41)</f>
        <v/>
      </c>
      <c r="J41" s="28" t="str">
        <f>IF('12 - Device_Configuration'!AJ41="","",'12 - Device_Configuration'!AJ41)</f>
        <v/>
      </c>
      <c r="K41" s="28" t="str">
        <f>IF('12 - Device_Configuration'!AA41="","",'12 - Device_Configuration'!AA41)</f>
        <v/>
      </c>
      <c r="L41" s="28" t="str">
        <f>IF('12 - Device_Configuration'!I41="","",'12 - Device_Configuration'!I41)</f>
        <v/>
      </c>
      <c r="M41" s="29"/>
      <c r="N41" s="28" t="str">
        <f>IF('12 - Device_Configuration'!J41="","",'12 - Device_Configuration'!J41)</f>
        <v>NA</v>
      </c>
      <c r="O41" s="28" t="str">
        <f>IF('12 - Device_Configuration'!K41="","",'12 - Device_Configuration'!K41)</f>
        <v>NA</v>
      </c>
      <c r="P41" s="28" t="str">
        <f>IF('12 - Device_Configuration'!L41="","",'12 - Device_Configuration'!L41)</f>
        <v>NA</v>
      </c>
      <c r="Q41" s="29"/>
      <c r="R41" s="28" t="str">
        <f>IF('12 - Device_Configuration'!AY41="","",'12 - Device_Configuration'!AY41)</f>
        <v/>
      </c>
      <c r="S41" s="28" t="str">
        <f>IF('12 - Device_Configuration'!AX41="","",'12 - Device_Configuration'!AX41)</f>
        <v/>
      </c>
      <c r="T41" s="28" t="str">
        <f>IF('12 - Device_Configuration'!AV41="","",'12 - Device_Configuration'!AV41)</f>
        <v/>
      </c>
      <c r="U41" s="28" t="str">
        <f>IF('12 - Device_Configuration'!AW41="","",'12 - Device_Configuration'!AW41)</f>
        <v/>
      </c>
      <c r="V41" s="28" t="str">
        <f>IF('12 - Device_Configuration'!BA41="","",'12 - Device_Configuration'!BA41)</f>
        <v/>
      </c>
      <c r="W41" s="28" t="str">
        <f>IF('12 - Device_Configuration'!BC41="","",'12 - Device_Configuration'!BC41)</f>
        <v>In Storage</v>
      </c>
      <c r="X41" s="28" t="str">
        <f>IF('12 - Device_Configuration'!BK41="","",'12 - Device_Configuration'!BK41)</f>
        <v>Power Cable, Battery, Firmware Download, Device ID, Epic Beans Relay</v>
      </c>
      <c r="Y41" s="28" t="str">
        <f>IF('12 - Device_Configuration'!BB41="","",'12 - Device_Configuration'!BB41)</f>
        <v/>
      </c>
      <c r="Z41" s="28" t="str">
        <f>IF('12 - Device_Configuration'!P41="","",'12 - Device_Configuration'!P41)</f>
        <v/>
      </c>
      <c r="AA41" s="28" t="str">
        <f>IF('12 - Device_Configuration'!Q41="","",'12 - Device_Configuration'!Q41)</f>
        <v/>
      </c>
    </row>
    <row r="42" spans="1:27" ht="45.75" customHeight="1">
      <c r="A42" s="29"/>
      <c r="B42" s="29"/>
      <c r="C42" s="28" t="str">
        <f>IF('12 - Device_Configuration'!H42="","",'12 - Device_Configuration'!H42)</f>
        <v>CCMC</v>
      </c>
      <c r="D42" s="28" t="str">
        <f>IF('12 - Device_Configuration'!AE42="","",'12 - Device_Configuration'!AE42)</f>
        <v/>
      </c>
      <c r="E42" s="28" t="str">
        <f>IF('12 - Device_Configuration'!AF42="","",'12 - Device_Configuration'!AF42)</f>
        <v/>
      </c>
      <c r="F42" s="28" t="str">
        <f>IF('12 - Device_Configuration'!AG42="","",'12 - Device_Configuration'!AG42)</f>
        <v/>
      </c>
      <c r="G42" s="28" t="str">
        <f>IF('12 - Device_Configuration'!AH42="","",'12 - Device_Configuration'!AH42)</f>
        <v/>
      </c>
      <c r="H42" s="28" t="str">
        <f>IF('12 - Device_Configuration'!A42="","",'12 - Device_Configuration'!A42)</f>
        <v>Neuron</v>
      </c>
      <c r="I42" s="28" t="str">
        <f>IF('12 - Device_Configuration'!AI42="","",'12 - Device_Configuration'!AI42)</f>
        <v/>
      </c>
      <c r="J42" s="28" t="str">
        <f>IF('12 - Device_Configuration'!AJ42="","",'12 - Device_Configuration'!AJ42)</f>
        <v/>
      </c>
      <c r="K42" s="28" t="str">
        <f>IF('12 - Device_Configuration'!AA42="","",'12 - Device_Configuration'!AA42)</f>
        <v/>
      </c>
      <c r="L42" s="28" t="str">
        <f>IF('12 - Device_Configuration'!I42="","",'12 - Device_Configuration'!I42)</f>
        <v/>
      </c>
      <c r="M42" s="29"/>
      <c r="N42" s="28" t="str">
        <f>IF('12 - Device_Configuration'!J42="","",'12 - Device_Configuration'!J42)</f>
        <v>NA</v>
      </c>
      <c r="O42" s="28" t="str">
        <f>IF('12 - Device_Configuration'!K42="","",'12 - Device_Configuration'!K42)</f>
        <v>NA</v>
      </c>
      <c r="P42" s="28" t="str">
        <f>IF('12 - Device_Configuration'!L42="","",'12 - Device_Configuration'!L42)</f>
        <v>NA</v>
      </c>
      <c r="Q42" s="29"/>
      <c r="R42" s="28" t="str">
        <f>IF('12 - Device_Configuration'!AY42="","",'12 - Device_Configuration'!AY42)</f>
        <v/>
      </c>
      <c r="S42" s="28" t="str">
        <f>IF('12 - Device_Configuration'!AX42="","",'12 - Device_Configuration'!AX42)</f>
        <v/>
      </c>
      <c r="T42" s="28" t="str">
        <f>IF('12 - Device_Configuration'!AV42="","",'12 - Device_Configuration'!AV42)</f>
        <v/>
      </c>
      <c r="U42" s="28" t="str">
        <f>IF('12 - Device_Configuration'!AW42="","",'12 - Device_Configuration'!AW42)</f>
        <v/>
      </c>
      <c r="V42" s="28" t="str">
        <f>IF('12 - Device_Configuration'!BA42="","",'12 - Device_Configuration'!BA42)</f>
        <v/>
      </c>
      <c r="W42" s="28" t="str">
        <f>IF('12 - Device_Configuration'!BC42="","",'12 - Device_Configuration'!BC42)</f>
        <v>In Storage</v>
      </c>
      <c r="X42" s="28" t="str">
        <f>IF('12 - Device_Configuration'!BK42="","",'12 - Device_Configuration'!BK42)</f>
        <v>Power Cable, Battery, Firmware Download, Device ID, Epic Beans Relay</v>
      </c>
      <c r="Y42" s="28" t="str">
        <f>IF('12 - Device_Configuration'!BB42="","",'12 - Device_Configuration'!BB42)</f>
        <v/>
      </c>
      <c r="Z42" s="28" t="str">
        <f>IF('12 - Device_Configuration'!P42="","",'12 - Device_Configuration'!P42)</f>
        <v/>
      </c>
      <c r="AA42" s="28" t="str">
        <f>IF('12 - Device_Configuration'!Q42="","",'12 - Device_Configuration'!Q42)</f>
        <v/>
      </c>
    </row>
    <row r="43" spans="1:27" ht="45.75" customHeight="1">
      <c r="A43" s="29"/>
      <c r="B43" s="29"/>
      <c r="C43" s="28" t="str">
        <f>IF('12 - Device_Configuration'!H43="","",'12 - Device_Configuration'!H43)</f>
        <v>Glen Cove</v>
      </c>
      <c r="D43" s="28" t="str">
        <f>IF('12 - Device_Configuration'!AE43="","",'12 - Device_Configuration'!AE43)</f>
        <v/>
      </c>
      <c r="E43" s="28" t="str">
        <f>IF('12 - Device_Configuration'!AF43="","",'12 - Device_Configuration'!AF43)</f>
        <v/>
      </c>
      <c r="F43" s="28" t="str">
        <f>IF('12 - Device_Configuration'!AG43="","",'12 - Device_Configuration'!AG43)</f>
        <v/>
      </c>
      <c r="G43" s="28" t="str">
        <f>IF('12 - Device_Configuration'!AH43="","",'12 - Device_Configuration'!AH43)</f>
        <v/>
      </c>
      <c r="H43" s="28" t="str">
        <f>IF('12 - Device_Configuration'!A43="","",'12 - Device_Configuration'!A43)</f>
        <v>Neuron</v>
      </c>
      <c r="I43" s="28" t="str">
        <f>IF('12 - Device_Configuration'!AI43="","",'12 - Device_Configuration'!AI43)</f>
        <v/>
      </c>
      <c r="J43" s="28" t="str">
        <f>IF('12 - Device_Configuration'!AJ43="","",'12 - Device_Configuration'!AJ43)</f>
        <v/>
      </c>
      <c r="K43" s="28" t="str">
        <f>IF('12 - Device_Configuration'!AA43="","",'12 - Device_Configuration'!AA43)</f>
        <v/>
      </c>
      <c r="L43" s="28" t="str">
        <f>IF('12 - Device_Configuration'!I43="","",'12 - Device_Configuration'!I43)</f>
        <v/>
      </c>
      <c r="M43" s="29"/>
      <c r="N43" s="28" t="str">
        <f>IF('12 - Device_Configuration'!J43="","",'12 - Device_Configuration'!J43)</f>
        <v>NA</v>
      </c>
      <c r="O43" s="28" t="str">
        <f>IF('12 - Device_Configuration'!K43="","",'12 - Device_Configuration'!K43)</f>
        <v>NA</v>
      </c>
      <c r="P43" s="28" t="str">
        <f>IF('12 - Device_Configuration'!L43="","",'12 - Device_Configuration'!L43)</f>
        <v>NA</v>
      </c>
      <c r="Q43" s="29"/>
      <c r="R43" s="28" t="str">
        <f>IF('12 - Device_Configuration'!AY43="","",'12 - Device_Configuration'!AY43)</f>
        <v/>
      </c>
      <c r="S43" s="28" t="str">
        <f>IF('12 - Device_Configuration'!AX43="","",'12 - Device_Configuration'!AX43)</f>
        <v/>
      </c>
      <c r="T43" s="28" t="str">
        <f>IF('12 - Device_Configuration'!AV43="","",'12 - Device_Configuration'!AV43)</f>
        <v/>
      </c>
      <c r="U43" s="28" t="str">
        <f>IF('12 - Device_Configuration'!AW43="","",'12 - Device_Configuration'!AW43)</f>
        <v/>
      </c>
      <c r="V43" s="28" t="str">
        <f>IF('12 - Device_Configuration'!BA43="","",'12 - Device_Configuration'!BA43)</f>
        <v/>
      </c>
      <c r="W43" s="28" t="str">
        <f>IF('12 - Device_Configuration'!BC43="","",'12 - Device_Configuration'!BC43)</f>
        <v>In Storage</v>
      </c>
      <c r="X43" s="28" t="str">
        <f>IF('12 - Device_Configuration'!BK43="","",'12 - Device_Configuration'!BK43)</f>
        <v>Power Cable, Battery, Firmware Download, Device ID, Epic Beans Relay</v>
      </c>
      <c r="Y43" s="28" t="str">
        <f>IF('12 - Device_Configuration'!BB43="","",'12 - Device_Configuration'!BB43)</f>
        <v/>
      </c>
      <c r="Z43" s="28" t="str">
        <f>IF('12 - Device_Configuration'!P43="","",'12 - Device_Configuration'!P43)</f>
        <v/>
      </c>
      <c r="AA43" s="28" t="str">
        <f>IF('12 - Device_Configuration'!Q43="","",'12 - Device_Configuration'!Q43)</f>
        <v/>
      </c>
    </row>
    <row r="44" spans="1:27" ht="45.75" customHeight="1">
      <c r="A44" s="29"/>
      <c r="B44" s="29"/>
      <c r="C44" s="28" t="str">
        <f>IF('12 - Device_Configuration'!H44="","",'12 - Device_Configuration'!H44)</f>
        <v>Glen Cove</v>
      </c>
      <c r="D44" s="28" t="str">
        <f>IF('12 - Device_Configuration'!AE44="","",'12 - Device_Configuration'!AE44)</f>
        <v/>
      </c>
      <c r="E44" s="28" t="str">
        <f>IF('12 - Device_Configuration'!AF44="","",'12 - Device_Configuration'!AF44)</f>
        <v/>
      </c>
      <c r="F44" s="28" t="str">
        <f>IF('12 - Device_Configuration'!AG44="","",'12 - Device_Configuration'!AG44)</f>
        <v/>
      </c>
      <c r="G44" s="28" t="str">
        <f>IF('12 - Device_Configuration'!AH44="","",'12 - Device_Configuration'!AH44)</f>
        <v/>
      </c>
      <c r="H44" s="28" t="str">
        <f>IF('12 - Device_Configuration'!A44="","",'12 - Device_Configuration'!A44)</f>
        <v>Neuron</v>
      </c>
      <c r="I44" s="28" t="str">
        <f>IF('12 - Device_Configuration'!AI44="","",'12 - Device_Configuration'!AI44)</f>
        <v/>
      </c>
      <c r="J44" s="28" t="str">
        <f>IF('12 - Device_Configuration'!AJ44="","",'12 - Device_Configuration'!AJ44)</f>
        <v/>
      </c>
      <c r="K44" s="28" t="str">
        <f>IF('12 - Device_Configuration'!AA44="","",'12 - Device_Configuration'!AA44)</f>
        <v/>
      </c>
      <c r="L44" s="28" t="str">
        <f>IF('12 - Device_Configuration'!I44="","",'12 - Device_Configuration'!I44)</f>
        <v/>
      </c>
      <c r="M44" s="29"/>
      <c r="N44" s="28" t="str">
        <f>IF('12 - Device_Configuration'!J44="","",'12 - Device_Configuration'!J44)</f>
        <v>NA</v>
      </c>
      <c r="O44" s="28" t="str">
        <f>IF('12 - Device_Configuration'!K44="","",'12 - Device_Configuration'!K44)</f>
        <v>NA</v>
      </c>
      <c r="P44" s="28" t="str">
        <f>IF('12 - Device_Configuration'!L44="","",'12 - Device_Configuration'!L44)</f>
        <v>NA</v>
      </c>
      <c r="Q44" s="29"/>
      <c r="R44" s="28" t="str">
        <f>IF('12 - Device_Configuration'!AY44="","",'12 - Device_Configuration'!AY44)</f>
        <v/>
      </c>
      <c r="S44" s="28" t="str">
        <f>IF('12 - Device_Configuration'!AX44="","",'12 - Device_Configuration'!AX44)</f>
        <v/>
      </c>
      <c r="T44" s="28" t="str">
        <f>IF('12 - Device_Configuration'!AV44="","",'12 - Device_Configuration'!AV44)</f>
        <v/>
      </c>
      <c r="U44" s="28" t="str">
        <f>IF('12 - Device_Configuration'!AW44="","",'12 - Device_Configuration'!AW44)</f>
        <v/>
      </c>
      <c r="V44" s="28" t="str">
        <f>IF('12 - Device_Configuration'!BA44="","",'12 - Device_Configuration'!BA44)</f>
        <v/>
      </c>
      <c r="W44" s="28" t="str">
        <f>IF('12 - Device_Configuration'!BC44="","",'12 - Device_Configuration'!BC44)</f>
        <v>In Storage</v>
      </c>
      <c r="X44" s="28" t="str">
        <f>IF('12 - Device_Configuration'!BK44="","",'12 - Device_Configuration'!BK44)</f>
        <v>Power Cable, Battery, Firmware Download, Device ID, Epic Beans Relay</v>
      </c>
      <c r="Y44" s="28" t="str">
        <f>IF('12 - Device_Configuration'!BB44="","",'12 - Device_Configuration'!BB44)</f>
        <v/>
      </c>
      <c r="Z44" s="28" t="str">
        <f>IF('12 - Device_Configuration'!P44="","",'12 - Device_Configuration'!P44)</f>
        <v/>
      </c>
      <c r="AA44" s="28" t="str">
        <f>IF('12 - Device_Configuration'!Q44="","",'12 - Device_Configuration'!Q44)</f>
        <v/>
      </c>
    </row>
    <row r="45" spans="1:27" ht="45.75" customHeight="1">
      <c r="A45" s="29"/>
      <c r="B45" s="29"/>
      <c r="C45" s="28" t="str">
        <f>IF('12 - Device_Configuration'!H45="","",'12 - Device_Configuration'!H45)</f>
        <v>Glen Cove</v>
      </c>
      <c r="D45" s="28" t="str">
        <f>IF('12 - Device_Configuration'!AE45="","",'12 - Device_Configuration'!AE45)</f>
        <v/>
      </c>
      <c r="E45" s="28" t="str">
        <f>IF('12 - Device_Configuration'!AF45="","",'12 - Device_Configuration'!AF45)</f>
        <v/>
      </c>
      <c r="F45" s="28" t="str">
        <f>IF('12 - Device_Configuration'!AG45="","",'12 - Device_Configuration'!AG45)</f>
        <v/>
      </c>
      <c r="G45" s="28" t="str">
        <f>IF('12 - Device_Configuration'!AH45="","",'12 - Device_Configuration'!AH45)</f>
        <v/>
      </c>
      <c r="H45" s="28" t="str">
        <f>IF('12 - Device_Configuration'!A45="","",'12 - Device_Configuration'!A45)</f>
        <v>Neuron</v>
      </c>
      <c r="I45" s="28" t="str">
        <f>IF('12 - Device_Configuration'!AI45="","",'12 - Device_Configuration'!AI45)</f>
        <v/>
      </c>
      <c r="J45" s="28" t="str">
        <f>IF('12 - Device_Configuration'!AJ45="","",'12 - Device_Configuration'!AJ45)</f>
        <v/>
      </c>
      <c r="K45" s="28" t="str">
        <f>IF('12 - Device_Configuration'!AA45="","",'12 - Device_Configuration'!AA45)</f>
        <v/>
      </c>
      <c r="L45" s="28" t="str">
        <f>IF('12 - Device_Configuration'!I45="","",'12 - Device_Configuration'!I45)</f>
        <v/>
      </c>
      <c r="M45" s="29"/>
      <c r="N45" s="28" t="str">
        <f>IF('12 - Device_Configuration'!J45="","",'12 - Device_Configuration'!J45)</f>
        <v>NA</v>
      </c>
      <c r="O45" s="28" t="str">
        <f>IF('12 - Device_Configuration'!K45="","",'12 - Device_Configuration'!K45)</f>
        <v>NA</v>
      </c>
      <c r="P45" s="28" t="str">
        <f>IF('12 - Device_Configuration'!L45="","",'12 - Device_Configuration'!L45)</f>
        <v>NA</v>
      </c>
      <c r="Q45" s="29"/>
      <c r="R45" s="28" t="str">
        <f>IF('12 - Device_Configuration'!AY45="","",'12 - Device_Configuration'!AY45)</f>
        <v/>
      </c>
      <c r="S45" s="28" t="str">
        <f>IF('12 - Device_Configuration'!AX45="","",'12 - Device_Configuration'!AX45)</f>
        <v/>
      </c>
      <c r="T45" s="28" t="str">
        <f>IF('12 - Device_Configuration'!AV45="","",'12 - Device_Configuration'!AV45)</f>
        <v/>
      </c>
      <c r="U45" s="28" t="str">
        <f>IF('12 - Device_Configuration'!AW45="","",'12 - Device_Configuration'!AW45)</f>
        <v/>
      </c>
      <c r="V45" s="28" t="str">
        <f>IF('12 - Device_Configuration'!BA45="","",'12 - Device_Configuration'!BA45)</f>
        <v/>
      </c>
      <c r="W45" s="28" t="str">
        <f>IF('12 - Device_Configuration'!BC45="","",'12 - Device_Configuration'!BC45)</f>
        <v>In Storage</v>
      </c>
      <c r="X45" s="28" t="str">
        <f>IF('12 - Device_Configuration'!BK45="","",'12 - Device_Configuration'!BK45)</f>
        <v>Power Cable, Battery, Firmware Download, Device ID, Epic Beans Relay</v>
      </c>
      <c r="Y45" s="28" t="str">
        <f>IF('12 - Device_Configuration'!BB45="","",'12 - Device_Configuration'!BB45)</f>
        <v/>
      </c>
      <c r="Z45" s="28" t="str">
        <f>IF('12 - Device_Configuration'!P45="","",'12 - Device_Configuration'!P45)</f>
        <v/>
      </c>
      <c r="AA45" s="28" t="str">
        <f>IF('12 - Device_Configuration'!Q45="","",'12 - Device_Configuration'!Q45)</f>
        <v/>
      </c>
    </row>
    <row r="46" spans="1:27" ht="41.25" customHeight="1">
      <c r="A46" s="29"/>
      <c r="B46" s="29"/>
      <c r="C46" s="28" t="str">
        <f>IF('12 - Device_Configuration'!H46="","",'12 - Device_Configuration'!H46)</f>
        <v>Glen Cove</v>
      </c>
      <c r="D46" s="28" t="str">
        <f>IF('12 - Device_Configuration'!AE46="","",'12 - Device_Configuration'!AE46)</f>
        <v/>
      </c>
      <c r="E46" s="28" t="str">
        <f>IF('12 - Device_Configuration'!AF46="","",'12 - Device_Configuration'!AF46)</f>
        <v/>
      </c>
      <c r="F46" s="28" t="str">
        <f>IF('12 - Device_Configuration'!AG46="","",'12 - Device_Configuration'!AG46)</f>
        <v/>
      </c>
      <c r="G46" s="28" t="str">
        <f>IF('12 - Device_Configuration'!AH46="","",'12 - Device_Configuration'!AH46)</f>
        <v/>
      </c>
      <c r="H46" s="28" t="str">
        <f>IF('12 - Device_Configuration'!A46="","",'12 - Device_Configuration'!A46)</f>
        <v>Neuron</v>
      </c>
      <c r="I46" s="28" t="str">
        <f>IF('12 - Device_Configuration'!AI46="","",'12 - Device_Configuration'!AI46)</f>
        <v/>
      </c>
      <c r="J46" s="28" t="str">
        <f>IF('12 - Device_Configuration'!AJ46="","",'12 - Device_Configuration'!AJ46)</f>
        <v/>
      </c>
      <c r="K46" s="28" t="str">
        <f>IF('12 - Device_Configuration'!AA46="","",'12 - Device_Configuration'!AA46)</f>
        <v/>
      </c>
      <c r="L46" s="28" t="str">
        <f>IF('12 - Device_Configuration'!I46="","",'12 - Device_Configuration'!I46)</f>
        <v/>
      </c>
      <c r="M46" s="29"/>
      <c r="N46" s="28" t="str">
        <f>IF('12 - Device_Configuration'!J46="","",'12 - Device_Configuration'!J46)</f>
        <v/>
      </c>
      <c r="O46" s="28" t="str">
        <f>IF('12 - Device_Configuration'!K46="","",'12 - Device_Configuration'!K46)</f>
        <v/>
      </c>
      <c r="P46" s="28" t="str">
        <f>IF('12 - Device_Configuration'!L46="","",'12 - Device_Configuration'!L46)</f>
        <v/>
      </c>
      <c r="Q46" s="29"/>
      <c r="R46" s="28" t="str">
        <f>IF('12 - Device_Configuration'!AY46="","",'12 - Device_Configuration'!AY46)</f>
        <v/>
      </c>
      <c r="S46" s="28" t="str">
        <f>IF('12 - Device_Configuration'!AX46="","",'12 - Device_Configuration'!AX46)</f>
        <v/>
      </c>
      <c r="T46" s="28" t="str">
        <f>IF('12 - Device_Configuration'!AV46="","",'12 - Device_Configuration'!AV46)</f>
        <v/>
      </c>
      <c r="U46" s="28" t="str">
        <f>IF('12 - Device_Configuration'!AW46="","",'12 - Device_Configuration'!AW46)</f>
        <v/>
      </c>
      <c r="V46" s="28" t="str">
        <f>IF('12 - Device_Configuration'!BA46="","",'12 - Device_Configuration'!BA46)</f>
        <v/>
      </c>
      <c r="W46" s="28" t="str">
        <f>IF('12 - Device_Configuration'!BC46="","",'12 - Device_Configuration'!BC46)</f>
        <v/>
      </c>
      <c r="X46" s="28" t="str">
        <f>IF('12 - Device_Configuration'!BK46="","",'12 - Device_Configuration'!BK46)</f>
        <v>Power Cable, Battery, Firmware Download, Device ID, Epic Beans Relay</v>
      </c>
      <c r="Y46" s="28" t="str">
        <f>IF('12 - Device_Configuration'!BB46="","",'12 - Device_Configuration'!BB46)</f>
        <v/>
      </c>
      <c r="Z46" s="28" t="str">
        <f>IF('12 - Device_Configuration'!P46="","",'12 - Device_Configuration'!P46)</f>
        <v/>
      </c>
      <c r="AA46" s="28" t="str">
        <f>IF('12 - Device_Configuration'!Q46="","",'12 - Device_Configuration'!Q46)</f>
        <v/>
      </c>
    </row>
    <row r="47" spans="1:27" ht="45.75" customHeight="1">
      <c r="A47" s="29"/>
      <c r="B47" s="29"/>
      <c r="C47" s="28" t="str">
        <f>IF('12 - Device_Configuration'!H47="","",'12 - Device_Configuration'!H47)</f>
        <v>Glen Cove</v>
      </c>
      <c r="D47" s="28" t="str">
        <f>IF('12 - Device_Configuration'!AE47="","",'12 - Device_Configuration'!AE47)</f>
        <v/>
      </c>
      <c r="E47" s="28" t="str">
        <f>IF('12 - Device_Configuration'!AF47="","",'12 - Device_Configuration'!AF47)</f>
        <v/>
      </c>
      <c r="F47" s="28" t="str">
        <f>IF('12 - Device_Configuration'!AG47="","",'12 - Device_Configuration'!AG47)</f>
        <v/>
      </c>
      <c r="G47" s="28" t="str">
        <f>IF('12 - Device_Configuration'!AH47="","",'12 - Device_Configuration'!AH47)</f>
        <v/>
      </c>
      <c r="H47" s="28" t="str">
        <f>IF('12 - Device_Configuration'!A47="","",'12 - Device_Configuration'!A47)</f>
        <v>Neuron</v>
      </c>
      <c r="I47" s="28" t="str">
        <f>IF('12 - Device_Configuration'!AI47="","",'12 - Device_Configuration'!AI47)</f>
        <v/>
      </c>
      <c r="J47" s="28" t="str">
        <f>IF('12 - Device_Configuration'!AJ47="","",'12 - Device_Configuration'!AJ47)</f>
        <v/>
      </c>
      <c r="K47" s="28" t="str">
        <f>IF('12 - Device_Configuration'!AA47="","",'12 - Device_Configuration'!AA47)</f>
        <v/>
      </c>
      <c r="L47" s="28" t="str">
        <f>IF('12 - Device_Configuration'!I47="","",'12 - Device_Configuration'!I47)</f>
        <v/>
      </c>
      <c r="M47" s="29"/>
      <c r="N47" s="28" t="str">
        <f>IF('12 - Device_Configuration'!J47="","",'12 - Device_Configuration'!J47)</f>
        <v>NA</v>
      </c>
      <c r="O47" s="28" t="str">
        <f>IF('12 - Device_Configuration'!K47="","",'12 - Device_Configuration'!K47)</f>
        <v>NA</v>
      </c>
      <c r="P47" s="28" t="str">
        <f>IF('12 - Device_Configuration'!L47="","",'12 - Device_Configuration'!L47)</f>
        <v>NA</v>
      </c>
      <c r="Q47" s="29"/>
      <c r="R47" s="28" t="str">
        <f>IF('12 - Device_Configuration'!AY47="","",'12 - Device_Configuration'!AY47)</f>
        <v/>
      </c>
      <c r="S47" s="28" t="str">
        <f>IF('12 - Device_Configuration'!AX47="","",'12 - Device_Configuration'!AX47)</f>
        <v/>
      </c>
      <c r="T47" s="28" t="str">
        <f>IF('12 - Device_Configuration'!AV47="","",'12 - Device_Configuration'!AV47)</f>
        <v/>
      </c>
      <c r="U47" s="28" t="str">
        <f>IF('12 - Device_Configuration'!AW47="","",'12 - Device_Configuration'!AW47)</f>
        <v/>
      </c>
      <c r="V47" s="28" t="str">
        <f>IF('12 - Device_Configuration'!BA47="","",'12 - Device_Configuration'!BA47)</f>
        <v/>
      </c>
      <c r="W47" s="28" t="str">
        <f>IF('12 - Device_Configuration'!BC47="","",'12 - Device_Configuration'!BC47)</f>
        <v>In Storage</v>
      </c>
      <c r="X47" s="28" t="str">
        <f>IF('12 - Device_Configuration'!BK47="","",'12 - Device_Configuration'!BK47)</f>
        <v>Power Cable, Battery, Firmware Download, Device ID, Epic Beans Relay</v>
      </c>
      <c r="Y47" s="28" t="str">
        <f>IF('12 - Device_Configuration'!BB47="","",'12 - Device_Configuration'!BB47)</f>
        <v/>
      </c>
      <c r="Z47" s="28" t="str">
        <f>IF('12 - Device_Configuration'!P47="","",'12 - Device_Configuration'!P47)</f>
        <v/>
      </c>
      <c r="AA47" s="28" t="str">
        <f>IF('12 - Device_Configuration'!Q47="","",'12 - Device_Configuration'!Q47)</f>
        <v/>
      </c>
    </row>
    <row r="48" spans="1:27" ht="45.75" customHeight="1">
      <c r="A48" s="29"/>
      <c r="B48" s="29"/>
      <c r="C48" s="28" t="str">
        <f>IF('12 - Device_Configuration'!H48="","",'12 - Device_Configuration'!H48)</f>
        <v>Glen Cove</v>
      </c>
      <c r="D48" s="28" t="str">
        <f>IF('12 - Device_Configuration'!AE48="","",'12 - Device_Configuration'!AE48)</f>
        <v/>
      </c>
      <c r="E48" s="28" t="str">
        <f>IF('12 - Device_Configuration'!AF48="","",'12 - Device_Configuration'!AF48)</f>
        <v/>
      </c>
      <c r="F48" s="28" t="str">
        <f>IF('12 - Device_Configuration'!AG48="","",'12 - Device_Configuration'!AG48)</f>
        <v/>
      </c>
      <c r="G48" s="28" t="str">
        <f>IF('12 - Device_Configuration'!AH48="","",'12 - Device_Configuration'!AH48)</f>
        <v/>
      </c>
      <c r="H48" s="28" t="str">
        <f>IF('12 - Device_Configuration'!A48="","",'12 - Device_Configuration'!A48)</f>
        <v>Neuron</v>
      </c>
      <c r="I48" s="28" t="str">
        <f>IF('12 - Device_Configuration'!AI48="","",'12 - Device_Configuration'!AI48)</f>
        <v/>
      </c>
      <c r="J48" s="28" t="str">
        <f>IF('12 - Device_Configuration'!AJ48="","",'12 - Device_Configuration'!AJ48)</f>
        <v/>
      </c>
      <c r="K48" s="28" t="str">
        <f>IF('12 - Device_Configuration'!AA48="","",'12 - Device_Configuration'!AA48)</f>
        <v/>
      </c>
      <c r="L48" s="28" t="str">
        <f>IF('12 - Device_Configuration'!I48="","",'12 - Device_Configuration'!I48)</f>
        <v/>
      </c>
      <c r="M48" s="29"/>
      <c r="N48" s="28" t="str">
        <f>IF('12 - Device_Configuration'!J48="","",'12 - Device_Configuration'!J48)</f>
        <v>NA</v>
      </c>
      <c r="O48" s="28" t="str">
        <f>IF('12 - Device_Configuration'!K48="","",'12 - Device_Configuration'!K48)</f>
        <v>NA</v>
      </c>
      <c r="P48" s="28" t="str">
        <f>IF('12 - Device_Configuration'!L48="","",'12 - Device_Configuration'!L48)</f>
        <v>NA</v>
      </c>
      <c r="Q48" s="29"/>
      <c r="R48" s="28" t="str">
        <f>IF('12 - Device_Configuration'!AY48="","",'12 - Device_Configuration'!AY48)</f>
        <v/>
      </c>
      <c r="S48" s="28" t="str">
        <f>IF('12 - Device_Configuration'!AX48="","",'12 - Device_Configuration'!AX48)</f>
        <v/>
      </c>
      <c r="T48" s="28" t="str">
        <f>IF('12 - Device_Configuration'!AV48="","",'12 - Device_Configuration'!AV48)</f>
        <v/>
      </c>
      <c r="U48" s="28" t="str">
        <f>IF('12 - Device_Configuration'!AW48="","",'12 - Device_Configuration'!AW48)</f>
        <v/>
      </c>
      <c r="V48" s="28" t="str">
        <f>IF('12 - Device_Configuration'!BA48="","",'12 - Device_Configuration'!BA48)</f>
        <v/>
      </c>
      <c r="W48" s="28" t="str">
        <f>IF('12 - Device_Configuration'!BC48="","",'12 - Device_Configuration'!BC48)</f>
        <v>In Storage</v>
      </c>
      <c r="X48" s="28" t="str">
        <f>IF('12 - Device_Configuration'!BK48="","",'12 - Device_Configuration'!BK48)</f>
        <v>Power Cable, Battery, Firmware Download, Device ID, Epic Beans Relay</v>
      </c>
      <c r="Y48" s="28" t="str">
        <f>IF('12 - Device_Configuration'!BB48="","",'12 - Device_Configuration'!BB48)</f>
        <v/>
      </c>
      <c r="Z48" s="28" t="str">
        <f>IF('12 - Device_Configuration'!P48="","",'12 - Device_Configuration'!P48)</f>
        <v/>
      </c>
      <c r="AA48" s="28" t="str">
        <f>IF('12 - Device_Configuration'!Q48="","",'12 - Device_Configuration'!Q48)</f>
        <v/>
      </c>
    </row>
    <row r="49" spans="1:27" ht="45.75" customHeight="1">
      <c r="A49" s="29"/>
      <c r="B49" s="29"/>
      <c r="C49" s="28" t="str">
        <f>IF('12 - Device_Configuration'!H49="","",'12 - Device_Configuration'!H49)</f>
        <v>Glen Cove</v>
      </c>
      <c r="D49" s="28" t="str">
        <f>IF('12 - Device_Configuration'!AE49="","",'12 - Device_Configuration'!AE49)</f>
        <v/>
      </c>
      <c r="E49" s="28" t="str">
        <f>IF('12 - Device_Configuration'!AF49="","",'12 - Device_Configuration'!AF49)</f>
        <v/>
      </c>
      <c r="F49" s="28" t="str">
        <f>IF('12 - Device_Configuration'!AG49="","",'12 - Device_Configuration'!AG49)</f>
        <v/>
      </c>
      <c r="G49" s="28" t="str">
        <f>IF('12 - Device_Configuration'!AH49="","",'12 - Device_Configuration'!AH49)</f>
        <v/>
      </c>
      <c r="H49" s="28" t="str">
        <f>IF('12 - Device_Configuration'!A49="","",'12 - Device_Configuration'!A49)</f>
        <v>Neuron</v>
      </c>
      <c r="I49" s="28" t="str">
        <f>IF('12 - Device_Configuration'!AI49="","",'12 - Device_Configuration'!AI49)</f>
        <v/>
      </c>
      <c r="J49" s="28" t="str">
        <f>IF('12 - Device_Configuration'!AJ49="","",'12 - Device_Configuration'!AJ49)</f>
        <v/>
      </c>
      <c r="K49" s="28" t="str">
        <f>IF('12 - Device_Configuration'!AA49="","",'12 - Device_Configuration'!AA49)</f>
        <v/>
      </c>
      <c r="L49" s="28" t="str">
        <f>IF('12 - Device_Configuration'!I49="","",'12 - Device_Configuration'!I49)</f>
        <v/>
      </c>
      <c r="M49" s="29"/>
      <c r="N49" s="28" t="str">
        <f>IF('12 - Device_Configuration'!J49="","",'12 - Device_Configuration'!J49)</f>
        <v>NA</v>
      </c>
      <c r="O49" s="28" t="str">
        <f>IF('12 - Device_Configuration'!K49="","",'12 - Device_Configuration'!K49)</f>
        <v>NA</v>
      </c>
      <c r="P49" s="28" t="str">
        <f>IF('12 - Device_Configuration'!L49="","",'12 - Device_Configuration'!L49)</f>
        <v>NA</v>
      </c>
      <c r="Q49" s="29"/>
      <c r="R49" s="28" t="str">
        <f>IF('12 - Device_Configuration'!AY49="","",'12 - Device_Configuration'!AY49)</f>
        <v/>
      </c>
      <c r="S49" s="28" t="str">
        <f>IF('12 - Device_Configuration'!AX49="","",'12 - Device_Configuration'!AX49)</f>
        <v/>
      </c>
      <c r="T49" s="28" t="str">
        <f>IF('12 - Device_Configuration'!AV49="","",'12 - Device_Configuration'!AV49)</f>
        <v/>
      </c>
      <c r="U49" s="28" t="str">
        <f>IF('12 - Device_Configuration'!AW49="","",'12 - Device_Configuration'!AW49)</f>
        <v/>
      </c>
      <c r="V49" s="28" t="str">
        <f>IF('12 - Device_Configuration'!BA49="","",'12 - Device_Configuration'!BA49)</f>
        <v/>
      </c>
      <c r="W49" s="28" t="str">
        <f>IF('12 - Device_Configuration'!BC49="","",'12 - Device_Configuration'!BC49)</f>
        <v>In Storage</v>
      </c>
      <c r="X49" s="28" t="str">
        <f>IF('12 - Device_Configuration'!BK49="","",'12 - Device_Configuration'!BK49)</f>
        <v>Power Cable, Battery, Firmware Download, Device ID, Epic Beans Relay</v>
      </c>
      <c r="Y49" s="28" t="str">
        <f>IF('12 - Device_Configuration'!BB49="","",'12 - Device_Configuration'!BB49)</f>
        <v/>
      </c>
      <c r="Z49" s="28" t="str">
        <f>IF('12 - Device_Configuration'!P49="","",'12 - Device_Configuration'!P49)</f>
        <v/>
      </c>
      <c r="AA49" s="28" t="str">
        <f>IF('12 - Device_Configuration'!Q49="","",'12 - Device_Configuration'!Q49)</f>
        <v/>
      </c>
    </row>
    <row r="50" spans="1:27" ht="30.75" customHeight="1">
      <c r="A50" s="29"/>
      <c r="B50" s="29"/>
      <c r="C50" s="28" t="str">
        <f>IF('12 - Device_Configuration'!H50="","",'12 - Device_Configuration'!H50)</f>
        <v>LIJ-IR</v>
      </c>
      <c r="D50" s="28" t="str">
        <f>IF('12 - Device_Configuration'!AE50="","",'12 - Device_Configuration'!AE50)</f>
        <v/>
      </c>
      <c r="E50" s="28" t="str">
        <f>IF('12 - Device_Configuration'!AF50="","",'12 - Device_Configuration'!AF50)</f>
        <v/>
      </c>
      <c r="F50" s="28" t="str">
        <f>IF('12 - Device_Configuration'!AG50="","",'12 - Device_Configuration'!AG50)</f>
        <v/>
      </c>
      <c r="G50" s="28" t="str">
        <f>IF('12 - Device_Configuration'!AH50="","",'12 - Device_Configuration'!AH50)</f>
        <v/>
      </c>
      <c r="H50" s="28" t="str">
        <f>IF('12 - Device_Configuration'!A50="","",'12 - Device_Configuration'!A50)</f>
        <v>Cybernet</v>
      </c>
      <c r="I50" s="28" t="str">
        <f>IF('12 - Device_Configuration'!AI50="","",'12 - Device_Configuration'!AI50)</f>
        <v>Cybernet Manufacturing Inc</v>
      </c>
      <c r="J50" s="28" t="str">
        <f>IF('12 - Device_Configuration'!AJ50="","",'12 - Device_Configuration'!AJ50)</f>
        <v>CyberMed-S24 TGL</v>
      </c>
      <c r="K50" s="28" t="str">
        <f>IF('12 - Device_Configuration'!AA50="","",'12 - Device_Configuration'!AA50)</f>
        <v/>
      </c>
      <c r="L50" s="28" t="str">
        <f>IF('12 - Device_Configuration'!I50="","",'12 - Device_Configuration'!I50)</f>
        <v/>
      </c>
      <c r="M50" s="29"/>
      <c r="N50" s="28" t="str">
        <f>IF('12 - Device_Configuration'!J50="","",'12 - Device_Configuration'!J50)</f>
        <v>Yes</v>
      </c>
      <c r="O50" s="28" t="str">
        <f>IF('12 - Device_Configuration'!K50="","",'12 - Device_Configuration'!K50)</f>
        <v>No</v>
      </c>
      <c r="P50" s="28" t="str">
        <f>IF('12 - Device_Configuration'!L50="","",'12 - Device_Configuration'!L50)</f>
        <v>No</v>
      </c>
      <c r="Q50" s="29"/>
      <c r="R50" s="28" t="str">
        <f>IF('12 - Device_Configuration'!AY50="","",'12 - Device_Configuration'!AY50)</f>
        <v/>
      </c>
      <c r="S50" s="28" t="str">
        <f>IF('12 - Device_Configuration'!AX50="","",'12 - Device_Configuration'!AX50)</f>
        <v/>
      </c>
      <c r="T50" s="28" t="str">
        <f>IF('12 - Device_Configuration'!AV50="","",'12 - Device_Configuration'!AV50)</f>
        <v/>
      </c>
      <c r="U50" s="28" t="str">
        <f>IF('12 - Device_Configuration'!AW50="","",'12 - Device_Configuration'!AW50)</f>
        <v/>
      </c>
      <c r="V50" s="28" t="str">
        <f>IF('12 - Device_Configuration'!BA50="","",'12 - Device_Configuration'!BA50)</f>
        <v/>
      </c>
      <c r="W50" s="28" t="str">
        <f>IF('12 - Device_Configuration'!BC50="","",'12 - Device_Configuration'!BC50)</f>
        <v>In Storage</v>
      </c>
      <c r="X50" s="28" t="str">
        <f>IF('12 - Device_Configuration'!BK50="","",'12 - Device_Configuration'!BK50)</f>
        <v/>
      </c>
      <c r="Y50" s="28" t="str">
        <f>IF('12 - Device_Configuration'!BB50="","",'12 - Device_Configuration'!BB50)</f>
        <v>Ran POSTINSTALL, boxed</v>
      </c>
      <c r="Z50" s="28" t="str">
        <f>IF('12 - Device_Configuration'!P50="","",'12 - Device_Configuration'!P50)</f>
        <v/>
      </c>
      <c r="AA50" s="28" t="str">
        <f>IF('12 - Device_Configuration'!Q50="","",'12 - Device_Configuration'!Q50)</f>
        <v/>
      </c>
    </row>
    <row r="51" spans="1:27" ht="30.75" customHeight="1">
      <c r="A51" s="29"/>
      <c r="B51" s="29"/>
      <c r="C51" s="28" t="str">
        <f>IF('12 - Device_Configuration'!H51="","",'12 - Device_Configuration'!H51)</f>
        <v>LIJ-IR</v>
      </c>
      <c r="D51" s="28" t="str">
        <f>IF('12 - Device_Configuration'!AE51="","",'12 - Device_Configuration'!AE51)</f>
        <v/>
      </c>
      <c r="E51" s="28" t="str">
        <f>IF('12 - Device_Configuration'!AF51="","",'12 - Device_Configuration'!AF51)</f>
        <v/>
      </c>
      <c r="F51" s="28" t="str">
        <f>IF('12 - Device_Configuration'!AG51="","",'12 - Device_Configuration'!AG51)</f>
        <v/>
      </c>
      <c r="G51" s="28" t="str">
        <f>IF('12 - Device_Configuration'!AH51="","",'12 - Device_Configuration'!AH51)</f>
        <v/>
      </c>
      <c r="H51" s="28" t="str">
        <f>IF('12 - Device_Configuration'!A51="","",'12 - Device_Configuration'!A51)</f>
        <v>Cybernet</v>
      </c>
      <c r="I51" s="28" t="str">
        <f>IF('12 - Device_Configuration'!AI51="","",'12 - Device_Configuration'!AI51)</f>
        <v>Cybernet Manufacturing Inc</v>
      </c>
      <c r="J51" s="28" t="str">
        <f>IF('12 - Device_Configuration'!AJ51="","",'12 - Device_Configuration'!AJ51)</f>
        <v>CyberMed-S24 TGL</v>
      </c>
      <c r="K51" s="28" t="str">
        <f>IF('12 - Device_Configuration'!AA51="","",'12 - Device_Configuration'!AA51)</f>
        <v/>
      </c>
      <c r="L51" s="28" t="str">
        <f>IF('12 - Device_Configuration'!I51="","",'12 - Device_Configuration'!I51)</f>
        <v/>
      </c>
      <c r="M51" s="29"/>
      <c r="N51" s="28" t="str">
        <f>IF('12 - Device_Configuration'!J51="","",'12 - Device_Configuration'!J51)</f>
        <v>Yes</v>
      </c>
      <c r="O51" s="28" t="str">
        <f>IF('12 - Device_Configuration'!K51="","",'12 - Device_Configuration'!K51)</f>
        <v>No</v>
      </c>
      <c r="P51" s="28" t="str">
        <f>IF('12 - Device_Configuration'!L51="","",'12 - Device_Configuration'!L51)</f>
        <v>No</v>
      </c>
      <c r="Q51" s="29"/>
      <c r="R51" s="28" t="str">
        <f>IF('12 - Device_Configuration'!AY51="","",'12 - Device_Configuration'!AY51)</f>
        <v/>
      </c>
      <c r="S51" s="28" t="str">
        <f>IF('12 - Device_Configuration'!AX51="","",'12 - Device_Configuration'!AX51)</f>
        <v/>
      </c>
      <c r="T51" s="28" t="str">
        <f>IF('12 - Device_Configuration'!AV51="","",'12 - Device_Configuration'!AV51)</f>
        <v/>
      </c>
      <c r="U51" s="28" t="str">
        <f>IF('12 - Device_Configuration'!AW51="","",'12 - Device_Configuration'!AW51)</f>
        <v/>
      </c>
      <c r="V51" s="28" t="str">
        <f>IF('12 - Device_Configuration'!BA51="","",'12 - Device_Configuration'!BA51)</f>
        <v/>
      </c>
      <c r="W51" s="28" t="str">
        <f>IF('12 - Device_Configuration'!BC51="","",'12 - Device_Configuration'!BC51)</f>
        <v>In Storage</v>
      </c>
      <c r="X51" s="28" t="str">
        <f>IF('12 - Device_Configuration'!BK51="","",'12 - Device_Configuration'!BK51)</f>
        <v/>
      </c>
      <c r="Y51" s="28" t="str">
        <f>IF('12 - Device_Configuration'!BB51="","",'12 - Device_Configuration'!BB51)</f>
        <v>Ran POSTINSTALL, boxed</v>
      </c>
      <c r="Z51" s="28" t="str">
        <f>IF('12 - Device_Configuration'!P51="","",'12 - Device_Configuration'!P51)</f>
        <v/>
      </c>
      <c r="AA51" s="28" t="str">
        <f>IF('12 - Device_Configuration'!Q51="","",'12 - Device_Configuration'!Q51)</f>
        <v/>
      </c>
    </row>
    <row r="52" spans="1:27">
      <c r="A52" s="29"/>
      <c r="B52" s="29"/>
      <c r="C52" s="28" t="str">
        <f>IF('12 - Device_Configuration'!H52="","",'12 - Device_Configuration'!H52)</f>
        <v>MEETH</v>
      </c>
      <c r="D52" s="28" t="str">
        <f>IF('12 - Device_Configuration'!AE52="","",'12 - Device_Configuration'!AE52)</f>
        <v/>
      </c>
      <c r="E52" s="28" t="str">
        <f>IF('12 - Device_Configuration'!AF52="","",'12 - Device_Configuration'!AF52)</f>
        <v/>
      </c>
      <c r="F52" s="28" t="str">
        <f>IF('12 - Device_Configuration'!AG52="","",'12 - Device_Configuration'!AG52)</f>
        <v/>
      </c>
      <c r="G52" s="28" t="str">
        <f>IF('12 - Device_Configuration'!AH52="","",'12 - Device_Configuration'!AH52)</f>
        <v/>
      </c>
      <c r="H52" s="28" t="str">
        <f>IF('12 - Device_Configuration'!A52="","",'12 - Device_Configuration'!A52)</f>
        <v>Cybernet</v>
      </c>
      <c r="I52" s="28" t="str">
        <f>IF('12 - Device_Configuration'!AI52="","",'12 - Device_Configuration'!AI52)</f>
        <v/>
      </c>
      <c r="J52" s="28" t="str">
        <f>IF('12 - Device_Configuration'!AJ52="","",'12 - Device_Configuration'!AJ52)</f>
        <v/>
      </c>
      <c r="K52" s="28" t="str">
        <f>IF('12 - Device_Configuration'!AA52="","",'12 - Device_Configuration'!AA52)</f>
        <v/>
      </c>
      <c r="L52" s="28" t="str">
        <f>IF('12 - Device_Configuration'!I52="","",'12 - Device_Configuration'!I52)</f>
        <v/>
      </c>
      <c r="M52" s="29"/>
      <c r="N52" s="28" t="str">
        <f>IF('12 - Device_Configuration'!J52="","",'12 - Device_Configuration'!J52)</f>
        <v>Yes</v>
      </c>
      <c r="O52" s="28" t="str">
        <f>IF('12 - Device_Configuration'!K52="","",'12 - Device_Configuration'!K52)</f>
        <v>No</v>
      </c>
      <c r="P52" s="28" t="str">
        <f>IF('12 - Device_Configuration'!L52="","",'12 - Device_Configuration'!L52)</f>
        <v>No</v>
      </c>
      <c r="Q52" s="29"/>
      <c r="R52" s="28" t="str">
        <f>IF('12 - Device_Configuration'!AY52="","",'12 - Device_Configuration'!AY52)</f>
        <v/>
      </c>
      <c r="S52" s="28" t="str">
        <f>IF('12 - Device_Configuration'!AX52="","",'12 - Device_Configuration'!AX52)</f>
        <v/>
      </c>
      <c r="T52" s="28" t="str">
        <f>IF('12 - Device_Configuration'!AV52="","",'12 - Device_Configuration'!AV52)</f>
        <v/>
      </c>
      <c r="U52" s="28" t="str">
        <f>IF('12 - Device_Configuration'!AW52="","",'12 - Device_Configuration'!AW52)</f>
        <v/>
      </c>
      <c r="V52" s="28" t="str">
        <f>IF('12 - Device_Configuration'!BA52="","",'12 - Device_Configuration'!BA52)</f>
        <v/>
      </c>
      <c r="W52" s="28" t="str">
        <f>IF('12 - Device_Configuration'!BC52="","",'12 - Device_Configuration'!BC52)</f>
        <v/>
      </c>
      <c r="X52" s="28" t="str">
        <f>IF('12 - Device_Configuration'!BK52="","",'12 - Device_Configuration'!BK52)</f>
        <v/>
      </c>
      <c r="Y52" s="28" t="str">
        <f>IF('12 - Device_Configuration'!BB52="","",'12 - Device_Configuration'!BB52)</f>
        <v xml:space="preserve">Ran POSTINSTALL </v>
      </c>
      <c r="Z52" s="28" t="str">
        <f>IF('12 - Device_Configuration'!P52="","",'12 - Device_Configuration'!P52)</f>
        <v/>
      </c>
      <c r="AA52" s="28" t="str">
        <f>IF('12 - Device_Configuration'!Q52="","",'12 - Device_Configuration'!Q52)</f>
        <v/>
      </c>
    </row>
    <row r="53" spans="1:27">
      <c r="A53" s="29"/>
      <c r="B53" s="29"/>
      <c r="C53" s="28" t="str">
        <f>IF('12 - Device_Configuration'!H53="","",'12 - Device_Configuration'!H53)</f>
        <v>MEETH</v>
      </c>
      <c r="D53" s="28" t="str">
        <f>IF('12 - Device_Configuration'!AE53="","",'12 - Device_Configuration'!AE53)</f>
        <v/>
      </c>
      <c r="E53" s="28" t="str">
        <f>IF('12 - Device_Configuration'!AF53="","",'12 - Device_Configuration'!AF53)</f>
        <v/>
      </c>
      <c r="F53" s="28" t="str">
        <f>IF('12 - Device_Configuration'!AG53="","",'12 - Device_Configuration'!AG53)</f>
        <v/>
      </c>
      <c r="G53" s="28" t="str">
        <f>IF('12 - Device_Configuration'!AH53="","",'12 - Device_Configuration'!AH53)</f>
        <v/>
      </c>
      <c r="H53" s="28" t="str">
        <f>IF('12 - Device_Configuration'!A53="","",'12 - Device_Configuration'!A53)</f>
        <v>Cybernet</v>
      </c>
      <c r="I53" s="28" t="str">
        <f>IF('12 - Device_Configuration'!AI53="","",'12 - Device_Configuration'!AI53)</f>
        <v/>
      </c>
      <c r="J53" s="28" t="str">
        <f>IF('12 - Device_Configuration'!AJ53="","",'12 - Device_Configuration'!AJ53)</f>
        <v/>
      </c>
      <c r="K53" s="28" t="str">
        <f>IF('12 - Device_Configuration'!AA53="","",'12 - Device_Configuration'!AA53)</f>
        <v/>
      </c>
      <c r="L53" s="28" t="str">
        <f>IF('12 - Device_Configuration'!I53="","",'12 - Device_Configuration'!I53)</f>
        <v/>
      </c>
      <c r="M53" s="29"/>
      <c r="N53" s="28" t="str">
        <f>IF('12 - Device_Configuration'!J53="","",'12 - Device_Configuration'!J53)</f>
        <v>Yes</v>
      </c>
      <c r="O53" s="28" t="str">
        <f>IF('12 - Device_Configuration'!K53="","",'12 - Device_Configuration'!K53)</f>
        <v>No</v>
      </c>
      <c r="P53" s="28" t="str">
        <f>IF('12 - Device_Configuration'!L53="","",'12 - Device_Configuration'!L53)</f>
        <v>No</v>
      </c>
      <c r="Q53" s="29"/>
      <c r="R53" s="28" t="str">
        <f>IF('12 - Device_Configuration'!AY53="","",'12 - Device_Configuration'!AY53)</f>
        <v/>
      </c>
      <c r="S53" s="28" t="str">
        <f>IF('12 - Device_Configuration'!AX53="","",'12 - Device_Configuration'!AX53)</f>
        <v/>
      </c>
      <c r="T53" s="28" t="str">
        <f>IF('12 - Device_Configuration'!AV53="","",'12 - Device_Configuration'!AV53)</f>
        <v/>
      </c>
      <c r="U53" s="28" t="str">
        <f>IF('12 - Device_Configuration'!AW53="","",'12 - Device_Configuration'!AW53)</f>
        <v/>
      </c>
      <c r="V53" s="28" t="str">
        <f>IF('12 - Device_Configuration'!BA53="","",'12 - Device_Configuration'!BA53)</f>
        <v/>
      </c>
      <c r="W53" s="28" t="str">
        <f>IF('12 - Device_Configuration'!BC53="","",'12 - Device_Configuration'!BC53)</f>
        <v/>
      </c>
      <c r="X53" s="28" t="str">
        <f>IF('12 - Device_Configuration'!BK53="","",'12 - Device_Configuration'!BK53)</f>
        <v/>
      </c>
      <c r="Y53" s="28" t="str">
        <f>IF('12 - Device_Configuration'!BB53="","",'12 - Device_Configuration'!BB53)</f>
        <v>Ran POSTINSTALL</v>
      </c>
      <c r="Z53" s="28" t="str">
        <f>IF('12 - Device_Configuration'!P53="","",'12 - Device_Configuration'!P53)</f>
        <v/>
      </c>
      <c r="AA53" s="28" t="str">
        <f>IF('12 - Device_Configuration'!Q53="","",'12 - Device_Configuration'!Q53)</f>
        <v/>
      </c>
    </row>
    <row r="54" spans="1:27" ht="30.75" customHeight="1">
      <c r="A54" s="29"/>
      <c r="B54" s="29"/>
      <c r="C54" s="28" t="str">
        <f>IF('12 - Device_Configuration'!H54="","",'12 - Device_Configuration'!H54)</f>
        <v>NSUH</v>
      </c>
      <c r="D54" s="28" t="str">
        <f>IF('12 - Device_Configuration'!AE54="","",'12 - Device_Configuration'!AE54)</f>
        <v/>
      </c>
      <c r="E54" s="28" t="str">
        <f>IF('12 - Device_Configuration'!AF54="","",'12 - Device_Configuration'!AF54)</f>
        <v/>
      </c>
      <c r="F54" s="28" t="str">
        <f>IF('12 - Device_Configuration'!AG54="","",'12 - Device_Configuration'!AG54)</f>
        <v/>
      </c>
      <c r="G54" s="28" t="str">
        <f>IF('12 - Device_Configuration'!AH54="","",'12 - Device_Configuration'!AH54)</f>
        <v/>
      </c>
      <c r="H54" s="28" t="str">
        <f>IF('12 - Device_Configuration'!A54="","",'12 - Device_Configuration'!A54)</f>
        <v>Cybernet</v>
      </c>
      <c r="I54" s="28" t="str">
        <f>IF('12 - Device_Configuration'!AI54="","",'12 - Device_Configuration'!AI54)</f>
        <v>Cybernet Manufacturing Inc</v>
      </c>
      <c r="J54" s="28" t="str">
        <f>IF('12 - Device_Configuration'!AJ54="","",'12 - Device_Configuration'!AJ54)</f>
        <v>CyberMed-S24 TGL</v>
      </c>
      <c r="K54" s="28" t="str">
        <f>IF('12 - Device_Configuration'!AA54="","",'12 - Device_Configuration'!AA54)</f>
        <v/>
      </c>
      <c r="L54" s="28" t="str">
        <f>IF('12 - Device_Configuration'!I54="","",'12 - Device_Configuration'!I54)</f>
        <v/>
      </c>
      <c r="M54" s="29"/>
      <c r="N54" s="28" t="str">
        <f>IF('12 - Device_Configuration'!J54="","",'12 - Device_Configuration'!J54)</f>
        <v>Yes</v>
      </c>
      <c r="O54" s="28" t="str">
        <f>IF('12 - Device_Configuration'!K54="","",'12 - Device_Configuration'!K54)</f>
        <v>No</v>
      </c>
      <c r="P54" s="28" t="str">
        <f>IF('12 - Device_Configuration'!L54="","",'12 - Device_Configuration'!L54)</f>
        <v>No</v>
      </c>
      <c r="Q54" s="29"/>
      <c r="R54" s="28" t="str">
        <f>IF('12 - Device_Configuration'!AY54="","",'12 - Device_Configuration'!AY54)</f>
        <v/>
      </c>
      <c r="S54" s="28" t="str">
        <f>IF('12 - Device_Configuration'!AX54="","",'12 - Device_Configuration'!AX54)</f>
        <v/>
      </c>
      <c r="T54" s="28" t="str">
        <f>IF('12 - Device_Configuration'!AV54="","",'12 - Device_Configuration'!AV54)</f>
        <v/>
      </c>
      <c r="U54" s="28" t="str">
        <f>IF('12 - Device_Configuration'!AW54="","",'12 - Device_Configuration'!AW54)</f>
        <v/>
      </c>
      <c r="V54" s="28" t="str">
        <f>IF('12 - Device_Configuration'!BA54="","",'12 - Device_Configuration'!BA54)</f>
        <v/>
      </c>
      <c r="W54" s="28" t="str">
        <f>IF('12 - Device_Configuration'!BC54="","",'12 - Device_Configuration'!BC54)</f>
        <v>In Storage</v>
      </c>
      <c r="X54" s="28" t="str">
        <f>IF('12 - Device_Configuration'!BK54="","",'12 - Device_Configuration'!BK54)</f>
        <v/>
      </c>
      <c r="Y54" s="28" t="str">
        <f>IF('12 - Device_Configuration'!BB54="","",'12 - Device_Configuration'!BB54)</f>
        <v>Ran POSTINSTALL, boxe</v>
      </c>
      <c r="Z54" s="28" t="str">
        <f>IF('12 - Device_Configuration'!P54="","",'12 - Device_Configuration'!P54)</f>
        <v/>
      </c>
      <c r="AA54" s="28" t="str">
        <f>IF('12 - Device_Configuration'!Q54="","",'12 - Device_Configuration'!Q54)</f>
        <v/>
      </c>
    </row>
    <row r="55" spans="1:27" ht="30.75" customHeight="1">
      <c r="A55" s="29"/>
      <c r="B55" s="29"/>
      <c r="C55" s="28" t="str">
        <f>IF('12 - Device_Configuration'!H55="","",'12 - Device_Configuration'!H55)</f>
        <v>NSUH</v>
      </c>
      <c r="D55" s="28" t="str">
        <f>IF('12 - Device_Configuration'!AE55="","",'12 - Device_Configuration'!AE55)</f>
        <v/>
      </c>
      <c r="E55" s="28" t="str">
        <f>IF('12 - Device_Configuration'!AF55="","",'12 - Device_Configuration'!AF55)</f>
        <v/>
      </c>
      <c r="F55" s="28" t="str">
        <f>IF('12 - Device_Configuration'!AG55="","",'12 - Device_Configuration'!AG55)</f>
        <v/>
      </c>
      <c r="G55" s="28" t="str">
        <f>IF('12 - Device_Configuration'!AH55="","",'12 - Device_Configuration'!AH55)</f>
        <v/>
      </c>
      <c r="H55" s="28" t="str">
        <f>IF('12 - Device_Configuration'!A55="","",'12 - Device_Configuration'!A55)</f>
        <v>Cybernet</v>
      </c>
      <c r="I55" s="28" t="str">
        <f>IF('12 - Device_Configuration'!AI55="","",'12 - Device_Configuration'!AI55)</f>
        <v>Cybernet Manufacturing Inc</v>
      </c>
      <c r="J55" s="28" t="str">
        <f>IF('12 - Device_Configuration'!AJ55="","",'12 - Device_Configuration'!AJ55)</f>
        <v>CyberMed-S24 TGL</v>
      </c>
      <c r="K55" s="28" t="str">
        <f>IF('12 - Device_Configuration'!AA55="","",'12 - Device_Configuration'!AA55)</f>
        <v/>
      </c>
      <c r="L55" s="28" t="str">
        <f>IF('12 - Device_Configuration'!I55="","",'12 - Device_Configuration'!I55)</f>
        <v/>
      </c>
      <c r="M55" s="29"/>
      <c r="N55" s="28" t="str">
        <f>IF('12 - Device_Configuration'!J55="","",'12 - Device_Configuration'!J55)</f>
        <v>Yes</v>
      </c>
      <c r="O55" s="28" t="str">
        <f>IF('12 - Device_Configuration'!K55="","",'12 - Device_Configuration'!K55)</f>
        <v>No</v>
      </c>
      <c r="P55" s="28" t="str">
        <f>IF('12 - Device_Configuration'!L55="","",'12 - Device_Configuration'!L55)</f>
        <v>No</v>
      </c>
      <c r="Q55" s="29"/>
      <c r="R55" s="28" t="str">
        <f>IF('12 - Device_Configuration'!AY55="","",'12 - Device_Configuration'!AY55)</f>
        <v/>
      </c>
      <c r="S55" s="28" t="str">
        <f>IF('12 - Device_Configuration'!AX55="","",'12 - Device_Configuration'!AX55)</f>
        <v/>
      </c>
      <c r="T55" s="28" t="str">
        <f>IF('12 - Device_Configuration'!AV55="","",'12 - Device_Configuration'!AV55)</f>
        <v/>
      </c>
      <c r="U55" s="28" t="str">
        <f>IF('12 - Device_Configuration'!AW55="","",'12 - Device_Configuration'!AW55)</f>
        <v/>
      </c>
      <c r="V55" s="28" t="str">
        <f>IF('12 - Device_Configuration'!BA55="","",'12 - Device_Configuration'!BA55)</f>
        <v/>
      </c>
      <c r="W55" s="28" t="str">
        <f>IF('12 - Device_Configuration'!BC55="","",'12 - Device_Configuration'!BC55)</f>
        <v>In Storage</v>
      </c>
      <c r="X55" s="28" t="str">
        <f>IF('12 - Device_Configuration'!BK55="","",'12 - Device_Configuration'!BK55)</f>
        <v/>
      </c>
      <c r="Y55" s="28" t="str">
        <f>IF('12 - Device_Configuration'!BB55="","",'12 - Device_Configuration'!BB55)</f>
        <v>Ran POSTINSTALL, boxe</v>
      </c>
      <c r="Z55" s="28" t="str">
        <f>IF('12 - Device_Configuration'!P55="","",'12 - Device_Configuration'!P55)</f>
        <v/>
      </c>
      <c r="AA55" s="28" t="str">
        <f>IF('12 - Device_Configuration'!Q55="","",'12 - Device_Configuration'!Q55)</f>
        <v/>
      </c>
    </row>
    <row r="56" spans="1:27">
      <c r="A56" s="29"/>
      <c r="B56" s="29"/>
      <c r="C56" s="28" t="str">
        <f>IF('12 - Device_Configuration'!H56="","",'12 - Device_Configuration'!H56)</f>
        <v>NSUH</v>
      </c>
      <c r="D56" s="28" t="str">
        <f>IF('12 - Device_Configuration'!AE56="","",'12 - Device_Configuration'!AE56)</f>
        <v/>
      </c>
      <c r="E56" s="28" t="str">
        <f>IF('12 - Device_Configuration'!AF56="","",'12 - Device_Configuration'!AF56)</f>
        <v/>
      </c>
      <c r="F56" s="28" t="str">
        <f>IF('12 - Device_Configuration'!AG56="","",'12 - Device_Configuration'!AG56)</f>
        <v/>
      </c>
      <c r="G56" s="28" t="str">
        <f>IF('12 - Device_Configuration'!AH56="","",'12 - Device_Configuration'!AH56)</f>
        <v/>
      </c>
      <c r="H56" s="28" t="str">
        <f>IF('12 - Device_Configuration'!A56="","",'12 - Device_Configuration'!A56)</f>
        <v>Cybernet</v>
      </c>
      <c r="I56" s="28" t="str">
        <f>IF('12 - Device_Configuration'!AI56="","",'12 - Device_Configuration'!AI56)</f>
        <v/>
      </c>
      <c r="J56" s="28" t="str">
        <f>IF('12 - Device_Configuration'!AJ56="","",'12 - Device_Configuration'!AJ56)</f>
        <v/>
      </c>
      <c r="K56" s="28" t="str">
        <f>IF('12 - Device_Configuration'!AA56="","",'12 - Device_Configuration'!AA56)</f>
        <v/>
      </c>
      <c r="L56" s="28" t="str">
        <f>IF('12 - Device_Configuration'!I56="","",'12 - Device_Configuration'!I56)</f>
        <v/>
      </c>
      <c r="M56" s="29"/>
      <c r="N56" s="28" t="str">
        <f>IF('12 - Device_Configuration'!J56="","",'12 - Device_Configuration'!J56)</f>
        <v>Yes</v>
      </c>
      <c r="O56" s="28" t="str">
        <f>IF('12 - Device_Configuration'!K56="","",'12 - Device_Configuration'!K56)</f>
        <v>No</v>
      </c>
      <c r="P56" s="28" t="str">
        <f>IF('12 - Device_Configuration'!L56="","",'12 - Device_Configuration'!L56)</f>
        <v>No</v>
      </c>
      <c r="Q56" s="29"/>
      <c r="R56" s="28" t="str">
        <f>IF('12 - Device_Configuration'!AY56="","",'12 - Device_Configuration'!AY56)</f>
        <v/>
      </c>
      <c r="S56" s="28" t="str">
        <f>IF('12 - Device_Configuration'!AX56="","",'12 - Device_Configuration'!AX56)</f>
        <v/>
      </c>
      <c r="T56" s="28" t="str">
        <f>IF('12 - Device_Configuration'!AV56="","",'12 - Device_Configuration'!AV56)</f>
        <v/>
      </c>
      <c r="U56" s="28" t="str">
        <f>IF('12 - Device_Configuration'!AW56="","",'12 - Device_Configuration'!AW56)</f>
        <v/>
      </c>
      <c r="V56" s="28" t="str">
        <f>IF('12 - Device_Configuration'!BA56="","",'12 - Device_Configuration'!BA56)</f>
        <v/>
      </c>
      <c r="W56" s="28" t="str">
        <f>IF('12 - Device_Configuration'!BC56="","",'12 - Device_Configuration'!BC56)</f>
        <v>In Storage</v>
      </c>
      <c r="X56" s="28" t="str">
        <f>IF('12 - Device_Configuration'!BK56="","",'12 - Device_Configuration'!BK56)</f>
        <v/>
      </c>
      <c r="Y56" s="28" t="str">
        <f>IF('12 - Device_Configuration'!BB56="","",'12 - Device_Configuration'!BB56)</f>
        <v/>
      </c>
      <c r="Z56" s="28" t="str">
        <f>IF('12 - Device_Configuration'!P56="","",'12 - Device_Configuration'!P56)</f>
        <v/>
      </c>
      <c r="AA56" s="28" t="str">
        <f>IF('12 - Device_Configuration'!Q56="","",'12 - Device_Configuration'!Q56)</f>
        <v/>
      </c>
    </row>
    <row r="57" spans="1:27">
      <c r="A57" s="29"/>
      <c r="B57" s="29"/>
      <c r="C57" s="28" t="str">
        <f>IF('12 - Device_Configuration'!H57="","",'12 - Device_Configuration'!H57)</f>
        <v>NSUH</v>
      </c>
      <c r="D57" s="28" t="str">
        <f>IF('12 - Device_Configuration'!AE57="","",'12 - Device_Configuration'!AE57)</f>
        <v/>
      </c>
      <c r="E57" s="28" t="str">
        <f>IF('12 - Device_Configuration'!AF57="","",'12 - Device_Configuration'!AF57)</f>
        <v/>
      </c>
      <c r="F57" s="28" t="str">
        <f>IF('12 - Device_Configuration'!AG57="","",'12 - Device_Configuration'!AG57)</f>
        <v/>
      </c>
      <c r="G57" s="28" t="str">
        <f>IF('12 - Device_Configuration'!AH57="","",'12 - Device_Configuration'!AH57)</f>
        <v/>
      </c>
      <c r="H57" s="28" t="str">
        <f>IF('12 - Device_Configuration'!A57="","",'12 - Device_Configuration'!A57)</f>
        <v>Cybernet</v>
      </c>
      <c r="I57" s="28" t="str">
        <f>IF('12 - Device_Configuration'!AI57="","",'12 - Device_Configuration'!AI57)</f>
        <v/>
      </c>
      <c r="J57" s="28" t="str">
        <f>IF('12 - Device_Configuration'!AJ57="","",'12 - Device_Configuration'!AJ57)</f>
        <v/>
      </c>
      <c r="K57" s="28" t="str">
        <f>IF('12 - Device_Configuration'!AA57="","",'12 - Device_Configuration'!AA57)</f>
        <v/>
      </c>
      <c r="L57" s="28" t="str">
        <f>IF('12 - Device_Configuration'!I57="","",'12 - Device_Configuration'!I57)</f>
        <v/>
      </c>
      <c r="M57" s="29"/>
      <c r="N57" s="28" t="str">
        <f>IF('12 - Device_Configuration'!J57="","",'12 - Device_Configuration'!J57)</f>
        <v>Yes</v>
      </c>
      <c r="O57" s="28" t="str">
        <f>IF('12 - Device_Configuration'!K57="","",'12 - Device_Configuration'!K57)</f>
        <v>No</v>
      </c>
      <c r="P57" s="28" t="str">
        <f>IF('12 - Device_Configuration'!L57="","",'12 - Device_Configuration'!L57)</f>
        <v>No</v>
      </c>
      <c r="Q57" s="29"/>
      <c r="R57" s="28" t="str">
        <f>IF('12 - Device_Configuration'!AY57="","",'12 - Device_Configuration'!AY57)</f>
        <v/>
      </c>
      <c r="S57" s="28" t="str">
        <f>IF('12 - Device_Configuration'!AX57="","",'12 - Device_Configuration'!AX57)</f>
        <v/>
      </c>
      <c r="T57" s="28" t="str">
        <f>IF('12 - Device_Configuration'!AV57="","",'12 - Device_Configuration'!AV57)</f>
        <v/>
      </c>
      <c r="U57" s="28" t="str">
        <f>IF('12 - Device_Configuration'!AW57="","",'12 - Device_Configuration'!AW57)</f>
        <v/>
      </c>
      <c r="V57" s="28" t="str">
        <f>IF('12 - Device_Configuration'!BA57="","",'12 - Device_Configuration'!BA57)</f>
        <v/>
      </c>
      <c r="W57" s="28" t="str">
        <f>IF('12 - Device_Configuration'!BC57="","",'12 - Device_Configuration'!BC57)</f>
        <v>In Storage</v>
      </c>
      <c r="X57" s="28" t="str">
        <f>IF('12 - Device_Configuration'!BK57="","",'12 - Device_Configuration'!BK57)</f>
        <v/>
      </c>
      <c r="Y57" s="28" t="str">
        <f>IF('12 - Device_Configuration'!BB57="","",'12 - Device_Configuration'!BB57)</f>
        <v/>
      </c>
      <c r="Z57" s="28" t="str">
        <f>IF('12 - Device_Configuration'!P57="","",'12 - Device_Configuration'!P57)</f>
        <v/>
      </c>
      <c r="AA57" s="28" t="str">
        <f>IF('12 - Device_Configuration'!Q57="","",'12 - Device_Configuration'!Q57)</f>
        <v/>
      </c>
    </row>
    <row r="58" spans="1:27">
      <c r="A58" s="29"/>
      <c r="B58" s="29"/>
      <c r="C58" s="28" t="str">
        <f>IF('12 - Device_Configuration'!H58="","",'12 - Device_Configuration'!H58)</f>
        <v>NSUH</v>
      </c>
      <c r="D58" s="28" t="str">
        <f>IF('12 - Device_Configuration'!AE58="","",'12 - Device_Configuration'!AE58)</f>
        <v/>
      </c>
      <c r="E58" s="28" t="str">
        <f>IF('12 - Device_Configuration'!AF58="","",'12 - Device_Configuration'!AF58)</f>
        <v/>
      </c>
      <c r="F58" s="28" t="str">
        <f>IF('12 - Device_Configuration'!AG58="","",'12 - Device_Configuration'!AG58)</f>
        <v/>
      </c>
      <c r="G58" s="28" t="str">
        <f>IF('12 - Device_Configuration'!AH58="","",'12 - Device_Configuration'!AH58)</f>
        <v/>
      </c>
      <c r="H58" s="28" t="str">
        <f>IF('12 - Device_Configuration'!A58="","",'12 - Device_Configuration'!A58)</f>
        <v>Cybernet</v>
      </c>
      <c r="I58" s="28" t="str">
        <f>IF('12 - Device_Configuration'!AI58="","",'12 - Device_Configuration'!AI58)</f>
        <v/>
      </c>
      <c r="J58" s="28" t="str">
        <f>IF('12 - Device_Configuration'!AJ58="","",'12 - Device_Configuration'!AJ58)</f>
        <v/>
      </c>
      <c r="K58" s="28" t="str">
        <f>IF('12 - Device_Configuration'!AA58="","",'12 - Device_Configuration'!AA58)</f>
        <v/>
      </c>
      <c r="L58" s="28" t="str">
        <f>IF('12 - Device_Configuration'!I58="","",'12 - Device_Configuration'!I58)</f>
        <v/>
      </c>
      <c r="M58" s="29"/>
      <c r="N58" s="28" t="str">
        <f>IF('12 - Device_Configuration'!J58="","",'12 - Device_Configuration'!J58)</f>
        <v>Yes</v>
      </c>
      <c r="O58" s="28" t="str">
        <f>IF('12 - Device_Configuration'!K58="","",'12 - Device_Configuration'!K58)</f>
        <v>No</v>
      </c>
      <c r="P58" s="28" t="str">
        <f>IF('12 - Device_Configuration'!L58="","",'12 - Device_Configuration'!L58)</f>
        <v>No</v>
      </c>
      <c r="Q58" s="29"/>
      <c r="R58" s="28" t="str">
        <f>IF('12 - Device_Configuration'!AY58="","",'12 - Device_Configuration'!AY58)</f>
        <v/>
      </c>
      <c r="S58" s="28" t="str">
        <f>IF('12 - Device_Configuration'!AX58="","",'12 - Device_Configuration'!AX58)</f>
        <v/>
      </c>
      <c r="T58" s="28" t="str">
        <f>IF('12 - Device_Configuration'!AV58="","",'12 - Device_Configuration'!AV58)</f>
        <v/>
      </c>
      <c r="U58" s="28" t="str">
        <f>IF('12 - Device_Configuration'!AW58="","",'12 - Device_Configuration'!AW58)</f>
        <v/>
      </c>
      <c r="V58" s="28" t="str">
        <f>IF('12 - Device_Configuration'!BA58="","",'12 - Device_Configuration'!BA58)</f>
        <v/>
      </c>
      <c r="W58" s="28" t="str">
        <f>IF('12 - Device_Configuration'!BC58="","",'12 - Device_Configuration'!BC58)</f>
        <v>In Storage</v>
      </c>
      <c r="X58" s="28" t="str">
        <f>IF('12 - Device_Configuration'!BK58="","",'12 - Device_Configuration'!BK58)</f>
        <v/>
      </c>
      <c r="Y58" s="28" t="str">
        <f>IF('12 - Device_Configuration'!BB58="","",'12 - Device_Configuration'!BB58)</f>
        <v/>
      </c>
      <c r="Z58" s="28" t="str">
        <f>IF('12 - Device_Configuration'!P58="","",'12 - Device_Configuration'!P58)</f>
        <v/>
      </c>
      <c r="AA58" s="28" t="str">
        <f>IF('12 - Device_Configuration'!Q58="","",'12 - Device_Configuration'!Q58)</f>
        <v/>
      </c>
    </row>
    <row r="59" spans="1:27">
      <c r="A59" s="29"/>
      <c r="B59" s="29"/>
      <c r="C59" s="28" t="str">
        <f>IF('12 - Device_Configuration'!H59="","",'12 - Device_Configuration'!H59)</f>
        <v>NSUH</v>
      </c>
      <c r="D59" s="28" t="str">
        <f>IF('12 - Device_Configuration'!AE59="","",'12 - Device_Configuration'!AE59)</f>
        <v/>
      </c>
      <c r="E59" s="28" t="str">
        <f>IF('12 - Device_Configuration'!AF59="","",'12 - Device_Configuration'!AF59)</f>
        <v/>
      </c>
      <c r="F59" s="28" t="str">
        <f>IF('12 - Device_Configuration'!AG59="","",'12 - Device_Configuration'!AG59)</f>
        <v/>
      </c>
      <c r="G59" s="28" t="str">
        <f>IF('12 - Device_Configuration'!AH59="","",'12 - Device_Configuration'!AH59)</f>
        <v/>
      </c>
      <c r="H59" s="28" t="str">
        <f>IF('12 - Device_Configuration'!A59="","",'12 - Device_Configuration'!A59)</f>
        <v>Cybernet</v>
      </c>
      <c r="I59" s="28" t="str">
        <f>IF('12 - Device_Configuration'!AI59="","",'12 - Device_Configuration'!AI59)</f>
        <v/>
      </c>
      <c r="J59" s="28" t="str">
        <f>IF('12 - Device_Configuration'!AJ59="","",'12 - Device_Configuration'!AJ59)</f>
        <v/>
      </c>
      <c r="K59" s="28" t="str">
        <f>IF('12 - Device_Configuration'!AA59="","",'12 - Device_Configuration'!AA59)</f>
        <v/>
      </c>
      <c r="L59" s="28" t="str">
        <f>IF('12 - Device_Configuration'!I59="","",'12 - Device_Configuration'!I59)</f>
        <v/>
      </c>
      <c r="M59" s="29"/>
      <c r="N59" s="28" t="str">
        <f>IF('12 - Device_Configuration'!J59="","",'12 - Device_Configuration'!J59)</f>
        <v>Yes</v>
      </c>
      <c r="O59" s="28" t="str">
        <f>IF('12 - Device_Configuration'!K59="","",'12 - Device_Configuration'!K59)</f>
        <v>No</v>
      </c>
      <c r="P59" s="28" t="str">
        <f>IF('12 - Device_Configuration'!L59="","",'12 - Device_Configuration'!L59)</f>
        <v>No</v>
      </c>
      <c r="Q59" s="29"/>
      <c r="R59" s="28" t="str">
        <f>IF('12 - Device_Configuration'!AY59="","",'12 - Device_Configuration'!AY59)</f>
        <v/>
      </c>
      <c r="S59" s="28" t="str">
        <f>IF('12 - Device_Configuration'!AX59="","",'12 - Device_Configuration'!AX59)</f>
        <v/>
      </c>
      <c r="T59" s="28" t="str">
        <f>IF('12 - Device_Configuration'!AV59="","",'12 - Device_Configuration'!AV59)</f>
        <v/>
      </c>
      <c r="U59" s="28" t="str">
        <f>IF('12 - Device_Configuration'!AW59="","",'12 - Device_Configuration'!AW59)</f>
        <v/>
      </c>
      <c r="V59" s="28" t="str">
        <f>IF('12 - Device_Configuration'!BA59="","",'12 - Device_Configuration'!BA59)</f>
        <v/>
      </c>
      <c r="W59" s="28" t="str">
        <f>IF('12 - Device_Configuration'!BC59="","",'12 - Device_Configuration'!BC59)</f>
        <v>In Storage</v>
      </c>
      <c r="X59" s="28" t="str">
        <f>IF('12 - Device_Configuration'!BK59="","",'12 - Device_Configuration'!BK59)</f>
        <v/>
      </c>
      <c r="Y59" s="28" t="str">
        <f>IF('12 - Device_Configuration'!BB59="","",'12 - Device_Configuration'!BB59)</f>
        <v/>
      </c>
      <c r="Z59" s="28" t="str">
        <f>IF('12 - Device_Configuration'!P59="","",'12 - Device_Configuration'!P59)</f>
        <v/>
      </c>
      <c r="AA59" s="28" t="str">
        <f>IF('12 - Device_Configuration'!Q59="","",'12 - Device_Configuration'!Q59)</f>
        <v/>
      </c>
    </row>
    <row r="60" spans="1:27">
      <c r="A60" s="29"/>
      <c r="B60" s="29"/>
      <c r="C60" s="28" t="str">
        <f>IF('12 - Device_Configuration'!H60="","",'12 - Device_Configuration'!H60)</f>
        <v>NSUH</v>
      </c>
      <c r="D60" s="28" t="str">
        <f>IF('12 - Device_Configuration'!AE60="","",'12 - Device_Configuration'!AE60)</f>
        <v/>
      </c>
      <c r="E60" s="28" t="str">
        <f>IF('12 - Device_Configuration'!AF60="","",'12 - Device_Configuration'!AF60)</f>
        <v/>
      </c>
      <c r="F60" s="28" t="str">
        <f>IF('12 - Device_Configuration'!AG60="","",'12 - Device_Configuration'!AG60)</f>
        <v/>
      </c>
      <c r="G60" s="28" t="str">
        <f>IF('12 - Device_Configuration'!AH60="","",'12 - Device_Configuration'!AH60)</f>
        <v/>
      </c>
      <c r="H60" s="28" t="str">
        <f>IF('12 - Device_Configuration'!A60="","",'12 - Device_Configuration'!A60)</f>
        <v>Cybernet</v>
      </c>
      <c r="I60" s="28" t="str">
        <f>IF('12 - Device_Configuration'!AI60="","",'12 - Device_Configuration'!AI60)</f>
        <v/>
      </c>
      <c r="J60" s="28" t="str">
        <f>IF('12 - Device_Configuration'!AJ60="","",'12 - Device_Configuration'!AJ60)</f>
        <v/>
      </c>
      <c r="K60" s="28" t="str">
        <f>IF('12 - Device_Configuration'!AA60="","",'12 - Device_Configuration'!AA60)</f>
        <v/>
      </c>
      <c r="L60" s="28" t="str">
        <f>IF('12 - Device_Configuration'!I60="","",'12 - Device_Configuration'!I60)</f>
        <v/>
      </c>
      <c r="M60" s="29"/>
      <c r="N60" s="28" t="str">
        <f>IF('12 - Device_Configuration'!J60="","",'12 - Device_Configuration'!J60)</f>
        <v>Yes</v>
      </c>
      <c r="O60" s="28" t="str">
        <f>IF('12 - Device_Configuration'!K60="","",'12 - Device_Configuration'!K60)</f>
        <v>No</v>
      </c>
      <c r="P60" s="28" t="str">
        <f>IF('12 - Device_Configuration'!L60="","",'12 - Device_Configuration'!L60)</f>
        <v>No</v>
      </c>
      <c r="Q60" s="29"/>
      <c r="R60" s="28" t="str">
        <f>IF('12 - Device_Configuration'!AY60="","",'12 - Device_Configuration'!AY60)</f>
        <v/>
      </c>
      <c r="S60" s="28" t="str">
        <f>IF('12 - Device_Configuration'!AX60="","",'12 - Device_Configuration'!AX60)</f>
        <v/>
      </c>
      <c r="T60" s="28" t="str">
        <f>IF('12 - Device_Configuration'!AV60="","",'12 - Device_Configuration'!AV60)</f>
        <v/>
      </c>
      <c r="U60" s="28" t="str">
        <f>IF('12 - Device_Configuration'!AW60="","",'12 - Device_Configuration'!AW60)</f>
        <v/>
      </c>
      <c r="V60" s="28" t="str">
        <f>IF('12 - Device_Configuration'!BA60="","",'12 - Device_Configuration'!BA60)</f>
        <v/>
      </c>
      <c r="W60" s="28" t="str">
        <f>IF('12 - Device_Configuration'!BC60="","",'12 - Device_Configuration'!BC60)</f>
        <v>In Storage</v>
      </c>
      <c r="X60" s="28" t="str">
        <f>IF('12 - Device_Configuration'!BK60="","",'12 - Device_Configuration'!BK60)</f>
        <v/>
      </c>
      <c r="Y60" s="28" t="str">
        <f>IF('12 - Device_Configuration'!BB60="","",'12 - Device_Configuration'!BB60)</f>
        <v/>
      </c>
      <c r="Z60" s="28" t="str">
        <f>IF('12 - Device_Configuration'!P60="","",'12 - Device_Configuration'!P60)</f>
        <v/>
      </c>
      <c r="AA60" s="28" t="str">
        <f>IF('12 - Device_Configuration'!Q60="","",'12 - Device_Configuration'!Q60)</f>
        <v/>
      </c>
    </row>
    <row r="61" spans="1:27">
      <c r="A61" s="29"/>
      <c r="B61" s="29"/>
      <c r="C61" s="28" t="str">
        <f>IF('12 - Device_Configuration'!H61="","",'12 - Device_Configuration'!H61)</f>
        <v>NSUH</v>
      </c>
      <c r="D61" s="28" t="str">
        <f>IF('12 - Device_Configuration'!AE61="","",'12 - Device_Configuration'!AE61)</f>
        <v/>
      </c>
      <c r="E61" s="28" t="str">
        <f>IF('12 - Device_Configuration'!AF61="","",'12 - Device_Configuration'!AF61)</f>
        <v/>
      </c>
      <c r="F61" s="28" t="str">
        <f>IF('12 - Device_Configuration'!AG61="","",'12 - Device_Configuration'!AG61)</f>
        <v/>
      </c>
      <c r="G61" s="28" t="str">
        <f>IF('12 - Device_Configuration'!AH61="","",'12 - Device_Configuration'!AH61)</f>
        <v/>
      </c>
      <c r="H61" s="28" t="str">
        <f>IF('12 - Device_Configuration'!A61="","",'12 - Device_Configuration'!A61)</f>
        <v>Cybernet</v>
      </c>
      <c r="I61" s="28" t="str">
        <f>IF('12 - Device_Configuration'!AI61="","",'12 - Device_Configuration'!AI61)</f>
        <v/>
      </c>
      <c r="J61" s="28" t="str">
        <f>IF('12 - Device_Configuration'!AJ61="","",'12 - Device_Configuration'!AJ61)</f>
        <v/>
      </c>
      <c r="K61" s="28" t="str">
        <f>IF('12 - Device_Configuration'!AA61="","",'12 - Device_Configuration'!AA61)</f>
        <v/>
      </c>
      <c r="L61" s="28" t="str">
        <f>IF('12 - Device_Configuration'!I61="","",'12 - Device_Configuration'!I61)</f>
        <v/>
      </c>
      <c r="M61" s="29"/>
      <c r="N61" s="28" t="str">
        <f>IF('12 - Device_Configuration'!J61="","",'12 - Device_Configuration'!J61)</f>
        <v>Yes</v>
      </c>
      <c r="O61" s="28" t="str">
        <f>IF('12 - Device_Configuration'!K61="","",'12 - Device_Configuration'!K61)</f>
        <v>No</v>
      </c>
      <c r="P61" s="28" t="str">
        <f>IF('12 - Device_Configuration'!L61="","",'12 - Device_Configuration'!L61)</f>
        <v>No</v>
      </c>
      <c r="Q61" s="29"/>
      <c r="R61" s="28" t="str">
        <f>IF('12 - Device_Configuration'!AY61="","",'12 - Device_Configuration'!AY61)</f>
        <v/>
      </c>
      <c r="S61" s="28" t="str">
        <f>IF('12 - Device_Configuration'!AX61="","",'12 - Device_Configuration'!AX61)</f>
        <v/>
      </c>
      <c r="T61" s="28" t="str">
        <f>IF('12 - Device_Configuration'!AV61="","",'12 - Device_Configuration'!AV61)</f>
        <v/>
      </c>
      <c r="U61" s="28" t="str">
        <f>IF('12 - Device_Configuration'!AW61="","",'12 - Device_Configuration'!AW61)</f>
        <v/>
      </c>
      <c r="V61" s="28" t="str">
        <f>IF('12 - Device_Configuration'!BA61="","",'12 - Device_Configuration'!BA61)</f>
        <v/>
      </c>
      <c r="W61" s="28" t="str">
        <f>IF('12 - Device_Configuration'!BC61="","",'12 - Device_Configuration'!BC61)</f>
        <v>In Storage</v>
      </c>
      <c r="X61" s="28" t="str">
        <f>IF('12 - Device_Configuration'!BK61="","",'12 - Device_Configuration'!BK61)</f>
        <v/>
      </c>
      <c r="Y61" s="28" t="str">
        <f>IF('12 - Device_Configuration'!BB61="","",'12 - Device_Configuration'!BB61)</f>
        <v/>
      </c>
      <c r="Z61" s="28" t="str">
        <f>IF('12 - Device_Configuration'!P61="","",'12 - Device_Configuration'!P61)</f>
        <v/>
      </c>
      <c r="AA61" s="28" t="str">
        <f>IF('12 - Device_Configuration'!Q61="","",'12 - Device_Configuration'!Q61)</f>
        <v/>
      </c>
    </row>
    <row r="62" spans="1:27">
      <c r="A62" s="29"/>
      <c r="B62" s="29"/>
      <c r="C62" s="28" t="str">
        <f>IF('12 - Device_Configuration'!H62="","",'12 - Device_Configuration'!H62)</f>
        <v>NSUH</v>
      </c>
      <c r="D62" s="28" t="str">
        <f>IF('12 - Device_Configuration'!AE62="","",'12 - Device_Configuration'!AE62)</f>
        <v/>
      </c>
      <c r="E62" s="28" t="str">
        <f>IF('12 - Device_Configuration'!AF62="","",'12 - Device_Configuration'!AF62)</f>
        <v/>
      </c>
      <c r="F62" s="28" t="str">
        <f>IF('12 - Device_Configuration'!AG62="","",'12 - Device_Configuration'!AG62)</f>
        <v/>
      </c>
      <c r="G62" s="28" t="str">
        <f>IF('12 - Device_Configuration'!AH62="","",'12 - Device_Configuration'!AH62)</f>
        <v/>
      </c>
      <c r="H62" s="28" t="str">
        <f>IF('12 - Device_Configuration'!A62="","",'12 - Device_Configuration'!A62)</f>
        <v>Cybernet</v>
      </c>
      <c r="I62" s="28" t="str">
        <f>IF('12 - Device_Configuration'!AI62="","",'12 - Device_Configuration'!AI62)</f>
        <v/>
      </c>
      <c r="J62" s="28" t="str">
        <f>IF('12 - Device_Configuration'!AJ62="","",'12 - Device_Configuration'!AJ62)</f>
        <v/>
      </c>
      <c r="K62" s="28" t="str">
        <f>IF('12 - Device_Configuration'!AA62="","",'12 - Device_Configuration'!AA62)</f>
        <v/>
      </c>
      <c r="L62" s="28" t="str">
        <f>IF('12 - Device_Configuration'!I62="","",'12 - Device_Configuration'!I62)</f>
        <v/>
      </c>
      <c r="M62" s="29"/>
      <c r="N62" s="28" t="str">
        <f>IF('12 - Device_Configuration'!J62="","",'12 - Device_Configuration'!J62)</f>
        <v>Yes</v>
      </c>
      <c r="O62" s="28" t="str">
        <f>IF('12 - Device_Configuration'!K62="","",'12 - Device_Configuration'!K62)</f>
        <v>No</v>
      </c>
      <c r="P62" s="28" t="str">
        <f>IF('12 - Device_Configuration'!L62="","",'12 - Device_Configuration'!L62)</f>
        <v>No</v>
      </c>
      <c r="Q62" s="29"/>
      <c r="R62" s="28" t="str">
        <f>IF('12 - Device_Configuration'!AY62="","",'12 - Device_Configuration'!AY62)</f>
        <v/>
      </c>
      <c r="S62" s="28" t="str">
        <f>IF('12 - Device_Configuration'!AX62="","",'12 - Device_Configuration'!AX62)</f>
        <v/>
      </c>
      <c r="T62" s="28" t="str">
        <f>IF('12 - Device_Configuration'!AV62="","",'12 - Device_Configuration'!AV62)</f>
        <v/>
      </c>
      <c r="U62" s="28" t="str">
        <f>IF('12 - Device_Configuration'!AW62="","",'12 - Device_Configuration'!AW62)</f>
        <v/>
      </c>
      <c r="V62" s="28" t="str">
        <f>IF('12 - Device_Configuration'!BA62="","",'12 - Device_Configuration'!BA62)</f>
        <v/>
      </c>
      <c r="W62" s="28" t="str">
        <f>IF('12 - Device_Configuration'!BC62="","",'12 - Device_Configuration'!BC62)</f>
        <v>In Storage</v>
      </c>
      <c r="X62" s="28" t="str">
        <f>IF('12 - Device_Configuration'!BK62="","",'12 - Device_Configuration'!BK62)</f>
        <v/>
      </c>
      <c r="Y62" s="28" t="str">
        <f>IF('12 - Device_Configuration'!BB62="","",'12 - Device_Configuration'!BB62)</f>
        <v/>
      </c>
      <c r="Z62" s="28" t="str">
        <f>IF('12 - Device_Configuration'!P62="","",'12 - Device_Configuration'!P62)</f>
        <v/>
      </c>
      <c r="AA62" s="28" t="str">
        <f>IF('12 - Device_Configuration'!Q62="","",'12 - Device_Configuration'!Q62)</f>
        <v/>
      </c>
    </row>
    <row r="63" spans="1:27">
      <c r="A63" s="29"/>
      <c r="B63" s="29"/>
      <c r="C63" s="28" t="str">
        <f>IF('12 - Device_Configuration'!H63="","",'12 - Device_Configuration'!H63)</f>
        <v>NSUH</v>
      </c>
      <c r="D63" s="28" t="str">
        <f>IF('12 - Device_Configuration'!AE63="","",'12 - Device_Configuration'!AE63)</f>
        <v/>
      </c>
      <c r="E63" s="28" t="str">
        <f>IF('12 - Device_Configuration'!AF63="","",'12 - Device_Configuration'!AF63)</f>
        <v/>
      </c>
      <c r="F63" s="28" t="str">
        <f>IF('12 - Device_Configuration'!AG63="","",'12 - Device_Configuration'!AG63)</f>
        <v/>
      </c>
      <c r="G63" s="28" t="str">
        <f>IF('12 - Device_Configuration'!AH63="","",'12 - Device_Configuration'!AH63)</f>
        <v/>
      </c>
      <c r="H63" s="28" t="str">
        <f>IF('12 - Device_Configuration'!A63="","",'12 - Device_Configuration'!A63)</f>
        <v>Cybernet</v>
      </c>
      <c r="I63" s="28" t="str">
        <f>IF('12 - Device_Configuration'!AI63="","",'12 - Device_Configuration'!AI63)</f>
        <v/>
      </c>
      <c r="J63" s="28" t="str">
        <f>IF('12 - Device_Configuration'!AJ63="","",'12 - Device_Configuration'!AJ63)</f>
        <v/>
      </c>
      <c r="K63" s="28" t="str">
        <f>IF('12 - Device_Configuration'!AA63="","",'12 - Device_Configuration'!AA63)</f>
        <v/>
      </c>
      <c r="L63" s="28" t="str">
        <f>IF('12 - Device_Configuration'!I63="","",'12 - Device_Configuration'!I63)</f>
        <v/>
      </c>
      <c r="M63" s="29"/>
      <c r="N63" s="28" t="str">
        <f>IF('12 - Device_Configuration'!J63="","",'12 - Device_Configuration'!J63)</f>
        <v>Yes</v>
      </c>
      <c r="O63" s="28" t="str">
        <f>IF('12 - Device_Configuration'!K63="","",'12 - Device_Configuration'!K63)</f>
        <v>No</v>
      </c>
      <c r="P63" s="28" t="str">
        <f>IF('12 - Device_Configuration'!L63="","",'12 - Device_Configuration'!L63)</f>
        <v>No</v>
      </c>
      <c r="Q63" s="29"/>
      <c r="R63" s="28" t="str">
        <f>IF('12 - Device_Configuration'!AY63="","",'12 - Device_Configuration'!AY63)</f>
        <v/>
      </c>
      <c r="S63" s="28" t="str">
        <f>IF('12 - Device_Configuration'!AX63="","",'12 - Device_Configuration'!AX63)</f>
        <v/>
      </c>
      <c r="T63" s="28" t="str">
        <f>IF('12 - Device_Configuration'!AV63="","",'12 - Device_Configuration'!AV63)</f>
        <v/>
      </c>
      <c r="U63" s="28" t="str">
        <f>IF('12 - Device_Configuration'!AW63="","",'12 - Device_Configuration'!AW63)</f>
        <v/>
      </c>
      <c r="V63" s="28" t="str">
        <f>IF('12 - Device_Configuration'!BA63="","",'12 - Device_Configuration'!BA63)</f>
        <v/>
      </c>
      <c r="W63" s="28" t="str">
        <f>IF('12 - Device_Configuration'!BC63="","",'12 - Device_Configuration'!BC63)</f>
        <v>In Storage</v>
      </c>
      <c r="X63" s="28" t="str">
        <f>IF('12 - Device_Configuration'!BK63="","",'12 - Device_Configuration'!BK63)</f>
        <v/>
      </c>
      <c r="Y63" s="28" t="str">
        <f>IF('12 - Device_Configuration'!BB63="","",'12 - Device_Configuration'!BB63)</f>
        <v/>
      </c>
      <c r="Z63" s="28" t="str">
        <f>IF('12 - Device_Configuration'!P63="","",'12 - Device_Configuration'!P63)</f>
        <v/>
      </c>
      <c r="AA63" s="28" t="str">
        <f>IF('12 - Device_Configuration'!Q63="","",'12 - Device_Configuration'!Q63)</f>
        <v/>
      </c>
    </row>
    <row r="64" spans="1:27">
      <c r="A64" s="29"/>
      <c r="B64" s="29"/>
      <c r="C64" s="28" t="str">
        <f>IF('12 - Device_Configuration'!H64="","",'12 - Device_Configuration'!H64)</f>
        <v>NSUH</v>
      </c>
      <c r="D64" s="28" t="str">
        <f>IF('12 - Device_Configuration'!AE64="","",'12 - Device_Configuration'!AE64)</f>
        <v/>
      </c>
      <c r="E64" s="28" t="str">
        <f>IF('12 - Device_Configuration'!AF64="","",'12 - Device_Configuration'!AF64)</f>
        <v/>
      </c>
      <c r="F64" s="28" t="str">
        <f>IF('12 - Device_Configuration'!AG64="","",'12 - Device_Configuration'!AG64)</f>
        <v/>
      </c>
      <c r="G64" s="28" t="str">
        <f>IF('12 - Device_Configuration'!AH64="","",'12 - Device_Configuration'!AH64)</f>
        <v/>
      </c>
      <c r="H64" s="28" t="str">
        <f>IF('12 - Device_Configuration'!A64="","",'12 - Device_Configuration'!A64)</f>
        <v>Cybernet</v>
      </c>
      <c r="I64" s="28" t="str">
        <f>IF('12 - Device_Configuration'!AI64="","",'12 - Device_Configuration'!AI64)</f>
        <v/>
      </c>
      <c r="J64" s="28" t="str">
        <f>IF('12 - Device_Configuration'!AJ64="","",'12 - Device_Configuration'!AJ64)</f>
        <v/>
      </c>
      <c r="K64" s="28" t="str">
        <f>IF('12 - Device_Configuration'!AA64="","",'12 - Device_Configuration'!AA64)</f>
        <v/>
      </c>
      <c r="L64" s="28" t="str">
        <f>IF('12 - Device_Configuration'!I64="","",'12 - Device_Configuration'!I64)</f>
        <v/>
      </c>
      <c r="M64" s="29"/>
      <c r="N64" s="28" t="str">
        <f>IF('12 - Device_Configuration'!J64="","",'12 - Device_Configuration'!J64)</f>
        <v>Yes</v>
      </c>
      <c r="O64" s="28" t="str">
        <f>IF('12 - Device_Configuration'!K64="","",'12 - Device_Configuration'!K64)</f>
        <v>No</v>
      </c>
      <c r="P64" s="28" t="str">
        <f>IF('12 - Device_Configuration'!L64="","",'12 - Device_Configuration'!L64)</f>
        <v>No</v>
      </c>
      <c r="Q64" s="29"/>
      <c r="R64" s="28" t="str">
        <f>IF('12 - Device_Configuration'!AY64="","",'12 - Device_Configuration'!AY64)</f>
        <v/>
      </c>
      <c r="S64" s="28" t="str">
        <f>IF('12 - Device_Configuration'!AX64="","",'12 - Device_Configuration'!AX64)</f>
        <v/>
      </c>
      <c r="T64" s="28" t="str">
        <f>IF('12 - Device_Configuration'!AV64="","",'12 - Device_Configuration'!AV64)</f>
        <v/>
      </c>
      <c r="U64" s="28" t="str">
        <f>IF('12 - Device_Configuration'!AW64="","",'12 - Device_Configuration'!AW64)</f>
        <v/>
      </c>
      <c r="V64" s="28" t="str">
        <f>IF('12 - Device_Configuration'!BA64="","",'12 - Device_Configuration'!BA64)</f>
        <v/>
      </c>
      <c r="W64" s="28" t="str">
        <f>IF('12 - Device_Configuration'!BC64="","",'12 - Device_Configuration'!BC64)</f>
        <v>In Storage</v>
      </c>
      <c r="X64" s="28" t="str">
        <f>IF('12 - Device_Configuration'!BK64="","",'12 - Device_Configuration'!BK64)</f>
        <v/>
      </c>
      <c r="Y64" s="28" t="str">
        <f>IF('12 - Device_Configuration'!BB64="","",'12 - Device_Configuration'!BB64)</f>
        <v/>
      </c>
      <c r="Z64" s="28" t="str">
        <f>IF('12 - Device_Configuration'!P64="","",'12 - Device_Configuration'!P64)</f>
        <v/>
      </c>
      <c r="AA64" s="28" t="str">
        <f>IF('12 - Device_Configuration'!Q64="","",'12 - Device_Configuration'!Q64)</f>
        <v/>
      </c>
    </row>
    <row r="65" spans="1:27">
      <c r="A65" s="29"/>
      <c r="B65" s="29"/>
      <c r="C65" s="28" t="str">
        <f>IF('12 - Device_Configuration'!H65="","",'12 - Device_Configuration'!H65)</f>
        <v>NSUH</v>
      </c>
      <c r="D65" s="28" t="str">
        <f>IF('12 - Device_Configuration'!AE65="","",'12 - Device_Configuration'!AE65)</f>
        <v/>
      </c>
      <c r="E65" s="28" t="str">
        <f>IF('12 - Device_Configuration'!AF65="","",'12 - Device_Configuration'!AF65)</f>
        <v/>
      </c>
      <c r="F65" s="28" t="str">
        <f>IF('12 - Device_Configuration'!AG65="","",'12 - Device_Configuration'!AG65)</f>
        <v/>
      </c>
      <c r="G65" s="28" t="str">
        <f>IF('12 - Device_Configuration'!AH65="","",'12 - Device_Configuration'!AH65)</f>
        <v/>
      </c>
      <c r="H65" s="28" t="str">
        <f>IF('12 - Device_Configuration'!A65="","",'12 - Device_Configuration'!A65)</f>
        <v>Cybernet</v>
      </c>
      <c r="I65" s="28" t="str">
        <f>IF('12 - Device_Configuration'!AI65="","",'12 - Device_Configuration'!AI65)</f>
        <v/>
      </c>
      <c r="J65" s="28" t="str">
        <f>IF('12 - Device_Configuration'!AJ65="","",'12 - Device_Configuration'!AJ65)</f>
        <v/>
      </c>
      <c r="K65" s="28" t="str">
        <f>IF('12 - Device_Configuration'!AA65="","",'12 - Device_Configuration'!AA65)</f>
        <v/>
      </c>
      <c r="L65" s="28" t="str">
        <f>IF('12 - Device_Configuration'!I65="","",'12 - Device_Configuration'!I65)</f>
        <v/>
      </c>
      <c r="M65" s="29"/>
      <c r="N65" s="28" t="str">
        <f>IF('12 - Device_Configuration'!J65="","",'12 - Device_Configuration'!J65)</f>
        <v>Yes</v>
      </c>
      <c r="O65" s="28" t="str">
        <f>IF('12 - Device_Configuration'!K65="","",'12 - Device_Configuration'!K65)</f>
        <v>No</v>
      </c>
      <c r="P65" s="28" t="str">
        <f>IF('12 - Device_Configuration'!L65="","",'12 - Device_Configuration'!L65)</f>
        <v>No</v>
      </c>
      <c r="Q65" s="29"/>
      <c r="R65" s="28" t="str">
        <f>IF('12 - Device_Configuration'!AY65="","",'12 - Device_Configuration'!AY65)</f>
        <v/>
      </c>
      <c r="S65" s="28" t="str">
        <f>IF('12 - Device_Configuration'!AX65="","",'12 - Device_Configuration'!AX65)</f>
        <v/>
      </c>
      <c r="T65" s="28" t="str">
        <f>IF('12 - Device_Configuration'!AV65="","",'12 - Device_Configuration'!AV65)</f>
        <v/>
      </c>
      <c r="U65" s="28" t="str">
        <f>IF('12 - Device_Configuration'!AW65="","",'12 - Device_Configuration'!AW65)</f>
        <v/>
      </c>
      <c r="V65" s="28" t="str">
        <f>IF('12 - Device_Configuration'!BA65="","",'12 - Device_Configuration'!BA65)</f>
        <v/>
      </c>
      <c r="W65" s="28" t="str">
        <f>IF('12 - Device_Configuration'!BC65="","",'12 - Device_Configuration'!BC65)</f>
        <v>In Storage</v>
      </c>
      <c r="X65" s="28" t="str">
        <f>IF('12 - Device_Configuration'!BK65="","",'12 - Device_Configuration'!BK65)</f>
        <v/>
      </c>
      <c r="Y65" s="28" t="str">
        <f>IF('12 - Device_Configuration'!BB65="","",'12 - Device_Configuration'!BB65)</f>
        <v/>
      </c>
      <c r="Z65" s="28" t="str">
        <f>IF('12 - Device_Configuration'!P65="","",'12 - Device_Configuration'!P65)</f>
        <v/>
      </c>
      <c r="AA65" s="28" t="str">
        <f>IF('12 - Device_Configuration'!Q65="","",'12 - Device_Configuration'!Q65)</f>
        <v/>
      </c>
    </row>
    <row r="66" spans="1:27">
      <c r="A66" s="29"/>
      <c r="B66" s="29"/>
      <c r="C66" s="28" t="str">
        <f>IF('12 - Device_Configuration'!H66="","",'12 - Device_Configuration'!H66)</f>
        <v>NSUH</v>
      </c>
      <c r="D66" s="28" t="str">
        <f>IF('12 - Device_Configuration'!AE66="","",'12 - Device_Configuration'!AE66)</f>
        <v/>
      </c>
      <c r="E66" s="28" t="str">
        <f>IF('12 - Device_Configuration'!AF66="","",'12 - Device_Configuration'!AF66)</f>
        <v/>
      </c>
      <c r="F66" s="28" t="str">
        <f>IF('12 - Device_Configuration'!AG66="","",'12 - Device_Configuration'!AG66)</f>
        <v/>
      </c>
      <c r="G66" s="28" t="str">
        <f>IF('12 - Device_Configuration'!AH66="","",'12 - Device_Configuration'!AH66)</f>
        <v/>
      </c>
      <c r="H66" s="28" t="str">
        <f>IF('12 - Device_Configuration'!A66="","",'12 - Device_Configuration'!A66)</f>
        <v>Cybernet</v>
      </c>
      <c r="I66" s="28" t="str">
        <f>IF('12 - Device_Configuration'!AI66="","",'12 - Device_Configuration'!AI66)</f>
        <v/>
      </c>
      <c r="J66" s="28" t="str">
        <f>IF('12 - Device_Configuration'!AJ66="","",'12 - Device_Configuration'!AJ66)</f>
        <v/>
      </c>
      <c r="K66" s="28" t="str">
        <f>IF('12 - Device_Configuration'!AA66="","",'12 - Device_Configuration'!AA66)</f>
        <v/>
      </c>
      <c r="L66" s="28" t="str">
        <f>IF('12 - Device_Configuration'!I66="","",'12 - Device_Configuration'!I66)</f>
        <v/>
      </c>
      <c r="M66" s="29"/>
      <c r="N66" s="28" t="str">
        <f>IF('12 - Device_Configuration'!J66="","",'12 - Device_Configuration'!J66)</f>
        <v>Yes</v>
      </c>
      <c r="O66" s="28" t="str">
        <f>IF('12 - Device_Configuration'!K66="","",'12 - Device_Configuration'!K66)</f>
        <v>No</v>
      </c>
      <c r="P66" s="28" t="str">
        <f>IF('12 - Device_Configuration'!L66="","",'12 - Device_Configuration'!L66)</f>
        <v>No</v>
      </c>
      <c r="Q66" s="29"/>
      <c r="R66" s="28" t="str">
        <f>IF('12 - Device_Configuration'!AY66="","",'12 - Device_Configuration'!AY66)</f>
        <v/>
      </c>
      <c r="S66" s="28" t="str">
        <f>IF('12 - Device_Configuration'!AX66="","",'12 - Device_Configuration'!AX66)</f>
        <v/>
      </c>
      <c r="T66" s="28" t="str">
        <f>IF('12 - Device_Configuration'!AV66="","",'12 - Device_Configuration'!AV66)</f>
        <v/>
      </c>
      <c r="U66" s="28" t="str">
        <f>IF('12 - Device_Configuration'!AW66="","",'12 - Device_Configuration'!AW66)</f>
        <v/>
      </c>
      <c r="V66" s="28" t="str">
        <f>IF('12 - Device_Configuration'!BA66="","",'12 - Device_Configuration'!BA66)</f>
        <v/>
      </c>
      <c r="W66" s="28" t="str">
        <f>IF('12 - Device_Configuration'!BC66="","",'12 - Device_Configuration'!BC66)</f>
        <v/>
      </c>
      <c r="X66" s="28" t="str">
        <f>IF('12 - Device_Configuration'!BK66="","",'12 - Device_Configuration'!BK66)</f>
        <v/>
      </c>
      <c r="Y66" s="28" t="str">
        <f>IF('12 - Device_Configuration'!BB66="","",'12 - Device_Configuration'!BB66)</f>
        <v/>
      </c>
      <c r="Z66" s="28" t="str">
        <f>IF('12 - Device_Configuration'!P66="","",'12 - Device_Configuration'!P66)</f>
        <v/>
      </c>
      <c r="AA66" s="28" t="str">
        <f>IF('12 - Device_Configuration'!Q66="","",'12 - Device_Configuration'!Q66)</f>
        <v/>
      </c>
    </row>
    <row r="67" spans="1:27">
      <c r="A67" s="29"/>
      <c r="B67" s="29"/>
      <c r="C67" s="28" t="str">
        <f>IF('12 - Device_Configuration'!H67="","",'12 - Device_Configuration'!H67)</f>
        <v>NSUH</v>
      </c>
      <c r="D67" s="28" t="str">
        <f>IF('12 - Device_Configuration'!AE67="","",'12 - Device_Configuration'!AE67)</f>
        <v/>
      </c>
      <c r="E67" s="28" t="str">
        <f>IF('12 - Device_Configuration'!AF67="","",'12 - Device_Configuration'!AF67)</f>
        <v/>
      </c>
      <c r="F67" s="28" t="str">
        <f>IF('12 - Device_Configuration'!AG67="","",'12 - Device_Configuration'!AG67)</f>
        <v/>
      </c>
      <c r="G67" s="28" t="str">
        <f>IF('12 - Device_Configuration'!AH67="","",'12 - Device_Configuration'!AH67)</f>
        <v/>
      </c>
      <c r="H67" s="28" t="str">
        <f>IF('12 - Device_Configuration'!A67="","",'12 - Device_Configuration'!A67)</f>
        <v>Cybernet</v>
      </c>
      <c r="I67" s="28" t="str">
        <f>IF('12 - Device_Configuration'!AI67="","",'12 - Device_Configuration'!AI67)</f>
        <v/>
      </c>
      <c r="J67" s="28" t="str">
        <f>IF('12 - Device_Configuration'!AJ67="","",'12 - Device_Configuration'!AJ67)</f>
        <v/>
      </c>
      <c r="K67" s="28" t="str">
        <f>IF('12 - Device_Configuration'!AA67="","",'12 - Device_Configuration'!AA67)</f>
        <v/>
      </c>
      <c r="L67" s="28" t="str">
        <f>IF('12 - Device_Configuration'!I67="","",'12 - Device_Configuration'!I67)</f>
        <v/>
      </c>
      <c r="M67" s="29"/>
      <c r="N67" s="28" t="str">
        <f>IF('12 - Device_Configuration'!J67="","",'12 - Device_Configuration'!J67)</f>
        <v>Yes</v>
      </c>
      <c r="O67" s="28" t="str">
        <f>IF('12 - Device_Configuration'!K67="","",'12 - Device_Configuration'!K67)</f>
        <v>No</v>
      </c>
      <c r="P67" s="28" t="str">
        <f>IF('12 - Device_Configuration'!L67="","",'12 - Device_Configuration'!L67)</f>
        <v>No</v>
      </c>
      <c r="Q67" s="29"/>
      <c r="R67" s="28" t="str">
        <f>IF('12 - Device_Configuration'!AY67="","",'12 - Device_Configuration'!AY67)</f>
        <v/>
      </c>
      <c r="S67" s="28" t="str">
        <f>IF('12 - Device_Configuration'!AX67="","",'12 - Device_Configuration'!AX67)</f>
        <v/>
      </c>
      <c r="T67" s="28" t="str">
        <f>IF('12 - Device_Configuration'!AV67="","",'12 - Device_Configuration'!AV67)</f>
        <v/>
      </c>
      <c r="U67" s="28" t="str">
        <f>IF('12 - Device_Configuration'!AW67="","",'12 - Device_Configuration'!AW67)</f>
        <v/>
      </c>
      <c r="V67" s="28" t="str">
        <f>IF('12 - Device_Configuration'!BA67="","",'12 - Device_Configuration'!BA67)</f>
        <v/>
      </c>
      <c r="W67" s="28" t="str">
        <f>IF('12 - Device_Configuration'!BC67="","",'12 - Device_Configuration'!BC67)</f>
        <v/>
      </c>
      <c r="X67" s="28" t="str">
        <f>IF('12 - Device_Configuration'!BK67="","",'12 - Device_Configuration'!BK67)</f>
        <v/>
      </c>
      <c r="Y67" s="28" t="str">
        <f>IF('12 - Device_Configuration'!BB67="","",'12 - Device_Configuration'!BB67)</f>
        <v/>
      </c>
      <c r="Z67" s="28" t="str">
        <f>IF('12 - Device_Configuration'!P67="","",'12 - Device_Configuration'!P67)</f>
        <v/>
      </c>
      <c r="AA67" s="28" t="str">
        <f>IF('12 - Device_Configuration'!Q67="","",'12 - Device_Configuration'!Q67)</f>
        <v/>
      </c>
    </row>
    <row r="68" spans="1:27">
      <c r="A68" s="29"/>
      <c r="B68" s="29"/>
      <c r="C68" s="28" t="str">
        <f>IF('12 - Device_Configuration'!H68="","",'12 - Device_Configuration'!H68)</f>
        <v>NSUH</v>
      </c>
      <c r="D68" s="28" t="str">
        <f>IF('12 - Device_Configuration'!AE68="","",'12 - Device_Configuration'!AE68)</f>
        <v/>
      </c>
      <c r="E68" s="28" t="str">
        <f>IF('12 - Device_Configuration'!AF68="","",'12 - Device_Configuration'!AF68)</f>
        <v/>
      </c>
      <c r="F68" s="28" t="str">
        <f>IF('12 - Device_Configuration'!AG68="","",'12 - Device_Configuration'!AG68)</f>
        <v/>
      </c>
      <c r="G68" s="28" t="str">
        <f>IF('12 - Device_Configuration'!AH68="","",'12 - Device_Configuration'!AH68)</f>
        <v/>
      </c>
      <c r="H68" s="28" t="str">
        <f>IF('12 - Device_Configuration'!A68="","",'12 - Device_Configuration'!A68)</f>
        <v>Cybernet</v>
      </c>
      <c r="I68" s="28" t="str">
        <f>IF('12 - Device_Configuration'!AI68="","",'12 - Device_Configuration'!AI68)</f>
        <v/>
      </c>
      <c r="J68" s="28" t="str">
        <f>IF('12 - Device_Configuration'!AJ68="","",'12 - Device_Configuration'!AJ68)</f>
        <v/>
      </c>
      <c r="K68" s="28" t="str">
        <f>IF('12 - Device_Configuration'!AA68="","",'12 - Device_Configuration'!AA68)</f>
        <v/>
      </c>
      <c r="L68" s="28" t="str">
        <f>IF('12 - Device_Configuration'!I68="","",'12 - Device_Configuration'!I68)</f>
        <v/>
      </c>
      <c r="M68" s="29"/>
      <c r="N68" s="28" t="str">
        <f>IF('12 - Device_Configuration'!J68="","",'12 - Device_Configuration'!J68)</f>
        <v>Yes</v>
      </c>
      <c r="O68" s="28" t="str">
        <f>IF('12 - Device_Configuration'!K68="","",'12 - Device_Configuration'!K68)</f>
        <v>No</v>
      </c>
      <c r="P68" s="28" t="str">
        <f>IF('12 - Device_Configuration'!L68="","",'12 - Device_Configuration'!L68)</f>
        <v>No</v>
      </c>
      <c r="Q68" s="29"/>
      <c r="R68" s="28" t="str">
        <f>IF('12 - Device_Configuration'!AY68="","",'12 - Device_Configuration'!AY68)</f>
        <v/>
      </c>
      <c r="S68" s="28" t="str">
        <f>IF('12 - Device_Configuration'!AX68="","",'12 - Device_Configuration'!AX68)</f>
        <v/>
      </c>
      <c r="T68" s="28" t="str">
        <f>IF('12 - Device_Configuration'!AV68="","",'12 - Device_Configuration'!AV68)</f>
        <v/>
      </c>
      <c r="U68" s="28" t="str">
        <f>IF('12 - Device_Configuration'!AW68="","",'12 - Device_Configuration'!AW68)</f>
        <v/>
      </c>
      <c r="V68" s="28" t="str">
        <f>IF('12 - Device_Configuration'!BA68="","",'12 - Device_Configuration'!BA68)</f>
        <v/>
      </c>
      <c r="W68" s="28" t="str">
        <f>IF('12 - Device_Configuration'!BC68="","",'12 - Device_Configuration'!BC68)</f>
        <v/>
      </c>
      <c r="X68" s="28" t="str">
        <f>IF('12 - Device_Configuration'!BK68="","",'12 - Device_Configuration'!BK68)</f>
        <v/>
      </c>
      <c r="Y68" s="28" t="str">
        <f>IF('12 - Device_Configuration'!BB68="","",'12 - Device_Configuration'!BB68)</f>
        <v/>
      </c>
      <c r="Z68" s="28" t="str">
        <f>IF('12 - Device_Configuration'!P68="","",'12 - Device_Configuration'!P68)</f>
        <v/>
      </c>
      <c r="AA68" s="28" t="str">
        <f>IF('12 - Device_Configuration'!Q68="","",'12 - Device_Configuration'!Q68)</f>
        <v/>
      </c>
    </row>
    <row r="69" spans="1:27">
      <c r="A69" s="29"/>
      <c r="B69" s="29"/>
      <c r="C69" s="28" t="str">
        <f>IF('12 - Device_Configuration'!H69="","",'12 - Device_Configuration'!H69)</f>
        <v>LIJ - CCMC</v>
      </c>
      <c r="D69" s="28" t="str">
        <f>IF('12 - Device_Configuration'!AE69="","",'12 - Device_Configuration'!AE69)</f>
        <v/>
      </c>
      <c r="E69" s="28" t="str">
        <f>IF('12 - Device_Configuration'!AF69="","",'12 - Device_Configuration'!AF69)</f>
        <v/>
      </c>
      <c r="F69" s="28" t="str">
        <f>IF('12 - Device_Configuration'!AG69="","",'12 - Device_Configuration'!AG69)</f>
        <v/>
      </c>
      <c r="G69" s="28" t="str">
        <f>IF('12 - Device_Configuration'!AH69="","",'12 - Device_Configuration'!AH69)</f>
        <v/>
      </c>
      <c r="H69" s="28" t="str">
        <f>IF('12 - Device_Configuration'!A69="","",'12 - Device_Configuration'!A69)</f>
        <v>Cybernet</v>
      </c>
      <c r="I69" s="28" t="str">
        <f>IF('12 - Device_Configuration'!AI69="","",'12 - Device_Configuration'!AI69)</f>
        <v/>
      </c>
      <c r="J69" s="28" t="str">
        <f>IF('12 - Device_Configuration'!AJ69="","",'12 - Device_Configuration'!AJ69)</f>
        <v/>
      </c>
      <c r="K69" s="28" t="str">
        <f>IF('12 - Device_Configuration'!AA69="","",'12 - Device_Configuration'!AA69)</f>
        <v/>
      </c>
      <c r="L69" s="28" t="str">
        <f>IF('12 - Device_Configuration'!I69="","",'12 - Device_Configuration'!I69)</f>
        <v/>
      </c>
      <c r="M69" s="29"/>
      <c r="N69" s="28" t="str">
        <f>IF('12 - Device_Configuration'!J69="","",'12 - Device_Configuration'!J69)</f>
        <v>Yes</v>
      </c>
      <c r="O69" s="28" t="str">
        <f>IF('12 - Device_Configuration'!K69="","",'12 - Device_Configuration'!K69)</f>
        <v>No</v>
      </c>
      <c r="P69" s="28" t="str">
        <f>IF('12 - Device_Configuration'!L69="","",'12 - Device_Configuration'!L69)</f>
        <v>No</v>
      </c>
      <c r="Q69" s="29"/>
      <c r="R69" s="28" t="str">
        <f>IF('12 - Device_Configuration'!AY69="","",'12 - Device_Configuration'!AY69)</f>
        <v/>
      </c>
      <c r="S69" s="28" t="str">
        <f>IF('12 - Device_Configuration'!AX69="","",'12 - Device_Configuration'!AX69)</f>
        <v/>
      </c>
      <c r="T69" s="28" t="str">
        <f>IF('12 - Device_Configuration'!AV69="","",'12 - Device_Configuration'!AV69)</f>
        <v/>
      </c>
      <c r="U69" s="28" t="str">
        <f>IF('12 - Device_Configuration'!AW69="","",'12 - Device_Configuration'!AW69)</f>
        <v/>
      </c>
      <c r="V69" s="28" t="str">
        <f>IF('12 - Device_Configuration'!BA69="","",'12 - Device_Configuration'!BA69)</f>
        <v/>
      </c>
      <c r="W69" s="28" t="str">
        <f>IF('12 - Device_Configuration'!BC69="","",'12 - Device_Configuration'!BC69)</f>
        <v/>
      </c>
      <c r="X69" s="28" t="str">
        <f>IF('12 - Device_Configuration'!BK69="","",'12 - Device_Configuration'!BK69)</f>
        <v/>
      </c>
      <c r="Y69" s="28" t="str">
        <f>IF('12 - Device_Configuration'!BB69="","",'12 - Device_Configuration'!BB69)</f>
        <v/>
      </c>
      <c r="Z69" s="28" t="str">
        <f>IF('12 - Device_Configuration'!P69="","",'12 - Device_Configuration'!P69)</f>
        <v/>
      </c>
      <c r="AA69" s="28" t="str">
        <f>IF('12 - Device_Configuration'!Q69="","",'12 - Device_Configuration'!Q69)</f>
        <v/>
      </c>
    </row>
    <row r="70" spans="1:27">
      <c r="A70" s="29"/>
      <c r="B70" s="29"/>
      <c r="C70" s="28" t="str">
        <f>IF('12 - Device_Configuration'!H70="","",'12 - Device_Configuration'!H70)</f>
        <v>LIJ - CCMC</v>
      </c>
      <c r="D70" s="28" t="str">
        <f>IF('12 - Device_Configuration'!AE70="","",'12 - Device_Configuration'!AE70)</f>
        <v/>
      </c>
      <c r="E70" s="28" t="str">
        <f>IF('12 - Device_Configuration'!AF70="","",'12 - Device_Configuration'!AF70)</f>
        <v/>
      </c>
      <c r="F70" s="28" t="str">
        <f>IF('12 - Device_Configuration'!AG70="","",'12 - Device_Configuration'!AG70)</f>
        <v/>
      </c>
      <c r="G70" s="28" t="str">
        <f>IF('12 - Device_Configuration'!AH70="","",'12 - Device_Configuration'!AH70)</f>
        <v/>
      </c>
      <c r="H70" s="28" t="str">
        <f>IF('12 - Device_Configuration'!A70="","",'12 - Device_Configuration'!A70)</f>
        <v>Cybernet</v>
      </c>
      <c r="I70" s="28" t="str">
        <f>IF('12 - Device_Configuration'!AI70="","",'12 - Device_Configuration'!AI70)</f>
        <v/>
      </c>
      <c r="J70" s="28" t="str">
        <f>IF('12 - Device_Configuration'!AJ70="","",'12 - Device_Configuration'!AJ70)</f>
        <v/>
      </c>
      <c r="K70" s="28" t="str">
        <f>IF('12 - Device_Configuration'!AA70="","",'12 - Device_Configuration'!AA70)</f>
        <v/>
      </c>
      <c r="L70" s="28" t="str">
        <f>IF('12 - Device_Configuration'!I70="","",'12 - Device_Configuration'!I70)</f>
        <v/>
      </c>
      <c r="M70" s="29"/>
      <c r="N70" s="28" t="str">
        <f>IF('12 - Device_Configuration'!J70="","",'12 - Device_Configuration'!J70)</f>
        <v>Yes</v>
      </c>
      <c r="O70" s="28" t="str">
        <f>IF('12 - Device_Configuration'!K70="","",'12 - Device_Configuration'!K70)</f>
        <v>No</v>
      </c>
      <c r="P70" s="28" t="str">
        <f>IF('12 - Device_Configuration'!L70="","",'12 - Device_Configuration'!L70)</f>
        <v>No</v>
      </c>
      <c r="Q70" s="29"/>
      <c r="R70" s="28" t="str">
        <f>IF('12 - Device_Configuration'!AY70="","",'12 - Device_Configuration'!AY70)</f>
        <v/>
      </c>
      <c r="S70" s="28" t="str">
        <f>IF('12 - Device_Configuration'!AX70="","",'12 - Device_Configuration'!AX70)</f>
        <v/>
      </c>
      <c r="T70" s="28" t="str">
        <f>IF('12 - Device_Configuration'!AV70="","",'12 - Device_Configuration'!AV70)</f>
        <v/>
      </c>
      <c r="U70" s="28" t="str">
        <f>IF('12 - Device_Configuration'!AW70="","",'12 - Device_Configuration'!AW70)</f>
        <v/>
      </c>
      <c r="V70" s="28" t="str">
        <f>IF('12 - Device_Configuration'!BA70="","",'12 - Device_Configuration'!BA70)</f>
        <v/>
      </c>
      <c r="W70" s="28" t="str">
        <f>IF('12 - Device_Configuration'!BC70="","",'12 - Device_Configuration'!BC70)</f>
        <v/>
      </c>
      <c r="X70" s="28" t="str">
        <f>IF('12 - Device_Configuration'!BK70="","",'12 - Device_Configuration'!BK70)</f>
        <v/>
      </c>
      <c r="Y70" s="28" t="str">
        <f>IF('12 - Device_Configuration'!BB70="","",'12 - Device_Configuration'!BB70)</f>
        <v/>
      </c>
      <c r="Z70" s="28" t="str">
        <f>IF('12 - Device_Configuration'!P70="","",'12 - Device_Configuration'!P70)</f>
        <v/>
      </c>
      <c r="AA70" s="28" t="str">
        <f>IF('12 - Device_Configuration'!Q70="","",'12 - Device_Configuration'!Q70)</f>
        <v/>
      </c>
    </row>
    <row r="71" spans="1:27">
      <c r="A71" s="29"/>
      <c r="B71" s="29"/>
      <c r="C71" s="28" t="str">
        <f>IF('12 - Device_Configuration'!H71="","",'12 - Device_Configuration'!H71)</f>
        <v>LIJ - CCMC</v>
      </c>
      <c r="D71" s="28" t="str">
        <f>IF('12 - Device_Configuration'!AE71="","",'12 - Device_Configuration'!AE71)</f>
        <v/>
      </c>
      <c r="E71" s="28" t="str">
        <f>IF('12 - Device_Configuration'!AF71="","",'12 - Device_Configuration'!AF71)</f>
        <v/>
      </c>
      <c r="F71" s="28" t="str">
        <f>IF('12 - Device_Configuration'!AG71="","",'12 - Device_Configuration'!AG71)</f>
        <v/>
      </c>
      <c r="G71" s="28" t="str">
        <f>IF('12 - Device_Configuration'!AH71="","",'12 - Device_Configuration'!AH71)</f>
        <v/>
      </c>
      <c r="H71" s="28" t="str">
        <f>IF('12 - Device_Configuration'!A71="","",'12 - Device_Configuration'!A71)</f>
        <v>Cybernet</v>
      </c>
      <c r="I71" s="28" t="str">
        <f>IF('12 - Device_Configuration'!AI71="","",'12 - Device_Configuration'!AI71)</f>
        <v/>
      </c>
      <c r="J71" s="28" t="str">
        <f>IF('12 - Device_Configuration'!AJ71="","",'12 - Device_Configuration'!AJ71)</f>
        <v/>
      </c>
      <c r="K71" s="28" t="str">
        <f>IF('12 - Device_Configuration'!AA71="","",'12 - Device_Configuration'!AA71)</f>
        <v/>
      </c>
      <c r="L71" s="28" t="str">
        <f>IF('12 - Device_Configuration'!I71="","",'12 - Device_Configuration'!I71)</f>
        <v/>
      </c>
      <c r="M71" s="29"/>
      <c r="N71" s="28" t="str">
        <f>IF('12 - Device_Configuration'!J71="","",'12 - Device_Configuration'!J71)</f>
        <v>Yes</v>
      </c>
      <c r="O71" s="28" t="str">
        <f>IF('12 - Device_Configuration'!K71="","",'12 - Device_Configuration'!K71)</f>
        <v>No</v>
      </c>
      <c r="P71" s="28" t="str">
        <f>IF('12 - Device_Configuration'!L71="","",'12 - Device_Configuration'!L71)</f>
        <v>No</v>
      </c>
      <c r="Q71" s="29"/>
      <c r="R71" s="28" t="str">
        <f>IF('12 - Device_Configuration'!AY71="","",'12 - Device_Configuration'!AY71)</f>
        <v/>
      </c>
      <c r="S71" s="28" t="str">
        <f>IF('12 - Device_Configuration'!AX71="","",'12 - Device_Configuration'!AX71)</f>
        <v/>
      </c>
      <c r="T71" s="28" t="str">
        <f>IF('12 - Device_Configuration'!AV71="","",'12 - Device_Configuration'!AV71)</f>
        <v/>
      </c>
      <c r="U71" s="28" t="str">
        <f>IF('12 - Device_Configuration'!AW71="","",'12 - Device_Configuration'!AW71)</f>
        <v/>
      </c>
      <c r="V71" s="28" t="str">
        <f>IF('12 - Device_Configuration'!BA71="","",'12 - Device_Configuration'!BA71)</f>
        <v/>
      </c>
      <c r="W71" s="28" t="str">
        <f>IF('12 - Device_Configuration'!BC71="","",'12 - Device_Configuration'!BC71)</f>
        <v/>
      </c>
      <c r="X71" s="28" t="str">
        <f>IF('12 - Device_Configuration'!BK71="","",'12 - Device_Configuration'!BK71)</f>
        <v/>
      </c>
      <c r="Y71" s="28" t="str">
        <f>IF('12 - Device_Configuration'!BB71="","",'12 - Device_Configuration'!BB71)</f>
        <v/>
      </c>
      <c r="Z71" s="28" t="str">
        <f>IF('12 - Device_Configuration'!P71="","",'12 - Device_Configuration'!P71)</f>
        <v/>
      </c>
      <c r="AA71" s="28" t="str">
        <f>IF('12 - Device_Configuration'!Q71="","",'12 - Device_Configuration'!Q71)</f>
        <v/>
      </c>
    </row>
    <row r="72" spans="1:27">
      <c r="A72" s="29"/>
      <c r="B72" s="29"/>
      <c r="C72" s="28" t="str">
        <f>IF('12 - Device_Configuration'!H72="","",'12 - Device_Configuration'!H72)</f>
        <v>LIJ - CCMC</v>
      </c>
      <c r="D72" s="28" t="str">
        <f>IF('12 - Device_Configuration'!AE72="","",'12 - Device_Configuration'!AE72)</f>
        <v/>
      </c>
      <c r="E72" s="28" t="str">
        <f>IF('12 - Device_Configuration'!AF72="","",'12 - Device_Configuration'!AF72)</f>
        <v/>
      </c>
      <c r="F72" s="28" t="str">
        <f>IF('12 - Device_Configuration'!AG72="","",'12 - Device_Configuration'!AG72)</f>
        <v/>
      </c>
      <c r="G72" s="28" t="str">
        <f>IF('12 - Device_Configuration'!AH72="","",'12 - Device_Configuration'!AH72)</f>
        <v/>
      </c>
      <c r="H72" s="28" t="str">
        <f>IF('12 - Device_Configuration'!A72="","",'12 - Device_Configuration'!A72)</f>
        <v>Cybernet</v>
      </c>
      <c r="I72" s="28" t="str">
        <f>IF('12 - Device_Configuration'!AI72="","",'12 - Device_Configuration'!AI72)</f>
        <v/>
      </c>
      <c r="J72" s="28" t="str">
        <f>IF('12 - Device_Configuration'!AJ72="","",'12 - Device_Configuration'!AJ72)</f>
        <v/>
      </c>
      <c r="K72" s="28" t="str">
        <f>IF('12 - Device_Configuration'!AA72="","",'12 - Device_Configuration'!AA72)</f>
        <v/>
      </c>
      <c r="L72" s="28" t="str">
        <f>IF('12 - Device_Configuration'!I72="","",'12 - Device_Configuration'!I72)</f>
        <v/>
      </c>
      <c r="M72" s="29"/>
      <c r="N72" s="28" t="str">
        <f>IF('12 - Device_Configuration'!J72="","",'12 - Device_Configuration'!J72)</f>
        <v>Yes</v>
      </c>
      <c r="O72" s="28" t="str">
        <f>IF('12 - Device_Configuration'!K72="","",'12 - Device_Configuration'!K72)</f>
        <v>No</v>
      </c>
      <c r="P72" s="28" t="str">
        <f>IF('12 - Device_Configuration'!L72="","",'12 - Device_Configuration'!L72)</f>
        <v>No</v>
      </c>
      <c r="Q72" s="29"/>
      <c r="R72" s="28" t="str">
        <f>IF('12 - Device_Configuration'!AY72="","",'12 - Device_Configuration'!AY72)</f>
        <v/>
      </c>
      <c r="S72" s="28" t="str">
        <f>IF('12 - Device_Configuration'!AX72="","",'12 - Device_Configuration'!AX72)</f>
        <v/>
      </c>
      <c r="T72" s="28" t="str">
        <f>IF('12 - Device_Configuration'!AV72="","",'12 - Device_Configuration'!AV72)</f>
        <v/>
      </c>
      <c r="U72" s="28" t="str">
        <f>IF('12 - Device_Configuration'!AW72="","",'12 - Device_Configuration'!AW72)</f>
        <v/>
      </c>
      <c r="V72" s="28" t="str">
        <f>IF('12 - Device_Configuration'!BA72="","",'12 - Device_Configuration'!BA72)</f>
        <v/>
      </c>
      <c r="W72" s="28" t="str">
        <f>IF('12 - Device_Configuration'!BC72="","",'12 - Device_Configuration'!BC72)</f>
        <v/>
      </c>
      <c r="X72" s="28" t="str">
        <f>IF('12 - Device_Configuration'!BK72="","",'12 - Device_Configuration'!BK72)</f>
        <v/>
      </c>
      <c r="Y72" s="28" t="str">
        <f>IF('12 - Device_Configuration'!BB72="","",'12 - Device_Configuration'!BB72)</f>
        <v/>
      </c>
      <c r="Z72" s="28" t="str">
        <f>IF('12 - Device_Configuration'!P72="","",'12 - Device_Configuration'!P72)</f>
        <v/>
      </c>
      <c r="AA72" s="28" t="str">
        <f>IF('12 - Device_Configuration'!Q72="","",'12 - Device_Configuration'!Q72)</f>
        <v/>
      </c>
    </row>
    <row r="73" spans="1:27">
      <c r="A73" s="29"/>
      <c r="B73" s="29"/>
      <c r="C73" s="28" t="str">
        <f>IF('12 - Device_Configuration'!H73="","",'12 - Device_Configuration'!H73)</f>
        <v>LIJ - CCMC</v>
      </c>
      <c r="D73" s="28" t="str">
        <f>IF('12 - Device_Configuration'!AE73="","",'12 - Device_Configuration'!AE73)</f>
        <v/>
      </c>
      <c r="E73" s="28" t="str">
        <f>IF('12 - Device_Configuration'!AF73="","",'12 - Device_Configuration'!AF73)</f>
        <v/>
      </c>
      <c r="F73" s="28" t="str">
        <f>IF('12 - Device_Configuration'!AG73="","",'12 - Device_Configuration'!AG73)</f>
        <v/>
      </c>
      <c r="G73" s="28" t="str">
        <f>IF('12 - Device_Configuration'!AH73="","",'12 - Device_Configuration'!AH73)</f>
        <v/>
      </c>
      <c r="H73" s="28" t="str">
        <f>IF('12 - Device_Configuration'!A73="","",'12 - Device_Configuration'!A73)</f>
        <v>Cybernet</v>
      </c>
      <c r="I73" s="28" t="str">
        <f>IF('12 - Device_Configuration'!AI73="","",'12 - Device_Configuration'!AI73)</f>
        <v/>
      </c>
      <c r="J73" s="28" t="str">
        <f>IF('12 - Device_Configuration'!AJ73="","",'12 - Device_Configuration'!AJ73)</f>
        <v/>
      </c>
      <c r="K73" s="28" t="str">
        <f>IF('12 - Device_Configuration'!AA73="","",'12 - Device_Configuration'!AA73)</f>
        <v/>
      </c>
      <c r="L73" s="28" t="str">
        <f>IF('12 - Device_Configuration'!I73="","",'12 - Device_Configuration'!I73)</f>
        <v/>
      </c>
      <c r="M73" s="29"/>
      <c r="N73" s="28" t="str">
        <f>IF('12 - Device_Configuration'!J73="","",'12 - Device_Configuration'!J73)</f>
        <v>Yes</v>
      </c>
      <c r="O73" s="28" t="str">
        <f>IF('12 - Device_Configuration'!K73="","",'12 - Device_Configuration'!K73)</f>
        <v>No</v>
      </c>
      <c r="P73" s="28" t="str">
        <f>IF('12 - Device_Configuration'!L73="","",'12 - Device_Configuration'!L73)</f>
        <v>No</v>
      </c>
      <c r="Q73" s="29"/>
      <c r="R73" s="28" t="str">
        <f>IF('12 - Device_Configuration'!AY73="","",'12 - Device_Configuration'!AY73)</f>
        <v/>
      </c>
      <c r="S73" s="28" t="str">
        <f>IF('12 - Device_Configuration'!AX73="","",'12 - Device_Configuration'!AX73)</f>
        <v/>
      </c>
      <c r="T73" s="28" t="str">
        <f>IF('12 - Device_Configuration'!AV73="","",'12 - Device_Configuration'!AV73)</f>
        <v/>
      </c>
      <c r="U73" s="28" t="str">
        <f>IF('12 - Device_Configuration'!AW73="","",'12 - Device_Configuration'!AW73)</f>
        <v/>
      </c>
      <c r="V73" s="28" t="str">
        <f>IF('12 - Device_Configuration'!BA73="","",'12 - Device_Configuration'!BA73)</f>
        <v/>
      </c>
      <c r="W73" s="28" t="str">
        <f>IF('12 - Device_Configuration'!BC73="","",'12 - Device_Configuration'!BC73)</f>
        <v/>
      </c>
      <c r="X73" s="28" t="str">
        <f>IF('12 - Device_Configuration'!BK73="","",'12 - Device_Configuration'!BK73)</f>
        <v/>
      </c>
      <c r="Y73" s="28" t="str">
        <f>IF('12 - Device_Configuration'!BB73="","",'12 - Device_Configuration'!BB73)</f>
        <v/>
      </c>
      <c r="Z73" s="28" t="str">
        <f>IF('12 - Device_Configuration'!P73="","",'12 - Device_Configuration'!P73)</f>
        <v/>
      </c>
      <c r="AA73" s="28" t="str">
        <f>IF('12 - Device_Configuration'!Q73="","",'12 - Device_Configuration'!Q73)</f>
        <v/>
      </c>
    </row>
    <row r="74" spans="1:27">
      <c r="A74" s="29"/>
      <c r="B74" s="29"/>
      <c r="C74" s="28" t="str">
        <f>IF('12 - Device_Configuration'!H74="","",'12 - Device_Configuration'!H74)</f>
        <v>LIJ - CCMC</v>
      </c>
      <c r="D74" s="28" t="str">
        <f>IF('12 - Device_Configuration'!AE74="","",'12 - Device_Configuration'!AE74)</f>
        <v/>
      </c>
      <c r="E74" s="28" t="str">
        <f>IF('12 - Device_Configuration'!AF74="","",'12 - Device_Configuration'!AF74)</f>
        <v/>
      </c>
      <c r="F74" s="28" t="str">
        <f>IF('12 - Device_Configuration'!AG74="","",'12 - Device_Configuration'!AG74)</f>
        <v/>
      </c>
      <c r="G74" s="28" t="str">
        <f>IF('12 - Device_Configuration'!AH74="","",'12 - Device_Configuration'!AH74)</f>
        <v/>
      </c>
      <c r="H74" s="28" t="str">
        <f>IF('12 - Device_Configuration'!A74="","",'12 - Device_Configuration'!A74)</f>
        <v>Cybernet</v>
      </c>
      <c r="I74" s="28" t="str">
        <f>IF('12 - Device_Configuration'!AI74="","",'12 - Device_Configuration'!AI74)</f>
        <v/>
      </c>
      <c r="J74" s="28" t="str">
        <f>IF('12 - Device_Configuration'!AJ74="","",'12 - Device_Configuration'!AJ74)</f>
        <v/>
      </c>
      <c r="K74" s="28" t="str">
        <f>IF('12 - Device_Configuration'!AA74="","",'12 - Device_Configuration'!AA74)</f>
        <v/>
      </c>
      <c r="L74" s="28" t="str">
        <f>IF('12 - Device_Configuration'!I74="","",'12 - Device_Configuration'!I74)</f>
        <v/>
      </c>
      <c r="M74" s="29"/>
      <c r="N74" s="28" t="str">
        <f>IF('12 - Device_Configuration'!J74="","",'12 - Device_Configuration'!J74)</f>
        <v>Yes</v>
      </c>
      <c r="O74" s="28" t="str">
        <f>IF('12 - Device_Configuration'!K74="","",'12 - Device_Configuration'!K74)</f>
        <v>No</v>
      </c>
      <c r="P74" s="28" t="str">
        <f>IF('12 - Device_Configuration'!L74="","",'12 - Device_Configuration'!L74)</f>
        <v>No</v>
      </c>
      <c r="Q74" s="29"/>
      <c r="R74" s="28" t="str">
        <f>IF('12 - Device_Configuration'!AY74="","",'12 - Device_Configuration'!AY74)</f>
        <v/>
      </c>
      <c r="S74" s="28" t="str">
        <f>IF('12 - Device_Configuration'!AX74="","",'12 - Device_Configuration'!AX74)</f>
        <v/>
      </c>
      <c r="T74" s="28" t="str">
        <f>IF('12 - Device_Configuration'!AV74="","",'12 - Device_Configuration'!AV74)</f>
        <v/>
      </c>
      <c r="U74" s="28" t="str">
        <f>IF('12 - Device_Configuration'!AW74="","",'12 - Device_Configuration'!AW74)</f>
        <v/>
      </c>
      <c r="V74" s="28" t="str">
        <f>IF('12 - Device_Configuration'!BA74="","",'12 - Device_Configuration'!BA74)</f>
        <v/>
      </c>
      <c r="W74" s="28" t="str">
        <f>IF('12 - Device_Configuration'!BC74="","",'12 - Device_Configuration'!BC74)</f>
        <v/>
      </c>
      <c r="X74" s="28" t="str">
        <f>IF('12 - Device_Configuration'!BK74="","",'12 - Device_Configuration'!BK74)</f>
        <v/>
      </c>
      <c r="Y74" s="28" t="str">
        <f>IF('12 - Device_Configuration'!BB74="","",'12 - Device_Configuration'!BB74)</f>
        <v/>
      </c>
      <c r="Z74" s="28" t="str">
        <f>IF('12 - Device_Configuration'!P74="","",'12 - Device_Configuration'!P74)</f>
        <v/>
      </c>
      <c r="AA74" s="28" t="str">
        <f>IF('12 - Device_Configuration'!Q74="","",'12 - Device_Configuration'!Q74)</f>
        <v/>
      </c>
    </row>
    <row r="75" spans="1:27">
      <c r="A75" s="29"/>
      <c r="B75" s="29"/>
      <c r="C75" s="28" t="str">
        <f>IF('12 - Device_Configuration'!H75="","",'12 - Device_Configuration'!H75)</f>
        <v>LIJ - CCMC</v>
      </c>
      <c r="D75" s="28" t="str">
        <f>IF('12 - Device_Configuration'!AE75="","",'12 - Device_Configuration'!AE75)</f>
        <v/>
      </c>
      <c r="E75" s="28" t="str">
        <f>IF('12 - Device_Configuration'!AF75="","",'12 - Device_Configuration'!AF75)</f>
        <v/>
      </c>
      <c r="F75" s="28" t="str">
        <f>IF('12 - Device_Configuration'!AG75="","",'12 - Device_Configuration'!AG75)</f>
        <v/>
      </c>
      <c r="G75" s="28" t="str">
        <f>IF('12 - Device_Configuration'!AH75="","",'12 - Device_Configuration'!AH75)</f>
        <v/>
      </c>
      <c r="H75" s="28" t="str">
        <f>IF('12 - Device_Configuration'!A75="","",'12 - Device_Configuration'!A75)</f>
        <v>Cybernet</v>
      </c>
      <c r="I75" s="28" t="str">
        <f>IF('12 - Device_Configuration'!AI75="","",'12 - Device_Configuration'!AI75)</f>
        <v/>
      </c>
      <c r="J75" s="28" t="str">
        <f>IF('12 - Device_Configuration'!AJ75="","",'12 - Device_Configuration'!AJ75)</f>
        <v/>
      </c>
      <c r="K75" s="28" t="str">
        <f>IF('12 - Device_Configuration'!AA75="","",'12 - Device_Configuration'!AA75)</f>
        <v/>
      </c>
      <c r="L75" s="28" t="str">
        <f>IF('12 - Device_Configuration'!I75="","",'12 - Device_Configuration'!I75)</f>
        <v/>
      </c>
      <c r="M75" s="29"/>
      <c r="N75" s="28" t="str">
        <f>IF('12 - Device_Configuration'!J75="","",'12 - Device_Configuration'!J75)</f>
        <v>Yes</v>
      </c>
      <c r="O75" s="28" t="str">
        <f>IF('12 - Device_Configuration'!K75="","",'12 - Device_Configuration'!K75)</f>
        <v>No</v>
      </c>
      <c r="P75" s="28" t="str">
        <f>IF('12 - Device_Configuration'!L75="","",'12 - Device_Configuration'!L75)</f>
        <v>No</v>
      </c>
      <c r="Q75" s="29"/>
      <c r="R75" s="28" t="str">
        <f>IF('12 - Device_Configuration'!AY75="","",'12 - Device_Configuration'!AY75)</f>
        <v/>
      </c>
      <c r="S75" s="28" t="str">
        <f>IF('12 - Device_Configuration'!AX75="","",'12 - Device_Configuration'!AX75)</f>
        <v/>
      </c>
      <c r="T75" s="28" t="str">
        <f>IF('12 - Device_Configuration'!AV75="","",'12 - Device_Configuration'!AV75)</f>
        <v/>
      </c>
      <c r="U75" s="28" t="str">
        <f>IF('12 - Device_Configuration'!AW75="","",'12 - Device_Configuration'!AW75)</f>
        <v/>
      </c>
      <c r="V75" s="28" t="str">
        <f>IF('12 - Device_Configuration'!BA75="","",'12 - Device_Configuration'!BA75)</f>
        <v/>
      </c>
      <c r="W75" s="28" t="str">
        <f>IF('12 - Device_Configuration'!BC75="","",'12 - Device_Configuration'!BC75)</f>
        <v/>
      </c>
      <c r="X75" s="28" t="str">
        <f>IF('12 - Device_Configuration'!BK75="","",'12 - Device_Configuration'!BK75)</f>
        <v/>
      </c>
      <c r="Y75" s="28" t="str">
        <f>IF('12 - Device_Configuration'!BB75="","",'12 - Device_Configuration'!BB75)</f>
        <v/>
      </c>
      <c r="Z75" s="28" t="str">
        <f>IF('12 - Device_Configuration'!P75="","",'12 - Device_Configuration'!P75)</f>
        <v/>
      </c>
      <c r="AA75" s="28" t="str">
        <f>IF('12 - Device_Configuration'!Q75="","",'12 - Device_Configuration'!Q75)</f>
        <v/>
      </c>
    </row>
    <row r="76" spans="1:27">
      <c r="A76" s="29"/>
      <c r="B76" s="29"/>
      <c r="C76" s="28" t="str">
        <f>IF('12 - Device_Configuration'!H76="","",'12 - Device_Configuration'!H76)</f>
        <v>LIJ - CCMC</v>
      </c>
      <c r="D76" s="28" t="str">
        <f>IF('12 - Device_Configuration'!AE76="","",'12 - Device_Configuration'!AE76)</f>
        <v/>
      </c>
      <c r="E76" s="28" t="str">
        <f>IF('12 - Device_Configuration'!AF76="","",'12 - Device_Configuration'!AF76)</f>
        <v/>
      </c>
      <c r="F76" s="28" t="str">
        <f>IF('12 - Device_Configuration'!AG76="","",'12 - Device_Configuration'!AG76)</f>
        <v/>
      </c>
      <c r="G76" s="28" t="str">
        <f>IF('12 - Device_Configuration'!AH76="","",'12 - Device_Configuration'!AH76)</f>
        <v/>
      </c>
      <c r="H76" s="28" t="str">
        <f>IF('12 - Device_Configuration'!A76="","",'12 - Device_Configuration'!A76)</f>
        <v>Cybernet</v>
      </c>
      <c r="I76" s="28" t="str">
        <f>IF('12 - Device_Configuration'!AI76="","",'12 - Device_Configuration'!AI76)</f>
        <v/>
      </c>
      <c r="J76" s="28" t="str">
        <f>IF('12 - Device_Configuration'!AJ76="","",'12 - Device_Configuration'!AJ76)</f>
        <v/>
      </c>
      <c r="K76" s="28" t="str">
        <f>IF('12 - Device_Configuration'!AA76="","",'12 - Device_Configuration'!AA76)</f>
        <v/>
      </c>
      <c r="L76" s="28" t="str">
        <f>IF('12 - Device_Configuration'!I76="","",'12 - Device_Configuration'!I76)</f>
        <v/>
      </c>
      <c r="M76" s="29"/>
      <c r="N76" s="28" t="str">
        <f>IF('12 - Device_Configuration'!J76="","",'12 - Device_Configuration'!J76)</f>
        <v>Yes</v>
      </c>
      <c r="O76" s="28" t="str">
        <f>IF('12 - Device_Configuration'!K76="","",'12 - Device_Configuration'!K76)</f>
        <v>No</v>
      </c>
      <c r="P76" s="28" t="str">
        <f>IF('12 - Device_Configuration'!L76="","",'12 - Device_Configuration'!L76)</f>
        <v>No</v>
      </c>
      <c r="Q76" s="29"/>
      <c r="R76" s="28" t="str">
        <f>IF('12 - Device_Configuration'!AY76="","",'12 - Device_Configuration'!AY76)</f>
        <v/>
      </c>
      <c r="S76" s="28" t="str">
        <f>IF('12 - Device_Configuration'!AX76="","",'12 - Device_Configuration'!AX76)</f>
        <v/>
      </c>
      <c r="T76" s="28" t="str">
        <f>IF('12 - Device_Configuration'!AV76="","",'12 - Device_Configuration'!AV76)</f>
        <v/>
      </c>
      <c r="U76" s="28" t="str">
        <f>IF('12 - Device_Configuration'!AW76="","",'12 - Device_Configuration'!AW76)</f>
        <v/>
      </c>
      <c r="V76" s="28" t="str">
        <f>IF('12 - Device_Configuration'!BA76="","",'12 - Device_Configuration'!BA76)</f>
        <v/>
      </c>
      <c r="W76" s="28" t="str">
        <f>IF('12 - Device_Configuration'!BC76="","",'12 - Device_Configuration'!BC76)</f>
        <v/>
      </c>
      <c r="X76" s="28" t="str">
        <f>IF('12 - Device_Configuration'!BK76="","",'12 - Device_Configuration'!BK76)</f>
        <v/>
      </c>
      <c r="Y76" s="28" t="str">
        <f>IF('12 - Device_Configuration'!BB76="","",'12 - Device_Configuration'!BB76)</f>
        <v/>
      </c>
      <c r="Z76" s="28" t="str">
        <f>IF('12 - Device_Configuration'!P76="","",'12 - Device_Configuration'!P76)</f>
        <v/>
      </c>
      <c r="AA76" s="28" t="str">
        <f>IF('12 - Device_Configuration'!Q76="","",'12 - Device_Configuration'!Q76)</f>
        <v/>
      </c>
    </row>
    <row r="77" spans="1:27">
      <c r="A77" s="29"/>
      <c r="B77" s="29"/>
      <c r="C77" s="28" t="str">
        <f>IF('12 - Device_Configuration'!H77="","",'12 - Device_Configuration'!H77)</f>
        <v>LIJ - CCMC</v>
      </c>
      <c r="D77" s="28" t="str">
        <f>IF('12 - Device_Configuration'!AE77="","",'12 - Device_Configuration'!AE77)</f>
        <v/>
      </c>
      <c r="E77" s="28" t="str">
        <f>IF('12 - Device_Configuration'!AF77="","",'12 - Device_Configuration'!AF77)</f>
        <v/>
      </c>
      <c r="F77" s="28" t="str">
        <f>IF('12 - Device_Configuration'!AG77="","",'12 - Device_Configuration'!AG77)</f>
        <v/>
      </c>
      <c r="G77" s="28" t="str">
        <f>IF('12 - Device_Configuration'!AH77="","",'12 - Device_Configuration'!AH77)</f>
        <v/>
      </c>
      <c r="H77" s="28" t="str">
        <f>IF('12 - Device_Configuration'!A77="","",'12 - Device_Configuration'!A77)</f>
        <v>Cybernet</v>
      </c>
      <c r="I77" s="28" t="str">
        <f>IF('12 - Device_Configuration'!AI77="","",'12 - Device_Configuration'!AI77)</f>
        <v/>
      </c>
      <c r="J77" s="28" t="str">
        <f>IF('12 - Device_Configuration'!AJ77="","",'12 - Device_Configuration'!AJ77)</f>
        <v/>
      </c>
      <c r="K77" s="28" t="str">
        <f>IF('12 - Device_Configuration'!AA77="","",'12 - Device_Configuration'!AA77)</f>
        <v/>
      </c>
      <c r="L77" s="28" t="str">
        <f>IF('12 - Device_Configuration'!I77="","",'12 - Device_Configuration'!I77)</f>
        <v/>
      </c>
      <c r="M77" s="29"/>
      <c r="N77" s="28" t="str">
        <f>IF('12 - Device_Configuration'!J77="","",'12 - Device_Configuration'!J77)</f>
        <v>Yes</v>
      </c>
      <c r="O77" s="28" t="str">
        <f>IF('12 - Device_Configuration'!K77="","",'12 - Device_Configuration'!K77)</f>
        <v>No</v>
      </c>
      <c r="P77" s="28" t="str">
        <f>IF('12 - Device_Configuration'!L77="","",'12 - Device_Configuration'!L77)</f>
        <v>No</v>
      </c>
      <c r="Q77" s="29"/>
      <c r="R77" s="28" t="str">
        <f>IF('12 - Device_Configuration'!AY77="","",'12 - Device_Configuration'!AY77)</f>
        <v/>
      </c>
      <c r="S77" s="28" t="str">
        <f>IF('12 - Device_Configuration'!AX77="","",'12 - Device_Configuration'!AX77)</f>
        <v/>
      </c>
      <c r="T77" s="28" t="str">
        <f>IF('12 - Device_Configuration'!AV77="","",'12 - Device_Configuration'!AV77)</f>
        <v/>
      </c>
      <c r="U77" s="28" t="str">
        <f>IF('12 - Device_Configuration'!AW77="","",'12 - Device_Configuration'!AW77)</f>
        <v/>
      </c>
      <c r="V77" s="28" t="str">
        <f>IF('12 - Device_Configuration'!BA77="","",'12 - Device_Configuration'!BA77)</f>
        <v/>
      </c>
      <c r="W77" s="28" t="str">
        <f>IF('12 - Device_Configuration'!BC77="","",'12 - Device_Configuration'!BC77)</f>
        <v/>
      </c>
      <c r="X77" s="28" t="str">
        <f>IF('12 - Device_Configuration'!BK77="","",'12 - Device_Configuration'!BK77)</f>
        <v/>
      </c>
      <c r="Y77" s="28" t="str">
        <f>IF('12 - Device_Configuration'!BB77="","",'12 - Device_Configuration'!BB77)</f>
        <v/>
      </c>
      <c r="Z77" s="28" t="str">
        <f>IF('12 - Device_Configuration'!P77="","",'12 - Device_Configuration'!P77)</f>
        <v/>
      </c>
      <c r="AA77" s="28" t="str">
        <f>IF('12 - Device_Configuration'!Q77="","",'12 - Device_Configuration'!Q77)</f>
        <v/>
      </c>
    </row>
    <row r="78" spans="1:27">
      <c r="A78" s="29"/>
      <c r="B78" s="29"/>
      <c r="C78" s="28" t="str">
        <f>IF('12 - Device_Configuration'!H78="","",'12 - Device_Configuration'!H78)</f>
        <v>CFAM</v>
      </c>
      <c r="D78" s="28" t="str">
        <f>IF('12 - Device_Configuration'!AE78="","",'12 - Device_Configuration'!AE78)</f>
        <v/>
      </c>
      <c r="E78" s="28" t="str">
        <f>IF('12 - Device_Configuration'!AF78="","",'12 - Device_Configuration'!AF78)</f>
        <v/>
      </c>
      <c r="F78" s="28" t="str">
        <f>IF('12 - Device_Configuration'!AG78="","",'12 - Device_Configuration'!AG78)</f>
        <v/>
      </c>
      <c r="G78" s="28" t="str">
        <f>IF('12 - Device_Configuration'!AH78="","",'12 - Device_Configuration'!AH78)</f>
        <v/>
      </c>
      <c r="H78" s="28" t="str">
        <f>IF('12 - Device_Configuration'!A78="","",'12 - Device_Configuration'!A78)</f>
        <v>Cybernet</v>
      </c>
      <c r="I78" s="28" t="str">
        <f>IF('12 - Device_Configuration'!AI78="","",'12 - Device_Configuration'!AI78)</f>
        <v/>
      </c>
      <c r="J78" s="28" t="str">
        <f>IF('12 - Device_Configuration'!AJ78="","",'12 - Device_Configuration'!AJ78)</f>
        <v/>
      </c>
      <c r="K78" s="28" t="str">
        <f>IF('12 - Device_Configuration'!AA78="","",'12 - Device_Configuration'!AA78)</f>
        <v/>
      </c>
      <c r="L78" s="28" t="str">
        <f>IF('12 - Device_Configuration'!I78="","",'12 - Device_Configuration'!I78)</f>
        <v/>
      </c>
      <c r="M78" s="29"/>
      <c r="N78" s="28" t="str">
        <f>IF('12 - Device_Configuration'!J78="","",'12 - Device_Configuration'!J78)</f>
        <v>Yes</v>
      </c>
      <c r="O78" s="28" t="str">
        <f>IF('12 - Device_Configuration'!K78="","",'12 - Device_Configuration'!K78)</f>
        <v>No</v>
      </c>
      <c r="P78" s="28" t="str">
        <f>IF('12 - Device_Configuration'!L78="","",'12 - Device_Configuration'!L78)</f>
        <v>No</v>
      </c>
      <c r="Q78" s="29"/>
      <c r="R78" s="28" t="str">
        <f>IF('12 - Device_Configuration'!AY78="","",'12 - Device_Configuration'!AY78)</f>
        <v/>
      </c>
      <c r="S78" s="28" t="str">
        <f>IF('12 - Device_Configuration'!AX78="","",'12 - Device_Configuration'!AX78)</f>
        <v/>
      </c>
      <c r="T78" s="28" t="str">
        <f>IF('12 - Device_Configuration'!AV78="","",'12 - Device_Configuration'!AV78)</f>
        <v/>
      </c>
      <c r="U78" s="28" t="str">
        <f>IF('12 - Device_Configuration'!AW78="","",'12 - Device_Configuration'!AW78)</f>
        <v/>
      </c>
      <c r="V78" s="28" t="str">
        <f>IF('12 - Device_Configuration'!BA78="","",'12 - Device_Configuration'!BA78)</f>
        <v/>
      </c>
      <c r="W78" s="28" t="str">
        <f>IF('12 - Device_Configuration'!BC78="","",'12 - Device_Configuration'!BC78)</f>
        <v/>
      </c>
      <c r="X78" s="28" t="str">
        <f>IF('12 - Device_Configuration'!BK78="","",'12 - Device_Configuration'!BK78)</f>
        <v/>
      </c>
      <c r="Y78" s="28" t="str">
        <f>IF('12 - Device_Configuration'!BB78="","",'12 - Device_Configuration'!BB78)</f>
        <v/>
      </c>
      <c r="Z78" s="28" t="str">
        <f>IF('12 - Device_Configuration'!P78="","",'12 - Device_Configuration'!P78)</f>
        <v/>
      </c>
      <c r="AA78" s="28" t="str">
        <f>IF('12 - Device_Configuration'!Q78="","",'12 - Device_Configuration'!Q78)</f>
        <v/>
      </c>
    </row>
    <row r="79" spans="1:27">
      <c r="A79" s="29"/>
      <c r="B79" s="29"/>
      <c r="C79" s="28" t="str">
        <f>IF('12 - Device_Configuration'!H79="","",'12 - Device_Configuration'!H79)</f>
        <v>CFAM</v>
      </c>
      <c r="D79" s="28" t="str">
        <f>IF('12 - Device_Configuration'!AE79="","",'12 - Device_Configuration'!AE79)</f>
        <v/>
      </c>
      <c r="E79" s="28" t="str">
        <f>IF('12 - Device_Configuration'!AF79="","",'12 - Device_Configuration'!AF79)</f>
        <v/>
      </c>
      <c r="F79" s="28" t="str">
        <f>IF('12 - Device_Configuration'!AG79="","",'12 - Device_Configuration'!AG79)</f>
        <v/>
      </c>
      <c r="G79" s="28" t="str">
        <f>IF('12 - Device_Configuration'!AH79="","",'12 - Device_Configuration'!AH79)</f>
        <v/>
      </c>
      <c r="H79" s="28" t="str">
        <f>IF('12 - Device_Configuration'!A79="","",'12 - Device_Configuration'!A79)</f>
        <v>Cybernet</v>
      </c>
      <c r="I79" s="28" t="str">
        <f>IF('12 - Device_Configuration'!AI79="","",'12 - Device_Configuration'!AI79)</f>
        <v/>
      </c>
      <c r="J79" s="28" t="str">
        <f>IF('12 - Device_Configuration'!AJ79="","",'12 - Device_Configuration'!AJ79)</f>
        <v/>
      </c>
      <c r="K79" s="28" t="str">
        <f>IF('12 - Device_Configuration'!AA79="","",'12 - Device_Configuration'!AA79)</f>
        <v/>
      </c>
      <c r="L79" s="28" t="str">
        <f>IF('12 - Device_Configuration'!I79="","",'12 - Device_Configuration'!I79)</f>
        <v/>
      </c>
      <c r="M79" s="29"/>
      <c r="N79" s="28" t="str">
        <f>IF('12 - Device_Configuration'!J79="","",'12 - Device_Configuration'!J79)</f>
        <v>Yes</v>
      </c>
      <c r="O79" s="28" t="str">
        <f>IF('12 - Device_Configuration'!K79="","",'12 - Device_Configuration'!K79)</f>
        <v>No</v>
      </c>
      <c r="P79" s="28" t="str">
        <f>IF('12 - Device_Configuration'!L79="","",'12 - Device_Configuration'!L79)</f>
        <v>No</v>
      </c>
      <c r="Q79" s="29"/>
      <c r="R79" s="28" t="str">
        <f>IF('12 - Device_Configuration'!AY79="","",'12 - Device_Configuration'!AY79)</f>
        <v/>
      </c>
      <c r="S79" s="28" t="str">
        <f>IF('12 - Device_Configuration'!AX79="","",'12 - Device_Configuration'!AX79)</f>
        <v/>
      </c>
      <c r="T79" s="28" t="str">
        <f>IF('12 - Device_Configuration'!AV79="","",'12 - Device_Configuration'!AV79)</f>
        <v/>
      </c>
      <c r="U79" s="28" t="str">
        <f>IF('12 - Device_Configuration'!AW79="","",'12 - Device_Configuration'!AW79)</f>
        <v/>
      </c>
      <c r="V79" s="28" t="str">
        <f>IF('12 - Device_Configuration'!BA79="","",'12 - Device_Configuration'!BA79)</f>
        <v/>
      </c>
      <c r="W79" s="28" t="str">
        <f>IF('12 - Device_Configuration'!BC79="","",'12 - Device_Configuration'!BC79)</f>
        <v/>
      </c>
      <c r="X79" s="28" t="str">
        <f>IF('12 - Device_Configuration'!BK79="","",'12 - Device_Configuration'!BK79)</f>
        <v/>
      </c>
      <c r="Y79" s="28" t="str">
        <f>IF('12 - Device_Configuration'!BB79="","",'12 - Device_Configuration'!BB79)</f>
        <v/>
      </c>
      <c r="Z79" s="28" t="str">
        <f>IF('12 - Device_Configuration'!P79="","",'12 - Device_Configuration'!P79)</f>
        <v/>
      </c>
      <c r="AA79" s="28" t="str">
        <f>IF('12 - Device_Configuration'!Q79="","",'12 - Device_Configuration'!Q79)</f>
        <v/>
      </c>
    </row>
    <row r="80" spans="1:27">
      <c r="A80" s="29"/>
      <c r="B80" s="29"/>
      <c r="C80" s="28" t="str">
        <f>IF('12 - Device_Configuration'!H80="","",'12 - Device_Configuration'!H80)</f>
        <v>CFAM</v>
      </c>
      <c r="D80" s="28" t="str">
        <f>IF('12 - Device_Configuration'!AE80="","",'12 - Device_Configuration'!AE80)</f>
        <v/>
      </c>
      <c r="E80" s="28" t="str">
        <f>IF('12 - Device_Configuration'!AF80="","",'12 - Device_Configuration'!AF80)</f>
        <v/>
      </c>
      <c r="F80" s="28" t="str">
        <f>IF('12 - Device_Configuration'!AG80="","",'12 - Device_Configuration'!AG80)</f>
        <v/>
      </c>
      <c r="G80" s="28" t="str">
        <f>IF('12 - Device_Configuration'!AH80="","",'12 - Device_Configuration'!AH80)</f>
        <v/>
      </c>
      <c r="H80" s="28" t="str">
        <f>IF('12 - Device_Configuration'!A80="","",'12 - Device_Configuration'!A80)</f>
        <v>Cybernet</v>
      </c>
      <c r="I80" s="28" t="str">
        <f>IF('12 - Device_Configuration'!AI80="","",'12 - Device_Configuration'!AI80)</f>
        <v/>
      </c>
      <c r="J80" s="28" t="str">
        <f>IF('12 - Device_Configuration'!AJ80="","",'12 - Device_Configuration'!AJ80)</f>
        <v/>
      </c>
      <c r="K80" s="28" t="str">
        <f>IF('12 - Device_Configuration'!AA80="","",'12 - Device_Configuration'!AA80)</f>
        <v/>
      </c>
      <c r="L80" s="28" t="str">
        <f>IF('12 - Device_Configuration'!I80="","",'12 - Device_Configuration'!I80)</f>
        <v/>
      </c>
      <c r="M80" s="29"/>
      <c r="N80" s="28" t="str">
        <f>IF('12 - Device_Configuration'!J80="","",'12 - Device_Configuration'!J80)</f>
        <v>Yes</v>
      </c>
      <c r="O80" s="28" t="str">
        <f>IF('12 - Device_Configuration'!K80="","",'12 - Device_Configuration'!K80)</f>
        <v>No</v>
      </c>
      <c r="P80" s="28" t="str">
        <f>IF('12 - Device_Configuration'!L80="","",'12 - Device_Configuration'!L80)</f>
        <v>No</v>
      </c>
      <c r="Q80" s="29"/>
      <c r="R80" s="28" t="str">
        <f>IF('12 - Device_Configuration'!AY80="","",'12 - Device_Configuration'!AY80)</f>
        <v/>
      </c>
      <c r="S80" s="28" t="str">
        <f>IF('12 - Device_Configuration'!AX80="","",'12 - Device_Configuration'!AX80)</f>
        <v/>
      </c>
      <c r="T80" s="28" t="str">
        <f>IF('12 - Device_Configuration'!AV80="","",'12 - Device_Configuration'!AV80)</f>
        <v/>
      </c>
      <c r="U80" s="28" t="str">
        <f>IF('12 - Device_Configuration'!AW80="","",'12 - Device_Configuration'!AW80)</f>
        <v/>
      </c>
      <c r="V80" s="28" t="str">
        <f>IF('12 - Device_Configuration'!BA80="","",'12 - Device_Configuration'!BA80)</f>
        <v/>
      </c>
      <c r="W80" s="28" t="str">
        <f>IF('12 - Device_Configuration'!BC80="","",'12 - Device_Configuration'!BC80)</f>
        <v/>
      </c>
      <c r="X80" s="28" t="str">
        <f>IF('12 - Device_Configuration'!BK80="","",'12 - Device_Configuration'!BK80)</f>
        <v/>
      </c>
      <c r="Y80" s="28" t="str">
        <f>IF('12 - Device_Configuration'!BB80="","",'12 - Device_Configuration'!BB80)</f>
        <v/>
      </c>
      <c r="Z80" s="28" t="str">
        <f>IF('12 - Device_Configuration'!P80="","",'12 - Device_Configuration'!P80)</f>
        <v/>
      </c>
      <c r="AA80" s="28" t="str">
        <f>IF('12 - Device_Configuration'!Q80="","",'12 - Device_Configuration'!Q80)</f>
        <v/>
      </c>
    </row>
    <row r="81" spans="1:27">
      <c r="A81" s="29"/>
      <c r="B81" s="29"/>
      <c r="C81" s="28" t="str">
        <f>IF('12 - Device_Configuration'!H81="","",'12 - Device_Configuration'!H81)</f>
        <v>CFAM</v>
      </c>
      <c r="D81" s="28" t="str">
        <f>IF('12 - Device_Configuration'!AE81="","",'12 - Device_Configuration'!AE81)</f>
        <v/>
      </c>
      <c r="E81" s="28" t="str">
        <f>IF('12 - Device_Configuration'!AF81="","",'12 - Device_Configuration'!AF81)</f>
        <v/>
      </c>
      <c r="F81" s="28" t="str">
        <f>IF('12 - Device_Configuration'!AG81="","",'12 - Device_Configuration'!AG81)</f>
        <v/>
      </c>
      <c r="G81" s="28" t="str">
        <f>IF('12 - Device_Configuration'!AH81="","",'12 - Device_Configuration'!AH81)</f>
        <v/>
      </c>
      <c r="H81" s="28" t="str">
        <f>IF('12 - Device_Configuration'!A81="","",'12 - Device_Configuration'!A81)</f>
        <v>Cybernet</v>
      </c>
      <c r="I81" s="28" t="str">
        <f>IF('12 - Device_Configuration'!AI81="","",'12 - Device_Configuration'!AI81)</f>
        <v/>
      </c>
      <c r="J81" s="28" t="str">
        <f>IF('12 - Device_Configuration'!AJ81="","",'12 - Device_Configuration'!AJ81)</f>
        <v/>
      </c>
      <c r="K81" s="28" t="str">
        <f>IF('12 - Device_Configuration'!AA81="","",'12 - Device_Configuration'!AA81)</f>
        <v/>
      </c>
      <c r="L81" s="28" t="str">
        <f>IF('12 - Device_Configuration'!I81="","",'12 - Device_Configuration'!I81)</f>
        <v/>
      </c>
      <c r="M81" s="29"/>
      <c r="N81" s="28" t="str">
        <f>IF('12 - Device_Configuration'!J81="","",'12 - Device_Configuration'!J81)</f>
        <v>Yes</v>
      </c>
      <c r="O81" s="28" t="str">
        <f>IF('12 - Device_Configuration'!K81="","",'12 - Device_Configuration'!K81)</f>
        <v>No</v>
      </c>
      <c r="P81" s="28" t="str">
        <f>IF('12 - Device_Configuration'!L81="","",'12 - Device_Configuration'!L81)</f>
        <v>No</v>
      </c>
      <c r="Q81" s="29"/>
      <c r="R81" s="28" t="str">
        <f>IF('12 - Device_Configuration'!AY81="","",'12 - Device_Configuration'!AY81)</f>
        <v/>
      </c>
      <c r="S81" s="28" t="str">
        <f>IF('12 - Device_Configuration'!AX81="","",'12 - Device_Configuration'!AX81)</f>
        <v/>
      </c>
      <c r="T81" s="28" t="str">
        <f>IF('12 - Device_Configuration'!AV81="","",'12 - Device_Configuration'!AV81)</f>
        <v/>
      </c>
      <c r="U81" s="28" t="str">
        <f>IF('12 - Device_Configuration'!AW81="","",'12 - Device_Configuration'!AW81)</f>
        <v/>
      </c>
      <c r="V81" s="28" t="str">
        <f>IF('12 - Device_Configuration'!BA81="","",'12 - Device_Configuration'!BA81)</f>
        <v/>
      </c>
      <c r="W81" s="28" t="str">
        <f>IF('12 - Device_Configuration'!BC81="","",'12 - Device_Configuration'!BC81)</f>
        <v/>
      </c>
      <c r="X81" s="28" t="str">
        <f>IF('12 - Device_Configuration'!BK81="","",'12 - Device_Configuration'!BK81)</f>
        <v/>
      </c>
      <c r="Y81" s="28" t="str">
        <f>IF('12 - Device_Configuration'!BB81="","",'12 - Device_Configuration'!BB81)</f>
        <v/>
      </c>
      <c r="Z81" s="28" t="str">
        <f>IF('12 - Device_Configuration'!P81="","",'12 - Device_Configuration'!P81)</f>
        <v/>
      </c>
      <c r="AA81" s="28" t="str">
        <f>IF('12 - Device_Configuration'!Q81="","",'12 - Device_Configuration'!Q81)</f>
        <v/>
      </c>
    </row>
    <row r="82" spans="1:27">
      <c r="A82" s="29"/>
      <c r="B82" s="29"/>
      <c r="C82" s="28" t="str">
        <f>IF('12 - Device_Configuration'!H82="","",'12 - Device_Configuration'!H82)</f>
        <v>CFAM</v>
      </c>
      <c r="D82" s="28" t="str">
        <f>IF('12 - Device_Configuration'!AE82="","",'12 - Device_Configuration'!AE82)</f>
        <v/>
      </c>
      <c r="E82" s="28" t="str">
        <f>IF('12 - Device_Configuration'!AF82="","",'12 - Device_Configuration'!AF82)</f>
        <v/>
      </c>
      <c r="F82" s="28" t="str">
        <f>IF('12 - Device_Configuration'!AG82="","",'12 - Device_Configuration'!AG82)</f>
        <v/>
      </c>
      <c r="G82" s="28" t="str">
        <f>IF('12 - Device_Configuration'!AH82="","",'12 - Device_Configuration'!AH82)</f>
        <v/>
      </c>
      <c r="H82" s="28" t="str">
        <f>IF('12 - Device_Configuration'!A82="","",'12 - Device_Configuration'!A82)</f>
        <v>Cybernet</v>
      </c>
      <c r="I82" s="28" t="str">
        <f>IF('12 - Device_Configuration'!AI82="","",'12 - Device_Configuration'!AI82)</f>
        <v/>
      </c>
      <c r="J82" s="28" t="str">
        <f>IF('12 - Device_Configuration'!AJ82="","",'12 - Device_Configuration'!AJ82)</f>
        <v/>
      </c>
      <c r="K82" s="28" t="str">
        <f>IF('12 - Device_Configuration'!AA82="","",'12 - Device_Configuration'!AA82)</f>
        <v/>
      </c>
      <c r="L82" s="28" t="str">
        <f>IF('12 - Device_Configuration'!I82="","",'12 - Device_Configuration'!I82)</f>
        <v/>
      </c>
      <c r="M82" s="29"/>
      <c r="N82" s="28" t="str">
        <f>IF('12 - Device_Configuration'!J82="","",'12 - Device_Configuration'!J82)</f>
        <v>Yes</v>
      </c>
      <c r="O82" s="28" t="str">
        <f>IF('12 - Device_Configuration'!K82="","",'12 - Device_Configuration'!K82)</f>
        <v>No</v>
      </c>
      <c r="P82" s="28" t="str">
        <f>IF('12 - Device_Configuration'!L82="","",'12 - Device_Configuration'!L82)</f>
        <v>No</v>
      </c>
      <c r="Q82" s="29"/>
      <c r="R82" s="28" t="str">
        <f>IF('12 - Device_Configuration'!AY82="","",'12 - Device_Configuration'!AY82)</f>
        <v/>
      </c>
      <c r="S82" s="28" t="str">
        <f>IF('12 - Device_Configuration'!AX82="","",'12 - Device_Configuration'!AX82)</f>
        <v/>
      </c>
      <c r="T82" s="28" t="str">
        <f>IF('12 - Device_Configuration'!AV82="","",'12 - Device_Configuration'!AV82)</f>
        <v/>
      </c>
      <c r="U82" s="28" t="str">
        <f>IF('12 - Device_Configuration'!AW82="","",'12 - Device_Configuration'!AW82)</f>
        <v/>
      </c>
      <c r="V82" s="28" t="str">
        <f>IF('12 - Device_Configuration'!BA82="","",'12 - Device_Configuration'!BA82)</f>
        <v/>
      </c>
      <c r="W82" s="28" t="str">
        <f>IF('12 - Device_Configuration'!BC82="","",'12 - Device_Configuration'!BC82)</f>
        <v/>
      </c>
      <c r="X82" s="28" t="str">
        <f>IF('12 - Device_Configuration'!BK82="","",'12 - Device_Configuration'!BK82)</f>
        <v/>
      </c>
      <c r="Y82" s="28" t="str">
        <f>IF('12 - Device_Configuration'!BB82="","",'12 - Device_Configuration'!BB82)</f>
        <v/>
      </c>
      <c r="Z82" s="28" t="str">
        <f>IF('12 - Device_Configuration'!P82="","",'12 - Device_Configuration'!P82)</f>
        <v/>
      </c>
      <c r="AA82" s="28" t="str">
        <f>IF('12 - Device_Configuration'!Q82="","",'12 - Device_Configuration'!Q82)</f>
        <v/>
      </c>
    </row>
    <row r="83" spans="1:27">
      <c r="A83" s="29"/>
      <c r="B83" s="29"/>
      <c r="C83" s="28" t="str">
        <f>IF('12 - Device_Configuration'!H83="","",'12 - Device_Configuration'!H83)</f>
        <v>CFAM</v>
      </c>
      <c r="D83" s="28" t="str">
        <f>IF('12 - Device_Configuration'!AE83="","",'12 - Device_Configuration'!AE83)</f>
        <v/>
      </c>
      <c r="E83" s="28" t="str">
        <f>IF('12 - Device_Configuration'!AF83="","",'12 - Device_Configuration'!AF83)</f>
        <v/>
      </c>
      <c r="F83" s="28" t="str">
        <f>IF('12 - Device_Configuration'!AG83="","",'12 - Device_Configuration'!AG83)</f>
        <v/>
      </c>
      <c r="G83" s="28" t="str">
        <f>IF('12 - Device_Configuration'!AH83="","",'12 - Device_Configuration'!AH83)</f>
        <v/>
      </c>
      <c r="H83" s="28" t="str">
        <f>IF('12 - Device_Configuration'!A83="","",'12 - Device_Configuration'!A83)</f>
        <v>Cybernet</v>
      </c>
      <c r="I83" s="28" t="str">
        <f>IF('12 - Device_Configuration'!AI83="","",'12 - Device_Configuration'!AI83)</f>
        <v/>
      </c>
      <c r="J83" s="28" t="str">
        <f>IF('12 - Device_Configuration'!AJ83="","",'12 - Device_Configuration'!AJ83)</f>
        <v/>
      </c>
      <c r="K83" s="28" t="str">
        <f>IF('12 - Device_Configuration'!AA83="","",'12 - Device_Configuration'!AA83)</f>
        <v/>
      </c>
      <c r="L83" s="28" t="str">
        <f>IF('12 - Device_Configuration'!I83="","",'12 - Device_Configuration'!I83)</f>
        <v/>
      </c>
      <c r="M83" s="29"/>
      <c r="N83" s="28" t="str">
        <f>IF('12 - Device_Configuration'!J83="","",'12 - Device_Configuration'!J83)</f>
        <v>Yes</v>
      </c>
      <c r="O83" s="28" t="str">
        <f>IF('12 - Device_Configuration'!K83="","",'12 - Device_Configuration'!K83)</f>
        <v>No</v>
      </c>
      <c r="P83" s="28" t="str">
        <f>IF('12 - Device_Configuration'!L83="","",'12 - Device_Configuration'!L83)</f>
        <v>No</v>
      </c>
      <c r="Q83" s="29"/>
      <c r="R83" s="28" t="str">
        <f>IF('12 - Device_Configuration'!AY83="","",'12 - Device_Configuration'!AY83)</f>
        <v/>
      </c>
      <c r="S83" s="28" t="str">
        <f>IF('12 - Device_Configuration'!AX83="","",'12 - Device_Configuration'!AX83)</f>
        <v/>
      </c>
      <c r="T83" s="28" t="str">
        <f>IF('12 - Device_Configuration'!AV83="","",'12 - Device_Configuration'!AV83)</f>
        <v/>
      </c>
      <c r="U83" s="28" t="str">
        <f>IF('12 - Device_Configuration'!AW83="","",'12 - Device_Configuration'!AW83)</f>
        <v/>
      </c>
      <c r="V83" s="28" t="str">
        <f>IF('12 - Device_Configuration'!BA83="","",'12 - Device_Configuration'!BA83)</f>
        <v/>
      </c>
      <c r="W83" s="28" t="str">
        <f>IF('12 - Device_Configuration'!BC83="","",'12 - Device_Configuration'!BC83)</f>
        <v/>
      </c>
      <c r="X83" s="28" t="str">
        <f>IF('12 - Device_Configuration'!BK83="","",'12 - Device_Configuration'!BK83)</f>
        <v/>
      </c>
      <c r="Y83" s="28" t="str">
        <f>IF('12 - Device_Configuration'!BB83="","",'12 - Device_Configuration'!BB83)</f>
        <v/>
      </c>
      <c r="Z83" s="28" t="str">
        <f>IF('12 - Device_Configuration'!P83="","",'12 - Device_Configuration'!P83)</f>
        <v/>
      </c>
      <c r="AA83" s="28" t="str">
        <f>IF('12 - Device_Configuration'!Q83="","",'12 - Device_Configuration'!Q83)</f>
        <v/>
      </c>
    </row>
    <row r="84" spans="1:27">
      <c r="A84" s="29"/>
      <c r="B84" s="29"/>
      <c r="C84" s="28" t="str">
        <f>IF('12 - Device_Configuration'!H84="","",'12 - Device_Configuration'!H84)</f>
        <v>CFAM</v>
      </c>
      <c r="D84" s="28" t="str">
        <f>IF('12 - Device_Configuration'!AE84="","",'12 - Device_Configuration'!AE84)</f>
        <v/>
      </c>
      <c r="E84" s="28" t="str">
        <f>IF('12 - Device_Configuration'!AF84="","",'12 - Device_Configuration'!AF84)</f>
        <v/>
      </c>
      <c r="F84" s="28" t="str">
        <f>IF('12 - Device_Configuration'!AG84="","",'12 - Device_Configuration'!AG84)</f>
        <v/>
      </c>
      <c r="G84" s="28" t="str">
        <f>IF('12 - Device_Configuration'!AH84="","",'12 - Device_Configuration'!AH84)</f>
        <v/>
      </c>
      <c r="H84" s="28" t="str">
        <f>IF('12 - Device_Configuration'!A84="","",'12 - Device_Configuration'!A84)</f>
        <v>Cybernet</v>
      </c>
      <c r="I84" s="28" t="str">
        <f>IF('12 - Device_Configuration'!AI84="","",'12 - Device_Configuration'!AI84)</f>
        <v/>
      </c>
      <c r="J84" s="28" t="str">
        <f>IF('12 - Device_Configuration'!AJ84="","",'12 - Device_Configuration'!AJ84)</f>
        <v/>
      </c>
      <c r="K84" s="28" t="str">
        <f>IF('12 - Device_Configuration'!AA84="","",'12 - Device_Configuration'!AA84)</f>
        <v/>
      </c>
      <c r="L84" s="28" t="str">
        <f>IF('12 - Device_Configuration'!I84="","",'12 - Device_Configuration'!I84)</f>
        <v/>
      </c>
      <c r="M84" s="29"/>
      <c r="N84" s="28" t="str">
        <f>IF('12 - Device_Configuration'!J84="","",'12 - Device_Configuration'!J84)</f>
        <v>Yes</v>
      </c>
      <c r="O84" s="28" t="str">
        <f>IF('12 - Device_Configuration'!K84="","",'12 - Device_Configuration'!K84)</f>
        <v>No</v>
      </c>
      <c r="P84" s="28" t="str">
        <f>IF('12 - Device_Configuration'!L84="","",'12 - Device_Configuration'!L84)</f>
        <v>No</v>
      </c>
      <c r="Q84" s="29"/>
      <c r="R84" s="28" t="str">
        <f>IF('12 - Device_Configuration'!AY84="","",'12 - Device_Configuration'!AY84)</f>
        <v/>
      </c>
      <c r="S84" s="28" t="str">
        <f>IF('12 - Device_Configuration'!AX84="","",'12 - Device_Configuration'!AX84)</f>
        <v/>
      </c>
      <c r="T84" s="28" t="str">
        <f>IF('12 - Device_Configuration'!AV84="","",'12 - Device_Configuration'!AV84)</f>
        <v/>
      </c>
      <c r="U84" s="28" t="str">
        <f>IF('12 - Device_Configuration'!AW84="","",'12 - Device_Configuration'!AW84)</f>
        <v/>
      </c>
      <c r="V84" s="28" t="str">
        <f>IF('12 - Device_Configuration'!BA84="","",'12 - Device_Configuration'!BA84)</f>
        <v/>
      </c>
      <c r="W84" s="28" t="str">
        <f>IF('12 - Device_Configuration'!BC84="","",'12 - Device_Configuration'!BC84)</f>
        <v/>
      </c>
      <c r="X84" s="28" t="str">
        <f>IF('12 - Device_Configuration'!BK84="","",'12 - Device_Configuration'!BK84)</f>
        <v/>
      </c>
      <c r="Y84" s="28" t="str">
        <f>IF('12 - Device_Configuration'!BB84="","",'12 - Device_Configuration'!BB84)</f>
        <v/>
      </c>
      <c r="Z84" s="28" t="str">
        <f>IF('12 - Device_Configuration'!P84="","",'12 - Device_Configuration'!P84)</f>
        <v/>
      </c>
      <c r="AA84" s="28" t="str">
        <f>IF('12 - Device_Configuration'!Q84="","",'12 - Device_Configuration'!Q84)</f>
        <v/>
      </c>
    </row>
    <row r="85" spans="1:27">
      <c r="A85" s="29"/>
      <c r="B85" s="29"/>
      <c r="C85" s="28" t="str">
        <f>IF('12 - Device_Configuration'!H85="","",'12 - Device_Configuration'!H85)</f>
        <v>LIJ - CCMC</v>
      </c>
      <c r="D85" s="28" t="str">
        <f>IF('12 - Device_Configuration'!AE85="","",'12 - Device_Configuration'!AE85)</f>
        <v/>
      </c>
      <c r="E85" s="28" t="str">
        <f>IF('12 - Device_Configuration'!AF85="","",'12 - Device_Configuration'!AF85)</f>
        <v/>
      </c>
      <c r="F85" s="28" t="str">
        <f>IF('12 - Device_Configuration'!AG85="","",'12 - Device_Configuration'!AG85)</f>
        <v/>
      </c>
      <c r="G85" s="28" t="str">
        <f>IF('12 - Device_Configuration'!AH85="","",'12 - Device_Configuration'!AH85)</f>
        <v/>
      </c>
      <c r="H85" s="28" t="str">
        <f>IF('12 - Device_Configuration'!A85="","",'12 - Device_Configuration'!A85)</f>
        <v>Cybernet</v>
      </c>
      <c r="I85" s="28" t="str">
        <f>IF('12 - Device_Configuration'!AI85="","",'12 - Device_Configuration'!AI85)</f>
        <v/>
      </c>
      <c r="J85" s="28" t="str">
        <f>IF('12 - Device_Configuration'!AJ85="","",'12 - Device_Configuration'!AJ85)</f>
        <v/>
      </c>
      <c r="K85" s="28" t="str">
        <f>IF('12 - Device_Configuration'!AA85="","",'12 - Device_Configuration'!AA85)</f>
        <v/>
      </c>
      <c r="L85" s="28" t="str">
        <f>IF('12 - Device_Configuration'!I85="","",'12 - Device_Configuration'!I85)</f>
        <v/>
      </c>
      <c r="M85" s="29"/>
      <c r="N85" s="28" t="str">
        <f>IF('12 - Device_Configuration'!J85="","",'12 - Device_Configuration'!J85)</f>
        <v>Yes</v>
      </c>
      <c r="O85" s="28" t="str">
        <f>IF('12 - Device_Configuration'!K85="","",'12 - Device_Configuration'!K85)</f>
        <v>No</v>
      </c>
      <c r="P85" s="28" t="str">
        <f>IF('12 - Device_Configuration'!L85="","",'12 - Device_Configuration'!L85)</f>
        <v>No</v>
      </c>
      <c r="Q85" s="29"/>
      <c r="R85" s="28" t="str">
        <f>IF('12 - Device_Configuration'!AY85="","",'12 - Device_Configuration'!AY85)</f>
        <v/>
      </c>
      <c r="S85" s="28" t="str">
        <f>IF('12 - Device_Configuration'!AX85="","",'12 - Device_Configuration'!AX85)</f>
        <v/>
      </c>
      <c r="T85" s="28" t="str">
        <f>IF('12 - Device_Configuration'!AV85="","",'12 - Device_Configuration'!AV85)</f>
        <v/>
      </c>
      <c r="U85" s="28" t="str">
        <f>IF('12 - Device_Configuration'!AW85="","",'12 - Device_Configuration'!AW85)</f>
        <v/>
      </c>
      <c r="V85" s="28" t="str">
        <f>IF('12 - Device_Configuration'!BA85="","",'12 - Device_Configuration'!BA85)</f>
        <v/>
      </c>
      <c r="W85" s="28" t="str">
        <f>IF('12 - Device_Configuration'!BC85="","",'12 - Device_Configuration'!BC85)</f>
        <v/>
      </c>
      <c r="X85" s="28" t="str">
        <f>IF('12 - Device_Configuration'!BK85="","",'12 - Device_Configuration'!BK85)</f>
        <v/>
      </c>
      <c r="Y85" s="28" t="str">
        <f>IF('12 - Device_Configuration'!BB85="","",'12 - Device_Configuration'!BB85)</f>
        <v/>
      </c>
      <c r="Z85" s="28" t="str">
        <f>IF('12 - Device_Configuration'!P85="","",'12 - Device_Configuration'!P85)</f>
        <v/>
      </c>
      <c r="AA85" s="28" t="str">
        <f>IF('12 - Device_Configuration'!Q85="","",'12 - Device_Configuration'!Q85)</f>
        <v/>
      </c>
    </row>
    <row r="86" spans="1:27">
      <c r="A86" s="29"/>
      <c r="B86" s="29"/>
      <c r="C86" s="28" t="str">
        <f>IF('12 - Device_Configuration'!H86="","",'12 - Device_Configuration'!H86)</f>
        <v>LIJ - CCMC</v>
      </c>
      <c r="D86" s="28" t="str">
        <f>IF('12 - Device_Configuration'!AE86="","",'12 - Device_Configuration'!AE86)</f>
        <v/>
      </c>
      <c r="E86" s="28" t="str">
        <f>IF('12 - Device_Configuration'!AF86="","",'12 - Device_Configuration'!AF86)</f>
        <v/>
      </c>
      <c r="F86" s="28" t="str">
        <f>IF('12 - Device_Configuration'!AG86="","",'12 - Device_Configuration'!AG86)</f>
        <v/>
      </c>
      <c r="G86" s="28" t="str">
        <f>IF('12 - Device_Configuration'!AH86="","",'12 - Device_Configuration'!AH86)</f>
        <v/>
      </c>
      <c r="H86" s="28" t="str">
        <f>IF('12 - Device_Configuration'!A86="","",'12 - Device_Configuration'!A86)</f>
        <v>Cybernet</v>
      </c>
      <c r="I86" s="28" t="str">
        <f>IF('12 - Device_Configuration'!AI86="","",'12 - Device_Configuration'!AI86)</f>
        <v/>
      </c>
      <c r="J86" s="28" t="str">
        <f>IF('12 - Device_Configuration'!AJ86="","",'12 - Device_Configuration'!AJ86)</f>
        <v/>
      </c>
      <c r="K86" s="28" t="str">
        <f>IF('12 - Device_Configuration'!AA86="","",'12 - Device_Configuration'!AA86)</f>
        <v/>
      </c>
      <c r="L86" s="28" t="str">
        <f>IF('12 - Device_Configuration'!I86="","",'12 - Device_Configuration'!I86)</f>
        <v/>
      </c>
      <c r="M86" s="29"/>
      <c r="N86" s="28" t="str">
        <f>IF('12 - Device_Configuration'!J86="","",'12 - Device_Configuration'!J86)</f>
        <v>Yes</v>
      </c>
      <c r="O86" s="28" t="str">
        <f>IF('12 - Device_Configuration'!K86="","",'12 - Device_Configuration'!K86)</f>
        <v>No</v>
      </c>
      <c r="P86" s="28" t="str">
        <f>IF('12 - Device_Configuration'!L86="","",'12 - Device_Configuration'!L86)</f>
        <v>No</v>
      </c>
      <c r="Q86" s="29"/>
      <c r="R86" s="28" t="str">
        <f>IF('12 - Device_Configuration'!AY86="","",'12 - Device_Configuration'!AY86)</f>
        <v/>
      </c>
      <c r="S86" s="28" t="str">
        <f>IF('12 - Device_Configuration'!AX86="","",'12 - Device_Configuration'!AX86)</f>
        <v/>
      </c>
      <c r="T86" s="28" t="str">
        <f>IF('12 - Device_Configuration'!AV86="","",'12 - Device_Configuration'!AV86)</f>
        <v/>
      </c>
      <c r="U86" s="28" t="str">
        <f>IF('12 - Device_Configuration'!AW86="","",'12 - Device_Configuration'!AW86)</f>
        <v/>
      </c>
      <c r="V86" s="28" t="str">
        <f>IF('12 - Device_Configuration'!BA86="","",'12 - Device_Configuration'!BA86)</f>
        <v/>
      </c>
      <c r="W86" s="28" t="str">
        <f>IF('12 - Device_Configuration'!BC86="","",'12 - Device_Configuration'!BC86)</f>
        <v/>
      </c>
      <c r="X86" s="28" t="str">
        <f>IF('12 - Device_Configuration'!BK86="","",'12 - Device_Configuration'!BK86)</f>
        <v/>
      </c>
      <c r="Y86" s="28" t="str">
        <f>IF('12 - Device_Configuration'!BB86="","",'12 - Device_Configuration'!BB86)</f>
        <v/>
      </c>
      <c r="Z86" s="28" t="str">
        <f>IF('12 - Device_Configuration'!P86="","",'12 - Device_Configuration'!P86)</f>
        <v/>
      </c>
      <c r="AA86" s="28" t="str">
        <f>IF('12 - Device_Configuration'!Q86="","",'12 - Device_Configuration'!Q86)</f>
        <v/>
      </c>
    </row>
    <row r="87" spans="1:27">
      <c r="A87" s="29"/>
      <c r="B87" s="29"/>
      <c r="C87" s="28" t="str">
        <f>IF('12 - Device_Configuration'!H87="","",'12 - Device_Configuration'!H87)</f>
        <v>LIJ - CCMC</v>
      </c>
      <c r="D87" s="28" t="str">
        <f>IF('12 - Device_Configuration'!AE87="","",'12 - Device_Configuration'!AE87)</f>
        <v/>
      </c>
      <c r="E87" s="28" t="str">
        <f>IF('12 - Device_Configuration'!AF87="","",'12 - Device_Configuration'!AF87)</f>
        <v/>
      </c>
      <c r="F87" s="28" t="str">
        <f>IF('12 - Device_Configuration'!AG87="","",'12 - Device_Configuration'!AG87)</f>
        <v/>
      </c>
      <c r="G87" s="28" t="str">
        <f>IF('12 - Device_Configuration'!AH87="","",'12 - Device_Configuration'!AH87)</f>
        <v/>
      </c>
      <c r="H87" s="28" t="str">
        <f>IF('12 - Device_Configuration'!A87="","",'12 - Device_Configuration'!A87)</f>
        <v>Cybernet</v>
      </c>
      <c r="I87" s="28" t="str">
        <f>IF('12 - Device_Configuration'!AI87="","",'12 - Device_Configuration'!AI87)</f>
        <v/>
      </c>
      <c r="J87" s="28" t="str">
        <f>IF('12 - Device_Configuration'!AJ87="","",'12 - Device_Configuration'!AJ87)</f>
        <v/>
      </c>
      <c r="K87" s="28" t="str">
        <f>IF('12 - Device_Configuration'!AA87="","",'12 - Device_Configuration'!AA87)</f>
        <v/>
      </c>
      <c r="L87" s="28" t="str">
        <f>IF('12 - Device_Configuration'!I87="","",'12 - Device_Configuration'!I87)</f>
        <v/>
      </c>
      <c r="M87" s="29"/>
      <c r="N87" s="28" t="str">
        <f>IF('12 - Device_Configuration'!J87="","",'12 - Device_Configuration'!J87)</f>
        <v>Yes</v>
      </c>
      <c r="O87" s="28" t="str">
        <f>IF('12 - Device_Configuration'!K87="","",'12 - Device_Configuration'!K87)</f>
        <v>No</v>
      </c>
      <c r="P87" s="28" t="str">
        <f>IF('12 - Device_Configuration'!L87="","",'12 - Device_Configuration'!L87)</f>
        <v>No</v>
      </c>
      <c r="Q87" s="29"/>
      <c r="R87" s="28" t="str">
        <f>IF('12 - Device_Configuration'!AY87="","",'12 - Device_Configuration'!AY87)</f>
        <v/>
      </c>
      <c r="S87" s="28" t="str">
        <f>IF('12 - Device_Configuration'!AX87="","",'12 - Device_Configuration'!AX87)</f>
        <v/>
      </c>
      <c r="T87" s="28" t="str">
        <f>IF('12 - Device_Configuration'!AV87="","",'12 - Device_Configuration'!AV87)</f>
        <v/>
      </c>
      <c r="U87" s="28" t="str">
        <f>IF('12 - Device_Configuration'!AW87="","",'12 - Device_Configuration'!AW87)</f>
        <v/>
      </c>
      <c r="V87" s="28" t="str">
        <f>IF('12 - Device_Configuration'!BA87="","",'12 - Device_Configuration'!BA87)</f>
        <v/>
      </c>
      <c r="W87" s="28" t="str">
        <f>IF('12 - Device_Configuration'!BC87="","",'12 - Device_Configuration'!BC87)</f>
        <v/>
      </c>
      <c r="X87" s="28" t="str">
        <f>IF('12 - Device_Configuration'!BK87="","",'12 - Device_Configuration'!BK87)</f>
        <v/>
      </c>
      <c r="Y87" s="28" t="str">
        <f>IF('12 - Device_Configuration'!BB87="","",'12 - Device_Configuration'!BB87)</f>
        <v/>
      </c>
      <c r="Z87" s="28" t="str">
        <f>IF('12 - Device_Configuration'!P87="","",'12 - Device_Configuration'!P87)</f>
        <v/>
      </c>
      <c r="AA87" s="28" t="str">
        <f>IF('12 - Device_Configuration'!Q87="","",'12 - Device_Configuration'!Q87)</f>
        <v/>
      </c>
    </row>
    <row r="88" spans="1:27">
      <c r="A88" s="29"/>
      <c r="B88" s="29"/>
      <c r="C88" s="28" t="str">
        <f>IF('12 - Device_Configuration'!H88="","",'12 - Device_Configuration'!H88)</f>
        <v>LIJ - CCMC</v>
      </c>
      <c r="D88" s="28" t="str">
        <f>IF('12 - Device_Configuration'!AE88="","",'12 - Device_Configuration'!AE88)</f>
        <v/>
      </c>
      <c r="E88" s="28" t="str">
        <f>IF('12 - Device_Configuration'!AF88="","",'12 - Device_Configuration'!AF88)</f>
        <v/>
      </c>
      <c r="F88" s="28" t="str">
        <f>IF('12 - Device_Configuration'!AG88="","",'12 - Device_Configuration'!AG88)</f>
        <v/>
      </c>
      <c r="G88" s="28" t="str">
        <f>IF('12 - Device_Configuration'!AH88="","",'12 - Device_Configuration'!AH88)</f>
        <v/>
      </c>
      <c r="H88" s="28" t="str">
        <f>IF('12 - Device_Configuration'!A88="","",'12 - Device_Configuration'!A88)</f>
        <v>Cybernet</v>
      </c>
      <c r="I88" s="28" t="str">
        <f>IF('12 - Device_Configuration'!AI88="","",'12 - Device_Configuration'!AI88)</f>
        <v/>
      </c>
      <c r="J88" s="28" t="str">
        <f>IF('12 - Device_Configuration'!AJ88="","",'12 - Device_Configuration'!AJ88)</f>
        <v/>
      </c>
      <c r="K88" s="28" t="str">
        <f>IF('12 - Device_Configuration'!AA88="","",'12 - Device_Configuration'!AA88)</f>
        <v/>
      </c>
      <c r="L88" s="28" t="str">
        <f>IF('12 - Device_Configuration'!I88="","",'12 - Device_Configuration'!I88)</f>
        <v/>
      </c>
      <c r="M88" s="29"/>
      <c r="N88" s="28" t="str">
        <f>IF('12 - Device_Configuration'!J88="","",'12 - Device_Configuration'!J88)</f>
        <v>Yes</v>
      </c>
      <c r="O88" s="28" t="str">
        <f>IF('12 - Device_Configuration'!K88="","",'12 - Device_Configuration'!K88)</f>
        <v>No</v>
      </c>
      <c r="P88" s="28" t="str">
        <f>IF('12 - Device_Configuration'!L88="","",'12 - Device_Configuration'!L88)</f>
        <v>No</v>
      </c>
      <c r="Q88" s="29"/>
      <c r="R88" s="28" t="str">
        <f>IF('12 - Device_Configuration'!AY88="","",'12 - Device_Configuration'!AY88)</f>
        <v/>
      </c>
      <c r="S88" s="28" t="str">
        <f>IF('12 - Device_Configuration'!AX88="","",'12 - Device_Configuration'!AX88)</f>
        <v/>
      </c>
      <c r="T88" s="28" t="str">
        <f>IF('12 - Device_Configuration'!AV88="","",'12 - Device_Configuration'!AV88)</f>
        <v/>
      </c>
      <c r="U88" s="28" t="str">
        <f>IF('12 - Device_Configuration'!AW88="","",'12 - Device_Configuration'!AW88)</f>
        <v/>
      </c>
      <c r="V88" s="28" t="str">
        <f>IF('12 - Device_Configuration'!BA88="","",'12 - Device_Configuration'!BA88)</f>
        <v/>
      </c>
      <c r="W88" s="28" t="str">
        <f>IF('12 - Device_Configuration'!BC88="","",'12 - Device_Configuration'!BC88)</f>
        <v/>
      </c>
      <c r="X88" s="28" t="str">
        <f>IF('12 - Device_Configuration'!BK88="","",'12 - Device_Configuration'!BK88)</f>
        <v/>
      </c>
      <c r="Y88" s="28" t="str">
        <f>IF('12 - Device_Configuration'!BB88="","",'12 - Device_Configuration'!BB88)</f>
        <v/>
      </c>
      <c r="Z88" s="28" t="str">
        <f>IF('12 - Device_Configuration'!P88="","",'12 - Device_Configuration'!P88)</f>
        <v/>
      </c>
      <c r="AA88" s="28" t="str">
        <f>IF('12 - Device_Configuration'!Q88="","",'12 - Device_Configuration'!Q88)</f>
        <v/>
      </c>
    </row>
    <row r="89" spans="1:27">
      <c r="A89" s="29"/>
      <c r="B89" s="29"/>
      <c r="C89" s="28" t="str">
        <f>IF('12 - Device_Configuration'!H89="","",'12 - Device_Configuration'!H89)</f>
        <v>LIJ - CCMC</v>
      </c>
      <c r="D89" s="28" t="str">
        <f>IF('12 - Device_Configuration'!AE89="","",'12 - Device_Configuration'!AE89)</f>
        <v/>
      </c>
      <c r="E89" s="28" t="str">
        <f>IF('12 - Device_Configuration'!AF89="","",'12 - Device_Configuration'!AF89)</f>
        <v/>
      </c>
      <c r="F89" s="28" t="str">
        <f>IF('12 - Device_Configuration'!AG89="","",'12 - Device_Configuration'!AG89)</f>
        <v/>
      </c>
      <c r="G89" s="28" t="str">
        <f>IF('12 - Device_Configuration'!AH89="","",'12 - Device_Configuration'!AH89)</f>
        <v/>
      </c>
      <c r="H89" s="28" t="str">
        <f>IF('12 - Device_Configuration'!A89="","",'12 - Device_Configuration'!A89)</f>
        <v>Cybernet</v>
      </c>
      <c r="I89" s="28" t="str">
        <f>IF('12 - Device_Configuration'!AI89="","",'12 - Device_Configuration'!AI89)</f>
        <v/>
      </c>
      <c r="J89" s="28" t="str">
        <f>IF('12 - Device_Configuration'!AJ89="","",'12 - Device_Configuration'!AJ89)</f>
        <v/>
      </c>
      <c r="K89" s="28" t="str">
        <f>IF('12 - Device_Configuration'!AA89="","",'12 - Device_Configuration'!AA89)</f>
        <v/>
      </c>
      <c r="L89" s="28" t="str">
        <f>IF('12 - Device_Configuration'!I89="","",'12 - Device_Configuration'!I89)</f>
        <v/>
      </c>
      <c r="M89" s="29"/>
      <c r="N89" s="28" t="str">
        <f>IF('12 - Device_Configuration'!J89="","",'12 - Device_Configuration'!J89)</f>
        <v>Yes</v>
      </c>
      <c r="O89" s="28" t="str">
        <f>IF('12 - Device_Configuration'!K89="","",'12 - Device_Configuration'!K89)</f>
        <v>No</v>
      </c>
      <c r="P89" s="28" t="str">
        <f>IF('12 - Device_Configuration'!L89="","",'12 - Device_Configuration'!L89)</f>
        <v>No</v>
      </c>
      <c r="Q89" s="29"/>
      <c r="R89" s="28" t="str">
        <f>IF('12 - Device_Configuration'!AY89="","",'12 - Device_Configuration'!AY89)</f>
        <v/>
      </c>
      <c r="S89" s="28" t="str">
        <f>IF('12 - Device_Configuration'!AX89="","",'12 - Device_Configuration'!AX89)</f>
        <v/>
      </c>
      <c r="T89" s="28" t="str">
        <f>IF('12 - Device_Configuration'!AV89="","",'12 - Device_Configuration'!AV89)</f>
        <v/>
      </c>
      <c r="U89" s="28" t="str">
        <f>IF('12 - Device_Configuration'!AW89="","",'12 - Device_Configuration'!AW89)</f>
        <v/>
      </c>
      <c r="V89" s="28" t="str">
        <f>IF('12 - Device_Configuration'!BA89="","",'12 - Device_Configuration'!BA89)</f>
        <v/>
      </c>
      <c r="W89" s="28" t="str">
        <f>IF('12 - Device_Configuration'!BC89="","",'12 - Device_Configuration'!BC89)</f>
        <v/>
      </c>
      <c r="X89" s="28" t="str">
        <f>IF('12 - Device_Configuration'!BK89="","",'12 - Device_Configuration'!BK89)</f>
        <v/>
      </c>
      <c r="Y89" s="28" t="str">
        <f>IF('12 - Device_Configuration'!BB89="","",'12 - Device_Configuration'!BB89)</f>
        <v/>
      </c>
      <c r="Z89" s="28" t="str">
        <f>IF('12 - Device_Configuration'!P89="","",'12 - Device_Configuration'!P89)</f>
        <v/>
      </c>
      <c r="AA89" s="28" t="str">
        <f>IF('12 - Device_Configuration'!Q89="","",'12 - Device_Configuration'!Q89)</f>
        <v/>
      </c>
    </row>
    <row r="90" spans="1:27">
      <c r="A90" s="29"/>
      <c r="B90" s="29"/>
      <c r="C90" s="28" t="str">
        <f>IF('12 - Device_Configuration'!H90="","",'12 - Device_Configuration'!H90)</f>
        <v>LIJ - Other</v>
      </c>
      <c r="D90" s="28" t="str">
        <f>IF('12 - Device_Configuration'!AE90="","",'12 - Device_Configuration'!AE90)</f>
        <v/>
      </c>
      <c r="E90" s="28" t="str">
        <f>IF('12 - Device_Configuration'!AF90="","",'12 - Device_Configuration'!AF90)</f>
        <v/>
      </c>
      <c r="F90" s="28" t="str">
        <f>IF('12 - Device_Configuration'!AG90="","",'12 - Device_Configuration'!AG90)</f>
        <v/>
      </c>
      <c r="G90" s="28" t="str">
        <f>IF('12 - Device_Configuration'!AH90="","",'12 - Device_Configuration'!AH90)</f>
        <v/>
      </c>
      <c r="H90" s="28" t="str">
        <f>IF('12 - Device_Configuration'!A90="","",'12 - Device_Configuration'!A90)</f>
        <v>Cybernet</v>
      </c>
      <c r="I90" s="28" t="str">
        <f>IF('12 - Device_Configuration'!AI90="","",'12 - Device_Configuration'!AI90)</f>
        <v/>
      </c>
      <c r="J90" s="28" t="str">
        <f>IF('12 - Device_Configuration'!AJ90="","",'12 - Device_Configuration'!AJ90)</f>
        <v/>
      </c>
      <c r="K90" s="28" t="str">
        <f>IF('12 - Device_Configuration'!AA90="","",'12 - Device_Configuration'!AA90)</f>
        <v/>
      </c>
      <c r="L90" s="28" t="str">
        <f>IF('12 - Device_Configuration'!I90="","",'12 - Device_Configuration'!I90)</f>
        <v/>
      </c>
      <c r="M90" s="29"/>
      <c r="N90" s="28" t="str">
        <f>IF('12 - Device_Configuration'!J90="","",'12 - Device_Configuration'!J90)</f>
        <v>Yes</v>
      </c>
      <c r="O90" s="28" t="str">
        <f>IF('12 - Device_Configuration'!K90="","",'12 - Device_Configuration'!K90)</f>
        <v>No</v>
      </c>
      <c r="P90" s="28" t="str">
        <f>IF('12 - Device_Configuration'!L90="","",'12 - Device_Configuration'!L90)</f>
        <v>No</v>
      </c>
      <c r="Q90" s="29"/>
      <c r="R90" s="28" t="str">
        <f>IF('12 - Device_Configuration'!AY90="","",'12 - Device_Configuration'!AY90)</f>
        <v/>
      </c>
      <c r="S90" s="28" t="str">
        <f>IF('12 - Device_Configuration'!AX90="","",'12 - Device_Configuration'!AX90)</f>
        <v/>
      </c>
      <c r="T90" s="28" t="str">
        <f>IF('12 - Device_Configuration'!AV90="","",'12 - Device_Configuration'!AV90)</f>
        <v/>
      </c>
      <c r="U90" s="28" t="str">
        <f>IF('12 - Device_Configuration'!AW90="","",'12 - Device_Configuration'!AW90)</f>
        <v/>
      </c>
      <c r="V90" s="28" t="str">
        <f>IF('12 - Device_Configuration'!BA90="","",'12 - Device_Configuration'!BA90)</f>
        <v/>
      </c>
      <c r="W90" s="28" t="str">
        <f>IF('12 - Device_Configuration'!BC90="","",'12 - Device_Configuration'!BC90)</f>
        <v/>
      </c>
      <c r="X90" s="28" t="str">
        <f>IF('12 - Device_Configuration'!BK90="","",'12 - Device_Configuration'!BK90)</f>
        <v/>
      </c>
      <c r="Y90" s="28" t="str">
        <f>IF('12 - Device_Configuration'!BB90="","",'12 - Device_Configuration'!BB90)</f>
        <v/>
      </c>
      <c r="Z90" s="28" t="str">
        <f>IF('12 - Device_Configuration'!P90="","",'12 - Device_Configuration'!P90)</f>
        <v/>
      </c>
      <c r="AA90" s="28" t="str">
        <f>IF('12 - Device_Configuration'!Q90="","",'12 - Device_Configuration'!Q90)</f>
        <v/>
      </c>
    </row>
    <row r="91" spans="1:27">
      <c r="A91" s="29"/>
      <c r="B91" s="29"/>
      <c r="C91" s="28" t="str">
        <f>IF('12 - Device_Configuration'!H91="","",'12 - Device_Configuration'!H91)</f>
        <v>LIJ - Other</v>
      </c>
      <c r="D91" s="28" t="str">
        <f>IF('12 - Device_Configuration'!AE91="","",'12 - Device_Configuration'!AE91)</f>
        <v/>
      </c>
      <c r="E91" s="28" t="str">
        <f>IF('12 - Device_Configuration'!AF91="","",'12 - Device_Configuration'!AF91)</f>
        <v/>
      </c>
      <c r="F91" s="28" t="str">
        <f>IF('12 - Device_Configuration'!AG91="","",'12 - Device_Configuration'!AG91)</f>
        <v/>
      </c>
      <c r="G91" s="28" t="str">
        <f>IF('12 - Device_Configuration'!AH91="","",'12 - Device_Configuration'!AH91)</f>
        <v/>
      </c>
      <c r="H91" s="28" t="str">
        <f>IF('12 - Device_Configuration'!A91="","",'12 - Device_Configuration'!A91)</f>
        <v>Cybernet</v>
      </c>
      <c r="I91" s="28" t="str">
        <f>IF('12 - Device_Configuration'!AI91="","",'12 - Device_Configuration'!AI91)</f>
        <v/>
      </c>
      <c r="J91" s="28" t="str">
        <f>IF('12 - Device_Configuration'!AJ91="","",'12 - Device_Configuration'!AJ91)</f>
        <v/>
      </c>
      <c r="K91" s="28" t="str">
        <f>IF('12 - Device_Configuration'!AA91="","",'12 - Device_Configuration'!AA91)</f>
        <v/>
      </c>
      <c r="L91" s="28" t="str">
        <f>IF('12 - Device_Configuration'!I91="","",'12 - Device_Configuration'!I91)</f>
        <v/>
      </c>
      <c r="M91" s="29"/>
      <c r="N91" s="28" t="str">
        <f>IF('12 - Device_Configuration'!J91="","",'12 - Device_Configuration'!J91)</f>
        <v>Yes</v>
      </c>
      <c r="O91" s="28" t="str">
        <f>IF('12 - Device_Configuration'!K91="","",'12 - Device_Configuration'!K91)</f>
        <v>No</v>
      </c>
      <c r="P91" s="28" t="str">
        <f>IF('12 - Device_Configuration'!L91="","",'12 - Device_Configuration'!L91)</f>
        <v>No</v>
      </c>
      <c r="Q91" s="29"/>
      <c r="R91" s="28" t="str">
        <f>IF('12 - Device_Configuration'!AY91="","",'12 - Device_Configuration'!AY91)</f>
        <v/>
      </c>
      <c r="S91" s="28" t="str">
        <f>IF('12 - Device_Configuration'!AX91="","",'12 - Device_Configuration'!AX91)</f>
        <v/>
      </c>
      <c r="T91" s="28" t="str">
        <f>IF('12 - Device_Configuration'!AV91="","",'12 - Device_Configuration'!AV91)</f>
        <v/>
      </c>
      <c r="U91" s="28" t="str">
        <f>IF('12 - Device_Configuration'!AW91="","",'12 - Device_Configuration'!AW91)</f>
        <v/>
      </c>
      <c r="V91" s="28" t="str">
        <f>IF('12 - Device_Configuration'!BA91="","",'12 - Device_Configuration'!BA91)</f>
        <v/>
      </c>
      <c r="W91" s="28" t="str">
        <f>IF('12 - Device_Configuration'!BC91="","",'12 - Device_Configuration'!BC91)</f>
        <v/>
      </c>
      <c r="X91" s="28" t="str">
        <f>IF('12 - Device_Configuration'!BK91="","",'12 - Device_Configuration'!BK91)</f>
        <v/>
      </c>
      <c r="Y91" s="28" t="str">
        <f>IF('12 - Device_Configuration'!BB91="","",'12 - Device_Configuration'!BB91)</f>
        <v/>
      </c>
      <c r="Z91" s="28" t="str">
        <f>IF('12 - Device_Configuration'!P91="","",'12 - Device_Configuration'!P91)</f>
        <v/>
      </c>
      <c r="AA91" s="28" t="str">
        <f>IF('12 - Device_Configuration'!Q91="","",'12 - Device_Configuration'!Q91)</f>
        <v/>
      </c>
    </row>
    <row r="92" spans="1:27">
      <c r="A92" s="29"/>
      <c r="B92" s="29"/>
      <c r="C92" s="28" t="str">
        <f>IF('12 - Device_Configuration'!H92="","",'12 - Device_Configuration'!H92)</f>
        <v>LIJ - Other</v>
      </c>
      <c r="D92" s="28" t="str">
        <f>IF('12 - Device_Configuration'!AE92="","",'12 - Device_Configuration'!AE92)</f>
        <v/>
      </c>
      <c r="E92" s="28" t="str">
        <f>IF('12 - Device_Configuration'!AF92="","",'12 - Device_Configuration'!AF92)</f>
        <v/>
      </c>
      <c r="F92" s="28" t="str">
        <f>IF('12 - Device_Configuration'!AG92="","",'12 - Device_Configuration'!AG92)</f>
        <v/>
      </c>
      <c r="G92" s="28" t="str">
        <f>IF('12 - Device_Configuration'!AH92="","",'12 - Device_Configuration'!AH92)</f>
        <v/>
      </c>
      <c r="H92" s="28" t="str">
        <f>IF('12 - Device_Configuration'!A92="","",'12 - Device_Configuration'!A92)</f>
        <v>Cybernet</v>
      </c>
      <c r="I92" s="28" t="str">
        <f>IF('12 - Device_Configuration'!AI92="","",'12 - Device_Configuration'!AI92)</f>
        <v/>
      </c>
      <c r="J92" s="28" t="str">
        <f>IF('12 - Device_Configuration'!AJ92="","",'12 - Device_Configuration'!AJ92)</f>
        <v/>
      </c>
      <c r="K92" s="28" t="str">
        <f>IF('12 - Device_Configuration'!AA92="","",'12 - Device_Configuration'!AA92)</f>
        <v/>
      </c>
      <c r="L92" s="28" t="str">
        <f>IF('12 - Device_Configuration'!I92="","",'12 - Device_Configuration'!I92)</f>
        <v/>
      </c>
      <c r="M92" s="29"/>
      <c r="N92" s="28" t="str">
        <f>IF('12 - Device_Configuration'!J92="","",'12 - Device_Configuration'!J92)</f>
        <v>Yes</v>
      </c>
      <c r="O92" s="28" t="str">
        <f>IF('12 - Device_Configuration'!K92="","",'12 - Device_Configuration'!K92)</f>
        <v>No</v>
      </c>
      <c r="P92" s="28" t="str">
        <f>IF('12 - Device_Configuration'!L92="","",'12 - Device_Configuration'!L92)</f>
        <v>No</v>
      </c>
      <c r="Q92" s="29"/>
      <c r="R92" s="28" t="str">
        <f>IF('12 - Device_Configuration'!AY92="","",'12 - Device_Configuration'!AY92)</f>
        <v/>
      </c>
      <c r="S92" s="28" t="str">
        <f>IF('12 - Device_Configuration'!AX92="","",'12 - Device_Configuration'!AX92)</f>
        <v/>
      </c>
      <c r="T92" s="28" t="str">
        <f>IF('12 - Device_Configuration'!AV92="","",'12 - Device_Configuration'!AV92)</f>
        <v/>
      </c>
      <c r="U92" s="28" t="str">
        <f>IF('12 - Device_Configuration'!AW92="","",'12 - Device_Configuration'!AW92)</f>
        <v/>
      </c>
      <c r="V92" s="28" t="str">
        <f>IF('12 - Device_Configuration'!BA92="","",'12 - Device_Configuration'!BA92)</f>
        <v/>
      </c>
      <c r="W92" s="28" t="str">
        <f>IF('12 - Device_Configuration'!BC92="","",'12 - Device_Configuration'!BC92)</f>
        <v/>
      </c>
      <c r="X92" s="28" t="str">
        <f>IF('12 - Device_Configuration'!BK92="","",'12 - Device_Configuration'!BK92)</f>
        <v/>
      </c>
      <c r="Y92" s="28" t="str">
        <f>IF('12 - Device_Configuration'!BB92="","",'12 - Device_Configuration'!BB92)</f>
        <v/>
      </c>
      <c r="Z92" s="28" t="str">
        <f>IF('12 - Device_Configuration'!P92="","",'12 - Device_Configuration'!P92)</f>
        <v/>
      </c>
      <c r="AA92" s="28" t="str">
        <f>IF('12 - Device_Configuration'!Q92="","",'12 - Device_Configuration'!Q92)</f>
        <v/>
      </c>
    </row>
    <row r="93" spans="1:27">
      <c r="A93" s="29"/>
      <c r="B93" s="29"/>
      <c r="C93" s="28" t="str">
        <f>IF('12 - Device_Configuration'!H93="","",'12 - Device_Configuration'!H93)</f>
        <v>LIJ - Other</v>
      </c>
      <c r="D93" s="28" t="str">
        <f>IF('12 - Device_Configuration'!AE93="","",'12 - Device_Configuration'!AE93)</f>
        <v/>
      </c>
      <c r="E93" s="28" t="str">
        <f>IF('12 - Device_Configuration'!AF93="","",'12 - Device_Configuration'!AF93)</f>
        <v/>
      </c>
      <c r="F93" s="28" t="str">
        <f>IF('12 - Device_Configuration'!AG93="","",'12 - Device_Configuration'!AG93)</f>
        <v/>
      </c>
      <c r="G93" s="28" t="str">
        <f>IF('12 - Device_Configuration'!AH93="","",'12 - Device_Configuration'!AH93)</f>
        <v/>
      </c>
      <c r="H93" s="28" t="str">
        <f>IF('12 - Device_Configuration'!A93="","",'12 - Device_Configuration'!A93)</f>
        <v>Cybernet</v>
      </c>
      <c r="I93" s="28" t="str">
        <f>IF('12 - Device_Configuration'!AI93="","",'12 - Device_Configuration'!AI93)</f>
        <v/>
      </c>
      <c r="J93" s="28" t="str">
        <f>IF('12 - Device_Configuration'!AJ93="","",'12 - Device_Configuration'!AJ93)</f>
        <v/>
      </c>
      <c r="K93" s="28" t="str">
        <f>IF('12 - Device_Configuration'!AA93="","",'12 - Device_Configuration'!AA93)</f>
        <v/>
      </c>
      <c r="L93" s="28" t="str">
        <f>IF('12 - Device_Configuration'!I93="","",'12 - Device_Configuration'!I93)</f>
        <v/>
      </c>
      <c r="M93" s="29"/>
      <c r="N93" s="28" t="str">
        <f>IF('12 - Device_Configuration'!J93="","",'12 - Device_Configuration'!J93)</f>
        <v>Yes</v>
      </c>
      <c r="O93" s="28" t="str">
        <f>IF('12 - Device_Configuration'!K93="","",'12 - Device_Configuration'!K93)</f>
        <v>No</v>
      </c>
      <c r="P93" s="28" t="str">
        <f>IF('12 - Device_Configuration'!L93="","",'12 - Device_Configuration'!L93)</f>
        <v>No</v>
      </c>
      <c r="Q93" s="29"/>
      <c r="R93" s="28" t="str">
        <f>IF('12 - Device_Configuration'!AY93="","",'12 - Device_Configuration'!AY93)</f>
        <v/>
      </c>
      <c r="S93" s="28" t="str">
        <f>IF('12 - Device_Configuration'!AX93="","",'12 - Device_Configuration'!AX93)</f>
        <v/>
      </c>
      <c r="T93" s="28" t="str">
        <f>IF('12 - Device_Configuration'!AV93="","",'12 - Device_Configuration'!AV93)</f>
        <v/>
      </c>
      <c r="U93" s="28" t="str">
        <f>IF('12 - Device_Configuration'!AW93="","",'12 - Device_Configuration'!AW93)</f>
        <v/>
      </c>
      <c r="V93" s="28" t="str">
        <f>IF('12 - Device_Configuration'!BA93="","",'12 - Device_Configuration'!BA93)</f>
        <v/>
      </c>
      <c r="W93" s="28" t="str">
        <f>IF('12 - Device_Configuration'!BC93="","",'12 - Device_Configuration'!BC93)</f>
        <v/>
      </c>
      <c r="X93" s="28" t="str">
        <f>IF('12 - Device_Configuration'!BK93="","",'12 - Device_Configuration'!BK93)</f>
        <v/>
      </c>
      <c r="Y93" s="28" t="str">
        <f>IF('12 - Device_Configuration'!BB93="","",'12 - Device_Configuration'!BB93)</f>
        <v/>
      </c>
      <c r="Z93" s="28" t="str">
        <f>IF('12 - Device_Configuration'!P93="","",'12 - Device_Configuration'!P93)</f>
        <v/>
      </c>
      <c r="AA93" s="28" t="str">
        <f>IF('12 - Device_Configuration'!Q93="","",'12 - Device_Configuration'!Q93)</f>
        <v/>
      </c>
    </row>
    <row r="94" spans="1:27">
      <c r="A94" s="29"/>
      <c r="B94" s="29"/>
      <c r="C94" s="28" t="str">
        <f>IF('12 - Device_Configuration'!H94="","",'12 - Device_Configuration'!H94)</f>
        <v>LIJ - Other</v>
      </c>
      <c r="D94" s="28" t="str">
        <f>IF('12 - Device_Configuration'!AE94="","",'12 - Device_Configuration'!AE94)</f>
        <v/>
      </c>
      <c r="E94" s="28" t="str">
        <f>IF('12 - Device_Configuration'!AF94="","",'12 - Device_Configuration'!AF94)</f>
        <v/>
      </c>
      <c r="F94" s="28" t="str">
        <f>IF('12 - Device_Configuration'!AG94="","",'12 - Device_Configuration'!AG94)</f>
        <v/>
      </c>
      <c r="G94" s="28" t="str">
        <f>IF('12 - Device_Configuration'!AH94="","",'12 - Device_Configuration'!AH94)</f>
        <v/>
      </c>
      <c r="H94" s="28" t="str">
        <f>IF('12 - Device_Configuration'!A94="","",'12 - Device_Configuration'!A94)</f>
        <v>Cybernet</v>
      </c>
      <c r="I94" s="28" t="str">
        <f>IF('12 - Device_Configuration'!AI94="","",'12 - Device_Configuration'!AI94)</f>
        <v/>
      </c>
      <c r="J94" s="28" t="str">
        <f>IF('12 - Device_Configuration'!AJ94="","",'12 - Device_Configuration'!AJ94)</f>
        <v/>
      </c>
      <c r="K94" s="28" t="str">
        <f>IF('12 - Device_Configuration'!AA94="","",'12 - Device_Configuration'!AA94)</f>
        <v/>
      </c>
      <c r="L94" s="28" t="str">
        <f>IF('12 - Device_Configuration'!I94="","",'12 - Device_Configuration'!I94)</f>
        <v/>
      </c>
      <c r="M94" s="29"/>
      <c r="N94" s="28" t="str">
        <f>IF('12 - Device_Configuration'!J94="","",'12 - Device_Configuration'!J94)</f>
        <v>Yes</v>
      </c>
      <c r="O94" s="28" t="str">
        <f>IF('12 - Device_Configuration'!K94="","",'12 - Device_Configuration'!K94)</f>
        <v>No</v>
      </c>
      <c r="P94" s="28" t="str">
        <f>IF('12 - Device_Configuration'!L94="","",'12 - Device_Configuration'!L94)</f>
        <v>No</v>
      </c>
      <c r="Q94" s="29"/>
      <c r="R94" s="28" t="str">
        <f>IF('12 - Device_Configuration'!AY94="","",'12 - Device_Configuration'!AY94)</f>
        <v/>
      </c>
      <c r="S94" s="28" t="str">
        <f>IF('12 - Device_Configuration'!AX94="","",'12 - Device_Configuration'!AX94)</f>
        <v/>
      </c>
      <c r="T94" s="28" t="str">
        <f>IF('12 - Device_Configuration'!AV94="","",'12 - Device_Configuration'!AV94)</f>
        <v/>
      </c>
      <c r="U94" s="28" t="str">
        <f>IF('12 - Device_Configuration'!AW94="","",'12 - Device_Configuration'!AW94)</f>
        <v/>
      </c>
      <c r="V94" s="28" t="str">
        <f>IF('12 - Device_Configuration'!BA94="","",'12 - Device_Configuration'!BA94)</f>
        <v/>
      </c>
      <c r="W94" s="28" t="str">
        <f>IF('12 - Device_Configuration'!BC94="","",'12 - Device_Configuration'!BC94)</f>
        <v/>
      </c>
      <c r="X94" s="28" t="str">
        <f>IF('12 - Device_Configuration'!BK94="","",'12 - Device_Configuration'!BK94)</f>
        <v/>
      </c>
      <c r="Y94" s="28" t="str">
        <f>IF('12 - Device_Configuration'!BB94="","",'12 - Device_Configuration'!BB94)</f>
        <v/>
      </c>
      <c r="Z94" s="28" t="str">
        <f>IF('12 - Device_Configuration'!P94="","",'12 - Device_Configuration'!P94)</f>
        <v/>
      </c>
      <c r="AA94" s="28" t="str">
        <f>IF('12 - Device_Configuration'!Q94="","",'12 - Device_Configuration'!Q94)</f>
        <v/>
      </c>
    </row>
    <row r="95" spans="1:27">
      <c r="A95" s="29"/>
      <c r="B95" s="29"/>
      <c r="C95" s="28" t="str">
        <f>IF('12 - Device_Configuration'!H95="","",'12 - Device_Configuration'!H95)</f>
        <v>LIJ - Other</v>
      </c>
      <c r="D95" s="28" t="str">
        <f>IF('12 - Device_Configuration'!AE95="","",'12 - Device_Configuration'!AE95)</f>
        <v/>
      </c>
      <c r="E95" s="28" t="str">
        <f>IF('12 - Device_Configuration'!AF95="","",'12 - Device_Configuration'!AF95)</f>
        <v/>
      </c>
      <c r="F95" s="28" t="str">
        <f>IF('12 - Device_Configuration'!AG95="","",'12 - Device_Configuration'!AG95)</f>
        <v/>
      </c>
      <c r="G95" s="28" t="str">
        <f>IF('12 - Device_Configuration'!AH95="","",'12 - Device_Configuration'!AH95)</f>
        <v/>
      </c>
      <c r="H95" s="28" t="str">
        <f>IF('12 - Device_Configuration'!A95="","",'12 - Device_Configuration'!A95)</f>
        <v>Cybernet</v>
      </c>
      <c r="I95" s="28" t="str">
        <f>IF('12 - Device_Configuration'!AI95="","",'12 - Device_Configuration'!AI95)</f>
        <v/>
      </c>
      <c r="J95" s="28" t="str">
        <f>IF('12 - Device_Configuration'!AJ95="","",'12 - Device_Configuration'!AJ95)</f>
        <v/>
      </c>
      <c r="K95" s="28" t="str">
        <f>IF('12 - Device_Configuration'!AA95="","",'12 - Device_Configuration'!AA95)</f>
        <v/>
      </c>
      <c r="L95" s="28" t="str">
        <f>IF('12 - Device_Configuration'!I95="","",'12 - Device_Configuration'!I95)</f>
        <v/>
      </c>
      <c r="M95" s="29"/>
      <c r="N95" s="28" t="str">
        <f>IF('12 - Device_Configuration'!J95="","",'12 - Device_Configuration'!J95)</f>
        <v>Yes</v>
      </c>
      <c r="O95" s="28" t="str">
        <f>IF('12 - Device_Configuration'!K95="","",'12 - Device_Configuration'!K95)</f>
        <v>No</v>
      </c>
      <c r="P95" s="28" t="str">
        <f>IF('12 - Device_Configuration'!L95="","",'12 - Device_Configuration'!L95)</f>
        <v>No</v>
      </c>
      <c r="Q95" s="29"/>
      <c r="R95" s="28" t="str">
        <f>IF('12 - Device_Configuration'!AY95="","",'12 - Device_Configuration'!AY95)</f>
        <v/>
      </c>
      <c r="S95" s="28" t="str">
        <f>IF('12 - Device_Configuration'!AX95="","",'12 - Device_Configuration'!AX95)</f>
        <v/>
      </c>
      <c r="T95" s="28" t="str">
        <f>IF('12 - Device_Configuration'!AV95="","",'12 - Device_Configuration'!AV95)</f>
        <v/>
      </c>
      <c r="U95" s="28" t="str">
        <f>IF('12 - Device_Configuration'!AW95="","",'12 - Device_Configuration'!AW95)</f>
        <v/>
      </c>
      <c r="V95" s="28" t="str">
        <f>IF('12 - Device_Configuration'!BA95="","",'12 - Device_Configuration'!BA95)</f>
        <v/>
      </c>
      <c r="W95" s="28" t="str">
        <f>IF('12 - Device_Configuration'!BC95="","",'12 - Device_Configuration'!BC95)</f>
        <v/>
      </c>
      <c r="X95" s="28" t="str">
        <f>IF('12 - Device_Configuration'!BK95="","",'12 - Device_Configuration'!BK95)</f>
        <v/>
      </c>
      <c r="Y95" s="28" t="str">
        <f>IF('12 - Device_Configuration'!BB95="","",'12 - Device_Configuration'!BB95)</f>
        <v/>
      </c>
      <c r="Z95" s="28" t="str">
        <f>IF('12 - Device_Configuration'!P95="","",'12 - Device_Configuration'!P95)</f>
        <v/>
      </c>
      <c r="AA95" s="28" t="str">
        <f>IF('12 - Device_Configuration'!Q95="","",'12 - Device_Configuration'!Q95)</f>
        <v/>
      </c>
    </row>
    <row r="96" spans="1:27">
      <c r="A96" s="29"/>
      <c r="B96" s="29"/>
      <c r="C96" s="28" t="str">
        <f>IF('12 - Device_Configuration'!H96="","",'12 - Device_Configuration'!H96)</f>
        <v>LIJ - Other</v>
      </c>
      <c r="D96" s="28" t="str">
        <f>IF('12 - Device_Configuration'!AE96="","",'12 - Device_Configuration'!AE96)</f>
        <v/>
      </c>
      <c r="E96" s="28" t="str">
        <f>IF('12 - Device_Configuration'!AF96="","",'12 - Device_Configuration'!AF96)</f>
        <v/>
      </c>
      <c r="F96" s="28" t="str">
        <f>IF('12 - Device_Configuration'!AG96="","",'12 - Device_Configuration'!AG96)</f>
        <v/>
      </c>
      <c r="G96" s="28" t="str">
        <f>IF('12 - Device_Configuration'!AH96="","",'12 - Device_Configuration'!AH96)</f>
        <v/>
      </c>
      <c r="H96" s="28" t="str">
        <f>IF('12 - Device_Configuration'!A96="","",'12 - Device_Configuration'!A96)</f>
        <v>Cybernet</v>
      </c>
      <c r="I96" s="28" t="str">
        <f>IF('12 - Device_Configuration'!AI96="","",'12 - Device_Configuration'!AI96)</f>
        <v/>
      </c>
      <c r="J96" s="28" t="str">
        <f>IF('12 - Device_Configuration'!AJ96="","",'12 - Device_Configuration'!AJ96)</f>
        <v/>
      </c>
      <c r="K96" s="28" t="str">
        <f>IF('12 - Device_Configuration'!AA96="","",'12 - Device_Configuration'!AA96)</f>
        <v/>
      </c>
      <c r="L96" s="28" t="str">
        <f>IF('12 - Device_Configuration'!I96="","",'12 - Device_Configuration'!I96)</f>
        <v/>
      </c>
      <c r="M96" s="29"/>
      <c r="N96" s="28" t="str">
        <f>IF('12 - Device_Configuration'!J96="","",'12 - Device_Configuration'!J96)</f>
        <v>Yes</v>
      </c>
      <c r="O96" s="28" t="str">
        <f>IF('12 - Device_Configuration'!K96="","",'12 - Device_Configuration'!K96)</f>
        <v>No</v>
      </c>
      <c r="P96" s="28" t="str">
        <f>IF('12 - Device_Configuration'!L96="","",'12 - Device_Configuration'!L96)</f>
        <v>No</v>
      </c>
      <c r="Q96" s="29"/>
      <c r="R96" s="28" t="str">
        <f>IF('12 - Device_Configuration'!AY96="","",'12 - Device_Configuration'!AY96)</f>
        <v/>
      </c>
      <c r="S96" s="28" t="str">
        <f>IF('12 - Device_Configuration'!AX96="","",'12 - Device_Configuration'!AX96)</f>
        <v/>
      </c>
      <c r="T96" s="28" t="str">
        <f>IF('12 - Device_Configuration'!AV96="","",'12 - Device_Configuration'!AV96)</f>
        <v/>
      </c>
      <c r="U96" s="28" t="str">
        <f>IF('12 - Device_Configuration'!AW96="","",'12 - Device_Configuration'!AW96)</f>
        <v/>
      </c>
      <c r="V96" s="28" t="str">
        <f>IF('12 - Device_Configuration'!BA96="","",'12 - Device_Configuration'!BA96)</f>
        <v/>
      </c>
      <c r="W96" s="28" t="str">
        <f>IF('12 - Device_Configuration'!BC96="","",'12 - Device_Configuration'!BC96)</f>
        <v/>
      </c>
      <c r="X96" s="28" t="str">
        <f>IF('12 - Device_Configuration'!BK96="","",'12 - Device_Configuration'!BK96)</f>
        <v/>
      </c>
      <c r="Y96" s="28" t="str">
        <f>IF('12 - Device_Configuration'!BB96="","",'12 - Device_Configuration'!BB96)</f>
        <v/>
      </c>
      <c r="Z96" s="28" t="str">
        <f>IF('12 - Device_Configuration'!P96="","",'12 - Device_Configuration'!P96)</f>
        <v/>
      </c>
      <c r="AA96" s="28" t="str">
        <f>IF('12 - Device_Configuration'!Q96="","",'12 - Device_Configuration'!Q96)</f>
        <v/>
      </c>
    </row>
    <row r="97" spans="1:27">
      <c r="A97" s="29"/>
      <c r="B97" s="29"/>
      <c r="C97" s="28" t="str">
        <f>IF('12 - Device_Configuration'!H97="","",'12 - Device_Configuration'!H97)</f>
        <v>LIJ - Other</v>
      </c>
      <c r="D97" s="28" t="str">
        <f>IF('12 - Device_Configuration'!AE97="","",'12 - Device_Configuration'!AE97)</f>
        <v/>
      </c>
      <c r="E97" s="28" t="str">
        <f>IF('12 - Device_Configuration'!AF97="","",'12 - Device_Configuration'!AF97)</f>
        <v/>
      </c>
      <c r="F97" s="28" t="str">
        <f>IF('12 - Device_Configuration'!AG97="","",'12 - Device_Configuration'!AG97)</f>
        <v/>
      </c>
      <c r="G97" s="28" t="str">
        <f>IF('12 - Device_Configuration'!AH97="","",'12 - Device_Configuration'!AH97)</f>
        <v/>
      </c>
      <c r="H97" s="28" t="str">
        <f>IF('12 - Device_Configuration'!A97="","",'12 - Device_Configuration'!A97)</f>
        <v>Cybernet</v>
      </c>
      <c r="I97" s="28" t="str">
        <f>IF('12 - Device_Configuration'!AI97="","",'12 - Device_Configuration'!AI97)</f>
        <v/>
      </c>
      <c r="J97" s="28" t="str">
        <f>IF('12 - Device_Configuration'!AJ97="","",'12 - Device_Configuration'!AJ97)</f>
        <v/>
      </c>
      <c r="K97" s="28" t="str">
        <f>IF('12 - Device_Configuration'!AA97="","",'12 - Device_Configuration'!AA97)</f>
        <v/>
      </c>
      <c r="L97" s="28" t="str">
        <f>IF('12 - Device_Configuration'!I97="","",'12 - Device_Configuration'!I97)</f>
        <v/>
      </c>
      <c r="M97" s="29"/>
      <c r="N97" s="28" t="str">
        <f>IF('12 - Device_Configuration'!J97="","",'12 - Device_Configuration'!J97)</f>
        <v>Yes</v>
      </c>
      <c r="O97" s="28" t="str">
        <f>IF('12 - Device_Configuration'!K97="","",'12 - Device_Configuration'!K97)</f>
        <v>No</v>
      </c>
      <c r="P97" s="28" t="str">
        <f>IF('12 - Device_Configuration'!L97="","",'12 - Device_Configuration'!L97)</f>
        <v>No</v>
      </c>
      <c r="Q97" s="29"/>
      <c r="R97" s="28" t="str">
        <f>IF('12 - Device_Configuration'!AY97="","",'12 - Device_Configuration'!AY97)</f>
        <v/>
      </c>
      <c r="S97" s="28" t="str">
        <f>IF('12 - Device_Configuration'!AX97="","",'12 - Device_Configuration'!AX97)</f>
        <v/>
      </c>
      <c r="T97" s="28" t="str">
        <f>IF('12 - Device_Configuration'!AV97="","",'12 - Device_Configuration'!AV97)</f>
        <v/>
      </c>
      <c r="U97" s="28" t="str">
        <f>IF('12 - Device_Configuration'!AW97="","",'12 - Device_Configuration'!AW97)</f>
        <v/>
      </c>
      <c r="V97" s="28" t="str">
        <f>IF('12 - Device_Configuration'!BA97="","",'12 - Device_Configuration'!BA97)</f>
        <v/>
      </c>
      <c r="W97" s="28" t="str">
        <f>IF('12 - Device_Configuration'!BC97="","",'12 - Device_Configuration'!BC97)</f>
        <v/>
      </c>
      <c r="X97" s="28" t="str">
        <f>IF('12 - Device_Configuration'!BK97="","",'12 - Device_Configuration'!BK97)</f>
        <v/>
      </c>
      <c r="Y97" s="28" t="str">
        <f>IF('12 - Device_Configuration'!BB97="","",'12 - Device_Configuration'!BB97)</f>
        <v/>
      </c>
      <c r="Z97" s="28" t="str">
        <f>IF('12 - Device_Configuration'!P97="","",'12 - Device_Configuration'!P97)</f>
        <v/>
      </c>
      <c r="AA97" s="28" t="str">
        <f>IF('12 - Device_Configuration'!Q97="","",'12 - Device_Configuration'!Q97)</f>
        <v/>
      </c>
    </row>
    <row r="98" spans="1:27">
      <c r="A98" s="29"/>
      <c r="B98" s="29"/>
      <c r="C98" s="28" t="str">
        <f>IF('12 - Device_Configuration'!H98="","",'12 - Device_Configuration'!H98)</f>
        <v>LIJ - Other</v>
      </c>
      <c r="D98" s="28" t="str">
        <f>IF('12 - Device_Configuration'!AE98="","",'12 - Device_Configuration'!AE98)</f>
        <v/>
      </c>
      <c r="E98" s="28" t="str">
        <f>IF('12 - Device_Configuration'!AF98="","",'12 - Device_Configuration'!AF98)</f>
        <v/>
      </c>
      <c r="F98" s="28" t="str">
        <f>IF('12 - Device_Configuration'!AG98="","",'12 - Device_Configuration'!AG98)</f>
        <v/>
      </c>
      <c r="G98" s="28" t="str">
        <f>IF('12 - Device_Configuration'!AH98="","",'12 - Device_Configuration'!AH98)</f>
        <v/>
      </c>
      <c r="H98" s="28" t="str">
        <f>IF('12 - Device_Configuration'!A98="","",'12 - Device_Configuration'!A98)</f>
        <v>Cybernet</v>
      </c>
      <c r="I98" s="28" t="str">
        <f>IF('12 - Device_Configuration'!AI98="","",'12 - Device_Configuration'!AI98)</f>
        <v/>
      </c>
      <c r="J98" s="28" t="str">
        <f>IF('12 - Device_Configuration'!AJ98="","",'12 - Device_Configuration'!AJ98)</f>
        <v/>
      </c>
      <c r="K98" s="28" t="str">
        <f>IF('12 - Device_Configuration'!AA98="","",'12 - Device_Configuration'!AA98)</f>
        <v/>
      </c>
      <c r="L98" s="28" t="str">
        <f>IF('12 - Device_Configuration'!I98="","",'12 - Device_Configuration'!I98)</f>
        <v/>
      </c>
      <c r="M98" s="29"/>
      <c r="N98" s="28" t="str">
        <f>IF('12 - Device_Configuration'!J98="","",'12 - Device_Configuration'!J98)</f>
        <v>Yes</v>
      </c>
      <c r="O98" s="28" t="str">
        <f>IF('12 - Device_Configuration'!K98="","",'12 - Device_Configuration'!K98)</f>
        <v>No</v>
      </c>
      <c r="P98" s="28" t="str">
        <f>IF('12 - Device_Configuration'!L98="","",'12 - Device_Configuration'!L98)</f>
        <v>No</v>
      </c>
      <c r="Q98" s="29"/>
      <c r="R98" s="28" t="str">
        <f>IF('12 - Device_Configuration'!AY98="","",'12 - Device_Configuration'!AY98)</f>
        <v/>
      </c>
      <c r="S98" s="28" t="str">
        <f>IF('12 - Device_Configuration'!AX98="","",'12 - Device_Configuration'!AX98)</f>
        <v/>
      </c>
      <c r="T98" s="28" t="str">
        <f>IF('12 - Device_Configuration'!AV98="","",'12 - Device_Configuration'!AV98)</f>
        <v/>
      </c>
      <c r="U98" s="28" t="str">
        <f>IF('12 - Device_Configuration'!AW98="","",'12 - Device_Configuration'!AW98)</f>
        <v/>
      </c>
      <c r="V98" s="28" t="str">
        <f>IF('12 - Device_Configuration'!BA98="","",'12 - Device_Configuration'!BA98)</f>
        <v/>
      </c>
      <c r="W98" s="28" t="str">
        <f>IF('12 - Device_Configuration'!BC98="","",'12 - Device_Configuration'!BC98)</f>
        <v/>
      </c>
      <c r="X98" s="28" t="str">
        <f>IF('12 - Device_Configuration'!BK98="","",'12 - Device_Configuration'!BK98)</f>
        <v/>
      </c>
      <c r="Y98" s="28" t="str">
        <f>IF('12 - Device_Configuration'!BB98="","",'12 - Device_Configuration'!BB98)</f>
        <v/>
      </c>
      <c r="Z98" s="28" t="str">
        <f>IF('12 - Device_Configuration'!P98="","",'12 - Device_Configuration'!P98)</f>
        <v/>
      </c>
      <c r="AA98" s="28" t="str">
        <f>IF('12 - Device_Configuration'!Q98="","",'12 - Device_Configuration'!Q98)</f>
        <v/>
      </c>
    </row>
    <row r="99" spans="1:27">
      <c r="A99" s="29"/>
      <c r="B99" s="29"/>
      <c r="C99" s="28" t="str">
        <f>IF('12 - Device_Configuration'!H99="","",'12 - Device_Configuration'!H99)</f>
        <v>LIJ - Other</v>
      </c>
      <c r="D99" s="28" t="str">
        <f>IF('12 - Device_Configuration'!AE99="","",'12 - Device_Configuration'!AE99)</f>
        <v/>
      </c>
      <c r="E99" s="28" t="str">
        <f>IF('12 - Device_Configuration'!AF99="","",'12 - Device_Configuration'!AF99)</f>
        <v/>
      </c>
      <c r="F99" s="28" t="str">
        <f>IF('12 - Device_Configuration'!AG99="","",'12 - Device_Configuration'!AG99)</f>
        <v/>
      </c>
      <c r="G99" s="28" t="str">
        <f>IF('12 - Device_Configuration'!AH99="","",'12 - Device_Configuration'!AH99)</f>
        <v/>
      </c>
      <c r="H99" s="28" t="str">
        <f>IF('12 - Device_Configuration'!A99="","",'12 - Device_Configuration'!A99)</f>
        <v>Cybernet</v>
      </c>
      <c r="I99" s="28" t="str">
        <f>IF('12 - Device_Configuration'!AI99="","",'12 - Device_Configuration'!AI99)</f>
        <v/>
      </c>
      <c r="J99" s="28" t="str">
        <f>IF('12 - Device_Configuration'!AJ99="","",'12 - Device_Configuration'!AJ99)</f>
        <v/>
      </c>
      <c r="K99" s="28" t="str">
        <f>IF('12 - Device_Configuration'!AA99="","",'12 - Device_Configuration'!AA99)</f>
        <v/>
      </c>
      <c r="L99" s="28" t="str">
        <f>IF('12 - Device_Configuration'!I99="","",'12 - Device_Configuration'!I99)</f>
        <v/>
      </c>
      <c r="M99" s="29"/>
      <c r="N99" s="28" t="str">
        <f>IF('12 - Device_Configuration'!J99="","",'12 - Device_Configuration'!J99)</f>
        <v>Yes</v>
      </c>
      <c r="O99" s="28" t="str">
        <f>IF('12 - Device_Configuration'!K99="","",'12 - Device_Configuration'!K99)</f>
        <v>No</v>
      </c>
      <c r="P99" s="28" t="str">
        <f>IF('12 - Device_Configuration'!L99="","",'12 - Device_Configuration'!L99)</f>
        <v>No</v>
      </c>
      <c r="Q99" s="29"/>
      <c r="R99" s="28" t="str">
        <f>IF('12 - Device_Configuration'!AY99="","",'12 - Device_Configuration'!AY99)</f>
        <v/>
      </c>
      <c r="S99" s="28" t="str">
        <f>IF('12 - Device_Configuration'!AX99="","",'12 - Device_Configuration'!AX99)</f>
        <v/>
      </c>
      <c r="T99" s="28" t="str">
        <f>IF('12 - Device_Configuration'!AV99="","",'12 - Device_Configuration'!AV99)</f>
        <v/>
      </c>
      <c r="U99" s="28" t="str">
        <f>IF('12 - Device_Configuration'!AW99="","",'12 - Device_Configuration'!AW99)</f>
        <v/>
      </c>
      <c r="V99" s="28" t="str">
        <f>IF('12 - Device_Configuration'!BA99="","",'12 - Device_Configuration'!BA99)</f>
        <v/>
      </c>
      <c r="W99" s="28" t="str">
        <f>IF('12 - Device_Configuration'!BC99="","",'12 - Device_Configuration'!BC99)</f>
        <v/>
      </c>
      <c r="X99" s="28" t="str">
        <f>IF('12 - Device_Configuration'!BK99="","",'12 - Device_Configuration'!BK99)</f>
        <v/>
      </c>
      <c r="Y99" s="28" t="str">
        <f>IF('12 - Device_Configuration'!BB99="","",'12 - Device_Configuration'!BB99)</f>
        <v/>
      </c>
      <c r="Z99" s="28" t="str">
        <f>IF('12 - Device_Configuration'!P99="","",'12 - Device_Configuration'!P99)</f>
        <v/>
      </c>
      <c r="AA99" s="28" t="str">
        <f>IF('12 - Device_Configuration'!Q99="","",'12 - Device_Configuration'!Q99)</f>
        <v/>
      </c>
    </row>
    <row r="100" spans="1:27">
      <c r="A100" s="29"/>
      <c r="B100" s="29"/>
      <c r="C100" s="28" t="str">
        <f>IF('12 - Device_Configuration'!H100="","",'12 - Device_Configuration'!H100)</f>
        <v>LIJ - Other</v>
      </c>
      <c r="D100" s="28" t="str">
        <f>IF('12 - Device_Configuration'!AE100="","",'12 - Device_Configuration'!AE100)</f>
        <v/>
      </c>
      <c r="E100" s="28" t="str">
        <f>IF('12 - Device_Configuration'!AF100="","",'12 - Device_Configuration'!AF100)</f>
        <v/>
      </c>
      <c r="F100" s="28" t="str">
        <f>IF('12 - Device_Configuration'!AG100="","",'12 - Device_Configuration'!AG100)</f>
        <v/>
      </c>
      <c r="G100" s="28" t="str">
        <f>IF('12 - Device_Configuration'!AH100="","",'12 - Device_Configuration'!AH100)</f>
        <v/>
      </c>
      <c r="H100" s="28" t="str">
        <f>IF('12 - Device_Configuration'!A100="","",'12 - Device_Configuration'!A100)</f>
        <v>Cybernet</v>
      </c>
      <c r="I100" s="28" t="str">
        <f>IF('12 - Device_Configuration'!AI100="","",'12 - Device_Configuration'!AI100)</f>
        <v/>
      </c>
      <c r="J100" s="28" t="str">
        <f>IF('12 - Device_Configuration'!AJ100="","",'12 - Device_Configuration'!AJ100)</f>
        <v/>
      </c>
      <c r="K100" s="28" t="str">
        <f>IF('12 - Device_Configuration'!AA100="","",'12 - Device_Configuration'!AA100)</f>
        <v/>
      </c>
      <c r="L100" s="28" t="str">
        <f>IF('12 - Device_Configuration'!I100="","",'12 - Device_Configuration'!I100)</f>
        <v/>
      </c>
      <c r="M100" s="29"/>
      <c r="N100" s="28" t="str">
        <f>IF('12 - Device_Configuration'!J100="","",'12 - Device_Configuration'!J100)</f>
        <v>Yes</v>
      </c>
      <c r="O100" s="28" t="str">
        <f>IF('12 - Device_Configuration'!K100="","",'12 - Device_Configuration'!K100)</f>
        <v>No</v>
      </c>
      <c r="P100" s="28" t="str">
        <f>IF('12 - Device_Configuration'!L100="","",'12 - Device_Configuration'!L100)</f>
        <v>No</v>
      </c>
      <c r="Q100" s="29"/>
      <c r="R100" s="28" t="str">
        <f>IF('12 - Device_Configuration'!AY100="","",'12 - Device_Configuration'!AY100)</f>
        <v/>
      </c>
      <c r="S100" s="28" t="str">
        <f>IF('12 - Device_Configuration'!AX100="","",'12 - Device_Configuration'!AX100)</f>
        <v/>
      </c>
      <c r="T100" s="28" t="str">
        <f>IF('12 - Device_Configuration'!AV100="","",'12 - Device_Configuration'!AV100)</f>
        <v/>
      </c>
      <c r="U100" s="28" t="str">
        <f>IF('12 - Device_Configuration'!AW100="","",'12 - Device_Configuration'!AW100)</f>
        <v/>
      </c>
      <c r="V100" s="28" t="str">
        <f>IF('12 - Device_Configuration'!BA100="","",'12 - Device_Configuration'!BA100)</f>
        <v/>
      </c>
      <c r="W100" s="28" t="str">
        <f>IF('12 - Device_Configuration'!BC100="","",'12 - Device_Configuration'!BC100)</f>
        <v/>
      </c>
      <c r="X100" s="28" t="str">
        <f>IF('12 - Device_Configuration'!BK100="","",'12 - Device_Configuration'!BK100)</f>
        <v/>
      </c>
      <c r="Y100" s="28" t="str">
        <f>IF('12 - Device_Configuration'!BB100="","",'12 - Device_Configuration'!BB100)</f>
        <v/>
      </c>
      <c r="Z100" s="28" t="str">
        <f>IF('12 - Device_Configuration'!P100="","",'12 - Device_Configuration'!P100)</f>
        <v/>
      </c>
      <c r="AA100" s="28" t="str">
        <f>IF('12 - Device_Configuration'!Q100="","",'12 - Device_Configuration'!Q100)</f>
        <v/>
      </c>
    </row>
    <row r="101" spans="1:27">
      <c r="A101" s="29"/>
      <c r="B101" s="29"/>
      <c r="C101" s="28" t="str">
        <f>IF('12 - Device_Configuration'!H101="","",'12 - Device_Configuration'!H101)</f>
        <v>LIJ - Other</v>
      </c>
      <c r="D101" s="28" t="str">
        <f>IF('12 - Device_Configuration'!AE101="","",'12 - Device_Configuration'!AE101)</f>
        <v/>
      </c>
      <c r="E101" s="28" t="str">
        <f>IF('12 - Device_Configuration'!AF101="","",'12 - Device_Configuration'!AF101)</f>
        <v/>
      </c>
      <c r="F101" s="28" t="str">
        <f>IF('12 - Device_Configuration'!AG101="","",'12 - Device_Configuration'!AG101)</f>
        <v/>
      </c>
      <c r="G101" s="28" t="str">
        <f>IF('12 - Device_Configuration'!AH101="","",'12 - Device_Configuration'!AH101)</f>
        <v/>
      </c>
      <c r="H101" s="28" t="str">
        <f>IF('12 - Device_Configuration'!A101="","",'12 - Device_Configuration'!A101)</f>
        <v>Cybernet</v>
      </c>
      <c r="I101" s="28" t="str">
        <f>IF('12 - Device_Configuration'!AI101="","",'12 - Device_Configuration'!AI101)</f>
        <v/>
      </c>
      <c r="J101" s="28" t="str">
        <f>IF('12 - Device_Configuration'!AJ101="","",'12 - Device_Configuration'!AJ101)</f>
        <v/>
      </c>
      <c r="K101" s="28" t="str">
        <f>IF('12 - Device_Configuration'!AA101="","",'12 - Device_Configuration'!AA101)</f>
        <v/>
      </c>
      <c r="L101" s="28" t="str">
        <f>IF('12 - Device_Configuration'!I101="","",'12 - Device_Configuration'!I101)</f>
        <v/>
      </c>
      <c r="M101" s="29"/>
      <c r="N101" s="28" t="str">
        <f>IF('12 - Device_Configuration'!J101="","",'12 - Device_Configuration'!J101)</f>
        <v>Yes</v>
      </c>
      <c r="O101" s="28" t="str">
        <f>IF('12 - Device_Configuration'!K101="","",'12 - Device_Configuration'!K101)</f>
        <v>No</v>
      </c>
      <c r="P101" s="28" t="str">
        <f>IF('12 - Device_Configuration'!L101="","",'12 - Device_Configuration'!L101)</f>
        <v>No</v>
      </c>
      <c r="Q101" s="29"/>
      <c r="R101" s="28" t="str">
        <f>IF('12 - Device_Configuration'!AY101="","",'12 - Device_Configuration'!AY101)</f>
        <v/>
      </c>
      <c r="S101" s="28" t="str">
        <f>IF('12 - Device_Configuration'!AX101="","",'12 - Device_Configuration'!AX101)</f>
        <v/>
      </c>
      <c r="T101" s="28" t="str">
        <f>IF('12 - Device_Configuration'!AV101="","",'12 - Device_Configuration'!AV101)</f>
        <v/>
      </c>
      <c r="U101" s="28" t="str">
        <f>IF('12 - Device_Configuration'!AW101="","",'12 - Device_Configuration'!AW101)</f>
        <v/>
      </c>
      <c r="V101" s="28" t="str">
        <f>IF('12 - Device_Configuration'!BA101="","",'12 - Device_Configuration'!BA101)</f>
        <v/>
      </c>
      <c r="W101" s="28" t="str">
        <f>IF('12 - Device_Configuration'!BC101="","",'12 - Device_Configuration'!BC101)</f>
        <v/>
      </c>
      <c r="X101" s="28" t="str">
        <f>IF('12 - Device_Configuration'!BK101="","",'12 - Device_Configuration'!BK101)</f>
        <v/>
      </c>
      <c r="Y101" s="28" t="str">
        <f>IF('12 - Device_Configuration'!BB101="","",'12 - Device_Configuration'!BB101)</f>
        <v/>
      </c>
      <c r="Z101" s="28" t="str">
        <f>IF('12 - Device_Configuration'!P101="","",'12 - Device_Configuration'!P101)</f>
        <v/>
      </c>
      <c r="AA101" s="28" t="str">
        <f>IF('12 - Device_Configuration'!Q101="","",'12 - Device_Configuration'!Q101)</f>
        <v/>
      </c>
    </row>
    <row r="102" spans="1:27">
      <c r="A102" s="29"/>
      <c r="B102" s="29"/>
      <c r="C102" s="28" t="str">
        <f>IF('12 - Device_Configuration'!H102="","",'12 - Device_Configuration'!H102)</f>
        <v>LIJ - Other</v>
      </c>
      <c r="D102" s="28" t="str">
        <f>IF('12 - Device_Configuration'!AE102="","",'12 - Device_Configuration'!AE102)</f>
        <v/>
      </c>
      <c r="E102" s="28" t="str">
        <f>IF('12 - Device_Configuration'!AF102="","",'12 - Device_Configuration'!AF102)</f>
        <v/>
      </c>
      <c r="F102" s="28" t="str">
        <f>IF('12 - Device_Configuration'!AG102="","",'12 - Device_Configuration'!AG102)</f>
        <v/>
      </c>
      <c r="G102" s="28" t="str">
        <f>IF('12 - Device_Configuration'!AH102="","",'12 - Device_Configuration'!AH102)</f>
        <v/>
      </c>
      <c r="H102" s="28" t="str">
        <f>IF('12 - Device_Configuration'!A102="","",'12 - Device_Configuration'!A102)</f>
        <v>Cybernet</v>
      </c>
      <c r="I102" s="28" t="str">
        <f>IF('12 - Device_Configuration'!AI102="","",'12 - Device_Configuration'!AI102)</f>
        <v/>
      </c>
      <c r="J102" s="28" t="str">
        <f>IF('12 - Device_Configuration'!AJ102="","",'12 - Device_Configuration'!AJ102)</f>
        <v/>
      </c>
      <c r="K102" s="28" t="str">
        <f>IF('12 - Device_Configuration'!AA102="","",'12 - Device_Configuration'!AA102)</f>
        <v/>
      </c>
      <c r="L102" s="28" t="str">
        <f>IF('12 - Device_Configuration'!I102="","",'12 - Device_Configuration'!I102)</f>
        <v/>
      </c>
      <c r="M102" s="29"/>
      <c r="N102" s="28" t="str">
        <f>IF('12 - Device_Configuration'!J102="","",'12 - Device_Configuration'!J102)</f>
        <v>Yes</v>
      </c>
      <c r="O102" s="28" t="str">
        <f>IF('12 - Device_Configuration'!K102="","",'12 - Device_Configuration'!K102)</f>
        <v>No</v>
      </c>
      <c r="P102" s="28" t="str">
        <f>IF('12 - Device_Configuration'!L102="","",'12 - Device_Configuration'!L102)</f>
        <v>No</v>
      </c>
      <c r="Q102" s="29"/>
      <c r="R102" s="28" t="str">
        <f>IF('12 - Device_Configuration'!AY102="","",'12 - Device_Configuration'!AY102)</f>
        <v/>
      </c>
      <c r="S102" s="28" t="str">
        <f>IF('12 - Device_Configuration'!AX102="","",'12 - Device_Configuration'!AX102)</f>
        <v/>
      </c>
      <c r="T102" s="28" t="str">
        <f>IF('12 - Device_Configuration'!AV102="","",'12 - Device_Configuration'!AV102)</f>
        <v/>
      </c>
      <c r="U102" s="28" t="str">
        <f>IF('12 - Device_Configuration'!AW102="","",'12 - Device_Configuration'!AW102)</f>
        <v/>
      </c>
      <c r="V102" s="28" t="str">
        <f>IF('12 - Device_Configuration'!BA102="","",'12 - Device_Configuration'!BA102)</f>
        <v/>
      </c>
      <c r="W102" s="28" t="str">
        <f>IF('12 - Device_Configuration'!BC102="","",'12 - Device_Configuration'!BC102)</f>
        <v/>
      </c>
      <c r="X102" s="28" t="str">
        <f>IF('12 - Device_Configuration'!BK102="","",'12 - Device_Configuration'!BK102)</f>
        <v/>
      </c>
      <c r="Y102" s="28" t="str">
        <f>IF('12 - Device_Configuration'!BB102="","",'12 - Device_Configuration'!BB102)</f>
        <v/>
      </c>
      <c r="Z102" s="28" t="str">
        <f>IF('12 - Device_Configuration'!P102="","",'12 - Device_Configuration'!P102)</f>
        <v/>
      </c>
      <c r="AA102" s="28" t="str">
        <f>IF('12 - Device_Configuration'!Q102="","",'12 - Device_Configuration'!Q102)</f>
        <v/>
      </c>
    </row>
    <row r="103" spans="1:27">
      <c r="A103" s="29"/>
      <c r="B103" s="29"/>
      <c r="C103" s="28" t="str">
        <f>IF('12 - Device_Configuration'!H103="","",'12 - Device_Configuration'!H103)</f>
        <v>LIJ - Other</v>
      </c>
      <c r="D103" s="28" t="str">
        <f>IF('12 - Device_Configuration'!AE103="","",'12 - Device_Configuration'!AE103)</f>
        <v/>
      </c>
      <c r="E103" s="28" t="str">
        <f>IF('12 - Device_Configuration'!AF103="","",'12 - Device_Configuration'!AF103)</f>
        <v/>
      </c>
      <c r="F103" s="28" t="str">
        <f>IF('12 - Device_Configuration'!AG103="","",'12 - Device_Configuration'!AG103)</f>
        <v/>
      </c>
      <c r="G103" s="28" t="str">
        <f>IF('12 - Device_Configuration'!AH103="","",'12 - Device_Configuration'!AH103)</f>
        <v/>
      </c>
      <c r="H103" s="28" t="str">
        <f>IF('12 - Device_Configuration'!A103="","",'12 - Device_Configuration'!A103)</f>
        <v>Cybernet</v>
      </c>
      <c r="I103" s="28" t="str">
        <f>IF('12 - Device_Configuration'!AI103="","",'12 - Device_Configuration'!AI103)</f>
        <v/>
      </c>
      <c r="J103" s="28" t="str">
        <f>IF('12 - Device_Configuration'!AJ103="","",'12 - Device_Configuration'!AJ103)</f>
        <v/>
      </c>
      <c r="K103" s="28" t="str">
        <f>IF('12 - Device_Configuration'!AA103="","",'12 - Device_Configuration'!AA103)</f>
        <v/>
      </c>
      <c r="L103" s="28" t="str">
        <f>IF('12 - Device_Configuration'!I103="","",'12 - Device_Configuration'!I103)</f>
        <v/>
      </c>
      <c r="M103" s="29"/>
      <c r="N103" s="28" t="str">
        <f>IF('12 - Device_Configuration'!J103="","",'12 - Device_Configuration'!J103)</f>
        <v>Yes</v>
      </c>
      <c r="O103" s="28" t="str">
        <f>IF('12 - Device_Configuration'!K103="","",'12 - Device_Configuration'!K103)</f>
        <v>No</v>
      </c>
      <c r="P103" s="28" t="str">
        <f>IF('12 - Device_Configuration'!L103="","",'12 - Device_Configuration'!L103)</f>
        <v>No</v>
      </c>
      <c r="Q103" s="29"/>
      <c r="R103" s="28" t="str">
        <f>IF('12 - Device_Configuration'!AY103="","",'12 - Device_Configuration'!AY103)</f>
        <v/>
      </c>
      <c r="S103" s="28" t="str">
        <f>IF('12 - Device_Configuration'!AX103="","",'12 - Device_Configuration'!AX103)</f>
        <v/>
      </c>
      <c r="T103" s="28" t="str">
        <f>IF('12 - Device_Configuration'!AV103="","",'12 - Device_Configuration'!AV103)</f>
        <v/>
      </c>
      <c r="U103" s="28" t="str">
        <f>IF('12 - Device_Configuration'!AW103="","",'12 - Device_Configuration'!AW103)</f>
        <v/>
      </c>
      <c r="V103" s="28" t="str">
        <f>IF('12 - Device_Configuration'!BA103="","",'12 - Device_Configuration'!BA103)</f>
        <v/>
      </c>
      <c r="W103" s="28" t="str">
        <f>IF('12 - Device_Configuration'!BC103="","",'12 - Device_Configuration'!BC103)</f>
        <v/>
      </c>
      <c r="X103" s="28" t="str">
        <f>IF('12 - Device_Configuration'!BK103="","",'12 - Device_Configuration'!BK103)</f>
        <v/>
      </c>
      <c r="Y103" s="28" t="str">
        <f>IF('12 - Device_Configuration'!BB103="","",'12 - Device_Configuration'!BB103)</f>
        <v/>
      </c>
      <c r="Z103" s="28" t="str">
        <f>IF('12 - Device_Configuration'!P103="","",'12 - Device_Configuration'!P103)</f>
        <v/>
      </c>
      <c r="AA103" s="28" t="str">
        <f>IF('12 - Device_Configuration'!Q103="","",'12 - Device_Configuration'!Q103)</f>
        <v/>
      </c>
    </row>
    <row r="104" spans="1:27">
      <c r="A104" s="29"/>
      <c r="B104" s="29"/>
      <c r="C104" s="28" t="str">
        <f>IF('12 - Device_Configuration'!H104="","",'12 - Device_Configuration'!H104)</f>
        <v>LIJ - Other</v>
      </c>
      <c r="D104" s="28" t="str">
        <f>IF('12 - Device_Configuration'!AE104="","",'12 - Device_Configuration'!AE104)</f>
        <v/>
      </c>
      <c r="E104" s="28" t="str">
        <f>IF('12 - Device_Configuration'!AF104="","",'12 - Device_Configuration'!AF104)</f>
        <v/>
      </c>
      <c r="F104" s="28" t="str">
        <f>IF('12 - Device_Configuration'!AG104="","",'12 - Device_Configuration'!AG104)</f>
        <v/>
      </c>
      <c r="G104" s="28" t="str">
        <f>IF('12 - Device_Configuration'!AH104="","",'12 - Device_Configuration'!AH104)</f>
        <v/>
      </c>
      <c r="H104" s="28" t="str">
        <f>IF('12 - Device_Configuration'!A104="","",'12 - Device_Configuration'!A104)</f>
        <v>Cybernet</v>
      </c>
      <c r="I104" s="28" t="str">
        <f>IF('12 - Device_Configuration'!AI104="","",'12 - Device_Configuration'!AI104)</f>
        <v/>
      </c>
      <c r="J104" s="28" t="str">
        <f>IF('12 - Device_Configuration'!AJ104="","",'12 - Device_Configuration'!AJ104)</f>
        <v/>
      </c>
      <c r="K104" s="28" t="str">
        <f>IF('12 - Device_Configuration'!AA104="","",'12 - Device_Configuration'!AA104)</f>
        <v/>
      </c>
      <c r="L104" s="28" t="str">
        <f>IF('12 - Device_Configuration'!I104="","",'12 - Device_Configuration'!I104)</f>
        <v/>
      </c>
      <c r="M104" s="29"/>
      <c r="N104" s="28" t="str">
        <f>IF('12 - Device_Configuration'!J104="","",'12 - Device_Configuration'!J104)</f>
        <v>Yes</v>
      </c>
      <c r="O104" s="28" t="str">
        <f>IF('12 - Device_Configuration'!K104="","",'12 - Device_Configuration'!K104)</f>
        <v>No</v>
      </c>
      <c r="P104" s="28" t="str">
        <f>IF('12 - Device_Configuration'!L104="","",'12 - Device_Configuration'!L104)</f>
        <v>No</v>
      </c>
      <c r="Q104" s="29"/>
      <c r="R104" s="28" t="str">
        <f>IF('12 - Device_Configuration'!AY104="","",'12 - Device_Configuration'!AY104)</f>
        <v/>
      </c>
      <c r="S104" s="28" t="str">
        <f>IF('12 - Device_Configuration'!AX104="","",'12 - Device_Configuration'!AX104)</f>
        <v/>
      </c>
      <c r="T104" s="28" t="str">
        <f>IF('12 - Device_Configuration'!AV104="","",'12 - Device_Configuration'!AV104)</f>
        <v/>
      </c>
      <c r="U104" s="28" t="str">
        <f>IF('12 - Device_Configuration'!AW104="","",'12 - Device_Configuration'!AW104)</f>
        <v/>
      </c>
      <c r="V104" s="28" t="str">
        <f>IF('12 - Device_Configuration'!BA104="","",'12 - Device_Configuration'!BA104)</f>
        <v/>
      </c>
      <c r="W104" s="28" t="str">
        <f>IF('12 - Device_Configuration'!BC104="","",'12 - Device_Configuration'!BC104)</f>
        <v/>
      </c>
      <c r="X104" s="28" t="str">
        <f>IF('12 - Device_Configuration'!BK104="","",'12 - Device_Configuration'!BK104)</f>
        <v/>
      </c>
      <c r="Y104" s="28" t="str">
        <f>IF('12 - Device_Configuration'!BB104="","",'12 - Device_Configuration'!BB104)</f>
        <v/>
      </c>
      <c r="Z104" s="28" t="str">
        <f>IF('12 - Device_Configuration'!P104="","",'12 - Device_Configuration'!P104)</f>
        <v/>
      </c>
      <c r="AA104" s="28" t="str">
        <f>IF('12 - Device_Configuration'!Q104="","",'12 - Device_Configuration'!Q104)</f>
        <v/>
      </c>
    </row>
    <row r="105" spans="1:27">
      <c r="A105" s="29"/>
      <c r="B105" s="29"/>
      <c r="C105" s="28" t="str">
        <f>IF('12 - Device_Configuration'!H105="","",'12 - Device_Configuration'!H105)</f>
        <v>LIJ - Other</v>
      </c>
      <c r="D105" s="28" t="str">
        <f>IF('12 - Device_Configuration'!AE105="","",'12 - Device_Configuration'!AE105)</f>
        <v/>
      </c>
      <c r="E105" s="28" t="str">
        <f>IF('12 - Device_Configuration'!AF105="","",'12 - Device_Configuration'!AF105)</f>
        <v/>
      </c>
      <c r="F105" s="28" t="str">
        <f>IF('12 - Device_Configuration'!AG105="","",'12 - Device_Configuration'!AG105)</f>
        <v/>
      </c>
      <c r="G105" s="28" t="str">
        <f>IF('12 - Device_Configuration'!AH105="","",'12 - Device_Configuration'!AH105)</f>
        <v/>
      </c>
      <c r="H105" s="28" t="str">
        <f>IF('12 - Device_Configuration'!A105="","",'12 - Device_Configuration'!A105)</f>
        <v>Cybernet</v>
      </c>
      <c r="I105" s="28" t="str">
        <f>IF('12 - Device_Configuration'!AI105="","",'12 - Device_Configuration'!AI105)</f>
        <v/>
      </c>
      <c r="J105" s="28" t="str">
        <f>IF('12 - Device_Configuration'!AJ105="","",'12 - Device_Configuration'!AJ105)</f>
        <v/>
      </c>
      <c r="K105" s="28" t="str">
        <f>IF('12 - Device_Configuration'!AA105="","",'12 - Device_Configuration'!AA105)</f>
        <v/>
      </c>
      <c r="L105" s="28" t="str">
        <f>IF('12 - Device_Configuration'!I105="","",'12 - Device_Configuration'!I105)</f>
        <v/>
      </c>
      <c r="M105" s="29"/>
      <c r="N105" s="28" t="str">
        <f>IF('12 - Device_Configuration'!J105="","",'12 - Device_Configuration'!J105)</f>
        <v>Yes</v>
      </c>
      <c r="O105" s="28" t="str">
        <f>IF('12 - Device_Configuration'!K105="","",'12 - Device_Configuration'!K105)</f>
        <v>No</v>
      </c>
      <c r="P105" s="28" t="str">
        <f>IF('12 - Device_Configuration'!L105="","",'12 - Device_Configuration'!L105)</f>
        <v>No</v>
      </c>
      <c r="Q105" s="29"/>
      <c r="R105" s="28" t="str">
        <f>IF('12 - Device_Configuration'!AY105="","",'12 - Device_Configuration'!AY105)</f>
        <v/>
      </c>
      <c r="S105" s="28" t="str">
        <f>IF('12 - Device_Configuration'!AX105="","",'12 - Device_Configuration'!AX105)</f>
        <v/>
      </c>
      <c r="T105" s="28" t="str">
        <f>IF('12 - Device_Configuration'!AV105="","",'12 - Device_Configuration'!AV105)</f>
        <v/>
      </c>
      <c r="U105" s="28" t="str">
        <f>IF('12 - Device_Configuration'!AW105="","",'12 - Device_Configuration'!AW105)</f>
        <v/>
      </c>
      <c r="V105" s="28" t="str">
        <f>IF('12 - Device_Configuration'!BA105="","",'12 - Device_Configuration'!BA105)</f>
        <v/>
      </c>
      <c r="W105" s="28" t="str">
        <f>IF('12 - Device_Configuration'!BC105="","",'12 - Device_Configuration'!BC105)</f>
        <v/>
      </c>
      <c r="X105" s="28" t="str">
        <f>IF('12 - Device_Configuration'!BK105="","",'12 - Device_Configuration'!BK105)</f>
        <v/>
      </c>
      <c r="Y105" s="28" t="str">
        <f>IF('12 - Device_Configuration'!BB105="","",'12 - Device_Configuration'!BB105)</f>
        <v/>
      </c>
      <c r="Z105" s="28" t="str">
        <f>IF('12 - Device_Configuration'!P105="","",'12 - Device_Configuration'!P105)</f>
        <v/>
      </c>
      <c r="AA105" s="28" t="str">
        <f>IF('12 - Device_Configuration'!Q105="","",'12 - Device_Configuration'!Q105)</f>
        <v/>
      </c>
    </row>
    <row r="106" spans="1:27">
      <c r="A106" s="29"/>
      <c r="B106" s="29"/>
      <c r="C106" s="28" t="str">
        <f>IF('12 - Device_Configuration'!H106="","",'12 - Device_Configuration'!H106)</f>
        <v>LIJ - Other</v>
      </c>
      <c r="D106" s="28" t="str">
        <f>IF('12 - Device_Configuration'!AE106="","",'12 - Device_Configuration'!AE106)</f>
        <v/>
      </c>
      <c r="E106" s="28" t="str">
        <f>IF('12 - Device_Configuration'!AF106="","",'12 - Device_Configuration'!AF106)</f>
        <v/>
      </c>
      <c r="F106" s="28" t="str">
        <f>IF('12 - Device_Configuration'!AG106="","",'12 - Device_Configuration'!AG106)</f>
        <v/>
      </c>
      <c r="G106" s="28" t="str">
        <f>IF('12 - Device_Configuration'!AH106="","",'12 - Device_Configuration'!AH106)</f>
        <v/>
      </c>
      <c r="H106" s="28" t="str">
        <f>IF('12 - Device_Configuration'!A106="","",'12 - Device_Configuration'!A106)</f>
        <v>Cybernet</v>
      </c>
      <c r="I106" s="28" t="str">
        <f>IF('12 - Device_Configuration'!AI106="","",'12 - Device_Configuration'!AI106)</f>
        <v/>
      </c>
      <c r="J106" s="28" t="str">
        <f>IF('12 - Device_Configuration'!AJ106="","",'12 - Device_Configuration'!AJ106)</f>
        <v/>
      </c>
      <c r="K106" s="28" t="str">
        <f>IF('12 - Device_Configuration'!AA106="","",'12 - Device_Configuration'!AA106)</f>
        <v/>
      </c>
      <c r="L106" s="28" t="str">
        <f>IF('12 - Device_Configuration'!I106="","",'12 - Device_Configuration'!I106)</f>
        <v/>
      </c>
      <c r="M106" s="29"/>
      <c r="N106" s="28" t="str">
        <f>IF('12 - Device_Configuration'!J106="","",'12 - Device_Configuration'!J106)</f>
        <v>Yes</v>
      </c>
      <c r="O106" s="28" t="str">
        <f>IF('12 - Device_Configuration'!K106="","",'12 - Device_Configuration'!K106)</f>
        <v>No</v>
      </c>
      <c r="P106" s="28" t="str">
        <f>IF('12 - Device_Configuration'!L106="","",'12 - Device_Configuration'!L106)</f>
        <v>No</v>
      </c>
      <c r="Q106" s="29"/>
      <c r="R106" s="28" t="str">
        <f>IF('12 - Device_Configuration'!AY106="","",'12 - Device_Configuration'!AY106)</f>
        <v/>
      </c>
      <c r="S106" s="28" t="str">
        <f>IF('12 - Device_Configuration'!AX106="","",'12 - Device_Configuration'!AX106)</f>
        <v/>
      </c>
      <c r="T106" s="28" t="str">
        <f>IF('12 - Device_Configuration'!AV106="","",'12 - Device_Configuration'!AV106)</f>
        <v/>
      </c>
      <c r="U106" s="28" t="str">
        <f>IF('12 - Device_Configuration'!AW106="","",'12 - Device_Configuration'!AW106)</f>
        <v/>
      </c>
      <c r="V106" s="28" t="str">
        <f>IF('12 - Device_Configuration'!BA106="","",'12 - Device_Configuration'!BA106)</f>
        <v/>
      </c>
      <c r="W106" s="28" t="str">
        <f>IF('12 - Device_Configuration'!BC106="","",'12 - Device_Configuration'!BC106)</f>
        <v/>
      </c>
      <c r="X106" s="28" t="str">
        <f>IF('12 - Device_Configuration'!BK106="","",'12 - Device_Configuration'!BK106)</f>
        <v/>
      </c>
      <c r="Y106" s="28" t="str">
        <f>IF('12 - Device_Configuration'!BB106="","",'12 - Device_Configuration'!BB106)</f>
        <v/>
      </c>
      <c r="Z106" s="28" t="str">
        <f>IF('12 - Device_Configuration'!P106="","",'12 - Device_Configuration'!P106)</f>
        <v/>
      </c>
      <c r="AA106" s="28" t="str">
        <f>IF('12 - Device_Configuration'!Q106="","",'12 - Device_Configuration'!Q106)</f>
        <v/>
      </c>
    </row>
    <row r="107" spans="1:27">
      <c r="A107" s="29"/>
      <c r="B107" s="29"/>
      <c r="C107" s="28" t="str">
        <f>IF('12 - Device_Configuration'!H107="","",'12 - Device_Configuration'!H107)</f>
        <v>LIJ - Other</v>
      </c>
      <c r="D107" s="28" t="str">
        <f>IF('12 - Device_Configuration'!AE107="","",'12 - Device_Configuration'!AE107)</f>
        <v/>
      </c>
      <c r="E107" s="28" t="str">
        <f>IF('12 - Device_Configuration'!AF107="","",'12 - Device_Configuration'!AF107)</f>
        <v/>
      </c>
      <c r="F107" s="28" t="str">
        <f>IF('12 - Device_Configuration'!AG107="","",'12 - Device_Configuration'!AG107)</f>
        <v/>
      </c>
      <c r="G107" s="28" t="str">
        <f>IF('12 - Device_Configuration'!AH107="","",'12 - Device_Configuration'!AH107)</f>
        <v/>
      </c>
      <c r="H107" s="28" t="str">
        <f>IF('12 - Device_Configuration'!A107="","",'12 - Device_Configuration'!A107)</f>
        <v>Cybernet</v>
      </c>
      <c r="I107" s="28" t="str">
        <f>IF('12 - Device_Configuration'!AI107="","",'12 - Device_Configuration'!AI107)</f>
        <v/>
      </c>
      <c r="J107" s="28" t="str">
        <f>IF('12 - Device_Configuration'!AJ107="","",'12 - Device_Configuration'!AJ107)</f>
        <v/>
      </c>
      <c r="K107" s="28" t="str">
        <f>IF('12 - Device_Configuration'!AA107="","",'12 - Device_Configuration'!AA107)</f>
        <v/>
      </c>
      <c r="L107" s="28" t="str">
        <f>IF('12 - Device_Configuration'!I107="","",'12 - Device_Configuration'!I107)</f>
        <v/>
      </c>
      <c r="M107" s="29"/>
      <c r="N107" s="28" t="str">
        <f>IF('12 - Device_Configuration'!J107="","",'12 - Device_Configuration'!J107)</f>
        <v>Yes</v>
      </c>
      <c r="O107" s="28" t="str">
        <f>IF('12 - Device_Configuration'!K107="","",'12 - Device_Configuration'!K107)</f>
        <v>No</v>
      </c>
      <c r="P107" s="28" t="str">
        <f>IF('12 - Device_Configuration'!L107="","",'12 - Device_Configuration'!L107)</f>
        <v>No</v>
      </c>
      <c r="Q107" s="29"/>
      <c r="R107" s="28" t="str">
        <f>IF('12 - Device_Configuration'!AY107="","",'12 - Device_Configuration'!AY107)</f>
        <v/>
      </c>
      <c r="S107" s="28" t="str">
        <f>IF('12 - Device_Configuration'!AX107="","",'12 - Device_Configuration'!AX107)</f>
        <v/>
      </c>
      <c r="T107" s="28" t="str">
        <f>IF('12 - Device_Configuration'!AV107="","",'12 - Device_Configuration'!AV107)</f>
        <v/>
      </c>
      <c r="U107" s="28" t="str">
        <f>IF('12 - Device_Configuration'!AW107="","",'12 - Device_Configuration'!AW107)</f>
        <v/>
      </c>
      <c r="V107" s="28" t="str">
        <f>IF('12 - Device_Configuration'!BA107="","",'12 - Device_Configuration'!BA107)</f>
        <v/>
      </c>
      <c r="W107" s="28" t="str">
        <f>IF('12 - Device_Configuration'!BC107="","",'12 - Device_Configuration'!BC107)</f>
        <v/>
      </c>
      <c r="X107" s="28" t="str">
        <f>IF('12 - Device_Configuration'!BK107="","",'12 - Device_Configuration'!BK107)</f>
        <v/>
      </c>
      <c r="Y107" s="28" t="str">
        <f>IF('12 - Device_Configuration'!BB107="","",'12 - Device_Configuration'!BB107)</f>
        <v/>
      </c>
      <c r="Z107" s="28" t="str">
        <f>IF('12 - Device_Configuration'!P107="","",'12 - Device_Configuration'!P107)</f>
        <v/>
      </c>
      <c r="AA107" s="28" t="str">
        <f>IF('12 - Device_Configuration'!Q107="","",'12 - Device_Configuration'!Q107)</f>
        <v/>
      </c>
    </row>
    <row r="108" spans="1:27">
      <c r="A108" s="29"/>
      <c r="B108" s="29"/>
      <c r="C108" s="28" t="str">
        <f>IF('12 - Device_Configuration'!H108="","",'12 - Device_Configuration'!H108)</f>
        <v>LIJ - Other</v>
      </c>
      <c r="D108" s="28" t="str">
        <f>IF('12 - Device_Configuration'!AE108="","",'12 - Device_Configuration'!AE108)</f>
        <v/>
      </c>
      <c r="E108" s="28" t="str">
        <f>IF('12 - Device_Configuration'!AF108="","",'12 - Device_Configuration'!AF108)</f>
        <v/>
      </c>
      <c r="F108" s="28" t="str">
        <f>IF('12 - Device_Configuration'!AG108="","",'12 - Device_Configuration'!AG108)</f>
        <v/>
      </c>
      <c r="G108" s="28" t="str">
        <f>IF('12 - Device_Configuration'!AH108="","",'12 - Device_Configuration'!AH108)</f>
        <v/>
      </c>
      <c r="H108" s="28" t="str">
        <f>IF('12 - Device_Configuration'!A108="","",'12 - Device_Configuration'!A108)</f>
        <v>Cybernet</v>
      </c>
      <c r="I108" s="28" t="str">
        <f>IF('12 - Device_Configuration'!AI108="","",'12 - Device_Configuration'!AI108)</f>
        <v/>
      </c>
      <c r="J108" s="28" t="str">
        <f>IF('12 - Device_Configuration'!AJ108="","",'12 - Device_Configuration'!AJ108)</f>
        <v/>
      </c>
      <c r="K108" s="28" t="str">
        <f>IF('12 - Device_Configuration'!AA108="","",'12 - Device_Configuration'!AA108)</f>
        <v/>
      </c>
      <c r="L108" s="28" t="str">
        <f>IF('12 - Device_Configuration'!I108="","",'12 - Device_Configuration'!I108)</f>
        <v/>
      </c>
      <c r="M108" s="29"/>
      <c r="N108" s="28" t="str">
        <f>IF('12 - Device_Configuration'!J108="","",'12 - Device_Configuration'!J108)</f>
        <v>Yes</v>
      </c>
      <c r="O108" s="28" t="str">
        <f>IF('12 - Device_Configuration'!K108="","",'12 - Device_Configuration'!K108)</f>
        <v>No</v>
      </c>
      <c r="P108" s="28" t="str">
        <f>IF('12 - Device_Configuration'!L108="","",'12 - Device_Configuration'!L108)</f>
        <v>No</v>
      </c>
      <c r="Q108" s="29"/>
      <c r="R108" s="28" t="str">
        <f>IF('12 - Device_Configuration'!AY108="","",'12 - Device_Configuration'!AY108)</f>
        <v/>
      </c>
      <c r="S108" s="28" t="str">
        <f>IF('12 - Device_Configuration'!AX108="","",'12 - Device_Configuration'!AX108)</f>
        <v/>
      </c>
      <c r="T108" s="28" t="str">
        <f>IF('12 - Device_Configuration'!AV108="","",'12 - Device_Configuration'!AV108)</f>
        <v/>
      </c>
      <c r="U108" s="28" t="str">
        <f>IF('12 - Device_Configuration'!AW108="","",'12 - Device_Configuration'!AW108)</f>
        <v/>
      </c>
      <c r="V108" s="28" t="str">
        <f>IF('12 - Device_Configuration'!BA108="","",'12 - Device_Configuration'!BA108)</f>
        <v/>
      </c>
      <c r="W108" s="28" t="str">
        <f>IF('12 - Device_Configuration'!BC108="","",'12 - Device_Configuration'!BC108)</f>
        <v/>
      </c>
      <c r="X108" s="28" t="str">
        <f>IF('12 - Device_Configuration'!BK108="","",'12 - Device_Configuration'!BK108)</f>
        <v/>
      </c>
      <c r="Y108" s="28" t="str">
        <f>IF('12 - Device_Configuration'!BB108="","",'12 - Device_Configuration'!BB108)</f>
        <v/>
      </c>
      <c r="Z108" s="28" t="str">
        <f>IF('12 - Device_Configuration'!P108="","",'12 - Device_Configuration'!P108)</f>
        <v/>
      </c>
      <c r="AA108" s="28" t="str">
        <f>IF('12 - Device_Configuration'!Q108="","",'12 - Device_Configuration'!Q108)</f>
        <v/>
      </c>
    </row>
    <row r="109" spans="1:27">
      <c r="A109" s="29"/>
      <c r="B109" s="29"/>
      <c r="C109" s="28" t="str">
        <f>IF('12 - Device_Configuration'!H109="","",'12 - Device_Configuration'!H109)</f>
        <v>LIJ - Other</v>
      </c>
      <c r="D109" s="28" t="str">
        <f>IF('12 - Device_Configuration'!AE109="","",'12 - Device_Configuration'!AE109)</f>
        <v/>
      </c>
      <c r="E109" s="28" t="str">
        <f>IF('12 - Device_Configuration'!AF109="","",'12 - Device_Configuration'!AF109)</f>
        <v/>
      </c>
      <c r="F109" s="28" t="str">
        <f>IF('12 - Device_Configuration'!AG109="","",'12 - Device_Configuration'!AG109)</f>
        <v/>
      </c>
      <c r="G109" s="28" t="str">
        <f>IF('12 - Device_Configuration'!AH109="","",'12 - Device_Configuration'!AH109)</f>
        <v/>
      </c>
      <c r="H109" s="28" t="str">
        <f>IF('12 - Device_Configuration'!A109="","",'12 - Device_Configuration'!A109)</f>
        <v>Cybernet</v>
      </c>
      <c r="I109" s="28" t="str">
        <f>IF('12 - Device_Configuration'!AI109="","",'12 - Device_Configuration'!AI109)</f>
        <v/>
      </c>
      <c r="J109" s="28" t="str">
        <f>IF('12 - Device_Configuration'!AJ109="","",'12 - Device_Configuration'!AJ109)</f>
        <v/>
      </c>
      <c r="K109" s="28" t="str">
        <f>IF('12 - Device_Configuration'!AA109="","",'12 - Device_Configuration'!AA109)</f>
        <v/>
      </c>
      <c r="L109" s="28" t="str">
        <f>IF('12 - Device_Configuration'!I109="","",'12 - Device_Configuration'!I109)</f>
        <v/>
      </c>
      <c r="M109" s="29"/>
      <c r="N109" s="28" t="str">
        <f>IF('12 - Device_Configuration'!J109="","",'12 - Device_Configuration'!J109)</f>
        <v>Yes</v>
      </c>
      <c r="O109" s="28" t="str">
        <f>IF('12 - Device_Configuration'!K109="","",'12 - Device_Configuration'!K109)</f>
        <v>No</v>
      </c>
      <c r="P109" s="28" t="str">
        <f>IF('12 - Device_Configuration'!L109="","",'12 - Device_Configuration'!L109)</f>
        <v>No</v>
      </c>
      <c r="Q109" s="29"/>
      <c r="R109" s="28" t="str">
        <f>IF('12 - Device_Configuration'!AY109="","",'12 - Device_Configuration'!AY109)</f>
        <v/>
      </c>
      <c r="S109" s="28" t="str">
        <f>IF('12 - Device_Configuration'!AX109="","",'12 - Device_Configuration'!AX109)</f>
        <v/>
      </c>
      <c r="T109" s="28" t="str">
        <f>IF('12 - Device_Configuration'!AV109="","",'12 - Device_Configuration'!AV109)</f>
        <v/>
      </c>
      <c r="U109" s="28" t="str">
        <f>IF('12 - Device_Configuration'!AW109="","",'12 - Device_Configuration'!AW109)</f>
        <v/>
      </c>
      <c r="V109" s="28" t="str">
        <f>IF('12 - Device_Configuration'!BA109="","",'12 - Device_Configuration'!BA109)</f>
        <v/>
      </c>
      <c r="W109" s="28" t="str">
        <f>IF('12 - Device_Configuration'!BC109="","",'12 - Device_Configuration'!BC109)</f>
        <v/>
      </c>
      <c r="X109" s="28" t="str">
        <f>IF('12 - Device_Configuration'!BK109="","",'12 - Device_Configuration'!BK109)</f>
        <v/>
      </c>
      <c r="Y109" s="28" t="str">
        <f>IF('12 - Device_Configuration'!BB109="","",'12 - Device_Configuration'!BB109)</f>
        <v/>
      </c>
      <c r="Z109" s="28" t="str">
        <f>IF('12 - Device_Configuration'!P109="","",'12 - Device_Configuration'!P109)</f>
        <v/>
      </c>
      <c r="AA109" s="28" t="str">
        <f>IF('12 - Device_Configuration'!Q109="","",'12 - Device_Configuration'!Q109)</f>
        <v/>
      </c>
    </row>
    <row r="110" spans="1:27">
      <c r="A110" s="29"/>
      <c r="B110" s="29"/>
      <c r="C110" s="28" t="str">
        <f>IF('12 - Device_Configuration'!H110="","",'12 - Device_Configuration'!H110)</f>
        <v>LIJ - OR</v>
      </c>
      <c r="D110" s="28" t="str">
        <f>IF('12 - Device_Configuration'!AE110="","",'12 - Device_Configuration'!AE110)</f>
        <v/>
      </c>
      <c r="E110" s="28" t="str">
        <f>IF('12 - Device_Configuration'!AF110="","",'12 - Device_Configuration'!AF110)</f>
        <v/>
      </c>
      <c r="F110" s="28" t="str">
        <f>IF('12 - Device_Configuration'!AG110="","",'12 - Device_Configuration'!AG110)</f>
        <v/>
      </c>
      <c r="G110" s="28" t="str">
        <f>IF('12 - Device_Configuration'!AH110="","",'12 - Device_Configuration'!AH110)</f>
        <v/>
      </c>
      <c r="H110" s="28" t="str">
        <f>IF('12 - Device_Configuration'!A110="","",'12 - Device_Configuration'!A110)</f>
        <v>Cybernet</v>
      </c>
      <c r="I110" s="28" t="str">
        <f>IF('12 - Device_Configuration'!AI110="","",'12 - Device_Configuration'!AI110)</f>
        <v/>
      </c>
      <c r="J110" s="28" t="str">
        <f>IF('12 - Device_Configuration'!AJ110="","",'12 - Device_Configuration'!AJ110)</f>
        <v/>
      </c>
      <c r="K110" s="28" t="str">
        <f>IF('12 - Device_Configuration'!AA110="","",'12 - Device_Configuration'!AA110)</f>
        <v/>
      </c>
      <c r="L110" s="28" t="str">
        <f>IF('12 - Device_Configuration'!I110="","",'12 - Device_Configuration'!I110)</f>
        <v/>
      </c>
      <c r="M110" s="29"/>
      <c r="N110" s="28" t="str">
        <f>IF('12 - Device_Configuration'!J110="","",'12 - Device_Configuration'!J110)</f>
        <v>Yes</v>
      </c>
      <c r="O110" s="28" t="str">
        <f>IF('12 - Device_Configuration'!K110="","",'12 - Device_Configuration'!K110)</f>
        <v>No</v>
      </c>
      <c r="P110" s="28" t="str">
        <f>IF('12 - Device_Configuration'!L110="","",'12 - Device_Configuration'!L110)</f>
        <v>No</v>
      </c>
      <c r="Q110" s="29"/>
      <c r="R110" s="28" t="str">
        <f>IF('12 - Device_Configuration'!AY110="","",'12 - Device_Configuration'!AY110)</f>
        <v/>
      </c>
      <c r="S110" s="28" t="str">
        <f>IF('12 - Device_Configuration'!AX110="","",'12 - Device_Configuration'!AX110)</f>
        <v/>
      </c>
      <c r="T110" s="28" t="str">
        <f>IF('12 - Device_Configuration'!AV110="","",'12 - Device_Configuration'!AV110)</f>
        <v/>
      </c>
      <c r="U110" s="28" t="str">
        <f>IF('12 - Device_Configuration'!AW110="","",'12 - Device_Configuration'!AW110)</f>
        <v/>
      </c>
      <c r="V110" s="28" t="str">
        <f>IF('12 - Device_Configuration'!BA110="","",'12 - Device_Configuration'!BA110)</f>
        <v/>
      </c>
      <c r="W110" s="28" t="str">
        <f>IF('12 - Device_Configuration'!BC110="","",'12 - Device_Configuration'!BC110)</f>
        <v/>
      </c>
      <c r="X110" s="28" t="str">
        <f>IF('12 - Device_Configuration'!BK110="","",'12 - Device_Configuration'!BK110)</f>
        <v/>
      </c>
      <c r="Y110" s="28" t="str">
        <f>IF('12 - Device_Configuration'!BB110="","",'12 - Device_Configuration'!BB110)</f>
        <v/>
      </c>
      <c r="Z110" s="28" t="str">
        <f>IF('12 - Device_Configuration'!P110="","",'12 - Device_Configuration'!P110)</f>
        <v/>
      </c>
      <c r="AA110" s="28" t="str">
        <f>IF('12 - Device_Configuration'!Q110="","",'12 - Device_Configuration'!Q110)</f>
        <v/>
      </c>
    </row>
    <row r="111" spans="1:27">
      <c r="A111" s="29"/>
      <c r="B111" s="29"/>
      <c r="C111" s="28" t="str">
        <f>IF('12 - Device_Configuration'!H111="","",'12 - Device_Configuration'!H111)</f>
        <v>LIJ - OR</v>
      </c>
      <c r="D111" s="28" t="str">
        <f>IF('12 - Device_Configuration'!AE111="","",'12 - Device_Configuration'!AE111)</f>
        <v/>
      </c>
      <c r="E111" s="28" t="str">
        <f>IF('12 - Device_Configuration'!AF111="","",'12 - Device_Configuration'!AF111)</f>
        <v/>
      </c>
      <c r="F111" s="28" t="str">
        <f>IF('12 - Device_Configuration'!AG111="","",'12 - Device_Configuration'!AG111)</f>
        <v/>
      </c>
      <c r="G111" s="28" t="str">
        <f>IF('12 - Device_Configuration'!AH111="","",'12 - Device_Configuration'!AH111)</f>
        <v/>
      </c>
      <c r="H111" s="28" t="str">
        <f>IF('12 - Device_Configuration'!A111="","",'12 - Device_Configuration'!A111)</f>
        <v>Cybernet</v>
      </c>
      <c r="I111" s="28" t="str">
        <f>IF('12 - Device_Configuration'!AI111="","",'12 - Device_Configuration'!AI111)</f>
        <v/>
      </c>
      <c r="J111" s="28" t="str">
        <f>IF('12 - Device_Configuration'!AJ111="","",'12 - Device_Configuration'!AJ111)</f>
        <v/>
      </c>
      <c r="K111" s="28" t="str">
        <f>IF('12 - Device_Configuration'!AA111="","",'12 - Device_Configuration'!AA111)</f>
        <v/>
      </c>
      <c r="L111" s="28" t="str">
        <f>IF('12 - Device_Configuration'!I111="","",'12 - Device_Configuration'!I111)</f>
        <v/>
      </c>
      <c r="M111" s="29"/>
      <c r="N111" s="28" t="str">
        <f>IF('12 - Device_Configuration'!J111="","",'12 - Device_Configuration'!J111)</f>
        <v>Yes</v>
      </c>
      <c r="O111" s="28" t="str">
        <f>IF('12 - Device_Configuration'!K111="","",'12 - Device_Configuration'!K111)</f>
        <v>No</v>
      </c>
      <c r="P111" s="28" t="str">
        <f>IF('12 - Device_Configuration'!L111="","",'12 - Device_Configuration'!L111)</f>
        <v>No</v>
      </c>
      <c r="Q111" s="29"/>
      <c r="R111" s="28" t="str">
        <f>IF('12 - Device_Configuration'!AY111="","",'12 - Device_Configuration'!AY111)</f>
        <v/>
      </c>
      <c r="S111" s="28" t="str">
        <f>IF('12 - Device_Configuration'!AX111="","",'12 - Device_Configuration'!AX111)</f>
        <v/>
      </c>
      <c r="T111" s="28" t="str">
        <f>IF('12 - Device_Configuration'!AV111="","",'12 - Device_Configuration'!AV111)</f>
        <v/>
      </c>
      <c r="U111" s="28" t="str">
        <f>IF('12 - Device_Configuration'!AW111="","",'12 - Device_Configuration'!AW111)</f>
        <v/>
      </c>
      <c r="V111" s="28" t="str">
        <f>IF('12 - Device_Configuration'!BA111="","",'12 - Device_Configuration'!BA111)</f>
        <v/>
      </c>
      <c r="W111" s="28" t="str">
        <f>IF('12 - Device_Configuration'!BC111="","",'12 - Device_Configuration'!BC111)</f>
        <v/>
      </c>
      <c r="X111" s="28" t="str">
        <f>IF('12 - Device_Configuration'!BK111="","",'12 - Device_Configuration'!BK111)</f>
        <v/>
      </c>
      <c r="Y111" s="28" t="str">
        <f>IF('12 - Device_Configuration'!BB111="","",'12 - Device_Configuration'!BB111)</f>
        <v/>
      </c>
      <c r="Z111" s="28" t="str">
        <f>IF('12 - Device_Configuration'!P111="","",'12 - Device_Configuration'!P111)</f>
        <v/>
      </c>
      <c r="AA111" s="28" t="str">
        <f>IF('12 - Device_Configuration'!Q111="","",'12 - Device_Configuration'!Q111)</f>
        <v/>
      </c>
    </row>
    <row r="112" spans="1:27">
      <c r="A112" s="29"/>
      <c r="B112" s="29"/>
      <c r="C112" s="28" t="str">
        <f>IF('12 - Device_Configuration'!H112="","",'12 - Device_Configuration'!H112)</f>
        <v>LIJ - OR</v>
      </c>
      <c r="D112" s="28" t="str">
        <f>IF('12 - Device_Configuration'!AE112="","",'12 - Device_Configuration'!AE112)</f>
        <v/>
      </c>
      <c r="E112" s="28" t="str">
        <f>IF('12 - Device_Configuration'!AF112="","",'12 - Device_Configuration'!AF112)</f>
        <v/>
      </c>
      <c r="F112" s="28" t="str">
        <f>IF('12 - Device_Configuration'!AG112="","",'12 - Device_Configuration'!AG112)</f>
        <v/>
      </c>
      <c r="G112" s="28" t="str">
        <f>IF('12 - Device_Configuration'!AH112="","",'12 - Device_Configuration'!AH112)</f>
        <v/>
      </c>
      <c r="H112" s="28" t="str">
        <f>IF('12 - Device_Configuration'!A112="","",'12 - Device_Configuration'!A112)</f>
        <v>Cybernet</v>
      </c>
      <c r="I112" s="28" t="str">
        <f>IF('12 - Device_Configuration'!AI112="","",'12 - Device_Configuration'!AI112)</f>
        <v/>
      </c>
      <c r="J112" s="28" t="str">
        <f>IF('12 - Device_Configuration'!AJ112="","",'12 - Device_Configuration'!AJ112)</f>
        <v/>
      </c>
      <c r="K112" s="28" t="str">
        <f>IF('12 - Device_Configuration'!AA112="","",'12 - Device_Configuration'!AA112)</f>
        <v/>
      </c>
      <c r="L112" s="28" t="str">
        <f>IF('12 - Device_Configuration'!I112="","",'12 - Device_Configuration'!I112)</f>
        <v/>
      </c>
      <c r="M112" s="29"/>
      <c r="N112" s="28" t="str">
        <f>IF('12 - Device_Configuration'!J112="","",'12 - Device_Configuration'!J112)</f>
        <v>Yes</v>
      </c>
      <c r="O112" s="28" t="str">
        <f>IF('12 - Device_Configuration'!K112="","",'12 - Device_Configuration'!K112)</f>
        <v>No</v>
      </c>
      <c r="P112" s="28" t="str">
        <f>IF('12 - Device_Configuration'!L112="","",'12 - Device_Configuration'!L112)</f>
        <v>No</v>
      </c>
      <c r="Q112" s="29"/>
      <c r="R112" s="28" t="str">
        <f>IF('12 - Device_Configuration'!AY112="","",'12 - Device_Configuration'!AY112)</f>
        <v/>
      </c>
      <c r="S112" s="28" t="str">
        <f>IF('12 - Device_Configuration'!AX112="","",'12 - Device_Configuration'!AX112)</f>
        <v/>
      </c>
      <c r="T112" s="28" t="str">
        <f>IF('12 - Device_Configuration'!AV112="","",'12 - Device_Configuration'!AV112)</f>
        <v/>
      </c>
      <c r="U112" s="28" t="str">
        <f>IF('12 - Device_Configuration'!AW112="","",'12 - Device_Configuration'!AW112)</f>
        <v/>
      </c>
      <c r="V112" s="28" t="str">
        <f>IF('12 - Device_Configuration'!BA112="","",'12 - Device_Configuration'!BA112)</f>
        <v/>
      </c>
      <c r="W112" s="28" t="str">
        <f>IF('12 - Device_Configuration'!BC112="","",'12 - Device_Configuration'!BC112)</f>
        <v/>
      </c>
      <c r="X112" s="28" t="str">
        <f>IF('12 - Device_Configuration'!BK112="","",'12 - Device_Configuration'!BK112)</f>
        <v/>
      </c>
      <c r="Y112" s="28" t="str">
        <f>IF('12 - Device_Configuration'!BB112="","",'12 - Device_Configuration'!BB112)</f>
        <v/>
      </c>
      <c r="Z112" s="28" t="str">
        <f>IF('12 - Device_Configuration'!P112="","",'12 - Device_Configuration'!P112)</f>
        <v/>
      </c>
      <c r="AA112" s="28" t="str">
        <f>IF('12 - Device_Configuration'!Q112="","",'12 - Device_Configuration'!Q112)</f>
        <v/>
      </c>
    </row>
    <row r="113" spans="1:27">
      <c r="A113" s="29"/>
      <c r="B113" s="29"/>
      <c r="C113" s="28" t="str">
        <f>IF('12 - Device_Configuration'!H113="","",'12 - Device_Configuration'!H113)</f>
        <v>LIJ - OR</v>
      </c>
      <c r="D113" s="28" t="str">
        <f>IF('12 - Device_Configuration'!AE113="","",'12 - Device_Configuration'!AE113)</f>
        <v/>
      </c>
      <c r="E113" s="28" t="str">
        <f>IF('12 - Device_Configuration'!AF113="","",'12 - Device_Configuration'!AF113)</f>
        <v/>
      </c>
      <c r="F113" s="28" t="str">
        <f>IF('12 - Device_Configuration'!AG113="","",'12 - Device_Configuration'!AG113)</f>
        <v/>
      </c>
      <c r="G113" s="28" t="str">
        <f>IF('12 - Device_Configuration'!AH113="","",'12 - Device_Configuration'!AH113)</f>
        <v/>
      </c>
      <c r="H113" s="28" t="str">
        <f>IF('12 - Device_Configuration'!A113="","",'12 - Device_Configuration'!A113)</f>
        <v>Cybernet</v>
      </c>
      <c r="I113" s="28" t="str">
        <f>IF('12 - Device_Configuration'!AI113="","",'12 - Device_Configuration'!AI113)</f>
        <v/>
      </c>
      <c r="J113" s="28" t="str">
        <f>IF('12 - Device_Configuration'!AJ113="","",'12 - Device_Configuration'!AJ113)</f>
        <v/>
      </c>
      <c r="K113" s="28" t="str">
        <f>IF('12 - Device_Configuration'!AA113="","",'12 - Device_Configuration'!AA113)</f>
        <v/>
      </c>
      <c r="L113" s="28" t="str">
        <f>IF('12 - Device_Configuration'!I113="","",'12 - Device_Configuration'!I113)</f>
        <v/>
      </c>
      <c r="M113" s="29"/>
      <c r="N113" s="28" t="str">
        <f>IF('12 - Device_Configuration'!J113="","",'12 - Device_Configuration'!J113)</f>
        <v>Yes</v>
      </c>
      <c r="O113" s="28" t="str">
        <f>IF('12 - Device_Configuration'!K113="","",'12 - Device_Configuration'!K113)</f>
        <v>No</v>
      </c>
      <c r="P113" s="28" t="str">
        <f>IF('12 - Device_Configuration'!L113="","",'12 - Device_Configuration'!L113)</f>
        <v>No</v>
      </c>
      <c r="Q113" s="29"/>
      <c r="R113" s="28" t="str">
        <f>IF('12 - Device_Configuration'!AY113="","",'12 - Device_Configuration'!AY113)</f>
        <v/>
      </c>
      <c r="S113" s="28" t="str">
        <f>IF('12 - Device_Configuration'!AX113="","",'12 - Device_Configuration'!AX113)</f>
        <v/>
      </c>
      <c r="T113" s="28" t="str">
        <f>IF('12 - Device_Configuration'!AV113="","",'12 - Device_Configuration'!AV113)</f>
        <v/>
      </c>
      <c r="U113" s="28" t="str">
        <f>IF('12 - Device_Configuration'!AW113="","",'12 - Device_Configuration'!AW113)</f>
        <v/>
      </c>
      <c r="V113" s="28" t="str">
        <f>IF('12 - Device_Configuration'!BA113="","",'12 - Device_Configuration'!BA113)</f>
        <v/>
      </c>
      <c r="W113" s="28" t="str">
        <f>IF('12 - Device_Configuration'!BC113="","",'12 - Device_Configuration'!BC113)</f>
        <v/>
      </c>
      <c r="X113" s="28" t="str">
        <f>IF('12 - Device_Configuration'!BK113="","",'12 - Device_Configuration'!BK113)</f>
        <v/>
      </c>
      <c r="Y113" s="28" t="str">
        <f>IF('12 - Device_Configuration'!BB113="","",'12 - Device_Configuration'!BB113)</f>
        <v/>
      </c>
      <c r="Z113" s="28" t="str">
        <f>IF('12 - Device_Configuration'!P113="","",'12 - Device_Configuration'!P113)</f>
        <v/>
      </c>
      <c r="AA113" s="28" t="str">
        <f>IF('12 - Device_Configuration'!Q113="","",'12 - Device_Configuration'!Q113)</f>
        <v/>
      </c>
    </row>
    <row r="114" spans="1:27">
      <c r="A114" s="29"/>
      <c r="B114" s="29"/>
      <c r="C114" s="28" t="str">
        <f>IF('12 - Device_Configuration'!H114="","",'12 - Device_Configuration'!H114)</f>
        <v>LIJ - OR</v>
      </c>
      <c r="D114" s="28" t="str">
        <f>IF('12 - Device_Configuration'!AE114="","",'12 - Device_Configuration'!AE114)</f>
        <v/>
      </c>
      <c r="E114" s="28" t="str">
        <f>IF('12 - Device_Configuration'!AF114="","",'12 - Device_Configuration'!AF114)</f>
        <v/>
      </c>
      <c r="F114" s="28" t="str">
        <f>IF('12 - Device_Configuration'!AG114="","",'12 - Device_Configuration'!AG114)</f>
        <v/>
      </c>
      <c r="G114" s="28" t="str">
        <f>IF('12 - Device_Configuration'!AH114="","",'12 - Device_Configuration'!AH114)</f>
        <v/>
      </c>
      <c r="H114" s="28" t="str">
        <f>IF('12 - Device_Configuration'!A114="","",'12 - Device_Configuration'!A114)</f>
        <v>Cybernet</v>
      </c>
      <c r="I114" s="28" t="str">
        <f>IF('12 - Device_Configuration'!AI114="","",'12 - Device_Configuration'!AI114)</f>
        <v/>
      </c>
      <c r="J114" s="28" t="str">
        <f>IF('12 - Device_Configuration'!AJ114="","",'12 - Device_Configuration'!AJ114)</f>
        <v/>
      </c>
      <c r="K114" s="28" t="str">
        <f>IF('12 - Device_Configuration'!AA114="","",'12 - Device_Configuration'!AA114)</f>
        <v/>
      </c>
      <c r="L114" s="28" t="str">
        <f>IF('12 - Device_Configuration'!I114="","",'12 - Device_Configuration'!I114)</f>
        <v/>
      </c>
      <c r="M114" s="29"/>
      <c r="N114" s="28" t="str">
        <f>IF('12 - Device_Configuration'!J114="","",'12 - Device_Configuration'!J114)</f>
        <v>Yes</v>
      </c>
      <c r="O114" s="28" t="str">
        <f>IF('12 - Device_Configuration'!K114="","",'12 - Device_Configuration'!K114)</f>
        <v>No</v>
      </c>
      <c r="P114" s="28" t="str">
        <f>IF('12 - Device_Configuration'!L114="","",'12 - Device_Configuration'!L114)</f>
        <v>No</v>
      </c>
      <c r="Q114" s="29"/>
      <c r="R114" s="28" t="str">
        <f>IF('12 - Device_Configuration'!AY114="","",'12 - Device_Configuration'!AY114)</f>
        <v/>
      </c>
      <c r="S114" s="28" t="str">
        <f>IF('12 - Device_Configuration'!AX114="","",'12 - Device_Configuration'!AX114)</f>
        <v/>
      </c>
      <c r="T114" s="28" t="str">
        <f>IF('12 - Device_Configuration'!AV114="","",'12 - Device_Configuration'!AV114)</f>
        <v/>
      </c>
      <c r="U114" s="28" t="str">
        <f>IF('12 - Device_Configuration'!AW114="","",'12 - Device_Configuration'!AW114)</f>
        <v/>
      </c>
      <c r="V114" s="28" t="str">
        <f>IF('12 - Device_Configuration'!BA114="","",'12 - Device_Configuration'!BA114)</f>
        <v/>
      </c>
      <c r="W114" s="28" t="str">
        <f>IF('12 - Device_Configuration'!BC114="","",'12 - Device_Configuration'!BC114)</f>
        <v/>
      </c>
      <c r="X114" s="28" t="str">
        <f>IF('12 - Device_Configuration'!BK114="","",'12 - Device_Configuration'!BK114)</f>
        <v/>
      </c>
      <c r="Y114" s="28" t="str">
        <f>IF('12 - Device_Configuration'!BB114="","",'12 - Device_Configuration'!BB114)</f>
        <v/>
      </c>
      <c r="Z114" s="28" t="str">
        <f>IF('12 - Device_Configuration'!P114="","",'12 - Device_Configuration'!P114)</f>
        <v/>
      </c>
      <c r="AA114" s="28" t="str">
        <f>IF('12 - Device_Configuration'!Q114="","",'12 - Device_Configuration'!Q114)</f>
        <v/>
      </c>
    </row>
    <row r="115" spans="1:27">
      <c r="A115" s="29"/>
      <c r="B115" s="29"/>
      <c r="C115" s="28" t="str">
        <f>IF('12 - Device_Configuration'!H115="","",'12 - Device_Configuration'!H115)</f>
        <v>LIJ - OR</v>
      </c>
      <c r="D115" s="28" t="str">
        <f>IF('12 - Device_Configuration'!AE115="","",'12 - Device_Configuration'!AE115)</f>
        <v/>
      </c>
      <c r="E115" s="28" t="str">
        <f>IF('12 - Device_Configuration'!AF115="","",'12 - Device_Configuration'!AF115)</f>
        <v/>
      </c>
      <c r="F115" s="28" t="str">
        <f>IF('12 - Device_Configuration'!AG115="","",'12 - Device_Configuration'!AG115)</f>
        <v/>
      </c>
      <c r="G115" s="28" t="str">
        <f>IF('12 - Device_Configuration'!AH115="","",'12 - Device_Configuration'!AH115)</f>
        <v/>
      </c>
      <c r="H115" s="28" t="str">
        <f>IF('12 - Device_Configuration'!A115="","",'12 - Device_Configuration'!A115)</f>
        <v>Cybernet</v>
      </c>
      <c r="I115" s="28" t="str">
        <f>IF('12 - Device_Configuration'!AI115="","",'12 - Device_Configuration'!AI115)</f>
        <v/>
      </c>
      <c r="J115" s="28" t="str">
        <f>IF('12 - Device_Configuration'!AJ115="","",'12 - Device_Configuration'!AJ115)</f>
        <v/>
      </c>
      <c r="K115" s="28" t="str">
        <f>IF('12 - Device_Configuration'!AA115="","",'12 - Device_Configuration'!AA115)</f>
        <v/>
      </c>
      <c r="L115" s="28" t="str">
        <f>IF('12 - Device_Configuration'!I115="","",'12 - Device_Configuration'!I115)</f>
        <v/>
      </c>
      <c r="M115" s="29"/>
      <c r="N115" s="28" t="str">
        <f>IF('12 - Device_Configuration'!J115="","",'12 - Device_Configuration'!J115)</f>
        <v>Yes</v>
      </c>
      <c r="O115" s="28" t="str">
        <f>IF('12 - Device_Configuration'!K115="","",'12 - Device_Configuration'!K115)</f>
        <v>No</v>
      </c>
      <c r="P115" s="28" t="str">
        <f>IF('12 - Device_Configuration'!L115="","",'12 - Device_Configuration'!L115)</f>
        <v>No</v>
      </c>
      <c r="Q115" s="29"/>
      <c r="R115" s="28" t="str">
        <f>IF('12 - Device_Configuration'!AY115="","",'12 - Device_Configuration'!AY115)</f>
        <v/>
      </c>
      <c r="S115" s="28" t="str">
        <f>IF('12 - Device_Configuration'!AX115="","",'12 - Device_Configuration'!AX115)</f>
        <v/>
      </c>
      <c r="T115" s="28" t="str">
        <f>IF('12 - Device_Configuration'!AV115="","",'12 - Device_Configuration'!AV115)</f>
        <v/>
      </c>
      <c r="U115" s="28" t="str">
        <f>IF('12 - Device_Configuration'!AW115="","",'12 - Device_Configuration'!AW115)</f>
        <v/>
      </c>
      <c r="V115" s="28" t="str">
        <f>IF('12 - Device_Configuration'!BA115="","",'12 - Device_Configuration'!BA115)</f>
        <v/>
      </c>
      <c r="W115" s="28" t="str">
        <f>IF('12 - Device_Configuration'!BC115="","",'12 - Device_Configuration'!BC115)</f>
        <v/>
      </c>
      <c r="X115" s="28" t="str">
        <f>IF('12 - Device_Configuration'!BK115="","",'12 - Device_Configuration'!BK115)</f>
        <v/>
      </c>
      <c r="Y115" s="28" t="str">
        <f>IF('12 - Device_Configuration'!BB115="","",'12 - Device_Configuration'!BB115)</f>
        <v/>
      </c>
      <c r="Z115" s="28" t="str">
        <f>IF('12 - Device_Configuration'!P115="","",'12 - Device_Configuration'!P115)</f>
        <v/>
      </c>
      <c r="AA115" s="28" t="str">
        <f>IF('12 - Device_Configuration'!Q115="","",'12 - Device_Configuration'!Q115)</f>
        <v/>
      </c>
    </row>
    <row r="116" spans="1:27">
      <c r="A116" s="29"/>
      <c r="B116" s="29"/>
      <c r="C116" s="28" t="str">
        <f>IF('12 - Device_Configuration'!H116="","",'12 - Device_Configuration'!H116)</f>
        <v>LIJ - OR</v>
      </c>
      <c r="D116" s="28" t="str">
        <f>IF('12 - Device_Configuration'!AE116="","",'12 - Device_Configuration'!AE116)</f>
        <v/>
      </c>
      <c r="E116" s="28" t="str">
        <f>IF('12 - Device_Configuration'!AF116="","",'12 - Device_Configuration'!AF116)</f>
        <v/>
      </c>
      <c r="F116" s="28" t="str">
        <f>IF('12 - Device_Configuration'!AG116="","",'12 - Device_Configuration'!AG116)</f>
        <v/>
      </c>
      <c r="G116" s="28" t="str">
        <f>IF('12 - Device_Configuration'!AH116="","",'12 - Device_Configuration'!AH116)</f>
        <v/>
      </c>
      <c r="H116" s="28" t="str">
        <f>IF('12 - Device_Configuration'!A116="","",'12 - Device_Configuration'!A116)</f>
        <v>Cybernet</v>
      </c>
      <c r="I116" s="28" t="str">
        <f>IF('12 - Device_Configuration'!AI116="","",'12 - Device_Configuration'!AI116)</f>
        <v/>
      </c>
      <c r="J116" s="28" t="str">
        <f>IF('12 - Device_Configuration'!AJ116="","",'12 - Device_Configuration'!AJ116)</f>
        <v/>
      </c>
      <c r="K116" s="28" t="str">
        <f>IF('12 - Device_Configuration'!AA116="","",'12 - Device_Configuration'!AA116)</f>
        <v/>
      </c>
      <c r="L116" s="28" t="str">
        <f>IF('12 - Device_Configuration'!I116="","",'12 - Device_Configuration'!I116)</f>
        <v/>
      </c>
      <c r="M116" s="29"/>
      <c r="N116" s="28" t="str">
        <f>IF('12 - Device_Configuration'!J116="","",'12 - Device_Configuration'!J116)</f>
        <v>Yes</v>
      </c>
      <c r="O116" s="28" t="str">
        <f>IF('12 - Device_Configuration'!K116="","",'12 - Device_Configuration'!K116)</f>
        <v>No</v>
      </c>
      <c r="P116" s="28" t="str">
        <f>IF('12 - Device_Configuration'!L116="","",'12 - Device_Configuration'!L116)</f>
        <v>No</v>
      </c>
      <c r="Q116" s="29"/>
      <c r="R116" s="28" t="str">
        <f>IF('12 - Device_Configuration'!AY116="","",'12 - Device_Configuration'!AY116)</f>
        <v/>
      </c>
      <c r="S116" s="28" t="str">
        <f>IF('12 - Device_Configuration'!AX116="","",'12 - Device_Configuration'!AX116)</f>
        <v/>
      </c>
      <c r="T116" s="28" t="str">
        <f>IF('12 - Device_Configuration'!AV116="","",'12 - Device_Configuration'!AV116)</f>
        <v/>
      </c>
      <c r="U116" s="28" t="str">
        <f>IF('12 - Device_Configuration'!AW116="","",'12 - Device_Configuration'!AW116)</f>
        <v/>
      </c>
      <c r="V116" s="28" t="str">
        <f>IF('12 - Device_Configuration'!BA116="","",'12 - Device_Configuration'!BA116)</f>
        <v/>
      </c>
      <c r="W116" s="28" t="str">
        <f>IF('12 - Device_Configuration'!BC116="","",'12 - Device_Configuration'!BC116)</f>
        <v/>
      </c>
      <c r="X116" s="28" t="str">
        <f>IF('12 - Device_Configuration'!BK116="","",'12 - Device_Configuration'!BK116)</f>
        <v/>
      </c>
      <c r="Y116" s="28" t="str">
        <f>IF('12 - Device_Configuration'!BB116="","",'12 - Device_Configuration'!BB116)</f>
        <v/>
      </c>
      <c r="Z116" s="28" t="str">
        <f>IF('12 - Device_Configuration'!P116="","",'12 - Device_Configuration'!P116)</f>
        <v/>
      </c>
      <c r="AA116" s="28" t="str">
        <f>IF('12 - Device_Configuration'!Q116="","",'12 - Device_Configuration'!Q116)</f>
        <v/>
      </c>
    </row>
    <row r="117" spans="1:27">
      <c r="A117" s="29"/>
      <c r="B117" s="29"/>
      <c r="C117" s="28" t="str">
        <f>IF('12 - Device_Configuration'!H117="","",'12 - Device_Configuration'!H117)</f>
        <v>LIJ - OR</v>
      </c>
      <c r="D117" s="28" t="str">
        <f>IF('12 - Device_Configuration'!AE117="","",'12 - Device_Configuration'!AE117)</f>
        <v/>
      </c>
      <c r="E117" s="28" t="str">
        <f>IF('12 - Device_Configuration'!AF117="","",'12 - Device_Configuration'!AF117)</f>
        <v/>
      </c>
      <c r="F117" s="28" t="str">
        <f>IF('12 - Device_Configuration'!AG117="","",'12 - Device_Configuration'!AG117)</f>
        <v/>
      </c>
      <c r="G117" s="28" t="str">
        <f>IF('12 - Device_Configuration'!AH117="","",'12 - Device_Configuration'!AH117)</f>
        <v/>
      </c>
      <c r="H117" s="28" t="str">
        <f>IF('12 - Device_Configuration'!A117="","",'12 - Device_Configuration'!A117)</f>
        <v>Cybernet</v>
      </c>
      <c r="I117" s="28" t="str">
        <f>IF('12 - Device_Configuration'!AI117="","",'12 - Device_Configuration'!AI117)</f>
        <v/>
      </c>
      <c r="J117" s="28" t="str">
        <f>IF('12 - Device_Configuration'!AJ117="","",'12 - Device_Configuration'!AJ117)</f>
        <v/>
      </c>
      <c r="K117" s="28" t="str">
        <f>IF('12 - Device_Configuration'!AA117="","",'12 - Device_Configuration'!AA117)</f>
        <v/>
      </c>
      <c r="L117" s="28" t="str">
        <f>IF('12 - Device_Configuration'!I117="","",'12 - Device_Configuration'!I117)</f>
        <v/>
      </c>
      <c r="M117" s="29"/>
      <c r="N117" s="28" t="str">
        <f>IF('12 - Device_Configuration'!J117="","",'12 - Device_Configuration'!J117)</f>
        <v>Yes</v>
      </c>
      <c r="O117" s="28" t="str">
        <f>IF('12 - Device_Configuration'!K117="","",'12 - Device_Configuration'!K117)</f>
        <v>No</v>
      </c>
      <c r="P117" s="28" t="str">
        <f>IF('12 - Device_Configuration'!L117="","",'12 - Device_Configuration'!L117)</f>
        <v>No</v>
      </c>
      <c r="Q117" s="29"/>
      <c r="R117" s="28" t="str">
        <f>IF('12 - Device_Configuration'!AY117="","",'12 - Device_Configuration'!AY117)</f>
        <v/>
      </c>
      <c r="S117" s="28" t="str">
        <f>IF('12 - Device_Configuration'!AX117="","",'12 - Device_Configuration'!AX117)</f>
        <v/>
      </c>
      <c r="T117" s="28" t="str">
        <f>IF('12 - Device_Configuration'!AV117="","",'12 - Device_Configuration'!AV117)</f>
        <v/>
      </c>
      <c r="U117" s="28" t="str">
        <f>IF('12 - Device_Configuration'!AW117="","",'12 - Device_Configuration'!AW117)</f>
        <v/>
      </c>
      <c r="V117" s="28" t="str">
        <f>IF('12 - Device_Configuration'!BA117="","",'12 - Device_Configuration'!BA117)</f>
        <v/>
      </c>
      <c r="W117" s="28" t="str">
        <f>IF('12 - Device_Configuration'!BC117="","",'12 - Device_Configuration'!BC117)</f>
        <v/>
      </c>
      <c r="X117" s="28" t="str">
        <f>IF('12 - Device_Configuration'!BK117="","",'12 - Device_Configuration'!BK117)</f>
        <v/>
      </c>
      <c r="Y117" s="28" t="str">
        <f>IF('12 - Device_Configuration'!BB117="","",'12 - Device_Configuration'!BB117)</f>
        <v/>
      </c>
      <c r="Z117" s="28" t="str">
        <f>IF('12 - Device_Configuration'!P117="","",'12 - Device_Configuration'!P117)</f>
        <v/>
      </c>
      <c r="AA117" s="28" t="str">
        <f>IF('12 - Device_Configuration'!Q117="","",'12 - Device_Configuration'!Q117)</f>
        <v/>
      </c>
    </row>
    <row r="118" spans="1:27">
      <c r="A118" s="29"/>
      <c r="B118" s="29"/>
      <c r="C118" s="28" t="str">
        <f>IF('12 - Device_Configuration'!H118="","",'12 - Device_Configuration'!H118)</f>
        <v>LIJ - OR</v>
      </c>
      <c r="D118" s="28" t="str">
        <f>IF('12 - Device_Configuration'!AE118="","",'12 - Device_Configuration'!AE118)</f>
        <v/>
      </c>
      <c r="E118" s="28" t="str">
        <f>IF('12 - Device_Configuration'!AF118="","",'12 - Device_Configuration'!AF118)</f>
        <v/>
      </c>
      <c r="F118" s="28" t="str">
        <f>IF('12 - Device_Configuration'!AG118="","",'12 - Device_Configuration'!AG118)</f>
        <v/>
      </c>
      <c r="G118" s="28" t="str">
        <f>IF('12 - Device_Configuration'!AH118="","",'12 - Device_Configuration'!AH118)</f>
        <v/>
      </c>
      <c r="H118" s="28" t="str">
        <f>IF('12 - Device_Configuration'!A118="","",'12 - Device_Configuration'!A118)</f>
        <v>Cybernet</v>
      </c>
      <c r="I118" s="28" t="str">
        <f>IF('12 - Device_Configuration'!AI118="","",'12 - Device_Configuration'!AI118)</f>
        <v/>
      </c>
      <c r="J118" s="28" t="str">
        <f>IF('12 - Device_Configuration'!AJ118="","",'12 - Device_Configuration'!AJ118)</f>
        <v/>
      </c>
      <c r="K118" s="28" t="str">
        <f>IF('12 - Device_Configuration'!AA118="","",'12 - Device_Configuration'!AA118)</f>
        <v/>
      </c>
      <c r="L118" s="28" t="str">
        <f>IF('12 - Device_Configuration'!I118="","",'12 - Device_Configuration'!I118)</f>
        <v/>
      </c>
      <c r="M118" s="29"/>
      <c r="N118" s="28" t="str">
        <f>IF('12 - Device_Configuration'!J118="","",'12 - Device_Configuration'!J118)</f>
        <v>Yes</v>
      </c>
      <c r="O118" s="28" t="str">
        <f>IF('12 - Device_Configuration'!K118="","",'12 - Device_Configuration'!K118)</f>
        <v>No</v>
      </c>
      <c r="P118" s="28" t="str">
        <f>IF('12 - Device_Configuration'!L118="","",'12 - Device_Configuration'!L118)</f>
        <v>No</v>
      </c>
      <c r="Q118" s="29"/>
      <c r="R118" s="28" t="str">
        <f>IF('12 - Device_Configuration'!AY118="","",'12 - Device_Configuration'!AY118)</f>
        <v/>
      </c>
      <c r="S118" s="28" t="str">
        <f>IF('12 - Device_Configuration'!AX118="","",'12 - Device_Configuration'!AX118)</f>
        <v/>
      </c>
      <c r="T118" s="28" t="str">
        <f>IF('12 - Device_Configuration'!AV118="","",'12 - Device_Configuration'!AV118)</f>
        <v/>
      </c>
      <c r="U118" s="28" t="str">
        <f>IF('12 - Device_Configuration'!AW118="","",'12 - Device_Configuration'!AW118)</f>
        <v/>
      </c>
      <c r="V118" s="28" t="str">
        <f>IF('12 - Device_Configuration'!BA118="","",'12 - Device_Configuration'!BA118)</f>
        <v/>
      </c>
      <c r="W118" s="28" t="str">
        <f>IF('12 - Device_Configuration'!BC118="","",'12 - Device_Configuration'!BC118)</f>
        <v/>
      </c>
      <c r="X118" s="28" t="str">
        <f>IF('12 - Device_Configuration'!BK118="","",'12 - Device_Configuration'!BK118)</f>
        <v/>
      </c>
      <c r="Y118" s="28" t="str">
        <f>IF('12 - Device_Configuration'!BB118="","",'12 - Device_Configuration'!BB118)</f>
        <v/>
      </c>
      <c r="Z118" s="28" t="str">
        <f>IF('12 - Device_Configuration'!P118="","",'12 - Device_Configuration'!P118)</f>
        <v/>
      </c>
      <c r="AA118" s="28" t="str">
        <f>IF('12 - Device_Configuration'!Q118="","",'12 - Device_Configuration'!Q118)</f>
        <v/>
      </c>
    </row>
    <row r="119" spans="1:27">
      <c r="A119" s="29"/>
      <c r="B119" s="29"/>
      <c r="C119" s="28" t="str">
        <f>IF('12 - Device_Configuration'!H119="","",'12 - Device_Configuration'!H119)</f>
        <v>LIJ - OR</v>
      </c>
      <c r="D119" s="28" t="str">
        <f>IF('12 - Device_Configuration'!AE119="","",'12 - Device_Configuration'!AE119)</f>
        <v/>
      </c>
      <c r="E119" s="28" t="str">
        <f>IF('12 - Device_Configuration'!AF119="","",'12 - Device_Configuration'!AF119)</f>
        <v/>
      </c>
      <c r="F119" s="28" t="str">
        <f>IF('12 - Device_Configuration'!AG119="","",'12 - Device_Configuration'!AG119)</f>
        <v/>
      </c>
      <c r="G119" s="28" t="str">
        <f>IF('12 - Device_Configuration'!AH119="","",'12 - Device_Configuration'!AH119)</f>
        <v/>
      </c>
      <c r="H119" s="28" t="str">
        <f>IF('12 - Device_Configuration'!A119="","",'12 - Device_Configuration'!A119)</f>
        <v>Cybernet</v>
      </c>
      <c r="I119" s="28" t="str">
        <f>IF('12 - Device_Configuration'!AI119="","",'12 - Device_Configuration'!AI119)</f>
        <v/>
      </c>
      <c r="J119" s="28" t="str">
        <f>IF('12 - Device_Configuration'!AJ119="","",'12 - Device_Configuration'!AJ119)</f>
        <v/>
      </c>
      <c r="K119" s="28" t="str">
        <f>IF('12 - Device_Configuration'!AA119="","",'12 - Device_Configuration'!AA119)</f>
        <v/>
      </c>
      <c r="L119" s="28" t="str">
        <f>IF('12 - Device_Configuration'!I119="","",'12 - Device_Configuration'!I119)</f>
        <v/>
      </c>
      <c r="M119" s="29"/>
      <c r="N119" s="28" t="str">
        <f>IF('12 - Device_Configuration'!J119="","",'12 - Device_Configuration'!J119)</f>
        <v>Yes</v>
      </c>
      <c r="O119" s="28" t="str">
        <f>IF('12 - Device_Configuration'!K119="","",'12 - Device_Configuration'!K119)</f>
        <v>No</v>
      </c>
      <c r="P119" s="28" t="str">
        <f>IF('12 - Device_Configuration'!L119="","",'12 - Device_Configuration'!L119)</f>
        <v>No</v>
      </c>
      <c r="Q119" s="29"/>
      <c r="R119" s="28" t="str">
        <f>IF('12 - Device_Configuration'!AY119="","",'12 - Device_Configuration'!AY119)</f>
        <v/>
      </c>
      <c r="S119" s="28" t="str">
        <f>IF('12 - Device_Configuration'!AX119="","",'12 - Device_Configuration'!AX119)</f>
        <v/>
      </c>
      <c r="T119" s="28" t="str">
        <f>IF('12 - Device_Configuration'!AV119="","",'12 - Device_Configuration'!AV119)</f>
        <v/>
      </c>
      <c r="U119" s="28" t="str">
        <f>IF('12 - Device_Configuration'!AW119="","",'12 - Device_Configuration'!AW119)</f>
        <v/>
      </c>
      <c r="V119" s="28" t="str">
        <f>IF('12 - Device_Configuration'!BA119="","",'12 - Device_Configuration'!BA119)</f>
        <v/>
      </c>
      <c r="W119" s="28" t="str">
        <f>IF('12 - Device_Configuration'!BC119="","",'12 - Device_Configuration'!BC119)</f>
        <v/>
      </c>
      <c r="X119" s="28" t="str">
        <f>IF('12 - Device_Configuration'!BK119="","",'12 - Device_Configuration'!BK119)</f>
        <v/>
      </c>
      <c r="Y119" s="28" t="str">
        <f>IF('12 - Device_Configuration'!BB119="","",'12 - Device_Configuration'!BB119)</f>
        <v/>
      </c>
      <c r="Z119" s="28" t="str">
        <f>IF('12 - Device_Configuration'!P119="","",'12 - Device_Configuration'!P119)</f>
        <v/>
      </c>
      <c r="AA119" s="28" t="str">
        <f>IF('12 - Device_Configuration'!Q119="","",'12 - Device_Configuration'!Q119)</f>
        <v/>
      </c>
    </row>
    <row r="120" spans="1:27">
      <c r="A120" s="29"/>
      <c r="B120" s="29"/>
      <c r="C120" s="28" t="str">
        <f>IF('12 - Device_Configuration'!H120="","",'12 - Device_Configuration'!H120)</f>
        <v>LIJ - OR</v>
      </c>
      <c r="D120" s="28" t="str">
        <f>IF('12 - Device_Configuration'!AE120="","",'12 - Device_Configuration'!AE120)</f>
        <v/>
      </c>
      <c r="E120" s="28" t="str">
        <f>IF('12 - Device_Configuration'!AF120="","",'12 - Device_Configuration'!AF120)</f>
        <v/>
      </c>
      <c r="F120" s="28" t="str">
        <f>IF('12 - Device_Configuration'!AG120="","",'12 - Device_Configuration'!AG120)</f>
        <v/>
      </c>
      <c r="G120" s="28" t="str">
        <f>IF('12 - Device_Configuration'!AH120="","",'12 - Device_Configuration'!AH120)</f>
        <v/>
      </c>
      <c r="H120" s="28" t="str">
        <f>IF('12 - Device_Configuration'!A120="","",'12 - Device_Configuration'!A120)</f>
        <v>Cybernet</v>
      </c>
      <c r="I120" s="28" t="str">
        <f>IF('12 - Device_Configuration'!AI120="","",'12 - Device_Configuration'!AI120)</f>
        <v/>
      </c>
      <c r="J120" s="28" t="str">
        <f>IF('12 - Device_Configuration'!AJ120="","",'12 - Device_Configuration'!AJ120)</f>
        <v/>
      </c>
      <c r="K120" s="28" t="str">
        <f>IF('12 - Device_Configuration'!AA120="","",'12 - Device_Configuration'!AA120)</f>
        <v/>
      </c>
      <c r="L120" s="28" t="str">
        <f>IF('12 - Device_Configuration'!I120="","",'12 - Device_Configuration'!I120)</f>
        <v/>
      </c>
      <c r="M120" s="29"/>
      <c r="N120" s="28" t="str">
        <f>IF('12 - Device_Configuration'!J120="","",'12 - Device_Configuration'!J120)</f>
        <v>Yes</v>
      </c>
      <c r="O120" s="28" t="str">
        <f>IF('12 - Device_Configuration'!K120="","",'12 - Device_Configuration'!K120)</f>
        <v>No</v>
      </c>
      <c r="P120" s="28" t="str">
        <f>IF('12 - Device_Configuration'!L120="","",'12 - Device_Configuration'!L120)</f>
        <v>No</v>
      </c>
      <c r="Q120" s="29"/>
      <c r="R120" s="28" t="str">
        <f>IF('12 - Device_Configuration'!AY120="","",'12 - Device_Configuration'!AY120)</f>
        <v/>
      </c>
      <c r="S120" s="28" t="str">
        <f>IF('12 - Device_Configuration'!AX120="","",'12 - Device_Configuration'!AX120)</f>
        <v/>
      </c>
      <c r="T120" s="28" t="str">
        <f>IF('12 - Device_Configuration'!AV120="","",'12 - Device_Configuration'!AV120)</f>
        <v/>
      </c>
      <c r="U120" s="28" t="str">
        <f>IF('12 - Device_Configuration'!AW120="","",'12 - Device_Configuration'!AW120)</f>
        <v/>
      </c>
      <c r="V120" s="28" t="str">
        <f>IF('12 - Device_Configuration'!BA120="","",'12 - Device_Configuration'!BA120)</f>
        <v/>
      </c>
      <c r="W120" s="28" t="str">
        <f>IF('12 - Device_Configuration'!BC120="","",'12 - Device_Configuration'!BC120)</f>
        <v/>
      </c>
      <c r="X120" s="28" t="str">
        <f>IF('12 - Device_Configuration'!BK120="","",'12 - Device_Configuration'!BK120)</f>
        <v/>
      </c>
      <c r="Y120" s="28" t="str">
        <f>IF('12 - Device_Configuration'!BB120="","",'12 - Device_Configuration'!BB120)</f>
        <v/>
      </c>
      <c r="Z120" s="28" t="str">
        <f>IF('12 - Device_Configuration'!P120="","",'12 - Device_Configuration'!P120)</f>
        <v/>
      </c>
      <c r="AA120" s="28" t="str">
        <f>IF('12 - Device_Configuration'!Q120="","",'12 - Device_Configuration'!Q120)</f>
        <v/>
      </c>
    </row>
    <row r="121" spans="1:27">
      <c r="A121" s="29"/>
      <c r="B121" s="29"/>
      <c r="C121" s="28" t="str">
        <f>IF('12 - Device_Configuration'!H121="","",'12 - Device_Configuration'!H121)</f>
        <v>LIJ - OR</v>
      </c>
      <c r="D121" s="28" t="str">
        <f>IF('12 - Device_Configuration'!AE121="","",'12 - Device_Configuration'!AE121)</f>
        <v/>
      </c>
      <c r="E121" s="28" t="str">
        <f>IF('12 - Device_Configuration'!AF121="","",'12 - Device_Configuration'!AF121)</f>
        <v/>
      </c>
      <c r="F121" s="28" t="str">
        <f>IF('12 - Device_Configuration'!AG121="","",'12 - Device_Configuration'!AG121)</f>
        <v/>
      </c>
      <c r="G121" s="28" t="str">
        <f>IF('12 - Device_Configuration'!AH121="","",'12 - Device_Configuration'!AH121)</f>
        <v/>
      </c>
      <c r="H121" s="28" t="str">
        <f>IF('12 - Device_Configuration'!A121="","",'12 - Device_Configuration'!A121)</f>
        <v>Cybernet</v>
      </c>
      <c r="I121" s="28" t="str">
        <f>IF('12 - Device_Configuration'!AI121="","",'12 - Device_Configuration'!AI121)</f>
        <v/>
      </c>
      <c r="J121" s="28" t="str">
        <f>IF('12 - Device_Configuration'!AJ121="","",'12 - Device_Configuration'!AJ121)</f>
        <v/>
      </c>
      <c r="K121" s="28" t="str">
        <f>IF('12 - Device_Configuration'!AA121="","",'12 - Device_Configuration'!AA121)</f>
        <v/>
      </c>
      <c r="L121" s="28" t="str">
        <f>IF('12 - Device_Configuration'!I121="","",'12 - Device_Configuration'!I121)</f>
        <v/>
      </c>
      <c r="M121" s="29"/>
      <c r="N121" s="28" t="str">
        <f>IF('12 - Device_Configuration'!J121="","",'12 - Device_Configuration'!J121)</f>
        <v>Yes</v>
      </c>
      <c r="O121" s="28" t="str">
        <f>IF('12 - Device_Configuration'!K121="","",'12 - Device_Configuration'!K121)</f>
        <v>No</v>
      </c>
      <c r="P121" s="28" t="str">
        <f>IF('12 - Device_Configuration'!L121="","",'12 - Device_Configuration'!L121)</f>
        <v>No</v>
      </c>
      <c r="Q121" s="29"/>
      <c r="R121" s="28" t="str">
        <f>IF('12 - Device_Configuration'!AY121="","",'12 - Device_Configuration'!AY121)</f>
        <v/>
      </c>
      <c r="S121" s="28" t="str">
        <f>IF('12 - Device_Configuration'!AX121="","",'12 - Device_Configuration'!AX121)</f>
        <v/>
      </c>
      <c r="T121" s="28" t="str">
        <f>IF('12 - Device_Configuration'!AV121="","",'12 - Device_Configuration'!AV121)</f>
        <v/>
      </c>
      <c r="U121" s="28" t="str">
        <f>IF('12 - Device_Configuration'!AW121="","",'12 - Device_Configuration'!AW121)</f>
        <v/>
      </c>
      <c r="V121" s="28" t="str">
        <f>IF('12 - Device_Configuration'!BA121="","",'12 - Device_Configuration'!BA121)</f>
        <v/>
      </c>
      <c r="W121" s="28" t="str">
        <f>IF('12 - Device_Configuration'!BC121="","",'12 - Device_Configuration'!BC121)</f>
        <v/>
      </c>
      <c r="X121" s="28" t="str">
        <f>IF('12 - Device_Configuration'!BK121="","",'12 - Device_Configuration'!BK121)</f>
        <v/>
      </c>
      <c r="Y121" s="28" t="str">
        <f>IF('12 - Device_Configuration'!BB121="","",'12 - Device_Configuration'!BB121)</f>
        <v/>
      </c>
      <c r="Z121" s="28" t="str">
        <f>IF('12 - Device_Configuration'!P121="","",'12 - Device_Configuration'!P121)</f>
        <v/>
      </c>
      <c r="AA121" s="28" t="str">
        <f>IF('12 - Device_Configuration'!Q121="","",'12 - Device_Configuration'!Q121)</f>
        <v/>
      </c>
    </row>
    <row r="122" spans="1:27">
      <c r="A122" s="29"/>
      <c r="B122" s="29"/>
      <c r="C122" s="28" t="str">
        <f>IF('12 - Device_Configuration'!H122="","",'12 - Device_Configuration'!H122)</f>
        <v>LIJ - OR</v>
      </c>
      <c r="D122" s="28" t="str">
        <f>IF('12 - Device_Configuration'!AE122="","",'12 - Device_Configuration'!AE122)</f>
        <v/>
      </c>
      <c r="E122" s="28" t="str">
        <f>IF('12 - Device_Configuration'!AF122="","",'12 - Device_Configuration'!AF122)</f>
        <v/>
      </c>
      <c r="F122" s="28" t="str">
        <f>IF('12 - Device_Configuration'!AG122="","",'12 - Device_Configuration'!AG122)</f>
        <v/>
      </c>
      <c r="G122" s="28" t="str">
        <f>IF('12 - Device_Configuration'!AH122="","",'12 - Device_Configuration'!AH122)</f>
        <v/>
      </c>
      <c r="H122" s="28" t="str">
        <f>IF('12 - Device_Configuration'!A122="","",'12 - Device_Configuration'!A122)</f>
        <v>Cybernet</v>
      </c>
      <c r="I122" s="28" t="str">
        <f>IF('12 - Device_Configuration'!AI122="","",'12 - Device_Configuration'!AI122)</f>
        <v/>
      </c>
      <c r="J122" s="28" t="str">
        <f>IF('12 - Device_Configuration'!AJ122="","",'12 - Device_Configuration'!AJ122)</f>
        <v/>
      </c>
      <c r="K122" s="28" t="str">
        <f>IF('12 - Device_Configuration'!AA122="","",'12 - Device_Configuration'!AA122)</f>
        <v/>
      </c>
      <c r="L122" s="28" t="str">
        <f>IF('12 - Device_Configuration'!I122="","",'12 - Device_Configuration'!I122)</f>
        <v/>
      </c>
      <c r="M122" s="29"/>
      <c r="N122" s="28" t="str">
        <f>IF('12 - Device_Configuration'!J122="","",'12 - Device_Configuration'!J122)</f>
        <v>Yes</v>
      </c>
      <c r="O122" s="28" t="str">
        <f>IF('12 - Device_Configuration'!K122="","",'12 - Device_Configuration'!K122)</f>
        <v>No</v>
      </c>
      <c r="P122" s="28" t="str">
        <f>IF('12 - Device_Configuration'!L122="","",'12 - Device_Configuration'!L122)</f>
        <v>No</v>
      </c>
      <c r="Q122" s="29"/>
      <c r="R122" s="28" t="str">
        <f>IF('12 - Device_Configuration'!AY122="","",'12 - Device_Configuration'!AY122)</f>
        <v/>
      </c>
      <c r="S122" s="28" t="str">
        <f>IF('12 - Device_Configuration'!AX122="","",'12 - Device_Configuration'!AX122)</f>
        <v/>
      </c>
      <c r="T122" s="28" t="str">
        <f>IF('12 - Device_Configuration'!AV122="","",'12 - Device_Configuration'!AV122)</f>
        <v/>
      </c>
      <c r="U122" s="28" t="str">
        <f>IF('12 - Device_Configuration'!AW122="","",'12 - Device_Configuration'!AW122)</f>
        <v/>
      </c>
      <c r="V122" s="28" t="str">
        <f>IF('12 - Device_Configuration'!BA122="","",'12 - Device_Configuration'!BA122)</f>
        <v/>
      </c>
      <c r="W122" s="28" t="str">
        <f>IF('12 - Device_Configuration'!BC122="","",'12 - Device_Configuration'!BC122)</f>
        <v/>
      </c>
      <c r="X122" s="28" t="str">
        <f>IF('12 - Device_Configuration'!BK122="","",'12 - Device_Configuration'!BK122)</f>
        <v/>
      </c>
      <c r="Y122" s="28" t="str">
        <f>IF('12 - Device_Configuration'!BB122="","",'12 - Device_Configuration'!BB122)</f>
        <v/>
      </c>
      <c r="Z122" s="28" t="str">
        <f>IF('12 - Device_Configuration'!P122="","",'12 - Device_Configuration'!P122)</f>
        <v/>
      </c>
      <c r="AA122" s="28" t="str">
        <f>IF('12 - Device_Configuration'!Q122="","",'12 - Device_Configuration'!Q122)</f>
        <v/>
      </c>
    </row>
    <row r="123" spans="1:27">
      <c r="A123" s="29"/>
      <c r="B123" s="29"/>
      <c r="C123" s="28" t="str">
        <f>IF('12 - Device_Configuration'!H123="","",'12 - Device_Configuration'!H123)</f>
        <v>LIJ - OR</v>
      </c>
      <c r="D123" s="28" t="str">
        <f>IF('12 - Device_Configuration'!AE123="","",'12 - Device_Configuration'!AE123)</f>
        <v/>
      </c>
      <c r="E123" s="28" t="str">
        <f>IF('12 - Device_Configuration'!AF123="","",'12 - Device_Configuration'!AF123)</f>
        <v/>
      </c>
      <c r="F123" s="28" t="str">
        <f>IF('12 - Device_Configuration'!AG123="","",'12 - Device_Configuration'!AG123)</f>
        <v/>
      </c>
      <c r="G123" s="28" t="str">
        <f>IF('12 - Device_Configuration'!AH123="","",'12 - Device_Configuration'!AH123)</f>
        <v/>
      </c>
      <c r="H123" s="28" t="str">
        <f>IF('12 - Device_Configuration'!A123="","",'12 - Device_Configuration'!A123)</f>
        <v>Cybernet</v>
      </c>
      <c r="I123" s="28" t="str">
        <f>IF('12 - Device_Configuration'!AI123="","",'12 - Device_Configuration'!AI123)</f>
        <v/>
      </c>
      <c r="J123" s="28" t="str">
        <f>IF('12 - Device_Configuration'!AJ123="","",'12 - Device_Configuration'!AJ123)</f>
        <v/>
      </c>
      <c r="K123" s="28" t="str">
        <f>IF('12 - Device_Configuration'!AA123="","",'12 - Device_Configuration'!AA123)</f>
        <v/>
      </c>
      <c r="L123" s="28" t="str">
        <f>IF('12 - Device_Configuration'!I123="","",'12 - Device_Configuration'!I123)</f>
        <v/>
      </c>
      <c r="M123" s="29"/>
      <c r="N123" s="28" t="str">
        <f>IF('12 - Device_Configuration'!J123="","",'12 - Device_Configuration'!J123)</f>
        <v>Yes</v>
      </c>
      <c r="O123" s="28" t="str">
        <f>IF('12 - Device_Configuration'!K123="","",'12 - Device_Configuration'!K123)</f>
        <v>No</v>
      </c>
      <c r="P123" s="28" t="str">
        <f>IF('12 - Device_Configuration'!L123="","",'12 - Device_Configuration'!L123)</f>
        <v>No</v>
      </c>
      <c r="Q123" s="29"/>
      <c r="R123" s="28" t="str">
        <f>IF('12 - Device_Configuration'!AY123="","",'12 - Device_Configuration'!AY123)</f>
        <v/>
      </c>
      <c r="S123" s="28" t="str">
        <f>IF('12 - Device_Configuration'!AX123="","",'12 - Device_Configuration'!AX123)</f>
        <v/>
      </c>
      <c r="T123" s="28" t="str">
        <f>IF('12 - Device_Configuration'!AV123="","",'12 - Device_Configuration'!AV123)</f>
        <v/>
      </c>
      <c r="U123" s="28" t="str">
        <f>IF('12 - Device_Configuration'!AW123="","",'12 - Device_Configuration'!AW123)</f>
        <v/>
      </c>
      <c r="V123" s="28" t="str">
        <f>IF('12 - Device_Configuration'!BA123="","",'12 - Device_Configuration'!BA123)</f>
        <v/>
      </c>
      <c r="W123" s="28" t="str">
        <f>IF('12 - Device_Configuration'!BC123="","",'12 - Device_Configuration'!BC123)</f>
        <v/>
      </c>
      <c r="X123" s="28" t="str">
        <f>IF('12 - Device_Configuration'!BK123="","",'12 - Device_Configuration'!BK123)</f>
        <v/>
      </c>
      <c r="Y123" s="28" t="str">
        <f>IF('12 - Device_Configuration'!BB123="","",'12 - Device_Configuration'!BB123)</f>
        <v/>
      </c>
      <c r="Z123" s="28" t="str">
        <f>IF('12 - Device_Configuration'!P123="","",'12 - Device_Configuration'!P123)</f>
        <v/>
      </c>
      <c r="AA123" s="28" t="str">
        <f>IF('12 - Device_Configuration'!Q123="","",'12 - Device_Configuration'!Q123)</f>
        <v/>
      </c>
    </row>
    <row r="124" spans="1:27">
      <c r="A124" s="29"/>
      <c r="B124" s="29"/>
      <c r="C124" s="28" t="str">
        <f>IF('12 - Device_Configuration'!H124="","",'12 - Device_Configuration'!H124)</f>
        <v>LIJ - OR</v>
      </c>
      <c r="D124" s="28" t="str">
        <f>IF('12 - Device_Configuration'!AE124="","",'12 - Device_Configuration'!AE124)</f>
        <v/>
      </c>
      <c r="E124" s="28" t="str">
        <f>IF('12 - Device_Configuration'!AF124="","",'12 - Device_Configuration'!AF124)</f>
        <v/>
      </c>
      <c r="F124" s="28" t="str">
        <f>IF('12 - Device_Configuration'!AG124="","",'12 - Device_Configuration'!AG124)</f>
        <v/>
      </c>
      <c r="G124" s="28" t="str">
        <f>IF('12 - Device_Configuration'!AH124="","",'12 - Device_Configuration'!AH124)</f>
        <v/>
      </c>
      <c r="H124" s="28" t="str">
        <f>IF('12 - Device_Configuration'!A124="","",'12 - Device_Configuration'!A124)</f>
        <v>Cybernet</v>
      </c>
      <c r="I124" s="28" t="str">
        <f>IF('12 - Device_Configuration'!AI124="","",'12 - Device_Configuration'!AI124)</f>
        <v/>
      </c>
      <c r="J124" s="28" t="str">
        <f>IF('12 - Device_Configuration'!AJ124="","",'12 - Device_Configuration'!AJ124)</f>
        <v/>
      </c>
      <c r="K124" s="28" t="str">
        <f>IF('12 - Device_Configuration'!AA124="","",'12 - Device_Configuration'!AA124)</f>
        <v/>
      </c>
      <c r="L124" s="28" t="str">
        <f>IF('12 - Device_Configuration'!I124="","",'12 - Device_Configuration'!I124)</f>
        <v/>
      </c>
      <c r="M124" s="29"/>
      <c r="N124" s="28" t="str">
        <f>IF('12 - Device_Configuration'!J124="","",'12 - Device_Configuration'!J124)</f>
        <v>Yes</v>
      </c>
      <c r="O124" s="28" t="str">
        <f>IF('12 - Device_Configuration'!K124="","",'12 - Device_Configuration'!K124)</f>
        <v>No</v>
      </c>
      <c r="P124" s="28" t="str">
        <f>IF('12 - Device_Configuration'!L124="","",'12 - Device_Configuration'!L124)</f>
        <v>No</v>
      </c>
      <c r="Q124" s="29"/>
      <c r="R124" s="28" t="str">
        <f>IF('12 - Device_Configuration'!AY124="","",'12 - Device_Configuration'!AY124)</f>
        <v/>
      </c>
      <c r="S124" s="28" t="str">
        <f>IF('12 - Device_Configuration'!AX124="","",'12 - Device_Configuration'!AX124)</f>
        <v/>
      </c>
      <c r="T124" s="28" t="str">
        <f>IF('12 - Device_Configuration'!AV124="","",'12 - Device_Configuration'!AV124)</f>
        <v/>
      </c>
      <c r="U124" s="28" t="str">
        <f>IF('12 - Device_Configuration'!AW124="","",'12 - Device_Configuration'!AW124)</f>
        <v/>
      </c>
      <c r="V124" s="28" t="str">
        <f>IF('12 - Device_Configuration'!BA124="","",'12 - Device_Configuration'!BA124)</f>
        <v/>
      </c>
      <c r="W124" s="28" t="str">
        <f>IF('12 - Device_Configuration'!BC124="","",'12 - Device_Configuration'!BC124)</f>
        <v/>
      </c>
      <c r="X124" s="28" t="str">
        <f>IF('12 - Device_Configuration'!BK124="","",'12 - Device_Configuration'!BK124)</f>
        <v/>
      </c>
      <c r="Y124" s="28" t="str">
        <f>IF('12 - Device_Configuration'!BB124="","",'12 - Device_Configuration'!BB124)</f>
        <v/>
      </c>
      <c r="Z124" s="28" t="str">
        <f>IF('12 - Device_Configuration'!P124="","",'12 - Device_Configuration'!P124)</f>
        <v/>
      </c>
      <c r="AA124" s="28" t="str">
        <f>IF('12 - Device_Configuration'!Q124="","",'12 - Device_Configuration'!Q124)</f>
        <v/>
      </c>
    </row>
    <row r="125" spans="1:27">
      <c r="A125" s="29"/>
      <c r="B125" s="29"/>
      <c r="C125" s="28" t="str">
        <f>IF('12 - Device_Configuration'!H125="","",'12 - Device_Configuration'!H125)</f>
        <v>LIJ - OR</v>
      </c>
      <c r="D125" s="28" t="str">
        <f>IF('12 - Device_Configuration'!AE125="","",'12 - Device_Configuration'!AE125)</f>
        <v/>
      </c>
      <c r="E125" s="28" t="str">
        <f>IF('12 - Device_Configuration'!AF125="","",'12 - Device_Configuration'!AF125)</f>
        <v/>
      </c>
      <c r="F125" s="28" t="str">
        <f>IF('12 - Device_Configuration'!AG125="","",'12 - Device_Configuration'!AG125)</f>
        <v/>
      </c>
      <c r="G125" s="28" t="str">
        <f>IF('12 - Device_Configuration'!AH125="","",'12 - Device_Configuration'!AH125)</f>
        <v/>
      </c>
      <c r="H125" s="28" t="str">
        <f>IF('12 - Device_Configuration'!A125="","",'12 - Device_Configuration'!A125)</f>
        <v>Cybernet</v>
      </c>
      <c r="I125" s="28" t="str">
        <f>IF('12 - Device_Configuration'!AI125="","",'12 - Device_Configuration'!AI125)</f>
        <v/>
      </c>
      <c r="J125" s="28" t="str">
        <f>IF('12 - Device_Configuration'!AJ125="","",'12 - Device_Configuration'!AJ125)</f>
        <v/>
      </c>
      <c r="K125" s="28" t="str">
        <f>IF('12 - Device_Configuration'!AA125="","",'12 - Device_Configuration'!AA125)</f>
        <v/>
      </c>
      <c r="L125" s="28" t="str">
        <f>IF('12 - Device_Configuration'!I125="","",'12 - Device_Configuration'!I125)</f>
        <v/>
      </c>
      <c r="M125" s="29"/>
      <c r="N125" s="28" t="str">
        <f>IF('12 - Device_Configuration'!J125="","",'12 - Device_Configuration'!J125)</f>
        <v>Yes</v>
      </c>
      <c r="O125" s="28" t="str">
        <f>IF('12 - Device_Configuration'!K125="","",'12 - Device_Configuration'!K125)</f>
        <v>No</v>
      </c>
      <c r="P125" s="28" t="str">
        <f>IF('12 - Device_Configuration'!L125="","",'12 - Device_Configuration'!L125)</f>
        <v>No</v>
      </c>
      <c r="Q125" s="29"/>
      <c r="R125" s="28" t="str">
        <f>IF('12 - Device_Configuration'!AY125="","",'12 - Device_Configuration'!AY125)</f>
        <v/>
      </c>
      <c r="S125" s="28" t="str">
        <f>IF('12 - Device_Configuration'!AX125="","",'12 - Device_Configuration'!AX125)</f>
        <v/>
      </c>
      <c r="T125" s="28" t="str">
        <f>IF('12 - Device_Configuration'!AV125="","",'12 - Device_Configuration'!AV125)</f>
        <v/>
      </c>
      <c r="U125" s="28" t="str">
        <f>IF('12 - Device_Configuration'!AW125="","",'12 - Device_Configuration'!AW125)</f>
        <v/>
      </c>
      <c r="V125" s="28" t="str">
        <f>IF('12 - Device_Configuration'!BA125="","",'12 - Device_Configuration'!BA125)</f>
        <v/>
      </c>
      <c r="W125" s="28" t="str">
        <f>IF('12 - Device_Configuration'!BC125="","",'12 - Device_Configuration'!BC125)</f>
        <v/>
      </c>
      <c r="X125" s="28" t="str">
        <f>IF('12 - Device_Configuration'!BK125="","",'12 - Device_Configuration'!BK125)</f>
        <v/>
      </c>
      <c r="Y125" s="28" t="str">
        <f>IF('12 - Device_Configuration'!BB125="","",'12 - Device_Configuration'!BB125)</f>
        <v/>
      </c>
      <c r="Z125" s="28" t="str">
        <f>IF('12 - Device_Configuration'!P125="","",'12 - Device_Configuration'!P125)</f>
        <v/>
      </c>
      <c r="AA125" s="28" t="str">
        <f>IF('12 - Device_Configuration'!Q125="","",'12 - Device_Configuration'!Q125)</f>
        <v/>
      </c>
    </row>
    <row r="126" spans="1:27">
      <c r="A126" s="29"/>
      <c r="B126" s="29"/>
      <c r="C126" s="28" t="str">
        <f>IF('12 - Device_Configuration'!H126="","",'12 - Device_Configuration'!H126)</f>
        <v>LIJ - OR</v>
      </c>
      <c r="D126" s="28" t="str">
        <f>IF('12 - Device_Configuration'!AE126="","",'12 - Device_Configuration'!AE126)</f>
        <v/>
      </c>
      <c r="E126" s="28" t="str">
        <f>IF('12 - Device_Configuration'!AF126="","",'12 - Device_Configuration'!AF126)</f>
        <v/>
      </c>
      <c r="F126" s="28" t="str">
        <f>IF('12 - Device_Configuration'!AG126="","",'12 - Device_Configuration'!AG126)</f>
        <v/>
      </c>
      <c r="G126" s="28" t="str">
        <f>IF('12 - Device_Configuration'!AH126="","",'12 - Device_Configuration'!AH126)</f>
        <v/>
      </c>
      <c r="H126" s="28" t="str">
        <f>IF('12 - Device_Configuration'!A126="","",'12 - Device_Configuration'!A126)</f>
        <v>Cybernet</v>
      </c>
      <c r="I126" s="28" t="str">
        <f>IF('12 - Device_Configuration'!AI126="","",'12 - Device_Configuration'!AI126)</f>
        <v/>
      </c>
      <c r="J126" s="28" t="str">
        <f>IF('12 - Device_Configuration'!AJ126="","",'12 - Device_Configuration'!AJ126)</f>
        <v/>
      </c>
      <c r="K126" s="28" t="str">
        <f>IF('12 - Device_Configuration'!AA126="","",'12 - Device_Configuration'!AA126)</f>
        <v/>
      </c>
      <c r="L126" s="28" t="str">
        <f>IF('12 - Device_Configuration'!I126="","",'12 - Device_Configuration'!I126)</f>
        <v/>
      </c>
      <c r="M126" s="29"/>
      <c r="N126" s="28" t="str">
        <f>IF('12 - Device_Configuration'!J126="","",'12 - Device_Configuration'!J126)</f>
        <v>Yes</v>
      </c>
      <c r="O126" s="28" t="str">
        <f>IF('12 - Device_Configuration'!K126="","",'12 - Device_Configuration'!K126)</f>
        <v>No</v>
      </c>
      <c r="P126" s="28" t="str">
        <f>IF('12 - Device_Configuration'!L126="","",'12 - Device_Configuration'!L126)</f>
        <v>No</v>
      </c>
      <c r="Q126" s="29"/>
      <c r="R126" s="28" t="str">
        <f>IF('12 - Device_Configuration'!AY126="","",'12 - Device_Configuration'!AY126)</f>
        <v/>
      </c>
      <c r="S126" s="28" t="str">
        <f>IF('12 - Device_Configuration'!AX126="","",'12 - Device_Configuration'!AX126)</f>
        <v/>
      </c>
      <c r="T126" s="28" t="str">
        <f>IF('12 - Device_Configuration'!AV126="","",'12 - Device_Configuration'!AV126)</f>
        <v/>
      </c>
      <c r="U126" s="28" t="str">
        <f>IF('12 - Device_Configuration'!AW126="","",'12 - Device_Configuration'!AW126)</f>
        <v/>
      </c>
      <c r="V126" s="28" t="str">
        <f>IF('12 - Device_Configuration'!BA126="","",'12 - Device_Configuration'!BA126)</f>
        <v/>
      </c>
      <c r="W126" s="28" t="str">
        <f>IF('12 - Device_Configuration'!BC126="","",'12 - Device_Configuration'!BC126)</f>
        <v/>
      </c>
      <c r="X126" s="28" t="str">
        <f>IF('12 - Device_Configuration'!BK126="","",'12 - Device_Configuration'!BK126)</f>
        <v/>
      </c>
      <c r="Y126" s="28" t="str">
        <f>IF('12 - Device_Configuration'!BB126="","",'12 - Device_Configuration'!BB126)</f>
        <v/>
      </c>
      <c r="Z126" s="28" t="str">
        <f>IF('12 - Device_Configuration'!P126="","",'12 - Device_Configuration'!P126)</f>
        <v/>
      </c>
      <c r="AA126" s="28" t="str">
        <f>IF('12 - Device_Configuration'!Q126="","",'12 - Device_Configuration'!Q126)</f>
        <v/>
      </c>
    </row>
    <row r="127" spans="1:27">
      <c r="A127" s="29"/>
      <c r="B127" s="29"/>
      <c r="C127" s="28" t="str">
        <f>IF('12 - Device_Configuration'!H127="","",'12 - Device_Configuration'!H127)</f>
        <v>LIJ - OR</v>
      </c>
      <c r="D127" s="28" t="str">
        <f>IF('12 - Device_Configuration'!AE127="","",'12 - Device_Configuration'!AE127)</f>
        <v/>
      </c>
      <c r="E127" s="28" t="str">
        <f>IF('12 - Device_Configuration'!AF127="","",'12 - Device_Configuration'!AF127)</f>
        <v/>
      </c>
      <c r="F127" s="28" t="str">
        <f>IF('12 - Device_Configuration'!AG127="","",'12 - Device_Configuration'!AG127)</f>
        <v/>
      </c>
      <c r="G127" s="28" t="str">
        <f>IF('12 - Device_Configuration'!AH127="","",'12 - Device_Configuration'!AH127)</f>
        <v/>
      </c>
      <c r="H127" s="28" t="str">
        <f>IF('12 - Device_Configuration'!A127="","",'12 - Device_Configuration'!A127)</f>
        <v>Cybernet</v>
      </c>
      <c r="I127" s="28" t="str">
        <f>IF('12 - Device_Configuration'!AI127="","",'12 - Device_Configuration'!AI127)</f>
        <v/>
      </c>
      <c r="J127" s="28" t="str">
        <f>IF('12 - Device_Configuration'!AJ127="","",'12 - Device_Configuration'!AJ127)</f>
        <v/>
      </c>
      <c r="K127" s="28" t="str">
        <f>IF('12 - Device_Configuration'!AA127="","",'12 - Device_Configuration'!AA127)</f>
        <v/>
      </c>
      <c r="L127" s="28" t="str">
        <f>IF('12 - Device_Configuration'!I127="","",'12 - Device_Configuration'!I127)</f>
        <v/>
      </c>
      <c r="M127" s="29"/>
      <c r="N127" s="28" t="str">
        <f>IF('12 - Device_Configuration'!J127="","",'12 - Device_Configuration'!J127)</f>
        <v>Yes</v>
      </c>
      <c r="O127" s="28" t="str">
        <f>IF('12 - Device_Configuration'!K127="","",'12 - Device_Configuration'!K127)</f>
        <v>No</v>
      </c>
      <c r="P127" s="28" t="str">
        <f>IF('12 - Device_Configuration'!L127="","",'12 - Device_Configuration'!L127)</f>
        <v>No</v>
      </c>
      <c r="Q127" s="29"/>
      <c r="R127" s="28" t="str">
        <f>IF('12 - Device_Configuration'!AY127="","",'12 - Device_Configuration'!AY127)</f>
        <v/>
      </c>
      <c r="S127" s="28" t="str">
        <f>IF('12 - Device_Configuration'!AX127="","",'12 - Device_Configuration'!AX127)</f>
        <v/>
      </c>
      <c r="T127" s="28" t="str">
        <f>IF('12 - Device_Configuration'!AV127="","",'12 - Device_Configuration'!AV127)</f>
        <v/>
      </c>
      <c r="U127" s="28" t="str">
        <f>IF('12 - Device_Configuration'!AW127="","",'12 - Device_Configuration'!AW127)</f>
        <v/>
      </c>
      <c r="V127" s="28" t="str">
        <f>IF('12 - Device_Configuration'!BA127="","",'12 - Device_Configuration'!BA127)</f>
        <v/>
      </c>
      <c r="W127" s="28" t="str">
        <f>IF('12 - Device_Configuration'!BC127="","",'12 - Device_Configuration'!BC127)</f>
        <v/>
      </c>
      <c r="X127" s="28" t="str">
        <f>IF('12 - Device_Configuration'!BK127="","",'12 - Device_Configuration'!BK127)</f>
        <v/>
      </c>
      <c r="Y127" s="28" t="str">
        <f>IF('12 - Device_Configuration'!BB127="","",'12 - Device_Configuration'!BB127)</f>
        <v/>
      </c>
      <c r="Z127" s="28" t="str">
        <f>IF('12 - Device_Configuration'!P127="","",'12 - Device_Configuration'!P127)</f>
        <v/>
      </c>
      <c r="AA127" s="28" t="str">
        <f>IF('12 - Device_Configuration'!Q127="","",'12 - Device_Configuration'!Q127)</f>
        <v/>
      </c>
    </row>
    <row r="128" spans="1:27">
      <c r="A128" s="29"/>
      <c r="B128" s="29"/>
      <c r="C128" s="28" t="str">
        <f>IF('12 - Device_Configuration'!H128="","",'12 - Device_Configuration'!H128)</f>
        <v>LIJ - OR</v>
      </c>
      <c r="D128" s="28" t="str">
        <f>IF('12 - Device_Configuration'!AE128="","",'12 - Device_Configuration'!AE128)</f>
        <v/>
      </c>
      <c r="E128" s="28" t="str">
        <f>IF('12 - Device_Configuration'!AF128="","",'12 - Device_Configuration'!AF128)</f>
        <v/>
      </c>
      <c r="F128" s="28" t="str">
        <f>IF('12 - Device_Configuration'!AG128="","",'12 - Device_Configuration'!AG128)</f>
        <v/>
      </c>
      <c r="G128" s="28" t="str">
        <f>IF('12 - Device_Configuration'!AH128="","",'12 - Device_Configuration'!AH128)</f>
        <v/>
      </c>
      <c r="H128" s="28" t="str">
        <f>IF('12 - Device_Configuration'!A128="","",'12 - Device_Configuration'!A128)</f>
        <v>Cybernet</v>
      </c>
      <c r="I128" s="28" t="str">
        <f>IF('12 - Device_Configuration'!AI128="","",'12 - Device_Configuration'!AI128)</f>
        <v/>
      </c>
      <c r="J128" s="28" t="str">
        <f>IF('12 - Device_Configuration'!AJ128="","",'12 - Device_Configuration'!AJ128)</f>
        <v/>
      </c>
      <c r="K128" s="28" t="str">
        <f>IF('12 - Device_Configuration'!AA128="","",'12 - Device_Configuration'!AA128)</f>
        <v/>
      </c>
      <c r="L128" s="28" t="str">
        <f>IF('12 - Device_Configuration'!I128="","",'12 - Device_Configuration'!I128)</f>
        <v/>
      </c>
      <c r="M128" s="29"/>
      <c r="N128" s="28" t="str">
        <f>IF('12 - Device_Configuration'!J128="","",'12 - Device_Configuration'!J128)</f>
        <v>Yes</v>
      </c>
      <c r="O128" s="28" t="str">
        <f>IF('12 - Device_Configuration'!K128="","",'12 - Device_Configuration'!K128)</f>
        <v>No</v>
      </c>
      <c r="P128" s="28" t="str">
        <f>IF('12 - Device_Configuration'!L128="","",'12 - Device_Configuration'!L128)</f>
        <v>No</v>
      </c>
      <c r="Q128" s="29"/>
      <c r="R128" s="28" t="str">
        <f>IF('12 - Device_Configuration'!AY128="","",'12 - Device_Configuration'!AY128)</f>
        <v/>
      </c>
      <c r="S128" s="28" t="str">
        <f>IF('12 - Device_Configuration'!AX128="","",'12 - Device_Configuration'!AX128)</f>
        <v/>
      </c>
      <c r="T128" s="28" t="str">
        <f>IF('12 - Device_Configuration'!AV128="","",'12 - Device_Configuration'!AV128)</f>
        <v/>
      </c>
      <c r="U128" s="28" t="str">
        <f>IF('12 - Device_Configuration'!AW128="","",'12 - Device_Configuration'!AW128)</f>
        <v/>
      </c>
      <c r="V128" s="28" t="str">
        <f>IF('12 - Device_Configuration'!BA128="","",'12 - Device_Configuration'!BA128)</f>
        <v/>
      </c>
      <c r="W128" s="28" t="str">
        <f>IF('12 - Device_Configuration'!BC128="","",'12 - Device_Configuration'!BC128)</f>
        <v/>
      </c>
      <c r="X128" s="28" t="str">
        <f>IF('12 - Device_Configuration'!BK128="","",'12 - Device_Configuration'!BK128)</f>
        <v/>
      </c>
      <c r="Y128" s="28" t="str">
        <f>IF('12 - Device_Configuration'!BB128="","",'12 - Device_Configuration'!BB128)</f>
        <v/>
      </c>
      <c r="Z128" s="28" t="str">
        <f>IF('12 - Device_Configuration'!P128="","",'12 - Device_Configuration'!P128)</f>
        <v/>
      </c>
      <c r="AA128" s="28" t="str">
        <f>IF('12 - Device_Configuration'!Q128="","",'12 - Device_Configuration'!Q128)</f>
        <v/>
      </c>
    </row>
    <row r="129" spans="1:27">
      <c r="A129" s="29"/>
      <c r="B129" s="29"/>
      <c r="C129" s="28" t="str">
        <f>IF('12 - Device_Configuration'!H129="","",'12 - Device_Configuration'!H129)</f>
        <v>LIJ - OR</v>
      </c>
      <c r="D129" s="28" t="str">
        <f>IF('12 - Device_Configuration'!AE129="","",'12 - Device_Configuration'!AE129)</f>
        <v/>
      </c>
      <c r="E129" s="28" t="str">
        <f>IF('12 - Device_Configuration'!AF129="","",'12 - Device_Configuration'!AF129)</f>
        <v/>
      </c>
      <c r="F129" s="28" t="str">
        <f>IF('12 - Device_Configuration'!AG129="","",'12 - Device_Configuration'!AG129)</f>
        <v/>
      </c>
      <c r="G129" s="28" t="str">
        <f>IF('12 - Device_Configuration'!AH129="","",'12 - Device_Configuration'!AH129)</f>
        <v/>
      </c>
      <c r="H129" s="28" t="str">
        <f>IF('12 - Device_Configuration'!A129="","",'12 - Device_Configuration'!A129)</f>
        <v>Cybernet</v>
      </c>
      <c r="I129" s="28" t="str">
        <f>IF('12 - Device_Configuration'!AI129="","",'12 - Device_Configuration'!AI129)</f>
        <v/>
      </c>
      <c r="J129" s="28" t="str">
        <f>IF('12 - Device_Configuration'!AJ129="","",'12 - Device_Configuration'!AJ129)</f>
        <v/>
      </c>
      <c r="K129" s="28" t="str">
        <f>IF('12 - Device_Configuration'!AA129="","",'12 - Device_Configuration'!AA129)</f>
        <v/>
      </c>
      <c r="L129" s="28" t="str">
        <f>IF('12 - Device_Configuration'!I129="","",'12 - Device_Configuration'!I129)</f>
        <v/>
      </c>
      <c r="M129" s="29"/>
      <c r="N129" s="28" t="str">
        <f>IF('12 - Device_Configuration'!J129="","",'12 - Device_Configuration'!J129)</f>
        <v>Yes</v>
      </c>
      <c r="O129" s="28" t="str">
        <f>IF('12 - Device_Configuration'!K129="","",'12 - Device_Configuration'!K129)</f>
        <v>No</v>
      </c>
      <c r="P129" s="28" t="str">
        <f>IF('12 - Device_Configuration'!L129="","",'12 - Device_Configuration'!L129)</f>
        <v>No</v>
      </c>
      <c r="Q129" s="29"/>
      <c r="R129" s="28" t="str">
        <f>IF('12 - Device_Configuration'!AY129="","",'12 - Device_Configuration'!AY129)</f>
        <v/>
      </c>
      <c r="S129" s="28" t="str">
        <f>IF('12 - Device_Configuration'!AX129="","",'12 - Device_Configuration'!AX129)</f>
        <v/>
      </c>
      <c r="T129" s="28" t="str">
        <f>IF('12 - Device_Configuration'!AV129="","",'12 - Device_Configuration'!AV129)</f>
        <v/>
      </c>
      <c r="U129" s="28" t="str">
        <f>IF('12 - Device_Configuration'!AW129="","",'12 - Device_Configuration'!AW129)</f>
        <v/>
      </c>
      <c r="V129" s="28" t="str">
        <f>IF('12 - Device_Configuration'!BA129="","",'12 - Device_Configuration'!BA129)</f>
        <v/>
      </c>
      <c r="W129" s="28" t="str">
        <f>IF('12 - Device_Configuration'!BC129="","",'12 - Device_Configuration'!BC129)</f>
        <v/>
      </c>
      <c r="X129" s="28" t="str">
        <f>IF('12 - Device_Configuration'!BK129="","",'12 - Device_Configuration'!BK129)</f>
        <v/>
      </c>
      <c r="Y129" s="28" t="str">
        <f>IF('12 - Device_Configuration'!BB129="","",'12 - Device_Configuration'!BB129)</f>
        <v/>
      </c>
      <c r="Z129" s="28" t="str">
        <f>IF('12 - Device_Configuration'!P129="","",'12 - Device_Configuration'!P129)</f>
        <v/>
      </c>
      <c r="AA129" s="28" t="str">
        <f>IF('12 - Device_Configuration'!Q129="","",'12 - Device_Configuration'!Q129)</f>
        <v/>
      </c>
    </row>
    <row r="130" spans="1:27">
      <c r="A130" s="29"/>
      <c r="B130" s="29"/>
      <c r="C130" s="28" t="str">
        <f>IF('12 - Device_Configuration'!H130="","",'12 - Device_Configuration'!H130)</f>
        <v>LIJ - OR</v>
      </c>
      <c r="D130" s="28" t="str">
        <f>IF('12 - Device_Configuration'!AE130="","",'12 - Device_Configuration'!AE130)</f>
        <v/>
      </c>
      <c r="E130" s="28" t="str">
        <f>IF('12 - Device_Configuration'!AF130="","",'12 - Device_Configuration'!AF130)</f>
        <v/>
      </c>
      <c r="F130" s="28" t="str">
        <f>IF('12 - Device_Configuration'!AG130="","",'12 - Device_Configuration'!AG130)</f>
        <v/>
      </c>
      <c r="G130" s="28" t="str">
        <f>IF('12 - Device_Configuration'!AH130="","",'12 - Device_Configuration'!AH130)</f>
        <v/>
      </c>
      <c r="H130" s="28" t="str">
        <f>IF('12 - Device_Configuration'!A130="","",'12 - Device_Configuration'!A130)</f>
        <v>Cybernet</v>
      </c>
      <c r="I130" s="28" t="str">
        <f>IF('12 - Device_Configuration'!AI130="","",'12 - Device_Configuration'!AI130)</f>
        <v/>
      </c>
      <c r="J130" s="28" t="str">
        <f>IF('12 - Device_Configuration'!AJ130="","",'12 - Device_Configuration'!AJ130)</f>
        <v/>
      </c>
      <c r="K130" s="28" t="str">
        <f>IF('12 - Device_Configuration'!AA130="","",'12 - Device_Configuration'!AA130)</f>
        <v/>
      </c>
      <c r="L130" s="28" t="str">
        <f>IF('12 - Device_Configuration'!I130="","",'12 - Device_Configuration'!I130)</f>
        <v/>
      </c>
      <c r="M130" s="29"/>
      <c r="N130" s="28" t="str">
        <f>IF('12 - Device_Configuration'!J130="","",'12 - Device_Configuration'!J130)</f>
        <v>Yes</v>
      </c>
      <c r="O130" s="28" t="str">
        <f>IF('12 - Device_Configuration'!K130="","",'12 - Device_Configuration'!K130)</f>
        <v>No</v>
      </c>
      <c r="P130" s="28" t="str">
        <f>IF('12 - Device_Configuration'!L130="","",'12 - Device_Configuration'!L130)</f>
        <v>No</v>
      </c>
      <c r="Q130" s="29"/>
      <c r="R130" s="28" t="str">
        <f>IF('12 - Device_Configuration'!AY130="","",'12 - Device_Configuration'!AY130)</f>
        <v/>
      </c>
      <c r="S130" s="28" t="str">
        <f>IF('12 - Device_Configuration'!AX130="","",'12 - Device_Configuration'!AX130)</f>
        <v/>
      </c>
      <c r="T130" s="28" t="str">
        <f>IF('12 - Device_Configuration'!AV130="","",'12 - Device_Configuration'!AV130)</f>
        <v/>
      </c>
      <c r="U130" s="28" t="str">
        <f>IF('12 - Device_Configuration'!AW130="","",'12 - Device_Configuration'!AW130)</f>
        <v/>
      </c>
      <c r="V130" s="28" t="str">
        <f>IF('12 - Device_Configuration'!BA130="","",'12 - Device_Configuration'!BA130)</f>
        <v/>
      </c>
      <c r="W130" s="28" t="str">
        <f>IF('12 - Device_Configuration'!BC130="","",'12 - Device_Configuration'!BC130)</f>
        <v/>
      </c>
      <c r="X130" s="28" t="str">
        <f>IF('12 - Device_Configuration'!BK130="","",'12 - Device_Configuration'!BK130)</f>
        <v/>
      </c>
      <c r="Y130" s="28" t="str">
        <f>IF('12 - Device_Configuration'!BB130="","",'12 - Device_Configuration'!BB130)</f>
        <v/>
      </c>
      <c r="Z130" s="28" t="str">
        <f>IF('12 - Device_Configuration'!P130="","",'12 - Device_Configuration'!P130)</f>
        <v/>
      </c>
      <c r="AA130" s="28" t="str">
        <f>IF('12 - Device_Configuration'!Q130="","",'12 - Device_Configuration'!Q130)</f>
        <v/>
      </c>
    </row>
    <row r="131" spans="1:27">
      <c r="A131" s="29"/>
      <c r="B131" s="29"/>
      <c r="C131" s="28" t="str">
        <f>IF('12 - Device_Configuration'!H131="","",'12 - Device_Configuration'!H131)</f>
        <v>LIJ - OR</v>
      </c>
      <c r="D131" s="28" t="str">
        <f>IF('12 - Device_Configuration'!AE131="","",'12 - Device_Configuration'!AE131)</f>
        <v/>
      </c>
      <c r="E131" s="28" t="str">
        <f>IF('12 - Device_Configuration'!AF131="","",'12 - Device_Configuration'!AF131)</f>
        <v/>
      </c>
      <c r="F131" s="28" t="str">
        <f>IF('12 - Device_Configuration'!AG131="","",'12 - Device_Configuration'!AG131)</f>
        <v/>
      </c>
      <c r="G131" s="28" t="str">
        <f>IF('12 - Device_Configuration'!AH131="","",'12 - Device_Configuration'!AH131)</f>
        <v/>
      </c>
      <c r="H131" s="28" t="str">
        <f>IF('12 - Device_Configuration'!A131="","",'12 - Device_Configuration'!A131)</f>
        <v>Cybernet</v>
      </c>
      <c r="I131" s="28" t="str">
        <f>IF('12 - Device_Configuration'!AI131="","",'12 - Device_Configuration'!AI131)</f>
        <v/>
      </c>
      <c r="J131" s="28" t="str">
        <f>IF('12 - Device_Configuration'!AJ131="","",'12 - Device_Configuration'!AJ131)</f>
        <v/>
      </c>
      <c r="K131" s="28" t="str">
        <f>IF('12 - Device_Configuration'!AA131="","",'12 - Device_Configuration'!AA131)</f>
        <v/>
      </c>
      <c r="L131" s="28" t="str">
        <f>IF('12 - Device_Configuration'!I131="","",'12 - Device_Configuration'!I131)</f>
        <v/>
      </c>
      <c r="M131" s="29"/>
      <c r="N131" s="28" t="str">
        <f>IF('12 - Device_Configuration'!J131="","",'12 - Device_Configuration'!J131)</f>
        <v>Yes</v>
      </c>
      <c r="O131" s="28" t="str">
        <f>IF('12 - Device_Configuration'!K131="","",'12 - Device_Configuration'!K131)</f>
        <v>No</v>
      </c>
      <c r="P131" s="28" t="str">
        <f>IF('12 - Device_Configuration'!L131="","",'12 - Device_Configuration'!L131)</f>
        <v>No</v>
      </c>
      <c r="Q131" s="29"/>
      <c r="R131" s="28" t="str">
        <f>IF('12 - Device_Configuration'!AY131="","",'12 - Device_Configuration'!AY131)</f>
        <v/>
      </c>
      <c r="S131" s="28" t="str">
        <f>IF('12 - Device_Configuration'!AX131="","",'12 - Device_Configuration'!AX131)</f>
        <v/>
      </c>
      <c r="T131" s="28" t="str">
        <f>IF('12 - Device_Configuration'!AV131="","",'12 - Device_Configuration'!AV131)</f>
        <v/>
      </c>
      <c r="U131" s="28" t="str">
        <f>IF('12 - Device_Configuration'!AW131="","",'12 - Device_Configuration'!AW131)</f>
        <v/>
      </c>
      <c r="V131" s="28" t="str">
        <f>IF('12 - Device_Configuration'!BA131="","",'12 - Device_Configuration'!BA131)</f>
        <v/>
      </c>
      <c r="W131" s="28" t="str">
        <f>IF('12 - Device_Configuration'!BC131="","",'12 - Device_Configuration'!BC131)</f>
        <v/>
      </c>
      <c r="X131" s="28" t="str">
        <f>IF('12 - Device_Configuration'!BK131="","",'12 - Device_Configuration'!BK131)</f>
        <v/>
      </c>
      <c r="Y131" s="28" t="str">
        <f>IF('12 - Device_Configuration'!BB131="","",'12 - Device_Configuration'!BB131)</f>
        <v/>
      </c>
      <c r="Z131" s="28" t="str">
        <f>IF('12 - Device_Configuration'!P131="","",'12 - Device_Configuration'!P131)</f>
        <v/>
      </c>
      <c r="AA131" s="28" t="str">
        <f>IF('12 - Device_Configuration'!Q131="","",'12 - Device_Configuration'!Q131)</f>
        <v/>
      </c>
    </row>
    <row r="132" spans="1:27">
      <c r="A132" s="29"/>
      <c r="B132" s="29"/>
      <c r="C132" s="28" t="str">
        <f>IF('12 - Device_Configuration'!H132="","",'12 - Device_Configuration'!H132)</f>
        <v>LIJ - OR</v>
      </c>
      <c r="D132" s="28" t="str">
        <f>IF('12 - Device_Configuration'!AE132="","",'12 - Device_Configuration'!AE132)</f>
        <v/>
      </c>
      <c r="E132" s="28" t="str">
        <f>IF('12 - Device_Configuration'!AF132="","",'12 - Device_Configuration'!AF132)</f>
        <v/>
      </c>
      <c r="F132" s="28" t="str">
        <f>IF('12 - Device_Configuration'!AG132="","",'12 - Device_Configuration'!AG132)</f>
        <v/>
      </c>
      <c r="G132" s="28" t="str">
        <f>IF('12 - Device_Configuration'!AH132="","",'12 - Device_Configuration'!AH132)</f>
        <v/>
      </c>
      <c r="H132" s="28" t="str">
        <f>IF('12 - Device_Configuration'!A132="","",'12 - Device_Configuration'!A132)</f>
        <v>Cybernet</v>
      </c>
      <c r="I132" s="28" t="str">
        <f>IF('12 - Device_Configuration'!AI132="","",'12 - Device_Configuration'!AI132)</f>
        <v/>
      </c>
      <c r="J132" s="28" t="str">
        <f>IF('12 - Device_Configuration'!AJ132="","",'12 - Device_Configuration'!AJ132)</f>
        <v/>
      </c>
      <c r="K132" s="28" t="str">
        <f>IF('12 - Device_Configuration'!AA132="","",'12 - Device_Configuration'!AA132)</f>
        <v/>
      </c>
      <c r="L132" s="28" t="str">
        <f>IF('12 - Device_Configuration'!I132="","",'12 - Device_Configuration'!I132)</f>
        <v/>
      </c>
      <c r="M132" s="29"/>
      <c r="N132" s="28" t="str">
        <f>IF('12 - Device_Configuration'!J132="","",'12 - Device_Configuration'!J132)</f>
        <v>Yes</v>
      </c>
      <c r="O132" s="28" t="str">
        <f>IF('12 - Device_Configuration'!K132="","",'12 - Device_Configuration'!K132)</f>
        <v>No</v>
      </c>
      <c r="P132" s="28" t="str">
        <f>IF('12 - Device_Configuration'!L132="","",'12 - Device_Configuration'!L132)</f>
        <v>No</v>
      </c>
      <c r="Q132" s="29"/>
      <c r="R132" s="28" t="str">
        <f>IF('12 - Device_Configuration'!AY132="","",'12 - Device_Configuration'!AY132)</f>
        <v/>
      </c>
      <c r="S132" s="28" t="str">
        <f>IF('12 - Device_Configuration'!AX132="","",'12 - Device_Configuration'!AX132)</f>
        <v/>
      </c>
      <c r="T132" s="28" t="str">
        <f>IF('12 - Device_Configuration'!AV132="","",'12 - Device_Configuration'!AV132)</f>
        <v/>
      </c>
      <c r="U132" s="28" t="str">
        <f>IF('12 - Device_Configuration'!AW132="","",'12 - Device_Configuration'!AW132)</f>
        <v/>
      </c>
      <c r="V132" s="28" t="str">
        <f>IF('12 - Device_Configuration'!BA132="","",'12 - Device_Configuration'!BA132)</f>
        <v/>
      </c>
      <c r="W132" s="28" t="str">
        <f>IF('12 - Device_Configuration'!BC132="","",'12 - Device_Configuration'!BC132)</f>
        <v/>
      </c>
      <c r="X132" s="28" t="str">
        <f>IF('12 - Device_Configuration'!BK132="","",'12 - Device_Configuration'!BK132)</f>
        <v/>
      </c>
      <c r="Y132" s="28" t="str">
        <f>IF('12 - Device_Configuration'!BB132="","",'12 - Device_Configuration'!BB132)</f>
        <v/>
      </c>
      <c r="Z132" s="28" t="str">
        <f>IF('12 - Device_Configuration'!P132="","",'12 - Device_Configuration'!P132)</f>
        <v/>
      </c>
      <c r="AA132" s="28" t="str">
        <f>IF('12 - Device_Configuration'!Q132="","",'12 - Device_Configuration'!Q132)</f>
        <v/>
      </c>
    </row>
    <row r="133" spans="1:27">
      <c r="A133" s="29"/>
      <c r="B133" s="29"/>
      <c r="C133" s="28" t="str">
        <f>IF('12 - Device_Configuration'!H133="","",'12 - Device_Configuration'!H133)</f>
        <v>LIJ - OR</v>
      </c>
      <c r="D133" s="28" t="str">
        <f>IF('12 - Device_Configuration'!AE133="","",'12 - Device_Configuration'!AE133)</f>
        <v/>
      </c>
      <c r="E133" s="28" t="str">
        <f>IF('12 - Device_Configuration'!AF133="","",'12 - Device_Configuration'!AF133)</f>
        <v/>
      </c>
      <c r="F133" s="28" t="str">
        <f>IF('12 - Device_Configuration'!AG133="","",'12 - Device_Configuration'!AG133)</f>
        <v/>
      </c>
      <c r="G133" s="28" t="str">
        <f>IF('12 - Device_Configuration'!AH133="","",'12 - Device_Configuration'!AH133)</f>
        <v/>
      </c>
      <c r="H133" s="28" t="str">
        <f>IF('12 - Device_Configuration'!A133="","",'12 - Device_Configuration'!A133)</f>
        <v>Cybernet</v>
      </c>
      <c r="I133" s="28" t="str">
        <f>IF('12 - Device_Configuration'!AI133="","",'12 - Device_Configuration'!AI133)</f>
        <v/>
      </c>
      <c r="J133" s="28" t="str">
        <f>IF('12 - Device_Configuration'!AJ133="","",'12 - Device_Configuration'!AJ133)</f>
        <v/>
      </c>
      <c r="K133" s="28" t="str">
        <f>IF('12 - Device_Configuration'!AA133="","",'12 - Device_Configuration'!AA133)</f>
        <v/>
      </c>
      <c r="L133" s="28" t="str">
        <f>IF('12 - Device_Configuration'!I133="","",'12 - Device_Configuration'!I133)</f>
        <v/>
      </c>
      <c r="M133" s="29"/>
      <c r="N133" s="28" t="str">
        <f>IF('12 - Device_Configuration'!J133="","",'12 - Device_Configuration'!J133)</f>
        <v>Yes</v>
      </c>
      <c r="O133" s="28" t="str">
        <f>IF('12 - Device_Configuration'!K133="","",'12 - Device_Configuration'!K133)</f>
        <v>No</v>
      </c>
      <c r="P133" s="28" t="str">
        <f>IF('12 - Device_Configuration'!L133="","",'12 - Device_Configuration'!L133)</f>
        <v>No</v>
      </c>
      <c r="Q133" s="29"/>
      <c r="R133" s="28" t="str">
        <f>IF('12 - Device_Configuration'!AY133="","",'12 - Device_Configuration'!AY133)</f>
        <v/>
      </c>
      <c r="S133" s="28" t="str">
        <f>IF('12 - Device_Configuration'!AX133="","",'12 - Device_Configuration'!AX133)</f>
        <v/>
      </c>
      <c r="T133" s="28" t="str">
        <f>IF('12 - Device_Configuration'!AV133="","",'12 - Device_Configuration'!AV133)</f>
        <v/>
      </c>
      <c r="U133" s="28" t="str">
        <f>IF('12 - Device_Configuration'!AW133="","",'12 - Device_Configuration'!AW133)</f>
        <v/>
      </c>
      <c r="V133" s="28" t="str">
        <f>IF('12 - Device_Configuration'!BA133="","",'12 - Device_Configuration'!BA133)</f>
        <v/>
      </c>
      <c r="W133" s="28" t="str">
        <f>IF('12 - Device_Configuration'!BC133="","",'12 - Device_Configuration'!BC133)</f>
        <v/>
      </c>
      <c r="X133" s="28" t="str">
        <f>IF('12 - Device_Configuration'!BK133="","",'12 - Device_Configuration'!BK133)</f>
        <v/>
      </c>
      <c r="Y133" s="28" t="str">
        <f>IF('12 - Device_Configuration'!BB133="","",'12 - Device_Configuration'!BB133)</f>
        <v/>
      </c>
      <c r="Z133" s="28" t="str">
        <f>IF('12 - Device_Configuration'!P133="","",'12 - Device_Configuration'!P133)</f>
        <v/>
      </c>
      <c r="AA133" s="28" t="str">
        <f>IF('12 - Device_Configuration'!Q133="","",'12 - Device_Configuration'!Q133)</f>
        <v/>
      </c>
    </row>
    <row r="134" spans="1:27">
      <c r="A134" s="29"/>
      <c r="B134" s="29"/>
      <c r="C134" s="28" t="str">
        <f>IF('12 - Device_Configuration'!H134="","",'12 - Device_Configuration'!H134)</f>
        <v>LIJ - OR</v>
      </c>
      <c r="D134" s="28" t="str">
        <f>IF('12 - Device_Configuration'!AE134="","",'12 - Device_Configuration'!AE134)</f>
        <v/>
      </c>
      <c r="E134" s="28" t="str">
        <f>IF('12 - Device_Configuration'!AF134="","",'12 - Device_Configuration'!AF134)</f>
        <v/>
      </c>
      <c r="F134" s="28" t="str">
        <f>IF('12 - Device_Configuration'!AG134="","",'12 - Device_Configuration'!AG134)</f>
        <v/>
      </c>
      <c r="G134" s="28" t="str">
        <f>IF('12 - Device_Configuration'!AH134="","",'12 - Device_Configuration'!AH134)</f>
        <v/>
      </c>
      <c r="H134" s="28" t="str">
        <f>IF('12 - Device_Configuration'!A134="","",'12 - Device_Configuration'!A134)</f>
        <v>Cybernet</v>
      </c>
      <c r="I134" s="28" t="str">
        <f>IF('12 - Device_Configuration'!AI134="","",'12 - Device_Configuration'!AI134)</f>
        <v/>
      </c>
      <c r="J134" s="28" t="str">
        <f>IF('12 - Device_Configuration'!AJ134="","",'12 - Device_Configuration'!AJ134)</f>
        <v/>
      </c>
      <c r="K134" s="28" t="str">
        <f>IF('12 - Device_Configuration'!AA134="","",'12 - Device_Configuration'!AA134)</f>
        <v/>
      </c>
      <c r="L134" s="28" t="str">
        <f>IF('12 - Device_Configuration'!I134="","",'12 - Device_Configuration'!I134)</f>
        <v/>
      </c>
      <c r="M134" s="29"/>
      <c r="N134" s="28" t="str">
        <f>IF('12 - Device_Configuration'!J134="","",'12 - Device_Configuration'!J134)</f>
        <v>Yes</v>
      </c>
      <c r="O134" s="28" t="str">
        <f>IF('12 - Device_Configuration'!K134="","",'12 - Device_Configuration'!K134)</f>
        <v>No</v>
      </c>
      <c r="P134" s="28" t="str">
        <f>IF('12 - Device_Configuration'!L134="","",'12 - Device_Configuration'!L134)</f>
        <v>No</v>
      </c>
      <c r="Q134" s="29"/>
      <c r="R134" s="28" t="str">
        <f>IF('12 - Device_Configuration'!AY134="","",'12 - Device_Configuration'!AY134)</f>
        <v/>
      </c>
      <c r="S134" s="28" t="str">
        <f>IF('12 - Device_Configuration'!AX134="","",'12 - Device_Configuration'!AX134)</f>
        <v/>
      </c>
      <c r="T134" s="28" t="str">
        <f>IF('12 - Device_Configuration'!AV134="","",'12 - Device_Configuration'!AV134)</f>
        <v/>
      </c>
      <c r="U134" s="28" t="str">
        <f>IF('12 - Device_Configuration'!AW134="","",'12 - Device_Configuration'!AW134)</f>
        <v/>
      </c>
      <c r="V134" s="28" t="str">
        <f>IF('12 - Device_Configuration'!BA134="","",'12 - Device_Configuration'!BA134)</f>
        <v/>
      </c>
      <c r="W134" s="28" t="str">
        <f>IF('12 - Device_Configuration'!BC134="","",'12 - Device_Configuration'!BC134)</f>
        <v/>
      </c>
      <c r="X134" s="28" t="str">
        <f>IF('12 - Device_Configuration'!BK134="","",'12 - Device_Configuration'!BK134)</f>
        <v/>
      </c>
      <c r="Y134" s="28" t="str">
        <f>IF('12 - Device_Configuration'!BB134="","",'12 - Device_Configuration'!BB134)</f>
        <v/>
      </c>
      <c r="Z134" s="28" t="str">
        <f>IF('12 - Device_Configuration'!P134="","",'12 - Device_Configuration'!P134)</f>
        <v/>
      </c>
      <c r="AA134" s="28" t="str">
        <f>IF('12 - Device_Configuration'!Q134="","",'12 - Device_Configuration'!Q134)</f>
        <v/>
      </c>
    </row>
    <row r="135" spans="1:27">
      <c r="A135" s="29"/>
      <c r="B135" s="29"/>
      <c r="C135" s="28" t="str">
        <f>IF('12 - Device_Configuration'!H135="","",'12 - Device_Configuration'!H135)</f>
        <v>LIJ - OR</v>
      </c>
      <c r="D135" s="28" t="str">
        <f>IF('12 - Device_Configuration'!AE135="","",'12 - Device_Configuration'!AE135)</f>
        <v/>
      </c>
      <c r="E135" s="28" t="str">
        <f>IF('12 - Device_Configuration'!AF135="","",'12 - Device_Configuration'!AF135)</f>
        <v/>
      </c>
      <c r="F135" s="28" t="str">
        <f>IF('12 - Device_Configuration'!AG135="","",'12 - Device_Configuration'!AG135)</f>
        <v/>
      </c>
      <c r="G135" s="28" t="str">
        <f>IF('12 - Device_Configuration'!AH135="","",'12 - Device_Configuration'!AH135)</f>
        <v/>
      </c>
      <c r="H135" s="28" t="str">
        <f>IF('12 - Device_Configuration'!A135="","",'12 - Device_Configuration'!A135)</f>
        <v>Cybernet</v>
      </c>
      <c r="I135" s="28" t="str">
        <f>IF('12 - Device_Configuration'!AI135="","",'12 - Device_Configuration'!AI135)</f>
        <v/>
      </c>
      <c r="J135" s="28" t="str">
        <f>IF('12 - Device_Configuration'!AJ135="","",'12 - Device_Configuration'!AJ135)</f>
        <v/>
      </c>
      <c r="K135" s="28" t="str">
        <f>IF('12 - Device_Configuration'!AA135="","",'12 - Device_Configuration'!AA135)</f>
        <v/>
      </c>
      <c r="L135" s="28" t="str">
        <f>IF('12 - Device_Configuration'!I135="","",'12 - Device_Configuration'!I135)</f>
        <v/>
      </c>
      <c r="M135" s="29"/>
      <c r="N135" s="28" t="str">
        <f>IF('12 - Device_Configuration'!J135="","",'12 - Device_Configuration'!J135)</f>
        <v>Yes</v>
      </c>
      <c r="O135" s="28" t="str">
        <f>IF('12 - Device_Configuration'!K135="","",'12 - Device_Configuration'!K135)</f>
        <v>No</v>
      </c>
      <c r="P135" s="28" t="str">
        <f>IF('12 - Device_Configuration'!L135="","",'12 - Device_Configuration'!L135)</f>
        <v>No</v>
      </c>
      <c r="Q135" s="29"/>
      <c r="R135" s="28" t="str">
        <f>IF('12 - Device_Configuration'!AY135="","",'12 - Device_Configuration'!AY135)</f>
        <v/>
      </c>
      <c r="S135" s="28" t="str">
        <f>IF('12 - Device_Configuration'!AX135="","",'12 - Device_Configuration'!AX135)</f>
        <v/>
      </c>
      <c r="T135" s="28" t="str">
        <f>IF('12 - Device_Configuration'!AV135="","",'12 - Device_Configuration'!AV135)</f>
        <v/>
      </c>
      <c r="U135" s="28" t="str">
        <f>IF('12 - Device_Configuration'!AW135="","",'12 - Device_Configuration'!AW135)</f>
        <v/>
      </c>
      <c r="V135" s="28" t="str">
        <f>IF('12 - Device_Configuration'!BA135="","",'12 - Device_Configuration'!BA135)</f>
        <v/>
      </c>
      <c r="W135" s="28" t="str">
        <f>IF('12 - Device_Configuration'!BC135="","",'12 - Device_Configuration'!BC135)</f>
        <v/>
      </c>
      <c r="X135" s="28" t="str">
        <f>IF('12 - Device_Configuration'!BK135="","",'12 - Device_Configuration'!BK135)</f>
        <v/>
      </c>
      <c r="Y135" s="28" t="str">
        <f>IF('12 - Device_Configuration'!BB135="","",'12 - Device_Configuration'!BB135)</f>
        <v/>
      </c>
      <c r="Z135" s="28" t="str">
        <f>IF('12 - Device_Configuration'!P135="","",'12 - Device_Configuration'!P135)</f>
        <v/>
      </c>
      <c r="AA135" s="28" t="str">
        <f>IF('12 - Device_Configuration'!Q135="","",'12 - Device_Configuration'!Q135)</f>
        <v/>
      </c>
    </row>
    <row r="136" spans="1:27">
      <c r="A136" s="29"/>
      <c r="B136" s="29"/>
      <c r="C136" s="28" t="str">
        <f>IF('12 - Device_Configuration'!H136="","",'12 - Device_Configuration'!H136)</f>
        <v>LIJ - OR</v>
      </c>
      <c r="D136" s="28" t="str">
        <f>IF('12 - Device_Configuration'!AE136="","",'12 - Device_Configuration'!AE136)</f>
        <v/>
      </c>
      <c r="E136" s="28" t="str">
        <f>IF('12 - Device_Configuration'!AF136="","",'12 - Device_Configuration'!AF136)</f>
        <v/>
      </c>
      <c r="F136" s="28" t="str">
        <f>IF('12 - Device_Configuration'!AG136="","",'12 - Device_Configuration'!AG136)</f>
        <v/>
      </c>
      <c r="G136" s="28" t="str">
        <f>IF('12 - Device_Configuration'!AH136="","",'12 - Device_Configuration'!AH136)</f>
        <v/>
      </c>
      <c r="H136" s="28" t="str">
        <f>IF('12 - Device_Configuration'!A136="","",'12 - Device_Configuration'!A136)</f>
        <v>Cybernet</v>
      </c>
      <c r="I136" s="28" t="str">
        <f>IF('12 - Device_Configuration'!AI136="","",'12 - Device_Configuration'!AI136)</f>
        <v/>
      </c>
      <c r="J136" s="28" t="str">
        <f>IF('12 - Device_Configuration'!AJ136="","",'12 - Device_Configuration'!AJ136)</f>
        <v/>
      </c>
      <c r="K136" s="28" t="str">
        <f>IF('12 - Device_Configuration'!AA136="","",'12 - Device_Configuration'!AA136)</f>
        <v/>
      </c>
      <c r="L136" s="28" t="str">
        <f>IF('12 - Device_Configuration'!I136="","",'12 - Device_Configuration'!I136)</f>
        <v/>
      </c>
      <c r="M136" s="29"/>
      <c r="N136" s="28" t="str">
        <f>IF('12 - Device_Configuration'!J136="","",'12 - Device_Configuration'!J136)</f>
        <v>Yes</v>
      </c>
      <c r="O136" s="28" t="str">
        <f>IF('12 - Device_Configuration'!K136="","",'12 - Device_Configuration'!K136)</f>
        <v>No</v>
      </c>
      <c r="P136" s="28" t="str">
        <f>IF('12 - Device_Configuration'!L136="","",'12 - Device_Configuration'!L136)</f>
        <v>No</v>
      </c>
      <c r="Q136" s="29"/>
      <c r="R136" s="28" t="str">
        <f>IF('12 - Device_Configuration'!AY136="","",'12 - Device_Configuration'!AY136)</f>
        <v/>
      </c>
      <c r="S136" s="28" t="str">
        <f>IF('12 - Device_Configuration'!AX136="","",'12 - Device_Configuration'!AX136)</f>
        <v/>
      </c>
      <c r="T136" s="28" t="str">
        <f>IF('12 - Device_Configuration'!AV136="","",'12 - Device_Configuration'!AV136)</f>
        <v/>
      </c>
      <c r="U136" s="28" t="str">
        <f>IF('12 - Device_Configuration'!AW136="","",'12 - Device_Configuration'!AW136)</f>
        <v/>
      </c>
      <c r="V136" s="28" t="str">
        <f>IF('12 - Device_Configuration'!BA136="","",'12 - Device_Configuration'!BA136)</f>
        <v/>
      </c>
      <c r="W136" s="28" t="str">
        <f>IF('12 - Device_Configuration'!BC136="","",'12 - Device_Configuration'!BC136)</f>
        <v/>
      </c>
      <c r="X136" s="28" t="str">
        <f>IF('12 - Device_Configuration'!BK136="","",'12 - Device_Configuration'!BK136)</f>
        <v/>
      </c>
      <c r="Y136" s="28" t="str">
        <f>IF('12 - Device_Configuration'!BB136="","",'12 - Device_Configuration'!BB136)</f>
        <v/>
      </c>
      <c r="Z136" s="28" t="str">
        <f>IF('12 - Device_Configuration'!P136="","",'12 - Device_Configuration'!P136)</f>
        <v/>
      </c>
      <c r="AA136" s="28" t="str">
        <f>IF('12 - Device_Configuration'!Q136="","",'12 - Device_Configuration'!Q136)</f>
        <v/>
      </c>
    </row>
    <row r="137" spans="1:27">
      <c r="A137" s="29"/>
      <c r="B137" s="29"/>
      <c r="C137" s="28" t="str">
        <f>IF('12 - Device_Configuration'!H137="","",'12 - Device_Configuration'!H137)</f>
        <v>LIJ - OR</v>
      </c>
      <c r="D137" s="28" t="str">
        <f>IF('12 - Device_Configuration'!AE137="","",'12 - Device_Configuration'!AE137)</f>
        <v/>
      </c>
      <c r="E137" s="28" t="str">
        <f>IF('12 - Device_Configuration'!AF137="","",'12 - Device_Configuration'!AF137)</f>
        <v/>
      </c>
      <c r="F137" s="28" t="str">
        <f>IF('12 - Device_Configuration'!AG137="","",'12 - Device_Configuration'!AG137)</f>
        <v/>
      </c>
      <c r="G137" s="28" t="str">
        <f>IF('12 - Device_Configuration'!AH137="","",'12 - Device_Configuration'!AH137)</f>
        <v/>
      </c>
      <c r="H137" s="28" t="str">
        <f>IF('12 - Device_Configuration'!A137="","",'12 - Device_Configuration'!A137)</f>
        <v>Cybernet</v>
      </c>
      <c r="I137" s="28" t="str">
        <f>IF('12 - Device_Configuration'!AI137="","",'12 - Device_Configuration'!AI137)</f>
        <v/>
      </c>
      <c r="J137" s="28" t="str">
        <f>IF('12 - Device_Configuration'!AJ137="","",'12 - Device_Configuration'!AJ137)</f>
        <v/>
      </c>
      <c r="K137" s="28" t="str">
        <f>IF('12 - Device_Configuration'!AA137="","",'12 - Device_Configuration'!AA137)</f>
        <v/>
      </c>
      <c r="L137" s="28" t="str">
        <f>IF('12 - Device_Configuration'!I137="","",'12 - Device_Configuration'!I137)</f>
        <v/>
      </c>
      <c r="M137" s="29"/>
      <c r="N137" s="28" t="str">
        <f>IF('12 - Device_Configuration'!J137="","",'12 - Device_Configuration'!J137)</f>
        <v>Yes</v>
      </c>
      <c r="O137" s="28" t="str">
        <f>IF('12 - Device_Configuration'!K137="","",'12 - Device_Configuration'!K137)</f>
        <v>No</v>
      </c>
      <c r="P137" s="28" t="str">
        <f>IF('12 - Device_Configuration'!L137="","",'12 - Device_Configuration'!L137)</f>
        <v>No</v>
      </c>
      <c r="Q137" s="29"/>
      <c r="R137" s="28" t="str">
        <f>IF('12 - Device_Configuration'!AY137="","",'12 - Device_Configuration'!AY137)</f>
        <v/>
      </c>
      <c r="S137" s="28" t="str">
        <f>IF('12 - Device_Configuration'!AX137="","",'12 - Device_Configuration'!AX137)</f>
        <v/>
      </c>
      <c r="T137" s="28" t="str">
        <f>IF('12 - Device_Configuration'!AV137="","",'12 - Device_Configuration'!AV137)</f>
        <v/>
      </c>
      <c r="U137" s="28" t="str">
        <f>IF('12 - Device_Configuration'!AW137="","",'12 - Device_Configuration'!AW137)</f>
        <v/>
      </c>
      <c r="V137" s="28" t="str">
        <f>IF('12 - Device_Configuration'!BA137="","",'12 - Device_Configuration'!BA137)</f>
        <v/>
      </c>
      <c r="W137" s="28" t="str">
        <f>IF('12 - Device_Configuration'!BC137="","",'12 - Device_Configuration'!BC137)</f>
        <v/>
      </c>
      <c r="X137" s="28" t="str">
        <f>IF('12 - Device_Configuration'!BK137="","",'12 - Device_Configuration'!BK137)</f>
        <v/>
      </c>
      <c r="Y137" s="28" t="str">
        <f>IF('12 - Device_Configuration'!BB137="","",'12 - Device_Configuration'!BB137)</f>
        <v/>
      </c>
      <c r="Z137" s="28" t="str">
        <f>IF('12 - Device_Configuration'!P137="","",'12 - Device_Configuration'!P137)</f>
        <v/>
      </c>
      <c r="AA137" s="28" t="str">
        <f>IF('12 - Device_Configuration'!Q137="","",'12 - Device_Configuration'!Q137)</f>
        <v/>
      </c>
    </row>
    <row r="138" spans="1:27" ht="45">
      <c r="A138" s="29"/>
      <c r="B138" s="29"/>
      <c r="C138" s="28" t="str">
        <f>IF('12 - Device_Configuration'!H139="","",'12 - Device_Configuration'!H139)</f>
        <v>LIJVS</v>
      </c>
      <c r="D138" s="28" t="str">
        <f>IF('12 - Device_Configuration'!AE139="","",'12 - Device_Configuration'!AE139)</f>
        <v>Endoscopy Suite</v>
      </c>
      <c r="E138" s="28" t="str">
        <f>IF('12 - Device_Configuration'!AF139="","",'12 - Device_Configuration'!AF139)</f>
        <v>1-C-2</v>
      </c>
      <c r="F138" s="28" t="str">
        <f>IF('12 - Device_Configuration'!AG139="","",'12 - Device_Configuration'!AG139)</f>
        <v/>
      </c>
      <c r="G138" s="28" t="str">
        <f>IF('12 - Device_Configuration'!AH139="","",'12 - Device_Configuration'!AH139)</f>
        <v/>
      </c>
      <c r="H138" s="28" t="str">
        <f>IF('12 - Device_Configuration'!A139="","",'12 - Device_Configuration'!A139)</f>
        <v>Peripherals</v>
      </c>
      <c r="I138" s="28" t="str">
        <f>IF('12 - Device_Configuration'!AI139="","",'12 - Device_Configuration'!AI139)</f>
        <v>Mindray A5 - EJ-57023077</v>
      </c>
      <c r="J138" s="28" t="str">
        <f>IF('12 - Device_Configuration'!AJ139="","",'12 - Device_Configuration'!AJ139)</f>
        <v/>
      </c>
      <c r="K138" s="28" t="str">
        <f>IF('12 - Device_Configuration'!AA139="","",'12 - Device_Configuration'!AA139)</f>
        <v>Anesthesia Machine</v>
      </c>
      <c r="L138" s="28" t="str">
        <f>IF('12 - Device_Configuration'!I139="","",'12 - Device_Configuration'!I139)</f>
        <v/>
      </c>
      <c r="M138" s="29"/>
      <c r="N138" s="28" t="str">
        <f>IF('12 - Device_Configuration'!J139="","",'12 - Device_Configuration'!J139)</f>
        <v/>
      </c>
      <c r="O138" s="28" t="str">
        <f>IF('12 - Device_Configuration'!K139="","",'12 - Device_Configuration'!K139)</f>
        <v/>
      </c>
      <c r="P138" s="28" t="str">
        <f>IF('12 - Device_Configuration'!L139="","",'12 - Device_Configuration'!L139)</f>
        <v/>
      </c>
      <c r="Q138" s="29"/>
      <c r="R138" s="28" t="str">
        <f>IF('12 - Device_Configuration'!AY139="","",'12 - Device_Configuration'!AY139)</f>
        <v/>
      </c>
      <c r="S138" s="28" t="str">
        <f>IF('12 - Device_Configuration'!AX139="","",'12 - Device_Configuration'!AX139)</f>
        <v/>
      </c>
      <c r="T138" s="28" t="str">
        <f>IF('12 - Device_Configuration'!AV139="","",'12 - Device_Configuration'!AV139)</f>
        <v/>
      </c>
      <c r="U138" s="28" t="str">
        <f>IF('12 - Device_Configuration'!AW139="","",'12 - Device_Configuration'!AW139)</f>
        <v/>
      </c>
      <c r="V138" s="28" t="str">
        <f>IF('12 - Device_Configuration'!BA139="","",'12 - Device_Configuration'!BA139)</f>
        <v>Yes</v>
      </c>
      <c r="W138" s="28" t="str">
        <f>IF('12 - Device_Configuration'!BC139="","",'12 - Device_Configuration'!BC139)</f>
        <v/>
      </c>
      <c r="X138" s="28" t="str">
        <f>IF('12 - Device_Configuration'!BK139="","",'12 - Device_Configuration'!BK139)</f>
        <v>Power Cable, Battery, Firmware Download, Device ID, Epic Beans Relay</v>
      </c>
      <c r="Y138" s="28" t="str">
        <f>IF('12 - Device_Configuration'!BB139="","",'12 - Device_Configuration'!BB139)</f>
        <v>ran AL</v>
      </c>
      <c r="Z138" s="28" t="str">
        <f>IF('12 - Device_Configuration'!P139="","",'12 - Device_Configuration'!P139)</f>
        <v/>
      </c>
      <c r="AA138" s="28" t="str">
        <f>IF('12 - Device_Configuration'!Q139="","",'12 - Device_Configuration'!Q139)</f>
        <v/>
      </c>
    </row>
    <row r="139" spans="1:27" ht="45">
      <c r="A139" s="29"/>
      <c r="B139" s="29"/>
      <c r="C139" s="28" t="str">
        <f>IF('12 - Device_Configuration'!H140="","",'12 - Device_Configuration'!H140)</f>
        <v>LIJVS</v>
      </c>
      <c r="D139" s="28" t="str">
        <f>IF('12 - Device_Configuration'!AE140="","",'12 - Device_Configuration'!AE140)</f>
        <v>OR</v>
      </c>
      <c r="E139" s="28" t="str">
        <f>IF('12 - Device_Configuration'!AF140="","",'12 - Device_Configuration'!AF140)</f>
        <v>OR 7</v>
      </c>
      <c r="F139" s="28" t="str">
        <f>IF('12 - Device_Configuration'!AG140="","",'12 - Device_Configuration'!AG140)</f>
        <v/>
      </c>
      <c r="G139" s="28" t="str">
        <f>IF('12 - Device_Configuration'!AH140="","",'12 - Device_Configuration'!AH140)</f>
        <v/>
      </c>
      <c r="H139" s="28" t="str">
        <f>IF('12 - Device_Configuration'!A140="","",'12 - Device_Configuration'!A140)</f>
        <v>Peripherals</v>
      </c>
      <c r="I139" s="28" t="str">
        <f>IF('12 - Device_Configuration'!AI140="","",'12 - Device_Configuration'!AI140)</f>
        <v>Drager Apollo</v>
      </c>
      <c r="J139" s="28" t="str">
        <f>IF('12 - Device_Configuration'!AJ140="","",'12 - Device_Configuration'!AJ140)</f>
        <v/>
      </c>
      <c r="K139" s="28" t="str">
        <f>IF('12 - Device_Configuration'!AA140="","",'12 - Device_Configuration'!AA140)</f>
        <v>Anesthesia Machine</v>
      </c>
      <c r="L139" s="28" t="str">
        <f>IF('12 - Device_Configuration'!I140="","",'12 - Device_Configuration'!I140)</f>
        <v/>
      </c>
      <c r="M139" s="29"/>
      <c r="N139" s="28" t="str">
        <f>IF('12 - Device_Configuration'!J140="","",'12 - Device_Configuration'!J140)</f>
        <v/>
      </c>
      <c r="O139" s="28" t="str">
        <f>IF('12 - Device_Configuration'!K140="","",'12 - Device_Configuration'!K140)</f>
        <v/>
      </c>
      <c r="P139" s="28" t="str">
        <f>IF('12 - Device_Configuration'!L140="","",'12 - Device_Configuration'!L140)</f>
        <v/>
      </c>
      <c r="Q139" s="29"/>
      <c r="R139" s="28" t="str">
        <f>IF('12 - Device_Configuration'!AY140="","",'12 - Device_Configuration'!AY140)</f>
        <v/>
      </c>
      <c r="S139" s="28" t="str">
        <f>IF('12 - Device_Configuration'!AX140="","",'12 - Device_Configuration'!AX140)</f>
        <v/>
      </c>
      <c r="T139" s="28" t="str">
        <f>IF('12 - Device_Configuration'!AV140="","",'12 - Device_Configuration'!AV140)</f>
        <v/>
      </c>
      <c r="U139" s="28" t="str">
        <f>IF('12 - Device_Configuration'!AW140="","",'12 - Device_Configuration'!AW140)</f>
        <v/>
      </c>
      <c r="V139" s="28" t="str">
        <f>IF('12 - Device_Configuration'!BA140="","",'12 - Device_Configuration'!BA140)</f>
        <v>Yes</v>
      </c>
      <c r="W139" s="28" t="str">
        <f>IF('12 - Device_Configuration'!BC140="","",'12 - Device_Configuration'!BC140)</f>
        <v/>
      </c>
      <c r="X139" s="28" t="str">
        <f>IF('12 - Device_Configuration'!BK140="","",'12 - Device_Configuration'!BK140)</f>
        <v>Power Cable, Battery, Firmware Download, Device ID, Epic Beans Relay</v>
      </c>
      <c r="Y139" s="28" t="str">
        <f>IF('12 - Device_Configuration'!BB140="","",'12 - Device_Configuration'!BB140)</f>
        <v>ran AL</v>
      </c>
      <c r="Z139" s="28" t="str">
        <f>IF('12 - Device_Configuration'!P140="","",'12 - Device_Configuration'!P140)</f>
        <v/>
      </c>
      <c r="AA139" s="28" t="str">
        <f>IF('12 - Device_Configuration'!Q140="","",'12 - Device_Configuration'!Q140)</f>
        <v/>
      </c>
    </row>
    <row r="140" spans="1:27" ht="45">
      <c r="A140" s="29"/>
      <c r="B140" s="29"/>
      <c r="C140" s="28" t="str">
        <f>IF('12 - Device_Configuration'!H141="","",'12 - Device_Configuration'!H141)</f>
        <v>LIJVS</v>
      </c>
      <c r="D140" s="28" t="str">
        <f>IF('12 - Device_Configuration'!AE141="","",'12 - Device_Configuration'!AE141)</f>
        <v>OR</v>
      </c>
      <c r="E140" s="28" t="str">
        <f>IF('12 - Device_Configuration'!AF141="","",'12 - Device_Configuration'!AF141)</f>
        <v>OR 1</v>
      </c>
      <c r="F140" s="28" t="str">
        <f>IF('12 - Device_Configuration'!AG141="","",'12 - Device_Configuration'!AG141)</f>
        <v/>
      </c>
      <c r="G140" s="28" t="str">
        <f>IF('12 - Device_Configuration'!AH141="","",'12 - Device_Configuration'!AH141)</f>
        <v/>
      </c>
      <c r="H140" s="28" t="str">
        <f>IF('12 - Device_Configuration'!A141="","",'12 - Device_Configuration'!A141)</f>
        <v>Peripherals</v>
      </c>
      <c r="I140" s="28" t="str">
        <f>IF('12 - Device_Configuration'!AI141="","",'12 - Device_Configuration'!AI141)</f>
        <v>Drager Apollo</v>
      </c>
      <c r="J140" s="28" t="str">
        <f>IF('12 - Device_Configuration'!AJ141="","",'12 - Device_Configuration'!AJ141)</f>
        <v/>
      </c>
      <c r="K140" s="28" t="str">
        <f>IF('12 - Device_Configuration'!AA141="","",'12 - Device_Configuration'!AA141)</f>
        <v>Anesthesia Machine</v>
      </c>
      <c r="L140" s="28" t="str">
        <f>IF('12 - Device_Configuration'!I141="","",'12 - Device_Configuration'!I141)</f>
        <v/>
      </c>
      <c r="M140" s="29"/>
      <c r="N140" s="28" t="str">
        <f>IF('12 - Device_Configuration'!J141="","",'12 - Device_Configuration'!J141)</f>
        <v/>
      </c>
      <c r="O140" s="28" t="str">
        <f>IF('12 - Device_Configuration'!K141="","",'12 - Device_Configuration'!K141)</f>
        <v/>
      </c>
      <c r="P140" s="28" t="str">
        <f>IF('12 - Device_Configuration'!L141="","",'12 - Device_Configuration'!L141)</f>
        <v/>
      </c>
      <c r="Q140" s="29"/>
      <c r="R140" s="28" t="str">
        <f>IF('12 - Device_Configuration'!AY141="","",'12 - Device_Configuration'!AY141)</f>
        <v/>
      </c>
      <c r="S140" s="28" t="str">
        <f>IF('12 - Device_Configuration'!AX141="","",'12 - Device_Configuration'!AX141)</f>
        <v/>
      </c>
      <c r="T140" s="28" t="str">
        <f>IF('12 - Device_Configuration'!AV141="","",'12 - Device_Configuration'!AV141)</f>
        <v/>
      </c>
      <c r="U140" s="28" t="str">
        <f>IF('12 - Device_Configuration'!AW141="","",'12 - Device_Configuration'!AW141)</f>
        <v/>
      </c>
      <c r="V140" s="28" t="str">
        <f>IF('12 - Device_Configuration'!BA141="","",'12 - Device_Configuration'!BA141)</f>
        <v>Yes</v>
      </c>
      <c r="W140" s="28" t="str">
        <f>IF('12 - Device_Configuration'!BC141="","",'12 - Device_Configuration'!BC141)</f>
        <v/>
      </c>
      <c r="X140" s="28" t="str">
        <f>IF('12 - Device_Configuration'!BK141="","",'12 - Device_Configuration'!BK141)</f>
        <v>Power Cable, Battery, Firmware Download, Device ID, Epic Beans Relay</v>
      </c>
      <c r="Y140" s="28" t="str">
        <f>IF('12 - Device_Configuration'!BB141="","",'12 - Device_Configuration'!BB141)</f>
        <v>ALREADY HAD A BADGE SCANNER INSTALLED / RAN AL</v>
      </c>
      <c r="Z140" s="28" t="str">
        <f>IF('12 - Device_Configuration'!P141="","",'12 - Device_Configuration'!P141)</f>
        <v/>
      </c>
      <c r="AA140" s="28" t="str">
        <f>IF('12 - Device_Configuration'!Q141="","",'12 - Device_Configuration'!Q141)</f>
        <v/>
      </c>
    </row>
    <row r="141" spans="1:27" ht="75">
      <c r="A141" s="29"/>
      <c r="B141" s="29"/>
      <c r="C141" s="28" t="str">
        <f>IF('12 - Device_Configuration'!H142="","",'12 - Device_Configuration'!H142)</f>
        <v>LIJVS</v>
      </c>
      <c r="D141" s="28" t="str">
        <f>IF('12 - Device_Configuration'!AE142="","",'12 - Device_Configuration'!AE142)</f>
        <v>OR</v>
      </c>
      <c r="E141" s="28" t="str">
        <f>IF('12 - Device_Configuration'!AF142="","",'12 - Device_Configuration'!AF142)</f>
        <v>OR 2</v>
      </c>
      <c r="F141" s="28" t="str">
        <f>IF('12 - Device_Configuration'!AG142="","",'12 - Device_Configuration'!AG142)</f>
        <v/>
      </c>
      <c r="G141" s="28" t="str">
        <f>IF('12 - Device_Configuration'!AH142="","",'12 - Device_Configuration'!AH142)</f>
        <v/>
      </c>
      <c r="H141" s="28" t="str">
        <f>IF('12 - Device_Configuration'!A142="","",'12 - Device_Configuration'!A142)</f>
        <v>Peripherals</v>
      </c>
      <c r="I141" s="28" t="str">
        <f>IF('12 - Device_Configuration'!AI142="","",'12 - Device_Configuration'!AI142)</f>
        <v>Drager Atlan</v>
      </c>
      <c r="J141" s="28" t="str">
        <f>IF('12 - Device_Configuration'!AJ142="","",'12 - Device_Configuration'!AJ142)</f>
        <v/>
      </c>
      <c r="K141" s="28" t="str">
        <f>IF('12 - Device_Configuration'!AA142="","",'12 - Device_Configuration'!AA142)</f>
        <v>Anesthesia Machine</v>
      </c>
      <c r="L141" s="28" t="str">
        <f>IF('12 - Device_Configuration'!I142="","",'12 - Device_Configuration'!I142)</f>
        <v/>
      </c>
      <c r="M141" s="29"/>
      <c r="N141" s="28" t="str">
        <f>IF('12 - Device_Configuration'!J142="","",'12 - Device_Configuration'!J142)</f>
        <v/>
      </c>
      <c r="O141" s="28" t="str">
        <f>IF('12 - Device_Configuration'!K142="","",'12 - Device_Configuration'!K142)</f>
        <v/>
      </c>
      <c r="P141" s="28" t="str">
        <f>IF('12 - Device_Configuration'!L142="","",'12 - Device_Configuration'!L142)</f>
        <v/>
      </c>
      <c r="Q141" s="29"/>
      <c r="R141" s="28" t="str">
        <f>IF('12 - Device_Configuration'!AY142="","",'12 - Device_Configuration'!AY142)</f>
        <v/>
      </c>
      <c r="S141" s="28" t="str">
        <f>IF('12 - Device_Configuration'!AX142="","",'12 - Device_Configuration'!AX142)</f>
        <v/>
      </c>
      <c r="T141" s="28" t="str">
        <f>IF('12 - Device_Configuration'!AV142="","",'12 - Device_Configuration'!AV142)</f>
        <v/>
      </c>
      <c r="U141" s="28" t="str">
        <f>IF('12 - Device_Configuration'!AW142="","",'12 - Device_Configuration'!AW142)</f>
        <v/>
      </c>
      <c r="V141" s="28" t="str">
        <f>IF('12 - Device_Configuration'!BA142="","",'12 - Device_Configuration'!BA142)</f>
        <v>Yes</v>
      </c>
      <c r="W141" s="28" t="str">
        <f>IF('12 - Device_Configuration'!BC142="","",'12 - Device_Configuration'!BC142)</f>
        <v/>
      </c>
      <c r="X141" s="28" t="str">
        <f>IF('12 - Device_Configuration'!BK142="","",'12 - Device_Configuration'!BK142)</f>
        <v>Power Cable, Battery, Firmware Download, Device ID, Epic Beans Relay</v>
      </c>
      <c r="Y141" s="28" t="str">
        <f>IF('12 - Device_Configuration'!BB142="","",'12 - Device_Configuration'!BB142)</f>
        <v>ALREADY HAD A BADGE SCANNER INSTALLED / imprivata installed, so cant run  AL / DIDNT PROGRAM SCANNER</v>
      </c>
      <c r="Z141" s="28" t="str">
        <f>IF('12 - Device_Configuration'!P142="","",'12 - Device_Configuration'!P142)</f>
        <v/>
      </c>
      <c r="AA141" s="28" t="str">
        <f>IF('12 - Device_Configuration'!Q142="","",'12 - Device_Configuration'!Q142)</f>
        <v/>
      </c>
    </row>
    <row r="142" spans="1:27" ht="45">
      <c r="A142" s="29"/>
      <c r="B142" s="29"/>
      <c r="C142" s="28" t="str">
        <f>IF('12 - Device_Configuration'!H143="","",'12 - Device_Configuration'!H143)</f>
        <v>LIJVS</v>
      </c>
      <c r="D142" s="28" t="str">
        <f>IF('12 - Device_Configuration'!AE143="","",'12 - Device_Configuration'!AE143)</f>
        <v>OR</v>
      </c>
      <c r="E142" s="28" t="str">
        <f>IF('12 - Device_Configuration'!AF143="","",'12 - Device_Configuration'!AF143)</f>
        <v>OR 5</v>
      </c>
      <c r="F142" s="28" t="str">
        <f>IF('12 - Device_Configuration'!AG143="","",'12 - Device_Configuration'!AG143)</f>
        <v/>
      </c>
      <c r="G142" s="28" t="str">
        <f>IF('12 - Device_Configuration'!AH143="","",'12 - Device_Configuration'!AH143)</f>
        <v/>
      </c>
      <c r="H142" s="28" t="str">
        <f>IF('12 - Device_Configuration'!A143="","",'12 - Device_Configuration'!A143)</f>
        <v>Peripherals</v>
      </c>
      <c r="I142" s="28" t="str">
        <f>IF('12 - Device_Configuration'!AI143="","",'12 - Device_Configuration'!AI143)</f>
        <v>Drager Atlan</v>
      </c>
      <c r="J142" s="28" t="str">
        <f>IF('12 - Device_Configuration'!AJ143="","",'12 - Device_Configuration'!AJ143)</f>
        <v/>
      </c>
      <c r="K142" s="28" t="str">
        <f>IF('12 - Device_Configuration'!AA143="","",'12 - Device_Configuration'!AA143)</f>
        <v>Anesthesia Machine</v>
      </c>
      <c r="L142" s="28" t="str">
        <f>IF('12 - Device_Configuration'!I143="","",'12 - Device_Configuration'!I143)</f>
        <v/>
      </c>
      <c r="M142" s="29"/>
      <c r="N142" s="28" t="str">
        <f>IF('12 - Device_Configuration'!J143="","",'12 - Device_Configuration'!J143)</f>
        <v/>
      </c>
      <c r="O142" s="28" t="str">
        <f>IF('12 - Device_Configuration'!K143="","",'12 - Device_Configuration'!K143)</f>
        <v/>
      </c>
      <c r="P142" s="28" t="str">
        <f>IF('12 - Device_Configuration'!L143="","",'12 - Device_Configuration'!L143)</f>
        <v/>
      </c>
      <c r="Q142" s="29"/>
      <c r="R142" s="28" t="str">
        <f>IF('12 - Device_Configuration'!AY143="","",'12 - Device_Configuration'!AY143)</f>
        <v/>
      </c>
      <c r="S142" s="28" t="str">
        <f>IF('12 - Device_Configuration'!AX143="","",'12 - Device_Configuration'!AX143)</f>
        <v/>
      </c>
      <c r="T142" s="28" t="str">
        <f>IF('12 - Device_Configuration'!AV143="","",'12 - Device_Configuration'!AV143)</f>
        <v/>
      </c>
      <c r="U142" s="28" t="str">
        <f>IF('12 - Device_Configuration'!AW143="","",'12 - Device_Configuration'!AW143)</f>
        <v/>
      </c>
      <c r="V142" s="28" t="str">
        <f>IF('12 - Device_Configuration'!BA143="","",'12 - Device_Configuration'!BA143)</f>
        <v>Yes</v>
      </c>
      <c r="W142" s="28" t="str">
        <f>IF('12 - Device_Configuration'!BC143="","",'12 - Device_Configuration'!BC143)</f>
        <v/>
      </c>
      <c r="X142" s="28" t="str">
        <f>IF('12 - Device_Configuration'!BK143="","",'12 - Device_Configuration'!BK143)</f>
        <v>Power Cable, Battery, Firmware Download, Device ID, Epic Beans Relay</v>
      </c>
      <c r="Y142" s="28" t="str">
        <f>IF('12 - Device_Configuration'!BB143="","",'12 - Device_Configuration'!BB143)</f>
        <v>RAN AL / DIDNT PROGRAM SCANNER</v>
      </c>
      <c r="Z142" s="28" t="str">
        <f>IF('12 - Device_Configuration'!P143="","",'12 - Device_Configuration'!P143)</f>
        <v/>
      </c>
      <c r="AA142" s="28" t="str">
        <f>IF('12 - Device_Configuration'!Q143="","",'12 - Device_Configuration'!Q143)</f>
        <v/>
      </c>
    </row>
    <row r="143" spans="1:27" ht="45">
      <c r="A143" s="29"/>
      <c r="B143" s="29"/>
      <c r="C143" s="28" t="str">
        <f>IF('12 - Device_Configuration'!H144="","",'12 - Device_Configuration'!H144)</f>
        <v>LIJVS</v>
      </c>
      <c r="D143" s="28" t="str">
        <f>IF('12 - Device_Configuration'!AE144="","",'12 - Device_Configuration'!AE144)</f>
        <v>OR</v>
      </c>
      <c r="E143" s="28" t="str">
        <f>IF('12 - Device_Configuration'!AF144="","",'12 - Device_Configuration'!AF144)</f>
        <v>OR 6</v>
      </c>
      <c r="F143" s="28" t="str">
        <f>IF('12 - Device_Configuration'!AG144="","",'12 - Device_Configuration'!AG144)</f>
        <v/>
      </c>
      <c r="G143" s="28" t="str">
        <f>IF('12 - Device_Configuration'!AH144="","",'12 - Device_Configuration'!AH144)</f>
        <v/>
      </c>
      <c r="H143" s="28" t="str">
        <f>IF('12 - Device_Configuration'!A144="","",'12 - Device_Configuration'!A144)</f>
        <v>Peripherals</v>
      </c>
      <c r="I143" s="28" t="str">
        <f>IF('12 - Device_Configuration'!AI144="","",'12 - Device_Configuration'!AI144)</f>
        <v>MINDRAY A5</v>
      </c>
      <c r="J143" s="28" t="str">
        <f>IF('12 - Device_Configuration'!AJ144="","",'12 - Device_Configuration'!AJ144)</f>
        <v/>
      </c>
      <c r="K143" s="28" t="str">
        <f>IF('12 - Device_Configuration'!AA144="","",'12 - Device_Configuration'!AA144)</f>
        <v>Anesthesia Machine</v>
      </c>
      <c r="L143" s="28" t="str">
        <f>IF('12 - Device_Configuration'!I144="","",'12 - Device_Configuration'!I144)</f>
        <v/>
      </c>
      <c r="M143" s="29"/>
      <c r="N143" s="28" t="str">
        <f>IF('12 - Device_Configuration'!J144="","",'12 - Device_Configuration'!J144)</f>
        <v/>
      </c>
      <c r="O143" s="28" t="str">
        <f>IF('12 - Device_Configuration'!K144="","",'12 - Device_Configuration'!K144)</f>
        <v/>
      </c>
      <c r="P143" s="28" t="str">
        <f>IF('12 - Device_Configuration'!L144="","",'12 - Device_Configuration'!L144)</f>
        <v/>
      </c>
      <c r="Q143" s="29"/>
      <c r="R143" s="28" t="str">
        <f>IF('12 - Device_Configuration'!AY144="","",'12 - Device_Configuration'!AY144)</f>
        <v/>
      </c>
      <c r="S143" s="28" t="str">
        <f>IF('12 - Device_Configuration'!AX144="","",'12 - Device_Configuration'!AX144)</f>
        <v/>
      </c>
      <c r="T143" s="28" t="str">
        <f>IF('12 - Device_Configuration'!AV144="","",'12 - Device_Configuration'!AV144)</f>
        <v/>
      </c>
      <c r="U143" s="28" t="str">
        <f>IF('12 - Device_Configuration'!AW144="","",'12 - Device_Configuration'!AW144)</f>
        <v/>
      </c>
      <c r="V143" s="28" t="str">
        <f>IF('12 - Device_Configuration'!BA144="","",'12 - Device_Configuration'!BA144)</f>
        <v>Yes</v>
      </c>
      <c r="W143" s="28" t="str">
        <f>IF('12 - Device_Configuration'!BC144="","",'12 - Device_Configuration'!BC144)</f>
        <v/>
      </c>
      <c r="X143" s="28" t="str">
        <f>IF('12 - Device_Configuration'!BK144="","",'12 - Device_Configuration'!BK144)</f>
        <v>Power Cable, Battery, Firmware Download, Device ID, Epic Beans Relay</v>
      </c>
      <c r="Y143" s="28" t="str">
        <f>IF('12 - Device_Configuration'!BB144="","",'12 - Device_Configuration'!BB144)</f>
        <v>ALREADY HAS BADGE SCANNER / SCANNER PROGRAMMED / RAN AL</v>
      </c>
      <c r="Z143" s="28" t="str">
        <f>IF('12 - Device_Configuration'!P144="","",'12 - Device_Configuration'!P144)</f>
        <v/>
      </c>
      <c r="AA143" s="28" t="str">
        <f>IF('12 - Device_Configuration'!Q144="","",'12 - Device_Configuration'!Q144)</f>
        <v/>
      </c>
    </row>
    <row r="144" spans="1:27" ht="45">
      <c r="A144" s="29"/>
      <c r="B144" s="29"/>
      <c r="C144" s="28" t="str">
        <f>IF('12 - Device_Configuration'!H145="","",'12 - Device_Configuration'!H145)</f>
        <v>LIJVS</v>
      </c>
      <c r="D144" s="28" t="str">
        <f>IF('12 - Device_Configuration'!AE145="","",'12 - Device_Configuration'!AE145)</f>
        <v>OR</v>
      </c>
      <c r="E144" s="28" t="str">
        <f>IF('12 - Device_Configuration'!AF145="","",'12 - Device_Configuration'!AF145)</f>
        <v>OR 3</v>
      </c>
      <c r="F144" s="28" t="str">
        <f>IF('12 - Device_Configuration'!AG145="","",'12 - Device_Configuration'!AG145)</f>
        <v/>
      </c>
      <c r="G144" s="28" t="str">
        <f>IF('12 - Device_Configuration'!AH145="","",'12 - Device_Configuration'!AH145)</f>
        <v/>
      </c>
      <c r="H144" s="28" t="str">
        <f>IF('12 - Device_Configuration'!A145="","",'12 - Device_Configuration'!A145)</f>
        <v>Peripherals</v>
      </c>
      <c r="I144" s="28" t="str">
        <f>IF('12 - Device_Configuration'!AI145="","",'12 - Device_Configuration'!AI145)</f>
        <v>Drager Apollo</v>
      </c>
      <c r="J144" s="28" t="str">
        <f>IF('12 - Device_Configuration'!AJ145="","",'12 - Device_Configuration'!AJ145)</f>
        <v/>
      </c>
      <c r="K144" s="28" t="str">
        <f>IF('12 - Device_Configuration'!AA145="","",'12 - Device_Configuration'!AA145)</f>
        <v>Anesthesia Machine</v>
      </c>
      <c r="L144" s="28" t="str">
        <f>IF('12 - Device_Configuration'!I145="","",'12 - Device_Configuration'!I145)</f>
        <v/>
      </c>
      <c r="M144" s="29"/>
      <c r="N144" s="28" t="str">
        <f>IF('12 - Device_Configuration'!J145="","",'12 - Device_Configuration'!J145)</f>
        <v/>
      </c>
      <c r="O144" s="28" t="str">
        <f>IF('12 - Device_Configuration'!K145="","",'12 - Device_Configuration'!K145)</f>
        <v/>
      </c>
      <c r="P144" s="28" t="str">
        <f>IF('12 - Device_Configuration'!L145="","",'12 - Device_Configuration'!L145)</f>
        <v/>
      </c>
      <c r="Q144" s="29"/>
      <c r="R144" s="28" t="str">
        <f>IF('12 - Device_Configuration'!AY145="","",'12 - Device_Configuration'!AY145)</f>
        <v/>
      </c>
      <c r="S144" s="28" t="str">
        <f>IF('12 - Device_Configuration'!AX145="","",'12 - Device_Configuration'!AX145)</f>
        <v/>
      </c>
      <c r="T144" s="28" t="str">
        <f>IF('12 - Device_Configuration'!AV145="","",'12 - Device_Configuration'!AV145)</f>
        <v/>
      </c>
      <c r="U144" s="28" t="str">
        <f>IF('12 - Device_Configuration'!AW145="","",'12 - Device_Configuration'!AW145)</f>
        <v/>
      </c>
      <c r="V144" s="28" t="str">
        <f>IF('12 - Device_Configuration'!BA145="","",'12 - Device_Configuration'!BA145)</f>
        <v>Yes</v>
      </c>
      <c r="W144" s="28" t="str">
        <f>IF('12 - Device_Configuration'!BC145="","",'12 - Device_Configuration'!BC145)</f>
        <v/>
      </c>
      <c r="X144" s="28" t="str">
        <f>IF('12 - Device_Configuration'!BK145="","",'12 - Device_Configuration'!BK145)</f>
        <v>Power Cable, Battery, Firmware Download, Device ID, Epic Beans Relay</v>
      </c>
      <c r="Y144" s="28" t="str">
        <f>IF('12 - Device_Configuration'!BB145="","",'12 - Device_Configuration'!BB145)</f>
        <v>RAN AL / DIDNT PROGRAM SCANNER</v>
      </c>
      <c r="Z144" s="28" t="str">
        <f>IF('12 - Device_Configuration'!P145="","",'12 - Device_Configuration'!P145)</f>
        <v/>
      </c>
      <c r="AA144" s="28" t="str">
        <f>IF('12 - Device_Configuration'!Q145="","",'12 - Device_Configuration'!Q145)</f>
        <v/>
      </c>
    </row>
    <row r="145" spans="1:27" ht="30">
      <c r="A145" s="29"/>
      <c r="B145" s="29"/>
      <c r="C145" s="28" t="str">
        <f>IF('12 - Device_Configuration'!H146="","",'12 - Device_Configuration'!H146)</f>
        <v>LIJVS</v>
      </c>
      <c r="D145" s="28" t="str">
        <f>IF('12 - Device_Configuration'!AE146="","",'12 - Device_Configuration'!AE146)</f>
        <v/>
      </c>
      <c r="E145" s="28" t="str">
        <f>IF('12 - Device_Configuration'!AF146="","",'12 - Device_Configuration'!AF146)</f>
        <v/>
      </c>
      <c r="F145" s="28" t="str">
        <f>IF('12 - Device_Configuration'!AG146="","",'12 - Device_Configuration'!AG146)</f>
        <v/>
      </c>
      <c r="G145" s="28" t="str">
        <f>IF('12 - Device_Configuration'!AH146="","",'12 - Device_Configuration'!AH146)</f>
        <v/>
      </c>
      <c r="H145" s="28" t="str">
        <f>IF('12 - Device_Configuration'!A146="","",'12 - Device_Configuration'!A146)</f>
        <v>Peripherals</v>
      </c>
      <c r="I145" s="28" t="str">
        <f>IF('12 - Device_Configuration'!AI146="","",'12 - Device_Configuration'!AI146)</f>
        <v/>
      </c>
      <c r="J145" s="28" t="str">
        <f>IF('12 - Device_Configuration'!AJ146="","",'12 - Device_Configuration'!AJ146)</f>
        <v/>
      </c>
      <c r="K145" s="28" t="str">
        <f>IF('12 - Device_Configuration'!AA146="","",'12 - Device_Configuration'!AA146)</f>
        <v>Anesthesia Machine</v>
      </c>
      <c r="L145" s="28" t="str">
        <f>IF('12 - Device_Configuration'!I146="","",'12 - Device_Configuration'!I146)</f>
        <v/>
      </c>
      <c r="M145" s="29"/>
      <c r="N145" s="28" t="str">
        <f>IF('12 - Device_Configuration'!J146="","",'12 - Device_Configuration'!J146)</f>
        <v/>
      </c>
      <c r="O145" s="28" t="str">
        <f>IF('12 - Device_Configuration'!K146="","",'12 - Device_Configuration'!K146)</f>
        <v/>
      </c>
      <c r="P145" s="28" t="str">
        <f>IF('12 - Device_Configuration'!L146="","",'12 - Device_Configuration'!L146)</f>
        <v/>
      </c>
      <c r="Q145" s="29"/>
      <c r="R145" s="28" t="str">
        <f>IF('12 - Device_Configuration'!AY146="","",'12 - Device_Configuration'!AY146)</f>
        <v/>
      </c>
      <c r="S145" s="28" t="str">
        <f>IF('12 - Device_Configuration'!AX146="","",'12 - Device_Configuration'!AX146)</f>
        <v/>
      </c>
      <c r="T145" s="28" t="str">
        <f>IF('12 - Device_Configuration'!AV146="","",'12 - Device_Configuration'!AV146)</f>
        <v/>
      </c>
      <c r="U145" s="28" t="str">
        <f>IF('12 - Device_Configuration'!AW146="","",'12 - Device_Configuration'!AW146)</f>
        <v/>
      </c>
      <c r="V145" s="28" t="str">
        <f>IF('12 - Device_Configuration'!BA146="","",'12 - Device_Configuration'!BA146)</f>
        <v>Yes</v>
      </c>
      <c r="W145" s="28" t="str">
        <f>IF('12 - Device_Configuration'!BC146="","",'12 - Device_Configuration'!BC146)</f>
        <v/>
      </c>
      <c r="X145" s="28" t="str">
        <f>IF('12 - Device_Configuration'!BK146="","",'12 - Device_Configuration'!BK146)</f>
        <v/>
      </c>
      <c r="Y145" s="28" t="str">
        <f>IF('12 - Device_Configuration'!BB146="","",'12 - Device_Configuration'!BB146)</f>
        <v/>
      </c>
      <c r="Z145" s="28" t="str">
        <f>IF('12 - Device_Configuration'!P146="","",'12 - Device_Configuration'!P146)</f>
        <v/>
      </c>
      <c r="AA145" s="28" t="str">
        <f>IF('12 - Device_Configuration'!Q146="","",'12 - Device_Configuration'!Q146)</f>
        <v/>
      </c>
    </row>
    <row r="146" spans="1:27" ht="30">
      <c r="A146" s="29"/>
      <c r="B146" s="29"/>
      <c r="C146" s="28" t="str">
        <f>IF('12 - Device_Configuration'!H147="","",'12 - Device_Configuration'!H147)</f>
        <v>LIJVS</v>
      </c>
      <c r="D146" s="28" t="str">
        <f>IF('12 - Device_Configuration'!AE147="","",'12 - Device_Configuration'!AE147)</f>
        <v/>
      </c>
      <c r="E146" s="28" t="str">
        <f>IF('12 - Device_Configuration'!AF147="","",'12 - Device_Configuration'!AF147)</f>
        <v/>
      </c>
      <c r="F146" s="28" t="str">
        <f>IF('12 - Device_Configuration'!AG147="","",'12 - Device_Configuration'!AG147)</f>
        <v/>
      </c>
      <c r="G146" s="28" t="str">
        <f>IF('12 - Device_Configuration'!AH147="","",'12 - Device_Configuration'!AH147)</f>
        <v/>
      </c>
      <c r="H146" s="28" t="str">
        <f>IF('12 - Device_Configuration'!A147="","",'12 - Device_Configuration'!A147)</f>
        <v>Peripherals</v>
      </c>
      <c r="I146" s="28" t="str">
        <f>IF('12 - Device_Configuration'!AI147="","",'12 - Device_Configuration'!AI147)</f>
        <v/>
      </c>
      <c r="J146" s="28" t="str">
        <f>IF('12 - Device_Configuration'!AJ147="","",'12 - Device_Configuration'!AJ147)</f>
        <v/>
      </c>
      <c r="K146" s="28" t="str">
        <f>IF('12 - Device_Configuration'!AA147="","",'12 - Device_Configuration'!AA147)</f>
        <v>Anesthesia Machine</v>
      </c>
      <c r="L146" s="28" t="str">
        <f>IF('12 - Device_Configuration'!I147="","",'12 - Device_Configuration'!I147)</f>
        <v/>
      </c>
      <c r="M146" s="29"/>
      <c r="N146" s="28" t="str">
        <f>IF('12 - Device_Configuration'!J147="","",'12 - Device_Configuration'!J147)</f>
        <v/>
      </c>
      <c r="O146" s="28" t="str">
        <f>IF('12 - Device_Configuration'!K147="","",'12 - Device_Configuration'!K147)</f>
        <v/>
      </c>
      <c r="P146" s="28" t="str">
        <f>IF('12 - Device_Configuration'!L147="","",'12 - Device_Configuration'!L147)</f>
        <v/>
      </c>
      <c r="Q146" s="29"/>
      <c r="R146" s="28" t="str">
        <f>IF('12 - Device_Configuration'!AY147="","",'12 - Device_Configuration'!AY147)</f>
        <v/>
      </c>
      <c r="S146" s="28" t="str">
        <f>IF('12 - Device_Configuration'!AX147="","",'12 - Device_Configuration'!AX147)</f>
        <v/>
      </c>
      <c r="T146" s="28" t="str">
        <f>IF('12 - Device_Configuration'!AV147="","",'12 - Device_Configuration'!AV147)</f>
        <v/>
      </c>
      <c r="U146" s="28" t="str">
        <f>IF('12 - Device_Configuration'!AW147="","",'12 - Device_Configuration'!AW147)</f>
        <v/>
      </c>
      <c r="V146" s="28" t="str">
        <f>IF('12 - Device_Configuration'!BA147="","",'12 - Device_Configuration'!BA147)</f>
        <v>Yes</v>
      </c>
      <c r="W146" s="28" t="str">
        <f>IF('12 - Device_Configuration'!BC147="","",'12 - Device_Configuration'!BC147)</f>
        <v/>
      </c>
      <c r="X146" s="28" t="str">
        <f>IF('12 - Device_Configuration'!BK147="","",'12 - Device_Configuration'!BK147)</f>
        <v/>
      </c>
      <c r="Y146" s="28" t="str">
        <f>IF('12 - Device_Configuration'!BB147="","",'12 - Device_Configuration'!BB147)</f>
        <v/>
      </c>
      <c r="Z146" s="28" t="str">
        <f>IF('12 - Device_Configuration'!P147="","",'12 - Device_Configuration'!P147)</f>
        <v/>
      </c>
      <c r="AA146" s="28" t="str">
        <f>IF('12 - Device_Configuration'!Q147="","",'12 - Device_Configuration'!Q147)</f>
        <v/>
      </c>
    </row>
    <row r="147" spans="1:27" ht="30">
      <c r="A147" s="29"/>
      <c r="B147" s="29"/>
      <c r="C147" s="28" t="str">
        <f>IF('12 - Device_Configuration'!H148="","",'12 - Device_Configuration'!H148)</f>
        <v>LIJVS</v>
      </c>
      <c r="D147" s="28" t="str">
        <f>IF('12 - Device_Configuration'!AE148="","",'12 - Device_Configuration'!AE148)</f>
        <v/>
      </c>
      <c r="E147" s="28" t="str">
        <f>IF('12 - Device_Configuration'!AF148="","",'12 - Device_Configuration'!AF148)</f>
        <v/>
      </c>
      <c r="F147" s="28" t="str">
        <f>IF('12 - Device_Configuration'!AG148="","",'12 - Device_Configuration'!AG148)</f>
        <v/>
      </c>
      <c r="G147" s="28" t="str">
        <f>IF('12 - Device_Configuration'!AH148="","",'12 - Device_Configuration'!AH148)</f>
        <v/>
      </c>
      <c r="H147" s="28" t="str">
        <f>IF('12 - Device_Configuration'!A148="","",'12 - Device_Configuration'!A148)</f>
        <v>Peripherals</v>
      </c>
      <c r="I147" s="28" t="str">
        <f>IF('12 - Device_Configuration'!AI148="","",'12 - Device_Configuration'!AI148)</f>
        <v/>
      </c>
      <c r="J147" s="28" t="str">
        <f>IF('12 - Device_Configuration'!AJ148="","",'12 - Device_Configuration'!AJ148)</f>
        <v/>
      </c>
      <c r="K147" s="28" t="str">
        <f>IF('12 - Device_Configuration'!AA148="","",'12 - Device_Configuration'!AA148)</f>
        <v>Anesthesia Machine</v>
      </c>
      <c r="L147" s="28" t="str">
        <f>IF('12 - Device_Configuration'!I148="","",'12 - Device_Configuration'!I148)</f>
        <v/>
      </c>
      <c r="M147" s="29"/>
      <c r="N147" s="28" t="str">
        <f>IF('12 - Device_Configuration'!J148="","",'12 - Device_Configuration'!J148)</f>
        <v/>
      </c>
      <c r="O147" s="28" t="str">
        <f>IF('12 - Device_Configuration'!K148="","",'12 - Device_Configuration'!K148)</f>
        <v/>
      </c>
      <c r="P147" s="28" t="str">
        <f>IF('12 - Device_Configuration'!L148="","",'12 - Device_Configuration'!L148)</f>
        <v/>
      </c>
      <c r="Q147" s="29"/>
      <c r="R147" s="28" t="str">
        <f>IF('12 - Device_Configuration'!AY148="","",'12 - Device_Configuration'!AY148)</f>
        <v/>
      </c>
      <c r="S147" s="28" t="str">
        <f>IF('12 - Device_Configuration'!AX148="","",'12 - Device_Configuration'!AX148)</f>
        <v/>
      </c>
      <c r="T147" s="28" t="str">
        <f>IF('12 - Device_Configuration'!AV148="","",'12 - Device_Configuration'!AV148)</f>
        <v/>
      </c>
      <c r="U147" s="28" t="str">
        <f>IF('12 - Device_Configuration'!AW148="","",'12 - Device_Configuration'!AW148)</f>
        <v/>
      </c>
      <c r="V147" s="28" t="str">
        <f>IF('12 - Device_Configuration'!BA148="","",'12 - Device_Configuration'!BA148)</f>
        <v>Yes</v>
      </c>
      <c r="W147" s="28" t="str">
        <f>IF('12 - Device_Configuration'!BC148="","",'12 - Device_Configuration'!BC148)</f>
        <v/>
      </c>
      <c r="X147" s="28" t="str">
        <f>IF('12 - Device_Configuration'!BK148="","",'12 - Device_Configuration'!BK148)</f>
        <v/>
      </c>
      <c r="Y147" s="28" t="str">
        <f>IF('12 - Device_Configuration'!BB148="","",'12 - Device_Configuration'!BB148)</f>
        <v/>
      </c>
      <c r="Z147" s="28" t="str">
        <f>IF('12 - Device_Configuration'!P148="","",'12 - Device_Configuration'!P148)</f>
        <v/>
      </c>
      <c r="AA147" s="28" t="str">
        <f>IF('12 - Device_Configuration'!Q148="","",'12 - Device_Configuration'!Q148)</f>
        <v/>
      </c>
    </row>
    <row r="148" spans="1:27">
      <c r="A148" s="29"/>
      <c r="B148" s="29"/>
      <c r="C148" s="28" t="str">
        <f>IF('12 - Device_Configuration'!H149="","",'12 - Device_Configuration'!H149)</f>
        <v/>
      </c>
      <c r="D148" s="28" t="str">
        <f>IF('12 - Device_Configuration'!AE149="","",'12 - Device_Configuration'!AE149)</f>
        <v/>
      </c>
      <c r="E148" s="28" t="str">
        <f>IF('12 - Device_Configuration'!AF149="","",'12 - Device_Configuration'!AF149)</f>
        <v/>
      </c>
      <c r="F148" s="28" t="str">
        <f>IF('12 - Device_Configuration'!AG149="","",'12 - Device_Configuration'!AG149)</f>
        <v/>
      </c>
      <c r="G148" s="28" t="str">
        <f>IF('12 - Device_Configuration'!AH149="","",'12 - Device_Configuration'!AH149)</f>
        <v/>
      </c>
      <c r="H148" s="28" t="str">
        <f>IF('12 - Device_Configuration'!A149="","",'12 - Device_Configuration'!A149)</f>
        <v/>
      </c>
      <c r="I148" s="28" t="str">
        <f>IF('12 - Device_Configuration'!AI149="","",'12 - Device_Configuration'!AI149)</f>
        <v/>
      </c>
      <c r="J148" s="28" t="str">
        <f>IF('12 - Device_Configuration'!AJ149="","",'12 - Device_Configuration'!AJ149)</f>
        <v/>
      </c>
      <c r="K148" s="28" t="str">
        <f>IF('12 - Device_Configuration'!AA149="","",'12 - Device_Configuration'!AA149)</f>
        <v/>
      </c>
      <c r="L148" s="28" t="str">
        <f>IF('12 - Device_Configuration'!I149="","",'12 - Device_Configuration'!I149)</f>
        <v/>
      </c>
      <c r="M148" s="29"/>
      <c r="N148" s="28" t="str">
        <f>IF('12 - Device_Configuration'!J149="","",'12 - Device_Configuration'!J149)</f>
        <v/>
      </c>
      <c r="O148" s="28" t="str">
        <f>IF('12 - Device_Configuration'!K149="","",'12 - Device_Configuration'!K149)</f>
        <v/>
      </c>
      <c r="P148" s="28" t="str">
        <f>IF('12 - Device_Configuration'!L149="","",'12 - Device_Configuration'!L149)</f>
        <v/>
      </c>
      <c r="Q148" s="29"/>
      <c r="R148" s="28" t="str">
        <f>IF('12 - Device_Configuration'!AY149="","",'12 - Device_Configuration'!AY149)</f>
        <v/>
      </c>
      <c r="S148" s="28" t="str">
        <f>IF('12 - Device_Configuration'!AX149="","",'12 - Device_Configuration'!AX149)</f>
        <v/>
      </c>
      <c r="T148" s="28" t="str">
        <f>IF('12 - Device_Configuration'!AV149="","",'12 - Device_Configuration'!AV149)</f>
        <v/>
      </c>
      <c r="U148" s="28" t="str">
        <f>IF('12 - Device_Configuration'!AW149="","",'12 - Device_Configuration'!AW149)</f>
        <v/>
      </c>
      <c r="V148" s="28" t="str">
        <f>IF('12 - Device_Configuration'!BA149="","",'12 - Device_Configuration'!BA149)</f>
        <v/>
      </c>
      <c r="W148" s="28" t="str">
        <f>IF('12 - Device_Configuration'!BC149="","",'12 - Device_Configuration'!BC149)</f>
        <v/>
      </c>
      <c r="X148" s="28" t="str">
        <f>IF('12 - Device_Configuration'!BK149="","",'12 - Device_Configuration'!BK149)</f>
        <v/>
      </c>
      <c r="Y148" s="28" t="str">
        <f>IF('12 - Device_Configuration'!BB149="","",'12 - Device_Configuration'!BB149)</f>
        <v/>
      </c>
      <c r="Z148" s="28" t="str">
        <f>IF('12 - Device_Configuration'!P149="","",'12 - Device_Configuration'!P149)</f>
        <v/>
      </c>
      <c r="AA148" s="28" t="str">
        <f>IF('12 - Device_Configuration'!Q149="","",'12 - Device_Configuration'!Q149)</f>
        <v/>
      </c>
    </row>
    <row r="149" spans="1:27">
      <c r="A149" s="29"/>
      <c r="B149" s="29"/>
      <c r="C149" s="28" t="str">
        <f>IF('12 - Device_Configuration'!H150="","",'12 - Device_Configuration'!H150)</f>
        <v/>
      </c>
      <c r="D149" s="28" t="str">
        <f>IF('12 - Device_Configuration'!AE150="","",'12 - Device_Configuration'!AE150)</f>
        <v/>
      </c>
      <c r="E149" s="28" t="str">
        <f>IF('12 - Device_Configuration'!AF150="","",'12 - Device_Configuration'!AF150)</f>
        <v/>
      </c>
      <c r="F149" s="28" t="str">
        <f>IF('12 - Device_Configuration'!AG150="","",'12 - Device_Configuration'!AG150)</f>
        <v/>
      </c>
      <c r="G149" s="28" t="str">
        <f>IF('12 - Device_Configuration'!AH150="","",'12 - Device_Configuration'!AH150)</f>
        <v/>
      </c>
      <c r="H149" s="28" t="str">
        <f>IF('12 - Device_Configuration'!A150="","",'12 - Device_Configuration'!A150)</f>
        <v/>
      </c>
      <c r="I149" s="28" t="str">
        <f>IF('12 - Device_Configuration'!AI150="","",'12 - Device_Configuration'!AI150)</f>
        <v/>
      </c>
      <c r="J149" s="28" t="str">
        <f>IF('12 - Device_Configuration'!AJ150="","",'12 - Device_Configuration'!AJ150)</f>
        <v/>
      </c>
      <c r="K149" s="28" t="str">
        <f>IF('12 - Device_Configuration'!AA150="","",'12 - Device_Configuration'!AA150)</f>
        <v/>
      </c>
      <c r="L149" s="28" t="str">
        <f>IF('12 - Device_Configuration'!I150="","",'12 - Device_Configuration'!I150)</f>
        <v/>
      </c>
      <c r="M149" s="29"/>
      <c r="N149" s="28" t="str">
        <f>IF('12 - Device_Configuration'!J150="","",'12 - Device_Configuration'!J150)</f>
        <v/>
      </c>
      <c r="O149" s="28" t="str">
        <f>IF('12 - Device_Configuration'!K150="","",'12 - Device_Configuration'!K150)</f>
        <v/>
      </c>
      <c r="P149" s="28" t="str">
        <f>IF('12 - Device_Configuration'!L150="","",'12 - Device_Configuration'!L150)</f>
        <v/>
      </c>
      <c r="Q149" s="29"/>
      <c r="R149" s="28" t="str">
        <f>IF('12 - Device_Configuration'!AY150="","",'12 - Device_Configuration'!AY150)</f>
        <v/>
      </c>
      <c r="S149" s="28" t="str">
        <f>IF('12 - Device_Configuration'!AX150="","",'12 - Device_Configuration'!AX150)</f>
        <v/>
      </c>
      <c r="T149" s="28" t="str">
        <f>IF('12 - Device_Configuration'!AV150="","",'12 - Device_Configuration'!AV150)</f>
        <v/>
      </c>
      <c r="U149" s="28" t="str">
        <f>IF('12 - Device_Configuration'!AW150="","",'12 - Device_Configuration'!AW150)</f>
        <v/>
      </c>
      <c r="V149" s="28" t="str">
        <f>IF('12 - Device_Configuration'!BA150="","",'12 - Device_Configuration'!BA150)</f>
        <v/>
      </c>
      <c r="W149" s="28" t="str">
        <f>IF('12 - Device_Configuration'!BC150="","",'12 - Device_Configuration'!BC150)</f>
        <v/>
      </c>
      <c r="X149" s="28" t="str">
        <f>IF('12 - Device_Configuration'!BK150="","",'12 - Device_Configuration'!BK150)</f>
        <v/>
      </c>
      <c r="Y149" s="28" t="str">
        <f>IF('12 - Device_Configuration'!BB150="","",'12 - Device_Configuration'!BB150)</f>
        <v/>
      </c>
      <c r="Z149" s="28" t="str">
        <f>IF('12 - Device_Configuration'!P150="","",'12 - Device_Configuration'!P150)</f>
        <v/>
      </c>
      <c r="AA149" s="28" t="str">
        <f>IF('12 - Device_Configuration'!Q150="","",'12 - Device_Configuration'!Q150)</f>
        <v/>
      </c>
    </row>
    <row r="150" spans="1:27">
      <c r="A150" s="29"/>
      <c r="B150" s="29"/>
      <c r="C150" s="28" t="str">
        <f>IF('12 - Device_Configuration'!H151="","",'12 - Device_Configuration'!H151)</f>
        <v/>
      </c>
      <c r="D150" s="28" t="str">
        <f>IF('12 - Device_Configuration'!AE151="","",'12 - Device_Configuration'!AE151)</f>
        <v/>
      </c>
      <c r="E150" s="28" t="str">
        <f>IF('12 - Device_Configuration'!AF151="","",'12 - Device_Configuration'!AF151)</f>
        <v/>
      </c>
      <c r="F150" s="28" t="str">
        <f>IF('12 - Device_Configuration'!AG151="","",'12 - Device_Configuration'!AG151)</f>
        <v/>
      </c>
      <c r="G150" s="28" t="str">
        <f>IF('12 - Device_Configuration'!AH151="","",'12 - Device_Configuration'!AH151)</f>
        <v/>
      </c>
      <c r="H150" s="28" t="str">
        <f>IF('12 - Device_Configuration'!A151="","",'12 - Device_Configuration'!A151)</f>
        <v/>
      </c>
      <c r="I150" s="28" t="str">
        <f>IF('12 - Device_Configuration'!AI151="","",'12 - Device_Configuration'!AI151)</f>
        <v/>
      </c>
      <c r="J150" s="28" t="str">
        <f>IF('12 - Device_Configuration'!AJ151="","",'12 - Device_Configuration'!AJ151)</f>
        <v/>
      </c>
      <c r="K150" s="28" t="str">
        <f>IF('12 - Device_Configuration'!AA151="","",'12 - Device_Configuration'!AA151)</f>
        <v/>
      </c>
      <c r="L150" s="28" t="str">
        <f>IF('12 - Device_Configuration'!I151="","",'12 - Device_Configuration'!I151)</f>
        <v/>
      </c>
      <c r="M150" s="29"/>
      <c r="N150" s="28" t="str">
        <f>IF('12 - Device_Configuration'!J151="","",'12 - Device_Configuration'!J151)</f>
        <v/>
      </c>
      <c r="O150" s="28" t="str">
        <f>IF('12 - Device_Configuration'!K151="","",'12 - Device_Configuration'!K151)</f>
        <v/>
      </c>
      <c r="P150" s="28" t="str">
        <f>IF('12 - Device_Configuration'!L151="","",'12 - Device_Configuration'!L151)</f>
        <v/>
      </c>
      <c r="Q150" s="29"/>
      <c r="R150" s="28" t="str">
        <f>IF('12 - Device_Configuration'!AY151="","",'12 - Device_Configuration'!AY151)</f>
        <v/>
      </c>
      <c r="S150" s="28" t="str">
        <f>IF('12 - Device_Configuration'!AX151="","",'12 - Device_Configuration'!AX151)</f>
        <v/>
      </c>
      <c r="T150" s="28" t="str">
        <f>IF('12 - Device_Configuration'!AV151="","",'12 - Device_Configuration'!AV151)</f>
        <v/>
      </c>
      <c r="U150" s="28" t="str">
        <f>IF('12 - Device_Configuration'!AW151="","",'12 - Device_Configuration'!AW151)</f>
        <v/>
      </c>
      <c r="V150" s="28" t="str">
        <f>IF('12 - Device_Configuration'!BA151="","",'12 - Device_Configuration'!BA151)</f>
        <v/>
      </c>
      <c r="W150" s="28" t="str">
        <f>IF('12 - Device_Configuration'!BC151="","",'12 - Device_Configuration'!BC151)</f>
        <v/>
      </c>
      <c r="X150" s="28" t="str">
        <f>IF('12 - Device_Configuration'!BK151="","",'12 - Device_Configuration'!BK151)</f>
        <v/>
      </c>
      <c r="Y150" s="28" t="str">
        <f>IF('12 - Device_Configuration'!BB151="","",'12 - Device_Configuration'!BB151)</f>
        <v/>
      </c>
      <c r="Z150" s="28" t="str">
        <f>IF('12 - Device_Configuration'!P151="","",'12 - Device_Configuration'!P151)</f>
        <v/>
      </c>
      <c r="AA150" s="28" t="str">
        <f>IF('12 - Device_Configuration'!Q151="","",'12 - Device_Configuration'!Q151)</f>
        <v/>
      </c>
    </row>
    <row r="151" spans="1:27">
      <c r="A151" s="29"/>
      <c r="B151" s="29"/>
      <c r="C151" s="28" t="str">
        <f>IF('12 - Device_Configuration'!H152="","",'12 - Device_Configuration'!H152)</f>
        <v/>
      </c>
      <c r="D151" s="28" t="str">
        <f>IF('12 - Device_Configuration'!AE152="","",'12 - Device_Configuration'!AE152)</f>
        <v/>
      </c>
      <c r="E151" s="28" t="str">
        <f>IF('12 - Device_Configuration'!AF152="","",'12 - Device_Configuration'!AF152)</f>
        <v/>
      </c>
      <c r="F151" s="28" t="str">
        <f>IF('12 - Device_Configuration'!AG152="","",'12 - Device_Configuration'!AG152)</f>
        <v/>
      </c>
      <c r="G151" s="28" t="str">
        <f>IF('12 - Device_Configuration'!AH152="","",'12 - Device_Configuration'!AH152)</f>
        <v/>
      </c>
      <c r="H151" s="28" t="str">
        <f>IF('12 - Device_Configuration'!A152="","",'12 - Device_Configuration'!A152)</f>
        <v/>
      </c>
      <c r="I151" s="28" t="str">
        <f>IF('12 - Device_Configuration'!AI152="","",'12 - Device_Configuration'!AI152)</f>
        <v/>
      </c>
      <c r="J151" s="28" t="str">
        <f>IF('12 - Device_Configuration'!AJ152="","",'12 - Device_Configuration'!AJ152)</f>
        <v/>
      </c>
      <c r="K151" s="28" t="str">
        <f>IF('12 - Device_Configuration'!AA152="","",'12 - Device_Configuration'!AA152)</f>
        <v/>
      </c>
      <c r="L151" s="28" t="str">
        <f>IF('12 - Device_Configuration'!I152="","",'12 - Device_Configuration'!I152)</f>
        <v/>
      </c>
      <c r="M151" s="29"/>
      <c r="N151" s="28" t="str">
        <f>IF('12 - Device_Configuration'!J152="","",'12 - Device_Configuration'!J152)</f>
        <v/>
      </c>
      <c r="O151" s="28" t="str">
        <f>IF('12 - Device_Configuration'!K152="","",'12 - Device_Configuration'!K152)</f>
        <v/>
      </c>
      <c r="P151" s="28" t="str">
        <f>IF('12 - Device_Configuration'!L152="","",'12 - Device_Configuration'!L152)</f>
        <v/>
      </c>
      <c r="Q151" s="29"/>
      <c r="R151" s="28" t="str">
        <f>IF('12 - Device_Configuration'!AY152="","",'12 - Device_Configuration'!AY152)</f>
        <v/>
      </c>
      <c r="S151" s="28" t="str">
        <f>IF('12 - Device_Configuration'!AX152="","",'12 - Device_Configuration'!AX152)</f>
        <v/>
      </c>
      <c r="T151" s="28" t="str">
        <f>IF('12 - Device_Configuration'!AV152="","",'12 - Device_Configuration'!AV152)</f>
        <v/>
      </c>
      <c r="U151" s="28" t="str">
        <f>IF('12 - Device_Configuration'!AW152="","",'12 - Device_Configuration'!AW152)</f>
        <v/>
      </c>
      <c r="V151" s="28" t="str">
        <f>IF('12 - Device_Configuration'!BA152="","",'12 - Device_Configuration'!BA152)</f>
        <v/>
      </c>
      <c r="W151" s="28" t="str">
        <f>IF('12 - Device_Configuration'!BC152="","",'12 - Device_Configuration'!BC152)</f>
        <v/>
      </c>
      <c r="X151" s="28" t="str">
        <f>IF('12 - Device_Configuration'!BK152="","",'12 - Device_Configuration'!BK152)</f>
        <v/>
      </c>
      <c r="Y151" s="28" t="str">
        <f>IF('12 - Device_Configuration'!BB152="","",'12 - Device_Configuration'!BB152)</f>
        <v/>
      </c>
      <c r="Z151" s="28" t="str">
        <f>IF('12 - Device_Configuration'!P152="","",'12 - Device_Configuration'!P152)</f>
        <v/>
      </c>
      <c r="AA151" s="28" t="str">
        <f>IF('12 - Device_Configuration'!Q152="","",'12 - Device_Configuration'!Q152)</f>
        <v/>
      </c>
    </row>
    <row r="152" spans="1:27">
      <c r="A152" s="29"/>
      <c r="B152" s="29"/>
      <c r="C152" s="28" t="str">
        <f>IF('12 - Device_Configuration'!H153="","",'12 - Device_Configuration'!H153)</f>
        <v/>
      </c>
      <c r="D152" s="28" t="str">
        <f>IF('12 - Device_Configuration'!AE153="","",'12 - Device_Configuration'!AE153)</f>
        <v/>
      </c>
      <c r="E152" s="28" t="str">
        <f>IF('12 - Device_Configuration'!AF153="","",'12 - Device_Configuration'!AF153)</f>
        <v/>
      </c>
      <c r="F152" s="28" t="str">
        <f>IF('12 - Device_Configuration'!AG153="","",'12 - Device_Configuration'!AG153)</f>
        <v/>
      </c>
      <c r="G152" s="28" t="str">
        <f>IF('12 - Device_Configuration'!AH153="","",'12 - Device_Configuration'!AH153)</f>
        <v/>
      </c>
      <c r="H152" s="28" t="str">
        <f>IF('12 - Device_Configuration'!A153="","",'12 - Device_Configuration'!A153)</f>
        <v/>
      </c>
      <c r="I152" s="28" t="str">
        <f>IF('12 - Device_Configuration'!AI153="","",'12 - Device_Configuration'!AI153)</f>
        <v/>
      </c>
      <c r="J152" s="28" t="str">
        <f>IF('12 - Device_Configuration'!AJ153="","",'12 - Device_Configuration'!AJ153)</f>
        <v/>
      </c>
      <c r="K152" s="28" t="str">
        <f>IF('12 - Device_Configuration'!AA153="","",'12 - Device_Configuration'!AA153)</f>
        <v/>
      </c>
      <c r="L152" s="28" t="str">
        <f>IF('12 - Device_Configuration'!I153="","",'12 - Device_Configuration'!I153)</f>
        <v/>
      </c>
      <c r="M152" s="29"/>
      <c r="N152" s="28" t="str">
        <f>IF('12 - Device_Configuration'!J153="","",'12 - Device_Configuration'!J153)</f>
        <v/>
      </c>
      <c r="O152" s="28" t="str">
        <f>IF('12 - Device_Configuration'!K153="","",'12 - Device_Configuration'!K153)</f>
        <v/>
      </c>
      <c r="P152" s="28" t="str">
        <f>IF('12 - Device_Configuration'!L153="","",'12 - Device_Configuration'!L153)</f>
        <v/>
      </c>
      <c r="Q152" s="29"/>
      <c r="R152" s="28" t="str">
        <f>IF('12 - Device_Configuration'!AY153="","",'12 - Device_Configuration'!AY153)</f>
        <v/>
      </c>
      <c r="S152" s="28" t="str">
        <f>IF('12 - Device_Configuration'!AX153="","",'12 - Device_Configuration'!AX153)</f>
        <v/>
      </c>
      <c r="T152" s="28" t="str">
        <f>IF('12 - Device_Configuration'!AV153="","",'12 - Device_Configuration'!AV153)</f>
        <v/>
      </c>
      <c r="U152" s="28" t="str">
        <f>IF('12 - Device_Configuration'!AW153="","",'12 - Device_Configuration'!AW153)</f>
        <v/>
      </c>
      <c r="V152" s="28" t="str">
        <f>IF('12 - Device_Configuration'!BA153="","",'12 - Device_Configuration'!BA153)</f>
        <v/>
      </c>
      <c r="W152" s="28" t="str">
        <f>IF('12 - Device_Configuration'!BC153="","",'12 - Device_Configuration'!BC153)</f>
        <v/>
      </c>
      <c r="X152" s="28" t="str">
        <f>IF('12 - Device_Configuration'!BK153="","",'12 - Device_Configuration'!BK153)</f>
        <v/>
      </c>
      <c r="Y152" s="28" t="str">
        <f>IF('12 - Device_Configuration'!BB153="","",'12 - Device_Configuration'!BB153)</f>
        <v/>
      </c>
      <c r="Z152" s="28" t="str">
        <f>IF('12 - Device_Configuration'!P153="","",'12 - Device_Configuration'!P153)</f>
        <v/>
      </c>
      <c r="AA152" s="28" t="str">
        <f>IF('12 - Device_Configuration'!Q153="","",'12 - Device_Configuration'!Q153)</f>
        <v/>
      </c>
    </row>
    <row r="153" spans="1:27">
      <c r="A153" s="29"/>
      <c r="B153" s="29"/>
      <c r="C153" s="28" t="str">
        <f>IF('12 - Device_Configuration'!H154="","",'12 - Device_Configuration'!H154)</f>
        <v/>
      </c>
      <c r="D153" s="28" t="str">
        <f>IF('12 - Device_Configuration'!AE154="","",'12 - Device_Configuration'!AE154)</f>
        <v/>
      </c>
      <c r="E153" s="28" t="str">
        <f>IF('12 - Device_Configuration'!AF154="","",'12 - Device_Configuration'!AF154)</f>
        <v/>
      </c>
      <c r="F153" s="28" t="str">
        <f>IF('12 - Device_Configuration'!AG154="","",'12 - Device_Configuration'!AG154)</f>
        <v/>
      </c>
      <c r="G153" s="28" t="str">
        <f>IF('12 - Device_Configuration'!AH154="","",'12 - Device_Configuration'!AH154)</f>
        <v/>
      </c>
      <c r="H153" s="28" t="str">
        <f>IF('12 - Device_Configuration'!A154="","",'12 - Device_Configuration'!A154)</f>
        <v/>
      </c>
      <c r="I153" s="28" t="str">
        <f>IF('12 - Device_Configuration'!AI154="","",'12 - Device_Configuration'!AI154)</f>
        <v/>
      </c>
      <c r="J153" s="28" t="str">
        <f>IF('12 - Device_Configuration'!AJ154="","",'12 - Device_Configuration'!AJ154)</f>
        <v/>
      </c>
      <c r="K153" s="28" t="str">
        <f>IF('12 - Device_Configuration'!AA154="","",'12 - Device_Configuration'!AA154)</f>
        <v/>
      </c>
      <c r="L153" s="28" t="str">
        <f>IF('12 - Device_Configuration'!I154="","",'12 - Device_Configuration'!I154)</f>
        <v/>
      </c>
      <c r="M153" s="29"/>
      <c r="N153" s="28" t="str">
        <f>IF('12 - Device_Configuration'!J154="","",'12 - Device_Configuration'!J154)</f>
        <v/>
      </c>
      <c r="O153" s="28" t="str">
        <f>IF('12 - Device_Configuration'!K154="","",'12 - Device_Configuration'!K154)</f>
        <v/>
      </c>
      <c r="P153" s="28" t="str">
        <f>IF('12 - Device_Configuration'!L154="","",'12 - Device_Configuration'!L154)</f>
        <v/>
      </c>
      <c r="Q153" s="29"/>
      <c r="R153" s="28" t="str">
        <f>IF('12 - Device_Configuration'!AY154="","",'12 - Device_Configuration'!AY154)</f>
        <v/>
      </c>
      <c r="S153" s="28" t="str">
        <f>IF('12 - Device_Configuration'!AX154="","",'12 - Device_Configuration'!AX154)</f>
        <v/>
      </c>
      <c r="T153" s="28" t="str">
        <f>IF('12 - Device_Configuration'!AV154="","",'12 - Device_Configuration'!AV154)</f>
        <v/>
      </c>
      <c r="U153" s="28" t="str">
        <f>IF('12 - Device_Configuration'!AW154="","",'12 - Device_Configuration'!AW154)</f>
        <v/>
      </c>
      <c r="V153" s="28" t="str">
        <f>IF('12 - Device_Configuration'!BA154="","",'12 - Device_Configuration'!BA154)</f>
        <v/>
      </c>
      <c r="W153" s="28" t="str">
        <f>IF('12 - Device_Configuration'!BC154="","",'12 - Device_Configuration'!BC154)</f>
        <v/>
      </c>
      <c r="X153" s="28" t="str">
        <f>IF('12 - Device_Configuration'!BK154="","",'12 - Device_Configuration'!BK154)</f>
        <v/>
      </c>
      <c r="Y153" s="28" t="str">
        <f>IF('12 - Device_Configuration'!BB154="","",'12 - Device_Configuration'!BB154)</f>
        <v/>
      </c>
      <c r="Z153" s="28" t="str">
        <f>IF('12 - Device_Configuration'!P154="","",'12 - Device_Configuration'!P154)</f>
        <v/>
      </c>
      <c r="AA153" s="28" t="str">
        <f>IF('12 - Device_Configuration'!Q154="","",'12 - Device_Configuration'!Q154)</f>
        <v/>
      </c>
    </row>
    <row r="154" spans="1:27">
      <c r="A154" s="29"/>
      <c r="B154" s="29"/>
      <c r="C154" s="28" t="str">
        <f>IF('12 - Device_Configuration'!H155="","",'12 - Device_Configuration'!H155)</f>
        <v/>
      </c>
      <c r="D154" s="28" t="str">
        <f>IF('12 - Device_Configuration'!AE155="","",'12 - Device_Configuration'!AE155)</f>
        <v/>
      </c>
      <c r="E154" s="28" t="str">
        <f>IF('12 - Device_Configuration'!AF155="","",'12 - Device_Configuration'!AF155)</f>
        <v/>
      </c>
      <c r="F154" s="28" t="str">
        <f>IF('12 - Device_Configuration'!AG155="","",'12 - Device_Configuration'!AG155)</f>
        <v/>
      </c>
      <c r="G154" s="28" t="str">
        <f>IF('12 - Device_Configuration'!AH155="","",'12 - Device_Configuration'!AH155)</f>
        <v/>
      </c>
      <c r="H154" s="28" t="str">
        <f>IF('12 - Device_Configuration'!A155="","",'12 - Device_Configuration'!A155)</f>
        <v/>
      </c>
      <c r="I154" s="28" t="str">
        <f>IF('12 - Device_Configuration'!AI155="","",'12 - Device_Configuration'!AI155)</f>
        <v/>
      </c>
      <c r="J154" s="28" t="str">
        <f>IF('12 - Device_Configuration'!AJ155="","",'12 - Device_Configuration'!AJ155)</f>
        <v/>
      </c>
      <c r="K154" s="28" t="str">
        <f>IF('12 - Device_Configuration'!AA155="","",'12 - Device_Configuration'!AA155)</f>
        <v/>
      </c>
      <c r="L154" s="28" t="str">
        <f>IF('12 - Device_Configuration'!I155="","",'12 - Device_Configuration'!I155)</f>
        <v/>
      </c>
      <c r="M154" s="29"/>
      <c r="N154" s="28" t="str">
        <f>IF('12 - Device_Configuration'!J155="","",'12 - Device_Configuration'!J155)</f>
        <v/>
      </c>
      <c r="O154" s="28" t="str">
        <f>IF('12 - Device_Configuration'!K155="","",'12 - Device_Configuration'!K155)</f>
        <v/>
      </c>
      <c r="P154" s="28" t="str">
        <f>IF('12 - Device_Configuration'!L155="","",'12 - Device_Configuration'!L155)</f>
        <v/>
      </c>
      <c r="Q154" s="29"/>
      <c r="R154" s="28" t="str">
        <f>IF('12 - Device_Configuration'!AY155="","",'12 - Device_Configuration'!AY155)</f>
        <v/>
      </c>
      <c r="S154" s="28" t="str">
        <f>IF('12 - Device_Configuration'!AX155="","",'12 - Device_Configuration'!AX155)</f>
        <v/>
      </c>
      <c r="T154" s="28" t="str">
        <f>IF('12 - Device_Configuration'!AV155="","",'12 - Device_Configuration'!AV155)</f>
        <v/>
      </c>
      <c r="U154" s="28" t="str">
        <f>IF('12 - Device_Configuration'!AW155="","",'12 - Device_Configuration'!AW155)</f>
        <v/>
      </c>
      <c r="V154" s="28" t="str">
        <f>IF('12 - Device_Configuration'!BA155="","",'12 - Device_Configuration'!BA155)</f>
        <v/>
      </c>
      <c r="W154" s="28" t="str">
        <f>IF('12 - Device_Configuration'!BC155="","",'12 - Device_Configuration'!BC155)</f>
        <v/>
      </c>
      <c r="X154" s="28" t="str">
        <f>IF('12 - Device_Configuration'!BK155="","",'12 - Device_Configuration'!BK155)</f>
        <v/>
      </c>
      <c r="Y154" s="28" t="str">
        <f>IF('12 - Device_Configuration'!BB155="","",'12 - Device_Configuration'!BB155)</f>
        <v/>
      </c>
      <c r="Z154" s="28" t="str">
        <f>IF('12 - Device_Configuration'!P155="","",'12 - Device_Configuration'!P155)</f>
        <v/>
      </c>
      <c r="AA154" s="28" t="str">
        <f>IF('12 - Device_Configuration'!Q155="","",'12 - Device_Configuration'!Q155)</f>
        <v/>
      </c>
    </row>
    <row r="155" spans="1:27">
      <c r="A155" s="29"/>
      <c r="B155" s="29"/>
      <c r="C155" s="28" t="str">
        <f>IF('12 - Device_Configuration'!H156="","",'12 - Device_Configuration'!H156)</f>
        <v/>
      </c>
      <c r="D155" s="28" t="str">
        <f>IF('12 - Device_Configuration'!AE156="","",'12 - Device_Configuration'!AE156)</f>
        <v/>
      </c>
      <c r="E155" s="28" t="str">
        <f>IF('12 - Device_Configuration'!AF156="","",'12 - Device_Configuration'!AF156)</f>
        <v/>
      </c>
      <c r="F155" s="28" t="str">
        <f>IF('12 - Device_Configuration'!AG156="","",'12 - Device_Configuration'!AG156)</f>
        <v/>
      </c>
      <c r="G155" s="28" t="str">
        <f>IF('12 - Device_Configuration'!AH156="","",'12 - Device_Configuration'!AH156)</f>
        <v/>
      </c>
      <c r="H155" s="28" t="str">
        <f>IF('12 - Device_Configuration'!A156="","",'12 - Device_Configuration'!A156)</f>
        <v/>
      </c>
      <c r="I155" s="28" t="str">
        <f>IF('12 - Device_Configuration'!AI156="","",'12 - Device_Configuration'!AI156)</f>
        <v/>
      </c>
      <c r="J155" s="28" t="str">
        <f>IF('12 - Device_Configuration'!AJ156="","",'12 - Device_Configuration'!AJ156)</f>
        <v/>
      </c>
      <c r="K155" s="28" t="str">
        <f>IF('12 - Device_Configuration'!AA156="","",'12 - Device_Configuration'!AA156)</f>
        <v/>
      </c>
      <c r="L155" s="28" t="str">
        <f>IF('12 - Device_Configuration'!I156="","",'12 - Device_Configuration'!I156)</f>
        <v/>
      </c>
      <c r="M155" s="29"/>
      <c r="N155" s="28" t="str">
        <f>IF('12 - Device_Configuration'!J156="","",'12 - Device_Configuration'!J156)</f>
        <v/>
      </c>
      <c r="O155" s="28" t="str">
        <f>IF('12 - Device_Configuration'!K156="","",'12 - Device_Configuration'!K156)</f>
        <v/>
      </c>
      <c r="P155" s="28" t="str">
        <f>IF('12 - Device_Configuration'!L156="","",'12 - Device_Configuration'!L156)</f>
        <v/>
      </c>
      <c r="Q155" s="29"/>
      <c r="R155" s="28" t="str">
        <f>IF('12 - Device_Configuration'!AY156="","",'12 - Device_Configuration'!AY156)</f>
        <v/>
      </c>
      <c r="S155" s="28" t="str">
        <f>IF('12 - Device_Configuration'!AX156="","",'12 - Device_Configuration'!AX156)</f>
        <v/>
      </c>
      <c r="T155" s="28" t="str">
        <f>IF('12 - Device_Configuration'!AV156="","",'12 - Device_Configuration'!AV156)</f>
        <v/>
      </c>
      <c r="U155" s="28" t="str">
        <f>IF('12 - Device_Configuration'!AW156="","",'12 - Device_Configuration'!AW156)</f>
        <v/>
      </c>
      <c r="V155" s="28" t="str">
        <f>IF('12 - Device_Configuration'!BA156="","",'12 - Device_Configuration'!BA156)</f>
        <v/>
      </c>
      <c r="W155" s="28" t="str">
        <f>IF('12 - Device_Configuration'!BC156="","",'12 - Device_Configuration'!BC156)</f>
        <v/>
      </c>
      <c r="X155" s="28" t="str">
        <f>IF('12 - Device_Configuration'!BK156="","",'12 - Device_Configuration'!BK156)</f>
        <v/>
      </c>
      <c r="Y155" s="28" t="str">
        <f>IF('12 - Device_Configuration'!BB156="","",'12 - Device_Configuration'!BB156)</f>
        <v/>
      </c>
      <c r="Z155" s="28" t="str">
        <f>IF('12 - Device_Configuration'!P156="","",'12 - Device_Configuration'!P156)</f>
        <v/>
      </c>
      <c r="AA155" s="28" t="str">
        <f>IF('12 - Device_Configuration'!Q156="","",'12 - Device_Configuration'!Q156)</f>
        <v/>
      </c>
    </row>
    <row r="156" spans="1:27">
      <c r="A156" s="29"/>
      <c r="B156" s="29"/>
      <c r="C156" s="28" t="str">
        <f>IF('12 - Device_Configuration'!H157="","",'12 - Device_Configuration'!H157)</f>
        <v/>
      </c>
      <c r="D156" s="28" t="str">
        <f>IF('12 - Device_Configuration'!AE157="","",'12 - Device_Configuration'!AE157)</f>
        <v/>
      </c>
      <c r="E156" s="28" t="str">
        <f>IF('12 - Device_Configuration'!AF157="","",'12 - Device_Configuration'!AF157)</f>
        <v/>
      </c>
      <c r="F156" s="28" t="str">
        <f>IF('12 - Device_Configuration'!AG157="","",'12 - Device_Configuration'!AG157)</f>
        <v/>
      </c>
      <c r="G156" s="28" t="str">
        <f>IF('12 - Device_Configuration'!AH157="","",'12 - Device_Configuration'!AH157)</f>
        <v/>
      </c>
      <c r="H156" s="28" t="str">
        <f>IF('12 - Device_Configuration'!A157="","",'12 - Device_Configuration'!A157)</f>
        <v/>
      </c>
      <c r="I156" s="28" t="str">
        <f>IF('12 - Device_Configuration'!AI157="","",'12 - Device_Configuration'!AI157)</f>
        <v/>
      </c>
      <c r="J156" s="28" t="str">
        <f>IF('12 - Device_Configuration'!AJ157="","",'12 - Device_Configuration'!AJ157)</f>
        <v/>
      </c>
      <c r="K156" s="28" t="str">
        <f>IF('12 - Device_Configuration'!AA157="","",'12 - Device_Configuration'!AA157)</f>
        <v/>
      </c>
      <c r="L156" s="28" t="str">
        <f>IF('12 - Device_Configuration'!I157="","",'12 - Device_Configuration'!I157)</f>
        <v/>
      </c>
      <c r="M156" s="29"/>
      <c r="N156" s="28" t="str">
        <f>IF('12 - Device_Configuration'!J157="","",'12 - Device_Configuration'!J157)</f>
        <v/>
      </c>
      <c r="O156" s="28" t="str">
        <f>IF('12 - Device_Configuration'!K157="","",'12 - Device_Configuration'!K157)</f>
        <v/>
      </c>
      <c r="P156" s="28" t="str">
        <f>IF('12 - Device_Configuration'!L157="","",'12 - Device_Configuration'!L157)</f>
        <v/>
      </c>
      <c r="Q156" s="29"/>
      <c r="R156" s="28" t="str">
        <f>IF('12 - Device_Configuration'!AY157="","",'12 - Device_Configuration'!AY157)</f>
        <v/>
      </c>
      <c r="S156" s="28" t="str">
        <f>IF('12 - Device_Configuration'!AX157="","",'12 - Device_Configuration'!AX157)</f>
        <v/>
      </c>
      <c r="T156" s="28" t="str">
        <f>IF('12 - Device_Configuration'!AV157="","",'12 - Device_Configuration'!AV157)</f>
        <v/>
      </c>
      <c r="U156" s="28" t="str">
        <f>IF('12 - Device_Configuration'!AW157="","",'12 - Device_Configuration'!AW157)</f>
        <v/>
      </c>
      <c r="V156" s="28" t="str">
        <f>IF('12 - Device_Configuration'!BA157="","",'12 - Device_Configuration'!BA157)</f>
        <v/>
      </c>
      <c r="W156" s="28" t="str">
        <f>IF('12 - Device_Configuration'!BC157="","",'12 - Device_Configuration'!BC157)</f>
        <v/>
      </c>
      <c r="X156" s="28" t="str">
        <f>IF('12 - Device_Configuration'!BK157="","",'12 - Device_Configuration'!BK157)</f>
        <v/>
      </c>
      <c r="Y156" s="28" t="str">
        <f>IF('12 - Device_Configuration'!BB157="","",'12 - Device_Configuration'!BB157)</f>
        <v/>
      </c>
      <c r="Z156" s="28" t="str">
        <f>IF('12 - Device_Configuration'!P157="","",'12 - Device_Configuration'!P157)</f>
        <v/>
      </c>
      <c r="AA156" s="28" t="str">
        <f>IF('12 - Device_Configuration'!Q157="","",'12 - Device_Configuration'!Q157)</f>
        <v/>
      </c>
    </row>
    <row r="157" spans="1:27">
      <c r="A157" s="29"/>
      <c r="B157" s="29"/>
      <c r="C157" s="28" t="str">
        <f>IF('12 - Device_Configuration'!H158="","",'12 - Device_Configuration'!H158)</f>
        <v/>
      </c>
      <c r="D157" s="28" t="str">
        <f>IF('12 - Device_Configuration'!AE158="","",'12 - Device_Configuration'!AE158)</f>
        <v/>
      </c>
      <c r="E157" s="28" t="str">
        <f>IF('12 - Device_Configuration'!AF158="","",'12 - Device_Configuration'!AF158)</f>
        <v/>
      </c>
      <c r="F157" s="28" t="str">
        <f>IF('12 - Device_Configuration'!AG158="","",'12 - Device_Configuration'!AG158)</f>
        <v/>
      </c>
      <c r="G157" s="28" t="str">
        <f>IF('12 - Device_Configuration'!AH158="","",'12 - Device_Configuration'!AH158)</f>
        <v/>
      </c>
      <c r="H157" s="28" t="str">
        <f>IF('12 - Device_Configuration'!A158="","",'12 - Device_Configuration'!A158)</f>
        <v/>
      </c>
      <c r="I157" s="28" t="str">
        <f>IF('12 - Device_Configuration'!AI158="","",'12 - Device_Configuration'!AI158)</f>
        <v/>
      </c>
      <c r="J157" s="28" t="str">
        <f>IF('12 - Device_Configuration'!AJ158="","",'12 - Device_Configuration'!AJ158)</f>
        <v/>
      </c>
      <c r="K157" s="28" t="str">
        <f>IF('12 - Device_Configuration'!AA158="","",'12 - Device_Configuration'!AA158)</f>
        <v/>
      </c>
      <c r="L157" s="28" t="str">
        <f>IF('12 - Device_Configuration'!I158="","",'12 - Device_Configuration'!I158)</f>
        <v/>
      </c>
      <c r="M157" s="29"/>
      <c r="N157" s="28" t="str">
        <f>IF('12 - Device_Configuration'!J158="","",'12 - Device_Configuration'!J158)</f>
        <v/>
      </c>
      <c r="O157" s="28" t="str">
        <f>IF('12 - Device_Configuration'!K158="","",'12 - Device_Configuration'!K158)</f>
        <v/>
      </c>
      <c r="P157" s="28" t="str">
        <f>IF('12 - Device_Configuration'!L158="","",'12 - Device_Configuration'!L158)</f>
        <v/>
      </c>
      <c r="Q157" s="29"/>
      <c r="R157" s="28" t="str">
        <f>IF('12 - Device_Configuration'!AY158="","",'12 - Device_Configuration'!AY158)</f>
        <v/>
      </c>
      <c r="S157" s="28" t="str">
        <f>IF('12 - Device_Configuration'!AX158="","",'12 - Device_Configuration'!AX158)</f>
        <v/>
      </c>
      <c r="T157" s="28" t="str">
        <f>IF('12 - Device_Configuration'!AV158="","",'12 - Device_Configuration'!AV158)</f>
        <v/>
      </c>
      <c r="U157" s="28" t="str">
        <f>IF('12 - Device_Configuration'!AW158="","",'12 - Device_Configuration'!AW158)</f>
        <v/>
      </c>
      <c r="V157" s="28" t="str">
        <f>IF('12 - Device_Configuration'!BA158="","",'12 - Device_Configuration'!BA158)</f>
        <v/>
      </c>
      <c r="W157" s="28" t="str">
        <f>IF('12 - Device_Configuration'!BC158="","",'12 - Device_Configuration'!BC158)</f>
        <v/>
      </c>
      <c r="X157" s="28" t="str">
        <f>IF('12 - Device_Configuration'!BK158="","",'12 - Device_Configuration'!BK158)</f>
        <v/>
      </c>
      <c r="Y157" s="28" t="str">
        <f>IF('12 - Device_Configuration'!BB158="","",'12 - Device_Configuration'!BB158)</f>
        <v/>
      </c>
      <c r="Z157" s="28" t="str">
        <f>IF('12 - Device_Configuration'!P158="","",'12 - Device_Configuration'!P158)</f>
        <v/>
      </c>
      <c r="AA157" s="28" t="str">
        <f>IF('12 - Device_Configuration'!Q158="","",'12 - Device_Configuration'!Q158)</f>
        <v/>
      </c>
    </row>
    <row r="158" spans="1:27">
      <c r="A158" s="29"/>
      <c r="B158" s="29"/>
      <c r="C158" s="28" t="str">
        <f>IF('12 - Device_Configuration'!H159="","",'12 - Device_Configuration'!H159)</f>
        <v/>
      </c>
      <c r="D158" s="28" t="str">
        <f>IF('12 - Device_Configuration'!AE159="","",'12 - Device_Configuration'!AE159)</f>
        <v/>
      </c>
      <c r="E158" s="28" t="str">
        <f>IF('12 - Device_Configuration'!AF159="","",'12 - Device_Configuration'!AF159)</f>
        <v/>
      </c>
      <c r="F158" s="28" t="str">
        <f>IF('12 - Device_Configuration'!AG159="","",'12 - Device_Configuration'!AG159)</f>
        <v/>
      </c>
      <c r="G158" s="28" t="str">
        <f>IF('12 - Device_Configuration'!AH159="","",'12 - Device_Configuration'!AH159)</f>
        <v/>
      </c>
      <c r="H158" s="28" t="str">
        <f>IF('12 - Device_Configuration'!A159="","",'12 - Device_Configuration'!A159)</f>
        <v/>
      </c>
      <c r="I158" s="28" t="str">
        <f>IF('12 - Device_Configuration'!AI159="","",'12 - Device_Configuration'!AI159)</f>
        <v/>
      </c>
      <c r="J158" s="28" t="str">
        <f>IF('12 - Device_Configuration'!AJ159="","",'12 - Device_Configuration'!AJ159)</f>
        <v/>
      </c>
      <c r="K158" s="28" t="str">
        <f>IF('12 - Device_Configuration'!AA159="","",'12 - Device_Configuration'!AA159)</f>
        <v/>
      </c>
      <c r="L158" s="28" t="str">
        <f>IF('12 - Device_Configuration'!I159="","",'12 - Device_Configuration'!I159)</f>
        <v/>
      </c>
      <c r="M158" s="29"/>
      <c r="N158" s="28" t="str">
        <f>IF('12 - Device_Configuration'!J159="","",'12 - Device_Configuration'!J159)</f>
        <v/>
      </c>
      <c r="O158" s="28" t="str">
        <f>IF('12 - Device_Configuration'!K159="","",'12 - Device_Configuration'!K159)</f>
        <v/>
      </c>
      <c r="P158" s="28" t="str">
        <f>IF('12 - Device_Configuration'!L159="","",'12 - Device_Configuration'!L159)</f>
        <v/>
      </c>
      <c r="Q158" s="29"/>
      <c r="R158" s="28" t="str">
        <f>IF('12 - Device_Configuration'!AY159="","",'12 - Device_Configuration'!AY159)</f>
        <v/>
      </c>
      <c r="S158" s="28" t="str">
        <f>IF('12 - Device_Configuration'!AX159="","",'12 - Device_Configuration'!AX159)</f>
        <v/>
      </c>
      <c r="T158" s="28" t="str">
        <f>IF('12 - Device_Configuration'!AV159="","",'12 - Device_Configuration'!AV159)</f>
        <v/>
      </c>
      <c r="U158" s="28" t="str">
        <f>IF('12 - Device_Configuration'!AW159="","",'12 - Device_Configuration'!AW159)</f>
        <v/>
      </c>
      <c r="V158" s="28" t="str">
        <f>IF('12 - Device_Configuration'!BA159="","",'12 - Device_Configuration'!BA159)</f>
        <v/>
      </c>
      <c r="W158" s="28" t="str">
        <f>IF('12 - Device_Configuration'!BC159="","",'12 - Device_Configuration'!BC159)</f>
        <v/>
      </c>
      <c r="X158" s="28" t="str">
        <f>IF('12 - Device_Configuration'!BK159="","",'12 - Device_Configuration'!BK159)</f>
        <v/>
      </c>
      <c r="Y158" s="28" t="str">
        <f>IF('12 - Device_Configuration'!BB159="","",'12 - Device_Configuration'!BB159)</f>
        <v/>
      </c>
      <c r="Z158" s="28" t="str">
        <f>IF('12 - Device_Configuration'!P159="","",'12 - Device_Configuration'!P159)</f>
        <v/>
      </c>
      <c r="AA158" s="28" t="str">
        <f>IF('12 - Device_Configuration'!Q159="","",'12 - Device_Configuration'!Q159)</f>
        <v/>
      </c>
    </row>
    <row r="159" spans="1:27">
      <c r="A159" s="29"/>
      <c r="B159" s="29"/>
      <c r="C159" s="28" t="str">
        <f>IF('12 - Device_Configuration'!H160="","",'12 - Device_Configuration'!H160)</f>
        <v/>
      </c>
      <c r="D159" s="28" t="str">
        <f>IF('12 - Device_Configuration'!AE160="","",'12 - Device_Configuration'!AE160)</f>
        <v/>
      </c>
      <c r="E159" s="28" t="str">
        <f>IF('12 - Device_Configuration'!AF160="","",'12 - Device_Configuration'!AF160)</f>
        <v/>
      </c>
      <c r="F159" s="28" t="str">
        <f>IF('12 - Device_Configuration'!AG160="","",'12 - Device_Configuration'!AG160)</f>
        <v/>
      </c>
      <c r="G159" s="28" t="str">
        <f>IF('12 - Device_Configuration'!AH160="","",'12 - Device_Configuration'!AH160)</f>
        <v/>
      </c>
      <c r="H159" s="28" t="str">
        <f>IF('12 - Device_Configuration'!A160="","",'12 - Device_Configuration'!A160)</f>
        <v/>
      </c>
      <c r="I159" s="28" t="str">
        <f>IF('12 - Device_Configuration'!AI160="","",'12 - Device_Configuration'!AI160)</f>
        <v/>
      </c>
      <c r="J159" s="28" t="str">
        <f>IF('12 - Device_Configuration'!AJ160="","",'12 - Device_Configuration'!AJ160)</f>
        <v/>
      </c>
      <c r="K159" s="28" t="str">
        <f>IF('12 - Device_Configuration'!AA160="","",'12 - Device_Configuration'!AA160)</f>
        <v/>
      </c>
      <c r="L159" s="28" t="str">
        <f>IF('12 - Device_Configuration'!I160="","",'12 - Device_Configuration'!I160)</f>
        <v/>
      </c>
      <c r="M159" s="29"/>
      <c r="N159" s="28" t="str">
        <f>IF('12 - Device_Configuration'!J160="","",'12 - Device_Configuration'!J160)</f>
        <v/>
      </c>
      <c r="O159" s="28" t="str">
        <f>IF('12 - Device_Configuration'!K160="","",'12 - Device_Configuration'!K160)</f>
        <v/>
      </c>
      <c r="P159" s="28" t="str">
        <f>IF('12 - Device_Configuration'!L160="","",'12 - Device_Configuration'!L160)</f>
        <v/>
      </c>
      <c r="Q159" s="29"/>
      <c r="R159" s="28" t="str">
        <f>IF('12 - Device_Configuration'!AY160="","",'12 - Device_Configuration'!AY160)</f>
        <v/>
      </c>
      <c r="S159" s="28" t="str">
        <f>IF('12 - Device_Configuration'!AX160="","",'12 - Device_Configuration'!AX160)</f>
        <v/>
      </c>
      <c r="T159" s="28" t="str">
        <f>IF('12 - Device_Configuration'!AV160="","",'12 - Device_Configuration'!AV160)</f>
        <v/>
      </c>
      <c r="U159" s="28" t="str">
        <f>IF('12 - Device_Configuration'!AW160="","",'12 - Device_Configuration'!AW160)</f>
        <v/>
      </c>
      <c r="V159" s="28" t="str">
        <f>IF('12 - Device_Configuration'!BA160="","",'12 - Device_Configuration'!BA160)</f>
        <v/>
      </c>
      <c r="W159" s="28" t="str">
        <f>IF('12 - Device_Configuration'!BC160="","",'12 - Device_Configuration'!BC160)</f>
        <v/>
      </c>
      <c r="X159" s="28" t="str">
        <f>IF('12 - Device_Configuration'!BK160="","",'12 - Device_Configuration'!BK160)</f>
        <v/>
      </c>
      <c r="Y159" s="28" t="str">
        <f>IF('12 - Device_Configuration'!BB160="","",'12 - Device_Configuration'!BB160)</f>
        <v/>
      </c>
      <c r="Z159" s="28" t="str">
        <f>IF('12 - Device_Configuration'!P160="","",'12 - Device_Configuration'!P160)</f>
        <v/>
      </c>
      <c r="AA159" s="28" t="str">
        <f>IF('12 - Device_Configuration'!Q160="","",'12 - Device_Configuration'!Q160)</f>
        <v/>
      </c>
    </row>
    <row r="160" spans="1:27">
      <c r="A160" s="29"/>
      <c r="B160" s="29"/>
      <c r="C160" s="28" t="str">
        <f>IF('12 - Device_Configuration'!H161="","",'12 - Device_Configuration'!H161)</f>
        <v/>
      </c>
      <c r="D160" s="28" t="str">
        <f>IF('12 - Device_Configuration'!AE161="","",'12 - Device_Configuration'!AE161)</f>
        <v/>
      </c>
      <c r="E160" s="28" t="str">
        <f>IF('12 - Device_Configuration'!AF161="","",'12 - Device_Configuration'!AF161)</f>
        <v/>
      </c>
      <c r="F160" s="28" t="str">
        <f>IF('12 - Device_Configuration'!AG161="","",'12 - Device_Configuration'!AG161)</f>
        <v/>
      </c>
      <c r="G160" s="28" t="str">
        <f>IF('12 - Device_Configuration'!AH161="","",'12 - Device_Configuration'!AH161)</f>
        <v/>
      </c>
      <c r="H160" s="28" t="str">
        <f>IF('12 - Device_Configuration'!A161="","",'12 - Device_Configuration'!A161)</f>
        <v/>
      </c>
      <c r="I160" s="28" t="str">
        <f>IF('12 - Device_Configuration'!AI161="","",'12 - Device_Configuration'!AI161)</f>
        <v/>
      </c>
      <c r="J160" s="28" t="str">
        <f>IF('12 - Device_Configuration'!AJ161="","",'12 - Device_Configuration'!AJ161)</f>
        <v/>
      </c>
      <c r="K160" s="28" t="str">
        <f>IF('12 - Device_Configuration'!AA161="","",'12 - Device_Configuration'!AA161)</f>
        <v/>
      </c>
      <c r="L160" s="28" t="str">
        <f>IF('12 - Device_Configuration'!I161="","",'12 - Device_Configuration'!I161)</f>
        <v/>
      </c>
      <c r="M160" s="29"/>
      <c r="N160" s="28" t="str">
        <f>IF('12 - Device_Configuration'!J161="","",'12 - Device_Configuration'!J161)</f>
        <v/>
      </c>
      <c r="O160" s="28" t="str">
        <f>IF('12 - Device_Configuration'!K161="","",'12 - Device_Configuration'!K161)</f>
        <v/>
      </c>
      <c r="P160" s="28" t="str">
        <f>IF('12 - Device_Configuration'!L161="","",'12 - Device_Configuration'!L161)</f>
        <v/>
      </c>
      <c r="Q160" s="29"/>
      <c r="R160" s="28" t="str">
        <f>IF('12 - Device_Configuration'!AY161="","",'12 - Device_Configuration'!AY161)</f>
        <v/>
      </c>
      <c r="S160" s="28" t="str">
        <f>IF('12 - Device_Configuration'!AX161="","",'12 - Device_Configuration'!AX161)</f>
        <v/>
      </c>
      <c r="T160" s="28" t="str">
        <f>IF('12 - Device_Configuration'!AV161="","",'12 - Device_Configuration'!AV161)</f>
        <v/>
      </c>
      <c r="U160" s="28" t="str">
        <f>IF('12 - Device_Configuration'!AW161="","",'12 - Device_Configuration'!AW161)</f>
        <v/>
      </c>
      <c r="V160" s="28" t="str">
        <f>IF('12 - Device_Configuration'!BA161="","",'12 - Device_Configuration'!BA161)</f>
        <v/>
      </c>
      <c r="W160" s="28" t="str">
        <f>IF('12 - Device_Configuration'!BC161="","",'12 - Device_Configuration'!BC161)</f>
        <v/>
      </c>
      <c r="X160" s="28" t="str">
        <f>IF('12 - Device_Configuration'!BK161="","",'12 - Device_Configuration'!BK161)</f>
        <v/>
      </c>
      <c r="Y160" s="28" t="str">
        <f>IF('12 - Device_Configuration'!BB161="","",'12 - Device_Configuration'!BB161)</f>
        <v/>
      </c>
      <c r="Z160" s="28" t="str">
        <f>IF('12 - Device_Configuration'!P161="","",'12 - Device_Configuration'!P161)</f>
        <v/>
      </c>
      <c r="AA160" s="28" t="str">
        <f>IF('12 - Device_Configuration'!Q161="","",'12 - Device_Configuration'!Q161)</f>
        <v/>
      </c>
    </row>
    <row r="161" spans="1:27">
      <c r="A161" s="29"/>
      <c r="B161" s="29"/>
      <c r="C161" s="28" t="str">
        <f>IF('12 - Device_Configuration'!H162="","",'12 - Device_Configuration'!H162)</f>
        <v/>
      </c>
      <c r="D161" s="28" t="str">
        <f>IF('12 - Device_Configuration'!AE162="","",'12 - Device_Configuration'!AE162)</f>
        <v/>
      </c>
      <c r="E161" s="28" t="str">
        <f>IF('12 - Device_Configuration'!AF162="","",'12 - Device_Configuration'!AF162)</f>
        <v/>
      </c>
      <c r="F161" s="28" t="str">
        <f>IF('12 - Device_Configuration'!AG162="","",'12 - Device_Configuration'!AG162)</f>
        <v/>
      </c>
      <c r="G161" s="28" t="str">
        <f>IF('12 - Device_Configuration'!AH162="","",'12 - Device_Configuration'!AH162)</f>
        <v/>
      </c>
      <c r="H161" s="28" t="str">
        <f>IF('12 - Device_Configuration'!A162="","",'12 - Device_Configuration'!A162)</f>
        <v/>
      </c>
      <c r="I161" s="28" t="str">
        <f>IF('12 - Device_Configuration'!AI162="","",'12 - Device_Configuration'!AI162)</f>
        <v/>
      </c>
      <c r="J161" s="28" t="str">
        <f>IF('12 - Device_Configuration'!AJ162="","",'12 - Device_Configuration'!AJ162)</f>
        <v/>
      </c>
      <c r="K161" s="28" t="str">
        <f>IF('12 - Device_Configuration'!AA162="","",'12 - Device_Configuration'!AA162)</f>
        <v/>
      </c>
      <c r="L161" s="28" t="str">
        <f>IF('12 - Device_Configuration'!I162="","",'12 - Device_Configuration'!I162)</f>
        <v/>
      </c>
      <c r="M161" s="29"/>
      <c r="N161" s="28" t="str">
        <f>IF('12 - Device_Configuration'!J162="","",'12 - Device_Configuration'!J162)</f>
        <v/>
      </c>
      <c r="O161" s="28" t="str">
        <f>IF('12 - Device_Configuration'!K162="","",'12 - Device_Configuration'!K162)</f>
        <v/>
      </c>
      <c r="P161" s="28" t="str">
        <f>IF('12 - Device_Configuration'!L162="","",'12 - Device_Configuration'!L162)</f>
        <v/>
      </c>
      <c r="Q161" s="29"/>
      <c r="R161" s="28" t="str">
        <f>IF('12 - Device_Configuration'!AY162="","",'12 - Device_Configuration'!AY162)</f>
        <v/>
      </c>
      <c r="S161" s="28" t="str">
        <f>IF('12 - Device_Configuration'!AX162="","",'12 - Device_Configuration'!AX162)</f>
        <v/>
      </c>
      <c r="T161" s="28" t="str">
        <f>IF('12 - Device_Configuration'!AV162="","",'12 - Device_Configuration'!AV162)</f>
        <v/>
      </c>
      <c r="U161" s="28" t="str">
        <f>IF('12 - Device_Configuration'!AW162="","",'12 - Device_Configuration'!AW162)</f>
        <v/>
      </c>
      <c r="V161" s="28" t="str">
        <f>IF('12 - Device_Configuration'!BA162="","",'12 - Device_Configuration'!BA162)</f>
        <v/>
      </c>
      <c r="W161" s="28" t="str">
        <f>IF('12 - Device_Configuration'!BC162="","",'12 - Device_Configuration'!BC162)</f>
        <v/>
      </c>
      <c r="X161" s="28" t="str">
        <f>IF('12 - Device_Configuration'!BK162="","",'12 - Device_Configuration'!BK162)</f>
        <v/>
      </c>
      <c r="Y161" s="28" t="str">
        <f>IF('12 - Device_Configuration'!BB162="","",'12 - Device_Configuration'!BB162)</f>
        <v/>
      </c>
      <c r="Z161" s="28" t="str">
        <f>IF('12 - Device_Configuration'!P162="","",'12 - Device_Configuration'!P162)</f>
        <v/>
      </c>
      <c r="AA161" s="28" t="str">
        <f>IF('12 - Device_Configuration'!Q162="","",'12 - Device_Configuration'!Q162)</f>
        <v/>
      </c>
    </row>
    <row r="162" spans="1:27">
      <c r="A162" s="29"/>
      <c r="B162" s="29"/>
      <c r="C162" s="28" t="str">
        <f>IF('12 - Device_Configuration'!H163="","",'12 - Device_Configuration'!H163)</f>
        <v/>
      </c>
      <c r="D162" s="28" t="str">
        <f>IF('12 - Device_Configuration'!AE163="","",'12 - Device_Configuration'!AE163)</f>
        <v/>
      </c>
      <c r="E162" s="28" t="str">
        <f>IF('12 - Device_Configuration'!AF163="","",'12 - Device_Configuration'!AF163)</f>
        <v/>
      </c>
      <c r="F162" s="28" t="str">
        <f>IF('12 - Device_Configuration'!AG163="","",'12 - Device_Configuration'!AG163)</f>
        <v/>
      </c>
      <c r="G162" s="28" t="str">
        <f>IF('12 - Device_Configuration'!AH163="","",'12 - Device_Configuration'!AH163)</f>
        <v/>
      </c>
      <c r="H162" s="28" t="str">
        <f>IF('12 - Device_Configuration'!A163="","",'12 - Device_Configuration'!A163)</f>
        <v/>
      </c>
      <c r="I162" s="28" t="str">
        <f>IF('12 - Device_Configuration'!AI163="","",'12 - Device_Configuration'!AI163)</f>
        <v/>
      </c>
      <c r="J162" s="28" t="str">
        <f>IF('12 - Device_Configuration'!AJ163="","",'12 - Device_Configuration'!AJ163)</f>
        <v/>
      </c>
      <c r="K162" s="28" t="str">
        <f>IF('12 - Device_Configuration'!AA163="","",'12 - Device_Configuration'!AA163)</f>
        <v/>
      </c>
      <c r="L162" s="28" t="str">
        <f>IF('12 - Device_Configuration'!I163="","",'12 - Device_Configuration'!I163)</f>
        <v/>
      </c>
      <c r="M162" s="29"/>
      <c r="N162" s="28" t="str">
        <f>IF('12 - Device_Configuration'!J163="","",'12 - Device_Configuration'!J163)</f>
        <v/>
      </c>
      <c r="O162" s="28" t="str">
        <f>IF('12 - Device_Configuration'!K163="","",'12 - Device_Configuration'!K163)</f>
        <v/>
      </c>
      <c r="P162" s="28" t="str">
        <f>IF('12 - Device_Configuration'!L163="","",'12 - Device_Configuration'!L163)</f>
        <v/>
      </c>
      <c r="Q162" s="29"/>
      <c r="R162" s="28" t="str">
        <f>IF('12 - Device_Configuration'!AY163="","",'12 - Device_Configuration'!AY163)</f>
        <v/>
      </c>
      <c r="S162" s="28" t="str">
        <f>IF('12 - Device_Configuration'!AX163="","",'12 - Device_Configuration'!AX163)</f>
        <v/>
      </c>
      <c r="T162" s="28" t="str">
        <f>IF('12 - Device_Configuration'!AV163="","",'12 - Device_Configuration'!AV163)</f>
        <v/>
      </c>
      <c r="U162" s="28" t="str">
        <f>IF('12 - Device_Configuration'!AW163="","",'12 - Device_Configuration'!AW163)</f>
        <v/>
      </c>
      <c r="V162" s="28" t="str">
        <f>IF('12 - Device_Configuration'!BA163="","",'12 - Device_Configuration'!BA163)</f>
        <v/>
      </c>
      <c r="W162" s="28" t="str">
        <f>IF('12 - Device_Configuration'!BC163="","",'12 - Device_Configuration'!BC163)</f>
        <v/>
      </c>
      <c r="X162" s="28" t="str">
        <f>IF('12 - Device_Configuration'!BK163="","",'12 - Device_Configuration'!BK163)</f>
        <v/>
      </c>
      <c r="Y162" s="28" t="str">
        <f>IF('12 - Device_Configuration'!BB163="","",'12 - Device_Configuration'!BB163)</f>
        <v/>
      </c>
      <c r="Z162" s="28" t="str">
        <f>IF('12 - Device_Configuration'!P163="","",'12 - Device_Configuration'!P163)</f>
        <v/>
      </c>
      <c r="AA162" s="28" t="str">
        <f>IF('12 - Device_Configuration'!Q163="","",'12 - Device_Configuration'!Q163)</f>
        <v/>
      </c>
    </row>
    <row r="163" spans="1:27">
      <c r="A163" s="29"/>
      <c r="B163" s="29"/>
      <c r="C163" s="28" t="str">
        <f>IF('12 - Device_Configuration'!H164="","",'12 - Device_Configuration'!H164)</f>
        <v/>
      </c>
      <c r="D163" s="28" t="str">
        <f>IF('12 - Device_Configuration'!AE164="","",'12 - Device_Configuration'!AE164)</f>
        <v/>
      </c>
      <c r="E163" s="28" t="str">
        <f>IF('12 - Device_Configuration'!AF164="","",'12 - Device_Configuration'!AF164)</f>
        <v/>
      </c>
      <c r="F163" s="28" t="str">
        <f>IF('12 - Device_Configuration'!AG164="","",'12 - Device_Configuration'!AG164)</f>
        <v/>
      </c>
      <c r="G163" s="28" t="str">
        <f>IF('12 - Device_Configuration'!AH164="","",'12 - Device_Configuration'!AH164)</f>
        <v/>
      </c>
      <c r="H163" s="28" t="str">
        <f>IF('12 - Device_Configuration'!A164="","",'12 - Device_Configuration'!A164)</f>
        <v/>
      </c>
      <c r="I163" s="28" t="str">
        <f>IF('12 - Device_Configuration'!AI164="","",'12 - Device_Configuration'!AI164)</f>
        <v/>
      </c>
      <c r="J163" s="28" t="str">
        <f>IF('12 - Device_Configuration'!AJ164="","",'12 - Device_Configuration'!AJ164)</f>
        <v/>
      </c>
      <c r="K163" s="28" t="str">
        <f>IF('12 - Device_Configuration'!AA164="","",'12 - Device_Configuration'!AA164)</f>
        <v/>
      </c>
      <c r="L163" s="28" t="str">
        <f>IF('12 - Device_Configuration'!I164="","",'12 - Device_Configuration'!I164)</f>
        <v/>
      </c>
      <c r="M163" s="29"/>
      <c r="N163" s="28" t="str">
        <f>IF('12 - Device_Configuration'!J164="","",'12 - Device_Configuration'!J164)</f>
        <v/>
      </c>
      <c r="O163" s="28" t="str">
        <f>IF('12 - Device_Configuration'!K164="","",'12 - Device_Configuration'!K164)</f>
        <v/>
      </c>
      <c r="P163" s="28" t="str">
        <f>IF('12 - Device_Configuration'!L164="","",'12 - Device_Configuration'!L164)</f>
        <v/>
      </c>
      <c r="Q163" s="29"/>
      <c r="R163" s="28" t="str">
        <f>IF('12 - Device_Configuration'!AY164="","",'12 - Device_Configuration'!AY164)</f>
        <v/>
      </c>
      <c r="S163" s="28" t="str">
        <f>IF('12 - Device_Configuration'!AX164="","",'12 - Device_Configuration'!AX164)</f>
        <v/>
      </c>
      <c r="T163" s="28" t="str">
        <f>IF('12 - Device_Configuration'!AV164="","",'12 - Device_Configuration'!AV164)</f>
        <v/>
      </c>
      <c r="U163" s="28" t="str">
        <f>IF('12 - Device_Configuration'!AW164="","",'12 - Device_Configuration'!AW164)</f>
        <v/>
      </c>
      <c r="V163" s="28" t="str">
        <f>IF('12 - Device_Configuration'!BA164="","",'12 - Device_Configuration'!BA164)</f>
        <v/>
      </c>
      <c r="W163" s="28" t="str">
        <f>IF('12 - Device_Configuration'!BC164="","",'12 - Device_Configuration'!BC164)</f>
        <v/>
      </c>
      <c r="X163" s="28" t="str">
        <f>IF('12 - Device_Configuration'!BK164="","",'12 - Device_Configuration'!BK164)</f>
        <v/>
      </c>
      <c r="Y163" s="28" t="str">
        <f>IF('12 - Device_Configuration'!BB164="","",'12 - Device_Configuration'!BB164)</f>
        <v/>
      </c>
      <c r="Z163" s="28" t="str">
        <f>IF('12 - Device_Configuration'!P164="","",'12 - Device_Configuration'!P164)</f>
        <v/>
      </c>
      <c r="AA163" s="28" t="str">
        <f>IF('12 - Device_Configuration'!Q164="","",'12 - Device_Configuration'!Q164)</f>
        <v/>
      </c>
    </row>
    <row r="164" spans="1:27">
      <c r="A164" s="29"/>
      <c r="B164" s="29"/>
      <c r="C164" s="28" t="str">
        <f>IF('12 - Device_Configuration'!H165="","",'12 - Device_Configuration'!H165)</f>
        <v/>
      </c>
      <c r="D164" s="28" t="str">
        <f>IF('12 - Device_Configuration'!AE165="","",'12 - Device_Configuration'!AE165)</f>
        <v/>
      </c>
      <c r="E164" s="28" t="str">
        <f>IF('12 - Device_Configuration'!AF165="","",'12 - Device_Configuration'!AF165)</f>
        <v/>
      </c>
      <c r="F164" s="28" t="str">
        <f>IF('12 - Device_Configuration'!AG165="","",'12 - Device_Configuration'!AG165)</f>
        <v/>
      </c>
      <c r="G164" s="28" t="str">
        <f>IF('12 - Device_Configuration'!AH165="","",'12 - Device_Configuration'!AH165)</f>
        <v/>
      </c>
      <c r="H164" s="28" t="str">
        <f>IF('12 - Device_Configuration'!A165="","",'12 - Device_Configuration'!A165)</f>
        <v/>
      </c>
      <c r="I164" s="28" t="str">
        <f>IF('12 - Device_Configuration'!AI165="","",'12 - Device_Configuration'!AI165)</f>
        <v/>
      </c>
      <c r="J164" s="28" t="str">
        <f>IF('12 - Device_Configuration'!AJ165="","",'12 - Device_Configuration'!AJ165)</f>
        <v/>
      </c>
      <c r="K164" s="28" t="str">
        <f>IF('12 - Device_Configuration'!AA165="","",'12 - Device_Configuration'!AA165)</f>
        <v/>
      </c>
      <c r="L164" s="28" t="str">
        <f>IF('12 - Device_Configuration'!I165="","",'12 - Device_Configuration'!I165)</f>
        <v/>
      </c>
      <c r="M164" s="29"/>
      <c r="N164" s="28" t="str">
        <f>IF('12 - Device_Configuration'!J165="","",'12 - Device_Configuration'!J165)</f>
        <v/>
      </c>
      <c r="O164" s="28" t="str">
        <f>IF('12 - Device_Configuration'!K165="","",'12 - Device_Configuration'!K165)</f>
        <v/>
      </c>
      <c r="P164" s="28" t="str">
        <f>IF('12 - Device_Configuration'!L165="","",'12 - Device_Configuration'!L165)</f>
        <v/>
      </c>
      <c r="Q164" s="29"/>
      <c r="R164" s="28" t="str">
        <f>IF('12 - Device_Configuration'!AY165="","",'12 - Device_Configuration'!AY165)</f>
        <v/>
      </c>
      <c r="S164" s="28" t="str">
        <f>IF('12 - Device_Configuration'!AX165="","",'12 - Device_Configuration'!AX165)</f>
        <v/>
      </c>
      <c r="T164" s="28" t="str">
        <f>IF('12 - Device_Configuration'!AV165="","",'12 - Device_Configuration'!AV165)</f>
        <v/>
      </c>
      <c r="U164" s="28" t="str">
        <f>IF('12 - Device_Configuration'!AW165="","",'12 - Device_Configuration'!AW165)</f>
        <v/>
      </c>
      <c r="V164" s="28" t="str">
        <f>IF('12 - Device_Configuration'!BA165="","",'12 - Device_Configuration'!BA165)</f>
        <v/>
      </c>
      <c r="W164" s="28" t="str">
        <f>IF('12 - Device_Configuration'!BC165="","",'12 - Device_Configuration'!BC165)</f>
        <v/>
      </c>
      <c r="X164" s="28" t="str">
        <f>IF('12 - Device_Configuration'!BK165="","",'12 - Device_Configuration'!BK165)</f>
        <v/>
      </c>
      <c r="Y164" s="28" t="str">
        <f>IF('12 - Device_Configuration'!BB165="","",'12 - Device_Configuration'!BB165)</f>
        <v/>
      </c>
      <c r="Z164" s="28" t="str">
        <f>IF('12 - Device_Configuration'!P165="","",'12 - Device_Configuration'!P165)</f>
        <v/>
      </c>
      <c r="AA164" s="28" t="str">
        <f>IF('12 - Device_Configuration'!Q165="","",'12 - Device_Configuration'!Q165)</f>
        <v/>
      </c>
    </row>
    <row r="165" spans="1:27">
      <c r="A165" s="29"/>
      <c r="B165" s="29"/>
      <c r="C165" s="28" t="str">
        <f>IF('12 - Device_Configuration'!H166="","",'12 - Device_Configuration'!H166)</f>
        <v/>
      </c>
      <c r="D165" s="28" t="str">
        <f>IF('12 - Device_Configuration'!AE166="","",'12 - Device_Configuration'!AE166)</f>
        <v/>
      </c>
      <c r="E165" s="28" t="str">
        <f>IF('12 - Device_Configuration'!AF166="","",'12 - Device_Configuration'!AF166)</f>
        <v/>
      </c>
      <c r="F165" s="28" t="str">
        <f>IF('12 - Device_Configuration'!AG166="","",'12 - Device_Configuration'!AG166)</f>
        <v/>
      </c>
      <c r="G165" s="28" t="str">
        <f>IF('12 - Device_Configuration'!AH166="","",'12 - Device_Configuration'!AH166)</f>
        <v/>
      </c>
      <c r="H165" s="28" t="str">
        <f>IF('12 - Device_Configuration'!A166="","",'12 - Device_Configuration'!A166)</f>
        <v/>
      </c>
      <c r="I165" s="28" t="str">
        <f>IF('12 - Device_Configuration'!AI166="","",'12 - Device_Configuration'!AI166)</f>
        <v/>
      </c>
      <c r="J165" s="28" t="str">
        <f>IF('12 - Device_Configuration'!AJ166="","",'12 - Device_Configuration'!AJ166)</f>
        <v/>
      </c>
      <c r="K165" s="28" t="str">
        <f>IF('12 - Device_Configuration'!AA166="","",'12 - Device_Configuration'!AA166)</f>
        <v/>
      </c>
      <c r="L165" s="28" t="str">
        <f>IF('12 - Device_Configuration'!I166="","",'12 - Device_Configuration'!I166)</f>
        <v/>
      </c>
      <c r="M165" s="29"/>
      <c r="N165" s="28" t="str">
        <f>IF('12 - Device_Configuration'!J166="","",'12 - Device_Configuration'!J166)</f>
        <v/>
      </c>
      <c r="O165" s="28" t="str">
        <f>IF('12 - Device_Configuration'!K166="","",'12 - Device_Configuration'!K166)</f>
        <v/>
      </c>
      <c r="P165" s="28" t="str">
        <f>IF('12 - Device_Configuration'!L166="","",'12 - Device_Configuration'!L166)</f>
        <v/>
      </c>
      <c r="Q165" s="29"/>
      <c r="R165" s="28" t="str">
        <f>IF('12 - Device_Configuration'!AY166="","",'12 - Device_Configuration'!AY166)</f>
        <v/>
      </c>
      <c r="S165" s="28" t="str">
        <f>IF('12 - Device_Configuration'!AX166="","",'12 - Device_Configuration'!AX166)</f>
        <v/>
      </c>
      <c r="T165" s="28" t="str">
        <f>IF('12 - Device_Configuration'!AV166="","",'12 - Device_Configuration'!AV166)</f>
        <v/>
      </c>
      <c r="U165" s="28" t="str">
        <f>IF('12 - Device_Configuration'!AW166="","",'12 - Device_Configuration'!AW166)</f>
        <v/>
      </c>
      <c r="V165" s="28" t="str">
        <f>IF('12 - Device_Configuration'!BA166="","",'12 - Device_Configuration'!BA166)</f>
        <v/>
      </c>
      <c r="W165" s="28" t="str">
        <f>IF('12 - Device_Configuration'!BC166="","",'12 - Device_Configuration'!BC166)</f>
        <v/>
      </c>
      <c r="X165" s="28" t="str">
        <f>IF('12 - Device_Configuration'!BK166="","",'12 - Device_Configuration'!BK166)</f>
        <v/>
      </c>
      <c r="Y165" s="28" t="str">
        <f>IF('12 - Device_Configuration'!BB166="","",'12 - Device_Configuration'!BB166)</f>
        <v/>
      </c>
      <c r="Z165" s="28" t="str">
        <f>IF('12 - Device_Configuration'!P166="","",'12 - Device_Configuration'!P166)</f>
        <v/>
      </c>
      <c r="AA165" s="28" t="str">
        <f>IF('12 - Device_Configuration'!Q166="","",'12 - Device_Configuration'!Q166)</f>
        <v/>
      </c>
    </row>
    <row r="166" spans="1:27">
      <c r="A166" s="29"/>
      <c r="B166" s="29"/>
      <c r="C166" s="28" t="str">
        <f>IF('12 - Device_Configuration'!H167="","",'12 - Device_Configuration'!H167)</f>
        <v/>
      </c>
      <c r="D166" s="28" t="str">
        <f>IF('12 - Device_Configuration'!AE167="","",'12 - Device_Configuration'!AE167)</f>
        <v/>
      </c>
      <c r="E166" s="28" t="str">
        <f>IF('12 - Device_Configuration'!AF167="","",'12 - Device_Configuration'!AF167)</f>
        <v/>
      </c>
      <c r="F166" s="28" t="str">
        <f>IF('12 - Device_Configuration'!AG167="","",'12 - Device_Configuration'!AG167)</f>
        <v/>
      </c>
      <c r="G166" s="28" t="str">
        <f>IF('12 - Device_Configuration'!AH167="","",'12 - Device_Configuration'!AH167)</f>
        <v/>
      </c>
      <c r="H166" s="28" t="str">
        <f>IF('12 - Device_Configuration'!A167="","",'12 - Device_Configuration'!A167)</f>
        <v/>
      </c>
      <c r="I166" s="28" t="str">
        <f>IF('12 - Device_Configuration'!AI167="","",'12 - Device_Configuration'!AI167)</f>
        <v/>
      </c>
      <c r="J166" s="28" t="str">
        <f>IF('12 - Device_Configuration'!AJ167="","",'12 - Device_Configuration'!AJ167)</f>
        <v/>
      </c>
      <c r="K166" s="28" t="str">
        <f>IF('12 - Device_Configuration'!AA167="","",'12 - Device_Configuration'!AA167)</f>
        <v/>
      </c>
      <c r="L166" s="28" t="str">
        <f>IF('12 - Device_Configuration'!I167="","",'12 - Device_Configuration'!I167)</f>
        <v/>
      </c>
      <c r="M166" s="29"/>
      <c r="N166" s="28" t="str">
        <f>IF('12 - Device_Configuration'!J167="","",'12 - Device_Configuration'!J167)</f>
        <v/>
      </c>
      <c r="O166" s="28" t="str">
        <f>IF('12 - Device_Configuration'!K167="","",'12 - Device_Configuration'!K167)</f>
        <v/>
      </c>
      <c r="P166" s="28" t="str">
        <f>IF('12 - Device_Configuration'!L167="","",'12 - Device_Configuration'!L167)</f>
        <v/>
      </c>
      <c r="Q166" s="29"/>
      <c r="R166" s="28" t="str">
        <f>IF('12 - Device_Configuration'!AY167="","",'12 - Device_Configuration'!AY167)</f>
        <v/>
      </c>
      <c r="S166" s="28" t="str">
        <f>IF('12 - Device_Configuration'!AX167="","",'12 - Device_Configuration'!AX167)</f>
        <v/>
      </c>
      <c r="T166" s="28" t="str">
        <f>IF('12 - Device_Configuration'!AV167="","",'12 - Device_Configuration'!AV167)</f>
        <v/>
      </c>
      <c r="U166" s="28" t="str">
        <f>IF('12 - Device_Configuration'!AW167="","",'12 - Device_Configuration'!AW167)</f>
        <v/>
      </c>
      <c r="V166" s="28" t="str">
        <f>IF('12 - Device_Configuration'!BA167="","",'12 - Device_Configuration'!BA167)</f>
        <v/>
      </c>
      <c r="W166" s="28" t="str">
        <f>IF('12 - Device_Configuration'!BC167="","",'12 - Device_Configuration'!BC167)</f>
        <v/>
      </c>
      <c r="X166" s="28" t="str">
        <f>IF('12 - Device_Configuration'!BK167="","",'12 - Device_Configuration'!BK167)</f>
        <v/>
      </c>
      <c r="Y166" s="28" t="str">
        <f>IF('12 - Device_Configuration'!BB167="","",'12 - Device_Configuration'!BB167)</f>
        <v/>
      </c>
      <c r="Z166" s="28" t="str">
        <f>IF('12 - Device_Configuration'!P167="","",'12 - Device_Configuration'!P167)</f>
        <v/>
      </c>
      <c r="AA166" s="28" t="str">
        <f>IF('12 - Device_Configuration'!Q167="","",'12 - Device_Configuration'!Q167)</f>
        <v/>
      </c>
    </row>
    <row r="167" spans="1:27">
      <c r="A167" s="29"/>
      <c r="B167" s="29"/>
      <c r="C167" s="28" t="str">
        <f>IF('12 - Device_Configuration'!H168="","",'12 - Device_Configuration'!H168)</f>
        <v/>
      </c>
      <c r="D167" s="28" t="str">
        <f>IF('12 - Device_Configuration'!AE168="","",'12 - Device_Configuration'!AE168)</f>
        <v/>
      </c>
      <c r="E167" s="28" t="str">
        <f>IF('12 - Device_Configuration'!AF168="","",'12 - Device_Configuration'!AF168)</f>
        <v/>
      </c>
      <c r="F167" s="28" t="str">
        <f>IF('12 - Device_Configuration'!AG168="","",'12 - Device_Configuration'!AG168)</f>
        <v/>
      </c>
      <c r="G167" s="28" t="str">
        <f>IF('12 - Device_Configuration'!AH168="","",'12 - Device_Configuration'!AH168)</f>
        <v/>
      </c>
      <c r="H167" s="28" t="str">
        <f>IF('12 - Device_Configuration'!A168="","",'12 - Device_Configuration'!A168)</f>
        <v/>
      </c>
      <c r="I167" s="28" t="str">
        <f>IF('12 - Device_Configuration'!AI168="","",'12 - Device_Configuration'!AI168)</f>
        <v/>
      </c>
      <c r="J167" s="28" t="str">
        <f>IF('12 - Device_Configuration'!AJ168="","",'12 - Device_Configuration'!AJ168)</f>
        <v/>
      </c>
      <c r="K167" s="28" t="str">
        <f>IF('12 - Device_Configuration'!AA168="","",'12 - Device_Configuration'!AA168)</f>
        <v/>
      </c>
      <c r="L167" s="28" t="str">
        <f>IF('12 - Device_Configuration'!I168="","",'12 - Device_Configuration'!I168)</f>
        <v/>
      </c>
      <c r="M167" s="29"/>
      <c r="N167" s="28" t="str">
        <f>IF('12 - Device_Configuration'!J168="","",'12 - Device_Configuration'!J168)</f>
        <v/>
      </c>
      <c r="O167" s="28" t="str">
        <f>IF('12 - Device_Configuration'!K168="","",'12 - Device_Configuration'!K168)</f>
        <v/>
      </c>
      <c r="P167" s="28" t="str">
        <f>IF('12 - Device_Configuration'!L168="","",'12 - Device_Configuration'!L168)</f>
        <v/>
      </c>
      <c r="Q167" s="29"/>
      <c r="R167" s="28" t="str">
        <f>IF('12 - Device_Configuration'!AY168="","",'12 - Device_Configuration'!AY168)</f>
        <v/>
      </c>
      <c r="S167" s="28" t="str">
        <f>IF('12 - Device_Configuration'!AX168="","",'12 - Device_Configuration'!AX168)</f>
        <v/>
      </c>
      <c r="T167" s="28" t="str">
        <f>IF('12 - Device_Configuration'!AV168="","",'12 - Device_Configuration'!AV168)</f>
        <v/>
      </c>
      <c r="U167" s="28" t="str">
        <f>IF('12 - Device_Configuration'!AW168="","",'12 - Device_Configuration'!AW168)</f>
        <v/>
      </c>
      <c r="V167" s="28" t="str">
        <f>IF('12 - Device_Configuration'!BA168="","",'12 - Device_Configuration'!BA168)</f>
        <v/>
      </c>
      <c r="W167" s="28" t="str">
        <f>IF('12 - Device_Configuration'!BC168="","",'12 - Device_Configuration'!BC168)</f>
        <v/>
      </c>
      <c r="X167" s="28" t="str">
        <f>IF('12 - Device_Configuration'!BK168="","",'12 - Device_Configuration'!BK168)</f>
        <v/>
      </c>
      <c r="Y167" s="28" t="str">
        <f>IF('12 - Device_Configuration'!BB168="","",'12 - Device_Configuration'!BB168)</f>
        <v/>
      </c>
      <c r="Z167" s="28" t="str">
        <f>IF('12 - Device_Configuration'!P168="","",'12 - Device_Configuration'!P168)</f>
        <v/>
      </c>
      <c r="AA167" s="28" t="str">
        <f>IF('12 - Device_Configuration'!Q168="","",'12 - Device_Configuration'!Q168)</f>
        <v/>
      </c>
    </row>
    <row r="168" spans="1:27">
      <c r="A168" s="29"/>
      <c r="B168" s="29"/>
      <c r="C168" s="28" t="str">
        <f>IF('12 - Device_Configuration'!H169="","",'12 - Device_Configuration'!H169)</f>
        <v/>
      </c>
      <c r="D168" s="28" t="str">
        <f>IF('12 - Device_Configuration'!AE169="","",'12 - Device_Configuration'!AE169)</f>
        <v/>
      </c>
      <c r="E168" s="28" t="str">
        <f>IF('12 - Device_Configuration'!AF169="","",'12 - Device_Configuration'!AF169)</f>
        <v/>
      </c>
      <c r="F168" s="28" t="str">
        <f>IF('12 - Device_Configuration'!AG169="","",'12 - Device_Configuration'!AG169)</f>
        <v/>
      </c>
      <c r="G168" s="28" t="str">
        <f>IF('12 - Device_Configuration'!AH169="","",'12 - Device_Configuration'!AH169)</f>
        <v/>
      </c>
      <c r="H168" s="28" t="str">
        <f>IF('12 - Device_Configuration'!A169="","",'12 - Device_Configuration'!A169)</f>
        <v/>
      </c>
      <c r="I168" s="28" t="str">
        <f>IF('12 - Device_Configuration'!AI169="","",'12 - Device_Configuration'!AI169)</f>
        <v/>
      </c>
      <c r="J168" s="28" t="str">
        <f>IF('12 - Device_Configuration'!AJ169="","",'12 - Device_Configuration'!AJ169)</f>
        <v/>
      </c>
      <c r="K168" s="28" t="str">
        <f>IF('12 - Device_Configuration'!AA169="","",'12 - Device_Configuration'!AA169)</f>
        <v/>
      </c>
      <c r="L168" s="28" t="str">
        <f>IF('12 - Device_Configuration'!I169="","",'12 - Device_Configuration'!I169)</f>
        <v/>
      </c>
      <c r="M168" s="29"/>
      <c r="N168" s="28" t="str">
        <f>IF('12 - Device_Configuration'!J169="","",'12 - Device_Configuration'!J169)</f>
        <v/>
      </c>
      <c r="O168" s="28" t="str">
        <f>IF('12 - Device_Configuration'!K169="","",'12 - Device_Configuration'!K169)</f>
        <v/>
      </c>
      <c r="P168" s="28" t="str">
        <f>IF('12 - Device_Configuration'!L169="","",'12 - Device_Configuration'!L169)</f>
        <v/>
      </c>
      <c r="Q168" s="29"/>
      <c r="R168" s="28" t="str">
        <f>IF('12 - Device_Configuration'!AY169="","",'12 - Device_Configuration'!AY169)</f>
        <v/>
      </c>
      <c r="S168" s="28" t="str">
        <f>IF('12 - Device_Configuration'!AX169="","",'12 - Device_Configuration'!AX169)</f>
        <v/>
      </c>
      <c r="T168" s="28" t="str">
        <f>IF('12 - Device_Configuration'!AV169="","",'12 - Device_Configuration'!AV169)</f>
        <v/>
      </c>
      <c r="U168" s="28" t="str">
        <f>IF('12 - Device_Configuration'!AW169="","",'12 - Device_Configuration'!AW169)</f>
        <v/>
      </c>
      <c r="V168" s="28" t="str">
        <f>IF('12 - Device_Configuration'!BA169="","",'12 - Device_Configuration'!BA169)</f>
        <v/>
      </c>
      <c r="W168" s="28" t="str">
        <f>IF('12 - Device_Configuration'!BC169="","",'12 - Device_Configuration'!BC169)</f>
        <v/>
      </c>
      <c r="X168" s="28" t="str">
        <f>IF('12 - Device_Configuration'!BK169="","",'12 - Device_Configuration'!BK169)</f>
        <v/>
      </c>
      <c r="Y168" s="28" t="str">
        <f>IF('12 - Device_Configuration'!BB169="","",'12 - Device_Configuration'!BB169)</f>
        <v/>
      </c>
      <c r="Z168" s="28" t="str">
        <f>IF('12 - Device_Configuration'!P169="","",'12 - Device_Configuration'!P169)</f>
        <v/>
      </c>
      <c r="AA168" s="28" t="str">
        <f>IF('12 - Device_Configuration'!Q169="","",'12 - Device_Configuration'!Q169)</f>
        <v/>
      </c>
    </row>
    <row r="169" spans="1:27">
      <c r="A169" s="29"/>
      <c r="B169" s="29"/>
      <c r="C169" s="28" t="str">
        <f>IF('12 - Device_Configuration'!H170="","",'12 - Device_Configuration'!H170)</f>
        <v/>
      </c>
      <c r="D169" s="28" t="str">
        <f>IF('12 - Device_Configuration'!AE170="","",'12 - Device_Configuration'!AE170)</f>
        <v/>
      </c>
      <c r="E169" s="28" t="str">
        <f>IF('12 - Device_Configuration'!AF170="","",'12 - Device_Configuration'!AF170)</f>
        <v/>
      </c>
      <c r="F169" s="28" t="str">
        <f>IF('12 - Device_Configuration'!AG170="","",'12 - Device_Configuration'!AG170)</f>
        <v/>
      </c>
      <c r="G169" s="28" t="str">
        <f>IF('12 - Device_Configuration'!AH170="","",'12 - Device_Configuration'!AH170)</f>
        <v/>
      </c>
      <c r="H169" s="28" t="str">
        <f>IF('12 - Device_Configuration'!A170="","",'12 - Device_Configuration'!A170)</f>
        <v/>
      </c>
      <c r="I169" s="28" t="str">
        <f>IF('12 - Device_Configuration'!AI170="","",'12 - Device_Configuration'!AI170)</f>
        <v/>
      </c>
      <c r="J169" s="28" t="str">
        <f>IF('12 - Device_Configuration'!AJ170="","",'12 - Device_Configuration'!AJ170)</f>
        <v/>
      </c>
      <c r="K169" s="28" t="str">
        <f>IF('12 - Device_Configuration'!AA170="","",'12 - Device_Configuration'!AA170)</f>
        <v/>
      </c>
      <c r="L169" s="28" t="str">
        <f>IF('12 - Device_Configuration'!I170="","",'12 - Device_Configuration'!I170)</f>
        <v/>
      </c>
      <c r="M169" s="29"/>
      <c r="N169" s="28" t="str">
        <f>IF('12 - Device_Configuration'!J170="","",'12 - Device_Configuration'!J170)</f>
        <v/>
      </c>
      <c r="O169" s="28" t="str">
        <f>IF('12 - Device_Configuration'!K170="","",'12 - Device_Configuration'!K170)</f>
        <v/>
      </c>
      <c r="P169" s="28" t="str">
        <f>IF('12 - Device_Configuration'!L170="","",'12 - Device_Configuration'!L170)</f>
        <v/>
      </c>
      <c r="Q169" s="29"/>
      <c r="R169" s="28" t="str">
        <f>IF('12 - Device_Configuration'!AY170="","",'12 - Device_Configuration'!AY170)</f>
        <v/>
      </c>
      <c r="S169" s="28" t="str">
        <f>IF('12 - Device_Configuration'!AX170="","",'12 - Device_Configuration'!AX170)</f>
        <v/>
      </c>
      <c r="T169" s="28" t="str">
        <f>IF('12 - Device_Configuration'!AV170="","",'12 - Device_Configuration'!AV170)</f>
        <v/>
      </c>
      <c r="U169" s="28" t="str">
        <f>IF('12 - Device_Configuration'!AW170="","",'12 - Device_Configuration'!AW170)</f>
        <v/>
      </c>
      <c r="V169" s="28" t="str">
        <f>IF('12 - Device_Configuration'!BA170="","",'12 - Device_Configuration'!BA170)</f>
        <v/>
      </c>
      <c r="W169" s="28" t="str">
        <f>IF('12 - Device_Configuration'!BC170="","",'12 - Device_Configuration'!BC170)</f>
        <v/>
      </c>
      <c r="X169" s="28" t="str">
        <f>IF('12 - Device_Configuration'!BK170="","",'12 - Device_Configuration'!BK170)</f>
        <v/>
      </c>
      <c r="Y169" s="28" t="str">
        <f>IF('12 - Device_Configuration'!BB170="","",'12 - Device_Configuration'!BB170)</f>
        <v/>
      </c>
      <c r="Z169" s="28" t="str">
        <f>IF('12 - Device_Configuration'!P170="","",'12 - Device_Configuration'!P170)</f>
        <v/>
      </c>
      <c r="AA169" s="28" t="str">
        <f>IF('12 - Device_Configuration'!Q170="","",'12 - Device_Configuration'!Q170)</f>
        <v/>
      </c>
    </row>
    <row r="170" spans="1:27">
      <c r="A170" s="29"/>
      <c r="B170" s="29"/>
      <c r="C170" s="28" t="str">
        <f>IF('12 - Device_Configuration'!H171="","",'12 - Device_Configuration'!H171)</f>
        <v/>
      </c>
      <c r="D170" s="28" t="str">
        <f>IF('12 - Device_Configuration'!AE171="","",'12 - Device_Configuration'!AE171)</f>
        <v/>
      </c>
      <c r="E170" s="28" t="str">
        <f>IF('12 - Device_Configuration'!AF171="","",'12 - Device_Configuration'!AF171)</f>
        <v/>
      </c>
      <c r="F170" s="28" t="str">
        <f>IF('12 - Device_Configuration'!AG171="","",'12 - Device_Configuration'!AG171)</f>
        <v/>
      </c>
      <c r="G170" s="28" t="str">
        <f>IF('12 - Device_Configuration'!AH171="","",'12 - Device_Configuration'!AH171)</f>
        <v/>
      </c>
      <c r="H170" s="28" t="str">
        <f>IF('12 - Device_Configuration'!A171="","",'12 - Device_Configuration'!A171)</f>
        <v/>
      </c>
      <c r="I170" s="28" t="str">
        <f>IF('12 - Device_Configuration'!AI171="","",'12 - Device_Configuration'!AI171)</f>
        <v/>
      </c>
      <c r="J170" s="28" t="str">
        <f>IF('12 - Device_Configuration'!AJ171="","",'12 - Device_Configuration'!AJ171)</f>
        <v/>
      </c>
      <c r="K170" s="28" t="str">
        <f>IF('12 - Device_Configuration'!AA171="","",'12 - Device_Configuration'!AA171)</f>
        <v/>
      </c>
      <c r="L170" s="28" t="str">
        <f>IF('12 - Device_Configuration'!I171="","",'12 - Device_Configuration'!I171)</f>
        <v/>
      </c>
      <c r="M170" s="29"/>
      <c r="N170" s="28" t="str">
        <f>IF('12 - Device_Configuration'!J171="","",'12 - Device_Configuration'!J171)</f>
        <v/>
      </c>
      <c r="O170" s="28" t="str">
        <f>IF('12 - Device_Configuration'!K171="","",'12 - Device_Configuration'!K171)</f>
        <v/>
      </c>
      <c r="P170" s="28" t="str">
        <f>IF('12 - Device_Configuration'!L171="","",'12 - Device_Configuration'!L171)</f>
        <v/>
      </c>
      <c r="Q170" s="29"/>
      <c r="R170" s="28" t="str">
        <f>IF('12 - Device_Configuration'!AY171="","",'12 - Device_Configuration'!AY171)</f>
        <v/>
      </c>
      <c r="S170" s="28" t="str">
        <f>IF('12 - Device_Configuration'!AX171="","",'12 - Device_Configuration'!AX171)</f>
        <v/>
      </c>
      <c r="T170" s="28" t="str">
        <f>IF('12 - Device_Configuration'!AV171="","",'12 - Device_Configuration'!AV171)</f>
        <v/>
      </c>
      <c r="U170" s="28" t="str">
        <f>IF('12 - Device_Configuration'!AW171="","",'12 - Device_Configuration'!AW171)</f>
        <v/>
      </c>
      <c r="V170" s="28" t="str">
        <f>IF('12 - Device_Configuration'!BA171="","",'12 - Device_Configuration'!BA171)</f>
        <v/>
      </c>
      <c r="W170" s="28" t="str">
        <f>IF('12 - Device_Configuration'!BC171="","",'12 - Device_Configuration'!BC171)</f>
        <v/>
      </c>
      <c r="X170" s="28" t="str">
        <f>IF('12 - Device_Configuration'!BK171="","",'12 - Device_Configuration'!BK171)</f>
        <v/>
      </c>
      <c r="Y170" s="28" t="str">
        <f>IF('12 - Device_Configuration'!BB171="","",'12 - Device_Configuration'!BB171)</f>
        <v/>
      </c>
      <c r="Z170" s="28" t="str">
        <f>IF('12 - Device_Configuration'!P171="","",'12 - Device_Configuration'!P171)</f>
        <v/>
      </c>
      <c r="AA170" s="28" t="str">
        <f>IF('12 - Device_Configuration'!Q171="","",'12 - Device_Configuration'!Q171)</f>
        <v/>
      </c>
    </row>
    <row r="171" spans="1:27">
      <c r="A171" s="29"/>
      <c r="B171" s="29"/>
      <c r="C171" s="28" t="str">
        <f>IF('12 - Device_Configuration'!H172="","",'12 - Device_Configuration'!H172)</f>
        <v/>
      </c>
      <c r="D171" s="28" t="str">
        <f>IF('12 - Device_Configuration'!AE172="","",'12 - Device_Configuration'!AE172)</f>
        <v/>
      </c>
      <c r="E171" s="28" t="str">
        <f>IF('12 - Device_Configuration'!AF172="","",'12 - Device_Configuration'!AF172)</f>
        <v/>
      </c>
      <c r="F171" s="28" t="str">
        <f>IF('12 - Device_Configuration'!AG172="","",'12 - Device_Configuration'!AG172)</f>
        <v/>
      </c>
      <c r="G171" s="28" t="str">
        <f>IF('12 - Device_Configuration'!AH172="","",'12 - Device_Configuration'!AH172)</f>
        <v/>
      </c>
      <c r="H171" s="28" t="str">
        <f>IF('12 - Device_Configuration'!A172="","",'12 - Device_Configuration'!A172)</f>
        <v/>
      </c>
      <c r="I171" s="28" t="str">
        <f>IF('12 - Device_Configuration'!AI172="","",'12 - Device_Configuration'!AI172)</f>
        <v/>
      </c>
      <c r="J171" s="28" t="str">
        <f>IF('12 - Device_Configuration'!AJ172="","",'12 - Device_Configuration'!AJ172)</f>
        <v/>
      </c>
      <c r="K171" s="28" t="str">
        <f>IF('12 - Device_Configuration'!AA172="","",'12 - Device_Configuration'!AA172)</f>
        <v/>
      </c>
      <c r="L171" s="28" t="str">
        <f>IF('12 - Device_Configuration'!I172="","",'12 - Device_Configuration'!I172)</f>
        <v/>
      </c>
      <c r="M171" s="29"/>
      <c r="N171" s="28" t="str">
        <f>IF('12 - Device_Configuration'!J172="","",'12 - Device_Configuration'!J172)</f>
        <v/>
      </c>
      <c r="O171" s="28" t="str">
        <f>IF('12 - Device_Configuration'!K172="","",'12 - Device_Configuration'!K172)</f>
        <v/>
      </c>
      <c r="P171" s="28" t="str">
        <f>IF('12 - Device_Configuration'!L172="","",'12 - Device_Configuration'!L172)</f>
        <v/>
      </c>
      <c r="Q171" s="29"/>
      <c r="R171" s="28" t="str">
        <f>IF('12 - Device_Configuration'!AY172="","",'12 - Device_Configuration'!AY172)</f>
        <v/>
      </c>
      <c r="S171" s="28" t="str">
        <f>IF('12 - Device_Configuration'!AX172="","",'12 - Device_Configuration'!AX172)</f>
        <v/>
      </c>
      <c r="T171" s="28" t="str">
        <f>IF('12 - Device_Configuration'!AV172="","",'12 - Device_Configuration'!AV172)</f>
        <v/>
      </c>
      <c r="U171" s="28" t="str">
        <f>IF('12 - Device_Configuration'!AW172="","",'12 - Device_Configuration'!AW172)</f>
        <v/>
      </c>
      <c r="V171" s="28" t="str">
        <f>IF('12 - Device_Configuration'!BA172="","",'12 - Device_Configuration'!BA172)</f>
        <v/>
      </c>
      <c r="W171" s="28" t="str">
        <f>IF('12 - Device_Configuration'!BC172="","",'12 - Device_Configuration'!BC172)</f>
        <v/>
      </c>
      <c r="X171" s="28" t="str">
        <f>IF('12 - Device_Configuration'!BK172="","",'12 - Device_Configuration'!BK172)</f>
        <v/>
      </c>
      <c r="Y171" s="28" t="str">
        <f>IF('12 - Device_Configuration'!BB172="","",'12 - Device_Configuration'!BB172)</f>
        <v/>
      </c>
      <c r="Z171" s="28" t="str">
        <f>IF('12 - Device_Configuration'!P172="","",'12 - Device_Configuration'!P172)</f>
        <v/>
      </c>
      <c r="AA171" s="28" t="str">
        <f>IF('12 - Device_Configuration'!Q172="","",'12 - Device_Configuration'!Q172)</f>
        <v/>
      </c>
    </row>
    <row r="172" spans="1:27">
      <c r="A172" s="29"/>
      <c r="B172" s="29"/>
      <c r="C172" s="28" t="str">
        <f>IF('12 - Device_Configuration'!H173="","",'12 - Device_Configuration'!H173)</f>
        <v/>
      </c>
      <c r="D172" s="28" t="str">
        <f>IF('12 - Device_Configuration'!AE173="","",'12 - Device_Configuration'!AE173)</f>
        <v/>
      </c>
      <c r="E172" s="28" t="str">
        <f>IF('12 - Device_Configuration'!AF173="","",'12 - Device_Configuration'!AF173)</f>
        <v/>
      </c>
      <c r="F172" s="28" t="str">
        <f>IF('12 - Device_Configuration'!AG173="","",'12 - Device_Configuration'!AG173)</f>
        <v/>
      </c>
      <c r="G172" s="28" t="str">
        <f>IF('12 - Device_Configuration'!AH173="","",'12 - Device_Configuration'!AH173)</f>
        <v/>
      </c>
      <c r="H172" s="28" t="str">
        <f>IF('12 - Device_Configuration'!A173="","",'12 - Device_Configuration'!A173)</f>
        <v/>
      </c>
      <c r="I172" s="28" t="str">
        <f>IF('12 - Device_Configuration'!AI173="","",'12 - Device_Configuration'!AI173)</f>
        <v/>
      </c>
      <c r="J172" s="28" t="str">
        <f>IF('12 - Device_Configuration'!AJ173="","",'12 - Device_Configuration'!AJ173)</f>
        <v/>
      </c>
      <c r="K172" s="28" t="str">
        <f>IF('12 - Device_Configuration'!AA173="","",'12 - Device_Configuration'!AA173)</f>
        <v/>
      </c>
      <c r="L172" s="28" t="str">
        <f>IF('12 - Device_Configuration'!I173="","",'12 - Device_Configuration'!I173)</f>
        <v/>
      </c>
      <c r="M172" s="29"/>
      <c r="N172" s="28" t="str">
        <f>IF('12 - Device_Configuration'!J173="","",'12 - Device_Configuration'!J173)</f>
        <v/>
      </c>
      <c r="O172" s="28" t="str">
        <f>IF('12 - Device_Configuration'!K173="","",'12 - Device_Configuration'!K173)</f>
        <v/>
      </c>
      <c r="P172" s="28" t="str">
        <f>IF('12 - Device_Configuration'!L173="","",'12 - Device_Configuration'!L173)</f>
        <v/>
      </c>
      <c r="Q172" s="29"/>
      <c r="R172" s="28" t="str">
        <f>IF('12 - Device_Configuration'!AY173="","",'12 - Device_Configuration'!AY173)</f>
        <v/>
      </c>
      <c r="S172" s="28" t="str">
        <f>IF('12 - Device_Configuration'!AX173="","",'12 - Device_Configuration'!AX173)</f>
        <v/>
      </c>
      <c r="T172" s="28" t="str">
        <f>IF('12 - Device_Configuration'!AV173="","",'12 - Device_Configuration'!AV173)</f>
        <v/>
      </c>
      <c r="U172" s="28" t="str">
        <f>IF('12 - Device_Configuration'!AW173="","",'12 - Device_Configuration'!AW173)</f>
        <v/>
      </c>
      <c r="V172" s="28" t="str">
        <f>IF('12 - Device_Configuration'!BA173="","",'12 - Device_Configuration'!BA173)</f>
        <v/>
      </c>
      <c r="W172" s="28" t="str">
        <f>IF('12 - Device_Configuration'!BC173="","",'12 - Device_Configuration'!BC173)</f>
        <v/>
      </c>
      <c r="X172" s="28" t="str">
        <f>IF('12 - Device_Configuration'!BK173="","",'12 - Device_Configuration'!BK173)</f>
        <v/>
      </c>
      <c r="Y172" s="28" t="str">
        <f>IF('12 - Device_Configuration'!BB173="","",'12 - Device_Configuration'!BB173)</f>
        <v/>
      </c>
      <c r="Z172" s="28" t="str">
        <f>IF('12 - Device_Configuration'!P173="","",'12 - Device_Configuration'!P173)</f>
        <v/>
      </c>
      <c r="AA172" s="28" t="str">
        <f>IF('12 - Device_Configuration'!Q173="","",'12 - Device_Configuration'!Q173)</f>
        <v/>
      </c>
    </row>
    <row r="173" spans="1:27">
      <c r="A173" s="29"/>
      <c r="B173" s="29"/>
      <c r="C173" s="28" t="str">
        <f>IF('12 - Device_Configuration'!H174="","",'12 - Device_Configuration'!H174)</f>
        <v/>
      </c>
      <c r="D173" s="28" t="str">
        <f>IF('12 - Device_Configuration'!AE174="","",'12 - Device_Configuration'!AE174)</f>
        <v/>
      </c>
      <c r="E173" s="28" t="str">
        <f>IF('12 - Device_Configuration'!AF174="","",'12 - Device_Configuration'!AF174)</f>
        <v/>
      </c>
      <c r="F173" s="28" t="str">
        <f>IF('12 - Device_Configuration'!AG174="","",'12 - Device_Configuration'!AG174)</f>
        <v/>
      </c>
      <c r="G173" s="28" t="str">
        <f>IF('12 - Device_Configuration'!AH174="","",'12 - Device_Configuration'!AH174)</f>
        <v/>
      </c>
      <c r="H173" s="28" t="str">
        <f>IF('12 - Device_Configuration'!A174="","",'12 - Device_Configuration'!A174)</f>
        <v/>
      </c>
      <c r="I173" s="28" t="str">
        <f>IF('12 - Device_Configuration'!AI174="","",'12 - Device_Configuration'!AI174)</f>
        <v/>
      </c>
      <c r="J173" s="28" t="str">
        <f>IF('12 - Device_Configuration'!AJ174="","",'12 - Device_Configuration'!AJ174)</f>
        <v/>
      </c>
      <c r="K173" s="28" t="str">
        <f>IF('12 - Device_Configuration'!AA174="","",'12 - Device_Configuration'!AA174)</f>
        <v/>
      </c>
      <c r="L173" s="28" t="str">
        <f>IF('12 - Device_Configuration'!I174="","",'12 - Device_Configuration'!I174)</f>
        <v/>
      </c>
      <c r="M173" s="29"/>
      <c r="N173" s="28" t="str">
        <f>IF('12 - Device_Configuration'!J174="","",'12 - Device_Configuration'!J174)</f>
        <v/>
      </c>
      <c r="O173" s="28" t="str">
        <f>IF('12 - Device_Configuration'!K174="","",'12 - Device_Configuration'!K174)</f>
        <v/>
      </c>
      <c r="P173" s="28" t="str">
        <f>IF('12 - Device_Configuration'!L174="","",'12 - Device_Configuration'!L174)</f>
        <v/>
      </c>
      <c r="Q173" s="29"/>
      <c r="R173" s="28" t="str">
        <f>IF('12 - Device_Configuration'!AY174="","",'12 - Device_Configuration'!AY174)</f>
        <v/>
      </c>
      <c r="S173" s="28" t="str">
        <f>IF('12 - Device_Configuration'!AX174="","",'12 - Device_Configuration'!AX174)</f>
        <v/>
      </c>
      <c r="T173" s="28" t="str">
        <f>IF('12 - Device_Configuration'!AV174="","",'12 - Device_Configuration'!AV174)</f>
        <v/>
      </c>
      <c r="U173" s="28" t="str">
        <f>IF('12 - Device_Configuration'!AW174="","",'12 - Device_Configuration'!AW174)</f>
        <v/>
      </c>
      <c r="V173" s="28" t="str">
        <f>IF('12 - Device_Configuration'!BA174="","",'12 - Device_Configuration'!BA174)</f>
        <v/>
      </c>
      <c r="W173" s="28" t="str">
        <f>IF('12 - Device_Configuration'!BC174="","",'12 - Device_Configuration'!BC174)</f>
        <v/>
      </c>
      <c r="X173" s="28" t="str">
        <f>IF('12 - Device_Configuration'!BK174="","",'12 - Device_Configuration'!BK174)</f>
        <v/>
      </c>
      <c r="Y173" s="28" t="str">
        <f>IF('12 - Device_Configuration'!BB174="","",'12 - Device_Configuration'!BB174)</f>
        <v/>
      </c>
      <c r="Z173" s="28" t="str">
        <f>IF('12 - Device_Configuration'!P174="","",'12 - Device_Configuration'!P174)</f>
        <v/>
      </c>
      <c r="AA173" s="28" t="str">
        <f>IF('12 - Device_Configuration'!Q174="","",'12 - Device_Configuration'!Q174)</f>
        <v/>
      </c>
    </row>
    <row r="174" spans="1:27">
      <c r="A174" s="29"/>
      <c r="B174" s="29"/>
      <c r="C174" s="28" t="str">
        <f>IF('12 - Device_Configuration'!H175="","",'12 - Device_Configuration'!H175)</f>
        <v/>
      </c>
      <c r="D174" s="28" t="str">
        <f>IF('12 - Device_Configuration'!AE175="","",'12 - Device_Configuration'!AE175)</f>
        <v/>
      </c>
      <c r="E174" s="28" t="str">
        <f>IF('12 - Device_Configuration'!AF175="","",'12 - Device_Configuration'!AF175)</f>
        <v/>
      </c>
      <c r="F174" s="28" t="str">
        <f>IF('12 - Device_Configuration'!AG175="","",'12 - Device_Configuration'!AG175)</f>
        <v/>
      </c>
      <c r="G174" s="28" t="str">
        <f>IF('12 - Device_Configuration'!AH175="","",'12 - Device_Configuration'!AH175)</f>
        <v/>
      </c>
      <c r="H174" s="28" t="str">
        <f>IF('12 - Device_Configuration'!A175="","",'12 - Device_Configuration'!A175)</f>
        <v/>
      </c>
      <c r="I174" s="28" t="str">
        <f>IF('12 - Device_Configuration'!AI175="","",'12 - Device_Configuration'!AI175)</f>
        <v/>
      </c>
      <c r="J174" s="28" t="str">
        <f>IF('12 - Device_Configuration'!AJ175="","",'12 - Device_Configuration'!AJ175)</f>
        <v/>
      </c>
      <c r="K174" s="28" t="str">
        <f>IF('12 - Device_Configuration'!AA175="","",'12 - Device_Configuration'!AA175)</f>
        <v/>
      </c>
      <c r="L174" s="28" t="str">
        <f>IF('12 - Device_Configuration'!I175="","",'12 - Device_Configuration'!I175)</f>
        <v/>
      </c>
      <c r="M174" s="29"/>
      <c r="N174" s="28" t="str">
        <f>IF('12 - Device_Configuration'!J175="","",'12 - Device_Configuration'!J175)</f>
        <v/>
      </c>
      <c r="O174" s="28" t="str">
        <f>IF('12 - Device_Configuration'!K175="","",'12 - Device_Configuration'!K175)</f>
        <v/>
      </c>
      <c r="P174" s="28" t="str">
        <f>IF('12 - Device_Configuration'!L175="","",'12 - Device_Configuration'!L175)</f>
        <v/>
      </c>
      <c r="Q174" s="29"/>
      <c r="R174" s="28" t="str">
        <f>IF('12 - Device_Configuration'!AY175="","",'12 - Device_Configuration'!AY175)</f>
        <v/>
      </c>
      <c r="S174" s="28" t="str">
        <f>IF('12 - Device_Configuration'!AX175="","",'12 - Device_Configuration'!AX175)</f>
        <v/>
      </c>
      <c r="T174" s="28" t="str">
        <f>IF('12 - Device_Configuration'!AV175="","",'12 - Device_Configuration'!AV175)</f>
        <v/>
      </c>
      <c r="U174" s="28" t="str">
        <f>IF('12 - Device_Configuration'!AW175="","",'12 - Device_Configuration'!AW175)</f>
        <v/>
      </c>
      <c r="V174" s="28" t="str">
        <f>IF('12 - Device_Configuration'!BA175="","",'12 - Device_Configuration'!BA175)</f>
        <v/>
      </c>
      <c r="W174" s="28" t="str">
        <f>IF('12 - Device_Configuration'!BC175="","",'12 - Device_Configuration'!BC175)</f>
        <v/>
      </c>
      <c r="X174" s="28" t="str">
        <f>IF('12 - Device_Configuration'!BK175="","",'12 - Device_Configuration'!BK175)</f>
        <v/>
      </c>
      <c r="Y174" s="28" t="str">
        <f>IF('12 - Device_Configuration'!BB175="","",'12 - Device_Configuration'!BB175)</f>
        <v/>
      </c>
      <c r="Z174" s="28" t="str">
        <f>IF('12 - Device_Configuration'!P175="","",'12 - Device_Configuration'!P175)</f>
        <v/>
      </c>
      <c r="AA174" s="28" t="str">
        <f>IF('12 - Device_Configuration'!Q175="","",'12 - Device_Configuration'!Q175)</f>
        <v/>
      </c>
    </row>
    <row r="175" spans="1:27">
      <c r="A175" s="29"/>
      <c r="B175" s="29"/>
      <c r="C175" s="28" t="str">
        <f>IF('12 - Device_Configuration'!H176="","",'12 - Device_Configuration'!H176)</f>
        <v/>
      </c>
      <c r="D175" s="28" t="str">
        <f>IF('12 - Device_Configuration'!AE176="","",'12 - Device_Configuration'!AE176)</f>
        <v/>
      </c>
      <c r="E175" s="28" t="str">
        <f>IF('12 - Device_Configuration'!AF176="","",'12 - Device_Configuration'!AF176)</f>
        <v/>
      </c>
      <c r="F175" s="28" t="str">
        <f>IF('12 - Device_Configuration'!AG176="","",'12 - Device_Configuration'!AG176)</f>
        <v/>
      </c>
      <c r="G175" s="28" t="str">
        <f>IF('12 - Device_Configuration'!AH176="","",'12 - Device_Configuration'!AH176)</f>
        <v/>
      </c>
      <c r="H175" s="28" t="str">
        <f>IF('12 - Device_Configuration'!A176="","",'12 - Device_Configuration'!A176)</f>
        <v/>
      </c>
      <c r="I175" s="28" t="str">
        <f>IF('12 - Device_Configuration'!AI176="","",'12 - Device_Configuration'!AI176)</f>
        <v/>
      </c>
      <c r="J175" s="28" t="str">
        <f>IF('12 - Device_Configuration'!AJ176="","",'12 - Device_Configuration'!AJ176)</f>
        <v/>
      </c>
      <c r="K175" s="28" t="str">
        <f>IF('12 - Device_Configuration'!AA176="","",'12 - Device_Configuration'!AA176)</f>
        <v/>
      </c>
      <c r="L175" s="28" t="str">
        <f>IF('12 - Device_Configuration'!I176="","",'12 - Device_Configuration'!I176)</f>
        <v/>
      </c>
      <c r="M175" s="29"/>
      <c r="N175" s="28" t="str">
        <f>IF('12 - Device_Configuration'!J176="","",'12 - Device_Configuration'!J176)</f>
        <v/>
      </c>
      <c r="O175" s="28" t="str">
        <f>IF('12 - Device_Configuration'!K176="","",'12 - Device_Configuration'!K176)</f>
        <v/>
      </c>
      <c r="P175" s="28" t="str">
        <f>IF('12 - Device_Configuration'!L176="","",'12 - Device_Configuration'!L176)</f>
        <v/>
      </c>
      <c r="Q175" s="29"/>
      <c r="R175" s="28" t="str">
        <f>IF('12 - Device_Configuration'!AY176="","",'12 - Device_Configuration'!AY176)</f>
        <v/>
      </c>
      <c r="S175" s="28" t="str">
        <f>IF('12 - Device_Configuration'!AX176="","",'12 - Device_Configuration'!AX176)</f>
        <v/>
      </c>
      <c r="T175" s="28" t="str">
        <f>IF('12 - Device_Configuration'!AV176="","",'12 - Device_Configuration'!AV176)</f>
        <v/>
      </c>
      <c r="U175" s="28" t="str">
        <f>IF('12 - Device_Configuration'!AW176="","",'12 - Device_Configuration'!AW176)</f>
        <v/>
      </c>
      <c r="V175" s="28" t="str">
        <f>IF('12 - Device_Configuration'!BA176="","",'12 - Device_Configuration'!BA176)</f>
        <v/>
      </c>
      <c r="W175" s="28" t="str">
        <f>IF('12 - Device_Configuration'!BC176="","",'12 - Device_Configuration'!BC176)</f>
        <v/>
      </c>
      <c r="X175" s="28" t="str">
        <f>IF('12 - Device_Configuration'!BK176="","",'12 - Device_Configuration'!BK176)</f>
        <v/>
      </c>
      <c r="Y175" s="28" t="str">
        <f>IF('12 - Device_Configuration'!BB176="","",'12 - Device_Configuration'!BB176)</f>
        <v/>
      </c>
      <c r="Z175" s="28" t="str">
        <f>IF('12 - Device_Configuration'!P176="","",'12 - Device_Configuration'!P176)</f>
        <v/>
      </c>
      <c r="AA175" s="28" t="str">
        <f>IF('12 - Device_Configuration'!Q176="","",'12 - Device_Configuration'!Q176)</f>
        <v/>
      </c>
    </row>
    <row r="176" spans="1:27">
      <c r="A176" s="29"/>
      <c r="B176" s="29"/>
      <c r="C176" s="28" t="str">
        <f>IF('12 - Device_Configuration'!H177="","",'12 - Device_Configuration'!H177)</f>
        <v/>
      </c>
      <c r="D176" s="28" t="str">
        <f>IF('12 - Device_Configuration'!AE177="","",'12 - Device_Configuration'!AE177)</f>
        <v/>
      </c>
      <c r="E176" s="28" t="str">
        <f>IF('12 - Device_Configuration'!AF177="","",'12 - Device_Configuration'!AF177)</f>
        <v/>
      </c>
      <c r="F176" s="28" t="str">
        <f>IF('12 - Device_Configuration'!AG177="","",'12 - Device_Configuration'!AG177)</f>
        <v/>
      </c>
      <c r="G176" s="28" t="str">
        <f>IF('12 - Device_Configuration'!AH177="","",'12 - Device_Configuration'!AH177)</f>
        <v/>
      </c>
      <c r="H176" s="28" t="str">
        <f>IF('12 - Device_Configuration'!A177="","",'12 - Device_Configuration'!A177)</f>
        <v/>
      </c>
      <c r="I176" s="28" t="str">
        <f>IF('12 - Device_Configuration'!AI177="","",'12 - Device_Configuration'!AI177)</f>
        <v/>
      </c>
      <c r="J176" s="28" t="str">
        <f>IF('12 - Device_Configuration'!AJ177="","",'12 - Device_Configuration'!AJ177)</f>
        <v/>
      </c>
      <c r="K176" s="28" t="str">
        <f>IF('12 - Device_Configuration'!AA177="","",'12 - Device_Configuration'!AA177)</f>
        <v/>
      </c>
      <c r="L176" s="28" t="str">
        <f>IF('12 - Device_Configuration'!I177="","",'12 - Device_Configuration'!I177)</f>
        <v/>
      </c>
      <c r="M176" s="29"/>
      <c r="N176" s="28" t="str">
        <f>IF('12 - Device_Configuration'!J177="","",'12 - Device_Configuration'!J177)</f>
        <v/>
      </c>
      <c r="O176" s="28" t="str">
        <f>IF('12 - Device_Configuration'!K177="","",'12 - Device_Configuration'!K177)</f>
        <v/>
      </c>
      <c r="P176" s="28" t="str">
        <f>IF('12 - Device_Configuration'!L177="","",'12 - Device_Configuration'!L177)</f>
        <v/>
      </c>
      <c r="Q176" s="29"/>
      <c r="R176" s="28" t="str">
        <f>IF('12 - Device_Configuration'!AY177="","",'12 - Device_Configuration'!AY177)</f>
        <v/>
      </c>
      <c r="S176" s="28" t="str">
        <f>IF('12 - Device_Configuration'!AX177="","",'12 - Device_Configuration'!AX177)</f>
        <v/>
      </c>
      <c r="T176" s="28" t="str">
        <f>IF('12 - Device_Configuration'!AV177="","",'12 - Device_Configuration'!AV177)</f>
        <v/>
      </c>
      <c r="U176" s="28" t="str">
        <f>IF('12 - Device_Configuration'!AW177="","",'12 - Device_Configuration'!AW177)</f>
        <v/>
      </c>
      <c r="V176" s="28" t="str">
        <f>IF('12 - Device_Configuration'!BA177="","",'12 - Device_Configuration'!BA177)</f>
        <v/>
      </c>
      <c r="W176" s="28" t="str">
        <f>IF('12 - Device_Configuration'!BC177="","",'12 - Device_Configuration'!BC177)</f>
        <v/>
      </c>
      <c r="X176" s="28" t="str">
        <f>IF('12 - Device_Configuration'!BK177="","",'12 - Device_Configuration'!BK177)</f>
        <v/>
      </c>
      <c r="Y176" s="28" t="str">
        <f>IF('12 - Device_Configuration'!BB177="","",'12 - Device_Configuration'!BB177)</f>
        <v/>
      </c>
      <c r="Z176" s="28" t="str">
        <f>IF('12 - Device_Configuration'!P177="","",'12 - Device_Configuration'!P177)</f>
        <v/>
      </c>
      <c r="AA176" s="28" t="str">
        <f>IF('12 - Device_Configuration'!Q177="","",'12 - Device_Configuration'!Q177)</f>
        <v/>
      </c>
    </row>
    <row r="177" spans="1:27">
      <c r="A177" s="29"/>
      <c r="B177" s="29"/>
      <c r="C177" s="28" t="str">
        <f>IF('12 - Device_Configuration'!H178="","",'12 - Device_Configuration'!H178)</f>
        <v/>
      </c>
      <c r="D177" s="28" t="str">
        <f>IF('12 - Device_Configuration'!AE178="","",'12 - Device_Configuration'!AE178)</f>
        <v/>
      </c>
      <c r="E177" s="28" t="str">
        <f>IF('12 - Device_Configuration'!AF178="","",'12 - Device_Configuration'!AF178)</f>
        <v/>
      </c>
      <c r="F177" s="28" t="str">
        <f>IF('12 - Device_Configuration'!AG178="","",'12 - Device_Configuration'!AG178)</f>
        <v/>
      </c>
      <c r="G177" s="28" t="str">
        <f>IF('12 - Device_Configuration'!AH178="","",'12 - Device_Configuration'!AH178)</f>
        <v/>
      </c>
      <c r="H177" s="28" t="str">
        <f>IF('12 - Device_Configuration'!A178="","",'12 - Device_Configuration'!A178)</f>
        <v/>
      </c>
      <c r="I177" s="28" t="str">
        <f>IF('12 - Device_Configuration'!AI178="","",'12 - Device_Configuration'!AI178)</f>
        <v/>
      </c>
      <c r="J177" s="28" t="str">
        <f>IF('12 - Device_Configuration'!AJ178="","",'12 - Device_Configuration'!AJ178)</f>
        <v/>
      </c>
      <c r="K177" s="28" t="str">
        <f>IF('12 - Device_Configuration'!AA178="","",'12 - Device_Configuration'!AA178)</f>
        <v/>
      </c>
      <c r="L177" s="28" t="str">
        <f>IF('12 - Device_Configuration'!I178="","",'12 - Device_Configuration'!I178)</f>
        <v/>
      </c>
      <c r="M177" s="29"/>
      <c r="N177" s="28" t="str">
        <f>IF('12 - Device_Configuration'!J178="","",'12 - Device_Configuration'!J178)</f>
        <v/>
      </c>
      <c r="O177" s="28" t="str">
        <f>IF('12 - Device_Configuration'!K178="","",'12 - Device_Configuration'!K178)</f>
        <v/>
      </c>
      <c r="P177" s="28" t="str">
        <f>IF('12 - Device_Configuration'!L178="","",'12 - Device_Configuration'!L178)</f>
        <v/>
      </c>
      <c r="Q177" s="29"/>
      <c r="R177" s="28" t="str">
        <f>IF('12 - Device_Configuration'!AY178="","",'12 - Device_Configuration'!AY178)</f>
        <v/>
      </c>
      <c r="S177" s="28" t="str">
        <f>IF('12 - Device_Configuration'!AX178="","",'12 - Device_Configuration'!AX178)</f>
        <v/>
      </c>
      <c r="T177" s="28" t="str">
        <f>IF('12 - Device_Configuration'!AV178="","",'12 - Device_Configuration'!AV178)</f>
        <v/>
      </c>
      <c r="U177" s="28" t="str">
        <f>IF('12 - Device_Configuration'!AW178="","",'12 - Device_Configuration'!AW178)</f>
        <v/>
      </c>
      <c r="V177" s="28" t="str">
        <f>IF('12 - Device_Configuration'!BA178="","",'12 - Device_Configuration'!BA178)</f>
        <v/>
      </c>
      <c r="W177" s="28" t="str">
        <f>IF('12 - Device_Configuration'!BC178="","",'12 - Device_Configuration'!BC178)</f>
        <v/>
      </c>
      <c r="X177" s="28" t="str">
        <f>IF('12 - Device_Configuration'!BK178="","",'12 - Device_Configuration'!BK178)</f>
        <v/>
      </c>
      <c r="Y177" s="28" t="str">
        <f>IF('12 - Device_Configuration'!BB178="","",'12 - Device_Configuration'!BB178)</f>
        <v/>
      </c>
      <c r="Z177" s="28" t="str">
        <f>IF('12 - Device_Configuration'!P178="","",'12 - Device_Configuration'!P178)</f>
        <v/>
      </c>
      <c r="AA177" s="28" t="str">
        <f>IF('12 - Device_Configuration'!Q178="","",'12 - Device_Configuration'!Q178)</f>
        <v/>
      </c>
    </row>
    <row r="178" spans="1:27">
      <c r="A178" s="29"/>
      <c r="B178" s="29"/>
      <c r="C178" s="28" t="str">
        <f>IF('12 - Device_Configuration'!H179="","",'12 - Device_Configuration'!H179)</f>
        <v/>
      </c>
      <c r="D178" s="28" t="str">
        <f>IF('12 - Device_Configuration'!AE179="","",'12 - Device_Configuration'!AE179)</f>
        <v/>
      </c>
      <c r="E178" s="28" t="str">
        <f>IF('12 - Device_Configuration'!AF179="","",'12 - Device_Configuration'!AF179)</f>
        <v/>
      </c>
      <c r="F178" s="28" t="str">
        <f>IF('12 - Device_Configuration'!AG179="","",'12 - Device_Configuration'!AG179)</f>
        <v/>
      </c>
      <c r="G178" s="28" t="str">
        <f>IF('12 - Device_Configuration'!AH179="","",'12 - Device_Configuration'!AH179)</f>
        <v/>
      </c>
      <c r="H178" s="28" t="str">
        <f>IF('12 - Device_Configuration'!A179="","",'12 - Device_Configuration'!A179)</f>
        <v/>
      </c>
      <c r="I178" s="28" t="str">
        <f>IF('12 - Device_Configuration'!AI179="","",'12 - Device_Configuration'!AI179)</f>
        <v/>
      </c>
      <c r="J178" s="28" t="str">
        <f>IF('12 - Device_Configuration'!AJ179="","",'12 - Device_Configuration'!AJ179)</f>
        <v/>
      </c>
      <c r="K178" s="28" t="str">
        <f>IF('12 - Device_Configuration'!AA179="","",'12 - Device_Configuration'!AA179)</f>
        <v/>
      </c>
      <c r="L178" s="28" t="str">
        <f>IF('12 - Device_Configuration'!I179="","",'12 - Device_Configuration'!I179)</f>
        <v/>
      </c>
      <c r="M178" s="29"/>
      <c r="N178" s="28" t="str">
        <f>IF('12 - Device_Configuration'!J179="","",'12 - Device_Configuration'!J179)</f>
        <v/>
      </c>
      <c r="O178" s="28" t="str">
        <f>IF('12 - Device_Configuration'!K179="","",'12 - Device_Configuration'!K179)</f>
        <v/>
      </c>
      <c r="P178" s="28" t="str">
        <f>IF('12 - Device_Configuration'!L179="","",'12 - Device_Configuration'!L179)</f>
        <v/>
      </c>
      <c r="Q178" s="29"/>
      <c r="R178" s="28" t="str">
        <f>IF('12 - Device_Configuration'!AY179="","",'12 - Device_Configuration'!AY179)</f>
        <v/>
      </c>
      <c r="S178" s="28" t="str">
        <f>IF('12 - Device_Configuration'!AX179="","",'12 - Device_Configuration'!AX179)</f>
        <v/>
      </c>
      <c r="T178" s="28" t="str">
        <f>IF('12 - Device_Configuration'!AV179="","",'12 - Device_Configuration'!AV179)</f>
        <v/>
      </c>
      <c r="U178" s="28" t="str">
        <f>IF('12 - Device_Configuration'!AW179="","",'12 - Device_Configuration'!AW179)</f>
        <v/>
      </c>
      <c r="V178" s="28" t="str">
        <f>IF('12 - Device_Configuration'!BA179="","",'12 - Device_Configuration'!BA179)</f>
        <v/>
      </c>
      <c r="W178" s="28" t="str">
        <f>IF('12 - Device_Configuration'!BC179="","",'12 - Device_Configuration'!BC179)</f>
        <v/>
      </c>
      <c r="X178" s="28" t="str">
        <f>IF('12 - Device_Configuration'!BK179="","",'12 - Device_Configuration'!BK179)</f>
        <v/>
      </c>
      <c r="Y178" s="28" t="str">
        <f>IF('12 - Device_Configuration'!BB179="","",'12 - Device_Configuration'!BB179)</f>
        <v/>
      </c>
      <c r="Z178" s="28" t="str">
        <f>IF('12 - Device_Configuration'!P179="","",'12 - Device_Configuration'!P179)</f>
        <v/>
      </c>
      <c r="AA178" s="28" t="str">
        <f>IF('12 - Device_Configuration'!Q179="","",'12 - Device_Configuration'!Q179)</f>
        <v/>
      </c>
    </row>
    <row r="179" spans="1:27">
      <c r="A179" s="29"/>
      <c r="B179" s="29"/>
      <c r="C179" s="28" t="str">
        <f>IF('12 - Device_Configuration'!H180="","",'12 - Device_Configuration'!H180)</f>
        <v/>
      </c>
      <c r="D179" s="28" t="str">
        <f>IF('12 - Device_Configuration'!AE180="","",'12 - Device_Configuration'!AE180)</f>
        <v/>
      </c>
      <c r="E179" s="28" t="str">
        <f>IF('12 - Device_Configuration'!AF180="","",'12 - Device_Configuration'!AF180)</f>
        <v/>
      </c>
      <c r="F179" s="28" t="str">
        <f>IF('12 - Device_Configuration'!AG180="","",'12 - Device_Configuration'!AG180)</f>
        <v/>
      </c>
      <c r="G179" s="28" t="str">
        <f>IF('12 - Device_Configuration'!AH180="","",'12 - Device_Configuration'!AH180)</f>
        <v/>
      </c>
      <c r="H179" s="28" t="str">
        <f>IF('12 - Device_Configuration'!A180="","",'12 - Device_Configuration'!A180)</f>
        <v/>
      </c>
      <c r="I179" s="28" t="str">
        <f>IF('12 - Device_Configuration'!AI180="","",'12 - Device_Configuration'!AI180)</f>
        <v/>
      </c>
      <c r="J179" s="28" t="str">
        <f>IF('12 - Device_Configuration'!AJ180="","",'12 - Device_Configuration'!AJ180)</f>
        <v/>
      </c>
      <c r="K179" s="28" t="str">
        <f>IF('12 - Device_Configuration'!AA180="","",'12 - Device_Configuration'!AA180)</f>
        <v/>
      </c>
      <c r="L179" s="28" t="str">
        <f>IF('12 - Device_Configuration'!I180="","",'12 - Device_Configuration'!I180)</f>
        <v/>
      </c>
      <c r="M179" s="29"/>
      <c r="N179" s="28" t="str">
        <f>IF('12 - Device_Configuration'!J180="","",'12 - Device_Configuration'!J180)</f>
        <v/>
      </c>
      <c r="O179" s="28" t="str">
        <f>IF('12 - Device_Configuration'!K180="","",'12 - Device_Configuration'!K180)</f>
        <v/>
      </c>
      <c r="P179" s="28" t="str">
        <f>IF('12 - Device_Configuration'!L180="","",'12 - Device_Configuration'!L180)</f>
        <v/>
      </c>
      <c r="Q179" s="29"/>
      <c r="R179" s="28" t="str">
        <f>IF('12 - Device_Configuration'!AY180="","",'12 - Device_Configuration'!AY180)</f>
        <v/>
      </c>
      <c r="S179" s="28" t="str">
        <f>IF('12 - Device_Configuration'!AX180="","",'12 - Device_Configuration'!AX180)</f>
        <v/>
      </c>
      <c r="T179" s="28" t="str">
        <f>IF('12 - Device_Configuration'!AV180="","",'12 - Device_Configuration'!AV180)</f>
        <v/>
      </c>
      <c r="U179" s="28" t="str">
        <f>IF('12 - Device_Configuration'!AW180="","",'12 - Device_Configuration'!AW180)</f>
        <v/>
      </c>
      <c r="V179" s="28" t="str">
        <f>IF('12 - Device_Configuration'!BA180="","",'12 - Device_Configuration'!BA180)</f>
        <v/>
      </c>
      <c r="W179" s="28" t="str">
        <f>IF('12 - Device_Configuration'!BC180="","",'12 - Device_Configuration'!BC180)</f>
        <v/>
      </c>
      <c r="X179" s="28" t="str">
        <f>IF('12 - Device_Configuration'!BK180="","",'12 - Device_Configuration'!BK180)</f>
        <v/>
      </c>
      <c r="Y179" s="28" t="str">
        <f>IF('12 - Device_Configuration'!BB180="","",'12 - Device_Configuration'!BB180)</f>
        <v/>
      </c>
      <c r="Z179" s="28" t="str">
        <f>IF('12 - Device_Configuration'!P180="","",'12 - Device_Configuration'!P180)</f>
        <v/>
      </c>
      <c r="AA179" s="28" t="str">
        <f>IF('12 - Device_Configuration'!Q180="","",'12 - Device_Configuration'!Q180)</f>
        <v/>
      </c>
    </row>
    <row r="180" spans="1:27">
      <c r="A180" s="29"/>
      <c r="B180" s="29"/>
      <c r="C180" s="28" t="str">
        <f>IF('12 - Device_Configuration'!H181="","",'12 - Device_Configuration'!H181)</f>
        <v/>
      </c>
      <c r="D180" s="28" t="str">
        <f>IF('12 - Device_Configuration'!AE181="","",'12 - Device_Configuration'!AE181)</f>
        <v/>
      </c>
      <c r="E180" s="28" t="str">
        <f>IF('12 - Device_Configuration'!AF181="","",'12 - Device_Configuration'!AF181)</f>
        <v/>
      </c>
      <c r="F180" s="28" t="str">
        <f>IF('12 - Device_Configuration'!AG181="","",'12 - Device_Configuration'!AG181)</f>
        <v/>
      </c>
      <c r="G180" s="28" t="str">
        <f>IF('12 - Device_Configuration'!AH181="","",'12 - Device_Configuration'!AH181)</f>
        <v/>
      </c>
      <c r="H180" s="28" t="str">
        <f>IF('12 - Device_Configuration'!A181="","",'12 - Device_Configuration'!A181)</f>
        <v/>
      </c>
      <c r="I180" s="28" t="str">
        <f>IF('12 - Device_Configuration'!AI181="","",'12 - Device_Configuration'!AI181)</f>
        <v/>
      </c>
      <c r="J180" s="28" t="str">
        <f>IF('12 - Device_Configuration'!AJ181="","",'12 - Device_Configuration'!AJ181)</f>
        <v/>
      </c>
      <c r="K180" s="28" t="str">
        <f>IF('12 - Device_Configuration'!AA181="","",'12 - Device_Configuration'!AA181)</f>
        <v/>
      </c>
      <c r="L180" s="28" t="str">
        <f>IF('12 - Device_Configuration'!I181="","",'12 - Device_Configuration'!I181)</f>
        <v/>
      </c>
      <c r="M180" s="29"/>
      <c r="N180" s="28" t="str">
        <f>IF('12 - Device_Configuration'!J181="","",'12 - Device_Configuration'!J181)</f>
        <v/>
      </c>
      <c r="O180" s="28" t="str">
        <f>IF('12 - Device_Configuration'!K181="","",'12 - Device_Configuration'!K181)</f>
        <v/>
      </c>
      <c r="P180" s="28" t="str">
        <f>IF('12 - Device_Configuration'!L181="","",'12 - Device_Configuration'!L181)</f>
        <v/>
      </c>
      <c r="Q180" s="29"/>
      <c r="R180" s="28" t="str">
        <f>IF('12 - Device_Configuration'!AY181="","",'12 - Device_Configuration'!AY181)</f>
        <v/>
      </c>
      <c r="S180" s="28" t="str">
        <f>IF('12 - Device_Configuration'!AX181="","",'12 - Device_Configuration'!AX181)</f>
        <v/>
      </c>
      <c r="T180" s="28" t="str">
        <f>IF('12 - Device_Configuration'!AV181="","",'12 - Device_Configuration'!AV181)</f>
        <v/>
      </c>
      <c r="U180" s="28" t="str">
        <f>IF('12 - Device_Configuration'!AW181="","",'12 - Device_Configuration'!AW181)</f>
        <v/>
      </c>
      <c r="V180" s="28" t="str">
        <f>IF('12 - Device_Configuration'!BA181="","",'12 - Device_Configuration'!BA181)</f>
        <v/>
      </c>
      <c r="W180" s="28" t="str">
        <f>IF('12 - Device_Configuration'!BC181="","",'12 - Device_Configuration'!BC181)</f>
        <v/>
      </c>
      <c r="X180" s="28" t="str">
        <f>IF('12 - Device_Configuration'!BK181="","",'12 - Device_Configuration'!BK181)</f>
        <v/>
      </c>
      <c r="Y180" s="28" t="str">
        <f>IF('12 - Device_Configuration'!BB181="","",'12 - Device_Configuration'!BB181)</f>
        <v/>
      </c>
      <c r="Z180" s="28" t="str">
        <f>IF('12 - Device_Configuration'!P181="","",'12 - Device_Configuration'!P181)</f>
        <v/>
      </c>
      <c r="AA180" s="28" t="str">
        <f>IF('12 - Device_Configuration'!Q181="","",'12 - Device_Configuration'!Q181)</f>
        <v/>
      </c>
    </row>
    <row r="181" spans="1:27">
      <c r="A181" s="29"/>
      <c r="B181" s="29"/>
      <c r="C181" s="28" t="str">
        <f>IF('12 - Device_Configuration'!H182="","",'12 - Device_Configuration'!H182)</f>
        <v/>
      </c>
      <c r="D181" s="28" t="str">
        <f>IF('12 - Device_Configuration'!AE182="","",'12 - Device_Configuration'!AE182)</f>
        <v/>
      </c>
      <c r="E181" s="28" t="str">
        <f>IF('12 - Device_Configuration'!AF182="","",'12 - Device_Configuration'!AF182)</f>
        <v/>
      </c>
      <c r="F181" s="28" t="str">
        <f>IF('12 - Device_Configuration'!AG182="","",'12 - Device_Configuration'!AG182)</f>
        <v/>
      </c>
      <c r="G181" s="28" t="str">
        <f>IF('12 - Device_Configuration'!AH182="","",'12 - Device_Configuration'!AH182)</f>
        <v/>
      </c>
      <c r="H181" s="28" t="str">
        <f>IF('12 - Device_Configuration'!A182="","",'12 - Device_Configuration'!A182)</f>
        <v/>
      </c>
      <c r="I181" s="28" t="str">
        <f>IF('12 - Device_Configuration'!AI182="","",'12 - Device_Configuration'!AI182)</f>
        <v/>
      </c>
      <c r="J181" s="28" t="str">
        <f>IF('12 - Device_Configuration'!AJ182="","",'12 - Device_Configuration'!AJ182)</f>
        <v/>
      </c>
      <c r="K181" s="28" t="str">
        <f>IF('12 - Device_Configuration'!AA182="","",'12 - Device_Configuration'!AA182)</f>
        <v/>
      </c>
      <c r="L181" s="28" t="str">
        <f>IF('12 - Device_Configuration'!I182="","",'12 - Device_Configuration'!I182)</f>
        <v/>
      </c>
      <c r="M181" s="29"/>
      <c r="N181" s="28" t="str">
        <f>IF('12 - Device_Configuration'!J182="","",'12 - Device_Configuration'!J182)</f>
        <v/>
      </c>
      <c r="O181" s="28" t="str">
        <f>IF('12 - Device_Configuration'!K182="","",'12 - Device_Configuration'!K182)</f>
        <v/>
      </c>
      <c r="P181" s="28" t="str">
        <f>IF('12 - Device_Configuration'!L182="","",'12 - Device_Configuration'!L182)</f>
        <v/>
      </c>
      <c r="Q181" s="29"/>
      <c r="R181" s="28" t="str">
        <f>IF('12 - Device_Configuration'!AY182="","",'12 - Device_Configuration'!AY182)</f>
        <v/>
      </c>
      <c r="S181" s="28" t="str">
        <f>IF('12 - Device_Configuration'!AX182="","",'12 - Device_Configuration'!AX182)</f>
        <v/>
      </c>
      <c r="T181" s="28" t="str">
        <f>IF('12 - Device_Configuration'!AV182="","",'12 - Device_Configuration'!AV182)</f>
        <v/>
      </c>
      <c r="U181" s="28" t="str">
        <f>IF('12 - Device_Configuration'!AW182="","",'12 - Device_Configuration'!AW182)</f>
        <v/>
      </c>
      <c r="V181" s="28" t="str">
        <f>IF('12 - Device_Configuration'!BA182="","",'12 - Device_Configuration'!BA182)</f>
        <v/>
      </c>
      <c r="W181" s="28" t="str">
        <f>IF('12 - Device_Configuration'!BC182="","",'12 - Device_Configuration'!BC182)</f>
        <v/>
      </c>
      <c r="X181" s="28" t="str">
        <f>IF('12 - Device_Configuration'!BK182="","",'12 - Device_Configuration'!BK182)</f>
        <v/>
      </c>
      <c r="Y181" s="28" t="str">
        <f>IF('12 - Device_Configuration'!BB182="","",'12 - Device_Configuration'!BB182)</f>
        <v/>
      </c>
      <c r="Z181" s="28" t="str">
        <f>IF('12 - Device_Configuration'!P182="","",'12 - Device_Configuration'!P182)</f>
        <v/>
      </c>
      <c r="AA181" s="28" t="str">
        <f>IF('12 - Device_Configuration'!Q182="","",'12 - Device_Configuration'!Q182)</f>
        <v/>
      </c>
    </row>
    <row r="182" spans="1:27">
      <c r="A182" s="29"/>
      <c r="B182" s="29"/>
      <c r="C182" s="28" t="str">
        <f>IF('12 - Device_Configuration'!H183="","",'12 - Device_Configuration'!H183)</f>
        <v/>
      </c>
      <c r="D182" s="28" t="str">
        <f>IF('12 - Device_Configuration'!AE183="","",'12 - Device_Configuration'!AE183)</f>
        <v/>
      </c>
      <c r="E182" s="28" t="str">
        <f>IF('12 - Device_Configuration'!AF183="","",'12 - Device_Configuration'!AF183)</f>
        <v/>
      </c>
      <c r="F182" s="28" t="str">
        <f>IF('12 - Device_Configuration'!AG183="","",'12 - Device_Configuration'!AG183)</f>
        <v/>
      </c>
      <c r="G182" s="28" t="str">
        <f>IF('12 - Device_Configuration'!AH183="","",'12 - Device_Configuration'!AH183)</f>
        <v/>
      </c>
      <c r="H182" s="28" t="str">
        <f>IF('12 - Device_Configuration'!A183="","",'12 - Device_Configuration'!A183)</f>
        <v/>
      </c>
      <c r="I182" s="28" t="str">
        <f>IF('12 - Device_Configuration'!AI183="","",'12 - Device_Configuration'!AI183)</f>
        <v/>
      </c>
      <c r="J182" s="28" t="str">
        <f>IF('12 - Device_Configuration'!AJ183="","",'12 - Device_Configuration'!AJ183)</f>
        <v/>
      </c>
      <c r="K182" s="28" t="str">
        <f>IF('12 - Device_Configuration'!AA183="","",'12 - Device_Configuration'!AA183)</f>
        <v/>
      </c>
      <c r="L182" s="28" t="str">
        <f>IF('12 - Device_Configuration'!I183="","",'12 - Device_Configuration'!I183)</f>
        <v/>
      </c>
      <c r="M182" s="29"/>
      <c r="N182" s="28" t="str">
        <f>IF('12 - Device_Configuration'!J183="","",'12 - Device_Configuration'!J183)</f>
        <v/>
      </c>
      <c r="O182" s="28" t="str">
        <f>IF('12 - Device_Configuration'!K183="","",'12 - Device_Configuration'!K183)</f>
        <v/>
      </c>
      <c r="P182" s="28" t="str">
        <f>IF('12 - Device_Configuration'!L183="","",'12 - Device_Configuration'!L183)</f>
        <v/>
      </c>
      <c r="Q182" s="29"/>
      <c r="R182" s="28" t="str">
        <f>IF('12 - Device_Configuration'!AY183="","",'12 - Device_Configuration'!AY183)</f>
        <v/>
      </c>
      <c r="S182" s="28" t="str">
        <f>IF('12 - Device_Configuration'!AX183="","",'12 - Device_Configuration'!AX183)</f>
        <v/>
      </c>
      <c r="T182" s="28" t="str">
        <f>IF('12 - Device_Configuration'!AV183="","",'12 - Device_Configuration'!AV183)</f>
        <v/>
      </c>
      <c r="U182" s="28" t="str">
        <f>IF('12 - Device_Configuration'!AW183="","",'12 - Device_Configuration'!AW183)</f>
        <v/>
      </c>
      <c r="V182" s="28" t="str">
        <f>IF('12 - Device_Configuration'!BA183="","",'12 - Device_Configuration'!BA183)</f>
        <v/>
      </c>
      <c r="W182" s="28" t="str">
        <f>IF('12 - Device_Configuration'!BC183="","",'12 - Device_Configuration'!BC183)</f>
        <v/>
      </c>
      <c r="X182" s="28" t="str">
        <f>IF('12 - Device_Configuration'!BK183="","",'12 - Device_Configuration'!BK183)</f>
        <v/>
      </c>
      <c r="Y182" s="28" t="str">
        <f>IF('12 - Device_Configuration'!BB183="","",'12 - Device_Configuration'!BB183)</f>
        <v/>
      </c>
      <c r="Z182" s="28" t="str">
        <f>IF('12 - Device_Configuration'!P183="","",'12 - Device_Configuration'!P183)</f>
        <v/>
      </c>
      <c r="AA182" s="28" t="str">
        <f>IF('12 - Device_Configuration'!Q183="","",'12 - Device_Configuration'!Q183)</f>
        <v/>
      </c>
    </row>
    <row r="183" spans="1:27">
      <c r="A183" s="29"/>
      <c r="B183" s="29"/>
      <c r="C183" s="28" t="str">
        <f>IF('12 - Device_Configuration'!H184="","",'12 - Device_Configuration'!H184)</f>
        <v/>
      </c>
      <c r="D183" s="28" t="str">
        <f>IF('12 - Device_Configuration'!AE184="","",'12 - Device_Configuration'!AE184)</f>
        <v/>
      </c>
      <c r="E183" s="28" t="str">
        <f>IF('12 - Device_Configuration'!AF184="","",'12 - Device_Configuration'!AF184)</f>
        <v/>
      </c>
      <c r="F183" s="28" t="str">
        <f>IF('12 - Device_Configuration'!AG184="","",'12 - Device_Configuration'!AG184)</f>
        <v/>
      </c>
      <c r="G183" s="28" t="str">
        <f>IF('12 - Device_Configuration'!AH184="","",'12 - Device_Configuration'!AH184)</f>
        <v/>
      </c>
      <c r="H183" s="28" t="str">
        <f>IF('12 - Device_Configuration'!A184="","",'12 - Device_Configuration'!A184)</f>
        <v/>
      </c>
      <c r="I183" s="28" t="str">
        <f>IF('12 - Device_Configuration'!AI184="","",'12 - Device_Configuration'!AI184)</f>
        <v/>
      </c>
      <c r="J183" s="28" t="str">
        <f>IF('12 - Device_Configuration'!AJ184="","",'12 - Device_Configuration'!AJ184)</f>
        <v/>
      </c>
      <c r="K183" s="28" t="str">
        <f>IF('12 - Device_Configuration'!AA184="","",'12 - Device_Configuration'!AA184)</f>
        <v/>
      </c>
      <c r="L183" s="28" t="str">
        <f>IF('12 - Device_Configuration'!I184="","",'12 - Device_Configuration'!I184)</f>
        <v/>
      </c>
      <c r="M183" s="29"/>
      <c r="N183" s="28" t="str">
        <f>IF('12 - Device_Configuration'!J184="","",'12 - Device_Configuration'!J184)</f>
        <v/>
      </c>
      <c r="O183" s="28" t="str">
        <f>IF('12 - Device_Configuration'!K184="","",'12 - Device_Configuration'!K184)</f>
        <v/>
      </c>
      <c r="P183" s="28" t="str">
        <f>IF('12 - Device_Configuration'!L184="","",'12 - Device_Configuration'!L184)</f>
        <v/>
      </c>
      <c r="Q183" s="29"/>
      <c r="R183" s="28" t="str">
        <f>IF('12 - Device_Configuration'!AY184="","",'12 - Device_Configuration'!AY184)</f>
        <v/>
      </c>
      <c r="S183" s="28" t="str">
        <f>IF('12 - Device_Configuration'!AX184="","",'12 - Device_Configuration'!AX184)</f>
        <v/>
      </c>
      <c r="T183" s="28" t="str">
        <f>IF('12 - Device_Configuration'!AV184="","",'12 - Device_Configuration'!AV184)</f>
        <v/>
      </c>
      <c r="U183" s="28" t="str">
        <f>IF('12 - Device_Configuration'!AW184="","",'12 - Device_Configuration'!AW184)</f>
        <v/>
      </c>
      <c r="V183" s="28" t="str">
        <f>IF('12 - Device_Configuration'!BA184="","",'12 - Device_Configuration'!BA184)</f>
        <v/>
      </c>
      <c r="W183" s="28" t="str">
        <f>IF('12 - Device_Configuration'!BC184="","",'12 - Device_Configuration'!BC184)</f>
        <v/>
      </c>
      <c r="X183" s="28" t="str">
        <f>IF('12 - Device_Configuration'!BK184="","",'12 - Device_Configuration'!BK184)</f>
        <v/>
      </c>
      <c r="Y183" s="28" t="str">
        <f>IF('12 - Device_Configuration'!BB184="","",'12 - Device_Configuration'!BB184)</f>
        <v/>
      </c>
      <c r="Z183" s="28" t="str">
        <f>IF('12 - Device_Configuration'!P184="","",'12 - Device_Configuration'!P184)</f>
        <v/>
      </c>
      <c r="AA183" s="28" t="str">
        <f>IF('12 - Device_Configuration'!Q184="","",'12 - Device_Configuration'!Q184)</f>
        <v/>
      </c>
    </row>
    <row r="184" spans="1:27">
      <c r="A184" s="29"/>
      <c r="B184" s="29"/>
      <c r="C184" s="28" t="str">
        <f>IF('12 - Device_Configuration'!H185="","",'12 - Device_Configuration'!H185)</f>
        <v/>
      </c>
      <c r="D184" s="28" t="str">
        <f>IF('12 - Device_Configuration'!AE185="","",'12 - Device_Configuration'!AE185)</f>
        <v/>
      </c>
      <c r="E184" s="28" t="str">
        <f>IF('12 - Device_Configuration'!AF185="","",'12 - Device_Configuration'!AF185)</f>
        <v/>
      </c>
      <c r="F184" s="28" t="str">
        <f>IF('12 - Device_Configuration'!AG185="","",'12 - Device_Configuration'!AG185)</f>
        <v/>
      </c>
      <c r="G184" s="28" t="str">
        <f>IF('12 - Device_Configuration'!AH185="","",'12 - Device_Configuration'!AH185)</f>
        <v/>
      </c>
      <c r="H184" s="28" t="str">
        <f>IF('12 - Device_Configuration'!A185="","",'12 - Device_Configuration'!A185)</f>
        <v/>
      </c>
      <c r="I184" s="28" t="str">
        <f>IF('12 - Device_Configuration'!AI185="","",'12 - Device_Configuration'!AI185)</f>
        <v/>
      </c>
      <c r="J184" s="28" t="str">
        <f>IF('12 - Device_Configuration'!AJ185="","",'12 - Device_Configuration'!AJ185)</f>
        <v/>
      </c>
      <c r="K184" s="28" t="str">
        <f>IF('12 - Device_Configuration'!AA185="","",'12 - Device_Configuration'!AA185)</f>
        <v/>
      </c>
      <c r="L184" s="28" t="str">
        <f>IF('12 - Device_Configuration'!I185="","",'12 - Device_Configuration'!I185)</f>
        <v/>
      </c>
      <c r="M184" s="29"/>
      <c r="N184" s="28" t="str">
        <f>IF('12 - Device_Configuration'!J185="","",'12 - Device_Configuration'!J185)</f>
        <v/>
      </c>
      <c r="O184" s="28" t="str">
        <f>IF('12 - Device_Configuration'!K185="","",'12 - Device_Configuration'!K185)</f>
        <v/>
      </c>
      <c r="P184" s="28" t="str">
        <f>IF('12 - Device_Configuration'!L185="","",'12 - Device_Configuration'!L185)</f>
        <v/>
      </c>
      <c r="Q184" s="29"/>
      <c r="R184" s="28" t="str">
        <f>IF('12 - Device_Configuration'!AY185="","",'12 - Device_Configuration'!AY185)</f>
        <v/>
      </c>
      <c r="S184" s="28" t="str">
        <f>IF('12 - Device_Configuration'!AX185="","",'12 - Device_Configuration'!AX185)</f>
        <v/>
      </c>
      <c r="T184" s="28" t="str">
        <f>IF('12 - Device_Configuration'!AV185="","",'12 - Device_Configuration'!AV185)</f>
        <v/>
      </c>
      <c r="U184" s="28" t="str">
        <f>IF('12 - Device_Configuration'!AW185="","",'12 - Device_Configuration'!AW185)</f>
        <v/>
      </c>
      <c r="V184" s="28" t="str">
        <f>IF('12 - Device_Configuration'!BA185="","",'12 - Device_Configuration'!BA185)</f>
        <v/>
      </c>
      <c r="W184" s="28" t="str">
        <f>IF('12 - Device_Configuration'!BC185="","",'12 - Device_Configuration'!BC185)</f>
        <v/>
      </c>
      <c r="X184" s="28" t="str">
        <f>IF('12 - Device_Configuration'!BK185="","",'12 - Device_Configuration'!BK185)</f>
        <v/>
      </c>
      <c r="Y184" s="28" t="str">
        <f>IF('12 - Device_Configuration'!BB185="","",'12 - Device_Configuration'!BB185)</f>
        <v/>
      </c>
      <c r="Z184" s="28" t="str">
        <f>IF('12 - Device_Configuration'!P185="","",'12 - Device_Configuration'!P185)</f>
        <v/>
      </c>
      <c r="AA184" s="28" t="str">
        <f>IF('12 - Device_Configuration'!Q185="","",'12 - Device_Configuration'!Q185)</f>
        <v/>
      </c>
    </row>
    <row r="185" spans="1:27">
      <c r="A185" s="29"/>
      <c r="B185" s="29"/>
      <c r="C185" s="28" t="str">
        <f>IF('12 - Device_Configuration'!H186="","",'12 - Device_Configuration'!H186)</f>
        <v/>
      </c>
      <c r="D185" s="28" t="str">
        <f>IF('12 - Device_Configuration'!AE186="","",'12 - Device_Configuration'!AE186)</f>
        <v/>
      </c>
      <c r="E185" s="28" t="str">
        <f>IF('12 - Device_Configuration'!AF186="","",'12 - Device_Configuration'!AF186)</f>
        <v/>
      </c>
      <c r="F185" s="28" t="str">
        <f>IF('12 - Device_Configuration'!AG186="","",'12 - Device_Configuration'!AG186)</f>
        <v/>
      </c>
      <c r="G185" s="28" t="str">
        <f>IF('12 - Device_Configuration'!AH186="","",'12 - Device_Configuration'!AH186)</f>
        <v/>
      </c>
      <c r="H185" s="28" t="str">
        <f>IF('12 - Device_Configuration'!A186="","",'12 - Device_Configuration'!A186)</f>
        <v/>
      </c>
      <c r="I185" s="28" t="str">
        <f>IF('12 - Device_Configuration'!AI186="","",'12 - Device_Configuration'!AI186)</f>
        <v/>
      </c>
      <c r="J185" s="28" t="str">
        <f>IF('12 - Device_Configuration'!AJ186="","",'12 - Device_Configuration'!AJ186)</f>
        <v/>
      </c>
      <c r="K185" s="28" t="str">
        <f>IF('12 - Device_Configuration'!AA186="","",'12 - Device_Configuration'!AA186)</f>
        <v/>
      </c>
      <c r="L185" s="28" t="str">
        <f>IF('12 - Device_Configuration'!I186="","",'12 - Device_Configuration'!I186)</f>
        <v/>
      </c>
      <c r="M185" s="29"/>
      <c r="N185" s="28" t="str">
        <f>IF('12 - Device_Configuration'!J186="","",'12 - Device_Configuration'!J186)</f>
        <v/>
      </c>
      <c r="O185" s="28" t="str">
        <f>IF('12 - Device_Configuration'!K186="","",'12 - Device_Configuration'!K186)</f>
        <v/>
      </c>
      <c r="P185" s="28" t="str">
        <f>IF('12 - Device_Configuration'!L186="","",'12 - Device_Configuration'!L186)</f>
        <v/>
      </c>
      <c r="Q185" s="29"/>
      <c r="R185" s="28" t="str">
        <f>IF('12 - Device_Configuration'!AY186="","",'12 - Device_Configuration'!AY186)</f>
        <v/>
      </c>
      <c r="S185" s="28" t="str">
        <f>IF('12 - Device_Configuration'!AX186="","",'12 - Device_Configuration'!AX186)</f>
        <v/>
      </c>
      <c r="T185" s="28" t="str">
        <f>IF('12 - Device_Configuration'!AV186="","",'12 - Device_Configuration'!AV186)</f>
        <v/>
      </c>
      <c r="U185" s="28" t="str">
        <f>IF('12 - Device_Configuration'!AW186="","",'12 - Device_Configuration'!AW186)</f>
        <v/>
      </c>
      <c r="V185" s="28" t="str">
        <f>IF('12 - Device_Configuration'!BA186="","",'12 - Device_Configuration'!BA186)</f>
        <v/>
      </c>
      <c r="W185" s="28" t="str">
        <f>IF('12 - Device_Configuration'!BC186="","",'12 - Device_Configuration'!BC186)</f>
        <v/>
      </c>
      <c r="X185" s="28" t="str">
        <f>IF('12 - Device_Configuration'!BK186="","",'12 - Device_Configuration'!BK186)</f>
        <v/>
      </c>
      <c r="Y185" s="28" t="str">
        <f>IF('12 - Device_Configuration'!BB186="","",'12 - Device_Configuration'!BB186)</f>
        <v/>
      </c>
      <c r="Z185" s="28" t="str">
        <f>IF('12 - Device_Configuration'!P186="","",'12 - Device_Configuration'!P186)</f>
        <v/>
      </c>
      <c r="AA185" s="28" t="str">
        <f>IF('12 - Device_Configuration'!Q186="","",'12 - Device_Configuration'!Q186)</f>
        <v/>
      </c>
    </row>
    <row r="186" spans="1:27">
      <c r="A186" s="29"/>
      <c r="B186" s="29"/>
      <c r="C186" s="28" t="str">
        <f>IF('12 - Device_Configuration'!H187="","",'12 - Device_Configuration'!H187)</f>
        <v/>
      </c>
      <c r="D186" s="28" t="str">
        <f>IF('12 - Device_Configuration'!AE187="","",'12 - Device_Configuration'!AE187)</f>
        <v/>
      </c>
      <c r="E186" s="28" t="str">
        <f>IF('12 - Device_Configuration'!AF187="","",'12 - Device_Configuration'!AF187)</f>
        <v/>
      </c>
      <c r="F186" s="28" t="str">
        <f>IF('12 - Device_Configuration'!AG187="","",'12 - Device_Configuration'!AG187)</f>
        <v/>
      </c>
      <c r="G186" s="28" t="str">
        <f>IF('12 - Device_Configuration'!AH187="","",'12 - Device_Configuration'!AH187)</f>
        <v/>
      </c>
      <c r="H186" s="28" t="str">
        <f>IF('12 - Device_Configuration'!A187="","",'12 - Device_Configuration'!A187)</f>
        <v/>
      </c>
      <c r="I186" s="28" t="str">
        <f>IF('12 - Device_Configuration'!AI187="","",'12 - Device_Configuration'!AI187)</f>
        <v/>
      </c>
      <c r="J186" s="28" t="str">
        <f>IF('12 - Device_Configuration'!AJ187="","",'12 - Device_Configuration'!AJ187)</f>
        <v/>
      </c>
      <c r="K186" s="28" t="str">
        <f>IF('12 - Device_Configuration'!AA187="","",'12 - Device_Configuration'!AA187)</f>
        <v/>
      </c>
      <c r="L186" s="28" t="str">
        <f>IF('12 - Device_Configuration'!I187="","",'12 - Device_Configuration'!I187)</f>
        <v/>
      </c>
      <c r="M186" s="29"/>
      <c r="N186" s="28" t="str">
        <f>IF('12 - Device_Configuration'!J187="","",'12 - Device_Configuration'!J187)</f>
        <v/>
      </c>
      <c r="O186" s="28" t="str">
        <f>IF('12 - Device_Configuration'!K187="","",'12 - Device_Configuration'!K187)</f>
        <v/>
      </c>
      <c r="P186" s="28" t="str">
        <f>IF('12 - Device_Configuration'!L187="","",'12 - Device_Configuration'!L187)</f>
        <v/>
      </c>
      <c r="Q186" s="29"/>
      <c r="R186" s="28" t="str">
        <f>IF('12 - Device_Configuration'!AY187="","",'12 - Device_Configuration'!AY187)</f>
        <v/>
      </c>
      <c r="S186" s="28" t="str">
        <f>IF('12 - Device_Configuration'!AX187="","",'12 - Device_Configuration'!AX187)</f>
        <v/>
      </c>
      <c r="T186" s="28" t="str">
        <f>IF('12 - Device_Configuration'!AV187="","",'12 - Device_Configuration'!AV187)</f>
        <v/>
      </c>
      <c r="U186" s="28" t="str">
        <f>IF('12 - Device_Configuration'!AW187="","",'12 - Device_Configuration'!AW187)</f>
        <v/>
      </c>
      <c r="V186" s="28" t="str">
        <f>IF('12 - Device_Configuration'!BA187="","",'12 - Device_Configuration'!BA187)</f>
        <v/>
      </c>
      <c r="W186" s="28" t="str">
        <f>IF('12 - Device_Configuration'!BC187="","",'12 - Device_Configuration'!BC187)</f>
        <v/>
      </c>
      <c r="X186" s="28" t="str">
        <f>IF('12 - Device_Configuration'!BK187="","",'12 - Device_Configuration'!BK187)</f>
        <v/>
      </c>
      <c r="Y186" s="28" t="str">
        <f>IF('12 - Device_Configuration'!BB187="","",'12 - Device_Configuration'!BB187)</f>
        <v/>
      </c>
      <c r="Z186" s="28" t="str">
        <f>IF('12 - Device_Configuration'!P187="","",'12 - Device_Configuration'!P187)</f>
        <v/>
      </c>
      <c r="AA186" s="28" t="str">
        <f>IF('12 - Device_Configuration'!Q187="","",'12 - Device_Configuration'!Q187)</f>
        <v/>
      </c>
    </row>
    <row r="187" spans="1:27">
      <c r="A187" s="29"/>
      <c r="B187" s="29"/>
      <c r="C187" s="28" t="str">
        <f>IF('12 - Device_Configuration'!H188="","",'12 - Device_Configuration'!H188)</f>
        <v/>
      </c>
      <c r="D187" s="28" t="str">
        <f>IF('12 - Device_Configuration'!AE188="","",'12 - Device_Configuration'!AE188)</f>
        <v/>
      </c>
      <c r="E187" s="28" t="str">
        <f>IF('12 - Device_Configuration'!AF188="","",'12 - Device_Configuration'!AF188)</f>
        <v/>
      </c>
      <c r="F187" s="28" t="str">
        <f>IF('12 - Device_Configuration'!AG188="","",'12 - Device_Configuration'!AG188)</f>
        <v/>
      </c>
      <c r="G187" s="28" t="str">
        <f>IF('12 - Device_Configuration'!AH188="","",'12 - Device_Configuration'!AH188)</f>
        <v/>
      </c>
      <c r="H187" s="28" t="str">
        <f>IF('12 - Device_Configuration'!A188="","",'12 - Device_Configuration'!A188)</f>
        <v/>
      </c>
      <c r="I187" s="28" t="str">
        <f>IF('12 - Device_Configuration'!AI188="","",'12 - Device_Configuration'!AI188)</f>
        <v/>
      </c>
      <c r="J187" s="28" t="str">
        <f>IF('12 - Device_Configuration'!AJ188="","",'12 - Device_Configuration'!AJ188)</f>
        <v/>
      </c>
      <c r="K187" s="28" t="str">
        <f>IF('12 - Device_Configuration'!AA188="","",'12 - Device_Configuration'!AA188)</f>
        <v/>
      </c>
      <c r="L187" s="28" t="str">
        <f>IF('12 - Device_Configuration'!I188="","",'12 - Device_Configuration'!I188)</f>
        <v/>
      </c>
      <c r="M187" s="29"/>
      <c r="N187" s="28" t="str">
        <f>IF('12 - Device_Configuration'!J188="","",'12 - Device_Configuration'!J188)</f>
        <v/>
      </c>
      <c r="O187" s="28" t="str">
        <f>IF('12 - Device_Configuration'!K188="","",'12 - Device_Configuration'!K188)</f>
        <v/>
      </c>
      <c r="P187" s="28" t="str">
        <f>IF('12 - Device_Configuration'!L188="","",'12 - Device_Configuration'!L188)</f>
        <v/>
      </c>
      <c r="Q187" s="29"/>
      <c r="R187" s="28" t="str">
        <f>IF('12 - Device_Configuration'!AY188="","",'12 - Device_Configuration'!AY188)</f>
        <v/>
      </c>
      <c r="S187" s="28" t="str">
        <f>IF('12 - Device_Configuration'!AX188="","",'12 - Device_Configuration'!AX188)</f>
        <v/>
      </c>
      <c r="T187" s="28" t="str">
        <f>IF('12 - Device_Configuration'!AV188="","",'12 - Device_Configuration'!AV188)</f>
        <v/>
      </c>
      <c r="U187" s="28" t="str">
        <f>IF('12 - Device_Configuration'!AW188="","",'12 - Device_Configuration'!AW188)</f>
        <v/>
      </c>
      <c r="V187" s="28" t="str">
        <f>IF('12 - Device_Configuration'!BA188="","",'12 - Device_Configuration'!BA188)</f>
        <v/>
      </c>
      <c r="W187" s="28" t="str">
        <f>IF('12 - Device_Configuration'!BC188="","",'12 - Device_Configuration'!BC188)</f>
        <v/>
      </c>
      <c r="X187" s="28" t="str">
        <f>IF('12 - Device_Configuration'!BK188="","",'12 - Device_Configuration'!BK188)</f>
        <v/>
      </c>
      <c r="Y187" s="28" t="str">
        <f>IF('12 - Device_Configuration'!BB188="","",'12 - Device_Configuration'!BB188)</f>
        <v/>
      </c>
      <c r="Z187" s="28" t="str">
        <f>IF('12 - Device_Configuration'!P188="","",'12 - Device_Configuration'!P188)</f>
        <v/>
      </c>
      <c r="AA187" s="28" t="str">
        <f>IF('12 - Device_Configuration'!Q188="","",'12 - Device_Configuration'!Q188)</f>
        <v/>
      </c>
    </row>
    <row r="188" spans="1:27">
      <c r="A188" s="29"/>
      <c r="B188" s="29"/>
      <c r="C188" s="28" t="str">
        <f>IF('12 - Device_Configuration'!H189="","",'12 - Device_Configuration'!H189)</f>
        <v/>
      </c>
      <c r="D188" s="28" t="str">
        <f>IF('12 - Device_Configuration'!AE189="","",'12 - Device_Configuration'!AE189)</f>
        <v/>
      </c>
      <c r="E188" s="28" t="str">
        <f>IF('12 - Device_Configuration'!AF189="","",'12 - Device_Configuration'!AF189)</f>
        <v/>
      </c>
      <c r="F188" s="28" t="str">
        <f>IF('12 - Device_Configuration'!AG189="","",'12 - Device_Configuration'!AG189)</f>
        <v/>
      </c>
      <c r="G188" s="28" t="str">
        <f>IF('12 - Device_Configuration'!AH189="","",'12 - Device_Configuration'!AH189)</f>
        <v/>
      </c>
      <c r="H188" s="28" t="str">
        <f>IF('12 - Device_Configuration'!A189="","",'12 - Device_Configuration'!A189)</f>
        <v/>
      </c>
      <c r="I188" s="28" t="str">
        <f>IF('12 - Device_Configuration'!AI189="","",'12 - Device_Configuration'!AI189)</f>
        <v/>
      </c>
      <c r="J188" s="28" t="str">
        <f>IF('12 - Device_Configuration'!AJ189="","",'12 - Device_Configuration'!AJ189)</f>
        <v/>
      </c>
      <c r="K188" s="28" t="str">
        <f>IF('12 - Device_Configuration'!AA189="","",'12 - Device_Configuration'!AA189)</f>
        <v/>
      </c>
      <c r="L188" s="28" t="str">
        <f>IF('12 - Device_Configuration'!I189="","",'12 - Device_Configuration'!I189)</f>
        <v/>
      </c>
      <c r="M188" s="29"/>
      <c r="N188" s="28" t="str">
        <f>IF('12 - Device_Configuration'!J189="","",'12 - Device_Configuration'!J189)</f>
        <v/>
      </c>
      <c r="O188" s="28" t="str">
        <f>IF('12 - Device_Configuration'!K189="","",'12 - Device_Configuration'!K189)</f>
        <v/>
      </c>
      <c r="P188" s="28" t="str">
        <f>IF('12 - Device_Configuration'!L189="","",'12 - Device_Configuration'!L189)</f>
        <v/>
      </c>
      <c r="Q188" s="29"/>
      <c r="R188" s="28" t="str">
        <f>IF('12 - Device_Configuration'!AY189="","",'12 - Device_Configuration'!AY189)</f>
        <v/>
      </c>
      <c r="S188" s="28" t="str">
        <f>IF('12 - Device_Configuration'!AX189="","",'12 - Device_Configuration'!AX189)</f>
        <v/>
      </c>
      <c r="T188" s="28" t="str">
        <f>IF('12 - Device_Configuration'!AV189="","",'12 - Device_Configuration'!AV189)</f>
        <v/>
      </c>
      <c r="U188" s="28" t="str">
        <f>IF('12 - Device_Configuration'!AW189="","",'12 - Device_Configuration'!AW189)</f>
        <v/>
      </c>
      <c r="V188" s="28" t="str">
        <f>IF('12 - Device_Configuration'!BA189="","",'12 - Device_Configuration'!BA189)</f>
        <v/>
      </c>
      <c r="W188" s="28" t="str">
        <f>IF('12 - Device_Configuration'!BC189="","",'12 - Device_Configuration'!BC189)</f>
        <v/>
      </c>
      <c r="X188" s="28" t="str">
        <f>IF('12 - Device_Configuration'!BK189="","",'12 - Device_Configuration'!BK189)</f>
        <v/>
      </c>
      <c r="Y188" s="28" t="str">
        <f>IF('12 - Device_Configuration'!BB189="","",'12 - Device_Configuration'!BB189)</f>
        <v/>
      </c>
      <c r="Z188" s="28" t="str">
        <f>IF('12 - Device_Configuration'!P189="","",'12 - Device_Configuration'!P189)</f>
        <v/>
      </c>
      <c r="AA188" s="28" t="str">
        <f>IF('12 - Device_Configuration'!Q189="","",'12 - Device_Configuration'!Q189)</f>
        <v/>
      </c>
    </row>
    <row r="189" spans="1:27">
      <c r="A189" s="29"/>
      <c r="B189" s="29"/>
      <c r="C189" s="28" t="str">
        <f>IF('12 - Device_Configuration'!H190="","",'12 - Device_Configuration'!H190)</f>
        <v/>
      </c>
      <c r="D189" s="28" t="str">
        <f>IF('12 - Device_Configuration'!AE190="","",'12 - Device_Configuration'!AE190)</f>
        <v/>
      </c>
      <c r="E189" s="28" t="str">
        <f>IF('12 - Device_Configuration'!AF190="","",'12 - Device_Configuration'!AF190)</f>
        <v/>
      </c>
      <c r="F189" s="28" t="str">
        <f>IF('12 - Device_Configuration'!AG190="","",'12 - Device_Configuration'!AG190)</f>
        <v/>
      </c>
      <c r="G189" s="28" t="str">
        <f>IF('12 - Device_Configuration'!AH190="","",'12 - Device_Configuration'!AH190)</f>
        <v/>
      </c>
      <c r="H189" s="28" t="str">
        <f>IF('12 - Device_Configuration'!A190="","",'12 - Device_Configuration'!A190)</f>
        <v/>
      </c>
      <c r="I189" s="28" t="str">
        <f>IF('12 - Device_Configuration'!AI190="","",'12 - Device_Configuration'!AI190)</f>
        <v/>
      </c>
      <c r="J189" s="28" t="str">
        <f>IF('12 - Device_Configuration'!AJ190="","",'12 - Device_Configuration'!AJ190)</f>
        <v/>
      </c>
      <c r="K189" s="28" t="str">
        <f>IF('12 - Device_Configuration'!AA190="","",'12 - Device_Configuration'!AA190)</f>
        <v/>
      </c>
      <c r="L189" s="28" t="str">
        <f>IF('12 - Device_Configuration'!I190="","",'12 - Device_Configuration'!I190)</f>
        <v/>
      </c>
      <c r="M189" s="29"/>
      <c r="N189" s="28" t="str">
        <f>IF('12 - Device_Configuration'!J190="","",'12 - Device_Configuration'!J190)</f>
        <v/>
      </c>
      <c r="O189" s="28" t="str">
        <f>IF('12 - Device_Configuration'!K190="","",'12 - Device_Configuration'!K190)</f>
        <v/>
      </c>
      <c r="P189" s="28" t="str">
        <f>IF('12 - Device_Configuration'!L190="","",'12 - Device_Configuration'!L190)</f>
        <v/>
      </c>
      <c r="Q189" s="29"/>
      <c r="R189" s="28" t="str">
        <f>IF('12 - Device_Configuration'!AY190="","",'12 - Device_Configuration'!AY190)</f>
        <v/>
      </c>
      <c r="S189" s="28" t="str">
        <f>IF('12 - Device_Configuration'!AX190="","",'12 - Device_Configuration'!AX190)</f>
        <v/>
      </c>
      <c r="T189" s="28" t="str">
        <f>IF('12 - Device_Configuration'!AV190="","",'12 - Device_Configuration'!AV190)</f>
        <v/>
      </c>
      <c r="U189" s="28" t="str">
        <f>IF('12 - Device_Configuration'!AW190="","",'12 - Device_Configuration'!AW190)</f>
        <v/>
      </c>
      <c r="V189" s="28" t="str">
        <f>IF('12 - Device_Configuration'!BA190="","",'12 - Device_Configuration'!BA190)</f>
        <v/>
      </c>
      <c r="W189" s="28" t="str">
        <f>IF('12 - Device_Configuration'!BC190="","",'12 - Device_Configuration'!BC190)</f>
        <v/>
      </c>
      <c r="X189" s="28" t="str">
        <f>IF('12 - Device_Configuration'!BK190="","",'12 - Device_Configuration'!BK190)</f>
        <v/>
      </c>
      <c r="Y189" s="28" t="str">
        <f>IF('12 - Device_Configuration'!BB190="","",'12 - Device_Configuration'!BB190)</f>
        <v/>
      </c>
      <c r="Z189" s="28" t="str">
        <f>IF('12 - Device_Configuration'!P190="","",'12 - Device_Configuration'!P190)</f>
        <v/>
      </c>
      <c r="AA189" s="28" t="str">
        <f>IF('12 - Device_Configuration'!Q190="","",'12 - Device_Configuration'!Q190)</f>
        <v/>
      </c>
    </row>
    <row r="190" spans="1:27">
      <c r="A190" s="29"/>
      <c r="B190" s="29"/>
      <c r="C190" s="28" t="str">
        <f>IF('12 - Device_Configuration'!H191="","",'12 - Device_Configuration'!H191)</f>
        <v/>
      </c>
      <c r="D190" s="28" t="str">
        <f>IF('12 - Device_Configuration'!AE191="","",'12 - Device_Configuration'!AE191)</f>
        <v/>
      </c>
      <c r="E190" s="28" t="str">
        <f>IF('12 - Device_Configuration'!AF191="","",'12 - Device_Configuration'!AF191)</f>
        <v/>
      </c>
      <c r="F190" s="28" t="str">
        <f>IF('12 - Device_Configuration'!AG191="","",'12 - Device_Configuration'!AG191)</f>
        <v/>
      </c>
      <c r="G190" s="28" t="str">
        <f>IF('12 - Device_Configuration'!AH191="","",'12 - Device_Configuration'!AH191)</f>
        <v/>
      </c>
      <c r="H190" s="28" t="str">
        <f>IF('12 - Device_Configuration'!A191="","",'12 - Device_Configuration'!A191)</f>
        <v/>
      </c>
      <c r="I190" s="28" t="str">
        <f>IF('12 - Device_Configuration'!AI191="","",'12 - Device_Configuration'!AI191)</f>
        <v/>
      </c>
      <c r="J190" s="28" t="str">
        <f>IF('12 - Device_Configuration'!AJ191="","",'12 - Device_Configuration'!AJ191)</f>
        <v/>
      </c>
      <c r="K190" s="28" t="str">
        <f>IF('12 - Device_Configuration'!AA191="","",'12 - Device_Configuration'!AA191)</f>
        <v/>
      </c>
      <c r="L190" s="28" t="str">
        <f>IF('12 - Device_Configuration'!I191="","",'12 - Device_Configuration'!I191)</f>
        <v/>
      </c>
      <c r="M190" s="29"/>
      <c r="N190" s="28" t="str">
        <f>IF('12 - Device_Configuration'!J191="","",'12 - Device_Configuration'!J191)</f>
        <v/>
      </c>
      <c r="O190" s="28" t="str">
        <f>IF('12 - Device_Configuration'!K191="","",'12 - Device_Configuration'!K191)</f>
        <v/>
      </c>
      <c r="P190" s="28" t="str">
        <f>IF('12 - Device_Configuration'!L191="","",'12 - Device_Configuration'!L191)</f>
        <v/>
      </c>
      <c r="Q190" s="29"/>
      <c r="R190" s="28" t="str">
        <f>IF('12 - Device_Configuration'!AY191="","",'12 - Device_Configuration'!AY191)</f>
        <v/>
      </c>
      <c r="S190" s="28" t="str">
        <f>IF('12 - Device_Configuration'!AX191="","",'12 - Device_Configuration'!AX191)</f>
        <v/>
      </c>
      <c r="T190" s="28" t="str">
        <f>IF('12 - Device_Configuration'!AV191="","",'12 - Device_Configuration'!AV191)</f>
        <v/>
      </c>
      <c r="U190" s="28" t="str">
        <f>IF('12 - Device_Configuration'!AW191="","",'12 - Device_Configuration'!AW191)</f>
        <v/>
      </c>
      <c r="V190" s="28" t="str">
        <f>IF('12 - Device_Configuration'!BA191="","",'12 - Device_Configuration'!BA191)</f>
        <v/>
      </c>
      <c r="W190" s="28" t="str">
        <f>IF('12 - Device_Configuration'!BC191="","",'12 - Device_Configuration'!BC191)</f>
        <v/>
      </c>
      <c r="X190" s="28" t="str">
        <f>IF('12 - Device_Configuration'!BK191="","",'12 - Device_Configuration'!BK191)</f>
        <v/>
      </c>
      <c r="Y190" s="28" t="str">
        <f>IF('12 - Device_Configuration'!BB191="","",'12 - Device_Configuration'!BB191)</f>
        <v/>
      </c>
      <c r="Z190" s="28" t="str">
        <f>IF('12 - Device_Configuration'!P191="","",'12 - Device_Configuration'!P191)</f>
        <v/>
      </c>
      <c r="AA190" s="28" t="str">
        <f>IF('12 - Device_Configuration'!Q191="","",'12 - Device_Configuration'!Q191)</f>
        <v/>
      </c>
    </row>
    <row r="191" spans="1:27">
      <c r="A191" s="29"/>
      <c r="B191" s="29"/>
      <c r="C191" s="28" t="str">
        <f>IF('12 - Device_Configuration'!H192="","",'12 - Device_Configuration'!H192)</f>
        <v/>
      </c>
      <c r="D191" s="28" t="str">
        <f>IF('12 - Device_Configuration'!AE192="","",'12 - Device_Configuration'!AE192)</f>
        <v/>
      </c>
      <c r="E191" s="28" t="str">
        <f>IF('12 - Device_Configuration'!AF192="","",'12 - Device_Configuration'!AF192)</f>
        <v/>
      </c>
      <c r="F191" s="28" t="str">
        <f>IF('12 - Device_Configuration'!AG192="","",'12 - Device_Configuration'!AG192)</f>
        <v/>
      </c>
      <c r="G191" s="28" t="str">
        <f>IF('12 - Device_Configuration'!AH192="","",'12 - Device_Configuration'!AH192)</f>
        <v/>
      </c>
      <c r="H191" s="28" t="str">
        <f>IF('12 - Device_Configuration'!A192="","",'12 - Device_Configuration'!A192)</f>
        <v/>
      </c>
      <c r="I191" s="28" t="str">
        <f>IF('12 - Device_Configuration'!AI192="","",'12 - Device_Configuration'!AI192)</f>
        <v/>
      </c>
      <c r="J191" s="28" t="str">
        <f>IF('12 - Device_Configuration'!AJ192="","",'12 - Device_Configuration'!AJ192)</f>
        <v/>
      </c>
      <c r="K191" s="28" t="str">
        <f>IF('12 - Device_Configuration'!AA192="","",'12 - Device_Configuration'!AA192)</f>
        <v/>
      </c>
      <c r="L191" s="28" t="str">
        <f>IF('12 - Device_Configuration'!I192="","",'12 - Device_Configuration'!I192)</f>
        <v/>
      </c>
      <c r="M191" s="29"/>
      <c r="N191" s="28" t="str">
        <f>IF('12 - Device_Configuration'!J192="","",'12 - Device_Configuration'!J192)</f>
        <v/>
      </c>
      <c r="O191" s="28" t="str">
        <f>IF('12 - Device_Configuration'!K192="","",'12 - Device_Configuration'!K192)</f>
        <v/>
      </c>
      <c r="P191" s="28" t="str">
        <f>IF('12 - Device_Configuration'!L192="","",'12 - Device_Configuration'!L192)</f>
        <v/>
      </c>
      <c r="Q191" s="29"/>
      <c r="R191" s="28" t="str">
        <f>IF('12 - Device_Configuration'!AY192="","",'12 - Device_Configuration'!AY192)</f>
        <v/>
      </c>
      <c r="S191" s="28" t="str">
        <f>IF('12 - Device_Configuration'!AX192="","",'12 - Device_Configuration'!AX192)</f>
        <v/>
      </c>
      <c r="T191" s="28" t="str">
        <f>IF('12 - Device_Configuration'!AV192="","",'12 - Device_Configuration'!AV192)</f>
        <v/>
      </c>
      <c r="U191" s="28" t="str">
        <f>IF('12 - Device_Configuration'!AW192="","",'12 - Device_Configuration'!AW192)</f>
        <v/>
      </c>
      <c r="V191" s="28" t="str">
        <f>IF('12 - Device_Configuration'!BA192="","",'12 - Device_Configuration'!BA192)</f>
        <v/>
      </c>
      <c r="W191" s="28" t="str">
        <f>IF('12 - Device_Configuration'!BC192="","",'12 - Device_Configuration'!BC192)</f>
        <v/>
      </c>
      <c r="X191" s="28" t="str">
        <f>IF('12 - Device_Configuration'!BK192="","",'12 - Device_Configuration'!BK192)</f>
        <v/>
      </c>
      <c r="Y191" s="28" t="str">
        <f>IF('12 - Device_Configuration'!BB192="","",'12 - Device_Configuration'!BB192)</f>
        <v/>
      </c>
      <c r="Z191" s="28" t="str">
        <f>IF('12 - Device_Configuration'!P192="","",'12 - Device_Configuration'!P192)</f>
        <v/>
      </c>
      <c r="AA191" s="28" t="str">
        <f>IF('12 - Device_Configuration'!Q192="","",'12 - Device_Configuration'!Q192)</f>
        <v/>
      </c>
    </row>
    <row r="192" spans="1:27">
      <c r="A192" s="29"/>
      <c r="B192" s="29"/>
      <c r="C192" s="28" t="str">
        <f>IF('12 - Device_Configuration'!H193="","",'12 - Device_Configuration'!H193)</f>
        <v/>
      </c>
      <c r="D192" s="28" t="str">
        <f>IF('12 - Device_Configuration'!AE193="","",'12 - Device_Configuration'!AE193)</f>
        <v/>
      </c>
      <c r="E192" s="28" t="str">
        <f>IF('12 - Device_Configuration'!AF193="","",'12 - Device_Configuration'!AF193)</f>
        <v/>
      </c>
      <c r="F192" s="28" t="str">
        <f>IF('12 - Device_Configuration'!AG193="","",'12 - Device_Configuration'!AG193)</f>
        <v/>
      </c>
      <c r="G192" s="28" t="str">
        <f>IF('12 - Device_Configuration'!AH193="","",'12 - Device_Configuration'!AH193)</f>
        <v/>
      </c>
      <c r="H192" s="28" t="str">
        <f>IF('12 - Device_Configuration'!A193="","",'12 - Device_Configuration'!A193)</f>
        <v/>
      </c>
      <c r="I192" s="28" t="str">
        <f>IF('12 - Device_Configuration'!AI193="","",'12 - Device_Configuration'!AI193)</f>
        <v/>
      </c>
      <c r="J192" s="28" t="str">
        <f>IF('12 - Device_Configuration'!AJ193="","",'12 - Device_Configuration'!AJ193)</f>
        <v/>
      </c>
      <c r="K192" s="28" t="str">
        <f>IF('12 - Device_Configuration'!AA193="","",'12 - Device_Configuration'!AA193)</f>
        <v/>
      </c>
      <c r="L192" s="28" t="str">
        <f>IF('12 - Device_Configuration'!I193="","",'12 - Device_Configuration'!I193)</f>
        <v/>
      </c>
      <c r="M192" s="29"/>
      <c r="N192" s="28" t="str">
        <f>IF('12 - Device_Configuration'!J193="","",'12 - Device_Configuration'!J193)</f>
        <v/>
      </c>
      <c r="O192" s="28" t="str">
        <f>IF('12 - Device_Configuration'!K193="","",'12 - Device_Configuration'!K193)</f>
        <v/>
      </c>
      <c r="P192" s="28" t="str">
        <f>IF('12 - Device_Configuration'!L193="","",'12 - Device_Configuration'!L193)</f>
        <v/>
      </c>
      <c r="Q192" s="29"/>
      <c r="R192" s="28" t="str">
        <f>IF('12 - Device_Configuration'!AY193="","",'12 - Device_Configuration'!AY193)</f>
        <v/>
      </c>
      <c r="S192" s="28" t="str">
        <f>IF('12 - Device_Configuration'!AX193="","",'12 - Device_Configuration'!AX193)</f>
        <v/>
      </c>
      <c r="T192" s="28" t="str">
        <f>IF('12 - Device_Configuration'!AV193="","",'12 - Device_Configuration'!AV193)</f>
        <v/>
      </c>
      <c r="U192" s="28" t="str">
        <f>IF('12 - Device_Configuration'!AW193="","",'12 - Device_Configuration'!AW193)</f>
        <v/>
      </c>
      <c r="V192" s="28" t="str">
        <f>IF('12 - Device_Configuration'!BA193="","",'12 - Device_Configuration'!BA193)</f>
        <v/>
      </c>
      <c r="W192" s="28" t="str">
        <f>IF('12 - Device_Configuration'!BC193="","",'12 - Device_Configuration'!BC193)</f>
        <v/>
      </c>
      <c r="X192" s="28" t="str">
        <f>IF('12 - Device_Configuration'!BK193="","",'12 - Device_Configuration'!BK193)</f>
        <v/>
      </c>
      <c r="Y192" s="28" t="str">
        <f>IF('12 - Device_Configuration'!BB193="","",'12 - Device_Configuration'!BB193)</f>
        <v/>
      </c>
      <c r="Z192" s="28" t="str">
        <f>IF('12 - Device_Configuration'!P193="","",'12 - Device_Configuration'!P193)</f>
        <v/>
      </c>
      <c r="AA192" s="28" t="str">
        <f>IF('12 - Device_Configuration'!Q193="","",'12 - Device_Configuration'!Q193)</f>
        <v/>
      </c>
    </row>
    <row r="193" spans="1:27">
      <c r="A193" s="29"/>
      <c r="B193" s="29"/>
      <c r="C193" s="28" t="str">
        <f>IF('12 - Device_Configuration'!H194="","",'12 - Device_Configuration'!H194)</f>
        <v/>
      </c>
      <c r="D193" s="28" t="str">
        <f>IF('12 - Device_Configuration'!AE194="","",'12 - Device_Configuration'!AE194)</f>
        <v/>
      </c>
      <c r="E193" s="28" t="str">
        <f>IF('12 - Device_Configuration'!AF194="","",'12 - Device_Configuration'!AF194)</f>
        <v/>
      </c>
      <c r="F193" s="28" t="str">
        <f>IF('12 - Device_Configuration'!AG194="","",'12 - Device_Configuration'!AG194)</f>
        <v/>
      </c>
      <c r="G193" s="28" t="str">
        <f>IF('12 - Device_Configuration'!AH194="","",'12 - Device_Configuration'!AH194)</f>
        <v/>
      </c>
      <c r="H193" s="28" t="str">
        <f>IF('12 - Device_Configuration'!A194="","",'12 - Device_Configuration'!A194)</f>
        <v/>
      </c>
      <c r="I193" s="28" t="str">
        <f>IF('12 - Device_Configuration'!AI194="","",'12 - Device_Configuration'!AI194)</f>
        <v/>
      </c>
      <c r="J193" s="28" t="str">
        <f>IF('12 - Device_Configuration'!AJ194="","",'12 - Device_Configuration'!AJ194)</f>
        <v/>
      </c>
      <c r="K193" s="28" t="str">
        <f>IF('12 - Device_Configuration'!AA194="","",'12 - Device_Configuration'!AA194)</f>
        <v/>
      </c>
      <c r="L193" s="28" t="str">
        <f>IF('12 - Device_Configuration'!I194="","",'12 - Device_Configuration'!I194)</f>
        <v/>
      </c>
      <c r="M193" s="29"/>
      <c r="N193" s="28" t="str">
        <f>IF('12 - Device_Configuration'!J194="","",'12 - Device_Configuration'!J194)</f>
        <v/>
      </c>
      <c r="O193" s="28" t="str">
        <f>IF('12 - Device_Configuration'!K194="","",'12 - Device_Configuration'!K194)</f>
        <v/>
      </c>
      <c r="P193" s="28" t="str">
        <f>IF('12 - Device_Configuration'!L194="","",'12 - Device_Configuration'!L194)</f>
        <v/>
      </c>
      <c r="Q193" s="29"/>
      <c r="R193" s="28" t="str">
        <f>IF('12 - Device_Configuration'!AY194="","",'12 - Device_Configuration'!AY194)</f>
        <v/>
      </c>
      <c r="S193" s="28" t="str">
        <f>IF('12 - Device_Configuration'!AX194="","",'12 - Device_Configuration'!AX194)</f>
        <v/>
      </c>
      <c r="T193" s="28" t="str">
        <f>IF('12 - Device_Configuration'!AV194="","",'12 - Device_Configuration'!AV194)</f>
        <v/>
      </c>
      <c r="U193" s="28" t="str">
        <f>IF('12 - Device_Configuration'!AW194="","",'12 - Device_Configuration'!AW194)</f>
        <v/>
      </c>
      <c r="V193" s="28" t="str">
        <f>IF('12 - Device_Configuration'!BA194="","",'12 - Device_Configuration'!BA194)</f>
        <v/>
      </c>
      <c r="W193" s="28" t="str">
        <f>IF('12 - Device_Configuration'!BC194="","",'12 - Device_Configuration'!BC194)</f>
        <v/>
      </c>
      <c r="X193" s="28" t="str">
        <f>IF('12 - Device_Configuration'!BK194="","",'12 - Device_Configuration'!BK194)</f>
        <v/>
      </c>
      <c r="Y193" s="28" t="str">
        <f>IF('12 - Device_Configuration'!BB194="","",'12 - Device_Configuration'!BB194)</f>
        <v/>
      </c>
      <c r="Z193" s="28" t="str">
        <f>IF('12 - Device_Configuration'!P194="","",'12 - Device_Configuration'!P194)</f>
        <v/>
      </c>
      <c r="AA193" s="28" t="str">
        <f>IF('12 - Device_Configuration'!Q194="","",'12 - Device_Configuration'!Q194)</f>
        <v/>
      </c>
    </row>
    <row r="194" spans="1:27">
      <c r="A194" s="29"/>
      <c r="B194" s="29"/>
      <c r="C194" s="28" t="str">
        <f>IF('12 - Device_Configuration'!H195="","",'12 - Device_Configuration'!H195)</f>
        <v/>
      </c>
      <c r="D194" s="28" t="str">
        <f>IF('12 - Device_Configuration'!AE195="","",'12 - Device_Configuration'!AE195)</f>
        <v/>
      </c>
      <c r="E194" s="28" t="str">
        <f>IF('12 - Device_Configuration'!AF195="","",'12 - Device_Configuration'!AF195)</f>
        <v/>
      </c>
      <c r="F194" s="28" t="str">
        <f>IF('12 - Device_Configuration'!AG195="","",'12 - Device_Configuration'!AG195)</f>
        <v/>
      </c>
      <c r="G194" s="28" t="str">
        <f>IF('12 - Device_Configuration'!AH195="","",'12 - Device_Configuration'!AH195)</f>
        <v/>
      </c>
      <c r="H194" s="28" t="str">
        <f>IF('12 - Device_Configuration'!A195="","",'12 - Device_Configuration'!A195)</f>
        <v/>
      </c>
      <c r="I194" s="28" t="str">
        <f>IF('12 - Device_Configuration'!AI195="","",'12 - Device_Configuration'!AI195)</f>
        <v/>
      </c>
      <c r="J194" s="28" t="str">
        <f>IF('12 - Device_Configuration'!AJ195="","",'12 - Device_Configuration'!AJ195)</f>
        <v/>
      </c>
      <c r="K194" s="28" t="str">
        <f>IF('12 - Device_Configuration'!AA195="","",'12 - Device_Configuration'!AA195)</f>
        <v/>
      </c>
      <c r="L194" s="28" t="str">
        <f>IF('12 - Device_Configuration'!I195="","",'12 - Device_Configuration'!I195)</f>
        <v/>
      </c>
      <c r="M194" s="29"/>
      <c r="N194" s="28" t="str">
        <f>IF('12 - Device_Configuration'!J195="","",'12 - Device_Configuration'!J195)</f>
        <v/>
      </c>
      <c r="O194" s="28" t="str">
        <f>IF('12 - Device_Configuration'!K195="","",'12 - Device_Configuration'!K195)</f>
        <v/>
      </c>
      <c r="P194" s="28" t="str">
        <f>IF('12 - Device_Configuration'!L195="","",'12 - Device_Configuration'!L195)</f>
        <v/>
      </c>
      <c r="Q194" s="29"/>
      <c r="R194" s="28" t="str">
        <f>IF('12 - Device_Configuration'!AY195="","",'12 - Device_Configuration'!AY195)</f>
        <v/>
      </c>
      <c r="S194" s="28" t="str">
        <f>IF('12 - Device_Configuration'!AX195="","",'12 - Device_Configuration'!AX195)</f>
        <v/>
      </c>
      <c r="T194" s="28" t="str">
        <f>IF('12 - Device_Configuration'!AV195="","",'12 - Device_Configuration'!AV195)</f>
        <v/>
      </c>
      <c r="U194" s="28" t="str">
        <f>IF('12 - Device_Configuration'!AW195="","",'12 - Device_Configuration'!AW195)</f>
        <v/>
      </c>
      <c r="V194" s="28" t="str">
        <f>IF('12 - Device_Configuration'!BA195="","",'12 - Device_Configuration'!BA195)</f>
        <v/>
      </c>
      <c r="W194" s="28" t="str">
        <f>IF('12 - Device_Configuration'!BC195="","",'12 - Device_Configuration'!BC195)</f>
        <v/>
      </c>
      <c r="X194" s="28" t="str">
        <f>IF('12 - Device_Configuration'!BK195="","",'12 - Device_Configuration'!BK195)</f>
        <v/>
      </c>
      <c r="Y194" s="28" t="str">
        <f>IF('12 - Device_Configuration'!BB195="","",'12 - Device_Configuration'!BB195)</f>
        <v/>
      </c>
      <c r="Z194" s="28" t="str">
        <f>IF('12 - Device_Configuration'!P195="","",'12 - Device_Configuration'!P195)</f>
        <v/>
      </c>
      <c r="AA194" s="28" t="str">
        <f>IF('12 - Device_Configuration'!Q195="","",'12 - Device_Configuration'!Q195)</f>
        <v/>
      </c>
    </row>
    <row r="195" spans="1:27">
      <c r="A195" s="29"/>
      <c r="B195" s="29"/>
      <c r="C195" s="28" t="str">
        <f>IF('12 - Device_Configuration'!H196="","",'12 - Device_Configuration'!H196)</f>
        <v/>
      </c>
      <c r="D195" s="28" t="str">
        <f>IF('12 - Device_Configuration'!AE196="","",'12 - Device_Configuration'!AE196)</f>
        <v/>
      </c>
      <c r="E195" s="28" t="str">
        <f>IF('12 - Device_Configuration'!AF196="","",'12 - Device_Configuration'!AF196)</f>
        <v/>
      </c>
      <c r="F195" s="28" t="str">
        <f>IF('12 - Device_Configuration'!AG196="","",'12 - Device_Configuration'!AG196)</f>
        <v/>
      </c>
      <c r="G195" s="28" t="str">
        <f>IF('12 - Device_Configuration'!AH196="","",'12 - Device_Configuration'!AH196)</f>
        <v/>
      </c>
      <c r="H195" s="28" t="str">
        <f>IF('12 - Device_Configuration'!A196="","",'12 - Device_Configuration'!A196)</f>
        <v/>
      </c>
      <c r="I195" s="28" t="str">
        <f>IF('12 - Device_Configuration'!AI196="","",'12 - Device_Configuration'!AI196)</f>
        <v/>
      </c>
      <c r="J195" s="28" t="str">
        <f>IF('12 - Device_Configuration'!AJ196="","",'12 - Device_Configuration'!AJ196)</f>
        <v/>
      </c>
      <c r="K195" s="28" t="str">
        <f>IF('12 - Device_Configuration'!AA196="","",'12 - Device_Configuration'!AA196)</f>
        <v/>
      </c>
      <c r="L195" s="28" t="str">
        <f>IF('12 - Device_Configuration'!I196="","",'12 - Device_Configuration'!I196)</f>
        <v/>
      </c>
      <c r="M195" s="29"/>
      <c r="N195" s="28" t="str">
        <f>IF('12 - Device_Configuration'!J196="","",'12 - Device_Configuration'!J196)</f>
        <v/>
      </c>
      <c r="O195" s="28" t="str">
        <f>IF('12 - Device_Configuration'!K196="","",'12 - Device_Configuration'!K196)</f>
        <v/>
      </c>
      <c r="P195" s="28" t="str">
        <f>IF('12 - Device_Configuration'!L196="","",'12 - Device_Configuration'!L196)</f>
        <v/>
      </c>
      <c r="Q195" s="29"/>
      <c r="R195" s="28" t="str">
        <f>IF('12 - Device_Configuration'!AY196="","",'12 - Device_Configuration'!AY196)</f>
        <v/>
      </c>
      <c r="S195" s="28" t="str">
        <f>IF('12 - Device_Configuration'!AX196="","",'12 - Device_Configuration'!AX196)</f>
        <v/>
      </c>
      <c r="T195" s="28" t="str">
        <f>IF('12 - Device_Configuration'!AV196="","",'12 - Device_Configuration'!AV196)</f>
        <v/>
      </c>
      <c r="U195" s="28" t="str">
        <f>IF('12 - Device_Configuration'!AW196="","",'12 - Device_Configuration'!AW196)</f>
        <v/>
      </c>
      <c r="V195" s="28" t="str">
        <f>IF('12 - Device_Configuration'!BA196="","",'12 - Device_Configuration'!BA196)</f>
        <v/>
      </c>
      <c r="W195" s="28" t="str">
        <f>IF('12 - Device_Configuration'!BC196="","",'12 - Device_Configuration'!BC196)</f>
        <v/>
      </c>
      <c r="X195" s="28" t="str">
        <f>IF('12 - Device_Configuration'!BK196="","",'12 - Device_Configuration'!BK196)</f>
        <v/>
      </c>
      <c r="Y195" s="28" t="str">
        <f>IF('12 - Device_Configuration'!BB196="","",'12 - Device_Configuration'!BB196)</f>
        <v/>
      </c>
      <c r="Z195" s="28" t="str">
        <f>IF('12 - Device_Configuration'!P196="","",'12 - Device_Configuration'!P196)</f>
        <v/>
      </c>
      <c r="AA195" s="28" t="str">
        <f>IF('12 - Device_Configuration'!Q196="","",'12 - Device_Configuration'!Q196)</f>
        <v/>
      </c>
    </row>
    <row r="196" spans="1:27">
      <c r="A196" s="29"/>
      <c r="B196" s="29"/>
      <c r="C196" s="28" t="str">
        <f>IF('12 - Device_Configuration'!H197="","",'12 - Device_Configuration'!H197)</f>
        <v/>
      </c>
      <c r="D196" s="28" t="str">
        <f>IF('12 - Device_Configuration'!AE197="","",'12 - Device_Configuration'!AE197)</f>
        <v/>
      </c>
      <c r="E196" s="28" t="str">
        <f>IF('12 - Device_Configuration'!AF197="","",'12 - Device_Configuration'!AF197)</f>
        <v/>
      </c>
      <c r="F196" s="28" t="str">
        <f>IF('12 - Device_Configuration'!AG197="","",'12 - Device_Configuration'!AG197)</f>
        <v/>
      </c>
      <c r="G196" s="28" t="str">
        <f>IF('12 - Device_Configuration'!AH197="","",'12 - Device_Configuration'!AH197)</f>
        <v/>
      </c>
      <c r="H196" s="28" t="str">
        <f>IF('12 - Device_Configuration'!A197="","",'12 - Device_Configuration'!A197)</f>
        <v/>
      </c>
      <c r="I196" s="28" t="str">
        <f>IF('12 - Device_Configuration'!AI197="","",'12 - Device_Configuration'!AI197)</f>
        <v/>
      </c>
      <c r="J196" s="28" t="str">
        <f>IF('12 - Device_Configuration'!AJ197="","",'12 - Device_Configuration'!AJ197)</f>
        <v/>
      </c>
      <c r="K196" s="28" t="str">
        <f>IF('12 - Device_Configuration'!AA197="","",'12 - Device_Configuration'!AA197)</f>
        <v/>
      </c>
      <c r="L196" s="28" t="str">
        <f>IF('12 - Device_Configuration'!I197="","",'12 - Device_Configuration'!I197)</f>
        <v/>
      </c>
      <c r="M196" s="29"/>
      <c r="N196" s="28" t="str">
        <f>IF('12 - Device_Configuration'!J197="","",'12 - Device_Configuration'!J197)</f>
        <v/>
      </c>
      <c r="O196" s="28" t="str">
        <f>IF('12 - Device_Configuration'!K197="","",'12 - Device_Configuration'!K197)</f>
        <v/>
      </c>
      <c r="P196" s="28" t="str">
        <f>IF('12 - Device_Configuration'!L197="","",'12 - Device_Configuration'!L197)</f>
        <v/>
      </c>
      <c r="Q196" s="29"/>
      <c r="R196" s="28" t="str">
        <f>IF('12 - Device_Configuration'!AY197="","",'12 - Device_Configuration'!AY197)</f>
        <v/>
      </c>
      <c r="S196" s="28" t="str">
        <f>IF('12 - Device_Configuration'!AX197="","",'12 - Device_Configuration'!AX197)</f>
        <v/>
      </c>
      <c r="T196" s="28" t="str">
        <f>IF('12 - Device_Configuration'!AV197="","",'12 - Device_Configuration'!AV197)</f>
        <v/>
      </c>
      <c r="U196" s="28" t="str">
        <f>IF('12 - Device_Configuration'!AW197="","",'12 - Device_Configuration'!AW197)</f>
        <v/>
      </c>
      <c r="V196" s="28" t="str">
        <f>IF('12 - Device_Configuration'!BA197="","",'12 - Device_Configuration'!BA197)</f>
        <v/>
      </c>
      <c r="W196" s="28" t="str">
        <f>IF('12 - Device_Configuration'!BC197="","",'12 - Device_Configuration'!BC197)</f>
        <v/>
      </c>
      <c r="X196" s="28" t="str">
        <f>IF('12 - Device_Configuration'!BK197="","",'12 - Device_Configuration'!BK197)</f>
        <v/>
      </c>
      <c r="Y196" s="28" t="str">
        <f>IF('12 - Device_Configuration'!BB197="","",'12 - Device_Configuration'!BB197)</f>
        <v/>
      </c>
      <c r="Z196" s="28" t="str">
        <f>IF('12 - Device_Configuration'!P197="","",'12 - Device_Configuration'!P197)</f>
        <v/>
      </c>
      <c r="AA196" s="28" t="str">
        <f>IF('12 - Device_Configuration'!Q197="","",'12 - Device_Configuration'!Q197)</f>
        <v/>
      </c>
    </row>
    <row r="197" spans="1:27">
      <c r="A197" s="29"/>
      <c r="B197" s="29"/>
      <c r="C197" s="28" t="str">
        <f>IF('12 - Device_Configuration'!H198="","",'12 - Device_Configuration'!H198)</f>
        <v/>
      </c>
      <c r="D197" s="28" t="str">
        <f>IF('12 - Device_Configuration'!AE198="","",'12 - Device_Configuration'!AE198)</f>
        <v/>
      </c>
      <c r="E197" s="28" t="str">
        <f>IF('12 - Device_Configuration'!AF198="","",'12 - Device_Configuration'!AF198)</f>
        <v/>
      </c>
      <c r="F197" s="28" t="str">
        <f>IF('12 - Device_Configuration'!AG198="","",'12 - Device_Configuration'!AG198)</f>
        <v/>
      </c>
      <c r="G197" s="28" t="str">
        <f>IF('12 - Device_Configuration'!AH198="","",'12 - Device_Configuration'!AH198)</f>
        <v/>
      </c>
      <c r="H197" s="28" t="str">
        <f>IF('12 - Device_Configuration'!A198="","",'12 - Device_Configuration'!A198)</f>
        <v/>
      </c>
      <c r="I197" s="28" t="str">
        <f>IF('12 - Device_Configuration'!AI198="","",'12 - Device_Configuration'!AI198)</f>
        <v/>
      </c>
      <c r="J197" s="28" t="str">
        <f>IF('12 - Device_Configuration'!AJ198="","",'12 - Device_Configuration'!AJ198)</f>
        <v/>
      </c>
      <c r="K197" s="28" t="str">
        <f>IF('12 - Device_Configuration'!AA198="","",'12 - Device_Configuration'!AA198)</f>
        <v/>
      </c>
      <c r="L197" s="28" t="str">
        <f>IF('12 - Device_Configuration'!I198="","",'12 - Device_Configuration'!I198)</f>
        <v/>
      </c>
      <c r="M197" s="29"/>
      <c r="N197" s="28" t="str">
        <f>IF('12 - Device_Configuration'!J198="","",'12 - Device_Configuration'!J198)</f>
        <v/>
      </c>
      <c r="O197" s="28" t="str">
        <f>IF('12 - Device_Configuration'!K198="","",'12 - Device_Configuration'!K198)</f>
        <v/>
      </c>
      <c r="P197" s="28" t="str">
        <f>IF('12 - Device_Configuration'!L198="","",'12 - Device_Configuration'!L198)</f>
        <v/>
      </c>
      <c r="Q197" s="29"/>
      <c r="R197" s="28" t="str">
        <f>IF('12 - Device_Configuration'!AY198="","",'12 - Device_Configuration'!AY198)</f>
        <v/>
      </c>
      <c r="S197" s="28" t="str">
        <f>IF('12 - Device_Configuration'!AX198="","",'12 - Device_Configuration'!AX198)</f>
        <v/>
      </c>
      <c r="T197" s="28" t="str">
        <f>IF('12 - Device_Configuration'!AV198="","",'12 - Device_Configuration'!AV198)</f>
        <v/>
      </c>
      <c r="U197" s="28" t="str">
        <f>IF('12 - Device_Configuration'!AW198="","",'12 - Device_Configuration'!AW198)</f>
        <v/>
      </c>
      <c r="V197" s="28" t="str">
        <f>IF('12 - Device_Configuration'!BA198="","",'12 - Device_Configuration'!BA198)</f>
        <v/>
      </c>
      <c r="W197" s="28" t="str">
        <f>IF('12 - Device_Configuration'!BC198="","",'12 - Device_Configuration'!BC198)</f>
        <v/>
      </c>
      <c r="X197" s="28" t="str">
        <f>IF('12 - Device_Configuration'!BK198="","",'12 - Device_Configuration'!BK198)</f>
        <v/>
      </c>
      <c r="Y197" s="28" t="str">
        <f>IF('12 - Device_Configuration'!BB198="","",'12 - Device_Configuration'!BB198)</f>
        <v/>
      </c>
      <c r="Z197" s="28" t="str">
        <f>IF('12 - Device_Configuration'!P198="","",'12 - Device_Configuration'!P198)</f>
        <v/>
      </c>
      <c r="AA197" s="28" t="str">
        <f>IF('12 - Device_Configuration'!Q198="","",'12 - Device_Configuration'!Q198)</f>
        <v/>
      </c>
    </row>
    <row r="198" spans="1:27">
      <c r="A198" s="29"/>
      <c r="B198" s="29"/>
      <c r="C198" s="28" t="str">
        <f>IF('12 - Device_Configuration'!H199="","",'12 - Device_Configuration'!H199)</f>
        <v/>
      </c>
      <c r="D198" s="28" t="str">
        <f>IF('12 - Device_Configuration'!AE199="","",'12 - Device_Configuration'!AE199)</f>
        <v/>
      </c>
      <c r="E198" s="28" t="str">
        <f>IF('12 - Device_Configuration'!AF199="","",'12 - Device_Configuration'!AF199)</f>
        <v/>
      </c>
      <c r="F198" s="28" t="str">
        <f>IF('12 - Device_Configuration'!AG199="","",'12 - Device_Configuration'!AG199)</f>
        <v/>
      </c>
      <c r="G198" s="28" t="str">
        <f>IF('12 - Device_Configuration'!AH199="","",'12 - Device_Configuration'!AH199)</f>
        <v/>
      </c>
      <c r="H198" s="28" t="str">
        <f>IF('12 - Device_Configuration'!A199="","",'12 - Device_Configuration'!A199)</f>
        <v/>
      </c>
      <c r="I198" s="28" t="str">
        <f>IF('12 - Device_Configuration'!AI199="","",'12 - Device_Configuration'!AI199)</f>
        <v/>
      </c>
      <c r="J198" s="28" t="str">
        <f>IF('12 - Device_Configuration'!AJ199="","",'12 - Device_Configuration'!AJ199)</f>
        <v/>
      </c>
      <c r="K198" s="28" t="str">
        <f>IF('12 - Device_Configuration'!AA199="","",'12 - Device_Configuration'!AA199)</f>
        <v/>
      </c>
      <c r="L198" s="28" t="str">
        <f>IF('12 - Device_Configuration'!I199="","",'12 - Device_Configuration'!I199)</f>
        <v/>
      </c>
      <c r="M198" s="29"/>
      <c r="N198" s="28" t="str">
        <f>IF('12 - Device_Configuration'!J199="","",'12 - Device_Configuration'!J199)</f>
        <v/>
      </c>
      <c r="O198" s="28" t="str">
        <f>IF('12 - Device_Configuration'!K199="","",'12 - Device_Configuration'!K199)</f>
        <v/>
      </c>
      <c r="P198" s="28" t="str">
        <f>IF('12 - Device_Configuration'!L199="","",'12 - Device_Configuration'!L199)</f>
        <v/>
      </c>
      <c r="Q198" s="29"/>
      <c r="R198" s="28" t="str">
        <f>IF('12 - Device_Configuration'!AY199="","",'12 - Device_Configuration'!AY199)</f>
        <v/>
      </c>
      <c r="S198" s="28" t="str">
        <f>IF('12 - Device_Configuration'!AX199="","",'12 - Device_Configuration'!AX199)</f>
        <v/>
      </c>
      <c r="T198" s="28" t="str">
        <f>IF('12 - Device_Configuration'!AV199="","",'12 - Device_Configuration'!AV199)</f>
        <v/>
      </c>
      <c r="U198" s="28" t="str">
        <f>IF('12 - Device_Configuration'!AW199="","",'12 - Device_Configuration'!AW199)</f>
        <v/>
      </c>
      <c r="V198" s="28" t="str">
        <f>IF('12 - Device_Configuration'!BA199="","",'12 - Device_Configuration'!BA199)</f>
        <v/>
      </c>
      <c r="W198" s="28" t="str">
        <f>IF('12 - Device_Configuration'!BC199="","",'12 - Device_Configuration'!BC199)</f>
        <v/>
      </c>
      <c r="X198" s="28" t="str">
        <f>IF('12 - Device_Configuration'!BK199="","",'12 - Device_Configuration'!BK199)</f>
        <v/>
      </c>
      <c r="Y198" s="28" t="str">
        <f>IF('12 - Device_Configuration'!BB199="","",'12 - Device_Configuration'!BB199)</f>
        <v/>
      </c>
      <c r="Z198" s="28" t="str">
        <f>IF('12 - Device_Configuration'!P199="","",'12 - Device_Configuration'!P199)</f>
        <v/>
      </c>
      <c r="AA198" s="28" t="str">
        <f>IF('12 - Device_Configuration'!Q199="","",'12 - Device_Configuration'!Q199)</f>
        <v/>
      </c>
    </row>
    <row r="199" spans="1:27">
      <c r="A199" s="29"/>
      <c r="B199" s="29"/>
      <c r="C199" s="28" t="str">
        <f>IF('12 - Device_Configuration'!H200="","",'12 - Device_Configuration'!H200)</f>
        <v/>
      </c>
      <c r="D199" s="28" t="str">
        <f>IF('12 - Device_Configuration'!AE200="","",'12 - Device_Configuration'!AE200)</f>
        <v/>
      </c>
      <c r="E199" s="28" t="str">
        <f>IF('12 - Device_Configuration'!AF200="","",'12 - Device_Configuration'!AF200)</f>
        <v/>
      </c>
      <c r="F199" s="28" t="str">
        <f>IF('12 - Device_Configuration'!AG200="","",'12 - Device_Configuration'!AG200)</f>
        <v/>
      </c>
      <c r="G199" s="28" t="str">
        <f>IF('12 - Device_Configuration'!AH200="","",'12 - Device_Configuration'!AH200)</f>
        <v/>
      </c>
      <c r="H199" s="28" t="str">
        <f>IF('12 - Device_Configuration'!A200="","",'12 - Device_Configuration'!A200)</f>
        <v/>
      </c>
      <c r="I199" s="28" t="str">
        <f>IF('12 - Device_Configuration'!AI200="","",'12 - Device_Configuration'!AI200)</f>
        <v/>
      </c>
      <c r="J199" s="28" t="str">
        <f>IF('12 - Device_Configuration'!AJ200="","",'12 - Device_Configuration'!AJ200)</f>
        <v/>
      </c>
      <c r="K199" s="28" t="str">
        <f>IF('12 - Device_Configuration'!AA200="","",'12 - Device_Configuration'!AA200)</f>
        <v/>
      </c>
      <c r="L199" s="28" t="str">
        <f>IF('12 - Device_Configuration'!I200="","",'12 - Device_Configuration'!I200)</f>
        <v/>
      </c>
      <c r="M199" s="29"/>
      <c r="N199" s="28" t="str">
        <f>IF('12 - Device_Configuration'!J200="","",'12 - Device_Configuration'!J200)</f>
        <v/>
      </c>
      <c r="O199" s="28" t="str">
        <f>IF('12 - Device_Configuration'!K200="","",'12 - Device_Configuration'!K200)</f>
        <v/>
      </c>
      <c r="P199" s="28" t="str">
        <f>IF('12 - Device_Configuration'!L200="","",'12 - Device_Configuration'!L200)</f>
        <v/>
      </c>
      <c r="Q199" s="29"/>
      <c r="R199" s="28" t="str">
        <f>IF('12 - Device_Configuration'!AY200="","",'12 - Device_Configuration'!AY200)</f>
        <v/>
      </c>
      <c r="S199" s="28" t="str">
        <f>IF('12 - Device_Configuration'!AX200="","",'12 - Device_Configuration'!AX200)</f>
        <v/>
      </c>
      <c r="T199" s="28" t="str">
        <f>IF('12 - Device_Configuration'!AV200="","",'12 - Device_Configuration'!AV200)</f>
        <v/>
      </c>
      <c r="U199" s="28" t="str">
        <f>IF('12 - Device_Configuration'!AW200="","",'12 - Device_Configuration'!AW200)</f>
        <v/>
      </c>
      <c r="V199" s="28" t="str">
        <f>IF('12 - Device_Configuration'!BA200="","",'12 - Device_Configuration'!BA200)</f>
        <v/>
      </c>
      <c r="W199" s="28" t="str">
        <f>IF('12 - Device_Configuration'!BC200="","",'12 - Device_Configuration'!BC200)</f>
        <v/>
      </c>
      <c r="X199" s="28" t="str">
        <f>IF('12 - Device_Configuration'!BK200="","",'12 - Device_Configuration'!BK200)</f>
        <v/>
      </c>
      <c r="Y199" s="28" t="str">
        <f>IF('12 - Device_Configuration'!BB200="","",'12 - Device_Configuration'!BB200)</f>
        <v/>
      </c>
      <c r="Z199" s="28" t="str">
        <f>IF('12 - Device_Configuration'!P200="","",'12 - Device_Configuration'!P200)</f>
        <v/>
      </c>
      <c r="AA199" s="28" t="str">
        <f>IF('12 - Device_Configuration'!Q200="","",'12 - Device_Configuration'!Q200)</f>
        <v/>
      </c>
    </row>
    <row r="200" spans="1:27">
      <c r="A200" s="29"/>
      <c r="B200" s="29"/>
      <c r="C200" s="28" t="str">
        <f>IF('12 - Device_Configuration'!H201="","",'12 - Device_Configuration'!H201)</f>
        <v/>
      </c>
      <c r="D200" s="28" t="str">
        <f>IF('12 - Device_Configuration'!AE201="","",'12 - Device_Configuration'!AE201)</f>
        <v/>
      </c>
      <c r="E200" s="28" t="str">
        <f>IF('12 - Device_Configuration'!AF201="","",'12 - Device_Configuration'!AF201)</f>
        <v/>
      </c>
      <c r="F200" s="28" t="str">
        <f>IF('12 - Device_Configuration'!AG201="","",'12 - Device_Configuration'!AG201)</f>
        <v/>
      </c>
      <c r="G200" s="28" t="str">
        <f>IF('12 - Device_Configuration'!AH201="","",'12 - Device_Configuration'!AH201)</f>
        <v/>
      </c>
      <c r="H200" s="28" t="str">
        <f>IF('12 - Device_Configuration'!A201="","",'12 - Device_Configuration'!A201)</f>
        <v/>
      </c>
      <c r="I200" s="28" t="str">
        <f>IF('12 - Device_Configuration'!AI201="","",'12 - Device_Configuration'!AI201)</f>
        <v/>
      </c>
      <c r="J200" s="28" t="str">
        <f>IF('12 - Device_Configuration'!AJ201="","",'12 - Device_Configuration'!AJ201)</f>
        <v/>
      </c>
      <c r="K200" s="28" t="str">
        <f>IF('12 - Device_Configuration'!AA201="","",'12 - Device_Configuration'!AA201)</f>
        <v/>
      </c>
      <c r="L200" s="28" t="str">
        <f>IF('12 - Device_Configuration'!I201="","",'12 - Device_Configuration'!I201)</f>
        <v/>
      </c>
      <c r="M200" s="29"/>
      <c r="N200" s="28" t="str">
        <f>IF('12 - Device_Configuration'!J201="","",'12 - Device_Configuration'!J201)</f>
        <v/>
      </c>
      <c r="O200" s="28" t="str">
        <f>IF('12 - Device_Configuration'!K201="","",'12 - Device_Configuration'!K201)</f>
        <v/>
      </c>
      <c r="P200" s="28" t="str">
        <f>IF('12 - Device_Configuration'!L201="","",'12 - Device_Configuration'!L201)</f>
        <v/>
      </c>
      <c r="Q200" s="29"/>
      <c r="R200" s="28" t="str">
        <f>IF('12 - Device_Configuration'!AY201="","",'12 - Device_Configuration'!AY201)</f>
        <v/>
      </c>
      <c r="S200" s="28" t="str">
        <f>IF('12 - Device_Configuration'!AX201="","",'12 - Device_Configuration'!AX201)</f>
        <v/>
      </c>
      <c r="T200" s="28" t="str">
        <f>IF('12 - Device_Configuration'!AV201="","",'12 - Device_Configuration'!AV201)</f>
        <v/>
      </c>
      <c r="U200" s="28" t="str">
        <f>IF('12 - Device_Configuration'!AW201="","",'12 - Device_Configuration'!AW201)</f>
        <v/>
      </c>
      <c r="V200" s="28" t="str">
        <f>IF('12 - Device_Configuration'!BA201="","",'12 - Device_Configuration'!BA201)</f>
        <v/>
      </c>
      <c r="W200" s="28" t="str">
        <f>IF('12 - Device_Configuration'!BC201="","",'12 - Device_Configuration'!BC201)</f>
        <v/>
      </c>
      <c r="X200" s="28" t="str">
        <f>IF('12 - Device_Configuration'!BK201="","",'12 - Device_Configuration'!BK201)</f>
        <v/>
      </c>
      <c r="Y200" s="28" t="str">
        <f>IF('12 - Device_Configuration'!BB201="","",'12 - Device_Configuration'!BB201)</f>
        <v/>
      </c>
      <c r="Z200" s="28" t="str">
        <f>IF('12 - Device_Configuration'!P201="","",'12 - Device_Configuration'!P201)</f>
        <v/>
      </c>
      <c r="AA200" s="28" t="str">
        <f>IF('12 - Device_Configuration'!Q201="","",'12 - Device_Configuration'!Q201)</f>
        <v/>
      </c>
    </row>
    <row r="201" spans="1:27">
      <c r="A201" s="29"/>
      <c r="B201" s="29"/>
      <c r="C201" s="28" t="str">
        <f>IF('12 - Device_Configuration'!H202="","",'12 - Device_Configuration'!H202)</f>
        <v/>
      </c>
      <c r="D201" s="28" t="str">
        <f>IF('12 - Device_Configuration'!AE202="","",'12 - Device_Configuration'!AE202)</f>
        <v/>
      </c>
      <c r="E201" s="28" t="str">
        <f>IF('12 - Device_Configuration'!AF202="","",'12 - Device_Configuration'!AF202)</f>
        <v/>
      </c>
      <c r="F201" s="28" t="str">
        <f>IF('12 - Device_Configuration'!AG202="","",'12 - Device_Configuration'!AG202)</f>
        <v/>
      </c>
      <c r="G201" s="28" t="str">
        <f>IF('12 - Device_Configuration'!AH202="","",'12 - Device_Configuration'!AH202)</f>
        <v/>
      </c>
      <c r="H201" s="28" t="str">
        <f>IF('12 - Device_Configuration'!A202="","",'12 - Device_Configuration'!A202)</f>
        <v/>
      </c>
      <c r="I201" s="28" t="str">
        <f>IF('12 - Device_Configuration'!AI202="","",'12 - Device_Configuration'!AI202)</f>
        <v/>
      </c>
      <c r="J201" s="28" t="str">
        <f>IF('12 - Device_Configuration'!AJ202="","",'12 - Device_Configuration'!AJ202)</f>
        <v/>
      </c>
      <c r="K201" s="28" t="str">
        <f>IF('12 - Device_Configuration'!AA202="","",'12 - Device_Configuration'!AA202)</f>
        <v/>
      </c>
      <c r="L201" s="28" t="str">
        <f>IF('12 - Device_Configuration'!I202="","",'12 - Device_Configuration'!I202)</f>
        <v/>
      </c>
      <c r="M201" s="29"/>
      <c r="N201" s="28" t="str">
        <f>IF('12 - Device_Configuration'!J202="","",'12 - Device_Configuration'!J202)</f>
        <v/>
      </c>
      <c r="O201" s="28" t="str">
        <f>IF('12 - Device_Configuration'!K202="","",'12 - Device_Configuration'!K202)</f>
        <v/>
      </c>
      <c r="P201" s="28" t="str">
        <f>IF('12 - Device_Configuration'!L202="","",'12 - Device_Configuration'!L202)</f>
        <v/>
      </c>
      <c r="Q201" s="29"/>
      <c r="R201" s="28" t="str">
        <f>IF('12 - Device_Configuration'!AY202="","",'12 - Device_Configuration'!AY202)</f>
        <v/>
      </c>
      <c r="S201" s="28" t="str">
        <f>IF('12 - Device_Configuration'!AX202="","",'12 - Device_Configuration'!AX202)</f>
        <v/>
      </c>
      <c r="T201" s="28" t="str">
        <f>IF('12 - Device_Configuration'!AV202="","",'12 - Device_Configuration'!AV202)</f>
        <v/>
      </c>
      <c r="U201" s="28" t="str">
        <f>IF('12 - Device_Configuration'!AW202="","",'12 - Device_Configuration'!AW202)</f>
        <v/>
      </c>
      <c r="V201" s="28" t="str">
        <f>IF('12 - Device_Configuration'!BA202="","",'12 - Device_Configuration'!BA202)</f>
        <v/>
      </c>
      <c r="W201" s="28" t="str">
        <f>IF('12 - Device_Configuration'!BC202="","",'12 - Device_Configuration'!BC202)</f>
        <v/>
      </c>
      <c r="X201" s="28" t="str">
        <f>IF('12 - Device_Configuration'!BK202="","",'12 - Device_Configuration'!BK202)</f>
        <v/>
      </c>
      <c r="Y201" s="28" t="str">
        <f>IF('12 - Device_Configuration'!BB202="","",'12 - Device_Configuration'!BB202)</f>
        <v/>
      </c>
      <c r="Z201" s="28" t="str">
        <f>IF('12 - Device_Configuration'!P202="","",'12 - Device_Configuration'!P202)</f>
        <v/>
      </c>
      <c r="AA201" s="28" t="str">
        <f>IF('12 - Device_Configuration'!Q202="","",'12 - Device_Configuration'!Q202)</f>
        <v/>
      </c>
    </row>
    <row r="202" spans="1:27">
      <c r="A202" s="29"/>
      <c r="B202" s="29"/>
      <c r="C202" s="28" t="str">
        <f>IF('12 - Device_Configuration'!H203="","",'12 - Device_Configuration'!H203)</f>
        <v/>
      </c>
      <c r="D202" s="28" t="str">
        <f>IF('12 - Device_Configuration'!AE203="","",'12 - Device_Configuration'!AE203)</f>
        <v/>
      </c>
      <c r="E202" s="28" t="str">
        <f>IF('12 - Device_Configuration'!AF203="","",'12 - Device_Configuration'!AF203)</f>
        <v/>
      </c>
      <c r="F202" s="28" t="str">
        <f>IF('12 - Device_Configuration'!AG203="","",'12 - Device_Configuration'!AG203)</f>
        <v/>
      </c>
      <c r="G202" s="28" t="str">
        <f>IF('12 - Device_Configuration'!AH203="","",'12 - Device_Configuration'!AH203)</f>
        <v/>
      </c>
      <c r="H202" s="28" t="str">
        <f>IF('12 - Device_Configuration'!A203="","",'12 - Device_Configuration'!A203)</f>
        <v/>
      </c>
      <c r="I202" s="28" t="str">
        <f>IF('12 - Device_Configuration'!AI203="","",'12 - Device_Configuration'!AI203)</f>
        <v/>
      </c>
      <c r="J202" s="28" t="str">
        <f>IF('12 - Device_Configuration'!AJ203="","",'12 - Device_Configuration'!AJ203)</f>
        <v/>
      </c>
      <c r="K202" s="28" t="str">
        <f>IF('12 - Device_Configuration'!AA203="","",'12 - Device_Configuration'!AA203)</f>
        <v/>
      </c>
      <c r="L202" s="28" t="str">
        <f>IF('12 - Device_Configuration'!I203="","",'12 - Device_Configuration'!I203)</f>
        <v/>
      </c>
      <c r="M202" s="29"/>
      <c r="N202" s="28" t="str">
        <f>IF('12 - Device_Configuration'!J203="","",'12 - Device_Configuration'!J203)</f>
        <v/>
      </c>
      <c r="O202" s="28" t="str">
        <f>IF('12 - Device_Configuration'!K203="","",'12 - Device_Configuration'!K203)</f>
        <v/>
      </c>
      <c r="P202" s="28" t="str">
        <f>IF('12 - Device_Configuration'!L203="","",'12 - Device_Configuration'!L203)</f>
        <v/>
      </c>
      <c r="Q202" s="29"/>
      <c r="R202" s="28" t="str">
        <f>IF('12 - Device_Configuration'!AY203="","",'12 - Device_Configuration'!AY203)</f>
        <v/>
      </c>
      <c r="S202" s="28" t="str">
        <f>IF('12 - Device_Configuration'!AX203="","",'12 - Device_Configuration'!AX203)</f>
        <v/>
      </c>
      <c r="T202" s="28" t="str">
        <f>IF('12 - Device_Configuration'!AV203="","",'12 - Device_Configuration'!AV203)</f>
        <v/>
      </c>
      <c r="U202" s="28" t="str">
        <f>IF('12 - Device_Configuration'!AW203="","",'12 - Device_Configuration'!AW203)</f>
        <v/>
      </c>
      <c r="V202" s="28" t="str">
        <f>IF('12 - Device_Configuration'!BA203="","",'12 - Device_Configuration'!BA203)</f>
        <v/>
      </c>
      <c r="W202" s="28" t="str">
        <f>IF('12 - Device_Configuration'!BC203="","",'12 - Device_Configuration'!BC203)</f>
        <v/>
      </c>
      <c r="X202" s="28" t="str">
        <f>IF('12 - Device_Configuration'!BK203="","",'12 - Device_Configuration'!BK203)</f>
        <v/>
      </c>
      <c r="Y202" s="28" t="str">
        <f>IF('12 - Device_Configuration'!BB203="","",'12 - Device_Configuration'!BB203)</f>
        <v/>
      </c>
      <c r="Z202" s="28" t="str">
        <f>IF('12 - Device_Configuration'!P203="","",'12 - Device_Configuration'!P203)</f>
        <v/>
      </c>
      <c r="AA202" s="28" t="str">
        <f>IF('12 - Device_Configuration'!Q203="","",'12 - Device_Configuration'!Q203)</f>
        <v/>
      </c>
    </row>
    <row r="203" spans="1:27">
      <c r="A203" s="29"/>
      <c r="B203" s="29"/>
      <c r="C203" s="28" t="str">
        <f>IF('12 - Device_Configuration'!H204="","",'12 - Device_Configuration'!H204)</f>
        <v/>
      </c>
      <c r="D203" s="28" t="str">
        <f>IF('12 - Device_Configuration'!AE204="","",'12 - Device_Configuration'!AE204)</f>
        <v/>
      </c>
      <c r="E203" s="28" t="str">
        <f>IF('12 - Device_Configuration'!AF204="","",'12 - Device_Configuration'!AF204)</f>
        <v/>
      </c>
      <c r="F203" s="28" t="str">
        <f>IF('12 - Device_Configuration'!AG204="","",'12 - Device_Configuration'!AG204)</f>
        <v/>
      </c>
      <c r="G203" s="28" t="str">
        <f>IF('12 - Device_Configuration'!AH204="","",'12 - Device_Configuration'!AH204)</f>
        <v/>
      </c>
      <c r="H203" s="28" t="str">
        <f>IF('12 - Device_Configuration'!A204="","",'12 - Device_Configuration'!A204)</f>
        <v/>
      </c>
      <c r="I203" s="28" t="str">
        <f>IF('12 - Device_Configuration'!AI204="","",'12 - Device_Configuration'!AI204)</f>
        <v/>
      </c>
      <c r="J203" s="28" t="str">
        <f>IF('12 - Device_Configuration'!AJ204="","",'12 - Device_Configuration'!AJ204)</f>
        <v/>
      </c>
      <c r="K203" s="28" t="str">
        <f>IF('12 - Device_Configuration'!AA204="","",'12 - Device_Configuration'!AA204)</f>
        <v/>
      </c>
      <c r="L203" s="28" t="str">
        <f>IF('12 - Device_Configuration'!I204="","",'12 - Device_Configuration'!I204)</f>
        <v/>
      </c>
      <c r="M203" s="29"/>
      <c r="N203" s="28" t="str">
        <f>IF('12 - Device_Configuration'!J204="","",'12 - Device_Configuration'!J204)</f>
        <v/>
      </c>
      <c r="O203" s="28" t="str">
        <f>IF('12 - Device_Configuration'!K204="","",'12 - Device_Configuration'!K204)</f>
        <v/>
      </c>
      <c r="P203" s="28" t="str">
        <f>IF('12 - Device_Configuration'!L204="","",'12 - Device_Configuration'!L204)</f>
        <v/>
      </c>
      <c r="Q203" s="29"/>
      <c r="R203" s="28" t="str">
        <f>IF('12 - Device_Configuration'!AY204="","",'12 - Device_Configuration'!AY204)</f>
        <v/>
      </c>
      <c r="S203" s="28" t="str">
        <f>IF('12 - Device_Configuration'!AX204="","",'12 - Device_Configuration'!AX204)</f>
        <v/>
      </c>
      <c r="T203" s="28" t="str">
        <f>IF('12 - Device_Configuration'!AV204="","",'12 - Device_Configuration'!AV204)</f>
        <v/>
      </c>
      <c r="U203" s="28" t="str">
        <f>IF('12 - Device_Configuration'!AW204="","",'12 - Device_Configuration'!AW204)</f>
        <v/>
      </c>
      <c r="V203" s="28" t="str">
        <f>IF('12 - Device_Configuration'!BA204="","",'12 - Device_Configuration'!BA204)</f>
        <v/>
      </c>
      <c r="W203" s="28" t="str">
        <f>IF('12 - Device_Configuration'!BC204="","",'12 - Device_Configuration'!BC204)</f>
        <v/>
      </c>
      <c r="X203" s="28" t="str">
        <f>IF('12 - Device_Configuration'!BK204="","",'12 - Device_Configuration'!BK204)</f>
        <v/>
      </c>
      <c r="Y203" s="28" t="str">
        <f>IF('12 - Device_Configuration'!BB204="","",'12 - Device_Configuration'!BB204)</f>
        <v/>
      </c>
      <c r="Z203" s="28" t="str">
        <f>IF('12 - Device_Configuration'!P204="","",'12 - Device_Configuration'!P204)</f>
        <v/>
      </c>
      <c r="AA203" s="28" t="str">
        <f>IF('12 - Device_Configuration'!Q204="","",'12 - Device_Configuration'!Q204)</f>
        <v/>
      </c>
    </row>
    <row r="204" spans="1:27">
      <c r="A204" s="29"/>
      <c r="B204" s="29"/>
      <c r="C204" s="28" t="str">
        <f>IF('12 - Device_Configuration'!H205="","",'12 - Device_Configuration'!H205)</f>
        <v/>
      </c>
      <c r="D204" s="28" t="str">
        <f>IF('12 - Device_Configuration'!AE205="","",'12 - Device_Configuration'!AE205)</f>
        <v/>
      </c>
      <c r="E204" s="28" t="str">
        <f>IF('12 - Device_Configuration'!AF205="","",'12 - Device_Configuration'!AF205)</f>
        <v/>
      </c>
      <c r="F204" s="28" t="str">
        <f>IF('12 - Device_Configuration'!AG205="","",'12 - Device_Configuration'!AG205)</f>
        <v/>
      </c>
      <c r="G204" s="28" t="str">
        <f>IF('12 - Device_Configuration'!AH205="","",'12 - Device_Configuration'!AH205)</f>
        <v/>
      </c>
      <c r="H204" s="28" t="str">
        <f>IF('12 - Device_Configuration'!A205="","",'12 - Device_Configuration'!A205)</f>
        <v/>
      </c>
      <c r="I204" s="28" t="str">
        <f>IF('12 - Device_Configuration'!AI205="","",'12 - Device_Configuration'!AI205)</f>
        <v/>
      </c>
      <c r="J204" s="28" t="str">
        <f>IF('12 - Device_Configuration'!AJ205="","",'12 - Device_Configuration'!AJ205)</f>
        <v/>
      </c>
      <c r="K204" s="28" t="str">
        <f>IF('12 - Device_Configuration'!AA205="","",'12 - Device_Configuration'!AA205)</f>
        <v/>
      </c>
      <c r="L204" s="28" t="str">
        <f>IF('12 - Device_Configuration'!I205="","",'12 - Device_Configuration'!I205)</f>
        <v/>
      </c>
      <c r="M204" s="29"/>
      <c r="N204" s="28" t="str">
        <f>IF('12 - Device_Configuration'!J205="","",'12 - Device_Configuration'!J205)</f>
        <v/>
      </c>
      <c r="O204" s="28" t="str">
        <f>IF('12 - Device_Configuration'!K205="","",'12 - Device_Configuration'!K205)</f>
        <v/>
      </c>
      <c r="P204" s="28" t="str">
        <f>IF('12 - Device_Configuration'!L205="","",'12 - Device_Configuration'!L205)</f>
        <v/>
      </c>
      <c r="Q204" s="29"/>
      <c r="R204" s="28" t="str">
        <f>IF('12 - Device_Configuration'!AY205="","",'12 - Device_Configuration'!AY205)</f>
        <v/>
      </c>
      <c r="S204" s="28" t="str">
        <f>IF('12 - Device_Configuration'!AX205="","",'12 - Device_Configuration'!AX205)</f>
        <v/>
      </c>
      <c r="T204" s="28" t="str">
        <f>IF('12 - Device_Configuration'!AV205="","",'12 - Device_Configuration'!AV205)</f>
        <v/>
      </c>
      <c r="U204" s="28" t="str">
        <f>IF('12 - Device_Configuration'!AW205="","",'12 - Device_Configuration'!AW205)</f>
        <v/>
      </c>
      <c r="V204" s="28" t="str">
        <f>IF('12 - Device_Configuration'!BA205="","",'12 - Device_Configuration'!BA205)</f>
        <v/>
      </c>
      <c r="W204" s="28" t="str">
        <f>IF('12 - Device_Configuration'!BC205="","",'12 - Device_Configuration'!BC205)</f>
        <v/>
      </c>
      <c r="X204" s="28" t="str">
        <f>IF('12 - Device_Configuration'!BK205="","",'12 - Device_Configuration'!BK205)</f>
        <v/>
      </c>
      <c r="Y204" s="28" t="str">
        <f>IF('12 - Device_Configuration'!BB205="","",'12 - Device_Configuration'!BB205)</f>
        <v/>
      </c>
      <c r="Z204" s="28" t="str">
        <f>IF('12 - Device_Configuration'!P205="","",'12 - Device_Configuration'!P205)</f>
        <v/>
      </c>
      <c r="AA204" s="28" t="str">
        <f>IF('12 - Device_Configuration'!Q205="","",'12 - Device_Configuration'!Q205)</f>
        <v/>
      </c>
    </row>
    <row r="205" spans="1:27">
      <c r="A205" s="29"/>
      <c r="B205" s="29"/>
      <c r="C205" s="28" t="str">
        <f>IF('12 - Device_Configuration'!H206="","",'12 - Device_Configuration'!H206)</f>
        <v/>
      </c>
      <c r="D205" s="28" t="str">
        <f>IF('12 - Device_Configuration'!AE206="","",'12 - Device_Configuration'!AE206)</f>
        <v/>
      </c>
      <c r="E205" s="28" t="str">
        <f>IF('12 - Device_Configuration'!AF206="","",'12 - Device_Configuration'!AF206)</f>
        <v/>
      </c>
      <c r="F205" s="28" t="str">
        <f>IF('12 - Device_Configuration'!AG206="","",'12 - Device_Configuration'!AG206)</f>
        <v/>
      </c>
      <c r="G205" s="28" t="str">
        <f>IF('12 - Device_Configuration'!AH206="","",'12 - Device_Configuration'!AH206)</f>
        <v/>
      </c>
      <c r="H205" s="28" t="str">
        <f>IF('12 - Device_Configuration'!A206="","",'12 - Device_Configuration'!A206)</f>
        <v/>
      </c>
      <c r="I205" s="28" t="str">
        <f>IF('12 - Device_Configuration'!AI206="","",'12 - Device_Configuration'!AI206)</f>
        <v/>
      </c>
      <c r="J205" s="28" t="str">
        <f>IF('12 - Device_Configuration'!AJ206="","",'12 - Device_Configuration'!AJ206)</f>
        <v/>
      </c>
      <c r="K205" s="28" t="str">
        <f>IF('12 - Device_Configuration'!AA206="","",'12 - Device_Configuration'!AA206)</f>
        <v/>
      </c>
      <c r="L205" s="28" t="str">
        <f>IF('12 - Device_Configuration'!I206="","",'12 - Device_Configuration'!I206)</f>
        <v/>
      </c>
      <c r="M205" s="29"/>
      <c r="N205" s="28" t="str">
        <f>IF('12 - Device_Configuration'!J206="","",'12 - Device_Configuration'!J206)</f>
        <v/>
      </c>
      <c r="O205" s="28" t="str">
        <f>IF('12 - Device_Configuration'!K206="","",'12 - Device_Configuration'!K206)</f>
        <v/>
      </c>
      <c r="P205" s="28" t="str">
        <f>IF('12 - Device_Configuration'!L206="","",'12 - Device_Configuration'!L206)</f>
        <v/>
      </c>
      <c r="Q205" s="29"/>
      <c r="R205" s="28" t="str">
        <f>IF('12 - Device_Configuration'!AY206="","",'12 - Device_Configuration'!AY206)</f>
        <v/>
      </c>
      <c r="S205" s="28" t="str">
        <f>IF('12 - Device_Configuration'!AX206="","",'12 - Device_Configuration'!AX206)</f>
        <v/>
      </c>
      <c r="T205" s="28" t="str">
        <f>IF('12 - Device_Configuration'!AV206="","",'12 - Device_Configuration'!AV206)</f>
        <v/>
      </c>
      <c r="U205" s="28" t="str">
        <f>IF('12 - Device_Configuration'!AW206="","",'12 - Device_Configuration'!AW206)</f>
        <v/>
      </c>
      <c r="V205" s="28" t="str">
        <f>IF('12 - Device_Configuration'!BA206="","",'12 - Device_Configuration'!BA206)</f>
        <v/>
      </c>
      <c r="W205" s="28" t="str">
        <f>IF('12 - Device_Configuration'!BC206="","",'12 - Device_Configuration'!BC206)</f>
        <v/>
      </c>
      <c r="X205" s="28" t="str">
        <f>IF('12 - Device_Configuration'!BK206="","",'12 - Device_Configuration'!BK206)</f>
        <v/>
      </c>
      <c r="Y205" s="28" t="str">
        <f>IF('12 - Device_Configuration'!BB206="","",'12 - Device_Configuration'!BB206)</f>
        <v/>
      </c>
      <c r="Z205" s="28" t="str">
        <f>IF('12 - Device_Configuration'!P206="","",'12 - Device_Configuration'!P206)</f>
        <v/>
      </c>
      <c r="AA205" s="28" t="str">
        <f>IF('12 - Device_Configuration'!Q206="","",'12 - Device_Configuration'!Q206)</f>
        <v/>
      </c>
    </row>
    <row r="206" spans="1:27">
      <c r="A206" s="29"/>
      <c r="B206" s="29"/>
      <c r="C206" s="28" t="str">
        <f>IF('12 - Device_Configuration'!H207="","",'12 - Device_Configuration'!H207)</f>
        <v/>
      </c>
      <c r="D206" s="28" t="str">
        <f>IF('12 - Device_Configuration'!AE207="","",'12 - Device_Configuration'!AE207)</f>
        <v/>
      </c>
      <c r="E206" s="28" t="str">
        <f>IF('12 - Device_Configuration'!AF207="","",'12 - Device_Configuration'!AF207)</f>
        <v/>
      </c>
      <c r="F206" s="28" t="str">
        <f>IF('12 - Device_Configuration'!AG207="","",'12 - Device_Configuration'!AG207)</f>
        <v/>
      </c>
      <c r="G206" s="28" t="str">
        <f>IF('12 - Device_Configuration'!AH207="","",'12 - Device_Configuration'!AH207)</f>
        <v/>
      </c>
      <c r="H206" s="28" t="str">
        <f>IF('12 - Device_Configuration'!A207="","",'12 - Device_Configuration'!A207)</f>
        <v/>
      </c>
      <c r="I206" s="28" t="str">
        <f>IF('12 - Device_Configuration'!AI207="","",'12 - Device_Configuration'!AI207)</f>
        <v/>
      </c>
      <c r="J206" s="28" t="str">
        <f>IF('12 - Device_Configuration'!AJ207="","",'12 - Device_Configuration'!AJ207)</f>
        <v/>
      </c>
      <c r="K206" s="28" t="str">
        <f>IF('12 - Device_Configuration'!AA207="","",'12 - Device_Configuration'!AA207)</f>
        <v/>
      </c>
      <c r="L206" s="28" t="str">
        <f>IF('12 - Device_Configuration'!I207="","",'12 - Device_Configuration'!I207)</f>
        <v/>
      </c>
      <c r="M206" s="29"/>
      <c r="N206" s="28" t="str">
        <f>IF('12 - Device_Configuration'!J207="","",'12 - Device_Configuration'!J207)</f>
        <v/>
      </c>
      <c r="O206" s="28" t="str">
        <f>IF('12 - Device_Configuration'!K207="","",'12 - Device_Configuration'!K207)</f>
        <v/>
      </c>
      <c r="P206" s="28" t="str">
        <f>IF('12 - Device_Configuration'!L207="","",'12 - Device_Configuration'!L207)</f>
        <v/>
      </c>
      <c r="Q206" s="29"/>
      <c r="R206" s="28" t="str">
        <f>IF('12 - Device_Configuration'!AY207="","",'12 - Device_Configuration'!AY207)</f>
        <v/>
      </c>
      <c r="S206" s="28" t="str">
        <f>IF('12 - Device_Configuration'!AX207="","",'12 - Device_Configuration'!AX207)</f>
        <v/>
      </c>
      <c r="T206" s="28" t="str">
        <f>IF('12 - Device_Configuration'!AV207="","",'12 - Device_Configuration'!AV207)</f>
        <v/>
      </c>
      <c r="U206" s="28" t="str">
        <f>IF('12 - Device_Configuration'!AW207="","",'12 - Device_Configuration'!AW207)</f>
        <v/>
      </c>
      <c r="V206" s="28" t="str">
        <f>IF('12 - Device_Configuration'!BA207="","",'12 - Device_Configuration'!BA207)</f>
        <v/>
      </c>
      <c r="W206" s="28" t="str">
        <f>IF('12 - Device_Configuration'!BC207="","",'12 - Device_Configuration'!BC207)</f>
        <v/>
      </c>
      <c r="X206" s="28" t="str">
        <f>IF('12 - Device_Configuration'!BK207="","",'12 - Device_Configuration'!BK207)</f>
        <v/>
      </c>
      <c r="Y206" s="28" t="str">
        <f>IF('12 - Device_Configuration'!BB207="","",'12 - Device_Configuration'!BB207)</f>
        <v/>
      </c>
      <c r="Z206" s="28" t="str">
        <f>IF('12 - Device_Configuration'!P207="","",'12 - Device_Configuration'!P207)</f>
        <v/>
      </c>
      <c r="AA206" s="28" t="str">
        <f>IF('12 - Device_Configuration'!Q207="","",'12 - Device_Configuration'!Q207)</f>
        <v/>
      </c>
    </row>
    <row r="207" spans="1:27">
      <c r="A207" s="29"/>
      <c r="B207" s="29"/>
      <c r="C207" s="28" t="str">
        <f>IF('12 - Device_Configuration'!H208="","",'12 - Device_Configuration'!H208)</f>
        <v/>
      </c>
      <c r="D207" s="28" t="str">
        <f>IF('12 - Device_Configuration'!AE208="","",'12 - Device_Configuration'!AE208)</f>
        <v/>
      </c>
      <c r="E207" s="28" t="str">
        <f>IF('12 - Device_Configuration'!AF208="","",'12 - Device_Configuration'!AF208)</f>
        <v/>
      </c>
      <c r="F207" s="28" t="str">
        <f>IF('12 - Device_Configuration'!AG208="","",'12 - Device_Configuration'!AG208)</f>
        <v/>
      </c>
      <c r="G207" s="28" t="str">
        <f>IF('12 - Device_Configuration'!AH208="","",'12 - Device_Configuration'!AH208)</f>
        <v/>
      </c>
      <c r="H207" s="28" t="str">
        <f>IF('12 - Device_Configuration'!A208="","",'12 - Device_Configuration'!A208)</f>
        <v/>
      </c>
      <c r="I207" s="28" t="str">
        <f>IF('12 - Device_Configuration'!AI208="","",'12 - Device_Configuration'!AI208)</f>
        <v/>
      </c>
      <c r="J207" s="28" t="str">
        <f>IF('12 - Device_Configuration'!AJ208="","",'12 - Device_Configuration'!AJ208)</f>
        <v/>
      </c>
      <c r="K207" s="28" t="str">
        <f>IF('12 - Device_Configuration'!AA208="","",'12 - Device_Configuration'!AA208)</f>
        <v/>
      </c>
      <c r="L207" s="28" t="str">
        <f>IF('12 - Device_Configuration'!I208="","",'12 - Device_Configuration'!I208)</f>
        <v/>
      </c>
      <c r="M207" s="29"/>
      <c r="N207" s="28" t="str">
        <f>IF('12 - Device_Configuration'!J208="","",'12 - Device_Configuration'!J208)</f>
        <v/>
      </c>
      <c r="O207" s="28" t="str">
        <f>IF('12 - Device_Configuration'!K208="","",'12 - Device_Configuration'!K208)</f>
        <v/>
      </c>
      <c r="P207" s="28" t="str">
        <f>IF('12 - Device_Configuration'!L208="","",'12 - Device_Configuration'!L208)</f>
        <v/>
      </c>
      <c r="Q207" s="29"/>
      <c r="R207" s="28" t="str">
        <f>IF('12 - Device_Configuration'!AY208="","",'12 - Device_Configuration'!AY208)</f>
        <v/>
      </c>
      <c r="S207" s="28" t="str">
        <f>IF('12 - Device_Configuration'!AX208="","",'12 - Device_Configuration'!AX208)</f>
        <v/>
      </c>
      <c r="T207" s="28" t="str">
        <f>IF('12 - Device_Configuration'!AV208="","",'12 - Device_Configuration'!AV208)</f>
        <v/>
      </c>
      <c r="U207" s="28" t="str">
        <f>IF('12 - Device_Configuration'!AW208="","",'12 - Device_Configuration'!AW208)</f>
        <v/>
      </c>
      <c r="V207" s="28" t="str">
        <f>IF('12 - Device_Configuration'!BA208="","",'12 - Device_Configuration'!BA208)</f>
        <v/>
      </c>
      <c r="W207" s="28" t="str">
        <f>IF('12 - Device_Configuration'!BC208="","",'12 - Device_Configuration'!BC208)</f>
        <v/>
      </c>
      <c r="X207" s="28" t="str">
        <f>IF('12 - Device_Configuration'!BK208="","",'12 - Device_Configuration'!BK208)</f>
        <v/>
      </c>
      <c r="Y207" s="28" t="str">
        <f>IF('12 - Device_Configuration'!BB208="","",'12 - Device_Configuration'!BB208)</f>
        <v/>
      </c>
      <c r="Z207" s="28" t="str">
        <f>IF('12 - Device_Configuration'!P208="","",'12 - Device_Configuration'!P208)</f>
        <v/>
      </c>
      <c r="AA207" s="28" t="str">
        <f>IF('12 - Device_Configuration'!Q208="","",'12 - Device_Configuration'!Q208)</f>
        <v/>
      </c>
    </row>
    <row r="208" spans="1:27">
      <c r="A208" s="29"/>
      <c r="B208" s="29"/>
      <c r="C208" s="28" t="str">
        <f>IF('12 - Device_Configuration'!H209="","",'12 - Device_Configuration'!H209)</f>
        <v/>
      </c>
      <c r="D208" s="28" t="str">
        <f>IF('12 - Device_Configuration'!AE209="","",'12 - Device_Configuration'!AE209)</f>
        <v/>
      </c>
      <c r="E208" s="28" t="str">
        <f>IF('12 - Device_Configuration'!AF209="","",'12 - Device_Configuration'!AF209)</f>
        <v/>
      </c>
      <c r="F208" s="28" t="str">
        <f>IF('12 - Device_Configuration'!AG209="","",'12 - Device_Configuration'!AG209)</f>
        <v/>
      </c>
      <c r="G208" s="28" t="str">
        <f>IF('12 - Device_Configuration'!AH209="","",'12 - Device_Configuration'!AH209)</f>
        <v/>
      </c>
      <c r="H208" s="28" t="str">
        <f>IF('12 - Device_Configuration'!A209="","",'12 - Device_Configuration'!A209)</f>
        <v/>
      </c>
      <c r="I208" s="28" t="str">
        <f>IF('12 - Device_Configuration'!AI209="","",'12 - Device_Configuration'!AI209)</f>
        <v/>
      </c>
      <c r="J208" s="28" t="str">
        <f>IF('12 - Device_Configuration'!AJ209="","",'12 - Device_Configuration'!AJ209)</f>
        <v/>
      </c>
      <c r="K208" s="28" t="str">
        <f>IF('12 - Device_Configuration'!AA209="","",'12 - Device_Configuration'!AA209)</f>
        <v/>
      </c>
      <c r="L208" s="28" t="str">
        <f>IF('12 - Device_Configuration'!I209="","",'12 - Device_Configuration'!I209)</f>
        <v/>
      </c>
      <c r="M208" s="29"/>
      <c r="N208" s="28" t="str">
        <f>IF('12 - Device_Configuration'!J209="","",'12 - Device_Configuration'!J209)</f>
        <v/>
      </c>
      <c r="O208" s="28" t="str">
        <f>IF('12 - Device_Configuration'!K209="","",'12 - Device_Configuration'!K209)</f>
        <v/>
      </c>
      <c r="P208" s="28" t="str">
        <f>IF('12 - Device_Configuration'!L209="","",'12 - Device_Configuration'!L209)</f>
        <v/>
      </c>
      <c r="Q208" s="29"/>
      <c r="R208" s="28" t="str">
        <f>IF('12 - Device_Configuration'!AY209="","",'12 - Device_Configuration'!AY209)</f>
        <v/>
      </c>
      <c r="S208" s="28" t="str">
        <f>IF('12 - Device_Configuration'!AX209="","",'12 - Device_Configuration'!AX209)</f>
        <v/>
      </c>
      <c r="T208" s="28" t="str">
        <f>IF('12 - Device_Configuration'!AV209="","",'12 - Device_Configuration'!AV209)</f>
        <v/>
      </c>
      <c r="U208" s="28" t="str">
        <f>IF('12 - Device_Configuration'!AW209="","",'12 - Device_Configuration'!AW209)</f>
        <v/>
      </c>
      <c r="V208" s="28" t="str">
        <f>IF('12 - Device_Configuration'!BA209="","",'12 - Device_Configuration'!BA209)</f>
        <v/>
      </c>
      <c r="W208" s="28" t="str">
        <f>IF('12 - Device_Configuration'!BC209="","",'12 - Device_Configuration'!BC209)</f>
        <v/>
      </c>
      <c r="X208" s="28" t="str">
        <f>IF('12 - Device_Configuration'!BK209="","",'12 - Device_Configuration'!BK209)</f>
        <v/>
      </c>
      <c r="Y208" s="28" t="str">
        <f>IF('12 - Device_Configuration'!BB209="","",'12 - Device_Configuration'!BB209)</f>
        <v/>
      </c>
      <c r="Z208" s="28" t="str">
        <f>IF('12 - Device_Configuration'!P209="","",'12 - Device_Configuration'!P209)</f>
        <v/>
      </c>
      <c r="AA208" s="28" t="str">
        <f>IF('12 - Device_Configuration'!Q209="","",'12 - Device_Configuration'!Q209)</f>
        <v/>
      </c>
    </row>
    <row r="209" spans="1:27">
      <c r="A209" s="29"/>
      <c r="B209" s="29"/>
      <c r="C209" s="28" t="str">
        <f>IF('12 - Device_Configuration'!H210="","",'12 - Device_Configuration'!H210)</f>
        <v/>
      </c>
      <c r="D209" s="28" t="str">
        <f>IF('12 - Device_Configuration'!AE210="","",'12 - Device_Configuration'!AE210)</f>
        <v/>
      </c>
      <c r="E209" s="28" t="str">
        <f>IF('12 - Device_Configuration'!AF210="","",'12 - Device_Configuration'!AF210)</f>
        <v/>
      </c>
      <c r="F209" s="28" t="str">
        <f>IF('12 - Device_Configuration'!AG210="","",'12 - Device_Configuration'!AG210)</f>
        <v/>
      </c>
      <c r="G209" s="28" t="str">
        <f>IF('12 - Device_Configuration'!AH210="","",'12 - Device_Configuration'!AH210)</f>
        <v/>
      </c>
      <c r="H209" s="28" t="str">
        <f>IF('12 - Device_Configuration'!A210="","",'12 - Device_Configuration'!A210)</f>
        <v/>
      </c>
      <c r="I209" s="28" t="str">
        <f>IF('12 - Device_Configuration'!AI210="","",'12 - Device_Configuration'!AI210)</f>
        <v/>
      </c>
      <c r="J209" s="28" t="str">
        <f>IF('12 - Device_Configuration'!AJ210="","",'12 - Device_Configuration'!AJ210)</f>
        <v/>
      </c>
      <c r="K209" s="28" t="str">
        <f>IF('12 - Device_Configuration'!AA210="","",'12 - Device_Configuration'!AA210)</f>
        <v/>
      </c>
      <c r="L209" s="28" t="str">
        <f>IF('12 - Device_Configuration'!I210="","",'12 - Device_Configuration'!I210)</f>
        <v/>
      </c>
      <c r="M209" s="29"/>
      <c r="N209" s="28" t="str">
        <f>IF('12 - Device_Configuration'!J210="","",'12 - Device_Configuration'!J210)</f>
        <v/>
      </c>
      <c r="O209" s="28" t="str">
        <f>IF('12 - Device_Configuration'!K210="","",'12 - Device_Configuration'!K210)</f>
        <v/>
      </c>
      <c r="P209" s="28" t="str">
        <f>IF('12 - Device_Configuration'!L210="","",'12 - Device_Configuration'!L210)</f>
        <v/>
      </c>
      <c r="Q209" s="29"/>
      <c r="R209" s="28" t="str">
        <f>IF('12 - Device_Configuration'!AY210="","",'12 - Device_Configuration'!AY210)</f>
        <v/>
      </c>
      <c r="S209" s="28" t="str">
        <f>IF('12 - Device_Configuration'!AX210="","",'12 - Device_Configuration'!AX210)</f>
        <v/>
      </c>
      <c r="T209" s="28" t="str">
        <f>IF('12 - Device_Configuration'!AV210="","",'12 - Device_Configuration'!AV210)</f>
        <v/>
      </c>
      <c r="U209" s="28" t="str">
        <f>IF('12 - Device_Configuration'!AW210="","",'12 - Device_Configuration'!AW210)</f>
        <v/>
      </c>
      <c r="V209" s="28" t="str">
        <f>IF('12 - Device_Configuration'!BA210="","",'12 - Device_Configuration'!BA210)</f>
        <v/>
      </c>
      <c r="W209" s="28" t="str">
        <f>IF('12 - Device_Configuration'!BC210="","",'12 - Device_Configuration'!BC210)</f>
        <v/>
      </c>
      <c r="X209" s="28" t="str">
        <f>IF('12 - Device_Configuration'!BK210="","",'12 - Device_Configuration'!BK210)</f>
        <v/>
      </c>
      <c r="Y209" s="28" t="str">
        <f>IF('12 - Device_Configuration'!BB210="","",'12 - Device_Configuration'!BB210)</f>
        <v/>
      </c>
      <c r="Z209" s="28" t="str">
        <f>IF('12 - Device_Configuration'!P210="","",'12 - Device_Configuration'!P210)</f>
        <v/>
      </c>
      <c r="AA209" s="28" t="str">
        <f>IF('12 - Device_Configuration'!Q210="","",'12 - Device_Configuration'!Q210)</f>
        <v/>
      </c>
    </row>
    <row r="210" spans="1:27">
      <c r="A210" s="29"/>
      <c r="B210" s="29"/>
      <c r="C210" s="28" t="str">
        <f>IF('12 - Device_Configuration'!H211="","",'12 - Device_Configuration'!H211)</f>
        <v/>
      </c>
      <c r="D210" s="28" t="str">
        <f>IF('12 - Device_Configuration'!AE211="","",'12 - Device_Configuration'!AE211)</f>
        <v/>
      </c>
      <c r="E210" s="28" t="str">
        <f>IF('12 - Device_Configuration'!AF211="","",'12 - Device_Configuration'!AF211)</f>
        <v/>
      </c>
      <c r="F210" s="28" t="str">
        <f>IF('12 - Device_Configuration'!AG211="","",'12 - Device_Configuration'!AG211)</f>
        <v/>
      </c>
      <c r="G210" s="28" t="str">
        <f>IF('12 - Device_Configuration'!AH211="","",'12 - Device_Configuration'!AH211)</f>
        <v/>
      </c>
      <c r="H210" s="28" t="str">
        <f>IF('12 - Device_Configuration'!A211="","",'12 - Device_Configuration'!A211)</f>
        <v/>
      </c>
      <c r="I210" s="28" t="str">
        <f>IF('12 - Device_Configuration'!AI211="","",'12 - Device_Configuration'!AI211)</f>
        <v/>
      </c>
      <c r="J210" s="28" t="str">
        <f>IF('12 - Device_Configuration'!AJ211="","",'12 - Device_Configuration'!AJ211)</f>
        <v/>
      </c>
      <c r="K210" s="28" t="str">
        <f>IF('12 - Device_Configuration'!AA211="","",'12 - Device_Configuration'!AA211)</f>
        <v/>
      </c>
      <c r="L210" s="28" t="str">
        <f>IF('12 - Device_Configuration'!I211="","",'12 - Device_Configuration'!I211)</f>
        <v/>
      </c>
      <c r="M210" s="29"/>
      <c r="N210" s="28" t="str">
        <f>IF('12 - Device_Configuration'!J211="","",'12 - Device_Configuration'!J211)</f>
        <v/>
      </c>
      <c r="O210" s="28" t="str">
        <f>IF('12 - Device_Configuration'!K211="","",'12 - Device_Configuration'!K211)</f>
        <v/>
      </c>
      <c r="P210" s="28" t="str">
        <f>IF('12 - Device_Configuration'!L211="","",'12 - Device_Configuration'!L211)</f>
        <v/>
      </c>
      <c r="Q210" s="29"/>
      <c r="R210" s="28" t="str">
        <f>IF('12 - Device_Configuration'!AY211="","",'12 - Device_Configuration'!AY211)</f>
        <v/>
      </c>
      <c r="S210" s="28" t="str">
        <f>IF('12 - Device_Configuration'!AX211="","",'12 - Device_Configuration'!AX211)</f>
        <v/>
      </c>
      <c r="T210" s="28" t="str">
        <f>IF('12 - Device_Configuration'!AV211="","",'12 - Device_Configuration'!AV211)</f>
        <v/>
      </c>
      <c r="U210" s="28" t="str">
        <f>IF('12 - Device_Configuration'!AW211="","",'12 - Device_Configuration'!AW211)</f>
        <v/>
      </c>
      <c r="V210" s="28" t="str">
        <f>IF('12 - Device_Configuration'!BA211="","",'12 - Device_Configuration'!BA211)</f>
        <v/>
      </c>
      <c r="W210" s="28" t="str">
        <f>IF('12 - Device_Configuration'!BC211="","",'12 - Device_Configuration'!BC211)</f>
        <v/>
      </c>
      <c r="X210" s="28" t="str">
        <f>IF('12 - Device_Configuration'!BK211="","",'12 - Device_Configuration'!BK211)</f>
        <v/>
      </c>
      <c r="Y210" s="28" t="str">
        <f>IF('12 - Device_Configuration'!BB211="","",'12 - Device_Configuration'!BB211)</f>
        <v/>
      </c>
      <c r="Z210" s="28" t="str">
        <f>IF('12 - Device_Configuration'!P211="","",'12 - Device_Configuration'!P211)</f>
        <v/>
      </c>
      <c r="AA210" s="28" t="str">
        <f>IF('12 - Device_Configuration'!Q211="","",'12 - Device_Configuration'!Q211)</f>
        <v/>
      </c>
    </row>
    <row r="211" spans="1:27">
      <c r="A211" s="29"/>
      <c r="B211" s="29"/>
      <c r="C211" s="28" t="str">
        <f>IF('12 - Device_Configuration'!H212="","",'12 - Device_Configuration'!H212)</f>
        <v/>
      </c>
      <c r="D211" s="28" t="str">
        <f>IF('12 - Device_Configuration'!AE212="","",'12 - Device_Configuration'!AE212)</f>
        <v/>
      </c>
      <c r="E211" s="28" t="str">
        <f>IF('12 - Device_Configuration'!AF212="","",'12 - Device_Configuration'!AF212)</f>
        <v/>
      </c>
      <c r="F211" s="28" t="str">
        <f>IF('12 - Device_Configuration'!AG212="","",'12 - Device_Configuration'!AG212)</f>
        <v/>
      </c>
      <c r="G211" s="28" t="str">
        <f>IF('12 - Device_Configuration'!AH212="","",'12 - Device_Configuration'!AH212)</f>
        <v/>
      </c>
      <c r="H211" s="28" t="str">
        <f>IF('12 - Device_Configuration'!A212="","",'12 - Device_Configuration'!A212)</f>
        <v/>
      </c>
      <c r="I211" s="28" t="str">
        <f>IF('12 - Device_Configuration'!AI212="","",'12 - Device_Configuration'!AI212)</f>
        <v/>
      </c>
      <c r="J211" s="28" t="str">
        <f>IF('12 - Device_Configuration'!AJ212="","",'12 - Device_Configuration'!AJ212)</f>
        <v/>
      </c>
      <c r="K211" s="28" t="str">
        <f>IF('12 - Device_Configuration'!AA212="","",'12 - Device_Configuration'!AA212)</f>
        <v/>
      </c>
      <c r="L211" s="28" t="str">
        <f>IF('12 - Device_Configuration'!I212="","",'12 - Device_Configuration'!I212)</f>
        <v/>
      </c>
      <c r="M211" s="29"/>
      <c r="N211" s="28" t="str">
        <f>IF('12 - Device_Configuration'!J212="","",'12 - Device_Configuration'!J212)</f>
        <v/>
      </c>
      <c r="O211" s="28" t="str">
        <f>IF('12 - Device_Configuration'!K212="","",'12 - Device_Configuration'!K212)</f>
        <v/>
      </c>
      <c r="P211" s="28" t="str">
        <f>IF('12 - Device_Configuration'!L212="","",'12 - Device_Configuration'!L212)</f>
        <v/>
      </c>
      <c r="Q211" s="29"/>
      <c r="R211" s="28" t="str">
        <f>IF('12 - Device_Configuration'!AY212="","",'12 - Device_Configuration'!AY212)</f>
        <v/>
      </c>
      <c r="S211" s="28" t="str">
        <f>IF('12 - Device_Configuration'!AX212="","",'12 - Device_Configuration'!AX212)</f>
        <v/>
      </c>
      <c r="T211" s="28" t="str">
        <f>IF('12 - Device_Configuration'!AV212="","",'12 - Device_Configuration'!AV212)</f>
        <v/>
      </c>
      <c r="U211" s="28" t="str">
        <f>IF('12 - Device_Configuration'!AW212="","",'12 - Device_Configuration'!AW212)</f>
        <v/>
      </c>
      <c r="V211" s="28" t="str">
        <f>IF('12 - Device_Configuration'!BA212="","",'12 - Device_Configuration'!BA212)</f>
        <v/>
      </c>
      <c r="W211" s="28" t="str">
        <f>IF('12 - Device_Configuration'!BC212="","",'12 - Device_Configuration'!BC212)</f>
        <v/>
      </c>
      <c r="X211" s="28" t="str">
        <f>IF('12 - Device_Configuration'!BK212="","",'12 - Device_Configuration'!BK212)</f>
        <v/>
      </c>
      <c r="Y211" s="28" t="str">
        <f>IF('12 - Device_Configuration'!BB212="","",'12 - Device_Configuration'!BB212)</f>
        <v/>
      </c>
      <c r="Z211" s="28" t="str">
        <f>IF('12 - Device_Configuration'!P212="","",'12 - Device_Configuration'!P212)</f>
        <v/>
      </c>
      <c r="AA211" s="28" t="str">
        <f>IF('12 - Device_Configuration'!Q212="","",'12 - Device_Configuration'!Q212)</f>
        <v/>
      </c>
    </row>
    <row r="212" spans="1:27">
      <c r="A212" s="29"/>
      <c r="B212" s="29"/>
      <c r="C212" s="28" t="str">
        <f>IF('12 - Device_Configuration'!H213="","",'12 - Device_Configuration'!H213)</f>
        <v/>
      </c>
      <c r="D212" s="28" t="str">
        <f>IF('12 - Device_Configuration'!AE213="","",'12 - Device_Configuration'!AE213)</f>
        <v/>
      </c>
      <c r="E212" s="28" t="str">
        <f>IF('12 - Device_Configuration'!AF213="","",'12 - Device_Configuration'!AF213)</f>
        <v/>
      </c>
      <c r="F212" s="28" t="str">
        <f>IF('12 - Device_Configuration'!AG213="","",'12 - Device_Configuration'!AG213)</f>
        <v/>
      </c>
      <c r="G212" s="28" t="str">
        <f>IF('12 - Device_Configuration'!AH213="","",'12 - Device_Configuration'!AH213)</f>
        <v/>
      </c>
      <c r="H212" s="28" t="str">
        <f>IF('12 - Device_Configuration'!A213="","",'12 - Device_Configuration'!A213)</f>
        <v/>
      </c>
      <c r="I212" s="28" t="str">
        <f>IF('12 - Device_Configuration'!AI213="","",'12 - Device_Configuration'!AI213)</f>
        <v/>
      </c>
      <c r="J212" s="28" t="str">
        <f>IF('12 - Device_Configuration'!AJ213="","",'12 - Device_Configuration'!AJ213)</f>
        <v/>
      </c>
      <c r="K212" s="28" t="str">
        <f>IF('12 - Device_Configuration'!AA213="","",'12 - Device_Configuration'!AA213)</f>
        <v/>
      </c>
      <c r="L212" s="28" t="str">
        <f>IF('12 - Device_Configuration'!I213="","",'12 - Device_Configuration'!I213)</f>
        <v/>
      </c>
      <c r="M212" s="29"/>
      <c r="N212" s="28" t="str">
        <f>IF('12 - Device_Configuration'!J213="","",'12 - Device_Configuration'!J213)</f>
        <v/>
      </c>
      <c r="O212" s="28" t="str">
        <f>IF('12 - Device_Configuration'!K213="","",'12 - Device_Configuration'!K213)</f>
        <v/>
      </c>
      <c r="P212" s="28" t="str">
        <f>IF('12 - Device_Configuration'!L213="","",'12 - Device_Configuration'!L213)</f>
        <v/>
      </c>
      <c r="Q212" s="29"/>
      <c r="R212" s="28" t="str">
        <f>IF('12 - Device_Configuration'!AY213="","",'12 - Device_Configuration'!AY213)</f>
        <v/>
      </c>
      <c r="S212" s="28" t="str">
        <f>IF('12 - Device_Configuration'!AX213="","",'12 - Device_Configuration'!AX213)</f>
        <v/>
      </c>
      <c r="T212" s="28" t="str">
        <f>IF('12 - Device_Configuration'!AV213="","",'12 - Device_Configuration'!AV213)</f>
        <v/>
      </c>
      <c r="U212" s="28" t="str">
        <f>IF('12 - Device_Configuration'!AW213="","",'12 - Device_Configuration'!AW213)</f>
        <v/>
      </c>
      <c r="V212" s="28" t="str">
        <f>IF('12 - Device_Configuration'!BA213="","",'12 - Device_Configuration'!BA213)</f>
        <v/>
      </c>
      <c r="W212" s="28" t="str">
        <f>IF('12 - Device_Configuration'!BC213="","",'12 - Device_Configuration'!BC213)</f>
        <v/>
      </c>
      <c r="X212" s="28" t="str">
        <f>IF('12 - Device_Configuration'!BK213="","",'12 - Device_Configuration'!BK213)</f>
        <v/>
      </c>
      <c r="Y212" s="28" t="str">
        <f>IF('12 - Device_Configuration'!BB213="","",'12 - Device_Configuration'!BB213)</f>
        <v/>
      </c>
      <c r="Z212" s="28" t="str">
        <f>IF('12 - Device_Configuration'!P213="","",'12 - Device_Configuration'!P213)</f>
        <v/>
      </c>
      <c r="AA212" s="28" t="str">
        <f>IF('12 - Device_Configuration'!Q213="","",'12 - Device_Configuration'!Q213)</f>
        <v/>
      </c>
    </row>
    <row r="213" spans="1:27">
      <c r="A213" s="29"/>
      <c r="B213" s="29"/>
      <c r="C213" s="28" t="str">
        <f>IF('12 - Device_Configuration'!H214="","",'12 - Device_Configuration'!H214)</f>
        <v/>
      </c>
      <c r="D213" s="28" t="str">
        <f>IF('12 - Device_Configuration'!AE214="","",'12 - Device_Configuration'!AE214)</f>
        <v/>
      </c>
      <c r="E213" s="28" t="str">
        <f>IF('12 - Device_Configuration'!AF214="","",'12 - Device_Configuration'!AF214)</f>
        <v/>
      </c>
      <c r="F213" s="28" t="str">
        <f>IF('12 - Device_Configuration'!AG214="","",'12 - Device_Configuration'!AG214)</f>
        <v/>
      </c>
      <c r="G213" s="28" t="str">
        <f>IF('12 - Device_Configuration'!AH214="","",'12 - Device_Configuration'!AH214)</f>
        <v/>
      </c>
      <c r="H213" s="28" t="str">
        <f>IF('12 - Device_Configuration'!A214="","",'12 - Device_Configuration'!A214)</f>
        <v/>
      </c>
      <c r="I213" s="28" t="str">
        <f>IF('12 - Device_Configuration'!AI214="","",'12 - Device_Configuration'!AI214)</f>
        <v/>
      </c>
      <c r="J213" s="28" t="str">
        <f>IF('12 - Device_Configuration'!AJ214="","",'12 - Device_Configuration'!AJ214)</f>
        <v/>
      </c>
      <c r="K213" s="28" t="str">
        <f>IF('12 - Device_Configuration'!AA214="","",'12 - Device_Configuration'!AA214)</f>
        <v/>
      </c>
      <c r="L213" s="28" t="str">
        <f>IF('12 - Device_Configuration'!I214="","",'12 - Device_Configuration'!I214)</f>
        <v/>
      </c>
      <c r="M213" s="29"/>
      <c r="N213" s="28" t="str">
        <f>IF('12 - Device_Configuration'!J214="","",'12 - Device_Configuration'!J214)</f>
        <v/>
      </c>
      <c r="O213" s="28" t="str">
        <f>IF('12 - Device_Configuration'!K214="","",'12 - Device_Configuration'!K214)</f>
        <v/>
      </c>
      <c r="P213" s="28" t="str">
        <f>IF('12 - Device_Configuration'!L214="","",'12 - Device_Configuration'!L214)</f>
        <v/>
      </c>
      <c r="Q213" s="29"/>
      <c r="R213" s="28" t="str">
        <f>IF('12 - Device_Configuration'!AY214="","",'12 - Device_Configuration'!AY214)</f>
        <v/>
      </c>
      <c r="S213" s="28" t="str">
        <f>IF('12 - Device_Configuration'!AX214="","",'12 - Device_Configuration'!AX214)</f>
        <v/>
      </c>
      <c r="T213" s="28" t="str">
        <f>IF('12 - Device_Configuration'!AV214="","",'12 - Device_Configuration'!AV214)</f>
        <v/>
      </c>
      <c r="U213" s="28" t="str">
        <f>IF('12 - Device_Configuration'!AW214="","",'12 - Device_Configuration'!AW214)</f>
        <v/>
      </c>
      <c r="V213" s="28" t="str">
        <f>IF('12 - Device_Configuration'!BA214="","",'12 - Device_Configuration'!BA214)</f>
        <v/>
      </c>
      <c r="W213" s="28" t="str">
        <f>IF('12 - Device_Configuration'!BC214="","",'12 - Device_Configuration'!BC214)</f>
        <v/>
      </c>
      <c r="X213" s="28" t="str">
        <f>IF('12 - Device_Configuration'!BK214="","",'12 - Device_Configuration'!BK214)</f>
        <v/>
      </c>
      <c r="Y213" s="28" t="str">
        <f>IF('12 - Device_Configuration'!BB214="","",'12 - Device_Configuration'!BB214)</f>
        <v/>
      </c>
      <c r="Z213" s="28" t="str">
        <f>IF('12 - Device_Configuration'!P214="","",'12 - Device_Configuration'!P214)</f>
        <v/>
      </c>
      <c r="AA213" s="28" t="str">
        <f>IF('12 - Device_Configuration'!Q214="","",'12 - Device_Configuration'!Q214)</f>
        <v/>
      </c>
    </row>
    <row r="214" spans="1:27">
      <c r="A214" s="29"/>
      <c r="B214" s="29"/>
      <c r="C214" s="28" t="str">
        <f>IF('12 - Device_Configuration'!H215="","",'12 - Device_Configuration'!H215)</f>
        <v/>
      </c>
      <c r="D214" s="28" t="str">
        <f>IF('12 - Device_Configuration'!AE215="","",'12 - Device_Configuration'!AE215)</f>
        <v/>
      </c>
      <c r="E214" s="28" t="str">
        <f>IF('12 - Device_Configuration'!AF215="","",'12 - Device_Configuration'!AF215)</f>
        <v/>
      </c>
      <c r="F214" s="28" t="str">
        <f>IF('12 - Device_Configuration'!AG215="","",'12 - Device_Configuration'!AG215)</f>
        <v/>
      </c>
      <c r="G214" s="28" t="str">
        <f>IF('12 - Device_Configuration'!AH215="","",'12 - Device_Configuration'!AH215)</f>
        <v/>
      </c>
      <c r="H214" s="28" t="str">
        <f>IF('12 - Device_Configuration'!A215="","",'12 - Device_Configuration'!A215)</f>
        <v/>
      </c>
      <c r="I214" s="28" t="str">
        <f>IF('12 - Device_Configuration'!AI215="","",'12 - Device_Configuration'!AI215)</f>
        <v/>
      </c>
      <c r="J214" s="28" t="str">
        <f>IF('12 - Device_Configuration'!AJ215="","",'12 - Device_Configuration'!AJ215)</f>
        <v/>
      </c>
      <c r="K214" s="28" t="str">
        <f>IF('12 - Device_Configuration'!AA215="","",'12 - Device_Configuration'!AA215)</f>
        <v/>
      </c>
      <c r="L214" s="28" t="str">
        <f>IF('12 - Device_Configuration'!I215="","",'12 - Device_Configuration'!I215)</f>
        <v/>
      </c>
      <c r="M214" s="29"/>
      <c r="N214" s="28" t="str">
        <f>IF('12 - Device_Configuration'!J215="","",'12 - Device_Configuration'!J215)</f>
        <v/>
      </c>
      <c r="O214" s="28" t="str">
        <f>IF('12 - Device_Configuration'!K215="","",'12 - Device_Configuration'!K215)</f>
        <v/>
      </c>
      <c r="P214" s="28" t="str">
        <f>IF('12 - Device_Configuration'!L215="","",'12 - Device_Configuration'!L215)</f>
        <v/>
      </c>
      <c r="Q214" s="29"/>
      <c r="R214" s="28" t="str">
        <f>IF('12 - Device_Configuration'!AY215="","",'12 - Device_Configuration'!AY215)</f>
        <v/>
      </c>
      <c r="S214" s="28" t="str">
        <f>IF('12 - Device_Configuration'!AX215="","",'12 - Device_Configuration'!AX215)</f>
        <v/>
      </c>
      <c r="T214" s="28" t="str">
        <f>IF('12 - Device_Configuration'!AV215="","",'12 - Device_Configuration'!AV215)</f>
        <v/>
      </c>
      <c r="U214" s="28" t="str">
        <f>IF('12 - Device_Configuration'!AW215="","",'12 - Device_Configuration'!AW215)</f>
        <v/>
      </c>
      <c r="V214" s="28" t="str">
        <f>IF('12 - Device_Configuration'!BA215="","",'12 - Device_Configuration'!BA215)</f>
        <v/>
      </c>
      <c r="W214" s="28" t="str">
        <f>IF('12 - Device_Configuration'!BC215="","",'12 - Device_Configuration'!BC215)</f>
        <v/>
      </c>
      <c r="X214" s="28" t="str">
        <f>IF('12 - Device_Configuration'!BK215="","",'12 - Device_Configuration'!BK215)</f>
        <v/>
      </c>
      <c r="Y214" s="28" t="str">
        <f>IF('12 - Device_Configuration'!BB215="","",'12 - Device_Configuration'!BB215)</f>
        <v/>
      </c>
      <c r="Z214" s="28" t="str">
        <f>IF('12 - Device_Configuration'!P215="","",'12 - Device_Configuration'!P215)</f>
        <v/>
      </c>
      <c r="AA214" s="28" t="str">
        <f>IF('12 - Device_Configuration'!Q215="","",'12 - Device_Configuration'!Q215)</f>
        <v/>
      </c>
    </row>
    <row r="215" spans="1:27">
      <c r="A215" s="29"/>
      <c r="B215" s="29"/>
      <c r="C215" s="28" t="str">
        <f>IF('12 - Device_Configuration'!H216="","",'12 - Device_Configuration'!H216)</f>
        <v/>
      </c>
      <c r="D215" s="28" t="str">
        <f>IF('12 - Device_Configuration'!AE216="","",'12 - Device_Configuration'!AE216)</f>
        <v/>
      </c>
      <c r="E215" s="28" t="str">
        <f>IF('12 - Device_Configuration'!AF216="","",'12 - Device_Configuration'!AF216)</f>
        <v/>
      </c>
      <c r="F215" s="28" t="str">
        <f>IF('12 - Device_Configuration'!AG216="","",'12 - Device_Configuration'!AG216)</f>
        <v/>
      </c>
      <c r="G215" s="28" t="str">
        <f>IF('12 - Device_Configuration'!AH216="","",'12 - Device_Configuration'!AH216)</f>
        <v/>
      </c>
      <c r="H215" s="28" t="str">
        <f>IF('12 - Device_Configuration'!A216="","",'12 - Device_Configuration'!A216)</f>
        <v/>
      </c>
      <c r="I215" s="28" t="str">
        <f>IF('12 - Device_Configuration'!AI216="","",'12 - Device_Configuration'!AI216)</f>
        <v/>
      </c>
      <c r="J215" s="28" t="str">
        <f>IF('12 - Device_Configuration'!AJ216="","",'12 - Device_Configuration'!AJ216)</f>
        <v/>
      </c>
      <c r="K215" s="28" t="str">
        <f>IF('12 - Device_Configuration'!AA216="","",'12 - Device_Configuration'!AA216)</f>
        <v/>
      </c>
      <c r="L215" s="28" t="str">
        <f>IF('12 - Device_Configuration'!I216="","",'12 - Device_Configuration'!I216)</f>
        <v/>
      </c>
      <c r="M215" s="29"/>
      <c r="N215" s="28" t="str">
        <f>IF('12 - Device_Configuration'!J216="","",'12 - Device_Configuration'!J216)</f>
        <v/>
      </c>
      <c r="O215" s="28" t="str">
        <f>IF('12 - Device_Configuration'!K216="","",'12 - Device_Configuration'!K216)</f>
        <v/>
      </c>
      <c r="P215" s="28" t="str">
        <f>IF('12 - Device_Configuration'!L216="","",'12 - Device_Configuration'!L216)</f>
        <v/>
      </c>
      <c r="Q215" s="29"/>
      <c r="R215" s="28" t="str">
        <f>IF('12 - Device_Configuration'!AY216="","",'12 - Device_Configuration'!AY216)</f>
        <v/>
      </c>
      <c r="S215" s="28" t="str">
        <f>IF('12 - Device_Configuration'!AX216="","",'12 - Device_Configuration'!AX216)</f>
        <v/>
      </c>
      <c r="T215" s="28" t="str">
        <f>IF('12 - Device_Configuration'!AV216="","",'12 - Device_Configuration'!AV216)</f>
        <v/>
      </c>
      <c r="U215" s="28" t="str">
        <f>IF('12 - Device_Configuration'!AW216="","",'12 - Device_Configuration'!AW216)</f>
        <v/>
      </c>
      <c r="V215" s="28" t="str">
        <f>IF('12 - Device_Configuration'!BA216="","",'12 - Device_Configuration'!BA216)</f>
        <v/>
      </c>
      <c r="W215" s="28" t="str">
        <f>IF('12 - Device_Configuration'!BC216="","",'12 - Device_Configuration'!BC216)</f>
        <v/>
      </c>
      <c r="X215" s="28" t="str">
        <f>IF('12 - Device_Configuration'!BK216="","",'12 - Device_Configuration'!BK216)</f>
        <v/>
      </c>
      <c r="Y215" s="28" t="str">
        <f>IF('12 - Device_Configuration'!BB216="","",'12 - Device_Configuration'!BB216)</f>
        <v/>
      </c>
      <c r="Z215" s="28" t="str">
        <f>IF('12 - Device_Configuration'!P216="","",'12 - Device_Configuration'!P216)</f>
        <v/>
      </c>
      <c r="AA215" s="28" t="str">
        <f>IF('12 - Device_Configuration'!Q216="","",'12 - Device_Configuration'!Q216)</f>
        <v/>
      </c>
    </row>
    <row r="216" spans="1:27">
      <c r="A216" s="29"/>
      <c r="B216" s="29"/>
      <c r="C216" s="28" t="str">
        <f>IF('12 - Device_Configuration'!H217="","",'12 - Device_Configuration'!H217)</f>
        <v/>
      </c>
      <c r="D216" s="28" t="str">
        <f>IF('12 - Device_Configuration'!AE217="","",'12 - Device_Configuration'!AE217)</f>
        <v/>
      </c>
      <c r="E216" s="28" t="str">
        <f>IF('12 - Device_Configuration'!AF217="","",'12 - Device_Configuration'!AF217)</f>
        <v/>
      </c>
      <c r="F216" s="28" t="str">
        <f>IF('12 - Device_Configuration'!AG217="","",'12 - Device_Configuration'!AG217)</f>
        <v/>
      </c>
      <c r="G216" s="28" t="str">
        <f>IF('12 - Device_Configuration'!AH217="","",'12 - Device_Configuration'!AH217)</f>
        <v/>
      </c>
      <c r="H216" s="28" t="str">
        <f>IF('12 - Device_Configuration'!A217="","",'12 - Device_Configuration'!A217)</f>
        <v/>
      </c>
      <c r="I216" s="28" t="str">
        <f>IF('12 - Device_Configuration'!AI217="","",'12 - Device_Configuration'!AI217)</f>
        <v/>
      </c>
      <c r="J216" s="28" t="str">
        <f>IF('12 - Device_Configuration'!AJ217="","",'12 - Device_Configuration'!AJ217)</f>
        <v/>
      </c>
      <c r="K216" s="28" t="str">
        <f>IF('12 - Device_Configuration'!AA217="","",'12 - Device_Configuration'!AA217)</f>
        <v/>
      </c>
      <c r="L216" s="28" t="str">
        <f>IF('12 - Device_Configuration'!I217="","",'12 - Device_Configuration'!I217)</f>
        <v/>
      </c>
      <c r="M216" s="29"/>
      <c r="N216" s="28" t="str">
        <f>IF('12 - Device_Configuration'!J217="","",'12 - Device_Configuration'!J217)</f>
        <v/>
      </c>
      <c r="O216" s="28" t="str">
        <f>IF('12 - Device_Configuration'!K217="","",'12 - Device_Configuration'!K217)</f>
        <v/>
      </c>
      <c r="P216" s="28" t="str">
        <f>IF('12 - Device_Configuration'!L217="","",'12 - Device_Configuration'!L217)</f>
        <v/>
      </c>
      <c r="Q216" s="29"/>
      <c r="R216" s="28" t="str">
        <f>IF('12 - Device_Configuration'!AY217="","",'12 - Device_Configuration'!AY217)</f>
        <v/>
      </c>
      <c r="S216" s="28" t="str">
        <f>IF('12 - Device_Configuration'!AX217="","",'12 - Device_Configuration'!AX217)</f>
        <v/>
      </c>
      <c r="T216" s="28" t="str">
        <f>IF('12 - Device_Configuration'!AV217="","",'12 - Device_Configuration'!AV217)</f>
        <v/>
      </c>
      <c r="U216" s="28" t="str">
        <f>IF('12 - Device_Configuration'!AW217="","",'12 - Device_Configuration'!AW217)</f>
        <v/>
      </c>
      <c r="V216" s="28" t="str">
        <f>IF('12 - Device_Configuration'!BA217="","",'12 - Device_Configuration'!BA217)</f>
        <v/>
      </c>
      <c r="W216" s="28" t="str">
        <f>IF('12 - Device_Configuration'!BC217="","",'12 - Device_Configuration'!BC217)</f>
        <v/>
      </c>
      <c r="X216" s="28" t="str">
        <f>IF('12 - Device_Configuration'!BK217="","",'12 - Device_Configuration'!BK217)</f>
        <v/>
      </c>
      <c r="Y216" s="28" t="str">
        <f>IF('12 - Device_Configuration'!BB217="","",'12 - Device_Configuration'!BB217)</f>
        <v/>
      </c>
      <c r="Z216" s="28" t="str">
        <f>IF('12 - Device_Configuration'!P217="","",'12 - Device_Configuration'!P217)</f>
        <v/>
      </c>
      <c r="AA216" s="28" t="str">
        <f>IF('12 - Device_Configuration'!Q217="","",'12 - Device_Configuration'!Q217)</f>
        <v/>
      </c>
    </row>
    <row r="217" spans="1:27">
      <c r="A217" s="29"/>
      <c r="B217" s="29"/>
      <c r="C217" s="28" t="str">
        <f>IF('12 - Device_Configuration'!H218="","",'12 - Device_Configuration'!H218)</f>
        <v/>
      </c>
      <c r="D217" s="28" t="str">
        <f>IF('12 - Device_Configuration'!AE218="","",'12 - Device_Configuration'!AE218)</f>
        <v/>
      </c>
      <c r="E217" s="28" t="str">
        <f>IF('12 - Device_Configuration'!AF218="","",'12 - Device_Configuration'!AF218)</f>
        <v/>
      </c>
      <c r="F217" s="28" t="str">
        <f>IF('12 - Device_Configuration'!AG218="","",'12 - Device_Configuration'!AG218)</f>
        <v/>
      </c>
      <c r="G217" s="28" t="str">
        <f>IF('12 - Device_Configuration'!AH218="","",'12 - Device_Configuration'!AH218)</f>
        <v/>
      </c>
      <c r="H217" s="28" t="str">
        <f>IF('12 - Device_Configuration'!A218="","",'12 - Device_Configuration'!A218)</f>
        <v/>
      </c>
      <c r="I217" s="28" t="str">
        <f>IF('12 - Device_Configuration'!AI218="","",'12 - Device_Configuration'!AI218)</f>
        <v/>
      </c>
      <c r="J217" s="28" t="str">
        <f>IF('12 - Device_Configuration'!AJ218="","",'12 - Device_Configuration'!AJ218)</f>
        <v/>
      </c>
      <c r="K217" s="28" t="str">
        <f>IF('12 - Device_Configuration'!AA218="","",'12 - Device_Configuration'!AA218)</f>
        <v/>
      </c>
      <c r="L217" s="28" t="str">
        <f>IF('12 - Device_Configuration'!I218="","",'12 - Device_Configuration'!I218)</f>
        <v/>
      </c>
      <c r="M217" s="29"/>
      <c r="N217" s="28" t="str">
        <f>IF('12 - Device_Configuration'!J218="","",'12 - Device_Configuration'!J218)</f>
        <v/>
      </c>
      <c r="O217" s="28" t="str">
        <f>IF('12 - Device_Configuration'!K218="","",'12 - Device_Configuration'!K218)</f>
        <v/>
      </c>
      <c r="P217" s="28" t="str">
        <f>IF('12 - Device_Configuration'!L218="","",'12 - Device_Configuration'!L218)</f>
        <v/>
      </c>
      <c r="Q217" s="29"/>
      <c r="R217" s="28" t="str">
        <f>IF('12 - Device_Configuration'!AY218="","",'12 - Device_Configuration'!AY218)</f>
        <v/>
      </c>
      <c r="S217" s="28" t="str">
        <f>IF('12 - Device_Configuration'!AX218="","",'12 - Device_Configuration'!AX218)</f>
        <v/>
      </c>
      <c r="T217" s="28" t="str">
        <f>IF('12 - Device_Configuration'!AV218="","",'12 - Device_Configuration'!AV218)</f>
        <v/>
      </c>
      <c r="U217" s="28" t="str">
        <f>IF('12 - Device_Configuration'!AW218="","",'12 - Device_Configuration'!AW218)</f>
        <v/>
      </c>
      <c r="V217" s="28" t="str">
        <f>IF('12 - Device_Configuration'!BA218="","",'12 - Device_Configuration'!BA218)</f>
        <v/>
      </c>
      <c r="W217" s="28" t="str">
        <f>IF('12 - Device_Configuration'!BC218="","",'12 - Device_Configuration'!BC218)</f>
        <v/>
      </c>
      <c r="X217" s="28" t="str">
        <f>IF('12 - Device_Configuration'!BK218="","",'12 - Device_Configuration'!BK218)</f>
        <v/>
      </c>
      <c r="Y217" s="28" t="str">
        <f>IF('12 - Device_Configuration'!BB218="","",'12 - Device_Configuration'!BB218)</f>
        <v/>
      </c>
      <c r="Z217" s="28" t="str">
        <f>IF('12 - Device_Configuration'!P218="","",'12 - Device_Configuration'!P218)</f>
        <v/>
      </c>
      <c r="AA217" s="28" t="str">
        <f>IF('12 - Device_Configuration'!Q218="","",'12 - Device_Configuration'!Q218)</f>
        <v/>
      </c>
    </row>
    <row r="218" spans="1:27">
      <c r="A218" s="29"/>
      <c r="B218" s="29"/>
      <c r="C218" s="28" t="str">
        <f>IF('12 - Device_Configuration'!H219="","",'12 - Device_Configuration'!H219)</f>
        <v/>
      </c>
      <c r="D218" s="28" t="str">
        <f>IF('12 - Device_Configuration'!AE219="","",'12 - Device_Configuration'!AE219)</f>
        <v/>
      </c>
      <c r="E218" s="28" t="str">
        <f>IF('12 - Device_Configuration'!AF219="","",'12 - Device_Configuration'!AF219)</f>
        <v/>
      </c>
      <c r="F218" s="28" t="str">
        <f>IF('12 - Device_Configuration'!AG219="","",'12 - Device_Configuration'!AG219)</f>
        <v/>
      </c>
      <c r="G218" s="28" t="str">
        <f>IF('12 - Device_Configuration'!AH219="","",'12 - Device_Configuration'!AH219)</f>
        <v/>
      </c>
      <c r="H218" s="28" t="str">
        <f>IF('12 - Device_Configuration'!A219="","",'12 - Device_Configuration'!A219)</f>
        <v/>
      </c>
      <c r="I218" s="28" t="str">
        <f>IF('12 - Device_Configuration'!AI219="","",'12 - Device_Configuration'!AI219)</f>
        <v/>
      </c>
      <c r="J218" s="28" t="str">
        <f>IF('12 - Device_Configuration'!AJ219="","",'12 - Device_Configuration'!AJ219)</f>
        <v/>
      </c>
      <c r="K218" s="28" t="str">
        <f>IF('12 - Device_Configuration'!AA219="","",'12 - Device_Configuration'!AA219)</f>
        <v/>
      </c>
      <c r="L218" s="28" t="str">
        <f>IF('12 - Device_Configuration'!I219="","",'12 - Device_Configuration'!I219)</f>
        <v/>
      </c>
      <c r="M218" s="29"/>
      <c r="N218" s="28" t="str">
        <f>IF('12 - Device_Configuration'!J219="","",'12 - Device_Configuration'!J219)</f>
        <v/>
      </c>
      <c r="O218" s="28" t="str">
        <f>IF('12 - Device_Configuration'!K219="","",'12 - Device_Configuration'!K219)</f>
        <v/>
      </c>
      <c r="P218" s="28" t="str">
        <f>IF('12 - Device_Configuration'!L219="","",'12 - Device_Configuration'!L219)</f>
        <v/>
      </c>
      <c r="Q218" s="29"/>
      <c r="R218" s="28" t="str">
        <f>IF('12 - Device_Configuration'!AY219="","",'12 - Device_Configuration'!AY219)</f>
        <v/>
      </c>
      <c r="S218" s="28" t="str">
        <f>IF('12 - Device_Configuration'!AX219="","",'12 - Device_Configuration'!AX219)</f>
        <v/>
      </c>
      <c r="T218" s="28" t="str">
        <f>IF('12 - Device_Configuration'!AV219="","",'12 - Device_Configuration'!AV219)</f>
        <v/>
      </c>
      <c r="U218" s="28" t="str">
        <f>IF('12 - Device_Configuration'!AW219="","",'12 - Device_Configuration'!AW219)</f>
        <v/>
      </c>
      <c r="V218" s="28" t="str">
        <f>IF('12 - Device_Configuration'!BA219="","",'12 - Device_Configuration'!BA219)</f>
        <v/>
      </c>
      <c r="W218" s="28" t="str">
        <f>IF('12 - Device_Configuration'!BC219="","",'12 - Device_Configuration'!BC219)</f>
        <v/>
      </c>
      <c r="X218" s="28" t="str">
        <f>IF('12 - Device_Configuration'!BK219="","",'12 - Device_Configuration'!BK219)</f>
        <v/>
      </c>
      <c r="Y218" s="28" t="str">
        <f>IF('12 - Device_Configuration'!BB219="","",'12 - Device_Configuration'!BB219)</f>
        <v/>
      </c>
      <c r="Z218" s="28" t="str">
        <f>IF('12 - Device_Configuration'!P219="","",'12 - Device_Configuration'!P219)</f>
        <v/>
      </c>
      <c r="AA218" s="28" t="str">
        <f>IF('12 - Device_Configuration'!Q219="","",'12 - Device_Configuration'!Q219)</f>
        <v/>
      </c>
    </row>
    <row r="219" spans="1:27">
      <c r="A219" s="29"/>
      <c r="B219" s="29"/>
      <c r="C219" s="28" t="str">
        <f>IF('12 - Device_Configuration'!H220="","",'12 - Device_Configuration'!H220)</f>
        <v/>
      </c>
      <c r="D219" s="28" t="str">
        <f>IF('12 - Device_Configuration'!AE220="","",'12 - Device_Configuration'!AE220)</f>
        <v/>
      </c>
      <c r="E219" s="28" t="str">
        <f>IF('12 - Device_Configuration'!AF220="","",'12 - Device_Configuration'!AF220)</f>
        <v/>
      </c>
      <c r="F219" s="28" t="str">
        <f>IF('12 - Device_Configuration'!AG220="","",'12 - Device_Configuration'!AG220)</f>
        <v/>
      </c>
      <c r="G219" s="28" t="str">
        <f>IF('12 - Device_Configuration'!AH220="","",'12 - Device_Configuration'!AH220)</f>
        <v/>
      </c>
      <c r="H219" s="28" t="str">
        <f>IF('12 - Device_Configuration'!A220="","",'12 - Device_Configuration'!A220)</f>
        <v/>
      </c>
      <c r="I219" s="28" t="str">
        <f>IF('12 - Device_Configuration'!AI220="","",'12 - Device_Configuration'!AI220)</f>
        <v/>
      </c>
      <c r="J219" s="28" t="str">
        <f>IF('12 - Device_Configuration'!AJ220="","",'12 - Device_Configuration'!AJ220)</f>
        <v/>
      </c>
      <c r="K219" s="28" t="str">
        <f>IF('12 - Device_Configuration'!AA220="","",'12 - Device_Configuration'!AA220)</f>
        <v/>
      </c>
      <c r="L219" s="28" t="str">
        <f>IF('12 - Device_Configuration'!I220="","",'12 - Device_Configuration'!I220)</f>
        <v/>
      </c>
      <c r="M219" s="29"/>
      <c r="N219" s="28" t="str">
        <f>IF('12 - Device_Configuration'!J220="","",'12 - Device_Configuration'!J220)</f>
        <v/>
      </c>
      <c r="O219" s="28" t="str">
        <f>IF('12 - Device_Configuration'!K220="","",'12 - Device_Configuration'!K220)</f>
        <v/>
      </c>
      <c r="P219" s="28" t="str">
        <f>IF('12 - Device_Configuration'!L220="","",'12 - Device_Configuration'!L220)</f>
        <v/>
      </c>
      <c r="Q219" s="29"/>
      <c r="R219" s="28" t="str">
        <f>IF('12 - Device_Configuration'!AY220="","",'12 - Device_Configuration'!AY220)</f>
        <v/>
      </c>
      <c r="S219" s="28" t="str">
        <f>IF('12 - Device_Configuration'!AX220="","",'12 - Device_Configuration'!AX220)</f>
        <v/>
      </c>
      <c r="T219" s="28" t="str">
        <f>IF('12 - Device_Configuration'!AV220="","",'12 - Device_Configuration'!AV220)</f>
        <v/>
      </c>
      <c r="U219" s="28" t="str">
        <f>IF('12 - Device_Configuration'!AW220="","",'12 - Device_Configuration'!AW220)</f>
        <v/>
      </c>
      <c r="V219" s="28" t="str">
        <f>IF('12 - Device_Configuration'!BA220="","",'12 - Device_Configuration'!BA220)</f>
        <v/>
      </c>
      <c r="W219" s="28" t="str">
        <f>IF('12 - Device_Configuration'!BC220="","",'12 - Device_Configuration'!BC220)</f>
        <v/>
      </c>
      <c r="X219" s="28" t="str">
        <f>IF('12 - Device_Configuration'!BK220="","",'12 - Device_Configuration'!BK220)</f>
        <v/>
      </c>
      <c r="Y219" s="28" t="str">
        <f>IF('12 - Device_Configuration'!BB220="","",'12 - Device_Configuration'!BB220)</f>
        <v/>
      </c>
      <c r="Z219" s="28" t="str">
        <f>IF('12 - Device_Configuration'!P220="","",'12 - Device_Configuration'!P220)</f>
        <v/>
      </c>
      <c r="AA219" s="28" t="str">
        <f>IF('12 - Device_Configuration'!Q220="","",'12 - Device_Configuration'!Q220)</f>
        <v/>
      </c>
    </row>
    <row r="220" spans="1:27">
      <c r="A220" s="29"/>
      <c r="B220" s="29"/>
      <c r="C220" s="28" t="str">
        <f>IF('12 - Device_Configuration'!H221="","",'12 - Device_Configuration'!H221)</f>
        <v/>
      </c>
      <c r="D220" s="28" t="str">
        <f>IF('12 - Device_Configuration'!AE221="","",'12 - Device_Configuration'!AE221)</f>
        <v/>
      </c>
      <c r="E220" s="28" t="str">
        <f>IF('12 - Device_Configuration'!AF221="","",'12 - Device_Configuration'!AF221)</f>
        <v/>
      </c>
      <c r="F220" s="28" t="str">
        <f>IF('12 - Device_Configuration'!AG221="","",'12 - Device_Configuration'!AG221)</f>
        <v/>
      </c>
      <c r="G220" s="28" t="str">
        <f>IF('12 - Device_Configuration'!AH221="","",'12 - Device_Configuration'!AH221)</f>
        <v/>
      </c>
      <c r="H220" s="28" t="str">
        <f>IF('12 - Device_Configuration'!A221="","",'12 - Device_Configuration'!A221)</f>
        <v/>
      </c>
      <c r="I220" s="28" t="str">
        <f>IF('12 - Device_Configuration'!AI221="","",'12 - Device_Configuration'!AI221)</f>
        <v/>
      </c>
      <c r="J220" s="28" t="str">
        <f>IF('12 - Device_Configuration'!AJ221="","",'12 - Device_Configuration'!AJ221)</f>
        <v/>
      </c>
      <c r="K220" s="28" t="str">
        <f>IF('12 - Device_Configuration'!AA221="","",'12 - Device_Configuration'!AA221)</f>
        <v/>
      </c>
      <c r="L220" s="28" t="str">
        <f>IF('12 - Device_Configuration'!I221="","",'12 - Device_Configuration'!I221)</f>
        <v/>
      </c>
      <c r="M220" s="29"/>
      <c r="N220" s="28" t="str">
        <f>IF('12 - Device_Configuration'!J221="","",'12 - Device_Configuration'!J221)</f>
        <v/>
      </c>
      <c r="O220" s="28" t="str">
        <f>IF('12 - Device_Configuration'!K221="","",'12 - Device_Configuration'!K221)</f>
        <v/>
      </c>
      <c r="P220" s="28" t="str">
        <f>IF('12 - Device_Configuration'!L221="","",'12 - Device_Configuration'!L221)</f>
        <v/>
      </c>
      <c r="Q220" s="29"/>
      <c r="R220" s="28" t="str">
        <f>IF('12 - Device_Configuration'!AY221="","",'12 - Device_Configuration'!AY221)</f>
        <v/>
      </c>
      <c r="S220" s="28" t="str">
        <f>IF('12 - Device_Configuration'!AX221="","",'12 - Device_Configuration'!AX221)</f>
        <v/>
      </c>
      <c r="T220" s="28" t="str">
        <f>IF('12 - Device_Configuration'!AV221="","",'12 - Device_Configuration'!AV221)</f>
        <v/>
      </c>
      <c r="U220" s="28" t="str">
        <f>IF('12 - Device_Configuration'!AW221="","",'12 - Device_Configuration'!AW221)</f>
        <v/>
      </c>
      <c r="V220" s="28" t="str">
        <f>IF('12 - Device_Configuration'!BA221="","",'12 - Device_Configuration'!BA221)</f>
        <v/>
      </c>
      <c r="W220" s="28" t="str">
        <f>IF('12 - Device_Configuration'!BC221="","",'12 - Device_Configuration'!BC221)</f>
        <v/>
      </c>
      <c r="X220" s="28" t="str">
        <f>IF('12 - Device_Configuration'!BK221="","",'12 - Device_Configuration'!BK221)</f>
        <v/>
      </c>
      <c r="Y220" s="28" t="str">
        <f>IF('12 - Device_Configuration'!BB221="","",'12 - Device_Configuration'!BB221)</f>
        <v/>
      </c>
      <c r="Z220" s="28" t="str">
        <f>IF('12 - Device_Configuration'!P221="","",'12 - Device_Configuration'!P221)</f>
        <v/>
      </c>
      <c r="AA220" s="28" t="str">
        <f>IF('12 - Device_Configuration'!Q221="","",'12 - Device_Configuration'!Q221)</f>
        <v/>
      </c>
    </row>
    <row r="221" spans="1:27">
      <c r="A221" s="29"/>
      <c r="B221" s="29"/>
      <c r="C221" s="28" t="str">
        <f>IF('12 - Device_Configuration'!H222="","",'12 - Device_Configuration'!H222)</f>
        <v/>
      </c>
      <c r="D221" s="28" t="str">
        <f>IF('12 - Device_Configuration'!AE222="","",'12 - Device_Configuration'!AE222)</f>
        <v/>
      </c>
      <c r="E221" s="28" t="str">
        <f>IF('12 - Device_Configuration'!AF222="","",'12 - Device_Configuration'!AF222)</f>
        <v/>
      </c>
      <c r="F221" s="28" t="str">
        <f>IF('12 - Device_Configuration'!AG222="","",'12 - Device_Configuration'!AG222)</f>
        <v/>
      </c>
      <c r="G221" s="28" t="str">
        <f>IF('12 - Device_Configuration'!AH222="","",'12 - Device_Configuration'!AH222)</f>
        <v/>
      </c>
      <c r="H221" s="28" t="str">
        <f>IF('12 - Device_Configuration'!A222="","",'12 - Device_Configuration'!A222)</f>
        <v/>
      </c>
      <c r="I221" s="28" t="str">
        <f>IF('12 - Device_Configuration'!AI222="","",'12 - Device_Configuration'!AI222)</f>
        <v/>
      </c>
      <c r="J221" s="28" t="str">
        <f>IF('12 - Device_Configuration'!AJ222="","",'12 - Device_Configuration'!AJ222)</f>
        <v/>
      </c>
      <c r="K221" s="28" t="str">
        <f>IF('12 - Device_Configuration'!AA222="","",'12 - Device_Configuration'!AA222)</f>
        <v/>
      </c>
      <c r="L221" s="28" t="str">
        <f>IF('12 - Device_Configuration'!I222="","",'12 - Device_Configuration'!I222)</f>
        <v/>
      </c>
      <c r="M221" s="29"/>
      <c r="N221" s="28" t="str">
        <f>IF('12 - Device_Configuration'!J222="","",'12 - Device_Configuration'!J222)</f>
        <v/>
      </c>
      <c r="O221" s="28" t="str">
        <f>IF('12 - Device_Configuration'!K222="","",'12 - Device_Configuration'!K222)</f>
        <v/>
      </c>
      <c r="P221" s="28" t="str">
        <f>IF('12 - Device_Configuration'!L222="","",'12 - Device_Configuration'!L222)</f>
        <v/>
      </c>
      <c r="Q221" s="29"/>
      <c r="R221" s="28" t="str">
        <f>IF('12 - Device_Configuration'!AY222="","",'12 - Device_Configuration'!AY222)</f>
        <v/>
      </c>
      <c r="S221" s="28" t="str">
        <f>IF('12 - Device_Configuration'!AX222="","",'12 - Device_Configuration'!AX222)</f>
        <v/>
      </c>
      <c r="T221" s="28" t="str">
        <f>IF('12 - Device_Configuration'!AV222="","",'12 - Device_Configuration'!AV222)</f>
        <v/>
      </c>
      <c r="U221" s="28" t="str">
        <f>IF('12 - Device_Configuration'!AW222="","",'12 - Device_Configuration'!AW222)</f>
        <v/>
      </c>
      <c r="V221" s="28" t="str">
        <f>IF('12 - Device_Configuration'!BA222="","",'12 - Device_Configuration'!BA222)</f>
        <v/>
      </c>
      <c r="W221" s="28" t="str">
        <f>IF('12 - Device_Configuration'!BC222="","",'12 - Device_Configuration'!BC222)</f>
        <v/>
      </c>
      <c r="X221" s="28" t="str">
        <f>IF('12 - Device_Configuration'!BK222="","",'12 - Device_Configuration'!BK222)</f>
        <v/>
      </c>
      <c r="Y221" s="28" t="str">
        <f>IF('12 - Device_Configuration'!BB222="","",'12 - Device_Configuration'!BB222)</f>
        <v/>
      </c>
      <c r="Z221" s="28" t="str">
        <f>IF('12 - Device_Configuration'!P222="","",'12 - Device_Configuration'!P222)</f>
        <v/>
      </c>
      <c r="AA221" s="28" t="str">
        <f>IF('12 - Device_Configuration'!Q222="","",'12 - Device_Configuration'!Q222)</f>
        <v/>
      </c>
    </row>
    <row r="222" spans="1:27">
      <c r="A222" s="29"/>
      <c r="B222" s="29"/>
      <c r="C222" s="28" t="str">
        <f>IF('12 - Device_Configuration'!H223="","",'12 - Device_Configuration'!H223)</f>
        <v/>
      </c>
      <c r="D222" s="28" t="str">
        <f>IF('12 - Device_Configuration'!AE223="","",'12 - Device_Configuration'!AE223)</f>
        <v/>
      </c>
      <c r="E222" s="28" t="str">
        <f>IF('12 - Device_Configuration'!AF223="","",'12 - Device_Configuration'!AF223)</f>
        <v/>
      </c>
      <c r="F222" s="28" t="str">
        <f>IF('12 - Device_Configuration'!AG223="","",'12 - Device_Configuration'!AG223)</f>
        <v/>
      </c>
      <c r="G222" s="28" t="str">
        <f>IF('12 - Device_Configuration'!AH223="","",'12 - Device_Configuration'!AH223)</f>
        <v/>
      </c>
      <c r="H222" s="28" t="str">
        <f>IF('12 - Device_Configuration'!A223="","",'12 - Device_Configuration'!A223)</f>
        <v/>
      </c>
      <c r="I222" s="28" t="str">
        <f>IF('12 - Device_Configuration'!AI223="","",'12 - Device_Configuration'!AI223)</f>
        <v/>
      </c>
      <c r="J222" s="28" t="str">
        <f>IF('12 - Device_Configuration'!AJ223="","",'12 - Device_Configuration'!AJ223)</f>
        <v/>
      </c>
      <c r="K222" s="28" t="str">
        <f>IF('12 - Device_Configuration'!AA223="","",'12 - Device_Configuration'!AA223)</f>
        <v/>
      </c>
      <c r="L222" s="28" t="str">
        <f>IF('12 - Device_Configuration'!I223="","",'12 - Device_Configuration'!I223)</f>
        <v/>
      </c>
      <c r="M222" s="29"/>
      <c r="N222" s="28" t="str">
        <f>IF('12 - Device_Configuration'!J223="","",'12 - Device_Configuration'!J223)</f>
        <v/>
      </c>
      <c r="O222" s="28" t="str">
        <f>IF('12 - Device_Configuration'!K223="","",'12 - Device_Configuration'!K223)</f>
        <v/>
      </c>
      <c r="P222" s="28" t="str">
        <f>IF('12 - Device_Configuration'!L223="","",'12 - Device_Configuration'!L223)</f>
        <v/>
      </c>
      <c r="Q222" s="29"/>
      <c r="R222" s="28" t="str">
        <f>IF('12 - Device_Configuration'!AY223="","",'12 - Device_Configuration'!AY223)</f>
        <v/>
      </c>
      <c r="S222" s="28" t="str">
        <f>IF('12 - Device_Configuration'!AX223="","",'12 - Device_Configuration'!AX223)</f>
        <v/>
      </c>
      <c r="T222" s="28" t="str">
        <f>IF('12 - Device_Configuration'!AV223="","",'12 - Device_Configuration'!AV223)</f>
        <v/>
      </c>
      <c r="U222" s="28" t="str">
        <f>IF('12 - Device_Configuration'!AW223="","",'12 - Device_Configuration'!AW223)</f>
        <v/>
      </c>
      <c r="V222" s="28" t="str">
        <f>IF('12 - Device_Configuration'!BA223="","",'12 - Device_Configuration'!BA223)</f>
        <v/>
      </c>
      <c r="W222" s="28" t="str">
        <f>IF('12 - Device_Configuration'!BC223="","",'12 - Device_Configuration'!BC223)</f>
        <v/>
      </c>
      <c r="X222" s="28" t="str">
        <f>IF('12 - Device_Configuration'!BK223="","",'12 - Device_Configuration'!BK223)</f>
        <v/>
      </c>
      <c r="Y222" s="28" t="str">
        <f>IF('12 - Device_Configuration'!BB223="","",'12 - Device_Configuration'!BB223)</f>
        <v/>
      </c>
      <c r="Z222" s="28" t="str">
        <f>IF('12 - Device_Configuration'!P223="","",'12 - Device_Configuration'!P223)</f>
        <v/>
      </c>
      <c r="AA222" s="28" t="str">
        <f>IF('12 - Device_Configuration'!Q223="","",'12 - Device_Configuration'!Q223)</f>
        <v/>
      </c>
    </row>
    <row r="223" spans="1:27">
      <c r="A223" s="29"/>
      <c r="B223" s="29"/>
      <c r="C223" s="28" t="str">
        <f>IF('12 - Device_Configuration'!H224="","",'12 - Device_Configuration'!H224)</f>
        <v/>
      </c>
      <c r="D223" s="28" t="str">
        <f>IF('12 - Device_Configuration'!AE224="","",'12 - Device_Configuration'!AE224)</f>
        <v/>
      </c>
      <c r="E223" s="28" t="str">
        <f>IF('12 - Device_Configuration'!AF224="","",'12 - Device_Configuration'!AF224)</f>
        <v/>
      </c>
      <c r="F223" s="28" t="str">
        <f>IF('12 - Device_Configuration'!AG224="","",'12 - Device_Configuration'!AG224)</f>
        <v/>
      </c>
      <c r="G223" s="28" t="str">
        <f>IF('12 - Device_Configuration'!AH224="","",'12 - Device_Configuration'!AH224)</f>
        <v/>
      </c>
      <c r="H223" s="28" t="str">
        <f>IF('12 - Device_Configuration'!A224="","",'12 - Device_Configuration'!A224)</f>
        <v/>
      </c>
      <c r="I223" s="28" t="str">
        <f>IF('12 - Device_Configuration'!AI224="","",'12 - Device_Configuration'!AI224)</f>
        <v/>
      </c>
      <c r="J223" s="28" t="str">
        <f>IF('12 - Device_Configuration'!AJ224="","",'12 - Device_Configuration'!AJ224)</f>
        <v/>
      </c>
      <c r="K223" s="28" t="str">
        <f>IF('12 - Device_Configuration'!AA224="","",'12 - Device_Configuration'!AA224)</f>
        <v/>
      </c>
      <c r="L223" s="28" t="str">
        <f>IF('12 - Device_Configuration'!I224="","",'12 - Device_Configuration'!I224)</f>
        <v/>
      </c>
      <c r="M223" s="29"/>
      <c r="N223" s="28" t="str">
        <f>IF('12 - Device_Configuration'!J224="","",'12 - Device_Configuration'!J224)</f>
        <v/>
      </c>
      <c r="O223" s="28" t="str">
        <f>IF('12 - Device_Configuration'!K224="","",'12 - Device_Configuration'!K224)</f>
        <v/>
      </c>
      <c r="P223" s="28" t="str">
        <f>IF('12 - Device_Configuration'!L224="","",'12 - Device_Configuration'!L224)</f>
        <v/>
      </c>
      <c r="Q223" s="29"/>
      <c r="R223" s="28" t="str">
        <f>IF('12 - Device_Configuration'!AY224="","",'12 - Device_Configuration'!AY224)</f>
        <v/>
      </c>
      <c r="S223" s="28" t="str">
        <f>IF('12 - Device_Configuration'!AX224="","",'12 - Device_Configuration'!AX224)</f>
        <v/>
      </c>
      <c r="T223" s="28" t="str">
        <f>IF('12 - Device_Configuration'!AV224="","",'12 - Device_Configuration'!AV224)</f>
        <v/>
      </c>
      <c r="U223" s="28" t="str">
        <f>IF('12 - Device_Configuration'!AW224="","",'12 - Device_Configuration'!AW224)</f>
        <v/>
      </c>
      <c r="V223" s="28" t="str">
        <f>IF('12 - Device_Configuration'!BA224="","",'12 - Device_Configuration'!BA224)</f>
        <v/>
      </c>
      <c r="W223" s="28" t="str">
        <f>IF('12 - Device_Configuration'!BC224="","",'12 - Device_Configuration'!BC224)</f>
        <v/>
      </c>
      <c r="X223" s="28" t="str">
        <f>IF('12 - Device_Configuration'!BK224="","",'12 - Device_Configuration'!BK224)</f>
        <v/>
      </c>
      <c r="Y223" s="28" t="str">
        <f>IF('12 - Device_Configuration'!BB224="","",'12 - Device_Configuration'!BB224)</f>
        <v/>
      </c>
      <c r="Z223" s="28" t="str">
        <f>IF('12 - Device_Configuration'!P224="","",'12 - Device_Configuration'!P224)</f>
        <v/>
      </c>
      <c r="AA223" s="28" t="str">
        <f>IF('12 - Device_Configuration'!Q224="","",'12 - Device_Configuration'!Q224)</f>
        <v/>
      </c>
    </row>
    <row r="224" spans="1:27">
      <c r="A224" s="29"/>
      <c r="B224" s="29"/>
      <c r="C224" s="28" t="str">
        <f>IF('12 - Device_Configuration'!H225="","",'12 - Device_Configuration'!H225)</f>
        <v/>
      </c>
      <c r="D224" s="28" t="str">
        <f>IF('12 - Device_Configuration'!AE225="","",'12 - Device_Configuration'!AE225)</f>
        <v/>
      </c>
      <c r="E224" s="28" t="str">
        <f>IF('12 - Device_Configuration'!AF225="","",'12 - Device_Configuration'!AF225)</f>
        <v/>
      </c>
      <c r="F224" s="28" t="str">
        <f>IF('12 - Device_Configuration'!AG225="","",'12 - Device_Configuration'!AG225)</f>
        <v/>
      </c>
      <c r="G224" s="28" t="str">
        <f>IF('12 - Device_Configuration'!AH225="","",'12 - Device_Configuration'!AH225)</f>
        <v/>
      </c>
      <c r="H224" s="28" t="str">
        <f>IF('12 - Device_Configuration'!A225="","",'12 - Device_Configuration'!A225)</f>
        <v/>
      </c>
      <c r="I224" s="28" t="str">
        <f>IF('12 - Device_Configuration'!AI225="","",'12 - Device_Configuration'!AI225)</f>
        <v/>
      </c>
      <c r="J224" s="28" t="str">
        <f>IF('12 - Device_Configuration'!AJ225="","",'12 - Device_Configuration'!AJ225)</f>
        <v/>
      </c>
      <c r="K224" s="28" t="str">
        <f>IF('12 - Device_Configuration'!AA225="","",'12 - Device_Configuration'!AA225)</f>
        <v/>
      </c>
      <c r="L224" s="28" t="str">
        <f>IF('12 - Device_Configuration'!I225="","",'12 - Device_Configuration'!I225)</f>
        <v/>
      </c>
      <c r="M224" s="29"/>
      <c r="N224" s="28" t="str">
        <f>IF('12 - Device_Configuration'!J225="","",'12 - Device_Configuration'!J225)</f>
        <v/>
      </c>
      <c r="O224" s="28" t="str">
        <f>IF('12 - Device_Configuration'!K225="","",'12 - Device_Configuration'!K225)</f>
        <v/>
      </c>
      <c r="P224" s="28" t="str">
        <f>IF('12 - Device_Configuration'!L225="","",'12 - Device_Configuration'!L225)</f>
        <v/>
      </c>
      <c r="Q224" s="29"/>
      <c r="R224" s="28" t="str">
        <f>IF('12 - Device_Configuration'!AY225="","",'12 - Device_Configuration'!AY225)</f>
        <v/>
      </c>
      <c r="S224" s="28" t="str">
        <f>IF('12 - Device_Configuration'!AX225="","",'12 - Device_Configuration'!AX225)</f>
        <v/>
      </c>
      <c r="T224" s="28" t="str">
        <f>IF('12 - Device_Configuration'!AV225="","",'12 - Device_Configuration'!AV225)</f>
        <v/>
      </c>
      <c r="U224" s="28" t="str">
        <f>IF('12 - Device_Configuration'!AW225="","",'12 - Device_Configuration'!AW225)</f>
        <v/>
      </c>
      <c r="V224" s="28" t="str">
        <f>IF('12 - Device_Configuration'!BA225="","",'12 - Device_Configuration'!BA225)</f>
        <v/>
      </c>
      <c r="W224" s="28" t="str">
        <f>IF('12 - Device_Configuration'!BC225="","",'12 - Device_Configuration'!BC225)</f>
        <v/>
      </c>
      <c r="X224" s="28" t="str">
        <f>IF('12 - Device_Configuration'!BK225="","",'12 - Device_Configuration'!BK225)</f>
        <v/>
      </c>
      <c r="Y224" s="28" t="str">
        <f>IF('12 - Device_Configuration'!BB225="","",'12 - Device_Configuration'!BB225)</f>
        <v/>
      </c>
      <c r="Z224" s="28" t="str">
        <f>IF('12 - Device_Configuration'!P225="","",'12 - Device_Configuration'!P225)</f>
        <v/>
      </c>
      <c r="AA224" s="28" t="str">
        <f>IF('12 - Device_Configuration'!Q225="","",'12 - Device_Configuration'!Q225)</f>
        <v/>
      </c>
    </row>
    <row r="225" spans="1:27">
      <c r="A225" s="29"/>
      <c r="B225" s="29"/>
      <c r="C225" s="28" t="str">
        <f>IF('12 - Device_Configuration'!H226="","",'12 - Device_Configuration'!H226)</f>
        <v/>
      </c>
      <c r="D225" s="28" t="str">
        <f>IF('12 - Device_Configuration'!AE226="","",'12 - Device_Configuration'!AE226)</f>
        <v/>
      </c>
      <c r="E225" s="28" t="str">
        <f>IF('12 - Device_Configuration'!AF226="","",'12 - Device_Configuration'!AF226)</f>
        <v/>
      </c>
      <c r="F225" s="28" t="str">
        <f>IF('12 - Device_Configuration'!AG226="","",'12 - Device_Configuration'!AG226)</f>
        <v/>
      </c>
      <c r="G225" s="28" t="str">
        <f>IF('12 - Device_Configuration'!AH226="","",'12 - Device_Configuration'!AH226)</f>
        <v/>
      </c>
      <c r="H225" s="28" t="str">
        <f>IF('12 - Device_Configuration'!A226="","",'12 - Device_Configuration'!A226)</f>
        <v/>
      </c>
      <c r="I225" s="28" t="str">
        <f>IF('12 - Device_Configuration'!AI226="","",'12 - Device_Configuration'!AI226)</f>
        <v/>
      </c>
      <c r="J225" s="28" t="str">
        <f>IF('12 - Device_Configuration'!AJ226="","",'12 - Device_Configuration'!AJ226)</f>
        <v/>
      </c>
      <c r="K225" s="28" t="str">
        <f>IF('12 - Device_Configuration'!AA226="","",'12 - Device_Configuration'!AA226)</f>
        <v/>
      </c>
      <c r="L225" s="28" t="str">
        <f>IF('12 - Device_Configuration'!I226="","",'12 - Device_Configuration'!I226)</f>
        <v/>
      </c>
      <c r="M225" s="29"/>
      <c r="N225" s="28" t="str">
        <f>IF('12 - Device_Configuration'!J226="","",'12 - Device_Configuration'!J226)</f>
        <v/>
      </c>
      <c r="O225" s="28" t="str">
        <f>IF('12 - Device_Configuration'!K226="","",'12 - Device_Configuration'!K226)</f>
        <v/>
      </c>
      <c r="P225" s="28" t="str">
        <f>IF('12 - Device_Configuration'!L226="","",'12 - Device_Configuration'!L226)</f>
        <v/>
      </c>
      <c r="Q225" s="29"/>
      <c r="R225" s="28" t="str">
        <f>IF('12 - Device_Configuration'!AY226="","",'12 - Device_Configuration'!AY226)</f>
        <v/>
      </c>
      <c r="S225" s="28" t="str">
        <f>IF('12 - Device_Configuration'!AX226="","",'12 - Device_Configuration'!AX226)</f>
        <v/>
      </c>
      <c r="T225" s="28" t="str">
        <f>IF('12 - Device_Configuration'!AV226="","",'12 - Device_Configuration'!AV226)</f>
        <v/>
      </c>
      <c r="U225" s="28" t="str">
        <f>IF('12 - Device_Configuration'!AW226="","",'12 - Device_Configuration'!AW226)</f>
        <v/>
      </c>
      <c r="V225" s="28" t="str">
        <f>IF('12 - Device_Configuration'!BA226="","",'12 - Device_Configuration'!BA226)</f>
        <v/>
      </c>
      <c r="W225" s="28" t="str">
        <f>IF('12 - Device_Configuration'!BC226="","",'12 - Device_Configuration'!BC226)</f>
        <v/>
      </c>
      <c r="X225" s="28" t="str">
        <f>IF('12 - Device_Configuration'!BK226="","",'12 - Device_Configuration'!BK226)</f>
        <v/>
      </c>
      <c r="Y225" s="28" t="str">
        <f>IF('12 - Device_Configuration'!BB226="","",'12 - Device_Configuration'!BB226)</f>
        <v/>
      </c>
      <c r="Z225" s="28" t="str">
        <f>IF('12 - Device_Configuration'!P226="","",'12 - Device_Configuration'!P226)</f>
        <v/>
      </c>
      <c r="AA225" s="28" t="str">
        <f>IF('12 - Device_Configuration'!Q226="","",'12 - Device_Configuration'!Q226)</f>
        <v/>
      </c>
    </row>
    <row r="226" spans="1:27">
      <c r="A226" s="29"/>
      <c r="B226" s="29"/>
      <c r="C226" s="28" t="str">
        <f>IF('12 - Device_Configuration'!H227="","",'12 - Device_Configuration'!H227)</f>
        <v/>
      </c>
      <c r="D226" s="28" t="str">
        <f>IF('12 - Device_Configuration'!AE227="","",'12 - Device_Configuration'!AE227)</f>
        <v/>
      </c>
      <c r="E226" s="28" t="str">
        <f>IF('12 - Device_Configuration'!AF227="","",'12 - Device_Configuration'!AF227)</f>
        <v/>
      </c>
      <c r="F226" s="28" t="str">
        <f>IF('12 - Device_Configuration'!AG227="","",'12 - Device_Configuration'!AG227)</f>
        <v/>
      </c>
      <c r="G226" s="28" t="str">
        <f>IF('12 - Device_Configuration'!AH227="","",'12 - Device_Configuration'!AH227)</f>
        <v/>
      </c>
      <c r="H226" s="28" t="str">
        <f>IF('12 - Device_Configuration'!A227="","",'12 - Device_Configuration'!A227)</f>
        <v/>
      </c>
      <c r="I226" s="28" t="str">
        <f>IF('12 - Device_Configuration'!AI227="","",'12 - Device_Configuration'!AI227)</f>
        <v/>
      </c>
      <c r="J226" s="28" t="str">
        <f>IF('12 - Device_Configuration'!AJ227="","",'12 - Device_Configuration'!AJ227)</f>
        <v/>
      </c>
      <c r="K226" s="28" t="str">
        <f>IF('12 - Device_Configuration'!AA227="","",'12 - Device_Configuration'!AA227)</f>
        <v/>
      </c>
      <c r="L226" s="28" t="str">
        <f>IF('12 - Device_Configuration'!I227="","",'12 - Device_Configuration'!I227)</f>
        <v/>
      </c>
      <c r="M226" s="29"/>
      <c r="N226" s="28" t="str">
        <f>IF('12 - Device_Configuration'!J227="","",'12 - Device_Configuration'!J227)</f>
        <v/>
      </c>
      <c r="O226" s="28" t="str">
        <f>IF('12 - Device_Configuration'!K227="","",'12 - Device_Configuration'!K227)</f>
        <v/>
      </c>
      <c r="P226" s="28" t="str">
        <f>IF('12 - Device_Configuration'!L227="","",'12 - Device_Configuration'!L227)</f>
        <v/>
      </c>
      <c r="Q226" s="29"/>
      <c r="R226" s="28" t="str">
        <f>IF('12 - Device_Configuration'!AY227="","",'12 - Device_Configuration'!AY227)</f>
        <v/>
      </c>
      <c r="S226" s="28" t="str">
        <f>IF('12 - Device_Configuration'!AX227="","",'12 - Device_Configuration'!AX227)</f>
        <v/>
      </c>
      <c r="T226" s="28" t="str">
        <f>IF('12 - Device_Configuration'!AV227="","",'12 - Device_Configuration'!AV227)</f>
        <v/>
      </c>
      <c r="U226" s="28" t="str">
        <f>IF('12 - Device_Configuration'!AW227="","",'12 - Device_Configuration'!AW227)</f>
        <v/>
      </c>
      <c r="V226" s="28" t="str">
        <f>IF('12 - Device_Configuration'!BA227="","",'12 - Device_Configuration'!BA227)</f>
        <v/>
      </c>
      <c r="W226" s="28" t="str">
        <f>IF('12 - Device_Configuration'!BC227="","",'12 - Device_Configuration'!BC227)</f>
        <v/>
      </c>
      <c r="X226" s="28" t="str">
        <f>IF('12 - Device_Configuration'!BK227="","",'12 - Device_Configuration'!BK227)</f>
        <v/>
      </c>
      <c r="Y226" s="28" t="str">
        <f>IF('12 - Device_Configuration'!BB227="","",'12 - Device_Configuration'!BB227)</f>
        <v/>
      </c>
      <c r="Z226" s="28" t="str">
        <f>IF('12 - Device_Configuration'!P227="","",'12 - Device_Configuration'!P227)</f>
        <v/>
      </c>
      <c r="AA226" s="28" t="str">
        <f>IF('12 - Device_Configuration'!Q227="","",'12 - Device_Configuration'!Q227)</f>
        <v/>
      </c>
    </row>
    <row r="227" spans="1:27">
      <c r="A227" s="29"/>
      <c r="B227" s="29"/>
      <c r="C227" s="28" t="str">
        <f>IF('12 - Device_Configuration'!H228="","",'12 - Device_Configuration'!H228)</f>
        <v/>
      </c>
      <c r="D227" s="28" t="str">
        <f>IF('12 - Device_Configuration'!AE228="","",'12 - Device_Configuration'!AE228)</f>
        <v/>
      </c>
      <c r="E227" s="28" t="str">
        <f>IF('12 - Device_Configuration'!AF228="","",'12 - Device_Configuration'!AF228)</f>
        <v/>
      </c>
      <c r="F227" s="28" t="str">
        <f>IF('12 - Device_Configuration'!AG228="","",'12 - Device_Configuration'!AG228)</f>
        <v/>
      </c>
      <c r="G227" s="28" t="str">
        <f>IF('12 - Device_Configuration'!AH228="","",'12 - Device_Configuration'!AH228)</f>
        <v/>
      </c>
      <c r="H227" s="28" t="str">
        <f>IF('12 - Device_Configuration'!A228="","",'12 - Device_Configuration'!A228)</f>
        <v/>
      </c>
      <c r="I227" s="28" t="str">
        <f>IF('12 - Device_Configuration'!AI228="","",'12 - Device_Configuration'!AI228)</f>
        <v/>
      </c>
      <c r="J227" s="28" t="str">
        <f>IF('12 - Device_Configuration'!AJ228="","",'12 - Device_Configuration'!AJ228)</f>
        <v/>
      </c>
      <c r="K227" s="28" t="str">
        <f>IF('12 - Device_Configuration'!AA228="","",'12 - Device_Configuration'!AA228)</f>
        <v/>
      </c>
      <c r="L227" s="28" t="str">
        <f>IF('12 - Device_Configuration'!I228="","",'12 - Device_Configuration'!I228)</f>
        <v/>
      </c>
      <c r="M227" s="29"/>
      <c r="N227" s="28" t="str">
        <f>IF('12 - Device_Configuration'!J228="","",'12 - Device_Configuration'!J228)</f>
        <v/>
      </c>
      <c r="O227" s="28" t="str">
        <f>IF('12 - Device_Configuration'!K228="","",'12 - Device_Configuration'!K228)</f>
        <v/>
      </c>
      <c r="P227" s="28" t="str">
        <f>IF('12 - Device_Configuration'!L228="","",'12 - Device_Configuration'!L228)</f>
        <v/>
      </c>
      <c r="Q227" s="29"/>
      <c r="R227" s="28" t="str">
        <f>IF('12 - Device_Configuration'!AY228="","",'12 - Device_Configuration'!AY228)</f>
        <v/>
      </c>
      <c r="S227" s="28" t="str">
        <f>IF('12 - Device_Configuration'!AX228="","",'12 - Device_Configuration'!AX228)</f>
        <v/>
      </c>
      <c r="T227" s="28" t="str">
        <f>IF('12 - Device_Configuration'!AV228="","",'12 - Device_Configuration'!AV228)</f>
        <v/>
      </c>
      <c r="U227" s="28" t="str">
        <f>IF('12 - Device_Configuration'!AW228="","",'12 - Device_Configuration'!AW228)</f>
        <v/>
      </c>
      <c r="V227" s="28" t="str">
        <f>IF('12 - Device_Configuration'!BA228="","",'12 - Device_Configuration'!BA228)</f>
        <v/>
      </c>
      <c r="W227" s="28" t="str">
        <f>IF('12 - Device_Configuration'!BC228="","",'12 - Device_Configuration'!BC228)</f>
        <v/>
      </c>
      <c r="X227" s="28" t="str">
        <f>IF('12 - Device_Configuration'!BK228="","",'12 - Device_Configuration'!BK228)</f>
        <v/>
      </c>
      <c r="Y227" s="28" t="str">
        <f>IF('12 - Device_Configuration'!BB228="","",'12 - Device_Configuration'!BB228)</f>
        <v/>
      </c>
      <c r="Z227" s="28" t="str">
        <f>IF('12 - Device_Configuration'!P228="","",'12 - Device_Configuration'!P228)</f>
        <v/>
      </c>
      <c r="AA227" s="28" t="str">
        <f>IF('12 - Device_Configuration'!Q228="","",'12 - Device_Configuration'!Q228)</f>
        <v/>
      </c>
    </row>
    <row r="228" spans="1:27">
      <c r="A228" s="29"/>
      <c r="B228" s="29"/>
      <c r="C228" s="28" t="str">
        <f>IF('12 - Device_Configuration'!H229="","",'12 - Device_Configuration'!H229)</f>
        <v/>
      </c>
      <c r="D228" s="28" t="str">
        <f>IF('12 - Device_Configuration'!AE229="","",'12 - Device_Configuration'!AE229)</f>
        <v/>
      </c>
      <c r="E228" s="28" t="str">
        <f>IF('12 - Device_Configuration'!AF229="","",'12 - Device_Configuration'!AF229)</f>
        <v/>
      </c>
      <c r="F228" s="28" t="str">
        <f>IF('12 - Device_Configuration'!AG229="","",'12 - Device_Configuration'!AG229)</f>
        <v/>
      </c>
      <c r="G228" s="28" t="str">
        <f>IF('12 - Device_Configuration'!AH229="","",'12 - Device_Configuration'!AH229)</f>
        <v/>
      </c>
      <c r="H228" s="28" t="str">
        <f>IF('12 - Device_Configuration'!A229="","",'12 - Device_Configuration'!A229)</f>
        <v/>
      </c>
      <c r="I228" s="28" t="str">
        <f>IF('12 - Device_Configuration'!AI229="","",'12 - Device_Configuration'!AI229)</f>
        <v/>
      </c>
      <c r="J228" s="28" t="str">
        <f>IF('12 - Device_Configuration'!AJ229="","",'12 - Device_Configuration'!AJ229)</f>
        <v/>
      </c>
      <c r="K228" s="28" t="str">
        <f>IF('12 - Device_Configuration'!AA229="","",'12 - Device_Configuration'!AA229)</f>
        <v/>
      </c>
      <c r="L228" s="28" t="str">
        <f>IF('12 - Device_Configuration'!I229="","",'12 - Device_Configuration'!I229)</f>
        <v/>
      </c>
      <c r="M228" s="29"/>
      <c r="N228" s="28" t="str">
        <f>IF('12 - Device_Configuration'!J229="","",'12 - Device_Configuration'!J229)</f>
        <v/>
      </c>
      <c r="O228" s="28" t="str">
        <f>IF('12 - Device_Configuration'!K229="","",'12 - Device_Configuration'!K229)</f>
        <v/>
      </c>
      <c r="P228" s="28" t="str">
        <f>IF('12 - Device_Configuration'!L229="","",'12 - Device_Configuration'!L229)</f>
        <v/>
      </c>
      <c r="Q228" s="29"/>
      <c r="R228" s="28" t="str">
        <f>IF('12 - Device_Configuration'!AY229="","",'12 - Device_Configuration'!AY229)</f>
        <v/>
      </c>
      <c r="S228" s="28" t="str">
        <f>IF('12 - Device_Configuration'!AX229="","",'12 - Device_Configuration'!AX229)</f>
        <v/>
      </c>
      <c r="T228" s="28" t="str">
        <f>IF('12 - Device_Configuration'!AV229="","",'12 - Device_Configuration'!AV229)</f>
        <v/>
      </c>
      <c r="U228" s="28" t="str">
        <f>IF('12 - Device_Configuration'!AW229="","",'12 - Device_Configuration'!AW229)</f>
        <v/>
      </c>
      <c r="V228" s="28" t="str">
        <f>IF('12 - Device_Configuration'!BA229="","",'12 - Device_Configuration'!BA229)</f>
        <v/>
      </c>
      <c r="W228" s="28" t="str">
        <f>IF('12 - Device_Configuration'!BC229="","",'12 - Device_Configuration'!BC229)</f>
        <v/>
      </c>
      <c r="X228" s="28" t="str">
        <f>IF('12 - Device_Configuration'!BK229="","",'12 - Device_Configuration'!BK229)</f>
        <v/>
      </c>
      <c r="Y228" s="28" t="str">
        <f>IF('12 - Device_Configuration'!BB229="","",'12 - Device_Configuration'!BB229)</f>
        <v/>
      </c>
      <c r="Z228" s="28" t="str">
        <f>IF('12 - Device_Configuration'!P229="","",'12 - Device_Configuration'!P229)</f>
        <v/>
      </c>
      <c r="AA228" s="28" t="str">
        <f>IF('12 - Device_Configuration'!Q229="","",'12 - Device_Configuration'!Q229)</f>
        <v/>
      </c>
    </row>
    <row r="229" spans="1:27">
      <c r="A229" s="29"/>
      <c r="B229" s="29"/>
      <c r="C229" s="28" t="str">
        <f>IF('12 - Device_Configuration'!H230="","",'12 - Device_Configuration'!H230)</f>
        <v/>
      </c>
      <c r="D229" s="28" t="str">
        <f>IF('12 - Device_Configuration'!AE230="","",'12 - Device_Configuration'!AE230)</f>
        <v/>
      </c>
      <c r="E229" s="28" t="str">
        <f>IF('12 - Device_Configuration'!AF230="","",'12 - Device_Configuration'!AF230)</f>
        <v/>
      </c>
      <c r="F229" s="28" t="str">
        <f>IF('12 - Device_Configuration'!AG230="","",'12 - Device_Configuration'!AG230)</f>
        <v/>
      </c>
      <c r="G229" s="28" t="str">
        <f>IF('12 - Device_Configuration'!AH230="","",'12 - Device_Configuration'!AH230)</f>
        <v/>
      </c>
      <c r="H229" s="28" t="str">
        <f>IF('12 - Device_Configuration'!A230="","",'12 - Device_Configuration'!A230)</f>
        <v/>
      </c>
      <c r="I229" s="28" t="str">
        <f>IF('12 - Device_Configuration'!AI230="","",'12 - Device_Configuration'!AI230)</f>
        <v/>
      </c>
      <c r="J229" s="28" t="str">
        <f>IF('12 - Device_Configuration'!AJ230="","",'12 - Device_Configuration'!AJ230)</f>
        <v/>
      </c>
      <c r="K229" s="28" t="str">
        <f>IF('12 - Device_Configuration'!AA230="","",'12 - Device_Configuration'!AA230)</f>
        <v/>
      </c>
      <c r="L229" s="28" t="str">
        <f>IF('12 - Device_Configuration'!I230="","",'12 - Device_Configuration'!I230)</f>
        <v/>
      </c>
      <c r="M229" s="29"/>
      <c r="N229" s="28" t="str">
        <f>IF('12 - Device_Configuration'!J230="","",'12 - Device_Configuration'!J230)</f>
        <v/>
      </c>
      <c r="O229" s="28" t="str">
        <f>IF('12 - Device_Configuration'!K230="","",'12 - Device_Configuration'!K230)</f>
        <v/>
      </c>
      <c r="P229" s="28" t="str">
        <f>IF('12 - Device_Configuration'!L230="","",'12 - Device_Configuration'!L230)</f>
        <v/>
      </c>
      <c r="Q229" s="29"/>
      <c r="R229" s="28" t="str">
        <f>IF('12 - Device_Configuration'!AY230="","",'12 - Device_Configuration'!AY230)</f>
        <v/>
      </c>
      <c r="S229" s="28" t="str">
        <f>IF('12 - Device_Configuration'!AX230="","",'12 - Device_Configuration'!AX230)</f>
        <v/>
      </c>
      <c r="T229" s="28" t="str">
        <f>IF('12 - Device_Configuration'!AV230="","",'12 - Device_Configuration'!AV230)</f>
        <v/>
      </c>
      <c r="U229" s="28" t="str">
        <f>IF('12 - Device_Configuration'!AW230="","",'12 - Device_Configuration'!AW230)</f>
        <v/>
      </c>
      <c r="V229" s="28" t="str">
        <f>IF('12 - Device_Configuration'!BA230="","",'12 - Device_Configuration'!BA230)</f>
        <v/>
      </c>
      <c r="W229" s="28" t="str">
        <f>IF('12 - Device_Configuration'!BC230="","",'12 - Device_Configuration'!BC230)</f>
        <v/>
      </c>
      <c r="X229" s="28" t="str">
        <f>IF('12 - Device_Configuration'!BK230="","",'12 - Device_Configuration'!BK230)</f>
        <v/>
      </c>
      <c r="Y229" s="28" t="str">
        <f>IF('12 - Device_Configuration'!BB230="","",'12 - Device_Configuration'!BB230)</f>
        <v/>
      </c>
      <c r="Z229" s="28" t="str">
        <f>IF('12 - Device_Configuration'!P230="","",'12 - Device_Configuration'!P230)</f>
        <v/>
      </c>
      <c r="AA229" s="28" t="str">
        <f>IF('12 - Device_Configuration'!Q230="","",'12 - Device_Configuration'!Q230)</f>
        <v/>
      </c>
    </row>
    <row r="230" spans="1:27">
      <c r="A230" s="29"/>
      <c r="B230" s="29"/>
      <c r="C230" s="28" t="str">
        <f>IF('12 - Device_Configuration'!H231="","",'12 - Device_Configuration'!H231)</f>
        <v/>
      </c>
      <c r="D230" s="28" t="str">
        <f>IF('12 - Device_Configuration'!AE231="","",'12 - Device_Configuration'!AE231)</f>
        <v/>
      </c>
      <c r="E230" s="28" t="str">
        <f>IF('12 - Device_Configuration'!AF231="","",'12 - Device_Configuration'!AF231)</f>
        <v/>
      </c>
      <c r="F230" s="28" t="str">
        <f>IF('12 - Device_Configuration'!AG231="","",'12 - Device_Configuration'!AG231)</f>
        <v/>
      </c>
      <c r="G230" s="28" t="str">
        <f>IF('12 - Device_Configuration'!AH231="","",'12 - Device_Configuration'!AH231)</f>
        <v/>
      </c>
      <c r="H230" s="28" t="str">
        <f>IF('12 - Device_Configuration'!A231="","",'12 - Device_Configuration'!A231)</f>
        <v/>
      </c>
      <c r="I230" s="28" t="str">
        <f>IF('12 - Device_Configuration'!AI231="","",'12 - Device_Configuration'!AI231)</f>
        <v/>
      </c>
      <c r="J230" s="28" t="str">
        <f>IF('12 - Device_Configuration'!AJ231="","",'12 - Device_Configuration'!AJ231)</f>
        <v/>
      </c>
      <c r="K230" s="28" t="str">
        <f>IF('12 - Device_Configuration'!AA231="","",'12 - Device_Configuration'!AA231)</f>
        <v/>
      </c>
      <c r="L230" s="28" t="str">
        <f>IF('12 - Device_Configuration'!I231="","",'12 - Device_Configuration'!I231)</f>
        <v/>
      </c>
      <c r="M230" s="29"/>
      <c r="N230" s="28" t="str">
        <f>IF('12 - Device_Configuration'!J231="","",'12 - Device_Configuration'!J231)</f>
        <v/>
      </c>
      <c r="O230" s="28" t="str">
        <f>IF('12 - Device_Configuration'!K231="","",'12 - Device_Configuration'!K231)</f>
        <v/>
      </c>
      <c r="P230" s="28" t="str">
        <f>IF('12 - Device_Configuration'!L231="","",'12 - Device_Configuration'!L231)</f>
        <v/>
      </c>
      <c r="Q230" s="29"/>
      <c r="R230" s="28" t="str">
        <f>IF('12 - Device_Configuration'!AY231="","",'12 - Device_Configuration'!AY231)</f>
        <v/>
      </c>
      <c r="S230" s="28" t="str">
        <f>IF('12 - Device_Configuration'!AX231="","",'12 - Device_Configuration'!AX231)</f>
        <v/>
      </c>
      <c r="T230" s="28" t="str">
        <f>IF('12 - Device_Configuration'!AV231="","",'12 - Device_Configuration'!AV231)</f>
        <v/>
      </c>
      <c r="U230" s="28" t="str">
        <f>IF('12 - Device_Configuration'!AW231="","",'12 - Device_Configuration'!AW231)</f>
        <v/>
      </c>
      <c r="V230" s="28" t="str">
        <f>IF('12 - Device_Configuration'!BA231="","",'12 - Device_Configuration'!BA231)</f>
        <v/>
      </c>
      <c r="W230" s="28" t="str">
        <f>IF('12 - Device_Configuration'!BC231="","",'12 - Device_Configuration'!BC231)</f>
        <v/>
      </c>
      <c r="X230" s="28" t="str">
        <f>IF('12 - Device_Configuration'!BK231="","",'12 - Device_Configuration'!BK231)</f>
        <v/>
      </c>
      <c r="Y230" s="28" t="str">
        <f>IF('12 - Device_Configuration'!BB231="","",'12 - Device_Configuration'!BB231)</f>
        <v/>
      </c>
      <c r="Z230" s="28" t="str">
        <f>IF('12 - Device_Configuration'!P231="","",'12 - Device_Configuration'!P231)</f>
        <v/>
      </c>
      <c r="AA230" s="28" t="str">
        <f>IF('12 - Device_Configuration'!Q231="","",'12 - Device_Configuration'!Q231)</f>
        <v/>
      </c>
    </row>
    <row r="231" spans="1:27">
      <c r="A231" s="29"/>
      <c r="B231" s="29"/>
      <c r="C231" s="28" t="str">
        <f>IF('12 - Device_Configuration'!H232="","",'12 - Device_Configuration'!H232)</f>
        <v/>
      </c>
      <c r="D231" s="28" t="str">
        <f>IF('12 - Device_Configuration'!AE232="","",'12 - Device_Configuration'!AE232)</f>
        <v/>
      </c>
      <c r="E231" s="28" t="str">
        <f>IF('12 - Device_Configuration'!AF232="","",'12 - Device_Configuration'!AF232)</f>
        <v/>
      </c>
      <c r="F231" s="28" t="str">
        <f>IF('12 - Device_Configuration'!AG232="","",'12 - Device_Configuration'!AG232)</f>
        <v/>
      </c>
      <c r="G231" s="28" t="str">
        <f>IF('12 - Device_Configuration'!AH232="","",'12 - Device_Configuration'!AH232)</f>
        <v/>
      </c>
      <c r="H231" s="28" t="str">
        <f>IF('12 - Device_Configuration'!A232="","",'12 - Device_Configuration'!A232)</f>
        <v/>
      </c>
      <c r="I231" s="28" t="str">
        <f>IF('12 - Device_Configuration'!AI232="","",'12 - Device_Configuration'!AI232)</f>
        <v/>
      </c>
      <c r="J231" s="28" t="str">
        <f>IF('12 - Device_Configuration'!AJ232="","",'12 - Device_Configuration'!AJ232)</f>
        <v/>
      </c>
      <c r="K231" s="28" t="str">
        <f>IF('12 - Device_Configuration'!AA232="","",'12 - Device_Configuration'!AA232)</f>
        <v/>
      </c>
      <c r="L231" s="28" t="str">
        <f>IF('12 - Device_Configuration'!I232="","",'12 - Device_Configuration'!I232)</f>
        <v/>
      </c>
      <c r="M231" s="29"/>
      <c r="N231" s="28" t="str">
        <f>IF('12 - Device_Configuration'!J232="","",'12 - Device_Configuration'!J232)</f>
        <v/>
      </c>
      <c r="O231" s="28" t="str">
        <f>IF('12 - Device_Configuration'!K232="","",'12 - Device_Configuration'!K232)</f>
        <v/>
      </c>
      <c r="P231" s="28" t="str">
        <f>IF('12 - Device_Configuration'!L232="","",'12 - Device_Configuration'!L232)</f>
        <v/>
      </c>
      <c r="Q231" s="29"/>
      <c r="R231" s="28" t="str">
        <f>IF('12 - Device_Configuration'!AY232="","",'12 - Device_Configuration'!AY232)</f>
        <v/>
      </c>
      <c r="S231" s="28" t="str">
        <f>IF('12 - Device_Configuration'!AX232="","",'12 - Device_Configuration'!AX232)</f>
        <v/>
      </c>
      <c r="T231" s="28" t="str">
        <f>IF('12 - Device_Configuration'!AV232="","",'12 - Device_Configuration'!AV232)</f>
        <v/>
      </c>
      <c r="U231" s="28" t="str">
        <f>IF('12 - Device_Configuration'!AW232="","",'12 - Device_Configuration'!AW232)</f>
        <v/>
      </c>
      <c r="V231" s="28" t="str">
        <f>IF('12 - Device_Configuration'!BA232="","",'12 - Device_Configuration'!BA232)</f>
        <v/>
      </c>
      <c r="W231" s="28" t="str">
        <f>IF('12 - Device_Configuration'!BC232="","",'12 - Device_Configuration'!BC232)</f>
        <v/>
      </c>
      <c r="X231" s="28" t="str">
        <f>IF('12 - Device_Configuration'!BK232="","",'12 - Device_Configuration'!BK232)</f>
        <v/>
      </c>
      <c r="Y231" s="28" t="str">
        <f>IF('12 - Device_Configuration'!BB232="","",'12 - Device_Configuration'!BB232)</f>
        <v/>
      </c>
      <c r="Z231" s="28" t="str">
        <f>IF('12 - Device_Configuration'!P232="","",'12 - Device_Configuration'!P232)</f>
        <v/>
      </c>
      <c r="AA231" s="28" t="str">
        <f>IF('12 - Device_Configuration'!Q232="","",'12 - Device_Configuration'!Q232)</f>
        <v/>
      </c>
    </row>
    <row r="232" spans="1:27">
      <c r="A232" s="29"/>
      <c r="B232" s="29"/>
      <c r="C232" s="28" t="str">
        <f>IF('12 - Device_Configuration'!H233="","",'12 - Device_Configuration'!H233)</f>
        <v/>
      </c>
      <c r="D232" s="28" t="str">
        <f>IF('12 - Device_Configuration'!AE233="","",'12 - Device_Configuration'!AE233)</f>
        <v/>
      </c>
      <c r="E232" s="28" t="str">
        <f>IF('12 - Device_Configuration'!AF233="","",'12 - Device_Configuration'!AF233)</f>
        <v/>
      </c>
      <c r="F232" s="28" t="str">
        <f>IF('12 - Device_Configuration'!AG233="","",'12 - Device_Configuration'!AG233)</f>
        <v/>
      </c>
      <c r="G232" s="28" t="str">
        <f>IF('12 - Device_Configuration'!AH233="","",'12 - Device_Configuration'!AH233)</f>
        <v/>
      </c>
      <c r="H232" s="28" t="str">
        <f>IF('12 - Device_Configuration'!A233="","",'12 - Device_Configuration'!A233)</f>
        <v/>
      </c>
      <c r="I232" s="28" t="str">
        <f>IF('12 - Device_Configuration'!AI233="","",'12 - Device_Configuration'!AI233)</f>
        <v/>
      </c>
      <c r="J232" s="28" t="str">
        <f>IF('12 - Device_Configuration'!AJ233="","",'12 - Device_Configuration'!AJ233)</f>
        <v/>
      </c>
      <c r="K232" s="28" t="str">
        <f>IF('12 - Device_Configuration'!AA233="","",'12 - Device_Configuration'!AA233)</f>
        <v/>
      </c>
      <c r="L232" s="28" t="str">
        <f>IF('12 - Device_Configuration'!I233="","",'12 - Device_Configuration'!I233)</f>
        <v/>
      </c>
      <c r="M232" s="29"/>
      <c r="N232" s="28" t="str">
        <f>IF('12 - Device_Configuration'!J233="","",'12 - Device_Configuration'!J233)</f>
        <v/>
      </c>
      <c r="O232" s="28" t="str">
        <f>IF('12 - Device_Configuration'!K233="","",'12 - Device_Configuration'!K233)</f>
        <v/>
      </c>
      <c r="P232" s="28" t="str">
        <f>IF('12 - Device_Configuration'!L233="","",'12 - Device_Configuration'!L233)</f>
        <v/>
      </c>
      <c r="Q232" s="29"/>
      <c r="R232" s="28" t="str">
        <f>IF('12 - Device_Configuration'!AY233="","",'12 - Device_Configuration'!AY233)</f>
        <v/>
      </c>
      <c r="S232" s="28" t="str">
        <f>IF('12 - Device_Configuration'!AX233="","",'12 - Device_Configuration'!AX233)</f>
        <v/>
      </c>
      <c r="T232" s="28" t="str">
        <f>IF('12 - Device_Configuration'!AV233="","",'12 - Device_Configuration'!AV233)</f>
        <v/>
      </c>
      <c r="U232" s="28" t="str">
        <f>IF('12 - Device_Configuration'!AW233="","",'12 - Device_Configuration'!AW233)</f>
        <v/>
      </c>
      <c r="V232" s="28" t="str">
        <f>IF('12 - Device_Configuration'!BA233="","",'12 - Device_Configuration'!BA233)</f>
        <v/>
      </c>
      <c r="W232" s="28" t="str">
        <f>IF('12 - Device_Configuration'!BC233="","",'12 - Device_Configuration'!BC233)</f>
        <v/>
      </c>
      <c r="X232" s="28" t="str">
        <f>IF('12 - Device_Configuration'!BK233="","",'12 - Device_Configuration'!BK233)</f>
        <v/>
      </c>
      <c r="Y232" s="28" t="str">
        <f>IF('12 - Device_Configuration'!BB233="","",'12 - Device_Configuration'!BB233)</f>
        <v/>
      </c>
      <c r="Z232" s="28" t="str">
        <f>IF('12 - Device_Configuration'!P233="","",'12 - Device_Configuration'!P233)</f>
        <v/>
      </c>
      <c r="AA232" s="28" t="str">
        <f>IF('12 - Device_Configuration'!Q233="","",'12 - Device_Configuration'!Q233)</f>
        <v/>
      </c>
    </row>
    <row r="233" spans="1:27">
      <c r="A233" s="29"/>
      <c r="B233" s="29"/>
      <c r="C233" s="28" t="str">
        <f>IF('12 - Device_Configuration'!H234="","",'12 - Device_Configuration'!H234)</f>
        <v/>
      </c>
      <c r="D233" s="28" t="str">
        <f>IF('12 - Device_Configuration'!AE234="","",'12 - Device_Configuration'!AE234)</f>
        <v/>
      </c>
      <c r="E233" s="28" t="str">
        <f>IF('12 - Device_Configuration'!AF234="","",'12 - Device_Configuration'!AF234)</f>
        <v/>
      </c>
      <c r="F233" s="28" t="str">
        <f>IF('12 - Device_Configuration'!AG234="","",'12 - Device_Configuration'!AG234)</f>
        <v/>
      </c>
      <c r="G233" s="28" t="str">
        <f>IF('12 - Device_Configuration'!AH234="","",'12 - Device_Configuration'!AH234)</f>
        <v/>
      </c>
      <c r="H233" s="28" t="str">
        <f>IF('12 - Device_Configuration'!A234="","",'12 - Device_Configuration'!A234)</f>
        <v/>
      </c>
      <c r="I233" s="28" t="str">
        <f>IF('12 - Device_Configuration'!AI234="","",'12 - Device_Configuration'!AI234)</f>
        <v/>
      </c>
      <c r="J233" s="28" t="str">
        <f>IF('12 - Device_Configuration'!AJ234="","",'12 - Device_Configuration'!AJ234)</f>
        <v/>
      </c>
      <c r="K233" s="28" t="str">
        <f>IF('12 - Device_Configuration'!AA234="","",'12 - Device_Configuration'!AA234)</f>
        <v/>
      </c>
      <c r="L233" s="28" t="str">
        <f>IF('12 - Device_Configuration'!I234="","",'12 - Device_Configuration'!I234)</f>
        <v/>
      </c>
      <c r="M233" s="29"/>
      <c r="N233" s="28" t="str">
        <f>IF('12 - Device_Configuration'!J234="","",'12 - Device_Configuration'!J234)</f>
        <v/>
      </c>
      <c r="O233" s="28" t="str">
        <f>IF('12 - Device_Configuration'!K234="","",'12 - Device_Configuration'!K234)</f>
        <v/>
      </c>
      <c r="P233" s="28" t="str">
        <f>IF('12 - Device_Configuration'!L234="","",'12 - Device_Configuration'!L234)</f>
        <v/>
      </c>
      <c r="Q233" s="29"/>
      <c r="R233" s="28" t="str">
        <f>IF('12 - Device_Configuration'!AY234="","",'12 - Device_Configuration'!AY234)</f>
        <v/>
      </c>
      <c r="S233" s="28" t="str">
        <f>IF('12 - Device_Configuration'!AX234="","",'12 - Device_Configuration'!AX234)</f>
        <v/>
      </c>
      <c r="T233" s="28" t="str">
        <f>IF('12 - Device_Configuration'!AV234="","",'12 - Device_Configuration'!AV234)</f>
        <v/>
      </c>
      <c r="U233" s="28" t="str">
        <f>IF('12 - Device_Configuration'!AW234="","",'12 - Device_Configuration'!AW234)</f>
        <v/>
      </c>
      <c r="V233" s="28" t="str">
        <f>IF('12 - Device_Configuration'!BA234="","",'12 - Device_Configuration'!BA234)</f>
        <v/>
      </c>
      <c r="W233" s="28" t="str">
        <f>IF('12 - Device_Configuration'!BC234="","",'12 - Device_Configuration'!BC234)</f>
        <v/>
      </c>
      <c r="X233" s="28" t="str">
        <f>IF('12 - Device_Configuration'!BK234="","",'12 - Device_Configuration'!BK234)</f>
        <v/>
      </c>
      <c r="Y233" s="28" t="str">
        <f>IF('12 - Device_Configuration'!BB234="","",'12 - Device_Configuration'!BB234)</f>
        <v/>
      </c>
      <c r="Z233" s="28" t="str">
        <f>IF('12 - Device_Configuration'!P234="","",'12 - Device_Configuration'!P234)</f>
        <v/>
      </c>
      <c r="AA233" s="28" t="str">
        <f>IF('12 - Device_Configuration'!Q234="","",'12 - Device_Configuration'!Q234)</f>
        <v/>
      </c>
    </row>
    <row r="234" spans="1:27">
      <c r="A234" s="29"/>
      <c r="B234" s="29"/>
      <c r="C234" s="28" t="str">
        <f>IF('12 - Device_Configuration'!H235="","",'12 - Device_Configuration'!H235)</f>
        <v/>
      </c>
      <c r="D234" s="28" t="str">
        <f>IF('12 - Device_Configuration'!AE235="","",'12 - Device_Configuration'!AE235)</f>
        <v/>
      </c>
      <c r="E234" s="28" t="str">
        <f>IF('12 - Device_Configuration'!AF235="","",'12 - Device_Configuration'!AF235)</f>
        <v/>
      </c>
      <c r="F234" s="28" t="str">
        <f>IF('12 - Device_Configuration'!AG235="","",'12 - Device_Configuration'!AG235)</f>
        <v/>
      </c>
      <c r="G234" s="28" t="str">
        <f>IF('12 - Device_Configuration'!AH235="","",'12 - Device_Configuration'!AH235)</f>
        <v/>
      </c>
      <c r="H234" s="28" t="str">
        <f>IF('12 - Device_Configuration'!A235="","",'12 - Device_Configuration'!A235)</f>
        <v/>
      </c>
      <c r="I234" s="28" t="str">
        <f>IF('12 - Device_Configuration'!AI235="","",'12 - Device_Configuration'!AI235)</f>
        <v/>
      </c>
      <c r="J234" s="28" t="str">
        <f>IF('12 - Device_Configuration'!AJ235="","",'12 - Device_Configuration'!AJ235)</f>
        <v/>
      </c>
      <c r="K234" s="28" t="str">
        <f>IF('12 - Device_Configuration'!AA235="","",'12 - Device_Configuration'!AA235)</f>
        <v/>
      </c>
      <c r="L234" s="28" t="str">
        <f>IF('12 - Device_Configuration'!I235="","",'12 - Device_Configuration'!I235)</f>
        <v/>
      </c>
      <c r="M234" s="29"/>
      <c r="N234" s="28" t="str">
        <f>IF('12 - Device_Configuration'!J235="","",'12 - Device_Configuration'!J235)</f>
        <v/>
      </c>
      <c r="O234" s="28" t="str">
        <f>IF('12 - Device_Configuration'!K235="","",'12 - Device_Configuration'!K235)</f>
        <v/>
      </c>
      <c r="P234" s="28" t="str">
        <f>IF('12 - Device_Configuration'!L235="","",'12 - Device_Configuration'!L235)</f>
        <v/>
      </c>
      <c r="Q234" s="29"/>
      <c r="R234" s="28" t="str">
        <f>IF('12 - Device_Configuration'!AY235="","",'12 - Device_Configuration'!AY235)</f>
        <v/>
      </c>
      <c r="S234" s="28" t="str">
        <f>IF('12 - Device_Configuration'!AX235="","",'12 - Device_Configuration'!AX235)</f>
        <v/>
      </c>
      <c r="T234" s="28" t="str">
        <f>IF('12 - Device_Configuration'!AV235="","",'12 - Device_Configuration'!AV235)</f>
        <v/>
      </c>
      <c r="U234" s="28" t="str">
        <f>IF('12 - Device_Configuration'!AW235="","",'12 - Device_Configuration'!AW235)</f>
        <v/>
      </c>
      <c r="V234" s="28" t="str">
        <f>IF('12 - Device_Configuration'!BA235="","",'12 - Device_Configuration'!BA235)</f>
        <v/>
      </c>
      <c r="W234" s="28" t="str">
        <f>IF('12 - Device_Configuration'!BC235="","",'12 - Device_Configuration'!BC235)</f>
        <v/>
      </c>
      <c r="X234" s="28" t="str">
        <f>IF('12 - Device_Configuration'!BK235="","",'12 - Device_Configuration'!BK235)</f>
        <v/>
      </c>
      <c r="Y234" s="28" t="str">
        <f>IF('12 - Device_Configuration'!BB235="","",'12 - Device_Configuration'!BB235)</f>
        <v/>
      </c>
      <c r="Z234" s="28" t="str">
        <f>IF('12 - Device_Configuration'!P235="","",'12 - Device_Configuration'!P235)</f>
        <v/>
      </c>
      <c r="AA234" s="28" t="str">
        <f>IF('12 - Device_Configuration'!Q235="","",'12 - Device_Configuration'!Q235)</f>
        <v/>
      </c>
    </row>
    <row r="235" spans="1:27">
      <c r="A235" s="29"/>
      <c r="B235" s="29"/>
      <c r="C235" s="28" t="str">
        <f>IF('12 - Device_Configuration'!H236="","",'12 - Device_Configuration'!H236)</f>
        <v/>
      </c>
      <c r="D235" s="28" t="str">
        <f>IF('12 - Device_Configuration'!AE236="","",'12 - Device_Configuration'!AE236)</f>
        <v/>
      </c>
      <c r="E235" s="28" t="str">
        <f>IF('12 - Device_Configuration'!AF236="","",'12 - Device_Configuration'!AF236)</f>
        <v/>
      </c>
      <c r="F235" s="28" t="str">
        <f>IF('12 - Device_Configuration'!AG236="","",'12 - Device_Configuration'!AG236)</f>
        <v/>
      </c>
      <c r="G235" s="28" t="str">
        <f>IF('12 - Device_Configuration'!AH236="","",'12 - Device_Configuration'!AH236)</f>
        <v/>
      </c>
      <c r="H235" s="28" t="str">
        <f>IF('12 - Device_Configuration'!A236="","",'12 - Device_Configuration'!A236)</f>
        <v/>
      </c>
      <c r="I235" s="28" t="str">
        <f>IF('12 - Device_Configuration'!AI236="","",'12 - Device_Configuration'!AI236)</f>
        <v/>
      </c>
      <c r="J235" s="28" t="str">
        <f>IF('12 - Device_Configuration'!AJ236="","",'12 - Device_Configuration'!AJ236)</f>
        <v/>
      </c>
      <c r="K235" s="28" t="str">
        <f>IF('12 - Device_Configuration'!AA236="","",'12 - Device_Configuration'!AA236)</f>
        <v/>
      </c>
      <c r="L235" s="28" t="str">
        <f>IF('12 - Device_Configuration'!I236="","",'12 - Device_Configuration'!I236)</f>
        <v/>
      </c>
      <c r="M235" s="29"/>
      <c r="N235" s="28" t="str">
        <f>IF('12 - Device_Configuration'!J236="","",'12 - Device_Configuration'!J236)</f>
        <v/>
      </c>
      <c r="O235" s="28" t="str">
        <f>IF('12 - Device_Configuration'!K236="","",'12 - Device_Configuration'!K236)</f>
        <v/>
      </c>
      <c r="P235" s="28" t="str">
        <f>IF('12 - Device_Configuration'!L236="","",'12 - Device_Configuration'!L236)</f>
        <v/>
      </c>
      <c r="Q235" s="29"/>
      <c r="R235" s="28" t="str">
        <f>IF('12 - Device_Configuration'!AY236="","",'12 - Device_Configuration'!AY236)</f>
        <v/>
      </c>
      <c r="S235" s="28" t="str">
        <f>IF('12 - Device_Configuration'!AX236="","",'12 - Device_Configuration'!AX236)</f>
        <v/>
      </c>
      <c r="T235" s="28" t="str">
        <f>IF('12 - Device_Configuration'!AV236="","",'12 - Device_Configuration'!AV236)</f>
        <v/>
      </c>
      <c r="U235" s="28" t="str">
        <f>IF('12 - Device_Configuration'!AW236="","",'12 - Device_Configuration'!AW236)</f>
        <v/>
      </c>
      <c r="V235" s="28" t="str">
        <f>IF('12 - Device_Configuration'!BA236="","",'12 - Device_Configuration'!BA236)</f>
        <v/>
      </c>
      <c r="W235" s="28" t="str">
        <f>IF('12 - Device_Configuration'!BC236="","",'12 - Device_Configuration'!BC236)</f>
        <v/>
      </c>
      <c r="X235" s="28" t="str">
        <f>IF('12 - Device_Configuration'!BK236="","",'12 - Device_Configuration'!BK236)</f>
        <v/>
      </c>
      <c r="Y235" s="28" t="str">
        <f>IF('12 - Device_Configuration'!BB236="","",'12 - Device_Configuration'!BB236)</f>
        <v/>
      </c>
      <c r="Z235" s="28" t="str">
        <f>IF('12 - Device_Configuration'!P236="","",'12 - Device_Configuration'!P236)</f>
        <v/>
      </c>
      <c r="AA235" s="28" t="str">
        <f>IF('12 - Device_Configuration'!Q236="","",'12 - Device_Configuration'!Q236)</f>
        <v/>
      </c>
    </row>
    <row r="236" spans="1:27">
      <c r="A236" s="29"/>
      <c r="B236" s="29"/>
      <c r="C236" s="28" t="str">
        <f>IF('12 - Device_Configuration'!H237="","",'12 - Device_Configuration'!H237)</f>
        <v/>
      </c>
      <c r="D236" s="28" t="str">
        <f>IF('12 - Device_Configuration'!AE237="","",'12 - Device_Configuration'!AE237)</f>
        <v/>
      </c>
      <c r="E236" s="28" t="str">
        <f>IF('12 - Device_Configuration'!AF237="","",'12 - Device_Configuration'!AF237)</f>
        <v/>
      </c>
      <c r="F236" s="28" t="str">
        <f>IF('12 - Device_Configuration'!AG237="","",'12 - Device_Configuration'!AG237)</f>
        <v/>
      </c>
      <c r="G236" s="28" t="str">
        <f>IF('12 - Device_Configuration'!AH237="","",'12 - Device_Configuration'!AH237)</f>
        <v/>
      </c>
      <c r="H236" s="28" t="str">
        <f>IF('12 - Device_Configuration'!A237="","",'12 - Device_Configuration'!A237)</f>
        <v/>
      </c>
      <c r="I236" s="28" t="str">
        <f>IF('12 - Device_Configuration'!AI237="","",'12 - Device_Configuration'!AI237)</f>
        <v/>
      </c>
      <c r="J236" s="28" t="str">
        <f>IF('12 - Device_Configuration'!AJ237="","",'12 - Device_Configuration'!AJ237)</f>
        <v/>
      </c>
      <c r="K236" s="28" t="str">
        <f>IF('12 - Device_Configuration'!AA237="","",'12 - Device_Configuration'!AA237)</f>
        <v/>
      </c>
      <c r="L236" s="28" t="str">
        <f>IF('12 - Device_Configuration'!I237="","",'12 - Device_Configuration'!I237)</f>
        <v/>
      </c>
      <c r="M236" s="29"/>
      <c r="N236" s="28" t="str">
        <f>IF('12 - Device_Configuration'!J237="","",'12 - Device_Configuration'!J237)</f>
        <v/>
      </c>
      <c r="O236" s="28" t="str">
        <f>IF('12 - Device_Configuration'!K237="","",'12 - Device_Configuration'!K237)</f>
        <v/>
      </c>
      <c r="P236" s="28" t="str">
        <f>IF('12 - Device_Configuration'!L237="","",'12 - Device_Configuration'!L237)</f>
        <v/>
      </c>
      <c r="Q236" s="29"/>
      <c r="R236" s="28" t="str">
        <f>IF('12 - Device_Configuration'!AY237="","",'12 - Device_Configuration'!AY237)</f>
        <v/>
      </c>
      <c r="S236" s="28" t="str">
        <f>IF('12 - Device_Configuration'!AX237="","",'12 - Device_Configuration'!AX237)</f>
        <v/>
      </c>
      <c r="T236" s="28" t="str">
        <f>IF('12 - Device_Configuration'!AV237="","",'12 - Device_Configuration'!AV237)</f>
        <v/>
      </c>
      <c r="U236" s="28" t="str">
        <f>IF('12 - Device_Configuration'!AW237="","",'12 - Device_Configuration'!AW237)</f>
        <v/>
      </c>
      <c r="V236" s="28" t="str">
        <f>IF('12 - Device_Configuration'!BA237="","",'12 - Device_Configuration'!BA237)</f>
        <v/>
      </c>
      <c r="W236" s="28" t="str">
        <f>IF('12 - Device_Configuration'!BC237="","",'12 - Device_Configuration'!BC237)</f>
        <v/>
      </c>
      <c r="X236" s="28" t="str">
        <f>IF('12 - Device_Configuration'!BK237="","",'12 - Device_Configuration'!BK237)</f>
        <v/>
      </c>
      <c r="Y236" s="28" t="str">
        <f>IF('12 - Device_Configuration'!BB237="","",'12 - Device_Configuration'!BB237)</f>
        <v/>
      </c>
      <c r="Z236" s="28" t="str">
        <f>IF('12 - Device_Configuration'!P237="","",'12 - Device_Configuration'!P237)</f>
        <v/>
      </c>
      <c r="AA236" s="28" t="str">
        <f>IF('12 - Device_Configuration'!Q237="","",'12 - Device_Configuration'!Q237)</f>
        <v/>
      </c>
    </row>
    <row r="237" spans="1:27">
      <c r="A237" s="29"/>
      <c r="B237" s="29"/>
      <c r="C237" s="28" t="str">
        <f>IF('12 - Device_Configuration'!H238="","",'12 - Device_Configuration'!H238)</f>
        <v/>
      </c>
      <c r="D237" s="28" t="str">
        <f>IF('12 - Device_Configuration'!AE238="","",'12 - Device_Configuration'!AE238)</f>
        <v/>
      </c>
      <c r="E237" s="28" t="str">
        <f>IF('12 - Device_Configuration'!AF238="","",'12 - Device_Configuration'!AF238)</f>
        <v/>
      </c>
      <c r="F237" s="28" t="str">
        <f>IF('12 - Device_Configuration'!AG238="","",'12 - Device_Configuration'!AG238)</f>
        <v/>
      </c>
      <c r="G237" s="28" t="str">
        <f>IF('12 - Device_Configuration'!AH238="","",'12 - Device_Configuration'!AH238)</f>
        <v/>
      </c>
      <c r="H237" s="28" t="str">
        <f>IF('12 - Device_Configuration'!A238="","",'12 - Device_Configuration'!A238)</f>
        <v/>
      </c>
      <c r="I237" s="28" t="str">
        <f>IF('12 - Device_Configuration'!AI238="","",'12 - Device_Configuration'!AI238)</f>
        <v/>
      </c>
      <c r="J237" s="28" t="str">
        <f>IF('12 - Device_Configuration'!AJ238="","",'12 - Device_Configuration'!AJ238)</f>
        <v/>
      </c>
      <c r="K237" s="28" t="str">
        <f>IF('12 - Device_Configuration'!AA238="","",'12 - Device_Configuration'!AA238)</f>
        <v/>
      </c>
      <c r="L237" s="28" t="str">
        <f>IF('12 - Device_Configuration'!I238="","",'12 - Device_Configuration'!I238)</f>
        <v/>
      </c>
      <c r="M237" s="29"/>
      <c r="N237" s="28" t="str">
        <f>IF('12 - Device_Configuration'!J238="","",'12 - Device_Configuration'!J238)</f>
        <v/>
      </c>
      <c r="O237" s="28" t="str">
        <f>IF('12 - Device_Configuration'!K238="","",'12 - Device_Configuration'!K238)</f>
        <v/>
      </c>
      <c r="P237" s="28" t="str">
        <f>IF('12 - Device_Configuration'!L238="","",'12 - Device_Configuration'!L238)</f>
        <v/>
      </c>
      <c r="Q237" s="29"/>
      <c r="R237" s="28" t="str">
        <f>IF('12 - Device_Configuration'!AY238="","",'12 - Device_Configuration'!AY238)</f>
        <v/>
      </c>
      <c r="S237" s="28" t="str">
        <f>IF('12 - Device_Configuration'!AX238="","",'12 - Device_Configuration'!AX238)</f>
        <v/>
      </c>
      <c r="T237" s="28" t="str">
        <f>IF('12 - Device_Configuration'!AV238="","",'12 - Device_Configuration'!AV238)</f>
        <v/>
      </c>
      <c r="U237" s="28" t="str">
        <f>IF('12 - Device_Configuration'!AW238="","",'12 - Device_Configuration'!AW238)</f>
        <v/>
      </c>
      <c r="V237" s="28" t="str">
        <f>IF('12 - Device_Configuration'!BA238="","",'12 - Device_Configuration'!BA238)</f>
        <v/>
      </c>
      <c r="W237" s="28" t="str">
        <f>IF('12 - Device_Configuration'!BC238="","",'12 - Device_Configuration'!BC238)</f>
        <v/>
      </c>
      <c r="X237" s="28" t="str">
        <f>IF('12 - Device_Configuration'!BK238="","",'12 - Device_Configuration'!BK238)</f>
        <v/>
      </c>
      <c r="Y237" s="28" t="str">
        <f>IF('12 - Device_Configuration'!BB238="","",'12 - Device_Configuration'!BB238)</f>
        <v/>
      </c>
      <c r="Z237" s="28" t="str">
        <f>IF('12 - Device_Configuration'!P238="","",'12 - Device_Configuration'!P238)</f>
        <v/>
      </c>
      <c r="AA237" s="28" t="str">
        <f>IF('12 - Device_Configuration'!Q238="","",'12 - Device_Configuration'!Q238)</f>
        <v/>
      </c>
    </row>
    <row r="238" spans="1:27">
      <c r="A238" s="29"/>
      <c r="B238" s="29"/>
      <c r="C238" s="28" t="str">
        <f>IF('12 - Device_Configuration'!H239="","",'12 - Device_Configuration'!H239)</f>
        <v/>
      </c>
      <c r="D238" s="28" t="str">
        <f>IF('12 - Device_Configuration'!AE239="","",'12 - Device_Configuration'!AE239)</f>
        <v/>
      </c>
      <c r="E238" s="28" t="str">
        <f>IF('12 - Device_Configuration'!AF239="","",'12 - Device_Configuration'!AF239)</f>
        <v/>
      </c>
      <c r="F238" s="28" t="str">
        <f>IF('12 - Device_Configuration'!AG239="","",'12 - Device_Configuration'!AG239)</f>
        <v/>
      </c>
      <c r="G238" s="28" t="str">
        <f>IF('12 - Device_Configuration'!AH239="","",'12 - Device_Configuration'!AH239)</f>
        <v/>
      </c>
      <c r="H238" s="28" t="str">
        <f>IF('12 - Device_Configuration'!A239="","",'12 - Device_Configuration'!A239)</f>
        <v/>
      </c>
      <c r="I238" s="28" t="str">
        <f>IF('12 - Device_Configuration'!AI239="","",'12 - Device_Configuration'!AI239)</f>
        <v/>
      </c>
      <c r="J238" s="28" t="str">
        <f>IF('12 - Device_Configuration'!AJ239="","",'12 - Device_Configuration'!AJ239)</f>
        <v/>
      </c>
      <c r="K238" s="28" t="str">
        <f>IF('12 - Device_Configuration'!AA239="","",'12 - Device_Configuration'!AA239)</f>
        <v/>
      </c>
      <c r="L238" s="28" t="str">
        <f>IF('12 - Device_Configuration'!I239="","",'12 - Device_Configuration'!I239)</f>
        <v/>
      </c>
      <c r="M238" s="29"/>
      <c r="N238" s="28" t="str">
        <f>IF('12 - Device_Configuration'!J239="","",'12 - Device_Configuration'!J239)</f>
        <v/>
      </c>
      <c r="O238" s="28" t="str">
        <f>IF('12 - Device_Configuration'!K239="","",'12 - Device_Configuration'!K239)</f>
        <v/>
      </c>
      <c r="P238" s="28" t="str">
        <f>IF('12 - Device_Configuration'!L239="","",'12 - Device_Configuration'!L239)</f>
        <v/>
      </c>
      <c r="Q238" s="29"/>
      <c r="R238" s="28" t="str">
        <f>IF('12 - Device_Configuration'!AY239="","",'12 - Device_Configuration'!AY239)</f>
        <v/>
      </c>
      <c r="S238" s="28" t="str">
        <f>IF('12 - Device_Configuration'!AX239="","",'12 - Device_Configuration'!AX239)</f>
        <v/>
      </c>
      <c r="T238" s="28" t="str">
        <f>IF('12 - Device_Configuration'!AV239="","",'12 - Device_Configuration'!AV239)</f>
        <v/>
      </c>
      <c r="U238" s="28" t="str">
        <f>IF('12 - Device_Configuration'!AW239="","",'12 - Device_Configuration'!AW239)</f>
        <v/>
      </c>
      <c r="V238" s="28" t="str">
        <f>IF('12 - Device_Configuration'!BA239="","",'12 - Device_Configuration'!BA239)</f>
        <v/>
      </c>
      <c r="W238" s="28" t="str">
        <f>IF('12 - Device_Configuration'!BC239="","",'12 - Device_Configuration'!BC239)</f>
        <v/>
      </c>
      <c r="X238" s="28" t="str">
        <f>IF('12 - Device_Configuration'!BK239="","",'12 - Device_Configuration'!BK239)</f>
        <v/>
      </c>
      <c r="Y238" s="28" t="str">
        <f>IF('12 - Device_Configuration'!BB239="","",'12 - Device_Configuration'!BB239)</f>
        <v/>
      </c>
      <c r="Z238" s="28" t="str">
        <f>IF('12 - Device_Configuration'!P239="","",'12 - Device_Configuration'!P239)</f>
        <v/>
      </c>
      <c r="AA238" s="28" t="str">
        <f>IF('12 - Device_Configuration'!Q239="","",'12 - Device_Configuration'!Q239)</f>
        <v/>
      </c>
    </row>
    <row r="239" spans="1:27">
      <c r="A239" s="29"/>
      <c r="B239" s="29"/>
      <c r="C239" s="28" t="str">
        <f>IF('12 - Device_Configuration'!H240="","",'12 - Device_Configuration'!H240)</f>
        <v/>
      </c>
      <c r="D239" s="28" t="str">
        <f>IF('12 - Device_Configuration'!AE240="","",'12 - Device_Configuration'!AE240)</f>
        <v/>
      </c>
      <c r="E239" s="28" t="str">
        <f>IF('12 - Device_Configuration'!AF240="","",'12 - Device_Configuration'!AF240)</f>
        <v/>
      </c>
      <c r="F239" s="28" t="str">
        <f>IF('12 - Device_Configuration'!AG240="","",'12 - Device_Configuration'!AG240)</f>
        <v/>
      </c>
      <c r="G239" s="28" t="str">
        <f>IF('12 - Device_Configuration'!AH240="","",'12 - Device_Configuration'!AH240)</f>
        <v/>
      </c>
      <c r="H239" s="28" t="str">
        <f>IF('12 - Device_Configuration'!A240="","",'12 - Device_Configuration'!A240)</f>
        <v/>
      </c>
      <c r="I239" s="28" t="str">
        <f>IF('12 - Device_Configuration'!AI240="","",'12 - Device_Configuration'!AI240)</f>
        <v/>
      </c>
      <c r="J239" s="28" t="str">
        <f>IF('12 - Device_Configuration'!AJ240="","",'12 - Device_Configuration'!AJ240)</f>
        <v/>
      </c>
      <c r="K239" s="28" t="str">
        <f>IF('12 - Device_Configuration'!AA240="","",'12 - Device_Configuration'!AA240)</f>
        <v/>
      </c>
      <c r="L239" s="28" t="str">
        <f>IF('12 - Device_Configuration'!I240="","",'12 - Device_Configuration'!I240)</f>
        <v/>
      </c>
      <c r="M239" s="29"/>
      <c r="N239" s="28" t="str">
        <f>IF('12 - Device_Configuration'!J240="","",'12 - Device_Configuration'!J240)</f>
        <v/>
      </c>
      <c r="O239" s="28" t="str">
        <f>IF('12 - Device_Configuration'!K240="","",'12 - Device_Configuration'!K240)</f>
        <v/>
      </c>
      <c r="P239" s="28" t="str">
        <f>IF('12 - Device_Configuration'!L240="","",'12 - Device_Configuration'!L240)</f>
        <v/>
      </c>
      <c r="Q239" s="29"/>
      <c r="R239" s="28" t="str">
        <f>IF('12 - Device_Configuration'!AY240="","",'12 - Device_Configuration'!AY240)</f>
        <v/>
      </c>
      <c r="S239" s="28" t="str">
        <f>IF('12 - Device_Configuration'!AX240="","",'12 - Device_Configuration'!AX240)</f>
        <v/>
      </c>
      <c r="T239" s="28" t="str">
        <f>IF('12 - Device_Configuration'!AV240="","",'12 - Device_Configuration'!AV240)</f>
        <v/>
      </c>
      <c r="U239" s="28" t="str">
        <f>IF('12 - Device_Configuration'!AW240="","",'12 - Device_Configuration'!AW240)</f>
        <v/>
      </c>
      <c r="V239" s="28" t="str">
        <f>IF('12 - Device_Configuration'!BA240="","",'12 - Device_Configuration'!BA240)</f>
        <v/>
      </c>
      <c r="W239" s="28" t="str">
        <f>IF('12 - Device_Configuration'!BC240="","",'12 - Device_Configuration'!BC240)</f>
        <v/>
      </c>
      <c r="X239" s="28" t="str">
        <f>IF('12 - Device_Configuration'!BK240="","",'12 - Device_Configuration'!BK240)</f>
        <v/>
      </c>
      <c r="Y239" s="28" t="str">
        <f>IF('12 - Device_Configuration'!BB240="","",'12 - Device_Configuration'!BB240)</f>
        <v/>
      </c>
      <c r="Z239" s="28" t="str">
        <f>IF('12 - Device_Configuration'!P240="","",'12 - Device_Configuration'!P240)</f>
        <v/>
      </c>
      <c r="AA239" s="28" t="str">
        <f>IF('12 - Device_Configuration'!Q240="","",'12 - Device_Configuration'!Q240)</f>
        <v/>
      </c>
    </row>
    <row r="240" spans="1:27">
      <c r="A240" s="29"/>
      <c r="B240" s="29"/>
      <c r="C240" s="28" t="str">
        <f>IF('12 - Device_Configuration'!H241="","",'12 - Device_Configuration'!H241)</f>
        <v/>
      </c>
      <c r="D240" s="28" t="str">
        <f>IF('12 - Device_Configuration'!AE241="","",'12 - Device_Configuration'!AE241)</f>
        <v/>
      </c>
      <c r="E240" s="28" t="str">
        <f>IF('12 - Device_Configuration'!AF241="","",'12 - Device_Configuration'!AF241)</f>
        <v/>
      </c>
      <c r="F240" s="28" t="str">
        <f>IF('12 - Device_Configuration'!AG241="","",'12 - Device_Configuration'!AG241)</f>
        <v/>
      </c>
      <c r="G240" s="28" t="str">
        <f>IF('12 - Device_Configuration'!AH241="","",'12 - Device_Configuration'!AH241)</f>
        <v/>
      </c>
      <c r="H240" s="28" t="str">
        <f>IF('12 - Device_Configuration'!A241="","",'12 - Device_Configuration'!A241)</f>
        <v/>
      </c>
      <c r="I240" s="28" t="str">
        <f>IF('12 - Device_Configuration'!AI241="","",'12 - Device_Configuration'!AI241)</f>
        <v/>
      </c>
      <c r="J240" s="28" t="str">
        <f>IF('12 - Device_Configuration'!AJ241="","",'12 - Device_Configuration'!AJ241)</f>
        <v/>
      </c>
      <c r="K240" s="28" t="str">
        <f>IF('12 - Device_Configuration'!AA241="","",'12 - Device_Configuration'!AA241)</f>
        <v/>
      </c>
      <c r="L240" s="28" t="str">
        <f>IF('12 - Device_Configuration'!I241="","",'12 - Device_Configuration'!I241)</f>
        <v/>
      </c>
      <c r="M240" s="29"/>
      <c r="N240" s="28" t="str">
        <f>IF('12 - Device_Configuration'!J241="","",'12 - Device_Configuration'!J241)</f>
        <v/>
      </c>
      <c r="O240" s="28" t="str">
        <f>IF('12 - Device_Configuration'!K241="","",'12 - Device_Configuration'!K241)</f>
        <v/>
      </c>
      <c r="P240" s="28" t="str">
        <f>IF('12 - Device_Configuration'!L241="","",'12 - Device_Configuration'!L241)</f>
        <v/>
      </c>
      <c r="Q240" s="29"/>
      <c r="R240" s="28" t="str">
        <f>IF('12 - Device_Configuration'!AY241="","",'12 - Device_Configuration'!AY241)</f>
        <v/>
      </c>
      <c r="S240" s="28" t="str">
        <f>IF('12 - Device_Configuration'!AX241="","",'12 - Device_Configuration'!AX241)</f>
        <v/>
      </c>
      <c r="T240" s="28" t="str">
        <f>IF('12 - Device_Configuration'!AV241="","",'12 - Device_Configuration'!AV241)</f>
        <v/>
      </c>
      <c r="U240" s="28" t="str">
        <f>IF('12 - Device_Configuration'!AW241="","",'12 - Device_Configuration'!AW241)</f>
        <v/>
      </c>
      <c r="V240" s="28" t="str">
        <f>IF('12 - Device_Configuration'!BA241="","",'12 - Device_Configuration'!BA241)</f>
        <v/>
      </c>
      <c r="W240" s="28" t="str">
        <f>IF('12 - Device_Configuration'!BC241="","",'12 - Device_Configuration'!BC241)</f>
        <v/>
      </c>
      <c r="X240" s="28" t="str">
        <f>IF('12 - Device_Configuration'!BK241="","",'12 - Device_Configuration'!BK241)</f>
        <v/>
      </c>
      <c r="Y240" s="28" t="str">
        <f>IF('12 - Device_Configuration'!BB241="","",'12 - Device_Configuration'!BB241)</f>
        <v/>
      </c>
      <c r="Z240" s="28" t="str">
        <f>IF('12 - Device_Configuration'!P241="","",'12 - Device_Configuration'!P241)</f>
        <v/>
      </c>
      <c r="AA240" s="28" t="str">
        <f>IF('12 - Device_Configuration'!Q241="","",'12 - Device_Configuration'!Q241)</f>
        <v/>
      </c>
    </row>
    <row r="241" spans="1:27">
      <c r="A241" s="29"/>
      <c r="B241" s="29"/>
      <c r="C241" s="28" t="str">
        <f>IF('12 - Device_Configuration'!H242="","",'12 - Device_Configuration'!H242)</f>
        <v/>
      </c>
      <c r="D241" s="28" t="str">
        <f>IF('12 - Device_Configuration'!AE242="","",'12 - Device_Configuration'!AE242)</f>
        <v/>
      </c>
      <c r="E241" s="28" t="str">
        <f>IF('12 - Device_Configuration'!AF242="","",'12 - Device_Configuration'!AF242)</f>
        <v/>
      </c>
      <c r="F241" s="28" t="str">
        <f>IF('12 - Device_Configuration'!AG242="","",'12 - Device_Configuration'!AG242)</f>
        <v/>
      </c>
      <c r="G241" s="28" t="str">
        <f>IF('12 - Device_Configuration'!AH242="","",'12 - Device_Configuration'!AH242)</f>
        <v/>
      </c>
      <c r="H241" s="28" t="str">
        <f>IF('12 - Device_Configuration'!A242="","",'12 - Device_Configuration'!A242)</f>
        <v/>
      </c>
      <c r="I241" s="28" t="str">
        <f>IF('12 - Device_Configuration'!AI242="","",'12 - Device_Configuration'!AI242)</f>
        <v/>
      </c>
      <c r="J241" s="28" t="str">
        <f>IF('12 - Device_Configuration'!AJ242="","",'12 - Device_Configuration'!AJ242)</f>
        <v/>
      </c>
      <c r="K241" s="28" t="str">
        <f>IF('12 - Device_Configuration'!AA242="","",'12 - Device_Configuration'!AA242)</f>
        <v/>
      </c>
      <c r="L241" s="28" t="str">
        <f>IF('12 - Device_Configuration'!I242="","",'12 - Device_Configuration'!I242)</f>
        <v/>
      </c>
      <c r="M241" s="29"/>
      <c r="N241" s="28" t="str">
        <f>IF('12 - Device_Configuration'!J242="","",'12 - Device_Configuration'!J242)</f>
        <v/>
      </c>
      <c r="O241" s="28" t="str">
        <f>IF('12 - Device_Configuration'!K242="","",'12 - Device_Configuration'!K242)</f>
        <v/>
      </c>
      <c r="P241" s="28" t="str">
        <f>IF('12 - Device_Configuration'!L242="","",'12 - Device_Configuration'!L242)</f>
        <v/>
      </c>
      <c r="Q241" s="29"/>
      <c r="R241" s="28" t="str">
        <f>IF('12 - Device_Configuration'!AY242="","",'12 - Device_Configuration'!AY242)</f>
        <v/>
      </c>
      <c r="S241" s="28" t="str">
        <f>IF('12 - Device_Configuration'!AX242="","",'12 - Device_Configuration'!AX242)</f>
        <v/>
      </c>
      <c r="T241" s="28" t="str">
        <f>IF('12 - Device_Configuration'!AV242="","",'12 - Device_Configuration'!AV242)</f>
        <v/>
      </c>
      <c r="U241" s="28" t="str">
        <f>IF('12 - Device_Configuration'!AW242="","",'12 - Device_Configuration'!AW242)</f>
        <v/>
      </c>
      <c r="V241" s="28" t="str">
        <f>IF('12 - Device_Configuration'!BA242="","",'12 - Device_Configuration'!BA242)</f>
        <v/>
      </c>
      <c r="W241" s="28" t="str">
        <f>IF('12 - Device_Configuration'!BC242="","",'12 - Device_Configuration'!BC242)</f>
        <v/>
      </c>
      <c r="X241" s="28" t="str">
        <f>IF('12 - Device_Configuration'!BK242="","",'12 - Device_Configuration'!BK242)</f>
        <v/>
      </c>
      <c r="Y241" s="28" t="str">
        <f>IF('12 - Device_Configuration'!BB242="","",'12 - Device_Configuration'!BB242)</f>
        <v/>
      </c>
      <c r="Z241" s="28" t="str">
        <f>IF('12 - Device_Configuration'!P242="","",'12 - Device_Configuration'!P242)</f>
        <v/>
      </c>
      <c r="AA241" s="28" t="str">
        <f>IF('12 - Device_Configuration'!Q242="","",'12 - Device_Configuration'!Q242)</f>
        <v/>
      </c>
    </row>
    <row r="242" spans="1:27">
      <c r="A242" s="29"/>
      <c r="B242" s="29"/>
      <c r="C242" s="28" t="str">
        <f>IF('12 - Device_Configuration'!H243="","",'12 - Device_Configuration'!H243)</f>
        <v/>
      </c>
      <c r="D242" s="28" t="str">
        <f>IF('12 - Device_Configuration'!AE243="","",'12 - Device_Configuration'!AE243)</f>
        <v/>
      </c>
      <c r="E242" s="28" t="str">
        <f>IF('12 - Device_Configuration'!AF243="","",'12 - Device_Configuration'!AF243)</f>
        <v/>
      </c>
      <c r="F242" s="28" t="str">
        <f>IF('12 - Device_Configuration'!AG243="","",'12 - Device_Configuration'!AG243)</f>
        <v/>
      </c>
      <c r="G242" s="28" t="str">
        <f>IF('12 - Device_Configuration'!AH243="","",'12 - Device_Configuration'!AH243)</f>
        <v/>
      </c>
      <c r="H242" s="28" t="str">
        <f>IF('12 - Device_Configuration'!A243="","",'12 - Device_Configuration'!A243)</f>
        <v/>
      </c>
      <c r="I242" s="28" t="str">
        <f>IF('12 - Device_Configuration'!AI243="","",'12 - Device_Configuration'!AI243)</f>
        <v/>
      </c>
      <c r="J242" s="28" t="str">
        <f>IF('12 - Device_Configuration'!AJ243="","",'12 - Device_Configuration'!AJ243)</f>
        <v/>
      </c>
      <c r="K242" s="28" t="str">
        <f>IF('12 - Device_Configuration'!AA243="","",'12 - Device_Configuration'!AA243)</f>
        <v/>
      </c>
      <c r="L242" s="28" t="str">
        <f>IF('12 - Device_Configuration'!I243="","",'12 - Device_Configuration'!I243)</f>
        <v/>
      </c>
      <c r="M242" s="29"/>
      <c r="N242" s="28" t="str">
        <f>IF('12 - Device_Configuration'!J243="","",'12 - Device_Configuration'!J243)</f>
        <v/>
      </c>
      <c r="O242" s="28" t="str">
        <f>IF('12 - Device_Configuration'!K243="","",'12 - Device_Configuration'!K243)</f>
        <v/>
      </c>
      <c r="P242" s="28" t="str">
        <f>IF('12 - Device_Configuration'!L243="","",'12 - Device_Configuration'!L243)</f>
        <v/>
      </c>
      <c r="Q242" s="29"/>
      <c r="R242" s="28" t="str">
        <f>IF('12 - Device_Configuration'!AY243="","",'12 - Device_Configuration'!AY243)</f>
        <v/>
      </c>
      <c r="S242" s="28" t="str">
        <f>IF('12 - Device_Configuration'!AX243="","",'12 - Device_Configuration'!AX243)</f>
        <v/>
      </c>
      <c r="T242" s="28" t="str">
        <f>IF('12 - Device_Configuration'!AV243="","",'12 - Device_Configuration'!AV243)</f>
        <v/>
      </c>
      <c r="U242" s="28" t="str">
        <f>IF('12 - Device_Configuration'!AW243="","",'12 - Device_Configuration'!AW243)</f>
        <v/>
      </c>
      <c r="V242" s="28" t="str">
        <f>IF('12 - Device_Configuration'!BA243="","",'12 - Device_Configuration'!BA243)</f>
        <v/>
      </c>
      <c r="W242" s="28" t="str">
        <f>IF('12 - Device_Configuration'!BC243="","",'12 - Device_Configuration'!BC243)</f>
        <v/>
      </c>
      <c r="X242" s="28" t="str">
        <f>IF('12 - Device_Configuration'!BK243="","",'12 - Device_Configuration'!BK243)</f>
        <v/>
      </c>
      <c r="Y242" s="28" t="str">
        <f>IF('12 - Device_Configuration'!BB243="","",'12 - Device_Configuration'!BB243)</f>
        <v/>
      </c>
      <c r="Z242" s="28" t="str">
        <f>IF('12 - Device_Configuration'!P243="","",'12 - Device_Configuration'!P243)</f>
        <v/>
      </c>
      <c r="AA242" s="28" t="str">
        <f>IF('12 - Device_Configuration'!Q243="","",'12 - Device_Configuration'!Q243)</f>
        <v/>
      </c>
    </row>
    <row r="243" spans="1:27">
      <c r="A243" s="29"/>
      <c r="B243" s="29"/>
      <c r="C243" s="28" t="str">
        <f>IF('12 - Device_Configuration'!H244="","",'12 - Device_Configuration'!H244)</f>
        <v/>
      </c>
      <c r="D243" s="28" t="str">
        <f>IF('12 - Device_Configuration'!AE244="","",'12 - Device_Configuration'!AE244)</f>
        <v/>
      </c>
      <c r="E243" s="28" t="str">
        <f>IF('12 - Device_Configuration'!AF244="","",'12 - Device_Configuration'!AF244)</f>
        <v/>
      </c>
      <c r="F243" s="28" t="str">
        <f>IF('12 - Device_Configuration'!AG244="","",'12 - Device_Configuration'!AG244)</f>
        <v/>
      </c>
      <c r="G243" s="28" t="str">
        <f>IF('12 - Device_Configuration'!AH244="","",'12 - Device_Configuration'!AH244)</f>
        <v/>
      </c>
      <c r="H243" s="28" t="str">
        <f>IF('12 - Device_Configuration'!A244="","",'12 - Device_Configuration'!A244)</f>
        <v/>
      </c>
      <c r="I243" s="28" t="str">
        <f>IF('12 - Device_Configuration'!AI244="","",'12 - Device_Configuration'!AI244)</f>
        <v/>
      </c>
      <c r="J243" s="28" t="str">
        <f>IF('12 - Device_Configuration'!AJ244="","",'12 - Device_Configuration'!AJ244)</f>
        <v/>
      </c>
      <c r="K243" s="28" t="str">
        <f>IF('12 - Device_Configuration'!AA244="","",'12 - Device_Configuration'!AA244)</f>
        <v/>
      </c>
      <c r="L243" s="28" t="str">
        <f>IF('12 - Device_Configuration'!I244="","",'12 - Device_Configuration'!I244)</f>
        <v/>
      </c>
      <c r="M243" s="29"/>
      <c r="N243" s="28" t="str">
        <f>IF('12 - Device_Configuration'!J244="","",'12 - Device_Configuration'!J244)</f>
        <v/>
      </c>
      <c r="O243" s="28" t="str">
        <f>IF('12 - Device_Configuration'!K244="","",'12 - Device_Configuration'!K244)</f>
        <v/>
      </c>
      <c r="P243" s="28" t="str">
        <f>IF('12 - Device_Configuration'!L244="","",'12 - Device_Configuration'!L244)</f>
        <v/>
      </c>
      <c r="Q243" s="29"/>
      <c r="R243" s="28" t="str">
        <f>IF('12 - Device_Configuration'!AY244="","",'12 - Device_Configuration'!AY244)</f>
        <v/>
      </c>
      <c r="S243" s="28" t="str">
        <f>IF('12 - Device_Configuration'!AX244="","",'12 - Device_Configuration'!AX244)</f>
        <v/>
      </c>
      <c r="T243" s="28" t="str">
        <f>IF('12 - Device_Configuration'!AV244="","",'12 - Device_Configuration'!AV244)</f>
        <v/>
      </c>
      <c r="U243" s="28" t="str">
        <f>IF('12 - Device_Configuration'!AW244="","",'12 - Device_Configuration'!AW244)</f>
        <v/>
      </c>
      <c r="V243" s="28" t="str">
        <f>IF('12 - Device_Configuration'!BA244="","",'12 - Device_Configuration'!BA244)</f>
        <v/>
      </c>
      <c r="W243" s="28" t="str">
        <f>IF('12 - Device_Configuration'!BC244="","",'12 - Device_Configuration'!BC244)</f>
        <v/>
      </c>
      <c r="X243" s="28" t="str">
        <f>IF('12 - Device_Configuration'!BK244="","",'12 - Device_Configuration'!BK244)</f>
        <v/>
      </c>
      <c r="Y243" s="28" t="str">
        <f>IF('12 - Device_Configuration'!BB244="","",'12 - Device_Configuration'!BB244)</f>
        <v/>
      </c>
      <c r="Z243" s="28" t="str">
        <f>IF('12 - Device_Configuration'!P244="","",'12 - Device_Configuration'!P244)</f>
        <v/>
      </c>
      <c r="AA243" s="28" t="str">
        <f>IF('12 - Device_Configuration'!Q244="","",'12 - Device_Configuration'!Q244)</f>
        <v/>
      </c>
    </row>
    <row r="244" spans="1:27">
      <c r="A244" s="29"/>
      <c r="B244" s="29"/>
      <c r="C244" s="28" t="str">
        <f>IF('12 - Device_Configuration'!H245="","",'12 - Device_Configuration'!H245)</f>
        <v/>
      </c>
      <c r="D244" s="28" t="str">
        <f>IF('12 - Device_Configuration'!AE245="","",'12 - Device_Configuration'!AE245)</f>
        <v/>
      </c>
      <c r="E244" s="28" t="str">
        <f>IF('12 - Device_Configuration'!AF245="","",'12 - Device_Configuration'!AF245)</f>
        <v/>
      </c>
      <c r="F244" s="28" t="str">
        <f>IF('12 - Device_Configuration'!AG245="","",'12 - Device_Configuration'!AG245)</f>
        <v/>
      </c>
      <c r="G244" s="28" t="str">
        <f>IF('12 - Device_Configuration'!AH245="","",'12 - Device_Configuration'!AH245)</f>
        <v/>
      </c>
      <c r="H244" s="28" t="str">
        <f>IF('12 - Device_Configuration'!A245="","",'12 - Device_Configuration'!A245)</f>
        <v/>
      </c>
      <c r="I244" s="28" t="str">
        <f>IF('12 - Device_Configuration'!AI245="","",'12 - Device_Configuration'!AI245)</f>
        <v/>
      </c>
      <c r="J244" s="28" t="str">
        <f>IF('12 - Device_Configuration'!AJ245="","",'12 - Device_Configuration'!AJ245)</f>
        <v/>
      </c>
      <c r="K244" s="28" t="str">
        <f>IF('12 - Device_Configuration'!AA245="","",'12 - Device_Configuration'!AA245)</f>
        <v/>
      </c>
      <c r="L244" s="28" t="str">
        <f>IF('12 - Device_Configuration'!I245="","",'12 - Device_Configuration'!I245)</f>
        <v/>
      </c>
      <c r="M244" s="29"/>
      <c r="N244" s="28" t="str">
        <f>IF('12 - Device_Configuration'!J245="","",'12 - Device_Configuration'!J245)</f>
        <v/>
      </c>
      <c r="O244" s="28" t="str">
        <f>IF('12 - Device_Configuration'!K245="","",'12 - Device_Configuration'!K245)</f>
        <v/>
      </c>
      <c r="P244" s="28" t="str">
        <f>IF('12 - Device_Configuration'!L245="","",'12 - Device_Configuration'!L245)</f>
        <v/>
      </c>
      <c r="Q244" s="29"/>
      <c r="R244" s="28" t="str">
        <f>IF('12 - Device_Configuration'!AY245="","",'12 - Device_Configuration'!AY245)</f>
        <v/>
      </c>
      <c r="S244" s="28" t="str">
        <f>IF('12 - Device_Configuration'!AX245="","",'12 - Device_Configuration'!AX245)</f>
        <v/>
      </c>
      <c r="T244" s="28" t="str">
        <f>IF('12 - Device_Configuration'!AV245="","",'12 - Device_Configuration'!AV245)</f>
        <v/>
      </c>
      <c r="U244" s="28" t="str">
        <f>IF('12 - Device_Configuration'!AW245="","",'12 - Device_Configuration'!AW245)</f>
        <v/>
      </c>
      <c r="V244" s="28" t="str">
        <f>IF('12 - Device_Configuration'!BA245="","",'12 - Device_Configuration'!BA245)</f>
        <v/>
      </c>
      <c r="W244" s="28" t="str">
        <f>IF('12 - Device_Configuration'!BC245="","",'12 - Device_Configuration'!BC245)</f>
        <v/>
      </c>
      <c r="X244" s="28" t="str">
        <f>IF('12 - Device_Configuration'!BK245="","",'12 - Device_Configuration'!BK245)</f>
        <v/>
      </c>
      <c r="Y244" s="28" t="str">
        <f>IF('12 - Device_Configuration'!BB245="","",'12 - Device_Configuration'!BB245)</f>
        <v/>
      </c>
      <c r="Z244" s="28" t="str">
        <f>IF('12 - Device_Configuration'!P245="","",'12 - Device_Configuration'!P245)</f>
        <v/>
      </c>
      <c r="AA244" s="28" t="str">
        <f>IF('12 - Device_Configuration'!Q245="","",'12 - Device_Configuration'!Q245)</f>
        <v/>
      </c>
    </row>
    <row r="245" spans="1:27">
      <c r="A245" s="29"/>
      <c r="B245" s="29"/>
      <c r="C245" s="28" t="str">
        <f>IF('12 - Device_Configuration'!H246="","",'12 - Device_Configuration'!H246)</f>
        <v/>
      </c>
      <c r="D245" s="28" t="str">
        <f>IF('12 - Device_Configuration'!AE246="","",'12 - Device_Configuration'!AE246)</f>
        <v/>
      </c>
      <c r="E245" s="28" t="str">
        <f>IF('12 - Device_Configuration'!AF246="","",'12 - Device_Configuration'!AF246)</f>
        <v/>
      </c>
      <c r="F245" s="28" t="str">
        <f>IF('12 - Device_Configuration'!AG246="","",'12 - Device_Configuration'!AG246)</f>
        <v/>
      </c>
      <c r="G245" s="28" t="str">
        <f>IF('12 - Device_Configuration'!AH246="","",'12 - Device_Configuration'!AH246)</f>
        <v/>
      </c>
      <c r="H245" s="28" t="str">
        <f>IF('12 - Device_Configuration'!A246="","",'12 - Device_Configuration'!A246)</f>
        <v/>
      </c>
      <c r="I245" s="28" t="str">
        <f>IF('12 - Device_Configuration'!AI246="","",'12 - Device_Configuration'!AI246)</f>
        <v/>
      </c>
      <c r="J245" s="28" t="str">
        <f>IF('12 - Device_Configuration'!AJ246="","",'12 - Device_Configuration'!AJ246)</f>
        <v/>
      </c>
      <c r="K245" s="28" t="str">
        <f>IF('12 - Device_Configuration'!AA246="","",'12 - Device_Configuration'!AA246)</f>
        <v/>
      </c>
      <c r="L245" s="28" t="str">
        <f>IF('12 - Device_Configuration'!I246="","",'12 - Device_Configuration'!I246)</f>
        <v/>
      </c>
      <c r="M245" s="29"/>
      <c r="N245" s="28" t="str">
        <f>IF('12 - Device_Configuration'!J246="","",'12 - Device_Configuration'!J246)</f>
        <v/>
      </c>
      <c r="O245" s="28" t="str">
        <f>IF('12 - Device_Configuration'!K246="","",'12 - Device_Configuration'!K246)</f>
        <v/>
      </c>
      <c r="P245" s="28" t="str">
        <f>IF('12 - Device_Configuration'!L246="","",'12 - Device_Configuration'!L246)</f>
        <v/>
      </c>
      <c r="Q245" s="29"/>
      <c r="R245" s="28" t="str">
        <f>IF('12 - Device_Configuration'!AY246="","",'12 - Device_Configuration'!AY246)</f>
        <v/>
      </c>
      <c r="S245" s="28" t="str">
        <f>IF('12 - Device_Configuration'!AX246="","",'12 - Device_Configuration'!AX246)</f>
        <v/>
      </c>
      <c r="T245" s="28" t="str">
        <f>IF('12 - Device_Configuration'!AV246="","",'12 - Device_Configuration'!AV246)</f>
        <v/>
      </c>
      <c r="U245" s="28" t="str">
        <f>IF('12 - Device_Configuration'!AW246="","",'12 - Device_Configuration'!AW246)</f>
        <v/>
      </c>
      <c r="V245" s="28" t="str">
        <f>IF('12 - Device_Configuration'!BA246="","",'12 - Device_Configuration'!BA246)</f>
        <v/>
      </c>
      <c r="W245" s="28" t="str">
        <f>IF('12 - Device_Configuration'!BC246="","",'12 - Device_Configuration'!BC246)</f>
        <v/>
      </c>
      <c r="X245" s="28" t="str">
        <f>IF('12 - Device_Configuration'!BK246="","",'12 - Device_Configuration'!BK246)</f>
        <v/>
      </c>
      <c r="Y245" s="28" t="str">
        <f>IF('12 - Device_Configuration'!BB246="","",'12 - Device_Configuration'!BB246)</f>
        <v/>
      </c>
      <c r="Z245" s="28" t="str">
        <f>IF('12 - Device_Configuration'!P246="","",'12 - Device_Configuration'!P246)</f>
        <v/>
      </c>
      <c r="AA245" s="28" t="str">
        <f>IF('12 - Device_Configuration'!Q246="","",'12 - Device_Configuration'!Q246)</f>
        <v/>
      </c>
    </row>
    <row r="246" spans="1:27">
      <c r="A246" s="29"/>
      <c r="B246" s="29"/>
      <c r="C246" s="28" t="str">
        <f>IF('12 - Device_Configuration'!H247="","",'12 - Device_Configuration'!H247)</f>
        <v/>
      </c>
      <c r="D246" s="28" t="str">
        <f>IF('12 - Device_Configuration'!AE247="","",'12 - Device_Configuration'!AE247)</f>
        <v/>
      </c>
      <c r="E246" s="28" t="str">
        <f>IF('12 - Device_Configuration'!AF247="","",'12 - Device_Configuration'!AF247)</f>
        <v/>
      </c>
      <c r="F246" s="28" t="str">
        <f>IF('12 - Device_Configuration'!AG247="","",'12 - Device_Configuration'!AG247)</f>
        <v/>
      </c>
      <c r="G246" s="28" t="str">
        <f>IF('12 - Device_Configuration'!AH247="","",'12 - Device_Configuration'!AH247)</f>
        <v/>
      </c>
      <c r="H246" s="28" t="str">
        <f>IF('12 - Device_Configuration'!A247="","",'12 - Device_Configuration'!A247)</f>
        <v/>
      </c>
      <c r="I246" s="28" t="str">
        <f>IF('12 - Device_Configuration'!AI247="","",'12 - Device_Configuration'!AI247)</f>
        <v/>
      </c>
      <c r="J246" s="28" t="str">
        <f>IF('12 - Device_Configuration'!AJ247="","",'12 - Device_Configuration'!AJ247)</f>
        <v/>
      </c>
      <c r="K246" s="28" t="str">
        <f>IF('12 - Device_Configuration'!AA247="","",'12 - Device_Configuration'!AA247)</f>
        <v/>
      </c>
      <c r="L246" s="28" t="str">
        <f>IF('12 - Device_Configuration'!I247="","",'12 - Device_Configuration'!I247)</f>
        <v/>
      </c>
      <c r="M246" s="29"/>
      <c r="N246" s="28" t="str">
        <f>IF('12 - Device_Configuration'!J247="","",'12 - Device_Configuration'!J247)</f>
        <v/>
      </c>
      <c r="O246" s="28" t="str">
        <f>IF('12 - Device_Configuration'!K247="","",'12 - Device_Configuration'!K247)</f>
        <v/>
      </c>
      <c r="P246" s="28" t="str">
        <f>IF('12 - Device_Configuration'!L247="","",'12 - Device_Configuration'!L247)</f>
        <v/>
      </c>
      <c r="Q246" s="29"/>
      <c r="R246" s="28" t="str">
        <f>IF('12 - Device_Configuration'!AY247="","",'12 - Device_Configuration'!AY247)</f>
        <v/>
      </c>
      <c r="S246" s="28" t="str">
        <f>IF('12 - Device_Configuration'!AX247="","",'12 - Device_Configuration'!AX247)</f>
        <v/>
      </c>
      <c r="T246" s="28" t="str">
        <f>IF('12 - Device_Configuration'!AV247="","",'12 - Device_Configuration'!AV247)</f>
        <v/>
      </c>
      <c r="U246" s="28" t="str">
        <f>IF('12 - Device_Configuration'!AW247="","",'12 - Device_Configuration'!AW247)</f>
        <v/>
      </c>
      <c r="V246" s="28" t="str">
        <f>IF('12 - Device_Configuration'!BA247="","",'12 - Device_Configuration'!BA247)</f>
        <v/>
      </c>
      <c r="W246" s="28" t="str">
        <f>IF('12 - Device_Configuration'!BC247="","",'12 - Device_Configuration'!BC247)</f>
        <v/>
      </c>
      <c r="X246" s="28" t="str">
        <f>IF('12 - Device_Configuration'!BK247="","",'12 - Device_Configuration'!BK247)</f>
        <v/>
      </c>
      <c r="Y246" s="28" t="str">
        <f>IF('12 - Device_Configuration'!BB247="","",'12 - Device_Configuration'!BB247)</f>
        <v/>
      </c>
      <c r="Z246" s="28" t="str">
        <f>IF('12 - Device_Configuration'!P247="","",'12 - Device_Configuration'!P247)</f>
        <v/>
      </c>
      <c r="AA246" s="28" t="str">
        <f>IF('12 - Device_Configuration'!Q247="","",'12 - Device_Configuration'!Q247)</f>
        <v/>
      </c>
    </row>
    <row r="247" spans="1:27">
      <c r="A247" s="29"/>
      <c r="B247" s="29"/>
      <c r="C247" s="28" t="str">
        <f>IF('12 - Device_Configuration'!H248="","",'12 - Device_Configuration'!H248)</f>
        <v/>
      </c>
      <c r="D247" s="28" t="str">
        <f>IF('12 - Device_Configuration'!AE248="","",'12 - Device_Configuration'!AE248)</f>
        <v/>
      </c>
      <c r="E247" s="28" t="str">
        <f>IF('12 - Device_Configuration'!AF248="","",'12 - Device_Configuration'!AF248)</f>
        <v/>
      </c>
      <c r="F247" s="28" t="str">
        <f>IF('12 - Device_Configuration'!AG248="","",'12 - Device_Configuration'!AG248)</f>
        <v/>
      </c>
      <c r="G247" s="28" t="str">
        <f>IF('12 - Device_Configuration'!AH248="","",'12 - Device_Configuration'!AH248)</f>
        <v/>
      </c>
      <c r="H247" s="28" t="str">
        <f>IF('12 - Device_Configuration'!A248="","",'12 - Device_Configuration'!A248)</f>
        <v/>
      </c>
      <c r="I247" s="28" t="str">
        <f>IF('12 - Device_Configuration'!AI248="","",'12 - Device_Configuration'!AI248)</f>
        <v/>
      </c>
      <c r="J247" s="28" t="str">
        <f>IF('12 - Device_Configuration'!AJ248="","",'12 - Device_Configuration'!AJ248)</f>
        <v/>
      </c>
      <c r="K247" s="28" t="str">
        <f>IF('12 - Device_Configuration'!AA248="","",'12 - Device_Configuration'!AA248)</f>
        <v/>
      </c>
      <c r="L247" s="28" t="str">
        <f>IF('12 - Device_Configuration'!I248="","",'12 - Device_Configuration'!I248)</f>
        <v/>
      </c>
      <c r="M247" s="29"/>
      <c r="N247" s="28" t="str">
        <f>IF('12 - Device_Configuration'!J248="","",'12 - Device_Configuration'!J248)</f>
        <v/>
      </c>
      <c r="O247" s="28" t="str">
        <f>IF('12 - Device_Configuration'!K248="","",'12 - Device_Configuration'!K248)</f>
        <v/>
      </c>
      <c r="P247" s="28" t="str">
        <f>IF('12 - Device_Configuration'!L248="","",'12 - Device_Configuration'!L248)</f>
        <v/>
      </c>
      <c r="Q247" s="29"/>
      <c r="R247" s="28" t="str">
        <f>IF('12 - Device_Configuration'!AY248="","",'12 - Device_Configuration'!AY248)</f>
        <v/>
      </c>
      <c r="S247" s="28" t="str">
        <f>IF('12 - Device_Configuration'!AX248="","",'12 - Device_Configuration'!AX248)</f>
        <v/>
      </c>
      <c r="T247" s="28" t="str">
        <f>IF('12 - Device_Configuration'!AV248="","",'12 - Device_Configuration'!AV248)</f>
        <v/>
      </c>
      <c r="U247" s="28" t="str">
        <f>IF('12 - Device_Configuration'!AW248="","",'12 - Device_Configuration'!AW248)</f>
        <v/>
      </c>
      <c r="V247" s="28" t="str">
        <f>IF('12 - Device_Configuration'!BA248="","",'12 - Device_Configuration'!BA248)</f>
        <v/>
      </c>
      <c r="W247" s="28" t="str">
        <f>IF('12 - Device_Configuration'!BC248="","",'12 - Device_Configuration'!BC248)</f>
        <v/>
      </c>
      <c r="X247" s="28" t="str">
        <f>IF('12 - Device_Configuration'!BK248="","",'12 - Device_Configuration'!BK248)</f>
        <v/>
      </c>
      <c r="Y247" s="28" t="str">
        <f>IF('12 - Device_Configuration'!BB248="","",'12 - Device_Configuration'!BB248)</f>
        <v/>
      </c>
      <c r="Z247" s="28" t="str">
        <f>IF('12 - Device_Configuration'!P248="","",'12 - Device_Configuration'!P248)</f>
        <v/>
      </c>
      <c r="AA247" s="28" t="str">
        <f>IF('12 - Device_Configuration'!Q248="","",'12 - Device_Configuration'!Q248)</f>
        <v/>
      </c>
    </row>
    <row r="248" spans="1:27">
      <c r="A248" s="29"/>
      <c r="B248" s="29"/>
      <c r="C248" s="28" t="str">
        <f>IF('12 - Device_Configuration'!H249="","",'12 - Device_Configuration'!H249)</f>
        <v/>
      </c>
      <c r="D248" s="28" t="str">
        <f>IF('12 - Device_Configuration'!AE249="","",'12 - Device_Configuration'!AE249)</f>
        <v/>
      </c>
      <c r="E248" s="28" t="str">
        <f>IF('12 - Device_Configuration'!AF249="","",'12 - Device_Configuration'!AF249)</f>
        <v/>
      </c>
      <c r="F248" s="28" t="str">
        <f>IF('12 - Device_Configuration'!AG249="","",'12 - Device_Configuration'!AG249)</f>
        <v/>
      </c>
      <c r="G248" s="28" t="str">
        <f>IF('12 - Device_Configuration'!AH249="","",'12 - Device_Configuration'!AH249)</f>
        <v/>
      </c>
      <c r="H248" s="28" t="str">
        <f>IF('12 - Device_Configuration'!A249="","",'12 - Device_Configuration'!A249)</f>
        <v/>
      </c>
      <c r="I248" s="28" t="str">
        <f>IF('12 - Device_Configuration'!AI249="","",'12 - Device_Configuration'!AI249)</f>
        <v/>
      </c>
      <c r="J248" s="28" t="str">
        <f>IF('12 - Device_Configuration'!AJ249="","",'12 - Device_Configuration'!AJ249)</f>
        <v/>
      </c>
      <c r="K248" s="28" t="str">
        <f>IF('12 - Device_Configuration'!AA249="","",'12 - Device_Configuration'!AA249)</f>
        <v/>
      </c>
      <c r="L248" s="28" t="str">
        <f>IF('12 - Device_Configuration'!I249="","",'12 - Device_Configuration'!I249)</f>
        <v/>
      </c>
      <c r="M248" s="29"/>
      <c r="N248" s="28" t="str">
        <f>IF('12 - Device_Configuration'!J249="","",'12 - Device_Configuration'!J249)</f>
        <v/>
      </c>
      <c r="O248" s="28" t="str">
        <f>IF('12 - Device_Configuration'!K249="","",'12 - Device_Configuration'!K249)</f>
        <v/>
      </c>
      <c r="P248" s="28" t="str">
        <f>IF('12 - Device_Configuration'!L249="","",'12 - Device_Configuration'!L249)</f>
        <v/>
      </c>
      <c r="Q248" s="29"/>
      <c r="R248" s="28" t="str">
        <f>IF('12 - Device_Configuration'!AY249="","",'12 - Device_Configuration'!AY249)</f>
        <v/>
      </c>
      <c r="S248" s="28" t="str">
        <f>IF('12 - Device_Configuration'!AX249="","",'12 - Device_Configuration'!AX249)</f>
        <v/>
      </c>
      <c r="T248" s="28" t="str">
        <f>IF('12 - Device_Configuration'!AV249="","",'12 - Device_Configuration'!AV249)</f>
        <v/>
      </c>
      <c r="U248" s="28" t="str">
        <f>IF('12 - Device_Configuration'!AW249="","",'12 - Device_Configuration'!AW249)</f>
        <v/>
      </c>
      <c r="V248" s="28" t="str">
        <f>IF('12 - Device_Configuration'!BA249="","",'12 - Device_Configuration'!BA249)</f>
        <v/>
      </c>
      <c r="W248" s="28" t="str">
        <f>IF('12 - Device_Configuration'!BC249="","",'12 - Device_Configuration'!BC249)</f>
        <v/>
      </c>
      <c r="X248" s="28" t="str">
        <f>IF('12 - Device_Configuration'!BK249="","",'12 - Device_Configuration'!BK249)</f>
        <v/>
      </c>
      <c r="Y248" s="28" t="str">
        <f>IF('12 - Device_Configuration'!BB249="","",'12 - Device_Configuration'!BB249)</f>
        <v/>
      </c>
      <c r="Z248" s="28" t="str">
        <f>IF('12 - Device_Configuration'!P249="","",'12 - Device_Configuration'!P249)</f>
        <v/>
      </c>
      <c r="AA248" s="28" t="str">
        <f>IF('12 - Device_Configuration'!Q249="","",'12 - Device_Configuration'!Q249)</f>
        <v/>
      </c>
    </row>
    <row r="249" spans="1:27">
      <c r="A249" s="29"/>
      <c r="B249" s="29"/>
      <c r="C249" s="28" t="str">
        <f>IF('12 - Device_Configuration'!H250="","",'12 - Device_Configuration'!H250)</f>
        <v/>
      </c>
      <c r="D249" s="28" t="str">
        <f>IF('12 - Device_Configuration'!AE250="","",'12 - Device_Configuration'!AE250)</f>
        <v/>
      </c>
      <c r="E249" s="28" t="str">
        <f>IF('12 - Device_Configuration'!AF250="","",'12 - Device_Configuration'!AF250)</f>
        <v/>
      </c>
      <c r="F249" s="28" t="str">
        <f>IF('12 - Device_Configuration'!AG250="","",'12 - Device_Configuration'!AG250)</f>
        <v/>
      </c>
      <c r="G249" s="28" t="str">
        <f>IF('12 - Device_Configuration'!AH250="","",'12 - Device_Configuration'!AH250)</f>
        <v/>
      </c>
      <c r="H249" s="28" t="str">
        <f>IF('12 - Device_Configuration'!A250="","",'12 - Device_Configuration'!A250)</f>
        <v/>
      </c>
      <c r="I249" s="28" t="str">
        <f>IF('12 - Device_Configuration'!AI250="","",'12 - Device_Configuration'!AI250)</f>
        <v/>
      </c>
      <c r="J249" s="28" t="str">
        <f>IF('12 - Device_Configuration'!AJ250="","",'12 - Device_Configuration'!AJ250)</f>
        <v/>
      </c>
      <c r="K249" s="28" t="str">
        <f>IF('12 - Device_Configuration'!AA250="","",'12 - Device_Configuration'!AA250)</f>
        <v/>
      </c>
      <c r="L249" s="28" t="str">
        <f>IF('12 - Device_Configuration'!I250="","",'12 - Device_Configuration'!I250)</f>
        <v/>
      </c>
      <c r="M249" s="29"/>
      <c r="N249" s="28" t="str">
        <f>IF('12 - Device_Configuration'!J250="","",'12 - Device_Configuration'!J250)</f>
        <v/>
      </c>
      <c r="O249" s="28" t="str">
        <f>IF('12 - Device_Configuration'!K250="","",'12 - Device_Configuration'!K250)</f>
        <v/>
      </c>
      <c r="P249" s="28" t="str">
        <f>IF('12 - Device_Configuration'!L250="","",'12 - Device_Configuration'!L250)</f>
        <v/>
      </c>
      <c r="Q249" s="29"/>
      <c r="R249" s="28" t="str">
        <f>IF('12 - Device_Configuration'!AY250="","",'12 - Device_Configuration'!AY250)</f>
        <v/>
      </c>
      <c r="S249" s="28" t="str">
        <f>IF('12 - Device_Configuration'!AX250="","",'12 - Device_Configuration'!AX250)</f>
        <v/>
      </c>
      <c r="T249" s="28" t="str">
        <f>IF('12 - Device_Configuration'!AV250="","",'12 - Device_Configuration'!AV250)</f>
        <v/>
      </c>
      <c r="U249" s="28" t="str">
        <f>IF('12 - Device_Configuration'!AW250="","",'12 - Device_Configuration'!AW250)</f>
        <v/>
      </c>
      <c r="V249" s="28" t="str">
        <f>IF('12 - Device_Configuration'!BA250="","",'12 - Device_Configuration'!BA250)</f>
        <v/>
      </c>
      <c r="W249" s="28" t="str">
        <f>IF('12 - Device_Configuration'!BC250="","",'12 - Device_Configuration'!BC250)</f>
        <v/>
      </c>
      <c r="X249" s="28" t="str">
        <f>IF('12 - Device_Configuration'!BK250="","",'12 - Device_Configuration'!BK250)</f>
        <v/>
      </c>
      <c r="Y249" s="28" t="str">
        <f>IF('12 - Device_Configuration'!BB250="","",'12 - Device_Configuration'!BB250)</f>
        <v/>
      </c>
      <c r="Z249" s="28" t="str">
        <f>IF('12 - Device_Configuration'!P250="","",'12 - Device_Configuration'!P250)</f>
        <v/>
      </c>
      <c r="AA249" s="28" t="str">
        <f>IF('12 - Device_Configuration'!Q250="","",'12 - Device_Configuration'!Q250)</f>
        <v/>
      </c>
    </row>
    <row r="250" spans="1:27">
      <c r="A250" s="29"/>
      <c r="B250" s="29"/>
      <c r="C250" s="28" t="str">
        <f>IF('12 - Device_Configuration'!H251="","",'12 - Device_Configuration'!H251)</f>
        <v/>
      </c>
      <c r="D250" s="28" t="str">
        <f>IF('12 - Device_Configuration'!AE251="","",'12 - Device_Configuration'!AE251)</f>
        <v/>
      </c>
      <c r="E250" s="28" t="str">
        <f>IF('12 - Device_Configuration'!AF251="","",'12 - Device_Configuration'!AF251)</f>
        <v/>
      </c>
      <c r="F250" s="28" t="str">
        <f>IF('12 - Device_Configuration'!AG251="","",'12 - Device_Configuration'!AG251)</f>
        <v/>
      </c>
      <c r="G250" s="28" t="str">
        <f>IF('12 - Device_Configuration'!AH251="","",'12 - Device_Configuration'!AH251)</f>
        <v/>
      </c>
      <c r="H250" s="28" t="str">
        <f>IF('12 - Device_Configuration'!A251="","",'12 - Device_Configuration'!A251)</f>
        <v/>
      </c>
      <c r="I250" s="28" t="str">
        <f>IF('12 - Device_Configuration'!AI251="","",'12 - Device_Configuration'!AI251)</f>
        <v/>
      </c>
      <c r="J250" s="28" t="str">
        <f>IF('12 - Device_Configuration'!AJ251="","",'12 - Device_Configuration'!AJ251)</f>
        <v/>
      </c>
      <c r="K250" s="28" t="str">
        <f>IF('12 - Device_Configuration'!AA251="","",'12 - Device_Configuration'!AA251)</f>
        <v/>
      </c>
      <c r="L250" s="28" t="str">
        <f>IF('12 - Device_Configuration'!I251="","",'12 - Device_Configuration'!I251)</f>
        <v/>
      </c>
      <c r="M250" s="29"/>
      <c r="N250" s="28" t="str">
        <f>IF('12 - Device_Configuration'!J251="","",'12 - Device_Configuration'!J251)</f>
        <v/>
      </c>
      <c r="O250" s="28" t="str">
        <f>IF('12 - Device_Configuration'!K251="","",'12 - Device_Configuration'!K251)</f>
        <v/>
      </c>
      <c r="P250" s="28" t="str">
        <f>IF('12 - Device_Configuration'!L251="","",'12 - Device_Configuration'!L251)</f>
        <v/>
      </c>
      <c r="Q250" s="29"/>
      <c r="R250" s="28" t="str">
        <f>IF('12 - Device_Configuration'!AY251="","",'12 - Device_Configuration'!AY251)</f>
        <v/>
      </c>
      <c r="S250" s="28" t="str">
        <f>IF('12 - Device_Configuration'!AX251="","",'12 - Device_Configuration'!AX251)</f>
        <v/>
      </c>
      <c r="T250" s="28" t="str">
        <f>IF('12 - Device_Configuration'!AV251="","",'12 - Device_Configuration'!AV251)</f>
        <v/>
      </c>
      <c r="U250" s="28" t="str">
        <f>IF('12 - Device_Configuration'!AW251="","",'12 - Device_Configuration'!AW251)</f>
        <v/>
      </c>
      <c r="V250" s="28" t="str">
        <f>IF('12 - Device_Configuration'!BA251="","",'12 - Device_Configuration'!BA251)</f>
        <v/>
      </c>
      <c r="W250" s="28" t="str">
        <f>IF('12 - Device_Configuration'!BC251="","",'12 - Device_Configuration'!BC251)</f>
        <v/>
      </c>
      <c r="X250" s="28" t="str">
        <f>IF('12 - Device_Configuration'!BK251="","",'12 - Device_Configuration'!BK251)</f>
        <v/>
      </c>
      <c r="Y250" s="28" t="str">
        <f>IF('12 - Device_Configuration'!BB251="","",'12 - Device_Configuration'!BB251)</f>
        <v/>
      </c>
      <c r="Z250" s="28" t="str">
        <f>IF('12 - Device_Configuration'!P251="","",'12 - Device_Configuration'!P251)</f>
        <v/>
      </c>
      <c r="AA250" s="28" t="str">
        <f>IF('12 - Device_Configuration'!Q251="","",'12 - Device_Configuration'!Q251)</f>
        <v/>
      </c>
    </row>
    <row r="251" spans="1:27">
      <c r="A251" s="29"/>
      <c r="B251" s="29"/>
      <c r="C251" s="28" t="str">
        <f>IF('12 - Device_Configuration'!H252="","",'12 - Device_Configuration'!H252)</f>
        <v/>
      </c>
      <c r="D251" s="28" t="str">
        <f>IF('12 - Device_Configuration'!AE252="","",'12 - Device_Configuration'!AE252)</f>
        <v/>
      </c>
      <c r="E251" s="28" t="str">
        <f>IF('12 - Device_Configuration'!AF252="","",'12 - Device_Configuration'!AF252)</f>
        <v/>
      </c>
      <c r="F251" s="28" t="str">
        <f>IF('12 - Device_Configuration'!AG252="","",'12 - Device_Configuration'!AG252)</f>
        <v/>
      </c>
      <c r="G251" s="28" t="str">
        <f>IF('12 - Device_Configuration'!AH252="","",'12 - Device_Configuration'!AH252)</f>
        <v/>
      </c>
      <c r="H251" s="28" t="str">
        <f>IF('12 - Device_Configuration'!A252="","",'12 - Device_Configuration'!A252)</f>
        <v/>
      </c>
      <c r="I251" s="28" t="str">
        <f>IF('12 - Device_Configuration'!AI252="","",'12 - Device_Configuration'!AI252)</f>
        <v/>
      </c>
      <c r="J251" s="28" t="str">
        <f>IF('12 - Device_Configuration'!AJ252="","",'12 - Device_Configuration'!AJ252)</f>
        <v/>
      </c>
      <c r="K251" s="28" t="str">
        <f>IF('12 - Device_Configuration'!AA252="","",'12 - Device_Configuration'!AA252)</f>
        <v/>
      </c>
      <c r="L251" s="28" t="str">
        <f>IF('12 - Device_Configuration'!I252="","",'12 - Device_Configuration'!I252)</f>
        <v/>
      </c>
      <c r="M251" s="29"/>
      <c r="N251" s="28" t="str">
        <f>IF('12 - Device_Configuration'!J252="","",'12 - Device_Configuration'!J252)</f>
        <v/>
      </c>
      <c r="O251" s="28" t="str">
        <f>IF('12 - Device_Configuration'!K252="","",'12 - Device_Configuration'!K252)</f>
        <v/>
      </c>
      <c r="P251" s="28" t="str">
        <f>IF('12 - Device_Configuration'!L252="","",'12 - Device_Configuration'!L252)</f>
        <v/>
      </c>
      <c r="Q251" s="29"/>
      <c r="R251" s="28" t="str">
        <f>IF('12 - Device_Configuration'!AY252="","",'12 - Device_Configuration'!AY252)</f>
        <v/>
      </c>
      <c r="S251" s="28" t="str">
        <f>IF('12 - Device_Configuration'!AX252="","",'12 - Device_Configuration'!AX252)</f>
        <v/>
      </c>
      <c r="T251" s="28" t="str">
        <f>IF('12 - Device_Configuration'!AV252="","",'12 - Device_Configuration'!AV252)</f>
        <v/>
      </c>
      <c r="U251" s="28" t="str">
        <f>IF('12 - Device_Configuration'!AW252="","",'12 - Device_Configuration'!AW252)</f>
        <v/>
      </c>
      <c r="V251" s="28" t="str">
        <f>IF('12 - Device_Configuration'!BA252="","",'12 - Device_Configuration'!BA252)</f>
        <v/>
      </c>
      <c r="W251" s="28" t="str">
        <f>IF('12 - Device_Configuration'!BC252="","",'12 - Device_Configuration'!BC252)</f>
        <v/>
      </c>
      <c r="X251" s="28" t="str">
        <f>IF('12 - Device_Configuration'!BK252="","",'12 - Device_Configuration'!BK252)</f>
        <v/>
      </c>
      <c r="Y251" s="28" t="str">
        <f>IF('12 - Device_Configuration'!BB252="","",'12 - Device_Configuration'!BB252)</f>
        <v/>
      </c>
      <c r="Z251" s="28" t="str">
        <f>IF('12 - Device_Configuration'!P252="","",'12 - Device_Configuration'!P252)</f>
        <v/>
      </c>
      <c r="AA251" s="28" t="str">
        <f>IF('12 - Device_Configuration'!Q252="","",'12 - Device_Configuration'!Q252)</f>
        <v/>
      </c>
    </row>
    <row r="252" spans="1:27">
      <c r="A252" s="29"/>
      <c r="B252" s="29"/>
      <c r="C252" s="28" t="str">
        <f>IF('12 - Device_Configuration'!H253="","",'12 - Device_Configuration'!H253)</f>
        <v/>
      </c>
      <c r="D252" s="28" t="str">
        <f>IF('12 - Device_Configuration'!AE253="","",'12 - Device_Configuration'!AE253)</f>
        <v/>
      </c>
      <c r="E252" s="28" t="str">
        <f>IF('12 - Device_Configuration'!AF253="","",'12 - Device_Configuration'!AF253)</f>
        <v/>
      </c>
      <c r="F252" s="28" t="str">
        <f>IF('12 - Device_Configuration'!AG253="","",'12 - Device_Configuration'!AG253)</f>
        <v/>
      </c>
      <c r="G252" s="28" t="str">
        <f>IF('12 - Device_Configuration'!AH253="","",'12 - Device_Configuration'!AH253)</f>
        <v/>
      </c>
      <c r="H252" s="28" t="str">
        <f>IF('12 - Device_Configuration'!A253="","",'12 - Device_Configuration'!A253)</f>
        <v/>
      </c>
      <c r="I252" s="28" t="str">
        <f>IF('12 - Device_Configuration'!AI253="","",'12 - Device_Configuration'!AI253)</f>
        <v/>
      </c>
      <c r="J252" s="28" t="str">
        <f>IF('12 - Device_Configuration'!AJ253="","",'12 - Device_Configuration'!AJ253)</f>
        <v/>
      </c>
      <c r="K252" s="28" t="str">
        <f>IF('12 - Device_Configuration'!AA253="","",'12 - Device_Configuration'!AA253)</f>
        <v/>
      </c>
      <c r="L252" s="28" t="str">
        <f>IF('12 - Device_Configuration'!I253="","",'12 - Device_Configuration'!I253)</f>
        <v/>
      </c>
      <c r="M252" s="29"/>
      <c r="N252" s="28" t="str">
        <f>IF('12 - Device_Configuration'!J253="","",'12 - Device_Configuration'!J253)</f>
        <v/>
      </c>
      <c r="O252" s="28" t="str">
        <f>IF('12 - Device_Configuration'!K253="","",'12 - Device_Configuration'!K253)</f>
        <v/>
      </c>
      <c r="P252" s="28" t="str">
        <f>IF('12 - Device_Configuration'!L253="","",'12 - Device_Configuration'!L253)</f>
        <v/>
      </c>
      <c r="Q252" s="29"/>
      <c r="R252" s="28" t="str">
        <f>IF('12 - Device_Configuration'!AY253="","",'12 - Device_Configuration'!AY253)</f>
        <v/>
      </c>
      <c r="S252" s="28" t="str">
        <f>IF('12 - Device_Configuration'!AX253="","",'12 - Device_Configuration'!AX253)</f>
        <v/>
      </c>
      <c r="T252" s="28" t="str">
        <f>IF('12 - Device_Configuration'!AV253="","",'12 - Device_Configuration'!AV253)</f>
        <v/>
      </c>
      <c r="U252" s="28" t="str">
        <f>IF('12 - Device_Configuration'!AW253="","",'12 - Device_Configuration'!AW253)</f>
        <v/>
      </c>
      <c r="V252" s="28" t="str">
        <f>IF('12 - Device_Configuration'!BA253="","",'12 - Device_Configuration'!BA253)</f>
        <v/>
      </c>
      <c r="W252" s="28" t="str">
        <f>IF('12 - Device_Configuration'!BC253="","",'12 - Device_Configuration'!BC253)</f>
        <v/>
      </c>
      <c r="X252" s="28" t="str">
        <f>IF('12 - Device_Configuration'!BK253="","",'12 - Device_Configuration'!BK253)</f>
        <v/>
      </c>
      <c r="Y252" s="28" t="str">
        <f>IF('12 - Device_Configuration'!BB253="","",'12 - Device_Configuration'!BB253)</f>
        <v/>
      </c>
      <c r="Z252" s="28" t="str">
        <f>IF('12 - Device_Configuration'!P253="","",'12 - Device_Configuration'!P253)</f>
        <v/>
      </c>
      <c r="AA252" s="28" t="str">
        <f>IF('12 - Device_Configuration'!Q253="","",'12 - Device_Configuration'!Q253)</f>
        <v/>
      </c>
    </row>
    <row r="253" spans="1:27">
      <c r="A253" s="29"/>
      <c r="B253" s="29"/>
      <c r="C253" s="28" t="str">
        <f>IF('12 - Device_Configuration'!H254="","",'12 - Device_Configuration'!H254)</f>
        <v/>
      </c>
      <c r="D253" s="28" t="str">
        <f>IF('12 - Device_Configuration'!AE254="","",'12 - Device_Configuration'!AE254)</f>
        <v/>
      </c>
      <c r="E253" s="28" t="str">
        <f>IF('12 - Device_Configuration'!AF254="","",'12 - Device_Configuration'!AF254)</f>
        <v/>
      </c>
      <c r="F253" s="28" t="str">
        <f>IF('12 - Device_Configuration'!AG254="","",'12 - Device_Configuration'!AG254)</f>
        <v/>
      </c>
      <c r="G253" s="28" t="str">
        <f>IF('12 - Device_Configuration'!AH254="","",'12 - Device_Configuration'!AH254)</f>
        <v/>
      </c>
      <c r="H253" s="28" t="str">
        <f>IF('12 - Device_Configuration'!A254="","",'12 - Device_Configuration'!A254)</f>
        <v/>
      </c>
      <c r="I253" s="28" t="str">
        <f>IF('12 - Device_Configuration'!AI254="","",'12 - Device_Configuration'!AI254)</f>
        <v/>
      </c>
      <c r="J253" s="28" t="str">
        <f>IF('12 - Device_Configuration'!AJ254="","",'12 - Device_Configuration'!AJ254)</f>
        <v/>
      </c>
      <c r="K253" s="28" t="str">
        <f>IF('12 - Device_Configuration'!AA254="","",'12 - Device_Configuration'!AA254)</f>
        <v/>
      </c>
      <c r="L253" s="28" t="str">
        <f>IF('12 - Device_Configuration'!I254="","",'12 - Device_Configuration'!I254)</f>
        <v/>
      </c>
      <c r="M253" s="29"/>
      <c r="N253" s="28" t="str">
        <f>IF('12 - Device_Configuration'!J254="","",'12 - Device_Configuration'!J254)</f>
        <v/>
      </c>
      <c r="O253" s="28" t="str">
        <f>IF('12 - Device_Configuration'!K254="","",'12 - Device_Configuration'!K254)</f>
        <v/>
      </c>
      <c r="P253" s="28" t="str">
        <f>IF('12 - Device_Configuration'!L254="","",'12 - Device_Configuration'!L254)</f>
        <v/>
      </c>
      <c r="Q253" s="29"/>
      <c r="R253" s="28" t="str">
        <f>IF('12 - Device_Configuration'!AY254="","",'12 - Device_Configuration'!AY254)</f>
        <v/>
      </c>
      <c r="S253" s="28" t="str">
        <f>IF('12 - Device_Configuration'!AX254="","",'12 - Device_Configuration'!AX254)</f>
        <v/>
      </c>
      <c r="T253" s="28" t="str">
        <f>IF('12 - Device_Configuration'!AV254="","",'12 - Device_Configuration'!AV254)</f>
        <v/>
      </c>
      <c r="U253" s="28" t="str">
        <f>IF('12 - Device_Configuration'!AW254="","",'12 - Device_Configuration'!AW254)</f>
        <v/>
      </c>
      <c r="V253" s="28" t="str">
        <f>IF('12 - Device_Configuration'!BA254="","",'12 - Device_Configuration'!BA254)</f>
        <v/>
      </c>
      <c r="W253" s="28" t="str">
        <f>IF('12 - Device_Configuration'!BC254="","",'12 - Device_Configuration'!BC254)</f>
        <v/>
      </c>
      <c r="X253" s="28" t="str">
        <f>IF('12 - Device_Configuration'!BK254="","",'12 - Device_Configuration'!BK254)</f>
        <v/>
      </c>
      <c r="Y253" s="28" t="str">
        <f>IF('12 - Device_Configuration'!BB254="","",'12 - Device_Configuration'!BB254)</f>
        <v/>
      </c>
      <c r="Z253" s="28" t="str">
        <f>IF('12 - Device_Configuration'!P254="","",'12 - Device_Configuration'!P254)</f>
        <v/>
      </c>
      <c r="AA253" s="28" t="str">
        <f>IF('12 - Device_Configuration'!Q254="","",'12 - Device_Configuration'!Q254)</f>
        <v/>
      </c>
    </row>
    <row r="254" spans="1:27">
      <c r="A254" s="29"/>
      <c r="B254" s="29"/>
      <c r="C254" s="28" t="str">
        <f>IF('12 - Device_Configuration'!H255="","",'12 - Device_Configuration'!H255)</f>
        <v/>
      </c>
      <c r="D254" s="28" t="str">
        <f>IF('12 - Device_Configuration'!AE255="","",'12 - Device_Configuration'!AE255)</f>
        <v/>
      </c>
      <c r="E254" s="28" t="str">
        <f>IF('12 - Device_Configuration'!AF255="","",'12 - Device_Configuration'!AF255)</f>
        <v/>
      </c>
      <c r="F254" s="28" t="str">
        <f>IF('12 - Device_Configuration'!AG255="","",'12 - Device_Configuration'!AG255)</f>
        <v/>
      </c>
      <c r="G254" s="28" t="str">
        <f>IF('12 - Device_Configuration'!AH255="","",'12 - Device_Configuration'!AH255)</f>
        <v/>
      </c>
      <c r="H254" s="28" t="str">
        <f>IF('12 - Device_Configuration'!A255="","",'12 - Device_Configuration'!A255)</f>
        <v/>
      </c>
      <c r="I254" s="28" t="str">
        <f>IF('12 - Device_Configuration'!AI255="","",'12 - Device_Configuration'!AI255)</f>
        <v/>
      </c>
      <c r="J254" s="28" t="str">
        <f>IF('12 - Device_Configuration'!AJ255="","",'12 - Device_Configuration'!AJ255)</f>
        <v/>
      </c>
      <c r="K254" s="28" t="str">
        <f>IF('12 - Device_Configuration'!AA255="","",'12 - Device_Configuration'!AA255)</f>
        <v/>
      </c>
      <c r="L254" s="28" t="str">
        <f>IF('12 - Device_Configuration'!I255="","",'12 - Device_Configuration'!I255)</f>
        <v/>
      </c>
      <c r="M254" s="29"/>
      <c r="N254" s="28" t="str">
        <f>IF('12 - Device_Configuration'!J255="","",'12 - Device_Configuration'!J255)</f>
        <v/>
      </c>
      <c r="O254" s="28" t="str">
        <f>IF('12 - Device_Configuration'!K255="","",'12 - Device_Configuration'!K255)</f>
        <v/>
      </c>
      <c r="P254" s="28" t="str">
        <f>IF('12 - Device_Configuration'!L255="","",'12 - Device_Configuration'!L255)</f>
        <v/>
      </c>
      <c r="Q254" s="29"/>
      <c r="R254" s="28" t="str">
        <f>IF('12 - Device_Configuration'!AY255="","",'12 - Device_Configuration'!AY255)</f>
        <v/>
      </c>
      <c r="S254" s="28" t="str">
        <f>IF('12 - Device_Configuration'!AX255="","",'12 - Device_Configuration'!AX255)</f>
        <v/>
      </c>
      <c r="T254" s="28" t="str">
        <f>IF('12 - Device_Configuration'!AV255="","",'12 - Device_Configuration'!AV255)</f>
        <v/>
      </c>
      <c r="U254" s="28" t="str">
        <f>IF('12 - Device_Configuration'!AW255="","",'12 - Device_Configuration'!AW255)</f>
        <v/>
      </c>
      <c r="V254" s="28" t="str">
        <f>IF('12 - Device_Configuration'!BA255="","",'12 - Device_Configuration'!BA255)</f>
        <v/>
      </c>
      <c r="W254" s="28" t="str">
        <f>IF('12 - Device_Configuration'!BC255="","",'12 - Device_Configuration'!BC255)</f>
        <v/>
      </c>
      <c r="X254" s="28" t="str">
        <f>IF('12 - Device_Configuration'!BK255="","",'12 - Device_Configuration'!BK255)</f>
        <v/>
      </c>
      <c r="Y254" s="28" t="str">
        <f>IF('12 - Device_Configuration'!BB255="","",'12 - Device_Configuration'!BB255)</f>
        <v/>
      </c>
      <c r="Z254" s="28" t="str">
        <f>IF('12 - Device_Configuration'!P255="","",'12 - Device_Configuration'!P255)</f>
        <v/>
      </c>
      <c r="AA254" s="28" t="str">
        <f>IF('12 - Device_Configuration'!Q255="","",'12 - Device_Configuration'!Q255)</f>
        <v/>
      </c>
    </row>
    <row r="255" spans="1:27">
      <c r="A255" s="29"/>
      <c r="B255" s="29"/>
      <c r="C255" s="28" t="str">
        <f>IF('12 - Device_Configuration'!H256="","",'12 - Device_Configuration'!H256)</f>
        <v/>
      </c>
      <c r="D255" s="28" t="str">
        <f>IF('12 - Device_Configuration'!AE256="","",'12 - Device_Configuration'!AE256)</f>
        <v/>
      </c>
      <c r="E255" s="28" t="str">
        <f>IF('12 - Device_Configuration'!AF256="","",'12 - Device_Configuration'!AF256)</f>
        <v/>
      </c>
      <c r="F255" s="28" t="str">
        <f>IF('12 - Device_Configuration'!AG256="","",'12 - Device_Configuration'!AG256)</f>
        <v/>
      </c>
      <c r="G255" s="28" t="str">
        <f>IF('12 - Device_Configuration'!AH256="","",'12 - Device_Configuration'!AH256)</f>
        <v/>
      </c>
      <c r="H255" s="28" t="str">
        <f>IF('12 - Device_Configuration'!A256="","",'12 - Device_Configuration'!A256)</f>
        <v/>
      </c>
      <c r="I255" s="28" t="str">
        <f>IF('12 - Device_Configuration'!AI256="","",'12 - Device_Configuration'!AI256)</f>
        <v/>
      </c>
      <c r="J255" s="28" t="str">
        <f>IF('12 - Device_Configuration'!AJ256="","",'12 - Device_Configuration'!AJ256)</f>
        <v/>
      </c>
      <c r="K255" s="28" t="str">
        <f>IF('12 - Device_Configuration'!AA256="","",'12 - Device_Configuration'!AA256)</f>
        <v/>
      </c>
      <c r="L255" s="28" t="str">
        <f>IF('12 - Device_Configuration'!I256="","",'12 - Device_Configuration'!I256)</f>
        <v/>
      </c>
      <c r="M255" s="29"/>
      <c r="N255" s="28" t="str">
        <f>IF('12 - Device_Configuration'!J256="","",'12 - Device_Configuration'!J256)</f>
        <v/>
      </c>
      <c r="O255" s="28" t="str">
        <f>IF('12 - Device_Configuration'!K256="","",'12 - Device_Configuration'!K256)</f>
        <v/>
      </c>
      <c r="P255" s="28" t="str">
        <f>IF('12 - Device_Configuration'!L256="","",'12 - Device_Configuration'!L256)</f>
        <v/>
      </c>
      <c r="Q255" s="29"/>
      <c r="R255" s="28" t="str">
        <f>IF('12 - Device_Configuration'!AY256="","",'12 - Device_Configuration'!AY256)</f>
        <v/>
      </c>
      <c r="S255" s="28" t="str">
        <f>IF('12 - Device_Configuration'!AX256="","",'12 - Device_Configuration'!AX256)</f>
        <v/>
      </c>
      <c r="T255" s="28" t="str">
        <f>IF('12 - Device_Configuration'!AV256="","",'12 - Device_Configuration'!AV256)</f>
        <v/>
      </c>
      <c r="U255" s="28" t="str">
        <f>IF('12 - Device_Configuration'!AW256="","",'12 - Device_Configuration'!AW256)</f>
        <v/>
      </c>
      <c r="V255" s="28" t="str">
        <f>IF('12 - Device_Configuration'!BA256="","",'12 - Device_Configuration'!BA256)</f>
        <v/>
      </c>
      <c r="W255" s="28" t="str">
        <f>IF('12 - Device_Configuration'!BC256="","",'12 - Device_Configuration'!BC256)</f>
        <v/>
      </c>
      <c r="X255" s="28" t="str">
        <f>IF('12 - Device_Configuration'!BK256="","",'12 - Device_Configuration'!BK256)</f>
        <v/>
      </c>
      <c r="Y255" s="28" t="str">
        <f>IF('12 - Device_Configuration'!BB256="","",'12 - Device_Configuration'!BB256)</f>
        <v/>
      </c>
      <c r="Z255" s="28" t="str">
        <f>IF('12 - Device_Configuration'!P256="","",'12 - Device_Configuration'!P256)</f>
        <v/>
      </c>
      <c r="AA255" s="28" t="str">
        <f>IF('12 - Device_Configuration'!Q256="","",'12 - Device_Configuration'!Q256)</f>
        <v/>
      </c>
    </row>
    <row r="256" spans="1:27">
      <c r="A256" s="29"/>
      <c r="B256" s="29"/>
      <c r="C256" s="28" t="str">
        <f>IF('12 - Device_Configuration'!H257="","",'12 - Device_Configuration'!H257)</f>
        <v/>
      </c>
      <c r="D256" s="28" t="str">
        <f>IF('12 - Device_Configuration'!AE257="","",'12 - Device_Configuration'!AE257)</f>
        <v/>
      </c>
      <c r="E256" s="28" t="str">
        <f>IF('12 - Device_Configuration'!AF257="","",'12 - Device_Configuration'!AF257)</f>
        <v/>
      </c>
      <c r="F256" s="28" t="str">
        <f>IF('12 - Device_Configuration'!AG257="","",'12 - Device_Configuration'!AG257)</f>
        <v/>
      </c>
      <c r="G256" s="28" t="str">
        <f>IF('12 - Device_Configuration'!AH257="","",'12 - Device_Configuration'!AH257)</f>
        <v/>
      </c>
      <c r="H256" s="28" t="str">
        <f>IF('12 - Device_Configuration'!A257="","",'12 - Device_Configuration'!A257)</f>
        <v/>
      </c>
      <c r="I256" s="28" t="str">
        <f>IF('12 - Device_Configuration'!AI257="","",'12 - Device_Configuration'!AI257)</f>
        <v/>
      </c>
      <c r="J256" s="28" t="str">
        <f>IF('12 - Device_Configuration'!AJ257="","",'12 - Device_Configuration'!AJ257)</f>
        <v/>
      </c>
      <c r="K256" s="28" t="str">
        <f>IF('12 - Device_Configuration'!AA257="","",'12 - Device_Configuration'!AA257)</f>
        <v/>
      </c>
      <c r="L256" s="28" t="str">
        <f>IF('12 - Device_Configuration'!I257="","",'12 - Device_Configuration'!I257)</f>
        <v/>
      </c>
      <c r="M256" s="29"/>
      <c r="N256" s="28" t="str">
        <f>IF('12 - Device_Configuration'!J257="","",'12 - Device_Configuration'!J257)</f>
        <v/>
      </c>
      <c r="O256" s="28" t="str">
        <f>IF('12 - Device_Configuration'!K257="","",'12 - Device_Configuration'!K257)</f>
        <v/>
      </c>
      <c r="P256" s="28" t="str">
        <f>IF('12 - Device_Configuration'!L257="","",'12 - Device_Configuration'!L257)</f>
        <v/>
      </c>
      <c r="Q256" s="29"/>
      <c r="R256" s="28" t="str">
        <f>IF('12 - Device_Configuration'!AY257="","",'12 - Device_Configuration'!AY257)</f>
        <v/>
      </c>
      <c r="S256" s="28" t="str">
        <f>IF('12 - Device_Configuration'!AX257="","",'12 - Device_Configuration'!AX257)</f>
        <v/>
      </c>
      <c r="T256" s="28" t="str">
        <f>IF('12 - Device_Configuration'!AV257="","",'12 - Device_Configuration'!AV257)</f>
        <v/>
      </c>
      <c r="U256" s="28" t="str">
        <f>IF('12 - Device_Configuration'!AW257="","",'12 - Device_Configuration'!AW257)</f>
        <v/>
      </c>
      <c r="V256" s="28" t="str">
        <f>IF('12 - Device_Configuration'!BA257="","",'12 - Device_Configuration'!BA257)</f>
        <v/>
      </c>
      <c r="W256" s="28" t="str">
        <f>IF('12 - Device_Configuration'!BC257="","",'12 - Device_Configuration'!BC257)</f>
        <v/>
      </c>
      <c r="X256" s="28" t="str">
        <f>IF('12 - Device_Configuration'!BK257="","",'12 - Device_Configuration'!BK257)</f>
        <v/>
      </c>
      <c r="Y256" s="28" t="str">
        <f>IF('12 - Device_Configuration'!BB257="","",'12 - Device_Configuration'!BB257)</f>
        <v/>
      </c>
      <c r="Z256" s="28" t="str">
        <f>IF('12 - Device_Configuration'!P257="","",'12 - Device_Configuration'!P257)</f>
        <v/>
      </c>
      <c r="AA256" s="28" t="str">
        <f>IF('12 - Device_Configuration'!Q257="","",'12 - Device_Configuration'!Q257)</f>
        <v/>
      </c>
    </row>
    <row r="257" spans="1:27">
      <c r="A257" s="29"/>
      <c r="B257" s="29"/>
      <c r="C257" s="28" t="str">
        <f>IF('12 - Device_Configuration'!H258="","",'12 - Device_Configuration'!H258)</f>
        <v/>
      </c>
      <c r="D257" s="28" t="str">
        <f>IF('12 - Device_Configuration'!AE258="","",'12 - Device_Configuration'!AE258)</f>
        <v/>
      </c>
      <c r="E257" s="28" t="str">
        <f>IF('12 - Device_Configuration'!AF258="","",'12 - Device_Configuration'!AF258)</f>
        <v/>
      </c>
      <c r="F257" s="28" t="str">
        <f>IF('12 - Device_Configuration'!AG258="","",'12 - Device_Configuration'!AG258)</f>
        <v/>
      </c>
      <c r="G257" s="28" t="str">
        <f>IF('12 - Device_Configuration'!AH258="","",'12 - Device_Configuration'!AH258)</f>
        <v/>
      </c>
      <c r="H257" s="28" t="str">
        <f>IF('12 - Device_Configuration'!A258="","",'12 - Device_Configuration'!A258)</f>
        <v/>
      </c>
      <c r="I257" s="28" t="str">
        <f>IF('12 - Device_Configuration'!AI258="","",'12 - Device_Configuration'!AI258)</f>
        <v/>
      </c>
      <c r="J257" s="28" t="str">
        <f>IF('12 - Device_Configuration'!AJ258="","",'12 - Device_Configuration'!AJ258)</f>
        <v/>
      </c>
      <c r="K257" s="28" t="str">
        <f>IF('12 - Device_Configuration'!AA258="","",'12 - Device_Configuration'!AA258)</f>
        <v/>
      </c>
      <c r="L257" s="28" t="str">
        <f>IF('12 - Device_Configuration'!I258="","",'12 - Device_Configuration'!I258)</f>
        <v/>
      </c>
      <c r="M257" s="29"/>
      <c r="N257" s="28" t="str">
        <f>IF('12 - Device_Configuration'!J258="","",'12 - Device_Configuration'!J258)</f>
        <v/>
      </c>
      <c r="O257" s="28" t="str">
        <f>IF('12 - Device_Configuration'!K258="","",'12 - Device_Configuration'!K258)</f>
        <v/>
      </c>
      <c r="P257" s="28" t="str">
        <f>IF('12 - Device_Configuration'!L258="","",'12 - Device_Configuration'!L258)</f>
        <v/>
      </c>
      <c r="Q257" s="29"/>
      <c r="R257" s="28" t="str">
        <f>IF('12 - Device_Configuration'!AY258="","",'12 - Device_Configuration'!AY258)</f>
        <v/>
      </c>
      <c r="S257" s="28" t="str">
        <f>IF('12 - Device_Configuration'!AX258="","",'12 - Device_Configuration'!AX258)</f>
        <v/>
      </c>
      <c r="T257" s="28" t="str">
        <f>IF('12 - Device_Configuration'!AV258="","",'12 - Device_Configuration'!AV258)</f>
        <v/>
      </c>
      <c r="U257" s="28" t="str">
        <f>IF('12 - Device_Configuration'!AW258="","",'12 - Device_Configuration'!AW258)</f>
        <v/>
      </c>
      <c r="V257" s="28" t="str">
        <f>IF('12 - Device_Configuration'!BA258="","",'12 - Device_Configuration'!BA258)</f>
        <v/>
      </c>
      <c r="W257" s="28" t="str">
        <f>IF('12 - Device_Configuration'!BC258="","",'12 - Device_Configuration'!BC258)</f>
        <v/>
      </c>
      <c r="X257" s="28" t="str">
        <f>IF('12 - Device_Configuration'!BK258="","",'12 - Device_Configuration'!BK258)</f>
        <v/>
      </c>
      <c r="Y257" s="28" t="str">
        <f>IF('12 - Device_Configuration'!BB258="","",'12 - Device_Configuration'!BB258)</f>
        <v/>
      </c>
      <c r="Z257" s="28" t="str">
        <f>IF('12 - Device_Configuration'!P258="","",'12 - Device_Configuration'!P258)</f>
        <v/>
      </c>
      <c r="AA257" s="28" t="str">
        <f>IF('12 - Device_Configuration'!Q258="","",'12 - Device_Configuration'!Q258)</f>
        <v/>
      </c>
    </row>
    <row r="258" spans="1:27">
      <c r="A258" s="29"/>
      <c r="B258" s="29"/>
      <c r="C258" s="28" t="str">
        <f>IF('12 - Device_Configuration'!H259="","",'12 - Device_Configuration'!H259)</f>
        <v/>
      </c>
      <c r="D258" s="28" t="str">
        <f>IF('12 - Device_Configuration'!AE259="","",'12 - Device_Configuration'!AE259)</f>
        <v/>
      </c>
      <c r="E258" s="28" t="str">
        <f>IF('12 - Device_Configuration'!AF259="","",'12 - Device_Configuration'!AF259)</f>
        <v/>
      </c>
      <c r="F258" s="28" t="str">
        <f>IF('12 - Device_Configuration'!AG259="","",'12 - Device_Configuration'!AG259)</f>
        <v/>
      </c>
      <c r="G258" s="28" t="str">
        <f>IF('12 - Device_Configuration'!AH259="","",'12 - Device_Configuration'!AH259)</f>
        <v/>
      </c>
      <c r="H258" s="28" t="str">
        <f>IF('12 - Device_Configuration'!A259="","",'12 - Device_Configuration'!A259)</f>
        <v/>
      </c>
      <c r="I258" s="28" t="str">
        <f>IF('12 - Device_Configuration'!AI259="","",'12 - Device_Configuration'!AI259)</f>
        <v/>
      </c>
      <c r="J258" s="28" t="str">
        <f>IF('12 - Device_Configuration'!AJ259="","",'12 - Device_Configuration'!AJ259)</f>
        <v/>
      </c>
      <c r="K258" s="28" t="str">
        <f>IF('12 - Device_Configuration'!AA259="","",'12 - Device_Configuration'!AA259)</f>
        <v/>
      </c>
      <c r="L258" s="28" t="str">
        <f>IF('12 - Device_Configuration'!I259="","",'12 - Device_Configuration'!I259)</f>
        <v/>
      </c>
      <c r="M258" s="29"/>
      <c r="N258" s="28" t="str">
        <f>IF('12 - Device_Configuration'!J259="","",'12 - Device_Configuration'!J259)</f>
        <v/>
      </c>
      <c r="O258" s="28" t="str">
        <f>IF('12 - Device_Configuration'!K259="","",'12 - Device_Configuration'!K259)</f>
        <v/>
      </c>
      <c r="P258" s="28" t="str">
        <f>IF('12 - Device_Configuration'!L259="","",'12 - Device_Configuration'!L259)</f>
        <v/>
      </c>
      <c r="Q258" s="29"/>
      <c r="R258" s="28" t="str">
        <f>IF('12 - Device_Configuration'!AY259="","",'12 - Device_Configuration'!AY259)</f>
        <v/>
      </c>
      <c r="S258" s="28" t="str">
        <f>IF('12 - Device_Configuration'!AX259="","",'12 - Device_Configuration'!AX259)</f>
        <v/>
      </c>
      <c r="T258" s="28" t="str">
        <f>IF('12 - Device_Configuration'!AV259="","",'12 - Device_Configuration'!AV259)</f>
        <v/>
      </c>
      <c r="U258" s="28" t="str">
        <f>IF('12 - Device_Configuration'!AW259="","",'12 - Device_Configuration'!AW259)</f>
        <v/>
      </c>
      <c r="V258" s="28" t="str">
        <f>IF('12 - Device_Configuration'!BA259="","",'12 - Device_Configuration'!BA259)</f>
        <v/>
      </c>
      <c r="W258" s="28" t="str">
        <f>IF('12 - Device_Configuration'!BC259="","",'12 - Device_Configuration'!BC259)</f>
        <v/>
      </c>
      <c r="X258" s="28" t="str">
        <f>IF('12 - Device_Configuration'!BK259="","",'12 - Device_Configuration'!BK259)</f>
        <v/>
      </c>
      <c r="Y258" s="28" t="str">
        <f>IF('12 - Device_Configuration'!BB259="","",'12 - Device_Configuration'!BB259)</f>
        <v/>
      </c>
      <c r="Z258" s="28" t="str">
        <f>IF('12 - Device_Configuration'!P259="","",'12 - Device_Configuration'!P259)</f>
        <v/>
      </c>
      <c r="AA258" s="28" t="str">
        <f>IF('12 - Device_Configuration'!Q259="","",'12 - Device_Configuration'!Q259)</f>
        <v/>
      </c>
    </row>
    <row r="259" spans="1:27">
      <c r="A259" s="29"/>
      <c r="B259" s="29"/>
      <c r="C259" s="28" t="str">
        <f>IF('12 - Device_Configuration'!H260="","",'12 - Device_Configuration'!H260)</f>
        <v/>
      </c>
      <c r="D259" s="28" t="str">
        <f>IF('12 - Device_Configuration'!AE260="","",'12 - Device_Configuration'!AE260)</f>
        <v/>
      </c>
      <c r="E259" s="28" t="str">
        <f>IF('12 - Device_Configuration'!AF260="","",'12 - Device_Configuration'!AF260)</f>
        <v/>
      </c>
      <c r="F259" s="28" t="str">
        <f>IF('12 - Device_Configuration'!AG260="","",'12 - Device_Configuration'!AG260)</f>
        <v/>
      </c>
      <c r="G259" s="28" t="str">
        <f>IF('12 - Device_Configuration'!AH260="","",'12 - Device_Configuration'!AH260)</f>
        <v/>
      </c>
      <c r="H259" s="28" t="str">
        <f>IF('12 - Device_Configuration'!A260="","",'12 - Device_Configuration'!A260)</f>
        <v/>
      </c>
      <c r="I259" s="28" t="str">
        <f>IF('12 - Device_Configuration'!AI260="","",'12 - Device_Configuration'!AI260)</f>
        <v/>
      </c>
      <c r="J259" s="28" t="str">
        <f>IF('12 - Device_Configuration'!AJ260="","",'12 - Device_Configuration'!AJ260)</f>
        <v/>
      </c>
      <c r="K259" s="28" t="str">
        <f>IF('12 - Device_Configuration'!AA260="","",'12 - Device_Configuration'!AA260)</f>
        <v/>
      </c>
      <c r="L259" s="28" t="str">
        <f>IF('12 - Device_Configuration'!I260="","",'12 - Device_Configuration'!I260)</f>
        <v/>
      </c>
      <c r="M259" s="29"/>
      <c r="N259" s="28" t="str">
        <f>IF('12 - Device_Configuration'!J260="","",'12 - Device_Configuration'!J260)</f>
        <v/>
      </c>
      <c r="O259" s="28" t="str">
        <f>IF('12 - Device_Configuration'!K260="","",'12 - Device_Configuration'!K260)</f>
        <v/>
      </c>
      <c r="P259" s="28" t="str">
        <f>IF('12 - Device_Configuration'!L260="","",'12 - Device_Configuration'!L260)</f>
        <v/>
      </c>
      <c r="Q259" s="29"/>
      <c r="R259" s="28" t="str">
        <f>IF('12 - Device_Configuration'!AY260="","",'12 - Device_Configuration'!AY260)</f>
        <v/>
      </c>
      <c r="S259" s="28" t="str">
        <f>IF('12 - Device_Configuration'!AX260="","",'12 - Device_Configuration'!AX260)</f>
        <v/>
      </c>
      <c r="T259" s="28" t="str">
        <f>IF('12 - Device_Configuration'!AV260="","",'12 - Device_Configuration'!AV260)</f>
        <v/>
      </c>
      <c r="U259" s="28" t="str">
        <f>IF('12 - Device_Configuration'!AW260="","",'12 - Device_Configuration'!AW260)</f>
        <v/>
      </c>
      <c r="V259" s="28" t="str">
        <f>IF('12 - Device_Configuration'!BA260="","",'12 - Device_Configuration'!BA260)</f>
        <v/>
      </c>
      <c r="W259" s="28" t="str">
        <f>IF('12 - Device_Configuration'!BC260="","",'12 - Device_Configuration'!BC260)</f>
        <v/>
      </c>
      <c r="X259" s="28" t="str">
        <f>IF('12 - Device_Configuration'!BK260="","",'12 - Device_Configuration'!BK260)</f>
        <v/>
      </c>
      <c r="Y259" s="28" t="str">
        <f>IF('12 - Device_Configuration'!BB260="","",'12 - Device_Configuration'!BB260)</f>
        <v/>
      </c>
      <c r="Z259" s="28" t="str">
        <f>IF('12 - Device_Configuration'!P260="","",'12 - Device_Configuration'!P260)</f>
        <v/>
      </c>
      <c r="AA259" s="28" t="str">
        <f>IF('12 - Device_Configuration'!Q260="","",'12 - Device_Configuration'!Q260)</f>
        <v/>
      </c>
    </row>
    <row r="260" spans="1:27">
      <c r="A260" s="29"/>
      <c r="B260" s="29"/>
      <c r="C260" s="28" t="str">
        <f>IF('12 - Device_Configuration'!H261="","",'12 - Device_Configuration'!H261)</f>
        <v/>
      </c>
      <c r="D260" s="28" t="str">
        <f>IF('12 - Device_Configuration'!AE261="","",'12 - Device_Configuration'!AE261)</f>
        <v/>
      </c>
      <c r="E260" s="28" t="str">
        <f>IF('12 - Device_Configuration'!AF261="","",'12 - Device_Configuration'!AF261)</f>
        <v/>
      </c>
      <c r="F260" s="28" t="str">
        <f>IF('12 - Device_Configuration'!AG261="","",'12 - Device_Configuration'!AG261)</f>
        <v/>
      </c>
      <c r="G260" s="28" t="str">
        <f>IF('12 - Device_Configuration'!AH261="","",'12 - Device_Configuration'!AH261)</f>
        <v/>
      </c>
      <c r="H260" s="28" t="str">
        <f>IF('12 - Device_Configuration'!A261="","",'12 - Device_Configuration'!A261)</f>
        <v/>
      </c>
      <c r="I260" s="28" t="str">
        <f>IF('12 - Device_Configuration'!AI261="","",'12 - Device_Configuration'!AI261)</f>
        <v/>
      </c>
      <c r="J260" s="28" t="str">
        <f>IF('12 - Device_Configuration'!AJ261="","",'12 - Device_Configuration'!AJ261)</f>
        <v/>
      </c>
      <c r="K260" s="28" t="str">
        <f>IF('12 - Device_Configuration'!AA261="","",'12 - Device_Configuration'!AA261)</f>
        <v/>
      </c>
      <c r="L260" s="28" t="str">
        <f>IF('12 - Device_Configuration'!I261="","",'12 - Device_Configuration'!I261)</f>
        <v/>
      </c>
      <c r="M260" s="29"/>
      <c r="N260" s="28" t="str">
        <f>IF('12 - Device_Configuration'!J261="","",'12 - Device_Configuration'!J261)</f>
        <v/>
      </c>
      <c r="O260" s="28" t="str">
        <f>IF('12 - Device_Configuration'!K261="","",'12 - Device_Configuration'!K261)</f>
        <v/>
      </c>
      <c r="P260" s="28" t="str">
        <f>IF('12 - Device_Configuration'!L261="","",'12 - Device_Configuration'!L261)</f>
        <v/>
      </c>
      <c r="Q260" s="29"/>
      <c r="R260" s="28" t="str">
        <f>IF('12 - Device_Configuration'!AY261="","",'12 - Device_Configuration'!AY261)</f>
        <v/>
      </c>
      <c r="S260" s="28" t="str">
        <f>IF('12 - Device_Configuration'!AX261="","",'12 - Device_Configuration'!AX261)</f>
        <v/>
      </c>
      <c r="T260" s="28" t="str">
        <f>IF('12 - Device_Configuration'!AV261="","",'12 - Device_Configuration'!AV261)</f>
        <v/>
      </c>
      <c r="U260" s="28" t="str">
        <f>IF('12 - Device_Configuration'!AW261="","",'12 - Device_Configuration'!AW261)</f>
        <v/>
      </c>
      <c r="V260" s="28" t="str">
        <f>IF('12 - Device_Configuration'!BA261="","",'12 - Device_Configuration'!BA261)</f>
        <v/>
      </c>
      <c r="W260" s="28" t="str">
        <f>IF('12 - Device_Configuration'!BC261="","",'12 - Device_Configuration'!BC261)</f>
        <v/>
      </c>
      <c r="X260" s="28" t="str">
        <f>IF('12 - Device_Configuration'!BK261="","",'12 - Device_Configuration'!BK261)</f>
        <v/>
      </c>
      <c r="Y260" s="28" t="str">
        <f>IF('12 - Device_Configuration'!BB261="","",'12 - Device_Configuration'!BB261)</f>
        <v/>
      </c>
      <c r="Z260" s="28" t="str">
        <f>IF('12 - Device_Configuration'!P261="","",'12 - Device_Configuration'!P261)</f>
        <v/>
      </c>
      <c r="AA260" s="28" t="str">
        <f>IF('12 - Device_Configuration'!Q261="","",'12 - Device_Configuration'!Q261)</f>
        <v/>
      </c>
    </row>
    <row r="261" spans="1:27">
      <c r="A261" s="29"/>
      <c r="B261" s="29"/>
      <c r="C261" s="28" t="str">
        <f>IF('12 - Device_Configuration'!H262="","",'12 - Device_Configuration'!H262)</f>
        <v/>
      </c>
      <c r="D261" s="28" t="str">
        <f>IF('12 - Device_Configuration'!AE262="","",'12 - Device_Configuration'!AE262)</f>
        <v/>
      </c>
      <c r="E261" s="28" t="str">
        <f>IF('12 - Device_Configuration'!AF262="","",'12 - Device_Configuration'!AF262)</f>
        <v/>
      </c>
      <c r="F261" s="28" t="str">
        <f>IF('12 - Device_Configuration'!AG262="","",'12 - Device_Configuration'!AG262)</f>
        <v/>
      </c>
      <c r="G261" s="28" t="str">
        <f>IF('12 - Device_Configuration'!AH262="","",'12 - Device_Configuration'!AH262)</f>
        <v/>
      </c>
      <c r="H261" s="28" t="str">
        <f>IF('12 - Device_Configuration'!A262="","",'12 - Device_Configuration'!A262)</f>
        <v/>
      </c>
      <c r="I261" s="28" t="str">
        <f>IF('12 - Device_Configuration'!AI262="","",'12 - Device_Configuration'!AI262)</f>
        <v/>
      </c>
      <c r="J261" s="28" t="str">
        <f>IF('12 - Device_Configuration'!AJ262="","",'12 - Device_Configuration'!AJ262)</f>
        <v/>
      </c>
      <c r="K261" s="28" t="str">
        <f>IF('12 - Device_Configuration'!AA262="","",'12 - Device_Configuration'!AA262)</f>
        <v/>
      </c>
      <c r="L261" s="28" t="str">
        <f>IF('12 - Device_Configuration'!I262="","",'12 - Device_Configuration'!I262)</f>
        <v/>
      </c>
      <c r="M261" s="29"/>
      <c r="N261" s="28" t="str">
        <f>IF('12 - Device_Configuration'!J262="","",'12 - Device_Configuration'!J262)</f>
        <v/>
      </c>
      <c r="O261" s="28" t="str">
        <f>IF('12 - Device_Configuration'!K262="","",'12 - Device_Configuration'!K262)</f>
        <v/>
      </c>
      <c r="P261" s="28" t="str">
        <f>IF('12 - Device_Configuration'!L262="","",'12 - Device_Configuration'!L262)</f>
        <v/>
      </c>
      <c r="Q261" s="29"/>
      <c r="R261" s="28" t="str">
        <f>IF('12 - Device_Configuration'!AY262="","",'12 - Device_Configuration'!AY262)</f>
        <v/>
      </c>
      <c r="S261" s="28" t="str">
        <f>IF('12 - Device_Configuration'!AX262="","",'12 - Device_Configuration'!AX262)</f>
        <v/>
      </c>
      <c r="T261" s="28" t="str">
        <f>IF('12 - Device_Configuration'!AV262="","",'12 - Device_Configuration'!AV262)</f>
        <v/>
      </c>
      <c r="U261" s="28" t="str">
        <f>IF('12 - Device_Configuration'!AW262="","",'12 - Device_Configuration'!AW262)</f>
        <v/>
      </c>
      <c r="V261" s="28" t="str">
        <f>IF('12 - Device_Configuration'!BA262="","",'12 - Device_Configuration'!BA262)</f>
        <v/>
      </c>
      <c r="W261" s="28" t="str">
        <f>IF('12 - Device_Configuration'!BC262="","",'12 - Device_Configuration'!BC262)</f>
        <v/>
      </c>
      <c r="X261" s="28" t="str">
        <f>IF('12 - Device_Configuration'!BK262="","",'12 - Device_Configuration'!BK262)</f>
        <v/>
      </c>
      <c r="Y261" s="28" t="str">
        <f>IF('12 - Device_Configuration'!BB262="","",'12 - Device_Configuration'!BB262)</f>
        <v/>
      </c>
      <c r="Z261" s="28" t="str">
        <f>IF('12 - Device_Configuration'!P262="","",'12 - Device_Configuration'!P262)</f>
        <v/>
      </c>
      <c r="AA261" s="28" t="str">
        <f>IF('12 - Device_Configuration'!Q262="","",'12 - Device_Configuration'!Q262)</f>
        <v/>
      </c>
    </row>
    <row r="262" spans="1:27">
      <c r="A262" s="29"/>
      <c r="B262" s="29"/>
      <c r="C262" s="28" t="str">
        <f>IF('12 - Device_Configuration'!H263="","",'12 - Device_Configuration'!H263)</f>
        <v/>
      </c>
      <c r="D262" s="28" t="str">
        <f>IF('12 - Device_Configuration'!AE263="","",'12 - Device_Configuration'!AE263)</f>
        <v/>
      </c>
      <c r="E262" s="28" t="str">
        <f>IF('12 - Device_Configuration'!AF263="","",'12 - Device_Configuration'!AF263)</f>
        <v/>
      </c>
      <c r="F262" s="28" t="str">
        <f>IF('12 - Device_Configuration'!AG263="","",'12 - Device_Configuration'!AG263)</f>
        <v/>
      </c>
      <c r="G262" s="28" t="str">
        <f>IF('12 - Device_Configuration'!AH263="","",'12 - Device_Configuration'!AH263)</f>
        <v/>
      </c>
      <c r="H262" s="28" t="str">
        <f>IF('12 - Device_Configuration'!A263="","",'12 - Device_Configuration'!A263)</f>
        <v/>
      </c>
      <c r="I262" s="28" t="str">
        <f>IF('12 - Device_Configuration'!AI263="","",'12 - Device_Configuration'!AI263)</f>
        <v/>
      </c>
      <c r="J262" s="28" t="str">
        <f>IF('12 - Device_Configuration'!AJ263="","",'12 - Device_Configuration'!AJ263)</f>
        <v/>
      </c>
      <c r="K262" s="28" t="str">
        <f>IF('12 - Device_Configuration'!AA263="","",'12 - Device_Configuration'!AA263)</f>
        <v/>
      </c>
      <c r="L262" s="28" t="str">
        <f>IF('12 - Device_Configuration'!I263="","",'12 - Device_Configuration'!I263)</f>
        <v/>
      </c>
      <c r="M262" s="29"/>
      <c r="N262" s="28" t="str">
        <f>IF('12 - Device_Configuration'!J263="","",'12 - Device_Configuration'!J263)</f>
        <v/>
      </c>
      <c r="O262" s="28" t="str">
        <f>IF('12 - Device_Configuration'!K263="","",'12 - Device_Configuration'!K263)</f>
        <v/>
      </c>
      <c r="P262" s="28" t="str">
        <f>IF('12 - Device_Configuration'!L263="","",'12 - Device_Configuration'!L263)</f>
        <v/>
      </c>
      <c r="Q262" s="29"/>
      <c r="R262" s="28" t="str">
        <f>IF('12 - Device_Configuration'!AY263="","",'12 - Device_Configuration'!AY263)</f>
        <v/>
      </c>
      <c r="S262" s="28" t="str">
        <f>IF('12 - Device_Configuration'!AX263="","",'12 - Device_Configuration'!AX263)</f>
        <v/>
      </c>
      <c r="T262" s="28" t="str">
        <f>IF('12 - Device_Configuration'!AV263="","",'12 - Device_Configuration'!AV263)</f>
        <v/>
      </c>
      <c r="U262" s="28" t="str">
        <f>IF('12 - Device_Configuration'!AW263="","",'12 - Device_Configuration'!AW263)</f>
        <v/>
      </c>
      <c r="V262" s="28" t="str">
        <f>IF('12 - Device_Configuration'!BA263="","",'12 - Device_Configuration'!BA263)</f>
        <v/>
      </c>
      <c r="W262" s="28" t="str">
        <f>IF('12 - Device_Configuration'!BC263="","",'12 - Device_Configuration'!BC263)</f>
        <v/>
      </c>
      <c r="X262" s="28" t="str">
        <f>IF('12 - Device_Configuration'!BK263="","",'12 - Device_Configuration'!BK263)</f>
        <v/>
      </c>
      <c r="Y262" s="28" t="str">
        <f>IF('12 - Device_Configuration'!BB263="","",'12 - Device_Configuration'!BB263)</f>
        <v/>
      </c>
      <c r="Z262" s="28" t="str">
        <f>IF('12 - Device_Configuration'!P263="","",'12 - Device_Configuration'!P263)</f>
        <v/>
      </c>
      <c r="AA262" s="28" t="str">
        <f>IF('12 - Device_Configuration'!Q263="","",'12 - Device_Configuration'!Q263)</f>
        <v/>
      </c>
    </row>
    <row r="263" spans="1:27">
      <c r="A263" s="29"/>
      <c r="B263" s="29"/>
      <c r="C263" s="28" t="str">
        <f>IF('12 - Device_Configuration'!H264="","",'12 - Device_Configuration'!H264)</f>
        <v/>
      </c>
      <c r="D263" s="28" t="str">
        <f>IF('12 - Device_Configuration'!AE264="","",'12 - Device_Configuration'!AE264)</f>
        <v/>
      </c>
      <c r="E263" s="28" t="str">
        <f>IF('12 - Device_Configuration'!AF264="","",'12 - Device_Configuration'!AF264)</f>
        <v/>
      </c>
      <c r="F263" s="28" t="str">
        <f>IF('12 - Device_Configuration'!AG264="","",'12 - Device_Configuration'!AG264)</f>
        <v/>
      </c>
      <c r="G263" s="28" t="str">
        <f>IF('12 - Device_Configuration'!AH264="","",'12 - Device_Configuration'!AH264)</f>
        <v/>
      </c>
      <c r="H263" s="28" t="str">
        <f>IF('12 - Device_Configuration'!A264="","",'12 - Device_Configuration'!A264)</f>
        <v/>
      </c>
      <c r="I263" s="28" t="str">
        <f>IF('12 - Device_Configuration'!AI264="","",'12 - Device_Configuration'!AI264)</f>
        <v/>
      </c>
      <c r="J263" s="28" t="str">
        <f>IF('12 - Device_Configuration'!AJ264="","",'12 - Device_Configuration'!AJ264)</f>
        <v/>
      </c>
      <c r="K263" s="28" t="str">
        <f>IF('12 - Device_Configuration'!AA264="","",'12 - Device_Configuration'!AA264)</f>
        <v/>
      </c>
      <c r="L263" s="28" t="str">
        <f>IF('12 - Device_Configuration'!I264="","",'12 - Device_Configuration'!I264)</f>
        <v/>
      </c>
      <c r="M263" s="29"/>
      <c r="N263" s="28" t="str">
        <f>IF('12 - Device_Configuration'!J264="","",'12 - Device_Configuration'!J264)</f>
        <v/>
      </c>
      <c r="O263" s="28" t="str">
        <f>IF('12 - Device_Configuration'!K264="","",'12 - Device_Configuration'!K264)</f>
        <v/>
      </c>
      <c r="P263" s="28" t="str">
        <f>IF('12 - Device_Configuration'!L264="","",'12 - Device_Configuration'!L264)</f>
        <v/>
      </c>
      <c r="Q263" s="29"/>
      <c r="R263" s="28" t="str">
        <f>IF('12 - Device_Configuration'!AY264="","",'12 - Device_Configuration'!AY264)</f>
        <v/>
      </c>
      <c r="S263" s="28" t="str">
        <f>IF('12 - Device_Configuration'!AX264="","",'12 - Device_Configuration'!AX264)</f>
        <v/>
      </c>
      <c r="T263" s="28" t="str">
        <f>IF('12 - Device_Configuration'!AV264="","",'12 - Device_Configuration'!AV264)</f>
        <v/>
      </c>
      <c r="U263" s="28" t="str">
        <f>IF('12 - Device_Configuration'!AW264="","",'12 - Device_Configuration'!AW264)</f>
        <v/>
      </c>
      <c r="V263" s="28" t="str">
        <f>IF('12 - Device_Configuration'!BA264="","",'12 - Device_Configuration'!BA264)</f>
        <v/>
      </c>
      <c r="W263" s="28" t="str">
        <f>IF('12 - Device_Configuration'!BC264="","",'12 - Device_Configuration'!BC264)</f>
        <v/>
      </c>
      <c r="X263" s="28" t="str">
        <f>IF('12 - Device_Configuration'!BK264="","",'12 - Device_Configuration'!BK264)</f>
        <v/>
      </c>
      <c r="Y263" s="28" t="str">
        <f>IF('12 - Device_Configuration'!BB264="","",'12 - Device_Configuration'!BB264)</f>
        <v/>
      </c>
      <c r="Z263" s="28" t="str">
        <f>IF('12 - Device_Configuration'!P264="","",'12 - Device_Configuration'!P264)</f>
        <v/>
      </c>
      <c r="AA263" s="28" t="str">
        <f>IF('12 - Device_Configuration'!Q264="","",'12 - Device_Configuration'!Q264)</f>
        <v/>
      </c>
    </row>
    <row r="264" spans="1:27">
      <c r="A264" s="29"/>
      <c r="B264" s="29"/>
      <c r="C264" s="28" t="str">
        <f>IF('12 - Device_Configuration'!H265="","",'12 - Device_Configuration'!H265)</f>
        <v/>
      </c>
      <c r="D264" s="28" t="str">
        <f>IF('12 - Device_Configuration'!AE265="","",'12 - Device_Configuration'!AE265)</f>
        <v/>
      </c>
      <c r="E264" s="28" t="str">
        <f>IF('12 - Device_Configuration'!AF265="","",'12 - Device_Configuration'!AF265)</f>
        <v/>
      </c>
      <c r="F264" s="28" t="str">
        <f>IF('12 - Device_Configuration'!AG265="","",'12 - Device_Configuration'!AG265)</f>
        <v/>
      </c>
      <c r="G264" s="28" t="str">
        <f>IF('12 - Device_Configuration'!AH265="","",'12 - Device_Configuration'!AH265)</f>
        <v/>
      </c>
      <c r="H264" s="28" t="str">
        <f>IF('12 - Device_Configuration'!A265="","",'12 - Device_Configuration'!A265)</f>
        <v/>
      </c>
      <c r="I264" s="28" t="str">
        <f>IF('12 - Device_Configuration'!AI265="","",'12 - Device_Configuration'!AI265)</f>
        <v/>
      </c>
      <c r="J264" s="28" t="str">
        <f>IF('12 - Device_Configuration'!AJ265="","",'12 - Device_Configuration'!AJ265)</f>
        <v/>
      </c>
      <c r="K264" s="28" t="str">
        <f>IF('12 - Device_Configuration'!AA265="","",'12 - Device_Configuration'!AA265)</f>
        <v/>
      </c>
      <c r="L264" s="28" t="str">
        <f>IF('12 - Device_Configuration'!I265="","",'12 - Device_Configuration'!I265)</f>
        <v/>
      </c>
      <c r="M264" s="29"/>
      <c r="N264" s="28" t="str">
        <f>IF('12 - Device_Configuration'!J265="","",'12 - Device_Configuration'!J265)</f>
        <v/>
      </c>
      <c r="O264" s="28" t="str">
        <f>IF('12 - Device_Configuration'!K265="","",'12 - Device_Configuration'!K265)</f>
        <v/>
      </c>
      <c r="P264" s="28" t="str">
        <f>IF('12 - Device_Configuration'!L265="","",'12 - Device_Configuration'!L265)</f>
        <v/>
      </c>
      <c r="Q264" s="29"/>
      <c r="R264" s="28" t="str">
        <f>IF('12 - Device_Configuration'!AY265="","",'12 - Device_Configuration'!AY265)</f>
        <v/>
      </c>
      <c r="S264" s="28" t="str">
        <f>IF('12 - Device_Configuration'!AX265="","",'12 - Device_Configuration'!AX265)</f>
        <v/>
      </c>
      <c r="T264" s="28" t="str">
        <f>IF('12 - Device_Configuration'!AV265="","",'12 - Device_Configuration'!AV265)</f>
        <v/>
      </c>
      <c r="U264" s="28" t="str">
        <f>IF('12 - Device_Configuration'!AW265="","",'12 - Device_Configuration'!AW265)</f>
        <v/>
      </c>
      <c r="V264" s="28" t="str">
        <f>IF('12 - Device_Configuration'!BA265="","",'12 - Device_Configuration'!BA265)</f>
        <v/>
      </c>
      <c r="W264" s="28" t="str">
        <f>IF('12 - Device_Configuration'!BC265="","",'12 - Device_Configuration'!BC265)</f>
        <v/>
      </c>
      <c r="X264" s="28" t="str">
        <f>IF('12 - Device_Configuration'!BK265="","",'12 - Device_Configuration'!BK265)</f>
        <v/>
      </c>
      <c r="Y264" s="28" t="str">
        <f>IF('12 - Device_Configuration'!BB265="","",'12 - Device_Configuration'!BB265)</f>
        <v/>
      </c>
      <c r="Z264" s="28" t="str">
        <f>IF('12 - Device_Configuration'!P265="","",'12 - Device_Configuration'!P265)</f>
        <v/>
      </c>
      <c r="AA264" s="28" t="str">
        <f>IF('12 - Device_Configuration'!Q265="","",'12 - Device_Configuration'!Q265)</f>
        <v/>
      </c>
    </row>
    <row r="265" spans="1:27">
      <c r="A265" s="29"/>
      <c r="B265" s="29"/>
      <c r="C265" s="28" t="str">
        <f>IF('12 - Device_Configuration'!H266="","",'12 - Device_Configuration'!H266)</f>
        <v/>
      </c>
      <c r="D265" s="28" t="str">
        <f>IF('12 - Device_Configuration'!AE266="","",'12 - Device_Configuration'!AE266)</f>
        <v/>
      </c>
      <c r="E265" s="28" t="str">
        <f>IF('12 - Device_Configuration'!AF266="","",'12 - Device_Configuration'!AF266)</f>
        <v/>
      </c>
      <c r="F265" s="28" t="str">
        <f>IF('12 - Device_Configuration'!AG266="","",'12 - Device_Configuration'!AG266)</f>
        <v/>
      </c>
      <c r="G265" s="28" t="str">
        <f>IF('12 - Device_Configuration'!AH266="","",'12 - Device_Configuration'!AH266)</f>
        <v/>
      </c>
      <c r="H265" s="28" t="str">
        <f>IF('12 - Device_Configuration'!A266="","",'12 - Device_Configuration'!A266)</f>
        <v/>
      </c>
      <c r="I265" s="28" t="str">
        <f>IF('12 - Device_Configuration'!AI266="","",'12 - Device_Configuration'!AI266)</f>
        <v/>
      </c>
      <c r="J265" s="28" t="str">
        <f>IF('12 - Device_Configuration'!AJ266="","",'12 - Device_Configuration'!AJ266)</f>
        <v/>
      </c>
      <c r="K265" s="28" t="str">
        <f>IF('12 - Device_Configuration'!AA266="","",'12 - Device_Configuration'!AA266)</f>
        <v/>
      </c>
      <c r="L265" s="28" t="str">
        <f>IF('12 - Device_Configuration'!I266="","",'12 - Device_Configuration'!I266)</f>
        <v/>
      </c>
      <c r="M265" s="29"/>
      <c r="N265" s="28" t="str">
        <f>IF('12 - Device_Configuration'!J266="","",'12 - Device_Configuration'!J266)</f>
        <v/>
      </c>
      <c r="O265" s="28" t="str">
        <f>IF('12 - Device_Configuration'!K266="","",'12 - Device_Configuration'!K266)</f>
        <v/>
      </c>
      <c r="P265" s="28" t="str">
        <f>IF('12 - Device_Configuration'!L266="","",'12 - Device_Configuration'!L266)</f>
        <v/>
      </c>
      <c r="Q265" s="29"/>
      <c r="R265" s="28" t="str">
        <f>IF('12 - Device_Configuration'!AY266="","",'12 - Device_Configuration'!AY266)</f>
        <v/>
      </c>
      <c r="S265" s="28" t="str">
        <f>IF('12 - Device_Configuration'!AX266="","",'12 - Device_Configuration'!AX266)</f>
        <v/>
      </c>
      <c r="T265" s="28" t="str">
        <f>IF('12 - Device_Configuration'!AV266="","",'12 - Device_Configuration'!AV266)</f>
        <v/>
      </c>
      <c r="U265" s="28" t="str">
        <f>IF('12 - Device_Configuration'!AW266="","",'12 - Device_Configuration'!AW266)</f>
        <v/>
      </c>
      <c r="V265" s="28" t="str">
        <f>IF('12 - Device_Configuration'!BA266="","",'12 - Device_Configuration'!BA266)</f>
        <v/>
      </c>
      <c r="W265" s="28" t="str">
        <f>IF('12 - Device_Configuration'!BC266="","",'12 - Device_Configuration'!BC266)</f>
        <v/>
      </c>
      <c r="X265" s="28" t="str">
        <f>IF('12 - Device_Configuration'!BK266="","",'12 - Device_Configuration'!BK266)</f>
        <v/>
      </c>
      <c r="Y265" s="28" t="str">
        <f>IF('12 - Device_Configuration'!BB266="","",'12 - Device_Configuration'!BB266)</f>
        <v/>
      </c>
      <c r="Z265" s="28" t="str">
        <f>IF('12 - Device_Configuration'!P266="","",'12 - Device_Configuration'!P266)</f>
        <v/>
      </c>
      <c r="AA265" s="28" t="str">
        <f>IF('12 - Device_Configuration'!Q266="","",'12 - Device_Configuration'!Q266)</f>
        <v/>
      </c>
    </row>
    <row r="266" spans="1:27">
      <c r="A266" s="29"/>
      <c r="B266" s="29"/>
      <c r="C266" s="28" t="str">
        <f>IF('12 - Device_Configuration'!H267="","",'12 - Device_Configuration'!H267)</f>
        <v/>
      </c>
      <c r="D266" s="28" t="str">
        <f>IF('12 - Device_Configuration'!AE267="","",'12 - Device_Configuration'!AE267)</f>
        <v/>
      </c>
      <c r="E266" s="28" t="str">
        <f>IF('12 - Device_Configuration'!AF267="","",'12 - Device_Configuration'!AF267)</f>
        <v/>
      </c>
      <c r="F266" s="28" t="str">
        <f>IF('12 - Device_Configuration'!AG267="","",'12 - Device_Configuration'!AG267)</f>
        <v/>
      </c>
      <c r="G266" s="28" t="str">
        <f>IF('12 - Device_Configuration'!AH267="","",'12 - Device_Configuration'!AH267)</f>
        <v/>
      </c>
      <c r="H266" s="28" t="str">
        <f>IF('12 - Device_Configuration'!A267="","",'12 - Device_Configuration'!A267)</f>
        <v/>
      </c>
      <c r="I266" s="28" t="str">
        <f>IF('12 - Device_Configuration'!AI267="","",'12 - Device_Configuration'!AI267)</f>
        <v/>
      </c>
      <c r="J266" s="28" t="str">
        <f>IF('12 - Device_Configuration'!AJ267="","",'12 - Device_Configuration'!AJ267)</f>
        <v/>
      </c>
      <c r="K266" s="28" t="str">
        <f>IF('12 - Device_Configuration'!AA267="","",'12 - Device_Configuration'!AA267)</f>
        <v/>
      </c>
      <c r="L266" s="28" t="str">
        <f>IF('12 - Device_Configuration'!I267="","",'12 - Device_Configuration'!I267)</f>
        <v/>
      </c>
      <c r="M266" s="29"/>
      <c r="N266" s="28" t="str">
        <f>IF('12 - Device_Configuration'!J267="","",'12 - Device_Configuration'!J267)</f>
        <v/>
      </c>
      <c r="O266" s="28" t="str">
        <f>IF('12 - Device_Configuration'!K267="","",'12 - Device_Configuration'!K267)</f>
        <v/>
      </c>
      <c r="P266" s="28" t="str">
        <f>IF('12 - Device_Configuration'!L267="","",'12 - Device_Configuration'!L267)</f>
        <v/>
      </c>
      <c r="Q266" s="29"/>
      <c r="R266" s="28" t="str">
        <f>IF('12 - Device_Configuration'!AY267="","",'12 - Device_Configuration'!AY267)</f>
        <v/>
      </c>
      <c r="S266" s="28" t="str">
        <f>IF('12 - Device_Configuration'!AX267="","",'12 - Device_Configuration'!AX267)</f>
        <v/>
      </c>
      <c r="T266" s="28" t="str">
        <f>IF('12 - Device_Configuration'!AV267="","",'12 - Device_Configuration'!AV267)</f>
        <v/>
      </c>
      <c r="U266" s="28" t="str">
        <f>IF('12 - Device_Configuration'!AW267="","",'12 - Device_Configuration'!AW267)</f>
        <v/>
      </c>
      <c r="V266" s="28" t="str">
        <f>IF('12 - Device_Configuration'!BA267="","",'12 - Device_Configuration'!BA267)</f>
        <v/>
      </c>
      <c r="W266" s="28" t="str">
        <f>IF('12 - Device_Configuration'!BC267="","",'12 - Device_Configuration'!BC267)</f>
        <v/>
      </c>
      <c r="X266" s="28" t="str">
        <f>IF('12 - Device_Configuration'!BK267="","",'12 - Device_Configuration'!BK267)</f>
        <v/>
      </c>
      <c r="Y266" s="28" t="str">
        <f>IF('12 - Device_Configuration'!BB267="","",'12 - Device_Configuration'!BB267)</f>
        <v/>
      </c>
      <c r="Z266" s="28" t="str">
        <f>IF('12 - Device_Configuration'!P267="","",'12 - Device_Configuration'!P267)</f>
        <v/>
      </c>
      <c r="AA266" s="28" t="str">
        <f>IF('12 - Device_Configuration'!Q267="","",'12 - Device_Configuration'!Q267)</f>
        <v/>
      </c>
    </row>
    <row r="267" spans="1:27">
      <c r="A267" s="29"/>
      <c r="B267" s="29"/>
      <c r="C267" s="28" t="str">
        <f>IF('12 - Device_Configuration'!H268="","",'12 - Device_Configuration'!H268)</f>
        <v/>
      </c>
      <c r="D267" s="28" t="str">
        <f>IF('12 - Device_Configuration'!AE268="","",'12 - Device_Configuration'!AE268)</f>
        <v/>
      </c>
      <c r="E267" s="28" t="str">
        <f>IF('12 - Device_Configuration'!AF268="","",'12 - Device_Configuration'!AF268)</f>
        <v/>
      </c>
      <c r="F267" s="28" t="str">
        <f>IF('12 - Device_Configuration'!AG268="","",'12 - Device_Configuration'!AG268)</f>
        <v/>
      </c>
      <c r="G267" s="28" t="str">
        <f>IF('12 - Device_Configuration'!AH268="","",'12 - Device_Configuration'!AH268)</f>
        <v/>
      </c>
      <c r="H267" s="28" t="str">
        <f>IF('12 - Device_Configuration'!A268="","",'12 - Device_Configuration'!A268)</f>
        <v/>
      </c>
      <c r="I267" s="28" t="str">
        <f>IF('12 - Device_Configuration'!AI268="","",'12 - Device_Configuration'!AI268)</f>
        <v/>
      </c>
      <c r="J267" s="28" t="str">
        <f>IF('12 - Device_Configuration'!AJ268="","",'12 - Device_Configuration'!AJ268)</f>
        <v/>
      </c>
      <c r="K267" s="28" t="str">
        <f>IF('12 - Device_Configuration'!AA268="","",'12 - Device_Configuration'!AA268)</f>
        <v/>
      </c>
      <c r="L267" s="28" t="str">
        <f>IF('12 - Device_Configuration'!I268="","",'12 - Device_Configuration'!I268)</f>
        <v/>
      </c>
      <c r="M267" s="29"/>
      <c r="N267" s="28" t="str">
        <f>IF('12 - Device_Configuration'!J268="","",'12 - Device_Configuration'!J268)</f>
        <v/>
      </c>
      <c r="O267" s="28" t="str">
        <f>IF('12 - Device_Configuration'!K268="","",'12 - Device_Configuration'!K268)</f>
        <v/>
      </c>
      <c r="P267" s="28" t="str">
        <f>IF('12 - Device_Configuration'!L268="","",'12 - Device_Configuration'!L268)</f>
        <v/>
      </c>
      <c r="Q267" s="29"/>
      <c r="R267" s="28" t="str">
        <f>IF('12 - Device_Configuration'!AY268="","",'12 - Device_Configuration'!AY268)</f>
        <v/>
      </c>
      <c r="S267" s="28" t="str">
        <f>IF('12 - Device_Configuration'!AX268="","",'12 - Device_Configuration'!AX268)</f>
        <v/>
      </c>
      <c r="T267" s="28" t="str">
        <f>IF('12 - Device_Configuration'!AV268="","",'12 - Device_Configuration'!AV268)</f>
        <v/>
      </c>
      <c r="U267" s="28" t="str">
        <f>IF('12 - Device_Configuration'!AW268="","",'12 - Device_Configuration'!AW268)</f>
        <v/>
      </c>
      <c r="V267" s="28" t="str">
        <f>IF('12 - Device_Configuration'!BA268="","",'12 - Device_Configuration'!BA268)</f>
        <v/>
      </c>
      <c r="W267" s="28" t="str">
        <f>IF('12 - Device_Configuration'!BC268="","",'12 - Device_Configuration'!BC268)</f>
        <v/>
      </c>
      <c r="X267" s="28" t="str">
        <f>IF('12 - Device_Configuration'!BK268="","",'12 - Device_Configuration'!BK268)</f>
        <v/>
      </c>
      <c r="Y267" s="28" t="str">
        <f>IF('12 - Device_Configuration'!BB268="","",'12 - Device_Configuration'!BB268)</f>
        <v/>
      </c>
      <c r="Z267" s="28" t="str">
        <f>IF('12 - Device_Configuration'!P268="","",'12 - Device_Configuration'!P268)</f>
        <v/>
      </c>
      <c r="AA267" s="28" t="str">
        <f>IF('12 - Device_Configuration'!Q268="","",'12 - Device_Configuration'!Q268)</f>
        <v/>
      </c>
    </row>
    <row r="268" spans="1:27">
      <c r="A268" s="29"/>
      <c r="B268" s="29"/>
      <c r="C268" s="28" t="str">
        <f>IF('12 - Device_Configuration'!H269="","",'12 - Device_Configuration'!H269)</f>
        <v/>
      </c>
      <c r="D268" s="28" t="str">
        <f>IF('12 - Device_Configuration'!AE269="","",'12 - Device_Configuration'!AE269)</f>
        <v/>
      </c>
      <c r="E268" s="28" t="str">
        <f>IF('12 - Device_Configuration'!AF269="","",'12 - Device_Configuration'!AF269)</f>
        <v/>
      </c>
      <c r="F268" s="28" t="str">
        <f>IF('12 - Device_Configuration'!AG269="","",'12 - Device_Configuration'!AG269)</f>
        <v/>
      </c>
      <c r="G268" s="28" t="str">
        <f>IF('12 - Device_Configuration'!AH269="","",'12 - Device_Configuration'!AH269)</f>
        <v/>
      </c>
      <c r="H268" s="28" t="str">
        <f>IF('12 - Device_Configuration'!A269="","",'12 - Device_Configuration'!A269)</f>
        <v/>
      </c>
      <c r="I268" s="28" t="str">
        <f>IF('12 - Device_Configuration'!AI269="","",'12 - Device_Configuration'!AI269)</f>
        <v/>
      </c>
      <c r="J268" s="28" t="str">
        <f>IF('12 - Device_Configuration'!AJ269="","",'12 - Device_Configuration'!AJ269)</f>
        <v/>
      </c>
      <c r="K268" s="28" t="str">
        <f>IF('12 - Device_Configuration'!AA269="","",'12 - Device_Configuration'!AA269)</f>
        <v/>
      </c>
      <c r="L268" s="28" t="str">
        <f>IF('12 - Device_Configuration'!I269="","",'12 - Device_Configuration'!I269)</f>
        <v/>
      </c>
      <c r="M268" s="29"/>
      <c r="N268" s="28" t="str">
        <f>IF('12 - Device_Configuration'!J269="","",'12 - Device_Configuration'!J269)</f>
        <v/>
      </c>
      <c r="O268" s="28" t="str">
        <f>IF('12 - Device_Configuration'!K269="","",'12 - Device_Configuration'!K269)</f>
        <v/>
      </c>
      <c r="P268" s="28" t="str">
        <f>IF('12 - Device_Configuration'!L269="","",'12 - Device_Configuration'!L269)</f>
        <v/>
      </c>
      <c r="Q268" s="29"/>
      <c r="R268" s="28" t="str">
        <f>IF('12 - Device_Configuration'!AY269="","",'12 - Device_Configuration'!AY269)</f>
        <v/>
      </c>
      <c r="S268" s="28" t="str">
        <f>IF('12 - Device_Configuration'!AX269="","",'12 - Device_Configuration'!AX269)</f>
        <v/>
      </c>
      <c r="T268" s="28" t="str">
        <f>IF('12 - Device_Configuration'!AV269="","",'12 - Device_Configuration'!AV269)</f>
        <v/>
      </c>
      <c r="U268" s="28" t="str">
        <f>IF('12 - Device_Configuration'!AW269="","",'12 - Device_Configuration'!AW269)</f>
        <v/>
      </c>
      <c r="V268" s="28" t="str">
        <f>IF('12 - Device_Configuration'!BA269="","",'12 - Device_Configuration'!BA269)</f>
        <v/>
      </c>
      <c r="W268" s="28" t="str">
        <f>IF('12 - Device_Configuration'!BC269="","",'12 - Device_Configuration'!BC269)</f>
        <v/>
      </c>
      <c r="X268" s="28" t="str">
        <f>IF('12 - Device_Configuration'!BK269="","",'12 - Device_Configuration'!BK269)</f>
        <v/>
      </c>
      <c r="Y268" s="28" t="str">
        <f>IF('12 - Device_Configuration'!BB269="","",'12 - Device_Configuration'!BB269)</f>
        <v/>
      </c>
      <c r="Z268" s="28" t="str">
        <f>IF('12 - Device_Configuration'!P269="","",'12 - Device_Configuration'!P269)</f>
        <v/>
      </c>
      <c r="AA268" s="28" t="str">
        <f>IF('12 - Device_Configuration'!Q269="","",'12 - Device_Configuration'!Q269)</f>
        <v/>
      </c>
    </row>
    <row r="269" spans="1:27">
      <c r="A269" s="29"/>
      <c r="B269" s="29"/>
      <c r="C269" s="28" t="str">
        <f>IF('12 - Device_Configuration'!H270="","",'12 - Device_Configuration'!H270)</f>
        <v/>
      </c>
      <c r="D269" s="28" t="str">
        <f>IF('12 - Device_Configuration'!AE270="","",'12 - Device_Configuration'!AE270)</f>
        <v/>
      </c>
      <c r="E269" s="28" t="str">
        <f>IF('12 - Device_Configuration'!AF270="","",'12 - Device_Configuration'!AF270)</f>
        <v/>
      </c>
      <c r="F269" s="28" t="str">
        <f>IF('12 - Device_Configuration'!AG270="","",'12 - Device_Configuration'!AG270)</f>
        <v/>
      </c>
      <c r="G269" s="28" t="str">
        <f>IF('12 - Device_Configuration'!AH270="","",'12 - Device_Configuration'!AH270)</f>
        <v/>
      </c>
      <c r="H269" s="28" t="str">
        <f>IF('12 - Device_Configuration'!A270="","",'12 - Device_Configuration'!A270)</f>
        <v/>
      </c>
      <c r="I269" s="28" t="str">
        <f>IF('12 - Device_Configuration'!AI270="","",'12 - Device_Configuration'!AI270)</f>
        <v/>
      </c>
      <c r="J269" s="28" t="str">
        <f>IF('12 - Device_Configuration'!AJ270="","",'12 - Device_Configuration'!AJ270)</f>
        <v/>
      </c>
      <c r="K269" s="28" t="str">
        <f>IF('12 - Device_Configuration'!AA270="","",'12 - Device_Configuration'!AA270)</f>
        <v/>
      </c>
      <c r="L269" s="28" t="str">
        <f>IF('12 - Device_Configuration'!I270="","",'12 - Device_Configuration'!I270)</f>
        <v/>
      </c>
      <c r="M269" s="29"/>
      <c r="N269" s="28" t="str">
        <f>IF('12 - Device_Configuration'!J270="","",'12 - Device_Configuration'!J270)</f>
        <v/>
      </c>
      <c r="O269" s="28" t="str">
        <f>IF('12 - Device_Configuration'!K270="","",'12 - Device_Configuration'!K270)</f>
        <v/>
      </c>
      <c r="P269" s="28" t="str">
        <f>IF('12 - Device_Configuration'!L270="","",'12 - Device_Configuration'!L270)</f>
        <v/>
      </c>
      <c r="Q269" s="29"/>
      <c r="R269" s="28" t="str">
        <f>IF('12 - Device_Configuration'!AY270="","",'12 - Device_Configuration'!AY270)</f>
        <v/>
      </c>
      <c r="S269" s="28" t="str">
        <f>IF('12 - Device_Configuration'!AX270="","",'12 - Device_Configuration'!AX270)</f>
        <v/>
      </c>
      <c r="T269" s="28" t="str">
        <f>IF('12 - Device_Configuration'!AV270="","",'12 - Device_Configuration'!AV270)</f>
        <v/>
      </c>
      <c r="U269" s="28" t="str">
        <f>IF('12 - Device_Configuration'!AW270="","",'12 - Device_Configuration'!AW270)</f>
        <v/>
      </c>
      <c r="V269" s="28" t="str">
        <f>IF('12 - Device_Configuration'!BA270="","",'12 - Device_Configuration'!BA270)</f>
        <v/>
      </c>
      <c r="W269" s="28" t="str">
        <f>IF('12 - Device_Configuration'!BC270="","",'12 - Device_Configuration'!BC270)</f>
        <v/>
      </c>
      <c r="X269" s="28" t="str">
        <f>IF('12 - Device_Configuration'!BK270="","",'12 - Device_Configuration'!BK270)</f>
        <v/>
      </c>
      <c r="Y269" s="28" t="str">
        <f>IF('12 - Device_Configuration'!BB270="","",'12 - Device_Configuration'!BB270)</f>
        <v/>
      </c>
      <c r="Z269" s="28" t="str">
        <f>IF('12 - Device_Configuration'!P270="","",'12 - Device_Configuration'!P270)</f>
        <v/>
      </c>
      <c r="AA269" s="28" t="str">
        <f>IF('12 - Device_Configuration'!Q270="","",'12 - Device_Configuration'!Q270)</f>
        <v/>
      </c>
    </row>
    <row r="270" spans="1:27">
      <c r="A270" s="29"/>
      <c r="B270" s="29"/>
      <c r="C270" s="28" t="str">
        <f>IF('12 - Device_Configuration'!H271="","",'12 - Device_Configuration'!H271)</f>
        <v/>
      </c>
      <c r="D270" s="28" t="str">
        <f>IF('12 - Device_Configuration'!AE271="","",'12 - Device_Configuration'!AE271)</f>
        <v/>
      </c>
      <c r="E270" s="28" t="str">
        <f>IF('12 - Device_Configuration'!AF271="","",'12 - Device_Configuration'!AF271)</f>
        <v/>
      </c>
      <c r="F270" s="28" t="str">
        <f>IF('12 - Device_Configuration'!AG271="","",'12 - Device_Configuration'!AG271)</f>
        <v/>
      </c>
      <c r="G270" s="28" t="str">
        <f>IF('12 - Device_Configuration'!AH271="","",'12 - Device_Configuration'!AH271)</f>
        <v/>
      </c>
      <c r="H270" s="28" t="str">
        <f>IF('12 - Device_Configuration'!A271="","",'12 - Device_Configuration'!A271)</f>
        <v/>
      </c>
      <c r="I270" s="28" t="str">
        <f>IF('12 - Device_Configuration'!AI271="","",'12 - Device_Configuration'!AI271)</f>
        <v/>
      </c>
      <c r="J270" s="28" t="str">
        <f>IF('12 - Device_Configuration'!AJ271="","",'12 - Device_Configuration'!AJ271)</f>
        <v/>
      </c>
      <c r="K270" s="28" t="str">
        <f>IF('12 - Device_Configuration'!AA271="","",'12 - Device_Configuration'!AA271)</f>
        <v/>
      </c>
      <c r="L270" s="28" t="str">
        <f>IF('12 - Device_Configuration'!I271="","",'12 - Device_Configuration'!I271)</f>
        <v/>
      </c>
      <c r="M270" s="29"/>
      <c r="N270" s="28" t="str">
        <f>IF('12 - Device_Configuration'!J271="","",'12 - Device_Configuration'!J271)</f>
        <v/>
      </c>
      <c r="O270" s="28" t="str">
        <f>IF('12 - Device_Configuration'!K271="","",'12 - Device_Configuration'!K271)</f>
        <v/>
      </c>
      <c r="P270" s="28" t="str">
        <f>IF('12 - Device_Configuration'!L271="","",'12 - Device_Configuration'!L271)</f>
        <v/>
      </c>
      <c r="Q270" s="29"/>
      <c r="R270" s="28" t="str">
        <f>IF('12 - Device_Configuration'!AY271="","",'12 - Device_Configuration'!AY271)</f>
        <v/>
      </c>
      <c r="S270" s="28" t="str">
        <f>IF('12 - Device_Configuration'!AX271="","",'12 - Device_Configuration'!AX271)</f>
        <v/>
      </c>
      <c r="T270" s="28" t="str">
        <f>IF('12 - Device_Configuration'!AV271="","",'12 - Device_Configuration'!AV271)</f>
        <v/>
      </c>
      <c r="U270" s="28" t="str">
        <f>IF('12 - Device_Configuration'!AW271="","",'12 - Device_Configuration'!AW271)</f>
        <v/>
      </c>
      <c r="V270" s="28" t="str">
        <f>IF('12 - Device_Configuration'!BA271="","",'12 - Device_Configuration'!BA271)</f>
        <v/>
      </c>
      <c r="W270" s="28" t="str">
        <f>IF('12 - Device_Configuration'!BC271="","",'12 - Device_Configuration'!BC271)</f>
        <v/>
      </c>
      <c r="X270" s="28" t="str">
        <f>IF('12 - Device_Configuration'!BK271="","",'12 - Device_Configuration'!BK271)</f>
        <v/>
      </c>
      <c r="Y270" s="28" t="str">
        <f>IF('12 - Device_Configuration'!BB271="","",'12 - Device_Configuration'!BB271)</f>
        <v/>
      </c>
      <c r="Z270" s="28" t="str">
        <f>IF('12 - Device_Configuration'!P271="","",'12 - Device_Configuration'!P271)</f>
        <v/>
      </c>
      <c r="AA270" s="28" t="str">
        <f>IF('12 - Device_Configuration'!Q271="","",'12 - Device_Configuration'!Q271)</f>
        <v/>
      </c>
    </row>
    <row r="271" spans="1:27">
      <c r="A271" s="29"/>
      <c r="B271" s="29"/>
      <c r="C271" s="28" t="str">
        <f>IF('12 - Device_Configuration'!H272="","",'12 - Device_Configuration'!H272)</f>
        <v/>
      </c>
      <c r="D271" s="28" t="str">
        <f>IF('12 - Device_Configuration'!AE272="","",'12 - Device_Configuration'!AE272)</f>
        <v/>
      </c>
      <c r="E271" s="28" t="str">
        <f>IF('12 - Device_Configuration'!AF272="","",'12 - Device_Configuration'!AF272)</f>
        <v/>
      </c>
      <c r="F271" s="28" t="str">
        <f>IF('12 - Device_Configuration'!AG272="","",'12 - Device_Configuration'!AG272)</f>
        <v/>
      </c>
      <c r="G271" s="28" t="str">
        <f>IF('12 - Device_Configuration'!AH272="","",'12 - Device_Configuration'!AH272)</f>
        <v/>
      </c>
      <c r="H271" s="28" t="str">
        <f>IF('12 - Device_Configuration'!A272="","",'12 - Device_Configuration'!A272)</f>
        <v/>
      </c>
      <c r="I271" s="28" t="str">
        <f>IF('12 - Device_Configuration'!AI272="","",'12 - Device_Configuration'!AI272)</f>
        <v/>
      </c>
      <c r="J271" s="28" t="str">
        <f>IF('12 - Device_Configuration'!AJ272="","",'12 - Device_Configuration'!AJ272)</f>
        <v/>
      </c>
      <c r="K271" s="28" t="str">
        <f>IF('12 - Device_Configuration'!AA272="","",'12 - Device_Configuration'!AA272)</f>
        <v/>
      </c>
      <c r="L271" s="28" t="str">
        <f>IF('12 - Device_Configuration'!I272="","",'12 - Device_Configuration'!I272)</f>
        <v/>
      </c>
      <c r="M271" s="29"/>
      <c r="N271" s="28" t="str">
        <f>IF('12 - Device_Configuration'!J272="","",'12 - Device_Configuration'!J272)</f>
        <v/>
      </c>
      <c r="O271" s="28" t="str">
        <f>IF('12 - Device_Configuration'!K272="","",'12 - Device_Configuration'!K272)</f>
        <v/>
      </c>
      <c r="P271" s="28" t="str">
        <f>IF('12 - Device_Configuration'!L272="","",'12 - Device_Configuration'!L272)</f>
        <v/>
      </c>
      <c r="Q271" s="29"/>
      <c r="R271" s="28" t="str">
        <f>IF('12 - Device_Configuration'!AY272="","",'12 - Device_Configuration'!AY272)</f>
        <v/>
      </c>
      <c r="S271" s="28" t="str">
        <f>IF('12 - Device_Configuration'!AX272="","",'12 - Device_Configuration'!AX272)</f>
        <v/>
      </c>
      <c r="T271" s="28" t="str">
        <f>IF('12 - Device_Configuration'!AV272="","",'12 - Device_Configuration'!AV272)</f>
        <v/>
      </c>
      <c r="U271" s="28" t="str">
        <f>IF('12 - Device_Configuration'!AW272="","",'12 - Device_Configuration'!AW272)</f>
        <v/>
      </c>
      <c r="V271" s="28" t="str">
        <f>IF('12 - Device_Configuration'!BA272="","",'12 - Device_Configuration'!BA272)</f>
        <v/>
      </c>
      <c r="W271" s="28" t="str">
        <f>IF('12 - Device_Configuration'!BC272="","",'12 - Device_Configuration'!BC272)</f>
        <v/>
      </c>
      <c r="X271" s="28" t="str">
        <f>IF('12 - Device_Configuration'!BK272="","",'12 - Device_Configuration'!BK272)</f>
        <v/>
      </c>
      <c r="Y271" s="28" t="str">
        <f>IF('12 - Device_Configuration'!BB272="","",'12 - Device_Configuration'!BB272)</f>
        <v/>
      </c>
      <c r="Z271" s="28" t="str">
        <f>IF('12 - Device_Configuration'!P272="","",'12 - Device_Configuration'!P272)</f>
        <v/>
      </c>
      <c r="AA271" s="28" t="str">
        <f>IF('12 - Device_Configuration'!Q272="","",'12 - Device_Configuration'!Q272)</f>
        <v/>
      </c>
    </row>
    <row r="272" spans="1:27">
      <c r="A272" s="29"/>
      <c r="B272" s="29"/>
      <c r="C272" s="28" t="str">
        <f>IF('12 - Device_Configuration'!H273="","",'12 - Device_Configuration'!H273)</f>
        <v/>
      </c>
      <c r="D272" s="28" t="str">
        <f>IF('12 - Device_Configuration'!AE273="","",'12 - Device_Configuration'!AE273)</f>
        <v/>
      </c>
      <c r="E272" s="28" t="str">
        <f>IF('12 - Device_Configuration'!AF273="","",'12 - Device_Configuration'!AF273)</f>
        <v/>
      </c>
      <c r="F272" s="28" t="str">
        <f>IF('12 - Device_Configuration'!AG273="","",'12 - Device_Configuration'!AG273)</f>
        <v/>
      </c>
      <c r="G272" s="28" t="str">
        <f>IF('12 - Device_Configuration'!AH273="","",'12 - Device_Configuration'!AH273)</f>
        <v/>
      </c>
      <c r="H272" s="28" t="str">
        <f>IF('12 - Device_Configuration'!A273="","",'12 - Device_Configuration'!A273)</f>
        <v/>
      </c>
      <c r="I272" s="28" t="str">
        <f>IF('12 - Device_Configuration'!AI273="","",'12 - Device_Configuration'!AI273)</f>
        <v/>
      </c>
      <c r="J272" s="28" t="str">
        <f>IF('12 - Device_Configuration'!AJ273="","",'12 - Device_Configuration'!AJ273)</f>
        <v/>
      </c>
      <c r="K272" s="28" t="str">
        <f>IF('12 - Device_Configuration'!AA273="","",'12 - Device_Configuration'!AA273)</f>
        <v/>
      </c>
      <c r="L272" s="28" t="str">
        <f>IF('12 - Device_Configuration'!I273="","",'12 - Device_Configuration'!I273)</f>
        <v/>
      </c>
      <c r="M272" s="29"/>
      <c r="N272" s="28" t="str">
        <f>IF('12 - Device_Configuration'!J273="","",'12 - Device_Configuration'!J273)</f>
        <v/>
      </c>
      <c r="O272" s="28" t="str">
        <f>IF('12 - Device_Configuration'!K273="","",'12 - Device_Configuration'!K273)</f>
        <v/>
      </c>
      <c r="P272" s="28" t="str">
        <f>IF('12 - Device_Configuration'!L273="","",'12 - Device_Configuration'!L273)</f>
        <v/>
      </c>
      <c r="Q272" s="29"/>
      <c r="R272" s="28" t="str">
        <f>IF('12 - Device_Configuration'!AY273="","",'12 - Device_Configuration'!AY273)</f>
        <v/>
      </c>
      <c r="S272" s="28" t="str">
        <f>IF('12 - Device_Configuration'!AX273="","",'12 - Device_Configuration'!AX273)</f>
        <v/>
      </c>
      <c r="T272" s="28" t="str">
        <f>IF('12 - Device_Configuration'!AV273="","",'12 - Device_Configuration'!AV273)</f>
        <v/>
      </c>
      <c r="U272" s="28" t="str">
        <f>IF('12 - Device_Configuration'!AW273="","",'12 - Device_Configuration'!AW273)</f>
        <v/>
      </c>
      <c r="V272" s="28" t="str">
        <f>IF('12 - Device_Configuration'!BA273="","",'12 - Device_Configuration'!BA273)</f>
        <v/>
      </c>
      <c r="W272" s="28" t="str">
        <f>IF('12 - Device_Configuration'!BC273="","",'12 - Device_Configuration'!BC273)</f>
        <v/>
      </c>
      <c r="X272" s="28" t="str">
        <f>IF('12 - Device_Configuration'!BK273="","",'12 - Device_Configuration'!BK273)</f>
        <v/>
      </c>
      <c r="Y272" s="28" t="str">
        <f>IF('12 - Device_Configuration'!BB273="","",'12 - Device_Configuration'!BB273)</f>
        <v/>
      </c>
      <c r="Z272" s="28" t="str">
        <f>IF('12 - Device_Configuration'!P273="","",'12 - Device_Configuration'!P273)</f>
        <v/>
      </c>
      <c r="AA272" s="28" t="str">
        <f>IF('12 - Device_Configuration'!Q273="","",'12 - Device_Configuration'!Q273)</f>
        <v/>
      </c>
    </row>
    <row r="273" spans="1:27">
      <c r="A273" s="29"/>
      <c r="B273" s="29"/>
      <c r="C273" s="28" t="str">
        <f>IF('12 - Device_Configuration'!H274="","",'12 - Device_Configuration'!H274)</f>
        <v/>
      </c>
      <c r="D273" s="28" t="str">
        <f>IF('12 - Device_Configuration'!AE274="","",'12 - Device_Configuration'!AE274)</f>
        <v/>
      </c>
      <c r="E273" s="28" t="str">
        <f>IF('12 - Device_Configuration'!AF274="","",'12 - Device_Configuration'!AF274)</f>
        <v/>
      </c>
      <c r="F273" s="28" t="str">
        <f>IF('12 - Device_Configuration'!AG274="","",'12 - Device_Configuration'!AG274)</f>
        <v/>
      </c>
      <c r="G273" s="28" t="str">
        <f>IF('12 - Device_Configuration'!AH274="","",'12 - Device_Configuration'!AH274)</f>
        <v/>
      </c>
      <c r="H273" s="28" t="str">
        <f>IF('12 - Device_Configuration'!A274="","",'12 - Device_Configuration'!A274)</f>
        <v/>
      </c>
      <c r="I273" s="28" t="str">
        <f>IF('12 - Device_Configuration'!AI274="","",'12 - Device_Configuration'!AI274)</f>
        <v/>
      </c>
      <c r="J273" s="28" t="str">
        <f>IF('12 - Device_Configuration'!AJ274="","",'12 - Device_Configuration'!AJ274)</f>
        <v/>
      </c>
      <c r="K273" s="28" t="str">
        <f>IF('12 - Device_Configuration'!AA274="","",'12 - Device_Configuration'!AA274)</f>
        <v/>
      </c>
      <c r="L273" s="28" t="str">
        <f>IF('12 - Device_Configuration'!I274="","",'12 - Device_Configuration'!I274)</f>
        <v/>
      </c>
      <c r="M273" s="29"/>
      <c r="N273" s="28" t="str">
        <f>IF('12 - Device_Configuration'!J274="","",'12 - Device_Configuration'!J274)</f>
        <v/>
      </c>
      <c r="O273" s="28" t="str">
        <f>IF('12 - Device_Configuration'!K274="","",'12 - Device_Configuration'!K274)</f>
        <v/>
      </c>
      <c r="P273" s="28" t="str">
        <f>IF('12 - Device_Configuration'!L274="","",'12 - Device_Configuration'!L274)</f>
        <v/>
      </c>
      <c r="Q273" s="29"/>
      <c r="R273" s="28" t="str">
        <f>IF('12 - Device_Configuration'!AY274="","",'12 - Device_Configuration'!AY274)</f>
        <v/>
      </c>
      <c r="S273" s="28" t="str">
        <f>IF('12 - Device_Configuration'!AX274="","",'12 - Device_Configuration'!AX274)</f>
        <v/>
      </c>
      <c r="T273" s="28" t="str">
        <f>IF('12 - Device_Configuration'!AV274="","",'12 - Device_Configuration'!AV274)</f>
        <v/>
      </c>
      <c r="U273" s="28" t="str">
        <f>IF('12 - Device_Configuration'!AW274="","",'12 - Device_Configuration'!AW274)</f>
        <v/>
      </c>
      <c r="V273" s="28" t="str">
        <f>IF('12 - Device_Configuration'!BA274="","",'12 - Device_Configuration'!BA274)</f>
        <v/>
      </c>
      <c r="W273" s="28" t="str">
        <f>IF('12 - Device_Configuration'!BC274="","",'12 - Device_Configuration'!BC274)</f>
        <v/>
      </c>
      <c r="X273" s="28" t="str">
        <f>IF('12 - Device_Configuration'!BK274="","",'12 - Device_Configuration'!BK274)</f>
        <v/>
      </c>
      <c r="Y273" s="28" t="str">
        <f>IF('12 - Device_Configuration'!BB274="","",'12 - Device_Configuration'!BB274)</f>
        <v/>
      </c>
      <c r="Z273" s="28" t="str">
        <f>IF('12 - Device_Configuration'!P274="","",'12 - Device_Configuration'!P274)</f>
        <v/>
      </c>
      <c r="AA273" s="28" t="str">
        <f>IF('12 - Device_Configuration'!Q274="","",'12 - Device_Configuration'!Q274)</f>
        <v/>
      </c>
    </row>
    <row r="274" spans="1:27">
      <c r="A274" s="29"/>
      <c r="B274" s="29"/>
      <c r="C274" s="28" t="str">
        <f>IF('12 - Device_Configuration'!H275="","",'12 - Device_Configuration'!H275)</f>
        <v/>
      </c>
      <c r="D274" s="28" t="str">
        <f>IF('12 - Device_Configuration'!AE275="","",'12 - Device_Configuration'!AE275)</f>
        <v/>
      </c>
      <c r="E274" s="28" t="str">
        <f>IF('12 - Device_Configuration'!AF275="","",'12 - Device_Configuration'!AF275)</f>
        <v/>
      </c>
      <c r="F274" s="28" t="str">
        <f>IF('12 - Device_Configuration'!AG275="","",'12 - Device_Configuration'!AG275)</f>
        <v/>
      </c>
      <c r="G274" s="28" t="str">
        <f>IF('12 - Device_Configuration'!AH275="","",'12 - Device_Configuration'!AH275)</f>
        <v/>
      </c>
      <c r="H274" s="28" t="str">
        <f>IF('12 - Device_Configuration'!A275="","",'12 - Device_Configuration'!A275)</f>
        <v/>
      </c>
      <c r="I274" s="28" t="str">
        <f>IF('12 - Device_Configuration'!AI275="","",'12 - Device_Configuration'!AI275)</f>
        <v/>
      </c>
      <c r="J274" s="28" t="str">
        <f>IF('12 - Device_Configuration'!AJ275="","",'12 - Device_Configuration'!AJ275)</f>
        <v/>
      </c>
      <c r="K274" s="28" t="str">
        <f>IF('12 - Device_Configuration'!AA275="","",'12 - Device_Configuration'!AA275)</f>
        <v/>
      </c>
      <c r="L274" s="28" t="str">
        <f>IF('12 - Device_Configuration'!I275="","",'12 - Device_Configuration'!I275)</f>
        <v/>
      </c>
      <c r="M274" s="29"/>
      <c r="N274" s="28" t="str">
        <f>IF('12 - Device_Configuration'!J275="","",'12 - Device_Configuration'!J275)</f>
        <v/>
      </c>
      <c r="O274" s="28" t="str">
        <f>IF('12 - Device_Configuration'!K275="","",'12 - Device_Configuration'!K275)</f>
        <v/>
      </c>
      <c r="P274" s="28" t="str">
        <f>IF('12 - Device_Configuration'!L275="","",'12 - Device_Configuration'!L275)</f>
        <v/>
      </c>
      <c r="Q274" s="29"/>
      <c r="R274" s="28" t="str">
        <f>IF('12 - Device_Configuration'!AY275="","",'12 - Device_Configuration'!AY275)</f>
        <v/>
      </c>
      <c r="S274" s="28" t="str">
        <f>IF('12 - Device_Configuration'!AX275="","",'12 - Device_Configuration'!AX275)</f>
        <v/>
      </c>
      <c r="T274" s="28" t="str">
        <f>IF('12 - Device_Configuration'!AV275="","",'12 - Device_Configuration'!AV275)</f>
        <v/>
      </c>
      <c r="U274" s="28" t="str">
        <f>IF('12 - Device_Configuration'!AW275="","",'12 - Device_Configuration'!AW275)</f>
        <v/>
      </c>
      <c r="V274" s="28" t="str">
        <f>IF('12 - Device_Configuration'!BA275="","",'12 - Device_Configuration'!BA275)</f>
        <v/>
      </c>
      <c r="W274" s="28" t="str">
        <f>IF('12 - Device_Configuration'!BC275="","",'12 - Device_Configuration'!BC275)</f>
        <v/>
      </c>
      <c r="X274" s="28" t="str">
        <f>IF('12 - Device_Configuration'!BK275="","",'12 - Device_Configuration'!BK275)</f>
        <v/>
      </c>
      <c r="Y274" s="28" t="str">
        <f>IF('12 - Device_Configuration'!BB275="","",'12 - Device_Configuration'!BB275)</f>
        <v/>
      </c>
      <c r="Z274" s="28" t="str">
        <f>IF('12 - Device_Configuration'!P275="","",'12 - Device_Configuration'!P275)</f>
        <v/>
      </c>
      <c r="AA274" s="28" t="str">
        <f>IF('12 - Device_Configuration'!Q275="","",'12 - Device_Configuration'!Q275)</f>
        <v/>
      </c>
    </row>
    <row r="275" spans="1:27">
      <c r="A275" s="29"/>
      <c r="B275" s="29"/>
      <c r="C275" s="28" t="str">
        <f>IF('12 - Device_Configuration'!H276="","",'12 - Device_Configuration'!H276)</f>
        <v/>
      </c>
      <c r="D275" s="28" t="str">
        <f>IF('12 - Device_Configuration'!AE276="","",'12 - Device_Configuration'!AE276)</f>
        <v/>
      </c>
      <c r="E275" s="28" t="str">
        <f>IF('12 - Device_Configuration'!AF276="","",'12 - Device_Configuration'!AF276)</f>
        <v/>
      </c>
      <c r="F275" s="28" t="str">
        <f>IF('12 - Device_Configuration'!AG276="","",'12 - Device_Configuration'!AG276)</f>
        <v/>
      </c>
      <c r="G275" s="28" t="str">
        <f>IF('12 - Device_Configuration'!AH276="","",'12 - Device_Configuration'!AH276)</f>
        <v/>
      </c>
      <c r="H275" s="28" t="str">
        <f>IF('12 - Device_Configuration'!A276="","",'12 - Device_Configuration'!A276)</f>
        <v/>
      </c>
      <c r="I275" s="28" t="str">
        <f>IF('12 - Device_Configuration'!AI276="","",'12 - Device_Configuration'!AI276)</f>
        <v/>
      </c>
      <c r="J275" s="28" t="str">
        <f>IF('12 - Device_Configuration'!AJ276="","",'12 - Device_Configuration'!AJ276)</f>
        <v/>
      </c>
      <c r="K275" s="28" t="str">
        <f>IF('12 - Device_Configuration'!AA276="","",'12 - Device_Configuration'!AA276)</f>
        <v/>
      </c>
      <c r="L275" s="28" t="str">
        <f>IF('12 - Device_Configuration'!I276="","",'12 - Device_Configuration'!I276)</f>
        <v/>
      </c>
      <c r="M275" s="29"/>
      <c r="N275" s="28" t="str">
        <f>IF('12 - Device_Configuration'!J276="","",'12 - Device_Configuration'!J276)</f>
        <v/>
      </c>
      <c r="O275" s="28" t="str">
        <f>IF('12 - Device_Configuration'!K276="","",'12 - Device_Configuration'!K276)</f>
        <v/>
      </c>
      <c r="P275" s="28" t="str">
        <f>IF('12 - Device_Configuration'!L276="","",'12 - Device_Configuration'!L276)</f>
        <v/>
      </c>
      <c r="Q275" s="29"/>
      <c r="R275" s="28" t="str">
        <f>IF('12 - Device_Configuration'!AY276="","",'12 - Device_Configuration'!AY276)</f>
        <v/>
      </c>
      <c r="S275" s="28" t="str">
        <f>IF('12 - Device_Configuration'!AX276="","",'12 - Device_Configuration'!AX276)</f>
        <v/>
      </c>
      <c r="T275" s="28" t="str">
        <f>IF('12 - Device_Configuration'!AV276="","",'12 - Device_Configuration'!AV276)</f>
        <v/>
      </c>
      <c r="U275" s="28" t="str">
        <f>IF('12 - Device_Configuration'!AW276="","",'12 - Device_Configuration'!AW276)</f>
        <v/>
      </c>
      <c r="V275" s="28" t="str">
        <f>IF('12 - Device_Configuration'!BA276="","",'12 - Device_Configuration'!BA276)</f>
        <v/>
      </c>
      <c r="W275" s="28" t="str">
        <f>IF('12 - Device_Configuration'!BC276="","",'12 - Device_Configuration'!BC276)</f>
        <v/>
      </c>
      <c r="X275" s="28" t="str">
        <f>IF('12 - Device_Configuration'!BK276="","",'12 - Device_Configuration'!BK276)</f>
        <v/>
      </c>
      <c r="Y275" s="28" t="str">
        <f>IF('12 - Device_Configuration'!BB276="","",'12 - Device_Configuration'!BB276)</f>
        <v/>
      </c>
      <c r="Z275" s="28" t="str">
        <f>IF('12 - Device_Configuration'!P276="","",'12 - Device_Configuration'!P276)</f>
        <v/>
      </c>
      <c r="AA275" s="28" t="str">
        <f>IF('12 - Device_Configuration'!Q276="","",'12 - Device_Configuration'!Q276)</f>
        <v/>
      </c>
    </row>
    <row r="276" spans="1:27">
      <c r="A276" s="29"/>
      <c r="B276" s="29"/>
      <c r="C276" s="28" t="str">
        <f>IF('12 - Device_Configuration'!H277="","",'12 - Device_Configuration'!H277)</f>
        <v/>
      </c>
      <c r="D276" s="28" t="str">
        <f>IF('12 - Device_Configuration'!AE277="","",'12 - Device_Configuration'!AE277)</f>
        <v/>
      </c>
      <c r="E276" s="28" t="str">
        <f>IF('12 - Device_Configuration'!AF277="","",'12 - Device_Configuration'!AF277)</f>
        <v/>
      </c>
      <c r="F276" s="28" t="str">
        <f>IF('12 - Device_Configuration'!AG277="","",'12 - Device_Configuration'!AG277)</f>
        <v/>
      </c>
      <c r="G276" s="28" t="str">
        <f>IF('12 - Device_Configuration'!AH277="","",'12 - Device_Configuration'!AH277)</f>
        <v/>
      </c>
      <c r="H276" s="28" t="str">
        <f>IF('12 - Device_Configuration'!A277="","",'12 - Device_Configuration'!A277)</f>
        <v/>
      </c>
      <c r="I276" s="28" t="str">
        <f>IF('12 - Device_Configuration'!AI277="","",'12 - Device_Configuration'!AI277)</f>
        <v/>
      </c>
      <c r="J276" s="28" t="str">
        <f>IF('12 - Device_Configuration'!AJ277="","",'12 - Device_Configuration'!AJ277)</f>
        <v/>
      </c>
      <c r="K276" s="28" t="str">
        <f>IF('12 - Device_Configuration'!AA277="","",'12 - Device_Configuration'!AA277)</f>
        <v/>
      </c>
      <c r="L276" s="28" t="str">
        <f>IF('12 - Device_Configuration'!I277="","",'12 - Device_Configuration'!I277)</f>
        <v/>
      </c>
      <c r="M276" s="29"/>
      <c r="N276" s="28" t="str">
        <f>IF('12 - Device_Configuration'!J277="","",'12 - Device_Configuration'!J277)</f>
        <v/>
      </c>
      <c r="O276" s="28" t="str">
        <f>IF('12 - Device_Configuration'!K277="","",'12 - Device_Configuration'!K277)</f>
        <v/>
      </c>
      <c r="P276" s="28" t="str">
        <f>IF('12 - Device_Configuration'!L277="","",'12 - Device_Configuration'!L277)</f>
        <v/>
      </c>
      <c r="Q276" s="29"/>
      <c r="R276" s="28" t="str">
        <f>IF('12 - Device_Configuration'!AY277="","",'12 - Device_Configuration'!AY277)</f>
        <v/>
      </c>
      <c r="S276" s="28" t="str">
        <f>IF('12 - Device_Configuration'!AX277="","",'12 - Device_Configuration'!AX277)</f>
        <v/>
      </c>
      <c r="T276" s="28" t="str">
        <f>IF('12 - Device_Configuration'!AV277="","",'12 - Device_Configuration'!AV277)</f>
        <v/>
      </c>
      <c r="U276" s="28" t="str">
        <f>IF('12 - Device_Configuration'!AW277="","",'12 - Device_Configuration'!AW277)</f>
        <v/>
      </c>
      <c r="V276" s="28" t="str">
        <f>IF('12 - Device_Configuration'!BA277="","",'12 - Device_Configuration'!BA277)</f>
        <v/>
      </c>
      <c r="W276" s="28" t="str">
        <f>IF('12 - Device_Configuration'!BC277="","",'12 - Device_Configuration'!BC277)</f>
        <v/>
      </c>
      <c r="X276" s="28" t="str">
        <f>IF('12 - Device_Configuration'!BK277="","",'12 - Device_Configuration'!BK277)</f>
        <v/>
      </c>
      <c r="Y276" s="28" t="str">
        <f>IF('12 - Device_Configuration'!BB277="","",'12 - Device_Configuration'!BB277)</f>
        <v/>
      </c>
      <c r="Z276" s="28" t="str">
        <f>IF('12 - Device_Configuration'!P277="","",'12 - Device_Configuration'!P277)</f>
        <v/>
      </c>
      <c r="AA276" s="28" t="str">
        <f>IF('12 - Device_Configuration'!Q277="","",'12 - Device_Configuration'!Q277)</f>
        <v/>
      </c>
    </row>
    <row r="277" spans="1:27">
      <c r="A277" s="29"/>
      <c r="B277" s="29"/>
      <c r="C277" s="28" t="str">
        <f>IF('12 - Device_Configuration'!H278="","",'12 - Device_Configuration'!H278)</f>
        <v/>
      </c>
      <c r="D277" s="28" t="str">
        <f>IF('12 - Device_Configuration'!AE278="","",'12 - Device_Configuration'!AE278)</f>
        <v/>
      </c>
      <c r="E277" s="28" t="str">
        <f>IF('12 - Device_Configuration'!AF278="","",'12 - Device_Configuration'!AF278)</f>
        <v/>
      </c>
      <c r="F277" s="28" t="str">
        <f>IF('12 - Device_Configuration'!AG278="","",'12 - Device_Configuration'!AG278)</f>
        <v/>
      </c>
      <c r="G277" s="28" t="str">
        <f>IF('12 - Device_Configuration'!AH278="","",'12 - Device_Configuration'!AH278)</f>
        <v/>
      </c>
      <c r="H277" s="28" t="str">
        <f>IF('12 - Device_Configuration'!A278="","",'12 - Device_Configuration'!A278)</f>
        <v/>
      </c>
      <c r="I277" s="28" t="str">
        <f>IF('12 - Device_Configuration'!AI278="","",'12 - Device_Configuration'!AI278)</f>
        <v/>
      </c>
      <c r="J277" s="28" t="str">
        <f>IF('12 - Device_Configuration'!AJ278="","",'12 - Device_Configuration'!AJ278)</f>
        <v/>
      </c>
      <c r="K277" s="28" t="str">
        <f>IF('12 - Device_Configuration'!AA278="","",'12 - Device_Configuration'!AA278)</f>
        <v/>
      </c>
      <c r="L277" s="28" t="str">
        <f>IF('12 - Device_Configuration'!I278="","",'12 - Device_Configuration'!I278)</f>
        <v/>
      </c>
      <c r="M277" s="29"/>
      <c r="N277" s="28" t="str">
        <f>IF('12 - Device_Configuration'!J278="","",'12 - Device_Configuration'!J278)</f>
        <v/>
      </c>
      <c r="O277" s="28" t="str">
        <f>IF('12 - Device_Configuration'!K278="","",'12 - Device_Configuration'!K278)</f>
        <v/>
      </c>
      <c r="P277" s="28" t="str">
        <f>IF('12 - Device_Configuration'!L278="","",'12 - Device_Configuration'!L278)</f>
        <v/>
      </c>
      <c r="Q277" s="29"/>
      <c r="R277" s="28" t="str">
        <f>IF('12 - Device_Configuration'!AY278="","",'12 - Device_Configuration'!AY278)</f>
        <v/>
      </c>
      <c r="S277" s="28" t="str">
        <f>IF('12 - Device_Configuration'!AX278="","",'12 - Device_Configuration'!AX278)</f>
        <v/>
      </c>
      <c r="T277" s="28" t="str">
        <f>IF('12 - Device_Configuration'!AV278="","",'12 - Device_Configuration'!AV278)</f>
        <v/>
      </c>
      <c r="U277" s="28" t="str">
        <f>IF('12 - Device_Configuration'!AW278="","",'12 - Device_Configuration'!AW278)</f>
        <v/>
      </c>
      <c r="V277" s="28" t="str">
        <f>IF('12 - Device_Configuration'!BA278="","",'12 - Device_Configuration'!BA278)</f>
        <v/>
      </c>
      <c r="W277" s="28" t="str">
        <f>IF('12 - Device_Configuration'!BC278="","",'12 - Device_Configuration'!BC278)</f>
        <v/>
      </c>
      <c r="X277" s="28" t="str">
        <f>IF('12 - Device_Configuration'!BK278="","",'12 - Device_Configuration'!BK278)</f>
        <v/>
      </c>
      <c r="Y277" s="28" t="str">
        <f>IF('12 - Device_Configuration'!BB278="","",'12 - Device_Configuration'!BB278)</f>
        <v/>
      </c>
      <c r="Z277" s="28" t="str">
        <f>IF('12 - Device_Configuration'!P278="","",'12 - Device_Configuration'!P278)</f>
        <v/>
      </c>
      <c r="AA277" s="28" t="str">
        <f>IF('12 - Device_Configuration'!Q278="","",'12 - Device_Configuration'!Q278)</f>
        <v/>
      </c>
    </row>
    <row r="278" spans="1:27">
      <c r="A278" s="29"/>
      <c r="B278" s="29"/>
      <c r="C278" s="28" t="str">
        <f>IF('12 - Device_Configuration'!H279="","",'12 - Device_Configuration'!H279)</f>
        <v/>
      </c>
      <c r="D278" s="28" t="str">
        <f>IF('12 - Device_Configuration'!AE279="","",'12 - Device_Configuration'!AE279)</f>
        <v/>
      </c>
      <c r="E278" s="28" t="str">
        <f>IF('12 - Device_Configuration'!AF279="","",'12 - Device_Configuration'!AF279)</f>
        <v/>
      </c>
      <c r="F278" s="28" t="str">
        <f>IF('12 - Device_Configuration'!AG279="","",'12 - Device_Configuration'!AG279)</f>
        <v/>
      </c>
      <c r="G278" s="28" t="str">
        <f>IF('12 - Device_Configuration'!AH279="","",'12 - Device_Configuration'!AH279)</f>
        <v/>
      </c>
      <c r="H278" s="28" t="str">
        <f>IF('12 - Device_Configuration'!A279="","",'12 - Device_Configuration'!A279)</f>
        <v/>
      </c>
      <c r="I278" s="28" t="str">
        <f>IF('12 - Device_Configuration'!AI279="","",'12 - Device_Configuration'!AI279)</f>
        <v/>
      </c>
      <c r="J278" s="28" t="str">
        <f>IF('12 - Device_Configuration'!AJ279="","",'12 - Device_Configuration'!AJ279)</f>
        <v/>
      </c>
      <c r="K278" s="28" t="str">
        <f>IF('12 - Device_Configuration'!AA279="","",'12 - Device_Configuration'!AA279)</f>
        <v/>
      </c>
      <c r="L278" s="28" t="str">
        <f>IF('12 - Device_Configuration'!I279="","",'12 - Device_Configuration'!I279)</f>
        <v/>
      </c>
      <c r="M278" s="29"/>
      <c r="N278" s="28" t="str">
        <f>IF('12 - Device_Configuration'!J279="","",'12 - Device_Configuration'!J279)</f>
        <v/>
      </c>
      <c r="O278" s="28" t="str">
        <f>IF('12 - Device_Configuration'!K279="","",'12 - Device_Configuration'!K279)</f>
        <v/>
      </c>
      <c r="P278" s="28" t="str">
        <f>IF('12 - Device_Configuration'!L279="","",'12 - Device_Configuration'!L279)</f>
        <v/>
      </c>
      <c r="Q278" s="29"/>
      <c r="R278" s="28" t="str">
        <f>IF('12 - Device_Configuration'!AY279="","",'12 - Device_Configuration'!AY279)</f>
        <v/>
      </c>
      <c r="S278" s="28" t="str">
        <f>IF('12 - Device_Configuration'!AX279="","",'12 - Device_Configuration'!AX279)</f>
        <v/>
      </c>
      <c r="T278" s="28" t="str">
        <f>IF('12 - Device_Configuration'!AV279="","",'12 - Device_Configuration'!AV279)</f>
        <v/>
      </c>
      <c r="U278" s="28" t="str">
        <f>IF('12 - Device_Configuration'!AW279="","",'12 - Device_Configuration'!AW279)</f>
        <v/>
      </c>
      <c r="V278" s="28" t="str">
        <f>IF('12 - Device_Configuration'!BA279="","",'12 - Device_Configuration'!BA279)</f>
        <v/>
      </c>
      <c r="W278" s="28" t="str">
        <f>IF('12 - Device_Configuration'!BC279="","",'12 - Device_Configuration'!BC279)</f>
        <v/>
      </c>
      <c r="X278" s="28" t="str">
        <f>IF('12 - Device_Configuration'!BK279="","",'12 - Device_Configuration'!BK279)</f>
        <v/>
      </c>
      <c r="Y278" s="28" t="str">
        <f>IF('12 - Device_Configuration'!BB279="","",'12 - Device_Configuration'!BB279)</f>
        <v/>
      </c>
      <c r="Z278" s="28" t="str">
        <f>IF('12 - Device_Configuration'!P279="","",'12 - Device_Configuration'!P279)</f>
        <v/>
      </c>
      <c r="AA278" s="28" t="str">
        <f>IF('12 - Device_Configuration'!Q279="","",'12 - Device_Configuration'!Q279)</f>
        <v/>
      </c>
    </row>
    <row r="279" spans="1:27">
      <c r="A279" s="29"/>
      <c r="B279" s="29"/>
      <c r="C279" s="28" t="str">
        <f>IF('12 - Device_Configuration'!H280="","",'12 - Device_Configuration'!H280)</f>
        <v/>
      </c>
      <c r="D279" s="28" t="str">
        <f>IF('12 - Device_Configuration'!AE280="","",'12 - Device_Configuration'!AE280)</f>
        <v/>
      </c>
      <c r="E279" s="28" t="str">
        <f>IF('12 - Device_Configuration'!AF280="","",'12 - Device_Configuration'!AF280)</f>
        <v/>
      </c>
      <c r="F279" s="28" t="str">
        <f>IF('12 - Device_Configuration'!AG280="","",'12 - Device_Configuration'!AG280)</f>
        <v/>
      </c>
      <c r="G279" s="28" t="str">
        <f>IF('12 - Device_Configuration'!AH280="","",'12 - Device_Configuration'!AH280)</f>
        <v/>
      </c>
      <c r="H279" s="28" t="str">
        <f>IF('12 - Device_Configuration'!A280="","",'12 - Device_Configuration'!A280)</f>
        <v/>
      </c>
      <c r="I279" s="28" t="str">
        <f>IF('12 - Device_Configuration'!AI280="","",'12 - Device_Configuration'!AI280)</f>
        <v/>
      </c>
      <c r="J279" s="28" t="str">
        <f>IF('12 - Device_Configuration'!AJ280="","",'12 - Device_Configuration'!AJ280)</f>
        <v/>
      </c>
      <c r="K279" s="28" t="str">
        <f>IF('12 - Device_Configuration'!AA280="","",'12 - Device_Configuration'!AA280)</f>
        <v/>
      </c>
      <c r="L279" s="28" t="str">
        <f>IF('12 - Device_Configuration'!I280="","",'12 - Device_Configuration'!I280)</f>
        <v/>
      </c>
      <c r="M279" s="29"/>
      <c r="N279" s="28" t="str">
        <f>IF('12 - Device_Configuration'!J280="","",'12 - Device_Configuration'!J280)</f>
        <v/>
      </c>
      <c r="O279" s="28" t="str">
        <f>IF('12 - Device_Configuration'!K280="","",'12 - Device_Configuration'!K280)</f>
        <v/>
      </c>
      <c r="P279" s="28" t="str">
        <f>IF('12 - Device_Configuration'!L280="","",'12 - Device_Configuration'!L280)</f>
        <v/>
      </c>
      <c r="Q279" s="29"/>
      <c r="R279" s="28" t="str">
        <f>IF('12 - Device_Configuration'!AY280="","",'12 - Device_Configuration'!AY280)</f>
        <v/>
      </c>
      <c r="S279" s="28" t="str">
        <f>IF('12 - Device_Configuration'!AX280="","",'12 - Device_Configuration'!AX280)</f>
        <v/>
      </c>
      <c r="T279" s="28" t="str">
        <f>IF('12 - Device_Configuration'!AV280="","",'12 - Device_Configuration'!AV280)</f>
        <v/>
      </c>
      <c r="U279" s="28" t="str">
        <f>IF('12 - Device_Configuration'!AW280="","",'12 - Device_Configuration'!AW280)</f>
        <v/>
      </c>
      <c r="V279" s="28" t="str">
        <f>IF('12 - Device_Configuration'!BA280="","",'12 - Device_Configuration'!BA280)</f>
        <v/>
      </c>
      <c r="W279" s="28" t="str">
        <f>IF('12 - Device_Configuration'!BC280="","",'12 - Device_Configuration'!BC280)</f>
        <v/>
      </c>
      <c r="X279" s="28" t="str">
        <f>IF('12 - Device_Configuration'!BK280="","",'12 - Device_Configuration'!BK280)</f>
        <v/>
      </c>
      <c r="Y279" s="28" t="str">
        <f>IF('12 - Device_Configuration'!BB280="","",'12 - Device_Configuration'!BB280)</f>
        <v/>
      </c>
      <c r="Z279" s="28" t="str">
        <f>IF('12 - Device_Configuration'!P280="","",'12 - Device_Configuration'!P280)</f>
        <v/>
      </c>
      <c r="AA279" s="28" t="str">
        <f>IF('12 - Device_Configuration'!Q280="","",'12 - Device_Configuration'!Q280)</f>
        <v/>
      </c>
    </row>
    <row r="280" spans="1:27">
      <c r="A280" s="29"/>
      <c r="B280" s="29"/>
      <c r="C280" s="28" t="str">
        <f>IF('12 - Device_Configuration'!H281="","",'12 - Device_Configuration'!H281)</f>
        <v/>
      </c>
      <c r="D280" s="28" t="str">
        <f>IF('12 - Device_Configuration'!AE281="","",'12 - Device_Configuration'!AE281)</f>
        <v/>
      </c>
      <c r="E280" s="28" t="str">
        <f>IF('12 - Device_Configuration'!AF281="","",'12 - Device_Configuration'!AF281)</f>
        <v/>
      </c>
      <c r="F280" s="28" t="str">
        <f>IF('12 - Device_Configuration'!AG281="","",'12 - Device_Configuration'!AG281)</f>
        <v/>
      </c>
      <c r="G280" s="28" t="str">
        <f>IF('12 - Device_Configuration'!AH281="","",'12 - Device_Configuration'!AH281)</f>
        <v/>
      </c>
      <c r="H280" s="28" t="str">
        <f>IF('12 - Device_Configuration'!A281="","",'12 - Device_Configuration'!A281)</f>
        <v/>
      </c>
      <c r="I280" s="28" t="str">
        <f>IF('12 - Device_Configuration'!AI281="","",'12 - Device_Configuration'!AI281)</f>
        <v/>
      </c>
      <c r="J280" s="28" t="str">
        <f>IF('12 - Device_Configuration'!AJ281="","",'12 - Device_Configuration'!AJ281)</f>
        <v/>
      </c>
      <c r="K280" s="28" t="str">
        <f>IF('12 - Device_Configuration'!AA281="","",'12 - Device_Configuration'!AA281)</f>
        <v/>
      </c>
      <c r="L280" s="28" t="str">
        <f>IF('12 - Device_Configuration'!I281="","",'12 - Device_Configuration'!I281)</f>
        <v/>
      </c>
      <c r="M280" s="29"/>
      <c r="N280" s="28" t="str">
        <f>IF('12 - Device_Configuration'!J281="","",'12 - Device_Configuration'!J281)</f>
        <v/>
      </c>
      <c r="O280" s="28" t="str">
        <f>IF('12 - Device_Configuration'!K281="","",'12 - Device_Configuration'!K281)</f>
        <v/>
      </c>
      <c r="P280" s="28" t="str">
        <f>IF('12 - Device_Configuration'!L281="","",'12 - Device_Configuration'!L281)</f>
        <v/>
      </c>
      <c r="Q280" s="29"/>
      <c r="R280" s="28" t="str">
        <f>IF('12 - Device_Configuration'!AY281="","",'12 - Device_Configuration'!AY281)</f>
        <v/>
      </c>
      <c r="S280" s="28" t="str">
        <f>IF('12 - Device_Configuration'!AX281="","",'12 - Device_Configuration'!AX281)</f>
        <v/>
      </c>
      <c r="T280" s="28" t="str">
        <f>IF('12 - Device_Configuration'!AV281="","",'12 - Device_Configuration'!AV281)</f>
        <v/>
      </c>
      <c r="U280" s="28" t="str">
        <f>IF('12 - Device_Configuration'!AW281="","",'12 - Device_Configuration'!AW281)</f>
        <v/>
      </c>
      <c r="V280" s="28" t="str">
        <f>IF('12 - Device_Configuration'!BA281="","",'12 - Device_Configuration'!BA281)</f>
        <v/>
      </c>
      <c r="W280" s="28" t="str">
        <f>IF('12 - Device_Configuration'!BC281="","",'12 - Device_Configuration'!BC281)</f>
        <v/>
      </c>
      <c r="X280" s="28" t="str">
        <f>IF('12 - Device_Configuration'!BK281="","",'12 - Device_Configuration'!BK281)</f>
        <v/>
      </c>
      <c r="Y280" s="28" t="str">
        <f>IF('12 - Device_Configuration'!BB281="","",'12 - Device_Configuration'!BB281)</f>
        <v/>
      </c>
      <c r="Z280" s="28" t="str">
        <f>IF('12 - Device_Configuration'!P281="","",'12 - Device_Configuration'!P281)</f>
        <v/>
      </c>
      <c r="AA280" s="28" t="str">
        <f>IF('12 - Device_Configuration'!Q281="","",'12 - Device_Configuration'!Q281)</f>
        <v/>
      </c>
    </row>
    <row r="281" spans="1:27">
      <c r="A281" s="29"/>
      <c r="B281" s="29"/>
      <c r="C281" s="28" t="str">
        <f>IF('12 - Device_Configuration'!H282="","",'12 - Device_Configuration'!H282)</f>
        <v/>
      </c>
      <c r="D281" s="28" t="str">
        <f>IF('12 - Device_Configuration'!AE282="","",'12 - Device_Configuration'!AE282)</f>
        <v/>
      </c>
      <c r="E281" s="28" t="str">
        <f>IF('12 - Device_Configuration'!AF282="","",'12 - Device_Configuration'!AF282)</f>
        <v/>
      </c>
      <c r="F281" s="28" t="str">
        <f>IF('12 - Device_Configuration'!AG282="","",'12 - Device_Configuration'!AG282)</f>
        <v/>
      </c>
      <c r="G281" s="28" t="str">
        <f>IF('12 - Device_Configuration'!AH282="","",'12 - Device_Configuration'!AH282)</f>
        <v/>
      </c>
      <c r="H281" s="28" t="str">
        <f>IF('12 - Device_Configuration'!A282="","",'12 - Device_Configuration'!A282)</f>
        <v/>
      </c>
      <c r="I281" s="28" t="str">
        <f>IF('12 - Device_Configuration'!AI282="","",'12 - Device_Configuration'!AI282)</f>
        <v/>
      </c>
      <c r="J281" s="28" t="str">
        <f>IF('12 - Device_Configuration'!AJ282="","",'12 - Device_Configuration'!AJ282)</f>
        <v/>
      </c>
      <c r="K281" s="28" t="str">
        <f>IF('12 - Device_Configuration'!AA282="","",'12 - Device_Configuration'!AA282)</f>
        <v/>
      </c>
      <c r="L281" s="28" t="str">
        <f>IF('12 - Device_Configuration'!I282="","",'12 - Device_Configuration'!I282)</f>
        <v/>
      </c>
      <c r="M281" s="29"/>
      <c r="N281" s="28" t="str">
        <f>IF('12 - Device_Configuration'!J282="","",'12 - Device_Configuration'!J282)</f>
        <v/>
      </c>
      <c r="O281" s="28" t="str">
        <f>IF('12 - Device_Configuration'!K282="","",'12 - Device_Configuration'!K282)</f>
        <v/>
      </c>
      <c r="P281" s="28" t="str">
        <f>IF('12 - Device_Configuration'!L282="","",'12 - Device_Configuration'!L282)</f>
        <v/>
      </c>
      <c r="Q281" s="29"/>
      <c r="R281" s="28" t="str">
        <f>IF('12 - Device_Configuration'!AY282="","",'12 - Device_Configuration'!AY282)</f>
        <v/>
      </c>
      <c r="S281" s="28" t="str">
        <f>IF('12 - Device_Configuration'!AX282="","",'12 - Device_Configuration'!AX282)</f>
        <v/>
      </c>
      <c r="T281" s="28" t="str">
        <f>IF('12 - Device_Configuration'!AV282="","",'12 - Device_Configuration'!AV282)</f>
        <v/>
      </c>
      <c r="U281" s="28" t="str">
        <f>IF('12 - Device_Configuration'!AW282="","",'12 - Device_Configuration'!AW282)</f>
        <v/>
      </c>
      <c r="V281" s="28" t="str">
        <f>IF('12 - Device_Configuration'!BA282="","",'12 - Device_Configuration'!BA282)</f>
        <v/>
      </c>
      <c r="W281" s="28" t="str">
        <f>IF('12 - Device_Configuration'!BC282="","",'12 - Device_Configuration'!BC282)</f>
        <v/>
      </c>
      <c r="X281" s="28" t="str">
        <f>IF('12 - Device_Configuration'!BK282="","",'12 - Device_Configuration'!BK282)</f>
        <v/>
      </c>
      <c r="Y281" s="28" t="str">
        <f>IF('12 - Device_Configuration'!BB282="","",'12 - Device_Configuration'!BB282)</f>
        <v/>
      </c>
      <c r="Z281" s="28" t="str">
        <f>IF('12 - Device_Configuration'!P282="","",'12 - Device_Configuration'!P282)</f>
        <v/>
      </c>
      <c r="AA281" s="28" t="str">
        <f>IF('12 - Device_Configuration'!Q282="","",'12 - Device_Configuration'!Q282)</f>
        <v/>
      </c>
    </row>
    <row r="282" spans="1:27">
      <c r="A282" s="29"/>
      <c r="B282" s="29"/>
      <c r="C282" s="28" t="str">
        <f>IF('12 - Device_Configuration'!H283="","",'12 - Device_Configuration'!H283)</f>
        <v/>
      </c>
      <c r="D282" s="28" t="str">
        <f>IF('12 - Device_Configuration'!AE283="","",'12 - Device_Configuration'!AE283)</f>
        <v/>
      </c>
      <c r="E282" s="28" t="str">
        <f>IF('12 - Device_Configuration'!AF283="","",'12 - Device_Configuration'!AF283)</f>
        <v/>
      </c>
      <c r="F282" s="28" t="str">
        <f>IF('12 - Device_Configuration'!AG283="","",'12 - Device_Configuration'!AG283)</f>
        <v/>
      </c>
      <c r="G282" s="28" t="str">
        <f>IF('12 - Device_Configuration'!AH283="","",'12 - Device_Configuration'!AH283)</f>
        <v/>
      </c>
      <c r="H282" s="28" t="str">
        <f>IF('12 - Device_Configuration'!A283="","",'12 - Device_Configuration'!A283)</f>
        <v/>
      </c>
      <c r="I282" s="28" t="str">
        <f>IF('12 - Device_Configuration'!AI283="","",'12 - Device_Configuration'!AI283)</f>
        <v/>
      </c>
      <c r="J282" s="28" t="str">
        <f>IF('12 - Device_Configuration'!AJ283="","",'12 - Device_Configuration'!AJ283)</f>
        <v/>
      </c>
      <c r="K282" s="28" t="str">
        <f>IF('12 - Device_Configuration'!AA283="","",'12 - Device_Configuration'!AA283)</f>
        <v/>
      </c>
      <c r="L282" s="28" t="str">
        <f>IF('12 - Device_Configuration'!I283="","",'12 - Device_Configuration'!I283)</f>
        <v/>
      </c>
      <c r="M282" s="29"/>
      <c r="N282" s="28" t="str">
        <f>IF('12 - Device_Configuration'!J283="","",'12 - Device_Configuration'!J283)</f>
        <v/>
      </c>
      <c r="O282" s="28" t="str">
        <f>IF('12 - Device_Configuration'!K283="","",'12 - Device_Configuration'!K283)</f>
        <v/>
      </c>
      <c r="P282" s="28" t="str">
        <f>IF('12 - Device_Configuration'!L283="","",'12 - Device_Configuration'!L283)</f>
        <v/>
      </c>
      <c r="Q282" s="29"/>
      <c r="R282" s="28" t="str">
        <f>IF('12 - Device_Configuration'!AY283="","",'12 - Device_Configuration'!AY283)</f>
        <v/>
      </c>
      <c r="S282" s="28" t="str">
        <f>IF('12 - Device_Configuration'!AX283="","",'12 - Device_Configuration'!AX283)</f>
        <v/>
      </c>
      <c r="T282" s="28" t="str">
        <f>IF('12 - Device_Configuration'!AV283="","",'12 - Device_Configuration'!AV283)</f>
        <v/>
      </c>
      <c r="U282" s="28" t="str">
        <f>IF('12 - Device_Configuration'!AW283="","",'12 - Device_Configuration'!AW283)</f>
        <v/>
      </c>
      <c r="V282" s="28" t="str">
        <f>IF('12 - Device_Configuration'!BA283="","",'12 - Device_Configuration'!BA283)</f>
        <v/>
      </c>
      <c r="W282" s="28" t="str">
        <f>IF('12 - Device_Configuration'!BC283="","",'12 - Device_Configuration'!BC283)</f>
        <v/>
      </c>
      <c r="X282" s="28" t="str">
        <f>IF('12 - Device_Configuration'!BK283="","",'12 - Device_Configuration'!BK283)</f>
        <v/>
      </c>
      <c r="Y282" s="28" t="str">
        <f>IF('12 - Device_Configuration'!BB283="","",'12 - Device_Configuration'!BB283)</f>
        <v/>
      </c>
      <c r="Z282" s="28" t="str">
        <f>IF('12 - Device_Configuration'!P283="","",'12 - Device_Configuration'!P283)</f>
        <v/>
      </c>
      <c r="AA282" s="28" t="str">
        <f>IF('12 - Device_Configuration'!Q283="","",'12 - Device_Configuration'!Q283)</f>
        <v/>
      </c>
    </row>
    <row r="283" spans="1:27">
      <c r="A283" s="29"/>
      <c r="B283" s="29"/>
      <c r="C283" s="28" t="str">
        <f>IF('12 - Device_Configuration'!H284="","",'12 - Device_Configuration'!H284)</f>
        <v/>
      </c>
      <c r="D283" s="28" t="str">
        <f>IF('12 - Device_Configuration'!AE284="","",'12 - Device_Configuration'!AE284)</f>
        <v/>
      </c>
      <c r="E283" s="28" t="str">
        <f>IF('12 - Device_Configuration'!AF284="","",'12 - Device_Configuration'!AF284)</f>
        <v/>
      </c>
      <c r="F283" s="28" t="str">
        <f>IF('12 - Device_Configuration'!AG284="","",'12 - Device_Configuration'!AG284)</f>
        <v/>
      </c>
      <c r="G283" s="28" t="str">
        <f>IF('12 - Device_Configuration'!AH284="","",'12 - Device_Configuration'!AH284)</f>
        <v/>
      </c>
      <c r="H283" s="28" t="str">
        <f>IF('12 - Device_Configuration'!A284="","",'12 - Device_Configuration'!A284)</f>
        <v/>
      </c>
      <c r="I283" s="28" t="str">
        <f>IF('12 - Device_Configuration'!AI284="","",'12 - Device_Configuration'!AI284)</f>
        <v/>
      </c>
      <c r="J283" s="28" t="str">
        <f>IF('12 - Device_Configuration'!AJ284="","",'12 - Device_Configuration'!AJ284)</f>
        <v/>
      </c>
      <c r="K283" s="28" t="str">
        <f>IF('12 - Device_Configuration'!AA284="","",'12 - Device_Configuration'!AA284)</f>
        <v/>
      </c>
      <c r="L283" s="28" t="str">
        <f>IF('12 - Device_Configuration'!I284="","",'12 - Device_Configuration'!I284)</f>
        <v/>
      </c>
      <c r="M283" s="29"/>
      <c r="N283" s="28" t="str">
        <f>IF('12 - Device_Configuration'!J284="","",'12 - Device_Configuration'!J284)</f>
        <v/>
      </c>
      <c r="O283" s="28" t="str">
        <f>IF('12 - Device_Configuration'!K284="","",'12 - Device_Configuration'!K284)</f>
        <v/>
      </c>
      <c r="P283" s="28" t="str">
        <f>IF('12 - Device_Configuration'!L284="","",'12 - Device_Configuration'!L284)</f>
        <v/>
      </c>
      <c r="Q283" s="29"/>
      <c r="R283" s="28" t="str">
        <f>IF('12 - Device_Configuration'!AY284="","",'12 - Device_Configuration'!AY284)</f>
        <v/>
      </c>
      <c r="S283" s="28" t="str">
        <f>IF('12 - Device_Configuration'!AX284="","",'12 - Device_Configuration'!AX284)</f>
        <v/>
      </c>
      <c r="T283" s="28" t="str">
        <f>IF('12 - Device_Configuration'!AV284="","",'12 - Device_Configuration'!AV284)</f>
        <v/>
      </c>
      <c r="U283" s="28" t="str">
        <f>IF('12 - Device_Configuration'!AW284="","",'12 - Device_Configuration'!AW284)</f>
        <v/>
      </c>
      <c r="V283" s="28" t="str">
        <f>IF('12 - Device_Configuration'!BA284="","",'12 - Device_Configuration'!BA284)</f>
        <v/>
      </c>
      <c r="W283" s="28" t="str">
        <f>IF('12 - Device_Configuration'!BC284="","",'12 - Device_Configuration'!BC284)</f>
        <v/>
      </c>
      <c r="X283" s="28" t="str">
        <f>IF('12 - Device_Configuration'!BK284="","",'12 - Device_Configuration'!BK284)</f>
        <v/>
      </c>
      <c r="Y283" s="28" t="str">
        <f>IF('12 - Device_Configuration'!BB284="","",'12 - Device_Configuration'!BB284)</f>
        <v/>
      </c>
      <c r="Z283" s="28" t="str">
        <f>IF('12 - Device_Configuration'!P284="","",'12 - Device_Configuration'!P284)</f>
        <v/>
      </c>
      <c r="AA283" s="28" t="str">
        <f>IF('12 - Device_Configuration'!Q284="","",'12 - Device_Configuration'!Q284)</f>
        <v/>
      </c>
    </row>
    <row r="284" spans="1:27">
      <c r="A284" s="29"/>
      <c r="B284" s="29"/>
      <c r="C284" s="28" t="str">
        <f>IF('12 - Device_Configuration'!H285="","",'12 - Device_Configuration'!H285)</f>
        <v/>
      </c>
      <c r="D284" s="28" t="str">
        <f>IF('12 - Device_Configuration'!AE285="","",'12 - Device_Configuration'!AE285)</f>
        <v/>
      </c>
      <c r="E284" s="28" t="str">
        <f>IF('12 - Device_Configuration'!AF285="","",'12 - Device_Configuration'!AF285)</f>
        <v/>
      </c>
      <c r="F284" s="28" t="str">
        <f>IF('12 - Device_Configuration'!AG285="","",'12 - Device_Configuration'!AG285)</f>
        <v/>
      </c>
      <c r="G284" s="28" t="str">
        <f>IF('12 - Device_Configuration'!AH285="","",'12 - Device_Configuration'!AH285)</f>
        <v/>
      </c>
      <c r="H284" s="28" t="str">
        <f>IF('12 - Device_Configuration'!A285="","",'12 - Device_Configuration'!A285)</f>
        <v/>
      </c>
      <c r="I284" s="28" t="str">
        <f>IF('12 - Device_Configuration'!AI285="","",'12 - Device_Configuration'!AI285)</f>
        <v/>
      </c>
      <c r="J284" s="28" t="str">
        <f>IF('12 - Device_Configuration'!AJ285="","",'12 - Device_Configuration'!AJ285)</f>
        <v/>
      </c>
      <c r="K284" s="28" t="str">
        <f>IF('12 - Device_Configuration'!AA285="","",'12 - Device_Configuration'!AA285)</f>
        <v/>
      </c>
      <c r="L284" s="28" t="str">
        <f>IF('12 - Device_Configuration'!I285="","",'12 - Device_Configuration'!I285)</f>
        <v/>
      </c>
      <c r="M284" s="29"/>
      <c r="N284" s="28" t="str">
        <f>IF('12 - Device_Configuration'!J285="","",'12 - Device_Configuration'!J285)</f>
        <v/>
      </c>
      <c r="O284" s="28" t="str">
        <f>IF('12 - Device_Configuration'!K285="","",'12 - Device_Configuration'!K285)</f>
        <v/>
      </c>
      <c r="P284" s="28" t="str">
        <f>IF('12 - Device_Configuration'!L285="","",'12 - Device_Configuration'!L285)</f>
        <v/>
      </c>
      <c r="Q284" s="29"/>
      <c r="R284" s="28" t="str">
        <f>IF('12 - Device_Configuration'!AY285="","",'12 - Device_Configuration'!AY285)</f>
        <v/>
      </c>
      <c r="S284" s="28" t="str">
        <f>IF('12 - Device_Configuration'!AX285="","",'12 - Device_Configuration'!AX285)</f>
        <v/>
      </c>
      <c r="T284" s="28" t="str">
        <f>IF('12 - Device_Configuration'!AV285="","",'12 - Device_Configuration'!AV285)</f>
        <v/>
      </c>
      <c r="U284" s="28" t="str">
        <f>IF('12 - Device_Configuration'!AW285="","",'12 - Device_Configuration'!AW285)</f>
        <v/>
      </c>
      <c r="V284" s="28" t="str">
        <f>IF('12 - Device_Configuration'!BA285="","",'12 - Device_Configuration'!BA285)</f>
        <v/>
      </c>
      <c r="W284" s="28" t="str">
        <f>IF('12 - Device_Configuration'!BC285="","",'12 - Device_Configuration'!BC285)</f>
        <v/>
      </c>
      <c r="X284" s="28" t="str">
        <f>IF('12 - Device_Configuration'!BK285="","",'12 - Device_Configuration'!BK285)</f>
        <v/>
      </c>
      <c r="Y284" s="28" t="str">
        <f>IF('12 - Device_Configuration'!BB285="","",'12 - Device_Configuration'!BB285)</f>
        <v/>
      </c>
      <c r="Z284" s="28" t="str">
        <f>IF('12 - Device_Configuration'!P285="","",'12 - Device_Configuration'!P285)</f>
        <v/>
      </c>
      <c r="AA284" s="28" t="str">
        <f>IF('12 - Device_Configuration'!Q285="","",'12 - Device_Configuration'!Q285)</f>
        <v/>
      </c>
    </row>
    <row r="285" spans="1:27">
      <c r="A285" s="29"/>
      <c r="B285" s="29"/>
      <c r="C285" s="28" t="str">
        <f>IF('12 - Device_Configuration'!H286="","",'12 - Device_Configuration'!H286)</f>
        <v/>
      </c>
      <c r="D285" s="28" t="str">
        <f>IF('12 - Device_Configuration'!AE286="","",'12 - Device_Configuration'!AE286)</f>
        <v/>
      </c>
      <c r="E285" s="28" t="str">
        <f>IF('12 - Device_Configuration'!AF286="","",'12 - Device_Configuration'!AF286)</f>
        <v/>
      </c>
      <c r="F285" s="28" t="str">
        <f>IF('12 - Device_Configuration'!AG286="","",'12 - Device_Configuration'!AG286)</f>
        <v/>
      </c>
      <c r="G285" s="28" t="str">
        <f>IF('12 - Device_Configuration'!AH286="","",'12 - Device_Configuration'!AH286)</f>
        <v/>
      </c>
      <c r="H285" s="28" t="str">
        <f>IF('12 - Device_Configuration'!A286="","",'12 - Device_Configuration'!A286)</f>
        <v/>
      </c>
      <c r="I285" s="28" t="str">
        <f>IF('12 - Device_Configuration'!AI286="","",'12 - Device_Configuration'!AI286)</f>
        <v/>
      </c>
      <c r="J285" s="28" t="str">
        <f>IF('12 - Device_Configuration'!AJ286="","",'12 - Device_Configuration'!AJ286)</f>
        <v/>
      </c>
      <c r="K285" s="28" t="str">
        <f>IF('12 - Device_Configuration'!AA286="","",'12 - Device_Configuration'!AA286)</f>
        <v/>
      </c>
      <c r="L285" s="28" t="str">
        <f>IF('12 - Device_Configuration'!I286="","",'12 - Device_Configuration'!I286)</f>
        <v/>
      </c>
      <c r="M285" s="29"/>
      <c r="N285" s="28" t="str">
        <f>IF('12 - Device_Configuration'!J286="","",'12 - Device_Configuration'!J286)</f>
        <v/>
      </c>
      <c r="O285" s="28" t="str">
        <f>IF('12 - Device_Configuration'!K286="","",'12 - Device_Configuration'!K286)</f>
        <v/>
      </c>
      <c r="P285" s="28" t="str">
        <f>IF('12 - Device_Configuration'!L286="","",'12 - Device_Configuration'!L286)</f>
        <v/>
      </c>
      <c r="Q285" s="29"/>
      <c r="R285" s="28" t="str">
        <f>IF('12 - Device_Configuration'!AY286="","",'12 - Device_Configuration'!AY286)</f>
        <v/>
      </c>
      <c r="S285" s="28" t="str">
        <f>IF('12 - Device_Configuration'!AX286="","",'12 - Device_Configuration'!AX286)</f>
        <v/>
      </c>
      <c r="T285" s="28" t="str">
        <f>IF('12 - Device_Configuration'!AV286="","",'12 - Device_Configuration'!AV286)</f>
        <v/>
      </c>
      <c r="U285" s="28" t="str">
        <f>IF('12 - Device_Configuration'!AW286="","",'12 - Device_Configuration'!AW286)</f>
        <v/>
      </c>
      <c r="V285" s="28" t="str">
        <f>IF('12 - Device_Configuration'!BA286="","",'12 - Device_Configuration'!BA286)</f>
        <v/>
      </c>
      <c r="W285" s="28" t="str">
        <f>IF('12 - Device_Configuration'!BC286="","",'12 - Device_Configuration'!BC286)</f>
        <v/>
      </c>
      <c r="X285" s="28" t="str">
        <f>IF('12 - Device_Configuration'!BK286="","",'12 - Device_Configuration'!BK286)</f>
        <v/>
      </c>
      <c r="Y285" s="28" t="str">
        <f>IF('12 - Device_Configuration'!BB286="","",'12 - Device_Configuration'!BB286)</f>
        <v/>
      </c>
      <c r="Z285" s="28" t="str">
        <f>IF('12 - Device_Configuration'!P286="","",'12 - Device_Configuration'!P286)</f>
        <v/>
      </c>
      <c r="AA285" s="28" t="str">
        <f>IF('12 - Device_Configuration'!Q286="","",'12 - Device_Configuration'!Q286)</f>
        <v/>
      </c>
    </row>
    <row r="286" spans="1:27">
      <c r="A286" s="29"/>
      <c r="B286" s="29"/>
      <c r="C286" s="28" t="str">
        <f>IF('12 - Device_Configuration'!H287="","",'12 - Device_Configuration'!H287)</f>
        <v/>
      </c>
      <c r="D286" s="28" t="str">
        <f>IF('12 - Device_Configuration'!AE287="","",'12 - Device_Configuration'!AE287)</f>
        <v/>
      </c>
      <c r="E286" s="28" t="str">
        <f>IF('12 - Device_Configuration'!AF287="","",'12 - Device_Configuration'!AF287)</f>
        <v/>
      </c>
      <c r="F286" s="28" t="str">
        <f>IF('12 - Device_Configuration'!AG287="","",'12 - Device_Configuration'!AG287)</f>
        <v/>
      </c>
      <c r="G286" s="28" t="str">
        <f>IF('12 - Device_Configuration'!AH287="","",'12 - Device_Configuration'!AH287)</f>
        <v/>
      </c>
      <c r="H286" s="28" t="str">
        <f>IF('12 - Device_Configuration'!A287="","",'12 - Device_Configuration'!A287)</f>
        <v/>
      </c>
      <c r="I286" s="28" t="str">
        <f>IF('12 - Device_Configuration'!AI287="","",'12 - Device_Configuration'!AI287)</f>
        <v/>
      </c>
      <c r="J286" s="28" t="str">
        <f>IF('12 - Device_Configuration'!AJ287="","",'12 - Device_Configuration'!AJ287)</f>
        <v/>
      </c>
      <c r="K286" s="28" t="str">
        <f>IF('12 - Device_Configuration'!AA287="","",'12 - Device_Configuration'!AA287)</f>
        <v/>
      </c>
      <c r="L286" s="28" t="str">
        <f>IF('12 - Device_Configuration'!I287="","",'12 - Device_Configuration'!I287)</f>
        <v/>
      </c>
      <c r="M286" s="29"/>
      <c r="N286" s="28" t="str">
        <f>IF('12 - Device_Configuration'!J287="","",'12 - Device_Configuration'!J287)</f>
        <v/>
      </c>
      <c r="O286" s="28" t="str">
        <f>IF('12 - Device_Configuration'!K287="","",'12 - Device_Configuration'!K287)</f>
        <v/>
      </c>
      <c r="P286" s="28" t="str">
        <f>IF('12 - Device_Configuration'!L287="","",'12 - Device_Configuration'!L287)</f>
        <v/>
      </c>
      <c r="Q286" s="29"/>
      <c r="R286" s="28" t="str">
        <f>IF('12 - Device_Configuration'!AY287="","",'12 - Device_Configuration'!AY287)</f>
        <v/>
      </c>
      <c r="S286" s="28" t="str">
        <f>IF('12 - Device_Configuration'!AX287="","",'12 - Device_Configuration'!AX287)</f>
        <v/>
      </c>
      <c r="T286" s="28" t="str">
        <f>IF('12 - Device_Configuration'!AV287="","",'12 - Device_Configuration'!AV287)</f>
        <v/>
      </c>
      <c r="U286" s="28" t="str">
        <f>IF('12 - Device_Configuration'!AW287="","",'12 - Device_Configuration'!AW287)</f>
        <v/>
      </c>
      <c r="V286" s="28" t="str">
        <f>IF('12 - Device_Configuration'!BA287="","",'12 - Device_Configuration'!BA287)</f>
        <v/>
      </c>
      <c r="W286" s="28" t="str">
        <f>IF('12 - Device_Configuration'!BC287="","",'12 - Device_Configuration'!BC287)</f>
        <v/>
      </c>
      <c r="X286" s="28" t="str">
        <f>IF('12 - Device_Configuration'!BK287="","",'12 - Device_Configuration'!BK287)</f>
        <v/>
      </c>
      <c r="Y286" s="28" t="str">
        <f>IF('12 - Device_Configuration'!BB287="","",'12 - Device_Configuration'!BB287)</f>
        <v/>
      </c>
      <c r="Z286" s="28" t="str">
        <f>IF('12 - Device_Configuration'!P287="","",'12 - Device_Configuration'!P287)</f>
        <v/>
      </c>
      <c r="AA286" s="28" t="str">
        <f>IF('12 - Device_Configuration'!Q287="","",'12 - Device_Configuration'!Q287)</f>
        <v/>
      </c>
    </row>
    <row r="287" spans="1:27">
      <c r="A287" s="29"/>
      <c r="B287" s="29"/>
      <c r="C287" s="28" t="str">
        <f>IF('12 - Device_Configuration'!H288="","",'12 - Device_Configuration'!H288)</f>
        <v/>
      </c>
      <c r="D287" s="28" t="str">
        <f>IF('12 - Device_Configuration'!AE288="","",'12 - Device_Configuration'!AE288)</f>
        <v/>
      </c>
      <c r="E287" s="28" t="str">
        <f>IF('12 - Device_Configuration'!AF288="","",'12 - Device_Configuration'!AF288)</f>
        <v/>
      </c>
      <c r="F287" s="28" t="str">
        <f>IF('12 - Device_Configuration'!AG288="","",'12 - Device_Configuration'!AG288)</f>
        <v/>
      </c>
      <c r="G287" s="28" t="str">
        <f>IF('12 - Device_Configuration'!AH288="","",'12 - Device_Configuration'!AH288)</f>
        <v/>
      </c>
      <c r="H287" s="28" t="str">
        <f>IF('12 - Device_Configuration'!A288="","",'12 - Device_Configuration'!A288)</f>
        <v/>
      </c>
      <c r="I287" s="28" t="str">
        <f>IF('12 - Device_Configuration'!AI288="","",'12 - Device_Configuration'!AI288)</f>
        <v/>
      </c>
      <c r="J287" s="28" t="str">
        <f>IF('12 - Device_Configuration'!AJ288="","",'12 - Device_Configuration'!AJ288)</f>
        <v/>
      </c>
      <c r="K287" s="28" t="str">
        <f>IF('12 - Device_Configuration'!AA288="","",'12 - Device_Configuration'!AA288)</f>
        <v/>
      </c>
      <c r="L287" s="28" t="str">
        <f>IF('12 - Device_Configuration'!I288="","",'12 - Device_Configuration'!I288)</f>
        <v/>
      </c>
      <c r="M287" s="29"/>
      <c r="N287" s="28" t="str">
        <f>IF('12 - Device_Configuration'!J288="","",'12 - Device_Configuration'!J288)</f>
        <v/>
      </c>
      <c r="O287" s="28" t="str">
        <f>IF('12 - Device_Configuration'!K288="","",'12 - Device_Configuration'!K288)</f>
        <v/>
      </c>
      <c r="P287" s="28" t="str">
        <f>IF('12 - Device_Configuration'!L288="","",'12 - Device_Configuration'!L288)</f>
        <v/>
      </c>
      <c r="Q287" s="29"/>
      <c r="R287" s="28" t="str">
        <f>IF('12 - Device_Configuration'!AY288="","",'12 - Device_Configuration'!AY288)</f>
        <v/>
      </c>
      <c r="S287" s="28" t="str">
        <f>IF('12 - Device_Configuration'!AX288="","",'12 - Device_Configuration'!AX288)</f>
        <v/>
      </c>
      <c r="T287" s="28" t="str">
        <f>IF('12 - Device_Configuration'!AV288="","",'12 - Device_Configuration'!AV288)</f>
        <v/>
      </c>
      <c r="U287" s="28" t="str">
        <f>IF('12 - Device_Configuration'!AW288="","",'12 - Device_Configuration'!AW288)</f>
        <v/>
      </c>
      <c r="V287" s="28" t="str">
        <f>IF('12 - Device_Configuration'!BA288="","",'12 - Device_Configuration'!BA288)</f>
        <v/>
      </c>
      <c r="W287" s="28" t="str">
        <f>IF('12 - Device_Configuration'!BC288="","",'12 - Device_Configuration'!BC288)</f>
        <v/>
      </c>
      <c r="X287" s="28" t="str">
        <f>IF('12 - Device_Configuration'!BK288="","",'12 - Device_Configuration'!BK288)</f>
        <v/>
      </c>
      <c r="Y287" s="28" t="str">
        <f>IF('12 - Device_Configuration'!BB288="","",'12 - Device_Configuration'!BB288)</f>
        <v/>
      </c>
      <c r="Z287" s="28" t="str">
        <f>IF('12 - Device_Configuration'!P288="","",'12 - Device_Configuration'!P288)</f>
        <v/>
      </c>
      <c r="AA287" s="28" t="str">
        <f>IF('12 - Device_Configuration'!Q288="","",'12 - Device_Configuration'!Q288)</f>
        <v/>
      </c>
    </row>
    <row r="288" spans="1:27">
      <c r="A288" s="29"/>
      <c r="B288" s="29"/>
      <c r="C288" s="28" t="str">
        <f>IF('12 - Device_Configuration'!H289="","",'12 - Device_Configuration'!H289)</f>
        <v/>
      </c>
      <c r="D288" s="28" t="str">
        <f>IF('12 - Device_Configuration'!AE289="","",'12 - Device_Configuration'!AE289)</f>
        <v/>
      </c>
      <c r="E288" s="28" t="str">
        <f>IF('12 - Device_Configuration'!AF289="","",'12 - Device_Configuration'!AF289)</f>
        <v/>
      </c>
      <c r="F288" s="28" t="str">
        <f>IF('12 - Device_Configuration'!AG289="","",'12 - Device_Configuration'!AG289)</f>
        <v/>
      </c>
      <c r="G288" s="28" t="str">
        <f>IF('12 - Device_Configuration'!AH289="","",'12 - Device_Configuration'!AH289)</f>
        <v/>
      </c>
      <c r="H288" s="28" t="str">
        <f>IF('12 - Device_Configuration'!A289="","",'12 - Device_Configuration'!A289)</f>
        <v/>
      </c>
      <c r="I288" s="28" t="str">
        <f>IF('12 - Device_Configuration'!AI289="","",'12 - Device_Configuration'!AI289)</f>
        <v/>
      </c>
      <c r="J288" s="28" t="str">
        <f>IF('12 - Device_Configuration'!AJ289="","",'12 - Device_Configuration'!AJ289)</f>
        <v/>
      </c>
      <c r="K288" s="28" t="str">
        <f>IF('12 - Device_Configuration'!AA289="","",'12 - Device_Configuration'!AA289)</f>
        <v/>
      </c>
      <c r="L288" s="28" t="str">
        <f>IF('12 - Device_Configuration'!I289="","",'12 - Device_Configuration'!I289)</f>
        <v/>
      </c>
      <c r="M288" s="29"/>
      <c r="N288" s="28" t="str">
        <f>IF('12 - Device_Configuration'!J289="","",'12 - Device_Configuration'!J289)</f>
        <v/>
      </c>
      <c r="O288" s="28" t="str">
        <f>IF('12 - Device_Configuration'!K289="","",'12 - Device_Configuration'!K289)</f>
        <v/>
      </c>
      <c r="P288" s="28" t="str">
        <f>IF('12 - Device_Configuration'!L289="","",'12 - Device_Configuration'!L289)</f>
        <v/>
      </c>
      <c r="Q288" s="29"/>
      <c r="R288" s="28" t="str">
        <f>IF('12 - Device_Configuration'!AY289="","",'12 - Device_Configuration'!AY289)</f>
        <v/>
      </c>
      <c r="S288" s="28" t="str">
        <f>IF('12 - Device_Configuration'!AX289="","",'12 - Device_Configuration'!AX289)</f>
        <v/>
      </c>
      <c r="T288" s="28" t="str">
        <f>IF('12 - Device_Configuration'!AV289="","",'12 - Device_Configuration'!AV289)</f>
        <v/>
      </c>
      <c r="U288" s="28" t="str">
        <f>IF('12 - Device_Configuration'!AW289="","",'12 - Device_Configuration'!AW289)</f>
        <v/>
      </c>
      <c r="V288" s="28" t="str">
        <f>IF('12 - Device_Configuration'!BA289="","",'12 - Device_Configuration'!BA289)</f>
        <v/>
      </c>
      <c r="W288" s="28" t="str">
        <f>IF('12 - Device_Configuration'!BC289="","",'12 - Device_Configuration'!BC289)</f>
        <v/>
      </c>
      <c r="X288" s="28" t="str">
        <f>IF('12 - Device_Configuration'!BK289="","",'12 - Device_Configuration'!BK289)</f>
        <v/>
      </c>
      <c r="Y288" s="28" t="str">
        <f>IF('12 - Device_Configuration'!BB289="","",'12 - Device_Configuration'!BB289)</f>
        <v/>
      </c>
      <c r="Z288" s="28" t="str">
        <f>IF('12 - Device_Configuration'!P289="","",'12 - Device_Configuration'!P289)</f>
        <v/>
      </c>
      <c r="AA288" s="28" t="str">
        <f>IF('12 - Device_Configuration'!Q289="","",'12 - Device_Configuration'!Q289)</f>
        <v/>
      </c>
    </row>
    <row r="289" spans="1:27">
      <c r="A289" s="29"/>
      <c r="B289" s="29"/>
      <c r="C289" s="28" t="str">
        <f>IF('12 - Device_Configuration'!H290="","",'12 - Device_Configuration'!H290)</f>
        <v/>
      </c>
      <c r="D289" s="28" t="str">
        <f>IF('12 - Device_Configuration'!AE290="","",'12 - Device_Configuration'!AE290)</f>
        <v/>
      </c>
      <c r="E289" s="28" t="str">
        <f>IF('12 - Device_Configuration'!AF290="","",'12 - Device_Configuration'!AF290)</f>
        <v/>
      </c>
      <c r="F289" s="28" t="str">
        <f>IF('12 - Device_Configuration'!AG290="","",'12 - Device_Configuration'!AG290)</f>
        <v/>
      </c>
      <c r="G289" s="28" t="str">
        <f>IF('12 - Device_Configuration'!AH290="","",'12 - Device_Configuration'!AH290)</f>
        <v/>
      </c>
      <c r="H289" s="28" t="str">
        <f>IF('12 - Device_Configuration'!A290="","",'12 - Device_Configuration'!A290)</f>
        <v/>
      </c>
      <c r="I289" s="28" t="str">
        <f>IF('12 - Device_Configuration'!AI290="","",'12 - Device_Configuration'!AI290)</f>
        <v/>
      </c>
      <c r="J289" s="28" t="str">
        <f>IF('12 - Device_Configuration'!AJ290="","",'12 - Device_Configuration'!AJ290)</f>
        <v/>
      </c>
      <c r="K289" s="28" t="str">
        <f>IF('12 - Device_Configuration'!AA290="","",'12 - Device_Configuration'!AA290)</f>
        <v/>
      </c>
      <c r="L289" s="28" t="str">
        <f>IF('12 - Device_Configuration'!I290="","",'12 - Device_Configuration'!I290)</f>
        <v/>
      </c>
      <c r="M289" s="29"/>
      <c r="N289" s="28" t="str">
        <f>IF('12 - Device_Configuration'!J290="","",'12 - Device_Configuration'!J290)</f>
        <v/>
      </c>
      <c r="O289" s="28" t="str">
        <f>IF('12 - Device_Configuration'!K290="","",'12 - Device_Configuration'!K290)</f>
        <v/>
      </c>
      <c r="P289" s="28" t="str">
        <f>IF('12 - Device_Configuration'!L290="","",'12 - Device_Configuration'!L290)</f>
        <v/>
      </c>
      <c r="Q289" s="29"/>
      <c r="R289" s="28" t="str">
        <f>IF('12 - Device_Configuration'!AY290="","",'12 - Device_Configuration'!AY290)</f>
        <v/>
      </c>
      <c r="S289" s="28" t="str">
        <f>IF('12 - Device_Configuration'!AX290="","",'12 - Device_Configuration'!AX290)</f>
        <v/>
      </c>
      <c r="T289" s="28" t="str">
        <f>IF('12 - Device_Configuration'!AV290="","",'12 - Device_Configuration'!AV290)</f>
        <v/>
      </c>
      <c r="U289" s="28" t="str">
        <f>IF('12 - Device_Configuration'!AW290="","",'12 - Device_Configuration'!AW290)</f>
        <v/>
      </c>
      <c r="V289" s="28" t="str">
        <f>IF('12 - Device_Configuration'!BA290="","",'12 - Device_Configuration'!BA290)</f>
        <v/>
      </c>
      <c r="W289" s="28" t="str">
        <f>IF('12 - Device_Configuration'!BC290="","",'12 - Device_Configuration'!BC290)</f>
        <v/>
      </c>
      <c r="X289" s="28" t="str">
        <f>IF('12 - Device_Configuration'!BK290="","",'12 - Device_Configuration'!BK290)</f>
        <v/>
      </c>
      <c r="Y289" s="28" t="str">
        <f>IF('12 - Device_Configuration'!BB290="","",'12 - Device_Configuration'!BB290)</f>
        <v/>
      </c>
      <c r="Z289" s="28" t="str">
        <f>IF('12 - Device_Configuration'!P290="","",'12 - Device_Configuration'!P290)</f>
        <v/>
      </c>
      <c r="AA289" s="28" t="str">
        <f>IF('12 - Device_Configuration'!Q290="","",'12 - Device_Configuration'!Q290)</f>
        <v/>
      </c>
    </row>
    <row r="290" spans="1:27">
      <c r="A290" s="29"/>
      <c r="B290" s="29"/>
      <c r="C290" s="28" t="str">
        <f>IF('12 - Device_Configuration'!H291="","",'12 - Device_Configuration'!H291)</f>
        <v/>
      </c>
      <c r="D290" s="28" t="str">
        <f>IF('12 - Device_Configuration'!AE291="","",'12 - Device_Configuration'!AE291)</f>
        <v/>
      </c>
      <c r="E290" s="28" t="str">
        <f>IF('12 - Device_Configuration'!AF291="","",'12 - Device_Configuration'!AF291)</f>
        <v/>
      </c>
      <c r="F290" s="28" t="str">
        <f>IF('12 - Device_Configuration'!AG291="","",'12 - Device_Configuration'!AG291)</f>
        <v/>
      </c>
      <c r="G290" s="28" t="str">
        <f>IF('12 - Device_Configuration'!AH291="","",'12 - Device_Configuration'!AH291)</f>
        <v/>
      </c>
      <c r="H290" s="28" t="str">
        <f>IF('12 - Device_Configuration'!A291="","",'12 - Device_Configuration'!A291)</f>
        <v/>
      </c>
      <c r="I290" s="28" t="str">
        <f>IF('12 - Device_Configuration'!AI291="","",'12 - Device_Configuration'!AI291)</f>
        <v/>
      </c>
      <c r="J290" s="28" t="str">
        <f>IF('12 - Device_Configuration'!AJ291="","",'12 - Device_Configuration'!AJ291)</f>
        <v/>
      </c>
      <c r="K290" s="28" t="str">
        <f>IF('12 - Device_Configuration'!AA291="","",'12 - Device_Configuration'!AA291)</f>
        <v/>
      </c>
      <c r="L290" s="28" t="str">
        <f>IF('12 - Device_Configuration'!I291="","",'12 - Device_Configuration'!I291)</f>
        <v/>
      </c>
      <c r="M290" s="29"/>
      <c r="N290" s="28" t="str">
        <f>IF('12 - Device_Configuration'!J291="","",'12 - Device_Configuration'!J291)</f>
        <v/>
      </c>
      <c r="O290" s="28" t="str">
        <f>IF('12 - Device_Configuration'!K291="","",'12 - Device_Configuration'!K291)</f>
        <v/>
      </c>
      <c r="P290" s="28" t="str">
        <f>IF('12 - Device_Configuration'!L291="","",'12 - Device_Configuration'!L291)</f>
        <v/>
      </c>
      <c r="Q290" s="29"/>
      <c r="R290" s="28" t="str">
        <f>IF('12 - Device_Configuration'!AY291="","",'12 - Device_Configuration'!AY291)</f>
        <v/>
      </c>
      <c r="S290" s="28" t="str">
        <f>IF('12 - Device_Configuration'!AX291="","",'12 - Device_Configuration'!AX291)</f>
        <v/>
      </c>
      <c r="T290" s="28" t="str">
        <f>IF('12 - Device_Configuration'!AV291="","",'12 - Device_Configuration'!AV291)</f>
        <v/>
      </c>
      <c r="U290" s="28" t="str">
        <f>IF('12 - Device_Configuration'!AW291="","",'12 - Device_Configuration'!AW291)</f>
        <v/>
      </c>
      <c r="V290" s="28" t="str">
        <f>IF('12 - Device_Configuration'!BA291="","",'12 - Device_Configuration'!BA291)</f>
        <v/>
      </c>
      <c r="W290" s="28" t="str">
        <f>IF('12 - Device_Configuration'!BC291="","",'12 - Device_Configuration'!BC291)</f>
        <v/>
      </c>
      <c r="X290" s="28" t="str">
        <f>IF('12 - Device_Configuration'!BK291="","",'12 - Device_Configuration'!BK291)</f>
        <v/>
      </c>
      <c r="Y290" s="28" t="str">
        <f>IF('12 - Device_Configuration'!BB291="","",'12 - Device_Configuration'!BB291)</f>
        <v/>
      </c>
      <c r="Z290" s="28" t="str">
        <f>IF('12 - Device_Configuration'!P291="","",'12 - Device_Configuration'!P291)</f>
        <v/>
      </c>
      <c r="AA290" s="28" t="str">
        <f>IF('12 - Device_Configuration'!Q291="","",'12 - Device_Configuration'!Q291)</f>
        <v/>
      </c>
    </row>
    <row r="291" spans="1:27">
      <c r="A291" s="29"/>
      <c r="B291" s="29"/>
      <c r="C291" s="28" t="str">
        <f>IF('12 - Device_Configuration'!H292="","",'12 - Device_Configuration'!H292)</f>
        <v/>
      </c>
      <c r="D291" s="28" t="str">
        <f>IF('12 - Device_Configuration'!AE292="","",'12 - Device_Configuration'!AE292)</f>
        <v/>
      </c>
      <c r="E291" s="28" t="str">
        <f>IF('12 - Device_Configuration'!AF292="","",'12 - Device_Configuration'!AF292)</f>
        <v/>
      </c>
      <c r="F291" s="28" t="str">
        <f>IF('12 - Device_Configuration'!AG292="","",'12 - Device_Configuration'!AG292)</f>
        <v/>
      </c>
      <c r="G291" s="28" t="str">
        <f>IF('12 - Device_Configuration'!AH292="","",'12 - Device_Configuration'!AH292)</f>
        <v/>
      </c>
      <c r="H291" s="28" t="str">
        <f>IF('12 - Device_Configuration'!A292="","",'12 - Device_Configuration'!A292)</f>
        <v/>
      </c>
      <c r="I291" s="28" t="str">
        <f>IF('12 - Device_Configuration'!AI292="","",'12 - Device_Configuration'!AI292)</f>
        <v/>
      </c>
      <c r="J291" s="28" t="str">
        <f>IF('12 - Device_Configuration'!AJ292="","",'12 - Device_Configuration'!AJ292)</f>
        <v/>
      </c>
      <c r="K291" s="28" t="str">
        <f>IF('12 - Device_Configuration'!AA292="","",'12 - Device_Configuration'!AA292)</f>
        <v/>
      </c>
      <c r="L291" s="28" t="str">
        <f>IF('12 - Device_Configuration'!I292="","",'12 - Device_Configuration'!I292)</f>
        <v/>
      </c>
      <c r="M291" s="29"/>
      <c r="N291" s="28" t="str">
        <f>IF('12 - Device_Configuration'!J292="","",'12 - Device_Configuration'!J292)</f>
        <v/>
      </c>
      <c r="O291" s="28" t="str">
        <f>IF('12 - Device_Configuration'!K292="","",'12 - Device_Configuration'!K292)</f>
        <v/>
      </c>
      <c r="P291" s="28" t="str">
        <f>IF('12 - Device_Configuration'!L292="","",'12 - Device_Configuration'!L292)</f>
        <v/>
      </c>
      <c r="Q291" s="29"/>
      <c r="R291" s="28" t="str">
        <f>IF('12 - Device_Configuration'!AY292="","",'12 - Device_Configuration'!AY292)</f>
        <v/>
      </c>
      <c r="S291" s="28" t="str">
        <f>IF('12 - Device_Configuration'!AX292="","",'12 - Device_Configuration'!AX292)</f>
        <v/>
      </c>
      <c r="T291" s="28" t="str">
        <f>IF('12 - Device_Configuration'!AV292="","",'12 - Device_Configuration'!AV292)</f>
        <v/>
      </c>
      <c r="U291" s="28" t="str">
        <f>IF('12 - Device_Configuration'!AW292="","",'12 - Device_Configuration'!AW292)</f>
        <v/>
      </c>
      <c r="V291" s="28" t="str">
        <f>IF('12 - Device_Configuration'!BA292="","",'12 - Device_Configuration'!BA292)</f>
        <v/>
      </c>
      <c r="W291" s="28" t="str">
        <f>IF('12 - Device_Configuration'!BC292="","",'12 - Device_Configuration'!BC292)</f>
        <v/>
      </c>
      <c r="X291" s="28" t="str">
        <f>IF('12 - Device_Configuration'!BK292="","",'12 - Device_Configuration'!BK292)</f>
        <v/>
      </c>
      <c r="Y291" s="28" t="str">
        <f>IF('12 - Device_Configuration'!BB292="","",'12 - Device_Configuration'!BB292)</f>
        <v/>
      </c>
      <c r="Z291" s="28" t="str">
        <f>IF('12 - Device_Configuration'!P292="","",'12 - Device_Configuration'!P292)</f>
        <v/>
      </c>
      <c r="AA291" s="28" t="str">
        <f>IF('12 - Device_Configuration'!Q292="","",'12 - Device_Configuration'!Q292)</f>
        <v/>
      </c>
    </row>
    <row r="292" spans="1:27">
      <c r="A292" s="29"/>
      <c r="B292" s="29"/>
      <c r="C292" s="28" t="str">
        <f>IF('12 - Device_Configuration'!H293="","",'12 - Device_Configuration'!H293)</f>
        <v/>
      </c>
      <c r="D292" s="28" t="str">
        <f>IF('12 - Device_Configuration'!AE293="","",'12 - Device_Configuration'!AE293)</f>
        <v/>
      </c>
      <c r="E292" s="28" t="str">
        <f>IF('12 - Device_Configuration'!AF293="","",'12 - Device_Configuration'!AF293)</f>
        <v/>
      </c>
      <c r="F292" s="28" t="str">
        <f>IF('12 - Device_Configuration'!AG293="","",'12 - Device_Configuration'!AG293)</f>
        <v/>
      </c>
      <c r="G292" s="28" t="str">
        <f>IF('12 - Device_Configuration'!AH293="","",'12 - Device_Configuration'!AH293)</f>
        <v/>
      </c>
      <c r="H292" s="28" t="str">
        <f>IF('12 - Device_Configuration'!A293="","",'12 - Device_Configuration'!A293)</f>
        <v/>
      </c>
      <c r="I292" s="28" t="str">
        <f>IF('12 - Device_Configuration'!AI293="","",'12 - Device_Configuration'!AI293)</f>
        <v/>
      </c>
      <c r="J292" s="28" t="str">
        <f>IF('12 - Device_Configuration'!AJ293="","",'12 - Device_Configuration'!AJ293)</f>
        <v/>
      </c>
      <c r="K292" s="28" t="str">
        <f>IF('12 - Device_Configuration'!AA293="","",'12 - Device_Configuration'!AA293)</f>
        <v/>
      </c>
      <c r="L292" s="28" t="str">
        <f>IF('12 - Device_Configuration'!I293="","",'12 - Device_Configuration'!I293)</f>
        <v/>
      </c>
      <c r="M292" s="29"/>
      <c r="N292" s="28" t="str">
        <f>IF('12 - Device_Configuration'!J293="","",'12 - Device_Configuration'!J293)</f>
        <v/>
      </c>
      <c r="O292" s="28" t="str">
        <f>IF('12 - Device_Configuration'!K293="","",'12 - Device_Configuration'!K293)</f>
        <v/>
      </c>
      <c r="P292" s="28" t="str">
        <f>IF('12 - Device_Configuration'!L293="","",'12 - Device_Configuration'!L293)</f>
        <v/>
      </c>
      <c r="Q292" s="29"/>
      <c r="R292" s="28" t="str">
        <f>IF('12 - Device_Configuration'!AY293="","",'12 - Device_Configuration'!AY293)</f>
        <v/>
      </c>
      <c r="S292" s="28" t="str">
        <f>IF('12 - Device_Configuration'!AX293="","",'12 - Device_Configuration'!AX293)</f>
        <v/>
      </c>
      <c r="T292" s="28" t="str">
        <f>IF('12 - Device_Configuration'!AV293="","",'12 - Device_Configuration'!AV293)</f>
        <v/>
      </c>
      <c r="U292" s="28" t="str">
        <f>IF('12 - Device_Configuration'!AW293="","",'12 - Device_Configuration'!AW293)</f>
        <v/>
      </c>
      <c r="V292" s="28" t="str">
        <f>IF('12 - Device_Configuration'!BA293="","",'12 - Device_Configuration'!BA293)</f>
        <v/>
      </c>
      <c r="W292" s="28" t="str">
        <f>IF('12 - Device_Configuration'!BC293="","",'12 - Device_Configuration'!BC293)</f>
        <v/>
      </c>
      <c r="X292" s="28" t="str">
        <f>IF('12 - Device_Configuration'!BK293="","",'12 - Device_Configuration'!BK293)</f>
        <v/>
      </c>
      <c r="Y292" s="28" t="str">
        <f>IF('12 - Device_Configuration'!BB293="","",'12 - Device_Configuration'!BB293)</f>
        <v/>
      </c>
      <c r="Z292" s="28" t="str">
        <f>IF('12 - Device_Configuration'!P293="","",'12 - Device_Configuration'!P293)</f>
        <v/>
      </c>
      <c r="AA292" s="28" t="str">
        <f>IF('12 - Device_Configuration'!Q293="","",'12 - Device_Configuration'!Q293)</f>
        <v/>
      </c>
    </row>
    <row r="293" spans="1:27">
      <c r="A293" s="29"/>
      <c r="B293" s="29"/>
      <c r="C293" s="28" t="str">
        <f>IF('12 - Device_Configuration'!H294="","",'12 - Device_Configuration'!H294)</f>
        <v/>
      </c>
      <c r="D293" s="28" t="str">
        <f>IF('12 - Device_Configuration'!AE294="","",'12 - Device_Configuration'!AE294)</f>
        <v/>
      </c>
      <c r="E293" s="28" t="str">
        <f>IF('12 - Device_Configuration'!AF294="","",'12 - Device_Configuration'!AF294)</f>
        <v/>
      </c>
      <c r="F293" s="28" t="str">
        <f>IF('12 - Device_Configuration'!AG294="","",'12 - Device_Configuration'!AG294)</f>
        <v/>
      </c>
      <c r="G293" s="28" t="str">
        <f>IF('12 - Device_Configuration'!AH294="","",'12 - Device_Configuration'!AH294)</f>
        <v/>
      </c>
      <c r="H293" s="28" t="str">
        <f>IF('12 - Device_Configuration'!A294="","",'12 - Device_Configuration'!A294)</f>
        <v/>
      </c>
      <c r="I293" s="28" t="str">
        <f>IF('12 - Device_Configuration'!AI294="","",'12 - Device_Configuration'!AI294)</f>
        <v/>
      </c>
      <c r="J293" s="28" t="str">
        <f>IF('12 - Device_Configuration'!AJ294="","",'12 - Device_Configuration'!AJ294)</f>
        <v/>
      </c>
      <c r="K293" s="28" t="str">
        <f>IF('12 - Device_Configuration'!AA294="","",'12 - Device_Configuration'!AA294)</f>
        <v/>
      </c>
      <c r="L293" s="28" t="str">
        <f>IF('12 - Device_Configuration'!I294="","",'12 - Device_Configuration'!I294)</f>
        <v/>
      </c>
      <c r="M293" s="29"/>
      <c r="N293" s="28" t="str">
        <f>IF('12 - Device_Configuration'!J294="","",'12 - Device_Configuration'!J294)</f>
        <v/>
      </c>
      <c r="O293" s="28" t="str">
        <f>IF('12 - Device_Configuration'!K294="","",'12 - Device_Configuration'!K294)</f>
        <v/>
      </c>
      <c r="P293" s="28" t="str">
        <f>IF('12 - Device_Configuration'!L294="","",'12 - Device_Configuration'!L294)</f>
        <v/>
      </c>
      <c r="Q293" s="29"/>
      <c r="R293" s="28" t="str">
        <f>IF('12 - Device_Configuration'!AY294="","",'12 - Device_Configuration'!AY294)</f>
        <v/>
      </c>
      <c r="S293" s="28" t="str">
        <f>IF('12 - Device_Configuration'!AX294="","",'12 - Device_Configuration'!AX294)</f>
        <v/>
      </c>
      <c r="T293" s="28" t="str">
        <f>IF('12 - Device_Configuration'!AV294="","",'12 - Device_Configuration'!AV294)</f>
        <v/>
      </c>
      <c r="U293" s="28" t="str">
        <f>IF('12 - Device_Configuration'!AW294="","",'12 - Device_Configuration'!AW294)</f>
        <v/>
      </c>
      <c r="V293" s="28" t="str">
        <f>IF('12 - Device_Configuration'!BA294="","",'12 - Device_Configuration'!BA294)</f>
        <v/>
      </c>
      <c r="W293" s="28" t="str">
        <f>IF('12 - Device_Configuration'!BC294="","",'12 - Device_Configuration'!BC294)</f>
        <v/>
      </c>
      <c r="X293" s="28" t="str">
        <f>IF('12 - Device_Configuration'!BK294="","",'12 - Device_Configuration'!BK294)</f>
        <v/>
      </c>
      <c r="Y293" s="28" t="str">
        <f>IF('12 - Device_Configuration'!BB294="","",'12 - Device_Configuration'!BB294)</f>
        <v/>
      </c>
      <c r="Z293" s="28" t="str">
        <f>IF('12 - Device_Configuration'!P294="","",'12 - Device_Configuration'!P294)</f>
        <v/>
      </c>
      <c r="AA293" s="28" t="str">
        <f>IF('12 - Device_Configuration'!Q294="","",'12 - Device_Configuration'!Q294)</f>
        <v/>
      </c>
    </row>
    <row r="294" spans="1:27">
      <c r="A294" s="29"/>
      <c r="B294" s="29"/>
      <c r="C294" s="28" t="str">
        <f>IF('12 - Device_Configuration'!H295="","",'12 - Device_Configuration'!H295)</f>
        <v/>
      </c>
      <c r="D294" s="28" t="str">
        <f>IF('12 - Device_Configuration'!AE295="","",'12 - Device_Configuration'!AE295)</f>
        <v/>
      </c>
      <c r="E294" s="28" t="str">
        <f>IF('12 - Device_Configuration'!AF295="","",'12 - Device_Configuration'!AF295)</f>
        <v/>
      </c>
      <c r="F294" s="28" t="str">
        <f>IF('12 - Device_Configuration'!AG295="","",'12 - Device_Configuration'!AG295)</f>
        <v/>
      </c>
      <c r="G294" s="28" t="str">
        <f>IF('12 - Device_Configuration'!AH295="","",'12 - Device_Configuration'!AH295)</f>
        <v/>
      </c>
      <c r="H294" s="28" t="str">
        <f>IF('12 - Device_Configuration'!A295="","",'12 - Device_Configuration'!A295)</f>
        <v/>
      </c>
      <c r="I294" s="28" t="str">
        <f>IF('12 - Device_Configuration'!AI295="","",'12 - Device_Configuration'!AI295)</f>
        <v/>
      </c>
      <c r="J294" s="28" t="str">
        <f>IF('12 - Device_Configuration'!AJ295="","",'12 - Device_Configuration'!AJ295)</f>
        <v/>
      </c>
      <c r="K294" s="28" t="str">
        <f>IF('12 - Device_Configuration'!AA295="","",'12 - Device_Configuration'!AA295)</f>
        <v/>
      </c>
      <c r="L294" s="28" t="str">
        <f>IF('12 - Device_Configuration'!I295="","",'12 - Device_Configuration'!I295)</f>
        <v/>
      </c>
      <c r="M294" s="29"/>
      <c r="N294" s="28" t="str">
        <f>IF('12 - Device_Configuration'!J295="","",'12 - Device_Configuration'!J295)</f>
        <v/>
      </c>
      <c r="O294" s="28" t="str">
        <f>IF('12 - Device_Configuration'!K295="","",'12 - Device_Configuration'!K295)</f>
        <v/>
      </c>
      <c r="P294" s="28" t="str">
        <f>IF('12 - Device_Configuration'!L295="","",'12 - Device_Configuration'!L295)</f>
        <v/>
      </c>
      <c r="Q294" s="29"/>
      <c r="R294" s="28" t="str">
        <f>IF('12 - Device_Configuration'!AY295="","",'12 - Device_Configuration'!AY295)</f>
        <v/>
      </c>
      <c r="S294" s="28" t="str">
        <f>IF('12 - Device_Configuration'!AX295="","",'12 - Device_Configuration'!AX295)</f>
        <v/>
      </c>
      <c r="T294" s="28" t="str">
        <f>IF('12 - Device_Configuration'!AV295="","",'12 - Device_Configuration'!AV295)</f>
        <v/>
      </c>
      <c r="U294" s="28" t="str">
        <f>IF('12 - Device_Configuration'!AW295="","",'12 - Device_Configuration'!AW295)</f>
        <v/>
      </c>
      <c r="V294" s="28" t="str">
        <f>IF('12 - Device_Configuration'!BA295="","",'12 - Device_Configuration'!BA295)</f>
        <v/>
      </c>
      <c r="W294" s="28" t="str">
        <f>IF('12 - Device_Configuration'!BC295="","",'12 - Device_Configuration'!BC295)</f>
        <v/>
      </c>
      <c r="X294" s="28" t="str">
        <f>IF('12 - Device_Configuration'!BK295="","",'12 - Device_Configuration'!BK295)</f>
        <v/>
      </c>
      <c r="Y294" s="28" t="str">
        <f>IF('12 - Device_Configuration'!BB295="","",'12 - Device_Configuration'!BB295)</f>
        <v/>
      </c>
      <c r="Z294" s="28" t="str">
        <f>IF('12 - Device_Configuration'!P295="","",'12 - Device_Configuration'!P295)</f>
        <v/>
      </c>
      <c r="AA294" s="28" t="str">
        <f>IF('12 - Device_Configuration'!Q295="","",'12 - Device_Configuration'!Q295)</f>
        <v/>
      </c>
    </row>
    <row r="295" spans="1:27">
      <c r="A295" s="29"/>
      <c r="B295" s="29"/>
      <c r="C295" s="28" t="str">
        <f>IF('12 - Device_Configuration'!H296="","",'12 - Device_Configuration'!H296)</f>
        <v/>
      </c>
      <c r="D295" s="28" t="str">
        <f>IF('12 - Device_Configuration'!AE296="","",'12 - Device_Configuration'!AE296)</f>
        <v/>
      </c>
      <c r="E295" s="28" t="str">
        <f>IF('12 - Device_Configuration'!AF296="","",'12 - Device_Configuration'!AF296)</f>
        <v/>
      </c>
      <c r="F295" s="28" t="str">
        <f>IF('12 - Device_Configuration'!AG296="","",'12 - Device_Configuration'!AG296)</f>
        <v/>
      </c>
      <c r="G295" s="28" t="str">
        <f>IF('12 - Device_Configuration'!AH296="","",'12 - Device_Configuration'!AH296)</f>
        <v/>
      </c>
      <c r="H295" s="28" t="str">
        <f>IF('12 - Device_Configuration'!A296="","",'12 - Device_Configuration'!A296)</f>
        <v/>
      </c>
      <c r="I295" s="28" t="str">
        <f>IF('12 - Device_Configuration'!AI296="","",'12 - Device_Configuration'!AI296)</f>
        <v/>
      </c>
      <c r="J295" s="28" t="str">
        <f>IF('12 - Device_Configuration'!AJ296="","",'12 - Device_Configuration'!AJ296)</f>
        <v/>
      </c>
      <c r="K295" s="28" t="str">
        <f>IF('12 - Device_Configuration'!AA296="","",'12 - Device_Configuration'!AA296)</f>
        <v/>
      </c>
      <c r="L295" s="28" t="str">
        <f>IF('12 - Device_Configuration'!I296="","",'12 - Device_Configuration'!I296)</f>
        <v/>
      </c>
      <c r="M295" s="29"/>
      <c r="N295" s="28" t="str">
        <f>IF('12 - Device_Configuration'!J296="","",'12 - Device_Configuration'!J296)</f>
        <v/>
      </c>
      <c r="O295" s="28" t="str">
        <f>IF('12 - Device_Configuration'!K296="","",'12 - Device_Configuration'!K296)</f>
        <v/>
      </c>
      <c r="P295" s="28" t="str">
        <f>IF('12 - Device_Configuration'!L296="","",'12 - Device_Configuration'!L296)</f>
        <v/>
      </c>
      <c r="Q295" s="29"/>
      <c r="R295" s="28" t="str">
        <f>IF('12 - Device_Configuration'!AY296="","",'12 - Device_Configuration'!AY296)</f>
        <v/>
      </c>
      <c r="S295" s="28" t="str">
        <f>IF('12 - Device_Configuration'!AX296="","",'12 - Device_Configuration'!AX296)</f>
        <v/>
      </c>
      <c r="T295" s="28" t="str">
        <f>IF('12 - Device_Configuration'!AV296="","",'12 - Device_Configuration'!AV296)</f>
        <v/>
      </c>
      <c r="U295" s="28" t="str">
        <f>IF('12 - Device_Configuration'!AW296="","",'12 - Device_Configuration'!AW296)</f>
        <v/>
      </c>
      <c r="V295" s="28" t="str">
        <f>IF('12 - Device_Configuration'!BA296="","",'12 - Device_Configuration'!BA296)</f>
        <v/>
      </c>
      <c r="W295" s="28" t="str">
        <f>IF('12 - Device_Configuration'!BC296="","",'12 - Device_Configuration'!BC296)</f>
        <v/>
      </c>
      <c r="X295" s="28" t="str">
        <f>IF('12 - Device_Configuration'!BK296="","",'12 - Device_Configuration'!BK296)</f>
        <v/>
      </c>
      <c r="Y295" s="28" t="str">
        <f>IF('12 - Device_Configuration'!BB296="","",'12 - Device_Configuration'!BB296)</f>
        <v/>
      </c>
      <c r="Z295" s="28" t="str">
        <f>IF('12 - Device_Configuration'!P296="","",'12 - Device_Configuration'!P296)</f>
        <v/>
      </c>
      <c r="AA295" s="28" t="str">
        <f>IF('12 - Device_Configuration'!Q296="","",'12 - Device_Configuration'!Q296)</f>
        <v/>
      </c>
    </row>
    <row r="296" spans="1:27">
      <c r="A296" s="29"/>
      <c r="B296" s="29"/>
      <c r="C296" s="28" t="str">
        <f>IF('12 - Device_Configuration'!H297="","",'12 - Device_Configuration'!H297)</f>
        <v/>
      </c>
      <c r="D296" s="28" t="str">
        <f>IF('12 - Device_Configuration'!AE297="","",'12 - Device_Configuration'!AE297)</f>
        <v/>
      </c>
      <c r="E296" s="28" t="str">
        <f>IF('12 - Device_Configuration'!AF297="","",'12 - Device_Configuration'!AF297)</f>
        <v/>
      </c>
      <c r="F296" s="28" t="str">
        <f>IF('12 - Device_Configuration'!AG297="","",'12 - Device_Configuration'!AG297)</f>
        <v/>
      </c>
      <c r="G296" s="28" t="str">
        <f>IF('12 - Device_Configuration'!AH297="","",'12 - Device_Configuration'!AH297)</f>
        <v/>
      </c>
      <c r="H296" s="28" t="str">
        <f>IF('12 - Device_Configuration'!A297="","",'12 - Device_Configuration'!A297)</f>
        <v/>
      </c>
      <c r="I296" s="28" t="str">
        <f>IF('12 - Device_Configuration'!AI297="","",'12 - Device_Configuration'!AI297)</f>
        <v/>
      </c>
      <c r="J296" s="28" t="str">
        <f>IF('12 - Device_Configuration'!AJ297="","",'12 - Device_Configuration'!AJ297)</f>
        <v/>
      </c>
      <c r="K296" s="28" t="str">
        <f>IF('12 - Device_Configuration'!AA297="","",'12 - Device_Configuration'!AA297)</f>
        <v/>
      </c>
      <c r="L296" s="28" t="str">
        <f>IF('12 - Device_Configuration'!I297="","",'12 - Device_Configuration'!I297)</f>
        <v/>
      </c>
      <c r="M296" s="29"/>
      <c r="N296" s="28" t="str">
        <f>IF('12 - Device_Configuration'!J297="","",'12 - Device_Configuration'!J297)</f>
        <v/>
      </c>
      <c r="O296" s="28" t="str">
        <f>IF('12 - Device_Configuration'!K297="","",'12 - Device_Configuration'!K297)</f>
        <v/>
      </c>
      <c r="P296" s="28" t="str">
        <f>IF('12 - Device_Configuration'!L297="","",'12 - Device_Configuration'!L297)</f>
        <v/>
      </c>
      <c r="Q296" s="29"/>
      <c r="R296" s="28" t="str">
        <f>IF('12 - Device_Configuration'!AY297="","",'12 - Device_Configuration'!AY297)</f>
        <v/>
      </c>
      <c r="S296" s="28" t="str">
        <f>IF('12 - Device_Configuration'!AX297="","",'12 - Device_Configuration'!AX297)</f>
        <v/>
      </c>
      <c r="T296" s="28" t="str">
        <f>IF('12 - Device_Configuration'!AV297="","",'12 - Device_Configuration'!AV297)</f>
        <v/>
      </c>
      <c r="U296" s="28" t="str">
        <f>IF('12 - Device_Configuration'!AW297="","",'12 - Device_Configuration'!AW297)</f>
        <v/>
      </c>
      <c r="V296" s="28" t="str">
        <f>IF('12 - Device_Configuration'!BA297="","",'12 - Device_Configuration'!BA297)</f>
        <v/>
      </c>
      <c r="W296" s="28" t="str">
        <f>IF('12 - Device_Configuration'!BC297="","",'12 - Device_Configuration'!BC297)</f>
        <v/>
      </c>
      <c r="X296" s="28" t="str">
        <f>IF('12 - Device_Configuration'!BK297="","",'12 - Device_Configuration'!BK297)</f>
        <v/>
      </c>
      <c r="Y296" s="28" t="str">
        <f>IF('12 - Device_Configuration'!BB297="","",'12 - Device_Configuration'!BB297)</f>
        <v/>
      </c>
      <c r="Z296" s="28" t="str">
        <f>IF('12 - Device_Configuration'!P297="","",'12 - Device_Configuration'!P297)</f>
        <v/>
      </c>
      <c r="AA296" s="28" t="str">
        <f>IF('12 - Device_Configuration'!Q297="","",'12 - Device_Configuration'!Q297)</f>
        <v/>
      </c>
    </row>
    <row r="297" spans="1:27">
      <c r="A297" s="29"/>
      <c r="B297" s="29"/>
      <c r="C297" s="28" t="str">
        <f>IF('12 - Device_Configuration'!H298="","",'12 - Device_Configuration'!H298)</f>
        <v/>
      </c>
      <c r="D297" s="28" t="str">
        <f>IF('12 - Device_Configuration'!AE298="","",'12 - Device_Configuration'!AE298)</f>
        <v/>
      </c>
      <c r="E297" s="28" t="str">
        <f>IF('12 - Device_Configuration'!AF298="","",'12 - Device_Configuration'!AF298)</f>
        <v/>
      </c>
      <c r="F297" s="28" t="str">
        <f>IF('12 - Device_Configuration'!AG298="","",'12 - Device_Configuration'!AG298)</f>
        <v/>
      </c>
      <c r="G297" s="28" t="str">
        <f>IF('12 - Device_Configuration'!AH298="","",'12 - Device_Configuration'!AH298)</f>
        <v/>
      </c>
      <c r="H297" s="28" t="str">
        <f>IF('12 - Device_Configuration'!A298="","",'12 - Device_Configuration'!A298)</f>
        <v/>
      </c>
      <c r="I297" s="28" t="str">
        <f>IF('12 - Device_Configuration'!AI298="","",'12 - Device_Configuration'!AI298)</f>
        <v/>
      </c>
      <c r="J297" s="28" t="str">
        <f>IF('12 - Device_Configuration'!AJ298="","",'12 - Device_Configuration'!AJ298)</f>
        <v/>
      </c>
      <c r="K297" s="28" t="str">
        <f>IF('12 - Device_Configuration'!AA298="","",'12 - Device_Configuration'!AA298)</f>
        <v/>
      </c>
      <c r="L297" s="28" t="str">
        <f>IF('12 - Device_Configuration'!I298="","",'12 - Device_Configuration'!I298)</f>
        <v/>
      </c>
      <c r="M297" s="29"/>
      <c r="N297" s="28" t="str">
        <f>IF('12 - Device_Configuration'!J298="","",'12 - Device_Configuration'!J298)</f>
        <v/>
      </c>
      <c r="O297" s="28" t="str">
        <f>IF('12 - Device_Configuration'!K298="","",'12 - Device_Configuration'!K298)</f>
        <v/>
      </c>
      <c r="P297" s="28" t="str">
        <f>IF('12 - Device_Configuration'!L298="","",'12 - Device_Configuration'!L298)</f>
        <v/>
      </c>
      <c r="Q297" s="29"/>
      <c r="R297" s="28" t="str">
        <f>IF('12 - Device_Configuration'!AY298="","",'12 - Device_Configuration'!AY298)</f>
        <v/>
      </c>
      <c r="S297" s="28" t="str">
        <f>IF('12 - Device_Configuration'!AX298="","",'12 - Device_Configuration'!AX298)</f>
        <v/>
      </c>
      <c r="T297" s="28" t="str">
        <f>IF('12 - Device_Configuration'!AV298="","",'12 - Device_Configuration'!AV298)</f>
        <v/>
      </c>
      <c r="U297" s="28" t="str">
        <f>IF('12 - Device_Configuration'!AW298="","",'12 - Device_Configuration'!AW298)</f>
        <v/>
      </c>
      <c r="V297" s="28" t="str">
        <f>IF('12 - Device_Configuration'!BA298="","",'12 - Device_Configuration'!BA298)</f>
        <v/>
      </c>
      <c r="W297" s="28" t="str">
        <f>IF('12 - Device_Configuration'!BC298="","",'12 - Device_Configuration'!BC298)</f>
        <v/>
      </c>
      <c r="X297" s="28" t="str">
        <f>IF('12 - Device_Configuration'!BK298="","",'12 - Device_Configuration'!BK298)</f>
        <v/>
      </c>
      <c r="Y297" s="28" t="str">
        <f>IF('12 - Device_Configuration'!BB298="","",'12 - Device_Configuration'!BB298)</f>
        <v/>
      </c>
      <c r="Z297" s="28" t="str">
        <f>IF('12 - Device_Configuration'!P298="","",'12 - Device_Configuration'!P298)</f>
        <v/>
      </c>
      <c r="AA297" s="28" t="str">
        <f>IF('12 - Device_Configuration'!Q298="","",'12 - Device_Configuration'!Q298)</f>
        <v/>
      </c>
    </row>
    <row r="298" spans="1:27">
      <c r="A298" s="29"/>
      <c r="B298" s="29"/>
      <c r="C298" s="28" t="str">
        <f>IF('12 - Device_Configuration'!H299="","",'12 - Device_Configuration'!H299)</f>
        <v/>
      </c>
      <c r="D298" s="28" t="str">
        <f>IF('12 - Device_Configuration'!AE299="","",'12 - Device_Configuration'!AE299)</f>
        <v/>
      </c>
      <c r="E298" s="28" t="str">
        <f>IF('12 - Device_Configuration'!AF299="","",'12 - Device_Configuration'!AF299)</f>
        <v/>
      </c>
      <c r="F298" s="28" t="str">
        <f>IF('12 - Device_Configuration'!AG299="","",'12 - Device_Configuration'!AG299)</f>
        <v/>
      </c>
      <c r="G298" s="28" t="str">
        <f>IF('12 - Device_Configuration'!AH299="","",'12 - Device_Configuration'!AH299)</f>
        <v/>
      </c>
      <c r="H298" s="28" t="str">
        <f>IF('12 - Device_Configuration'!A299="","",'12 - Device_Configuration'!A299)</f>
        <v/>
      </c>
      <c r="I298" s="28" t="str">
        <f>IF('12 - Device_Configuration'!AI299="","",'12 - Device_Configuration'!AI299)</f>
        <v/>
      </c>
      <c r="J298" s="28" t="str">
        <f>IF('12 - Device_Configuration'!AJ299="","",'12 - Device_Configuration'!AJ299)</f>
        <v/>
      </c>
      <c r="K298" s="28" t="str">
        <f>IF('12 - Device_Configuration'!AA299="","",'12 - Device_Configuration'!AA299)</f>
        <v/>
      </c>
      <c r="L298" s="28" t="str">
        <f>IF('12 - Device_Configuration'!I299="","",'12 - Device_Configuration'!I299)</f>
        <v/>
      </c>
      <c r="M298" s="29"/>
      <c r="N298" s="28" t="str">
        <f>IF('12 - Device_Configuration'!J299="","",'12 - Device_Configuration'!J299)</f>
        <v/>
      </c>
      <c r="O298" s="28" t="str">
        <f>IF('12 - Device_Configuration'!K299="","",'12 - Device_Configuration'!K299)</f>
        <v/>
      </c>
      <c r="P298" s="28" t="str">
        <f>IF('12 - Device_Configuration'!L299="","",'12 - Device_Configuration'!L299)</f>
        <v/>
      </c>
      <c r="Q298" s="29"/>
      <c r="R298" s="28" t="str">
        <f>IF('12 - Device_Configuration'!AY299="","",'12 - Device_Configuration'!AY299)</f>
        <v/>
      </c>
      <c r="S298" s="28" t="str">
        <f>IF('12 - Device_Configuration'!AX299="","",'12 - Device_Configuration'!AX299)</f>
        <v/>
      </c>
      <c r="T298" s="28" t="str">
        <f>IF('12 - Device_Configuration'!AV299="","",'12 - Device_Configuration'!AV299)</f>
        <v/>
      </c>
      <c r="U298" s="28" t="str">
        <f>IF('12 - Device_Configuration'!AW299="","",'12 - Device_Configuration'!AW299)</f>
        <v/>
      </c>
      <c r="V298" s="28" t="str">
        <f>IF('12 - Device_Configuration'!BA299="","",'12 - Device_Configuration'!BA299)</f>
        <v/>
      </c>
      <c r="W298" s="28" t="str">
        <f>IF('12 - Device_Configuration'!BC299="","",'12 - Device_Configuration'!BC299)</f>
        <v/>
      </c>
      <c r="X298" s="28" t="str">
        <f>IF('12 - Device_Configuration'!BK299="","",'12 - Device_Configuration'!BK299)</f>
        <v/>
      </c>
      <c r="Y298" s="28" t="str">
        <f>IF('12 - Device_Configuration'!BB299="","",'12 - Device_Configuration'!BB299)</f>
        <v/>
      </c>
      <c r="Z298" s="28" t="str">
        <f>IF('12 - Device_Configuration'!P299="","",'12 - Device_Configuration'!P299)</f>
        <v/>
      </c>
      <c r="AA298" s="28" t="str">
        <f>IF('12 - Device_Configuration'!Q299="","",'12 - Device_Configuration'!Q299)</f>
        <v/>
      </c>
    </row>
    <row r="299" spans="1:27">
      <c r="A299" s="29"/>
      <c r="B299" s="29"/>
      <c r="C299" s="28" t="str">
        <f>IF('12 - Device_Configuration'!H300="","",'12 - Device_Configuration'!H300)</f>
        <v/>
      </c>
      <c r="D299" s="28" t="str">
        <f>IF('12 - Device_Configuration'!AE300="","",'12 - Device_Configuration'!AE300)</f>
        <v/>
      </c>
      <c r="E299" s="28" t="str">
        <f>IF('12 - Device_Configuration'!AF300="","",'12 - Device_Configuration'!AF300)</f>
        <v/>
      </c>
      <c r="F299" s="28" t="str">
        <f>IF('12 - Device_Configuration'!AG300="","",'12 - Device_Configuration'!AG300)</f>
        <v/>
      </c>
      <c r="G299" s="28" t="str">
        <f>IF('12 - Device_Configuration'!AH300="","",'12 - Device_Configuration'!AH300)</f>
        <v/>
      </c>
      <c r="H299" s="28" t="str">
        <f>IF('12 - Device_Configuration'!A300="","",'12 - Device_Configuration'!A300)</f>
        <v/>
      </c>
      <c r="I299" s="28" t="str">
        <f>IF('12 - Device_Configuration'!AI300="","",'12 - Device_Configuration'!AI300)</f>
        <v/>
      </c>
      <c r="J299" s="28" t="str">
        <f>IF('12 - Device_Configuration'!AJ300="","",'12 - Device_Configuration'!AJ300)</f>
        <v/>
      </c>
      <c r="K299" s="28" t="str">
        <f>IF('12 - Device_Configuration'!AA300="","",'12 - Device_Configuration'!AA300)</f>
        <v/>
      </c>
      <c r="L299" s="28" t="str">
        <f>IF('12 - Device_Configuration'!I300="","",'12 - Device_Configuration'!I300)</f>
        <v/>
      </c>
      <c r="M299" s="29"/>
      <c r="N299" s="28" t="str">
        <f>IF('12 - Device_Configuration'!J300="","",'12 - Device_Configuration'!J300)</f>
        <v/>
      </c>
      <c r="O299" s="28" t="str">
        <f>IF('12 - Device_Configuration'!K300="","",'12 - Device_Configuration'!K300)</f>
        <v/>
      </c>
      <c r="P299" s="28" t="str">
        <f>IF('12 - Device_Configuration'!L300="","",'12 - Device_Configuration'!L300)</f>
        <v/>
      </c>
      <c r="Q299" s="29"/>
      <c r="R299" s="28" t="str">
        <f>IF('12 - Device_Configuration'!AY300="","",'12 - Device_Configuration'!AY300)</f>
        <v/>
      </c>
      <c r="S299" s="28" t="str">
        <f>IF('12 - Device_Configuration'!AX300="","",'12 - Device_Configuration'!AX300)</f>
        <v/>
      </c>
      <c r="T299" s="28" t="str">
        <f>IF('12 - Device_Configuration'!AV300="","",'12 - Device_Configuration'!AV300)</f>
        <v/>
      </c>
      <c r="U299" s="28" t="str">
        <f>IF('12 - Device_Configuration'!AW300="","",'12 - Device_Configuration'!AW300)</f>
        <v/>
      </c>
      <c r="V299" s="28" t="str">
        <f>IF('12 - Device_Configuration'!BA300="","",'12 - Device_Configuration'!BA300)</f>
        <v/>
      </c>
      <c r="W299" s="28" t="str">
        <f>IF('12 - Device_Configuration'!BC300="","",'12 - Device_Configuration'!BC300)</f>
        <v/>
      </c>
      <c r="X299" s="28" t="str">
        <f>IF('12 - Device_Configuration'!BK300="","",'12 - Device_Configuration'!BK300)</f>
        <v/>
      </c>
      <c r="Y299" s="28" t="str">
        <f>IF('12 - Device_Configuration'!BB300="","",'12 - Device_Configuration'!BB300)</f>
        <v/>
      </c>
      <c r="Z299" s="28" t="str">
        <f>IF('12 - Device_Configuration'!P300="","",'12 - Device_Configuration'!P300)</f>
        <v/>
      </c>
      <c r="AA299" s="28" t="str">
        <f>IF('12 - Device_Configuration'!Q300="","",'12 - Device_Configuration'!Q300)</f>
        <v/>
      </c>
    </row>
    <row r="300" spans="1:27">
      <c r="A300" s="29"/>
      <c r="B300" s="29"/>
      <c r="C300" s="28" t="str">
        <f>IF('12 - Device_Configuration'!H301="","",'12 - Device_Configuration'!H301)</f>
        <v/>
      </c>
      <c r="D300" s="28" t="str">
        <f>IF('12 - Device_Configuration'!AE301="","",'12 - Device_Configuration'!AE301)</f>
        <v/>
      </c>
      <c r="E300" s="28" t="str">
        <f>IF('12 - Device_Configuration'!AF301="","",'12 - Device_Configuration'!AF301)</f>
        <v/>
      </c>
      <c r="F300" s="28" t="str">
        <f>IF('12 - Device_Configuration'!AG301="","",'12 - Device_Configuration'!AG301)</f>
        <v/>
      </c>
      <c r="G300" s="28" t="str">
        <f>IF('12 - Device_Configuration'!AH301="","",'12 - Device_Configuration'!AH301)</f>
        <v/>
      </c>
      <c r="H300" s="28" t="str">
        <f>IF('12 - Device_Configuration'!A301="","",'12 - Device_Configuration'!A301)</f>
        <v/>
      </c>
      <c r="I300" s="28" t="str">
        <f>IF('12 - Device_Configuration'!AI301="","",'12 - Device_Configuration'!AI301)</f>
        <v/>
      </c>
      <c r="J300" s="28" t="str">
        <f>IF('12 - Device_Configuration'!AJ301="","",'12 - Device_Configuration'!AJ301)</f>
        <v/>
      </c>
      <c r="K300" s="28" t="str">
        <f>IF('12 - Device_Configuration'!AA301="","",'12 - Device_Configuration'!AA301)</f>
        <v/>
      </c>
      <c r="L300" s="28" t="str">
        <f>IF('12 - Device_Configuration'!I301="","",'12 - Device_Configuration'!I301)</f>
        <v/>
      </c>
      <c r="M300" s="29"/>
      <c r="N300" s="28" t="str">
        <f>IF('12 - Device_Configuration'!J301="","",'12 - Device_Configuration'!J301)</f>
        <v/>
      </c>
      <c r="O300" s="28" t="str">
        <f>IF('12 - Device_Configuration'!K301="","",'12 - Device_Configuration'!K301)</f>
        <v/>
      </c>
      <c r="P300" s="28" t="str">
        <f>IF('12 - Device_Configuration'!L301="","",'12 - Device_Configuration'!L301)</f>
        <v/>
      </c>
      <c r="Q300" s="29"/>
      <c r="R300" s="28" t="str">
        <f>IF('12 - Device_Configuration'!AY301="","",'12 - Device_Configuration'!AY301)</f>
        <v/>
      </c>
      <c r="S300" s="28" t="str">
        <f>IF('12 - Device_Configuration'!AX301="","",'12 - Device_Configuration'!AX301)</f>
        <v/>
      </c>
      <c r="T300" s="28" t="str">
        <f>IF('12 - Device_Configuration'!AV301="","",'12 - Device_Configuration'!AV301)</f>
        <v/>
      </c>
      <c r="U300" s="28" t="str">
        <f>IF('12 - Device_Configuration'!AW301="","",'12 - Device_Configuration'!AW301)</f>
        <v/>
      </c>
      <c r="V300" s="28" t="str">
        <f>IF('12 - Device_Configuration'!BA301="","",'12 - Device_Configuration'!BA301)</f>
        <v/>
      </c>
      <c r="W300" s="28" t="str">
        <f>IF('12 - Device_Configuration'!BC301="","",'12 - Device_Configuration'!BC301)</f>
        <v/>
      </c>
      <c r="X300" s="28" t="str">
        <f>IF('12 - Device_Configuration'!BK301="","",'12 - Device_Configuration'!BK301)</f>
        <v/>
      </c>
      <c r="Y300" s="28" t="str">
        <f>IF('12 - Device_Configuration'!BB301="","",'12 - Device_Configuration'!BB301)</f>
        <v/>
      </c>
      <c r="Z300" s="28" t="str">
        <f>IF('12 - Device_Configuration'!P301="","",'12 - Device_Configuration'!P301)</f>
        <v/>
      </c>
      <c r="AA300" s="28" t="str">
        <f>IF('12 - Device_Configuration'!Q301="","",'12 - Device_Configuration'!Q301)</f>
        <v/>
      </c>
    </row>
    <row r="301" spans="1:27">
      <c r="A301" s="29"/>
      <c r="B301" s="29"/>
      <c r="C301" s="28" t="str">
        <f>IF('12 - Device_Configuration'!H302="","",'12 - Device_Configuration'!H302)</f>
        <v/>
      </c>
      <c r="D301" s="28" t="str">
        <f>IF('12 - Device_Configuration'!AE302="","",'12 - Device_Configuration'!AE302)</f>
        <v/>
      </c>
      <c r="E301" s="28" t="str">
        <f>IF('12 - Device_Configuration'!AF302="","",'12 - Device_Configuration'!AF302)</f>
        <v/>
      </c>
      <c r="F301" s="28" t="str">
        <f>IF('12 - Device_Configuration'!AG302="","",'12 - Device_Configuration'!AG302)</f>
        <v/>
      </c>
      <c r="G301" s="28" t="str">
        <f>IF('12 - Device_Configuration'!AH302="","",'12 - Device_Configuration'!AH302)</f>
        <v/>
      </c>
      <c r="H301" s="28" t="str">
        <f>IF('12 - Device_Configuration'!A302="","",'12 - Device_Configuration'!A302)</f>
        <v/>
      </c>
      <c r="I301" s="28" t="str">
        <f>IF('12 - Device_Configuration'!AI302="","",'12 - Device_Configuration'!AI302)</f>
        <v/>
      </c>
      <c r="J301" s="28" t="str">
        <f>IF('12 - Device_Configuration'!AJ302="","",'12 - Device_Configuration'!AJ302)</f>
        <v/>
      </c>
      <c r="K301" s="28" t="str">
        <f>IF('12 - Device_Configuration'!AA302="","",'12 - Device_Configuration'!AA302)</f>
        <v/>
      </c>
      <c r="L301" s="28" t="str">
        <f>IF('12 - Device_Configuration'!I302="","",'12 - Device_Configuration'!I302)</f>
        <v/>
      </c>
      <c r="M301" s="29"/>
      <c r="N301" s="28" t="str">
        <f>IF('12 - Device_Configuration'!J302="","",'12 - Device_Configuration'!J302)</f>
        <v/>
      </c>
      <c r="O301" s="28" t="str">
        <f>IF('12 - Device_Configuration'!K302="","",'12 - Device_Configuration'!K302)</f>
        <v/>
      </c>
      <c r="P301" s="28" t="str">
        <f>IF('12 - Device_Configuration'!L302="","",'12 - Device_Configuration'!L302)</f>
        <v/>
      </c>
      <c r="Q301" s="29"/>
      <c r="R301" s="28" t="str">
        <f>IF('12 - Device_Configuration'!AY302="","",'12 - Device_Configuration'!AY302)</f>
        <v/>
      </c>
      <c r="S301" s="28" t="str">
        <f>IF('12 - Device_Configuration'!AX302="","",'12 - Device_Configuration'!AX302)</f>
        <v/>
      </c>
      <c r="T301" s="28" t="str">
        <f>IF('12 - Device_Configuration'!AV302="","",'12 - Device_Configuration'!AV302)</f>
        <v/>
      </c>
      <c r="U301" s="28" t="str">
        <f>IF('12 - Device_Configuration'!AW302="","",'12 - Device_Configuration'!AW302)</f>
        <v/>
      </c>
      <c r="V301" s="28" t="str">
        <f>IF('12 - Device_Configuration'!BA302="","",'12 - Device_Configuration'!BA302)</f>
        <v/>
      </c>
      <c r="W301" s="28" t="str">
        <f>IF('12 - Device_Configuration'!BC302="","",'12 - Device_Configuration'!BC302)</f>
        <v/>
      </c>
      <c r="X301" s="28" t="str">
        <f>IF('12 - Device_Configuration'!BK302="","",'12 - Device_Configuration'!BK302)</f>
        <v/>
      </c>
      <c r="Y301" s="28" t="str">
        <f>IF('12 - Device_Configuration'!BB302="","",'12 - Device_Configuration'!BB302)</f>
        <v/>
      </c>
      <c r="Z301" s="28" t="str">
        <f>IF('12 - Device_Configuration'!P302="","",'12 - Device_Configuration'!P302)</f>
        <v/>
      </c>
      <c r="AA301" s="28" t="str">
        <f>IF('12 - Device_Configuration'!Q302="","",'12 - Device_Configuration'!Q302)</f>
        <v/>
      </c>
    </row>
    <row r="302" spans="1:27">
      <c r="A302" s="29"/>
      <c r="B302" s="29"/>
      <c r="C302" s="28" t="str">
        <f>IF('12 - Device_Configuration'!H303="","",'12 - Device_Configuration'!H303)</f>
        <v/>
      </c>
      <c r="D302" s="28" t="str">
        <f>IF('12 - Device_Configuration'!AE303="","",'12 - Device_Configuration'!AE303)</f>
        <v/>
      </c>
      <c r="E302" s="28" t="str">
        <f>IF('12 - Device_Configuration'!AF303="","",'12 - Device_Configuration'!AF303)</f>
        <v/>
      </c>
      <c r="F302" s="28" t="str">
        <f>IF('12 - Device_Configuration'!AG303="","",'12 - Device_Configuration'!AG303)</f>
        <v/>
      </c>
      <c r="G302" s="28" t="str">
        <f>IF('12 - Device_Configuration'!AH303="","",'12 - Device_Configuration'!AH303)</f>
        <v/>
      </c>
      <c r="H302" s="28" t="str">
        <f>IF('12 - Device_Configuration'!A303="","",'12 - Device_Configuration'!A303)</f>
        <v/>
      </c>
      <c r="I302" s="28" t="str">
        <f>IF('12 - Device_Configuration'!AI303="","",'12 - Device_Configuration'!AI303)</f>
        <v/>
      </c>
      <c r="J302" s="28" t="str">
        <f>IF('12 - Device_Configuration'!AJ303="","",'12 - Device_Configuration'!AJ303)</f>
        <v/>
      </c>
      <c r="K302" s="28" t="str">
        <f>IF('12 - Device_Configuration'!AA303="","",'12 - Device_Configuration'!AA303)</f>
        <v/>
      </c>
      <c r="L302" s="28" t="str">
        <f>IF('12 - Device_Configuration'!I303="","",'12 - Device_Configuration'!I303)</f>
        <v/>
      </c>
      <c r="M302" s="29"/>
      <c r="N302" s="28" t="str">
        <f>IF('12 - Device_Configuration'!J303="","",'12 - Device_Configuration'!J303)</f>
        <v/>
      </c>
      <c r="O302" s="28" t="str">
        <f>IF('12 - Device_Configuration'!K303="","",'12 - Device_Configuration'!K303)</f>
        <v/>
      </c>
      <c r="P302" s="28" t="str">
        <f>IF('12 - Device_Configuration'!L303="","",'12 - Device_Configuration'!L303)</f>
        <v/>
      </c>
      <c r="Q302" s="29"/>
      <c r="R302" s="28" t="str">
        <f>IF('12 - Device_Configuration'!AY303="","",'12 - Device_Configuration'!AY303)</f>
        <v/>
      </c>
      <c r="S302" s="28" t="str">
        <f>IF('12 - Device_Configuration'!AX303="","",'12 - Device_Configuration'!AX303)</f>
        <v/>
      </c>
      <c r="T302" s="28" t="str">
        <f>IF('12 - Device_Configuration'!AV303="","",'12 - Device_Configuration'!AV303)</f>
        <v/>
      </c>
      <c r="U302" s="28" t="str">
        <f>IF('12 - Device_Configuration'!AW303="","",'12 - Device_Configuration'!AW303)</f>
        <v/>
      </c>
      <c r="V302" s="28" t="str">
        <f>IF('12 - Device_Configuration'!BA303="","",'12 - Device_Configuration'!BA303)</f>
        <v/>
      </c>
      <c r="W302" s="28" t="str">
        <f>IF('12 - Device_Configuration'!BC303="","",'12 - Device_Configuration'!BC303)</f>
        <v/>
      </c>
      <c r="X302" s="28" t="str">
        <f>IF('12 - Device_Configuration'!BK303="","",'12 - Device_Configuration'!BK303)</f>
        <v/>
      </c>
      <c r="Y302" s="28" t="str">
        <f>IF('12 - Device_Configuration'!BB303="","",'12 - Device_Configuration'!BB303)</f>
        <v/>
      </c>
      <c r="Z302" s="28" t="str">
        <f>IF('12 - Device_Configuration'!P303="","",'12 - Device_Configuration'!P303)</f>
        <v/>
      </c>
      <c r="AA302" s="28" t="str">
        <f>IF('12 - Device_Configuration'!Q303="","",'12 - Device_Configuration'!Q303)</f>
        <v/>
      </c>
    </row>
    <row r="303" spans="1:27">
      <c r="A303" s="29"/>
      <c r="B303" s="29"/>
      <c r="C303" s="28" t="str">
        <f>IF('12 - Device_Configuration'!H304="","",'12 - Device_Configuration'!H304)</f>
        <v/>
      </c>
      <c r="D303" s="28" t="str">
        <f>IF('12 - Device_Configuration'!AE304="","",'12 - Device_Configuration'!AE304)</f>
        <v/>
      </c>
      <c r="E303" s="28" t="str">
        <f>IF('12 - Device_Configuration'!AF304="","",'12 - Device_Configuration'!AF304)</f>
        <v/>
      </c>
      <c r="F303" s="28" t="str">
        <f>IF('12 - Device_Configuration'!AG304="","",'12 - Device_Configuration'!AG304)</f>
        <v/>
      </c>
      <c r="G303" s="28" t="str">
        <f>IF('12 - Device_Configuration'!AH304="","",'12 - Device_Configuration'!AH304)</f>
        <v/>
      </c>
      <c r="H303" s="28" t="str">
        <f>IF('12 - Device_Configuration'!A304="","",'12 - Device_Configuration'!A304)</f>
        <v/>
      </c>
      <c r="I303" s="28" t="str">
        <f>IF('12 - Device_Configuration'!AI304="","",'12 - Device_Configuration'!AI304)</f>
        <v/>
      </c>
      <c r="J303" s="28" t="str">
        <f>IF('12 - Device_Configuration'!AJ304="","",'12 - Device_Configuration'!AJ304)</f>
        <v/>
      </c>
      <c r="K303" s="28" t="str">
        <f>IF('12 - Device_Configuration'!AA304="","",'12 - Device_Configuration'!AA304)</f>
        <v/>
      </c>
      <c r="L303" s="28" t="str">
        <f>IF('12 - Device_Configuration'!I304="","",'12 - Device_Configuration'!I304)</f>
        <v/>
      </c>
      <c r="M303" s="29"/>
      <c r="N303" s="28" t="str">
        <f>IF('12 - Device_Configuration'!J304="","",'12 - Device_Configuration'!J304)</f>
        <v/>
      </c>
      <c r="O303" s="28" t="str">
        <f>IF('12 - Device_Configuration'!K304="","",'12 - Device_Configuration'!K304)</f>
        <v/>
      </c>
      <c r="P303" s="28" t="str">
        <f>IF('12 - Device_Configuration'!L304="","",'12 - Device_Configuration'!L304)</f>
        <v/>
      </c>
      <c r="Q303" s="29"/>
      <c r="R303" s="28" t="str">
        <f>IF('12 - Device_Configuration'!AY304="","",'12 - Device_Configuration'!AY304)</f>
        <v/>
      </c>
      <c r="S303" s="28" t="str">
        <f>IF('12 - Device_Configuration'!AX304="","",'12 - Device_Configuration'!AX304)</f>
        <v/>
      </c>
      <c r="T303" s="28" t="str">
        <f>IF('12 - Device_Configuration'!AV304="","",'12 - Device_Configuration'!AV304)</f>
        <v/>
      </c>
      <c r="U303" s="28" t="str">
        <f>IF('12 - Device_Configuration'!AW304="","",'12 - Device_Configuration'!AW304)</f>
        <v/>
      </c>
      <c r="V303" s="28" t="str">
        <f>IF('12 - Device_Configuration'!BA304="","",'12 - Device_Configuration'!BA304)</f>
        <v/>
      </c>
      <c r="W303" s="28" t="str">
        <f>IF('12 - Device_Configuration'!BC304="","",'12 - Device_Configuration'!BC304)</f>
        <v/>
      </c>
      <c r="X303" s="28" t="str">
        <f>IF('12 - Device_Configuration'!BK304="","",'12 - Device_Configuration'!BK304)</f>
        <v/>
      </c>
      <c r="Y303" s="28" t="str">
        <f>IF('12 - Device_Configuration'!BB304="","",'12 - Device_Configuration'!BB304)</f>
        <v/>
      </c>
      <c r="Z303" s="28" t="str">
        <f>IF('12 - Device_Configuration'!P304="","",'12 - Device_Configuration'!P304)</f>
        <v/>
      </c>
      <c r="AA303" s="28" t="str">
        <f>IF('12 - Device_Configuration'!Q304="","",'12 - Device_Configuration'!Q304)</f>
        <v/>
      </c>
    </row>
    <row r="304" spans="1:27">
      <c r="A304" s="29"/>
      <c r="B304" s="29"/>
      <c r="C304" s="28" t="str">
        <f>IF('12 - Device_Configuration'!H305="","",'12 - Device_Configuration'!H305)</f>
        <v/>
      </c>
      <c r="D304" s="28" t="str">
        <f>IF('12 - Device_Configuration'!AE305="","",'12 - Device_Configuration'!AE305)</f>
        <v/>
      </c>
      <c r="E304" s="28" t="str">
        <f>IF('12 - Device_Configuration'!AF305="","",'12 - Device_Configuration'!AF305)</f>
        <v/>
      </c>
      <c r="F304" s="28" t="str">
        <f>IF('12 - Device_Configuration'!AG305="","",'12 - Device_Configuration'!AG305)</f>
        <v/>
      </c>
      <c r="G304" s="28" t="str">
        <f>IF('12 - Device_Configuration'!AH305="","",'12 - Device_Configuration'!AH305)</f>
        <v/>
      </c>
      <c r="H304" s="28" t="str">
        <f>IF('12 - Device_Configuration'!A305="","",'12 - Device_Configuration'!A305)</f>
        <v/>
      </c>
      <c r="I304" s="28" t="str">
        <f>IF('12 - Device_Configuration'!AI305="","",'12 - Device_Configuration'!AI305)</f>
        <v/>
      </c>
      <c r="J304" s="28" t="str">
        <f>IF('12 - Device_Configuration'!AJ305="","",'12 - Device_Configuration'!AJ305)</f>
        <v/>
      </c>
      <c r="K304" s="28" t="str">
        <f>IF('12 - Device_Configuration'!AA305="","",'12 - Device_Configuration'!AA305)</f>
        <v/>
      </c>
      <c r="L304" s="28" t="str">
        <f>IF('12 - Device_Configuration'!I305="","",'12 - Device_Configuration'!I305)</f>
        <v/>
      </c>
      <c r="M304" s="29"/>
      <c r="N304" s="28" t="str">
        <f>IF('12 - Device_Configuration'!J305="","",'12 - Device_Configuration'!J305)</f>
        <v/>
      </c>
      <c r="O304" s="28" t="str">
        <f>IF('12 - Device_Configuration'!K305="","",'12 - Device_Configuration'!K305)</f>
        <v/>
      </c>
      <c r="P304" s="28" t="str">
        <f>IF('12 - Device_Configuration'!L305="","",'12 - Device_Configuration'!L305)</f>
        <v/>
      </c>
      <c r="Q304" s="29"/>
      <c r="R304" s="28" t="str">
        <f>IF('12 - Device_Configuration'!AY305="","",'12 - Device_Configuration'!AY305)</f>
        <v/>
      </c>
      <c r="S304" s="28" t="str">
        <f>IF('12 - Device_Configuration'!AX305="","",'12 - Device_Configuration'!AX305)</f>
        <v/>
      </c>
      <c r="T304" s="28" t="str">
        <f>IF('12 - Device_Configuration'!AV305="","",'12 - Device_Configuration'!AV305)</f>
        <v/>
      </c>
      <c r="U304" s="28" t="str">
        <f>IF('12 - Device_Configuration'!AW305="","",'12 - Device_Configuration'!AW305)</f>
        <v/>
      </c>
      <c r="V304" s="28" t="str">
        <f>IF('12 - Device_Configuration'!BA305="","",'12 - Device_Configuration'!BA305)</f>
        <v/>
      </c>
      <c r="W304" s="28" t="str">
        <f>IF('12 - Device_Configuration'!BC305="","",'12 - Device_Configuration'!BC305)</f>
        <v/>
      </c>
      <c r="X304" s="28" t="str">
        <f>IF('12 - Device_Configuration'!BK305="","",'12 - Device_Configuration'!BK305)</f>
        <v/>
      </c>
      <c r="Y304" s="28" t="str">
        <f>IF('12 - Device_Configuration'!BB305="","",'12 - Device_Configuration'!BB305)</f>
        <v/>
      </c>
      <c r="Z304" s="28" t="str">
        <f>IF('12 - Device_Configuration'!P305="","",'12 - Device_Configuration'!P305)</f>
        <v/>
      </c>
      <c r="AA304" s="28" t="str">
        <f>IF('12 - Device_Configuration'!Q305="","",'12 - Device_Configuration'!Q305)</f>
        <v/>
      </c>
    </row>
    <row r="305" spans="1:27">
      <c r="A305" s="29"/>
      <c r="B305" s="29"/>
      <c r="C305" s="28" t="str">
        <f>IF('12 - Device_Configuration'!H306="","",'12 - Device_Configuration'!H306)</f>
        <v/>
      </c>
      <c r="D305" s="28" t="str">
        <f>IF('12 - Device_Configuration'!AE306="","",'12 - Device_Configuration'!AE306)</f>
        <v/>
      </c>
      <c r="E305" s="28" t="str">
        <f>IF('12 - Device_Configuration'!AF306="","",'12 - Device_Configuration'!AF306)</f>
        <v/>
      </c>
      <c r="F305" s="28" t="str">
        <f>IF('12 - Device_Configuration'!AG306="","",'12 - Device_Configuration'!AG306)</f>
        <v/>
      </c>
      <c r="G305" s="28" t="str">
        <f>IF('12 - Device_Configuration'!AH306="","",'12 - Device_Configuration'!AH306)</f>
        <v/>
      </c>
      <c r="H305" s="28" t="str">
        <f>IF('12 - Device_Configuration'!A306="","",'12 - Device_Configuration'!A306)</f>
        <v/>
      </c>
      <c r="I305" s="28" t="str">
        <f>IF('12 - Device_Configuration'!AI306="","",'12 - Device_Configuration'!AI306)</f>
        <v/>
      </c>
      <c r="J305" s="28" t="str">
        <f>IF('12 - Device_Configuration'!AJ306="","",'12 - Device_Configuration'!AJ306)</f>
        <v/>
      </c>
      <c r="K305" s="28" t="str">
        <f>IF('12 - Device_Configuration'!AA306="","",'12 - Device_Configuration'!AA306)</f>
        <v/>
      </c>
      <c r="L305" s="28" t="str">
        <f>IF('12 - Device_Configuration'!I306="","",'12 - Device_Configuration'!I306)</f>
        <v/>
      </c>
      <c r="M305" s="29"/>
      <c r="N305" s="28" t="str">
        <f>IF('12 - Device_Configuration'!J306="","",'12 - Device_Configuration'!J306)</f>
        <v/>
      </c>
      <c r="O305" s="28" t="str">
        <f>IF('12 - Device_Configuration'!K306="","",'12 - Device_Configuration'!K306)</f>
        <v/>
      </c>
      <c r="P305" s="28" t="str">
        <f>IF('12 - Device_Configuration'!L306="","",'12 - Device_Configuration'!L306)</f>
        <v/>
      </c>
      <c r="Q305" s="29"/>
      <c r="R305" s="28" t="str">
        <f>IF('12 - Device_Configuration'!AY306="","",'12 - Device_Configuration'!AY306)</f>
        <v/>
      </c>
      <c r="S305" s="28" t="str">
        <f>IF('12 - Device_Configuration'!AX306="","",'12 - Device_Configuration'!AX306)</f>
        <v/>
      </c>
      <c r="T305" s="28" t="str">
        <f>IF('12 - Device_Configuration'!AV306="","",'12 - Device_Configuration'!AV306)</f>
        <v/>
      </c>
      <c r="U305" s="28" t="str">
        <f>IF('12 - Device_Configuration'!AW306="","",'12 - Device_Configuration'!AW306)</f>
        <v/>
      </c>
      <c r="V305" s="28" t="str">
        <f>IF('12 - Device_Configuration'!BA306="","",'12 - Device_Configuration'!BA306)</f>
        <v/>
      </c>
      <c r="W305" s="28" t="str">
        <f>IF('12 - Device_Configuration'!BC306="","",'12 - Device_Configuration'!BC306)</f>
        <v/>
      </c>
      <c r="X305" s="28" t="str">
        <f>IF('12 - Device_Configuration'!BK306="","",'12 - Device_Configuration'!BK306)</f>
        <v/>
      </c>
      <c r="Y305" s="28" t="str">
        <f>IF('12 - Device_Configuration'!BB306="","",'12 - Device_Configuration'!BB306)</f>
        <v/>
      </c>
      <c r="Z305" s="28" t="str">
        <f>IF('12 - Device_Configuration'!P306="","",'12 - Device_Configuration'!P306)</f>
        <v/>
      </c>
      <c r="AA305" s="28" t="str">
        <f>IF('12 - Device_Configuration'!Q306="","",'12 - Device_Configuration'!Q306)</f>
        <v/>
      </c>
    </row>
    <row r="306" spans="1:27">
      <c r="A306" s="29"/>
      <c r="B306" s="29"/>
      <c r="C306" s="28" t="str">
        <f>IF('12 - Device_Configuration'!H307="","",'12 - Device_Configuration'!H307)</f>
        <v/>
      </c>
      <c r="D306" s="28" t="str">
        <f>IF('12 - Device_Configuration'!AE307="","",'12 - Device_Configuration'!AE307)</f>
        <v/>
      </c>
      <c r="E306" s="28" t="str">
        <f>IF('12 - Device_Configuration'!AF307="","",'12 - Device_Configuration'!AF307)</f>
        <v/>
      </c>
      <c r="F306" s="28" t="str">
        <f>IF('12 - Device_Configuration'!AG307="","",'12 - Device_Configuration'!AG307)</f>
        <v/>
      </c>
      <c r="G306" s="28" t="str">
        <f>IF('12 - Device_Configuration'!AH307="","",'12 - Device_Configuration'!AH307)</f>
        <v/>
      </c>
      <c r="H306" s="28" t="str">
        <f>IF('12 - Device_Configuration'!A307="","",'12 - Device_Configuration'!A307)</f>
        <v/>
      </c>
      <c r="I306" s="28" t="str">
        <f>IF('12 - Device_Configuration'!AI307="","",'12 - Device_Configuration'!AI307)</f>
        <v/>
      </c>
      <c r="J306" s="28" t="str">
        <f>IF('12 - Device_Configuration'!AJ307="","",'12 - Device_Configuration'!AJ307)</f>
        <v/>
      </c>
      <c r="K306" s="28" t="str">
        <f>IF('12 - Device_Configuration'!AA307="","",'12 - Device_Configuration'!AA307)</f>
        <v/>
      </c>
      <c r="L306" s="28" t="str">
        <f>IF('12 - Device_Configuration'!I307="","",'12 - Device_Configuration'!I307)</f>
        <v/>
      </c>
      <c r="M306" s="29"/>
      <c r="N306" s="28" t="str">
        <f>IF('12 - Device_Configuration'!J307="","",'12 - Device_Configuration'!J307)</f>
        <v/>
      </c>
      <c r="O306" s="28" t="str">
        <f>IF('12 - Device_Configuration'!K307="","",'12 - Device_Configuration'!K307)</f>
        <v/>
      </c>
      <c r="P306" s="28" t="str">
        <f>IF('12 - Device_Configuration'!L307="","",'12 - Device_Configuration'!L307)</f>
        <v/>
      </c>
      <c r="Q306" s="29"/>
      <c r="R306" s="28" t="str">
        <f>IF('12 - Device_Configuration'!AY307="","",'12 - Device_Configuration'!AY307)</f>
        <v/>
      </c>
      <c r="S306" s="28" t="str">
        <f>IF('12 - Device_Configuration'!AX307="","",'12 - Device_Configuration'!AX307)</f>
        <v/>
      </c>
      <c r="T306" s="28" t="str">
        <f>IF('12 - Device_Configuration'!AV307="","",'12 - Device_Configuration'!AV307)</f>
        <v/>
      </c>
      <c r="U306" s="28" t="str">
        <f>IF('12 - Device_Configuration'!AW307="","",'12 - Device_Configuration'!AW307)</f>
        <v/>
      </c>
      <c r="V306" s="28" t="str">
        <f>IF('12 - Device_Configuration'!BA307="","",'12 - Device_Configuration'!BA307)</f>
        <v/>
      </c>
      <c r="W306" s="28" t="str">
        <f>IF('12 - Device_Configuration'!BC307="","",'12 - Device_Configuration'!BC307)</f>
        <v/>
      </c>
      <c r="X306" s="28" t="str">
        <f>IF('12 - Device_Configuration'!BK307="","",'12 - Device_Configuration'!BK307)</f>
        <v/>
      </c>
      <c r="Y306" s="28" t="str">
        <f>IF('12 - Device_Configuration'!BB307="","",'12 - Device_Configuration'!BB307)</f>
        <v/>
      </c>
      <c r="Z306" s="28" t="str">
        <f>IF('12 - Device_Configuration'!P307="","",'12 - Device_Configuration'!P307)</f>
        <v/>
      </c>
      <c r="AA306" s="28" t="str">
        <f>IF('12 - Device_Configuration'!Q307="","",'12 - Device_Configuration'!Q307)</f>
        <v/>
      </c>
    </row>
    <row r="307" spans="1:27">
      <c r="A307" s="29"/>
      <c r="B307" s="29"/>
      <c r="C307" s="28" t="str">
        <f>IF('12 - Device_Configuration'!H308="","",'12 - Device_Configuration'!H308)</f>
        <v/>
      </c>
      <c r="D307" s="28" t="str">
        <f>IF('12 - Device_Configuration'!AE308="","",'12 - Device_Configuration'!AE308)</f>
        <v/>
      </c>
      <c r="E307" s="28" t="str">
        <f>IF('12 - Device_Configuration'!AF308="","",'12 - Device_Configuration'!AF308)</f>
        <v/>
      </c>
      <c r="F307" s="28" t="str">
        <f>IF('12 - Device_Configuration'!AG308="","",'12 - Device_Configuration'!AG308)</f>
        <v/>
      </c>
      <c r="G307" s="28" t="str">
        <f>IF('12 - Device_Configuration'!AH308="","",'12 - Device_Configuration'!AH308)</f>
        <v/>
      </c>
      <c r="H307" s="28" t="str">
        <f>IF('12 - Device_Configuration'!A308="","",'12 - Device_Configuration'!A308)</f>
        <v/>
      </c>
      <c r="I307" s="28" t="str">
        <f>IF('12 - Device_Configuration'!AI308="","",'12 - Device_Configuration'!AI308)</f>
        <v/>
      </c>
      <c r="J307" s="28" t="str">
        <f>IF('12 - Device_Configuration'!AJ308="","",'12 - Device_Configuration'!AJ308)</f>
        <v/>
      </c>
      <c r="K307" s="28" t="str">
        <f>IF('12 - Device_Configuration'!AA308="","",'12 - Device_Configuration'!AA308)</f>
        <v/>
      </c>
      <c r="L307" s="28" t="str">
        <f>IF('12 - Device_Configuration'!I308="","",'12 - Device_Configuration'!I308)</f>
        <v/>
      </c>
      <c r="M307" s="29"/>
      <c r="N307" s="28" t="str">
        <f>IF('12 - Device_Configuration'!J308="","",'12 - Device_Configuration'!J308)</f>
        <v/>
      </c>
      <c r="O307" s="28" t="str">
        <f>IF('12 - Device_Configuration'!K308="","",'12 - Device_Configuration'!K308)</f>
        <v/>
      </c>
      <c r="P307" s="28" t="str">
        <f>IF('12 - Device_Configuration'!L308="","",'12 - Device_Configuration'!L308)</f>
        <v/>
      </c>
      <c r="Q307" s="29"/>
      <c r="R307" s="28" t="str">
        <f>IF('12 - Device_Configuration'!AY308="","",'12 - Device_Configuration'!AY308)</f>
        <v/>
      </c>
      <c r="S307" s="28" t="str">
        <f>IF('12 - Device_Configuration'!AX308="","",'12 - Device_Configuration'!AX308)</f>
        <v/>
      </c>
      <c r="T307" s="28" t="str">
        <f>IF('12 - Device_Configuration'!AV308="","",'12 - Device_Configuration'!AV308)</f>
        <v/>
      </c>
      <c r="U307" s="28" t="str">
        <f>IF('12 - Device_Configuration'!AW308="","",'12 - Device_Configuration'!AW308)</f>
        <v/>
      </c>
      <c r="V307" s="28" t="str">
        <f>IF('12 - Device_Configuration'!BA308="","",'12 - Device_Configuration'!BA308)</f>
        <v/>
      </c>
      <c r="W307" s="28" t="str">
        <f>IF('12 - Device_Configuration'!BC308="","",'12 - Device_Configuration'!BC308)</f>
        <v/>
      </c>
      <c r="X307" s="28" t="str">
        <f>IF('12 - Device_Configuration'!BK308="","",'12 - Device_Configuration'!BK308)</f>
        <v/>
      </c>
      <c r="Y307" s="28" t="str">
        <f>IF('12 - Device_Configuration'!BB308="","",'12 - Device_Configuration'!BB308)</f>
        <v/>
      </c>
      <c r="Z307" s="28" t="str">
        <f>IF('12 - Device_Configuration'!P308="","",'12 - Device_Configuration'!P308)</f>
        <v/>
      </c>
      <c r="AA307" s="28" t="str">
        <f>IF('12 - Device_Configuration'!Q308="","",'12 - Device_Configuration'!Q308)</f>
        <v/>
      </c>
    </row>
    <row r="308" spans="1:27">
      <c r="A308" s="29"/>
      <c r="B308" s="29"/>
      <c r="C308" s="28" t="str">
        <f>IF('12 - Device_Configuration'!H309="","",'12 - Device_Configuration'!H309)</f>
        <v/>
      </c>
      <c r="D308" s="28" t="str">
        <f>IF('12 - Device_Configuration'!AE309="","",'12 - Device_Configuration'!AE309)</f>
        <v/>
      </c>
      <c r="E308" s="28" t="str">
        <f>IF('12 - Device_Configuration'!AF309="","",'12 - Device_Configuration'!AF309)</f>
        <v/>
      </c>
      <c r="F308" s="28" t="str">
        <f>IF('12 - Device_Configuration'!AG309="","",'12 - Device_Configuration'!AG309)</f>
        <v/>
      </c>
      <c r="G308" s="28" t="str">
        <f>IF('12 - Device_Configuration'!AH309="","",'12 - Device_Configuration'!AH309)</f>
        <v/>
      </c>
      <c r="H308" s="28" t="str">
        <f>IF('12 - Device_Configuration'!A309="","",'12 - Device_Configuration'!A309)</f>
        <v/>
      </c>
      <c r="I308" s="28" t="str">
        <f>IF('12 - Device_Configuration'!AI309="","",'12 - Device_Configuration'!AI309)</f>
        <v/>
      </c>
      <c r="J308" s="28" t="str">
        <f>IF('12 - Device_Configuration'!AJ309="","",'12 - Device_Configuration'!AJ309)</f>
        <v/>
      </c>
      <c r="K308" s="28" t="str">
        <f>IF('12 - Device_Configuration'!AA309="","",'12 - Device_Configuration'!AA309)</f>
        <v/>
      </c>
      <c r="L308" s="28" t="str">
        <f>IF('12 - Device_Configuration'!I309="","",'12 - Device_Configuration'!I309)</f>
        <v/>
      </c>
      <c r="M308" s="29"/>
      <c r="N308" s="28" t="str">
        <f>IF('12 - Device_Configuration'!J309="","",'12 - Device_Configuration'!J309)</f>
        <v/>
      </c>
      <c r="O308" s="28" t="str">
        <f>IF('12 - Device_Configuration'!K309="","",'12 - Device_Configuration'!K309)</f>
        <v/>
      </c>
      <c r="P308" s="28" t="str">
        <f>IF('12 - Device_Configuration'!L309="","",'12 - Device_Configuration'!L309)</f>
        <v/>
      </c>
      <c r="Q308" s="29"/>
      <c r="R308" s="28" t="str">
        <f>IF('12 - Device_Configuration'!AY309="","",'12 - Device_Configuration'!AY309)</f>
        <v/>
      </c>
      <c r="S308" s="28" t="str">
        <f>IF('12 - Device_Configuration'!AX309="","",'12 - Device_Configuration'!AX309)</f>
        <v/>
      </c>
      <c r="T308" s="28" t="str">
        <f>IF('12 - Device_Configuration'!AV309="","",'12 - Device_Configuration'!AV309)</f>
        <v/>
      </c>
      <c r="U308" s="28" t="str">
        <f>IF('12 - Device_Configuration'!AW309="","",'12 - Device_Configuration'!AW309)</f>
        <v/>
      </c>
      <c r="V308" s="28" t="str">
        <f>IF('12 - Device_Configuration'!BA309="","",'12 - Device_Configuration'!BA309)</f>
        <v/>
      </c>
      <c r="W308" s="28" t="str">
        <f>IF('12 - Device_Configuration'!BC309="","",'12 - Device_Configuration'!BC309)</f>
        <v/>
      </c>
      <c r="X308" s="28" t="str">
        <f>IF('12 - Device_Configuration'!BK309="","",'12 - Device_Configuration'!BK309)</f>
        <v/>
      </c>
      <c r="Y308" s="28" t="str">
        <f>IF('12 - Device_Configuration'!BB309="","",'12 - Device_Configuration'!BB309)</f>
        <v/>
      </c>
      <c r="Z308" s="28" t="str">
        <f>IF('12 - Device_Configuration'!P309="","",'12 - Device_Configuration'!P309)</f>
        <v/>
      </c>
      <c r="AA308" s="28" t="str">
        <f>IF('12 - Device_Configuration'!Q309="","",'12 - Device_Configuration'!Q309)</f>
        <v/>
      </c>
    </row>
    <row r="309" spans="1:27">
      <c r="A309" s="29"/>
      <c r="B309" s="29"/>
      <c r="C309" s="28" t="str">
        <f>IF('12 - Device_Configuration'!H310="","",'12 - Device_Configuration'!H310)</f>
        <v/>
      </c>
      <c r="D309" s="28" t="str">
        <f>IF('12 - Device_Configuration'!AE310="","",'12 - Device_Configuration'!AE310)</f>
        <v/>
      </c>
      <c r="E309" s="28" t="str">
        <f>IF('12 - Device_Configuration'!AF310="","",'12 - Device_Configuration'!AF310)</f>
        <v/>
      </c>
      <c r="F309" s="28" t="str">
        <f>IF('12 - Device_Configuration'!AG310="","",'12 - Device_Configuration'!AG310)</f>
        <v/>
      </c>
      <c r="G309" s="28" t="str">
        <f>IF('12 - Device_Configuration'!AH310="","",'12 - Device_Configuration'!AH310)</f>
        <v/>
      </c>
      <c r="H309" s="28" t="str">
        <f>IF('12 - Device_Configuration'!A310="","",'12 - Device_Configuration'!A310)</f>
        <v/>
      </c>
      <c r="I309" s="28" t="str">
        <f>IF('12 - Device_Configuration'!AI310="","",'12 - Device_Configuration'!AI310)</f>
        <v/>
      </c>
      <c r="J309" s="28" t="str">
        <f>IF('12 - Device_Configuration'!AJ310="","",'12 - Device_Configuration'!AJ310)</f>
        <v/>
      </c>
      <c r="K309" s="28" t="str">
        <f>IF('12 - Device_Configuration'!AA310="","",'12 - Device_Configuration'!AA310)</f>
        <v/>
      </c>
      <c r="L309" s="28" t="str">
        <f>IF('12 - Device_Configuration'!I310="","",'12 - Device_Configuration'!I310)</f>
        <v/>
      </c>
      <c r="M309" s="29"/>
      <c r="N309" s="28" t="str">
        <f>IF('12 - Device_Configuration'!J310="","",'12 - Device_Configuration'!J310)</f>
        <v/>
      </c>
      <c r="O309" s="28" t="str">
        <f>IF('12 - Device_Configuration'!K310="","",'12 - Device_Configuration'!K310)</f>
        <v/>
      </c>
      <c r="P309" s="28" t="str">
        <f>IF('12 - Device_Configuration'!L310="","",'12 - Device_Configuration'!L310)</f>
        <v/>
      </c>
      <c r="Q309" s="29"/>
      <c r="R309" s="28" t="str">
        <f>IF('12 - Device_Configuration'!AY310="","",'12 - Device_Configuration'!AY310)</f>
        <v/>
      </c>
      <c r="S309" s="28" t="str">
        <f>IF('12 - Device_Configuration'!AX310="","",'12 - Device_Configuration'!AX310)</f>
        <v/>
      </c>
      <c r="T309" s="28" t="str">
        <f>IF('12 - Device_Configuration'!AV310="","",'12 - Device_Configuration'!AV310)</f>
        <v/>
      </c>
      <c r="U309" s="28" t="str">
        <f>IF('12 - Device_Configuration'!AW310="","",'12 - Device_Configuration'!AW310)</f>
        <v/>
      </c>
      <c r="V309" s="28" t="str">
        <f>IF('12 - Device_Configuration'!BA310="","",'12 - Device_Configuration'!BA310)</f>
        <v/>
      </c>
      <c r="W309" s="28" t="str">
        <f>IF('12 - Device_Configuration'!BC310="","",'12 - Device_Configuration'!BC310)</f>
        <v/>
      </c>
      <c r="X309" s="28" t="str">
        <f>IF('12 - Device_Configuration'!BK310="","",'12 - Device_Configuration'!BK310)</f>
        <v/>
      </c>
      <c r="Y309" s="28" t="str">
        <f>IF('12 - Device_Configuration'!BB310="","",'12 - Device_Configuration'!BB310)</f>
        <v/>
      </c>
      <c r="Z309" s="28" t="str">
        <f>IF('12 - Device_Configuration'!P310="","",'12 - Device_Configuration'!P310)</f>
        <v/>
      </c>
      <c r="AA309" s="28" t="str">
        <f>IF('12 - Device_Configuration'!Q310="","",'12 - Device_Configuration'!Q310)</f>
        <v/>
      </c>
    </row>
    <row r="310" spans="1:27">
      <c r="A310" s="29"/>
      <c r="B310" s="29"/>
      <c r="C310" s="28" t="str">
        <f>IF('12 - Device_Configuration'!H311="","",'12 - Device_Configuration'!H311)</f>
        <v/>
      </c>
      <c r="D310" s="28" t="str">
        <f>IF('12 - Device_Configuration'!AE311="","",'12 - Device_Configuration'!AE311)</f>
        <v/>
      </c>
      <c r="E310" s="28" t="str">
        <f>IF('12 - Device_Configuration'!AF311="","",'12 - Device_Configuration'!AF311)</f>
        <v/>
      </c>
      <c r="F310" s="28" t="str">
        <f>IF('12 - Device_Configuration'!AG311="","",'12 - Device_Configuration'!AG311)</f>
        <v/>
      </c>
      <c r="G310" s="28" t="str">
        <f>IF('12 - Device_Configuration'!AH311="","",'12 - Device_Configuration'!AH311)</f>
        <v/>
      </c>
      <c r="H310" s="28" t="str">
        <f>IF('12 - Device_Configuration'!A311="","",'12 - Device_Configuration'!A311)</f>
        <v/>
      </c>
      <c r="I310" s="28" t="str">
        <f>IF('12 - Device_Configuration'!AI311="","",'12 - Device_Configuration'!AI311)</f>
        <v/>
      </c>
      <c r="J310" s="28" t="str">
        <f>IF('12 - Device_Configuration'!AJ311="","",'12 - Device_Configuration'!AJ311)</f>
        <v/>
      </c>
      <c r="K310" s="28" t="str">
        <f>IF('12 - Device_Configuration'!AA311="","",'12 - Device_Configuration'!AA311)</f>
        <v/>
      </c>
      <c r="L310" s="28" t="str">
        <f>IF('12 - Device_Configuration'!I311="","",'12 - Device_Configuration'!I311)</f>
        <v/>
      </c>
      <c r="M310" s="29"/>
      <c r="N310" s="28" t="str">
        <f>IF('12 - Device_Configuration'!J311="","",'12 - Device_Configuration'!J311)</f>
        <v/>
      </c>
      <c r="O310" s="28" t="str">
        <f>IF('12 - Device_Configuration'!K311="","",'12 - Device_Configuration'!K311)</f>
        <v/>
      </c>
      <c r="P310" s="28" t="str">
        <f>IF('12 - Device_Configuration'!L311="","",'12 - Device_Configuration'!L311)</f>
        <v/>
      </c>
      <c r="Q310" s="29"/>
      <c r="R310" s="28" t="str">
        <f>IF('12 - Device_Configuration'!AY311="","",'12 - Device_Configuration'!AY311)</f>
        <v/>
      </c>
      <c r="S310" s="28" t="str">
        <f>IF('12 - Device_Configuration'!AX311="","",'12 - Device_Configuration'!AX311)</f>
        <v/>
      </c>
      <c r="T310" s="28" t="str">
        <f>IF('12 - Device_Configuration'!AV311="","",'12 - Device_Configuration'!AV311)</f>
        <v/>
      </c>
      <c r="U310" s="28" t="str">
        <f>IF('12 - Device_Configuration'!AW311="","",'12 - Device_Configuration'!AW311)</f>
        <v/>
      </c>
      <c r="V310" s="28" t="str">
        <f>IF('12 - Device_Configuration'!BA311="","",'12 - Device_Configuration'!BA311)</f>
        <v/>
      </c>
      <c r="W310" s="28" t="str">
        <f>IF('12 - Device_Configuration'!BC311="","",'12 - Device_Configuration'!BC311)</f>
        <v/>
      </c>
      <c r="X310" s="28" t="str">
        <f>IF('12 - Device_Configuration'!BK311="","",'12 - Device_Configuration'!BK311)</f>
        <v/>
      </c>
      <c r="Y310" s="28" t="str">
        <f>IF('12 - Device_Configuration'!BB311="","",'12 - Device_Configuration'!BB311)</f>
        <v/>
      </c>
      <c r="Z310" s="28" t="str">
        <f>IF('12 - Device_Configuration'!P311="","",'12 - Device_Configuration'!P311)</f>
        <v/>
      </c>
      <c r="AA310" s="28" t="str">
        <f>IF('12 - Device_Configuration'!Q311="","",'12 - Device_Configuration'!Q311)</f>
        <v/>
      </c>
    </row>
    <row r="311" spans="1:27">
      <c r="A311" s="29"/>
      <c r="B311" s="29"/>
      <c r="C311" s="28" t="str">
        <f>IF('12 - Device_Configuration'!H312="","",'12 - Device_Configuration'!H312)</f>
        <v/>
      </c>
      <c r="D311" s="28" t="str">
        <f>IF('12 - Device_Configuration'!AE312="","",'12 - Device_Configuration'!AE312)</f>
        <v/>
      </c>
      <c r="E311" s="28" t="str">
        <f>IF('12 - Device_Configuration'!AF312="","",'12 - Device_Configuration'!AF312)</f>
        <v/>
      </c>
      <c r="F311" s="28" t="str">
        <f>IF('12 - Device_Configuration'!AG312="","",'12 - Device_Configuration'!AG312)</f>
        <v/>
      </c>
      <c r="G311" s="28" t="str">
        <f>IF('12 - Device_Configuration'!AH312="","",'12 - Device_Configuration'!AH312)</f>
        <v/>
      </c>
      <c r="H311" s="28" t="str">
        <f>IF('12 - Device_Configuration'!A312="","",'12 - Device_Configuration'!A312)</f>
        <v/>
      </c>
      <c r="I311" s="28" t="str">
        <f>IF('12 - Device_Configuration'!AI312="","",'12 - Device_Configuration'!AI312)</f>
        <v/>
      </c>
      <c r="J311" s="28" t="str">
        <f>IF('12 - Device_Configuration'!AJ312="","",'12 - Device_Configuration'!AJ312)</f>
        <v/>
      </c>
      <c r="K311" s="28" t="str">
        <f>IF('12 - Device_Configuration'!AA312="","",'12 - Device_Configuration'!AA312)</f>
        <v/>
      </c>
      <c r="L311" s="28" t="str">
        <f>IF('12 - Device_Configuration'!I312="","",'12 - Device_Configuration'!I312)</f>
        <v/>
      </c>
      <c r="M311" s="29"/>
      <c r="N311" s="28" t="str">
        <f>IF('12 - Device_Configuration'!J312="","",'12 - Device_Configuration'!J312)</f>
        <v/>
      </c>
      <c r="O311" s="28" t="str">
        <f>IF('12 - Device_Configuration'!K312="","",'12 - Device_Configuration'!K312)</f>
        <v/>
      </c>
      <c r="P311" s="28" t="str">
        <f>IF('12 - Device_Configuration'!L312="","",'12 - Device_Configuration'!L312)</f>
        <v/>
      </c>
      <c r="Q311" s="29"/>
      <c r="R311" s="28" t="str">
        <f>IF('12 - Device_Configuration'!AY312="","",'12 - Device_Configuration'!AY312)</f>
        <v/>
      </c>
      <c r="S311" s="28" t="str">
        <f>IF('12 - Device_Configuration'!AX312="","",'12 - Device_Configuration'!AX312)</f>
        <v/>
      </c>
      <c r="T311" s="28" t="str">
        <f>IF('12 - Device_Configuration'!AV312="","",'12 - Device_Configuration'!AV312)</f>
        <v/>
      </c>
      <c r="U311" s="28" t="str">
        <f>IF('12 - Device_Configuration'!AW312="","",'12 - Device_Configuration'!AW312)</f>
        <v/>
      </c>
      <c r="V311" s="28" t="str">
        <f>IF('12 - Device_Configuration'!BA312="","",'12 - Device_Configuration'!BA312)</f>
        <v/>
      </c>
      <c r="W311" s="28" t="str">
        <f>IF('12 - Device_Configuration'!BC312="","",'12 - Device_Configuration'!BC312)</f>
        <v/>
      </c>
      <c r="X311" s="28" t="str">
        <f>IF('12 - Device_Configuration'!BK312="","",'12 - Device_Configuration'!BK312)</f>
        <v/>
      </c>
      <c r="Y311" s="28" t="str">
        <f>IF('12 - Device_Configuration'!BB312="","",'12 - Device_Configuration'!BB312)</f>
        <v/>
      </c>
      <c r="Z311" s="28" t="str">
        <f>IF('12 - Device_Configuration'!P312="","",'12 - Device_Configuration'!P312)</f>
        <v/>
      </c>
      <c r="AA311" s="28" t="str">
        <f>IF('12 - Device_Configuration'!Q312="","",'12 - Device_Configuration'!Q312)</f>
        <v/>
      </c>
    </row>
    <row r="312" spans="1:27">
      <c r="A312" s="29"/>
      <c r="B312" s="29"/>
      <c r="C312" s="28" t="str">
        <f>IF('12 - Device_Configuration'!H313="","",'12 - Device_Configuration'!H313)</f>
        <v/>
      </c>
      <c r="D312" s="28" t="str">
        <f>IF('12 - Device_Configuration'!AE313="","",'12 - Device_Configuration'!AE313)</f>
        <v/>
      </c>
      <c r="E312" s="28" t="str">
        <f>IF('12 - Device_Configuration'!AF313="","",'12 - Device_Configuration'!AF313)</f>
        <v/>
      </c>
      <c r="F312" s="28" t="str">
        <f>IF('12 - Device_Configuration'!AG313="","",'12 - Device_Configuration'!AG313)</f>
        <v/>
      </c>
      <c r="G312" s="28" t="str">
        <f>IF('12 - Device_Configuration'!AH313="","",'12 - Device_Configuration'!AH313)</f>
        <v/>
      </c>
      <c r="H312" s="28" t="str">
        <f>IF('12 - Device_Configuration'!A313="","",'12 - Device_Configuration'!A313)</f>
        <v/>
      </c>
      <c r="I312" s="28" t="str">
        <f>IF('12 - Device_Configuration'!AI313="","",'12 - Device_Configuration'!AI313)</f>
        <v/>
      </c>
      <c r="J312" s="28" t="str">
        <f>IF('12 - Device_Configuration'!AJ313="","",'12 - Device_Configuration'!AJ313)</f>
        <v/>
      </c>
      <c r="K312" s="28" t="str">
        <f>IF('12 - Device_Configuration'!AA313="","",'12 - Device_Configuration'!AA313)</f>
        <v/>
      </c>
      <c r="L312" s="28" t="str">
        <f>IF('12 - Device_Configuration'!I313="","",'12 - Device_Configuration'!I313)</f>
        <v/>
      </c>
      <c r="M312" s="29"/>
      <c r="N312" s="28" t="str">
        <f>IF('12 - Device_Configuration'!J313="","",'12 - Device_Configuration'!J313)</f>
        <v/>
      </c>
      <c r="O312" s="28" t="str">
        <f>IF('12 - Device_Configuration'!K313="","",'12 - Device_Configuration'!K313)</f>
        <v/>
      </c>
      <c r="P312" s="28" t="str">
        <f>IF('12 - Device_Configuration'!L313="","",'12 - Device_Configuration'!L313)</f>
        <v/>
      </c>
      <c r="Q312" s="29"/>
      <c r="R312" s="28" t="str">
        <f>IF('12 - Device_Configuration'!AY313="","",'12 - Device_Configuration'!AY313)</f>
        <v/>
      </c>
      <c r="S312" s="28" t="str">
        <f>IF('12 - Device_Configuration'!AX313="","",'12 - Device_Configuration'!AX313)</f>
        <v/>
      </c>
      <c r="T312" s="28" t="str">
        <f>IF('12 - Device_Configuration'!AV313="","",'12 - Device_Configuration'!AV313)</f>
        <v/>
      </c>
      <c r="U312" s="28" t="str">
        <f>IF('12 - Device_Configuration'!AW313="","",'12 - Device_Configuration'!AW313)</f>
        <v/>
      </c>
      <c r="V312" s="28" t="str">
        <f>IF('12 - Device_Configuration'!BA313="","",'12 - Device_Configuration'!BA313)</f>
        <v/>
      </c>
      <c r="W312" s="28" t="str">
        <f>IF('12 - Device_Configuration'!BC313="","",'12 - Device_Configuration'!BC313)</f>
        <v/>
      </c>
      <c r="X312" s="28" t="str">
        <f>IF('12 - Device_Configuration'!BK313="","",'12 - Device_Configuration'!BK313)</f>
        <v/>
      </c>
      <c r="Y312" s="28" t="str">
        <f>IF('12 - Device_Configuration'!BB313="","",'12 - Device_Configuration'!BB313)</f>
        <v/>
      </c>
      <c r="Z312" s="28" t="str">
        <f>IF('12 - Device_Configuration'!P313="","",'12 - Device_Configuration'!P313)</f>
        <v/>
      </c>
      <c r="AA312" s="28" t="str">
        <f>IF('12 - Device_Configuration'!Q313="","",'12 - Device_Configuration'!Q313)</f>
        <v/>
      </c>
    </row>
    <row r="313" spans="1:27">
      <c r="A313" s="29"/>
      <c r="B313" s="29"/>
      <c r="C313" s="28" t="str">
        <f>IF('12 - Device_Configuration'!H314="","",'12 - Device_Configuration'!H314)</f>
        <v/>
      </c>
      <c r="D313" s="28" t="str">
        <f>IF('12 - Device_Configuration'!AE314="","",'12 - Device_Configuration'!AE314)</f>
        <v/>
      </c>
      <c r="E313" s="28" t="str">
        <f>IF('12 - Device_Configuration'!AF314="","",'12 - Device_Configuration'!AF314)</f>
        <v/>
      </c>
      <c r="F313" s="28" t="str">
        <f>IF('12 - Device_Configuration'!AG314="","",'12 - Device_Configuration'!AG314)</f>
        <v/>
      </c>
      <c r="G313" s="28" t="str">
        <f>IF('12 - Device_Configuration'!AH314="","",'12 - Device_Configuration'!AH314)</f>
        <v/>
      </c>
      <c r="H313" s="28" t="str">
        <f>IF('12 - Device_Configuration'!A314="","",'12 - Device_Configuration'!A314)</f>
        <v/>
      </c>
      <c r="I313" s="28" t="str">
        <f>IF('12 - Device_Configuration'!AI314="","",'12 - Device_Configuration'!AI314)</f>
        <v/>
      </c>
      <c r="J313" s="28" t="str">
        <f>IF('12 - Device_Configuration'!AJ314="","",'12 - Device_Configuration'!AJ314)</f>
        <v/>
      </c>
      <c r="K313" s="28" t="str">
        <f>IF('12 - Device_Configuration'!AA314="","",'12 - Device_Configuration'!AA314)</f>
        <v/>
      </c>
      <c r="L313" s="28" t="str">
        <f>IF('12 - Device_Configuration'!I314="","",'12 - Device_Configuration'!I314)</f>
        <v/>
      </c>
      <c r="M313" s="29"/>
      <c r="N313" s="28" t="str">
        <f>IF('12 - Device_Configuration'!J314="","",'12 - Device_Configuration'!J314)</f>
        <v/>
      </c>
      <c r="O313" s="28" t="str">
        <f>IF('12 - Device_Configuration'!K314="","",'12 - Device_Configuration'!K314)</f>
        <v/>
      </c>
      <c r="P313" s="28" t="str">
        <f>IF('12 - Device_Configuration'!L314="","",'12 - Device_Configuration'!L314)</f>
        <v/>
      </c>
      <c r="Q313" s="29"/>
      <c r="R313" s="28" t="str">
        <f>IF('12 - Device_Configuration'!AY314="","",'12 - Device_Configuration'!AY314)</f>
        <v/>
      </c>
      <c r="S313" s="28" t="str">
        <f>IF('12 - Device_Configuration'!AX314="","",'12 - Device_Configuration'!AX314)</f>
        <v/>
      </c>
      <c r="T313" s="28" t="str">
        <f>IF('12 - Device_Configuration'!AV314="","",'12 - Device_Configuration'!AV314)</f>
        <v/>
      </c>
      <c r="U313" s="28" t="str">
        <f>IF('12 - Device_Configuration'!AW314="","",'12 - Device_Configuration'!AW314)</f>
        <v/>
      </c>
      <c r="V313" s="28" t="str">
        <f>IF('12 - Device_Configuration'!BA314="","",'12 - Device_Configuration'!BA314)</f>
        <v/>
      </c>
      <c r="W313" s="28" t="str">
        <f>IF('12 - Device_Configuration'!BC314="","",'12 - Device_Configuration'!BC314)</f>
        <v/>
      </c>
      <c r="X313" s="28" t="str">
        <f>IF('12 - Device_Configuration'!BK314="","",'12 - Device_Configuration'!BK314)</f>
        <v/>
      </c>
      <c r="Y313" s="28" t="str">
        <f>IF('12 - Device_Configuration'!BB314="","",'12 - Device_Configuration'!BB314)</f>
        <v/>
      </c>
      <c r="Z313" s="28" t="str">
        <f>IF('12 - Device_Configuration'!P314="","",'12 - Device_Configuration'!P314)</f>
        <v/>
      </c>
      <c r="AA313" s="28" t="str">
        <f>IF('12 - Device_Configuration'!Q314="","",'12 - Device_Configuration'!Q314)</f>
        <v/>
      </c>
    </row>
    <row r="314" spans="1:27">
      <c r="A314" s="29"/>
      <c r="B314" s="29"/>
      <c r="C314" s="28" t="str">
        <f>IF('12 - Device_Configuration'!H315="","",'12 - Device_Configuration'!H315)</f>
        <v/>
      </c>
      <c r="D314" s="28" t="str">
        <f>IF('12 - Device_Configuration'!AE315="","",'12 - Device_Configuration'!AE315)</f>
        <v/>
      </c>
      <c r="E314" s="28" t="str">
        <f>IF('12 - Device_Configuration'!AF315="","",'12 - Device_Configuration'!AF315)</f>
        <v/>
      </c>
      <c r="F314" s="28" t="str">
        <f>IF('12 - Device_Configuration'!AG315="","",'12 - Device_Configuration'!AG315)</f>
        <v/>
      </c>
      <c r="G314" s="28" t="str">
        <f>IF('12 - Device_Configuration'!AH315="","",'12 - Device_Configuration'!AH315)</f>
        <v/>
      </c>
      <c r="H314" s="28" t="str">
        <f>IF('12 - Device_Configuration'!A315="","",'12 - Device_Configuration'!A315)</f>
        <v/>
      </c>
      <c r="I314" s="28" t="str">
        <f>IF('12 - Device_Configuration'!AI315="","",'12 - Device_Configuration'!AI315)</f>
        <v/>
      </c>
      <c r="J314" s="28" t="str">
        <f>IF('12 - Device_Configuration'!AJ315="","",'12 - Device_Configuration'!AJ315)</f>
        <v/>
      </c>
      <c r="K314" s="28" t="str">
        <f>IF('12 - Device_Configuration'!AA315="","",'12 - Device_Configuration'!AA315)</f>
        <v/>
      </c>
      <c r="L314" s="28" t="str">
        <f>IF('12 - Device_Configuration'!I315="","",'12 - Device_Configuration'!I315)</f>
        <v/>
      </c>
      <c r="M314" s="29"/>
      <c r="N314" s="28" t="str">
        <f>IF('12 - Device_Configuration'!J315="","",'12 - Device_Configuration'!J315)</f>
        <v/>
      </c>
      <c r="O314" s="28" t="str">
        <f>IF('12 - Device_Configuration'!K315="","",'12 - Device_Configuration'!K315)</f>
        <v/>
      </c>
      <c r="P314" s="28" t="str">
        <f>IF('12 - Device_Configuration'!L315="","",'12 - Device_Configuration'!L315)</f>
        <v/>
      </c>
      <c r="Q314" s="29"/>
      <c r="R314" s="28" t="str">
        <f>IF('12 - Device_Configuration'!AY315="","",'12 - Device_Configuration'!AY315)</f>
        <v/>
      </c>
      <c r="S314" s="28" t="str">
        <f>IF('12 - Device_Configuration'!AX315="","",'12 - Device_Configuration'!AX315)</f>
        <v/>
      </c>
      <c r="T314" s="28" t="str">
        <f>IF('12 - Device_Configuration'!AV315="","",'12 - Device_Configuration'!AV315)</f>
        <v/>
      </c>
      <c r="U314" s="28" t="str">
        <f>IF('12 - Device_Configuration'!AW315="","",'12 - Device_Configuration'!AW315)</f>
        <v/>
      </c>
      <c r="V314" s="28" t="str">
        <f>IF('12 - Device_Configuration'!BA315="","",'12 - Device_Configuration'!BA315)</f>
        <v/>
      </c>
      <c r="W314" s="28" t="str">
        <f>IF('12 - Device_Configuration'!BC315="","",'12 - Device_Configuration'!BC315)</f>
        <v/>
      </c>
      <c r="X314" s="28" t="str">
        <f>IF('12 - Device_Configuration'!BK315="","",'12 - Device_Configuration'!BK315)</f>
        <v/>
      </c>
      <c r="Y314" s="28" t="str">
        <f>IF('12 - Device_Configuration'!BB315="","",'12 - Device_Configuration'!BB315)</f>
        <v/>
      </c>
      <c r="Z314" s="28" t="str">
        <f>IF('12 - Device_Configuration'!P315="","",'12 - Device_Configuration'!P315)</f>
        <v/>
      </c>
      <c r="AA314" s="28" t="str">
        <f>IF('12 - Device_Configuration'!Q315="","",'12 - Device_Configuration'!Q315)</f>
        <v/>
      </c>
    </row>
    <row r="315" spans="1:27">
      <c r="A315" s="29"/>
      <c r="B315" s="29"/>
      <c r="C315" s="28" t="str">
        <f>IF('12 - Device_Configuration'!H316="","",'12 - Device_Configuration'!H316)</f>
        <v/>
      </c>
      <c r="D315" s="28" t="str">
        <f>IF('12 - Device_Configuration'!AE316="","",'12 - Device_Configuration'!AE316)</f>
        <v/>
      </c>
      <c r="E315" s="28" t="str">
        <f>IF('12 - Device_Configuration'!AF316="","",'12 - Device_Configuration'!AF316)</f>
        <v/>
      </c>
      <c r="F315" s="28" t="str">
        <f>IF('12 - Device_Configuration'!AG316="","",'12 - Device_Configuration'!AG316)</f>
        <v/>
      </c>
      <c r="G315" s="28" t="str">
        <f>IF('12 - Device_Configuration'!AH316="","",'12 - Device_Configuration'!AH316)</f>
        <v/>
      </c>
      <c r="H315" s="28" t="str">
        <f>IF('12 - Device_Configuration'!A316="","",'12 - Device_Configuration'!A316)</f>
        <v/>
      </c>
      <c r="I315" s="28" t="str">
        <f>IF('12 - Device_Configuration'!AI316="","",'12 - Device_Configuration'!AI316)</f>
        <v/>
      </c>
      <c r="J315" s="28" t="str">
        <f>IF('12 - Device_Configuration'!AJ316="","",'12 - Device_Configuration'!AJ316)</f>
        <v/>
      </c>
      <c r="K315" s="28" t="str">
        <f>IF('12 - Device_Configuration'!AA316="","",'12 - Device_Configuration'!AA316)</f>
        <v/>
      </c>
      <c r="L315" s="28" t="str">
        <f>IF('12 - Device_Configuration'!I316="","",'12 - Device_Configuration'!I316)</f>
        <v/>
      </c>
      <c r="M315" s="29"/>
      <c r="N315" s="28" t="str">
        <f>IF('12 - Device_Configuration'!J316="","",'12 - Device_Configuration'!J316)</f>
        <v/>
      </c>
      <c r="O315" s="28" t="str">
        <f>IF('12 - Device_Configuration'!K316="","",'12 - Device_Configuration'!K316)</f>
        <v/>
      </c>
      <c r="P315" s="28" t="str">
        <f>IF('12 - Device_Configuration'!L316="","",'12 - Device_Configuration'!L316)</f>
        <v/>
      </c>
      <c r="Q315" s="29"/>
      <c r="R315" s="28" t="str">
        <f>IF('12 - Device_Configuration'!AY316="","",'12 - Device_Configuration'!AY316)</f>
        <v/>
      </c>
      <c r="S315" s="28" t="str">
        <f>IF('12 - Device_Configuration'!AX316="","",'12 - Device_Configuration'!AX316)</f>
        <v/>
      </c>
      <c r="T315" s="28" t="str">
        <f>IF('12 - Device_Configuration'!AV316="","",'12 - Device_Configuration'!AV316)</f>
        <v/>
      </c>
      <c r="U315" s="28" t="str">
        <f>IF('12 - Device_Configuration'!AW316="","",'12 - Device_Configuration'!AW316)</f>
        <v/>
      </c>
      <c r="V315" s="28" t="str">
        <f>IF('12 - Device_Configuration'!BA316="","",'12 - Device_Configuration'!BA316)</f>
        <v/>
      </c>
      <c r="W315" s="28" t="str">
        <f>IF('12 - Device_Configuration'!BC316="","",'12 - Device_Configuration'!BC316)</f>
        <v/>
      </c>
      <c r="X315" s="28" t="str">
        <f>IF('12 - Device_Configuration'!BK316="","",'12 - Device_Configuration'!BK316)</f>
        <v/>
      </c>
      <c r="Y315" s="28" t="str">
        <f>IF('12 - Device_Configuration'!BB316="","",'12 - Device_Configuration'!BB316)</f>
        <v/>
      </c>
      <c r="Z315" s="28" t="str">
        <f>IF('12 - Device_Configuration'!P316="","",'12 - Device_Configuration'!P316)</f>
        <v/>
      </c>
      <c r="AA315" s="28" t="str">
        <f>IF('12 - Device_Configuration'!Q316="","",'12 - Device_Configuration'!Q316)</f>
        <v/>
      </c>
    </row>
    <row r="316" spans="1:27">
      <c r="A316" s="29"/>
      <c r="B316" s="29"/>
      <c r="C316" s="28" t="str">
        <f>IF('12 - Device_Configuration'!H317="","",'12 - Device_Configuration'!H317)</f>
        <v/>
      </c>
      <c r="D316" s="28" t="str">
        <f>IF('12 - Device_Configuration'!AE317="","",'12 - Device_Configuration'!AE317)</f>
        <v/>
      </c>
      <c r="E316" s="28" t="str">
        <f>IF('12 - Device_Configuration'!AF317="","",'12 - Device_Configuration'!AF317)</f>
        <v/>
      </c>
      <c r="F316" s="28" t="str">
        <f>IF('12 - Device_Configuration'!AG317="","",'12 - Device_Configuration'!AG317)</f>
        <v/>
      </c>
      <c r="G316" s="28" t="str">
        <f>IF('12 - Device_Configuration'!AH317="","",'12 - Device_Configuration'!AH317)</f>
        <v/>
      </c>
      <c r="H316" s="28" t="str">
        <f>IF('12 - Device_Configuration'!A317="","",'12 - Device_Configuration'!A317)</f>
        <v/>
      </c>
      <c r="I316" s="28" t="str">
        <f>IF('12 - Device_Configuration'!AI317="","",'12 - Device_Configuration'!AI317)</f>
        <v/>
      </c>
      <c r="J316" s="28" t="str">
        <f>IF('12 - Device_Configuration'!AJ317="","",'12 - Device_Configuration'!AJ317)</f>
        <v/>
      </c>
      <c r="K316" s="28" t="str">
        <f>IF('12 - Device_Configuration'!AA317="","",'12 - Device_Configuration'!AA317)</f>
        <v/>
      </c>
      <c r="L316" s="28" t="str">
        <f>IF('12 - Device_Configuration'!I317="","",'12 - Device_Configuration'!I317)</f>
        <v/>
      </c>
      <c r="M316" s="29"/>
      <c r="N316" s="28" t="str">
        <f>IF('12 - Device_Configuration'!J317="","",'12 - Device_Configuration'!J317)</f>
        <v/>
      </c>
      <c r="O316" s="28" t="str">
        <f>IF('12 - Device_Configuration'!K317="","",'12 - Device_Configuration'!K317)</f>
        <v/>
      </c>
      <c r="P316" s="28" t="str">
        <f>IF('12 - Device_Configuration'!L317="","",'12 - Device_Configuration'!L317)</f>
        <v/>
      </c>
      <c r="Q316" s="29"/>
      <c r="R316" s="28" t="str">
        <f>IF('12 - Device_Configuration'!AY317="","",'12 - Device_Configuration'!AY317)</f>
        <v/>
      </c>
      <c r="S316" s="28" t="str">
        <f>IF('12 - Device_Configuration'!AX317="","",'12 - Device_Configuration'!AX317)</f>
        <v/>
      </c>
      <c r="T316" s="28" t="str">
        <f>IF('12 - Device_Configuration'!AV317="","",'12 - Device_Configuration'!AV317)</f>
        <v/>
      </c>
      <c r="U316" s="28" t="str">
        <f>IF('12 - Device_Configuration'!AW317="","",'12 - Device_Configuration'!AW317)</f>
        <v/>
      </c>
      <c r="V316" s="28" t="str">
        <f>IF('12 - Device_Configuration'!BA317="","",'12 - Device_Configuration'!BA317)</f>
        <v/>
      </c>
      <c r="W316" s="28" t="str">
        <f>IF('12 - Device_Configuration'!BC317="","",'12 - Device_Configuration'!BC317)</f>
        <v/>
      </c>
      <c r="X316" s="28" t="str">
        <f>IF('12 - Device_Configuration'!BK317="","",'12 - Device_Configuration'!BK317)</f>
        <v/>
      </c>
      <c r="Y316" s="28" t="str">
        <f>IF('12 - Device_Configuration'!BB317="","",'12 - Device_Configuration'!BB317)</f>
        <v/>
      </c>
      <c r="Z316" s="28" t="str">
        <f>IF('12 - Device_Configuration'!P317="","",'12 - Device_Configuration'!P317)</f>
        <v/>
      </c>
      <c r="AA316" s="28" t="str">
        <f>IF('12 - Device_Configuration'!Q317="","",'12 - Device_Configuration'!Q317)</f>
        <v/>
      </c>
    </row>
    <row r="317" spans="1:27">
      <c r="A317" s="29"/>
      <c r="B317" s="29"/>
      <c r="C317" s="28" t="str">
        <f>IF('12 - Device_Configuration'!H318="","",'12 - Device_Configuration'!H318)</f>
        <v/>
      </c>
      <c r="D317" s="28" t="str">
        <f>IF('12 - Device_Configuration'!AE318="","",'12 - Device_Configuration'!AE318)</f>
        <v/>
      </c>
      <c r="E317" s="28" t="str">
        <f>IF('12 - Device_Configuration'!AF318="","",'12 - Device_Configuration'!AF318)</f>
        <v/>
      </c>
      <c r="F317" s="28" t="str">
        <f>IF('12 - Device_Configuration'!AG318="","",'12 - Device_Configuration'!AG318)</f>
        <v/>
      </c>
      <c r="G317" s="28" t="str">
        <f>IF('12 - Device_Configuration'!AH318="","",'12 - Device_Configuration'!AH318)</f>
        <v/>
      </c>
      <c r="H317" s="28" t="str">
        <f>IF('12 - Device_Configuration'!A318="","",'12 - Device_Configuration'!A318)</f>
        <v/>
      </c>
      <c r="I317" s="28" t="str">
        <f>IF('12 - Device_Configuration'!AI318="","",'12 - Device_Configuration'!AI318)</f>
        <v/>
      </c>
      <c r="J317" s="28" t="str">
        <f>IF('12 - Device_Configuration'!AJ318="","",'12 - Device_Configuration'!AJ318)</f>
        <v/>
      </c>
      <c r="K317" s="28" t="str">
        <f>IF('12 - Device_Configuration'!AA318="","",'12 - Device_Configuration'!AA318)</f>
        <v/>
      </c>
      <c r="L317" s="28" t="str">
        <f>IF('12 - Device_Configuration'!I318="","",'12 - Device_Configuration'!I318)</f>
        <v/>
      </c>
      <c r="M317" s="29"/>
      <c r="N317" s="28" t="str">
        <f>IF('12 - Device_Configuration'!J318="","",'12 - Device_Configuration'!J318)</f>
        <v/>
      </c>
      <c r="O317" s="28" t="str">
        <f>IF('12 - Device_Configuration'!K318="","",'12 - Device_Configuration'!K318)</f>
        <v/>
      </c>
      <c r="P317" s="28" t="str">
        <f>IF('12 - Device_Configuration'!L318="","",'12 - Device_Configuration'!L318)</f>
        <v/>
      </c>
      <c r="Q317" s="29"/>
      <c r="R317" s="28" t="str">
        <f>IF('12 - Device_Configuration'!AY318="","",'12 - Device_Configuration'!AY318)</f>
        <v/>
      </c>
      <c r="S317" s="28" t="str">
        <f>IF('12 - Device_Configuration'!AX318="","",'12 - Device_Configuration'!AX318)</f>
        <v/>
      </c>
      <c r="T317" s="28" t="str">
        <f>IF('12 - Device_Configuration'!AV318="","",'12 - Device_Configuration'!AV318)</f>
        <v/>
      </c>
      <c r="U317" s="28" t="str">
        <f>IF('12 - Device_Configuration'!AW318="","",'12 - Device_Configuration'!AW318)</f>
        <v/>
      </c>
      <c r="V317" s="28" t="str">
        <f>IF('12 - Device_Configuration'!BA318="","",'12 - Device_Configuration'!BA318)</f>
        <v/>
      </c>
      <c r="W317" s="28" t="str">
        <f>IF('12 - Device_Configuration'!BC318="","",'12 - Device_Configuration'!BC318)</f>
        <v/>
      </c>
      <c r="X317" s="28" t="str">
        <f>IF('12 - Device_Configuration'!BK318="","",'12 - Device_Configuration'!BK318)</f>
        <v/>
      </c>
      <c r="Y317" s="28" t="str">
        <f>IF('12 - Device_Configuration'!BB318="","",'12 - Device_Configuration'!BB318)</f>
        <v/>
      </c>
      <c r="Z317" s="28" t="str">
        <f>IF('12 - Device_Configuration'!P318="","",'12 - Device_Configuration'!P318)</f>
        <v/>
      </c>
      <c r="AA317" s="28" t="str">
        <f>IF('12 - Device_Configuration'!Q318="","",'12 - Device_Configuration'!Q318)</f>
        <v/>
      </c>
    </row>
    <row r="318" spans="1:27">
      <c r="A318" s="29"/>
      <c r="B318" s="29"/>
      <c r="C318" s="28" t="str">
        <f>IF('12 - Device_Configuration'!H319="","",'12 - Device_Configuration'!H319)</f>
        <v/>
      </c>
      <c r="D318" s="28" t="str">
        <f>IF('12 - Device_Configuration'!AE319="","",'12 - Device_Configuration'!AE319)</f>
        <v/>
      </c>
      <c r="E318" s="28" t="str">
        <f>IF('12 - Device_Configuration'!AF319="","",'12 - Device_Configuration'!AF319)</f>
        <v/>
      </c>
      <c r="F318" s="28" t="str">
        <f>IF('12 - Device_Configuration'!AG319="","",'12 - Device_Configuration'!AG319)</f>
        <v/>
      </c>
      <c r="G318" s="28" t="str">
        <f>IF('12 - Device_Configuration'!AH319="","",'12 - Device_Configuration'!AH319)</f>
        <v/>
      </c>
      <c r="H318" s="28" t="str">
        <f>IF('12 - Device_Configuration'!A319="","",'12 - Device_Configuration'!A319)</f>
        <v/>
      </c>
      <c r="I318" s="28" t="str">
        <f>IF('12 - Device_Configuration'!AI319="","",'12 - Device_Configuration'!AI319)</f>
        <v/>
      </c>
      <c r="J318" s="28" t="str">
        <f>IF('12 - Device_Configuration'!AJ319="","",'12 - Device_Configuration'!AJ319)</f>
        <v/>
      </c>
      <c r="K318" s="28" t="str">
        <f>IF('12 - Device_Configuration'!AA319="","",'12 - Device_Configuration'!AA319)</f>
        <v/>
      </c>
      <c r="L318" s="28" t="str">
        <f>IF('12 - Device_Configuration'!I319="","",'12 - Device_Configuration'!I319)</f>
        <v/>
      </c>
      <c r="M318" s="29"/>
      <c r="N318" s="28" t="str">
        <f>IF('12 - Device_Configuration'!J319="","",'12 - Device_Configuration'!J319)</f>
        <v/>
      </c>
      <c r="O318" s="28" t="str">
        <f>IF('12 - Device_Configuration'!K319="","",'12 - Device_Configuration'!K319)</f>
        <v/>
      </c>
      <c r="P318" s="28" t="str">
        <f>IF('12 - Device_Configuration'!L319="","",'12 - Device_Configuration'!L319)</f>
        <v/>
      </c>
      <c r="Q318" s="29"/>
      <c r="R318" s="28" t="str">
        <f>IF('12 - Device_Configuration'!AY319="","",'12 - Device_Configuration'!AY319)</f>
        <v/>
      </c>
      <c r="S318" s="28" t="str">
        <f>IF('12 - Device_Configuration'!AX319="","",'12 - Device_Configuration'!AX319)</f>
        <v/>
      </c>
      <c r="T318" s="28" t="str">
        <f>IF('12 - Device_Configuration'!AV319="","",'12 - Device_Configuration'!AV319)</f>
        <v/>
      </c>
      <c r="U318" s="28" t="str">
        <f>IF('12 - Device_Configuration'!AW319="","",'12 - Device_Configuration'!AW319)</f>
        <v/>
      </c>
      <c r="V318" s="28" t="str">
        <f>IF('12 - Device_Configuration'!BA319="","",'12 - Device_Configuration'!BA319)</f>
        <v/>
      </c>
      <c r="W318" s="28" t="str">
        <f>IF('12 - Device_Configuration'!BC319="","",'12 - Device_Configuration'!BC319)</f>
        <v/>
      </c>
      <c r="X318" s="28" t="str">
        <f>IF('12 - Device_Configuration'!BK319="","",'12 - Device_Configuration'!BK319)</f>
        <v/>
      </c>
      <c r="Y318" s="28" t="str">
        <f>IF('12 - Device_Configuration'!BB319="","",'12 - Device_Configuration'!BB319)</f>
        <v/>
      </c>
      <c r="Z318" s="28" t="str">
        <f>IF('12 - Device_Configuration'!P319="","",'12 - Device_Configuration'!P319)</f>
        <v/>
      </c>
      <c r="AA318" s="28" t="str">
        <f>IF('12 - Device_Configuration'!Q319="","",'12 - Device_Configuration'!Q319)</f>
        <v/>
      </c>
    </row>
    <row r="319" spans="1:27">
      <c r="A319" s="29"/>
      <c r="B319" s="29"/>
      <c r="C319" s="28" t="str">
        <f>IF('12 - Device_Configuration'!H320="","",'12 - Device_Configuration'!H320)</f>
        <v/>
      </c>
      <c r="D319" s="28" t="str">
        <f>IF('12 - Device_Configuration'!AE320="","",'12 - Device_Configuration'!AE320)</f>
        <v/>
      </c>
      <c r="E319" s="28" t="str">
        <f>IF('12 - Device_Configuration'!AF320="","",'12 - Device_Configuration'!AF320)</f>
        <v/>
      </c>
      <c r="F319" s="28" t="str">
        <f>IF('12 - Device_Configuration'!AG320="","",'12 - Device_Configuration'!AG320)</f>
        <v/>
      </c>
      <c r="G319" s="28" t="str">
        <f>IF('12 - Device_Configuration'!AH320="","",'12 - Device_Configuration'!AH320)</f>
        <v/>
      </c>
      <c r="H319" s="28" t="str">
        <f>IF('12 - Device_Configuration'!A320="","",'12 - Device_Configuration'!A320)</f>
        <v/>
      </c>
      <c r="I319" s="28" t="str">
        <f>IF('12 - Device_Configuration'!AI320="","",'12 - Device_Configuration'!AI320)</f>
        <v/>
      </c>
      <c r="J319" s="28" t="str">
        <f>IF('12 - Device_Configuration'!AJ320="","",'12 - Device_Configuration'!AJ320)</f>
        <v/>
      </c>
      <c r="K319" s="28" t="str">
        <f>IF('12 - Device_Configuration'!AA320="","",'12 - Device_Configuration'!AA320)</f>
        <v/>
      </c>
      <c r="L319" s="28" t="str">
        <f>IF('12 - Device_Configuration'!I320="","",'12 - Device_Configuration'!I320)</f>
        <v/>
      </c>
      <c r="M319" s="29"/>
      <c r="N319" s="28" t="str">
        <f>IF('12 - Device_Configuration'!J320="","",'12 - Device_Configuration'!J320)</f>
        <v/>
      </c>
      <c r="O319" s="28" t="str">
        <f>IF('12 - Device_Configuration'!K320="","",'12 - Device_Configuration'!K320)</f>
        <v/>
      </c>
      <c r="P319" s="28" t="str">
        <f>IF('12 - Device_Configuration'!L320="","",'12 - Device_Configuration'!L320)</f>
        <v/>
      </c>
      <c r="Q319" s="29"/>
      <c r="R319" s="28" t="str">
        <f>IF('12 - Device_Configuration'!AY320="","",'12 - Device_Configuration'!AY320)</f>
        <v/>
      </c>
      <c r="S319" s="28" t="str">
        <f>IF('12 - Device_Configuration'!AX320="","",'12 - Device_Configuration'!AX320)</f>
        <v/>
      </c>
      <c r="T319" s="28" t="str">
        <f>IF('12 - Device_Configuration'!AV320="","",'12 - Device_Configuration'!AV320)</f>
        <v/>
      </c>
      <c r="U319" s="28" t="str">
        <f>IF('12 - Device_Configuration'!AW320="","",'12 - Device_Configuration'!AW320)</f>
        <v/>
      </c>
      <c r="V319" s="28" t="str">
        <f>IF('12 - Device_Configuration'!BA320="","",'12 - Device_Configuration'!BA320)</f>
        <v/>
      </c>
      <c r="W319" s="28" t="str">
        <f>IF('12 - Device_Configuration'!BC320="","",'12 - Device_Configuration'!BC320)</f>
        <v/>
      </c>
      <c r="X319" s="28" t="str">
        <f>IF('12 - Device_Configuration'!BK320="","",'12 - Device_Configuration'!BK320)</f>
        <v/>
      </c>
      <c r="Y319" s="28" t="str">
        <f>IF('12 - Device_Configuration'!BB320="","",'12 - Device_Configuration'!BB320)</f>
        <v/>
      </c>
      <c r="Z319" s="28" t="str">
        <f>IF('12 - Device_Configuration'!P320="","",'12 - Device_Configuration'!P320)</f>
        <v/>
      </c>
      <c r="AA319" s="28" t="str">
        <f>IF('12 - Device_Configuration'!Q320="","",'12 - Device_Configuration'!Q320)</f>
        <v/>
      </c>
    </row>
    <row r="320" spans="1:27">
      <c r="A320" s="29"/>
      <c r="B320" s="29"/>
      <c r="C320" s="28" t="str">
        <f>IF('12 - Device_Configuration'!H321="","",'12 - Device_Configuration'!H321)</f>
        <v/>
      </c>
      <c r="D320" s="28" t="str">
        <f>IF('12 - Device_Configuration'!AE321="","",'12 - Device_Configuration'!AE321)</f>
        <v/>
      </c>
      <c r="E320" s="28" t="str">
        <f>IF('12 - Device_Configuration'!AF321="","",'12 - Device_Configuration'!AF321)</f>
        <v/>
      </c>
      <c r="F320" s="28" t="str">
        <f>IF('12 - Device_Configuration'!AG321="","",'12 - Device_Configuration'!AG321)</f>
        <v/>
      </c>
      <c r="G320" s="28" t="str">
        <f>IF('12 - Device_Configuration'!AH321="","",'12 - Device_Configuration'!AH321)</f>
        <v/>
      </c>
      <c r="H320" s="28" t="str">
        <f>IF('12 - Device_Configuration'!A321="","",'12 - Device_Configuration'!A321)</f>
        <v/>
      </c>
      <c r="I320" s="28" t="str">
        <f>IF('12 - Device_Configuration'!AI321="","",'12 - Device_Configuration'!AI321)</f>
        <v/>
      </c>
      <c r="J320" s="28" t="str">
        <f>IF('12 - Device_Configuration'!AJ321="","",'12 - Device_Configuration'!AJ321)</f>
        <v/>
      </c>
      <c r="K320" s="28" t="str">
        <f>IF('12 - Device_Configuration'!AA321="","",'12 - Device_Configuration'!AA321)</f>
        <v/>
      </c>
      <c r="L320" s="28" t="str">
        <f>IF('12 - Device_Configuration'!I321="","",'12 - Device_Configuration'!I321)</f>
        <v/>
      </c>
      <c r="M320" s="29"/>
      <c r="N320" s="28" t="str">
        <f>IF('12 - Device_Configuration'!J321="","",'12 - Device_Configuration'!J321)</f>
        <v/>
      </c>
      <c r="O320" s="28" t="str">
        <f>IF('12 - Device_Configuration'!K321="","",'12 - Device_Configuration'!K321)</f>
        <v/>
      </c>
      <c r="P320" s="28" t="str">
        <f>IF('12 - Device_Configuration'!L321="","",'12 - Device_Configuration'!L321)</f>
        <v/>
      </c>
      <c r="Q320" s="29"/>
      <c r="R320" s="28" t="str">
        <f>IF('12 - Device_Configuration'!AY321="","",'12 - Device_Configuration'!AY321)</f>
        <v/>
      </c>
      <c r="S320" s="28" t="str">
        <f>IF('12 - Device_Configuration'!AX321="","",'12 - Device_Configuration'!AX321)</f>
        <v/>
      </c>
      <c r="T320" s="28" t="str">
        <f>IF('12 - Device_Configuration'!AV321="","",'12 - Device_Configuration'!AV321)</f>
        <v/>
      </c>
      <c r="U320" s="28" t="str">
        <f>IF('12 - Device_Configuration'!AW321="","",'12 - Device_Configuration'!AW321)</f>
        <v/>
      </c>
      <c r="V320" s="28" t="str">
        <f>IF('12 - Device_Configuration'!BA321="","",'12 - Device_Configuration'!BA321)</f>
        <v/>
      </c>
      <c r="W320" s="28" t="str">
        <f>IF('12 - Device_Configuration'!BC321="","",'12 - Device_Configuration'!BC321)</f>
        <v/>
      </c>
      <c r="X320" s="28" t="str">
        <f>IF('12 - Device_Configuration'!BK321="","",'12 - Device_Configuration'!BK321)</f>
        <v/>
      </c>
      <c r="Y320" s="28" t="str">
        <f>IF('12 - Device_Configuration'!BB321="","",'12 - Device_Configuration'!BB321)</f>
        <v/>
      </c>
      <c r="Z320" s="28" t="str">
        <f>IF('12 - Device_Configuration'!P321="","",'12 - Device_Configuration'!P321)</f>
        <v/>
      </c>
      <c r="AA320" s="28" t="str">
        <f>IF('12 - Device_Configuration'!Q321="","",'12 - Device_Configuration'!Q321)</f>
        <v/>
      </c>
    </row>
    <row r="321" spans="1:27">
      <c r="A321" s="29"/>
      <c r="B321" s="29"/>
      <c r="C321" s="28" t="str">
        <f>IF('12 - Device_Configuration'!H322="","",'12 - Device_Configuration'!H322)</f>
        <v/>
      </c>
      <c r="D321" s="28" t="str">
        <f>IF('12 - Device_Configuration'!AE322="","",'12 - Device_Configuration'!AE322)</f>
        <v/>
      </c>
      <c r="E321" s="28" t="str">
        <f>IF('12 - Device_Configuration'!AF322="","",'12 - Device_Configuration'!AF322)</f>
        <v/>
      </c>
      <c r="F321" s="28" t="str">
        <f>IF('12 - Device_Configuration'!AG322="","",'12 - Device_Configuration'!AG322)</f>
        <v/>
      </c>
      <c r="G321" s="28" t="str">
        <f>IF('12 - Device_Configuration'!AH322="","",'12 - Device_Configuration'!AH322)</f>
        <v/>
      </c>
      <c r="H321" s="28" t="str">
        <f>IF('12 - Device_Configuration'!A322="","",'12 - Device_Configuration'!A322)</f>
        <v/>
      </c>
      <c r="I321" s="28" t="str">
        <f>IF('12 - Device_Configuration'!AI322="","",'12 - Device_Configuration'!AI322)</f>
        <v/>
      </c>
      <c r="J321" s="28" t="str">
        <f>IF('12 - Device_Configuration'!AJ322="","",'12 - Device_Configuration'!AJ322)</f>
        <v/>
      </c>
      <c r="K321" s="28" t="str">
        <f>IF('12 - Device_Configuration'!AA322="","",'12 - Device_Configuration'!AA322)</f>
        <v/>
      </c>
      <c r="L321" s="28" t="str">
        <f>IF('12 - Device_Configuration'!I322="","",'12 - Device_Configuration'!I322)</f>
        <v/>
      </c>
      <c r="M321" s="29"/>
      <c r="N321" s="28" t="str">
        <f>IF('12 - Device_Configuration'!J322="","",'12 - Device_Configuration'!J322)</f>
        <v/>
      </c>
      <c r="O321" s="28" t="str">
        <f>IF('12 - Device_Configuration'!K322="","",'12 - Device_Configuration'!K322)</f>
        <v/>
      </c>
      <c r="P321" s="28" t="str">
        <f>IF('12 - Device_Configuration'!L322="","",'12 - Device_Configuration'!L322)</f>
        <v/>
      </c>
      <c r="Q321" s="29"/>
      <c r="R321" s="28" t="str">
        <f>IF('12 - Device_Configuration'!AY322="","",'12 - Device_Configuration'!AY322)</f>
        <v/>
      </c>
      <c r="S321" s="28" t="str">
        <f>IF('12 - Device_Configuration'!AX322="","",'12 - Device_Configuration'!AX322)</f>
        <v/>
      </c>
      <c r="T321" s="28" t="str">
        <f>IF('12 - Device_Configuration'!AV322="","",'12 - Device_Configuration'!AV322)</f>
        <v/>
      </c>
      <c r="U321" s="28" t="str">
        <f>IF('12 - Device_Configuration'!AW322="","",'12 - Device_Configuration'!AW322)</f>
        <v/>
      </c>
      <c r="V321" s="28" t="str">
        <f>IF('12 - Device_Configuration'!BA322="","",'12 - Device_Configuration'!BA322)</f>
        <v/>
      </c>
      <c r="W321" s="28" t="str">
        <f>IF('12 - Device_Configuration'!BC322="","",'12 - Device_Configuration'!BC322)</f>
        <v/>
      </c>
      <c r="X321" s="28" t="str">
        <f>IF('12 - Device_Configuration'!BK322="","",'12 - Device_Configuration'!BK322)</f>
        <v/>
      </c>
      <c r="Y321" s="28" t="str">
        <f>IF('12 - Device_Configuration'!BB322="","",'12 - Device_Configuration'!BB322)</f>
        <v/>
      </c>
      <c r="Z321" s="28" t="str">
        <f>IF('12 - Device_Configuration'!P322="","",'12 - Device_Configuration'!P322)</f>
        <v/>
      </c>
      <c r="AA321" s="28" t="str">
        <f>IF('12 - Device_Configuration'!Q322="","",'12 - Device_Configuration'!Q322)</f>
        <v/>
      </c>
    </row>
    <row r="322" spans="1:27">
      <c r="A322" s="29"/>
      <c r="B322" s="29"/>
      <c r="C322" s="28" t="str">
        <f>IF('12 - Device_Configuration'!H323="","",'12 - Device_Configuration'!H323)</f>
        <v/>
      </c>
      <c r="D322" s="28" t="str">
        <f>IF('12 - Device_Configuration'!AE323="","",'12 - Device_Configuration'!AE323)</f>
        <v/>
      </c>
      <c r="E322" s="28" t="str">
        <f>IF('12 - Device_Configuration'!AF323="","",'12 - Device_Configuration'!AF323)</f>
        <v/>
      </c>
      <c r="F322" s="28" t="str">
        <f>IF('12 - Device_Configuration'!AG323="","",'12 - Device_Configuration'!AG323)</f>
        <v/>
      </c>
      <c r="G322" s="28" t="str">
        <f>IF('12 - Device_Configuration'!AH323="","",'12 - Device_Configuration'!AH323)</f>
        <v/>
      </c>
      <c r="H322" s="28" t="str">
        <f>IF('12 - Device_Configuration'!A323="","",'12 - Device_Configuration'!A323)</f>
        <v/>
      </c>
      <c r="I322" s="28" t="str">
        <f>IF('12 - Device_Configuration'!AI323="","",'12 - Device_Configuration'!AI323)</f>
        <v/>
      </c>
      <c r="J322" s="28" t="str">
        <f>IF('12 - Device_Configuration'!AJ323="","",'12 - Device_Configuration'!AJ323)</f>
        <v/>
      </c>
      <c r="K322" s="28" t="str">
        <f>IF('12 - Device_Configuration'!AA323="","",'12 - Device_Configuration'!AA323)</f>
        <v/>
      </c>
      <c r="L322" s="28" t="str">
        <f>IF('12 - Device_Configuration'!I323="","",'12 - Device_Configuration'!I323)</f>
        <v/>
      </c>
      <c r="M322" s="29"/>
      <c r="N322" s="28" t="str">
        <f>IF('12 - Device_Configuration'!J323="","",'12 - Device_Configuration'!J323)</f>
        <v/>
      </c>
      <c r="O322" s="28" t="str">
        <f>IF('12 - Device_Configuration'!K323="","",'12 - Device_Configuration'!K323)</f>
        <v/>
      </c>
      <c r="P322" s="28" t="str">
        <f>IF('12 - Device_Configuration'!L323="","",'12 - Device_Configuration'!L323)</f>
        <v/>
      </c>
      <c r="Q322" s="29"/>
      <c r="R322" s="28" t="str">
        <f>IF('12 - Device_Configuration'!AY323="","",'12 - Device_Configuration'!AY323)</f>
        <v/>
      </c>
      <c r="S322" s="28" t="str">
        <f>IF('12 - Device_Configuration'!AX323="","",'12 - Device_Configuration'!AX323)</f>
        <v/>
      </c>
      <c r="T322" s="28" t="str">
        <f>IF('12 - Device_Configuration'!AV323="","",'12 - Device_Configuration'!AV323)</f>
        <v/>
      </c>
      <c r="U322" s="28" t="str">
        <f>IF('12 - Device_Configuration'!AW323="","",'12 - Device_Configuration'!AW323)</f>
        <v/>
      </c>
      <c r="V322" s="28" t="str">
        <f>IF('12 - Device_Configuration'!BA323="","",'12 - Device_Configuration'!BA323)</f>
        <v/>
      </c>
      <c r="W322" s="28" t="str">
        <f>IF('12 - Device_Configuration'!BC323="","",'12 - Device_Configuration'!BC323)</f>
        <v/>
      </c>
      <c r="X322" s="28" t="str">
        <f>IF('12 - Device_Configuration'!BK323="","",'12 - Device_Configuration'!BK323)</f>
        <v/>
      </c>
      <c r="Y322" s="28" t="str">
        <f>IF('12 - Device_Configuration'!BB323="","",'12 - Device_Configuration'!BB323)</f>
        <v/>
      </c>
      <c r="Z322" s="28" t="str">
        <f>IF('12 - Device_Configuration'!P323="","",'12 - Device_Configuration'!P323)</f>
        <v/>
      </c>
      <c r="AA322" s="28" t="str">
        <f>IF('12 - Device_Configuration'!Q323="","",'12 - Device_Configuration'!Q323)</f>
        <v/>
      </c>
    </row>
    <row r="323" spans="1:27">
      <c r="A323" s="29"/>
      <c r="B323" s="29"/>
      <c r="C323" s="28" t="str">
        <f>IF('12 - Device_Configuration'!H324="","",'12 - Device_Configuration'!H324)</f>
        <v/>
      </c>
      <c r="D323" s="28" t="str">
        <f>IF('12 - Device_Configuration'!AE324="","",'12 - Device_Configuration'!AE324)</f>
        <v/>
      </c>
      <c r="E323" s="28" t="str">
        <f>IF('12 - Device_Configuration'!AF324="","",'12 - Device_Configuration'!AF324)</f>
        <v/>
      </c>
      <c r="F323" s="28" t="str">
        <f>IF('12 - Device_Configuration'!AG324="","",'12 - Device_Configuration'!AG324)</f>
        <v/>
      </c>
      <c r="G323" s="28" t="str">
        <f>IF('12 - Device_Configuration'!AH324="","",'12 - Device_Configuration'!AH324)</f>
        <v/>
      </c>
      <c r="H323" s="28" t="str">
        <f>IF('12 - Device_Configuration'!A324="","",'12 - Device_Configuration'!A324)</f>
        <v/>
      </c>
      <c r="I323" s="28" t="str">
        <f>IF('12 - Device_Configuration'!AI324="","",'12 - Device_Configuration'!AI324)</f>
        <v/>
      </c>
      <c r="J323" s="28" t="str">
        <f>IF('12 - Device_Configuration'!AJ324="","",'12 - Device_Configuration'!AJ324)</f>
        <v/>
      </c>
      <c r="K323" s="28" t="str">
        <f>IF('12 - Device_Configuration'!AA324="","",'12 - Device_Configuration'!AA324)</f>
        <v/>
      </c>
      <c r="L323" s="28" t="str">
        <f>IF('12 - Device_Configuration'!I324="","",'12 - Device_Configuration'!I324)</f>
        <v/>
      </c>
      <c r="M323" s="29"/>
      <c r="N323" s="28" t="str">
        <f>IF('12 - Device_Configuration'!J324="","",'12 - Device_Configuration'!J324)</f>
        <v/>
      </c>
      <c r="O323" s="28" t="str">
        <f>IF('12 - Device_Configuration'!K324="","",'12 - Device_Configuration'!K324)</f>
        <v/>
      </c>
      <c r="P323" s="28" t="str">
        <f>IF('12 - Device_Configuration'!L324="","",'12 - Device_Configuration'!L324)</f>
        <v/>
      </c>
      <c r="Q323" s="29"/>
      <c r="R323" s="28" t="str">
        <f>IF('12 - Device_Configuration'!AY324="","",'12 - Device_Configuration'!AY324)</f>
        <v/>
      </c>
      <c r="S323" s="28" t="str">
        <f>IF('12 - Device_Configuration'!AX324="","",'12 - Device_Configuration'!AX324)</f>
        <v/>
      </c>
      <c r="T323" s="28" t="str">
        <f>IF('12 - Device_Configuration'!AV324="","",'12 - Device_Configuration'!AV324)</f>
        <v/>
      </c>
      <c r="U323" s="28" t="str">
        <f>IF('12 - Device_Configuration'!AW324="","",'12 - Device_Configuration'!AW324)</f>
        <v/>
      </c>
      <c r="V323" s="28" t="str">
        <f>IF('12 - Device_Configuration'!BA324="","",'12 - Device_Configuration'!BA324)</f>
        <v/>
      </c>
      <c r="W323" s="28" t="str">
        <f>IF('12 - Device_Configuration'!BC324="","",'12 - Device_Configuration'!BC324)</f>
        <v/>
      </c>
      <c r="X323" s="28" t="str">
        <f>IF('12 - Device_Configuration'!BK324="","",'12 - Device_Configuration'!BK324)</f>
        <v/>
      </c>
      <c r="Y323" s="28" t="str">
        <f>IF('12 - Device_Configuration'!BB324="","",'12 - Device_Configuration'!BB324)</f>
        <v/>
      </c>
      <c r="Z323" s="28" t="str">
        <f>IF('12 - Device_Configuration'!P324="","",'12 - Device_Configuration'!P324)</f>
        <v/>
      </c>
      <c r="AA323" s="28" t="str">
        <f>IF('12 - Device_Configuration'!Q324="","",'12 - Device_Configuration'!Q324)</f>
        <v/>
      </c>
    </row>
    <row r="324" spans="1:27">
      <c r="A324" s="29"/>
      <c r="B324" s="29"/>
      <c r="C324" s="28" t="str">
        <f>IF('12 - Device_Configuration'!H325="","",'12 - Device_Configuration'!H325)</f>
        <v/>
      </c>
      <c r="D324" s="28" t="str">
        <f>IF('12 - Device_Configuration'!AE325="","",'12 - Device_Configuration'!AE325)</f>
        <v/>
      </c>
      <c r="E324" s="28" t="str">
        <f>IF('12 - Device_Configuration'!AF325="","",'12 - Device_Configuration'!AF325)</f>
        <v/>
      </c>
      <c r="F324" s="28" t="str">
        <f>IF('12 - Device_Configuration'!AG325="","",'12 - Device_Configuration'!AG325)</f>
        <v/>
      </c>
      <c r="G324" s="28" t="str">
        <f>IF('12 - Device_Configuration'!AH325="","",'12 - Device_Configuration'!AH325)</f>
        <v/>
      </c>
      <c r="H324" s="28" t="str">
        <f>IF('12 - Device_Configuration'!A325="","",'12 - Device_Configuration'!A325)</f>
        <v/>
      </c>
      <c r="I324" s="28" t="str">
        <f>IF('12 - Device_Configuration'!AI325="","",'12 - Device_Configuration'!AI325)</f>
        <v/>
      </c>
      <c r="J324" s="28" t="str">
        <f>IF('12 - Device_Configuration'!AJ325="","",'12 - Device_Configuration'!AJ325)</f>
        <v/>
      </c>
      <c r="K324" s="28" t="str">
        <f>IF('12 - Device_Configuration'!AA325="","",'12 - Device_Configuration'!AA325)</f>
        <v/>
      </c>
      <c r="L324" s="28" t="str">
        <f>IF('12 - Device_Configuration'!I325="","",'12 - Device_Configuration'!I325)</f>
        <v/>
      </c>
      <c r="M324" s="29"/>
      <c r="N324" s="28" t="str">
        <f>IF('12 - Device_Configuration'!J325="","",'12 - Device_Configuration'!J325)</f>
        <v/>
      </c>
      <c r="O324" s="28" t="str">
        <f>IF('12 - Device_Configuration'!K325="","",'12 - Device_Configuration'!K325)</f>
        <v/>
      </c>
      <c r="P324" s="28" t="str">
        <f>IF('12 - Device_Configuration'!L325="","",'12 - Device_Configuration'!L325)</f>
        <v/>
      </c>
      <c r="Q324" s="29"/>
      <c r="R324" s="28" t="str">
        <f>IF('12 - Device_Configuration'!AY325="","",'12 - Device_Configuration'!AY325)</f>
        <v/>
      </c>
      <c r="S324" s="28" t="str">
        <f>IF('12 - Device_Configuration'!AX325="","",'12 - Device_Configuration'!AX325)</f>
        <v/>
      </c>
      <c r="T324" s="28" t="str">
        <f>IF('12 - Device_Configuration'!AV325="","",'12 - Device_Configuration'!AV325)</f>
        <v/>
      </c>
      <c r="U324" s="28" t="str">
        <f>IF('12 - Device_Configuration'!AW325="","",'12 - Device_Configuration'!AW325)</f>
        <v/>
      </c>
      <c r="V324" s="28" t="str">
        <f>IF('12 - Device_Configuration'!BA325="","",'12 - Device_Configuration'!BA325)</f>
        <v/>
      </c>
      <c r="W324" s="28" t="str">
        <f>IF('12 - Device_Configuration'!BC325="","",'12 - Device_Configuration'!BC325)</f>
        <v/>
      </c>
      <c r="X324" s="28" t="str">
        <f>IF('12 - Device_Configuration'!BK325="","",'12 - Device_Configuration'!BK325)</f>
        <v/>
      </c>
      <c r="Y324" s="28" t="str">
        <f>IF('12 - Device_Configuration'!BB325="","",'12 - Device_Configuration'!BB325)</f>
        <v/>
      </c>
      <c r="Z324" s="28" t="str">
        <f>IF('12 - Device_Configuration'!P325="","",'12 - Device_Configuration'!P325)</f>
        <v/>
      </c>
      <c r="AA324" s="28" t="str">
        <f>IF('12 - Device_Configuration'!Q325="","",'12 - Device_Configuration'!Q325)</f>
        <v/>
      </c>
    </row>
    <row r="325" spans="1:27">
      <c r="A325" s="29"/>
      <c r="B325" s="29"/>
      <c r="C325" s="28" t="str">
        <f>IF('12 - Device_Configuration'!H326="","",'12 - Device_Configuration'!H326)</f>
        <v/>
      </c>
      <c r="D325" s="28" t="str">
        <f>IF('12 - Device_Configuration'!AE326="","",'12 - Device_Configuration'!AE326)</f>
        <v/>
      </c>
      <c r="E325" s="28" t="str">
        <f>IF('12 - Device_Configuration'!AF326="","",'12 - Device_Configuration'!AF326)</f>
        <v/>
      </c>
      <c r="F325" s="28" t="str">
        <f>IF('12 - Device_Configuration'!AG326="","",'12 - Device_Configuration'!AG326)</f>
        <v/>
      </c>
      <c r="G325" s="28" t="str">
        <f>IF('12 - Device_Configuration'!AH326="","",'12 - Device_Configuration'!AH326)</f>
        <v/>
      </c>
      <c r="H325" s="28" t="str">
        <f>IF('12 - Device_Configuration'!A326="","",'12 - Device_Configuration'!A326)</f>
        <v/>
      </c>
      <c r="I325" s="28" t="str">
        <f>IF('12 - Device_Configuration'!AI326="","",'12 - Device_Configuration'!AI326)</f>
        <v/>
      </c>
      <c r="J325" s="28" t="str">
        <f>IF('12 - Device_Configuration'!AJ326="","",'12 - Device_Configuration'!AJ326)</f>
        <v/>
      </c>
      <c r="K325" s="28" t="str">
        <f>IF('12 - Device_Configuration'!AA326="","",'12 - Device_Configuration'!AA326)</f>
        <v/>
      </c>
      <c r="L325" s="28" t="str">
        <f>IF('12 - Device_Configuration'!I326="","",'12 - Device_Configuration'!I326)</f>
        <v/>
      </c>
      <c r="M325" s="29"/>
      <c r="N325" s="28" t="str">
        <f>IF('12 - Device_Configuration'!J326="","",'12 - Device_Configuration'!J326)</f>
        <v/>
      </c>
      <c r="O325" s="28" t="str">
        <f>IF('12 - Device_Configuration'!K326="","",'12 - Device_Configuration'!K326)</f>
        <v/>
      </c>
      <c r="P325" s="28" t="str">
        <f>IF('12 - Device_Configuration'!L326="","",'12 - Device_Configuration'!L326)</f>
        <v/>
      </c>
      <c r="Q325" s="29"/>
      <c r="R325" s="28" t="str">
        <f>IF('12 - Device_Configuration'!AY326="","",'12 - Device_Configuration'!AY326)</f>
        <v/>
      </c>
      <c r="S325" s="28" t="str">
        <f>IF('12 - Device_Configuration'!AX326="","",'12 - Device_Configuration'!AX326)</f>
        <v/>
      </c>
      <c r="T325" s="28" t="str">
        <f>IF('12 - Device_Configuration'!AV326="","",'12 - Device_Configuration'!AV326)</f>
        <v/>
      </c>
      <c r="U325" s="28" t="str">
        <f>IF('12 - Device_Configuration'!AW326="","",'12 - Device_Configuration'!AW326)</f>
        <v/>
      </c>
      <c r="V325" s="28" t="str">
        <f>IF('12 - Device_Configuration'!BA326="","",'12 - Device_Configuration'!BA326)</f>
        <v/>
      </c>
      <c r="W325" s="28" t="str">
        <f>IF('12 - Device_Configuration'!BC326="","",'12 - Device_Configuration'!BC326)</f>
        <v/>
      </c>
      <c r="X325" s="28" t="str">
        <f>IF('12 - Device_Configuration'!BK326="","",'12 - Device_Configuration'!BK326)</f>
        <v/>
      </c>
      <c r="Y325" s="28" t="str">
        <f>IF('12 - Device_Configuration'!BB326="","",'12 - Device_Configuration'!BB326)</f>
        <v/>
      </c>
      <c r="Z325" s="28" t="str">
        <f>IF('12 - Device_Configuration'!P326="","",'12 - Device_Configuration'!P326)</f>
        <v/>
      </c>
      <c r="AA325" s="28" t="str">
        <f>IF('12 - Device_Configuration'!Q326="","",'12 - Device_Configuration'!Q326)</f>
        <v/>
      </c>
    </row>
    <row r="326" spans="1:27">
      <c r="A326" s="29"/>
      <c r="B326" s="29"/>
      <c r="C326" s="28" t="str">
        <f>IF('12 - Device_Configuration'!H327="","",'12 - Device_Configuration'!H327)</f>
        <v/>
      </c>
      <c r="D326" s="28" t="str">
        <f>IF('12 - Device_Configuration'!AE327="","",'12 - Device_Configuration'!AE327)</f>
        <v/>
      </c>
      <c r="E326" s="28" t="str">
        <f>IF('12 - Device_Configuration'!AF327="","",'12 - Device_Configuration'!AF327)</f>
        <v/>
      </c>
      <c r="F326" s="28" t="str">
        <f>IF('12 - Device_Configuration'!AG327="","",'12 - Device_Configuration'!AG327)</f>
        <v/>
      </c>
      <c r="G326" s="28" t="str">
        <f>IF('12 - Device_Configuration'!AH327="","",'12 - Device_Configuration'!AH327)</f>
        <v/>
      </c>
      <c r="H326" s="28" t="str">
        <f>IF('12 - Device_Configuration'!A327="","",'12 - Device_Configuration'!A327)</f>
        <v/>
      </c>
      <c r="I326" s="28" t="str">
        <f>IF('12 - Device_Configuration'!AI327="","",'12 - Device_Configuration'!AI327)</f>
        <v/>
      </c>
      <c r="J326" s="28" t="str">
        <f>IF('12 - Device_Configuration'!AJ327="","",'12 - Device_Configuration'!AJ327)</f>
        <v/>
      </c>
      <c r="K326" s="28" t="str">
        <f>IF('12 - Device_Configuration'!AA327="","",'12 - Device_Configuration'!AA327)</f>
        <v/>
      </c>
      <c r="L326" s="28" t="str">
        <f>IF('12 - Device_Configuration'!I327="","",'12 - Device_Configuration'!I327)</f>
        <v/>
      </c>
      <c r="M326" s="29"/>
      <c r="N326" s="28" t="str">
        <f>IF('12 - Device_Configuration'!J327="","",'12 - Device_Configuration'!J327)</f>
        <v/>
      </c>
      <c r="O326" s="28" t="str">
        <f>IF('12 - Device_Configuration'!K327="","",'12 - Device_Configuration'!K327)</f>
        <v/>
      </c>
      <c r="P326" s="28" t="str">
        <f>IF('12 - Device_Configuration'!L327="","",'12 - Device_Configuration'!L327)</f>
        <v/>
      </c>
      <c r="Q326" s="29"/>
      <c r="R326" s="28" t="str">
        <f>IF('12 - Device_Configuration'!AY327="","",'12 - Device_Configuration'!AY327)</f>
        <v/>
      </c>
      <c r="S326" s="28" t="str">
        <f>IF('12 - Device_Configuration'!AX327="","",'12 - Device_Configuration'!AX327)</f>
        <v/>
      </c>
      <c r="T326" s="28" t="str">
        <f>IF('12 - Device_Configuration'!AV327="","",'12 - Device_Configuration'!AV327)</f>
        <v/>
      </c>
      <c r="U326" s="28" t="str">
        <f>IF('12 - Device_Configuration'!AW327="","",'12 - Device_Configuration'!AW327)</f>
        <v/>
      </c>
      <c r="V326" s="28" t="str">
        <f>IF('12 - Device_Configuration'!BA327="","",'12 - Device_Configuration'!BA327)</f>
        <v/>
      </c>
      <c r="W326" s="28" t="str">
        <f>IF('12 - Device_Configuration'!BC327="","",'12 - Device_Configuration'!BC327)</f>
        <v/>
      </c>
      <c r="X326" s="28" t="str">
        <f>IF('12 - Device_Configuration'!BK327="","",'12 - Device_Configuration'!BK327)</f>
        <v/>
      </c>
      <c r="Y326" s="28" t="str">
        <f>IF('12 - Device_Configuration'!BB327="","",'12 - Device_Configuration'!BB327)</f>
        <v/>
      </c>
      <c r="Z326" s="28" t="str">
        <f>IF('12 - Device_Configuration'!P327="","",'12 - Device_Configuration'!P327)</f>
        <v/>
      </c>
      <c r="AA326" s="28" t="str">
        <f>IF('12 - Device_Configuration'!Q327="","",'12 - Device_Configuration'!Q327)</f>
        <v/>
      </c>
    </row>
    <row r="327" spans="1:27">
      <c r="A327" s="29"/>
      <c r="B327" s="29"/>
      <c r="C327" s="28" t="str">
        <f>IF('12 - Device_Configuration'!H328="","",'12 - Device_Configuration'!H328)</f>
        <v/>
      </c>
      <c r="D327" s="28" t="str">
        <f>IF('12 - Device_Configuration'!AE328="","",'12 - Device_Configuration'!AE328)</f>
        <v/>
      </c>
      <c r="E327" s="28" t="str">
        <f>IF('12 - Device_Configuration'!AF328="","",'12 - Device_Configuration'!AF328)</f>
        <v/>
      </c>
      <c r="F327" s="28" t="str">
        <f>IF('12 - Device_Configuration'!AG328="","",'12 - Device_Configuration'!AG328)</f>
        <v/>
      </c>
      <c r="G327" s="28" t="str">
        <f>IF('12 - Device_Configuration'!AH328="","",'12 - Device_Configuration'!AH328)</f>
        <v/>
      </c>
      <c r="H327" s="28" t="str">
        <f>IF('12 - Device_Configuration'!A328="","",'12 - Device_Configuration'!A328)</f>
        <v/>
      </c>
      <c r="I327" s="28" t="str">
        <f>IF('12 - Device_Configuration'!AI328="","",'12 - Device_Configuration'!AI328)</f>
        <v/>
      </c>
      <c r="J327" s="28" t="str">
        <f>IF('12 - Device_Configuration'!AJ328="","",'12 - Device_Configuration'!AJ328)</f>
        <v/>
      </c>
      <c r="K327" s="28" t="str">
        <f>IF('12 - Device_Configuration'!AA328="","",'12 - Device_Configuration'!AA328)</f>
        <v/>
      </c>
      <c r="L327" s="28" t="str">
        <f>IF('12 - Device_Configuration'!I328="","",'12 - Device_Configuration'!I328)</f>
        <v/>
      </c>
      <c r="M327" s="29"/>
      <c r="N327" s="28" t="str">
        <f>IF('12 - Device_Configuration'!J328="","",'12 - Device_Configuration'!J328)</f>
        <v/>
      </c>
      <c r="O327" s="28" t="str">
        <f>IF('12 - Device_Configuration'!K328="","",'12 - Device_Configuration'!K328)</f>
        <v/>
      </c>
      <c r="P327" s="28" t="str">
        <f>IF('12 - Device_Configuration'!L328="","",'12 - Device_Configuration'!L328)</f>
        <v/>
      </c>
      <c r="Q327" s="29"/>
      <c r="R327" s="28" t="str">
        <f>IF('12 - Device_Configuration'!AY328="","",'12 - Device_Configuration'!AY328)</f>
        <v/>
      </c>
      <c r="S327" s="28" t="str">
        <f>IF('12 - Device_Configuration'!AX328="","",'12 - Device_Configuration'!AX328)</f>
        <v/>
      </c>
      <c r="T327" s="28" t="str">
        <f>IF('12 - Device_Configuration'!AV328="","",'12 - Device_Configuration'!AV328)</f>
        <v/>
      </c>
      <c r="U327" s="28" t="str">
        <f>IF('12 - Device_Configuration'!AW328="","",'12 - Device_Configuration'!AW328)</f>
        <v/>
      </c>
      <c r="V327" s="28" t="str">
        <f>IF('12 - Device_Configuration'!BA328="","",'12 - Device_Configuration'!BA328)</f>
        <v/>
      </c>
      <c r="W327" s="28" t="str">
        <f>IF('12 - Device_Configuration'!BC328="","",'12 - Device_Configuration'!BC328)</f>
        <v/>
      </c>
      <c r="X327" s="28" t="str">
        <f>IF('12 - Device_Configuration'!BK328="","",'12 - Device_Configuration'!BK328)</f>
        <v/>
      </c>
      <c r="Y327" s="28" t="str">
        <f>IF('12 - Device_Configuration'!BB328="","",'12 - Device_Configuration'!BB328)</f>
        <v/>
      </c>
      <c r="Z327" s="28" t="str">
        <f>IF('12 - Device_Configuration'!P328="","",'12 - Device_Configuration'!P328)</f>
        <v/>
      </c>
      <c r="AA327" s="28" t="str">
        <f>IF('12 - Device_Configuration'!Q328="","",'12 - Device_Configuration'!Q328)</f>
        <v/>
      </c>
    </row>
    <row r="328" spans="1:27">
      <c r="A328" s="29"/>
      <c r="B328" s="29"/>
      <c r="C328" s="28" t="str">
        <f>IF('12 - Device_Configuration'!H329="","",'12 - Device_Configuration'!H329)</f>
        <v/>
      </c>
      <c r="D328" s="28" t="str">
        <f>IF('12 - Device_Configuration'!AE329="","",'12 - Device_Configuration'!AE329)</f>
        <v/>
      </c>
      <c r="E328" s="28" t="str">
        <f>IF('12 - Device_Configuration'!AF329="","",'12 - Device_Configuration'!AF329)</f>
        <v/>
      </c>
      <c r="F328" s="28" t="str">
        <f>IF('12 - Device_Configuration'!AG329="","",'12 - Device_Configuration'!AG329)</f>
        <v/>
      </c>
      <c r="G328" s="28" t="str">
        <f>IF('12 - Device_Configuration'!AH329="","",'12 - Device_Configuration'!AH329)</f>
        <v/>
      </c>
      <c r="H328" s="28" t="str">
        <f>IF('12 - Device_Configuration'!A329="","",'12 - Device_Configuration'!A329)</f>
        <v/>
      </c>
      <c r="I328" s="28" t="str">
        <f>IF('12 - Device_Configuration'!AI329="","",'12 - Device_Configuration'!AI329)</f>
        <v/>
      </c>
      <c r="J328" s="28" t="str">
        <f>IF('12 - Device_Configuration'!AJ329="","",'12 - Device_Configuration'!AJ329)</f>
        <v/>
      </c>
      <c r="K328" s="28" t="str">
        <f>IF('12 - Device_Configuration'!AA329="","",'12 - Device_Configuration'!AA329)</f>
        <v/>
      </c>
      <c r="L328" s="28" t="str">
        <f>IF('12 - Device_Configuration'!I329="","",'12 - Device_Configuration'!I329)</f>
        <v/>
      </c>
      <c r="M328" s="29"/>
      <c r="N328" s="28" t="str">
        <f>IF('12 - Device_Configuration'!J329="","",'12 - Device_Configuration'!J329)</f>
        <v/>
      </c>
      <c r="O328" s="28" t="str">
        <f>IF('12 - Device_Configuration'!K329="","",'12 - Device_Configuration'!K329)</f>
        <v/>
      </c>
      <c r="P328" s="28" t="str">
        <f>IF('12 - Device_Configuration'!L329="","",'12 - Device_Configuration'!L329)</f>
        <v/>
      </c>
      <c r="Q328" s="29"/>
      <c r="R328" s="28" t="str">
        <f>IF('12 - Device_Configuration'!AY329="","",'12 - Device_Configuration'!AY329)</f>
        <v/>
      </c>
      <c r="S328" s="28" t="str">
        <f>IF('12 - Device_Configuration'!AX329="","",'12 - Device_Configuration'!AX329)</f>
        <v/>
      </c>
      <c r="T328" s="28" t="str">
        <f>IF('12 - Device_Configuration'!AV329="","",'12 - Device_Configuration'!AV329)</f>
        <v/>
      </c>
      <c r="U328" s="28" t="str">
        <f>IF('12 - Device_Configuration'!AW329="","",'12 - Device_Configuration'!AW329)</f>
        <v/>
      </c>
      <c r="V328" s="28" t="str">
        <f>IF('12 - Device_Configuration'!BA329="","",'12 - Device_Configuration'!BA329)</f>
        <v/>
      </c>
      <c r="W328" s="28" t="str">
        <f>IF('12 - Device_Configuration'!BC329="","",'12 - Device_Configuration'!BC329)</f>
        <v/>
      </c>
      <c r="X328" s="28" t="str">
        <f>IF('12 - Device_Configuration'!BK329="","",'12 - Device_Configuration'!BK329)</f>
        <v/>
      </c>
      <c r="Y328" s="28" t="str">
        <f>IF('12 - Device_Configuration'!BB329="","",'12 - Device_Configuration'!BB329)</f>
        <v/>
      </c>
      <c r="Z328" s="28" t="str">
        <f>IF('12 - Device_Configuration'!P329="","",'12 - Device_Configuration'!P329)</f>
        <v/>
      </c>
      <c r="AA328" s="28" t="str">
        <f>IF('12 - Device_Configuration'!Q329="","",'12 - Device_Configuration'!Q329)</f>
        <v/>
      </c>
    </row>
    <row r="329" spans="1:27">
      <c r="A329" s="29"/>
      <c r="B329" s="29"/>
      <c r="C329" s="28" t="str">
        <f>IF('12 - Device_Configuration'!H330="","",'12 - Device_Configuration'!H330)</f>
        <v/>
      </c>
      <c r="D329" s="28" t="str">
        <f>IF('12 - Device_Configuration'!AE330="","",'12 - Device_Configuration'!AE330)</f>
        <v/>
      </c>
      <c r="E329" s="28" t="str">
        <f>IF('12 - Device_Configuration'!AF330="","",'12 - Device_Configuration'!AF330)</f>
        <v/>
      </c>
      <c r="F329" s="28" t="str">
        <f>IF('12 - Device_Configuration'!AG330="","",'12 - Device_Configuration'!AG330)</f>
        <v/>
      </c>
      <c r="G329" s="28" t="str">
        <f>IF('12 - Device_Configuration'!AH330="","",'12 - Device_Configuration'!AH330)</f>
        <v/>
      </c>
      <c r="H329" s="28" t="str">
        <f>IF('12 - Device_Configuration'!A330="","",'12 - Device_Configuration'!A330)</f>
        <v/>
      </c>
      <c r="I329" s="28" t="str">
        <f>IF('12 - Device_Configuration'!AI330="","",'12 - Device_Configuration'!AI330)</f>
        <v/>
      </c>
      <c r="J329" s="28" t="str">
        <f>IF('12 - Device_Configuration'!AJ330="","",'12 - Device_Configuration'!AJ330)</f>
        <v/>
      </c>
      <c r="K329" s="28" t="str">
        <f>IF('12 - Device_Configuration'!AA330="","",'12 - Device_Configuration'!AA330)</f>
        <v/>
      </c>
      <c r="L329" s="28" t="str">
        <f>IF('12 - Device_Configuration'!I330="","",'12 - Device_Configuration'!I330)</f>
        <v/>
      </c>
      <c r="M329" s="29"/>
      <c r="N329" s="28" t="str">
        <f>IF('12 - Device_Configuration'!J330="","",'12 - Device_Configuration'!J330)</f>
        <v/>
      </c>
      <c r="O329" s="28" t="str">
        <f>IF('12 - Device_Configuration'!K330="","",'12 - Device_Configuration'!K330)</f>
        <v/>
      </c>
      <c r="P329" s="28" t="str">
        <f>IF('12 - Device_Configuration'!L330="","",'12 - Device_Configuration'!L330)</f>
        <v/>
      </c>
      <c r="Q329" s="29"/>
      <c r="R329" s="28" t="str">
        <f>IF('12 - Device_Configuration'!AY330="","",'12 - Device_Configuration'!AY330)</f>
        <v/>
      </c>
      <c r="S329" s="28" t="str">
        <f>IF('12 - Device_Configuration'!AX330="","",'12 - Device_Configuration'!AX330)</f>
        <v/>
      </c>
      <c r="T329" s="28" t="str">
        <f>IF('12 - Device_Configuration'!AV330="","",'12 - Device_Configuration'!AV330)</f>
        <v/>
      </c>
      <c r="U329" s="28" t="str">
        <f>IF('12 - Device_Configuration'!AW330="","",'12 - Device_Configuration'!AW330)</f>
        <v/>
      </c>
      <c r="V329" s="28" t="str">
        <f>IF('12 - Device_Configuration'!BA330="","",'12 - Device_Configuration'!BA330)</f>
        <v/>
      </c>
      <c r="W329" s="28" t="str">
        <f>IF('12 - Device_Configuration'!BC330="","",'12 - Device_Configuration'!BC330)</f>
        <v/>
      </c>
      <c r="X329" s="28" t="str">
        <f>IF('12 - Device_Configuration'!BK330="","",'12 - Device_Configuration'!BK330)</f>
        <v/>
      </c>
      <c r="Y329" s="28" t="str">
        <f>IF('12 - Device_Configuration'!BB330="","",'12 - Device_Configuration'!BB330)</f>
        <v/>
      </c>
      <c r="Z329" s="28" t="str">
        <f>IF('12 - Device_Configuration'!P330="","",'12 - Device_Configuration'!P330)</f>
        <v/>
      </c>
      <c r="AA329" s="28" t="str">
        <f>IF('12 - Device_Configuration'!Q330="","",'12 - Device_Configuration'!Q330)</f>
        <v/>
      </c>
    </row>
    <row r="330" spans="1:27">
      <c r="A330" s="29"/>
      <c r="B330" s="29"/>
      <c r="C330" s="28" t="str">
        <f>IF('12 - Device_Configuration'!H331="","",'12 - Device_Configuration'!H331)</f>
        <v/>
      </c>
      <c r="D330" s="28" t="str">
        <f>IF('12 - Device_Configuration'!AE331="","",'12 - Device_Configuration'!AE331)</f>
        <v/>
      </c>
      <c r="E330" s="28" t="str">
        <f>IF('12 - Device_Configuration'!AF331="","",'12 - Device_Configuration'!AF331)</f>
        <v/>
      </c>
      <c r="F330" s="28" t="str">
        <f>IF('12 - Device_Configuration'!AG331="","",'12 - Device_Configuration'!AG331)</f>
        <v/>
      </c>
      <c r="G330" s="28" t="str">
        <f>IF('12 - Device_Configuration'!AH331="","",'12 - Device_Configuration'!AH331)</f>
        <v/>
      </c>
      <c r="H330" s="28" t="str">
        <f>IF('12 - Device_Configuration'!A331="","",'12 - Device_Configuration'!A331)</f>
        <v/>
      </c>
      <c r="I330" s="28" t="str">
        <f>IF('12 - Device_Configuration'!AI331="","",'12 - Device_Configuration'!AI331)</f>
        <v/>
      </c>
      <c r="J330" s="28" t="str">
        <f>IF('12 - Device_Configuration'!AJ331="","",'12 - Device_Configuration'!AJ331)</f>
        <v/>
      </c>
      <c r="K330" s="28" t="str">
        <f>IF('12 - Device_Configuration'!AA331="","",'12 - Device_Configuration'!AA331)</f>
        <v/>
      </c>
      <c r="L330" s="28" t="str">
        <f>IF('12 - Device_Configuration'!I331="","",'12 - Device_Configuration'!I331)</f>
        <v/>
      </c>
      <c r="M330" s="29"/>
      <c r="N330" s="28" t="str">
        <f>IF('12 - Device_Configuration'!J331="","",'12 - Device_Configuration'!J331)</f>
        <v/>
      </c>
      <c r="O330" s="28" t="str">
        <f>IF('12 - Device_Configuration'!K331="","",'12 - Device_Configuration'!K331)</f>
        <v/>
      </c>
      <c r="P330" s="28" t="str">
        <f>IF('12 - Device_Configuration'!L331="","",'12 - Device_Configuration'!L331)</f>
        <v/>
      </c>
      <c r="Q330" s="29"/>
      <c r="R330" s="28" t="str">
        <f>IF('12 - Device_Configuration'!AY331="","",'12 - Device_Configuration'!AY331)</f>
        <v/>
      </c>
      <c r="S330" s="28" t="str">
        <f>IF('12 - Device_Configuration'!AX331="","",'12 - Device_Configuration'!AX331)</f>
        <v/>
      </c>
      <c r="T330" s="28" t="str">
        <f>IF('12 - Device_Configuration'!AV331="","",'12 - Device_Configuration'!AV331)</f>
        <v/>
      </c>
      <c r="U330" s="28" t="str">
        <f>IF('12 - Device_Configuration'!AW331="","",'12 - Device_Configuration'!AW331)</f>
        <v/>
      </c>
      <c r="V330" s="28" t="str">
        <f>IF('12 - Device_Configuration'!BA331="","",'12 - Device_Configuration'!BA331)</f>
        <v/>
      </c>
      <c r="W330" s="28" t="str">
        <f>IF('12 - Device_Configuration'!BC331="","",'12 - Device_Configuration'!BC331)</f>
        <v/>
      </c>
      <c r="X330" s="28" t="str">
        <f>IF('12 - Device_Configuration'!BK331="","",'12 - Device_Configuration'!BK331)</f>
        <v/>
      </c>
      <c r="Y330" s="28" t="str">
        <f>IF('12 - Device_Configuration'!BB331="","",'12 - Device_Configuration'!BB331)</f>
        <v/>
      </c>
      <c r="Z330" s="28" t="str">
        <f>IF('12 - Device_Configuration'!P331="","",'12 - Device_Configuration'!P331)</f>
        <v/>
      </c>
      <c r="AA330" s="28" t="str">
        <f>IF('12 - Device_Configuration'!Q331="","",'12 - Device_Configuration'!Q331)</f>
        <v/>
      </c>
    </row>
    <row r="331" spans="1:27">
      <c r="A331" s="29"/>
      <c r="B331" s="29"/>
      <c r="C331" s="28" t="str">
        <f>IF('12 - Device_Configuration'!H332="","",'12 - Device_Configuration'!H332)</f>
        <v/>
      </c>
      <c r="D331" s="28" t="str">
        <f>IF('12 - Device_Configuration'!AE332="","",'12 - Device_Configuration'!AE332)</f>
        <v/>
      </c>
      <c r="E331" s="28" t="str">
        <f>IF('12 - Device_Configuration'!AF332="","",'12 - Device_Configuration'!AF332)</f>
        <v/>
      </c>
      <c r="F331" s="28" t="str">
        <f>IF('12 - Device_Configuration'!AG332="","",'12 - Device_Configuration'!AG332)</f>
        <v/>
      </c>
      <c r="G331" s="28" t="str">
        <f>IF('12 - Device_Configuration'!AH332="","",'12 - Device_Configuration'!AH332)</f>
        <v/>
      </c>
      <c r="H331" s="28" t="str">
        <f>IF('12 - Device_Configuration'!A332="","",'12 - Device_Configuration'!A332)</f>
        <v/>
      </c>
      <c r="I331" s="28" t="str">
        <f>IF('12 - Device_Configuration'!AI332="","",'12 - Device_Configuration'!AI332)</f>
        <v/>
      </c>
      <c r="J331" s="28" t="str">
        <f>IF('12 - Device_Configuration'!AJ332="","",'12 - Device_Configuration'!AJ332)</f>
        <v/>
      </c>
      <c r="K331" s="28" t="str">
        <f>IF('12 - Device_Configuration'!AA332="","",'12 - Device_Configuration'!AA332)</f>
        <v/>
      </c>
      <c r="L331" s="28" t="str">
        <f>IF('12 - Device_Configuration'!I332="","",'12 - Device_Configuration'!I332)</f>
        <v/>
      </c>
      <c r="M331" s="29"/>
      <c r="N331" s="28" t="str">
        <f>IF('12 - Device_Configuration'!J332="","",'12 - Device_Configuration'!J332)</f>
        <v/>
      </c>
      <c r="O331" s="28" t="str">
        <f>IF('12 - Device_Configuration'!K332="","",'12 - Device_Configuration'!K332)</f>
        <v/>
      </c>
      <c r="P331" s="28" t="str">
        <f>IF('12 - Device_Configuration'!L332="","",'12 - Device_Configuration'!L332)</f>
        <v/>
      </c>
      <c r="Q331" s="29"/>
      <c r="R331" s="28" t="str">
        <f>IF('12 - Device_Configuration'!AY332="","",'12 - Device_Configuration'!AY332)</f>
        <v/>
      </c>
      <c r="S331" s="28" t="str">
        <f>IF('12 - Device_Configuration'!AX332="","",'12 - Device_Configuration'!AX332)</f>
        <v/>
      </c>
      <c r="T331" s="28" t="str">
        <f>IF('12 - Device_Configuration'!AV332="","",'12 - Device_Configuration'!AV332)</f>
        <v/>
      </c>
      <c r="U331" s="28" t="str">
        <f>IF('12 - Device_Configuration'!AW332="","",'12 - Device_Configuration'!AW332)</f>
        <v/>
      </c>
      <c r="V331" s="28" t="str">
        <f>IF('12 - Device_Configuration'!BA332="","",'12 - Device_Configuration'!BA332)</f>
        <v/>
      </c>
      <c r="W331" s="28" t="str">
        <f>IF('12 - Device_Configuration'!BC332="","",'12 - Device_Configuration'!BC332)</f>
        <v/>
      </c>
      <c r="X331" s="28" t="str">
        <f>IF('12 - Device_Configuration'!BK332="","",'12 - Device_Configuration'!BK332)</f>
        <v/>
      </c>
      <c r="Y331" s="28" t="str">
        <f>IF('12 - Device_Configuration'!BB332="","",'12 - Device_Configuration'!BB332)</f>
        <v/>
      </c>
      <c r="Z331" s="28" t="str">
        <f>IF('12 - Device_Configuration'!P332="","",'12 - Device_Configuration'!P332)</f>
        <v/>
      </c>
      <c r="AA331" s="28" t="str">
        <f>IF('12 - Device_Configuration'!Q332="","",'12 - Device_Configuration'!Q332)</f>
        <v/>
      </c>
    </row>
    <row r="332" spans="1:27">
      <c r="A332" s="29"/>
      <c r="B332" s="29"/>
      <c r="C332" s="28" t="str">
        <f>IF('12 - Device_Configuration'!H333="","",'12 - Device_Configuration'!H333)</f>
        <v/>
      </c>
      <c r="D332" s="28" t="str">
        <f>IF('12 - Device_Configuration'!AE333="","",'12 - Device_Configuration'!AE333)</f>
        <v/>
      </c>
      <c r="E332" s="28" t="str">
        <f>IF('12 - Device_Configuration'!AF333="","",'12 - Device_Configuration'!AF333)</f>
        <v/>
      </c>
      <c r="F332" s="28" t="str">
        <f>IF('12 - Device_Configuration'!AG333="","",'12 - Device_Configuration'!AG333)</f>
        <v/>
      </c>
      <c r="G332" s="28" t="str">
        <f>IF('12 - Device_Configuration'!AH333="","",'12 - Device_Configuration'!AH333)</f>
        <v/>
      </c>
      <c r="H332" s="28" t="str">
        <f>IF('12 - Device_Configuration'!A333="","",'12 - Device_Configuration'!A333)</f>
        <v/>
      </c>
      <c r="I332" s="28" t="str">
        <f>IF('12 - Device_Configuration'!AI333="","",'12 - Device_Configuration'!AI333)</f>
        <v/>
      </c>
      <c r="J332" s="28" t="str">
        <f>IF('12 - Device_Configuration'!AJ333="","",'12 - Device_Configuration'!AJ333)</f>
        <v/>
      </c>
      <c r="K332" s="28" t="str">
        <f>IF('12 - Device_Configuration'!AA333="","",'12 - Device_Configuration'!AA333)</f>
        <v/>
      </c>
      <c r="L332" s="28" t="str">
        <f>IF('12 - Device_Configuration'!I333="","",'12 - Device_Configuration'!I333)</f>
        <v/>
      </c>
      <c r="M332" s="29"/>
      <c r="N332" s="28" t="str">
        <f>IF('12 - Device_Configuration'!J333="","",'12 - Device_Configuration'!J333)</f>
        <v/>
      </c>
      <c r="O332" s="28" t="str">
        <f>IF('12 - Device_Configuration'!K333="","",'12 - Device_Configuration'!K333)</f>
        <v/>
      </c>
      <c r="P332" s="28" t="str">
        <f>IF('12 - Device_Configuration'!L333="","",'12 - Device_Configuration'!L333)</f>
        <v/>
      </c>
      <c r="Q332" s="29"/>
      <c r="R332" s="28" t="str">
        <f>IF('12 - Device_Configuration'!AY333="","",'12 - Device_Configuration'!AY333)</f>
        <v/>
      </c>
      <c r="S332" s="28" t="str">
        <f>IF('12 - Device_Configuration'!AX333="","",'12 - Device_Configuration'!AX333)</f>
        <v/>
      </c>
      <c r="T332" s="28" t="str">
        <f>IF('12 - Device_Configuration'!AV333="","",'12 - Device_Configuration'!AV333)</f>
        <v/>
      </c>
      <c r="U332" s="28" t="str">
        <f>IF('12 - Device_Configuration'!AW333="","",'12 - Device_Configuration'!AW333)</f>
        <v/>
      </c>
      <c r="V332" s="28" t="str">
        <f>IF('12 - Device_Configuration'!BA333="","",'12 - Device_Configuration'!BA333)</f>
        <v/>
      </c>
      <c r="W332" s="28" t="str">
        <f>IF('12 - Device_Configuration'!BC333="","",'12 - Device_Configuration'!BC333)</f>
        <v/>
      </c>
      <c r="X332" s="28" t="str">
        <f>IF('12 - Device_Configuration'!BK333="","",'12 - Device_Configuration'!BK333)</f>
        <v/>
      </c>
      <c r="Y332" s="28" t="str">
        <f>IF('12 - Device_Configuration'!BB333="","",'12 - Device_Configuration'!BB333)</f>
        <v/>
      </c>
      <c r="Z332" s="28" t="str">
        <f>IF('12 - Device_Configuration'!P333="","",'12 - Device_Configuration'!P333)</f>
        <v/>
      </c>
      <c r="AA332" s="28" t="str">
        <f>IF('12 - Device_Configuration'!Q333="","",'12 - Device_Configuration'!Q333)</f>
        <v/>
      </c>
    </row>
    <row r="333" spans="1:27">
      <c r="A333" s="29"/>
      <c r="B333" s="29"/>
      <c r="C333" s="28" t="str">
        <f>IF('12 - Device_Configuration'!H334="","",'12 - Device_Configuration'!H334)</f>
        <v/>
      </c>
      <c r="D333" s="28" t="str">
        <f>IF('12 - Device_Configuration'!AE334="","",'12 - Device_Configuration'!AE334)</f>
        <v/>
      </c>
      <c r="E333" s="28" t="str">
        <f>IF('12 - Device_Configuration'!AF334="","",'12 - Device_Configuration'!AF334)</f>
        <v/>
      </c>
      <c r="F333" s="28" t="str">
        <f>IF('12 - Device_Configuration'!AG334="","",'12 - Device_Configuration'!AG334)</f>
        <v/>
      </c>
      <c r="G333" s="28" t="str">
        <f>IF('12 - Device_Configuration'!AH334="","",'12 - Device_Configuration'!AH334)</f>
        <v/>
      </c>
      <c r="H333" s="28" t="str">
        <f>IF('12 - Device_Configuration'!A334="","",'12 - Device_Configuration'!A334)</f>
        <v/>
      </c>
      <c r="I333" s="28" t="str">
        <f>IF('12 - Device_Configuration'!AI334="","",'12 - Device_Configuration'!AI334)</f>
        <v/>
      </c>
      <c r="J333" s="28" t="str">
        <f>IF('12 - Device_Configuration'!AJ334="","",'12 - Device_Configuration'!AJ334)</f>
        <v/>
      </c>
      <c r="K333" s="28" t="str">
        <f>IF('12 - Device_Configuration'!AA334="","",'12 - Device_Configuration'!AA334)</f>
        <v/>
      </c>
      <c r="L333" s="28" t="str">
        <f>IF('12 - Device_Configuration'!I334="","",'12 - Device_Configuration'!I334)</f>
        <v/>
      </c>
      <c r="M333" s="29"/>
      <c r="N333" s="28" t="str">
        <f>IF('12 - Device_Configuration'!J334="","",'12 - Device_Configuration'!J334)</f>
        <v/>
      </c>
      <c r="O333" s="28" t="str">
        <f>IF('12 - Device_Configuration'!K334="","",'12 - Device_Configuration'!K334)</f>
        <v/>
      </c>
      <c r="P333" s="28" t="str">
        <f>IF('12 - Device_Configuration'!L334="","",'12 - Device_Configuration'!L334)</f>
        <v/>
      </c>
      <c r="Q333" s="29"/>
      <c r="R333" s="28" t="str">
        <f>IF('12 - Device_Configuration'!AY334="","",'12 - Device_Configuration'!AY334)</f>
        <v/>
      </c>
      <c r="S333" s="28" t="str">
        <f>IF('12 - Device_Configuration'!AX334="","",'12 - Device_Configuration'!AX334)</f>
        <v/>
      </c>
      <c r="T333" s="28" t="str">
        <f>IF('12 - Device_Configuration'!AV334="","",'12 - Device_Configuration'!AV334)</f>
        <v/>
      </c>
      <c r="U333" s="28" t="str">
        <f>IF('12 - Device_Configuration'!AW334="","",'12 - Device_Configuration'!AW334)</f>
        <v/>
      </c>
      <c r="V333" s="28" t="str">
        <f>IF('12 - Device_Configuration'!BA334="","",'12 - Device_Configuration'!BA334)</f>
        <v/>
      </c>
      <c r="W333" s="28" t="str">
        <f>IF('12 - Device_Configuration'!BC334="","",'12 - Device_Configuration'!BC334)</f>
        <v/>
      </c>
      <c r="X333" s="28" t="str">
        <f>IF('12 - Device_Configuration'!BK334="","",'12 - Device_Configuration'!BK334)</f>
        <v/>
      </c>
      <c r="Y333" s="28" t="str">
        <f>IF('12 - Device_Configuration'!BB334="","",'12 - Device_Configuration'!BB334)</f>
        <v/>
      </c>
      <c r="Z333" s="28" t="str">
        <f>IF('12 - Device_Configuration'!P334="","",'12 - Device_Configuration'!P334)</f>
        <v/>
      </c>
      <c r="AA333" s="28" t="str">
        <f>IF('12 - Device_Configuration'!Q334="","",'12 - Device_Configuration'!Q334)</f>
        <v/>
      </c>
    </row>
    <row r="334" spans="1:27">
      <c r="A334" s="29"/>
      <c r="B334" s="29"/>
      <c r="C334" s="28" t="str">
        <f>IF('12 - Device_Configuration'!H335="","",'12 - Device_Configuration'!H335)</f>
        <v/>
      </c>
      <c r="D334" s="28" t="str">
        <f>IF('12 - Device_Configuration'!AE335="","",'12 - Device_Configuration'!AE335)</f>
        <v/>
      </c>
      <c r="E334" s="28" t="str">
        <f>IF('12 - Device_Configuration'!AF335="","",'12 - Device_Configuration'!AF335)</f>
        <v/>
      </c>
      <c r="F334" s="28" t="str">
        <f>IF('12 - Device_Configuration'!AG335="","",'12 - Device_Configuration'!AG335)</f>
        <v/>
      </c>
      <c r="G334" s="28" t="str">
        <f>IF('12 - Device_Configuration'!AH335="","",'12 - Device_Configuration'!AH335)</f>
        <v/>
      </c>
      <c r="H334" s="28" t="str">
        <f>IF('12 - Device_Configuration'!A335="","",'12 - Device_Configuration'!A335)</f>
        <v/>
      </c>
      <c r="I334" s="28" t="str">
        <f>IF('12 - Device_Configuration'!AI335="","",'12 - Device_Configuration'!AI335)</f>
        <v/>
      </c>
      <c r="J334" s="28" t="str">
        <f>IF('12 - Device_Configuration'!AJ335="","",'12 - Device_Configuration'!AJ335)</f>
        <v/>
      </c>
      <c r="K334" s="28" t="str">
        <f>IF('12 - Device_Configuration'!AA335="","",'12 - Device_Configuration'!AA335)</f>
        <v/>
      </c>
      <c r="L334" s="28" t="str">
        <f>IF('12 - Device_Configuration'!I335="","",'12 - Device_Configuration'!I335)</f>
        <v/>
      </c>
      <c r="M334" s="29"/>
      <c r="N334" s="28" t="str">
        <f>IF('12 - Device_Configuration'!J335="","",'12 - Device_Configuration'!J335)</f>
        <v/>
      </c>
      <c r="O334" s="28" t="str">
        <f>IF('12 - Device_Configuration'!K335="","",'12 - Device_Configuration'!K335)</f>
        <v/>
      </c>
      <c r="P334" s="28" t="str">
        <f>IF('12 - Device_Configuration'!L335="","",'12 - Device_Configuration'!L335)</f>
        <v/>
      </c>
      <c r="Q334" s="29"/>
      <c r="R334" s="28" t="str">
        <f>IF('12 - Device_Configuration'!AY335="","",'12 - Device_Configuration'!AY335)</f>
        <v/>
      </c>
      <c r="S334" s="28" t="str">
        <f>IF('12 - Device_Configuration'!AX335="","",'12 - Device_Configuration'!AX335)</f>
        <v/>
      </c>
      <c r="T334" s="28" t="str">
        <f>IF('12 - Device_Configuration'!AV335="","",'12 - Device_Configuration'!AV335)</f>
        <v/>
      </c>
      <c r="U334" s="28" t="str">
        <f>IF('12 - Device_Configuration'!AW335="","",'12 - Device_Configuration'!AW335)</f>
        <v/>
      </c>
      <c r="V334" s="28" t="str">
        <f>IF('12 - Device_Configuration'!BA335="","",'12 - Device_Configuration'!BA335)</f>
        <v/>
      </c>
      <c r="W334" s="28" t="str">
        <f>IF('12 - Device_Configuration'!BC335="","",'12 - Device_Configuration'!BC335)</f>
        <v/>
      </c>
      <c r="X334" s="28" t="str">
        <f>IF('12 - Device_Configuration'!BK335="","",'12 - Device_Configuration'!BK335)</f>
        <v/>
      </c>
      <c r="Y334" s="28" t="str">
        <f>IF('12 - Device_Configuration'!BB335="","",'12 - Device_Configuration'!BB335)</f>
        <v/>
      </c>
      <c r="Z334" s="28" t="str">
        <f>IF('12 - Device_Configuration'!P335="","",'12 - Device_Configuration'!P335)</f>
        <v/>
      </c>
      <c r="AA334" s="28" t="str">
        <f>IF('12 - Device_Configuration'!Q335="","",'12 - Device_Configuration'!Q335)</f>
        <v/>
      </c>
    </row>
    <row r="335" spans="1:27">
      <c r="A335" s="29"/>
      <c r="B335" s="29"/>
      <c r="C335" s="28" t="str">
        <f>IF('12 - Device_Configuration'!H336="","",'12 - Device_Configuration'!H336)</f>
        <v/>
      </c>
      <c r="D335" s="28" t="str">
        <f>IF('12 - Device_Configuration'!AE336="","",'12 - Device_Configuration'!AE336)</f>
        <v/>
      </c>
      <c r="E335" s="28" t="str">
        <f>IF('12 - Device_Configuration'!AF336="","",'12 - Device_Configuration'!AF336)</f>
        <v/>
      </c>
      <c r="F335" s="28" t="str">
        <f>IF('12 - Device_Configuration'!AG336="","",'12 - Device_Configuration'!AG336)</f>
        <v/>
      </c>
      <c r="G335" s="28" t="str">
        <f>IF('12 - Device_Configuration'!AH336="","",'12 - Device_Configuration'!AH336)</f>
        <v/>
      </c>
      <c r="H335" s="28" t="str">
        <f>IF('12 - Device_Configuration'!A336="","",'12 - Device_Configuration'!A336)</f>
        <v/>
      </c>
      <c r="I335" s="28" t="str">
        <f>IF('12 - Device_Configuration'!AI336="","",'12 - Device_Configuration'!AI336)</f>
        <v/>
      </c>
      <c r="J335" s="28" t="str">
        <f>IF('12 - Device_Configuration'!AJ336="","",'12 - Device_Configuration'!AJ336)</f>
        <v/>
      </c>
      <c r="K335" s="28" t="str">
        <f>IF('12 - Device_Configuration'!AA336="","",'12 - Device_Configuration'!AA336)</f>
        <v/>
      </c>
      <c r="L335" s="28" t="str">
        <f>IF('12 - Device_Configuration'!I336="","",'12 - Device_Configuration'!I336)</f>
        <v/>
      </c>
      <c r="M335" s="29"/>
      <c r="N335" s="28" t="str">
        <f>IF('12 - Device_Configuration'!J336="","",'12 - Device_Configuration'!J336)</f>
        <v/>
      </c>
      <c r="O335" s="28" t="str">
        <f>IF('12 - Device_Configuration'!K336="","",'12 - Device_Configuration'!K336)</f>
        <v/>
      </c>
      <c r="P335" s="28" t="str">
        <f>IF('12 - Device_Configuration'!L336="","",'12 - Device_Configuration'!L336)</f>
        <v/>
      </c>
      <c r="Q335" s="29"/>
      <c r="R335" s="28" t="str">
        <f>IF('12 - Device_Configuration'!AY336="","",'12 - Device_Configuration'!AY336)</f>
        <v/>
      </c>
      <c r="S335" s="28" t="str">
        <f>IF('12 - Device_Configuration'!AX336="","",'12 - Device_Configuration'!AX336)</f>
        <v/>
      </c>
      <c r="T335" s="28" t="str">
        <f>IF('12 - Device_Configuration'!AV336="","",'12 - Device_Configuration'!AV336)</f>
        <v/>
      </c>
      <c r="U335" s="28" t="str">
        <f>IF('12 - Device_Configuration'!AW336="","",'12 - Device_Configuration'!AW336)</f>
        <v/>
      </c>
      <c r="V335" s="28" t="str">
        <f>IF('12 - Device_Configuration'!BA336="","",'12 - Device_Configuration'!BA336)</f>
        <v/>
      </c>
      <c r="W335" s="28" t="str">
        <f>IF('12 - Device_Configuration'!BC336="","",'12 - Device_Configuration'!BC336)</f>
        <v/>
      </c>
      <c r="X335" s="28" t="str">
        <f>IF('12 - Device_Configuration'!BK336="","",'12 - Device_Configuration'!BK336)</f>
        <v/>
      </c>
      <c r="Y335" s="28" t="str">
        <f>IF('12 - Device_Configuration'!BB336="","",'12 - Device_Configuration'!BB336)</f>
        <v/>
      </c>
      <c r="Z335" s="28" t="str">
        <f>IF('12 - Device_Configuration'!P336="","",'12 - Device_Configuration'!P336)</f>
        <v/>
      </c>
      <c r="AA335" s="28" t="str">
        <f>IF('12 - Device_Configuration'!Q336="","",'12 - Device_Configuration'!Q336)</f>
        <v/>
      </c>
    </row>
    <row r="336" spans="1:27">
      <c r="A336" s="29"/>
      <c r="B336" s="29"/>
      <c r="C336" s="28" t="str">
        <f>IF('12 - Device_Configuration'!H337="","",'12 - Device_Configuration'!H337)</f>
        <v/>
      </c>
      <c r="D336" s="28" t="str">
        <f>IF('12 - Device_Configuration'!AE337="","",'12 - Device_Configuration'!AE337)</f>
        <v/>
      </c>
      <c r="E336" s="28" t="str">
        <f>IF('12 - Device_Configuration'!AF337="","",'12 - Device_Configuration'!AF337)</f>
        <v/>
      </c>
      <c r="F336" s="28" t="str">
        <f>IF('12 - Device_Configuration'!AG337="","",'12 - Device_Configuration'!AG337)</f>
        <v/>
      </c>
      <c r="G336" s="28" t="str">
        <f>IF('12 - Device_Configuration'!AH337="","",'12 - Device_Configuration'!AH337)</f>
        <v/>
      </c>
      <c r="H336" s="28" t="str">
        <f>IF('12 - Device_Configuration'!A337="","",'12 - Device_Configuration'!A337)</f>
        <v/>
      </c>
      <c r="I336" s="28" t="str">
        <f>IF('12 - Device_Configuration'!AI337="","",'12 - Device_Configuration'!AI337)</f>
        <v/>
      </c>
      <c r="J336" s="28" t="str">
        <f>IF('12 - Device_Configuration'!AJ337="","",'12 - Device_Configuration'!AJ337)</f>
        <v/>
      </c>
      <c r="K336" s="28" t="str">
        <f>IF('12 - Device_Configuration'!AA337="","",'12 - Device_Configuration'!AA337)</f>
        <v/>
      </c>
      <c r="L336" s="28" t="str">
        <f>IF('12 - Device_Configuration'!I337="","",'12 - Device_Configuration'!I337)</f>
        <v/>
      </c>
      <c r="M336" s="29"/>
      <c r="N336" s="28" t="str">
        <f>IF('12 - Device_Configuration'!J337="","",'12 - Device_Configuration'!J337)</f>
        <v/>
      </c>
      <c r="O336" s="28" t="str">
        <f>IF('12 - Device_Configuration'!K337="","",'12 - Device_Configuration'!K337)</f>
        <v/>
      </c>
      <c r="P336" s="28" t="str">
        <f>IF('12 - Device_Configuration'!L337="","",'12 - Device_Configuration'!L337)</f>
        <v/>
      </c>
      <c r="Q336" s="29"/>
      <c r="R336" s="28" t="str">
        <f>IF('12 - Device_Configuration'!AY337="","",'12 - Device_Configuration'!AY337)</f>
        <v/>
      </c>
      <c r="S336" s="28" t="str">
        <f>IF('12 - Device_Configuration'!AX337="","",'12 - Device_Configuration'!AX337)</f>
        <v/>
      </c>
      <c r="T336" s="28" t="str">
        <f>IF('12 - Device_Configuration'!AV337="","",'12 - Device_Configuration'!AV337)</f>
        <v/>
      </c>
      <c r="U336" s="28" t="str">
        <f>IF('12 - Device_Configuration'!AW337="","",'12 - Device_Configuration'!AW337)</f>
        <v/>
      </c>
      <c r="V336" s="28" t="str">
        <f>IF('12 - Device_Configuration'!BA337="","",'12 - Device_Configuration'!BA337)</f>
        <v/>
      </c>
      <c r="W336" s="28" t="str">
        <f>IF('12 - Device_Configuration'!BC337="","",'12 - Device_Configuration'!BC337)</f>
        <v/>
      </c>
      <c r="X336" s="28" t="str">
        <f>IF('12 - Device_Configuration'!BK337="","",'12 - Device_Configuration'!BK337)</f>
        <v/>
      </c>
      <c r="Y336" s="28" t="str">
        <f>IF('12 - Device_Configuration'!BB337="","",'12 - Device_Configuration'!BB337)</f>
        <v/>
      </c>
      <c r="Z336" s="28" t="str">
        <f>IF('12 - Device_Configuration'!P337="","",'12 - Device_Configuration'!P337)</f>
        <v/>
      </c>
      <c r="AA336" s="28" t="str">
        <f>IF('12 - Device_Configuration'!Q337="","",'12 - Device_Configuration'!Q337)</f>
        <v/>
      </c>
    </row>
    <row r="337" spans="1:27">
      <c r="A337" s="29"/>
      <c r="B337" s="29"/>
      <c r="C337" s="28" t="str">
        <f>IF('12 - Device_Configuration'!H338="","",'12 - Device_Configuration'!H338)</f>
        <v/>
      </c>
      <c r="D337" s="28" t="str">
        <f>IF('12 - Device_Configuration'!AE338="","",'12 - Device_Configuration'!AE338)</f>
        <v/>
      </c>
      <c r="E337" s="28" t="str">
        <f>IF('12 - Device_Configuration'!AF338="","",'12 - Device_Configuration'!AF338)</f>
        <v/>
      </c>
      <c r="F337" s="28" t="str">
        <f>IF('12 - Device_Configuration'!AG338="","",'12 - Device_Configuration'!AG338)</f>
        <v/>
      </c>
      <c r="G337" s="28" t="str">
        <f>IF('12 - Device_Configuration'!AH338="","",'12 - Device_Configuration'!AH338)</f>
        <v/>
      </c>
      <c r="H337" s="28" t="str">
        <f>IF('12 - Device_Configuration'!A338="","",'12 - Device_Configuration'!A338)</f>
        <v/>
      </c>
      <c r="I337" s="28" t="str">
        <f>IF('12 - Device_Configuration'!AI338="","",'12 - Device_Configuration'!AI338)</f>
        <v/>
      </c>
      <c r="J337" s="28" t="str">
        <f>IF('12 - Device_Configuration'!AJ338="","",'12 - Device_Configuration'!AJ338)</f>
        <v/>
      </c>
      <c r="K337" s="28" t="str">
        <f>IF('12 - Device_Configuration'!AA338="","",'12 - Device_Configuration'!AA338)</f>
        <v/>
      </c>
      <c r="L337" s="28" t="str">
        <f>IF('12 - Device_Configuration'!I338="","",'12 - Device_Configuration'!I338)</f>
        <v/>
      </c>
      <c r="M337" s="29"/>
      <c r="N337" s="28" t="str">
        <f>IF('12 - Device_Configuration'!J338="","",'12 - Device_Configuration'!J338)</f>
        <v/>
      </c>
      <c r="O337" s="28" t="str">
        <f>IF('12 - Device_Configuration'!K338="","",'12 - Device_Configuration'!K338)</f>
        <v/>
      </c>
      <c r="P337" s="28" t="str">
        <f>IF('12 - Device_Configuration'!L338="","",'12 - Device_Configuration'!L338)</f>
        <v/>
      </c>
      <c r="Q337" s="29"/>
      <c r="R337" s="28" t="str">
        <f>IF('12 - Device_Configuration'!AY338="","",'12 - Device_Configuration'!AY338)</f>
        <v/>
      </c>
      <c r="S337" s="28" t="str">
        <f>IF('12 - Device_Configuration'!AX338="","",'12 - Device_Configuration'!AX338)</f>
        <v/>
      </c>
      <c r="T337" s="28" t="str">
        <f>IF('12 - Device_Configuration'!AV338="","",'12 - Device_Configuration'!AV338)</f>
        <v/>
      </c>
      <c r="U337" s="28" t="str">
        <f>IF('12 - Device_Configuration'!AW338="","",'12 - Device_Configuration'!AW338)</f>
        <v/>
      </c>
      <c r="V337" s="28" t="str">
        <f>IF('12 - Device_Configuration'!BA338="","",'12 - Device_Configuration'!BA338)</f>
        <v/>
      </c>
      <c r="W337" s="28" t="str">
        <f>IF('12 - Device_Configuration'!BC338="","",'12 - Device_Configuration'!BC338)</f>
        <v/>
      </c>
      <c r="X337" s="28" t="str">
        <f>IF('12 - Device_Configuration'!BK338="","",'12 - Device_Configuration'!BK338)</f>
        <v/>
      </c>
      <c r="Y337" s="28" t="str">
        <f>IF('12 - Device_Configuration'!BB338="","",'12 - Device_Configuration'!BB338)</f>
        <v/>
      </c>
      <c r="Z337" s="28" t="str">
        <f>IF('12 - Device_Configuration'!P338="","",'12 - Device_Configuration'!P338)</f>
        <v/>
      </c>
      <c r="AA337" s="28" t="str">
        <f>IF('12 - Device_Configuration'!Q338="","",'12 - Device_Configuration'!Q338)</f>
        <v/>
      </c>
    </row>
    <row r="338" spans="1:27">
      <c r="A338" s="29"/>
      <c r="B338" s="29"/>
      <c r="C338" s="28" t="str">
        <f>IF('12 - Device_Configuration'!H339="","",'12 - Device_Configuration'!H339)</f>
        <v/>
      </c>
      <c r="D338" s="28" t="str">
        <f>IF('12 - Device_Configuration'!AE339="","",'12 - Device_Configuration'!AE339)</f>
        <v/>
      </c>
      <c r="E338" s="28" t="str">
        <f>IF('12 - Device_Configuration'!AF339="","",'12 - Device_Configuration'!AF339)</f>
        <v/>
      </c>
      <c r="F338" s="28" t="str">
        <f>IF('12 - Device_Configuration'!AG339="","",'12 - Device_Configuration'!AG339)</f>
        <v/>
      </c>
      <c r="G338" s="28" t="str">
        <f>IF('12 - Device_Configuration'!AH339="","",'12 - Device_Configuration'!AH339)</f>
        <v/>
      </c>
      <c r="H338" s="28" t="str">
        <f>IF('12 - Device_Configuration'!A339="","",'12 - Device_Configuration'!A339)</f>
        <v/>
      </c>
      <c r="I338" s="28" t="str">
        <f>IF('12 - Device_Configuration'!AI339="","",'12 - Device_Configuration'!AI339)</f>
        <v/>
      </c>
      <c r="J338" s="28" t="str">
        <f>IF('12 - Device_Configuration'!AJ339="","",'12 - Device_Configuration'!AJ339)</f>
        <v/>
      </c>
      <c r="K338" s="28" t="str">
        <f>IF('12 - Device_Configuration'!AA339="","",'12 - Device_Configuration'!AA339)</f>
        <v/>
      </c>
      <c r="L338" s="28" t="str">
        <f>IF('12 - Device_Configuration'!I339="","",'12 - Device_Configuration'!I339)</f>
        <v/>
      </c>
      <c r="M338" s="29"/>
      <c r="N338" s="28" t="str">
        <f>IF('12 - Device_Configuration'!J339="","",'12 - Device_Configuration'!J339)</f>
        <v/>
      </c>
      <c r="O338" s="28" t="str">
        <f>IF('12 - Device_Configuration'!K339="","",'12 - Device_Configuration'!K339)</f>
        <v/>
      </c>
      <c r="P338" s="28" t="str">
        <f>IF('12 - Device_Configuration'!L339="","",'12 - Device_Configuration'!L339)</f>
        <v/>
      </c>
      <c r="Q338" s="29"/>
      <c r="R338" s="28" t="str">
        <f>IF('12 - Device_Configuration'!AY339="","",'12 - Device_Configuration'!AY339)</f>
        <v/>
      </c>
      <c r="S338" s="28" t="str">
        <f>IF('12 - Device_Configuration'!AX339="","",'12 - Device_Configuration'!AX339)</f>
        <v/>
      </c>
      <c r="T338" s="28" t="str">
        <f>IF('12 - Device_Configuration'!AV339="","",'12 - Device_Configuration'!AV339)</f>
        <v/>
      </c>
      <c r="U338" s="28" t="str">
        <f>IF('12 - Device_Configuration'!AW339="","",'12 - Device_Configuration'!AW339)</f>
        <v/>
      </c>
      <c r="V338" s="28" t="str">
        <f>IF('12 - Device_Configuration'!BA339="","",'12 - Device_Configuration'!BA339)</f>
        <v/>
      </c>
      <c r="W338" s="28" t="str">
        <f>IF('12 - Device_Configuration'!BC339="","",'12 - Device_Configuration'!BC339)</f>
        <v/>
      </c>
      <c r="X338" s="28" t="str">
        <f>IF('12 - Device_Configuration'!BK339="","",'12 - Device_Configuration'!BK339)</f>
        <v/>
      </c>
      <c r="Y338" s="28" t="str">
        <f>IF('12 - Device_Configuration'!BB339="","",'12 - Device_Configuration'!BB339)</f>
        <v/>
      </c>
      <c r="Z338" s="28" t="str">
        <f>IF('12 - Device_Configuration'!P339="","",'12 - Device_Configuration'!P339)</f>
        <v/>
      </c>
      <c r="AA338" s="28" t="str">
        <f>IF('12 - Device_Configuration'!Q339="","",'12 - Device_Configuration'!Q339)</f>
        <v/>
      </c>
    </row>
    <row r="339" spans="1:27">
      <c r="A339" s="29"/>
      <c r="B339" s="29"/>
      <c r="C339" s="28" t="str">
        <f>IF('12 - Device_Configuration'!H340="","",'12 - Device_Configuration'!H340)</f>
        <v/>
      </c>
      <c r="D339" s="28" t="str">
        <f>IF('12 - Device_Configuration'!AE340="","",'12 - Device_Configuration'!AE340)</f>
        <v/>
      </c>
      <c r="E339" s="28" t="str">
        <f>IF('12 - Device_Configuration'!AF340="","",'12 - Device_Configuration'!AF340)</f>
        <v/>
      </c>
      <c r="F339" s="28" t="str">
        <f>IF('12 - Device_Configuration'!AG340="","",'12 - Device_Configuration'!AG340)</f>
        <v/>
      </c>
      <c r="G339" s="28" t="str">
        <f>IF('12 - Device_Configuration'!AH340="","",'12 - Device_Configuration'!AH340)</f>
        <v/>
      </c>
      <c r="H339" s="28" t="str">
        <f>IF('12 - Device_Configuration'!A340="","",'12 - Device_Configuration'!A340)</f>
        <v/>
      </c>
      <c r="I339" s="28" t="str">
        <f>IF('12 - Device_Configuration'!AI340="","",'12 - Device_Configuration'!AI340)</f>
        <v/>
      </c>
      <c r="J339" s="28" t="str">
        <f>IF('12 - Device_Configuration'!AJ340="","",'12 - Device_Configuration'!AJ340)</f>
        <v/>
      </c>
      <c r="K339" s="28" t="str">
        <f>IF('12 - Device_Configuration'!AA340="","",'12 - Device_Configuration'!AA340)</f>
        <v/>
      </c>
      <c r="L339" s="28" t="str">
        <f>IF('12 - Device_Configuration'!I340="","",'12 - Device_Configuration'!I340)</f>
        <v/>
      </c>
      <c r="M339" s="29"/>
      <c r="N339" s="28" t="str">
        <f>IF('12 - Device_Configuration'!J340="","",'12 - Device_Configuration'!J340)</f>
        <v/>
      </c>
      <c r="O339" s="28" t="str">
        <f>IF('12 - Device_Configuration'!K340="","",'12 - Device_Configuration'!K340)</f>
        <v/>
      </c>
      <c r="P339" s="28" t="str">
        <f>IF('12 - Device_Configuration'!L340="","",'12 - Device_Configuration'!L340)</f>
        <v/>
      </c>
      <c r="Q339" s="29"/>
      <c r="R339" s="28" t="str">
        <f>IF('12 - Device_Configuration'!AY340="","",'12 - Device_Configuration'!AY340)</f>
        <v/>
      </c>
      <c r="S339" s="28" t="str">
        <f>IF('12 - Device_Configuration'!AX340="","",'12 - Device_Configuration'!AX340)</f>
        <v/>
      </c>
      <c r="T339" s="28" t="str">
        <f>IF('12 - Device_Configuration'!AV340="","",'12 - Device_Configuration'!AV340)</f>
        <v/>
      </c>
      <c r="U339" s="28" t="str">
        <f>IF('12 - Device_Configuration'!AW340="","",'12 - Device_Configuration'!AW340)</f>
        <v/>
      </c>
      <c r="V339" s="28" t="str">
        <f>IF('12 - Device_Configuration'!BA340="","",'12 - Device_Configuration'!BA340)</f>
        <v/>
      </c>
      <c r="W339" s="28" t="str">
        <f>IF('12 - Device_Configuration'!BC340="","",'12 - Device_Configuration'!BC340)</f>
        <v/>
      </c>
      <c r="X339" s="28" t="str">
        <f>IF('12 - Device_Configuration'!BK340="","",'12 - Device_Configuration'!BK340)</f>
        <v/>
      </c>
      <c r="Y339" s="28" t="str">
        <f>IF('12 - Device_Configuration'!BB340="","",'12 - Device_Configuration'!BB340)</f>
        <v/>
      </c>
      <c r="Z339" s="28" t="str">
        <f>IF('12 - Device_Configuration'!P340="","",'12 - Device_Configuration'!P340)</f>
        <v/>
      </c>
      <c r="AA339" s="28" t="str">
        <f>IF('12 - Device_Configuration'!Q340="","",'12 - Device_Configuration'!Q340)</f>
        <v/>
      </c>
    </row>
    <row r="340" spans="1:27">
      <c r="A340" s="29"/>
      <c r="B340" s="29"/>
      <c r="C340" s="28" t="str">
        <f>IF('12 - Device_Configuration'!H341="","",'12 - Device_Configuration'!H341)</f>
        <v/>
      </c>
      <c r="D340" s="28" t="str">
        <f>IF('12 - Device_Configuration'!AE341="","",'12 - Device_Configuration'!AE341)</f>
        <v/>
      </c>
      <c r="E340" s="28" t="str">
        <f>IF('12 - Device_Configuration'!AF341="","",'12 - Device_Configuration'!AF341)</f>
        <v/>
      </c>
      <c r="F340" s="28" t="str">
        <f>IF('12 - Device_Configuration'!AG341="","",'12 - Device_Configuration'!AG341)</f>
        <v/>
      </c>
      <c r="G340" s="28" t="str">
        <f>IF('12 - Device_Configuration'!AH341="","",'12 - Device_Configuration'!AH341)</f>
        <v/>
      </c>
      <c r="H340" s="28" t="str">
        <f>IF('12 - Device_Configuration'!A341="","",'12 - Device_Configuration'!A341)</f>
        <v/>
      </c>
      <c r="I340" s="28" t="str">
        <f>IF('12 - Device_Configuration'!AI341="","",'12 - Device_Configuration'!AI341)</f>
        <v/>
      </c>
      <c r="J340" s="28" t="str">
        <f>IF('12 - Device_Configuration'!AJ341="","",'12 - Device_Configuration'!AJ341)</f>
        <v/>
      </c>
      <c r="K340" s="28" t="str">
        <f>IF('12 - Device_Configuration'!AA341="","",'12 - Device_Configuration'!AA341)</f>
        <v/>
      </c>
      <c r="L340" s="28" t="str">
        <f>IF('12 - Device_Configuration'!I341="","",'12 - Device_Configuration'!I341)</f>
        <v/>
      </c>
      <c r="M340" s="29"/>
      <c r="N340" s="28" t="str">
        <f>IF('12 - Device_Configuration'!J341="","",'12 - Device_Configuration'!J341)</f>
        <v/>
      </c>
      <c r="O340" s="28" t="str">
        <f>IF('12 - Device_Configuration'!K341="","",'12 - Device_Configuration'!K341)</f>
        <v/>
      </c>
      <c r="P340" s="28" t="str">
        <f>IF('12 - Device_Configuration'!L341="","",'12 - Device_Configuration'!L341)</f>
        <v/>
      </c>
      <c r="Q340" s="29"/>
      <c r="R340" s="28" t="str">
        <f>IF('12 - Device_Configuration'!AY341="","",'12 - Device_Configuration'!AY341)</f>
        <v/>
      </c>
      <c r="S340" s="28" t="str">
        <f>IF('12 - Device_Configuration'!AX341="","",'12 - Device_Configuration'!AX341)</f>
        <v/>
      </c>
      <c r="T340" s="28" t="str">
        <f>IF('12 - Device_Configuration'!AV341="","",'12 - Device_Configuration'!AV341)</f>
        <v/>
      </c>
      <c r="U340" s="28" t="str">
        <f>IF('12 - Device_Configuration'!AW341="","",'12 - Device_Configuration'!AW341)</f>
        <v/>
      </c>
      <c r="V340" s="28" t="str">
        <f>IF('12 - Device_Configuration'!BA341="","",'12 - Device_Configuration'!BA341)</f>
        <v/>
      </c>
      <c r="W340" s="28" t="str">
        <f>IF('12 - Device_Configuration'!BC341="","",'12 - Device_Configuration'!BC341)</f>
        <v/>
      </c>
      <c r="X340" s="28" t="str">
        <f>IF('12 - Device_Configuration'!BK341="","",'12 - Device_Configuration'!BK341)</f>
        <v/>
      </c>
      <c r="Y340" s="28" t="str">
        <f>IF('12 - Device_Configuration'!BB341="","",'12 - Device_Configuration'!BB341)</f>
        <v/>
      </c>
      <c r="Z340" s="28" t="str">
        <f>IF('12 - Device_Configuration'!P341="","",'12 - Device_Configuration'!P341)</f>
        <v/>
      </c>
      <c r="AA340" s="28" t="str">
        <f>IF('12 - Device_Configuration'!Q341="","",'12 - Device_Configuration'!Q341)</f>
        <v/>
      </c>
    </row>
    <row r="341" spans="1:27">
      <c r="A341" s="29"/>
      <c r="B341" s="29"/>
      <c r="C341" s="28" t="str">
        <f>IF('12 - Device_Configuration'!H342="","",'12 - Device_Configuration'!H342)</f>
        <v/>
      </c>
      <c r="D341" s="28" t="str">
        <f>IF('12 - Device_Configuration'!AE342="","",'12 - Device_Configuration'!AE342)</f>
        <v/>
      </c>
      <c r="E341" s="28" t="str">
        <f>IF('12 - Device_Configuration'!AF342="","",'12 - Device_Configuration'!AF342)</f>
        <v/>
      </c>
      <c r="F341" s="28" t="str">
        <f>IF('12 - Device_Configuration'!AG342="","",'12 - Device_Configuration'!AG342)</f>
        <v/>
      </c>
      <c r="G341" s="28" t="str">
        <f>IF('12 - Device_Configuration'!AH342="","",'12 - Device_Configuration'!AH342)</f>
        <v/>
      </c>
      <c r="H341" s="28" t="str">
        <f>IF('12 - Device_Configuration'!A342="","",'12 - Device_Configuration'!A342)</f>
        <v/>
      </c>
      <c r="I341" s="28" t="str">
        <f>IF('12 - Device_Configuration'!AI342="","",'12 - Device_Configuration'!AI342)</f>
        <v/>
      </c>
      <c r="J341" s="28" t="str">
        <f>IF('12 - Device_Configuration'!AJ342="","",'12 - Device_Configuration'!AJ342)</f>
        <v/>
      </c>
      <c r="K341" s="28" t="str">
        <f>IF('12 - Device_Configuration'!AA342="","",'12 - Device_Configuration'!AA342)</f>
        <v/>
      </c>
      <c r="L341" s="28" t="str">
        <f>IF('12 - Device_Configuration'!I342="","",'12 - Device_Configuration'!I342)</f>
        <v/>
      </c>
      <c r="M341" s="29"/>
      <c r="N341" s="28" t="str">
        <f>IF('12 - Device_Configuration'!J342="","",'12 - Device_Configuration'!J342)</f>
        <v/>
      </c>
      <c r="O341" s="28" t="str">
        <f>IF('12 - Device_Configuration'!K342="","",'12 - Device_Configuration'!K342)</f>
        <v/>
      </c>
      <c r="P341" s="28" t="str">
        <f>IF('12 - Device_Configuration'!L342="","",'12 - Device_Configuration'!L342)</f>
        <v/>
      </c>
      <c r="Q341" s="29"/>
      <c r="R341" s="28" t="str">
        <f>IF('12 - Device_Configuration'!AY342="","",'12 - Device_Configuration'!AY342)</f>
        <v/>
      </c>
      <c r="S341" s="28" t="str">
        <f>IF('12 - Device_Configuration'!AX342="","",'12 - Device_Configuration'!AX342)</f>
        <v/>
      </c>
      <c r="T341" s="28" t="str">
        <f>IF('12 - Device_Configuration'!AV342="","",'12 - Device_Configuration'!AV342)</f>
        <v/>
      </c>
      <c r="U341" s="28" t="str">
        <f>IF('12 - Device_Configuration'!AW342="","",'12 - Device_Configuration'!AW342)</f>
        <v/>
      </c>
      <c r="V341" s="28" t="str">
        <f>IF('12 - Device_Configuration'!BA342="","",'12 - Device_Configuration'!BA342)</f>
        <v/>
      </c>
      <c r="W341" s="28" t="str">
        <f>IF('12 - Device_Configuration'!BC342="","",'12 - Device_Configuration'!BC342)</f>
        <v/>
      </c>
      <c r="X341" s="28" t="str">
        <f>IF('12 - Device_Configuration'!BK342="","",'12 - Device_Configuration'!BK342)</f>
        <v/>
      </c>
      <c r="Y341" s="28" t="str">
        <f>IF('12 - Device_Configuration'!BB342="","",'12 - Device_Configuration'!BB342)</f>
        <v/>
      </c>
      <c r="Z341" s="28" t="str">
        <f>IF('12 - Device_Configuration'!P342="","",'12 - Device_Configuration'!P342)</f>
        <v/>
      </c>
      <c r="AA341" s="28" t="str">
        <f>IF('12 - Device_Configuration'!Q342="","",'12 - Device_Configuration'!Q342)</f>
        <v/>
      </c>
    </row>
    <row r="342" spans="1:27">
      <c r="A342" s="29"/>
      <c r="B342" s="29"/>
      <c r="C342" s="28" t="str">
        <f>IF('12 - Device_Configuration'!H343="","",'12 - Device_Configuration'!H343)</f>
        <v/>
      </c>
      <c r="D342" s="28" t="str">
        <f>IF('12 - Device_Configuration'!AE343="","",'12 - Device_Configuration'!AE343)</f>
        <v/>
      </c>
      <c r="E342" s="28" t="str">
        <f>IF('12 - Device_Configuration'!AF343="","",'12 - Device_Configuration'!AF343)</f>
        <v/>
      </c>
      <c r="F342" s="28" t="str">
        <f>IF('12 - Device_Configuration'!AG343="","",'12 - Device_Configuration'!AG343)</f>
        <v/>
      </c>
      <c r="G342" s="28" t="str">
        <f>IF('12 - Device_Configuration'!AH343="","",'12 - Device_Configuration'!AH343)</f>
        <v/>
      </c>
      <c r="H342" s="28" t="str">
        <f>IF('12 - Device_Configuration'!A343="","",'12 - Device_Configuration'!A343)</f>
        <v/>
      </c>
      <c r="I342" s="28" t="str">
        <f>IF('12 - Device_Configuration'!AI343="","",'12 - Device_Configuration'!AI343)</f>
        <v/>
      </c>
      <c r="J342" s="28" t="str">
        <f>IF('12 - Device_Configuration'!AJ343="","",'12 - Device_Configuration'!AJ343)</f>
        <v/>
      </c>
      <c r="K342" s="28" t="str">
        <f>IF('12 - Device_Configuration'!AA343="","",'12 - Device_Configuration'!AA343)</f>
        <v/>
      </c>
      <c r="L342" s="28" t="str">
        <f>IF('12 - Device_Configuration'!I343="","",'12 - Device_Configuration'!I343)</f>
        <v/>
      </c>
      <c r="M342" s="29"/>
      <c r="N342" s="28" t="str">
        <f>IF('12 - Device_Configuration'!J343="","",'12 - Device_Configuration'!J343)</f>
        <v/>
      </c>
      <c r="O342" s="28" t="str">
        <f>IF('12 - Device_Configuration'!K343="","",'12 - Device_Configuration'!K343)</f>
        <v/>
      </c>
      <c r="P342" s="28" t="str">
        <f>IF('12 - Device_Configuration'!L343="","",'12 - Device_Configuration'!L343)</f>
        <v/>
      </c>
      <c r="Q342" s="29"/>
      <c r="R342" s="28" t="str">
        <f>IF('12 - Device_Configuration'!AY343="","",'12 - Device_Configuration'!AY343)</f>
        <v/>
      </c>
      <c r="S342" s="28" t="str">
        <f>IF('12 - Device_Configuration'!AX343="","",'12 - Device_Configuration'!AX343)</f>
        <v/>
      </c>
      <c r="T342" s="28" t="str">
        <f>IF('12 - Device_Configuration'!AV343="","",'12 - Device_Configuration'!AV343)</f>
        <v/>
      </c>
      <c r="U342" s="28" t="str">
        <f>IF('12 - Device_Configuration'!AW343="","",'12 - Device_Configuration'!AW343)</f>
        <v/>
      </c>
      <c r="V342" s="28" t="str">
        <f>IF('12 - Device_Configuration'!BA343="","",'12 - Device_Configuration'!BA343)</f>
        <v/>
      </c>
      <c r="W342" s="28" t="str">
        <f>IF('12 - Device_Configuration'!BC343="","",'12 - Device_Configuration'!BC343)</f>
        <v/>
      </c>
      <c r="X342" s="28" t="str">
        <f>IF('12 - Device_Configuration'!BK343="","",'12 - Device_Configuration'!BK343)</f>
        <v/>
      </c>
      <c r="Y342" s="28" t="str">
        <f>IF('12 - Device_Configuration'!BB343="","",'12 - Device_Configuration'!BB343)</f>
        <v/>
      </c>
      <c r="Z342" s="28" t="str">
        <f>IF('12 - Device_Configuration'!P343="","",'12 - Device_Configuration'!P343)</f>
        <v/>
      </c>
      <c r="AA342" s="28" t="str">
        <f>IF('12 - Device_Configuration'!Q343="","",'12 - Device_Configuration'!Q343)</f>
        <v/>
      </c>
    </row>
    <row r="343" spans="1:27">
      <c r="A343" s="29"/>
      <c r="B343" s="29"/>
      <c r="C343" s="28" t="str">
        <f>IF('12 - Device_Configuration'!H344="","",'12 - Device_Configuration'!H344)</f>
        <v/>
      </c>
      <c r="D343" s="28" t="str">
        <f>IF('12 - Device_Configuration'!AE344="","",'12 - Device_Configuration'!AE344)</f>
        <v/>
      </c>
      <c r="E343" s="28" t="str">
        <f>IF('12 - Device_Configuration'!AF344="","",'12 - Device_Configuration'!AF344)</f>
        <v/>
      </c>
      <c r="F343" s="28" t="str">
        <f>IF('12 - Device_Configuration'!AG344="","",'12 - Device_Configuration'!AG344)</f>
        <v/>
      </c>
      <c r="G343" s="28" t="str">
        <f>IF('12 - Device_Configuration'!AH344="","",'12 - Device_Configuration'!AH344)</f>
        <v/>
      </c>
      <c r="H343" s="28" t="str">
        <f>IF('12 - Device_Configuration'!A344="","",'12 - Device_Configuration'!A344)</f>
        <v/>
      </c>
      <c r="I343" s="28" t="str">
        <f>IF('12 - Device_Configuration'!AI344="","",'12 - Device_Configuration'!AI344)</f>
        <v/>
      </c>
      <c r="J343" s="28" t="str">
        <f>IF('12 - Device_Configuration'!AJ344="","",'12 - Device_Configuration'!AJ344)</f>
        <v/>
      </c>
      <c r="K343" s="28" t="str">
        <f>IF('12 - Device_Configuration'!AA344="","",'12 - Device_Configuration'!AA344)</f>
        <v/>
      </c>
      <c r="L343" s="28" t="str">
        <f>IF('12 - Device_Configuration'!I344="","",'12 - Device_Configuration'!I344)</f>
        <v/>
      </c>
      <c r="M343" s="29"/>
      <c r="N343" s="28" t="str">
        <f>IF('12 - Device_Configuration'!J344="","",'12 - Device_Configuration'!J344)</f>
        <v/>
      </c>
      <c r="O343" s="28" t="str">
        <f>IF('12 - Device_Configuration'!K344="","",'12 - Device_Configuration'!K344)</f>
        <v/>
      </c>
      <c r="P343" s="28" t="str">
        <f>IF('12 - Device_Configuration'!L344="","",'12 - Device_Configuration'!L344)</f>
        <v/>
      </c>
      <c r="Q343" s="29"/>
      <c r="R343" s="28" t="str">
        <f>IF('12 - Device_Configuration'!AY344="","",'12 - Device_Configuration'!AY344)</f>
        <v/>
      </c>
      <c r="S343" s="28" t="str">
        <f>IF('12 - Device_Configuration'!AX344="","",'12 - Device_Configuration'!AX344)</f>
        <v/>
      </c>
      <c r="T343" s="28" t="str">
        <f>IF('12 - Device_Configuration'!AV344="","",'12 - Device_Configuration'!AV344)</f>
        <v/>
      </c>
      <c r="U343" s="28" t="str">
        <f>IF('12 - Device_Configuration'!AW344="","",'12 - Device_Configuration'!AW344)</f>
        <v/>
      </c>
      <c r="V343" s="28" t="str">
        <f>IF('12 - Device_Configuration'!BA344="","",'12 - Device_Configuration'!BA344)</f>
        <v/>
      </c>
      <c r="W343" s="28" t="str">
        <f>IF('12 - Device_Configuration'!BC344="","",'12 - Device_Configuration'!BC344)</f>
        <v/>
      </c>
      <c r="X343" s="28" t="str">
        <f>IF('12 - Device_Configuration'!BK344="","",'12 - Device_Configuration'!BK344)</f>
        <v/>
      </c>
      <c r="Y343" s="28" t="str">
        <f>IF('12 - Device_Configuration'!BB344="","",'12 - Device_Configuration'!BB344)</f>
        <v/>
      </c>
      <c r="Z343" s="28" t="str">
        <f>IF('12 - Device_Configuration'!P344="","",'12 - Device_Configuration'!P344)</f>
        <v/>
      </c>
      <c r="AA343" s="28" t="str">
        <f>IF('12 - Device_Configuration'!Q344="","",'12 - Device_Configuration'!Q344)</f>
        <v/>
      </c>
    </row>
    <row r="344" spans="1:27">
      <c r="A344" s="29"/>
      <c r="B344" s="29"/>
      <c r="C344" s="28" t="str">
        <f>IF('12 - Device_Configuration'!H345="","",'12 - Device_Configuration'!H345)</f>
        <v/>
      </c>
      <c r="D344" s="28" t="str">
        <f>IF('12 - Device_Configuration'!AE345="","",'12 - Device_Configuration'!AE345)</f>
        <v/>
      </c>
      <c r="E344" s="28" t="str">
        <f>IF('12 - Device_Configuration'!AF345="","",'12 - Device_Configuration'!AF345)</f>
        <v/>
      </c>
      <c r="F344" s="28" t="str">
        <f>IF('12 - Device_Configuration'!AG345="","",'12 - Device_Configuration'!AG345)</f>
        <v/>
      </c>
      <c r="G344" s="28" t="str">
        <f>IF('12 - Device_Configuration'!AH345="","",'12 - Device_Configuration'!AH345)</f>
        <v/>
      </c>
      <c r="H344" s="28" t="str">
        <f>IF('12 - Device_Configuration'!A345="","",'12 - Device_Configuration'!A345)</f>
        <v/>
      </c>
      <c r="I344" s="28" t="str">
        <f>IF('12 - Device_Configuration'!AI345="","",'12 - Device_Configuration'!AI345)</f>
        <v/>
      </c>
      <c r="J344" s="28" t="str">
        <f>IF('12 - Device_Configuration'!AJ345="","",'12 - Device_Configuration'!AJ345)</f>
        <v/>
      </c>
      <c r="K344" s="28" t="str">
        <f>IF('12 - Device_Configuration'!AA345="","",'12 - Device_Configuration'!AA345)</f>
        <v/>
      </c>
      <c r="L344" s="28" t="str">
        <f>IF('12 - Device_Configuration'!I345="","",'12 - Device_Configuration'!I345)</f>
        <v/>
      </c>
      <c r="M344" s="29"/>
      <c r="N344" s="28" t="str">
        <f>IF('12 - Device_Configuration'!J345="","",'12 - Device_Configuration'!J345)</f>
        <v/>
      </c>
      <c r="O344" s="28" t="str">
        <f>IF('12 - Device_Configuration'!K345="","",'12 - Device_Configuration'!K345)</f>
        <v/>
      </c>
      <c r="P344" s="28" t="str">
        <f>IF('12 - Device_Configuration'!L345="","",'12 - Device_Configuration'!L345)</f>
        <v/>
      </c>
      <c r="Q344" s="29"/>
      <c r="R344" s="28" t="str">
        <f>IF('12 - Device_Configuration'!AY345="","",'12 - Device_Configuration'!AY345)</f>
        <v/>
      </c>
      <c r="S344" s="28" t="str">
        <f>IF('12 - Device_Configuration'!AX345="","",'12 - Device_Configuration'!AX345)</f>
        <v/>
      </c>
      <c r="T344" s="28" t="str">
        <f>IF('12 - Device_Configuration'!AV345="","",'12 - Device_Configuration'!AV345)</f>
        <v/>
      </c>
      <c r="U344" s="28" t="str">
        <f>IF('12 - Device_Configuration'!AW345="","",'12 - Device_Configuration'!AW345)</f>
        <v/>
      </c>
      <c r="V344" s="28" t="str">
        <f>IF('12 - Device_Configuration'!BA345="","",'12 - Device_Configuration'!BA345)</f>
        <v/>
      </c>
      <c r="W344" s="28" t="str">
        <f>IF('12 - Device_Configuration'!BC345="","",'12 - Device_Configuration'!BC345)</f>
        <v/>
      </c>
      <c r="X344" s="28" t="str">
        <f>IF('12 - Device_Configuration'!BK345="","",'12 - Device_Configuration'!BK345)</f>
        <v/>
      </c>
      <c r="Y344" s="28" t="str">
        <f>IF('12 - Device_Configuration'!BB345="","",'12 - Device_Configuration'!BB345)</f>
        <v/>
      </c>
      <c r="Z344" s="28" t="str">
        <f>IF('12 - Device_Configuration'!P345="","",'12 - Device_Configuration'!P345)</f>
        <v/>
      </c>
      <c r="AA344" s="28" t="str">
        <f>IF('12 - Device_Configuration'!Q345="","",'12 - Device_Configuration'!Q345)</f>
        <v/>
      </c>
    </row>
    <row r="345" spans="1:27">
      <c r="A345" s="29"/>
      <c r="B345" s="29"/>
      <c r="C345" s="28" t="str">
        <f>IF('12 - Device_Configuration'!H346="","",'12 - Device_Configuration'!H346)</f>
        <v/>
      </c>
      <c r="D345" s="28" t="str">
        <f>IF('12 - Device_Configuration'!AE346="","",'12 - Device_Configuration'!AE346)</f>
        <v/>
      </c>
      <c r="E345" s="28" t="str">
        <f>IF('12 - Device_Configuration'!AF346="","",'12 - Device_Configuration'!AF346)</f>
        <v/>
      </c>
      <c r="F345" s="28" t="str">
        <f>IF('12 - Device_Configuration'!AG346="","",'12 - Device_Configuration'!AG346)</f>
        <v/>
      </c>
      <c r="G345" s="28" t="str">
        <f>IF('12 - Device_Configuration'!AH346="","",'12 - Device_Configuration'!AH346)</f>
        <v/>
      </c>
      <c r="H345" s="28" t="str">
        <f>IF('12 - Device_Configuration'!A346="","",'12 - Device_Configuration'!A346)</f>
        <v/>
      </c>
      <c r="I345" s="28" t="str">
        <f>IF('12 - Device_Configuration'!AI346="","",'12 - Device_Configuration'!AI346)</f>
        <v/>
      </c>
      <c r="J345" s="28" t="str">
        <f>IF('12 - Device_Configuration'!AJ346="","",'12 - Device_Configuration'!AJ346)</f>
        <v/>
      </c>
      <c r="K345" s="28" t="str">
        <f>IF('12 - Device_Configuration'!AA346="","",'12 - Device_Configuration'!AA346)</f>
        <v/>
      </c>
      <c r="L345" s="28" t="str">
        <f>IF('12 - Device_Configuration'!I346="","",'12 - Device_Configuration'!I346)</f>
        <v/>
      </c>
      <c r="M345" s="29"/>
      <c r="N345" s="28" t="str">
        <f>IF('12 - Device_Configuration'!J346="","",'12 - Device_Configuration'!J346)</f>
        <v/>
      </c>
      <c r="O345" s="28" t="str">
        <f>IF('12 - Device_Configuration'!K346="","",'12 - Device_Configuration'!K346)</f>
        <v/>
      </c>
      <c r="P345" s="28" t="str">
        <f>IF('12 - Device_Configuration'!L346="","",'12 - Device_Configuration'!L346)</f>
        <v/>
      </c>
      <c r="Q345" s="29"/>
      <c r="R345" s="28" t="str">
        <f>IF('12 - Device_Configuration'!AY346="","",'12 - Device_Configuration'!AY346)</f>
        <v/>
      </c>
      <c r="S345" s="28" t="str">
        <f>IF('12 - Device_Configuration'!AX346="","",'12 - Device_Configuration'!AX346)</f>
        <v/>
      </c>
      <c r="T345" s="28" t="str">
        <f>IF('12 - Device_Configuration'!AV346="","",'12 - Device_Configuration'!AV346)</f>
        <v/>
      </c>
      <c r="U345" s="28" t="str">
        <f>IF('12 - Device_Configuration'!AW346="","",'12 - Device_Configuration'!AW346)</f>
        <v/>
      </c>
      <c r="V345" s="28" t="str">
        <f>IF('12 - Device_Configuration'!BA346="","",'12 - Device_Configuration'!BA346)</f>
        <v/>
      </c>
      <c r="W345" s="28" t="str">
        <f>IF('12 - Device_Configuration'!BC346="","",'12 - Device_Configuration'!BC346)</f>
        <v/>
      </c>
      <c r="X345" s="28" t="str">
        <f>IF('12 - Device_Configuration'!BK346="","",'12 - Device_Configuration'!BK346)</f>
        <v/>
      </c>
      <c r="Y345" s="28" t="str">
        <f>IF('12 - Device_Configuration'!BB346="","",'12 - Device_Configuration'!BB346)</f>
        <v/>
      </c>
      <c r="Z345" s="28" t="str">
        <f>IF('12 - Device_Configuration'!P346="","",'12 - Device_Configuration'!P346)</f>
        <v/>
      </c>
      <c r="AA345" s="28" t="str">
        <f>IF('12 - Device_Configuration'!Q346="","",'12 - Device_Configuration'!Q346)</f>
        <v/>
      </c>
    </row>
    <row r="346" spans="1:27">
      <c r="A346" s="29"/>
      <c r="B346" s="29"/>
      <c r="C346" s="28" t="str">
        <f>IF('12 - Device_Configuration'!H347="","",'12 - Device_Configuration'!H347)</f>
        <v/>
      </c>
      <c r="D346" s="28" t="str">
        <f>IF('12 - Device_Configuration'!AE347="","",'12 - Device_Configuration'!AE347)</f>
        <v/>
      </c>
      <c r="E346" s="28" t="str">
        <f>IF('12 - Device_Configuration'!AF347="","",'12 - Device_Configuration'!AF347)</f>
        <v/>
      </c>
      <c r="F346" s="28" t="str">
        <f>IF('12 - Device_Configuration'!AG347="","",'12 - Device_Configuration'!AG347)</f>
        <v/>
      </c>
      <c r="G346" s="28" t="str">
        <f>IF('12 - Device_Configuration'!AH347="","",'12 - Device_Configuration'!AH347)</f>
        <v/>
      </c>
      <c r="H346" s="28" t="str">
        <f>IF('12 - Device_Configuration'!A347="","",'12 - Device_Configuration'!A347)</f>
        <v/>
      </c>
      <c r="I346" s="28" t="str">
        <f>IF('12 - Device_Configuration'!AI347="","",'12 - Device_Configuration'!AI347)</f>
        <v/>
      </c>
      <c r="J346" s="28" t="str">
        <f>IF('12 - Device_Configuration'!AJ347="","",'12 - Device_Configuration'!AJ347)</f>
        <v/>
      </c>
      <c r="K346" s="28" t="str">
        <f>IF('12 - Device_Configuration'!AA347="","",'12 - Device_Configuration'!AA347)</f>
        <v/>
      </c>
      <c r="L346" s="28" t="str">
        <f>IF('12 - Device_Configuration'!I347="","",'12 - Device_Configuration'!I347)</f>
        <v/>
      </c>
      <c r="M346" s="29"/>
      <c r="N346" s="28" t="str">
        <f>IF('12 - Device_Configuration'!J347="","",'12 - Device_Configuration'!J347)</f>
        <v/>
      </c>
      <c r="O346" s="28" t="str">
        <f>IF('12 - Device_Configuration'!K347="","",'12 - Device_Configuration'!K347)</f>
        <v/>
      </c>
      <c r="P346" s="28" t="str">
        <f>IF('12 - Device_Configuration'!L347="","",'12 - Device_Configuration'!L347)</f>
        <v/>
      </c>
      <c r="Q346" s="29"/>
      <c r="R346" s="28" t="str">
        <f>IF('12 - Device_Configuration'!AY347="","",'12 - Device_Configuration'!AY347)</f>
        <v/>
      </c>
      <c r="S346" s="28" t="str">
        <f>IF('12 - Device_Configuration'!AX347="","",'12 - Device_Configuration'!AX347)</f>
        <v/>
      </c>
      <c r="T346" s="28" t="str">
        <f>IF('12 - Device_Configuration'!AV347="","",'12 - Device_Configuration'!AV347)</f>
        <v/>
      </c>
      <c r="U346" s="28" t="str">
        <f>IF('12 - Device_Configuration'!AW347="","",'12 - Device_Configuration'!AW347)</f>
        <v/>
      </c>
      <c r="V346" s="28" t="str">
        <f>IF('12 - Device_Configuration'!BA347="","",'12 - Device_Configuration'!BA347)</f>
        <v/>
      </c>
      <c r="W346" s="28" t="str">
        <f>IF('12 - Device_Configuration'!BC347="","",'12 - Device_Configuration'!BC347)</f>
        <v/>
      </c>
      <c r="X346" s="28" t="str">
        <f>IF('12 - Device_Configuration'!BK347="","",'12 - Device_Configuration'!BK347)</f>
        <v/>
      </c>
      <c r="Y346" s="28" t="str">
        <f>IF('12 - Device_Configuration'!BB347="","",'12 - Device_Configuration'!BB347)</f>
        <v/>
      </c>
      <c r="Z346" s="28" t="str">
        <f>IF('12 - Device_Configuration'!P347="","",'12 - Device_Configuration'!P347)</f>
        <v/>
      </c>
      <c r="AA346" s="28" t="str">
        <f>IF('12 - Device_Configuration'!Q347="","",'12 - Device_Configuration'!Q347)</f>
        <v/>
      </c>
    </row>
    <row r="347" spans="1:27">
      <c r="A347" s="29"/>
      <c r="B347" s="29"/>
      <c r="C347" s="28" t="str">
        <f>IF('12 - Device_Configuration'!H348="","",'12 - Device_Configuration'!H348)</f>
        <v/>
      </c>
      <c r="D347" s="28" t="str">
        <f>IF('12 - Device_Configuration'!AE348="","",'12 - Device_Configuration'!AE348)</f>
        <v/>
      </c>
      <c r="E347" s="28" t="str">
        <f>IF('12 - Device_Configuration'!AF348="","",'12 - Device_Configuration'!AF348)</f>
        <v/>
      </c>
      <c r="F347" s="28" t="str">
        <f>IF('12 - Device_Configuration'!AG348="","",'12 - Device_Configuration'!AG348)</f>
        <v/>
      </c>
      <c r="G347" s="28" t="str">
        <f>IF('12 - Device_Configuration'!AH348="","",'12 - Device_Configuration'!AH348)</f>
        <v/>
      </c>
      <c r="H347" s="28" t="str">
        <f>IF('12 - Device_Configuration'!A348="","",'12 - Device_Configuration'!A348)</f>
        <v/>
      </c>
      <c r="I347" s="28" t="str">
        <f>IF('12 - Device_Configuration'!AI348="","",'12 - Device_Configuration'!AI348)</f>
        <v/>
      </c>
      <c r="J347" s="28" t="str">
        <f>IF('12 - Device_Configuration'!AJ348="","",'12 - Device_Configuration'!AJ348)</f>
        <v/>
      </c>
      <c r="K347" s="28" t="str">
        <f>IF('12 - Device_Configuration'!AA348="","",'12 - Device_Configuration'!AA348)</f>
        <v/>
      </c>
      <c r="L347" s="28" t="str">
        <f>IF('12 - Device_Configuration'!I348="","",'12 - Device_Configuration'!I348)</f>
        <v/>
      </c>
      <c r="M347" s="29"/>
      <c r="N347" s="28" t="str">
        <f>IF('12 - Device_Configuration'!J348="","",'12 - Device_Configuration'!J348)</f>
        <v/>
      </c>
      <c r="O347" s="28" t="str">
        <f>IF('12 - Device_Configuration'!K348="","",'12 - Device_Configuration'!K348)</f>
        <v/>
      </c>
      <c r="P347" s="28" t="str">
        <f>IF('12 - Device_Configuration'!L348="","",'12 - Device_Configuration'!L348)</f>
        <v/>
      </c>
      <c r="Q347" s="29"/>
      <c r="R347" s="28" t="str">
        <f>IF('12 - Device_Configuration'!AY348="","",'12 - Device_Configuration'!AY348)</f>
        <v/>
      </c>
      <c r="S347" s="28" t="str">
        <f>IF('12 - Device_Configuration'!AX348="","",'12 - Device_Configuration'!AX348)</f>
        <v/>
      </c>
      <c r="T347" s="28" t="str">
        <f>IF('12 - Device_Configuration'!AV348="","",'12 - Device_Configuration'!AV348)</f>
        <v/>
      </c>
      <c r="U347" s="28" t="str">
        <f>IF('12 - Device_Configuration'!AW348="","",'12 - Device_Configuration'!AW348)</f>
        <v/>
      </c>
      <c r="V347" s="28" t="str">
        <f>IF('12 - Device_Configuration'!BA348="","",'12 - Device_Configuration'!BA348)</f>
        <v/>
      </c>
      <c r="W347" s="28" t="str">
        <f>IF('12 - Device_Configuration'!BC348="","",'12 - Device_Configuration'!BC348)</f>
        <v/>
      </c>
      <c r="X347" s="28" t="str">
        <f>IF('12 - Device_Configuration'!BK348="","",'12 - Device_Configuration'!BK348)</f>
        <v/>
      </c>
      <c r="Y347" s="28" t="str">
        <f>IF('12 - Device_Configuration'!BB348="","",'12 - Device_Configuration'!BB348)</f>
        <v/>
      </c>
      <c r="Z347" s="28" t="str">
        <f>IF('12 - Device_Configuration'!P348="","",'12 - Device_Configuration'!P348)</f>
        <v/>
      </c>
      <c r="AA347" s="28" t="str">
        <f>IF('12 - Device_Configuration'!Q348="","",'12 - Device_Configuration'!Q348)</f>
        <v/>
      </c>
    </row>
    <row r="348" spans="1:27">
      <c r="A348" s="29"/>
      <c r="B348" s="29"/>
      <c r="C348" s="28" t="str">
        <f>IF('12 - Device_Configuration'!H349="","",'12 - Device_Configuration'!H349)</f>
        <v/>
      </c>
      <c r="D348" s="28" t="str">
        <f>IF('12 - Device_Configuration'!AE349="","",'12 - Device_Configuration'!AE349)</f>
        <v/>
      </c>
      <c r="E348" s="28" t="str">
        <f>IF('12 - Device_Configuration'!AF349="","",'12 - Device_Configuration'!AF349)</f>
        <v/>
      </c>
      <c r="F348" s="28" t="str">
        <f>IF('12 - Device_Configuration'!AG349="","",'12 - Device_Configuration'!AG349)</f>
        <v/>
      </c>
      <c r="G348" s="28" t="str">
        <f>IF('12 - Device_Configuration'!AH349="","",'12 - Device_Configuration'!AH349)</f>
        <v/>
      </c>
      <c r="H348" s="28" t="str">
        <f>IF('12 - Device_Configuration'!A349="","",'12 - Device_Configuration'!A349)</f>
        <v/>
      </c>
      <c r="I348" s="28" t="str">
        <f>IF('12 - Device_Configuration'!AI349="","",'12 - Device_Configuration'!AI349)</f>
        <v/>
      </c>
      <c r="J348" s="28" t="str">
        <f>IF('12 - Device_Configuration'!AJ349="","",'12 - Device_Configuration'!AJ349)</f>
        <v/>
      </c>
      <c r="K348" s="28" t="str">
        <f>IF('12 - Device_Configuration'!AA349="","",'12 - Device_Configuration'!AA349)</f>
        <v/>
      </c>
      <c r="L348" s="28" t="str">
        <f>IF('12 - Device_Configuration'!I349="","",'12 - Device_Configuration'!I349)</f>
        <v/>
      </c>
      <c r="M348" s="29"/>
      <c r="N348" s="28" t="str">
        <f>IF('12 - Device_Configuration'!J349="","",'12 - Device_Configuration'!J349)</f>
        <v/>
      </c>
      <c r="O348" s="28" t="str">
        <f>IF('12 - Device_Configuration'!K349="","",'12 - Device_Configuration'!K349)</f>
        <v/>
      </c>
      <c r="P348" s="28" t="str">
        <f>IF('12 - Device_Configuration'!L349="","",'12 - Device_Configuration'!L349)</f>
        <v/>
      </c>
      <c r="Q348" s="29"/>
      <c r="R348" s="28" t="str">
        <f>IF('12 - Device_Configuration'!AY349="","",'12 - Device_Configuration'!AY349)</f>
        <v/>
      </c>
      <c r="S348" s="28" t="str">
        <f>IF('12 - Device_Configuration'!AX349="","",'12 - Device_Configuration'!AX349)</f>
        <v/>
      </c>
      <c r="T348" s="28" t="str">
        <f>IF('12 - Device_Configuration'!AV349="","",'12 - Device_Configuration'!AV349)</f>
        <v/>
      </c>
      <c r="U348" s="28" t="str">
        <f>IF('12 - Device_Configuration'!AW349="","",'12 - Device_Configuration'!AW349)</f>
        <v/>
      </c>
      <c r="V348" s="28" t="str">
        <f>IF('12 - Device_Configuration'!BA349="","",'12 - Device_Configuration'!BA349)</f>
        <v/>
      </c>
      <c r="W348" s="28" t="str">
        <f>IF('12 - Device_Configuration'!BC349="","",'12 - Device_Configuration'!BC349)</f>
        <v/>
      </c>
      <c r="X348" s="28" t="str">
        <f>IF('12 - Device_Configuration'!BK349="","",'12 - Device_Configuration'!BK349)</f>
        <v/>
      </c>
      <c r="Y348" s="28" t="str">
        <f>IF('12 - Device_Configuration'!BB349="","",'12 - Device_Configuration'!BB349)</f>
        <v/>
      </c>
      <c r="Z348" s="28" t="str">
        <f>IF('12 - Device_Configuration'!P349="","",'12 - Device_Configuration'!P349)</f>
        <v/>
      </c>
      <c r="AA348" s="28" t="str">
        <f>IF('12 - Device_Configuration'!Q349="","",'12 - Device_Configuration'!Q349)</f>
        <v/>
      </c>
    </row>
    <row r="349" spans="1:27">
      <c r="A349" s="29"/>
      <c r="B349" s="29"/>
      <c r="C349" s="28" t="str">
        <f>IF('12 - Device_Configuration'!H350="","",'12 - Device_Configuration'!H350)</f>
        <v/>
      </c>
      <c r="D349" s="28" t="str">
        <f>IF('12 - Device_Configuration'!AE350="","",'12 - Device_Configuration'!AE350)</f>
        <v/>
      </c>
      <c r="E349" s="28" t="str">
        <f>IF('12 - Device_Configuration'!AF350="","",'12 - Device_Configuration'!AF350)</f>
        <v/>
      </c>
      <c r="F349" s="28" t="str">
        <f>IF('12 - Device_Configuration'!AG350="","",'12 - Device_Configuration'!AG350)</f>
        <v/>
      </c>
      <c r="G349" s="28" t="str">
        <f>IF('12 - Device_Configuration'!AH350="","",'12 - Device_Configuration'!AH350)</f>
        <v/>
      </c>
      <c r="H349" s="28" t="str">
        <f>IF('12 - Device_Configuration'!A350="","",'12 - Device_Configuration'!A350)</f>
        <v/>
      </c>
      <c r="I349" s="28" t="str">
        <f>IF('12 - Device_Configuration'!AI350="","",'12 - Device_Configuration'!AI350)</f>
        <v/>
      </c>
      <c r="J349" s="28" t="str">
        <f>IF('12 - Device_Configuration'!AJ350="","",'12 - Device_Configuration'!AJ350)</f>
        <v/>
      </c>
      <c r="K349" s="28" t="str">
        <f>IF('12 - Device_Configuration'!AA350="","",'12 - Device_Configuration'!AA350)</f>
        <v/>
      </c>
      <c r="L349" s="28" t="str">
        <f>IF('12 - Device_Configuration'!I350="","",'12 - Device_Configuration'!I350)</f>
        <v/>
      </c>
      <c r="M349" s="29"/>
      <c r="N349" s="28" t="str">
        <f>IF('12 - Device_Configuration'!J350="","",'12 - Device_Configuration'!J350)</f>
        <v/>
      </c>
      <c r="O349" s="28" t="str">
        <f>IF('12 - Device_Configuration'!K350="","",'12 - Device_Configuration'!K350)</f>
        <v/>
      </c>
      <c r="P349" s="28" t="str">
        <f>IF('12 - Device_Configuration'!L350="","",'12 - Device_Configuration'!L350)</f>
        <v/>
      </c>
      <c r="Q349" s="29"/>
      <c r="R349" s="28" t="str">
        <f>IF('12 - Device_Configuration'!AY350="","",'12 - Device_Configuration'!AY350)</f>
        <v/>
      </c>
      <c r="S349" s="28" t="str">
        <f>IF('12 - Device_Configuration'!AX350="","",'12 - Device_Configuration'!AX350)</f>
        <v/>
      </c>
      <c r="T349" s="28" t="str">
        <f>IF('12 - Device_Configuration'!AV350="","",'12 - Device_Configuration'!AV350)</f>
        <v/>
      </c>
      <c r="U349" s="28" t="str">
        <f>IF('12 - Device_Configuration'!AW350="","",'12 - Device_Configuration'!AW350)</f>
        <v/>
      </c>
      <c r="V349" s="28" t="str">
        <f>IF('12 - Device_Configuration'!BA350="","",'12 - Device_Configuration'!BA350)</f>
        <v/>
      </c>
      <c r="W349" s="28" t="str">
        <f>IF('12 - Device_Configuration'!BC350="","",'12 - Device_Configuration'!BC350)</f>
        <v/>
      </c>
      <c r="X349" s="28" t="str">
        <f>IF('12 - Device_Configuration'!BK350="","",'12 - Device_Configuration'!BK350)</f>
        <v/>
      </c>
      <c r="Y349" s="28" t="str">
        <f>IF('12 - Device_Configuration'!BB350="","",'12 - Device_Configuration'!BB350)</f>
        <v/>
      </c>
      <c r="Z349" s="28" t="str">
        <f>IF('12 - Device_Configuration'!P350="","",'12 - Device_Configuration'!P350)</f>
        <v/>
      </c>
      <c r="AA349" s="28" t="str">
        <f>IF('12 - Device_Configuration'!Q350="","",'12 - Device_Configuration'!Q350)</f>
        <v/>
      </c>
    </row>
    <row r="350" spans="1:27">
      <c r="A350" s="29"/>
      <c r="B350" s="29"/>
      <c r="C350" s="28" t="str">
        <f>IF('12 - Device_Configuration'!H351="","",'12 - Device_Configuration'!H351)</f>
        <v/>
      </c>
      <c r="D350" s="28" t="str">
        <f>IF('12 - Device_Configuration'!AE351="","",'12 - Device_Configuration'!AE351)</f>
        <v/>
      </c>
      <c r="E350" s="28" t="str">
        <f>IF('12 - Device_Configuration'!AF351="","",'12 - Device_Configuration'!AF351)</f>
        <v/>
      </c>
      <c r="F350" s="28" t="str">
        <f>IF('12 - Device_Configuration'!AG351="","",'12 - Device_Configuration'!AG351)</f>
        <v/>
      </c>
      <c r="G350" s="28" t="str">
        <f>IF('12 - Device_Configuration'!AH351="","",'12 - Device_Configuration'!AH351)</f>
        <v/>
      </c>
      <c r="H350" s="28" t="str">
        <f>IF('12 - Device_Configuration'!A351="","",'12 - Device_Configuration'!A351)</f>
        <v/>
      </c>
      <c r="I350" s="28" t="str">
        <f>IF('12 - Device_Configuration'!AI351="","",'12 - Device_Configuration'!AI351)</f>
        <v/>
      </c>
      <c r="J350" s="28" t="str">
        <f>IF('12 - Device_Configuration'!AJ351="","",'12 - Device_Configuration'!AJ351)</f>
        <v/>
      </c>
      <c r="K350" s="28" t="str">
        <f>IF('12 - Device_Configuration'!AA351="","",'12 - Device_Configuration'!AA351)</f>
        <v/>
      </c>
      <c r="L350" s="28" t="str">
        <f>IF('12 - Device_Configuration'!I351="","",'12 - Device_Configuration'!I351)</f>
        <v/>
      </c>
      <c r="M350" s="29"/>
      <c r="N350" s="28" t="str">
        <f>IF('12 - Device_Configuration'!J351="","",'12 - Device_Configuration'!J351)</f>
        <v/>
      </c>
      <c r="O350" s="28" t="str">
        <f>IF('12 - Device_Configuration'!K351="","",'12 - Device_Configuration'!K351)</f>
        <v/>
      </c>
      <c r="P350" s="28" t="str">
        <f>IF('12 - Device_Configuration'!L351="","",'12 - Device_Configuration'!L351)</f>
        <v/>
      </c>
      <c r="Q350" s="29"/>
      <c r="R350" s="28" t="str">
        <f>IF('12 - Device_Configuration'!AY351="","",'12 - Device_Configuration'!AY351)</f>
        <v/>
      </c>
      <c r="S350" s="28" t="str">
        <f>IF('12 - Device_Configuration'!AX351="","",'12 - Device_Configuration'!AX351)</f>
        <v/>
      </c>
      <c r="T350" s="28" t="str">
        <f>IF('12 - Device_Configuration'!AV351="","",'12 - Device_Configuration'!AV351)</f>
        <v/>
      </c>
      <c r="U350" s="28" t="str">
        <f>IF('12 - Device_Configuration'!AW351="","",'12 - Device_Configuration'!AW351)</f>
        <v/>
      </c>
      <c r="V350" s="28" t="str">
        <f>IF('12 - Device_Configuration'!BA351="","",'12 - Device_Configuration'!BA351)</f>
        <v/>
      </c>
      <c r="W350" s="28" t="str">
        <f>IF('12 - Device_Configuration'!BC351="","",'12 - Device_Configuration'!BC351)</f>
        <v/>
      </c>
      <c r="X350" s="28" t="str">
        <f>IF('12 - Device_Configuration'!BK351="","",'12 - Device_Configuration'!BK351)</f>
        <v/>
      </c>
      <c r="Y350" s="28" t="str">
        <f>IF('12 - Device_Configuration'!BB351="","",'12 - Device_Configuration'!BB351)</f>
        <v/>
      </c>
      <c r="Z350" s="28" t="str">
        <f>IF('12 - Device_Configuration'!P351="","",'12 - Device_Configuration'!P351)</f>
        <v/>
      </c>
      <c r="AA350" s="28" t="str">
        <f>IF('12 - Device_Configuration'!Q351="","",'12 - Device_Configuration'!Q351)</f>
        <v/>
      </c>
    </row>
    <row r="351" spans="1:27">
      <c r="A351" s="29"/>
      <c r="B351" s="29"/>
      <c r="C351" s="28" t="str">
        <f>IF('12 - Device_Configuration'!H352="","",'12 - Device_Configuration'!H352)</f>
        <v/>
      </c>
      <c r="D351" s="28" t="str">
        <f>IF('12 - Device_Configuration'!AE352="","",'12 - Device_Configuration'!AE352)</f>
        <v/>
      </c>
      <c r="E351" s="28" t="str">
        <f>IF('12 - Device_Configuration'!AF352="","",'12 - Device_Configuration'!AF352)</f>
        <v/>
      </c>
      <c r="F351" s="28" t="str">
        <f>IF('12 - Device_Configuration'!AG352="","",'12 - Device_Configuration'!AG352)</f>
        <v/>
      </c>
      <c r="G351" s="28" t="str">
        <f>IF('12 - Device_Configuration'!AH352="","",'12 - Device_Configuration'!AH352)</f>
        <v/>
      </c>
      <c r="H351" s="28" t="str">
        <f>IF('12 - Device_Configuration'!A352="","",'12 - Device_Configuration'!A352)</f>
        <v/>
      </c>
      <c r="I351" s="28" t="str">
        <f>IF('12 - Device_Configuration'!AI352="","",'12 - Device_Configuration'!AI352)</f>
        <v/>
      </c>
      <c r="J351" s="28" t="str">
        <f>IF('12 - Device_Configuration'!AJ352="","",'12 - Device_Configuration'!AJ352)</f>
        <v/>
      </c>
      <c r="K351" s="28" t="str">
        <f>IF('12 - Device_Configuration'!AA352="","",'12 - Device_Configuration'!AA352)</f>
        <v/>
      </c>
      <c r="L351" s="28" t="str">
        <f>IF('12 - Device_Configuration'!I352="","",'12 - Device_Configuration'!I352)</f>
        <v/>
      </c>
      <c r="M351" s="29"/>
      <c r="N351" s="28" t="str">
        <f>IF('12 - Device_Configuration'!J352="","",'12 - Device_Configuration'!J352)</f>
        <v/>
      </c>
      <c r="O351" s="28" t="str">
        <f>IF('12 - Device_Configuration'!K352="","",'12 - Device_Configuration'!K352)</f>
        <v/>
      </c>
      <c r="P351" s="28" t="str">
        <f>IF('12 - Device_Configuration'!L352="","",'12 - Device_Configuration'!L352)</f>
        <v/>
      </c>
      <c r="Q351" s="29"/>
      <c r="R351" s="28" t="str">
        <f>IF('12 - Device_Configuration'!AY352="","",'12 - Device_Configuration'!AY352)</f>
        <v/>
      </c>
      <c r="S351" s="28" t="str">
        <f>IF('12 - Device_Configuration'!AX352="","",'12 - Device_Configuration'!AX352)</f>
        <v/>
      </c>
      <c r="T351" s="28" t="str">
        <f>IF('12 - Device_Configuration'!AV352="","",'12 - Device_Configuration'!AV352)</f>
        <v/>
      </c>
      <c r="U351" s="28" t="str">
        <f>IF('12 - Device_Configuration'!AW352="","",'12 - Device_Configuration'!AW352)</f>
        <v/>
      </c>
      <c r="V351" s="28" t="str">
        <f>IF('12 - Device_Configuration'!BA352="","",'12 - Device_Configuration'!BA352)</f>
        <v/>
      </c>
      <c r="W351" s="28" t="str">
        <f>IF('12 - Device_Configuration'!BC352="","",'12 - Device_Configuration'!BC352)</f>
        <v/>
      </c>
      <c r="X351" s="28" t="str">
        <f>IF('12 - Device_Configuration'!BK352="","",'12 - Device_Configuration'!BK352)</f>
        <v/>
      </c>
      <c r="Y351" s="28" t="str">
        <f>IF('12 - Device_Configuration'!BB352="","",'12 - Device_Configuration'!BB352)</f>
        <v/>
      </c>
      <c r="Z351" s="28" t="str">
        <f>IF('12 - Device_Configuration'!P352="","",'12 - Device_Configuration'!P352)</f>
        <v/>
      </c>
      <c r="AA351" s="28" t="str">
        <f>IF('12 - Device_Configuration'!Q352="","",'12 - Device_Configuration'!Q352)</f>
        <v/>
      </c>
    </row>
    <row r="352" spans="1:27">
      <c r="A352" s="29"/>
      <c r="B352" s="29"/>
      <c r="C352" s="28" t="str">
        <f>IF('12 - Device_Configuration'!H353="","",'12 - Device_Configuration'!H353)</f>
        <v/>
      </c>
      <c r="D352" s="28" t="str">
        <f>IF('12 - Device_Configuration'!AE353="","",'12 - Device_Configuration'!AE353)</f>
        <v/>
      </c>
      <c r="E352" s="28" t="str">
        <f>IF('12 - Device_Configuration'!AF353="","",'12 - Device_Configuration'!AF353)</f>
        <v/>
      </c>
      <c r="F352" s="28" t="str">
        <f>IF('12 - Device_Configuration'!AG353="","",'12 - Device_Configuration'!AG353)</f>
        <v/>
      </c>
      <c r="G352" s="28" t="str">
        <f>IF('12 - Device_Configuration'!AH353="","",'12 - Device_Configuration'!AH353)</f>
        <v/>
      </c>
      <c r="H352" s="28" t="str">
        <f>IF('12 - Device_Configuration'!A353="","",'12 - Device_Configuration'!A353)</f>
        <v/>
      </c>
      <c r="I352" s="28" t="str">
        <f>IF('12 - Device_Configuration'!AI353="","",'12 - Device_Configuration'!AI353)</f>
        <v/>
      </c>
      <c r="J352" s="28" t="str">
        <f>IF('12 - Device_Configuration'!AJ353="","",'12 - Device_Configuration'!AJ353)</f>
        <v/>
      </c>
      <c r="K352" s="28" t="str">
        <f>IF('12 - Device_Configuration'!AA353="","",'12 - Device_Configuration'!AA353)</f>
        <v/>
      </c>
      <c r="L352" s="28" t="str">
        <f>IF('12 - Device_Configuration'!I353="","",'12 - Device_Configuration'!I353)</f>
        <v/>
      </c>
      <c r="M352" s="29"/>
      <c r="N352" s="28" t="str">
        <f>IF('12 - Device_Configuration'!J353="","",'12 - Device_Configuration'!J353)</f>
        <v/>
      </c>
      <c r="O352" s="28" t="str">
        <f>IF('12 - Device_Configuration'!K353="","",'12 - Device_Configuration'!K353)</f>
        <v/>
      </c>
      <c r="P352" s="28" t="str">
        <f>IF('12 - Device_Configuration'!L353="","",'12 - Device_Configuration'!L353)</f>
        <v/>
      </c>
      <c r="Q352" s="29"/>
      <c r="R352" s="28" t="str">
        <f>IF('12 - Device_Configuration'!AY353="","",'12 - Device_Configuration'!AY353)</f>
        <v/>
      </c>
      <c r="S352" s="28" t="str">
        <f>IF('12 - Device_Configuration'!AX353="","",'12 - Device_Configuration'!AX353)</f>
        <v/>
      </c>
      <c r="T352" s="28" t="str">
        <f>IF('12 - Device_Configuration'!AV353="","",'12 - Device_Configuration'!AV353)</f>
        <v/>
      </c>
      <c r="U352" s="28" t="str">
        <f>IF('12 - Device_Configuration'!AW353="","",'12 - Device_Configuration'!AW353)</f>
        <v/>
      </c>
      <c r="V352" s="28" t="str">
        <f>IF('12 - Device_Configuration'!BA353="","",'12 - Device_Configuration'!BA353)</f>
        <v/>
      </c>
      <c r="W352" s="28" t="str">
        <f>IF('12 - Device_Configuration'!BC353="","",'12 - Device_Configuration'!BC353)</f>
        <v/>
      </c>
      <c r="X352" s="28" t="str">
        <f>IF('12 - Device_Configuration'!BK353="","",'12 - Device_Configuration'!BK353)</f>
        <v/>
      </c>
      <c r="Y352" s="28" t="str">
        <f>IF('12 - Device_Configuration'!BB353="","",'12 - Device_Configuration'!BB353)</f>
        <v/>
      </c>
      <c r="Z352" s="28" t="str">
        <f>IF('12 - Device_Configuration'!P353="","",'12 - Device_Configuration'!P353)</f>
        <v/>
      </c>
      <c r="AA352" s="28" t="str">
        <f>IF('12 - Device_Configuration'!Q353="","",'12 - Device_Configuration'!Q353)</f>
        <v/>
      </c>
    </row>
    <row r="353" spans="1:27">
      <c r="A353" s="29"/>
      <c r="B353" s="29"/>
      <c r="C353" s="28" t="str">
        <f>IF('12 - Device_Configuration'!H354="","",'12 - Device_Configuration'!H354)</f>
        <v/>
      </c>
      <c r="D353" s="28" t="str">
        <f>IF('12 - Device_Configuration'!AE354="","",'12 - Device_Configuration'!AE354)</f>
        <v/>
      </c>
      <c r="E353" s="28" t="str">
        <f>IF('12 - Device_Configuration'!AF354="","",'12 - Device_Configuration'!AF354)</f>
        <v/>
      </c>
      <c r="F353" s="28" t="str">
        <f>IF('12 - Device_Configuration'!AG354="","",'12 - Device_Configuration'!AG354)</f>
        <v/>
      </c>
      <c r="G353" s="28" t="str">
        <f>IF('12 - Device_Configuration'!AH354="","",'12 - Device_Configuration'!AH354)</f>
        <v/>
      </c>
      <c r="H353" s="28" t="str">
        <f>IF('12 - Device_Configuration'!A354="","",'12 - Device_Configuration'!A354)</f>
        <v/>
      </c>
      <c r="I353" s="28" t="str">
        <f>IF('12 - Device_Configuration'!AI354="","",'12 - Device_Configuration'!AI354)</f>
        <v/>
      </c>
      <c r="J353" s="28" t="str">
        <f>IF('12 - Device_Configuration'!AJ354="","",'12 - Device_Configuration'!AJ354)</f>
        <v/>
      </c>
      <c r="K353" s="28" t="str">
        <f>IF('12 - Device_Configuration'!AA354="","",'12 - Device_Configuration'!AA354)</f>
        <v/>
      </c>
      <c r="L353" s="28" t="str">
        <f>IF('12 - Device_Configuration'!I354="","",'12 - Device_Configuration'!I354)</f>
        <v/>
      </c>
      <c r="M353" s="29"/>
      <c r="N353" s="28" t="str">
        <f>IF('12 - Device_Configuration'!J354="","",'12 - Device_Configuration'!J354)</f>
        <v/>
      </c>
      <c r="O353" s="28" t="str">
        <f>IF('12 - Device_Configuration'!K354="","",'12 - Device_Configuration'!K354)</f>
        <v/>
      </c>
      <c r="P353" s="28" t="str">
        <f>IF('12 - Device_Configuration'!L354="","",'12 - Device_Configuration'!L354)</f>
        <v/>
      </c>
      <c r="Q353" s="29"/>
      <c r="R353" s="28" t="str">
        <f>IF('12 - Device_Configuration'!AY354="","",'12 - Device_Configuration'!AY354)</f>
        <v/>
      </c>
      <c r="S353" s="28" t="str">
        <f>IF('12 - Device_Configuration'!AX354="","",'12 - Device_Configuration'!AX354)</f>
        <v/>
      </c>
      <c r="T353" s="28" t="str">
        <f>IF('12 - Device_Configuration'!AV354="","",'12 - Device_Configuration'!AV354)</f>
        <v/>
      </c>
      <c r="U353" s="28" t="str">
        <f>IF('12 - Device_Configuration'!AW354="","",'12 - Device_Configuration'!AW354)</f>
        <v/>
      </c>
      <c r="V353" s="28" t="str">
        <f>IF('12 - Device_Configuration'!BA354="","",'12 - Device_Configuration'!BA354)</f>
        <v/>
      </c>
      <c r="W353" s="28" t="str">
        <f>IF('12 - Device_Configuration'!BC354="","",'12 - Device_Configuration'!BC354)</f>
        <v/>
      </c>
      <c r="X353" s="28" t="str">
        <f>IF('12 - Device_Configuration'!BK354="","",'12 - Device_Configuration'!BK354)</f>
        <v/>
      </c>
      <c r="Y353" s="28" t="str">
        <f>IF('12 - Device_Configuration'!BB354="","",'12 - Device_Configuration'!BB354)</f>
        <v/>
      </c>
      <c r="Z353" s="28" t="str">
        <f>IF('12 - Device_Configuration'!P354="","",'12 - Device_Configuration'!P354)</f>
        <v/>
      </c>
      <c r="AA353" s="28" t="str">
        <f>IF('12 - Device_Configuration'!Q354="","",'12 - Device_Configuration'!Q354)</f>
        <v/>
      </c>
    </row>
    <row r="354" spans="1:27">
      <c r="A354" s="29"/>
      <c r="B354" s="29"/>
      <c r="C354" s="28" t="str">
        <f>IF('12 - Device_Configuration'!H355="","",'12 - Device_Configuration'!H355)</f>
        <v/>
      </c>
      <c r="D354" s="28" t="str">
        <f>IF('12 - Device_Configuration'!AE355="","",'12 - Device_Configuration'!AE355)</f>
        <v/>
      </c>
      <c r="E354" s="28" t="str">
        <f>IF('12 - Device_Configuration'!AF355="","",'12 - Device_Configuration'!AF355)</f>
        <v/>
      </c>
      <c r="F354" s="28" t="str">
        <f>IF('12 - Device_Configuration'!AG355="","",'12 - Device_Configuration'!AG355)</f>
        <v/>
      </c>
      <c r="G354" s="28" t="str">
        <f>IF('12 - Device_Configuration'!AH355="","",'12 - Device_Configuration'!AH355)</f>
        <v/>
      </c>
      <c r="H354" s="28" t="str">
        <f>IF('12 - Device_Configuration'!A355="","",'12 - Device_Configuration'!A355)</f>
        <v/>
      </c>
      <c r="I354" s="28" t="str">
        <f>IF('12 - Device_Configuration'!AI355="","",'12 - Device_Configuration'!AI355)</f>
        <v/>
      </c>
      <c r="J354" s="28" t="str">
        <f>IF('12 - Device_Configuration'!AJ355="","",'12 - Device_Configuration'!AJ355)</f>
        <v/>
      </c>
      <c r="K354" s="28" t="str">
        <f>IF('12 - Device_Configuration'!AA355="","",'12 - Device_Configuration'!AA355)</f>
        <v/>
      </c>
      <c r="L354" s="28" t="str">
        <f>IF('12 - Device_Configuration'!I355="","",'12 - Device_Configuration'!I355)</f>
        <v/>
      </c>
      <c r="M354" s="29"/>
      <c r="N354" s="28" t="str">
        <f>IF('12 - Device_Configuration'!J355="","",'12 - Device_Configuration'!J355)</f>
        <v/>
      </c>
      <c r="O354" s="28" t="str">
        <f>IF('12 - Device_Configuration'!K355="","",'12 - Device_Configuration'!K355)</f>
        <v/>
      </c>
      <c r="P354" s="28" t="str">
        <f>IF('12 - Device_Configuration'!L355="","",'12 - Device_Configuration'!L355)</f>
        <v/>
      </c>
      <c r="Q354" s="29"/>
      <c r="R354" s="28" t="str">
        <f>IF('12 - Device_Configuration'!AY355="","",'12 - Device_Configuration'!AY355)</f>
        <v/>
      </c>
      <c r="S354" s="28" t="str">
        <f>IF('12 - Device_Configuration'!AX355="","",'12 - Device_Configuration'!AX355)</f>
        <v/>
      </c>
      <c r="T354" s="28" t="str">
        <f>IF('12 - Device_Configuration'!AV355="","",'12 - Device_Configuration'!AV355)</f>
        <v/>
      </c>
      <c r="U354" s="28" t="str">
        <f>IF('12 - Device_Configuration'!AW355="","",'12 - Device_Configuration'!AW355)</f>
        <v/>
      </c>
      <c r="V354" s="28" t="str">
        <f>IF('12 - Device_Configuration'!BA355="","",'12 - Device_Configuration'!BA355)</f>
        <v/>
      </c>
      <c r="W354" s="28" t="str">
        <f>IF('12 - Device_Configuration'!BC355="","",'12 - Device_Configuration'!BC355)</f>
        <v/>
      </c>
      <c r="X354" s="28" t="str">
        <f>IF('12 - Device_Configuration'!BK355="","",'12 - Device_Configuration'!BK355)</f>
        <v/>
      </c>
      <c r="Y354" s="28" t="str">
        <f>IF('12 - Device_Configuration'!BB355="","",'12 - Device_Configuration'!BB355)</f>
        <v/>
      </c>
      <c r="Z354" s="28" t="str">
        <f>IF('12 - Device_Configuration'!P355="","",'12 - Device_Configuration'!P355)</f>
        <v/>
      </c>
      <c r="AA354" s="28" t="str">
        <f>IF('12 - Device_Configuration'!Q355="","",'12 - Device_Configuration'!Q355)</f>
        <v/>
      </c>
    </row>
    <row r="355" spans="1:27">
      <c r="A355" s="29"/>
      <c r="B355" s="29"/>
      <c r="C355" s="28" t="str">
        <f>IF('12 - Device_Configuration'!H356="","",'12 - Device_Configuration'!H356)</f>
        <v/>
      </c>
      <c r="D355" s="28" t="str">
        <f>IF('12 - Device_Configuration'!AE356="","",'12 - Device_Configuration'!AE356)</f>
        <v/>
      </c>
      <c r="E355" s="28" t="str">
        <f>IF('12 - Device_Configuration'!AF356="","",'12 - Device_Configuration'!AF356)</f>
        <v/>
      </c>
      <c r="F355" s="28" t="str">
        <f>IF('12 - Device_Configuration'!AG356="","",'12 - Device_Configuration'!AG356)</f>
        <v/>
      </c>
      <c r="G355" s="28" t="str">
        <f>IF('12 - Device_Configuration'!AH356="","",'12 - Device_Configuration'!AH356)</f>
        <v/>
      </c>
      <c r="H355" s="28" t="str">
        <f>IF('12 - Device_Configuration'!A356="","",'12 - Device_Configuration'!A356)</f>
        <v/>
      </c>
      <c r="I355" s="28" t="str">
        <f>IF('12 - Device_Configuration'!AI356="","",'12 - Device_Configuration'!AI356)</f>
        <v/>
      </c>
      <c r="J355" s="28" t="str">
        <f>IF('12 - Device_Configuration'!AJ356="","",'12 - Device_Configuration'!AJ356)</f>
        <v/>
      </c>
      <c r="K355" s="28" t="str">
        <f>IF('12 - Device_Configuration'!AA356="","",'12 - Device_Configuration'!AA356)</f>
        <v/>
      </c>
      <c r="L355" s="28" t="str">
        <f>IF('12 - Device_Configuration'!I356="","",'12 - Device_Configuration'!I356)</f>
        <v/>
      </c>
      <c r="M355" s="29"/>
      <c r="N355" s="28" t="str">
        <f>IF('12 - Device_Configuration'!J356="","",'12 - Device_Configuration'!J356)</f>
        <v/>
      </c>
      <c r="O355" s="28" t="str">
        <f>IF('12 - Device_Configuration'!K356="","",'12 - Device_Configuration'!K356)</f>
        <v/>
      </c>
      <c r="P355" s="28" t="str">
        <f>IF('12 - Device_Configuration'!L356="","",'12 - Device_Configuration'!L356)</f>
        <v/>
      </c>
      <c r="Q355" s="29"/>
      <c r="R355" s="28" t="str">
        <f>IF('12 - Device_Configuration'!AY356="","",'12 - Device_Configuration'!AY356)</f>
        <v/>
      </c>
      <c r="S355" s="28" t="str">
        <f>IF('12 - Device_Configuration'!AX356="","",'12 - Device_Configuration'!AX356)</f>
        <v/>
      </c>
      <c r="T355" s="28" t="str">
        <f>IF('12 - Device_Configuration'!AV356="","",'12 - Device_Configuration'!AV356)</f>
        <v/>
      </c>
      <c r="U355" s="28" t="str">
        <f>IF('12 - Device_Configuration'!AW356="","",'12 - Device_Configuration'!AW356)</f>
        <v/>
      </c>
      <c r="V355" s="28" t="str">
        <f>IF('12 - Device_Configuration'!BA356="","",'12 - Device_Configuration'!BA356)</f>
        <v/>
      </c>
      <c r="W355" s="28" t="str">
        <f>IF('12 - Device_Configuration'!BC356="","",'12 - Device_Configuration'!BC356)</f>
        <v/>
      </c>
      <c r="X355" s="28" t="str">
        <f>IF('12 - Device_Configuration'!BK356="","",'12 - Device_Configuration'!BK356)</f>
        <v/>
      </c>
      <c r="Y355" s="28" t="str">
        <f>IF('12 - Device_Configuration'!BB356="","",'12 - Device_Configuration'!BB356)</f>
        <v/>
      </c>
      <c r="Z355" s="28" t="str">
        <f>IF('12 - Device_Configuration'!P356="","",'12 - Device_Configuration'!P356)</f>
        <v/>
      </c>
      <c r="AA355" s="28" t="str">
        <f>IF('12 - Device_Configuration'!Q356="","",'12 - Device_Configuration'!Q356)</f>
        <v/>
      </c>
    </row>
    <row r="356" spans="1:27">
      <c r="A356" s="29"/>
      <c r="B356" s="29"/>
      <c r="C356" s="28" t="str">
        <f>IF('12 - Device_Configuration'!H357="","",'12 - Device_Configuration'!H357)</f>
        <v/>
      </c>
      <c r="D356" s="28" t="str">
        <f>IF('12 - Device_Configuration'!AE357="","",'12 - Device_Configuration'!AE357)</f>
        <v/>
      </c>
      <c r="E356" s="28" t="str">
        <f>IF('12 - Device_Configuration'!AF357="","",'12 - Device_Configuration'!AF357)</f>
        <v/>
      </c>
      <c r="F356" s="28" t="str">
        <f>IF('12 - Device_Configuration'!AG357="","",'12 - Device_Configuration'!AG357)</f>
        <v/>
      </c>
      <c r="G356" s="28" t="str">
        <f>IF('12 - Device_Configuration'!AH357="","",'12 - Device_Configuration'!AH357)</f>
        <v/>
      </c>
      <c r="H356" s="28" t="str">
        <f>IF('12 - Device_Configuration'!A357="","",'12 - Device_Configuration'!A357)</f>
        <v/>
      </c>
      <c r="I356" s="28" t="str">
        <f>IF('12 - Device_Configuration'!AI357="","",'12 - Device_Configuration'!AI357)</f>
        <v/>
      </c>
      <c r="J356" s="28" t="str">
        <f>IF('12 - Device_Configuration'!AJ357="","",'12 - Device_Configuration'!AJ357)</f>
        <v/>
      </c>
      <c r="K356" s="28" t="str">
        <f>IF('12 - Device_Configuration'!AA357="","",'12 - Device_Configuration'!AA357)</f>
        <v/>
      </c>
      <c r="L356" s="28" t="str">
        <f>IF('12 - Device_Configuration'!I357="","",'12 - Device_Configuration'!I357)</f>
        <v/>
      </c>
      <c r="M356" s="29"/>
      <c r="N356" s="28" t="str">
        <f>IF('12 - Device_Configuration'!J357="","",'12 - Device_Configuration'!J357)</f>
        <v/>
      </c>
      <c r="O356" s="28" t="str">
        <f>IF('12 - Device_Configuration'!K357="","",'12 - Device_Configuration'!K357)</f>
        <v/>
      </c>
      <c r="P356" s="28" t="str">
        <f>IF('12 - Device_Configuration'!L357="","",'12 - Device_Configuration'!L357)</f>
        <v/>
      </c>
      <c r="Q356" s="29"/>
      <c r="R356" s="28" t="str">
        <f>IF('12 - Device_Configuration'!AY357="","",'12 - Device_Configuration'!AY357)</f>
        <v/>
      </c>
      <c r="S356" s="28" t="str">
        <f>IF('12 - Device_Configuration'!AX357="","",'12 - Device_Configuration'!AX357)</f>
        <v/>
      </c>
      <c r="T356" s="28" t="str">
        <f>IF('12 - Device_Configuration'!AV357="","",'12 - Device_Configuration'!AV357)</f>
        <v/>
      </c>
      <c r="U356" s="28" t="str">
        <f>IF('12 - Device_Configuration'!AW357="","",'12 - Device_Configuration'!AW357)</f>
        <v/>
      </c>
      <c r="V356" s="28" t="str">
        <f>IF('12 - Device_Configuration'!BA357="","",'12 - Device_Configuration'!BA357)</f>
        <v/>
      </c>
      <c r="W356" s="28" t="str">
        <f>IF('12 - Device_Configuration'!BC357="","",'12 - Device_Configuration'!BC357)</f>
        <v/>
      </c>
      <c r="X356" s="28" t="str">
        <f>IF('12 - Device_Configuration'!BK357="","",'12 - Device_Configuration'!BK357)</f>
        <v/>
      </c>
      <c r="Y356" s="28" t="str">
        <f>IF('12 - Device_Configuration'!BB357="","",'12 - Device_Configuration'!BB357)</f>
        <v/>
      </c>
      <c r="Z356" s="28" t="str">
        <f>IF('12 - Device_Configuration'!P357="","",'12 - Device_Configuration'!P357)</f>
        <v/>
      </c>
      <c r="AA356" s="28" t="str">
        <f>IF('12 - Device_Configuration'!Q357="","",'12 - Device_Configuration'!Q357)</f>
        <v/>
      </c>
    </row>
    <row r="357" spans="1:27">
      <c r="A357" s="29"/>
      <c r="B357" s="29"/>
      <c r="C357" s="28" t="str">
        <f>IF('12 - Device_Configuration'!H358="","",'12 - Device_Configuration'!H358)</f>
        <v/>
      </c>
      <c r="D357" s="28" t="str">
        <f>IF('12 - Device_Configuration'!AE358="","",'12 - Device_Configuration'!AE358)</f>
        <v/>
      </c>
      <c r="E357" s="28" t="str">
        <f>IF('12 - Device_Configuration'!AF358="","",'12 - Device_Configuration'!AF358)</f>
        <v/>
      </c>
      <c r="F357" s="28" t="str">
        <f>IF('12 - Device_Configuration'!AG358="","",'12 - Device_Configuration'!AG358)</f>
        <v/>
      </c>
      <c r="G357" s="28" t="str">
        <f>IF('12 - Device_Configuration'!AH358="","",'12 - Device_Configuration'!AH358)</f>
        <v/>
      </c>
      <c r="H357" s="28" t="str">
        <f>IF('12 - Device_Configuration'!A358="","",'12 - Device_Configuration'!A358)</f>
        <v/>
      </c>
      <c r="I357" s="28" t="str">
        <f>IF('12 - Device_Configuration'!AI358="","",'12 - Device_Configuration'!AI358)</f>
        <v/>
      </c>
      <c r="J357" s="28" t="str">
        <f>IF('12 - Device_Configuration'!AJ358="","",'12 - Device_Configuration'!AJ358)</f>
        <v/>
      </c>
      <c r="K357" s="28" t="str">
        <f>IF('12 - Device_Configuration'!AA358="","",'12 - Device_Configuration'!AA358)</f>
        <v/>
      </c>
      <c r="L357" s="28" t="str">
        <f>IF('12 - Device_Configuration'!I358="","",'12 - Device_Configuration'!I358)</f>
        <v/>
      </c>
      <c r="M357" s="29"/>
      <c r="N357" s="28" t="str">
        <f>IF('12 - Device_Configuration'!J358="","",'12 - Device_Configuration'!J358)</f>
        <v/>
      </c>
      <c r="O357" s="28" t="str">
        <f>IF('12 - Device_Configuration'!K358="","",'12 - Device_Configuration'!K358)</f>
        <v/>
      </c>
      <c r="P357" s="28" t="str">
        <f>IF('12 - Device_Configuration'!L358="","",'12 - Device_Configuration'!L358)</f>
        <v/>
      </c>
      <c r="Q357" s="29"/>
      <c r="R357" s="28" t="str">
        <f>IF('12 - Device_Configuration'!AY358="","",'12 - Device_Configuration'!AY358)</f>
        <v/>
      </c>
      <c r="S357" s="28" t="str">
        <f>IF('12 - Device_Configuration'!AX358="","",'12 - Device_Configuration'!AX358)</f>
        <v/>
      </c>
      <c r="T357" s="28" t="str">
        <f>IF('12 - Device_Configuration'!AV358="","",'12 - Device_Configuration'!AV358)</f>
        <v/>
      </c>
      <c r="U357" s="28" t="str">
        <f>IF('12 - Device_Configuration'!AW358="","",'12 - Device_Configuration'!AW358)</f>
        <v/>
      </c>
      <c r="V357" s="28" t="str">
        <f>IF('12 - Device_Configuration'!BA358="","",'12 - Device_Configuration'!BA358)</f>
        <v/>
      </c>
      <c r="W357" s="28" t="str">
        <f>IF('12 - Device_Configuration'!BC358="","",'12 - Device_Configuration'!BC358)</f>
        <v/>
      </c>
      <c r="X357" s="28" t="str">
        <f>IF('12 - Device_Configuration'!BK358="","",'12 - Device_Configuration'!BK358)</f>
        <v/>
      </c>
      <c r="Y357" s="28" t="str">
        <f>IF('12 - Device_Configuration'!BB358="","",'12 - Device_Configuration'!BB358)</f>
        <v/>
      </c>
      <c r="Z357" s="28" t="str">
        <f>IF('12 - Device_Configuration'!P358="","",'12 - Device_Configuration'!P358)</f>
        <v/>
      </c>
      <c r="AA357" s="28" t="str">
        <f>IF('12 - Device_Configuration'!Q358="","",'12 - Device_Configuration'!Q358)</f>
        <v/>
      </c>
    </row>
    <row r="358" spans="1:27">
      <c r="A358" s="29"/>
      <c r="B358" s="29"/>
      <c r="C358" s="28" t="str">
        <f>IF('12 - Device_Configuration'!H359="","",'12 - Device_Configuration'!H359)</f>
        <v/>
      </c>
      <c r="D358" s="28" t="str">
        <f>IF('12 - Device_Configuration'!AE359="","",'12 - Device_Configuration'!AE359)</f>
        <v/>
      </c>
      <c r="E358" s="28" t="str">
        <f>IF('12 - Device_Configuration'!AF359="","",'12 - Device_Configuration'!AF359)</f>
        <v/>
      </c>
      <c r="F358" s="28" t="str">
        <f>IF('12 - Device_Configuration'!AG359="","",'12 - Device_Configuration'!AG359)</f>
        <v/>
      </c>
      <c r="G358" s="28" t="str">
        <f>IF('12 - Device_Configuration'!AH359="","",'12 - Device_Configuration'!AH359)</f>
        <v/>
      </c>
      <c r="H358" s="28" t="str">
        <f>IF('12 - Device_Configuration'!A359="","",'12 - Device_Configuration'!A359)</f>
        <v/>
      </c>
      <c r="I358" s="28" t="str">
        <f>IF('12 - Device_Configuration'!AI359="","",'12 - Device_Configuration'!AI359)</f>
        <v/>
      </c>
      <c r="J358" s="28" t="str">
        <f>IF('12 - Device_Configuration'!AJ359="","",'12 - Device_Configuration'!AJ359)</f>
        <v/>
      </c>
      <c r="K358" s="28" t="str">
        <f>IF('12 - Device_Configuration'!AA359="","",'12 - Device_Configuration'!AA359)</f>
        <v/>
      </c>
      <c r="L358" s="28" t="str">
        <f>IF('12 - Device_Configuration'!I359="","",'12 - Device_Configuration'!I359)</f>
        <v/>
      </c>
      <c r="M358" s="29"/>
      <c r="N358" s="28" t="str">
        <f>IF('12 - Device_Configuration'!J359="","",'12 - Device_Configuration'!J359)</f>
        <v/>
      </c>
      <c r="O358" s="28" t="str">
        <f>IF('12 - Device_Configuration'!K359="","",'12 - Device_Configuration'!K359)</f>
        <v/>
      </c>
      <c r="P358" s="28" t="str">
        <f>IF('12 - Device_Configuration'!L359="","",'12 - Device_Configuration'!L359)</f>
        <v/>
      </c>
      <c r="Q358" s="29"/>
      <c r="R358" s="28" t="str">
        <f>IF('12 - Device_Configuration'!AY359="","",'12 - Device_Configuration'!AY359)</f>
        <v/>
      </c>
      <c r="S358" s="28" t="str">
        <f>IF('12 - Device_Configuration'!AX359="","",'12 - Device_Configuration'!AX359)</f>
        <v/>
      </c>
      <c r="T358" s="28" t="str">
        <f>IF('12 - Device_Configuration'!AV359="","",'12 - Device_Configuration'!AV359)</f>
        <v/>
      </c>
      <c r="U358" s="28" t="str">
        <f>IF('12 - Device_Configuration'!AW359="","",'12 - Device_Configuration'!AW359)</f>
        <v/>
      </c>
      <c r="V358" s="28" t="str">
        <f>IF('12 - Device_Configuration'!BA359="","",'12 - Device_Configuration'!BA359)</f>
        <v/>
      </c>
      <c r="W358" s="28" t="str">
        <f>IF('12 - Device_Configuration'!BC359="","",'12 - Device_Configuration'!BC359)</f>
        <v/>
      </c>
      <c r="X358" s="28" t="str">
        <f>IF('12 - Device_Configuration'!BK359="","",'12 - Device_Configuration'!BK359)</f>
        <v/>
      </c>
      <c r="Y358" s="28" t="str">
        <f>IF('12 - Device_Configuration'!BB359="","",'12 - Device_Configuration'!BB359)</f>
        <v/>
      </c>
      <c r="Z358" s="28" t="str">
        <f>IF('12 - Device_Configuration'!P359="","",'12 - Device_Configuration'!P359)</f>
        <v/>
      </c>
      <c r="AA358" s="28" t="str">
        <f>IF('12 - Device_Configuration'!Q359="","",'12 - Device_Configuration'!Q359)</f>
        <v/>
      </c>
    </row>
    <row r="359" spans="1:27">
      <c r="A359" s="29"/>
      <c r="B359" s="29"/>
      <c r="C359" s="28" t="str">
        <f>IF('12 - Device_Configuration'!H360="","",'12 - Device_Configuration'!H360)</f>
        <v/>
      </c>
      <c r="D359" s="28" t="str">
        <f>IF('12 - Device_Configuration'!AE360="","",'12 - Device_Configuration'!AE360)</f>
        <v/>
      </c>
      <c r="E359" s="28" t="str">
        <f>IF('12 - Device_Configuration'!AF360="","",'12 - Device_Configuration'!AF360)</f>
        <v/>
      </c>
      <c r="F359" s="28" t="str">
        <f>IF('12 - Device_Configuration'!AG360="","",'12 - Device_Configuration'!AG360)</f>
        <v/>
      </c>
      <c r="G359" s="28" t="str">
        <f>IF('12 - Device_Configuration'!AH360="","",'12 - Device_Configuration'!AH360)</f>
        <v/>
      </c>
      <c r="H359" s="28" t="str">
        <f>IF('12 - Device_Configuration'!A360="","",'12 - Device_Configuration'!A360)</f>
        <v/>
      </c>
      <c r="I359" s="28" t="str">
        <f>IF('12 - Device_Configuration'!AI360="","",'12 - Device_Configuration'!AI360)</f>
        <v/>
      </c>
      <c r="J359" s="28" t="str">
        <f>IF('12 - Device_Configuration'!AJ360="","",'12 - Device_Configuration'!AJ360)</f>
        <v/>
      </c>
      <c r="K359" s="28" t="str">
        <f>IF('12 - Device_Configuration'!AA360="","",'12 - Device_Configuration'!AA360)</f>
        <v/>
      </c>
      <c r="L359" s="28" t="str">
        <f>IF('12 - Device_Configuration'!I360="","",'12 - Device_Configuration'!I360)</f>
        <v/>
      </c>
      <c r="M359" s="29"/>
      <c r="N359" s="28" t="str">
        <f>IF('12 - Device_Configuration'!J360="","",'12 - Device_Configuration'!J360)</f>
        <v/>
      </c>
      <c r="O359" s="28" t="str">
        <f>IF('12 - Device_Configuration'!K360="","",'12 - Device_Configuration'!K360)</f>
        <v/>
      </c>
      <c r="P359" s="28" t="str">
        <f>IF('12 - Device_Configuration'!L360="","",'12 - Device_Configuration'!L360)</f>
        <v/>
      </c>
      <c r="Q359" s="29"/>
      <c r="R359" s="28" t="str">
        <f>IF('12 - Device_Configuration'!AY360="","",'12 - Device_Configuration'!AY360)</f>
        <v/>
      </c>
      <c r="S359" s="28" t="str">
        <f>IF('12 - Device_Configuration'!AX360="","",'12 - Device_Configuration'!AX360)</f>
        <v/>
      </c>
      <c r="T359" s="28" t="str">
        <f>IF('12 - Device_Configuration'!AV360="","",'12 - Device_Configuration'!AV360)</f>
        <v/>
      </c>
      <c r="U359" s="28" t="str">
        <f>IF('12 - Device_Configuration'!AW360="","",'12 - Device_Configuration'!AW360)</f>
        <v/>
      </c>
      <c r="V359" s="28" t="str">
        <f>IF('12 - Device_Configuration'!BA360="","",'12 - Device_Configuration'!BA360)</f>
        <v/>
      </c>
      <c r="W359" s="28" t="str">
        <f>IF('12 - Device_Configuration'!BC360="","",'12 - Device_Configuration'!BC360)</f>
        <v/>
      </c>
      <c r="X359" s="28" t="str">
        <f>IF('12 - Device_Configuration'!BK360="","",'12 - Device_Configuration'!BK360)</f>
        <v/>
      </c>
      <c r="Y359" s="28" t="str">
        <f>IF('12 - Device_Configuration'!BB360="","",'12 - Device_Configuration'!BB360)</f>
        <v/>
      </c>
      <c r="Z359" s="28" t="str">
        <f>IF('12 - Device_Configuration'!P360="","",'12 - Device_Configuration'!P360)</f>
        <v/>
      </c>
      <c r="AA359" s="28" t="str">
        <f>IF('12 - Device_Configuration'!Q360="","",'12 - Device_Configuration'!Q360)</f>
        <v/>
      </c>
    </row>
    <row r="360" spans="1:27">
      <c r="A360" s="29"/>
      <c r="B360" s="29"/>
      <c r="C360" s="28" t="str">
        <f>IF('12 - Device_Configuration'!H361="","",'12 - Device_Configuration'!H361)</f>
        <v/>
      </c>
      <c r="D360" s="28" t="str">
        <f>IF('12 - Device_Configuration'!AE361="","",'12 - Device_Configuration'!AE361)</f>
        <v/>
      </c>
      <c r="E360" s="28" t="str">
        <f>IF('12 - Device_Configuration'!AF361="","",'12 - Device_Configuration'!AF361)</f>
        <v/>
      </c>
      <c r="F360" s="28" t="str">
        <f>IF('12 - Device_Configuration'!AG361="","",'12 - Device_Configuration'!AG361)</f>
        <v/>
      </c>
      <c r="G360" s="28" t="str">
        <f>IF('12 - Device_Configuration'!AH361="","",'12 - Device_Configuration'!AH361)</f>
        <v/>
      </c>
      <c r="H360" s="28" t="str">
        <f>IF('12 - Device_Configuration'!A361="","",'12 - Device_Configuration'!A361)</f>
        <v/>
      </c>
      <c r="I360" s="28" t="str">
        <f>IF('12 - Device_Configuration'!AI361="","",'12 - Device_Configuration'!AI361)</f>
        <v/>
      </c>
      <c r="J360" s="28" t="str">
        <f>IF('12 - Device_Configuration'!AJ361="","",'12 - Device_Configuration'!AJ361)</f>
        <v/>
      </c>
      <c r="K360" s="28" t="str">
        <f>IF('12 - Device_Configuration'!AA361="","",'12 - Device_Configuration'!AA361)</f>
        <v/>
      </c>
      <c r="L360" s="28" t="str">
        <f>IF('12 - Device_Configuration'!I361="","",'12 - Device_Configuration'!I361)</f>
        <v/>
      </c>
      <c r="M360" s="29"/>
      <c r="N360" s="28" t="str">
        <f>IF('12 - Device_Configuration'!J361="","",'12 - Device_Configuration'!J361)</f>
        <v/>
      </c>
      <c r="O360" s="28" t="str">
        <f>IF('12 - Device_Configuration'!K361="","",'12 - Device_Configuration'!K361)</f>
        <v/>
      </c>
      <c r="P360" s="28" t="str">
        <f>IF('12 - Device_Configuration'!L361="","",'12 - Device_Configuration'!L361)</f>
        <v/>
      </c>
      <c r="Q360" s="29"/>
      <c r="R360" s="28" t="str">
        <f>IF('12 - Device_Configuration'!AY361="","",'12 - Device_Configuration'!AY361)</f>
        <v/>
      </c>
      <c r="S360" s="28" t="str">
        <f>IF('12 - Device_Configuration'!AX361="","",'12 - Device_Configuration'!AX361)</f>
        <v/>
      </c>
      <c r="T360" s="28" t="str">
        <f>IF('12 - Device_Configuration'!AV361="","",'12 - Device_Configuration'!AV361)</f>
        <v/>
      </c>
      <c r="U360" s="28" t="str">
        <f>IF('12 - Device_Configuration'!AW361="","",'12 - Device_Configuration'!AW361)</f>
        <v/>
      </c>
      <c r="V360" s="28" t="str">
        <f>IF('12 - Device_Configuration'!BA361="","",'12 - Device_Configuration'!BA361)</f>
        <v/>
      </c>
      <c r="W360" s="28" t="str">
        <f>IF('12 - Device_Configuration'!BC361="","",'12 - Device_Configuration'!BC361)</f>
        <v/>
      </c>
      <c r="X360" s="28" t="str">
        <f>IF('12 - Device_Configuration'!BK361="","",'12 - Device_Configuration'!BK361)</f>
        <v/>
      </c>
      <c r="Y360" s="28" t="str">
        <f>IF('12 - Device_Configuration'!BB361="","",'12 - Device_Configuration'!BB361)</f>
        <v/>
      </c>
      <c r="Z360" s="28" t="str">
        <f>IF('12 - Device_Configuration'!P361="","",'12 - Device_Configuration'!P361)</f>
        <v/>
      </c>
      <c r="AA360" s="28" t="str">
        <f>IF('12 - Device_Configuration'!Q361="","",'12 - Device_Configuration'!Q361)</f>
        <v/>
      </c>
    </row>
    <row r="361" spans="1:27">
      <c r="A361" s="29"/>
      <c r="B361" s="29"/>
      <c r="C361" s="28" t="str">
        <f>IF('12 - Device_Configuration'!H362="","",'12 - Device_Configuration'!H362)</f>
        <v/>
      </c>
      <c r="D361" s="28" t="str">
        <f>IF('12 - Device_Configuration'!AE362="","",'12 - Device_Configuration'!AE362)</f>
        <v/>
      </c>
      <c r="E361" s="28" t="str">
        <f>IF('12 - Device_Configuration'!AF362="","",'12 - Device_Configuration'!AF362)</f>
        <v/>
      </c>
      <c r="F361" s="28" t="str">
        <f>IF('12 - Device_Configuration'!AG362="","",'12 - Device_Configuration'!AG362)</f>
        <v/>
      </c>
      <c r="G361" s="28" t="str">
        <f>IF('12 - Device_Configuration'!AH362="","",'12 - Device_Configuration'!AH362)</f>
        <v/>
      </c>
      <c r="H361" s="28" t="str">
        <f>IF('12 - Device_Configuration'!A362="","",'12 - Device_Configuration'!A362)</f>
        <v/>
      </c>
      <c r="I361" s="28" t="str">
        <f>IF('12 - Device_Configuration'!AI362="","",'12 - Device_Configuration'!AI362)</f>
        <v/>
      </c>
      <c r="J361" s="28" t="str">
        <f>IF('12 - Device_Configuration'!AJ362="","",'12 - Device_Configuration'!AJ362)</f>
        <v/>
      </c>
      <c r="K361" s="28" t="str">
        <f>IF('12 - Device_Configuration'!AA362="","",'12 - Device_Configuration'!AA362)</f>
        <v/>
      </c>
      <c r="L361" s="28" t="str">
        <f>IF('12 - Device_Configuration'!I362="","",'12 - Device_Configuration'!I362)</f>
        <v/>
      </c>
      <c r="M361" s="29"/>
      <c r="N361" s="28" t="str">
        <f>IF('12 - Device_Configuration'!J362="","",'12 - Device_Configuration'!J362)</f>
        <v/>
      </c>
      <c r="O361" s="28" t="str">
        <f>IF('12 - Device_Configuration'!K362="","",'12 - Device_Configuration'!K362)</f>
        <v/>
      </c>
      <c r="P361" s="28" t="str">
        <f>IF('12 - Device_Configuration'!L362="","",'12 - Device_Configuration'!L362)</f>
        <v/>
      </c>
      <c r="Q361" s="29"/>
      <c r="R361" s="28" t="str">
        <f>IF('12 - Device_Configuration'!AY362="","",'12 - Device_Configuration'!AY362)</f>
        <v/>
      </c>
      <c r="S361" s="28" t="str">
        <f>IF('12 - Device_Configuration'!AX362="","",'12 - Device_Configuration'!AX362)</f>
        <v/>
      </c>
      <c r="T361" s="28" t="str">
        <f>IF('12 - Device_Configuration'!AV362="","",'12 - Device_Configuration'!AV362)</f>
        <v/>
      </c>
      <c r="U361" s="28" t="str">
        <f>IF('12 - Device_Configuration'!AW362="","",'12 - Device_Configuration'!AW362)</f>
        <v/>
      </c>
      <c r="V361" s="28" t="str">
        <f>IF('12 - Device_Configuration'!BA362="","",'12 - Device_Configuration'!BA362)</f>
        <v/>
      </c>
      <c r="W361" s="28" t="str">
        <f>IF('12 - Device_Configuration'!BC362="","",'12 - Device_Configuration'!BC362)</f>
        <v/>
      </c>
      <c r="X361" s="28" t="str">
        <f>IF('12 - Device_Configuration'!BK362="","",'12 - Device_Configuration'!BK362)</f>
        <v/>
      </c>
      <c r="Y361" s="28" t="str">
        <f>IF('12 - Device_Configuration'!BB362="","",'12 - Device_Configuration'!BB362)</f>
        <v/>
      </c>
      <c r="Z361" s="28" t="str">
        <f>IF('12 - Device_Configuration'!P362="","",'12 - Device_Configuration'!P362)</f>
        <v/>
      </c>
      <c r="AA361" s="28" t="str">
        <f>IF('12 - Device_Configuration'!Q362="","",'12 - Device_Configuration'!Q362)</f>
        <v/>
      </c>
    </row>
    <row r="362" spans="1:27">
      <c r="A362" s="29"/>
      <c r="B362" s="29"/>
      <c r="C362" s="28" t="str">
        <f>IF('12 - Device_Configuration'!H363="","",'12 - Device_Configuration'!H363)</f>
        <v/>
      </c>
      <c r="D362" s="28" t="str">
        <f>IF('12 - Device_Configuration'!AE363="","",'12 - Device_Configuration'!AE363)</f>
        <v/>
      </c>
      <c r="E362" s="28" t="str">
        <f>IF('12 - Device_Configuration'!AF363="","",'12 - Device_Configuration'!AF363)</f>
        <v/>
      </c>
      <c r="F362" s="28" t="str">
        <f>IF('12 - Device_Configuration'!AG363="","",'12 - Device_Configuration'!AG363)</f>
        <v/>
      </c>
      <c r="G362" s="28" t="str">
        <f>IF('12 - Device_Configuration'!AH363="","",'12 - Device_Configuration'!AH363)</f>
        <v/>
      </c>
      <c r="H362" s="28" t="str">
        <f>IF('12 - Device_Configuration'!A363="","",'12 - Device_Configuration'!A363)</f>
        <v/>
      </c>
      <c r="I362" s="28" t="str">
        <f>IF('12 - Device_Configuration'!AI363="","",'12 - Device_Configuration'!AI363)</f>
        <v/>
      </c>
      <c r="J362" s="28" t="str">
        <f>IF('12 - Device_Configuration'!AJ363="","",'12 - Device_Configuration'!AJ363)</f>
        <v/>
      </c>
      <c r="K362" s="28" t="str">
        <f>IF('12 - Device_Configuration'!AA363="","",'12 - Device_Configuration'!AA363)</f>
        <v/>
      </c>
      <c r="L362" s="28" t="str">
        <f>IF('12 - Device_Configuration'!I363="","",'12 - Device_Configuration'!I363)</f>
        <v/>
      </c>
      <c r="M362" s="29"/>
      <c r="N362" s="28" t="str">
        <f>IF('12 - Device_Configuration'!J363="","",'12 - Device_Configuration'!J363)</f>
        <v/>
      </c>
      <c r="O362" s="28" t="str">
        <f>IF('12 - Device_Configuration'!K363="","",'12 - Device_Configuration'!K363)</f>
        <v/>
      </c>
      <c r="P362" s="28" t="str">
        <f>IF('12 - Device_Configuration'!L363="","",'12 - Device_Configuration'!L363)</f>
        <v/>
      </c>
      <c r="Q362" s="29"/>
      <c r="R362" s="28" t="str">
        <f>IF('12 - Device_Configuration'!AY363="","",'12 - Device_Configuration'!AY363)</f>
        <v/>
      </c>
      <c r="S362" s="28" t="str">
        <f>IF('12 - Device_Configuration'!AX363="","",'12 - Device_Configuration'!AX363)</f>
        <v/>
      </c>
      <c r="T362" s="28" t="str">
        <f>IF('12 - Device_Configuration'!AV363="","",'12 - Device_Configuration'!AV363)</f>
        <v/>
      </c>
      <c r="U362" s="28" t="str">
        <f>IF('12 - Device_Configuration'!AW363="","",'12 - Device_Configuration'!AW363)</f>
        <v/>
      </c>
      <c r="V362" s="28" t="str">
        <f>IF('12 - Device_Configuration'!BA363="","",'12 - Device_Configuration'!BA363)</f>
        <v/>
      </c>
      <c r="W362" s="28" t="str">
        <f>IF('12 - Device_Configuration'!BC363="","",'12 - Device_Configuration'!BC363)</f>
        <v/>
      </c>
      <c r="X362" s="28" t="str">
        <f>IF('12 - Device_Configuration'!BK363="","",'12 - Device_Configuration'!BK363)</f>
        <v/>
      </c>
      <c r="Y362" s="28" t="str">
        <f>IF('12 - Device_Configuration'!BB363="","",'12 - Device_Configuration'!BB363)</f>
        <v/>
      </c>
      <c r="Z362" s="28" t="str">
        <f>IF('12 - Device_Configuration'!P363="","",'12 - Device_Configuration'!P363)</f>
        <v/>
      </c>
      <c r="AA362" s="28" t="str">
        <f>IF('12 - Device_Configuration'!Q363="","",'12 - Device_Configuration'!Q363)</f>
        <v/>
      </c>
    </row>
    <row r="363" spans="1:27">
      <c r="A363" s="29"/>
      <c r="B363" s="29"/>
      <c r="C363" s="28" t="str">
        <f>IF('12 - Device_Configuration'!H364="","",'12 - Device_Configuration'!H364)</f>
        <v/>
      </c>
      <c r="D363" s="28" t="str">
        <f>IF('12 - Device_Configuration'!AE364="","",'12 - Device_Configuration'!AE364)</f>
        <v/>
      </c>
      <c r="E363" s="28" t="str">
        <f>IF('12 - Device_Configuration'!AF364="","",'12 - Device_Configuration'!AF364)</f>
        <v/>
      </c>
      <c r="F363" s="28" t="str">
        <f>IF('12 - Device_Configuration'!AG364="","",'12 - Device_Configuration'!AG364)</f>
        <v/>
      </c>
      <c r="G363" s="28" t="str">
        <f>IF('12 - Device_Configuration'!AH364="","",'12 - Device_Configuration'!AH364)</f>
        <v/>
      </c>
      <c r="H363" s="28" t="str">
        <f>IF('12 - Device_Configuration'!A364="","",'12 - Device_Configuration'!A364)</f>
        <v/>
      </c>
      <c r="I363" s="28" t="str">
        <f>IF('12 - Device_Configuration'!AI364="","",'12 - Device_Configuration'!AI364)</f>
        <v/>
      </c>
      <c r="J363" s="28" t="str">
        <f>IF('12 - Device_Configuration'!AJ364="","",'12 - Device_Configuration'!AJ364)</f>
        <v/>
      </c>
      <c r="K363" s="28" t="str">
        <f>IF('12 - Device_Configuration'!AA364="","",'12 - Device_Configuration'!AA364)</f>
        <v/>
      </c>
      <c r="L363" s="28" t="str">
        <f>IF('12 - Device_Configuration'!I364="","",'12 - Device_Configuration'!I364)</f>
        <v/>
      </c>
      <c r="M363" s="29"/>
      <c r="N363" s="28" t="str">
        <f>IF('12 - Device_Configuration'!J364="","",'12 - Device_Configuration'!J364)</f>
        <v/>
      </c>
      <c r="O363" s="28" t="str">
        <f>IF('12 - Device_Configuration'!K364="","",'12 - Device_Configuration'!K364)</f>
        <v/>
      </c>
      <c r="P363" s="28" t="str">
        <f>IF('12 - Device_Configuration'!L364="","",'12 - Device_Configuration'!L364)</f>
        <v/>
      </c>
      <c r="Q363" s="29"/>
      <c r="R363" s="28" t="str">
        <f>IF('12 - Device_Configuration'!AY364="","",'12 - Device_Configuration'!AY364)</f>
        <v/>
      </c>
      <c r="S363" s="28" t="str">
        <f>IF('12 - Device_Configuration'!AX364="","",'12 - Device_Configuration'!AX364)</f>
        <v/>
      </c>
      <c r="T363" s="28" t="str">
        <f>IF('12 - Device_Configuration'!AV364="","",'12 - Device_Configuration'!AV364)</f>
        <v/>
      </c>
      <c r="U363" s="28" t="str">
        <f>IF('12 - Device_Configuration'!AW364="","",'12 - Device_Configuration'!AW364)</f>
        <v/>
      </c>
      <c r="V363" s="28" t="str">
        <f>IF('12 - Device_Configuration'!BA364="","",'12 - Device_Configuration'!BA364)</f>
        <v/>
      </c>
      <c r="W363" s="28" t="str">
        <f>IF('12 - Device_Configuration'!BC364="","",'12 - Device_Configuration'!BC364)</f>
        <v/>
      </c>
      <c r="X363" s="28" t="str">
        <f>IF('12 - Device_Configuration'!BK364="","",'12 - Device_Configuration'!BK364)</f>
        <v/>
      </c>
      <c r="Y363" s="28" t="str">
        <f>IF('12 - Device_Configuration'!BB364="","",'12 - Device_Configuration'!BB364)</f>
        <v/>
      </c>
      <c r="Z363" s="28" t="str">
        <f>IF('12 - Device_Configuration'!P364="","",'12 - Device_Configuration'!P364)</f>
        <v/>
      </c>
      <c r="AA363" s="28" t="str">
        <f>IF('12 - Device_Configuration'!Q364="","",'12 - Device_Configuration'!Q364)</f>
        <v/>
      </c>
    </row>
    <row r="364" spans="1:27">
      <c r="A364" s="29"/>
      <c r="B364" s="29"/>
      <c r="C364" s="28" t="str">
        <f>IF('12 - Device_Configuration'!H365="","",'12 - Device_Configuration'!H365)</f>
        <v/>
      </c>
      <c r="D364" s="28" t="str">
        <f>IF('12 - Device_Configuration'!AE365="","",'12 - Device_Configuration'!AE365)</f>
        <v/>
      </c>
      <c r="E364" s="28" t="str">
        <f>IF('12 - Device_Configuration'!AF365="","",'12 - Device_Configuration'!AF365)</f>
        <v/>
      </c>
      <c r="F364" s="28" t="str">
        <f>IF('12 - Device_Configuration'!AG365="","",'12 - Device_Configuration'!AG365)</f>
        <v/>
      </c>
      <c r="G364" s="28" t="str">
        <f>IF('12 - Device_Configuration'!AH365="","",'12 - Device_Configuration'!AH365)</f>
        <v/>
      </c>
      <c r="H364" s="28" t="str">
        <f>IF('12 - Device_Configuration'!A365="","",'12 - Device_Configuration'!A365)</f>
        <v/>
      </c>
      <c r="I364" s="28" t="str">
        <f>IF('12 - Device_Configuration'!AI365="","",'12 - Device_Configuration'!AI365)</f>
        <v/>
      </c>
      <c r="J364" s="28" t="str">
        <f>IF('12 - Device_Configuration'!AJ365="","",'12 - Device_Configuration'!AJ365)</f>
        <v/>
      </c>
      <c r="K364" s="28" t="str">
        <f>IF('12 - Device_Configuration'!AA365="","",'12 - Device_Configuration'!AA365)</f>
        <v/>
      </c>
      <c r="L364" s="28" t="str">
        <f>IF('12 - Device_Configuration'!I365="","",'12 - Device_Configuration'!I365)</f>
        <v/>
      </c>
      <c r="M364" s="29"/>
      <c r="N364" s="28" t="str">
        <f>IF('12 - Device_Configuration'!J365="","",'12 - Device_Configuration'!J365)</f>
        <v/>
      </c>
      <c r="O364" s="28" t="str">
        <f>IF('12 - Device_Configuration'!K365="","",'12 - Device_Configuration'!K365)</f>
        <v/>
      </c>
      <c r="P364" s="28" t="str">
        <f>IF('12 - Device_Configuration'!L365="","",'12 - Device_Configuration'!L365)</f>
        <v/>
      </c>
      <c r="Q364" s="29"/>
      <c r="R364" s="28" t="str">
        <f>IF('12 - Device_Configuration'!AY365="","",'12 - Device_Configuration'!AY365)</f>
        <v/>
      </c>
      <c r="S364" s="28" t="str">
        <f>IF('12 - Device_Configuration'!AX365="","",'12 - Device_Configuration'!AX365)</f>
        <v/>
      </c>
      <c r="T364" s="28" t="str">
        <f>IF('12 - Device_Configuration'!AV365="","",'12 - Device_Configuration'!AV365)</f>
        <v/>
      </c>
      <c r="U364" s="28" t="str">
        <f>IF('12 - Device_Configuration'!AW365="","",'12 - Device_Configuration'!AW365)</f>
        <v/>
      </c>
      <c r="V364" s="28" t="str">
        <f>IF('12 - Device_Configuration'!BA365="","",'12 - Device_Configuration'!BA365)</f>
        <v/>
      </c>
      <c r="W364" s="28" t="str">
        <f>IF('12 - Device_Configuration'!BC365="","",'12 - Device_Configuration'!BC365)</f>
        <v/>
      </c>
      <c r="X364" s="28" t="str">
        <f>IF('12 - Device_Configuration'!BK365="","",'12 - Device_Configuration'!BK365)</f>
        <v/>
      </c>
      <c r="Y364" s="28" t="str">
        <f>IF('12 - Device_Configuration'!BB365="","",'12 - Device_Configuration'!BB365)</f>
        <v/>
      </c>
      <c r="Z364" s="28" t="str">
        <f>IF('12 - Device_Configuration'!P365="","",'12 - Device_Configuration'!P365)</f>
        <v/>
      </c>
      <c r="AA364" s="28" t="str">
        <f>IF('12 - Device_Configuration'!Q365="","",'12 - Device_Configuration'!Q365)</f>
        <v/>
      </c>
    </row>
    <row r="365" spans="1:27">
      <c r="A365" s="29"/>
      <c r="B365" s="29"/>
      <c r="C365" s="28" t="str">
        <f>IF('12 - Device_Configuration'!H366="","",'12 - Device_Configuration'!H366)</f>
        <v/>
      </c>
      <c r="D365" s="28" t="str">
        <f>IF('12 - Device_Configuration'!AE366="","",'12 - Device_Configuration'!AE366)</f>
        <v/>
      </c>
      <c r="E365" s="28" t="str">
        <f>IF('12 - Device_Configuration'!AF366="","",'12 - Device_Configuration'!AF366)</f>
        <v/>
      </c>
      <c r="F365" s="28" t="str">
        <f>IF('12 - Device_Configuration'!AG366="","",'12 - Device_Configuration'!AG366)</f>
        <v/>
      </c>
      <c r="G365" s="28" t="str">
        <f>IF('12 - Device_Configuration'!AH366="","",'12 - Device_Configuration'!AH366)</f>
        <v/>
      </c>
      <c r="H365" s="28" t="str">
        <f>IF('12 - Device_Configuration'!A366="","",'12 - Device_Configuration'!A366)</f>
        <v/>
      </c>
      <c r="I365" s="28" t="str">
        <f>IF('12 - Device_Configuration'!AI366="","",'12 - Device_Configuration'!AI366)</f>
        <v/>
      </c>
      <c r="J365" s="28" t="str">
        <f>IF('12 - Device_Configuration'!AJ366="","",'12 - Device_Configuration'!AJ366)</f>
        <v/>
      </c>
      <c r="K365" s="28" t="str">
        <f>IF('12 - Device_Configuration'!AA366="","",'12 - Device_Configuration'!AA366)</f>
        <v/>
      </c>
      <c r="L365" s="28" t="str">
        <f>IF('12 - Device_Configuration'!I366="","",'12 - Device_Configuration'!I366)</f>
        <v/>
      </c>
      <c r="M365" s="29"/>
      <c r="N365" s="28" t="str">
        <f>IF('12 - Device_Configuration'!J366="","",'12 - Device_Configuration'!J366)</f>
        <v/>
      </c>
      <c r="O365" s="28" t="str">
        <f>IF('12 - Device_Configuration'!K366="","",'12 - Device_Configuration'!K366)</f>
        <v/>
      </c>
      <c r="P365" s="28" t="str">
        <f>IF('12 - Device_Configuration'!L366="","",'12 - Device_Configuration'!L366)</f>
        <v/>
      </c>
      <c r="Q365" s="29"/>
      <c r="R365" s="28" t="str">
        <f>IF('12 - Device_Configuration'!AY366="","",'12 - Device_Configuration'!AY366)</f>
        <v/>
      </c>
      <c r="S365" s="28" t="str">
        <f>IF('12 - Device_Configuration'!AX366="","",'12 - Device_Configuration'!AX366)</f>
        <v/>
      </c>
      <c r="T365" s="28" t="str">
        <f>IF('12 - Device_Configuration'!AV366="","",'12 - Device_Configuration'!AV366)</f>
        <v/>
      </c>
      <c r="U365" s="28" t="str">
        <f>IF('12 - Device_Configuration'!AW366="","",'12 - Device_Configuration'!AW366)</f>
        <v/>
      </c>
      <c r="V365" s="28" t="str">
        <f>IF('12 - Device_Configuration'!BA366="","",'12 - Device_Configuration'!BA366)</f>
        <v/>
      </c>
      <c r="W365" s="28" t="str">
        <f>IF('12 - Device_Configuration'!BC366="","",'12 - Device_Configuration'!BC366)</f>
        <v/>
      </c>
      <c r="X365" s="28" t="str">
        <f>IF('12 - Device_Configuration'!BK366="","",'12 - Device_Configuration'!BK366)</f>
        <v/>
      </c>
      <c r="Y365" s="28" t="str">
        <f>IF('12 - Device_Configuration'!BB366="","",'12 - Device_Configuration'!BB366)</f>
        <v/>
      </c>
      <c r="Z365" s="28" t="str">
        <f>IF('12 - Device_Configuration'!P366="","",'12 - Device_Configuration'!P366)</f>
        <v/>
      </c>
      <c r="AA365" s="28" t="str">
        <f>IF('12 - Device_Configuration'!Q366="","",'12 - Device_Configuration'!Q366)</f>
        <v/>
      </c>
    </row>
    <row r="366" spans="1:27">
      <c r="A366" s="29"/>
      <c r="B366" s="29"/>
      <c r="C366" s="28" t="str">
        <f>IF('12 - Device_Configuration'!H367="","",'12 - Device_Configuration'!H367)</f>
        <v/>
      </c>
      <c r="D366" s="28" t="str">
        <f>IF('12 - Device_Configuration'!AE367="","",'12 - Device_Configuration'!AE367)</f>
        <v/>
      </c>
      <c r="E366" s="28" t="str">
        <f>IF('12 - Device_Configuration'!AF367="","",'12 - Device_Configuration'!AF367)</f>
        <v/>
      </c>
      <c r="F366" s="28" t="str">
        <f>IF('12 - Device_Configuration'!AG367="","",'12 - Device_Configuration'!AG367)</f>
        <v/>
      </c>
      <c r="G366" s="28" t="str">
        <f>IF('12 - Device_Configuration'!AH367="","",'12 - Device_Configuration'!AH367)</f>
        <v/>
      </c>
      <c r="H366" s="28" t="str">
        <f>IF('12 - Device_Configuration'!A367="","",'12 - Device_Configuration'!A367)</f>
        <v/>
      </c>
      <c r="I366" s="28" t="str">
        <f>IF('12 - Device_Configuration'!AI367="","",'12 - Device_Configuration'!AI367)</f>
        <v/>
      </c>
      <c r="J366" s="28" t="str">
        <f>IF('12 - Device_Configuration'!AJ367="","",'12 - Device_Configuration'!AJ367)</f>
        <v/>
      </c>
      <c r="K366" s="28" t="str">
        <f>IF('12 - Device_Configuration'!AA367="","",'12 - Device_Configuration'!AA367)</f>
        <v/>
      </c>
      <c r="L366" s="28" t="str">
        <f>IF('12 - Device_Configuration'!I367="","",'12 - Device_Configuration'!I367)</f>
        <v/>
      </c>
      <c r="M366" s="29"/>
      <c r="N366" s="28" t="str">
        <f>IF('12 - Device_Configuration'!J367="","",'12 - Device_Configuration'!J367)</f>
        <v/>
      </c>
      <c r="O366" s="28" t="str">
        <f>IF('12 - Device_Configuration'!K367="","",'12 - Device_Configuration'!K367)</f>
        <v/>
      </c>
      <c r="P366" s="28" t="str">
        <f>IF('12 - Device_Configuration'!L367="","",'12 - Device_Configuration'!L367)</f>
        <v/>
      </c>
      <c r="Q366" s="29"/>
      <c r="R366" s="28" t="str">
        <f>IF('12 - Device_Configuration'!AY367="","",'12 - Device_Configuration'!AY367)</f>
        <v/>
      </c>
      <c r="S366" s="28" t="str">
        <f>IF('12 - Device_Configuration'!AX367="","",'12 - Device_Configuration'!AX367)</f>
        <v/>
      </c>
      <c r="T366" s="28" t="str">
        <f>IF('12 - Device_Configuration'!AV367="","",'12 - Device_Configuration'!AV367)</f>
        <v/>
      </c>
      <c r="U366" s="28" t="str">
        <f>IF('12 - Device_Configuration'!AW367="","",'12 - Device_Configuration'!AW367)</f>
        <v/>
      </c>
      <c r="V366" s="28" t="str">
        <f>IF('12 - Device_Configuration'!BA367="","",'12 - Device_Configuration'!BA367)</f>
        <v/>
      </c>
      <c r="W366" s="28" t="str">
        <f>IF('12 - Device_Configuration'!BC367="","",'12 - Device_Configuration'!BC367)</f>
        <v/>
      </c>
      <c r="X366" s="28" t="str">
        <f>IF('12 - Device_Configuration'!BK367="","",'12 - Device_Configuration'!BK367)</f>
        <v/>
      </c>
      <c r="Y366" s="28" t="str">
        <f>IF('12 - Device_Configuration'!BB367="","",'12 - Device_Configuration'!BB367)</f>
        <v/>
      </c>
      <c r="Z366" s="28" t="str">
        <f>IF('12 - Device_Configuration'!P367="","",'12 - Device_Configuration'!P367)</f>
        <v/>
      </c>
      <c r="AA366" s="28" t="str">
        <f>IF('12 - Device_Configuration'!Q367="","",'12 - Device_Configuration'!Q367)</f>
        <v/>
      </c>
    </row>
    <row r="367" spans="1:27">
      <c r="A367" s="29"/>
      <c r="B367" s="29"/>
      <c r="C367" s="28" t="str">
        <f>IF('12 - Device_Configuration'!H368="","",'12 - Device_Configuration'!H368)</f>
        <v/>
      </c>
      <c r="D367" s="28" t="str">
        <f>IF('12 - Device_Configuration'!AE368="","",'12 - Device_Configuration'!AE368)</f>
        <v/>
      </c>
      <c r="E367" s="28" t="str">
        <f>IF('12 - Device_Configuration'!AF368="","",'12 - Device_Configuration'!AF368)</f>
        <v/>
      </c>
      <c r="F367" s="28" t="str">
        <f>IF('12 - Device_Configuration'!AG368="","",'12 - Device_Configuration'!AG368)</f>
        <v/>
      </c>
      <c r="G367" s="28" t="str">
        <f>IF('12 - Device_Configuration'!AH368="","",'12 - Device_Configuration'!AH368)</f>
        <v/>
      </c>
      <c r="H367" s="28" t="str">
        <f>IF('12 - Device_Configuration'!A368="","",'12 - Device_Configuration'!A368)</f>
        <v/>
      </c>
      <c r="I367" s="28" t="str">
        <f>IF('12 - Device_Configuration'!AI368="","",'12 - Device_Configuration'!AI368)</f>
        <v/>
      </c>
      <c r="J367" s="28" t="str">
        <f>IF('12 - Device_Configuration'!AJ368="","",'12 - Device_Configuration'!AJ368)</f>
        <v/>
      </c>
      <c r="K367" s="28" t="str">
        <f>IF('12 - Device_Configuration'!AA368="","",'12 - Device_Configuration'!AA368)</f>
        <v/>
      </c>
      <c r="L367" s="28" t="str">
        <f>IF('12 - Device_Configuration'!I368="","",'12 - Device_Configuration'!I368)</f>
        <v/>
      </c>
      <c r="M367" s="29"/>
      <c r="N367" s="28" t="str">
        <f>IF('12 - Device_Configuration'!J368="","",'12 - Device_Configuration'!J368)</f>
        <v/>
      </c>
      <c r="O367" s="28" t="str">
        <f>IF('12 - Device_Configuration'!K368="","",'12 - Device_Configuration'!K368)</f>
        <v/>
      </c>
      <c r="P367" s="28" t="str">
        <f>IF('12 - Device_Configuration'!L368="","",'12 - Device_Configuration'!L368)</f>
        <v/>
      </c>
      <c r="Q367" s="29"/>
      <c r="R367" s="28" t="str">
        <f>IF('12 - Device_Configuration'!AY368="","",'12 - Device_Configuration'!AY368)</f>
        <v/>
      </c>
      <c r="S367" s="28" t="str">
        <f>IF('12 - Device_Configuration'!AX368="","",'12 - Device_Configuration'!AX368)</f>
        <v/>
      </c>
      <c r="T367" s="28" t="str">
        <f>IF('12 - Device_Configuration'!AV368="","",'12 - Device_Configuration'!AV368)</f>
        <v/>
      </c>
      <c r="U367" s="28" t="str">
        <f>IF('12 - Device_Configuration'!AW368="","",'12 - Device_Configuration'!AW368)</f>
        <v/>
      </c>
      <c r="V367" s="28" t="str">
        <f>IF('12 - Device_Configuration'!BA368="","",'12 - Device_Configuration'!BA368)</f>
        <v/>
      </c>
      <c r="W367" s="28" t="str">
        <f>IF('12 - Device_Configuration'!BC368="","",'12 - Device_Configuration'!BC368)</f>
        <v/>
      </c>
      <c r="X367" s="28" t="str">
        <f>IF('12 - Device_Configuration'!BK368="","",'12 - Device_Configuration'!BK368)</f>
        <v/>
      </c>
      <c r="Y367" s="28" t="str">
        <f>IF('12 - Device_Configuration'!BB368="","",'12 - Device_Configuration'!BB368)</f>
        <v/>
      </c>
      <c r="Z367" s="28" t="str">
        <f>IF('12 - Device_Configuration'!P368="","",'12 - Device_Configuration'!P368)</f>
        <v/>
      </c>
      <c r="AA367" s="28" t="str">
        <f>IF('12 - Device_Configuration'!Q368="","",'12 - Device_Configuration'!Q368)</f>
        <v/>
      </c>
    </row>
    <row r="368" spans="1:27">
      <c r="A368" s="29"/>
      <c r="B368" s="29"/>
      <c r="C368" s="28" t="str">
        <f>IF('12 - Device_Configuration'!H369="","",'12 - Device_Configuration'!H369)</f>
        <v/>
      </c>
      <c r="D368" s="28" t="str">
        <f>IF('12 - Device_Configuration'!AE369="","",'12 - Device_Configuration'!AE369)</f>
        <v/>
      </c>
      <c r="E368" s="28" t="str">
        <f>IF('12 - Device_Configuration'!AF369="","",'12 - Device_Configuration'!AF369)</f>
        <v/>
      </c>
      <c r="F368" s="28" t="str">
        <f>IF('12 - Device_Configuration'!AG369="","",'12 - Device_Configuration'!AG369)</f>
        <v/>
      </c>
      <c r="G368" s="28" t="str">
        <f>IF('12 - Device_Configuration'!AH369="","",'12 - Device_Configuration'!AH369)</f>
        <v/>
      </c>
      <c r="H368" s="28" t="str">
        <f>IF('12 - Device_Configuration'!A369="","",'12 - Device_Configuration'!A369)</f>
        <v/>
      </c>
      <c r="I368" s="28" t="str">
        <f>IF('12 - Device_Configuration'!AI369="","",'12 - Device_Configuration'!AI369)</f>
        <v/>
      </c>
      <c r="J368" s="28" t="str">
        <f>IF('12 - Device_Configuration'!AJ369="","",'12 - Device_Configuration'!AJ369)</f>
        <v/>
      </c>
      <c r="K368" s="28" t="str">
        <f>IF('12 - Device_Configuration'!AA369="","",'12 - Device_Configuration'!AA369)</f>
        <v/>
      </c>
      <c r="L368" s="28" t="str">
        <f>IF('12 - Device_Configuration'!I369="","",'12 - Device_Configuration'!I369)</f>
        <v/>
      </c>
      <c r="M368" s="29"/>
      <c r="N368" s="28" t="str">
        <f>IF('12 - Device_Configuration'!J369="","",'12 - Device_Configuration'!J369)</f>
        <v/>
      </c>
      <c r="O368" s="28" t="str">
        <f>IF('12 - Device_Configuration'!K369="","",'12 - Device_Configuration'!K369)</f>
        <v/>
      </c>
      <c r="P368" s="28" t="str">
        <f>IF('12 - Device_Configuration'!L369="","",'12 - Device_Configuration'!L369)</f>
        <v/>
      </c>
      <c r="Q368" s="29"/>
      <c r="R368" s="28" t="str">
        <f>IF('12 - Device_Configuration'!AY369="","",'12 - Device_Configuration'!AY369)</f>
        <v/>
      </c>
      <c r="S368" s="28" t="str">
        <f>IF('12 - Device_Configuration'!AX369="","",'12 - Device_Configuration'!AX369)</f>
        <v/>
      </c>
      <c r="T368" s="28" t="str">
        <f>IF('12 - Device_Configuration'!AV369="","",'12 - Device_Configuration'!AV369)</f>
        <v/>
      </c>
      <c r="U368" s="28" t="str">
        <f>IF('12 - Device_Configuration'!AW369="","",'12 - Device_Configuration'!AW369)</f>
        <v/>
      </c>
      <c r="V368" s="28" t="str">
        <f>IF('12 - Device_Configuration'!BA369="","",'12 - Device_Configuration'!BA369)</f>
        <v/>
      </c>
      <c r="W368" s="28" t="str">
        <f>IF('12 - Device_Configuration'!BC369="","",'12 - Device_Configuration'!BC369)</f>
        <v/>
      </c>
      <c r="X368" s="28" t="str">
        <f>IF('12 - Device_Configuration'!BK369="","",'12 - Device_Configuration'!BK369)</f>
        <v/>
      </c>
      <c r="Y368" s="28" t="str">
        <f>IF('12 - Device_Configuration'!BB369="","",'12 - Device_Configuration'!BB369)</f>
        <v/>
      </c>
      <c r="Z368" s="28" t="str">
        <f>IF('12 - Device_Configuration'!P369="","",'12 - Device_Configuration'!P369)</f>
        <v/>
      </c>
      <c r="AA368" s="28" t="str">
        <f>IF('12 - Device_Configuration'!Q369="","",'12 - Device_Configuration'!Q369)</f>
        <v/>
      </c>
    </row>
    <row r="369" spans="1:27">
      <c r="A369" s="29"/>
      <c r="B369" s="29"/>
      <c r="C369" s="28" t="str">
        <f>IF('12 - Device_Configuration'!H370="","",'12 - Device_Configuration'!H370)</f>
        <v/>
      </c>
      <c r="D369" s="28" t="str">
        <f>IF('12 - Device_Configuration'!AE370="","",'12 - Device_Configuration'!AE370)</f>
        <v/>
      </c>
      <c r="E369" s="28" t="str">
        <f>IF('12 - Device_Configuration'!AF370="","",'12 - Device_Configuration'!AF370)</f>
        <v/>
      </c>
      <c r="F369" s="28" t="str">
        <f>IF('12 - Device_Configuration'!AG370="","",'12 - Device_Configuration'!AG370)</f>
        <v/>
      </c>
      <c r="G369" s="28" t="str">
        <f>IF('12 - Device_Configuration'!AH370="","",'12 - Device_Configuration'!AH370)</f>
        <v/>
      </c>
      <c r="H369" s="28" t="str">
        <f>IF('12 - Device_Configuration'!A370="","",'12 - Device_Configuration'!A370)</f>
        <v/>
      </c>
      <c r="I369" s="28" t="str">
        <f>IF('12 - Device_Configuration'!AI370="","",'12 - Device_Configuration'!AI370)</f>
        <v/>
      </c>
      <c r="J369" s="28" t="str">
        <f>IF('12 - Device_Configuration'!AJ370="","",'12 - Device_Configuration'!AJ370)</f>
        <v/>
      </c>
      <c r="K369" s="28" t="str">
        <f>IF('12 - Device_Configuration'!AA370="","",'12 - Device_Configuration'!AA370)</f>
        <v/>
      </c>
      <c r="L369" s="28" t="str">
        <f>IF('12 - Device_Configuration'!I370="","",'12 - Device_Configuration'!I370)</f>
        <v/>
      </c>
      <c r="M369" s="29"/>
      <c r="N369" s="28" t="str">
        <f>IF('12 - Device_Configuration'!J370="","",'12 - Device_Configuration'!J370)</f>
        <v/>
      </c>
      <c r="O369" s="28" t="str">
        <f>IF('12 - Device_Configuration'!K370="","",'12 - Device_Configuration'!K370)</f>
        <v/>
      </c>
      <c r="P369" s="28" t="str">
        <f>IF('12 - Device_Configuration'!L370="","",'12 - Device_Configuration'!L370)</f>
        <v/>
      </c>
      <c r="Q369" s="29"/>
      <c r="R369" s="28" t="str">
        <f>IF('12 - Device_Configuration'!AY370="","",'12 - Device_Configuration'!AY370)</f>
        <v/>
      </c>
      <c r="S369" s="28" t="str">
        <f>IF('12 - Device_Configuration'!AX370="","",'12 - Device_Configuration'!AX370)</f>
        <v/>
      </c>
      <c r="T369" s="28" t="str">
        <f>IF('12 - Device_Configuration'!AV370="","",'12 - Device_Configuration'!AV370)</f>
        <v/>
      </c>
      <c r="U369" s="28" t="str">
        <f>IF('12 - Device_Configuration'!AW370="","",'12 - Device_Configuration'!AW370)</f>
        <v/>
      </c>
      <c r="V369" s="28" t="str">
        <f>IF('12 - Device_Configuration'!BA370="","",'12 - Device_Configuration'!BA370)</f>
        <v/>
      </c>
      <c r="W369" s="28" t="str">
        <f>IF('12 - Device_Configuration'!BC370="","",'12 - Device_Configuration'!BC370)</f>
        <v/>
      </c>
      <c r="X369" s="28" t="str">
        <f>IF('12 - Device_Configuration'!BK370="","",'12 - Device_Configuration'!BK370)</f>
        <v/>
      </c>
      <c r="Y369" s="28" t="str">
        <f>IF('12 - Device_Configuration'!BB370="","",'12 - Device_Configuration'!BB370)</f>
        <v/>
      </c>
      <c r="Z369" s="28" t="str">
        <f>IF('12 - Device_Configuration'!P370="","",'12 - Device_Configuration'!P370)</f>
        <v/>
      </c>
      <c r="AA369" s="28" t="str">
        <f>IF('12 - Device_Configuration'!Q370="","",'12 - Device_Configuration'!Q370)</f>
        <v/>
      </c>
    </row>
    <row r="370" spans="1:27">
      <c r="A370" s="29"/>
      <c r="B370" s="29"/>
      <c r="C370" s="28" t="str">
        <f>IF('12 - Device_Configuration'!H371="","",'12 - Device_Configuration'!H371)</f>
        <v/>
      </c>
      <c r="D370" s="28" t="str">
        <f>IF('12 - Device_Configuration'!AE371="","",'12 - Device_Configuration'!AE371)</f>
        <v/>
      </c>
      <c r="E370" s="28" t="str">
        <f>IF('12 - Device_Configuration'!AF371="","",'12 - Device_Configuration'!AF371)</f>
        <v/>
      </c>
      <c r="F370" s="28" t="str">
        <f>IF('12 - Device_Configuration'!AG371="","",'12 - Device_Configuration'!AG371)</f>
        <v/>
      </c>
      <c r="G370" s="28" t="str">
        <f>IF('12 - Device_Configuration'!AH371="","",'12 - Device_Configuration'!AH371)</f>
        <v/>
      </c>
      <c r="H370" s="28" t="str">
        <f>IF('12 - Device_Configuration'!A371="","",'12 - Device_Configuration'!A371)</f>
        <v/>
      </c>
      <c r="I370" s="28" t="str">
        <f>IF('12 - Device_Configuration'!AI371="","",'12 - Device_Configuration'!AI371)</f>
        <v/>
      </c>
      <c r="J370" s="28" t="str">
        <f>IF('12 - Device_Configuration'!AJ371="","",'12 - Device_Configuration'!AJ371)</f>
        <v/>
      </c>
      <c r="K370" s="28" t="str">
        <f>IF('12 - Device_Configuration'!AA371="","",'12 - Device_Configuration'!AA371)</f>
        <v/>
      </c>
      <c r="L370" s="28" t="str">
        <f>IF('12 - Device_Configuration'!I371="","",'12 - Device_Configuration'!I371)</f>
        <v/>
      </c>
      <c r="M370" s="29"/>
      <c r="N370" s="28" t="str">
        <f>IF('12 - Device_Configuration'!J371="","",'12 - Device_Configuration'!J371)</f>
        <v/>
      </c>
      <c r="O370" s="28" t="str">
        <f>IF('12 - Device_Configuration'!K371="","",'12 - Device_Configuration'!K371)</f>
        <v/>
      </c>
      <c r="P370" s="28" t="str">
        <f>IF('12 - Device_Configuration'!L371="","",'12 - Device_Configuration'!L371)</f>
        <v/>
      </c>
      <c r="Q370" s="29"/>
      <c r="R370" s="28" t="str">
        <f>IF('12 - Device_Configuration'!AY371="","",'12 - Device_Configuration'!AY371)</f>
        <v/>
      </c>
      <c r="S370" s="28" t="str">
        <f>IF('12 - Device_Configuration'!AX371="","",'12 - Device_Configuration'!AX371)</f>
        <v/>
      </c>
      <c r="T370" s="28" t="str">
        <f>IF('12 - Device_Configuration'!AV371="","",'12 - Device_Configuration'!AV371)</f>
        <v/>
      </c>
      <c r="U370" s="28" t="str">
        <f>IF('12 - Device_Configuration'!AW371="","",'12 - Device_Configuration'!AW371)</f>
        <v/>
      </c>
      <c r="V370" s="28" t="str">
        <f>IF('12 - Device_Configuration'!BA371="","",'12 - Device_Configuration'!BA371)</f>
        <v/>
      </c>
      <c r="W370" s="28" t="str">
        <f>IF('12 - Device_Configuration'!BC371="","",'12 - Device_Configuration'!BC371)</f>
        <v/>
      </c>
      <c r="X370" s="28" t="str">
        <f>IF('12 - Device_Configuration'!BK371="","",'12 - Device_Configuration'!BK371)</f>
        <v/>
      </c>
      <c r="Y370" s="28" t="str">
        <f>IF('12 - Device_Configuration'!BB371="","",'12 - Device_Configuration'!BB371)</f>
        <v/>
      </c>
      <c r="Z370" s="28" t="str">
        <f>IF('12 - Device_Configuration'!P371="","",'12 - Device_Configuration'!P371)</f>
        <v/>
      </c>
      <c r="AA370" s="28" t="str">
        <f>IF('12 - Device_Configuration'!Q371="","",'12 - Device_Configuration'!Q371)</f>
        <v/>
      </c>
    </row>
    <row r="371" spans="1:27">
      <c r="A371" s="29"/>
      <c r="B371" s="29"/>
      <c r="C371" s="28" t="str">
        <f>IF('12 - Device_Configuration'!H372="","",'12 - Device_Configuration'!H372)</f>
        <v/>
      </c>
      <c r="D371" s="28" t="str">
        <f>IF('12 - Device_Configuration'!AE372="","",'12 - Device_Configuration'!AE372)</f>
        <v/>
      </c>
      <c r="E371" s="28" t="str">
        <f>IF('12 - Device_Configuration'!AF372="","",'12 - Device_Configuration'!AF372)</f>
        <v/>
      </c>
      <c r="F371" s="28" t="str">
        <f>IF('12 - Device_Configuration'!AG372="","",'12 - Device_Configuration'!AG372)</f>
        <v/>
      </c>
      <c r="G371" s="28" t="str">
        <f>IF('12 - Device_Configuration'!AH372="","",'12 - Device_Configuration'!AH372)</f>
        <v/>
      </c>
      <c r="H371" s="28" t="str">
        <f>IF('12 - Device_Configuration'!A372="","",'12 - Device_Configuration'!A372)</f>
        <v/>
      </c>
      <c r="I371" s="28" t="str">
        <f>IF('12 - Device_Configuration'!AI372="","",'12 - Device_Configuration'!AI372)</f>
        <v/>
      </c>
      <c r="J371" s="28" t="str">
        <f>IF('12 - Device_Configuration'!AJ372="","",'12 - Device_Configuration'!AJ372)</f>
        <v/>
      </c>
      <c r="K371" s="28" t="str">
        <f>IF('12 - Device_Configuration'!AA372="","",'12 - Device_Configuration'!AA372)</f>
        <v/>
      </c>
      <c r="L371" s="28" t="str">
        <f>IF('12 - Device_Configuration'!I372="","",'12 - Device_Configuration'!I372)</f>
        <v/>
      </c>
      <c r="M371" s="29"/>
      <c r="N371" s="28" t="str">
        <f>IF('12 - Device_Configuration'!J372="","",'12 - Device_Configuration'!J372)</f>
        <v/>
      </c>
      <c r="O371" s="28" t="str">
        <f>IF('12 - Device_Configuration'!K372="","",'12 - Device_Configuration'!K372)</f>
        <v/>
      </c>
      <c r="P371" s="28" t="str">
        <f>IF('12 - Device_Configuration'!L372="","",'12 - Device_Configuration'!L372)</f>
        <v/>
      </c>
      <c r="Q371" s="29"/>
      <c r="R371" s="28" t="str">
        <f>IF('12 - Device_Configuration'!AY372="","",'12 - Device_Configuration'!AY372)</f>
        <v/>
      </c>
      <c r="S371" s="28" t="str">
        <f>IF('12 - Device_Configuration'!AX372="","",'12 - Device_Configuration'!AX372)</f>
        <v/>
      </c>
      <c r="T371" s="28" t="str">
        <f>IF('12 - Device_Configuration'!AV372="","",'12 - Device_Configuration'!AV372)</f>
        <v/>
      </c>
      <c r="U371" s="28" t="str">
        <f>IF('12 - Device_Configuration'!AW372="","",'12 - Device_Configuration'!AW372)</f>
        <v/>
      </c>
      <c r="V371" s="28" t="str">
        <f>IF('12 - Device_Configuration'!BA372="","",'12 - Device_Configuration'!BA372)</f>
        <v/>
      </c>
      <c r="W371" s="28" t="str">
        <f>IF('12 - Device_Configuration'!BC372="","",'12 - Device_Configuration'!BC372)</f>
        <v/>
      </c>
      <c r="X371" s="28" t="str">
        <f>IF('12 - Device_Configuration'!BK372="","",'12 - Device_Configuration'!BK372)</f>
        <v/>
      </c>
      <c r="Y371" s="28" t="str">
        <f>IF('12 - Device_Configuration'!BB372="","",'12 - Device_Configuration'!BB372)</f>
        <v/>
      </c>
      <c r="Z371" s="28" t="str">
        <f>IF('12 - Device_Configuration'!P372="","",'12 - Device_Configuration'!P372)</f>
        <v/>
      </c>
      <c r="AA371" s="28" t="str">
        <f>IF('12 - Device_Configuration'!Q372="","",'12 - Device_Configuration'!Q372)</f>
        <v/>
      </c>
    </row>
    <row r="372" spans="1:27">
      <c r="A372" s="29"/>
      <c r="B372" s="29"/>
      <c r="C372" s="28" t="str">
        <f>IF('12 - Device_Configuration'!H373="","",'12 - Device_Configuration'!H373)</f>
        <v/>
      </c>
      <c r="D372" s="28" t="str">
        <f>IF('12 - Device_Configuration'!AE373="","",'12 - Device_Configuration'!AE373)</f>
        <v/>
      </c>
      <c r="E372" s="28" t="str">
        <f>IF('12 - Device_Configuration'!AF373="","",'12 - Device_Configuration'!AF373)</f>
        <v/>
      </c>
      <c r="F372" s="28" t="str">
        <f>IF('12 - Device_Configuration'!AG373="","",'12 - Device_Configuration'!AG373)</f>
        <v/>
      </c>
      <c r="G372" s="28" t="str">
        <f>IF('12 - Device_Configuration'!AH373="","",'12 - Device_Configuration'!AH373)</f>
        <v/>
      </c>
      <c r="H372" s="28" t="str">
        <f>IF('12 - Device_Configuration'!A373="","",'12 - Device_Configuration'!A373)</f>
        <v/>
      </c>
      <c r="I372" s="28" t="str">
        <f>IF('12 - Device_Configuration'!AI373="","",'12 - Device_Configuration'!AI373)</f>
        <v/>
      </c>
      <c r="J372" s="28" t="str">
        <f>IF('12 - Device_Configuration'!AJ373="","",'12 - Device_Configuration'!AJ373)</f>
        <v/>
      </c>
      <c r="K372" s="28" t="str">
        <f>IF('12 - Device_Configuration'!AA373="","",'12 - Device_Configuration'!AA373)</f>
        <v/>
      </c>
      <c r="L372" s="28" t="str">
        <f>IF('12 - Device_Configuration'!I373="","",'12 - Device_Configuration'!I373)</f>
        <v/>
      </c>
      <c r="M372" s="29"/>
      <c r="N372" s="28" t="str">
        <f>IF('12 - Device_Configuration'!J373="","",'12 - Device_Configuration'!J373)</f>
        <v/>
      </c>
      <c r="O372" s="28" t="str">
        <f>IF('12 - Device_Configuration'!K373="","",'12 - Device_Configuration'!K373)</f>
        <v/>
      </c>
      <c r="P372" s="28" t="str">
        <f>IF('12 - Device_Configuration'!L373="","",'12 - Device_Configuration'!L373)</f>
        <v/>
      </c>
      <c r="Q372" s="29"/>
      <c r="R372" s="28" t="str">
        <f>IF('12 - Device_Configuration'!AY373="","",'12 - Device_Configuration'!AY373)</f>
        <v/>
      </c>
      <c r="S372" s="28" t="str">
        <f>IF('12 - Device_Configuration'!AX373="","",'12 - Device_Configuration'!AX373)</f>
        <v/>
      </c>
      <c r="T372" s="28" t="str">
        <f>IF('12 - Device_Configuration'!AV373="","",'12 - Device_Configuration'!AV373)</f>
        <v/>
      </c>
      <c r="U372" s="28" t="str">
        <f>IF('12 - Device_Configuration'!AW373="","",'12 - Device_Configuration'!AW373)</f>
        <v/>
      </c>
      <c r="V372" s="28" t="str">
        <f>IF('12 - Device_Configuration'!BA373="","",'12 - Device_Configuration'!BA373)</f>
        <v/>
      </c>
      <c r="W372" s="28" t="str">
        <f>IF('12 - Device_Configuration'!BC373="","",'12 - Device_Configuration'!BC373)</f>
        <v/>
      </c>
      <c r="X372" s="28" t="str">
        <f>IF('12 - Device_Configuration'!BK373="","",'12 - Device_Configuration'!BK373)</f>
        <v/>
      </c>
      <c r="Y372" s="28" t="str">
        <f>IF('12 - Device_Configuration'!BB373="","",'12 - Device_Configuration'!BB373)</f>
        <v/>
      </c>
      <c r="Z372" s="28" t="str">
        <f>IF('12 - Device_Configuration'!P373="","",'12 - Device_Configuration'!P373)</f>
        <v/>
      </c>
      <c r="AA372" s="28" t="str">
        <f>IF('12 - Device_Configuration'!Q373="","",'12 - Device_Configuration'!Q373)</f>
        <v/>
      </c>
    </row>
    <row r="373" spans="1:27">
      <c r="A373" s="29"/>
      <c r="B373" s="29"/>
      <c r="C373" s="28" t="str">
        <f>IF('12 - Device_Configuration'!H374="","",'12 - Device_Configuration'!H374)</f>
        <v/>
      </c>
      <c r="D373" s="28" t="str">
        <f>IF('12 - Device_Configuration'!AE374="","",'12 - Device_Configuration'!AE374)</f>
        <v/>
      </c>
      <c r="E373" s="28" t="str">
        <f>IF('12 - Device_Configuration'!AF374="","",'12 - Device_Configuration'!AF374)</f>
        <v/>
      </c>
      <c r="F373" s="28" t="str">
        <f>IF('12 - Device_Configuration'!AG374="","",'12 - Device_Configuration'!AG374)</f>
        <v/>
      </c>
      <c r="G373" s="28" t="str">
        <f>IF('12 - Device_Configuration'!AH374="","",'12 - Device_Configuration'!AH374)</f>
        <v/>
      </c>
      <c r="H373" s="28" t="str">
        <f>IF('12 - Device_Configuration'!A374="","",'12 - Device_Configuration'!A374)</f>
        <v/>
      </c>
      <c r="I373" s="28" t="str">
        <f>IF('12 - Device_Configuration'!AI374="","",'12 - Device_Configuration'!AI374)</f>
        <v/>
      </c>
      <c r="J373" s="28" t="str">
        <f>IF('12 - Device_Configuration'!AJ374="","",'12 - Device_Configuration'!AJ374)</f>
        <v/>
      </c>
      <c r="K373" s="28" t="str">
        <f>IF('12 - Device_Configuration'!AA374="","",'12 - Device_Configuration'!AA374)</f>
        <v/>
      </c>
      <c r="L373" s="28" t="str">
        <f>IF('12 - Device_Configuration'!I374="","",'12 - Device_Configuration'!I374)</f>
        <v/>
      </c>
      <c r="M373" s="29"/>
      <c r="N373" s="28" t="str">
        <f>IF('12 - Device_Configuration'!J374="","",'12 - Device_Configuration'!J374)</f>
        <v/>
      </c>
      <c r="O373" s="28" t="str">
        <f>IF('12 - Device_Configuration'!K374="","",'12 - Device_Configuration'!K374)</f>
        <v/>
      </c>
      <c r="P373" s="28" t="str">
        <f>IF('12 - Device_Configuration'!L374="","",'12 - Device_Configuration'!L374)</f>
        <v/>
      </c>
      <c r="Q373" s="29"/>
      <c r="R373" s="28" t="str">
        <f>IF('12 - Device_Configuration'!AY374="","",'12 - Device_Configuration'!AY374)</f>
        <v/>
      </c>
      <c r="S373" s="28" t="str">
        <f>IF('12 - Device_Configuration'!AX374="","",'12 - Device_Configuration'!AX374)</f>
        <v/>
      </c>
      <c r="T373" s="28" t="str">
        <f>IF('12 - Device_Configuration'!AV374="","",'12 - Device_Configuration'!AV374)</f>
        <v/>
      </c>
      <c r="U373" s="28" t="str">
        <f>IF('12 - Device_Configuration'!AW374="","",'12 - Device_Configuration'!AW374)</f>
        <v/>
      </c>
      <c r="V373" s="28" t="str">
        <f>IF('12 - Device_Configuration'!BA374="","",'12 - Device_Configuration'!BA374)</f>
        <v/>
      </c>
      <c r="W373" s="28" t="str">
        <f>IF('12 - Device_Configuration'!BC374="","",'12 - Device_Configuration'!BC374)</f>
        <v/>
      </c>
      <c r="X373" s="28" t="str">
        <f>IF('12 - Device_Configuration'!BK374="","",'12 - Device_Configuration'!BK374)</f>
        <v/>
      </c>
      <c r="Y373" s="28" t="str">
        <f>IF('12 - Device_Configuration'!BB374="","",'12 - Device_Configuration'!BB374)</f>
        <v/>
      </c>
      <c r="Z373" s="28" t="str">
        <f>IF('12 - Device_Configuration'!P374="","",'12 - Device_Configuration'!P374)</f>
        <v/>
      </c>
      <c r="AA373" s="28" t="str">
        <f>IF('12 - Device_Configuration'!Q374="","",'12 - Device_Configuration'!Q374)</f>
        <v/>
      </c>
    </row>
    <row r="374" spans="1:27">
      <c r="A374" s="29"/>
      <c r="B374" s="29"/>
      <c r="C374" s="28" t="str">
        <f>IF('12 - Device_Configuration'!H375="","",'12 - Device_Configuration'!H375)</f>
        <v/>
      </c>
      <c r="D374" s="28" t="str">
        <f>IF('12 - Device_Configuration'!AE375="","",'12 - Device_Configuration'!AE375)</f>
        <v/>
      </c>
      <c r="E374" s="28" t="str">
        <f>IF('12 - Device_Configuration'!AF375="","",'12 - Device_Configuration'!AF375)</f>
        <v/>
      </c>
      <c r="F374" s="28" t="str">
        <f>IF('12 - Device_Configuration'!AG375="","",'12 - Device_Configuration'!AG375)</f>
        <v/>
      </c>
      <c r="G374" s="28" t="str">
        <f>IF('12 - Device_Configuration'!AH375="","",'12 - Device_Configuration'!AH375)</f>
        <v/>
      </c>
      <c r="H374" s="28" t="str">
        <f>IF('12 - Device_Configuration'!A375="","",'12 - Device_Configuration'!A375)</f>
        <v/>
      </c>
      <c r="I374" s="28" t="str">
        <f>IF('12 - Device_Configuration'!AI375="","",'12 - Device_Configuration'!AI375)</f>
        <v/>
      </c>
      <c r="J374" s="28" t="str">
        <f>IF('12 - Device_Configuration'!AJ375="","",'12 - Device_Configuration'!AJ375)</f>
        <v/>
      </c>
      <c r="K374" s="28" t="str">
        <f>IF('12 - Device_Configuration'!AA375="","",'12 - Device_Configuration'!AA375)</f>
        <v/>
      </c>
      <c r="L374" s="28" t="str">
        <f>IF('12 - Device_Configuration'!I375="","",'12 - Device_Configuration'!I375)</f>
        <v/>
      </c>
      <c r="M374" s="29"/>
      <c r="N374" s="28" t="str">
        <f>IF('12 - Device_Configuration'!J375="","",'12 - Device_Configuration'!J375)</f>
        <v/>
      </c>
      <c r="O374" s="28" t="str">
        <f>IF('12 - Device_Configuration'!K375="","",'12 - Device_Configuration'!K375)</f>
        <v/>
      </c>
      <c r="P374" s="28" t="str">
        <f>IF('12 - Device_Configuration'!L375="","",'12 - Device_Configuration'!L375)</f>
        <v/>
      </c>
      <c r="Q374" s="29"/>
      <c r="R374" s="28" t="str">
        <f>IF('12 - Device_Configuration'!AY375="","",'12 - Device_Configuration'!AY375)</f>
        <v/>
      </c>
      <c r="S374" s="28" t="str">
        <f>IF('12 - Device_Configuration'!AX375="","",'12 - Device_Configuration'!AX375)</f>
        <v/>
      </c>
      <c r="T374" s="28" t="str">
        <f>IF('12 - Device_Configuration'!AV375="","",'12 - Device_Configuration'!AV375)</f>
        <v/>
      </c>
      <c r="U374" s="28" t="str">
        <f>IF('12 - Device_Configuration'!AW375="","",'12 - Device_Configuration'!AW375)</f>
        <v/>
      </c>
      <c r="V374" s="28" t="str">
        <f>IF('12 - Device_Configuration'!BA375="","",'12 - Device_Configuration'!BA375)</f>
        <v/>
      </c>
      <c r="W374" s="28" t="str">
        <f>IF('12 - Device_Configuration'!BC375="","",'12 - Device_Configuration'!BC375)</f>
        <v/>
      </c>
      <c r="X374" s="28" t="str">
        <f>IF('12 - Device_Configuration'!BK375="","",'12 - Device_Configuration'!BK375)</f>
        <v/>
      </c>
      <c r="Y374" s="28" t="str">
        <f>IF('12 - Device_Configuration'!BB375="","",'12 - Device_Configuration'!BB375)</f>
        <v/>
      </c>
      <c r="Z374" s="28" t="str">
        <f>IF('12 - Device_Configuration'!P375="","",'12 - Device_Configuration'!P375)</f>
        <v/>
      </c>
      <c r="AA374" s="28" t="str">
        <f>IF('12 - Device_Configuration'!Q375="","",'12 - Device_Configuration'!Q375)</f>
        <v/>
      </c>
    </row>
    <row r="375" spans="1:27">
      <c r="A375" s="29"/>
      <c r="B375" s="29"/>
      <c r="C375" s="28" t="str">
        <f>IF('12 - Device_Configuration'!H376="","",'12 - Device_Configuration'!H376)</f>
        <v/>
      </c>
      <c r="D375" s="28" t="str">
        <f>IF('12 - Device_Configuration'!AE376="","",'12 - Device_Configuration'!AE376)</f>
        <v/>
      </c>
      <c r="E375" s="28" t="str">
        <f>IF('12 - Device_Configuration'!AF376="","",'12 - Device_Configuration'!AF376)</f>
        <v/>
      </c>
      <c r="F375" s="28" t="str">
        <f>IF('12 - Device_Configuration'!AG376="","",'12 - Device_Configuration'!AG376)</f>
        <v/>
      </c>
      <c r="G375" s="28" t="str">
        <f>IF('12 - Device_Configuration'!AH376="","",'12 - Device_Configuration'!AH376)</f>
        <v/>
      </c>
      <c r="H375" s="28" t="str">
        <f>IF('12 - Device_Configuration'!A376="","",'12 - Device_Configuration'!A376)</f>
        <v/>
      </c>
      <c r="I375" s="28" t="str">
        <f>IF('12 - Device_Configuration'!AI376="","",'12 - Device_Configuration'!AI376)</f>
        <v/>
      </c>
      <c r="J375" s="28" t="str">
        <f>IF('12 - Device_Configuration'!AJ376="","",'12 - Device_Configuration'!AJ376)</f>
        <v/>
      </c>
      <c r="K375" s="28" t="str">
        <f>IF('12 - Device_Configuration'!AA376="","",'12 - Device_Configuration'!AA376)</f>
        <v/>
      </c>
      <c r="L375" s="28" t="str">
        <f>IF('12 - Device_Configuration'!I376="","",'12 - Device_Configuration'!I376)</f>
        <v/>
      </c>
      <c r="M375" s="29"/>
      <c r="N375" s="28" t="str">
        <f>IF('12 - Device_Configuration'!J376="","",'12 - Device_Configuration'!J376)</f>
        <v/>
      </c>
      <c r="O375" s="28" t="str">
        <f>IF('12 - Device_Configuration'!K376="","",'12 - Device_Configuration'!K376)</f>
        <v/>
      </c>
      <c r="P375" s="28" t="str">
        <f>IF('12 - Device_Configuration'!L376="","",'12 - Device_Configuration'!L376)</f>
        <v/>
      </c>
      <c r="Q375" s="29"/>
      <c r="R375" s="28" t="str">
        <f>IF('12 - Device_Configuration'!AY376="","",'12 - Device_Configuration'!AY376)</f>
        <v/>
      </c>
      <c r="S375" s="28" t="str">
        <f>IF('12 - Device_Configuration'!AX376="","",'12 - Device_Configuration'!AX376)</f>
        <v/>
      </c>
      <c r="T375" s="28" t="str">
        <f>IF('12 - Device_Configuration'!AV376="","",'12 - Device_Configuration'!AV376)</f>
        <v/>
      </c>
      <c r="U375" s="28" t="str">
        <f>IF('12 - Device_Configuration'!AW376="","",'12 - Device_Configuration'!AW376)</f>
        <v/>
      </c>
      <c r="V375" s="28" t="str">
        <f>IF('12 - Device_Configuration'!BA376="","",'12 - Device_Configuration'!BA376)</f>
        <v/>
      </c>
      <c r="W375" s="28" t="str">
        <f>IF('12 - Device_Configuration'!BC376="","",'12 - Device_Configuration'!BC376)</f>
        <v/>
      </c>
      <c r="X375" s="28" t="str">
        <f>IF('12 - Device_Configuration'!BK376="","",'12 - Device_Configuration'!BK376)</f>
        <v/>
      </c>
      <c r="Y375" s="28" t="str">
        <f>IF('12 - Device_Configuration'!BB376="","",'12 - Device_Configuration'!BB376)</f>
        <v/>
      </c>
      <c r="Z375" s="28" t="str">
        <f>IF('12 - Device_Configuration'!P376="","",'12 - Device_Configuration'!P376)</f>
        <v/>
      </c>
      <c r="AA375" s="28" t="str">
        <f>IF('12 - Device_Configuration'!Q376="","",'12 - Device_Configuration'!Q376)</f>
        <v/>
      </c>
    </row>
    <row r="376" spans="1:27">
      <c r="A376" s="29"/>
      <c r="B376" s="29"/>
      <c r="C376" s="28" t="str">
        <f>IF('12 - Device_Configuration'!H377="","",'12 - Device_Configuration'!H377)</f>
        <v/>
      </c>
      <c r="D376" s="28" t="str">
        <f>IF('12 - Device_Configuration'!AE377="","",'12 - Device_Configuration'!AE377)</f>
        <v/>
      </c>
      <c r="E376" s="28" t="str">
        <f>IF('12 - Device_Configuration'!AF377="","",'12 - Device_Configuration'!AF377)</f>
        <v/>
      </c>
      <c r="F376" s="28" t="str">
        <f>IF('12 - Device_Configuration'!AG377="","",'12 - Device_Configuration'!AG377)</f>
        <v/>
      </c>
      <c r="G376" s="28" t="str">
        <f>IF('12 - Device_Configuration'!AH377="","",'12 - Device_Configuration'!AH377)</f>
        <v/>
      </c>
      <c r="H376" s="28" t="str">
        <f>IF('12 - Device_Configuration'!A377="","",'12 - Device_Configuration'!A377)</f>
        <v/>
      </c>
      <c r="I376" s="28" t="str">
        <f>IF('12 - Device_Configuration'!AI377="","",'12 - Device_Configuration'!AI377)</f>
        <v/>
      </c>
      <c r="J376" s="28" t="str">
        <f>IF('12 - Device_Configuration'!AJ377="","",'12 - Device_Configuration'!AJ377)</f>
        <v/>
      </c>
      <c r="K376" s="28" t="str">
        <f>IF('12 - Device_Configuration'!AA377="","",'12 - Device_Configuration'!AA377)</f>
        <v/>
      </c>
      <c r="L376" s="28" t="str">
        <f>IF('12 - Device_Configuration'!I377="","",'12 - Device_Configuration'!I377)</f>
        <v/>
      </c>
      <c r="M376" s="29"/>
      <c r="N376" s="28" t="str">
        <f>IF('12 - Device_Configuration'!J377="","",'12 - Device_Configuration'!J377)</f>
        <v/>
      </c>
      <c r="O376" s="28" t="str">
        <f>IF('12 - Device_Configuration'!K377="","",'12 - Device_Configuration'!K377)</f>
        <v/>
      </c>
      <c r="P376" s="28" t="str">
        <f>IF('12 - Device_Configuration'!L377="","",'12 - Device_Configuration'!L377)</f>
        <v/>
      </c>
      <c r="Q376" s="29"/>
      <c r="R376" s="28" t="str">
        <f>IF('12 - Device_Configuration'!AY377="","",'12 - Device_Configuration'!AY377)</f>
        <v/>
      </c>
      <c r="S376" s="28" t="str">
        <f>IF('12 - Device_Configuration'!AX377="","",'12 - Device_Configuration'!AX377)</f>
        <v/>
      </c>
      <c r="T376" s="28" t="str">
        <f>IF('12 - Device_Configuration'!AV377="","",'12 - Device_Configuration'!AV377)</f>
        <v/>
      </c>
      <c r="U376" s="28" t="str">
        <f>IF('12 - Device_Configuration'!AW377="","",'12 - Device_Configuration'!AW377)</f>
        <v/>
      </c>
      <c r="V376" s="28" t="str">
        <f>IF('12 - Device_Configuration'!BA377="","",'12 - Device_Configuration'!BA377)</f>
        <v/>
      </c>
      <c r="W376" s="28" t="str">
        <f>IF('12 - Device_Configuration'!BC377="","",'12 - Device_Configuration'!BC377)</f>
        <v/>
      </c>
      <c r="X376" s="28" t="str">
        <f>IF('12 - Device_Configuration'!BK377="","",'12 - Device_Configuration'!BK377)</f>
        <v/>
      </c>
      <c r="Y376" s="28" t="str">
        <f>IF('12 - Device_Configuration'!BB377="","",'12 - Device_Configuration'!BB377)</f>
        <v/>
      </c>
      <c r="Z376" s="28" t="str">
        <f>IF('12 - Device_Configuration'!P377="","",'12 - Device_Configuration'!P377)</f>
        <v/>
      </c>
      <c r="AA376" s="28" t="str">
        <f>IF('12 - Device_Configuration'!Q377="","",'12 - Device_Configuration'!Q377)</f>
        <v/>
      </c>
    </row>
    <row r="377" spans="1:27">
      <c r="A377" s="29"/>
      <c r="B377" s="29"/>
      <c r="C377" s="28" t="str">
        <f>IF('12 - Device_Configuration'!H378="","",'12 - Device_Configuration'!H378)</f>
        <v/>
      </c>
      <c r="D377" s="28" t="str">
        <f>IF('12 - Device_Configuration'!AE378="","",'12 - Device_Configuration'!AE378)</f>
        <v/>
      </c>
      <c r="E377" s="28" t="str">
        <f>IF('12 - Device_Configuration'!AF378="","",'12 - Device_Configuration'!AF378)</f>
        <v/>
      </c>
      <c r="F377" s="28" t="str">
        <f>IF('12 - Device_Configuration'!AG378="","",'12 - Device_Configuration'!AG378)</f>
        <v/>
      </c>
      <c r="G377" s="28" t="str">
        <f>IF('12 - Device_Configuration'!AH378="","",'12 - Device_Configuration'!AH378)</f>
        <v/>
      </c>
      <c r="H377" s="28" t="str">
        <f>IF('12 - Device_Configuration'!A378="","",'12 - Device_Configuration'!A378)</f>
        <v/>
      </c>
      <c r="I377" s="28" t="str">
        <f>IF('12 - Device_Configuration'!AI378="","",'12 - Device_Configuration'!AI378)</f>
        <v/>
      </c>
      <c r="J377" s="28" t="str">
        <f>IF('12 - Device_Configuration'!AJ378="","",'12 - Device_Configuration'!AJ378)</f>
        <v/>
      </c>
      <c r="K377" s="28" t="str">
        <f>IF('12 - Device_Configuration'!AA378="","",'12 - Device_Configuration'!AA378)</f>
        <v/>
      </c>
      <c r="L377" s="28" t="str">
        <f>IF('12 - Device_Configuration'!I378="","",'12 - Device_Configuration'!I378)</f>
        <v/>
      </c>
      <c r="M377" s="29"/>
      <c r="N377" s="28" t="str">
        <f>IF('12 - Device_Configuration'!J378="","",'12 - Device_Configuration'!J378)</f>
        <v/>
      </c>
      <c r="O377" s="28" t="str">
        <f>IF('12 - Device_Configuration'!K378="","",'12 - Device_Configuration'!K378)</f>
        <v/>
      </c>
      <c r="P377" s="28" t="str">
        <f>IF('12 - Device_Configuration'!L378="","",'12 - Device_Configuration'!L378)</f>
        <v/>
      </c>
      <c r="Q377" s="29"/>
      <c r="R377" s="28" t="str">
        <f>IF('12 - Device_Configuration'!AY378="","",'12 - Device_Configuration'!AY378)</f>
        <v/>
      </c>
      <c r="S377" s="28" t="str">
        <f>IF('12 - Device_Configuration'!AX378="","",'12 - Device_Configuration'!AX378)</f>
        <v/>
      </c>
      <c r="T377" s="28" t="str">
        <f>IF('12 - Device_Configuration'!AV378="","",'12 - Device_Configuration'!AV378)</f>
        <v/>
      </c>
      <c r="U377" s="28" t="str">
        <f>IF('12 - Device_Configuration'!AW378="","",'12 - Device_Configuration'!AW378)</f>
        <v/>
      </c>
      <c r="V377" s="28" t="str">
        <f>IF('12 - Device_Configuration'!BA378="","",'12 - Device_Configuration'!BA378)</f>
        <v/>
      </c>
      <c r="W377" s="28" t="str">
        <f>IF('12 - Device_Configuration'!BC378="","",'12 - Device_Configuration'!BC378)</f>
        <v/>
      </c>
      <c r="X377" s="28" t="str">
        <f>IF('12 - Device_Configuration'!BK378="","",'12 - Device_Configuration'!BK378)</f>
        <v/>
      </c>
      <c r="Y377" s="28" t="str">
        <f>IF('12 - Device_Configuration'!BB378="","",'12 - Device_Configuration'!BB378)</f>
        <v/>
      </c>
      <c r="Z377" s="28" t="str">
        <f>IF('12 - Device_Configuration'!P378="","",'12 - Device_Configuration'!P378)</f>
        <v/>
      </c>
      <c r="AA377" s="28" t="str">
        <f>IF('12 - Device_Configuration'!Q378="","",'12 - Device_Configuration'!Q378)</f>
        <v/>
      </c>
    </row>
    <row r="378" spans="1:27">
      <c r="A378" s="29"/>
      <c r="B378" s="29"/>
      <c r="C378" s="28" t="str">
        <f>IF('12 - Device_Configuration'!H379="","",'12 - Device_Configuration'!H379)</f>
        <v/>
      </c>
      <c r="D378" s="28" t="str">
        <f>IF('12 - Device_Configuration'!AE379="","",'12 - Device_Configuration'!AE379)</f>
        <v/>
      </c>
      <c r="E378" s="28" t="str">
        <f>IF('12 - Device_Configuration'!AF379="","",'12 - Device_Configuration'!AF379)</f>
        <v/>
      </c>
      <c r="F378" s="28" t="str">
        <f>IF('12 - Device_Configuration'!AG379="","",'12 - Device_Configuration'!AG379)</f>
        <v/>
      </c>
      <c r="G378" s="28" t="str">
        <f>IF('12 - Device_Configuration'!AH379="","",'12 - Device_Configuration'!AH379)</f>
        <v/>
      </c>
      <c r="H378" s="28" t="str">
        <f>IF('12 - Device_Configuration'!A379="","",'12 - Device_Configuration'!A379)</f>
        <v/>
      </c>
      <c r="I378" s="28" t="str">
        <f>IF('12 - Device_Configuration'!AI379="","",'12 - Device_Configuration'!AI379)</f>
        <v/>
      </c>
      <c r="J378" s="28" t="str">
        <f>IF('12 - Device_Configuration'!AJ379="","",'12 - Device_Configuration'!AJ379)</f>
        <v/>
      </c>
      <c r="K378" s="28" t="str">
        <f>IF('12 - Device_Configuration'!AA379="","",'12 - Device_Configuration'!AA379)</f>
        <v/>
      </c>
      <c r="L378" s="28" t="str">
        <f>IF('12 - Device_Configuration'!I379="","",'12 - Device_Configuration'!I379)</f>
        <v/>
      </c>
      <c r="M378" s="29"/>
      <c r="N378" s="28" t="str">
        <f>IF('12 - Device_Configuration'!J379="","",'12 - Device_Configuration'!J379)</f>
        <v/>
      </c>
      <c r="O378" s="28" t="str">
        <f>IF('12 - Device_Configuration'!K379="","",'12 - Device_Configuration'!K379)</f>
        <v/>
      </c>
      <c r="P378" s="28" t="str">
        <f>IF('12 - Device_Configuration'!L379="","",'12 - Device_Configuration'!L379)</f>
        <v/>
      </c>
      <c r="Q378" s="29"/>
      <c r="R378" s="28" t="str">
        <f>IF('12 - Device_Configuration'!AY379="","",'12 - Device_Configuration'!AY379)</f>
        <v/>
      </c>
      <c r="S378" s="28" t="str">
        <f>IF('12 - Device_Configuration'!AX379="","",'12 - Device_Configuration'!AX379)</f>
        <v/>
      </c>
      <c r="T378" s="28" t="str">
        <f>IF('12 - Device_Configuration'!AV379="","",'12 - Device_Configuration'!AV379)</f>
        <v/>
      </c>
      <c r="U378" s="28" t="str">
        <f>IF('12 - Device_Configuration'!AW379="","",'12 - Device_Configuration'!AW379)</f>
        <v/>
      </c>
      <c r="V378" s="28" t="str">
        <f>IF('12 - Device_Configuration'!BA379="","",'12 - Device_Configuration'!BA379)</f>
        <v/>
      </c>
      <c r="W378" s="28" t="str">
        <f>IF('12 - Device_Configuration'!BC379="","",'12 - Device_Configuration'!BC379)</f>
        <v/>
      </c>
      <c r="X378" s="28" t="str">
        <f>IF('12 - Device_Configuration'!BK379="","",'12 - Device_Configuration'!BK379)</f>
        <v/>
      </c>
      <c r="Y378" s="28" t="str">
        <f>IF('12 - Device_Configuration'!BB379="","",'12 - Device_Configuration'!BB379)</f>
        <v/>
      </c>
      <c r="Z378" s="28" t="str">
        <f>IF('12 - Device_Configuration'!P379="","",'12 - Device_Configuration'!P379)</f>
        <v/>
      </c>
      <c r="AA378" s="28" t="str">
        <f>IF('12 - Device_Configuration'!Q379="","",'12 - Device_Configuration'!Q379)</f>
        <v/>
      </c>
    </row>
    <row r="379" spans="1:27">
      <c r="A379" s="29"/>
      <c r="B379" s="29"/>
      <c r="C379" s="28" t="str">
        <f>IF('12 - Device_Configuration'!H380="","",'12 - Device_Configuration'!H380)</f>
        <v/>
      </c>
      <c r="D379" s="28" t="str">
        <f>IF('12 - Device_Configuration'!AE380="","",'12 - Device_Configuration'!AE380)</f>
        <v/>
      </c>
      <c r="E379" s="28" t="str">
        <f>IF('12 - Device_Configuration'!AF380="","",'12 - Device_Configuration'!AF380)</f>
        <v/>
      </c>
      <c r="F379" s="28" t="str">
        <f>IF('12 - Device_Configuration'!AG380="","",'12 - Device_Configuration'!AG380)</f>
        <v/>
      </c>
      <c r="G379" s="28" t="str">
        <f>IF('12 - Device_Configuration'!AH380="","",'12 - Device_Configuration'!AH380)</f>
        <v/>
      </c>
      <c r="H379" s="28" t="str">
        <f>IF('12 - Device_Configuration'!A380="","",'12 - Device_Configuration'!A380)</f>
        <v/>
      </c>
      <c r="I379" s="28" t="str">
        <f>IF('12 - Device_Configuration'!AI380="","",'12 - Device_Configuration'!AI380)</f>
        <v/>
      </c>
      <c r="J379" s="28" t="str">
        <f>IF('12 - Device_Configuration'!AJ380="","",'12 - Device_Configuration'!AJ380)</f>
        <v/>
      </c>
      <c r="K379" s="28" t="str">
        <f>IF('12 - Device_Configuration'!AA380="","",'12 - Device_Configuration'!AA380)</f>
        <v/>
      </c>
      <c r="L379" s="28" t="str">
        <f>IF('12 - Device_Configuration'!I380="","",'12 - Device_Configuration'!I380)</f>
        <v/>
      </c>
      <c r="M379" s="29"/>
      <c r="N379" s="28" t="str">
        <f>IF('12 - Device_Configuration'!J380="","",'12 - Device_Configuration'!J380)</f>
        <v/>
      </c>
      <c r="O379" s="28" t="str">
        <f>IF('12 - Device_Configuration'!K380="","",'12 - Device_Configuration'!K380)</f>
        <v/>
      </c>
      <c r="P379" s="28" t="str">
        <f>IF('12 - Device_Configuration'!L380="","",'12 - Device_Configuration'!L380)</f>
        <v/>
      </c>
      <c r="Q379" s="29"/>
      <c r="R379" s="28" t="str">
        <f>IF('12 - Device_Configuration'!AY380="","",'12 - Device_Configuration'!AY380)</f>
        <v/>
      </c>
      <c r="S379" s="28" t="str">
        <f>IF('12 - Device_Configuration'!AX380="","",'12 - Device_Configuration'!AX380)</f>
        <v/>
      </c>
      <c r="T379" s="28" t="str">
        <f>IF('12 - Device_Configuration'!AV380="","",'12 - Device_Configuration'!AV380)</f>
        <v/>
      </c>
      <c r="U379" s="28" t="str">
        <f>IF('12 - Device_Configuration'!AW380="","",'12 - Device_Configuration'!AW380)</f>
        <v/>
      </c>
      <c r="V379" s="28" t="str">
        <f>IF('12 - Device_Configuration'!BA380="","",'12 - Device_Configuration'!BA380)</f>
        <v/>
      </c>
      <c r="W379" s="28" t="str">
        <f>IF('12 - Device_Configuration'!BC380="","",'12 - Device_Configuration'!BC380)</f>
        <v/>
      </c>
      <c r="X379" s="28" t="str">
        <f>IF('12 - Device_Configuration'!BK380="","",'12 - Device_Configuration'!BK380)</f>
        <v/>
      </c>
      <c r="Y379" s="28" t="str">
        <f>IF('12 - Device_Configuration'!BB380="","",'12 - Device_Configuration'!BB380)</f>
        <v/>
      </c>
      <c r="Z379" s="28" t="str">
        <f>IF('12 - Device_Configuration'!P380="","",'12 - Device_Configuration'!P380)</f>
        <v/>
      </c>
      <c r="AA379" s="28" t="str">
        <f>IF('12 - Device_Configuration'!Q380="","",'12 - Device_Configuration'!Q380)</f>
        <v/>
      </c>
    </row>
    <row r="380" spans="1:27">
      <c r="A380" s="29"/>
      <c r="B380" s="29"/>
      <c r="C380" s="28" t="str">
        <f>IF('12 - Device_Configuration'!H381="","",'12 - Device_Configuration'!H381)</f>
        <v/>
      </c>
      <c r="D380" s="28" t="str">
        <f>IF('12 - Device_Configuration'!AE381="","",'12 - Device_Configuration'!AE381)</f>
        <v/>
      </c>
      <c r="E380" s="28" t="str">
        <f>IF('12 - Device_Configuration'!AF381="","",'12 - Device_Configuration'!AF381)</f>
        <v/>
      </c>
      <c r="F380" s="28" t="str">
        <f>IF('12 - Device_Configuration'!AG381="","",'12 - Device_Configuration'!AG381)</f>
        <v/>
      </c>
      <c r="G380" s="28" t="str">
        <f>IF('12 - Device_Configuration'!AH381="","",'12 - Device_Configuration'!AH381)</f>
        <v/>
      </c>
      <c r="H380" s="28" t="str">
        <f>IF('12 - Device_Configuration'!A381="","",'12 - Device_Configuration'!A381)</f>
        <v/>
      </c>
      <c r="I380" s="28" t="str">
        <f>IF('12 - Device_Configuration'!AI381="","",'12 - Device_Configuration'!AI381)</f>
        <v/>
      </c>
      <c r="J380" s="28" t="str">
        <f>IF('12 - Device_Configuration'!AJ381="","",'12 - Device_Configuration'!AJ381)</f>
        <v/>
      </c>
      <c r="K380" s="28" t="str">
        <f>IF('12 - Device_Configuration'!AA381="","",'12 - Device_Configuration'!AA381)</f>
        <v/>
      </c>
      <c r="L380" s="28" t="str">
        <f>IF('12 - Device_Configuration'!I381="","",'12 - Device_Configuration'!I381)</f>
        <v/>
      </c>
      <c r="M380" s="29"/>
      <c r="N380" s="28" t="str">
        <f>IF('12 - Device_Configuration'!J381="","",'12 - Device_Configuration'!J381)</f>
        <v/>
      </c>
      <c r="O380" s="28" t="str">
        <f>IF('12 - Device_Configuration'!K381="","",'12 - Device_Configuration'!K381)</f>
        <v/>
      </c>
      <c r="P380" s="28" t="str">
        <f>IF('12 - Device_Configuration'!L381="","",'12 - Device_Configuration'!L381)</f>
        <v/>
      </c>
      <c r="Q380" s="29"/>
      <c r="R380" s="28" t="str">
        <f>IF('12 - Device_Configuration'!AY381="","",'12 - Device_Configuration'!AY381)</f>
        <v/>
      </c>
      <c r="S380" s="28" t="str">
        <f>IF('12 - Device_Configuration'!AX381="","",'12 - Device_Configuration'!AX381)</f>
        <v/>
      </c>
      <c r="T380" s="28" t="str">
        <f>IF('12 - Device_Configuration'!AV381="","",'12 - Device_Configuration'!AV381)</f>
        <v/>
      </c>
      <c r="U380" s="28" t="str">
        <f>IF('12 - Device_Configuration'!AW381="","",'12 - Device_Configuration'!AW381)</f>
        <v/>
      </c>
      <c r="V380" s="28" t="str">
        <f>IF('12 - Device_Configuration'!BA381="","",'12 - Device_Configuration'!BA381)</f>
        <v/>
      </c>
      <c r="W380" s="28" t="str">
        <f>IF('12 - Device_Configuration'!BC381="","",'12 - Device_Configuration'!BC381)</f>
        <v/>
      </c>
      <c r="X380" s="28" t="str">
        <f>IF('12 - Device_Configuration'!BK381="","",'12 - Device_Configuration'!BK381)</f>
        <v/>
      </c>
      <c r="Y380" s="28" t="str">
        <f>IF('12 - Device_Configuration'!BB381="","",'12 - Device_Configuration'!BB381)</f>
        <v/>
      </c>
      <c r="Z380" s="28" t="str">
        <f>IF('12 - Device_Configuration'!P381="","",'12 - Device_Configuration'!P381)</f>
        <v/>
      </c>
      <c r="AA380" s="28" t="str">
        <f>IF('12 - Device_Configuration'!Q381="","",'12 - Device_Configuration'!Q381)</f>
        <v/>
      </c>
    </row>
    <row r="381" spans="1:27">
      <c r="A381" s="29"/>
      <c r="B381" s="29"/>
      <c r="C381" s="28" t="str">
        <f>IF('12 - Device_Configuration'!H382="","",'12 - Device_Configuration'!H382)</f>
        <v/>
      </c>
      <c r="D381" s="28" t="str">
        <f>IF('12 - Device_Configuration'!AE382="","",'12 - Device_Configuration'!AE382)</f>
        <v/>
      </c>
      <c r="E381" s="28" t="str">
        <f>IF('12 - Device_Configuration'!AF382="","",'12 - Device_Configuration'!AF382)</f>
        <v/>
      </c>
      <c r="F381" s="28" t="str">
        <f>IF('12 - Device_Configuration'!AG382="","",'12 - Device_Configuration'!AG382)</f>
        <v/>
      </c>
      <c r="G381" s="28" t="str">
        <f>IF('12 - Device_Configuration'!AH382="","",'12 - Device_Configuration'!AH382)</f>
        <v/>
      </c>
      <c r="H381" s="28" t="str">
        <f>IF('12 - Device_Configuration'!A382="","",'12 - Device_Configuration'!A382)</f>
        <v/>
      </c>
      <c r="I381" s="28" t="str">
        <f>IF('12 - Device_Configuration'!AI382="","",'12 - Device_Configuration'!AI382)</f>
        <v/>
      </c>
      <c r="J381" s="28" t="str">
        <f>IF('12 - Device_Configuration'!AJ382="","",'12 - Device_Configuration'!AJ382)</f>
        <v/>
      </c>
      <c r="K381" s="28" t="str">
        <f>IF('12 - Device_Configuration'!AA382="","",'12 - Device_Configuration'!AA382)</f>
        <v/>
      </c>
      <c r="L381" s="28" t="str">
        <f>IF('12 - Device_Configuration'!I382="","",'12 - Device_Configuration'!I382)</f>
        <v/>
      </c>
      <c r="M381" s="29"/>
      <c r="N381" s="28" t="str">
        <f>IF('12 - Device_Configuration'!J382="","",'12 - Device_Configuration'!J382)</f>
        <v/>
      </c>
      <c r="O381" s="28" t="str">
        <f>IF('12 - Device_Configuration'!K382="","",'12 - Device_Configuration'!K382)</f>
        <v/>
      </c>
      <c r="P381" s="28" t="str">
        <f>IF('12 - Device_Configuration'!L382="","",'12 - Device_Configuration'!L382)</f>
        <v/>
      </c>
      <c r="Q381" s="29"/>
      <c r="R381" s="28" t="str">
        <f>IF('12 - Device_Configuration'!AY382="","",'12 - Device_Configuration'!AY382)</f>
        <v/>
      </c>
      <c r="S381" s="28" t="str">
        <f>IF('12 - Device_Configuration'!AX382="","",'12 - Device_Configuration'!AX382)</f>
        <v/>
      </c>
      <c r="T381" s="28" t="str">
        <f>IF('12 - Device_Configuration'!AV382="","",'12 - Device_Configuration'!AV382)</f>
        <v/>
      </c>
      <c r="U381" s="28" t="str">
        <f>IF('12 - Device_Configuration'!AW382="","",'12 - Device_Configuration'!AW382)</f>
        <v/>
      </c>
      <c r="V381" s="28" t="str">
        <f>IF('12 - Device_Configuration'!BA382="","",'12 - Device_Configuration'!BA382)</f>
        <v/>
      </c>
      <c r="W381" s="28" t="str">
        <f>IF('12 - Device_Configuration'!BC382="","",'12 - Device_Configuration'!BC382)</f>
        <v/>
      </c>
      <c r="X381" s="28" t="str">
        <f>IF('12 - Device_Configuration'!BK382="","",'12 - Device_Configuration'!BK382)</f>
        <v/>
      </c>
      <c r="Y381" s="28" t="str">
        <f>IF('12 - Device_Configuration'!BB382="","",'12 - Device_Configuration'!BB382)</f>
        <v/>
      </c>
      <c r="Z381" s="28" t="str">
        <f>IF('12 - Device_Configuration'!P382="","",'12 - Device_Configuration'!P382)</f>
        <v/>
      </c>
      <c r="AA381" s="28" t="str">
        <f>IF('12 - Device_Configuration'!Q382="","",'12 - Device_Configuration'!Q382)</f>
        <v/>
      </c>
    </row>
    <row r="382" spans="1:27">
      <c r="A382" s="29"/>
      <c r="B382" s="29"/>
      <c r="C382" s="28" t="str">
        <f>IF('12 - Device_Configuration'!H383="","",'12 - Device_Configuration'!H383)</f>
        <v/>
      </c>
      <c r="D382" s="28" t="str">
        <f>IF('12 - Device_Configuration'!AE383="","",'12 - Device_Configuration'!AE383)</f>
        <v/>
      </c>
      <c r="E382" s="28" t="str">
        <f>IF('12 - Device_Configuration'!AF383="","",'12 - Device_Configuration'!AF383)</f>
        <v/>
      </c>
      <c r="F382" s="28" t="str">
        <f>IF('12 - Device_Configuration'!AG383="","",'12 - Device_Configuration'!AG383)</f>
        <v/>
      </c>
      <c r="G382" s="28" t="str">
        <f>IF('12 - Device_Configuration'!AH383="","",'12 - Device_Configuration'!AH383)</f>
        <v/>
      </c>
      <c r="H382" s="28" t="str">
        <f>IF('12 - Device_Configuration'!A383="","",'12 - Device_Configuration'!A383)</f>
        <v/>
      </c>
      <c r="I382" s="28" t="str">
        <f>IF('12 - Device_Configuration'!AI383="","",'12 - Device_Configuration'!AI383)</f>
        <v/>
      </c>
      <c r="J382" s="28" t="str">
        <f>IF('12 - Device_Configuration'!AJ383="","",'12 - Device_Configuration'!AJ383)</f>
        <v/>
      </c>
      <c r="K382" s="28" t="str">
        <f>IF('12 - Device_Configuration'!AA383="","",'12 - Device_Configuration'!AA383)</f>
        <v/>
      </c>
      <c r="L382" s="28" t="str">
        <f>IF('12 - Device_Configuration'!I383="","",'12 - Device_Configuration'!I383)</f>
        <v/>
      </c>
      <c r="M382" s="29"/>
      <c r="N382" s="28" t="str">
        <f>IF('12 - Device_Configuration'!J383="","",'12 - Device_Configuration'!J383)</f>
        <v/>
      </c>
      <c r="O382" s="28" t="str">
        <f>IF('12 - Device_Configuration'!K383="","",'12 - Device_Configuration'!K383)</f>
        <v/>
      </c>
      <c r="P382" s="28" t="str">
        <f>IF('12 - Device_Configuration'!L383="","",'12 - Device_Configuration'!L383)</f>
        <v/>
      </c>
      <c r="Q382" s="29"/>
      <c r="R382" s="28" t="str">
        <f>IF('12 - Device_Configuration'!AY383="","",'12 - Device_Configuration'!AY383)</f>
        <v/>
      </c>
      <c r="S382" s="28" t="str">
        <f>IF('12 - Device_Configuration'!AX383="","",'12 - Device_Configuration'!AX383)</f>
        <v/>
      </c>
      <c r="T382" s="28" t="str">
        <f>IF('12 - Device_Configuration'!AV383="","",'12 - Device_Configuration'!AV383)</f>
        <v/>
      </c>
      <c r="U382" s="28" t="str">
        <f>IF('12 - Device_Configuration'!AW383="","",'12 - Device_Configuration'!AW383)</f>
        <v/>
      </c>
      <c r="V382" s="28" t="str">
        <f>IF('12 - Device_Configuration'!BA383="","",'12 - Device_Configuration'!BA383)</f>
        <v/>
      </c>
      <c r="W382" s="28" t="str">
        <f>IF('12 - Device_Configuration'!BC383="","",'12 - Device_Configuration'!BC383)</f>
        <v/>
      </c>
      <c r="X382" s="28" t="str">
        <f>IF('12 - Device_Configuration'!BK383="","",'12 - Device_Configuration'!BK383)</f>
        <v/>
      </c>
      <c r="Y382" s="28" t="str">
        <f>IF('12 - Device_Configuration'!BB383="","",'12 - Device_Configuration'!BB383)</f>
        <v/>
      </c>
      <c r="Z382" s="28" t="str">
        <f>IF('12 - Device_Configuration'!P383="","",'12 - Device_Configuration'!P383)</f>
        <v/>
      </c>
      <c r="AA382" s="28" t="str">
        <f>IF('12 - Device_Configuration'!Q383="","",'12 - Device_Configuration'!Q383)</f>
        <v/>
      </c>
    </row>
    <row r="383" spans="1:27">
      <c r="A383" s="29"/>
      <c r="B383" s="29"/>
      <c r="C383" s="28" t="str">
        <f>IF('12 - Device_Configuration'!H384="","",'12 - Device_Configuration'!H384)</f>
        <v/>
      </c>
      <c r="D383" s="28" t="str">
        <f>IF('12 - Device_Configuration'!AE384="","",'12 - Device_Configuration'!AE384)</f>
        <v/>
      </c>
      <c r="E383" s="28" t="str">
        <f>IF('12 - Device_Configuration'!AF384="","",'12 - Device_Configuration'!AF384)</f>
        <v/>
      </c>
      <c r="F383" s="28" t="str">
        <f>IF('12 - Device_Configuration'!AG384="","",'12 - Device_Configuration'!AG384)</f>
        <v/>
      </c>
      <c r="G383" s="28" t="str">
        <f>IF('12 - Device_Configuration'!AH384="","",'12 - Device_Configuration'!AH384)</f>
        <v/>
      </c>
      <c r="H383" s="28" t="str">
        <f>IF('12 - Device_Configuration'!A384="","",'12 - Device_Configuration'!A384)</f>
        <v/>
      </c>
      <c r="I383" s="28" t="str">
        <f>IF('12 - Device_Configuration'!AI384="","",'12 - Device_Configuration'!AI384)</f>
        <v/>
      </c>
      <c r="J383" s="28" t="str">
        <f>IF('12 - Device_Configuration'!AJ384="","",'12 - Device_Configuration'!AJ384)</f>
        <v/>
      </c>
      <c r="K383" s="28" t="str">
        <f>IF('12 - Device_Configuration'!AA384="","",'12 - Device_Configuration'!AA384)</f>
        <v/>
      </c>
      <c r="L383" s="28" t="str">
        <f>IF('12 - Device_Configuration'!I384="","",'12 - Device_Configuration'!I384)</f>
        <v/>
      </c>
      <c r="M383" s="29"/>
      <c r="N383" s="28" t="str">
        <f>IF('12 - Device_Configuration'!J384="","",'12 - Device_Configuration'!J384)</f>
        <v/>
      </c>
      <c r="O383" s="28" t="str">
        <f>IF('12 - Device_Configuration'!K384="","",'12 - Device_Configuration'!K384)</f>
        <v/>
      </c>
      <c r="P383" s="28" t="str">
        <f>IF('12 - Device_Configuration'!L384="","",'12 - Device_Configuration'!L384)</f>
        <v/>
      </c>
      <c r="Q383" s="29"/>
      <c r="R383" s="28" t="str">
        <f>IF('12 - Device_Configuration'!AY384="","",'12 - Device_Configuration'!AY384)</f>
        <v/>
      </c>
      <c r="S383" s="28" t="str">
        <f>IF('12 - Device_Configuration'!AX384="","",'12 - Device_Configuration'!AX384)</f>
        <v/>
      </c>
      <c r="T383" s="28" t="str">
        <f>IF('12 - Device_Configuration'!AV384="","",'12 - Device_Configuration'!AV384)</f>
        <v/>
      </c>
      <c r="U383" s="28" t="str">
        <f>IF('12 - Device_Configuration'!AW384="","",'12 - Device_Configuration'!AW384)</f>
        <v/>
      </c>
      <c r="V383" s="28" t="str">
        <f>IF('12 - Device_Configuration'!BA384="","",'12 - Device_Configuration'!BA384)</f>
        <v/>
      </c>
      <c r="W383" s="28" t="str">
        <f>IF('12 - Device_Configuration'!BC384="","",'12 - Device_Configuration'!BC384)</f>
        <v/>
      </c>
      <c r="X383" s="28" t="str">
        <f>IF('12 - Device_Configuration'!BK384="","",'12 - Device_Configuration'!BK384)</f>
        <v/>
      </c>
      <c r="Y383" s="28" t="str">
        <f>IF('12 - Device_Configuration'!BB384="","",'12 - Device_Configuration'!BB384)</f>
        <v/>
      </c>
      <c r="Z383" s="28" t="str">
        <f>IF('12 - Device_Configuration'!P384="","",'12 - Device_Configuration'!P384)</f>
        <v/>
      </c>
      <c r="AA383" s="28" t="str">
        <f>IF('12 - Device_Configuration'!Q384="","",'12 - Device_Configuration'!Q384)</f>
        <v/>
      </c>
    </row>
    <row r="384" spans="1:27">
      <c r="A384" s="29"/>
      <c r="B384" s="29"/>
      <c r="C384" s="28" t="str">
        <f>IF('12 - Device_Configuration'!H385="","",'12 - Device_Configuration'!H385)</f>
        <v/>
      </c>
      <c r="D384" s="28" t="str">
        <f>IF('12 - Device_Configuration'!AE385="","",'12 - Device_Configuration'!AE385)</f>
        <v/>
      </c>
      <c r="E384" s="28" t="str">
        <f>IF('12 - Device_Configuration'!AF385="","",'12 - Device_Configuration'!AF385)</f>
        <v/>
      </c>
      <c r="F384" s="28" t="str">
        <f>IF('12 - Device_Configuration'!AG385="","",'12 - Device_Configuration'!AG385)</f>
        <v/>
      </c>
      <c r="G384" s="28" t="str">
        <f>IF('12 - Device_Configuration'!AH385="","",'12 - Device_Configuration'!AH385)</f>
        <v/>
      </c>
      <c r="H384" s="28" t="str">
        <f>IF('12 - Device_Configuration'!A385="","",'12 - Device_Configuration'!A385)</f>
        <v/>
      </c>
      <c r="I384" s="28" t="str">
        <f>IF('12 - Device_Configuration'!AI385="","",'12 - Device_Configuration'!AI385)</f>
        <v/>
      </c>
      <c r="J384" s="28" t="str">
        <f>IF('12 - Device_Configuration'!AJ385="","",'12 - Device_Configuration'!AJ385)</f>
        <v/>
      </c>
      <c r="K384" s="28" t="str">
        <f>IF('12 - Device_Configuration'!AA385="","",'12 - Device_Configuration'!AA385)</f>
        <v/>
      </c>
      <c r="L384" s="28" t="str">
        <f>IF('12 - Device_Configuration'!I385="","",'12 - Device_Configuration'!I385)</f>
        <v/>
      </c>
      <c r="M384" s="29"/>
      <c r="N384" s="28" t="str">
        <f>IF('12 - Device_Configuration'!J385="","",'12 - Device_Configuration'!J385)</f>
        <v/>
      </c>
      <c r="O384" s="28" t="str">
        <f>IF('12 - Device_Configuration'!K385="","",'12 - Device_Configuration'!K385)</f>
        <v/>
      </c>
      <c r="P384" s="28" t="str">
        <f>IF('12 - Device_Configuration'!L385="","",'12 - Device_Configuration'!L385)</f>
        <v/>
      </c>
      <c r="Q384" s="29"/>
      <c r="R384" s="28" t="str">
        <f>IF('12 - Device_Configuration'!AY385="","",'12 - Device_Configuration'!AY385)</f>
        <v/>
      </c>
      <c r="S384" s="28" t="str">
        <f>IF('12 - Device_Configuration'!AX385="","",'12 - Device_Configuration'!AX385)</f>
        <v/>
      </c>
      <c r="T384" s="28" t="str">
        <f>IF('12 - Device_Configuration'!AV385="","",'12 - Device_Configuration'!AV385)</f>
        <v/>
      </c>
      <c r="U384" s="28" t="str">
        <f>IF('12 - Device_Configuration'!AW385="","",'12 - Device_Configuration'!AW385)</f>
        <v/>
      </c>
      <c r="V384" s="28" t="str">
        <f>IF('12 - Device_Configuration'!BA385="","",'12 - Device_Configuration'!BA385)</f>
        <v/>
      </c>
      <c r="W384" s="28" t="str">
        <f>IF('12 - Device_Configuration'!BC385="","",'12 - Device_Configuration'!BC385)</f>
        <v/>
      </c>
      <c r="X384" s="28" t="str">
        <f>IF('12 - Device_Configuration'!BK385="","",'12 - Device_Configuration'!BK385)</f>
        <v/>
      </c>
      <c r="Y384" s="28" t="str">
        <f>IF('12 - Device_Configuration'!BB385="","",'12 - Device_Configuration'!BB385)</f>
        <v/>
      </c>
      <c r="Z384" s="28" t="str">
        <f>IF('12 - Device_Configuration'!P385="","",'12 - Device_Configuration'!P385)</f>
        <v/>
      </c>
      <c r="AA384" s="28" t="str">
        <f>IF('12 - Device_Configuration'!Q385="","",'12 - Device_Configuration'!Q385)</f>
        <v/>
      </c>
    </row>
    <row r="385" spans="1:27">
      <c r="A385" s="29"/>
      <c r="B385" s="29"/>
      <c r="C385" s="28" t="str">
        <f>IF('12 - Device_Configuration'!H386="","",'12 - Device_Configuration'!H386)</f>
        <v/>
      </c>
      <c r="D385" s="28" t="str">
        <f>IF('12 - Device_Configuration'!AE386="","",'12 - Device_Configuration'!AE386)</f>
        <v/>
      </c>
      <c r="E385" s="28" t="str">
        <f>IF('12 - Device_Configuration'!AF386="","",'12 - Device_Configuration'!AF386)</f>
        <v/>
      </c>
      <c r="F385" s="28" t="str">
        <f>IF('12 - Device_Configuration'!AG386="","",'12 - Device_Configuration'!AG386)</f>
        <v/>
      </c>
      <c r="G385" s="28" t="str">
        <f>IF('12 - Device_Configuration'!AH386="","",'12 - Device_Configuration'!AH386)</f>
        <v/>
      </c>
      <c r="H385" s="28" t="str">
        <f>IF('12 - Device_Configuration'!A386="","",'12 - Device_Configuration'!A386)</f>
        <v/>
      </c>
      <c r="I385" s="28" t="str">
        <f>IF('12 - Device_Configuration'!AI386="","",'12 - Device_Configuration'!AI386)</f>
        <v/>
      </c>
      <c r="J385" s="28" t="str">
        <f>IF('12 - Device_Configuration'!AJ386="","",'12 - Device_Configuration'!AJ386)</f>
        <v/>
      </c>
      <c r="K385" s="28" t="str">
        <f>IF('12 - Device_Configuration'!AA386="","",'12 - Device_Configuration'!AA386)</f>
        <v/>
      </c>
      <c r="L385" s="28" t="str">
        <f>IF('12 - Device_Configuration'!I386="","",'12 - Device_Configuration'!I386)</f>
        <v/>
      </c>
      <c r="M385" s="29"/>
      <c r="N385" s="28" t="str">
        <f>IF('12 - Device_Configuration'!J386="","",'12 - Device_Configuration'!J386)</f>
        <v/>
      </c>
      <c r="O385" s="28" t="str">
        <f>IF('12 - Device_Configuration'!K386="","",'12 - Device_Configuration'!K386)</f>
        <v/>
      </c>
      <c r="P385" s="28" t="str">
        <f>IF('12 - Device_Configuration'!L386="","",'12 - Device_Configuration'!L386)</f>
        <v/>
      </c>
      <c r="Q385" s="29"/>
      <c r="R385" s="28" t="str">
        <f>IF('12 - Device_Configuration'!AY386="","",'12 - Device_Configuration'!AY386)</f>
        <v/>
      </c>
      <c r="S385" s="28" t="str">
        <f>IF('12 - Device_Configuration'!AX386="","",'12 - Device_Configuration'!AX386)</f>
        <v/>
      </c>
      <c r="T385" s="28" t="str">
        <f>IF('12 - Device_Configuration'!AV386="","",'12 - Device_Configuration'!AV386)</f>
        <v/>
      </c>
      <c r="U385" s="28" t="str">
        <f>IF('12 - Device_Configuration'!AW386="","",'12 - Device_Configuration'!AW386)</f>
        <v/>
      </c>
      <c r="V385" s="28" t="str">
        <f>IF('12 - Device_Configuration'!BA386="","",'12 - Device_Configuration'!BA386)</f>
        <v/>
      </c>
      <c r="W385" s="28" t="str">
        <f>IF('12 - Device_Configuration'!BC386="","",'12 - Device_Configuration'!BC386)</f>
        <v/>
      </c>
      <c r="X385" s="28" t="str">
        <f>IF('12 - Device_Configuration'!BK386="","",'12 - Device_Configuration'!BK386)</f>
        <v/>
      </c>
      <c r="Y385" s="28" t="str">
        <f>IF('12 - Device_Configuration'!BB386="","",'12 - Device_Configuration'!BB386)</f>
        <v/>
      </c>
      <c r="Z385" s="28" t="str">
        <f>IF('12 - Device_Configuration'!P386="","",'12 - Device_Configuration'!P386)</f>
        <v/>
      </c>
      <c r="AA385" s="28" t="str">
        <f>IF('12 - Device_Configuration'!Q386="","",'12 - Device_Configuration'!Q386)</f>
        <v/>
      </c>
    </row>
    <row r="386" spans="1:27">
      <c r="A386" s="29"/>
      <c r="B386" s="29"/>
      <c r="C386" s="28" t="str">
        <f>IF('12 - Device_Configuration'!H387="","",'12 - Device_Configuration'!H387)</f>
        <v/>
      </c>
      <c r="D386" s="28" t="str">
        <f>IF('12 - Device_Configuration'!AE387="","",'12 - Device_Configuration'!AE387)</f>
        <v/>
      </c>
      <c r="E386" s="28" t="str">
        <f>IF('12 - Device_Configuration'!AF387="","",'12 - Device_Configuration'!AF387)</f>
        <v/>
      </c>
      <c r="F386" s="28" t="str">
        <f>IF('12 - Device_Configuration'!AG387="","",'12 - Device_Configuration'!AG387)</f>
        <v/>
      </c>
      <c r="G386" s="28" t="str">
        <f>IF('12 - Device_Configuration'!AH387="","",'12 - Device_Configuration'!AH387)</f>
        <v/>
      </c>
      <c r="H386" s="28" t="str">
        <f>IF('12 - Device_Configuration'!A387="","",'12 - Device_Configuration'!A387)</f>
        <v/>
      </c>
      <c r="I386" s="28" t="str">
        <f>IF('12 - Device_Configuration'!AI387="","",'12 - Device_Configuration'!AI387)</f>
        <v/>
      </c>
      <c r="J386" s="28" t="str">
        <f>IF('12 - Device_Configuration'!AJ387="","",'12 - Device_Configuration'!AJ387)</f>
        <v/>
      </c>
      <c r="K386" s="28" t="str">
        <f>IF('12 - Device_Configuration'!AA387="","",'12 - Device_Configuration'!AA387)</f>
        <v/>
      </c>
      <c r="L386" s="28" t="str">
        <f>IF('12 - Device_Configuration'!I387="","",'12 - Device_Configuration'!I387)</f>
        <v/>
      </c>
      <c r="M386" s="29"/>
      <c r="N386" s="28" t="str">
        <f>IF('12 - Device_Configuration'!J387="","",'12 - Device_Configuration'!J387)</f>
        <v/>
      </c>
      <c r="O386" s="28" t="str">
        <f>IF('12 - Device_Configuration'!K387="","",'12 - Device_Configuration'!K387)</f>
        <v/>
      </c>
      <c r="P386" s="28" t="str">
        <f>IF('12 - Device_Configuration'!L387="","",'12 - Device_Configuration'!L387)</f>
        <v/>
      </c>
      <c r="Q386" s="29"/>
      <c r="R386" s="28" t="str">
        <f>IF('12 - Device_Configuration'!AY387="","",'12 - Device_Configuration'!AY387)</f>
        <v/>
      </c>
      <c r="S386" s="28" t="str">
        <f>IF('12 - Device_Configuration'!AX387="","",'12 - Device_Configuration'!AX387)</f>
        <v/>
      </c>
      <c r="T386" s="28" t="str">
        <f>IF('12 - Device_Configuration'!AV387="","",'12 - Device_Configuration'!AV387)</f>
        <v/>
      </c>
      <c r="U386" s="28" t="str">
        <f>IF('12 - Device_Configuration'!AW387="","",'12 - Device_Configuration'!AW387)</f>
        <v/>
      </c>
      <c r="V386" s="28" t="str">
        <f>IF('12 - Device_Configuration'!BA387="","",'12 - Device_Configuration'!BA387)</f>
        <v/>
      </c>
      <c r="W386" s="28" t="str">
        <f>IF('12 - Device_Configuration'!BC387="","",'12 - Device_Configuration'!BC387)</f>
        <v/>
      </c>
      <c r="X386" s="28" t="str">
        <f>IF('12 - Device_Configuration'!BK387="","",'12 - Device_Configuration'!BK387)</f>
        <v/>
      </c>
      <c r="Y386" s="28" t="str">
        <f>IF('12 - Device_Configuration'!BB387="","",'12 - Device_Configuration'!BB387)</f>
        <v/>
      </c>
      <c r="Z386" s="28" t="str">
        <f>IF('12 - Device_Configuration'!P387="","",'12 - Device_Configuration'!P387)</f>
        <v/>
      </c>
      <c r="AA386" s="28" t="str">
        <f>IF('12 - Device_Configuration'!Q387="","",'12 - Device_Configuration'!Q387)</f>
        <v/>
      </c>
    </row>
    <row r="387" spans="1:27">
      <c r="A387" s="29"/>
      <c r="B387" s="29"/>
      <c r="C387" s="28" t="str">
        <f>IF('12 - Device_Configuration'!H388="","",'12 - Device_Configuration'!H388)</f>
        <v/>
      </c>
      <c r="D387" s="28" t="str">
        <f>IF('12 - Device_Configuration'!AE388="","",'12 - Device_Configuration'!AE388)</f>
        <v/>
      </c>
      <c r="E387" s="28" t="str">
        <f>IF('12 - Device_Configuration'!AF388="","",'12 - Device_Configuration'!AF388)</f>
        <v/>
      </c>
      <c r="F387" s="28" t="str">
        <f>IF('12 - Device_Configuration'!AG388="","",'12 - Device_Configuration'!AG388)</f>
        <v/>
      </c>
      <c r="G387" s="28" t="str">
        <f>IF('12 - Device_Configuration'!AH388="","",'12 - Device_Configuration'!AH388)</f>
        <v/>
      </c>
      <c r="H387" s="28" t="str">
        <f>IF('12 - Device_Configuration'!A388="","",'12 - Device_Configuration'!A388)</f>
        <v/>
      </c>
      <c r="I387" s="28" t="str">
        <f>IF('12 - Device_Configuration'!AI388="","",'12 - Device_Configuration'!AI388)</f>
        <v/>
      </c>
      <c r="J387" s="28" t="str">
        <f>IF('12 - Device_Configuration'!AJ388="","",'12 - Device_Configuration'!AJ388)</f>
        <v/>
      </c>
      <c r="K387" s="28" t="str">
        <f>IF('12 - Device_Configuration'!AA388="","",'12 - Device_Configuration'!AA388)</f>
        <v/>
      </c>
      <c r="L387" s="28" t="str">
        <f>IF('12 - Device_Configuration'!I388="","",'12 - Device_Configuration'!I388)</f>
        <v/>
      </c>
      <c r="M387" s="29"/>
      <c r="N387" s="28" t="str">
        <f>IF('12 - Device_Configuration'!J388="","",'12 - Device_Configuration'!J388)</f>
        <v/>
      </c>
      <c r="O387" s="28" t="str">
        <f>IF('12 - Device_Configuration'!K388="","",'12 - Device_Configuration'!K388)</f>
        <v/>
      </c>
      <c r="P387" s="28" t="str">
        <f>IF('12 - Device_Configuration'!L388="","",'12 - Device_Configuration'!L388)</f>
        <v/>
      </c>
      <c r="Q387" s="29"/>
      <c r="R387" s="28" t="str">
        <f>IF('12 - Device_Configuration'!AY388="","",'12 - Device_Configuration'!AY388)</f>
        <v/>
      </c>
      <c r="S387" s="28" t="str">
        <f>IF('12 - Device_Configuration'!AX388="","",'12 - Device_Configuration'!AX388)</f>
        <v/>
      </c>
      <c r="T387" s="28" t="str">
        <f>IF('12 - Device_Configuration'!AV388="","",'12 - Device_Configuration'!AV388)</f>
        <v/>
      </c>
      <c r="U387" s="28" t="str">
        <f>IF('12 - Device_Configuration'!AW388="","",'12 - Device_Configuration'!AW388)</f>
        <v/>
      </c>
      <c r="V387" s="28" t="str">
        <f>IF('12 - Device_Configuration'!BA388="","",'12 - Device_Configuration'!BA388)</f>
        <v/>
      </c>
      <c r="W387" s="28" t="str">
        <f>IF('12 - Device_Configuration'!BC388="","",'12 - Device_Configuration'!BC388)</f>
        <v/>
      </c>
      <c r="X387" s="28" t="str">
        <f>IF('12 - Device_Configuration'!BK388="","",'12 - Device_Configuration'!BK388)</f>
        <v/>
      </c>
      <c r="Y387" s="28" t="str">
        <f>IF('12 - Device_Configuration'!BB388="","",'12 - Device_Configuration'!BB388)</f>
        <v/>
      </c>
      <c r="Z387" s="28" t="str">
        <f>IF('12 - Device_Configuration'!P388="","",'12 - Device_Configuration'!P388)</f>
        <v/>
      </c>
      <c r="AA387" s="28" t="str">
        <f>IF('12 - Device_Configuration'!Q388="","",'12 - Device_Configuration'!Q388)</f>
        <v/>
      </c>
    </row>
    <row r="388" spans="1:27">
      <c r="A388" s="29"/>
      <c r="B388" s="29"/>
      <c r="C388" s="28" t="str">
        <f>IF('12 - Device_Configuration'!H389="","",'12 - Device_Configuration'!H389)</f>
        <v/>
      </c>
      <c r="D388" s="28" t="str">
        <f>IF('12 - Device_Configuration'!AE389="","",'12 - Device_Configuration'!AE389)</f>
        <v/>
      </c>
      <c r="E388" s="28" t="str">
        <f>IF('12 - Device_Configuration'!AF389="","",'12 - Device_Configuration'!AF389)</f>
        <v/>
      </c>
      <c r="F388" s="28" t="str">
        <f>IF('12 - Device_Configuration'!AG389="","",'12 - Device_Configuration'!AG389)</f>
        <v/>
      </c>
      <c r="G388" s="28" t="str">
        <f>IF('12 - Device_Configuration'!AH389="","",'12 - Device_Configuration'!AH389)</f>
        <v/>
      </c>
      <c r="H388" s="28" t="str">
        <f>IF('12 - Device_Configuration'!A389="","",'12 - Device_Configuration'!A389)</f>
        <v/>
      </c>
      <c r="I388" s="28" t="str">
        <f>IF('12 - Device_Configuration'!AI389="","",'12 - Device_Configuration'!AI389)</f>
        <v/>
      </c>
      <c r="J388" s="28" t="str">
        <f>IF('12 - Device_Configuration'!AJ389="","",'12 - Device_Configuration'!AJ389)</f>
        <v/>
      </c>
      <c r="K388" s="28" t="str">
        <f>IF('12 - Device_Configuration'!AA389="","",'12 - Device_Configuration'!AA389)</f>
        <v/>
      </c>
      <c r="L388" s="28" t="str">
        <f>IF('12 - Device_Configuration'!I389="","",'12 - Device_Configuration'!I389)</f>
        <v/>
      </c>
      <c r="M388" s="29"/>
      <c r="N388" s="28" t="str">
        <f>IF('12 - Device_Configuration'!J389="","",'12 - Device_Configuration'!J389)</f>
        <v/>
      </c>
      <c r="O388" s="28" t="str">
        <f>IF('12 - Device_Configuration'!K389="","",'12 - Device_Configuration'!K389)</f>
        <v/>
      </c>
      <c r="P388" s="28" t="str">
        <f>IF('12 - Device_Configuration'!L389="","",'12 - Device_Configuration'!L389)</f>
        <v/>
      </c>
      <c r="Q388" s="29"/>
      <c r="R388" s="28" t="str">
        <f>IF('12 - Device_Configuration'!AY389="","",'12 - Device_Configuration'!AY389)</f>
        <v/>
      </c>
      <c r="S388" s="28" t="str">
        <f>IF('12 - Device_Configuration'!AX389="","",'12 - Device_Configuration'!AX389)</f>
        <v/>
      </c>
      <c r="T388" s="28" t="str">
        <f>IF('12 - Device_Configuration'!AV389="","",'12 - Device_Configuration'!AV389)</f>
        <v/>
      </c>
      <c r="U388" s="28" t="str">
        <f>IF('12 - Device_Configuration'!AW389="","",'12 - Device_Configuration'!AW389)</f>
        <v/>
      </c>
      <c r="V388" s="28" t="str">
        <f>IF('12 - Device_Configuration'!BA389="","",'12 - Device_Configuration'!BA389)</f>
        <v/>
      </c>
      <c r="W388" s="28" t="str">
        <f>IF('12 - Device_Configuration'!BC389="","",'12 - Device_Configuration'!BC389)</f>
        <v/>
      </c>
      <c r="X388" s="28" t="str">
        <f>IF('12 - Device_Configuration'!BK389="","",'12 - Device_Configuration'!BK389)</f>
        <v/>
      </c>
      <c r="Y388" s="28" t="str">
        <f>IF('12 - Device_Configuration'!BB389="","",'12 - Device_Configuration'!BB389)</f>
        <v/>
      </c>
      <c r="Z388" s="28" t="str">
        <f>IF('12 - Device_Configuration'!P389="","",'12 - Device_Configuration'!P389)</f>
        <v/>
      </c>
      <c r="AA388" s="28" t="str">
        <f>IF('12 - Device_Configuration'!Q389="","",'12 - Device_Configuration'!Q389)</f>
        <v/>
      </c>
    </row>
    <row r="389" spans="1:27">
      <c r="A389" s="29"/>
      <c r="B389" s="29"/>
      <c r="C389" s="28" t="str">
        <f>IF('12 - Device_Configuration'!H390="","",'12 - Device_Configuration'!H390)</f>
        <v/>
      </c>
      <c r="D389" s="28" t="str">
        <f>IF('12 - Device_Configuration'!AE390="","",'12 - Device_Configuration'!AE390)</f>
        <v/>
      </c>
      <c r="E389" s="28" t="str">
        <f>IF('12 - Device_Configuration'!AF390="","",'12 - Device_Configuration'!AF390)</f>
        <v/>
      </c>
      <c r="F389" s="28" t="str">
        <f>IF('12 - Device_Configuration'!AG390="","",'12 - Device_Configuration'!AG390)</f>
        <v/>
      </c>
      <c r="G389" s="28" t="str">
        <f>IF('12 - Device_Configuration'!AH390="","",'12 - Device_Configuration'!AH390)</f>
        <v/>
      </c>
      <c r="H389" s="28" t="str">
        <f>IF('12 - Device_Configuration'!A390="","",'12 - Device_Configuration'!A390)</f>
        <v/>
      </c>
      <c r="I389" s="28" t="str">
        <f>IF('12 - Device_Configuration'!AI390="","",'12 - Device_Configuration'!AI390)</f>
        <v/>
      </c>
      <c r="J389" s="28" t="str">
        <f>IF('12 - Device_Configuration'!AJ390="","",'12 - Device_Configuration'!AJ390)</f>
        <v/>
      </c>
      <c r="K389" s="28" t="str">
        <f>IF('12 - Device_Configuration'!AA390="","",'12 - Device_Configuration'!AA390)</f>
        <v/>
      </c>
      <c r="L389" s="28" t="str">
        <f>IF('12 - Device_Configuration'!I390="","",'12 - Device_Configuration'!I390)</f>
        <v/>
      </c>
      <c r="M389" s="29"/>
      <c r="N389" s="28" t="str">
        <f>IF('12 - Device_Configuration'!J390="","",'12 - Device_Configuration'!J390)</f>
        <v/>
      </c>
      <c r="O389" s="28" t="str">
        <f>IF('12 - Device_Configuration'!K390="","",'12 - Device_Configuration'!K390)</f>
        <v/>
      </c>
      <c r="P389" s="28" t="str">
        <f>IF('12 - Device_Configuration'!L390="","",'12 - Device_Configuration'!L390)</f>
        <v/>
      </c>
      <c r="Q389" s="29"/>
      <c r="R389" s="28" t="str">
        <f>IF('12 - Device_Configuration'!AY390="","",'12 - Device_Configuration'!AY390)</f>
        <v/>
      </c>
      <c r="S389" s="28" t="str">
        <f>IF('12 - Device_Configuration'!AX390="","",'12 - Device_Configuration'!AX390)</f>
        <v/>
      </c>
      <c r="T389" s="28" t="str">
        <f>IF('12 - Device_Configuration'!AV390="","",'12 - Device_Configuration'!AV390)</f>
        <v/>
      </c>
      <c r="U389" s="28" t="str">
        <f>IF('12 - Device_Configuration'!AW390="","",'12 - Device_Configuration'!AW390)</f>
        <v/>
      </c>
      <c r="V389" s="28" t="str">
        <f>IF('12 - Device_Configuration'!BA390="","",'12 - Device_Configuration'!BA390)</f>
        <v/>
      </c>
      <c r="W389" s="28" t="str">
        <f>IF('12 - Device_Configuration'!BC390="","",'12 - Device_Configuration'!BC390)</f>
        <v/>
      </c>
      <c r="X389" s="28" t="str">
        <f>IF('12 - Device_Configuration'!BK390="","",'12 - Device_Configuration'!BK390)</f>
        <v/>
      </c>
      <c r="Y389" s="28" t="str">
        <f>IF('12 - Device_Configuration'!BB390="","",'12 - Device_Configuration'!BB390)</f>
        <v/>
      </c>
      <c r="Z389" s="28" t="str">
        <f>IF('12 - Device_Configuration'!P390="","",'12 - Device_Configuration'!P390)</f>
        <v/>
      </c>
      <c r="AA389" s="28" t="str">
        <f>IF('12 - Device_Configuration'!Q390="","",'12 - Device_Configuration'!Q390)</f>
        <v/>
      </c>
    </row>
    <row r="390" spans="1:27">
      <c r="A390" s="29"/>
      <c r="B390" s="29"/>
      <c r="C390" s="28" t="str">
        <f>IF('12 - Device_Configuration'!H391="","",'12 - Device_Configuration'!H391)</f>
        <v/>
      </c>
      <c r="D390" s="28" t="str">
        <f>IF('12 - Device_Configuration'!AE391="","",'12 - Device_Configuration'!AE391)</f>
        <v/>
      </c>
      <c r="E390" s="28" t="str">
        <f>IF('12 - Device_Configuration'!AF391="","",'12 - Device_Configuration'!AF391)</f>
        <v/>
      </c>
      <c r="F390" s="28" t="str">
        <f>IF('12 - Device_Configuration'!AG391="","",'12 - Device_Configuration'!AG391)</f>
        <v/>
      </c>
      <c r="G390" s="28" t="str">
        <f>IF('12 - Device_Configuration'!AH391="","",'12 - Device_Configuration'!AH391)</f>
        <v/>
      </c>
      <c r="H390" s="28" t="str">
        <f>IF('12 - Device_Configuration'!A391="","",'12 - Device_Configuration'!A391)</f>
        <v/>
      </c>
      <c r="I390" s="28" t="str">
        <f>IF('12 - Device_Configuration'!AI391="","",'12 - Device_Configuration'!AI391)</f>
        <v/>
      </c>
      <c r="J390" s="28" t="str">
        <f>IF('12 - Device_Configuration'!AJ391="","",'12 - Device_Configuration'!AJ391)</f>
        <v/>
      </c>
      <c r="K390" s="28" t="str">
        <f>IF('12 - Device_Configuration'!AA391="","",'12 - Device_Configuration'!AA391)</f>
        <v/>
      </c>
      <c r="L390" s="28" t="str">
        <f>IF('12 - Device_Configuration'!I391="","",'12 - Device_Configuration'!I391)</f>
        <v/>
      </c>
      <c r="M390" s="29"/>
      <c r="N390" s="28" t="str">
        <f>IF('12 - Device_Configuration'!J391="","",'12 - Device_Configuration'!J391)</f>
        <v/>
      </c>
      <c r="O390" s="28" t="str">
        <f>IF('12 - Device_Configuration'!K391="","",'12 - Device_Configuration'!K391)</f>
        <v/>
      </c>
      <c r="P390" s="28" t="str">
        <f>IF('12 - Device_Configuration'!L391="","",'12 - Device_Configuration'!L391)</f>
        <v/>
      </c>
      <c r="Q390" s="29"/>
      <c r="R390" s="28" t="str">
        <f>IF('12 - Device_Configuration'!AY391="","",'12 - Device_Configuration'!AY391)</f>
        <v/>
      </c>
      <c r="S390" s="28" t="str">
        <f>IF('12 - Device_Configuration'!AX391="","",'12 - Device_Configuration'!AX391)</f>
        <v/>
      </c>
      <c r="T390" s="28" t="str">
        <f>IF('12 - Device_Configuration'!AV391="","",'12 - Device_Configuration'!AV391)</f>
        <v/>
      </c>
      <c r="U390" s="28" t="str">
        <f>IF('12 - Device_Configuration'!AW391="","",'12 - Device_Configuration'!AW391)</f>
        <v/>
      </c>
      <c r="V390" s="28" t="str">
        <f>IF('12 - Device_Configuration'!BA391="","",'12 - Device_Configuration'!BA391)</f>
        <v/>
      </c>
      <c r="W390" s="28" t="str">
        <f>IF('12 - Device_Configuration'!BC391="","",'12 - Device_Configuration'!BC391)</f>
        <v/>
      </c>
      <c r="X390" s="28" t="str">
        <f>IF('12 - Device_Configuration'!BK391="","",'12 - Device_Configuration'!BK391)</f>
        <v/>
      </c>
      <c r="Y390" s="28" t="str">
        <f>IF('12 - Device_Configuration'!BB391="","",'12 - Device_Configuration'!BB391)</f>
        <v/>
      </c>
      <c r="Z390" s="28" t="str">
        <f>IF('12 - Device_Configuration'!P391="","",'12 - Device_Configuration'!P391)</f>
        <v/>
      </c>
      <c r="AA390" s="28" t="str">
        <f>IF('12 - Device_Configuration'!Q391="","",'12 - Device_Configuration'!Q391)</f>
        <v/>
      </c>
    </row>
    <row r="391" spans="1:27">
      <c r="A391" s="29"/>
      <c r="B391" s="29"/>
      <c r="C391" s="28" t="str">
        <f>IF('12 - Device_Configuration'!H392="","",'12 - Device_Configuration'!H392)</f>
        <v/>
      </c>
      <c r="D391" s="28" t="str">
        <f>IF('12 - Device_Configuration'!AE392="","",'12 - Device_Configuration'!AE392)</f>
        <v/>
      </c>
      <c r="E391" s="28" t="str">
        <f>IF('12 - Device_Configuration'!AF392="","",'12 - Device_Configuration'!AF392)</f>
        <v/>
      </c>
      <c r="F391" s="28" t="str">
        <f>IF('12 - Device_Configuration'!AG392="","",'12 - Device_Configuration'!AG392)</f>
        <v/>
      </c>
      <c r="G391" s="28" t="str">
        <f>IF('12 - Device_Configuration'!AH392="","",'12 - Device_Configuration'!AH392)</f>
        <v/>
      </c>
      <c r="H391" s="28" t="str">
        <f>IF('12 - Device_Configuration'!A392="","",'12 - Device_Configuration'!A392)</f>
        <v/>
      </c>
      <c r="I391" s="28" t="str">
        <f>IF('12 - Device_Configuration'!AI392="","",'12 - Device_Configuration'!AI392)</f>
        <v/>
      </c>
      <c r="J391" s="28" t="str">
        <f>IF('12 - Device_Configuration'!AJ392="","",'12 - Device_Configuration'!AJ392)</f>
        <v/>
      </c>
      <c r="K391" s="28" t="str">
        <f>IF('12 - Device_Configuration'!AA392="","",'12 - Device_Configuration'!AA392)</f>
        <v/>
      </c>
      <c r="L391" s="28" t="str">
        <f>IF('12 - Device_Configuration'!I392="","",'12 - Device_Configuration'!I392)</f>
        <v/>
      </c>
      <c r="M391" s="29"/>
      <c r="N391" s="28" t="str">
        <f>IF('12 - Device_Configuration'!J392="","",'12 - Device_Configuration'!J392)</f>
        <v/>
      </c>
      <c r="O391" s="28" t="str">
        <f>IF('12 - Device_Configuration'!K392="","",'12 - Device_Configuration'!K392)</f>
        <v/>
      </c>
      <c r="P391" s="28" t="str">
        <f>IF('12 - Device_Configuration'!L392="","",'12 - Device_Configuration'!L392)</f>
        <v/>
      </c>
      <c r="Q391" s="29"/>
      <c r="R391" s="28" t="str">
        <f>IF('12 - Device_Configuration'!AY392="","",'12 - Device_Configuration'!AY392)</f>
        <v/>
      </c>
      <c r="S391" s="28" t="str">
        <f>IF('12 - Device_Configuration'!AX392="","",'12 - Device_Configuration'!AX392)</f>
        <v/>
      </c>
      <c r="T391" s="28" t="str">
        <f>IF('12 - Device_Configuration'!AV392="","",'12 - Device_Configuration'!AV392)</f>
        <v/>
      </c>
      <c r="U391" s="28" t="str">
        <f>IF('12 - Device_Configuration'!AW392="","",'12 - Device_Configuration'!AW392)</f>
        <v/>
      </c>
      <c r="V391" s="28" t="str">
        <f>IF('12 - Device_Configuration'!BA392="","",'12 - Device_Configuration'!BA392)</f>
        <v/>
      </c>
      <c r="W391" s="28" t="str">
        <f>IF('12 - Device_Configuration'!BC392="","",'12 - Device_Configuration'!BC392)</f>
        <v/>
      </c>
      <c r="X391" s="28" t="str">
        <f>IF('12 - Device_Configuration'!BK392="","",'12 - Device_Configuration'!BK392)</f>
        <v/>
      </c>
      <c r="Y391" s="28" t="str">
        <f>IF('12 - Device_Configuration'!BB392="","",'12 - Device_Configuration'!BB392)</f>
        <v/>
      </c>
      <c r="Z391" s="28" t="str">
        <f>IF('12 - Device_Configuration'!P392="","",'12 - Device_Configuration'!P392)</f>
        <v/>
      </c>
      <c r="AA391" s="28" t="str">
        <f>IF('12 - Device_Configuration'!Q392="","",'12 - Device_Configuration'!Q392)</f>
        <v/>
      </c>
    </row>
    <row r="392" spans="1:27">
      <c r="A392" s="29"/>
      <c r="B392" s="29"/>
      <c r="C392" s="28" t="str">
        <f>IF('12 - Device_Configuration'!H393="","",'12 - Device_Configuration'!H393)</f>
        <v/>
      </c>
      <c r="D392" s="28" t="str">
        <f>IF('12 - Device_Configuration'!AE393="","",'12 - Device_Configuration'!AE393)</f>
        <v/>
      </c>
      <c r="E392" s="28" t="str">
        <f>IF('12 - Device_Configuration'!AF393="","",'12 - Device_Configuration'!AF393)</f>
        <v/>
      </c>
      <c r="F392" s="28" t="str">
        <f>IF('12 - Device_Configuration'!AG393="","",'12 - Device_Configuration'!AG393)</f>
        <v/>
      </c>
      <c r="G392" s="28" t="str">
        <f>IF('12 - Device_Configuration'!AH393="","",'12 - Device_Configuration'!AH393)</f>
        <v/>
      </c>
      <c r="H392" s="28" t="str">
        <f>IF('12 - Device_Configuration'!A393="","",'12 - Device_Configuration'!A393)</f>
        <v/>
      </c>
      <c r="I392" s="28" t="str">
        <f>IF('12 - Device_Configuration'!AI393="","",'12 - Device_Configuration'!AI393)</f>
        <v/>
      </c>
      <c r="J392" s="28" t="str">
        <f>IF('12 - Device_Configuration'!AJ393="","",'12 - Device_Configuration'!AJ393)</f>
        <v/>
      </c>
      <c r="K392" s="28" t="str">
        <f>IF('12 - Device_Configuration'!AA393="","",'12 - Device_Configuration'!AA393)</f>
        <v/>
      </c>
      <c r="L392" s="28" t="str">
        <f>IF('12 - Device_Configuration'!I393="","",'12 - Device_Configuration'!I393)</f>
        <v/>
      </c>
      <c r="M392" s="29"/>
      <c r="N392" s="28" t="str">
        <f>IF('12 - Device_Configuration'!J393="","",'12 - Device_Configuration'!J393)</f>
        <v/>
      </c>
      <c r="O392" s="28" t="str">
        <f>IF('12 - Device_Configuration'!K393="","",'12 - Device_Configuration'!K393)</f>
        <v/>
      </c>
      <c r="P392" s="28" t="str">
        <f>IF('12 - Device_Configuration'!L393="","",'12 - Device_Configuration'!L393)</f>
        <v/>
      </c>
      <c r="Q392" s="29"/>
      <c r="R392" s="28" t="str">
        <f>IF('12 - Device_Configuration'!AY393="","",'12 - Device_Configuration'!AY393)</f>
        <v/>
      </c>
      <c r="S392" s="28" t="str">
        <f>IF('12 - Device_Configuration'!AX393="","",'12 - Device_Configuration'!AX393)</f>
        <v/>
      </c>
      <c r="T392" s="28" t="str">
        <f>IF('12 - Device_Configuration'!AV393="","",'12 - Device_Configuration'!AV393)</f>
        <v/>
      </c>
      <c r="U392" s="28" t="str">
        <f>IF('12 - Device_Configuration'!AW393="","",'12 - Device_Configuration'!AW393)</f>
        <v/>
      </c>
      <c r="V392" s="28" t="str">
        <f>IF('12 - Device_Configuration'!BA393="","",'12 - Device_Configuration'!BA393)</f>
        <v/>
      </c>
      <c r="W392" s="28" t="str">
        <f>IF('12 - Device_Configuration'!BC393="","",'12 - Device_Configuration'!BC393)</f>
        <v/>
      </c>
      <c r="X392" s="28" t="str">
        <f>IF('12 - Device_Configuration'!BK393="","",'12 - Device_Configuration'!BK393)</f>
        <v/>
      </c>
      <c r="Y392" s="28" t="str">
        <f>IF('12 - Device_Configuration'!BB393="","",'12 - Device_Configuration'!BB393)</f>
        <v/>
      </c>
      <c r="Z392" s="28" t="str">
        <f>IF('12 - Device_Configuration'!P393="","",'12 - Device_Configuration'!P393)</f>
        <v/>
      </c>
      <c r="AA392" s="28" t="str">
        <f>IF('12 - Device_Configuration'!Q393="","",'12 - Device_Configuration'!Q393)</f>
        <v/>
      </c>
    </row>
    <row r="393" spans="1:27">
      <c r="A393" s="29"/>
      <c r="B393" s="29"/>
      <c r="C393" s="28" t="str">
        <f>IF('12 - Device_Configuration'!H394="","",'12 - Device_Configuration'!H394)</f>
        <v/>
      </c>
      <c r="D393" s="28" t="str">
        <f>IF('12 - Device_Configuration'!AE394="","",'12 - Device_Configuration'!AE394)</f>
        <v/>
      </c>
      <c r="E393" s="28" t="str">
        <f>IF('12 - Device_Configuration'!AF394="","",'12 - Device_Configuration'!AF394)</f>
        <v/>
      </c>
      <c r="F393" s="28" t="str">
        <f>IF('12 - Device_Configuration'!AG394="","",'12 - Device_Configuration'!AG394)</f>
        <v/>
      </c>
      <c r="G393" s="28" t="str">
        <f>IF('12 - Device_Configuration'!AH394="","",'12 - Device_Configuration'!AH394)</f>
        <v/>
      </c>
      <c r="H393" s="28" t="str">
        <f>IF('12 - Device_Configuration'!A394="","",'12 - Device_Configuration'!A394)</f>
        <v/>
      </c>
      <c r="I393" s="28" t="str">
        <f>IF('12 - Device_Configuration'!AI394="","",'12 - Device_Configuration'!AI394)</f>
        <v/>
      </c>
      <c r="J393" s="28" t="str">
        <f>IF('12 - Device_Configuration'!AJ394="","",'12 - Device_Configuration'!AJ394)</f>
        <v/>
      </c>
      <c r="K393" s="28" t="str">
        <f>IF('12 - Device_Configuration'!AA394="","",'12 - Device_Configuration'!AA394)</f>
        <v/>
      </c>
      <c r="L393" s="28" t="str">
        <f>IF('12 - Device_Configuration'!I394="","",'12 - Device_Configuration'!I394)</f>
        <v/>
      </c>
      <c r="M393" s="29"/>
      <c r="N393" s="28" t="str">
        <f>IF('12 - Device_Configuration'!J394="","",'12 - Device_Configuration'!J394)</f>
        <v/>
      </c>
      <c r="O393" s="28" t="str">
        <f>IF('12 - Device_Configuration'!K394="","",'12 - Device_Configuration'!K394)</f>
        <v/>
      </c>
      <c r="P393" s="28" t="str">
        <f>IF('12 - Device_Configuration'!L394="","",'12 - Device_Configuration'!L394)</f>
        <v/>
      </c>
      <c r="Q393" s="29"/>
      <c r="R393" s="28" t="str">
        <f>IF('12 - Device_Configuration'!AY394="","",'12 - Device_Configuration'!AY394)</f>
        <v/>
      </c>
      <c r="S393" s="28" t="str">
        <f>IF('12 - Device_Configuration'!AX394="","",'12 - Device_Configuration'!AX394)</f>
        <v/>
      </c>
      <c r="T393" s="28" t="str">
        <f>IF('12 - Device_Configuration'!AV394="","",'12 - Device_Configuration'!AV394)</f>
        <v/>
      </c>
      <c r="U393" s="28" t="str">
        <f>IF('12 - Device_Configuration'!AW394="","",'12 - Device_Configuration'!AW394)</f>
        <v/>
      </c>
      <c r="V393" s="28" t="str">
        <f>IF('12 - Device_Configuration'!BA394="","",'12 - Device_Configuration'!BA394)</f>
        <v/>
      </c>
      <c r="W393" s="28" t="str">
        <f>IF('12 - Device_Configuration'!BC394="","",'12 - Device_Configuration'!BC394)</f>
        <v/>
      </c>
      <c r="X393" s="28" t="str">
        <f>IF('12 - Device_Configuration'!BK394="","",'12 - Device_Configuration'!BK394)</f>
        <v/>
      </c>
      <c r="Y393" s="28" t="str">
        <f>IF('12 - Device_Configuration'!BB394="","",'12 - Device_Configuration'!BB394)</f>
        <v/>
      </c>
      <c r="Z393" s="28" t="str">
        <f>IF('12 - Device_Configuration'!P394="","",'12 - Device_Configuration'!P394)</f>
        <v/>
      </c>
      <c r="AA393" s="28" t="str">
        <f>IF('12 - Device_Configuration'!Q394="","",'12 - Device_Configuration'!Q394)</f>
        <v/>
      </c>
    </row>
    <row r="394" spans="1:27">
      <c r="A394" s="29"/>
      <c r="B394" s="29"/>
      <c r="C394" s="28" t="str">
        <f>IF('12 - Device_Configuration'!H395="","",'12 - Device_Configuration'!H395)</f>
        <v/>
      </c>
      <c r="D394" s="28" t="str">
        <f>IF('12 - Device_Configuration'!AE395="","",'12 - Device_Configuration'!AE395)</f>
        <v/>
      </c>
      <c r="E394" s="28" t="str">
        <f>IF('12 - Device_Configuration'!AF395="","",'12 - Device_Configuration'!AF395)</f>
        <v/>
      </c>
      <c r="F394" s="28" t="str">
        <f>IF('12 - Device_Configuration'!AG395="","",'12 - Device_Configuration'!AG395)</f>
        <v/>
      </c>
      <c r="G394" s="28" t="str">
        <f>IF('12 - Device_Configuration'!AH395="","",'12 - Device_Configuration'!AH395)</f>
        <v/>
      </c>
      <c r="H394" s="28" t="str">
        <f>IF('12 - Device_Configuration'!A395="","",'12 - Device_Configuration'!A395)</f>
        <v/>
      </c>
      <c r="I394" s="28" t="str">
        <f>IF('12 - Device_Configuration'!AI395="","",'12 - Device_Configuration'!AI395)</f>
        <v/>
      </c>
      <c r="J394" s="28" t="str">
        <f>IF('12 - Device_Configuration'!AJ395="","",'12 - Device_Configuration'!AJ395)</f>
        <v/>
      </c>
      <c r="K394" s="28" t="str">
        <f>IF('12 - Device_Configuration'!AA395="","",'12 - Device_Configuration'!AA395)</f>
        <v/>
      </c>
      <c r="L394" s="28" t="str">
        <f>IF('12 - Device_Configuration'!I395="","",'12 - Device_Configuration'!I395)</f>
        <v/>
      </c>
      <c r="M394" s="29"/>
      <c r="N394" s="28" t="str">
        <f>IF('12 - Device_Configuration'!J395="","",'12 - Device_Configuration'!J395)</f>
        <v/>
      </c>
      <c r="O394" s="28" t="str">
        <f>IF('12 - Device_Configuration'!K395="","",'12 - Device_Configuration'!K395)</f>
        <v/>
      </c>
      <c r="P394" s="28" t="str">
        <f>IF('12 - Device_Configuration'!L395="","",'12 - Device_Configuration'!L395)</f>
        <v/>
      </c>
      <c r="Q394" s="29"/>
      <c r="R394" s="28" t="str">
        <f>IF('12 - Device_Configuration'!AY395="","",'12 - Device_Configuration'!AY395)</f>
        <v/>
      </c>
      <c r="S394" s="28" t="str">
        <f>IF('12 - Device_Configuration'!AX395="","",'12 - Device_Configuration'!AX395)</f>
        <v/>
      </c>
      <c r="T394" s="28" t="str">
        <f>IF('12 - Device_Configuration'!AV395="","",'12 - Device_Configuration'!AV395)</f>
        <v/>
      </c>
      <c r="U394" s="28" t="str">
        <f>IF('12 - Device_Configuration'!AW395="","",'12 - Device_Configuration'!AW395)</f>
        <v/>
      </c>
      <c r="V394" s="28" t="str">
        <f>IF('12 - Device_Configuration'!BA395="","",'12 - Device_Configuration'!BA395)</f>
        <v/>
      </c>
      <c r="W394" s="28" t="str">
        <f>IF('12 - Device_Configuration'!BC395="","",'12 - Device_Configuration'!BC395)</f>
        <v/>
      </c>
      <c r="X394" s="28" t="str">
        <f>IF('12 - Device_Configuration'!BK395="","",'12 - Device_Configuration'!BK395)</f>
        <v/>
      </c>
      <c r="Y394" s="28" t="str">
        <f>IF('12 - Device_Configuration'!BB395="","",'12 - Device_Configuration'!BB395)</f>
        <v/>
      </c>
      <c r="Z394" s="28" t="str">
        <f>IF('12 - Device_Configuration'!P395="","",'12 - Device_Configuration'!P395)</f>
        <v/>
      </c>
      <c r="AA394" s="28" t="str">
        <f>IF('12 - Device_Configuration'!Q395="","",'12 - Device_Configuration'!Q395)</f>
        <v/>
      </c>
    </row>
    <row r="395" spans="1:27">
      <c r="A395" s="29"/>
      <c r="B395" s="29"/>
      <c r="C395" s="28" t="str">
        <f>IF('12 - Device_Configuration'!H396="","",'12 - Device_Configuration'!H396)</f>
        <v/>
      </c>
      <c r="D395" s="28" t="str">
        <f>IF('12 - Device_Configuration'!AE396="","",'12 - Device_Configuration'!AE396)</f>
        <v/>
      </c>
      <c r="E395" s="28" t="str">
        <f>IF('12 - Device_Configuration'!AF396="","",'12 - Device_Configuration'!AF396)</f>
        <v/>
      </c>
      <c r="F395" s="28" t="str">
        <f>IF('12 - Device_Configuration'!AG396="","",'12 - Device_Configuration'!AG396)</f>
        <v/>
      </c>
      <c r="G395" s="28" t="str">
        <f>IF('12 - Device_Configuration'!AH396="","",'12 - Device_Configuration'!AH396)</f>
        <v/>
      </c>
      <c r="H395" s="28" t="str">
        <f>IF('12 - Device_Configuration'!A396="","",'12 - Device_Configuration'!A396)</f>
        <v/>
      </c>
      <c r="I395" s="28" t="str">
        <f>IF('12 - Device_Configuration'!AI396="","",'12 - Device_Configuration'!AI396)</f>
        <v/>
      </c>
      <c r="J395" s="28" t="str">
        <f>IF('12 - Device_Configuration'!AJ396="","",'12 - Device_Configuration'!AJ396)</f>
        <v/>
      </c>
      <c r="K395" s="28" t="str">
        <f>IF('12 - Device_Configuration'!AA396="","",'12 - Device_Configuration'!AA396)</f>
        <v/>
      </c>
      <c r="L395" s="28" t="str">
        <f>IF('12 - Device_Configuration'!I396="","",'12 - Device_Configuration'!I396)</f>
        <v/>
      </c>
      <c r="M395" s="29"/>
      <c r="N395" s="28" t="str">
        <f>IF('12 - Device_Configuration'!J396="","",'12 - Device_Configuration'!J396)</f>
        <v/>
      </c>
      <c r="O395" s="28" t="str">
        <f>IF('12 - Device_Configuration'!K396="","",'12 - Device_Configuration'!K396)</f>
        <v/>
      </c>
      <c r="P395" s="28" t="str">
        <f>IF('12 - Device_Configuration'!L396="","",'12 - Device_Configuration'!L396)</f>
        <v/>
      </c>
      <c r="Q395" s="29"/>
      <c r="R395" s="28" t="str">
        <f>IF('12 - Device_Configuration'!AY396="","",'12 - Device_Configuration'!AY396)</f>
        <v/>
      </c>
      <c r="S395" s="28" t="str">
        <f>IF('12 - Device_Configuration'!AX396="","",'12 - Device_Configuration'!AX396)</f>
        <v/>
      </c>
      <c r="T395" s="28" t="str">
        <f>IF('12 - Device_Configuration'!AV396="","",'12 - Device_Configuration'!AV396)</f>
        <v/>
      </c>
      <c r="U395" s="28" t="str">
        <f>IF('12 - Device_Configuration'!AW396="","",'12 - Device_Configuration'!AW396)</f>
        <v/>
      </c>
      <c r="V395" s="28" t="str">
        <f>IF('12 - Device_Configuration'!BA396="","",'12 - Device_Configuration'!BA396)</f>
        <v/>
      </c>
      <c r="W395" s="28" t="str">
        <f>IF('12 - Device_Configuration'!BC396="","",'12 - Device_Configuration'!BC396)</f>
        <v/>
      </c>
      <c r="X395" s="28" t="str">
        <f>IF('12 - Device_Configuration'!BK396="","",'12 - Device_Configuration'!BK396)</f>
        <v/>
      </c>
      <c r="Y395" s="28" t="str">
        <f>IF('12 - Device_Configuration'!BB396="","",'12 - Device_Configuration'!BB396)</f>
        <v/>
      </c>
      <c r="Z395" s="28" t="str">
        <f>IF('12 - Device_Configuration'!P396="","",'12 - Device_Configuration'!P396)</f>
        <v/>
      </c>
      <c r="AA395" s="28" t="str">
        <f>IF('12 - Device_Configuration'!Q396="","",'12 - Device_Configuration'!Q396)</f>
        <v/>
      </c>
    </row>
    <row r="396" spans="1:27">
      <c r="A396" s="29"/>
      <c r="B396" s="29"/>
      <c r="C396" s="28" t="str">
        <f>IF('12 - Device_Configuration'!H397="","",'12 - Device_Configuration'!H397)</f>
        <v/>
      </c>
      <c r="D396" s="28" t="str">
        <f>IF('12 - Device_Configuration'!AE397="","",'12 - Device_Configuration'!AE397)</f>
        <v/>
      </c>
      <c r="E396" s="28" t="str">
        <f>IF('12 - Device_Configuration'!AF397="","",'12 - Device_Configuration'!AF397)</f>
        <v/>
      </c>
      <c r="F396" s="28" t="str">
        <f>IF('12 - Device_Configuration'!AG397="","",'12 - Device_Configuration'!AG397)</f>
        <v/>
      </c>
      <c r="G396" s="28" t="str">
        <f>IF('12 - Device_Configuration'!AH397="","",'12 - Device_Configuration'!AH397)</f>
        <v/>
      </c>
      <c r="H396" s="28" t="str">
        <f>IF('12 - Device_Configuration'!A397="","",'12 - Device_Configuration'!A397)</f>
        <v/>
      </c>
      <c r="I396" s="28" t="str">
        <f>IF('12 - Device_Configuration'!AI397="","",'12 - Device_Configuration'!AI397)</f>
        <v/>
      </c>
      <c r="J396" s="28" t="str">
        <f>IF('12 - Device_Configuration'!AJ397="","",'12 - Device_Configuration'!AJ397)</f>
        <v/>
      </c>
      <c r="K396" s="28" t="str">
        <f>IF('12 - Device_Configuration'!AA397="","",'12 - Device_Configuration'!AA397)</f>
        <v/>
      </c>
      <c r="L396" s="28" t="str">
        <f>IF('12 - Device_Configuration'!I397="","",'12 - Device_Configuration'!I397)</f>
        <v/>
      </c>
      <c r="M396" s="29"/>
      <c r="N396" s="28" t="str">
        <f>IF('12 - Device_Configuration'!J397="","",'12 - Device_Configuration'!J397)</f>
        <v/>
      </c>
      <c r="O396" s="28" t="str">
        <f>IF('12 - Device_Configuration'!K397="","",'12 - Device_Configuration'!K397)</f>
        <v/>
      </c>
      <c r="P396" s="28" t="str">
        <f>IF('12 - Device_Configuration'!L397="","",'12 - Device_Configuration'!L397)</f>
        <v/>
      </c>
      <c r="Q396" s="29"/>
      <c r="R396" s="28" t="str">
        <f>IF('12 - Device_Configuration'!AY397="","",'12 - Device_Configuration'!AY397)</f>
        <v/>
      </c>
      <c r="S396" s="28" t="str">
        <f>IF('12 - Device_Configuration'!AX397="","",'12 - Device_Configuration'!AX397)</f>
        <v/>
      </c>
      <c r="T396" s="28" t="str">
        <f>IF('12 - Device_Configuration'!AV397="","",'12 - Device_Configuration'!AV397)</f>
        <v/>
      </c>
      <c r="U396" s="28" t="str">
        <f>IF('12 - Device_Configuration'!AW397="","",'12 - Device_Configuration'!AW397)</f>
        <v/>
      </c>
      <c r="V396" s="28" t="str">
        <f>IF('12 - Device_Configuration'!BA397="","",'12 - Device_Configuration'!BA397)</f>
        <v/>
      </c>
      <c r="W396" s="28" t="str">
        <f>IF('12 - Device_Configuration'!BC397="","",'12 - Device_Configuration'!BC397)</f>
        <v/>
      </c>
      <c r="X396" s="28" t="str">
        <f>IF('12 - Device_Configuration'!BK397="","",'12 - Device_Configuration'!BK397)</f>
        <v/>
      </c>
      <c r="Y396" s="28" t="str">
        <f>IF('12 - Device_Configuration'!BB397="","",'12 - Device_Configuration'!BB397)</f>
        <v/>
      </c>
      <c r="Z396" s="28" t="str">
        <f>IF('12 - Device_Configuration'!P397="","",'12 - Device_Configuration'!P397)</f>
        <v/>
      </c>
      <c r="AA396" s="28" t="str">
        <f>IF('12 - Device_Configuration'!Q397="","",'12 - Device_Configuration'!Q397)</f>
        <v/>
      </c>
    </row>
    <row r="397" spans="1:27">
      <c r="A397" s="29"/>
      <c r="B397" s="29"/>
      <c r="C397" s="28" t="str">
        <f>IF('12 - Device_Configuration'!H398="","",'12 - Device_Configuration'!H398)</f>
        <v/>
      </c>
      <c r="D397" s="28" t="str">
        <f>IF('12 - Device_Configuration'!AE398="","",'12 - Device_Configuration'!AE398)</f>
        <v/>
      </c>
      <c r="E397" s="28" t="str">
        <f>IF('12 - Device_Configuration'!AF398="","",'12 - Device_Configuration'!AF398)</f>
        <v/>
      </c>
      <c r="F397" s="28" t="str">
        <f>IF('12 - Device_Configuration'!AG398="","",'12 - Device_Configuration'!AG398)</f>
        <v/>
      </c>
      <c r="G397" s="28" t="str">
        <f>IF('12 - Device_Configuration'!AH398="","",'12 - Device_Configuration'!AH398)</f>
        <v/>
      </c>
      <c r="H397" s="28" t="str">
        <f>IF('12 - Device_Configuration'!A398="","",'12 - Device_Configuration'!A398)</f>
        <v/>
      </c>
      <c r="I397" s="28" t="str">
        <f>IF('12 - Device_Configuration'!AI398="","",'12 - Device_Configuration'!AI398)</f>
        <v/>
      </c>
      <c r="J397" s="28" t="str">
        <f>IF('12 - Device_Configuration'!AJ398="","",'12 - Device_Configuration'!AJ398)</f>
        <v/>
      </c>
      <c r="K397" s="28" t="str">
        <f>IF('12 - Device_Configuration'!AA398="","",'12 - Device_Configuration'!AA398)</f>
        <v/>
      </c>
      <c r="L397" s="28" t="str">
        <f>IF('12 - Device_Configuration'!I398="","",'12 - Device_Configuration'!I398)</f>
        <v/>
      </c>
      <c r="M397" s="29"/>
      <c r="N397" s="28" t="str">
        <f>IF('12 - Device_Configuration'!J398="","",'12 - Device_Configuration'!J398)</f>
        <v/>
      </c>
      <c r="O397" s="28" t="str">
        <f>IF('12 - Device_Configuration'!K398="","",'12 - Device_Configuration'!K398)</f>
        <v/>
      </c>
      <c r="P397" s="28" t="str">
        <f>IF('12 - Device_Configuration'!L398="","",'12 - Device_Configuration'!L398)</f>
        <v/>
      </c>
      <c r="Q397" s="29"/>
      <c r="R397" s="28" t="str">
        <f>IF('12 - Device_Configuration'!AY398="","",'12 - Device_Configuration'!AY398)</f>
        <v/>
      </c>
      <c r="S397" s="28" t="str">
        <f>IF('12 - Device_Configuration'!AX398="","",'12 - Device_Configuration'!AX398)</f>
        <v/>
      </c>
      <c r="T397" s="28" t="str">
        <f>IF('12 - Device_Configuration'!AV398="","",'12 - Device_Configuration'!AV398)</f>
        <v/>
      </c>
      <c r="U397" s="28" t="str">
        <f>IF('12 - Device_Configuration'!AW398="","",'12 - Device_Configuration'!AW398)</f>
        <v/>
      </c>
      <c r="V397" s="28" t="str">
        <f>IF('12 - Device_Configuration'!BA398="","",'12 - Device_Configuration'!BA398)</f>
        <v/>
      </c>
      <c r="W397" s="28" t="str">
        <f>IF('12 - Device_Configuration'!BC398="","",'12 - Device_Configuration'!BC398)</f>
        <v/>
      </c>
      <c r="X397" s="28" t="str">
        <f>IF('12 - Device_Configuration'!BK398="","",'12 - Device_Configuration'!BK398)</f>
        <v/>
      </c>
      <c r="Y397" s="28" t="str">
        <f>IF('12 - Device_Configuration'!BB398="","",'12 - Device_Configuration'!BB398)</f>
        <v/>
      </c>
      <c r="Z397" s="28" t="str">
        <f>IF('12 - Device_Configuration'!P398="","",'12 - Device_Configuration'!P398)</f>
        <v/>
      </c>
      <c r="AA397" s="28" t="str">
        <f>IF('12 - Device_Configuration'!Q398="","",'12 - Device_Configuration'!Q398)</f>
        <v/>
      </c>
    </row>
    <row r="398" spans="1:27">
      <c r="A398" s="29"/>
      <c r="B398" s="29"/>
      <c r="C398" s="28" t="str">
        <f>IF('12 - Device_Configuration'!H399="","",'12 - Device_Configuration'!H399)</f>
        <v/>
      </c>
      <c r="D398" s="28" t="str">
        <f>IF('12 - Device_Configuration'!AE399="","",'12 - Device_Configuration'!AE399)</f>
        <v/>
      </c>
      <c r="E398" s="28" t="str">
        <f>IF('12 - Device_Configuration'!AF399="","",'12 - Device_Configuration'!AF399)</f>
        <v/>
      </c>
      <c r="F398" s="28" t="str">
        <f>IF('12 - Device_Configuration'!AG399="","",'12 - Device_Configuration'!AG399)</f>
        <v/>
      </c>
      <c r="G398" s="28" t="str">
        <f>IF('12 - Device_Configuration'!AH399="","",'12 - Device_Configuration'!AH399)</f>
        <v/>
      </c>
      <c r="H398" s="28" t="str">
        <f>IF('12 - Device_Configuration'!A399="","",'12 - Device_Configuration'!A399)</f>
        <v/>
      </c>
      <c r="I398" s="28" t="str">
        <f>IF('12 - Device_Configuration'!AI399="","",'12 - Device_Configuration'!AI399)</f>
        <v/>
      </c>
      <c r="J398" s="28" t="str">
        <f>IF('12 - Device_Configuration'!AJ399="","",'12 - Device_Configuration'!AJ399)</f>
        <v/>
      </c>
      <c r="K398" s="28" t="str">
        <f>IF('12 - Device_Configuration'!AA399="","",'12 - Device_Configuration'!AA399)</f>
        <v/>
      </c>
      <c r="L398" s="28" t="str">
        <f>IF('12 - Device_Configuration'!I399="","",'12 - Device_Configuration'!I399)</f>
        <v/>
      </c>
      <c r="M398" s="29"/>
      <c r="N398" s="28" t="str">
        <f>IF('12 - Device_Configuration'!J399="","",'12 - Device_Configuration'!J399)</f>
        <v/>
      </c>
      <c r="O398" s="28" t="str">
        <f>IF('12 - Device_Configuration'!K399="","",'12 - Device_Configuration'!K399)</f>
        <v/>
      </c>
      <c r="P398" s="28" t="str">
        <f>IF('12 - Device_Configuration'!L399="","",'12 - Device_Configuration'!L399)</f>
        <v/>
      </c>
      <c r="Q398" s="29"/>
      <c r="R398" s="28" t="str">
        <f>IF('12 - Device_Configuration'!AY399="","",'12 - Device_Configuration'!AY399)</f>
        <v/>
      </c>
      <c r="S398" s="28" t="str">
        <f>IF('12 - Device_Configuration'!AX399="","",'12 - Device_Configuration'!AX399)</f>
        <v/>
      </c>
      <c r="T398" s="28" t="str">
        <f>IF('12 - Device_Configuration'!AV399="","",'12 - Device_Configuration'!AV399)</f>
        <v/>
      </c>
      <c r="U398" s="28" t="str">
        <f>IF('12 - Device_Configuration'!AW399="","",'12 - Device_Configuration'!AW399)</f>
        <v/>
      </c>
      <c r="V398" s="28" t="str">
        <f>IF('12 - Device_Configuration'!BA399="","",'12 - Device_Configuration'!BA399)</f>
        <v/>
      </c>
      <c r="W398" s="28" t="str">
        <f>IF('12 - Device_Configuration'!BC399="","",'12 - Device_Configuration'!BC399)</f>
        <v/>
      </c>
      <c r="X398" s="28" t="str">
        <f>IF('12 - Device_Configuration'!BK399="","",'12 - Device_Configuration'!BK399)</f>
        <v/>
      </c>
      <c r="Y398" s="28" t="str">
        <f>IF('12 - Device_Configuration'!BB399="","",'12 - Device_Configuration'!BB399)</f>
        <v/>
      </c>
      <c r="Z398" s="28" t="str">
        <f>IF('12 - Device_Configuration'!P399="","",'12 - Device_Configuration'!P399)</f>
        <v/>
      </c>
      <c r="AA398" s="28" t="str">
        <f>IF('12 - Device_Configuration'!Q399="","",'12 - Device_Configuration'!Q399)</f>
        <v/>
      </c>
    </row>
    <row r="399" spans="1:27">
      <c r="A399" s="29"/>
      <c r="B399" s="29"/>
      <c r="C399" s="28" t="str">
        <f>IF('12 - Device_Configuration'!H400="","",'12 - Device_Configuration'!H400)</f>
        <v/>
      </c>
      <c r="D399" s="28" t="str">
        <f>IF('12 - Device_Configuration'!AE400="","",'12 - Device_Configuration'!AE400)</f>
        <v/>
      </c>
      <c r="E399" s="28" t="str">
        <f>IF('12 - Device_Configuration'!AF400="","",'12 - Device_Configuration'!AF400)</f>
        <v/>
      </c>
      <c r="F399" s="28" t="str">
        <f>IF('12 - Device_Configuration'!AG400="","",'12 - Device_Configuration'!AG400)</f>
        <v/>
      </c>
      <c r="G399" s="28" t="str">
        <f>IF('12 - Device_Configuration'!AH400="","",'12 - Device_Configuration'!AH400)</f>
        <v/>
      </c>
      <c r="H399" s="28" t="str">
        <f>IF('12 - Device_Configuration'!A400="","",'12 - Device_Configuration'!A400)</f>
        <v/>
      </c>
      <c r="I399" s="28" t="str">
        <f>IF('12 - Device_Configuration'!AI400="","",'12 - Device_Configuration'!AI400)</f>
        <v/>
      </c>
      <c r="J399" s="28" t="str">
        <f>IF('12 - Device_Configuration'!AJ400="","",'12 - Device_Configuration'!AJ400)</f>
        <v/>
      </c>
      <c r="K399" s="28" t="str">
        <f>IF('12 - Device_Configuration'!AA400="","",'12 - Device_Configuration'!AA400)</f>
        <v/>
      </c>
      <c r="L399" s="28" t="str">
        <f>IF('12 - Device_Configuration'!I400="","",'12 - Device_Configuration'!I400)</f>
        <v/>
      </c>
      <c r="M399" s="29"/>
      <c r="N399" s="28" t="str">
        <f>IF('12 - Device_Configuration'!J400="","",'12 - Device_Configuration'!J400)</f>
        <v/>
      </c>
      <c r="O399" s="28" t="str">
        <f>IF('12 - Device_Configuration'!K400="","",'12 - Device_Configuration'!K400)</f>
        <v/>
      </c>
      <c r="P399" s="28" t="str">
        <f>IF('12 - Device_Configuration'!L400="","",'12 - Device_Configuration'!L400)</f>
        <v/>
      </c>
      <c r="Q399" s="29"/>
      <c r="R399" s="28" t="str">
        <f>IF('12 - Device_Configuration'!AY400="","",'12 - Device_Configuration'!AY400)</f>
        <v/>
      </c>
      <c r="S399" s="28" t="str">
        <f>IF('12 - Device_Configuration'!AX400="","",'12 - Device_Configuration'!AX400)</f>
        <v/>
      </c>
      <c r="T399" s="28" t="str">
        <f>IF('12 - Device_Configuration'!AV400="","",'12 - Device_Configuration'!AV400)</f>
        <v/>
      </c>
      <c r="U399" s="28" t="str">
        <f>IF('12 - Device_Configuration'!AW400="","",'12 - Device_Configuration'!AW400)</f>
        <v/>
      </c>
      <c r="V399" s="28" t="str">
        <f>IF('12 - Device_Configuration'!BA400="","",'12 - Device_Configuration'!BA400)</f>
        <v/>
      </c>
      <c r="W399" s="28" t="str">
        <f>IF('12 - Device_Configuration'!BC400="","",'12 - Device_Configuration'!BC400)</f>
        <v/>
      </c>
      <c r="X399" s="28" t="str">
        <f>IF('12 - Device_Configuration'!BK400="","",'12 - Device_Configuration'!BK400)</f>
        <v/>
      </c>
      <c r="Y399" s="28" t="str">
        <f>IF('12 - Device_Configuration'!BB400="","",'12 - Device_Configuration'!BB400)</f>
        <v/>
      </c>
      <c r="Z399" s="28" t="str">
        <f>IF('12 - Device_Configuration'!P400="","",'12 - Device_Configuration'!P400)</f>
        <v/>
      </c>
      <c r="AA399" s="28" t="str">
        <f>IF('12 - Device_Configuration'!Q400="","",'12 - Device_Configuration'!Q400)</f>
        <v/>
      </c>
    </row>
    <row r="400" spans="1:27">
      <c r="A400" s="29"/>
      <c r="B400" s="29"/>
      <c r="C400" s="28" t="str">
        <f>IF('12 - Device_Configuration'!H401="","",'12 - Device_Configuration'!H401)</f>
        <v/>
      </c>
      <c r="D400" s="28" t="str">
        <f>IF('12 - Device_Configuration'!AE401="","",'12 - Device_Configuration'!AE401)</f>
        <v/>
      </c>
      <c r="E400" s="28" t="str">
        <f>IF('12 - Device_Configuration'!AF401="","",'12 - Device_Configuration'!AF401)</f>
        <v/>
      </c>
      <c r="F400" s="28" t="str">
        <f>IF('12 - Device_Configuration'!AG401="","",'12 - Device_Configuration'!AG401)</f>
        <v/>
      </c>
      <c r="G400" s="28" t="str">
        <f>IF('12 - Device_Configuration'!AH401="","",'12 - Device_Configuration'!AH401)</f>
        <v/>
      </c>
      <c r="H400" s="28" t="str">
        <f>IF('12 - Device_Configuration'!A401="","",'12 - Device_Configuration'!A401)</f>
        <v/>
      </c>
      <c r="I400" s="28" t="str">
        <f>IF('12 - Device_Configuration'!AI401="","",'12 - Device_Configuration'!AI401)</f>
        <v/>
      </c>
      <c r="J400" s="28" t="str">
        <f>IF('12 - Device_Configuration'!AJ401="","",'12 - Device_Configuration'!AJ401)</f>
        <v/>
      </c>
      <c r="K400" s="28" t="str">
        <f>IF('12 - Device_Configuration'!AA401="","",'12 - Device_Configuration'!AA401)</f>
        <v/>
      </c>
      <c r="L400" s="28" t="str">
        <f>IF('12 - Device_Configuration'!I401="","",'12 - Device_Configuration'!I401)</f>
        <v/>
      </c>
      <c r="M400" s="29"/>
      <c r="N400" s="28" t="str">
        <f>IF('12 - Device_Configuration'!J401="","",'12 - Device_Configuration'!J401)</f>
        <v/>
      </c>
      <c r="O400" s="28" t="str">
        <f>IF('12 - Device_Configuration'!K401="","",'12 - Device_Configuration'!K401)</f>
        <v/>
      </c>
      <c r="P400" s="28" t="str">
        <f>IF('12 - Device_Configuration'!L401="","",'12 - Device_Configuration'!L401)</f>
        <v/>
      </c>
      <c r="Q400" s="29"/>
      <c r="R400" s="28" t="str">
        <f>IF('12 - Device_Configuration'!AY401="","",'12 - Device_Configuration'!AY401)</f>
        <v/>
      </c>
      <c r="S400" s="28" t="str">
        <f>IF('12 - Device_Configuration'!AX401="","",'12 - Device_Configuration'!AX401)</f>
        <v/>
      </c>
      <c r="T400" s="28" t="str">
        <f>IF('12 - Device_Configuration'!AV401="","",'12 - Device_Configuration'!AV401)</f>
        <v/>
      </c>
      <c r="U400" s="28" t="str">
        <f>IF('12 - Device_Configuration'!AW401="","",'12 - Device_Configuration'!AW401)</f>
        <v/>
      </c>
      <c r="V400" s="28" t="str">
        <f>IF('12 - Device_Configuration'!BA401="","",'12 - Device_Configuration'!BA401)</f>
        <v/>
      </c>
      <c r="W400" s="28" t="str">
        <f>IF('12 - Device_Configuration'!BC401="","",'12 - Device_Configuration'!BC401)</f>
        <v/>
      </c>
      <c r="X400" s="28" t="str">
        <f>IF('12 - Device_Configuration'!BK401="","",'12 - Device_Configuration'!BK401)</f>
        <v/>
      </c>
      <c r="Y400" s="28" t="str">
        <f>IF('12 - Device_Configuration'!BB401="","",'12 - Device_Configuration'!BB401)</f>
        <v/>
      </c>
      <c r="Z400" s="28" t="str">
        <f>IF('12 - Device_Configuration'!P401="","",'12 - Device_Configuration'!P401)</f>
        <v/>
      </c>
      <c r="AA400" s="28" t="str">
        <f>IF('12 - Device_Configuration'!Q401="","",'12 - Device_Configuration'!Q401)</f>
        <v/>
      </c>
    </row>
    <row r="401" spans="1:27">
      <c r="A401" s="29"/>
      <c r="B401" s="29"/>
      <c r="C401" s="28" t="str">
        <f>IF('12 - Device_Configuration'!H402="","",'12 - Device_Configuration'!H402)</f>
        <v/>
      </c>
      <c r="D401" s="28" t="str">
        <f>IF('12 - Device_Configuration'!AE402="","",'12 - Device_Configuration'!AE402)</f>
        <v/>
      </c>
      <c r="E401" s="28" t="str">
        <f>IF('12 - Device_Configuration'!AF402="","",'12 - Device_Configuration'!AF402)</f>
        <v/>
      </c>
      <c r="F401" s="28" t="str">
        <f>IF('12 - Device_Configuration'!AG402="","",'12 - Device_Configuration'!AG402)</f>
        <v/>
      </c>
      <c r="G401" s="28" t="str">
        <f>IF('12 - Device_Configuration'!AH402="","",'12 - Device_Configuration'!AH402)</f>
        <v/>
      </c>
      <c r="H401" s="28" t="str">
        <f>IF('12 - Device_Configuration'!A402="","",'12 - Device_Configuration'!A402)</f>
        <v/>
      </c>
      <c r="I401" s="28" t="str">
        <f>IF('12 - Device_Configuration'!AI402="","",'12 - Device_Configuration'!AI402)</f>
        <v/>
      </c>
      <c r="J401" s="28" t="str">
        <f>IF('12 - Device_Configuration'!AJ402="","",'12 - Device_Configuration'!AJ402)</f>
        <v/>
      </c>
      <c r="K401" s="28" t="str">
        <f>IF('12 - Device_Configuration'!AA402="","",'12 - Device_Configuration'!AA402)</f>
        <v/>
      </c>
      <c r="L401" s="28" t="str">
        <f>IF('12 - Device_Configuration'!I402="","",'12 - Device_Configuration'!I402)</f>
        <v/>
      </c>
      <c r="M401" s="29"/>
      <c r="N401" s="28" t="str">
        <f>IF('12 - Device_Configuration'!J402="","",'12 - Device_Configuration'!J402)</f>
        <v/>
      </c>
      <c r="O401" s="28" t="str">
        <f>IF('12 - Device_Configuration'!K402="","",'12 - Device_Configuration'!K402)</f>
        <v/>
      </c>
      <c r="P401" s="28" t="str">
        <f>IF('12 - Device_Configuration'!L402="","",'12 - Device_Configuration'!L402)</f>
        <v/>
      </c>
      <c r="Q401" s="29"/>
      <c r="R401" s="28" t="str">
        <f>IF('12 - Device_Configuration'!AY402="","",'12 - Device_Configuration'!AY402)</f>
        <v/>
      </c>
      <c r="S401" s="28" t="str">
        <f>IF('12 - Device_Configuration'!AX402="","",'12 - Device_Configuration'!AX402)</f>
        <v/>
      </c>
      <c r="T401" s="28" t="str">
        <f>IF('12 - Device_Configuration'!AV402="","",'12 - Device_Configuration'!AV402)</f>
        <v/>
      </c>
      <c r="U401" s="28" t="str">
        <f>IF('12 - Device_Configuration'!AW402="","",'12 - Device_Configuration'!AW402)</f>
        <v/>
      </c>
      <c r="V401" s="28" t="str">
        <f>IF('12 - Device_Configuration'!BA402="","",'12 - Device_Configuration'!BA402)</f>
        <v/>
      </c>
      <c r="W401" s="28" t="str">
        <f>IF('12 - Device_Configuration'!BC402="","",'12 - Device_Configuration'!BC402)</f>
        <v/>
      </c>
      <c r="X401" s="28" t="str">
        <f>IF('12 - Device_Configuration'!BK402="","",'12 - Device_Configuration'!BK402)</f>
        <v/>
      </c>
      <c r="Y401" s="28" t="str">
        <f>IF('12 - Device_Configuration'!BB402="","",'12 - Device_Configuration'!BB402)</f>
        <v/>
      </c>
      <c r="Z401" s="28" t="str">
        <f>IF('12 - Device_Configuration'!P402="","",'12 - Device_Configuration'!P402)</f>
        <v/>
      </c>
      <c r="AA401" s="28" t="str">
        <f>IF('12 - Device_Configuration'!Q402="","",'12 - Device_Configuration'!Q402)</f>
        <v/>
      </c>
    </row>
    <row r="402" spans="1:27">
      <c r="A402" s="29"/>
      <c r="B402" s="29"/>
      <c r="C402" s="28" t="str">
        <f>IF('12 - Device_Configuration'!H403="","",'12 - Device_Configuration'!H403)</f>
        <v/>
      </c>
      <c r="D402" s="28" t="str">
        <f>IF('12 - Device_Configuration'!AE403="","",'12 - Device_Configuration'!AE403)</f>
        <v/>
      </c>
      <c r="E402" s="28" t="str">
        <f>IF('12 - Device_Configuration'!AF403="","",'12 - Device_Configuration'!AF403)</f>
        <v/>
      </c>
      <c r="F402" s="28" t="str">
        <f>IF('12 - Device_Configuration'!AG403="","",'12 - Device_Configuration'!AG403)</f>
        <v/>
      </c>
      <c r="G402" s="28" t="str">
        <f>IF('12 - Device_Configuration'!AH403="","",'12 - Device_Configuration'!AH403)</f>
        <v/>
      </c>
      <c r="H402" s="28" t="str">
        <f>IF('12 - Device_Configuration'!A403="","",'12 - Device_Configuration'!A403)</f>
        <v/>
      </c>
      <c r="I402" s="28" t="str">
        <f>IF('12 - Device_Configuration'!AI403="","",'12 - Device_Configuration'!AI403)</f>
        <v/>
      </c>
      <c r="J402" s="28" t="str">
        <f>IF('12 - Device_Configuration'!AJ403="","",'12 - Device_Configuration'!AJ403)</f>
        <v/>
      </c>
      <c r="K402" s="28" t="str">
        <f>IF('12 - Device_Configuration'!AA403="","",'12 - Device_Configuration'!AA403)</f>
        <v/>
      </c>
      <c r="L402" s="28" t="str">
        <f>IF('12 - Device_Configuration'!I403="","",'12 - Device_Configuration'!I403)</f>
        <v/>
      </c>
      <c r="M402" s="29"/>
      <c r="N402" s="28" t="str">
        <f>IF('12 - Device_Configuration'!J403="","",'12 - Device_Configuration'!J403)</f>
        <v/>
      </c>
      <c r="O402" s="28" t="str">
        <f>IF('12 - Device_Configuration'!K403="","",'12 - Device_Configuration'!K403)</f>
        <v/>
      </c>
      <c r="P402" s="28" t="str">
        <f>IF('12 - Device_Configuration'!L403="","",'12 - Device_Configuration'!L403)</f>
        <v/>
      </c>
      <c r="Q402" s="29"/>
      <c r="R402" s="28" t="str">
        <f>IF('12 - Device_Configuration'!AY403="","",'12 - Device_Configuration'!AY403)</f>
        <v/>
      </c>
      <c r="S402" s="28" t="str">
        <f>IF('12 - Device_Configuration'!AX403="","",'12 - Device_Configuration'!AX403)</f>
        <v/>
      </c>
      <c r="T402" s="28" t="str">
        <f>IF('12 - Device_Configuration'!AV403="","",'12 - Device_Configuration'!AV403)</f>
        <v/>
      </c>
      <c r="U402" s="28" t="str">
        <f>IF('12 - Device_Configuration'!AW403="","",'12 - Device_Configuration'!AW403)</f>
        <v/>
      </c>
      <c r="V402" s="28" t="str">
        <f>IF('12 - Device_Configuration'!BA403="","",'12 - Device_Configuration'!BA403)</f>
        <v/>
      </c>
      <c r="W402" s="28" t="str">
        <f>IF('12 - Device_Configuration'!BC403="","",'12 - Device_Configuration'!BC403)</f>
        <v/>
      </c>
      <c r="X402" s="28" t="str">
        <f>IF('12 - Device_Configuration'!BK403="","",'12 - Device_Configuration'!BK403)</f>
        <v/>
      </c>
      <c r="Y402" s="28" t="str">
        <f>IF('12 - Device_Configuration'!BB403="","",'12 - Device_Configuration'!BB403)</f>
        <v/>
      </c>
      <c r="Z402" s="28" t="str">
        <f>IF('12 - Device_Configuration'!P403="","",'12 - Device_Configuration'!P403)</f>
        <v/>
      </c>
      <c r="AA402" s="28" t="str">
        <f>IF('12 - Device_Configuration'!Q403="","",'12 - Device_Configuration'!Q403)</f>
        <v/>
      </c>
    </row>
    <row r="403" spans="1:27">
      <c r="A403" s="29"/>
      <c r="B403" s="29"/>
      <c r="C403" s="28" t="str">
        <f>IF('12 - Device_Configuration'!H404="","",'12 - Device_Configuration'!H404)</f>
        <v/>
      </c>
      <c r="D403" s="28" t="str">
        <f>IF('12 - Device_Configuration'!AE404="","",'12 - Device_Configuration'!AE404)</f>
        <v/>
      </c>
      <c r="E403" s="28" t="str">
        <f>IF('12 - Device_Configuration'!AF404="","",'12 - Device_Configuration'!AF404)</f>
        <v/>
      </c>
      <c r="F403" s="28" t="str">
        <f>IF('12 - Device_Configuration'!AG404="","",'12 - Device_Configuration'!AG404)</f>
        <v/>
      </c>
      <c r="G403" s="28" t="str">
        <f>IF('12 - Device_Configuration'!AH404="","",'12 - Device_Configuration'!AH404)</f>
        <v/>
      </c>
      <c r="H403" s="28" t="str">
        <f>IF('12 - Device_Configuration'!A404="","",'12 - Device_Configuration'!A404)</f>
        <v/>
      </c>
      <c r="I403" s="28" t="str">
        <f>IF('12 - Device_Configuration'!AI404="","",'12 - Device_Configuration'!AI404)</f>
        <v/>
      </c>
      <c r="J403" s="28" t="str">
        <f>IF('12 - Device_Configuration'!AJ404="","",'12 - Device_Configuration'!AJ404)</f>
        <v/>
      </c>
      <c r="K403" s="28" t="str">
        <f>IF('12 - Device_Configuration'!AA404="","",'12 - Device_Configuration'!AA404)</f>
        <v/>
      </c>
      <c r="L403" s="28" t="str">
        <f>IF('12 - Device_Configuration'!I404="","",'12 - Device_Configuration'!I404)</f>
        <v/>
      </c>
      <c r="M403" s="29"/>
      <c r="N403" s="28" t="str">
        <f>IF('12 - Device_Configuration'!J404="","",'12 - Device_Configuration'!J404)</f>
        <v/>
      </c>
      <c r="O403" s="28" t="str">
        <f>IF('12 - Device_Configuration'!K404="","",'12 - Device_Configuration'!K404)</f>
        <v/>
      </c>
      <c r="P403" s="28" t="str">
        <f>IF('12 - Device_Configuration'!L404="","",'12 - Device_Configuration'!L404)</f>
        <v/>
      </c>
      <c r="Q403" s="29"/>
      <c r="R403" s="28" t="str">
        <f>IF('12 - Device_Configuration'!AY404="","",'12 - Device_Configuration'!AY404)</f>
        <v/>
      </c>
      <c r="S403" s="28" t="str">
        <f>IF('12 - Device_Configuration'!AX404="","",'12 - Device_Configuration'!AX404)</f>
        <v/>
      </c>
      <c r="T403" s="28" t="str">
        <f>IF('12 - Device_Configuration'!AV404="","",'12 - Device_Configuration'!AV404)</f>
        <v/>
      </c>
      <c r="U403" s="28" t="str">
        <f>IF('12 - Device_Configuration'!AW404="","",'12 - Device_Configuration'!AW404)</f>
        <v/>
      </c>
      <c r="V403" s="28" t="str">
        <f>IF('12 - Device_Configuration'!BA404="","",'12 - Device_Configuration'!BA404)</f>
        <v/>
      </c>
      <c r="W403" s="28" t="str">
        <f>IF('12 - Device_Configuration'!BC404="","",'12 - Device_Configuration'!BC404)</f>
        <v/>
      </c>
      <c r="X403" s="28" t="str">
        <f>IF('12 - Device_Configuration'!BK404="","",'12 - Device_Configuration'!BK404)</f>
        <v/>
      </c>
      <c r="Y403" s="28" t="str">
        <f>IF('12 - Device_Configuration'!BB404="","",'12 - Device_Configuration'!BB404)</f>
        <v/>
      </c>
      <c r="Z403" s="28" t="str">
        <f>IF('12 - Device_Configuration'!P404="","",'12 - Device_Configuration'!P404)</f>
        <v/>
      </c>
      <c r="AA403" s="28" t="str">
        <f>IF('12 - Device_Configuration'!Q404="","",'12 - Device_Configuration'!Q404)</f>
        <v/>
      </c>
    </row>
    <row r="404" spans="1:27">
      <c r="A404" s="29"/>
      <c r="B404" s="29"/>
      <c r="C404" s="28" t="str">
        <f>IF('12 - Device_Configuration'!H405="","",'12 - Device_Configuration'!H405)</f>
        <v/>
      </c>
      <c r="D404" s="28" t="str">
        <f>IF('12 - Device_Configuration'!AE405="","",'12 - Device_Configuration'!AE405)</f>
        <v/>
      </c>
      <c r="E404" s="28" t="str">
        <f>IF('12 - Device_Configuration'!AF405="","",'12 - Device_Configuration'!AF405)</f>
        <v/>
      </c>
      <c r="F404" s="28" t="str">
        <f>IF('12 - Device_Configuration'!AG405="","",'12 - Device_Configuration'!AG405)</f>
        <v/>
      </c>
      <c r="G404" s="28" t="str">
        <f>IF('12 - Device_Configuration'!AH405="","",'12 - Device_Configuration'!AH405)</f>
        <v/>
      </c>
      <c r="H404" s="28" t="str">
        <f>IF('12 - Device_Configuration'!A405="","",'12 - Device_Configuration'!A405)</f>
        <v/>
      </c>
      <c r="I404" s="28" t="str">
        <f>IF('12 - Device_Configuration'!AI405="","",'12 - Device_Configuration'!AI405)</f>
        <v/>
      </c>
      <c r="J404" s="28" t="str">
        <f>IF('12 - Device_Configuration'!AJ405="","",'12 - Device_Configuration'!AJ405)</f>
        <v/>
      </c>
      <c r="K404" s="28" t="str">
        <f>IF('12 - Device_Configuration'!AA405="","",'12 - Device_Configuration'!AA405)</f>
        <v/>
      </c>
      <c r="L404" s="28" t="str">
        <f>IF('12 - Device_Configuration'!I405="","",'12 - Device_Configuration'!I405)</f>
        <v/>
      </c>
      <c r="M404" s="29"/>
      <c r="N404" s="28" t="str">
        <f>IF('12 - Device_Configuration'!J405="","",'12 - Device_Configuration'!J405)</f>
        <v/>
      </c>
      <c r="O404" s="28" t="str">
        <f>IF('12 - Device_Configuration'!K405="","",'12 - Device_Configuration'!K405)</f>
        <v/>
      </c>
      <c r="P404" s="28" t="str">
        <f>IF('12 - Device_Configuration'!L405="","",'12 - Device_Configuration'!L405)</f>
        <v/>
      </c>
      <c r="Q404" s="29"/>
      <c r="R404" s="28" t="str">
        <f>IF('12 - Device_Configuration'!AY405="","",'12 - Device_Configuration'!AY405)</f>
        <v/>
      </c>
      <c r="S404" s="28" t="str">
        <f>IF('12 - Device_Configuration'!AX405="","",'12 - Device_Configuration'!AX405)</f>
        <v/>
      </c>
      <c r="T404" s="28" t="str">
        <f>IF('12 - Device_Configuration'!AV405="","",'12 - Device_Configuration'!AV405)</f>
        <v/>
      </c>
      <c r="U404" s="28" t="str">
        <f>IF('12 - Device_Configuration'!AW405="","",'12 - Device_Configuration'!AW405)</f>
        <v/>
      </c>
      <c r="V404" s="28" t="str">
        <f>IF('12 - Device_Configuration'!BA405="","",'12 - Device_Configuration'!BA405)</f>
        <v/>
      </c>
      <c r="W404" s="28" t="str">
        <f>IF('12 - Device_Configuration'!BC405="","",'12 - Device_Configuration'!BC405)</f>
        <v/>
      </c>
      <c r="X404" s="28" t="str">
        <f>IF('12 - Device_Configuration'!BK405="","",'12 - Device_Configuration'!BK405)</f>
        <v/>
      </c>
      <c r="Y404" s="28" t="str">
        <f>IF('12 - Device_Configuration'!BB405="","",'12 - Device_Configuration'!BB405)</f>
        <v/>
      </c>
      <c r="Z404" s="28" t="str">
        <f>IF('12 - Device_Configuration'!P405="","",'12 - Device_Configuration'!P405)</f>
        <v/>
      </c>
      <c r="AA404" s="28" t="str">
        <f>IF('12 - Device_Configuration'!Q405="","",'12 - Device_Configuration'!Q405)</f>
        <v/>
      </c>
    </row>
    <row r="405" spans="1:27">
      <c r="A405" s="29"/>
      <c r="B405" s="29"/>
      <c r="C405" s="28" t="str">
        <f>IF('12 - Device_Configuration'!H406="","",'12 - Device_Configuration'!H406)</f>
        <v/>
      </c>
      <c r="D405" s="28" t="str">
        <f>IF('12 - Device_Configuration'!AE406="","",'12 - Device_Configuration'!AE406)</f>
        <v/>
      </c>
      <c r="E405" s="28" t="str">
        <f>IF('12 - Device_Configuration'!AF406="","",'12 - Device_Configuration'!AF406)</f>
        <v/>
      </c>
      <c r="F405" s="28" t="str">
        <f>IF('12 - Device_Configuration'!AG406="","",'12 - Device_Configuration'!AG406)</f>
        <v/>
      </c>
      <c r="G405" s="28" t="str">
        <f>IF('12 - Device_Configuration'!AH406="","",'12 - Device_Configuration'!AH406)</f>
        <v/>
      </c>
      <c r="H405" s="28" t="str">
        <f>IF('12 - Device_Configuration'!A406="","",'12 - Device_Configuration'!A406)</f>
        <v/>
      </c>
      <c r="I405" s="28" t="str">
        <f>IF('12 - Device_Configuration'!AI406="","",'12 - Device_Configuration'!AI406)</f>
        <v/>
      </c>
      <c r="J405" s="28" t="str">
        <f>IF('12 - Device_Configuration'!AJ406="","",'12 - Device_Configuration'!AJ406)</f>
        <v/>
      </c>
      <c r="K405" s="28" t="str">
        <f>IF('12 - Device_Configuration'!AA406="","",'12 - Device_Configuration'!AA406)</f>
        <v/>
      </c>
      <c r="L405" s="28" t="str">
        <f>IF('12 - Device_Configuration'!I406="","",'12 - Device_Configuration'!I406)</f>
        <v/>
      </c>
      <c r="M405" s="29"/>
      <c r="N405" s="28" t="str">
        <f>IF('12 - Device_Configuration'!J406="","",'12 - Device_Configuration'!J406)</f>
        <v/>
      </c>
      <c r="O405" s="28" t="str">
        <f>IF('12 - Device_Configuration'!K406="","",'12 - Device_Configuration'!K406)</f>
        <v/>
      </c>
      <c r="P405" s="28" t="str">
        <f>IF('12 - Device_Configuration'!L406="","",'12 - Device_Configuration'!L406)</f>
        <v/>
      </c>
      <c r="Q405" s="29"/>
      <c r="R405" s="28" t="str">
        <f>IF('12 - Device_Configuration'!AY406="","",'12 - Device_Configuration'!AY406)</f>
        <v/>
      </c>
      <c r="S405" s="28" t="str">
        <f>IF('12 - Device_Configuration'!AX406="","",'12 - Device_Configuration'!AX406)</f>
        <v/>
      </c>
      <c r="T405" s="28" t="str">
        <f>IF('12 - Device_Configuration'!AV406="","",'12 - Device_Configuration'!AV406)</f>
        <v/>
      </c>
      <c r="U405" s="28" t="str">
        <f>IF('12 - Device_Configuration'!AW406="","",'12 - Device_Configuration'!AW406)</f>
        <v/>
      </c>
      <c r="V405" s="28" t="str">
        <f>IF('12 - Device_Configuration'!BA406="","",'12 - Device_Configuration'!BA406)</f>
        <v/>
      </c>
      <c r="W405" s="28" t="str">
        <f>IF('12 - Device_Configuration'!BC406="","",'12 - Device_Configuration'!BC406)</f>
        <v/>
      </c>
      <c r="X405" s="28" t="str">
        <f>IF('12 - Device_Configuration'!BK406="","",'12 - Device_Configuration'!BK406)</f>
        <v/>
      </c>
      <c r="Y405" s="28" t="str">
        <f>IF('12 - Device_Configuration'!BB406="","",'12 - Device_Configuration'!BB406)</f>
        <v/>
      </c>
      <c r="Z405" s="28" t="str">
        <f>IF('12 - Device_Configuration'!P406="","",'12 - Device_Configuration'!P406)</f>
        <v/>
      </c>
      <c r="AA405" s="28" t="str">
        <f>IF('12 - Device_Configuration'!Q406="","",'12 - Device_Configuration'!Q406)</f>
        <v/>
      </c>
    </row>
    <row r="406" spans="1:27">
      <c r="A406" s="29"/>
      <c r="B406" s="29"/>
      <c r="C406" s="28" t="str">
        <f>IF('12 - Device_Configuration'!H407="","",'12 - Device_Configuration'!H407)</f>
        <v/>
      </c>
      <c r="D406" s="28" t="str">
        <f>IF('12 - Device_Configuration'!AE407="","",'12 - Device_Configuration'!AE407)</f>
        <v/>
      </c>
      <c r="E406" s="28" t="str">
        <f>IF('12 - Device_Configuration'!AF407="","",'12 - Device_Configuration'!AF407)</f>
        <v/>
      </c>
      <c r="F406" s="28" t="str">
        <f>IF('12 - Device_Configuration'!AG407="","",'12 - Device_Configuration'!AG407)</f>
        <v/>
      </c>
      <c r="G406" s="28" t="str">
        <f>IF('12 - Device_Configuration'!AH407="","",'12 - Device_Configuration'!AH407)</f>
        <v/>
      </c>
      <c r="H406" s="28" t="str">
        <f>IF('12 - Device_Configuration'!A407="","",'12 - Device_Configuration'!A407)</f>
        <v/>
      </c>
      <c r="I406" s="28" t="str">
        <f>IF('12 - Device_Configuration'!AI407="","",'12 - Device_Configuration'!AI407)</f>
        <v/>
      </c>
      <c r="J406" s="28" t="str">
        <f>IF('12 - Device_Configuration'!AJ407="","",'12 - Device_Configuration'!AJ407)</f>
        <v/>
      </c>
      <c r="K406" s="28" t="str">
        <f>IF('12 - Device_Configuration'!AA407="","",'12 - Device_Configuration'!AA407)</f>
        <v/>
      </c>
      <c r="L406" s="28" t="str">
        <f>IF('12 - Device_Configuration'!I407="","",'12 - Device_Configuration'!I407)</f>
        <v/>
      </c>
      <c r="M406" s="29"/>
      <c r="N406" s="28" t="str">
        <f>IF('12 - Device_Configuration'!J407="","",'12 - Device_Configuration'!J407)</f>
        <v/>
      </c>
      <c r="O406" s="28" t="str">
        <f>IF('12 - Device_Configuration'!K407="","",'12 - Device_Configuration'!K407)</f>
        <v/>
      </c>
      <c r="P406" s="28" t="str">
        <f>IF('12 - Device_Configuration'!L407="","",'12 - Device_Configuration'!L407)</f>
        <v/>
      </c>
      <c r="Q406" s="29"/>
      <c r="R406" s="28" t="str">
        <f>IF('12 - Device_Configuration'!AY407="","",'12 - Device_Configuration'!AY407)</f>
        <v/>
      </c>
      <c r="S406" s="28" t="str">
        <f>IF('12 - Device_Configuration'!AX407="","",'12 - Device_Configuration'!AX407)</f>
        <v/>
      </c>
      <c r="T406" s="28" t="str">
        <f>IF('12 - Device_Configuration'!AV407="","",'12 - Device_Configuration'!AV407)</f>
        <v/>
      </c>
      <c r="U406" s="28" t="str">
        <f>IF('12 - Device_Configuration'!AW407="","",'12 - Device_Configuration'!AW407)</f>
        <v/>
      </c>
      <c r="V406" s="28" t="str">
        <f>IF('12 - Device_Configuration'!BA407="","",'12 - Device_Configuration'!BA407)</f>
        <v/>
      </c>
      <c r="W406" s="28" t="str">
        <f>IF('12 - Device_Configuration'!BC407="","",'12 - Device_Configuration'!BC407)</f>
        <v/>
      </c>
      <c r="X406" s="28" t="str">
        <f>IF('12 - Device_Configuration'!BK407="","",'12 - Device_Configuration'!BK407)</f>
        <v/>
      </c>
      <c r="Y406" s="28" t="str">
        <f>IF('12 - Device_Configuration'!BB407="","",'12 - Device_Configuration'!BB407)</f>
        <v/>
      </c>
      <c r="Z406" s="28" t="str">
        <f>IF('12 - Device_Configuration'!P407="","",'12 - Device_Configuration'!P407)</f>
        <v/>
      </c>
      <c r="AA406" s="28" t="str">
        <f>IF('12 - Device_Configuration'!Q407="","",'12 - Device_Configuration'!Q407)</f>
        <v/>
      </c>
    </row>
    <row r="407" spans="1:27">
      <c r="A407" s="29"/>
      <c r="B407" s="29"/>
      <c r="C407" s="28" t="str">
        <f>IF('12 - Device_Configuration'!H408="","",'12 - Device_Configuration'!H408)</f>
        <v/>
      </c>
      <c r="D407" s="28" t="str">
        <f>IF('12 - Device_Configuration'!AE408="","",'12 - Device_Configuration'!AE408)</f>
        <v/>
      </c>
      <c r="E407" s="28" t="str">
        <f>IF('12 - Device_Configuration'!AF408="","",'12 - Device_Configuration'!AF408)</f>
        <v/>
      </c>
      <c r="F407" s="28" t="str">
        <f>IF('12 - Device_Configuration'!AG408="","",'12 - Device_Configuration'!AG408)</f>
        <v/>
      </c>
      <c r="G407" s="28" t="str">
        <f>IF('12 - Device_Configuration'!AH408="","",'12 - Device_Configuration'!AH408)</f>
        <v/>
      </c>
      <c r="H407" s="28" t="str">
        <f>IF('12 - Device_Configuration'!A408="","",'12 - Device_Configuration'!A408)</f>
        <v/>
      </c>
      <c r="I407" s="28" t="str">
        <f>IF('12 - Device_Configuration'!AI408="","",'12 - Device_Configuration'!AI408)</f>
        <v/>
      </c>
      <c r="J407" s="28" t="str">
        <f>IF('12 - Device_Configuration'!AJ408="","",'12 - Device_Configuration'!AJ408)</f>
        <v/>
      </c>
      <c r="K407" s="28" t="str">
        <f>IF('12 - Device_Configuration'!AA408="","",'12 - Device_Configuration'!AA408)</f>
        <v/>
      </c>
      <c r="L407" s="28" t="str">
        <f>IF('12 - Device_Configuration'!I408="","",'12 - Device_Configuration'!I408)</f>
        <v/>
      </c>
      <c r="M407" s="29"/>
      <c r="N407" s="28" t="str">
        <f>IF('12 - Device_Configuration'!J408="","",'12 - Device_Configuration'!J408)</f>
        <v/>
      </c>
      <c r="O407" s="28" t="str">
        <f>IF('12 - Device_Configuration'!K408="","",'12 - Device_Configuration'!K408)</f>
        <v/>
      </c>
      <c r="P407" s="28" t="str">
        <f>IF('12 - Device_Configuration'!L408="","",'12 - Device_Configuration'!L408)</f>
        <v/>
      </c>
      <c r="Q407" s="29"/>
      <c r="R407" s="28" t="str">
        <f>IF('12 - Device_Configuration'!AY408="","",'12 - Device_Configuration'!AY408)</f>
        <v/>
      </c>
      <c r="S407" s="28" t="str">
        <f>IF('12 - Device_Configuration'!AX408="","",'12 - Device_Configuration'!AX408)</f>
        <v/>
      </c>
      <c r="T407" s="28" t="str">
        <f>IF('12 - Device_Configuration'!AV408="","",'12 - Device_Configuration'!AV408)</f>
        <v/>
      </c>
      <c r="U407" s="28" t="str">
        <f>IF('12 - Device_Configuration'!AW408="","",'12 - Device_Configuration'!AW408)</f>
        <v/>
      </c>
      <c r="V407" s="28" t="str">
        <f>IF('12 - Device_Configuration'!BA408="","",'12 - Device_Configuration'!BA408)</f>
        <v/>
      </c>
      <c r="W407" s="28" t="str">
        <f>IF('12 - Device_Configuration'!BC408="","",'12 - Device_Configuration'!BC408)</f>
        <v/>
      </c>
      <c r="X407" s="28" t="str">
        <f>IF('12 - Device_Configuration'!BK408="","",'12 - Device_Configuration'!BK408)</f>
        <v/>
      </c>
      <c r="Y407" s="28" t="str">
        <f>IF('12 - Device_Configuration'!BB408="","",'12 - Device_Configuration'!BB408)</f>
        <v/>
      </c>
      <c r="Z407" s="28" t="str">
        <f>IF('12 - Device_Configuration'!P408="","",'12 - Device_Configuration'!P408)</f>
        <v/>
      </c>
      <c r="AA407" s="28" t="str">
        <f>IF('12 - Device_Configuration'!Q408="","",'12 - Device_Configuration'!Q408)</f>
        <v/>
      </c>
    </row>
    <row r="408" spans="1:27">
      <c r="A408" s="29"/>
      <c r="B408" s="29"/>
      <c r="C408" s="28" t="str">
        <f>IF('12 - Device_Configuration'!H409="","",'12 - Device_Configuration'!H409)</f>
        <v/>
      </c>
      <c r="D408" s="28" t="str">
        <f>IF('12 - Device_Configuration'!AE409="","",'12 - Device_Configuration'!AE409)</f>
        <v/>
      </c>
      <c r="E408" s="28" t="str">
        <f>IF('12 - Device_Configuration'!AF409="","",'12 - Device_Configuration'!AF409)</f>
        <v/>
      </c>
      <c r="F408" s="28" t="str">
        <f>IF('12 - Device_Configuration'!AG409="","",'12 - Device_Configuration'!AG409)</f>
        <v/>
      </c>
      <c r="G408" s="28" t="str">
        <f>IF('12 - Device_Configuration'!AH409="","",'12 - Device_Configuration'!AH409)</f>
        <v/>
      </c>
      <c r="H408" s="28" t="str">
        <f>IF('12 - Device_Configuration'!A409="","",'12 - Device_Configuration'!A409)</f>
        <v/>
      </c>
      <c r="I408" s="28" t="str">
        <f>IF('12 - Device_Configuration'!AI409="","",'12 - Device_Configuration'!AI409)</f>
        <v/>
      </c>
      <c r="J408" s="28" t="str">
        <f>IF('12 - Device_Configuration'!AJ409="","",'12 - Device_Configuration'!AJ409)</f>
        <v/>
      </c>
      <c r="K408" s="28" t="str">
        <f>IF('12 - Device_Configuration'!AA409="","",'12 - Device_Configuration'!AA409)</f>
        <v/>
      </c>
      <c r="L408" s="28" t="str">
        <f>IF('12 - Device_Configuration'!I409="","",'12 - Device_Configuration'!I409)</f>
        <v/>
      </c>
      <c r="M408" s="29"/>
      <c r="N408" s="28" t="str">
        <f>IF('12 - Device_Configuration'!J409="","",'12 - Device_Configuration'!J409)</f>
        <v/>
      </c>
      <c r="O408" s="28" t="str">
        <f>IF('12 - Device_Configuration'!K409="","",'12 - Device_Configuration'!K409)</f>
        <v/>
      </c>
      <c r="P408" s="28" t="str">
        <f>IF('12 - Device_Configuration'!L409="","",'12 - Device_Configuration'!L409)</f>
        <v/>
      </c>
      <c r="Q408" s="29"/>
      <c r="R408" s="28" t="str">
        <f>IF('12 - Device_Configuration'!AY409="","",'12 - Device_Configuration'!AY409)</f>
        <v/>
      </c>
      <c r="S408" s="28" t="str">
        <f>IF('12 - Device_Configuration'!AX409="","",'12 - Device_Configuration'!AX409)</f>
        <v/>
      </c>
      <c r="T408" s="28" t="str">
        <f>IF('12 - Device_Configuration'!AV409="","",'12 - Device_Configuration'!AV409)</f>
        <v/>
      </c>
      <c r="U408" s="28" t="str">
        <f>IF('12 - Device_Configuration'!AW409="","",'12 - Device_Configuration'!AW409)</f>
        <v/>
      </c>
      <c r="V408" s="28" t="str">
        <f>IF('12 - Device_Configuration'!BA409="","",'12 - Device_Configuration'!BA409)</f>
        <v/>
      </c>
      <c r="W408" s="28" t="str">
        <f>IF('12 - Device_Configuration'!BC409="","",'12 - Device_Configuration'!BC409)</f>
        <v/>
      </c>
      <c r="X408" s="28" t="str">
        <f>IF('12 - Device_Configuration'!BK409="","",'12 - Device_Configuration'!BK409)</f>
        <v/>
      </c>
      <c r="Y408" s="28" t="str">
        <f>IF('12 - Device_Configuration'!BB409="","",'12 - Device_Configuration'!BB409)</f>
        <v/>
      </c>
      <c r="Z408" s="28" t="str">
        <f>IF('12 - Device_Configuration'!P409="","",'12 - Device_Configuration'!P409)</f>
        <v/>
      </c>
      <c r="AA408" s="28" t="str">
        <f>IF('12 - Device_Configuration'!Q409="","",'12 - Device_Configuration'!Q409)</f>
        <v/>
      </c>
    </row>
    <row r="409" spans="1:27">
      <c r="A409" s="29"/>
      <c r="B409" s="29"/>
      <c r="C409" s="28" t="str">
        <f>IF('12 - Device_Configuration'!H410="","",'12 - Device_Configuration'!H410)</f>
        <v/>
      </c>
      <c r="D409" s="28" t="str">
        <f>IF('12 - Device_Configuration'!AE410="","",'12 - Device_Configuration'!AE410)</f>
        <v/>
      </c>
      <c r="E409" s="28" t="str">
        <f>IF('12 - Device_Configuration'!AF410="","",'12 - Device_Configuration'!AF410)</f>
        <v/>
      </c>
      <c r="F409" s="28" t="str">
        <f>IF('12 - Device_Configuration'!AG410="","",'12 - Device_Configuration'!AG410)</f>
        <v/>
      </c>
      <c r="G409" s="28" t="str">
        <f>IF('12 - Device_Configuration'!AH410="","",'12 - Device_Configuration'!AH410)</f>
        <v/>
      </c>
      <c r="H409" s="28" t="str">
        <f>IF('12 - Device_Configuration'!A410="","",'12 - Device_Configuration'!A410)</f>
        <v/>
      </c>
      <c r="I409" s="28" t="str">
        <f>IF('12 - Device_Configuration'!AI410="","",'12 - Device_Configuration'!AI410)</f>
        <v/>
      </c>
      <c r="J409" s="28" t="str">
        <f>IF('12 - Device_Configuration'!AJ410="","",'12 - Device_Configuration'!AJ410)</f>
        <v/>
      </c>
      <c r="K409" s="28" t="str">
        <f>IF('12 - Device_Configuration'!AA410="","",'12 - Device_Configuration'!AA410)</f>
        <v/>
      </c>
      <c r="L409" s="28" t="str">
        <f>IF('12 - Device_Configuration'!I410="","",'12 - Device_Configuration'!I410)</f>
        <v/>
      </c>
      <c r="M409" s="29"/>
      <c r="N409" s="28" t="str">
        <f>IF('12 - Device_Configuration'!J410="","",'12 - Device_Configuration'!J410)</f>
        <v/>
      </c>
      <c r="O409" s="28" t="str">
        <f>IF('12 - Device_Configuration'!K410="","",'12 - Device_Configuration'!K410)</f>
        <v/>
      </c>
      <c r="P409" s="28" t="str">
        <f>IF('12 - Device_Configuration'!L410="","",'12 - Device_Configuration'!L410)</f>
        <v/>
      </c>
      <c r="Q409" s="29"/>
      <c r="R409" s="28" t="str">
        <f>IF('12 - Device_Configuration'!AY410="","",'12 - Device_Configuration'!AY410)</f>
        <v/>
      </c>
      <c r="S409" s="28" t="str">
        <f>IF('12 - Device_Configuration'!AX410="","",'12 - Device_Configuration'!AX410)</f>
        <v/>
      </c>
      <c r="T409" s="28" t="str">
        <f>IF('12 - Device_Configuration'!AV410="","",'12 - Device_Configuration'!AV410)</f>
        <v/>
      </c>
      <c r="U409" s="28" t="str">
        <f>IF('12 - Device_Configuration'!AW410="","",'12 - Device_Configuration'!AW410)</f>
        <v/>
      </c>
      <c r="V409" s="28" t="str">
        <f>IF('12 - Device_Configuration'!BA410="","",'12 - Device_Configuration'!BA410)</f>
        <v/>
      </c>
      <c r="W409" s="28" t="str">
        <f>IF('12 - Device_Configuration'!BC410="","",'12 - Device_Configuration'!BC410)</f>
        <v/>
      </c>
      <c r="X409" s="28" t="str">
        <f>IF('12 - Device_Configuration'!BK410="","",'12 - Device_Configuration'!BK410)</f>
        <v/>
      </c>
      <c r="Y409" s="28" t="str">
        <f>IF('12 - Device_Configuration'!BB410="","",'12 - Device_Configuration'!BB410)</f>
        <v/>
      </c>
      <c r="Z409" s="28" t="str">
        <f>IF('12 - Device_Configuration'!P410="","",'12 - Device_Configuration'!P410)</f>
        <v/>
      </c>
      <c r="AA409" s="28" t="str">
        <f>IF('12 - Device_Configuration'!Q410="","",'12 - Device_Configuration'!Q410)</f>
        <v/>
      </c>
    </row>
    <row r="410" spans="1:27">
      <c r="A410" s="29"/>
      <c r="B410" s="29"/>
      <c r="C410" s="28" t="str">
        <f>IF('12 - Device_Configuration'!H411="","",'12 - Device_Configuration'!H411)</f>
        <v/>
      </c>
      <c r="D410" s="28" t="str">
        <f>IF('12 - Device_Configuration'!AE411="","",'12 - Device_Configuration'!AE411)</f>
        <v/>
      </c>
      <c r="E410" s="28" t="str">
        <f>IF('12 - Device_Configuration'!AF411="","",'12 - Device_Configuration'!AF411)</f>
        <v/>
      </c>
      <c r="F410" s="28" t="str">
        <f>IF('12 - Device_Configuration'!AG411="","",'12 - Device_Configuration'!AG411)</f>
        <v/>
      </c>
      <c r="G410" s="28" t="str">
        <f>IF('12 - Device_Configuration'!AH411="","",'12 - Device_Configuration'!AH411)</f>
        <v/>
      </c>
      <c r="H410" s="28" t="str">
        <f>IF('12 - Device_Configuration'!A411="","",'12 - Device_Configuration'!A411)</f>
        <v/>
      </c>
      <c r="I410" s="28" t="str">
        <f>IF('12 - Device_Configuration'!AI411="","",'12 - Device_Configuration'!AI411)</f>
        <v/>
      </c>
      <c r="J410" s="28" t="str">
        <f>IF('12 - Device_Configuration'!AJ411="","",'12 - Device_Configuration'!AJ411)</f>
        <v/>
      </c>
      <c r="K410" s="28" t="str">
        <f>IF('12 - Device_Configuration'!AA411="","",'12 - Device_Configuration'!AA411)</f>
        <v/>
      </c>
      <c r="L410" s="28" t="str">
        <f>IF('12 - Device_Configuration'!I411="","",'12 - Device_Configuration'!I411)</f>
        <v/>
      </c>
      <c r="M410" s="29"/>
      <c r="N410" s="28" t="str">
        <f>IF('12 - Device_Configuration'!J411="","",'12 - Device_Configuration'!J411)</f>
        <v/>
      </c>
      <c r="O410" s="28" t="str">
        <f>IF('12 - Device_Configuration'!K411="","",'12 - Device_Configuration'!K411)</f>
        <v/>
      </c>
      <c r="P410" s="28" t="str">
        <f>IF('12 - Device_Configuration'!L411="","",'12 - Device_Configuration'!L411)</f>
        <v/>
      </c>
      <c r="Q410" s="29"/>
      <c r="R410" s="28" t="str">
        <f>IF('12 - Device_Configuration'!AY411="","",'12 - Device_Configuration'!AY411)</f>
        <v/>
      </c>
      <c r="S410" s="28" t="str">
        <f>IF('12 - Device_Configuration'!AX411="","",'12 - Device_Configuration'!AX411)</f>
        <v/>
      </c>
      <c r="T410" s="28" t="str">
        <f>IF('12 - Device_Configuration'!AV411="","",'12 - Device_Configuration'!AV411)</f>
        <v/>
      </c>
      <c r="U410" s="28" t="str">
        <f>IF('12 - Device_Configuration'!AW411="","",'12 - Device_Configuration'!AW411)</f>
        <v/>
      </c>
      <c r="V410" s="28" t="str">
        <f>IF('12 - Device_Configuration'!BA411="","",'12 - Device_Configuration'!BA411)</f>
        <v/>
      </c>
      <c r="W410" s="28" t="str">
        <f>IF('12 - Device_Configuration'!BC411="","",'12 - Device_Configuration'!BC411)</f>
        <v/>
      </c>
      <c r="X410" s="28" t="str">
        <f>IF('12 - Device_Configuration'!BK411="","",'12 - Device_Configuration'!BK411)</f>
        <v/>
      </c>
      <c r="Y410" s="28" t="str">
        <f>IF('12 - Device_Configuration'!BB411="","",'12 - Device_Configuration'!BB411)</f>
        <v/>
      </c>
      <c r="Z410" s="28" t="str">
        <f>IF('12 - Device_Configuration'!P411="","",'12 - Device_Configuration'!P411)</f>
        <v/>
      </c>
      <c r="AA410" s="28" t="str">
        <f>IF('12 - Device_Configuration'!Q411="","",'12 - Device_Configuration'!Q411)</f>
        <v/>
      </c>
    </row>
    <row r="411" spans="1:27">
      <c r="A411" s="29"/>
      <c r="B411" s="29"/>
      <c r="C411" s="28" t="str">
        <f>IF('12 - Device_Configuration'!H412="","",'12 - Device_Configuration'!H412)</f>
        <v/>
      </c>
      <c r="D411" s="28" t="str">
        <f>IF('12 - Device_Configuration'!AE412="","",'12 - Device_Configuration'!AE412)</f>
        <v/>
      </c>
      <c r="E411" s="28" t="str">
        <f>IF('12 - Device_Configuration'!AF412="","",'12 - Device_Configuration'!AF412)</f>
        <v/>
      </c>
      <c r="F411" s="28" t="str">
        <f>IF('12 - Device_Configuration'!AG412="","",'12 - Device_Configuration'!AG412)</f>
        <v/>
      </c>
      <c r="G411" s="28" t="str">
        <f>IF('12 - Device_Configuration'!AH412="","",'12 - Device_Configuration'!AH412)</f>
        <v/>
      </c>
      <c r="H411" s="28" t="str">
        <f>IF('12 - Device_Configuration'!A412="","",'12 - Device_Configuration'!A412)</f>
        <v/>
      </c>
      <c r="I411" s="28" t="str">
        <f>IF('12 - Device_Configuration'!AI412="","",'12 - Device_Configuration'!AI412)</f>
        <v/>
      </c>
      <c r="J411" s="28" t="str">
        <f>IF('12 - Device_Configuration'!AJ412="","",'12 - Device_Configuration'!AJ412)</f>
        <v/>
      </c>
      <c r="K411" s="28" t="str">
        <f>IF('12 - Device_Configuration'!AA412="","",'12 - Device_Configuration'!AA412)</f>
        <v/>
      </c>
      <c r="L411" s="28" t="str">
        <f>IF('12 - Device_Configuration'!I412="","",'12 - Device_Configuration'!I412)</f>
        <v/>
      </c>
      <c r="M411" s="29"/>
      <c r="N411" s="28" t="str">
        <f>IF('12 - Device_Configuration'!J412="","",'12 - Device_Configuration'!J412)</f>
        <v/>
      </c>
      <c r="O411" s="28" t="str">
        <f>IF('12 - Device_Configuration'!K412="","",'12 - Device_Configuration'!K412)</f>
        <v/>
      </c>
      <c r="P411" s="28" t="str">
        <f>IF('12 - Device_Configuration'!L412="","",'12 - Device_Configuration'!L412)</f>
        <v/>
      </c>
      <c r="Q411" s="29"/>
      <c r="R411" s="28" t="str">
        <f>IF('12 - Device_Configuration'!AY412="","",'12 - Device_Configuration'!AY412)</f>
        <v/>
      </c>
      <c r="S411" s="28" t="str">
        <f>IF('12 - Device_Configuration'!AX412="","",'12 - Device_Configuration'!AX412)</f>
        <v/>
      </c>
      <c r="T411" s="28" t="str">
        <f>IF('12 - Device_Configuration'!AV412="","",'12 - Device_Configuration'!AV412)</f>
        <v/>
      </c>
      <c r="U411" s="28" t="str">
        <f>IF('12 - Device_Configuration'!AW412="","",'12 - Device_Configuration'!AW412)</f>
        <v/>
      </c>
      <c r="V411" s="28" t="str">
        <f>IF('12 - Device_Configuration'!BA412="","",'12 - Device_Configuration'!BA412)</f>
        <v/>
      </c>
      <c r="W411" s="28" t="str">
        <f>IF('12 - Device_Configuration'!BC412="","",'12 - Device_Configuration'!BC412)</f>
        <v/>
      </c>
      <c r="X411" s="28" t="str">
        <f>IF('12 - Device_Configuration'!BK412="","",'12 - Device_Configuration'!BK412)</f>
        <v/>
      </c>
      <c r="Y411" s="28" t="str">
        <f>IF('12 - Device_Configuration'!BB412="","",'12 - Device_Configuration'!BB412)</f>
        <v/>
      </c>
      <c r="Z411" s="28" t="str">
        <f>IF('12 - Device_Configuration'!P412="","",'12 - Device_Configuration'!P412)</f>
        <v/>
      </c>
      <c r="AA411" s="28" t="str">
        <f>IF('12 - Device_Configuration'!Q412="","",'12 - Device_Configuration'!Q412)</f>
        <v/>
      </c>
    </row>
    <row r="412" spans="1:27">
      <c r="A412" s="29"/>
      <c r="B412" s="29"/>
      <c r="C412" s="28" t="str">
        <f>IF('12 - Device_Configuration'!H413="","",'12 - Device_Configuration'!H413)</f>
        <v/>
      </c>
      <c r="D412" s="28" t="str">
        <f>IF('12 - Device_Configuration'!AE413="","",'12 - Device_Configuration'!AE413)</f>
        <v/>
      </c>
      <c r="E412" s="28" t="str">
        <f>IF('12 - Device_Configuration'!AF413="","",'12 - Device_Configuration'!AF413)</f>
        <v/>
      </c>
      <c r="F412" s="28" t="str">
        <f>IF('12 - Device_Configuration'!AG413="","",'12 - Device_Configuration'!AG413)</f>
        <v/>
      </c>
      <c r="G412" s="28" t="str">
        <f>IF('12 - Device_Configuration'!AH413="","",'12 - Device_Configuration'!AH413)</f>
        <v/>
      </c>
      <c r="H412" s="28" t="str">
        <f>IF('12 - Device_Configuration'!A413="","",'12 - Device_Configuration'!A413)</f>
        <v/>
      </c>
      <c r="I412" s="28" t="str">
        <f>IF('12 - Device_Configuration'!AI413="","",'12 - Device_Configuration'!AI413)</f>
        <v/>
      </c>
      <c r="J412" s="28" t="str">
        <f>IF('12 - Device_Configuration'!AJ413="","",'12 - Device_Configuration'!AJ413)</f>
        <v/>
      </c>
      <c r="K412" s="28" t="str">
        <f>IF('12 - Device_Configuration'!AA413="","",'12 - Device_Configuration'!AA413)</f>
        <v/>
      </c>
      <c r="L412" s="28" t="str">
        <f>IF('12 - Device_Configuration'!I413="","",'12 - Device_Configuration'!I413)</f>
        <v/>
      </c>
      <c r="M412" s="29"/>
      <c r="N412" s="28" t="str">
        <f>IF('12 - Device_Configuration'!J413="","",'12 - Device_Configuration'!J413)</f>
        <v/>
      </c>
      <c r="O412" s="28" t="str">
        <f>IF('12 - Device_Configuration'!K413="","",'12 - Device_Configuration'!K413)</f>
        <v/>
      </c>
      <c r="P412" s="28" t="str">
        <f>IF('12 - Device_Configuration'!L413="","",'12 - Device_Configuration'!L413)</f>
        <v/>
      </c>
      <c r="Q412" s="29"/>
      <c r="R412" s="28" t="str">
        <f>IF('12 - Device_Configuration'!AY413="","",'12 - Device_Configuration'!AY413)</f>
        <v/>
      </c>
      <c r="S412" s="28" t="str">
        <f>IF('12 - Device_Configuration'!AX413="","",'12 - Device_Configuration'!AX413)</f>
        <v/>
      </c>
      <c r="T412" s="28" t="str">
        <f>IF('12 - Device_Configuration'!AV413="","",'12 - Device_Configuration'!AV413)</f>
        <v/>
      </c>
      <c r="U412" s="28" t="str">
        <f>IF('12 - Device_Configuration'!AW413="","",'12 - Device_Configuration'!AW413)</f>
        <v/>
      </c>
      <c r="V412" s="28" t="str">
        <f>IF('12 - Device_Configuration'!BA413="","",'12 - Device_Configuration'!BA413)</f>
        <v/>
      </c>
      <c r="W412" s="28" t="str">
        <f>IF('12 - Device_Configuration'!BC413="","",'12 - Device_Configuration'!BC413)</f>
        <v/>
      </c>
      <c r="X412" s="28" t="str">
        <f>IF('12 - Device_Configuration'!BK413="","",'12 - Device_Configuration'!BK413)</f>
        <v/>
      </c>
      <c r="Y412" s="28" t="str">
        <f>IF('12 - Device_Configuration'!BB413="","",'12 - Device_Configuration'!BB413)</f>
        <v/>
      </c>
      <c r="Z412" s="28" t="str">
        <f>IF('12 - Device_Configuration'!P413="","",'12 - Device_Configuration'!P413)</f>
        <v/>
      </c>
      <c r="AA412" s="28" t="str">
        <f>IF('12 - Device_Configuration'!Q413="","",'12 - Device_Configuration'!Q413)</f>
        <v/>
      </c>
    </row>
    <row r="413" spans="1:27">
      <c r="A413" s="29"/>
      <c r="B413" s="29"/>
      <c r="C413" s="28" t="str">
        <f>IF('12 - Device_Configuration'!H414="","",'12 - Device_Configuration'!H414)</f>
        <v/>
      </c>
      <c r="D413" s="28" t="str">
        <f>IF('12 - Device_Configuration'!AE414="","",'12 - Device_Configuration'!AE414)</f>
        <v/>
      </c>
      <c r="E413" s="28" t="str">
        <f>IF('12 - Device_Configuration'!AF414="","",'12 - Device_Configuration'!AF414)</f>
        <v/>
      </c>
      <c r="F413" s="28" t="str">
        <f>IF('12 - Device_Configuration'!AG414="","",'12 - Device_Configuration'!AG414)</f>
        <v/>
      </c>
      <c r="G413" s="28" t="str">
        <f>IF('12 - Device_Configuration'!AH414="","",'12 - Device_Configuration'!AH414)</f>
        <v/>
      </c>
      <c r="H413" s="28" t="str">
        <f>IF('12 - Device_Configuration'!A414="","",'12 - Device_Configuration'!A414)</f>
        <v/>
      </c>
      <c r="I413" s="28" t="str">
        <f>IF('12 - Device_Configuration'!AI414="","",'12 - Device_Configuration'!AI414)</f>
        <v/>
      </c>
      <c r="J413" s="28" t="str">
        <f>IF('12 - Device_Configuration'!AJ414="","",'12 - Device_Configuration'!AJ414)</f>
        <v/>
      </c>
      <c r="K413" s="28" t="str">
        <f>IF('12 - Device_Configuration'!AA414="","",'12 - Device_Configuration'!AA414)</f>
        <v/>
      </c>
      <c r="L413" s="28" t="str">
        <f>IF('12 - Device_Configuration'!I414="","",'12 - Device_Configuration'!I414)</f>
        <v/>
      </c>
      <c r="M413" s="29"/>
      <c r="N413" s="28" t="str">
        <f>IF('12 - Device_Configuration'!J414="","",'12 - Device_Configuration'!J414)</f>
        <v/>
      </c>
      <c r="O413" s="28" t="str">
        <f>IF('12 - Device_Configuration'!K414="","",'12 - Device_Configuration'!K414)</f>
        <v/>
      </c>
      <c r="P413" s="28" t="str">
        <f>IF('12 - Device_Configuration'!L414="","",'12 - Device_Configuration'!L414)</f>
        <v/>
      </c>
      <c r="Q413" s="29"/>
      <c r="R413" s="28" t="str">
        <f>IF('12 - Device_Configuration'!AY414="","",'12 - Device_Configuration'!AY414)</f>
        <v/>
      </c>
      <c r="S413" s="28" t="str">
        <f>IF('12 - Device_Configuration'!AX414="","",'12 - Device_Configuration'!AX414)</f>
        <v/>
      </c>
      <c r="T413" s="28" t="str">
        <f>IF('12 - Device_Configuration'!AV414="","",'12 - Device_Configuration'!AV414)</f>
        <v/>
      </c>
      <c r="U413" s="28" t="str">
        <f>IF('12 - Device_Configuration'!AW414="","",'12 - Device_Configuration'!AW414)</f>
        <v/>
      </c>
      <c r="V413" s="28" t="str">
        <f>IF('12 - Device_Configuration'!BA414="","",'12 - Device_Configuration'!BA414)</f>
        <v/>
      </c>
      <c r="W413" s="28" t="str">
        <f>IF('12 - Device_Configuration'!BC414="","",'12 - Device_Configuration'!BC414)</f>
        <v/>
      </c>
      <c r="X413" s="28" t="str">
        <f>IF('12 - Device_Configuration'!BK414="","",'12 - Device_Configuration'!BK414)</f>
        <v/>
      </c>
      <c r="Y413" s="28" t="str">
        <f>IF('12 - Device_Configuration'!BB414="","",'12 - Device_Configuration'!BB414)</f>
        <v/>
      </c>
      <c r="Z413" s="28" t="str">
        <f>IF('12 - Device_Configuration'!P414="","",'12 - Device_Configuration'!P414)</f>
        <v/>
      </c>
      <c r="AA413" s="28" t="str">
        <f>IF('12 - Device_Configuration'!Q414="","",'12 - Device_Configuration'!Q414)</f>
        <v/>
      </c>
    </row>
    <row r="414" spans="1:27">
      <c r="A414" s="29"/>
      <c r="B414" s="29"/>
      <c r="C414" s="28" t="str">
        <f>IF('12 - Device_Configuration'!H415="","",'12 - Device_Configuration'!H415)</f>
        <v/>
      </c>
      <c r="D414" s="28" t="str">
        <f>IF('12 - Device_Configuration'!AE415="","",'12 - Device_Configuration'!AE415)</f>
        <v/>
      </c>
      <c r="E414" s="28" t="str">
        <f>IF('12 - Device_Configuration'!AF415="","",'12 - Device_Configuration'!AF415)</f>
        <v/>
      </c>
      <c r="F414" s="28" t="str">
        <f>IF('12 - Device_Configuration'!AG415="","",'12 - Device_Configuration'!AG415)</f>
        <v/>
      </c>
      <c r="G414" s="28" t="str">
        <f>IF('12 - Device_Configuration'!AH415="","",'12 - Device_Configuration'!AH415)</f>
        <v/>
      </c>
      <c r="H414" s="28" t="str">
        <f>IF('12 - Device_Configuration'!A415="","",'12 - Device_Configuration'!A415)</f>
        <v/>
      </c>
      <c r="I414" s="28" t="str">
        <f>IF('12 - Device_Configuration'!AI415="","",'12 - Device_Configuration'!AI415)</f>
        <v/>
      </c>
      <c r="J414" s="28" t="str">
        <f>IF('12 - Device_Configuration'!AJ415="","",'12 - Device_Configuration'!AJ415)</f>
        <v/>
      </c>
      <c r="K414" s="28" t="str">
        <f>IF('12 - Device_Configuration'!AA415="","",'12 - Device_Configuration'!AA415)</f>
        <v/>
      </c>
      <c r="L414" s="28" t="str">
        <f>IF('12 - Device_Configuration'!I415="","",'12 - Device_Configuration'!I415)</f>
        <v/>
      </c>
      <c r="M414" s="29"/>
      <c r="N414" s="28" t="str">
        <f>IF('12 - Device_Configuration'!J415="","",'12 - Device_Configuration'!J415)</f>
        <v/>
      </c>
      <c r="O414" s="28" t="str">
        <f>IF('12 - Device_Configuration'!K415="","",'12 - Device_Configuration'!K415)</f>
        <v/>
      </c>
      <c r="P414" s="28" t="str">
        <f>IF('12 - Device_Configuration'!L415="","",'12 - Device_Configuration'!L415)</f>
        <v/>
      </c>
      <c r="Q414" s="29"/>
      <c r="R414" s="28" t="str">
        <f>IF('12 - Device_Configuration'!AY415="","",'12 - Device_Configuration'!AY415)</f>
        <v/>
      </c>
      <c r="S414" s="28" t="str">
        <f>IF('12 - Device_Configuration'!AX415="","",'12 - Device_Configuration'!AX415)</f>
        <v/>
      </c>
      <c r="T414" s="28" t="str">
        <f>IF('12 - Device_Configuration'!AV415="","",'12 - Device_Configuration'!AV415)</f>
        <v/>
      </c>
      <c r="U414" s="28" t="str">
        <f>IF('12 - Device_Configuration'!AW415="","",'12 - Device_Configuration'!AW415)</f>
        <v/>
      </c>
      <c r="V414" s="28" t="str">
        <f>IF('12 - Device_Configuration'!BA415="","",'12 - Device_Configuration'!BA415)</f>
        <v/>
      </c>
      <c r="W414" s="28" t="str">
        <f>IF('12 - Device_Configuration'!BC415="","",'12 - Device_Configuration'!BC415)</f>
        <v/>
      </c>
      <c r="X414" s="28" t="str">
        <f>IF('12 - Device_Configuration'!BK415="","",'12 - Device_Configuration'!BK415)</f>
        <v/>
      </c>
      <c r="Y414" s="28" t="str">
        <f>IF('12 - Device_Configuration'!BB415="","",'12 - Device_Configuration'!BB415)</f>
        <v/>
      </c>
      <c r="Z414" s="28" t="str">
        <f>IF('12 - Device_Configuration'!P415="","",'12 - Device_Configuration'!P415)</f>
        <v/>
      </c>
      <c r="AA414" s="28" t="str">
        <f>IF('12 - Device_Configuration'!Q415="","",'12 - Device_Configuration'!Q415)</f>
        <v/>
      </c>
    </row>
    <row r="415" spans="1:27">
      <c r="A415" s="29"/>
      <c r="B415" s="29"/>
      <c r="C415" s="28" t="str">
        <f>IF('12 - Device_Configuration'!H416="","",'12 - Device_Configuration'!H416)</f>
        <v/>
      </c>
      <c r="D415" s="28" t="str">
        <f>IF('12 - Device_Configuration'!AE416="","",'12 - Device_Configuration'!AE416)</f>
        <v/>
      </c>
      <c r="E415" s="28" t="str">
        <f>IF('12 - Device_Configuration'!AF416="","",'12 - Device_Configuration'!AF416)</f>
        <v/>
      </c>
      <c r="F415" s="28" t="str">
        <f>IF('12 - Device_Configuration'!AG416="","",'12 - Device_Configuration'!AG416)</f>
        <v/>
      </c>
      <c r="G415" s="28" t="str">
        <f>IF('12 - Device_Configuration'!AH416="","",'12 - Device_Configuration'!AH416)</f>
        <v/>
      </c>
      <c r="H415" s="28" t="str">
        <f>IF('12 - Device_Configuration'!A416="","",'12 - Device_Configuration'!A416)</f>
        <v/>
      </c>
      <c r="I415" s="28" t="str">
        <f>IF('12 - Device_Configuration'!AI416="","",'12 - Device_Configuration'!AI416)</f>
        <v/>
      </c>
      <c r="J415" s="28" t="str">
        <f>IF('12 - Device_Configuration'!AJ416="","",'12 - Device_Configuration'!AJ416)</f>
        <v/>
      </c>
      <c r="K415" s="28" t="str">
        <f>IF('12 - Device_Configuration'!AA416="","",'12 - Device_Configuration'!AA416)</f>
        <v/>
      </c>
      <c r="L415" s="28" t="str">
        <f>IF('12 - Device_Configuration'!I416="","",'12 - Device_Configuration'!I416)</f>
        <v/>
      </c>
      <c r="M415" s="29"/>
      <c r="N415" s="28" t="str">
        <f>IF('12 - Device_Configuration'!J416="","",'12 - Device_Configuration'!J416)</f>
        <v/>
      </c>
      <c r="O415" s="28" t="str">
        <f>IF('12 - Device_Configuration'!K416="","",'12 - Device_Configuration'!K416)</f>
        <v/>
      </c>
      <c r="P415" s="28" t="str">
        <f>IF('12 - Device_Configuration'!L416="","",'12 - Device_Configuration'!L416)</f>
        <v/>
      </c>
      <c r="Q415" s="29"/>
      <c r="R415" s="28" t="str">
        <f>IF('12 - Device_Configuration'!AY416="","",'12 - Device_Configuration'!AY416)</f>
        <v/>
      </c>
      <c r="S415" s="28" t="str">
        <f>IF('12 - Device_Configuration'!AX416="","",'12 - Device_Configuration'!AX416)</f>
        <v/>
      </c>
      <c r="T415" s="28" t="str">
        <f>IF('12 - Device_Configuration'!AV416="","",'12 - Device_Configuration'!AV416)</f>
        <v/>
      </c>
      <c r="U415" s="28" t="str">
        <f>IF('12 - Device_Configuration'!AW416="","",'12 - Device_Configuration'!AW416)</f>
        <v/>
      </c>
      <c r="V415" s="28" t="str">
        <f>IF('12 - Device_Configuration'!BA416="","",'12 - Device_Configuration'!BA416)</f>
        <v/>
      </c>
      <c r="W415" s="28" t="str">
        <f>IF('12 - Device_Configuration'!BC416="","",'12 - Device_Configuration'!BC416)</f>
        <v/>
      </c>
      <c r="X415" s="28" t="str">
        <f>IF('12 - Device_Configuration'!BK416="","",'12 - Device_Configuration'!BK416)</f>
        <v/>
      </c>
      <c r="Y415" s="28" t="str">
        <f>IF('12 - Device_Configuration'!BB416="","",'12 - Device_Configuration'!BB416)</f>
        <v/>
      </c>
      <c r="Z415" s="28" t="str">
        <f>IF('12 - Device_Configuration'!P416="","",'12 - Device_Configuration'!P416)</f>
        <v/>
      </c>
      <c r="AA415" s="28" t="str">
        <f>IF('12 - Device_Configuration'!Q416="","",'12 - Device_Configuration'!Q416)</f>
        <v/>
      </c>
    </row>
    <row r="416" spans="1:27">
      <c r="A416" s="29"/>
      <c r="B416" s="29"/>
      <c r="C416" s="28" t="str">
        <f>IF('12 - Device_Configuration'!H417="","",'12 - Device_Configuration'!H417)</f>
        <v/>
      </c>
      <c r="D416" s="28" t="str">
        <f>IF('12 - Device_Configuration'!AE417="","",'12 - Device_Configuration'!AE417)</f>
        <v/>
      </c>
      <c r="E416" s="28" t="str">
        <f>IF('12 - Device_Configuration'!AF417="","",'12 - Device_Configuration'!AF417)</f>
        <v/>
      </c>
      <c r="F416" s="28" t="str">
        <f>IF('12 - Device_Configuration'!AG417="","",'12 - Device_Configuration'!AG417)</f>
        <v/>
      </c>
      <c r="G416" s="28" t="str">
        <f>IF('12 - Device_Configuration'!AH417="","",'12 - Device_Configuration'!AH417)</f>
        <v/>
      </c>
      <c r="H416" s="28" t="str">
        <f>IF('12 - Device_Configuration'!A417="","",'12 - Device_Configuration'!A417)</f>
        <v/>
      </c>
      <c r="I416" s="28" t="str">
        <f>IF('12 - Device_Configuration'!AI417="","",'12 - Device_Configuration'!AI417)</f>
        <v/>
      </c>
      <c r="J416" s="28" t="str">
        <f>IF('12 - Device_Configuration'!AJ417="","",'12 - Device_Configuration'!AJ417)</f>
        <v/>
      </c>
      <c r="K416" s="28" t="str">
        <f>IF('12 - Device_Configuration'!AA417="","",'12 - Device_Configuration'!AA417)</f>
        <v/>
      </c>
      <c r="L416" s="28" t="str">
        <f>IF('12 - Device_Configuration'!I417="","",'12 - Device_Configuration'!I417)</f>
        <v/>
      </c>
      <c r="M416" s="29"/>
      <c r="N416" s="28" t="str">
        <f>IF('12 - Device_Configuration'!J417="","",'12 - Device_Configuration'!J417)</f>
        <v/>
      </c>
      <c r="O416" s="28" t="str">
        <f>IF('12 - Device_Configuration'!K417="","",'12 - Device_Configuration'!K417)</f>
        <v/>
      </c>
      <c r="P416" s="28" t="str">
        <f>IF('12 - Device_Configuration'!L417="","",'12 - Device_Configuration'!L417)</f>
        <v/>
      </c>
      <c r="Q416" s="29"/>
      <c r="R416" s="28" t="str">
        <f>IF('12 - Device_Configuration'!AY417="","",'12 - Device_Configuration'!AY417)</f>
        <v/>
      </c>
      <c r="S416" s="28" t="str">
        <f>IF('12 - Device_Configuration'!AX417="","",'12 - Device_Configuration'!AX417)</f>
        <v/>
      </c>
      <c r="T416" s="28" t="str">
        <f>IF('12 - Device_Configuration'!AV417="","",'12 - Device_Configuration'!AV417)</f>
        <v/>
      </c>
      <c r="U416" s="28" t="str">
        <f>IF('12 - Device_Configuration'!AW417="","",'12 - Device_Configuration'!AW417)</f>
        <v/>
      </c>
      <c r="V416" s="28" t="str">
        <f>IF('12 - Device_Configuration'!BA417="","",'12 - Device_Configuration'!BA417)</f>
        <v/>
      </c>
      <c r="W416" s="28" t="str">
        <f>IF('12 - Device_Configuration'!BC417="","",'12 - Device_Configuration'!BC417)</f>
        <v/>
      </c>
      <c r="X416" s="28" t="str">
        <f>IF('12 - Device_Configuration'!BK417="","",'12 - Device_Configuration'!BK417)</f>
        <v/>
      </c>
      <c r="Y416" s="28" t="str">
        <f>IF('12 - Device_Configuration'!BB417="","",'12 - Device_Configuration'!BB417)</f>
        <v/>
      </c>
      <c r="Z416" s="28" t="str">
        <f>IF('12 - Device_Configuration'!P417="","",'12 - Device_Configuration'!P417)</f>
        <v/>
      </c>
      <c r="AA416" s="28" t="str">
        <f>IF('12 - Device_Configuration'!Q417="","",'12 - Device_Configuration'!Q417)</f>
        <v/>
      </c>
    </row>
    <row r="417" spans="1:27">
      <c r="A417" s="29"/>
      <c r="B417" s="29"/>
      <c r="C417" s="28" t="str">
        <f>IF('12 - Device_Configuration'!H418="","",'12 - Device_Configuration'!H418)</f>
        <v/>
      </c>
      <c r="D417" s="28" t="str">
        <f>IF('12 - Device_Configuration'!AE418="","",'12 - Device_Configuration'!AE418)</f>
        <v/>
      </c>
      <c r="E417" s="28" t="str">
        <f>IF('12 - Device_Configuration'!AF418="","",'12 - Device_Configuration'!AF418)</f>
        <v/>
      </c>
      <c r="F417" s="28" t="str">
        <f>IF('12 - Device_Configuration'!AG418="","",'12 - Device_Configuration'!AG418)</f>
        <v/>
      </c>
      <c r="G417" s="28" t="str">
        <f>IF('12 - Device_Configuration'!AH418="","",'12 - Device_Configuration'!AH418)</f>
        <v/>
      </c>
      <c r="H417" s="28" t="str">
        <f>IF('12 - Device_Configuration'!A418="","",'12 - Device_Configuration'!A418)</f>
        <v/>
      </c>
      <c r="I417" s="28" t="str">
        <f>IF('12 - Device_Configuration'!AI418="","",'12 - Device_Configuration'!AI418)</f>
        <v/>
      </c>
      <c r="J417" s="28" t="str">
        <f>IF('12 - Device_Configuration'!AJ418="","",'12 - Device_Configuration'!AJ418)</f>
        <v/>
      </c>
      <c r="K417" s="28" t="str">
        <f>IF('12 - Device_Configuration'!AA418="","",'12 - Device_Configuration'!AA418)</f>
        <v/>
      </c>
      <c r="L417" s="28" t="str">
        <f>IF('12 - Device_Configuration'!I418="","",'12 - Device_Configuration'!I418)</f>
        <v/>
      </c>
      <c r="M417" s="29"/>
      <c r="N417" s="28" t="str">
        <f>IF('12 - Device_Configuration'!J418="","",'12 - Device_Configuration'!J418)</f>
        <v/>
      </c>
      <c r="O417" s="28" t="str">
        <f>IF('12 - Device_Configuration'!K418="","",'12 - Device_Configuration'!K418)</f>
        <v/>
      </c>
      <c r="P417" s="28" t="str">
        <f>IF('12 - Device_Configuration'!L418="","",'12 - Device_Configuration'!L418)</f>
        <v/>
      </c>
      <c r="Q417" s="29"/>
      <c r="R417" s="28" t="str">
        <f>IF('12 - Device_Configuration'!AY418="","",'12 - Device_Configuration'!AY418)</f>
        <v/>
      </c>
      <c r="S417" s="28" t="str">
        <f>IF('12 - Device_Configuration'!AX418="","",'12 - Device_Configuration'!AX418)</f>
        <v/>
      </c>
      <c r="T417" s="28" t="str">
        <f>IF('12 - Device_Configuration'!AV418="","",'12 - Device_Configuration'!AV418)</f>
        <v/>
      </c>
      <c r="U417" s="28" t="str">
        <f>IF('12 - Device_Configuration'!AW418="","",'12 - Device_Configuration'!AW418)</f>
        <v/>
      </c>
      <c r="V417" s="28" t="str">
        <f>IF('12 - Device_Configuration'!BA418="","",'12 - Device_Configuration'!BA418)</f>
        <v/>
      </c>
      <c r="W417" s="28" t="str">
        <f>IF('12 - Device_Configuration'!BC418="","",'12 - Device_Configuration'!BC418)</f>
        <v/>
      </c>
      <c r="X417" s="28" t="str">
        <f>IF('12 - Device_Configuration'!BK418="","",'12 - Device_Configuration'!BK418)</f>
        <v/>
      </c>
      <c r="Y417" s="28" t="str">
        <f>IF('12 - Device_Configuration'!BB418="","",'12 - Device_Configuration'!BB418)</f>
        <v/>
      </c>
      <c r="Z417" s="28" t="str">
        <f>IF('12 - Device_Configuration'!P418="","",'12 - Device_Configuration'!P418)</f>
        <v/>
      </c>
      <c r="AA417" s="28" t="str">
        <f>IF('12 - Device_Configuration'!Q418="","",'12 - Device_Configuration'!Q418)</f>
        <v/>
      </c>
    </row>
    <row r="418" spans="1:27">
      <c r="A418" s="29"/>
      <c r="B418" s="29"/>
      <c r="C418" s="28" t="str">
        <f>IF('12 - Device_Configuration'!H419="","",'12 - Device_Configuration'!H419)</f>
        <v/>
      </c>
      <c r="D418" s="28" t="str">
        <f>IF('12 - Device_Configuration'!AE419="","",'12 - Device_Configuration'!AE419)</f>
        <v/>
      </c>
      <c r="E418" s="28" t="str">
        <f>IF('12 - Device_Configuration'!AF419="","",'12 - Device_Configuration'!AF419)</f>
        <v/>
      </c>
      <c r="F418" s="28" t="str">
        <f>IF('12 - Device_Configuration'!AG419="","",'12 - Device_Configuration'!AG419)</f>
        <v/>
      </c>
      <c r="G418" s="28" t="str">
        <f>IF('12 - Device_Configuration'!AH419="","",'12 - Device_Configuration'!AH419)</f>
        <v/>
      </c>
      <c r="H418" s="28" t="str">
        <f>IF('12 - Device_Configuration'!A419="","",'12 - Device_Configuration'!A419)</f>
        <v/>
      </c>
      <c r="I418" s="28" t="str">
        <f>IF('12 - Device_Configuration'!AI419="","",'12 - Device_Configuration'!AI419)</f>
        <v/>
      </c>
      <c r="J418" s="28" t="str">
        <f>IF('12 - Device_Configuration'!AJ419="","",'12 - Device_Configuration'!AJ419)</f>
        <v/>
      </c>
      <c r="K418" s="28" t="str">
        <f>IF('12 - Device_Configuration'!AA419="","",'12 - Device_Configuration'!AA419)</f>
        <v/>
      </c>
      <c r="L418" s="28" t="str">
        <f>IF('12 - Device_Configuration'!I419="","",'12 - Device_Configuration'!I419)</f>
        <v/>
      </c>
      <c r="M418" s="29"/>
      <c r="N418" s="28" t="str">
        <f>IF('12 - Device_Configuration'!J419="","",'12 - Device_Configuration'!J419)</f>
        <v/>
      </c>
      <c r="O418" s="28" t="str">
        <f>IF('12 - Device_Configuration'!K419="","",'12 - Device_Configuration'!K419)</f>
        <v/>
      </c>
      <c r="P418" s="28" t="str">
        <f>IF('12 - Device_Configuration'!L419="","",'12 - Device_Configuration'!L419)</f>
        <v/>
      </c>
      <c r="Q418" s="29"/>
      <c r="R418" s="28" t="str">
        <f>IF('12 - Device_Configuration'!AY419="","",'12 - Device_Configuration'!AY419)</f>
        <v/>
      </c>
      <c r="S418" s="28" t="str">
        <f>IF('12 - Device_Configuration'!AX419="","",'12 - Device_Configuration'!AX419)</f>
        <v/>
      </c>
      <c r="T418" s="28" t="str">
        <f>IF('12 - Device_Configuration'!AV419="","",'12 - Device_Configuration'!AV419)</f>
        <v/>
      </c>
      <c r="U418" s="28" t="str">
        <f>IF('12 - Device_Configuration'!AW419="","",'12 - Device_Configuration'!AW419)</f>
        <v/>
      </c>
      <c r="V418" s="28" t="str">
        <f>IF('12 - Device_Configuration'!BA419="","",'12 - Device_Configuration'!BA419)</f>
        <v/>
      </c>
      <c r="W418" s="28" t="str">
        <f>IF('12 - Device_Configuration'!BC419="","",'12 - Device_Configuration'!BC419)</f>
        <v/>
      </c>
      <c r="X418" s="28" t="str">
        <f>IF('12 - Device_Configuration'!BK419="","",'12 - Device_Configuration'!BK419)</f>
        <v/>
      </c>
      <c r="Y418" s="28" t="str">
        <f>IF('12 - Device_Configuration'!BB419="","",'12 - Device_Configuration'!BB419)</f>
        <v/>
      </c>
      <c r="Z418" s="28" t="str">
        <f>IF('12 - Device_Configuration'!P419="","",'12 - Device_Configuration'!P419)</f>
        <v/>
      </c>
      <c r="AA418" s="28" t="str">
        <f>IF('12 - Device_Configuration'!Q419="","",'12 - Device_Configuration'!Q419)</f>
        <v/>
      </c>
    </row>
    <row r="419" spans="1:27">
      <c r="A419" s="29"/>
      <c r="B419" s="29"/>
      <c r="C419" s="28" t="str">
        <f>IF('12 - Device_Configuration'!H420="","",'12 - Device_Configuration'!H420)</f>
        <v/>
      </c>
      <c r="D419" s="28" t="str">
        <f>IF('12 - Device_Configuration'!AE420="","",'12 - Device_Configuration'!AE420)</f>
        <v/>
      </c>
      <c r="E419" s="28" t="str">
        <f>IF('12 - Device_Configuration'!AF420="","",'12 - Device_Configuration'!AF420)</f>
        <v/>
      </c>
      <c r="F419" s="28" t="str">
        <f>IF('12 - Device_Configuration'!AG420="","",'12 - Device_Configuration'!AG420)</f>
        <v/>
      </c>
      <c r="G419" s="28" t="str">
        <f>IF('12 - Device_Configuration'!AH420="","",'12 - Device_Configuration'!AH420)</f>
        <v/>
      </c>
      <c r="H419" s="28" t="str">
        <f>IF('12 - Device_Configuration'!A420="","",'12 - Device_Configuration'!A420)</f>
        <v/>
      </c>
      <c r="I419" s="28" t="str">
        <f>IF('12 - Device_Configuration'!AI420="","",'12 - Device_Configuration'!AI420)</f>
        <v/>
      </c>
      <c r="J419" s="28" t="str">
        <f>IF('12 - Device_Configuration'!AJ420="","",'12 - Device_Configuration'!AJ420)</f>
        <v/>
      </c>
      <c r="K419" s="28" t="str">
        <f>IF('12 - Device_Configuration'!AA420="","",'12 - Device_Configuration'!AA420)</f>
        <v/>
      </c>
      <c r="L419" s="28" t="str">
        <f>IF('12 - Device_Configuration'!I420="","",'12 - Device_Configuration'!I420)</f>
        <v/>
      </c>
      <c r="M419" s="29"/>
      <c r="N419" s="28" t="str">
        <f>IF('12 - Device_Configuration'!J420="","",'12 - Device_Configuration'!J420)</f>
        <v/>
      </c>
      <c r="O419" s="28" t="str">
        <f>IF('12 - Device_Configuration'!K420="","",'12 - Device_Configuration'!K420)</f>
        <v/>
      </c>
      <c r="P419" s="28" t="str">
        <f>IF('12 - Device_Configuration'!L420="","",'12 - Device_Configuration'!L420)</f>
        <v/>
      </c>
      <c r="Q419" s="29"/>
      <c r="R419" s="28" t="str">
        <f>IF('12 - Device_Configuration'!AY420="","",'12 - Device_Configuration'!AY420)</f>
        <v/>
      </c>
      <c r="S419" s="28" t="str">
        <f>IF('12 - Device_Configuration'!AX420="","",'12 - Device_Configuration'!AX420)</f>
        <v/>
      </c>
      <c r="T419" s="28" t="str">
        <f>IF('12 - Device_Configuration'!AV420="","",'12 - Device_Configuration'!AV420)</f>
        <v/>
      </c>
      <c r="U419" s="28" t="str">
        <f>IF('12 - Device_Configuration'!AW420="","",'12 - Device_Configuration'!AW420)</f>
        <v/>
      </c>
      <c r="V419" s="28" t="str">
        <f>IF('12 - Device_Configuration'!BA420="","",'12 - Device_Configuration'!BA420)</f>
        <v/>
      </c>
      <c r="W419" s="28" t="str">
        <f>IF('12 - Device_Configuration'!BC420="","",'12 - Device_Configuration'!BC420)</f>
        <v/>
      </c>
      <c r="X419" s="28" t="str">
        <f>IF('12 - Device_Configuration'!BK420="","",'12 - Device_Configuration'!BK420)</f>
        <v/>
      </c>
      <c r="Y419" s="28" t="str">
        <f>IF('12 - Device_Configuration'!BB420="","",'12 - Device_Configuration'!BB420)</f>
        <v/>
      </c>
      <c r="Z419" s="28" t="str">
        <f>IF('12 - Device_Configuration'!P420="","",'12 - Device_Configuration'!P420)</f>
        <v/>
      </c>
      <c r="AA419" s="28" t="str">
        <f>IF('12 - Device_Configuration'!Q420="","",'12 - Device_Configuration'!Q420)</f>
        <v/>
      </c>
    </row>
    <row r="420" spans="1:27">
      <c r="A420" s="29"/>
      <c r="B420" s="29"/>
      <c r="C420" s="28" t="str">
        <f>IF('12 - Device_Configuration'!H421="","",'12 - Device_Configuration'!H421)</f>
        <v/>
      </c>
      <c r="D420" s="28" t="str">
        <f>IF('12 - Device_Configuration'!AE421="","",'12 - Device_Configuration'!AE421)</f>
        <v/>
      </c>
      <c r="E420" s="28" t="str">
        <f>IF('12 - Device_Configuration'!AF421="","",'12 - Device_Configuration'!AF421)</f>
        <v/>
      </c>
      <c r="F420" s="28" t="str">
        <f>IF('12 - Device_Configuration'!AG421="","",'12 - Device_Configuration'!AG421)</f>
        <v/>
      </c>
      <c r="G420" s="28" t="str">
        <f>IF('12 - Device_Configuration'!AH421="","",'12 - Device_Configuration'!AH421)</f>
        <v/>
      </c>
      <c r="H420" s="28" t="str">
        <f>IF('12 - Device_Configuration'!A421="","",'12 - Device_Configuration'!A421)</f>
        <v/>
      </c>
      <c r="I420" s="28" t="str">
        <f>IF('12 - Device_Configuration'!AI421="","",'12 - Device_Configuration'!AI421)</f>
        <v/>
      </c>
      <c r="J420" s="28" t="str">
        <f>IF('12 - Device_Configuration'!AJ421="","",'12 - Device_Configuration'!AJ421)</f>
        <v/>
      </c>
      <c r="K420" s="28" t="str">
        <f>IF('12 - Device_Configuration'!AA421="","",'12 - Device_Configuration'!AA421)</f>
        <v/>
      </c>
      <c r="L420" s="28" t="str">
        <f>IF('12 - Device_Configuration'!I421="","",'12 - Device_Configuration'!I421)</f>
        <v/>
      </c>
      <c r="M420" s="29"/>
      <c r="N420" s="28" t="str">
        <f>IF('12 - Device_Configuration'!J421="","",'12 - Device_Configuration'!J421)</f>
        <v/>
      </c>
      <c r="O420" s="28" t="str">
        <f>IF('12 - Device_Configuration'!K421="","",'12 - Device_Configuration'!K421)</f>
        <v/>
      </c>
      <c r="P420" s="28" t="str">
        <f>IF('12 - Device_Configuration'!L421="","",'12 - Device_Configuration'!L421)</f>
        <v/>
      </c>
      <c r="Q420" s="29"/>
      <c r="R420" s="28" t="str">
        <f>IF('12 - Device_Configuration'!AY421="","",'12 - Device_Configuration'!AY421)</f>
        <v/>
      </c>
      <c r="S420" s="28" t="str">
        <f>IF('12 - Device_Configuration'!AX421="","",'12 - Device_Configuration'!AX421)</f>
        <v/>
      </c>
      <c r="T420" s="28" t="str">
        <f>IF('12 - Device_Configuration'!AV421="","",'12 - Device_Configuration'!AV421)</f>
        <v/>
      </c>
      <c r="U420" s="28" t="str">
        <f>IF('12 - Device_Configuration'!AW421="","",'12 - Device_Configuration'!AW421)</f>
        <v/>
      </c>
      <c r="V420" s="28" t="str">
        <f>IF('12 - Device_Configuration'!BA421="","",'12 - Device_Configuration'!BA421)</f>
        <v/>
      </c>
      <c r="W420" s="28" t="str">
        <f>IF('12 - Device_Configuration'!BC421="","",'12 - Device_Configuration'!BC421)</f>
        <v/>
      </c>
      <c r="X420" s="28" t="str">
        <f>IF('12 - Device_Configuration'!BK421="","",'12 - Device_Configuration'!BK421)</f>
        <v/>
      </c>
      <c r="Y420" s="28" t="str">
        <f>IF('12 - Device_Configuration'!BB421="","",'12 - Device_Configuration'!BB421)</f>
        <v/>
      </c>
      <c r="Z420" s="28" t="str">
        <f>IF('12 - Device_Configuration'!P421="","",'12 - Device_Configuration'!P421)</f>
        <v/>
      </c>
      <c r="AA420" s="28" t="str">
        <f>IF('12 - Device_Configuration'!Q421="","",'12 - Device_Configuration'!Q421)</f>
        <v/>
      </c>
    </row>
    <row r="421" spans="1:27">
      <c r="A421" s="29"/>
      <c r="B421" s="29"/>
      <c r="C421" s="28" t="str">
        <f>IF('12 - Device_Configuration'!H422="","",'12 - Device_Configuration'!H422)</f>
        <v/>
      </c>
      <c r="D421" s="28" t="str">
        <f>IF('12 - Device_Configuration'!AE422="","",'12 - Device_Configuration'!AE422)</f>
        <v/>
      </c>
      <c r="E421" s="28" t="str">
        <f>IF('12 - Device_Configuration'!AF422="","",'12 - Device_Configuration'!AF422)</f>
        <v/>
      </c>
      <c r="F421" s="28" t="str">
        <f>IF('12 - Device_Configuration'!AG422="","",'12 - Device_Configuration'!AG422)</f>
        <v/>
      </c>
      <c r="G421" s="28" t="str">
        <f>IF('12 - Device_Configuration'!AH422="","",'12 - Device_Configuration'!AH422)</f>
        <v/>
      </c>
      <c r="H421" s="28" t="str">
        <f>IF('12 - Device_Configuration'!A422="","",'12 - Device_Configuration'!A422)</f>
        <v/>
      </c>
      <c r="I421" s="28" t="str">
        <f>IF('12 - Device_Configuration'!AI422="","",'12 - Device_Configuration'!AI422)</f>
        <v/>
      </c>
      <c r="J421" s="28" t="str">
        <f>IF('12 - Device_Configuration'!AJ422="","",'12 - Device_Configuration'!AJ422)</f>
        <v/>
      </c>
      <c r="K421" s="28" t="str">
        <f>IF('12 - Device_Configuration'!AA422="","",'12 - Device_Configuration'!AA422)</f>
        <v/>
      </c>
      <c r="L421" s="28" t="str">
        <f>IF('12 - Device_Configuration'!I422="","",'12 - Device_Configuration'!I422)</f>
        <v/>
      </c>
      <c r="M421" s="29"/>
      <c r="N421" s="28" t="str">
        <f>IF('12 - Device_Configuration'!J422="","",'12 - Device_Configuration'!J422)</f>
        <v/>
      </c>
      <c r="O421" s="28" t="str">
        <f>IF('12 - Device_Configuration'!K422="","",'12 - Device_Configuration'!K422)</f>
        <v/>
      </c>
      <c r="P421" s="28" t="str">
        <f>IF('12 - Device_Configuration'!L422="","",'12 - Device_Configuration'!L422)</f>
        <v/>
      </c>
      <c r="Q421" s="29"/>
      <c r="R421" s="28" t="str">
        <f>IF('12 - Device_Configuration'!AY422="","",'12 - Device_Configuration'!AY422)</f>
        <v/>
      </c>
      <c r="S421" s="28" t="str">
        <f>IF('12 - Device_Configuration'!AX422="","",'12 - Device_Configuration'!AX422)</f>
        <v/>
      </c>
      <c r="T421" s="28" t="str">
        <f>IF('12 - Device_Configuration'!AV422="","",'12 - Device_Configuration'!AV422)</f>
        <v/>
      </c>
      <c r="U421" s="28" t="str">
        <f>IF('12 - Device_Configuration'!AW422="","",'12 - Device_Configuration'!AW422)</f>
        <v/>
      </c>
      <c r="V421" s="28" t="str">
        <f>IF('12 - Device_Configuration'!BA422="","",'12 - Device_Configuration'!BA422)</f>
        <v/>
      </c>
      <c r="W421" s="28" t="str">
        <f>IF('12 - Device_Configuration'!BC422="","",'12 - Device_Configuration'!BC422)</f>
        <v/>
      </c>
      <c r="X421" s="28" t="str">
        <f>IF('12 - Device_Configuration'!BK422="","",'12 - Device_Configuration'!BK422)</f>
        <v/>
      </c>
      <c r="Y421" s="28" t="str">
        <f>IF('12 - Device_Configuration'!BB422="","",'12 - Device_Configuration'!BB422)</f>
        <v/>
      </c>
      <c r="Z421" s="28" t="str">
        <f>IF('12 - Device_Configuration'!P422="","",'12 - Device_Configuration'!P422)</f>
        <v/>
      </c>
      <c r="AA421" s="28" t="str">
        <f>IF('12 - Device_Configuration'!Q422="","",'12 - Device_Configuration'!Q422)</f>
        <v/>
      </c>
    </row>
    <row r="422" spans="1:27">
      <c r="A422" s="29"/>
      <c r="B422" s="29"/>
      <c r="C422" s="28" t="str">
        <f>IF('12 - Device_Configuration'!H423="","",'12 - Device_Configuration'!H423)</f>
        <v/>
      </c>
      <c r="D422" s="28" t="str">
        <f>IF('12 - Device_Configuration'!AE423="","",'12 - Device_Configuration'!AE423)</f>
        <v/>
      </c>
      <c r="E422" s="28" t="str">
        <f>IF('12 - Device_Configuration'!AF423="","",'12 - Device_Configuration'!AF423)</f>
        <v/>
      </c>
      <c r="F422" s="28" t="str">
        <f>IF('12 - Device_Configuration'!AG423="","",'12 - Device_Configuration'!AG423)</f>
        <v/>
      </c>
      <c r="G422" s="28" t="str">
        <f>IF('12 - Device_Configuration'!AH423="","",'12 - Device_Configuration'!AH423)</f>
        <v/>
      </c>
      <c r="H422" s="28" t="str">
        <f>IF('12 - Device_Configuration'!A423="","",'12 - Device_Configuration'!A423)</f>
        <v/>
      </c>
      <c r="I422" s="28" t="str">
        <f>IF('12 - Device_Configuration'!AI423="","",'12 - Device_Configuration'!AI423)</f>
        <v/>
      </c>
      <c r="J422" s="28" t="str">
        <f>IF('12 - Device_Configuration'!AJ423="","",'12 - Device_Configuration'!AJ423)</f>
        <v/>
      </c>
      <c r="K422" s="28" t="str">
        <f>IF('12 - Device_Configuration'!AA423="","",'12 - Device_Configuration'!AA423)</f>
        <v/>
      </c>
      <c r="L422" s="28" t="str">
        <f>IF('12 - Device_Configuration'!I423="","",'12 - Device_Configuration'!I423)</f>
        <v/>
      </c>
      <c r="M422" s="29"/>
      <c r="N422" s="28" t="str">
        <f>IF('12 - Device_Configuration'!J423="","",'12 - Device_Configuration'!J423)</f>
        <v/>
      </c>
      <c r="O422" s="28" t="str">
        <f>IF('12 - Device_Configuration'!K423="","",'12 - Device_Configuration'!K423)</f>
        <v/>
      </c>
      <c r="P422" s="28" t="str">
        <f>IF('12 - Device_Configuration'!L423="","",'12 - Device_Configuration'!L423)</f>
        <v/>
      </c>
      <c r="Q422" s="29"/>
      <c r="R422" s="28" t="str">
        <f>IF('12 - Device_Configuration'!AY423="","",'12 - Device_Configuration'!AY423)</f>
        <v/>
      </c>
      <c r="S422" s="28" t="str">
        <f>IF('12 - Device_Configuration'!AX423="","",'12 - Device_Configuration'!AX423)</f>
        <v/>
      </c>
      <c r="T422" s="28" t="str">
        <f>IF('12 - Device_Configuration'!AV423="","",'12 - Device_Configuration'!AV423)</f>
        <v/>
      </c>
      <c r="U422" s="28" t="str">
        <f>IF('12 - Device_Configuration'!AW423="","",'12 - Device_Configuration'!AW423)</f>
        <v/>
      </c>
      <c r="V422" s="28" t="str">
        <f>IF('12 - Device_Configuration'!BA423="","",'12 - Device_Configuration'!BA423)</f>
        <v/>
      </c>
      <c r="W422" s="28" t="str">
        <f>IF('12 - Device_Configuration'!BC423="","",'12 - Device_Configuration'!BC423)</f>
        <v/>
      </c>
      <c r="X422" s="28" t="str">
        <f>IF('12 - Device_Configuration'!BK423="","",'12 - Device_Configuration'!BK423)</f>
        <v/>
      </c>
      <c r="Y422" s="28" t="str">
        <f>IF('12 - Device_Configuration'!BB423="","",'12 - Device_Configuration'!BB423)</f>
        <v/>
      </c>
      <c r="Z422" s="28" t="str">
        <f>IF('12 - Device_Configuration'!P423="","",'12 - Device_Configuration'!P423)</f>
        <v/>
      </c>
      <c r="AA422" s="28" t="str">
        <f>IF('12 - Device_Configuration'!Q423="","",'12 - Device_Configuration'!Q423)</f>
        <v/>
      </c>
    </row>
    <row r="423" spans="1:27">
      <c r="A423" s="29"/>
      <c r="B423" s="29"/>
      <c r="C423" s="28" t="str">
        <f>IF('12 - Device_Configuration'!H424="","",'12 - Device_Configuration'!H424)</f>
        <v/>
      </c>
      <c r="D423" s="28" t="str">
        <f>IF('12 - Device_Configuration'!AE424="","",'12 - Device_Configuration'!AE424)</f>
        <v/>
      </c>
      <c r="E423" s="28" t="str">
        <f>IF('12 - Device_Configuration'!AF424="","",'12 - Device_Configuration'!AF424)</f>
        <v/>
      </c>
      <c r="F423" s="28" t="str">
        <f>IF('12 - Device_Configuration'!AG424="","",'12 - Device_Configuration'!AG424)</f>
        <v/>
      </c>
      <c r="G423" s="28" t="str">
        <f>IF('12 - Device_Configuration'!AH424="","",'12 - Device_Configuration'!AH424)</f>
        <v/>
      </c>
      <c r="H423" s="28" t="str">
        <f>IF('12 - Device_Configuration'!A424="","",'12 - Device_Configuration'!A424)</f>
        <v/>
      </c>
      <c r="I423" s="28" t="str">
        <f>IF('12 - Device_Configuration'!AI424="","",'12 - Device_Configuration'!AI424)</f>
        <v/>
      </c>
      <c r="J423" s="28" t="str">
        <f>IF('12 - Device_Configuration'!AJ424="","",'12 - Device_Configuration'!AJ424)</f>
        <v/>
      </c>
      <c r="K423" s="28" t="str">
        <f>IF('12 - Device_Configuration'!AA424="","",'12 - Device_Configuration'!AA424)</f>
        <v/>
      </c>
      <c r="L423" s="28" t="str">
        <f>IF('12 - Device_Configuration'!I424="","",'12 - Device_Configuration'!I424)</f>
        <v/>
      </c>
      <c r="M423" s="29"/>
      <c r="N423" s="28" t="str">
        <f>IF('12 - Device_Configuration'!J424="","",'12 - Device_Configuration'!J424)</f>
        <v/>
      </c>
      <c r="O423" s="28" t="str">
        <f>IF('12 - Device_Configuration'!K424="","",'12 - Device_Configuration'!K424)</f>
        <v/>
      </c>
      <c r="P423" s="28" t="str">
        <f>IF('12 - Device_Configuration'!L424="","",'12 - Device_Configuration'!L424)</f>
        <v/>
      </c>
      <c r="Q423" s="29"/>
      <c r="R423" s="28" t="str">
        <f>IF('12 - Device_Configuration'!AY424="","",'12 - Device_Configuration'!AY424)</f>
        <v/>
      </c>
      <c r="S423" s="28" t="str">
        <f>IF('12 - Device_Configuration'!AX424="","",'12 - Device_Configuration'!AX424)</f>
        <v/>
      </c>
      <c r="T423" s="28" t="str">
        <f>IF('12 - Device_Configuration'!AV424="","",'12 - Device_Configuration'!AV424)</f>
        <v/>
      </c>
      <c r="U423" s="28" t="str">
        <f>IF('12 - Device_Configuration'!AW424="","",'12 - Device_Configuration'!AW424)</f>
        <v/>
      </c>
      <c r="V423" s="28" t="str">
        <f>IF('12 - Device_Configuration'!BA424="","",'12 - Device_Configuration'!BA424)</f>
        <v/>
      </c>
      <c r="W423" s="28" t="str">
        <f>IF('12 - Device_Configuration'!BC424="","",'12 - Device_Configuration'!BC424)</f>
        <v/>
      </c>
      <c r="X423" s="28" t="str">
        <f>IF('12 - Device_Configuration'!BK424="","",'12 - Device_Configuration'!BK424)</f>
        <v/>
      </c>
      <c r="Y423" s="28" t="str">
        <f>IF('12 - Device_Configuration'!BB424="","",'12 - Device_Configuration'!BB424)</f>
        <v/>
      </c>
      <c r="Z423" s="28" t="str">
        <f>IF('12 - Device_Configuration'!P424="","",'12 - Device_Configuration'!P424)</f>
        <v/>
      </c>
      <c r="AA423" s="28" t="str">
        <f>IF('12 - Device_Configuration'!Q424="","",'12 - Device_Configuration'!Q424)</f>
        <v/>
      </c>
    </row>
    <row r="424" spans="1:27">
      <c r="A424" s="29"/>
      <c r="B424" s="29"/>
      <c r="C424" s="28" t="str">
        <f>IF('12 - Device_Configuration'!H425="","",'12 - Device_Configuration'!H425)</f>
        <v/>
      </c>
      <c r="D424" s="28" t="str">
        <f>IF('12 - Device_Configuration'!AE425="","",'12 - Device_Configuration'!AE425)</f>
        <v/>
      </c>
      <c r="E424" s="28" t="str">
        <f>IF('12 - Device_Configuration'!AF425="","",'12 - Device_Configuration'!AF425)</f>
        <v/>
      </c>
      <c r="F424" s="28" t="str">
        <f>IF('12 - Device_Configuration'!AG425="","",'12 - Device_Configuration'!AG425)</f>
        <v/>
      </c>
      <c r="G424" s="28" t="str">
        <f>IF('12 - Device_Configuration'!AH425="","",'12 - Device_Configuration'!AH425)</f>
        <v/>
      </c>
      <c r="H424" s="28" t="str">
        <f>IF('12 - Device_Configuration'!A425="","",'12 - Device_Configuration'!A425)</f>
        <v/>
      </c>
      <c r="I424" s="28" t="str">
        <f>IF('12 - Device_Configuration'!AI425="","",'12 - Device_Configuration'!AI425)</f>
        <v/>
      </c>
      <c r="J424" s="28" t="str">
        <f>IF('12 - Device_Configuration'!AJ425="","",'12 - Device_Configuration'!AJ425)</f>
        <v/>
      </c>
      <c r="K424" s="28" t="str">
        <f>IF('12 - Device_Configuration'!AA425="","",'12 - Device_Configuration'!AA425)</f>
        <v/>
      </c>
      <c r="L424" s="28" t="str">
        <f>IF('12 - Device_Configuration'!I425="","",'12 - Device_Configuration'!I425)</f>
        <v/>
      </c>
      <c r="M424" s="29"/>
      <c r="N424" s="28" t="str">
        <f>IF('12 - Device_Configuration'!J425="","",'12 - Device_Configuration'!J425)</f>
        <v/>
      </c>
      <c r="O424" s="28" t="str">
        <f>IF('12 - Device_Configuration'!K425="","",'12 - Device_Configuration'!K425)</f>
        <v/>
      </c>
      <c r="P424" s="28" t="str">
        <f>IF('12 - Device_Configuration'!L425="","",'12 - Device_Configuration'!L425)</f>
        <v/>
      </c>
      <c r="Q424" s="29"/>
      <c r="R424" s="28" t="str">
        <f>IF('12 - Device_Configuration'!AY425="","",'12 - Device_Configuration'!AY425)</f>
        <v/>
      </c>
      <c r="S424" s="28" t="str">
        <f>IF('12 - Device_Configuration'!AX425="","",'12 - Device_Configuration'!AX425)</f>
        <v/>
      </c>
      <c r="T424" s="28" t="str">
        <f>IF('12 - Device_Configuration'!AV425="","",'12 - Device_Configuration'!AV425)</f>
        <v/>
      </c>
      <c r="U424" s="28" t="str">
        <f>IF('12 - Device_Configuration'!AW425="","",'12 - Device_Configuration'!AW425)</f>
        <v/>
      </c>
      <c r="V424" s="28" t="str">
        <f>IF('12 - Device_Configuration'!BA425="","",'12 - Device_Configuration'!BA425)</f>
        <v/>
      </c>
      <c r="W424" s="28" t="str">
        <f>IF('12 - Device_Configuration'!BC425="","",'12 - Device_Configuration'!BC425)</f>
        <v/>
      </c>
      <c r="X424" s="28" t="str">
        <f>IF('12 - Device_Configuration'!BK425="","",'12 - Device_Configuration'!BK425)</f>
        <v/>
      </c>
      <c r="Y424" s="28" t="str">
        <f>IF('12 - Device_Configuration'!BB425="","",'12 - Device_Configuration'!BB425)</f>
        <v/>
      </c>
      <c r="Z424" s="28" t="str">
        <f>IF('12 - Device_Configuration'!P425="","",'12 - Device_Configuration'!P425)</f>
        <v/>
      </c>
      <c r="AA424" s="28" t="str">
        <f>IF('12 - Device_Configuration'!Q425="","",'12 - Device_Configuration'!Q425)</f>
        <v/>
      </c>
    </row>
    <row r="425" spans="1:27">
      <c r="A425" s="29"/>
      <c r="B425" s="29"/>
      <c r="C425" s="28" t="str">
        <f>IF('12 - Device_Configuration'!H426="","",'12 - Device_Configuration'!H426)</f>
        <v/>
      </c>
      <c r="D425" s="28" t="str">
        <f>IF('12 - Device_Configuration'!AE426="","",'12 - Device_Configuration'!AE426)</f>
        <v/>
      </c>
      <c r="E425" s="28" t="str">
        <f>IF('12 - Device_Configuration'!AF426="","",'12 - Device_Configuration'!AF426)</f>
        <v/>
      </c>
      <c r="F425" s="28" t="str">
        <f>IF('12 - Device_Configuration'!AG426="","",'12 - Device_Configuration'!AG426)</f>
        <v/>
      </c>
      <c r="G425" s="28" t="str">
        <f>IF('12 - Device_Configuration'!AH426="","",'12 - Device_Configuration'!AH426)</f>
        <v/>
      </c>
      <c r="H425" s="28" t="str">
        <f>IF('12 - Device_Configuration'!A426="","",'12 - Device_Configuration'!A426)</f>
        <v/>
      </c>
      <c r="I425" s="28" t="str">
        <f>IF('12 - Device_Configuration'!AI426="","",'12 - Device_Configuration'!AI426)</f>
        <v/>
      </c>
      <c r="J425" s="28" t="str">
        <f>IF('12 - Device_Configuration'!AJ426="","",'12 - Device_Configuration'!AJ426)</f>
        <v/>
      </c>
      <c r="K425" s="28" t="str">
        <f>IF('12 - Device_Configuration'!AA426="","",'12 - Device_Configuration'!AA426)</f>
        <v/>
      </c>
      <c r="L425" s="28" t="str">
        <f>IF('12 - Device_Configuration'!I426="","",'12 - Device_Configuration'!I426)</f>
        <v/>
      </c>
      <c r="M425" s="29"/>
      <c r="N425" s="28" t="str">
        <f>IF('12 - Device_Configuration'!J426="","",'12 - Device_Configuration'!J426)</f>
        <v/>
      </c>
      <c r="O425" s="28" t="str">
        <f>IF('12 - Device_Configuration'!K426="","",'12 - Device_Configuration'!K426)</f>
        <v/>
      </c>
      <c r="P425" s="28" t="str">
        <f>IF('12 - Device_Configuration'!L426="","",'12 - Device_Configuration'!L426)</f>
        <v/>
      </c>
      <c r="Q425" s="29"/>
      <c r="R425" s="28" t="str">
        <f>IF('12 - Device_Configuration'!AY426="","",'12 - Device_Configuration'!AY426)</f>
        <v/>
      </c>
      <c r="S425" s="28" t="str">
        <f>IF('12 - Device_Configuration'!AX426="","",'12 - Device_Configuration'!AX426)</f>
        <v/>
      </c>
      <c r="T425" s="28" t="str">
        <f>IF('12 - Device_Configuration'!AV426="","",'12 - Device_Configuration'!AV426)</f>
        <v/>
      </c>
      <c r="U425" s="28" t="str">
        <f>IF('12 - Device_Configuration'!AW426="","",'12 - Device_Configuration'!AW426)</f>
        <v/>
      </c>
      <c r="V425" s="28" t="str">
        <f>IF('12 - Device_Configuration'!BA426="","",'12 - Device_Configuration'!BA426)</f>
        <v/>
      </c>
      <c r="W425" s="28" t="str">
        <f>IF('12 - Device_Configuration'!BC426="","",'12 - Device_Configuration'!BC426)</f>
        <v/>
      </c>
      <c r="X425" s="28" t="str">
        <f>IF('12 - Device_Configuration'!BK426="","",'12 - Device_Configuration'!BK426)</f>
        <v/>
      </c>
      <c r="Y425" s="28" t="str">
        <f>IF('12 - Device_Configuration'!BB426="","",'12 - Device_Configuration'!BB426)</f>
        <v/>
      </c>
      <c r="Z425" s="28" t="str">
        <f>IF('12 - Device_Configuration'!P426="","",'12 - Device_Configuration'!P426)</f>
        <v/>
      </c>
      <c r="AA425" s="28" t="str">
        <f>IF('12 - Device_Configuration'!Q426="","",'12 - Device_Configuration'!Q426)</f>
        <v/>
      </c>
    </row>
    <row r="426" spans="1:27">
      <c r="A426" s="29"/>
      <c r="B426" s="29"/>
      <c r="C426" s="28" t="str">
        <f>IF('12 - Device_Configuration'!H427="","",'12 - Device_Configuration'!H427)</f>
        <v/>
      </c>
      <c r="D426" s="28" t="str">
        <f>IF('12 - Device_Configuration'!AE427="","",'12 - Device_Configuration'!AE427)</f>
        <v/>
      </c>
      <c r="E426" s="28" t="str">
        <f>IF('12 - Device_Configuration'!AF427="","",'12 - Device_Configuration'!AF427)</f>
        <v/>
      </c>
      <c r="F426" s="28" t="str">
        <f>IF('12 - Device_Configuration'!AG427="","",'12 - Device_Configuration'!AG427)</f>
        <v/>
      </c>
      <c r="G426" s="28" t="str">
        <f>IF('12 - Device_Configuration'!AH427="","",'12 - Device_Configuration'!AH427)</f>
        <v/>
      </c>
      <c r="H426" s="28" t="str">
        <f>IF('12 - Device_Configuration'!A427="","",'12 - Device_Configuration'!A427)</f>
        <v/>
      </c>
      <c r="I426" s="28" t="str">
        <f>IF('12 - Device_Configuration'!AI427="","",'12 - Device_Configuration'!AI427)</f>
        <v/>
      </c>
      <c r="J426" s="28" t="str">
        <f>IF('12 - Device_Configuration'!AJ427="","",'12 - Device_Configuration'!AJ427)</f>
        <v/>
      </c>
      <c r="K426" s="28" t="str">
        <f>IF('12 - Device_Configuration'!AA427="","",'12 - Device_Configuration'!AA427)</f>
        <v/>
      </c>
      <c r="L426" s="28" t="str">
        <f>IF('12 - Device_Configuration'!I427="","",'12 - Device_Configuration'!I427)</f>
        <v/>
      </c>
      <c r="M426" s="29"/>
      <c r="N426" s="28" t="str">
        <f>IF('12 - Device_Configuration'!J427="","",'12 - Device_Configuration'!J427)</f>
        <v/>
      </c>
      <c r="O426" s="28" t="str">
        <f>IF('12 - Device_Configuration'!K427="","",'12 - Device_Configuration'!K427)</f>
        <v/>
      </c>
      <c r="P426" s="28" t="str">
        <f>IF('12 - Device_Configuration'!L427="","",'12 - Device_Configuration'!L427)</f>
        <v/>
      </c>
      <c r="Q426" s="29"/>
      <c r="R426" s="28" t="str">
        <f>IF('12 - Device_Configuration'!AY427="","",'12 - Device_Configuration'!AY427)</f>
        <v/>
      </c>
      <c r="S426" s="28" t="str">
        <f>IF('12 - Device_Configuration'!AX427="","",'12 - Device_Configuration'!AX427)</f>
        <v/>
      </c>
      <c r="T426" s="28" t="str">
        <f>IF('12 - Device_Configuration'!AV427="","",'12 - Device_Configuration'!AV427)</f>
        <v/>
      </c>
      <c r="U426" s="28" t="str">
        <f>IF('12 - Device_Configuration'!AW427="","",'12 - Device_Configuration'!AW427)</f>
        <v/>
      </c>
      <c r="V426" s="28" t="str">
        <f>IF('12 - Device_Configuration'!BA427="","",'12 - Device_Configuration'!BA427)</f>
        <v/>
      </c>
      <c r="W426" s="28" t="str">
        <f>IF('12 - Device_Configuration'!BC427="","",'12 - Device_Configuration'!BC427)</f>
        <v/>
      </c>
      <c r="X426" s="28" t="str">
        <f>IF('12 - Device_Configuration'!BK427="","",'12 - Device_Configuration'!BK427)</f>
        <v/>
      </c>
      <c r="Y426" s="28" t="str">
        <f>IF('12 - Device_Configuration'!BB427="","",'12 - Device_Configuration'!BB427)</f>
        <v/>
      </c>
      <c r="Z426" s="28" t="str">
        <f>IF('12 - Device_Configuration'!P427="","",'12 - Device_Configuration'!P427)</f>
        <v/>
      </c>
      <c r="AA426" s="28" t="str">
        <f>IF('12 - Device_Configuration'!Q427="","",'12 - Device_Configuration'!Q427)</f>
        <v/>
      </c>
    </row>
    <row r="427" spans="1:27">
      <c r="A427" s="29"/>
      <c r="B427" s="29"/>
      <c r="C427" s="28" t="str">
        <f>IF('12 - Device_Configuration'!H428="","",'12 - Device_Configuration'!H428)</f>
        <v/>
      </c>
      <c r="D427" s="28" t="str">
        <f>IF('12 - Device_Configuration'!AE428="","",'12 - Device_Configuration'!AE428)</f>
        <v/>
      </c>
      <c r="E427" s="28" t="str">
        <f>IF('12 - Device_Configuration'!AF428="","",'12 - Device_Configuration'!AF428)</f>
        <v/>
      </c>
      <c r="F427" s="28" t="str">
        <f>IF('12 - Device_Configuration'!AG428="","",'12 - Device_Configuration'!AG428)</f>
        <v/>
      </c>
      <c r="G427" s="28" t="str">
        <f>IF('12 - Device_Configuration'!AH428="","",'12 - Device_Configuration'!AH428)</f>
        <v/>
      </c>
      <c r="H427" s="28" t="str">
        <f>IF('12 - Device_Configuration'!A428="","",'12 - Device_Configuration'!A428)</f>
        <v/>
      </c>
      <c r="I427" s="28" t="str">
        <f>IF('12 - Device_Configuration'!AI428="","",'12 - Device_Configuration'!AI428)</f>
        <v/>
      </c>
      <c r="J427" s="28" t="str">
        <f>IF('12 - Device_Configuration'!AJ428="","",'12 - Device_Configuration'!AJ428)</f>
        <v/>
      </c>
      <c r="K427" s="28" t="str">
        <f>IF('12 - Device_Configuration'!AA428="","",'12 - Device_Configuration'!AA428)</f>
        <v/>
      </c>
      <c r="L427" s="28" t="str">
        <f>IF('12 - Device_Configuration'!I428="","",'12 - Device_Configuration'!I428)</f>
        <v/>
      </c>
      <c r="M427" s="29"/>
      <c r="N427" s="28" t="str">
        <f>IF('12 - Device_Configuration'!J428="","",'12 - Device_Configuration'!J428)</f>
        <v/>
      </c>
      <c r="O427" s="28" t="str">
        <f>IF('12 - Device_Configuration'!K428="","",'12 - Device_Configuration'!K428)</f>
        <v/>
      </c>
      <c r="P427" s="28" t="str">
        <f>IF('12 - Device_Configuration'!L428="","",'12 - Device_Configuration'!L428)</f>
        <v/>
      </c>
      <c r="Q427" s="29"/>
      <c r="R427" s="28" t="str">
        <f>IF('12 - Device_Configuration'!AY428="","",'12 - Device_Configuration'!AY428)</f>
        <v/>
      </c>
      <c r="S427" s="28" t="str">
        <f>IF('12 - Device_Configuration'!AX428="","",'12 - Device_Configuration'!AX428)</f>
        <v/>
      </c>
      <c r="T427" s="28" t="str">
        <f>IF('12 - Device_Configuration'!AV428="","",'12 - Device_Configuration'!AV428)</f>
        <v/>
      </c>
      <c r="U427" s="28" t="str">
        <f>IF('12 - Device_Configuration'!AW428="","",'12 - Device_Configuration'!AW428)</f>
        <v/>
      </c>
      <c r="V427" s="28" t="str">
        <f>IF('12 - Device_Configuration'!BA428="","",'12 - Device_Configuration'!BA428)</f>
        <v/>
      </c>
      <c r="W427" s="28" t="str">
        <f>IF('12 - Device_Configuration'!BC428="","",'12 - Device_Configuration'!BC428)</f>
        <v/>
      </c>
      <c r="X427" s="28" t="str">
        <f>IF('12 - Device_Configuration'!BK428="","",'12 - Device_Configuration'!BK428)</f>
        <v/>
      </c>
      <c r="Y427" s="28" t="str">
        <f>IF('12 - Device_Configuration'!BB428="","",'12 - Device_Configuration'!BB428)</f>
        <v/>
      </c>
      <c r="Z427" s="28" t="str">
        <f>IF('12 - Device_Configuration'!P428="","",'12 - Device_Configuration'!P428)</f>
        <v/>
      </c>
      <c r="AA427" s="28" t="str">
        <f>IF('12 - Device_Configuration'!Q428="","",'12 - Device_Configuration'!Q428)</f>
        <v/>
      </c>
    </row>
    <row r="428" spans="1:27">
      <c r="A428" s="29"/>
      <c r="B428" s="29"/>
      <c r="C428" s="28" t="str">
        <f>IF('12 - Device_Configuration'!H429="","",'12 - Device_Configuration'!H429)</f>
        <v/>
      </c>
      <c r="D428" s="28" t="str">
        <f>IF('12 - Device_Configuration'!AE429="","",'12 - Device_Configuration'!AE429)</f>
        <v/>
      </c>
      <c r="E428" s="28" t="str">
        <f>IF('12 - Device_Configuration'!AF429="","",'12 - Device_Configuration'!AF429)</f>
        <v/>
      </c>
      <c r="F428" s="28" t="str">
        <f>IF('12 - Device_Configuration'!AG429="","",'12 - Device_Configuration'!AG429)</f>
        <v/>
      </c>
      <c r="G428" s="28" t="str">
        <f>IF('12 - Device_Configuration'!AH429="","",'12 - Device_Configuration'!AH429)</f>
        <v/>
      </c>
      <c r="H428" s="28" t="str">
        <f>IF('12 - Device_Configuration'!A429="","",'12 - Device_Configuration'!A429)</f>
        <v/>
      </c>
      <c r="I428" s="28" t="str">
        <f>IF('12 - Device_Configuration'!AI429="","",'12 - Device_Configuration'!AI429)</f>
        <v/>
      </c>
      <c r="J428" s="28" t="str">
        <f>IF('12 - Device_Configuration'!AJ429="","",'12 - Device_Configuration'!AJ429)</f>
        <v/>
      </c>
      <c r="K428" s="28" t="str">
        <f>IF('12 - Device_Configuration'!AA429="","",'12 - Device_Configuration'!AA429)</f>
        <v/>
      </c>
      <c r="L428" s="28" t="str">
        <f>IF('12 - Device_Configuration'!I429="","",'12 - Device_Configuration'!I429)</f>
        <v/>
      </c>
      <c r="M428" s="29"/>
      <c r="N428" s="28" t="str">
        <f>IF('12 - Device_Configuration'!J429="","",'12 - Device_Configuration'!J429)</f>
        <v/>
      </c>
      <c r="O428" s="28" t="str">
        <f>IF('12 - Device_Configuration'!K429="","",'12 - Device_Configuration'!K429)</f>
        <v/>
      </c>
      <c r="P428" s="28" t="str">
        <f>IF('12 - Device_Configuration'!L429="","",'12 - Device_Configuration'!L429)</f>
        <v/>
      </c>
      <c r="Q428" s="29"/>
      <c r="R428" s="28" t="str">
        <f>IF('12 - Device_Configuration'!AY429="","",'12 - Device_Configuration'!AY429)</f>
        <v/>
      </c>
      <c r="S428" s="28" t="str">
        <f>IF('12 - Device_Configuration'!AX429="","",'12 - Device_Configuration'!AX429)</f>
        <v/>
      </c>
      <c r="T428" s="28" t="str">
        <f>IF('12 - Device_Configuration'!AV429="","",'12 - Device_Configuration'!AV429)</f>
        <v/>
      </c>
      <c r="U428" s="28" t="str">
        <f>IF('12 - Device_Configuration'!AW429="","",'12 - Device_Configuration'!AW429)</f>
        <v/>
      </c>
      <c r="V428" s="28" t="str">
        <f>IF('12 - Device_Configuration'!BA429="","",'12 - Device_Configuration'!BA429)</f>
        <v/>
      </c>
      <c r="W428" s="28" t="str">
        <f>IF('12 - Device_Configuration'!BC429="","",'12 - Device_Configuration'!BC429)</f>
        <v/>
      </c>
      <c r="X428" s="28" t="str">
        <f>IF('12 - Device_Configuration'!BK429="","",'12 - Device_Configuration'!BK429)</f>
        <v/>
      </c>
      <c r="Y428" s="28" t="str">
        <f>IF('12 - Device_Configuration'!BB429="","",'12 - Device_Configuration'!BB429)</f>
        <v/>
      </c>
      <c r="Z428" s="28" t="str">
        <f>IF('12 - Device_Configuration'!P429="","",'12 - Device_Configuration'!P429)</f>
        <v/>
      </c>
      <c r="AA428" s="28" t="str">
        <f>IF('12 - Device_Configuration'!Q429="","",'12 - Device_Configuration'!Q429)</f>
        <v/>
      </c>
    </row>
    <row r="429" spans="1:27">
      <c r="A429" s="29"/>
      <c r="B429" s="29"/>
      <c r="C429" s="28" t="str">
        <f>IF('12 - Device_Configuration'!H430="","",'12 - Device_Configuration'!H430)</f>
        <v/>
      </c>
      <c r="D429" s="28" t="str">
        <f>IF('12 - Device_Configuration'!AE430="","",'12 - Device_Configuration'!AE430)</f>
        <v/>
      </c>
      <c r="E429" s="28" t="str">
        <f>IF('12 - Device_Configuration'!AF430="","",'12 - Device_Configuration'!AF430)</f>
        <v/>
      </c>
      <c r="F429" s="28" t="str">
        <f>IF('12 - Device_Configuration'!AG430="","",'12 - Device_Configuration'!AG430)</f>
        <v/>
      </c>
      <c r="G429" s="28" t="str">
        <f>IF('12 - Device_Configuration'!AH430="","",'12 - Device_Configuration'!AH430)</f>
        <v/>
      </c>
      <c r="H429" s="28" t="str">
        <f>IF('12 - Device_Configuration'!A430="","",'12 - Device_Configuration'!A430)</f>
        <v/>
      </c>
      <c r="I429" s="28" t="str">
        <f>IF('12 - Device_Configuration'!AI430="","",'12 - Device_Configuration'!AI430)</f>
        <v/>
      </c>
      <c r="J429" s="28" t="str">
        <f>IF('12 - Device_Configuration'!AJ430="","",'12 - Device_Configuration'!AJ430)</f>
        <v/>
      </c>
      <c r="K429" s="28" t="str">
        <f>IF('12 - Device_Configuration'!AA430="","",'12 - Device_Configuration'!AA430)</f>
        <v/>
      </c>
      <c r="L429" s="28" t="str">
        <f>IF('12 - Device_Configuration'!I430="","",'12 - Device_Configuration'!I430)</f>
        <v/>
      </c>
      <c r="M429" s="29"/>
      <c r="N429" s="28" t="str">
        <f>IF('12 - Device_Configuration'!J430="","",'12 - Device_Configuration'!J430)</f>
        <v/>
      </c>
      <c r="O429" s="28" t="str">
        <f>IF('12 - Device_Configuration'!K430="","",'12 - Device_Configuration'!K430)</f>
        <v/>
      </c>
      <c r="P429" s="28" t="str">
        <f>IF('12 - Device_Configuration'!L430="","",'12 - Device_Configuration'!L430)</f>
        <v/>
      </c>
      <c r="Q429" s="29"/>
      <c r="R429" s="28" t="str">
        <f>IF('12 - Device_Configuration'!AY430="","",'12 - Device_Configuration'!AY430)</f>
        <v/>
      </c>
      <c r="S429" s="28" t="str">
        <f>IF('12 - Device_Configuration'!AX430="","",'12 - Device_Configuration'!AX430)</f>
        <v/>
      </c>
      <c r="T429" s="28" t="str">
        <f>IF('12 - Device_Configuration'!AV430="","",'12 - Device_Configuration'!AV430)</f>
        <v/>
      </c>
      <c r="U429" s="28" t="str">
        <f>IF('12 - Device_Configuration'!AW430="","",'12 - Device_Configuration'!AW430)</f>
        <v/>
      </c>
      <c r="V429" s="28" t="str">
        <f>IF('12 - Device_Configuration'!BA430="","",'12 - Device_Configuration'!BA430)</f>
        <v/>
      </c>
      <c r="W429" s="28" t="str">
        <f>IF('12 - Device_Configuration'!BC430="","",'12 - Device_Configuration'!BC430)</f>
        <v/>
      </c>
      <c r="X429" s="28" t="str">
        <f>IF('12 - Device_Configuration'!BK430="","",'12 - Device_Configuration'!BK430)</f>
        <v/>
      </c>
      <c r="Y429" s="28" t="str">
        <f>IF('12 - Device_Configuration'!BB430="","",'12 - Device_Configuration'!BB430)</f>
        <v/>
      </c>
      <c r="Z429" s="28" t="str">
        <f>IF('12 - Device_Configuration'!P430="","",'12 - Device_Configuration'!P430)</f>
        <v/>
      </c>
      <c r="AA429" s="28" t="str">
        <f>IF('12 - Device_Configuration'!Q430="","",'12 - Device_Configuration'!Q430)</f>
        <v/>
      </c>
    </row>
    <row r="430" spans="1:27">
      <c r="A430" s="29"/>
      <c r="B430" s="29"/>
      <c r="C430" s="28" t="str">
        <f>IF('12 - Device_Configuration'!H431="","",'12 - Device_Configuration'!H431)</f>
        <v/>
      </c>
      <c r="D430" s="28" t="str">
        <f>IF('12 - Device_Configuration'!AE431="","",'12 - Device_Configuration'!AE431)</f>
        <v/>
      </c>
      <c r="E430" s="28" t="str">
        <f>IF('12 - Device_Configuration'!AF431="","",'12 - Device_Configuration'!AF431)</f>
        <v/>
      </c>
      <c r="F430" s="28" t="str">
        <f>IF('12 - Device_Configuration'!AG431="","",'12 - Device_Configuration'!AG431)</f>
        <v/>
      </c>
      <c r="G430" s="28" t="str">
        <f>IF('12 - Device_Configuration'!AH431="","",'12 - Device_Configuration'!AH431)</f>
        <v/>
      </c>
      <c r="H430" s="28" t="str">
        <f>IF('12 - Device_Configuration'!A431="","",'12 - Device_Configuration'!A431)</f>
        <v/>
      </c>
      <c r="I430" s="28" t="str">
        <f>IF('12 - Device_Configuration'!AI431="","",'12 - Device_Configuration'!AI431)</f>
        <v/>
      </c>
      <c r="J430" s="28" t="str">
        <f>IF('12 - Device_Configuration'!AJ431="","",'12 - Device_Configuration'!AJ431)</f>
        <v/>
      </c>
      <c r="K430" s="28" t="str">
        <f>IF('12 - Device_Configuration'!AA431="","",'12 - Device_Configuration'!AA431)</f>
        <v/>
      </c>
      <c r="L430" s="28" t="str">
        <f>IF('12 - Device_Configuration'!I431="","",'12 - Device_Configuration'!I431)</f>
        <v/>
      </c>
      <c r="M430" s="29"/>
      <c r="N430" s="28" t="str">
        <f>IF('12 - Device_Configuration'!J431="","",'12 - Device_Configuration'!J431)</f>
        <v/>
      </c>
      <c r="O430" s="28" t="str">
        <f>IF('12 - Device_Configuration'!K431="","",'12 - Device_Configuration'!K431)</f>
        <v/>
      </c>
      <c r="P430" s="28" t="str">
        <f>IF('12 - Device_Configuration'!L431="","",'12 - Device_Configuration'!L431)</f>
        <v/>
      </c>
      <c r="Q430" s="29"/>
      <c r="R430" s="28" t="str">
        <f>IF('12 - Device_Configuration'!AY431="","",'12 - Device_Configuration'!AY431)</f>
        <v/>
      </c>
      <c r="S430" s="28" t="str">
        <f>IF('12 - Device_Configuration'!AX431="","",'12 - Device_Configuration'!AX431)</f>
        <v/>
      </c>
      <c r="T430" s="28" t="str">
        <f>IF('12 - Device_Configuration'!AV431="","",'12 - Device_Configuration'!AV431)</f>
        <v/>
      </c>
      <c r="U430" s="28" t="str">
        <f>IF('12 - Device_Configuration'!AW431="","",'12 - Device_Configuration'!AW431)</f>
        <v/>
      </c>
      <c r="V430" s="28" t="str">
        <f>IF('12 - Device_Configuration'!BA431="","",'12 - Device_Configuration'!BA431)</f>
        <v/>
      </c>
      <c r="W430" s="28" t="str">
        <f>IF('12 - Device_Configuration'!BC431="","",'12 - Device_Configuration'!BC431)</f>
        <v/>
      </c>
      <c r="X430" s="28" t="str">
        <f>IF('12 - Device_Configuration'!BK431="","",'12 - Device_Configuration'!BK431)</f>
        <v/>
      </c>
      <c r="Y430" s="28" t="str">
        <f>IF('12 - Device_Configuration'!BB431="","",'12 - Device_Configuration'!BB431)</f>
        <v/>
      </c>
      <c r="Z430" s="28" t="str">
        <f>IF('12 - Device_Configuration'!P431="","",'12 - Device_Configuration'!P431)</f>
        <v/>
      </c>
      <c r="AA430" s="28" t="str">
        <f>IF('12 - Device_Configuration'!Q431="","",'12 - Device_Configuration'!Q431)</f>
        <v/>
      </c>
    </row>
    <row r="431" spans="1:27">
      <c r="A431" s="29"/>
      <c r="B431" s="29"/>
      <c r="C431" s="28" t="str">
        <f>IF('12 - Device_Configuration'!H432="","",'12 - Device_Configuration'!H432)</f>
        <v/>
      </c>
      <c r="D431" s="28" t="str">
        <f>IF('12 - Device_Configuration'!AE432="","",'12 - Device_Configuration'!AE432)</f>
        <v/>
      </c>
      <c r="E431" s="28" t="str">
        <f>IF('12 - Device_Configuration'!AF432="","",'12 - Device_Configuration'!AF432)</f>
        <v/>
      </c>
      <c r="F431" s="28" t="str">
        <f>IF('12 - Device_Configuration'!AG432="","",'12 - Device_Configuration'!AG432)</f>
        <v/>
      </c>
      <c r="G431" s="28" t="str">
        <f>IF('12 - Device_Configuration'!AH432="","",'12 - Device_Configuration'!AH432)</f>
        <v/>
      </c>
      <c r="H431" s="28" t="str">
        <f>IF('12 - Device_Configuration'!A432="","",'12 - Device_Configuration'!A432)</f>
        <v/>
      </c>
      <c r="I431" s="28" t="str">
        <f>IF('12 - Device_Configuration'!AI432="","",'12 - Device_Configuration'!AI432)</f>
        <v/>
      </c>
      <c r="J431" s="28" t="str">
        <f>IF('12 - Device_Configuration'!AJ432="","",'12 - Device_Configuration'!AJ432)</f>
        <v/>
      </c>
      <c r="K431" s="28" t="str">
        <f>IF('12 - Device_Configuration'!AA432="","",'12 - Device_Configuration'!AA432)</f>
        <v/>
      </c>
      <c r="L431" s="28" t="str">
        <f>IF('12 - Device_Configuration'!I432="","",'12 - Device_Configuration'!I432)</f>
        <v/>
      </c>
      <c r="M431" s="29"/>
      <c r="N431" s="28" t="str">
        <f>IF('12 - Device_Configuration'!J432="","",'12 - Device_Configuration'!J432)</f>
        <v/>
      </c>
      <c r="O431" s="28" t="str">
        <f>IF('12 - Device_Configuration'!K432="","",'12 - Device_Configuration'!K432)</f>
        <v/>
      </c>
      <c r="P431" s="28" t="str">
        <f>IF('12 - Device_Configuration'!L432="","",'12 - Device_Configuration'!L432)</f>
        <v/>
      </c>
      <c r="Q431" s="29"/>
      <c r="R431" s="28" t="str">
        <f>IF('12 - Device_Configuration'!AY432="","",'12 - Device_Configuration'!AY432)</f>
        <v/>
      </c>
      <c r="S431" s="28" t="str">
        <f>IF('12 - Device_Configuration'!AX432="","",'12 - Device_Configuration'!AX432)</f>
        <v/>
      </c>
      <c r="T431" s="28" t="str">
        <f>IF('12 - Device_Configuration'!AV432="","",'12 - Device_Configuration'!AV432)</f>
        <v/>
      </c>
      <c r="U431" s="28" t="str">
        <f>IF('12 - Device_Configuration'!AW432="","",'12 - Device_Configuration'!AW432)</f>
        <v/>
      </c>
      <c r="V431" s="28" t="str">
        <f>IF('12 - Device_Configuration'!BA432="","",'12 - Device_Configuration'!BA432)</f>
        <v/>
      </c>
      <c r="W431" s="28" t="str">
        <f>IF('12 - Device_Configuration'!BC432="","",'12 - Device_Configuration'!BC432)</f>
        <v/>
      </c>
      <c r="X431" s="28" t="str">
        <f>IF('12 - Device_Configuration'!BK432="","",'12 - Device_Configuration'!BK432)</f>
        <v/>
      </c>
      <c r="Y431" s="28" t="str">
        <f>IF('12 - Device_Configuration'!BB432="","",'12 - Device_Configuration'!BB432)</f>
        <v/>
      </c>
      <c r="Z431" s="28" t="str">
        <f>IF('12 - Device_Configuration'!P432="","",'12 - Device_Configuration'!P432)</f>
        <v/>
      </c>
      <c r="AA431" s="28" t="str">
        <f>IF('12 - Device_Configuration'!Q432="","",'12 - Device_Configuration'!Q432)</f>
        <v/>
      </c>
    </row>
    <row r="432" spans="1:27">
      <c r="A432" s="29"/>
      <c r="B432" s="29"/>
      <c r="C432" s="28" t="str">
        <f>IF('12 - Device_Configuration'!H433="","",'12 - Device_Configuration'!H433)</f>
        <v/>
      </c>
      <c r="D432" s="28" t="str">
        <f>IF('12 - Device_Configuration'!AE433="","",'12 - Device_Configuration'!AE433)</f>
        <v/>
      </c>
      <c r="E432" s="28" t="str">
        <f>IF('12 - Device_Configuration'!AF433="","",'12 - Device_Configuration'!AF433)</f>
        <v/>
      </c>
      <c r="F432" s="28" t="str">
        <f>IF('12 - Device_Configuration'!AG433="","",'12 - Device_Configuration'!AG433)</f>
        <v/>
      </c>
      <c r="G432" s="28" t="str">
        <f>IF('12 - Device_Configuration'!AH433="","",'12 - Device_Configuration'!AH433)</f>
        <v/>
      </c>
      <c r="H432" s="28" t="str">
        <f>IF('12 - Device_Configuration'!A433="","",'12 - Device_Configuration'!A433)</f>
        <v/>
      </c>
      <c r="I432" s="28" t="str">
        <f>IF('12 - Device_Configuration'!AI433="","",'12 - Device_Configuration'!AI433)</f>
        <v/>
      </c>
      <c r="J432" s="28" t="str">
        <f>IF('12 - Device_Configuration'!AJ433="","",'12 - Device_Configuration'!AJ433)</f>
        <v/>
      </c>
      <c r="K432" s="28" t="str">
        <f>IF('12 - Device_Configuration'!AA433="","",'12 - Device_Configuration'!AA433)</f>
        <v/>
      </c>
      <c r="L432" s="28" t="str">
        <f>IF('12 - Device_Configuration'!I433="","",'12 - Device_Configuration'!I433)</f>
        <v/>
      </c>
      <c r="M432" s="29"/>
      <c r="N432" s="28" t="str">
        <f>IF('12 - Device_Configuration'!J433="","",'12 - Device_Configuration'!J433)</f>
        <v/>
      </c>
      <c r="O432" s="28" t="str">
        <f>IF('12 - Device_Configuration'!K433="","",'12 - Device_Configuration'!K433)</f>
        <v/>
      </c>
      <c r="P432" s="28" t="str">
        <f>IF('12 - Device_Configuration'!L433="","",'12 - Device_Configuration'!L433)</f>
        <v/>
      </c>
      <c r="Q432" s="29"/>
      <c r="R432" s="28" t="str">
        <f>IF('12 - Device_Configuration'!AY433="","",'12 - Device_Configuration'!AY433)</f>
        <v/>
      </c>
      <c r="S432" s="28" t="str">
        <f>IF('12 - Device_Configuration'!AX433="","",'12 - Device_Configuration'!AX433)</f>
        <v/>
      </c>
      <c r="T432" s="28" t="str">
        <f>IF('12 - Device_Configuration'!AV433="","",'12 - Device_Configuration'!AV433)</f>
        <v/>
      </c>
      <c r="U432" s="28" t="str">
        <f>IF('12 - Device_Configuration'!AW433="","",'12 - Device_Configuration'!AW433)</f>
        <v/>
      </c>
      <c r="V432" s="28" t="str">
        <f>IF('12 - Device_Configuration'!BA433="","",'12 - Device_Configuration'!BA433)</f>
        <v/>
      </c>
      <c r="W432" s="28" t="str">
        <f>IF('12 - Device_Configuration'!BC433="","",'12 - Device_Configuration'!BC433)</f>
        <v/>
      </c>
      <c r="X432" s="28" t="str">
        <f>IF('12 - Device_Configuration'!BK433="","",'12 - Device_Configuration'!BK433)</f>
        <v/>
      </c>
      <c r="Y432" s="28" t="str">
        <f>IF('12 - Device_Configuration'!BB433="","",'12 - Device_Configuration'!BB433)</f>
        <v/>
      </c>
      <c r="Z432" s="28" t="str">
        <f>IF('12 - Device_Configuration'!P433="","",'12 - Device_Configuration'!P433)</f>
        <v/>
      </c>
      <c r="AA432" s="28" t="str">
        <f>IF('12 - Device_Configuration'!Q433="","",'12 - Device_Configuration'!Q433)</f>
        <v/>
      </c>
    </row>
    <row r="433" spans="1:27">
      <c r="A433" s="29"/>
      <c r="B433" s="29"/>
      <c r="C433" s="28" t="str">
        <f>IF('12 - Device_Configuration'!H434="","",'12 - Device_Configuration'!H434)</f>
        <v/>
      </c>
      <c r="D433" s="28" t="str">
        <f>IF('12 - Device_Configuration'!AE434="","",'12 - Device_Configuration'!AE434)</f>
        <v/>
      </c>
      <c r="E433" s="28" t="str">
        <f>IF('12 - Device_Configuration'!AF434="","",'12 - Device_Configuration'!AF434)</f>
        <v/>
      </c>
      <c r="F433" s="28" t="str">
        <f>IF('12 - Device_Configuration'!AG434="","",'12 - Device_Configuration'!AG434)</f>
        <v/>
      </c>
      <c r="G433" s="28" t="str">
        <f>IF('12 - Device_Configuration'!AH434="","",'12 - Device_Configuration'!AH434)</f>
        <v/>
      </c>
      <c r="H433" s="28" t="str">
        <f>IF('12 - Device_Configuration'!A434="","",'12 - Device_Configuration'!A434)</f>
        <v/>
      </c>
      <c r="I433" s="28" t="str">
        <f>IF('12 - Device_Configuration'!AI434="","",'12 - Device_Configuration'!AI434)</f>
        <v/>
      </c>
      <c r="J433" s="28" t="str">
        <f>IF('12 - Device_Configuration'!AJ434="","",'12 - Device_Configuration'!AJ434)</f>
        <v/>
      </c>
      <c r="K433" s="28" t="str">
        <f>IF('12 - Device_Configuration'!AA434="","",'12 - Device_Configuration'!AA434)</f>
        <v/>
      </c>
      <c r="L433" s="28" t="str">
        <f>IF('12 - Device_Configuration'!I434="","",'12 - Device_Configuration'!I434)</f>
        <v/>
      </c>
      <c r="M433" s="29"/>
      <c r="N433" s="28" t="str">
        <f>IF('12 - Device_Configuration'!J434="","",'12 - Device_Configuration'!J434)</f>
        <v/>
      </c>
      <c r="O433" s="28" t="str">
        <f>IF('12 - Device_Configuration'!K434="","",'12 - Device_Configuration'!K434)</f>
        <v/>
      </c>
      <c r="P433" s="28" t="str">
        <f>IF('12 - Device_Configuration'!L434="","",'12 - Device_Configuration'!L434)</f>
        <v/>
      </c>
      <c r="Q433" s="29"/>
      <c r="R433" s="28" t="str">
        <f>IF('12 - Device_Configuration'!AY434="","",'12 - Device_Configuration'!AY434)</f>
        <v/>
      </c>
      <c r="S433" s="28" t="str">
        <f>IF('12 - Device_Configuration'!AX434="","",'12 - Device_Configuration'!AX434)</f>
        <v/>
      </c>
      <c r="T433" s="28" t="str">
        <f>IF('12 - Device_Configuration'!AV434="","",'12 - Device_Configuration'!AV434)</f>
        <v/>
      </c>
      <c r="U433" s="28" t="str">
        <f>IF('12 - Device_Configuration'!AW434="","",'12 - Device_Configuration'!AW434)</f>
        <v/>
      </c>
      <c r="V433" s="28" t="str">
        <f>IF('12 - Device_Configuration'!BA434="","",'12 - Device_Configuration'!BA434)</f>
        <v/>
      </c>
      <c r="W433" s="28" t="str">
        <f>IF('12 - Device_Configuration'!BC434="","",'12 - Device_Configuration'!BC434)</f>
        <v/>
      </c>
      <c r="X433" s="28" t="str">
        <f>IF('12 - Device_Configuration'!BK434="","",'12 - Device_Configuration'!BK434)</f>
        <v/>
      </c>
      <c r="Y433" s="28" t="str">
        <f>IF('12 - Device_Configuration'!BB434="","",'12 - Device_Configuration'!BB434)</f>
        <v/>
      </c>
      <c r="Z433" s="28" t="str">
        <f>IF('12 - Device_Configuration'!P434="","",'12 - Device_Configuration'!P434)</f>
        <v/>
      </c>
      <c r="AA433" s="28" t="str">
        <f>IF('12 - Device_Configuration'!Q434="","",'12 - Device_Configuration'!Q434)</f>
        <v/>
      </c>
    </row>
    <row r="434" spans="1:27">
      <c r="A434" s="29"/>
      <c r="B434" s="29"/>
      <c r="C434" s="28" t="str">
        <f>IF('12 - Device_Configuration'!H435="","",'12 - Device_Configuration'!H435)</f>
        <v/>
      </c>
      <c r="D434" s="28" t="str">
        <f>IF('12 - Device_Configuration'!AE435="","",'12 - Device_Configuration'!AE435)</f>
        <v/>
      </c>
      <c r="E434" s="28" t="str">
        <f>IF('12 - Device_Configuration'!AF435="","",'12 - Device_Configuration'!AF435)</f>
        <v/>
      </c>
      <c r="F434" s="28" t="str">
        <f>IF('12 - Device_Configuration'!AG435="","",'12 - Device_Configuration'!AG435)</f>
        <v/>
      </c>
      <c r="G434" s="28" t="str">
        <f>IF('12 - Device_Configuration'!AH435="","",'12 - Device_Configuration'!AH435)</f>
        <v/>
      </c>
      <c r="H434" s="28" t="str">
        <f>IF('12 - Device_Configuration'!A435="","",'12 - Device_Configuration'!A435)</f>
        <v/>
      </c>
      <c r="I434" s="28" t="str">
        <f>IF('12 - Device_Configuration'!AI435="","",'12 - Device_Configuration'!AI435)</f>
        <v/>
      </c>
      <c r="J434" s="28" t="str">
        <f>IF('12 - Device_Configuration'!AJ435="","",'12 - Device_Configuration'!AJ435)</f>
        <v/>
      </c>
      <c r="K434" s="28" t="str">
        <f>IF('12 - Device_Configuration'!AA435="","",'12 - Device_Configuration'!AA435)</f>
        <v/>
      </c>
      <c r="L434" s="28" t="str">
        <f>IF('12 - Device_Configuration'!I435="","",'12 - Device_Configuration'!I435)</f>
        <v/>
      </c>
      <c r="M434" s="29"/>
      <c r="N434" s="28" t="str">
        <f>IF('12 - Device_Configuration'!J435="","",'12 - Device_Configuration'!J435)</f>
        <v/>
      </c>
      <c r="O434" s="28" t="str">
        <f>IF('12 - Device_Configuration'!K435="","",'12 - Device_Configuration'!K435)</f>
        <v/>
      </c>
      <c r="P434" s="28" t="str">
        <f>IF('12 - Device_Configuration'!L435="","",'12 - Device_Configuration'!L435)</f>
        <v/>
      </c>
      <c r="Q434" s="29"/>
      <c r="R434" s="28" t="str">
        <f>IF('12 - Device_Configuration'!AY435="","",'12 - Device_Configuration'!AY435)</f>
        <v/>
      </c>
      <c r="S434" s="28" t="str">
        <f>IF('12 - Device_Configuration'!AX435="","",'12 - Device_Configuration'!AX435)</f>
        <v/>
      </c>
      <c r="T434" s="28" t="str">
        <f>IF('12 - Device_Configuration'!AV435="","",'12 - Device_Configuration'!AV435)</f>
        <v/>
      </c>
      <c r="U434" s="28" t="str">
        <f>IF('12 - Device_Configuration'!AW435="","",'12 - Device_Configuration'!AW435)</f>
        <v/>
      </c>
      <c r="V434" s="28" t="str">
        <f>IF('12 - Device_Configuration'!BA435="","",'12 - Device_Configuration'!BA435)</f>
        <v/>
      </c>
      <c r="W434" s="28" t="str">
        <f>IF('12 - Device_Configuration'!BC435="","",'12 - Device_Configuration'!BC435)</f>
        <v/>
      </c>
      <c r="X434" s="28" t="str">
        <f>IF('12 - Device_Configuration'!BK435="","",'12 - Device_Configuration'!BK435)</f>
        <v/>
      </c>
      <c r="Y434" s="28" t="str">
        <f>IF('12 - Device_Configuration'!BB435="","",'12 - Device_Configuration'!BB435)</f>
        <v/>
      </c>
      <c r="Z434" s="28" t="str">
        <f>IF('12 - Device_Configuration'!P435="","",'12 - Device_Configuration'!P435)</f>
        <v/>
      </c>
      <c r="AA434" s="28" t="str">
        <f>IF('12 - Device_Configuration'!Q435="","",'12 - Device_Configuration'!Q435)</f>
        <v/>
      </c>
    </row>
    <row r="435" spans="1:27">
      <c r="A435" s="29"/>
      <c r="B435" s="29"/>
      <c r="C435" s="28" t="str">
        <f>IF('12 - Device_Configuration'!H436="","",'12 - Device_Configuration'!H436)</f>
        <v/>
      </c>
      <c r="D435" s="28" t="str">
        <f>IF('12 - Device_Configuration'!AE436="","",'12 - Device_Configuration'!AE436)</f>
        <v/>
      </c>
      <c r="E435" s="28" t="str">
        <f>IF('12 - Device_Configuration'!AF436="","",'12 - Device_Configuration'!AF436)</f>
        <v/>
      </c>
      <c r="F435" s="28" t="str">
        <f>IF('12 - Device_Configuration'!AG436="","",'12 - Device_Configuration'!AG436)</f>
        <v/>
      </c>
      <c r="G435" s="28" t="str">
        <f>IF('12 - Device_Configuration'!AH436="","",'12 - Device_Configuration'!AH436)</f>
        <v/>
      </c>
      <c r="H435" s="28" t="str">
        <f>IF('12 - Device_Configuration'!A436="","",'12 - Device_Configuration'!A436)</f>
        <v/>
      </c>
      <c r="I435" s="28" t="str">
        <f>IF('12 - Device_Configuration'!AI436="","",'12 - Device_Configuration'!AI436)</f>
        <v/>
      </c>
      <c r="J435" s="28" t="str">
        <f>IF('12 - Device_Configuration'!AJ436="","",'12 - Device_Configuration'!AJ436)</f>
        <v/>
      </c>
      <c r="K435" s="28" t="str">
        <f>IF('12 - Device_Configuration'!AA436="","",'12 - Device_Configuration'!AA436)</f>
        <v/>
      </c>
      <c r="L435" s="28" t="str">
        <f>IF('12 - Device_Configuration'!I436="","",'12 - Device_Configuration'!I436)</f>
        <v/>
      </c>
      <c r="M435" s="29"/>
      <c r="N435" s="28" t="str">
        <f>IF('12 - Device_Configuration'!J436="","",'12 - Device_Configuration'!J436)</f>
        <v/>
      </c>
      <c r="O435" s="28" t="str">
        <f>IF('12 - Device_Configuration'!K436="","",'12 - Device_Configuration'!K436)</f>
        <v/>
      </c>
      <c r="P435" s="28" t="str">
        <f>IF('12 - Device_Configuration'!L436="","",'12 - Device_Configuration'!L436)</f>
        <v/>
      </c>
      <c r="Q435" s="29"/>
      <c r="R435" s="28" t="str">
        <f>IF('12 - Device_Configuration'!AY436="","",'12 - Device_Configuration'!AY436)</f>
        <v/>
      </c>
      <c r="S435" s="28" t="str">
        <f>IF('12 - Device_Configuration'!AX436="","",'12 - Device_Configuration'!AX436)</f>
        <v/>
      </c>
      <c r="T435" s="28" t="str">
        <f>IF('12 - Device_Configuration'!AV436="","",'12 - Device_Configuration'!AV436)</f>
        <v/>
      </c>
      <c r="U435" s="28" t="str">
        <f>IF('12 - Device_Configuration'!AW436="","",'12 - Device_Configuration'!AW436)</f>
        <v/>
      </c>
      <c r="V435" s="28" t="str">
        <f>IF('12 - Device_Configuration'!BA436="","",'12 - Device_Configuration'!BA436)</f>
        <v/>
      </c>
      <c r="W435" s="28" t="str">
        <f>IF('12 - Device_Configuration'!BC436="","",'12 - Device_Configuration'!BC436)</f>
        <v/>
      </c>
      <c r="X435" s="28" t="str">
        <f>IF('12 - Device_Configuration'!BK436="","",'12 - Device_Configuration'!BK436)</f>
        <v/>
      </c>
      <c r="Y435" s="28" t="str">
        <f>IF('12 - Device_Configuration'!BB436="","",'12 - Device_Configuration'!BB436)</f>
        <v/>
      </c>
      <c r="Z435" s="28" t="str">
        <f>IF('12 - Device_Configuration'!P436="","",'12 - Device_Configuration'!P436)</f>
        <v/>
      </c>
      <c r="AA435" s="28" t="str">
        <f>IF('12 - Device_Configuration'!Q436="","",'12 - Device_Configuration'!Q436)</f>
        <v/>
      </c>
    </row>
    <row r="436" spans="1:27">
      <c r="A436" s="29"/>
      <c r="B436" s="29"/>
      <c r="C436" s="28" t="str">
        <f>IF('12 - Device_Configuration'!H437="","",'12 - Device_Configuration'!H437)</f>
        <v/>
      </c>
      <c r="D436" s="28" t="str">
        <f>IF('12 - Device_Configuration'!AE437="","",'12 - Device_Configuration'!AE437)</f>
        <v/>
      </c>
      <c r="E436" s="28" t="str">
        <f>IF('12 - Device_Configuration'!AF437="","",'12 - Device_Configuration'!AF437)</f>
        <v/>
      </c>
      <c r="F436" s="28" t="str">
        <f>IF('12 - Device_Configuration'!AG437="","",'12 - Device_Configuration'!AG437)</f>
        <v/>
      </c>
      <c r="G436" s="28" t="str">
        <f>IF('12 - Device_Configuration'!AH437="","",'12 - Device_Configuration'!AH437)</f>
        <v/>
      </c>
      <c r="H436" s="28" t="str">
        <f>IF('12 - Device_Configuration'!A437="","",'12 - Device_Configuration'!A437)</f>
        <v/>
      </c>
      <c r="I436" s="28" t="str">
        <f>IF('12 - Device_Configuration'!AI437="","",'12 - Device_Configuration'!AI437)</f>
        <v/>
      </c>
      <c r="J436" s="28" t="str">
        <f>IF('12 - Device_Configuration'!AJ437="","",'12 - Device_Configuration'!AJ437)</f>
        <v/>
      </c>
      <c r="K436" s="28" t="str">
        <f>IF('12 - Device_Configuration'!AA437="","",'12 - Device_Configuration'!AA437)</f>
        <v/>
      </c>
      <c r="L436" s="28" t="str">
        <f>IF('12 - Device_Configuration'!I437="","",'12 - Device_Configuration'!I437)</f>
        <v/>
      </c>
      <c r="M436" s="29"/>
      <c r="N436" s="28" t="str">
        <f>IF('12 - Device_Configuration'!J437="","",'12 - Device_Configuration'!J437)</f>
        <v/>
      </c>
      <c r="O436" s="28" t="str">
        <f>IF('12 - Device_Configuration'!K437="","",'12 - Device_Configuration'!K437)</f>
        <v/>
      </c>
      <c r="P436" s="28" t="str">
        <f>IF('12 - Device_Configuration'!L437="","",'12 - Device_Configuration'!L437)</f>
        <v/>
      </c>
      <c r="Q436" s="29"/>
      <c r="R436" s="28" t="str">
        <f>IF('12 - Device_Configuration'!AY437="","",'12 - Device_Configuration'!AY437)</f>
        <v/>
      </c>
      <c r="S436" s="28" t="str">
        <f>IF('12 - Device_Configuration'!AX437="","",'12 - Device_Configuration'!AX437)</f>
        <v/>
      </c>
      <c r="T436" s="28" t="str">
        <f>IF('12 - Device_Configuration'!AV437="","",'12 - Device_Configuration'!AV437)</f>
        <v/>
      </c>
      <c r="U436" s="28" t="str">
        <f>IF('12 - Device_Configuration'!AW437="","",'12 - Device_Configuration'!AW437)</f>
        <v/>
      </c>
      <c r="V436" s="28" t="str">
        <f>IF('12 - Device_Configuration'!BA437="","",'12 - Device_Configuration'!BA437)</f>
        <v/>
      </c>
      <c r="W436" s="28" t="str">
        <f>IF('12 - Device_Configuration'!BC437="","",'12 - Device_Configuration'!BC437)</f>
        <v/>
      </c>
      <c r="X436" s="28" t="str">
        <f>IF('12 - Device_Configuration'!BK437="","",'12 - Device_Configuration'!BK437)</f>
        <v/>
      </c>
      <c r="Y436" s="28" t="str">
        <f>IF('12 - Device_Configuration'!BB437="","",'12 - Device_Configuration'!BB437)</f>
        <v/>
      </c>
      <c r="Z436" s="28" t="str">
        <f>IF('12 - Device_Configuration'!P437="","",'12 - Device_Configuration'!P437)</f>
        <v/>
      </c>
      <c r="AA436" s="28" t="str">
        <f>IF('12 - Device_Configuration'!Q437="","",'12 - Device_Configuration'!Q437)</f>
        <v/>
      </c>
    </row>
    <row r="437" spans="1:27">
      <c r="A437" s="29"/>
      <c r="B437" s="29"/>
      <c r="C437" s="28" t="str">
        <f>IF('12 - Device_Configuration'!H438="","",'12 - Device_Configuration'!H438)</f>
        <v/>
      </c>
      <c r="D437" s="28" t="str">
        <f>IF('12 - Device_Configuration'!AE438="","",'12 - Device_Configuration'!AE438)</f>
        <v/>
      </c>
      <c r="E437" s="28" t="str">
        <f>IF('12 - Device_Configuration'!AF438="","",'12 - Device_Configuration'!AF438)</f>
        <v/>
      </c>
      <c r="F437" s="28" t="str">
        <f>IF('12 - Device_Configuration'!AG438="","",'12 - Device_Configuration'!AG438)</f>
        <v/>
      </c>
      <c r="G437" s="28" t="str">
        <f>IF('12 - Device_Configuration'!AH438="","",'12 - Device_Configuration'!AH438)</f>
        <v/>
      </c>
      <c r="H437" s="28" t="str">
        <f>IF('12 - Device_Configuration'!A438="","",'12 - Device_Configuration'!A438)</f>
        <v/>
      </c>
      <c r="I437" s="28" t="str">
        <f>IF('12 - Device_Configuration'!AI438="","",'12 - Device_Configuration'!AI438)</f>
        <v/>
      </c>
      <c r="J437" s="28" t="str">
        <f>IF('12 - Device_Configuration'!AJ438="","",'12 - Device_Configuration'!AJ438)</f>
        <v/>
      </c>
      <c r="K437" s="28" t="str">
        <f>IF('12 - Device_Configuration'!AA438="","",'12 - Device_Configuration'!AA438)</f>
        <v/>
      </c>
      <c r="L437" s="28" t="str">
        <f>IF('12 - Device_Configuration'!I438="","",'12 - Device_Configuration'!I438)</f>
        <v/>
      </c>
      <c r="M437" s="29"/>
      <c r="N437" s="28" t="str">
        <f>IF('12 - Device_Configuration'!J438="","",'12 - Device_Configuration'!J438)</f>
        <v/>
      </c>
      <c r="O437" s="28" t="str">
        <f>IF('12 - Device_Configuration'!K438="","",'12 - Device_Configuration'!K438)</f>
        <v/>
      </c>
      <c r="P437" s="28" t="str">
        <f>IF('12 - Device_Configuration'!L438="","",'12 - Device_Configuration'!L438)</f>
        <v/>
      </c>
      <c r="Q437" s="29"/>
      <c r="R437" s="28" t="str">
        <f>IF('12 - Device_Configuration'!AY438="","",'12 - Device_Configuration'!AY438)</f>
        <v/>
      </c>
      <c r="S437" s="28" t="str">
        <f>IF('12 - Device_Configuration'!AX438="","",'12 - Device_Configuration'!AX438)</f>
        <v/>
      </c>
      <c r="T437" s="28" t="str">
        <f>IF('12 - Device_Configuration'!AV438="","",'12 - Device_Configuration'!AV438)</f>
        <v/>
      </c>
      <c r="U437" s="28" t="str">
        <f>IF('12 - Device_Configuration'!AW438="","",'12 - Device_Configuration'!AW438)</f>
        <v/>
      </c>
      <c r="V437" s="28" t="str">
        <f>IF('12 - Device_Configuration'!BA438="","",'12 - Device_Configuration'!BA438)</f>
        <v/>
      </c>
      <c r="W437" s="28" t="str">
        <f>IF('12 - Device_Configuration'!BC438="","",'12 - Device_Configuration'!BC438)</f>
        <v/>
      </c>
      <c r="X437" s="28" t="str">
        <f>IF('12 - Device_Configuration'!BK438="","",'12 - Device_Configuration'!BK438)</f>
        <v/>
      </c>
      <c r="Y437" s="28" t="str">
        <f>IF('12 - Device_Configuration'!BB438="","",'12 - Device_Configuration'!BB438)</f>
        <v/>
      </c>
      <c r="Z437" s="28" t="str">
        <f>IF('12 - Device_Configuration'!P438="","",'12 - Device_Configuration'!P438)</f>
        <v/>
      </c>
      <c r="AA437" s="28" t="str">
        <f>IF('12 - Device_Configuration'!Q438="","",'12 - Device_Configuration'!Q438)</f>
        <v/>
      </c>
    </row>
    <row r="438" spans="1:27">
      <c r="A438" s="29"/>
      <c r="B438" s="29"/>
      <c r="C438" s="28" t="str">
        <f>IF('12 - Device_Configuration'!H439="","",'12 - Device_Configuration'!H439)</f>
        <v/>
      </c>
      <c r="D438" s="28" t="str">
        <f>IF('12 - Device_Configuration'!AE439="","",'12 - Device_Configuration'!AE439)</f>
        <v/>
      </c>
      <c r="E438" s="28" t="str">
        <f>IF('12 - Device_Configuration'!AF439="","",'12 - Device_Configuration'!AF439)</f>
        <v/>
      </c>
      <c r="F438" s="28" t="str">
        <f>IF('12 - Device_Configuration'!AG439="","",'12 - Device_Configuration'!AG439)</f>
        <v/>
      </c>
      <c r="G438" s="28" t="str">
        <f>IF('12 - Device_Configuration'!AH439="","",'12 - Device_Configuration'!AH439)</f>
        <v/>
      </c>
      <c r="H438" s="28" t="str">
        <f>IF('12 - Device_Configuration'!A439="","",'12 - Device_Configuration'!A439)</f>
        <v/>
      </c>
      <c r="I438" s="28" t="str">
        <f>IF('12 - Device_Configuration'!AI439="","",'12 - Device_Configuration'!AI439)</f>
        <v/>
      </c>
      <c r="J438" s="28" t="str">
        <f>IF('12 - Device_Configuration'!AJ439="","",'12 - Device_Configuration'!AJ439)</f>
        <v/>
      </c>
      <c r="K438" s="28" t="str">
        <f>IF('12 - Device_Configuration'!AA439="","",'12 - Device_Configuration'!AA439)</f>
        <v/>
      </c>
      <c r="L438" s="28" t="str">
        <f>IF('12 - Device_Configuration'!I439="","",'12 - Device_Configuration'!I439)</f>
        <v/>
      </c>
      <c r="M438" s="29"/>
      <c r="N438" s="28" t="str">
        <f>IF('12 - Device_Configuration'!J439="","",'12 - Device_Configuration'!J439)</f>
        <v/>
      </c>
      <c r="O438" s="28" t="str">
        <f>IF('12 - Device_Configuration'!K439="","",'12 - Device_Configuration'!K439)</f>
        <v/>
      </c>
      <c r="P438" s="28" t="str">
        <f>IF('12 - Device_Configuration'!L439="","",'12 - Device_Configuration'!L439)</f>
        <v/>
      </c>
      <c r="Q438" s="29"/>
      <c r="R438" s="28" t="str">
        <f>IF('12 - Device_Configuration'!AY439="","",'12 - Device_Configuration'!AY439)</f>
        <v/>
      </c>
      <c r="S438" s="28" t="str">
        <f>IF('12 - Device_Configuration'!AX439="","",'12 - Device_Configuration'!AX439)</f>
        <v/>
      </c>
      <c r="T438" s="28" t="str">
        <f>IF('12 - Device_Configuration'!AV439="","",'12 - Device_Configuration'!AV439)</f>
        <v/>
      </c>
      <c r="U438" s="28" t="str">
        <f>IF('12 - Device_Configuration'!AW439="","",'12 - Device_Configuration'!AW439)</f>
        <v/>
      </c>
      <c r="V438" s="28" t="str">
        <f>IF('12 - Device_Configuration'!BA439="","",'12 - Device_Configuration'!BA439)</f>
        <v/>
      </c>
      <c r="W438" s="28" t="str">
        <f>IF('12 - Device_Configuration'!BC439="","",'12 - Device_Configuration'!BC439)</f>
        <v/>
      </c>
      <c r="X438" s="28" t="str">
        <f>IF('12 - Device_Configuration'!BK439="","",'12 - Device_Configuration'!BK439)</f>
        <v/>
      </c>
      <c r="Y438" s="28" t="str">
        <f>IF('12 - Device_Configuration'!BB439="","",'12 - Device_Configuration'!BB439)</f>
        <v/>
      </c>
      <c r="Z438" s="28" t="str">
        <f>IF('12 - Device_Configuration'!P439="","",'12 - Device_Configuration'!P439)</f>
        <v/>
      </c>
      <c r="AA438" s="28" t="str">
        <f>IF('12 - Device_Configuration'!Q439="","",'12 - Device_Configuration'!Q439)</f>
        <v/>
      </c>
    </row>
    <row r="439" spans="1:27">
      <c r="A439" s="29"/>
      <c r="B439" s="29"/>
      <c r="C439" s="28" t="str">
        <f>IF('12 - Device_Configuration'!H440="","",'12 - Device_Configuration'!H440)</f>
        <v/>
      </c>
      <c r="D439" s="28" t="str">
        <f>IF('12 - Device_Configuration'!AE440="","",'12 - Device_Configuration'!AE440)</f>
        <v/>
      </c>
      <c r="E439" s="28" t="str">
        <f>IF('12 - Device_Configuration'!AF440="","",'12 - Device_Configuration'!AF440)</f>
        <v/>
      </c>
      <c r="F439" s="28" t="str">
        <f>IF('12 - Device_Configuration'!AG440="","",'12 - Device_Configuration'!AG440)</f>
        <v/>
      </c>
      <c r="G439" s="28" t="str">
        <f>IF('12 - Device_Configuration'!AH440="","",'12 - Device_Configuration'!AH440)</f>
        <v/>
      </c>
      <c r="H439" s="28" t="str">
        <f>IF('12 - Device_Configuration'!A440="","",'12 - Device_Configuration'!A440)</f>
        <v/>
      </c>
      <c r="I439" s="28" t="str">
        <f>IF('12 - Device_Configuration'!AI440="","",'12 - Device_Configuration'!AI440)</f>
        <v/>
      </c>
      <c r="J439" s="28" t="str">
        <f>IF('12 - Device_Configuration'!AJ440="","",'12 - Device_Configuration'!AJ440)</f>
        <v/>
      </c>
      <c r="K439" s="28" t="str">
        <f>IF('12 - Device_Configuration'!AA440="","",'12 - Device_Configuration'!AA440)</f>
        <v/>
      </c>
      <c r="L439" s="28" t="str">
        <f>IF('12 - Device_Configuration'!I440="","",'12 - Device_Configuration'!I440)</f>
        <v/>
      </c>
      <c r="M439" s="29"/>
      <c r="N439" s="28" t="str">
        <f>IF('12 - Device_Configuration'!J440="","",'12 - Device_Configuration'!J440)</f>
        <v/>
      </c>
      <c r="O439" s="28" t="str">
        <f>IF('12 - Device_Configuration'!K440="","",'12 - Device_Configuration'!K440)</f>
        <v/>
      </c>
      <c r="P439" s="28" t="str">
        <f>IF('12 - Device_Configuration'!L440="","",'12 - Device_Configuration'!L440)</f>
        <v/>
      </c>
      <c r="Q439" s="29"/>
      <c r="R439" s="28" t="str">
        <f>IF('12 - Device_Configuration'!AY440="","",'12 - Device_Configuration'!AY440)</f>
        <v/>
      </c>
      <c r="S439" s="28" t="str">
        <f>IF('12 - Device_Configuration'!AX440="","",'12 - Device_Configuration'!AX440)</f>
        <v/>
      </c>
      <c r="T439" s="28" t="str">
        <f>IF('12 - Device_Configuration'!AV440="","",'12 - Device_Configuration'!AV440)</f>
        <v/>
      </c>
      <c r="U439" s="28" t="str">
        <f>IF('12 - Device_Configuration'!AW440="","",'12 - Device_Configuration'!AW440)</f>
        <v/>
      </c>
      <c r="V439" s="28" t="str">
        <f>IF('12 - Device_Configuration'!BA440="","",'12 - Device_Configuration'!BA440)</f>
        <v/>
      </c>
      <c r="W439" s="28" t="str">
        <f>IF('12 - Device_Configuration'!BC440="","",'12 - Device_Configuration'!BC440)</f>
        <v/>
      </c>
      <c r="X439" s="28" t="str">
        <f>IF('12 - Device_Configuration'!BK440="","",'12 - Device_Configuration'!BK440)</f>
        <v/>
      </c>
      <c r="Y439" s="28" t="str">
        <f>IF('12 - Device_Configuration'!BB440="","",'12 - Device_Configuration'!BB440)</f>
        <v/>
      </c>
      <c r="Z439" s="28" t="str">
        <f>IF('12 - Device_Configuration'!P440="","",'12 - Device_Configuration'!P440)</f>
        <v/>
      </c>
      <c r="AA439" s="28" t="str">
        <f>IF('12 - Device_Configuration'!Q440="","",'12 - Device_Configuration'!Q440)</f>
        <v/>
      </c>
    </row>
    <row r="440" spans="1:27">
      <c r="A440" s="29"/>
      <c r="B440" s="29"/>
      <c r="C440" s="28" t="str">
        <f>IF('12 - Device_Configuration'!H441="","",'12 - Device_Configuration'!H441)</f>
        <v/>
      </c>
      <c r="D440" s="28" t="str">
        <f>IF('12 - Device_Configuration'!AE441="","",'12 - Device_Configuration'!AE441)</f>
        <v/>
      </c>
      <c r="E440" s="28" t="str">
        <f>IF('12 - Device_Configuration'!AF441="","",'12 - Device_Configuration'!AF441)</f>
        <v/>
      </c>
      <c r="F440" s="28" t="str">
        <f>IF('12 - Device_Configuration'!AG441="","",'12 - Device_Configuration'!AG441)</f>
        <v/>
      </c>
      <c r="G440" s="28" t="str">
        <f>IF('12 - Device_Configuration'!AH441="","",'12 - Device_Configuration'!AH441)</f>
        <v/>
      </c>
      <c r="H440" s="28" t="str">
        <f>IF('12 - Device_Configuration'!A441="","",'12 - Device_Configuration'!A441)</f>
        <v/>
      </c>
      <c r="I440" s="28" t="str">
        <f>IF('12 - Device_Configuration'!AI441="","",'12 - Device_Configuration'!AI441)</f>
        <v/>
      </c>
      <c r="J440" s="28" t="str">
        <f>IF('12 - Device_Configuration'!AJ441="","",'12 - Device_Configuration'!AJ441)</f>
        <v/>
      </c>
      <c r="K440" s="28" t="str">
        <f>IF('12 - Device_Configuration'!AA441="","",'12 - Device_Configuration'!AA441)</f>
        <v/>
      </c>
      <c r="L440" s="28" t="str">
        <f>IF('12 - Device_Configuration'!I441="","",'12 - Device_Configuration'!I441)</f>
        <v/>
      </c>
      <c r="M440" s="29"/>
      <c r="N440" s="28" t="str">
        <f>IF('12 - Device_Configuration'!J441="","",'12 - Device_Configuration'!J441)</f>
        <v/>
      </c>
      <c r="O440" s="28" t="str">
        <f>IF('12 - Device_Configuration'!K441="","",'12 - Device_Configuration'!K441)</f>
        <v/>
      </c>
      <c r="P440" s="28" t="str">
        <f>IF('12 - Device_Configuration'!L441="","",'12 - Device_Configuration'!L441)</f>
        <v/>
      </c>
      <c r="Q440" s="29"/>
      <c r="R440" s="28" t="str">
        <f>IF('12 - Device_Configuration'!AY441="","",'12 - Device_Configuration'!AY441)</f>
        <v/>
      </c>
      <c r="S440" s="28" t="str">
        <f>IF('12 - Device_Configuration'!AX441="","",'12 - Device_Configuration'!AX441)</f>
        <v/>
      </c>
      <c r="T440" s="28" t="str">
        <f>IF('12 - Device_Configuration'!AV441="","",'12 - Device_Configuration'!AV441)</f>
        <v/>
      </c>
      <c r="U440" s="28" t="str">
        <f>IF('12 - Device_Configuration'!AW441="","",'12 - Device_Configuration'!AW441)</f>
        <v/>
      </c>
      <c r="V440" s="28" t="str">
        <f>IF('12 - Device_Configuration'!BA441="","",'12 - Device_Configuration'!BA441)</f>
        <v/>
      </c>
      <c r="W440" s="28" t="str">
        <f>IF('12 - Device_Configuration'!BC441="","",'12 - Device_Configuration'!BC441)</f>
        <v/>
      </c>
      <c r="X440" s="28" t="str">
        <f>IF('12 - Device_Configuration'!BK441="","",'12 - Device_Configuration'!BK441)</f>
        <v/>
      </c>
      <c r="Y440" s="28" t="str">
        <f>IF('12 - Device_Configuration'!BB441="","",'12 - Device_Configuration'!BB441)</f>
        <v/>
      </c>
      <c r="Z440" s="28" t="str">
        <f>IF('12 - Device_Configuration'!P441="","",'12 - Device_Configuration'!P441)</f>
        <v/>
      </c>
      <c r="AA440" s="28" t="str">
        <f>IF('12 - Device_Configuration'!Q441="","",'12 - Device_Configuration'!Q441)</f>
        <v/>
      </c>
    </row>
    <row r="441" spans="1:27">
      <c r="A441" s="29"/>
      <c r="B441" s="29"/>
      <c r="C441" s="28" t="str">
        <f>IF('12 - Device_Configuration'!H442="","",'12 - Device_Configuration'!H442)</f>
        <v/>
      </c>
      <c r="D441" s="28" t="str">
        <f>IF('12 - Device_Configuration'!AE442="","",'12 - Device_Configuration'!AE442)</f>
        <v/>
      </c>
      <c r="E441" s="28" t="str">
        <f>IF('12 - Device_Configuration'!AF442="","",'12 - Device_Configuration'!AF442)</f>
        <v/>
      </c>
      <c r="F441" s="28" t="str">
        <f>IF('12 - Device_Configuration'!AG442="","",'12 - Device_Configuration'!AG442)</f>
        <v/>
      </c>
      <c r="G441" s="28" t="str">
        <f>IF('12 - Device_Configuration'!AH442="","",'12 - Device_Configuration'!AH442)</f>
        <v/>
      </c>
      <c r="H441" s="28" t="str">
        <f>IF('12 - Device_Configuration'!A442="","",'12 - Device_Configuration'!A442)</f>
        <v/>
      </c>
      <c r="I441" s="28" t="str">
        <f>IF('12 - Device_Configuration'!AI442="","",'12 - Device_Configuration'!AI442)</f>
        <v/>
      </c>
      <c r="J441" s="28" t="str">
        <f>IF('12 - Device_Configuration'!AJ442="","",'12 - Device_Configuration'!AJ442)</f>
        <v/>
      </c>
      <c r="K441" s="28" t="str">
        <f>IF('12 - Device_Configuration'!AA442="","",'12 - Device_Configuration'!AA442)</f>
        <v/>
      </c>
      <c r="L441" s="28" t="str">
        <f>IF('12 - Device_Configuration'!I442="","",'12 - Device_Configuration'!I442)</f>
        <v/>
      </c>
      <c r="M441" s="29"/>
      <c r="N441" s="28" t="str">
        <f>IF('12 - Device_Configuration'!J442="","",'12 - Device_Configuration'!J442)</f>
        <v/>
      </c>
      <c r="O441" s="28" t="str">
        <f>IF('12 - Device_Configuration'!K442="","",'12 - Device_Configuration'!K442)</f>
        <v/>
      </c>
      <c r="P441" s="28" t="str">
        <f>IF('12 - Device_Configuration'!L442="","",'12 - Device_Configuration'!L442)</f>
        <v/>
      </c>
      <c r="Q441" s="29"/>
      <c r="R441" s="28" t="str">
        <f>IF('12 - Device_Configuration'!AY442="","",'12 - Device_Configuration'!AY442)</f>
        <v/>
      </c>
      <c r="S441" s="28" t="str">
        <f>IF('12 - Device_Configuration'!AX442="","",'12 - Device_Configuration'!AX442)</f>
        <v/>
      </c>
      <c r="T441" s="28" t="str">
        <f>IF('12 - Device_Configuration'!AV442="","",'12 - Device_Configuration'!AV442)</f>
        <v/>
      </c>
      <c r="U441" s="28" t="str">
        <f>IF('12 - Device_Configuration'!AW442="","",'12 - Device_Configuration'!AW442)</f>
        <v/>
      </c>
      <c r="V441" s="28" t="str">
        <f>IF('12 - Device_Configuration'!BA442="","",'12 - Device_Configuration'!BA442)</f>
        <v/>
      </c>
      <c r="W441" s="28" t="str">
        <f>IF('12 - Device_Configuration'!BC442="","",'12 - Device_Configuration'!BC442)</f>
        <v/>
      </c>
      <c r="X441" s="28" t="str">
        <f>IF('12 - Device_Configuration'!BK442="","",'12 - Device_Configuration'!BK442)</f>
        <v/>
      </c>
      <c r="Y441" s="28" t="str">
        <f>IF('12 - Device_Configuration'!BB442="","",'12 - Device_Configuration'!BB442)</f>
        <v/>
      </c>
      <c r="Z441" s="28" t="str">
        <f>IF('12 - Device_Configuration'!P442="","",'12 - Device_Configuration'!P442)</f>
        <v/>
      </c>
      <c r="AA441" s="28" t="str">
        <f>IF('12 - Device_Configuration'!Q442="","",'12 - Device_Configuration'!Q442)</f>
        <v/>
      </c>
    </row>
    <row r="442" spans="1:27">
      <c r="A442" s="29"/>
      <c r="B442" s="29"/>
      <c r="C442" s="28" t="str">
        <f>IF('12 - Device_Configuration'!H443="","",'12 - Device_Configuration'!H443)</f>
        <v/>
      </c>
      <c r="D442" s="28" t="str">
        <f>IF('12 - Device_Configuration'!AE443="","",'12 - Device_Configuration'!AE443)</f>
        <v/>
      </c>
      <c r="E442" s="28" t="str">
        <f>IF('12 - Device_Configuration'!AF443="","",'12 - Device_Configuration'!AF443)</f>
        <v/>
      </c>
      <c r="F442" s="28" t="str">
        <f>IF('12 - Device_Configuration'!AG443="","",'12 - Device_Configuration'!AG443)</f>
        <v/>
      </c>
      <c r="G442" s="28" t="str">
        <f>IF('12 - Device_Configuration'!AH443="","",'12 - Device_Configuration'!AH443)</f>
        <v/>
      </c>
      <c r="H442" s="28" t="str">
        <f>IF('12 - Device_Configuration'!A443="","",'12 - Device_Configuration'!A443)</f>
        <v/>
      </c>
      <c r="I442" s="28" t="str">
        <f>IF('12 - Device_Configuration'!AI443="","",'12 - Device_Configuration'!AI443)</f>
        <v/>
      </c>
      <c r="J442" s="28" t="str">
        <f>IF('12 - Device_Configuration'!AJ443="","",'12 - Device_Configuration'!AJ443)</f>
        <v/>
      </c>
      <c r="K442" s="28" t="str">
        <f>IF('12 - Device_Configuration'!AA443="","",'12 - Device_Configuration'!AA443)</f>
        <v/>
      </c>
      <c r="L442" s="28" t="str">
        <f>IF('12 - Device_Configuration'!I443="","",'12 - Device_Configuration'!I443)</f>
        <v/>
      </c>
      <c r="M442" s="29"/>
      <c r="N442" s="28" t="str">
        <f>IF('12 - Device_Configuration'!J443="","",'12 - Device_Configuration'!J443)</f>
        <v/>
      </c>
      <c r="O442" s="28" t="str">
        <f>IF('12 - Device_Configuration'!K443="","",'12 - Device_Configuration'!K443)</f>
        <v/>
      </c>
      <c r="P442" s="28" t="str">
        <f>IF('12 - Device_Configuration'!L443="","",'12 - Device_Configuration'!L443)</f>
        <v/>
      </c>
      <c r="Q442" s="29"/>
      <c r="R442" s="28" t="str">
        <f>IF('12 - Device_Configuration'!AY443="","",'12 - Device_Configuration'!AY443)</f>
        <v/>
      </c>
      <c r="S442" s="28" t="str">
        <f>IF('12 - Device_Configuration'!AX443="","",'12 - Device_Configuration'!AX443)</f>
        <v/>
      </c>
      <c r="T442" s="28" t="str">
        <f>IF('12 - Device_Configuration'!AV443="","",'12 - Device_Configuration'!AV443)</f>
        <v/>
      </c>
      <c r="U442" s="28" t="str">
        <f>IF('12 - Device_Configuration'!AW443="","",'12 - Device_Configuration'!AW443)</f>
        <v/>
      </c>
      <c r="V442" s="28" t="str">
        <f>IF('12 - Device_Configuration'!BA443="","",'12 - Device_Configuration'!BA443)</f>
        <v/>
      </c>
      <c r="W442" s="28" t="str">
        <f>IF('12 - Device_Configuration'!BC443="","",'12 - Device_Configuration'!BC443)</f>
        <v/>
      </c>
      <c r="X442" s="28" t="str">
        <f>IF('12 - Device_Configuration'!BK443="","",'12 - Device_Configuration'!BK443)</f>
        <v/>
      </c>
      <c r="Y442" s="28" t="str">
        <f>IF('12 - Device_Configuration'!BB443="","",'12 - Device_Configuration'!BB443)</f>
        <v/>
      </c>
      <c r="Z442" s="28" t="str">
        <f>IF('12 - Device_Configuration'!P443="","",'12 - Device_Configuration'!P443)</f>
        <v/>
      </c>
      <c r="AA442" s="28" t="str">
        <f>IF('12 - Device_Configuration'!Q443="","",'12 - Device_Configuration'!Q443)</f>
        <v/>
      </c>
    </row>
    <row r="443" spans="1:27">
      <c r="A443" s="29"/>
      <c r="B443" s="29"/>
      <c r="C443" s="28" t="str">
        <f>IF('12 - Device_Configuration'!H444="","",'12 - Device_Configuration'!H444)</f>
        <v/>
      </c>
      <c r="D443" s="28" t="str">
        <f>IF('12 - Device_Configuration'!AE444="","",'12 - Device_Configuration'!AE444)</f>
        <v/>
      </c>
      <c r="E443" s="28" t="str">
        <f>IF('12 - Device_Configuration'!AF444="","",'12 - Device_Configuration'!AF444)</f>
        <v/>
      </c>
      <c r="F443" s="28" t="str">
        <f>IF('12 - Device_Configuration'!AG444="","",'12 - Device_Configuration'!AG444)</f>
        <v/>
      </c>
      <c r="G443" s="28" t="str">
        <f>IF('12 - Device_Configuration'!AH444="","",'12 - Device_Configuration'!AH444)</f>
        <v/>
      </c>
      <c r="H443" s="28" t="str">
        <f>IF('12 - Device_Configuration'!A444="","",'12 - Device_Configuration'!A444)</f>
        <v/>
      </c>
      <c r="I443" s="28" t="str">
        <f>IF('12 - Device_Configuration'!AI444="","",'12 - Device_Configuration'!AI444)</f>
        <v/>
      </c>
      <c r="J443" s="28" t="str">
        <f>IF('12 - Device_Configuration'!AJ444="","",'12 - Device_Configuration'!AJ444)</f>
        <v/>
      </c>
      <c r="K443" s="28" t="str">
        <f>IF('12 - Device_Configuration'!AA444="","",'12 - Device_Configuration'!AA444)</f>
        <v/>
      </c>
      <c r="L443" s="28" t="str">
        <f>IF('12 - Device_Configuration'!I444="","",'12 - Device_Configuration'!I444)</f>
        <v/>
      </c>
      <c r="M443" s="29"/>
      <c r="N443" s="28" t="str">
        <f>IF('12 - Device_Configuration'!J444="","",'12 - Device_Configuration'!J444)</f>
        <v/>
      </c>
      <c r="O443" s="28" t="str">
        <f>IF('12 - Device_Configuration'!K444="","",'12 - Device_Configuration'!K444)</f>
        <v/>
      </c>
      <c r="P443" s="28" t="str">
        <f>IF('12 - Device_Configuration'!L444="","",'12 - Device_Configuration'!L444)</f>
        <v/>
      </c>
      <c r="Q443" s="29"/>
      <c r="R443" s="28" t="str">
        <f>IF('12 - Device_Configuration'!AY444="","",'12 - Device_Configuration'!AY444)</f>
        <v/>
      </c>
      <c r="S443" s="28" t="str">
        <f>IF('12 - Device_Configuration'!AX444="","",'12 - Device_Configuration'!AX444)</f>
        <v/>
      </c>
      <c r="T443" s="28" t="str">
        <f>IF('12 - Device_Configuration'!AV444="","",'12 - Device_Configuration'!AV444)</f>
        <v/>
      </c>
      <c r="U443" s="28" t="str">
        <f>IF('12 - Device_Configuration'!AW444="","",'12 - Device_Configuration'!AW444)</f>
        <v/>
      </c>
      <c r="V443" s="28" t="str">
        <f>IF('12 - Device_Configuration'!BA444="","",'12 - Device_Configuration'!BA444)</f>
        <v/>
      </c>
      <c r="W443" s="28" t="str">
        <f>IF('12 - Device_Configuration'!BC444="","",'12 - Device_Configuration'!BC444)</f>
        <v/>
      </c>
      <c r="X443" s="28" t="str">
        <f>IF('12 - Device_Configuration'!BK444="","",'12 - Device_Configuration'!BK444)</f>
        <v/>
      </c>
      <c r="Y443" s="28" t="str">
        <f>IF('12 - Device_Configuration'!BB444="","",'12 - Device_Configuration'!BB444)</f>
        <v/>
      </c>
      <c r="Z443" s="28" t="str">
        <f>IF('12 - Device_Configuration'!P444="","",'12 - Device_Configuration'!P444)</f>
        <v/>
      </c>
      <c r="AA443" s="28" t="str">
        <f>IF('12 - Device_Configuration'!Q444="","",'12 - Device_Configuration'!Q444)</f>
        <v/>
      </c>
    </row>
    <row r="444" spans="1:27">
      <c r="A444" s="29"/>
      <c r="B444" s="29"/>
      <c r="C444" s="28" t="str">
        <f>IF('12 - Device_Configuration'!H445="","",'12 - Device_Configuration'!H445)</f>
        <v/>
      </c>
      <c r="D444" s="28" t="str">
        <f>IF('12 - Device_Configuration'!AE445="","",'12 - Device_Configuration'!AE445)</f>
        <v/>
      </c>
      <c r="E444" s="28" t="str">
        <f>IF('12 - Device_Configuration'!AF445="","",'12 - Device_Configuration'!AF445)</f>
        <v/>
      </c>
      <c r="F444" s="28" t="str">
        <f>IF('12 - Device_Configuration'!AG445="","",'12 - Device_Configuration'!AG445)</f>
        <v/>
      </c>
      <c r="G444" s="28" t="str">
        <f>IF('12 - Device_Configuration'!AH445="","",'12 - Device_Configuration'!AH445)</f>
        <v/>
      </c>
      <c r="H444" s="28" t="str">
        <f>IF('12 - Device_Configuration'!A445="","",'12 - Device_Configuration'!A445)</f>
        <v/>
      </c>
      <c r="I444" s="28" t="str">
        <f>IF('12 - Device_Configuration'!AI445="","",'12 - Device_Configuration'!AI445)</f>
        <v/>
      </c>
      <c r="J444" s="28" t="str">
        <f>IF('12 - Device_Configuration'!AJ445="","",'12 - Device_Configuration'!AJ445)</f>
        <v/>
      </c>
      <c r="K444" s="28" t="str">
        <f>IF('12 - Device_Configuration'!AA445="","",'12 - Device_Configuration'!AA445)</f>
        <v/>
      </c>
      <c r="L444" s="28" t="str">
        <f>IF('12 - Device_Configuration'!I445="","",'12 - Device_Configuration'!I445)</f>
        <v/>
      </c>
      <c r="M444" s="29"/>
      <c r="N444" s="28" t="str">
        <f>IF('12 - Device_Configuration'!J445="","",'12 - Device_Configuration'!J445)</f>
        <v/>
      </c>
      <c r="O444" s="28" t="str">
        <f>IF('12 - Device_Configuration'!K445="","",'12 - Device_Configuration'!K445)</f>
        <v/>
      </c>
      <c r="P444" s="28" t="str">
        <f>IF('12 - Device_Configuration'!L445="","",'12 - Device_Configuration'!L445)</f>
        <v/>
      </c>
      <c r="Q444" s="29"/>
      <c r="R444" s="28" t="str">
        <f>IF('12 - Device_Configuration'!AY445="","",'12 - Device_Configuration'!AY445)</f>
        <v/>
      </c>
      <c r="S444" s="28" t="str">
        <f>IF('12 - Device_Configuration'!AX445="","",'12 - Device_Configuration'!AX445)</f>
        <v/>
      </c>
      <c r="T444" s="28" t="str">
        <f>IF('12 - Device_Configuration'!AV445="","",'12 - Device_Configuration'!AV445)</f>
        <v/>
      </c>
      <c r="U444" s="28" t="str">
        <f>IF('12 - Device_Configuration'!AW445="","",'12 - Device_Configuration'!AW445)</f>
        <v/>
      </c>
      <c r="V444" s="28" t="str">
        <f>IF('12 - Device_Configuration'!BA445="","",'12 - Device_Configuration'!BA445)</f>
        <v/>
      </c>
      <c r="W444" s="28" t="str">
        <f>IF('12 - Device_Configuration'!BC445="","",'12 - Device_Configuration'!BC445)</f>
        <v/>
      </c>
      <c r="X444" s="28" t="str">
        <f>IF('12 - Device_Configuration'!BK445="","",'12 - Device_Configuration'!BK445)</f>
        <v/>
      </c>
      <c r="Y444" s="28" t="str">
        <f>IF('12 - Device_Configuration'!BB445="","",'12 - Device_Configuration'!BB445)</f>
        <v/>
      </c>
      <c r="Z444" s="28" t="str">
        <f>IF('12 - Device_Configuration'!P445="","",'12 - Device_Configuration'!P445)</f>
        <v/>
      </c>
      <c r="AA444" s="28" t="str">
        <f>IF('12 - Device_Configuration'!Q445="","",'12 - Device_Configuration'!Q445)</f>
        <v/>
      </c>
    </row>
    <row r="445" spans="1:27">
      <c r="A445" s="29"/>
      <c r="B445" s="29"/>
      <c r="C445" s="28" t="str">
        <f>IF('12 - Device_Configuration'!H446="","",'12 - Device_Configuration'!H446)</f>
        <v/>
      </c>
      <c r="D445" s="28" t="str">
        <f>IF('12 - Device_Configuration'!AE446="","",'12 - Device_Configuration'!AE446)</f>
        <v/>
      </c>
      <c r="E445" s="28" t="str">
        <f>IF('12 - Device_Configuration'!AF446="","",'12 - Device_Configuration'!AF446)</f>
        <v/>
      </c>
      <c r="F445" s="28" t="str">
        <f>IF('12 - Device_Configuration'!AG446="","",'12 - Device_Configuration'!AG446)</f>
        <v/>
      </c>
      <c r="G445" s="28" t="str">
        <f>IF('12 - Device_Configuration'!AH446="","",'12 - Device_Configuration'!AH446)</f>
        <v/>
      </c>
      <c r="H445" s="28" t="str">
        <f>IF('12 - Device_Configuration'!A446="","",'12 - Device_Configuration'!A446)</f>
        <v/>
      </c>
      <c r="I445" s="28" t="str">
        <f>IF('12 - Device_Configuration'!AI446="","",'12 - Device_Configuration'!AI446)</f>
        <v/>
      </c>
      <c r="J445" s="28" t="str">
        <f>IF('12 - Device_Configuration'!AJ446="","",'12 - Device_Configuration'!AJ446)</f>
        <v/>
      </c>
      <c r="K445" s="28" t="str">
        <f>IF('12 - Device_Configuration'!AA446="","",'12 - Device_Configuration'!AA446)</f>
        <v/>
      </c>
      <c r="L445" s="28" t="str">
        <f>IF('12 - Device_Configuration'!I446="","",'12 - Device_Configuration'!I446)</f>
        <v/>
      </c>
      <c r="M445" s="29"/>
      <c r="N445" s="28" t="str">
        <f>IF('12 - Device_Configuration'!J446="","",'12 - Device_Configuration'!J446)</f>
        <v/>
      </c>
      <c r="O445" s="28" t="str">
        <f>IF('12 - Device_Configuration'!K446="","",'12 - Device_Configuration'!K446)</f>
        <v/>
      </c>
      <c r="P445" s="28" t="str">
        <f>IF('12 - Device_Configuration'!L446="","",'12 - Device_Configuration'!L446)</f>
        <v/>
      </c>
      <c r="Q445" s="29"/>
      <c r="R445" s="28" t="str">
        <f>IF('12 - Device_Configuration'!AY446="","",'12 - Device_Configuration'!AY446)</f>
        <v/>
      </c>
      <c r="S445" s="28" t="str">
        <f>IF('12 - Device_Configuration'!AX446="","",'12 - Device_Configuration'!AX446)</f>
        <v/>
      </c>
      <c r="T445" s="28" t="str">
        <f>IF('12 - Device_Configuration'!AV446="","",'12 - Device_Configuration'!AV446)</f>
        <v/>
      </c>
      <c r="U445" s="28" t="str">
        <f>IF('12 - Device_Configuration'!AW446="","",'12 - Device_Configuration'!AW446)</f>
        <v/>
      </c>
      <c r="V445" s="28" t="str">
        <f>IF('12 - Device_Configuration'!BA446="","",'12 - Device_Configuration'!BA446)</f>
        <v/>
      </c>
      <c r="W445" s="28" t="str">
        <f>IF('12 - Device_Configuration'!BC446="","",'12 - Device_Configuration'!BC446)</f>
        <v/>
      </c>
      <c r="X445" s="28" t="str">
        <f>IF('12 - Device_Configuration'!BK446="","",'12 - Device_Configuration'!BK446)</f>
        <v/>
      </c>
      <c r="Y445" s="28" t="str">
        <f>IF('12 - Device_Configuration'!BB446="","",'12 - Device_Configuration'!BB446)</f>
        <v/>
      </c>
      <c r="Z445" s="28" t="str">
        <f>IF('12 - Device_Configuration'!P446="","",'12 - Device_Configuration'!P446)</f>
        <v/>
      </c>
      <c r="AA445" s="28" t="str">
        <f>IF('12 - Device_Configuration'!Q446="","",'12 - Device_Configuration'!Q446)</f>
        <v/>
      </c>
    </row>
    <row r="446" spans="1:27">
      <c r="A446" s="29"/>
      <c r="B446" s="29"/>
      <c r="C446" s="28" t="str">
        <f>IF('12 - Device_Configuration'!H447="","",'12 - Device_Configuration'!H447)</f>
        <v/>
      </c>
      <c r="D446" s="28" t="str">
        <f>IF('12 - Device_Configuration'!AE447="","",'12 - Device_Configuration'!AE447)</f>
        <v/>
      </c>
      <c r="E446" s="28" t="str">
        <f>IF('12 - Device_Configuration'!AF447="","",'12 - Device_Configuration'!AF447)</f>
        <v/>
      </c>
      <c r="F446" s="28" t="str">
        <f>IF('12 - Device_Configuration'!AG447="","",'12 - Device_Configuration'!AG447)</f>
        <v/>
      </c>
      <c r="G446" s="28" t="str">
        <f>IF('12 - Device_Configuration'!AH447="","",'12 - Device_Configuration'!AH447)</f>
        <v/>
      </c>
      <c r="H446" s="28" t="str">
        <f>IF('12 - Device_Configuration'!A447="","",'12 - Device_Configuration'!A447)</f>
        <v/>
      </c>
      <c r="I446" s="28" t="str">
        <f>IF('12 - Device_Configuration'!AI447="","",'12 - Device_Configuration'!AI447)</f>
        <v/>
      </c>
      <c r="J446" s="28" t="str">
        <f>IF('12 - Device_Configuration'!AJ447="","",'12 - Device_Configuration'!AJ447)</f>
        <v/>
      </c>
      <c r="K446" s="28" t="str">
        <f>IF('12 - Device_Configuration'!AA447="","",'12 - Device_Configuration'!AA447)</f>
        <v/>
      </c>
      <c r="L446" s="28" t="str">
        <f>IF('12 - Device_Configuration'!I447="","",'12 - Device_Configuration'!I447)</f>
        <v/>
      </c>
      <c r="M446" s="29"/>
      <c r="N446" s="28" t="str">
        <f>IF('12 - Device_Configuration'!J447="","",'12 - Device_Configuration'!J447)</f>
        <v/>
      </c>
      <c r="O446" s="28" t="str">
        <f>IF('12 - Device_Configuration'!K447="","",'12 - Device_Configuration'!K447)</f>
        <v/>
      </c>
      <c r="P446" s="28" t="str">
        <f>IF('12 - Device_Configuration'!L447="","",'12 - Device_Configuration'!L447)</f>
        <v/>
      </c>
      <c r="Q446" s="29"/>
      <c r="R446" s="28" t="str">
        <f>IF('12 - Device_Configuration'!AY447="","",'12 - Device_Configuration'!AY447)</f>
        <v/>
      </c>
      <c r="S446" s="28" t="str">
        <f>IF('12 - Device_Configuration'!AX447="","",'12 - Device_Configuration'!AX447)</f>
        <v/>
      </c>
      <c r="T446" s="28" t="str">
        <f>IF('12 - Device_Configuration'!AV447="","",'12 - Device_Configuration'!AV447)</f>
        <v/>
      </c>
      <c r="U446" s="28" t="str">
        <f>IF('12 - Device_Configuration'!AW447="","",'12 - Device_Configuration'!AW447)</f>
        <v/>
      </c>
      <c r="V446" s="28" t="str">
        <f>IF('12 - Device_Configuration'!BA447="","",'12 - Device_Configuration'!BA447)</f>
        <v/>
      </c>
      <c r="W446" s="28" t="str">
        <f>IF('12 - Device_Configuration'!BC447="","",'12 - Device_Configuration'!BC447)</f>
        <v/>
      </c>
      <c r="X446" s="28" t="str">
        <f>IF('12 - Device_Configuration'!BK447="","",'12 - Device_Configuration'!BK447)</f>
        <v/>
      </c>
      <c r="Y446" s="28" t="str">
        <f>IF('12 - Device_Configuration'!BB447="","",'12 - Device_Configuration'!BB447)</f>
        <v/>
      </c>
      <c r="Z446" s="28" t="str">
        <f>IF('12 - Device_Configuration'!P447="","",'12 - Device_Configuration'!P447)</f>
        <v/>
      </c>
      <c r="AA446" s="28" t="str">
        <f>IF('12 - Device_Configuration'!Q447="","",'12 - Device_Configuration'!Q447)</f>
        <v/>
      </c>
    </row>
    <row r="447" spans="1:27">
      <c r="A447" s="29"/>
      <c r="B447" s="29"/>
      <c r="C447" s="28" t="str">
        <f>IF('12 - Device_Configuration'!H448="","",'12 - Device_Configuration'!H448)</f>
        <v/>
      </c>
      <c r="D447" s="28" t="str">
        <f>IF('12 - Device_Configuration'!AE448="","",'12 - Device_Configuration'!AE448)</f>
        <v/>
      </c>
      <c r="E447" s="28" t="str">
        <f>IF('12 - Device_Configuration'!AF448="","",'12 - Device_Configuration'!AF448)</f>
        <v/>
      </c>
      <c r="F447" s="28" t="str">
        <f>IF('12 - Device_Configuration'!AG448="","",'12 - Device_Configuration'!AG448)</f>
        <v/>
      </c>
      <c r="G447" s="28" t="str">
        <f>IF('12 - Device_Configuration'!AH448="","",'12 - Device_Configuration'!AH448)</f>
        <v/>
      </c>
      <c r="H447" s="28" t="str">
        <f>IF('12 - Device_Configuration'!A448="","",'12 - Device_Configuration'!A448)</f>
        <v/>
      </c>
      <c r="I447" s="28" t="str">
        <f>IF('12 - Device_Configuration'!AI448="","",'12 - Device_Configuration'!AI448)</f>
        <v/>
      </c>
      <c r="J447" s="28" t="str">
        <f>IF('12 - Device_Configuration'!AJ448="","",'12 - Device_Configuration'!AJ448)</f>
        <v/>
      </c>
      <c r="K447" s="28" t="str">
        <f>IF('12 - Device_Configuration'!AA448="","",'12 - Device_Configuration'!AA448)</f>
        <v/>
      </c>
      <c r="L447" s="28" t="str">
        <f>IF('12 - Device_Configuration'!I448="","",'12 - Device_Configuration'!I448)</f>
        <v/>
      </c>
      <c r="M447" s="29"/>
      <c r="N447" s="28" t="str">
        <f>IF('12 - Device_Configuration'!J448="","",'12 - Device_Configuration'!J448)</f>
        <v/>
      </c>
      <c r="O447" s="28" t="str">
        <f>IF('12 - Device_Configuration'!K448="","",'12 - Device_Configuration'!K448)</f>
        <v/>
      </c>
      <c r="P447" s="28" t="str">
        <f>IF('12 - Device_Configuration'!L448="","",'12 - Device_Configuration'!L448)</f>
        <v/>
      </c>
      <c r="Q447" s="29"/>
      <c r="R447" s="28" t="str">
        <f>IF('12 - Device_Configuration'!AY448="","",'12 - Device_Configuration'!AY448)</f>
        <v/>
      </c>
      <c r="S447" s="28" t="str">
        <f>IF('12 - Device_Configuration'!AX448="","",'12 - Device_Configuration'!AX448)</f>
        <v/>
      </c>
      <c r="T447" s="28" t="str">
        <f>IF('12 - Device_Configuration'!AV448="","",'12 - Device_Configuration'!AV448)</f>
        <v/>
      </c>
      <c r="U447" s="28" t="str">
        <f>IF('12 - Device_Configuration'!AW448="","",'12 - Device_Configuration'!AW448)</f>
        <v/>
      </c>
      <c r="V447" s="28" t="str">
        <f>IF('12 - Device_Configuration'!BA448="","",'12 - Device_Configuration'!BA448)</f>
        <v/>
      </c>
      <c r="W447" s="28" t="str">
        <f>IF('12 - Device_Configuration'!BC448="","",'12 - Device_Configuration'!BC448)</f>
        <v/>
      </c>
      <c r="X447" s="28" t="str">
        <f>IF('12 - Device_Configuration'!BK448="","",'12 - Device_Configuration'!BK448)</f>
        <v/>
      </c>
      <c r="Y447" s="28" t="str">
        <f>IF('12 - Device_Configuration'!BB448="","",'12 - Device_Configuration'!BB448)</f>
        <v/>
      </c>
      <c r="Z447" s="28" t="str">
        <f>IF('12 - Device_Configuration'!P448="","",'12 - Device_Configuration'!P448)</f>
        <v/>
      </c>
      <c r="AA447" s="28" t="str">
        <f>IF('12 - Device_Configuration'!Q448="","",'12 - Device_Configuration'!Q448)</f>
        <v/>
      </c>
    </row>
    <row r="448" spans="1:27">
      <c r="A448" s="29"/>
      <c r="B448" s="29"/>
      <c r="C448" s="28" t="str">
        <f>IF('12 - Device_Configuration'!H449="","",'12 - Device_Configuration'!H449)</f>
        <v/>
      </c>
      <c r="D448" s="28" t="str">
        <f>IF('12 - Device_Configuration'!AE449="","",'12 - Device_Configuration'!AE449)</f>
        <v/>
      </c>
      <c r="E448" s="28" t="str">
        <f>IF('12 - Device_Configuration'!AF449="","",'12 - Device_Configuration'!AF449)</f>
        <v/>
      </c>
      <c r="F448" s="28" t="str">
        <f>IF('12 - Device_Configuration'!AG449="","",'12 - Device_Configuration'!AG449)</f>
        <v/>
      </c>
      <c r="G448" s="28" t="str">
        <f>IF('12 - Device_Configuration'!AH449="","",'12 - Device_Configuration'!AH449)</f>
        <v/>
      </c>
      <c r="H448" s="28" t="str">
        <f>IF('12 - Device_Configuration'!A449="","",'12 - Device_Configuration'!A449)</f>
        <v/>
      </c>
      <c r="I448" s="28" t="str">
        <f>IF('12 - Device_Configuration'!AI449="","",'12 - Device_Configuration'!AI449)</f>
        <v/>
      </c>
      <c r="J448" s="28" t="str">
        <f>IF('12 - Device_Configuration'!AJ449="","",'12 - Device_Configuration'!AJ449)</f>
        <v/>
      </c>
      <c r="K448" s="28" t="str">
        <f>IF('12 - Device_Configuration'!AA449="","",'12 - Device_Configuration'!AA449)</f>
        <v/>
      </c>
      <c r="L448" s="28" t="str">
        <f>IF('12 - Device_Configuration'!I449="","",'12 - Device_Configuration'!I449)</f>
        <v/>
      </c>
      <c r="M448" s="29"/>
      <c r="N448" s="28" t="str">
        <f>IF('12 - Device_Configuration'!J449="","",'12 - Device_Configuration'!J449)</f>
        <v/>
      </c>
      <c r="O448" s="28" t="str">
        <f>IF('12 - Device_Configuration'!K449="","",'12 - Device_Configuration'!K449)</f>
        <v/>
      </c>
      <c r="P448" s="28" t="str">
        <f>IF('12 - Device_Configuration'!L449="","",'12 - Device_Configuration'!L449)</f>
        <v/>
      </c>
      <c r="Q448" s="29"/>
      <c r="R448" s="28" t="str">
        <f>IF('12 - Device_Configuration'!AY449="","",'12 - Device_Configuration'!AY449)</f>
        <v/>
      </c>
      <c r="S448" s="28" t="str">
        <f>IF('12 - Device_Configuration'!AX449="","",'12 - Device_Configuration'!AX449)</f>
        <v/>
      </c>
      <c r="T448" s="28" t="str">
        <f>IF('12 - Device_Configuration'!AV449="","",'12 - Device_Configuration'!AV449)</f>
        <v/>
      </c>
      <c r="U448" s="28" t="str">
        <f>IF('12 - Device_Configuration'!AW449="","",'12 - Device_Configuration'!AW449)</f>
        <v/>
      </c>
      <c r="V448" s="28" t="str">
        <f>IF('12 - Device_Configuration'!BA449="","",'12 - Device_Configuration'!BA449)</f>
        <v/>
      </c>
      <c r="W448" s="28" t="str">
        <f>IF('12 - Device_Configuration'!BC449="","",'12 - Device_Configuration'!BC449)</f>
        <v/>
      </c>
      <c r="X448" s="28" t="str">
        <f>IF('12 - Device_Configuration'!BK449="","",'12 - Device_Configuration'!BK449)</f>
        <v/>
      </c>
      <c r="Y448" s="28" t="str">
        <f>IF('12 - Device_Configuration'!BB449="","",'12 - Device_Configuration'!BB449)</f>
        <v/>
      </c>
      <c r="Z448" s="28" t="str">
        <f>IF('12 - Device_Configuration'!P449="","",'12 - Device_Configuration'!P449)</f>
        <v/>
      </c>
      <c r="AA448" s="28" t="str">
        <f>IF('12 - Device_Configuration'!Q449="","",'12 - Device_Configuration'!Q449)</f>
        <v/>
      </c>
    </row>
    <row r="449" spans="1:27">
      <c r="A449" s="29"/>
      <c r="B449" s="29"/>
      <c r="C449" s="28" t="str">
        <f>IF('12 - Device_Configuration'!H450="","",'12 - Device_Configuration'!H450)</f>
        <v/>
      </c>
      <c r="D449" s="28" t="str">
        <f>IF('12 - Device_Configuration'!AE450="","",'12 - Device_Configuration'!AE450)</f>
        <v/>
      </c>
      <c r="E449" s="28" t="str">
        <f>IF('12 - Device_Configuration'!AF450="","",'12 - Device_Configuration'!AF450)</f>
        <v/>
      </c>
      <c r="F449" s="28" t="str">
        <f>IF('12 - Device_Configuration'!AG450="","",'12 - Device_Configuration'!AG450)</f>
        <v/>
      </c>
      <c r="G449" s="28" t="str">
        <f>IF('12 - Device_Configuration'!AH450="","",'12 - Device_Configuration'!AH450)</f>
        <v/>
      </c>
      <c r="H449" s="28" t="str">
        <f>IF('12 - Device_Configuration'!A450="","",'12 - Device_Configuration'!A450)</f>
        <v/>
      </c>
      <c r="I449" s="28" t="str">
        <f>IF('12 - Device_Configuration'!AI450="","",'12 - Device_Configuration'!AI450)</f>
        <v/>
      </c>
      <c r="J449" s="28" t="str">
        <f>IF('12 - Device_Configuration'!AJ450="","",'12 - Device_Configuration'!AJ450)</f>
        <v/>
      </c>
      <c r="K449" s="28" t="str">
        <f>IF('12 - Device_Configuration'!AA450="","",'12 - Device_Configuration'!AA450)</f>
        <v/>
      </c>
      <c r="L449" s="28" t="str">
        <f>IF('12 - Device_Configuration'!I450="","",'12 - Device_Configuration'!I450)</f>
        <v/>
      </c>
      <c r="M449" s="29"/>
      <c r="N449" s="28" t="str">
        <f>IF('12 - Device_Configuration'!J450="","",'12 - Device_Configuration'!J450)</f>
        <v/>
      </c>
      <c r="O449" s="28" t="str">
        <f>IF('12 - Device_Configuration'!K450="","",'12 - Device_Configuration'!K450)</f>
        <v/>
      </c>
      <c r="P449" s="28" t="str">
        <f>IF('12 - Device_Configuration'!L450="","",'12 - Device_Configuration'!L450)</f>
        <v/>
      </c>
      <c r="Q449" s="29"/>
      <c r="R449" s="28" t="str">
        <f>IF('12 - Device_Configuration'!AY450="","",'12 - Device_Configuration'!AY450)</f>
        <v/>
      </c>
      <c r="S449" s="28" t="str">
        <f>IF('12 - Device_Configuration'!AX450="","",'12 - Device_Configuration'!AX450)</f>
        <v/>
      </c>
      <c r="T449" s="28" t="str">
        <f>IF('12 - Device_Configuration'!AV450="","",'12 - Device_Configuration'!AV450)</f>
        <v/>
      </c>
      <c r="U449" s="28" t="str">
        <f>IF('12 - Device_Configuration'!AW450="","",'12 - Device_Configuration'!AW450)</f>
        <v/>
      </c>
      <c r="V449" s="28" t="str">
        <f>IF('12 - Device_Configuration'!BA450="","",'12 - Device_Configuration'!BA450)</f>
        <v/>
      </c>
      <c r="W449" s="28" t="str">
        <f>IF('12 - Device_Configuration'!BC450="","",'12 - Device_Configuration'!BC450)</f>
        <v/>
      </c>
      <c r="X449" s="28" t="str">
        <f>IF('12 - Device_Configuration'!BK450="","",'12 - Device_Configuration'!BK450)</f>
        <v/>
      </c>
      <c r="Y449" s="28" t="str">
        <f>IF('12 - Device_Configuration'!BB450="","",'12 - Device_Configuration'!BB450)</f>
        <v/>
      </c>
      <c r="Z449" s="28" t="str">
        <f>IF('12 - Device_Configuration'!P450="","",'12 - Device_Configuration'!P450)</f>
        <v/>
      </c>
      <c r="AA449" s="28" t="str">
        <f>IF('12 - Device_Configuration'!Q450="","",'12 - Device_Configuration'!Q450)</f>
        <v/>
      </c>
    </row>
    <row r="450" spans="1:27">
      <c r="A450" s="29"/>
      <c r="B450" s="29"/>
      <c r="C450" s="28" t="str">
        <f>IF('12 - Device_Configuration'!H451="","",'12 - Device_Configuration'!H451)</f>
        <v/>
      </c>
      <c r="D450" s="28" t="str">
        <f>IF('12 - Device_Configuration'!AE451="","",'12 - Device_Configuration'!AE451)</f>
        <v/>
      </c>
      <c r="E450" s="28" t="str">
        <f>IF('12 - Device_Configuration'!AF451="","",'12 - Device_Configuration'!AF451)</f>
        <v/>
      </c>
      <c r="F450" s="28" t="str">
        <f>IF('12 - Device_Configuration'!AG451="","",'12 - Device_Configuration'!AG451)</f>
        <v/>
      </c>
      <c r="G450" s="28" t="str">
        <f>IF('12 - Device_Configuration'!AH451="","",'12 - Device_Configuration'!AH451)</f>
        <v/>
      </c>
      <c r="H450" s="28" t="str">
        <f>IF('12 - Device_Configuration'!A451="","",'12 - Device_Configuration'!A451)</f>
        <v/>
      </c>
      <c r="I450" s="28" t="str">
        <f>IF('12 - Device_Configuration'!AI451="","",'12 - Device_Configuration'!AI451)</f>
        <v/>
      </c>
      <c r="J450" s="28" t="str">
        <f>IF('12 - Device_Configuration'!AJ451="","",'12 - Device_Configuration'!AJ451)</f>
        <v/>
      </c>
      <c r="K450" s="28" t="str">
        <f>IF('12 - Device_Configuration'!AA451="","",'12 - Device_Configuration'!AA451)</f>
        <v/>
      </c>
      <c r="L450" s="28" t="str">
        <f>IF('12 - Device_Configuration'!I451="","",'12 - Device_Configuration'!I451)</f>
        <v/>
      </c>
      <c r="M450" s="29"/>
      <c r="N450" s="28" t="str">
        <f>IF('12 - Device_Configuration'!J451="","",'12 - Device_Configuration'!J451)</f>
        <v/>
      </c>
      <c r="O450" s="28" t="str">
        <f>IF('12 - Device_Configuration'!K451="","",'12 - Device_Configuration'!K451)</f>
        <v/>
      </c>
      <c r="P450" s="28" t="str">
        <f>IF('12 - Device_Configuration'!L451="","",'12 - Device_Configuration'!L451)</f>
        <v/>
      </c>
      <c r="Q450" s="29"/>
      <c r="R450" s="28" t="str">
        <f>IF('12 - Device_Configuration'!AY451="","",'12 - Device_Configuration'!AY451)</f>
        <v/>
      </c>
      <c r="S450" s="28" t="str">
        <f>IF('12 - Device_Configuration'!AX451="","",'12 - Device_Configuration'!AX451)</f>
        <v/>
      </c>
      <c r="T450" s="28" t="str">
        <f>IF('12 - Device_Configuration'!AV451="","",'12 - Device_Configuration'!AV451)</f>
        <v/>
      </c>
      <c r="U450" s="28" t="str">
        <f>IF('12 - Device_Configuration'!AW451="","",'12 - Device_Configuration'!AW451)</f>
        <v/>
      </c>
      <c r="V450" s="28" t="str">
        <f>IF('12 - Device_Configuration'!BA451="","",'12 - Device_Configuration'!BA451)</f>
        <v/>
      </c>
      <c r="W450" s="28" t="str">
        <f>IF('12 - Device_Configuration'!BC451="","",'12 - Device_Configuration'!BC451)</f>
        <v/>
      </c>
      <c r="X450" s="28" t="str">
        <f>IF('12 - Device_Configuration'!BK451="","",'12 - Device_Configuration'!BK451)</f>
        <v/>
      </c>
      <c r="Y450" s="28" t="str">
        <f>IF('12 - Device_Configuration'!BB451="","",'12 - Device_Configuration'!BB451)</f>
        <v/>
      </c>
      <c r="Z450" s="28" t="str">
        <f>IF('12 - Device_Configuration'!P451="","",'12 - Device_Configuration'!P451)</f>
        <v/>
      </c>
      <c r="AA450" s="28" t="str">
        <f>IF('12 - Device_Configuration'!Q451="","",'12 - Device_Configuration'!Q451)</f>
        <v/>
      </c>
    </row>
    <row r="451" spans="1:27">
      <c r="A451" s="29"/>
      <c r="B451" s="29"/>
      <c r="C451" s="28" t="str">
        <f>IF('12 - Device_Configuration'!H452="","",'12 - Device_Configuration'!H452)</f>
        <v/>
      </c>
      <c r="D451" s="28" t="str">
        <f>IF('12 - Device_Configuration'!AE452="","",'12 - Device_Configuration'!AE452)</f>
        <v/>
      </c>
      <c r="E451" s="28" t="str">
        <f>IF('12 - Device_Configuration'!AF452="","",'12 - Device_Configuration'!AF452)</f>
        <v/>
      </c>
      <c r="F451" s="28" t="str">
        <f>IF('12 - Device_Configuration'!AG452="","",'12 - Device_Configuration'!AG452)</f>
        <v/>
      </c>
      <c r="G451" s="28" t="str">
        <f>IF('12 - Device_Configuration'!AH452="","",'12 - Device_Configuration'!AH452)</f>
        <v/>
      </c>
      <c r="H451" s="28" t="str">
        <f>IF('12 - Device_Configuration'!A452="","",'12 - Device_Configuration'!A452)</f>
        <v/>
      </c>
      <c r="I451" s="28" t="str">
        <f>IF('12 - Device_Configuration'!AI452="","",'12 - Device_Configuration'!AI452)</f>
        <v/>
      </c>
      <c r="J451" s="28" t="str">
        <f>IF('12 - Device_Configuration'!AJ452="","",'12 - Device_Configuration'!AJ452)</f>
        <v/>
      </c>
      <c r="K451" s="28" t="str">
        <f>IF('12 - Device_Configuration'!AA452="","",'12 - Device_Configuration'!AA452)</f>
        <v/>
      </c>
      <c r="L451" s="28" t="str">
        <f>IF('12 - Device_Configuration'!I452="","",'12 - Device_Configuration'!I452)</f>
        <v/>
      </c>
      <c r="M451" s="29"/>
      <c r="N451" s="28" t="str">
        <f>IF('12 - Device_Configuration'!J452="","",'12 - Device_Configuration'!J452)</f>
        <v/>
      </c>
      <c r="O451" s="28" t="str">
        <f>IF('12 - Device_Configuration'!K452="","",'12 - Device_Configuration'!K452)</f>
        <v/>
      </c>
      <c r="P451" s="28" t="str">
        <f>IF('12 - Device_Configuration'!L452="","",'12 - Device_Configuration'!L452)</f>
        <v/>
      </c>
      <c r="Q451" s="29"/>
      <c r="R451" s="28" t="str">
        <f>IF('12 - Device_Configuration'!AY452="","",'12 - Device_Configuration'!AY452)</f>
        <v/>
      </c>
      <c r="S451" s="28" t="str">
        <f>IF('12 - Device_Configuration'!AX452="","",'12 - Device_Configuration'!AX452)</f>
        <v/>
      </c>
      <c r="T451" s="28" t="str">
        <f>IF('12 - Device_Configuration'!AV452="","",'12 - Device_Configuration'!AV452)</f>
        <v/>
      </c>
      <c r="U451" s="28" t="str">
        <f>IF('12 - Device_Configuration'!AW452="","",'12 - Device_Configuration'!AW452)</f>
        <v/>
      </c>
      <c r="V451" s="28" t="str">
        <f>IF('12 - Device_Configuration'!BA452="","",'12 - Device_Configuration'!BA452)</f>
        <v/>
      </c>
      <c r="W451" s="28" t="str">
        <f>IF('12 - Device_Configuration'!BC452="","",'12 - Device_Configuration'!BC452)</f>
        <v/>
      </c>
      <c r="X451" s="28" t="str">
        <f>IF('12 - Device_Configuration'!BK452="","",'12 - Device_Configuration'!BK452)</f>
        <v/>
      </c>
      <c r="Y451" s="28" t="str">
        <f>IF('12 - Device_Configuration'!BB452="","",'12 - Device_Configuration'!BB452)</f>
        <v/>
      </c>
      <c r="Z451" s="28" t="str">
        <f>IF('12 - Device_Configuration'!P452="","",'12 - Device_Configuration'!P452)</f>
        <v/>
      </c>
      <c r="AA451" s="28" t="str">
        <f>IF('12 - Device_Configuration'!Q452="","",'12 - Device_Configuration'!Q452)</f>
        <v/>
      </c>
    </row>
    <row r="452" spans="1:27">
      <c r="A452" s="29"/>
      <c r="B452" s="29"/>
      <c r="C452" s="28" t="str">
        <f>IF('12 - Device_Configuration'!H453="","",'12 - Device_Configuration'!H453)</f>
        <v/>
      </c>
      <c r="D452" s="28" t="str">
        <f>IF('12 - Device_Configuration'!AE453="","",'12 - Device_Configuration'!AE453)</f>
        <v/>
      </c>
      <c r="E452" s="28" t="str">
        <f>IF('12 - Device_Configuration'!AF453="","",'12 - Device_Configuration'!AF453)</f>
        <v/>
      </c>
      <c r="F452" s="28" t="str">
        <f>IF('12 - Device_Configuration'!AG453="","",'12 - Device_Configuration'!AG453)</f>
        <v/>
      </c>
      <c r="G452" s="28" t="str">
        <f>IF('12 - Device_Configuration'!AH453="","",'12 - Device_Configuration'!AH453)</f>
        <v/>
      </c>
      <c r="H452" s="28" t="str">
        <f>IF('12 - Device_Configuration'!A453="","",'12 - Device_Configuration'!A453)</f>
        <v/>
      </c>
      <c r="I452" s="28" t="str">
        <f>IF('12 - Device_Configuration'!AI453="","",'12 - Device_Configuration'!AI453)</f>
        <v/>
      </c>
      <c r="J452" s="28" t="str">
        <f>IF('12 - Device_Configuration'!AJ453="","",'12 - Device_Configuration'!AJ453)</f>
        <v/>
      </c>
      <c r="K452" s="28" t="str">
        <f>IF('12 - Device_Configuration'!AA453="","",'12 - Device_Configuration'!AA453)</f>
        <v/>
      </c>
      <c r="L452" s="28" t="str">
        <f>IF('12 - Device_Configuration'!I453="","",'12 - Device_Configuration'!I453)</f>
        <v/>
      </c>
      <c r="M452" s="29"/>
      <c r="N452" s="28" t="str">
        <f>IF('12 - Device_Configuration'!J453="","",'12 - Device_Configuration'!J453)</f>
        <v/>
      </c>
      <c r="O452" s="28" t="str">
        <f>IF('12 - Device_Configuration'!K453="","",'12 - Device_Configuration'!K453)</f>
        <v/>
      </c>
      <c r="P452" s="28" t="str">
        <f>IF('12 - Device_Configuration'!L453="","",'12 - Device_Configuration'!L453)</f>
        <v/>
      </c>
      <c r="Q452" s="29"/>
      <c r="R452" s="28" t="str">
        <f>IF('12 - Device_Configuration'!AY453="","",'12 - Device_Configuration'!AY453)</f>
        <v/>
      </c>
      <c r="S452" s="28" t="str">
        <f>IF('12 - Device_Configuration'!AX453="","",'12 - Device_Configuration'!AX453)</f>
        <v/>
      </c>
      <c r="T452" s="28" t="str">
        <f>IF('12 - Device_Configuration'!AV453="","",'12 - Device_Configuration'!AV453)</f>
        <v/>
      </c>
      <c r="U452" s="28" t="str">
        <f>IF('12 - Device_Configuration'!AW453="","",'12 - Device_Configuration'!AW453)</f>
        <v/>
      </c>
      <c r="V452" s="28" t="str">
        <f>IF('12 - Device_Configuration'!BA453="","",'12 - Device_Configuration'!BA453)</f>
        <v/>
      </c>
      <c r="W452" s="28" t="str">
        <f>IF('12 - Device_Configuration'!BC453="","",'12 - Device_Configuration'!BC453)</f>
        <v/>
      </c>
      <c r="X452" s="28" t="str">
        <f>IF('12 - Device_Configuration'!BK453="","",'12 - Device_Configuration'!BK453)</f>
        <v/>
      </c>
      <c r="Y452" s="28" t="str">
        <f>IF('12 - Device_Configuration'!BB453="","",'12 - Device_Configuration'!BB453)</f>
        <v/>
      </c>
      <c r="Z452" s="28" t="str">
        <f>IF('12 - Device_Configuration'!P453="","",'12 - Device_Configuration'!P453)</f>
        <v/>
      </c>
      <c r="AA452" s="28" t="str">
        <f>IF('12 - Device_Configuration'!Q453="","",'12 - Device_Configuration'!Q453)</f>
        <v/>
      </c>
    </row>
    <row r="453" spans="1:27">
      <c r="A453" s="29"/>
      <c r="B453" s="29"/>
      <c r="C453" s="28" t="str">
        <f>IF('12 - Device_Configuration'!H454="","",'12 - Device_Configuration'!H454)</f>
        <v/>
      </c>
      <c r="D453" s="28" t="str">
        <f>IF('12 - Device_Configuration'!AE454="","",'12 - Device_Configuration'!AE454)</f>
        <v/>
      </c>
      <c r="E453" s="28" t="str">
        <f>IF('12 - Device_Configuration'!AF454="","",'12 - Device_Configuration'!AF454)</f>
        <v/>
      </c>
      <c r="F453" s="28" t="str">
        <f>IF('12 - Device_Configuration'!AG454="","",'12 - Device_Configuration'!AG454)</f>
        <v/>
      </c>
      <c r="G453" s="28" t="str">
        <f>IF('12 - Device_Configuration'!AH454="","",'12 - Device_Configuration'!AH454)</f>
        <v/>
      </c>
      <c r="H453" s="28" t="str">
        <f>IF('12 - Device_Configuration'!A454="","",'12 - Device_Configuration'!A454)</f>
        <v/>
      </c>
      <c r="I453" s="28" t="str">
        <f>IF('12 - Device_Configuration'!AI454="","",'12 - Device_Configuration'!AI454)</f>
        <v/>
      </c>
      <c r="J453" s="28" t="str">
        <f>IF('12 - Device_Configuration'!AJ454="","",'12 - Device_Configuration'!AJ454)</f>
        <v/>
      </c>
      <c r="K453" s="28" t="str">
        <f>IF('12 - Device_Configuration'!AA454="","",'12 - Device_Configuration'!AA454)</f>
        <v/>
      </c>
      <c r="L453" s="28" t="str">
        <f>IF('12 - Device_Configuration'!I454="","",'12 - Device_Configuration'!I454)</f>
        <v/>
      </c>
      <c r="M453" s="29"/>
      <c r="N453" s="28" t="str">
        <f>IF('12 - Device_Configuration'!J454="","",'12 - Device_Configuration'!J454)</f>
        <v/>
      </c>
      <c r="O453" s="28" t="str">
        <f>IF('12 - Device_Configuration'!K454="","",'12 - Device_Configuration'!K454)</f>
        <v/>
      </c>
      <c r="P453" s="28" t="str">
        <f>IF('12 - Device_Configuration'!L454="","",'12 - Device_Configuration'!L454)</f>
        <v/>
      </c>
      <c r="Q453" s="29"/>
      <c r="R453" s="28" t="str">
        <f>IF('12 - Device_Configuration'!AY454="","",'12 - Device_Configuration'!AY454)</f>
        <v/>
      </c>
      <c r="S453" s="28" t="str">
        <f>IF('12 - Device_Configuration'!AX454="","",'12 - Device_Configuration'!AX454)</f>
        <v/>
      </c>
      <c r="T453" s="28" t="str">
        <f>IF('12 - Device_Configuration'!AV454="","",'12 - Device_Configuration'!AV454)</f>
        <v/>
      </c>
      <c r="U453" s="28" t="str">
        <f>IF('12 - Device_Configuration'!AW454="","",'12 - Device_Configuration'!AW454)</f>
        <v/>
      </c>
      <c r="V453" s="28" t="str">
        <f>IF('12 - Device_Configuration'!BA454="","",'12 - Device_Configuration'!BA454)</f>
        <v/>
      </c>
      <c r="W453" s="28" t="str">
        <f>IF('12 - Device_Configuration'!BC454="","",'12 - Device_Configuration'!BC454)</f>
        <v/>
      </c>
      <c r="X453" s="28" t="str">
        <f>IF('12 - Device_Configuration'!BK454="","",'12 - Device_Configuration'!BK454)</f>
        <v/>
      </c>
      <c r="Y453" s="28" t="str">
        <f>IF('12 - Device_Configuration'!BB454="","",'12 - Device_Configuration'!BB454)</f>
        <v/>
      </c>
      <c r="Z453" s="28" t="str">
        <f>IF('12 - Device_Configuration'!P454="","",'12 - Device_Configuration'!P454)</f>
        <v/>
      </c>
      <c r="AA453" s="28" t="str">
        <f>IF('12 - Device_Configuration'!Q454="","",'12 - Device_Configuration'!Q454)</f>
        <v/>
      </c>
    </row>
    <row r="454" spans="1:27">
      <c r="A454" s="29"/>
      <c r="B454" s="29"/>
      <c r="C454" s="28" t="str">
        <f>IF('12 - Device_Configuration'!H455="","",'12 - Device_Configuration'!H455)</f>
        <v/>
      </c>
      <c r="D454" s="28" t="str">
        <f>IF('12 - Device_Configuration'!AE455="","",'12 - Device_Configuration'!AE455)</f>
        <v/>
      </c>
      <c r="E454" s="28" t="str">
        <f>IF('12 - Device_Configuration'!AF455="","",'12 - Device_Configuration'!AF455)</f>
        <v/>
      </c>
      <c r="F454" s="28" t="str">
        <f>IF('12 - Device_Configuration'!AG455="","",'12 - Device_Configuration'!AG455)</f>
        <v/>
      </c>
      <c r="G454" s="28" t="str">
        <f>IF('12 - Device_Configuration'!AH455="","",'12 - Device_Configuration'!AH455)</f>
        <v/>
      </c>
      <c r="H454" s="28" t="str">
        <f>IF('12 - Device_Configuration'!A455="","",'12 - Device_Configuration'!A455)</f>
        <v/>
      </c>
      <c r="I454" s="28" t="str">
        <f>IF('12 - Device_Configuration'!AI455="","",'12 - Device_Configuration'!AI455)</f>
        <v/>
      </c>
      <c r="J454" s="28" t="str">
        <f>IF('12 - Device_Configuration'!AJ455="","",'12 - Device_Configuration'!AJ455)</f>
        <v/>
      </c>
      <c r="K454" s="28" t="str">
        <f>IF('12 - Device_Configuration'!AA455="","",'12 - Device_Configuration'!AA455)</f>
        <v/>
      </c>
      <c r="L454" s="28" t="str">
        <f>IF('12 - Device_Configuration'!I455="","",'12 - Device_Configuration'!I455)</f>
        <v/>
      </c>
      <c r="M454" s="29"/>
      <c r="N454" s="28" t="str">
        <f>IF('12 - Device_Configuration'!J455="","",'12 - Device_Configuration'!J455)</f>
        <v/>
      </c>
      <c r="O454" s="28" t="str">
        <f>IF('12 - Device_Configuration'!K455="","",'12 - Device_Configuration'!K455)</f>
        <v/>
      </c>
      <c r="P454" s="28" t="str">
        <f>IF('12 - Device_Configuration'!L455="","",'12 - Device_Configuration'!L455)</f>
        <v/>
      </c>
      <c r="Q454" s="29"/>
      <c r="R454" s="28" t="str">
        <f>IF('12 - Device_Configuration'!AY455="","",'12 - Device_Configuration'!AY455)</f>
        <v/>
      </c>
      <c r="S454" s="28" t="str">
        <f>IF('12 - Device_Configuration'!AX455="","",'12 - Device_Configuration'!AX455)</f>
        <v/>
      </c>
      <c r="T454" s="28" t="str">
        <f>IF('12 - Device_Configuration'!AV455="","",'12 - Device_Configuration'!AV455)</f>
        <v/>
      </c>
      <c r="U454" s="28" t="str">
        <f>IF('12 - Device_Configuration'!AW455="","",'12 - Device_Configuration'!AW455)</f>
        <v/>
      </c>
      <c r="V454" s="28" t="str">
        <f>IF('12 - Device_Configuration'!BA455="","",'12 - Device_Configuration'!BA455)</f>
        <v/>
      </c>
      <c r="W454" s="28" t="str">
        <f>IF('12 - Device_Configuration'!BC455="","",'12 - Device_Configuration'!BC455)</f>
        <v/>
      </c>
      <c r="X454" s="28" t="str">
        <f>IF('12 - Device_Configuration'!BK455="","",'12 - Device_Configuration'!BK455)</f>
        <v/>
      </c>
      <c r="Y454" s="28" t="str">
        <f>IF('12 - Device_Configuration'!BB455="","",'12 - Device_Configuration'!BB455)</f>
        <v/>
      </c>
      <c r="Z454" s="28" t="str">
        <f>IF('12 - Device_Configuration'!P455="","",'12 - Device_Configuration'!P455)</f>
        <v/>
      </c>
      <c r="AA454" s="28" t="str">
        <f>IF('12 - Device_Configuration'!Q455="","",'12 - Device_Configuration'!Q455)</f>
        <v/>
      </c>
    </row>
    <row r="455" spans="1:27">
      <c r="A455" s="29"/>
      <c r="B455" s="29"/>
      <c r="C455" s="28" t="str">
        <f>IF('12 - Device_Configuration'!H456="","",'12 - Device_Configuration'!H456)</f>
        <v/>
      </c>
      <c r="D455" s="28" t="str">
        <f>IF('12 - Device_Configuration'!AE456="","",'12 - Device_Configuration'!AE456)</f>
        <v/>
      </c>
      <c r="E455" s="28" t="str">
        <f>IF('12 - Device_Configuration'!AF456="","",'12 - Device_Configuration'!AF456)</f>
        <v/>
      </c>
      <c r="F455" s="28" t="str">
        <f>IF('12 - Device_Configuration'!AG456="","",'12 - Device_Configuration'!AG456)</f>
        <v/>
      </c>
      <c r="G455" s="28" t="str">
        <f>IF('12 - Device_Configuration'!AH456="","",'12 - Device_Configuration'!AH456)</f>
        <v/>
      </c>
      <c r="H455" s="28" t="str">
        <f>IF('12 - Device_Configuration'!A456="","",'12 - Device_Configuration'!A456)</f>
        <v/>
      </c>
      <c r="I455" s="28" t="str">
        <f>IF('12 - Device_Configuration'!AI456="","",'12 - Device_Configuration'!AI456)</f>
        <v/>
      </c>
      <c r="J455" s="28" t="str">
        <f>IF('12 - Device_Configuration'!AJ456="","",'12 - Device_Configuration'!AJ456)</f>
        <v/>
      </c>
      <c r="K455" s="28" t="str">
        <f>IF('12 - Device_Configuration'!AA456="","",'12 - Device_Configuration'!AA456)</f>
        <v/>
      </c>
      <c r="L455" s="28" t="str">
        <f>IF('12 - Device_Configuration'!I456="","",'12 - Device_Configuration'!I456)</f>
        <v/>
      </c>
      <c r="M455" s="29"/>
      <c r="N455" s="28" t="str">
        <f>IF('12 - Device_Configuration'!J456="","",'12 - Device_Configuration'!J456)</f>
        <v/>
      </c>
      <c r="O455" s="28" t="str">
        <f>IF('12 - Device_Configuration'!K456="","",'12 - Device_Configuration'!K456)</f>
        <v/>
      </c>
      <c r="P455" s="28" t="str">
        <f>IF('12 - Device_Configuration'!L456="","",'12 - Device_Configuration'!L456)</f>
        <v/>
      </c>
      <c r="Q455" s="29"/>
      <c r="R455" s="28" t="str">
        <f>IF('12 - Device_Configuration'!AY456="","",'12 - Device_Configuration'!AY456)</f>
        <v/>
      </c>
      <c r="S455" s="28" t="str">
        <f>IF('12 - Device_Configuration'!AX456="","",'12 - Device_Configuration'!AX456)</f>
        <v/>
      </c>
      <c r="T455" s="28" t="str">
        <f>IF('12 - Device_Configuration'!AV456="","",'12 - Device_Configuration'!AV456)</f>
        <v/>
      </c>
      <c r="U455" s="28" t="str">
        <f>IF('12 - Device_Configuration'!AW456="","",'12 - Device_Configuration'!AW456)</f>
        <v/>
      </c>
      <c r="V455" s="28" t="str">
        <f>IF('12 - Device_Configuration'!BA456="","",'12 - Device_Configuration'!BA456)</f>
        <v/>
      </c>
      <c r="W455" s="28" t="str">
        <f>IF('12 - Device_Configuration'!BC456="","",'12 - Device_Configuration'!BC456)</f>
        <v/>
      </c>
      <c r="X455" s="28" t="str">
        <f>IF('12 - Device_Configuration'!BK456="","",'12 - Device_Configuration'!BK456)</f>
        <v/>
      </c>
      <c r="Y455" s="28" t="str">
        <f>IF('12 - Device_Configuration'!BB456="","",'12 - Device_Configuration'!BB456)</f>
        <v/>
      </c>
      <c r="Z455" s="28" t="str">
        <f>IF('12 - Device_Configuration'!P456="","",'12 - Device_Configuration'!P456)</f>
        <v/>
      </c>
      <c r="AA455" s="28" t="str">
        <f>IF('12 - Device_Configuration'!Q456="","",'12 - Device_Configuration'!Q456)</f>
        <v/>
      </c>
    </row>
    <row r="456" spans="1:27">
      <c r="A456" s="29"/>
      <c r="B456" s="29"/>
      <c r="C456" s="28" t="str">
        <f>IF('12 - Device_Configuration'!H457="","",'12 - Device_Configuration'!H457)</f>
        <v/>
      </c>
      <c r="D456" s="28" t="str">
        <f>IF('12 - Device_Configuration'!AE457="","",'12 - Device_Configuration'!AE457)</f>
        <v/>
      </c>
      <c r="E456" s="28" t="str">
        <f>IF('12 - Device_Configuration'!AF457="","",'12 - Device_Configuration'!AF457)</f>
        <v/>
      </c>
      <c r="F456" s="28" t="str">
        <f>IF('12 - Device_Configuration'!AG457="","",'12 - Device_Configuration'!AG457)</f>
        <v/>
      </c>
      <c r="G456" s="28" t="str">
        <f>IF('12 - Device_Configuration'!AH457="","",'12 - Device_Configuration'!AH457)</f>
        <v/>
      </c>
      <c r="H456" s="28" t="str">
        <f>IF('12 - Device_Configuration'!A457="","",'12 - Device_Configuration'!A457)</f>
        <v/>
      </c>
      <c r="I456" s="28" t="str">
        <f>IF('12 - Device_Configuration'!AI457="","",'12 - Device_Configuration'!AI457)</f>
        <v/>
      </c>
      <c r="J456" s="28" t="str">
        <f>IF('12 - Device_Configuration'!AJ457="","",'12 - Device_Configuration'!AJ457)</f>
        <v/>
      </c>
      <c r="K456" s="28" t="str">
        <f>IF('12 - Device_Configuration'!AA457="","",'12 - Device_Configuration'!AA457)</f>
        <v/>
      </c>
      <c r="L456" s="28" t="str">
        <f>IF('12 - Device_Configuration'!I457="","",'12 - Device_Configuration'!I457)</f>
        <v/>
      </c>
      <c r="M456" s="29"/>
      <c r="N456" s="28" t="str">
        <f>IF('12 - Device_Configuration'!J457="","",'12 - Device_Configuration'!J457)</f>
        <v/>
      </c>
      <c r="O456" s="28" t="str">
        <f>IF('12 - Device_Configuration'!K457="","",'12 - Device_Configuration'!K457)</f>
        <v/>
      </c>
      <c r="P456" s="28" t="str">
        <f>IF('12 - Device_Configuration'!L457="","",'12 - Device_Configuration'!L457)</f>
        <v/>
      </c>
      <c r="Q456" s="29"/>
      <c r="R456" s="28" t="str">
        <f>IF('12 - Device_Configuration'!AY457="","",'12 - Device_Configuration'!AY457)</f>
        <v/>
      </c>
      <c r="S456" s="28" t="str">
        <f>IF('12 - Device_Configuration'!AX457="","",'12 - Device_Configuration'!AX457)</f>
        <v/>
      </c>
      <c r="T456" s="28" t="str">
        <f>IF('12 - Device_Configuration'!AV457="","",'12 - Device_Configuration'!AV457)</f>
        <v/>
      </c>
      <c r="U456" s="28" t="str">
        <f>IF('12 - Device_Configuration'!AW457="","",'12 - Device_Configuration'!AW457)</f>
        <v/>
      </c>
      <c r="V456" s="28" t="str">
        <f>IF('12 - Device_Configuration'!BA457="","",'12 - Device_Configuration'!BA457)</f>
        <v/>
      </c>
      <c r="W456" s="28" t="str">
        <f>IF('12 - Device_Configuration'!BC457="","",'12 - Device_Configuration'!BC457)</f>
        <v/>
      </c>
      <c r="X456" s="28" t="str">
        <f>IF('12 - Device_Configuration'!BK457="","",'12 - Device_Configuration'!BK457)</f>
        <v/>
      </c>
      <c r="Y456" s="28" t="str">
        <f>IF('12 - Device_Configuration'!BB457="","",'12 - Device_Configuration'!BB457)</f>
        <v/>
      </c>
      <c r="Z456" s="28" t="str">
        <f>IF('12 - Device_Configuration'!P457="","",'12 - Device_Configuration'!P457)</f>
        <v/>
      </c>
      <c r="AA456" s="28" t="str">
        <f>IF('12 - Device_Configuration'!Q457="","",'12 - Device_Configuration'!Q457)</f>
        <v/>
      </c>
    </row>
    <row r="457" spans="1:27">
      <c r="A457" s="29"/>
      <c r="B457" s="29"/>
      <c r="C457" s="28" t="str">
        <f>IF('12 - Device_Configuration'!H458="","",'12 - Device_Configuration'!H458)</f>
        <v/>
      </c>
      <c r="D457" s="28" t="str">
        <f>IF('12 - Device_Configuration'!AE458="","",'12 - Device_Configuration'!AE458)</f>
        <v/>
      </c>
      <c r="E457" s="28" t="str">
        <f>IF('12 - Device_Configuration'!AF458="","",'12 - Device_Configuration'!AF458)</f>
        <v/>
      </c>
      <c r="F457" s="28" t="str">
        <f>IF('12 - Device_Configuration'!AG458="","",'12 - Device_Configuration'!AG458)</f>
        <v/>
      </c>
      <c r="G457" s="28" t="str">
        <f>IF('12 - Device_Configuration'!AH458="","",'12 - Device_Configuration'!AH458)</f>
        <v/>
      </c>
      <c r="H457" s="28" t="str">
        <f>IF('12 - Device_Configuration'!A458="","",'12 - Device_Configuration'!A458)</f>
        <v/>
      </c>
      <c r="I457" s="28" t="str">
        <f>IF('12 - Device_Configuration'!AI458="","",'12 - Device_Configuration'!AI458)</f>
        <v/>
      </c>
      <c r="J457" s="28" t="str">
        <f>IF('12 - Device_Configuration'!AJ458="","",'12 - Device_Configuration'!AJ458)</f>
        <v/>
      </c>
      <c r="K457" s="28" t="str">
        <f>IF('12 - Device_Configuration'!AA458="","",'12 - Device_Configuration'!AA458)</f>
        <v/>
      </c>
      <c r="L457" s="28" t="str">
        <f>IF('12 - Device_Configuration'!I458="","",'12 - Device_Configuration'!I458)</f>
        <v/>
      </c>
      <c r="M457" s="29"/>
      <c r="N457" s="28" t="str">
        <f>IF('12 - Device_Configuration'!J458="","",'12 - Device_Configuration'!J458)</f>
        <v/>
      </c>
      <c r="O457" s="28" t="str">
        <f>IF('12 - Device_Configuration'!K458="","",'12 - Device_Configuration'!K458)</f>
        <v/>
      </c>
      <c r="P457" s="28" t="str">
        <f>IF('12 - Device_Configuration'!L458="","",'12 - Device_Configuration'!L458)</f>
        <v/>
      </c>
      <c r="Q457" s="29"/>
      <c r="R457" s="28" t="str">
        <f>IF('12 - Device_Configuration'!AY458="","",'12 - Device_Configuration'!AY458)</f>
        <v/>
      </c>
      <c r="S457" s="28" t="str">
        <f>IF('12 - Device_Configuration'!AX458="","",'12 - Device_Configuration'!AX458)</f>
        <v/>
      </c>
      <c r="T457" s="28" t="str">
        <f>IF('12 - Device_Configuration'!AV458="","",'12 - Device_Configuration'!AV458)</f>
        <v/>
      </c>
      <c r="U457" s="28" t="str">
        <f>IF('12 - Device_Configuration'!AW458="","",'12 - Device_Configuration'!AW458)</f>
        <v/>
      </c>
      <c r="V457" s="28" t="str">
        <f>IF('12 - Device_Configuration'!BA458="","",'12 - Device_Configuration'!BA458)</f>
        <v/>
      </c>
      <c r="W457" s="28" t="str">
        <f>IF('12 - Device_Configuration'!BC458="","",'12 - Device_Configuration'!BC458)</f>
        <v/>
      </c>
      <c r="X457" s="28" t="str">
        <f>IF('12 - Device_Configuration'!BK458="","",'12 - Device_Configuration'!BK458)</f>
        <v/>
      </c>
      <c r="Y457" s="28" t="str">
        <f>IF('12 - Device_Configuration'!BB458="","",'12 - Device_Configuration'!BB458)</f>
        <v/>
      </c>
      <c r="Z457" s="28" t="str">
        <f>IF('12 - Device_Configuration'!P458="","",'12 - Device_Configuration'!P458)</f>
        <v/>
      </c>
      <c r="AA457" s="28" t="str">
        <f>IF('12 - Device_Configuration'!Q458="","",'12 - Device_Configuration'!Q458)</f>
        <v/>
      </c>
    </row>
    <row r="458" spans="1:27">
      <c r="A458" s="29"/>
      <c r="B458" s="29"/>
      <c r="C458" s="28" t="str">
        <f>IF('12 - Device_Configuration'!H459="","",'12 - Device_Configuration'!H459)</f>
        <v/>
      </c>
      <c r="D458" s="28" t="str">
        <f>IF('12 - Device_Configuration'!AE459="","",'12 - Device_Configuration'!AE459)</f>
        <v/>
      </c>
      <c r="E458" s="28" t="str">
        <f>IF('12 - Device_Configuration'!AF459="","",'12 - Device_Configuration'!AF459)</f>
        <v/>
      </c>
      <c r="F458" s="28" t="str">
        <f>IF('12 - Device_Configuration'!AG459="","",'12 - Device_Configuration'!AG459)</f>
        <v/>
      </c>
      <c r="G458" s="28" t="str">
        <f>IF('12 - Device_Configuration'!AH459="","",'12 - Device_Configuration'!AH459)</f>
        <v/>
      </c>
      <c r="H458" s="28" t="str">
        <f>IF('12 - Device_Configuration'!A459="","",'12 - Device_Configuration'!A459)</f>
        <v/>
      </c>
      <c r="I458" s="28" t="str">
        <f>IF('12 - Device_Configuration'!AI459="","",'12 - Device_Configuration'!AI459)</f>
        <v/>
      </c>
      <c r="J458" s="28" t="str">
        <f>IF('12 - Device_Configuration'!AJ459="","",'12 - Device_Configuration'!AJ459)</f>
        <v/>
      </c>
      <c r="K458" s="28" t="str">
        <f>IF('12 - Device_Configuration'!AA459="","",'12 - Device_Configuration'!AA459)</f>
        <v/>
      </c>
      <c r="L458" s="28" t="str">
        <f>IF('12 - Device_Configuration'!I459="","",'12 - Device_Configuration'!I459)</f>
        <v/>
      </c>
      <c r="M458" s="29"/>
      <c r="N458" s="28" t="str">
        <f>IF('12 - Device_Configuration'!J459="","",'12 - Device_Configuration'!J459)</f>
        <v/>
      </c>
      <c r="O458" s="28" t="str">
        <f>IF('12 - Device_Configuration'!K459="","",'12 - Device_Configuration'!K459)</f>
        <v/>
      </c>
      <c r="P458" s="28" t="str">
        <f>IF('12 - Device_Configuration'!L459="","",'12 - Device_Configuration'!L459)</f>
        <v/>
      </c>
      <c r="Q458" s="29"/>
      <c r="R458" s="28" t="str">
        <f>IF('12 - Device_Configuration'!AY459="","",'12 - Device_Configuration'!AY459)</f>
        <v/>
      </c>
      <c r="S458" s="28" t="str">
        <f>IF('12 - Device_Configuration'!AX459="","",'12 - Device_Configuration'!AX459)</f>
        <v/>
      </c>
      <c r="T458" s="28" t="str">
        <f>IF('12 - Device_Configuration'!AV459="","",'12 - Device_Configuration'!AV459)</f>
        <v/>
      </c>
      <c r="U458" s="28" t="str">
        <f>IF('12 - Device_Configuration'!AW459="","",'12 - Device_Configuration'!AW459)</f>
        <v/>
      </c>
      <c r="V458" s="28" t="str">
        <f>IF('12 - Device_Configuration'!BA459="","",'12 - Device_Configuration'!BA459)</f>
        <v/>
      </c>
      <c r="W458" s="28" t="str">
        <f>IF('12 - Device_Configuration'!BC459="","",'12 - Device_Configuration'!BC459)</f>
        <v/>
      </c>
      <c r="X458" s="28" t="str">
        <f>IF('12 - Device_Configuration'!BK459="","",'12 - Device_Configuration'!BK459)</f>
        <v/>
      </c>
      <c r="Y458" s="28" t="str">
        <f>IF('12 - Device_Configuration'!BB459="","",'12 - Device_Configuration'!BB459)</f>
        <v/>
      </c>
      <c r="Z458" s="28" t="str">
        <f>IF('12 - Device_Configuration'!P459="","",'12 - Device_Configuration'!P459)</f>
        <v/>
      </c>
      <c r="AA458" s="28" t="str">
        <f>IF('12 - Device_Configuration'!Q459="","",'12 - Device_Configuration'!Q459)</f>
        <v/>
      </c>
    </row>
    <row r="459" spans="1:27">
      <c r="A459" s="29"/>
      <c r="B459" s="29"/>
      <c r="C459" s="28" t="str">
        <f>IF('12 - Device_Configuration'!H460="","",'12 - Device_Configuration'!H460)</f>
        <v/>
      </c>
      <c r="D459" s="28" t="str">
        <f>IF('12 - Device_Configuration'!AE460="","",'12 - Device_Configuration'!AE460)</f>
        <v/>
      </c>
      <c r="E459" s="28" t="str">
        <f>IF('12 - Device_Configuration'!AF460="","",'12 - Device_Configuration'!AF460)</f>
        <v/>
      </c>
      <c r="F459" s="28" t="str">
        <f>IF('12 - Device_Configuration'!AG460="","",'12 - Device_Configuration'!AG460)</f>
        <v/>
      </c>
      <c r="G459" s="28" t="str">
        <f>IF('12 - Device_Configuration'!AH460="","",'12 - Device_Configuration'!AH460)</f>
        <v/>
      </c>
      <c r="H459" s="28" t="str">
        <f>IF('12 - Device_Configuration'!A460="","",'12 - Device_Configuration'!A460)</f>
        <v/>
      </c>
      <c r="I459" s="28" t="str">
        <f>IF('12 - Device_Configuration'!AI460="","",'12 - Device_Configuration'!AI460)</f>
        <v/>
      </c>
      <c r="J459" s="28" t="str">
        <f>IF('12 - Device_Configuration'!AJ460="","",'12 - Device_Configuration'!AJ460)</f>
        <v/>
      </c>
      <c r="K459" s="28" t="str">
        <f>IF('12 - Device_Configuration'!AA460="","",'12 - Device_Configuration'!AA460)</f>
        <v/>
      </c>
      <c r="L459" s="28" t="str">
        <f>IF('12 - Device_Configuration'!I460="","",'12 - Device_Configuration'!I460)</f>
        <v/>
      </c>
      <c r="M459" s="29"/>
      <c r="N459" s="28" t="str">
        <f>IF('12 - Device_Configuration'!J460="","",'12 - Device_Configuration'!J460)</f>
        <v/>
      </c>
      <c r="O459" s="28" t="str">
        <f>IF('12 - Device_Configuration'!K460="","",'12 - Device_Configuration'!K460)</f>
        <v/>
      </c>
      <c r="P459" s="28" t="str">
        <f>IF('12 - Device_Configuration'!L460="","",'12 - Device_Configuration'!L460)</f>
        <v/>
      </c>
      <c r="Q459" s="29"/>
      <c r="R459" s="28" t="str">
        <f>IF('12 - Device_Configuration'!AY460="","",'12 - Device_Configuration'!AY460)</f>
        <v/>
      </c>
      <c r="S459" s="28" t="str">
        <f>IF('12 - Device_Configuration'!AX460="","",'12 - Device_Configuration'!AX460)</f>
        <v/>
      </c>
      <c r="T459" s="28" t="str">
        <f>IF('12 - Device_Configuration'!AV460="","",'12 - Device_Configuration'!AV460)</f>
        <v/>
      </c>
      <c r="U459" s="28" t="str">
        <f>IF('12 - Device_Configuration'!AW460="","",'12 - Device_Configuration'!AW460)</f>
        <v/>
      </c>
      <c r="V459" s="28" t="str">
        <f>IF('12 - Device_Configuration'!BA460="","",'12 - Device_Configuration'!BA460)</f>
        <v/>
      </c>
      <c r="W459" s="28" t="str">
        <f>IF('12 - Device_Configuration'!BC460="","",'12 - Device_Configuration'!BC460)</f>
        <v/>
      </c>
      <c r="X459" s="28" t="str">
        <f>IF('12 - Device_Configuration'!BK460="","",'12 - Device_Configuration'!BK460)</f>
        <v/>
      </c>
      <c r="Y459" s="28" t="str">
        <f>IF('12 - Device_Configuration'!BB460="","",'12 - Device_Configuration'!BB460)</f>
        <v/>
      </c>
      <c r="Z459" s="28" t="str">
        <f>IF('12 - Device_Configuration'!P460="","",'12 - Device_Configuration'!P460)</f>
        <v/>
      </c>
      <c r="AA459" s="28" t="str">
        <f>IF('12 - Device_Configuration'!Q460="","",'12 - Device_Configuration'!Q460)</f>
        <v/>
      </c>
    </row>
    <row r="460" spans="1:27">
      <c r="A460" s="29"/>
      <c r="B460" s="29"/>
      <c r="C460" s="28" t="str">
        <f>IF('12 - Device_Configuration'!H461="","",'12 - Device_Configuration'!H461)</f>
        <v/>
      </c>
      <c r="D460" s="28" t="str">
        <f>IF('12 - Device_Configuration'!AE461="","",'12 - Device_Configuration'!AE461)</f>
        <v/>
      </c>
      <c r="E460" s="28" t="str">
        <f>IF('12 - Device_Configuration'!AF461="","",'12 - Device_Configuration'!AF461)</f>
        <v/>
      </c>
      <c r="F460" s="28" t="str">
        <f>IF('12 - Device_Configuration'!AG461="","",'12 - Device_Configuration'!AG461)</f>
        <v/>
      </c>
      <c r="G460" s="28" t="str">
        <f>IF('12 - Device_Configuration'!AH461="","",'12 - Device_Configuration'!AH461)</f>
        <v/>
      </c>
      <c r="H460" s="28" t="str">
        <f>IF('12 - Device_Configuration'!A461="","",'12 - Device_Configuration'!A461)</f>
        <v/>
      </c>
      <c r="I460" s="28" t="str">
        <f>IF('12 - Device_Configuration'!AI461="","",'12 - Device_Configuration'!AI461)</f>
        <v/>
      </c>
      <c r="J460" s="28" t="str">
        <f>IF('12 - Device_Configuration'!AJ461="","",'12 - Device_Configuration'!AJ461)</f>
        <v/>
      </c>
      <c r="K460" s="28" t="str">
        <f>IF('12 - Device_Configuration'!AA461="","",'12 - Device_Configuration'!AA461)</f>
        <v/>
      </c>
      <c r="L460" s="28" t="str">
        <f>IF('12 - Device_Configuration'!I461="","",'12 - Device_Configuration'!I461)</f>
        <v/>
      </c>
      <c r="M460" s="29"/>
      <c r="N460" s="28" t="str">
        <f>IF('12 - Device_Configuration'!J461="","",'12 - Device_Configuration'!J461)</f>
        <v/>
      </c>
      <c r="O460" s="28" t="str">
        <f>IF('12 - Device_Configuration'!K461="","",'12 - Device_Configuration'!K461)</f>
        <v/>
      </c>
      <c r="P460" s="28" t="str">
        <f>IF('12 - Device_Configuration'!L461="","",'12 - Device_Configuration'!L461)</f>
        <v/>
      </c>
      <c r="Q460" s="29"/>
      <c r="R460" s="28" t="str">
        <f>IF('12 - Device_Configuration'!AY461="","",'12 - Device_Configuration'!AY461)</f>
        <v/>
      </c>
      <c r="S460" s="28" t="str">
        <f>IF('12 - Device_Configuration'!AX461="","",'12 - Device_Configuration'!AX461)</f>
        <v/>
      </c>
      <c r="T460" s="28" t="str">
        <f>IF('12 - Device_Configuration'!AV461="","",'12 - Device_Configuration'!AV461)</f>
        <v/>
      </c>
      <c r="U460" s="28" t="str">
        <f>IF('12 - Device_Configuration'!AW461="","",'12 - Device_Configuration'!AW461)</f>
        <v/>
      </c>
      <c r="V460" s="28" t="str">
        <f>IF('12 - Device_Configuration'!BA461="","",'12 - Device_Configuration'!BA461)</f>
        <v/>
      </c>
      <c r="W460" s="28" t="str">
        <f>IF('12 - Device_Configuration'!BC461="","",'12 - Device_Configuration'!BC461)</f>
        <v/>
      </c>
      <c r="X460" s="28" t="str">
        <f>IF('12 - Device_Configuration'!BK461="","",'12 - Device_Configuration'!BK461)</f>
        <v/>
      </c>
      <c r="Y460" s="28" t="str">
        <f>IF('12 - Device_Configuration'!BB461="","",'12 - Device_Configuration'!BB461)</f>
        <v/>
      </c>
      <c r="Z460" s="28" t="str">
        <f>IF('12 - Device_Configuration'!P461="","",'12 - Device_Configuration'!P461)</f>
        <v/>
      </c>
      <c r="AA460" s="28" t="str">
        <f>IF('12 - Device_Configuration'!Q461="","",'12 - Device_Configuration'!Q461)</f>
        <v/>
      </c>
    </row>
    <row r="461" spans="1:27">
      <c r="A461" s="29"/>
      <c r="B461" s="29"/>
      <c r="C461" s="28" t="str">
        <f>IF('12 - Device_Configuration'!H462="","",'12 - Device_Configuration'!H462)</f>
        <v/>
      </c>
      <c r="D461" s="28" t="str">
        <f>IF('12 - Device_Configuration'!AE462="","",'12 - Device_Configuration'!AE462)</f>
        <v/>
      </c>
      <c r="E461" s="28" t="str">
        <f>IF('12 - Device_Configuration'!AF462="","",'12 - Device_Configuration'!AF462)</f>
        <v/>
      </c>
      <c r="F461" s="28" t="str">
        <f>IF('12 - Device_Configuration'!AG462="","",'12 - Device_Configuration'!AG462)</f>
        <v/>
      </c>
      <c r="G461" s="28" t="str">
        <f>IF('12 - Device_Configuration'!AH462="","",'12 - Device_Configuration'!AH462)</f>
        <v/>
      </c>
      <c r="H461" s="28" t="str">
        <f>IF('12 - Device_Configuration'!A462="","",'12 - Device_Configuration'!A462)</f>
        <v/>
      </c>
      <c r="I461" s="28" t="str">
        <f>IF('12 - Device_Configuration'!AI462="","",'12 - Device_Configuration'!AI462)</f>
        <v/>
      </c>
      <c r="J461" s="28" t="str">
        <f>IF('12 - Device_Configuration'!AJ462="","",'12 - Device_Configuration'!AJ462)</f>
        <v/>
      </c>
      <c r="K461" s="28" t="str">
        <f>IF('12 - Device_Configuration'!AA462="","",'12 - Device_Configuration'!AA462)</f>
        <v/>
      </c>
      <c r="L461" s="28" t="str">
        <f>IF('12 - Device_Configuration'!I462="","",'12 - Device_Configuration'!I462)</f>
        <v/>
      </c>
      <c r="M461" s="29"/>
      <c r="N461" s="28" t="str">
        <f>IF('12 - Device_Configuration'!J462="","",'12 - Device_Configuration'!J462)</f>
        <v/>
      </c>
      <c r="O461" s="28" t="str">
        <f>IF('12 - Device_Configuration'!K462="","",'12 - Device_Configuration'!K462)</f>
        <v/>
      </c>
      <c r="P461" s="28" t="str">
        <f>IF('12 - Device_Configuration'!L462="","",'12 - Device_Configuration'!L462)</f>
        <v/>
      </c>
      <c r="Q461" s="29"/>
      <c r="R461" s="28" t="str">
        <f>IF('12 - Device_Configuration'!AY462="","",'12 - Device_Configuration'!AY462)</f>
        <v/>
      </c>
      <c r="S461" s="28" t="str">
        <f>IF('12 - Device_Configuration'!AX462="","",'12 - Device_Configuration'!AX462)</f>
        <v/>
      </c>
      <c r="T461" s="28" t="str">
        <f>IF('12 - Device_Configuration'!AV462="","",'12 - Device_Configuration'!AV462)</f>
        <v/>
      </c>
      <c r="U461" s="28" t="str">
        <f>IF('12 - Device_Configuration'!AW462="","",'12 - Device_Configuration'!AW462)</f>
        <v/>
      </c>
      <c r="V461" s="28" t="str">
        <f>IF('12 - Device_Configuration'!BA462="","",'12 - Device_Configuration'!BA462)</f>
        <v/>
      </c>
      <c r="W461" s="28" t="str">
        <f>IF('12 - Device_Configuration'!BC462="","",'12 - Device_Configuration'!BC462)</f>
        <v/>
      </c>
      <c r="X461" s="28" t="str">
        <f>IF('12 - Device_Configuration'!BK462="","",'12 - Device_Configuration'!BK462)</f>
        <v/>
      </c>
      <c r="Y461" s="28" t="str">
        <f>IF('12 - Device_Configuration'!BB462="","",'12 - Device_Configuration'!BB462)</f>
        <v/>
      </c>
      <c r="Z461" s="28" t="str">
        <f>IF('12 - Device_Configuration'!P462="","",'12 - Device_Configuration'!P462)</f>
        <v/>
      </c>
      <c r="AA461" s="28" t="str">
        <f>IF('12 - Device_Configuration'!Q462="","",'12 - Device_Configuration'!Q462)</f>
        <v/>
      </c>
    </row>
    <row r="462" spans="1:27">
      <c r="A462" s="29"/>
      <c r="B462" s="29"/>
      <c r="C462" s="28" t="str">
        <f>IF('12 - Device_Configuration'!H463="","",'12 - Device_Configuration'!H463)</f>
        <v/>
      </c>
      <c r="D462" s="28" t="str">
        <f>IF('12 - Device_Configuration'!AE463="","",'12 - Device_Configuration'!AE463)</f>
        <v/>
      </c>
      <c r="E462" s="28" t="str">
        <f>IF('12 - Device_Configuration'!AF463="","",'12 - Device_Configuration'!AF463)</f>
        <v/>
      </c>
      <c r="F462" s="28" t="str">
        <f>IF('12 - Device_Configuration'!AG463="","",'12 - Device_Configuration'!AG463)</f>
        <v/>
      </c>
      <c r="G462" s="28" t="str">
        <f>IF('12 - Device_Configuration'!AH463="","",'12 - Device_Configuration'!AH463)</f>
        <v/>
      </c>
      <c r="H462" s="28" t="str">
        <f>IF('12 - Device_Configuration'!A463="","",'12 - Device_Configuration'!A463)</f>
        <v/>
      </c>
      <c r="I462" s="28" t="str">
        <f>IF('12 - Device_Configuration'!AI463="","",'12 - Device_Configuration'!AI463)</f>
        <v/>
      </c>
      <c r="J462" s="28" t="str">
        <f>IF('12 - Device_Configuration'!AJ463="","",'12 - Device_Configuration'!AJ463)</f>
        <v/>
      </c>
      <c r="K462" s="28" t="str">
        <f>IF('12 - Device_Configuration'!AA463="","",'12 - Device_Configuration'!AA463)</f>
        <v/>
      </c>
      <c r="L462" s="28" t="str">
        <f>IF('12 - Device_Configuration'!I463="","",'12 - Device_Configuration'!I463)</f>
        <v/>
      </c>
      <c r="M462" s="29"/>
      <c r="N462" s="28" t="str">
        <f>IF('12 - Device_Configuration'!J463="","",'12 - Device_Configuration'!J463)</f>
        <v/>
      </c>
      <c r="O462" s="28" t="str">
        <f>IF('12 - Device_Configuration'!K463="","",'12 - Device_Configuration'!K463)</f>
        <v/>
      </c>
      <c r="P462" s="28" t="str">
        <f>IF('12 - Device_Configuration'!L463="","",'12 - Device_Configuration'!L463)</f>
        <v/>
      </c>
      <c r="Q462" s="29"/>
      <c r="R462" s="28" t="str">
        <f>IF('12 - Device_Configuration'!AY463="","",'12 - Device_Configuration'!AY463)</f>
        <v/>
      </c>
      <c r="S462" s="28" t="str">
        <f>IF('12 - Device_Configuration'!AX463="","",'12 - Device_Configuration'!AX463)</f>
        <v/>
      </c>
      <c r="T462" s="28" t="str">
        <f>IF('12 - Device_Configuration'!AV463="","",'12 - Device_Configuration'!AV463)</f>
        <v/>
      </c>
      <c r="U462" s="28" t="str">
        <f>IF('12 - Device_Configuration'!AW463="","",'12 - Device_Configuration'!AW463)</f>
        <v/>
      </c>
      <c r="V462" s="28" t="str">
        <f>IF('12 - Device_Configuration'!BA463="","",'12 - Device_Configuration'!BA463)</f>
        <v/>
      </c>
      <c r="W462" s="28" t="str">
        <f>IF('12 - Device_Configuration'!BC463="","",'12 - Device_Configuration'!BC463)</f>
        <v/>
      </c>
      <c r="X462" s="28" t="str">
        <f>IF('12 - Device_Configuration'!BK463="","",'12 - Device_Configuration'!BK463)</f>
        <v/>
      </c>
      <c r="Y462" s="28" t="str">
        <f>IF('12 - Device_Configuration'!BB463="","",'12 - Device_Configuration'!BB463)</f>
        <v/>
      </c>
      <c r="Z462" s="28" t="str">
        <f>IF('12 - Device_Configuration'!P463="","",'12 - Device_Configuration'!P463)</f>
        <v/>
      </c>
      <c r="AA462" s="28" t="str">
        <f>IF('12 - Device_Configuration'!Q463="","",'12 - Device_Configuration'!Q463)</f>
        <v/>
      </c>
    </row>
    <row r="463" spans="1:27">
      <c r="A463" s="29"/>
      <c r="B463" s="29"/>
      <c r="C463" s="28" t="str">
        <f>IF('12 - Device_Configuration'!H464="","",'12 - Device_Configuration'!H464)</f>
        <v/>
      </c>
      <c r="D463" s="28" t="str">
        <f>IF('12 - Device_Configuration'!AE464="","",'12 - Device_Configuration'!AE464)</f>
        <v/>
      </c>
      <c r="E463" s="28" t="str">
        <f>IF('12 - Device_Configuration'!AF464="","",'12 - Device_Configuration'!AF464)</f>
        <v/>
      </c>
      <c r="F463" s="28" t="str">
        <f>IF('12 - Device_Configuration'!AG464="","",'12 - Device_Configuration'!AG464)</f>
        <v/>
      </c>
      <c r="G463" s="28" t="str">
        <f>IF('12 - Device_Configuration'!AH464="","",'12 - Device_Configuration'!AH464)</f>
        <v/>
      </c>
      <c r="H463" s="28" t="str">
        <f>IF('12 - Device_Configuration'!A464="","",'12 - Device_Configuration'!A464)</f>
        <v/>
      </c>
      <c r="I463" s="28" t="str">
        <f>IF('12 - Device_Configuration'!AI464="","",'12 - Device_Configuration'!AI464)</f>
        <v/>
      </c>
      <c r="J463" s="28" t="str">
        <f>IF('12 - Device_Configuration'!AJ464="","",'12 - Device_Configuration'!AJ464)</f>
        <v/>
      </c>
      <c r="K463" s="28" t="str">
        <f>IF('12 - Device_Configuration'!AA464="","",'12 - Device_Configuration'!AA464)</f>
        <v/>
      </c>
      <c r="L463" s="28" t="str">
        <f>IF('12 - Device_Configuration'!I464="","",'12 - Device_Configuration'!I464)</f>
        <v/>
      </c>
      <c r="M463" s="29"/>
      <c r="N463" s="28" t="str">
        <f>IF('12 - Device_Configuration'!J464="","",'12 - Device_Configuration'!J464)</f>
        <v/>
      </c>
      <c r="O463" s="28" t="str">
        <f>IF('12 - Device_Configuration'!K464="","",'12 - Device_Configuration'!K464)</f>
        <v/>
      </c>
      <c r="P463" s="28" t="str">
        <f>IF('12 - Device_Configuration'!L464="","",'12 - Device_Configuration'!L464)</f>
        <v/>
      </c>
      <c r="Q463" s="29"/>
      <c r="R463" s="28" t="str">
        <f>IF('12 - Device_Configuration'!AY464="","",'12 - Device_Configuration'!AY464)</f>
        <v/>
      </c>
      <c r="S463" s="28" t="str">
        <f>IF('12 - Device_Configuration'!AX464="","",'12 - Device_Configuration'!AX464)</f>
        <v/>
      </c>
      <c r="T463" s="28" t="str">
        <f>IF('12 - Device_Configuration'!AV464="","",'12 - Device_Configuration'!AV464)</f>
        <v/>
      </c>
      <c r="U463" s="28" t="str">
        <f>IF('12 - Device_Configuration'!AW464="","",'12 - Device_Configuration'!AW464)</f>
        <v/>
      </c>
      <c r="V463" s="28" t="str">
        <f>IF('12 - Device_Configuration'!BA464="","",'12 - Device_Configuration'!BA464)</f>
        <v/>
      </c>
      <c r="W463" s="28" t="str">
        <f>IF('12 - Device_Configuration'!BC464="","",'12 - Device_Configuration'!BC464)</f>
        <v/>
      </c>
      <c r="X463" s="28" t="str">
        <f>IF('12 - Device_Configuration'!BK464="","",'12 - Device_Configuration'!BK464)</f>
        <v/>
      </c>
      <c r="Y463" s="28" t="str">
        <f>IF('12 - Device_Configuration'!BB464="","",'12 - Device_Configuration'!BB464)</f>
        <v/>
      </c>
      <c r="Z463" s="28" t="str">
        <f>IF('12 - Device_Configuration'!P464="","",'12 - Device_Configuration'!P464)</f>
        <v/>
      </c>
      <c r="AA463" s="28" t="str">
        <f>IF('12 - Device_Configuration'!Q464="","",'12 - Device_Configuration'!Q464)</f>
        <v/>
      </c>
    </row>
    <row r="464" spans="1:27">
      <c r="A464" s="29"/>
      <c r="B464" s="29"/>
      <c r="C464" s="28" t="str">
        <f>IF('12 - Device_Configuration'!H465="","",'12 - Device_Configuration'!H465)</f>
        <v/>
      </c>
      <c r="D464" s="28" t="str">
        <f>IF('12 - Device_Configuration'!AE465="","",'12 - Device_Configuration'!AE465)</f>
        <v/>
      </c>
      <c r="E464" s="28" t="str">
        <f>IF('12 - Device_Configuration'!AF465="","",'12 - Device_Configuration'!AF465)</f>
        <v/>
      </c>
      <c r="F464" s="28" t="str">
        <f>IF('12 - Device_Configuration'!AG465="","",'12 - Device_Configuration'!AG465)</f>
        <v/>
      </c>
      <c r="G464" s="28" t="str">
        <f>IF('12 - Device_Configuration'!AH465="","",'12 - Device_Configuration'!AH465)</f>
        <v/>
      </c>
      <c r="H464" s="28" t="str">
        <f>IF('12 - Device_Configuration'!A465="","",'12 - Device_Configuration'!A465)</f>
        <v/>
      </c>
      <c r="I464" s="28" t="str">
        <f>IF('12 - Device_Configuration'!AI465="","",'12 - Device_Configuration'!AI465)</f>
        <v/>
      </c>
      <c r="J464" s="28" t="str">
        <f>IF('12 - Device_Configuration'!AJ465="","",'12 - Device_Configuration'!AJ465)</f>
        <v/>
      </c>
      <c r="K464" s="28" t="str">
        <f>IF('12 - Device_Configuration'!AA465="","",'12 - Device_Configuration'!AA465)</f>
        <v/>
      </c>
      <c r="L464" s="28" t="str">
        <f>IF('12 - Device_Configuration'!I465="","",'12 - Device_Configuration'!I465)</f>
        <v/>
      </c>
      <c r="M464" s="29"/>
      <c r="N464" s="28" t="str">
        <f>IF('12 - Device_Configuration'!J465="","",'12 - Device_Configuration'!J465)</f>
        <v/>
      </c>
      <c r="O464" s="28" t="str">
        <f>IF('12 - Device_Configuration'!K465="","",'12 - Device_Configuration'!K465)</f>
        <v/>
      </c>
      <c r="P464" s="28" t="str">
        <f>IF('12 - Device_Configuration'!L465="","",'12 - Device_Configuration'!L465)</f>
        <v/>
      </c>
      <c r="Q464" s="29"/>
      <c r="R464" s="28" t="str">
        <f>IF('12 - Device_Configuration'!AY465="","",'12 - Device_Configuration'!AY465)</f>
        <v/>
      </c>
      <c r="S464" s="28" t="str">
        <f>IF('12 - Device_Configuration'!AX465="","",'12 - Device_Configuration'!AX465)</f>
        <v/>
      </c>
      <c r="T464" s="28" t="str">
        <f>IF('12 - Device_Configuration'!AV465="","",'12 - Device_Configuration'!AV465)</f>
        <v/>
      </c>
      <c r="U464" s="28" t="str">
        <f>IF('12 - Device_Configuration'!AW465="","",'12 - Device_Configuration'!AW465)</f>
        <v/>
      </c>
      <c r="V464" s="28" t="str">
        <f>IF('12 - Device_Configuration'!BA465="","",'12 - Device_Configuration'!BA465)</f>
        <v/>
      </c>
      <c r="W464" s="28" t="str">
        <f>IF('12 - Device_Configuration'!BC465="","",'12 - Device_Configuration'!BC465)</f>
        <v/>
      </c>
      <c r="X464" s="28" t="str">
        <f>IF('12 - Device_Configuration'!BK465="","",'12 - Device_Configuration'!BK465)</f>
        <v/>
      </c>
      <c r="Y464" s="28" t="str">
        <f>IF('12 - Device_Configuration'!BB465="","",'12 - Device_Configuration'!BB465)</f>
        <v/>
      </c>
      <c r="Z464" s="28" t="str">
        <f>IF('12 - Device_Configuration'!P465="","",'12 - Device_Configuration'!P465)</f>
        <v/>
      </c>
      <c r="AA464" s="28" t="str">
        <f>IF('12 - Device_Configuration'!Q465="","",'12 - Device_Configuration'!Q465)</f>
        <v/>
      </c>
    </row>
    <row r="465" spans="1:27">
      <c r="A465" s="29"/>
      <c r="B465" s="29"/>
      <c r="C465" s="28" t="str">
        <f>IF('12 - Device_Configuration'!H466="","",'12 - Device_Configuration'!H466)</f>
        <v/>
      </c>
      <c r="D465" s="28" t="str">
        <f>IF('12 - Device_Configuration'!AE466="","",'12 - Device_Configuration'!AE466)</f>
        <v/>
      </c>
      <c r="E465" s="28" t="str">
        <f>IF('12 - Device_Configuration'!AF466="","",'12 - Device_Configuration'!AF466)</f>
        <v/>
      </c>
      <c r="F465" s="28" t="str">
        <f>IF('12 - Device_Configuration'!AG466="","",'12 - Device_Configuration'!AG466)</f>
        <v/>
      </c>
      <c r="G465" s="28" t="str">
        <f>IF('12 - Device_Configuration'!AH466="","",'12 - Device_Configuration'!AH466)</f>
        <v/>
      </c>
      <c r="H465" s="28" t="str">
        <f>IF('12 - Device_Configuration'!A466="","",'12 - Device_Configuration'!A466)</f>
        <v/>
      </c>
      <c r="I465" s="28" t="str">
        <f>IF('12 - Device_Configuration'!AI466="","",'12 - Device_Configuration'!AI466)</f>
        <v/>
      </c>
      <c r="J465" s="28" t="str">
        <f>IF('12 - Device_Configuration'!AJ466="","",'12 - Device_Configuration'!AJ466)</f>
        <v/>
      </c>
      <c r="K465" s="28" t="str">
        <f>IF('12 - Device_Configuration'!AA466="","",'12 - Device_Configuration'!AA466)</f>
        <v/>
      </c>
      <c r="L465" s="28" t="str">
        <f>IF('12 - Device_Configuration'!I466="","",'12 - Device_Configuration'!I466)</f>
        <v/>
      </c>
      <c r="M465" s="29"/>
      <c r="N465" s="28" t="str">
        <f>IF('12 - Device_Configuration'!J466="","",'12 - Device_Configuration'!J466)</f>
        <v/>
      </c>
      <c r="O465" s="28" t="str">
        <f>IF('12 - Device_Configuration'!K466="","",'12 - Device_Configuration'!K466)</f>
        <v/>
      </c>
      <c r="P465" s="28" t="str">
        <f>IF('12 - Device_Configuration'!L466="","",'12 - Device_Configuration'!L466)</f>
        <v/>
      </c>
      <c r="Q465" s="29"/>
      <c r="R465" s="28" t="str">
        <f>IF('12 - Device_Configuration'!AY466="","",'12 - Device_Configuration'!AY466)</f>
        <v/>
      </c>
      <c r="S465" s="28" t="str">
        <f>IF('12 - Device_Configuration'!AX466="","",'12 - Device_Configuration'!AX466)</f>
        <v/>
      </c>
      <c r="T465" s="28" t="str">
        <f>IF('12 - Device_Configuration'!AV466="","",'12 - Device_Configuration'!AV466)</f>
        <v/>
      </c>
      <c r="U465" s="28" t="str">
        <f>IF('12 - Device_Configuration'!AW466="","",'12 - Device_Configuration'!AW466)</f>
        <v/>
      </c>
      <c r="V465" s="28" t="str">
        <f>IF('12 - Device_Configuration'!BA466="","",'12 - Device_Configuration'!BA466)</f>
        <v/>
      </c>
      <c r="W465" s="28" t="str">
        <f>IF('12 - Device_Configuration'!BC466="","",'12 - Device_Configuration'!BC466)</f>
        <v/>
      </c>
      <c r="X465" s="28" t="str">
        <f>IF('12 - Device_Configuration'!BK466="","",'12 - Device_Configuration'!BK466)</f>
        <v/>
      </c>
      <c r="Y465" s="28" t="str">
        <f>IF('12 - Device_Configuration'!BB466="","",'12 - Device_Configuration'!BB466)</f>
        <v/>
      </c>
      <c r="Z465" s="28" t="str">
        <f>IF('12 - Device_Configuration'!P466="","",'12 - Device_Configuration'!P466)</f>
        <v/>
      </c>
      <c r="AA465" s="28" t="str">
        <f>IF('12 - Device_Configuration'!Q466="","",'12 - Device_Configuration'!Q466)</f>
        <v/>
      </c>
    </row>
    <row r="466" spans="1:27">
      <c r="A466" s="29"/>
      <c r="B466" s="29"/>
      <c r="C466" s="28" t="str">
        <f>IF('12 - Device_Configuration'!H467="","",'12 - Device_Configuration'!H467)</f>
        <v/>
      </c>
      <c r="D466" s="28" t="str">
        <f>IF('12 - Device_Configuration'!AE467="","",'12 - Device_Configuration'!AE467)</f>
        <v/>
      </c>
      <c r="E466" s="28" t="str">
        <f>IF('12 - Device_Configuration'!AF467="","",'12 - Device_Configuration'!AF467)</f>
        <v/>
      </c>
      <c r="F466" s="28" t="str">
        <f>IF('12 - Device_Configuration'!AG467="","",'12 - Device_Configuration'!AG467)</f>
        <v/>
      </c>
      <c r="G466" s="28" t="str">
        <f>IF('12 - Device_Configuration'!AH467="","",'12 - Device_Configuration'!AH467)</f>
        <v/>
      </c>
      <c r="H466" s="28" t="str">
        <f>IF('12 - Device_Configuration'!A467="","",'12 - Device_Configuration'!A467)</f>
        <v/>
      </c>
      <c r="I466" s="28" t="str">
        <f>IF('12 - Device_Configuration'!AI467="","",'12 - Device_Configuration'!AI467)</f>
        <v/>
      </c>
      <c r="J466" s="28" t="str">
        <f>IF('12 - Device_Configuration'!AJ467="","",'12 - Device_Configuration'!AJ467)</f>
        <v/>
      </c>
      <c r="K466" s="28" t="str">
        <f>IF('12 - Device_Configuration'!AA467="","",'12 - Device_Configuration'!AA467)</f>
        <v/>
      </c>
      <c r="L466" s="28" t="str">
        <f>IF('12 - Device_Configuration'!I467="","",'12 - Device_Configuration'!I467)</f>
        <v/>
      </c>
      <c r="M466" s="29"/>
      <c r="N466" s="28" t="str">
        <f>IF('12 - Device_Configuration'!J467="","",'12 - Device_Configuration'!J467)</f>
        <v/>
      </c>
      <c r="O466" s="28" t="str">
        <f>IF('12 - Device_Configuration'!K467="","",'12 - Device_Configuration'!K467)</f>
        <v/>
      </c>
      <c r="P466" s="28" t="str">
        <f>IF('12 - Device_Configuration'!L467="","",'12 - Device_Configuration'!L467)</f>
        <v/>
      </c>
      <c r="Q466" s="29"/>
      <c r="R466" s="28" t="str">
        <f>IF('12 - Device_Configuration'!AY467="","",'12 - Device_Configuration'!AY467)</f>
        <v/>
      </c>
      <c r="S466" s="28" t="str">
        <f>IF('12 - Device_Configuration'!AX467="","",'12 - Device_Configuration'!AX467)</f>
        <v/>
      </c>
      <c r="T466" s="28" t="str">
        <f>IF('12 - Device_Configuration'!AV467="","",'12 - Device_Configuration'!AV467)</f>
        <v/>
      </c>
      <c r="U466" s="28" t="str">
        <f>IF('12 - Device_Configuration'!AW467="","",'12 - Device_Configuration'!AW467)</f>
        <v/>
      </c>
      <c r="V466" s="28" t="str">
        <f>IF('12 - Device_Configuration'!BA467="","",'12 - Device_Configuration'!BA467)</f>
        <v/>
      </c>
      <c r="W466" s="28" t="str">
        <f>IF('12 - Device_Configuration'!BC467="","",'12 - Device_Configuration'!BC467)</f>
        <v/>
      </c>
      <c r="X466" s="28" t="str">
        <f>IF('12 - Device_Configuration'!BK467="","",'12 - Device_Configuration'!BK467)</f>
        <v/>
      </c>
      <c r="Y466" s="28" t="str">
        <f>IF('12 - Device_Configuration'!BB467="","",'12 - Device_Configuration'!BB467)</f>
        <v/>
      </c>
      <c r="Z466" s="28" t="str">
        <f>IF('12 - Device_Configuration'!P467="","",'12 - Device_Configuration'!P467)</f>
        <v/>
      </c>
      <c r="AA466" s="28" t="str">
        <f>IF('12 - Device_Configuration'!Q467="","",'12 - Device_Configuration'!Q467)</f>
        <v/>
      </c>
    </row>
    <row r="467" spans="1:27">
      <c r="A467" s="29"/>
      <c r="B467" s="29"/>
      <c r="C467" s="28" t="str">
        <f>IF('12 - Device_Configuration'!H468="","",'12 - Device_Configuration'!H468)</f>
        <v/>
      </c>
      <c r="D467" s="28" t="str">
        <f>IF('12 - Device_Configuration'!AE468="","",'12 - Device_Configuration'!AE468)</f>
        <v/>
      </c>
      <c r="E467" s="28" t="str">
        <f>IF('12 - Device_Configuration'!AF468="","",'12 - Device_Configuration'!AF468)</f>
        <v/>
      </c>
      <c r="F467" s="28" t="str">
        <f>IF('12 - Device_Configuration'!AG468="","",'12 - Device_Configuration'!AG468)</f>
        <v/>
      </c>
      <c r="G467" s="28" t="str">
        <f>IF('12 - Device_Configuration'!AH468="","",'12 - Device_Configuration'!AH468)</f>
        <v/>
      </c>
      <c r="H467" s="28" t="str">
        <f>IF('12 - Device_Configuration'!A468="","",'12 - Device_Configuration'!A468)</f>
        <v/>
      </c>
      <c r="I467" s="28" t="str">
        <f>IF('12 - Device_Configuration'!AI468="","",'12 - Device_Configuration'!AI468)</f>
        <v/>
      </c>
      <c r="J467" s="28" t="str">
        <f>IF('12 - Device_Configuration'!AJ468="","",'12 - Device_Configuration'!AJ468)</f>
        <v/>
      </c>
      <c r="K467" s="28" t="str">
        <f>IF('12 - Device_Configuration'!AA468="","",'12 - Device_Configuration'!AA468)</f>
        <v/>
      </c>
      <c r="L467" s="28" t="str">
        <f>IF('12 - Device_Configuration'!I468="","",'12 - Device_Configuration'!I468)</f>
        <v/>
      </c>
      <c r="M467" s="29"/>
      <c r="N467" s="28" t="str">
        <f>IF('12 - Device_Configuration'!J468="","",'12 - Device_Configuration'!J468)</f>
        <v/>
      </c>
      <c r="O467" s="28" t="str">
        <f>IF('12 - Device_Configuration'!K468="","",'12 - Device_Configuration'!K468)</f>
        <v/>
      </c>
      <c r="P467" s="28" t="str">
        <f>IF('12 - Device_Configuration'!L468="","",'12 - Device_Configuration'!L468)</f>
        <v/>
      </c>
      <c r="Q467" s="29"/>
      <c r="R467" s="28" t="str">
        <f>IF('12 - Device_Configuration'!AY468="","",'12 - Device_Configuration'!AY468)</f>
        <v/>
      </c>
      <c r="S467" s="28" t="str">
        <f>IF('12 - Device_Configuration'!AX468="","",'12 - Device_Configuration'!AX468)</f>
        <v/>
      </c>
      <c r="T467" s="28" t="str">
        <f>IF('12 - Device_Configuration'!AV468="","",'12 - Device_Configuration'!AV468)</f>
        <v/>
      </c>
      <c r="U467" s="28" t="str">
        <f>IF('12 - Device_Configuration'!AW468="","",'12 - Device_Configuration'!AW468)</f>
        <v/>
      </c>
      <c r="V467" s="28" t="str">
        <f>IF('12 - Device_Configuration'!BA468="","",'12 - Device_Configuration'!BA468)</f>
        <v/>
      </c>
      <c r="W467" s="28" t="str">
        <f>IF('12 - Device_Configuration'!BC468="","",'12 - Device_Configuration'!BC468)</f>
        <v/>
      </c>
      <c r="X467" s="28" t="str">
        <f>IF('12 - Device_Configuration'!BK468="","",'12 - Device_Configuration'!BK468)</f>
        <v/>
      </c>
      <c r="Y467" s="28" t="str">
        <f>IF('12 - Device_Configuration'!BB468="","",'12 - Device_Configuration'!BB468)</f>
        <v/>
      </c>
      <c r="Z467" s="28" t="str">
        <f>IF('12 - Device_Configuration'!P468="","",'12 - Device_Configuration'!P468)</f>
        <v/>
      </c>
      <c r="AA467" s="28" t="str">
        <f>IF('12 - Device_Configuration'!Q468="","",'12 - Device_Configuration'!Q468)</f>
        <v/>
      </c>
    </row>
    <row r="468" spans="1:27">
      <c r="A468" s="29"/>
      <c r="B468" s="29"/>
      <c r="C468" s="28" t="str">
        <f>IF('12 - Device_Configuration'!H469="","",'12 - Device_Configuration'!H469)</f>
        <v/>
      </c>
      <c r="D468" s="28" t="str">
        <f>IF('12 - Device_Configuration'!AE469="","",'12 - Device_Configuration'!AE469)</f>
        <v/>
      </c>
      <c r="E468" s="28" t="str">
        <f>IF('12 - Device_Configuration'!AF469="","",'12 - Device_Configuration'!AF469)</f>
        <v/>
      </c>
      <c r="F468" s="28" t="str">
        <f>IF('12 - Device_Configuration'!AG469="","",'12 - Device_Configuration'!AG469)</f>
        <v/>
      </c>
      <c r="G468" s="28" t="str">
        <f>IF('12 - Device_Configuration'!AH469="","",'12 - Device_Configuration'!AH469)</f>
        <v/>
      </c>
      <c r="H468" s="28" t="str">
        <f>IF('12 - Device_Configuration'!A469="","",'12 - Device_Configuration'!A469)</f>
        <v/>
      </c>
      <c r="I468" s="28" t="str">
        <f>IF('12 - Device_Configuration'!AI469="","",'12 - Device_Configuration'!AI469)</f>
        <v/>
      </c>
      <c r="J468" s="28" t="str">
        <f>IF('12 - Device_Configuration'!AJ469="","",'12 - Device_Configuration'!AJ469)</f>
        <v/>
      </c>
      <c r="K468" s="28" t="str">
        <f>IF('12 - Device_Configuration'!AA469="","",'12 - Device_Configuration'!AA469)</f>
        <v/>
      </c>
      <c r="L468" s="28" t="str">
        <f>IF('12 - Device_Configuration'!I469="","",'12 - Device_Configuration'!I469)</f>
        <v/>
      </c>
      <c r="M468" s="29"/>
      <c r="N468" s="28" t="str">
        <f>IF('12 - Device_Configuration'!J469="","",'12 - Device_Configuration'!J469)</f>
        <v/>
      </c>
      <c r="O468" s="28" t="str">
        <f>IF('12 - Device_Configuration'!K469="","",'12 - Device_Configuration'!K469)</f>
        <v/>
      </c>
      <c r="P468" s="28" t="str">
        <f>IF('12 - Device_Configuration'!L469="","",'12 - Device_Configuration'!L469)</f>
        <v/>
      </c>
      <c r="Q468" s="29"/>
      <c r="R468" s="28" t="str">
        <f>IF('12 - Device_Configuration'!AY469="","",'12 - Device_Configuration'!AY469)</f>
        <v/>
      </c>
      <c r="S468" s="28" t="str">
        <f>IF('12 - Device_Configuration'!AX469="","",'12 - Device_Configuration'!AX469)</f>
        <v/>
      </c>
      <c r="T468" s="28" t="str">
        <f>IF('12 - Device_Configuration'!AV469="","",'12 - Device_Configuration'!AV469)</f>
        <v/>
      </c>
      <c r="U468" s="28" t="str">
        <f>IF('12 - Device_Configuration'!AW469="","",'12 - Device_Configuration'!AW469)</f>
        <v/>
      </c>
      <c r="V468" s="28" t="str">
        <f>IF('12 - Device_Configuration'!BA469="","",'12 - Device_Configuration'!BA469)</f>
        <v/>
      </c>
      <c r="W468" s="28" t="str">
        <f>IF('12 - Device_Configuration'!BC469="","",'12 - Device_Configuration'!BC469)</f>
        <v/>
      </c>
      <c r="X468" s="28" t="str">
        <f>IF('12 - Device_Configuration'!BK469="","",'12 - Device_Configuration'!BK469)</f>
        <v/>
      </c>
      <c r="Y468" s="28" t="str">
        <f>IF('12 - Device_Configuration'!BB469="","",'12 - Device_Configuration'!BB469)</f>
        <v/>
      </c>
      <c r="Z468" s="28" t="str">
        <f>IF('12 - Device_Configuration'!P469="","",'12 - Device_Configuration'!P469)</f>
        <v/>
      </c>
      <c r="AA468" s="28" t="str">
        <f>IF('12 - Device_Configuration'!Q469="","",'12 - Device_Configuration'!Q469)</f>
        <v/>
      </c>
    </row>
    <row r="469" spans="1:27">
      <c r="A469" s="29"/>
      <c r="B469" s="29"/>
      <c r="C469" s="28" t="str">
        <f>IF('12 - Device_Configuration'!H470="","",'12 - Device_Configuration'!H470)</f>
        <v/>
      </c>
      <c r="D469" s="28" t="str">
        <f>IF('12 - Device_Configuration'!AE470="","",'12 - Device_Configuration'!AE470)</f>
        <v/>
      </c>
      <c r="E469" s="28" t="str">
        <f>IF('12 - Device_Configuration'!AF470="","",'12 - Device_Configuration'!AF470)</f>
        <v/>
      </c>
      <c r="F469" s="28" t="str">
        <f>IF('12 - Device_Configuration'!AG470="","",'12 - Device_Configuration'!AG470)</f>
        <v/>
      </c>
      <c r="G469" s="28" t="str">
        <f>IF('12 - Device_Configuration'!AH470="","",'12 - Device_Configuration'!AH470)</f>
        <v/>
      </c>
      <c r="H469" s="28" t="str">
        <f>IF('12 - Device_Configuration'!A470="","",'12 - Device_Configuration'!A470)</f>
        <v/>
      </c>
      <c r="I469" s="28" t="str">
        <f>IF('12 - Device_Configuration'!AI470="","",'12 - Device_Configuration'!AI470)</f>
        <v/>
      </c>
      <c r="J469" s="28" t="str">
        <f>IF('12 - Device_Configuration'!AJ470="","",'12 - Device_Configuration'!AJ470)</f>
        <v/>
      </c>
      <c r="K469" s="28" t="str">
        <f>IF('12 - Device_Configuration'!AA470="","",'12 - Device_Configuration'!AA470)</f>
        <v/>
      </c>
      <c r="L469" s="28" t="str">
        <f>IF('12 - Device_Configuration'!I470="","",'12 - Device_Configuration'!I470)</f>
        <v/>
      </c>
      <c r="M469" s="29"/>
      <c r="N469" s="28" t="str">
        <f>IF('12 - Device_Configuration'!J470="","",'12 - Device_Configuration'!J470)</f>
        <v/>
      </c>
      <c r="O469" s="28" t="str">
        <f>IF('12 - Device_Configuration'!K470="","",'12 - Device_Configuration'!K470)</f>
        <v/>
      </c>
      <c r="P469" s="28" t="str">
        <f>IF('12 - Device_Configuration'!L470="","",'12 - Device_Configuration'!L470)</f>
        <v/>
      </c>
      <c r="Q469" s="29"/>
      <c r="R469" s="28" t="str">
        <f>IF('12 - Device_Configuration'!AY470="","",'12 - Device_Configuration'!AY470)</f>
        <v/>
      </c>
      <c r="S469" s="28" t="str">
        <f>IF('12 - Device_Configuration'!AX470="","",'12 - Device_Configuration'!AX470)</f>
        <v/>
      </c>
      <c r="T469" s="28" t="str">
        <f>IF('12 - Device_Configuration'!AV470="","",'12 - Device_Configuration'!AV470)</f>
        <v/>
      </c>
      <c r="U469" s="28" t="str">
        <f>IF('12 - Device_Configuration'!AW470="","",'12 - Device_Configuration'!AW470)</f>
        <v/>
      </c>
      <c r="V469" s="28" t="str">
        <f>IF('12 - Device_Configuration'!BA470="","",'12 - Device_Configuration'!BA470)</f>
        <v/>
      </c>
      <c r="W469" s="28" t="str">
        <f>IF('12 - Device_Configuration'!BC470="","",'12 - Device_Configuration'!BC470)</f>
        <v/>
      </c>
      <c r="X469" s="28" t="str">
        <f>IF('12 - Device_Configuration'!BK470="","",'12 - Device_Configuration'!BK470)</f>
        <v/>
      </c>
      <c r="Y469" s="28" t="str">
        <f>IF('12 - Device_Configuration'!BB470="","",'12 - Device_Configuration'!BB470)</f>
        <v/>
      </c>
      <c r="Z469" s="28" t="str">
        <f>IF('12 - Device_Configuration'!P470="","",'12 - Device_Configuration'!P470)</f>
        <v/>
      </c>
      <c r="AA469" s="28" t="str">
        <f>IF('12 - Device_Configuration'!Q470="","",'12 - Device_Configuration'!Q470)</f>
        <v/>
      </c>
    </row>
    <row r="470" spans="1:27">
      <c r="A470" s="29"/>
      <c r="B470" s="29"/>
      <c r="C470" s="28" t="str">
        <f>IF('12 - Device_Configuration'!H471="","",'12 - Device_Configuration'!H471)</f>
        <v/>
      </c>
      <c r="D470" s="28" t="str">
        <f>IF('12 - Device_Configuration'!AE471="","",'12 - Device_Configuration'!AE471)</f>
        <v/>
      </c>
      <c r="E470" s="28" t="str">
        <f>IF('12 - Device_Configuration'!AF471="","",'12 - Device_Configuration'!AF471)</f>
        <v/>
      </c>
      <c r="F470" s="28" t="str">
        <f>IF('12 - Device_Configuration'!AG471="","",'12 - Device_Configuration'!AG471)</f>
        <v/>
      </c>
      <c r="G470" s="28" t="str">
        <f>IF('12 - Device_Configuration'!AH471="","",'12 - Device_Configuration'!AH471)</f>
        <v/>
      </c>
      <c r="H470" s="28" t="str">
        <f>IF('12 - Device_Configuration'!A471="","",'12 - Device_Configuration'!A471)</f>
        <v/>
      </c>
      <c r="I470" s="28" t="str">
        <f>IF('12 - Device_Configuration'!AI471="","",'12 - Device_Configuration'!AI471)</f>
        <v/>
      </c>
      <c r="J470" s="28" t="str">
        <f>IF('12 - Device_Configuration'!AJ471="","",'12 - Device_Configuration'!AJ471)</f>
        <v/>
      </c>
      <c r="K470" s="28" t="str">
        <f>IF('12 - Device_Configuration'!AA471="","",'12 - Device_Configuration'!AA471)</f>
        <v/>
      </c>
      <c r="L470" s="28" t="str">
        <f>IF('12 - Device_Configuration'!I471="","",'12 - Device_Configuration'!I471)</f>
        <v/>
      </c>
      <c r="M470" s="29"/>
      <c r="N470" s="28" t="str">
        <f>IF('12 - Device_Configuration'!J471="","",'12 - Device_Configuration'!J471)</f>
        <v/>
      </c>
      <c r="O470" s="28" t="str">
        <f>IF('12 - Device_Configuration'!K471="","",'12 - Device_Configuration'!K471)</f>
        <v/>
      </c>
      <c r="P470" s="28" t="str">
        <f>IF('12 - Device_Configuration'!L471="","",'12 - Device_Configuration'!L471)</f>
        <v/>
      </c>
      <c r="Q470" s="29"/>
      <c r="R470" s="28" t="str">
        <f>IF('12 - Device_Configuration'!AY471="","",'12 - Device_Configuration'!AY471)</f>
        <v/>
      </c>
      <c r="S470" s="28" t="str">
        <f>IF('12 - Device_Configuration'!AX471="","",'12 - Device_Configuration'!AX471)</f>
        <v/>
      </c>
      <c r="T470" s="28" t="str">
        <f>IF('12 - Device_Configuration'!AV471="","",'12 - Device_Configuration'!AV471)</f>
        <v/>
      </c>
      <c r="U470" s="28" t="str">
        <f>IF('12 - Device_Configuration'!AW471="","",'12 - Device_Configuration'!AW471)</f>
        <v/>
      </c>
      <c r="V470" s="28" t="str">
        <f>IF('12 - Device_Configuration'!BA471="","",'12 - Device_Configuration'!BA471)</f>
        <v/>
      </c>
      <c r="W470" s="28" t="str">
        <f>IF('12 - Device_Configuration'!BC471="","",'12 - Device_Configuration'!BC471)</f>
        <v/>
      </c>
      <c r="X470" s="28" t="str">
        <f>IF('12 - Device_Configuration'!BK471="","",'12 - Device_Configuration'!BK471)</f>
        <v/>
      </c>
      <c r="Y470" s="28" t="str">
        <f>IF('12 - Device_Configuration'!BB471="","",'12 - Device_Configuration'!BB471)</f>
        <v/>
      </c>
      <c r="Z470" s="28" t="str">
        <f>IF('12 - Device_Configuration'!P471="","",'12 - Device_Configuration'!P471)</f>
        <v/>
      </c>
      <c r="AA470" s="28" t="str">
        <f>IF('12 - Device_Configuration'!Q471="","",'12 - Device_Configuration'!Q471)</f>
        <v/>
      </c>
    </row>
    <row r="471" spans="1:27">
      <c r="A471" s="29"/>
      <c r="B471" s="29"/>
      <c r="C471" s="28" t="str">
        <f>IF('12 - Device_Configuration'!H472="","",'12 - Device_Configuration'!H472)</f>
        <v/>
      </c>
      <c r="D471" s="28" t="str">
        <f>IF('12 - Device_Configuration'!AE472="","",'12 - Device_Configuration'!AE472)</f>
        <v/>
      </c>
      <c r="E471" s="28" t="str">
        <f>IF('12 - Device_Configuration'!AF472="","",'12 - Device_Configuration'!AF472)</f>
        <v/>
      </c>
      <c r="F471" s="28" t="str">
        <f>IF('12 - Device_Configuration'!AG472="","",'12 - Device_Configuration'!AG472)</f>
        <v/>
      </c>
      <c r="G471" s="28" t="str">
        <f>IF('12 - Device_Configuration'!AH472="","",'12 - Device_Configuration'!AH472)</f>
        <v/>
      </c>
      <c r="H471" s="28" t="str">
        <f>IF('12 - Device_Configuration'!A472="","",'12 - Device_Configuration'!A472)</f>
        <v/>
      </c>
      <c r="I471" s="28" t="str">
        <f>IF('12 - Device_Configuration'!AI472="","",'12 - Device_Configuration'!AI472)</f>
        <v/>
      </c>
      <c r="J471" s="28" t="str">
        <f>IF('12 - Device_Configuration'!AJ472="","",'12 - Device_Configuration'!AJ472)</f>
        <v/>
      </c>
      <c r="K471" s="28" t="str">
        <f>IF('12 - Device_Configuration'!AA472="","",'12 - Device_Configuration'!AA472)</f>
        <v/>
      </c>
      <c r="L471" s="28" t="str">
        <f>IF('12 - Device_Configuration'!I472="","",'12 - Device_Configuration'!I472)</f>
        <v/>
      </c>
      <c r="M471" s="29"/>
      <c r="N471" s="28" t="str">
        <f>IF('12 - Device_Configuration'!J472="","",'12 - Device_Configuration'!J472)</f>
        <v/>
      </c>
      <c r="O471" s="28" t="str">
        <f>IF('12 - Device_Configuration'!K472="","",'12 - Device_Configuration'!K472)</f>
        <v/>
      </c>
      <c r="P471" s="28" t="str">
        <f>IF('12 - Device_Configuration'!L472="","",'12 - Device_Configuration'!L472)</f>
        <v/>
      </c>
      <c r="Q471" s="29"/>
      <c r="R471" s="28" t="str">
        <f>IF('12 - Device_Configuration'!AY472="","",'12 - Device_Configuration'!AY472)</f>
        <v/>
      </c>
      <c r="S471" s="28" t="str">
        <f>IF('12 - Device_Configuration'!AX472="","",'12 - Device_Configuration'!AX472)</f>
        <v/>
      </c>
      <c r="T471" s="28" t="str">
        <f>IF('12 - Device_Configuration'!AV472="","",'12 - Device_Configuration'!AV472)</f>
        <v/>
      </c>
      <c r="U471" s="28" t="str">
        <f>IF('12 - Device_Configuration'!AW472="","",'12 - Device_Configuration'!AW472)</f>
        <v/>
      </c>
      <c r="V471" s="28" t="str">
        <f>IF('12 - Device_Configuration'!BA472="","",'12 - Device_Configuration'!BA472)</f>
        <v/>
      </c>
      <c r="W471" s="28" t="str">
        <f>IF('12 - Device_Configuration'!BC472="","",'12 - Device_Configuration'!BC472)</f>
        <v/>
      </c>
      <c r="X471" s="28" t="str">
        <f>IF('12 - Device_Configuration'!BK472="","",'12 - Device_Configuration'!BK472)</f>
        <v/>
      </c>
      <c r="Y471" s="28" t="str">
        <f>IF('12 - Device_Configuration'!BB472="","",'12 - Device_Configuration'!BB472)</f>
        <v/>
      </c>
      <c r="Z471" s="28" t="str">
        <f>IF('12 - Device_Configuration'!P472="","",'12 - Device_Configuration'!P472)</f>
        <v/>
      </c>
      <c r="AA471" s="28" t="str">
        <f>IF('12 - Device_Configuration'!Q472="","",'12 - Device_Configuration'!Q472)</f>
        <v/>
      </c>
    </row>
    <row r="472" spans="1:27">
      <c r="A472" s="29"/>
      <c r="B472" s="29"/>
      <c r="C472" s="28" t="str">
        <f>IF('12 - Device_Configuration'!H473="","",'12 - Device_Configuration'!H473)</f>
        <v/>
      </c>
      <c r="D472" s="28" t="str">
        <f>IF('12 - Device_Configuration'!AE473="","",'12 - Device_Configuration'!AE473)</f>
        <v/>
      </c>
      <c r="E472" s="28" t="str">
        <f>IF('12 - Device_Configuration'!AF473="","",'12 - Device_Configuration'!AF473)</f>
        <v/>
      </c>
      <c r="F472" s="28" t="str">
        <f>IF('12 - Device_Configuration'!AG473="","",'12 - Device_Configuration'!AG473)</f>
        <v/>
      </c>
      <c r="G472" s="28" t="str">
        <f>IF('12 - Device_Configuration'!AH473="","",'12 - Device_Configuration'!AH473)</f>
        <v/>
      </c>
      <c r="H472" s="28" t="str">
        <f>IF('12 - Device_Configuration'!A473="","",'12 - Device_Configuration'!A473)</f>
        <v/>
      </c>
      <c r="I472" s="28" t="str">
        <f>IF('12 - Device_Configuration'!AI473="","",'12 - Device_Configuration'!AI473)</f>
        <v/>
      </c>
      <c r="J472" s="28" t="str">
        <f>IF('12 - Device_Configuration'!AJ473="","",'12 - Device_Configuration'!AJ473)</f>
        <v/>
      </c>
      <c r="K472" s="28" t="str">
        <f>IF('12 - Device_Configuration'!AA473="","",'12 - Device_Configuration'!AA473)</f>
        <v/>
      </c>
      <c r="L472" s="28" t="str">
        <f>IF('12 - Device_Configuration'!I473="","",'12 - Device_Configuration'!I473)</f>
        <v/>
      </c>
      <c r="M472" s="29"/>
      <c r="N472" s="28" t="str">
        <f>IF('12 - Device_Configuration'!J473="","",'12 - Device_Configuration'!J473)</f>
        <v/>
      </c>
      <c r="O472" s="28" t="str">
        <f>IF('12 - Device_Configuration'!K473="","",'12 - Device_Configuration'!K473)</f>
        <v/>
      </c>
      <c r="P472" s="28" t="str">
        <f>IF('12 - Device_Configuration'!L473="","",'12 - Device_Configuration'!L473)</f>
        <v/>
      </c>
      <c r="Q472" s="29"/>
      <c r="R472" s="28" t="str">
        <f>IF('12 - Device_Configuration'!AY473="","",'12 - Device_Configuration'!AY473)</f>
        <v/>
      </c>
      <c r="S472" s="28" t="str">
        <f>IF('12 - Device_Configuration'!AX473="","",'12 - Device_Configuration'!AX473)</f>
        <v/>
      </c>
      <c r="T472" s="28" t="str">
        <f>IF('12 - Device_Configuration'!AV473="","",'12 - Device_Configuration'!AV473)</f>
        <v/>
      </c>
      <c r="U472" s="28" t="str">
        <f>IF('12 - Device_Configuration'!AW473="","",'12 - Device_Configuration'!AW473)</f>
        <v/>
      </c>
      <c r="V472" s="28" t="str">
        <f>IF('12 - Device_Configuration'!BA473="","",'12 - Device_Configuration'!BA473)</f>
        <v/>
      </c>
      <c r="W472" s="28" t="str">
        <f>IF('12 - Device_Configuration'!BC473="","",'12 - Device_Configuration'!BC473)</f>
        <v/>
      </c>
      <c r="X472" s="28" t="str">
        <f>IF('12 - Device_Configuration'!BK473="","",'12 - Device_Configuration'!BK473)</f>
        <v/>
      </c>
      <c r="Y472" s="28" t="str">
        <f>IF('12 - Device_Configuration'!BB473="","",'12 - Device_Configuration'!BB473)</f>
        <v/>
      </c>
      <c r="Z472" s="28" t="str">
        <f>IF('12 - Device_Configuration'!P473="","",'12 - Device_Configuration'!P473)</f>
        <v/>
      </c>
      <c r="AA472" s="28" t="str">
        <f>IF('12 - Device_Configuration'!Q473="","",'12 - Device_Configuration'!Q473)</f>
        <v/>
      </c>
    </row>
    <row r="473" spans="1:27">
      <c r="A473" s="29"/>
      <c r="B473" s="29"/>
      <c r="C473" s="28" t="str">
        <f>IF('12 - Device_Configuration'!H474="","",'12 - Device_Configuration'!H474)</f>
        <v/>
      </c>
      <c r="D473" s="28" t="str">
        <f>IF('12 - Device_Configuration'!AE474="","",'12 - Device_Configuration'!AE474)</f>
        <v/>
      </c>
      <c r="E473" s="28" t="str">
        <f>IF('12 - Device_Configuration'!AF474="","",'12 - Device_Configuration'!AF474)</f>
        <v/>
      </c>
      <c r="F473" s="28" t="str">
        <f>IF('12 - Device_Configuration'!AG474="","",'12 - Device_Configuration'!AG474)</f>
        <v/>
      </c>
      <c r="G473" s="28" t="str">
        <f>IF('12 - Device_Configuration'!AH474="","",'12 - Device_Configuration'!AH474)</f>
        <v/>
      </c>
      <c r="H473" s="28" t="str">
        <f>IF('12 - Device_Configuration'!A474="","",'12 - Device_Configuration'!A474)</f>
        <v/>
      </c>
      <c r="I473" s="28" t="str">
        <f>IF('12 - Device_Configuration'!AI474="","",'12 - Device_Configuration'!AI474)</f>
        <v/>
      </c>
      <c r="J473" s="28" t="str">
        <f>IF('12 - Device_Configuration'!AJ474="","",'12 - Device_Configuration'!AJ474)</f>
        <v/>
      </c>
      <c r="K473" s="28" t="str">
        <f>IF('12 - Device_Configuration'!AA474="","",'12 - Device_Configuration'!AA474)</f>
        <v/>
      </c>
      <c r="L473" s="28" t="str">
        <f>IF('12 - Device_Configuration'!I474="","",'12 - Device_Configuration'!I474)</f>
        <v/>
      </c>
      <c r="M473" s="29"/>
      <c r="N473" s="28" t="str">
        <f>IF('12 - Device_Configuration'!J474="","",'12 - Device_Configuration'!J474)</f>
        <v/>
      </c>
      <c r="O473" s="28" t="str">
        <f>IF('12 - Device_Configuration'!K474="","",'12 - Device_Configuration'!K474)</f>
        <v/>
      </c>
      <c r="P473" s="28" t="str">
        <f>IF('12 - Device_Configuration'!L474="","",'12 - Device_Configuration'!L474)</f>
        <v/>
      </c>
      <c r="Q473" s="29"/>
      <c r="R473" s="28" t="str">
        <f>IF('12 - Device_Configuration'!AY474="","",'12 - Device_Configuration'!AY474)</f>
        <v/>
      </c>
      <c r="S473" s="28" t="str">
        <f>IF('12 - Device_Configuration'!AX474="","",'12 - Device_Configuration'!AX474)</f>
        <v/>
      </c>
      <c r="T473" s="28" t="str">
        <f>IF('12 - Device_Configuration'!AV474="","",'12 - Device_Configuration'!AV474)</f>
        <v/>
      </c>
      <c r="U473" s="28" t="str">
        <f>IF('12 - Device_Configuration'!AW474="","",'12 - Device_Configuration'!AW474)</f>
        <v/>
      </c>
      <c r="V473" s="28" t="str">
        <f>IF('12 - Device_Configuration'!BA474="","",'12 - Device_Configuration'!BA474)</f>
        <v/>
      </c>
      <c r="W473" s="28" t="str">
        <f>IF('12 - Device_Configuration'!BC474="","",'12 - Device_Configuration'!BC474)</f>
        <v/>
      </c>
      <c r="X473" s="28" t="str">
        <f>IF('12 - Device_Configuration'!BK474="","",'12 - Device_Configuration'!BK474)</f>
        <v/>
      </c>
      <c r="Y473" s="28" t="str">
        <f>IF('12 - Device_Configuration'!BB474="","",'12 - Device_Configuration'!BB474)</f>
        <v/>
      </c>
      <c r="Z473" s="28" t="str">
        <f>IF('12 - Device_Configuration'!P474="","",'12 - Device_Configuration'!P474)</f>
        <v/>
      </c>
      <c r="AA473" s="28" t="str">
        <f>IF('12 - Device_Configuration'!Q474="","",'12 - Device_Configuration'!Q474)</f>
        <v/>
      </c>
    </row>
    <row r="474" spans="1:27">
      <c r="A474" s="29"/>
      <c r="B474" s="29"/>
      <c r="C474" s="28" t="str">
        <f>IF('12 - Device_Configuration'!H475="","",'12 - Device_Configuration'!H475)</f>
        <v/>
      </c>
      <c r="D474" s="28" t="str">
        <f>IF('12 - Device_Configuration'!AE475="","",'12 - Device_Configuration'!AE475)</f>
        <v/>
      </c>
      <c r="E474" s="28" t="str">
        <f>IF('12 - Device_Configuration'!AF475="","",'12 - Device_Configuration'!AF475)</f>
        <v/>
      </c>
      <c r="F474" s="28" t="str">
        <f>IF('12 - Device_Configuration'!AG475="","",'12 - Device_Configuration'!AG475)</f>
        <v/>
      </c>
      <c r="G474" s="28" t="str">
        <f>IF('12 - Device_Configuration'!AH475="","",'12 - Device_Configuration'!AH475)</f>
        <v/>
      </c>
      <c r="H474" s="28" t="str">
        <f>IF('12 - Device_Configuration'!A475="","",'12 - Device_Configuration'!A475)</f>
        <v/>
      </c>
      <c r="I474" s="28" t="str">
        <f>IF('12 - Device_Configuration'!AI475="","",'12 - Device_Configuration'!AI475)</f>
        <v/>
      </c>
      <c r="J474" s="28" t="str">
        <f>IF('12 - Device_Configuration'!AJ475="","",'12 - Device_Configuration'!AJ475)</f>
        <v/>
      </c>
      <c r="K474" s="28" t="str">
        <f>IF('12 - Device_Configuration'!AA475="","",'12 - Device_Configuration'!AA475)</f>
        <v/>
      </c>
      <c r="L474" s="28" t="str">
        <f>IF('12 - Device_Configuration'!I475="","",'12 - Device_Configuration'!I475)</f>
        <v/>
      </c>
      <c r="M474" s="29"/>
      <c r="N474" s="28" t="str">
        <f>IF('12 - Device_Configuration'!J475="","",'12 - Device_Configuration'!J475)</f>
        <v/>
      </c>
      <c r="O474" s="28" t="str">
        <f>IF('12 - Device_Configuration'!K475="","",'12 - Device_Configuration'!K475)</f>
        <v/>
      </c>
      <c r="P474" s="28" t="str">
        <f>IF('12 - Device_Configuration'!L475="","",'12 - Device_Configuration'!L475)</f>
        <v/>
      </c>
      <c r="Q474" s="29"/>
      <c r="R474" s="28" t="str">
        <f>IF('12 - Device_Configuration'!AY475="","",'12 - Device_Configuration'!AY475)</f>
        <v/>
      </c>
      <c r="S474" s="28" t="str">
        <f>IF('12 - Device_Configuration'!AX475="","",'12 - Device_Configuration'!AX475)</f>
        <v/>
      </c>
      <c r="T474" s="28" t="str">
        <f>IF('12 - Device_Configuration'!AV475="","",'12 - Device_Configuration'!AV475)</f>
        <v/>
      </c>
      <c r="U474" s="28" t="str">
        <f>IF('12 - Device_Configuration'!AW475="","",'12 - Device_Configuration'!AW475)</f>
        <v/>
      </c>
      <c r="V474" s="28" t="str">
        <f>IF('12 - Device_Configuration'!BA475="","",'12 - Device_Configuration'!BA475)</f>
        <v/>
      </c>
      <c r="W474" s="28" t="str">
        <f>IF('12 - Device_Configuration'!BC475="","",'12 - Device_Configuration'!BC475)</f>
        <v/>
      </c>
      <c r="X474" s="28" t="str">
        <f>IF('12 - Device_Configuration'!BK475="","",'12 - Device_Configuration'!BK475)</f>
        <v/>
      </c>
      <c r="Y474" s="28" t="str">
        <f>IF('12 - Device_Configuration'!BB475="","",'12 - Device_Configuration'!BB475)</f>
        <v/>
      </c>
      <c r="Z474" s="28" t="str">
        <f>IF('12 - Device_Configuration'!P475="","",'12 - Device_Configuration'!P475)</f>
        <v/>
      </c>
      <c r="AA474" s="28" t="str">
        <f>IF('12 - Device_Configuration'!Q475="","",'12 - Device_Configuration'!Q475)</f>
        <v/>
      </c>
    </row>
    <row r="475" spans="1:27">
      <c r="A475" s="29"/>
      <c r="B475" s="29"/>
      <c r="C475" s="28" t="str">
        <f>IF('12 - Device_Configuration'!H476="","",'12 - Device_Configuration'!H476)</f>
        <v/>
      </c>
      <c r="D475" s="28" t="str">
        <f>IF('12 - Device_Configuration'!AE476="","",'12 - Device_Configuration'!AE476)</f>
        <v/>
      </c>
      <c r="E475" s="28" t="str">
        <f>IF('12 - Device_Configuration'!AF476="","",'12 - Device_Configuration'!AF476)</f>
        <v/>
      </c>
      <c r="F475" s="28" t="str">
        <f>IF('12 - Device_Configuration'!AG476="","",'12 - Device_Configuration'!AG476)</f>
        <v/>
      </c>
      <c r="G475" s="28" t="str">
        <f>IF('12 - Device_Configuration'!AH476="","",'12 - Device_Configuration'!AH476)</f>
        <v/>
      </c>
      <c r="H475" s="28" t="str">
        <f>IF('12 - Device_Configuration'!A476="","",'12 - Device_Configuration'!A476)</f>
        <v/>
      </c>
      <c r="I475" s="28" t="str">
        <f>IF('12 - Device_Configuration'!AI476="","",'12 - Device_Configuration'!AI476)</f>
        <v/>
      </c>
      <c r="J475" s="28" t="str">
        <f>IF('12 - Device_Configuration'!AJ476="","",'12 - Device_Configuration'!AJ476)</f>
        <v/>
      </c>
      <c r="K475" s="28" t="str">
        <f>IF('12 - Device_Configuration'!AA476="","",'12 - Device_Configuration'!AA476)</f>
        <v/>
      </c>
      <c r="L475" s="28" t="str">
        <f>IF('12 - Device_Configuration'!I476="","",'12 - Device_Configuration'!I476)</f>
        <v/>
      </c>
      <c r="M475" s="29"/>
      <c r="N475" s="28" t="str">
        <f>IF('12 - Device_Configuration'!J476="","",'12 - Device_Configuration'!J476)</f>
        <v/>
      </c>
      <c r="O475" s="28" t="str">
        <f>IF('12 - Device_Configuration'!K476="","",'12 - Device_Configuration'!K476)</f>
        <v/>
      </c>
      <c r="P475" s="28" t="str">
        <f>IF('12 - Device_Configuration'!L476="","",'12 - Device_Configuration'!L476)</f>
        <v/>
      </c>
      <c r="Q475" s="29"/>
      <c r="R475" s="28" t="str">
        <f>IF('12 - Device_Configuration'!AY476="","",'12 - Device_Configuration'!AY476)</f>
        <v/>
      </c>
      <c r="S475" s="28" t="str">
        <f>IF('12 - Device_Configuration'!AX476="","",'12 - Device_Configuration'!AX476)</f>
        <v/>
      </c>
      <c r="T475" s="28" t="str">
        <f>IF('12 - Device_Configuration'!AV476="","",'12 - Device_Configuration'!AV476)</f>
        <v/>
      </c>
      <c r="U475" s="28" t="str">
        <f>IF('12 - Device_Configuration'!AW476="","",'12 - Device_Configuration'!AW476)</f>
        <v/>
      </c>
      <c r="V475" s="28" t="str">
        <f>IF('12 - Device_Configuration'!BA476="","",'12 - Device_Configuration'!BA476)</f>
        <v/>
      </c>
      <c r="W475" s="28" t="str">
        <f>IF('12 - Device_Configuration'!BC476="","",'12 - Device_Configuration'!BC476)</f>
        <v/>
      </c>
      <c r="X475" s="28" t="str">
        <f>IF('12 - Device_Configuration'!BK476="","",'12 - Device_Configuration'!BK476)</f>
        <v/>
      </c>
      <c r="Y475" s="28" t="str">
        <f>IF('12 - Device_Configuration'!BB476="","",'12 - Device_Configuration'!BB476)</f>
        <v/>
      </c>
      <c r="Z475" s="28" t="str">
        <f>IF('12 - Device_Configuration'!P476="","",'12 - Device_Configuration'!P476)</f>
        <v/>
      </c>
      <c r="AA475" s="28" t="str">
        <f>IF('12 - Device_Configuration'!Q476="","",'12 - Device_Configuration'!Q476)</f>
        <v/>
      </c>
    </row>
    <row r="476" spans="1:27">
      <c r="A476" s="29"/>
      <c r="B476" s="29"/>
      <c r="C476" s="28" t="str">
        <f>IF('12 - Device_Configuration'!H477="","",'12 - Device_Configuration'!H477)</f>
        <v/>
      </c>
      <c r="D476" s="28" t="str">
        <f>IF('12 - Device_Configuration'!AE477="","",'12 - Device_Configuration'!AE477)</f>
        <v/>
      </c>
      <c r="E476" s="28" t="str">
        <f>IF('12 - Device_Configuration'!AF477="","",'12 - Device_Configuration'!AF477)</f>
        <v/>
      </c>
      <c r="F476" s="28" t="str">
        <f>IF('12 - Device_Configuration'!AG477="","",'12 - Device_Configuration'!AG477)</f>
        <v/>
      </c>
      <c r="G476" s="28" t="str">
        <f>IF('12 - Device_Configuration'!AH477="","",'12 - Device_Configuration'!AH477)</f>
        <v/>
      </c>
      <c r="H476" s="28" t="str">
        <f>IF('12 - Device_Configuration'!A477="","",'12 - Device_Configuration'!A477)</f>
        <v/>
      </c>
      <c r="I476" s="28" t="str">
        <f>IF('12 - Device_Configuration'!AI477="","",'12 - Device_Configuration'!AI477)</f>
        <v/>
      </c>
      <c r="J476" s="28" t="str">
        <f>IF('12 - Device_Configuration'!AJ477="","",'12 - Device_Configuration'!AJ477)</f>
        <v/>
      </c>
      <c r="K476" s="28" t="str">
        <f>IF('12 - Device_Configuration'!AA477="","",'12 - Device_Configuration'!AA477)</f>
        <v/>
      </c>
      <c r="L476" s="28" t="str">
        <f>IF('12 - Device_Configuration'!I477="","",'12 - Device_Configuration'!I477)</f>
        <v/>
      </c>
      <c r="M476" s="29"/>
      <c r="N476" s="28" t="str">
        <f>IF('12 - Device_Configuration'!J477="","",'12 - Device_Configuration'!J477)</f>
        <v/>
      </c>
      <c r="O476" s="28" t="str">
        <f>IF('12 - Device_Configuration'!K477="","",'12 - Device_Configuration'!K477)</f>
        <v/>
      </c>
      <c r="P476" s="28" t="str">
        <f>IF('12 - Device_Configuration'!L477="","",'12 - Device_Configuration'!L477)</f>
        <v/>
      </c>
      <c r="Q476" s="29"/>
      <c r="R476" s="28" t="str">
        <f>IF('12 - Device_Configuration'!AY477="","",'12 - Device_Configuration'!AY477)</f>
        <v/>
      </c>
      <c r="S476" s="28" t="str">
        <f>IF('12 - Device_Configuration'!AX477="","",'12 - Device_Configuration'!AX477)</f>
        <v/>
      </c>
      <c r="T476" s="28" t="str">
        <f>IF('12 - Device_Configuration'!AV477="","",'12 - Device_Configuration'!AV477)</f>
        <v/>
      </c>
      <c r="U476" s="28" t="str">
        <f>IF('12 - Device_Configuration'!AW477="","",'12 - Device_Configuration'!AW477)</f>
        <v/>
      </c>
      <c r="V476" s="28" t="str">
        <f>IF('12 - Device_Configuration'!BA477="","",'12 - Device_Configuration'!BA477)</f>
        <v/>
      </c>
      <c r="W476" s="28" t="str">
        <f>IF('12 - Device_Configuration'!BC477="","",'12 - Device_Configuration'!BC477)</f>
        <v/>
      </c>
      <c r="X476" s="28" t="str">
        <f>IF('12 - Device_Configuration'!BK477="","",'12 - Device_Configuration'!BK477)</f>
        <v/>
      </c>
      <c r="Y476" s="28" t="str">
        <f>IF('12 - Device_Configuration'!BB477="","",'12 - Device_Configuration'!BB477)</f>
        <v/>
      </c>
      <c r="Z476" s="28" t="str">
        <f>IF('12 - Device_Configuration'!P477="","",'12 - Device_Configuration'!P477)</f>
        <v/>
      </c>
      <c r="AA476" s="28" t="str">
        <f>IF('12 - Device_Configuration'!Q477="","",'12 - Device_Configuration'!Q477)</f>
        <v/>
      </c>
    </row>
    <row r="477" spans="1:27">
      <c r="A477" s="29"/>
      <c r="B477" s="29"/>
      <c r="C477" s="28" t="str">
        <f>IF('12 - Device_Configuration'!H478="","",'12 - Device_Configuration'!H478)</f>
        <v/>
      </c>
      <c r="D477" s="28" t="str">
        <f>IF('12 - Device_Configuration'!AE478="","",'12 - Device_Configuration'!AE478)</f>
        <v/>
      </c>
      <c r="E477" s="28" t="str">
        <f>IF('12 - Device_Configuration'!AF478="","",'12 - Device_Configuration'!AF478)</f>
        <v/>
      </c>
      <c r="F477" s="28" t="str">
        <f>IF('12 - Device_Configuration'!AG478="","",'12 - Device_Configuration'!AG478)</f>
        <v/>
      </c>
      <c r="G477" s="28" t="str">
        <f>IF('12 - Device_Configuration'!AH478="","",'12 - Device_Configuration'!AH478)</f>
        <v/>
      </c>
      <c r="H477" s="28" t="str">
        <f>IF('12 - Device_Configuration'!A478="","",'12 - Device_Configuration'!A478)</f>
        <v/>
      </c>
      <c r="I477" s="28" t="str">
        <f>IF('12 - Device_Configuration'!AI478="","",'12 - Device_Configuration'!AI478)</f>
        <v/>
      </c>
      <c r="J477" s="28" t="str">
        <f>IF('12 - Device_Configuration'!AJ478="","",'12 - Device_Configuration'!AJ478)</f>
        <v/>
      </c>
      <c r="K477" s="28" t="str">
        <f>IF('12 - Device_Configuration'!AA478="","",'12 - Device_Configuration'!AA478)</f>
        <v/>
      </c>
      <c r="L477" s="28" t="str">
        <f>IF('12 - Device_Configuration'!I478="","",'12 - Device_Configuration'!I478)</f>
        <v/>
      </c>
      <c r="M477" s="29"/>
      <c r="N477" s="28" t="str">
        <f>IF('12 - Device_Configuration'!J478="","",'12 - Device_Configuration'!J478)</f>
        <v/>
      </c>
      <c r="O477" s="28" t="str">
        <f>IF('12 - Device_Configuration'!K478="","",'12 - Device_Configuration'!K478)</f>
        <v/>
      </c>
      <c r="P477" s="28" t="str">
        <f>IF('12 - Device_Configuration'!L478="","",'12 - Device_Configuration'!L478)</f>
        <v/>
      </c>
      <c r="Q477" s="29"/>
      <c r="R477" s="28" t="str">
        <f>IF('12 - Device_Configuration'!AY478="","",'12 - Device_Configuration'!AY478)</f>
        <v/>
      </c>
      <c r="S477" s="28" t="str">
        <f>IF('12 - Device_Configuration'!AX478="","",'12 - Device_Configuration'!AX478)</f>
        <v/>
      </c>
      <c r="T477" s="28" t="str">
        <f>IF('12 - Device_Configuration'!AV478="","",'12 - Device_Configuration'!AV478)</f>
        <v/>
      </c>
      <c r="U477" s="28" t="str">
        <f>IF('12 - Device_Configuration'!AW478="","",'12 - Device_Configuration'!AW478)</f>
        <v/>
      </c>
      <c r="V477" s="28" t="str">
        <f>IF('12 - Device_Configuration'!BA478="","",'12 - Device_Configuration'!BA478)</f>
        <v/>
      </c>
      <c r="W477" s="28" t="str">
        <f>IF('12 - Device_Configuration'!BC478="","",'12 - Device_Configuration'!BC478)</f>
        <v/>
      </c>
      <c r="X477" s="28" t="str">
        <f>IF('12 - Device_Configuration'!BK478="","",'12 - Device_Configuration'!BK478)</f>
        <v/>
      </c>
      <c r="Y477" s="28" t="str">
        <f>IF('12 - Device_Configuration'!BB478="","",'12 - Device_Configuration'!BB478)</f>
        <v/>
      </c>
      <c r="Z477" s="28" t="str">
        <f>IF('12 - Device_Configuration'!P478="","",'12 - Device_Configuration'!P478)</f>
        <v/>
      </c>
      <c r="AA477" s="28" t="str">
        <f>IF('12 - Device_Configuration'!Q478="","",'12 - Device_Configuration'!Q478)</f>
        <v/>
      </c>
    </row>
    <row r="478" spans="1:27">
      <c r="A478" s="29"/>
      <c r="B478" s="29"/>
      <c r="C478" s="28" t="str">
        <f>IF('12 - Device_Configuration'!H479="","",'12 - Device_Configuration'!H479)</f>
        <v/>
      </c>
      <c r="D478" s="28" t="str">
        <f>IF('12 - Device_Configuration'!AE479="","",'12 - Device_Configuration'!AE479)</f>
        <v/>
      </c>
      <c r="E478" s="28" t="str">
        <f>IF('12 - Device_Configuration'!AF479="","",'12 - Device_Configuration'!AF479)</f>
        <v/>
      </c>
      <c r="F478" s="28" t="str">
        <f>IF('12 - Device_Configuration'!AG479="","",'12 - Device_Configuration'!AG479)</f>
        <v/>
      </c>
      <c r="G478" s="28" t="str">
        <f>IF('12 - Device_Configuration'!AH479="","",'12 - Device_Configuration'!AH479)</f>
        <v/>
      </c>
      <c r="H478" s="28" t="str">
        <f>IF('12 - Device_Configuration'!A479="","",'12 - Device_Configuration'!A479)</f>
        <v/>
      </c>
      <c r="I478" s="28" t="str">
        <f>IF('12 - Device_Configuration'!AI479="","",'12 - Device_Configuration'!AI479)</f>
        <v/>
      </c>
      <c r="J478" s="28" t="str">
        <f>IF('12 - Device_Configuration'!AJ479="","",'12 - Device_Configuration'!AJ479)</f>
        <v/>
      </c>
      <c r="K478" s="28" t="str">
        <f>IF('12 - Device_Configuration'!AA479="","",'12 - Device_Configuration'!AA479)</f>
        <v/>
      </c>
      <c r="L478" s="28" t="str">
        <f>IF('12 - Device_Configuration'!I479="","",'12 - Device_Configuration'!I479)</f>
        <v/>
      </c>
      <c r="M478" s="29"/>
      <c r="N478" s="28" t="str">
        <f>IF('12 - Device_Configuration'!J479="","",'12 - Device_Configuration'!J479)</f>
        <v/>
      </c>
      <c r="O478" s="28" t="str">
        <f>IF('12 - Device_Configuration'!K479="","",'12 - Device_Configuration'!K479)</f>
        <v/>
      </c>
      <c r="P478" s="28" t="str">
        <f>IF('12 - Device_Configuration'!L479="","",'12 - Device_Configuration'!L479)</f>
        <v/>
      </c>
      <c r="Q478" s="29"/>
      <c r="R478" s="28" t="str">
        <f>IF('12 - Device_Configuration'!AY479="","",'12 - Device_Configuration'!AY479)</f>
        <v/>
      </c>
      <c r="S478" s="28" t="str">
        <f>IF('12 - Device_Configuration'!AX479="","",'12 - Device_Configuration'!AX479)</f>
        <v/>
      </c>
      <c r="T478" s="28" t="str">
        <f>IF('12 - Device_Configuration'!AV479="","",'12 - Device_Configuration'!AV479)</f>
        <v/>
      </c>
      <c r="U478" s="28" t="str">
        <f>IF('12 - Device_Configuration'!AW479="","",'12 - Device_Configuration'!AW479)</f>
        <v/>
      </c>
      <c r="V478" s="28" t="str">
        <f>IF('12 - Device_Configuration'!BA479="","",'12 - Device_Configuration'!BA479)</f>
        <v/>
      </c>
      <c r="W478" s="28" t="str">
        <f>IF('12 - Device_Configuration'!BC479="","",'12 - Device_Configuration'!BC479)</f>
        <v/>
      </c>
      <c r="X478" s="28" t="str">
        <f>IF('12 - Device_Configuration'!BK479="","",'12 - Device_Configuration'!BK479)</f>
        <v/>
      </c>
      <c r="Y478" s="28" t="str">
        <f>IF('12 - Device_Configuration'!BB479="","",'12 - Device_Configuration'!BB479)</f>
        <v/>
      </c>
      <c r="Z478" s="28" t="str">
        <f>IF('12 - Device_Configuration'!P479="","",'12 - Device_Configuration'!P479)</f>
        <v/>
      </c>
      <c r="AA478" s="28" t="str">
        <f>IF('12 - Device_Configuration'!Q479="","",'12 - Device_Configuration'!Q479)</f>
        <v/>
      </c>
    </row>
    <row r="479" spans="1:27">
      <c r="A479" s="29"/>
      <c r="B479" s="29"/>
      <c r="C479" s="28" t="str">
        <f>IF('12 - Device_Configuration'!H480="","",'12 - Device_Configuration'!H480)</f>
        <v/>
      </c>
      <c r="D479" s="28" t="str">
        <f>IF('12 - Device_Configuration'!AE480="","",'12 - Device_Configuration'!AE480)</f>
        <v/>
      </c>
      <c r="E479" s="28" t="str">
        <f>IF('12 - Device_Configuration'!AF480="","",'12 - Device_Configuration'!AF480)</f>
        <v/>
      </c>
      <c r="F479" s="28" t="str">
        <f>IF('12 - Device_Configuration'!AG480="","",'12 - Device_Configuration'!AG480)</f>
        <v/>
      </c>
      <c r="G479" s="28" t="str">
        <f>IF('12 - Device_Configuration'!AH480="","",'12 - Device_Configuration'!AH480)</f>
        <v/>
      </c>
      <c r="H479" s="28" t="str">
        <f>IF('12 - Device_Configuration'!A480="","",'12 - Device_Configuration'!A480)</f>
        <v/>
      </c>
      <c r="I479" s="28" t="str">
        <f>IF('12 - Device_Configuration'!AI480="","",'12 - Device_Configuration'!AI480)</f>
        <v/>
      </c>
      <c r="J479" s="28" t="str">
        <f>IF('12 - Device_Configuration'!AJ480="","",'12 - Device_Configuration'!AJ480)</f>
        <v/>
      </c>
      <c r="K479" s="28" t="str">
        <f>IF('12 - Device_Configuration'!AA480="","",'12 - Device_Configuration'!AA480)</f>
        <v/>
      </c>
      <c r="L479" s="28" t="str">
        <f>IF('12 - Device_Configuration'!I480="","",'12 - Device_Configuration'!I480)</f>
        <v/>
      </c>
      <c r="M479" s="29"/>
      <c r="N479" s="28" t="str">
        <f>IF('12 - Device_Configuration'!J480="","",'12 - Device_Configuration'!J480)</f>
        <v/>
      </c>
      <c r="O479" s="28" t="str">
        <f>IF('12 - Device_Configuration'!K480="","",'12 - Device_Configuration'!K480)</f>
        <v/>
      </c>
      <c r="P479" s="28" t="str">
        <f>IF('12 - Device_Configuration'!L480="","",'12 - Device_Configuration'!L480)</f>
        <v/>
      </c>
      <c r="Q479" s="29"/>
      <c r="R479" s="28" t="str">
        <f>IF('12 - Device_Configuration'!AY480="","",'12 - Device_Configuration'!AY480)</f>
        <v/>
      </c>
      <c r="S479" s="28" t="str">
        <f>IF('12 - Device_Configuration'!AX480="","",'12 - Device_Configuration'!AX480)</f>
        <v/>
      </c>
      <c r="T479" s="28" t="str">
        <f>IF('12 - Device_Configuration'!AV480="","",'12 - Device_Configuration'!AV480)</f>
        <v/>
      </c>
      <c r="U479" s="28" t="str">
        <f>IF('12 - Device_Configuration'!AW480="","",'12 - Device_Configuration'!AW480)</f>
        <v/>
      </c>
      <c r="V479" s="28" t="str">
        <f>IF('12 - Device_Configuration'!BA480="","",'12 - Device_Configuration'!BA480)</f>
        <v/>
      </c>
      <c r="W479" s="28" t="str">
        <f>IF('12 - Device_Configuration'!BC480="","",'12 - Device_Configuration'!BC480)</f>
        <v/>
      </c>
      <c r="X479" s="28" t="str">
        <f>IF('12 - Device_Configuration'!BK480="","",'12 - Device_Configuration'!BK480)</f>
        <v/>
      </c>
      <c r="Y479" s="28" t="str">
        <f>IF('12 - Device_Configuration'!BB480="","",'12 - Device_Configuration'!BB480)</f>
        <v/>
      </c>
      <c r="Z479" s="28" t="str">
        <f>IF('12 - Device_Configuration'!P480="","",'12 - Device_Configuration'!P480)</f>
        <v/>
      </c>
      <c r="AA479" s="28" t="str">
        <f>IF('12 - Device_Configuration'!Q480="","",'12 - Device_Configuration'!Q480)</f>
        <v/>
      </c>
    </row>
    <row r="480" spans="1:27">
      <c r="A480" s="29"/>
      <c r="B480" s="29"/>
      <c r="C480" s="28" t="str">
        <f>IF('12 - Device_Configuration'!H481="","",'12 - Device_Configuration'!H481)</f>
        <v/>
      </c>
      <c r="D480" s="28" t="str">
        <f>IF('12 - Device_Configuration'!AE481="","",'12 - Device_Configuration'!AE481)</f>
        <v/>
      </c>
      <c r="E480" s="28" t="str">
        <f>IF('12 - Device_Configuration'!AF481="","",'12 - Device_Configuration'!AF481)</f>
        <v/>
      </c>
      <c r="F480" s="28" t="str">
        <f>IF('12 - Device_Configuration'!AG481="","",'12 - Device_Configuration'!AG481)</f>
        <v/>
      </c>
      <c r="G480" s="28" t="str">
        <f>IF('12 - Device_Configuration'!AH481="","",'12 - Device_Configuration'!AH481)</f>
        <v/>
      </c>
      <c r="H480" s="28" t="str">
        <f>IF('12 - Device_Configuration'!A481="","",'12 - Device_Configuration'!A481)</f>
        <v/>
      </c>
      <c r="I480" s="28" t="str">
        <f>IF('12 - Device_Configuration'!AI481="","",'12 - Device_Configuration'!AI481)</f>
        <v/>
      </c>
      <c r="J480" s="28" t="str">
        <f>IF('12 - Device_Configuration'!AJ481="","",'12 - Device_Configuration'!AJ481)</f>
        <v/>
      </c>
      <c r="K480" s="28" t="str">
        <f>IF('12 - Device_Configuration'!AA481="","",'12 - Device_Configuration'!AA481)</f>
        <v/>
      </c>
      <c r="L480" s="28" t="str">
        <f>IF('12 - Device_Configuration'!I481="","",'12 - Device_Configuration'!I481)</f>
        <v/>
      </c>
      <c r="M480" s="29"/>
      <c r="N480" s="28" t="str">
        <f>IF('12 - Device_Configuration'!J481="","",'12 - Device_Configuration'!J481)</f>
        <v/>
      </c>
      <c r="O480" s="28" t="str">
        <f>IF('12 - Device_Configuration'!K481="","",'12 - Device_Configuration'!K481)</f>
        <v/>
      </c>
      <c r="P480" s="28" t="str">
        <f>IF('12 - Device_Configuration'!L481="","",'12 - Device_Configuration'!L481)</f>
        <v/>
      </c>
      <c r="Q480" s="29"/>
      <c r="R480" s="28" t="str">
        <f>IF('12 - Device_Configuration'!AY481="","",'12 - Device_Configuration'!AY481)</f>
        <v/>
      </c>
      <c r="S480" s="28" t="str">
        <f>IF('12 - Device_Configuration'!AX481="","",'12 - Device_Configuration'!AX481)</f>
        <v/>
      </c>
      <c r="T480" s="28" t="str">
        <f>IF('12 - Device_Configuration'!AV481="","",'12 - Device_Configuration'!AV481)</f>
        <v/>
      </c>
      <c r="U480" s="28" t="str">
        <f>IF('12 - Device_Configuration'!AW481="","",'12 - Device_Configuration'!AW481)</f>
        <v/>
      </c>
      <c r="V480" s="28" t="str">
        <f>IF('12 - Device_Configuration'!BA481="","",'12 - Device_Configuration'!BA481)</f>
        <v/>
      </c>
      <c r="W480" s="28" t="str">
        <f>IF('12 - Device_Configuration'!BC481="","",'12 - Device_Configuration'!BC481)</f>
        <v/>
      </c>
      <c r="X480" s="28" t="str">
        <f>IF('12 - Device_Configuration'!BK481="","",'12 - Device_Configuration'!BK481)</f>
        <v/>
      </c>
      <c r="Y480" s="28" t="str">
        <f>IF('12 - Device_Configuration'!BB481="","",'12 - Device_Configuration'!BB481)</f>
        <v/>
      </c>
      <c r="Z480" s="28" t="str">
        <f>IF('12 - Device_Configuration'!P481="","",'12 - Device_Configuration'!P481)</f>
        <v/>
      </c>
      <c r="AA480" s="28" t="str">
        <f>IF('12 - Device_Configuration'!Q481="","",'12 - Device_Configuration'!Q481)</f>
        <v/>
      </c>
    </row>
    <row r="481" spans="1:27">
      <c r="A481" s="29"/>
      <c r="B481" s="29"/>
      <c r="C481" s="28" t="str">
        <f>IF('12 - Device_Configuration'!H482="","",'12 - Device_Configuration'!H482)</f>
        <v/>
      </c>
      <c r="D481" s="28" t="str">
        <f>IF('12 - Device_Configuration'!AE482="","",'12 - Device_Configuration'!AE482)</f>
        <v/>
      </c>
      <c r="E481" s="28" t="str">
        <f>IF('12 - Device_Configuration'!AF482="","",'12 - Device_Configuration'!AF482)</f>
        <v/>
      </c>
      <c r="F481" s="28" t="str">
        <f>IF('12 - Device_Configuration'!AG482="","",'12 - Device_Configuration'!AG482)</f>
        <v/>
      </c>
      <c r="G481" s="28" t="str">
        <f>IF('12 - Device_Configuration'!AH482="","",'12 - Device_Configuration'!AH482)</f>
        <v/>
      </c>
      <c r="H481" s="28" t="str">
        <f>IF('12 - Device_Configuration'!A482="","",'12 - Device_Configuration'!A482)</f>
        <v/>
      </c>
      <c r="I481" s="28" t="str">
        <f>IF('12 - Device_Configuration'!AI482="","",'12 - Device_Configuration'!AI482)</f>
        <v/>
      </c>
      <c r="J481" s="28" t="str">
        <f>IF('12 - Device_Configuration'!AJ482="","",'12 - Device_Configuration'!AJ482)</f>
        <v/>
      </c>
      <c r="K481" s="28" t="str">
        <f>IF('12 - Device_Configuration'!AA482="","",'12 - Device_Configuration'!AA482)</f>
        <v/>
      </c>
      <c r="L481" s="28" t="str">
        <f>IF('12 - Device_Configuration'!I482="","",'12 - Device_Configuration'!I482)</f>
        <v/>
      </c>
      <c r="M481" s="29"/>
      <c r="N481" s="28" t="str">
        <f>IF('12 - Device_Configuration'!J482="","",'12 - Device_Configuration'!J482)</f>
        <v/>
      </c>
      <c r="O481" s="28" t="str">
        <f>IF('12 - Device_Configuration'!K482="","",'12 - Device_Configuration'!K482)</f>
        <v/>
      </c>
      <c r="P481" s="28" t="str">
        <f>IF('12 - Device_Configuration'!L482="","",'12 - Device_Configuration'!L482)</f>
        <v/>
      </c>
      <c r="Q481" s="29"/>
      <c r="R481" s="28" t="str">
        <f>IF('12 - Device_Configuration'!AY482="","",'12 - Device_Configuration'!AY482)</f>
        <v/>
      </c>
      <c r="S481" s="28" t="str">
        <f>IF('12 - Device_Configuration'!AX482="","",'12 - Device_Configuration'!AX482)</f>
        <v/>
      </c>
      <c r="T481" s="28" t="str">
        <f>IF('12 - Device_Configuration'!AV482="","",'12 - Device_Configuration'!AV482)</f>
        <v/>
      </c>
      <c r="U481" s="28" t="str">
        <f>IF('12 - Device_Configuration'!AW482="","",'12 - Device_Configuration'!AW482)</f>
        <v/>
      </c>
      <c r="V481" s="28" t="str">
        <f>IF('12 - Device_Configuration'!BA482="","",'12 - Device_Configuration'!BA482)</f>
        <v/>
      </c>
      <c r="W481" s="28" t="str">
        <f>IF('12 - Device_Configuration'!BC482="","",'12 - Device_Configuration'!BC482)</f>
        <v/>
      </c>
      <c r="X481" s="28" t="str">
        <f>IF('12 - Device_Configuration'!BK482="","",'12 - Device_Configuration'!BK482)</f>
        <v/>
      </c>
      <c r="Y481" s="28" t="str">
        <f>IF('12 - Device_Configuration'!BB482="","",'12 - Device_Configuration'!BB482)</f>
        <v/>
      </c>
      <c r="Z481" s="28" t="str">
        <f>IF('12 - Device_Configuration'!P482="","",'12 - Device_Configuration'!P482)</f>
        <v/>
      </c>
      <c r="AA481" s="28" t="str">
        <f>IF('12 - Device_Configuration'!Q482="","",'12 - Device_Configuration'!Q482)</f>
        <v/>
      </c>
    </row>
    <row r="482" spans="1:27">
      <c r="A482" s="29"/>
      <c r="B482" s="29"/>
      <c r="C482" s="28" t="str">
        <f>IF('12 - Device_Configuration'!H483="","",'12 - Device_Configuration'!H483)</f>
        <v/>
      </c>
      <c r="D482" s="28" t="str">
        <f>IF('12 - Device_Configuration'!AE483="","",'12 - Device_Configuration'!AE483)</f>
        <v/>
      </c>
      <c r="E482" s="28" t="str">
        <f>IF('12 - Device_Configuration'!AF483="","",'12 - Device_Configuration'!AF483)</f>
        <v/>
      </c>
      <c r="F482" s="28" t="str">
        <f>IF('12 - Device_Configuration'!AG483="","",'12 - Device_Configuration'!AG483)</f>
        <v/>
      </c>
      <c r="G482" s="28" t="str">
        <f>IF('12 - Device_Configuration'!AH483="","",'12 - Device_Configuration'!AH483)</f>
        <v/>
      </c>
      <c r="H482" s="28" t="str">
        <f>IF('12 - Device_Configuration'!A483="","",'12 - Device_Configuration'!A483)</f>
        <v/>
      </c>
      <c r="I482" s="28" t="str">
        <f>IF('12 - Device_Configuration'!AI483="","",'12 - Device_Configuration'!AI483)</f>
        <v/>
      </c>
      <c r="J482" s="28" t="str">
        <f>IF('12 - Device_Configuration'!AJ483="","",'12 - Device_Configuration'!AJ483)</f>
        <v/>
      </c>
      <c r="K482" s="28" t="str">
        <f>IF('12 - Device_Configuration'!AA483="","",'12 - Device_Configuration'!AA483)</f>
        <v/>
      </c>
      <c r="L482" s="28" t="str">
        <f>IF('12 - Device_Configuration'!I483="","",'12 - Device_Configuration'!I483)</f>
        <v/>
      </c>
      <c r="M482" s="29"/>
      <c r="N482" s="28" t="str">
        <f>IF('12 - Device_Configuration'!J483="","",'12 - Device_Configuration'!J483)</f>
        <v/>
      </c>
      <c r="O482" s="28" t="str">
        <f>IF('12 - Device_Configuration'!K483="","",'12 - Device_Configuration'!K483)</f>
        <v/>
      </c>
      <c r="P482" s="28" t="str">
        <f>IF('12 - Device_Configuration'!L483="","",'12 - Device_Configuration'!L483)</f>
        <v/>
      </c>
      <c r="Q482" s="29"/>
      <c r="R482" s="28" t="str">
        <f>IF('12 - Device_Configuration'!AY483="","",'12 - Device_Configuration'!AY483)</f>
        <v/>
      </c>
      <c r="S482" s="28" t="str">
        <f>IF('12 - Device_Configuration'!AX483="","",'12 - Device_Configuration'!AX483)</f>
        <v/>
      </c>
      <c r="T482" s="28" t="str">
        <f>IF('12 - Device_Configuration'!AV483="","",'12 - Device_Configuration'!AV483)</f>
        <v/>
      </c>
      <c r="U482" s="28" t="str">
        <f>IF('12 - Device_Configuration'!AW483="","",'12 - Device_Configuration'!AW483)</f>
        <v/>
      </c>
      <c r="V482" s="28" t="str">
        <f>IF('12 - Device_Configuration'!BA483="","",'12 - Device_Configuration'!BA483)</f>
        <v/>
      </c>
      <c r="W482" s="28" t="str">
        <f>IF('12 - Device_Configuration'!BC483="","",'12 - Device_Configuration'!BC483)</f>
        <v/>
      </c>
      <c r="X482" s="28" t="str">
        <f>IF('12 - Device_Configuration'!BK483="","",'12 - Device_Configuration'!BK483)</f>
        <v/>
      </c>
      <c r="Y482" s="28" t="str">
        <f>IF('12 - Device_Configuration'!BB483="","",'12 - Device_Configuration'!BB483)</f>
        <v/>
      </c>
      <c r="Z482" s="28" t="str">
        <f>IF('12 - Device_Configuration'!P483="","",'12 - Device_Configuration'!P483)</f>
        <v/>
      </c>
      <c r="AA482" s="28" t="str">
        <f>IF('12 - Device_Configuration'!Q483="","",'12 - Device_Configuration'!Q483)</f>
        <v/>
      </c>
    </row>
    <row r="483" spans="1:27">
      <c r="A483" s="29"/>
      <c r="B483" s="29"/>
      <c r="C483" s="28" t="str">
        <f>IF('12 - Device_Configuration'!H484="","",'12 - Device_Configuration'!H484)</f>
        <v/>
      </c>
      <c r="D483" s="28" t="str">
        <f>IF('12 - Device_Configuration'!AE484="","",'12 - Device_Configuration'!AE484)</f>
        <v/>
      </c>
      <c r="E483" s="28" t="str">
        <f>IF('12 - Device_Configuration'!AF484="","",'12 - Device_Configuration'!AF484)</f>
        <v/>
      </c>
      <c r="F483" s="28" t="str">
        <f>IF('12 - Device_Configuration'!AG484="","",'12 - Device_Configuration'!AG484)</f>
        <v/>
      </c>
      <c r="G483" s="28" t="str">
        <f>IF('12 - Device_Configuration'!AH484="","",'12 - Device_Configuration'!AH484)</f>
        <v/>
      </c>
      <c r="H483" s="28" t="str">
        <f>IF('12 - Device_Configuration'!A484="","",'12 - Device_Configuration'!A484)</f>
        <v/>
      </c>
      <c r="I483" s="28" t="str">
        <f>IF('12 - Device_Configuration'!AI484="","",'12 - Device_Configuration'!AI484)</f>
        <v/>
      </c>
      <c r="J483" s="28" t="str">
        <f>IF('12 - Device_Configuration'!AJ484="","",'12 - Device_Configuration'!AJ484)</f>
        <v/>
      </c>
      <c r="K483" s="28" t="str">
        <f>IF('12 - Device_Configuration'!AA484="","",'12 - Device_Configuration'!AA484)</f>
        <v/>
      </c>
      <c r="L483" s="28" t="str">
        <f>IF('12 - Device_Configuration'!I484="","",'12 - Device_Configuration'!I484)</f>
        <v/>
      </c>
      <c r="M483" s="29"/>
      <c r="N483" s="28" t="str">
        <f>IF('12 - Device_Configuration'!J484="","",'12 - Device_Configuration'!J484)</f>
        <v/>
      </c>
      <c r="O483" s="28" t="str">
        <f>IF('12 - Device_Configuration'!K484="","",'12 - Device_Configuration'!K484)</f>
        <v/>
      </c>
      <c r="P483" s="28" t="str">
        <f>IF('12 - Device_Configuration'!L484="","",'12 - Device_Configuration'!L484)</f>
        <v/>
      </c>
      <c r="Q483" s="29"/>
      <c r="R483" s="28" t="str">
        <f>IF('12 - Device_Configuration'!AY484="","",'12 - Device_Configuration'!AY484)</f>
        <v/>
      </c>
      <c r="S483" s="28" t="str">
        <f>IF('12 - Device_Configuration'!AX484="","",'12 - Device_Configuration'!AX484)</f>
        <v/>
      </c>
      <c r="T483" s="28" t="str">
        <f>IF('12 - Device_Configuration'!AV484="","",'12 - Device_Configuration'!AV484)</f>
        <v/>
      </c>
      <c r="U483" s="28" t="str">
        <f>IF('12 - Device_Configuration'!AW484="","",'12 - Device_Configuration'!AW484)</f>
        <v/>
      </c>
      <c r="V483" s="28" t="str">
        <f>IF('12 - Device_Configuration'!BA484="","",'12 - Device_Configuration'!BA484)</f>
        <v/>
      </c>
      <c r="W483" s="28" t="str">
        <f>IF('12 - Device_Configuration'!BC484="","",'12 - Device_Configuration'!BC484)</f>
        <v/>
      </c>
      <c r="X483" s="28" t="str">
        <f>IF('12 - Device_Configuration'!BK484="","",'12 - Device_Configuration'!BK484)</f>
        <v/>
      </c>
      <c r="Y483" s="28" t="str">
        <f>IF('12 - Device_Configuration'!BB484="","",'12 - Device_Configuration'!BB484)</f>
        <v/>
      </c>
      <c r="Z483" s="28" t="str">
        <f>IF('12 - Device_Configuration'!P484="","",'12 - Device_Configuration'!P484)</f>
        <v/>
      </c>
      <c r="AA483" s="28" t="str">
        <f>IF('12 - Device_Configuration'!Q484="","",'12 - Device_Configuration'!Q484)</f>
        <v/>
      </c>
    </row>
    <row r="484" spans="1:27">
      <c r="A484" s="29"/>
      <c r="B484" s="29"/>
      <c r="C484" s="28" t="str">
        <f>IF('12 - Device_Configuration'!H485="","",'12 - Device_Configuration'!H485)</f>
        <v/>
      </c>
      <c r="D484" s="28" t="str">
        <f>IF('12 - Device_Configuration'!AE485="","",'12 - Device_Configuration'!AE485)</f>
        <v/>
      </c>
      <c r="E484" s="28" t="str">
        <f>IF('12 - Device_Configuration'!AF485="","",'12 - Device_Configuration'!AF485)</f>
        <v/>
      </c>
      <c r="F484" s="28" t="str">
        <f>IF('12 - Device_Configuration'!AG485="","",'12 - Device_Configuration'!AG485)</f>
        <v/>
      </c>
      <c r="G484" s="28" t="str">
        <f>IF('12 - Device_Configuration'!AH485="","",'12 - Device_Configuration'!AH485)</f>
        <v/>
      </c>
      <c r="H484" s="28" t="str">
        <f>IF('12 - Device_Configuration'!A485="","",'12 - Device_Configuration'!A485)</f>
        <v/>
      </c>
      <c r="I484" s="28" t="str">
        <f>IF('12 - Device_Configuration'!AI485="","",'12 - Device_Configuration'!AI485)</f>
        <v/>
      </c>
      <c r="J484" s="28" t="str">
        <f>IF('12 - Device_Configuration'!AJ485="","",'12 - Device_Configuration'!AJ485)</f>
        <v/>
      </c>
      <c r="K484" s="28" t="str">
        <f>IF('12 - Device_Configuration'!AA485="","",'12 - Device_Configuration'!AA485)</f>
        <v/>
      </c>
      <c r="L484" s="28" t="str">
        <f>IF('12 - Device_Configuration'!I485="","",'12 - Device_Configuration'!I485)</f>
        <v/>
      </c>
      <c r="M484" s="29"/>
      <c r="N484" s="28" t="str">
        <f>IF('12 - Device_Configuration'!J485="","",'12 - Device_Configuration'!J485)</f>
        <v/>
      </c>
      <c r="O484" s="28" t="str">
        <f>IF('12 - Device_Configuration'!K485="","",'12 - Device_Configuration'!K485)</f>
        <v/>
      </c>
      <c r="P484" s="28" t="str">
        <f>IF('12 - Device_Configuration'!L485="","",'12 - Device_Configuration'!L485)</f>
        <v/>
      </c>
      <c r="Q484" s="29"/>
      <c r="R484" s="28" t="str">
        <f>IF('12 - Device_Configuration'!AY485="","",'12 - Device_Configuration'!AY485)</f>
        <v/>
      </c>
      <c r="S484" s="28" t="str">
        <f>IF('12 - Device_Configuration'!AX485="","",'12 - Device_Configuration'!AX485)</f>
        <v/>
      </c>
      <c r="T484" s="28" t="str">
        <f>IF('12 - Device_Configuration'!AV485="","",'12 - Device_Configuration'!AV485)</f>
        <v/>
      </c>
      <c r="U484" s="28" t="str">
        <f>IF('12 - Device_Configuration'!AW485="","",'12 - Device_Configuration'!AW485)</f>
        <v/>
      </c>
      <c r="V484" s="28" t="str">
        <f>IF('12 - Device_Configuration'!BA485="","",'12 - Device_Configuration'!BA485)</f>
        <v/>
      </c>
      <c r="W484" s="28" t="str">
        <f>IF('12 - Device_Configuration'!BC485="","",'12 - Device_Configuration'!BC485)</f>
        <v/>
      </c>
      <c r="X484" s="28" t="str">
        <f>IF('12 - Device_Configuration'!BK485="","",'12 - Device_Configuration'!BK485)</f>
        <v/>
      </c>
      <c r="Y484" s="28" t="str">
        <f>IF('12 - Device_Configuration'!BB485="","",'12 - Device_Configuration'!BB485)</f>
        <v/>
      </c>
      <c r="Z484" s="28" t="str">
        <f>IF('12 - Device_Configuration'!P485="","",'12 - Device_Configuration'!P485)</f>
        <v/>
      </c>
      <c r="AA484" s="28" t="str">
        <f>IF('12 - Device_Configuration'!Q485="","",'12 - Device_Configuration'!Q485)</f>
        <v/>
      </c>
    </row>
    <row r="485" spans="1:27">
      <c r="A485" s="29"/>
      <c r="B485" s="29"/>
      <c r="C485" s="28" t="str">
        <f>IF('12 - Device_Configuration'!H486="","",'12 - Device_Configuration'!H486)</f>
        <v/>
      </c>
      <c r="D485" s="28" t="str">
        <f>IF('12 - Device_Configuration'!AE486="","",'12 - Device_Configuration'!AE486)</f>
        <v/>
      </c>
      <c r="E485" s="28" t="str">
        <f>IF('12 - Device_Configuration'!AF486="","",'12 - Device_Configuration'!AF486)</f>
        <v/>
      </c>
      <c r="F485" s="28" t="str">
        <f>IF('12 - Device_Configuration'!AG486="","",'12 - Device_Configuration'!AG486)</f>
        <v/>
      </c>
      <c r="G485" s="28" t="str">
        <f>IF('12 - Device_Configuration'!AH486="","",'12 - Device_Configuration'!AH486)</f>
        <v/>
      </c>
      <c r="H485" s="28" t="str">
        <f>IF('12 - Device_Configuration'!A486="","",'12 - Device_Configuration'!A486)</f>
        <v/>
      </c>
      <c r="I485" s="28" t="str">
        <f>IF('12 - Device_Configuration'!AI486="","",'12 - Device_Configuration'!AI486)</f>
        <v/>
      </c>
      <c r="J485" s="28" t="str">
        <f>IF('12 - Device_Configuration'!AJ486="","",'12 - Device_Configuration'!AJ486)</f>
        <v/>
      </c>
      <c r="K485" s="28" t="str">
        <f>IF('12 - Device_Configuration'!AA486="","",'12 - Device_Configuration'!AA486)</f>
        <v/>
      </c>
      <c r="L485" s="28" t="str">
        <f>IF('12 - Device_Configuration'!I486="","",'12 - Device_Configuration'!I486)</f>
        <v/>
      </c>
      <c r="M485" s="29"/>
      <c r="N485" s="28" t="str">
        <f>IF('12 - Device_Configuration'!J486="","",'12 - Device_Configuration'!J486)</f>
        <v/>
      </c>
      <c r="O485" s="28" t="str">
        <f>IF('12 - Device_Configuration'!K486="","",'12 - Device_Configuration'!K486)</f>
        <v/>
      </c>
      <c r="P485" s="28" t="str">
        <f>IF('12 - Device_Configuration'!L486="","",'12 - Device_Configuration'!L486)</f>
        <v/>
      </c>
      <c r="Q485" s="29"/>
      <c r="R485" s="28" t="str">
        <f>IF('12 - Device_Configuration'!AY486="","",'12 - Device_Configuration'!AY486)</f>
        <v/>
      </c>
      <c r="S485" s="28" t="str">
        <f>IF('12 - Device_Configuration'!AX486="","",'12 - Device_Configuration'!AX486)</f>
        <v/>
      </c>
      <c r="T485" s="28" t="str">
        <f>IF('12 - Device_Configuration'!AV486="","",'12 - Device_Configuration'!AV486)</f>
        <v/>
      </c>
      <c r="U485" s="28" t="str">
        <f>IF('12 - Device_Configuration'!AW486="","",'12 - Device_Configuration'!AW486)</f>
        <v/>
      </c>
      <c r="V485" s="28" t="str">
        <f>IF('12 - Device_Configuration'!BA486="","",'12 - Device_Configuration'!BA486)</f>
        <v/>
      </c>
      <c r="W485" s="28" t="str">
        <f>IF('12 - Device_Configuration'!BC486="","",'12 - Device_Configuration'!BC486)</f>
        <v/>
      </c>
      <c r="X485" s="28" t="str">
        <f>IF('12 - Device_Configuration'!BK486="","",'12 - Device_Configuration'!BK486)</f>
        <v/>
      </c>
      <c r="Y485" s="28" t="str">
        <f>IF('12 - Device_Configuration'!BB486="","",'12 - Device_Configuration'!BB486)</f>
        <v/>
      </c>
      <c r="Z485" s="28" t="str">
        <f>IF('12 - Device_Configuration'!P486="","",'12 - Device_Configuration'!P486)</f>
        <v/>
      </c>
      <c r="AA485" s="28" t="str">
        <f>IF('12 - Device_Configuration'!Q486="","",'12 - Device_Configuration'!Q486)</f>
        <v/>
      </c>
    </row>
    <row r="486" spans="1:27">
      <c r="A486" s="29"/>
      <c r="B486" s="29"/>
      <c r="C486" s="28" t="str">
        <f>IF('12 - Device_Configuration'!H487="","",'12 - Device_Configuration'!H487)</f>
        <v/>
      </c>
      <c r="D486" s="28" t="str">
        <f>IF('12 - Device_Configuration'!AE487="","",'12 - Device_Configuration'!AE487)</f>
        <v/>
      </c>
      <c r="E486" s="28" t="str">
        <f>IF('12 - Device_Configuration'!AF487="","",'12 - Device_Configuration'!AF487)</f>
        <v/>
      </c>
      <c r="F486" s="28" t="str">
        <f>IF('12 - Device_Configuration'!AG487="","",'12 - Device_Configuration'!AG487)</f>
        <v/>
      </c>
      <c r="G486" s="28" t="str">
        <f>IF('12 - Device_Configuration'!AH487="","",'12 - Device_Configuration'!AH487)</f>
        <v/>
      </c>
      <c r="H486" s="28" t="str">
        <f>IF('12 - Device_Configuration'!A487="","",'12 - Device_Configuration'!A487)</f>
        <v/>
      </c>
      <c r="I486" s="28" t="str">
        <f>IF('12 - Device_Configuration'!AI487="","",'12 - Device_Configuration'!AI487)</f>
        <v/>
      </c>
      <c r="J486" s="28" t="str">
        <f>IF('12 - Device_Configuration'!AJ487="","",'12 - Device_Configuration'!AJ487)</f>
        <v/>
      </c>
      <c r="K486" s="28" t="str">
        <f>IF('12 - Device_Configuration'!AA487="","",'12 - Device_Configuration'!AA487)</f>
        <v/>
      </c>
      <c r="L486" s="28" t="str">
        <f>IF('12 - Device_Configuration'!I487="","",'12 - Device_Configuration'!I487)</f>
        <v/>
      </c>
      <c r="M486" s="29"/>
      <c r="N486" s="28" t="str">
        <f>IF('12 - Device_Configuration'!J487="","",'12 - Device_Configuration'!J487)</f>
        <v/>
      </c>
      <c r="O486" s="28" t="str">
        <f>IF('12 - Device_Configuration'!K487="","",'12 - Device_Configuration'!K487)</f>
        <v/>
      </c>
      <c r="P486" s="28" t="str">
        <f>IF('12 - Device_Configuration'!L487="","",'12 - Device_Configuration'!L487)</f>
        <v/>
      </c>
      <c r="Q486" s="29"/>
      <c r="R486" s="28" t="str">
        <f>IF('12 - Device_Configuration'!AY487="","",'12 - Device_Configuration'!AY487)</f>
        <v/>
      </c>
      <c r="S486" s="28" t="str">
        <f>IF('12 - Device_Configuration'!AX487="","",'12 - Device_Configuration'!AX487)</f>
        <v/>
      </c>
      <c r="T486" s="28" t="str">
        <f>IF('12 - Device_Configuration'!AV487="","",'12 - Device_Configuration'!AV487)</f>
        <v/>
      </c>
      <c r="U486" s="28" t="str">
        <f>IF('12 - Device_Configuration'!AW487="","",'12 - Device_Configuration'!AW487)</f>
        <v/>
      </c>
      <c r="V486" s="28" t="str">
        <f>IF('12 - Device_Configuration'!BA487="","",'12 - Device_Configuration'!BA487)</f>
        <v/>
      </c>
      <c r="W486" s="28" t="str">
        <f>IF('12 - Device_Configuration'!BC487="","",'12 - Device_Configuration'!BC487)</f>
        <v/>
      </c>
      <c r="X486" s="28" t="str">
        <f>IF('12 - Device_Configuration'!BK487="","",'12 - Device_Configuration'!BK487)</f>
        <v/>
      </c>
      <c r="Y486" s="28" t="str">
        <f>IF('12 - Device_Configuration'!BB487="","",'12 - Device_Configuration'!BB487)</f>
        <v/>
      </c>
      <c r="Z486" s="28" t="str">
        <f>IF('12 - Device_Configuration'!P487="","",'12 - Device_Configuration'!P487)</f>
        <v/>
      </c>
      <c r="AA486" s="28" t="str">
        <f>IF('12 - Device_Configuration'!Q487="","",'12 - Device_Configuration'!Q487)</f>
        <v/>
      </c>
    </row>
    <row r="487" spans="1:27">
      <c r="A487" s="29"/>
      <c r="B487" s="29"/>
      <c r="C487" s="28" t="str">
        <f>IF('12 - Device_Configuration'!H488="","",'12 - Device_Configuration'!H488)</f>
        <v/>
      </c>
      <c r="D487" s="28" t="str">
        <f>IF('12 - Device_Configuration'!AE488="","",'12 - Device_Configuration'!AE488)</f>
        <v/>
      </c>
      <c r="E487" s="28" t="str">
        <f>IF('12 - Device_Configuration'!AF488="","",'12 - Device_Configuration'!AF488)</f>
        <v/>
      </c>
      <c r="F487" s="28" t="str">
        <f>IF('12 - Device_Configuration'!AG488="","",'12 - Device_Configuration'!AG488)</f>
        <v/>
      </c>
      <c r="G487" s="28" t="str">
        <f>IF('12 - Device_Configuration'!AH488="","",'12 - Device_Configuration'!AH488)</f>
        <v/>
      </c>
      <c r="H487" s="28" t="str">
        <f>IF('12 - Device_Configuration'!A488="","",'12 - Device_Configuration'!A488)</f>
        <v/>
      </c>
      <c r="I487" s="28" t="str">
        <f>IF('12 - Device_Configuration'!AI488="","",'12 - Device_Configuration'!AI488)</f>
        <v/>
      </c>
      <c r="J487" s="28" t="str">
        <f>IF('12 - Device_Configuration'!AJ488="","",'12 - Device_Configuration'!AJ488)</f>
        <v/>
      </c>
      <c r="K487" s="28" t="str">
        <f>IF('12 - Device_Configuration'!AA488="","",'12 - Device_Configuration'!AA488)</f>
        <v/>
      </c>
      <c r="L487" s="28" t="str">
        <f>IF('12 - Device_Configuration'!I488="","",'12 - Device_Configuration'!I488)</f>
        <v/>
      </c>
      <c r="M487" s="29"/>
      <c r="N487" s="28" t="str">
        <f>IF('12 - Device_Configuration'!J488="","",'12 - Device_Configuration'!J488)</f>
        <v/>
      </c>
      <c r="O487" s="28" t="str">
        <f>IF('12 - Device_Configuration'!K488="","",'12 - Device_Configuration'!K488)</f>
        <v/>
      </c>
      <c r="P487" s="28" t="str">
        <f>IF('12 - Device_Configuration'!L488="","",'12 - Device_Configuration'!L488)</f>
        <v/>
      </c>
      <c r="Q487" s="29"/>
      <c r="R487" s="28" t="str">
        <f>IF('12 - Device_Configuration'!AY488="","",'12 - Device_Configuration'!AY488)</f>
        <v/>
      </c>
      <c r="S487" s="28" t="str">
        <f>IF('12 - Device_Configuration'!AX488="","",'12 - Device_Configuration'!AX488)</f>
        <v/>
      </c>
      <c r="T487" s="28" t="str">
        <f>IF('12 - Device_Configuration'!AV488="","",'12 - Device_Configuration'!AV488)</f>
        <v/>
      </c>
      <c r="U487" s="28" t="str">
        <f>IF('12 - Device_Configuration'!AW488="","",'12 - Device_Configuration'!AW488)</f>
        <v/>
      </c>
      <c r="V487" s="28" t="str">
        <f>IF('12 - Device_Configuration'!BA488="","",'12 - Device_Configuration'!BA488)</f>
        <v/>
      </c>
      <c r="W487" s="28" t="str">
        <f>IF('12 - Device_Configuration'!BC488="","",'12 - Device_Configuration'!BC488)</f>
        <v/>
      </c>
      <c r="X487" s="28" t="str">
        <f>IF('12 - Device_Configuration'!BK488="","",'12 - Device_Configuration'!BK488)</f>
        <v/>
      </c>
      <c r="Y487" s="28" t="str">
        <f>IF('12 - Device_Configuration'!BB488="","",'12 - Device_Configuration'!BB488)</f>
        <v/>
      </c>
      <c r="Z487" s="28" t="str">
        <f>IF('12 - Device_Configuration'!P488="","",'12 - Device_Configuration'!P488)</f>
        <v/>
      </c>
      <c r="AA487" s="28" t="str">
        <f>IF('12 - Device_Configuration'!Q488="","",'12 - Device_Configuration'!Q488)</f>
        <v/>
      </c>
    </row>
    <row r="488" spans="1:27">
      <c r="A488" s="29"/>
      <c r="B488" s="29"/>
      <c r="C488" s="28" t="str">
        <f>IF('12 - Device_Configuration'!H489="","",'12 - Device_Configuration'!H489)</f>
        <v/>
      </c>
      <c r="D488" s="28" t="str">
        <f>IF('12 - Device_Configuration'!AE489="","",'12 - Device_Configuration'!AE489)</f>
        <v/>
      </c>
      <c r="E488" s="28" t="str">
        <f>IF('12 - Device_Configuration'!AF489="","",'12 - Device_Configuration'!AF489)</f>
        <v/>
      </c>
      <c r="F488" s="28" t="str">
        <f>IF('12 - Device_Configuration'!AG489="","",'12 - Device_Configuration'!AG489)</f>
        <v/>
      </c>
      <c r="G488" s="28" t="str">
        <f>IF('12 - Device_Configuration'!AH489="","",'12 - Device_Configuration'!AH489)</f>
        <v/>
      </c>
      <c r="H488" s="28" t="str">
        <f>IF('12 - Device_Configuration'!A489="","",'12 - Device_Configuration'!A489)</f>
        <v/>
      </c>
      <c r="I488" s="28" t="str">
        <f>IF('12 - Device_Configuration'!AI489="","",'12 - Device_Configuration'!AI489)</f>
        <v/>
      </c>
      <c r="J488" s="28" t="str">
        <f>IF('12 - Device_Configuration'!AJ489="","",'12 - Device_Configuration'!AJ489)</f>
        <v/>
      </c>
      <c r="K488" s="28" t="str">
        <f>IF('12 - Device_Configuration'!AA489="","",'12 - Device_Configuration'!AA489)</f>
        <v/>
      </c>
      <c r="L488" s="28" t="str">
        <f>IF('12 - Device_Configuration'!I489="","",'12 - Device_Configuration'!I489)</f>
        <v/>
      </c>
      <c r="M488" s="29"/>
      <c r="N488" s="28" t="str">
        <f>IF('12 - Device_Configuration'!J489="","",'12 - Device_Configuration'!J489)</f>
        <v/>
      </c>
      <c r="O488" s="28" t="str">
        <f>IF('12 - Device_Configuration'!K489="","",'12 - Device_Configuration'!K489)</f>
        <v/>
      </c>
      <c r="P488" s="28" t="str">
        <f>IF('12 - Device_Configuration'!L489="","",'12 - Device_Configuration'!L489)</f>
        <v/>
      </c>
      <c r="Q488" s="29"/>
      <c r="R488" s="28" t="str">
        <f>IF('12 - Device_Configuration'!AY489="","",'12 - Device_Configuration'!AY489)</f>
        <v/>
      </c>
      <c r="S488" s="28" t="str">
        <f>IF('12 - Device_Configuration'!AX489="","",'12 - Device_Configuration'!AX489)</f>
        <v/>
      </c>
      <c r="T488" s="28" t="str">
        <f>IF('12 - Device_Configuration'!AV489="","",'12 - Device_Configuration'!AV489)</f>
        <v/>
      </c>
      <c r="U488" s="28" t="str">
        <f>IF('12 - Device_Configuration'!AW489="","",'12 - Device_Configuration'!AW489)</f>
        <v/>
      </c>
      <c r="V488" s="28" t="str">
        <f>IF('12 - Device_Configuration'!BA489="","",'12 - Device_Configuration'!BA489)</f>
        <v/>
      </c>
      <c r="W488" s="28" t="str">
        <f>IF('12 - Device_Configuration'!BC489="","",'12 - Device_Configuration'!BC489)</f>
        <v/>
      </c>
      <c r="X488" s="28" t="str">
        <f>IF('12 - Device_Configuration'!BK489="","",'12 - Device_Configuration'!BK489)</f>
        <v/>
      </c>
      <c r="Y488" s="28" t="str">
        <f>IF('12 - Device_Configuration'!BB489="","",'12 - Device_Configuration'!BB489)</f>
        <v/>
      </c>
      <c r="Z488" s="28" t="str">
        <f>IF('12 - Device_Configuration'!P489="","",'12 - Device_Configuration'!P489)</f>
        <v/>
      </c>
      <c r="AA488" s="28" t="str">
        <f>IF('12 - Device_Configuration'!Q489="","",'12 - Device_Configuration'!Q489)</f>
        <v/>
      </c>
    </row>
    <row r="489" spans="1:27">
      <c r="A489" s="29"/>
      <c r="B489" s="29"/>
      <c r="C489" s="28" t="str">
        <f>IF('12 - Device_Configuration'!H490="","",'12 - Device_Configuration'!H490)</f>
        <v/>
      </c>
      <c r="D489" s="28" t="str">
        <f>IF('12 - Device_Configuration'!AE490="","",'12 - Device_Configuration'!AE490)</f>
        <v/>
      </c>
      <c r="E489" s="28" t="str">
        <f>IF('12 - Device_Configuration'!AF490="","",'12 - Device_Configuration'!AF490)</f>
        <v/>
      </c>
      <c r="F489" s="28" t="str">
        <f>IF('12 - Device_Configuration'!AG490="","",'12 - Device_Configuration'!AG490)</f>
        <v/>
      </c>
      <c r="G489" s="28" t="str">
        <f>IF('12 - Device_Configuration'!AH490="","",'12 - Device_Configuration'!AH490)</f>
        <v/>
      </c>
      <c r="H489" s="28" t="str">
        <f>IF('12 - Device_Configuration'!A490="","",'12 - Device_Configuration'!A490)</f>
        <v/>
      </c>
      <c r="I489" s="28" t="str">
        <f>IF('12 - Device_Configuration'!AI490="","",'12 - Device_Configuration'!AI490)</f>
        <v/>
      </c>
      <c r="J489" s="28" t="str">
        <f>IF('12 - Device_Configuration'!AJ490="","",'12 - Device_Configuration'!AJ490)</f>
        <v/>
      </c>
      <c r="K489" s="28" t="str">
        <f>IF('12 - Device_Configuration'!AA490="","",'12 - Device_Configuration'!AA490)</f>
        <v/>
      </c>
      <c r="L489" s="28" t="str">
        <f>IF('12 - Device_Configuration'!I490="","",'12 - Device_Configuration'!I490)</f>
        <v/>
      </c>
      <c r="M489" s="29"/>
      <c r="N489" s="28" t="str">
        <f>IF('12 - Device_Configuration'!J490="","",'12 - Device_Configuration'!J490)</f>
        <v/>
      </c>
      <c r="O489" s="28" t="str">
        <f>IF('12 - Device_Configuration'!K490="","",'12 - Device_Configuration'!K490)</f>
        <v/>
      </c>
      <c r="P489" s="28" t="str">
        <f>IF('12 - Device_Configuration'!L490="","",'12 - Device_Configuration'!L490)</f>
        <v/>
      </c>
      <c r="Q489" s="29"/>
      <c r="R489" s="28" t="str">
        <f>IF('12 - Device_Configuration'!AY490="","",'12 - Device_Configuration'!AY490)</f>
        <v/>
      </c>
      <c r="S489" s="28" t="str">
        <f>IF('12 - Device_Configuration'!AX490="","",'12 - Device_Configuration'!AX490)</f>
        <v/>
      </c>
      <c r="T489" s="28" t="str">
        <f>IF('12 - Device_Configuration'!AV490="","",'12 - Device_Configuration'!AV490)</f>
        <v/>
      </c>
      <c r="U489" s="28" t="str">
        <f>IF('12 - Device_Configuration'!AW490="","",'12 - Device_Configuration'!AW490)</f>
        <v/>
      </c>
      <c r="V489" s="28" t="str">
        <f>IF('12 - Device_Configuration'!BA490="","",'12 - Device_Configuration'!BA490)</f>
        <v/>
      </c>
      <c r="W489" s="28" t="str">
        <f>IF('12 - Device_Configuration'!BC490="","",'12 - Device_Configuration'!BC490)</f>
        <v/>
      </c>
      <c r="X489" s="28" t="str">
        <f>IF('12 - Device_Configuration'!BK490="","",'12 - Device_Configuration'!BK490)</f>
        <v/>
      </c>
      <c r="Y489" s="28" t="str">
        <f>IF('12 - Device_Configuration'!BB490="","",'12 - Device_Configuration'!BB490)</f>
        <v/>
      </c>
      <c r="Z489" s="28" t="str">
        <f>IF('12 - Device_Configuration'!P490="","",'12 - Device_Configuration'!P490)</f>
        <v/>
      </c>
      <c r="AA489" s="28" t="str">
        <f>IF('12 - Device_Configuration'!Q490="","",'12 - Device_Configuration'!Q490)</f>
        <v/>
      </c>
    </row>
    <row r="490" spans="1:27">
      <c r="A490" s="29"/>
      <c r="B490" s="29"/>
      <c r="C490" s="28" t="str">
        <f>IF('12 - Device_Configuration'!H491="","",'12 - Device_Configuration'!H491)</f>
        <v/>
      </c>
      <c r="D490" s="28" t="str">
        <f>IF('12 - Device_Configuration'!AE491="","",'12 - Device_Configuration'!AE491)</f>
        <v/>
      </c>
      <c r="E490" s="28" t="str">
        <f>IF('12 - Device_Configuration'!AF491="","",'12 - Device_Configuration'!AF491)</f>
        <v/>
      </c>
      <c r="F490" s="28" t="str">
        <f>IF('12 - Device_Configuration'!AG491="","",'12 - Device_Configuration'!AG491)</f>
        <v/>
      </c>
      <c r="G490" s="28" t="str">
        <f>IF('12 - Device_Configuration'!AH491="","",'12 - Device_Configuration'!AH491)</f>
        <v/>
      </c>
      <c r="H490" s="28" t="str">
        <f>IF('12 - Device_Configuration'!A491="","",'12 - Device_Configuration'!A491)</f>
        <v/>
      </c>
      <c r="I490" s="28" t="str">
        <f>IF('12 - Device_Configuration'!AI491="","",'12 - Device_Configuration'!AI491)</f>
        <v/>
      </c>
      <c r="J490" s="28" t="str">
        <f>IF('12 - Device_Configuration'!AJ491="","",'12 - Device_Configuration'!AJ491)</f>
        <v/>
      </c>
      <c r="K490" s="28" t="str">
        <f>IF('12 - Device_Configuration'!AA491="","",'12 - Device_Configuration'!AA491)</f>
        <v/>
      </c>
      <c r="L490" s="28" t="str">
        <f>IF('12 - Device_Configuration'!I491="","",'12 - Device_Configuration'!I491)</f>
        <v/>
      </c>
      <c r="M490" s="29"/>
      <c r="N490" s="28" t="str">
        <f>IF('12 - Device_Configuration'!J491="","",'12 - Device_Configuration'!J491)</f>
        <v/>
      </c>
      <c r="O490" s="28" t="str">
        <f>IF('12 - Device_Configuration'!K491="","",'12 - Device_Configuration'!K491)</f>
        <v/>
      </c>
      <c r="P490" s="28" t="str">
        <f>IF('12 - Device_Configuration'!L491="","",'12 - Device_Configuration'!L491)</f>
        <v/>
      </c>
      <c r="Q490" s="29"/>
      <c r="R490" s="28" t="str">
        <f>IF('12 - Device_Configuration'!AY491="","",'12 - Device_Configuration'!AY491)</f>
        <v/>
      </c>
      <c r="S490" s="28" t="str">
        <f>IF('12 - Device_Configuration'!AX491="","",'12 - Device_Configuration'!AX491)</f>
        <v/>
      </c>
      <c r="T490" s="28" t="str">
        <f>IF('12 - Device_Configuration'!AV491="","",'12 - Device_Configuration'!AV491)</f>
        <v/>
      </c>
      <c r="U490" s="28" t="str">
        <f>IF('12 - Device_Configuration'!AW491="","",'12 - Device_Configuration'!AW491)</f>
        <v/>
      </c>
      <c r="V490" s="28" t="str">
        <f>IF('12 - Device_Configuration'!BA491="","",'12 - Device_Configuration'!BA491)</f>
        <v/>
      </c>
      <c r="W490" s="28" t="str">
        <f>IF('12 - Device_Configuration'!BC491="","",'12 - Device_Configuration'!BC491)</f>
        <v/>
      </c>
      <c r="X490" s="28" t="str">
        <f>IF('12 - Device_Configuration'!BK491="","",'12 - Device_Configuration'!BK491)</f>
        <v/>
      </c>
      <c r="Y490" s="28" t="str">
        <f>IF('12 - Device_Configuration'!BB491="","",'12 - Device_Configuration'!BB491)</f>
        <v/>
      </c>
      <c r="Z490" s="28" t="str">
        <f>IF('12 - Device_Configuration'!P491="","",'12 - Device_Configuration'!P491)</f>
        <v/>
      </c>
      <c r="AA490" s="28" t="str">
        <f>IF('12 - Device_Configuration'!Q491="","",'12 - Device_Configuration'!Q491)</f>
        <v/>
      </c>
    </row>
    <row r="491" spans="1:27">
      <c r="A491" s="29"/>
      <c r="B491" s="29"/>
      <c r="C491" s="28" t="str">
        <f>IF('12 - Device_Configuration'!H492="","",'12 - Device_Configuration'!H492)</f>
        <v/>
      </c>
      <c r="D491" s="28" t="str">
        <f>IF('12 - Device_Configuration'!AE492="","",'12 - Device_Configuration'!AE492)</f>
        <v/>
      </c>
      <c r="E491" s="28" t="str">
        <f>IF('12 - Device_Configuration'!AF492="","",'12 - Device_Configuration'!AF492)</f>
        <v/>
      </c>
      <c r="F491" s="28" t="str">
        <f>IF('12 - Device_Configuration'!AG492="","",'12 - Device_Configuration'!AG492)</f>
        <v/>
      </c>
      <c r="G491" s="28" t="str">
        <f>IF('12 - Device_Configuration'!AH492="","",'12 - Device_Configuration'!AH492)</f>
        <v/>
      </c>
      <c r="H491" s="28" t="str">
        <f>IF('12 - Device_Configuration'!A492="","",'12 - Device_Configuration'!A492)</f>
        <v/>
      </c>
      <c r="I491" s="28" t="str">
        <f>IF('12 - Device_Configuration'!AI492="","",'12 - Device_Configuration'!AI492)</f>
        <v/>
      </c>
      <c r="J491" s="28" t="str">
        <f>IF('12 - Device_Configuration'!AJ492="","",'12 - Device_Configuration'!AJ492)</f>
        <v/>
      </c>
      <c r="K491" s="28" t="str">
        <f>IF('12 - Device_Configuration'!AA492="","",'12 - Device_Configuration'!AA492)</f>
        <v/>
      </c>
      <c r="L491" s="28" t="str">
        <f>IF('12 - Device_Configuration'!I492="","",'12 - Device_Configuration'!I492)</f>
        <v/>
      </c>
      <c r="M491" s="29"/>
      <c r="N491" s="28" t="str">
        <f>IF('12 - Device_Configuration'!J492="","",'12 - Device_Configuration'!J492)</f>
        <v/>
      </c>
      <c r="O491" s="28" t="str">
        <f>IF('12 - Device_Configuration'!K492="","",'12 - Device_Configuration'!K492)</f>
        <v/>
      </c>
      <c r="P491" s="28" t="str">
        <f>IF('12 - Device_Configuration'!L492="","",'12 - Device_Configuration'!L492)</f>
        <v/>
      </c>
      <c r="Q491" s="29"/>
      <c r="R491" s="28" t="str">
        <f>IF('12 - Device_Configuration'!AY492="","",'12 - Device_Configuration'!AY492)</f>
        <v/>
      </c>
      <c r="S491" s="28" t="str">
        <f>IF('12 - Device_Configuration'!AX492="","",'12 - Device_Configuration'!AX492)</f>
        <v/>
      </c>
      <c r="T491" s="28" t="str">
        <f>IF('12 - Device_Configuration'!AV492="","",'12 - Device_Configuration'!AV492)</f>
        <v/>
      </c>
      <c r="U491" s="28" t="str">
        <f>IF('12 - Device_Configuration'!AW492="","",'12 - Device_Configuration'!AW492)</f>
        <v/>
      </c>
      <c r="V491" s="28" t="str">
        <f>IF('12 - Device_Configuration'!BA492="","",'12 - Device_Configuration'!BA492)</f>
        <v/>
      </c>
      <c r="W491" s="28" t="str">
        <f>IF('12 - Device_Configuration'!BC492="","",'12 - Device_Configuration'!BC492)</f>
        <v/>
      </c>
      <c r="X491" s="28" t="str">
        <f>IF('12 - Device_Configuration'!BK492="","",'12 - Device_Configuration'!BK492)</f>
        <v/>
      </c>
      <c r="Y491" s="28" t="str">
        <f>IF('12 - Device_Configuration'!BB492="","",'12 - Device_Configuration'!BB492)</f>
        <v/>
      </c>
      <c r="Z491" s="28" t="str">
        <f>IF('12 - Device_Configuration'!P492="","",'12 - Device_Configuration'!P492)</f>
        <v/>
      </c>
      <c r="AA491" s="28" t="str">
        <f>IF('12 - Device_Configuration'!Q492="","",'12 - Device_Configuration'!Q492)</f>
        <v/>
      </c>
    </row>
    <row r="492" spans="1:27">
      <c r="A492" s="29"/>
      <c r="B492" s="29"/>
      <c r="C492" s="28" t="str">
        <f>IF('12 - Device_Configuration'!H493="","",'12 - Device_Configuration'!H493)</f>
        <v/>
      </c>
      <c r="D492" s="28" t="str">
        <f>IF('12 - Device_Configuration'!AE493="","",'12 - Device_Configuration'!AE493)</f>
        <v/>
      </c>
      <c r="E492" s="28" t="str">
        <f>IF('12 - Device_Configuration'!AF493="","",'12 - Device_Configuration'!AF493)</f>
        <v/>
      </c>
      <c r="F492" s="28" t="str">
        <f>IF('12 - Device_Configuration'!AG493="","",'12 - Device_Configuration'!AG493)</f>
        <v/>
      </c>
      <c r="G492" s="28" t="str">
        <f>IF('12 - Device_Configuration'!AH493="","",'12 - Device_Configuration'!AH493)</f>
        <v/>
      </c>
      <c r="H492" s="28" t="str">
        <f>IF('12 - Device_Configuration'!A493="","",'12 - Device_Configuration'!A493)</f>
        <v/>
      </c>
      <c r="I492" s="28" t="str">
        <f>IF('12 - Device_Configuration'!AI493="","",'12 - Device_Configuration'!AI493)</f>
        <v/>
      </c>
      <c r="J492" s="28" t="str">
        <f>IF('12 - Device_Configuration'!AJ493="","",'12 - Device_Configuration'!AJ493)</f>
        <v/>
      </c>
      <c r="K492" s="28" t="str">
        <f>IF('12 - Device_Configuration'!AA493="","",'12 - Device_Configuration'!AA493)</f>
        <v/>
      </c>
      <c r="L492" s="28" t="str">
        <f>IF('12 - Device_Configuration'!I493="","",'12 - Device_Configuration'!I493)</f>
        <v/>
      </c>
      <c r="M492" s="29"/>
      <c r="N492" s="28" t="str">
        <f>IF('12 - Device_Configuration'!J493="","",'12 - Device_Configuration'!J493)</f>
        <v/>
      </c>
      <c r="O492" s="28" t="str">
        <f>IF('12 - Device_Configuration'!K493="","",'12 - Device_Configuration'!K493)</f>
        <v/>
      </c>
      <c r="P492" s="28" t="str">
        <f>IF('12 - Device_Configuration'!L493="","",'12 - Device_Configuration'!L493)</f>
        <v/>
      </c>
      <c r="Q492" s="29"/>
      <c r="R492" s="28" t="str">
        <f>IF('12 - Device_Configuration'!AY493="","",'12 - Device_Configuration'!AY493)</f>
        <v/>
      </c>
      <c r="S492" s="28" t="str">
        <f>IF('12 - Device_Configuration'!AX493="","",'12 - Device_Configuration'!AX493)</f>
        <v/>
      </c>
      <c r="T492" s="28" t="str">
        <f>IF('12 - Device_Configuration'!AV493="","",'12 - Device_Configuration'!AV493)</f>
        <v/>
      </c>
      <c r="U492" s="28" t="str">
        <f>IF('12 - Device_Configuration'!AW493="","",'12 - Device_Configuration'!AW493)</f>
        <v/>
      </c>
      <c r="V492" s="28" t="str">
        <f>IF('12 - Device_Configuration'!BA493="","",'12 - Device_Configuration'!BA493)</f>
        <v/>
      </c>
      <c r="W492" s="28" t="str">
        <f>IF('12 - Device_Configuration'!BC493="","",'12 - Device_Configuration'!BC493)</f>
        <v/>
      </c>
      <c r="X492" s="28" t="str">
        <f>IF('12 - Device_Configuration'!BK493="","",'12 - Device_Configuration'!BK493)</f>
        <v/>
      </c>
      <c r="Y492" s="28" t="str">
        <f>IF('12 - Device_Configuration'!BB493="","",'12 - Device_Configuration'!BB493)</f>
        <v/>
      </c>
      <c r="Z492" s="28" t="str">
        <f>IF('12 - Device_Configuration'!P493="","",'12 - Device_Configuration'!P493)</f>
        <v/>
      </c>
      <c r="AA492" s="28" t="str">
        <f>IF('12 - Device_Configuration'!Q493="","",'12 - Device_Configuration'!Q493)</f>
        <v/>
      </c>
    </row>
    <row r="493" spans="1:27">
      <c r="A493" s="29"/>
      <c r="B493" s="29"/>
      <c r="C493" s="28" t="str">
        <f>IF('12 - Device_Configuration'!H494="","",'12 - Device_Configuration'!H494)</f>
        <v/>
      </c>
      <c r="D493" s="28" t="str">
        <f>IF('12 - Device_Configuration'!AE494="","",'12 - Device_Configuration'!AE494)</f>
        <v/>
      </c>
      <c r="E493" s="28" t="str">
        <f>IF('12 - Device_Configuration'!AF494="","",'12 - Device_Configuration'!AF494)</f>
        <v/>
      </c>
      <c r="F493" s="28" t="str">
        <f>IF('12 - Device_Configuration'!AG494="","",'12 - Device_Configuration'!AG494)</f>
        <v/>
      </c>
      <c r="G493" s="28" t="str">
        <f>IF('12 - Device_Configuration'!AH494="","",'12 - Device_Configuration'!AH494)</f>
        <v/>
      </c>
      <c r="H493" s="28" t="str">
        <f>IF('12 - Device_Configuration'!A494="","",'12 - Device_Configuration'!A494)</f>
        <v/>
      </c>
      <c r="I493" s="28" t="str">
        <f>IF('12 - Device_Configuration'!AI494="","",'12 - Device_Configuration'!AI494)</f>
        <v/>
      </c>
      <c r="J493" s="28" t="str">
        <f>IF('12 - Device_Configuration'!AJ494="","",'12 - Device_Configuration'!AJ494)</f>
        <v/>
      </c>
      <c r="K493" s="28" t="str">
        <f>IF('12 - Device_Configuration'!AA494="","",'12 - Device_Configuration'!AA494)</f>
        <v/>
      </c>
      <c r="L493" s="28" t="str">
        <f>IF('12 - Device_Configuration'!I494="","",'12 - Device_Configuration'!I494)</f>
        <v/>
      </c>
      <c r="M493" s="29"/>
      <c r="N493" s="28" t="str">
        <f>IF('12 - Device_Configuration'!J494="","",'12 - Device_Configuration'!J494)</f>
        <v/>
      </c>
      <c r="O493" s="28" t="str">
        <f>IF('12 - Device_Configuration'!K494="","",'12 - Device_Configuration'!K494)</f>
        <v/>
      </c>
      <c r="P493" s="28" t="str">
        <f>IF('12 - Device_Configuration'!L494="","",'12 - Device_Configuration'!L494)</f>
        <v/>
      </c>
      <c r="Q493" s="29"/>
      <c r="R493" s="28" t="str">
        <f>IF('12 - Device_Configuration'!AY494="","",'12 - Device_Configuration'!AY494)</f>
        <v/>
      </c>
      <c r="S493" s="28" t="str">
        <f>IF('12 - Device_Configuration'!AX494="","",'12 - Device_Configuration'!AX494)</f>
        <v/>
      </c>
      <c r="T493" s="28" t="str">
        <f>IF('12 - Device_Configuration'!AV494="","",'12 - Device_Configuration'!AV494)</f>
        <v/>
      </c>
      <c r="U493" s="28" t="str">
        <f>IF('12 - Device_Configuration'!AW494="","",'12 - Device_Configuration'!AW494)</f>
        <v/>
      </c>
      <c r="V493" s="28" t="str">
        <f>IF('12 - Device_Configuration'!BA494="","",'12 - Device_Configuration'!BA494)</f>
        <v/>
      </c>
      <c r="W493" s="28" t="str">
        <f>IF('12 - Device_Configuration'!BC494="","",'12 - Device_Configuration'!BC494)</f>
        <v/>
      </c>
      <c r="X493" s="28" t="str">
        <f>IF('12 - Device_Configuration'!BK494="","",'12 - Device_Configuration'!BK494)</f>
        <v/>
      </c>
      <c r="Y493" s="28" t="str">
        <f>IF('12 - Device_Configuration'!BB494="","",'12 - Device_Configuration'!BB494)</f>
        <v/>
      </c>
      <c r="Z493" s="28" t="str">
        <f>IF('12 - Device_Configuration'!P494="","",'12 - Device_Configuration'!P494)</f>
        <v/>
      </c>
      <c r="AA493" s="28" t="str">
        <f>IF('12 - Device_Configuration'!Q494="","",'12 - Device_Configuration'!Q494)</f>
        <v/>
      </c>
    </row>
    <row r="494" spans="1:27">
      <c r="A494" s="29"/>
      <c r="B494" s="29"/>
      <c r="C494" s="28" t="str">
        <f>IF('12 - Device_Configuration'!H495="","",'12 - Device_Configuration'!H495)</f>
        <v/>
      </c>
      <c r="D494" s="28" t="str">
        <f>IF('12 - Device_Configuration'!AE495="","",'12 - Device_Configuration'!AE495)</f>
        <v/>
      </c>
      <c r="E494" s="28" t="str">
        <f>IF('12 - Device_Configuration'!AF495="","",'12 - Device_Configuration'!AF495)</f>
        <v/>
      </c>
      <c r="F494" s="28" t="str">
        <f>IF('12 - Device_Configuration'!AG495="","",'12 - Device_Configuration'!AG495)</f>
        <v/>
      </c>
      <c r="G494" s="28" t="str">
        <f>IF('12 - Device_Configuration'!AH495="","",'12 - Device_Configuration'!AH495)</f>
        <v/>
      </c>
      <c r="H494" s="28" t="str">
        <f>IF('12 - Device_Configuration'!A495="","",'12 - Device_Configuration'!A495)</f>
        <v/>
      </c>
      <c r="I494" s="28" t="str">
        <f>IF('12 - Device_Configuration'!AI495="","",'12 - Device_Configuration'!AI495)</f>
        <v/>
      </c>
      <c r="J494" s="28" t="str">
        <f>IF('12 - Device_Configuration'!AJ495="","",'12 - Device_Configuration'!AJ495)</f>
        <v/>
      </c>
      <c r="K494" s="28" t="str">
        <f>IF('12 - Device_Configuration'!AA495="","",'12 - Device_Configuration'!AA495)</f>
        <v/>
      </c>
      <c r="L494" s="28" t="str">
        <f>IF('12 - Device_Configuration'!I495="","",'12 - Device_Configuration'!I495)</f>
        <v/>
      </c>
      <c r="M494" s="29"/>
      <c r="N494" s="28" t="str">
        <f>IF('12 - Device_Configuration'!J495="","",'12 - Device_Configuration'!J495)</f>
        <v/>
      </c>
      <c r="O494" s="28" t="str">
        <f>IF('12 - Device_Configuration'!K495="","",'12 - Device_Configuration'!K495)</f>
        <v/>
      </c>
      <c r="P494" s="28" t="str">
        <f>IF('12 - Device_Configuration'!L495="","",'12 - Device_Configuration'!L495)</f>
        <v/>
      </c>
      <c r="Q494" s="29"/>
      <c r="R494" s="28" t="str">
        <f>IF('12 - Device_Configuration'!AY495="","",'12 - Device_Configuration'!AY495)</f>
        <v/>
      </c>
      <c r="S494" s="28" t="str">
        <f>IF('12 - Device_Configuration'!AX495="","",'12 - Device_Configuration'!AX495)</f>
        <v/>
      </c>
      <c r="T494" s="28" t="str">
        <f>IF('12 - Device_Configuration'!AV495="","",'12 - Device_Configuration'!AV495)</f>
        <v/>
      </c>
      <c r="U494" s="28" t="str">
        <f>IF('12 - Device_Configuration'!AW495="","",'12 - Device_Configuration'!AW495)</f>
        <v/>
      </c>
      <c r="V494" s="28" t="str">
        <f>IF('12 - Device_Configuration'!BA495="","",'12 - Device_Configuration'!BA495)</f>
        <v/>
      </c>
      <c r="W494" s="28" t="str">
        <f>IF('12 - Device_Configuration'!BC495="","",'12 - Device_Configuration'!BC495)</f>
        <v/>
      </c>
      <c r="X494" s="28" t="str">
        <f>IF('12 - Device_Configuration'!BK495="","",'12 - Device_Configuration'!BK495)</f>
        <v/>
      </c>
      <c r="Y494" s="28" t="str">
        <f>IF('12 - Device_Configuration'!BB495="","",'12 - Device_Configuration'!BB495)</f>
        <v/>
      </c>
      <c r="Z494" s="28" t="str">
        <f>IF('12 - Device_Configuration'!P495="","",'12 - Device_Configuration'!P495)</f>
        <v/>
      </c>
      <c r="AA494" s="28" t="str">
        <f>IF('12 - Device_Configuration'!Q495="","",'12 - Device_Configuration'!Q495)</f>
        <v/>
      </c>
    </row>
    <row r="495" spans="1:27">
      <c r="A495" s="29"/>
      <c r="B495" s="29"/>
      <c r="C495" s="28" t="str">
        <f>IF('12 - Device_Configuration'!H496="","",'12 - Device_Configuration'!H496)</f>
        <v/>
      </c>
      <c r="D495" s="28" t="str">
        <f>IF('12 - Device_Configuration'!AE496="","",'12 - Device_Configuration'!AE496)</f>
        <v/>
      </c>
      <c r="E495" s="28" t="str">
        <f>IF('12 - Device_Configuration'!AF496="","",'12 - Device_Configuration'!AF496)</f>
        <v/>
      </c>
      <c r="F495" s="28" t="str">
        <f>IF('12 - Device_Configuration'!AG496="","",'12 - Device_Configuration'!AG496)</f>
        <v/>
      </c>
      <c r="G495" s="28" t="str">
        <f>IF('12 - Device_Configuration'!AH496="","",'12 - Device_Configuration'!AH496)</f>
        <v/>
      </c>
      <c r="H495" s="28" t="str">
        <f>IF('12 - Device_Configuration'!A496="","",'12 - Device_Configuration'!A496)</f>
        <v/>
      </c>
      <c r="I495" s="28" t="str">
        <f>IF('12 - Device_Configuration'!AI496="","",'12 - Device_Configuration'!AI496)</f>
        <v/>
      </c>
      <c r="J495" s="28" t="str">
        <f>IF('12 - Device_Configuration'!AJ496="","",'12 - Device_Configuration'!AJ496)</f>
        <v/>
      </c>
      <c r="K495" s="28" t="str">
        <f>IF('12 - Device_Configuration'!AA496="","",'12 - Device_Configuration'!AA496)</f>
        <v/>
      </c>
      <c r="L495" s="28" t="str">
        <f>IF('12 - Device_Configuration'!I496="","",'12 - Device_Configuration'!I496)</f>
        <v/>
      </c>
      <c r="M495" s="29"/>
      <c r="N495" s="28" t="str">
        <f>IF('12 - Device_Configuration'!J496="","",'12 - Device_Configuration'!J496)</f>
        <v/>
      </c>
      <c r="O495" s="28" t="str">
        <f>IF('12 - Device_Configuration'!K496="","",'12 - Device_Configuration'!K496)</f>
        <v/>
      </c>
      <c r="P495" s="28" t="str">
        <f>IF('12 - Device_Configuration'!L496="","",'12 - Device_Configuration'!L496)</f>
        <v/>
      </c>
      <c r="Q495" s="29"/>
      <c r="R495" s="28" t="str">
        <f>IF('12 - Device_Configuration'!AY496="","",'12 - Device_Configuration'!AY496)</f>
        <v/>
      </c>
      <c r="S495" s="28" t="str">
        <f>IF('12 - Device_Configuration'!AX496="","",'12 - Device_Configuration'!AX496)</f>
        <v/>
      </c>
      <c r="T495" s="28" t="str">
        <f>IF('12 - Device_Configuration'!AV496="","",'12 - Device_Configuration'!AV496)</f>
        <v/>
      </c>
      <c r="U495" s="28" t="str">
        <f>IF('12 - Device_Configuration'!AW496="","",'12 - Device_Configuration'!AW496)</f>
        <v/>
      </c>
      <c r="V495" s="28" t="str">
        <f>IF('12 - Device_Configuration'!BA496="","",'12 - Device_Configuration'!BA496)</f>
        <v/>
      </c>
      <c r="W495" s="28" t="str">
        <f>IF('12 - Device_Configuration'!BC496="","",'12 - Device_Configuration'!BC496)</f>
        <v/>
      </c>
      <c r="X495" s="28" t="str">
        <f>IF('12 - Device_Configuration'!BK496="","",'12 - Device_Configuration'!BK496)</f>
        <v/>
      </c>
      <c r="Y495" s="28" t="str">
        <f>IF('12 - Device_Configuration'!BB496="","",'12 - Device_Configuration'!BB496)</f>
        <v/>
      </c>
      <c r="Z495" s="28" t="str">
        <f>IF('12 - Device_Configuration'!P496="","",'12 - Device_Configuration'!P496)</f>
        <v/>
      </c>
      <c r="AA495" s="28" t="str">
        <f>IF('12 - Device_Configuration'!Q496="","",'12 - Device_Configuration'!Q496)</f>
        <v/>
      </c>
    </row>
    <row r="496" spans="1:27">
      <c r="A496" s="29"/>
      <c r="B496" s="29"/>
      <c r="C496" s="28" t="str">
        <f>IF('12 - Device_Configuration'!H497="","",'12 - Device_Configuration'!H497)</f>
        <v/>
      </c>
      <c r="D496" s="28" t="str">
        <f>IF('12 - Device_Configuration'!AE497="","",'12 - Device_Configuration'!AE497)</f>
        <v/>
      </c>
      <c r="E496" s="28" t="str">
        <f>IF('12 - Device_Configuration'!AF497="","",'12 - Device_Configuration'!AF497)</f>
        <v/>
      </c>
      <c r="F496" s="28" t="str">
        <f>IF('12 - Device_Configuration'!AG497="","",'12 - Device_Configuration'!AG497)</f>
        <v/>
      </c>
      <c r="G496" s="28" t="str">
        <f>IF('12 - Device_Configuration'!AH497="","",'12 - Device_Configuration'!AH497)</f>
        <v/>
      </c>
      <c r="H496" s="28" t="str">
        <f>IF('12 - Device_Configuration'!A497="","",'12 - Device_Configuration'!A497)</f>
        <v/>
      </c>
      <c r="I496" s="28" t="str">
        <f>IF('12 - Device_Configuration'!AI497="","",'12 - Device_Configuration'!AI497)</f>
        <v/>
      </c>
      <c r="J496" s="28" t="str">
        <f>IF('12 - Device_Configuration'!AJ497="","",'12 - Device_Configuration'!AJ497)</f>
        <v/>
      </c>
      <c r="K496" s="28" t="str">
        <f>IF('12 - Device_Configuration'!AA497="","",'12 - Device_Configuration'!AA497)</f>
        <v/>
      </c>
      <c r="L496" s="28" t="str">
        <f>IF('12 - Device_Configuration'!I497="","",'12 - Device_Configuration'!I497)</f>
        <v/>
      </c>
      <c r="M496" s="29"/>
      <c r="N496" s="28" t="str">
        <f>IF('12 - Device_Configuration'!J497="","",'12 - Device_Configuration'!J497)</f>
        <v/>
      </c>
      <c r="O496" s="28" t="str">
        <f>IF('12 - Device_Configuration'!K497="","",'12 - Device_Configuration'!K497)</f>
        <v/>
      </c>
      <c r="P496" s="28" t="str">
        <f>IF('12 - Device_Configuration'!L497="","",'12 - Device_Configuration'!L497)</f>
        <v/>
      </c>
      <c r="Q496" s="29"/>
      <c r="R496" s="28" t="str">
        <f>IF('12 - Device_Configuration'!AY497="","",'12 - Device_Configuration'!AY497)</f>
        <v/>
      </c>
      <c r="S496" s="28" t="str">
        <f>IF('12 - Device_Configuration'!AX497="","",'12 - Device_Configuration'!AX497)</f>
        <v/>
      </c>
      <c r="T496" s="28" t="str">
        <f>IF('12 - Device_Configuration'!AV497="","",'12 - Device_Configuration'!AV497)</f>
        <v/>
      </c>
      <c r="U496" s="28" t="str">
        <f>IF('12 - Device_Configuration'!AW497="","",'12 - Device_Configuration'!AW497)</f>
        <v/>
      </c>
      <c r="V496" s="28" t="str">
        <f>IF('12 - Device_Configuration'!BA497="","",'12 - Device_Configuration'!BA497)</f>
        <v/>
      </c>
      <c r="W496" s="28" t="str">
        <f>IF('12 - Device_Configuration'!BC497="","",'12 - Device_Configuration'!BC497)</f>
        <v/>
      </c>
      <c r="X496" s="28" t="str">
        <f>IF('12 - Device_Configuration'!BK497="","",'12 - Device_Configuration'!BK497)</f>
        <v/>
      </c>
      <c r="Y496" s="28" t="str">
        <f>IF('12 - Device_Configuration'!BB497="","",'12 - Device_Configuration'!BB497)</f>
        <v/>
      </c>
      <c r="Z496" s="28" t="str">
        <f>IF('12 - Device_Configuration'!P497="","",'12 - Device_Configuration'!P497)</f>
        <v/>
      </c>
      <c r="AA496" s="28" t="str">
        <f>IF('12 - Device_Configuration'!Q497="","",'12 - Device_Configuration'!Q497)</f>
        <v/>
      </c>
    </row>
    <row r="497" spans="1:27">
      <c r="A497" s="29"/>
      <c r="B497" s="29"/>
      <c r="C497" s="28" t="str">
        <f>IF('12 - Device_Configuration'!H498="","",'12 - Device_Configuration'!H498)</f>
        <v/>
      </c>
      <c r="D497" s="28" t="str">
        <f>IF('12 - Device_Configuration'!AE498="","",'12 - Device_Configuration'!AE498)</f>
        <v/>
      </c>
      <c r="E497" s="28" t="str">
        <f>IF('12 - Device_Configuration'!AF498="","",'12 - Device_Configuration'!AF498)</f>
        <v/>
      </c>
      <c r="F497" s="28" t="str">
        <f>IF('12 - Device_Configuration'!AG498="","",'12 - Device_Configuration'!AG498)</f>
        <v/>
      </c>
      <c r="G497" s="28" t="str">
        <f>IF('12 - Device_Configuration'!AH498="","",'12 - Device_Configuration'!AH498)</f>
        <v/>
      </c>
      <c r="H497" s="28" t="str">
        <f>IF('12 - Device_Configuration'!A498="","",'12 - Device_Configuration'!A498)</f>
        <v/>
      </c>
      <c r="I497" s="28" t="str">
        <f>IF('12 - Device_Configuration'!AI498="","",'12 - Device_Configuration'!AI498)</f>
        <v/>
      </c>
      <c r="J497" s="28" t="str">
        <f>IF('12 - Device_Configuration'!AJ498="","",'12 - Device_Configuration'!AJ498)</f>
        <v/>
      </c>
      <c r="K497" s="28" t="str">
        <f>IF('12 - Device_Configuration'!AA498="","",'12 - Device_Configuration'!AA498)</f>
        <v/>
      </c>
      <c r="L497" s="28" t="str">
        <f>IF('12 - Device_Configuration'!I498="","",'12 - Device_Configuration'!I498)</f>
        <v/>
      </c>
      <c r="M497" s="29"/>
      <c r="N497" s="28" t="str">
        <f>IF('12 - Device_Configuration'!J498="","",'12 - Device_Configuration'!J498)</f>
        <v/>
      </c>
      <c r="O497" s="28" t="str">
        <f>IF('12 - Device_Configuration'!K498="","",'12 - Device_Configuration'!K498)</f>
        <v/>
      </c>
      <c r="P497" s="28" t="str">
        <f>IF('12 - Device_Configuration'!L498="","",'12 - Device_Configuration'!L498)</f>
        <v/>
      </c>
      <c r="Q497" s="29"/>
      <c r="R497" s="28" t="str">
        <f>IF('12 - Device_Configuration'!AY498="","",'12 - Device_Configuration'!AY498)</f>
        <v/>
      </c>
      <c r="S497" s="28" t="str">
        <f>IF('12 - Device_Configuration'!AX498="","",'12 - Device_Configuration'!AX498)</f>
        <v/>
      </c>
      <c r="T497" s="28" t="str">
        <f>IF('12 - Device_Configuration'!AV498="","",'12 - Device_Configuration'!AV498)</f>
        <v/>
      </c>
      <c r="U497" s="28" t="str">
        <f>IF('12 - Device_Configuration'!AW498="","",'12 - Device_Configuration'!AW498)</f>
        <v/>
      </c>
      <c r="V497" s="28" t="str">
        <f>IF('12 - Device_Configuration'!BA498="","",'12 - Device_Configuration'!BA498)</f>
        <v/>
      </c>
      <c r="W497" s="28" t="str">
        <f>IF('12 - Device_Configuration'!BC498="","",'12 - Device_Configuration'!BC498)</f>
        <v/>
      </c>
      <c r="X497" s="28" t="str">
        <f>IF('12 - Device_Configuration'!BK498="","",'12 - Device_Configuration'!BK498)</f>
        <v/>
      </c>
      <c r="Y497" s="28" t="str">
        <f>IF('12 - Device_Configuration'!BB498="","",'12 - Device_Configuration'!BB498)</f>
        <v/>
      </c>
      <c r="Z497" s="28" t="str">
        <f>IF('12 - Device_Configuration'!P498="","",'12 - Device_Configuration'!P498)</f>
        <v/>
      </c>
      <c r="AA497" s="28" t="str">
        <f>IF('12 - Device_Configuration'!Q498="","",'12 - Device_Configuration'!Q498)</f>
        <v/>
      </c>
    </row>
    <row r="498" spans="1:27">
      <c r="A498" s="29"/>
      <c r="B498" s="29"/>
      <c r="C498" s="28" t="str">
        <f>IF('12 - Device_Configuration'!H499="","",'12 - Device_Configuration'!H499)</f>
        <v/>
      </c>
      <c r="D498" s="28" t="str">
        <f>IF('12 - Device_Configuration'!AE499="","",'12 - Device_Configuration'!AE499)</f>
        <v/>
      </c>
      <c r="E498" s="28" t="str">
        <f>IF('12 - Device_Configuration'!AF499="","",'12 - Device_Configuration'!AF499)</f>
        <v/>
      </c>
      <c r="F498" s="28" t="str">
        <f>IF('12 - Device_Configuration'!AG499="","",'12 - Device_Configuration'!AG499)</f>
        <v/>
      </c>
      <c r="G498" s="28" t="str">
        <f>IF('12 - Device_Configuration'!AH499="","",'12 - Device_Configuration'!AH499)</f>
        <v/>
      </c>
      <c r="H498" s="28" t="str">
        <f>IF('12 - Device_Configuration'!A499="","",'12 - Device_Configuration'!A499)</f>
        <v/>
      </c>
      <c r="I498" s="28" t="str">
        <f>IF('12 - Device_Configuration'!AI499="","",'12 - Device_Configuration'!AI499)</f>
        <v/>
      </c>
      <c r="J498" s="28" t="str">
        <f>IF('12 - Device_Configuration'!AJ499="","",'12 - Device_Configuration'!AJ499)</f>
        <v/>
      </c>
      <c r="K498" s="28" t="str">
        <f>IF('12 - Device_Configuration'!AA499="","",'12 - Device_Configuration'!AA499)</f>
        <v/>
      </c>
      <c r="L498" s="28" t="str">
        <f>IF('12 - Device_Configuration'!I499="","",'12 - Device_Configuration'!I499)</f>
        <v/>
      </c>
      <c r="M498" s="29"/>
      <c r="N498" s="28" t="str">
        <f>IF('12 - Device_Configuration'!J499="","",'12 - Device_Configuration'!J499)</f>
        <v/>
      </c>
      <c r="O498" s="28" t="str">
        <f>IF('12 - Device_Configuration'!K499="","",'12 - Device_Configuration'!K499)</f>
        <v/>
      </c>
      <c r="P498" s="28" t="str">
        <f>IF('12 - Device_Configuration'!L499="","",'12 - Device_Configuration'!L499)</f>
        <v/>
      </c>
      <c r="Q498" s="29"/>
      <c r="R498" s="28" t="str">
        <f>IF('12 - Device_Configuration'!AY499="","",'12 - Device_Configuration'!AY499)</f>
        <v/>
      </c>
      <c r="S498" s="28" t="str">
        <f>IF('12 - Device_Configuration'!AX499="","",'12 - Device_Configuration'!AX499)</f>
        <v/>
      </c>
      <c r="T498" s="28" t="str">
        <f>IF('12 - Device_Configuration'!AV499="","",'12 - Device_Configuration'!AV499)</f>
        <v/>
      </c>
      <c r="U498" s="28" t="str">
        <f>IF('12 - Device_Configuration'!AW499="","",'12 - Device_Configuration'!AW499)</f>
        <v/>
      </c>
      <c r="V498" s="28" t="str">
        <f>IF('12 - Device_Configuration'!BA499="","",'12 - Device_Configuration'!BA499)</f>
        <v/>
      </c>
      <c r="W498" s="28" t="str">
        <f>IF('12 - Device_Configuration'!BC499="","",'12 - Device_Configuration'!BC499)</f>
        <v/>
      </c>
      <c r="X498" s="28" t="str">
        <f>IF('12 - Device_Configuration'!BK499="","",'12 - Device_Configuration'!BK499)</f>
        <v/>
      </c>
      <c r="Y498" s="28" t="str">
        <f>IF('12 - Device_Configuration'!BB499="","",'12 - Device_Configuration'!BB499)</f>
        <v/>
      </c>
      <c r="Z498" s="28" t="str">
        <f>IF('12 - Device_Configuration'!P499="","",'12 - Device_Configuration'!P499)</f>
        <v/>
      </c>
      <c r="AA498" s="28" t="str">
        <f>IF('12 - Device_Configuration'!Q499="","",'12 - Device_Configuration'!Q499)</f>
        <v/>
      </c>
    </row>
    <row r="499" spans="1:27">
      <c r="A499" s="29"/>
      <c r="B499" s="29"/>
      <c r="C499" s="28" t="str">
        <f>IF('12 - Device_Configuration'!H500="","",'12 - Device_Configuration'!H500)</f>
        <v/>
      </c>
      <c r="D499" s="28" t="str">
        <f>IF('12 - Device_Configuration'!AE500="","",'12 - Device_Configuration'!AE500)</f>
        <v/>
      </c>
      <c r="E499" s="28" t="str">
        <f>IF('12 - Device_Configuration'!AF500="","",'12 - Device_Configuration'!AF500)</f>
        <v/>
      </c>
      <c r="F499" s="28" t="str">
        <f>IF('12 - Device_Configuration'!AG500="","",'12 - Device_Configuration'!AG500)</f>
        <v/>
      </c>
      <c r="G499" s="28" t="str">
        <f>IF('12 - Device_Configuration'!AH500="","",'12 - Device_Configuration'!AH500)</f>
        <v/>
      </c>
      <c r="H499" s="28" t="str">
        <f>IF('12 - Device_Configuration'!A500="","",'12 - Device_Configuration'!A500)</f>
        <v/>
      </c>
      <c r="I499" s="28" t="str">
        <f>IF('12 - Device_Configuration'!AI500="","",'12 - Device_Configuration'!AI500)</f>
        <v/>
      </c>
      <c r="J499" s="28" t="str">
        <f>IF('12 - Device_Configuration'!AJ500="","",'12 - Device_Configuration'!AJ500)</f>
        <v/>
      </c>
      <c r="K499" s="28" t="str">
        <f>IF('12 - Device_Configuration'!AA500="","",'12 - Device_Configuration'!AA500)</f>
        <v/>
      </c>
      <c r="L499" s="28" t="str">
        <f>IF('12 - Device_Configuration'!I500="","",'12 - Device_Configuration'!I500)</f>
        <v/>
      </c>
      <c r="M499" s="29"/>
      <c r="N499" s="28" t="str">
        <f>IF('12 - Device_Configuration'!J500="","",'12 - Device_Configuration'!J500)</f>
        <v/>
      </c>
      <c r="O499" s="28" t="str">
        <f>IF('12 - Device_Configuration'!K500="","",'12 - Device_Configuration'!K500)</f>
        <v/>
      </c>
      <c r="P499" s="28" t="str">
        <f>IF('12 - Device_Configuration'!L500="","",'12 - Device_Configuration'!L500)</f>
        <v/>
      </c>
      <c r="Q499" s="29"/>
      <c r="R499" s="28" t="str">
        <f>IF('12 - Device_Configuration'!AY500="","",'12 - Device_Configuration'!AY500)</f>
        <v/>
      </c>
      <c r="S499" s="28" t="str">
        <f>IF('12 - Device_Configuration'!AX500="","",'12 - Device_Configuration'!AX500)</f>
        <v/>
      </c>
      <c r="T499" s="28" t="str">
        <f>IF('12 - Device_Configuration'!AV500="","",'12 - Device_Configuration'!AV500)</f>
        <v/>
      </c>
      <c r="U499" s="28" t="str">
        <f>IF('12 - Device_Configuration'!AW500="","",'12 - Device_Configuration'!AW500)</f>
        <v/>
      </c>
      <c r="V499" s="28" t="str">
        <f>IF('12 - Device_Configuration'!BA500="","",'12 - Device_Configuration'!BA500)</f>
        <v/>
      </c>
      <c r="W499" s="28" t="str">
        <f>IF('12 - Device_Configuration'!BC500="","",'12 - Device_Configuration'!BC500)</f>
        <v/>
      </c>
      <c r="X499" s="28" t="str">
        <f>IF('12 - Device_Configuration'!BK500="","",'12 - Device_Configuration'!BK500)</f>
        <v/>
      </c>
      <c r="Y499" s="28" t="str">
        <f>IF('12 - Device_Configuration'!BB500="","",'12 - Device_Configuration'!BB500)</f>
        <v/>
      </c>
      <c r="Z499" s="28" t="str">
        <f>IF('12 - Device_Configuration'!P500="","",'12 - Device_Configuration'!P500)</f>
        <v/>
      </c>
      <c r="AA499" s="28" t="str">
        <f>IF('12 - Device_Configuration'!Q500="","",'12 - Device_Configuration'!Q500)</f>
        <v/>
      </c>
    </row>
    <row r="500" spans="1:27">
      <c r="A500" s="29"/>
      <c r="B500" s="29"/>
      <c r="C500" s="28" t="str">
        <f>IF('12 - Device_Configuration'!H501="","",'12 - Device_Configuration'!H501)</f>
        <v/>
      </c>
      <c r="D500" s="28" t="str">
        <f>IF('12 - Device_Configuration'!AE501="","",'12 - Device_Configuration'!AE501)</f>
        <v/>
      </c>
      <c r="E500" s="28" t="str">
        <f>IF('12 - Device_Configuration'!AF501="","",'12 - Device_Configuration'!AF501)</f>
        <v/>
      </c>
      <c r="F500" s="28" t="str">
        <f>IF('12 - Device_Configuration'!AG501="","",'12 - Device_Configuration'!AG501)</f>
        <v/>
      </c>
      <c r="G500" s="28" t="str">
        <f>IF('12 - Device_Configuration'!AH501="","",'12 - Device_Configuration'!AH501)</f>
        <v/>
      </c>
      <c r="H500" s="28" t="str">
        <f>IF('12 - Device_Configuration'!A501="","",'12 - Device_Configuration'!A501)</f>
        <v/>
      </c>
      <c r="I500" s="28" t="str">
        <f>IF('12 - Device_Configuration'!AI501="","",'12 - Device_Configuration'!AI501)</f>
        <v/>
      </c>
      <c r="J500" s="28" t="str">
        <f>IF('12 - Device_Configuration'!AJ501="","",'12 - Device_Configuration'!AJ501)</f>
        <v/>
      </c>
      <c r="K500" s="28" t="str">
        <f>IF('12 - Device_Configuration'!AA501="","",'12 - Device_Configuration'!AA501)</f>
        <v/>
      </c>
      <c r="L500" s="28" t="str">
        <f>IF('12 - Device_Configuration'!I501="","",'12 - Device_Configuration'!I501)</f>
        <v/>
      </c>
      <c r="M500" s="29"/>
      <c r="N500" s="28" t="str">
        <f>IF('12 - Device_Configuration'!J501="","",'12 - Device_Configuration'!J501)</f>
        <v/>
      </c>
      <c r="O500" s="28" t="str">
        <f>IF('12 - Device_Configuration'!K501="","",'12 - Device_Configuration'!K501)</f>
        <v/>
      </c>
      <c r="P500" s="28" t="str">
        <f>IF('12 - Device_Configuration'!L501="","",'12 - Device_Configuration'!L501)</f>
        <v/>
      </c>
      <c r="Q500" s="29"/>
      <c r="R500" s="28" t="str">
        <f>IF('12 - Device_Configuration'!AY501="","",'12 - Device_Configuration'!AY501)</f>
        <v/>
      </c>
      <c r="S500" s="28" t="str">
        <f>IF('12 - Device_Configuration'!AX501="","",'12 - Device_Configuration'!AX501)</f>
        <v/>
      </c>
      <c r="T500" s="28" t="str">
        <f>IF('12 - Device_Configuration'!AV501="","",'12 - Device_Configuration'!AV501)</f>
        <v/>
      </c>
      <c r="U500" s="28" t="str">
        <f>IF('12 - Device_Configuration'!AW501="","",'12 - Device_Configuration'!AW501)</f>
        <v/>
      </c>
      <c r="V500" s="28" t="str">
        <f>IF('12 - Device_Configuration'!BA501="","",'12 - Device_Configuration'!BA501)</f>
        <v/>
      </c>
      <c r="W500" s="28" t="str">
        <f>IF('12 - Device_Configuration'!BC501="","",'12 - Device_Configuration'!BC501)</f>
        <v/>
      </c>
      <c r="X500" s="28" t="str">
        <f>IF('12 - Device_Configuration'!BK501="","",'12 - Device_Configuration'!BK501)</f>
        <v/>
      </c>
      <c r="Y500" s="28" t="str">
        <f>IF('12 - Device_Configuration'!BB501="","",'12 - Device_Configuration'!BB501)</f>
        <v/>
      </c>
      <c r="Z500" s="28" t="str">
        <f>IF('12 - Device_Configuration'!P501="","",'12 - Device_Configuration'!P501)</f>
        <v/>
      </c>
      <c r="AA500" s="28" t="str">
        <f>IF('12 - Device_Configuration'!Q501="","",'12 - Device_Configuration'!Q501)</f>
        <v/>
      </c>
    </row>
    <row r="501" spans="1:27">
      <c r="A501" s="29"/>
      <c r="B501" s="29"/>
      <c r="C501" s="28" t="str">
        <f>IF('12 - Device_Configuration'!H502="","",'12 - Device_Configuration'!H502)</f>
        <v/>
      </c>
      <c r="D501" s="28" t="str">
        <f>IF('12 - Device_Configuration'!AE502="","",'12 - Device_Configuration'!AE502)</f>
        <v/>
      </c>
      <c r="E501" s="28" t="str">
        <f>IF('12 - Device_Configuration'!AF502="","",'12 - Device_Configuration'!AF502)</f>
        <v/>
      </c>
      <c r="F501" s="28" t="str">
        <f>IF('12 - Device_Configuration'!AG502="","",'12 - Device_Configuration'!AG502)</f>
        <v/>
      </c>
      <c r="G501" s="28" t="str">
        <f>IF('12 - Device_Configuration'!AH502="","",'12 - Device_Configuration'!AH502)</f>
        <v/>
      </c>
      <c r="H501" s="28" t="str">
        <f>IF('12 - Device_Configuration'!A502="","",'12 - Device_Configuration'!A502)</f>
        <v/>
      </c>
      <c r="I501" s="28" t="str">
        <f>IF('12 - Device_Configuration'!AI502="","",'12 - Device_Configuration'!AI502)</f>
        <v/>
      </c>
      <c r="J501" s="28" t="str">
        <f>IF('12 - Device_Configuration'!AJ502="","",'12 - Device_Configuration'!AJ502)</f>
        <v/>
      </c>
      <c r="K501" s="28" t="str">
        <f>IF('12 - Device_Configuration'!AA502="","",'12 - Device_Configuration'!AA502)</f>
        <v/>
      </c>
      <c r="L501" s="28" t="str">
        <f>IF('12 - Device_Configuration'!I502="","",'12 - Device_Configuration'!I502)</f>
        <v/>
      </c>
      <c r="M501" s="29"/>
      <c r="N501" s="28" t="str">
        <f>IF('12 - Device_Configuration'!J502="","",'12 - Device_Configuration'!J502)</f>
        <v/>
      </c>
      <c r="O501" s="28" t="str">
        <f>IF('12 - Device_Configuration'!K502="","",'12 - Device_Configuration'!K502)</f>
        <v/>
      </c>
      <c r="P501" s="28" t="str">
        <f>IF('12 - Device_Configuration'!L502="","",'12 - Device_Configuration'!L502)</f>
        <v/>
      </c>
      <c r="Q501" s="29"/>
      <c r="R501" s="28" t="str">
        <f>IF('12 - Device_Configuration'!AY502="","",'12 - Device_Configuration'!AY502)</f>
        <v/>
      </c>
      <c r="S501" s="28" t="str">
        <f>IF('12 - Device_Configuration'!AX502="","",'12 - Device_Configuration'!AX502)</f>
        <v/>
      </c>
      <c r="T501" s="28" t="str">
        <f>IF('12 - Device_Configuration'!AV502="","",'12 - Device_Configuration'!AV502)</f>
        <v/>
      </c>
      <c r="U501" s="28" t="str">
        <f>IF('12 - Device_Configuration'!AW502="","",'12 - Device_Configuration'!AW502)</f>
        <v/>
      </c>
      <c r="V501" s="28" t="str">
        <f>IF('12 - Device_Configuration'!BA502="","",'12 - Device_Configuration'!BA502)</f>
        <v/>
      </c>
      <c r="W501" s="28" t="str">
        <f>IF('12 - Device_Configuration'!BC502="","",'12 - Device_Configuration'!BC502)</f>
        <v/>
      </c>
      <c r="X501" s="28" t="str">
        <f>IF('12 - Device_Configuration'!BK502="","",'12 - Device_Configuration'!BK502)</f>
        <v/>
      </c>
      <c r="Y501" s="28" t="str">
        <f>IF('12 - Device_Configuration'!BB502="","",'12 - Device_Configuration'!BB502)</f>
        <v/>
      </c>
      <c r="Z501" s="28" t="str">
        <f>IF('12 - Device_Configuration'!P502="","",'12 - Device_Configuration'!P502)</f>
        <v/>
      </c>
      <c r="AA501" s="28" t="str">
        <f>IF('12 - Device_Configuration'!Q502="","",'12 - Device_Configuration'!Q502)</f>
        <v/>
      </c>
    </row>
    <row r="502" spans="1:27">
      <c r="A502" s="29"/>
      <c r="B502" s="29"/>
      <c r="C502" s="28" t="str">
        <f>IF('12 - Device_Configuration'!H503="","",'12 - Device_Configuration'!H503)</f>
        <v/>
      </c>
      <c r="D502" s="28" t="str">
        <f>IF('12 - Device_Configuration'!AE503="","",'12 - Device_Configuration'!AE503)</f>
        <v/>
      </c>
      <c r="E502" s="28" t="str">
        <f>IF('12 - Device_Configuration'!AF503="","",'12 - Device_Configuration'!AF503)</f>
        <v/>
      </c>
      <c r="F502" s="28" t="str">
        <f>IF('12 - Device_Configuration'!AG503="","",'12 - Device_Configuration'!AG503)</f>
        <v/>
      </c>
      <c r="G502" s="28" t="str">
        <f>IF('12 - Device_Configuration'!AH503="","",'12 - Device_Configuration'!AH503)</f>
        <v/>
      </c>
      <c r="H502" s="28" t="str">
        <f>IF('12 - Device_Configuration'!A503="","",'12 - Device_Configuration'!A503)</f>
        <v/>
      </c>
      <c r="I502" s="28" t="str">
        <f>IF('12 - Device_Configuration'!AI503="","",'12 - Device_Configuration'!AI503)</f>
        <v/>
      </c>
      <c r="J502" s="28" t="str">
        <f>IF('12 - Device_Configuration'!AJ503="","",'12 - Device_Configuration'!AJ503)</f>
        <v/>
      </c>
      <c r="K502" s="28" t="str">
        <f>IF('12 - Device_Configuration'!AA503="","",'12 - Device_Configuration'!AA503)</f>
        <v/>
      </c>
      <c r="L502" s="28" t="str">
        <f>IF('12 - Device_Configuration'!I503="","",'12 - Device_Configuration'!I503)</f>
        <v/>
      </c>
      <c r="M502" s="29"/>
      <c r="N502" s="28" t="str">
        <f>IF('12 - Device_Configuration'!J503="","",'12 - Device_Configuration'!J503)</f>
        <v/>
      </c>
      <c r="O502" s="28" t="str">
        <f>IF('12 - Device_Configuration'!K503="","",'12 - Device_Configuration'!K503)</f>
        <v/>
      </c>
      <c r="P502" s="28" t="str">
        <f>IF('12 - Device_Configuration'!L503="","",'12 - Device_Configuration'!L503)</f>
        <v/>
      </c>
      <c r="Q502" s="29"/>
      <c r="R502" s="28" t="str">
        <f>IF('12 - Device_Configuration'!AY503="","",'12 - Device_Configuration'!AY503)</f>
        <v/>
      </c>
      <c r="S502" s="28" t="str">
        <f>IF('12 - Device_Configuration'!AX503="","",'12 - Device_Configuration'!AX503)</f>
        <v/>
      </c>
      <c r="T502" s="28" t="str">
        <f>IF('12 - Device_Configuration'!AV503="","",'12 - Device_Configuration'!AV503)</f>
        <v/>
      </c>
      <c r="U502" s="28" t="str">
        <f>IF('12 - Device_Configuration'!AW503="","",'12 - Device_Configuration'!AW503)</f>
        <v/>
      </c>
      <c r="V502" s="28" t="str">
        <f>IF('12 - Device_Configuration'!BA503="","",'12 - Device_Configuration'!BA503)</f>
        <v/>
      </c>
      <c r="W502" s="28" t="str">
        <f>IF('12 - Device_Configuration'!BC503="","",'12 - Device_Configuration'!BC503)</f>
        <v/>
      </c>
      <c r="X502" s="28" t="str">
        <f>IF('12 - Device_Configuration'!BK503="","",'12 - Device_Configuration'!BK503)</f>
        <v/>
      </c>
      <c r="Y502" s="28" t="str">
        <f>IF('12 - Device_Configuration'!BB503="","",'12 - Device_Configuration'!BB503)</f>
        <v/>
      </c>
      <c r="Z502" s="28" t="str">
        <f>IF('12 - Device_Configuration'!P503="","",'12 - Device_Configuration'!P503)</f>
        <v/>
      </c>
      <c r="AA502" s="28" t="str">
        <f>IF('12 - Device_Configuration'!Q503="","",'12 - Device_Configuration'!Q503)</f>
        <v/>
      </c>
    </row>
    <row r="503" spans="1:27">
      <c r="A503" s="29"/>
      <c r="B503" s="29"/>
      <c r="C503" s="28" t="str">
        <f>IF('12 - Device_Configuration'!H504="","",'12 - Device_Configuration'!H504)</f>
        <v/>
      </c>
      <c r="D503" s="28" t="str">
        <f>IF('12 - Device_Configuration'!AE504="","",'12 - Device_Configuration'!AE504)</f>
        <v/>
      </c>
      <c r="E503" s="28" t="str">
        <f>IF('12 - Device_Configuration'!AF504="","",'12 - Device_Configuration'!AF504)</f>
        <v/>
      </c>
      <c r="F503" s="28" t="str">
        <f>IF('12 - Device_Configuration'!AG504="","",'12 - Device_Configuration'!AG504)</f>
        <v/>
      </c>
      <c r="G503" s="28" t="str">
        <f>IF('12 - Device_Configuration'!AH504="","",'12 - Device_Configuration'!AH504)</f>
        <v/>
      </c>
      <c r="H503" s="28" t="str">
        <f>IF('12 - Device_Configuration'!A504="","",'12 - Device_Configuration'!A504)</f>
        <v/>
      </c>
      <c r="I503" s="28" t="str">
        <f>IF('12 - Device_Configuration'!AI504="","",'12 - Device_Configuration'!AI504)</f>
        <v/>
      </c>
      <c r="J503" s="28" t="str">
        <f>IF('12 - Device_Configuration'!AJ504="","",'12 - Device_Configuration'!AJ504)</f>
        <v/>
      </c>
      <c r="K503" s="28" t="str">
        <f>IF('12 - Device_Configuration'!AA504="","",'12 - Device_Configuration'!AA504)</f>
        <v/>
      </c>
      <c r="L503" s="28" t="str">
        <f>IF('12 - Device_Configuration'!I504="","",'12 - Device_Configuration'!I504)</f>
        <v/>
      </c>
      <c r="M503" s="29"/>
      <c r="N503" s="28" t="str">
        <f>IF('12 - Device_Configuration'!J504="","",'12 - Device_Configuration'!J504)</f>
        <v/>
      </c>
      <c r="O503" s="28" t="str">
        <f>IF('12 - Device_Configuration'!K504="","",'12 - Device_Configuration'!K504)</f>
        <v/>
      </c>
      <c r="P503" s="28" t="str">
        <f>IF('12 - Device_Configuration'!L504="","",'12 - Device_Configuration'!L504)</f>
        <v/>
      </c>
      <c r="Q503" s="29"/>
      <c r="R503" s="28" t="str">
        <f>IF('12 - Device_Configuration'!AY504="","",'12 - Device_Configuration'!AY504)</f>
        <v/>
      </c>
      <c r="S503" s="28" t="str">
        <f>IF('12 - Device_Configuration'!AX504="","",'12 - Device_Configuration'!AX504)</f>
        <v/>
      </c>
      <c r="T503" s="28" t="str">
        <f>IF('12 - Device_Configuration'!AV504="","",'12 - Device_Configuration'!AV504)</f>
        <v/>
      </c>
      <c r="U503" s="28" t="str">
        <f>IF('12 - Device_Configuration'!AW504="","",'12 - Device_Configuration'!AW504)</f>
        <v/>
      </c>
      <c r="V503" s="28" t="str">
        <f>IF('12 - Device_Configuration'!BA504="","",'12 - Device_Configuration'!BA504)</f>
        <v/>
      </c>
      <c r="W503" s="28" t="str">
        <f>IF('12 - Device_Configuration'!BC504="","",'12 - Device_Configuration'!BC504)</f>
        <v/>
      </c>
      <c r="X503" s="28" t="str">
        <f>IF('12 - Device_Configuration'!BK504="","",'12 - Device_Configuration'!BK504)</f>
        <v/>
      </c>
      <c r="Y503" s="28" t="str">
        <f>IF('12 - Device_Configuration'!BB504="","",'12 - Device_Configuration'!BB504)</f>
        <v/>
      </c>
      <c r="Z503" s="28" t="str">
        <f>IF('12 - Device_Configuration'!P504="","",'12 - Device_Configuration'!P504)</f>
        <v/>
      </c>
      <c r="AA503" s="28" t="str">
        <f>IF('12 - Device_Configuration'!Q504="","",'12 - Device_Configuration'!Q504)</f>
        <v/>
      </c>
    </row>
  </sheetData>
  <autoFilter ref="A1:AA1" xr:uid="{00000000-0009-0000-0000-00000D000000}"/>
  <dataValidations count="3">
    <dataValidation type="list" allowBlank="1" sqref="M2:M503" xr:uid="{00000000-0002-0000-0D00-000000000000}">
      <formula1>"Shared,Autologon,Named User,Unknown"</formula1>
    </dataValidation>
    <dataValidation type="list" allowBlank="1" sqref="H2:H503" xr:uid="{00000000-0002-0000-0D00-000001000000}">
      <formula1>AC2:AC3</formula1>
    </dataValidation>
    <dataValidation type="custom" allowBlank="1" showInputMessage="1" showErrorMessage="1" errorTitle="Automated field, foo 🤡" error="Skedaddle 💨. Don't overwrite formulas 😄" sqref="A5:A503 D2:D503 E2:E503 F2:F503 G2:G503 I2:I503 J2:J503 K2:K503 L2:L503 O2:O503 P2:P503 Q2:Q503 S2:S503 T2:T503 U2:U503 V2:V503 W2:W503 X2:X503 Y2:Y503 Z2:Z503 AA2:AA503 AC2:AC3" xr:uid="{00000000-0002-0000-0D00-000002000000}">
      <formula1>FALSE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503"/>
  <sheetViews>
    <sheetView showGridLines="0" workbookViewId="0">
      <pane xSplit="1" ySplit="1" topLeftCell="B39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2" width="14" customWidth="1"/>
    <col min="3" max="3" width="18" customWidth="1"/>
    <col min="4" max="4" width="22" customWidth="1"/>
    <col min="5" max="5" width="16" customWidth="1"/>
    <col min="6" max="6" width="18" customWidth="1"/>
    <col min="7" max="7" width="14" customWidth="1"/>
    <col min="8" max="8" width="22" customWidth="1"/>
    <col min="9" max="9" width="34" customWidth="1"/>
    <col min="10" max="10" width="14" customWidth="1"/>
    <col min="11" max="13" width="16" customWidth="1"/>
    <col min="14" max="14" width="22" customWidth="1"/>
    <col min="15" max="15" width="16" customWidth="1"/>
    <col min="16" max="16" width="18" customWidth="1"/>
    <col min="17" max="17" width="20" customWidth="1"/>
    <col min="18" max="18" width="16" customWidth="1"/>
    <col min="19" max="19" width="18" customWidth="1"/>
    <col min="20" max="20" width="16" customWidth="1"/>
    <col min="21" max="21" width="36" customWidth="1"/>
    <col min="22" max="23" width="18" customWidth="1"/>
    <col min="24" max="24" width="20" customWidth="1"/>
    <col min="25" max="25" width="18" customWidth="1"/>
    <col min="26" max="26" width="20" customWidth="1"/>
    <col min="27" max="27" width="18" customWidth="1"/>
  </cols>
  <sheetData>
    <row r="1" spans="1:20" ht="24" customHeight="1">
      <c r="A1" s="49" t="s">
        <v>1357</v>
      </c>
      <c r="B1" s="49" t="s">
        <v>2095</v>
      </c>
      <c r="C1" s="49" t="s">
        <v>1367</v>
      </c>
      <c r="D1" s="49" t="s">
        <v>2090</v>
      </c>
      <c r="E1" s="49" t="s">
        <v>1359</v>
      </c>
      <c r="F1" s="49" t="s">
        <v>1360</v>
      </c>
      <c r="G1" s="49" t="s">
        <v>1361</v>
      </c>
      <c r="H1" s="49" t="s">
        <v>2092</v>
      </c>
      <c r="I1" s="49" t="s">
        <v>2096</v>
      </c>
      <c r="J1" s="49" t="s">
        <v>2097</v>
      </c>
      <c r="K1" s="49" t="s">
        <v>1405</v>
      </c>
      <c r="L1" s="49" t="s">
        <v>1365</v>
      </c>
      <c r="M1" s="49" t="s">
        <v>1366</v>
      </c>
      <c r="N1" s="49" t="s">
        <v>1408</v>
      </c>
      <c r="O1" s="49" t="s">
        <v>1409</v>
      </c>
      <c r="P1" s="49" t="s">
        <v>1400</v>
      </c>
      <c r="Q1" s="49" t="s">
        <v>2098</v>
      </c>
      <c r="R1" s="49" t="s">
        <v>2099</v>
      </c>
      <c r="S1" s="49" t="s">
        <v>2100</v>
      </c>
      <c r="T1" s="49" t="s">
        <v>2101</v>
      </c>
    </row>
    <row r="2" spans="1:20">
      <c r="A2" s="30" t="str">
        <f>'12 - Device_Configuration'!H2</f>
        <v>LIJ SDF</v>
      </c>
      <c r="B2" s="30" t="str">
        <f>'12 - Device_Configuration'!S2</f>
        <v>LIJ-SDF-MACH-A</v>
      </c>
      <c r="C2" s="30" t="str">
        <f>'12 - Device_Configuration'!T2</f>
        <v>A0F5097FEC20</v>
      </c>
      <c r="D2" s="17" t="str">
        <f>'12 - Device_Configuration'!AJ2</f>
        <v>2008T</v>
      </c>
      <c r="E2" s="17" t="str">
        <f>'12 - Device_Configuration'!J2</f>
        <v>NA</v>
      </c>
      <c r="F2" s="30" t="str">
        <f>'12 - Device_Configuration'!K2</f>
        <v>NA</v>
      </c>
      <c r="G2" s="17" t="str">
        <f>'12 - Device_Configuration'!L2</f>
        <v>NA</v>
      </c>
      <c r="H2" s="17">
        <f>'13 - Config_Intake_View'!M2</f>
        <v>0</v>
      </c>
      <c r="I2" s="30" t="str">
        <f>IF('13 - Config_Intake_View'!Q2&lt;&gt;"",'13 - Config_Intake_View'!Q2,'12 - Device_Configuration'!BH2)</f>
        <v>test</v>
      </c>
      <c r="J2" s="17" t="str">
        <f>IF('13 - Config_Intake_View'!Q2&lt;&gt;"","PM Approved",IF('12 - Device_Configuration'!BH2&lt;&gt;"","Assumed",""))</f>
        <v>Assumed</v>
      </c>
      <c r="K2" s="30" t="str">
        <f>'12 - Device_Configuration'!BG2</f>
        <v>Yes</v>
      </c>
      <c r="L2" s="17">
        <f>'12 - Device_Configuration'!P2</f>
        <v>0</v>
      </c>
      <c r="M2" s="17">
        <f>'12 - Device_Configuration'!Q2</f>
        <v>0</v>
      </c>
      <c r="N2" s="17" t="str">
        <f>'12 - Device_Configuration'!BK2</f>
        <v>Power Cable, Battery, Epic Beans Relay</v>
      </c>
      <c r="O2" s="30" t="str">
        <f>'12 - Device_Configuration'!BL2</f>
        <v>Blocked</v>
      </c>
      <c r="P2" s="2" t="str">
        <f>'12 - Device_Configuration'!BA2</f>
        <v>Yes</v>
      </c>
      <c r="Q2" s="30" t="str">
        <f t="shared" ref="Q2:Q65" si="0">IF(OR($A2="",$B2="",$D2=""),"MISSING CORE FIELDS","")</f>
        <v/>
      </c>
      <c r="R2" s="17" t="str">
        <f t="shared" ref="R2:R65" si="1">IF(AND($I2&lt;&gt;"",$K2&lt;&gt;"Yes"),"SW NOT INSTALLED","")</f>
        <v/>
      </c>
      <c r="S2" s="17" t="str">
        <f t="shared" ref="S2:S65" si="2">IF(AND($H2&lt;&gt;"",ISNUMBER(SEARCH("auto",LOWER($H2))),$F2=""),"AUTOLOGON REQUIRED","")</f>
        <v/>
      </c>
      <c r="T2" s="17" t="str">
        <f t="shared" ref="T2:T65" si="3">IF($Q2&lt;&gt;"",$Q2,IF($S2&lt;&gt;"",$S2,IF($R2&lt;&gt;"",$R2,IF(OR($N2&lt;&gt;"",$O2="Blocked"),"BLOCKED","OK"))))</f>
        <v>BLOCKED</v>
      </c>
    </row>
    <row r="3" spans="1:20">
      <c r="A3" s="30" t="str">
        <f>'12 - Device_Configuration'!H3</f>
        <v>LIJ SDF</v>
      </c>
      <c r="B3" s="30" t="str">
        <f>'12 - Device_Configuration'!S3</f>
        <v>LIJ-SDF-MACH-B</v>
      </c>
      <c r="C3" s="30" t="str">
        <f>'12 - Device_Configuration'!T3</f>
        <v>A0F5097FEEFA</v>
      </c>
      <c r="D3" s="17" t="str">
        <f>'12 - Device_Configuration'!AJ3</f>
        <v>2008T</v>
      </c>
      <c r="E3" s="17" t="str">
        <f>'12 - Device_Configuration'!J3</f>
        <v>NA</v>
      </c>
      <c r="F3" s="30" t="str">
        <f>'12 - Device_Configuration'!K3</f>
        <v>NA</v>
      </c>
      <c r="G3" s="17" t="str">
        <f>'12 - Device_Configuration'!L3</f>
        <v>NA</v>
      </c>
      <c r="H3" s="17">
        <f>'13 - Config_Intake_View'!M3</f>
        <v>0</v>
      </c>
      <c r="I3" s="30">
        <f>IF('13 - Config_Intake_View'!Q3&lt;&gt;"",'13 - Config_Intake_View'!Q3,'12 - Device_Configuration'!BH3)</f>
        <v>0</v>
      </c>
      <c r="J3" s="17" t="str">
        <f>IF('13 - Config_Intake_View'!Q3&lt;&gt;"","PM Approved",IF('12 - Device_Configuration'!BH3&lt;&gt;"","Assumed",""))</f>
        <v/>
      </c>
      <c r="K3" s="30" t="str">
        <f>'12 - Device_Configuration'!BG3</f>
        <v>Yes</v>
      </c>
      <c r="L3" s="17">
        <f>'12 - Device_Configuration'!P3</f>
        <v>0</v>
      </c>
      <c r="M3" s="17">
        <f>'12 - Device_Configuration'!Q3</f>
        <v>0</v>
      </c>
      <c r="N3" s="17" t="str">
        <f>'12 - Device_Configuration'!BK3</f>
        <v>Power Cable, Battery, Epic Beans Relay</v>
      </c>
      <c r="O3" s="30" t="str">
        <f>'12 - Device_Configuration'!BL3</f>
        <v>Blocked</v>
      </c>
      <c r="P3" s="2" t="str">
        <f>'12 - Device_Configuration'!BA3</f>
        <v>Yes</v>
      </c>
      <c r="Q3" s="30" t="str">
        <f t="shared" si="0"/>
        <v/>
      </c>
      <c r="R3" s="17" t="str">
        <f t="shared" si="1"/>
        <v/>
      </c>
      <c r="S3" s="17" t="str">
        <f t="shared" si="2"/>
        <v/>
      </c>
      <c r="T3" s="17" t="str">
        <f t="shared" si="3"/>
        <v>BLOCKED</v>
      </c>
    </row>
    <row r="4" spans="1:20">
      <c r="A4" s="30" t="str">
        <f>'12 - Device_Configuration'!H4</f>
        <v>LIJ SDF</v>
      </c>
      <c r="B4" s="30" t="str">
        <f>'12 - Device_Configuration'!S4</f>
        <v>LIJ-SDF-MACH-C</v>
      </c>
      <c r="C4" s="30" t="str">
        <f>'12 - Device_Configuration'!T4</f>
        <v>A0F5097B89E1</v>
      </c>
      <c r="D4" s="17" t="str">
        <f>'12 - Device_Configuration'!AJ4</f>
        <v>2008T</v>
      </c>
      <c r="E4" s="17" t="str">
        <f>'12 - Device_Configuration'!J4</f>
        <v>NA</v>
      </c>
      <c r="F4" s="30" t="str">
        <f>'12 - Device_Configuration'!K4</f>
        <v>NA</v>
      </c>
      <c r="G4" s="17" t="str">
        <f>'12 - Device_Configuration'!L4</f>
        <v>NA</v>
      </c>
      <c r="H4" s="17">
        <f>'13 - Config_Intake_View'!M4</f>
        <v>0</v>
      </c>
      <c r="I4" s="30">
        <f>IF('13 - Config_Intake_View'!Q4&lt;&gt;"",'13 - Config_Intake_View'!Q4,'12 - Device_Configuration'!BH4)</f>
        <v>0</v>
      </c>
      <c r="J4" s="17" t="str">
        <f>IF('13 - Config_Intake_View'!Q4&lt;&gt;"","PM Approved",IF('12 - Device_Configuration'!BH4&lt;&gt;"","Assumed",""))</f>
        <v/>
      </c>
      <c r="K4" s="30" t="str">
        <f>'12 - Device_Configuration'!BG4</f>
        <v>Yes</v>
      </c>
      <c r="L4" s="17">
        <f>'12 - Device_Configuration'!P4</f>
        <v>0</v>
      </c>
      <c r="M4" s="17">
        <f>'12 - Device_Configuration'!Q4</f>
        <v>0</v>
      </c>
      <c r="N4" s="17" t="str">
        <f>'12 - Device_Configuration'!BK4</f>
        <v>Power Cable, Battery, Epic Beans Relay</v>
      </c>
      <c r="O4" s="30" t="str">
        <f>'12 - Device_Configuration'!BL4</f>
        <v>Blocked</v>
      </c>
      <c r="P4" s="2" t="str">
        <f>'12 - Device_Configuration'!BA4</f>
        <v>Yes</v>
      </c>
      <c r="Q4" s="30" t="str">
        <f t="shared" si="0"/>
        <v/>
      </c>
      <c r="R4" s="17" t="str">
        <f t="shared" si="1"/>
        <v/>
      </c>
      <c r="S4" s="17" t="str">
        <f t="shared" si="2"/>
        <v/>
      </c>
      <c r="T4" s="17" t="str">
        <f t="shared" si="3"/>
        <v>BLOCKED</v>
      </c>
    </row>
    <row r="5" spans="1:20">
      <c r="A5" s="30" t="str">
        <f>'12 - Device_Configuration'!H5</f>
        <v>LIJ SDF</v>
      </c>
      <c r="B5" s="30" t="str">
        <f>'12 - Device_Configuration'!S5</f>
        <v>LIJ-SDF-MACH-D</v>
      </c>
      <c r="C5" s="30" t="str">
        <f>'12 - Device_Configuration'!T5</f>
        <v>A0F5097FE484</v>
      </c>
      <c r="D5" s="17" t="str">
        <f>'12 - Device_Configuration'!AJ5</f>
        <v>2008T</v>
      </c>
      <c r="E5" s="17" t="str">
        <f>'12 - Device_Configuration'!J5</f>
        <v>NA</v>
      </c>
      <c r="F5" s="30" t="str">
        <f>'12 - Device_Configuration'!K5</f>
        <v>NA</v>
      </c>
      <c r="G5" s="17" t="str">
        <f>'12 - Device_Configuration'!L5</f>
        <v>NA</v>
      </c>
      <c r="H5" s="17">
        <f>'13 - Config_Intake_View'!M5</f>
        <v>0</v>
      </c>
      <c r="I5" s="30">
        <f>IF('13 - Config_Intake_View'!Q5&lt;&gt;"",'13 - Config_Intake_View'!Q5,'12 - Device_Configuration'!BH5)</f>
        <v>0</v>
      </c>
      <c r="J5" s="17" t="str">
        <f>IF('13 - Config_Intake_View'!Q5&lt;&gt;"","PM Approved",IF('12 - Device_Configuration'!BH5&lt;&gt;"","Assumed",""))</f>
        <v/>
      </c>
      <c r="K5" s="30" t="str">
        <f>'12 - Device_Configuration'!BG5</f>
        <v>Yes</v>
      </c>
      <c r="L5" s="17">
        <f>'12 - Device_Configuration'!P5</f>
        <v>0</v>
      </c>
      <c r="M5" s="17">
        <f>'12 - Device_Configuration'!Q5</f>
        <v>0</v>
      </c>
      <c r="N5" s="17" t="str">
        <f>'12 - Device_Configuration'!BK5</f>
        <v>Power Cable, Battery, Epic Beans Relay</v>
      </c>
      <c r="O5" s="30" t="str">
        <f>'12 - Device_Configuration'!BL5</f>
        <v>Blocked</v>
      </c>
      <c r="P5" s="2" t="str">
        <f>'12 - Device_Configuration'!BA5</f>
        <v>Yes</v>
      </c>
      <c r="Q5" s="30" t="str">
        <f t="shared" si="0"/>
        <v/>
      </c>
      <c r="R5" s="17" t="str">
        <f t="shared" si="1"/>
        <v/>
      </c>
      <c r="S5" s="17" t="str">
        <f t="shared" si="2"/>
        <v/>
      </c>
      <c r="T5" s="17" t="str">
        <f t="shared" si="3"/>
        <v>BLOCKED</v>
      </c>
    </row>
    <row r="6" spans="1:20">
      <c r="A6" s="30" t="str">
        <f>'12 - Device_Configuration'!H6</f>
        <v>LIJ SDF</v>
      </c>
      <c r="B6" s="30" t="str">
        <f>'12 - Device_Configuration'!S6</f>
        <v>LIJ-SDF-MACH-E</v>
      </c>
      <c r="C6" s="30" t="str">
        <f>'12 - Device_Configuration'!T6</f>
        <v>A0F5097FF05E</v>
      </c>
      <c r="D6" s="17" t="str">
        <f>'12 - Device_Configuration'!AJ6</f>
        <v>2008T</v>
      </c>
      <c r="E6" s="17" t="str">
        <f>'12 - Device_Configuration'!J6</f>
        <v>NA</v>
      </c>
      <c r="F6" s="30" t="str">
        <f>'12 - Device_Configuration'!K6</f>
        <v>NA</v>
      </c>
      <c r="G6" s="17" t="str">
        <f>'12 - Device_Configuration'!L6</f>
        <v>NA</v>
      </c>
      <c r="H6" s="17">
        <f>'13 - Config_Intake_View'!M6</f>
        <v>0</v>
      </c>
      <c r="I6" s="30">
        <f>IF('13 - Config_Intake_View'!Q6&lt;&gt;"",'13 - Config_Intake_View'!Q6,'12 - Device_Configuration'!BH6)</f>
        <v>0</v>
      </c>
      <c r="J6" s="17" t="str">
        <f>IF('13 - Config_Intake_View'!Q6&lt;&gt;"","PM Approved",IF('12 - Device_Configuration'!BH6&lt;&gt;"","Assumed",""))</f>
        <v/>
      </c>
      <c r="K6" s="30" t="str">
        <f>'12 - Device_Configuration'!BG6</f>
        <v>Yes</v>
      </c>
      <c r="L6" s="17">
        <f>'12 - Device_Configuration'!P6</f>
        <v>0</v>
      </c>
      <c r="M6" s="17">
        <f>'12 - Device_Configuration'!Q6</f>
        <v>0</v>
      </c>
      <c r="N6" s="17" t="str">
        <f>'12 - Device_Configuration'!BK6</f>
        <v>Power Cable, Battery, Epic Beans Relay</v>
      </c>
      <c r="O6" s="30" t="str">
        <f>'12 - Device_Configuration'!BL6</f>
        <v>Blocked</v>
      </c>
      <c r="P6" s="2" t="str">
        <f>'12 - Device_Configuration'!BA6</f>
        <v>Yes</v>
      </c>
      <c r="Q6" s="30" t="str">
        <f t="shared" si="0"/>
        <v/>
      </c>
      <c r="R6" s="17" t="str">
        <f t="shared" si="1"/>
        <v/>
      </c>
      <c r="S6" s="17" t="str">
        <f t="shared" si="2"/>
        <v/>
      </c>
      <c r="T6" s="17" t="str">
        <f t="shared" si="3"/>
        <v>BLOCKED</v>
      </c>
    </row>
    <row r="7" spans="1:20">
      <c r="A7" s="30" t="str">
        <f>'12 - Device_Configuration'!H7</f>
        <v>LIJ SDF</v>
      </c>
      <c r="B7" s="30" t="str">
        <f>'12 - Device_Configuration'!S7</f>
        <v>LIJ-SDF-MACH-F</v>
      </c>
      <c r="C7" s="30" t="str">
        <f>'12 - Device_Configuration'!T7</f>
        <v>A0F5097FE3A5</v>
      </c>
      <c r="D7" s="17" t="str">
        <f>'12 - Device_Configuration'!AJ7</f>
        <v>2008T</v>
      </c>
      <c r="E7" s="17" t="str">
        <f>'12 - Device_Configuration'!J7</f>
        <v>NA</v>
      </c>
      <c r="F7" s="30" t="str">
        <f>'12 - Device_Configuration'!K7</f>
        <v>NA</v>
      </c>
      <c r="G7" s="17" t="str">
        <f>'12 - Device_Configuration'!L7</f>
        <v>NA</v>
      </c>
      <c r="H7" s="17">
        <f>'13 - Config_Intake_View'!M7</f>
        <v>0</v>
      </c>
      <c r="I7" s="30">
        <f>IF('13 - Config_Intake_View'!Q7&lt;&gt;"",'13 - Config_Intake_View'!Q7,'12 - Device_Configuration'!BH7)</f>
        <v>0</v>
      </c>
      <c r="J7" s="17" t="str">
        <f>IF('13 - Config_Intake_View'!Q7&lt;&gt;"","PM Approved",IF('12 - Device_Configuration'!BH7&lt;&gt;"","Assumed",""))</f>
        <v/>
      </c>
      <c r="K7" s="30" t="str">
        <f>'12 - Device_Configuration'!BG7</f>
        <v>Yes</v>
      </c>
      <c r="L7" s="17">
        <f>'12 - Device_Configuration'!P7</f>
        <v>0</v>
      </c>
      <c r="M7" s="17">
        <f>'12 - Device_Configuration'!Q7</f>
        <v>0</v>
      </c>
      <c r="N7" s="17" t="str">
        <f>'12 - Device_Configuration'!BK7</f>
        <v>Power Cable, Battery, Epic Beans Relay</v>
      </c>
      <c r="O7" s="30" t="str">
        <f>'12 - Device_Configuration'!BL7</f>
        <v>Blocked</v>
      </c>
      <c r="P7" s="2" t="str">
        <f>'12 - Device_Configuration'!BA7</f>
        <v>Yes</v>
      </c>
      <c r="Q7" s="30" t="str">
        <f t="shared" si="0"/>
        <v/>
      </c>
      <c r="R7" s="17" t="str">
        <f t="shared" si="1"/>
        <v/>
      </c>
      <c r="S7" s="17" t="str">
        <f t="shared" si="2"/>
        <v/>
      </c>
      <c r="T7" s="17" t="str">
        <f t="shared" si="3"/>
        <v>BLOCKED</v>
      </c>
    </row>
    <row r="8" spans="1:20">
      <c r="A8" s="30" t="str">
        <f>'12 - Device_Configuration'!H8</f>
        <v>LIJ SDF</v>
      </c>
      <c r="B8" s="30" t="str">
        <f>'12 - Device_Configuration'!S8</f>
        <v>LIJ-SDF-MACH-G</v>
      </c>
      <c r="C8" s="30" t="str">
        <f>'12 - Device_Configuration'!T8</f>
        <v>A0F5097FE012</v>
      </c>
      <c r="D8" s="17" t="str">
        <f>'12 - Device_Configuration'!AJ8</f>
        <v>2008T</v>
      </c>
      <c r="E8" s="17" t="str">
        <f>'12 - Device_Configuration'!J8</f>
        <v>NA</v>
      </c>
      <c r="F8" s="30" t="str">
        <f>'12 - Device_Configuration'!K8</f>
        <v>NA</v>
      </c>
      <c r="G8" s="17" t="str">
        <f>'12 - Device_Configuration'!L8</f>
        <v>NA</v>
      </c>
      <c r="H8" s="17">
        <f>'13 - Config_Intake_View'!M8</f>
        <v>0</v>
      </c>
      <c r="I8" s="30">
        <f>IF('13 - Config_Intake_View'!Q8&lt;&gt;"",'13 - Config_Intake_View'!Q8,'12 - Device_Configuration'!BH8)</f>
        <v>0</v>
      </c>
      <c r="J8" s="17" t="str">
        <f>IF('13 - Config_Intake_View'!Q8&lt;&gt;"","PM Approved",IF('12 - Device_Configuration'!BH8&lt;&gt;"","Assumed",""))</f>
        <v/>
      </c>
      <c r="K8" s="30" t="str">
        <f>'12 - Device_Configuration'!BG8</f>
        <v>Yes</v>
      </c>
      <c r="L8" s="17">
        <f>'12 - Device_Configuration'!P8</f>
        <v>0</v>
      </c>
      <c r="M8" s="17">
        <f>'12 - Device_Configuration'!Q8</f>
        <v>0</v>
      </c>
      <c r="N8" s="17" t="str">
        <f>'12 - Device_Configuration'!BK8</f>
        <v>Power Cable, Battery, Epic Beans Relay</v>
      </c>
      <c r="O8" s="30" t="str">
        <f>'12 - Device_Configuration'!BL8</f>
        <v>Blocked</v>
      </c>
      <c r="P8" s="2" t="str">
        <f>'12 - Device_Configuration'!BA8</f>
        <v>Yes</v>
      </c>
      <c r="Q8" s="30" t="str">
        <f t="shared" si="0"/>
        <v/>
      </c>
      <c r="R8" s="17" t="str">
        <f t="shared" si="1"/>
        <v/>
      </c>
      <c r="S8" s="17" t="str">
        <f t="shared" si="2"/>
        <v/>
      </c>
      <c r="T8" s="17" t="str">
        <f t="shared" si="3"/>
        <v>BLOCKED</v>
      </c>
    </row>
    <row r="9" spans="1:20">
      <c r="A9" s="30" t="str">
        <f>'12 - Device_Configuration'!H9</f>
        <v>LIJ SDF</v>
      </c>
      <c r="B9" s="30" t="str">
        <f>'12 - Device_Configuration'!S9</f>
        <v>LIJ-SDF-MACH-H</v>
      </c>
      <c r="C9" s="30" t="str">
        <f>'12 - Device_Configuration'!T9</f>
        <v>A0F5097FEB57</v>
      </c>
      <c r="D9" s="17" t="str">
        <f>'12 - Device_Configuration'!AJ9</f>
        <v>2008T</v>
      </c>
      <c r="E9" s="17" t="str">
        <f>'12 - Device_Configuration'!J9</f>
        <v>NA</v>
      </c>
      <c r="F9" s="30" t="str">
        <f>'12 - Device_Configuration'!K9</f>
        <v>NA</v>
      </c>
      <c r="G9" s="17" t="str">
        <f>'12 - Device_Configuration'!L9</f>
        <v>NA</v>
      </c>
      <c r="H9" s="17">
        <f>'13 - Config_Intake_View'!M9</f>
        <v>0</v>
      </c>
      <c r="I9" s="30">
        <f>IF('13 - Config_Intake_View'!Q9&lt;&gt;"",'13 - Config_Intake_View'!Q9,'12 - Device_Configuration'!BH9)</f>
        <v>0</v>
      </c>
      <c r="J9" s="17" t="str">
        <f>IF('13 - Config_Intake_View'!Q9&lt;&gt;"","PM Approved",IF('12 - Device_Configuration'!BH9&lt;&gt;"","Assumed",""))</f>
        <v/>
      </c>
      <c r="K9" s="30" t="str">
        <f>'12 - Device_Configuration'!BG9</f>
        <v>Yes</v>
      </c>
      <c r="L9" s="17">
        <f>'12 - Device_Configuration'!P9</f>
        <v>0</v>
      </c>
      <c r="M9" s="17">
        <f>'12 - Device_Configuration'!Q9</f>
        <v>0</v>
      </c>
      <c r="N9" s="17" t="str">
        <f>'12 - Device_Configuration'!BK9</f>
        <v>Power Cable, Battery, Epic Beans Relay</v>
      </c>
      <c r="O9" s="30" t="str">
        <f>'12 - Device_Configuration'!BL9</f>
        <v>Blocked</v>
      </c>
      <c r="P9" s="2" t="str">
        <f>'12 - Device_Configuration'!BA9</f>
        <v>Yes</v>
      </c>
      <c r="Q9" s="30" t="str">
        <f t="shared" si="0"/>
        <v/>
      </c>
      <c r="R9" s="17" t="str">
        <f t="shared" si="1"/>
        <v/>
      </c>
      <c r="S9" s="17" t="str">
        <f t="shared" si="2"/>
        <v/>
      </c>
      <c r="T9" s="17" t="str">
        <f t="shared" si="3"/>
        <v>BLOCKED</v>
      </c>
    </row>
    <row r="10" spans="1:20">
      <c r="A10" s="30" t="str">
        <f>'12 - Device_Configuration'!H10</f>
        <v>LIJ SDF</v>
      </c>
      <c r="B10" s="30" t="str">
        <f>'12 - Device_Configuration'!S10</f>
        <v>LIJ-SDF-MACH-I</v>
      </c>
      <c r="C10" s="30" t="str">
        <f>'12 - Device_Configuration'!T10</f>
        <v>A0F5097FDF60</v>
      </c>
      <c r="D10" s="17" t="str">
        <f>'12 - Device_Configuration'!AJ10</f>
        <v>2008T</v>
      </c>
      <c r="E10" s="17" t="str">
        <f>'12 - Device_Configuration'!J10</f>
        <v>NA</v>
      </c>
      <c r="F10" s="30" t="str">
        <f>'12 - Device_Configuration'!K10</f>
        <v>NA</v>
      </c>
      <c r="G10" s="17" t="str">
        <f>'12 - Device_Configuration'!L10</f>
        <v>NA</v>
      </c>
      <c r="H10" s="17">
        <f>'13 - Config_Intake_View'!M10</f>
        <v>0</v>
      </c>
      <c r="I10" s="30">
        <f>IF('13 - Config_Intake_View'!Q10&lt;&gt;"",'13 - Config_Intake_View'!Q10,'12 - Device_Configuration'!BH10)</f>
        <v>0</v>
      </c>
      <c r="J10" s="17" t="str">
        <f>IF('13 - Config_Intake_View'!Q10&lt;&gt;"","PM Approved",IF('12 - Device_Configuration'!BH10&lt;&gt;"","Assumed",""))</f>
        <v/>
      </c>
      <c r="K10" s="30" t="str">
        <f>'12 - Device_Configuration'!BG10</f>
        <v>Yes</v>
      </c>
      <c r="L10" s="17">
        <f>'12 - Device_Configuration'!P10</f>
        <v>0</v>
      </c>
      <c r="M10" s="17">
        <f>'12 - Device_Configuration'!Q10</f>
        <v>0</v>
      </c>
      <c r="N10" s="17" t="str">
        <f>'12 - Device_Configuration'!BK10</f>
        <v>Power Cable, Battery, Epic Beans Relay</v>
      </c>
      <c r="O10" s="30" t="str">
        <f>'12 - Device_Configuration'!BL10</f>
        <v>Blocked</v>
      </c>
      <c r="P10" s="2" t="str">
        <f>'12 - Device_Configuration'!BA10</f>
        <v>Yes</v>
      </c>
      <c r="Q10" s="30" t="str">
        <f t="shared" si="0"/>
        <v/>
      </c>
      <c r="R10" s="17" t="str">
        <f t="shared" si="1"/>
        <v/>
      </c>
      <c r="S10" s="17" t="str">
        <f t="shared" si="2"/>
        <v/>
      </c>
      <c r="T10" s="17" t="str">
        <f t="shared" si="3"/>
        <v>BLOCKED</v>
      </c>
    </row>
    <row r="11" spans="1:20">
      <c r="A11" s="30" t="str">
        <f>'12 - Device_Configuration'!H11</f>
        <v>LIJ SDF</v>
      </c>
      <c r="B11" s="30" t="str">
        <f>'12 - Device_Configuration'!S11</f>
        <v>LIJ-SDF-MACH-J</v>
      </c>
      <c r="C11" s="30" t="str">
        <f>'12 - Device_Configuration'!T11</f>
        <v>A0F5097FF17E</v>
      </c>
      <c r="D11" s="17" t="str">
        <f>'12 - Device_Configuration'!AJ11</f>
        <v>2008T</v>
      </c>
      <c r="E11" s="17" t="str">
        <f>'12 - Device_Configuration'!J11</f>
        <v>NA</v>
      </c>
      <c r="F11" s="30" t="str">
        <f>'12 - Device_Configuration'!K11</f>
        <v>NA</v>
      </c>
      <c r="G11" s="17" t="str">
        <f>'12 - Device_Configuration'!L11</f>
        <v>NA</v>
      </c>
      <c r="H11" s="17">
        <f>'13 - Config_Intake_View'!M11</f>
        <v>0</v>
      </c>
      <c r="I11" s="30">
        <f>IF('13 - Config_Intake_View'!Q11&lt;&gt;"",'13 - Config_Intake_View'!Q11,'12 - Device_Configuration'!BH11)</f>
        <v>0</v>
      </c>
      <c r="J11" s="17" t="str">
        <f>IF('13 - Config_Intake_View'!Q11&lt;&gt;"","PM Approved",IF('12 - Device_Configuration'!BH11&lt;&gt;"","Assumed",""))</f>
        <v/>
      </c>
      <c r="K11" s="30" t="str">
        <f>'12 - Device_Configuration'!BG11</f>
        <v>Yes</v>
      </c>
      <c r="L11" s="17">
        <f>'12 - Device_Configuration'!P11</f>
        <v>0</v>
      </c>
      <c r="M11" s="17">
        <f>'12 - Device_Configuration'!Q11</f>
        <v>0</v>
      </c>
      <c r="N11" s="17" t="str">
        <f>'12 - Device_Configuration'!BK11</f>
        <v>Power Cable, Battery, Epic Beans Relay</v>
      </c>
      <c r="O11" s="30" t="str">
        <f>'12 - Device_Configuration'!BL11</f>
        <v>Blocked</v>
      </c>
      <c r="P11" s="2" t="str">
        <f>'12 - Device_Configuration'!BA11</f>
        <v>Yes</v>
      </c>
      <c r="Q11" s="30" t="str">
        <f t="shared" si="0"/>
        <v/>
      </c>
      <c r="R11" s="17" t="str">
        <f t="shared" si="1"/>
        <v/>
      </c>
      <c r="S11" s="17" t="str">
        <f t="shared" si="2"/>
        <v/>
      </c>
      <c r="T11" s="17" t="str">
        <f t="shared" si="3"/>
        <v>BLOCKED</v>
      </c>
    </row>
    <row r="12" spans="1:20">
      <c r="A12" s="30" t="str">
        <f>'12 - Device_Configuration'!H12</f>
        <v>LIJ SDF</v>
      </c>
      <c r="B12" s="30" t="str">
        <f>'12 - Device_Configuration'!S12</f>
        <v>LIJ-SDF-MACH-K</v>
      </c>
      <c r="C12" s="30" t="str">
        <f>'12 - Device_Configuration'!T12</f>
        <v>A0F5097FDE6F</v>
      </c>
      <c r="D12" s="17" t="str">
        <f>'12 - Device_Configuration'!AJ12</f>
        <v>2008T</v>
      </c>
      <c r="E12" s="17" t="str">
        <f>'12 - Device_Configuration'!J12</f>
        <v>NA</v>
      </c>
      <c r="F12" s="30" t="str">
        <f>'12 - Device_Configuration'!K12</f>
        <v>NA</v>
      </c>
      <c r="G12" s="17" t="str">
        <f>'12 - Device_Configuration'!L12</f>
        <v>NA</v>
      </c>
      <c r="H12" s="17">
        <f>'13 - Config_Intake_View'!M12</f>
        <v>0</v>
      </c>
      <c r="I12" s="30">
        <f>IF('13 - Config_Intake_View'!Q12&lt;&gt;"",'13 - Config_Intake_View'!Q12,'12 - Device_Configuration'!BH12)</f>
        <v>0</v>
      </c>
      <c r="J12" s="17" t="str">
        <f>IF('13 - Config_Intake_View'!Q12&lt;&gt;"","PM Approved",IF('12 - Device_Configuration'!BH12&lt;&gt;"","Assumed",""))</f>
        <v/>
      </c>
      <c r="K12" s="30" t="str">
        <f>'12 - Device_Configuration'!BG12</f>
        <v>Yes</v>
      </c>
      <c r="L12" s="17">
        <f>'12 - Device_Configuration'!P12</f>
        <v>0</v>
      </c>
      <c r="M12" s="17">
        <f>'12 - Device_Configuration'!Q12</f>
        <v>0</v>
      </c>
      <c r="N12" s="17" t="str">
        <f>'12 - Device_Configuration'!BK12</f>
        <v>Power Cable, Battery, Epic Beans Relay</v>
      </c>
      <c r="O12" s="30" t="str">
        <f>'12 - Device_Configuration'!BL12</f>
        <v>Blocked</v>
      </c>
      <c r="P12" s="2" t="str">
        <f>'12 - Device_Configuration'!BA12</f>
        <v>Yes</v>
      </c>
      <c r="Q12" s="30" t="str">
        <f t="shared" si="0"/>
        <v/>
      </c>
      <c r="R12" s="17" t="str">
        <f t="shared" si="1"/>
        <v/>
      </c>
      <c r="S12" s="17" t="str">
        <f t="shared" si="2"/>
        <v/>
      </c>
      <c r="T12" s="17" t="str">
        <f t="shared" si="3"/>
        <v>BLOCKED</v>
      </c>
    </row>
    <row r="13" spans="1:20">
      <c r="A13" s="30" t="str">
        <f>'12 - Device_Configuration'!H13</f>
        <v>LIJ SDF</v>
      </c>
      <c r="B13" s="30" t="str">
        <f>'12 - Device_Configuration'!S13</f>
        <v>LIJ-SDF-MACH-L</v>
      </c>
      <c r="C13" s="30" t="str">
        <f>'12 - Device_Configuration'!T13</f>
        <v>A0F5097FEFFB</v>
      </c>
      <c r="D13" s="17" t="str">
        <f>'12 - Device_Configuration'!AJ13</f>
        <v>2008T</v>
      </c>
      <c r="E13" s="17" t="str">
        <f>'12 - Device_Configuration'!J13</f>
        <v>NA</v>
      </c>
      <c r="F13" s="30" t="str">
        <f>'12 - Device_Configuration'!K13</f>
        <v>NA</v>
      </c>
      <c r="G13" s="17" t="str">
        <f>'12 - Device_Configuration'!L13</f>
        <v>NA</v>
      </c>
      <c r="H13" s="17">
        <f>'13 - Config_Intake_View'!M13</f>
        <v>0</v>
      </c>
      <c r="I13" s="30">
        <f>IF('13 - Config_Intake_View'!Q13&lt;&gt;"",'13 - Config_Intake_View'!Q13,'12 - Device_Configuration'!BH13)</f>
        <v>0</v>
      </c>
      <c r="J13" s="17" t="str">
        <f>IF('13 - Config_Intake_View'!Q13&lt;&gt;"","PM Approved",IF('12 - Device_Configuration'!BH13&lt;&gt;"","Assumed",""))</f>
        <v/>
      </c>
      <c r="K13" s="30" t="str">
        <f>'12 - Device_Configuration'!BG13</f>
        <v>Yes</v>
      </c>
      <c r="L13" s="17">
        <f>'12 - Device_Configuration'!P13</f>
        <v>0</v>
      </c>
      <c r="M13" s="17">
        <f>'12 - Device_Configuration'!Q13</f>
        <v>0</v>
      </c>
      <c r="N13" s="17" t="str">
        <f>'12 - Device_Configuration'!BK13</f>
        <v>Power Cable, Battery, Epic Beans Relay</v>
      </c>
      <c r="O13" s="30" t="str">
        <f>'12 - Device_Configuration'!BL13</f>
        <v>Blocked</v>
      </c>
      <c r="P13" s="2" t="str">
        <f>'12 - Device_Configuration'!BA13</f>
        <v>Yes</v>
      </c>
      <c r="Q13" s="30" t="str">
        <f t="shared" si="0"/>
        <v/>
      </c>
      <c r="R13" s="17" t="str">
        <f t="shared" si="1"/>
        <v/>
      </c>
      <c r="S13" s="17" t="str">
        <f t="shared" si="2"/>
        <v/>
      </c>
      <c r="T13" s="17" t="str">
        <f t="shared" si="3"/>
        <v>BLOCKED</v>
      </c>
    </row>
    <row r="14" spans="1:20">
      <c r="A14" s="30" t="str">
        <f>'12 - Device_Configuration'!H14</f>
        <v>LIJ SDF</v>
      </c>
      <c r="B14" s="30" t="str">
        <f>'12 - Device_Configuration'!S14</f>
        <v>LIJ-SDF-MACH-M</v>
      </c>
      <c r="C14" s="30" t="str">
        <f>'12 - Device_Configuration'!T14</f>
        <v>A0F5097FEF3A</v>
      </c>
      <c r="D14" s="17" t="str">
        <f>'12 - Device_Configuration'!AJ14</f>
        <v>2008T</v>
      </c>
      <c r="E14" s="17" t="str">
        <f>'12 - Device_Configuration'!J14</f>
        <v>NA</v>
      </c>
      <c r="F14" s="30" t="str">
        <f>'12 - Device_Configuration'!K14</f>
        <v>NA</v>
      </c>
      <c r="G14" s="17" t="str">
        <f>'12 - Device_Configuration'!L14</f>
        <v>NA</v>
      </c>
      <c r="H14" s="17">
        <f>'13 - Config_Intake_View'!M14</f>
        <v>0</v>
      </c>
      <c r="I14" s="30">
        <f>IF('13 - Config_Intake_View'!Q14&lt;&gt;"",'13 - Config_Intake_View'!Q14,'12 - Device_Configuration'!BH14)</f>
        <v>0</v>
      </c>
      <c r="J14" s="17" t="str">
        <f>IF('13 - Config_Intake_View'!Q14&lt;&gt;"","PM Approved",IF('12 - Device_Configuration'!BH14&lt;&gt;"","Assumed",""))</f>
        <v/>
      </c>
      <c r="K14" s="30" t="str">
        <f>'12 - Device_Configuration'!BG14</f>
        <v>Yes</v>
      </c>
      <c r="L14" s="17">
        <f>'12 - Device_Configuration'!P14</f>
        <v>0</v>
      </c>
      <c r="M14" s="17">
        <f>'12 - Device_Configuration'!Q14</f>
        <v>0</v>
      </c>
      <c r="N14" s="17" t="str">
        <f>'12 - Device_Configuration'!BK14</f>
        <v>Power Cable, Battery, Epic Beans Relay</v>
      </c>
      <c r="O14" s="30" t="str">
        <f>'12 - Device_Configuration'!BL14</f>
        <v>Blocked</v>
      </c>
      <c r="P14" s="2" t="str">
        <f>'12 - Device_Configuration'!BA14</f>
        <v>Yes</v>
      </c>
      <c r="Q14" s="30" t="str">
        <f t="shared" si="0"/>
        <v/>
      </c>
      <c r="R14" s="17" t="str">
        <f t="shared" si="1"/>
        <v/>
      </c>
      <c r="S14" s="17" t="str">
        <f t="shared" si="2"/>
        <v/>
      </c>
      <c r="T14" s="17" t="str">
        <f t="shared" si="3"/>
        <v>BLOCKED</v>
      </c>
    </row>
    <row r="15" spans="1:20">
      <c r="A15" s="30" t="str">
        <f>'12 - Device_Configuration'!H15</f>
        <v>LIJ SDF</v>
      </c>
      <c r="B15" s="30" t="str">
        <f>'12 - Device_Configuration'!S15</f>
        <v>LIJ-SDF-MACH-N</v>
      </c>
      <c r="C15" s="30" t="str">
        <f>'12 - Device_Configuration'!T15</f>
        <v>A0F5097B98D9</v>
      </c>
      <c r="D15" s="17" t="str">
        <f>'12 - Device_Configuration'!AJ15</f>
        <v>2008T</v>
      </c>
      <c r="E15" s="17" t="str">
        <f>'12 - Device_Configuration'!J15</f>
        <v>NA</v>
      </c>
      <c r="F15" s="30" t="str">
        <f>'12 - Device_Configuration'!K15</f>
        <v>NA</v>
      </c>
      <c r="G15" s="17" t="str">
        <f>'12 - Device_Configuration'!L15</f>
        <v>NA</v>
      </c>
      <c r="H15" s="17">
        <f>'13 - Config_Intake_View'!M15</f>
        <v>0</v>
      </c>
      <c r="I15" s="30">
        <f>IF('13 - Config_Intake_View'!Q15&lt;&gt;"",'13 - Config_Intake_View'!Q15,'12 - Device_Configuration'!BH15)</f>
        <v>0</v>
      </c>
      <c r="J15" s="17" t="str">
        <f>IF('13 - Config_Intake_View'!Q15&lt;&gt;"","PM Approved",IF('12 - Device_Configuration'!BH15&lt;&gt;"","Assumed",""))</f>
        <v/>
      </c>
      <c r="K15" s="30" t="str">
        <f>'12 - Device_Configuration'!BG15</f>
        <v>Yes</v>
      </c>
      <c r="L15" s="17">
        <f>'12 - Device_Configuration'!P15</f>
        <v>0</v>
      </c>
      <c r="M15" s="17">
        <f>'12 - Device_Configuration'!Q15</f>
        <v>0</v>
      </c>
      <c r="N15" s="17" t="str">
        <f>'12 - Device_Configuration'!BK15</f>
        <v>Power Cable, Battery, Epic Beans Relay</v>
      </c>
      <c r="O15" s="30" t="str">
        <f>'12 - Device_Configuration'!BL15</f>
        <v>Blocked</v>
      </c>
      <c r="P15" s="2" t="str">
        <f>'12 - Device_Configuration'!BA15</f>
        <v>Yes</v>
      </c>
      <c r="Q15" s="30" t="str">
        <f t="shared" si="0"/>
        <v/>
      </c>
      <c r="R15" s="17" t="str">
        <f t="shared" si="1"/>
        <v/>
      </c>
      <c r="S15" s="17" t="str">
        <f t="shared" si="2"/>
        <v/>
      </c>
      <c r="T15" s="17" t="str">
        <f t="shared" si="3"/>
        <v>BLOCKED</v>
      </c>
    </row>
    <row r="16" spans="1:20">
      <c r="A16" s="30" t="str">
        <f>'12 - Device_Configuration'!H16</f>
        <v>LIJ SDF</v>
      </c>
      <c r="B16" s="30" t="str">
        <f>'12 - Device_Configuration'!S16</f>
        <v>LIJ-SDF-MACH-O</v>
      </c>
      <c r="C16" s="30" t="str">
        <f>'12 - Device_Configuration'!T16</f>
        <v>A0F5097BA0A3</v>
      </c>
      <c r="D16" s="17" t="str">
        <f>'12 - Device_Configuration'!AJ16</f>
        <v>2008T</v>
      </c>
      <c r="E16" s="17" t="str">
        <f>'12 - Device_Configuration'!J16</f>
        <v>NA</v>
      </c>
      <c r="F16" s="30" t="str">
        <f>'12 - Device_Configuration'!K16</f>
        <v>NA</v>
      </c>
      <c r="G16" s="17" t="str">
        <f>'12 - Device_Configuration'!L16</f>
        <v>NA</v>
      </c>
      <c r="H16" s="17">
        <f>'13 - Config_Intake_View'!M16</f>
        <v>0</v>
      </c>
      <c r="I16" s="30">
        <f>IF('13 - Config_Intake_View'!Q16&lt;&gt;"",'13 - Config_Intake_View'!Q16,'12 - Device_Configuration'!BH16)</f>
        <v>0</v>
      </c>
      <c r="J16" s="17" t="str">
        <f>IF('13 - Config_Intake_View'!Q16&lt;&gt;"","PM Approved",IF('12 - Device_Configuration'!BH16&lt;&gt;"","Assumed",""))</f>
        <v/>
      </c>
      <c r="K16" s="30" t="str">
        <f>'12 - Device_Configuration'!BG16</f>
        <v>Yes</v>
      </c>
      <c r="L16" s="17">
        <f>'12 - Device_Configuration'!P16</f>
        <v>0</v>
      </c>
      <c r="M16" s="17">
        <f>'12 - Device_Configuration'!Q16</f>
        <v>0</v>
      </c>
      <c r="N16" s="17" t="str">
        <f>'12 - Device_Configuration'!BK16</f>
        <v>Power Cable, Battery, Epic Beans Relay</v>
      </c>
      <c r="O16" s="30" t="str">
        <f>'12 - Device_Configuration'!BL16</f>
        <v>Blocked</v>
      </c>
      <c r="P16" s="2" t="str">
        <f>'12 - Device_Configuration'!BA16</f>
        <v>Yes</v>
      </c>
      <c r="Q16" s="30" t="str">
        <f t="shared" si="0"/>
        <v/>
      </c>
      <c r="R16" s="17" t="str">
        <f t="shared" si="1"/>
        <v/>
      </c>
      <c r="S16" s="17" t="str">
        <f t="shared" si="2"/>
        <v/>
      </c>
      <c r="T16" s="17" t="str">
        <f t="shared" si="3"/>
        <v>BLOCKED</v>
      </c>
    </row>
    <row r="17" spans="1:20">
      <c r="A17" s="30" t="str">
        <f>'12 - Device_Configuration'!H17</f>
        <v>LIJ SDF</v>
      </c>
      <c r="B17" s="30" t="str">
        <f>'12 - Device_Configuration'!S17</f>
        <v>LIJ-SDF-MACH-P</v>
      </c>
      <c r="C17" s="30" t="str">
        <f>'12 - Device_Configuration'!T17</f>
        <v>A0F5097FE29D</v>
      </c>
      <c r="D17" s="17" t="str">
        <f>'12 - Device_Configuration'!AJ17</f>
        <v>2008T</v>
      </c>
      <c r="E17" s="17" t="str">
        <f>'12 - Device_Configuration'!J17</f>
        <v>NA</v>
      </c>
      <c r="F17" s="30" t="str">
        <f>'12 - Device_Configuration'!K17</f>
        <v>NA</v>
      </c>
      <c r="G17" s="17" t="str">
        <f>'12 - Device_Configuration'!L17</f>
        <v>NA</v>
      </c>
      <c r="H17" s="17">
        <f>'13 - Config_Intake_View'!M17</f>
        <v>0</v>
      </c>
      <c r="I17" s="30">
        <f>IF('13 - Config_Intake_View'!Q17&lt;&gt;"",'13 - Config_Intake_View'!Q17,'12 - Device_Configuration'!BH17)</f>
        <v>0</v>
      </c>
      <c r="J17" s="17" t="str">
        <f>IF('13 - Config_Intake_View'!Q17&lt;&gt;"","PM Approved",IF('12 - Device_Configuration'!BH17&lt;&gt;"","Assumed",""))</f>
        <v/>
      </c>
      <c r="K17" s="30" t="str">
        <f>'12 - Device_Configuration'!BG17</f>
        <v>Yes</v>
      </c>
      <c r="L17" s="17">
        <f>'12 - Device_Configuration'!P17</f>
        <v>0</v>
      </c>
      <c r="M17" s="17">
        <f>'12 - Device_Configuration'!Q17</f>
        <v>0</v>
      </c>
      <c r="N17" s="17" t="str">
        <f>'12 - Device_Configuration'!BK17</f>
        <v>Power Cable, Battery, Epic Beans Relay</v>
      </c>
      <c r="O17" s="30" t="str">
        <f>'12 - Device_Configuration'!BL17</f>
        <v>Blocked</v>
      </c>
      <c r="P17" s="2" t="str">
        <f>'12 - Device_Configuration'!BA17</f>
        <v>Yes</v>
      </c>
      <c r="Q17" s="30" t="str">
        <f t="shared" si="0"/>
        <v/>
      </c>
      <c r="R17" s="17" t="str">
        <f t="shared" si="1"/>
        <v/>
      </c>
      <c r="S17" s="17" t="str">
        <f t="shared" si="2"/>
        <v/>
      </c>
      <c r="T17" s="17" t="str">
        <f t="shared" si="3"/>
        <v>BLOCKED</v>
      </c>
    </row>
    <row r="18" spans="1:20">
      <c r="A18" s="30" t="str">
        <f>'12 - Device_Configuration'!H18</f>
        <v>LIJ SDF</v>
      </c>
      <c r="B18" s="30" t="str">
        <f>'12 - Device_Configuration'!S18</f>
        <v>LIJ-SDF-MACH-Q</v>
      </c>
      <c r="C18" s="30" t="str">
        <f>'12 - Device_Configuration'!T18</f>
        <v>A0F5097FDF52</v>
      </c>
      <c r="D18" s="17" t="str">
        <f>'12 - Device_Configuration'!AJ18</f>
        <v>2008T</v>
      </c>
      <c r="E18" s="17" t="str">
        <f>'12 - Device_Configuration'!J18</f>
        <v>NA</v>
      </c>
      <c r="F18" s="30" t="str">
        <f>'12 - Device_Configuration'!K18</f>
        <v>NA</v>
      </c>
      <c r="G18" s="17" t="str">
        <f>'12 - Device_Configuration'!L18</f>
        <v>NA</v>
      </c>
      <c r="H18" s="17">
        <f>'13 - Config_Intake_View'!M18</f>
        <v>0</v>
      </c>
      <c r="I18" s="30">
        <f>IF('13 - Config_Intake_View'!Q18&lt;&gt;"",'13 - Config_Intake_View'!Q18,'12 - Device_Configuration'!BH18)</f>
        <v>0</v>
      </c>
      <c r="J18" s="17" t="str">
        <f>IF('13 - Config_Intake_View'!Q18&lt;&gt;"","PM Approved",IF('12 - Device_Configuration'!BH18&lt;&gt;"","Assumed",""))</f>
        <v/>
      </c>
      <c r="K18" s="30" t="str">
        <f>'12 - Device_Configuration'!BG18</f>
        <v>Yes</v>
      </c>
      <c r="L18" s="17">
        <f>'12 - Device_Configuration'!P18</f>
        <v>0</v>
      </c>
      <c r="M18" s="17">
        <f>'12 - Device_Configuration'!Q18</f>
        <v>0</v>
      </c>
      <c r="N18" s="17" t="str">
        <f>'12 - Device_Configuration'!BK18</f>
        <v>Power Cable, Battery, Epic Beans Relay</v>
      </c>
      <c r="O18" s="30" t="str">
        <f>'12 - Device_Configuration'!BL18</f>
        <v>Blocked</v>
      </c>
      <c r="P18" s="2" t="str">
        <f>'12 - Device_Configuration'!BA18</f>
        <v>Yes</v>
      </c>
      <c r="Q18" s="30" t="str">
        <f t="shared" si="0"/>
        <v/>
      </c>
      <c r="R18" s="17" t="str">
        <f t="shared" si="1"/>
        <v/>
      </c>
      <c r="S18" s="17" t="str">
        <f t="shared" si="2"/>
        <v/>
      </c>
      <c r="T18" s="17" t="str">
        <f t="shared" si="3"/>
        <v>BLOCKED</v>
      </c>
    </row>
    <row r="19" spans="1:20">
      <c r="A19" s="30" t="str">
        <f>'12 - Device_Configuration'!H19</f>
        <v>LIJ SDF</v>
      </c>
      <c r="B19" s="30" t="str">
        <f>'12 - Device_Configuration'!S19</f>
        <v>LIJ-SDF-MACH-R</v>
      </c>
      <c r="C19" s="30" t="str">
        <f>'12 - Device_Configuration'!T19</f>
        <v>A0F5097B99F8</v>
      </c>
      <c r="D19" s="17" t="str">
        <f>'12 - Device_Configuration'!AJ19</f>
        <v>2008T</v>
      </c>
      <c r="E19" s="17" t="str">
        <f>'12 - Device_Configuration'!J19</f>
        <v>NA</v>
      </c>
      <c r="F19" s="30" t="str">
        <f>'12 - Device_Configuration'!K19</f>
        <v>NA</v>
      </c>
      <c r="G19" s="17" t="str">
        <f>'12 - Device_Configuration'!L19</f>
        <v>NA</v>
      </c>
      <c r="H19" s="17">
        <f>'13 - Config_Intake_View'!M19</f>
        <v>0</v>
      </c>
      <c r="I19" s="30">
        <f>IF('13 - Config_Intake_View'!Q19&lt;&gt;"",'13 - Config_Intake_View'!Q19,'12 - Device_Configuration'!BH19)</f>
        <v>0</v>
      </c>
      <c r="J19" s="17" t="str">
        <f>IF('13 - Config_Intake_View'!Q19&lt;&gt;"","PM Approved",IF('12 - Device_Configuration'!BH19&lt;&gt;"","Assumed",""))</f>
        <v/>
      </c>
      <c r="K19" s="30" t="str">
        <f>'12 - Device_Configuration'!BG19</f>
        <v>Yes</v>
      </c>
      <c r="L19" s="17">
        <f>'12 - Device_Configuration'!P19</f>
        <v>0</v>
      </c>
      <c r="M19" s="17">
        <f>'12 - Device_Configuration'!Q19</f>
        <v>0</v>
      </c>
      <c r="N19" s="17" t="str">
        <f>'12 - Device_Configuration'!BK19</f>
        <v>Power Cable, Battery, Epic Beans Relay</v>
      </c>
      <c r="O19" s="30" t="str">
        <f>'12 - Device_Configuration'!BL19</f>
        <v>Blocked</v>
      </c>
      <c r="P19" s="2" t="str">
        <f>'12 - Device_Configuration'!BA19</f>
        <v>Yes</v>
      </c>
      <c r="Q19" s="30" t="str">
        <f t="shared" si="0"/>
        <v/>
      </c>
      <c r="R19" s="17" t="str">
        <f t="shared" si="1"/>
        <v/>
      </c>
      <c r="S19" s="17" t="str">
        <f t="shared" si="2"/>
        <v/>
      </c>
      <c r="T19" s="17" t="str">
        <f t="shared" si="3"/>
        <v>BLOCKED</v>
      </c>
    </row>
    <row r="20" spans="1:20">
      <c r="A20" s="30" t="str">
        <f>'12 - Device_Configuration'!H20</f>
        <v>LIJ SDF</v>
      </c>
      <c r="B20" s="30" t="str">
        <f>'12 - Device_Configuration'!S20</f>
        <v>LIJ-SDF-MACH-S</v>
      </c>
      <c r="C20" s="30" t="str">
        <f>'12 - Device_Configuration'!T20</f>
        <v>A0F5097B975D</v>
      </c>
      <c r="D20" s="17" t="str">
        <f>'12 - Device_Configuration'!AJ20</f>
        <v>2008T</v>
      </c>
      <c r="E20" s="17" t="str">
        <f>'12 - Device_Configuration'!J20</f>
        <v>NA</v>
      </c>
      <c r="F20" s="30" t="str">
        <f>'12 - Device_Configuration'!K20</f>
        <v>NA</v>
      </c>
      <c r="G20" s="17" t="str">
        <f>'12 - Device_Configuration'!L20</f>
        <v>NA</v>
      </c>
      <c r="H20" s="17">
        <f>'13 - Config_Intake_View'!M20</f>
        <v>0</v>
      </c>
      <c r="I20" s="30">
        <f>IF('13 - Config_Intake_View'!Q20&lt;&gt;"",'13 - Config_Intake_View'!Q20,'12 - Device_Configuration'!BH20)</f>
        <v>0</v>
      </c>
      <c r="J20" s="17" t="str">
        <f>IF('13 - Config_Intake_View'!Q20&lt;&gt;"","PM Approved",IF('12 - Device_Configuration'!BH20&lt;&gt;"","Assumed",""))</f>
        <v/>
      </c>
      <c r="K20" s="30" t="str">
        <f>'12 - Device_Configuration'!BG20</f>
        <v>Yes</v>
      </c>
      <c r="L20" s="17">
        <f>'12 - Device_Configuration'!P20</f>
        <v>0</v>
      </c>
      <c r="M20" s="17">
        <f>'12 - Device_Configuration'!Q20</f>
        <v>0</v>
      </c>
      <c r="N20" s="17" t="str">
        <f>'12 - Device_Configuration'!BK20</f>
        <v>Power Cable, Battery, Epic Beans Relay</v>
      </c>
      <c r="O20" s="30" t="str">
        <f>'12 - Device_Configuration'!BL20</f>
        <v>Blocked</v>
      </c>
      <c r="P20" s="2" t="str">
        <f>'12 - Device_Configuration'!BA20</f>
        <v>Yes</v>
      </c>
      <c r="Q20" s="30" t="str">
        <f t="shared" si="0"/>
        <v/>
      </c>
      <c r="R20" s="17" t="str">
        <f t="shared" si="1"/>
        <v/>
      </c>
      <c r="S20" s="17" t="str">
        <f t="shared" si="2"/>
        <v/>
      </c>
      <c r="T20" s="17" t="str">
        <f t="shared" si="3"/>
        <v>BLOCKED</v>
      </c>
    </row>
    <row r="21" spans="1:20">
      <c r="A21" s="30" t="str">
        <f>'12 - Device_Configuration'!H21</f>
        <v>LIJ SDF</v>
      </c>
      <c r="B21" s="30" t="str">
        <f>'12 - Device_Configuration'!S21</f>
        <v>LIJ-SDF-MACH-T</v>
      </c>
      <c r="C21" s="30" t="str">
        <f>'12 - Device_Configuration'!T21</f>
        <v>A0F5097BA007</v>
      </c>
      <c r="D21" s="17" t="str">
        <f>'12 - Device_Configuration'!AJ21</f>
        <v>2008T</v>
      </c>
      <c r="E21" s="17" t="str">
        <f>'12 - Device_Configuration'!J21</f>
        <v>NA</v>
      </c>
      <c r="F21" s="30" t="str">
        <f>'12 - Device_Configuration'!K21</f>
        <v>NA</v>
      </c>
      <c r="G21" s="17" t="str">
        <f>'12 - Device_Configuration'!L21</f>
        <v>NA</v>
      </c>
      <c r="H21" s="17">
        <f>'13 - Config_Intake_View'!M21</f>
        <v>0</v>
      </c>
      <c r="I21" s="30">
        <f>IF('13 - Config_Intake_View'!Q21&lt;&gt;"",'13 - Config_Intake_View'!Q21,'12 - Device_Configuration'!BH21)</f>
        <v>0</v>
      </c>
      <c r="J21" s="17" t="str">
        <f>IF('13 - Config_Intake_View'!Q21&lt;&gt;"","PM Approved",IF('12 - Device_Configuration'!BH21&lt;&gt;"","Assumed",""))</f>
        <v/>
      </c>
      <c r="K21" s="30" t="str">
        <f>'12 - Device_Configuration'!BG21</f>
        <v>Yes</v>
      </c>
      <c r="L21" s="17">
        <f>'12 - Device_Configuration'!P21</f>
        <v>0</v>
      </c>
      <c r="M21" s="17">
        <f>'12 - Device_Configuration'!Q21</f>
        <v>0</v>
      </c>
      <c r="N21" s="17" t="str">
        <f>'12 - Device_Configuration'!BK21</f>
        <v>Power Cable, Battery, Epic Beans Relay</v>
      </c>
      <c r="O21" s="30" t="str">
        <f>'12 - Device_Configuration'!BL21</f>
        <v>Blocked</v>
      </c>
      <c r="P21" s="2" t="str">
        <f>'12 - Device_Configuration'!BA21</f>
        <v>Yes</v>
      </c>
      <c r="Q21" s="30" t="str">
        <f t="shared" si="0"/>
        <v/>
      </c>
      <c r="R21" s="17" t="str">
        <f t="shared" si="1"/>
        <v/>
      </c>
      <c r="S21" s="17" t="str">
        <f t="shared" si="2"/>
        <v/>
      </c>
      <c r="T21" s="17" t="str">
        <f t="shared" si="3"/>
        <v>BLOCKED</v>
      </c>
    </row>
    <row r="22" spans="1:20">
      <c r="A22" s="30" t="str">
        <f>'12 - Device_Configuration'!H22</f>
        <v>LIJ SDF</v>
      </c>
      <c r="B22" s="30" t="str">
        <f>'12 - Device_Configuration'!S22</f>
        <v>LIJ-SDF-MACH-U</v>
      </c>
      <c r="C22" s="30" t="str">
        <f>'12 - Device_Configuration'!T22</f>
        <v>A0F5097B9629</v>
      </c>
      <c r="D22" s="17" t="str">
        <f>'12 - Device_Configuration'!AJ22</f>
        <v>2008T</v>
      </c>
      <c r="E22" s="17" t="str">
        <f>'12 - Device_Configuration'!J22</f>
        <v>NA</v>
      </c>
      <c r="F22" s="30" t="str">
        <f>'12 - Device_Configuration'!K22</f>
        <v>NA</v>
      </c>
      <c r="G22" s="17" t="str">
        <f>'12 - Device_Configuration'!L22</f>
        <v>NA</v>
      </c>
      <c r="H22" s="17">
        <f>'13 - Config_Intake_View'!M22</f>
        <v>0</v>
      </c>
      <c r="I22" s="30">
        <f>IF('13 - Config_Intake_View'!Q22&lt;&gt;"",'13 - Config_Intake_View'!Q22,'12 - Device_Configuration'!BH22)</f>
        <v>0</v>
      </c>
      <c r="J22" s="17" t="str">
        <f>IF('13 - Config_Intake_View'!Q22&lt;&gt;"","PM Approved",IF('12 - Device_Configuration'!BH22&lt;&gt;"","Assumed",""))</f>
        <v/>
      </c>
      <c r="K22" s="30" t="str">
        <f>'12 - Device_Configuration'!BG22</f>
        <v>Yes</v>
      </c>
      <c r="L22" s="17">
        <f>'12 - Device_Configuration'!P22</f>
        <v>0</v>
      </c>
      <c r="M22" s="17">
        <f>'12 - Device_Configuration'!Q22</f>
        <v>0</v>
      </c>
      <c r="N22" s="17" t="str">
        <f>'12 - Device_Configuration'!BK22</f>
        <v>Power Cable, Battery, Epic Beans Relay</v>
      </c>
      <c r="O22" s="30" t="str">
        <f>'12 - Device_Configuration'!BL22</f>
        <v>Blocked</v>
      </c>
      <c r="P22" s="2" t="str">
        <f>'12 - Device_Configuration'!BA22</f>
        <v>Yes</v>
      </c>
      <c r="Q22" s="30" t="str">
        <f t="shared" si="0"/>
        <v/>
      </c>
      <c r="R22" s="17" t="str">
        <f t="shared" si="1"/>
        <v/>
      </c>
      <c r="S22" s="17" t="str">
        <f t="shared" si="2"/>
        <v/>
      </c>
      <c r="T22" s="17" t="str">
        <f t="shared" si="3"/>
        <v>BLOCKED</v>
      </c>
    </row>
    <row r="23" spans="1:20">
      <c r="A23" s="30" t="str">
        <f>'12 - Device_Configuration'!H23</f>
        <v>LIJ SDF</v>
      </c>
      <c r="B23" s="30" t="str">
        <f>'12 - Device_Configuration'!S23</f>
        <v>LIJ-SDF-MACH-V</v>
      </c>
      <c r="C23" s="30" t="str">
        <f>'12 - Device_Configuration'!T23</f>
        <v>A0F5097B9C84</v>
      </c>
      <c r="D23" s="17" t="str">
        <f>'12 - Device_Configuration'!AJ23</f>
        <v>2008T</v>
      </c>
      <c r="E23" s="17" t="str">
        <f>'12 - Device_Configuration'!J23</f>
        <v>NA</v>
      </c>
      <c r="F23" s="30" t="str">
        <f>'12 - Device_Configuration'!K23</f>
        <v>NA</v>
      </c>
      <c r="G23" s="17" t="str">
        <f>'12 - Device_Configuration'!L23</f>
        <v>NA</v>
      </c>
      <c r="H23" s="17">
        <f>'13 - Config_Intake_View'!M23</f>
        <v>0</v>
      </c>
      <c r="I23" s="30">
        <f>IF('13 - Config_Intake_View'!Q23&lt;&gt;"",'13 - Config_Intake_View'!Q23,'12 - Device_Configuration'!BH23)</f>
        <v>0</v>
      </c>
      <c r="J23" s="17" t="str">
        <f>IF('13 - Config_Intake_View'!Q23&lt;&gt;"","PM Approved",IF('12 - Device_Configuration'!BH23&lt;&gt;"","Assumed",""))</f>
        <v/>
      </c>
      <c r="K23" s="30" t="str">
        <f>'12 - Device_Configuration'!BG23</f>
        <v>Yes</v>
      </c>
      <c r="L23" s="17">
        <f>'12 - Device_Configuration'!P23</f>
        <v>0</v>
      </c>
      <c r="M23" s="17">
        <f>'12 - Device_Configuration'!Q23</f>
        <v>0</v>
      </c>
      <c r="N23" s="17" t="str">
        <f>'12 - Device_Configuration'!BK23</f>
        <v>Power Cable, Battery, Epic Beans Relay</v>
      </c>
      <c r="O23" s="30" t="str">
        <f>'12 - Device_Configuration'!BL23</f>
        <v>Blocked</v>
      </c>
      <c r="P23" s="2" t="str">
        <f>'12 - Device_Configuration'!BA23</f>
        <v>Yes</v>
      </c>
      <c r="Q23" s="30" t="str">
        <f t="shared" si="0"/>
        <v/>
      </c>
      <c r="R23" s="17" t="str">
        <f t="shared" si="1"/>
        <v/>
      </c>
      <c r="S23" s="17" t="str">
        <f t="shared" si="2"/>
        <v/>
      </c>
      <c r="T23" s="17" t="str">
        <f t="shared" si="3"/>
        <v>BLOCKED</v>
      </c>
    </row>
    <row r="24" spans="1:20">
      <c r="A24" s="30" t="str">
        <f>'12 - Device_Configuration'!H24</f>
        <v>LIJ SDF</v>
      </c>
      <c r="B24" s="30" t="str">
        <f>'12 - Device_Configuration'!S24</f>
        <v>LIJ-SDF-MACH-W</v>
      </c>
      <c r="C24" s="30" t="str">
        <f>'12 - Device_Configuration'!T24</f>
        <v>A0F5097FDD3F</v>
      </c>
      <c r="D24" s="17" t="str">
        <f>'12 - Device_Configuration'!AJ24</f>
        <v>2008T</v>
      </c>
      <c r="E24" s="17" t="str">
        <f>'12 - Device_Configuration'!J24</f>
        <v>NA</v>
      </c>
      <c r="F24" s="30" t="str">
        <f>'12 - Device_Configuration'!K24</f>
        <v>NA</v>
      </c>
      <c r="G24" s="17" t="str">
        <f>'12 - Device_Configuration'!L24</f>
        <v>NA</v>
      </c>
      <c r="H24" s="17">
        <f>'13 - Config_Intake_View'!M24</f>
        <v>0</v>
      </c>
      <c r="I24" s="30">
        <f>IF('13 - Config_Intake_View'!Q24&lt;&gt;"",'13 - Config_Intake_View'!Q24,'12 - Device_Configuration'!BH24)</f>
        <v>0</v>
      </c>
      <c r="J24" s="17" t="str">
        <f>IF('13 - Config_Intake_View'!Q24&lt;&gt;"","PM Approved",IF('12 - Device_Configuration'!BH24&lt;&gt;"","Assumed",""))</f>
        <v/>
      </c>
      <c r="K24" s="30" t="str">
        <f>'12 - Device_Configuration'!BG24</f>
        <v>Yes</v>
      </c>
      <c r="L24" s="17">
        <f>'12 - Device_Configuration'!P24</f>
        <v>0</v>
      </c>
      <c r="M24" s="17">
        <f>'12 - Device_Configuration'!Q24</f>
        <v>0</v>
      </c>
      <c r="N24" s="17" t="str">
        <f>'12 - Device_Configuration'!BK24</f>
        <v>Power Cable, Battery, Epic Beans Relay</v>
      </c>
      <c r="O24" s="30" t="str">
        <f>'12 - Device_Configuration'!BL24</f>
        <v>Blocked</v>
      </c>
      <c r="P24" s="2" t="str">
        <f>'12 - Device_Configuration'!BA24</f>
        <v>Yes</v>
      </c>
      <c r="Q24" s="30" t="str">
        <f t="shared" si="0"/>
        <v/>
      </c>
      <c r="R24" s="17" t="str">
        <f t="shared" si="1"/>
        <v/>
      </c>
      <c r="S24" s="17" t="str">
        <f t="shared" si="2"/>
        <v/>
      </c>
      <c r="T24" s="17" t="str">
        <f t="shared" si="3"/>
        <v>BLOCKED</v>
      </c>
    </row>
    <row r="25" spans="1:20">
      <c r="A25" s="30" t="str">
        <f>'12 - Device_Configuration'!H25</f>
        <v>LIJ SDF</v>
      </c>
      <c r="B25" s="30" t="str">
        <f>'12 - Device_Configuration'!S25</f>
        <v>LIJ-SDF-MACH-X</v>
      </c>
      <c r="C25" s="30" t="str">
        <f>'12 - Device_Configuration'!T25</f>
        <v>A0F5097FEBFE</v>
      </c>
      <c r="D25" s="17" t="str">
        <f>'12 - Device_Configuration'!AJ25</f>
        <v>2008T</v>
      </c>
      <c r="E25" s="17" t="str">
        <f>'12 - Device_Configuration'!J25</f>
        <v>NA</v>
      </c>
      <c r="F25" s="30" t="str">
        <f>'12 - Device_Configuration'!K25</f>
        <v>NA</v>
      </c>
      <c r="G25" s="17" t="str">
        <f>'12 - Device_Configuration'!L25</f>
        <v>NA</v>
      </c>
      <c r="H25" s="17">
        <f>'13 - Config_Intake_View'!M25</f>
        <v>0</v>
      </c>
      <c r="I25" s="30">
        <f>IF('13 - Config_Intake_View'!Q25&lt;&gt;"",'13 - Config_Intake_View'!Q25,'12 - Device_Configuration'!BH25)</f>
        <v>0</v>
      </c>
      <c r="J25" s="17" t="str">
        <f>IF('13 - Config_Intake_View'!Q25&lt;&gt;"","PM Approved",IF('12 - Device_Configuration'!BH25&lt;&gt;"","Assumed",""))</f>
        <v/>
      </c>
      <c r="K25" s="30" t="str">
        <f>'12 - Device_Configuration'!BG25</f>
        <v>Yes</v>
      </c>
      <c r="L25" s="17">
        <f>'12 - Device_Configuration'!P25</f>
        <v>0</v>
      </c>
      <c r="M25" s="17">
        <f>'12 - Device_Configuration'!Q25</f>
        <v>0</v>
      </c>
      <c r="N25" s="17" t="str">
        <f>'12 - Device_Configuration'!BK25</f>
        <v>Power Cable, Battery, Epic Beans Relay</v>
      </c>
      <c r="O25" s="30" t="str">
        <f>'12 - Device_Configuration'!BL25</f>
        <v>Blocked</v>
      </c>
      <c r="P25" s="2" t="str">
        <f>'12 - Device_Configuration'!BA25</f>
        <v>Yes</v>
      </c>
      <c r="Q25" s="30" t="str">
        <f t="shared" si="0"/>
        <v/>
      </c>
      <c r="R25" s="17" t="str">
        <f t="shared" si="1"/>
        <v/>
      </c>
      <c r="S25" s="17" t="str">
        <f t="shared" si="2"/>
        <v/>
      </c>
      <c r="T25" s="17" t="str">
        <f t="shared" si="3"/>
        <v>BLOCKED</v>
      </c>
    </row>
    <row r="26" spans="1:20">
      <c r="A26" s="30" t="str">
        <f>'12 - Device_Configuration'!H26</f>
        <v>LIJ SDF</v>
      </c>
      <c r="B26" s="30" t="str">
        <f>'12 - Device_Configuration'!S26</f>
        <v>LIJ-SDF-MACH-Y</v>
      </c>
      <c r="C26" s="30" t="str">
        <f>'12 - Device_Configuration'!T26</f>
        <v>A0F5097B9FA6</v>
      </c>
      <c r="D26" s="17" t="str">
        <f>'12 - Device_Configuration'!AJ26</f>
        <v>2008T</v>
      </c>
      <c r="E26" s="17" t="str">
        <f>'12 - Device_Configuration'!J26</f>
        <v>NA</v>
      </c>
      <c r="F26" s="30" t="str">
        <f>'12 - Device_Configuration'!K26</f>
        <v>NA</v>
      </c>
      <c r="G26" s="17" t="str">
        <f>'12 - Device_Configuration'!L26</f>
        <v>NA</v>
      </c>
      <c r="H26" s="17">
        <f>'13 - Config_Intake_View'!M26</f>
        <v>0</v>
      </c>
      <c r="I26" s="30">
        <f>IF('13 - Config_Intake_View'!Q26&lt;&gt;"",'13 - Config_Intake_View'!Q26,'12 - Device_Configuration'!BH26)</f>
        <v>0</v>
      </c>
      <c r="J26" s="17" t="str">
        <f>IF('13 - Config_Intake_View'!Q26&lt;&gt;"","PM Approved",IF('12 - Device_Configuration'!BH26&lt;&gt;"","Assumed",""))</f>
        <v/>
      </c>
      <c r="K26" s="30" t="str">
        <f>'12 - Device_Configuration'!BG26</f>
        <v>Yes</v>
      </c>
      <c r="L26" s="17">
        <f>'12 - Device_Configuration'!P26</f>
        <v>0</v>
      </c>
      <c r="M26" s="17">
        <f>'12 - Device_Configuration'!Q26</f>
        <v>0</v>
      </c>
      <c r="N26" s="17" t="str">
        <f>'12 - Device_Configuration'!BK26</f>
        <v>Power Cable, Battery, Epic Beans Relay</v>
      </c>
      <c r="O26" s="30" t="str">
        <f>'12 - Device_Configuration'!BL26</f>
        <v>Blocked</v>
      </c>
      <c r="P26" s="2" t="str">
        <f>'12 - Device_Configuration'!BA26</f>
        <v>Yes</v>
      </c>
      <c r="Q26" s="30" t="str">
        <f t="shared" si="0"/>
        <v/>
      </c>
      <c r="R26" s="17" t="str">
        <f t="shared" si="1"/>
        <v/>
      </c>
      <c r="S26" s="17" t="str">
        <f t="shared" si="2"/>
        <v/>
      </c>
      <c r="T26" s="17" t="str">
        <f t="shared" si="3"/>
        <v>BLOCKED</v>
      </c>
    </row>
    <row r="27" spans="1:20">
      <c r="A27" s="30" t="str">
        <f>'12 - Device_Configuration'!H27</f>
        <v>LIJ SDF</v>
      </c>
      <c r="B27" s="30" t="str">
        <f>'12 - Device_Configuration'!S27</f>
        <v>LIJ-SDF-MACH-Z</v>
      </c>
      <c r="C27" s="30" t="str">
        <f>'12 - Device_Configuration'!T27</f>
        <v>A0F5097B9FB3</v>
      </c>
      <c r="D27" s="17">
        <f>'12 - Device_Configuration'!AJ27</f>
        <v>0</v>
      </c>
      <c r="E27" s="17" t="str">
        <f>'12 - Device_Configuration'!J27</f>
        <v>NA</v>
      </c>
      <c r="F27" s="30" t="str">
        <f>'12 - Device_Configuration'!K27</f>
        <v>NA</v>
      </c>
      <c r="G27" s="17" t="str">
        <f>'12 - Device_Configuration'!L27</f>
        <v>NA</v>
      </c>
      <c r="H27" s="17">
        <f>'13 - Config_Intake_View'!M27</f>
        <v>0</v>
      </c>
      <c r="I27" s="30">
        <f>IF('13 - Config_Intake_View'!Q27&lt;&gt;"",'13 - Config_Intake_View'!Q27,'12 - Device_Configuration'!BH27)</f>
        <v>0</v>
      </c>
      <c r="J27" s="17" t="str">
        <f>IF('13 - Config_Intake_View'!Q27&lt;&gt;"","PM Approved",IF('12 - Device_Configuration'!BH27&lt;&gt;"","Assumed",""))</f>
        <v/>
      </c>
      <c r="K27" s="30" t="str">
        <f>'12 - Device_Configuration'!BG27</f>
        <v>Yes</v>
      </c>
      <c r="L27" s="17">
        <f>'12 - Device_Configuration'!P27</f>
        <v>0</v>
      </c>
      <c r="M27" s="17">
        <f>'12 - Device_Configuration'!Q27</f>
        <v>0</v>
      </c>
      <c r="N27" s="17" t="str">
        <f>'12 - Device_Configuration'!BK27</f>
        <v>Power Cable, Battery, Epic Beans Relay</v>
      </c>
      <c r="O27" s="30" t="str">
        <f>'12 - Device_Configuration'!BL27</f>
        <v>Blocked</v>
      </c>
      <c r="P27" s="2" t="str">
        <f>'12 - Device_Configuration'!BA27</f>
        <v>Yes</v>
      </c>
      <c r="Q27" s="30" t="str">
        <f t="shared" si="0"/>
        <v/>
      </c>
      <c r="R27" s="17" t="str">
        <f t="shared" si="1"/>
        <v/>
      </c>
      <c r="S27" s="17" t="str">
        <f t="shared" si="2"/>
        <v/>
      </c>
      <c r="T27" s="17" t="str">
        <f t="shared" si="3"/>
        <v>BLOCKED</v>
      </c>
    </row>
    <row r="28" spans="1:20">
      <c r="A28" s="30" t="str">
        <f>'12 - Device_Configuration'!H28</f>
        <v>LIJ SDF</v>
      </c>
      <c r="B28" s="30" t="str">
        <f>'12 - Device_Configuration'!S28</f>
        <v>LIJ-SDF-MACH-AA</v>
      </c>
      <c r="C28" s="30" t="str">
        <f>'12 - Device_Configuration'!T28</f>
        <v>A0F5097BA00D</v>
      </c>
      <c r="D28" s="17">
        <f>'12 - Device_Configuration'!AJ28</f>
        <v>0</v>
      </c>
      <c r="E28" s="17" t="str">
        <f>'12 - Device_Configuration'!J28</f>
        <v>NA</v>
      </c>
      <c r="F28" s="30" t="str">
        <f>'12 - Device_Configuration'!K28</f>
        <v>NA</v>
      </c>
      <c r="G28" s="17" t="str">
        <f>'12 - Device_Configuration'!L28</f>
        <v>NA</v>
      </c>
      <c r="H28" s="17">
        <f>'13 - Config_Intake_View'!M28</f>
        <v>0</v>
      </c>
      <c r="I28" s="30">
        <f>IF('13 - Config_Intake_View'!Q28&lt;&gt;"",'13 - Config_Intake_View'!Q28,'12 - Device_Configuration'!BH28)</f>
        <v>0</v>
      </c>
      <c r="J28" s="17" t="str">
        <f>IF('13 - Config_Intake_View'!Q28&lt;&gt;"","PM Approved",IF('12 - Device_Configuration'!BH28&lt;&gt;"","Assumed",""))</f>
        <v/>
      </c>
      <c r="K28" s="30" t="str">
        <f>'12 - Device_Configuration'!BG28</f>
        <v>Yes</v>
      </c>
      <c r="L28" s="17">
        <f>'12 - Device_Configuration'!P28</f>
        <v>0</v>
      </c>
      <c r="M28" s="17">
        <f>'12 - Device_Configuration'!Q28</f>
        <v>0</v>
      </c>
      <c r="N28" s="17" t="str">
        <f>'12 - Device_Configuration'!BK28</f>
        <v>Power Cable, Battery, Epic Beans Relay</v>
      </c>
      <c r="O28" s="30" t="str">
        <f>'12 - Device_Configuration'!BL28</f>
        <v>Blocked</v>
      </c>
      <c r="P28" s="2" t="str">
        <f>'12 - Device_Configuration'!BA28</f>
        <v>Yes</v>
      </c>
      <c r="Q28" s="30" t="str">
        <f t="shared" si="0"/>
        <v/>
      </c>
      <c r="R28" s="17" t="str">
        <f t="shared" si="1"/>
        <v/>
      </c>
      <c r="S28" s="17" t="str">
        <f t="shared" si="2"/>
        <v/>
      </c>
      <c r="T28" s="17" t="str">
        <f t="shared" si="3"/>
        <v>BLOCKED</v>
      </c>
    </row>
    <row r="29" spans="1:20">
      <c r="A29" s="30" t="str">
        <f>'12 - Device_Configuration'!H29</f>
        <v>LIJ SDF</v>
      </c>
      <c r="B29" s="30" t="str">
        <f>'12 - Device_Configuration'!S29</f>
        <v>LIJ-SDF-MACH-AB</v>
      </c>
      <c r="C29" s="30" t="str">
        <f>'12 - Device_Configuration'!T29</f>
        <v>A0F5097B8E58</v>
      </c>
      <c r="D29" s="17">
        <f>'12 - Device_Configuration'!AJ29</f>
        <v>0</v>
      </c>
      <c r="E29" s="17" t="str">
        <f>'12 - Device_Configuration'!J29</f>
        <v>NA</v>
      </c>
      <c r="F29" s="30" t="str">
        <f>'12 - Device_Configuration'!K29</f>
        <v>NA</v>
      </c>
      <c r="G29" s="17" t="str">
        <f>'12 - Device_Configuration'!L29</f>
        <v>NA</v>
      </c>
      <c r="H29" s="17">
        <f>'13 - Config_Intake_View'!M29</f>
        <v>0</v>
      </c>
      <c r="I29" s="30">
        <f>IF('13 - Config_Intake_View'!Q29&lt;&gt;"",'13 - Config_Intake_View'!Q29,'12 - Device_Configuration'!BH29)</f>
        <v>0</v>
      </c>
      <c r="J29" s="17" t="str">
        <f>IF('13 - Config_Intake_View'!Q29&lt;&gt;"","PM Approved",IF('12 - Device_Configuration'!BH29&lt;&gt;"","Assumed",""))</f>
        <v/>
      </c>
      <c r="K29" s="30" t="str">
        <f>'12 - Device_Configuration'!BG29</f>
        <v>Yes</v>
      </c>
      <c r="L29" s="17">
        <f>'12 - Device_Configuration'!P29</f>
        <v>0</v>
      </c>
      <c r="M29" s="17">
        <f>'12 - Device_Configuration'!Q29</f>
        <v>0</v>
      </c>
      <c r="N29" s="17" t="str">
        <f>'12 - Device_Configuration'!BK29</f>
        <v>Power Cable, Battery, Epic Beans Relay</v>
      </c>
      <c r="O29" s="30" t="str">
        <f>'12 - Device_Configuration'!BL29</f>
        <v>Blocked</v>
      </c>
      <c r="P29" s="2" t="str">
        <f>'12 - Device_Configuration'!BA29</f>
        <v>Yes</v>
      </c>
      <c r="Q29" s="30" t="str">
        <f t="shared" si="0"/>
        <v/>
      </c>
      <c r="R29" s="17" t="str">
        <f t="shared" si="1"/>
        <v/>
      </c>
      <c r="S29" s="17" t="str">
        <f t="shared" si="2"/>
        <v/>
      </c>
      <c r="T29" s="17" t="str">
        <f t="shared" si="3"/>
        <v>BLOCKED</v>
      </c>
    </row>
    <row r="30" spans="1:20">
      <c r="A30" s="30" t="str">
        <f>'12 - Device_Configuration'!H30</f>
        <v>LIJ SDF</v>
      </c>
      <c r="B30" s="30" t="str">
        <f>'12 - Device_Configuration'!S30</f>
        <v>LIJ-SDF-MACH-AC</v>
      </c>
      <c r="C30" s="30" t="str">
        <f>'12 - Device_Configuration'!T30</f>
        <v>A0F5097B8B74</v>
      </c>
      <c r="D30" s="17">
        <f>'12 - Device_Configuration'!AJ30</f>
        <v>0</v>
      </c>
      <c r="E30" s="17">
        <f>'12 - Device_Configuration'!J30</f>
        <v>0</v>
      </c>
      <c r="F30" s="30">
        <f>'12 - Device_Configuration'!K30</f>
        <v>0</v>
      </c>
      <c r="G30" s="17">
        <f>'12 - Device_Configuration'!L30</f>
        <v>0</v>
      </c>
      <c r="H30" s="17">
        <f>'13 - Config_Intake_View'!M30</f>
        <v>0</v>
      </c>
      <c r="I30" s="30">
        <f>IF('13 - Config_Intake_View'!Q30&lt;&gt;"",'13 - Config_Intake_View'!Q30,'12 - Device_Configuration'!BH30)</f>
        <v>0</v>
      </c>
      <c r="J30" s="17" t="str">
        <f>IF('13 - Config_Intake_View'!Q30&lt;&gt;"","PM Approved",IF('12 - Device_Configuration'!BH30&lt;&gt;"","Assumed",""))</f>
        <v/>
      </c>
      <c r="K30" s="30" t="str">
        <f>'12 - Device_Configuration'!BG30</f>
        <v>Yes</v>
      </c>
      <c r="L30" s="17">
        <f>'12 - Device_Configuration'!P30</f>
        <v>0</v>
      </c>
      <c r="M30" s="17">
        <f>'12 - Device_Configuration'!Q30</f>
        <v>0</v>
      </c>
      <c r="N30" s="17" t="str">
        <f>'12 - Device_Configuration'!BK30</f>
        <v>Power Cable, Battery, Epic Beans Relay</v>
      </c>
      <c r="O30" s="30" t="str">
        <f>'12 - Device_Configuration'!BL30</f>
        <v>Blocked</v>
      </c>
      <c r="P30" s="2" t="str">
        <f>'12 - Device_Configuration'!BA30</f>
        <v>Yes</v>
      </c>
      <c r="Q30" s="30" t="str">
        <f t="shared" si="0"/>
        <v/>
      </c>
      <c r="R30" s="17" t="str">
        <f t="shared" si="1"/>
        <v/>
      </c>
      <c r="S30" s="17" t="str">
        <f t="shared" si="2"/>
        <v/>
      </c>
      <c r="T30" s="17" t="str">
        <f t="shared" si="3"/>
        <v>BLOCKED</v>
      </c>
    </row>
    <row r="31" spans="1:20">
      <c r="A31" s="30" t="str">
        <f>'12 - Device_Configuration'!H31</f>
        <v>LIJ SDF</v>
      </c>
      <c r="B31" s="30" t="str">
        <f>'12 - Device_Configuration'!S31</f>
        <v>LIJ-SDF-MACH-AD</v>
      </c>
      <c r="C31" s="30" t="str">
        <f>'12 - Device_Configuration'!T31</f>
        <v>A0F5097BA067</v>
      </c>
      <c r="D31" s="17">
        <f>'12 - Device_Configuration'!AJ31</f>
        <v>0</v>
      </c>
      <c r="E31" s="17">
        <f>'12 - Device_Configuration'!J31</f>
        <v>0</v>
      </c>
      <c r="F31" s="30">
        <f>'12 - Device_Configuration'!K31</f>
        <v>0</v>
      </c>
      <c r="G31" s="17">
        <f>'12 - Device_Configuration'!L31</f>
        <v>0</v>
      </c>
      <c r="H31" s="17">
        <f>'13 - Config_Intake_View'!M31</f>
        <v>0</v>
      </c>
      <c r="I31" s="30">
        <f>IF('13 - Config_Intake_View'!Q31&lt;&gt;"",'13 - Config_Intake_View'!Q31,'12 - Device_Configuration'!BH31)</f>
        <v>0</v>
      </c>
      <c r="J31" s="17" t="str">
        <f>IF('13 - Config_Intake_View'!Q31&lt;&gt;"","PM Approved",IF('12 - Device_Configuration'!BH31&lt;&gt;"","Assumed",""))</f>
        <v/>
      </c>
      <c r="K31" s="30" t="str">
        <f>'12 - Device_Configuration'!BG31</f>
        <v>Yes</v>
      </c>
      <c r="L31" s="17">
        <f>'12 - Device_Configuration'!P31</f>
        <v>0</v>
      </c>
      <c r="M31" s="17">
        <f>'12 - Device_Configuration'!Q31</f>
        <v>0</v>
      </c>
      <c r="N31" s="17" t="str">
        <f>'12 - Device_Configuration'!BK31</f>
        <v>Power Cable, Battery, Epic Beans Relay</v>
      </c>
      <c r="O31" s="30" t="str">
        <f>'12 - Device_Configuration'!BL31</f>
        <v>Blocked</v>
      </c>
      <c r="P31" s="2" t="str">
        <f>'12 - Device_Configuration'!BA31</f>
        <v>Yes</v>
      </c>
      <c r="Q31" s="30" t="str">
        <f t="shared" si="0"/>
        <v/>
      </c>
      <c r="R31" s="17" t="str">
        <f t="shared" si="1"/>
        <v/>
      </c>
      <c r="S31" s="17" t="str">
        <f t="shared" si="2"/>
        <v/>
      </c>
      <c r="T31" s="17" t="str">
        <f t="shared" si="3"/>
        <v>BLOCKED</v>
      </c>
    </row>
    <row r="32" spans="1:20">
      <c r="A32" s="30" t="str">
        <f>'12 - Device_Configuration'!H32</f>
        <v>LIJ SDF</v>
      </c>
      <c r="B32" s="30" t="str">
        <f>'12 - Device_Configuration'!S32</f>
        <v>LIJ-SDF-MACH-AE</v>
      </c>
      <c r="C32" s="30" t="str">
        <f>'12 - Device_Configuration'!T32</f>
        <v>A0F5097B8AFD</v>
      </c>
      <c r="D32" s="17">
        <f>'12 - Device_Configuration'!AJ32</f>
        <v>0</v>
      </c>
      <c r="E32" s="17">
        <f>'12 - Device_Configuration'!J32</f>
        <v>0</v>
      </c>
      <c r="F32" s="30">
        <f>'12 - Device_Configuration'!K32</f>
        <v>0</v>
      </c>
      <c r="G32" s="17">
        <f>'12 - Device_Configuration'!L32</f>
        <v>0</v>
      </c>
      <c r="H32" s="17">
        <f>'13 - Config_Intake_View'!M32</f>
        <v>0</v>
      </c>
      <c r="I32" s="30">
        <f>IF('13 - Config_Intake_View'!Q32&lt;&gt;"",'13 - Config_Intake_View'!Q32,'12 - Device_Configuration'!BH32)</f>
        <v>0</v>
      </c>
      <c r="J32" s="17" t="str">
        <f>IF('13 - Config_Intake_View'!Q32&lt;&gt;"","PM Approved",IF('12 - Device_Configuration'!BH32&lt;&gt;"","Assumed",""))</f>
        <v/>
      </c>
      <c r="K32" s="30" t="str">
        <f>'12 - Device_Configuration'!BG32</f>
        <v>Yes</v>
      </c>
      <c r="L32" s="17">
        <f>'12 - Device_Configuration'!P32</f>
        <v>0</v>
      </c>
      <c r="M32" s="17">
        <f>'12 - Device_Configuration'!Q32</f>
        <v>0</v>
      </c>
      <c r="N32" s="17" t="str">
        <f>'12 - Device_Configuration'!BK32</f>
        <v>Power Cable, Battery, Epic Beans Relay</v>
      </c>
      <c r="O32" s="30" t="str">
        <f>'12 - Device_Configuration'!BL32</f>
        <v>Blocked</v>
      </c>
      <c r="P32" s="2" t="str">
        <f>'12 - Device_Configuration'!BA32</f>
        <v>Yes</v>
      </c>
      <c r="Q32" s="30" t="str">
        <f t="shared" si="0"/>
        <v/>
      </c>
      <c r="R32" s="17" t="str">
        <f t="shared" si="1"/>
        <v/>
      </c>
      <c r="S32" s="17" t="str">
        <f t="shared" si="2"/>
        <v/>
      </c>
      <c r="T32" s="17" t="str">
        <f t="shared" si="3"/>
        <v>BLOCKED</v>
      </c>
    </row>
    <row r="33" spans="1:20">
      <c r="A33" s="30" t="str">
        <f>'12 - Device_Configuration'!H33</f>
        <v>LIJ SDF</v>
      </c>
      <c r="B33" s="30" t="str">
        <f>'12 - Device_Configuration'!S33</f>
        <v>LIJ-SDF-MACH-AF</v>
      </c>
      <c r="C33" s="30" t="str">
        <f>'12 - Device_Configuration'!T33</f>
        <v>A0F5097B8ADC</v>
      </c>
      <c r="D33" s="17">
        <f>'12 - Device_Configuration'!AJ33</f>
        <v>0</v>
      </c>
      <c r="E33" s="17">
        <f>'12 - Device_Configuration'!J33</f>
        <v>0</v>
      </c>
      <c r="F33" s="30">
        <f>'12 - Device_Configuration'!K33</f>
        <v>0</v>
      </c>
      <c r="G33" s="17">
        <f>'12 - Device_Configuration'!L33</f>
        <v>0</v>
      </c>
      <c r="H33" s="17">
        <f>'13 - Config_Intake_View'!M33</f>
        <v>0</v>
      </c>
      <c r="I33" s="30">
        <f>IF('13 - Config_Intake_View'!Q33&lt;&gt;"",'13 - Config_Intake_View'!Q33,'12 - Device_Configuration'!BH33)</f>
        <v>0</v>
      </c>
      <c r="J33" s="17" t="str">
        <f>IF('13 - Config_Intake_View'!Q33&lt;&gt;"","PM Approved",IF('12 - Device_Configuration'!BH33&lt;&gt;"","Assumed",""))</f>
        <v/>
      </c>
      <c r="K33" s="30" t="str">
        <f>'12 - Device_Configuration'!BG33</f>
        <v>Yes</v>
      </c>
      <c r="L33" s="17">
        <f>'12 - Device_Configuration'!P33</f>
        <v>0</v>
      </c>
      <c r="M33" s="17">
        <f>'12 - Device_Configuration'!Q33</f>
        <v>0</v>
      </c>
      <c r="N33" s="17" t="str">
        <f>'12 - Device_Configuration'!BK33</f>
        <v>Power Cable, Battery, Epic Beans Relay</v>
      </c>
      <c r="O33" s="30" t="str">
        <f>'12 - Device_Configuration'!BL33</f>
        <v>Blocked</v>
      </c>
      <c r="P33" s="2" t="str">
        <f>'12 - Device_Configuration'!BA33</f>
        <v>Yes</v>
      </c>
      <c r="Q33" s="30" t="str">
        <f t="shared" si="0"/>
        <v/>
      </c>
      <c r="R33" s="17" t="str">
        <f t="shared" si="1"/>
        <v/>
      </c>
      <c r="S33" s="17" t="str">
        <f t="shared" si="2"/>
        <v/>
      </c>
      <c r="T33" s="17" t="str">
        <f t="shared" si="3"/>
        <v>BLOCKED</v>
      </c>
    </row>
    <row r="34" spans="1:20">
      <c r="A34" s="30" t="str">
        <f>'12 - Device_Configuration'!H34</f>
        <v>PBMC</v>
      </c>
      <c r="B34" s="30" t="str">
        <f>'12 - Device_Configuration'!S34</f>
        <v>PBMC-MACH-N</v>
      </c>
      <c r="C34" s="30" t="str">
        <f>'12 - Device_Configuration'!T34</f>
        <v>A0F5097BA02C</v>
      </c>
      <c r="D34" s="17" t="str">
        <f>'12 - Device_Configuration'!AJ34</f>
        <v>Atlan A350</v>
      </c>
      <c r="E34" s="17" t="str">
        <f>'12 - Device_Configuration'!J34</f>
        <v>NA</v>
      </c>
      <c r="F34" s="30" t="str">
        <f>'12 - Device_Configuration'!K34</f>
        <v>NA</v>
      </c>
      <c r="G34" s="17" t="str">
        <f>'12 - Device_Configuration'!L34</f>
        <v>NA</v>
      </c>
      <c r="H34" s="17">
        <f>'13 - Config_Intake_View'!M34</f>
        <v>0</v>
      </c>
      <c r="I34" s="30">
        <f>IF('13 - Config_Intake_View'!Q34&lt;&gt;"",'13 - Config_Intake_View'!Q34,'12 - Device_Configuration'!BH34)</f>
        <v>0</v>
      </c>
      <c r="J34" s="17" t="str">
        <f>IF('13 - Config_Intake_View'!Q34&lt;&gt;"","PM Approved",IF('12 - Device_Configuration'!BH34&lt;&gt;"","Assumed",""))</f>
        <v/>
      </c>
      <c r="K34" s="30" t="str">
        <f>'12 - Device_Configuration'!BG34</f>
        <v>Yes</v>
      </c>
      <c r="L34" s="17">
        <f>'12 - Device_Configuration'!P34</f>
        <v>0</v>
      </c>
      <c r="M34" s="17">
        <f>'12 - Device_Configuration'!Q34</f>
        <v>0</v>
      </c>
      <c r="N34" s="17" t="str">
        <f>'12 - Device_Configuration'!BK34</f>
        <v>Power Cable, Battery, Epic Beans Relay</v>
      </c>
      <c r="O34" s="30" t="str">
        <f>'12 - Device_Configuration'!BL34</f>
        <v>Blocked</v>
      </c>
      <c r="P34" s="2" t="str">
        <f>'12 - Device_Configuration'!BA34</f>
        <v>Yes</v>
      </c>
      <c r="Q34" s="30" t="str">
        <f t="shared" si="0"/>
        <v/>
      </c>
      <c r="R34" s="17" t="str">
        <f t="shared" si="1"/>
        <v/>
      </c>
      <c r="S34" s="17" t="str">
        <f t="shared" si="2"/>
        <v/>
      </c>
      <c r="T34" s="17" t="str">
        <f t="shared" si="3"/>
        <v>BLOCKED</v>
      </c>
    </row>
    <row r="35" spans="1:20">
      <c r="A35" s="30" t="str">
        <f>'12 - Device_Configuration'!H35</f>
        <v>PBMC</v>
      </c>
      <c r="B35" s="30" t="str">
        <f>'12 - Device_Configuration'!S35</f>
        <v>n/a</v>
      </c>
      <c r="C35" s="30" t="str">
        <f>'12 - Device_Configuration'!T35</f>
        <v>n/a</v>
      </c>
      <c r="D35" s="17" t="str">
        <f>'12 - Device_Configuration'!AJ35</f>
        <v>Atlan A350</v>
      </c>
      <c r="E35" s="17">
        <f>'12 - Device_Configuration'!J35</f>
        <v>0</v>
      </c>
      <c r="F35" s="30">
        <f>'12 - Device_Configuration'!K35</f>
        <v>0</v>
      </c>
      <c r="G35" s="17">
        <f>'12 - Device_Configuration'!L35</f>
        <v>0</v>
      </c>
      <c r="H35" s="17">
        <f>'13 - Config_Intake_View'!M35</f>
        <v>0</v>
      </c>
      <c r="I35" s="30">
        <f>IF('13 - Config_Intake_View'!Q35&lt;&gt;"",'13 - Config_Intake_View'!Q35,'12 - Device_Configuration'!BH35)</f>
        <v>0</v>
      </c>
      <c r="J35" s="17" t="str">
        <f>IF('13 - Config_Intake_View'!Q35&lt;&gt;"","PM Approved",IF('12 - Device_Configuration'!BH35&lt;&gt;"","Assumed",""))</f>
        <v/>
      </c>
      <c r="K35" s="30" t="str">
        <f>'12 - Device_Configuration'!BG35</f>
        <v>Yes</v>
      </c>
      <c r="L35" s="17">
        <f>'12 - Device_Configuration'!P35</f>
        <v>0</v>
      </c>
      <c r="M35" s="17">
        <f>'12 - Device_Configuration'!Q35</f>
        <v>0</v>
      </c>
      <c r="N35" s="17" t="str">
        <f>'12 - Device_Configuration'!BK35</f>
        <v>Power Cable, Battery, Epic Beans Relay</v>
      </c>
      <c r="O35" s="30" t="str">
        <f>'12 - Device_Configuration'!BL35</f>
        <v>Blocked</v>
      </c>
      <c r="P35" s="2" t="str">
        <f>'12 - Device_Configuration'!BA35</f>
        <v>Yes</v>
      </c>
      <c r="Q35" s="30" t="str">
        <f t="shared" si="0"/>
        <v/>
      </c>
      <c r="R35" s="17" t="str">
        <f t="shared" si="1"/>
        <v/>
      </c>
      <c r="S35" s="17" t="str">
        <f t="shared" si="2"/>
        <v/>
      </c>
      <c r="T35" s="17" t="str">
        <f t="shared" si="3"/>
        <v>BLOCKED</v>
      </c>
    </row>
    <row r="36" spans="1:20">
      <c r="A36" s="30" t="str">
        <f>'12 - Device_Configuration'!H36</f>
        <v>MEETH</v>
      </c>
      <c r="B36" s="30" t="str">
        <f>'12 - Device_Configuration'!S36</f>
        <v>MEETH-MACH-U</v>
      </c>
      <c r="C36" s="30" t="str">
        <f>'12 - Device_Configuration'!T36</f>
        <v>A0F5097BA067</v>
      </c>
      <c r="D36" s="17">
        <f>'12 - Device_Configuration'!AJ36</f>
        <v>0</v>
      </c>
      <c r="E36" s="17" t="str">
        <f>'12 - Device_Configuration'!J36</f>
        <v>NA</v>
      </c>
      <c r="F36" s="30" t="str">
        <f>'12 - Device_Configuration'!K36</f>
        <v>NA</v>
      </c>
      <c r="G36" s="17" t="str">
        <f>'12 - Device_Configuration'!L36</f>
        <v>NA</v>
      </c>
      <c r="H36" s="17">
        <f>'13 - Config_Intake_View'!M36</f>
        <v>0</v>
      </c>
      <c r="I36" s="30">
        <f>IF('13 - Config_Intake_View'!Q36&lt;&gt;"",'13 - Config_Intake_View'!Q36,'12 - Device_Configuration'!BH36)</f>
        <v>0</v>
      </c>
      <c r="J36" s="17" t="str">
        <f>IF('13 - Config_Intake_View'!Q36&lt;&gt;"","PM Approved",IF('12 - Device_Configuration'!BH36&lt;&gt;"","Assumed",""))</f>
        <v/>
      </c>
      <c r="K36" s="30">
        <f>'12 - Device_Configuration'!BG36</f>
        <v>0</v>
      </c>
      <c r="L36" s="17">
        <f>'12 - Device_Configuration'!P36</f>
        <v>0</v>
      </c>
      <c r="M36" s="17">
        <f>'12 - Device_Configuration'!Q36</f>
        <v>0</v>
      </c>
      <c r="N36" s="17" t="str">
        <f>'12 - Device_Configuration'!BK36</f>
        <v>Power Cable, Battery, Firmware Download, Device ID, Epic Beans Relay</v>
      </c>
      <c r="O36" s="30" t="str">
        <f>'12 - Device_Configuration'!BL36</f>
        <v>Blocked</v>
      </c>
      <c r="P36" s="2">
        <f>'12 - Device_Configuration'!BA36</f>
        <v>0</v>
      </c>
      <c r="Q36" s="30" t="str">
        <f t="shared" si="0"/>
        <v/>
      </c>
      <c r="R36" s="17" t="str">
        <f t="shared" si="1"/>
        <v>SW NOT INSTALLED</v>
      </c>
      <c r="S36" s="17" t="str">
        <f t="shared" si="2"/>
        <v/>
      </c>
      <c r="T36" s="17" t="str">
        <f t="shared" si="3"/>
        <v>SW NOT INSTALLED</v>
      </c>
    </row>
    <row r="37" spans="1:20">
      <c r="A37" s="30" t="str">
        <f>'12 - Device_Configuration'!H37</f>
        <v>MEETH</v>
      </c>
      <c r="B37" s="30" t="str">
        <f>'12 - Device_Configuration'!S37</f>
        <v>MEETH-MACH-V</v>
      </c>
      <c r="C37" s="30" t="str">
        <f>'12 - Device_Configuration'!T37</f>
        <v>A0F5097BA08B</v>
      </c>
      <c r="D37" s="17">
        <f>'12 - Device_Configuration'!AJ37</f>
        <v>0</v>
      </c>
      <c r="E37" s="17" t="str">
        <f>'12 - Device_Configuration'!J37</f>
        <v>NA</v>
      </c>
      <c r="F37" s="30" t="str">
        <f>'12 - Device_Configuration'!K37</f>
        <v>NA</v>
      </c>
      <c r="G37" s="17" t="str">
        <f>'12 - Device_Configuration'!L37</f>
        <v>NA</v>
      </c>
      <c r="H37" s="17">
        <f>'13 - Config_Intake_View'!M37</f>
        <v>0</v>
      </c>
      <c r="I37" s="30">
        <f>IF('13 - Config_Intake_View'!Q37&lt;&gt;"",'13 - Config_Intake_View'!Q37,'12 - Device_Configuration'!BH37)</f>
        <v>0</v>
      </c>
      <c r="J37" s="17" t="str">
        <f>IF('13 - Config_Intake_View'!Q37&lt;&gt;"","PM Approved",IF('12 - Device_Configuration'!BH37&lt;&gt;"","Assumed",""))</f>
        <v/>
      </c>
      <c r="K37" s="30">
        <f>'12 - Device_Configuration'!BG37</f>
        <v>0</v>
      </c>
      <c r="L37" s="17">
        <f>'12 - Device_Configuration'!P37</f>
        <v>0</v>
      </c>
      <c r="M37" s="17">
        <f>'12 - Device_Configuration'!Q37</f>
        <v>0</v>
      </c>
      <c r="N37" s="17" t="str">
        <f>'12 - Device_Configuration'!BK37</f>
        <v>Power Cable, Battery, Firmware Download, Device ID, Epic Beans Relay</v>
      </c>
      <c r="O37" s="30" t="str">
        <f>'12 - Device_Configuration'!BL37</f>
        <v>Blocked</v>
      </c>
      <c r="P37" s="2">
        <f>'12 - Device_Configuration'!BA37</f>
        <v>0</v>
      </c>
      <c r="Q37" s="30" t="str">
        <f t="shared" si="0"/>
        <v/>
      </c>
      <c r="R37" s="17" t="str">
        <f t="shared" si="1"/>
        <v>SW NOT INSTALLED</v>
      </c>
      <c r="S37" s="17" t="str">
        <f t="shared" si="2"/>
        <v/>
      </c>
      <c r="T37" s="17" t="str">
        <f t="shared" si="3"/>
        <v>SW NOT INSTALLED</v>
      </c>
    </row>
    <row r="38" spans="1:20">
      <c r="A38" s="30" t="str">
        <f>'12 - Device_Configuration'!H38</f>
        <v>MEETH</v>
      </c>
      <c r="B38" s="30" t="str">
        <f>'12 - Device_Configuration'!S38</f>
        <v>MEETH-MACH-W</v>
      </c>
      <c r="C38" s="30" t="str">
        <f>'12 - Device_Configuration'!T38</f>
        <v>A0F5097B969A</v>
      </c>
      <c r="D38" s="17">
        <f>'12 - Device_Configuration'!AJ38</f>
        <v>0</v>
      </c>
      <c r="E38" s="17" t="str">
        <f>'12 - Device_Configuration'!J38</f>
        <v>NA</v>
      </c>
      <c r="F38" s="30" t="str">
        <f>'12 - Device_Configuration'!K38</f>
        <v>NA</v>
      </c>
      <c r="G38" s="17" t="str">
        <f>'12 - Device_Configuration'!L38</f>
        <v>NA</v>
      </c>
      <c r="H38" s="17">
        <f>'13 - Config_Intake_View'!M38</f>
        <v>0</v>
      </c>
      <c r="I38" s="30">
        <f>IF('13 - Config_Intake_View'!Q38&lt;&gt;"",'13 - Config_Intake_View'!Q38,'12 - Device_Configuration'!BH38)</f>
        <v>0</v>
      </c>
      <c r="J38" s="17" t="str">
        <f>IF('13 - Config_Intake_View'!Q38&lt;&gt;"","PM Approved",IF('12 - Device_Configuration'!BH38&lt;&gt;"","Assumed",""))</f>
        <v/>
      </c>
      <c r="K38" s="30">
        <f>'12 - Device_Configuration'!BG38</f>
        <v>0</v>
      </c>
      <c r="L38" s="17">
        <f>'12 - Device_Configuration'!P38</f>
        <v>0</v>
      </c>
      <c r="M38" s="17">
        <f>'12 - Device_Configuration'!Q38</f>
        <v>0</v>
      </c>
      <c r="N38" s="17" t="str">
        <f>'12 - Device_Configuration'!BK38</f>
        <v>Power Cable, Battery, Firmware Download, Device ID, Epic Beans Relay</v>
      </c>
      <c r="O38" s="30" t="str">
        <f>'12 - Device_Configuration'!BL38</f>
        <v>Blocked</v>
      </c>
      <c r="P38" s="2">
        <f>'12 - Device_Configuration'!BA38</f>
        <v>0</v>
      </c>
      <c r="Q38" s="30" t="str">
        <f t="shared" si="0"/>
        <v/>
      </c>
      <c r="R38" s="17" t="str">
        <f t="shared" si="1"/>
        <v>SW NOT INSTALLED</v>
      </c>
      <c r="S38" s="17" t="str">
        <f t="shared" si="2"/>
        <v/>
      </c>
      <c r="T38" s="17" t="str">
        <f t="shared" si="3"/>
        <v>SW NOT INSTALLED</v>
      </c>
    </row>
    <row r="39" spans="1:20">
      <c r="A39" s="30" t="str">
        <f>'12 - Device_Configuration'!H39</f>
        <v>ZUCKER HOSPITAL</v>
      </c>
      <c r="B39" s="30" t="str">
        <f>'12 - Device_Configuration'!S39</f>
        <v>ZHH-MACH-A</v>
      </c>
      <c r="C39" s="30" t="str">
        <f>'12 - Device_Configuration'!T39</f>
        <v>A0F5097B961B</v>
      </c>
      <c r="D39" s="17">
        <f>'12 - Device_Configuration'!AJ39</f>
        <v>0</v>
      </c>
      <c r="E39" s="17" t="str">
        <f>'12 - Device_Configuration'!J39</f>
        <v>NA</v>
      </c>
      <c r="F39" s="30" t="str">
        <f>'12 - Device_Configuration'!K39</f>
        <v>NA</v>
      </c>
      <c r="G39" s="17" t="str">
        <f>'12 - Device_Configuration'!L39</f>
        <v>NA</v>
      </c>
      <c r="H39" s="17">
        <f>'13 - Config_Intake_View'!M39</f>
        <v>0</v>
      </c>
      <c r="I39" s="30">
        <f>IF('13 - Config_Intake_View'!Q39&lt;&gt;"",'13 - Config_Intake_View'!Q39,'12 - Device_Configuration'!BH39)</f>
        <v>0</v>
      </c>
      <c r="J39" s="17" t="str">
        <f>IF('13 - Config_Intake_View'!Q39&lt;&gt;"","PM Approved",IF('12 - Device_Configuration'!BH39&lt;&gt;"","Assumed",""))</f>
        <v/>
      </c>
      <c r="K39" s="30">
        <f>'12 - Device_Configuration'!BG39</f>
        <v>0</v>
      </c>
      <c r="L39" s="17">
        <f>'12 - Device_Configuration'!P39</f>
        <v>0</v>
      </c>
      <c r="M39" s="17">
        <f>'12 - Device_Configuration'!Q39</f>
        <v>0</v>
      </c>
      <c r="N39" s="17" t="str">
        <f>'12 - Device_Configuration'!BK39</f>
        <v>Power Cable, Battery, Firmware Download, Device ID, Epic Beans Relay</v>
      </c>
      <c r="O39" s="30" t="str">
        <f>'12 - Device_Configuration'!BL39</f>
        <v>Blocked</v>
      </c>
      <c r="P39" s="2">
        <f>'12 - Device_Configuration'!BA39</f>
        <v>0</v>
      </c>
      <c r="Q39" s="30" t="str">
        <f t="shared" si="0"/>
        <v/>
      </c>
      <c r="R39" s="17" t="str">
        <f t="shared" si="1"/>
        <v>SW NOT INSTALLED</v>
      </c>
      <c r="S39" s="17" t="str">
        <f t="shared" si="2"/>
        <v/>
      </c>
      <c r="T39" s="17" t="str">
        <f t="shared" si="3"/>
        <v>SW NOT INSTALLED</v>
      </c>
    </row>
    <row r="40" spans="1:20">
      <c r="A40" s="30" t="str">
        <f>'12 - Device_Configuration'!H40</f>
        <v>ZUCKER HOSPITAL</v>
      </c>
      <c r="B40" s="30" t="str">
        <f>'12 - Device_Configuration'!S40</f>
        <v>ZHH-MACH-B</v>
      </c>
      <c r="C40" s="30" t="str">
        <f>'12 - Device_Configuration'!T40</f>
        <v>A0F5097B8D8E</v>
      </c>
      <c r="D40" s="17">
        <f>'12 - Device_Configuration'!AJ40</f>
        <v>0</v>
      </c>
      <c r="E40" s="17" t="str">
        <f>'12 - Device_Configuration'!J40</f>
        <v>NA</v>
      </c>
      <c r="F40" s="30" t="str">
        <f>'12 - Device_Configuration'!K40</f>
        <v>NA</v>
      </c>
      <c r="G40" s="17" t="str">
        <f>'12 - Device_Configuration'!L40</f>
        <v>NA</v>
      </c>
      <c r="H40" s="17">
        <f>'13 - Config_Intake_View'!M40</f>
        <v>0</v>
      </c>
      <c r="I40" s="30">
        <f>IF('13 - Config_Intake_View'!Q40&lt;&gt;"",'13 - Config_Intake_View'!Q40,'12 - Device_Configuration'!BH40)</f>
        <v>0</v>
      </c>
      <c r="J40" s="17" t="str">
        <f>IF('13 - Config_Intake_View'!Q40&lt;&gt;"","PM Approved",IF('12 - Device_Configuration'!BH40&lt;&gt;"","Assumed",""))</f>
        <v/>
      </c>
      <c r="K40" s="30">
        <f>'12 - Device_Configuration'!BG40</f>
        <v>0</v>
      </c>
      <c r="L40" s="17">
        <f>'12 - Device_Configuration'!P40</f>
        <v>0</v>
      </c>
      <c r="M40" s="17">
        <f>'12 - Device_Configuration'!Q40</f>
        <v>0</v>
      </c>
      <c r="N40" s="17" t="str">
        <f>'12 - Device_Configuration'!BK40</f>
        <v>Power Cable, Battery, Firmware Download, Device ID, Epic Beans Relay</v>
      </c>
      <c r="O40" s="30" t="str">
        <f>'12 - Device_Configuration'!BL40</f>
        <v>Blocked</v>
      </c>
      <c r="P40" s="2">
        <f>'12 - Device_Configuration'!BA40</f>
        <v>0</v>
      </c>
      <c r="Q40" s="30" t="str">
        <f t="shared" si="0"/>
        <v/>
      </c>
      <c r="R40" s="17" t="str">
        <f t="shared" si="1"/>
        <v>SW NOT INSTALLED</v>
      </c>
      <c r="S40" s="17" t="str">
        <f t="shared" si="2"/>
        <v/>
      </c>
      <c r="T40" s="17" t="str">
        <f t="shared" si="3"/>
        <v>SW NOT INSTALLED</v>
      </c>
    </row>
    <row r="41" spans="1:20">
      <c r="A41" s="30" t="str">
        <f>'12 - Device_Configuration'!H41</f>
        <v>ZUCKER HOSPITAL</v>
      </c>
      <c r="B41" s="30" t="str">
        <f>'12 - Device_Configuration'!S41</f>
        <v>ZHH-MACH-C</v>
      </c>
      <c r="C41" s="30" t="str">
        <f>'12 - Device_Configuration'!T41</f>
        <v>A0F5097B9BB8</v>
      </c>
      <c r="D41" s="17">
        <f>'12 - Device_Configuration'!AJ41</f>
        <v>0</v>
      </c>
      <c r="E41" s="17" t="str">
        <f>'12 - Device_Configuration'!J41</f>
        <v>NA</v>
      </c>
      <c r="F41" s="30" t="str">
        <f>'12 - Device_Configuration'!K41</f>
        <v>NA</v>
      </c>
      <c r="G41" s="17" t="str">
        <f>'12 - Device_Configuration'!L41</f>
        <v>NA</v>
      </c>
      <c r="H41" s="17">
        <f>'13 - Config_Intake_View'!M41</f>
        <v>0</v>
      </c>
      <c r="I41" s="30">
        <f>IF('13 - Config_Intake_View'!Q41&lt;&gt;"",'13 - Config_Intake_View'!Q41,'12 - Device_Configuration'!BH41)</f>
        <v>0</v>
      </c>
      <c r="J41" s="17" t="str">
        <f>IF('13 - Config_Intake_View'!Q41&lt;&gt;"","PM Approved",IF('12 - Device_Configuration'!BH41&lt;&gt;"","Assumed",""))</f>
        <v/>
      </c>
      <c r="K41" s="30">
        <f>'12 - Device_Configuration'!BG41</f>
        <v>0</v>
      </c>
      <c r="L41" s="17">
        <f>'12 - Device_Configuration'!P41</f>
        <v>0</v>
      </c>
      <c r="M41" s="17">
        <f>'12 - Device_Configuration'!Q41</f>
        <v>0</v>
      </c>
      <c r="N41" s="17" t="str">
        <f>'12 - Device_Configuration'!BK41</f>
        <v>Power Cable, Battery, Firmware Download, Device ID, Epic Beans Relay</v>
      </c>
      <c r="O41" s="30" t="str">
        <f>'12 - Device_Configuration'!BL41</f>
        <v>Blocked</v>
      </c>
      <c r="P41" s="2">
        <f>'12 - Device_Configuration'!BA41</f>
        <v>0</v>
      </c>
      <c r="Q41" s="30" t="str">
        <f t="shared" si="0"/>
        <v/>
      </c>
      <c r="R41" s="17" t="str">
        <f t="shared" si="1"/>
        <v>SW NOT INSTALLED</v>
      </c>
      <c r="S41" s="17" t="str">
        <f t="shared" si="2"/>
        <v/>
      </c>
      <c r="T41" s="17" t="str">
        <f t="shared" si="3"/>
        <v>SW NOT INSTALLED</v>
      </c>
    </row>
    <row r="42" spans="1:20">
      <c r="A42" s="30" t="str">
        <f>'12 - Device_Configuration'!H42</f>
        <v>CCMC</v>
      </c>
      <c r="B42" s="30" t="str">
        <f>'12 - Device_Configuration'!S42</f>
        <v>CCMC-MACH-A</v>
      </c>
      <c r="C42" s="30" t="str">
        <f>'12 - Device_Configuration'!T42</f>
        <v>A0F5097B8C9F</v>
      </c>
      <c r="D42" s="17">
        <f>'12 - Device_Configuration'!AJ42</f>
        <v>0</v>
      </c>
      <c r="E42" s="17" t="str">
        <f>'12 - Device_Configuration'!J42</f>
        <v>NA</v>
      </c>
      <c r="F42" s="30" t="str">
        <f>'12 - Device_Configuration'!K42</f>
        <v>NA</v>
      </c>
      <c r="G42" s="17" t="str">
        <f>'12 - Device_Configuration'!L42</f>
        <v>NA</v>
      </c>
      <c r="H42" s="17">
        <f>'13 - Config_Intake_View'!M42</f>
        <v>0</v>
      </c>
      <c r="I42" s="30">
        <f>IF('13 - Config_Intake_View'!Q42&lt;&gt;"",'13 - Config_Intake_View'!Q42,'12 - Device_Configuration'!BH42)</f>
        <v>0</v>
      </c>
      <c r="J42" s="17" t="str">
        <f>IF('13 - Config_Intake_View'!Q42&lt;&gt;"","PM Approved",IF('12 - Device_Configuration'!BH42&lt;&gt;"","Assumed",""))</f>
        <v/>
      </c>
      <c r="K42" s="30">
        <f>'12 - Device_Configuration'!BG42</f>
        <v>0</v>
      </c>
      <c r="L42" s="17">
        <f>'12 - Device_Configuration'!P42</f>
        <v>0</v>
      </c>
      <c r="M42" s="17">
        <f>'12 - Device_Configuration'!Q42</f>
        <v>0</v>
      </c>
      <c r="N42" s="17" t="str">
        <f>'12 - Device_Configuration'!BK42</f>
        <v>Power Cable, Battery, Firmware Download, Device ID, Epic Beans Relay</v>
      </c>
      <c r="O42" s="30" t="str">
        <f>'12 - Device_Configuration'!BL42</f>
        <v>Blocked</v>
      </c>
      <c r="P42" s="2">
        <f>'12 - Device_Configuration'!BA42</f>
        <v>0</v>
      </c>
      <c r="Q42" s="30" t="str">
        <f t="shared" si="0"/>
        <v/>
      </c>
      <c r="R42" s="17" t="str">
        <f t="shared" si="1"/>
        <v>SW NOT INSTALLED</v>
      </c>
      <c r="S42" s="17" t="str">
        <f t="shared" si="2"/>
        <v/>
      </c>
      <c r="T42" s="17" t="str">
        <f t="shared" si="3"/>
        <v>SW NOT INSTALLED</v>
      </c>
    </row>
    <row r="43" spans="1:20">
      <c r="A43" s="30" t="str">
        <f>'12 - Device_Configuration'!H43</f>
        <v>Glen Cove</v>
      </c>
      <c r="B43" s="30" t="str">
        <f>'12 - Device_Configuration'!S43</f>
        <v>GCH-MACH-E</v>
      </c>
      <c r="C43" s="30" t="str">
        <f>'12 - Device_Configuration'!T43</f>
        <v>A0F5097B8E02</v>
      </c>
      <c r="D43" s="17">
        <f>'12 - Device_Configuration'!AJ43</f>
        <v>0</v>
      </c>
      <c r="E43" s="17" t="str">
        <f>'12 - Device_Configuration'!J43</f>
        <v>NA</v>
      </c>
      <c r="F43" s="30" t="str">
        <f>'12 - Device_Configuration'!K43</f>
        <v>NA</v>
      </c>
      <c r="G43" s="17" t="str">
        <f>'12 - Device_Configuration'!L43</f>
        <v>NA</v>
      </c>
      <c r="H43" s="17">
        <f>'13 - Config_Intake_View'!M43</f>
        <v>0</v>
      </c>
      <c r="I43" s="30">
        <f>IF('13 - Config_Intake_View'!Q43&lt;&gt;"",'13 - Config_Intake_View'!Q43,'12 - Device_Configuration'!BH43)</f>
        <v>0</v>
      </c>
      <c r="J43" s="17" t="str">
        <f>IF('13 - Config_Intake_View'!Q43&lt;&gt;"","PM Approved",IF('12 - Device_Configuration'!BH43&lt;&gt;"","Assumed",""))</f>
        <v/>
      </c>
      <c r="K43" s="30">
        <f>'12 - Device_Configuration'!BG43</f>
        <v>0</v>
      </c>
      <c r="L43" s="17">
        <f>'12 - Device_Configuration'!P43</f>
        <v>0</v>
      </c>
      <c r="M43" s="17">
        <f>'12 - Device_Configuration'!Q43</f>
        <v>0</v>
      </c>
      <c r="N43" s="17" t="str">
        <f>'12 - Device_Configuration'!BK43</f>
        <v>Power Cable, Battery, Firmware Download, Device ID, Epic Beans Relay</v>
      </c>
      <c r="O43" s="30" t="str">
        <f>'12 - Device_Configuration'!BL43</f>
        <v>Blocked</v>
      </c>
      <c r="P43" s="2">
        <f>'12 - Device_Configuration'!BA43</f>
        <v>0</v>
      </c>
      <c r="Q43" s="30" t="str">
        <f t="shared" si="0"/>
        <v/>
      </c>
      <c r="R43" s="17" t="str">
        <f t="shared" si="1"/>
        <v>SW NOT INSTALLED</v>
      </c>
      <c r="S43" s="17" t="str">
        <f t="shared" si="2"/>
        <v/>
      </c>
      <c r="T43" s="17" t="str">
        <f t="shared" si="3"/>
        <v>SW NOT INSTALLED</v>
      </c>
    </row>
    <row r="44" spans="1:20">
      <c r="A44" s="30" t="str">
        <f>'12 - Device_Configuration'!H44</f>
        <v>Glen Cove</v>
      </c>
      <c r="B44" s="30" t="str">
        <f>'12 - Device_Configuration'!S44</f>
        <v>GCH-MACH-F</v>
      </c>
      <c r="C44" s="30" t="str">
        <f>'12 - Device_Configuration'!T44</f>
        <v>A0F5097B8BC2</v>
      </c>
      <c r="D44" s="17">
        <f>'12 - Device_Configuration'!AJ44</f>
        <v>0</v>
      </c>
      <c r="E44" s="17" t="str">
        <f>'12 - Device_Configuration'!J44</f>
        <v>NA</v>
      </c>
      <c r="F44" s="30" t="str">
        <f>'12 - Device_Configuration'!K44</f>
        <v>NA</v>
      </c>
      <c r="G44" s="17" t="str">
        <f>'12 - Device_Configuration'!L44</f>
        <v>NA</v>
      </c>
      <c r="H44" s="17">
        <f>'13 - Config_Intake_View'!M44</f>
        <v>0</v>
      </c>
      <c r="I44" s="30">
        <f>IF('13 - Config_Intake_View'!Q44&lt;&gt;"",'13 - Config_Intake_View'!Q44,'12 - Device_Configuration'!BH44)</f>
        <v>0</v>
      </c>
      <c r="J44" s="17" t="str">
        <f>IF('13 - Config_Intake_View'!Q44&lt;&gt;"","PM Approved",IF('12 - Device_Configuration'!BH44&lt;&gt;"","Assumed",""))</f>
        <v/>
      </c>
      <c r="K44" s="30">
        <f>'12 - Device_Configuration'!BG44</f>
        <v>0</v>
      </c>
      <c r="L44" s="17">
        <f>'12 - Device_Configuration'!P44</f>
        <v>0</v>
      </c>
      <c r="M44" s="17">
        <f>'12 - Device_Configuration'!Q44</f>
        <v>0</v>
      </c>
      <c r="N44" s="17" t="str">
        <f>'12 - Device_Configuration'!BK44</f>
        <v>Power Cable, Battery, Firmware Download, Device ID, Epic Beans Relay</v>
      </c>
      <c r="O44" s="30" t="str">
        <f>'12 - Device_Configuration'!BL44</f>
        <v>Blocked</v>
      </c>
      <c r="P44" s="2">
        <f>'12 - Device_Configuration'!BA44</f>
        <v>0</v>
      </c>
      <c r="Q44" s="30" t="str">
        <f t="shared" si="0"/>
        <v/>
      </c>
      <c r="R44" s="17" t="str">
        <f t="shared" si="1"/>
        <v>SW NOT INSTALLED</v>
      </c>
      <c r="S44" s="17" t="str">
        <f t="shared" si="2"/>
        <v/>
      </c>
      <c r="T44" s="17" t="str">
        <f t="shared" si="3"/>
        <v>SW NOT INSTALLED</v>
      </c>
    </row>
    <row r="45" spans="1:20">
      <c r="A45" s="30" t="str">
        <f>'12 - Device_Configuration'!H45</f>
        <v>Glen Cove</v>
      </c>
      <c r="B45" s="30" t="str">
        <f>'12 - Device_Configuration'!S45</f>
        <v>GCH-MACH-G</v>
      </c>
      <c r="C45" s="30" t="str">
        <f>'12 - Device_Configuration'!T45</f>
        <v>A0F5097B8E6F</v>
      </c>
      <c r="D45" s="17">
        <f>'12 - Device_Configuration'!AJ45</f>
        <v>0</v>
      </c>
      <c r="E45" s="17" t="str">
        <f>'12 - Device_Configuration'!J45</f>
        <v>NA</v>
      </c>
      <c r="F45" s="30" t="str">
        <f>'12 - Device_Configuration'!K45</f>
        <v>NA</v>
      </c>
      <c r="G45" s="17" t="str">
        <f>'12 - Device_Configuration'!L45</f>
        <v>NA</v>
      </c>
      <c r="H45" s="17">
        <f>'13 - Config_Intake_View'!M45</f>
        <v>0</v>
      </c>
      <c r="I45" s="30">
        <f>IF('13 - Config_Intake_View'!Q45&lt;&gt;"",'13 - Config_Intake_View'!Q45,'12 - Device_Configuration'!BH45)</f>
        <v>0</v>
      </c>
      <c r="J45" s="17" t="str">
        <f>IF('13 - Config_Intake_View'!Q45&lt;&gt;"","PM Approved",IF('12 - Device_Configuration'!BH45&lt;&gt;"","Assumed",""))</f>
        <v/>
      </c>
      <c r="K45" s="30">
        <f>'12 - Device_Configuration'!BG45</f>
        <v>0</v>
      </c>
      <c r="L45" s="17">
        <f>'12 - Device_Configuration'!P45</f>
        <v>0</v>
      </c>
      <c r="M45" s="17">
        <f>'12 - Device_Configuration'!Q45</f>
        <v>0</v>
      </c>
      <c r="N45" s="17" t="str">
        <f>'12 - Device_Configuration'!BK45</f>
        <v>Power Cable, Battery, Firmware Download, Device ID, Epic Beans Relay</v>
      </c>
      <c r="O45" s="30" t="str">
        <f>'12 - Device_Configuration'!BL45</f>
        <v>Blocked</v>
      </c>
      <c r="P45" s="2">
        <f>'12 - Device_Configuration'!BA45</f>
        <v>0</v>
      </c>
      <c r="Q45" s="30" t="str">
        <f t="shared" si="0"/>
        <v/>
      </c>
      <c r="R45" s="17" t="str">
        <f t="shared" si="1"/>
        <v>SW NOT INSTALLED</v>
      </c>
      <c r="S45" s="17" t="str">
        <f t="shared" si="2"/>
        <v/>
      </c>
      <c r="T45" s="17" t="str">
        <f t="shared" si="3"/>
        <v>SW NOT INSTALLED</v>
      </c>
    </row>
    <row r="46" spans="1:20">
      <c r="A46" s="30" t="str">
        <f>'12 - Device_Configuration'!H46</f>
        <v>Glen Cove</v>
      </c>
      <c r="B46" s="30" t="str">
        <f>'12 - Device_Configuration'!S46</f>
        <v>GCH-MACH-H</v>
      </c>
      <c r="C46" s="30" t="str">
        <f>'12 - Device_Configuration'!T46</f>
        <v>A0F5097B8CD0</v>
      </c>
      <c r="D46" s="17">
        <f>'12 - Device_Configuration'!AJ46</f>
        <v>0</v>
      </c>
      <c r="E46" s="17">
        <f>'12 - Device_Configuration'!J46</f>
        <v>0</v>
      </c>
      <c r="F46" s="30">
        <f>'12 - Device_Configuration'!K46</f>
        <v>0</v>
      </c>
      <c r="G46" s="17">
        <f>'12 - Device_Configuration'!L46</f>
        <v>0</v>
      </c>
      <c r="H46" s="17">
        <f>'13 - Config_Intake_View'!M46</f>
        <v>0</v>
      </c>
      <c r="I46" s="30">
        <f>IF('13 - Config_Intake_View'!Q46&lt;&gt;"",'13 - Config_Intake_View'!Q46,'12 - Device_Configuration'!BH46)</f>
        <v>0</v>
      </c>
      <c r="J46" s="17" t="str">
        <f>IF('13 - Config_Intake_View'!Q46&lt;&gt;"","PM Approved",IF('12 - Device_Configuration'!BH46&lt;&gt;"","Assumed",""))</f>
        <v/>
      </c>
      <c r="K46" s="30">
        <f>'12 - Device_Configuration'!BG46</f>
        <v>0</v>
      </c>
      <c r="L46" s="17">
        <f>'12 - Device_Configuration'!P46</f>
        <v>0</v>
      </c>
      <c r="M46" s="17">
        <f>'12 - Device_Configuration'!Q46</f>
        <v>0</v>
      </c>
      <c r="N46" s="17" t="str">
        <f>'12 - Device_Configuration'!BK46</f>
        <v>Power Cable, Battery, Firmware Download, Device ID, Epic Beans Relay</v>
      </c>
      <c r="O46" s="30" t="str">
        <f>'12 - Device_Configuration'!BL46</f>
        <v>Blocked</v>
      </c>
      <c r="P46" s="2">
        <f>'12 - Device_Configuration'!BA46</f>
        <v>0</v>
      </c>
      <c r="Q46" s="30" t="str">
        <f t="shared" si="0"/>
        <v/>
      </c>
      <c r="R46" s="17" t="str">
        <f t="shared" si="1"/>
        <v>SW NOT INSTALLED</v>
      </c>
      <c r="S46" s="17" t="str">
        <f t="shared" si="2"/>
        <v/>
      </c>
      <c r="T46" s="17" t="str">
        <f t="shared" si="3"/>
        <v>SW NOT INSTALLED</v>
      </c>
    </row>
    <row r="47" spans="1:20">
      <c r="A47" s="30" t="str">
        <f>'12 - Device_Configuration'!H47</f>
        <v>Glen Cove</v>
      </c>
      <c r="B47" s="30" t="str">
        <f>'12 - Device_Configuration'!S47</f>
        <v>GCH-MACH-I</v>
      </c>
      <c r="C47" s="30" t="str">
        <f>'12 - Device_Configuration'!T47</f>
        <v>A0F5097B8B9A</v>
      </c>
      <c r="D47" s="17">
        <f>'12 - Device_Configuration'!AJ47</f>
        <v>0</v>
      </c>
      <c r="E47" s="17" t="str">
        <f>'12 - Device_Configuration'!J47</f>
        <v>NA</v>
      </c>
      <c r="F47" s="30" t="str">
        <f>'12 - Device_Configuration'!K47</f>
        <v>NA</v>
      </c>
      <c r="G47" s="17" t="str">
        <f>'12 - Device_Configuration'!L47</f>
        <v>NA</v>
      </c>
      <c r="H47" s="17">
        <f>'13 - Config_Intake_View'!M47</f>
        <v>0</v>
      </c>
      <c r="I47" s="30">
        <f>IF('13 - Config_Intake_View'!Q47&lt;&gt;"",'13 - Config_Intake_View'!Q47,'12 - Device_Configuration'!BH47)</f>
        <v>0</v>
      </c>
      <c r="J47" s="17" t="str">
        <f>IF('13 - Config_Intake_View'!Q47&lt;&gt;"","PM Approved",IF('12 - Device_Configuration'!BH47&lt;&gt;"","Assumed",""))</f>
        <v/>
      </c>
      <c r="K47" s="30">
        <f>'12 - Device_Configuration'!BG47</f>
        <v>0</v>
      </c>
      <c r="L47" s="17">
        <f>'12 - Device_Configuration'!P47</f>
        <v>0</v>
      </c>
      <c r="M47" s="17">
        <f>'12 - Device_Configuration'!Q47</f>
        <v>0</v>
      </c>
      <c r="N47" s="17" t="str">
        <f>'12 - Device_Configuration'!BK47</f>
        <v>Power Cable, Battery, Firmware Download, Device ID, Epic Beans Relay</v>
      </c>
      <c r="O47" s="30" t="str">
        <f>'12 - Device_Configuration'!BL47</f>
        <v>Blocked</v>
      </c>
      <c r="P47" s="2">
        <f>'12 - Device_Configuration'!BA47</f>
        <v>0</v>
      </c>
      <c r="Q47" s="30" t="str">
        <f t="shared" si="0"/>
        <v/>
      </c>
      <c r="R47" s="17" t="str">
        <f t="shared" si="1"/>
        <v>SW NOT INSTALLED</v>
      </c>
      <c r="S47" s="17" t="str">
        <f t="shared" si="2"/>
        <v/>
      </c>
      <c r="T47" s="17" t="str">
        <f t="shared" si="3"/>
        <v>SW NOT INSTALLED</v>
      </c>
    </row>
    <row r="48" spans="1:20">
      <c r="A48" s="30" t="str">
        <f>'12 - Device_Configuration'!H48</f>
        <v>Glen Cove</v>
      </c>
      <c r="B48" s="30" t="str">
        <f>'12 - Device_Configuration'!S48</f>
        <v>GCH-MACH-J</v>
      </c>
      <c r="C48" s="30" t="str">
        <f>'12 - Device_Configuration'!T48</f>
        <v>A0F5097B8CF9</v>
      </c>
      <c r="D48" s="17">
        <f>'12 - Device_Configuration'!AJ48</f>
        <v>0</v>
      </c>
      <c r="E48" s="17" t="str">
        <f>'12 - Device_Configuration'!J48</f>
        <v>NA</v>
      </c>
      <c r="F48" s="30" t="str">
        <f>'12 - Device_Configuration'!K48</f>
        <v>NA</v>
      </c>
      <c r="G48" s="17" t="str">
        <f>'12 - Device_Configuration'!L48</f>
        <v>NA</v>
      </c>
      <c r="H48" s="17">
        <f>'13 - Config_Intake_View'!M48</f>
        <v>0</v>
      </c>
      <c r="I48" s="30">
        <f>IF('13 - Config_Intake_View'!Q48&lt;&gt;"",'13 - Config_Intake_View'!Q48,'12 - Device_Configuration'!BH48)</f>
        <v>0</v>
      </c>
      <c r="J48" s="17" t="str">
        <f>IF('13 - Config_Intake_View'!Q48&lt;&gt;"","PM Approved",IF('12 - Device_Configuration'!BH48&lt;&gt;"","Assumed",""))</f>
        <v/>
      </c>
      <c r="K48" s="30">
        <f>'12 - Device_Configuration'!BG48</f>
        <v>0</v>
      </c>
      <c r="L48" s="17">
        <f>'12 - Device_Configuration'!P48</f>
        <v>0</v>
      </c>
      <c r="M48" s="17">
        <f>'12 - Device_Configuration'!Q48</f>
        <v>0</v>
      </c>
      <c r="N48" s="17" t="str">
        <f>'12 - Device_Configuration'!BK48</f>
        <v>Power Cable, Battery, Firmware Download, Device ID, Epic Beans Relay</v>
      </c>
      <c r="O48" s="30" t="str">
        <f>'12 - Device_Configuration'!BL48</f>
        <v>Blocked</v>
      </c>
      <c r="P48" s="2">
        <f>'12 - Device_Configuration'!BA48</f>
        <v>0</v>
      </c>
      <c r="Q48" s="30" t="str">
        <f t="shared" si="0"/>
        <v/>
      </c>
      <c r="R48" s="17" t="str">
        <f t="shared" si="1"/>
        <v>SW NOT INSTALLED</v>
      </c>
      <c r="S48" s="17" t="str">
        <f t="shared" si="2"/>
        <v/>
      </c>
      <c r="T48" s="17" t="str">
        <f t="shared" si="3"/>
        <v>SW NOT INSTALLED</v>
      </c>
    </row>
    <row r="49" spans="1:20">
      <c r="A49" s="30" t="str">
        <f>'12 - Device_Configuration'!H49</f>
        <v>Glen Cove</v>
      </c>
      <c r="B49" s="30" t="str">
        <f>'12 - Device_Configuration'!S49</f>
        <v>GCH-MACH-K</v>
      </c>
      <c r="C49" s="30" t="str">
        <f>'12 - Device_Configuration'!T49</f>
        <v>A0F5097B8B74</v>
      </c>
      <c r="D49" s="17">
        <f>'12 - Device_Configuration'!AJ49</f>
        <v>0</v>
      </c>
      <c r="E49" s="17" t="str">
        <f>'12 - Device_Configuration'!J49</f>
        <v>NA</v>
      </c>
      <c r="F49" s="30" t="str">
        <f>'12 - Device_Configuration'!K49</f>
        <v>NA</v>
      </c>
      <c r="G49" s="17" t="str">
        <f>'12 - Device_Configuration'!L49</f>
        <v>NA</v>
      </c>
      <c r="H49" s="17">
        <f>'13 - Config_Intake_View'!M49</f>
        <v>0</v>
      </c>
      <c r="I49" s="30">
        <f>IF('13 - Config_Intake_View'!Q49&lt;&gt;"",'13 - Config_Intake_View'!Q49,'12 - Device_Configuration'!BH49)</f>
        <v>0</v>
      </c>
      <c r="J49" s="17" t="str">
        <f>IF('13 - Config_Intake_View'!Q49&lt;&gt;"","PM Approved",IF('12 - Device_Configuration'!BH49&lt;&gt;"","Assumed",""))</f>
        <v/>
      </c>
      <c r="K49" s="30">
        <f>'12 - Device_Configuration'!BG49</f>
        <v>0</v>
      </c>
      <c r="L49" s="17">
        <f>'12 - Device_Configuration'!P49</f>
        <v>0</v>
      </c>
      <c r="M49" s="17">
        <f>'12 - Device_Configuration'!Q49</f>
        <v>0</v>
      </c>
      <c r="N49" s="17" t="str">
        <f>'12 - Device_Configuration'!BK49</f>
        <v>Power Cable, Battery, Firmware Download, Device ID, Epic Beans Relay</v>
      </c>
      <c r="O49" s="30" t="str">
        <f>'12 - Device_Configuration'!BL49</f>
        <v>Blocked</v>
      </c>
      <c r="P49" s="2">
        <f>'12 - Device_Configuration'!BA49</f>
        <v>0</v>
      </c>
      <c r="Q49" s="30" t="str">
        <f t="shared" si="0"/>
        <v/>
      </c>
      <c r="R49" s="17" t="str">
        <f t="shared" si="1"/>
        <v>SW NOT INSTALLED</v>
      </c>
      <c r="S49" s="17" t="str">
        <f t="shared" si="2"/>
        <v/>
      </c>
      <c r="T49" s="17" t="str">
        <f t="shared" si="3"/>
        <v>SW NOT INSTALLED</v>
      </c>
    </row>
    <row r="50" spans="1:20">
      <c r="A50" s="30" t="str">
        <f>'12 - Device_Configuration'!H50</f>
        <v>LIJ-IR</v>
      </c>
      <c r="B50" s="30" t="str">
        <f>'12 - Device_Configuration'!S50</f>
        <v>WNH270INR001</v>
      </c>
      <c r="C50" s="30">
        <f>'12 - Device_Configuration'!T50</f>
        <v>0</v>
      </c>
      <c r="D50" s="17" t="str">
        <f>'12 - Device_Configuration'!AJ50</f>
        <v>CyberMed-S24 TGL</v>
      </c>
      <c r="E50" s="17" t="str">
        <f>'12 - Device_Configuration'!J50</f>
        <v>Yes</v>
      </c>
      <c r="F50" s="30" t="str">
        <f>'12 - Device_Configuration'!K50</f>
        <v>No</v>
      </c>
      <c r="G50" s="17" t="str">
        <f>'12 - Device_Configuration'!L50</f>
        <v>No</v>
      </c>
      <c r="H50" s="17">
        <f>'13 - Config_Intake_View'!M50</f>
        <v>0</v>
      </c>
      <c r="I50" s="30">
        <f>IF('13 - Config_Intake_View'!Q50&lt;&gt;"",'13 - Config_Intake_View'!Q50,'12 - Device_Configuration'!BH50)</f>
        <v>0</v>
      </c>
      <c r="J50" s="17" t="str">
        <f>IF('13 - Config_Intake_View'!Q50&lt;&gt;"","PM Approved",IF('12 - Device_Configuration'!BH50&lt;&gt;"","Assumed",""))</f>
        <v/>
      </c>
      <c r="K50" s="30">
        <f>'12 - Device_Configuration'!BG50</f>
        <v>0</v>
      </c>
      <c r="L50" s="17">
        <f>'12 - Device_Configuration'!P50</f>
        <v>0</v>
      </c>
      <c r="M50" s="17">
        <f>'12 - Device_Configuration'!Q50</f>
        <v>0</v>
      </c>
      <c r="N50" s="17" t="str">
        <f>'12 - Device_Configuration'!BK50</f>
        <v/>
      </c>
      <c r="O50" s="30" t="str">
        <f>'12 - Device_Configuration'!BL50</f>
        <v/>
      </c>
      <c r="P50" s="2">
        <f>'12 - Device_Configuration'!BA50</f>
        <v>0</v>
      </c>
      <c r="Q50" s="30" t="str">
        <f t="shared" si="0"/>
        <v/>
      </c>
      <c r="R50" s="17" t="str">
        <f t="shared" si="1"/>
        <v>SW NOT INSTALLED</v>
      </c>
      <c r="S50" s="17" t="str">
        <f t="shared" si="2"/>
        <v/>
      </c>
      <c r="T50" s="17" t="str">
        <f t="shared" si="3"/>
        <v>SW NOT INSTALLED</v>
      </c>
    </row>
    <row r="51" spans="1:20">
      <c r="A51" s="30" t="str">
        <f>'12 - Device_Configuration'!H51</f>
        <v>LIJ-IR</v>
      </c>
      <c r="B51" s="30" t="str">
        <f>'12 - Device_Configuration'!S51</f>
        <v>WNH270INR002</v>
      </c>
      <c r="C51" s="30">
        <f>'12 - Device_Configuration'!T51</f>
        <v>0</v>
      </c>
      <c r="D51" s="17" t="str">
        <f>'12 - Device_Configuration'!AJ51</f>
        <v>CyberMed-S24 TGL</v>
      </c>
      <c r="E51" s="17" t="str">
        <f>'12 - Device_Configuration'!J51</f>
        <v>Yes</v>
      </c>
      <c r="F51" s="30" t="str">
        <f>'12 - Device_Configuration'!K51</f>
        <v>No</v>
      </c>
      <c r="G51" s="17" t="str">
        <f>'12 - Device_Configuration'!L51</f>
        <v>No</v>
      </c>
      <c r="H51" s="17">
        <f>'13 - Config_Intake_View'!M51</f>
        <v>0</v>
      </c>
      <c r="I51" s="30">
        <f>IF('13 - Config_Intake_View'!Q51&lt;&gt;"",'13 - Config_Intake_View'!Q51,'12 - Device_Configuration'!BH51)</f>
        <v>0</v>
      </c>
      <c r="J51" s="17" t="str">
        <f>IF('13 - Config_Intake_View'!Q51&lt;&gt;"","PM Approved",IF('12 - Device_Configuration'!BH51&lt;&gt;"","Assumed",""))</f>
        <v/>
      </c>
      <c r="K51" s="30">
        <f>'12 - Device_Configuration'!BG51</f>
        <v>0</v>
      </c>
      <c r="L51" s="17">
        <f>'12 - Device_Configuration'!P51</f>
        <v>0</v>
      </c>
      <c r="M51" s="17">
        <f>'12 - Device_Configuration'!Q51</f>
        <v>0</v>
      </c>
      <c r="N51" s="17" t="str">
        <f>'12 - Device_Configuration'!BK51</f>
        <v/>
      </c>
      <c r="O51" s="30" t="str">
        <f>'12 - Device_Configuration'!BL51</f>
        <v/>
      </c>
      <c r="P51" s="2">
        <f>'12 - Device_Configuration'!BA51</f>
        <v>0</v>
      </c>
      <c r="Q51" s="30" t="str">
        <f t="shared" si="0"/>
        <v/>
      </c>
      <c r="R51" s="17" t="str">
        <f t="shared" si="1"/>
        <v>SW NOT INSTALLED</v>
      </c>
      <c r="S51" s="17" t="str">
        <f t="shared" si="2"/>
        <v/>
      </c>
      <c r="T51" s="17" t="str">
        <f t="shared" si="3"/>
        <v>SW NOT INSTALLED</v>
      </c>
    </row>
    <row r="52" spans="1:20">
      <c r="A52" s="30" t="str">
        <f>'12 - Device_Configuration'!H52</f>
        <v>MEETH</v>
      </c>
      <c r="B52" s="30" t="str">
        <f>'12 - Device_Configuration'!S52</f>
        <v>WNY210OPR053</v>
      </c>
      <c r="C52" s="30">
        <f>'12 - Device_Configuration'!T52</f>
        <v>0</v>
      </c>
      <c r="D52" s="17">
        <f>'12 - Device_Configuration'!AJ52</f>
        <v>0</v>
      </c>
      <c r="E52" s="17" t="str">
        <f>'12 - Device_Configuration'!J52</f>
        <v>Yes</v>
      </c>
      <c r="F52" s="30" t="str">
        <f>'12 - Device_Configuration'!K52</f>
        <v>No</v>
      </c>
      <c r="G52" s="17" t="str">
        <f>'12 - Device_Configuration'!L52</f>
        <v>No</v>
      </c>
      <c r="H52" s="17">
        <f>'13 - Config_Intake_View'!M52</f>
        <v>0</v>
      </c>
      <c r="I52" s="30">
        <f>IF('13 - Config_Intake_View'!Q52&lt;&gt;"",'13 - Config_Intake_View'!Q52,'12 - Device_Configuration'!BH52)</f>
        <v>0</v>
      </c>
      <c r="J52" s="17" t="str">
        <f>IF('13 - Config_Intake_View'!Q52&lt;&gt;"","PM Approved",IF('12 - Device_Configuration'!BH52&lt;&gt;"","Assumed",""))</f>
        <v/>
      </c>
      <c r="K52" s="30">
        <f>'12 - Device_Configuration'!BG52</f>
        <v>0</v>
      </c>
      <c r="L52" s="17">
        <f>'12 - Device_Configuration'!P52</f>
        <v>0</v>
      </c>
      <c r="M52" s="17">
        <f>'12 - Device_Configuration'!Q52</f>
        <v>0</v>
      </c>
      <c r="N52" s="17" t="str">
        <f>'12 - Device_Configuration'!BK52</f>
        <v/>
      </c>
      <c r="O52" s="30" t="str">
        <f>'12 - Device_Configuration'!BL52</f>
        <v/>
      </c>
      <c r="P52" s="2">
        <f>'12 - Device_Configuration'!BA52</f>
        <v>0</v>
      </c>
      <c r="Q52" s="30" t="str">
        <f t="shared" si="0"/>
        <v/>
      </c>
      <c r="R52" s="17" t="str">
        <f t="shared" si="1"/>
        <v>SW NOT INSTALLED</v>
      </c>
      <c r="S52" s="17" t="str">
        <f t="shared" si="2"/>
        <v/>
      </c>
      <c r="T52" s="17" t="str">
        <f t="shared" si="3"/>
        <v>SW NOT INSTALLED</v>
      </c>
    </row>
    <row r="53" spans="1:20">
      <c r="A53" s="30" t="str">
        <f>'12 - Device_Configuration'!H53</f>
        <v>MEETH</v>
      </c>
      <c r="B53" s="30" t="str">
        <f>'12 - Device_Configuration'!S53</f>
        <v>WNY210OPR054</v>
      </c>
      <c r="C53" s="30">
        <f>'12 - Device_Configuration'!T53</f>
        <v>0</v>
      </c>
      <c r="D53" s="17">
        <f>'12 - Device_Configuration'!AJ53</f>
        <v>0</v>
      </c>
      <c r="E53" s="17" t="str">
        <f>'12 - Device_Configuration'!J53</f>
        <v>Yes</v>
      </c>
      <c r="F53" s="30" t="str">
        <f>'12 - Device_Configuration'!K53</f>
        <v>No</v>
      </c>
      <c r="G53" s="17" t="str">
        <f>'12 - Device_Configuration'!L53</f>
        <v>No</v>
      </c>
      <c r="H53" s="17">
        <f>'13 - Config_Intake_View'!M53</f>
        <v>0</v>
      </c>
      <c r="I53" s="30">
        <f>IF('13 - Config_Intake_View'!Q53&lt;&gt;"",'13 - Config_Intake_View'!Q53,'12 - Device_Configuration'!BH53)</f>
        <v>0</v>
      </c>
      <c r="J53" s="17" t="str">
        <f>IF('13 - Config_Intake_View'!Q53&lt;&gt;"","PM Approved",IF('12 - Device_Configuration'!BH53&lt;&gt;"","Assumed",""))</f>
        <v/>
      </c>
      <c r="K53" s="30">
        <f>'12 - Device_Configuration'!BG53</f>
        <v>0</v>
      </c>
      <c r="L53" s="17">
        <f>'12 - Device_Configuration'!P53</f>
        <v>0</v>
      </c>
      <c r="M53" s="17">
        <f>'12 - Device_Configuration'!Q53</f>
        <v>0</v>
      </c>
      <c r="N53" s="17" t="str">
        <f>'12 - Device_Configuration'!BK53</f>
        <v/>
      </c>
      <c r="O53" s="30" t="str">
        <f>'12 - Device_Configuration'!BL53</f>
        <v/>
      </c>
      <c r="P53" s="2">
        <f>'12 - Device_Configuration'!BA53</f>
        <v>0</v>
      </c>
      <c r="Q53" s="30" t="str">
        <f t="shared" si="0"/>
        <v/>
      </c>
      <c r="R53" s="17" t="str">
        <f t="shared" si="1"/>
        <v>SW NOT INSTALLED</v>
      </c>
      <c r="S53" s="17" t="str">
        <f t="shared" si="2"/>
        <v/>
      </c>
      <c r="T53" s="17" t="str">
        <f t="shared" si="3"/>
        <v>SW NOT INSTALLED</v>
      </c>
    </row>
    <row r="54" spans="1:20">
      <c r="A54" s="30" t="str">
        <f>'12 - Device_Configuration'!H54</f>
        <v>NSUH</v>
      </c>
      <c r="B54" s="30" t="str">
        <f>'12 - Device_Configuration'!S54</f>
        <v>WMH300OPR336</v>
      </c>
      <c r="C54" s="30">
        <f>'12 - Device_Configuration'!T54</f>
        <v>0</v>
      </c>
      <c r="D54" s="17" t="str">
        <f>'12 - Device_Configuration'!AJ54</f>
        <v>CyberMed-S24 TGL</v>
      </c>
      <c r="E54" s="17" t="str">
        <f>'12 - Device_Configuration'!J54</f>
        <v>Yes</v>
      </c>
      <c r="F54" s="30" t="str">
        <f>'12 - Device_Configuration'!K54</f>
        <v>No</v>
      </c>
      <c r="G54" s="17" t="str">
        <f>'12 - Device_Configuration'!L54</f>
        <v>No</v>
      </c>
      <c r="H54" s="17">
        <f>'13 - Config_Intake_View'!M54</f>
        <v>0</v>
      </c>
      <c r="I54" s="30">
        <f>IF('13 - Config_Intake_View'!Q54&lt;&gt;"",'13 - Config_Intake_View'!Q54,'12 - Device_Configuration'!BH54)</f>
        <v>0</v>
      </c>
      <c r="J54" s="17" t="str">
        <f>IF('13 - Config_Intake_View'!Q54&lt;&gt;"","PM Approved",IF('12 - Device_Configuration'!BH54&lt;&gt;"","Assumed",""))</f>
        <v/>
      </c>
      <c r="K54" s="30">
        <f>'12 - Device_Configuration'!BG54</f>
        <v>0</v>
      </c>
      <c r="L54" s="17">
        <f>'12 - Device_Configuration'!P54</f>
        <v>0</v>
      </c>
      <c r="M54" s="17">
        <f>'12 - Device_Configuration'!Q54</f>
        <v>0</v>
      </c>
      <c r="N54" s="17" t="str">
        <f>'12 - Device_Configuration'!BK54</f>
        <v/>
      </c>
      <c r="O54" s="30" t="str">
        <f>'12 - Device_Configuration'!BL54</f>
        <v/>
      </c>
      <c r="P54" s="2">
        <f>'12 - Device_Configuration'!BA54</f>
        <v>0</v>
      </c>
      <c r="Q54" s="30" t="str">
        <f t="shared" si="0"/>
        <v/>
      </c>
      <c r="R54" s="17" t="str">
        <f t="shared" si="1"/>
        <v>SW NOT INSTALLED</v>
      </c>
      <c r="S54" s="17" t="str">
        <f t="shared" si="2"/>
        <v/>
      </c>
      <c r="T54" s="17" t="str">
        <f t="shared" si="3"/>
        <v>SW NOT INSTALLED</v>
      </c>
    </row>
    <row r="55" spans="1:20">
      <c r="A55" s="30" t="str">
        <f>'12 - Device_Configuration'!H55</f>
        <v>NSUH</v>
      </c>
      <c r="B55" s="30" t="str">
        <f>'12 - Device_Configuration'!S55</f>
        <v>WMH300OPR337</v>
      </c>
      <c r="C55" s="30">
        <f>'12 - Device_Configuration'!T55</f>
        <v>0</v>
      </c>
      <c r="D55" s="17" t="str">
        <f>'12 - Device_Configuration'!AJ55</f>
        <v>CyberMed-S24 TGL</v>
      </c>
      <c r="E55" s="17" t="str">
        <f>'12 - Device_Configuration'!J55</f>
        <v>Yes</v>
      </c>
      <c r="F55" s="30" t="str">
        <f>'12 - Device_Configuration'!K55</f>
        <v>No</v>
      </c>
      <c r="G55" s="17" t="str">
        <f>'12 - Device_Configuration'!L55</f>
        <v>No</v>
      </c>
      <c r="H55" s="17">
        <f>'13 - Config_Intake_View'!M55</f>
        <v>0</v>
      </c>
      <c r="I55" s="30">
        <f>IF('13 - Config_Intake_View'!Q55&lt;&gt;"",'13 - Config_Intake_View'!Q55,'12 - Device_Configuration'!BH55)</f>
        <v>0</v>
      </c>
      <c r="J55" s="17" t="str">
        <f>IF('13 - Config_Intake_View'!Q55&lt;&gt;"","PM Approved",IF('12 - Device_Configuration'!BH55&lt;&gt;"","Assumed",""))</f>
        <v/>
      </c>
      <c r="K55" s="30">
        <f>'12 - Device_Configuration'!BG55</f>
        <v>0</v>
      </c>
      <c r="L55" s="17">
        <f>'12 - Device_Configuration'!P55</f>
        <v>0</v>
      </c>
      <c r="M55" s="17">
        <f>'12 - Device_Configuration'!Q55</f>
        <v>0</v>
      </c>
      <c r="N55" s="17" t="str">
        <f>'12 - Device_Configuration'!BK55</f>
        <v/>
      </c>
      <c r="O55" s="30" t="str">
        <f>'12 - Device_Configuration'!BL55</f>
        <v/>
      </c>
      <c r="P55" s="2">
        <f>'12 - Device_Configuration'!BA55</f>
        <v>0</v>
      </c>
      <c r="Q55" s="30" t="str">
        <f t="shared" si="0"/>
        <v/>
      </c>
      <c r="R55" s="17" t="str">
        <f t="shared" si="1"/>
        <v>SW NOT INSTALLED</v>
      </c>
      <c r="S55" s="17" t="str">
        <f t="shared" si="2"/>
        <v/>
      </c>
      <c r="T55" s="17" t="str">
        <f t="shared" si="3"/>
        <v>SW NOT INSTALLED</v>
      </c>
    </row>
    <row r="56" spans="1:20">
      <c r="A56" s="30" t="str">
        <f>'12 - Device_Configuration'!H56</f>
        <v>NSUH</v>
      </c>
      <c r="B56" s="30" t="str">
        <f>'12 - Device_Configuration'!S56</f>
        <v>WMH300OPR338</v>
      </c>
      <c r="C56" s="30">
        <f>'12 - Device_Configuration'!T56</f>
        <v>0</v>
      </c>
      <c r="D56" s="17">
        <f>'12 - Device_Configuration'!AJ56</f>
        <v>0</v>
      </c>
      <c r="E56" s="17" t="str">
        <f>'12 - Device_Configuration'!J56</f>
        <v>Yes</v>
      </c>
      <c r="F56" s="30" t="str">
        <f>'12 - Device_Configuration'!K56</f>
        <v>No</v>
      </c>
      <c r="G56" s="17" t="str">
        <f>'12 - Device_Configuration'!L56</f>
        <v>No</v>
      </c>
      <c r="H56" s="17">
        <f>'13 - Config_Intake_View'!M56</f>
        <v>0</v>
      </c>
      <c r="I56" s="30">
        <f>IF('13 - Config_Intake_View'!Q56&lt;&gt;"",'13 - Config_Intake_View'!Q56,'12 - Device_Configuration'!BH56)</f>
        <v>0</v>
      </c>
      <c r="J56" s="17" t="str">
        <f>IF('13 - Config_Intake_View'!Q56&lt;&gt;"","PM Approved",IF('12 - Device_Configuration'!BH56&lt;&gt;"","Assumed",""))</f>
        <v/>
      </c>
      <c r="K56" s="30">
        <f>'12 - Device_Configuration'!BG56</f>
        <v>0</v>
      </c>
      <c r="L56" s="17">
        <f>'12 - Device_Configuration'!P56</f>
        <v>0</v>
      </c>
      <c r="M56" s="17">
        <f>'12 - Device_Configuration'!Q56</f>
        <v>0</v>
      </c>
      <c r="N56" s="17" t="str">
        <f>'12 - Device_Configuration'!BK56</f>
        <v/>
      </c>
      <c r="O56" s="30" t="str">
        <f>'12 - Device_Configuration'!BL56</f>
        <v/>
      </c>
      <c r="P56" s="2">
        <f>'12 - Device_Configuration'!BA56</f>
        <v>0</v>
      </c>
      <c r="Q56" s="30" t="str">
        <f t="shared" si="0"/>
        <v/>
      </c>
      <c r="R56" s="17" t="str">
        <f t="shared" si="1"/>
        <v>SW NOT INSTALLED</v>
      </c>
      <c r="S56" s="17" t="str">
        <f t="shared" si="2"/>
        <v/>
      </c>
      <c r="T56" s="17" t="str">
        <f t="shared" si="3"/>
        <v>SW NOT INSTALLED</v>
      </c>
    </row>
    <row r="57" spans="1:20">
      <c r="A57" s="30" t="str">
        <f>'12 - Device_Configuration'!H57</f>
        <v>NSUH</v>
      </c>
      <c r="B57" s="30" t="str">
        <f>'12 - Device_Configuration'!S57</f>
        <v>WMH300OPR339</v>
      </c>
      <c r="C57" s="30">
        <f>'12 - Device_Configuration'!T57</f>
        <v>0</v>
      </c>
      <c r="D57" s="17">
        <f>'12 - Device_Configuration'!AJ57</f>
        <v>0</v>
      </c>
      <c r="E57" s="17" t="str">
        <f>'12 - Device_Configuration'!J57</f>
        <v>Yes</v>
      </c>
      <c r="F57" s="30" t="str">
        <f>'12 - Device_Configuration'!K57</f>
        <v>No</v>
      </c>
      <c r="G57" s="17" t="str">
        <f>'12 - Device_Configuration'!L57</f>
        <v>No</v>
      </c>
      <c r="H57" s="17">
        <f>'13 - Config_Intake_View'!M57</f>
        <v>0</v>
      </c>
      <c r="I57" s="30">
        <f>IF('13 - Config_Intake_View'!Q57&lt;&gt;"",'13 - Config_Intake_View'!Q57,'12 - Device_Configuration'!BH57)</f>
        <v>0</v>
      </c>
      <c r="J57" s="17" t="str">
        <f>IF('13 - Config_Intake_View'!Q57&lt;&gt;"","PM Approved",IF('12 - Device_Configuration'!BH57&lt;&gt;"","Assumed",""))</f>
        <v/>
      </c>
      <c r="K57" s="30">
        <f>'12 - Device_Configuration'!BG57</f>
        <v>0</v>
      </c>
      <c r="L57" s="17">
        <f>'12 - Device_Configuration'!P57</f>
        <v>0</v>
      </c>
      <c r="M57" s="17">
        <f>'12 - Device_Configuration'!Q57</f>
        <v>0</v>
      </c>
      <c r="N57" s="17" t="str">
        <f>'12 - Device_Configuration'!BK57</f>
        <v/>
      </c>
      <c r="O57" s="30" t="str">
        <f>'12 - Device_Configuration'!BL57</f>
        <v/>
      </c>
      <c r="P57" s="2">
        <f>'12 - Device_Configuration'!BA57</f>
        <v>0</v>
      </c>
      <c r="Q57" s="30" t="str">
        <f t="shared" si="0"/>
        <v/>
      </c>
      <c r="R57" s="17" t="str">
        <f t="shared" si="1"/>
        <v>SW NOT INSTALLED</v>
      </c>
      <c r="S57" s="17" t="str">
        <f t="shared" si="2"/>
        <v/>
      </c>
      <c r="T57" s="17" t="str">
        <f t="shared" si="3"/>
        <v>SW NOT INSTALLED</v>
      </c>
    </row>
    <row r="58" spans="1:20">
      <c r="A58" s="30" t="str">
        <f>'12 - Device_Configuration'!H58</f>
        <v>NSUH</v>
      </c>
      <c r="B58" s="30" t="str">
        <f>'12 - Device_Configuration'!S58</f>
        <v>WMH300OPR340</v>
      </c>
      <c r="C58" s="30">
        <f>'12 - Device_Configuration'!T58</f>
        <v>0</v>
      </c>
      <c r="D58" s="17">
        <f>'12 - Device_Configuration'!AJ58</f>
        <v>0</v>
      </c>
      <c r="E58" s="17" t="str">
        <f>'12 - Device_Configuration'!J58</f>
        <v>Yes</v>
      </c>
      <c r="F58" s="30" t="str">
        <f>'12 - Device_Configuration'!K58</f>
        <v>No</v>
      </c>
      <c r="G58" s="17" t="str">
        <f>'12 - Device_Configuration'!L58</f>
        <v>No</v>
      </c>
      <c r="H58" s="17">
        <f>'13 - Config_Intake_View'!M58</f>
        <v>0</v>
      </c>
      <c r="I58" s="30">
        <f>IF('13 - Config_Intake_View'!Q58&lt;&gt;"",'13 - Config_Intake_View'!Q58,'12 - Device_Configuration'!BH58)</f>
        <v>0</v>
      </c>
      <c r="J58" s="17" t="str">
        <f>IF('13 - Config_Intake_View'!Q58&lt;&gt;"","PM Approved",IF('12 - Device_Configuration'!BH58&lt;&gt;"","Assumed",""))</f>
        <v/>
      </c>
      <c r="K58" s="30">
        <f>'12 - Device_Configuration'!BG58</f>
        <v>0</v>
      </c>
      <c r="L58" s="17">
        <f>'12 - Device_Configuration'!P58</f>
        <v>0</v>
      </c>
      <c r="M58" s="17">
        <f>'12 - Device_Configuration'!Q58</f>
        <v>0</v>
      </c>
      <c r="N58" s="17" t="str">
        <f>'12 - Device_Configuration'!BK58</f>
        <v/>
      </c>
      <c r="O58" s="30" t="str">
        <f>'12 - Device_Configuration'!BL58</f>
        <v/>
      </c>
      <c r="P58" s="2">
        <f>'12 - Device_Configuration'!BA58</f>
        <v>0</v>
      </c>
      <c r="Q58" s="30" t="str">
        <f t="shared" si="0"/>
        <v/>
      </c>
      <c r="R58" s="17" t="str">
        <f t="shared" si="1"/>
        <v>SW NOT INSTALLED</v>
      </c>
      <c r="S58" s="17" t="str">
        <f t="shared" si="2"/>
        <v/>
      </c>
      <c r="T58" s="17" t="str">
        <f t="shared" si="3"/>
        <v>SW NOT INSTALLED</v>
      </c>
    </row>
    <row r="59" spans="1:20">
      <c r="A59" s="30" t="str">
        <f>'12 - Device_Configuration'!H59</f>
        <v>NSUH</v>
      </c>
      <c r="B59" s="30" t="str">
        <f>'12 - Device_Configuration'!S59</f>
        <v>WMH300OPR341</v>
      </c>
      <c r="C59" s="30">
        <f>'12 - Device_Configuration'!T59</f>
        <v>0</v>
      </c>
      <c r="D59" s="17">
        <f>'12 - Device_Configuration'!AJ59</f>
        <v>0</v>
      </c>
      <c r="E59" s="17" t="str">
        <f>'12 - Device_Configuration'!J59</f>
        <v>Yes</v>
      </c>
      <c r="F59" s="30" t="str">
        <f>'12 - Device_Configuration'!K59</f>
        <v>No</v>
      </c>
      <c r="G59" s="17" t="str">
        <f>'12 - Device_Configuration'!L59</f>
        <v>No</v>
      </c>
      <c r="H59" s="17">
        <f>'13 - Config_Intake_View'!M59</f>
        <v>0</v>
      </c>
      <c r="I59" s="30">
        <f>IF('13 - Config_Intake_View'!Q59&lt;&gt;"",'13 - Config_Intake_View'!Q59,'12 - Device_Configuration'!BH59)</f>
        <v>0</v>
      </c>
      <c r="J59" s="17" t="str">
        <f>IF('13 - Config_Intake_View'!Q59&lt;&gt;"","PM Approved",IF('12 - Device_Configuration'!BH59&lt;&gt;"","Assumed",""))</f>
        <v/>
      </c>
      <c r="K59" s="30">
        <f>'12 - Device_Configuration'!BG59</f>
        <v>0</v>
      </c>
      <c r="L59" s="17">
        <f>'12 - Device_Configuration'!P59</f>
        <v>0</v>
      </c>
      <c r="M59" s="17">
        <f>'12 - Device_Configuration'!Q59</f>
        <v>0</v>
      </c>
      <c r="N59" s="17" t="str">
        <f>'12 - Device_Configuration'!BK59</f>
        <v/>
      </c>
      <c r="O59" s="30" t="str">
        <f>'12 - Device_Configuration'!BL59</f>
        <v/>
      </c>
      <c r="P59" s="2">
        <f>'12 - Device_Configuration'!BA59</f>
        <v>0</v>
      </c>
      <c r="Q59" s="30" t="str">
        <f t="shared" si="0"/>
        <v/>
      </c>
      <c r="R59" s="17" t="str">
        <f t="shared" si="1"/>
        <v>SW NOT INSTALLED</v>
      </c>
      <c r="S59" s="17" t="str">
        <f t="shared" si="2"/>
        <v/>
      </c>
      <c r="T59" s="17" t="str">
        <f t="shared" si="3"/>
        <v>SW NOT INSTALLED</v>
      </c>
    </row>
    <row r="60" spans="1:20">
      <c r="A60" s="30" t="str">
        <f>'12 - Device_Configuration'!H60</f>
        <v>NSUH</v>
      </c>
      <c r="B60" s="30" t="str">
        <f>'12 - Device_Configuration'!S60</f>
        <v>WMH300OPR342</v>
      </c>
      <c r="C60" s="30">
        <f>'12 - Device_Configuration'!T60</f>
        <v>0</v>
      </c>
      <c r="D60" s="17">
        <f>'12 - Device_Configuration'!AJ60</f>
        <v>0</v>
      </c>
      <c r="E60" s="17" t="str">
        <f>'12 - Device_Configuration'!J60</f>
        <v>Yes</v>
      </c>
      <c r="F60" s="30" t="str">
        <f>'12 - Device_Configuration'!K60</f>
        <v>No</v>
      </c>
      <c r="G60" s="17" t="str">
        <f>'12 - Device_Configuration'!L60</f>
        <v>No</v>
      </c>
      <c r="H60" s="17">
        <f>'13 - Config_Intake_View'!M60</f>
        <v>0</v>
      </c>
      <c r="I60" s="30">
        <f>IF('13 - Config_Intake_View'!Q60&lt;&gt;"",'13 - Config_Intake_View'!Q60,'12 - Device_Configuration'!BH60)</f>
        <v>0</v>
      </c>
      <c r="J60" s="17" t="str">
        <f>IF('13 - Config_Intake_View'!Q60&lt;&gt;"","PM Approved",IF('12 - Device_Configuration'!BH60&lt;&gt;"","Assumed",""))</f>
        <v/>
      </c>
      <c r="K60" s="30">
        <f>'12 - Device_Configuration'!BG60</f>
        <v>0</v>
      </c>
      <c r="L60" s="17">
        <f>'12 - Device_Configuration'!P60</f>
        <v>0</v>
      </c>
      <c r="M60" s="17">
        <f>'12 - Device_Configuration'!Q60</f>
        <v>0</v>
      </c>
      <c r="N60" s="17" t="str">
        <f>'12 - Device_Configuration'!BK60</f>
        <v/>
      </c>
      <c r="O60" s="30" t="str">
        <f>'12 - Device_Configuration'!BL60</f>
        <v/>
      </c>
      <c r="P60" s="2">
        <f>'12 - Device_Configuration'!BA60</f>
        <v>0</v>
      </c>
      <c r="Q60" s="30" t="str">
        <f t="shared" si="0"/>
        <v/>
      </c>
      <c r="R60" s="17" t="str">
        <f t="shared" si="1"/>
        <v>SW NOT INSTALLED</v>
      </c>
      <c r="S60" s="17" t="str">
        <f t="shared" si="2"/>
        <v/>
      </c>
      <c r="T60" s="17" t="str">
        <f t="shared" si="3"/>
        <v>SW NOT INSTALLED</v>
      </c>
    </row>
    <row r="61" spans="1:20">
      <c r="A61" s="30" t="str">
        <f>'12 - Device_Configuration'!H61</f>
        <v>NSUH</v>
      </c>
      <c r="B61" s="30" t="str">
        <f>'12 - Device_Configuration'!S61</f>
        <v>WMH300OPR343</v>
      </c>
      <c r="C61" s="30">
        <f>'12 - Device_Configuration'!T61</f>
        <v>0</v>
      </c>
      <c r="D61" s="17">
        <f>'12 - Device_Configuration'!AJ61</f>
        <v>0</v>
      </c>
      <c r="E61" s="17" t="str">
        <f>'12 - Device_Configuration'!J61</f>
        <v>Yes</v>
      </c>
      <c r="F61" s="30" t="str">
        <f>'12 - Device_Configuration'!K61</f>
        <v>No</v>
      </c>
      <c r="G61" s="17" t="str">
        <f>'12 - Device_Configuration'!L61</f>
        <v>No</v>
      </c>
      <c r="H61" s="17">
        <f>'13 - Config_Intake_View'!M61</f>
        <v>0</v>
      </c>
      <c r="I61" s="30">
        <f>IF('13 - Config_Intake_View'!Q61&lt;&gt;"",'13 - Config_Intake_View'!Q61,'12 - Device_Configuration'!BH61)</f>
        <v>0</v>
      </c>
      <c r="J61" s="17" t="str">
        <f>IF('13 - Config_Intake_View'!Q61&lt;&gt;"","PM Approved",IF('12 - Device_Configuration'!BH61&lt;&gt;"","Assumed",""))</f>
        <v/>
      </c>
      <c r="K61" s="30">
        <f>'12 - Device_Configuration'!BG61</f>
        <v>0</v>
      </c>
      <c r="L61" s="17">
        <f>'12 - Device_Configuration'!P61</f>
        <v>0</v>
      </c>
      <c r="M61" s="17">
        <f>'12 - Device_Configuration'!Q61</f>
        <v>0</v>
      </c>
      <c r="N61" s="17" t="str">
        <f>'12 - Device_Configuration'!BK61</f>
        <v/>
      </c>
      <c r="O61" s="30" t="str">
        <f>'12 - Device_Configuration'!BL61</f>
        <v/>
      </c>
      <c r="P61" s="2">
        <f>'12 - Device_Configuration'!BA61</f>
        <v>0</v>
      </c>
      <c r="Q61" s="30" t="str">
        <f t="shared" si="0"/>
        <v/>
      </c>
      <c r="R61" s="17" t="str">
        <f t="shared" si="1"/>
        <v>SW NOT INSTALLED</v>
      </c>
      <c r="S61" s="17" t="str">
        <f t="shared" si="2"/>
        <v/>
      </c>
      <c r="T61" s="17" t="str">
        <f t="shared" si="3"/>
        <v>SW NOT INSTALLED</v>
      </c>
    </row>
    <row r="62" spans="1:20">
      <c r="A62" s="30" t="str">
        <f>'12 - Device_Configuration'!H62</f>
        <v>NSUH</v>
      </c>
      <c r="B62" s="30" t="str">
        <f>'12 - Device_Configuration'!S62</f>
        <v>WMH300OPR344</v>
      </c>
      <c r="C62" s="30">
        <f>'12 - Device_Configuration'!T62</f>
        <v>0</v>
      </c>
      <c r="D62" s="17">
        <f>'12 - Device_Configuration'!AJ62</f>
        <v>0</v>
      </c>
      <c r="E62" s="17" t="str">
        <f>'12 - Device_Configuration'!J62</f>
        <v>Yes</v>
      </c>
      <c r="F62" s="30" t="str">
        <f>'12 - Device_Configuration'!K62</f>
        <v>No</v>
      </c>
      <c r="G62" s="17" t="str">
        <f>'12 - Device_Configuration'!L62</f>
        <v>No</v>
      </c>
      <c r="H62" s="17">
        <f>'13 - Config_Intake_View'!M62</f>
        <v>0</v>
      </c>
      <c r="I62" s="30">
        <f>IF('13 - Config_Intake_View'!Q62&lt;&gt;"",'13 - Config_Intake_View'!Q62,'12 - Device_Configuration'!BH62)</f>
        <v>0</v>
      </c>
      <c r="J62" s="17" t="str">
        <f>IF('13 - Config_Intake_View'!Q62&lt;&gt;"","PM Approved",IF('12 - Device_Configuration'!BH62&lt;&gt;"","Assumed",""))</f>
        <v/>
      </c>
      <c r="K62" s="30">
        <f>'12 - Device_Configuration'!BG62</f>
        <v>0</v>
      </c>
      <c r="L62" s="17">
        <f>'12 - Device_Configuration'!P62</f>
        <v>0</v>
      </c>
      <c r="M62" s="17">
        <f>'12 - Device_Configuration'!Q62</f>
        <v>0</v>
      </c>
      <c r="N62" s="17" t="str">
        <f>'12 - Device_Configuration'!BK62</f>
        <v/>
      </c>
      <c r="O62" s="30" t="str">
        <f>'12 - Device_Configuration'!BL62</f>
        <v/>
      </c>
      <c r="P62" s="2">
        <f>'12 - Device_Configuration'!BA62</f>
        <v>0</v>
      </c>
      <c r="Q62" s="30" t="str">
        <f t="shared" si="0"/>
        <v/>
      </c>
      <c r="R62" s="17" t="str">
        <f t="shared" si="1"/>
        <v>SW NOT INSTALLED</v>
      </c>
      <c r="S62" s="17" t="str">
        <f t="shared" si="2"/>
        <v/>
      </c>
      <c r="T62" s="17" t="str">
        <f t="shared" si="3"/>
        <v>SW NOT INSTALLED</v>
      </c>
    </row>
    <row r="63" spans="1:20">
      <c r="A63" s="30" t="str">
        <f>'12 - Device_Configuration'!H63</f>
        <v>NSUH</v>
      </c>
      <c r="B63" s="30" t="str">
        <f>'12 - Device_Configuration'!S63</f>
        <v>WMH300OPR345</v>
      </c>
      <c r="C63" s="30">
        <f>'12 - Device_Configuration'!T63</f>
        <v>0</v>
      </c>
      <c r="D63" s="17">
        <f>'12 - Device_Configuration'!AJ63</f>
        <v>0</v>
      </c>
      <c r="E63" s="17" t="str">
        <f>'12 - Device_Configuration'!J63</f>
        <v>Yes</v>
      </c>
      <c r="F63" s="30" t="str">
        <f>'12 - Device_Configuration'!K63</f>
        <v>No</v>
      </c>
      <c r="G63" s="17" t="str">
        <f>'12 - Device_Configuration'!L63</f>
        <v>No</v>
      </c>
      <c r="H63" s="17">
        <f>'13 - Config_Intake_View'!M63</f>
        <v>0</v>
      </c>
      <c r="I63" s="30">
        <f>IF('13 - Config_Intake_View'!Q63&lt;&gt;"",'13 - Config_Intake_View'!Q63,'12 - Device_Configuration'!BH63)</f>
        <v>0</v>
      </c>
      <c r="J63" s="17" t="str">
        <f>IF('13 - Config_Intake_View'!Q63&lt;&gt;"","PM Approved",IF('12 - Device_Configuration'!BH63&lt;&gt;"","Assumed",""))</f>
        <v/>
      </c>
      <c r="K63" s="30">
        <f>'12 - Device_Configuration'!BG63</f>
        <v>0</v>
      </c>
      <c r="L63" s="17">
        <f>'12 - Device_Configuration'!P63</f>
        <v>0</v>
      </c>
      <c r="M63" s="17">
        <f>'12 - Device_Configuration'!Q63</f>
        <v>0</v>
      </c>
      <c r="N63" s="17" t="str">
        <f>'12 - Device_Configuration'!BK63</f>
        <v/>
      </c>
      <c r="O63" s="30" t="str">
        <f>'12 - Device_Configuration'!BL63</f>
        <v/>
      </c>
      <c r="P63" s="2">
        <f>'12 - Device_Configuration'!BA63</f>
        <v>0</v>
      </c>
      <c r="Q63" s="30" t="str">
        <f t="shared" si="0"/>
        <v/>
      </c>
      <c r="R63" s="17" t="str">
        <f t="shared" si="1"/>
        <v>SW NOT INSTALLED</v>
      </c>
      <c r="S63" s="17" t="str">
        <f t="shared" si="2"/>
        <v/>
      </c>
      <c r="T63" s="17" t="str">
        <f t="shared" si="3"/>
        <v>SW NOT INSTALLED</v>
      </c>
    </row>
    <row r="64" spans="1:20">
      <c r="A64" s="30" t="str">
        <f>'12 - Device_Configuration'!H64</f>
        <v>NSUH</v>
      </c>
      <c r="B64" s="30" t="str">
        <f>'12 - Device_Configuration'!S64</f>
        <v>WMH300OPR346</v>
      </c>
      <c r="C64" s="30">
        <f>'12 - Device_Configuration'!T64</f>
        <v>0</v>
      </c>
      <c r="D64" s="17">
        <f>'12 - Device_Configuration'!AJ64</f>
        <v>0</v>
      </c>
      <c r="E64" s="17" t="str">
        <f>'12 - Device_Configuration'!J64</f>
        <v>Yes</v>
      </c>
      <c r="F64" s="30" t="str">
        <f>'12 - Device_Configuration'!K64</f>
        <v>No</v>
      </c>
      <c r="G64" s="17" t="str">
        <f>'12 - Device_Configuration'!L64</f>
        <v>No</v>
      </c>
      <c r="H64" s="17">
        <f>'13 - Config_Intake_View'!M64</f>
        <v>0</v>
      </c>
      <c r="I64" s="30">
        <f>IF('13 - Config_Intake_View'!Q64&lt;&gt;"",'13 - Config_Intake_View'!Q64,'12 - Device_Configuration'!BH64)</f>
        <v>0</v>
      </c>
      <c r="J64" s="17" t="str">
        <f>IF('13 - Config_Intake_View'!Q64&lt;&gt;"","PM Approved",IF('12 - Device_Configuration'!BH64&lt;&gt;"","Assumed",""))</f>
        <v/>
      </c>
      <c r="K64" s="30">
        <f>'12 - Device_Configuration'!BG64</f>
        <v>0</v>
      </c>
      <c r="L64" s="17">
        <f>'12 - Device_Configuration'!P64</f>
        <v>0</v>
      </c>
      <c r="M64" s="17">
        <f>'12 - Device_Configuration'!Q64</f>
        <v>0</v>
      </c>
      <c r="N64" s="17" t="str">
        <f>'12 - Device_Configuration'!BK64</f>
        <v/>
      </c>
      <c r="O64" s="30" t="str">
        <f>'12 - Device_Configuration'!BL64</f>
        <v/>
      </c>
      <c r="P64" s="2">
        <f>'12 - Device_Configuration'!BA64</f>
        <v>0</v>
      </c>
      <c r="Q64" s="30" t="str">
        <f t="shared" si="0"/>
        <v/>
      </c>
      <c r="R64" s="17" t="str">
        <f t="shared" si="1"/>
        <v>SW NOT INSTALLED</v>
      </c>
      <c r="S64" s="17" t="str">
        <f t="shared" si="2"/>
        <v/>
      </c>
      <c r="T64" s="17" t="str">
        <f t="shared" si="3"/>
        <v>SW NOT INSTALLED</v>
      </c>
    </row>
    <row r="65" spans="1:20">
      <c r="A65" s="30" t="str">
        <f>'12 - Device_Configuration'!H65</f>
        <v>NSUH</v>
      </c>
      <c r="B65" s="30" t="str">
        <f>'12 - Device_Configuration'!S65</f>
        <v>WMH300OPR347</v>
      </c>
      <c r="C65" s="30">
        <f>'12 - Device_Configuration'!T65</f>
        <v>0</v>
      </c>
      <c r="D65" s="17">
        <f>'12 - Device_Configuration'!AJ65</f>
        <v>0</v>
      </c>
      <c r="E65" s="17" t="str">
        <f>'12 - Device_Configuration'!J65</f>
        <v>Yes</v>
      </c>
      <c r="F65" s="30" t="str">
        <f>'12 - Device_Configuration'!K65</f>
        <v>No</v>
      </c>
      <c r="G65" s="17" t="str">
        <f>'12 - Device_Configuration'!L65</f>
        <v>No</v>
      </c>
      <c r="H65" s="17">
        <f>'13 - Config_Intake_View'!M65</f>
        <v>0</v>
      </c>
      <c r="I65" s="30">
        <f>IF('13 - Config_Intake_View'!Q65&lt;&gt;"",'13 - Config_Intake_View'!Q65,'12 - Device_Configuration'!BH65)</f>
        <v>0</v>
      </c>
      <c r="J65" s="17" t="str">
        <f>IF('13 - Config_Intake_View'!Q65&lt;&gt;"","PM Approved",IF('12 - Device_Configuration'!BH65&lt;&gt;"","Assumed",""))</f>
        <v/>
      </c>
      <c r="K65" s="30">
        <f>'12 - Device_Configuration'!BG65</f>
        <v>0</v>
      </c>
      <c r="L65" s="17">
        <f>'12 - Device_Configuration'!P65</f>
        <v>0</v>
      </c>
      <c r="M65" s="17">
        <f>'12 - Device_Configuration'!Q65</f>
        <v>0</v>
      </c>
      <c r="N65" s="17" t="str">
        <f>'12 - Device_Configuration'!BK65</f>
        <v/>
      </c>
      <c r="O65" s="30" t="str">
        <f>'12 - Device_Configuration'!BL65</f>
        <v/>
      </c>
      <c r="P65" s="2">
        <f>'12 - Device_Configuration'!BA65</f>
        <v>0</v>
      </c>
      <c r="Q65" s="30" t="str">
        <f t="shared" si="0"/>
        <v/>
      </c>
      <c r="R65" s="17" t="str">
        <f t="shared" si="1"/>
        <v>SW NOT INSTALLED</v>
      </c>
      <c r="S65" s="17" t="str">
        <f t="shared" si="2"/>
        <v/>
      </c>
      <c r="T65" s="17" t="str">
        <f t="shared" si="3"/>
        <v>SW NOT INSTALLED</v>
      </c>
    </row>
    <row r="66" spans="1:20">
      <c r="A66" s="30" t="str">
        <f>'12 - Device_Configuration'!H66</f>
        <v>NSUH</v>
      </c>
      <c r="B66" s="30" t="str">
        <f>'12 - Device_Configuration'!S66</f>
        <v>WMH300OPR348</v>
      </c>
      <c r="C66" s="30">
        <f>'12 - Device_Configuration'!T66</f>
        <v>0</v>
      </c>
      <c r="D66" s="17">
        <f>'12 - Device_Configuration'!AJ66</f>
        <v>0</v>
      </c>
      <c r="E66" s="17" t="str">
        <f>'12 - Device_Configuration'!J66</f>
        <v>Yes</v>
      </c>
      <c r="F66" s="30" t="str">
        <f>'12 - Device_Configuration'!K66</f>
        <v>No</v>
      </c>
      <c r="G66" s="17" t="str">
        <f>'12 - Device_Configuration'!L66</f>
        <v>No</v>
      </c>
      <c r="H66" s="17">
        <f>'13 - Config_Intake_View'!M66</f>
        <v>0</v>
      </c>
      <c r="I66" s="30">
        <f>IF('13 - Config_Intake_View'!Q66&lt;&gt;"",'13 - Config_Intake_View'!Q66,'12 - Device_Configuration'!BH66)</f>
        <v>0</v>
      </c>
      <c r="J66" s="17" t="str">
        <f>IF('13 - Config_Intake_View'!Q66&lt;&gt;"","PM Approved",IF('12 - Device_Configuration'!BH66&lt;&gt;"","Assumed",""))</f>
        <v/>
      </c>
      <c r="K66" s="30">
        <f>'12 - Device_Configuration'!BG66</f>
        <v>0</v>
      </c>
      <c r="L66" s="17">
        <f>'12 - Device_Configuration'!P66</f>
        <v>0</v>
      </c>
      <c r="M66" s="17">
        <f>'12 - Device_Configuration'!Q66</f>
        <v>0</v>
      </c>
      <c r="N66" s="17" t="str">
        <f>'12 - Device_Configuration'!BK66</f>
        <v/>
      </c>
      <c r="O66" s="30" t="str">
        <f>'12 - Device_Configuration'!BL66</f>
        <v/>
      </c>
      <c r="P66" s="2">
        <f>'12 - Device_Configuration'!BA66</f>
        <v>0</v>
      </c>
      <c r="Q66" s="30" t="str">
        <f t="shared" ref="Q66:Q129" si="4">IF(OR($A66="",$B66="",$D66=""),"MISSING CORE FIELDS","")</f>
        <v/>
      </c>
      <c r="R66" s="17" t="str">
        <f t="shared" ref="R66:R129" si="5">IF(AND($I66&lt;&gt;"",$K66&lt;&gt;"Yes"),"SW NOT INSTALLED","")</f>
        <v>SW NOT INSTALLED</v>
      </c>
      <c r="S66" s="17" t="str">
        <f t="shared" ref="S66:S129" si="6">IF(AND($H66&lt;&gt;"",ISNUMBER(SEARCH("auto",LOWER($H66))),$F66=""),"AUTOLOGON REQUIRED","")</f>
        <v/>
      </c>
      <c r="T66" s="17" t="str">
        <f t="shared" ref="T66:T129" si="7">IF($Q66&lt;&gt;"",$Q66,IF($S66&lt;&gt;"",$S66,IF($R66&lt;&gt;"",$R66,IF(OR($N66&lt;&gt;"",$O66="Blocked"),"BLOCKED","OK"))))</f>
        <v>SW NOT INSTALLED</v>
      </c>
    </row>
    <row r="67" spans="1:20">
      <c r="A67" s="30" t="str">
        <f>'12 - Device_Configuration'!H67</f>
        <v>NSUH</v>
      </c>
      <c r="B67" s="30" t="str">
        <f>'12 - Device_Configuration'!S67</f>
        <v>WMH300OPR349</v>
      </c>
      <c r="C67" s="30">
        <f>'12 - Device_Configuration'!T67</f>
        <v>0</v>
      </c>
      <c r="D67" s="17">
        <f>'12 - Device_Configuration'!AJ67</f>
        <v>0</v>
      </c>
      <c r="E67" s="17" t="str">
        <f>'12 - Device_Configuration'!J67</f>
        <v>Yes</v>
      </c>
      <c r="F67" s="30" t="str">
        <f>'12 - Device_Configuration'!K67</f>
        <v>No</v>
      </c>
      <c r="G67" s="17" t="str">
        <f>'12 - Device_Configuration'!L67</f>
        <v>No</v>
      </c>
      <c r="H67" s="17">
        <f>'13 - Config_Intake_View'!M67</f>
        <v>0</v>
      </c>
      <c r="I67" s="30">
        <f>IF('13 - Config_Intake_View'!Q67&lt;&gt;"",'13 - Config_Intake_View'!Q67,'12 - Device_Configuration'!BH67)</f>
        <v>0</v>
      </c>
      <c r="J67" s="17" t="str">
        <f>IF('13 - Config_Intake_View'!Q67&lt;&gt;"","PM Approved",IF('12 - Device_Configuration'!BH67&lt;&gt;"","Assumed",""))</f>
        <v/>
      </c>
      <c r="K67" s="30">
        <f>'12 - Device_Configuration'!BG67</f>
        <v>0</v>
      </c>
      <c r="L67" s="17">
        <f>'12 - Device_Configuration'!P67</f>
        <v>0</v>
      </c>
      <c r="M67" s="17">
        <f>'12 - Device_Configuration'!Q67</f>
        <v>0</v>
      </c>
      <c r="N67" s="17" t="str">
        <f>'12 - Device_Configuration'!BK67</f>
        <v/>
      </c>
      <c r="O67" s="30" t="str">
        <f>'12 - Device_Configuration'!BL67</f>
        <v/>
      </c>
      <c r="P67" s="2">
        <f>'12 - Device_Configuration'!BA67</f>
        <v>0</v>
      </c>
      <c r="Q67" s="30" t="str">
        <f t="shared" si="4"/>
        <v/>
      </c>
      <c r="R67" s="17" t="str">
        <f t="shared" si="5"/>
        <v>SW NOT INSTALLED</v>
      </c>
      <c r="S67" s="17" t="str">
        <f t="shared" si="6"/>
        <v/>
      </c>
      <c r="T67" s="17" t="str">
        <f t="shared" si="7"/>
        <v>SW NOT INSTALLED</v>
      </c>
    </row>
    <row r="68" spans="1:20">
      <c r="A68" s="30" t="str">
        <f>'12 - Device_Configuration'!H68</f>
        <v>NSUH</v>
      </c>
      <c r="B68" s="30" t="str">
        <f>'12 - Device_Configuration'!S68</f>
        <v>WMH300OPR350</v>
      </c>
      <c r="C68" s="30">
        <f>'12 - Device_Configuration'!T68</f>
        <v>0</v>
      </c>
      <c r="D68" s="17">
        <f>'12 - Device_Configuration'!AJ68</f>
        <v>0</v>
      </c>
      <c r="E68" s="17" t="str">
        <f>'12 - Device_Configuration'!J68</f>
        <v>Yes</v>
      </c>
      <c r="F68" s="30" t="str">
        <f>'12 - Device_Configuration'!K68</f>
        <v>No</v>
      </c>
      <c r="G68" s="17" t="str">
        <f>'12 - Device_Configuration'!L68</f>
        <v>No</v>
      </c>
      <c r="H68" s="17">
        <f>'13 - Config_Intake_View'!M68</f>
        <v>0</v>
      </c>
      <c r="I68" s="30">
        <f>IF('13 - Config_Intake_View'!Q68&lt;&gt;"",'13 - Config_Intake_View'!Q68,'12 - Device_Configuration'!BH68)</f>
        <v>0</v>
      </c>
      <c r="J68" s="17" t="str">
        <f>IF('13 - Config_Intake_View'!Q68&lt;&gt;"","PM Approved",IF('12 - Device_Configuration'!BH68&lt;&gt;"","Assumed",""))</f>
        <v/>
      </c>
      <c r="K68" s="30">
        <f>'12 - Device_Configuration'!BG68</f>
        <v>0</v>
      </c>
      <c r="L68" s="17">
        <f>'12 - Device_Configuration'!P68</f>
        <v>0</v>
      </c>
      <c r="M68" s="17">
        <f>'12 - Device_Configuration'!Q68</f>
        <v>0</v>
      </c>
      <c r="N68" s="17" t="str">
        <f>'12 - Device_Configuration'!BK68</f>
        <v/>
      </c>
      <c r="O68" s="30" t="str">
        <f>'12 - Device_Configuration'!BL68</f>
        <v/>
      </c>
      <c r="P68" s="2">
        <f>'12 - Device_Configuration'!BA68</f>
        <v>0</v>
      </c>
      <c r="Q68" s="30" t="str">
        <f t="shared" si="4"/>
        <v/>
      </c>
      <c r="R68" s="17" t="str">
        <f t="shared" si="5"/>
        <v>SW NOT INSTALLED</v>
      </c>
      <c r="S68" s="17" t="str">
        <f t="shared" si="6"/>
        <v/>
      </c>
      <c r="T68" s="17" t="str">
        <f t="shared" si="7"/>
        <v>SW NOT INSTALLED</v>
      </c>
    </row>
    <row r="69" spans="1:20">
      <c r="A69" s="30" t="str">
        <f>'12 - Device_Configuration'!H69</f>
        <v>LIJ - CCMC</v>
      </c>
      <c r="B69" s="30" t="str">
        <f>'12 - Device_Configuration'!S69</f>
        <v>WNH269OPR013</v>
      </c>
      <c r="C69" s="30">
        <f>'12 - Device_Configuration'!T69</f>
        <v>0</v>
      </c>
      <c r="D69" s="17">
        <f>'12 - Device_Configuration'!AJ69</f>
        <v>0</v>
      </c>
      <c r="E69" s="17" t="str">
        <f>'12 - Device_Configuration'!J69</f>
        <v>Yes</v>
      </c>
      <c r="F69" s="30" t="str">
        <f>'12 - Device_Configuration'!K69</f>
        <v>No</v>
      </c>
      <c r="G69" s="17" t="str">
        <f>'12 - Device_Configuration'!L69</f>
        <v>No</v>
      </c>
      <c r="H69" s="17">
        <f>'13 - Config_Intake_View'!M69</f>
        <v>0</v>
      </c>
      <c r="I69" s="30">
        <f>IF('13 - Config_Intake_View'!Q69&lt;&gt;"",'13 - Config_Intake_View'!Q69,'12 - Device_Configuration'!BH69)</f>
        <v>0</v>
      </c>
      <c r="J69" s="17" t="str">
        <f>IF('13 - Config_Intake_View'!Q69&lt;&gt;"","PM Approved",IF('12 - Device_Configuration'!BH69&lt;&gt;"","Assumed",""))</f>
        <v/>
      </c>
      <c r="K69" s="30">
        <f>'12 - Device_Configuration'!BG69</f>
        <v>0</v>
      </c>
      <c r="L69" s="17">
        <f>'12 - Device_Configuration'!P69</f>
        <v>0</v>
      </c>
      <c r="M69" s="17">
        <f>'12 - Device_Configuration'!Q69</f>
        <v>0</v>
      </c>
      <c r="N69" s="17" t="str">
        <f>'12 - Device_Configuration'!BK69</f>
        <v/>
      </c>
      <c r="O69" s="30" t="str">
        <f>'12 - Device_Configuration'!BL69</f>
        <v/>
      </c>
      <c r="P69" s="2">
        <f>'12 - Device_Configuration'!BA69</f>
        <v>0</v>
      </c>
      <c r="Q69" s="30" t="str">
        <f t="shared" si="4"/>
        <v/>
      </c>
      <c r="R69" s="17" t="str">
        <f t="shared" si="5"/>
        <v>SW NOT INSTALLED</v>
      </c>
      <c r="S69" s="17" t="str">
        <f t="shared" si="6"/>
        <v/>
      </c>
      <c r="T69" s="17" t="str">
        <f t="shared" si="7"/>
        <v>SW NOT INSTALLED</v>
      </c>
    </row>
    <row r="70" spans="1:20">
      <c r="A70" s="30" t="str">
        <f>'12 - Device_Configuration'!H70</f>
        <v>LIJ - CCMC</v>
      </c>
      <c r="B70" s="30" t="str">
        <f>'12 - Device_Configuration'!S70</f>
        <v>WNH269OPR014</v>
      </c>
      <c r="C70" s="30">
        <f>'12 - Device_Configuration'!T70</f>
        <v>0</v>
      </c>
      <c r="D70" s="17">
        <f>'12 - Device_Configuration'!AJ70</f>
        <v>0</v>
      </c>
      <c r="E70" s="17" t="str">
        <f>'12 - Device_Configuration'!J70</f>
        <v>Yes</v>
      </c>
      <c r="F70" s="30" t="str">
        <f>'12 - Device_Configuration'!K70</f>
        <v>No</v>
      </c>
      <c r="G70" s="17" t="str">
        <f>'12 - Device_Configuration'!L70</f>
        <v>No</v>
      </c>
      <c r="H70" s="17">
        <f>'13 - Config_Intake_View'!M70</f>
        <v>0</v>
      </c>
      <c r="I70" s="30">
        <f>IF('13 - Config_Intake_View'!Q70&lt;&gt;"",'13 - Config_Intake_View'!Q70,'12 - Device_Configuration'!BH70)</f>
        <v>0</v>
      </c>
      <c r="J70" s="17" t="str">
        <f>IF('13 - Config_Intake_View'!Q70&lt;&gt;"","PM Approved",IF('12 - Device_Configuration'!BH70&lt;&gt;"","Assumed",""))</f>
        <v/>
      </c>
      <c r="K70" s="30">
        <f>'12 - Device_Configuration'!BG70</f>
        <v>0</v>
      </c>
      <c r="L70" s="17">
        <f>'12 - Device_Configuration'!P70</f>
        <v>0</v>
      </c>
      <c r="M70" s="17">
        <f>'12 - Device_Configuration'!Q70</f>
        <v>0</v>
      </c>
      <c r="N70" s="17" t="str">
        <f>'12 - Device_Configuration'!BK70</f>
        <v/>
      </c>
      <c r="O70" s="30" t="str">
        <f>'12 - Device_Configuration'!BL70</f>
        <v/>
      </c>
      <c r="P70" s="2">
        <f>'12 - Device_Configuration'!BA70</f>
        <v>0</v>
      </c>
      <c r="Q70" s="30" t="str">
        <f t="shared" si="4"/>
        <v/>
      </c>
      <c r="R70" s="17" t="str">
        <f t="shared" si="5"/>
        <v>SW NOT INSTALLED</v>
      </c>
      <c r="S70" s="17" t="str">
        <f t="shared" si="6"/>
        <v/>
      </c>
      <c r="T70" s="17" t="str">
        <f t="shared" si="7"/>
        <v>SW NOT INSTALLED</v>
      </c>
    </row>
    <row r="71" spans="1:20">
      <c r="A71" s="30" t="str">
        <f>'12 - Device_Configuration'!H71</f>
        <v>LIJ - CCMC</v>
      </c>
      <c r="B71" s="30" t="str">
        <f>'12 - Device_Configuration'!S71</f>
        <v>WNH269OPR015</v>
      </c>
      <c r="C71" s="30">
        <f>'12 - Device_Configuration'!T71</f>
        <v>0</v>
      </c>
      <c r="D71" s="17">
        <f>'12 - Device_Configuration'!AJ71</f>
        <v>0</v>
      </c>
      <c r="E71" s="17" t="str">
        <f>'12 - Device_Configuration'!J71</f>
        <v>Yes</v>
      </c>
      <c r="F71" s="30" t="str">
        <f>'12 - Device_Configuration'!K71</f>
        <v>No</v>
      </c>
      <c r="G71" s="17" t="str">
        <f>'12 - Device_Configuration'!L71</f>
        <v>No</v>
      </c>
      <c r="H71" s="17">
        <f>'13 - Config_Intake_View'!M71</f>
        <v>0</v>
      </c>
      <c r="I71" s="30">
        <f>IF('13 - Config_Intake_View'!Q71&lt;&gt;"",'13 - Config_Intake_View'!Q71,'12 - Device_Configuration'!BH71)</f>
        <v>0</v>
      </c>
      <c r="J71" s="17" t="str">
        <f>IF('13 - Config_Intake_View'!Q71&lt;&gt;"","PM Approved",IF('12 - Device_Configuration'!BH71&lt;&gt;"","Assumed",""))</f>
        <v/>
      </c>
      <c r="K71" s="30">
        <f>'12 - Device_Configuration'!BG71</f>
        <v>0</v>
      </c>
      <c r="L71" s="17">
        <f>'12 - Device_Configuration'!P71</f>
        <v>0</v>
      </c>
      <c r="M71" s="17">
        <f>'12 - Device_Configuration'!Q71</f>
        <v>0</v>
      </c>
      <c r="N71" s="17" t="str">
        <f>'12 - Device_Configuration'!BK71</f>
        <v/>
      </c>
      <c r="O71" s="30" t="str">
        <f>'12 - Device_Configuration'!BL71</f>
        <v/>
      </c>
      <c r="P71" s="2">
        <f>'12 - Device_Configuration'!BA71</f>
        <v>0</v>
      </c>
      <c r="Q71" s="30" t="str">
        <f t="shared" si="4"/>
        <v/>
      </c>
      <c r="R71" s="17" t="str">
        <f t="shared" si="5"/>
        <v>SW NOT INSTALLED</v>
      </c>
      <c r="S71" s="17" t="str">
        <f t="shared" si="6"/>
        <v/>
      </c>
      <c r="T71" s="17" t="str">
        <f t="shared" si="7"/>
        <v>SW NOT INSTALLED</v>
      </c>
    </row>
    <row r="72" spans="1:20">
      <c r="A72" s="30" t="str">
        <f>'12 - Device_Configuration'!H72</f>
        <v>LIJ - CCMC</v>
      </c>
      <c r="B72" s="30" t="str">
        <f>'12 - Device_Configuration'!S72</f>
        <v>WNH269OPR016</v>
      </c>
      <c r="C72" s="30">
        <f>'12 - Device_Configuration'!T72</f>
        <v>0</v>
      </c>
      <c r="D72" s="17">
        <f>'12 - Device_Configuration'!AJ72</f>
        <v>0</v>
      </c>
      <c r="E72" s="17" t="str">
        <f>'12 - Device_Configuration'!J72</f>
        <v>Yes</v>
      </c>
      <c r="F72" s="30" t="str">
        <f>'12 - Device_Configuration'!K72</f>
        <v>No</v>
      </c>
      <c r="G72" s="17" t="str">
        <f>'12 - Device_Configuration'!L72</f>
        <v>No</v>
      </c>
      <c r="H72" s="17">
        <f>'13 - Config_Intake_View'!M72</f>
        <v>0</v>
      </c>
      <c r="I72" s="30">
        <f>IF('13 - Config_Intake_View'!Q72&lt;&gt;"",'13 - Config_Intake_View'!Q72,'12 - Device_Configuration'!BH72)</f>
        <v>0</v>
      </c>
      <c r="J72" s="17" t="str">
        <f>IF('13 - Config_Intake_View'!Q72&lt;&gt;"","PM Approved",IF('12 - Device_Configuration'!BH72&lt;&gt;"","Assumed",""))</f>
        <v/>
      </c>
      <c r="K72" s="30">
        <f>'12 - Device_Configuration'!BG72</f>
        <v>0</v>
      </c>
      <c r="L72" s="17">
        <f>'12 - Device_Configuration'!P72</f>
        <v>0</v>
      </c>
      <c r="M72" s="17">
        <f>'12 - Device_Configuration'!Q72</f>
        <v>0</v>
      </c>
      <c r="N72" s="17" t="str">
        <f>'12 - Device_Configuration'!BK72</f>
        <v/>
      </c>
      <c r="O72" s="30" t="str">
        <f>'12 - Device_Configuration'!BL72</f>
        <v/>
      </c>
      <c r="P72" s="2">
        <f>'12 - Device_Configuration'!BA72</f>
        <v>0</v>
      </c>
      <c r="Q72" s="30" t="str">
        <f t="shared" si="4"/>
        <v/>
      </c>
      <c r="R72" s="17" t="str">
        <f t="shared" si="5"/>
        <v>SW NOT INSTALLED</v>
      </c>
      <c r="S72" s="17" t="str">
        <f t="shared" si="6"/>
        <v/>
      </c>
      <c r="T72" s="17" t="str">
        <f t="shared" si="7"/>
        <v>SW NOT INSTALLED</v>
      </c>
    </row>
    <row r="73" spans="1:20">
      <c r="A73" s="30" t="str">
        <f>'12 - Device_Configuration'!H73</f>
        <v>LIJ - CCMC</v>
      </c>
      <c r="B73" s="30" t="str">
        <f>'12 - Device_Configuration'!S73</f>
        <v>WNH269OPR017</v>
      </c>
      <c r="C73" s="30">
        <f>'12 - Device_Configuration'!T73</f>
        <v>0</v>
      </c>
      <c r="D73" s="17">
        <f>'12 - Device_Configuration'!AJ73</f>
        <v>0</v>
      </c>
      <c r="E73" s="17" t="str">
        <f>'12 - Device_Configuration'!J73</f>
        <v>Yes</v>
      </c>
      <c r="F73" s="30" t="str">
        <f>'12 - Device_Configuration'!K73</f>
        <v>No</v>
      </c>
      <c r="G73" s="17" t="str">
        <f>'12 - Device_Configuration'!L73</f>
        <v>No</v>
      </c>
      <c r="H73" s="17">
        <f>'13 - Config_Intake_View'!M73</f>
        <v>0</v>
      </c>
      <c r="I73" s="30">
        <f>IF('13 - Config_Intake_View'!Q73&lt;&gt;"",'13 - Config_Intake_View'!Q73,'12 - Device_Configuration'!BH73)</f>
        <v>0</v>
      </c>
      <c r="J73" s="17" t="str">
        <f>IF('13 - Config_Intake_View'!Q73&lt;&gt;"","PM Approved",IF('12 - Device_Configuration'!BH73&lt;&gt;"","Assumed",""))</f>
        <v/>
      </c>
      <c r="K73" s="30">
        <f>'12 - Device_Configuration'!BG73</f>
        <v>0</v>
      </c>
      <c r="L73" s="17">
        <f>'12 - Device_Configuration'!P73</f>
        <v>0</v>
      </c>
      <c r="M73" s="17">
        <f>'12 - Device_Configuration'!Q73</f>
        <v>0</v>
      </c>
      <c r="N73" s="17" t="str">
        <f>'12 - Device_Configuration'!BK73</f>
        <v/>
      </c>
      <c r="O73" s="30" t="str">
        <f>'12 - Device_Configuration'!BL73</f>
        <v/>
      </c>
      <c r="P73" s="2">
        <f>'12 - Device_Configuration'!BA73</f>
        <v>0</v>
      </c>
      <c r="Q73" s="30" t="str">
        <f t="shared" si="4"/>
        <v/>
      </c>
      <c r="R73" s="17" t="str">
        <f t="shared" si="5"/>
        <v>SW NOT INSTALLED</v>
      </c>
      <c r="S73" s="17" t="str">
        <f t="shared" si="6"/>
        <v/>
      </c>
      <c r="T73" s="17" t="str">
        <f t="shared" si="7"/>
        <v>SW NOT INSTALLED</v>
      </c>
    </row>
    <row r="74" spans="1:20">
      <c r="A74" s="30" t="str">
        <f>'12 - Device_Configuration'!H74</f>
        <v>LIJ - CCMC</v>
      </c>
      <c r="B74" s="30" t="str">
        <f>'12 - Device_Configuration'!S74</f>
        <v>WNH269OPR018</v>
      </c>
      <c r="C74" s="30">
        <f>'12 - Device_Configuration'!T74</f>
        <v>0</v>
      </c>
      <c r="D74" s="17">
        <f>'12 - Device_Configuration'!AJ74</f>
        <v>0</v>
      </c>
      <c r="E74" s="17" t="str">
        <f>'12 - Device_Configuration'!J74</f>
        <v>Yes</v>
      </c>
      <c r="F74" s="30" t="str">
        <f>'12 - Device_Configuration'!K74</f>
        <v>No</v>
      </c>
      <c r="G74" s="17" t="str">
        <f>'12 - Device_Configuration'!L74</f>
        <v>No</v>
      </c>
      <c r="H74" s="17">
        <f>'13 - Config_Intake_View'!M74</f>
        <v>0</v>
      </c>
      <c r="I74" s="30">
        <f>IF('13 - Config_Intake_View'!Q74&lt;&gt;"",'13 - Config_Intake_View'!Q74,'12 - Device_Configuration'!BH74)</f>
        <v>0</v>
      </c>
      <c r="J74" s="17" t="str">
        <f>IF('13 - Config_Intake_View'!Q74&lt;&gt;"","PM Approved",IF('12 - Device_Configuration'!BH74&lt;&gt;"","Assumed",""))</f>
        <v/>
      </c>
      <c r="K74" s="30">
        <f>'12 - Device_Configuration'!BG74</f>
        <v>0</v>
      </c>
      <c r="L74" s="17">
        <f>'12 - Device_Configuration'!P74</f>
        <v>0</v>
      </c>
      <c r="M74" s="17">
        <f>'12 - Device_Configuration'!Q74</f>
        <v>0</v>
      </c>
      <c r="N74" s="17" t="str">
        <f>'12 - Device_Configuration'!BK74</f>
        <v/>
      </c>
      <c r="O74" s="30" t="str">
        <f>'12 - Device_Configuration'!BL74</f>
        <v/>
      </c>
      <c r="P74" s="2">
        <f>'12 - Device_Configuration'!BA74</f>
        <v>0</v>
      </c>
      <c r="Q74" s="30" t="str">
        <f t="shared" si="4"/>
        <v/>
      </c>
      <c r="R74" s="17" t="str">
        <f t="shared" si="5"/>
        <v>SW NOT INSTALLED</v>
      </c>
      <c r="S74" s="17" t="str">
        <f t="shared" si="6"/>
        <v/>
      </c>
      <c r="T74" s="17" t="str">
        <f t="shared" si="7"/>
        <v>SW NOT INSTALLED</v>
      </c>
    </row>
    <row r="75" spans="1:20">
      <c r="A75" s="30" t="str">
        <f>'12 - Device_Configuration'!H75</f>
        <v>LIJ - CCMC</v>
      </c>
      <c r="B75" s="30" t="str">
        <f>'12 - Device_Configuration'!S75</f>
        <v>WNH269OPR019</v>
      </c>
      <c r="C75" s="30">
        <f>'12 - Device_Configuration'!T75</f>
        <v>0</v>
      </c>
      <c r="D75" s="17">
        <f>'12 - Device_Configuration'!AJ75</f>
        <v>0</v>
      </c>
      <c r="E75" s="17" t="str">
        <f>'12 - Device_Configuration'!J75</f>
        <v>Yes</v>
      </c>
      <c r="F75" s="30" t="str">
        <f>'12 - Device_Configuration'!K75</f>
        <v>No</v>
      </c>
      <c r="G75" s="17" t="str">
        <f>'12 - Device_Configuration'!L75</f>
        <v>No</v>
      </c>
      <c r="H75" s="17">
        <f>'13 - Config_Intake_View'!M75</f>
        <v>0</v>
      </c>
      <c r="I75" s="30">
        <f>IF('13 - Config_Intake_View'!Q75&lt;&gt;"",'13 - Config_Intake_View'!Q75,'12 - Device_Configuration'!BH75)</f>
        <v>0</v>
      </c>
      <c r="J75" s="17" t="str">
        <f>IF('13 - Config_Intake_View'!Q75&lt;&gt;"","PM Approved",IF('12 - Device_Configuration'!BH75&lt;&gt;"","Assumed",""))</f>
        <v/>
      </c>
      <c r="K75" s="30">
        <f>'12 - Device_Configuration'!BG75</f>
        <v>0</v>
      </c>
      <c r="L75" s="17">
        <f>'12 - Device_Configuration'!P75</f>
        <v>0</v>
      </c>
      <c r="M75" s="17">
        <f>'12 - Device_Configuration'!Q75</f>
        <v>0</v>
      </c>
      <c r="N75" s="17" t="str">
        <f>'12 - Device_Configuration'!BK75</f>
        <v/>
      </c>
      <c r="O75" s="30" t="str">
        <f>'12 - Device_Configuration'!BL75</f>
        <v/>
      </c>
      <c r="P75" s="2">
        <f>'12 - Device_Configuration'!BA75</f>
        <v>0</v>
      </c>
      <c r="Q75" s="30" t="str">
        <f t="shared" si="4"/>
        <v/>
      </c>
      <c r="R75" s="17" t="str">
        <f t="shared" si="5"/>
        <v>SW NOT INSTALLED</v>
      </c>
      <c r="S75" s="17" t="str">
        <f t="shared" si="6"/>
        <v/>
      </c>
      <c r="T75" s="17" t="str">
        <f t="shared" si="7"/>
        <v>SW NOT INSTALLED</v>
      </c>
    </row>
    <row r="76" spans="1:20">
      <c r="A76" s="30" t="str">
        <f>'12 - Device_Configuration'!H76</f>
        <v>LIJ - CCMC</v>
      </c>
      <c r="B76" s="30" t="str">
        <f>'12 - Device_Configuration'!S76</f>
        <v>WNH269OPR020</v>
      </c>
      <c r="C76" s="30">
        <f>'12 - Device_Configuration'!T76</f>
        <v>0</v>
      </c>
      <c r="D76" s="17">
        <f>'12 - Device_Configuration'!AJ76</f>
        <v>0</v>
      </c>
      <c r="E76" s="17" t="str">
        <f>'12 - Device_Configuration'!J76</f>
        <v>Yes</v>
      </c>
      <c r="F76" s="30" t="str">
        <f>'12 - Device_Configuration'!K76</f>
        <v>No</v>
      </c>
      <c r="G76" s="17" t="str">
        <f>'12 - Device_Configuration'!L76</f>
        <v>No</v>
      </c>
      <c r="H76" s="17">
        <f>'13 - Config_Intake_View'!M76</f>
        <v>0</v>
      </c>
      <c r="I76" s="30">
        <f>IF('13 - Config_Intake_View'!Q76&lt;&gt;"",'13 - Config_Intake_View'!Q76,'12 - Device_Configuration'!BH76)</f>
        <v>0</v>
      </c>
      <c r="J76" s="17" t="str">
        <f>IF('13 - Config_Intake_View'!Q76&lt;&gt;"","PM Approved",IF('12 - Device_Configuration'!BH76&lt;&gt;"","Assumed",""))</f>
        <v/>
      </c>
      <c r="K76" s="30">
        <f>'12 - Device_Configuration'!BG76</f>
        <v>0</v>
      </c>
      <c r="L76" s="17">
        <f>'12 - Device_Configuration'!P76</f>
        <v>0</v>
      </c>
      <c r="M76" s="17">
        <f>'12 - Device_Configuration'!Q76</f>
        <v>0</v>
      </c>
      <c r="N76" s="17" t="str">
        <f>'12 - Device_Configuration'!BK76</f>
        <v/>
      </c>
      <c r="O76" s="30" t="str">
        <f>'12 - Device_Configuration'!BL76</f>
        <v/>
      </c>
      <c r="P76" s="2">
        <f>'12 - Device_Configuration'!BA76</f>
        <v>0</v>
      </c>
      <c r="Q76" s="30" t="str">
        <f t="shared" si="4"/>
        <v/>
      </c>
      <c r="R76" s="17" t="str">
        <f t="shared" si="5"/>
        <v>SW NOT INSTALLED</v>
      </c>
      <c r="S76" s="17" t="str">
        <f t="shared" si="6"/>
        <v/>
      </c>
      <c r="T76" s="17" t="str">
        <f t="shared" si="7"/>
        <v>SW NOT INSTALLED</v>
      </c>
    </row>
    <row r="77" spans="1:20">
      <c r="A77" s="30" t="str">
        <f>'12 - Device_Configuration'!H77</f>
        <v>LIJ - CCMC</v>
      </c>
      <c r="B77" s="30" t="str">
        <f>'12 - Device_Configuration'!S77</f>
        <v>WNH269OPR021</v>
      </c>
      <c r="C77" s="30">
        <f>'12 - Device_Configuration'!T77</f>
        <v>0</v>
      </c>
      <c r="D77" s="17">
        <f>'12 - Device_Configuration'!AJ77</f>
        <v>0</v>
      </c>
      <c r="E77" s="17" t="str">
        <f>'12 - Device_Configuration'!J77</f>
        <v>Yes</v>
      </c>
      <c r="F77" s="30" t="str">
        <f>'12 - Device_Configuration'!K77</f>
        <v>No</v>
      </c>
      <c r="G77" s="17" t="str">
        <f>'12 - Device_Configuration'!L77</f>
        <v>No</v>
      </c>
      <c r="H77" s="17">
        <f>'13 - Config_Intake_View'!M77</f>
        <v>0</v>
      </c>
      <c r="I77" s="30">
        <f>IF('13 - Config_Intake_View'!Q77&lt;&gt;"",'13 - Config_Intake_View'!Q77,'12 - Device_Configuration'!BH77)</f>
        <v>0</v>
      </c>
      <c r="J77" s="17" t="str">
        <f>IF('13 - Config_Intake_View'!Q77&lt;&gt;"","PM Approved",IF('12 - Device_Configuration'!BH77&lt;&gt;"","Assumed",""))</f>
        <v/>
      </c>
      <c r="K77" s="30">
        <f>'12 - Device_Configuration'!BG77</f>
        <v>0</v>
      </c>
      <c r="L77" s="17">
        <f>'12 - Device_Configuration'!P77</f>
        <v>0</v>
      </c>
      <c r="M77" s="17">
        <f>'12 - Device_Configuration'!Q77</f>
        <v>0</v>
      </c>
      <c r="N77" s="17" t="str">
        <f>'12 - Device_Configuration'!BK77</f>
        <v/>
      </c>
      <c r="O77" s="30" t="str">
        <f>'12 - Device_Configuration'!BL77</f>
        <v/>
      </c>
      <c r="P77" s="2">
        <f>'12 - Device_Configuration'!BA77</f>
        <v>0</v>
      </c>
      <c r="Q77" s="30" t="str">
        <f t="shared" si="4"/>
        <v/>
      </c>
      <c r="R77" s="17" t="str">
        <f t="shared" si="5"/>
        <v>SW NOT INSTALLED</v>
      </c>
      <c r="S77" s="17" t="str">
        <f t="shared" si="6"/>
        <v/>
      </c>
      <c r="T77" s="17" t="str">
        <f t="shared" si="7"/>
        <v>SW NOT INSTALLED</v>
      </c>
    </row>
    <row r="78" spans="1:20">
      <c r="A78" s="30" t="str">
        <f>'12 - Device_Configuration'!H78</f>
        <v>CFAM</v>
      </c>
      <c r="B78" s="30" t="str">
        <f>'12 - Device_Configuration'!S78</f>
        <v>WLS450OPR001</v>
      </c>
      <c r="C78" s="30">
        <f>'12 - Device_Configuration'!T78</f>
        <v>0</v>
      </c>
      <c r="D78" s="17">
        <f>'12 - Device_Configuration'!AJ78</f>
        <v>0</v>
      </c>
      <c r="E78" s="17" t="str">
        <f>'12 - Device_Configuration'!J78</f>
        <v>Yes</v>
      </c>
      <c r="F78" s="30" t="str">
        <f>'12 - Device_Configuration'!K78</f>
        <v>No</v>
      </c>
      <c r="G78" s="17" t="str">
        <f>'12 - Device_Configuration'!L78</f>
        <v>No</v>
      </c>
      <c r="H78" s="17">
        <f>'13 - Config_Intake_View'!M78</f>
        <v>0</v>
      </c>
      <c r="I78" s="30">
        <f>IF('13 - Config_Intake_View'!Q78&lt;&gt;"",'13 - Config_Intake_View'!Q78,'12 - Device_Configuration'!BH78)</f>
        <v>0</v>
      </c>
      <c r="J78" s="17" t="str">
        <f>IF('13 - Config_Intake_View'!Q78&lt;&gt;"","PM Approved",IF('12 - Device_Configuration'!BH78&lt;&gt;"","Assumed",""))</f>
        <v/>
      </c>
      <c r="K78" s="30">
        <f>'12 - Device_Configuration'!BG78</f>
        <v>0</v>
      </c>
      <c r="L78" s="17">
        <f>'12 - Device_Configuration'!P78</f>
        <v>0</v>
      </c>
      <c r="M78" s="17">
        <f>'12 - Device_Configuration'!Q78</f>
        <v>0</v>
      </c>
      <c r="N78" s="17" t="str">
        <f>'12 - Device_Configuration'!BK78</f>
        <v/>
      </c>
      <c r="O78" s="30" t="str">
        <f>'12 - Device_Configuration'!BL78</f>
        <v/>
      </c>
      <c r="P78" s="2">
        <f>'12 - Device_Configuration'!BA78</f>
        <v>0</v>
      </c>
      <c r="Q78" s="30" t="str">
        <f t="shared" si="4"/>
        <v/>
      </c>
      <c r="R78" s="17" t="str">
        <f t="shared" si="5"/>
        <v>SW NOT INSTALLED</v>
      </c>
      <c r="S78" s="17" t="str">
        <f t="shared" si="6"/>
        <v/>
      </c>
      <c r="T78" s="17" t="str">
        <f t="shared" si="7"/>
        <v>SW NOT INSTALLED</v>
      </c>
    </row>
    <row r="79" spans="1:20">
      <c r="A79" s="30" t="str">
        <f>'12 - Device_Configuration'!H79</f>
        <v>CFAM</v>
      </c>
      <c r="B79" s="30" t="str">
        <f>'12 - Device_Configuration'!S79</f>
        <v>WLS450OPR002</v>
      </c>
      <c r="C79" s="30">
        <f>'12 - Device_Configuration'!T79</f>
        <v>0</v>
      </c>
      <c r="D79" s="17">
        <f>'12 - Device_Configuration'!AJ79</f>
        <v>0</v>
      </c>
      <c r="E79" s="17" t="str">
        <f>'12 - Device_Configuration'!J79</f>
        <v>Yes</v>
      </c>
      <c r="F79" s="30" t="str">
        <f>'12 - Device_Configuration'!K79</f>
        <v>No</v>
      </c>
      <c r="G79" s="17" t="str">
        <f>'12 - Device_Configuration'!L79</f>
        <v>No</v>
      </c>
      <c r="H79" s="17">
        <f>'13 - Config_Intake_View'!M79</f>
        <v>0</v>
      </c>
      <c r="I79" s="30">
        <f>IF('13 - Config_Intake_View'!Q79&lt;&gt;"",'13 - Config_Intake_View'!Q79,'12 - Device_Configuration'!BH79)</f>
        <v>0</v>
      </c>
      <c r="J79" s="17" t="str">
        <f>IF('13 - Config_Intake_View'!Q79&lt;&gt;"","PM Approved",IF('12 - Device_Configuration'!BH79&lt;&gt;"","Assumed",""))</f>
        <v/>
      </c>
      <c r="K79" s="30">
        <f>'12 - Device_Configuration'!BG79</f>
        <v>0</v>
      </c>
      <c r="L79" s="17">
        <f>'12 - Device_Configuration'!P79</f>
        <v>0</v>
      </c>
      <c r="M79" s="17">
        <f>'12 - Device_Configuration'!Q79</f>
        <v>0</v>
      </c>
      <c r="N79" s="17" t="str">
        <f>'12 - Device_Configuration'!BK79</f>
        <v/>
      </c>
      <c r="O79" s="30" t="str">
        <f>'12 - Device_Configuration'!BL79</f>
        <v/>
      </c>
      <c r="P79" s="2">
        <f>'12 - Device_Configuration'!BA79</f>
        <v>0</v>
      </c>
      <c r="Q79" s="30" t="str">
        <f t="shared" si="4"/>
        <v/>
      </c>
      <c r="R79" s="17" t="str">
        <f t="shared" si="5"/>
        <v>SW NOT INSTALLED</v>
      </c>
      <c r="S79" s="17" t="str">
        <f t="shared" si="6"/>
        <v/>
      </c>
      <c r="T79" s="17" t="str">
        <f t="shared" si="7"/>
        <v>SW NOT INSTALLED</v>
      </c>
    </row>
    <row r="80" spans="1:20">
      <c r="A80" s="30" t="str">
        <f>'12 - Device_Configuration'!H80</f>
        <v>CFAM</v>
      </c>
      <c r="B80" s="30" t="str">
        <f>'12 - Device_Configuration'!S80</f>
        <v>WLS450OPR003</v>
      </c>
      <c r="C80" s="30">
        <f>'12 - Device_Configuration'!T80</f>
        <v>0</v>
      </c>
      <c r="D80" s="17">
        <f>'12 - Device_Configuration'!AJ80</f>
        <v>0</v>
      </c>
      <c r="E80" s="17" t="str">
        <f>'12 - Device_Configuration'!J80</f>
        <v>Yes</v>
      </c>
      <c r="F80" s="30" t="str">
        <f>'12 - Device_Configuration'!K80</f>
        <v>No</v>
      </c>
      <c r="G80" s="17" t="str">
        <f>'12 - Device_Configuration'!L80</f>
        <v>No</v>
      </c>
      <c r="H80" s="17">
        <f>'13 - Config_Intake_View'!M80</f>
        <v>0</v>
      </c>
      <c r="I80" s="30">
        <f>IF('13 - Config_Intake_View'!Q80&lt;&gt;"",'13 - Config_Intake_View'!Q80,'12 - Device_Configuration'!BH80)</f>
        <v>0</v>
      </c>
      <c r="J80" s="17" t="str">
        <f>IF('13 - Config_Intake_View'!Q80&lt;&gt;"","PM Approved",IF('12 - Device_Configuration'!BH80&lt;&gt;"","Assumed",""))</f>
        <v/>
      </c>
      <c r="K80" s="30">
        <f>'12 - Device_Configuration'!BG80</f>
        <v>0</v>
      </c>
      <c r="L80" s="17">
        <f>'12 - Device_Configuration'!P80</f>
        <v>0</v>
      </c>
      <c r="M80" s="17">
        <f>'12 - Device_Configuration'!Q80</f>
        <v>0</v>
      </c>
      <c r="N80" s="17" t="str">
        <f>'12 - Device_Configuration'!BK80</f>
        <v/>
      </c>
      <c r="O80" s="30" t="str">
        <f>'12 - Device_Configuration'!BL80</f>
        <v/>
      </c>
      <c r="P80" s="2">
        <f>'12 - Device_Configuration'!BA80</f>
        <v>0</v>
      </c>
      <c r="Q80" s="30" t="str">
        <f t="shared" si="4"/>
        <v/>
      </c>
      <c r="R80" s="17" t="str">
        <f t="shared" si="5"/>
        <v>SW NOT INSTALLED</v>
      </c>
      <c r="S80" s="17" t="str">
        <f t="shared" si="6"/>
        <v/>
      </c>
      <c r="T80" s="17" t="str">
        <f t="shared" si="7"/>
        <v>SW NOT INSTALLED</v>
      </c>
    </row>
    <row r="81" spans="1:20">
      <c r="A81" s="30" t="str">
        <f>'12 - Device_Configuration'!H81</f>
        <v>CFAM</v>
      </c>
      <c r="B81" s="30" t="str">
        <f>'12 - Device_Configuration'!S81</f>
        <v>WLS450OPR004</v>
      </c>
      <c r="C81" s="30">
        <f>'12 - Device_Configuration'!T81</f>
        <v>0</v>
      </c>
      <c r="D81" s="17">
        <f>'12 - Device_Configuration'!AJ81</f>
        <v>0</v>
      </c>
      <c r="E81" s="17" t="str">
        <f>'12 - Device_Configuration'!J81</f>
        <v>Yes</v>
      </c>
      <c r="F81" s="30" t="str">
        <f>'12 - Device_Configuration'!K81</f>
        <v>No</v>
      </c>
      <c r="G81" s="17" t="str">
        <f>'12 - Device_Configuration'!L81</f>
        <v>No</v>
      </c>
      <c r="H81" s="17">
        <f>'13 - Config_Intake_View'!M81</f>
        <v>0</v>
      </c>
      <c r="I81" s="30">
        <f>IF('13 - Config_Intake_View'!Q81&lt;&gt;"",'13 - Config_Intake_View'!Q81,'12 - Device_Configuration'!BH81)</f>
        <v>0</v>
      </c>
      <c r="J81" s="17" t="str">
        <f>IF('13 - Config_Intake_View'!Q81&lt;&gt;"","PM Approved",IF('12 - Device_Configuration'!BH81&lt;&gt;"","Assumed",""))</f>
        <v/>
      </c>
      <c r="K81" s="30">
        <f>'12 - Device_Configuration'!BG81</f>
        <v>0</v>
      </c>
      <c r="L81" s="17">
        <f>'12 - Device_Configuration'!P81</f>
        <v>0</v>
      </c>
      <c r="M81" s="17">
        <f>'12 - Device_Configuration'!Q81</f>
        <v>0</v>
      </c>
      <c r="N81" s="17" t="str">
        <f>'12 - Device_Configuration'!BK81</f>
        <v/>
      </c>
      <c r="O81" s="30" t="str">
        <f>'12 - Device_Configuration'!BL81</f>
        <v/>
      </c>
      <c r="P81" s="2">
        <f>'12 - Device_Configuration'!BA81</f>
        <v>0</v>
      </c>
      <c r="Q81" s="30" t="str">
        <f t="shared" si="4"/>
        <v/>
      </c>
      <c r="R81" s="17" t="str">
        <f t="shared" si="5"/>
        <v>SW NOT INSTALLED</v>
      </c>
      <c r="S81" s="17" t="str">
        <f t="shared" si="6"/>
        <v/>
      </c>
      <c r="T81" s="17" t="str">
        <f t="shared" si="7"/>
        <v>SW NOT INSTALLED</v>
      </c>
    </row>
    <row r="82" spans="1:20">
      <c r="A82" s="30" t="str">
        <f>'12 - Device_Configuration'!H82</f>
        <v>CFAM</v>
      </c>
      <c r="B82" s="30" t="str">
        <f>'12 - Device_Configuration'!S82</f>
        <v>WLS450OPR005</v>
      </c>
      <c r="C82" s="30">
        <f>'12 - Device_Configuration'!T82</f>
        <v>0</v>
      </c>
      <c r="D82" s="17">
        <f>'12 - Device_Configuration'!AJ82</f>
        <v>0</v>
      </c>
      <c r="E82" s="17" t="str">
        <f>'12 - Device_Configuration'!J82</f>
        <v>Yes</v>
      </c>
      <c r="F82" s="30" t="str">
        <f>'12 - Device_Configuration'!K82</f>
        <v>No</v>
      </c>
      <c r="G82" s="17" t="str">
        <f>'12 - Device_Configuration'!L82</f>
        <v>No</v>
      </c>
      <c r="H82" s="17">
        <f>'13 - Config_Intake_View'!M82</f>
        <v>0</v>
      </c>
      <c r="I82" s="30">
        <f>IF('13 - Config_Intake_View'!Q82&lt;&gt;"",'13 - Config_Intake_View'!Q82,'12 - Device_Configuration'!BH82)</f>
        <v>0</v>
      </c>
      <c r="J82" s="17" t="str">
        <f>IF('13 - Config_Intake_View'!Q82&lt;&gt;"","PM Approved",IF('12 - Device_Configuration'!BH82&lt;&gt;"","Assumed",""))</f>
        <v/>
      </c>
      <c r="K82" s="30">
        <f>'12 - Device_Configuration'!BG82</f>
        <v>0</v>
      </c>
      <c r="L82" s="17">
        <f>'12 - Device_Configuration'!P82</f>
        <v>0</v>
      </c>
      <c r="M82" s="17">
        <f>'12 - Device_Configuration'!Q82</f>
        <v>0</v>
      </c>
      <c r="N82" s="17" t="str">
        <f>'12 - Device_Configuration'!BK82</f>
        <v/>
      </c>
      <c r="O82" s="30" t="str">
        <f>'12 - Device_Configuration'!BL82</f>
        <v/>
      </c>
      <c r="P82" s="2">
        <f>'12 - Device_Configuration'!BA82</f>
        <v>0</v>
      </c>
      <c r="Q82" s="30" t="str">
        <f t="shared" si="4"/>
        <v/>
      </c>
      <c r="R82" s="17" t="str">
        <f t="shared" si="5"/>
        <v>SW NOT INSTALLED</v>
      </c>
      <c r="S82" s="17" t="str">
        <f t="shared" si="6"/>
        <v/>
      </c>
      <c r="T82" s="17" t="str">
        <f t="shared" si="7"/>
        <v>SW NOT INSTALLED</v>
      </c>
    </row>
    <row r="83" spans="1:20">
      <c r="A83" s="30" t="str">
        <f>'12 - Device_Configuration'!H83</f>
        <v>CFAM</v>
      </c>
      <c r="B83" s="30" t="str">
        <f>'12 - Device_Configuration'!S83</f>
        <v>WLS450OPR006</v>
      </c>
      <c r="C83" s="30">
        <f>'12 - Device_Configuration'!T83</f>
        <v>0</v>
      </c>
      <c r="D83" s="17">
        <f>'12 - Device_Configuration'!AJ83</f>
        <v>0</v>
      </c>
      <c r="E83" s="17" t="str">
        <f>'12 - Device_Configuration'!J83</f>
        <v>Yes</v>
      </c>
      <c r="F83" s="30" t="str">
        <f>'12 - Device_Configuration'!K83</f>
        <v>No</v>
      </c>
      <c r="G83" s="17" t="str">
        <f>'12 - Device_Configuration'!L83</f>
        <v>No</v>
      </c>
      <c r="H83" s="17">
        <f>'13 - Config_Intake_View'!M83</f>
        <v>0</v>
      </c>
      <c r="I83" s="30">
        <f>IF('13 - Config_Intake_View'!Q83&lt;&gt;"",'13 - Config_Intake_View'!Q83,'12 - Device_Configuration'!BH83)</f>
        <v>0</v>
      </c>
      <c r="J83" s="17" t="str">
        <f>IF('13 - Config_Intake_View'!Q83&lt;&gt;"","PM Approved",IF('12 - Device_Configuration'!BH83&lt;&gt;"","Assumed",""))</f>
        <v/>
      </c>
      <c r="K83" s="30">
        <f>'12 - Device_Configuration'!BG83</f>
        <v>0</v>
      </c>
      <c r="L83" s="17">
        <f>'12 - Device_Configuration'!P83</f>
        <v>0</v>
      </c>
      <c r="M83" s="17">
        <f>'12 - Device_Configuration'!Q83</f>
        <v>0</v>
      </c>
      <c r="N83" s="17" t="str">
        <f>'12 - Device_Configuration'!BK83</f>
        <v/>
      </c>
      <c r="O83" s="30" t="str">
        <f>'12 - Device_Configuration'!BL83</f>
        <v/>
      </c>
      <c r="P83" s="2">
        <f>'12 - Device_Configuration'!BA83</f>
        <v>0</v>
      </c>
      <c r="Q83" s="30" t="str">
        <f t="shared" si="4"/>
        <v/>
      </c>
      <c r="R83" s="17" t="str">
        <f t="shared" si="5"/>
        <v>SW NOT INSTALLED</v>
      </c>
      <c r="S83" s="17" t="str">
        <f t="shared" si="6"/>
        <v/>
      </c>
      <c r="T83" s="17" t="str">
        <f t="shared" si="7"/>
        <v>SW NOT INSTALLED</v>
      </c>
    </row>
    <row r="84" spans="1:20">
      <c r="A84" s="30" t="str">
        <f>'12 - Device_Configuration'!H84</f>
        <v>CFAM</v>
      </c>
      <c r="B84" s="30" t="str">
        <f>'12 - Device_Configuration'!S84</f>
        <v>WLS450OPR007</v>
      </c>
      <c r="C84" s="30">
        <f>'12 - Device_Configuration'!T84</f>
        <v>0</v>
      </c>
      <c r="D84" s="17">
        <f>'12 - Device_Configuration'!AJ84</f>
        <v>0</v>
      </c>
      <c r="E84" s="17" t="str">
        <f>'12 - Device_Configuration'!J84</f>
        <v>Yes</v>
      </c>
      <c r="F84" s="30" t="str">
        <f>'12 - Device_Configuration'!K84</f>
        <v>No</v>
      </c>
      <c r="G84" s="17" t="str">
        <f>'12 - Device_Configuration'!L84</f>
        <v>No</v>
      </c>
      <c r="H84" s="17">
        <f>'13 - Config_Intake_View'!M84</f>
        <v>0</v>
      </c>
      <c r="I84" s="30">
        <f>IF('13 - Config_Intake_View'!Q84&lt;&gt;"",'13 - Config_Intake_View'!Q84,'12 - Device_Configuration'!BH84)</f>
        <v>0</v>
      </c>
      <c r="J84" s="17" t="str">
        <f>IF('13 - Config_Intake_View'!Q84&lt;&gt;"","PM Approved",IF('12 - Device_Configuration'!BH84&lt;&gt;"","Assumed",""))</f>
        <v/>
      </c>
      <c r="K84" s="30">
        <f>'12 - Device_Configuration'!BG84</f>
        <v>0</v>
      </c>
      <c r="L84" s="17">
        <f>'12 - Device_Configuration'!P84</f>
        <v>0</v>
      </c>
      <c r="M84" s="17">
        <f>'12 - Device_Configuration'!Q84</f>
        <v>0</v>
      </c>
      <c r="N84" s="17" t="str">
        <f>'12 - Device_Configuration'!BK84</f>
        <v/>
      </c>
      <c r="O84" s="30" t="str">
        <f>'12 - Device_Configuration'!BL84</f>
        <v/>
      </c>
      <c r="P84" s="2">
        <f>'12 - Device_Configuration'!BA84</f>
        <v>0</v>
      </c>
      <c r="Q84" s="30" t="str">
        <f t="shared" si="4"/>
        <v/>
      </c>
      <c r="R84" s="17" t="str">
        <f t="shared" si="5"/>
        <v>SW NOT INSTALLED</v>
      </c>
      <c r="S84" s="17" t="str">
        <f t="shared" si="6"/>
        <v/>
      </c>
      <c r="T84" s="17" t="str">
        <f t="shared" si="7"/>
        <v>SW NOT INSTALLED</v>
      </c>
    </row>
    <row r="85" spans="1:20">
      <c r="A85" s="30" t="str">
        <f>'12 - Device_Configuration'!H85</f>
        <v>LIJ - CCMC</v>
      </c>
      <c r="B85" s="30" t="str">
        <f>'12 - Device_Configuration'!S85</f>
        <v>WNH269OPR022</v>
      </c>
      <c r="C85" s="30">
        <f>'12 - Device_Configuration'!T85</f>
        <v>0</v>
      </c>
      <c r="D85" s="17">
        <f>'12 - Device_Configuration'!AJ85</f>
        <v>0</v>
      </c>
      <c r="E85" s="17" t="str">
        <f>'12 - Device_Configuration'!J85</f>
        <v>Yes</v>
      </c>
      <c r="F85" s="30" t="str">
        <f>'12 - Device_Configuration'!K85</f>
        <v>No</v>
      </c>
      <c r="G85" s="17" t="str">
        <f>'12 - Device_Configuration'!L85</f>
        <v>No</v>
      </c>
      <c r="H85" s="17">
        <f>'13 - Config_Intake_View'!M85</f>
        <v>0</v>
      </c>
      <c r="I85" s="30">
        <f>IF('13 - Config_Intake_View'!Q85&lt;&gt;"",'13 - Config_Intake_View'!Q85,'12 - Device_Configuration'!BH85)</f>
        <v>0</v>
      </c>
      <c r="J85" s="17" t="str">
        <f>IF('13 - Config_Intake_View'!Q85&lt;&gt;"","PM Approved",IF('12 - Device_Configuration'!BH85&lt;&gt;"","Assumed",""))</f>
        <v/>
      </c>
      <c r="K85" s="30">
        <f>'12 - Device_Configuration'!BG85</f>
        <v>0</v>
      </c>
      <c r="L85" s="17">
        <f>'12 - Device_Configuration'!P85</f>
        <v>0</v>
      </c>
      <c r="M85" s="17">
        <f>'12 - Device_Configuration'!Q85</f>
        <v>0</v>
      </c>
      <c r="N85" s="17" t="str">
        <f>'12 - Device_Configuration'!BK85</f>
        <v/>
      </c>
      <c r="O85" s="30" t="str">
        <f>'12 - Device_Configuration'!BL85</f>
        <v/>
      </c>
      <c r="P85" s="2">
        <f>'12 - Device_Configuration'!BA85</f>
        <v>0</v>
      </c>
      <c r="Q85" s="30" t="str">
        <f t="shared" si="4"/>
        <v/>
      </c>
      <c r="R85" s="17" t="str">
        <f t="shared" si="5"/>
        <v>SW NOT INSTALLED</v>
      </c>
      <c r="S85" s="17" t="str">
        <f t="shared" si="6"/>
        <v/>
      </c>
      <c r="T85" s="17" t="str">
        <f t="shared" si="7"/>
        <v>SW NOT INSTALLED</v>
      </c>
    </row>
    <row r="86" spans="1:20">
      <c r="A86" s="30" t="str">
        <f>'12 - Device_Configuration'!H86</f>
        <v>LIJ - CCMC</v>
      </c>
      <c r="B86" s="30" t="str">
        <f>'12 - Device_Configuration'!S86</f>
        <v>WNH269OPR023</v>
      </c>
      <c r="C86" s="30">
        <f>'12 - Device_Configuration'!T86</f>
        <v>0</v>
      </c>
      <c r="D86" s="17">
        <f>'12 - Device_Configuration'!AJ86</f>
        <v>0</v>
      </c>
      <c r="E86" s="17" t="str">
        <f>'12 - Device_Configuration'!J86</f>
        <v>Yes</v>
      </c>
      <c r="F86" s="30" t="str">
        <f>'12 - Device_Configuration'!K86</f>
        <v>No</v>
      </c>
      <c r="G86" s="17" t="str">
        <f>'12 - Device_Configuration'!L86</f>
        <v>No</v>
      </c>
      <c r="H86" s="17">
        <f>'13 - Config_Intake_View'!M86</f>
        <v>0</v>
      </c>
      <c r="I86" s="30">
        <f>IF('13 - Config_Intake_View'!Q86&lt;&gt;"",'13 - Config_Intake_View'!Q86,'12 - Device_Configuration'!BH86)</f>
        <v>0</v>
      </c>
      <c r="J86" s="17" t="str">
        <f>IF('13 - Config_Intake_View'!Q86&lt;&gt;"","PM Approved",IF('12 - Device_Configuration'!BH86&lt;&gt;"","Assumed",""))</f>
        <v/>
      </c>
      <c r="K86" s="30">
        <f>'12 - Device_Configuration'!BG86</f>
        <v>0</v>
      </c>
      <c r="L86" s="17">
        <f>'12 - Device_Configuration'!P86</f>
        <v>0</v>
      </c>
      <c r="M86" s="17">
        <f>'12 - Device_Configuration'!Q86</f>
        <v>0</v>
      </c>
      <c r="N86" s="17" t="str">
        <f>'12 - Device_Configuration'!BK86</f>
        <v/>
      </c>
      <c r="O86" s="30" t="str">
        <f>'12 - Device_Configuration'!BL86</f>
        <v/>
      </c>
      <c r="P86" s="2">
        <f>'12 - Device_Configuration'!BA86</f>
        <v>0</v>
      </c>
      <c r="Q86" s="30" t="str">
        <f t="shared" si="4"/>
        <v/>
      </c>
      <c r="R86" s="17" t="str">
        <f t="shared" si="5"/>
        <v>SW NOT INSTALLED</v>
      </c>
      <c r="S86" s="17" t="str">
        <f t="shared" si="6"/>
        <v/>
      </c>
      <c r="T86" s="17" t="str">
        <f t="shared" si="7"/>
        <v>SW NOT INSTALLED</v>
      </c>
    </row>
    <row r="87" spans="1:20">
      <c r="A87" s="30" t="str">
        <f>'12 - Device_Configuration'!H87</f>
        <v>LIJ - CCMC</v>
      </c>
      <c r="B87" s="30" t="str">
        <f>'12 - Device_Configuration'!S87</f>
        <v>WNH269OPR024</v>
      </c>
      <c r="C87" s="30">
        <f>'12 - Device_Configuration'!T87</f>
        <v>0</v>
      </c>
      <c r="D87" s="17">
        <f>'12 - Device_Configuration'!AJ87</f>
        <v>0</v>
      </c>
      <c r="E87" s="17" t="str">
        <f>'12 - Device_Configuration'!J87</f>
        <v>Yes</v>
      </c>
      <c r="F87" s="30" t="str">
        <f>'12 - Device_Configuration'!K87</f>
        <v>No</v>
      </c>
      <c r="G87" s="17" t="str">
        <f>'12 - Device_Configuration'!L87</f>
        <v>No</v>
      </c>
      <c r="H87" s="17">
        <f>'13 - Config_Intake_View'!M87</f>
        <v>0</v>
      </c>
      <c r="I87" s="30">
        <f>IF('13 - Config_Intake_View'!Q87&lt;&gt;"",'13 - Config_Intake_View'!Q87,'12 - Device_Configuration'!BH87)</f>
        <v>0</v>
      </c>
      <c r="J87" s="17" t="str">
        <f>IF('13 - Config_Intake_View'!Q87&lt;&gt;"","PM Approved",IF('12 - Device_Configuration'!BH87&lt;&gt;"","Assumed",""))</f>
        <v/>
      </c>
      <c r="K87" s="30">
        <f>'12 - Device_Configuration'!BG87</f>
        <v>0</v>
      </c>
      <c r="L87" s="17">
        <f>'12 - Device_Configuration'!P87</f>
        <v>0</v>
      </c>
      <c r="M87" s="17">
        <f>'12 - Device_Configuration'!Q87</f>
        <v>0</v>
      </c>
      <c r="N87" s="17" t="str">
        <f>'12 - Device_Configuration'!BK87</f>
        <v/>
      </c>
      <c r="O87" s="30" t="str">
        <f>'12 - Device_Configuration'!BL87</f>
        <v/>
      </c>
      <c r="P87" s="2">
        <f>'12 - Device_Configuration'!BA87</f>
        <v>0</v>
      </c>
      <c r="Q87" s="30" t="str">
        <f t="shared" si="4"/>
        <v/>
      </c>
      <c r="R87" s="17" t="str">
        <f t="shared" si="5"/>
        <v>SW NOT INSTALLED</v>
      </c>
      <c r="S87" s="17" t="str">
        <f t="shared" si="6"/>
        <v/>
      </c>
      <c r="T87" s="17" t="str">
        <f t="shared" si="7"/>
        <v>SW NOT INSTALLED</v>
      </c>
    </row>
    <row r="88" spans="1:20">
      <c r="A88" s="30" t="str">
        <f>'12 - Device_Configuration'!H88</f>
        <v>LIJ - CCMC</v>
      </c>
      <c r="B88" s="30" t="str">
        <f>'12 - Device_Configuration'!S88</f>
        <v>WNH269OPR025</v>
      </c>
      <c r="C88" s="30">
        <f>'12 - Device_Configuration'!T88</f>
        <v>0</v>
      </c>
      <c r="D88" s="17">
        <f>'12 - Device_Configuration'!AJ88</f>
        <v>0</v>
      </c>
      <c r="E88" s="17" t="str">
        <f>'12 - Device_Configuration'!J88</f>
        <v>Yes</v>
      </c>
      <c r="F88" s="30" t="str">
        <f>'12 - Device_Configuration'!K88</f>
        <v>No</v>
      </c>
      <c r="G88" s="17" t="str">
        <f>'12 - Device_Configuration'!L88</f>
        <v>No</v>
      </c>
      <c r="H88" s="17">
        <f>'13 - Config_Intake_View'!M88</f>
        <v>0</v>
      </c>
      <c r="I88" s="30">
        <f>IF('13 - Config_Intake_View'!Q88&lt;&gt;"",'13 - Config_Intake_View'!Q88,'12 - Device_Configuration'!BH88)</f>
        <v>0</v>
      </c>
      <c r="J88" s="17" t="str">
        <f>IF('13 - Config_Intake_View'!Q88&lt;&gt;"","PM Approved",IF('12 - Device_Configuration'!BH88&lt;&gt;"","Assumed",""))</f>
        <v/>
      </c>
      <c r="K88" s="30">
        <f>'12 - Device_Configuration'!BG88</f>
        <v>0</v>
      </c>
      <c r="L88" s="17">
        <f>'12 - Device_Configuration'!P88</f>
        <v>0</v>
      </c>
      <c r="M88" s="17">
        <f>'12 - Device_Configuration'!Q88</f>
        <v>0</v>
      </c>
      <c r="N88" s="17" t="str">
        <f>'12 - Device_Configuration'!BK88</f>
        <v/>
      </c>
      <c r="O88" s="30" t="str">
        <f>'12 - Device_Configuration'!BL88</f>
        <v/>
      </c>
      <c r="P88" s="2">
        <f>'12 - Device_Configuration'!BA88</f>
        <v>0</v>
      </c>
      <c r="Q88" s="30" t="str">
        <f t="shared" si="4"/>
        <v/>
      </c>
      <c r="R88" s="17" t="str">
        <f t="shared" si="5"/>
        <v>SW NOT INSTALLED</v>
      </c>
      <c r="S88" s="17" t="str">
        <f t="shared" si="6"/>
        <v/>
      </c>
      <c r="T88" s="17" t="str">
        <f t="shared" si="7"/>
        <v>SW NOT INSTALLED</v>
      </c>
    </row>
    <row r="89" spans="1:20">
      <c r="A89" s="30" t="str">
        <f>'12 - Device_Configuration'!H89</f>
        <v>LIJ - CCMC</v>
      </c>
      <c r="B89" s="30" t="str">
        <f>'12 - Device_Configuration'!S89</f>
        <v>WNH269OPR026</v>
      </c>
      <c r="C89" s="30">
        <f>'12 - Device_Configuration'!T89</f>
        <v>0</v>
      </c>
      <c r="D89" s="17">
        <f>'12 - Device_Configuration'!AJ89</f>
        <v>0</v>
      </c>
      <c r="E89" s="17" t="str">
        <f>'12 - Device_Configuration'!J89</f>
        <v>Yes</v>
      </c>
      <c r="F89" s="30" t="str">
        <f>'12 - Device_Configuration'!K89</f>
        <v>No</v>
      </c>
      <c r="G89" s="17" t="str">
        <f>'12 - Device_Configuration'!L89</f>
        <v>No</v>
      </c>
      <c r="H89" s="17">
        <f>'13 - Config_Intake_View'!M89</f>
        <v>0</v>
      </c>
      <c r="I89" s="30">
        <f>IF('13 - Config_Intake_View'!Q89&lt;&gt;"",'13 - Config_Intake_View'!Q89,'12 - Device_Configuration'!BH89)</f>
        <v>0</v>
      </c>
      <c r="J89" s="17" t="str">
        <f>IF('13 - Config_Intake_View'!Q89&lt;&gt;"","PM Approved",IF('12 - Device_Configuration'!BH89&lt;&gt;"","Assumed",""))</f>
        <v/>
      </c>
      <c r="K89" s="30">
        <f>'12 - Device_Configuration'!BG89</f>
        <v>0</v>
      </c>
      <c r="L89" s="17">
        <f>'12 - Device_Configuration'!P89</f>
        <v>0</v>
      </c>
      <c r="M89" s="17">
        <f>'12 - Device_Configuration'!Q89</f>
        <v>0</v>
      </c>
      <c r="N89" s="17" t="str">
        <f>'12 - Device_Configuration'!BK89</f>
        <v/>
      </c>
      <c r="O89" s="30" t="str">
        <f>'12 - Device_Configuration'!BL89</f>
        <v/>
      </c>
      <c r="P89" s="2">
        <f>'12 - Device_Configuration'!BA89</f>
        <v>0</v>
      </c>
      <c r="Q89" s="30" t="str">
        <f t="shared" si="4"/>
        <v/>
      </c>
      <c r="R89" s="17" t="str">
        <f t="shared" si="5"/>
        <v>SW NOT INSTALLED</v>
      </c>
      <c r="S89" s="17" t="str">
        <f t="shared" si="6"/>
        <v/>
      </c>
      <c r="T89" s="17" t="str">
        <f t="shared" si="7"/>
        <v>SW NOT INSTALLED</v>
      </c>
    </row>
    <row r="90" spans="1:20">
      <c r="A90" s="30" t="str">
        <f>'12 - Device_Configuration'!H90</f>
        <v>LIJ - Other</v>
      </c>
      <c r="B90" s="30" t="str">
        <f>'12 - Device_Configuration'!S90</f>
        <v>WNH270OPR403</v>
      </c>
      <c r="C90" s="30">
        <f>'12 - Device_Configuration'!T90</f>
        <v>0</v>
      </c>
      <c r="D90" s="17">
        <f>'12 - Device_Configuration'!AJ90</f>
        <v>0</v>
      </c>
      <c r="E90" s="17" t="str">
        <f>'12 - Device_Configuration'!J90</f>
        <v>Yes</v>
      </c>
      <c r="F90" s="30" t="str">
        <f>'12 - Device_Configuration'!K90</f>
        <v>No</v>
      </c>
      <c r="G90" s="17" t="str">
        <f>'12 - Device_Configuration'!L90</f>
        <v>No</v>
      </c>
      <c r="H90" s="17">
        <f>'13 - Config_Intake_View'!M90</f>
        <v>0</v>
      </c>
      <c r="I90" s="30">
        <f>IF('13 - Config_Intake_View'!Q90&lt;&gt;"",'13 - Config_Intake_View'!Q90,'12 - Device_Configuration'!BH90)</f>
        <v>0</v>
      </c>
      <c r="J90" s="17" t="str">
        <f>IF('13 - Config_Intake_View'!Q90&lt;&gt;"","PM Approved",IF('12 - Device_Configuration'!BH90&lt;&gt;"","Assumed",""))</f>
        <v/>
      </c>
      <c r="K90" s="30">
        <f>'12 - Device_Configuration'!BG90</f>
        <v>0</v>
      </c>
      <c r="L90" s="17">
        <f>'12 - Device_Configuration'!P90</f>
        <v>0</v>
      </c>
      <c r="M90" s="17">
        <f>'12 - Device_Configuration'!Q90</f>
        <v>0</v>
      </c>
      <c r="N90" s="17" t="str">
        <f>'12 - Device_Configuration'!BK90</f>
        <v/>
      </c>
      <c r="O90" s="30" t="str">
        <f>'12 - Device_Configuration'!BL90</f>
        <v/>
      </c>
      <c r="P90" s="2">
        <f>'12 - Device_Configuration'!BA90</f>
        <v>0</v>
      </c>
      <c r="Q90" s="30" t="str">
        <f t="shared" si="4"/>
        <v/>
      </c>
      <c r="R90" s="17" t="str">
        <f t="shared" si="5"/>
        <v>SW NOT INSTALLED</v>
      </c>
      <c r="S90" s="17" t="str">
        <f t="shared" si="6"/>
        <v/>
      </c>
      <c r="T90" s="17" t="str">
        <f t="shared" si="7"/>
        <v>SW NOT INSTALLED</v>
      </c>
    </row>
    <row r="91" spans="1:20">
      <c r="A91" s="30" t="str">
        <f>'12 - Device_Configuration'!H91</f>
        <v>LIJ - Other</v>
      </c>
      <c r="B91" s="30" t="str">
        <f>'12 - Device_Configuration'!S91</f>
        <v>WNH270OPR404</v>
      </c>
      <c r="C91" s="30">
        <f>'12 - Device_Configuration'!T91</f>
        <v>0</v>
      </c>
      <c r="D91" s="17">
        <f>'12 - Device_Configuration'!AJ91</f>
        <v>0</v>
      </c>
      <c r="E91" s="17" t="str">
        <f>'12 - Device_Configuration'!J91</f>
        <v>Yes</v>
      </c>
      <c r="F91" s="30" t="str">
        <f>'12 - Device_Configuration'!K91</f>
        <v>No</v>
      </c>
      <c r="G91" s="17" t="str">
        <f>'12 - Device_Configuration'!L91</f>
        <v>No</v>
      </c>
      <c r="H91" s="17">
        <f>'13 - Config_Intake_View'!M91</f>
        <v>0</v>
      </c>
      <c r="I91" s="30">
        <f>IF('13 - Config_Intake_View'!Q91&lt;&gt;"",'13 - Config_Intake_View'!Q91,'12 - Device_Configuration'!BH91)</f>
        <v>0</v>
      </c>
      <c r="J91" s="17" t="str">
        <f>IF('13 - Config_Intake_View'!Q91&lt;&gt;"","PM Approved",IF('12 - Device_Configuration'!BH91&lt;&gt;"","Assumed",""))</f>
        <v/>
      </c>
      <c r="K91" s="30">
        <f>'12 - Device_Configuration'!BG91</f>
        <v>0</v>
      </c>
      <c r="L91" s="17">
        <f>'12 - Device_Configuration'!P91</f>
        <v>0</v>
      </c>
      <c r="M91" s="17">
        <f>'12 - Device_Configuration'!Q91</f>
        <v>0</v>
      </c>
      <c r="N91" s="17" t="str">
        <f>'12 - Device_Configuration'!BK91</f>
        <v/>
      </c>
      <c r="O91" s="30" t="str">
        <f>'12 - Device_Configuration'!BL91</f>
        <v/>
      </c>
      <c r="P91" s="2">
        <f>'12 - Device_Configuration'!BA91</f>
        <v>0</v>
      </c>
      <c r="Q91" s="30" t="str">
        <f t="shared" si="4"/>
        <v/>
      </c>
      <c r="R91" s="17" t="str">
        <f t="shared" si="5"/>
        <v>SW NOT INSTALLED</v>
      </c>
      <c r="S91" s="17" t="str">
        <f t="shared" si="6"/>
        <v/>
      </c>
      <c r="T91" s="17" t="str">
        <f t="shared" si="7"/>
        <v>SW NOT INSTALLED</v>
      </c>
    </row>
    <row r="92" spans="1:20">
      <c r="A92" s="30" t="str">
        <f>'12 - Device_Configuration'!H92</f>
        <v>LIJ - Other</v>
      </c>
      <c r="B92" s="30" t="str">
        <f>'12 - Device_Configuration'!S92</f>
        <v>WNH270OPR405</v>
      </c>
      <c r="C92" s="30">
        <f>'12 - Device_Configuration'!T92</f>
        <v>0</v>
      </c>
      <c r="D92" s="17">
        <f>'12 - Device_Configuration'!AJ92</f>
        <v>0</v>
      </c>
      <c r="E92" s="17" t="str">
        <f>'12 - Device_Configuration'!J92</f>
        <v>Yes</v>
      </c>
      <c r="F92" s="30" t="str">
        <f>'12 - Device_Configuration'!K92</f>
        <v>No</v>
      </c>
      <c r="G92" s="17" t="str">
        <f>'12 - Device_Configuration'!L92</f>
        <v>No</v>
      </c>
      <c r="H92" s="17">
        <f>'13 - Config_Intake_View'!M92</f>
        <v>0</v>
      </c>
      <c r="I92" s="30">
        <f>IF('13 - Config_Intake_View'!Q92&lt;&gt;"",'13 - Config_Intake_View'!Q92,'12 - Device_Configuration'!BH92)</f>
        <v>0</v>
      </c>
      <c r="J92" s="17" t="str">
        <f>IF('13 - Config_Intake_View'!Q92&lt;&gt;"","PM Approved",IF('12 - Device_Configuration'!BH92&lt;&gt;"","Assumed",""))</f>
        <v/>
      </c>
      <c r="K92" s="30">
        <f>'12 - Device_Configuration'!BG92</f>
        <v>0</v>
      </c>
      <c r="L92" s="17">
        <f>'12 - Device_Configuration'!P92</f>
        <v>0</v>
      </c>
      <c r="M92" s="17">
        <f>'12 - Device_Configuration'!Q92</f>
        <v>0</v>
      </c>
      <c r="N92" s="17" t="str">
        <f>'12 - Device_Configuration'!BK92</f>
        <v/>
      </c>
      <c r="O92" s="30" t="str">
        <f>'12 - Device_Configuration'!BL92</f>
        <v/>
      </c>
      <c r="P92" s="2">
        <f>'12 - Device_Configuration'!BA92</f>
        <v>0</v>
      </c>
      <c r="Q92" s="30" t="str">
        <f t="shared" si="4"/>
        <v/>
      </c>
      <c r="R92" s="17" t="str">
        <f t="shared" si="5"/>
        <v>SW NOT INSTALLED</v>
      </c>
      <c r="S92" s="17" t="str">
        <f t="shared" si="6"/>
        <v/>
      </c>
      <c r="T92" s="17" t="str">
        <f t="shared" si="7"/>
        <v>SW NOT INSTALLED</v>
      </c>
    </row>
    <row r="93" spans="1:20">
      <c r="A93" s="30" t="str">
        <f>'12 - Device_Configuration'!H93</f>
        <v>LIJ - Other</v>
      </c>
      <c r="B93" s="30" t="str">
        <f>'12 - Device_Configuration'!S93</f>
        <v>WNH270OPR406</v>
      </c>
      <c r="C93" s="30">
        <f>'12 - Device_Configuration'!T93</f>
        <v>0</v>
      </c>
      <c r="D93" s="17">
        <f>'12 - Device_Configuration'!AJ93</f>
        <v>0</v>
      </c>
      <c r="E93" s="17" t="str">
        <f>'12 - Device_Configuration'!J93</f>
        <v>Yes</v>
      </c>
      <c r="F93" s="30" t="str">
        <f>'12 - Device_Configuration'!K93</f>
        <v>No</v>
      </c>
      <c r="G93" s="17" t="str">
        <f>'12 - Device_Configuration'!L93</f>
        <v>No</v>
      </c>
      <c r="H93" s="17">
        <f>'13 - Config_Intake_View'!M93</f>
        <v>0</v>
      </c>
      <c r="I93" s="30">
        <f>IF('13 - Config_Intake_View'!Q93&lt;&gt;"",'13 - Config_Intake_View'!Q93,'12 - Device_Configuration'!BH93)</f>
        <v>0</v>
      </c>
      <c r="J93" s="17" t="str">
        <f>IF('13 - Config_Intake_View'!Q93&lt;&gt;"","PM Approved",IF('12 - Device_Configuration'!BH93&lt;&gt;"","Assumed",""))</f>
        <v/>
      </c>
      <c r="K93" s="30">
        <f>'12 - Device_Configuration'!BG93</f>
        <v>0</v>
      </c>
      <c r="L93" s="17">
        <f>'12 - Device_Configuration'!P93</f>
        <v>0</v>
      </c>
      <c r="M93" s="17">
        <f>'12 - Device_Configuration'!Q93</f>
        <v>0</v>
      </c>
      <c r="N93" s="17" t="str">
        <f>'12 - Device_Configuration'!BK93</f>
        <v/>
      </c>
      <c r="O93" s="30" t="str">
        <f>'12 - Device_Configuration'!BL93</f>
        <v/>
      </c>
      <c r="P93" s="2">
        <f>'12 - Device_Configuration'!BA93</f>
        <v>0</v>
      </c>
      <c r="Q93" s="30" t="str">
        <f t="shared" si="4"/>
        <v/>
      </c>
      <c r="R93" s="17" t="str">
        <f t="shared" si="5"/>
        <v>SW NOT INSTALLED</v>
      </c>
      <c r="S93" s="17" t="str">
        <f t="shared" si="6"/>
        <v/>
      </c>
      <c r="T93" s="17" t="str">
        <f t="shared" si="7"/>
        <v>SW NOT INSTALLED</v>
      </c>
    </row>
    <row r="94" spans="1:20">
      <c r="A94" s="30" t="str">
        <f>'12 - Device_Configuration'!H94</f>
        <v>LIJ - Other</v>
      </c>
      <c r="B94" s="30" t="str">
        <f>'12 - Device_Configuration'!S94</f>
        <v>WNH270OPR407</v>
      </c>
      <c r="C94" s="30">
        <f>'12 - Device_Configuration'!T94</f>
        <v>0</v>
      </c>
      <c r="D94" s="17">
        <f>'12 - Device_Configuration'!AJ94</f>
        <v>0</v>
      </c>
      <c r="E94" s="17" t="str">
        <f>'12 - Device_Configuration'!J94</f>
        <v>Yes</v>
      </c>
      <c r="F94" s="30" t="str">
        <f>'12 - Device_Configuration'!K94</f>
        <v>No</v>
      </c>
      <c r="G94" s="17" t="str">
        <f>'12 - Device_Configuration'!L94</f>
        <v>No</v>
      </c>
      <c r="H94" s="17">
        <f>'13 - Config_Intake_View'!M94</f>
        <v>0</v>
      </c>
      <c r="I94" s="30">
        <f>IF('13 - Config_Intake_View'!Q94&lt;&gt;"",'13 - Config_Intake_View'!Q94,'12 - Device_Configuration'!BH94)</f>
        <v>0</v>
      </c>
      <c r="J94" s="17" t="str">
        <f>IF('13 - Config_Intake_View'!Q94&lt;&gt;"","PM Approved",IF('12 - Device_Configuration'!BH94&lt;&gt;"","Assumed",""))</f>
        <v/>
      </c>
      <c r="K94" s="30">
        <f>'12 - Device_Configuration'!BG94</f>
        <v>0</v>
      </c>
      <c r="L94" s="17">
        <f>'12 - Device_Configuration'!P94</f>
        <v>0</v>
      </c>
      <c r="M94" s="17">
        <f>'12 - Device_Configuration'!Q94</f>
        <v>0</v>
      </c>
      <c r="N94" s="17" t="str">
        <f>'12 - Device_Configuration'!BK94</f>
        <v/>
      </c>
      <c r="O94" s="30" t="str">
        <f>'12 - Device_Configuration'!BL94</f>
        <v/>
      </c>
      <c r="P94" s="2">
        <f>'12 - Device_Configuration'!BA94</f>
        <v>0</v>
      </c>
      <c r="Q94" s="30" t="str">
        <f t="shared" si="4"/>
        <v/>
      </c>
      <c r="R94" s="17" t="str">
        <f t="shared" si="5"/>
        <v>SW NOT INSTALLED</v>
      </c>
      <c r="S94" s="17" t="str">
        <f t="shared" si="6"/>
        <v/>
      </c>
      <c r="T94" s="17" t="str">
        <f t="shared" si="7"/>
        <v>SW NOT INSTALLED</v>
      </c>
    </row>
    <row r="95" spans="1:20">
      <c r="A95" s="30" t="str">
        <f>'12 - Device_Configuration'!H95</f>
        <v>LIJ - Other</v>
      </c>
      <c r="B95" s="30" t="str">
        <f>'12 - Device_Configuration'!S95</f>
        <v>WNH270OPR408</v>
      </c>
      <c r="C95" s="30">
        <f>'12 - Device_Configuration'!T95</f>
        <v>0</v>
      </c>
      <c r="D95" s="17">
        <f>'12 - Device_Configuration'!AJ95</f>
        <v>0</v>
      </c>
      <c r="E95" s="17" t="str">
        <f>'12 - Device_Configuration'!J95</f>
        <v>Yes</v>
      </c>
      <c r="F95" s="30" t="str">
        <f>'12 - Device_Configuration'!K95</f>
        <v>No</v>
      </c>
      <c r="G95" s="17" t="str">
        <f>'12 - Device_Configuration'!L95</f>
        <v>No</v>
      </c>
      <c r="H95" s="17">
        <f>'13 - Config_Intake_View'!M95</f>
        <v>0</v>
      </c>
      <c r="I95" s="30">
        <f>IF('13 - Config_Intake_View'!Q95&lt;&gt;"",'13 - Config_Intake_View'!Q95,'12 - Device_Configuration'!BH95)</f>
        <v>0</v>
      </c>
      <c r="J95" s="17" t="str">
        <f>IF('13 - Config_Intake_View'!Q95&lt;&gt;"","PM Approved",IF('12 - Device_Configuration'!BH95&lt;&gt;"","Assumed",""))</f>
        <v/>
      </c>
      <c r="K95" s="30">
        <f>'12 - Device_Configuration'!BG95</f>
        <v>0</v>
      </c>
      <c r="L95" s="17">
        <f>'12 - Device_Configuration'!P95</f>
        <v>0</v>
      </c>
      <c r="M95" s="17">
        <f>'12 - Device_Configuration'!Q95</f>
        <v>0</v>
      </c>
      <c r="N95" s="17" t="str">
        <f>'12 - Device_Configuration'!BK95</f>
        <v/>
      </c>
      <c r="O95" s="30" t="str">
        <f>'12 - Device_Configuration'!BL95</f>
        <v/>
      </c>
      <c r="P95" s="2">
        <f>'12 - Device_Configuration'!BA95</f>
        <v>0</v>
      </c>
      <c r="Q95" s="30" t="str">
        <f t="shared" si="4"/>
        <v/>
      </c>
      <c r="R95" s="17" t="str">
        <f t="shared" si="5"/>
        <v>SW NOT INSTALLED</v>
      </c>
      <c r="S95" s="17" t="str">
        <f t="shared" si="6"/>
        <v/>
      </c>
      <c r="T95" s="17" t="str">
        <f t="shared" si="7"/>
        <v>SW NOT INSTALLED</v>
      </c>
    </row>
    <row r="96" spans="1:20">
      <c r="A96" s="30" t="str">
        <f>'12 - Device_Configuration'!H96</f>
        <v>LIJ - Other</v>
      </c>
      <c r="B96" s="30" t="str">
        <f>'12 - Device_Configuration'!S96</f>
        <v>WNH270OPR409</v>
      </c>
      <c r="C96" s="30">
        <f>'12 - Device_Configuration'!T96</f>
        <v>0</v>
      </c>
      <c r="D96" s="17">
        <f>'12 - Device_Configuration'!AJ96</f>
        <v>0</v>
      </c>
      <c r="E96" s="17" t="str">
        <f>'12 - Device_Configuration'!J96</f>
        <v>Yes</v>
      </c>
      <c r="F96" s="30" t="str">
        <f>'12 - Device_Configuration'!K96</f>
        <v>No</v>
      </c>
      <c r="G96" s="17" t="str">
        <f>'12 - Device_Configuration'!L96</f>
        <v>No</v>
      </c>
      <c r="H96" s="17">
        <f>'13 - Config_Intake_View'!M96</f>
        <v>0</v>
      </c>
      <c r="I96" s="30">
        <f>IF('13 - Config_Intake_View'!Q96&lt;&gt;"",'13 - Config_Intake_View'!Q96,'12 - Device_Configuration'!BH96)</f>
        <v>0</v>
      </c>
      <c r="J96" s="17" t="str">
        <f>IF('13 - Config_Intake_View'!Q96&lt;&gt;"","PM Approved",IF('12 - Device_Configuration'!BH96&lt;&gt;"","Assumed",""))</f>
        <v/>
      </c>
      <c r="K96" s="30">
        <f>'12 - Device_Configuration'!BG96</f>
        <v>0</v>
      </c>
      <c r="L96" s="17">
        <f>'12 - Device_Configuration'!P96</f>
        <v>0</v>
      </c>
      <c r="M96" s="17">
        <f>'12 - Device_Configuration'!Q96</f>
        <v>0</v>
      </c>
      <c r="N96" s="17" t="str">
        <f>'12 - Device_Configuration'!BK96</f>
        <v/>
      </c>
      <c r="O96" s="30" t="str">
        <f>'12 - Device_Configuration'!BL96</f>
        <v/>
      </c>
      <c r="P96" s="2">
        <f>'12 - Device_Configuration'!BA96</f>
        <v>0</v>
      </c>
      <c r="Q96" s="30" t="str">
        <f t="shared" si="4"/>
        <v/>
      </c>
      <c r="R96" s="17" t="str">
        <f t="shared" si="5"/>
        <v>SW NOT INSTALLED</v>
      </c>
      <c r="S96" s="17" t="str">
        <f t="shared" si="6"/>
        <v/>
      </c>
      <c r="T96" s="17" t="str">
        <f t="shared" si="7"/>
        <v>SW NOT INSTALLED</v>
      </c>
    </row>
    <row r="97" spans="1:20">
      <c r="A97" s="30" t="str">
        <f>'12 - Device_Configuration'!H97</f>
        <v>LIJ - Other</v>
      </c>
      <c r="B97" s="30" t="str">
        <f>'12 - Device_Configuration'!S97</f>
        <v>WNH270OPR410</v>
      </c>
      <c r="C97" s="30">
        <f>'12 - Device_Configuration'!T97</f>
        <v>0</v>
      </c>
      <c r="D97" s="17">
        <f>'12 - Device_Configuration'!AJ97</f>
        <v>0</v>
      </c>
      <c r="E97" s="17" t="str">
        <f>'12 - Device_Configuration'!J97</f>
        <v>Yes</v>
      </c>
      <c r="F97" s="30" t="str">
        <f>'12 - Device_Configuration'!K97</f>
        <v>No</v>
      </c>
      <c r="G97" s="17" t="str">
        <f>'12 - Device_Configuration'!L97</f>
        <v>No</v>
      </c>
      <c r="H97" s="17">
        <f>'13 - Config_Intake_View'!M97</f>
        <v>0</v>
      </c>
      <c r="I97" s="30">
        <f>IF('13 - Config_Intake_View'!Q97&lt;&gt;"",'13 - Config_Intake_View'!Q97,'12 - Device_Configuration'!BH97)</f>
        <v>0</v>
      </c>
      <c r="J97" s="17" t="str">
        <f>IF('13 - Config_Intake_View'!Q97&lt;&gt;"","PM Approved",IF('12 - Device_Configuration'!BH97&lt;&gt;"","Assumed",""))</f>
        <v/>
      </c>
      <c r="K97" s="30">
        <f>'12 - Device_Configuration'!BG97</f>
        <v>0</v>
      </c>
      <c r="L97" s="17">
        <f>'12 - Device_Configuration'!P97</f>
        <v>0</v>
      </c>
      <c r="M97" s="17">
        <f>'12 - Device_Configuration'!Q97</f>
        <v>0</v>
      </c>
      <c r="N97" s="17" t="str">
        <f>'12 - Device_Configuration'!BK97</f>
        <v/>
      </c>
      <c r="O97" s="30" t="str">
        <f>'12 - Device_Configuration'!BL97</f>
        <v/>
      </c>
      <c r="P97" s="2">
        <f>'12 - Device_Configuration'!BA97</f>
        <v>0</v>
      </c>
      <c r="Q97" s="30" t="str">
        <f t="shared" si="4"/>
        <v/>
      </c>
      <c r="R97" s="17" t="str">
        <f t="shared" si="5"/>
        <v>SW NOT INSTALLED</v>
      </c>
      <c r="S97" s="17" t="str">
        <f t="shared" si="6"/>
        <v/>
      </c>
      <c r="T97" s="17" t="str">
        <f t="shared" si="7"/>
        <v>SW NOT INSTALLED</v>
      </c>
    </row>
    <row r="98" spans="1:20">
      <c r="A98" s="30" t="str">
        <f>'12 - Device_Configuration'!H98</f>
        <v>LIJ - Other</v>
      </c>
      <c r="B98" s="30" t="str">
        <f>'12 - Device_Configuration'!S98</f>
        <v>WNH270OPR411</v>
      </c>
      <c r="C98" s="30">
        <f>'12 - Device_Configuration'!T98</f>
        <v>0</v>
      </c>
      <c r="D98" s="17">
        <f>'12 - Device_Configuration'!AJ98</f>
        <v>0</v>
      </c>
      <c r="E98" s="17" t="str">
        <f>'12 - Device_Configuration'!J98</f>
        <v>Yes</v>
      </c>
      <c r="F98" s="30" t="str">
        <f>'12 - Device_Configuration'!K98</f>
        <v>No</v>
      </c>
      <c r="G98" s="17" t="str">
        <f>'12 - Device_Configuration'!L98</f>
        <v>No</v>
      </c>
      <c r="H98" s="17">
        <f>'13 - Config_Intake_View'!M98</f>
        <v>0</v>
      </c>
      <c r="I98" s="30">
        <f>IF('13 - Config_Intake_View'!Q98&lt;&gt;"",'13 - Config_Intake_View'!Q98,'12 - Device_Configuration'!BH98)</f>
        <v>0</v>
      </c>
      <c r="J98" s="17" t="str">
        <f>IF('13 - Config_Intake_View'!Q98&lt;&gt;"","PM Approved",IF('12 - Device_Configuration'!BH98&lt;&gt;"","Assumed",""))</f>
        <v/>
      </c>
      <c r="K98" s="30">
        <f>'12 - Device_Configuration'!BG98</f>
        <v>0</v>
      </c>
      <c r="L98" s="17">
        <f>'12 - Device_Configuration'!P98</f>
        <v>0</v>
      </c>
      <c r="M98" s="17">
        <f>'12 - Device_Configuration'!Q98</f>
        <v>0</v>
      </c>
      <c r="N98" s="17" t="str">
        <f>'12 - Device_Configuration'!BK98</f>
        <v/>
      </c>
      <c r="O98" s="30" t="str">
        <f>'12 - Device_Configuration'!BL98</f>
        <v/>
      </c>
      <c r="P98" s="2">
        <f>'12 - Device_Configuration'!BA98</f>
        <v>0</v>
      </c>
      <c r="Q98" s="30" t="str">
        <f t="shared" si="4"/>
        <v/>
      </c>
      <c r="R98" s="17" t="str">
        <f t="shared" si="5"/>
        <v>SW NOT INSTALLED</v>
      </c>
      <c r="S98" s="17" t="str">
        <f t="shared" si="6"/>
        <v/>
      </c>
      <c r="T98" s="17" t="str">
        <f t="shared" si="7"/>
        <v>SW NOT INSTALLED</v>
      </c>
    </row>
    <row r="99" spans="1:20">
      <c r="A99" s="30" t="str">
        <f>'12 - Device_Configuration'!H99</f>
        <v>LIJ - Other</v>
      </c>
      <c r="B99" s="30" t="str">
        <f>'12 - Device_Configuration'!S99</f>
        <v>WNH270OPR412</v>
      </c>
      <c r="C99" s="30">
        <f>'12 - Device_Configuration'!T99</f>
        <v>0</v>
      </c>
      <c r="D99" s="17">
        <f>'12 - Device_Configuration'!AJ99</f>
        <v>0</v>
      </c>
      <c r="E99" s="17" t="str">
        <f>'12 - Device_Configuration'!J99</f>
        <v>Yes</v>
      </c>
      <c r="F99" s="30" t="str">
        <f>'12 - Device_Configuration'!K99</f>
        <v>No</v>
      </c>
      <c r="G99" s="17" t="str">
        <f>'12 - Device_Configuration'!L99</f>
        <v>No</v>
      </c>
      <c r="H99" s="17">
        <f>'13 - Config_Intake_View'!M99</f>
        <v>0</v>
      </c>
      <c r="I99" s="30">
        <f>IF('13 - Config_Intake_View'!Q99&lt;&gt;"",'13 - Config_Intake_View'!Q99,'12 - Device_Configuration'!BH99)</f>
        <v>0</v>
      </c>
      <c r="J99" s="17" t="str">
        <f>IF('13 - Config_Intake_View'!Q99&lt;&gt;"","PM Approved",IF('12 - Device_Configuration'!BH99&lt;&gt;"","Assumed",""))</f>
        <v/>
      </c>
      <c r="K99" s="30">
        <f>'12 - Device_Configuration'!BG99</f>
        <v>0</v>
      </c>
      <c r="L99" s="17">
        <f>'12 - Device_Configuration'!P99</f>
        <v>0</v>
      </c>
      <c r="M99" s="17">
        <f>'12 - Device_Configuration'!Q99</f>
        <v>0</v>
      </c>
      <c r="N99" s="17" t="str">
        <f>'12 - Device_Configuration'!BK99</f>
        <v/>
      </c>
      <c r="O99" s="30" t="str">
        <f>'12 - Device_Configuration'!BL99</f>
        <v/>
      </c>
      <c r="P99" s="2">
        <f>'12 - Device_Configuration'!BA99</f>
        <v>0</v>
      </c>
      <c r="Q99" s="30" t="str">
        <f t="shared" si="4"/>
        <v/>
      </c>
      <c r="R99" s="17" t="str">
        <f t="shared" si="5"/>
        <v>SW NOT INSTALLED</v>
      </c>
      <c r="S99" s="17" t="str">
        <f t="shared" si="6"/>
        <v/>
      </c>
      <c r="T99" s="17" t="str">
        <f t="shared" si="7"/>
        <v>SW NOT INSTALLED</v>
      </c>
    </row>
    <row r="100" spans="1:20">
      <c r="A100" s="30" t="str">
        <f>'12 - Device_Configuration'!H100</f>
        <v>LIJ - Other</v>
      </c>
      <c r="B100" s="30" t="str">
        <f>'12 - Device_Configuration'!S100</f>
        <v>BROKEN - Bluescreen@boot</v>
      </c>
      <c r="C100" s="30">
        <f>'12 - Device_Configuration'!T100</f>
        <v>0</v>
      </c>
      <c r="D100" s="17">
        <f>'12 - Device_Configuration'!AJ100</f>
        <v>0</v>
      </c>
      <c r="E100" s="17" t="str">
        <f>'12 - Device_Configuration'!J100</f>
        <v>Yes</v>
      </c>
      <c r="F100" s="30" t="str">
        <f>'12 - Device_Configuration'!K100</f>
        <v>No</v>
      </c>
      <c r="G100" s="17" t="str">
        <f>'12 - Device_Configuration'!L100</f>
        <v>No</v>
      </c>
      <c r="H100" s="17">
        <f>'13 - Config_Intake_View'!M100</f>
        <v>0</v>
      </c>
      <c r="I100" s="30">
        <f>IF('13 - Config_Intake_View'!Q100&lt;&gt;"",'13 - Config_Intake_View'!Q100,'12 - Device_Configuration'!BH100)</f>
        <v>0</v>
      </c>
      <c r="J100" s="17" t="str">
        <f>IF('13 - Config_Intake_View'!Q100&lt;&gt;"","PM Approved",IF('12 - Device_Configuration'!BH100&lt;&gt;"","Assumed",""))</f>
        <v/>
      </c>
      <c r="K100" s="30">
        <f>'12 - Device_Configuration'!BG100</f>
        <v>0</v>
      </c>
      <c r="L100" s="17">
        <f>'12 - Device_Configuration'!P100</f>
        <v>0</v>
      </c>
      <c r="M100" s="17">
        <f>'12 - Device_Configuration'!Q100</f>
        <v>0</v>
      </c>
      <c r="N100" s="17" t="str">
        <f>'12 - Device_Configuration'!BK100</f>
        <v/>
      </c>
      <c r="O100" s="30" t="str">
        <f>'12 - Device_Configuration'!BL100</f>
        <v/>
      </c>
      <c r="P100" s="2">
        <f>'12 - Device_Configuration'!BA100</f>
        <v>0</v>
      </c>
      <c r="Q100" s="30" t="str">
        <f t="shared" si="4"/>
        <v/>
      </c>
      <c r="R100" s="17" t="str">
        <f t="shared" si="5"/>
        <v>SW NOT INSTALLED</v>
      </c>
      <c r="S100" s="17" t="str">
        <f t="shared" si="6"/>
        <v/>
      </c>
      <c r="T100" s="17" t="str">
        <f t="shared" si="7"/>
        <v>SW NOT INSTALLED</v>
      </c>
    </row>
    <row r="101" spans="1:20">
      <c r="A101" s="30" t="str">
        <f>'12 - Device_Configuration'!H101</f>
        <v>LIJ - Other</v>
      </c>
      <c r="B101" s="30" t="str">
        <f>'12 - Device_Configuration'!S101</f>
        <v>WNH270OPR413</v>
      </c>
      <c r="C101" s="30">
        <f>'12 - Device_Configuration'!T101</f>
        <v>0</v>
      </c>
      <c r="D101" s="17">
        <f>'12 - Device_Configuration'!AJ101</f>
        <v>0</v>
      </c>
      <c r="E101" s="17" t="str">
        <f>'12 - Device_Configuration'!J101</f>
        <v>Yes</v>
      </c>
      <c r="F101" s="30" t="str">
        <f>'12 - Device_Configuration'!K101</f>
        <v>No</v>
      </c>
      <c r="G101" s="17" t="str">
        <f>'12 - Device_Configuration'!L101</f>
        <v>No</v>
      </c>
      <c r="H101" s="17">
        <f>'13 - Config_Intake_View'!M101</f>
        <v>0</v>
      </c>
      <c r="I101" s="30">
        <f>IF('13 - Config_Intake_View'!Q101&lt;&gt;"",'13 - Config_Intake_View'!Q101,'12 - Device_Configuration'!BH101)</f>
        <v>0</v>
      </c>
      <c r="J101" s="17" t="str">
        <f>IF('13 - Config_Intake_View'!Q101&lt;&gt;"","PM Approved",IF('12 - Device_Configuration'!BH101&lt;&gt;"","Assumed",""))</f>
        <v/>
      </c>
      <c r="K101" s="30">
        <f>'12 - Device_Configuration'!BG101</f>
        <v>0</v>
      </c>
      <c r="L101" s="17">
        <f>'12 - Device_Configuration'!P101</f>
        <v>0</v>
      </c>
      <c r="M101" s="17">
        <f>'12 - Device_Configuration'!Q101</f>
        <v>0</v>
      </c>
      <c r="N101" s="17" t="str">
        <f>'12 - Device_Configuration'!BK101</f>
        <v/>
      </c>
      <c r="O101" s="30" t="str">
        <f>'12 - Device_Configuration'!BL101</f>
        <v/>
      </c>
      <c r="P101" s="2">
        <f>'12 - Device_Configuration'!BA101</f>
        <v>0</v>
      </c>
      <c r="Q101" s="30" t="str">
        <f t="shared" si="4"/>
        <v/>
      </c>
      <c r="R101" s="17" t="str">
        <f t="shared" si="5"/>
        <v>SW NOT INSTALLED</v>
      </c>
      <c r="S101" s="17" t="str">
        <f t="shared" si="6"/>
        <v/>
      </c>
      <c r="T101" s="17" t="str">
        <f t="shared" si="7"/>
        <v>SW NOT INSTALLED</v>
      </c>
    </row>
    <row r="102" spans="1:20">
      <c r="A102" s="30" t="str">
        <f>'12 - Device_Configuration'!H102</f>
        <v>LIJ - Other</v>
      </c>
      <c r="B102" s="30" t="str">
        <f>'12 - Device_Configuration'!S102</f>
        <v>WNH270OPR414</v>
      </c>
      <c r="C102" s="30">
        <f>'12 - Device_Configuration'!T102</f>
        <v>0</v>
      </c>
      <c r="D102" s="17">
        <f>'12 - Device_Configuration'!AJ102</f>
        <v>0</v>
      </c>
      <c r="E102" s="17" t="str">
        <f>'12 - Device_Configuration'!J102</f>
        <v>Yes</v>
      </c>
      <c r="F102" s="30" t="str">
        <f>'12 - Device_Configuration'!K102</f>
        <v>No</v>
      </c>
      <c r="G102" s="17" t="str">
        <f>'12 - Device_Configuration'!L102</f>
        <v>No</v>
      </c>
      <c r="H102" s="17">
        <f>'13 - Config_Intake_View'!M102</f>
        <v>0</v>
      </c>
      <c r="I102" s="30">
        <f>IF('13 - Config_Intake_View'!Q102&lt;&gt;"",'13 - Config_Intake_View'!Q102,'12 - Device_Configuration'!BH102)</f>
        <v>0</v>
      </c>
      <c r="J102" s="17" t="str">
        <f>IF('13 - Config_Intake_View'!Q102&lt;&gt;"","PM Approved",IF('12 - Device_Configuration'!BH102&lt;&gt;"","Assumed",""))</f>
        <v/>
      </c>
      <c r="K102" s="30">
        <f>'12 - Device_Configuration'!BG102</f>
        <v>0</v>
      </c>
      <c r="L102" s="17">
        <f>'12 - Device_Configuration'!P102</f>
        <v>0</v>
      </c>
      <c r="M102" s="17">
        <f>'12 - Device_Configuration'!Q102</f>
        <v>0</v>
      </c>
      <c r="N102" s="17" t="str">
        <f>'12 - Device_Configuration'!BK102</f>
        <v/>
      </c>
      <c r="O102" s="30" t="str">
        <f>'12 - Device_Configuration'!BL102</f>
        <v/>
      </c>
      <c r="P102" s="2">
        <f>'12 - Device_Configuration'!BA102</f>
        <v>0</v>
      </c>
      <c r="Q102" s="30" t="str">
        <f t="shared" si="4"/>
        <v/>
      </c>
      <c r="R102" s="17" t="str">
        <f t="shared" si="5"/>
        <v>SW NOT INSTALLED</v>
      </c>
      <c r="S102" s="17" t="str">
        <f t="shared" si="6"/>
        <v/>
      </c>
      <c r="T102" s="17" t="str">
        <f t="shared" si="7"/>
        <v>SW NOT INSTALLED</v>
      </c>
    </row>
    <row r="103" spans="1:20">
      <c r="A103" s="30" t="str">
        <f>'12 - Device_Configuration'!H103</f>
        <v>LIJ - Other</v>
      </c>
      <c r="B103" s="30" t="str">
        <f>'12 - Device_Configuration'!S103</f>
        <v>WNH270OPR415</v>
      </c>
      <c r="C103" s="30">
        <f>'12 - Device_Configuration'!T103</f>
        <v>0</v>
      </c>
      <c r="D103" s="17">
        <f>'12 - Device_Configuration'!AJ103</f>
        <v>0</v>
      </c>
      <c r="E103" s="17" t="str">
        <f>'12 - Device_Configuration'!J103</f>
        <v>Yes</v>
      </c>
      <c r="F103" s="30" t="str">
        <f>'12 - Device_Configuration'!K103</f>
        <v>No</v>
      </c>
      <c r="G103" s="17" t="str">
        <f>'12 - Device_Configuration'!L103</f>
        <v>No</v>
      </c>
      <c r="H103" s="17">
        <f>'13 - Config_Intake_View'!M103</f>
        <v>0</v>
      </c>
      <c r="I103" s="30">
        <f>IF('13 - Config_Intake_View'!Q103&lt;&gt;"",'13 - Config_Intake_View'!Q103,'12 - Device_Configuration'!BH103)</f>
        <v>0</v>
      </c>
      <c r="J103" s="17" t="str">
        <f>IF('13 - Config_Intake_View'!Q103&lt;&gt;"","PM Approved",IF('12 - Device_Configuration'!BH103&lt;&gt;"","Assumed",""))</f>
        <v/>
      </c>
      <c r="K103" s="30">
        <f>'12 - Device_Configuration'!BG103</f>
        <v>0</v>
      </c>
      <c r="L103" s="17">
        <f>'12 - Device_Configuration'!P103</f>
        <v>0</v>
      </c>
      <c r="M103" s="17">
        <f>'12 - Device_Configuration'!Q103</f>
        <v>0</v>
      </c>
      <c r="N103" s="17" t="str">
        <f>'12 - Device_Configuration'!BK103</f>
        <v/>
      </c>
      <c r="O103" s="30" t="str">
        <f>'12 - Device_Configuration'!BL103</f>
        <v/>
      </c>
      <c r="P103" s="2">
        <f>'12 - Device_Configuration'!BA103</f>
        <v>0</v>
      </c>
      <c r="Q103" s="30" t="str">
        <f t="shared" si="4"/>
        <v/>
      </c>
      <c r="R103" s="17" t="str">
        <f t="shared" si="5"/>
        <v>SW NOT INSTALLED</v>
      </c>
      <c r="S103" s="17" t="str">
        <f t="shared" si="6"/>
        <v/>
      </c>
      <c r="T103" s="17" t="str">
        <f t="shared" si="7"/>
        <v>SW NOT INSTALLED</v>
      </c>
    </row>
    <row r="104" spans="1:20">
      <c r="A104" s="30" t="str">
        <f>'12 - Device_Configuration'!H104</f>
        <v>LIJ - Other</v>
      </c>
      <c r="B104" s="30" t="str">
        <f>'12 - Device_Configuration'!S104</f>
        <v>WNH270OPR416</v>
      </c>
      <c r="C104" s="30">
        <f>'12 - Device_Configuration'!T104</f>
        <v>0</v>
      </c>
      <c r="D104" s="17">
        <f>'12 - Device_Configuration'!AJ104</f>
        <v>0</v>
      </c>
      <c r="E104" s="17" t="str">
        <f>'12 - Device_Configuration'!J104</f>
        <v>Yes</v>
      </c>
      <c r="F104" s="30" t="str">
        <f>'12 - Device_Configuration'!K104</f>
        <v>No</v>
      </c>
      <c r="G104" s="17" t="str">
        <f>'12 - Device_Configuration'!L104</f>
        <v>No</v>
      </c>
      <c r="H104" s="17">
        <f>'13 - Config_Intake_View'!M104</f>
        <v>0</v>
      </c>
      <c r="I104" s="30">
        <f>IF('13 - Config_Intake_View'!Q104&lt;&gt;"",'13 - Config_Intake_View'!Q104,'12 - Device_Configuration'!BH104)</f>
        <v>0</v>
      </c>
      <c r="J104" s="17" t="str">
        <f>IF('13 - Config_Intake_View'!Q104&lt;&gt;"","PM Approved",IF('12 - Device_Configuration'!BH104&lt;&gt;"","Assumed",""))</f>
        <v/>
      </c>
      <c r="K104" s="30">
        <f>'12 - Device_Configuration'!BG104</f>
        <v>0</v>
      </c>
      <c r="L104" s="17">
        <f>'12 - Device_Configuration'!P104</f>
        <v>0</v>
      </c>
      <c r="M104" s="17">
        <f>'12 - Device_Configuration'!Q104</f>
        <v>0</v>
      </c>
      <c r="N104" s="17" t="str">
        <f>'12 - Device_Configuration'!BK104</f>
        <v/>
      </c>
      <c r="O104" s="30" t="str">
        <f>'12 - Device_Configuration'!BL104</f>
        <v/>
      </c>
      <c r="P104" s="2">
        <f>'12 - Device_Configuration'!BA104</f>
        <v>0</v>
      </c>
      <c r="Q104" s="30" t="str">
        <f t="shared" si="4"/>
        <v/>
      </c>
      <c r="R104" s="17" t="str">
        <f t="shared" si="5"/>
        <v>SW NOT INSTALLED</v>
      </c>
      <c r="S104" s="17" t="str">
        <f t="shared" si="6"/>
        <v/>
      </c>
      <c r="T104" s="17" t="str">
        <f t="shared" si="7"/>
        <v>SW NOT INSTALLED</v>
      </c>
    </row>
    <row r="105" spans="1:20">
      <c r="A105" s="30" t="str">
        <f>'12 - Device_Configuration'!H105</f>
        <v>LIJ - Other</v>
      </c>
      <c r="B105" s="30" t="str">
        <f>'12 - Device_Configuration'!S105</f>
        <v>WNH270OPR417</v>
      </c>
      <c r="C105" s="30">
        <f>'12 - Device_Configuration'!T105</f>
        <v>0</v>
      </c>
      <c r="D105" s="17">
        <f>'12 - Device_Configuration'!AJ105</f>
        <v>0</v>
      </c>
      <c r="E105" s="17" t="str">
        <f>'12 - Device_Configuration'!J105</f>
        <v>Yes</v>
      </c>
      <c r="F105" s="30" t="str">
        <f>'12 - Device_Configuration'!K105</f>
        <v>No</v>
      </c>
      <c r="G105" s="17" t="str">
        <f>'12 - Device_Configuration'!L105</f>
        <v>No</v>
      </c>
      <c r="H105" s="17">
        <f>'13 - Config_Intake_View'!M105</f>
        <v>0</v>
      </c>
      <c r="I105" s="30">
        <f>IF('13 - Config_Intake_View'!Q105&lt;&gt;"",'13 - Config_Intake_View'!Q105,'12 - Device_Configuration'!BH105)</f>
        <v>0</v>
      </c>
      <c r="J105" s="17" t="str">
        <f>IF('13 - Config_Intake_View'!Q105&lt;&gt;"","PM Approved",IF('12 - Device_Configuration'!BH105&lt;&gt;"","Assumed",""))</f>
        <v/>
      </c>
      <c r="K105" s="30">
        <f>'12 - Device_Configuration'!BG105</f>
        <v>0</v>
      </c>
      <c r="L105" s="17">
        <f>'12 - Device_Configuration'!P105</f>
        <v>0</v>
      </c>
      <c r="M105" s="17">
        <f>'12 - Device_Configuration'!Q105</f>
        <v>0</v>
      </c>
      <c r="N105" s="17" t="str">
        <f>'12 - Device_Configuration'!BK105</f>
        <v/>
      </c>
      <c r="O105" s="30" t="str">
        <f>'12 - Device_Configuration'!BL105</f>
        <v/>
      </c>
      <c r="P105" s="2">
        <f>'12 - Device_Configuration'!BA105</f>
        <v>0</v>
      </c>
      <c r="Q105" s="30" t="str">
        <f t="shared" si="4"/>
        <v/>
      </c>
      <c r="R105" s="17" t="str">
        <f t="shared" si="5"/>
        <v>SW NOT INSTALLED</v>
      </c>
      <c r="S105" s="17" t="str">
        <f t="shared" si="6"/>
        <v/>
      </c>
      <c r="T105" s="17" t="str">
        <f t="shared" si="7"/>
        <v>SW NOT INSTALLED</v>
      </c>
    </row>
    <row r="106" spans="1:20">
      <c r="A106" s="30" t="str">
        <f>'12 - Device_Configuration'!H106</f>
        <v>LIJ - Other</v>
      </c>
      <c r="B106" s="30" t="str">
        <f>'12 - Device_Configuration'!S106</f>
        <v>WNH270OPR418</v>
      </c>
      <c r="C106" s="30">
        <f>'12 - Device_Configuration'!T106</f>
        <v>0</v>
      </c>
      <c r="D106" s="17">
        <f>'12 - Device_Configuration'!AJ106</f>
        <v>0</v>
      </c>
      <c r="E106" s="17" t="str">
        <f>'12 - Device_Configuration'!J106</f>
        <v>Yes</v>
      </c>
      <c r="F106" s="30" t="str">
        <f>'12 - Device_Configuration'!K106</f>
        <v>No</v>
      </c>
      <c r="G106" s="17" t="str">
        <f>'12 - Device_Configuration'!L106</f>
        <v>No</v>
      </c>
      <c r="H106" s="17">
        <f>'13 - Config_Intake_View'!M106</f>
        <v>0</v>
      </c>
      <c r="I106" s="30">
        <f>IF('13 - Config_Intake_View'!Q106&lt;&gt;"",'13 - Config_Intake_View'!Q106,'12 - Device_Configuration'!BH106)</f>
        <v>0</v>
      </c>
      <c r="J106" s="17" t="str">
        <f>IF('13 - Config_Intake_View'!Q106&lt;&gt;"","PM Approved",IF('12 - Device_Configuration'!BH106&lt;&gt;"","Assumed",""))</f>
        <v/>
      </c>
      <c r="K106" s="30">
        <f>'12 - Device_Configuration'!BG106</f>
        <v>0</v>
      </c>
      <c r="L106" s="17">
        <f>'12 - Device_Configuration'!P106</f>
        <v>0</v>
      </c>
      <c r="M106" s="17">
        <f>'12 - Device_Configuration'!Q106</f>
        <v>0</v>
      </c>
      <c r="N106" s="17" t="str">
        <f>'12 - Device_Configuration'!BK106</f>
        <v/>
      </c>
      <c r="O106" s="30" t="str">
        <f>'12 - Device_Configuration'!BL106</f>
        <v/>
      </c>
      <c r="P106" s="2">
        <f>'12 - Device_Configuration'!BA106</f>
        <v>0</v>
      </c>
      <c r="Q106" s="30" t="str">
        <f t="shared" si="4"/>
        <v/>
      </c>
      <c r="R106" s="17" t="str">
        <f t="shared" si="5"/>
        <v>SW NOT INSTALLED</v>
      </c>
      <c r="S106" s="17" t="str">
        <f t="shared" si="6"/>
        <v/>
      </c>
      <c r="T106" s="17" t="str">
        <f t="shared" si="7"/>
        <v>SW NOT INSTALLED</v>
      </c>
    </row>
    <row r="107" spans="1:20">
      <c r="A107" s="30" t="str">
        <f>'12 - Device_Configuration'!H107</f>
        <v>LIJ - Other</v>
      </c>
      <c r="B107" s="30" t="str">
        <f>'12 - Device_Configuration'!S107</f>
        <v>WNH270OPR419</v>
      </c>
      <c r="C107" s="30">
        <f>'12 - Device_Configuration'!T107</f>
        <v>0</v>
      </c>
      <c r="D107" s="17">
        <f>'12 - Device_Configuration'!AJ107</f>
        <v>0</v>
      </c>
      <c r="E107" s="17" t="str">
        <f>'12 - Device_Configuration'!J107</f>
        <v>Yes</v>
      </c>
      <c r="F107" s="30" t="str">
        <f>'12 - Device_Configuration'!K107</f>
        <v>No</v>
      </c>
      <c r="G107" s="17" t="str">
        <f>'12 - Device_Configuration'!L107</f>
        <v>No</v>
      </c>
      <c r="H107" s="17">
        <f>'13 - Config_Intake_View'!M107</f>
        <v>0</v>
      </c>
      <c r="I107" s="30">
        <f>IF('13 - Config_Intake_View'!Q107&lt;&gt;"",'13 - Config_Intake_View'!Q107,'12 - Device_Configuration'!BH107)</f>
        <v>0</v>
      </c>
      <c r="J107" s="17" t="str">
        <f>IF('13 - Config_Intake_View'!Q107&lt;&gt;"","PM Approved",IF('12 - Device_Configuration'!BH107&lt;&gt;"","Assumed",""))</f>
        <v/>
      </c>
      <c r="K107" s="30">
        <f>'12 - Device_Configuration'!BG107</f>
        <v>0</v>
      </c>
      <c r="L107" s="17">
        <f>'12 - Device_Configuration'!P107</f>
        <v>0</v>
      </c>
      <c r="M107" s="17">
        <f>'12 - Device_Configuration'!Q107</f>
        <v>0</v>
      </c>
      <c r="N107" s="17" t="str">
        <f>'12 - Device_Configuration'!BK107</f>
        <v/>
      </c>
      <c r="O107" s="30" t="str">
        <f>'12 - Device_Configuration'!BL107</f>
        <v/>
      </c>
      <c r="P107" s="2">
        <f>'12 - Device_Configuration'!BA107</f>
        <v>0</v>
      </c>
      <c r="Q107" s="30" t="str">
        <f t="shared" si="4"/>
        <v/>
      </c>
      <c r="R107" s="17" t="str">
        <f t="shared" si="5"/>
        <v>SW NOT INSTALLED</v>
      </c>
      <c r="S107" s="17" t="str">
        <f t="shared" si="6"/>
        <v/>
      </c>
      <c r="T107" s="17" t="str">
        <f t="shared" si="7"/>
        <v>SW NOT INSTALLED</v>
      </c>
    </row>
    <row r="108" spans="1:20">
      <c r="A108" s="30" t="str">
        <f>'12 - Device_Configuration'!H108</f>
        <v>LIJ - Other</v>
      </c>
      <c r="B108" s="30" t="str">
        <f>'12 - Device_Configuration'!S108</f>
        <v>WNH270OPR420</v>
      </c>
      <c r="C108" s="30">
        <f>'12 - Device_Configuration'!T108</f>
        <v>0</v>
      </c>
      <c r="D108" s="17">
        <f>'12 - Device_Configuration'!AJ108</f>
        <v>0</v>
      </c>
      <c r="E108" s="17" t="str">
        <f>'12 - Device_Configuration'!J108</f>
        <v>Yes</v>
      </c>
      <c r="F108" s="30" t="str">
        <f>'12 - Device_Configuration'!K108</f>
        <v>No</v>
      </c>
      <c r="G108" s="17" t="str">
        <f>'12 - Device_Configuration'!L108</f>
        <v>No</v>
      </c>
      <c r="H108" s="17">
        <f>'13 - Config_Intake_View'!M108</f>
        <v>0</v>
      </c>
      <c r="I108" s="30">
        <f>IF('13 - Config_Intake_View'!Q108&lt;&gt;"",'13 - Config_Intake_View'!Q108,'12 - Device_Configuration'!BH108)</f>
        <v>0</v>
      </c>
      <c r="J108" s="17" t="str">
        <f>IF('13 - Config_Intake_View'!Q108&lt;&gt;"","PM Approved",IF('12 - Device_Configuration'!BH108&lt;&gt;"","Assumed",""))</f>
        <v/>
      </c>
      <c r="K108" s="30">
        <f>'12 - Device_Configuration'!BG108</f>
        <v>0</v>
      </c>
      <c r="L108" s="17">
        <f>'12 - Device_Configuration'!P108</f>
        <v>0</v>
      </c>
      <c r="M108" s="17">
        <f>'12 - Device_Configuration'!Q108</f>
        <v>0</v>
      </c>
      <c r="N108" s="17" t="str">
        <f>'12 - Device_Configuration'!BK108</f>
        <v/>
      </c>
      <c r="O108" s="30" t="str">
        <f>'12 - Device_Configuration'!BL108</f>
        <v/>
      </c>
      <c r="P108" s="2">
        <f>'12 - Device_Configuration'!BA108</f>
        <v>0</v>
      </c>
      <c r="Q108" s="30" t="str">
        <f t="shared" si="4"/>
        <v/>
      </c>
      <c r="R108" s="17" t="str">
        <f t="shared" si="5"/>
        <v>SW NOT INSTALLED</v>
      </c>
      <c r="S108" s="17" t="str">
        <f t="shared" si="6"/>
        <v/>
      </c>
      <c r="T108" s="17" t="str">
        <f t="shared" si="7"/>
        <v>SW NOT INSTALLED</v>
      </c>
    </row>
    <row r="109" spans="1:20">
      <c r="A109" s="30" t="str">
        <f>'12 - Device_Configuration'!H109</f>
        <v>LIJ - Other</v>
      </c>
      <c r="B109" s="30" t="str">
        <f>'12 - Device_Configuration'!S109</f>
        <v>WNH270OPR421</v>
      </c>
      <c r="C109" s="30">
        <f>'12 - Device_Configuration'!T109</f>
        <v>0</v>
      </c>
      <c r="D109" s="17">
        <f>'12 - Device_Configuration'!AJ109</f>
        <v>0</v>
      </c>
      <c r="E109" s="17" t="str">
        <f>'12 - Device_Configuration'!J109</f>
        <v>Yes</v>
      </c>
      <c r="F109" s="30" t="str">
        <f>'12 - Device_Configuration'!K109</f>
        <v>No</v>
      </c>
      <c r="G109" s="17" t="str">
        <f>'12 - Device_Configuration'!L109</f>
        <v>No</v>
      </c>
      <c r="H109" s="17">
        <f>'13 - Config_Intake_View'!M109</f>
        <v>0</v>
      </c>
      <c r="I109" s="30">
        <f>IF('13 - Config_Intake_View'!Q109&lt;&gt;"",'13 - Config_Intake_View'!Q109,'12 - Device_Configuration'!BH109)</f>
        <v>0</v>
      </c>
      <c r="J109" s="17" t="str">
        <f>IF('13 - Config_Intake_View'!Q109&lt;&gt;"","PM Approved",IF('12 - Device_Configuration'!BH109&lt;&gt;"","Assumed",""))</f>
        <v/>
      </c>
      <c r="K109" s="30">
        <f>'12 - Device_Configuration'!BG109</f>
        <v>0</v>
      </c>
      <c r="L109" s="17">
        <f>'12 - Device_Configuration'!P109</f>
        <v>0</v>
      </c>
      <c r="M109" s="17">
        <f>'12 - Device_Configuration'!Q109</f>
        <v>0</v>
      </c>
      <c r="N109" s="17" t="str">
        <f>'12 - Device_Configuration'!BK109</f>
        <v/>
      </c>
      <c r="O109" s="30" t="str">
        <f>'12 - Device_Configuration'!BL109</f>
        <v/>
      </c>
      <c r="P109" s="2">
        <f>'12 - Device_Configuration'!BA109</f>
        <v>0</v>
      </c>
      <c r="Q109" s="30" t="str">
        <f t="shared" si="4"/>
        <v/>
      </c>
      <c r="R109" s="17" t="str">
        <f t="shared" si="5"/>
        <v>SW NOT INSTALLED</v>
      </c>
      <c r="S109" s="17" t="str">
        <f t="shared" si="6"/>
        <v/>
      </c>
      <c r="T109" s="17" t="str">
        <f t="shared" si="7"/>
        <v>SW NOT INSTALLED</v>
      </c>
    </row>
    <row r="110" spans="1:20">
      <c r="A110" s="30" t="str">
        <f>'12 - Device_Configuration'!H110</f>
        <v>LIJ - OR</v>
      </c>
      <c r="B110" s="30" t="str">
        <f>'12 - Device_Configuration'!S110</f>
        <v>WNH270OPR422</v>
      </c>
      <c r="C110" s="30">
        <f>'12 - Device_Configuration'!T110</f>
        <v>0</v>
      </c>
      <c r="D110" s="17">
        <f>'12 - Device_Configuration'!AJ110</f>
        <v>0</v>
      </c>
      <c r="E110" s="17" t="str">
        <f>'12 - Device_Configuration'!J110</f>
        <v>Yes</v>
      </c>
      <c r="F110" s="30" t="str">
        <f>'12 - Device_Configuration'!K110</f>
        <v>No</v>
      </c>
      <c r="G110" s="17" t="str">
        <f>'12 - Device_Configuration'!L110</f>
        <v>No</v>
      </c>
      <c r="H110" s="17">
        <f>'13 - Config_Intake_View'!M110</f>
        <v>0</v>
      </c>
      <c r="I110" s="30">
        <f>IF('13 - Config_Intake_View'!Q110&lt;&gt;"",'13 - Config_Intake_View'!Q110,'12 - Device_Configuration'!BH110)</f>
        <v>0</v>
      </c>
      <c r="J110" s="17" t="str">
        <f>IF('13 - Config_Intake_View'!Q110&lt;&gt;"","PM Approved",IF('12 - Device_Configuration'!BH110&lt;&gt;"","Assumed",""))</f>
        <v/>
      </c>
      <c r="K110" s="30">
        <f>'12 - Device_Configuration'!BG110</f>
        <v>0</v>
      </c>
      <c r="L110" s="17">
        <f>'12 - Device_Configuration'!P110</f>
        <v>0</v>
      </c>
      <c r="M110" s="17">
        <f>'12 - Device_Configuration'!Q110</f>
        <v>0</v>
      </c>
      <c r="N110" s="17" t="str">
        <f>'12 - Device_Configuration'!BK110</f>
        <v/>
      </c>
      <c r="O110" s="30" t="str">
        <f>'12 - Device_Configuration'!BL110</f>
        <v/>
      </c>
      <c r="P110" s="2">
        <f>'12 - Device_Configuration'!BA110</f>
        <v>0</v>
      </c>
      <c r="Q110" s="30" t="str">
        <f t="shared" si="4"/>
        <v/>
      </c>
      <c r="R110" s="17" t="str">
        <f t="shared" si="5"/>
        <v>SW NOT INSTALLED</v>
      </c>
      <c r="S110" s="17" t="str">
        <f t="shared" si="6"/>
        <v/>
      </c>
      <c r="T110" s="17" t="str">
        <f t="shared" si="7"/>
        <v>SW NOT INSTALLED</v>
      </c>
    </row>
    <row r="111" spans="1:20">
      <c r="A111" s="30" t="str">
        <f>'12 - Device_Configuration'!H111</f>
        <v>LIJ - OR</v>
      </c>
      <c r="B111" s="30" t="str">
        <f>'12 - Device_Configuration'!S111</f>
        <v>WNH270OPR423</v>
      </c>
      <c r="C111" s="30">
        <f>'12 - Device_Configuration'!T111</f>
        <v>0</v>
      </c>
      <c r="D111" s="17">
        <f>'12 - Device_Configuration'!AJ111</f>
        <v>0</v>
      </c>
      <c r="E111" s="17" t="str">
        <f>'12 - Device_Configuration'!J111</f>
        <v>Yes</v>
      </c>
      <c r="F111" s="30" t="str">
        <f>'12 - Device_Configuration'!K111</f>
        <v>No</v>
      </c>
      <c r="G111" s="17" t="str">
        <f>'12 - Device_Configuration'!L111</f>
        <v>No</v>
      </c>
      <c r="H111" s="17">
        <f>'13 - Config_Intake_View'!M111</f>
        <v>0</v>
      </c>
      <c r="I111" s="30">
        <f>IF('13 - Config_Intake_View'!Q111&lt;&gt;"",'13 - Config_Intake_View'!Q111,'12 - Device_Configuration'!BH111)</f>
        <v>0</v>
      </c>
      <c r="J111" s="17" t="str">
        <f>IF('13 - Config_Intake_View'!Q111&lt;&gt;"","PM Approved",IF('12 - Device_Configuration'!BH111&lt;&gt;"","Assumed",""))</f>
        <v/>
      </c>
      <c r="K111" s="30">
        <f>'12 - Device_Configuration'!BG111</f>
        <v>0</v>
      </c>
      <c r="L111" s="17">
        <f>'12 - Device_Configuration'!P111</f>
        <v>0</v>
      </c>
      <c r="M111" s="17">
        <f>'12 - Device_Configuration'!Q111</f>
        <v>0</v>
      </c>
      <c r="N111" s="17" t="str">
        <f>'12 - Device_Configuration'!BK111</f>
        <v/>
      </c>
      <c r="O111" s="30" t="str">
        <f>'12 - Device_Configuration'!BL111</f>
        <v/>
      </c>
      <c r="P111" s="2">
        <f>'12 - Device_Configuration'!BA111</f>
        <v>0</v>
      </c>
      <c r="Q111" s="30" t="str">
        <f t="shared" si="4"/>
        <v/>
      </c>
      <c r="R111" s="17" t="str">
        <f t="shared" si="5"/>
        <v>SW NOT INSTALLED</v>
      </c>
      <c r="S111" s="17" t="str">
        <f t="shared" si="6"/>
        <v/>
      </c>
      <c r="T111" s="17" t="str">
        <f t="shared" si="7"/>
        <v>SW NOT INSTALLED</v>
      </c>
    </row>
    <row r="112" spans="1:20">
      <c r="A112" s="30" t="str">
        <f>'12 - Device_Configuration'!H112</f>
        <v>LIJ - OR</v>
      </c>
      <c r="B112" s="30" t="str">
        <f>'12 - Device_Configuration'!S112</f>
        <v>WNH270OPR424</v>
      </c>
      <c r="C112" s="30">
        <f>'12 - Device_Configuration'!T112</f>
        <v>0</v>
      </c>
      <c r="D112" s="17">
        <f>'12 - Device_Configuration'!AJ112</f>
        <v>0</v>
      </c>
      <c r="E112" s="17" t="str">
        <f>'12 - Device_Configuration'!J112</f>
        <v>Yes</v>
      </c>
      <c r="F112" s="30" t="str">
        <f>'12 - Device_Configuration'!K112</f>
        <v>No</v>
      </c>
      <c r="G112" s="17" t="str">
        <f>'12 - Device_Configuration'!L112</f>
        <v>No</v>
      </c>
      <c r="H112" s="17">
        <f>'13 - Config_Intake_View'!M112</f>
        <v>0</v>
      </c>
      <c r="I112" s="30">
        <f>IF('13 - Config_Intake_View'!Q112&lt;&gt;"",'13 - Config_Intake_View'!Q112,'12 - Device_Configuration'!BH112)</f>
        <v>0</v>
      </c>
      <c r="J112" s="17" t="str">
        <f>IF('13 - Config_Intake_View'!Q112&lt;&gt;"","PM Approved",IF('12 - Device_Configuration'!BH112&lt;&gt;"","Assumed",""))</f>
        <v/>
      </c>
      <c r="K112" s="30">
        <f>'12 - Device_Configuration'!BG112</f>
        <v>0</v>
      </c>
      <c r="L112" s="17">
        <f>'12 - Device_Configuration'!P112</f>
        <v>0</v>
      </c>
      <c r="M112" s="17">
        <f>'12 - Device_Configuration'!Q112</f>
        <v>0</v>
      </c>
      <c r="N112" s="17" t="str">
        <f>'12 - Device_Configuration'!BK112</f>
        <v/>
      </c>
      <c r="O112" s="30" t="str">
        <f>'12 - Device_Configuration'!BL112</f>
        <v/>
      </c>
      <c r="P112" s="2">
        <f>'12 - Device_Configuration'!BA112</f>
        <v>0</v>
      </c>
      <c r="Q112" s="30" t="str">
        <f t="shared" si="4"/>
        <v/>
      </c>
      <c r="R112" s="17" t="str">
        <f t="shared" si="5"/>
        <v>SW NOT INSTALLED</v>
      </c>
      <c r="S112" s="17" t="str">
        <f t="shared" si="6"/>
        <v/>
      </c>
      <c r="T112" s="17" t="str">
        <f t="shared" si="7"/>
        <v>SW NOT INSTALLED</v>
      </c>
    </row>
    <row r="113" spans="1:20">
      <c r="A113" s="30" t="str">
        <f>'12 - Device_Configuration'!H113</f>
        <v>LIJ - OR</v>
      </c>
      <c r="B113" s="30" t="str">
        <f>'12 - Device_Configuration'!S113</f>
        <v>WNH270OPR425</v>
      </c>
      <c r="C113" s="30">
        <f>'12 - Device_Configuration'!T113</f>
        <v>0</v>
      </c>
      <c r="D113" s="17">
        <f>'12 - Device_Configuration'!AJ113</f>
        <v>0</v>
      </c>
      <c r="E113" s="17" t="str">
        <f>'12 - Device_Configuration'!J113</f>
        <v>Yes</v>
      </c>
      <c r="F113" s="30" t="str">
        <f>'12 - Device_Configuration'!K113</f>
        <v>No</v>
      </c>
      <c r="G113" s="17" t="str">
        <f>'12 - Device_Configuration'!L113</f>
        <v>No</v>
      </c>
      <c r="H113" s="17">
        <f>'13 - Config_Intake_View'!M113</f>
        <v>0</v>
      </c>
      <c r="I113" s="30">
        <f>IF('13 - Config_Intake_View'!Q113&lt;&gt;"",'13 - Config_Intake_View'!Q113,'12 - Device_Configuration'!BH113)</f>
        <v>0</v>
      </c>
      <c r="J113" s="17" t="str">
        <f>IF('13 - Config_Intake_View'!Q113&lt;&gt;"","PM Approved",IF('12 - Device_Configuration'!BH113&lt;&gt;"","Assumed",""))</f>
        <v/>
      </c>
      <c r="K113" s="30">
        <f>'12 - Device_Configuration'!BG113</f>
        <v>0</v>
      </c>
      <c r="L113" s="17">
        <f>'12 - Device_Configuration'!P113</f>
        <v>0</v>
      </c>
      <c r="M113" s="17">
        <f>'12 - Device_Configuration'!Q113</f>
        <v>0</v>
      </c>
      <c r="N113" s="17" t="str">
        <f>'12 - Device_Configuration'!BK113</f>
        <v/>
      </c>
      <c r="O113" s="30" t="str">
        <f>'12 - Device_Configuration'!BL113</f>
        <v/>
      </c>
      <c r="P113" s="2">
        <f>'12 - Device_Configuration'!BA113</f>
        <v>0</v>
      </c>
      <c r="Q113" s="30" t="str">
        <f t="shared" si="4"/>
        <v/>
      </c>
      <c r="R113" s="17" t="str">
        <f t="shared" si="5"/>
        <v>SW NOT INSTALLED</v>
      </c>
      <c r="S113" s="17" t="str">
        <f t="shared" si="6"/>
        <v/>
      </c>
      <c r="T113" s="17" t="str">
        <f t="shared" si="7"/>
        <v>SW NOT INSTALLED</v>
      </c>
    </row>
    <row r="114" spans="1:20">
      <c r="A114" s="30" t="str">
        <f>'12 - Device_Configuration'!H114</f>
        <v>LIJ - OR</v>
      </c>
      <c r="B114" s="30" t="str">
        <f>'12 - Device_Configuration'!S114</f>
        <v>WNH270OPR426</v>
      </c>
      <c r="C114" s="30">
        <f>'12 - Device_Configuration'!T114</f>
        <v>0</v>
      </c>
      <c r="D114" s="17">
        <f>'12 - Device_Configuration'!AJ114</f>
        <v>0</v>
      </c>
      <c r="E114" s="17" t="str">
        <f>'12 - Device_Configuration'!J114</f>
        <v>Yes</v>
      </c>
      <c r="F114" s="30" t="str">
        <f>'12 - Device_Configuration'!K114</f>
        <v>No</v>
      </c>
      <c r="G114" s="17" t="str">
        <f>'12 - Device_Configuration'!L114</f>
        <v>No</v>
      </c>
      <c r="H114" s="17">
        <f>'13 - Config_Intake_View'!M114</f>
        <v>0</v>
      </c>
      <c r="I114" s="30">
        <f>IF('13 - Config_Intake_View'!Q114&lt;&gt;"",'13 - Config_Intake_View'!Q114,'12 - Device_Configuration'!BH114)</f>
        <v>0</v>
      </c>
      <c r="J114" s="17" t="str">
        <f>IF('13 - Config_Intake_View'!Q114&lt;&gt;"","PM Approved",IF('12 - Device_Configuration'!BH114&lt;&gt;"","Assumed",""))</f>
        <v/>
      </c>
      <c r="K114" s="30">
        <f>'12 - Device_Configuration'!BG114</f>
        <v>0</v>
      </c>
      <c r="L114" s="17">
        <f>'12 - Device_Configuration'!P114</f>
        <v>0</v>
      </c>
      <c r="M114" s="17">
        <f>'12 - Device_Configuration'!Q114</f>
        <v>0</v>
      </c>
      <c r="N114" s="17" t="str">
        <f>'12 - Device_Configuration'!BK114</f>
        <v/>
      </c>
      <c r="O114" s="30" t="str">
        <f>'12 - Device_Configuration'!BL114</f>
        <v/>
      </c>
      <c r="P114" s="2">
        <f>'12 - Device_Configuration'!BA114</f>
        <v>0</v>
      </c>
      <c r="Q114" s="30" t="str">
        <f t="shared" si="4"/>
        <v/>
      </c>
      <c r="R114" s="17" t="str">
        <f t="shared" si="5"/>
        <v>SW NOT INSTALLED</v>
      </c>
      <c r="S114" s="17" t="str">
        <f t="shared" si="6"/>
        <v/>
      </c>
      <c r="T114" s="17" t="str">
        <f t="shared" si="7"/>
        <v>SW NOT INSTALLED</v>
      </c>
    </row>
    <row r="115" spans="1:20">
      <c r="A115" s="30" t="str">
        <f>'12 - Device_Configuration'!H115</f>
        <v>LIJ - OR</v>
      </c>
      <c r="B115" s="30" t="str">
        <f>'12 - Device_Configuration'!S115</f>
        <v>WNH270OPR427</v>
      </c>
      <c r="C115" s="30">
        <f>'12 - Device_Configuration'!T115</f>
        <v>0</v>
      </c>
      <c r="D115" s="17">
        <f>'12 - Device_Configuration'!AJ115</f>
        <v>0</v>
      </c>
      <c r="E115" s="17" t="str">
        <f>'12 - Device_Configuration'!J115</f>
        <v>Yes</v>
      </c>
      <c r="F115" s="30" t="str">
        <f>'12 - Device_Configuration'!K115</f>
        <v>No</v>
      </c>
      <c r="G115" s="17" t="str">
        <f>'12 - Device_Configuration'!L115</f>
        <v>No</v>
      </c>
      <c r="H115" s="17">
        <f>'13 - Config_Intake_View'!M115</f>
        <v>0</v>
      </c>
      <c r="I115" s="30">
        <f>IF('13 - Config_Intake_View'!Q115&lt;&gt;"",'13 - Config_Intake_View'!Q115,'12 - Device_Configuration'!BH115)</f>
        <v>0</v>
      </c>
      <c r="J115" s="17" t="str">
        <f>IF('13 - Config_Intake_View'!Q115&lt;&gt;"","PM Approved",IF('12 - Device_Configuration'!BH115&lt;&gt;"","Assumed",""))</f>
        <v/>
      </c>
      <c r="K115" s="30">
        <f>'12 - Device_Configuration'!BG115</f>
        <v>0</v>
      </c>
      <c r="L115" s="17">
        <f>'12 - Device_Configuration'!P115</f>
        <v>0</v>
      </c>
      <c r="M115" s="17">
        <f>'12 - Device_Configuration'!Q115</f>
        <v>0</v>
      </c>
      <c r="N115" s="17" t="str">
        <f>'12 - Device_Configuration'!BK115</f>
        <v/>
      </c>
      <c r="O115" s="30" t="str">
        <f>'12 - Device_Configuration'!BL115</f>
        <v/>
      </c>
      <c r="P115" s="2">
        <f>'12 - Device_Configuration'!BA115</f>
        <v>0</v>
      </c>
      <c r="Q115" s="30" t="str">
        <f t="shared" si="4"/>
        <v/>
      </c>
      <c r="R115" s="17" t="str">
        <f t="shared" si="5"/>
        <v>SW NOT INSTALLED</v>
      </c>
      <c r="S115" s="17" t="str">
        <f t="shared" si="6"/>
        <v/>
      </c>
      <c r="T115" s="17" t="str">
        <f t="shared" si="7"/>
        <v>SW NOT INSTALLED</v>
      </c>
    </row>
    <row r="116" spans="1:20">
      <c r="A116" s="30" t="str">
        <f>'12 - Device_Configuration'!H116</f>
        <v>LIJ - OR</v>
      </c>
      <c r="B116" s="30" t="str">
        <f>'12 - Device_Configuration'!S116</f>
        <v>WNH270OPR428</v>
      </c>
      <c r="C116" s="30">
        <f>'12 - Device_Configuration'!T116</f>
        <v>0</v>
      </c>
      <c r="D116" s="17">
        <f>'12 - Device_Configuration'!AJ116</f>
        <v>0</v>
      </c>
      <c r="E116" s="17" t="str">
        <f>'12 - Device_Configuration'!J116</f>
        <v>Yes</v>
      </c>
      <c r="F116" s="30" t="str">
        <f>'12 - Device_Configuration'!K116</f>
        <v>No</v>
      </c>
      <c r="G116" s="17" t="str">
        <f>'12 - Device_Configuration'!L116</f>
        <v>No</v>
      </c>
      <c r="H116" s="17">
        <f>'13 - Config_Intake_View'!M116</f>
        <v>0</v>
      </c>
      <c r="I116" s="30">
        <f>IF('13 - Config_Intake_View'!Q116&lt;&gt;"",'13 - Config_Intake_View'!Q116,'12 - Device_Configuration'!BH116)</f>
        <v>0</v>
      </c>
      <c r="J116" s="17" t="str">
        <f>IF('13 - Config_Intake_View'!Q116&lt;&gt;"","PM Approved",IF('12 - Device_Configuration'!BH116&lt;&gt;"","Assumed",""))</f>
        <v/>
      </c>
      <c r="K116" s="30">
        <f>'12 - Device_Configuration'!BG116</f>
        <v>0</v>
      </c>
      <c r="L116" s="17">
        <f>'12 - Device_Configuration'!P116</f>
        <v>0</v>
      </c>
      <c r="M116" s="17">
        <f>'12 - Device_Configuration'!Q116</f>
        <v>0</v>
      </c>
      <c r="N116" s="17" t="str">
        <f>'12 - Device_Configuration'!BK116</f>
        <v/>
      </c>
      <c r="O116" s="30" t="str">
        <f>'12 - Device_Configuration'!BL116</f>
        <v/>
      </c>
      <c r="P116" s="2">
        <f>'12 - Device_Configuration'!BA116</f>
        <v>0</v>
      </c>
      <c r="Q116" s="30" t="str">
        <f t="shared" si="4"/>
        <v/>
      </c>
      <c r="R116" s="17" t="str">
        <f t="shared" si="5"/>
        <v>SW NOT INSTALLED</v>
      </c>
      <c r="S116" s="17" t="str">
        <f t="shared" si="6"/>
        <v/>
      </c>
      <c r="T116" s="17" t="str">
        <f t="shared" si="7"/>
        <v>SW NOT INSTALLED</v>
      </c>
    </row>
    <row r="117" spans="1:20">
      <c r="A117" s="30" t="str">
        <f>'12 - Device_Configuration'!H117</f>
        <v>LIJ - OR</v>
      </c>
      <c r="B117" s="30" t="str">
        <f>'12 - Device_Configuration'!S117</f>
        <v>WNH270OPR429</v>
      </c>
      <c r="C117" s="30">
        <f>'12 - Device_Configuration'!T117</f>
        <v>0</v>
      </c>
      <c r="D117" s="17">
        <f>'12 - Device_Configuration'!AJ117</f>
        <v>0</v>
      </c>
      <c r="E117" s="17" t="str">
        <f>'12 - Device_Configuration'!J117</f>
        <v>Yes</v>
      </c>
      <c r="F117" s="30" t="str">
        <f>'12 - Device_Configuration'!K117</f>
        <v>No</v>
      </c>
      <c r="G117" s="17" t="str">
        <f>'12 - Device_Configuration'!L117</f>
        <v>No</v>
      </c>
      <c r="H117" s="17">
        <f>'13 - Config_Intake_View'!M117</f>
        <v>0</v>
      </c>
      <c r="I117" s="30">
        <f>IF('13 - Config_Intake_View'!Q117&lt;&gt;"",'13 - Config_Intake_View'!Q117,'12 - Device_Configuration'!BH117)</f>
        <v>0</v>
      </c>
      <c r="J117" s="17" t="str">
        <f>IF('13 - Config_Intake_View'!Q117&lt;&gt;"","PM Approved",IF('12 - Device_Configuration'!BH117&lt;&gt;"","Assumed",""))</f>
        <v/>
      </c>
      <c r="K117" s="30">
        <f>'12 - Device_Configuration'!BG117</f>
        <v>0</v>
      </c>
      <c r="L117" s="17">
        <f>'12 - Device_Configuration'!P117</f>
        <v>0</v>
      </c>
      <c r="M117" s="17">
        <f>'12 - Device_Configuration'!Q117</f>
        <v>0</v>
      </c>
      <c r="N117" s="17" t="str">
        <f>'12 - Device_Configuration'!BK117</f>
        <v/>
      </c>
      <c r="O117" s="30" t="str">
        <f>'12 - Device_Configuration'!BL117</f>
        <v/>
      </c>
      <c r="P117" s="2">
        <f>'12 - Device_Configuration'!BA117</f>
        <v>0</v>
      </c>
      <c r="Q117" s="30" t="str">
        <f t="shared" si="4"/>
        <v/>
      </c>
      <c r="R117" s="17" t="str">
        <f t="shared" si="5"/>
        <v>SW NOT INSTALLED</v>
      </c>
      <c r="S117" s="17" t="str">
        <f t="shared" si="6"/>
        <v/>
      </c>
      <c r="T117" s="17" t="str">
        <f t="shared" si="7"/>
        <v>SW NOT INSTALLED</v>
      </c>
    </row>
    <row r="118" spans="1:20">
      <c r="A118" s="30" t="str">
        <f>'12 - Device_Configuration'!H118</f>
        <v>LIJ - OR</v>
      </c>
      <c r="B118" s="30" t="str">
        <f>'12 - Device_Configuration'!S118</f>
        <v>WNH270OPR430</v>
      </c>
      <c r="C118" s="30">
        <f>'12 - Device_Configuration'!T118</f>
        <v>0</v>
      </c>
      <c r="D118" s="17">
        <f>'12 - Device_Configuration'!AJ118</f>
        <v>0</v>
      </c>
      <c r="E118" s="17" t="str">
        <f>'12 - Device_Configuration'!J118</f>
        <v>Yes</v>
      </c>
      <c r="F118" s="30" t="str">
        <f>'12 - Device_Configuration'!K118</f>
        <v>No</v>
      </c>
      <c r="G118" s="17" t="str">
        <f>'12 - Device_Configuration'!L118</f>
        <v>No</v>
      </c>
      <c r="H118" s="17">
        <f>'13 - Config_Intake_View'!M118</f>
        <v>0</v>
      </c>
      <c r="I118" s="30">
        <f>IF('13 - Config_Intake_View'!Q118&lt;&gt;"",'13 - Config_Intake_View'!Q118,'12 - Device_Configuration'!BH118)</f>
        <v>0</v>
      </c>
      <c r="J118" s="17" t="str">
        <f>IF('13 - Config_Intake_View'!Q118&lt;&gt;"","PM Approved",IF('12 - Device_Configuration'!BH118&lt;&gt;"","Assumed",""))</f>
        <v/>
      </c>
      <c r="K118" s="30">
        <f>'12 - Device_Configuration'!BG118</f>
        <v>0</v>
      </c>
      <c r="L118" s="17">
        <f>'12 - Device_Configuration'!P118</f>
        <v>0</v>
      </c>
      <c r="M118" s="17">
        <f>'12 - Device_Configuration'!Q118</f>
        <v>0</v>
      </c>
      <c r="N118" s="17" t="str">
        <f>'12 - Device_Configuration'!BK118</f>
        <v/>
      </c>
      <c r="O118" s="30" t="str">
        <f>'12 - Device_Configuration'!BL118</f>
        <v/>
      </c>
      <c r="P118" s="2">
        <f>'12 - Device_Configuration'!BA118</f>
        <v>0</v>
      </c>
      <c r="Q118" s="30" t="str">
        <f t="shared" si="4"/>
        <v/>
      </c>
      <c r="R118" s="17" t="str">
        <f t="shared" si="5"/>
        <v>SW NOT INSTALLED</v>
      </c>
      <c r="S118" s="17" t="str">
        <f t="shared" si="6"/>
        <v/>
      </c>
      <c r="T118" s="17" t="str">
        <f t="shared" si="7"/>
        <v>SW NOT INSTALLED</v>
      </c>
    </row>
    <row r="119" spans="1:20">
      <c r="A119" s="30" t="str">
        <f>'12 - Device_Configuration'!H119</f>
        <v>LIJ - OR</v>
      </c>
      <c r="B119" s="30" t="str">
        <f>'12 - Device_Configuration'!S119</f>
        <v>WNH270OPR431</v>
      </c>
      <c r="C119" s="30">
        <f>'12 - Device_Configuration'!T119</f>
        <v>0</v>
      </c>
      <c r="D119" s="17">
        <f>'12 - Device_Configuration'!AJ119</f>
        <v>0</v>
      </c>
      <c r="E119" s="17" t="str">
        <f>'12 - Device_Configuration'!J119</f>
        <v>Yes</v>
      </c>
      <c r="F119" s="30" t="str">
        <f>'12 - Device_Configuration'!K119</f>
        <v>No</v>
      </c>
      <c r="G119" s="17" t="str">
        <f>'12 - Device_Configuration'!L119</f>
        <v>No</v>
      </c>
      <c r="H119" s="17">
        <f>'13 - Config_Intake_View'!M119</f>
        <v>0</v>
      </c>
      <c r="I119" s="30">
        <f>IF('13 - Config_Intake_View'!Q119&lt;&gt;"",'13 - Config_Intake_View'!Q119,'12 - Device_Configuration'!BH119)</f>
        <v>0</v>
      </c>
      <c r="J119" s="17" t="str">
        <f>IF('13 - Config_Intake_View'!Q119&lt;&gt;"","PM Approved",IF('12 - Device_Configuration'!BH119&lt;&gt;"","Assumed",""))</f>
        <v/>
      </c>
      <c r="K119" s="30">
        <f>'12 - Device_Configuration'!BG119</f>
        <v>0</v>
      </c>
      <c r="L119" s="17">
        <f>'12 - Device_Configuration'!P119</f>
        <v>0</v>
      </c>
      <c r="M119" s="17">
        <f>'12 - Device_Configuration'!Q119</f>
        <v>0</v>
      </c>
      <c r="N119" s="17" t="str">
        <f>'12 - Device_Configuration'!BK119</f>
        <v/>
      </c>
      <c r="O119" s="30" t="str">
        <f>'12 - Device_Configuration'!BL119</f>
        <v/>
      </c>
      <c r="P119" s="2">
        <f>'12 - Device_Configuration'!BA119</f>
        <v>0</v>
      </c>
      <c r="Q119" s="30" t="str">
        <f t="shared" si="4"/>
        <v/>
      </c>
      <c r="R119" s="17" t="str">
        <f t="shared" si="5"/>
        <v>SW NOT INSTALLED</v>
      </c>
      <c r="S119" s="17" t="str">
        <f t="shared" si="6"/>
        <v/>
      </c>
      <c r="T119" s="17" t="str">
        <f t="shared" si="7"/>
        <v>SW NOT INSTALLED</v>
      </c>
    </row>
    <row r="120" spans="1:20">
      <c r="A120" s="30" t="str">
        <f>'12 - Device_Configuration'!H120</f>
        <v>LIJ - OR</v>
      </c>
      <c r="B120" s="30" t="str">
        <f>'12 - Device_Configuration'!S120</f>
        <v>WNH270OPR432</v>
      </c>
      <c r="C120" s="30">
        <f>'12 - Device_Configuration'!T120</f>
        <v>0</v>
      </c>
      <c r="D120" s="17">
        <f>'12 - Device_Configuration'!AJ120</f>
        <v>0</v>
      </c>
      <c r="E120" s="17" t="str">
        <f>'12 - Device_Configuration'!J120</f>
        <v>Yes</v>
      </c>
      <c r="F120" s="30" t="str">
        <f>'12 - Device_Configuration'!K120</f>
        <v>No</v>
      </c>
      <c r="G120" s="17" t="str">
        <f>'12 - Device_Configuration'!L120</f>
        <v>No</v>
      </c>
      <c r="H120" s="17">
        <f>'13 - Config_Intake_View'!M120</f>
        <v>0</v>
      </c>
      <c r="I120" s="30">
        <f>IF('13 - Config_Intake_View'!Q120&lt;&gt;"",'13 - Config_Intake_View'!Q120,'12 - Device_Configuration'!BH120)</f>
        <v>0</v>
      </c>
      <c r="J120" s="17" t="str">
        <f>IF('13 - Config_Intake_View'!Q120&lt;&gt;"","PM Approved",IF('12 - Device_Configuration'!BH120&lt;&gt;"","Assumed",""))</f>
        <v/>
      </c>
      <c r="K120" s="30">
        <f>'12 - Device_Configuration'!BG120</f>
        <v>0</v>
      </c>
      <c r="L120" s="17">
        <f>'12 - Device_Configuration'!P120</f>
        <v>0</v>
      </c>
      <c r="M120" s="17">
        <f>'12 - Device_Configuration'!Q120</f>
        <v>0</v>
      </c>
      <c r="N120" s="17" t="str">
        <f>'12 - Device_Configuration'!BK120</f>
        <v/>
      </c>
      <c r="O120" s="30" t="str">
        <f>'12 - Device_Configuration'!BL120</f>
        <v/>
      </c>
      <c r="P120" s="2">
        <f>'12 - Device_Configuration'!BA120</f>
        <v>0</v>
      </c>
      <c r="Q120" s="30" t="str">
        <f t="shared" si="4"/>
        <v/>
      </c>
      <c r="R120" s="17" t="str">
        <f t="shared" si="5"/>
        <v>SW NOT INSTALLED</v>
      </c>
      <c r="S120" s="17" t="str">
        <f t="shared" si="6"/>
        <v/>
      </c>
      <c r="T120" s="17" t="str">
        <f t="shared" si="7"/>
        <v>SW NOT INSTALLED</v>
      </c>
    </row>
    <row r="121" spans="1:20">
      <c r="A121" s="30" t="str">
        <f>'12 - Device_Configuration'!H121</f>
        <v>LIJ - OR</v>
      </c>
      <c r="B121" s="30" t="str">
        <f>'12 - Device_Configuration'!S121</f>
        <v>WNH270OPR433</v>
      </c>
      <c r="C121" s="30">
        <f>'12 - Device_Configuration'!T121</f>
        <v>0</v>
      </c>
      <c r="D121" s="17">
        <f>'12 - Device_Configuration'!AJ121</f>
        <v>0</v>
      </c>
      <c r="E121" s="17" t="str">
        <f>'12 - Device_Configuration'!J121</f>
        <v>Yes</v>
      </c>
      <c r="F121" s="30" t="str">
        <f>'12 - Device_Configuration'!K121</f>
        <v>No</v>
      </c>
      <c r="G121" s="17" t="str">
        <f>'12 - Device_Configuration'!L121</f>
        <v>No</v>
      </c>
      <c r="H121" s="17">
        <f>'13 - Config_Intake_View'!M121</f>
        <v>0</v>
      </c>
      <c r="I121" s="30">
        <f>IF('13 - Config_Intake_View'!Q121&lt;&gt;"",'13 - Config_Intake_View'!Q121,'12 - Device_Configuration'!BH121)</f>
        <v>0</v>
      </c>
      <c r="J121" s="17" t="str">
        <f>IF('13 - Config_Intake_View'!Q121&lt;&gt;"","PM Approved",IF('12 - Device_Configuration'!BH121&lt;&gt;"","Assumed",""))</f>
        <v/>
      </c>
      <c r="K121" s="30">
        <f>'12 - Device_Configuration'!BG121</f>
        <v>0</v>
      </c>
      <c r="L121" s="17">
        <f>'12 - Device_Configuration'!P121</f>
        <v>0</v>
      </c>
      <c r="M121" s="17">
        <f>'12 - Device_Configuration'!Q121</f>
        <v>0</v>
      </c>
      <c r="N121" s="17" t="str">
        <f>'12 - Device_Configuration'!BK121</f>
        <v/>
      </c>
      <c r="O121" s="30" t="str">
        <f>'12 - Device_Configuration'!BL121</f>
        <v/>
      </c>
      <c r="P121" s="2">
        <f>'12 - Device_Configuration'!BA121</f>
        <v>0</v>
      </c>
      <c r="Q121" s="30" t="str">
        <f t="shared" si="4"/>
        <v/>
      </c>
      <c r="R121" s="17" t="str">
        <f t="shared" si="5"/>
        <v>SW NOT INSTALLED</v>
      </c>
      <c r="S121" s="17" t="str">
        <f t="shared" si="6"/>
        <v/>
      </c>
      <c r="T121" s="17" t="str">
        <f t="shared" si="7"/>
        <v>SW NOT INSTALLED</v>
      </c>
    </row>
    <row r="122" spans="1:20">
      <c r="A122" s="30" t="str">
        <f>'12 - Device_Configuration'!H122</f>
        <v>LIJ - OR</v>
      </c>
      <c r="B122" s="30" t="str">
        <f>'12 - Device_Configuration'!S122</f>
        <v>WNH270OPR434</v>
      </c>
      <c r="C122" s="30">
        <f>'12 - Device_Configuration'!T122</f>
        <v>0</v>
      </c>
      <c r="D122" s="17">
        <f>'12 - Device_Configuration'!AJ122</f>
        <v>0</v>
      </c>
      <c r="E122" s="17" t="str">
        <f>'12 - Device_Configuration'!J122</f>
        <v>Yes</v>
      </c>
      <c r="F122" s="30" t="str">
        <f>'12 - Device_Configuration'!K122</f>
        <v>No</v>
      </c>
      <c r="G122" s="17" t="str">
        <f>'12 - Device_Configuration'!L122</f>
        <v>No</v>
      </c>
      <c r="H122" s="17">
        <f>'13 - Config_Intake_View'!M122</f>
        <v>0</v>
      </c>
      <c r="I122" s="30">
        <f>IF('13 - Config_Intake_View'!Q122&lt;&gt;"",'13 - Config_Intake_View'!Q122,'12 - Device_Configuration'!BH122)</f>
        <v>0</v>
      </c>
      <c r="J122" s="17" t="str">
        <f>IF('13 - Config_Intake_View'!Q122&lt;&gt;"","PM Approved",IF('12 - Device_Configuration'!BH122&lt;&gt;"","Assumed",""))</f>
        <v/>
      </c>
      <c r="K122" s="30">
        <f>'12 - Device_Configuration'!BG122</f>
        <v>0</v>
      </c>
      <c r="L122" s="17">
        <f>'12 - Device_Configuration'!P122</f>
        <v>0</v>
      </c>
      <c r="M122" s="17">
        <f>'12 - Device_Configuration'!Q122</f>
        <v>0</v>
      </c>
      <c r="N122" s="17" t="str">
        <f>'12 - Device_Configuration'!BK122</f>
        <v/>
      </c>
      <c r="O122" s="30" t="str">
        <f>'12 - Device_Configuration'!BL122</f>
        <v/>
      </c>
      <c r="P122" s="2">
        <f>'12 - Device_Configuration'!BA122</f>
        <v>0</v>
      </c>
      <c r="Q122" s="30" t="str">
        <f t="shared" si="4"/>
        <v/>
      </c>
      <c r="R122" s="17" t="str">
        <f t="shared" si="5"/>
        <v>SW NOT INSTALLED</v>
      </c>
      <c r="S122" s="17" t="str">
        <f t="shared" si="6"/>
        <v/>
      </c>
      <c r="T122" s="17" t="str">
        <f t="shared" si="7"/>
        <v>SW NOT INSTALLED</v>
      </c>
    </row>
    <row r="123" spans="1:20">
      <c r="A123" s="30" t="str">
        <f>'12 - Device_Configuration'!H123</f>
        <v>LIJ - OR</v>
      </c>
      <c r="B123" s="30" t="str">
        <f>'12 - Device_Configuration'!S123</f>
        <v>WNH270OPR435</v>
      </c>
      <c r="C123" s="30">
        <f>'12 - Device_Configuration'!T123</f>
        <v>0</v>
      </c>
      <c r="D123" s="17">
        <f>'12 - Device_Configuration'!AJ123</f>
        <v>0</v>
      </c>
      <c r="E123" s="17" t="str">
        <f>'12 - Device_Configuration'!J123</f>
        <v>Yes</v>
      </c>
      <c r="F123" s="30" t="str">
        <f>'12 - Device_Configuration'!K123</f>
        <v>No</v>
      </c>
      <c r="G123" s="17" t="str">
        <f>'12 - Device_Configuration'!L123</f>
        <v>No</v>
      </c>
      <c r="H123" s="17">
        <f>'13 - Config_Intake_View'!M123</f>
        <v>0</v>
      </c>
      <c r="I123" s="30">
        <f>IF('13 - Config_Intake_View'!Q123&lt;&gt;"",'13 - Config_Intake_View'!Q123,'12 - Device_Configuration'!BH123)</f>
        <v>0</v>
      </c>
      <c r="J123" s="17" t="str">
        <f>IF('13 - Config_Intake_View'!Q123&lt;&gt;"","PM Approved",IF('12 - Device_Configuration'!BH123&lt;&gt;"","Assumed",""))</f>
        <v/>
      </c>
      <c r="K123" s="30">
        <f>'12 - Device_Configuration'!BG123</f>
        <v>0</v>
      </c>
      <c r="L123" s="17">
        <f>'12 - Device_Configuration'!P123</f>
        <v>0</v>
      </c>
      <c r="M123" s="17">
        <f>'12 - Device_Configuration'!Q123</f>
        <v>0</v>
      </c>
      <c r="N123" s="17" t="str">
        <f>'12 - Device_Configuration'!BK123</f>
        <v/>
      </c>
      <c r="O123" s="30" t="str">
        <f>'12 - Device_Configuration'!BL123</f>
        <v/>
      </c>
      <c r="P123" s="2">
        <f>'12 - Device_Configuration'!BA123</f>
        <v>0</v>
      </c>
      <c r="Q123" s="30" t="str">
        <f t="shared" si="4"/>
        <v/>
      </c>
      <c r="R123" s="17" t="str">
        <f t="shared" si="5"/>
        <v>SW NOT INSTALLED</v>
      </c>
      <c r="S123" s="17" t="str">
        <f t="shared" si="6"/>
        <v/>
      </c>
      <c r="T123" s="17" t="str">
        <f t="shared" si="7"/>
        <v>SW NOT INSTALLED</v>
      </c>
    </row>
    <row r="124" spans="1:20">
      <c r="A124" s="30" t="str">
        <f>'12 - Device_Configuration'!H124</f>
        <v>LIJ - OR</v>
      </c>
      <c r="B124" s="30" t="str">
        <f>'12 - Device_Configuration'!S124</f>
        <v>WNH270OPR436</v>
      </c>
      <c r="C124" s="30">
        <f>'12 - Device_Configuration'!T124</f>
        <v>0</v>
      </c>
      <c r="D124" s="17">
        <f>'12 - Device_Configuration'!AJ124</f>
        <v>0</v>
      </c>
      <c r="E124" s="17" t="str">
        <f>'12 - Device_Configuration'!J124</f>
        <v>Yes</v>
      </c>
      <c r="F124" s="30" t="str">
        <f>'12 - Device_Configuration'!K124</f>
        <v>No</v>
      </c>
      <c r="G124" s="17" t="str">
        <f>'12 - Device_Configuration'!L124</f>
        <v>No</v>
      </c>
      <c r="H124" s="17">
        <f>'13 - Config_Intake_View'!M124</f>
        <v>0</v>
      </c>
      <c r="I124" s="30">
        <f>IF('13 - Config_Intake_View'!Q124&lt;&gt;"",'13 - Config_Intake_View'!Q124,'12 - Device_Configuration'!BH124)</f>
        <v>0</v>
      </c>
      <c r="J124" s="17" t="str">
        <f>IF('13 - Config_Intake_View'!Q124&lt;&gt;"","PM Approved",IF('12 - Device_Configuration'!BH124&lt;&gt;"","Assumed",""))</f>
        <v/>
      </c>
      <c r="K124" s="30">
        <f>'12 - Device_Configuration'!BG124</f>
        <v>0</v>
      </c>
      <c r="L124" s="17">
        <f>'12 - Device_Configuration'!P124</f>
        <v>0</v>
      </c>
      <c r="M124" s="17">
        <f>'12 - Device_Configuration'!Q124</f>
        <v>0</v>
      </c>
      <c r="N124" s="17" t="str">
        <f>'12 - Device_Configuration'!BK124</f>
        <v/>
      </c>
      <c r="O124" s="30" t="str">
        <f>'12 - Device_Configuration'!BL124</f>
        <v/>
      </c>
      <c r="P124" s="2">
        <f>'12 - Device_Configuration'!BA124</f>
        <v>0</v>
      </c>
      <c r="Q124" s="30" t="str">
        <f t="shared" si="4"/>
        <v/>
      </c>
      <c r="R124" s="17" t="str">
        <f t="shared" si="5"/>
        <v>SW NOT INSTALLED</v>
      </c>
      <c r="S124" s="17" t="str">
        <f t="shared" si="6"/>
        <v/>
      </c>
      <c r="T124" s="17" t="str">
        <f t="shared" si="7"/>
        <v>SW NOT INSTALLED</v>
      </c>
    </row>
    <row r="125" spans="1:20">
      <c r="A125" s="30" t="str">
        <f>'12 - Device_Configuration'!H125</f>
        <v>LIJ - OR</v>
      </c>
      <c r="B125" s="30" t="str">
        <f>'12 - Device_Configuration'!S125</f>
        <v>WNH270OPR437</v>
      </c>
      <c r="C125" s="30">
        <f>'12 - Device_Configuration'!T125</f>
        <v>0</v>
      </c>
      <c r="D125" s="17">
        <f>'12 - Device_Configuration'!AJ125</f>
        <v>0</v>
      </c>
      <c r="E125" s="17" t="str">
        <f>'12 - Device_Configuration'!J125</f>
        <v>Yes</v>
      </c>
      <c r="F125" s="30" t="str">
        <f>'12 - Device_Configuration'!K125</f>
        <v>No</v>
      </c>
      <c r="G125" s="17" t="str">
        <f>'12 - Device_Configuration'!L125</f>
        <v>No</v>
      </c>
      <c r="H125" s="17">
        <f>'13 - Config_Intake_View'!M125</f>
        <v>0</v>
      </c>
      <c r="I125" s="30">
        <f>IF('13 - Config_Intake_View'!Q125&lt;&gt;"",'13 - Config_Intake_View'!Q125,'12 - Device_Configuration'!BH125)</f>
        <v>0</v>
      </c>
      <c r="J125" s="17" t="str">
        <f>IF('13 - Config_Intake_View'!Q125&lt;&gt;"","PM Approved",IF('12 - Device_Configuration'!BH125&lt;&gt;"","Assumed",""))</f>
        <v/>
      </c>
      <c r="K125" s="30">
        <f>'12 - Device_Configuration'!BG125</f>
        <v>0</v>
      </c>
      <c r="L125" s="17">
        <f>'12 - Device_Configuration'!P125</f>
        <v>0</v>
      </c>
      <c r="M125" s="17">
        <f>'12 - Device_Configuration'!Q125</f>
        <v>0</v>
      </c>
      <c r="N125" s="17" t="str">
        <f>'12 - Device_Configuration'!BK125</f>
        <v/>
      </c>
      <c r="O125" s="30" t="str">
        <f>'12 - Device_Configuration'!BL125</f>
        <v/>
      </c>
      <c r="P125" s="2">
        <f>'12 - Device_Configuration'!BA125</f>
        <v>0</v>
      </c>
      <c r="Q125" s="30" t="str">
        <f t="shared" si="4"/>
        <v/>
      </c>
      <c r="R125" s="17" t="str">
        <f t="shared" si="5"/>
        <v>SW NOT INSTALLED</v>
      </c>
      <c r="S125" s="17" t="str">
        <f t="shared" si="6"/>
        <v/>
      </c>
      <c r="T125" s="17" t="str">
        <f t="shared" si="7"/>
        <v>SW NOT INSTALLED</v>
      </c>
    </row>
    <row r="126" spans="1:20">
      <c r="A126" s="30" t="str">
        <f>'12 - Device_Configuration'!H126</f>
        <v>LIJ - OR</v>
      </c>
      <c r="B126" s="30" t="str">
        <f>'12 - Device_Configuration'!S126</f>
        <v>WNH270OPR438</v>
      </c>
      <c r="C126" s="30">
        <f>'12 - Device_Configuration'!T126</f>
        <v>0</v>
      </c>
      <c r="D126" s="17">
        <f>'12 - Device_Configuration'!AJ126</f>
        <v>0</v>
      </c>
      <c r="E126" s="17" t="str">
        <f>'12 - Device_Configuration'!J126</f>
        <v>Yes</v>
      </c>
      <c r="F126" s="30" t="str">
        <f>'12 - Device_Configuration'!K126</f>
        <v>No</v>
      </c>
      <c r="G126" s="17" t="str">
        <f>'12 - Device_Configuration'!L126</f>
        <v>No</v>
      </c>
      <c r="H126" s="17">
        <f>'13 - Config_Intake_View'!M126</f>
        <v>0</v>
      </c>
      <c r="I126" s="30">
        <f>IF('13 - Config_Intake_View'!Q126&lt;&gt;"",'13 - Config_Intake_View'!Q126,'12 - Device_Configuration'!BH126)</f>
        <v>0</v>
      </c>
      <c r="J126" s="17" t="str">
        <f>IF('13 - Config_Intake_View'!Q126&lt;&gt;"","PM Approved",IF('12 - Device_Configuration'!BH126&lt;&gt;"","Assumed",""))</f>
        <v/>
      </c>
      <c r="K126" s="30">
        <f>'12 - Device_Configuration'!BG126</f>
        <v>0</v>
      </c>
      <c r="L126" s="17">
        <f>'12 - Device_Configuration'!P126</f>
        <v>0</v>
      </c>
      <c r="M126" s="17">
        <f>'12 - Device_Configuration'!Q126</f>
        <v>0</v>
      </c>
      <c r="N126" s="17" t="str">
        <f>'12 - Device_Configuration'!BK126</f>
        <v/>
      </c>
      <c r="O126" s="30" t="str">
        <f>'12 - Device_Configuration'!BL126</f>
        <v/>
      </c>
      <c r="P126" s="2">
        <f>'12 - Device_Configuration'!BA126</f>
        <v>0</v>
      </c>
      <c r="Q126" s="30" t="str">
        <f t="shared" si="4"/>
        <v/>
      </c>
      <c r="R126" s="17" t="str">
        <f t="shared" si="5"/>
        <v>SW NOT INSTALLED</v>
      </c>
      <c r="S126" s="17" t="str">
        <f t="shared" si="6"/>
        <v/>
      </c>
      <c r="T126" s="17" t="str">
        <f t="shared" si="7"/>
        <v>SW NOT INSTALLED</v>
      </c>
    </row>
    <row r="127" spans="1:20">
      <c r="A127" s="30" t="str">
        <f>'12 - Device_Configuration'!H127</f>
        <v>LIJ - OR</v>
      </c>
      <c r="B127" s="30" t="str">
        <f>'12 - Device_Configuration'!S127</f>
        <v>WNH270OPR439</v>
      </c>
      <c r="C127" s="30">
        <f>'12 - Device_Configuration'!T127</f>
        <v>0</v>
      </c>
      <c r="D127" s="17">
        <f>'12 - Device_Configuration'!AJ127</f>
        <v>0</v>
      </c>
      <c r="E127" s="17" t="str">
        <f>'12 - Device_Configuration'!J127</f>
        <v>Yes</v>
      </c>
      <c r="F127" s="30" t="str">
        <f>'12 - Device_Configuration'!K127</f>
        <v>No</v>
      </c>
      <c r="G127" s="17" t="str">
        <f>'12 - Device_Configuration'!L127</f>
        <v>No</v>
      </c>
      <c r="H127" s="17">
        <f>'13 - Config_Intake_View'!M127</f>
        <v>0</v>
      </c>
      <c r="I127" s="30">
        <f>IF('13 - Config_Intake_View'!Q127&lt;&gt;"",'13 - Config_Intake_View'!Q127,'12 - Device_Configuration'!BH127)</f>
        <v>0</v>
      </c>
      <c r="J127" s="17" t="str">
        <f>IF('13 - Config_Intake_View'!Q127&lt;&gt;"","PM Approved",IF('12 - Device_Configuration'!BH127&lt;&gt;"","Assumed",""))</f>
        <v/>
      </c>
      <c r="K127" s="30">
        <f>'12 - Device_Configuration'!BG127</f>
        <v>0</v>
      </c>
      <c r="L127" s="17">
        <f>'12 - Device_Configuration'!P127</f>
        <v>0</v>
      </c>
      <c r="M127" s="17">
        <f>'12 - Device_Configuration'!Q127</f>
        <v>0</v>
      </c>
      <c r="N127" s="17" t="str">
        <f>'12 - Device_Configuration'!BK127</f>
        <v/>
      </c>
      <c r="O127" s="30" t="str">
        <f>'12 - Device_Configuration'!BL127</f>
        <v/>
      </c>
      <c r="P127" s="2">
        <f>'12 - Device_Configuration'!BA127</f>
        <v>0</v>
      </c>
      <c r="Q127" s="30" t="str">
        <f t="shared" si="4"/>
        <v/>
      </c>
      <c r="R127" s="17" t="str">
        <f t="shared" si="5"/>
        <v>SW NOT INSTALLED</v>
      </c>
      <c r="S127" s="17" t="str">
        <f t="shared" si="6"/>
        <v/>
      </c>
      <c r="T127" s="17" t="str">
        <f t="shared" si="7"/>
        <v>SW NOT INSTALLED</v>
      </c>
    </row>
    <row r="128" spans="1:20">
      <c r="A128" s="30" t="str">
        <f>'12 - Device_Configuration'!H128</f>
        <v>LIJ - OR</v>
      </c>
      <c r="B128" s="30" t="str">
        <f>'12 - Device_Configuration'!S128</f>
        <v>WNH270OPR440</v>
      </c>
      <c r="C128" s="30">
        <f>'12 - Device_Configuration'!T128</f>
        <v>0</v>
      </c>
      <c r="D128" s="17">
        <f>'12 - Device_Configuration'!AJ128</f>
        <v>0</v>
      </c>
      <c r="E128" s="17" t="str">
        <f>'12 - Device_Configuration'!J128</f>
        <v>Yes</v>
      </c>
      <c r="F128" s="30" t="str">
        <f>'12 - Device_Configuration'!K128</f>
        <v>No</v>
      </c>
      <c r="G128" s="17" t="str">
        <f>'12 - Device_Configuration'!L128</f>
        <v>No</v>
      </c>
      <c r="H128" s="17">
        <f>'13 - Config_Intake_View'!M128</f>
        <v>0</v>
      </c>
      <c r="I128" s="30">
        <f>IF('13 - Config_Intake_View'!Q128&lt;&gt;"",'13 - Config_Intake_View'!Q128,'12 - Device_Configuration'!BH128)</f>
        <v>0</v>
      </c>
      <c r="J128" s="17" t="str">
        <f>IF('13 - Config_Intake_View'!Q128&lt;&gt;"","PM Approved",IF('12 - Device_Configuration'!BH128&lt;&gt;"","Assumed",""))</f>
        <v/>
      </c>
      <c r="K128" s="30">
        <f>'12 - Device_Configuration'!BG128</f>
        <v>0</v>
      </c>
      <c r="L128" s="17">
        <f>'12 - Device_Configuration'!P128</f>
        <v>0</v>
      </c>
      <c r="M128" s="17">
        <f>'12 - Device_Configuration'!Q128</f>
        <v>0</v>
      </c>
      <c r="N128" s="17" t="str">
        <f>'12 - Device_Configuration'!BK128</f>
        <v/>
      </c>
      <c r="O128" s="30" t="str">
        <f>'12 - Device_Configuration'!BL128</f>
        <v/>
      </c>
      <c r="P128" s="2">
        <f>'12 - Device_Configuration'!BA128</f>
        <v>0</v>
      </c>
      <c r="Q128" s="30" t="str">
        <f t="shared" si="4"/>
        <v/>
      </c>
      <c r="R128" s="17" t="str">
        <f t="shared" si="5"/>
        <v>SW NOT INSTALLED</v>
      </c>
      <c r="S128" s="17" t="str">
        <f t="shared" si="6"/>
        <v/>
      </c>
      <c r="T128" s="17" t="str">
        <f t="shared" si="7"/>
        <v>SW NOT INSTALLED</v>
      </c>
    </row>
    <row r="129" spans="1:20">
      <c r="A129" s="30" t="str">
        <f>'12 - Device_Configuration'!H129</f>
        <v>LIJ - OR</v>
      </c>
      <c r="B129" s="30" t="str">
        <f>'12 - Device_Configuration'!S129</f>
        <v>WNH270OPR441</v>
      </c>
      <c r="C129" s="30">
        <f>'12 - Device_Configuration'!T129</f>
        <v>0</v>
      </c>
      <c r="D129" s="17">
        <f>'12 - Device_Configuration'!AJ129</f>
        <v>0</v>
      </c>
      <c r="E129" s="17" t="str">
        <f>'12 - Device_Configuration'!J129</f>
        <v>Yes</v>
      </c>
      <c r="F129" s="30" t="str">
        <f>'12 - Device_Configuration'!K129</f>
        <v>No</v>
      </c>
      <c r="G129" s="17" t="str">
        <f>'12 - Device_Configuration'!L129</f>
        <v>No</v>
      </c>
      <c r="H129" s="17">
        <f>'13 - Config_Intake_View'!M129</f>
        <v>0</v>
      </c>
      <c r="I129" s="30">
        <f>IF('13 - Config_Intake_View'!Q129&lt;&gt;"",'13 - Config_Intake_View'!Q129,'12 - Device_Configuration'!BH129)</f>
        <v>0</v>
      </c>
      <c r="J129" s="17" t="str">
        <f>IF('13 - Config_Intake_View'!Q129&lt;&gt;"","PM Approved",IF('12 - Device_Configuration'!BH129&lt;&gt;"","Assumed",""))</f>
        <v/>
      </c>
      <c r="K129" s="30">
        <f>'12 - Device_Configuration'!BG129</f>
        <v>0</v>
      </c>
      <c r="L129" s="17">
        <f>'12 - Device_Configuration'!P129</f>
        <v>0</v>
      </c>
      <c r="M129" s="17">
        <f>'12 - Device_Configuration'!Q129</f>
        <v>0</v>
      </c>
      <c r="N129" s="17" t="str">
        <f>'12 - Device_Configuration'!BK129</f>
        <v/>
      </c>
      <c r="O129" s="30" t="str">
        <f>'12 - Device_Configuration'!BL129</f>
        <v/>
      </c>
      <c r="P129" s="2">
        <f>'12 - Device_Configuration'!BA129</f>
        <v>0</v>
      </c>
      <c r="Q129" s="30" t="str">
        <f t="shared" si="4"/>
        <v/>
      </c>
      <c r="R129" s="17" t="str">
        <f t="shared" si="5"/>
        <v>SW NOT INSTALLED</v>
      </c>
      <c r="S129" s="17" t="str">
        <f t="shared" si="6"/>
        <v/>
      </c>
      <c r="T129" s="17" t="str">
        <f t="shared" si="7"/>
        <v>SW NOT INSTALLED</v>
      </c>
    </row>
    <row r="130" spans="1:20">
      <c r="A130" s="30" t="str">
        <f>'12 - Device_Configuration'!H130</f>
        <v>LIJ - OR</v>
      </c>
      <c r="B130" s="30" t="str">
        <f>'12 - Device_Configuration'!S130</f>
        <v>WNH270OPR442</v>
      </c>
      <c r="C130" s="30">
        <f>'12 - Device_Configuration'!T130</f>
        <v>0</v>
      </c>
      <c r="D130" s="17">
        <f>'12 - Device_Configuration'!AJ130</f>
        <v>0</v>
      </c>
      <c r="E130" s="17" t="str">
        <f>'12 - Device_Configuration'!J130</f>
        <v>Yes</v>
      </c>
      <c r="F130" s="30" t="str">
        <f>'12 - Device_Configuration'!K130</f>
        <v>No</v>
      </c>
      <c r="G130" s="17" t="str">
        <f>'12 - Device_Configuration'!L130</f>
        <v>No</v>
      </c>
      <c r="H130" s="17">
        <f>'13 - Config_Intake_View'!M130</f>
        <v>0</v>
      </c>
      <c r="I130" s="30">
        <f>IF('13 - Config_Intake_View'!Q130&lt;&gt;"",'13 - Config_Intake_View'!Q130,'12 - Device_Configuration'!BH130)</f>
        <v>0</v>
      </c>
      <c r="J130" s="17" t="str">
        <f>IF('13 - Config_Intake_View'!Q130&lt;&gt;"","PM Approved",IF('12 - Device_Configuration'!BH130&lt;&gt;"","Assumed",""))</f>
        <v/>
      </c>
      <c r="K130" s="30">
        <f>'12 - Device_Configuration'!BG130</f>
        <v>0</v>
      </c>
      <c r="L130" s="17">
        <f>'12 - Device_Configuration'!P130</f>
        <v>0</v>
      </c>
      <c r="M130" s="17">
        <f>'12 - Device_Configuration'!Q130</f>
        <v>0</v>
      </c>
      <c r="N130" s="17" t="str">
        <f>'12 - Device_Configuration'!BK130</f>
        <v/>
      </c>
      <c r="O130" s="30" t="str">
        <f>'12 - Device_Configuration'!BL130</f>
        <v/>
      </c>
      <c r="P130" s="2">
        <f>'12 - Device_Configuration'!BA130</f>
        <v>0</v>
      </c>
      <c r="Q130" s="30" t="str">
        <f t="shared" ref="Q130:Q193" si="8">IF(OR($A130="",$B130="",$D130=""),"MISSING CORE FIELDS","")</f>
        <v/>
      </c>
      <c r="R130" s="17" t="str">
        <f t="shared" ref="R130:R193" si="9">IF(AND($I130&lt;&gt;"",$K130&lt;&gt;"Yes"),"SW NOT INSTALLED","")</f>
        <v>SW NOT INSTALLED</v>
      </c>
      <c r="S130" s="17" t="str">
        <f t="shared" ref="S130:S193" si="10">IF(AND($H130&lt;&gt;"",ISNUMBER(SEARCH("auto",LOWER($H130))),$F130=""),"AUTOLOGON REQUIRED","")</f>
        <v/>
      </c>
      <c r="T130" s="17" t="str">
        <f t="shared" ref="T130:T193" si="11">IF($Q130&lt;&gt;"",$Q130,IF($S130&lt;&gt;"",$S130,IF($R130&lt;&gt;"",$R130,IF(OR($N130&lt;&gt;"",$O130="Blocked"),"BLOCKED","OK"))))</f>
        <v>SW NOT INSTALLED</v>
      </c>
    </row>
    <row r="131" spans="1:20">
      <c r="A131" s="30" t="str">
        <f>'12 - Device_Configuration'!H131</f>
        <v>LIJ - OR</v>
      </c>
      <c r="B131" s="30" t="str">
        <f>'12 - Device_Configuration'!S131</f>
        <v>WNH270OPR443</v>
      </c>
      <c r="C131" s="30">
        <f>'12 - Device_Configuration'!T131</f>
        <v>0</v>
      </c>
      <c r="D131" s="17">
        <f>'12 - Device_Configuration'!AJ131</f>
        <v>0</v>
      </c>
      <c r="E131" s="17" t="str">
        <f>'12 - Device_Configuration'!J131</f>
        <v>Yes</v>
      </c>
      <c r="F131" s="30" t="str">
        <f>'12 - Device_Configuration'!K131</f>
        <v>No</v>
      </c>
      <c r="G131" s="17" t="str">
        <f>'12 - Device_Configuration'!L131</f>
        <v>No</v>
      </c>
      <c r="H131" s="17">
        <f>'13 - Config_Intake_View'!M131</f>
        <v>0</v>
      </c>
      <c r="I131" s="30">
        <f>IF('13 - Config_Intake_View'!Q131&lt;&gt;"",'13 - Config_Intake_View'!Q131,'12 - Device_Configuration'!BH131)</f>
        <v>0</v>
      </c>
      <c r="J131" s="17" t="str">
        <f>IF('13 - Config_Intake_View'!Q131&lt;&gt;"","PM Approved",IF('12 - Device_Configuration'!BH131&lt;&gt;"","Assumed",""))</f>
        <v/>
      </c>
      <c r="K131" s="30">
        <f>'12 - Device_Configuration'!BG131</f>
        <v>0</v>
      </c>
      <c r="L131" s="17">
        <f>'12 - Device_Configuration'!P131</f>
        <v>0</v>
      </c>
      <c r="M131" s="17">
        <f>'12 - Device_Configuration'!Q131</f>
        <v>0</v>
      </c>
      <c r="N131" s="17" t="str">
        <f>'12 - Device_Configuration'!BK131</f>
        <v/>
      </c>
      <c r="O131" s="30" t="str">
        <f>'12 - Device_Configuration'!BL131</f>
        <v/>
      </c>
      <c r="P131" s="2">
        <f>'12 - Device_Configuration'!BA131</f>
        <v>0</v>
      </c>
      <c r="Q131" s="30" t="str">
        <f t="shared" si="8"/>
        <v/>
      </c>
      <c r="R131" s="17" t="str">
        <f t="shared" si="9"/>
        <v>SW NOT INSTALLED</v>
      </c>
      <c r="S131" s="17" t="str">
        <f t="shared" si="10"/>
        <v/>
      </c>
      <c r="T131" s="17" t="str">
        <f t="shared" si="11"/>
        <v>SW NOT INSTALLED</v>
      </c>
    </row>
    <row r="132" spans="1:20">
      <c r="A132" s="30" t="str">
        <f>'12 - Device_Configuration'!H132</f>
        <v>LIJ - OR</v>
      </c>
      <c r="B132" s="30" t="str">
        <f>'12 - Device_Configuration'!S132</f>
        <v>WNH270OPR444</v>
      </c>
      <c r="C132" s="30">
        <f>'12 - Device_Configuration'!T132</f>
        <v>0</v>
      </c>
      <c r="D132" s="17">
        <f>'12 - Device_Configuration'!AJ132</f>
        <v>0</v>
      </c>
      <c r="E132" s="17" t="str">
        <f>'12 - Device_Configuration'!J132</f>
        <v>Yes</v>
      </c>
      <c r="F132" s="30" t="str">
        <f>'12 - Device_Configuration'!K132</f>
        <v>No</v>
      </c>
      <c r="G132" s="17" t="str">
        <f>'12 - Device_Configuration'!L132</f>
        <v>No</v>
      </c>
      <c r="H132" s="17">
        <f>'13 - Config_Intake_View'!M132</f>
        <v>0</v>
      </c>
      <c r="I132" s="30">
        <f>IF('13 - Config_Intake_View'!Q132&lt;&gt;"",'13 - Config_Intake_View'!Q132,'12 - Device_Configuration'!BH132)</f>
        <v>0</v>
      </c>
      <c r="J132" s="17" t="str">
        <f>IF('13 - Config_Intake_View'!Q132&lt;&gt;"","PM Approved",IF('12 - Device_Configuration'!BH132&lt;&gt;"","Assumed",""))</f>
        <v/>
      </c>
      <c r="K132" s="30">
        <f>'12 - Device_Configuration'!BG132</f>
        <v>0</v>
      </c>
      <c r="L132" s="17">
        <f>'12 - Device_Configuration'!P132</f>
        <v>0</v>
      </c>
      <c r="M132" s="17">
        <f>'12 - Device_Configuration'!Q132</f>
        <v>0</v>
      </c>
      <c r="N132" s="17" t="str">
        <f>'12 - Device_Configuration'!BK132</f>
        <v/>
      </c>
      <c r="O132" s="30" t="str">
        <f>'12 - Device_Configuration'!BL132</f>
        <v/>
      </c>
      <c r="P132" s="2">
        <f>'12 - Device_Configuration'!BA132</f>
        <v>0</v>
      </c>
      <c r="Q132" s="30" t="str">
        <f t="shared" si="8"/>
        <v/>
      </c>
      <c r="R132" s="17" t="str">
        <f t="shared" si="9"/>
        <v>SW NOT INSTALLED</v>
      </c>
      <c r="S132" s="17" t="str">
        <f t="shared" si="10"/>
        <v/>
      </c>
      <c r="T132" s="17" t="str">
        <f t="shared" si="11"/>
        <v>SW NOT INSTALLED</v>
      </c>
    </row>
    <row r="133" spans="1:20">
      <c r="A133" s="30" t="str">
        <f>'12 - Device_Configuration'!H133</f>
        <v>LIJ - OR</v>
      </c>
      <c r="B133" s="30" t="str">
        <f>'12 - Device_Configuration'!S133</f>
        <v>WNH270OPR445</v>
      </c>
      <c r="C133" s="30">
        <f>'12 - Device_Configuration'!T133</f>
        <v>0</v>
      </c>
      <c r="D133" s="17">
        <f>'12 - Device_Configuration'!AJ133</f>
        <v>0</v>
      </c>
      <c r="E133" s="17" t="str">
        <f>'12 - Device_Configuration'!J133</f>
        <v>Yes</v>
      </c>
      <c r="F133" s="30" t="str">
        <f>'12 - Device_Configuration'!K133</f>
        <v>No</v>
      </c>
      <c r="G133" s="17" t="str">
        <f>'12 - Device_Configuration'!L133</f>
        <v>No</v>
      </c>
      <c r="H133" s="17">
        <f>'13 - Config_Intake_View'!M133</f>
        <v>0</v>
      </c>
      <c r="I133" s="30">
        <f>IF('13 - Config_Intake_View'!Q133&lt;&gt;"",'13 - Config_Intake_View'!Q133,'12 - Device_Configuration'!BH133)</f>
        <v>0</v>
      </c>
      <c r="J133" s="17" t="str">
        <f>IF('13 - Config_Intake_View'!Q133&lt;&gt;"","PM Approved",IF('12 - Device_Configuration'!BH133&lt;&gt;"","Assumed",""))</f>
        <v/>
      </c>
      <c r="K133" s="30">
        <f>'12 - Device_Configuration'!BG133</f>
        <v>0</v>
      </c>
      <c r="L133" s="17">
        <f>'12 - Device_Configuration'!P133</f>
        <v>0</v>
      </c>
      <c r="M133" s="17">
        <f>'12 - Device_Configuration'!Q133</f>
        <v>0</v>
      </c>
      <c r="N133" s="17" t="str">
        <f>'12 - Device_Configuration'!BK133</f>
        <v/>
      </c>
      <c r="O133" s="30" t="str">
        <f>'12 - Device_Configuration'!BL133</f>
        <v/>
      </c>
      <c r="P133" s="2">
        <f>'12 - Device_Configuration'!BA133</f>
        <v>0</v>
      </c>
      <c r="Q133" s="30" t="str">
        <f t="shared" si="8"/>
        <v/>
      </c>
      <c r="R133" s="17" t="str">
        <f t="shared" si="9"/>
        <v>SW NOT INSTALLED</v>
      </c>
      <c r="S133" s="17" t="str">
        <f t="shared" si="10"/>
        <v/>
      </c>
      <c r="T133" s="17" t="str">
        <f t="shared" si="11"/>
        <v>SW NOT INSTALLED</v>
      </c>
    </row>
    <row r="134" spans="1:20">
      <c r="A134" s="30" t="str">
        <f>'12 - Device_Configuration'!H134</f>
        <v>LIJ - OR</v>
      </c>
      <c r="B134" s="30" t="str">
        <f>'12 - Device_Configuration'!S134</f>
        <v>WNH270OPR446</v>
      </c>
      <c r="C134" s="30">
        <f>'12 - Device_Configuration'!T134</f>
        <v>0</v>
      </c>
      <c r="D134" s="17">
        <f>'12 - Device_Configuration'!AJ134</f>
        <v>0</v>
      </c>
      <c r="E134" s="17" t="str">
        <f>'12 - Device_Configuration'!J134</f>
        <v>Yes</v>
      </c>
      <c r="F134" s="30" t="str">
        <f>'12 - Device_Configuration'!K134</f>
        <v>No</v>
      </c>
      <c r="G134" s="17" t="str">
        <f>'12 - Device_Configuration'!L134</f>
        <v>No</v>
      </c>
      <c r="H134" s="17">
        <f>'13 - Config_Intake_View'!M134</f>
        <v>0</v>
      </c>
      <c r="I134" s="30">
        <f>IF('13 - Config_Intake_View'!Q134&lt;&gt;"",'13 - Config_Intake_View'!Q134,'12 - Device_Configuration'!BH134)</f>
        <v>0</v>
      </c>
      <c r="J134" s="17" t="str">
        <f>IF('13 - Config_Intake_View'!Q134&lt;&gt;"","PM Approved",IF('12 - Device_Configuration'!BH134&lt;&gt;"","Assumed",""))</f>
        <v/>
      </c>
      <c r="K134" s="30">
        <f>'12 - Device_Configuration'!BG134</f>
        <v>0</v>
      </c>
      <c r="L134" s="17">
        <f>'12 - Device_Configuration'!P134</f>
        <v>0</v>
      </c>
      <c r="M134" s="17">
        <f>'12 - Device_Configuration'!Q134</f>
        <v>0</v>
      </c>
      <c r="N134" s="17" t="str">
        <f>'12 - Device_Configuration'!BK134</f>
        <v/>
      </c>
      <c r="O134" s="30" t="str">
        <f>'12 - Device_Configuration'!BL134</f>
        <v/>
      </c>
      <c r="P134" s="2">
        <f>'12 - Device_Configuration'!BA134</f>
        <v>0</v>
      </c>
      <c r="Q134" s="30" t="str">
        <f t="shared" si="8"/>
        <v/>
      </c>
      <c r="R134" s="17" t="str">
        <f t="shared" si="9"/>
        <v>SW NOT INSTALLED</v>
      </c>
      <c r="S134" s="17" t="str">
        <f t="shared" si="10"/>
        <v/>
      </c>
      <c r="T134" s="17" t="str">
        <f t="shared" si="11"/>
        <v>SW NOT INSTALLED</v>
      </c>
    </row>
    <row r="135" spans="1:20">
      <c r="A135" s="30" t="str">
        <f>'12 - Device_Configuration'!H135</f>
        <v>LIJ - OR</v>
      </c>
      <c r="B135" s="30" t="str">
        <f>'12 - Device_Configuration'!S135</f>
        <v>WNH270OPR447</v>
      </c>
      <c r="C135" s="30">
        <f>'12 - Device_Configuration'!T135</f>
        <v>0</v>
      </c>
      <c r="D135" s="17">
        <f>'12 - Device_Configuration'!AJ135</f>
        <v>0</v>
      </c>
      <c r="E135" s="17" t="str">
        <f>'12 - Device_Configuration'!J135</f>
        <v>Yes</v>
      </c>
      <c r="F135" s="30" t="str">
        <f>'12 - Device_Configuration'!K135</f>
        <v>No</v>
      </c>
      <c r="G135" s="17" t="str">
        <f>'12 - Device_Configuration'!L135</f>
        <v>No</v>
      </c>
      <c r="H135" s="17">
        <f>'13 - Config_Intake_View'!M135</f>
        <v>0</v>
      </c>
      <c r="I135" s="30">
        <f>IF('13 - Config_Intake_View'!Q135&lt;&gt;"",'13 - Config_Intake_View'!Q135,'12 - Device_Configuration'!BH135)</f>
        <v>0</v>
      </c>
      <c r="J135" s="17" t="str">
        <f>IF('13 - Config_Intake_View'!Q135&lt;&gt;"","PM Approved",IF('12 - Device_Configuration'!BH135&lt;&gt;"","Assumed",""))</f>
        <v/>
      </c>
      <c r="K135" s="30">
        <f>'12 - Device_Configuration'!BG135</f>
        <v>0</v>
      </c>
      <c r="L135" s="17">
        <f>'12 - Device_Configuration'!P135</f>
        <v>0</v>
      </c>
      <c r="M135" s="17">
        <f>'12 - Device_Configuration'!Q135</f>
        <v>0</v>
      </c>
      <c r="N135" s="17" t="str">
        <f>'12 - Device_Configuration'!BK135</f>
        <v/>
      </c>
      <c r="O135" s="30" t="str">
        <f>'12 - Device_Configuration'!BL135</f>
        <v/>
      </c>
      <c r="P135" s="2">
        <f>'12 - Device_Configuration'!BA135</f>
        <v>0</v>
      </c>
      <c r="Q135" s="30" t="str">
        <f t="shared" si="8"/>
        <v/>
      </c>
      <c r="R135" s="17" t="str">
        <f t="shared" si="9"/>
        <v>SW NOT INSTALLED</v>
      </c>
      <c r="S135" s="17" t="str">
        <f t="shared" si="10"/>
        <v/>
      </c>
      <c r="T135" s="17" t="str">
        <f t="shared" si="11"/>
        <v>SW NOT INSTALLED</v>
      </c>
    </row>
    <row r="136" spans="1:20">
      <c r="A136" s="30" t="str">
        <f>'12 - Device_Configuration'!H136</f>
        <v>LIJ - OR</v>
      </c>
      <c r="B136" s="30" t="str">
        <f>'12 - Device_Configuration'!S136</f>
        <v>WNH270OPR448</v>
      </c>
      <c r="C136" s="30">
        <f>'12 - Device_Configuration'!T136</f>
        <v>0</v>
      </c>
      <c r="D136" s="17">
        <f>'12 - Device_Configuration'!AJ136</f>
        <v>0</v>
      </c>
      <c r="E136" s="17" t="str">
        <f>'12 - Device_Configuration'!J136</f>
        <v>Yes</v>
      </c>
      <c r="F136" s="30" t="str">
        <f>'12 - Device_Configuration'!K136</f>
        <v>No</v>
      </c>
      <c r="G136" s="17" t="str">
        <f>'12 - Device_Configuration'!L136</f>
        <v>No</v>
      </c>
      <c r="H136" s="17">
        <f>'13 - Config_Intake_View'!M136</f>
        <v>0</v>
      </c>
      <c r="I136" s="30">
        <f>IF('13 - Config_Intake_View'!Q136&lt;&gt;"",'13 - Config_Intake_View'!Q136,'12 - Device_Configuration'!BH136)</f>
        <v>0</v>
      </c>
      <c r="J136" s="17" t="str">
        <f>IF('13 - Config_Intake_View'!Q136&lt;&gt;"","PM Approved",IF('12 - Device_Configuration'!BH136&lt;&gt;"","Assumed",""))</f>
        <v/>
      </c>
      <c r="K136" s="30">
        <f>'12 - Device_Configuration'!BG136</f>
        <v>0</v>
      </c>
      <c r="L136" s="17">
        <f>'12 - Device_Configuration'!P136</f>
        <v>0</v>
      </c>
      <c r="M136" s="17">
        <f>'12 - Device_Configuration'!Q136</f>
        <v>0</v>
      </c>
      <c r="N136" s="17" t="str">
        <f>'12 - Device_Configuration'!BK136</f>
        <v/>
      </c>
      <c r="O136" s="30" t="str">
        <f>'12 - Device_Configuration'!BL136</f>
        <v/>
      </c>
      <c r="P136" s="2">
        <f>'12 - Device_Configuration'!BA136</f>
        <v>0</v>
      </c>
      <c r="Q136" s="30" t="str">
        <f t="shared" si="8"/>
        <v/>
      </c>
      <c r="R136" s="17" t="str">
        <f t="shared" si="9"/>
        <v>SW NOT INSTALLED</v>
      </c>
      <c r="S136" s="17" t="str">
        <f t="shared" si="10"/>
        <v/>
      </c>
      <c r="T136" s="17" t="str">
        <f t="shared" si="11"/>
        <v>SW NOT INSTALLED</v>
      </c>
    </row>
    <row r="137" spans="1:20">
      <c r="A137" s="30" t="str">
        <f>'12 - Device_Configuration'!H137</f>
        <v>LIJ - OR</v>
      </c>
      <c r="B137" s="30" t="str">
        <f>'12 - Device_Configuration'!S137</f>
        <v>WNH270OPR449</v>
      </c>
      <c r="C137" s="30">
        <f>'12 - Device_Configuration'!T137</f>
        <v>0</v>
      </c>
      <c r="D137" s="17">
        <f>'12 - Device_Configuration'!AJ137</f>
        <v>0</v>
      </c>
      <c r="E137" s="17" t="str">
        <f>'12 - Device_Configuration'!J137</f>
        <v>Yes</v>
      </c>
      <c r="F137" s="30" t="str">
        <f>'12 - Device_Configuration'!K137</f>
        <v>No</v>
      </c>
      <c r="G137" s="17" t="str">
        <f>'12 - Device_Configuration'!L137</f>
        <v>No</v>
      </c>
      <c r="H137" s="17">
        <f>'13 - Config_Intake_View'!M137</f>
        <v>0</v>
      </c>
      <c r="I137" s="30">
        <f>IF('13 - Config_Intake_View'!Q137&lt;&gt;"",'13 - Config_Intake_View'!Q137,'12 - Device_Configuration'!BH137)</f>
        <v>0</v>
      </c>
      <c r="J137" s="17" t="str">
        <f>IF('13 - Config_Intake_View'!Q137&lt;&gt;"","PM Approved",IF('12 - Device_Configuration'!BH137&lt;&gt;"","Assumed",""))</f>
        <v/>
      </c>
      <c r="K137" s="30">
        <f>'12 - Device_Configuration'!BG137</f>
        <v>0</v>
      </c>
      <c r="L137" s="17">
        <f>'12 - Device_Configuration'!P137</f>
        <v>0</v>
      </c>
      <c r="M137" s="17">
        <f>'12 - Device_Configuration'!Q137</f>
        <v>0</v>
      </c>
      <c r="N137" s="17" t="str">
        <f>'12 - Device_Configuration'!BK137</f>
        <v/>
      </c>
      <c r="O137" s="30" t="str">
        <f>'12 - Device_Configuration'!BL137</f>
        <v/>
      </c>
      <c r="P137" s="2">
        <f>'12 - Device_Configuration'!BA137</f>
        <v>0</v>
      </c>
      <c r="Q137" s="30" t="str">
        <f t="shared" si="8"/>
        <v/>
      </c>
      <c r="R137" s="17" t="str">
        <f t="shared" si="9"/>
        <v>SW NOT INSTALLED</v>
      </c>
      <c r="S137" s="17" t="str">
        <f t="shared" si="10"/>
        <v/>
      </c>
      <c r="T137" s="17" t="str">
        <f t="shared" si="11"/>
        <v>SW NOT INSTALLED</v>
      </c>
    </row>
    <row r="138" spans="1:20">
      <c r="A138" s="30" t="str">
        <f>'12 - Device_Configuration'!H139</f>
        <v>LIJVS</v>
      </c>
      <c r="B138" s="30" t="str">
        <f>'12 - Device_Configuration'!S139</f>
        <v>WVS900OPR028</v>
      </c>
      <c r="C138" s="30" t="str">
        <f>'12 - Device_Configuration'!T139</f>
        <v>A0F5097FA59B</v>
      </c>
      <c r="D138" s="17">
        <f>'12 - Device_Configuration'!AJ139</f>
        <v>0</v>
      </c>
      <c r="E138" s="17">
        <f>'12 - Device_Configuration'!J139</f>
        <v>0</v>
      </c>
      <c r="F138" s="30">
        <f>'12 - Device_Configuration'!K139</f>
        <v>0</v>
      </c>
      <c r="G138" s="17">
        <f>'12 - Device_Configuration'!L139</f>
        <v>0</v>
      </c>
      <c r="H138" s="17">
        <f>'13 - Config_Intake_View'!M138</f>
        <v>0</v>
      </c>
      <c r="I138" s="30">
        <f>IF('13 - Config_Intake_View'!Q138&lt;&gt;"",'13 - Config_Intake_View'!Q138,'12 - Device_Configuration'!BH139)</f>
        <v>0</v>
      </c>
      <c r="J138" s="17" t="str">
        <f>IF('13 - Config_Intake_View'!Q138&lt;&gt;"","PM Approved",IF('12 - Device_Configuration'!BH139&lt;&gt;"","Assumed",""))</f>
        <v/>
      </c>
      <c r="K138" s="30">
        <f>'12 - Device_Configuration'!BG139</f>
        <v>0</v>
      </c>
      <c r="L138" s="17">
        <f>'12 - Device_Configuration'!P139</f>
        <v>0</v>
      </c>
      <c r="M138" s="17">
        <f>'12 - Device_Configuration'!Q139</f>
        <v>0</v>
      </c>
      <c r="N138" s="17" t="str">
        <f>'12 - Device_Configuration'!BK139</f>
        <v>Power Cable, Battery, Firmware Download, Device ID, Epic Beans Relay</v>
      </c>
      <c r="O138" s="30" t="str">
        <f>'12 - Device_Configuration'!BL139</f>
        <v>Blocked</v>
      </c>
      <c r="P138" s="2" t="str">
        <f>'12 - Device_Configuration'!BA139</f>
        <v>Yes</v>
      </c>
      <c r="Q138" s="30" t="str">
        <f t="shared" si="8"/>
        <v/>
      </c>
      <c r="R138" s="17" t="str">
        <f t="shared" si="9"/>
        <v>SW NOT INSTALLED</v>
      </c>
      <c r="S138" s="17" t="str">
        <f t="shared" si="10"/>
        <v/>
      </c>
      <c r="T138" s="17" t="str">
        <f t="shared" si="11"/>
        <v>SW NOT INSTALLED</v>
      </c>
    </row>
    <row r="139" spans="1:20">
      <c r="A139" s="30" t="str">
        <f>'12 - Device_Configuration'!H140</f>
        <v>LIJVS</v>
      </c>
      <c r="B139" s="30" t="str">
        <f>'12 - Device_Configuration'!S140</f>
        <v>WVS900OPR023</v>
      </c>
      <c r="C139" s="30" t="str">
        <f>'12 - Device_Configuration'!T140</f>
        <v>A0F5097FA526</v>
      </c>
      <c r="D139" s="17">
        <f>'12 - Device_Configuration'!AJ140</f>
        <v>0</v>
      </c>
      <c r="E139" s="17">
        <f>'12 - Device_Configuration'!J140</f>
        <v>0</v>
      </c>
      <c r="F139" s="30">
        <f>'12 - Device_Configuration'!K140</f>
        <v>0</v>
      </c>
      <c r="G139" s="17">
        <f>'12 - Device_Configuration'!L140</f>
        <v>0</v>
      </c>
      <c r="H139" s="17">
        <f>'13 - Config_Intake_View'!M139</f>
        <v>0</v>
      </c>
      <c r="I139" s="30">
        <f>IF('13 - Config_Intake_View'!Q139&lt;&gt;"",'13 - Config_Intake_View'!Q139,'12 - Device_Configuration'!BH140)</f>
        <v>0</v>
      </c>
      <c r="J139" s="17" t="str">
        <f>IF('13 - Config_Intake_View'!Q139&lt;&gt;"","PM Approved",IF('12 - Device_Configuration'!BH140&lt;&gt;"","Assumed",""))</f>
        <v/>
      </c>
      <c r="K139" s="30">
        <f>'12 - Device_Configuration'!BG140</f>
        <v>0</v>
      </c>
      <c r="L139" s="17">
        <f>'12 - Device_Configuration'!P140</f>
        <v>0</v>
      </c>
      <c r="M139" s="17">
        <f>'12 - Device_Configuration'!Q140</f>
        <v>0</v>
      </c>
      <c r="N139" s="17" t="str">
        <f>'12 - Device_Configuration'!BK140</f>
        <v>Power Cable, Battery, Firmware Download, Device ID, Epic Beans Relay</v>
      </c>
      <c r="O139" s="30" t="str">
        <f>'12 - Device_Configuration'!BL140</f>
        <v>Blocked</v>
      </c>
      <c r="P139" s="2" t="str">
        <f>'12 - Device_Configuration'!BA140</f>
        <v>Yes</v>
      </c>
      <c r="Q139" s="30" t="str">
        <f t="shared" si="8"/>
        <v/>
      </c>
      <c r="R139" s="17" t="str">
        <f t="shared" si="9"/>
        <v>SW NOT INSTALLED</v>
      </c>
      <c r="S139" s="17" t="str">
        <f t="shared" si="10"/>
        <v/>
      </c>
      <c r="T139" s="17" t="str">
        <f t="shared" si="11"/>
        <v>SW NOT INSTALLED</v>
      </c>
    </row>
    <row r="140" spans="1:20">
      <c r="A140" s="30" t="str">
        <f>'12 - Device_Configuration'!H141</f>
        <v>LIJVS</v>
      </c>
      <c r="B140" s="30" t="str">
        <f>'12 - Device_Configuration'!S141</f>
        <v>WVS900OPR026</v>
      </c>
      <c r="C140" s="30" t="str">
        <f>'12 - Device_Configuration'!T141</f>
        <v>A0F5097FA52B</v>
      </c>
      <c r="D140" s="17">
        <f>'12 - Device_Configuration'!AJ141</f>
        <v>0</v>
      </c>
      <c r="E140" s="17">
        <f>'12 - Device_Configuration'!J141</f>
        <v>0</v>
      </c>
      <c r="F140" s="30">
        <f>'12 - Device_Configuration'!K141</f>
        <v>0</v>
      </c>
      <c r="G140" s="17">
        <f>'12 - Device_Configuration'!L141</f>
        <v>0</v>
      </c>
      <c r="H140" s="17">
        <f>'13 - Config_Intake_View'!M140</f>
        <v>0</v>
      </c>
      <c r="I140" s="30">
        <f>IF('13 - Config_Intake_View'!Q140&lt;&gt;"",'13 - Config_Intake_View'!Q140,'12 - Device_Configuration'!BH141)</f>
        <v>0</v>
      </c>
      <c r="J140" s="17" t="str">
        <f>IF('13 - Config_Intake_View'!Q140&lt;&gt;"","PM Approved",IF('12 - Device_Configuration'!BH141&lt;&gt;"","Assumed",""))</f>
        <v/>
      </c>
      <c r="K140" s="30">
        <f>'12 - Device_Configuration'!BG141</f>
        <v>0</v>
      </c>
      <c r="L140" s="17">
        <f>'12 - Device_Configuration'!P141</f>
        <v>0</v>
      </c>
      <c r="M140" s="17">
        <f>'12 - Device_Configuration'!Q141</f>
        <v>0</v>
      </c>
      <c r="N140" s="17" t="str">
        <f>'12 - Device_Configuration'!BK141</f>
        <v>Power Cable, Battery, Firmware Download, Device ID, Epic Beans Relay</v>
      </c>
      <c r="O140" s="30" t="str">
        <f>'12 - Device_Configuration'!BL141</f>
        <v>Blocked</v>
      </c>
      <c r="P140" s="2" t="str">
        <f>'12 - Device_Configuration'!BA141</f>
        <v>Yes</v>
      </c>
      <c r="Q140" s="30" t="str">
        <f t="shared" si="8"/>
        <v/>
      </c>
      <c r="R140" s="17" t="str">
        <f t="shared" si="9"/>
        <v>SW NOT INSTALLED</v>
      </c>
      <c r="S140" s="17" t="str">
        <f t="shared" si="10"/>
        <v/>
      </c>
      <c r="T140" s="17" t="str">
        <f t="shared" si="11"/>
        <v>SW NOT INSTALLED</v>
      </c>
    </row>
    <row r="141" spans="1:20">
      <c r="A141" s="30" t="str">
        <f>'12 - Device_Configuration'!H142</f>
        <v>LIJVS</v>
      </c>
      <c r="B141" s="30" t="str">
        <f>'12 - Device_Configuration'!S142</f>
        <v>WVS900OPR030</v>
      </c>
      <c r="C141" s="30" t="str">
        <f>'12 - Device_Configuration'!T142</f>
        <v>A0F5097FA5C5</v>
      </c>
      <c r="D141" s="17">
        <f>'12 - Device_Configuration'!AJ142</f>
        <v>0</v>
      </c>
      <c r="E141" s="17">
        <f>'12 - Device_Configuration'!J142</f>
        <v>0</v>
      </c>
      <c r="F141" s="30">
        <f>'12 - Device_Configuration'!K142</f>
        <v>0</v>
      </c>
      <c r="G141" s="17">
        <f>'12 - Device_Configuration'!L142</f>
        <v>0</v>
      </c>
      <c r="H141" s="17">
        <f>'13 - Config_Intake_View'!M141</f>
        <v>0</v>
      </c>
      <c r="I141" s="30">
        <f>IF('13 - Config_Intake_View'!Q141&lt;&gt;"",'13 - Config_Intake_View'!Q141,'12 - Device_Configuration'!BH142)</f>
        <v>0</v>
      </c>
      <c r="J141" s="17" t="str">
        <f>IF('13 - Config_Intake_View'!Q141&lt;&gt;"","PM Approved",IF('12 - Device_Configuration'!BH142&lt;&gt;"","Assumed",""))</f>
        <v/>
      </c>
      <c r="K141" s="30">
        <f>'12 - Device_Configuration'!BG142</f>
        <v>0</v>
      </c>
      <c r="L141" s="17">
        <f>'12 - Device_Configuration'!P142</f>
        <v>0</v>
      </c>
      <c r="M141" s="17">
        <f>'12 - Device_Configuration'!Q142</f>
        <v>0</v>
      </c>
      <c r="N141" s="17" t="str">
        <f>'12 - Device_Configuration'!BK142</f>
        <v>Power Cable, Battery, Firmware Download, Device ID, Epic Beans Relay</v>
      </c>
      <c r="O141" s="30" t="str">
        <f>'12 - Device_Configuration'!BL142</f>
        <v>Blocked</v>
      </c>
      <c r="P141" s="2" t="str">
        <f>'12 - Device_Configuration'!BA142</f>
        <v>Yes</v>
      </c>
      <c r="Q141" s="30" t="str">
        <f t="shared" si="8"/>
        <v/>
      </c>
      <c r="R141" s="17" t="str">
        <f t="shared" si="9"/>
        <v>SW NOT INSTALLED</v>
      </c>
      <c r="S141" s="17" t="str">
        <f t="shared" si="10"/>
        <v/>
      </c>
      <c r="T141" s="17" t="str">
        <f t="shared" si="11"/>
        <v>SW NOT INSTALLED</v>
      </c>
    </row>
    <row r="142" spans="1:20">
      <c r="A142" s="30" t="str">
        <f>'12 - Device_Configuration'!H143</f>
        <v>LIJVS</v>
      </c>
      <c r="B142" s="30" t="str">
        <f>'12 - Device_Configuration'!S143</f>
        <v>WVS900OPR029</v>
      </c>
      <c r="C142" s="30" t="str">
        <f>'12 - Device_Configuration'!T143</f>
        <v>A0F5097FA3F3</v>
      </c>
      <c r="D142" s="17">
        <f>'12 - Device_Configuration'!AJ143</f>
        <v>0</v>
      </c>
      <c r="E142" s="17">
        <f>'12 - Device_Configuration'!J143</f>
        <v>0</v>
      </c>
      <c r="F142" s="30">
        <f>'12 - Device_Configuration'!K143</f>
        <v>0</v>
      </c>
      <c r="G142" s="17">
        <f>'12 - Device_Configuration'!L143</f>
        <v>0</v>
      </c>
      <c r="H142" s="17">
        <f>'13 - Config_Intake_View'!M142</f>
        <v>0</v>
      </c>
      <c r="I142" s="30">
        <f>IF('13 - Config_Intake_View'!Q142&lt;&gt;"",'13 - Config_Intake_View'!Q142,'12 - Device_Configuration'!BH143)</f>
        <v>0</v>
      </c>
      <c r="J142" s="17" t="str">
        <f>IF('13 - Config_Intake_View'!Q142&lt;&gt;"","PM Approved",IF('12 - Device_Configuration'!BH143&lt;&gt;"","Assumed",""))</f>
        <v/>
      </c>
      <c r="K142" s="30">
        <f>'12 - Device_Configuration'!BG143</f>
        <v>0</v>
      </c>
      <c r="L142" s="17">
        <f>'12 - Device_Configuration'!P143</f>
        <v>0</v>
      </c>
      <c r="M142" s="17">
        <f>'12 - Device_Configuration'!Q143</f>
        <v>0</v>
      </c>
      <c r="N142" s="17" t="str">
        <f>'12 - Device_Configuration'!BK143</f>
        <v>Power Cable, Battery, Firmware Download, Device ID, Epic Beans Relay</v>
      </c>
      <c r="O142" s="30" t="str">
        <f>'12 - Device_Configuration'!BL143</f>
        <v>Blocked</v>
      </c>
      <c r="P142" s="2" t="str">
        <f>'12 - Device_Configuration'!BA143</f>
        <v>Yes</v>
      </c>
      <c r="Q142" s="30" t="str">
        <f t="shared" si="8"/>
        <v/>
      </c>
      <c r="R142" s="17" t="str">
        <f t="shared" si="9"/>
        <v>SW NOT INSTALLED</v>
      </c>
      <c r="S142" s="17" t="str">
        <f t="shared" si="10"/>
        <v/>
      </c>
      <c r="T142" s="17" t="str">
        <f t="shared" si="11"/>
        <v>SW NOT INSTALLED</v>
      </c>
    </row>
    <row r="143" spans="1:20">
      <c r="A143" s="30" t="str">
        <f>'12 - Device_Configuration'!H144</f>
        <v>LIJVS</v>
      </c>
      <c r="B143" s="30" t="str">
        <f>'12 - Device_Configuration'!S144</f>
        <v>WVS900OPR024</v>
      </c>
      <c r="C143" s="30" t="str">
        <f>'12 - Device_Configuration'!T144</f>
        <v>A0F5097FA58A</v>
      </c>
      <c r="D143" s="17">
        <f>'12 - Device_Configuration'!AJ144</f>
        <v>0</v>
      </c>
      <c r="E143" s="17">
        <f>'12 - Device_Configuration'!J144</f>
        <v>0</v>
      </c>
      <c r="F143" s="30">
        <f>'12 - Device_Configuration'!K144</f>
        <v>0</v>
      </c>
      <c r="G143" s="17">
        <f>'12 - Device_Configuration'!L144</f>
        <v>0</v>
      </c>
      <c r="H143" s="17">
        <f>'13 - Config_Intake_View'!M143</f>
        <v>0</v>
      </c>
      <c r="I143" s="30">
        <f>IF('13 - Config_Intake_View'!Q143&lt;&gt;"",'13 - Config_Intake_View'!Q143,'12 - Device_Configuration'!BH144)</f>
        <v>0</v>
      </c>
      <c r="J143" s="17" t="str">
        <f>IF('13 - Config_Intake_View'!Q143&lt;&gt;"","PM Approved",IF('12 - Device_Configuration'!BH144&lt;&gt;"","Assumed",""))</f>
        <v/>
      </c>
      <c r="K143" s="30">
        <f>'12 - Device_Configuration'!BG144</f>
        <v>0</v>
      </c>
      <c r="L143" s="17">
        <f>'12 - Device_Configuration'!P144</f>
        <v>0</v>
      </c>
      <c r="M143" s="17">
        <f>'12 - Device_Configuration'!Q144</f>
        <v>0</v>
      </c>
      <c r="N143" s="17" t="str">
        <f>'12 - Device_Configuration'!BK144</f>
        <v>Power Cable, Battery, Firmware Download, Device ID, Epic Beans Relay</v>
      </c>
      <c r="O143" s="30" t="str">
        <f>'12 - Device_Configuration'!BL144</f>
        <v>Blocked</v>
      </c>
      <c r="P143" s="2" t="str">
        <f>'12 - Device_Configuration'!BA144</f>
        <v>Yes</v>
      </c>
      <c r="Q143" s="30" t="str">
        <f t="shared" si="8"/>
        <v/>
      </c>
      <c r="R143" s="17" t="str">
        <f t="shared" si="9"/>
        <v>SW NOT INSTALLED</v>
      </c>
      <c r="S143" s="17" t="str">
        <f t="shared" si="10"/>
        <v/>
      </c>
      <c r="T143" s="17" t="str">
        <f t="shared" si="11"/>
        <v>SW NOT INSTALLED</v>
      </c>
    </row>
    <row r="144" spans="1:20">
      <c r="A144" s="30" t="str">
        <f>'12 - Device_Configuration'!H145</f>
        <v>LIJVS</v>
      </c>
      <c r="B144" s="30" t="str">
        <f>'12 - Device_Configuration'!S145</f>
        <v>WVS900OPR025</v>
      </c>
      <c r="C144" s="30" t="str">
        <f>'12 - Device_Configuration'!T145</f>
        <v>A0F5097F9550</v>
      </c>
      <c r="D144" s="17">
        <f>'12 - Device_Configuration'!AJ145</f>
        <v>0</v>
      </c>
      <c r="E144" s="17">
        <f>'12 - Device_Configuration'!J145</f>
        <v>0</v>
      </c>
      <c r="F144" s="30">
        <f>'12 - Device_Configuration'!K145</f>
        <v>0</v>
      </c>
      <c r="G144" s="17">
        <f>'12 - Device_Configuration'!L145</f>
        <v>0</v>
      </c>
      <c r="H144" s="17">
        <f>'13 - Config_Intake_View'!M144</f>
        <v>0</v>
      </c>
      <c r="I144" s="30">
        <f>IF('13 - Config_Intake_View'!Q144&lt;&gt;"",'13 - Config_Intake_View'!Q144,'12 - Device_Configuration'!BH145)</f>
        <v>0</v>
      </c>
      <c r="J144" s="17" t="str">
        <f>IF('13 - Config_Intake_View'!Q144&lt;&gt;"","PM Approved",IF('12 - Device_Configuration'!BH145&lt;&gt;"","Assumed",""))</f>
        <v/>
      </c>
      <c r="K144" s="30">
        <f>'12 - Device_Configuration'!BG145</f>
        <v>0</v>
      </c>
      <c r="L144" s="17">
        <f>'12 - Device_Configuration'!P145</f>
        <v>0</v>
      </c>
      <c r="M144" s="17">
        <f>'12 - Device_Configuration'!Q145</f>
        <v>0</v>
      </c>
      <c r="N144" s="17" t="str">
        <f>'12 - Device_Configuration'!BK145</f>
        <v>Power Cable, Battery, Firmware Download, Device ID, Epic Beans Relay</v>
      </c>
      <c r="O144" s="30" t="str">
        <f>'12 - Device_Configuration'!BL145</f>
        <v>Blocked</v>
      </c>
      <c r="P144" s="2" t="str">
        <f>'12 - Device_Configuration'!BA145</f>
        <v>Yes</v>
      </c>
      <c r="Q144" s="30" t="str">
        <f t="shared" si="8"/>
        <v/>
      </c>
      <c r="R144" s="17" t="str">
        <f t="shared" si="9"/>
        <v>SW NOT INSTALLED</v>
      </c>
      <c r="S144" s="17" t="str">
        <f t="shared" si="10"/>
        <v/>
      </c>
      <c r="T144" s="17" t="str">
        <f t="shared" si="11"/>
        <v>SW NOT INSTALLED</v>
      </c>
    </row>
    <row r="145" spans="1:20">
      <c r="A145" s="30" t="str">
        <f>'12 - Device_Configuration'!H146</f>
        <v>LIJVS</v>
      </c>
      <c r="B145" s="30">
        <f>'12 - Device_Configuration'!S146</f>
        <v>0</v>
      </c>
      <c r="C145" s="30">
        <f>'12 - Device_Configuration'!T146</f>
        <v>0</v>
      </c>
      <c r="D145" s="17">
        <f>'12 - Device_Configuration'!AJ146</f>
        <v>0</v>
      </c>
      <c r="E145" s="17">
        <f>'12 - Device_Configuration'!J146</f>
        <v>0</v>
      </c>
      <c r="F145" s="30">
        <f>'12 - Device_Configuration'!K146</f>
        <v>0</v>
      </c>
      <c r="G145" s="17">
        <f>'12 - Device_Configuration'!L146</f>
        <v>0</v>
      </c>
      <c r="H145" s="17">
        <f>'13 - Config_Intake_View'!M145</f>
        <v>0</v>
      </c>
      <c r="I145" s="30">
        <f>IF('13 - Config_Intake_View'!Q145&lt;&gt;"",'13 - Config_Intake_View'!Q145,'12 - Device_Configuration'!BH146)</f>
        <v>0</v>
      </c>
      <c r="J145" s="17" t="str">
        <f>IF('13 - Config_Intake_View'!Q145&lt;&gt;"","PM Approved",IF('12 - Device_Configuration'!BH146&lt;&gt;"","Assumed",""))</f>
        <v/>
      </c>
      <c r="K145" s="30">
        <f>'12 - Device_Configuration'!BG146</f>
        <v>0</v>
      </c>
      <c r="L145" s="17">
        <f>'12 - Device_Configuration'!P146</f>
        <v>0</v>
      </c>
      <c r="M145" s="17">
        <f>'12 - Device_Configuration'!Q146</f>
        <v>0</v>
      </c>
      <c r="N145" s="17" t="str">
        <f>'12 - Device_Configuration'!BK146</f>
        <v/>
      </c>
      <c r="O145" s="30" t="str">
        <f>'12 - Device_Configuration'!BL146</f>
        <v/>
      </c>
      <c r="P145" s="2" t="str">
        <f>'12 - Device_Configuration'!BA146</f>
        <v>Yes</v>
      </c>
      <c r="Q145" s="30" t="str">
        <f t="shared" si="8"/>
        <v/>
      </c>
      <c r="R145" s="17" t="str">
        <f t="shared" si="9"/>
        <v>SW NOT INSTALLED</v>
      </c>
      <c r="S145" s="17" t="str">
        <f t="shared" si="10"/>
        <v/>
      </c>
      <c r="T145" s="17" t="str">
        <f t="shared" si="11"/>
        <v>SW NOT INSTALLED</v>
      </c>
    </row>
    <row r="146" spans="1:20">
      <c r="A146" s="30" t="str">
        <f>'12 - Device_Configuration'!H147</f>
        <v>LIJVS</v>
      </c>
      <c r="B146" s="30">
        <f>'12 - Device_Configuration'!S147</f>
        <v>0</v>
      </c>
      <c r="C146" s="30">
        <f>'12 - Device_Configuration'!T147</f>
        <v>0</v>
      </c>
      <c r="D146" s="17">
        <f>'12 - Device_Configuration'!AJ147</f>
        <v>0</v>
      </c>
      <c r="E146" s="17">
        <f>'12 - Device_Configuration'!J147</f>
        <v>0</v>
      </c>
      <c r="F146" s="30">
        <f>'12 - Device_Configuration'!K147</f>
        <v>0</v>
      </c>
      <c r="G146" s="17">
        <f>'12 - Device_Configuration'!L147</f>
        <v>0</v>
      </c>
      <c r="H146" s="17">
        <f>'13 - Config_Intake_View'!M146</f>
        <v>0</v>
      </c>
      <c r="I146" s="30">
        <f>IF('13 - Config_Intake_View'!Q146&lt;&gt;"",'13 - Config_Intake_View'!Q146,'12 - Device_Configuration'!BH147)</f>
        <v>0</v>
      </c>
      <c r="J146" s="17" t="str">
        <f>IF('13 - Config_Intake_View'!Q146&lt;&gt;"","PM Approved",IF('12 - Device_Configuration'!BH147&lt;&gt;"","Assumed",""))</f>
        <v/>
      </c>
      <c r="K146" s="30">
        <f>'12 - Device_Configuration'!BG147</f>
        <v>0</v>
      </c>
      <c r="L146" s="17">
        <f>'12 - Device_Configuration'!P147</f>
        <v>0</v>
      </c>
      <c r="M146" s="17">
        <f>'12 - Device_Configuration'!Q147</f>
        <v>0</v>
      </c>
      <c r="N146" s="17" t="str">
        <f>'12 - Device_Configuration'!BK147</f>
        <v/>
      </c>
      <c r="O146" s="30" t="str">
        <f>'12 - Device_Configuration'!BL147</f>
        <v/>
      </c>
      <c r="P146" s="2" t="str">
        <f>'12 - Device_Configuration'!BA147</f>
        <v>Yes</v>
      </c>
      <c r="Q146" s="30" t="str">
        <f t="shared" si="8"/>
        <v/>
      </c>
      <c r="R146" s="17" t="str">
        <f t="shared" si="9"/>
        <v>SW NOT INSTALLED</v>
      </c>
      <c r="S146" s="17" t="str">
        <f t="shared" si="10"/>
        <v/>
      </c>
      <c r="T146" s="17" t="str">
        <f t="shared" si="11"/>
        <v>SW NOT INSTALLED</v>
      </c>
    </row>
    <row r="147" spans="1:20">
      <c r="A147" s="30" t="str">
        <f>'12 - Device_Configuration'!H148</f>
        <v>LIJVS</v>
      </c>
      <c r="B147" s="30">
        <f>'12 - Device_Configuration'!S148</f>
        <v>0</v>
      </c>
      <c r="C147" s="30">
        <f>'12 - Device_Configuration'!T148</f>
        <v>0</v>
      </c>
      <c r="D147" s="17">
        <f>'12 - Device_Configuration'!AJ148</f>
        <v>0</v>
      </c>
      <c r="E147" s="17">
        <f>'12 - Device_Configuration'!J148</f>
        <v>0</v>
      </c>
      <c r="F147" s="30">
        <f>'12 - Device_Configuration'!K148</f>
        <v>0</v>
      </c>
      <c r="G147" s="17">
        <f>'12 - Device_Configuration'!L148</f>
        <v>0</v>
      </c>
      <c r="H147" s="17">
        <f>'13 - Config_Intake_View'!M147</f>
        <v>0</v>
      </c>
      <c r="I147" s="30">
        <f>IF('13 - Config_Intake_View'!Q147&lt;&gt;"",'13 - Config_Intake_View'!Q147,'12 - Device_Configuration'!BH148)</f>
        <v>0</v>
      </c>
      <c r="J147" s="17" t="str">
        <f>IF('13 - Config_Intake_View'!Q147&lt;&gt;"","PM Approved",IF('12 - Device_Configuration'!BH148&lt;&gt;"","Assumed",""))</f>
        <v/>
      </c>
      <c r="K147" s="30">
        <f>'12 - Device_Configuration'!BG148</f>
        <v>0</v>
      </c>
      <c r="L147" s="17">
        <f>'12 - Device_Configuration'!P148</f>
        <v>0</v>
      </c>
      <c r="M147" s="17">
        <f>'12 - Device_Configuration'!Q148</f>
        <v>0</v>
      </c>
      <c r="N147" s="17" t="str">
        <f>'12 - Device_Configuration'!BK148</f>
        <v/>
      </c>
      <c r="O147" s="30" t="str">
        <f>'12 - Device_Configuration'!BL148</f>
        <v/>
      </c>
      <c r="P147" s="2" t="str">
        <f>'12 - Device_Configuration'!BA148</f>
        <v>Yes</v>
      </c>
      <c r="Q147" s="30" t="str">
        <f t="shared" si="8"/>
        <v/>
      </c>
      <c r="R147" s="17" t="str">
        <f t="shared" si="9"/>
        <v>SW NOT INSTALLED</v>
      </c>
      <c r="S147" s="17" t="str">
        <f t="shared" si="10"/>
        <v/>
      </c>
      <c r="T147" s="17" t="str">
        <f t="shared" si="11"/>
        <v>SW NOT INSTALLED</v>
      </c>
    </row>
    <row r="148" spans="1:20">
      <c r="A148" s="30">
        <f>'12 - Device_Configuration'!H149</f>
        <v>0</v>
      </c>
      <c r="B148" s="30">
        <f>'12 - Device_Configuration'!S149</f>
        <v>0</v>
      </c>
      <c r="C148" s="30">
        <f>'12 - Device_Configuration'!T149</f>
        <v>0</v>
      </c>
      <c r="D148" s="17">
        <f>'12 - Device_Configuration'!AJ149</f>
        <v>0</v>
      </c>
      <c r="E148" s="17">
        <f>'12 - Device_Configuration'!J149</f>
        <v>0</v>
      </c>
      <c r="F148" s="30">
        <f>'12 - Device_Configuration'!K149</f>
        <v>0</v>
      </c>
      <c r="G148" s="17">
        <f>'12 - Device_Configuration'!L149</f>
        <v>0</v>
      </c>
      <c r="H148" s="17">
        <f>'13 - Config_Intake_View'!M148</f>
        <v>0</v>
      </c>
      <c r="I148" s="30">
        <f>IF('13 - Config_Intake_View'!Q148&lt;&gt;"",'13 - Config_Intake_View'!Q148,'12 - Device_Configuration'!BH149)</f>
        <v>0</v>
      </c>
      <c r="J148" s="17" t="str">
        <f>IF('13 - Config_Intake_View'!Q148&lt;&gt;"","PM Approved",IF('12 - Device_Configuration'!BH149&lt;&gt;"","Assumed",""))</f>
        <v/>
      </c>
      <c r="K148" s="30">
        <f>'12 - Device_Configuration'!BG149</f>
        <v>0</v>
      </c>
      <c r="L148" s="17">
        <f>'12 - Device_Configuration'!P149</f>
        <v>0</v>
      </c>
      <c r="M148" s="17">
        <f>'12 - Device_Configuration'!Q149</f>
        <v>0</v>
      </c>
      <c r="N148" s="17" t="str">
        <f>'12 - Device_Configuration'!BK149</f>
        <v/>
      </c>
      <c r="O148" s="30" t="str">
        <f>'12 - Device_Configuration'!BL149</f>
        <v/>
      </c>
      <c r="P148" s="2">
        <f>'12 - Device_Configuration'!BA149</f>
        <v>0</v>
      </c>
      <c r="Q148" s="30" t="str">
        <f t="shared" si="8"/>
        <v/>
      </c>
      <c r="R148" s="17" t="str">
        <f t="shared" si="9"/>
        <v>SW NOT INSTALLED</v>
      </c>
      <c r="S148" s="17" t="str">
        <f t="shared" si="10"/>
        <v/>
      </c>
      <c r="T148" s="17" t="str">
        <f t="shared" si="11"/>
        <v>SW NOT INSTALLED</v>
      </c>
    </row>
    <row r="149" spans="1:20">
      <c r="A149" s="30">
        <f>'12 - Device_Configuration'!H150</f>
        <v>0</v>
      </c>
      <c r="B149" s="30">
        <f>'12 - Device_Configuration'!S150</f>
        <v>0</v>
      </c>
      <c r="C149" s="30">
        <f>'12 - Device_Configuration'!T150</f>
        <v>0</v>
      </c>
      <c r="D149" s="17">
        <f>'12 - Device_Configuration'!AJ150</f>
        <v>0</v>
      </c>
      <c r="E149" s="17">
        <f>'12 - Device_Configuration'!J150</f>
        <v>0</v>
      </c>
      <c r="F149" s="30">
        <f>'12 - Device_Configuration'!K150</f>
        <v>0</v>
      </c>
      <c r="G149" s="17">
        <f>'12 - Device_Configuration'!L150</f>
        <v>0</v>
      </c>
      <c r="H149" s="17">
        <f>'13 - Config_Intake_View'!M149</f>
        <v>0</v>
      </c>
      <c r="I149" s="30">
        <f>IF('13 - Config_Intake_View'!Q149&lt;&gt;"",'13 - Config_Intake_View'!Q149,'12 - Device_Configuration'!BH150)</f>
        <v>0</v>
      </c>
      <c r="J149" s="17" t="str">
        <f>IF('13 - Config_Intake_View'!Q149&lt;&gt;"","PM Approved",IF('12 - Device_Configuration'!BH150&lt;&gt;"","Assumed",""))</f>
        <v/>
      </c>
      <c r="K149" s="30">
        <f>'12 - Device_Configuration'!BG150</f>
        <v>0</v>
      </c>
      <c r="L149" s="17">
        <f>'12 - Device_Configuration'!P150</f>
        <v>0</v>
      </c>
      <c r="M149" s="17">
        <f>'12 - Device_Configuration'!Q150</f>
        <v>0</v>
      </c>
      <c r="N149" s="17" t="str">
        <f>'12 - Device_Configuration'!BK150</f>
        <v/>
      </c>
      <c r="O149" s="30" t="str">
        <f>'12 - Device_Configuration'!BL150</f>
        <v/>
      </c>
      <c r="P149" s="2">
        <f>'12 - Device_Configuration'!BA150</f>
        <v>0</v>
      </c>
      <c r="Q149" s="30" t="str">
        <f t="shared" si="8"/>
        <v/>
      </c>
      <c r="R149" s="17" t="str">
        <f t="shared" si="9"/>
        <v>SW NOT INSTALLED</v>
      </c>
      <c r="S149" s="17" t="str">
        <f t="shared" si="10"/>
        <v/>
      </c>
      <c r="T149" s="17" t="str">
        <f t="shared" si="11"/>
        <v>SW NOT INSTALLED</v>
      </c>
    </row>
    <row r="150" spans="1:20">
      <c r="A150" s="30">
        <f>'12 - Device_Configuration'!H151</f>
        <v>0</v>
      </c>
      <c r="B150" s="30">
        <f>'12 - Device_Configuration'!S151</f>
        <v>0</v>
      </c>
      <c r="C150" s="30">
        <f>'12 - Device_Configuration'!T151</f>
        <v>0</v>
      </c>
      <c r="D150" s="17">
        <f>'12 - Device_Configuration'!AJ151</f>
        <v>0</v>
      </c>
      <c r="E150" s="17">
        <f>'12 - Device_Configuration'!J151</f>
        <v>0</v>
      </c>
      <c r="F150" s="30">
        <f>'12 - Device_Configuration'!K151</f>
        <v>0</v>
      </c>
      <c r="G150" s="17">
        <f>'12 - Device_Configuration'!L151</f>
        <v>0</v>
      </c>
      <c r="H150" s="17">
        <f>'13 - Config_Intake_View'!M150</f>
        <v>0</v>
      </c>
      <c r="I150" s="30">
        <f>IF('13 - Config_Intake_View'!Q150&lt;&gt;"",'13 - Config_Intake_View'!Q150,'12 - Device_Configuration'!BH151)</f>
        <v>0</v>
      </c>
      <c r="J150" s="17" t="str">
        <f>IF('13 - Config_Intake_View'!Q150&lt;&gt;"","PM Approved",IF('12 - Device_Configuration'!BH151&lt;&gt;"","Assumed",""))</f>
        <v/>
      </c>
      <c r="K150" s="30">
        <f>'12 - Device_Configuration'!BG151</f>
        <v>0</v>
      </c>
      <c r="L150" s="17">
        <f>'12 - Device_Configuration'!P151</f>
        <v>0</v>
      </c>
      <c r="M150" s="17">
        <f>'12 - Device_Configuration'!Q151</f>
        <v>0</v>
      </c>
      <c r="N150" s="17" t="str">
        <f>'12 - Device_Configuration'!BK151</f>
        <v/>
      </c>
      <c r="O150" s="30" t="str">
        <f>'12 - Device_Configuration'!BL151</f>
        <v/>
      </c>
      <c r="P150" s="2">
        <f>'12 - Device_Configuration'!BA151</f>
        <v>0</v>
      </c>
      <c r="Q150" s="30" t="str">
        <f t="shared" si="8"/>
        <v/>
      </c>
      <c r="R150" s="17" t="str">
        <f t="shared" si="9"/>
        <v>SW NOT INSTALLED</v>
      </c>
      <c r="S150" s="17" t="str">
        <f t="shared" si="10"/>
        <v/>
      </c>
      <c r="T150" s="17" t="str">
        <f t="shared" si="11"/>
        <v>SW NOT INSTALLED</v>
      </c>
    </row>
    <row r="151" spans="1:20">
      <c r="A151" s="30">
        <f>'12 - Device_Configuration'!H152</f>
        <v>0</v>
      </c>
      <c r="B151" s="30">
        <f>'12 - Device_Configuration'!S152</f>
        <v>0</v>
      </c>
      <c r="C151" s="30">
        <f>'12 - Device_Configuration'!T152</f>
        <v>0</v>
      </c>
      <c r="D151" s="17">
        <f>'12 - Device_Configuration'!AJ152</f>
        <v>0</v>
      </c>
      <c r="E151" s="17">
        <f>'12 - Device_Configuration'!J152</f>
        <v>0</v>
      </c>
      <c r="F151" s="30">
        <f>'12 - Device_Configuration'!K152</f>
        <v>0</v>
      </c>
      <c r="G151" s="17">
        <f>'12 - Device_Configuration'!L152</f>
        <v>0</v>
      </c>
      <c r="H151" s="17">
        <f>'13 - Config_Intake_View'!M151</f>
        <v>0</v>
      </c>
      <c r="I151" s="30">
        <f>IF('13 - Config_Intake_View'!Q151&lt;&gt;"",'13 - Config_Intake_View'!Q151,'12 - Device_Configuration'!BH152)</f>
        <v>0</v>
      </c>
      <c r="J151" s="17" t="str">
        <f>IF('13 - Config_Intake_View'!Q151&lt;&gt;"","PM Approved",IF('12 - Device_Configuration'!BH152&lt;&gt;"","Assumed",""))</f>
        <v/>
      </c>
      <c r="K151" s="30">
        <f>'12 - Device_Configuration'!BG152</f>
        <v>0</v>
      </c>
      <c r="L151" s="17">
        <f>'12 - Device_Configuration'!P152</f>
        <v>0</v>
      </c>
      <c r="M151" s="17">
        <f>'12 - Device_Configuration'!Q152</f>
        <v>0</v>
      </c>
      <c r="N151" s="17" t="str">
        <f>'12 - Device_Configuration'!BK152</f>
        <v/>
      </c>
      <c r="O151" s="30" t="str">
        <f>'12 - Device_Configuration'!BL152</f>
        <v/>
      </c>
      <c r="P151" s="2">
        <f>'12 - Device_Configuration'!BA152</f>
        <v>0</v>
      </c>
      <c r="Q151" s="30" t="str">
        <f t="shared" si="8"/>
        <v/>
      </c>
      <c r="R151" s="17" t="str">
        <f t="shared" si="9"/>
        <v>SW NOT INSTALLED</v>
      </c>
      <c r="S151" s="17" t="str">
        <f t="shared" si="10"/>
        <v/>
      </c>
      <c r="T151" s="17" t="str">
        <f t="shared" si="11"/>
        <v>SW NOT INSTALLED</v>
      </c>
    </row>
    <row r="152" spans="1:20">
      <c r="A152" s="30">
        <f>'12 - Device_Configuration'!H153</f>
        <v>0</v>
      </c>
      <c r="B152" s="30">
        <f>'12 - Device_Configuration'!S153</f>
        <v>0</v>
      </c>
      <c r="C152" s="30">
        <f>'12 - Device_Configuration'!T153</f>
        <v>0</v>
      </c>
      <c r="D152" s="17">
        <f>'12 - Device_Configuration'!AJ153</f>
        <v>0</v>
      </c>
      <c r="E152" s="17">
        <f>'12 - Device_Configuration'!J153</f>
        <v>0</v>
      </c>
      <c r="F152" s="30">
        <f>'12 - Device_Configuration'!K153</f>
        <v>0</v>
      </c>
      <c r="G152" s="17">
        <f>'12 - Device_Configuration'!L153</f>
        <v>0</v>
      </c>
      <c r="H152" s="17">
        <f>'13 - Config_Intake_View'!M152</f>
        <v>0</v>
      </c>
      <c r="I152" s="30">
        <f>IF('13 - Config_Intake_View'!Q152&lt;&gt;"",'13 - Config_Intake_View'!Q152,'12 - Device_Configuration'!BH153)</f>
        <v>0</v>
      </c>
      <c r="J152" s="17" t="str">
        <f>IF('13 - Config_Intake_View'!Q152&lt;&gt;"","PM Approved",IF('12 - Device_Configuration'!BH153&lt;&gt;"","Assumed",""))</f>
        <v/>
      </c>
      <c r="K152" s="30">
        <f>'12 - Device_Configuration'!BG153</f>
        <v>0</v>
      </c>
      <c r="L152" s="17">
        <f>'12 - Device_Configuration'!P153</f>
        <v>0</v>
      </c>
      <c r="M152" s="17">
        <f>'12 - Device_Configuration'!Q153</f>
        <v>0</v>
      </c>
      <c r="N152" s="17" t="str">
        <f>'12 - Device_Configuration'!BK153</f>
        <v/>
      </c>
      <c r="O152" s="30" t="str">
        <f>'12 - Device_Configuration'!BL153</f>
        <v/>
      </c>
      <c r="P152" s="2">
        <f>'12 - Device_Configuration'!BA153</f>
        <v>0</v>
      </c>
      <c r="Q152" s="30" t="str">
        <f t="shared" si="8"/>
        <v/>
      </c>
      <c r="R152" s="17" t="str">
        <f t="shared" si="9"/>
        <v>SW NOT INSTALLED</v>
      </c>
      <c r="S152" s="17" t="str">
        <f t="shared" si="10"/>
        <v/>
      </c>
      <c r="T152" s="17" t="str">
        <f t="shared" si="11"/>
        <v>SW NOT INSTALLED</v>
      </c>
    </row>
    <row r="153" spans="1:20">
      <c r="A153" s="30">
        <f>'12 - Device_Configuration'!H154</f>
        <v>0</v>
      </c>
      <c r="B153" s="30">
        <f>'12 - Device_Configuration'!S154</f>
        <v>0</v>
      </c>
      <c r="C153" s="30">
        <f>'12 - Device_Configuration'!T154</f>
        <v>0</v>
      </c>
      <c r="D153" s="17">
        <f>'12 - Device_Configuration'!AJ154</f>
        <v>0</v>
      </c>
      <c r="E153" s="17">
        <f>'12 - Device_Configuration'!J154</f>
        <v>0</v>
      </c>
      <c r="F153" s="30">
        <f>'12 - Device_Configuration'!K154</f>
        <v>0</v>
      </c>
      <c r="G153" s="17">
        <f>'12 - Device_Configuration'!L154</f>
        <v>0</v>
      </c>
      <c r="H153" s="17">
        <f>'13 - Config_Intake_View'!M153</f>
        <v>0</v>
      </c>
      <c r="I153" s="30">
        <f>IF('13 - Config_Intake_View'!Q153&lt;&gt;"",'13 - Config_Intake_View'!Q153,'12 - Device_Configuration'!BH154)</f>
        <v>0</v>
      </c>
      <c r="J153" s="17" t="str">
        <f>IF('13 - Config_Intake_View'!Q153&lt;&gt;"","PM Approved",IF('12 - Device_Configuration'!BH154&lt;&gt;"","Assumed",""))</f>
        <v/>
      </c>
      <c r="K153" s="30">
        <f>'12 - Device_Configuration'!BG154</f>
        <v>0</v>
      </c>
      <c r="L153" s="17">
        <f>'12 - Device_Configuration'!P154</f>
        <v>0</v>
      </c>
      <c r="M153" s="17">
        <f>'12 - Device_Configuration'!Q154</f>
        <v>0</v>
      </c>
      <c r="N153" s="17" t="str">
        <f>'12 - Device_Configuration'!BK154</f>
        <v/>
      </c>
      <c r="O153" s="30" t="str">
        <f>'12 - Device_Configuration'!BL154</f>
        <v/>
      </c>
      <c r="P153" s="2">
        <f>'12 - Device_Configuration'!BA154</f>
        <v>0</v>
      </c>
      <c r="Q153" s="30" t="str">
        <f t="shared" si="8"/>
        <v/>
      </c>
      <c r="R153" s="17" t="str">
        <f t="shared" si="9"/>
        <v>SW NOT INSTALLED</v>
      </c>
      <c r="S153" s="17" t="str">
        <f t="shared" si="10"/>
        <v/>
      </c>
      <c r="T153" s="17" t="str">
        <f t="shared" si="11"/>
        <v>SW NOT INSTALLED</v>
      </c>
    </row>
    <row r="154" spans="1:20">
      <c r="A154" s="30">
        <f>'12 - Device_Configuration'!H155</f>
        <v>0</v>
      </c>
      <c r="B154" s="30">
        <f>'12 - Device_Configuration'!S155</f>
        <v>0</v>
      </c>
      <c r="C154" s="30">
        <f>'12 - Device_Configuration'!T155</f>
        <v>0</v>
      </c>
      <c r="D154" s="17">
        <f>'12 - Device_Configuration'!AJ155</f>
        <v>0</v>
      </c>
      <c r="E154" s="17">
        <f>'12 - Device_Configuration'!J155</f>
        <v>0</v>
      </c>
      <c r="F154" s="30">
        <f>'12 - Device_Configuration'!K155</f>
        <v>0</v>
      </c>
      <c r="G154" s="17">
        <f>'12 - Device_Configuration'!L155</f>
        <v>0</v>
      </c>
      <c r="H154" s="17">
        <f>'13 - Config_Intake_View'!M154</f>
        <v>0</v>
      </c>
      <c r="I154" s="30">
        <f>IF('13 - Config_Intake_View'!Q154&lt;&gt;"",'13 - Config_Intake_View'!Q154,'12 - Device_Configuration'!BH155)</f>
        <v>0</v>
      </c>
      <c r="J154" s="17" t="str">
        <f>IF('13 - Config_Intake_View'!Q154&lt;&gt;"","PM Approved",IF('12 - Device_Configuration'!BH155&lt;&gt;"","Assumed",""))</f>
        <v/>
      </c>
      <c r="K154" s="30">
        <f>'12 - Device_Configuration'!BG155</f>
        <v>0</v>
      </c>
      <c r="L154" s="17">
        <f>'12 - Device_Configuration'!P155</f>
        <v>0</v>
      </c>
      <c r="M154" s="17">
        <f>'12 - Device_Configuration'!Q155</f>
        <v>0</v>
      </c>
      <c r="N154" s="17" t="str">
        <f>'12 - Device_Configuration'!BK155</f>
        <v/>
      </c>
      <c r="O154" s="30" t="str">
        <f>'12 - Device_Configuration'!BL155</f>
        <v/>
      </c>
      <c r="P154" s="2">
        <f>'12 - Device_Configuration'!BA155</f>
        <v>0</v>
      </c>
      <c r="Q154" s="30" t="str">
        <f t="shared" si="8"/>
        <v/>
      </c>
      <c r="R154" s="17" t="str">
        <f t="shared" si="9"/>
        <v>SW NOT INSTALLED</v>
      </c>
      <c r="S154" s="17" t="str">
        <f t="shared" si="10"/>
        <v/>
      </c>
      <c r="T154" s="17" t="str">
        <f t="shared" si="11"/>
        <v>SW NOT INSTALLED</v>
      </c>
    </row>
    <row r="155" spans="1:20">
      <c r="A155" s="30">
        <f>'12 - Device_Configuration'!H156</f>
        <v>0</v>
      </c>
      <c r="B155" s="30">
        <f>'12 - Device_Configuration'!S156</f>
        <v>0</v>
      </c>
      <c r="C155" s="30">
        <f>'12 - Device_Configuration'!T156</f>
        <v>0</v>
      </c>
      <c r="D155" s="17">
        <f>'12 - Device_Configuration'!AJ156</f>
        <v>0</v>
      </c>
      <c r="E155" s="17">
        <f>'12 - Device_Configuration'!J156</f>
        <v>0</v>
      </c>
      <c r="F155" s="30">
        <f>'12 - Device_Configuration'!K156</f>
        <v>0</v>
      </c>
      <c r="G155" s="17">
        <f>'12 - Device_Configuration'!L156</f>
        <v>0</v>
      </c>
      <c r="H155" s="17">
        <f>'13 - Config_Intake_View'!M155</f>
        <v>0</v>
      </c>
      <c r="I155" s="30">
        <f>IF('13 - Config_Intake_View'!Q155&lt;&gt;"",'13 - Config_Intake_View'!Q155,'12 - Device_Configuration'!BH156)</f>
        <v>0</v>
      </c>
      <c r="J155" s="17" t="str">
        <f>IF('13 - Config_Intake_View'!Q155&lt;&gt;"","PM Approved",IF('12 - Device_Configuration'!BH156&lt;&gt;"","Assumed",""))</f>
        <v/>
      </c>
      <c r="K155" s="30">
        <f>'12 - Device_Configuration'!BG156</f>
        <v>0</v>
      </c>
      <c r="L155" s="17">
        <f>'12 - Device_Configuration'!P156</f>
        <v>0</v>
      </c>
      <c r="M155" s="17">
        <f>'12 - Device_Configuration'!Q156</f>
        <v>0</v>
      </c>
      <c r="N155" s="17" t="str">
        <f>'12 - Device_Configuration'!BK156</f>
        <v/>
      </c>
      <c r="O155" s="30" t="str">
        <f>'12 - Device_Configuration'!BL156</f>
        <v/>
      </c>
      <c r="P155" s="2">
        <f>'12 - Device_Configuration'!BA156</f>
        <v>0</v>
      </c>
      <c r="Q155" s="30" t="str">
        <f t="shared" si="8"/>
        <v/>
      </c>
      <c r="R155" s="17" t="str">
        <f t="shared" si="9"/>
        <v>SW NOT INSTALLED</v>
      </c>
      <c r="S155" s="17" t="str">
        <f t="shared" si="10"/>
        <v/>
      </c>
      <c r="T155" s="17" t="str">
        <f t="shared" si="11"/>
        <v>SW NOT INSTALLED</v>
      </c>
    </row>
    <row r="156" spans="1:20">
      <c r="A156" s="30">
        <f>'12 - Device_Configuration'!H157</f>
        <v>0</v>
      </c>
      <c r="B156" s="30">
        <f>'12 - Device_Configuration'!S157</f>
        <v>0</v>
      </c>
      <c r="C156" s="30">
        <f>'12 - Device_Configuration'!T157</f>
        <v>0</v>
      </c>
      <c r="D156" s="17">
        <f>'12 - Device_Configuration'!AJ157</f>
        <v>0</v>
      </c>
      <c r="E156" s="17">
        <f>'12 - Device_Configuration'!J157</f>
        <v>0</v>
      </c>
      <c r="F156" s="30">
        <f>'12 - Device_Configuration'!K157</f>
        <v>0</v>
      </c>
      <c r="G156" s="17">
        <f>'12 - Device_Configuration'!L157</f>
        <v>0</v>
      </c>
      <c r="H156" s="17">
        <f>'13 - Config_Intake_View'!M156</f>
        <v>0</v>
      </c>
      <c r="I156" s="30">
        <f>IF('13 - Config_Intake_View'!Q156&lt;&gt;"",'13 - Config_Intake_View'!Q156,'12 - Device_Configuration'!BH157)</f>
        <v>0</v>
      </c>
      <c r="J156" s="17" t="str">
        <f>IF('13 - Config_Intake_View'!Q156&lt;&gt;"","PM Approved",IF('12 - Device_Configuration'!BH157&lt;&gt;"","Assumed",""))</f>
        <v/>
      </c>
      <c r="K156" s="30">
        <f>'12 - Device_Configuration'!BG157</f>
        <v>0</v>
      </c>
      <c r="L156" s="17">
        <f>'12 - Device_Configuration'!P157</f>
        <v>0</v>
      </c>
      <c r="M156" s="17">
        <f>'12 - Device_Configuration'!Q157</f>
        <v>0</v>
      </c>
      <c r="N156" s="17" t="str">
        <f>'12 - Device_Configuration'!BK157</f>
        <v/>
      </c>
      <c r="O156" s="30" t="str">
        <f>'12 - Device_Configuration'!BL157</f>
        <v/>
      </c>
      <c r="P156" s="2">
        <f>'12 - Device_Configuration'!BA157</f>
        <v>0</v>
      </c>
      <c r="Q156" s="30" t="str">
        <f t="shared" si="8"/>
        <v/>
      </c>
      <c r="R156" s="17" t="str">
        <f t="shared" si="9"/>
        <v>SW NOT INSTALLED</v>
      </c>
      <c r="S156" s="17" t="str">
        <f t="shared" si="10"/>
        <v/>
      </c>
      <c r="T156" s="17" t="str">
        <f t="shared" si="11"/>
        <v>SW NOT INSTALLED</v>
      </c>
    </row>
    <row r="157" spans="1:20">
      <c r="A157" s="30">
        <f>'12 - Device_Configuration'!H158</f>
        <v>0</v>
      </c>
      <c r="B157" s="30">
        <f>'12 - Device_Configuration'!S158</f>
        <v>0</v>
      </c>
      <c r="C157" s="30">
        <f>'12 - Device_Configuration'!T158</f>
        <v>0</v>
      </c>
      <c r="D157" s="17">
        <f>'12 - Device_Configuration'!AJ158</f>
        <v>0</v>
      </c>
      <c r="E157" s="17">
        <f>'12 - Device_Configuration'!J158</f>
        <v>0</v>
      </c>
      <c r="F157" s="30">
        <f>'12 - Device_Configuration'!K158</f>
        <v>0</v>
      </c>
      <c r="G157" s="17">
        <f>'12 - Device_Configuration'!L158</f>
        <v>0</v>
      </c>
      <c r="H157" s="17">
        <f>'13 - Config_Intake_View'!M157</f>
        <v>0</v>
      </c>
      <c r="I157" s="30">
        <f>IF('13 - Config_Intake_View'!Q157&lt;&gt;"",'13 - Config_Intake_View'!Q157,'12 - Device_Configuration'!BH158)</f>
        <v>0</v>
      </c>
      <c r="J157" s="17" t="str">
        <f>IF('13 - Config_Intake_View'!Q157&lt;&gt;"","PM Approved",IF('12 - Device_Configuration'!BH158&lt;&gt;"","Assumed",""))</f>
        <v/>
      </c>
      <c r="K157" s="30">
        <f>'12 - Device_Configuration'!BG158</f>
        <v>0</v>
      </c>
      <c r="L157" s="17">
        <f>'12 - Device_Configuration'!P158</f>
        <v>0</v>
      </c>
      <c r="M157" s="17">
        <f>'12 - Device_Configuration'!Q158</f>
        <v>0</v>
      </c>
      <c r="N157" s="17" t="str">
        <f>'12 - Device_Configuration'!BK158</f>
        <v/>
      </c>
      <c r="O157" s="30" t="str">
        <f>'12 - Device_Configuration'!BL158</f>
        <v/>
      </c>
      <c r="P157" s="2">
        <f>'12 - Device_Configuration'!BA158</f>
        <v>0</v>
      </c>
      <c r="Q157" s="30" t="str">
        <f t="shared" si="8"/>
        <v/>
      </c>
      <c r="R157" s="17" t="str">
        <f t="shared" si="9"/>
        <v>SW NOT INSTALLED</v>
      </c>
      <c r="S157" s="17" t="str">
        <f t="shared" si="10"/>
        <v/>
      </c>
      <c r="T157" s="17" t="str">
        <f t="shared" si="11"/>
        <v>SW NOT INSTALLED</v>
      </c>
    </row>
    <row r="158" spans="1:20">
      <c r="A158" s="30">
        <f>'12 - Device_Configuration'!H159</f>
        <v>0</v>
      </c>
      <c r="B158" s="30">
        <f>'12 - Device_Configuration'!S159</f>
        <v>0</v>
      </c>
      <c r="C158" s="30">
        <f>'12 - Device_Configuration'!T159</f>
        <v>0</v>
      </c>
      <c r="D158" s="17">
        <f>'12 - Device_Configuration'!AJ159</f>
        <v>0</v>
      </c>
      <c r="E158" s="17">
        <f>'12 - Device_Configuration'!J159</f>
        <v>0</v>
      </c>
      <c r="F158" s="30">
        <f>'12 - Device_Configuration'!K159</f>
        <v>0</v>
      </c>
      <c r="G158" s="17">
        <f>'12 - Device_Configuration'!L159</f>
        <v>0</v>
      </c>
      <c r="H158" s="17">
        <f>'13 - Config_Intake_View'!M158</f>
        <v>0</v>
      </c>
      <c r="I158" s="30">
        <f>IF('13 - Config_Intake_View'!Q158&lt;&gt;"",'13 - Config_Intake_View'!Q158,'12 - Device_Configuration'!BH159)</f>
        <v>0</v>
      </c>
      <c r="J158" s="17" t="str">
        <f>IF('13 - Config_Intake_View'!Q158&lt;&gt;"","PM Approved",IF('12 - Device_Configuration'!BH159&lt;&gt;"","Assumed",""))</f>
        <v/>
      </c>
      <c r="K158" s="30">
        <f>'12 - Device_Configuration'!BG159</f>
        <v>0</v>
      </c>
      <c r="L158" s="17">
        <f>'12 - Device_Configuration'!P159</f>
        <v>0</v>
      </c>
      <c r="M158" s="17">
        <f>'12 - Device_Configuration'!Q159</f>
        <v>0</v>
      </c>
      <c r="N158" s="17" t="str">
        <f>'12 - Device_Configuration'!BK159</f>
        <v/>
      </c>
      <c r="O158" s="30" t="str">
        <f>'12 - Device_Configuration'!BL159</f>
        <v/>
      </c>
      <c r="P158" s="2">
        <f>'12 - Device_Configuration'!BA159</f>
        <v>0</v>
      </c>
      <c r="Q158" s="30" t="str">
        <f t="shared" si="8"/>
        <v/>
      </c>
      <c r="R158" s="17" t="str">
        <f t="shared" si="9"/>
        <v>SW NOT INSTALLED</v>
      </c>
      <c r="S158" s="17" t="str">
        <f t="shared" si="10"/>
        <v/>
      </c>
      <c r="T158" s="17" t="str">
        <f t="shared" si="11"/>
        <v>SW NOT INSTALLED</v>
      </c>
    </row>
    <row r="159" spans="1:20">
      <c r="A159" s="30">
        <f>'12 - Device_Configuration'!H160</f>
        <v>0</v>
      </c>
      <c r="B159" s="30">
        <f>'12 - Device_Configuration'!S160</f>
        <v>0</v>
      </c>
      <c r="C159" s="30">
        <f>'12 - Device_Configuration'!T160</f>
        <v>0</v>
      </c>
      <c r="D159" s="17">
        <f>'12 - Device_Configuration'!AJ160</f>
        <v>0</v>
      </c>
      <c r="E159" s="17">
        <f>'12 - Device_Configuration'!J160</f>
        <v>0</v>
      </c>
      <c r="F159" s="30">
        <f>'12 - Device_Configuration'!K160</f>
        <v>0</v>
      </c>
      <c r="G159" s="17">
        <f>'12 - Device_Configuration'!L160</f>
        <v>0</v>
      </c>
      <c r="H159" s="17">
        <f>'13 - Config_Intake_View'!M159</f>
        <v>0</v>
      </c>
      <c r="I159" s="30">
        <f>IF('13 - Config_Intake_View'!Q159&lt;&gt;"",'13 - Config_Intake_View'!Q159,'12 - Device_Configuration'!BH160)</f>
        <v>0</v>
      </c>
      <c r="J159" s="17" t="str">
        <f>IF('13 - Config_Intake_View'!Q159&lt;&gt;"","PM Approved",IF('12 - Device_Configuration'!BH160&lt;&gt;"","Assumed",""))</f>
        <v/>
      </c>
      <c r="K159" s="30">
        <f>'12 - Device_Configuration'!BG160</f>
        <v>0</v>
      </c>
      <c r="L159" s="17">
        <f>'12 - Device_Configuration'!P160</f>
        <v>0</v>
      </c>
      <c r="M159" s="17">
        <f>'12 - Device_Configuration'!Q160</f>
        <v>0</v>
      </c>
      <c r="N159" s="17" t="str">
        <f>'12 - Device_Configuration'!BK160</f>
        <v/>
      </c>
      <c r="O159" s="30" t="str">
        <f>'12 - Device_Configuration'!BL160</f>
        <v/>
      </c>
      <c r="P159" s="2">
        <f>'12 - Device_Configuration'!BA160</f>
        <v>0</v>
      </c>
      <c r="Q159" s="30" t="str">
        <f t="shared" si="8"/>
        <v/>
      </c>
      <c r="R159" s="17" t="str">
        <f t="shared" si="9"/>
        <v>SW NOT INSTALLED</v>
      </c>
      <c r="S159" s="17" t="str">
        <f t="shared" si="10"/>
        <v/>
      </c>
      <c r="T159" s="17" t="str">
        <f t="shared" si="11"/>
        <v>SW NOT INSTALLED</v>
      </c>
    </row>
    <row r="160" spans="1:20">
      <c r="A160" s="30">
        <f>'12 - Device_Configuration'!H161</f>
        <v>0</v>
      </c>
      <c r="B160" s="30">
        <f>'12 - Device_Configuration'!S161</f>
        <v>0</v>
      </c>
      <c r="C160" s="30">
        <f>'12 - Device_Configuration'!T161</f>
        <v>0</v>
      </c>
      <c r="D160" s="17">
        <f>'12 - Device_Configuration'!AJ161</f>
        <v>0</v>
      </c>
      <c r="E160" s="17">
        <f>'12 - Device_Configuration'!J161</f>
        <v>0</v>
      </c>
      <c r="F160" s="30">
        <f>'12 - Device_Configuration'!K161</f>
        <v>0</v>
      </c>
      <c r="G160" s="17">
        <f>'12 - Device_Configuration'!L161</f>
        <v>0</v>
      </c>
      <c r="H160" s="17">
        <f>'13 - Config_Intake_View'!M160</f>
        <v>0</v>
      </c>
      <c r="I160" s="30">
        <f>IF('13 - Config_Intake_View'!Q160&lt;&gt;"",'13 - Config_Intake_View'!Q160,'12 - Device_Configuration'!BH161)</f>
        <v>0</v>
      </c>
      <c r="J160" s="17" t="str">
        <f>IF('13 - Config_Intake_View'!Q160&lt;&gt;"","PM Approved",IF('12 - Device_Configuration'!BH161&lt;&gt;"","Assumed",""))</f>
        <v/>
      </c>
      <c r="K160" s="30">
        <f>'12 - Device_Configuration'!BG161</f>
        <v>0</v>
      </c>
      <c r="L160" s="17">
        <f>'12 - Device_Configuration'!P161</f>
        <v>0</v>
      </c>
      <c r="M160" s="17">
        <f>'12 - Device_Configuration'!Q161</f>
        <v>0</v>
      </c>
      <c r="N160" s="17" t="str">
        <f>'12 - Device_Configuration'!BK161</f>
        <v/>
      </c>
      <c r="O160" s="30" t="str">
        <f>'12 - Device_Configuration'!BL161</f>
        <v/>
      </c>
      <c r="P160" s="2">
        <f>'12 - Device_Configuration'!BA161</f>
        <v>0</v>
      </c>
      <c r="Q160" s="30" t="str">
        <f t="shared" si="8"/>
        <v/>
      </c>
      <c r="R160" s="17" t="str">
        <f t="shared" si="9"/>
        <v>SW NOT INSTALLED</v>
      </c>
      <c r="S160" s="17" t="str">
        <f t="shared" si="10"/>
        <v/>
      </c>
      <c r="T160" s="17" t="str">
        <f t="shared" si="11"/>
        <v>SW NOT INSTALLED</v>
      </c>
    </row>
    <row r="161" spans="1:20">
      <c r="A161" s="30">
        <f>'12 - Device_Configuration'!H162</f>
        <v>0</v>
      </c>
      <c r="B161" s="30">
        <f>'12 - Device_Configuration'!S162</f>
        <v>0</v>
      </c>
      <c r="C161" s="30">
        <f>'12 - Device_Configuration'!T162</f>
        <v>0</v>
      </c>
      <c r="D161" s="17">
        <f>'12 - Device_Configuration'!AJ162</f>
        <v>0</v>
      </c>
      <c r="E161" s="17">
        <f>'12 - Device_Configuration'!J162</f>
        <v>0</v>
      </c>
      <c r="F161" s="30">
        <f>'12 - Device_Configuration'!K162</f>
        <v>0</v>
      </c>
      <c r="G161" s="17">
        <f>'12 - Device_Configuration'!L162</f>
        <v>0</v>
      </c>
      <c r="H161" s="17">
        <f>'13 - Config_Intake_View'!M161</f>
        <v>0</v>
      </c>
      <c r="I161" s="30">
        <f>IF('13 - Config_Intake_View'!Q161&lt;&gt;"",'13 - Config_Intake_View'!Q161,'12 - Device_Configuration'!BH162)</f>
        <v>0</v>
      </c>
      <c r="J161" s="17" t="str">
        <f>IF('13 - Config_Intake_View'!Q161&lt;&gt;"","PM Approved",IF('12 - Device_Configuration'!BH162&lt;&gt;"","Assumed",""))</f>
        <v/>
      </c>
      <c r="K161" s="30">
        <f>'12 - Device_Configuration'!BG162</f>
        <v>0</v>
      </c>
      <c r="L161" s="17">
        <f>'12 - Device_Configuration'!P162</f>
        <v>0</v>
      </c>
      <c r="M161" s="17">
        <f>'12 - Device_Configuration'!Q162</f>
        <v>0</v>
      </c>
      <c r="N161" s="17" t="str">
        <f>'12 - Device_Configuration'!BK162</f>
        <v/>
      </c>
      <c r="O161" s="30" t="str">
        <f>'12 - Device_Configuration'!BL162</f>
        <v/>
      </c>
      <c r="P161" s="2">
        <f>'12 - Device_Configuration'!BA162</f>
        <v>0</v>
      </c>
      <c r="Q161" s="30" t="str">
        <f t="shared" si="8"/>
        <v/>
      </c>
      <c r="R161" s="17" t="str">
        <f t="shared" si="9"/>
        <v>SW NOT INSTALLED</v>
      </c>
      <c r="S161" s="17" t="str">
        <f t="shared" si="10"/>
        <v/>
      </c>
      <c r="T161" s="17" t="str">
        <f t="shared" si="11"/>
        <v>SW NOT INSTALLED</v>
      </c>
    </row>
    <row r="162" spans="1:20">
      <c r="A162" s="30">
        <f>'12 - Device_Configuration'!H163</f>
        <v>0</v>
      </c>
      <c r="B162" s="30">
        <f>'12 - Device_Configuration'!S163</f>
        <v>0</v>
      </c>
      <c r="C162" s="30">
        <f>'12 - Device_Configuration'!T163</f>
        <v>0</v>
      </c>
      <c r="D162" s="17">
        <f>'12 - Device_Configuration'!AJ163</f>
        <v>0</v>
      </c>
      <c r="E162" s="17">
        <f>'12 - Device_Configuration'!J163</f>
        <v>0</v>
      </c>
      <c r="F162" s="30">
        <f>'12 - Device_Configuration'!K163</f>
        <v>0</v>
      </c>
      <c r="G162" s="17">
        <f>'12 - Device_Configuration'!L163</f>
        <v>0</v>
      </c>
      <c r="H162" s="17">
        <f>'13 - Config_Intake_View'!M162</f>
        <v>0</v>
      </c>
      <c r="I162" s="30">
        <f>IF('13 - Config_Intake_View'!Q162&lt;&gt;"",'13 - Config_Intake_View'!Q162,'12 - Device_Configuration'!BH163)</f>
        <v>0</v>
      </c>
      <c r="J162" s="17" t="str">
        <f>IF('13 - Config_Intake_View'!Q162&lt;&gt;"","PM Approved",IF('12 - Device_Configuration'!BH163&lt;&gt;"","Assumed",""))</f>
        <v/>
      </c>
      <c r="K162" s="30">
        <f>'12 - Device_Configuration'!BG163</f>
        <v>0</v>
      </c>
      <c r="L162" s="17">
        <f>'12 - Device_Configuration'!P163</f>
        <v>0</v>
      </c>
      <c r="M162" s="17">
        <f>'12 - Device_Configuration'!Q163</f>
        <v>0</v>
      </c>
      <c r="N162" s="17" t="str">
        <f>'12 - Device_Configuration'!BK163</f>
        <v/>
      </c>
      <c r="O162" s="30" t="str">
        <f>'12 - Device_Configuration'!BL163</f>
        <v/>
      </c>
      <c r="P162" s="2">
        <f>'12 - Device_Configuration'!BA163</f>
        <v>0</v>
      </c>
      <c r="Q162" s="30" t="str">
        <f t="shared" si="8"/>
        <v/>
      </c>
      <c r="R162" s="17" t="str">
        <f t="shared" si="9"/>
        <v>SW NOT INSTALLED</v>
      </c>
      <c r="S162" s="17" t="str">
        <f t="shared" si="10"/>
        <v/>
      </c>
      <c r="T162" s="17" t="str">
        <f t="shared" si="11"/>
        <v>SW NOT INSTALLED</v>
      </c>
    </row>
    <row r="163" spans="1:20">
      <c r="A163" s="30">
        <f>'12 - Device_Configuration'!H164</f>
        <v>0</v>
      </c>
      <c r="B163" s="30">
        <f>'12 - Device_Configuration'!S164</f>
        <v>0</v>
      </c>
      <c r="C163" s="30">
        <f>'12 - Device_Configuration'!T164</f>
        <v>0</v>
      </c>
      <c r="D163" s="17">
        <f>'12 - Device_Configuration'!AJ164</f>
        <v>0</v>
      </c>
      <c r="E163" s="17">
        <f>'12 - Device_Configuration'!J164</f>
        <v>0</v>
      </c>
      <c r="F163" s="30">
        <f>'12 - Device_Configuration'!K164</f>
        <v>0</v>
      </c>
      <c r="G163" s="17">
        <f>'12 - Device_Configuration'!L164</f>
        <v>0</v>
      </c>
      <c r="H163" s="17">
        <f>'13 - Config_Intake_View'!M163</f>
        <v>0</v>
      </c>
      <c r="I163" s="30">
        <f>IF('13 - Config_Intake_View'!Q163&lt;&gt;"",'13 - Config_Intake_View'!Q163,'12 - Device_Configuration'!BH164)</f>
        <v>0</v>
      </c>
      <c r="J163" s="17" t="str">
        <f>IF('13 - Config_Intake_View'!Q163&lt;&gt;"","PM Approved",IF('12 - Device_Configuration'!BH164&lt;&gt;"","Assumed",""))</f>
        <v/>
      </c>
      <c r="K163" s="30">
        <f>'12 - Device_Configuration'!BG164</f>
        <v>0</v>
      </c>
      <c r="L163" s="17">
        <f>'12 - Device_Configuration'!P164</f>
        <v>0</v>
      </c>
      <c r="M163" s="17">
        <f>'12 - Device_Configuration'!Q164</f>
        <v>0</v>
      </c>
      <c r="N163" s="17" t="str">
        <f>'12 - Device_Configuration'!BK164</f>
        <v/>
      </c>
      <c r="O163" s="30" t="str">
        <f>'12 - Device_Configuration'!BL164</f>
        <v/>
      </c>
      <c r="P163" s="2">
        <f>'12 - Device_Configuration'!BA164</f>
        <v>0</v>
      </c>
      <c r="Q163" s="30" t="str">
        <f t="shared" si="8"/>
        <v/>
      </c>
      <c r="R163" s="17" t="str">
        <f t="shared" si="9"/>
        <v>SW NOT INSTALLED</v>
      </c>
      <c r="S163" s="17" t="str">
        <f t="shared" si="10"/>
        <v/>
      </c>
      <c r="T163" s="17" t="str">
        <f t="shared" si="11"/>
        <v>SW NOT INSTALLED</v>
      </c>
    </row>
    <row r="164" spans="1:20">
      <c r="A164" s="30">
        <f>'12 - Device_Configuration'!H165</f>
        <v>0</v>
      </c>
      <c r="B164" s="30">
        <f>'12 - Device_Configuration'!S165</f>
        <v>0</v>
      </c>
      <c r="C164" s="30">
        <f>'12 - Device_Configuration'!T165</f>
        <v>0</v>
      </c>
      <c r="D164" s="17">
        <f>'12 - Device_Configuration'!AJ165</f>
        <v>0</v>
      </c>
      <c r="E164" s="17">
        <f>'12 - Device_Configuration'!J165</f>
        <v>0</v>
      </c>
      <c r="F164" s="30">
        <f>'12 - Device_Configuration'!K165</f>
        <v>0</v>
      </c>
      <c r="G164" s="17">
        <f>'12 - Device_Configuration'!L165</f>
        <v>0</v>
      </c>
      <c r="H164" s="17">
        <f>'13 - Config_Intake_View'!M164</f>
        <v>0</v>
      </c>
      <c r="I164" s="30">
        <f>IF('13 - Config_Intake_View'!Q164&lt;&gt;"",'13 - Config_Intake_View'!Q164,'12 - Device_Configuration'!BH165)</f>
        <v>0</v>
      </c>
      <c r="J164" s="17" t="str">
        <f>IF('13 - Config_Intake_View'!Q164&lt;&gt;"","PM Approved",IF('12 - Device_Configuration'!BH165&lt;&gt;"","Assumed",""))</f>
        <v/>
      </c>
      <c r="K164" s="30">
        <f>'12 - Device_Configuration'!BG165</f>
        <v>0</v>
      </c>
      <c r="L164" s="17">
        <f>'12 - Device_Configuration'!P165</f>
        <v>0</v>
      </c>
      <c r="M164" s="17">
        <f>'12 - Device_Configuration'!Q165</f>
        <v>0</v>
      </c>
      <c r="N164" s="17" t="str">
        <f>'12 - Device_Configuration'!BK165</f>
        <v/>
      </c>
      <c r="O164" s="30" t="str">
        <f>'12 - Device_Configuration'!BL165</f>
        <v/>
      </c>
      <c r="P164" s="2">
        <f>'12 - Device_Configuration'!BA165</f>
        <v>0</v>
      </c>
      <c r="Q164" s="30" t="str">
        <f t="shared" si="8"/>
        <v/>
      </c>
      <c r="R164" s="17" t="str">
        <f t="shared" si="9"/>
        <v>SW NOT INSTALLED</v>
      </c>
      <c r="S164" s="17" t="str">
        <f t="shared" si="10"/>
        <v/>
      </c>
      <c r="T164" s="17" t="str">
        <f t="shared" si="11"/>
        <v>SW NOT INSTALLED</v>
      </c>
    </row>
    <row r="165" spans="1:20">
      <c r="A165" s="30">
        <f>'12 - Device_Configuration'!H166</f>
        <v>0</v>
      </c>
      <c r="B165" s="30">
        <f>'12 - Device_Configuration'!S166</f>
        <v>0</v>
      </c>
      <c r="C165" s="30">
        <f>'12 - Device_Configuration'!T166</f>
        <v>0</v>
      </c>
      <c r="D165" s="17">
        <f>'12 - Device_Configuration'!AJ166</f>
        <v>0</v>
      </c>
      <c r="E165" s="17">
        <f>'12 - Device_Configuration'!J166</f>
        <v>0</v>
      </c>
      <c r="F165" s="30">
        <f>'12 - Device_Configuration'!K166</f>
        <v>0</v>
      </c>
      <c r="G165" s="17">
        <f>'12 - Device_Configuration'!L166</f>
        <v>0</v>
      </c>
      <c r="H165" s="17">
        <f>'13 - Config_Intake_View'!M165</f>
        <v>0</v>
      </c>
      <c r="I165" s="30">
        <f>IF('13 - Config_Intake_View'!Q165&lt;&gt;"",'13 - Config_Intake_View'!Q165,'12 - Device_Configuration'!BH166)</f>
        <v>0</v>
      </c>
      <c r="J165" s="17" t="str">
        <f>IF('13 - Config_Intake_View'!Q165&lt;&gt;"","PM Approved",IF('12 - Device_Configuration'!BH166&lt;&gt;"","Assumed",""))</f>
        <v/>
      </c>
      <c r="K165" s="30">
        <f>'12 - Device_Configuration'!BG166</f>
        <v>0</v>
      </c>
      <c r="L165" s="17">
        <f>'12 - Device_Configuration'!P166</f>
        <v>0</v>
      </c>
      <c r="M165" s="17">
        <f>'12 - Device_Configuration'!Q166</f>
        <v>0</v>
      </c>
      <c r="N165" s="17" t="str">
        <f>'12 - Device_Configuration'!BK166</f>
        <v/>
      </c>
      <c r="O165" s="30" t="str">
        <f>'12 - Device_Configuration'!BL166</f>
        <v/>
      </c>
      <c r="P165" s="2">
        <f>'12 - Device_Configuration'!BA166</f>
        <v>0</v>
      </c>
      <c r="Q165" s="30" t="str">
        <f t="shared" si="8"/>
        <v/>
      </c>
      <c r="R165" s="17" t="str">
        <f t="shared" si="9"/>
        <v>SW NOT INSTALLED</v>
      </c>
      <c r="S165" s="17" t="str">
        <f t="shared" si="10"/>
        <v/>
      </c>
      <c r="T165" s="17" t="str">
        <f t="shared" si="11"/>
        <v>SW NOT INSTALLED</v>
      </c>
    </row>
    <row r="166" spans="1:20">
      <c r="A166" s="30">
        <f>'12 - Device_Configuration'!H167</f>
        <v>0</v>
      </c>
      <c r="B166" s="30">
        <f>'12 - Device_Configuration'!S167</f>
        <v>0</v>
      </c>
      <c r="C166" s="30">
        <f>'12 - Device_Configuration'!T167</f>
        <v>0</v>
      </c>
      <c r="D166" s="17">
        <f>'12 - Device_Configuration'!AJ167</f>
        <v>0</v>
      </c>
      <c r="E166" s="17">
        <f>'12 - Device_Configuration'!J167</f>
        <v>0</v>
      </c>
      <c r="F166" s="30">
        <f>'12 - Device_Configuration'!K167</f>
        <v>0</v>
      </c>
      <c r="G166" s="17">
        <f>'12 - Device_Configuration'!L167</f>
        <v>0</v>
      </c>
      <c r="H166" s="17">
        <f>'13 - Config_Intake_View'!M166</f>
        <v>0</v>
      </c>
      <c r="I166" s="30">
        <f>IF('13 - Config_Intake_View'!Q166&lt;&gt;"",'13 - Config_Intake_View'!Q166,'12 - Device_Configuration'!BH167)</f>
        <v>0</v>
      </c>
      <c r="J166" s="17" t="str">
        <f>IF('13 - Config_Intake_View'!Q166&lt;&gt;"","PM Approved",IF('12 - Device_Configuration'!BH167&lt;&gt;"","Assumed",""))</f>
        <v/>
      </c>
      <c r="K166" s="30">
        <f>'12 - Device_Configuration'!BG167</f>
        <v>0</v>
      </c>
      <c r="L166" s="17">
        <f>'12 - Device_Configuration'!P167</f>
        <v>0</v>
      </c>
      <c r="M166" s="17">
        <f>'12 - Device_Configuration'!Q167</f>
        <v>0</v>
      </c>
      <c r="N166" s="17" t="str">
        <f>'12 - Device_Configuration'!BK167</f>
        <v/>
      </c>
      <c r="O166" s="30" t="str">
        <f>'12 - Device_Configuration'!BL167</f>
        <v/>
      </c>
      <c r="P166" s="2">
        <f>'12 - Device_Configuration'!BA167</f>
        <v>0</v>
      </c>
      <c r="Q166" s="30" t="str">
        <f t="shared" si="8"/>
        <v/>
      </c>
      <c r="R166" s="17" t="str">
        <f t="shared" si="9"/>
        <v>SW NOT INSTALLED</v>
      </c>
      <c r="S166" s="17" t="str">
        <f t="shared" si="10"/>
        <v/>
      </c>
      <c r="T166" s="17" t="str">
        <f t="shared" si="11"/>
        <v>SW NOT INSTALLED</v>
      </c>
    </row>
    <row r="167" spans="1:20">
      <c r="A167" s="30">
        <f>'12 - Device_Configuration'!H168</f>
        <v>0</v>
      </c>
      <c r="B167" s="30">
        <f>'12 - Device_Configuration'!S168</f>
        <v>0</v>
      </c>
      <c r="C167" s="30">
        <f>'12 - Device_Configuration'!T168</f>
        <v>0</v>
      </c>
      <c r="D167" s="17">
        <f>'12 - Device_Configuration'!AJ168</f>
        <v>0</v>
      </c>
      <c r="E167" s="17">
        <f>'12 - Device_Configuration'!J168</f>
        <v>0</v>
      </c>
      <c r="F167" s="30">
        <f>'12 - Device_Configuration'!K168</f>
        <v>0</v>
      </c>
      <c r="G167" s="17">
        <f>'12 - Device_Configuration'!L168</f>
        <v>0</v>
      </c>
      <c r="H167" s="17">
        <f>'13 - Config_Intake_View'!M167</f>
        <v>0</v>
      </c>
      <c r="I167" s="30">
        <f>IF('13 - Config_Intake_View'!Q167&lt;&gt;"",'13 - Config_Intake_View'!Q167,'12 - Device_Configuration'!BH168)</f>
        <v>0</v>
      </c>
      <c r="J167" s="17" t="str">
        <f>IF('13 - Config_Intake_View'!Q167&lt;&gt;"","PM Approved",IF('12 - Device_Configuration'!BH168&lt;&gt;"","Assumed",""))</f>
        <v/>
      </c>
      <c r="K167" s="30">
        <f>'12 - Device_Configuration'!BG168</f>
        <v>0</v>
      </c>
      <c r="L167" s="17">
        <f>'12 - Device_Configuration'!P168</f>
        <v>0</v>
      </c>
      <c r="M167" s="17">
        <f>'12 - Device_Configuration'!Q168</f>
        <v>0</v>
      </c>
      <c r="N167" s="17" t="str">
        <f>'12 - Device_Configuration'!BK168</f>
        <v/>
      </c>
      <c r="O167" s="30" t="str">
        <f>'12 - Device_Configuration'!BL168</f>
        <v/>
      </c>
      <c r="P167" s="2">
        <f>'12 - Device_Configuration'!BA168</f>
        <v>0</v>
      </c>
      <c r="Q167" s="30" t="str">
        <f t="shared" si="8"/>
        <v/>
      </c>
      <c r="R167" s="17" t="str">
        <f t="shared" si="9"/>
        <v>SW NOT INSTALLED</v>
      </c>
      <c r="S167" s="17" t="str">
        <f t="shared" si="10"/>
        <v/>
      </c>
      <c r="T167" s="17" t="str">
        <f t="shared" si="11"/>
        <v>SW NOT INSTALLED</v>
      </c>
    </row>
    <row r="168" spans="1:20">
      <c r="A168" s="30">
        <f>'12 - Device_Configuration'!H169</f>
        <v>0</v>
      </c>
      <c r="B168" s="30">
        <f>'12 - Device_Configuration'!S169</f>
        <v>0</v>
      </c>
      <c r="C168" s="30">
        <f>'12 - Device_Configuration'!T169</f>
        <v>0</v>
      </c>
      <c r="D168" s="17">
        <f>'12 - Device_Configuration'!AJ169</f>
        <v>0</v>
      </c>
      <c r="E168" s="17">
        <f>'12 - Device_Configuration'!J169</f>
        <v>0</v>
      </c>
      <c r="F168" s="30">
        <f>'12 - Device_Configuration'!K169</f>
        <v>0</v>
      </c>
      <c r="G168" s="17">
        <f>'12 - Device_Configuration'!L169</f>
        <v>0</v>
      </c>
      <c r="H168" s="17">
        <f>'13 - Config_Intake_View'!M168</f>
        <v>0</v>
      </c>
      <c r="I168" s="30">
        <f>IF('13 - Config_Intake_View'!Q168&lt;&gt;"",'13 - Config_Intake_View'!Q168,'12 - Device_Configuration'!BH169)</f>
        <v>0</v>
      </c>
      <c r="J168" s="17" t="str">
        <f>IF('13 - Config_Intake_View'!Q168&lt;&gt;"","PM Approved",IF('12 - Device_Configuration'!BH169&lt;&gt;"","Assumed",""))</f>
        <v/>
      </c>
      <c r="K168" s="30">
        <f>'12 - Device_Configuration'!BG169</f>
        <v>0</v>
      </c>
      <c r="L168" s="17">
        <f>'12 - Device_Configuration'!P169</f>
        <v>0</v>
      </c>
      <c r="M168" s="17">
        <f>'12 - Device_Configuration'!Q169</f>
        <v>0</v>
      </c>
      <c r="N168" s="17" t="str">
        <f>'12 - Device_Configuration'!BK169</f>
        <v/>
      </c>
      <c r="O168" s="30" t="str">
        <f>'12 - Device_Configuration'!BL169</f>
        <v/>
      </c>
      <c r="P168" s="2">
        <f>'12 - Device_Configuration'!BA169</f>
        <v>0</v>
      </c>
      <c r="Q168" s="30" t="str">
        <f t="shared" si="8"/>
        <v/>
      </c>
      <c r="R168" s="17" t="str">
        <f t="shared" si="9"/>
        <v>SW NOT INSTALLED</v>
      </c>
      <c r="S168" s="17" t="str">
        <f t="shared" si="10"/>
        <v/>
      </c>
      <c r="T168" s="17" t="str">
        <f t="shared" si="11"/>
        <v>SW NOT INSTALLED</v>
      </c>
    </row>
    <row r="169" spans="1:20">
      <c r="A169" s="30">
        <f>'12 - Device_Configuration'!H170</f>
        <v>0</v>
      </c>
      <c r="B169" s="30">
        <f>'12 - Device_Configuration'!S170</f>
        <v>0</v>
      </c>
      <c r="C169" s="30">
        <f>'12 - Device_Configuration'!T170</f>
        <v>0</v>
      </c>
      <c r="D169" s="17">
        <f>'12 - Device_Configuration'!AJ170</f>
        <v>0</v>
      </c>
      <c r="E169" s="17">
        <f>'12 - Device_Configuration'!J170</f>
        <v>0</v>
      </c>
      <c r="F169" s="30">
        <f>'12 - Device_Configuration'!K170</f>
        <v>0</v>
      </c>
      <c r="G169" s="17">
        <f>'12 - Device_Configuration'!L170</f>
        <v>0</v>
      </c>
      <c r="H169" s="17">
        <f>'13 - Config_Intake_View'!M169</f>
        <v>0</v>
      </c>
      <c r="I169" s="30">
        <f>IF('13 - Config_Intake_View'!Q169&lt;&gt;"",'13 - Config_Intake_View'!Q169,'12 - Device_Configuration'!BH170)</f>
        <v>0</v>
      </c>
      <c r="J169" s="17" t="str">
        <f>IF('13 - Config_Intake_View'!Q169&lt;&gt;"","PM Approved",IF('12 - Device_Configuration'!BH170&lt;&gt;"","Assumed",""))</f>
        <v/>
      </c>
      <c r="K169" s="30">
        <f>'12 - Device_Configuration'!BG170</f>
        <v>0</v>
      </c>
      <c r="L169" s="17">
        <f>'12 - Device_Configuration'!P170</f>
        <v>0</v>
      </c>
      <c r="M169" s="17">
        <f>'12 - Device_Configuration'!Q170</f>
        <v>0</v>
      </c>
      <c r="N169" s="17" t="str">
        <f>'12 - Device_Configuration'!BK170</f>
        <v/>
      </c>
      <c r="O169" s="30" t="str">
        <f>'12 - Device_Configuration'!BL170</f>
        <v/>
      </c>
      <c r="P169" s="2">
        <f>'12 - Device_Configuration'!BA170</f>
        <v>0</v>
      </c>
      <c r="Q169" s="30" t="str">
        <f t="shared" si="8"/>
        <v/>
      </c>
      <c r="R169" s="17" t="str">
        <f t="shared" si="9"/>
        <v>SW NOT INSTALLED</v>
      </c>
      <c r="S169" s="17" t="str">
        <f t="shared" si="10"/>
        <v/>
      </c>
      <c r="T169" s="17" t="str">
        <f t="shared" si="11"/>
        <v>SW NOT INSTALLED</v>
      </c>
    </row>
    <row r="170" spans="1:20">
      <c r="A170" s="30">
        <f>'12 - Device_Configuration'!H171</f>
        <v>0</v>
      </c>
      <c r="B170" s="30">
        <f>'12 - Device_Configuration'!S171</f>
        <v>0</v>
      </c>
      <c r="C170" s="30">
        <f>'12 - Device_Configuration'!T171</f>
        <v>0</v>
      </c>
      <c r="D170" s="17">
        <f>'12 - Device_Configuration'!AJ171</f>
        <v>0</v>
      </c>
      <c r="E170" s="17">
        <f>'12 - Device_Configuration'!J171</f>
        <v>0</v>
      </c>
      <c r="F170" s="30">
        <f>'12 - Device_Configuration'!K171</f>
        <v>0</v>
      </c>
      <c r="G170" s="17">
        <f>'12 - Device_Configuration'!L171</f>
        <v>0</v>
      </c>
      <c r="H170" s="17">
        <f>'13 - Config_Intake_View'!M170</f>
        <v>0</v>
      </c>
      <c r="I170" s="30">
        <f>IF('13 - Config_Intake_View'!Q170&lt;&gt;"",'13 - Config_Intake_View'!Q170,'12 - Device_Configuration'!BH171)</f>
        <v>0</v>
      </c>
      <c r="J170" s="17" t="str">
        <f>IF('13 - Config_Intake_View'!Q170&lt;&gt;"","PM Approved",IF('12 - Device_Configuration'!BH171&lt;&gt;"","Assumed",""))</f>
        <v/>
      </c>
      <c r="K170" s="30">
        <f>'12 - Device_Configuration'!BG171</f>
        <v>0</v>
      </c>
      <c r="L170" s="17">
        <f>'12 - Device_Configuration'!P171</f>
        <v>0</v>
      </c>
      <c r="M170" s="17">
        <f>'12 - Device_Configuration'!Q171</f>
        <v>0</v>
      </c>
      <c r="N170" s="17" t="str">
        <f>'12 - Device_Configuration'!BK171</f>
        <v/>
      </c>
      <c r="O170" s="30" t="str">
        <f>'12 - Device_Configuration'!BL171</f>
        <v/>
      </c>
      <c r="P170" s="2">
        <f>'12 - Device_Configuration'!BA171</f>
        <v>0</v>
      </c>
      <c r="Q170" s="30" t="str">
        <f t="shared" si="8"/>
        <v/>
      </c>
      <c r="R170" s="17" t="str">
        <f t="shared" si="9"/>
        <v>SW NOT INSTALLED</v>
      </c>
      <c r="S170" s="17" t="str">
        <f t="shared" si="10"/>
        <v/>
      </c>
      <c r="T170" s="17" t="str">
        <f t="shared" si="11"/>
        <v>SW NOT INSTALLED</v>
      </c>
    </row>
    <row r="171" spans="1:20">
      <c r="A171" s="30">
        <f>'12 - Device_Configuration'!H172</f>
        <v>0</v>
      </c>
      <c r="B171" s="30">
        <f>'12 - Device_Configuration'!S172</f>
        <v>0</v>
      </c>
      <c r="C171" s="30">
        <f>'12 - Device_Configuration'!T172</f>
        <v>0</v>
      </c>
      <c r="D171" s="17">
        <f>'12 - Device_Configuration'!AJ172</f>
        <v>0</v>
      </c>
      <c r="E171" s="17">
        <f>'12 - Device_Configuration'!J172</f>
        <v>0</v>
      </c>
      <c r="F171" s="30">
        <f>'12 - Device_Configuration'!K172</f>
        <v>0</v>
      </c>
      <c r="G171" s="17">
        <f>'12 - Device_Configuration'!L172</f>
        <v>0</v>
      </c>
      <c r="H171" s="17">
        <f>'13 - Config_Intake_View'!M171</f>
        <v>0</v>
      </c>
      <c r="I171" s="30">
        <f>IF('13 - Config_Intake_View'!Q171&lt;&gt;"",'13 - Config_Intake_View'!Q171,'12 - Device_Configuration'!BH172)</f>
        <v>0</v>
      </c>
      <c r="J171" s="17" t="str">
        <f>IF('13 - Config_Intake_View'!Q171&lt;&gt;"","PM Approved",IF('12 - Device_Configuration'!BH172&lt;&gt;"","Assumed",""))</f>
        <v/>
      </c>
      <c r="K171" s="30">
        <f>'12 - Device_Configuration'!BG172</f>
        <v>0</v>
      </c>
      <c r="L171" s="17">
        <f>'12 - Device_Configuration'!P172</f>
        <v>0</v>
      </c>
      <c r="M171" s="17">
        <f>'12 - Device_Configuration'!Q172</f>
        <v>0</v>
      </c>
      <c r="N171" s="17" t="str">
        <f>'12 - Device_Configuration'!BK172</f>
        <v/>
      </c>
      <c r="O171" s="30" t="str">
        <f>'12 - Device_Configuration'!BL172</f>
        <v/>
      </c>
      <c r="P171" s="2">
        <f>'12 - Device_Configuration'!BA172</f>
        <v>0</v>
      </c>
      <c r="Q171" s="30" t="str">
        <f t="shared" si="8"/>
        <v/>
      </c>
      <c r="R171" s="17" t="str">
        <f t="shared" si="9"/>
        <v>SW NOT INSTALLED</v>
      </c>
      <c r="S171" s="17" t="str">
        <f t="shared" si="10"/>
        <v/>
      </c>
      <c r="T171" s="17" t="str">
        <f t="shared" si="11"/>
        <v>SW NOT INSTALLED</v>
      </c>
    </row>
    <row r="172" spans="1:20">
      <c r="A172" s="30">
        <f>'12 - Device_Configuration'!H173</f>
        <v>0</v>
      </c>
      <c r="B172" s="30">
        <f>'12 - Device_Configuration'!S173</f>
        <v>0</v>
      </c>
      <c r="C172" s="30">
        <f>'12 - Device_Configuration'!T173</f>
        <v>0</v>
      </c>
      <c r="D172" s="17">
        <f>'12 - Device_Configuration'!AJ173</f>
        <v>0</v>
      </c>
      <c r="E172" s="17">
        <f>'12 - Device_Configuration'!J173</f>
        <v>0</v>
      </c>
      <c r="F172" s="30">
        <f>'12 - Device_Configuration'!K173</f>
        <v>0</v>
      </c>
      <c r="G172" s="17">
        <f>'12 - Device_Configuration'!L173</f>
        <v>0</v>
      </c>
      <c r="H172" s="17">
        <f>'13 - Config_Intake_View'!M172</f>
        <v>0</v>
      </c>
      <c r="I172" s="30">
        <f>IF('13 - Config_Intake_View'!Q172&lt;&gt;"",'13 - Config_Intake_View'!Q172,'12 - Device_Configuration'!BH173)</f>
        <v>0</v>
      </c>
      <c r="J172" s="17" t="str">
        <f>IF('13 - Config_Intake_View'!Q172&lt;&gt;"","PM Approved",IF('12 - Device_Configuration'!BH173&lt;&gt;"","Assumed",""))</f>
        <v/>
      </c>
      <c r="K172" s="30">
        <f>'12 - Device_Configuration'!BG173</f>
        <v>0</v>
      </c>
      <c r="L172" s="17">
        <f>'12 - Device_Configuration'!P173</f>
        <v>0</v>
      </c>
      <c r="M172" s="17">
        <f>'12 - Device_Configuration'!Q173</f>
        <v>0</v>
      </c>
      <c r="N172" s="17" t="str">
        <f>'12 - Device_Configuration'!BK173</f>
        <v/>
      </c>
      <c r="O172" s="30" t="str">
        <f>'12 - Device_Configuration'!BL173</f>
        <v/>
      </c>
      <c r="P172" s="2">
        <f>'12 - Device_Configuration'!BA173</f>
        <v>0</v>
      </c>
      <c r="Q172" s="30" t="str">
        <f t="shared" si="8"/>
        <v/>
      </c>
      <c r="R172" s="17" t="str">
        <f t="shared" si="9"/>
        <v>SW NOT INSTALLED</v>
      </c>
      <c r="S172" s="17" t="str">
        <f t="shared" si="10"/>
        <v/>
      </c>
      <c r="T172" s="17" t="str">
        <f t="shared" si="11"/>
        <v>SW NOT INSTALLED</v>
      </c>
    </row>
    <row r="173" spans="1:20">
      <c r="A173" s="30">
        <f>'12 - Device_Configuration'!H174</f>
        <v>0</v>
      </c>
      <c r="B173" s="30">
        <f>'12 - Device_Configuration'!S174</f>
        <v>0</v>
      </c>
      <c r="C173" s="30">
        <f>'12 - Device_Configuration'!T174</f>
        <v>0</v>
      </c>
      <c r="D173" s="17">
        <f>'12 - Device_Configuration'!AJ174</f>
        <v>0</v>
      </c>
      <c r="E173" s="17">
        <f>'12 - Device_Configuration'!J174</f>
        <v>0</v>
      </c>
      <c r="F173" s="30">
        <f>'12 - Device_Configuration'!K174</f>
        <v>0</v>
      </c>
      <c r="G173" s="17">
        <f>'12 - Device_Configuration'!L174</f>
        <v>0</v>
      </c>
      <c r="H173" s="17">
        <f>'13 - Config_Intake_View'!M173</f>
        <v>0</v>
      </c>
      <c r="I173" s="30">
        <f>IF('13 - Config_Intake_View'!Q173&lt;&gt;"",'13 - Config_Intake_View'!Q173,'12 - Device_Configuration'!BH174)</f>
        <v>0</v>
      </c>
      <c r="J173" s="17" t="str">
        <f>IF('13 - Config_Intake_View'!Q173&lt;&gt;"","PM Approved",IF('12 - Device_Configuration'!BH174&lt;&gt;"","Assumed",""))</f>
        <v/>
      </c>
      <c r="K173" s="30">
        <f>'12 - Device_Configuration'!BG174</f>
        <v>0</v>
      </c>
      <c r="L173" s="17">
        <f>'12 - Device_Configuration'!P174</f>
        <v>0</v>
      </c>
      <c r="M173" s="17">
        <f>'12 - Device_Configuration'!Q174</f>
        <v>0</v>
      </c>
      <c r="N173" s="17" t="str">
        <f>'12 - Device_Configuration'!BK174</f>
        <v/>
      </c>
      <c r="O173" s="30" t="str">
        <f>'12 - Device_Configuration'!BL174</f>
        <v/>
      </c>
      <c r="P173" s="2">
        <f>'12 - Device_Configuration'!BA174</f>
        <v>0</v>
      </c>
      <c r="Q173" s="30" t="str">
        <f t="shared" si="8"/>
        <v/>
      </c>
      <c r="R173" s="17" t="str">
        <f t="shared" si="9"/>
        <v>SW NOT INSTALLED</v>
      </c>
      <c r="S173" s="17" t="str">
        <f t="shared" si="10"/>
        <v/>
      </c>
      <c r="T173" s="17" t="str">
        <f t="shared" si="11"/>
        <v>SW NOT INSTALLED</v>
      </c>
    </row>
    <row r="174" spans="1:20">
      <c r="A174" s="30">
        <f>'12 - Device_Configuration'!H175</f>
        <v>0</v>
      </c>
      <c r="B174" s="30">
        <f>'12 - Device_Configuration'!S175</f>
        <v>0</v>
      </c>
      <c r="C174" s="30">
        <f>'12 - Device_Configuration'!T175</f>
        <v>0</v>
      </c>
      <c r="D174" s="17">
        <f>'12 - Device_Configuration'!AJ175</f>
        <v>0</v>
      </c>
      <c r="E174" s="17">
        <f>'12 - Device_Configuration'!J175</f>
        <v>0</v>
      </c>
      <c r="F174" s="30">
        <f>'12 - Device_Configuration'!K175</f>
        <v>0</v>
      </c>
      <c r="G174" s="17">
        <f>'12 - Device_Configuration'!L175</f>
        <v>0</v>
      </c>
      <c r="H174" s="17">
        <f>'13 - Config_Intake_View'!M174</f>
        <v>0</v>
      </c>
      <c r="I174" s="30">
        <f>IF('13 - Config_Intake_View'!Q174&lt;&gt;"",'13 - Config_Intake_View'!Q174,'12 - Device_Configuration'!BH175)</f>
        <v>0</v>
      </c>
      <c r="J174" s="17" t="str">
        <f>IF('13 - Config_Intake_View'!Q174&lt;&gt;"","PM Approved",IF('12 - Device_Configuration'!BH175&lt;&gt;"","Assumed",""))</f>
        <v/>
      </c>
      <c r="K174" s="30">
        <f>'12 - Device_Configuration'!BG175</f>
        <v>0</v>
      </c>
      <c r="L174" s="17">
        <f>'12 - Device_Configuration'!P175</f>
        <v>0</v>
      </c>
      <c r="M174" s="17">
        <f>'12 - Device_Configuration'!Q175</f>
        <v>0</v>
      </c>
      <c r="N174" s="17" t="str">
        <f>'12 - Device_Configuration'!BK175</f>
        <v/>
      </c>
      <c r="O174" s="30" t="str">
        <f>'12 - Device_Configuration'!BL175</f>
        <v/>
      </c>
      <c r="P174" s="2">
        <f>'12 - Device_Configuration'!BA175</f>
        <v>0</v>
      </c>
      <c r="Q174" s="30" t="str">
        <f t="shared" si="8"/>
        <v/>
      </c>
      <c r="R174" s="17" t="str">
        <f t="shared" si="9"/>
        <v>SW NOT INSTALLED</v>
      </c>
      <c r="S174" s="17" t="str">
        <f t="shared" si="10"/>
        <v/>
      </c>
      <c r="T174" s="17" t="str">
        <f t="shared" si="11"/>
        <v>SW NOT INSTALLED</v>
      </c>
    </row>
    <row r="175" spans="1:20">
      <c r="A175" s="30">
        <f>'12 - Device_Configuration'!H176</f>
        <v>0</v>
      </c>
      <c r="B175" s="30">
        <f>'12 - Device_Configuration'!S176</f>
        <v>0</v>
      </c>
      <c r="C175" s="30">
        <f>'12 - Device_Configuration'!T176</f>
        <v>0</v>
      </c>
      <c r="D175" s="17">
        <f>'12 - Device_Configuration'!AJ176</f>
        <v>0</v>
      </c>
      <c r="E175" s="17">
        <f>'12 - Device_Configuration'!J176</f>
        <v>0</v>
      </c>
      <c r="F175" s="30">
        <f>'12 - Device_Configuration'!K176</f>
        <v>0</v>
      </c>
      <c r="G175" s="17">
        <f>'12 - Device_Configuration'!L176</f>
        <v>0</v>
      </c>
      <c r="H175" s="17">
        <f>'13 - Config_Intake_View'!M175</f>
        <v>0</v>
      </c>
      <c r="I175" s="30">
        <f>IF('13 - Config_Intake_View'!Q175&lt;&gt;"",'13 - Config_Intake_View'!Q175,'12 - Device_Configuration'!BH176)</f>
        <v>0</v>
      </c>
      <c r="J175" s="17" t="str">
        <f>IF('13 - Config_Intake_View'!Q175&lt;&gt;"","PM Approved",IF('12 - Device_Configuration'!BH176&lt;&gt;"","Assumed",""))</f>
        <v/>
      </c>
      <c r="K175" s="30">
        <f>'12 - Device_Configuration'!BG176</f>
        <v>0</v>
      </c>
      <c r="L175" s="17">
        <f>'12 - Device_Configuration'!P176</f>
        <v>0</v>
      </c>
      <c r="M175" s="17">
        <f>'12 - Device_Configuration'!Q176</f>
        <v>0</v>
      </c>
      <c r="N175" s="17" t="str">
        <f>'12 - Device_Configuration'!BK176</f>
        <v/>
      </c>
      <c r="O175" s="30" t="str">
        <f>'12 - Device_Configuration'!BL176</f>
        <v/>
      </c>
      <c r="P175" s="2">
        <f>'12 - Device_Configuration'!BA176</f>
        <v>0</v>
      </c>
      <c r="Q175" s="30" t="str">
        <f t="shared" si="8"/>
        <v/>
      </c>
      <c r="R175" s="17" t="str">
        <f t="shared" si="9"/>
        <v>SW NOT INSTALLED</v>
      </c>
      <c r="S175" s="17" t="str">
        <f t="shared" si="10"/>
        <v/>
      </c>
      <c r="T175" s="17" t="str">
        <f t="shared" si="11"/>
        <v>SW NOT INSTALLED</v>
      </c>
    </row>
    <row r="176" spans="1:20">
      <c r="A176" s="30">
        <f>'12 - Device_Configuration'!H177</f>
        <v>0</v>
      </c>
      <c r="B176" s="30">
        <f>'12 - Device_Configuration'!S177</f>
        <v>0</v>
      </c>
      <c r="C176" s="30">
        <f>'12 - Device_Configuration'!T177</f>
        <v>0</v>
      </c>
      <c r="D176" s="17">
        <f>'12 - Device_Configuration'!AJ177</f>
        <v>0</v>
      </c>
      <c r="E176" s="17">
        <f>'12 - Device_Configuration'!J177</f>
        <v>0</v>
      </c>
      <c r="F176" s="30">
        <f>'12 - Device_Configuration'!K177</f>
        <v>0</v>
      </c>
      <c r="G176" s="17">
        <f>'12 - Device_Configuration'!L177</f>
        <v>0</v>
      </c>
      <c r="H176" s="17">
        <f>'13 - Config_Intake_View'!M176</f>
        <v>0</v>
      </c>
      <c r="I176" s="30">
        <f>IF('13 - Config_Intake_View'!Q176&lt;&gt;"",'13 - Config_Intake_View'!Q176,'12 - Device_Configuration'!BH177)</f>
        <v>0</v>
      </c>
      <c r="J176" s="17" t="str">
        <f>IF('13 - Config_Intake_View'!Q176&lt;&gt;"","PM Approved",IF('12 - Device_Configuration'!BH177&lt;&gt;"","Assumed",""))</f>
        <v/>
      </c>
      <c r="K176" s="30">
        <f>'12 - Device_Configuration'!BG177</f>
        <v>0</v>
      </c>
      <c r="L176" s="17">
        <f>'12 - Device_Configuration'!P177</f>
        <v>0</v>
      </c>
      <c r="M176" s="17">
        <f>'12 - Device_Configuration'!Q177</f>
        <v>0</v>
      </c>
      <c r="N176" s="17" t="str">
        <f>'12 - Device_Configuration'!BK177</f>
        <v/>
      </c>
      <c r="O176" s="30" t="str">
        <f>'12 - Device_Configuration'!BL177</f>
        <v/>
      </c>
      <c r="P176" s="2">
        <f>'12 - Device_Configuration'!BA177</f>
        <v>0</v>
      </c>
      <c r="Q176" s="30" t="str">
        <f t="shared" si="8"/>
        <v/>
      </c>
      <c r="R176" s="17" t="str">
        <f t="shared" si="9"/>
        <v>SW NOT INSTALLED</v>
      </c>
      <c r="S176" s="17" t="str">
        <f t="shared" si="10"/>
        <v/>
      </c>
      <c r="T176" s="17" t="str">
        <f t="shared" si="11"/>
        <v>SW NOT INSTALLED</v>
      </c>
    </row>
    <row r="177" spans="1:20">
      <c r="A177" s="30">
        <f>'12 - Device_Configuration'!H178</f>
        <v>0</v>
      </c>
      <c r="B177" s="30">
        <f>'12 - Device_Configuration'!S178</f>
        <v>0</v>
      </c>
      <c r="C177" s="30">
        <f>'12 - Device_Configuration'!T178</f>
        <v>0</v>
      </c>
      <c r="D177" s="17">
        <f>'12 - Device_Configuration'!AJ178</f>
        <v>0</v>
      </c>
      <c r="E177" s="17">
        <f>'12 - Device_Configuration'!J178</f>
        <v>0</v>
      </c>
      <c r="F177" s="30">
        <f>'12 - Device_Configuration'!K178</f>
        <v>0</v>
      </c>
      <c r="G177" s="17">
        <f>'12 - Device_Configuration'!L178</f>
        <v>0</v>
      </c>
      <c r="H177" s="17">
        <f>'13 - Config_Intake_View'!M177</f>
        <v>0</v>
      </c>
      <c r="I177" s="30">
        <f>IF('13 - Config_Intake_View'!Q177&lt;&gt;"",'13 - Config_Intake_View'!Q177,'12 - Device_Configuration'!BH178)</f>
        <v>0</v>
      </c>
      <c r="J177" s="17" t="str">
        <f>IF('13 - Config_Intake_View'!Q177&lt;&gt;"","PM Approved",IF('12 - Device_Configuration'!BH178&lt;&gt;"","Assumed",""))</f>
        <v/>
      </c>
      <c r="K177" s="30">
        <f>'12 - Device_Configuration'!BG178</f>
        <v>0</v>
      </c>
      <c r="L177" s="17">
        <f>'12 - Device_Configuration'!P178</f>
        <v>0</v>
      </c>
      <c r="M177" s="17">
        <f>'12 - Device_Configuration'!Q178</f>
        <v>0</v>
      </c>
      <c r="N177" s="17" t="str">
        <f>'12 - Device_Configuration'!BK178</f>
        <v/>
      </c>
      <c r="O177" s="30" t="str">
        <f>'12 - Device_Configuration'!BL178</f>
        <v/>
      </c>
      <c r="P177" s="2">
        <f>'12 - Device_Configuration'!BA178</f>
        <v>0</v>
      </c>
      <c r="Q177" s="30" t="str">
        <f t="shared" si="8"/>
        <v/>
      </c>
      <c r="R177" s="17" t="str">
        <f t="shared" si="9"/>
        <v>SW NOT INSTALLED</v>
      </c>
      <c r="S177" s="17" t="str">
        <f t="shared" si="10"/>
        <v/>
      </c>
      <c r="T177" s="17" t="str">
        <f t="shared" si="11"/>
        <v>SW NOT INSTALLED</v>
      </c>
    </row>
    <row r="178" spans="1:20">
      <c r="A178" s="30">
        <f>'12 - Device_Configuration'!H179</f>
        <v>0</v>
      </c>
      <c r="B178" s="30">
        <f>'12 - Device_Configuration'!S179</f>
        <v>0</v>
      </c>
      <c r="C178" s="30">
        <f>'12 - Device_Configuration'!T179</f>
        <v>0</v>
      </c>
      <c r="D178" s="17">
        <f>'12 - Device_Configuration'!AJ179</f>
        <v>0</v>
      </c>
      <c r="E178" s="17">
        <f>'12 - Device_Configuration'!J179</f>
        <v>0</v>
      </c>
      <c r="F178" s="30">
        <f>'12 - Device_Configuration'!K179</f>
        <v>0</v>
      </c>
      <c r="G178" s="17">
        <f>'12 - Device_Configuration'!L179</f>
        <v>0</v>
      </c>
      <c r="H178" s="17">
        <f>'13 - Config_Intake_View'!M178</f>
        <v>0</v>
      </c>
      <c r="I178" s="30">
        <f>IF('13 - Config_Intake_View'!Q178&lt;&gt;"",'13 - Config_Intake_View'!Q178,'12 - Device_Configuration'!BH179)</f>
        <v>0</v>
      </c>
      <c r="J178" s="17" t="str">
        <f>IF('13 - Config_Intake_View'!Q178&lt;&gt;"","PM Approved",IF('12 - Device_Configuration'!BH179&lt;&gt;"","Assumed",""))</f>
        <v/>
      </c>
      <c r="K178" s="30">
        <f>'12 - Device_Configuration'!BG179</f>
        <v>0</v>
      </c>
      <c r="L178" s="17">
        <f>'12 - Device_Configuration'!P179</f>
        <v>0</v>
      </c>
      <c r="M178" s="17">
        <f>'12 - Device_Configuration'!Q179</f>
        <v>0</v>
      </c>
      <c r="N178" s="17" t="str">
        <f>'12 - Device_Configuration'!BK179</f>
        <v/>
      </c>
      <c r="O178" s="30" t="str">
        <f>'12 - Device_Configuration'!BL179</f>
        <v/>
      </c>
      <c r="P178" s="2">
        <f>'12 - Device_Configuration'!BA179</f>
        <v>0</v>
      </c>
      <c r="Q178" s="30" t="str">
        <f t="shared" si="8"/>
        <v/>
      </c>
      <c r="R178" s="17" t="str">
        <f t="shared" si="9"/>
        <v>SW NOT INSTALLED</v>
      </c>
      <c r="S178" s="17" t="str">
        <f t="shared" si="10"/>
        <v/>
      </c>
      <c r="T178" s="17" t="str">
        <f t="shared" si="11"/>
        <v>SW NOT INSTALLED</v>
      </c>
    </row>
    <row r="179" spans="1:20">
      <c r="A179" s="30">
        <f>'12 - Device_Configuration'!H180</f>
        <v>0</v>
      </c>
      <c r="B179" s="30">
        <f>'12 - Device_Configuration'!S180</f>
        <v>0</v>
      </c>
      <c r="C179" s="30">
        <f>'12 - Device_Configuration'!T180</f>
        <v>0</v>
      </c>
      <c r="D179" s="17">
        <f>'12 - Device_Configuration'!AJ180</f>
        <v>0</v>
      </c>
      <c r="E179" s="17">
        <f>'12 - Device_Configuration'!J180</f>
        <v>0</v>
      </c>
      <c r="F179" s="30">
        <f>'12 - Device_Configuration'!K180</f>
        <v>0</v>
      </c>
      <c r="G179" s="17">
        <f>'12 - Device_Configuration'!L180</f>
        <v>0</v>
      </c>
      <c r="H179" s="17">
        <f>'13 - Config_Intake_View'!M179</f>
        <v>0</v>
      </c>
      <c r="I179" s="30">
        <f>IF('13 - Config_Intake_View'!Q179&lt;&gt;"",'13 - Config_Intake_View'!Q179,'12 - Device_Configuration'!BH180)</f>
        <v>0</v>
      </c>
      <c r="J179" s="17" t="str">
        <f>IF('13 - Config_Intake_View'!Q179&lt;&gt;"","PM Approved",IF('12 - Device_Configuration'!BH180&lt;&gt;"","Assumed",""))</f>
        <v/>
      </c>
      <c r="K179" s="30">
        <f>'12 - Device_Configuration'!BG180</f>
        <v>0</v>
      </c>
      <c r="L179" s="17">
        <f>'12 - Device_Configuration'!P180</f>
        <v>0</v>
      </c>
      <c r="M179" s="17">
        <f>'12 - Device_Configuration'!Q180</f>
        <v>0</v>
      </c>
      <c r="N179" s="17" t="str">
        <f>'12 - Device_Configuration'!BK180</f>
        <v/>
      </c>
      <c r="O179" s="30" t="str">
        <f>'12 - Device_Configuration'!BL180</f>
        <v/>
      </c>
      <c r="P179" s="2">
        <f>'12 - Device_Configuration'!BA180</f>
        <v>0</v>
      </c>
      <c r="Q179" s="30" t="str">
        <f t="shared" si="8"/>
        <v/>
      </c>
      <c r="R179" s="17" t="str">
        <f t="shared" si="9"/>
        <v>SW NOT INSTALLED</v>
      </c>
      <c r="S179" s="17" t="str">
        <f t="shared" si="10"/>
        <v/>
      </c>
      <c r="T179" s="17" t="str">
        <f t="shared" si="11"/>
        <v>SW NOT INSTALLED</v>
      </c>
    </row>
    <row r="180" spans="1:20">
      <c r="A180" s="30">
        <f>'12 - Device_Configuration'!H181</f>
        <v>0</v>
      </c>
      <c r="B180" s="30">
        <f>'12 - Device_Configuration'!S181</f>
        <v>0</v>
      </c>
      <c r="C180" s="30">
        <f>'12 - Device_Configuration'!T181</f>
        <v>0</v>
      </c>
      <c r="D180" s="17">
        <f>'12 - Device_Configuration'!AJ181</f>
        <v>0</v>
      </c>
      <c r="E180" s="17">
        <f>'12 - Device_Configuration'!J181</f>
        <v>0</v>
      </c>
      <c r="F180" s="30">
        <f>'12 - Device_Configuration'!K181</f>
        <v>0</v>
      </c>
      <c r="G180" s="17">
        <f>'12 - Device_Configuration'!L181</f>
        <v>0</v>
      </c>
      <c r="H180" s="17">
        <f>'13 - Config_Intake_View'!M180</f>
        <v>0</v>
      </c>
      <c r="I180" s="30">
        <f>IF('13 - Config_Intake_View'!Q180&lt;&gt;"",'13 - Config_Intake_View'!Q180,'12 - Device_Configuration'!BH181)</f>
        <v>0</v>
      </c>
      <c r="J180" s="17" t="str">
        <f>IF('13 - Config_Intake_View'!Q180&lt;&gt;"","PM Approved",IF('12 - Device_Configuration'!BH181&lt;&gt;"","Assumed",""))</f>
        <v/>
      </c>
      <c r="K180" s="30">
        <f>'12 - Device_Configuration'!BG181</f>
        <v>0</v>
      </c>
      <c r="L180" s="17">
        <f>'12 - Device_Configuration'!P181</f>
        <v>0</v>
      </c>
      <c r="M180" s="17">
        <f>'12 - Device_Configuration'!Q181</f>
        <v>0</v>
      </c>
      <c r="N180" s="17" t="str">
        <f>'12 - Device_Configuration'!BK181</f>
        <v/>
      </c>
      <c r="O180" s="30" t="str">
        <f>'12 - Device_Configuration'!BL181</f>
        <v/>
      </c>
      <c r="P180" s="2">
        <f>'12 - Device_Configuration'!BA181</f>
        <v>0</v>
      </c>
      <c r="Q180" s="30" t="str">
        <f t="shared" si="8"/>
        <v/>
      </c>
      <c r="R180" s="17" t="str">
        <f t="shared" si="9"/>
        <v>SW NOT INSTALLED</v>
      </c>
      <c r="S180" s="17" t="str">
        <f t="shared" si="10"/>
        <v/>
      </c>
      <c r="T180" s="17" t="str">
        <f t="shared" si="11"/>
        <v>SW NOT INSTALLED</v>
      </c>
    </row>
    <row r="181" spans="1:20">
      <c r="A181" s="30">
        <f>'12 - Device_Configuration'!H182</f>
        <v>0</v>
      </c>
      <c r="B181" s="30">
        <f>'12 - Device_Configuration'!S182</f>
        <v>0</v>
      </c>
      <c r="C181" s="30">
        <f>'12 - Device_Configuration'!T182</f>
        <v>0</v>
      </c>
      <c r="D181" s="17">
        <f>'12 - Device_Configuration'!AJ182</f>
        <v>0</v>
      </c>
      <c r="E181" s="17">
        <f>'12 - Device_Configuration'!J182</f>
        <v>0</v>
      </c>
      <c r="F181" s="30">
        <f>'12 - Device_Configuration'!K182</f>
        <v>0</v>
      </c>
      <c r="G181" s="17">
        <f>'12 - Device_Configuration'!L182</f>
        <v>0</v>
      </c>
      <c r="H181" s="17">
        <f>'13 - Config_Intake_View'!M181</f>
        <v>0</v>
      </c>
      <c r="I181" s="30">
        <f>IF('13 - Config_Intake_View'!Q181&lt;&gt;"",'13 - Config_Intake_View'!Q181,'12 - Device_Configuration'!BH182)</f>
        <v>0</v>
      </c>
      <c r="J181" s="17" t="str">
        <f>IF('13 - Config_Intake_View'!Q181&lt;&gt;"","PM Approved",IF('12 - Device_Configuration'!BH182&lt;&gt;"","Assumed",""))</f>
        <v/>
      </c>
      <c r="K181" s="30">
        <f>'12 - Device_Configuration'!BG182</f>
        <v>0</v>
      </c>
      <c r="L181" s="17">
        <f>'12 - Device_Configuration'!P182</f>
        <v>0</v>
      </c>
      <c r="M181" s="17">
        <f>'12 - Device_Configuration'!Q182</f>
        <v>0</v>
      </c>
      <c r="N181" s="17" t="str">
        <f>'12 - Device_Configuration'!BK182</f>
        <v/>
      </c>
      <c r="O181" s="30" t="str">
        <f>'12 - Device_Configuration'!BL182</f>
        <v/>
      </c>
      <c r="P181" s="2">
        <f>'12 - Device_Configuration'!BA182</f>
        <v>0</v>
      </c>
      <c r="Q181" s="30" t="str">
        <f t="shared" si="8"/>
        <v/>
      </c>
      <c r="R181" s="17" t="str">
        <f t="shared" si="9"/>
        <v>SW NOT INSTALLED</v>
      </c>
      <c r="S181" s="17" t="str">
        <f t="shared" si="10"/>
        <v/>
      </c>
      <c r="T181" s="17" t="str">
        <f t="shared" si="11"/>
        <v>SW NOT INSTALLED</v>
      </c>
    </row>
    <row r="182" spans="1:20">
      <c r="A182" s="30">
        <f>'12 - Device_Configuration'!H183</f>
        <v>0</v>
      </c>
      <c r="B182" s="30">
        <f>'12 - Device_Configuration'!S183</f>
        <v>0</v>
      </c>
      <c r="C182" s="30">
        <f>'12 - Device_Configuration'!T183</f>
        <v>0</v>
      </c>
      <c r="D182" s="17">
        <f>'12 - Device_Configuration'!AJ183</f>
        <v>0</v>
      </c>
      <c r="E182" s="17">
        <f>'12 - Device_Configuration'!J183</f>
        <v>0</v>
      </c>
      <c r="F182" s="30">
        <f>'12 - Device_Configuration'!K183</f>
        <v>0</v>
      </c>
      <c r="G182" s="17">
        <f>'12 - Device_Configuration'!L183</f>
        <v>0</v>
      </c>
      <c r="H182" s="17">
        <f>'13 - Config_Intake_View'!M182</f>
        <v>0</v>
      </c>
      <c r="I182" s="30">
        <f>IF('13 - Config_Intake_View'!Q182&lt;&gt;"",'13 - Config_Intake_View'!Q182,'12 - Device_Configuration'!BH183)</f>
        <v>0</v>
      </c>
      <c r="J182" s="17" t="str">
        <f>IF('13 - Config_Intake_View'!Q182&lt;&gt;"","PM Approved",IF('12 - Device_Configuration'!BH183&lt;&gt;"","Assumed",""))</f>
        <v/>
      </c>
      <c r="K182" s="30">
        <f>'12 - Device_Configuration'!BG183</f>
        <v>0</v>
      </c>
      <c r="L182" s="17">
        <f>'12 - Device_Configuration'!P183</f>
        <v>0</v>
      </c>
      <c r="M182" s="17">
        <f>'12 - Device_Configuration'!Q183</f>
        <v>0</v>
      </c>
      <c r="N182" s="17" t="str">
        <f>'12 - Device_Configuration'!BK183</f>
        <v/>
      </c>
      <c r="O182" s="30" t="str">
        <f>'12 - Device_Configuration'!BL183</f>
        <v/>
      </c>
      <c r="P182" s="2">
        <f>'12 - Device_Configuration'!BA183</f>
        <v>0</v>
      </c>
      <c r="Q182" s="30" t="str">
        <f t="shared" si="8"/>
        <v/>
      </c>
      <c r="R182" s="17" t="str">
        <f t="shared" si="9"/>
        <v>SW NOT INSTALLED</v>
      </c>
      <c r="S182" s="17" t="str">
        <f t="shared" si="10"/>
        <v/>
      </c>
      <c r="T182" s="17" t="str">
        <f t="shared" si="11"/>
        <v>SW NOT INSTALLED</v>
      </c>
    </row>
    <row r="183" spans="1:20">
      <c r="A183" s="30">
        <f>'12 - Device_Configuration'!H184</f>
        <v>0</v>
      </c>
      <c r="B183" s="30">
        <f>'12 - Device_Configuration'!S184</f>
        <v>0</v>
      </c>
      <c r="C183" s="30">
        <f>'12 - Device_Configuration'!T184</f>
        <v>0</v>
      </c>
      <c r="D183" s="17">
        <f>'12 - Device_Configuration'!AJ184</f>
        <v>0</v>
      </c>
      <c r="E183" s="17">
        <f>'12 - Device_Configuration'!J184</f>
        <v>0</v>
      </c>
      <c r="F183" s="30">
        <f>'12 - Device_Configuration'!K184</f>
        <v>0</v>
      </c>
      <c r="G183" s="17">
        <f>'12 - Device_Configuration'!L184</f>
        <v>0</v>
      </c>
      <c r="H183" s="17">
        <f>'13 - Config_Intake_View'!M183</f>
        <v>0</v>
      </c>
      <c r="I183" s="30">
        <f>IF('13 - Config_Intake_View'!Q183&lt;&gt;"",'13 - Config_Intake_View'!Q183,'12 - Device_Configuration'!BH184)</f>
        <v>0</v>
      </c>
      <c r="J183" s="17" t="str">
        <f>IF('13 - Config_Intake_View'!Q183&lt;&gt;"","PM Approved",IF('12 - Device_Configuration'!BH184&lt;&gt;"","Assumed",""))</f>
        <v/>
      </c>
      <c r="K183" s="30">
        <f>'12 - Device_Configuration'!BG184</f>
        <v>0</v>
      </c>
      <c r="L183" s="17">
        <f>'12 - Device_Configuration'!P184</f>
        <v>0</v>
      </c>
      <c r="M183" s="17">
        <f>'12 - Device_Configuration'!Q184</f>
        <v>0</v>
      </c>
      <c r="N183" s="17" t="str">
        <f>'12 - Device_Configuration'!BK184</f>
        <v/>
      </c>
      <c r="O183" s="30" t="str">
        <f>'12 - Device_Configuration'!BL184</f>
        <v/>
      </c>
      <c r="P183" s="2">
        <f>'12 - Device_Configuration'!BA184</f>
        <v>0</v>
      </c>
      <c r="Q183" s="30" t="str">
        <f t="shared" si="8"/>
        <v/>
      </c>
      <c r="R183" s="17" t="str">
        <f t="shared" si="9"/>
        <v>SW NOT INSTALLED</v>
      </c>
      <c r="S183" s="17" t="str">
        <f t="shared" si="10"/>
        <v/>
      </c>
      <c r="T183" s="17" t="str">
        <f t="shared" si="11"/>
        <v>SW NOT INSTALLED</v>
      </c>
    </row>
    <row r="184" spans="1:20">
      <c r="A184" s="30">
        <f>'12 - Device_Configuration'!H185</f>
        <v>0</v>
      </c>
      <c r="B184" s="30">
        <f>'12 - Device_Configuration'!S185</f>
        <v>0</v>
      </c>
      <c r="C184" s="30">
        <f>'12 - Device_Configuration'!T185</f>
        <v>0</v>
      </c>
      <c r="D184" s="17">
        <f>'12 - Device_Configuration'!AJ185</f>
        <v>0</v>
      </c>
      <c r="E184" s="17">
        <f>'12 - Device_Configuration'!J185</f>
        <v>0</v>
      </c>
      <c r="F184" s="30">
        <f>'12 - Device_Configuration'!K185</f>
        <v>0</v>
      </c>
      <c r="G184" s="17">
        <f>'12 - Device_Configuration'!L185</f>
        <v>0</v>
      </c>
      <c r="H184" s="17">
        <f>'13 - Config_Intake_View'!M184</f>
        <v>0</v>
      </c>
      <c r="I184" s="30">
        <f>IF('13 - Config_Intake_View'!Q184&lt;&gt;"",'13 - Config_Intake_View'!Q184,'12 - Device_Configuration'!BH185)</f>
        <v>0</v>
      </c>
      <c r="J184" s="17" t="str">
        <f>IF('13 - Config_Intake_View'!Q184&lt;&gt;"","PM Approved",IF('12 - Device_Configuration'!BH185&lt;&gt;"","Assumed",""))</f>
        <v/>
      </c>
      <c r="K184" s="30">
        <f>'12 - Device_Configuration'!BG185</f>
        <v>0</v>
      </c>
      <c r="L184" s="17">
        <f>'12 - Device_Configuration'!P185</f>
        <v>0</v>
      </c>
      <c r="M184" s="17">
        <f>'12 - Device_Configuration'!Q185</f>
        <v>0</v>
      </c>
      <c r="N184" s="17" t="str">
        <f>'12 - Device_Configuration'!BK185</f>
        <v/>
      </c>
      <c r="O184" s="30" t="str">
        <f>'12 - Device_Configuration'!BL185</f>
        <v/>
      </c>
      <c r="P184" s="2">
        <f>'12 - Device_Configuration'!BA185</f>
        <v>0</v>
      </c>
      <c r="Q184" s="30" t="str">
        <f t="shared" si="8"/>
        <v/>
      </c>
      <c r="R184" s="17" t="str">
        <f t="shared" si="9"/>
        <v>SW NOT INSTALLED</v>
      </c>
      <c r="S184" s="17" t="str">
        <f t="shared" si="10"/>
        <v/>
      </c>
      <c r="T184" s="17" t="str">
        <f t="shared" si="11"/>
        <v>SW NOT INSTALLED</v>
      </c>
    </row>
    <row r="185" spans="1:20">
      <c r="A185" s="30">
        <f>'12 - Device_Configuration'!H186</f>
        <v>0</v>
      </c>
      <c r="B185" s="30">
        <f>'12 - Device_Configuration'!S186</f>
        <v>0</v>
      </c>
      <c r="C185" s="30">
        <f>'12 - Device_Configuration'!T186</f>
        <v>0</v>
      </c>
      <c r="D185" s="17">
        <f>'12 - Device_Configuration'!AJ186</f>
        <v>0</v>
      </c>
      <c r="E185" s="17">
        <f>'12 - Device_Configuration'!J186</f>
        <v>0</v>
      </c>
      <c r="F185" s="30">
        <f>'12 - Device_Configuration'!K186</f>
        <v>0</v>
      </c>
      <c r="G185" s="17">
        <f>'12 - Device_Configuration'!L186</f>
        <v>0</v>
      </c>
      <c r="H185" s="17">
        <f>'13 - Config_Intake_View'!M185</f>
        <v>0</v>
      </c>
      <c r="I185" s="30">
        <f>IF('13 - Config_Intake_View'!Q185&lt;&gt;"",'13 - Config_Intake_View'!Q185,'12 - Device_Configuration'!BH186)</f>
        <v>0</v>
      </c>
      <c r="J185" s="17" t="str">
        <f>IF('13 - Config_Intake_View'!Q185&lt;&gt;"","PM Approved",IF('12 - Device_Configuration'!BH186&lt;&gt;"","Assumed",""))</f>
        <v/>
      </c>
      <c r="K185" s="30">
        <f>'12 - Device_Configuration'!BG186</f>
        <v>0</v>
      </c>
      <c r="L185" s="17">
        <f>'12 - Device_Configuration'!P186</f>
        <v>0</v>
      </c>
      <c r="M185" s="17">
        <f>'12 - Device_Configuration'!Q186</f>
        <v>0</v>
      </c>
      <c r="N185" s="17" t="str">
        <f>'12 - Device_Configuration'!BK186</f>
        <v/>
      </c>
      <c r="O185" s="30" t="str">
        <f>'12 - Device_Configuration'!BL186</f>
        <v/>
      </c>
      <c r="P185" s="2">
        <f>'12 - Device_Configuration'!BA186</f>
        <v>0</v>
      </c>
      <c r="Q185" s="30" t="str">
        <f t="shared" si="8"/>
        <v/>
      </c>
      <c r="R185" s="17" t="str">
        <f t="shared" si="9"/>
        <v>SW NOT INSTALLED</v>
      </c>
      <c r="S185" s="17" t="str">
        <f t="shared" si="10"/>
        <v/>
      </c>
      <c r="T185" s="17" t="str">
        <f t="shared" si="11"/>
        <v>SW NOT INSTALLED</v>
      </c>
    </row>
    <row r="186" spans="1:20">
      <c r="A186" s="30">
        <f>'12 - Device_Configuration'!H187</f>
        <v>0</v>
      </c>
      <c r="B186" s="30">
        <f>'12 - Device_Configuration'!S187</f>
        <v>0</v>
      </c>
      <c r="C186" s="30">
        <f>'12 - Device_Configuration'!T187</f>
        <v>0</v>
      </c>
      <c r="D186" s="17">
        <f>'12 - Device_Configuration'!AJ187</f>
        <v>0</v>
      </c>
      <c r="E186" s="17">
        <f>'12 - Device_Configuration'!J187</f>
        <v>0</v>
      </c>
      <c r="F186" s="30">
        <f>'12 - Device_Configuration'!K187</f>
        <v>0</v>
      </c>
      <c r="G186" s="17">
        <f>'12 - Device_Configuration'!L187</f>
        <v>0</v>
      </c>
      <c r="H186" s="17">
        <f>'13 - Config_Intake_View'!M186</f>
        <v>0</v>
      </c>
      <c r="I186" s="30">
        <f>IF('13 - Config_Intake_View'!Q186&lt;&gt;"",'13 - Config_Intake_View'!Q186,'12 - Device_Configuration'!BH187)</f>
        <v>0</v>
      </c>
      <c r="J186" s="17" t="str">
        <f>IF('13 - Config_Intake_View'!Q186&lt;&gt;"","PM Approved",IF('12 - Device_Configuration'!BH187&lt;&gt;"","Assumed",""))</f>
        <v/>
      </c>
      <c r="K186" s="30">
        <f>'12 - Device_Configuration'!BG187</f>
        <v>0</v>
      </c>
      <c r="L186" s="17">
        <f>'12 - Device_Configuration'!P187</f>
        <v>0</v>
      </c>
      <c r="M186" s="17">
        <f>'12 - Device_Configuration'!Q187</f>
        <v>0</v>
      </c>
      <c r="N186" s="17" t="str">
        <f>'12 - Device_Configuration'!BK187</f>
        <v/>
      </c>
      <c r="O186" s="30" t="str">
        <f>'12 - Device_Configuration'!BL187</f>
        <v/>
      </c>
      <c r="P186" s="2">
        <f>'12 - Device_Configuration'!BA187</f>
        <v>0</v>
      </c>
      <c r="Q186" s="30" t="str">
        <f t="shared" si="8"/>
        <v/>
      </c>
      <c r="R186" s="17" t="str">
        <f t="shared" si="9"/>
        <v>SW NOT INSTALLED</v>
      </c>
      <c r="S186" s="17" t="str">
        <f t="shared" si="10"/>
        <v/>
      </c>
      <c r="T186" s="17" t="str">
        <f t="shared" si="11"/>
        <v>SW NOT INSTALLED</v>
      </c>
    </row>
    <row r="187" spans="1:20">
      <c r="A187" s="30">
        <f>'12 - Device_Configuration'!H188</f>
        <v>0</v>
      </c>
      <c r="B187" s="30">
        <f>'12 - Device_Configuration'!S188</f>
        <v>0</v>
      </c>
      <c r="C187" s="30">
        <f>'12 - Device_Configuration'!T188</f>
        <v>0</v>
      </c>
      <c r="D187" s="17">
        <f>'12 - Device_Configuration'!AJ188</f>
        <v>0</v>
      </c>
      <c r="E187" s="17">
        <f>'12 - Device_Configuration'!J188</f>
        <v>0</v>
      </c>
      <c r="F187" s="30">
        <f>'12 - Device_Configuration'!K188</f>
        <v>0</v>
      </c>
      <c r="G187" s="17">
        <f>'12 - Device_Configuration'!L188</f>
        <v>0</v>
      </c>
      <c r="H187" s="17">
        <f>'13 - Config_Intake_View'!M187</f>
        <v>0</v>
      </c>
      <c r="I187" s="30">
        <f>IF('13 - Config_Intake_View'!Q187&lt;&gt;"",'13 - Config_Intake_View'!Q187,'12 - Device_Configuration'!BH188)</f>
        <v>0</v>
      </c>
      <c r="J187" s="17" t="str">
        <f>IF('13 - Config_Intake_View'!Q187&lt;&gt;"","PM Approved",IF('12 - Device_Configuration'!BH188&lt;&gt;"","Assumed",""))</f>
        <v/>
      </c>
      <c r="K187" s="30">
        <f>'12 - Device_Configuration'!BG188</f>
        <v>0</v>
      </c>
      <c r="L187" s="17">
        <f>'12 - Device_Configuration'!P188</f>
        <v>0</v>
      </c>
      <c r="M187" s="17">
        <f>'12 - Device_Configuration'!Q188</f>
        <v>0</v>
      </c>
      <c r="N187" s="17" t="str">
        <f>'12 - Device_Configuration'!BK188</f>
        <v/>
      </c>
      <c r="O187" s="30" t="str">
        <f>'12 - Device_Configuration'!BL188</f>
        <v/>
      </c>
      <c r="P187" s="2">
        <f>'12 - Device_Configuration'!BA188</f>
        <v>0</v>
      </c>
      <c r="Q187" s="30" t="str">
        <f t="shared" si="8"/>
        <v/>
      </c>
      <c r="R187" s="17" t="str">
        <f t="shared" si="9"/>
        <v>SW NOT INSTALLED</v>
      </c>
      <c r="S187" s="17" t="str">
        <f t="shared" si="10"/>
        <v/>
      </c>
      <c r="T187" s="17" t="str">
        <f t="shared" si="11"/>
        <v>SW NOT INSTALLED</v>
      </c>
    </row>
    <row r="188" spans="1:20">
      <c r="A188" s="30">
        <f>'12 - Device_Configuration'!H189</f>
        <v>0</v>
      </c>
      <c r="B188" s="30">
        <f>'12 - Device_Configuration'!S189</f>
        <v>0</v>
      </c>
      <c r="C188" s="30">
        <f>'12 - Device_Configuration'!T189</f>
        <v>0</v>
      </c>
      <c r="D188" s="17">
        <f>'12 - Device_Configuration'!AJ189</f>
        <v>0</v>
      </c>
      <c r="E188" s="17">
        <f>'12 - Device_Configuration'!J189</f>
        <v>0</v>
      </c>
      <c r="F188" s="30">
        <f>'12 - Device_Configuration'!K189</f>
        <v>0</v>
      </c>
      <c r="G188" s="17">
        <f>'12 - Device_Configuration'!L189</f>
        <v>0</v>
      </c>
      <c r="H188" s="17">
        <f>'13 - Config_Intake_View'!M188</f>
        <v>0</v>
      </c>
      <c r="I188" s="30">
        <f>IF('13 - Config_Intake_View'!Q188&lt;&gt;"",'13 - Config_Intake_View'!Q188,'12 - Device_Configuration'!BH189)</f>
        <v>0</v>
      </c>
      <c r="J188" s="17" t="str">
        <f>IF('13 - Config_Intake_View'!Q188&lt;&gt;"","PM Approved",IF('12 - Device_Configuration'!BH189&lt;&gt;"","Assumed",""))</f>
        <v/>
      </c>
      <c r="K188" s="30">
        <f>'12 - Device_Configuration'!BG189</f>
        <v>0</v>
      </c>
      <c r="L188" s="17">
        <f>'12 - Device_Configuration'!P189</f>
        <v>0</v>
      </c>
      <c r="M188" s="17">
        <f>'12 - Device_Configuration'!Q189</f>
        <v>0</v>
      </c>
      <c r="N188" s="17" t="str">
        <f>'12 - Device_Configuration'!BK189</f>
        <v/>
      </c>
      <c r="O188" s="30" t="str">
        <f>'12 - Device_Configuration'!BL189</f>
        <v/>
      </c>
      <c r="P188" s="2">
        <f>'12 - Device_Configuration'!BA189</f>
        <v>0</v>
      </c>
      <c r="Q188" s="30" t="str">
        <f t="shared" si="8"/>
        <v/>
      </c>
      <c r="R188" s="17" t="str">
        <f t="shared" si="9"/>
        <v>SW NOT INSTALLED</v>
      </c>
      <c r="S188" s="17" t="str">
        <f t="shared" si="10"/>
        <v/>
      </c>
      <c r="T188" s="17" t="str">
        <f t="shared" si="11"/>
        <v>SW NOT INSTALLED</v>
      </c>
    </row>
    <row r="189" spans="1:20">
      <c r="A189" s="30">
        <f>'12 - Device_Configuration'!H190</f>
        <v>0</v>
      </c>
      <c r="B189" s="30">
        <f>'12 - Device_Configuration'!S190</f>
        <v>0</v>
      </c>
      <c r="C189" s="30">
        <f>'12 - Device_Configuration'!T190</f>
        <v>0</v>
      </c>
      <c r="D189" s="17">
        <f>'12 - Device_Configuration'!AJ190</f>
        <v>0</v>
      </c>
      <c r="E189" s="17">
        <f>'12 - Device_Configuration'!J190</f>
        <v>0</v>
      </c>
      <c r="F189" s="30">
        <f>'12 - Device_Configuration'!K190</f>
        <v>0</v>
      </c>
      <c r="G189" s="17">
        <f>'12 - Device_Configuration'!L190</f>
        <v>0</v>
      </c>
      <c r="H189" s="17">
        <f>'13 - Config_Intake_View'!M189</f>
        <v>0</v>
      </c>
      <c r="I189" s="30">
        <f>IF('13 - Config_Intake_View'!Q189&lt;&gt;"",'13 - Config_Intake_View'!Q189,'12 - Device_Configuration'!BH190)</f>
        <v>0</v>
      </c>
      <c r="J189" s="17" t="str">
        <f>IF('13 - Config_Intake_View'!Q189&lt;&gt;"","PM Approved",IF('12 - Device_Configuration'!BH190&lt;&gt;"","Assumed",""))</f>
        <v/>
      </c>
      <c r="K189" s="30">
        <f>'12 - Device_Configuration'!BG190</f>
        <v>0</v>
      </c>
      <c r="L189" s="17">
        <f>'12 - Device_Configuration'!P190</f>
        <v>0</v>
      </c>
      <c r="M189" s="17">
        <f>'12 - Device_Configuration'!Q190</f>
        <v>0</v>
      </c>
      <c r="N189" s="17" t="str">
        <f>'12 - Device_Configuration'!BK190</f>
        <v/>
      </c>
      <c r="O189" s="30" t="str">
        <f>'12 - Device_Configuration'!BL190</f>
        <v/>
      </c>
      <c r="P189" s="2">
        <f>'12 - Device_Configuration'!BA190</f>
        <v>0</v>
      </c>
      <c r="Q189" s="30" t="str">
        <f t="shared" si="8"/>
        <v/>
      </c>
      <c r="R189" s="17" t="str">
        <f t="shared" si="9"/>
        <v>SW NOT INSTALLED</v>
      </c>
      <c r="S189" s="17" t="str">
        <f t="shared" si="10"/>
        <v/>
      </c>
      <c r="T189" s="17" t="str">
        <f t="shared" si="11"/>
        <v>SW NOT INSTALLED</v>
      </c>
    </row>
    <row r="190" spans="1:20">
      <c r="A190" s="30">
        <f>'12 - Device_Configuration'!H191</f>
        <v>0</v>
      </c>
      <c r="B190" s="30">
        <f>'12 - Device_Configuration'!S191</f>
        <v>0</v>
      </c>
      <c r="C190" s="30">
        <f>'12 - Device_Configuration'!T191</f>
        <v>0</v>
      </c>
      <c r="D190" s="17">
        <f>'12 - Device_Configuration'!AJ191</f>
        <v>0</v>
      </c>
      <c r="E190" s="17">
        <f>'12 - Device_Configuration'!J191</f>
        <v>0</v>
      </c>
      <c r="F190" s="30">
        <f>'12 - Device_Configuration'!K191</f>
        <v>0</v>
      </c>
      <c r="G190" s="17">
        <f>'12 - Device_Configuration'!L191</f>
        <v>0</v>
      </c>
      <c r="H190" s="17">
        <f>'13 - Config_Intake_View'!M190</f>
        <v>0</v>
      </c>
      <c r="I190" s="30">
        <f>IF('13 - Config_Intake_View'!Q190&lt;&gt;"",'13 - Config_Intake_View'!Q190,'12 - Device_Configuration'!BH191)</f>
        <v>0</v>
      </c>
      <c r="J190" s="17" t="str">
        <f>IF('13 - Config_Intake_View'!Q190&lt;&gt;"","PM Approved",IF('12 - Device_Configuration'!BH191&lt;&gt;"","Assumed",""))</f>
        <v/>
      </c>
      <c r="K190" s="30">
        <f>'12 - Device_Configuration'!BG191</f>
        <v>0</v>
      </c>
      <c r="L190" s="17">
        <f>'12 - Device_Configuration'!P191</f>
        <v>0</v>
      </c>
      <c r="M190" s="17">
        <f>'12 - Device_Configuration'!Q191</f>
        <v>0</v>
      </c>
      <c r="N190" s="17" t="str">
        <f>'12 - Device_Configuration'!BK191</f>
        <v/>
      </c>
      <c r="O190" s="30" t="str">
        <f>'12 - Device_Configuration'!BL191</f>
        <v/>
      </c>
      <c r="P190" s="2">
        <f>'12 - Device_Configuration'!BA191</f>
        <v>0</v>
      </c>
      <c r="Q190" s="30" t="str">
        <f t="shared" si="8"/>
        <v/>
      </c>
      <c r="R190" s="17" t="str">
        <f t="shared" si="9"/>
        <v>SW NOT INSTALLED</v>
      </c>
      <c r="S190" s="17" t="str">
        <f t="shared" si="10"/>
        <v/>
      </c>
      <c r="T190" s="17" t="str">
        <f t="shared" si="11"/>
        <v>SW NOT INSTALLED</v>
      </c>
    </row>
    <row r="191" spans="1:20">
      <c r="A191" s="30">
        <f>'12 - Device_Configuration'!H192</f>
        <v>0</v>
      </c>
      <c r="B191" s="30">
        <f>'12 - Device_Configuration'!S192</f>
        <v>0</v>
      </c>
      <c r="C191" s="30">
        <f>'12 - Device_Configuration'!T192</f>
        <v>0</v>
      </c>
      <c r="D191" s="17">
        <f>'12 - Device_Configuration'!AJ192</f>
        <v>0</v>
      </c>
      <c r="E191" s="17">
        <f>'12 - Device_Configuration'!J192</f>
        <v>0</v>
      </c>
      <c r="F191" s="30">
        <f>'12 - Device_Configuration'!K192</f>
        <v>0</v>
      </c>
      <c r="G191" s="17">
        <f>'12 - Device_Configuration'!L192</f>
        <v>0</v>
      </c>
      <c r="H191" s="17">
        <f>'13 - Config_Intake_View'!M191</f>
        <v>0</v>
      </c>
      <c r="I191" s="30">
        <f>IF('13 - Config_Intake_View'!Q191&lt;&gt;"",'13 - Config_Intake_View'!Q191,'12 - Device_Configuration'!BH192)</f>
        <v>0</v>
      </c>
      <c r="J191" s="17" t="str">
        <f>IF('13 - Config_Intake_View'!Q191&lt;&gt;"","PM Approved",IF('12 - Device_Configuration'!BH192&lt;&gt;"","Assumed",""))</f>
        <v/>
      </c>
      <c r="K191" s="30">
        <f>'12 - Device_Configuration'!BG192</f>
        <v>0</v>
      </c>
      <c r="L191" s="17">
        <f>'12 - Device_Configuration'!P192</f>
        <v>0</v>
      </c>
      <c r="M191" s="17">
        <f>'12 - Device_Configuration'!Q192</f>
        <v>0</v>
      </c>
      <c r="N191" s="17" t="str">
        <f>'12 - Device_Configuration'!BK192</f>
        <v/>
      </c>
      <c r="O191" s="30" t="str">
        <f>'12 - Device_Configuration'!BL192</f>
        <v/>
      </c>
      <c r="P191" s="2">
        <f>'12 - Device_Configuration'!BA192</f>
        <v>0</v>
      </c>
      <c r="Q191" s="30" t="str">
        <f t="shared" si="8"/>
        <v/>
      </c>
      <c r="R191" s="17" t="str">
        <f t="shared" si="9"/>
        <v>SW NOT INSTALLED</v>
      </c>
      <c r="S191" s="17" t="str">
        <f t="shared" si="10"/>
        <v/>
      </c>
      <c r="T191" s="17" t="str">
        <f t="shared" si="11"/>
        <v>SW NOT INSTALLED</v>
      </c>
    </row>
    <row r="192" spans="1:20">
      <c r="A192" s="30">
        <f>'12 - Device_Configuration'!H193</f>
        <v>0</v>
      </c>
      <c r="B192" s="30">
        <f>'12 - Device_Configuration'!S193</f>
        <v>0</v>
      </c>
      <c r="C192" s="30">
        <f>'12 - Device_Configuration'!T193</f>
        <v>0</v>
      </c>
      <c r="D192" s="17">
        <f>'12 - Device_Configuration'!AJ193</f>
        <v>0</v>
      </c>
      <c r="E192" s="17">
        <f>'12 - Device_Configuration'!J193</f>
        <v>0</v>
      </c>
      <c r="F192" s="30">
        <f>'12 - Device_Configuration'!K193</f>
        <v>0</v>
      </c>
      <c r="G192" s="17">
        <f>'12 - Device_Configuration'!L193</f>
        <v>0</v>
      </c>
      <c r="H192" s="17">
        <f>'13 - Config_Intake_View'!M192</f>
        <v>0</v>
      </c>
      <c r="I192" s="30">
        <f>IF('13 - Config_Intake_View'!Q192&lt;&gt;"",'13 - Config_Intake_View'!Q192,'12 - Device_Configuration'!BH193)</f>
        <v>0</v>
      </c>
      <c r="J192" s="17" t="str">
        <f>IF('13 - Config_Intake_View'!Q192&lt;&gt;"","PM Approved",IF('12 - Device_Configuration'!BH193&lt;&gt;"","Assumed",""))</f>
        <v/>
      </c>
      <c r="K192" s="30">
        <f>'12 - Device_Configuration'!BG193</f>
        <v>0</v>
      </c>
      <c r="L192" s="17">
        <f>'12 - Device_Configuration'!P193</f>
        <v>0</v>
      </c>
      <c r="M192" s="17">
        <f>'12 - Device_Configuration'!Q193</f>
        <v>0</v>
      </c>
      <c r="N192" s="17" t="str">
        <f>'12 - Device_Configuration'!BK193</f>
        <v/>
      </c>
      <c r="O192" s="30" t="str">
        <f>'12 - Device_Configuration'!BL193</f>
        <v/>
      </c>
      <c r="P192" s="2">
        <f>'12 - Device_Configuration'!BA193</f>
        <v>0</v>
      </c>
      <c r="Q192" s="30" t="str">
        <f t="shared" si="8"/>
        <v/>
      </c>
      <c r="R192" s="17" t="str">
        <f t="shared" si="9"/>
        <v>SW NOT INSTALLED</v>
      </c>
      <c r="S192" s="17" t="str">
        <f t="shared" si="10"/>
        <v/>
      </c>
      <c r="T192" s="17" t="str">
        <f t="shared" si="11"/>
        <v>SW NOT INSTALLED</v>
      </c>
    </row>
    <row r="193" spans="1:20">
      <c r="A193" s="30">
        <f>'12 - Device_Configuration'!H194</f>
        <v>0</v>
      </c>
      <c r="B193" s="30">
        <f>'12 - Device_Configuration'!S194</f>
        <v>0</v>
      </c>
      <c r="C193" s="30">
        <f>'12 - Device_Configuration'!T194</f>
        <v>0</v>
      </c>
      <c r="D193" s="17">
        <f>'12 - Device_Configuration'!AJ194</f>
        <v>0</v>
      </c>
      <c r="E193" s="17">
        <f>'12 - Device_Configuration'!J194</f>
        <v>0</v>
      </c>
      <c r="F193" s="30">
        <f>'12 - Device_Configuration'!K194</f>
        <v>0</v>
      </c>
      <c r="G193" s="17">
        <f>'12 - Device_Configuration'!L194</f>
        <v>0</v>
      </c>
      <c r="H193" s="17">
        <f>'13 - Config_Intake_View'!M193</f>
        <v>0</v>
      </c>
      <c r="I193" s="30">
        <f>IF('13 - Config_Intake_View'!Q193&lt;&gt;"",'13 - Config_Intake_View'!Q193,'12 - Device_Configuration'!BH194)</f>
        <v>0</v>
      </c>
      <c r="J193" s="17" t="str">
        <f>IF('13 - Config_Intake_View'!Q193&lt;&gt;"","PM Approved",IF('12 - Device_Configuration'!BH194&lt;&gt;"","Assumed",""))</f>
        <v/>
      </c>
      <c r="K193" s="30">
        <f>'12 - Device_Configuration'!BG194</f>
        <v>0</v>
      </c>
      <c r="L193" s="17">
        <f>'12 - Device_Configuration'!P194</f>
        <v>0</v>
      </c>
      <c r="M193" s="17">
        <f>'12 - Device_Configuration'!Q194</f>
        <v>0</v>
      </c>
      <c r="N193" s="17" t="str">
        <f>'12 - Device_Configuration'!BK194</f>
        <v/>
      </c>
      <c r="O193" s="30" t="str">
        <f>'12 - Device_Configuration'!BL194</f>
        <v/>
      </c>
      <c r="P193" s="2">
        <f>'12 - Device_Configuration'!BA194</f>
        <v>0</v>
      </c>
      <c r="Q193" s="30" t="str">
        <f t="shared" si="8"/>
        <v/>
      </c>
      <c r="R193" s="17" t="str">
        <f t="shared" si="9"/>
        <v>SW NOT INSTALLED</v>
      </c>
      <c r="S193" s="17" t="str">
        <f t="shared" si="10"/>
        <v/>
      </c>
      <c r="T193" s="17" t="str">
        <f t="shared" si="11"/>
        <v>SW NOT INSTALLED</v>
      </c>
    </row>
    <row r="194" spans="1:20">
      <c r="A194" s="30">
        <f>'12 - Device_Configuration'!H195</f>
        <v>0</v>
      </c>
      <c r="B194" s="30">
        <f>'12 - Device_Configuration'!S195</f>
        <v>0</v>
      </c>
      <c r="C194" s="30">
        <f>'12 - Device_Configuration'!T195</f>
        <v>0</v>
      </c>
      <c r="D194" s="17">
        <f>'12 - Device_Configuration'!AJ195</f>
        <v>0</v>
      </c>
      <c r="E194" s="17">
        <f>'12 - Device_Configuration'!J195</f>
        <v>0</v>
      </c>
      <c r="F194" s="30">
        <f>'12 - Device_Configuration'!K195</f>
        <v>0</v>
      </c>
      <c r="G194" s="17">
        <f>'12 - Device_Configuration'!L195</f>
        <v>0</v>
      </c>
      <c r="H194" s="17">
        <f>'13 - Config_Intake_View'!M194</f>
        <v>0</v>
      </c>
      <c r="I194" s="30">
        <f>IF('13 - Config_Intake_View'!Q194&lt;&gt;"",'13 - Config_Intake_View'!Q194,'12 - Device_Configuration'!BH195)</f>
        <v>0</v>
      </c>
      <c r="J194" s="17" t="str">
        <f>IF('13 - Config_Intake_View'!Q194&lt;&gt;"","PM Approved",IF('12 - Device_Configuration'!BH195&lt;&gt;"","Assumed",""))</f>
        <v/>
      </c>
      <c r="K194" s="30">
        <f>'12 - Device_Configuration'!BG195</f>
        <v>0</v>
      </c>
      <c r="L194" s="17">
        <f>'12 - Device_Configuration'!P195</f>
        <v>0</v>
      </c>
      <c r="M194" s="17">
        <f>'12 - Device_Configuration'!Q195</f>
        <v>0</v>
      </c>
      <c r="N194" s="17" t="str">
        <f>'12 - Device_Configuration'!BK195</f>
        <v/>
      </c>
      <c r="O194" s="30" t="str">
        <f>'12 - Device_Configuration'!BL195</f>
        <v/>
      </c>
      <c r="P194" s="2">
        <f>'12 - Device_Configuration'!BA195</f>
        <v>0</v>
      </c>
      <c r="Q194" s="30" t="str">
        <f t="shared" ref="Q194:Q257" si="12">IF(OR($A194="",$B194="",$D194=""),"MISSING CORE FIELDS","")</f>
        <v/>
      </c>
      <c r="R194" s="17" t="str">
        <f t="shared" ref="R194:R257" si="13">IF(AND($I194&lt;&gt;"",$K194&lt;&gt;"Yes"),"SW NOT INSTALLED","")</f>
        <v>SW NOT INSTALLED</v>
      </c>
      <c r="S194" s="17" t="str">
        <f t="shared" ref="S194:S257" si="14">IF(AND($H194&lt;&gt;"",ISNUMBER(SEARCH("auto",LOWER($H194))),$F194=""),"AUTOLOGON REQUIRED","")</f>
        <v/>
      </c>
      <c r="T194" s="17" t="str">
        <f t="shared" ref="T194:T257" si="15">IF($Q194&lt;&gt;"",$Q194,IF($S194&lt;&gt;"",$S194,IF($R194&lt;&gt;"",$R194,IF(OR($N194&lt;&gt;"",$O194="Blocked"),"BLOCKED","OK"))))</f>
        <v>SW NOT INSTALLED</v>
      </c>
    </row>
    <row r="195" spans="1:20">
      <c r="A195" s="30">
        <f>'12 - Device_Configuration'!H196</f>
        <v>0</v>
      </c>
      <c r="B195" s="30">
        <f>'12 - Device_Configuration'!S196</f>
        <v>0</v>
      </c>
      <c r="C195" s="30">
        <f>'12 - Device_Configuration'!T196</f>
        <v>0</v>
      </c>
      <c r="D195" s="17">
        <f>'12 - Device_Configuration'!AJ196</f>
        <v>0</v>
      </c>
      <c r="E195" s="17">
        <f>'12 - Device_Configuration'!J196</f>
        <v>0</v>
      </c>
      <c r="F195" s="30">
        <f>'12 - Device_Configuration'!K196</f>
        <v>0</v>
      </c>
      <c r="G195" s="17">
        <f>'12 - Device_Configuration'!L196</f>
        <v>0</v>
      </c>
      <c r="H195" s="17">
        <f>'13 - Config_Intake_View'!M195</f>
        <v>0</v>
      </c>
      <c r="I195" s="30">
        <f>IF('13 - Config_Intake_View'!Q195&lt;&gt;"",'13 - Config_Intake_View'!Q195,'12 - Device_Configuration'!BH196)</f>
        <v>0</v>
      </c>
      <c r="J195" s="17" t="str">
        <f>IF('13 - Config_Intake_View'!Q195&lt;&gt;"","PM Approved",IF('12 - Device_Configuration'!BH196&lt;&gt;"","Assumed",""))</f>
        <v/>
      </c>
      <c r="K195" s="30">
        <f>'12 - Device_Configuration'!BG196</f>
        <v>0</v>
      </c>
      <c r="L195" s="17">
        <f>'12 - Device_Configuration'!P196</f>
        <v>0</v>
      </c>
      <c r="M195" s="17">
        <f>'12 - Device_Configuration'!Q196</f>
        <v>0</v>
      </c>
      <c r="N195" s="17" t="str">
        <f>'12 - Device_Configuration'!BK196</f>
        <v/>
      </c>
      <c r="O195" s="30" t="str">
        <f>'12 - Device_Configuration'!BL196</f>
        <v/>
      </c>
      <c r="P195" s="2">
        <f>'12 - Device_Configuration'!BA196</f>
        <v>0</v>
      </c>
      <c r="Q195" s="30" t="str">
        <f t="shared" si="12"/>
        <v/>
      </c>
      <c r="R195" s="17" t="str">
        <f t="shared" si="13"/>
        <v>SW NOT INSTALLED</v>
      </c>
      <c r="S195" s="17" t="str">
        <f t="shared" si="14"/>
        <v/>
      </c>
      <c r="T195" s="17" t="str">
        <f t="shared" si="15"/>
        <v>SW NOT INSTALLED</v>
      </c>
    </row>
    <row r="196" spans="1:20">
      <c r="A196" s="30">
        <f>'12 - Device_Configuration'!H197</f>
        <v>0</v>
      </c>
      <c r="B196" s="30">
        <f>'12 - Device_Configuration'!S197</f>
        <v>0</v>
      </c>
      <c r="C196" s="30">
        <f>'12 - Device_Configuration'!T197</f>
        <v>0</v>
      </c>
      <c r="D196" s="17">
        <f>'12 - Device_Configuration'!AJ197</f>
        <v>0</v>
      </c>
      <c r="E196" s="17">
        <f>'12 - Device_Configuration'!J197</f>
        <v>0</v>
      </c>
      <c r="F196" s="30">
        <f>'12 - Device_Configuration'!K197</f>
        <v>0</v>
      </c>
      <c r="G196" s="17">
        <f>'12 - Device_Configuration'!L197</f>
        <v>0</v>
      </c>
      <c r="H196" s="17">
        <f>'13 - Config_Intake_View'!M196</f>
        <v>0</v>
      </c>
      <c r="I196" s="30">
        <f>IF('13 - Config_Intake_View'!Q196&lt;&gt;"",'13 - Config_Intake_View'!Q196,'12 - Device_Configuration'!BH197)</f>
        <v>0</v>
      </c>
      <c r="J196" s="17" t="str">
        <f>IF('13 - Config_Intake_View'!Q196&lt;&gt;"","PM Approved",IF('12 - Device_Configuration'!BH197&lt;&gt;"","Assumed",""))</f>
        <v/>
      </c>
      <c r="K196" s="30">
        <f>'12 - Device_Configuration'!BG197</f>
        <v>0</v>
      </c>
      <c r="L196" s="17">
        <f>'12 - Device_Configuration'!P197</f>
        <v>0</v>
      </c>
      <c r="M196" s="17">
        <f>'12 - Device_Configuration'!Q197</f>
        <v>0</v>
      </c>
      <c r="N196" s="17" t="str">
        <f>'12 - Device_Configuration'!BK197</f>
        <v/>
      </c>
      <c r="O196" s="30" t="str">
        <f>'12 - Device_Configuration'!BL197</f>
        <v/>
      </c>
      <c r="P196" s="2">
        <f>'12 - Device_Configuration'!BA197</f>
        <v>0</v>
      </c>
      <c r="Q196" s="30" t="str">
        <f t="shared" si="12"/>
        <v/>
      </c>
      <c r="R196" s="17" t="str">
        <f t="shared" si="13"/>
        <v>SW NOT INSTALLED</v>
      </c>
      <c r="S196" s="17" t="str">
        <f t="shared" si="14"/>
        <v/>
      </c>
      <c r="T196" s="17" t="str">
        <f t="shared" si="15"/>
        <v>SW NOT INSTALLED</v>
      </c>
    </row>
    <row r="197" spans="1:20">
      <c r="A197" s="30">
        <f>'12 - Device_Configuration'!H198</f>
        <v>0</v>
      </c>
      <c r="B197" s="30">
        <f>'12 - Device_Configuration'!S198</f>
        <v>0</v>
      </c>
      <c r="C197" s="30">
        <f>'12 - Device_Configuration'!T198</f>
        <v>0</v>
      </c>
      <c r="D197" s="17">
        <f>'12 - Device_Configuration'!AJ198</f>
        <v>0</v>
      </c>
      <c r="E197" s="17">
        <f>'12 - Device_Configuration'!J198</f>
        <v>0</v>
      </c>
      <c r="F197" s="30">
        <f>'12 - Device_Configuration'!K198</f>
        <v>0</v>
      </c>
      <c r="G197" s="17">
        <f>'12 - Device_Configuration'!L198</f>
        <v>0</v>
      </c>
      <c r="H197" s="17">
        <f>'13 - Config_Intake_View'!M197</f>
        <v>0</v>
      </c>
      <c r="I197" s="30">
        <f>IF('13 - Config_Intake_View'!Q197&lt;&gt;"",'13 - Config_Intake_View'!Q197,'12 - Device_Configuration'!BH198)</f>
        <v>0</v>
      </c>
      <c r="J197" s="17" t="str">
        <f>IF('13 - Config_Intake_View'!Q197&lt;&gt;"","PM Approved",IF('12 - Device_Configuration'!BH198&lt;&gt;"","Assumed",""))</f>
        <v/>
      </c>
      <c r="K197" s="30">
        <f>'12 - Device_Configuration'!BG198</f>
        <v>0</v>
      </c>
      <c r="L197" s="17">
        <f>'12 - Device_Configuration'!P198</f>
        <v>0</v>
      </c>
      <c r="M197" s="17">
        <f>'12 - Device_Configuration'!Q198</f>
        <v>0</v>
      </c>
      <c r="N197" s="17" t="str">
        <f>'12 - Device_Configuration'!BK198</f>
        <v/>
      </c>
      <c r="O197" s="30" t="str">
        <f>'12 - Device_Configuration'!BL198</f>
        <v/>
      </c>
      <c r="P197" s="2">
        <f>'12 - Device_Configuration'!BA198</f>
        <v>0</v>
      </c>
      <c r="Q197" s="30" t="str">
        <f t="shared" si="12"/>
        <v/>
      </c>
      <c r="R197" s="17" t="str">
        <f t="shared" si="13"/>
        <v>SW NOT INSTALLED</v>
      </c>
      <c r="S197" s="17" t="str">
        <f t="shared" si="14"/>
        <v/>
      </c>
      <c r="T197" s="17" t="str">
        <f t="shared" si="15"/>
        <v>SW NOT INSTALLED</v>
      </c>
    </row>
    <row r="198" spans="1:20">
      <c r="A198" s="30">
        <f>'12 - Device_Configuration'!H199</f>
        <v>0</v>
      </c>
      <c r="B198" s="30">
        <f>'12 - Device_Configuration'!S199</f>
        <v>0</v>
      </c>
      <c r="C198" s="30">
        <f>'12 - Device_Configuration'!T199</f>
        <v>0</v>
      </c>
      <c r="D198" s="17">
        <f>'12 - Device_Configuration'!AJ199</f>
        <v>0</v>
      </c>
      <c r="E198" s="17">
        <f>'12 - Device_Configuration'!J199</f>
        <v>0</v>
      </c>
      <c r="F198" s="30">
        <f>'12 - Device_Configuration'!K199</f>
        <v>0</v>
      </c>
      <c r="G198" s="17">
        <f>'12 - Device_Configuration'!L199</f>
        <v>0</v>
      </c>
      <c r="H198" s="17">
        <f>'13 - Config_Intake_View'!M198</f>
        <v>0</v>
      </c>
      <c r="I198" s="30">
        <f>IF('13 - Config_Intake_View'!Q198&lt;&gt;"",'13 - Config_Intake_View'!Q198,'12 - Device_Configuration'!BH199)</f>
        <v>0</v>
      </c>
      <c r="J198" s="17" t="str">
        <f>IF('13 - Config_Intake_View'!Q198&lt;&gt;"","PM Approved",IF('12 - Device_Configuration'!BH199&lt;&gt;"","Assumed",""))</f>
        <v/>
      </c>
      <c r="K198" s="30">
        <f>'12 - Device_Configuration'!BG199</f>
        <v>0</v>
      </c>
      <c r="L198" s="17">
        <f>'12 - Device_Configuration'!P199</f>
        <v>0</v>
      </c>
      <c r="M198" s="17">
        <f>'12 - Device_Configuration'!Q199</f>
        <v>0</v>
      </c>
      <c r="N198" s="17" t="str">
        <f>'12 - Device_Configuration'!BK199</f>
        <v/>
      </c>
      <c r="O198" s="30" t="str">
        <f>'12 - Device_Configuration'!BL199</f>
        <v/>
      </c>
      <c r="P198" s="2">
        <f>'12 - Device_Configuration'!BA199</f>
        <v>0</v>
      </c>
      <c r="Q198" s="30" t="str">
        <f t="shared" si="12"/>
        <v/>
      </c>
      <c r="R198" s="17" t="str">
        <f t="shared" si="13"/>
        <v>SW NOT INSTALLED</v>
      </c>
      <c r="S198" s="17" t="str">
        <f t="shared" si="14"/>
        <v/>
      </c>
      <c r="T198" s="17" t="str">
        <f t="shared" si="15"/>
        <v>SW NOT INSTALLED</v>
      </c>
    </row>
    <row r="199" spans="1:20">
      <c r="A199" s="30">
        <f>'12 - Device_Configuration'!H200</f>
        <v>0</v>
      </c>
      <c r="B199" s="30">
        <f>'12 - Device_Configuration'!S200</f>
        <v>0</v>
      </c>
      <c r="C199" s="30">
        <f>'12 - Device_Configuration'!T200</f>
        <v>0</v>
      </c>
      <c r="D199" s="17">
        <f>'12 - Device_Configuration'!AJ200</f>
        <v>0</v>
      </c>
      <c r="E199" s="17">
        <f>'12 - Device_Configuration'!J200</f>
        <v>0</v>
      </c>
      <c r="F199" s="30">
        <f>'12 - Device_Configuration'!K200</f>
        <v>0</v>
      </c>
      <c r="G199" s="17">
        <f>'12 - Device_Configuration'!L200</f>
        <v>0</v>
      </c>
      <c r="H199" s="17">
        <f>'13 - Config_Intake_View'!M199</f>
        <v>0</v>
      </c>
      <c r="I199" s="30">
        <f>IF('13 - Config_Intake_View'!Q199&lt;&gt;"",'13 - Config_Intake_View'!Q199,'12 - Device_Configuration'!BH200)</f>
        <v>0</v>
      </c>
      <c r="J199" s="17" t="str">
        <f>IF('13 - Config_Intake_View'!Q199&lt;&gt;"","PM Approved",IF('12 - Device_Configuration'!BH200&lt;&gt;"","Assumed",""))</f>
        <v/>
      </c>
      <c r="K199" s="30">
        <f>'12 - Device_Configuration'!BG200</f>
        <v>0</v>
      </c>
      <c r="L199" s="17">
        <f>'12 - Device_Configuration'!P200</f>
        <v>0</v>
      </c>
      <c r="M199" s="17">
        <f>'12 - Device_Configuration'!Q200</f>
        <v>0</v>
      </c>
      <c r="N199" s="17" t="str">
        <f>'12 - Device_Configuration'!BK200</f>
        <v/>
      </c>
      <c r="O199" s="30" t="str">
        <f>'12 - Device_Configuration'!BL200</f>
        <v/>
      </c>
      <c r="P199" s="2">
        <f>'12 - Device_Configuration'!BA200</f>
        <v>0</v>
      </c>
      <c r="Q199" s="30" t="str">
        <f t="shared" si="12"/>
        <v/>
      </c>
      <c r="R199" s="17" t="str">
        <f t="shared" si="13"/>
        <v>SW NOT INSTALLED</v>
      </c>
      <c r="S199" s="17" t="str">
        <f t="shared" si="14"/>
        <v/>
      </c>
      <c r="T199" s="17" t="str">
        <f t="shared" si="15"/>
        <v>SW NOT INSTALLED</v>
      </c>
    </row>
    <row r="200" spans="1:20">
      <c r="A200" s="30">
        <f>'12 - Device_Configuration'!H201</f>
        <v>0</v>
      </c>
      <c r="B200" s="30">
        <f>'12 - Device_Configuration'!S201</f>
        <v>0</v>
      </c>
      <c r="C200" s="30">
        <f>'12 - Device_Configuration'!T201</f>
        <v>0</v>
      </c>
      <c r="D200" s="17">
        <f>'12 - Device_Configuration'!AJ201</f>
        <v>0</v>
      </c>
      <c r="E200" s="17">
        <f>'12 - Device_Configuration'!J201</f>
        <v>0</v>
      </c>
      <c r="F200" s="30">
        <f>'12 - Device_Configuration'!K201</f>
        <v>0</v>
      </c>
      <c r="G200" s="17">
        <f>'12 - Device_Configuration'!L201</f>
        <v>0</v>
      </c>
      <c r="H200" s="17">
        <f>'13 - Config_Intake_View'!M200</f>
        <v>0</v>
      </c>
      <c r="I200" s="30">
        <f>IF('13 - Config_Intake_View'!Q200&lt;&gt;"",'13 - Config_Intake_View'!Q200,'12 - Device_Configuration'!BH201)</f>
        <v>0</v>
      </c>
      <c r="J200" s="17" t="str">
        <f>IF('13 - Config_Intake_View'!Q200&lt;&gt;"","PM Approved",IF('12 - Device_Configuration'!BH201&lt;&gt;"","Assumed",""))</f>
        <v/>
      </c>
      <c r="K200" s="30">
        <f>'12 - Device_Configuration'!BG201</f>
        <v>0</v>
      </c>
      <c r="L200" s="17">
        <f>'12 - Device_Configuration'!P201</f>
        <v>0</v>
      </c>
      <c r="M200" s="17">
        <f>'12 - Device_Configuration'!Q201</f>
        <v>0</v>
      </c>
      <c r="N200" s="17" t="str">
        <f>'12 - Device_Configuration'!BK201</f>
        <v/>
      </c>
      <c r="O200" s="30" t="str">
        <f>'12 - Device_Configuration'!BL201</f>
        <v/>
      </c>
      <c r="P200" s="2">
        <f>'12 - Device_Configuration'!BA201</f>
        <v>0</v>
      </c>
      <c r="Q200" s="30" t="str">
        <f t="shared" si="12"/>
        <v/>
      </c>
      <c r="R200" s="17" t="str">
        <f t="shared" si="13"/>
        <v>SW NOT INSTALLED</v>
      </c>
      <c r="S200" s="17" t="str">
        <f t="shared" si="14"/>
        <v/>
      </c>
      <c r="T200" s="17" t="str">
        <f t="shared" si="15"/>
        <v>SW NOT INSTALLED</v>
      </c>
    </row>
    <row r="201" spans="1:20">
      <c r="A201" s="30">
        <f>'12 - Device_Configuration'!H202</f>
        <v>0</v>
      </c>
      <c r="B201" s="30">
        <f>'12 - Device_Configuration'!S202</f>
        <v>0</v>
      </c>
      <c r="C201" s="30">
        <f>'12 - Device_Configuration'!T202</f>
        <v>0</v>
      </c>
      <c r="D201" s="17">
        <f>'12 - Device_Configuration'!AJ202</f>
        <v>0</v>
      </c>
      <c r="E201" s="17">
        <f>'12 - Device_Configuration'!J202</f>
        <v>0</v>
      </c>
      <c r="F201" s="30">
        <f>'12 - Device_Configuration'!K202</f>
        <v>0</v>
      </c>
      <c r="G201" s="17">
        <f>'12 - Device_Configuration'!L202</f>
        <v>0</v>
      </c>
      <c r="H201" s="17">
        <f>'13 - Config_Intake_View'!M201</f>
        <v>0</v>
      </c>
      <c r="I201" s="30">
        <f>IF('13 - Config_Intake_View'!Q201&lt;&gt;"",'13 - Config_Intake_View'!Q201,'12 - Device_Configuration'!BH202)</f>
        <v>0</v>
      </c>
      <c r="J201" s="17" t="str">
        <f>IF('13 - Config_Intake_View'!Q201&lt;&gt;"","PM Approved",IF('12 - Device_Configuration'!BH202&lt;&gt;"","Assumed",""))</f>
        <v/>
      </c>
      <c r="K201" s="30">
        <f>'12 - Device_Configuration'!BG202</f>
        <v>0</v>
      </c>
      <c r="L201" s="17">
        <f>'12 - Device_Configuration'!P202</f>
        <v>0</v>
      </c>
      <c r="M201" s="17">
        <f>'12 - Device_Configuration'!Q202</f>
        <v>0</v>
      </c>
      <c r="N201" s="17" t="str">
        <f>'12 - Device_Configuration'!BK202</f>
        <v/>
      </c>
      <c r="O201" s="30" t="str">
        <f>'12 - Device_Configuration'!BL202</f>
        <v/>
      </c>
      <c r="P201" s="2">
        <f>'12 - Device_Configuration'!BA202</f>
        <v>0</v>
      </c>
      <c r="Q201" s="30" t="str">
        <f t="shared" si="12"/>
        <v/>
      </c>
      <c r="R201" s="17" t="str">
        <f t="shared" si="13"/>
        <v>SW NOT INSTALLED</v>
      </c>
      <c r="S201" s="17" t="str">
        <f t="shared" si="14"/>
        <v/>
      </c>
      <c r="T201" s="17" t="str">
        <f t="shared" si="15"/>
        <v>SW NOT INSTALLED</v>
      </c>
    </row>
    <row r="202" spans="1:20">
      <c r="A202" s="30">
        <f>'12 - Device_Configuration'!H203</f>
        <v>0</v>
      </c>
      <c r="B202" s="30">
        <f>'12 - Device_Configuration'!S203</f>
        <v>0</v>
      </c>
      <c r="C202" s="30">
        <f>'12 - Device_Configuration'!T203</f>
        <v>0</v>
      </c>
      <c r="D202" s="17">
        <f>'12 - Device_Configuration'!AJ203</f>
        <v>0</v>
      </c>
      <c r="E202" s="17">
        <f>'12 - Device_Configuration'!J203</f>
        <v>0</v>
      </c>
      <c r="F202" s="30">
        <f>'12 - Device_Configuration'!K203</f>
        <v>0</v>
      </c>
      <c r="G202" s="17">
        <f>'12 - Device_Configuration'!L203</f>
        <v>0</v>
      </c>
      <c r="H202" s="17">
        <f>'13 - Config_Intake_View'!M202</f>
        <v>0</v>
      </c>
      <c r="I202" s="30">
        <f>IF('13 - Config_Intake_View'!Q202&lt;&gt;"",'13 - Config_Intake_View'!Q202,'12 - Device_Configuration'!BH203)</f>
        <v>0</v>
      </c>
      <c r="J202" s="17" t="str">
        <f>IF('13 - Config_Intake_View'!Q202&lt;&gt;"","PM Approved",IF('12 - Device_Configuration'!BH203&lt;&gt;"","Assumed",""))</f>
        <v/>
      </c>
      <c r="K202" s="30">
        <f>'12 - Device_Configuration'!BG203</f>
        <v>0</v>
      </c>
      <c r="L202" s="17">
        <f>'12 - Device_Configuration'!P203</f>
        <v>0</v>
      </c>
      <c r="M202" s="17">
        <f>'12 - Device_Configuration'!Q203</f>
        <v>0</v>
      </c>
      <c r="N202" s="17" t="str">
        <f>'12 - Device_Configuration'!BK203</f>
        <v/>
      </c>
      <c r="O202" s="30" t="str">
        <f>'12 - Device_Configuration'!BL203</f>
        <v/>
      </c>
      <c r="P202" s="2">
        <f>'12 - Device_Configuration'!BA203</f>
        <v>0</v>
      </c>
      <c r="Q202" s="30" t="str">
        <f t="shared" si="12"/>
        <v/>
      </c>
      <c r="R202" s="17" t="str">
        <f t="shared" si="13"/>
        <v>SW NOT INSTALLED</v>
      </c>
      <c r="S202" s="17" t="str">
        <f t="shared" si="14"/>
        <v/>
      </c>
      <c r="T202" s="17" t="str">
        <f t="shared" si="15"/>
        <v>SW NOT INSTALLED</v>
      </c>
    </row>
    <row r="203" spans="1:20">
      <c r="A203" s="30">
        <f>'12 - Device_Configuration'!H204</f>
        <v>0</v>
      </c>
      <c r="B203" s="30">
        <f>'12 - Device_Configuration'!S204</f>
        <v>0</v>
      </c>
      <c r="C203" s="30">
        <f>'12 - Device_Configuration'!T204</f>
        <v>0</v>
      </c>
      <c r="D203" s="17">
        <f>'12 - Device_Configuration'!AJ204</f>
        <v>0</v>
      </c>
      <c r="E203" s="17">
        <f>'12 - Device_Configuration'!J204</f>
        <v>0</v>
      </c>
      <c r="F203" s="30">
        <f>'12 - Device_Configuration'!K204</f>
        <v>0</v>
      </c>
      <c r="G203" s="17">
        <f>'12 - Device_Configuration'!L204</f>
        <v>0</v>
      </c>
      <c r="H203" s="17">
        <f>'13 - Config_Intake_View'!M203</f>
        <v>0</v>
      </c>
      <c r="I203" s="30">
        <f>IF('13 - Config_Intake_View'!Q203&lt;&gt;"",'13 - Config_Intake_View'!Q203,'12 - Device_Configuration'!BH204)</f>
        <v>0</v>
      </c>
      <c r="J203" s="17" t="str">
        <f>IF('13 - Config_Intake_View'!Q203&lt;&gt;"","PM Approved",IF('12 - Device_Configuration'!BH204&lt;&gt;"","Assumed",""))</f>
        <v/>
      </c>
      <c r="K203" s="30">
        <f>'12 - Device_Configuration'!BG204</f>
        <v>0</v>
      </c>
      <c r="L203" s="17">
        <f>'12 - Device_Configuration'!P204</f>
        <v>0</v>
      </c>
      <c r="M203" s="17">
        <f>'12 - Device_Configuration'!Q204</f>
        <v>0</v>
      </c>
      <c r="N203" s="17" t="str">
        <f>'12 - Device_Configuration'!BK204</f>
        <v/>
      </c>
      <c r="O203" s="30" t="str">
        <f>'12 - Device_Configuration'!BL204</f>
        <v/>
      </c>
      <c r="P203" s="2">
        <f>'12 - Device_Configuration'!BA204</f>
        <v>0</v>
      </c>
      <c r="Q203" s="30" t="str">
        <f t="shared" si="12"/>
        <v/>
      </c>
      <c r="R203" s="17" t="str">
        <f t="shared" si="13"/>
        <v>SW NOT INSTALLED</v>
      </c>
      <c r="S203" s="17" t="str">
        <f t="shared" si="14"/>
        <v/>
      </c>
      <c r="T203" s="17" t="str">
        <f t="shared" si="15"/>
        <v>SW NOT INSTALLED</v>
      </c>
    </row>
    <row r="204" spans="1:20">
      <c r="A204" s="30">
        <f>'12 - Device_Configuration'!H205</f>
        <v>0</v>
      </c>
      <c r="B204" s="30">
        <f>'12 - Device_Configuration'!S205</f>
        <v>0</v>
      </c>
      <c r="C204" s="30">
        <f>'12 - Device_Configuration'!T205</f>
        <v>0</v>
      </c>
      <c r="D204" s="17">
        <f>'12 - Device_Configuration'!AJ205</f>
        <v>0</v>
      </c>
      <c r="E204" s="17">
        <f>'12 - Device_Configuration'!J205</f>
        <v>0</v>
      </c>
      <c r="F204" s="30">
        <f>'12 - Device_Configuration'!K205</f>
        <v>0</v>
      </c>
      <c r="G204" s="17">
        <f>'12 - Device_Configuration'!L205</f>
        <v>0</v>
      </c>
      <c r="H204" s="17">
        <f>'13 - Config_Intake_View'!M204</f>
        <v>0</v>
      </c>
      <c r="I204" s="30">
        <f>IF('13 - Config_Intake_View'!Q204&lt;&gt;"",'13 - Config_Intake_View'!Q204,'12 - Device_Configuration'!BH205)</f>
        <v>0</v>
      </c>
      <c r="J204" s="17" t="str">
        <f>IF('13 - Config_Intake_View'!Q204&lt;&gt;"","PM Approved",IF('12 - Device_Configuration'!BH205&lt;&gt;"","Assumed",""))</f>
        <v/>
      </c>
      <c r="K204" s="30">
        <f>'12 - Device_Configuration'!BG205</f>
        <v>0</v>
      </c>
      <c r="L204" s="17">
        <f>'12 - Device_Configuration'!P205</f>
        <v>0</v>
      </c>
      <c r="M204" s="17">
        <f>'12 - Device_Configuration'!Q205</f>
        <v>0</v>
      </c>
      <c r="N204" s="17" t="str">
        <f>'12 - Device_Configuration'!BK205</f>
        <v/>
      </c>
      <c r="O204" s="30" t="str">
        <f>'12 - Device_Configuration'!BL205</f>
        <v/>
      </c>
      <c r="P204" s="2">
        <f>'12 - Device_Configuration'!BA205</f>
        <v>0</v>
      </c>
      <c r="Q204" s="30" t="str">
        <f t="shared" si="12"/>
        <v/>
      </c>
      <c r="R204" s="17" t="str">
        <f t="shared" si="13"/>
        <v>SW NOT INSTALLED</v>
      </c>
      <c r="S204" s="17" t="str">
        <f t="shared" si="14"/>
        <v/>
      </c>
      <c r="T204" s="17" t="str">
        <f t="shared" si="15"/>
        <v>SW NOT INSTALLED</v>
      </c>
    </row>
    <row r="205" spans="1:20">
      <c r="A205" s="30">
        <f>'12 - Device_Configuration'!H206</f>
        <v>0</v>
      </c>
      <c r="B205" s="30">
        <f>'12 - Device_Configuration'!S206</f>
        <v>0</v>
      </c>
      <c r="C205" s="30">
        <f>'12 - Device_Configuration'!T206</f>
        <v>0</v>
      </c>
      <c r="D205" s="17">
        <f>'12 - Device_Configuration'!AJ206</f>
        <v>0</v>
      </c>
      <c r="E205" s="17">
        <f>'12 - Device_Configuration'!J206</f>
        <v>0</v>
      </c>
      <c r="F205" s="30">
        <f>'12 - Device_Configuration'!K206</f>
        <v>0</v>
      </c>
      <c r="G205" s="17">
        <f>'12 - Device_Configuration'!L206</f>
        <v>0</v>
      </c>
      <c r="H205" s="17">
        <f>'13 - Config_Intake_View'!M205</f>
        <v>0</v>
      </c>
      <c r="I205" s="30">
        <f>IF('13 - Config_Intake_View'!Q205&lt;&gt;"",'13 - Config_Intake_View'!Q205,'12 - Device_Configuration'!BH206)</f>
        <v>0</v>
      </c>
      <c r="J205" s="17" t="str">
        <f>IF('13 - Config_Intake_View'!Q205&lt;&gt;"","PM Approved",IF('12 - Device_Configuration'!BH206&lt;&gt;"","Assumed",""))</f>
        <v/>
      </c>
      <c r="K205" s="30">
        <f>'12 - Device_Configuration'!BG206</f>
        <v>0</v>
      </c>
      <c r="L205" s="17">
        <f>'12 - Device_Configuration'!P206</f>
        <v>0</v>
      </c>
      <c r="M205" s="17">
        <f>'12 - Device_Configuration'!Q206</f>
        <v>0</v>
      </c>
      <c r="N205" s="17" t="str">
        <f>'12 - Device_Configuration'!BK206</f>
        <v/>
      </c>
      <c r="O205" s="30" t="str">
        <f>'12 - Device_Configuration'!BL206</f>
        <v/>
      </c>
      <c r="P205" s="2">
        <f>'12 - Device_Configuration'!BA206</f>
        <v>0</v>
      </c>
      <c r="Q205" s="30" t="str">
        <f t="shared" si="12"/>
        <v/>
      </c>
      <c r="R205" s="17" t="str">
        <f t="shared" si="13"/>
        <v>SW NOT INSTALLED</v>
      </c>
      <c r="S205" s="17" t="str">
        <f t="shared" si="14"/>
        <v/>
      </c>
      <c r="T205" s="17" t="str">
        <f t="shared" si="15"/>
        <v>SW NOT INSTALLED</v>
      </c>
    </row>
    <row r="206" spans="1:20">
      <c r="A206" s="30">
        <f>'12 - Device_Configuration'!H207</f>
        <v>0</v>
      </c>
      <c r="B206" s="30">
        <f>'12 - Device_Configuration'!S207</f>
        <v>0</v>
      </c>
      <c r="C206" s="30">
        <f>'12 - Device_Configuration'!T207</f>
        <v>0</v>
      </c>
      <c r="D206" s="17">
        <f>'12 - Device_Configuration'!AJ207</f>
        <v>0</v>
      </c>
      <c r="E206" s="17">
        <f>'12 - Device_Configuration'!J207</f>
        <v>0</v>
      </c>
      <c r="F206" s="30">
        <f>'12 - Device_Configuration'!K207</f>
        <v>0</v>
      </c>
      <c r="G206" s="17">
        <f>'12 - Device_Configuration'!L207</f>
        <v>0</v>
      </c>
      <c r="H206" s="17">
        <f>'13 - Config_Intake_View'!M206</f>
        <v>0</v>
      </c>
      <c r="I206" s="30">
        <f>IF('13 - Config_Intake_View'!Q206&lt;&gt;"",'13 - Config_Intake_View'!Q206,'12 - Device_Configuration'!BH207)</f>
        <v>0</v>
      </c>
      <c r="J206" s="17" t="str">
        <f>IF('13 - Config_Intake_View'!Q206&lt;&gt;"","PM Approved",IF('12 - Device_Configuration'!BH207&lt;&gt;"","Assumed",""))</f>
        <v/>
      </c>
      <c r="K206" s="30">
        <f>'12 - Device_Configuration'!BG207</f>
        <v>0</v>
      </c>
      <c r="L206" s="17">
        <f>'12 - Device_Configuration'!P207</f>
        <v>0</v>
      </c>
      <c r="M206" s="17">
        <f>'12 - Device_Configuration'!Q207</f>
        <v>0</v>
      </c>
      <c r="N206" s="17" t="str">
        <f>'12 - Device_Configuration'!BK207</f>
        <v/>
      </c>
      <c r="O206" s="30" t="str">
        <f>'12 - Device_Configuration'!BL207</f>
        <v/>
      </c>
      <c r="P206" s="2">
        <f>'12 - Device_Configuration'!BA207</f>
        <v>0</v>
      </c>
      <c r="Q206" s="30" t="str">
        <f t="shared" si="12"/>
        <v/>
      </c>
      <c r="R206" s="17" t="str">
        <f t="shared" si="13"/>
        <v>SW NOT INSTALLED</v>
      </c>
      <c r="S206" s="17" t="str">
        <f t="shared" si="14"/>
        <v/>
      </c>
      <c r="T206" s="17" t="str">
        <f t="shared" si="15"/>
        <v>SW NOT INSTALLED</v>
      </c>
    </row>
    <row r="207" spans="1:20">
      <c r="A207" s="30">
        <f>'12 - Device_Configuration'!H208</f>
        <v>0</v>
      </c>
      <c r="B207" s="30">
        <f>'12 - Device_Configuration'!S208</f>
        <v>0</v>
      </c>
      <c r="C207" s="30">
        <f>'12 - Device_Configuration'!T208</f>
        <v>0</v>
      </c>
      <c r="D207" s="17">
        <f>'12 - Device_Configuration'!AJ208</f>
        <v>0</v>
      </c>
      <c r="E207" s="17">
        <f>'12 - Device_Configuration'!J208</f>
        <v>0</v>
      </c>
      <c r="F207" s="30">
        <f>'12 - Device_Configuration'!K208</f>
        <v>0</v>
      </c>
      <c r="G207" s="17">
        <f>'12 - Device_Configuration'!L208</f>
        <v>0</v>
      </c>
      <c r="H207" s="17">
        <f>'13 - Config_Intake_View'!M207</f>
        <v>0</v>
      </c>
      <c r="I207" s="30">
        <f>IF('13 - Config_Intake_View'!Q207&lt;&gt;"",'13 - Config_Intake_View'!Q207,'12 - Device_Configuration'!BH208)</f>
        <v>0</v>
      </c>
      <c r="J207" s="17" t="str">
        <f>IF('13 - Config_Intake_View'!Q207&lt;&gt;"","PM Approved",IF('12 - Device_Configuration'!BH208&lt;&gt;"","Assumed",""))</f>
        <v/>
      </c>
      <c r="K207" s="30">
        <f>'12 - Device_Configuration'!BG208</f>
        <v>0</v>
      </c>
      <c r="L207" s="17">
        <f>'12 - Device_Configuration'!P208</f>
        <v>0</v>
      </c>
      <c r="M207" s="17">
        <f>'12 - Device_Configuration'!Q208</f>
        <v>0</v>
      </c>
      <c r="N207" s="17" t="str">
        <f>'12 - Device_Configuration'!BK208</f>
        <v/>
      </c>
      <c r="O207" s="30" t="str">
        <f>'12 - Device_Configuration'!BL208</f>
        <v/>
      </c>
      <c r="P207" s="2">
        <f>'12 - Device_Configuration'!BA208</f>
        <v>0</v>
      </c>
      <c r="Q207" s="30" t="str">
        <f t="shared" si="12"/>
        <v/>
      </c>
      <c r="R207" s="17" t="str">
        <f t="shared" si="13"/>
        <v>SW NOT INSTALLED</v>
      </c>
      <c r="S207" s="17" t="str">
        <f t="shared" si="14"/>
        <v/>
      </c>
      <c r="T207" s="17" t="str">
        <f t="shared" si="15"/>
        <v>SW NOT INSTALLED</v>
      </c>
    </row>
    <row r="208" spans="1:20">
      <c r="A208" s="30">
        <f>'12 - Device_Configuration'!H209</f>
        <v>0</v>
      </c>
      <c r="B208" s="30">
        <f>'12 - Device_Configuration'!S209</f>
        <v>0</v>
      </c>
      <c r="C208" s="30">
        <f>'12 - Device_Configuration'!T209</f>
        <v>0</v>
      </c>
      <c r="D208" s="17">
        <f>'12 - Device_Configuration'!AJ209</f>
        <v>0</v>
      </c>
      <c r="E208" s="17">
        <f>'12 - Device_Configuration'!J209</f>
        <v>0</v>
      </c>
      <c r="F208" s="30">
        <f>'12 - Device_Configuration'!K209</f>
        <v>0</v>
      </c>
      <c r="G208" s="17">
        <f>'12 - Device_Configuration'!L209</f>
        <v>0</v>
      </c>
      <c r="H208" s="17">
        <f>'13 - Config_Intake_View'!M208</f>
        <v>0</v>
      </c>
      <c r="I208" s="30">
        <f>IF('13 - Config_Intake_View'!Q208&lt;&gt;"",'13 - Config_Intake_View'!Q208,'12 - Device_Configuration'!BH209)</f>
        <v>0</v>
      </c>
      <c r="J208" s="17" t="str">
        <f>IF('13 - Config_Intake_View'!Q208&lt;&gt;"","PM Approved",IF('12 - Device_Configuration'!BH209&lt;&gt;"","Assumed",""))</f>
        <v/>
      </c>
      <c r="K208" s="30">
        <f>'12 - Device_Configuration'!BG209</f>
        <v>0</v>
      </c>
      <c r="L208" s="17">
        <f>'12 - Device_Configuration'!P209</f>
        <v>0</v>
      </c>
      <c r="M208" s="17">
        <f>'12 - Device_Configuration'!Q209</f>
        <v>0</v>
      </c>
      <c r="N208" s="17" t="str">
        <f>'12 - Device_Configuration'!BK209</f>
        <v/>
      </c>
      <c r="O208" s="30" t="str">
        <f>'12 - Device_Configuration'!BL209</f>
        <v/>
      </c>
      <c r="P208" s="2">
        <f>'12 - Device_Configuration'!BA209</f>
        <v>0</v>
      </c>
      <c r="Q208" s="30" t="str">
        <f t="shared" si="12"/>
        <v/>
      </c>
      <c r="R208" s="17" t="str">
        <f t="shared" si="13"/>
        <v>SW NOT INSTALLED</v>
      </c>
      <c r="S208" s="17" t="str">
        <f t="shared" si="14"/>
        <v/>
      </c>
      <c r="T208" s="17" t="str">
        <f t="shared" si="15"/>
        <v>SW NOT INSTALLED</v>
      </c>
    </row>
    <row r="209" spans="1:20">
      <c r="A209" s="30">
        <f>'12 - Device_Configuration'!H210</f>
        <v>0</v>
      </c>
      <c r="B209" s="30">
        <f>'12 - Device_Configuration'!S210</f>
        <v>0</v>
      </c>
      <c r="C209" s="30">
        <f>'12 - Device_Configuration'!T210</f>
        <v>0</v>
      </c>
      <c r="D209" s="17">
        <f>'12 - Device_Configuration'!AJ210</f>
        <v>0</v>
      </c>
      <c r="E209" s="17">
        <f>'12 - Device_Configuration'!J210</f>
        <v>0</v>
      </c>
      <c r="F209" s="30">
        <f>'12 - Device_Configuration'!K210</f>
        <v>0</v>
      </c>
      <c r="G209" s="17">
        <f>'12 - Device_Configuration'!L210</f>
        <v>0</v>
      </c>
      <c r="H209" s="17">
        <f>'13 - Config_Intake_View'!M209</f>
        <v>0</v>
      </c>
      <c r="I209" s="30">
        <f>IF('13 - Config_Intake_View'!Q209&lt;&gt;"",'13 - Config_Intake_View'!Q209,'12 - Device_Configuration'!BH210)</f>
        <v>0</v>
      </c>
      <c r="J209" s="17" t="str">
        <f>IF('13 - Config_Intake_View'!Q209&lt;&gt;"","PM Approved",IF('12 - Device_Configuration'!BH210&lt;&gt;"","Assumed",""))</f>
        <v/>
      </c>
      <c r="K209" s="30">
        <f>'12 - Device_Configuration'!BG210</f>
        <v>0</v>
      </c>
      <c r="L209" s="17">
        <f>'12 - Device_Configuration'!P210</f>
        <v>0</v>
      </c>
      <c r="M209" s="17">
        <f>'12 - Device_Configuration'!Q210</f>
        <v>0</v>
      </c>
      <c r="N209" s="17" t="str">
        <f>'12 - Device_Configuration'!BK210</f>
        <v/>
      </c>
      <c r="O209" s="30" t="str">
        <f>'12 - Device_Configuration'!BL210</f>
        <v/>
      </c>
      <c r="P209" s="2">
        <f>'12 - Device_Configuration'!BA210</f>
        <v>0</v>
      </c>
      <c r="Q209" s="30" t="str">
        <f t="shared" si="12"/>
        <v/>
      </c>
      <c r="R209" s="17" t="str">
        <f t="shared" si="13"/>
        <v>SW NOT INSTALLED</v>
      </c>
      <c r="S209" s="17" t="str">
        <f t="shared" si="14"/>
        <v/>
      </c>
      <c r="T209" s="17" t="str">
        <f t="shared" si="15"/>
        <v>SW NOT INSTALLED</v>
      </c>
    </row>
    <row r="210" spans="1:20">
      <c r="A210" s="30">
        <f>'12 - Device_Configuration'!H211</f>
        <v>0</v>
      </c>
      <c r="B210" s="30">
        <f>'12 - Device_Configuration'!S211</f>
        <v>0</v>
      </c>
      <c r="C210" s="30">
        <f>'12 - Device_Configuration'!T211</f>
        <v>0</v>
      </c>
      <c r="D210" s="17">
        <f>'12 - Device_Configuration'!AJ211</f>
        <v>0</v>
      </c>
      <c r="E210" s="17">
        <f>'12 - Device_Configuration'!J211</f>
        <v>0</v>
      </c>
      <c r="F210" s="30">
        <f>'12 - Device_Configuration'!K211</f>
        <v>0</v>
      </c>
      <c r="G210" s="17">
        <f>'12 - Device_Configuration'!L211</f>
        <v>0</v>
      </c>
      <c r="H210" s="17">
        <f>'13 - Config_Intake_View'!M210</f>
        <v>0</v>
      </c>
      <c r="I210" s="30">
        <f>IF('13 - Config_Intake_View'!Q210&lt;&gt;"",'13 - Config_Intake_View'!Q210,'12 - Device_Configuration'!BH211)</f>
        <v>0</v>
      </c>
      <c r="J210" s="17" t="str">
        <f>IF('13 - Config_Intake_View'!Q210&lt;&gt;"","PM Approved",IF('12 - Device_Configuration'!BH211&lt;&gt;"","Assumed",""))</f>
        <v/>
      </c>
      <c r="K210" s="30">
        <f>'12 - Device_Configuration'!BG211</f>
        <v>0</v>
      </c>
      <c r="L210" s="17">
        <f>'12 - Device_Configuration'!P211</f>
        <v>0</v>
      </c>
      <c r="M210" s="17">
        <f>'12 - Device_Configuration'!Q211</f>
        <v>0</v>
      </c>
      <c r="N210" s="17" t="str">
        <f>'12 - Device_Configuration'!BK211</f>
        <v/>
      </c>
      <c r="O210" s="30" t="str">
        <f>'12 - Device_Configuration'!BL211</f>
        <v/>
      </c>
      <c r="P210" s="2">
        <f>'12 - Device_Configuration'!BA211</f>
        <v>0</v>
      </c>
      <c r="Q210" s="30" t="str">
        <f t="shared" si="12"/>
        <v/>
      </c>
      <c r="R210" s="17" t="str">
        <f t="shared" si="13"/>
        <v>SW NOT INSTALLED</v>
      </c>
      <c r="S210" s="17" t="str">
        <f t="shared" si="14"/>
        <v/>
      </c>
      <c r="T210" s="17" t="str">
        <f t="shared" si="15"/>
        <v>SW NOT INSTALLED</v>
      </c>
    </row>
    <row r="211" spans="1:20">
      <c r="A211" s="30">
        <f>'12 - Device_Configuration'!H212</f>
        <v>0</v>
      </c>
      <c r="B211" s="30">
        <f>'12 - Device_Configuration'!S212</f>
        <v>0</v>
      </c>
      <c r="C211" s="30">
        <f>'12 - Device_Configuration'!T212</f>
        <v>0</v>
      </c>
      <c r="D211" s="17">
        <f>'12 - Device_Configuration'!AJ212</f>
        <v>0</v>
      </c>
      <c r="E211" s="17">
        <f>'12 - Device_Configuration'!J212</f>
        <v>0</v>
      </c>
      <c r="F211" s="30">
        <f>'12 - Device_Configuration'!K212</f>
        <v>0</v>
      </c>
      <c r="G211" s="17">
        <f>'12 - Device_Configuration'!L212</f>
        <v>0</v>
      </c>
      <c r="H211" s="17">
        <f>'13 - Config_Intake_View'!M211</f>
        <v>0</v>
      </c>
      <c r="I211" s="30">
        <f>IF('13 - Config_Intake_View'!Q211&lt;&gt;"",'13 - Config_Intake_View'!Q211,'12 - Device_Configuration'!BH212)</f>
        <v>0</v>
      </c>
      <c r="J211" s="17" t="str">
        <f>IF('13 - Config_Intake_View'!Q211&lt;&gt;"","PM Approved",IF('12 - Device_Configuration'!BH212&lt;&gt;"","Assumed",""))</f>
        <v/>
      </c>
      <c r="K211" s="30">
        <f>'12 - Device_Configuration'!BG212</f>
        <v>0</v>
      </c>
      <c r="L211" s="17">
        <f>'12 - Device_Configuration'!P212</f>
        <v>0</v>
      </c>
      <c r="M211" s="17">
        <f>'12 - Device_Configuration'!Q212</f>
        <v>0</v>
      </c>
      <c r="N211" s="17" t="str">
        <f>'12 - Device_Configuration'!BK212</f>
        <v/>
      </c>
      <c r="O211" s="30" t="str">
        <f>'12 - Device_Configuration'!BL212</f>
        <v/>
      </c>
      <c r="P211" s="2">
        <f>'12 - Device_Configuration'!BA212</f>
        <v>0</v>
      </c>
      <c r="Q211" s="30" t="str">
        <f t="shared" si="12"/>
        <v/>
      </c>
      <c r="R211" s="17" t="str">
        <f t="shared" si="13"/>
        <v>SW NOT INSTALLED</v>
      </c>
      <c r="S211" s="17" t="str">
        <f t="shared" si="14"/>
        <v/>
      </c>
      <c r="T211" s="17" t="str">
        <f t="shared" si="15"/>
        <v>SW NOT INSTALLED</v>
      </c>
    </row>
    <row r="212" spans="1:20">
      <c r="A212" s="30">
        <f>'12 - Device_Configuration'!H213</f>
        <v>0</v>
      </c>
      <c r="B212" s="30">
        <f>'12 - Device_Configuration'!S213</f>
        <v>0</v>
      </c>
      <c r="C212" s="30">
        <f>'12 - Device_Configuration'!T213</f>
        <v>0</v>
      </c>
      <c r="D212" s="17">
        <f>'12 - Device_Configuration'!AJ213</f>
        <v>0</v>
      </c>
      <c r="E212" s="17">
        <f>'12 - Device_Configuration'!J213</f>
        <v>0</v>
      </c>
      <c r="F212" s="30">
        <f>'12 - Device_Configuration'!K213</f>
        <v>0</v>
      </c>
      <c r="G212" s="17">
        <f>'12 - Device_Configuration'!L213</f>
        <v>0</v>
      </c>
      <c r="H212" s="17">
        <f>'13 - Config_Intake_View'!M212</f>
        <v>0</v>
      </c>
      <c r="I212" s="30">
        <f>IF('13 - Config_Intake_View'!Q212&lt;&gt;"",'13 - Config_Intake_View'!Q212,'12 - Device_Configuration'!BH213)</f>
        <v>0</v>
      </c>
      <c r="J212" s="17" t="str">
        <f>IF('13 - Config_Intake_View'!Q212&lt;&gt;"","PM Approved",IF('12 - Device_Configuration'!BH213&lt;&gt;"","Assumed",""))</f>
        <v/>
      </c>
      <c r="K212" s="30">
        <f>'12 - Device_Configuration'!BG213</f>
        <v>0</v>
      </c>
      <c r="L212" s="17">
        <f>'12 - Device_Configuration'!P213</f>
        <v>0</v>
      </c>
      <c r="M212" s="17">
        <f>'12 - Device_Configuration'!Q213</f>
        <v>0</v>
      </c>
      <c r="N212" s="17" t="str">
        <f>'12 - Device_Configuration'!BK213</f>
        <v/>
      </c>
      <c r="O212" s="30" t="str">
        <f>'12 - Device_Configuration'!BL213</f>
        <v/>
      </c>
      <c r="P212" s="2">
        <f>'12 - Device_Configuration'!BA213</f>
        <v>0</v>
      </c>
      <c r="Q212" s="30" t="str">
        <f t="shared" si="12"/>
        <v/>
      </c>
      <c r="R212" s="17" t="str">
        <f t="shared" si="13"/>
        <v>SW NOT INSTALLED</v>
      </c>
      <c r="S212" s="17" t="str">
        <f t="shared" si="14"/>
        <v/>
      </c>
      <c r="T212" s="17" t="str">
        <f t="shared" si="15"/>
        <v>SW NOT INSTALLED</v>
      </c>
    </row>
    <row r="213" spans="1:20">
      <c r="A213" s="30">
        <f>'12 - Device_Configuration'!H214</f>
        <v>0</v>
      </c>
      <c r="B213" s="30">
        <f>'12 - Device_Configuration'!S214</f>
        <v>0</v>
      </c>
      <c r="C213" s="30">
        <f>'12 - Device_Configuration'!T214</f>
        <v>0</v>
      </c>
      <c r="D213" s="17">
        <f>'12 - Device_Configuration'!AJ214</f>
        <v>0</v>
      </c>
      <c r="E213" s="17">
        <f>'12 - Device_Configuration'!J214</f>
        <v>0</v>
      </c>
      <c r="F213" s="30">
        <f>'12 - Device_Configuration'!K214</f>
        <v>0</v>
      </c>
      <c r="G213" s="17">
        <f>'12 - Device_Configuration'!L214</f>
        <v>0</v>
      </c>
      <c r="H213" s="17">
        <f>'13 - Config_Intake_View'!M213</f>
        <v>0</v>
      </c>
      <c r="I213" s="30">
        <f>IF('13 - Config_Intake_View'!Q213&lt;&gt;"",'13 - Config_Intake_View'!Q213,'12 - Device_Configuration'!BH214)</f>
        <v>0</v>
      </c>
      <c r="J213" s="17" t="str">
        <f>IF('13 - Config_Intake_View'!Q213&lt;&gt;"","PM Approved",IF('12 - Device_Configuration'!BH214&lt;&gt;"","Assumed",""))</f>
        <v/>
      </c>
      <c r="K213" s="30">
        <f>'12 - Device_Configuration'!BG214</f>
        <v>0</v>
      </c>
      <c r="L213" s="17">
        <f>'12 - Device_Configuration'!P214</f>
        <v>0</v>
      </c>
      <c r="M213" s="17">
        <f>'12 - Device_Configuration'!Q214</f>
        <v>0</v>
      </c>
      <c r="N213" s="17" t="str">
        <f>'12 - Device_Configuration'!BK214</f>
        <v/>
      </c>
      <c r="O213" s="30" t="str">
        <f>'12 - Device_Configuration'!BL214</f>
        <v/>
      </c>
      <c r="P213" s="2">
        <f>'12 - Device_Configuration'!BA214</f>
        <v>0</v>
      </c>
      <c r="Q213" s="30" t="str">
        <f t="shared" si="12"/>
        <v/>
      </c>
      <c r="R213" s="17" t="str">
        <f t="shared" si="13"/>
        <v>SW NOT INSTALLED</v>
      </c>
      <c r="S213" s="17" t="str">
        <f t="shared" si="14"/>
        <v/>
      </c>
      <c r="T213" s="17" t="str">
        <f t="shared" si="15"/>
        <v>SW NOT INSTALLED</v>
      </c>
    </row>
    <row r="214" spans="1:20">
      <c r="A214" s="30">
        <f>'12 - Device_Configuration'!H215</f>
        <v>0</v>
      </c>
      <c r="B214" s="30">
        <f>'12 - Device_Configuration'!S215</f>
        <v>0</v>
      </c>
      <c r="C214" s="30">
        <f>'12 - Device_Configuration'!T215</f>
        <v>0</v>
      </c>
      <c r="D214" s="17">
        <f>'12 - Device_Configuration'!AJ215</f>
        <v>0</v>
      </c>
      <c r="E214" s="17">
        <f>'12 - Device_Configuration'!J215</f>
        <v>0</v>
      </c>
      <c r="F214" s="30">
        <f>'12 - Device_Configuration'!K215</f>
        <v>0</v>
      </c>
      <c r="G214" s="17">
        <f>'12 - Device_Configuration'!L215</f>
        <v>0</v>
      </c>
      <c r="H214" s="17">
        <f>'13 - Config_Intake_View'!M214</f>
        <v>0</v>
      </c>
      <c r="I214" s="30">
        <f>IF('13 - Config_Intake_View'!Q214&lt;&gt;"",'13 - Config_Intake_View'!Q214,'12 - Device_Configuration'!BH215)</f>
        <v>0</v>
      </c>
      <c r="J214" s="17" t="str">
        <f>IF('13 - Config_Intake_View'!Q214&lt;&gt;"","PM Approved",IF('12 - Device_Configuration'!BH215&lt;&gt;"","Assumed",""))</f>
        <v/>
      </c>
      <c r="K214" s="30">
        <f>'12 - Device_Configuration'!BG215</f>
        <v>0</v>
      </c>
      <c r="L214" s="17">
        <f>'12 - Device_Configuration'!P215</f>
        <v>0</v>
      </c>
      <c r="M214" s="17">
        <f>'12 - Device_Configuration'!Q215</f>
        <v>0</v>
      </c>
      <c r="N214" s="17" t="str">
        <f>'12 - Device_Configuration'!BK215</f>
        <v/>
      </c>
      <c r="O214" s="30" t="str">
        <f>'12 - Device_Configuration'!BL215</f>
        <v/>
      </c>
      <c r="P214" s="2">
        <f>'12 - Device_Configuration'!BA215</f>
        <v>0</v>
      </c>
      <c r="Q214" s="30" t="str">
        <f t="shared" si="12"/>
        <v/>
      </c>
      <c r="R214" s="17" t="str">
        <f t="shared" si="13"/>
        <v>SW NOT INSTALLED</v>
      </c>
      <c r="S214" s="17" t="str">
        <f t="shared" si="14"/>
        <v/>
      </c>
      <c r="T214" s="17" t="str">
        <f t="shared" si="15"/>
        <v>SW NOT INSTALLED</v>
      </c>
    </row>
    <row r="215" spans="1:20">
      <c r="A215" s="30">
        <f>'12 - Device_Configuration'!H216</f>
        <v>0</v>
      </c>
      <c r="B215" s="30">
        <f>'12 - Device_Configuration'!S216</f>
        <v>0</v>
      </c>
      <c r="C215" s="30">
        <f>'12 - Device_Configuration'!T216</f>
        <v>0</v>
      </c>
      <c r="D215" s="17">
        <f>'12 - Device_Configuration'!AJ216</f>
        <v>0</v>
      </c>
      <c r="E215" s="17">
        <f>'12 - Device_Configuration'!J216</f>
        <v>0</v>
      </c>
      <c r="F215" s="30">
        <f>'12 - Device_Configuration'!K216</f>
        <v>0</v>
      </c>
      <c r="G215" s="17">
        <f>'12 - Device_Configuration'!L216</f>
        <v>0</v>
      </c>
      <c r="H215" s="17">
        <f>'13 - Config_Intake_View'!M215</f>
        <v>0</v>
      </c>
      <c r="I215" s="30">
        <f>IF('13 - Config_Intake_View'!Q215&lt;&gt;"",'13 - Config_Intake_View'!Q215,'12 - Device_Configuration'!BH216)</f>
        <v>0</v>
      </c>
      <c r="J215" s="17" t="str">
        <f>IF('13 - Config_Intake_View'!Q215&lt;&gt;"","PM Approved",IF('12 - Device_Configuration'!BH216&lt;&gt;"","Assumed",""))</f>
        <v/>
      </c>
      <c r="K215" s="30">
        <f>'12 - Device_Configuration'!BG216</f>
        <v>0</v>
      </c>
      <c r="L215" s="17">
        <f>'12 - Device_Configuration'!P216</f>
        <v>0</v>
      </c>
      <c r="M215" s="17">
        <f>'12 - Device_Configuration'!Q216</f>
        <v>0</v>
      </c>
      <c r="N215" s="17" t="str">
        <f>'12 - Device_Configuration'!BK216</f>
        <v/>
      </c>
      <c r="O215" s="30" t="str">
        <f>'12 - Device_Configuration'!BL216</f>
        <v/>
      </c>
      <c r="P215" s="2">
        <f>'12 - Device_Configuration'!BA216</f>
        <v>0</v>
      </c>
      <c r="Q215" s="30" t="str">
        <f t="shared" si="12"/>
        <v/>
      </c>
      <c r="R215" s="17" t="str">
        <f t="shared" si="13"/>
        <v>SW NOT INSTALLED</v>
      </c>
      <c r="S215" s="17" t="str">
        <f t="shared" si="14"/>
        <v/>
      </c>
      <c r="T215" s="17" t="str">
        <f t="shared" si="15"/>
        <v>SW NOT INSTALLED</v>
      </c>
    </row>
    <row r="216" spans="1:20">
      <c r="A216" s="30">
        <f>'12 - Device_Configuration'!H217</f>
        <v>0</v>
      </c>
      <c r="B216" s="30">
        <f>'12 - Device_Configuration'!S217</f>
        <v>0</v>
      </c>
      <c r="C216" s="30">
        <f>'12 - Device_Configuration'!T217</f>
        <v>0</v>
      </c>
      <c r="D216" s="17">
        <f>'12 - Device_Configuration'!AJ217</f>
        <v>0</v>
      </c>
      <c r="E216" s="17">
        <f>'12 - Device_Configuration'!J217</f>
        <v>0</v>
      </c>
      <c r="F216" s="30">
        <f>'12 - Device_Configuration'!K217</f>
        <v>0</v>
      </c>
      <c r="G216" s="17">
        <f>'12 - Device_Configuration'!L217</f>
        <v>0</v>
      </c>
      <c r="H216" s="17">
        <f>'13 - Config_Intake_View'!M216</f>
        <v>0</v>
      </c>
      <c r="I216" s="30">
        <f>IF('13 - Config_Intake_View'!Q216&lt;&gt;"",'13 - Config_Intake_View'!Q216,'12 - Device_Configuration'!BH217)</f>
        <v>0</v>
      </c>
      <c r="J216" s="17" t="str">
        <f>IF('13 - Config_Intake_View'!Q216&lt;&gt;"","PM Approved",IF('12 - Device_Configuration'!BH217&lt;&gt;"","Assumed",""))</f>
        <v/>
      </c>
      <c r="K216" s="30">
        <f>'12 - Device_Configuration'!BG217</f>
        <v>0</v>
      </c>
      <c r="L216" s="17">
        <f>'12 - Device_Configuration'!P217</f>
        <v>0</v>
      </c>
      <c r="M216" s="17">
        <f>'12 - Device_Configuration'!Q217</f>
        <v>0</v>
      </c>
      <c r="N216" s="17" t="str">
        <f>'12 - Device_Configuration'!BK217</f>
        <v/>
      </c>
      <c r="O216" s="30" t="str">
        <f>'12 - Device_Configuration'!BL217</f>
        <v/>
      </c>
      <c r="P216" s="2">
        <f>'12 - Device_Configuration'!BA217</f>
        <v>0</v>
      </c>
      <c r="Q216" s="30" t="str">
        <f t="shared" si="12"/>
        <v/>
      </c>
      <c r="R216" s="17" t="str">
        <f t="shared" si="13"/>
        <v>SW NOT INSTALLED</v>
      </c>
      <c r="S216" s="17" t="str">
        <f t="shared" si="14"/>
        <v/>
      </c>
      <c r="T216" s="17" t="str">
        <f t="shared" si="15"/>
        <v>SW NOT INSTALLED</v>
      </c>
    </row>
    <row r="217" spans="1:20">
      <c r="A217" s="30">
        <f>'12 - Device_Configuration'!H218</f>
        <v>0</v>
      </c>
      <c r="B217" s="30">
        <f>'12 - Device_Configuration'!S218</f>
        <v>0</v>
      </c>
      <c r="C217" s="30">
        <f>'12 - Device_Configuration'!T218</f>
        <v>0</v>
      </c>
      <c r="D217" s="17">
        <f>'12 - Device_Configuration'!AJ218</f>
        <v>0</v>
      </c>
      <c r="E217" s="17">
        <f>'12 - Device_Configuration'!J218</f>
        <v>0</v>
      </c>
      <c r="F217" s="30">
        <f>'12 - Device_Configuration'!K218</f>
        <v>0</v>
      </c>
      <c r="G217" s="17">
        <f>'12 - Device_Configuration'!L218</f>
        <v>0</v>
      </c>
      <c r="H217" s="17">
        <f>'13 - Config_Intake_View'!M217</f>
        <v>0</v>
      </c>
      <c r="I217" s="30">
        <f>IF('13 - Config_Intake_View'!Q217&lt;&gt;"",'13 - Config_Intake_View'!Q217,'12 - Device_Configuration'!BH218)</f>
        <v>0</v>
      </c>
      <c r="J217" s="17" t="str">
        <f>IF('13 - Config_Intake_View'!Q217&lt;&gt;"","PM Approved",IF('12 - Device_Configuration'!BH218&lt;&gt;"","Assumed",""))</f>
        <v/>
      </c>
      <c r="K217" s="30">
        <f>'12 - Device_Configuration'!BG218</f>
        <v>0</v>
      </c>
      <c r="L217" s="17">
        <f>'12 - Device_Configuration'!P218</f>
        <v>0</v>
      </c>
      <c r="M217" s="17">
        <f>'12 - Device_Configuration'!Q218</f>
        <v>0</v>
      </c>
      <c r="N217" s="17" t="str">
        <f>'12 - Device_Configuration'!BK218</f>
        <v/>
      </c>
      <c r="O217" s="30" t="str">
        <f>'12 - Device_Configuration'!BL218</f>
        <v/>
      </c>
      <c r="P217" s="2">
        <f>'12 - Device_Configuration'!BA218</f>
        <v>0</v>
      </c>
      <c r="Q217" s="30" t="str">
        <f t="shared" si="12"/>
        <v/>
      </c>
      <c r="R217" s="17" t="str">
        <f t="shared" si="13"/>
        <v>SW NOT INSTALLED</v>
      </c>
      <c r="S217" s="17" t="str">
        <f t="shared" si="14"/>
        <v/>
      </c>
      <c r="T217" s="17" t="str">
        <f t="shared" si="15"/>
        <v>SW NOT INSTALLED</v>
      </c>
    </row>
    <row r="218" spans="1:20">
      <c r="A218" s="30">
        <f>'12 - Device_Configuration'!H219</f>
        <v>0</v>
      </c>
      <c r="B218" s="30">
        <f>'12 - Device_Configuration'!S219</f>
        <v>0</v>
      </c>
      <c r="C218" s="30">
        <f>'12 - Device_Configuration'!T219</f>
        <v>0</v>
      </c>
      <c r="D218" s="17">
        <f>'12 - Device_Configuration'!AJ219</f>
        <v>0</v>
      </c>
      <c r="E218" s="17">
        <f>'12 - Device_Configuration'!J219</f>
        <v>0</v>
      </c>
      <c r="F218" s="30">
        <f>'12 - Device_Configuration'!K219</f>
        <v>0</v>
      </c>
      <c r="G218" s="17">
        <f>'12 - Device_Configuration'!L219</f>
        <v>0</v>
      </c>
      <c r="H218" s="17">
        <f>'13 - Config_Intake_View'!M218</f>
        <v>0</v>
      </c>
      <c r="I218" s="30">
        <f>IF('13 - Config_Intake_View'!Q218&lt;&gt;"",'13 - Config_Intake_View'!Q218,'12 - Device_Configuration'!BH219)</f>
        <v>0</v>
      </c>
      <c r="J218" s="17" t="str">
        <f>IF('13 - Config_Intake_View'!Q218&lt;&gt;"","PM Approved",IF('12 - Device_Configuration'!BH219&lt;&gt;"","Assumed",""))</f>
        <v/>
      </c>
      <c r="K218" s="30">
        <f>'12 - Device_Configuration'!BG219</f>
        <v>0</v>
      </c>
      <c r="L218" s="17">
        <f>'12 - Device_Configuration'!P219</f>
        <v>0</v>
      </c>
      <c r="M218" s="17">
        <f>'12 - Device_Configuration'!Q219</f>
        <v>0</v>
      </c>
      <c r="N218" s="17" t="str">
        <f>'12 - Device_Configuration'!BK219</f>
        <v/>
      </c>
      <c r="O218" s="30" t="str">
        <f>'12 - Device_Configuration'!BL219</f>
        <v/>
      </c>
      <c r="P218" s="2">
        <f>'12 - Device_Configuration'!BA219</f>
        <v>0</v>
      </c>
      <c r="Q218" s="30" t="str">
        <f t="shared" si="12"/>
        <v/>
      </c>
      <c r="R218" s="17" t="str">
        <f t="shared" si="13"/>
        <v>SW NOT INSTALLED</v>
      </c>
      <c r="S218" s="17" t="str">
        <f t="shared" si="14"/>
        <v/>
      </c>
      <c r="T218" s="17" t="str">
        <f t="shared" si="15"/>
        <v>SW NOT INSTALLED</v>
      </c>
    </row>
    <row r="219" spans="1:20">
      <c r="A219" s="30">
        <f>'12 - Device_Configuration'!H220</f>
        <v>0</v>
      </c>
      <c r="B219" s="30">
        <f>'12 - Device_Configuration'!S220</f>
        <v>0</v>
      </c>
      <c r="C219" s="30">
        <f>'12 - Device_Configuration'!T220</f>
        <v>0</v>
      </c>
      <c r="D219" s="17">
        <f>'12 - Device_Configuration'!AJ220</f>
        <v>0</v>
      </c>
      <c r="E219" s="17">
        <f>'12 - Device_Configuration'!J220</f>
        <v>0</v>
      </c>
      <c r="F219" s="30">
        <f>'12 - Device_Configuration'!K220</f>
        <v>0</v>
      </c>
      <c r="G219" s="17">
        <f>'12 - Device_Configuration'!L220</f>
        <v>0</v>
      </c>
      <c r="H219" s="17">
        <f>'13 - Config_Intake_View'!M219</f>
        <v>0</v>
      </c>
      <c r="I219" s="30">
        <f>IF('13 - Config_Intake_View'!Q219&lt;&gt;"",'13 - Config_Intake_View'!Q219,'12 - Device_Configuration'!BH220)</f>
        <v>0</v>
      </c>
      <c r="J219" s="17" t="str">
        <f>IF('13 - Config_Intake_View'!Q219&lt;&gt;"","PM Approved",IF('12 - Device_Configuration'!BH220&lt;&gt;"","Assumed",""))</f>
        <v/>
      </c>
      <c r="K219" s="30">
        <f>'12 - Device_Configuration'!BG220</f>
        <v>0</v>
      </c>
      <c r="L219" s="17">
        <f>'12 - Device_Configuration'!P220</f>
        <v>0</v>
      </c>
      <c r="M219" s="17">
        <f>'12 - Device_Configuration'!Q220</f>
        <v>0</v>
      </c>
      <c r="N219" s="17" t="str">
        <f>'12 - Device_Configuration'!BK220</f>
        <v/>
      </c>
      <c r="O219" s="30" t="str">
        <f>'12 - Device_Configuration'!BL220</f>
        <v/>
      </c>
      <c r="P219" s="2">
        <f>'12 - Device_Configuration'!BA220</f>
        <v>0</v>
      </c>
      <c r="Q219" s="30" t="str">
        <f t="shared" si="12"/>
        <v/>
      </c>
      <c r="R219" s="17" t="str">
        <f t="shared" si="13"/>
        <v>SW NOT INSTALLED</v>
      </c>
      <c r="S219" s="17" t="str">
        <f t="shared" si="14"/>
        <v/>
      </c>
      <c r="T219" s="17" t="str">
        <f t="shared" si="15"/>
        <v>SW NOT INSTALLED</v>
      </c>
    </row>
    <row r="220" spans="1:20">
      <c r="A220" s="30">
        <f>'12 - Device_Configuration'!H221</f>
        <v>0</v>
      </c>
      <c r="B220" s="30">
        <f>'12 - Device_Configuration'!S221</f>
        <v>0</v>
      </c>
      <c r="C220" s="30">
        <f>'12 - Device_Configuration'!T221</f>
        <v>0</v>
      </c>
      <c r="D220" s="17">
        <f>'12 - Device_Configuration'!AJ221</f>
        <v>0</v>
      </c>
      <c r="E220" s="17">
        <f>'12 - Device_Configuration'!J221</f>
        <v>0</v>
      </c>
      <c r="F220" s="30">
        <f>'12 - Device_Configuration'!K221</f>
        <v>0</v>
      </c>
      <c r="G220" s="17">
        <f>'12 - Device_Configuration'!L221</f>
        <v>0</v>
      </c>
      <c r="H220" s="17">
        <f>'13 - Config_Intake_View'!M220</f>
        <v>0</v>
      </c>
      <c r="I220" s="30">
        <f>IF('13 - Config_Intake_View'!Q220&lt;&gt;"",'13 - Config_Intake_View'!Q220,'12 - Device_Configuration'!BH221)</f>
        <v>0</v>
      </c>
      <c r="J220" s="17" t="str">
        <f>IF('13 - Config_Intake_View'!Q220&lt;&gt;"","PM Approved",IF('12 - Device_Configuration'!BH221&lt;&gt;"","Assumed",""))</f>
        <v/>
      </c>
      <c r="K220" s="30">
        <f>'12 - Device_Configuration'!BG221</f>
        <v>0</v>
      </c>
      <c r="L220" s="17">
        <f>'12 - Device_Configuration'!P221</f>
        <v>0</v>
      </c>
      <c r="M220" s="17">
        <f>'12 - Device_Configuration'!Q221</f>
        <v>0</v>
      </c>
      <c r="N220" s="17" t="str">
        <f>'12 - Device_Configuration'!BK221</f>
        <v/>
      </c>
      <c r="O220" s="30" t="str">
        <f>'12 - Device_Configuration'!BL221</f>
        <v/>
      </c>
      <c r="P220" s="2">
        <f>'12 - Device_Configuration'!BA221</f>
        <v>0</v>
      </c>
      <c r="Q220" s="30" t="str">
        <f t="shared" si="12"/>
        <v/>
      </c>
      <c r="R220" s="17" t="str">
        <f t="shared" si="13"/>
        <v>SW NOT INSTALLED</v>
      </c>
      <c r="S220" s="17" t="str">
        <f t="shared" si="14"/>
        <v/>
      </c>
      <c r="T220" s="17" t="str">
        <f t="shared" si="15"/>
        <v>SW NOT INSTALLED</v>
      </c>
    </row>
    <row r="221" spans="1:20">
      <c r="A221" s="30">
        <f>'12 - Device_Configuration'!H222</f>
        <v>0</v>
      </c>
      <c r="B221" s="30">
        <f>'12 - Device_Configuration'!S222</f>
        <v>0</v>
      </c>
      <c r="C221" s="30">
        <f>'12 - Device_Configuration'!T222</f>
        <v>0</v>
      </c>
      <c r="D221" s="17">
        <f>'12 - Device_Configuration'!AJ222</f>
        <v>0</v>
      </c>
      <c r="E221" s="17">
        <f>'12 - Device_Configuration'!J222</f>
        <v>0</v>
      </c>
      <c r="F221" s="30">
        <f>'12 - Device_Configuration'!K222</f>
        <v>0</v>
      </c>
      <c r="G221" s="17">
        <f>'12 - Device_Configuration'!L222</f>
        <v>0</v>
      </c>
      <c r="H221" s="17">
        <f>'13 - Config_Intake_View'!M221</f>
        <v>0</v>
      </c>
      <c r="I221" s="30">
        <f>IF('13 - Config_Intake_View'!Q221&lt;&gt;"",'13 - Config_Intake_View'!Q221,'12 - Device_Configuration'!BH222)</f>
        <v>0</v>
      </c>
      <c r="J221" s="17" t="str">
        <f>IF('13 - Config_Intake_View'!Q221&lt;&gt;"","PM Approved",IF('12 - Device_Configuration'!BH222&lt;&gt;"","Assumed",""))</f>
        <v/>
      </c>
      <c r="K221" s="30">
        <f>'12 - Device_Configuration'!BG222</f>
        <v>0</v>
      </c>
      <c r="L221" s="17">
        <f>'12 - Device_Configuration'!P222</f>
        <v>0</v>
      </c>
      <c r="M221" s="17">
        <f>'12 - Device_Configuration'!Q222</f>
        <v>0</v>
      </c>
      <c r="N221" s="17" t="str">
        <f>'12 - Device_Configuration'!BK222</f>
        <v/>
      </c>
      <c r="O221" s="30" t="str">
        <f>'12 - Device_Configuration'!BL222</f>
        <v/>
      </c>
      <c r="P221" s="2">
        <f>'12 - Device_Configuration'!BA222</f>
        <v>0</v>
      </c>
      <c r="Q221" s="30" t="str">
        <f t="shared" si="12"/>
        <v/>
      </c>
      <c r="R221" s="17" t="str">
        <f t="shared" si="13"/>
        <v>SW NOT INSTALLED</v>
      </c>
      <c r="S221" s="17" t="str">
        <f t="shared" si="14"/>
        <v/>
      </c>
      <c r="T221" s="17" t="str">
        <f t="shared" si="15"/>
        <v>SW NOT INSTALLED</v>
      </c>
    </row>
    <row r="222" spans="1:20">
      <c r="A222" s="30">
        <f>'12 - Device_Configuration'!H223</f>
        <v>0</v>
      </c>
      <c r="B222" s="30">
        <f>'12 - Device_Configuration'!S223</f>
        <v>0</v>
      </c>
      <c r="C222" s="30">
        <f>'12 - Device_Configuration'!T223</f>
        <v>0</v>
      </c>
      <c r="D222" s="17">
        <f>'12 - Device_Configuration'!AJ223</f>
        <v>0</v>
      </c>
      <c r="E222" s="17">
        <f>'12 - Device_Configuration'!J223</f>
        <v>0</v>
      </c>
      <c r="F222" s="30">
        <f>'12 - Device_Configuration'!K223</f>
        <v>0</v>
      </c>
      <c r="G222" s="17">
        <f>'12 - Device_Configuration'!L223</f>
        <v>0</v>
      </c>
      <c r="H222" s="17">
        <f>'13 - Config_Intake_View'!M222</f>
        <v>0</v>
      </c>
      <c r="I222" s="30">
        <f>IF('13 - Config_Intake_View'!Q222&lt;&gt;"",'13 - Config_Intake_View'!Q222,'12 - Device_Configuration'!BH223)</f>
        <v>0</v>
      </c>
      <c r="J222" s="17" t="str">
        <f>IF('13 - Config_Intake_View'!Q222&lt;&gt;"","PM Approved",IF('12 - Device_Configuration'!BH223&lt;&gt;"","Assumed",""))</f>
        <v/>
      </c>
      <c r="K222" s="30">
        <f>'12 - Device_Configuration'!BG223</f>
        <v>0</v>
      </c>
      <c r="L222" s="17">
        <f>'12 - Device_Configuration'!P223</f>
        <v>0</v>
      </c>
      <c r="M222" s="17">
        <f>'12 - Device_Configuration'!Q223</f>
        <v>0</v>
      </c>
      <c r="N222" s="17" t="str">
        <f>'12 - Device_Configuration'!BK223</f>
        <v/>
      </c>
      <c r="O222" s="30" t="str">
        <f>'12 - Device_Configuration'!BL223</f>
        <v/>
      </c>
      <c r="P222" s="2">
        <f>'12 - Device_Configuration'!BA223</f>
        <v>0</v>
      </c>
      <c r="Q222" s="30" t="str">
        <f t="shared" si="12"/>
        <v/>
      </c>
      <c r="R222" s="17" t="str">
        <f t="shared" si="13"/>
        <v>SW NOT INSTALLED</v>
      </c>
      <c r="S222" s="17" t="str">
        <f t="shared" si="14"/>
        <v/>
      </c>
      <c r="T222" s="17" t="str">
        <f t="shared" si="15"/>
        <v>SW NOT INSTALLED</v>
      </c>
    </row>
    <row r="223" spans="1:20">
      <c r="A223" s="30">
        <f>'12 - Device_Configuration'!H224</f>
        <v>0</v>
      </c>
      <c r="B223" s="30">
        <f>'12 - Device_Configuration'!S224</f>
        <v>0</v>
      </c>
      <c r="C223" s="30">
        <f>'12 - Device_Configuration'!T224</f>
        <v>0</v>
      </c>
      <c r="D223" s="17">
        <f>'12 - Device_Configuration'!AJ224</f>
        <v>0</v>
      </c>
      <c r="E223" s="17">
        <f>'12 - Device_Configuration'!J224</f>
        <v>0</v>
      </c>
      <c r="F223" s="30">
        <f>'12 - Device_Configuration'!K224</f>
        <v>0</v>
      </c>
      <c r="G223" s="17">
        <f>'12 - Device_Configuration'!L224</f>
        <v>0</v>
      </c>
      <c r="H223" s="17">
        <f>'13 - Config_Intake_View'!M223</f>
        <v>0</v>
      </c>
      <c r="I223" s="30">
        <f>IF('13 - Config_Intake_View'!Q223&lt;&gt;"",'13 - Config_Intake_View'!Q223,'12 - Device_Configuration'!BH224)</f>
        <v>0</v>
      </c>
      <c r="J223" s="17" t="str">
        <f>IF('13 - Config_Intake_View'!Q223&lt;&gt;"","PM Approved",IF('12 - Device_Configuration'!BH224&lt;&gt;"","Assumed",""))</f>
        <v/>
      </c>
      <c r="K223" s="30">
        <f>'12 - Device_Configuration'!BG224</f>
        <v>0</v>
      </c>
      <c r="L223" s="17">
        <f>'12 - Device_Configuration'!P224</f>
        <v>0</v>
      </c>
      <c r="M223" s="17">
        <f>'12 - Device_Configuration'!Q224</f>
        <v>0</v>
      </c>
      <c r="N223" s="17" t="str">
        <f>'12 - Device_Configuration'!BK224</f>
        <v/>
      </c>
      <c r="O223" s="30" t="str">
        <f>'12 - Device_Configuration'!BL224</f>
        <v/>
      </c>
      <c r="P223" s="2">
        <f>'12 - Device_Configuration'!BA224</f>
        <v>0</v>
      </c>
      <c r="Q223" s="30" t="str">
        <f t="shared" si="12"/>
        <v/>
      </c>
      <c r="R223" s="17" t="str">
        <f t="shared" si="13"/>
        <v>SW NOT INSTALLED</v>
      </c>
      <c r="S223" s="17" t="str">
        <f t="shared" si="14"/>
        <v/>
      </c>
      <c r="T223" s="17" t="str">
        <f t="shared" si="15"/>
        <v>SW NOT INSTALLED</v>
      </c>
    </row>
    <row r="224" spans="1:20">
      <c r="A224" s="30">
        <f>'12 - Device_Configuration'!H225</f>
        <v>0</v>
      </c>
      <c r="B224" s="30">
        <f>'12 - Device_Configuration'!S225</f>
        <v>0</v>
      </c>
      <c r="C224" s="30">
        <f>'12 - Device_Configuration'!T225</f>
        <v>0</v>
      </c>
      <c r="D224" s="17">
        <f>'12 - Device_Configuration'!AJ225</f>
        <v>0</v>
      </c>
      <c r="E224" s="17">
        <f>'12 - Device_Configuration'!J225</f>
        <v>0</v>
      </c>
      <c r="F224" s="30">
        <f>'12 - Device_Configuration'!K225</f>
        <v>0</v>
      </c>
      <c r="G224" s="17">
        <f>'12 - Device_Configuration'!L225</f>
        <v>0</v>
      </c>
      <c r="H224" s="17">
        <f>'13 - Config_Intake_View'!M224</f>
        <v>0</v>
      </c>
      <c r="I224" s="30">
        <f>IF('13 - Config_Intake_View'!Q224&lt;&gt;"",'13 - Config_Intake_View'!Q224,'12 - Device_Configuration'!BH225)</f>
        <v>0</v>
      </c>
      <c r="J224" s="17" t="str">
        <f>IF('13 - Config_Intake_View'!Q224&lt;&gt;"","PM Approved",IF('12 - Device_Configuration'!BH225&lt;&gt;"","Assumed",""))</f>
        <v/>
      </c>
      <c r="K224" s="30">
        <f>'12 - Device_Configuration'!BG225</f>
        <v>0</v>
      </c>
      <c r="L224" s="17">
        <f>'12 - Device_Configuration'!P225</f>
        <v>0</v>
      </c>
      <c r="M224" s="17">
        <f>'12 - Device_Configuration'!Q225</f>
        <v>0</v>
      </c>
      <c r="N224" s="17" t="str">
        <f>'12 - Device_Configuration'!BK225</f>
        <v/>
      </c>
      <c r="O224" s="30" t="str">
        <f>'12 - Device_Configuration'!BL225</f>
        <v/>
      </c>
      <c r="P224" s="2">
        <f>'12 - Device_Configuration'!BA225</f>
        <v>0</v>
      </c>
      <c r="Q224" s="30" t="str">
        <f t="shared" si="12"/>
        <v/>
      </c>
      <c r="R224" s="17" t="str">
        <f t="shared" si="13"/>
        <v>SW NOT INSTALLED</v>
      </c>
      <c r="S224" s="17" t="str">
        <f t="shared" si="14"/>
        <v/>
      </c>
      <c r="T224" s="17" t="str">
        <f t="shared" si="15"/>
        <v>SW NOT INSTALLED</v>
      </c>
    </row>
    <row r="225" spans="1:20">
      <c r="A225" s="30">
        <f>'12 - Device_Configuration'!H226</f>
        <v>0</v>
      </c>
      <c r="B225" s="30">
        <f>'12 - Device_Configuration'!S226</f>
        <v>0</v>
      </c>
      <c r="C225" s="30">
        <f>'12 - Device_Configuration'!T226</f>
        <v>0</v>
      </c>
      <c r="D225" s="17">
        <f>'12 - Device_Configuration'!AJ226</f>
        <v>0</v>
      </c>
      <c r="E225" s="17">
        <f>'12 - Device_Configuration'!J226</f>
        <v>0</v>
      </c>
      <c r="F225" s="30">
        <f>'12 - Device_Configuration'!K226</f>
        <v>0</v>
      </c>
      <c r="G225" s="17">
        <f>'12 - Device_Configuration'!L226</f>
        <v>0</v>
      </c>
      <c r="H225" s="17">
        <f>'13 - Config_Intake_View'!M225</f>
        <v>0</v>
      </c>
      <c r="I225" s="30">
        <f>IF('13 - Config_Intake_View'!Q225&lt;&gt;"",'13 - Config_Intake_View'!Q225,'12 - Device_Configuration'!BH226)</f>
        <v>0</v>
      </c>
      <c r="J225" s="17" t="str">
        <f>IF('13 - Config_Intake_View'!Q225&lt;&gt;"","PM Approved",IF('12 - Device_Configuration'!BH226&lt;&gt;"","Assumed",""))</f>
        <v/>
      </c>
      <c r="K225" s="30">
        <f>'12 - Device_Configuration'!BG226</f>
        <v>0</v>
      </c>
      <c r="L225" s="17">
        <f>'12 - Device_Configuration'!P226</f>
        <v>0</v>
      </c>
      <c r="M225" s="17">
        <f>'12 - Device_Configuration'!Q226</f>
        <v>0</v>
      </c>
      <c r="N225" s="17" t="str">
        <f>'12 - Device_Configuration'!BK226</f>
        <v/>
      </c>
      <c r="O225" s="30" t="str">
        <f>'12 - Device_Configuration'!BL226</f>
        <v/>
      </c>
      <c r="P225" s="2">
        <f>'12 - Device_Configuration'!BA226</f>
        <v>0</v>
      </c>
      <c r="Q225" s="30" t="str">
        <f t="shared" si="12"/>
        <v/>
      </c>
      <c r="R225" s="17" t="str">
        <f t="shared" si="13"/>
        <v>SW NOT INSTALLED</v>
      </c>
      <c r="S225" s="17" t="str">
        <f t="shared" si="14"/>
        <v/>
      </c>
      <c r="T225" s="17" t="str">
        <f t="shared" si="15"/>
        <v>SW NOT INSTALLED</v>
      </c>
    </row>
    <row r="226" spans="1:20">
      <c r="A226" s="30">
        <f>'12 - Device_Configuration'!H227</f>
        <v>0</v>
      </c>
      <c r="B226" s="30">
        <f>'12 - Device_Configuration'!S227</f>
        <v>0</v>
      </c>
      <c r="C226" s="30">
        <f>'12 - Device_Configuration'!T227</f>
        <v>0</v>
      </c>
      <c r="D226" s="17">
        <f>'12 - Device_Configuration'!AJ227</f>
        <v>0</v>
      </c>
      <c r="E226" s="17">
        <f>'12 - Device_Configuration'!J227</f>
        <v>0</v>
      </c>
      <c r="F226" s="30">
        <f>'12 - Device_Configuration'!K227</f>
        <v>0</v>
      </c>
      <c r="G226" s="17">
        <f>'12 - Device_Configuration'!L227</f>
        <v>0</v>
      </c>
      <c r="H226" s="17">
        <f>'13 - Config_Intake_View'!M226</f>
        <v>0</v>
      </c>
      <c r="I226" s="30">
        <f>IF('13 - Config_Intake_View'!Q226&lt;&gt;"",'13 - Config_Intake_View'!Q226,'12 - Device_Configuration'!BH227)</f>
        <v>0</v>
      </c>
      <c r="J226" s="17" t="str">
        <f>IF('13 - Config_Intake_View'!Q226&lt;&gt;"","PM Approved",IF('12 - Device_Configuration'!BH227&lt;&gt;"","Assumed",""))</f>
        <v/>
      </c>
      <c r="K226" s="30">
        <f>'12 - Device_Configuration'!BG227</f>
        <v>0</v>
      </c>
      <c r="L226" s="17">
        <f>'12 - Device_Configuration'!P227</f>
        <v>0</v>
      </c>
      <c r="M226" s="17">
        <f>'12 - Device_Configuration'!Q227</f>
        <v>0</v>
      </c>
      <c r="N226" s="17" t="str">
        <f>'12 - Device_Configuration'!BK227</f>
        <v/>
      </c>
      <c r="O226" s="30" t="str">
        <f>'12 - Device_Configuration'!BL227</f>
        <v/>
      </c>
      <c r="P226" s="2">
        <f>'12 - Device_Configuration'!BA227</f>
        <v>0</v>
      </c>
      <c r="Q226" s="30" t="str">
        <f t="shared" si="12"/>
        <v/>
      </c>
      <c r="R226" s="17" t="str">
        <f t="shared" si="13"/>
        <v>SW NOT INSTALLED</v>
      </c>
      <c r="S226" s="17" t="str">
        <f t="shared" si="14"/>
        <v/>
      </c>
      <c r="T226" s="17" t="str">
        <f t="shared" si="15"/>
        <v>SW NOT INSTALLED</v>
      </c>
    </row>
    <row r="227" spans="1:20">
      <c r="A227" s="30">
        <f>'12 - Device_Configuration'!H228</f>
        <v>0</v>
      </c>
      <c r="B227" s="30">
        <f>'12 - Device_Configuration'!S228</f>
        <v>0</v>
      </c>
      <c r="C227" s="30">
        <f>'12 - Device_Configuration'!T228</f>
        <v>0</v>
      </c>
      <c r="D227" s="17">
        <f>'12 - Device_Configuration'!AJ228</f>
        <v>0</v>
      </c>
      <c r="E227" s="17">
        <f>'12 - Device_Configuration'!J228</f>
        <v>0</v>
      </c>
      <c r="F227" s="30">
        <f>'12 - Device_Configuration'!K228</f>
        <v>0</v>
      </c>
      <c r="G227" s="17">
        <f>'12 - Device_Configuration'!L228</f>
        <v>0</v>
      </c>
      <c r="H227" s="17">
        <f>'13 - Config_Intake_View'!M227</f>
        <v>0</v>
      </c>
      <c r="I227" s="30">
        <f>IF('13 - Config_Intake_View'!Q227&lt;&gt;"",'13 - Config_Intake_View'!Q227,'12 - Device_Configuration'!BH228)</f>
        <v>0</v>
      </c>
      <c r="J227" s="17" t="str">
        <f>IF('13 - Config_Intake_View'!Q227&lt;&gt;"","PM Approved",IF('12 - Device_Configuration'!BH228&lt;&gt;"","Assumed",""))</f>
        <v/>
      </c>
      <c r="K227" s="30">
        <f>'12 - Device_Configuration'!BG228</f>
        <v>0</v>
      </c>
      <c r="L227" s="17">
        <f>'12 - Device_Configuration'!P228</f>
        <v>0</v>
      </c>
      <c r="M227" s="17">
        <f>'12 - Device_Configuration'!Q228</f>
        <v>0</v>
      </c>
      <c r="N227" s="17" t="str">
        <f>'12 - Device_Configuration'!BK228</f>
        <v/>
      </c>
      <c r="O227" s="30" t="str">
        <f>'12 - Device_Configuration'!BL228</f>
        <v/>
      </c>
      <c r="P227" s="2">
        <f>'12 - Device_Configuration'!BA228</f>
        <v>0</v>
      </c>
      <c r="Q227" s="30" t="str">
        <f t="shared" si="12"/>
        <v/>
      </c>
      <c r="R227" s="17" t="str">
        <f t="shared" si="13"/>
        <v>SW NOT INSTALLED</v>
      </c>
      <c r="S227" s="17" t="str">
        <f t="shared" si="14"/>
        <v/>
      </c>
      <c r="T227" s="17" t="str">
        <f t="shared" si="15"/>
        <v>SW NOT INSTALLED</v>
      </c>
    </row>
    <row r="228" spans="1:20">
      <c r="A228" s="30">
        <f>'12 - Device_Configuration'!H229</f>
        <v>0</v>
      </c>
      <c r="B228" s="30">
        <f>'12 - Device_Configuration'!S229</f>
        <v>0</v>
      </c>
      <c r="C228" s="30">
        <f>'12 - Device_Configuration'!T229</f>
        <v>0</v>
      </c>
      <c r="D228" s="17">
        <f>'12 - Device_Configuration'!AJ229</f>
        <v>0</v>
      </c>
      <c r="E228" s="17">
        <f>'12 - Device_Configuration'!J229</f>
        <v>0</v>
      </c>
      <c r="F228" s="30">
        <f>'12 - Device_Configuration'!K229</f>
        <v>0</v>
      </c>
      <c r="G228" s="17">
        <f>'12 - Device_Configuration'!L229</f>
        <v>0</v>
      </c>
      <c r="H228" s="17">
        <f>'13 - Config_Intake_View'!M228</f>
        <v>0</v>
      </c>
      <c r="I228" s="30">
        <f>IF('13 - Config_Intake_View'!Q228&lt;&gt;"",'13 - Config_Intake_View'!Q228,'12 - Device_Configuration'!BH229)</f>
        <v>0</v>
      </c>
      <c r="J228" s="17" t="str">
        <f>IF('13 - Config_Intake_View'!Q228&lt;&gt;"","PM Approved",IF('12 - Device_Configuration'!BH229&lt;&gt;"","Assumed",""))</f>
        <v/>
      </c>
      <c r="K228" s="30">
        <f>'12 - Device_Configuration'!BG229</f>
        <v>0</v>
      </c>
      <c r="L228" s="17">
        <f>'12 - Device_Configuration'!P229</f>
        <v>0</v>
      </c>
      <c r="M228" s="17">
        <f>'12 - Device_Configuration'!Q229</f>
        <v>0</v>
      </c>
      <c r="N228" s="17" t="str">
        <f>'12 - Device_Configuration'!BK229</f>
        <v/>
      </c>
      <c r="O228" s="30" t="str">
        <f>'12 - Device_Configuration'!BL229</f>
        <v/>
      </c>
      <c r="P228" s="2">
        <f>'12 - Device_Configuration'!BA229</f>
        <v>0</v>
      </c>
      <c r="Q228" s="30" t="str">
        <f t="shared" si="12"/>
        <v/>
      </c>
      <c r="R228" s="17" t="str">
        <f t="shared" si="13"/>
        <v>SW NOT INSTALLED</v>
      </c>
      <c r="S228" s="17" t="str">
        <f t="shared" si="14"/>
        <v/>
      </c>
      <c r="T228" s="17" t="str">
        <f t="shared" si="15"/>
        <v>SW NOT INSTALLED</v>
      </c>
    </row>
    <row r="229" spans="1:20">
      <c r="A229" s="30">
        <f>'12 - Device_Configuration'!H230</f>
        <v>0</v>
      </c>
      <c r="B229" s="30">
        <f>'12 - Device_Configuration'!S230</f>
        <v>0</v>
      </c>
      <c r="C229" s="30">
        <f>'12 - Device_Configuration'!T230</f>
        <v>0</v>
      </c>
      <c r="D229" s="17">
        <f>'12 - Device_Configuration'!AJ230</f>
        <v>0</v>
      </c>
      <c r="E229" s="17">
        <f>'12 - Device_Configuration'!J230</f>
        <v>0</v>
      </c>
      <c r="F229" s="30">
        <f>'12 - Device_Configuration'!K230</f>
        <v>0</v>
      </c>
      <c r="G229" s="17">
        <f>'12 - Device_Configuration'!L230</f>
        <v>0</v>
      </c>
      <c r="H229" s="17">
        <f>'13 - Config_Intake_View'!M229</f>
        <v>0</v>
      </c>
      <c r="I229" s="30">
        <f>IF('13 - Config_Intake_View'!Q229&lt;&gt;"",'13 - Config_Intake_View'!Q229,'12 - Device_Configuration'!BH230)</f>
        <v>0</v>
      </c>
      <c r="J229" s="17" t="str">
        <f>IF('13 - Config_Intake_View'!Q229&lt;&gt;"","PM Approved",IF('12 - Device_Configuration'!BH230&lt;&gt;"","Assumed",""))</f>
        <v/>
      </c>
      <c r="K229" s="30">
        <f>'12 - Device_Configuration'!BG230</f>
        <v>0</v>
      </c>
      <c r="L229" s="17">
        <f>'12 - Device_Configuration'!P230</f>
        <v>0</v>
      </c>
      <c r="M229" s="17">
        <f>'12 - Device_Configuration'!Q230</f>
        <v>0</v>
      </c>
      <c r="N229" s="17" t="str">
        <f>'12 - Device_Configuration'!BK230</f>
        <v/>
      </c>
      <c r="O229" s="30" t="str">
        <f>'12 - Device_Configuration'!BL230</f>
        <v/>
      </c>
      <c r="P229" s="2">
        <f>'12 - Device_Configuration'!BA230</f>
        <v>0</v>
      </c>
      <c r="Q229" s="30" t="str">
        <f t="shared" si="12"/>
        <v/>
      </c>
      <c r="R229" s="17" t="str">
        <f t="shared" si="13"/>
        <v>SW NOT INSTALLED</v>
      </c>
      <c r="S229" s="17" t="str">
        <f t="shared" si="14"/>
        <v/>
      </c>
      <c r="T229" s="17" t="str">
        <f t="shared" si="15"/>
        <v>SW NOT INSTALLED</v>
      </c>
    </row>
    <row r="230" spans="1:20">
      <c r="A230" s="30">
        <f>'12 - Device_Configuration'!H231</f>
        <v>0</v>
      </c>
      <c r="B230" s="30">
        <f>'12 - Device_Configuration'!S231</f>
        <v>0</v>
      </c>
      <c r="C230" s="30">
        <f>'12 - Device_Configuration'!T231</f>
        <v>0</v>
      </c>
      <c r="D230" s="17">
        <f>'12 - Device_Configuration'!AJ231</f>
        <v>0</v>
      </c>
      <c r="E230" s="17">
        <f>'12 - Device_Configuration'!J231</f>
        <v>0</v>
      </c>
      <c r="F230" s="30">
        <f>'12 - Device_Configuration'!K231</f>
        <v>0</v>
      </c>
      <c r="G230" s="17">
        <f>'12 - Device_Configuration'!L231</f>
        <v>0</v>
      </c>
      <c r="H230" s="17">
        <f>'13 - Config_Intake_View'!M230</f>
        <v>0</v>
      </c>
      <c r="I230" s="30">
        <f>IF('13 - Config_Intake_View'!Q230&lt;&gt;"",'13 - Config_Intake_View'!Q230,'12 - Device_Configuration'!BH231)</f>
        <v>0</v>
      </c>
      <c r="J230" s="17" t="str">
        <f>IF('13 - Config_Intake_View'!Q230&lt;&gt;"","PM Approved",IF('12 - Device_Configuration'!BH231&lt;&gt;"","Assumed",""))</f>
        <v/>
      </c>
      <c r="K230" s="30">
        <f>'12 - Device_Configuration'!BG231</f>
        <v>0</v>
      </c>
      <c r="L230" s="17">
        <f>'12 - Device_Configuration'!P231</f>
        <v>0</v>
      </c>
      <c r="M230" s="17">
        <f>'12 - Device_Configuration'!Q231</f>
        <v>0</v>
      </c>
      <c r="N230" s="17" t="str">
        <f>'12 - Device_Configuration'!BK231</f>
        <v/>
      </c>
      <c r="O230" s="30" t="str">
        <f>'12 - Device_Configuration'!BL231</f>
        <v/>
      </c>
      <c r="P230" s="2">
        <f>'12 - Device_Configuration'!BA231</f>
        <v>0</v>
      </c>
      <c r="Q230" s="30" t="str">
        <f t="shared" si="12"/>
        <v/>
      </c>
      <c r="R230" s="17" t="str">
        <f t="shared" si="13"/>
        <v>SW NOT INSTALLED</v>
      </c>
      <c r="S230" s="17" t="str">
        <f t="shared" si="14"/>
        <v/>
      </c>
      <c r="T230" s="17" t="str">
        <f t="shared" si="15"/>
        <v>SW NOT INSTALLED</v>
      </c>
    </row>
    <row r="231" spans="1:20">
      <c r="A231" s="30">
        <f>'12 - Device_Configuration'!H232</f>
        <v>0</v>
      </c>
      <c r="B231" s="30">
        <f>'12 - Device_Configuration'!S232</f>
        <v>0</v>
      </c>
      <c r="C231" s="30">
        <f>'12 - Device_Configuration'!T232</f>
        <v>0</v>
      </c>
      <c r="D231" s="17">
        <f>'12 - Device_Configuration'!AJ232</f>
        <v>0</v>
      </c>
      <c r="E231" s="17">
        <f>'12 - Device_Configuration'!J232</f>
        <v>0</v>
      </c>
      <c r="F231" s="30">
        <f>'12 - Device_Configuration'!K232</f>
        <v>0</v>
      </c>
      <c r="G231" s="17">
        <f>'12 - Device_Configuration'!L232</f>
        <v>0</v>
      </c>
      <c r="H231" s="17">
        <f>'13 - Config_Intake_View'!M231</f>
        <v>0</v>
      </c>
      <c r="I231" s="30">
        <f>IF('13 - Config_Intake_View'!Q231&lt;&gt;"",'13 - Config_Intake_View'!Q231,'12 - Device_Configuration'!BH232)</f>
        <v>0</v>
      </c>
      <c r="J231" s="17" t="str">
        <f>IF('13 - Config_Intake_View'!Q231&lt;&gt;"","PM Approved",IF('12 - Device_Configuration'!BH232&lt;&gt;"","Assumed",""))</f>
        <v/>
      </c>
      <c r="K231" s="30">
        <f>'12 - Device_Configuration'!BG232</f>
        <v>0</v>
      </c>
      <c r="L231" s="17">
        <f>'12 - Device_Configuration'!P232</f>
        <v>0</v>
      </c>
      <c r="M231" s="17">
        <f>'12 - Device_Configuration'!Q232</f>
        <v>0</v>
      </c>
      <c r="N231" s="17" t="str">
        <f>'12 - Device_Configuration'!BK232</f>
        <v/>
      </c>
      <c r="O231" s="30" t="str">
        <f>'12 - Device_Configuration'!BL232</f>
        <v/>
      </c>
      <c r="P231" s="2">
        <f>'12 - Device_Configuration'!BA232</f>
        <v>0</v>
      </c>
      <c r="Q231" s="30" t="str">
        <f t="shared" si="12"/>
        <v/>
      </c>
      <c r="R231" s="17" t="str">
        <f t="shared" si="13"/>
        <v>SW NOT INSTALLED</v>
      </c>
      <c r="S231" s="17" t="str">
        <f t="shared" si="14"/>
        <v/>
      </c>
      <c r="T231" s="17" t="str">
        <f t="shared" si="15"/>
        <v>SW NOT INSTALLED</v>
      </c>
    </row>
    <row r="232" spans="1:20">
      <c r="A232" s="30">
        <f>'12 - Device_Configuration'!H233</f>
        <v>0</v>
      </c>
      <c r="B232" s="30">
        <f>'12 - Device_Configuration'!S233</f>
        <v>0</v>
      </c>
      <c r="C232" s="30">
        <f>'12 - Device_Configuration'!T233</f>
        <v>0</v>
      </c>
      <c r="D232" s="17">
        <f>'12 - Device_Configuration'!AJ233</f>
        <v>0</v>
      </c>
      <c r="E232" s="17">
        <f>'12 - Device_Configuration'!J233</f>
        <v>0</v>
      </c>
      <c r="F232" s="30">
        <f>'12 - Device_Configuration'!K233</f>
        <v>0</v>
      </c>
      <c r="G232" s="17">
        <f>'12 - Device_Configuration'!L233</f>
        <v>0</v>
      </c>
      <c r="H232" s="17">
        <f>'13 - Config_Intake_View'!M232</f>
        <v>0</v>
      </c>
      <c r="I232" s="30">
        <f>IF('13 - Config_Intake_View'!Q232&lt;&gt;"",'13 - Config_Intake_View'!Q232,'12 - Device_Configuration'!BH233)</f>
        <v>0</v>
      </c>
      <c r="J232" s="17" t="str">
        <f>IF('13 - Config_Intake_View'!Q232&lt;&gt;"","PM Approved",IF('12 - Device_Configuration'!BH233&lt;&gt;"","Assumed",""))</f>
        <v/>
      </c>
      <c r="K232" s="30">
        <f>'12 - Device_Configuration'!BG233</f>
        <v>0</v>
      </c>
      <c r="L232" s="17">
        <f>'12 - Device_Configuration'!P233</f>
        <v>0</v>
      </c>
      <c r="M232" s="17">
        <f>'12 - Device_Configuration'!Q233</f>
        <v>0</v>
      </c>
      <c r="N232" s="17" t="str">
        <f>'12 - Device_Configuration'!BK233</f>
        <v/>
      </c>
      <c r="O232" s="30" t="str">
        <f>'12 - Device_Configuration'!BL233</f>
        <v/>
      </c>
      <c r="P232" s="2">
        <f>'12 - Device_Configuration'!BA233</f>
        <v>0</v>
      </c>
      <c r="Q232" s="30" t="str">
        <f t="shared" si="12"/>
        <v/>
      </c>
      <c r="R232" s="17" t="str">
        <f t="shared" si="13"/>
        <v>SW NOT INSTALLED</v>
      </c>
      <c r="S232" s="17" t="str">
        <f t="shared" si="14"/>
        <v/>
      </c>
      <c r="T232" s="17" t="str">
        <f t="shared" si="15"/>
        <v>SW NOT INSTALLED</v>
      </c>
    </row>
    <row r="233" spans="1:20">
      <c r="A233" s="30">
        <f>'12 - Device_Configuration'!H234</f>
        <v>0</v>
      </c>
      <c r="B233" s="30">
        <f>'12 - Device_Configuration'!S234</f>
        <v>0</v>
      </c>
      <c r="C233" s="30">
        <f>'12 - Device_Configuration'!T234</f>
        <v>0</v>
      </c>
      <c r="D233" s="17">
        <f>'12 - Device_Configuration'!AJ234</f>
        <v>0</v>
      </c>
      <c r="E233" s="17">
        <f>'12 - Device_Configuration'!J234</f>
        <v>0</v>
      </c>
      <c r="F233" s="30">
        <f>'12 - Device_Configuration'!K234</f>
        <v>0</v>
      </c>
      <c r="G233" s="17">
        <f>'12 - Device_Configuration'!L234</f>
        <v>0</v>
      </c>
      <c r="H233" s="17">
        <f>'13 - Config_Intake_View'!M233</f>
        <v>0</v>
      </c>
      <c r="I233" s="30">
        <f>IF('13 - Config_Intake_View'!Q233&lt;&gt;"",'13 - Config_Intake_View'!Q233,'12 - Device_Configuration'!BH234)</f>
        <v>0</v>
      </c>
      <c r="J233" s="17" t="str">
        <f>IF('13 - Config_Intake_View'!Q233&lt;&gt;"","PM Approved",IF('12 - Device_Configuration'!BH234&lt;&gt;"","Assumed",""))</f>
        <v/>
      </c>
      <c r="K233" s="30">
        <f>'12 - Device_Configuration'!BG234</f>
        <v>0</v>
      </c>
      <c r="L233" s="17">
        <f>'12 - Device_Configuration'!P234</f>
        <v>0</v>
      </c>
      <c r="M233" s="17">
        <f>'12 - Device_Configuration'!Q234</f>
        <v>0</v>
      </c>
      <c r="N233" s="17" t="str">
        <f>'12 - Device_Configuration'!BK234</f>
        <v/>
      </c>
      <c r="O233" s="30" t="str">
        <f>'12 - Device_Configuration'!BL234</f>
        <v/>
      </c>
      <c r="P233" s="2">
        <f>'12 - Device_Configuration'!BA234</f>
        <v>0</v>
      </c>
      <c r="Q233" s="30" t="str">
        <f t="shared" si="12"/>
        <v/>
      </c>
      <c r="R233" s="17" t="str">
        <f t="shared" si="13"/>
        <v>SW NOT INSTALLED</v>
      </c>
      <c r="S233" s="17" t="str">
        <f t="shared" si="14"/>
        <v/>
      </c>
      <c r="T233" s="17" t="str">
        <f t="shared" si="15"/>
        <v>SW NOT INSTALLED</v>
      </c>
    </row>
    <row r="234" spans="1:20">
      <c r="A234" s="30">
        <f>'12 - Device_Configuration'!H235</f>
        <v>0</v>
      </c>
      <c r="B234" s="30">
        <f>'12 - Device_Configuration'!S235</f>
        <v>0</v>
      </c>
      <c r="C234" s="30">
        <f>'12 - Device_Configuration'!T235</f>
        <v>0</v>
      </c>
      <c r="D234" s="17">
        <f>'12 - Device_Configuration'!AJ235</f>
        <v>0</v>
      </c>
      <c r="E234" s="17">
        <f>'12 - Device_Configuration'!J235</f>
        <v>0</v>
      </c>
      <c r="F234" s="30">
        <f>'12 - Device_Configuration'!K235</f>
        <v>0</v>
      </c>
      <c r="G234" s="17">
        <f>'12 - Device_Configuration'!L235</f>
        <v>0</v>
      </c>
      <c r="H234" s="17">
        <f>'13 - Config_Intake_View'!M234</f>
        <v>0</v>
      </c>
      <c r="I234" s="30">
        <f>IF('13 - Config_Intake_View'!Q234&lt;&gt;"",'13 - Config_Intake_View'!Q234,'12 - Device_Configuration'!BH235)</f>
        <v>0</v>
      </c>
      <c r="J234" s="17" t="str">
        <f>IF('13 - Config_Intake_View'!Q234&lt;&gt;"","PM Approved",IF('12 - Device_Configuration'!BH235&lt;&gt;"","Assumed",""))</f>
        <v/>
      </c>
      <c r="K234" s="30">
        <f>'12 - Device_Configuration'!BG235</f>
        <v>0</v>
      </c>
      <c r="L234" s="17">
        <f>'12 - Device_Configuration'!P235</f>
        <v>0</v>
      </c>
      <c r="M234" s="17">
        <f>'12 - Device_Configuration'!Q235</f>
        <v>0</v>
      </c>
      <c r="N234" s="17" t="str">
        <f>'12 - Device_Configuration'!BK235</f>
        <v/>
      </c>
      <c r="O234" s="30" t="str">
        <f>'12 - Device_Configuration'!BL235</f>
        <v/>
      </c>
      <c r="P234" s="2">
        <f>'12 - Device_Configuration'!BA235</f>
        <v>0</v>
      </c>
      <c r="Q234" s="30" t="str">
        <f t="shared" si="12"/>
        <v/>
      </c>
      <c r="R234" s="17" t="str">
        <f t="shared" si="13"/>
        <v>SW NOT INSTALLED</v>
      </c>
      <c r="S234" s="17" t="str">
        <f t="shared" si="14"/>
        <v/>
      </c>
      <c r="T234" s="17" t="str">
        <f t="shared" si="15"/>
        <v>SW NOT INSTALLED</v>
      </c>
    </row>
    <row r="235" spans="1:20">
      <c r="A235" s="30">
        <f>'12 - Device_Configuration'!H236</f>
        <v>0</v>
      </c>
      <c r="B235" s="30">
        <f>'12 - Device_Configuration'!S236</f>
        <v>0</v>
      </c>
      <c r="C235" s="30">
        <f>'12 - Device_Configuration'!T236</f>
        <v>0</v>
      </c>
      <c r="D235" s="17">
        <f>'12 - Device_Configuration'!AJ236</f>
        <v>0</v>
      </c>
      <c r="E235" s="17">
        <f>'12 - Device_Configuration'!J236</f>
        <v>0</v>
      </c>
      <c r="F235" s="30">
        <f>'12 - Device_Configuration'!K236</f>
        <v>0</v>
      </c>
      <c r="G235" s="17">
        <f>'12 - Device_Configuration'!L236</f>
        <v>0</v>
      </c>
      <c r="H235" s="17">
        <f>'13 - Config_Intake_View'!M235</f>
        <v>0</v>
      </c>
      <c r="I235" s="30">
        <f>IF('13 - Config_Intake_View'!Q235&lt;&gt;"",'13 - Config_Intake_View'!Q235,'12 - Device_Configuration'!BH236)</f>
        <v>0</v>
      </c>
      <c r="J235" s="17" t="str">
        <f>IF('13 - Config_Intake_View'!Q235&lt;&gt;"","PM Approved",IF('12 - Device_Configuration'!BH236&lt;&gt;"","Assumed",""))</f>
        <v/>
      </c>
      <c r="K235" s="30">
        <f>'12 - Device_Configuration'!BG236</f>
        <v>0</v>
      </c>
      <c r="L235" s="17">
        <f>'12 - Device_Configuration'!P236</f>
        <v>0</v>
      </c>
      <c r="M235" s="17">
        <f>'12 - Device_Configuration'!Q236</f>
        <v>0</v>
      </c>
      <c r="N235" s="17" t="str">
        <f>'12 - Device_Configuration'!BK236</f>
        <v/>
      </c>
      <c r="O235" s="30" t="str">
        <f>'12 - Device_Configuration'!BL236</f>
        <v/>
      </c>
      <c r="P235" s="2">
        <f>'12 - Device_Configuration'!BA236</f>
        <v>0</v>
      </c>
      <c r="Q235" s="30" t="str">
        <f t="shared" si="12"/>
        <v/>
      </c>
      <c r="R235" s="17" t="str">
        <f t="shared" si="13"/>
        <v>SW NOT INSTALLED</v>
      </c>
      <c r="S235" s="17" t="str">
        <f t="shared" si="14"/>
        <v/>
      </c>
      <c r="T235" s="17" t="str">
        <f t="shared" si="15"/>
        <v>SW NOT INSTALLED</v>
      </c>
    </row>
    <row r="236" spans="1:20">
      <c r="A236" s="30">
        <f>'12 - Device_Configuration'!H237</f>
        <v>0</v>
      </c>
      <c r="B236" s="30">
        <f>'12 - Device_Configuration'!S237</f>
        <v>0</v>
      </c>
      <c r="C236" s="30">
        <f>'12 - Device_Configuration'!T237</f>
        <v>0</v>
      </c>
      <c r="D236" s="17">
        <f>'12 - Device_Configuration'!AJ237</f>
        <v>0</v>
      </c>
      <c r="E236" s="17">
        <f>'12 - Device_Configuration'!J237</f>
        <v>0</v>
      </c>
      <c r="F236" s="30">
        <f>'12 - Device_Configuration'!K237</f>
        <v>0</v>
      </c>
      <c r="G236" s="17">
        <f>'12 - Device_Configuration'!L237</f>
        <v>0</v>
      </c>
      <c r="H236" s="17">
        <f>'13 - Config_Intake_View'!M236</f>
        <v>0</v>
      </c>
      <c r="I236" s="30">
        <f>IF('13 - Config_Intake_View'!Q236&lt;&gt;"",'13 - Config_Intake_View'!Q236,'12 - Device_Configuration'!BH237)</f>
        <v>0</v>
      </c>
      <c r="J236" s="17" t="str">
        <f>IF('13 - Config_Intake_View'!Q236&lt;&gt;"","PM Approved",IF('12 - Device_Configuration'!BH237&lt;&gt;"","Assumed",""))</f>
        <v/>
      </c>
      <c r="K236" s="30">
        <f>'12 - Device_Configuration'!BG237</f>
        <v>0</v>
      </c>
      <c r="L236" s="17">
        <f>'12 - Device_Configuration'!P237</f>
        <v>0</v>
      </c>
      <c r="M236" s="17">
        <f>'12 - Device_Configuration'!Q237</f>
        <v>0</v>
      </c>
      <c r="N236" s="17" t="str">
        <f>'12 - Device_Configuration'!BK237</f>
        <v/>
      </c>
      <c r="O236" s="30" t="str">
        <f>'12 - Device_Configuration'!BL237</f>
        <v/>
      </c>
      <c r="P236" s="2">
        <f>'12 - Device_Configuration'!BA237</f>
        <v>0</v>
      </c>
      <c r="Q236" s="30" t="str">
        <f t="shared" si="12"/>
        <v/>
      </c>
      <c r="R236" s="17" t="str">
        <f t="shared" si="13"/>
        <v>SW NOT INSTALLED</v>
      </c>
      <c r="S236" s="17" t="str">
        <f t="shared" si="14"/>
        <v/>
      </c>
      <c r="T236" s="17" t="str">
        <f t="shared" si="15"/>
        <v>SW NOT INSTALLED</v>
      </c>
    </row>
    <row r="237" spans="1:20">
      <c r="A237" s="30">
        <f>'12 - Device_Configuration'!H238</f>
        <v>0</v>
      </c>
      <c r="B237" s="30">
        <f>'12 - Device_Configuration'!S238</f>
        <v>0</v>
      </c>
      <c r="C237" s="30">
        <f>'12 - Device_Configuration'!T238</f>
        <v>0</v>
      </c>
      <c r="D237" s="17">
        <f>'12 - Device_Configuration'!AJ238</f>
        <v>0</v>
      </c>
      <c r="E237" s="17">
        <f>'12 - Device_Configuration'!J238</f>
        <v>0</v>
      </c>
      <c r="F237" s="30">
        <f>'12 - Device_Configuration'!K238</f>
        <v>0</v>
      </c>
      <c r="G237" s="17">
        <f>'12 - Device_Configuration'!L238</f>
        <v>0</v>
      </c>
      <c r="H237" s="17">
        <f>'13 - Config_Intake_View'!M237</f>
        <v>0</v>
      </c>
      <c r="I237" s="30">
        <f>IF('13 - Config_Intake_View'!Q237&lt;&gt;"",'13 - Config_Intake_View'!Q237,'12 - Device_Configuration'!BH238)</f>
        <v>0</v>
      </c>
      <c r="J237" s="17" t="str">
        <f>IF('13 - Config_Intake_View'!Q237&lt;&gt;"","PM Approved",IF('12 - Device_Configuration'!BH238&lt;&gt;"","Assumed",""))</f>
        <v/>
      </c>
      <c r="K237" s="30">
        <f>'12 - Device_Configuration'!BG238</f>
        <v>0</v>
      </c>
      <c r="L237" s="17">
        <f>'12 - Device_Configuration'!P238</f>
        <v>0</v>
      </c>
      <c r="M237" s="17">
        <f>'12 - Device_Configuration'!Q238</f>
        <v>0</v>
      </c>
      <c r="N237" s="17" t="str">
        <f>'12 - Device_Configuration'!BK238</f>
        <v/>
      </c>
      <c r="O237" s="30" t="str">
        <f>'12 - Device_Configuration'!BL238</f>
        <v/>
      </c>
      <c r="P237" s="2">
        <f>'12 - Device_Configuration'!BA238</f>
        <v>0</v>
      </c>
      <c r="Q237" s="30" t="str">
        <f t="shared" si="12"/>
        <v/>
      </c>
      <c r="R237" s="17" t="str">
        <f t="shared" si="13"/>
        <v>SW NOT INSTALLED</v>
      </c>
      <c r="S237" s="17" t="str">
        <f t="shared" si="14"/>
        <v/>
      </c>
      <c r="T237" s="17" t="str">
        <f t="shared" si="15"/>
        <v>SW NOT INSTALLED</v>
      </c>
    </row>
    <row r="238" spans="1:20">
      <c r="A238" s="30">
        <f>'12 - Device_Configuration'!H239</f>
        <v>0</v>
      </c>
      <c r="B238" s="30">
        <f>'12 - Device_Configuration'!S239</f>
        <v>0</v>
      </c>
      <c r="C238" s="30">
        <f>'12 - Device_Configuration'!T239</f>
        <v>0</v>
      </c>
      <c r="D238" s="17">
        <f>'12 - Device_Configuration'!AJ239</f>
        <v>0</v>
      </c>
      <c r="E238" s="17">
        <f>'12 - Device_Configuration'!J239</f>
        <v>0</v>
      </c>
      <c r="F238" s="30">
        <f>'12 - Device_Configuration'!K239</f>
        <v>0</v>
      </c>
      <c r="G238" s="17">
        <f>'12 - Device_Configuration'!L239</f>
        <v>0</v>
      </c>
      <c r="H238" s="17">
        <f>'13 - Config_Intake_View'!M238</f>
        <v>0</v>
      </c>
      <c r="I238" s="30">
        <f>IF('13 - Config_Intake_View'!Q238&lt;&gt;"",'13 - Config_Intake_View'!Q238,'12 - Device_Configuration'!BH239)</f>
        <v>0</v>
      </c>
      <c r="J238" s="17" t="str">
        <f>IF('13 - Config_Intake_View'!Q238&lt;&gt;"","PM Approved",IF('12 - Device_Configuration'!BH239&lt;&gt;"","Assumed",""))</f>
        <v/>
      </c>
      <c r="K238" s="30">
        <f>'12 - Device_Configuration'!BG239</f>
        <v>0</v>
      </c>
      <c r="L238" s="17">
        <f>'12 - Device_Configuration'!P239</f>
        <v>0</v>
      </c>
      <c r="M238" s="17">
        <f>'12 - Device_Configuration'!Q239</f>
        <v>0</v>
      </c>
      <c r="N238" s="17" t="str">
        <f>'12 - Device_Configuration'!BK239</f>
        <v/>
      </c>
      <c r="O238" s="30" t="str">
        <f>'12 - Device_Configuration'!BL239</f>
        <v/>
      </c>
      <c r="P238" s="2">
        <f>'12 - Device_Configuration'!BA239</f>
        <v>0</v>
      </c>
      <c r="Q238" s="30" t="str">
        <f t="shared" si="12"/>
        <v/>
      </c>
      <c r="R238" s="17" t="str">
        <f t="shared" si="13"/>
        <v>SW NOT INSTALLED</v>
      </c>
      <c r="S238" s="17" t="str">
        <f t="shared" si="14"/>
        <v/>
      </c>
      <c r="T238" s="17" t="str">
        <f t="shared" si="15"/>
        <v>SW NOT INSTALLED</v>
      </c>
    </row>
    <row r="239" spans="1:20">
      <c r="A239" s="30">
        <f>'12 - Device_Configuration'!H240</f>
        <v>0</v>
      </c>
      <c r="B239" s="30">
        <f>'12 - Device_Configuration'!S240</f>
        <v>0</v>
      </c>
      <c r="C239" s="30">
        <f>'12 - Device_Configuration'!T240</f>
        <v>0</v>
      </c>
      <c r="D239" s="17">
        <f>'12 - Device_Configuration'!AJ240</f>
        <v>0</v>
      </c>
      <c r="E239" s="17">
        <f>'12 - Device_Configuration'!J240</f>
        <v>0</v>
      </c>
      <c r="F239" s="30">
        <f>'12 - Device_Configuration'!K240</f>
        <v>0</v>
      </c>
      <c r="G239" s="17">
        <f>'12 - Device_Configuration'!L240</f>
        <v>0</v>
      </c>
      <c r="H239" s="17">
        <f>'13 - Config_Intake_View'!M239</f>
        <v>0</v>
      </c>
      <c r="I239" s="30">
        <f>IF('13 - Config_Intake_View'!Q239&lt;&gt;"",'13 - Config_Intake_View'!Q239,'12 - Device_Configuration'!BH240)</f>
        <v>0</v>
      </c>
      <c r="J239" s="17" t="str">
        <f>IF('13 - Config_Intake_View'!Q239&lt;&gt;"","PM Approved",IF('12 - Device_Configuration'!BH240&lt;&gt;"","Assumed",""))</f>
        <v/>
      </c>
      <c r="K239" s="30">
        <f>'12 - Device_Configuration'!BG240</f>
        <v>0</v>
      </c>
      <c r="L239" s="17">
        <f>'12 - Device_Configuration'!P240</f>
        <v>0</v>
      </c>
      <c r="M239" s="17">
        <f>'12 - Device_Configuration'!Q240</f>
        <v>0</v>
      </c>
      <c r="N239" s="17" t="str">
        <f>'12 - Device_Configuration'!BK240</f>
        <v/>
      </c>
      <c r="O239" s="30" t="str">
        <f>'12 - Device_Configuration'!BL240</f>
        <v/>
      </c>
      <c r="P239" s="2">
        <f>'12 - Device_Configuration'!BA240</f>
        <v>0</v>
      </c>
      <c r="Q239" s="30" t="str">
        <f t="shared" si="12"/>
        <v/>
      </c>
      <c r="R239" s="17" t="str">
        <f t="shared" si="13"/>
        <v>SW NOT INSTALLED</v>
      </c>
      <c r="S239" s="17" t="str">
        <f t="shared" si="14"/>
        <v/>
      </c>
      <c r="T239" s="17" t="str">
        <f t="shared" si="15"/>
        <v>SW NOT INSTALLED</v>
      </c>
    </row>
    <row r="240" spans="1:20">
      <c r="A240" s="30">
        <f>'12 - Device_Configuration'!H241</f>
        <v>0</v>
      </c>
      <c r="B240" s="30">
        <f>'12 - Device_Configuration'!S241</f>
        <v>0</v>
      </c>
      <c r="C240" s="30">
        <f>'12 - Device_Configuration'!T241</f>
        <v>0</v>
      </c>
      <c r="D240" s="17">
        <f>'12 - Device_Configuration'!AJ241</f>
        <v>0</v>
      </c>
      <c r="E240" s="17">
        <f>'12 - Device_Configuration'!J241</f>
        <v>0</v>
      </c>
      <c r="F240" s="30">
        <f>'12 - Device_Configuration'!K241</f>
        <v>0</v>
      </c>
      <c r="G240" s="17">
        <f>'12 - Device_Configuration'!L241</f>
        <v>0</v>
      </c>
      <c r="H240" s="17">
        <f>'13 - Config_Intake_View'!M240</f>
        <v>0</v>
      </c>
      <c r="I240" s="30">
        <f>IF('13 - Config_Intake_View'!Q240&lt;&gt;"",'13 - Config_Intake_View'!Q240,'12 - Device_Configuration'!BH241)</f>
        <v>0</v>
      </c>
      <c r="J240" s="17" t="str">
        <f>IF('13 - Config_Intake_View'!Q240&lt;&gt;"","PM Approved",IF('12 - Device_Configuration'!BH241&lt;&gt;"","Assumed",""))</f>
        <v/>
      </c>
      <c r="K240" s="30">
        <f>'12 - Device_Configuration'!BG241</f>
        <v>0</v>
      </c>
      <c r="L240" s="17">
        <f>'12 - Device_Configuration'!P241</f>
        <v>0</v>
      </c>
      <c r="M240" s="17">
        <f>'12 - Device_Configuration'!Q241</f>
        <v>0</v>
      </c>
      <c r="N240" s="17" t="str">
        <f>'12 - Device_Configuration'!BK241</f>
        <v/>
      </c>
      <c r="O240" s="30" t="str">
        <f>'12 - Device_Configuration'!BL241</f>
        <v/>
      </c>
      <c r="P240" s="2">
        <f>'12 - Device_Configuration'!BA241</f>
        <v>0</v>
      </c>
      <c r="Q240" s="30" t="str">
        <f t="shared" si="12"/>
        <v/>
      </c>
      <c r="R240" s="17" t="str">
        <f t="shared" si="13"/>
        <v>SW NOT INSTALLED</v>
      </c>
      <c r="S240" s="17" t="str">
        <f t="shared" si="14"/>
        <v/>
      </c>
      <c r="T240" s="17" t="str">
        <f t="shared" si="15"/>
        <v>SW NOT INSTALLED</v>
      </c>
    </row>
    <row r="241" spans="1:20">
      <c r="A241" s="30">
        <f>'12 - Device_Configuration'!H242</f>
        <v>0</v>
      </c>
      <c r="B241" s="30">
        <f>'12 - Device_Configuration'!S242</f>
        <v>0</v>
      </c>
      <c r="C241" s="30">
        <f>'12 - Device_Configuration'!T242</f>
        <v>0</v>
      </c>
      <c r="D241" s="17">
        <f>'12 - Device_Configuration'!AJ242</f>
        <v>0</v>
      </c>
      <c r="E241" s="17">
        <f>'12 - Device_Configuration'!J242</f>
        <v>0</v>
      </c>
      <c r="F241" s="30">
        <f>'12 - Device_Configuration'!K242</f>
        <v>0</v>
      </c>
      <c r="G241" s="17">
        <f>'12 - Device_Configuration'!L242</f>
        <v>0</v>
      </c>
      <c r="H241" s="17">
        <f>'13 - Config_Intake_View'!M241</f>
        <v>0</v>
      </c>
      <c r="I241" s="30">
        <f>IF('13 - Config_Intake_View'!Q241&lt;&gt;"",'13 - Config_Intake_View'!Q241,'12 - Device_Configuration'!BH242)</f>
        <v>0</v>
      </c>
      <c r="J241" s="17" t="str">
        <f>IF('13 - Config_Intake_View'!Q241&lt;&gt;"","PM Approved",IF('12 - Device_Configuration'!BH242&lt;&gt;"","Assumed",""))</f>
        <v/>
      </c>
      <c r="K241" s="30">
        <f>'12 - Device_Configuration'!BG242</f>
        <v>0</v>
      </c>
      <c r="L241" s="17">
        <f>'12 - Device_Configuration'!P242</f>
        <v>0</v>
      </c>
      <c r="M241" s="17">
        <f>'12 - Device_Configuration'!Q242</f>
        <v>0</v>
      </c>
      <c r="N241" s="17" t="str">
        <f>'12 - Device_Configuration'!BK242</f>
        <v/>
      </c>
      <c r="O241" s="30" t="str">
        <f>'12 - Device_Configuration'!BL242</f>
        <v/>
      </c>
      <c r="P241" s="2">
        <f>'12 - Device_Configuration'!BA242</f>
        <v>0</v>
      </c>
      <c r="Q241" s="30" t="str">
        <f t="shared" si="12"/>
        <v/>
      </c>
      <c r="R241" s="17" t="str">
        <f t="shared" si="13"/>
        <v>SW NOT INSTALLED</v>
      </c>
      <c r="S241" s="17" t="str">
        <f t="shared" si="14"/>
        <v/>
      </c>
      <c r="T241" s="17" t="str">
        <f t="shared" si="15"/>
        <v>SW NOT INSTALLED</v>
      </c>
    </row>
    <row r="242" spans="1:20">
      <c r="A242" s="30">
        <f>'12 - Device_Configuration'!H243</f>
        <v>0</v>
      </c>
      <c r="B242" s="30">
        <f>'12 - Device_Configuration'!S243</f>
        <v>0</v>
      </c>
      <c r="C242" s="30">
        <f>'12 - Device_Configuration'!T243</f>
        <v>0</v>
      </c>
      <c r="D242" s="17">
        <f>'12 - Device_Configuration'!AJ243</f>
        <v>0</v>
      </c>
      <c r="E242" s="17">
        <f>'12 - Device_Configuration'!J243</f>
        <v>0</v>
      </c>
      <c r="F242" s="30">
        <f>'12 - Device_Configuration'!K243</f>
        <v>0</v>
      </c>
      <c r="G242" s="17">
        <f>'12 - Device_Configuration'!L243</f>
        <v>0</v>
      </c>
      <c r="H242" s="17">
        <f>'13 - Config_Intake_View'!M242</f>
        <v>0</v>
      </c>
      <c r="I242" s="30">
        <f>IF('13 - Config_Intake_View'!Q242&lt;&gt;"",'13 - Config_Intake_View'!Q242,'12 - Device_Configuration'!BH243)</f>
        <v>0</v>
      </c>
      <c r="J242" s="17" t="str">
        <f>IF('13 - Config_Intake_View'!Q242&lt;&gt;"","PM Approved",IF('12 - Device_Configuration'!BH243&lt;&gt;"","Assumed",""))</f>
        <v/>
      </c>
      <c r="K242" s="30">
        <f>'12 - Device_Configuration'!BG243</f>
        <v>0</v>
      </c>
      <c r="L242" s="17">
        <f>'12 - Device_Configuration'!P243</f>
        <v>0</v>
      </c>
      <c r="M242" s="17">
        <f>'12 - Device_Configuration'!Q243</f>
        <v>0</v>
      </c>
      <c r="N242" s="17" t="str">
        <f>'12 - Device_Configuration'!BK243</f>
        <v/>
      </c>
      <c r="O242" s="30" t="str">
        <f>'12 - Device_Configuration'!BL243</f>
        <v/>
      </c>
      <c r="P242" s="2">
        <f>'12 - Device_Configuration'!BA243</f>
        <v>0</v>
      </c>
      <c r="Q242" s="30" t="str">
        <f t="shared" si="12"/>
        <v/>
      </c>
      <c r="R242" s="17" t="str">
        <f t="shared" si="13"/>
        <v>SW NOT INSTALLED</v>
      </c>
      <c r="S242" s="17" t="str">
        <f t="shared" si="14"/>
        <v/>
      </c>
      <c r="T242" s="17" t="str">
        <f t="shared" si="15"/>
        <v>SW NOT INSTALLED</v>
      </c>
    </row>
    <row r="243" spans="1:20">
      <c r="A243" s="30">
        <f>'12 - Device_Configuration'!H244</f>
        <v>0</v>
      </c>
      <c r="B243" s="30">
        <f>'12 - Device_Configuration'!S244</f>
        <v>0</v>
      </c>
      <c r="C243" s="30">
        <f>'12 - Device_Configuration'!T244</f>
        <v>0</v>
      </c>
      <c r="D243" s="17">
        <f>'12 - Device_Configuration'!AJ244</f>
        <v>0</v>
      </c>
      <c r="E243" s="17">
        <f>'12 - Device_Configuration'!J244</f>
        <v>0</v>
      </c>
      <c r="F243" s="30">
        <f>'12 - Device_Configuration'!K244</f>
        <v>0</v>
      </c>
      <c r="G243" s="17">
        <f>'12 - Device_Configuration'!L244</f>
        <v>0</v>
      </c>
      <c r="H243" s="17">
        <f>'13 - Config_Intake_View'!M243</f>
        <v>0</v>
      </c>
      <c r="I243" s="30">
        <f>IF('13 - Config_Intake_View'!Q243&lt;&gt;"",'13 - Config_Intake_View'!Q243,'12 - Device_Configuration'!BH244)</f>
        <v>0</v>
      </c>
      <c r="J243" s="17" t="str">
        <f>IF('13 - Config_Intake_View'!Q243&lt;&gt;"","PM Approved",IF('12 - Device_Configuration'!BH244&lt;&gt;"","Assumed",""))</f>
        <v/>
      </c>
      <c r="K243" s="30">
        <f>'12 - Device_Configuration'!BG244</f>
        <v>0</v>
      </c>
      <c r="L243" s="17">
        <f>'12 - Device_Configuration'!P244</f>
        <v>0</v>
      </c>
      <c r="M243" s="17">
        <f>'12 - Device_Configuration'!Q244</f>
        <v>0</v>
      </c>
      <c r="N243" s="17" t="str">
        <f>'12 - Device_Configuration'!BK244</f>
        <v/>
      </c>
      <c r="O243" s="30" t="str">
        <f>'12 - Device_Configuration'!BL244</f>
        <v/>
      </c>
      <c r="P243" s="2">
        <f>'12 - Device_Configuration'!BA244</f>
        <v>0</v>
      </c>
      <c r="Q243" s="30" t="str">
        <f t="shared" si="12"/>
        <v/>
      </c>
      <c r="R243" s="17" t="str">
        <f t="shared" si="13"/>
        <v>SW NOT INSTALLED</v>
      </c>
      <c r="S243" s="17" t="str">
        <f t="shared" si="14"/>
        <v/>
      </c>
      <c r="T243" s="17" t="str">
        <f t="shared" si="15"/>
        <v>SW NOT INSTALLED</v>
      </c>
    </row>
    <row r="244" spans="1:20">
      <c r="A244" s="30">
        <f>'12 - Device_Configuration'!H245</f>
        <v>0</v>
      </c>
      <c r="B244" s="30">
        <f>'12 - Device_Configuration'!S245</f>
        <v>0</v>
      </c>
      <c r="C244" s="30">
        <f>'12 - Device_Configuration'!T245</f>
        <v>0</v>
      </c>
      <c r="D244" s="17">
        <f>'12 - Device_Configuration'!AJ245</f>
        <v>0</v>
      </c>
      <c r="E244" s="17">
        <f>'12 - Device_Configuration'!J245</f>
        <v>0</v>
      </c>
      <c r="F244" s="30">
        <f>'12 - Device_Configuration'!K245</f>
        <v>0</v>
      </c>
      <c r="G244" s="17">
        <f>'12 - Device_Configuration'!L245</f>
        <v>0</v>
      </c>
      <c r="H244" s="17">
        <f>'13 - Config_Intake_View'!M244</f>
        <v>0</v>
      </c>
      <c r="I244" s="30">
        <f>IF('13 - Config_Intake_View'!Q244&lt;&gt;"",'13 - Config_Intake_View'!Q244,'12 - Device_Configuration'!BH245)</f>
        <v>0</v>
      </c>
      <c r="J244" s="17" t="str">
        <f>IF('13 - Config_Intake_View'!Q244&lt;&gt;"","PM Approved",IF('12 - Device_Configuration'!BH245&lt;&gt;"","Assumed",""))</f>
        <v/>
      </c>
      <c r="K244" s="30">
        <f>'12 - Device_Configuration'!BG245</f>
        <v>0</v>
      </c>
      <c r="L244" s="17">
        <f>'12 - Device_Configuration'!P245</f>
        <v>0</v>
      </c>
      <c r="M244" s="17">
        <f>'12 - Device_Configuration'!Q245</f>
        <v>0</v>
      </c>
      <c r="N244" s="17" t="str">
        <f>'12 - Device_Configuration'!BK245</f>
        <v/>
      </c>
      <c r="O244" s="30" t="str">
        <f>'12 - Device_Configuration'!BL245</f>
        <v/>
      </c>
      <c r="P244" s="2">
        <f>'12 - Device_Configuration'!BA245</f>
        <v>0</v>
      </c>
      <c r="Q244" s="30" t="str">
        <f t="shared" si="12"/>
        <v/>
      </c>
      <c r="R244" s="17" t="str">
        <f t="shared" si="13"/>
        <v>SW NOT INSTALLED</v>
      </c>
      <c r="S244" s="17" t="str">
        <f t="shared" si="14"/>
        <v/>
      </c>
      <c r="T244" s="17" t="str">
        <f t="shared" si="15"/>
        <v>SW NOT INSTALLED</v>
      </c>
    </row>
    <row r="245" spans="1:20">
      <c r="A245" s="30">
        <f>'12 - Device_Configuration'!H246</f>
        <v>0</v>
      </c>
      <c r="B245" s="30">
        <f>'12 - Device_Configuration'!S246</f>
        <v>0</v>
      </c>
      <c r="C245" s="30">
        <f>'12 - Device_Configuration'!T246</f>
        <v>0</v>
      </c>
      <c r="D245" s="17">
        <f>'12 - Device_Configuration'!AJ246</f>
        <v>0</v>
      </c>
      <c r="E245" s="17">
        <f>'12 - Device_Configuration'!J246</f>
        <v>0</v>
      </c>
      <c r="F245" s="30">
        <f>'12 - Device_Configuration'!K246</f>
        <v>0</v>
      </c>
      <c r="G245" s="17">
        <f>'12 - Device_Configuration'!L246</f>
        <v>0</v>
      </c>
      <c r="H245" s="17">
        <f>'13 - Config_Intake_View'!M245</f>
        <v>0</v>
      </c>
      <c r="I245" s="30">
        <f>IF('13 - Config_Intake_View'!Q245&lt;&gt;"",'13 - Config_Intake_View'!Q245,'12 - Device_Configuration'!BH246)</f>
        <v>0</v>
      </c>
      <c r="J245" s="17" t="str">
        <f>IF('13 - Config_Intake_View'!Q245&lt;&gt;"","PM Approved",IF('12 - Device_Configuration'!BH246&lt;&gt;"","Assumed",""))</f>
        <v/>
      </c>
      <c r="K245" s="30">
        <f>'12 - Device_Configuration'!BG246</f>
        <v>0</v>
      </c>
      <c r="L245" s="17">
        <f>'12 - Device_Configuration'!P246</f>
        <v>0</v>
      </c>
      <c r="M245" s="17">
        <f>'12 - Device_Configuration'!Q246</f>
        <v>0</v>
      </c>
      <c r="N245" s="17" t="str">
        <f>'12 - Device_Configuration'!BK246</f>
        <v/>
      </c>
      <c r="O245" s="30" t="str">
        <f>'12 - Device_Configuration'!BL246</f>
        <v/>
      </c>
      <c r="P245" s="2">
        <f>'12 - Device_Configuration'!BA246</f>
        <v>0</v>
      </c>
      <c r="Q245" s="30" t="str">
        <f t="shared" si="12"/>
        <v/>
      </c>
      <c r="R245" s="17" t="str">
        <f t="shared" si="13"/>
        <v>SW NOT INSTALLED</v>
      </c>
      <c r="S245" s="17" t="str">
        <f t="shared" si="14"/>
        <v/>
      </c>
      <c r="T245" s="17" t="str">
        <f t="shared" si="15"/>
        <v>SW NOT INSTALLED</v>
      </c>
    </row>
    <row r="246" spans="1:20">
      <c r="A246" s="30">
        <f>'12 - Device_Configuration'!H247</f>
        <v>0</v>
      </c>
      <c r="B246" s="30">
        <f>'12 - Device_Configuration'!S247</f>
        <v>0</v>
      </c>
      <c r="C246" s="30">
        <f>'12 - Device_Configuration'!T247</f>
        <v>0</v>
      </c>
      <c r="D246" s="17">
        <f>'12 - Device_Configuration'!AJ247</f>
        <v>0</v>
      </c>
      <c r="E246" s="17">
        <f>'12 - Device_Configuration'!J247</f>
        <v>0</v>
      </c>
      <c r="F246" s="30">
        <f>'12 - Device_Configuration'!K247</f>
        <v>0</v>
      </c>
      <c r="G246" s="17">
        <f>'12 - Device_Configuration'!L247</f>
        <v>0</v>
      </c>
      <c r="H246" s="17">
        <f>'13 - Config_Intake_View'!M246</f>
        <v>0</v>
      </c>
      <c r="I246" s="30">
        <f>IF('13 - Config_Intake_View'!Q246&lt;&gt;"",'13 - Config_Intake_View'!Q246,'12 - Device_Configuration'!BH247)</f>
        <v>0</v>
      </c>
      <c r="J246" s="17" t="str">
        <f>IF('13 - Config_Intake_View'!Q246&lt;&gt;"","PM Approved",IF('12 - Device_Configuration'!BH247&lt;&gt;"","Assumed",""))</f>
        <v/>
      </c>
      <c r="K246" s="30">
        <f>'12 - Device_Configuration'!BG247</f>
        <v>0</v>
      </c>
      <c r="L246" s="17">
        <f>'12 - Device_Configuration'!P247</f>
        <v>0</v>
      </c>
      <c r="M246" s="17">
        <f>'12 - Device_Configuration'!Q247</f>
        <v>0</v>
      </c>
      <c r="N246" s="17" t="str">
        <f>'12 - Device_Configuration'!BK247</f>
        <v/>
      </c>
      <c r="O246" s="30" t="str">
        <f>'12 - Device_Configuration'!BL247</f>
        <v/>
      </c>
      <c r="P246" s="2">
        <f>'12 - Device_Configuration'!BA247</f>
        <v>0</v>
      </c>
      <c r="Q246" s="30" t="str">
        <f t="shared" si="12"/>
        <v/>
      </c>
      <c r="R246" s="17" t="str">
        <f t="shared" si="13"/>
        <v>SW NOT INSTALLED</v>
      </c>
      <c r="S246" s="17" t="str">
        <f t="shared" si="14"/>
        <v/>
      </c>
      <c r="T246" s="17" t="str">
        <f t="shared" si="15"/>
        <v>SW NOT INSTALLED</v>
      </c>
    </row>
    <row r="247" spans="1:20">
      <c r="A247" s="30">
        <f>'12 - Device_Configuration'!H248</f>
        <v>0</v>
      </c>
      <c r="B247" s="30">
        <f>'12 - Device_Configuration'!S248</f>
        <v>0</v>
      </c>
      <c r="C247" s="30">
        <f>'12 - Device_Configuration'!T248</f>
        <v>0</v>
      </c>
      <c r="D247" s="17">
        <f>'12 - Device_Configuration'!AJ248</f>
        <v>0</v>
      </c>
      <c r="E247" s="17">
        <f>'12 - Device_Configuration'!J248</f>
        <v>0</v>
      </c>
      <c r="F247" s="30">
        <f>'12 - Device_Configuration'!K248</f>
        <v>0</v>
      </c>
      <c r="G247" s="17">
        <f>'12 - Device_Configuration'!L248</f>
        <v>0</v>
      </c>
      <c r="H247" s="17">
        <f>'13 - Config_Intake_View'!M247</f>
        <v>0</v>
      </c>
      <c r="I247" s="30">
        <f>IF('13 - Config_Intake_View'!Q247&lt;&gt;"",'13 - Config_Intake_View'!Q247,'12 - Device_Configuration'!BH248)</f>
        <v>0</v>
      </c>
      <c r="J247" s="17" t="str">
        <f>IF('13 - Config_Intake_View'!Q247&lt;&gt;"","PM Approved",IF('12 - Device_Configuration'!BH248&lt;&gt;"","Assumed",""))</f>
        <v/>
      </c>
      <c r="K247" s="30">
        <f>'12 - Device_Configuration'!BG248</f>
        <v>0</v>
      </c>
      <c r="L247" s="17">
        <f>'12 - Device_Configuration'!P248</f>
        <v>0</v>
      </c>
      <c r="M247" s="17">
        <f>'12 - Device_Configuration'!Q248</f>
        <v>0</v>
      </c>
      <c r="N247" s="17" t="str">
        <f>'12 - Device_Configuration'!BK248</f>
        <v/>
      </c>
      <c r="O247" s="30" t="str">
        <f>'12 - Device_Configuration'!BL248</f>
        <v/>
      </c>
      <c r="P247" s="2">
        <f>'12 - Device_Configuration'!BA248</f>
        <v>0</v>
      </c>
      <c r="Q247" s="30" t="str">
        <f t="shared" si="12"/>
        <v/>
      </c>
      <c r="R247" s="17" t="str">
        <f t="shared" si="13"/>
        <v>SW NOT INSTALLED</v>
      </c>
      <c r="S247" s="17" t="str">
        <f t="shared" si="14"/>
        <v/>
      </c>
      <c r="T247" s="17" t="str">
        <f t="shared" si="15"/>
        <v>SW NOT INSTALLED</v>
      </c>
    </row>
    <row r="248" spans="1:20">
      <c r="A248" s="30">
        <f>'12 - Device_Configuration'!H249</f>
        <v>0</v>
      </c>
      <c r="B248" s="30">
        <f>'12 - Device_Configuration'!S249</f>
        <v>0</v>
      </c>
      <c r="C248" s="30">
        <f>'12 - Device_Configuration'!T249</f>
        <v>0</v>
      </c>
      <c r="D248" s="17">
        <f>'12 - Device_Configuration'!AJ249</f>
        <v>0</v>
      </c>
      <c r="E248" s="17">
        <f>'12 - Device_Configuration'!J249</f>
        <v>0</v>
      </c>
      <c r="F248" s="30">
        <f>'12 - Device_Configuration'!K249</f>
        <v>0</v>
      </c>
      <c r="G248" s="17">
        <f>'12 - Device_Configuration'!L249</f>
        <v>0</v>
      </c>
      <c r="H248" s="17">
        <f>'13 - Config_Intake_View'!M248</f>
        <v>0</v>
      </c>
      <c r="I248" s="30">
        <f>IF('13 - Config_Intake_View'!Q248&lt;&gt;"",'13 - Config_Intake_View'!Q248,'12 - Device_Configuration'!BH249)</f>
        <v>0</v>
      </c>
      <c r="J248" s="17" t="str">
        <f>IF('13 - Config_Intake_View'!Q248&lt;&gt;"","PM Approved",IF('12 - Device_Configuration'!BH249&lt;&gt;"","Assumed",""))</f>
        <v/>
      </c>
      <c r="K248" s="30">
        <f>'12 - Device_Configuration'!BG249</f>
        <v>0</v>
      </c>
      <c r="L248" s="17">
        <f>'12 - Device_Configuration'!P249</f>
        <v>0</v>
      </c>
      <c r="M248" s="17">
        <f>'12 - Device_Configuration'!Q249</f>
        <v>0</v>
      </c>
      <c r="N248" s="17" t="str">
        <f>'12 - Device_Configuration'!BK249</f>
        <v/>
      </c>
      <c r="O248" s="30" t="str">
        <f>'12 - Device_Configuration'!BL249</f>
        <v/>
      </c>
      <c r="P248" s="2">
        <f>'12 - Device_Configuration'!BA249</f>
        <v>0</v>
      </c>
      <c r="Q248" s="30" t="str">
        <f t="shared" si="12"/>
        <v/>
      </c>
      <c r="R248" s="17" t="str">
        <f t="shared" si="13"/>
        <v>SW NOT INSTALLED</v>
      </c>
      <c r="S248" s="17" t="str">
        <f t="shared" si="14"/>
        <v/>
      </c>
      <c r="T248" s="17" t="str">
        <f t="shared" si="15"/>
        <v>SW NOT INSTALLED</v>
      </c>
    </row>
    <row r="249" spans="1:20">
      <c r="A249" s="30">
        <f>'12 - Device_Configuration'!H250</f>
        <v>0</v>
      </c>
      <c r="B249" s="30">
        <f>'12 - Device_Configuration'!S250</f>
        <v>0</v>
      </c>
      <c r="C249" s="30">
        <f>'12 - Device_Configuration'!T250</f>
        <v>0</v>
      </c>
      <c r="D249" s="17">
        <f>'12 - Device_Configuration'!AJ250</f>
        <v>0</v>
      </c>
      <c r="E249" s="17">
        <f>'12 - Device_Configuration'!J250</f>
        <v>0</v>
      </c>
      <c r="F249" s="30">
        <f>'12 - Device_Configuration'!K250</f>
        <v>0</v>
      </c>
      <c r="G249" s="17">
        <f>'12 - Device_Configuration'!L250</f>
        <v>0</v>
      </c>
      <c r="H249" s="17">
        <f>'13 - Config_Intake_View'!M249</f>
        <v>0</v>
      </c>
      <c r="I249" s="30">
        <f>IF('13 - Config_Intake_View'!Q249&lt;&gt;"",'13 - Config_Intake_View'!Q249,'12 - Device_Configuration'!BH250)</f>
        <v>0</v>
      </c>
      <c r="J249" s="17" t="str">
        <f>IF('13 - Config_Intake_View'!Q249&lt;&gt;"","PM Approved",IF('12 - Device_Configuration'!BH250&lt;&gt;"","Assumed",""))</f>
        <v/>
      </c>
      <c r="K249" s="30">
        <f>'12 - Device_Configuration'!BG250</f>
        <v>0</v>
      </c>
      <c r="L249" s="17">
        <f>'12 - Device_Configuration'!P250</f>
        <v>0</v>
      </c>
      <c r="M249" s="17">
        <f>'12 - Device_Configuration'!Q250</f>
        <v>0</v>
      </c>
      <c r="N249" s="17" t="str">
        <f>'12 - Device_Configuration'!BK250</f>
        <v/>
      </c>
      <c r="O249" s="30" t="str">
        <f>'12 - Device_Configuration'!BL250</f>
        <v/>
      </c>
      <c r="P249" s="2">
        <f>'12 - Device_Configuration'!BA250</f>
        <v>0</v>
      </c>
      <c r="Q249" s="30" t="str">
        <f t="shared" si="12"/>
        <v/>
      </c>
      <c r="R249" s="17" t="str">
        <f t="shared" si="13"/>
        <v>SW NOT INSTALLED</v>
      </c>
      <c r="S249" s="17" t="str">
        <f t="shared" si="14"/>
        <v/>
      </c>
      <c r="T249" s="17" t="str">
        <f t="shared" si="15"/>
        <v>SW NOT INSTALLED</v>
      </c>
    </row>
    <row r="250" spans="1:20">
      <c r="A250" s="30">
        <f>'12 - Device_Configuration'!H251</f>
        <v>0</v>
      </c>
      <c r="B250" s="30">
        <f>'12 - Device_Configuration'!S251</f>
        <v>0</v>
      </c>
      <c r="C250" s="30">
        <f>'12 - Device_Configuration'!T251</f>
        <v>0</v>
      </c>
      <c r="D250" s="17">
        <f>'12 - Device_Configuration'!AJ251</f>
        <v>0</v>
      </c>
      <c r="E250" s="17">
        <f>'12 - Device_Configuration'!J251</f>
        <v>0</v>
      </c>
      <c r="F250" s="30">
        <f>'12 - Device_Configuration'!K251</f>
        <v>0</v>
      </c>
      <c r="G250" s="17">
        <f>'12 - Device_Configuration'!L251</f>
        <v>0</v>
      </c>
      <c r="H250" s="17">
        <f>'13 - Config_Intake_View'!M250</f>
        <v>0</v>
      </c>
      <c r="I250" s="30">
        <f>IF('13 - Config_Intake_View'!Q250&lt;&gt;"",'13 - Config_Intake_View'!Q250,'12 - Device_Configuration'!BH251)</f>
        <v>0</v>
      </c>
      <c r="J250" s="17" t="str">
        <f>IF('13 - Config_Intake_View'!Q250&lt;&gt;"","PM Approved",IF('12 - Device_Configuration'!BH251&lt;&gt;"","Assumed",""))</f>
        <v/>
      </c>
      <c r="K250" s="30">
        <f>'12 - Device_Configuration'!BG251</f>
        <v>0</v>
      </c>
      <c r="L250" s="17">
        <f>'12 - Device_Configuration'!P251</f>
        <v>0</v>
      </c>
      <c r="M250" s="17">
        <f>'12 - Device_Configuration'!Q251</f>
        <v>0</v>
      </c>
      <c r="N250" s="17" t="str">
        <f>'12 - Device_Configuration'!BK251</f>
        <v/>
      </c>
      <c r="O250" s="30" t="str">
        <f>'12 - Device_Configuration'!BL251</f>
        <v/>
      </c>
      <c r="P250" s="2">
        <f>'12 - Device_Configuration'!BA251</f>
        <v>0</v>
      </c>
      <c r="Q250" s="30" t="str">
        <f t="shared" si="12"/>
        <v/>
      </c>
      <c r="R250" s="17" t="str">
        <f t="shared" si="13"/>
        <v>SW NOT INSTALLED</v>
      </c>
      <c r="S250" s="17" t="str">
        <f t="shared" si="14"/>
        <v/>
      </c>
      <c r="T250" s="17" t="str">
        <f t="shared" si="15"/>
        <v>SW NOT INSTALLED</v>
      </c>
    </row>
    <row r="251" spans="1:20">
      <c r="A251" s="30">
        <f>'12 - Device_Configuration'!H252</f>
        <v>0</v>
      </c>
      <c r="B251" s="30">
        <f>'12 - Device_Configuration'!S252</f>
        <v>0</v>
      </c>
      <c r="C251" s="30">
        <f>'12 - Device_Configuration'!T252</f>
        <v>0</v>
      </c>
      <c r="D251" s="17">
        <f>'12 - Device_Configuration'!AJ252</f>
        <v>0</v>
      </c>
      <c r="E251" s="17">
        <f>'12 - Device_Configuration'!J252</f>
        <v>0</v>
      </c>
      <c r="F251" s="30">
        <f>'12 - Device_Configuration'!K252</f>
        <v>0</v>
      </c>
      <c r="G251" s="17">
        <f>'12 - Device_Configuration'!L252</f>
        <v>0</v>
      </c>
      <c r="H251" s="17">
        <f>'13 - Config_Intake_View'!M251</f>
        <v>0</v>
      </c>
      <c r="I251" s="30">
        <f>IF('13 - Config_Intake_View'!Q251&lt;&gt;"",'13 - Config_Intake_View'!Q251,'12 - Device_Configuration'!BH252)</f>
        <v>0</v>
      </c>
      <c r="J251" s="17" t="str">
        <f>IF('13 - Config_Intake_View'!Q251&lt;&gt;"","PM Approved",IF('12 - Device_Configuration'!BH252&lt;&gt;"","Assumed",""))</f>
        <v/>
      </c>
      <c r="K251" s="30">
        <f>'12 - Device_Configuration'!BG252</f>
        <v>0</v>
      </c>
      <c r="L251" s="17">
        <f>'12 - Device_Configuration'!P252</f>
        <v>0</v>
      </c>
      <c r="M251" s="17">
        <f>'12 - Device_Configuration'!Q252</f>
        <v>0</v>
      </c>
      <c r="N251" s="17" t="str">
        <f>'12 - Device_Configuration'!BK252</f>
        <v/>
      </c>
      <c r="O251" s="30" t="str">
        <f>'12 - Device_Configuration'!BL252</f>
        <v/>
      </c>
      <c r="P251" s="2">
        <f>'12 - Device_Configuration'!BA252</f>
        <v>0</v>
      </c>
      <c r="Q251" s="30" t="str">
        <f t="shared" si="12"/>
        <v/>
      </c>
      <c r="R251" s="17" t="str">
        <f t="shared" si="13"/>
        <v>SW NOT INSTALLED</v>
      </c>
      <c r="S251" s="17" t="str">
        <f t="shared" si="14"/>
        <v/>
      </c>
      <c r="T251" s="17" t="str">
        <f t="shared" si="15"/>
        <v>SW NOT INSTALLED</v>
      </c>
    </row>
    <row r="252" spans="1:20">
      <c r="A252" s="30">
        <f>'12 - Device_Configuration'!H253</f>
        <v>0</v>
      </c>
      <c r="B252" s="30">
        <f>'12 - Device_Configuration'!S253</f>
        <v>0</v>
      </c>
      <c r="C252" s="30">
        <f>'12 - Device_Configuration'!T253</f>
        <v>0</v>
      </c>
      <c r="D252" s="17">
        <f>'12 - Device_Configuration'!AJ253</f>
        <v>0</v>
      </c>
      <c r="E252" s="17">
        <f>'12 - Device_Configuration'!J253</f>
        <v>0</v>
      </c>
      <c r="F252" s="30">
        <f>'12 - Device_Configuration'!K253</f>
        <v>0</v>
      </c>
      <c r="G252" s="17">
        <f>'12 - Device_Configuration'!L253</f>
        <v>0</v>
      </c>
      <c r="H252" s="17">
        <f>'13 - Config_Intake_View'!M252</f>
        <v>0</v>
      </c>
      <c r="I252" s="30">
        <f>IF('13 - Config_Intake_View'!Q252&lt;&gt;"",'13 - Config_Intake_View'!Q252,'12 - Device_Configuration'!BH253)</f>
        <v>0</v>
      </c>
      <c r="J252" s="17" t="str">
        <f>IF('13 - Config_Intake_View'!Q252&lt;&gt;"","PM Approved",IF('12 - Device_Configuration'!BH253&lt;&gt;"","Assumed",""))</f>
        <v/>
      </c>
      <c r="K252" s="30">
        <f>'12 - Device_Configuration'!BG253</f>
        <v>0</v>
      </c>
      <c r="L252" s="17">
        <f>'12 - Device_Configuration'!P253</f>
        <v>0</v>
      </c>
      <c r="M252" s="17">
        <f>'12 - Device_Configuration'!Q253</f>
        <v>0</v>
      </c>
      <c r="N252" s="17" t="str">
        <f>'12 - Device_Configuration'!BK253</f>
        <v/>
      </c>
      <c r="O252" s="30" t="str">
        <f>'12 - Device_Configuration'!BL253</f>
        <v/>
      </c>
      <c r="P252" s="2">
        <f>'12 - Device_Configuration'!BA253</f>
        <v>0</v>
      </c>
      <c r="Q252" s="30" t="str">
        <f t="shared" si="12"/>
        <v/>
      </c>
      <c r="R252" s="17" t="str">
        <f t="shared" si="13"/>
        <v>SW NOT INSTALLED</v>
      </c>
      <c r="S252" s="17" t="str">
        <f t="shared" si="14"/>
        <v/>
      </c>
      <c r="T252" s="17" t="str">
        <f t="shared" si="15"/>
        <v>SW NOT INSTALLED</v>
      </c>
    </row>
    <row r="253" spans="1:20">
      <c r="A253" s="30">
        <f>'12 - Device_Configuration'!H254</f>
        <v>0</v>
      </c>
      <c r="B253" s="30">
        <f>'12 - Device_Configuration'!S254</f>
        <v>0</v>
      </c>
      <c r="C253" s="30">
        <f>'12 - Device_Configuration'!T254</f>
        <v>0</v>
      </c>
      <c r="D253" s="17">
        <f>'12 - Device_Configuration'!AJ254</f>
        <v>0</v>
      </c>
      <c r="E253" s="17">
        <f>'12 - Device_Configuration'!J254</f>
        <v>0</v>
      </c>
      <c r="F253" s="30">
        <f>'12 - Device_Configuration'!K254</f>
        <v>0</v>
      </c>
      <c r="G253" s="17">
        <f>'12 - Device_Configuration'!L254</f>
        <v>0</v>
      </c>
      <c r="H253" s="17">
        <f>'13 - Config_Intake_View'!M253</f>
        <v>0</v>
      </c>
      <c r="I253" s="30">
        <f>IF('13 - Config_Intake_View'!Q253&lt;&gt;"",'13 - Config_Intake_View'!Q253,'12 - Device_Configuration'!BH254)</f>
        <v>0</v>
      </c>
      <c r="J253" s="17" t="str">
        <f>IF('13 - Config_Intake_View'!Q253&lt;&gt;"","PM Approved",IF('12 - Device_Configuration'!BH254&lt;&gt;"","Assumed",""))</f>
        <v/>
      </c>
      <c r="K253" s="30">
        <f>'12 - Device_Configuration'!BG254</f>
        <v>0</v>
      </c>
      <c r="L253" s="17">
        <f>'12 - Device_Configuration'!P254</f>
        <v>0</v>
      </c>
      <c r="M253" s="17">
        <f>'12 - Device_Configuration'!Q254</f>
        <v>0</v>
      </c>
      <c r="N253" s="17" t="str">
        <f>'12 - Device_Configuration'!BK254</f>
        <v/>
      </c>
      <c r="O253" s="30" t="str">
        <f>'12 - Device_Configuration'!BL254</f>
        <v/>
      </c>
      <c r="P253" s="2">
        <f>'12 - Device_Configuration'!BA254</f>
        <v>0</v>
      </c>
      <c r="Q253" s="30" t="str">
        <f t="shared" si="12"/>
        <v/>
      </c>
      <c r="R253" s="17" t="str">
        <f t="shared" si="13"/>
        <v>SW NOT INSTALLED</v>
      </c>
      <c r="S253" s="17" t="str">
        <f t="shared" si="14"/>
        <v/>
      </c>
      <c r="T253" s="17" t="str">
        <f t="shared" si="15"/>
        <v>SW NOT INSTALLED</v>
      </c>
    </row>
    <row r="254" spans="1:20">
      <c r="A254" s="30">
        <f>'12 - Device_Configuration'!H255</f>
        <v>0</v>
      </c>
      <c r="B254" s="30">
        <f>'12 - Device_Configuration'!S255</f>
        <v>0</v>
      </c>
      <c r="C254" s="30">
        <f>'12 - Device_Configuration'!T255</f>
        <v>0</v>
      </c>
      <c r="D254" s="17">
        <f>'12 - Device_Configuration'!AJ255</f>
        <v>0</v>
      </c>
      <c r="E254" s="17">
        <f>'12 - Device_Configuration'!J255</f>
        <v>0</v>
      </c>
      <c r="F254" s="30">
        <f>'12 - Device_Configuration'!K255</f>
        <v>0</v>
      </c>
      <c r="G254" s="17">
        <f>'12 - Device_Configuration'!L255</f>
        <v>0</v>
      </c>
      <c r="H254" s="17">
        <f>'13 - Config_Intake_View'!M254</f>
        <v>0</v>
      </c>
      <c r="I254" s="30">
        <f>IF('13 - Config_Intake_View'!Q254&lt;&gt;"",'13 - Config_Intake_View'!Q254,'12 - Device_Configuration'!BH255)</f>
        <v>0</v>
      </c>
      <c r="J254" s="17" t="str">
        <f>IF('13 - Config_Intake_View'!Q254&lt;&gt;"","PM Approved",IF('12 - Device_Configuration'!BH255&lt;&gt;"","Assumed",""))</f>
        <v/>
      </c>
      <c r="K254" s="30">
        <f>'12 - Device_Configuration'!BG255</f>
        <v>0</v>
      </c>
      <c r="L254" s="17">
        <f>'12 - Device_Configuration'!P255</f>
        <v>0</v>
      </c>
      <c r="M254" s="17">
        <f>'12 - Device_Configuration'!Q255</f>
        <v>0</v>
      </c>
      <c r="N254" s="17" t="str">
        <f>'12 - Device_Configuration'!BK255</f>
        <v/>
      </c>
      <c r="O254" s="30" t="str">
        <f>'12 - Device_Configuration'!BL255</f>
        <v/>
      </c>
      <c r="P254" s="2">
        <f>'12 - Device_Configuration'!BA255</f>
        <v>0</v>
      </c>
      <c r="Q254" s="30" t="str">
        <f t="shared" si="12"/>
        <v/>
      </c>
      <c r="R254" s="17" t="str">
        <f t="shared" si="13"/>
        <v>SW NOT INSTALLED</v>
      </c>
      <c r="S254" s="17" t="str">
        <f t="shared" si="14"/>
        <v/>
      </c>
      <c r="T254" s="17" t="str">
        <f t="shared" si="15"/>
        <v>SW NOT INSTALLED</v>
      </c>
    </row>
    <row r="255" spans="1:20">
      <c r="A255" s="30">
        <f>'12 - Device_Configuration'!H256</f>
        <v>0</v>
      </c>
      <c r="B255" s="30">
        <f>'12 - Device_Configuration'!S256</f>
        <v>0</v>
      </c>
      <c r="C255" s="30">
        <f>'12 - Device_Configuration'!T256</f>
        <v>0</v>
      </c>
      <c r="D255" s="17">
        <f>'12 - Device_Configuration'!AJ256</f>
        <v>0</v>
      </c>
      <c r="E255" s="17">
        <f>'12 - Device_Configuration'!J256</f>
        <v>0</v>
      </c>
      <c r="F255" s="30">
        <f>'12 - Device_Configuration'!K256</f>
        <v>0</v>
      </c>
      <c r="G255" s="17">
        <f>'12 - Device_Configuration'!L256</f>
        <v>0</v>
      </c>
      <c r="H255" s="17">
        <f>'13 - Config_Intake_View'!M255</f>
        <v>0</v>
      </c>
      <c r="I255" s="30">
        <f>IF('13 - Config_Intake_View'!Q255&lt;&gt;"",'13 - Config_Intake_View'!Q255,'12 - Device_Configuration'!BH256)</f>
        <v>0</v>
      </c>
      <c r="J255" s="17" t="str">
        <f>IF('13 - Config_Intake_View'!Q255&lt;&gt;"","PM Approved",IF('12 - Device_Configuration'!BH256&lt;&gt;"","Assumed",""))</f>
        <v/>
      </c>
      <c r="K255" s="30">
        <f>'12 - Device_Configuration'!BG256</f>
        <v>0</v>
      </c>
      <c r="L255" s="17">
        <f>'12 - Device_Configuration'!P256</f>
        <v>0</v>
      </c>
      <c r="M255" s="17">
        <f>'12 - Device_Configuration'!Q256</f>
        <v>0</v>
      </c>
      <c r="N255" s="17" t="str">
        <f>'12 - Device_Configuration'!BK256</f>
        <v/>
      </c>
      <c r="O255" s="30" t="str">
        <f>'12 - Device_Configuration'!BL256</f>
        <v/>
      </c>
      <c r="P255" s="2">
        <f>'12 - Device_Configuration'!BA256</f>
        <v>0</v>
      </c>
      <c r="Q255" s="30" t="str">
        <f t="shared" si="12"/>
        <v/>
      </c>
      <c r="R255" s="17" t="str">
        <f t="shared" si="13"/>
        <v>SW NOT INSTALLED</v>
      </c>
      <c r="S255" s="17" t="str">
        <f t="shared" si="14"/>
        <v/>
      </c>
      <c r="T255" s="17" t="str">
        <f t="shared" si="15"/>
        <v>SW NOT INSTALLED</v>
      </c>
    </row>
    <row r="256" spans="1:20">
      <c r="A256" s="30">
        <f>'12 - Device_Configuration'!H257</f>
        <v>0</v>
      </c>
      <c r="B256" s="30">
        <f>'12 - Device_Configuration'!S257</f>
        <v>0</v>
      </c>
      <c r="C256" s="30">
        <f>'12 - Device_Configuration'!T257</f>
        <v>0</v>
      </c>
      <c r="D256" s="17">
        <f>'12 - Device_Configuration'!AJ257</f>
        <v>0</v>
      </c>
      <c r="E256" s="17">
        <f>'12 - Device_Configuration'!J257</f>
        <v>0</v>
      </c>
      <c r="F256" s="30">
        <f>'12 - Device_Configuration'!K257</f>
        <v>0</v>
      </c>
      <c r="G256" s="17">
        <f>'12 - Device_Configuration'!L257</f>
        <v>0</v>
      </c>
      <c r="H256" s="17">
        <f>'13 - Config_Intake_View'!M256</f>
        <v>0</v>
      </c>
      <c r="I256" s="30">
        <f>IF('13 - Config_Intake_View'!Q256&lt;&gt;"",'13 - Config_Intake_View'!Q256,'12 - Device_Configuration'!BH257)</f>
        <v>0</v>
      </c>
      <c r="J256" s="17" t="str">
        <f>IF('13 - Config_Intake_View'!Q256&lt;&gt;"","PM Approved",IF('12 - Device_Configuration'!BH257&lt;&gt;"","Assumed",""))</f>
        <v/>
      </c>
      <c r="K256" s="30">
        <f>'12 - Device_Configuration'!BG257</f>
        <v>0</v>
      </c>
      <c r="L256" s="17">
        <f>'12 - Device_Configuration'!P257</f>
        <v>0</v>
      </c>
      <c r="M256" s="17">
        <f>'12 - Device_Configuration'!Q257</f>
        <v>0</v>
      </c>
      <c r="N256" s="17" t="str">
        <f>'12 - Device_Configuration'!BK257</f>
        <v/>
      </c>
      <c r="O256" s="30" t="str">
        <f>'12 - Device_Configuration'!BL257</f>
        <v/>
      </c>
      <c r="P256" s="2">
        <f>'12 - Device_Configuration'!BA257</f>
        <v>0</v>
      </c>
      <c r="Q256" s="30" t="str">
        <f t="shared" si="12"/>
        <v/>
      </c>
      <c r="R256" s="17" t="str">
        <f t="shared" si="13"/>
        <v>SW NOT INSTALLED</v>
      </c>
      <c r="S256" s="17" t="str">
        <f t="shared" si="14"/>
        <v/>
      </c>
      <c r="T256" s="17" t="str">
        <f t="shared" si="15"/>
        <v>SW NOT INSTALLED</v>
      </c>
    </row>
    <row r="257" spans="1:20">
      <c r="A257" s="30">
        <f>'12 - Device_Configuration'!H258</f>
        <v>0</v>
      </c>
      <c r="B257" s="30">
        <f>'12 - Device_Configuration'!S258</f>
        <v>0</v>
      </c>
      <c r="C257" s="30">
        <f>'12 - Device_Configuration'!T258</f>
        <v>0</v>
      </c>
      <c r="D257" s="17">
        <f>'12 - Device_Configuration'!AJ258</f>
        <v>0</v>
      </c>
      <c r="E257" s="17">
        <f>'12 - Device_Configuration'!J258</f>
        <v>0</v>
      </c>
      <c r="F257" s="30">
        <f>'12 - Device_Configuration'!K258</f>
        <v>0</v>
      </c>
      <c r="G257" s="17">
        <f>'12 - Device_Configuration'!L258</f>
        <v>0</v>
      </c>
      <c r="H257" s="17">
        <f>'13 - Config_Intake_View'!M257</f>
        <v>0</v>
      </c>
      <c r="I257" s="30">
        <f>IF('13 - Config_Intake_View'!Q257&lt;&gt;"",'13 - Config_Intake_View'!Q257,'12 - Device_Configuration'!BH258)</f>
        <v>0</v>
      </c>
      <c r="J257" s="17" t="str">
        <f>IF('13 - Config_Intake_View'!Q257&lt;&gt;"","PM Approved",IF('12 - Device_Configuration'!BH258&lt;&gt;"","Assumed",""))</f>
        <v/>
      </c>
      <c r="K257" s="30">
        <f>'12 - Device_Configuration'!BG258</f>
        <v>0</v>
      </c>
      <c r="L257" s="17">
        <f>'12 - Device_Configuration'!P258</f>
        <v>0</v>
      </c>
      <c r="M257" s="17">
        <f>'12 - Device_Configuration'!Q258</f>
        <v>0</v>
      </c>
      <c r="N257" s="17" t="str">
        <f>'12 - Device_Configuration'!BK258</f>
        <v/>
      </c>
      <c r="O257" s="30" t="str">
        <f>'12 - Device_Configuration'!BL258</f>
        <v/>
      </c>
      <c r="P257" s="2">
        <f>'12 - Device_Configuration'!BA258</f>
        <v>0</v>
      </c>
      <c r="Q257" s="30" t="str">
        <f t="shared" si="12"/>
        <v/>
      </c>
      <c r="R257" s="17" t="str">
        <f t="shared" si="13"/>
        <v>SW NOT INSTALLED</v>
      </c>
      <c r="S257" s="17" t="str">
        <f t="shared" si="14"/>
        <v/>
      </c>
      <c r="T257" s="17" t="str">
        <f t="shared" si="15"/>
        <v>SW NOT INSTALLED</v>
      </c>
    </row>
    <row r="258" spans="1:20">
      <c r="A258" s="30">
        <f>'12 - Device_Configuration'!H259</f>
        <v>0</v>
      </c>
      <c r="B258" s="30">
        <f>'12 - Device_Configuration'!S259</f>
        <v>0</v>
      </c>
      <c r="C258" s="30">
        <f>'12 - Device_Configuration'!T259</f>
        <v>0</v>
      </c>
      <c r="D258" s="17">
        <f>'12 - Device_Configuration'!AJ259</f>
        <v>0</v>
      </c>
      <c r="E258" s="17">
        <f>'12 - Device_Configuration'!J259</f>
        <v>0</v>
      </c>
      <c r="F258" s="30">
        <f>'12 - Device_Configuration'!K259</f>
        <v>0</v>
      </c>
      <c r="G258" s="17">
        <f>'12 - Device_Configuration'!L259</f>
        <v>0</v>
      </c>
      <c r="H258" s="17">
        <f>'13 - Config_Intake_View'!M258</f>
        <v>0</v>
      </c>
      <c r="I258" s="30">
        <f>IF('13 - Config_Intake_View'!Q258&lt;&gt;"",'13 - Config_Intake_View'!Q258,'12 - Device_Configuration'!BH259)</f>
        <v>0</v>
      </c>
      <c r="J258" s="17" t="str">
        <f>IF('13 - Config_Intake_View'!Q258&lt;&gt;"","PM Approved",IF('12 - Device_Configuration'!BH259&lt;&gt;"","Assumed",""))</f>
        <v/>
      </c>
      <c r="K258" s="30">
        <f>'12 - Device_Configuration'!BG259</f>
        <v>0</v>
      </c>
      <c r="L258" s="17">
        <f>'12 - Device_Configuration'!P259</f>
        <v>0</v>
      </c>
      <c r="M258" s="17">
        <f>'12 - Device_Configuration'!Q259</f>
        <v>0</v>
      </c>
      <c r="N258" s="17" t="str">
        <f>'12 - Device_Configuration'!BK259</f>
        <v/>
      </c>
      <c r="O258" s="30" t="str">
        <f>'12 - Device_Configuration'!BL259</f>
        <v/>
      </c>
      <c r="P258" s="2">
        <f>'12 - Device_Configuration'!BA259</f>
        <v>0</v>
      </c>
      <c r="Q258" s="30" t="str">
        <f t="shared" ref="Q258:Q321" si="16">IF(OR($A258="",$B258="",$D258=""),"MISSING CORE FIELDS","")</f>
        <v/>
      </c>
      <c r="R258" s="17" t="str">
        <f t="shared" ref="R258:R321" si="17">IF(AND($I258&lt;&gt;"",$K258&lt;&gt;"Yes"),"SW NOT INSTALLED","")</f>
        <v>SW NOT INSTALLED</v>
      </c>
      <c r="S258" s="17" t="str">
        <f t="shared" ref="S258:S321" si="18">IF(AND($H258&lt;&gt;"",ISNUMBER(SEARCH("auto",LOWER($H258))),$F258=""),"AUTOLOGON REQUIRED","")</f>
        <v/>
      </c>
      <c r="T258" s="17" t="str">
        <f t="shared" ref="T258:T321" si="19">IF($Q258&lt;&gt;"",$Q258,IF($S258&lt;&gt;"",$S258,IF($R258&lt;&gt;"",$R258,IF(OR($N258&lt;&gt;"",$O258="Blocked"),"BLOCKED","OK"))))</f>
        <v>SW NOT INSTALLED</v>
      </c>
    </row>
    <row r="259" spans="1:20">
      <c r="A259" s="30">
        <f>'12 - Device_Configuration'!H260</f>
        <v>0</v>
      </c>
      <c r="B259" s="30">
        <f>'12 - Device_Configuration'!S260</f>
        <v>0</v>
      </c>
      <c r="C259" s="30">
        <f>'12 - Device_Configuration'!T260</f>
        <v>0</v>
      </c>
      <c r="D259" s="17">
        <f>'12 - Device_Configuration'!AJ260</f>
        <v>0</v>
      </c>
      <c r="E259" s="17">
        <f>'12 - Device_Configuration'!J260</f>
        <v>0</v>
      </c>
      <c r="F259" s="30">
        <f>'12 - Device_Configuration'!K260</f>
        <v>0</v>
      </c>
      <c r="G259" s="17">
        <f>'12 - Device_Configuration'!L260</f>
        <v>0</v>
      </c>
      <c r="H259" s="17">
        <f>'13 - Config_Intake_View'!M259</f>
        <v>0</v>
      </c>
      <c r="I259" s="30">
        <f>IF('13 - Config_Intake_View'!Q259&lt;&gt;"",'13 - Config_Intake_View'!Q259,'12 - Device_Configuration'!BH260)</f>
        <v>0</v>
      </c>
      <c r="J259" s="17" t="str">
        <f>IF('13 - Config_Intake_View'!Q259&lt;&gt;"","PM Approved",IF('12 - Device_Configuration'!BH260&lt;&gt;"","Assumed",""))</f>
        <v/>
      </c>
      <c r="K259" s="30">
        <f>'12 - Device_Configuration'!BG260</f>
        <v>0</v>
      </c>
      <c r="L259" s="17">
        <f>'12 - Device_Configuration'!P260</f>
        <v>0</v>
      </c>
      <c r="M259" s="17">
        <f>'12 - Device_Configuration'!Q260</f>
        <v>0</v>
      </c>
      <c r="N259" s="17" t="str">
        <f>'12 - Device_Configuration'!BK260</f>
        <v/>
      </c>
      <c r="O259" s="30" t="str">
        <f>'12 - Device_Configuration'!BL260</f>
        <v/>
      </c>
      <c r="P259" s="2">
        <f>'12 - Device_Configuration'!BA260</f>
        <v>0</v>
      </c>
      <c r="Q259" s="30" t="str">
        <f t="shared" si="16"/>
        <v/>
      </c>
      <c r="R259" s="17" t="str">
        <f t="shared" si="17"/>
        <v>SW NOT INSTALLED</v>
      </c>
      <c r="S259" s="17" t="str">
        <f t="shared" si="18"/>
        <v/>
      </c>
      <c r="T259" s="17" t="str">
        <f t="shared" si="19"/>
        <v>SW NOT INSTALLED</v>
      </c>
    </row>
    <row r="260" spans="1:20">
      <c r="A260" s="30">
        <f>'12 - Device_Configuration'!H261</f>
        <v>0</v>
      </c>
      <c r="B260" s="30">
        <f>'12 - Device_Configuration'!S261</f>
        <v>0</v>
      </c>
      <c r="C260" s="30">
        <f>'12 - Device_Configuration'!T261</f>
        <v>0</v>
      </c>
      <c r="D260" s="17">
        <f>'12 - Device_Configuration'!AJ261</f>
        <v>0</v>
      </c>
      <c r="E260" s="17">
        <f>'12 - Device_Configuration'!J261</f>
        <v>0</v>
      </c>
      <c r="F260" s="30">
        <f>'12 - Device_Configuration'!K261</f>
        <v>0</v>
      </c>
      <c r="G260" s="17">
        <f>'12 - Device_Configuration'!L261</f>
        <v>0</v>
      </c>
      <c r="H260" s="17">
        <f>'13 - Config_Intake_View'!M260</f>
        <v>0</v>
      </c>
      <c r="I260" s="30">
        <f>IF('13 - Config_Intake_View'!Q260&lt;&gt;"",'13 - Config_Intake_View'!Q260,'12 - Device_Configuration'!BH261)</f>
        <v>0</v>
      </c>
      <c r="J260" s="17" t="str">
        <f>IF('13 - Config_Intake_View'!Q260&lt;&gt;"","PM Approved",IF('12 - Device_Configuration'!BH261&lt;&gt;"","Assumed",""))</f>
        <v/>
      </c>
      <c r="K260" s="30">
        <f>'12 - Device_Configuration'!BG261</f>
        <v>0</v>
      </c>
      <c r="L260" s="17">
        <f>'12 - Device_Configuration'!P261</f>
        <v>0</v>
      </c>
      <c r="M260" s="17">
        <f>'12 - Device_Configuration'!Q261</f>
        <v>0</v>
      </c>
      <c r="N260" s="17" t="str">
        <f>'12 - Device_Configuration'!BK261</f>
        <v/>
      </c>
      <c r="O260" s="30" t="str">
        <f>'12 - Device_Configuration'!BL261</f>
        <v/>
      </c>
      <c r="P260" s="2">
        <f>'12 - Device_Configuration'!BA261</f>
        <v>0</v>
      </c>
      <c r="Q260" s="30" t="str">
        <f t="shared" si="16"/>
        <v/>
      </c>
      <c r="R260" s="17" t="str">
        <f t="shared" si="17"/>
        <v>SW NOT INSTALLED</v>
      </c>
      <c r="S260" s="17" t="str">
        <f t="shared" si="18"/>
        <v/>
      </c>
      <c r="T260" s="17" t="str">
        <f t="shared" si="19"/>
        <v>SW NOT INSTALLED</v>
      </c>
    </row>
    <row r="261" spans="1:20">
      <c r="A261" s="30">
        <f>'12 - Device_Configuration'!H262</f>
        <v>0</v>
      </c>
      <c r="B261" s="30">
        <f>'12 - Device_Configuration'!S262</f>
        <v>0</v>
      </c>
      <c r="C261" s="30">
        <f>'12 - Device_Configuration'!T262</f>
        <v>0</v>
      </c>
      <c r="D261" s="17">
        <f>'12 - Device_Configuration'!AJ262</f>
        <v>0</v>
      </c>
      <c r="E261" s="17">
        <f>'12 - Device_Configuration'!J262</f>
        <v>0</v>
      </c>
      <c r="F261" s="30">
        <f>'12 - Device_Configuration'!K262</f>
        <v>0</v>
      </c>
      <c r="G261" s="17">
        <f>'12 - Device_Configuration'!L262</f>
        <v>0</v>
      </c>
      <c r="H261" s="17">
        <f>'13 - Config_Intake_View'!M261</f>
        <v>0</v>
      </c>
      <c r="I261" s="30">
        <f>IF('13 - Config_Intake_View'!Q261&lt;&gt;"",'13 - Config_Intake_View'!Q261,'12 - Device_Configuration'!BH262)</f>
        <v>0</v>
      </c>
      <c r="J261" s="17" t="str">
        <f>IF('13 - Config_Intake_View'!Q261&lt;&gt;"","PM Approved",IF('12 - Device_Configuration'!BH262&lt;&gt;"","Assumed",""))</f>
        <v/>
      </c>
      <c r="K261" s="30">
        <f>'12 - Device_Configuration'!BG262</f>
        <v>0</v>
      </c>
      <c r="L261" s="17">
        <f>'12 - Device_Configuration'!P262</f>
        <v>0</v>
      </c>
      <c r="M261" s="17">
        <f>'12 - Device_Configuration'!Q262</f>
        <v>0</v>
      </c>
      <c r="N261" s="17" t="str">
        <f>'12 - Device_Configuration'!BK262</f>
        <v/>
      </c>
      <c r="O261" s="30" t="str">
        <f>'12 - Device_Configuration'!BL262</f>
        <v/>
      </c>
      <c r="P261" s="2">
        <f>'12 - Device_Configuration'!BA262</f>
        <v>0</v>
      </c>
      <c r="Q261" s="30" t="str">
        <f t="shared" si="16"/>
        <v/>
      </c>
      <c r="R261" s="17" t="str">
        <f t="shared" si="17"/>
        <v>SW NOT INSTALLED</v>
      </c>
      <c r="S261" s="17" t="str">
        <f t="shared" si="18"/>
        <v/>
      </c>
      <c r="T261" s="17" t="str">
        <f t="shared" si="19"/>
        <v>SW NOT INSTALLED</v>
      </c>
    </row>
    <row r="262" spans="1:20">
      <c r="A262" s="30">
        <f>'12 - Device_Configuration'!H263</f>
        <v>0</v>
      </c>
      <c r="B262" s="30">
        <f>'12 - Device_Configuration'!S263</f>
        <v>0</v>
      </c>
      <c r="C262" s="30">
        <f>'12 - Device_Configuration'!T263</f>
        <v>0</v>
      </c>
      <c r="D262" s="17">
        <f>'12 - Device_Configuration'!AJ263</f>
        <v>0</v>
      </c>
      <c r="E262" s="17">
        <f>'12 - Device_Configuration'!J263</f>
        <v>0</v>
      </c>
      <c r="F262" s="30">
        <f>'12 - Device_Configuration'!K263</f>
        <v>0</v>
      </c>
      <c r="G262" s="17">
        <f>'12 - Device_Configuration'!L263</f>
        <v>0</v>
      </c>
      <c r="H262" s="17">
        <f>'13 - Config_Intake_View'!M262</f>
        <v>0</v>
      </c>
      <c r="I262" s="30">
        <f>IF('13 - Config_Intake_View'!Q262&lt;&gt;"",'13 - Config_Intake_View'!Q262,'12 - Device_Configuration'!BH263)</f>
        <v>0</v>
      </c>
      <c r="J262" s="17" t="str">
        <f>IF('13 - Config_Intake_View'!Q262&lt;&gt;"","PM Approved",IF('12 - Device_Configuration'!BH263&lt;&gt;"","Assumed",""))</f>
        <v/>
      </c>
      <c r="K262" s="30">
        <f>'12 - Device_Configuration'!BG263</f>
        <v>0</v>
      </c>
      <c r="L262" s="17">
        <f>'12 - Device_Configuration'!P263</f>
        <v>0</v>
      </c>
      <c r="M262" s="17">
        <f>'12 - Device_Configuration'!Q263</f>
        <v>0</v>
      </c>
      <c r="N262" s="17" t="str">
        <f>'12 - Device_Configuration'!BK263</f>
        <v/>
      </c>
      <c r="O262" s="30" t="str">
        <f>'12 - Device_Configuration'!BL263</f>
        <v/>
      </c>
      <c r="P262" s="2">
        <f>'12 - Device_Configuration'!BA263</f>
        <v>0</v>
      </c>
      <c r="Q262" s="30" t="str">
        <f t="shared" si="16"/>
        <v/>
      </c>
      <c r="R262" s="17" t="str">
        <f t="shared" si="17"/>
        <v>SW NOT INSTALLED</v>
      </c>
      <c r="S262" s="17" t="str">
        <f t="shared" si="18"/>
        <v/>
      </c>
      <c r="T262" s="17" t="str">
        <f t="shared" si="19"/>
        <v>SW NOT INSTALLED</v>
      </c>
    </row>
    <row r="263" spans="1:20">
      <c r="A263" s="30">
        <f>'12 - Device_Configuration'!H264</f>
        <v>0</v>
      </c>
      <c r="B263" s="30">
        <f>'12 - Device_Configuration'!S264</f>
        <v>0</v>
      </c>
      <c r="C263" s="30">
        <f>'12 - Device_Configuration'!T264</f>
        <v>0</v>
      </c>
      <c r="D263" s="17">
        <f>'12 - Device_Configuration'!AJ264</f>
        <v>0</v>
      </c>
      <c r="E263" s="17">
        <f>'12 - Device_Configuration'!J264</f>
        <v>0</v>
      </c>
      <c r="F263" s="30">
        <f>'12 - Device_Configuration'!K264</f>
        <v>0</v>
      </c>
      <c r="G263" s="17">
        <f>'12 - Device_Configuration'!L264</f>
        <v>0</v>
      </c>
      <c r="H263" s="17">
        <f>'13 - Config_Intake_View'!M263</f>
        <v>0</v>
      </c>
      <c r="I263" s="30">
        <f>IF('13 - Config_Intake_View'!Q263&lt;&gt;"",'13 - Config_Intake_View'!Q263,'12 - Device_Configuration'!BH264)</f>
        <v>0</v>
      </c>
      <c r="J263" s="17" t="str">
        <f>IF('13 - Config_Intake_View'!Q263&lt;&gt;"","PM Approved",IF('12 - Device_Configuration'!BH264&lt;&gt;"","Assumed",""))</f>
        <v/>
      </c>
      <c r="K263" s="30">
        <f>'12 - Device_Configuration'!BG264</f>
        <v>0</v>
      </c>
      <c r="L263" s="17">
        <f>'12 - Device_Configuration'!P264</f>
        <v>0</v>
      </c>
      <c r="M263" s="17">
        <f>'12 - Device_Configuration'!Q264</f>
        <v>0</v>
      </c>
      <c r="N263" s="17" t="str">
        <f>'12 - Device_Configuration'!BK264</f>
        <v/>
      </c>
      <c r="O263" s="30" t="str">
        <f>'12 - Device_Configuration'!BL264</f>
        <v/>
      </c>
      <c r="P263" s="2">
        <f>'12 - Device_Configuration'!BA264</f>
        <v>0</v>
      </c>
      <c r="Q263" s="30" t="str">
        <f t="shared" si="16"/>
        <v/>
      </c>
      <c r="R263" s="17" t="str">
        <f t="shared" si="17"/>
        <v>SW NOT INSTALLED</v>
      </c>
      <c r="S263" s="17" t="str">
        <f t="shared" si="18"/>
        <v/>
      </c>
      <c r="T263" s="17" t="str">
        <f t="shared" si="19"/>
        <v>SW NOT INSTALLED</v>
      </c>
    </row>
    <row r="264" spans="1:20">
      <c r="A264" s="30">
        <f>'12 - Device_Configuration'!H265</f>
        <v>0</v>
      </c>
      <c r="B264" s="30">
        <f>'12 - Device_Configuration'!S265</f>
        <v>0</v>
      </c>
      <c r="C264" s="30">
        <f>'12 - Device_Configuration'!T265</f>
        <v>0</v>
      </c>
      <c r="D264" s="17">
        <f>'12 - Device_Configuration'!AJ265</f>
        <v>0</v>
      </c>
      <c r="E264" s="17">
        <f>'12 - Device_Configuration'!J265</f>
        <v>0</v>
      </c>
      <c r="F264" s="30">
        <f>'12 - Device_Configuration'!K265</f>
        <v>0</v>
      </c>
      <c r="G264" s="17">
        <f>'12 - Device_Configuration'!L265</f>
        <v>0</v>
      </c>
      <c r="H264" s="17">
        <f>'13 - Config_Intake_View'!M264</f>
        <v>0</v>
      </c>
      <c r="I264" s="30">
        <f>IF('13 - Config_Intake_View'!Q264&lt;&gt;"",'13 - Config_Intake_View'!Q264,'12 - Device_Configuration'!BH265)</f>
        <v>0</v>
      </c>
      <c r="J264" s="17" t="str">
        <f>IF('13 - Config_Intake_View'!Q264&lt;&gt;"","PM Approved",IF('12 - Device_Configuration'!BH265&lt;&gt;"","Assumed",""))</f>
        <v/>
      </c>
      <c r="K264" s="30">
        <f>'12 - Device_Configuration'!BG265</f>
        <v>0</v>
      </c>
      <c r="L264" s="17">
        <f>'12 - Device_Configuration'!P265</f>
        <v>0</v>
      </c>
      <c r="M264" s="17">
        <f>'12 - Device_Configuration'!Q265</f>
        <v>0</v>
      </c>
      <c r="N264" s="17" t="str">
        <f>'12 - Device_Configuration'!BK265</f>
        <v/>
      </c>
      <c r="O264" s="30" t="str">
        <f>'12 - Device_Configuration'!BL265</f>
        <v/>
      </c>
      <c r="P264" s="2">
        <f>'12 - Device_Configuration'!BA265</f>
        <v>0</v>
      </c>
      <c r="Q264" s="30" t="str">
        <f t="shared" si="16"/>
        <v/>
      </c>
      <c r="R264" s="17" t="str">
        <f t="shared" si="17"/>
        <v>SW NOT INSTALLED</v>
      </c>
      <c r="S264" s="17" t="str">
        <f t="shared" si="18"/>
        <v/>
      </c>
      <c r="T264" s="17" t="str">
        <f t="shared" si="19"/>
        <v>SW NOT INSTALLED</v>
      </c>
    </row>
    <row r="265" spans="1:20">
      <c r="A265" s="30">
        <f>'12 - Device_Configuration'!H266</f>
        <v>0</v>
      </c>
      <c r="B265" s="30">
        <f>'12 - Device_Configuration'!S266</f>
        <v>0</v>
      </c>
      <c r="C265" s="30">
        <f>'12 - Device_Configuration'!T266</f>
        <v>0</v>
      </c>
      <c r="D265" s="17">
        <f>'12 - Device_Configuration'!AJ266</f>
        <v>0</v>
      </c>
      <c r="E265" s="17">
        <f>'12 - Device_Configuration'!J266</f>
        <v>0</v>
      </c>
      <c r="F265" s="30">
        <f>'12 - Device_Configuration'!K266</f>
        <v>0</v>
      </c>
      <c r="G265" s="17">
        <f>'12 - Device_Configuration'!L266</f>
        <v>0</v>
      </c>
      <c r="H265" s="17">
        <f>'13 - Config_Intake_View'!M265</f>
        <v>0</v>
      </c>
      <c r="I265" s="30">
        <f>IF('13 - Config_Intake_View'!Q265&lt;&gt;"",'13 - Config_Intake_View'!Q265,'12 - Device_Configuration'!BH266)</f>
        <v>0</v>
      </c>
      <c r="J265" s="17" t="str">
        <f>IF('13 - Config_Intake_View'!Q265&lt;&gt;"","PM Approved",IF('12 - Device_Configuration'!BH266&lt;&gt;"","Assumed",""))</f>
        <v/>
      </c>
      <c r="K265" s="30">
        <f>'12 - Device_Configuration'!BG266</f>
        <v>0</v>
      </c>
      <c r="L265" s="17">
        <f>'12 - Device_Configuration'!P266</f>
        <v>0</v>
      </c>
      <c r="M265" s="17">
        <f>'12 - Device_Configuration'!Q266</f>
        <v>0</v>
      </c>
      <c r="N265" s="17" t="str">
        <f>'12 - Device_Configuration'!BK266</f>
        <v/>
      </c>
      <c r="O265" s="30" t="str">
        <f>'12 - Device_Configuration'!BL266</f>
        <v/>
      </c>
      <c r="P265" s="2">
        <f>'12 - Device_Configuration'!BA266</f>
        <v>0</v>
      </c>
      <c r="Q265" s="30" t="str">
        <f t="shared" si="16"/>
        <v/>
      </c>
      <c r="R265" s="17" t="str">
        <f t="shared" si="17"/>
        <v>SW NOT INSTALLED</v>
      </c>
      <c r="S265" s="17" t="str">
        <f t="shared" si="18"/>
        <v/>
      </c>
      <c r="T265" s="17" t="str">
        <f t="shared" si="19"/>
        <v>SW NOT INSTALLED</v>
      </c>
    </row>
    <row r="266" spans="1:20">
      <c r="A266" s="30">
        <f>'12 - Device_Configuration'!H267</f>
        <v>0</v>
      </c>
      <c r="B266" s="30">
        <f>'12 - Device_Configuration'!S267</f>
        <v>0</v>
      </c>
      <c r="C266" s="30">
        <f>'12 - Device_Configuration'!T267</f>
        <v>0</v>
      </c>
      <c r="D266" s="17">
        <f>'12 - Device_Configuration'!AJ267</f>
        <v>0</v>
      </c>
      <c r="E266" s="17">
        <f>'12 - Device_Configuration'!J267</f>
        <v>0</v>
      </c>
      <c r="F266" s="30">
        <f>'12 - Device_Configuration'!K267</f>
        <v>0</v>
      </c>
      <c r="G266" s="17">
        <f>'12 - Device_Configuration'!L267</f>
        <v>0</v>
      </c>
      <c r="H266" s="17">
        <f>'13 - Config_Intake_View'!M266</f>
        <v>0</v>
      </c>
      <c r="I266" s="30">
        <f>IF('13 - Config_Intake_View'!Q266&lt;&gt;"",'13 - Config_Intake_View'!Q266,'12 - Device_Configuration'!BH267)</f>
        <v>0</v>
      </c>
      <c r="J266" s="17" t="str">
        <f>IF('13 - Config_Intake_View'!Q266&lt;&gt;"","PM Approved",IF('12 - Device_Configuration'!BH267&lt;&gt;"","Assumed",""))</f>
        <v/>
      </c>
      <c r="K266" s="30">
        <f>'12 - Device_Configuration'!BG267</f>
        <v>0</v>
      </c>
      <c r="L266" s="17">
        <f>'12 - Device_Configuration'!P267</f>
        <v>0</v>
      </c>
      <c r="M266" s="17">
        <f>'12 - Device_Configuration'!Q267</f>
        <v>0</v>
      </c>
      <c r="N266" s="17" t="str">
        <f>'12 - Device_Configuration'!BK267</f>
        <v/>
      </c>
      <c r="O266" s="30" t="str">
        <f>'12 - Device_Configuration'!BL267</f>
        <v/>
      </c>
      <c r="P266" s="2">
        <f>'12 - Device_Configuration'!BA267</f>
        <v>0</v>
      </c>
      <c r="Q266" s="30" t="str">
        <f t="shared" si="16"/>
        <v/>
      </c>
      <c r="R266" s="17" t="str">
        <f t="shared" si="17"/>
        <v>SW NOT INSTALLED</v>
      </c>
      <c r="S266" s="17" t="str">
        <f t="shared" si="18"/>
        <v/>
      </c>
      <c r="T266" s="17" t="str">
        <f t="shared" si="19"/>
        <v>SW NOT INSTALLED</v>
      </c>
    </row>
    <row r="267" spans="1:20">
      <c r="A267" s="30">
        <f>'12 - Device_Configuration'!H268</f>
        <v>0</v>
      </c>
      <c r="B267" s="30">
        <f>'12 - Device_Configuration'!S268</f>
        <v>0</v>
      </c>
      <c r="C267" s="30">
        <f>'12 - Device_Configuration'!T268</f>
        <v>0</v>
      </c>
      <c r="D267" s="17">
        <f>'12 - Device_Configuration'!AJ268</f>
        <v>0</v>
      </c>
      <c r="E267" s="17">
        <f>'12 - Device_Configuration'!J268</f>
        <v>0</v>
      </c>
      <c r="F267" s="30">
        <f>'12 - Device_Configuration'!K268</f>
        <v>0</v>
      </c>
      <c r="G267" s="17">
        <f>'12 - Device_Configuration'!L268</f>
        <v>0</v>
      </c>
      <c r="H267" s="17">
        <f>'13 - Config_Intake_View'!M267</f>
        <v>0</v>
      </c>
      <c r="I267" s="30">
        <f>IF('13 - Config_Intake_View'!Q267&lt;&gt;"",'13 - Config_Intake_View'!Q267,'12 - Device_Configuration'!BH268)</f>
        <v>0</v>
      </c>
      <c r="J267" s="17" t="str">
        <f>IF('13 - Config_Intake_View'!Q267&lt;&gt;"","PM Approved",IF('12 - Device_Configuration'!BH268&lt;&gt;"","Assumed",""))</f>
        <v/>
      </c>
      <c r="K267" s="30">
        <f>'12 - Device_Configuration'!BG268</f>
        <v>0</v>
      </c>
      <c r="L267" s="17">
        <f>'12 - Device_Configuration'!P268</f>
        <v>0</v>
      </c>
      <c r="M267" s="17">
        <f>'12 - Device_Configuration'!Q268</f>
        <v>0</v>
      </c>
      <c r="N267" s="17" t="str">
        <f>'12 - Device_Configuration'!BK268</f>
        <v/>
      </c>
      <c r="O267" s="30" t="str">
        <f>'12 - Device_Configuration'!BL268</f>
        <v/>
      </c>
      <c r="P267" s="2">
        <f>'12 - Device_Configuration'!BA268</f>
        <v>0</v>
      </c>
      <c r="Q267" s="30" t="str">
        <f t="shared" si="16"/>
        <v/>
      </c>
      <c r="R267" s="17" t="str">
        <f t="shared" si="17"/>
        <v>SW NOT INSTALLED</v>
      </c>
      <c r="S267" s="17" t="str">
        <f t="shared" si="18"/>
        <v/>
      </c>
      <c r="T267" s="17" t="str">
        <f t="shared" si="19"/>
        <v>SW NOT INSTALLED</v>
      </c>
    </row>
    <row r="268" spans="1:20">
      <c r="A268" s="30">
        <f>'12 - Device_Configuration'!H269</f>
        <v>0</v>
      </c>
      <c r="B268" s="30">
        <f>'12 - Device_Configuration'!S269</f>
        <v>0</v>
      </c>
      <c r="C268" s="30">
        <f>'12 - Device_Configuration'!T269</f>
        <v>0</v>
      </c>
      <c r="D268" s="17">
        <f>'12 - Device_Configuration'!AJ269</f>
        <v>0</v>
      </c>
      <c r="E268" s="17">
        <f>'12 - Device_Configuration'!J269</f>
        <v>0</v>
      </c>
      <c r="F268" s="30">
        <f>'12 - Device_Configuration'!K269</f>
        <v>0</v>
      </c>
      <c r="G268" s="17">
        <f>'12 - Device_Configuration'!L269</f>
        <v>0</v>
      </c>
      <c r="H268" s="17">
        <f>'13 - Config_Intake_View'!M268</f>
        <v>0</v>
      </c>
      <c r="I268" s="30">
        <f>IF('13 - Config_Intake_View'!Q268&lt;&gt;"",'13 - Config_Intake_View'!Q268,'12 - Device_Configuration'!BH269)</f>
        <v>0</v>
      </c>
      <c r="J268" s="17" t="str">
        <f>IF('13 - Config_Intake_View'!Q268&lt;&gt;"","PM Approved",IF('12 - Device_Configuration'!BH269&lt;&gt;"","Assumed",""))</f>
        <v/>
      </c>
      <c r="K268" s="30">
        <f>'12 - Device_Configuration'!BG269</f>
        <v>0</v>
      </c>
      <c r="L268" s="17">
        <f>'12 - Device_Configuration'!P269</f>
        <v>0</v>
      </c>
      <c r="M268" s="17">
        <f>'12 - Device_Configuration'!Q269</f>
        <v>0</v>
      </c>
      <c r="N268" s="17" t="str">
        <f>'12 - Device_Configuration'!BK269</f>
        <v/>
      </c>
      <c r="O268" s="30" t="str">
        <f>'12 - Device_Configuration'!BL269</f>
        <v/>
      </c>
      <c r="P268" s="2">
        <f>'12 - Device_Configuration'!BA269</f>
        <v>0</v>
      </c>
      <c r="Q268" s="30" t="str">
        <f t="shared" si="16"/>
        <v/>
      </c>
      <c r="R268" s="17" t="str">
        <f t="shared" si="17"/>
        <v>SW NOT INSTALLED</v>
      </c>
      <c r="S268" s="17" t="str">
        <f t="shared" si="18"/>
        <v/>
      </c>
      <c r="T268" s="17" t="str">
        <f t="shared" si="19"/>
        <v>SW NOT INSTALLED</v>
      </c>
    </row>
    <row r="269" spans="1:20">
      <c r="A269" s="30">
        <f>'12 - Device_Configuration'!H270</f>
        <v>0</v>
      </c>
      <c r="B269" s="30">
        <f>'12 - Device_Configuration'!S270</f>
        <v>0</v>
      </c>
      <c r="C269" s="30">
        <f>'12 - Device_Configuration'!T270</f>
        <v>0</v>
      </c>
      <c r="D269" s="17">
        <f>'12 - Device_Configuration'!AJ270</f>
        <v>0</v>
      </c>
      <c r="E269" s="17">
        <f>'12 - Device_Configuration'!J270</f>
        <v>0</v>
      </c>
      <c r="F269" s="30">
        <f>'12 - Device_Configuration'!K270</f>
        <v>0</v>
      </c>
      <c r="G269" s="17">
        <f>'12 - Device_Configuration'!L270</f>
        <v>0</v>
      </c>
      <c r="H269" s="17">
        <f>'13 - Config_Intake_View'!M269</f>
        <v>0</v>
      </c>
      <c r="I269" s="30">
        <f>IF('13 - Config_Intake_View'!Q269&lt;&gt;"",'13 - Config_Intake_View'!Q269,'12 - Device_Configuration'!BH270)</f>
        <v>0</v>
      </c>
      <c r="J269" s="17" t="str">
        <f>IF('13 - Config_Intake_View'!Q269&lt;&gt;"","PM Approved",IF('12 - Device_Configuration'!BH270&lt;&gt;"","Assumed",""))</f>
        <v/>
      </c>
      <c r="K269" s="30">
        <f>'12 - Device_Configuration'!BG270</f>
        <v>0</v>
      </c>
      <c r="L269" s="17">
        <f>'12 - Device_Configuration'!P270</f>
        <v>0</v>
      </c>
      <c r="M269" s="17">
        <f>'12 - Device_Configuration'!Q270</f>
        <v>0</v>
      </c>
      <c r="N269" s="17" t="str">
        <f>'12 - Device_Configuration'!BK270</f>
        <v/>
      </c>
      <c r="O269" s="30" t="str">
        <f>'12 - Device_Configuration'!BL270</f>
        <v/>
      </c>
      <c r="P269" s="2">
        <f>'12 - Device_Configuration'!BA270</f>
        <v>0</v>
      </c>
      <c r="Q269" s="30" t="str">
        <f t="shared" si="16"/>
        <v/>
      </c>
      <c r="R269" s="17" t="str">
        <f t="shared" si="17"/>
        <v>SW NOT INSTALLED</v>
      </c>
      <c r="S269" s="17" t="str">
        <f t="shared" si="18"/>
        <v/>
      </c>
      <c r="T269" s="17" t="str">
        <f t="shared" si="19"/>
        <v>SW NOT INSTALLED</v>
      </c>
    </row>
    <row r="270" spans="1:20">
      <c r="A270" s="30">
        <f>'12 - Device_Configuration'!H271</f>
        <v>0</v>
      </c>
      <c r="B270" s="30">
        <f>'12 - Device_Configuration'!S271</f>
        <v>0</v>
      </c>
      <c r="C270" s="30">
        <f>'12 - Device_Configuration'!T271</f>
        <v>0</v>
      </c>
      <c r="D270" s="17">
        <f>'12 - Device_Configuration'!AJ271</f>
        <v>0</v>
      </c>
      <c r="E270" s="17">
        <f>'12 - Device_Configuration'!J271</f>
        <v>0</v>
      </c>
      <c r="F270" s="30">
        <f>'12 - Device_Configuration'!K271</f>
        <v>0</v>
      </c>
      <c r="G270" s="17">
        <f>'12 - Device_Configuration'!L271</f>
        <v>0</v>
      </c>
      <c r="H270" s="17">
        <f>'13 - Config_Intake_View'!M270</f>
        <v>0</v>
      </c>
      <c r="I270" s="30">
        <f>IF('13 - Config_Intake_View'!Q270&lt;&gt;"",'13 - Config_Intake_View'!Q270,'12 - Device_Configuration'!BH271)</f>
        <v>0</v>
      </c>
      <c r="J270" s="17" t="str">
        <f>IF('13 - Config_Intake_View'!Q270&lt;&gt;"","PM Approved",IF('12 - Device_Configuration'!BH271&lt;&gt;"","Assumed",""))</f>
        <v/>
      </c>
      <c r="K270" s="30">
        <f>'12 - Device_Configuration'!BG271</f>
        <v>0</v>
      </c>
      <c r="L270" s="17">
        <f>'12 - Device_Configuration'!P271</f>
        <v>0</v>
      </c>
      <c r="M270" s="17">
        <f>'12 - Device_Configuration'!Q271</f>
        <v>0</v>
      </c>
      <c r="N270" s="17" t="str">
        <f>'12 - Device_Configuration'!BK271</f>
        <v/>
      </c>
      <c r="O270" s="30" t="str">
        <f>'12 - Device_Configuration'!BL271</f>
        <v/>
      </c>
      <c r="P270" s="2">
        <f>'12 - Device_Configuration'!BA271</f>
        <v>0</v>
      </c>
      <c r="Q270" s="30" t="str">
        <f t="shared" si="16"/>
        <v/>
      </c>
      <c r="R270" s="17" t="str">
        <f t="shared" si="17"/>
        <v>SW NOT INSTALLED</v>
      </c>
      <c r="S270" s="17" t="str">
        <f t="shared" si="18"/>
        <v/>
      </c>
      <c r="T270" s="17" t="str">
        <f t="shared" si="19"/>
        <v>SW NOT INSTALLED</v>
      </c>
    </row>
    <row r="271" spans="1:20">
      <c r="A271" s="30">
        <f>'12 - Device_Configuration'!H272</f>
        <v>0</v>
      </c>
      <c r="B271" s="30">
        <f>'12 - Device_Configuration'!S272</f>
        <v>0</v>
      </c>
      <c r="C271" s="30">
        <f>'12 - Device_Configuration'!T272</f>
        <v>0</v>
      </c>
      <c r="D271" s="17">
        <f>'12 - Device_Configuration'!AJ272</f>
        <v>0</v>
      </c>
      <c r="E271" s="17">
        <f>'12 - Device_Configuration'!J272</f>
        <v>0</v>
      </c>
      <c r="F271" s="30">
        <f>'12 - Device_Configuration'!K272</f>
        <v>0</v>
      </c>
      <c r="G271" s="17">
        <f>'12 - Device_Configuration'!L272</f>
        <v>0</v>
      </c>
      <c r="H271" s="17">
        <f>'13 - Config_Intake_View'!M271</f>
        <v>0</v>
      </c>
      <c r="I271" s="30">
        <f>IF('13 - Config_Intake_View'!Q271&lt;&gt;"",'13 - Config_Intake_View'!Q271,'12 - Device_Configuration'!BH272)</f>
        <v>0</v>
      </c>
      <c r="J271" s="17" t="str">
        <f>IF('13 - Config_Intake_View'!Q271&lt;&gt;"","PM Approved",IF('12 - Device_Configuration'!BH272&lt;&gt;"","Assumed",""))</f>
        <v/>
      </c>
      <c r="K271" s="30">
        <f>'12 - Device_Configuration'!BG272</f>
        <v>0</v>
      </c>
      <c r="L271" s="17">
        <f>'12 - Device_Configuration'!P272</f>
        <v>0</v>
      </c>
      <c r="M271" s="17">
        <f>'12 - Device_Configuration'!Q272</f>
        <v>0</v>
      </c>
      <c r="N271" s="17" t="str">
        <f>'12 - Device_Configuration'!BK272</f>
        <v/>
      </c>
      <c r="O271" s="30" t="str">
        <f>'12 - Device_Configuration'!BL272</f>
        <v/>
      </c>
      <c r="P271" s="2">
        <f>'12 - Device_Configuration'!BA272</f>
        <v>0</v>
      </c>
      <c r="Q271" s="30" t="str">
        <f t="shared" si="16"/>
        <v/>
      </c>
      <c r="R271" s="17" t="str">
        <f t="shared" si="17"/>
        <v>SW NOT INSTALLED</v>
      </c>
      <c r="S271" s="17" t="str">
        <f t="shared" si="18"/>
        <v/>
      </c>
      <c r="T271" s="17" t="str">
        <f t="shared" si="19"/>
        <v>SW NOT INSTALLED</v>
      </c>
    </row>
    <row r="272" spans="1:20">
      <c r="A272" s="30">
        <f>'12 - Device_Configuration'!H273</f>
        <v>0</v>
      </c>
      <c r="B272" s="30">
        <f>'12 - Device_Configuration'!S273</f>
        <v>0</v>
      </c>
      <c r="C272" s="30">
        <f>'12 - Device_Configuration'!T273</f>
        <v>0</v>
      </c>
      <c r="D272" s="17">
        <f>'12 - Device_Configuration'!AJ273</f>
        <v>0</v>
      </c>
      <c r="E272" s="17">
        <f>'12 - Device_Configuration'!J273</f>
        <v>0</v>
      </c>
      <c r="F272" s="30">
        <f>'12 - Device_Configuration'!K273</f>
        <v>0</v>
      </c>
      <c r="G272" s="17">
        <f>'12 - Device_Configuration'!L273</f>
        <v>0</v>
      </c>
      <c r="H272" s="17">
        <f>'13 - Config_Intake_View'!M272</f>
        <v>0</v>
      </c>
      <c r="I272" s="30">
        <f>IF('13 - Config_Intake_View'!Q272&lt;&gt;"",'13 - Config_Intake_View'!Q272,'12 - Device_Configuration'!BH273)</f>
        <v>0</v>
      </c>
      <c r="J272" s="17" t="str">
        <f>IF('13 - Config_Intake_View'!Q272&lt;&gt;"","PM Approved",IF('12 - Device_Configuration'!BH273&lt;&gt;"","Assumed",""))</f>
        <v/>
      </c>
      <c r="K272" s="30">
        <f>'12 - Device_Configuration'!BG273</f>
        <v>0</v>
      </c>
      <c r="L272" s="17">
        <f>'12 - Device_Configuration'!P273</f>
        <v>0</v>
      </c>
      <c r="M272" s="17">
        <f>'12 - Device_Configuration'!Q273</f>
        <v>0</v>
      </c>
      <c r="N272" s="17" t="str">
        <f>'12 - Device_Configuration'!BK273</f>
        <v/>
      </c>
      <c r="O272" s="30" t="str">
        <f>'12 - Device_Configuration'!BL273</f>
        <v/>
      </c>
      <c r="P272" s="2">
        <f>'12 - Device_Configuration'!BA273</f>
        <v>0</v>
      </c>
      <c r="Q272" s="30" t="str">
        <f t="shared" si="16"/>
        <v/>
      </c>
      <c r="R272" s="17" t="str">
        <f t="shared" si="17"/>
        <v>SW NOT INSTALLED</v>
      </c>
      <c r="S272" s="17" t="str">
        <f t="shared" si="18"/>
        <v/>
      </c>
      <c r="T272" s="17" t="str">
        <f t="shared" si="19"/>
        <v>SW NOT INSTALLED</v>
      </c>
    </row>
    <row r="273" spans="1:20">
      <c r="A273" s="30">
        <f>'12 - Device_Configuration'!H274</f>
        <v>0</v>
      </c>
      <c r="B273" s="30">
        <f>'12 - Device_Configuration'!S274</f>
        <v>0</v>
      </c>
      <c r="C273" s="30">
        <f>'12 - Device_Configuration'!T274</f>
        <v>0</v>
      </c>
      <c r="D273" s="17">
        <f>'12 - Device_Configuration'!AJ274</f>
        <v>0</v>
      </c>
      <c r="E273" s="17">
        <f>'12 - Device_Configuration'!J274</f>
        <v>0</v>
      </c>
      <c r="F273" s="30">
        <f>'12 - Device_Configuration'!K274</f>
        <v>0</v>
      </c>
      <c r="G273" s="17">
        <f>'12 - Device_Configuration'!L274</f>
        <v>0</v>
      </c>
      <c r="H273" s="17">
        <f>'13 - Config_Intake_View'!M273</f>
        <v>0</v>
      </c>
      <c r="I273" s="30">
        <f>IF('13 - Config_Intake_View'!Q273&lt;&gt;"",'13 - Config_Intake_View'!Q273,'12 - Device_Configuration'!BH274)</f>
        <v>0</v>
      </c>
      <c r="J273" s="17" t="str">
        <f>IF('13 - Config_Intake_View'!Q273&lt;&gt;"","PM Approved",IF('12 - Device_Configuration'!BH274&lt;&gt;"","Assumed",""))</f>
        <v/>
      </c>
      <c r="K273" s="30">
        <f>'12 - Device_Configuration'!BG274</f>
        <v>0</v>
      </c>
      <c r="L273" s="17">
        <f>'12 - Device_Configuration'!P274</f>
        <v>0</v>
      </c>
      <c r="M273" s="17">
        <f>'12 - Device_Configuration'!Q274</f>
        <v>0</v>
      </c>
      <c r="N273" s="17" t="str">
        <f>'12 - Device_Configuration'!BK274</f>
        <v/>
      </c>
      <c r="O273" s="30" t="str">
        <f>'12 - Device_Configuration'!BL274</f>
        <v/>
      </c>
      <c r="P273" s="2">
        <f>'12 - Device_Configuration'!BA274</f>
        <v>0</v>
      </c>
      <c r="Q273" s="30" t="str">
        <f t="shared" si="16"/>
        <v/>
      </c>
      <c r="R273" s="17" t="str">
        <f t="shared" si="17"/>
        <v>SW NOT INSTALLED</v>
      </c>
      <c r="S273" s="17" t="str">
        <f t="shared" si="18"/>
        <v/>
      </c>
      <c r="T273" s="17" t="str">
        <f t="shared" si="19"/>
        <v>SW NOT INSTALLED</v>
      </c>
    </row>
    <row r="274" spans="1:20">
      <c r="A274" s="30">
        <f>'12 - Device_Configuration'!H275</f>
        <v>0</v>
      </c>
      <c r="B274" s="30">
        <f>'12 - Device_Configuration'!S275</f>
        <v>0</v>
      </c>
      <c r="C274" s="30">
        <f>'12 - Device_Configuration'!T275</f>
        <v>0</v>
      </c>
      <c r="D274" s="17">
        <f>'12 - Device_Configuration'!AJ275</f>
        <v>0</v>
      </c>
      <c r="E274" s="17">
        <f>'12 - Device_Configuration'!J275</f>
        <v>0</v>
      </c>
      <c r="F274" s="30">
        <f>'12 - Device_Configuration'!K275</f>
        <v>0</v>
      </c>
      <c r="G274" s="17">
        <f>'12 - Device_Configuration'!L275</f>
        <v>0</v>
      </c>
      <c r="H274" s="17">
        <f>'13 - Config_Intake_View'!M274</f>
        <v>0</v>
      </c>
      <c r="I274" s="30">
        <f>IF('13 - Config_Intake_View'!Q274&lt;&gt;"",'13 - Config_Intake_View'!Q274,'12 - Device_Configuration'!BH275)</f>
        <v>0</v>
      </c>
      <c r="J274" s="17" t="str">
        <f>IF('13 - Config_Intake_View'!Q274&lt;&gt;"","PM Approved",IF('12 - Device_Configuration'!BH275&lt;&gt;"","Assumed",""))</f>
        <v/>
      </c>
      <c r="K274" s="30">
        <f>'12 - Device_Configuration'!BG275</f>
        <v>0</v>
      </c>
      <c r="L274" s="17">
        <f>'12 - Device_Configuration'!P275</f>
        <v>0</v>
      </c>
      <c r="M274" s="17">
        <f>'12 - Device_Configuration'!Q275</f>
        <v>0</v>
      </c>
      <c r="N274" s="17" t="str">
        <f>'12 - Device_Configuration'!BK275</f>
        <v/>
      </c>
      <c r="O274" s="30" t="str">
        <f>'12 - Device_Configuration'!BL275</f>
        <v/>
      </c>
      <c r="P274" s="2">
        <f>'12 - Device_Configuration'!BA275</f>
        <v>0</v>
      </c>
      <c r="Q274" s="30" t="str">
        <f t="shared" si="16"/>
        <v/>
      </c>
      <c r="R274" s="17" t="str">
        <f t="shared" si="17"/>
        <v>SW NOT INSTALLED</v>
      </c>
      <c r="S274" s="17" t="str">
        <f t="shared" si="18"/>
        <v/>
      </c>
      <c r="T274" s="17" t="str">
        <f t="shared" si="19"/>
        <v>SW NOT INSTALLED</v>
      </c>
    </row>
    <row r="275" spans="1:20">
      <c r="A275" s="30">
        <f>'12 - Device_Configuration'!H276</f>
        <v>0</v>
      </c>
      <c r="B275" s="30">
        <f>'12 - Device_Configuration'!S276</f>
        <v>0</v>
      </c>
      <c r="C275" s="30">
        <f>'12 - Device_Configuration'!T276</f>
        <v>0</v>
      </c>
      <c r="D275" s="17">
        <f>'12 - Device_Configuration'!AJ276</f>
        <v>0</v>
      </c>
      <c r="E275" s="17">
        <f>'12 - Device_Configuration'!J276</f>
        <v>0</v>
      </c>
      <c r="F275" s="30">
        <f>'12 - Device_Configuration'!K276</f>
        <v>0</v>
      </c>
      <c r="G275" s="17">
        <f>'12 - Device_Configuration'!L276</f>
        <v>0</v>
      </c>
      <c r="H275" s="17">
        <f>'13 - Config_Intake_View'!M275</f>
        <v>0</v>
      </c>
      <c r="I275" s="30">
        <f>IF('13 - Config_Intake_View'!Q275&lt;&gt;"",'13 - Config_Intake_View'!Q275,'12 - Device_Configuration'!BH276)</f>
        <v>0</v>
      </c>
      <c r="J275" s="17" t="str">
        <f>IF('13 - Config_Intake_View'!Q275&lt;&gt;"","PM Approved",IF('12 - Device_Configuration'!BH276&lt;&gt;"","Assumed",""))</f>
        <v/>
      </c>
      <c r="K275" s="30">
        <f>'12 - Device_Configuration'!BG276</f>
        <v>0</v>
      </c>
      <c r="L275" s="17">
        <f>'12 - Device_Configuration'!P276</f>
        <v>0</v>
      </c>
      <c r="M275" s="17">
        <f>'12 - Device_Configuration'!Q276</f>
        <v>0</v>
      </c>
      <c r="N275" s="17" t="str">
        <f>'12 - Device_Configuration'!BK276</f>
        <v/>
      </c>
      <c r="O275" s="30" t="str">
        <f>'12 - Device_Configuration'!BL276</f>
        <v/>
      </c>
      <c r="P275" s="2">
        <f>'12 - Device_Configuration'!BA276</f>
        <v>0</v>
      </c>
      <c r="Q275" s="30" t="str">
        <f t="shared" si="16"/>
        <v/>
      </c>
      <c r="R275" s="17" t="str">
        <f t="shared" si="17"/>
        <v>SW NOT INSTALLED</v>
      </c>
      <c r="S275" s="17" t="str">
        <f t="shared" si="18"/>
        <v/>
      </c>
      <c r="T275" s="17" t="str">
        <f t="shared" si="19"/>
        <v>SW NOT INSTALLED</v>
      </c>
    </row>
    <row r="276" spans="1:20">
      <c r="A276" s="30">
        <f>'12 - Device_Configuration'!H277</f>
        <v>0</v>
      </c>
      <c r="B276" s="30">
        <f>'12 - Device_Configuration'!S277</f>
        <v>0</v>
      </c>
      <c r="C276" s="30">
        <f>'12 - Device_Configuration'!T277</f>
        <v>0</v>
      </c>
      <c r="D276" s="17">
        <f>'12 - Device_Configuration'!AJ277</f>
        <v>0</v>
      </c>
      <c r="E276" s="17">
        <f>'12 - Device_Configuration'!J277</f>
        <v>0</v>
      </c>
      <c r="F276" s="30">
        <f>'12 - Device_Configuration'!K277</f>
        <v>0</v>
      </c>
      <c r="G276" s="17">
        <f>'12 - Device_Configuration'!L277</f>
        <v>0</v>
      </c>
      <c r="H276" s="17">
        <f>'13 - Config_Intake_View'!M276</f>
        <v>0</v>
      </c>
      <c r="I276" s="30">
        <f>IF('13 - Config_Intake_View'!Q276&lt;&gt;"",'13 - Config_Intake_View'!Q276,'12 - Device_Configuration'!BH277)</f>
        <v>0</v>
      </c>
      <c r="J276" s="17" t="str">
        <f>IF('13 - Config_Intake_View'!Q276&lt;&gt;"","PM Approved",IF('12 - Device_Configuration'!BH277&lt;&gt;"","Assumed",""))</f>
        <v/>
      </c>
      <c r="K276" s="30">
        <f>'12 - Device_Configuration'!BG277</f>
        <v>0</v>
      </c>
      <c r="L276" s="17">
        <f>'12 - Device_Configuration'!P277</f>
        <v>0</v>
      </c>
      <c r="M276" s="17">
        <f>'12 - Device_Configuration'!Q277</f>
        <v>0</v>
      </c>
      <c r="N276" s="17" t="str">
        <f>'12 - Device_Configuration'!BK277</f>
        <v/>
      </c>
      <c r="O276" s="30" t="str">
        <f>'12 - Device_Configuration'!BL277</f>
        <v/>
      </c>
      <c r="P276" s="2">
        <f>'12 - Device_Configuration'!BA277</f>
        <v>0</v>
      </c>
      <c r="Q276" s="30" t="str">
        <f t="shared" si="16"/>
        <v/>
      </c>
      <c r="R276" s="17" t="str">
        <f t="shared" si="17"/>
        <v>SW NOT INSTALLED</v>
      </c>
      <c r="S276" s="17" t="str">
        <f t="shared" si="18"/>
        <v/>
      </c>
      <c r="T276" s="17" t="str">
        <f t="shared" si="19"/>
        <v>SW NOT INSTALLED</v>
      </c>
    </row>
    <row r="277" spans="1:20">
      <c r="A277" s="30">
        <f>'12 - Device_Configuration'!H278</f>
        <v>0</v>
      </c>
      <c r="B277" s="30">
        <f>'12 - Device_Configuration'!S278</f>
        <v>0</v>
      </c>
      <c r="C277" s="30">
        <f>'12 - Device_Configuration'!T278</f>
        <v>0</v>
      </c>
      <c r="D277" s="17">
        <f>'12 - Device_Configuration'!AJ278</f>
        <v>0</v>
      </c>
      <c r="E277" s="17">
        <f>'12 - Device_Configuration'!J278</f>
        <v>0</v>
      </c>
      <c r="F277" s="30">
        <f>'12 - Device_Configuration'!K278</f>
        <v>0</v>
      </c>
      <c r="G277" s="17">
        <f>'12 - Device_Configuration'!L278</f>
        <v>0</v>
      </c>
      <c r="H277" s="17">
        <f>'13 - Config_Intake_View'!M277</f>
        <v>0</v>
      </c>
      <c r="I277" s="30">
        <f>IF('13 - Config_Intake_View'!Q277&lt;&gt;"",'13 - Config_Intake_View'!Q277,'12 - Device_Configuration'!BH278)</f>
        <v>0</v>
      </c>
      <c r="J277" s="17" t="str">
        <f>IF('13 - Config_Intake_View'!Q277&lt;&gt;"","PM Approved",IF('12 - Device_Configuration'!BH278&lt;&gt;"","Assumed",""))</f>
        <v/>
      </c>
      <c r="K277" s="30">
        <f>'12 - Device_Configuration'!BG278</f>
        <v>0</v>
      </c>
      <c r="L277" s="17">
        <f>'12 - Device_Configuration'!P278</f>
        <v>0</v>
      </c>
      <c r="M277" s="17">
        <f>'12 - Device_Configuration'!Q278</f>
        <v>0</v>
      </c>
      <c r="N277" s="17" t="str">
        <f>'12 - Device_Configuration'!BK278</f>
        <v/>
      </c>
      <c r="O277" s="30" t="str">
        <f>'12 - Device_Configuration'!BL278</f>
        <v/>
      </c>
      <c r="P277" s="2">
        <f>'12 - Device_Configuration'!BA278</f>
        <v>0</v>
      </c>
      <c r="Q277" s="30" t="str">
        <f t="shared" si="16"/>
        <v/>
      </c>
      <c r="R277" s="17" t="str">
        <f t="shared" si="17"/>
        <v>SW NOT INSTALLED</v>
      </c>
      <c r="S277" s="17" t="str">
        <f t="shared" si="18"/>
        <v/>
      </c>
      <c r="T277" s="17" t="str">
        <f t="shared" si="19"/>
        <v>SW NOT INSTALLED</v>
      </c>
    </row>
    <row r="278" spans="1:20">
      <c r="A278" s="30">
        <f>'12 - Device_Configuration'!H279</f>
        <v>0</v>
      </c>
      <c r="B278" s="30">
        <f>'12 - Device_Configuration'!S279</f>
        <v>0</v>
      </c>
      <c r="C278" s="30">
        <f>'12 - Device_Configuration'!T279</f>
        <v>0</v>
      </c>
      <c r="D278" s="17">
        <f>'12 - Device_Configuration'!AJ279</f>
        <v>0</v>
      </c>
      <c r="E278" s="17">
        <f>'12 - Device_Configuration'!J279</f>
        <v>0</v>
      </c>
      <c r="F278" s="30">
        <f>'12 - Device_Configuration'!K279</f>
        <v>0</v>
      </c>
      <c r="G278" s="17">
        <f>'12 - Device_Configuration'!L279</f>
        <v>0</v>
      </c>
      <c r="H278" s="17">
        <f>'13 - Config_Intake_View'!M278</f>
        <v>0</v>
      </c>
      <c r="I278" s="30">
        <f>IF('13 - Config_Intake_View'!Q278&lt;&gt;"",'13 - Config_Intake_View'!Q278,'12 - Device_Configuration'!BH279)</f>
        <v>0</v>
      </c>
      <c r="J278" s="17" t="str">
        <f>IF('13 - Config_Intake_View'!Q278&lt;&gt;"","PM Approved",IF('12 - Device_Configuration'!BH279&lt;&gt;"","Assumed",""))</f>
        <v/>
      </c>
      <c r="K278" s="30">
        <f>'12 - Device_Configuration'!BG279</f>
        <v>0</v>
      </c>
      <c r="L278" s="17">
        <f>'12 - Device_Configuration'!P279</f>
        <v>0</v>
      </c>
      <c r="M278" s="17">
        <f>'12 - Device_Configuration'!Q279</f>
        <v>0</v>
      </c>
      <c r="N278" s="17" t="str">
        <f>'12 - Device_Configuration'!BK279</f>
        <v/>
      </c>
      <c r="O278" s="30" t="str">
        <f>'12 - Device_Configuration'!BL279</f>
        <v/>
      </c>
      <c r="P278" s="2">
        <f>'12 - Device_Configuration'!BA279</f>
        <v>0</v>
      </c>
      <c r="Q278" s="30" t="str">
        <f t="shared" si="16"/>
        <v/>
      </c>
      <c r="R278" s="17" t="str">
        <f t="shared" si="17"/>
        <v>SW NOT INSTALLED</v>
      </c>
      <c r="S278" s="17" t="str">
        <f t="shared" si="18"/>
        <v/>
      </c>
      <c r="T278" s="17" t="str">
        <f t="shared" si="19"/>
        <v>SW NOT INSTALLED</v>
      </c>
    </row>
    <row r="279" spans="1:20">
      <c r="A279" s="30">
        <f>'12 - Device_Configuration'!H280</f>
        <v>0</v>
      </c>
      <c r="B279" s="30">
        <f>'12 - Device_Configuration'!S280</f>
        <v>0</v>
      </c>
      <c r="C279" s="30">
        <f>'12 - Device_Configuration'!T280</f>
        <v>0</v>
      </c>
      <c r="D279" s="17">
        <f>'12 - Device_Configuration'!AJ280</f>
        <v>0</v>
      </c>
      <c r="E279" s="17">
        <f>'12 - Device_Configuration'!J280</f>
        <v>0</v>
      </c>
      <c r="F279" s="30">
        <f>'12 - Device_Configuration'!K280</f>
        <v>0</v>
      </c>
      <c r="G279" s="17">
        <f>'12 - Device_Configuration'!L280</f>
        <v>0</v>
      </c>
      <c r="H279" s="17">
        <f>'13 - Config_Intake_View'!M279</f>
        <v>0</v>
      </c>
      <c r="I279" s="30">
        <f>IF('13 - Config_Intake_View'!Q279&lt;&gt;"",'13 - Config_Intake_View'!Q279,'12 - Device_Configuration'!BH280)</f>
        <v>0</v>
      </c>
      <c r="J279" s="17" t="str">
        <f>IF('13 - Config_Intake_View'!Q279&lt;&gt;"","PM Approved",IF('12 - Device_Configuration'!BH280&lt;&gt;"","Assumed",""))</f>
        <v/>
      </c>
      <c r="K279" s="30">
        <f>'12 - Device_Configuration'!BG280</f>
        <v>0</v>
      </c>
      <c r="L279" s="17">
        <f>'12 - Device_Configuration'!P280</f>
        <v>0</v>
      </c>
      <c r="M279" s="17">
        <f>'12 - Device_Configuration'!Q280</f>
        <v>0</v>
      </c>
      <c r="N279" s="17" t="str">
        <f>'12 - Device_Configuration'!BK280</f>
        <v/>
      </c>
      <c r="O279" s="30" t="str">
        <f>'12 - Device_Configuration'!BL280</f>
        <v/>
      </c>
      <c r="P279" s="2">
        <f>'12 - Device_Configuration'!BA280</f>
        <v>0</v>
      </c>
      <c r="Q279" s="30" t="str">
        <f t="shared" si="16"/>
        <v/>
      </c>
      <c r="R279" s="17" t="str">
        <f t="shared" si="17"/>
        <v>SW NOT INSTALLED</v>
      </c>
      <c r="S279" s="17" t="str">
        <f t="shared" si="18"/>
        <v/>
      </c>
      <c r="T279" s="17" t="str">
        <f t="shared" si="19"/>
        <v>SW NOT INSTALLED</v>
      </c>
    </row>
    <row r="280" spans="1:20">
      <c r="A280" s="30">
        <f>'12 - Device_Configuration'!H281</f>
        <v>0</v>
      </c>
      <c r="B280" s="30">
        <f>'12 - Device_Configuration'!S281</f>
        <v>0</v>
      </c>
      <c r="C280" s="30">
        <f>'12 - Device_Configuration'!T281</f>
        <v>0</v>
      </c>
      <c r="D280" s="17">
        <f>'12 - Device_Configuration'!AJ281</f>
        <v>0</v>
      </c>
      <c r="E280" s="17">
        <f>'12 - Device_Configuration'!J281</f>
        <v>0</v>
      </c>
      <c r="F280" s="30">
        <f>'12 - Device_Configuration'!K281</f>
        <v>0</v>
      </c>
      <c r="G280" s="17">
        <f>'12 - Device_Configuration'!L281</f>
        <v>0</v>
      </c>
      <c r="H280" s="17">
        <f>'13 - Config_Intake_View'!M280</f>
        <v>0</v>
      </c>
      <c r="I280" s="30">
        <f>IF('13 - Config_Intake_View'!Q280&lt;&gt;"",'13 - Config_Intake_View'!Q280,'12 - Device_Configuration'!BH281)</f>
        <v>0</v>
      </c>
      <c r="J280" s="17" t="str">
        <f>IF('13 - Config_Intake_View'!Q280&lt;&gt;"","PM Approved",IF('12 - Device_Configuration'!BH281&lt;&gt;"","Assumed",""))</f>
        <v/>
      </c>
      <c r="K280" s="30">
        <f>'12 - Device_Configuration'!BG281</f>
        <v>0</v>
      </c>
      <c r="L280" s="17">
        <f>'12 - Device_Configuration'!P281</f>
        <v>0</v>
      </c>
      <c r="M280" s="17">
        <f>'12 - Device_Configuration'!Q281</f>
        <v>0</v>
      </c>
      <c r="N280" s="17" t="str">
        <f>'12 - Device_Configuration'!BK281</f>
        <v/>
      </c>
      <c r="O280" s="30" t="str">
        <f>'12 - Device_Configuration'!BL281</f>
        <v/>
      </c>
      <c r="P280" s="2">
        <f>'12 - Device_Configuration'!BA281</f>
        <v>0</v>
      </c>
      <c r="Q280" s="30" t="str">
        <f t="shared" si="16"/>
        <v/>
      </c>
      <c r="R280" s="17" t="str">
        <f t="shared" si="17"/>
        <v>SW NOT INSTALLED</v>
      </c>
      <c r="S280" s="17" t="str">
        <f t="shared" si="18"/>
        <v/>
      </c>
      <c r="T280" s="17" t="str">
        <f t="shared" si="19"/>
        <v>SW NOT INSTALLED</v>
      </c>
    </row>
    <row r="281" spans="1:20">
      <c r="A281" s="30">
        <f>'12 - Device_Configuration'!H282</f>
        <v>0</v>
      </c>
      <c r="B281" s="30">
        <f>'12 - Device_Configuration'!S282</f>
        <v>0</v>
      </c>
      <c r="C281" s="30">
        <f>'12 - Device_Configuration'!T282</f>
        <v>0</v>
      </c>
      <c r="D281" s="17">
        <f>'12 - Device_Configuration'!AJ282</f>
        <v>0</v>
      </c>
      <c r="E281" s="17">
        <f>'12 - Device_Configuration'!J282</f>
        <v>0</v>
      </c>
      <c r="F281" s="30">
        <f>'12 - Device_Configuration'!K282</f>
        <v>0</v>
      </c>
      <c r="G281" s="17">
        <f>'12 - Device_Configuration'!L282</f>
        <v>0</v>
      </c>
      <c r="H281" s="17">
        <f>'13 - Config_Intake_View'!M281</f>
        <v>0</v>
      </c>
      <c r="I281" s="30">
        <f>IF('13 - Config_Intake_View'!Q281&lt;&gt;"",'13 - Config_Intake_View'!Q281,'12 - Device_Configuration'!BH282)</f>
        <v>0</v>
      </c>
      <c r="J281" s="17" t="str">
        <f>IF('13 - Config_Intake_View'!Q281&lt;&gt;"","PM Approved",IF('12 - Device_Configuration'!BH282&lt;&gt;"","Assumed",""))</f>
        <v/>
      </c>
      <c r="K281" s="30">
        <f>'12 - Device_Configuration'!BG282</f>
        <v>0</v>
      </c>
      <c r="L281" s="17">
        <f>'12 - Device_Configuration'!P282</f>
        <v>0</v>
      </c>
      <c r="M281" s="17">
        <f>'12 - Device_Configuration'!Q282</f>
        <v>0</v>
      </c>
      <c r="N281" s="17" t="str">
        <f>'12 - Device_Configuration'!BK282</f>
        <v/>
      </c>
      <c r="O281" s="30" t="str">
        <f>'12 - Device_Configuration'!BL282</f>
        <v/>
      </c>
      <c r="P281" s="2">
        <f>'12 - Device_Configuration'!BA282</f>
        <v>0</v>
      </c>
      <c r="Q281" s="30" t="str">
        <f t="shared" si="16"/>
        <v/>
      </c>
      <c r="R281" s="17" t="str">
        <f t="shared" si="17"/>
        <v>SW NOT INSTALLED</v>
      </c>
      <c r="S281" s="17" t="str">
        <f t="shared" si="18"/>
        <v/>
      </c>
      <c r="T281" s="17" t="str">
        <f t="shared" si="19"/>
        <v>SW NOT INSTALLED</v>
      </c>
    </row>
    <row r="282" spans="1:20">
      <c r="A282" s="30">
        <f>'12 - Device_Configuration'!H283</f>
        <v>0</v>
      </c>
      <c r="B282" s="30">
        <f>'12 - Device_Configuration'!S283</f>
        <v>0</v>
      </c>
      <c r="C282" s="30">
        <f>'12 - Device_Configuration'!T283</f>
        <v>0</v>
      </c>
      <c r="D282" s="17">
        <f>'12 - Device_Configuration'!AJ283</f>
        <v>0</v>
      </c>
      <c r="E282" s="17">
        <f>'12 - Device_Configuration'!J283</f>
        <v>0</v>
      </c>
      <c r="F282" s="30">
        <f>'12 - Device_Configuration'!K283</f>
        <v>0</v>
      </c>
      <c r="G282" s="17">
        <f>'12 - Device_Configuration'!L283</f>
        <v>0</v>
      </c>
      <c r="H282" s="17">
        <f>'13 - Config_Intake_View'!M282</f>
        <v>0</v>
      </c>
      <c r="I282" s="30">
        <f>IF('13 - Config_Intake_View'!Q282&lt;&gt;"",'13 - Config_Intake_View'!Q282,'12 - Device_Configuration'!BH283)</f>
        <v>0</v>
      </c>
      <c r="J282" s="17" t="str">
        <f>IF('13 - Config_Intake_View'!Q282&lt;&gt;"","PM Approved",IF('12 - Device_Configuration'!BH283&lt;&gt;"","Assumed",""))</f>
        <v/>
      </c>
      <c r="K282" s="30">
        <f>'12 - Device_Configuration'!BG283</f>
        <v>0</v>
      </c>
      <c r="L282" s="17">
        <f>'12 - Device_Configuration'!P283</f>
        <v>0</v>
      </c>
      <c r="M282" s="17">
        <f>'12 - Device_Configuration'!Q283</f>
        <v>0</v>
      </c>
      <c r="N282" s="17" t="str">
        <f>'12 - Device_Configuration'!BK283</f>
        <v/>
      </c>
      <c r="O282" s="30" t="str">
        <f>'12 - Device_Configuration'!BL283</f>
        <v/>
      </c>
      <c r="P282" s="2">
        <f>'12 - Device_Configuration'!BA283</f>
        <v>0</v>
      </c>
      <c r="Q282" s="30" t="str">
        <f t="shared" si="16"/>
        <v/>
      </c>
      <c r="R282" s="17" t="str">
        <f t="shared" si="17"/>
        <v>SW NOT INSTALLED</v>
      </c>
      <c r="S282" s="17" t="str">
        <f t="shared" si="18"/>
        <v/>
      </c>
      <c r="T282" s="17" t="str">
        <f t="shared" si="19"/>
        <v>SW NOT INSTALLED</v>
      </c>
    </row>
    <row r="283" spans="1:20">
      <c r="A283" s="30">
        <f>'12 - Device_Configuration'!H284</f>
        <v>0</v>
      </c>
      <c r="B283" s="30">
        <f>'12 - Device_Configuration'!S284</f>
        <v>0</v>
      </c>
      <c r="C283" s="30">
        <f>'12 - Device_Configuration'!T284</f>
        <v>0</v>
      </c>
      <c r="D283" s="17">
        <f>'12 - Device_Configuration'!AJ284</f>
        <v>0</v>
      </c>
      <c r="E283" s="17">
        <f>'12 - Device_Configuration'!J284</f>
        <v>0</v>
      </c>
      <c r="F283" s="30">
        <f>'12 - Device_Configuration'!K284</f>
        <v>0</v>
      </c>
      <c r="G283" s="17">
        <f>'12 - Device_Configuration'!L284</f>
        <v>0</v>
      </c>
      <c r="H283" s="17">
        <f>'13 - Config_Intake_View'!M283</f>
        <v>0</v>
      </c>
      <c r="I283" s="30">
        <f>IF('13 - Config_Intake_View'!Q283&lt;&gt;"",'13 - Config_Intake_View'!Q283,'12 - Device_Configuration'!BH284)</f>
        <v>0</v>
      </c>
      <c r="J283" s="17" t="str">
        <f>IF('13 - Config_Intake_View'!Q283&lt;&gt;"","PM Approved",IF('12 - Device_Configuration'!BH284&lt;&gt;"","Assumed",""))</f>
        <v/>
      </c>
      <c r="K283" s="30">
        <f>'12 - Device_Configuration'!BG284</f>
        <v>0</v>
      </c>
      <c r="L283" s="17">
        <f>'12 - Device_Configuration'!P284</f>
        <v>0</v>
      </c>
      <c r="M283" s="17">
        <f>'12 - Device_Configuration'!Q284</f>
        <v>0</v>
      </c>
      <c r="N283" s="17" t="str">
        <f>'12 - Device_Configuration'!BK284</f>
        <v/>
      </c>
      <c r="O283" s="30" t="str">
        <f>'12 - Device_Configuration'!BL284</f>
        <v/>
      </c>
      <c r="P283" s="2">
        <f>'12 - Device_Configuration'!BA284</f>
        <v>0</v>
      </c>
      <c r="Q283" s="30" t="str">
        <f t="shared" si="16"/>
        <v/>
      </c>
      <c r="R283" s="17" t="str">
        <f t="shared" si="17"/>
        <v>SW NOT INSTALLED</v>
      </c>
      <c r="S283" s="17" t="str">
        <f t="shared" si="18"/>
        <v/>
      </c>
      <c r="T283" s="17" t="str">
        <f t="shared" si="19"/>
        <v>SW NOT INSTALLED</v>
      </c>
    </row>
    <row r="284" spans="1:20">
      <c r="A284" s="30">
        <f>'12 - Device_Configuration'!H285</f>
        <v>0</v>
      </c>
      <c r="B284" s="30">
        <f>'12 - Device_Configuration'!S285</f>
        <v>0</v>
      </c>
      <c r="C284" s="30">
        <f>'12 - Device_Configuration'!T285</f>
        <v>0</v>
      </c>
      <c r="D284" s="17">
        <f>'12 - Device_Configuration'!AJ285</f>
        <v>0</v>
      </c>
      <c r="E284" s="17">
        <f>'12 - Device_Configuration'!J285</f>
        <v>0</v>
      </c>
      <c r="F284" s="30">
        <f>'12 - Device_Configuration'!K285</f>
        <v>0</v>
      </c>
      <c r="G284" s="17">
        <f>'12 - Device_Configuration'!L285</f>
        <v>0</v>
      </c>
      <c r="H284" s="17">
        <f>'13 - Config_Intake_View'!M284</f>
        <v>0</v>
      </c>
      <c r="I284" s="30">
        <f>IF('13 - Config_Intake_View'!Q284&lt;&gt;"",'13 - Config_Intake_View'!Q284,'12 - Device_Configuration'!BH285)</f>
        <v>0</v>
      </c>
      <c r="J284" s="17" t="str">
        <f>IF('13 - Config_Intake_View'!Q284&lt;&gt;"","PM Approved",IF('12 - Device_Configuration'!BH285&lt;&gt;"","Assumed",""))</f>
        <v/>
      </c>
      <c r="K284" s="30">
        <f>'12 - Device_Configuration'!BG285</f>
        <v>0</v>
      </c>
      <c r="L284" s="17">
        <f>'12 - Device_Configuration'!P285</f>
        <v>0</v>
      </c>
      <c r="M284" s="17">
        <f>'12 - Device_Configuration'!Q285</f>
        <v>0</v>
      </c>
      <c r="N284" s="17" t="str">
        <f>'12 - Device_Configuration'!BK285</f>
        <v/>
      </c>
      <c r="O284" s="30" t="str">
        <f>'12 - Device_Configuration'!BL285</f>
        <v/>
      </c>
      <c r="P284" s="2">
        <f>'12 - Device_Configuration'!BA285</f>
        <v>0</v>
      </c>
      <c r="Q284" s="30" t="str">
        <f t="shared" si="16"/>
        <v/>
      </c>
      <c r="R284" s="17" t="str">
        <f t="shared" si="17"/>
        <v>SW NOT INSTALLED</v>
      </c>
      <c r="S284" s="17" t="str">
        <f t="shared" si="18"/>
        <v/>
      </c>
      <c r="T284" s="17" t="str">
        <f t="shared" si="19"/>
        <v>SW NOT INSTALLED</v>
      </c>
    </row>
    <row r="285" spans="1:20">
      <c r="A285" s="30">
        <f>'12 - Device_Configuration'!H286</f>
        <v>0</v>
      </c>
      <c r="B285" s="30">
        <f>'12 - Device_Configuration'!S286</f>
        <v>0</v>
      </c>
      <c r="C285" s="30">
        <f>'12 - Device_Configuration'!T286</f>
        <v>0</v>
      </c>
      <c r="D285" s="17">
        <f>'12 - Device_Configuration'!AJ286</f>
        <v>0</v>
      </c>
      <c r="E285" s="17">
        <f>'12 - Device_Configuration'!J286</f>
        <v>0</v>
      </c>
      <c r="F285" s="30">
        <f>'12 - Device_Configuration'!K286</f>
        <v>0</v>
      </c>
      <c r="G285" s="17">
        <f>'12 - Device_Configuration'!L286</f>
        <v>0</v>
      </c>
      <c r="H285" s="17">
        <f>'13 - Config_Intake_View'!M285</f>
        <v>0</v>
      </c>
      <c r="I285" s="30">
        <f>IF('13 - Config_Intake_View'!Q285&lt;&gt;"",'13 - Config_Intake_View'!Q285,'12 - Device_Configuration'!BH286)</f>
        <v>0</v>
      </c>
      <c r="J285" s="17" t="str">
        <f>IF('13 - Config_Intake_View'!Q285&lt;&gt;"","PM Approved",IF('12 - Device_Configuration'!BH286&lt;&gt;"","Assumed",""))</f>
        <v/>
      </c>
      <c r="K285" s="30">
        <f>'12 - Device_Configuration'!BG286</f>
        <v>0</v>
      </c>
      <c r="L285" s="17">
        <f>'12 - Device_Configuration'!P286</f>
        <v>0</v>
      </c>
      <c r="M285" s="17">
        <f>'12 - Device_Configuration'!Q286</f>
        <v>0</v>
      </c>
      <c r="N285" s="17" t="str">
        <f>'12 - Device_Configuration'!BK286</f>
        <v/>
      </c>
      <c r="O285" s="30" t="str">
        <f>'12 - Device_Configuration'!BL286</f>
        <v/>
      </c>
      <c r="P285" s="2">
        <f>'12 - Device_Configuration'!BA286</f>
        <v>0</v>
      </c>
      <c r="Q285" s="30" t="str">
        <f t="shared" si="16"/>
        <v/>
      </c>
      <c r="R285" s="17" t="str">
        <f t="shared" si="17"/>
        <v>SW NOT INSTALLED</v>
      </c>
      <c r="S285" s="17" t="str">
        <f t="shared" si="18"/>
        <v/>
      </c>
      <c r="T285" s="17" t="str">
        <f t="shared" si="19"/>
        <v>SW NOT INSTALLED</v>
      </c>
    </row>
    <row r="286" spans="1:20">
      <c r="A286" s="30">
        <f>'12 - Device_Configuration'!H287</f>
        <v>0</v>
      </c>
      <c r="B286" s="30">
        <f>'12 - Device_Configuration'!S287</f>
        <v>0</v>
      </c>
      <c r="C286" s="30">
        <f>'12 - Device_Configuration'!T287</f>
        <v>0</v>
      </c>
      <c r="D286" s="17">
        <f>'12 - Device_Configuration'!AJ287</f>
        <v>0</v>
      </c>
      <c r="E286" s="17">
        <f>'12 - Device_Configuration'!J287</f>
        <v>0</v>
      </c>
      <c r="F286" s="30">
        <f>'12 - Device_Configuration'!K287</f>
        <v>0</v>
      </c>
      <c r="G286" s="17">
        <f>'12 - Device_Configuration'!L287</f>
        <v>0</v>
      </c>
      <c r="H286" s="17">
        <f>'13 - Config_Intake_View'!M286</f>
        <v>0</v>
      </c>
      <c r="I286" s="30">
        <f>IF('13 - Config_Intake_View'!Q286&lt;&gt;"",'13 - Config_Intake_View'!Q286,'12 - Device_Configuration'!BH287)</f>
        <v>0</v>
      </c>
      <c r="J286" s="17" t="str">
        <f>IF('13 - Config_Intake_View'!Q286&lt;&gt;"","PM Approved",IF('12 - Device_Configuration'!BH287&lt;&gt;"","Assumed",""))</f>
        <v/>
      </c>
      <c r="K286" s="30">
        <f>'12 - Device_Configuration'!BG287</f>
        <v>0</v>
      </c>
      <c r="L286" s="17">
        <f>'12 - Device_Configuration'!P287</f>
        <v>0</v>
      </c>
      <c r="M286" s="17">
        <f>'12 - Device_Configuration'!Q287</f>
        <v>0</v>
      </c>
      <c r="N286" s="17" t="str">
        <f>'12 - Device_Configuration'!BK287</f>
        <v/>
      </c>
      <c r="O286" s="30" t="str">
        <f>'12 - Device_Configuration'!BL287</f>
        <v/>
      </c>
      <c r="P286" s="2">
        <f>'12 - Device_Configuration'!BA287</f>
        <v>0</v>
      </c>
      <c r="Q286" s="30" t="str">
        <f t="shared" si="16"/>
        <v/>
      </c>
      <c r="R286" s="17" t="str">
        <f t="shared" si="17"/>
        <v>SW NOT INSTALLED</v>
      </c>
      <c r="S286" s="17" t="str">
        <f t="shared" si="18"/>
        <v/>
      </c>
      <c r="T286" s="17" t="str">
        <f t="shared" si="19"/>
        <v>SW NOT INSTALLED</v>
      </c>
    </row>
    <row r="287" spans="1:20">
      <c r="A287" s="30">
        <f>'12 - Device_Configuration'!H288</f>
        <v>0</v>
      </c>
      <c r="B287" s="30">
        <f>'12 - Device_Configuration'!S288</f>
        <v>0</v>
      </c>
      <c r="C287" s="30">
        <f>'12 - Device_Configuration'!T288</f>
        <v>0</v>
      </c>
      <c r="D287" s="17">
        <f>'12 - Device_Configuration'!AJ288</f>
        <v>0</v>
      </c>
      <c r="E287" s="17">
        <f>'12 - Device_Configuration'!J288</f>
        <v>0</v>
      </c>
      <c r="F287" s="30">
        <f>'12 - Device_Configuration'!K288</f>
        <v>0</v>
      </c>
      <c r="G287" s="17">
        <f>'12 - Device_Configuration'!L288</f>
        <v>0</v>
      </c>
      <c r="H287" s="17">
        <f>'13 - Config_Intake_View'!M287</f>
        <v>0</v>
      </c>
      <c r="I287" s="30">
        <f>IF('13 - Config_Intake_View'!Q287&lt;&gt;"",'13 - Config_Intake_View'!Q287,'12 - Device_Configuration'!BH288)</f>
        <v>0</v>
      </c>
      <c r="J287" s="17" t="str">
        <f>IF('13 - Config_Intake_View'!Q287&lt;&gt;"","PM Approved",IF('12 - Device_Configuration'!BH288&lt;&gt;"","Assumed",""))</f>
        <v/>
      </c>
      <c r="K287" s="30">
        <f>'12 - Device_Configuration'!BG288</f>
        <v>0</v>
      </c>
      <c r="L287" s="17">
        <f>'12 - Device_Configuration'!P288</f>
        <v>0</v>
      </c>
      <c r="M287" s="17">
        <f>'12 - Device_Configuration'!Q288</f>
        <v>0</v>
      </c>
      <c r="N287" s="17" t="str">
        <f>'12 - Device_Configuration'!BK288</f>
        <v/>
      </c>
      <c r="O287" s="30" t="str">
        <f>'12 - Device_Configuration'!BL288</f>
        <v/>
      </c>
      <c r="P287" s="2">
        <f>'12 - Device_Configuration'!BA288</f>
        <v>0</v>
      </c>
      <c r="Q287" s="30" t="str">
        <f t="shared" si="16"/>
        <v/>
      </c>
      <c r="R287" s="17" t="str">
        <f t="shared" si="17"/>
        <v>SW NOT INSTALLED</v>
      </c>
      <c r="S287" s="17" t="str">
        <f t="shared" si="18"/>
        <v/>
      </c>
      <c r="T287" s="17" t="str">
        <f t="shared" si="19"/>
        <v>SW NOT INSTALLED</v>
      </c>
    </row>
    <row r="288" spans="1:20">
      <c r="A288" s="30">
        <f>'12 - Device_Configuration'!H289</f>
        <v>0</v>
      </c>
      <c r="B288" s="30">
        <f>'12 - Device_Configuration'!S289</f>
        <v>0</v>
      </c>
      <c r="C288" s="30">
        <f>'12 - Device_Configuration'!T289</f>
        <v>0</v>
      </c>
      <c r="D288" s="17">
        <f>'12 - Device_Configuration'!AJ289</f>
        <v>0</v>
      </c>
      <c r="E288" s="17">
        <f>'12 - Device_Configuration'!J289</f>
        <v>0</v>
      </c>
      <c r="F288" s="30">
        <f>'12 - Device_Configuration'!K289</f>
        <v>0</v>
      </c>
      <c r="G288" s="17">
        <f>'12 - Device_Configuration'!L289</f>
        <v>0</v>
      </c>
      <c r="H288" s="17">
        <f>'13 - Config_Intake_View'!M288</f>
        <v>0</v>
      </c>
      <c r="I288" s="30">
        <f>IF('13 - Config_Intake_View'!Q288&lt;&gt;"",'13 - Config_Intake_View'!Q288,'12 - Device_Configuration'!BH289)</f>
        <v>0</v>
      </c>
      <c r="J288" s="17" t="str">
        <f>IF('13 - Config_Intake_View'!Q288&lt;&gt;"","PM Approved",IF('12 - Device_Configuration'!BH289&lt;&gt;"","Assumed",""))</f>
        <v/>
      </c>
      <c r="K288" s="30">
        <f>'12 - Device_Configuration'!BG289</f>
        <v>0</v>
      </c>
      <c r="L288" s="17">
        <f>'12 - Device_Configuration'!P289</f>
        <v>0</v>
      </c>
      <c r="M288" s="17">
        <f>'12 - Device_Configuration'!Q289</f>
        <v>0</v>
      </c>
      <c r="N288" s="17" t="str">
        <f>'12 - Device_Configuration'!BK289</f>
        <v/>
      </c>
      <c r="O288" s="30" t="str">
        <f>'12 - Device_Configuration'!BL289</f>
        <v/>
      </c>
      <c r="P288" s="2">
        <f>'12 - Device_Configuration'!BA289</f>
        <v>0</v>
      </c>
      <c r="Q288" s="30" t="str">
        <f t="shared" si="16"/>
        <v/>
      </c>
      <c r="R288" s="17" t="str">
        <f t="shared" si="17"/>
        <v>SW NOT INSTALLED</v>
      </c>
      <c r="S288" s="17" t="str">
        <f t="shared" si="18"/>
        <v/>
      </c>
      <c r="T288" s="17" t="str">
        <f t="shared" si="19"/>
        <v>SW NOT INSTALLED</v>
      </c>
    </row>
    <row r="289" spans="1:20">
      <c r="A289" s="30">
        <f>'12 - Device_Configuration'!H290</f>
        <v>0</v>
      </c>
      <c r="B289" s="30">
        <f>'12 - Device_Configuration'!S290</f>
        <v>0</v>
      </c>
      <c r="C289" s="30">
        <f>'12 - Device_Configuration'!T290</f>
        <v>0</v>
      </c>
      <c r="D289" s="17">
        <f>'12 - Device_Configuration'!AJ290</f>
        <v>0</v>
      </c>
      <c r="E289" s="17">
        <f>'12 - Device_Configuration'!J290</f>
        <v>0</v>
      </c>
      <c r="F289" s="30">
        <f>'12 - Device_Configuration'!K290</f>
        <v>0</v>
      </c>
      <c r="G289" s="17">
        <f>'12 - Device_Configuration'!L290</f>
        <v>0</v>
      </c>
      <c r="H289" s="17">
        <f>'13 - Config_Intake_View'!M289</f>
        <v>0</v>
      </c>
      <c r="I289" s="30">
        <f>IF('13 - Config_Intake_View'!Q289&lt;&gt;"",'13 - Config_Intake_View'!Q289,'12 - Device_Configuration'!BH290)</f>
        <v>0</v>
      </c>
      <c r="J289" s="17" t="str">
        <f>IF('13 - Config_Intake_View'!Q289&lt;&gt;"","PM Approved",IF('12 - Device_Configuration'!BH290&lt;&gt;"","Assumed",""))</f>
        <v/>
      </c>
      <c r="K289" s="30">
        <f>'12 - Device_Configuration'!BG290</f>
        <v>0</v>
      </c>
      <c r="L289" s="17">
        <f>'12 - Device_Configuration'!P290</f>
        <v>0</v>
      </c>
      <c r="M289" s="17">
        <f>'12 - Device_Configuration'!Q290</f>
        <v>0</v>
      </c>
      <c r="N289" s="17" t="str">
        <f>'12 - Device_Configuration'!BK290</f>
        <v/>
      </c>
      <c r="O289" s="30" t="str">
        <f>'12 - Device_Configuration'!BL290</f>
        <v/>
      </c>
      <c r="P289" s="2">
        <f>'12 - Device_Configuration'!BA290</f>
        <v>0</v>
      </c>
      <c r="Q289" s="30" t="str">
        <f t="shared" si="16"/>
        <v/>
      </c>
      <c r="R289" s="17" t="str">
        <f t="shared" si="17"/>
        <v>SW NOT INSTALLED</v>
      </c>
      <c r="S289" s="17" t="str">
        <f t="shared" si="18"/>
        <v/>
      </c>
      <c r="T289" s="17" t="str">
        <f t="shared" si="19"/>
        <v>SW NOT INSTALLED</v>
      </c>
    </row>
    <row r="290" spans="1:20">
      <c r="A290" s="30">
        <f>'12 - Device_Configuration'!H291</f>
        <v>0</v>
      </c>
      <c r="B290" s="30">
        <f>'12 - Device_Configuration'!S291</f>
        <v>0</v>
      </c>
      <c r="C290" s="30">
        <f>'12 - Device_Configuration'!T291</f>
        <v>0</v>
      </c>
      <c r="D290" s="17">
        <f>'12 - Device_Configuration'!AJ291</f>
        <v>0</v>
      </c>
      <c r="E290" s="17">
        <f>'12 - Device_Configuration'!J291</f>
        <v>0</v>
      </c>
      <c r="F290" s="30">
        <f>'12 - Device_Configuration'!K291</f>
        <v>0</v>
      </c>
      <c r="G290" s="17">
        <f>'12 - Device_Configuration'!L291</f>
        <v>0</v>
      </c>
      <c r="H290" s="17">
        <f>'13 - Config_Intake_View'!M290</f>
        <v>0</v>
      </c>
      <c r="I290" s="30">
        <f>IF('13 - Config_Intake_View'!Q290&lt;&gt;"",'13 - Config_Intake_View'!Q290,'12 - Device_Configuration'!BH291)</f>
        <v>0</v>
      </c>
      <c r="J290" s="17" t="str">
        <f>IF('13 - Config_Intake_View'!Q290&lt;&gt;"","PM Approved",IF('12 - Device_Configuration'!BH291&lt;&gt;"","Assumed",""))</f>
        <v/>
      </c>
      <c r="K290" s="30">
        <f>'12 - Device_Configuration'!BG291</f>
        <v>0</v>
      </c>
      <c r="L290" s="17">
        <f>'12 - Device_Configuration'!P291</f>
        <v>0</v>
      </c>
      <c r="M290" s="17">
        <f>'12 - Device_Configuration'!Q291</f>
        <v>0</v>
      </c>
      <c r="N290" s="17" t="str">
        <f>'12 - Device_Configuration'!BK291</f>
        <v/>
      </c>
      <c r="O290" s="30" t="str">
        <f>'12 - Device_Configuration'!BL291</f>
        <v/>
      </c>
      <c r="P290" s="2">
        <f>'12 - Device_Configuration'!BA291</f>
        <v>0</v>
      </c>
      <c r="Q290" s="30" t="str">
        <f t="shared" si="16"/>
        <v/>
      </c>
      <c r="R290" s="17" t="str">
        <f t="shared" si="17"/>
        <v>SW NOT INSTALLED</v>
      </c>
      <c r="S290" s="17" t="str">
        <f t="shared" si="18"/>
        <v/>
      </c>
      <c r="T290" s="17" t="str">
        <f t="shared" si="19"/>
        <v>SW NOT INSTALLED</v>
      </c>
    </row>
    <row r="291" spans="1:20">
      <c r="A291" s="30">
        <f>'12 - Device_Configuration'!H292</f>
        <v>0</v>
      </c>
      <c r="B291" s="30">
        <f>'12 - Device_Configuration'!S292</f>
        <v>0</v>
      </c>
      <c r="C291" s="30">
        <f>'12 - Device_Configuration'!T292</f>
        <v>0</v>
      </c>
      <c r="D291" s="17">
        <f>'12 - Device_Configuration'!AJ292</f>
        <v>0</v>
      </c>
      <c r="E291" s="17">
        <f>'12 - Device_Configuration'!J292</f>
        <v>0</v>
      </c>
      <c r="F291" s="30">
        <f>'12 - Device_Configuration'!K292</f>
        <v>0</v>
      </c>
      <c r="G291" s="17">
        <f>'12 - Device_Configuration'!L292</f>
        <v>0</v>
      </c>
      <c r="H291" s="17">
        <f>'13 - Config_Intake_View'!M291</f>
        <v>0</v>
      </c>
      <c r="I291" s="30">
        <f>IF('13 - Config_Intake_View'!Q291&lt;&gt;"",'13 - Config_Intake_View'!Q291,'12 - Device_Configuration'!BH292)</f>
        <v>0</v>
      </c>
      <c r="J291" s="17" t="str">
        <f>IF('13 - Config_Intake_View'!Q291&lt;&gt;"","PM Approved",IF('12 - Device_Configuration'!BH292&lt;&gt;"","Assumed",""))</f>
        <v/>
      </c>
      <c r="K291" s="30">
        <f>'12 - Device_Configuration'!BG292</f>
        <v>0</v>
      </c>
      <c r="L291" s="17">
        <f>'12 - Device_Configuration'!P292</f>
        <v>0</v>
      </c>
      <c r="M291" s="17">
        <f>'12 - Device_Configuration'!Q292</f>
        <v>0</v>
      </c>
      <c r="N291" s="17" t="str">
        <f>'12 - Device_Configuration'!BK292</f>
        <v/>
      </c>
      <c r="O291" s="30" t="str">
        <f>'12 - Device_Configuration'!BL292</f>
        <v/>
      </c>
      <c r="P291" s="2">
        <f>'12 - Device_Configuration'!BA292</f>
        <v>0</v>
      </c>
      <c r="Q291" s="30" t="str">
        <f t="shared" si="16"/>
        <v/>
      </c>
      <c r="R291" s="17" t="str">
        <f t="shared" si="17"/>
        <v>SW NOT INSTALLED</v>
      </c>
      <c r="S291" s="17" t="str">
        <f t="shared" si="18"/>
        <v/>
      </c>
      <c r="T291" s="17" t="str">
        <f t="shared" si="19"/>
        <v>SW NOT INSTALLED</v>
      </c>
    </row>
    <row r="292" spans="1:20">
      <c r="A292" s="30">
        <f>'12 - Device_Configuration'!H293</f>
        <v>0</v>
      </c>
      <c r="B292" s="30">
        <f>'12 - Device_Configuration'!S293</f>
        <v>0</v>
      </c>
      <c r="C292" s="30">
        <f>'12 - Device_Configuration'!T293</f>
        <v>0</v>
      </c>
      <c r="D292" s="17">
        <f>'12 - Device_Configuration'!AJ293</f>
        <v>0</v>
      </c>
      <c r="E292" s="17">
        <f>'12 - Device_Configuration'!J293</f>
        <v>0</v>
      </c>
      <c r="F292" s="30">
        <f>'12 - Device_Configuration'!K293</f>
        <v>0</v>
      </c>
      <c r="G292" s="17">
        <f>'12 - Device_Configuration'!L293</f>
        <v>0</v>
      </c>
      <c r="H292" s="17">
        <f>'13 - Config_Intake_View'!M292</f>
        <v>0</v>
      </c>
      <c r="I292" s="30">
        <f>IF('13 - Config_Intake_View'!Q292&lt;&gt;"",'13 - Config_Intake_View'!Q292,'12 - Device_Configuration'!BH293)</f>
        <v>0</v>
      </c>
      <c r="J292" s="17" t="str">
        <f>IF('13 - Config_Intake_View'!Q292&lt;&gt;"","PM Approved",IF('12 - Device_Configuration'!BH293&lt;&gt;"","Assumed",""))</f>
        <v/>
      </c>
      <c r="K292" s="30">
        <f>'12 - Device_Configuration'!BG293</f>
        <v>0</v>
      </c>
      <c r="L292" s="17">
        <f>'12 - Device_Configuration'!P293</f>
        <v>0</v>
      </c>
      <c r="M292" s="17">
        <f>'12 - Device_Configuration'!Q293</f>
        <v>0</v>
      </c>
      <c r="N292" s="17" t="str">
        <f>'12 - Device_Configuration'!BK293</f>
        <v/>
      </c>
      <c r="O292" s="30" t="str">
        <f>'12 - Device_Configuration'!BL293</f>
        <v/>
      </c>
      <c r="P292" s="2">
        <f>'12 - Device_Configuration'!BA293</f>
        <v>0</v>
      </c>
      <c r="Q292" s="30" t="str">
        <f t="shared" si="16"/>
        <v/>
      </c>
      <c r="R292" s="17" t="str">
        <f t="shared" si="17"/>
        <v>SW NOT INSTALLED</v>
      </c>
      <c r="S292" s="17" t="str">
        <f t="shared" si="18"/>
        <v/>
      </c>
      <c r="T292" s="17" t="str">
        <f t="shared" si="19"/>
        <v>SW NOT INSTALLED</v>
      </c>
    </row>
    <row r="293" spans="1:20">
      <c r="A293" s="30">
        <f>'12 - Device_Configuration'!H294</f>
        <v>0</v>
      </c>
      <c r="B293" s="30">
        <f>'12 - Device_Configuration'!S294</f>
        <v>0</v>
      </c>
      <c r="C293" s="30">
        <f>'12 - Device_Configuration'!T294</f>
        <v>0</v>
      </c>
      <c r="D293" s="17">
        <f>'12 - Device_Configuration'!AJ294</f>
        <v>0</v>
      </c>
      <c r="E293" s="17">
        <f>'12 - Device_Configuration'!J294</f>
        <v>0</v>
      </c>
      <c r="F293" s="30">
        <f>'12 - Device_Configuration'!K294</f>
        <v>0</v>
      </c>
      <c r="G293" s="17">
        <f>'12 - Device_Configuration'!L294</f>
        <v>0</v>
      </c>
      <c r="H293" s="17">
        <f>'13 - Config_Intake_View'!M293</f>
        <v>0</v>
      </c>
      <c r="I293" s="30">
        <f>IF('13 - Config_Intake_View'!Q293&lt;&gt;"",'13 - Config_Intake_View'!Q293,'12 - Device_Configuration'!BH294)</f>
        <v>0</v>
      </c>
      <c r="J293" s="17" t="str">
        <f>IF('13 - Config_Intake_View'!Q293&lt;&gt;"","PM Approved",IF('12 - Device_Configuration'!BH294&lt;&gt;"","Assumed",""))</f>
        <v/>
      </c>
      <c r="K293" s="30">
        <f>'12 - Device_Configuration'!BG294</f>
        <v>0</v>
      </c>
      <c r="L293" s="17">
        <f>'12 - Device_Configuration'!P294</f>
        <v>0</v>
      </c>
      <c r="M293" s="17">
        <f>'12 - Device_Configuration'!Q294</f>
        <v>0</v>
      </c>
      <c r="N293" s="17" t="str">
        <f>'12 - Device_Configuration'!BK294</f>
        <v/>
      </c>
      <c r="O293" s="30" t="str">
        <f>'12 - Device_Configuration'!BL294</f>
        <v/>
      </c>
      <c r="P293" s="2">
        <f>'12 - Device_Configuration'!BA294</f>
        <v>0</v>
      </c>
      <c r="Q293" s="30" t="str">
        <f t="shared" si="16"/>
        <v/>
      </c>
      <c r="R293" s="17" t="str">
        <f t="shared" si="17"/>
        <v>SW NOT INSTALLED</v>
      </c>
      <c r="S293" s="17" t="str">
        <f t="shared" si="18"/>
        <v/>
      </c>
      <c r="T293" s="17" t="str">
        <f t="shared" si="19"/>
        <v>SW NOT INSTALLED</v>
      </c>
    </row>
    <row r="294" spans="1:20">
      <c r="A294" s="30">
        <f>'12 - Device_Configuration'!H295</f>
        <v>0</v>
      </c>
      <c r="B294" s="30">
        <f>'12 - Device_Configuration'!S295</f>
        <v>0</v>
      </c>
      <c r="C294" s="30">
        <f>'12 - Device_Configuration'!T295</f>
        <v>0</v>
      </c>
      <c r="D294" s="17">
        <f>'12 - Device_Configuration'!AJ295</f>
        <v>0</v>
      </c>
      <c r="E294" s="17">
        <f>'12 - Device_Configuration'!J295</f>
        <v>0</v>
      </c>
      <c r="F294" s="30">
        <f>'12 - Device_Configuration'!K295</f>
        <v>0</v>
      </c>
      <c r="G294" s="17">
        <f>'12 - Device_Configuration'!L295</f>
        <v>0</v>
      </c>
      <c r="H294" s="17">
        <f>'13 - Config_Intake_View'!M294</f>
        <v>0</v>
      </c>
      <c r="I294" s="30">
        <f>IF('13 - Config_Intake_View'!Q294&lt;&gt;"",'13 - Config_Intake_View'!Q294,'12 - Device_Configuration'!BH295)</f>
        <v>0</v>
      </c>
      <c r="J294" s="17" t="str">
        <f>IF('13 - Config_Intake_View'!Q294&lt;&gt;"","PM Approved",IF('12 - Device_Configuration'!BH295&lt;&gt;"","Assumed",""))</f>
        <v/>
      </c>
      <c r="K294" s="30">
        <f>'12 - Device_Configuration'!BG295</f>
        <v>0</v>
      </c>
      <c r="L294" s="17">
        <f>'12 - Device_Configuration'!P295</f>
        <v>0</v>
      </c>
      <c r="M294" s="17">
        <f>'12 - Device_Configuration'!Q295</f>
        <v>0</v>
      </c>
      <c r="N294" s="17" t="str">
        <f>'12 - Device_Configuration'!BK295</f>
        <v/>
      </c>
      <c r="O294" s="30" t="str">
        <f>'12 - Device_Configuration'!BL295</f>
        <v/>
      </c>
      <c r="P294" s="2">
        <f>'12 - Device_Configuration'!BA295</f>
        <v>0</v>
      </c>
      <c r="Q294" s="30" t="str">
        <f t="shared" si="16"/>
        <v/>
      </c>
      <c r="R294" s="17" t="str">
        <f t="shared" si="17"/>
        <v>SW NOT INSTALLED</v>
      </c>
      <c r="S294" s="17" t="str">
        <f t="shared" si="18"/>
        <v/>
      </c>
      <c r="T294" s="17" t="str">
        <f t="shared" si="19"/>
        <v>SW NOT INSTALLED</v>
      </c>
    </row>
    <row r="295" spans="1:20">
      <c r="A295" s="30">
        <f>'12 - Device_Configuration'!H296</f>
        <v>0</v>
      </c>
      <c r="B295" s="30">
        <f>'12 - Device_Configuration'!S296</f>
        <v>0</v>
      </c>
      <c r="C295" s="30">
        <f>'12 - Device_Configuration'!T296</f>
        <v>0</v>
      </c>
      <c r="D295" s="17">
        <f>'12 - Device_Configuration'!AJ296</f>
        <v>0</v>
      </c>
      <c r="E295" s="17">
        <f>'12 - Device_Configuration'!J296</f>
        <v>0</v>
      </c>
      <c r="F295" s="30">
        <f>'12 - Device_Configuration'!K296</f>
        <v>0</v>
      </c>
      <c r="G295" s="17">
        <f>'12 - Device_Configuration'!L296</f>
        <v>0</v>
      </c>
      <c r="H295" s="17">
        <f>'13 - Config_Intake_View'!M295</f>
        <v>0</v>
      </c>
      <c r="I295" s="30">
        <f>IF('13 - Config_Intake_View'!Q295&lt;&gt;"",'13 - Config_Intake_View'!Q295,'12 - Device_Configuration'!BH296)</f>
        <v>0</v>
      </c>
      <c r="J295" s="17" t="str">
        <f>IF('13 - Config_Intake_View'!Q295&lt;&gt;"","PM Approved",IF('12 - Device_Configuration'!BH296&lt;&gt;"","Assumed",""))</f>
        <v/>
      </c>
      <c r="K295" s="30">
        <f>'12 - Device_Configuration'!BG296</f>
        <v>0</v>
      </c>
      <c r="L295" s="17">
        <f>'12 - Device_Configuration'!P296</f>
        <v>0</v>
      </c>
      <c r="M295" s="17">
        <f>'12 - Device_Configuration'!Q296</f>
        <v>0</v>
      </c>
      <c r="N295" s="17" t="str">
        <f>'12 - Device_Configuration'!BK296</f>
        <v/>
      </c>
      <c r="O295" s="30" t="str">
        <f>'12 - Device_Configuration'!BL296</f>
        <v/>
      </c>
      <c r="P295" s="2">
        <f>'12 - Device_Configuration'!BA296</f>
        <v>0</v>
      </c>
      <c r="Q295" s="30" t="str">
        <f t="shared" si="16"/>
        <v/>
      </c>
      <c r="R295" s="17" t="str">
        <f t="shared" si="17"/>
        <v>SW NOT INSTALLED</v>
      </c>
      <c r="S295" s="17" t="str">
        <f t="shared" si="18"/>
        <v/>
      </c>
      <c r="T295" s="17" t="str">
        <f t="shared" si="19"/>
        <v>SW NOT INSTALLED</v>
      </c>
    </row>
    <row r="296" spans="1:20">
      <c r="A296" s="30">
        <f>'12 - Device_Configuration'!H297</f>
        <v>0</v>
      </c>
      <c r="B296" s="30">
        <f>'12 - Device_Configuration'!S297</f>
        <v>0</v>
      </c>
      <c r="C296" s="30">
        <f>'12 - Device_Configuration'!T297</f>
        <v>0</v>
      </c>
      <c r="D296" s="17">
        <f>'12 - Device_Configuration'!AJ297</f>
        <v>0</v>
      </c>
      <c r="E296" s="17">
        <f>'12 - Device_Configuration'!J297</f>
        <v>0</v>
      </c>
      <c r="F296" s="30">
        <f>'12 - Device_Configuration'!K297</f>
        <v>0</v>
      </c>
      <c r="G296" s="17">
        <f>'12 - Device_Configuration'!L297</f>
        <v>0</v>
      </c>
      <c r="H296" s="17">
        <f>'13 - Config_Intake_View'!M296</f>
        <v>0</v>
      </c>
      <c r="I296" s="30">
        <f>IF('13 - Config_Intake_View'!Q296&lt;&gt;"",'13 - Config_Intake_View'!Q296,'12 - Device_Configuration'!BH297)</f>
        <v>0</v>
      </c>
      <c r="J296" s="17" t="str">
        <f>IF('13 - Config_Intake_View'!Q296&lt;&gt;"","PM Approved",IF('12 - Device_Configuration'!BH297&lt;&gt;"","Assumed",""))</f>
        <v/>
      </c>
      <c r="K296" s="30">
        <f>'12 - Device_Configuration'!BG297</f>
        <v>0</v>
      </c>
      <c r="L296" s="17">
        <f>'12 - Device_Configuration'!P297</f>
        <v>0</v>
      </c>
      <c r="M296" s="17">
        <f>'12 - Device_Configuration'!Q297</f>
        <v>0</v>
      </c>
      <c r="N296" s="17" t="str">
        <f>'12 - Device_Configuration'!BK297</f>
        <v/>
      </c>
      <c r="O296" s="30" t="str">
        <f>'12 - Device_Configuration'!BL297</f>
        <v/>
      </c>
      <c r="P296" s="2">
        <f>'12 - Device_Configuration'!BA297</f>
        <v>0</v>
      </c>
      <c r="Q296" s="30" t="str">
        <f t="shared" si="16"/>
        <v/>
      </c>
      <c r="R296" s="17" t="str">
        <f t="shared" si="17"/>
        <v>SW NOT INSTALLED</v>
      </c>
      <c r="S296" s="17" t="str">
        <f t="shared" si="18"/>
        <v/>
      </c>
      <c r="T296" s="17" t="str">
        <f t="shared" si="19"/>
        <v>SW NOT INSTALLED</v>
      </c>
    </row>
    <row r="297" spans="1:20">
      <c r="A297" s="30">
        <f>'12 - Device_Configuration'!H298</f>
        <v>0</v>
      </c>
      <c r="B297" s="30">
        <f>'12 - Device_Configuration'!S298</f>
        <v>0</v>
      </c>
      <c r="C297" s="30">
        <f>'12 - Device_Configuration'!T298</f>
        <v>0</v>
      </c>
      <c r="D297" s="17">
        <f>'12 - Device_Configuration'!AJ298</f>
        <v>0</v>
      </c>
      <c r="E297" s="17">
        <f>'12 - Device_Configuration'!J298</f>
        <v>0</v>
      </c>
      <c r="F297" s="30">
        <f>'12 - Device_Configuration'!K298</f>
        <v>0</v>
      </c>
      <c r="G297" s="17">
        <f>'12 - Device_Configuration'!L298</f>
        <v>0</v>
      </c>
      <c r="H297" s="17">
        <f>'13 - Config_Intake_View'!M297</f>
        <v>0</v>
      </c>
      <c r="I297" s="30">
        <f>IF('13 - Config_Intake_View'!Q297&lt;&gt;"",'13 - Config_Intake_View'!Q297,'12 - Device_Configuration'!BH298)</f>
        <v>0</v>
      </c>
      <c r="J297" s="17" t="str">
        <f>IF('13 - Config_Intake_View'!Q297&lt;&gt;"","PM Approved",IF('12 - Device_Configuration'!BH298&lt;&gt;"","Assumed",""))</f>
        <v/>
      </c>
      <c r="K297" s="30">
        <f>'12 - Device_Configuration'!BG298</f>
        <v>0</v>
      </c>
      <c r="L297" s="17">
        <f>'12 - Device_Configuration'!P298</f>
        <v>0</v>
      </c>
      <c r="M297" s="17">
        <f>'12 - Device_Configuration'!Q298</f>
        <v>0</v>
      </c>
      <c r="N297" s="17" t="str">
        <f>'12 - Device_Configuration'!BK298</f>
        <v/>
      </c>
      <c r="O297" s="30" t="str">
        <f>'12 - Device_Configuration'!BL298</f>
        <v/>
      </c>
      <c r="P297" s="2">
        <f>'12 - Device_Configuration'!BA298</f>
        <v>0</v>
      </c>
      <c r="Q297" s="30" t="str">
        <f t="shared" si="16"/>
        <v/>
      </c>
      <c r="R297" s="17" t="str">
        <f t="shared" si="17"/>
        <v>SW NOT INSTALLED</v>
      </c>
      <c r="S297" s="17" t="str">
        <f t="shared" si="18"/>
        <v/>
      </c>
      <c r="T297" s="17" t="str">
        <f t="shared" si="19"/>
        <v>SW NOT INSTALLED</v>
      </c>
    </row>
    <row r="298" spans="1:20">
      <c r="A298" s="30">
        <f>'12 - Device_Configuration'!H299</f>
        <v>0</v>
      </c>
      <c r="B298" s="30">
        <f>'12 - Device_Configuration'!S299</f>
        <v>0</v>
      </c>
      <c r="C298" s="30">
        <f>'12 - Device_Configuration'!T299</f>
        <v>0</v>
      </c>
      <c r="D298" s="17">
        <f>'12 - Device_Configuration'!AJ299</f>
        <v>0</v>
      </c>
      <c r="E298" s="17">
        <f>'12 - Device_Configuration'!J299</f>
        <v>0</v>
      </c>
      <c r="F298" s="30">
        <f>'12 - Device_Configuration'!K299</f>
        <v>0</v>
      </c>
      <c r="G298" s="17">
        <f>'12 - Device_Configuration'!L299</f>
        <v>0</v>
      </c>
      <c r="H298" s="17">
        <f>'13 - Config_Intake_View'!M298</f>
        <v>0</v>
      </c>
      <c r="I298" s="30">
        <f>IF('13 - Config_Intake_View'!Q298&lt;&gt;"",'13 - Config_Intake_View'!Q298,'12 - Device_Configuration'!BH299)</f>
        <v>0</v>
      </c>
      <c r="J298" s="17" t="str">
        <f>IF('13 - Config_Intake_View'!Q298&lt;&gt;"","PM Approved",IF('12 - Device_Configuration'!BH299&lt;&gt;"","Assumed",""))</f>
        <v/>
      </c>
      <c r="K298" s="30">
        <f>'12 - Device_Configuration'!BG299</f>
        <v>0</v>
      </c>
      <c r="L298" s="17">
        <f>'12 - Device_Configuration'!P299</f>
        <v>0</v>
      </c>
      <c r="M298" s="17">
        <f>'12 - Device_Configuration'!Q299</f>
        <v>0</v>
      </c>
      <c r="N298" s="17" t="str">
        <f>'12 - Device_Configuration'!BK299</f>
        <v/>
      </c>
      <c r="O298" s="30" t="str">
        <f>'12 - Device_Configuration'!BL299</f>
        <v/>
      </c>
      <c r="P298" s="2">
        <f>'12 - Device_Configuration'!BA299</f>
        <v>0</v>
      </c>
      <c r="Q298" s="30" t="str">
        <f t="shared" si="16"/>
        <v/>
      </c>
      <c r="R298" s="17" t="str">
        <f t="shared" si="17"/>
        <v>SW NOT INSTALLED</v>
      </c>
      <c r="S298" s="17" t="str">
        <f t="shared" si="18"/>
        <v/>
      </c>
      <c r="T298" s="17" t="str">
        <f t="shared" si="19"/>
        <v>SW NOT INSTALLED</v>
      </c>
    </row>
    <row r="299" spans="1:20">
      <c r="A299" s="30">
        <f>'12 - Device_Configuration'!H300</f>
        <v>0</v>
      </c>
      <c r="B299" s="30">
        <f>'12 - Device_Configuration'!S300</f>
        <v>0</v>
      </c>
      <c r="C299" s="30">
        <f>'12 - Device_Configuration'!T300</f>
        <v>0</v>
      </c>
      <c r="D299" s="17">
        <f>'12 - Device_Configuration'!AJ300</f>
        <v>0</v>
      </c>
      <c r="E299" s="17">
        <f>'12 - Device_Configuration'!J300</f>
        <v>0</v>
      </c>
      <c r="F299" s="30">
        <f>'12 - Device_Configuration'!K300</f>
        <v>0</v>
      </c>
      <c r="G299" s="17">
        <f>'12 - Device_Configuration'!L300</f>
        <v>0</v>
      </c>
      <c r="H299" s="17">
        <f>'13 - Config_Intake_View'!M299</f>
        <v>0</v>
      </c>
      <c r="I299" s="30">
        <f>IF('13 - Config_Intake_View'!Q299&lt;&gt;"",'13 - Config_Intake_View'!Q299,'12 - Device_Configuration'!BH300)</f>
        <v>0</v>
      </c>
      <c r="J299" s="17" t="str">
        <f>IF('13 - Config_Intake_View'!Q299&lt;&gt;"","PM Approved",IF('12 - Device_Configuration'!BH300&lt;&gt;"","Assumed",""))</f>
        <v/>
      </c>
      <c r="K299" s="30">
        <f>'12 - Device_Configuration'!BG300</f>
        <v>0</v>
      </c>
      <c r="L299" s="17">
        <f>'12 - Device_Configuration'!P300</f>
        <v>0</v>
      </c>
      <c r="M299" s="17">
        <f>'12 - Device_Configuration'!Q300</f>
        <v>0</v>
      </c>
      <c r="N299" s="17" t="str">
        <f>'12 - Device_Configuration'!BK300</f>
        <v/>
      </c>
      <c r="O299" s="30" t="str">
        <f>'12 - Device_Configuration'!BL300</f>
        <v/>
      </c>
      <c r="P299" s="2">
        <f>'12 - Device_Configuration'!BA300</f>
        <v>0</v>
      </c>
      <c r="Q299" s="30" t="str">
        <f t="shared" si="16"/>
        <v/>
      </c>
      <c r="R299" s="17" t="str">
        <f t="shared" si="17"/>
        <v>SW NOT INSTALLED</v>
      </c>
      <c r="S299" s="17" t="str">
        <f t="shared" si="18"/>
        <v/>
      </c>
      <c r="T299" s="17" t="str">
        <f t="shared" si="19"/>
        <v>SW NOT INSTALLED</v>
      </c>
    </row>
    <row r="300" spans="1:20">
      <c r="A300" s="30">
        <f>'12 - Device_Configuration'!H301</f>
        <v>0</v>
      </c>
      <c r="B300" s="30">
        <f>'12 - Device_Configuration'!S301</f>
        <v>0</v>
      </c>
      <c r="C300" s="30">
        <f>'12 - Device_Configuration'!T301</f>
        <v>0</v>
      </c>
      <c r="D300" s="17">
        <f>'12 - Device_Configuration'!AJ301</f>
        <v>0</v>
      </c>
      <c r="E300" s="17">
        <f>'12 - Device_Configuration'!J301</f>
        <v>0</v>
      </c>
      <c r="F300" s="30">
        <f>'12 - Device_Configuration'!K301</f>
        <v>0</v>
      </c>
      <c r="G300" s="17">
        <f>'12 - Device_Configuration'!L301</f>
        <v>0</v>
      </c>
      <c r="H300" s="17">
        <f>'13 - Config_Intake_View'!M300</f>
        <v>0</v>
      </c>
      <c r="I300" s="30">
        <f>IF('13 - Config_Intake_View'!Q300&lt;&gt;"",'13 - Config_Intake_View'!Q300,'12 - Device_Configuration'!BH301)</f>
        <v>0</v>
      </c>
      <c r="J300" s="17" t="str">
        <f>IF('13 - Config_Intake_View'!Q300&lt;&gt;"","PM Approved",IF('12 - Device_Configuration'!BH301&lt;&gt;"","Assumed",""))</f>
        <v/>
      </c>
      <c r="K300" s="30">
        <f>'12 - Device_Configuration'!BG301</f>
        <v>0</v>
      </c>
      <c r="L300" s="17">
        <f>'12 - Device_Configuration'!P301</f>
        <v>0</v>
      </c>
      <c r="M300" s="17">
        <f>'12 - Device_Configuration'!Q301</f>
        <v>0</v>
      </c>
      <c r="N300" s="17" t="str">
        <f>'12 - Device_Configuration'!BK301</f>
        <v/>
      </c>
      <c r="O300" s="30" t="str">
        <f>'12 - Device_Configuration'!BL301</f>
        <v/>
      </c>
      <c r="P300" s="2">
        <f>'12 - Device_Configuration'!BA301</f>
        <v>0</v>
      </c>
      <c r="Q300" s="30" t="str">
        <f t="shared" si="16"/>
        <v/>
      </c>
      <c r="R300" s="17" t="str">
        <f t="shared" si="17"/>
        <v>SW NOT INSTALLED</v>
      </c>
      <c r="S300" s="17" t="str">
        <f t="shared" si="18"/>
        <v/>
      </c>
      <c r="T300" s="17" t="str">
        <f t="shared" si="19"/>
        <v>SW NOT INSTALLED</v>
      </c>
    </row>
    <row r="301" spans="1:20">
      <c r="A301" s="30">
        <f>'12 - Device_Configuration'!H302</f>
        <v>0</v>
      </c>
      <c r="B301" s="30">
        <f>'12 - Device_Configuration'!S302</f>
        <v>0</v>
      </c>
      <c r="C301" s="30">
        <f>'12 - Device_Configuration'!T302</f>
        <v>0</v>
      </c>
      <c r="D301" s="17">
        <f>'12 - Device_Configuration'!AJ302</f>
        <v>0</v>
      </c>
      <c r="E301" s="17">
        <f>'12 - Device_Configuration'!J302</f>
        <v>0</v>
      </c>
      <c r="F301" s="30">
        <f>'12 - Device_Configuration'!K302</f>
        <v>0</v>
      </c>
      <c r="G301" s="17">
        <f>'12 - Device_Configuration'!L302</f>
        <v>0</v>
      </c>
      <c r="H301" s="17">
        <f>'13 - Config_Intake_View'!M301</f>
        <v>0</v>
      </c>
      <c r="I301" s="30">
        <f>IF('13 - Config_Intake_View'!Q301&lt;&gt;"",'13 - Config_Intake_View'!Q301,'12 - Device_Configuration'!BH302)</f>
        <v>0</v>
      </c>
      <c r="J301" s="17" t="str">
        <f>IF('13 - Config_Intake_View'!Q301&lt;&gt;"","PM Approved",IF('12 - Device_Configuration'!BH302&lt;&gt;"","Assumed",""))</f>
        <v/>
      </c>
      <c r="K301" s="30">
        <f>'12 - Device_Configuration'!BG302</f>
        <v>0</v>
      </c>
      <c r="L301" s="17">
        <f>'12 - Device_Configuration'!P302</f>
        <v>0</v>
      </c>
      <c r="M301" s="17">
        <f>'12 - Device_Configuration'!Q302</f>
        <v>0</v>
      </c>
      <c r="N301" s="17" t="str">
        <f>'12 - Device_Configuration'!BK302</f>
        <v/>
      </c>
      <c r="O301" s="30" t="str">
        <f>'12 - Device_Configuration'!BL302</f>
        <v/>
      </c>
      <c r="P301" s="2">
        <f>'12 - Device_Configuration'!BA302</f>
        <v>0</v>
      </c>
      <c r="Q301" s="30" t="str">
        <f t="shared" si="16"/>
        <v/>
      </c>
      <c r="R301" s="17" t="str">
        <f t="shared" si="17"/>
        <v>SW NOT INSTALLED</v>
      </c>
      <c r="S301" s="17" t="str">
        <f t="shared" si="18"/>
        <v/>
      </c>
      <c r="T301" s="17" t="str">
        <f t="shared" si="19"/>
        <v>SW NOT INSTALLED</v>
      </c>
    </row>
    <row r="302" spans="1:20">
      <c r="A302" s="30">
        <f>'12 - Device_Configuration'!H303</f>
        <v>0</v>
      </c>
      <c r="B302" s="30">
        <f>'12 - Device_Configuration'!S303</f>
        <v>0</v>
      </c>
      <c r="C302" s="30">
        <f>'12 - Device_Configuration'!T303</f>
        <v>0</v>
      </c>
      <c r="D302" s="17">
        <f>'12 - Device_Configuration'!AJ303</f>
        <v>0</v>
      </c>
      <c r="E302" s="17">
        <f>'12 - Device_Configuration'!J303</f>
        <v>0</v>
      </c>
      <c r="F302" s="30">
        <f>'12 - Device_Configuration'!K303</f>
        <v>0</v>
      </c>
      <c r="G302" s="17">
        <f>'12 - Device_Configuration'!L303</f>
        <v>0</v>
      </c>
      <c r="H302" s="17">
        <f>'13 - Config_Intake_View'!M302</f>
        <v>0</v>
      </c>
      <c r="I302" s="30">
        <f>IF('13 - Config_Intake_View'!Q302&lt;&gt;"",'13 - Config_Intake_View'!Q302,'12 - Device_Configuration'!BH303)</f>
        <v>0</v>
      </c>
      <c r="J302" s="17" t="str">
        <f>IF('13 - Config_Intake_View'!Q302&lt;&gt;"","PM Approved",IF('12 - Device_Configuration'!BH303&lt;&gt;"","Assumed",""))</f>
        <v/>
      </c>
      <c r="K302" s="30">
        <f>'12 - Device_Configuration'!BG303</f>
        <v>0</v>
      </c>
      <c r="L302" s="17">
        <f>'12 - Device_Configuration'!P303</f>
        <v>0</v>
      </c>
      <c r="M302" s="17">
        <f>'12 - Device_Configuration'!Q303</f>
        <v>0</v>
      </c>
      <c r="N302" s="17" t="str">
        <f>'12 - Device_Configuration'!BK303</f>
        <v/>
      </c>
      <c r="O302" s="30" t="str">
        <f>'12 - Device_Configuration'!BL303</f>
        <v/>
      </c>
      <c r="P302" s="2">
        <f>'12 - Device_Configuration'!BA303</f>
        <v>0</v>
      </c>
      <c r="Q302" s="30" t="str">
        <f t="shared" si="16"/>
        <v/>
      </c>
      <c r="R302" s="17" t="str">
        <f t="shared" si="17"/>
        <v>SW NOT INSTALLED</v>
      </c>
      <c r="S302" s="17" t="str">
        <f t="shared" si="18"/>
        <v/>
      </c>
      <c r="T302" s="17" t="str">
        <f t="shared" si="19"/>
        <v>SW NOT INSTALLED</v>
      </c>
    </row>
    <row r="303" spans="1:20">
      <c r="A303" s="30">
        <f>'12 - Device_Configuration'!H304</f>
        <v>0</v>
      </c>
      <c r="B303" s="30">
        <f>'12 - Device_Configuration'!S304</f>
        <v>0</v>
      </c>
      <c r="C303" s="30">
        <f>'12 - Device_Configuration'!T304</f>
        <v>0</v>
      </c>
      <c r="D303" s="17">
        <f>'12 - Device_Configuration'!AJ304</f>
        <v>0</v>
      </c>
      <c r="E303" s="17">
        <f>'12 - Device_Configuration'!J304</f>
        <v>0</v>
      </c>
      <c r="F303" s="30">
        <f>'12 - Device_Configuration'!K304</f>
        <v>0</v>
      </c>
      <c r="G303" s="17">
        <f>'12 - Device_Configuration'!L304</f>
        <v>0</v>
      </c>
      <c r="H303" s="17">
        <f>'13 - Config_Intake_View'!M303</f>
        <v>0</v>
      </c>
      <c r="I303" s="30">
        <f>IF('13 - Config_Intake_View'!Q303&lt;&gt;"",'13 - Config_Intake_View'!Q303,'12 - Device_Configuration'!BH304)</f>
        <v>0</v>
      </c>
      <c r="J303" s="17" t="str">
        <f>IF('13 - Config_Intake_View'!Q303&lt;&gt;"","PM Approved",IF('12 - Device_Configuration'!BH304&lt;&gt;"","Assumed",""))</f>
        <v/>
      </c>
      <c r="K303" s="30">
        <f>'12 - Device_Configuration'!BG304</f>
        <v>0</v>
      </c>
      <c r="L303" s="17">
        <f>'12 - Device_Configuration'!P304</f>
        <v>0</v>
      </c>
      <c r="M303" s="17">
        <f>'12 - Device_Configuration'!Q304</f>
        <v>0</v>
      </c>
      <c r="N303" s="17" t="str">
        <f>'12 - Device_Configuration'!BK304</f>
        <v/>
      </c>
      <c r="O303" s="30" t="str">
        <f>'12 - Device_Configuration'!BL304</f>
        <v/>
      </c>
      <c r="P303" s="2">
        <f>'12 - Device_Configuration'!BA304</f>
        <v>0</v>
      </c>
      <c r="Q303" s="30" t="str">
        <f t="shared" si="16"/>
        <v/>
      </c>
      <c r="R303" s="17" t="str">
        <f t="shared" si="17"/>
        <v>SW NOT INSTALLED</v>
      </c>
      <c r="S303" s="17" t="str">
        <f t="shared" si="18"/>
        <v/>
      </c>
      <c r="T303" s="17" t="str">
        <f t="shared" si="19"/>
        <v>SW NOT INSTALLED</v>
      </c>
    </row>
    <row r="304" spans="1:20">
      <c r="A304" s="30">
        <f>'12 - Device_Configuration'!H305</f>
        <v>0</v>
      </c>
      <c r="B304" s="30">
        <f>'12 - Device_Configuration'!S305</f>
        <v>0</v>
      </c>
      <c r="C304" s="30">
        <f>'12 - Device_Configuration'!T305</f>
        <v>0</v>
      </c>
      <c r="D304" s="17">
        <f>'12 - Device_Configuration'!AJ305</f>
        <v>0</v>
      </c>
      <c r="E304" s="17">
        <f>'12 - Device_Configuration'!J305</f>
        <v>0</v>
      </c>
      <c r="F304" s="30">
        <f>'12 - Device_Configuration'!K305</f>
        <v>0</v>
      </c>
      <c r="G304" s="17">
        <f>'12 - Device_Configuration'!L305</f>
        <v>0</v>
      </c>
      <c r="H304" s="17">
        <f>'13 - Config_Intake_View'!M304</f>
        <v>0</v>
      </c>
      <c r="I304" s="30">
        <f>IF('13 - Config_Intake_View'!Q304&lt;&gt;"",'13 - Config_Intake_View'!Q304,'12 - Device_Configuration'!BH305)</f>
        <v>0</v>
      </c>
      <c r="J304" s="17" t="str">
        <f>IF('13 - Config_Intake_View'!Q304&lt;&gt;"","PM Approved",IF('12 - Device_Configuration'!BH305&lt;&gt;"","Assumed",""))</f>
        <v/>
      </c>
      <c r="K304" s="30">
        <f>'12 - Device_Configuration'!BG305</f>
        <v>0</v>
      </c>
      <c r="L304" s="17">
        <f>'12 - Device_Configuration'!P305</f>
        <v>0</v>
      </c>
      <c r="M304" s="17">
        <f>'12 - Device_Configuration'!Q305</f>
        <v>0</v>
      </c>
      <c r="N304" s="17" t="str">
        <f>'12 - Device_Configuration'!BK305</f>
        <v/>
      </c>
      <c r="O304" s="30" t="str">
        <f>'12 - Device_Configuration'!BL305</f>
        <v/>
      </c>
      <c r="P304" s="2">
        <f>'12 - Device_Configuration'!BA305</f>
        <v>0</v>
      </c>
      <c r="Q304" s="30" t="str">
        <f t="shared" si="16"/>
        <v/>
      </c>
      <c r="R304" s="17" t="str">
        <f t="shared" si="17"/>
        <v>SW NOT INSTALLED</v>
      </c>
      <c r="S304" s="17" t="str">
        <f t="shared" si="18"/>
        <v/>
      </c>
      <c r="T304" s="17" t="str">
        <f t="shared" si="19"/>
        <v>SW NOT INSTALLED</v>
      </c>
    </row>
    <row r="305" spans="1:20">
      <c r="A305" s="30">
        <f>'12 - Device_Configuration'!H306</f>
        <v>0</v>
      </c>
      <c r="B305" s="30">
        <f>'12 - Device_Configuration'!S306</f>
        <v>0</v>
      </c>
      <c r="C305" s="30">
        <f>'12 - Device_Configuration'!T306</f>
        <v>0</v>
      </c>
      <c r="D305" s="17">
        <f>'12 - Device_Configuration'!AJ306</f>
        <v>0</v>
      </c>
      <c r="E305" s="17">
        <f>'12 - Device_Configuration'!J306</f>
        <v>0</v>
      </c>
      <c r="F305" s="30">
        <f>'12 - Device_Configuration'!K306</f>
        <v>0</v>
      </c>
      <c r="G305" s="17">
        <f>'12 - Device_Configuration'!L306</f>
        <v>0</v>
      </c>
      <c r="H305" s="17">
        <f>'13 - Config_Intake_View'!M305</f>
        <v>0</v>
      </c>
      <c r="I305" s="30">
        <f>IF('13 - Config_Intake_View'!Q305&lt;&gt;"",'13 - Config_Intake_View'!Q305,'12 - Device_Configuration'!BH306)</f>
        <v>0</v>
      </c>
      <c r="J305" s="17" t="str">
        <f>IF('13 - Config_Intake_View'!Q305&lt;&gt;"","PM Approved",IF('12 - Device_Configuration'!BH306&lt;&gt;"","Assumed",""))</f>
        <v/>
      </c>
      <c r="K305" s="30">
        <f>'12 - Device_Configuration'!BG306</f>
        <v>0</v>
      </c>
      <c r="L305" s="17">
        <f>'12 - Device_Configuration'!P306</f>
        <v>0</v>
      </c>
      <c r="M305" s="17">
        <f>'12 - Device_Configuration'!Q306</f>
        <v>0</v>
      </c>
      <c r="N305" s="17" t="str">
        <f>'12 - Device_Configuration'!BK306</f>
        <v/>
      </c>
      <c r="O305" s="30" t="str">
        <f>'12 - Device_Configuration'!BL306</f>
        <v/>
      </c>
      <c r="P305" s="2">
        <f>'12 - Device_Configuration'!BA306</f>
        <v>0</v>
      </c>
      <c r="Q305" s="30" t="str">
        <f t="shared" si="16"/>
        <v/>
      </c>
      <c r="R305" s="17" t="str">
        <f t="shared" si="17"/>
        <v>SW NOT INSTALLED</v>
      </c>
      <c r="S305" s="17" t="str">
        <f t="shared" si="18"/>
        <v/>
      </c>
      <c r="T305" s="17" t="str">
        <f t="shared" si="19"/>
        <v>SW NOT INSTALLED</v>
      </c>
    </row>
    <row r="306" spans="1:20">
      <c r="A306" s="30">
        <f>'12 - Device_Configuration'!H307</f>
        <v>0</v>
      </c>
      <c r="B306" s="30">
        <f>'12 - Device_Configuration'!S307</f>
        <v>0</v>
      </c>
      <c r="C306" s="30">
        <f>'12 - Device_Configuration'!T307</f>
        <v>0</v>
      </c>
      <c r="D306" s="17">
        <f>'12 - Device_Configuration'!AJ307</f>
        <v>0</v>
      </c>
      <c r="E306" s="17">
        <f>'12 - Device_Configuration'!J307</f>
        <v>0</v>
      </c>
      <c r="F306" s="30">
        <f>'12 - Device_Configuration'!K307</f>
        <v>0</v>
      </c>
      <c r="G306" s="17">
        <f>'12 - Device_Configuration'!L307</f>
        <v>0</v>
      </c>
      <c r="H306" s="17">
        <f>'13 - Config_Intake_View'!M306</f>
        <v>0</v>
      </c>
      <c r="I306" s="30">
        <f>IF('13 - Config_Intake_View'!Q306&lt;&gt;"",'13 - Config_Intake_View'!Q306,'12 - Device_Configuration'!BH307)</f>
        <v>0</v>
      </c>
      <c r="J306" s="17" t="str">
        <f>IF('13 - Config_Intake_View'!Q306&lt;&gt;"","PM Approved",IF('12 - Device_Configuration'!BH307&lt;&gt;"","Assumed",""))</f>
        <v/>
      </c>
      <c r="K306" s="30">
        <f>'12 - Device_Configuration'!BG307</f>
        <v>0</v>
      </c>
      <c r="L306" s="17">
        <f>'12 - Device_Configuration'!P307</f>
        <v>0</v>
      </c>
      <c r="M306" s="17">
        <f>'12 - Device_Configuration'!Q307</f>
        <v>0</v>
      </c>
      <c r="N306" s="17" t="str">
        <f>'12 - Device_Configuration'!BK307</f>
        <v/>
      </c>
      <c r="O306" s="30" t="str">
        <f>'12 - Device_Configuration'!BL307</f>
        <v/>
      </c>
      <c r="P306" s="2">
        <f>'12 - Device_Configuration'!BA307</f>
        <v>0</v>
      </c>
      <c r="Q306" s="30" t="str">
        <f t="shared" si="16"/>
        <v/>
      </c>
      <c r="R306" s="17" t="str">
        <f t="shared" si="17"/>
        <v>SW NOT INSTALLED</v>
      </c>
      <c r="S306" s="17" t="str">
        <f t="shared" si="18"/>
        <v/>
      </c>
      <c r="T306" s="17" t="str">
        <f t="shared" si="19"/>
        <v>SW NOT INSTALLED</v>
      </c>
    </row>
    <row r="307" spans="1:20">
      <c r="A307" s="30">
        <f>'12 - Device_Configuration'!H308</f>
        <v>0</v>
      </c>
      <c r="B307" s="30">
        <f>'12 - Device_Configuration'!S308</f>
        <v>0</v>
      </c>
      <c r="C307" s="30">
        <f>'12 - Device_Configuration'!T308</f>
        <v>0</v>
      </c>
      <c r="D307" s="17">
        <f>'12 - Device_Configuration'!AJ308</f>
        <v>0</v>
      </c>
      <c r="E307" s="17">
        <f>'12 - Device_Configuration'!J308</f>
        <v>0</v>
      </c>
      <c r="F307" s="30">
        <f>'12 - Device_Configuration'!K308</f>
        <v>0</v>
      </c>
      <c r="G307" s="17">
        <f>'12 - Device_Configuration'!L308</f>
        <v>0</v>
      </c>
      <c r="H307" s="17">
        <f>'13 - Config_Intake_View'!M307</f>
        <v>0</v>
      </c>
      <c r="I307" s="30">
        <f>IF('13 - Config_Intake_View'!Q307&lt;&gt;"",'13 - Config_Intake_View'!Q307,'12 - Device_Configuration'!BH308)</f>
        <v>0</v>
      </c>
      <c r="J307" s="17" t="str">
        <f>IF('13 - Config_Intake_View'!Q307&lt;&gt;"","PM Approved",IF('12 - Device_Configuration'!BH308&lt;&gt;"","Assumed",""))</f>
        <v/>
      </c>
      <c r="K307" s="30">
        <f>'12 - Device_Configuration'!BG308</f>
        <v>0</v>
      </c>
      <c r="L307" s="17">
        <f>'12 - Device_Configuration'!P308</f>
        <v>0</v>
      </c>
      <c r="M307" s="17">
        <f>'12 - Device_Configuration'!Q308</f>
        <v>0</v>
      </c>
      <c r="N307" s="17" t="str">
        <f>'12 - Device_Configuration'!BK308</f>
        <v/>
      </c>
      <c r="O307" s="30" t="str">
        <f>'12 - Device_Configuration'!BL308</f>
        <v/>
      </c>
      <c r="P307" s="2">
        <f>'12 - Device_Configuration'!BA308</f>
        <v>0</v>
      </c>
      <c r="Q307" s="30" t="str">
        <f t="shared" si="16"/>
        <v/>
      </c>
      <c r="R307" s="17" t="str">
        <f t="shared" si="17"/>
        <v>SW NOT INSTALLED</v>
      </c>
      <c r="S307" s="17" t="str">
        <f t="shared" si="18"/>
        <v/>
      </c>
      <c r="T307" s="17" t="str">
        <f t="shared" si="19"/>
        <v>SW NOT INSTALLED</v>
      </c>
    </row>
    <row r="308" spans="1:20">
      <c r="A308" s="30">
        <f>'12 - Device_Configuration'!H309</f>
        <v>0</v>
      </c>
      <c r="B308" s="30">
        <f>'12 - Device_Configuration'!S309</f>
        <v>0</v>
      </c>
      <c r="C308" s="30">
        <f>'12 - Device_Configuration'!T309</f>
        <v>0</v>
      </c>
      <c r="D308" s="17">
        <f>'12 - Device_Configuration'!AJ309</f>
        <v>0</v>
      </c>
      <c r="E308" s="17">
        <f>'12 - Device_Configuration'!J309</f>
        <v>0</v>
      </c>
      <c r="F308" s="30">
        <f>'12 - Device_Configuration'!K309</f>
        <v>0</v>
      </c>
      <c r="G308" s="17">
        <f>'12 - Device_Configuration'!L309</f>
        <v>0</v>
      </c>
      <c r="H308" s="17">
        <f>'13 - Config_Intake_View'!M308</f>
        <v>0</v>
      </c>
      <c r="I308" s="30">
        <f>IF('13 - Config_Intake_View'!Q308&lt;&gt;"",'13 - Config_Intake_View'!Q308,'12 - Device_Configuration'!BH309)</f>
        <v>0</v>
      </c>
      <c r="J308" s="17" t="str">
        <f>IF('13 - Config_Intake_View'!Q308&lt;&gt;"","PM Approved",IF('12 - Device_Configuration'!BH309&lt;&gt;"","Assumed",""))</f>
        <v/>
      </c>
      <c r="K308" s="30">
        <f>'12 - Device_Configuration'!BG309</f>
        <v>0</v>
      </c>
      <c r="L308" s="17">
        <f>'12 - Device_Configuration'!P309</f>
        <v>0</v>
      </c>
      <c r="M308" s="17">
        <f>'12 - Device_Configuration'!Q309</f>
        <v>0</v>
      </c>
      <c r="N308" s="17" t="str">
        <f>'12 - Device_Configuration'!BK309</f>
        <v/>
      </c>
      <c r="O308" s="30" t="str">
        <f>'12 - Device_Configuration'!BL309</f>
        <v/>
      </c>
      <c r="P308" s="2">
        <f>'12 - Device_Configuration'!BA309</f>
        <v>0</v>
      </c>
      <c r="Q308" s="30" t="str">
        <f t="shared" si="16"/>
        <v/>
      </c>
      <c r="R308" s="17" t="str">
        <f t="shared" si="17"/>
        <v>SW NOT INSTALLED</v>
      </c>
      <c r="S308" s="17" t="str">
        <f t="shared" si="18"/>
        <v/>
      </c>
      <c r="T308" s="17" t="str">
        <f t="shared" si="19"/>
        <v>SW NOT INSTALLED</v>
      </c>
    </row>
    <row r="309" spans="1:20">
      <c r="A309" s="30">
        <f>'12 - Device_Configuration'!H310</f>
        <v>0</v>
      </c>
      <c r="B309" s="30">
        <f>'12 - Device_Configuration'!S310</f>
        <v>0</v>
      </c>
      <c r="C309" s="30">
        <f>'12 - Device_Configuration'!T310</f>
        <v>0</v>
      </c>
      <c r="D309" s="17">
        <f>'12 - Device_Configuration'!AJ310</f>
        <v>0</v>
      </c>
      <c r="E309" s="17">
        <f>'12 - Device_Configuration'!J310</f>
        <v>0</v>
      </c>
      <c r="F309" s="30">
        <f>'12 - Device_Configuration'!K310</f>
        <v>0</v>
      </c>
      <c r="G309" s="17">
        <f>'12 - Device_Configuration'!L310</f>
        <v>0</v>
      </c>
      <c r="H309" s="17">
        <f>'13 - Config_Intake_View'!M309</f>
        <v>0</v>
      </c>
      <c r="I309" s="30">
        <f>IF('13 - Config_Intake_View'!Q309&lt;&gt;"",'13 - Config_Intake_View'!Q309,'12 - Device_Configuration'!BH310)</f>
        <v>0</v>
      </c>
      <c r="J309" s="17" t="str">
        <f>IF('13 - Config_Intake_View'!Q309&lt;&gt;"","PM Approved",IF('12 - Device_Configuration'!BH310&lt;&gt;"","Assumed",""))</f>
        <v/>
      </c>
      <c r="K309" s="30">
        <f>'12 - Device_Configuration'!BG310</f>
        <v>0</v>
      </c>
      <c r="L309" s="17">
        <f>'12 - Device_Configuration'!P310</f>
        <v>0</v>
      </c>
      <c r="M309" s="17">
        <f>'12 - Device_Configuration'!Q310</f>
        <v>0</v>
      </c>
      <c r="N309" s="17" t="str">
        <f>'12 - Device_Configuration'!BK310</f>
        <v/>
      </c>
      <c r="O309" s="30" t="str">
        <f>'12 - Device_Configuration'!BL310</f>
        <v/>
      </c>
      <c r="P309" s="2">
        <f>'12 - Device_Configuration'!BA310</f>
        <v>0</v>
      </c>
      <c r="Q309" s="30" t="str">
        <f t="shared" si="16"/>
        <v/>
      </c>
      <c r="R309" s="17" t="str">
        <f t="shared" si="17"/>
        <v>SW NOT INSTALLED</v>
      </c>
      <c r="S309" s="17" t="str">
        <f t="shared" si="18"/>
        <v/>
      </c>
      <c r="T309" s="17" t="str">
        <f t="shared" si="19"/>
        <v>SW NOT INSTALLED</v>
      </c>
    </row>
    <row r="310" spans="1:20">
      <c r="A310" s="30">
        <f>'12 - Device_Configuration'!H311</f>
        <v>0</v>
      </c>
      <c r="B310" s="30">
        <f>'12 - Device_Configuration'!S311</f>
        <v>0</v>
      </c>
      <c r="C310" s="30">
        <f>'12 - Device_Configuration'!T311</f>
        <v>0</v>
      </c>
      <c r="D310" s="17">
        <f>'12 - Device_Configuration'!AJ311</f>
        <v>0</v>
      </c>
      <c r="E310" s="17">
        <f>'12 - Device_Configuration'!J311</f>
        <v>0</v>
      </c>
      <c r="F310" s="30">
        <f>'12 - Device_Configuration'!K311</f>
        <v>0</v>
      </c>
      <c r="G310" s="17">
        <f>'12 - Device_Configuration'!L311</f>
        <v>0</v>
      </c>
      <c r="H310" s="17">
        <f>'13 - Config_Intake_View'!M310</f>
        <v>0</v>
      </c>
      <c r="I310" s="30">
        <f>IF('13 - Config_Intake_View'!Q310&lt;&gt;"",'13 - Config_Intake_View'!Q310,'12 - Device_Configuration'!BH311)</f>
        <v>0</v>
      </c>
      <c r="J310" s="17" t="str">
        <f>IF('13 - Config_Intake_View'!Q310&lt;&gt;"","PM Approved",IF('12 - Device_Configuration'!BH311&lt;&gt;"","Assumed",""))</f>
        <v/>
      </c>
      <c r="K310" s="30">
        <f>'12 - Device_Configuration'!BG311</f>
        <v>0</v>
      </c>
      <c r="L310" s="17">
        <f>'12 - Device_Configuration'!P311</f>
        <v>0</v>
      </c>
      <c r="M310" s="17">
        <f>'12 - Device_Configuration'!Q311</f>
        <v>0</v>
      </c>
      <c r="N310" s="17" t="str">
        <f>'12 - Device_Configuration'!BK311</f>
        <v/>
      </c>
      <c r="O310" s="30" t="str">
        <f>'12 - Device_Configuration'!BL311</f>
        <v/>
      </c>
      <c r="P310" s="2">
        <f>'12 - Device_Configuration'!BA311</f>
        <v>0</v>
      </c>
      <c r="Q310" s="30" t="str">
        <f t="shared" si="16"/>
        <v/>
      </c>
      <c r="R310" s="17" t="str">
        <f t="shared" si="17"/>
        <v>SW NOT INSTALLED</v>
      </c>
      <c r="S310" s="17" t="str">
        <f t="shared" si="18"/>
        <v/>
      </c>
      <c r="T310" s="17" t="str">
        <f t="shared" si="19"/>
        <v>SW NOT INSTALLED</v>
      </c>
    </row>
    <row r="311" spans="1:20">
      <c r="A311" s="30">
        <f>'12 - Device_Configuration'!H312</f>
        <v>0</v>
      </c>
      <c r="B311" s="30">
        <f>'12 - Device_Configuration'!S312</f>
        <v>0</v>
      </c>
      <c r="C311" s="30">
        <f>'12 - Device_Configuration'!T312</f>
        <v>0</v>
      </c>
      <c r="D311" s="17">
        <f>'12 - Device_Configuration'!AJ312</f>
        <v>0</v>
      </c>
      <c r="E311" s="17">
        <f>'12 - Device_Configuration'!J312</f>
        <v>0</v>
      </c>
      <c r="F311" s="30">
        <f>'12 - Device_Configuration'!K312</f>
        <v>0</v>
      </c>
      <c r="G311" s="17">
        <f>'12 - Device_Configuration'!L312</f>
        <v>0</v>
      </c>
      <c r="H311" s="17">
        <f>'13 - Config_Intake_View'!M311</f>
        <v>0</v>
      </c>
      <c r="I311" s="30">
        <f>IF('13 - Config_Intake_View'!Q311&lt;&gt;"",'13 - Config_Intake_View'!Q311,'12 - Device_Configuration'!BH312)</f>
        <v>0</v>
      </c>
      <c r="J311" s="17" t="str">
        <f>IF('13 - Config_Intake_View'!Q311&lt;&gt;"","PM Approved",IF('12 - Device_Configuration'!BH312&lt;&gt;"","Assumed",""))</f>
        <v/>
      </c>
      <c r="K311" s="30">
        <f>'12 - Device_Configuration'!BG312</f>
        <v>0</v>
      </c>
      <c r="L311" s="17">
        <f>'12 - Device_Configuration'!P312</f>
        <v>0</v>
      </c>
      <c r="M311" s="17">
        <f>'12 - Device_Configuration'!Q312</f>
        <v>0</v>
      </c>
      <c r="N311" s="17" t="str">
        <f>'12 - Device_Configuration'!BK312</f>
        <v/>
      </c>
      <c r="O311" s="30" t="str">
        <f>'12 - Device_Configuration'!BL312</f>
        <v/>
      </c>
      <c r="P311" s="2">
        <f>'12 - Device_Configuration'!BA312</f>
        <v>0</v>
      </c>
      <c r="Q311" s="30" t="str">
        <f t="shared" si="16"/>
        <v/>
      </c>
      <c r="R311" s="17" t="str">
        <f t="shared" si="17"/>
        <v>SW NOT INSTALLED</v>
      </c>
      <c r="S311" s="17" t="str">
        <f t="shared" si="18"/>
        <v/>
      </c>
      <c r="T311" s="17" t="str">
        <f t="shared" si="19"/>
        <v>SW NOT INSTALLED</v>
      </c>
    </row>
    <row r="312" spans="1:20">
      <c r="A312" s="30">
        <f>'12 - Device_Configuration'!H313</f>
        <v>0</v>
      </c>
      <c r="B312" s="30">
        <f>'12 - Device_Configuration'!S313</f>
        <v>0</v>
      </c>
      <c r="C312" s="30">
        <f>'12 - Device_Configuration'!T313</f>
        <v>0</v>
      </c>
      <c r="D312" s="17">
        <f>'12 - Device_Configuration'!AJ313</f>
        <v>0</v>
      </c>
      <c r="E312" s="17">
        <f>'12 - Device_Configuration'!J313</f>
        <v>0</v>
      </c>
      <c r="F312" s="30">
        <f>'12 - Device_Configuration'!K313</f>
        <v>0</v>
      </c>
      <c r="G312" s="17">
        <f>'12 - Device_Configuration'!L313</f>
        <v>0</v>
      </c>
      <c r="H312" s="17">
        <f>'13 - Config_Intake_View'!M312</f>
        <v>0</v>
      </c>
      <c r="I312" s="30">
        <f>IF('13 - Config_Intake_View'!Q312&lt;&gt;"",'13 - Config_Intake_View'!Q312,'12 - Device_Configuration'!BH313)</f>
        <v>0</v>
      </c>
      <c r="J312" s="17" t="str">
        <f>IF('13 - Config_Intake_View'!Q312&lt;&gt;"","PM Approved",IF('12 - Device_Configuration'!BH313&lt;&gt;"","Assumed",""))</f>
        <v/>
      </c>
      <c r="K312" s="30">
        <f>'12 - Device_Configuration'!BG313</f>
        <v>0</v>
      </c>
      <c r="L312" s="17">
        <f>'12 - Device_Configuration'!P313</f>
        <v>0</v>
      </c>
      <c r="M312" s="17">
        <f>'12 - Device_Configuration'!Q313</f>
        <v>0</v>
      </c>
      <c r="N312" s="17" t="str">
        <f>'12 - Device_Configuration'!BK313</f>
        <v/>
      </c>
      <c r="O312" s="30" t="str">
        <f>'12 - Device_Configuration'!BL313</f>
        <v/>
      </c>
      <c r="P312" s="2">
        <f>'12 - Device_Configuration'!BA313</f>
        <v>0</v>
      </c>
      <c r="Q312" s="30" t="str">
        <f t="shared" si="16"/>
        <v/>
      </c>
      <c r="R312" s="17" t="str">
        <f t="shared" si="17"/>
        <v>SW NOT INSTALLED</v>
      </c>
      <c r="S312" s="17" t="str">
        <f t="shared" si="18"/>
        <v/>
      </c>
      <c r="T312" s="17" t="str">
        <f t="shared" si="19"/>
        <v>SW NOT INSTALLED</v>
      </c>
    </row>
    <row r="313" spans="1:20">
      <c r="A313" s="30">
        <f>'12 - Device_Configuration'!H314</f>
        <v>0</v>
      </c>
      <c r="B313" s="30">
        <f>'12 - Device_Configuration'!S314</f>
        <v>0</v>
      </c>
      <c r="C313" s="30">
        <f>'12 - Device_Configuration'!T314</f>
        <v>0</v>
      </c>
      <c r="D313" s="17">
        <f>'12 - Device_Configuration'!AJ314</f>
        <v>0</v>
      </c>
      <c r="E313" s="17">
        <f>'12 - Device_Configuration'!J314</f>
        <v>0</v>
      </c>
      <c r="F313" s="30">
        <f>'12 - Device_Configuration'!K314</f>
        <v>0</v>
      </c>
      <c r="G313" s="17">
        <f>'12 - Device_Configuration'!L314</f>
        <v>0</v>
      </c>
      <c r="H313" s="17">
        <f>'13 - Config_Intake_View'!M313</f>
        <v>0</v>
      </c>
      <c r="I313" s="30">
        <f>IF('13 - Config_Intake_View'!Q313&lt;&gt;"",'13 - Config_Intake_View'!Q313,'12 - Device_Configuration'!BH314)</f>
        <v>0</v>
      </c>
      <c r="J313" s="17" t="str">
        <f>IF('13 - Config_Intake_View'!Q313&lt;&gt;"","PM Approved",IF('12 - Device_Configuration'!BH314&lt;&gt;"","Assumed",""))</f>
        <v/>
      </c>
      <c r="K313" s="30">
        <f>'12 - Device_Configuration'!BG314</f>
        <v>0</v>
      </c>
      <c r="L313" s="17">
        <f>'12 - Device_Configuration'!P314</f>
        <v>0</v>
      </c>
      <c r="M313" s="17">
        <f>'12 - Device_Configuration'!Q314</f>
        <v>0</v>
      </c>
      <c r="N313" s="17" t="str">
        <f>'12 - Device_Configuration'!BK314</f>
        <v/>
      </c>
      <c r="O313" s="30" t="str">
        <f>'12 - Device_Configuration'!BL314</f>
        <v/>
      </c>
      <c r="P313" s="2">
        <f>'12 - Device_Configuration'!BA314</f>
        <v>0</v>
      </c>
      <c r="Q313" s="30" t="str">
        <f t="shared" si="16"/>
        <v/>
      </c>
      <c r="R313" s="17" t="str">
        <f t="shared" si="17"/>
        <v>SW NOT INSTALLED</v>
      </c>
      <c r="S313" s="17" t="str">
        <f t="shared" si="18"/>
        <v/>
      </c>
      <c r="T313" s="17" t="str">
        <f t="shared" si="19"/>
        <v>SW NOT INSTALLED</v>
      </c>
    </row>
    <row r="314" spans="1:20">
      <c r="A314" s="30">
        <f>'12 - Device_Configuration'!H315</f>
        <v>0</v>
      </c>
      <c r="B314" s="30">
        <f>'12 - Device_Configuration'!S315</f>
        <v>0</v>
      </c>
      <c r="C314" s="30">
        <f>'12 - Device_Configuration'!T315</f>
        <v>0</v>
      </c>
      <c r="D314" s="17">
        <f>'12 - Device_Configuration'!AJ315</f>
        <v>0</v>
      </c>
      <c r="E314" s="17">
        <f>'12 - Device_Configuration'!J315</f>
        <v>0</v>
      </c>
      <c r="F314" s="30">
        <f>'12 - Device_Configuration'!K315</f>
        <v>0</v>
      </c>
      <c r="G314" s="17">
        <f>'12 - Device_Configuration'!L315</f>
        <v>0</v>
      </c>
      <c r="H314" s="17">
        <f>'13 - Config_Intake_View'!M314</f>
        <v>0</v>
      </c>
      <c r="I314" s="30">
        <f>IF('13 - Config_Intake_View'!Q314&lt;&gt;"",'13 - Config_Intake_View'!Q314,'12 - Device_Configuration'!BH315)</f>
        <v>0</v>
      </c>
      <c r="J314" s="17" t="str">
        <f>IF('13 - Config_Intake_View'!Q314&lt;&gt;"","PM Approved",IF('12 - Device_Configuration'!BH315&lt;&gt;"","Assumed",""))</f>
        <v/>
      </c>
      <c r="K314" s="30">
        <f>'12 - Device_Configuration'!BG315</f>
        <v>0</v>
      </c>
      <c r="L314" s="17">
        <f>'12 - Device_Configuration'!P315</f>
        <v>0</v>
      </c>
      <c r="M314" s="17">
        <f>'12 - Device_Configuration'!Q315</f>
        <v>0</v>
      </c>
      <c r="N314" s="17" t="str">
        <f>'12 - Device_Configuration'!BK315</f>
        <v/>
      </c>
      <c r="O314" s="30" t="str">
        <f>'12 - Device_Configuration'!BL315</f>
        <v/>
      </c>
      <c r="P314" s="2">
        <f>'12 - Device_Configuration'!BA315</f>
        <v>0</v>
      </c>
      <c r="Q314" s="30" t="str">
        <f t="shared" si="16"/>
        <v/>
      </c>
      <c r="R314" s="17" t="str">
        <f t="shared" si="17"/>
        <v>SW NOT INSTALLED</v>
      </c>
      <c r="S314" s="17" t="str">
        <f t="shared" si="18"/>
        <v/>
      </c>
      <c r="T314" s="17" t="str">
        <f t="shared" si="19"/>
        <v>SW NOT INSTALLED</v>
      </c>
    </row>
    <row r="315" spans="1:20">
      <c r="A315" s="30">
        <f>'12 - Device_Configuration'!H316</f>
        <v>0</v>
      </c>
      <c r="B315" s="30">
        <f>'12 - Device_Configuration'!S316</f>
        <v>0</v>
      </c>
      <c r="C315" s="30">
        <f>'12 - Device_Configuration'!T316</f>
        <v>0</v>
      </c>
      <c r="D315" s="17">
        <f>'12 - Device_Configuration'!AJ316</f>
        <v>0</v>
      </c>
      <c r="E315" s="17">
        <f>'12 - Device_Configuration'!J316</f>
        <v>0</v>
      </c>
      <c r="F315" s="30">
        <f>'12 - Device_Configuration'!K316</f>
        <v>0</v>
      </c>
      <c r="G315" s="17">
        <f>'12 - Device_Configuration'!L316</f>
        <v>0</v>
      </c>
      <c r="H315" s="17">
        <f>'13 - Config_Intake_View'!M315</f>
        <v>0</v>
      </c>
      <c r="I315" s="30">
        <f>IF('13 - Config_Intake_View'!Q315&lt;&gt;"",'13 - Config_Intake_View'!Q315,'12 - Device_Configuration'!BH316)</f>
        <v>0</v>
      </c>
      <c r="J315" s="17" t="str">
        <f>IF('13 - Config_Intake_View'!Q315&lt;&gt;"","PM Approved",IF('12 - Device_Configuration'!BH316&lt;&gt;"","Assumed",""))</f>
        <v/>
      </c>
      <c r="K315" s="30">
        <f>'12 - Device_Configuration'!BG316</f>
        <v>0</v>
      </c>
      <c r="L315" s="17">
        <f>'12 - Device_Configuration'!P316</f>
        <v>0</v>
      </c>
      <c r="M315" s="17">
        <f>'12 - Device_Configuration'!Q316</f>
        <v>0</v>
      </c>
      <c r="N315" s="17" t="str">
        <f>'12 - Device_Configuration'!BK316</f>
        <v/>
      </c>
      <c r="O315" s="30" t="str">
        <f>'12 - Device_Configuration'!BL316</f>
        <v/>
      </c>
      <c r="P315" s="2">
        <f>'12 - Device_Configuration'!BA316</f>
        <v>0</v>
      </c>
      <c r="Q315" s="30" t="str">
        <f t="shared" si="16"/>
        <v/>
      </c>
      <c r="R315" s="17" t="str">
        <f t="shared" si="17"/>
        <v>SW NOT INSTALLED</v>
      </c>
      <c r="S315" s="17" t="str">
        <f t="shared" si="18"/>
        <v/>
      </c>
      <c r="T315" s="17" t="str">
        <f t="shared" si="19"/>
        <v>SW NOT INSTALLED</v>
      </c>
    </row>
    <row r="316" spans="1:20">
      <c r="A316" s="30">
        <f>'12 - Device_Configuration'!H317</f>
        <v>0</v>
      </c>
      <c r="B316" s="30">
        <f>'12 - Device_Configuration'!S317</f>
        <v>0</v>
      </c>
      <c r="C316" s="30">
        <f>'12 - Device_Configuration'!T317</f>
        <v>0</v>
      </c>
      <c r="D316" s="17">
        <f>'12 - Device_Configuration'!AJ317</f>
        <v>0</v>
      </c>
      <c r="E316" s="17">
        <f>'12 - Device_Configuration'!J317</f>
        <v>0</v>
      </c>
      <c r="F316" s="30">
        <f>'12 - Device_Configuration'!K317</f>
        <v>0</v>
      </c>
      <c r="G316" s="17">
        <f>'12 - Device_Configuration'!L317</f>
        <v>0</v>
      </c>
      <c r="H316" s="17">
        <f>'13 - Config_Intake_View'!M316</f>
        <v>0</v>
      </c>
      <c r="I316" s="30">
        <f>IF('13 - Config_Intake_View'!Q316&lt;&gt;"",'13 - Config_Intake_View'!Q316,'12 - Device_Configuration'!BH317)</f>
        <v>0</v>
      </c>
      <c r="J316" s="17" t="str">
        <f>IF('13 - Config_Intake_View'!Q316&lt;&gt;"","PM Approved",IF('12 - Device_Configuration'!BH317&lt;&gt;"","Assumed",""))</f>
        <v/>
      </c>
      <c r="K316" s="30">
        <f>'12 - Device_Configuration'!BG317</f>
        <v>0</v>
      </c>
      <c r="L316" s="17">
        <f>'12 - Device_Configuration'!P317</f>
        <v>0</v>
      </c>
      <c r="M316" s="17">
        <f>'12 - Device_Configuration'!Q317</f>
        <v>0</v>
      </c>
      <c r="N316" s="17" t="str">
        <f>'12 - Device_Configuration'!BK317</f>
        <v/>
      </c>
      <c r="O316" s="30" t="str">
        <f>'12 - Device_Configuration'!BL317</f>
        <v/>
      </c>
      <c r="P316" s="2">
        <f>'12 - Device_Configuration'!BA317</f>
        <v>0</v>
      </c>
      <c r="Q316" s="30" t="str">
        <f t="shared" si="16"/>
        <v/>
      </c>
      <c r="R316" s="17" t="str">
        <f t="shared" si="17"/>
        <v>SW NOT INSTALLED</v>
      </c>
      <c r="S316" s="17" t="str">
        <f t="shared" si="18"/>
        <v/>
      </c>
      <c r="T316" s="17" t="str">
        <f t="shared" si="19"/>
        <v>SW NOT INSTALLED</v>
      </c>
    </row>
    <row r="317" spans="1:20">
      <c r="A317" s="30">
        <f>'12 - Device_Configuration'!H318</f>
        <v>0</v>
      </c>
      <c r="B317" s="30">
        <f>'12 - Device_Configuration'!S318</f>
        <v>0</v>
      </c>
      <c r="C317" s="30">
        <f>'12 - Device_Configuration'!T318</f>
        <v>0</v>
      </c>
      <c r="D317" s="17">
        <f>'12 - Device_Configuration'!AJ318</f>
        <v>0</v>
      </c>
      <c r="E317" s="17">
        <f>'12 - Device_Configuration'!J318</f>
        <v>0</v>
      </c>
      <c r="F317" s="30">
        <f>'12 - Device_Configuration'!K318</f>
        <v>0</v>
      </c>
      <c r="G317" s="17">
        <f>'12 - Device_Configuration'!L318</f>
        <v>0</v>
      </c>
      <c r="H317" s="17">
        <f>'13 - Config_Intake_View'!M317</f>
        <v>0</v>
      </c>
      <c r="I317" s="30">
        <f>IF('13 - Config_Intake_View'!Q317&lt;&gt;"",'13 - Config_Intake_View'!Q317,'12 - Device_Configuration'!BH318)</f>
        <v>0</v>
      </c>
      <c r="J317" s="17" t="str">
        <f>IF('13 - Config_Intake_View'!Q317&lt;&gt;"","PM Approved",IF('12 - Device_Configuration'!BH318&lt;&gt;"","Assumed",""))</f>
        <v/>
      </c>
      <c r="K317" s="30">
        <f>'12 - Device_Configuration'!BG318</f>
        <v>0</v>
      </c>
      <c r="L317" s="17">
        <f>'12 - Device_Configuration'!P318</f>
        <v>0</v>
      </c>
      <c r="M317" s="17">
        <f>'12 - Device_Configuration'!Q318</f>
        <v>0</v>
      </c>
      <c r="N317" s="17" t="str">
        <f>'12 - Device_Configuration'!BK318</f>
        <v/>
      </c>
      <c r="O317" s="30" t="str">
        <f>'12 - Device_Configuration'!BL318</f>
        <v/>
      </c>
      <c r="P317" s="2">
        <f>'12 - Device_Configuration'!BA318</f>
        <v>0</v>
      </c>
      <c r="Q317" s="30" t="str">
        <f t="shared" si="16"/>
        <v/>
      </c>
      <c r="R317" s="17" t="str">
        <f t="shared" si="17"/>
        <v>SW NOT INSTALLED</v>
      </c>
      <c r="S317" s="17" t="str">
        <f t="shared" si="18"/>
        <v/>
      </c>
      <c r="T317" s="17" t="str">
        <f t="shared" si="19"/>
        <v>SW NOT INSTALLED</v>
      </c>
    </row>
    <row r="318" spans="1:20">
      <c r="A318" s="30">
        <f>'12 - Device_Configuration'!H319</f>
        <v>0</v>
      </c>
      <c r="B318" s="30">
        <f>'12 - Device_Configuration'!S319</f>
        <v>0</v>
      </c>
      <c r="C318" s="30">
        <f>'12 - Device_Configuration'!T319</f>
        <v>0</v>
      </c>
      <c r="D318" s="17">
        <f>'12 - Device_Configuration'!AJ319</f>
        <v>0</v>
      </c>
      <c r="E318" s="17">
        <f>'12 - Device_Configuration'!J319</f>
        <v>0</v>
      </c>
      <c r="F318" s="30">
        <f>'12 - Device_Configuration'!K319</f>
        <v>0</v>
      </c>
      <c r="G318" s="17">
        <f>'12 - Device_Configuration'!L319</f>
        <v>0</v>
      </c>
      <c r="H318" s="17">
        <f>'13 - Config_Intake_View'!M318</f>
        <v>0</v>
      </c>
      <c r="I318" s="30">
        <f>IF('13 - Config_Intake_View'!Q318&lt;&gt;"",'13 - Config_Intake_View'!Q318,'12 - Device_Configuration'!BH319)</f>
        <v>0</v>
      </c>
      <c r="J318" s="17" t="str">
        <f>IF('13 - Config_Intake_View'!Q318&lt;&gt;"","PM Approved",IF('12 - Device_Configuration'!BH319&lt;&gt;"","Assumed",""))</f>
        <v/>
      </c>
      <c r="K318" s="30">
        <f>'12 - Device_Configuration'!BG319</f>
        <v>0</v>
      </c>
      <c r="L318" s="17">
        <f>'12 - Device_Configuration'!P319</f>
        <v>0</v>
      </c>
      <c r="M318" s="17">
        <f>'12 - Device_Configuration'!Q319</f>
        <v>0</v>
      </c>
      <c r="N318" s="17" t="str">
        <f>'12 - Device_Configuration'!BK319</f>
        <v/>
      </c>
      <c r="O318" s="30" t="str">
        <f>'12 - Device_Configuration'!BL319</f>
        <v/>
      </c>
      <c r="P318" s="2">
        <f>'12 - Device_Configuration'!BA319</f>
        <v>0</v>
      </c>
      <c r="Q318" s="30" t="str">
        <f t="shared" si="16"/>
        <v/>
      </c>
      <c r="R318" s="17" t="str">
        <f t="shared" si="17"/>
        <v>SW NOT INSTALLED</v>
      </c>
      <c r="S318" s="17" t="str">
        <f t="shared" si="18"/>
        <v/>
      </c>
      <c r="T318" s="17" t="str">
        <f t="shared" si="19"/>
        <v>SW NOT INSTALLED</v>
      </c>
    </row>
    <row r="319" spans="1:20">
      <c r="A319" s="30">
        <f>'12 - Device_Configuration'!H320</f>
        <v>0</v>
      </c>
      <c r="B319" s="30">
        <f>'12 - Device_Configuration'!S320</f>
        <v>0</v>
      </c>
      <c r="C319" s="30">
        <f>'12 - Device_Configuration'!T320</f>
        <v>0</v>
      </c>
      <c r="D319" s="17">
        <f>'12 - Device_Configuration'!AJ320</f>
        <v>0</v>
      </c>
      <c r="E319" s="17">
        <f>'12 - Device_Configuration'!J320</f>
        <v>0</v>
      </c>
      <c r="F319" s="30">
        <f>'12 - Device_Configuration'!K320</f>
        <v>0</v>
      </c>
      <c r="G319" s="17">
        <f>'12 - Device_Configuration'!L320</f>
        <v>0</v>
      </c>
      <c r="H319" s="17">
        <f>'13 - Config_Intake_View'!M319</f>
        <v>0</v>
      </c>
      <c r="I319" s="30">
        <f>IF('13 - Config_Intake_View'!Q319&lt;&gt;"",'13 - Config_Intake_View'!Q319,'12 - Device_Configuration'!BH320)</f>
        <v>0</v>
      </c>
      <c r="J319" s="17" t="str">
        <f>IF('13 - Config_Intake_View'!Q319&lt;&gt;"","PM Approved",IF('12 - Device_Configuration'!BH320&lt;&gt;"","Assumed",""))</f>
        <v/>
      </c>
      <c r="K319" s="30">
        <f>'12 - Device_Configuration'!BG320</f>
        <v>0</v>
      </c>
      <c r="L319" s="17">
        <f>'12 - Device_Configuration'!P320</f>
        <v>0</v>
      </c>
      <c r="M319" s="17">
        <f>'12 - Device_Configuration'!Q320</f>
        <v>0</v>
      </c>
      <c r="N319" s="17" t="str">
        <f>'12 - Device_Configuration'!BK320</f>
        <v/>
      </c>
      <c r="O319" s="30" t="str">
        <f>'12 - Device_Configuration'!BL320</f>
        <v/>
      </c>
      <c r="P319" s="2">
        <f>'12 - Device_Configuration'!BA320</f>
        <v>0</v>
      </c>
      <c r="Q319" s="30" t="str">
        <f t="shared" si="16"/>
        <v/>
      </c>
      <c r="R319" s="17" t="str">
        <f t="shared" si="17"/>
        <v>SW NOT INSTALLED</v>
      </c>
      <c r="S319" s="17" t="str">
        <f t="shared" si="18"/>
        <v/>
      </c>
      <c r="T319" s="17" t="str">
        <f t="shared" si="19"/>
        <v>SW NOT INSTALLED</v>
      </c>
    </row>
    <row r="320" spans="1:20">
      <c r="A320" s="30">
        <f>'12 - Device_Configuration'!H321</f>
        <v>0</v>
      </c>
      <c r="B320" s="30">
        <f>'12 - Device_Configuration'!S321</f>
        <v>0</v>
      </c>
      <c r="C320" s="30">
        <f>'12 - Device_Configuration'!T321</f>
        <v>0</v>
      </c>
      <c r="D320" s="17">
        <f>'12 - Device_Configuration'!AJ321</f>
        <v>0</v>
      </c>
      <c r="E320" s="17">
        <f>'12 - Device_Configuration'!J321</f>
        <v>0</v>
      </c>
      <c r="F320" s="30">
        <f>'12 - Device_Configuration'!K321</f>
        <v>0</v>
      </c>
      <c r="G320" s="17">
        <f>'12 - Device_Configuration'!L321</f>
        <v>0</v>
      </c>
      <c r="H320" s="17">
        <f>'13 - Config_Intake_View'!M320</f>
        <v>0</v>
      </c>
      <c r="I320" s="30">
        <f>IF('13 - Config_Intake_View'!Q320&lt;&gt;"",'13 - Config_Intake_View'!Q320,'12 - Device_Configuration'!BH321)</f>
        <v>0</v>
      </c>
      <c r="J320" s="17" t="str">
        <f>IF('13 - Config_Intake_View'!Q320&lt;&gt;"","PM Approved",IF('12 - Device_Configuration'!BH321&lt;&gt;"","Assumed",""))</f>
        <v/>
      </c>
      <c r="K320" s="30">
        <f>'12 - Device_Configuration'!BG321</f>
        <v>0</v>
      </c>
      <c r="L320" s="17">
        <f>'12 - Device_Configuration'!P321</f>
        <v>0</v>
      </c>
      <c r="M320" s="17">
        <f>'12 - Device_Configuration'!Q321</f>
        <v>0</v>
      </c>
      <c r="N320" s="17" t="str">
        <f>'12 - Device_Configuration'!BK321</f>
        <v/>
      </c>
      <c r="O320" s="30" t="str">
        <f>'12 - Device_Configuration'!BL321</f>
        <v/>
      </c>
      <c r="P320" s="2">
        <f>'12 - Device_Configuration'!BA321</f>
        <v>0</v>
      </c>
      <c r="Q320" s="30" t="str">
        <f t="shared" si="16"/>
        <v/>
      </c>
      <c r="R320" s="17" t="str">
        <f t="shared" si="17"/>
        <v>SW NOT INSTALLED</v>
      </c>
      <c r="S320" s="17" t="str">
        <f t="shared" si="18"/>
        <v/>
      </c>
      <c r="T320" s="17" t="str">
        <f t="shared" si="19"/>
        <v>SW NOT INSTALLED</v>
      </c>
    </row>
    <row r="321" spans="1:20">
      <c r="A321" s="30">
        <f>'12 - Device_Configuration'!H322</f>
        <v>0</v>
      </c>
      <c r="B321" s="30">
        <f>'12 - Device_Configuration'!S322</f>
        <v>0</v>
      </c>
      <c r="C321" s="30">
        <f>'12 - Device_Configuration'!T322</f>
        <v>0</v>
      </c>
      <c r="D321" s="17">
        <f>'12 - Device_Configuration'!AJ322</f>
        <v>0</v>
      </c>
      <c r="E321" s="17">
        <f>'12 - Device_Configuration'!J322</f>
        <v>0</v>
      </c>
      <c r="F321" s="30">
        <f>'12 - Device_Configuration'!K322</f>
        <v>0</v>
      </c>
      <c r="G321" s="17">
        <f>'12 - Device_Configuration'!L322</f>
        <v>0</v>
      </c>
      <c r="H321" s="17">
        <f>'13 - Config_Intake_View'!M321</f>
        <v>0</v>
      </c>
      <c r="I321" s="30">
        <f>IF('13 - Config_Intake_View'!Q321&lt;&gt;"",'13 - Config_Intake_View'!Q321,'12 - Device_Configuration'!BH322)</f>
        <v>0</v>
      </c>
      <c r="J321" s="17" t="str">
        <f>IF('13 - Config_Intake_View'!Q321&lt;&gt;"","PM Approved",IF('12 - Device_Configuration'!BH322&lt;&gt;"","Assumed",""))</f>
        <v/>
      </c>
      <c r="K321" s="30">
        <f>'12 - Device_Configuration'!BG322</f>
        <v>0</v>
      </c>
      <c r="L321" s="17">
        <f>'12 - Device_Configuration'!P322</f>
        <v>0</v>
      </c>
      <c r="M321" s="17">
        <f>'12 - Device_Configuration'!Q322</f>
        <v>0</v>
      </c>
      <c r="N321" s="17" t="str">
        <f>'12 - Device_Configuration'!BK322</f>
        <v/>
      </c>
      <c r="O321" s="30" t="str">
        <f>'12 - Device_Configuration'!BL322</f>
        <v/>
      </c>
      <c r="P321" s="2">
        <f>'12 - Device_Configuration'!BA322</f>
        <v>0</v>
      </c>
      <c r="Q321" s="30" t="str">
        <f t="shared" si="16"/>
        <v/>
      </c>
      <c r="R321" s="17" t="str">
        <f t="shared" si="17"/>
        <v>SW NOT INSTALLED</v>
      </c>
      <c r="S321" s="17" t="str">
        <f t="shared" si="18"/>
        <v/>
      </c>
      <c r="T321" s="17" t="str">
        <f t="shared" si="19"/>
        <v>SW NOT INSTALLED</v>
      </c>
    </row>
    <row r="322" spans="1:20">
      <c r="A322" s="30">
        <f>'12 - Device_Configuration'!H323</f>
        <v>0</v>
      </c>
      <c r="B322" s="30">
        <f>'12 - Device_Configuration'!S323</f>
        <v>0</v>
      </c>
      <c r="C322" s="30">
        <f>'12 - Device_Configuration'!T323</f>
        <v>0</v>
      </c>
      <c r="D322" s="17">
        <f>'12 - Device_Configuration'!AJ323</f>
        <v>0</v>
      </c>
      <c r="E322" s="17">
        <f>'12 - Device_Configuration'!J323</f>
        <v>0</v>
      </c>
      <c r="F322" s="30">
        <f>'12 - Device_Configuration'!K323</f>
        <v>0</v>
      </c>
      <c r="G322" s="17">
        <f>'12 - Device_Configuration'!L323</f>
        <v>0</v>
      </c>
      <c r="H322" s="17">
        <f>'13 - Config_Intake_View'!M322</f>
        <v>0</v>
      </c>
      <c r="I322" s="30">
        <f>IF('13 - Config_Intake_View'!Q322&lt;&gt;"",'13 - Config_Intake_View'!Q322,'12 - Device_Configuration'!BH323)</f>
        <v>0</v>
      </c>
      <c r="J322" s="17" t="str">
        <f>IF('13 - Config_Intake_View'!Q322&lt;&gt;"","PM Approved",IF('12 - Device_Configuration'!BH323&lt;&gt;"","Assumed",""))</f>
        <v/>
      </c>
      <c r="K322" s="30">
        <f>'12 - Device_Configuration'!BG323</f>
        <v>0</v>
      </c>
      <c r="L322" s="17">
        <f>'12 - Device_Configuration'!P323</f>
        <v>0</v>
      </c>
      <c r="M322" s="17">
        <f>'12 - Device_Configuration'!Q323</f>
        <v>0</v>
      </c>
      <c r="N322" s="17" t="str">
        <f>'12 - Device_Configuration'!BK323</f>
        <v/>
      </c>
      <c r="O322" s="30" t="str">
        <f>'12 - Device_Configuration'!BL323</f>
        <v/>
      </c>
      <c r="P322" s="2">
        <f>'12 - Device_Configuration'!BA323</f>
        <v>0</v>
      </c>
      <c r="Q322" s="30" t="str">
        <f t="shared" ref="Q322:Q385" si="20">IF(OR($A322="",$B322="",$D322=""),"MISSING CORE FIELDS","")</f>
        <v/>
      </c>
      <c r="R322" s="17" t="str">
        <f t="shared" ref="R322:R385" si="21">IF(AND($I322&lt;&gt;"",$K322&lt;&gt;"Yes"),"SW NOT INSTALLED","")</f>
        <v>SW NOT INSTALLED</v>
      </c>
      <c r="S322" s="17" t="str">
        <f t="shared" ref="S322:S385" si="22">IF(AND($H322&lt;&gt;"",ISNUMBER(SEARCH("auto",LOWER($H322))),$F322=""),"AUTOLOGON REQUIRED","")</f>
        <v/>
      </c>
      <c r="T322" s="17" t="str">
        <f t="shared" ref="T322:T385" si="23">IF($Q322&lt;&gt;"",$Q322,IF($S322&lt;&gt;"",$S322,IF($R322&lt;&gt;"",$R322,IF(OR($N322&lt;&gt;"",$O322="Blocked"),"BLOCKED","OK"))))</f>
        <v>SW NOT INSTALLED</v>
      </c>
    </row>
    <row r="323" spans="1:20">
      <c r="A323" s="30">
        <f>'12 - Device_Configuration'!H324</f>
        <v>0</v>
      </c>
      <c r="B323" s="30">
        <f>'12 - Device_Configuration'!S324</f>
        <v>0</v>
      </c>
      <c r="C323" s="30">
        <f>'12 - Device_Configuration'!T324</f>
        <v>0</v>
      </c>
      <c r="D323" s="17">
        <f>'12 - Device_Configuration'!AJ324</f>
        <v>0</v>
      </c>
      <c r="E323" s="17">
        <f>'12 - Device_Configuration'!J324</f>
        <v>0</v>
      </c>
      <c r="F323" s="30">
        <f>'12 - Device_Configuration'!K324</f>
        <v>0</v>
      </c>
      <c r="G323" s="17">
        <f>'12 - Device_Configuration'!L324</f>
        <v>0</v>
      </c>
      <c r="H323" s="17">
        <f>'13 - Config_Intake_View'!M323</f>
        <v>0</v>
      </c>
      <c r="I323" s="30">
        <f>IF('13 - Config_Intake_View'!Q323&lt;&gt;"",'13 - Config_Intake_View'!Q323,'12 - Device_Configuration'!BH324)</f>
        <v>0</v>
      </c>
      <c r="J323" s="17" t="str">
        <f>IF('13 - Config_Intake_View'!Q323&lt;&gt;"","PM Approved",IF('12 - Device_Configuration'!BH324&lt;&gt;"","Assumed",""))</f>
        <v/>
      </c>
      <c r="K323" s="30">
        <f>'12 - Device_Configuration'!BG324</f>
        <v>0</v>
      </c>
      <c r="L323" s="17">
        <f>'12 - Device_Configuration'!P324</f>
        <v>0</v>
      </c>
      <c r="M323" s="17">
        <f>'12 - Device_Configuration'!Q324</f>
        <v>0</v>
      </c>
      <c r="N323" s="17" t="str">
        <f>'12 - Device_Configuration'!BK324</f>
        <v/>
      </c>
      <c r="O323" s="30" t="str">
        <f>'12 - Device_Configuration'!BL324</f>
        <v/>
      </c>
      <c r="P323" s="2">
        <f>'12 - Device_Configuration'!BA324</f>
        <v>0</v>
      </c>
      <c r="Q323" s="30" t="str">
        <f t="shared" si="20"/>
        <v/>
      </c>
      <c r="R323" s="17" t="str">
        <f t="shared" si="21"/>
        <v>SW NOT INSTALLED</v>
      </c>
      <c r="S323" s="17" t="str">
        <f t="shared" si="22"/>
        <v/>
      </c>
      <c r="T323" s="17" t="str">
        <f t="shared" si="23"/>
        <v>SW NOT INSTALLED</v>
      </c>
    </row>
    <row r="324" spans="1:20">
      <c r="A324" s="30">
        <f>'12 - Device_Configuration'!H325</f>
        <v>0</v>
      </c>
      <c r="B324" s="30">
        <f>'12 - Device_Configuration'!S325</f>
        <v>0</v>
      </c>
      <c r="C324" s="30">
        <f>'12 - Device_Configuration'!T325</f>
        <v>0</v>
      </c>
      <c r="D324" s="17">
        <f>'12 - Device_Configuration'!AJ325</f>
        <v>0</v>
      </c>
      <c r="E324" s="17">
        <f>'12 - Device_Configuration'!J325</f>
        <v>0</v>
      </c>
      <c r="F324" s="30">
        <f>'12 - Device_Configuration'!K325</f>
        <v>0</v>
      </c>
      <c r="G324" s="17">
        <f>'12 - Device_Configuration'!L325</f>
        <v>0</v>
      </c>
      <c r="H324" s="17">
        <f>'13 - Config_Intake_View'!M324</f>
        <v>0</v>
      </c>
      <c r="I324" s="30">
        <f>IF('13 - Config_Intake_View'!Q324&lt;&gt;"",'13 - Config_Intake_View'!Q324,'12 - Device_Configuration'!BH325)</f>
        <v>0</v>
      </c>
      <c r="J324" s="17" t="str">
        <f>IF('13 - Config_Intake_View'!Q324&lt;&gt;"","PM Approved",IF('12 - Device_Configuration'!BH325&lt;&gt;"","Assumed",""))</f>
        <v/>
      </c>
      <c r="K324" s="30">
        <f>'12 - Device_Configuration'!BG325</f>
        <v>0</v>
      </c>
      <c r="L324" s="17">
        <f>'12 - Device_Configuration'!P325</f>
        <v>0</v>
      </c>
      <c r="M324" s="17">
        <f>'12 - Device_Configuration'!Q325</f>
        <v>0</v>
      </c>
      <c r="N324" s="17" t="str">
        <f>'12 - Device_Configuration'!BK325</f>
        <v/>
      </c>
      <c r="O324" s="30" t="str">
        <f>'12 - Device_Configuration'!BL325</f>
        <v/>
      </c>
      <c r="P324" s="2">
        <f>'12 - Device_Configuration'!BA325</f>
        <v>0</v>
      </c>
      <c r="Q324" s="30" t="str">
        <f t="shared" si="20"/>
        <v/>
      </c>
      <c r="R324" s="17" t="str">
        <f t="shared" si="21"/>
        <v>SW NOT INSTALLED</v>
      </c>
      <c r="S324" s="17" t="str">
        <f t="shared" si="22"/>
        <v/>
      </c>
      <c r="T324" s="17" t="str">
        <f t="shared" si="23"/>
        <v>SW NOT INSTALLED</v>
      </c>
    </row>
    <row r="325" spans="1:20">
      <c r="A325" s="30">
        <f>'12 - Device_Configuration'!H326</f>
        <v>0</v>
      </c>
      <c r="B325" s="30">
        <f>'12 - Device_Configuration'!S326</f>
        <v>0</v>
      </c>
      <c r="C325" s="30">
        <f>'12 - Device_Configuration'!T326</f>
        <v>0</v>
      </c>
      <c r="D325" s="17">
        <f>'12 - Device_Configuration'!AJ326</f>
        <v>0</v>
      </c>
      <c r="E325" s="17">
        <f>'12 - Device_Configuration'!J326</f>
        <v>0</v>
      </c>
      <c r="F325" s="30">
        <f>'12 - Device_Configuration'!K326</f>
        <v>0</v>
      </c>
      <c r="G325" s="17">
        <f>'12 - Device_Configuration'!L326</f>
        <v>0</v>
      </c>
      <c r="H325" s="17">
        <f>'13 - Config_Intake_View'!M325</f>
        <v>0</v>
      </c>
      <c r="I325" s="30">
        <f>IF('13 - Config_Intake_View'!Q325&lt;&gt;"",'13 - Config_Intake_View'!Q325,'12 - Device_Configuration'!BH326)</f>
        <v>0</v>
      </c>
      <c r="J325" s="17" t="str">
        <f>IF('13 - Config_Intake_View'!Q325&lt;&gt;"","PM Approved",IF('12 - Device_Configuration'!BH326&lt;&gt;"","Assumed",""))</f>
        <v/>
      </c>
      <c r="K325" s="30">
        <f>'12 - Device_Configuration'!BG326</f>
        <v>0</v>
      </c>
      <c r="L325" s="17">
        <f>'12 - Device_Configuration'!P326</f>
        <v>0</v>
      </c>
      <c r="M325" s="17">
        <f>'12 - Device_Configuration'!Q326</f>
        <v>0</v>
      </c>
      <c r="N325" s="17" t="str">
        <f>'12 - Device_Configuration'!BK326</f>
        <v/>
      </c>
      <c r="O325" s="30" t="str">
        <f>'12 - Device_Configuration'!BL326</f>
        <v/>
      </c>
      <c r="P325" s="2">
        <f>'12 - Device_Configuration'!BA326</f>
        <v>0</v>
      </c>
      <c r="Q325" s="30" t="str">
        <f t="shared" si="20"/>
        <v/>
      </c>
      <c r="R325" s="17" t="str">
        <f t="shared" si="21"/>
        <v>SW NOT INSTALLED</v>
      </c>
      <c r="S325" s="17" t="str">
        <f t="shared" si="22"/>
        <v/>
      </c>
      <c r="T325" s="17" t="str">
        <f t="shared" si="23"/>
        <v>SW NOT INSTALLED</v>
      </c>
    </row>
    <row r="326" spans="1:20">
      <c r="A326" s="30">
        <f>'12 - Device_Configuration'!H327</f>
        <v>0</v>
      </c>
      <c r="B326" s="30">
        <f>'12 - Device_Configuration'!S327</f>
        <v>0</v>
      </c>
      <c r="C326" s="30">
        <f>'12 - Device_Configuration'!T327</f>
        <v>0</v>
      </c>
      <c r="D326" s="17">
        <f>'12 - Device_Configuration'!AJ327</f>
        <v>0</v>
      </c>
      <c r="E326" s="17">
        <f>'12 - Device_Configuration'!J327</f>
        <v>0</v>
      </c>
      <c r="F326" s="30">
        <f>'12 - Device_Configuration'!K327</f>
        <v>0</v>
      </c>
      <c r="G326" s="17">
        <f>'12 - Device_Configuration'!L327</f>
        <v>0</v>
      </c>
      <c r="H326" s="17">
        <f>'13 - Config_Intake_View'!M326</f>
        <v>0</v>
      </c>
      <c r="I326" s="30">
        <f>IF('13 - Config_Intake_View'!Q326&lt;&gt;"",'13 - Config_Intake_View'!Q326,'12 - Device_Configuration'!BH327)</f>
        <v>0</v>
      </c>
      <c r="J326" s="17" t="str">
        <f>IF('13 - Config_Intake_View'!Q326&lt;&gt;"","PM Approved",IF('12 - Device_Configuration'!BH327&lt;&gt;"","Assumed",""))</f>
        <v/>
      </c>
      <c r="K326" s="30">
        <f>'12 - Device_Configuration'!BG327</f>
        <v>0</v>
      </c>
      <c r="L326" s="17">
        <f>'12 - Device_Configuration'!P327</f>
        <v>0</v>
      </c>
      <c r="M326" s="17">
        <f>'12 - Device_Configuration'!Q327</f>
        <v>0</v>
      </c>
      <c r="N326" s="17" t="str">
        <f>'12 - Device_Configuration'!BK327</f>
        <v/>
      </c>
      <c r="O326" s="30" t="str">
        <f>'12 - Device_Configuration'!BL327</f>
        <v/>
      </c>
      <c r="P326" s="2">
        <f>'12 - Device_Configuration'!BA327</f>
        <v>0</v>
      </c>
      <c r="Q326" s="30" t="str">
        <f t="shared" si="20"/>
        <v/>
      </c>
      <c r="R326" s="17" t="str">
        <f t="shared" si="21"/>
        <v>SW NOT INSTALLED</v>
      </c>
      <c r="S326" s="17" t="str">
        <f t="shared" si="22"/>
        <v/>
      </c>
      <c r="T326" s="17" t="str">
        <f t="shared" si="23"/>
        <v>SW NOT INSTALLED</v>
      </c>
    </row>
    <row r="327" spans="1:20">
      <c r="A327" s="30">
        <f>'12 - Device_Configuration'!H328</f>
        <v>0</v>
      </c>
      <c r="B327" s="30">
        <f>'12 - Device_Configuration'!S328</f>
        <v>0</v>
      </c>
      <c r="C327" s="30">
        <f>'12 - Device_Configuration'!T328</f>
        <v>0</v>
      </c>
      <c r="D327" s="17">
        <f>'12 - Device_Configuration'!AJ328</f>
        <v>0</v>
      </c>
      <c r="E327" s="17">
        <f>'12 - Device_Configuration'!J328</f>
        <v>0</v>
      </c>
      <c r="F327" s="30">
        <f>'12 - Device_Configuration'!K328</f>
        <v>0</v>
      </c>
      <c r="G327" s="17">
        <f>'12 - Device_Configuration'!L328</f>
        <v>0</v>
      </c>
      <c r="H327" s="17">
        <f>'13 - Config_Intake_View'!M327</f>
        <v>0</v>
      </c>
      <c r="I327" s="30">
        <f>IF('13 - Config_Intake_View'!Q327&lt;&gt;"",'13 - Config_Intake_View'!Q327,'12 - Device_Configuration'!BH328)</f>
        <v>0</v>
      </c>
      <c r="J327" s="17" t="str">
        <f>IF('13 - Config_Intake_View'!Q327&lt;&gt;"","PM Approved",IF('12 - Device_Configuration'!BH328&lt;&gt;"","Assumed",""))</f>
        <v/>
      </c>
      <c r="K327" s="30">
        <f>'12 - Device_Configuration'!BG328</f>
        <v>0</v>
      </c>
      <c r="L327" s="17">
        <f>'12 - Device_Configuration'!P328</f>
        <v>0</v>
      </c>
      <c r="M327" s="17">
        <f>'12 - Device_Configuration'!Q328</f>
        <v>0</v>
      </c>
      <c r="N327" s="17" t="str">
        <f>'12 - Device_Configuration'!BK328</f>
        <v/>
      </c>
      <c r="O327" s="30" t="str">
        <f>'12 - Device_Configuration'!BL328</f>
        <v/>
      </c>
      <c r="P327" s="2">
        <f>'12 - Device_Configuration'!BA328</f>
        <v>0</v>
      </c>
      <c r="Q327" s="30" t="str">
        <f t="shared" si="20"/>
        <v/>
      </c>
      <c r="R327" s="17" t="str">
        <f t="shared" si="21"/>
        <v>SW NOT INSTALLED</v>
      </c>
      <c r="S327" s="17" t="str">
        <f t="shared" si="22"/>
        <v/>
      </c>
      <c r="T327" s="17" t="str">
        <f t="shared" si="23"/>
        <v>SW NOT INSTALLED</v>
      </c>
    </row>
    <row r="328" spans="1:20">
      <c r="A328" s="30">
        <f>'12 - Device_Configuration'!H329</f>
        <v>0</v>
      </c>
      <c r="B328" s="30">
        <f>'12 - Device_Configuration'!S329</f>
        <v>0</v>
      </c>
      <c r="C328" s="30">
        <f>'12 - Device_Configuration'!T329</f>
        <v>0</v>
      </c>
      <c r="D328" s="17">
        <f>'12 - Device_Configuration'!AJ329</f>
        <v>0</v>
      </c>
      <c r="E328" s="17">
        <f>'12 - Device_Configuration'!J329</f>
        <v>0</v>
      </c>
      <c r="F328" s="30">
        <f>'12 - Device_Configuration'!K329</f>
        <v>0</v>
      </c>
      <c r="G328" s="17">
        <f>'12 - Device_Configuration'!L329</f>
        <v>0</v>
      </c>
      <c r="H328" s="17">
        <f>'13 - Config_Intake_View'!M328</f>
        <v>0</v>
      </c>
      <c r="I328" s="30">
        <f>IF('13 - Config_Intake_View'!Q328&lt;&gt;"",'13 - Config_Intake_View'!Q328,'12 - Device_Configuration'!BH329)</f>
        <v>0</v>
      </c>
      <c r="J328" s="17" t="str">
        <f>IF('13 - Config_Intake_View'!Q328&lt;&gt;"","PM Approved",IF('12 - Device_Configuration'!BH329&lt;&gt;"","Assumed",""))</f>
        <v/>
      </c>
      <c r="K328" s="30">
        <f>'12 - Device_Configuration'!BG329</f>
        <v>0</v>
      </c>
      <c r="L328" s="17">
        <f>'12 - Device_Configuration'!P329</f>
        <v>0</v>
      </c>
      <c r="M328" s="17">
        <f>'12 - Device_Configuration'!Q329</f>
        <v>0</v>
      </c>
      <c r="N328" s="17" t="str">
        <f>'12 - Device_Configuration'!BK329</f>
        <v/>
      </c>
      <c r="O328" s="30" t="str">
        <f>'12 - Device_Configuration'!BL329</f>
        <v/>
      </c>
      <c r="P328" s="2">
        <f>'12 - Device_Configuration'!BA329</f>
        <v>0</v>
      </c>
      <c r="Q328" s="30" t="str">
        <f t="shared" si="20"/>
        <v/>
      </c>
      <c r="R328" s="17" t="str">
        <f t="shared" si="21"/>
        <v>SW NOT INSTALLED</v>
      </c>
      <c r="S328" s="17" t="str">
        <f t="shared" si="22"/>
        <v/>
      </c>
      <c r="T328" s="17" t="str">
        <f t="shared" si="23"/>
        <v>SW NOT INSTALLED</v>
      </c>
    </row>
    <row r="329" spans="1:20">
      <c r="A329" s="30">
        <f>'12 - Device_Configuration'!H330</f>
        <v>0</v>
      </c>
      <c r="B329" s="30">
        <f>'12 - Device_Configuration'!S330</f>
        <v>0</v>
      </c>
      <c r="C329" s="30">
        <f>'12 - Device_Configuration'!T330</f>
        <v>0</v>
      </c>
      <c r="D329" s="17">
        <f>'12 - Device_Configuration'!AJ330</f>
        <v>0</v>
      </c>
      <c r="E329" s="17">
        <f>'12 - Device_Configuration'!J330</f>
        <v>0</v>
      </c>
      <c r="F329" s="30">
        <f>'12 - Device_Configuration'!K330</f>
        <v>0</v>
      </c>
      <c r="G329" s="17">
        <f>'12 - Device_Configuration'!L330</f>
        <v>0</v>
      </c>
      <c r="H329" s="17">
        <f>'13 - Config_Intake_View'!M329</f>
        <v>0</v>
      </c>
      <c r="I329" s="30">
        <f>IF('13 - Config_Intake_View'!Q329&lt;&gt;"",'13 - Config_Intake_View'!Q329,'12 - Device_Configuration'!BH330)</f>
        <v>0</v>
      </c>
      <c r="J329" s="17" t="str">
        <f>IF('13 - Config_Intake_View'!Q329&lt;&gt;"","PM Approved",IF('12 - Device_Configuration'!BH330&lt;&gt;"","Assumed",""))</f>
        <v/>
      </c>
      <c r="K329" s="30">
        <f>'12 - Device_Configuration'!BG330</f>
        <v>0</v>
      </c>
      <c r="L329" s="17">
        <f>'12 - Device_Configuration'!P330</f>
        <v>0</v>
      </c>
      <c r="M329" s="17">
        <f>'12 - Device_Configuration'!Q330</f>
        <v>0</v>
      </c>
      <c r="N329" s="17" t="str">
        <f>'12 - Device_Configuration'!BK330</f>
        <v/>
      </c>
      <c r="O329" s="30" t="str">
        <f>'12 - Device_Configuration'!BL330</f>
        <v/>
      </c>
      <c r="P329" s="2">
        <f>'12 - Device_Configuration'!BA330</f>
        <v>0</v>
      </c>
      <c r="Q329" s="30" t="str">
        <f t="shared" si="20"/>
        <v/>
      </c>
      <c r="R329" s="17" t="str">
        <f t="shared" si="21"/>
        <v>SW NOT INSTALLED</v>
      </c>
      <c r="S329" s="17" t="str">
        <f t="shared" si="22"/>
        <v/>
      </c>
      <c r="T329" s="17" t="str">
        <f t="shared" si="23"/>
        <v>SW NOT INSTALLED</v>
      </c>
    </row>
    <row r="330" spans="1:20">
      <c r="A330" s="30">
        <f>'12 - Device_Configuration'!H331</f>
        <v>0</v>
      </c>
      <c r="B330" s="30">
        <f>'12 - Device_Configuration'!S331</f>
        <v>0</v>
      </c>
      <c r="C330" s="30">
        <f>'12 - Device_Configuration'!T331</f>
        <v>0</v>
      </c>
      <c r="D330" s="17">
        <f>'12 - Device_Configuration'!AJ331</f>
        <v>0</v>
      </c>
      <c r="E330" s="17">
        <f>'12 - Device_Configuration'!J331</f>
        <v>0</v>
      </c>
      <c r="F330" s="30">
        <f>'12 - Device_Configuration'!K331</f>
        <v>0</v>
      </c>
      <c r="G330" s="17">
        <f>'12 - Device_Configuration'!L331</f>
        <v>0</v>
      </c>
      <c r="H330" s="17">
        <f>'13 - Config_Intake_View'!M330</f>
        <v>0</v>
      </c>
      <c r="I330" s="30">
        <f>IF('13 - Config_Intake_View'!Q330&lt;&gt;"",'13 - Config_Intake_View'!Q330,'12 - Device_Configuration'!BH331)</f>
        <v>0</v>
      </c>
      <c r="J330" s="17" t="str">
        <f>IF('13 - Config_Intake_View'!Q330&lt;&gt;"","PM Approved",IF('12 - Device_Configuration'!BH331&lt;&gt;"","Assumed",""))</f>
        <v/>
      </c>
      <c r="K330" s="30">
        <f>'12 - Device_Configuration'!BG331</f>
        <v>0</v>
      </c>
      <c r="L330" s="17">
        <f>'12 - Device_Configuration'!P331</f>
        <v>0</v>
      </c>
      <c r="M330" s="17">
        <f>'12 - Device_Configuration'!Q331</f>
        <v>0</v>
      </c>
      <c r="N330" s="17" t="str">
        <f>'12 - Device_Configuration'!BK331</f>
        <v/>
      </c>
      <c r="O330" s="30" t="str">
        <f>'12 - Device_Configuration'!BL331</f>
        <v/>
      </c>
      <c r="P330" s="2">
        <f>'12 - Device_Configuration'!BA331</f>
        <v>0</v>
      </c>
      <c r="Q330" s="30" t="str">
        <f t="shared" si="20"/>
        <v/>
      </c>
      <c r="R330" s="17" t="str">
        <f t="shared" si="21"/>
        <v>SW NOT INSTALLED</v>
      </c>
      <c r="S330" s="17" t="str">
        <f t="shared" si="22"/>
        <v/>
      </c>
      <c r="T330" s="17" t="str">
        <f t="shared" si="23"/>
        <v>SW NOT INSTALLED</v>
      </c>
    </row>
    <row r="331" spans="1:20">
      <c r="A331" s="30">
        <f>'12 - Device_Configuration'!H332</f>
        <v>0</v>
      </c>
      <c r="B331" s="30">
        <f>'12 - Device_Configuration'!S332</f>
        <v>0</v>
      </c>
      <c r="C331" s="30">
        <f>'12 - Device_Configuration'!T332</f>
        <v>0</v>
      </c>
      <c r="D331" s="17">
        <f>'12 - Device_Configuration'!AJ332</f>
        <v>0</v>
      </c>
      <c r="E331" s="17">
        <f>'12 - Device_Configuration'!J332</f>
        <v>0</v>
      </c>
      <c r="F331" s="30">
        <f>'12 - Device_Configuration'!K332</f>
        <v>0</v>
      </c>
      <c r="G331" s="17">
        <f>'12 - Device_Configuration'!L332</f>
        <v>0</v>
      </c>
      <c r="H331" s="17">
        <f>'13 - Config_Intake_View'!M331</f>
        <v>0</v>
      </c>
      <c r="I331" s="30">
        <f>IF('13 - Config_Intake_View'!Q331&lt;&gt;"",'13 - Config_Intake_View'!Q331,'12 - Device_Configuration'!BH332)</f>
        <v>0</v>
      </c>
      <c r="J331" s="17" t="str">
        <f>IF('13 - Config_Intake_View'!Q331&lt;&gt;"","PM Approved",IF('12 - Device_Configuration'!BH332&lt;&gt;"","Assumed",""))</f>
        <v/>
      </c>
      <c r="K331" s="30">
        <f>'12 - Device_Configuration'!BG332</f>
        <v>0</v>
      </c>
      <c r="L331" s="17">
        <f>'12 - Device_Configuration'!P332</f>
        <v>0</v>
      </c>
      <c r="M331" s="17">
        <f>'12 - Device_Configuration'!Q332</f>
        <v>0</v>
      </c>
      <c r="N331" s="17" t="str">
        <f>'12 - Device_Configuration'!BK332</f>
        <v/>
      </c>
      <c r="O331" s="30" t="str">
        <f>'12 - Device_Configuration'!BL332</f>
        <v/>
      </c>
      <c r="P331" s="2">
        <f>'12 - Device_Configuration'!BA332</f>
        <v>0</v>
      </c>
      <c r="Q331" s="30" t="str">
        <f t="shared" si="20"/>
        <v/>
      </c>
      <c r="R331" s="17" t="str">
        <f t="shared" si="21"/>
        <v>SW NOT INSTALLED</v>
      </c>
      <c r="S331" s="17" t="str">
        <f t="shared" si="22"/>
        <v/>
      </c>
      <c r="T331" s="17" t="str">
        <f t="shared" si="23"/>
        <v>SW NOT INSTALLED</v>
      </c>
    </row>
    <row r="332" spans="1:20">
      <c r="A332" s="30">
        <f>'12 - Device_Configuration'!H333</f>
        <v>0</v>
      </c>
      <c r="B332" s="30">
        <f>'12 - Device_Configuration'!S333</f>
        <v>0</v>
      </c>
      <c r="C332" s="30">
        <f>'12 - Device_Configuration'!T333</f>
        <v>0</v>
      </c>
      <c r="D332" s="17">
        <f>'12 - Device_Configuration'!AJ333</f>
        <v>0</v>
      </c>
      <c r="E332" s="17">
        <f>'12 - Device_Configuration'!J333</f>
        <v>0</v>
      </c>
      <c r="F332" s="30">
        <f>'12 - Device_Configuration'!K333</f>
        <v>0</v>
      </c>
      <c r="G332" s="17">
        <f>'12 - Device_Configuration'!L333</f>
        <v>0</v>
      </c>
      <c r="H332" s="17">
        <f>'13 - Config_Intake_View'!M332</f>
        <v>0</v>
      </c>
      <c r="I332" s="30">
        <f>IF('13 - Config_Intake_View'!Q332&lt;&gt;"",'13 - Config_Intake_View'!Q332,'12 - Device_Configuration'!BH333)</f>
        <v>0</v>
      </c>
      <c r="J332" s="17" t="str">
        <f>IF('13 - Config_Intake_View'!Q332&lt;&gt;"","PM Approved",IF('12 - Device_Configuration'!BH333&lt;&gt;"","Assumed",""))</f>
        <v/>
      </c>
      <c r="K332" s="30">
        <f>'12 - Device_Configuration'!BG333</f>
        <v>0</v>
      </c>
      <c r="L332" s="17">
        <f>'12 - Device_Configuration'!P333</f>
        <v>0</v>
      </c>
      <c r="M332" s="17">
        <f>'12 - Device_Configuration'!Q333</f>
        <v>0</v>
      </c>
      <c r="N332" s="17" t="str">
        <f>'12 - Device_Configuration'!BK333</f>
        <v/>
      </c>
      <c r="O332" s="30" t="str">
        <f>'12 - Device_Configuration'!BL333</f>
        <v/>
      </c>
      <c r="P332" s="2">
        <f>'12 - Device_Configuration'!BA333</f>
        <v>0</v>
      </c>
      <c r="Q332" s="30" t="str">
        <f t="shared" si="20"/>
        <v/>
      </c>
      <c r="R332" s="17" t="str">
        <f t="shared" si="21"/>
        <v>SW NOT INSTALLED</v>
      </c>
      <c r="S332" s="17" t="str">
        <f t="shared" si="22"/>
        <v/>
      </c>
      <c r="T332" s="17" t="str">
        <f t="shared" si="23"/>
        <v>SW NOT INSTALLED</v>
      </c>
    </row>
    <row r="333" spans="1:20">
      <c r="A333" s="30">
        <f>'12 - Device_Configuration'!H334</f>
        <v>0</v>
      </c>
      <c r="B333" s="30">
        <f>'12 - Device_Configuration'!S334</f>
        <v>0</v>
      </c>
      <c r="C333" s="30">
        <f>'12 - Device_Configuration'!T334</f>
        <v>0</v>
      </c>
      <c r="D333" s="17">
        <f>'12 - Device_Configuration'!AJ334</f>
        <v>0</v>
      </c>
      <c r="E333" s="17">
        <f>'12 - Device_Configuration'!J334</f>
        <v>0</v>
      </c>
      <c r="F333" s="30">
        <f>'12 - Device_Configuration'!K334</f>
        <v>0</v>
      </c>
      <c r="G333" s="17">
        <f>'12 - Device_Configuration'!L334</f>
        <v>0</v>
      </c>
      <c r="H333" s="17">
        <f>'13 - Config_Intake_View'!M333</f>
        <v>0</v>
      </c>
      <c r="I333" s="30">
        <f>IF('13 - Config_Intake_View'!Q333&lt;&gt;"",'13 - Config_Intake_View'!Q333,'12 - Device_Configuration'!BH334)</f>
        <v>0</v>
      </c>
      <c r="J333" s="17" t="str">
        <f>IF('13 - Config_Intake_View'!Q333&lt;&gt;"","PM Approved",IF('12 - Device_Configuration'!BH334&lt;&gt;"","Assumed",""))</f>
        <v/>
      </c>
      <c r="K333" s="30">
        <f>'12 - Device_Configuration'!BG334</f>
        <v>0</v>
      </c>
      <c r="L333" s="17">
        <f>'12 - Device_Configuration'!P334</f>
        <v>0</v>
      </c>
      <c r="M333" s="17">
        <f>'12 - Device_Configuration'!Q334</f>
        <v>0</v>
      </c>
      <c r="N333" s="17" t="str">
        <f>'12 - Device_Configuration'!BK334</f>
        <v/>
      </c>
      <c r="O333" s="30" t="str">
        <f>'12 - Device_Configuration'!BL334</f>
        <v/>
      </c>
      <c r="P333" s="2">
        <f>'12 - Device_Configuration'!BA334</f>
        <v>0</v>
      </c>
      <c r="Q333" s="30" t="str">
        <f t="shared" si="20"/>
        <v/>
      </c>
      <c r="R333" s="17" t="str">
        <f t="shared" si="21"/>
        <v>SW NOT INSTALLED</v>
      </c>
      <c r="S333" s="17" t="str">
        <f t="shared" si="22"/>
        <v/>
      </c>
      <c r="T333" s="17" t="str">
        <f t="shared" si="23"/>
        <v>SW NOT INSTALLED</v>
      </c>
    </row>
    <row r="334" spans="1:20">
      <c r="A334" s="30">
        <f>'12 - Device_Configuration'!H335</f>
        <v>0</v>
      </c>
      <c r="B334" s="30">
        <f>'12 - Device_Configuration'!S335</f>
        <v>0</v>
      </c>
      <c r="C334" s="30">
        <f>'12 - Device_Configuration'!T335</f>
        <v>0</v>
      </c>
      <c r="D334" s="17">
        <f>'12 - Device_Configuration'!AJ335</f>
        <v>0</v>
      </c>
      <c r="E334" s="17">
        <f>'12 - Device_Configuration'!J335</f>
        <v>0</v>
      </c>
      <c r="F334" s="30">
        <f>'12 - Device_Configuration'!K335</f>
        <v>0</v>
      </c>
      <c r="G334" s="17">
        <f>'12 - Device_Configuration'!L335</f>
        <v>0</v>
      </c>
      <c r="H334" s="17">
        <f>'13 - Config_Intake_View'!M334</f>
        <v>0</v>
      </c>
      <c r="I334" s="30">
        <f>IF('13 - Config_Intake_View'!Q334&lt;&gt;"",'13 - Config_Intake_View'!Q334,'12 - Device_Configuration'!BH335)</f>
        <v>0</v>
      </c>
      <c r="J334" s="17" t="str">
        <f>IF('13 - Config_Intake_View'!Q334&lt;&gt;"","PM Approved",IF('12 - Device_Configuration'!BH335&lt;&gt;"","Assumed",""))</f>
        <v/>
      </c>
      <c r="K334" s="30">
        <f>'12 - Device_Configuration'!BG335</f>
        <v>0</v>
      </c>
      <c r="L334" s="17">
        <f>'12 - Device_Configuration'!P335</f>
        <v>0</v>
      </c>
      <c r="M334" s="17">
        <f>'12 - Device_Configuration'!Q335</f>
        <v>0</v>
      </c>
      <c r="N334" s="17" t="str">
        <f>'12 - Device_Configuration'!BK335</f>
        <v/>
      </c>
      <c r="O334" s="30" t="str">
        <f>'12 - Device_Configuration'!BL335</f>
        <v/>
      </c>
      <c r="P334" s="2">
        <f>'12 - Device_Configuration'!BA335</f>
        <v>0</v>
      </c>
      <c r="Q334" s="30" t="str">
        <f t="shared" si="20"/>
        <v/>
      </c>
      <c r="R334" s="17" t="str">
        <f t="shared" si="21"/>
        <v>SW NOT INSTALLED</v>
      </c>
      <c r="S334" s="17" t="str">
        <f t="shared" si="22"/>
        <v/>
      </c>
      <c r="T334" s="17" t="str">
        <f t="shared" si="23"/>
        <v>SW NOT INSTALLED</v>
      </c>
    </row>
    <row r="335" spans="1:20">
      <c r="A335" s="30">
        <f>'12 - Device_Configuration'!H336</f>
        <v>0</v>
      </c>
      <c r="B335" s="30">
        <f>'12 - Device_Configuration'!S336</f>
        <v>0</v>
      </c>
      <c r="C335" s="30">
        <f>'12 - Device_Configuration'!T336</f>
        <v>0</v>
      </c>
      <c r="D335" s="17">
        <f>'12 - Device_Configuration'!AJ336</f>
        <v>0</v>
      </c>
      <c r="E335" s="17">
        <f>'12 - Device_Configuration'!J336</f>
        <v>0</v>
      </c>
      <c r="F335" s="30">
        <f>'12 - Device_Configuration'!K336</f>
        <v>0</v>
      </c>
      <c r="G335" s="17">
        <f>'12 - Device_Configuration'!L336</f>
        <v>0</v>
      </c>
      <c r="H335" s="17">
        <f>'13 - Config_Intake_View'!M335</f>
        <v>0</v>
      </c>
      <c r="I335" s="30">
        <f>IF('13 - Config_Intake_View'!Q335&lt;&gt;"",'13 - Config_Intake_View'!Q335,'12 - Device_Configuration'!BH336)</f>
        <v>0</v>
      </c>
      <c r="J335" s="17" t="str">
        <f>IF('13 - Config_Intake_View'!Q335&lt;&gt;"","PM Approved",IF('12 - Device_Configuration'!BH336&lt;&gt;"","Assumed",""))</f>
        <v/>
      </c>
      <c r="K335" s="30">
        <f>'12 - Device_Configuration'!BG336</f>
        <v>0</v>
      </c>
      <c r="L335" s="17">
        <f>'12 - Device_Configuration'!P336</f>
        <v>0</v>
      </c>
      <c r="M335" s="17">
        <f>'12 - Device_Configuration'!Q336</f>
        <v>0</v>
      </c>
      <c r="N335" s="17" t="str">
        <f>'12 - Device_Configuration'!BK336</f>
        <v/>
      </c>
      <c r="O335" s="30" t="str">
        <f>'12 - Device_Configuration'!BL336</f>
        <v/>
      </c>
      <c r="P335" s="2">
        <f>'12 - Device_Configuration'!BA336</f>
        <v>0</v>
      </c>
      <c r="Q335" s="30" t="str">
        <f t="shared" si="20"/>
        <v/>
      </c>
      <c r="R335" s="17" t="str">
        <f t="shared" si="21"/>
        <v>SW NOT INSTALLED</v>
      </c>
      <c r="S335" s="17" t="str">
        <f t="shared" si="22"/>
        <v/>
      </c>
      <c r="T335" s="17" t="str">
        <f t="shared" si="23"/>
        <v>SW NOT INSTALLED</v>
      </c>
    </row>
    <row r="336" spans="1:20">
      <c r="A336" s="30">
        <f>'12 - Device_Configuration'!H337</f>
        <v>0</v>
      </c>
      <c r="B336" s="30">
        <f>'12 - Device_Configuration'!S337</f>
        <v>0</v>
      </c>
      <c r="C336" s="30">
        <f>'12 - Device_Configuration'!T337</f>
        <v>0</v>
      </c>
      <c r="D336" s="17">
        <f>'12 - Device_Configuration'!AJ337</f>
        <v>0</v>
      </c>
      <c r="E336" s="17">
        <f>'12 - Device_Configuration'!J337</f>
        <v>0</v>
      </c>
      <c r="F336" s="30">
        <f>'12 - Device_Configuration'!K337</f>
        <v>0</v>
      </c>
      <c r="G336" s="17">
        <f>'12 - Device_Configuration'!L337</f>
        <v>0</v>
      </c>
      <c r="H336" s="17">
        <f>'13 - Config_Intake_View'!M336</f>
        <v>0</v>
      </c>
      <c r="I336" s="30">
        <f>IF('13 - Config_Intake_View'!Q336&lt;&gt;"",'13 - Config_Intake_View'!Q336,'12 - Device_Configuration'!BH337)</f>
        <v>0</v>
      </c>
      <c r="J336" s="17" t="str">
        <f>IF('13 - Config_Intake_View'!Q336&lt;&gt;"","PM Approved",IF('12 - Device_Configuration'!BH337&lt;&gt;"","Assumed",""))</f>
        <v/>
      </c>
      <c r="K336" s="30">
        <f>'12 - Device_Configuration'!BG337</f>
        <v>0</v>
      </c>
      <c r="L336" s="17">
        <f>'12 - Device_Configuration'!P337</f>
        <v>0</v>
      </c>
      <c r="M336" s="17">
        <f>'12 - Device_Configuration'!Q337</f>
        <v>0</v>
      </c>
      <c r="N336" s="17" t="str">
        <f>'12 - Device_Configuration'!BK337</f>
        <v/>
      </c>
      <c r="O336" s="30" t="str">
        <f>'12 - Device_Configuration'!BL337</f>
        <v/>
      </c>
      <c r="P336" s="2">
        <f>'12 - Device_Configuration'!BA337</f>
        <v>0</v>
      </c>
      <c r="Q336" s="30" t="str">
        <f t="shared" si="20"/>
        <v/>
      </c>
      <c r="R336" s="17" t="str">
        <f t="shared" si="21"/>
        <v>SW NOT INSTALLED</v>
      </c>
      <c r="S336" s="17" t="str">
        <f t="shared" si="22"/>
        <v/>
      </c>
      <c r="T336" s="17" t="str">
        <f t="shared" si="23"/>
        <v>SW NOT INSTALLED</v>
      </c>
    </row>
    <row r="337" spans="1:20">
      <c r="A337" s="30">
        <f>'12 - Device_Configuration'!H338</f>
        <v>0</v>
      </c>
      <c r="B337" s="30">
        <f>'12 - Device_Configuration'!S338</f>
        <v>0</v>
      </c>
      <c r="C337" s="30">
        <f>'12 - Device_Configuration'!T338</f>
        <v>0</v>
      </c>
      <c r="D337" s="17">
        <f>'12 - Device_Configuration'!AJ338</f>
        <v>0</v>
      </c>
      <c r="E337" s="17">
        <f>'12 - Device_Configuration'!J338</f>
        <v>0</v>
      </c>
      <c r="F337" s="30">
        <f>'12 - Device_Configuration'!K338</f>
        <v>0</v>
      </c>
      <c r="G337" s="17">
        <f>'12 - Device_Configuration'!L338</f>
        <v>0</v>
      </c>
      <c r="H337" s="17">
        <f>'13 - Config_Intake_View'!M337</f>
        <v>0</v>
      </c>
      <c r="I337" s="30">
        <f>IF('13 - Config_Intake_View'!Q337&lt;&gt;"",'13 - Config_Intake_View'!Q337,'12 - Device_Configuration'!BH338)</f>
        <v>0</v>
      </c>
      <c r="J337" s="17" t="str">
        <f>IF('13 - Config_Intake_View'!Q337&lt;&gt;"","PM Approved",IF('12 - Device_Configuration'!BH338&lt;&gt;"","Assumed",""))</f>
        <v/>
      </c>
      <c r="K337" s="30">
        <f>'12 - Device_Configuration'!BG338</f>
        <v>0</v>
      </c>
      <c r="L337" s="17">
        <f>'12 - Device_Configuration'!P338</f>
        <v>0</v>
      </c>
      <c r="M337" s="17">
        <f>'12 - Device_Configuration'!Q338</f>
        <v>0</v>
      </c>
      <c r="N337" s="17" t="str">
        <f>'12 - Device_Configuration'!BK338</f>
        <v/>
      </c>
      <c r="O337" s="30" t="str">
        <f>'12 - Device_Configuration'!BL338</f>
        <v/>
      </c>
      <c r="P337" s="2">
        <f>'12 - Device_Configuration'!BA338</f>
        <v>0</v>
      </c>
      <c r="Q337" s="30" t="str">
        <f t="shared" si="20"/>
        <v/>
      </c>
      <c r="R337" s="17" t="str">
        <f t="shared" si="21"/>
        <v>SW NOT INSTALLED</v>
      </c>
      <c r="S337" s="17" t="str">
        <f t="shared" si="22"/>
        <v/>
      </c>
      <c r="T337" s="17" t="str">
        <f t="shared" si="23"/>
        <v>SW NOT INSTALLED</v>
      </c>
    </row>
    <row r="338" spans="1:20">
      <c r="A338" s="30">
        <f>'12 - Device_Configuration'!H339</f>
        <v>0</v>
      </c>
      <c r="B338" s="30">
        <f>'12 - Device_Configuration'!S339</f>
        <v>0</v>
      </c>
      <c r="C338" s="30">
        <f>'12 - Device_Configuration'!T339</f>
        <v>0</v>
      </c>
      <c r="D338" s="17">
        <f>'12 - Device_Configuration'!AJ339</f>
        <v>0</v>
      </c>
      <c r="E338" s="17">
        <f>'12 - Device_Configuration'!J339</f>
        <v>0</v>
      </c>
      <c r="F338" s="30">
        <f>'12 - Device_Configuration'!K339</f>
        <v>0</v>
      </c>
      <c r="G338" s="17">
        <f>'12 - Device_Configuration'!L339</f>
        <v>0</v>
      </c>
      <c r="H338" s="17">
        <f>'13 - Config_Intake_View'!M338</f>
        <v>0</v>
      </c>
      <c r="I338" s="30">
        <f>IF('13 - Config_Intake_View'!Q338&lt;&gt;"",'13 - Config_Intake_View'!Q338,'12 - Device_Configuration'!BH339)</f>
        <v>0</v>
      </c>
      <c r="J338" s="17" t="str">
        <f>IF('13 - Config_Intake_View'!Q338&lt;&gt;"","PM Approved",IF('12 - Device_Configuration'!BH339&lt;&gt;"","Assumed",""))</f>
        <v/>
      </c>
      <c r="K338" s="30">
        <f>'12 - Device_Configuration'!BG339</f>
        <v>0</v>
      </c>
      <c r="L338" s="17">
        <f>'12 - Device_Configuration'!P339</f>
        <v>0</v>
      </c>
      <c r="M338" s="17">
        <f>'12 - Device_Configuration'!Q339</f>
        <v>0</v>
      </c>
      <c r="N338" s="17" t="str">
        <f>'12 - Device_Configuration'!BK339</f>
        <v/>
      </c>
      <c r="O338" s="30" t="str">
        <f>'12 - Device_Configuration'!BL339</f>
        <v/>
      </c>
      <c r="P338" s="2">
        <f>'12 - Device_Configuration'!BA339</f>
        <v>0</v>
      </c>
      <c r="Q338" s="30" t="str">
        <f t="shared" si="20"/>
        <v/>
      </c>
      <c r="R338" s="17" t="str">
        <f t="shared" si="21"/>
        <v>SW NOT INSTALLED</v>
      </c>
      <c r="S338" s="17" t="str">
        <f t="shared" si="22"/>
        <v/>
      </c>
      <c r="T338" s="17" t="str">
        <f t="shared" si="23"/>
        <v>SW NOT INSTALLED</v>
      </c>
    </row>
    <row r="339" spans="1:20">
      <c r="A339" s="30">
        <f>'12 - Device_Configuration'!H340</f>
        <v>0</v>
      </c>
      <c r="B339" s="30">
        <f>'12 - Device_Configuration'!S340</f>
        <v>0</v>
      </c>
      <c r="C339" s="30">
        <f>'12 - Device_Configuration'!T340</f>
        <v>0</v>
      </c>
      <c r="D339" s="17">
        <f>'12 - Device_Configuration'!AJ340</f>
        <v>0</v>
      </c>
      <c r="E339" s="17">
        <f>'12 - Device_Configuration'!J340</f>
        <v>0</v>
      </c>
      <c r="F339" s="30">
        <f>'12 - Device_Configuration'!K340</f>
        <v>0</v>
      </c>
      <c r="G339" s="17">
        <f>'12 - Device_Configuration'!L340</f>
        <v>0</v>
      </c>
      <c r="H339" s="17">
        <f>'13 - Config_Intake_View'!M339</f>
        <v>0</v>
      </c>
      <c r="I339" s="30">
        <f>IF('13 - Config_Intake_View'!Q339&lt;&gt;"",'13 - Config_Intake_View'!Q339,'12 - Device_Configuration'!BH340)</f>
        <v>0</v>
      </c>
      <c r="J339" s="17" t="str">
        <f>IF('13 - Config_Intake_View'!Q339&lt;&gt;"","PM Approved",IF('12 - Device_Configuration'!BH340&lt;&gt;"","Assumed",""))</f>
        <v/>
      </c>
      <c r="K339" s="30">
        <f>'12 - Device_Configuration'!BG340</f>
        <v>0</v>
      </c>
      <c r="L339" s="17">
        <f>'12 - Device_Configuration'!P340</f>
        <v>0</v>
      </c>
      <c r="M339" s="17">
        <f>'12 - Device_Configuration'!Q340</f>
        <v>0</v>
      </c>
      <c r="N339" s="17" t="str">
        <f>'12 - Device_Configuration'!BK340</f>
        <v/>
      </c>
      <c r="O339" s="30" t="str">
        <f>'12 - Device_Configuration'!BL340</f>
        <v/>
      </c>
      <c r="P339" s="2">
        <f>'12 - Device_Configuration'!BA340</f>
        <v>0</v>
      </c>
      <c r="Q339" s="30" t="str">
        <f t="shared" si="20"/>
        <v/>
      </c>
      <c r="R339" s="17" t="str">
        <f t="shared" si="21"/>
        <v>SW NOT INSTALLED</v>
      </c>
      <c r="S339" s="17" t="str">
        <f t="shared" si="22"/>
        <v/>
      </c>
      <c r="T339" s="17" t="str">
        <f t="shared" si="23"/>
        <v>SW NOT INSTALLED</v>
      </c>
    </row>
    <row r="340" spans="1:20">
      <c r="A340" s="30">
        <f>'12 - Device_Configuration'!H341</f>
        <v>0</v>
      </c>
      <c r="B340" s="30">
        <f>'12 - Device_Configuration'!S341</f>
        <v>0</v>
      </c>
      <c r="C340" s="30">
        <f>'12 - Device_Configuration'!T341</f>
        <v>0</v>
      </c>
      <c r="D340" s="17">
        <f>'12 - Device_Configuration'!AJ341</f>
        <v>0</v>
      </c>
      <c r="E340" s="17">
        <f>'12 - Device_Configuration'!J341</f>
        <v>0</v>
      </c>
      <c r="F340" s="30">
        <f>'12 - Device_Configuration'!K341</f>
        <v>0</v>
      </c>
      <c r="G340" s="17">
        <f>'12 - Device_Configuration'!L341</f>
        <v>0</v>
      </c>
      <c r="H340" s="17">
        <f>'13 - Config_Intake_View'!M340</f>
        <v>0</v>
      </c>
      <c r="I340" s="30">
        <f>IF('13 - Config_Intake_View'!Q340&lt;&gt;"",'13 - Config_Intake_View'!Q340,'12 - Device_Configuration'!BH341)</f>
        <v>0</v>
      </c>
      <c r="J340" s="17" t="str">
        <f>IF('13 - Config_Intake_View'!Q340&lt;&gt;"","PM Approved",IF('12 - Device_Configuration'!BH341&lt;&gt;"","Assumed",""))</f>
        <v/>
      </c>
      <c r="K340" s="30">
        <f>'12 - Device_Configuration'!BG341</f>
        <v>0</v>
      </c>
      <c r="L340" s="17">
        <f>'12 - Device_Configuration'!P341</f>
        <v>0</v>
      </c>
      <c r="M340" s="17">
        <f>'12 - Device_Configuration'!Q341</f>
        <v>0</v>
      </c>
      <c r="N340" s="17" t="str">
        <f>'12 - Device_Configuration'!BK341</f>
        <v/>
      </c>
      <c r="O340" s="30" t="str">
        <f>'12 - Device_Configuration'!BL341</f>
        <v/>
      </c>
      <c r="P340" s="2">
        <f>'12 - Device_Configuration'!BA341</f>
        <v>0</v>
      </c>
      <c r="Q340" s="30" t="str">
        <f t="shared" si="20"/>
        <v/>
      </c>
      <c r="R340" s="17" t="str">
        <f t="shared" si="21"/>
        <v>SW NOT INSTALLED</v>
      </c>
      <c r="S340" s="17" t="str">
        <f t="shared" si="22"/>
        <v/>
      </c>
      <c r="T340" s="17" t="str">
        <f t="shared" si="23"/>
        <v>SW NOT INSTALLED</v>
      </c>
    </row>
    <row r="341" spans="1:20">
      <c r="A341" s="30">
        <f>'12 - Device_Configuration'!H342</f>
        <v>0</v>
      </c>
      <c r="B341" s="30">
        <f>'12 - Device_Configuration'!S342</f>
        <v>0</v>
      </c>
      <c r="C341" s="30">
        <f>'12 - Device_Configuration'!T342</f>
        <v>0</v>
      </c>
      <c r="D341" s="17">
        <f>'12 - Device_Configuration'!AJ342</f>
        <v>0</v>
      </c>
      <c r="E341" s="17">
        <f>'12 - Device_Configuration'!J342</f>
        <v>0</v>
      </c>
      <c r="F341" s="30">
        <f>'12 - Device_Configuration'!K342</f>
        <v>0</v>
      </c>
      <c r="G341" s="17">
        <f>'12 - Device_Configuration'!L342</f>
        <v>0</v>
      </c>
      <c r="H341" s="17">
        <f>'13 - Config_Intake_View'!M341</f>
        <v>0</v>
      </c>
      <c r="I341" s="30">
        <f>IF('13 - Config_Intake_View'!Q341&lt;&gt;"",'13 - Config_Intake_View'!Q341,'12 - Device_Configuration'!BH342)</f>
        <v>0</v>
      </c>
      <c r="J341" s="17" t="str">
        <f>IF('13 - Config_Intake_View'!Q341&lt;&gt;"","PM Approved",IF('12 - Device_Configuration'!BH342&lt;&gt;"","Assumed",""))</f>
        <v/>
      </c>
      <c r="K341" s="30">
        <f>'12 - Device_Configuration'!BG342</f>
        <v>0</v>
      </c>
      <c r="L341" s="17">
        <f>'12 - Device_Configuration'!P342</f>
        <v>0</v>
      </c>
      <c r="M341" s="17">
        <f>'12 - Device_Configuration'!Q342</f>
        <v>0</v>
      </c>
      <c r="N341" s="17" t="str">
        <f>'12 - Device_Configuration'!BK342</f>
        <v/>
      </c>
      <c r="O341" s="30" t="str">
        <f>'12 - Device_Configuration'!BL342</f>
        <v/>
      </c>
      <c r="P341" s="2">
        <f>'12 - Device_Configuration'!BA342</f>
        <v>0</v>
      </c>
      <c r="Q341" s="30" t="str">
        <f t="shared" si="20"/>
        <v/>
      </c>
      <c r="R341" s="17" t="str">
        <f t="shared" si="21"/>
        <v>SW NOT INSTALLED</v>
      </c>
      <c r="S341" s="17" t="str">
        <f t="shared" si="22"/>
        <v/>
      </c>
      <c r="T341" s="17" t="str">
        <f t="shared" si="23"/>
        <v>SW NOT INSTALLED</v>
      </c>
    </row>
    <row r="342" spans="1:20">
      <c r="A342" s="30">
        <f>'12 - Device_Configuration'!H343</f>
        <v>0</v>
      </c>
      <c r="B342" s="30">
        <f>'12 - Device_Configuration'!S343</f>
        <v>0</v>
      </c>
      <c r="C342" s="30">
        <f>'12 - Device_Configuration'!T343</f>
        <v>0</v>
      </c>
      <c r="D342" s="17">
        <f>'12 - Device_Configuration'!AJ343</f>
        <v>0</v>
      </c>
      <c r="E342" s="17">
        <f>'12 - Device_Configuration'!J343</f>
        <v>0</v>
      </c>
      <c r="F342" s="30">
        <f>'12 - Device_Configuration'!K343</f>
        <v>0</v>
      </c>
      <c r="G342" s="17">
        <f>'12 - Device_Configuration'!L343</f>
        <v>0</v>
      </c>
      <c r="H342" s="17">
        <f>'13 - Config_Intake_View'!M342</f>
        <v>0</v>
      </c>
      <c r="I342" s="30">
        <f>IF('13 - Config_Intake_View'!Q342&lt;&gt;"",'13 - Config_Intake_View'!Q342,'12 - Device_Configuration'!BH343)</f>
        <v>0</v>
      </c>
      <c r="J342" s="17" t="str">
        <f>IF('13 - Config_Intake_View'!Q342&lt;&gt;"","PM Approved",IF('12 - Device_Configuration'!BH343&lt;&gt;"","Assumed",""))</f>
        <v/>
      </c>
      <c r="K342" s="30">
        <f>'12 - Device_Configuration'!BG343</f>
        <v>0</v>
      </c>
      <c r="L342" s="17">
        <f>'12 - Device_Configuration'!P343</f>
        <v>0</v>
      </c>
      <c r="M342" s="17">
        <f>'12 - Device_Configuration'!Q343</f>
        <v>0</v>
      </c>
      <c r="N342" s="17" t="str">
        <f>'12 - Device_Configuration'!BK343</f>
        <v/>
      </c>
      <c r="O342" s="30" t="str">
        <f>'12 - Device_Configuration'!BL343</f>
        <v/>
      </c>
      <c r="P342" s="2">
        <f>'12 - Device_Configuration'!BA343</f>
        <v>0</v>
      </c>
      <c r="Q342" s="30" t="str">
        <f t="shared" si="20"/>
        <v/>
      </c>
      <c r="R342" s="17" t="str">
        <f t="shared" si="21"/>
        <v>SW NOT INSTALLED</v>
      </c>
      <c r="S342" s="17" t="str">
        <f t="shared" si="22"/>
        <v/>
      </c>
      <c r="T342" s="17" t="str">
        <f t="shared" si="23"/>
        <v>SW NOT INSTALLED</v>
      </c>
    </row>
    <row r="343" spans="1:20">
      <c r="A343" s="30">
        <f>'12 - Device_Configuration'!H344</f>
        <v>0</v>
      </c>
      <c r="B343" s="30">
        <f>'12 - Device_Configuration'!S344</f>
        <v>0</v>
      </c>
      <c r="C343" s="30">
        <f>'12 - Device_Configuration'!T344</f>
        <v>0</v>
      </c>
      <c r="D343" s="17">
        <f>'12 - Device_Configuration'!AJ344</f>
        <v>0</v>
      </c>
      <c r="E343" s="17">
        <f>'12 - Device_Configuration'!J344</f>
        <v>0</v>
      </c>
      <c r="F343" s="30">
        <f>'12 - Device_Configuration'!K344</f>
        <v>0</v>
      </c>
      <c r="G343" s="17">
        <f>'12 - Device_Configuration'!L344</f>
        <v>0</v>
      </c>
      <c r="H343" s="17">
        <f>'13 - Config_Intake_View'!M343</f>
        <v>0</v>
      </c>
      <c r="I343" s="30">
        <f>IF('13 - Config_Intake_View'!Q343&lt;&gt;"",'13 - Config_Intake_View'!Q343,'12 - Device_Configuration'!BH344)</f>
        <v>0</v>
      </c>
      <c r="J343" s="17" t="str">
        <f>IF('13 - Config_Intake_View'!Q343&lt;&gt;"","PM Approved",IF('12 - Device_Configuration'!BH344&lt;&gt;"","Assumed",""))</f>
        <v/>
      </c>
      <c r="K343" s="30">
        <f>'12 - Device_Configuration'!BG344</f>
        <v>0</v>
      </c>
      <c r="L343" s="17">
        <f>'12 - Device_Configuration'!P344</f>
        <v>0</v>
      </c>
      <c r="M343" s="17">
        <f>'12 - Device_Configuration'!Q344</f>
        <v>0</v>
      </c>
      <c r="N343" s="17" t="str">
        <f>'12 - Device_Configuration'!BK344</f>
        <v/>
      </c>
      <c r="O343" s="30" t="str">
        <f>'12 - Device_Configuration'!BL344</f>
        <v/>
      </c>
      <c r="P343" s="2">
        <f>'12 - Device_Configuration'!BA344</f>
        <v>0</v>
      </c>
      <c r="Q343" s="30" t="str">
        <f t="shared" si="20"/>
        <v/>
      </c>
      <c r="R343" s="17" t="str">
        <f t="shared" si="21"/>
        <v>SW NOT INSTALLED</v>
      </c>
      <c r="S343" s="17" t="str">
        <f t="shared" si="22"/>
        <v/>
      </c>
      <c r="T343" s="17" t="str">
        <f t="shared" si="23"/>
        <v>SW NOT INSTALLED</v>
      </c>
    </row>
    <row r="344" spans="1:20">
      <c r="A344" s="30">
        <f>'12 - Device_Configuration'!H345</f>
        <v>0</v>
      </c>
      <c r="B344" s="30">
        <f>'12 - Device_Configuration'!S345</f>
        <v>0</v>
      </c>
      <c r="C344" s="30">
        <f>'12 - Device_Configuration'!T345</f>
        <v>0</v>
      </c>
      <c r="D344" s="17">
        <f>'12 - Device_Configuration'!AJ345</f>
        <v>0</v>
      </c>
      <c r="E344" s="17">
        <f>'12 - Device_Configuration'!J345</f>
        <v>0</v>
      </c>
      <c r="F344" s="30">
        <f>'12 - Device_Configuration'!K345</f>
        <v>0</v>
      </c>
      <c r="G344" s="17">
        <f>'12 - Device_Configuration'!L345</f>
        <v>0</v>
      </c>
      <c r="H344" s="17">
        <f>'13 - Config_Intake_View'!M344</f>
        <v>0</v>
      </c>
      <c r="I344" s="30">
        <f>IF('13 - Config_Intake_View'!Q344&lt;&gt;"",'13 - Config_Intake_View'!Q344,'12 - Device_Configuration'!BH345)</f>
        <v>0</v>
      </c>
      <c r="J344" s="17" t="str">
        <f>IF('13 - Config_Intake_View'!Q344&lt;&gt;"","PM Approved",IF('12 - Device_Configuration'!BH345&lt;&gt;"","Assumed",""))</f>
        <v/>
      </c>
      <c r="K344" s="30">
        <f>'12 - Device_Configuration'!BG345</f>
        <v>0</v>
      </c>
      <c r="L344" s="17">
        <f>'12 - Device_Configuration'!P345</f>
        <v>0</v>
      </c>
      <c r="M344" s="17">
        <f>'12 - Device_Configuration'!Q345</f>
        <v>0</v>
      </c>
      <c r="N344" s="17" t="str">
        <f>'12 - Device_Configuration'!BK345</f>
        <v/>
      </c>
      <c r="O344" s="30" t="str">
        <f>'12 - Device_Configuration'!BL345</f>
        <v/>
      </c>
      <c r="P344" s="2">
        <f>'12 - Device_Configuration'!BA345</f>
        <v>0</v>
      </c>
      <c r="Q344" s="30" t="str">
        <f t="shared" si="20"/>
        <v/>
      </c>
      <c r="R344" s="17" t="str">
        <f t="shared" si="21"/>
        <v>SW NOT INSTALLED</v>
      </c>
      <c r="S344" s="17" t="str">
        <f t="shared" si="22"/>
        <v/>
      </c>
      <c r="T344" s="17" t="str">
        <f t="shared" si="23"/>
        <v>SW NOT INSTALLED</v>
      </c>
    </row>
    <row r="345" spans="1:20">
      <c r="A345" s="30">
        <f>'12 - Device_Configuration'!H346</f>
        <v>0</v>
      </c>
      <c r="B345" s="30">
        <f>'12 - Device_Configuration'!S346</f>
        <v>0</v>
      </c>
      <c r="C345" s="30">
        <f>'12 - Device_Configuration'!T346</f>
        <v>0</v>
      </c>
      <c r="D345" s="17">
        <f>'12 - Device_Configuration'!AJ346</f>
        <v>0</v>
      </c>
      <c r="E345" s="17">
        <f>'12 - Device_Configuration'!J346</f>
        <v>0</v>
      </c>
      <c r="F345" s="30">
        <f>'12 - Device_Configuration'!K346</f>
        <v>0</v>
      </c>
      <c r="G345" s="17">
        <f>'12 - Device_Configuration'!L346</f>
        <v>0</v>
      </c>
      <c r="H345" s="17">
        <f>'13 - Config_Intake_View'!M345</f>
        <v>0</v>
      </c>
      <c r="I345" s="30">
        <f>IF('13 - Config_Intake_View'!Q345&lt;&gt;"",'13 - Config_Intake_View'!Q345,'12 - Device_Configuration'!BH346)</f>
        <v>0</v>
      </c>
      <c r="J345" s="17" t="str">
        <f>IF('13 - Config_Intake_View'!Q345&lt;&gt;"","PM Approved",IF('12 - Device_Configuration'!BH346&lt;&gt;"","Assumed",""))</f>
        <v/>
      </c>
      <c r="K345" s="30">
        <f>'12 - Device_Configuration'!BG346</f>
        <v>0</v>
      </c>
      <c r="L345" s="17">
        <f>'12 - Device_Configuration'!P346</f>
        <v>0</v>
      </c>
      <c r="M345" s="17">
        <f>'12 - Device_Configuration'!Q346</f>
        <v>0</v>
      </c>
      <c r="N345" s="17" t="str">
        <f>'12 - Device_Configuration'!BK346</f>
        <v/>
      </c>
      <c r="O345" s="30" t="str">
        <f>'12 - Device_Configuration'!BL346</f>
        <v/>
      </c>
      <c r="P345" s="2">
        <f>'12 - Device_Configuration'!BA346</f>
        <v>0</v>
      </c>
      <c r="Q345" s="30" t="str">
        <f t="shared" si="20"/>
        <v/>
      </c>
      <c r="R345" s="17" t="str">
        <f t="shared" si="21"/>
        <v>SW NOT INSTALLED</v>
      </c>
      <c r="S345" s="17" t="str">
        <f t="shared" si="22"/>
        <v/>
      </c>
      <c r="T345" s="17" t="str">
        <f t="shared" si="23"/>
        <v>SW NOT INSTALLED</v>
      </c>
    </row>
    <row r="346" spans="1:20">
      <c r="A346" s="30">
        <f>'12 - Device_Configuration'!H347</f>
        <v>0</v>
      </c>
      <c r="B346" s="30">
        <f>'12 - Device_Configuration'!S347</f>
        <v>0</v>
      </c>
      <c r="C346" s="30">
        <f>'12 - Device_Configuration'!T347</f>
        <v>0</v>
      </c>
      <c r="D346" s="17">
        <f>'12 - Device_Configuration'!AJ347</f>
        <v>0</v>
      </c>
      <c r="E346" s="17">
        <f>'12 - Device_Configuration'!J347</f>
        <v>0</v>
      </c>
      <c r="F346" s="30">
        <f>'12 - Device_Configuration'!K347</f>
        <v>0</v>
      </c>
      <c r="G346" s="17">
        <f>'12 - Device_Configuration'!L347</f>
        <v>0</v>
      </c>
      <c r="H346" s="17">
        <f>'13 - Config_Intake_View'!M346</f>
        <v>0</v>
      </c>
      <c r="I346" s="30">
        <f>IF('13 - Config_Intake_View'!Q346&lt;&gt;"",'13 - Config_Intake_View'!Q346,'12 - Device_Configuration'!BH347)</f>
        <v>0</v>
      </c>
      <c r="J346" s="17" t="str">
        <f>IF('13 - Config_Intake_View'!Q346&lt;&gt;"","PM Approved",IF('12 - Device_Configuration'!BH347&lt;&gt;"","Assumed",""))</f>
        <v/>
      </c>
      <c r="K346" s="30">
        <f>'12 - Device_Configuration'!BG347</f>
        <v>0</v>
      </c>
      <c r="L346" s="17">
        <f>'12 - Device_Configuration'!P347</f>
        <v>0</v>
      </c>
      <c r="M346" s="17">
        <f>'12 - Device_Configuration'!Q347</f>
        <v>0</v>
      </c>
      <c r="N346" s="17" t="str">
        <f>'12 - Device_Configuration'!BK347</f>
        <v/>
      </c>
      <c r="O346" s="30" t="str">
        <f>'12 - Device_Configuration'!BL347</f>
        <v/>
      </c>
      <c r="P346" s="2">
        <f>'12 - Device_Configuration'!BA347</f>
        <v>0</v>
      </c>
      <c r="Q346" s="30" t="str">
        <f t="shared" si="20"/>
        <v/>
      </c>
      <c r="R346" s="17" t="str">
        <f t="shared" si="21"/>
        <v>SW NOT INSTALLED</v>
      </c>
      <c r="S346" s="17" t="str">
        <f t="shared" si="22"/>
        <v/>
      </c>
      <c r="T346" s="17" t="str">
        <f t="shared" si="23"/>
        <v>SW NOT INSTALLED</v>
      </c>
    </row>
    <row r="347" spans="1:20">
      <c r="A347" s="30">
        <f>'12 - Device_Configuration'!H348</f>
        <v>0</v>
      </c>
      <c r="B347" s="30">
        <f>'12 - Device_Configuration'!S348</f>
        <v>0</v>
      </c>
      <c r="C347" s="30">
        <f>'12 - Device_Configuration'!T348</f>
        <v>0</v>
      </c>
      <c r="D347" s="17">
        <f>'12 - Device_Configuration'!AJ348</f>
        <v>0</v>
      </c>
      <c r="E347" s="17">
        <f>'12 - Device_Configuration'!J348</f>
        <v>0</v>
      </c>
      <c r="F347" s="30">
        <f>'12 - Device_Configuration'!K348</f>
        <v>0</v>
      </c>
      <c r="G347" s="17">
        <f>'12 - Device_Configuration'!L348</f>
        <v>0</v>
      </c>
      <c r="H347" s="17">
        <f>'13 - Config_Intake_View'!M347</f>
        <v>0</v>
      </c>
      <c r="I347" s="30">
        <f>IF('13 - Config_Intake_View'!Q347&lt;&gt;"",'13 - Config_Intake_View'!Q347,'12 - Device_Configuration'!BH348)</f>
        <v>0</v>
      </c>
      <c r="J347" s="17" t="str">
        <f>IF('13 - Config_Intake_View'!Q347&lt;&gt;"","PM Approved",IF('12 - Device_Configuration'!BH348&lt;&gt;"","Assumed",""))</f>
        <v/>
      </c>
      <c r="K347" s="30">
        <f>'12 - Device_Configuration'!BG348</f>
        <v>0</v>
      </c>
      <c r="L347" s="17">
        <f>'12 - Device_Configuration'!P348</f>
        <v>0</v>
      </c>
      <c r="M347" s="17">
        <f>'12 - Device_Configuration'!Q348</f>
        <v>0</v>
      </c>
      <c r="N347" s="17" t="str">
        <f>'12 - Device_Configuration'!BK348</f>
        <v/>
      </c>
      <c r="O347" s="30" t="str">
        <f>'12 - Device_Configuration'!BL348</f>
        <v/>
      </c>
      <c r="P347" s="2">
        <f>'12 - Device_Configuration'!BA348</f>
        <v>0</v>
      </c>
      <c r="Q347" s="30" t="str">
        <f t="shared" si="20"/>
        <v/>
      </c>
      <c r="R347" s="17" t="str">
        <f t="shared" si="21"/>
        <v>SW NOT INSTALLED</v>
      </c>
      <c r="S347" s="17" t="str">
        <f t="shared" si="22"/>
        <v/>
      </c>
      <c r="T347" s="17" t="str">
        <f t="shared" si="23"/>
        <v>SW NOT INSTALLED</v>
      </c>
    </row>
    <row r="348" spans="1:20">
      <c r="A348" s="30">
        <f>'12 - Device_Configuration'!H349</f>
        <v>0</v>
      </c>
      <c r="B348" s="30">
        <f>'12 - Device_Configuration'!S349</f>
        <v>0</v>
      </c>
      <c r="C348" s="30">
        <f>'12 - Device_Configuration'!T349</f>
        <v>0</v>
      </c>
      <c r="D348" s="17">
        <f>'12 - Device_Configuration'!AJ349</f>
        <v>0</v>
      </c>
      <c r="E348" s="17">
        <f>'12 - Device_Configuration'!J349</f>
        <v>0</v>
      </c>
      <c r="F348" s="30">
        <f>'12 - Device_Configuration'!K349</f>
        <v>0</v>
      </c>
      <c r="G348" s="17">
        <f>'12 - Device_Configuration'!L349</f>
        <v>0</v>
      </c>
      <c r="H348" s="17">
        <f>'13 - Config_Intake_View'!M348</f>
        <v>0</v>
      </c>
      <c r="I348" s="30">
        <f>IF('13 - Config_Intake_View'!Q348&lt;&gt;"",'13 - Config_Intake_View'!Q348,'12 - Device_Configuration'!BH349)</f>
        <v>0</v>
      </c>
      <c r="J348" s="17" t="str">
        <f>IF('13 - Config_Intake_View'!Q348&lt;&gt;"","PM Approved",IF('12 - Device_Configuration'!BH349&lt;&gt;"","Assumed",""))</f>
        <v/>
      </c>
      <c r="K348" s="30">
        <f>'12 - Device_Configuration'!BG349</f>
        <v>0</v>
      </c>
      <c r="L348" s="17">
        <f>'12 - Device_Configuration'!P349</f>
        <v>0</v>
      </c>
      <c r="M348" s="17">
        <f>'12 - Device_Configuration'!Q349</f>
        <v>0</v>
      </c>
      <c r="N348" s="17" t="str">
        <f>'12 - Device_Configuration'!BK349</f>
        <v/>
      </c>
      <c r="O348" s="30" t="str">
        <f>'12 - Device_Configuration'!BL349</f>
        <v/>
      </c>
      <c r="P348" s="2">
        <f>'12 - Device_Configuration'!BA349</f>
        <v>0</v>
      </c>
      <c r="Q348" s="30" t="str">
        <f t="shared" si="20"/>
        <v/>
      </c>
      <c r="R348" s="17" t="str">
        <f t="shared" si="21"/>
        <v>SW NOT INSTALLED</v>
      </c>
      <c r="S348" s="17" t="str">
        <f t="shared" si="22"/>
        <v/>
      </c>
      <c r="T348" s="17" t="str">
        <f t="shared" si="23"/>
        <v>SW NOT INSTALLED</v>
      </c>
    </row>
    <row r="349" spans="1:20">
      <c r="A349" s="30">
        <f>'12 - Device_Configuration'!H350</f>
        <v>0</v>
      </c>
      <c r="B349" s="30">
        <f>'12 - Device_Configuration'!S350</f>
        <v>0</v>
      </c>
      <c r="C349" s="30">
        <f>'12 - Device_Configuration'!T350</f>
        <v>0</v>
      </c>
      <c r="D349" s="17">
        <f>'12 - Device_Configuration'!AJ350</f>
        <v>0</v>
      </c>
      <c r="E349" s="17">
        <f>'12 - Device_Configuration'!J350</f>
        <v>0</v>
      </c>
      <c r="F349" s="30">
        <f>'12 - Device_Configuration'!K350</f>
        <v>0</v>
      </c>
      <c r="G349" s="17">
        <f>'12 - Device_Configuration'!L350</f>
        <v>0</v>
      </c>
      <c r="H349" s="17">
        <f>'13 - Config_Intake_View'!M349</f>
        <v>0</v>
      </c>
      <c r="I349" s="30">
        <f>IF('13 - Config_Intake_View'!Q349&lt;&gt;"",'13 - Config_Intake_View'!Q349,'12 - Device_Configuration'!BH350)</f>
        <v>0</v>
      </c>
      <c r="J349" s="17" t="str">
        <f>IF('13 - Config_Intake_View'!Q349&lt;&gt;"","PM Approved",IF('12 - Device_Configuration'!BH350&lt;&gt;"","Assumed",""))</f>
        <v/>
      </c>
      <c r="K349" s="30">
        <f>'12 - Device_Configuration'!BG350</f>
        <v>0</v>
      </c>
      <c r="L349" s="17">
        <f>'12 - Device_Configuration'!P350</f>
        <v>0</v>
      </c>
      <c r="M349" s="17">
        <f>'12 - Device_Configuration'!Q350</f>
        <v>0</v>
      </c>
      <c r="N349" s="17" t="str">
        <f>'12 - Device_Configuration'!BK350</f>
        <v/>
      </c>
      <c r="O349" s="30" t="str">
        <f>'12 - Device_Configuration'!BL350</f>
        <v/>
      </c>
      <c r="P349" s="2">
        <f>'12 - Device_Configuration'!BA350</f>
        <v>0</v>
      </c>
      <c r="Q349" s="30" t="str">
        <f t="shared" si="20"/>
        <v/>
      </c>
      <c r="R349" s="17" t="str">
        <f t="shared" si="21"/>
        <v>SW NOT INSTALLED</v>
      </c>
      <c r="S349" s="17" t="str">
        <f t="shared" si="22"/>
        <v/>
      </c>
      <c r="T349" s="17" t="str">
        <f t="shared" si="23"/>
        <v>SW NOT INSTALLED</v>
      </c>
    </row>
    <row r="350" spans="1:20">
      <c r="A350" s="30">
        <f>'12 - Device_Configuration'!H351</f>
        <v>0</v>
      </c>
      <c r="B350" s="30">
        <f>'12 - Device_Configuration'!S351</f>
        <v>0</v>
      </c>
      <c r="C350" s="30">
        <f>'12 - Device_Configuration'!T351</f>
        <v>0</v>
      </c>
      <c r="D350" s="17">
        <f>'12 - Device_Configuration'!AJ351</f>
        <v>0</v>
      </c>
      <c r="E350" s="17">
        <f>'12 - Device_Configuration'!J351</f>
        <v>0</v>
      </c>
      <c r="F350" s="30">
        <f>'12 - Device_Configuration'!K351</f>
        <v>0</v>
      </c>
      <c r="G350" s="17">
        <f>'12 - Device_Configuration'!L351</f>
        <v>0</v>
      </c>
      <c r="H350" s="17">
        <f>'13 - Config_Intake_View'!M350</f>
        <v>0</v>
      </c>
      <c r="I350" s="30">
        <f>IF('13 - Config_Intake_View'!Q350&lt;&gt;"",'13 - Config_Intake_View'!Q350,'12 - Device_Configuration'!BH351)</f>
        <v>0</v>
      </c>
      <c r="J350" s="17" t="str">
        <f>IF('13 - Config_Intake_View'!Q350&lt;&gt;"","PM Approved",IF('12 - Device_Configuration'!BH351&lt;&gt;"","Assumed",""))</f>
        <v/>
      </c>
      <c r="K350" s="30">
        <f>'12 - Device_Configuration'!BG351</f>
        <v>0</v>
      </c>
      <c r="L350" s="17">
        <f>'12 - Device_Configuration'!P351</f>
        <v>0</v>
      </c>
      <c r="M350" s="17">
        <f>'12 - Device_Configuration'!Q351</f>
        <v>0</v>
      </c>
      <c r="N350" s="17" t="str">
        <f>'12 - Device_Configuration'!BK351</f>
        <v/>
      </c>
      <c r="O350" s="30" t="str">
        <f>'12 - Device_Configuration'!BL351</f>
        <v/>
      </c>
      <c r="P350" s="2">
        <f>'12 - Device_Configuration'!BA351</f>
        <v>0</v>
      </c>
      <c r="Q350" s="30" t="str">
        <f t="shared" si="20"/>
        <v/>
      </c>
      <c r="R350" s="17" t="str">
        <f t="shared" si="21"/>
        <v>SW NOT INSTALLED</v>
      </c>
      <c r="S350" s="17" t="str">
        <f t="shared" si="22"/>
        <v/>
      </c>
      <c r="T350" s="17" t="str">
        <f t="shared" si="23"/>
        <v>SW NOT INSTALLED</v>
      </c>
    </row>
    <row r="351" spans="1:20">
      <c r="A351" s="30">
        <f>'12 - Device_Configuration'!H352</f>
        <v>0</v>
      </c>
      <c r="B351" s="30">
        <f>'12 - Device_Configuration'!S352</f>
        <v>0</v>
      </c>
      <c r="C351" s="30">
        <f>'12 - Device_Configuration'!T352</f>
        <v>0</v>
      </c>
      <c r="D351" s="17">
        <f>'12 - Device_Configuration'!AJ352</f>
        <v>0</v>
      </c>
      <c r="E351" s="17">
        <f>'12 - Device_Configuration'!J352</f>
        <v>0</v>
      </c>
      <c r="F351" s="30">
        <f>'12 - Device_Configuration'!K352</f>
        <v>0</v>
      </c>
      <c r="G351" s="17">
        <f>'12 - Device_Configuration'!L352</f>
        <v>0</v>
      </c>
      <c r="H351" s="17">
        <f>'13 - Config_Intake_View'!M351</f>
        <v>0</v>
      </c>
      <c r="I351" s="30">
        <f>IF('13 - Config_Intake_View'!Q351&lt;&gt;"",'13 - Config_Intake_View'!Q351,'12 - Device_Configuration'!BH352)</f>
        <v>0</v>
      </c>
      <c r="J351" s="17" t="str">
        <f>IF('13 - Config_Intake_View'!Q351&lt;&gt;"","PM Approved",IF('12 - Device_Configuration'!BH352&lt;&gt;"","Assumed",""))</f>
        <v/>
      </c>
      <c r="K351" s="30">
        <f>'12 - Device_Configuration'!BG352</f>
        <v>0</v>
      </c>
      <c r="L351" s="17">
        <f>'12 - Device_Configuration'!P352</f>
        <v>0</v>
      </c>
      <c r="M351" s="17">
        <f>'12 - Device_Configuration'!Q352</f>
        <v>0</v>
      </c>
      <c r="N351" s="17" t="str">
        <f>'12 - Device_Configuration'!BK352</f>
        <v/>
      </c>
      <c r="O351" s="30" t="str">
        <f>'12 - Device_Configuration'!BL352</f>
        <v/>
      </c>
      <c r="P351" s="2">
        <f>'12 - Device_Configuration'!BA352</f>
        <v>0</v>
      </c>
      <c r="Q351" s="30" t="str">
        <f t="shared" si="20"/>
        <v/>
      </c>
      <c r="R351" s="17" t="str">
        <f t="shared" si="21"/>
        <v>SW NOT INSTALLED</v>
      </c>
      <c r="S351" s="17" t="str">
        <f t="shared" si="22"/>
        <v/>
      </c>
      <c r="T351" s="17" t="str">
        <f t="shared" si="23"/>
        <v>SW NOT INSTALLED</v>
      </c>
    </row>
    <row r="352" spans="1:20">
      <c r="A352" s="30">
        <f>'12 - Device_Configuration'!H353</f>
        <v>0</v>
      </c>
      <c r="B352" s="30">
        <f>'12 - Device_Configuration'!S353</f>
        <v>0</v>
      </c>
      <c r="C352" s="30">
        <f>'12 - Device_Configuration'!T353</f>
        <v>0</v>
      </c>
      <c r="D352" s="17">
        <f>'12 - Device_Configuration'!AJ353</f>
        <v>0</v>
      </c>
      <c r="E352" s="17">
        <f>'12 - Device_Configuration'!J353</f>
        <v>0</v>
      </c>
      <c r="F352" s="30">
        <f>'12 - Device_Configuration'!K353</f>
        <v>0</v>
      </c>
      <c r="G352" s="17">
        <f>'12 - Device_Configuration'!L353</f>
        <v>0</v>
      </c>
      <c r="H352" s="17">
        <f>'13 - Config_Intake_View'!M352</f>
        <v>0</v>
      </c>
      <c r="I352" s="30">
        <f>IF('13 - Config_Intake_View'!Q352&lt;&gt;"",'13 - Config_Intake_View'!Q352,'12 - Device_Configuration'!BH353)</f>
        <v>0</v>
      </c>
      <c r="J352" s="17" t="str">
        <f>IF('13 - Config_Intake_View'!Q352&lt;&gt;"","PM Approved",IF('12 - Device_Configuration'!BH353&lt;&gt;"","Assumed",""))</f>
        <v/>
      </c>
      <c r="K352" s="30">
        <f>'12 - Device_Configuration'!BG353</f>
        <v>0</v>
      </c>
      <c r="L352" s="17">
        <f>'12 - Device_Configuration'!P353</f>
        <v>0</v>
      </c>
      <c r="M352" s="17">
        <f>'12 - Device_Configuration'!Q353</f>
        <v>0</v>
      </c>
      <c r="N352" s="17" t="str">
        <f>'12 - Device_Configuration'!BK353</f>
        <v/>
      </c>
      <c r="O352" s="30" t="str">
        <f>'12 - Device_Configuration'!BL353</f>
        <v/>
      </c>
      <c r="P352" s="2">
        <f>'12 - Device_Configuration'!BA353</f>
        <v>0</v>
      </c>
      <c r="Q352" s="30" t="str">
        <f t="shared" si="20"/>
        <v/>
      </c>
      <c r="R352" s="17" t="str">
        <f t="shared" si="21"/>
        <v>SW NOT INSTALLED</v>
      </c>
      <c r="S352" s="17" t="str">
        <f t="shared" si="22"/>
        <v/>
      </c>
      <c r="T352" s="17" t="str">
        <f t="shared" si="23"/>
        <v>SW NOT INSTALLED</v>
      </c>
    </row>
    <row r="353" spans="1:20">
      <c r="A353" s="30">
        <f>'12 - Device_Configuration'!H354</f>
        <v>0</v>
      </c>
      <c r="B353" s="30">
        <f>'12 - Device_Configuration'!S354</f>
        <v>0</v>
      </c>
      <c r="C353" s="30">
        <f>'12 - Device_Configuration'!T354</f>
        <v>0</v>
      </c>
      <c r="D353" s="17">
        <f>'12 - Device_Configuration'!AJ354</f>
        <v>0</v>
      </c>
      <c r="E353" s="17">
        <f>'12 - Device_Configuration'!J354</f>
        <v>0</v>
      </c>
      <c r="F353" s="30">
        <f>'12 - Device_Configuration'!K354</f>
        <v>0</v>
      </c>
      <c r="G353" s="17">
        <f>'12 - Device_Configuration'!L354</f>
        <v>0</v>
      </c>
      <c r="H353" s="17">
        <f>'13 - Config_Intake_View'!M353</f>
        <v>0</v>
      </c>
      <c r="I353" s="30">
        <f>IF('13 - Config_Intake_View'!Q353&lt;&gt;"",'13 - Config_Intake_View'!Q353,'12 - Device_Configuration'!BH354)</f>
        <v>0</v>
      </c>
      <c r="J353" s="17" t="str">
        <f>IF('13 - Config_Intake_View'!Q353&lt;&gt;"","PM Approved",IF('12 - Device_Configuration'!BH354&lt;&gt;"","Assumed",""))</f>
        <v/>
      </c>
      <c r="K353" s="30">
        <f>'12 - Device_Configuration'!BG354</f>
        <v>0</v>
      </c>
      <c r="L353" s="17">
        <f>'12 - Device_Configuration'!P354</f>
        <v>0</v>
      </c>
      <c r="M353" s="17">
        <f>'12 - Device_Configuration'!Q354</f>
        <v>0</v>
      </c>
      <c r="N353" s="17" t="str">
        <f>'12 - Device_Configuration'!BK354</f>
        <v/>
      </c>
      <c r="O353" s="30" t="str">
        <f>'12 - Device_Configuration'!BL354</f>
        <v/>
      </c>
      <c r="P353" s="2">
        <f>'12 - Device_Configuration'!BA354</f>
        <v>0</v>
      </c>
      <c r="Q353" s="30" t="str">
        <f t="shared" si="20"/>
        <v/>
      </c>
      <c r="R353" s="17" t="str">
        <f t="shared" si="21"/>
        <v>SW NOT INSTALLED</v>
      </c>
      <c r="S353" s="17" t="str">
        <f t="shared" si="22"/>
        <v/>
      </c>
      <c r="T353" s="17" t="str">
        <f t="shared" si="23"/>
        <v>SW NOT INSTALLED</v>
      </c>
    </row>
    <row r="354" spans="1:20">
      <c r="A354" s="30">
        <f>'12 - Device_Configuration'!H355</f>
        <v>0</v>
      </c>
      <c r="B354" s="30">
        <f>'12 - Device_Configuration'!S355</f>
        <v>0</v>
      </c>
      <c r="C354" s="30">
        <f>'12 - Device_Configuration'!T355</f>
        <v>0</v>
      </c>
      <c r="D354" s="17">
        <f>'12 - Device_Configuration'!AJ355</f>
        <v>0</v>
      </c>
      <c r="E354" s="17">
        <f>'12 - Device_Configuration'!J355</f>
        <v>0</v>
      </c>
      <c r="F354" s="30">
        <f>'12 - Device_Configuration'!K355</f>
        <v>0</v>
      </c>
      <c r="G354" s="17">
        <f>'12 - Device_Configuration'!L355</f>
        <v>0</v>
      </c>
      <c r="H354" s="17">
        <f>'13 - Config_Intake_View'!M354</f>
        <v>0</v>
      </c>
      <c r="I354" s="30">
        <f>IF('13 - Config_Intake_View'!Q354&lt;&gt;"",'13 - Config_Intake_View'!Q354,'12 - Device_Configuration'!BH355)</f>
        <v>0</v>
      </c>
      <c r="J354" s="17" t="str">
        <f>IF('13 - Config_Intake_View'!Q354&lt;&gt;"","PM Approved",IF('12 - Device_Configuration'!BH355&lt;&gt;"","Assumed",""))</f>
        <v/>
      </c>
      <c r="K354" s="30">
        <f>'12 - Device_Configuration'!BG355</f>
        <v>0</v>
      </c>
      <c r="L354" s="17">
        <f>'12 - Device_Configuration'!P355</f>
        <v>0</v>
      </c>
      <c r="M354" s="17">
        <f>'12 - Device_Configuration'!Q355</f>
        <v>0</v>
      </c>
      <c r="N354" s="17" t="str">
        <f>'12 - Device_Configuration'!BK355</f>
        <v/>
      </c>
      <c r="O354" s="30" t="str">
        <f>'12 - Device_Configuration'!BL355</f>
        <v/>
      </c>
      <c r="P354" s="2">
        <f>'12 - Device_Configuration'!BA355</f>
        <v>0</v>
      </c>
      <c r="Q354" s="30" t="str">
        <f t="shared" si="20"/>
        <v/>
      </c>
      <c r="R354" s="17" t="str">
        <f t="shared" si="21"/>
        <v>SW NOT INSTALLED</v>
      </c>
      <c r="S354" s="17" t="str">
        <f t="shared" si="22"/>
        <v/>
      </c>
      <c r="T354" s="17" t="str">
        <f t="shared" si="23"/>
        <v>SW NOT INSTALLED</v>
      </c>
    </row>
    <row r="355" spans="1:20">
      <c r="A355" s="30">
        <f>'12 - Device_Configuration'!H356</f>
        <v>0</v>
      </c>
      <c r="B355" s="30">
        <f>'12 - Device_Configuration'!S356</f>
        <v>0</v>
      </c>
      <c r="C355" s="30">
        <f>'12 - Device_Configuration'!T356</f>
        <v>0</v>
      </c>
      <c r="D355" s="17">
        <f>'12 - Device_Configuration'!AJ356</f>
        <v>0</v>
      </c>
      <c r="E355" s="17">
        <f>'12 - Device_Configuration'!J356</f>
        <v>0</v>
      </c>
      <c r="F355" s="30">
        <f>'12 - Device_Configuration'!K356</f>
        <v>0</v>
      </c>
      <c r="G355" s="17">
        <f>'12 - Device_Configuration'!L356</f>
        <v>0</v>
      </c>
      <c r="H355" s="17">
        <f>'13 - Config_Intake_View'!M355</f>
        <v>0</v>
      </c>
      <c r="I355" s="30">
        <f>IF('13 - Config_Intake_View'!Q355&lt;&gt;"",'13 - Config_Intake_View'!Q355,'12 - Device_Configuration'!BH356)</f>
        <v>0</v>
      </c>
      <c r="J355" s="17" t="str">
        <f>IF('13 - Config_Intake_View'!Q355&lt;&gt;"","PM Approved",IF('12 - Device_Configuration'!BH356&lt;&gt;"","Assumed",""))</f>
        <v/>
      </c>
      <c r="K355" s="30">
        <f>'12 - Device_Configuration'!BG356</f>
        <v>0</v>
      </c>
      <c r="L355" s="17">
        <f>'12 - Device_Configuration'!P356</f>
        <v>0</v>
      </c>
      <c r="M355" s="17">
        <f>'12 - Device_Configuration'!Q356</f>
        <v>0</v>
      </c>
      <c r="N355" s="17" t="str">
        <f>'12 - Device_Configuration'!BK356</f>
        <v/>
      </c>
      <c r="O355" s="30" t="str">
        <f>'12 - Device_Configuration'!BL356</f>
        <v/>
      </c>
      <c r="P355" s="2">
        <f>'12 - Device_Configuration'!BA356</f>
        <v>0</v>
      </c>
      <c r="Q355" s="30" t="str">
        <f t="shared" si="20"/>
        <v/>
      </c>
      <c r="R355" s="17" t="str">
        <f t="shared" si="21"/>
        <v>SW NOT INSTALLED</v>
      </c>
      <c r="S355" s="17" t="str">
        <f t="shared" si="22"/>
        <v/>
      </c>
      <c r="T355" s="17" t="str">
        <f t="shared" si="23"/>
        <v>SW NOT INSTALLED</v>
      </c>
    </row>
    <row r="356" spans="1:20">
      <c r="A356" s="30">
        <f>'12 - Device_Configuration'!H357</f>
        <v>0</v>
      </c>
      <c r="B356" s="30">
        <f>'12 - Device_Configuration'!S357</f>
        <v>0</v>
      </c>
      <c r="C356" s="30">
        <f>'12 - Device_Configuration'!T357</f>
        <v>0</v>
      </c>
      <c r="D356" s="17">
        <f>'12 - Device_Configuration'!AJ357</f>
        <v>0</v>
      </c>
      <c r="E356" s="17">
        <f>'12 - Device_Configuration'!J357</f>
        <v>0</v>
      </c>
      <c r="F356" s="30">
        <f>'12 - Device_Configuration'!K357</f>
        <v>0</v>
      </c>
      <c r="G356" s="17">
        <f>'12 - Device_Configuration'!L357</f>
        <v>0</v>
      </c>
      <c r="H356" s="17">
        <f>'13 - Config_Intake_View'!M356</f>
        <v>0</v>
      </c>
      <c r="I356" s="30">
        <f>IF('13 - Config_Intake_View'!Q356&lt;&gt;"",'13 - Config_Intake_View'!Q356,'12 - Device_Configuration'!BH357)</f>
        <v>0</v>
      </c>
      <c r="J356" s="17" t="str">
        <f>IF('13 - Config_Intake_View'!Q356&lt;&gt;"","PM Approved",IF('12 - Device_Configuration'!BH357&lt;&gt;"","Assumed",""))</f>
        <v/>
      </c>
      <c r="K356" s="30">
        <f>'12 - Device_Configuration'!BG357</f>
        <v>0</v>
      </c>
      <c r="L356" s="17">
        <f>'12 - Device_Configuration'!P357</f>
        <v>0</v>
      </c>
      <c r="M356" s="17">
        <f>'12 - Device_Configuration'!Q357</f>
        <v>0</v>
      </c>
      <c r="N356" s="17" t="str">
        <f>'12 - Device_Configuration'!BK357</f>
        <v/>
      </c>
      <c r="O356" s="30" t="str">
        <f>'12 - Device_Configuration'!BL357</f>
        <v/>
      </c>
      <c r="P356" s="2">
        <f>'12 - Device_Configuration'!BA357</f>
        <v>0</v>
      </c>
      <c r="Q356" s="30" t="str">
        <f t="shared" si="20"/>
        <v/>
      </c>
      <c r="R356" s="17" t="str">
        <f t="shared" si="21"/>
        <v>SW NOT INSTALLED</v>
      </c>
      <c r="S356" s="17" t="str">
        <f t="shared" si="22"/>
        <v/>
      </c>
      <c r="T356" s="17" t="str">
        <f t="shared" si="23"/>
        <v>SW NOT INSTALLED</v>
      </c>
    </row>
    <row r="357" spans="1:20">
      <c r="A357" s="30">
        <f>'12 - Device_Configuration'!H358</f>
        <v>0</v>
      </c>
      <c r="B357" s="30">
        <f>'12 - Device_Configuration'!S358</f>
        <v>0</v>
      </c>
      <c r="C357" s="30">
        <f>'12 - Device_Configuration'!T358</f>
        <v>0</v>
      </c>
      <c r="D357" s="17">
        <f>'12 - Device_Configuration'!AJ358</f>
        <v>0</v>
      </c>
      <c r="E357" s="17">
        <f>'12 - Device_Configuration'!J358</f>
        <v>0</v>
      </c>
      <c r="F357" s="30">
        <f>'12 - Device_Configuration'!K358</f>
        <v>0</v>
      </c>
      <c r="G357" s="17">
        <f>'12 - Device_Configuration'!L358</f>
        <v>0</v>
      </c>
      <c r="H357" s="17">
        <f>'13 - Config_Intake_View'!M357</f>
        <v>0</v>
      </c>
      <c r="I357" s="30">
        <f>IF('13 - Config_Intake_View'!Q357&lt;&gt;"",'13 - Config_Intake_View'!Q357,'12 - Device_Configuration'!BH358)</f>
        <v>0</v>
      </c>
      <c r="J357" s="17" t="str">
        <f>IF('13 - Config_Intake_View'!Q357&lt;&gt;"","PM Approved",IF('12 - Device_Configuration'!BH358&lt;&gt;"","Assumed",""))</f>
        <v/>
      </c>
      <c r="K357" s="30">
        <f>'12 - Device_Configuration'!BG358</f>
        <v>0</v>
      </c>
      <c r="L357" s="17">
        <f>'12 - Device_Configuration'!P358</f>
        <v>0</v>
      </c>
      <c r="M357" s="17">
        <f>'12 - Device_Configuration'!Q358</f>
        <v>0</v>
      </c>
      <c r="N357" s="17" t="str">
        <f>'12 - Device_Configuration'!BK358</f>
        <v/>
      </c>
      <c r="O357" s="30" t="str">
        <f>'12 - Device_Configuration'!BL358</f>
        <v/>
      </c>
      <c r="P357" s="2">
        <f>'12 - Device_Configuration'!BA358</f>
        <v>0</v>
      </c>
      <c r="Q357" s="30" t="str">
        <f t="shared" si="20"/>
        <v/>
      </c>
      <c r="R357" s="17" t="str">
        <f t="shared" si="21"/>
        <v>SW NOT INSTALLED</v>
      </c>
      <c r="S357" s="17" t="str">
        <f t="shared" si="22"/>
        <v/>
      </c>
      <c r="T357" s="17" t="str">
        <f t="shared" si="23"/>
        <v>SW NOT INSTALLED</v>
      </c>
    </row>
    <row r="358" spans="1:20">
      <c r="A358" s="30">
        <f>'12 - Device_Configuration'!H359</f>
        <v>0</v>
      </c>
      <c r="B358" s="30">
        <f>'12 - Device_Configuration'!S359</f>
        <v>0</v>
      </c>
      <c r="C358" s="30">
        <f>'12 - Device_Configuration'!T359</f>
        <v>0</v>
      </c>
      <c r="D358" s="17">
        <f>'12 - Device_Configuration'!AJ359</f>
        <v>0</v>
      </c>
      <c r="E358" s="17">
        <f>'12 - Device_Configuration'!J359</f>
        <v>0</v>
      </c>
      <c r="F358" s="30">
        <f>'12 - Device_Configuration'!K359</f>
        <v>0</v>
      </c>
      <c r="G358" s="17">
        <f>'12 - Device_Configuration'!L359</f>
        <v>0</v>
      </c>
      <c r="H358" s="17">
        <f>'13 - Config_Intake_View'!M358</f>
        <v>0</v>
      </c>
      <c r="I358" s="30">
        <f>IF('13 - Config_Intake_View'!Q358&lt;&gt;"",'13 - Config_Intake_View'!Q358,'12 - Device_Configuration'!BH359)</f>
        <v>0</v>
      </c>
      <c r="J358" s="17" t="str">
        <f>IF('13 - Config_Intake_View'!Q358&lt;&gt;"","PM Approved",IF('12 - Device_Configuration'!BH359&lt;&gt;"","Assumed",""))</f>
        <v/>
      </c>
      <c r="K358" s="30">
        <f>'12 - Device_Configuration'!BG359</f>
        <v>0</v>
      </c>
      <c r="L358" s="17">
        <f>'12 - Device_Configuration'!P359</f>
        <v>0</v>
      </c>
      <c r="M358" s="17">
        <f>'12 - Device_Configuration'!Q359</f>
        <v>0</v>
      </c>
      <c r="N358" s="17" t="str">
        <f>'12 - Device_Configuration'!BK359</f>
        <v/>
      </c>
      <c r="O358" s="30" t="str">
        <f>'12 - Device_Configuration'!BL359</f>
        <v/>
      </c>
      <c r="P358" s="2">
        <f>'12 - Device_Configuration'!BA359</f>
        <v>0</v>
      </c>
      <c r="Q358" s="30" t="str">
        <f t="shared" si="20"/>
        <v/>
      </c>
      <c r="R358" s="17" t="str">
        <f t="shared" si="21"/>
        <v>SW NOT INSTALLED</v>
      </c>
      <c r="S358" s="17" t="str">
        <f t="shared" si="22"/>
        <v/>
      </c>
      <c r="T358" s="17" t="str">
        <f t="shared" si="23"/>
        <v>SW NOT INSTALLED</v>
      </c>
    </row>
    <row r="359" spans="1:20">
      <c r="A359" s="30">
        <f>'12 - Device_Configuration'!H360</f>
        <v>0</v>
      </c>
      <c r="B359" s="30">
        <f>'12 - Device_Configuration'!S360</f>
        <v>0</v>
      </c>
      <c r="C359" s="30">
        <f>'12 - Device_Configuration'!T360</f>
        <v>0</v>
      </c>
      <c r="D359" s="17">
        <f>'12 - Device_Configuration'!AJ360</f>
        <v>0</v>
      </c>
      <c r="E359" s="17">
        <f>'12 - Device_Configuration'!J360</f>
        <v>0</v>
      </c>
      <c r="F359" s="30">
        <f>'12 - Device_Configuration'!K360</f>
        <v>0</v>
      </c>
      <c r="G359" s="17">
        <f>'12 - Device_Configuration'!L360</f>
        <v>0</v>
      </c>
      <c r="H359" s="17">
        <f>'13 - Config_Intake_View'!M359</f>
        <v>0</v>
      </c>
      <c r="I359" s="30">
        <f>IF('13 - Config_Intake_View'!Q359&lt;&gt;"",'13 - Config_Intake_View'!Q359,'12 - Device_Configuration'!BH360)</f>
        <v>0</v>
      </c>
      <c r="J359" s="17" t="str">
        <f>IF('13 - Config_Intake_View'!Q359&lt;&gt;"","PM Approved",IF('12 - Device_Configuration'!BH360&lt;&gt;"","Assumed",""))</f>
        <v/>
      </c>
      <c r="K359" s="30">
        <f>'12 - Device_Configuration'!BG360</f>
        <v>0</v>
      </c>
      <c r="L359" s="17">
        <f>'12 - Device_Configuration'!P360</f>
        <v>0</v>
      </c>
      <c r="M359" s="17">
        <f>'12 - Device_Configuration'!Q360</f>
        <v>0</v>
      </c>
      <c r="N359" s="17" t="str">
        <f>'12 - Device_Configuration'!BK360</f>
        <v/>
      </c>
      <c r="O359" s="30" t="str">
        <f>'12 - Device_Configuration'!BL360</f>
        <v/>
      </c>
      <c r="P359" s="2">
        <f>'12 - Device_Configuration'!BA360</f>
        <v>0</v>
      </c>
      <c r="Q359" s="30" t="str">
        <f t="shared" si="20"/>
        <v/>
      </c>
      <c r="R359" s="17" t="str">
        <f t="shared" si="21"/>
        <v>SW NOT INSTALLED</v>
      </c>
      <c r="S359" s="17" t="str">
        <f t="shared" si="22"/>
        <v/>
      </c>
      <c r="T359" s="17" t="str">
        <f t="shared" si="23"/>
        <v>SW NOT INSTALLED</v>
      </c>
    </row>
    <row r="360" spans="1:20">
      <c r="A360" s="30">
        <f>'12 - Device_Configuration'!H361</f>
        <v>0</v>
      </c>
      <c r="B360" s="30">
        <f>'12 - Device_Configuration'!S361</f>
        <v>0</v>
      </c>
      <c r="C360" s="30">
        <f>'12 - Device_Configuration'!T361</f>
        <v>0</v>
      </c>
      <c r="D360" s="17">
        <f>'12 - Device_Configuration'!AJ361</f>
        <v>0</v>
      </c>
      <c r="E360" s="17">
        <f>'12 - Device_Configuration'!J361</f>
        <v>0</v>
      </c>
      <c r="F360" s="30">
        <f>'12 - Device_Configuration'!K361</f>
        <v>0</v>
      </c>
      <c r="G360" s="17">
        <f>'12 - Device_Configuration'!L361</f>
        <v>0</v>
      </c>
      <c r="H360" s="17">
        <f>'13 - Config_Intake_View'!M360</f>
        <v>0</v>
      </c>
      <c r="I360" s="30">
        <f>IF('13 - Config_Intake_View'!Q360&lt;&gt;"",'13 - Config_Intake_View'!Q360,'12 - Device_Configuration'!BH361)</f>
        <v>0</v>
      </c>
      <c r="J360" s="17" t="str">
        <f>IF('13 - Config_Intake_View'!Q360&lt;&gt;"","PM Approved",IF('12 - Device_Configuration'!BH361&lt;&gt;"","Assumed",""))</f>
        <v/>
      </c>
      <c r="K360" s="30">
        <f>'12 - Device_Configuration'!BG361</f>
        <v>0</v>
      </c>
      <c r="L360" s="17">
        <f>'12 - Device_Configuration'!P361</f>
        <v>0</v>
      </c>
      <c r="M360" s="17">
        <f>'12 - Device_Configuration'!Q361</f>
        <v>0</v>
      </c>
      <c r="N360" s="17" t="str">
        <f>'12 - Device_Configuration'!BK361</f>
        <v/>
      </c>
      <c r="O360" s="30" t="str">
        <f>'12 - Device_Configuration'!BL361</f>
        <v/>
      </c>
      <c r="P360" s="2">
        <f>'12 - Device_Configuration'!BA361</f>
        <v>0</v>
      </c>
      <c r="Q360" s="30" t="str">
        <f t="shared" si="20"/>
        <v/>
      </c>
      <c r="R360" s="17" t="str">
        <f t="shared" si="21"/>
        <v>SW NOT INSTALLED</v>
      </c>
      <c r="S360" s="17" t="str">
        <f t="shared" si="22"/>
        <v/>
      </c>
      <c r="T360" s="17" t="str">
        <f t="shared" si="23"/>
        <v>SW NOT INSTALLED</v>
      </c>
    </row>
    <row r="361" spans="1:20">
      <c r="A361" s="30">
        <f>'12 - Device_Configuration'!H362</f>
        <v>0</v>
      </c>
      <c r="B361" s="30">
        <f>'12 - Device_Configuration'!S362</f>
        <v>0</v>
      </c>
      <c r="C361" s="30">
        <f>'12 - Device_Configuration'!T362</f>
        <v>0</v>
      </c>
      <c r="D361" s="17">
        <f>'12 - Device_Configuration'!AJ362</f>
        <v>0</v>
      </c>
      <c r="E361" s="17">
        <f>'12 - Device_Configuration'!J362</f>
        <v>0</v>
      </c>
      <c r="F361" s="30">
        <f>'12 - Device_Configuration'!K362</f>
        <v>0</v>
      </c>
      <c r="G361" s="17">
        <f>'12 - Device_Configuration'!L362</f>
        <v>0</v>
      </c>
      <c r="H361" s="17">
        <f>'13 - Config_Intake_View'!M361</f>
        <v>0</v>
      </c>
      <c r="I361" s="30">
        <f>IF('13 - Config_Intake_View'!Q361&lt;&gt;"",'13 - Config_Intake_View'!Q361,'12 - Device_Configuration'!BH362)</f>
        <v>0</v>
      </c>
      <c r="J361" s="17" t="str">
        <f>IF('13 - Config_Intake_View'!Q361&lt;&gt;"","PM Approved",IF('12 - Device_Configuration'!BH362&lt;&gt;"","Assumed",""))</f>
        <v/>
      </c>
      <c r="K361" s="30">
        <f>'12 - Device_Configuration'!BG362</f>
        <v>0</v>
      </c>
      <c r="L361" s="17">
        <f>'12 - Device_Configuration'!P362</f>
        <v>0</v>
      </c>
      <c r="M361" s="17">
        <f>'12 - Device_Configuration'!Q362</f>
        <v>0</v>
      </c>
      <c r="N361" s="17" t="str">
        <f>'12 - Device_Configuration'!BK362</f>
        <v/>
      </c>
      <c r="O361" s="30" t="str">
        <f>'12 - Device_Configuration'!BL362</f>
        <v/>
      </c>
      <c r="P361" s="2">
        <f>'12 - Device_Configuration'!BA362</f>
        <v>0</v>
      </c>
      <c r="Q361" s="30" t="str">
        <f t="shared" si="20"/>
        <v/>
      </c>
      <c r="R361" s="17" t="str">
        <f t="shared" si="21"/>
        <v>SW NOT INSTALLED</v>
      </c>
      <c r="S361" s="17" t="str">
        <f t="shared" si="22"/>
        <v/>
      </c>
      <c r="T361" s="17" t="str">
        <f t="shared" si="23"/>
        <v>SW NOT INSTALLED</v>
      </c>
    </row>
    <row r="362" spans="1:20">
      <c r="A362" s="30">
        <f>'12 - Device_Configuration'!H363</f>
        <v>0</v>
      </c>
      <c r="B362" s="30">
        <f>'12 - Device_Configuration'!S363</f>
        <v>0</v>
      </c>
      <c r="C362" s="30">
        <f>'12 - Device_Configuration'!T363</f>
        <v>0</v>
      </c>
      <c r="D362" s="17">
        <f>'12 - Device_Configuration'!AJ363</f>
        <v>0</v>
      </c>
      <c r="E362" s="17">
        <f>'12 - Device_Configuration'!J363</f>
        <v>0</v>
      </c>
      <c r="F362" s="30">
        <f>'12 - Device_Configuration'!K363</f>
        <v>0</v>
      </c>
      <c r="G362" s="17">
        <f>'12 - Device_Configuration'!L363</f>
        <v>0</v>
      </c>
      <c r="H362" s="17">
        <f>'13 - Config_Intake_View'!M362</f>
        <v>0</v>
      </c>
      <c r="I362" s="30">
        <f>IF('13 - Config_Intake_View'!Q362&lt;&gt;"",'13 - Config_Intake_View'!Q362,'12 - Device_Configuration'!BH363)</f>
        <v>0</v>
      </c>
      <c r="J362" s="17" t="str">
        <f>IF('13 - Config_Intake_View'!Q362&lt;&gt;"","PM Approved",IF('12 - Device_Configuration'!BH363&lt;&gt;"","Assumed",""))</f>
        <v/>
      </c>
      <c r="K362" s="30">
        <f>'12 - Device_Configuration'!BG363</f>
        <v>0</v>
      </c>
      <c r="L362" s="17">
        <f>'12 - Device_Configuration'!P363</f>
        <v>0</v>
      </c>
      <c r="M362" s="17">
        <f>'12 - Device_Configuration'!Q363</f>
        <v>0</v>
      </c>
      <c r="N362" s="17" t="str">
        <f>'12 - Device_Configuration'!BK363</f>
        <v/>
      </c>
      <c r="O362" s="30" t="str">
        <f>'12 - Device_Configuration'!BL363</f>
        <v/>
      </c>
      <c r="P362" s="2">
        <f>'12 - Device_Configuration'!BA363</f>
        <v>0</v>
      </c>
      <c r="Q362" s="30" t="str">
        <f t="shared" si="20"/>
        <v/>
      </c>
      <c r="R362" s="17" t="str">
        <f t="shared" si="21"/>
        <v>SW NOT INSTALLED</v>
      </c>
      <c r="S362" s="17" t="str">
        <f t="shared" si="22"/>
        <v/>
      </c>
      <c r="T362" s="17" t="str">
        <f t="shared" si="23"/>
        <v>SW NOT INSTALLED</v>
      </c>
    </row>
    <row r="363" spans="1:20">
      <c r="A363" s="30">
        <f>'12 - Device_Configuration'!H364</f>
        <v>0</v>
      </c>
      <c r="B363" s="30">
        <f>'12 - Device_Configuration'!S364</f>
        <v>0</v>
      </c>
      <c r="C363" s="30">
        <f>'12 - Device_Configuration'!T364</f>
        <v>0</v>
      </c>
      <c r="D363" s="17">
        <f>'12 - Device_Configuration'!AJ364</f>
        <v>0</v>
      </c>
      <c r="E363" s="17">
        <f>'12 - Device_Configuration'!J364</f>
        <v>0</v>
      </c>
      <c r="F363" s="30">
        <f>'12 - Device_Configuration'!K364</f>
        <v>0</v>
      </c>
      <c r="G363" s="17">
        <f>'12 - Device_Configuration'!L364</f>
        <v>0</v>
      </c>
      <c r="H363" s="17">
        <f>'13 - Config_Intake_View'!M363</f>
        <v>0</v>
      </c>
      <c r="I363" s="30">
        <f>IF('13 - Config_Intake_View'!Q363&lt;&gt;"",'13 - Config_Intake_View'!Q363,'12 - Device_Configuration'!BH364)</f>
        <v>0</v>
      </c>
      <c r="J363" s="17" t="str">
        <f>IF('13 - Config_Intake_View'!Q363&lt;&gt;"","PM Approved",IF('12 - Device_Configuration'!BH364&lt;&gt;"","Assumed",""))</f>
        <v/>
      </c>
      <c r="K363" s="30">
        <f>'12 - Device_Configuration'!BG364</f>
        <v>0</v>
      </c>
      <c r="L363" s="17">
        <f>'12 - Device_Configuration'!P364</f>
        <v>0</v>
      </c>
      <c r="M363" s="17">
        <f>'12 - Device_Configuration'!Q364</f>
        <v>0</v>
      </c>
      <c r="N363" s="17" t="str">
        <f>'12 - Device_Configuration'!BK364</f>
        <v/>
      </c>
      <c r="O363" s="30" t="str">
        <f>'12 - Device_Configuration'!BL364</f>
        <v/>
      </c>
      <c r="P363" s="2">
        <f>'12 - Device_Configuration'!BA364</f>
        <v>0</v>
      </c>
      <c r="Q363" s="30" t="str">
        <f t="shared" si="20"/>
        <v/>
      </c>
      <c r="R363" s="17" t="str">
        <f t="shared" si="21"/>
        <v>SW NOT INSTALLED</v>
      </c>
      <c r="S363" s="17" t="str">
        <f t="shared" si="22"/>
        <v/>
      </c>
      <c r="T363" s="17" t="str">
        <f t="shared" si="23"/>
        <v>SW NOT INSTALLED</v>
      </c>
    </row>
    <row r="364" spans="1:20">
      <c r="A364" s="30">
        <f>'12 - Device_Configuration'!H365</f>
        <v>0</v>
      </c>
      <c r="B364" s="30">
        <f>'12 - Device_Configuration'!S365</f>
        <v>0</v>
      </c>
      <c r="C364" s="30">
        <f>'12 - Device_Configuration'!T365</f>
        <v>0</v>
      </c>
      <c r="D364" s="17">
        <f>'12 - Device_Configuration'!AJ365</f>
        <v>0</v>
      </c>
      <c r="E364" s="17">
        <f>'12 - Device_Configuration'!J365</f>
        <v>0</v>
      </c>
      <c r="F364" s="30">
        <f>'12 - Device_Configuration'!K365</f>
        <v>0</v>
      </c>
      <c r="G364" s="17">
        <f>'12 - Device_Configuration'!L365</f>
        <v>0</v>
      </c>
      <c r="H364" s="17">
        <f>'13 - Config_Intake_View'!M364</f>
        <v>0</v>
      </c>
      <c r="I364" s="30">
        <f>IF('13 - Config_Intake_View'!Q364&lt;&gt;"",'13 - Config_Intake_View'!Q364,'12 - Device_Configuration'!BH365)</f>
        <v>0</v>
      </c>
      <c r="J364" s="17" t="str">
        <f>IF('13 - Config_Intake_View'!Q364&lt;&gt;"","PM Approved",IF('12 - Device_Configuration'!BH365&lt;&gt;"","Assumed",""))</f>
        <v/>
      </c>
      <c r="K364" s="30">
        <f>'12 - Device_Configuration'!BG365</f>
        <v>0</v>
      </c>
      <c r="L364" s="17">
        <f>'12 - Device_Configuration'!P365</f>
        <v>0</v>
      </c>
      <c r="M364" s="17">
        <f>'12 - Device_Configuration'!Q365</f>
        <v>0</v>
      </c>
      <c r="N364" s="17" t="str">
        <f>'12 - Device_Configuration'!BK365</f>
        <v/>
      </c>
      <c r="O364" s="30" t="str">
        <f>'12 - Device_Configuration'!BL365</f>
        <v/>
      </c>
      <c r="P364" s="2">
        <f>'12 - Device_Configuration'!BA365</f>
        <v>0</v>
      </c>
      <c r="Q364" s="30" t="str">
        <f t="shared" si="20"/>
        <v/>
      </c>
      <c r="R364" s="17" t="str">
        <f t="shared" si="21"/>
        <v>SW NOT INSTALLED</v>
      </c>
      <c r="S364" s="17" t="str">
        <f t="shared" si="22"/>
        <v/>
      </c>
      <c r="T364" s="17" t="str">
        <f t="shared" si="23"/>
        <v>SW NOT INSTALLED</v>
      </c>
    </row>
    <row r="365" spans="1:20">
      <c r="A365" s="30">
        <f>'12 - Device_Configuration'!H366</f>
        <v>0</v>
      </c>
      <c r="B365" s="30">
        <f>'12 - Device_Configuration'!S366</f>
        <v>0</v>
      </c>
      <c r="C365" s="30">
        <f>'12 - Device_Configuration'!T366</f>
        <v>0</v>
      </c>
      <c r="D365" s="17">
        <f>'12 - Device_Configuration'!AJ366</f>
        <v>0</v>
      </c>
      <c r="E365" s="17">
        <f>'12 - Device_Configuration'!J366</f>
        <v>0</v>
      </c>
      <c r="F365" s="30">
        <f>'12 - Device_Configuration'!K366</f>
        <v>0</v>
      </c>
      <c r="G365" s="17">
        <f>'12 - Device_Configuration'!L366</f>
        <v>0</v>
      </c>
      <c r="H365" s="17">
        <f>'13 - Config_Intake_View'!M365</f>
        <v>0</v>
      </c>
      <c r="I365" s="30">
        <f>IF('13 - Config_Intake_View'!Q365&lt;&gt;"",'13 - Config_Intake_View'!Q365,'12 - Device_Configuration'!BH366)</f>
        <v>0</v>
      </c>
      <c r="J365" s="17" t="str">
        <f>IF('13 - Config_Intake_View'!Q365&lt;&gt;"","PM Approved",IF('12 - Device_Configuration'!BH366&lt;&gt;"","Assumed",""))</f>
        <v/>
      </c>
      <c r="K365" s="30">
        <f>'12 - Device_Configuration'!BG366</f>
        <v>0</v>
      </c>
      <c r="L365" s="17">
        <f>'12 - Device_Configuration'!P366</f>
        <v>0</v>
      </c>
      <c r="M365" s="17">
        <f>'12 - Device_Configuration'!Q366</f>
        <v>0</v>
      </c>
      <c r="N365" s="17" t="str">
        <f>'12 - Device_Configuration'!BK366</f>
        <v/>
      </c>
      <c r="O365" s="30" t="str">
        <f>'12 - Device_Configuration'!BL366</f>
        <v/>
      </c>
      <c r="P365" s="2">
        <f>'12 - Device_Configuration'!BA366</f>
        <v>0</v>
      </c>
      <c r="Q365" s="30" t="str">
        <f t="shared" si="20"/>
        <v/>
      </c>
      <c r="R365" s="17" t="str">
        <f t="shared" si="21"/>
        <v>SW NOT INSTALLED</v>
      </c>
      <c r="S365" s="17" t="str">
        <f t="shared" si="22"/>
        <v/>
      </c>
      <c r="T365" s="17" t="str">
        <f t="shared" si="23"/>
        <v>SW NOT INSTALLED</v>
      </c>
    </row>
    <row r="366" spans="1:20">
      <c r="A366" s="30">
        <f>'12 - Device_Configuration'!H367</f>
        <v>0</v>
      </c>
      <c r="B366" s="30">
        <f>'12 - Device_Configuration'!S367</f>
        <v>0</v>
      </c>
      <c r="C366" s="30">
        <f>'12 - Device_Configuration'!T367</f>
        <v>0</v>
      </c>
      <c r="D366" s="17">
        <f>'12 - Device_Configuration'!AJ367</f>
        <v>0</v>
      </c>
      <c r="E366" s="17">
        <f>'12 - Device_Configuration'!J367</f>
        <v>0</v>
      </c>
      <c r="F366" s="30">
        <f>'12 - Device_Configuration'!K367</f>
        <v>0</v>
      </c>
      <c r="G366" s="17">
        <f>'12 - Device_Configuration'!L367</f>
        <v>0</v>
      </c>
      <c r="H366" s="17">
        <f>'13 - Config_Intake_View'!M366</f>
        <v>0</v>
      </c>
      <c r="I366" s="30">
        <f>IF('13 - Config_Intake_View'!Q366&lt;&gt;"",'13 - Config_Intake_View'!Q366,'12 - Device_Configuration'!BH367)</f>
        <v>0</v>
      </c>
      <c r="J366" s="17" t="str">
        <f>IF('13 - Config_Intake_View'!Q366&lt;&gt;"","PM Approved",IF('12 - Device_Configuration'!BH367&lt;&gt;"","Assumed",""))</f>
        <v/>
      </c>
      <c r="K366" s="30">
        <f>'12 - Device_Configuration'!BG367</f>
        <v>0</v>
      </c>
      <c r="L366" s="17">
        <f>'12 - Device_Configuration'!P367</f>
        <v>0</v>
      </c>
      <c r="M366" s="17">
        <f>'12 - Device_Configuration'!Q367</f>
        <v>0</v>
      </c>
      <c r="N366" s="17" t="str">
        <f>'12 - Device_Configuration'!BK367</f>
        <v/>
      </c>
      <c r="O366" s="30" t="str">
        <f>'12 - Device_Configuration'!BL367</f>
        <v/>
      </c>
      <c r="P366" s="2">
        <f>'12 - Device_Configuration'!BA367</f>
        <v>0</v>
      </c>
      <c r="Q366" s="30" t="str">
        <f t="shared" si="20"/>
        <v/>
      </c>
      <c r="R366" s="17" t="str">
        <f t="shared" si="21"/>
        <v>SW NOT INSTALLED</v>
      </c>
      <c r="S366" s="17" t="str">
        <f t="shared" si="22"/>
        <v/>
      </c>
      <c r="T366" s="17" t="str">
        <f t="shared" si="23"/>
        <v>SW NOT INSTALLED</v>
      </c>
    </row>
    <row r="367" spans="1:20">
      <c r="A367" s="30">
        <f>'12 - Device_Configuration'!H368</f>
        <v>0</v>
      </c>
      <c r="B367" s="30">
        <f>'12 - Device_Configuration'!S368</f>
        <v>0</v>
      </c>
      <c r="C367" s="30">
        <f>'12 - Device_Configuration'!T368</f>
        <v>0</v>
      </c>
      <c r="D367" s="17">
        <f>'12 - Device_Configuration'!AJ368</f>
        <v>0</v>
      </c>
      <c r="E367" s="17">
        <f>'12 - Device_Configuration'!J368</f>
        <v>0</v>
      </c>
      <c r="F367" s="30">
        <f>'12 - Device_Configuration'!K368</f>
        <v>0</v>
      </c>
      <c r="G367" s="17">
        <f>'12 - Device_Configuration'!L368</f>
        <v>0</v>
      </c>
      <c r="H367" s="17">
        <f>'13 - Config_Intake_View'!M367</f>
        <v>0</v>
      </c>
      <c r="I367" s="30">
        <f>IF('13 - Config_Intake_View'!Q367&lt;&gt;"",'13 - Config_Intake_View'!Q367,'12 - Device_Configuration'!BH368)</f>
        <v>0</v>
      </c>
      <c r="J367" s="17" t="str">
        <f>IF('13 - Config_Intake_View'!Q367&lt;&gt;"","PM Approved",IF('12 - Device_Configuration'!BH368&lt;&gt;"","Assumed",""))</f>
        <v/>
      </c>
      <c r="K367" s="30">
        <f>'12 - Device_Configuration'!BG368</f>
        <v>0</v>
      </c>
      <c r="L367" s="17">
        <f>'12 - Device_Configuration'!P368</f>
        <v>0</v>
      </c>
      <c r="M367" s="17">
        <f>'12 - Device_Configuration'!Q368</f>
        <v>0</v>
      </c>
      <c r="N367" s="17" t="str">
        <f>'12 - Device_Configuration'!BK368</f>
        <v/>
      </c>
      <c r="O367" s="30" t="str">
        <f>'12 - Device_Configuration'!BL368</f>
        <v/>
      </c>
      <c r="P367" s="2">
        <f>'12 - Device_Configuration'!BA368</f>
        <v>0</v>
      </c>
      <c r="Q367" s="30" t="str">
        <f t="shared" si="20"/>
        <v/>
      </c>
      <c r="R367" s="17" t="str">
        <f t="shared" si="21"/>
        <v>SW NOT INSTALLED</v>
      </c>
      <c r="S367" s="17" t="str">
        <f t="shared" si="22"/>
        <v/>
      </c>
      <c r="T367" s="17" t="str">
        <f t="shared" si="23"/>
        <v>SW NOT INSTALLED</v>
      </c>
    </row>
    <row r="368" spans="1:20">
      <c r="A368" s="30">
        <f>'12 - Device_Configuration'!H369</f>
        <v>0</v>
      </c>
      <c r="B368" s="30">
        <f>'12 - Device_Configuration'!S369</f>
        <v>0</v>
      </c>
      <c r="C368" s="30">
        <f>'12 - Device_Configuration'!T369</f>
        <v>0</v>
      </c>
      <c r="D368" s="17">
        <f>'12 - Device_Configuration'!AJ369</f>
        <v>0</v>
      </c>
      <c r="E368" s="17">
        <f>'12 - Device_Configuration'!J369</f>
        <v>0</v>
      </c>
      <c r="F368" s="30">
        <f>'12 - Device_Configuration'!K369</f>
        <v>0</v>
      </c>
      <c r="G368" s="17">
        <f>'12 - Device_Configuration'!L369</f>
        <v>0</v>
      </c>
      <c r="H368" s="17">
        <f>'13 - Config_Intake_View'!M368</f>
        <v>0</v>
      </c>
      <c r="I368" s="30">
        <f>IF('13 - Config_Intake_View'!Q368&lt;&gt;"",'13 - Config_Intake_View'!Q368,'12 - Device_Configuration'!BH369)</f>
        <v>0</v>
      </c>
      <c r="J368" s="17" t="str">
        <f>IF('13 - Config_Intake_View'!Q368&lt;&gt;"","PM Approved",IF('12 - Device_Configuration'!BH369&lt;&gt;"","Assumed",""))</f>
        <v/>
      </c>
      <c r="K368" s="30">
        <f>'12 - Device_Configuration'!BG369</f>
        <v>0</v>
      </c>
      <c r="L368" s="17">
        <f>'12 - Device_Configuration'!P369</f>
        <v>0</v>
      </c>
      <c r="M368" s="17">
        <f>'12 - Device_Configuration'!Q369</f>
        <v>0</v>
      </c>
      <c r="N368" s="17" t="str">
        <f>'12 - Device_Configuration'!BK369</f>
        <v/>
      </c>
      <c r="O368" s="30" t="str">
        <f>'12 - Device_Configuration'!BL369</f>
        <v/>
      </c>
      <c r="P368" s="2">
        <f>'12 - Device_Configuration'!BA369</f>
        <v>0</v>
      </c>
      <c r="Q368" s="30" t="str">
        <f t="shared" si="20"/>
        <v/>
      </c>
      <c r="R368" s="17" t="str">
        <f t="shared" si="21"/>
        <v>SW NOT INSTALLED</v>
      </c>
      <c r="S368" s="17" t="str">
        <f t="shared" si="22"/>
        <v/>
      </c>
      <c r="T368" s="17" t="str">
        <f t="shared" si="23"/>
        <v>SW NOT INSTALLED</v>
      </c>
    </row>
    <row r="369" spans="1:20">
      <c r="A369" s="30">
        <f>'12 - Device_Configuration'!H370</f>
        <v>0</v>
      </c>
      <c r="B369" s="30">
        <f>'12 - Device_Configuration'!S370</f>
        <v>0</v>
      </c>
      <c r="C369" s="30">
        <f>'12 - Device_Configuration'!T370</f>
        <v>0</v>
      </c>
      <c r="D369" s="17">
        <f>'12 - Device_Configuration'!AJ370</f>
        <v>0</v>
      </c>
      <c r="E369" s="17">
        <f>'12 - Device_Configuration'!J370</f>
        <v>0</v>
      </c>
      <c r="F369" s="30">
        <f>'12 - Device_Configuration'!K370</f>
        <v>0</v>
      </c>
      <c r="G369" s="17">
        <f>'12 - Device_Configuration'!L370</f>
        <v>0</v>
      </c>
      <c r="H369" s="17">
        <f>'13 - Config_Intake_View'!M369</f>
        <v>0</v>
      </c>
      <c r="I369" s="30">
        <f>IF('13 - Config_Intake_View'!Q369&lt;&gt;"",'13 - Config_Intake_View'!Q369,'12 - Device_Configuration'!BH370)</f>
        <v>0</v>
      </c>
      <c r="J369" s="17" t="str">
        <f>IF('13 - Config_Intake_View'!Q369&lt;&gt;"","PM Approved",IF('12 - Device_Configuration'!BH370&lt;&gt;"","Assumed",""))</f>
        <v/>
      </c>
      <c r="K369" s="30">
        <f>'12 - Device_Configuration'!BG370</f>
        <v>0</v>
      </c>
      <c r="L369" s="17">
        <f>'12 - Device_Configuration'!P370</f>
        <v>0</v>
      </c>
      <c r="M369" s="17">
        <f>'12 - Device_Configuration'!Q370</f>
        <v>0</v>
      </c>
      <c r="N369" s="17" t="str">
        <f>'12 - Device_Configuration'!BK370</f>
        <v/>
      </c>
      <c r="O369" s="30" t="str">
        <f>'12 - Device_Configuration'!BL370</f>
        <v/>
      </c>
      <c r="P369" s="2">
        <f>'12 - Device_Configuration'!BA370</f>
        <v>0</v>
      </c>
      <c r="Q369" s="30" t="str">
        <f t="shared" si="20"/>
        <v/>
      </c>
      <c r="R369" s="17" t="str">
        <f t="shared" si="21"/>
        <v>SW NOT INSTALLED</v>
      </c>
      <c r="S369" s="17" t="str">
        <f t="shared" si="22"/>
        <v/>
      </c>
      <c r="T369" s="17" t="str">
        <f t="shared" si="23"/>
        <v>SW NOT INSTALLED</v>
      </c>
    </row>
    <row r="370" spans="1:20">
      <c r="A370" s="30">
        <f>'12 - Device_Configuration'!H371</f>
        <v>0</v>
      </c>
      <c r="B370" s="30">
        <f>'12 - Device_Configuration'!S371</f>
        <v>0</v>
      </c>
      <c r="C370" s="30">
        <f>'12 - Device_Configuration'!T371</f>
        <v>0</v>
      </c>
      <c r="D370" s="17">
        <f>'12 - Device_Configuration'!AJ371</f>
        <v>0</v>
      </c>
      <c r="E370" s="17">
        <f>'12 - Device_Configuration'!J371</f>
        <v>0</v>
      </c>
      <c r="F370" s="30">
        <f>'12 - Device_Configuration'!K371</f>
        <v>0</v>
      </c>
      <c r="G370" s="17">
        <f>'12 - Device_Configuration'!L371</f>
        <v>0</v>
      </c>
      <c r="H370" s="17">
        <f>'13 - Config_Intake_View'!M370</f>
        <v>0</v>
      </c>
      <c r="I370" s="30">
        <f>IF('13 - Config_Intake_View'!Q370&lt;&gt;"",'13 - Config_Intake_View'!Q370,'12 - Device_Configuration'!BH371)</f>
        <v>0</v>
      </c>
      <c r="J370" s="17" t="str">
        <f>IF('13 - Config_Intake_View'!Q370&lt;&gt;"","PM Approved",IF('12 - Device_Configuration'!BH371&lt;&gt;"","Assumed",""))</f>
        <v/>
      </c>
      <c r="K370" s="30">
        <f>'12 - Device_Configuration'!BG371</f>
        <v>0</v>
      </c>
      <c r="L370" s="17">
        <f>'12 - Device_Configuration'!P371</f>
        <v>0</v>
      </c>
      <c r="M370" s="17">
        <f>'12 - Device_Configuration'!Q371</f>
        <v>0</v>
      </c>
      <c r="N370" s="17" t="str">
        <f>'12 - Device_Configuration'!BK371</f>
        <v/>
      </c>
      <c r="O370" s="30" t="str">
        <f>'12 - Device_Configuration'!BL371</f>
        <v/>
      </c>
      <c r="P370" s="2">
        <f>'12 - Device_Configuration'!BA371</f>
        <v>0</v>
      </c>
      <c r="Q370" s="30" t="str">
        <f t="shared" si="20"/>
        <v/>
      </c>
      <c r="R370" s="17" t="str">
        <f t="shared" si="21"/>
        <v>SW NOT INSTALLED</v>
      </c>
      <c r="S370" s="17" t="str">
        <f t="shared" si="22"/>
        <v/>
      </c>
      <c r="T370" s="17" t="str">
        <f t="shared" si="23"/>
        <v>SW NOT INSTALLED</v>
      </c>
    </row>
    <row r="371" spans="1:20">
      <c r="A371" s="30">
        <f>'12 - Device_Configuration'!H372</f>
        <v>0</v>
      </c>
      <c r="B371" s="30">
        <f>'12 - Device_Configuration'!S372</f>
        <v>0</v>
      </c>
      <c r="C371" s="30">
        <f>'12 - Device_Configuration'!T372</f>
        <v>0</v>
      </c>
      <c r="D371" s="17">
        <f>'12 - Device_Configuration'!AJ372</f>
        <v>0</v>
      </c>
      <c r="E371" s="17">
        <f>'12 - Device_Configuration'!J372</f>
        <v>0</v>
      </c>
      <c r="F371" s="30">
        <f>'12 - Device_Configuration'!K372</f>
        <v>0</v>
      </c>
      <c r="G371" s="17">
        <f>'12 - Device_Configuration'!L372</f>
        <v>0</v>
      </c>
      <c r="H371" s="17">
        <f>'13 - Config_Intake_View'!M371</f>
        <v>0</v>
      </c>
      <c r="I371" s="30">
        <f>IF('13 - Config_Intake_View'!Q371&lt;&gt;"",'13 - Config_Intake_View'!Q371,'12 - Device_Configuration'!BH372)</f>
        <v>0</v>
      </c>
      <c r="J371" s="17" t="str">
        <f>IF('13 - Config_Intake_View'!Q371&lt;&gt;"","PM Approved",IF('12 - Device_Configuration'!BH372&lt;&gt;"","Assumed",""))</f>
        <v/>
      </c>
      <c r="K371" s="30">
        <f>'12 - Device_Configuration'!BG372</f>
        <v>0</v>
      </c>
      <c r="L371" s="17">
        <f>'12 - Device_Configuration'!P372</f>
        <v>0</v>
      </c>
      <c r="M371" s="17">
        <f>'12 - Device_Configuration'!Q372</f>
        <v>0</v>
      </c>
      <c r="N371" s="17" t="str">
        <f>'12 - Device_Configuration'!BK372</f>
        <v/>
      </c>
      <c r="O371" s="30" t="str">
        <f>'12 - Device_Configuration'!BL372</f>
        <v/>
      </c>
      <c r="P371" s="2">
        <f>'12 - Device_Configuration'!BA372</f>
        <v>0</v>
      </c>
      <c r="Q371" s="30" t="str">
        <f t="shared" si="20"/>
        <v/>
      </c>
      <c r="R371" s="17" t="str">
        <f t="shared" si="21"/>
        <v>SW NOT INSTALLED</v>
      </c>
      <c r="S371" s="17" t="str">
        <f t="shared" si="22"/>
        <v/>
      </c>
      <c r="T371" s="17" t="str">
        <f t="shared" si="23"/>
        <v>SW NOT INSTALLED</v>
      </c>
    </row>
    <row r="372" spans="1:20">
      <c r="A372" s="30">
        <f>'12 - Device_Configuration'!H373</f>
        <v>0</v>
      </c>
      <c r="B372" s="30">
        <f>'12 - Device_Configuration'!S373</f>
        <v>0</v>
      </c>
      <c r="C372" s="30">
        <f>'12 - Device_Configuration'!T373</f>
        <v>0</v>
      </c>
      <c r="D372" s="17">
        <f>'12 - Device_Configuration'!AJ373</f>
        <v>0</v>
      </c>
      <c r="E372" s="17">
        <f>'12 - Device_Configuration'!J373</f>
        <v>0</v>
      </c>
      <c r="F372" s="30">
        <f>'12 - Device_Configuration'!K373</f>
        <v>0</v>
      </c>
      <c r="G372" s="17">
        <f>'12 - Device_Configuration'!L373</f>
        <v>0</v>
      </c>
      <c r="H372" s="17">
        <f>'13 - Config_Intake_View'!M372</f>
        <v>0</v>
      </c>
      <c r="I372" s="30">
        <f>IF('13 - Config_Intake_View'!Q372&lt;&gt;"",'13 - Config_Intake_View'!Q372,'12 - Device_Configuration'!BH373)</f>
        <v>0</v>
      </c>
      <c r="J372" s="17" t="str">
        <f>IF('13 - Config_Intake_View'!Q372&lt;&gt;"","PM Approved",IF('12 - Device_Configuration'!BH373&lt;&gt;"","Assumed",""))</f>
        <v/>
      </c>
      <c r="K372" s="30">
        <f>'12 - Device_Configuration'!BG373</f>
        <v>0</v>
      </c>
      <c r="L372" s="17">
        <f>'12 - Device_Configuration'!P373</f>
        <v>0</v>
      </c>
      <c r="M372" s="17">
        <f>'12 - Device_Configuration'!Q373</f>
        <v>0</v>
      </c>
      <c r="N372" s="17" t="str">
        <f>'12 - Device_Configuration'!BK373</f>
        <v/>
      </c>
      <c r="O372" s="30" t="str">
        <f>'12 - Device_Configuration'!BL373</f>
        <v/>
      </c>
      <c r="P372" s="2">
        <f>'12 - Device_Configuration'!BA373</f>
        <v>0</v>
      </c>
      <c r="Q372" s="30" t="str">
        <f t="shared" si="20"/>
        <v/>
      </c>
      <c r="R372" s="17" t="str">
        <f t="shared" si="21"/>
        <v>SW NOT INSTALLED</v>
      </c>
      <c r="S372" s="17" t="str">
        <f t="shared" si="22"/>
        <v/>
      </c>
      <c r="T372" s="17" t="str">
        <f t="shared" si="23"/>
        <v>SW NOT INSTALLED</v>
      </c>
    </row>
    <row r="373" spans="1:20">
      <c r="A373" s="30">
        <f>'12 - Device_Configuration'!H374</f>
        <v>0</v>
      </c>
      <c r="B373" s="30">
        <f>'12 - Device_Configuration'!S374</f>
        <v>0</v>
      </c>
      <c r="C373" s="30">
        <f>'12 - Device_Configuration'!T374</f>
        <v>0</v>
      </c>
      <c r="D373" s="17">
        <f>'12 - Device_Configuration'!AJ374</f>
        <v>0</v>
      </c>
      <c r="E373" s="17">
        <f>'12 - Device_Configuration'!J374</f>
        <v>0</v>
      </c>
      <c r="F373" s="30">
        <f>'12 - Device_Configuration'!K374</f>
        <v>0</v>
      </c>
      <c r="G373" s="17">
        <f>'12 - Device_Configuration'!L374</f>
        <v>0</v>
      </c>
      <c r="H373" s="17">
        <f>'13 - Config_Intake_View'!M373</f>
        <v>0</v>
      </c>
      <c r="I373" s="30">
        <f>IF('13 - Config_Intake_View'!Q373&lt;&gt;"",'13 - Config_Intake_View'!Q373,'12 - Device_Configuration'!BH374)</f>
        <v>0</v>
      </c>
      <c r="J373" s="17" t="str">
        <f>IF('13 - Config_Intake_View'!Q373&lt;&gt;"","PM Approved",IF('12 - Device_Configuration'!BH374&lt;&gt;"","Assumed",""))</f>
        <v/>
      </c>
      <c r="K373" s="30">
        <f>'12 - Device_Configuration'!BG374</f>
        <v>0</v>
      </c>
      <c r="L373" s="17">
        <f>'12 - Device_Configuration'!P374</f>
        <v>0</v>
      </c>
      <c r="M373" s="17">
        <f>'12 - Device_Configuration'!Q374</f>
        <v>0</v>
      </c>
      <c r="N373" s="17" t="str">
        <f>'12 - Device_Configuration'!BK374</f>
        <v/>
      </c>
      <c r="O373" s="30" t="str">
        <f>'12 - Device_Configuration'!BL374</f>
        <v/>
      </c>
      <c r="P373" s="2">
        <f>'12 - Device_Configuration'!BA374</f>
        <v>0</v>
      </c>
      <c r="Q373" s="30" t="str">
        <f t="shared" si="20"/>
        <v/>
      </c>
      <c r="R373" s="17" t="str">
        <f t="shared" si="21"/>
        <v>SW NOT INSTALLED</v>
      </c>
      <c r="S373" s="17" t="str">
        <f t="shared" si="22"/>
        <v/>
      </c>
      <c r="T373" s="17" t="str">
        <f t="shared" si="23"/>
        <v>SW NOT INSTALLED</v>
      </c>
    </row>
    <row r="374" spans="1:20">
      <c r="A374" s="30">
        <f>'12 - Device_Configuration'!H375</f>
        <v>0</v>
      </c>
      <c r="B374" s="30">
        <f>'12 - Device_Configuration'!S375</f>
        <v>0</v>
      </c>
      <c r="C374" s="30">
        <f>'12 - Device_Configuration'!T375</f>
        <v>0</v>
      </c>
      <c r="D374" s="17">
        <f>'12 - Device_Configuration'!AJ375</f>
        <v>0</v>
      </c>
      <c r="E374" s="17">
        <f>'12 - Device_Configuration'!J375</f>
        <v>0</v>
      </c>
      <c r="F374" s="30">
        <f>'12 - Device_Configuration'!K375</f>
        <v>0</v>
      </c>
      <c r="G374" s="17">
        <f>'12 - Device_Configuration'!L375</f>
        <v>0</v>
      </c>
      <c r="H374" s="17">
        <f>'13 - Config_Intake_View'!M374</f>
        <v>0</v>
      </c>
      <c r="I374" s="30">
        <f>IF('13 - Config_Intake_View'!Q374&lt;&gt;"",'13 - Config_Intake_View'!Q374,'12 - Device_Configuration'!BH375)</f>
        <v>0</v>
      </c>
      <c r="J374" s="17" t="str">
        <f>IF('13 - Config_Intake_View'!Q374&lt;&gt;"","PM Approved",IF('12 - Device_Configuration'!BH375&lt;&gt;"","Assumed",""))</f>
        <v/>
      </c>
      <c r="K374" s="30">
        <f>'12 - Device_Configuration'!BG375</f>
        <v>0</v>
      </c>
      <c r="L374" s="17">
        <f>'12 - Device_Configuration'!P375</f>
        <v>0</v>
      </c>
      <c r="M374" s="17">
        <f>'12 - Device_Configuration'!Q375</f>
        <v>0</v>
      </c>
      <c r="N374" s="17" t="str">
        <f>'12 - Device_Configuration'!BK375</f>
        <v/>
      </c>
      <c r="O374" s="30" t="str">
        <f>'12 - Device_Configuration'!BL375</f>
        <v/>
      </c>
      <c r="P374" s="2">
        <f>'12 - Device_Configuration'!BA375</f>
        <v>0</v>
      </c>
      <c r="Q374" s="30" t="str">
        <f t="shared" si="20"/>
        <v/>
      </c>
      <c r="R374" s="17" t="str">
        <f t="shared" si="21"/>
        <v>SW NOT INSTALLED</v>
      </c>
      <c r="S374" s="17" t="str">
        <f t="shared" si="22"/>
        <v/>
      </c>
      <c r="T374" s="17" t="str">
        <f t="shared" si="23"/>
        <v>SW NOT INSTALLED</v>
      </c>
    </row>
    <row r="375" spans="1:20">
      <c r="A375" s="30">
        <f>'12 - Device_Configuration'!H376</f>
        <v>0</v>
      </c>
      <c r="B375" s="30">
        <f>'12 - Device_Configuration'!S376</f>
        <v>0</v>
      </c>
      <c r="C375" s="30">
        <f>'12 - Device_Configuration'!T376</f>
        <v>0</v>
      </c>
      <c r="D375" s="17">
        <f>'12 - Device_Configuration'!AJ376</f>
        <v>0</v>
      </c>
      <c r="E375" s="17">
        <f>'12 - Device_Configuration'!J376</f>
        <v>0</v>
      </c>
      <c r="F375" s="30">
        <f>'12 - Device_Configuration'!K376</f>
        <v>0</v>
      </c>
      <c r="G375" s="17">
        <f>'12 - Device_Configuration'!L376</f>
        <v>0</v>
      </c>
      <c r="H375" s="17">
        <f>'13 - Config_Intake_View'!M375</f>
        <v>0</v>
      </c>
      <c r="I375" s="30">
        <f>IF('13 - Config_Intake_View'!Q375&lt;&gt;"",'13 - Config_Intake_View'!Q375,'12 - Device_Configuration'!BH376)</f>
        <v>0</v>
      </c>
      <c r="J375" s="17" t="str">
        <f>IF('13 - Config_Intake_View'!Q375&lt;&gt;"","PM Approved",IF('12 - Device_Configuration'!BH376&lt;&gt;"","Assumed",""))</f>
        <v/>
      </c>
      <c r="K375" s="30">
        <f>'12 - Device_Configuration'!BG376</f>
        <v>0</v>
      </c>
      <c r="L375" s="17">
        <f>'12 - Device_Configuration'!P376</f>
        <v>0</v>
      </c>
      <c r="M375" s="17">
        <f>'12 - Device_Configuration'!Q376</f>
        <v>0</v>
      </c>
      <c r="N375" s="17" t="str">
        <f>'12 - Device_Configuration'!BK376</f>
        <v/>
      </c>
      <c r="O375" s="30" t="str">
        <f>'12 - Device_Configuration'!BL376</f>
        <v/>
      </c>
      <c r="P375" s="2">
        <f>'12 - Device_Configuration'!BA376</f>
        <v>0</v>
      </c>
      <c r="Q375" s="30" t="str">
        <f t="shared" si="20"/>
        <v/>
      </c>
      <c r="R375" s="17" t="str">
        <f t="shared" si="21"/>
        <v>SW NOT INSTALLED</v>
      </c>
      <c r="S375" s="17" t="str">
        <f t="shared" si="22"/>
        <v/>
      </c>
      <c r="T375" s="17" t="str">
        <f t="shared" si="23"/>
        <v>SW NOT INSTALLED</v>
      </c>
    </row>
    <row r="376" spans="1:20">
      <c r="A376" s="30">
        <f>'12 - Device_Configuration'!H377</f>
        <v>0</v>
      </c>
      <c r="B376" s="30">
        <f>'12 - Device_Configuration'!S377</f>
        <v>0</v>
      </c>
      <c r="C376" s="30">
        <f>'12 - Device_Configuration'!T377</f>
        <v>0</v>
      </c>
      <c r="D376" s="17">
        <f>'12 - Device_Configuration'!AJ377</f>
        <v>0</v>
      </c>
      <c r="E376" s="17">
        <f>'12 - Device_Configuration'!J377</f>
        <v>0</v>
      </c>
      <c r="F376" s="30">
        <f>'12 - Device_Configuration'!K377</f>
        <v>0</v>
      </c>
      <c r="G376" s="17">
        <f>'12 - Device_Configuration'!L377</f>
        <v>0</v>
      </c>
      <c r="H376" s="17">
        <f>'13 - Config_Intake_View'!M376</f>
        <v>0</v>
      </c>
      <c r="I376" s="30">
        <f>IF('13 - Config_Intake_View'!Q376&lt;&gt;"",'13 - Config_Intake_View'!Q376,'12 - Device_Configuration'!BH377)</f>
        <v>0</v>
      </c>
      <c r="J376" s="17" t="str">
        <f>IF('13 - Config_Intake_View'!Q376&lt;&gt;"","PM Approved",IF('12 - Device_Configuration'!BH377&lt;&gt;"","Assumed",""))</f>
        <v/>
      </c>
      <c r="K376" s="30">
        <f>'12 - Device_Configuration'!BG377</f>
        <v>0</v>
      </c>
      <c r="L376" s="17">
        <f>'12 - Device_Configuration'!P377</f>
        <v>0</v>
      </c>
      <c r="M376" s="17">
        <f>'12 - Device_Configuration'!Q377</f>
        <v>0</v>
      </c>
      <c r="N376" s="17" t="str">
        <f>'12 - Device_Configuration'!BK377</f>
        <v/>
      </c>
      <c r="O376" s="30" t="str">
        <f>'12 - Device_Configuration'!BL377</f>
        <v/>
      </c>
      <c r="P376" s="2">
        <f>'12 - Device_Configuration'!BA377</f>
        <v>0</v>
      </c>
      <c r="Q376" s="30" t="str">
        <f t="shared" si="20"/>
        <v/>
      </c>
      <c r="R376" s="17" t="str">
        <f t="shared" si="21"/>
        <v>SW NOT INSTALLED</v>
      </c>
      <c r="S376" s="17" t="str">
        <f t="shared" si="22"/>
        <v/>
      </c>
      <c r="T376" s="17" t="str">
        <f t="shared" si="23"/>
        <v>SW NOT INSTALLED</v>
      </c>
    </row>
    <row r="377" spans="1:20">
      <c r="A377" s="30">
        <f>'12 - Device_Configuration'!H378</f>
        <v>0</v>
      </c>
      <c r="B377" s="30">
        <f>'12 - Device_Configuration'!S378</f>
        <v>0</v>
      </c>
      <c r="C377" s="30">
        <f>'12 - Device_Configuration'!T378</f>
        <v>0</v>
      </c>
      <c r="D377" s="17">
        <f>'12 - Device_Configuration'!AJ378</f>
        <v>0</v>
      </c>
      <c r="E377" s="17">
        <f>'12 - Device_Configuration'!J378</f>
        <v>0</v>
      </c>
      <c r="F377" s="30">
        <f>'12 - Device_Configuration'!K378</f>
        <v>0</v>
      </c>
      <c r="G377" s="17">
        <f>'12 - Device_Configuration'!L378</f>
        <v>0</v>
      </c>
      <c r="H377" s="17">
        <f>'13 - Config_Intake_View'!M377</f>
        <v>0</v>
      </c>
      <c r="I377" s="30">
        <f>IF('13 - Config_Intake_View'!Q377&lt;&gt;"",'13 - Config_Intake_View'!Q377,'12 - Device_Configuration'!BH378)</f>
        <v>0</v>
      </c>
      <c r="J377" s="17" t="str">
        <f>IF('13 - Config_Intake_View'!Q377&lt;&gt;"","PM Approved",IF('12 - Device_Configuration'!BH378&lt;&gt;"","Assumed",""))</f>
        <v/>
      </c>
      <c r="K377" s="30">
        <f>'12 - Device_Configuration'!BG378</f>
        <v>0</v>
      </c>
      <c r="L377" s="17">
        <f>'12 - Device_Configuration'!P378</f>
        <v>0</v>
      </c>
      <c r="M377" s="17">
        <f>'12 - Device_Configuration'!Q378</f>
        <v>0</v>
      </c>
      <c r="N377" s="17" t="str">
        <f>'12 - Device_Configuration'!BK378</f>
        <v/>
      </c>
      <c r="O377" s="30" t="str">
        <f>'12 - Device_Configuration'!BL378</f>
        <v/>
      </c>
      <c r="P377" s="2">
        <f>'12 - Device_Configuration'!BA378</f>
        <v>0</v>
      </c>
      <c r="Q377" s="30" t="str">
        <f t="shared" si="20"/>
        <v/>
      </c>
      <c r="R377" s="17" t="str">
        <f t="shared" si="21"/>
        <v>SW NOT INSTALLED</v>
      </c>
      <c r="S377" s="17" t="str">
        <f t="shared" si="22"/>
        <v/>
      </c>
      <c r="T377" s="17" t="str">
        <f t="shared" si="23"/>
        <v>SW NOT INSTALLED</v>
      </c>
    </row>
    <row r="378" spans="1:20">
      <c r="A378" s="30">
        <f>'12 - Device_Configuration'!H379</f>
        <v>0</v>
      </c>
      <c r="B378" s="30">
        <f>'12 - Device_Configuration'!S379</f>
        <v>0</v>
      </c>
      <c r="C378" s="30">
        <f>'12 - Device_Configuration'!T379</f>
        <v>0</v>
      </c>
      <c r="D378" s="17">
        <f>'12 - Device_Configuration'!AJ379</f>
        <v>0</v>
      </c>
      <c r="E378" s="17">
        <f>'12 - Device_Configuration'!J379</f>
        <v>0</v>
      </c>
      <c r="F378" s="30">
        <f>'12 - Device_Configuration'!K379</f>
        <v>0</v>
      </c>
      <c r="G378" s="17">
        <f>'12 - Device_Configuration'!L379</f>
        <v>0</v>
      </c>
      <c r="H378" s="17">
        <f>'13 - Config_Intake_View'!M378</f>
        <v>0</v>
      </c>
      <c r="I378" s="30">
        <f>IF('13 - Config_Intake_View'!Q378&lt;&gt;"",'13 - Config_Intake_View'!Q378,'12 - Device_Configuration'!BH379)</f>
        <v>0</v>
      </c>
      <c r="J378" s="17" t="str">
        <f>IF('13 - Config_Intake_View'!Q378&lt;&gt;"","PM Approved",IF('12 - Device_Configuration'!BH379&lt;&gt;"","Assumed",""))</f>
        <v/>
      </c>
      <c r="K378" s="30">
        <f>'12 - Device_Configuration'!BG379</f>
        <v>0</v>
      </c>
      <c r="L378" s="17">
        <f>'12 - Device_Configuration'!P379</f>
        <v>0</v>
      </c>
      <c r="M378" s="17">
        <f>'12 - Device_Configuration'!Q379</f>
        <v>0</v>
      </c>
      <c r="N378" s="17" t="str">
        <f>'12 - Device_Configuration'!BK379</f>
        <v/>
      </c>
      <c r="O378" s="30" t="str">
        <f>'12 - Device_Configuration'!BL379</f>
        <v/>
      </c>
      <c r="P378" s="2">
        <f>'12 - Device_Configuration'!BA379</f>
        <v>0</v>
      </c>
      <c r="Q378" s="30" t="str">
        <f t="shared" si="20"/>
        <v/>
      </c>
      <c r="R378" s="17" t="str">
        <f t="shared" si="21"/>
        <v>SW NOT INSTALLED</v>
      </c>
      <c r="S378" s="17" t="str">
        <f t="shared" si="22"/>
        <v/>
      </c>
      <c r="T378" s="17" t="str">
        <f t="shared" si="23"/>
        <v>SW NOT INSTALLED</v>
      </c>
    </row>
    <row r="379" spans="1:20">
      <c r="A379" s="30">
        <f>'12 - Device_Configuration'!H380</f>
        <v>0</v>
      </c>
      <c r="B379" s="30">
        <f>'12 - Device_Configuration'!S380</f>
        <v>0</v>
      </c>
      <c r="C379" s="30">
        <f>'12 - Device_Configuration'!T380</f>
        <v>0</v>
      </c>
      <c r="D379" s="17">
        <f>'12 - Device_Configuration'!AJ380</f>
        <v>0</v>
      </c>
      <c r="E379" s="17">
        <f>'12 - Device_Configuration'!J380</f>
        <v>0</v>
      </c>
      <c r="F379" s="30">
        <f>'12 - Device_Configuration'!K380</f>
        <v>0</v>
      </c>
      <c r="G379" s="17">
        <f>'12 - Device_Configuration'!L380</f>
        <v>0</v>
      </c>
      <c r="H379" s="17">
        <f>'13 - Config_Intake_View'!M379</f>
        <v>0</v>
      </c>
      <c r="I379" s="30">
        <f>IF('13 - Config_Intake_View'!Q379&lt;&gt;"",'13 - Config_Intake_View'!Q379,'12 - Device_Configuration'!BH380)</f>
        <v>0</v>
      </c>
      <c r="J379" s="17" t="str">
        <f>IF('13 - Config_Intake_View'!Q379&lt;&gt;"","PM Approved",IF('12 - Device_Configuration'!BH380&lt;&gt;"","Assumed",""))</f>
        <v/>
      </c>
      <c r="K379" s="30">
        <f>'12 - Device_Configuration'!BG380</f>
        <v>0</v>
      </c>
      <c r="L379" s="17">
        <f>'12 - Device_Configuration'!P380</f>
        <v>0</v>
      </c>
      <c r="M379" s="17">
        <f>'12 - Device_Configuration'!Q380</f>
        <v>0</v>
      </c>
      <c r="N379" s="17" t="str">
        <f>'12 - Device_Configuration'!BK380</f>
        <v/>
      </c>
      <c r="O379" s="30" t="str">
        <f>'12 - Device_Configuration'!BL380</f>
        <v/>
      </c>
      <c r="P379" s="2">
        <f>'12 - Device_Configuration'!BA380</f>
        <v>0</v>
      </c>
      <c r="Q379" s="30" t="str">
        <f t="shared" si="20"/>
        <v/>
      </c>
      <c r="R379" s="17" t="str">
        <f t="shared" si="21"/>
        <v>SW NOT INSTALLED</v>
      </c>
      <c r="S379" s="17" t="str">
        <f t="shared" si="22"/>
        <v/>
      </c>
      <c r="T379" s="17" t="str">
        <f t="shared" si="23"/>
        <v>SW NOT INSTALLED</v>
      </c>
    </row>
    <row r="380" spans="1:20">
      <c r="A380" s="30">
        <f>'12 - Device_Configuration'!H381</f>
        <v>0</v>
      </c>
      <c r="B380" s="30">
        <f>'12 - Device_Configuration'!S381</f>
        <v>0</v>
      </c>
      <c r="C380" s="30">
        <f>'12 - Device_Configuration'!T381</f>
        <v>0</v>
      </c>
      <c r="D380" s="17">
        <f>'12 - Device_Configuration'!AJ381</f>
        <v>0</v>
      </c>
      <c r="E380" s="17">
        <f>'12 - Device_Configuration'!J381</f>
        <v>0</v>
      </c>
      <c r="F380" s="30">
        <f>'12 - Device_Configuration'!K381</f>
        <v>0</v>
      </c>
      <c r="G380" s="17">
        <f>'12 - Device_Configuration'!L381</f>
        <v>0</v>
      </c>
      <c r="H380" s="17">
        <f>'13 - Config_Intake_View'!M380</f>
        <v>0</v>
      </c>
      <c r="I380" s="30">
        <f>IF('13 - Config_Intake_View'!Q380&lt;&gt;"",'13 - Config_Intake_View'!Q380,'12 - Device_Configuration'!BH381)</f>
        <v>0</v>
      </c>
      <c r="J380" s="17" t="str">
        <f>IF('13 - Config_Intake_View'!Q380&lt;&gt;"","PM Approved",IF('12 - Device_Configuration'!BH381&lt;&gt;"","Assumed",""))</f>
        <v/>
      </c>
      <c r="K380" s="30">
        <f>'12 - Device_Configuration'!BG381</f>
        <v>0</v>
      </c>
      <c r="L380" s="17">
        <f>'12 - Device_Configuration'!P381</f>
        <v>0</v>
      </c>
      <c r="M380" s="17">
        <f>'12 - Device_Configuration'!Q381</f>
        <v>0</v>
      </c>
      <c r="N380" s="17" t="str">
        <f>'12 - Device_Configuration'!BK381</f>
        <v/>
      </c>
      <c r="O380" s="30" t="str">
        <f>'12 - Device_Configuration'!BL381</f>
        <v/>
      </c>
      <c r="P380" s="2">
        <f>'12 - Device_Configuration'!BA381</f>
        <v>0</v>
      </c>
      <c r="Q380" s="30" t="str">
        <f t="shared" si="20"/>
        <v/>
      </c>
      <c r="R380" s="17" t="str">
        <f t="shared" si="21"/>
        <v>SW NOT INSTALLED</v>
      </c>
      <c r="S380" s="17" t="str">
        <f t="shared" si="22"/>
        <v/>
      </c>
      <c r="T380" s="17" t="str">
        <f t="shared" si="23"/>
        <v>SW NOT INSTALLED</v>
      </c>
    </row>
    <row r="381" spans="1:20">
      <c r="A381" s="30">
        <f>'12 - Device_Configuration'!H382</f>
        <v>0</v>
      </c>
      <c r="B381" s="30">
        <f>'12 - Device_Configuration'!S382</f>
        <v>0</v>
      </c>
      <c r="C381" s="30">
        <f>'12 - Device_Configuration'!T382</f>
        <v>0</v>
      </c>
      <c r="D381" s="17">
        <f>'12 - Device_Configuration'!AJ382</f>
        <v>0</v>
      </c>
      <c r="E381" s="17">
        <f>'12 - Device_Configuration'!J382</f>
        <v>0</v>
      </c>
      <c r="F381" s="30">
        <f>'12 - Device_Configuration'!K382</f>
        <v>0</v>
      </c>
      <c r="G381" s="17">
        <f>'12 - Device_Configuration'!L382</f>
        <v>0</v>
      </c>
      <c r="H381" s="17">
        <f>'13 - Config_Intake_View'!M381</f>
        <v>0</v>
      </c>
      <c r="I381" s="30">
        <f>IF('13 - Config_Intake_View'!Q381&lt;&gt;"",'13 - Config_Intake_View'!Q381,'12 - Device_Configuration'!BH382)</f>
        <v>0</v>
      </c>
      <c r="J381" s="17" t="str">
        <f>IF('13 - Config_Intake_View'!Q381&lt;&gt;"","PM Approved",IF('12 - Device_Configuration'!BH382&lt;&gt;"","Assumed",""))</f>
        <v/>
      </c>
      <c r="K381" s="30">
        <f>'12 - Device_Configuration'!BG382</f>
        <v>0</v>
      </c>
      <c r="L381" s="17">
        <f>'12 - Device_Configuration'!P382</f>
        <v>0</v>
      </c>
      <c r="M381" s="17">
        <f>'12 - Device_Configuration'!Q382</f>
        <v>0</v>
      </c>
      <c r="N381" s="17" t="str">
        <f>'12 - Device_Configuration'!BK382</f>
        <v/>
      </c>
      <c r="O381" s="30" t="str">
        <f>'12 - Device_Configuration'!BL382</f>
        <v/>
      </c>
      <c r="P381" s="2">
        <f>'12 - Device_Configuration'!BA382</f>
        <v>0</v>
      </c>
      <c r="Q381" s="30" t="str">
        <f t="shared" si="20"/>
        <v/>
      </c>
      <c r="R381" s="17" t="str">
        <f t="shared" si="21"/>
        <v>SW NOT INSTALLED</v>
      </c>
      <c r="S381" s="17" t="str">
        <f t="shared" si="22"/>
        <v/>
      </c>
      <c r="T381" s="17" t="str">
        <f t="shared" si="23"/>
        <v>SW NOT INSTALLED</v>
      </c>
    </row>
    <row r="382" spans="1:20">
      <c r="A382" s="30">
        <f>'12 - Device_Configuration'!H383</f>
        <v>0</v>
      </c>
      <c r="B382" s="30">
        <f>'12 - Device_Configuration'!S383</f>
        <v>0</v>
      </c>
      <c r="C382" s="30">
        <f>'12 - Device_Configuration'!T383</f>
        <v>0</v>
      </c>
      <c r="D382" s="17">
        <f>'12 - Device_Configuration'!AJ383</f>
        <v>0</v>
      </c>
      <c r="E382" s="17">
        <f>'12 - Device_Configuration'!J383</f>
        <v>0</v>
      </c>
      <c r="F382" s="30">
        <f>'12 - Device_Configuration'!K383</f>
        <v>0</v>
      </c>
      <c r="G382" s="17">
        <f>'12 - Device_Configuration'!L383</f>
        <v>0</v>
      </c>
      <c r="H382" s="17">
        <f>'13 - Config_Intake_View'!M382</f>
        <v>0</v>
      </c>
      <c r="I382" s="30">
        <f>IF('13 - Config_Intake_View'!Q382&lt;&gt;"",'13 - Config_Intake_View'!Q382,'12 - Device_Configuration'!BH383)</f>
        <v>0</v>
      </c>
      <c r="J382" s="17" t="str">
        <f>IF('13 - Config_Intake_View'!Q382&lt;&gt;"","PM Approved",IF('12 - Device_Configuration'!BH383&lt;&gt;"","Assumed",""))</f>
        <v/>
      </c>
      <c r="K382" s="30">
        <f>'12 - Device_Configuration'!BG383</f>
        <v>0</v>
      </c>
      <c r="L382" s="17">
        <f>'12 - Device_Configuration'!P383</f>
        <v>0</v>
      </c>
      <c r="M382" s="17">
        <f>'12 - Device_Configuration'!Q383</f>
        <v>0</v>
      </c>
      <c r="N382" s="17" t="str">
        <f>'12 - Device_Configuration'!BK383</f>
        <v/>
      </c>
      <c r="O382" s="30" t="str">
        <f>'12 - Device_Configuration'!BL383</f>
        <v/>
      </c>
      <c r="P382" s="2">
        <f>'12 - Device_Configuration'!BA383</f>
        <v>0</v>
      </c>
      <c r="Q382" s="30" t="str">
        <f t="shared" si="20"/>
        <v/>
      </c>
      <c r="R382" s="17" t="str">
        <f t="shared" si="21"/>
        <v>SW NOT INSTALLED</v>
      </c>
      <c r="S382" s="17" t="str">
        <f t="shared" si="22"/>
        <v/>
      </c>
      <c r="T382" s="17" t="str">
        <f t="shared" si="23"/>
        <v>SW NOT INSTALLED</v>
      </c>
    </row>
    <row r="383" spans="1:20">
      <c r="A383" s="30">
        <f>'12 - Device_Configuration'!H384</f>
        <v>0</v>
      </c>
      <c r="B383" s="30">
        <f>'12 - Device_Configuration'!S384</f>
        <v>0</v>
      </c>
      <c r="C383" s="30">
        <f>'12 - Device_Configuration'!T384</f>
        <v>0</v>
      </c>
      <c r="D383" s="17">
        <f>'12 - Device_Configuration'!AJ384</f>
        <v>0</v>
      </c>
      <c r="E383" s="17">
        <f>'12 - Device_Configuration'!J384</f>
        <v>0</v>
      </c>
      <c r="F383" s="30">
        <f>'12 - Device_Configuration'!K384</f>
        <v>0</v>
      </c>
      <c r="G383" s="17">
        <f>'12 - Device_Configuration'!L384</f>
        <v>0</v>
      </c>
      <c r="H383" s="17">
        <f>'13 - Config_Intake_View'!M383</f>
        <v>0</v>
      </c>
      <c r="I383" s="30">
        <f>IF('13 - Config_Intake_View'!Q383&lt;&gt;"",'13 - Config_Intake_View'!Q383,'12 - Device_Configuration'!BH384)</f>
        <v>0</v>
      </c>
      <c r="J383" s="17" t="str">
        <f>IF('13 - Config_Intake_View'!Q383&lt;&gt;"","PM Approved",IF('12 - Device_Configuration'!BH384&lt;&gt;"","Assumed",""))</f>
        <v/>
      </c>
      <c r="K383" s="30">
        <f>'12 - Device_Configuration'!BG384</f>
        <v>0</v>
      </c>
      <c r="L383" s="17">
        <f>'12 - Device_Configuration'!P384</f>
        <v>0</v>
      </c>
      <c r="M383" s="17">
        <f>'12 - Device_Configuration'!Q384</f>
        <v>0</v>
      </c>
      <c r="N383" s="17" t="str">
        <f>'12 - Device_Configuration'!BK384</f>
        <v/>
      </c>
      <c r="O383" s="30" t="str">
        <f>'12 - Device_Configuration'!BL384</f>
        <v/>
      </c>
      <c r="P383" s="2">
        <f>'12 - Device_Configuration'!BA384</f>
        <v>0</v>
      </c>
      <c r="Q383" s="30" t="str">
        <f t="shared" si="20"/>
        <v/>
      </c>
      <c r="R383" s="17" t="str">
        <f t="shared" si="21"/>
        <v>SW NOT INSTALLED</v>
      </c>
      <c r="S383" s="17" t="str">
        <f t="shared" si="22"/>
        <v/>
      </c>
      <c r="T383" s="17" t="str">
        <f t="shared" si="23"/>
        <v>SW NOT INSTALLED</v>
      </c>
    </row>
    <row r="384" spans="1:20">
      <c r="A384" s="30">
        <f>'12 - Device_Configuration'!H385</f>
        <v>0</v>
      </c>
      <c r="B384" s="30">
        <f>'12 - Device_Configuration'!S385</f>
        <v>0</v>
      </c>
      <c r="C384" s="30">
        <f>'12 - Device_Configuration'!T385</f>
        <v>0</v>
      </c>
      <c r="D384" s="17">
        <f>'12 - Device_Configuration'!AJ385</f>
        <v>0</v>
      </c>
      <c r="E384" s="17">
        <f>'12 - Device_Configuration'!J385</f>
        <v>0</v>
      </c>
      <c r="F384" s="30">
        <f>'12 - Device_Configuration'!K385</f>
        <v>0</v>
      </c>
      <c r="G384" s="17">
        <f>'12 - Device_Configuration'!L385</f>
        <v>0</v>
      </c>
      <c r="H384" s="17">
        <f>'13 - Config_Intake_View'!M384</f>
        <v>0</v>
      </c>
      <c r="I384" s="30">
        <f>IF('13 - Config_Intake_View'!Q384&lt;&gt;"",'13 - Config_Intake_View'!Q384,'12 - Device_Configuration'!BH385)</f>
        <v>0</v>
      </c>
      <c r="J384" s="17" t="str">
        <f>IF('13 - Config_Intake_View'!Q384&lt;&gt;"","PM Approved",IF('12 - Device_Configuration'!BH385&lt;&gt;"","Assumed",""))</f>
        <v/>
      </c>
      <c r="K384" s="30">
        <f>'12 - Device_Configuration'!BG385</f>
        <v>0</v>
      </c>
      <c r="L384" s="17">
        <f>'12 - Device_Configuration'!P385</f>
        <v>0</v>
      </c>
      <c r="M384" s="17">
        <f>'12 - Device_Configuration'!Q385</f>
        <v>0</v>
      </c>
      <c r="N384" s="17" t="str">
        <f>'12 - Device_Configuration'!BK385</f>
        <v/>
      </c>
      <c r="O384" s="30" t="str">
        <f>'12 - Device_Configuration'!BL385</f>
        <v/>
      </c>
      <c r="P384" s="2">
        <f>'12 - Device_Configuration'!BA385</f>
        <v>0</v>
      </c>
      <c r="Q384" s="30" t="str">
        <f t="shared" si="20"/>
        <v/>
      </c>
      <c r="R384" s="17" t="str">
        <f t="shared" si="21"/>
        <v>SW NOT INSTALLED</v>
      </c>
      <c r="S384" s="17" t="str">
        <f t="shared" si="22"/>
        <v/>
      </c>
      <c r="T384" s="17" t="str">
        <f t="shared" si="23"/>
        <v>SW NOT INSTALLED</v>
      </c>
    </row>
    <row r="385" spans="1:20">
      <c r="A385" s="30">
        <f>'12 - Device_Configuration'!H386</f>
        <v>0</v>
      </c>
      <c r="B385" s="30">
        <f>'12 - Device_Configuration'!S386</f>
        <v>0</v>
      </c>
      <c r="C385" s="30">
        <f>'12 - Device_Configuration'!T386</f>
        <v>0</v>
      </c>
      <c r="D385" s="17">
        <f>'12 - Device_Configuration'!AJ386</f>
        <v>0</v>
      </c>
      <c r="E385" s="17">
        <f>'12 - Device_Configuration'!J386</f>
        <v>0</v>
      </c>
      <c r="F385" s="30">
        <f>'12 - Device_Configuration'!K386</f>
        <v>0</v>
      </c>
      <c r="G385" s="17">
        <f>'12 - Device_Configuration'!L386</f>
        <v>0</v>
      </c>
      <c r="H385" s="17">
        <f>'13 - Config_Intake_View'!M385</f>
        <v>0</v>
      </c>
      <c r="I385" s="30">
        <f>IF('13 - Config_Intake_View'!Q385&lt;&gt;"",'13 - Config_Intake_View'!Q385,'12 - Device_Configuration'!BH386)</f>
        <v>0</v>
      </c>
      <c r="J385" s="17" t="str">
        <f>IF('13 - Config_Intake_View'!Q385&lt;&gt;"","PM Approved",IF('12 - Device_Configuration'!BH386&lt;&gt;"","Assumed",""))</f>
        <v/>
      </c>
      <c r="K385" s="30">
        <f>'12 - Device_Configuration'!BG386</f>
        <v>0</v>
      </c>
      <c r="L385" s="17">
        <f>'12 - Device_Configuration'!P386</f>
        <v>0</v>
      </c>
      <c r="M385" s="17">
        <f>'12 - Device_Configuration'!Q386</f>
        <v>0</v>
      </c>
      <c r="N385" s="17" t="str">
        <f>'12 - Device_Configuration'!BK386</f>
        <v/>
      </c>
      <c r="O385" s="30" t="str">
        <f>'12 - Device_Configuration'!BL386</f>
        <v/>
      </c>
      <c r="P385" s="2">
        <f>'12 - Device_Configuration'!BA386</f>
        <v>0</v>
      </c>
      <c r="Q385" s="30" t="str">
        <f t="shared" si="20"/>
        <v/>
      </c>
      <c r="R385" s="17" t="str">
        <f t="shared" si="21"/>
        <v>SW NOT INSTALLED</v>
      </c>
      <c r="S385" s="17" t="str">
        <f t="shared" si="22"/>
        <v/>
      </c>
      <c r="T385" s="17" t="str">
        <f t="shared" si="23"/>
        <v>SW NOT INSTALLED</v>
      </c>
    </row>
    <row r="386" spans="1:20">
      <c r="A386" s="30">
        <f>'12 - Device_Configuration'!H387</f>
        <v>0</v>
      </c>
      <c r="B386" s="30">
        <f>'12 - Device_Configuration'!S387</f>
        <v>0</v>
      </c>
      <c r="C386" s="30">
        <f>'12 - Device_Configuration'!T387</f>
        <v>0</v>
      </c>
      <c r="D386" s="17">
        <f>'12 - Device_Configuration'!AJ387</f>
        <v>0</v>
      </c>
      <c r="E386" s="17">
        <f>'12 - Device_Configuration'!J387</f>
        <v>0</v>
      </c>
      <c r="F386" s="30">
        <f>'12 - Device_Configuration'!K387</f>
        <v>0</v>
      </c>
      <c r="G386" s="17">
        <f>'12 - Device_Configuration'!L387</f>
        <v>0</v>
      </c>
      <c r="H386" s="17">
        <f>'13 - Config_Intake_View'!M386</f>
        <v>0</v>
      </c>
      <c r="I386" s="30">
        <f>IF('13 - Config_Intake_View'!Q386&lt;&gt;"",'13 - Config_Intake_View'!Q386,'12 - Device_Configuration'!BH387)</f>
        <v>0</v>
      </c>
      <c r="J386" s="17" t="str">
        <f>IF('13 - Config_Intake_View'!Q386&lt;&gt;"","PM Approved",IF('12 - Device_Configuration'!BH387&lt;&gt;"","Assumed",""))</f>
        <v/>
      </c>
      <c r="K386" s="30">
        <f>'12 - Device_Configuration'!BG387</f>
        <v>0</v>
      </c>
      <c r="L386" s="17">
        <f>'12 - Device_Configuration'!P387</f>
        <v>0</v>
      </c>
      <c r="M386" s="17">
        <f>'12 - Device_Configuration'!Q387</f>
        <v>0</v>
      </c>
      <c r="N386" s="17" t="str">
        <f>'12 - Device_Configuration'!BK387</f>
        <v/>
      </c>
      <c r="O386" s="30" t="str">
        <f>'12 - Device_Configuration'!BL387</f>
        <v/>
      </c>
      <c r="P386" s="2">
        <f>'12 - Device_Configuration'!BA387</f>
        <v>0</v>
      </c>
      <c r="Q386" s="30" t="str">
        <f t="shared" ref="Q386:Q449" si="24">IF(OR($A386="",$B386="",$D386=""),"MISSING CORE FIELDS","")</f>
        <v/>
      </c>
      <c r="R386" s="17" t="str">
        <f t="shared" ref="R386:R449" si="25">IF(AND($I386&lt;&gt;"",$K386&lt;&gt;"Yes"),"SW NOT INSTALLED","")</f>
        <v>SW NOT INSTALLED</v>
      </c>
      <c r="S386" s="17" t="str">
        <f t="shared" ref="S386:S449" si="26">IF(AND($H386&lt;&gt;"",ISNUMBER(SEARCH("auto",LOWER($H386))),$F386=""),"AUTOLOGON REQUIRED","")</f>
        <v/>
      </c>
      <c r="T386" s="17" t="str">
        <f t="shared" ref="T386:T449" si="27">IF($Q386&lt;&gt;"",$Q386,IF($S386&lt;&gt;"",$S386,IF($R386&lt;&gt;"",$R386,IF(OR($N386&lt;&gt;"",$O386="Blocked"),"BLOCKED","OK"))))</f>
        <v>SW NOT INSTALLED</v>
      </c>
    </row>
    <row r="387" spans="1:20">
      <c r="A387" s="30">
        <f>'12 - Device_Configuration'!H388</f>
        <v>0</v>
      </c>
      <c r="B387" s="30">
        <f>'12 - Device_Configuration'!S388</f>
        <v>0</v>
      </c>
      <c r="C387" s="30">
        <f>'12 - Device_Configuration'!T388</f>
        <v>0</v>
      </c>
      <c r="D387" s="17">
        <f>'12 - Device_Configuration'!AJ388</f>
        <v>0</v>
      </c>
      <c r="E387" s="17">
        <f>'12 - Device_Configuration'!J388</f>
        <v>0</v>
      </c>
      <c r="F387" s="30">
        <f>'12 - Device_Configuration'!K388</f>
        <v>0</v>
      </c>
      <c r="G387" s="17">
        <f>'12 - Device_Configuration'!L388</f>
        <v>0</v>
      </c>
      <c r="H387" s="17">
        <f>'13 - Config_Intake_View'!M387</f>
        <v>0</v>
      </c>
      <c r="I387" s="30">
        <f>IF('13 - Config_Intake_View'!Q387&lt;&gt;"",'13 - Config_Intake_View'!Q387,'12 - Device_Configuration'!BH388)</f>
        <v>0</v>
      </c>
      <c r="J387" s="17" t="str">
        <f>IF('13 - Config_Intake_View'!Q387&lt;&gt;"","PM Approved",IF('12 - Device_Configuration'!BH388&lt;&gt;"","Assumed",""))</f>
        <v/>
      </c>
      <c r="K387" s="30">
        <f>'12 - Device_Configuration'!BG388</f>
        <v>0</v>
      </c>
      <c r="L387" s="17">
        <f>'12 - Device_Configuration'!P388</f>
        <v>0</v>
      </c>
      <c r="M387" s="17">
        <f>'12 - Device_Configuration'!Q388</f>
        <v>0</v>
      </c>
      <c r="N387" s="17" t="str">
        <f>'12 - Device_Configuration'!BK388</f>
        <v/>
      </c>
      <c r="O387" s="30" t="str">
        <f>'12 - Device_Configuration'!BL388</f>
        <v/>
      </c>
      <c r="P387" s="2">
        <f>'12 - Device_Configuration'!BA388</f>
        <v>0</v>
      </c>
      <c r="Q387" s="30" t="str">
        <f t="shared" si="24"/>
        <v/>
      </c>
      <c r="R387" s="17" t="str">
        <f t="shared" si="25"/>
        <v>SW NOT INSTALLED</v>
      </c>
      <c r="S387" s="17" t="str">
        <f t="shared" si="26"/>
        <v/>
      </c>
      <c r="T387" s="17" t="str">
        <f t="shared" si="27"/>
        <v>SW NOT INSTALLED</v>
      </c>
    </row>
    <row r="388" spans="1:20">
      <c r="A388" s="30">
        <f>'12 - Device_Configuration'!H389</f>
        <v>0</v>
      </c>
      <c r="B388" s="30">
        <f>'12 - Device_Configuration'!S389</f>
        <v>0</v>
      </c>
      <c r="C388" s="30">
        <f>'12 - Device_Configuration'!T389</f>
        <v>0</v>
      </c>
      <c r="D388" s="17">
        <f>'12 - Device_Configuration'!AJ389</f>
        <v>0</v>
      </c>
      <c r="E388" s="17">
        <f>'12 - Device_Configuration'!J389</f>
        <v>0</v>
      </c>
      <c r="F388" s="30">
        <f>'12 - Device_Configuration'!K389</f>
        <v>0</v>
      </c>
      <c r="G388" s="17">
        <f>'12 - Device_Configuration'!L389</f>
        <v>0</v>
      </c>
      <c r="H388" s="17">
        <f>'13 - Config_Intake_View'!M388</f>
        <v>0</v>
      </c>
      <c r="I388" s="30">
        <f>IF('13 - Config_Intake_View'!Q388&lt;&gt;"",'13 - Config_Intake_View'!Q388,'12 - Device_Configuration'!BH389)</f>
        <v>0</v>
      </c>
      <c r="J388" s="17" t="str">
        <f>IF('13 - Config_Intake_View'!Q388&lt;&gt;"","PM Approved",IF('12 - Device_Configuration'!BH389&lt;&gt;"","Assumed",""))</f>
        <v/>
      </c>
      <c r="K388" s="30">
        <f>'12 - Device_Configuration'!BG389</f>
        <v>0</v>
      </c>
      <c r="L388" s="17">
        <f>'12 - Device_Configuration'!P389</f>
        <v>0</v>
      </c>
      <c r="M388" s="17">
        <f>'12 - Device_Configuration'!Q389</f>
        <v>0</v>
      </c>
      <c r="N388" s="17" t="str">
        <f>'12 - Device_Configuration'!BK389</f>
        <v/>
      </c>
      <c r="O388" s="30" t="str">
        <f>'12 - Device_Configuration'!BL389</f>
        <v/>
      </c>
      <c r="P388" s="2">
        <f>'12 - Device_Configuration'!BA389</f>
        <v>0</v>
      </c>
      <c r="Q388" s="30" t="str">
        <f t="shared" si="24"/>
        <v/>
      </c>
      <c r="R388" s="17" t="str">
        <f t="shared" si="25"/>
        <v>SW NOT INSTALLED</v>
      </c>
      <c r="S388" s="17" t="str">
        <f t="shared" si="26"/>
        <v/>
      </c>
      <c r="T388" s="17" t="str">
        <f t="shared" si="27"/>
        <v>SW NOT INSTALLED</v>
      </c>
    </row>
    <row r="389" spans="1:20">
      <c r="A389" s="30">
        <f>'12 - Device_Configuration'!H390</f>
        <v>0</v>
      </c>
      <c r="B389" s="30">
        <f>'12 - Device_Configuration'!S390</f>
        <v>0</v>
      </c>
      <c r="C389" s="30">
        <f>'12 - Device_Configuration'!T390</f>
        <v>0</v>
      </c>
      <c r="D389" s="17">
        <f>'12 - Device_Configuration'!AJ390</f>
        <v>0</v>
      </c>
      <c r="E389" s="17">
        <f>'12 - Device_Configuration'!J390</f>
        <v>0</v>
      </c>
      <c r="F389" s="30">
        <f>'12 - Device_Configuration'!K390</f>
        <v>0</v>
      </c>
      <c r="G389" s="17">
        <f>'12 - Device_Configuration'!L390</f>
        <v>0</v>
      </c>
      <c r="H389" s="17">
        <f>'13 - Config_Intake_View'!M389</f>
        <v>0</v>
      </c>
      <c r="I389" s="30">
        <f>IF('13 - Config_Intake_View'!Q389&lt;&gt;"",'13 - Config_Intake_View'!Q389,'12 - Device_Configuration'!BH390)</f>
        <v>0</v>
      </c>
      <c r="J389" s="17" t="str">
        <f>IF('13 - Config_Intake_View'!Q389&lt;&gt;"","PM Approved",IF('12 - Device_Configuration'!BH390&lt;&gt;"","Assumed",""))</f>
        <v/>
      </c>
      <c r="K389" s="30">
        <f>'12 - Device_Configuration'!BG390</f>
        <v>0</v>
      </c>
      <c r="L389" s="17">
        <f>'12 - Device_Configuration'!P390</f>
        <v>0</v>
      </c>
      <c r="M389" s="17">
        <f>'12 - Device_Configuration'!Q390</f>
        <v>0</v>
      </c>
      <c r="N389" s="17" t="str">
        <f>'12 - Device_Configuration'!BK390</f>
        <v/>
      </c>
      <c r="O389" s="30" t="str">
        <f>'12 - Device_Configuration'!BL390</f>
        <v/>
      </c>
      <c r="P389" s="2">
        <f>'12 - Device_Configuration'!BA390</f>
        <v>0</v>
      </c>
      <c r="Q389" s="30" t="str">
        <f t="shared" si="24"/>
        <v/>
      </c>
      <c r="R389" s="17" t="str">
        <f t="shared" si="25"/>
        <v>SW NOT INSTALLED</v>
      </c>
      <c r="S389" s="17" t="str">
        <f t="shared" si="26"/>
        <v/>
      </c>
      <c r="T389" s="17" t="str">
        <f t="shared" si="27"/>
        <v>SW NOT INSTALLED</v>
      </c>
    </row>
    <row r="390" spans="1:20">
      <c r="A390" s="30">
        <f>'12 - Device_Configuration'!H391</f>
        <v>0</v>
      </c>
      <c r="B390" s="30">
        <f>'12 - Device_Configuration'!S391</f>
        <v>0</v>
      </c>
      <c r="C390" s="30">
        <f>'12 - Device_Configuration'!T391</f>
        <v>0</v>
      </c>
      <c r="D390" s="17">
        <f>'12 - Device_Configuration'!AJ391</f>
        <v>0</v>
      </c>
      <c r="E390" s="17">
        <f>'12 - Device_Configuration'!J391</f>
        <v>0</v>
      </c>
      <c r="F390" s="30">
        <f>'12 - Device_Configuration'!K391</f>
        <v>0</v>
      </c>
      <c r="G390" s="17">
        <f>'12 - Device_Configuration'!L391</f>
        <v>0</v>
      </c>
      <c r="H390" s="17">
        <f>'13 - Config_Intake_View'!M390</f>
        <v>0</v>
      </c>
      <c r="I390" s="30">
        <f>IF('13 - Config_Intake_View'!Q390&lt;&gt;"",'13 - Config_Intake_View'!Q390,'12 - Device_Configuration'!BH391)</f>
        <v>0</v>
      </c>
      <c r="J390" s="17" t="str">
        <f>IF('13 - Config_Intake_View'!Q390&lt;&gt;"","PM Approved",IF('12 - Device_Configuration'!BH391&lt;&gt;"","Assumed",""))</f>
        <v/>
      </c>
      <c r="K390" s="30">
        <f>'12 - Device_Configuration'!BG391</f>
        <v>0</v>
      </c>
      <c r="L390" s="17">
        <f>'12 - Device_Configuration'!P391</f>
        <v>0</v>
      </c>
      <c r="M390" s="17">
        <f>'12 - Device_Configuration'!Q391</f>
        <v>0</v>
      </c>
      <c r="N390" s="17" t="str">
        <f>'12 - Device_Configuration'!BK391</f>
        <v/>
      </c>
      <c r="O390" s="30" t="str">
        <f>'12 - Device_Configuration'!BL391</f>
        <v/>
      </c>
      <c r="P390" s="2">
        <f>'12 - Device_Configuration'!BA391</f>
        <v>0</v>
      </c>
      <c r="Q390" s="30" t="str">
        <f t="shared" si="24"/>
        <v/>
      </c>
      <c r="R390" s="17" t="str">
        <f t="shared" si="25"/>
        <v>SW NOT INSTALLED</v>
      </c>
      <c r="S390" s="17" t="str">
        <f t="shared" si="26"/>
        <v/>
      </c>
      <c r="T390" s="17" t="str">
        <f t="shared" si="27"/>
        <v>SW NOT INSTALLED</v>
      </c>
    </row>
    <row r="391" spans="1:20">
      <c r="A391" s="30">
        <f>'12 - Device_Configuration'!H392</f>
        <v>0</v>
      </c>
      <c r="B391" s="30">
        <f>'12 - Device_Configuration'!S392</f>
        <v>0</v>
      </c>
      <c r="C391" s="30">
        <f>'12 - Device_Configuration'!T392</f>
        <v>0</v>
      </c>
      <c r="D391" s="17">
        <f>'12 - Device_Configuration'!AJ392</f>
        <v>0</v>
      </c>
      <c r="E391" s="17">
        <f>'12 - Device_Configuration'!J392</f>
        <v>0</v>
      </c>
      <c r="F391" s="30">
        <f>'12 - Device_Configuration'!K392</f>
        <v>0</v>
      </c>
      <c r="G391" s="17">
        <f>'12 - Device_Configuration'!L392</f>
        <v>0</v>
      </c>
      <c r="H391" s="17">
        <f>'13 - Config_Intake_View'!M391</f>
        <v>0</v>
      </c>
      <c r="I391" s="30">
        <f>IF('13 - Config_Intake_View'!Q391&lt;&gt;"",'13 - Config_Intake_View'!Q391,'12 - Device_Configuration'!BH392)</f>
        <v>0</v>
      </c>
      <c r="J391" s="17" t="str">
        <f>IF('13 - Config_Intake_View'!Q391&lt;&gt;"","PM Approved",IF('12 - Device_Configuration'!BH392&lt;&gt;"","Assumed",""))</f>
        <v/>
      </c>
      <c r="K391" s="30">
        <f>'12 - Device_Configuration'!BG392</f>
        <v>0</v>
      </c>
      <c r="L391" s="17">
        <f>'12 - Device_Configuration'!P392</f>
        <v>0</v>
      </c>
      <c r="M391" s="17">
        <f>'12 - Device_Configuration'!Q392</f>
        <v>0</v>
      </c>
      <c r="N391" s="17" t="str">
        <f>'12 - Device_Configuration'!BK392</f>
        <v/>
      </c>
      <c r="O391" s="30" t="str">
        <f>'12 - Device_Configuration'!BL392</f>
        <v/>
      </c>
      <c r="P391" s="2">
        <f>'12 - Device_Configuration'!BA392</f>
        <v>0</v>
      </c>
      <c r="Q391" s="30" t="str">
        <f t="shared" si="24"/>
        <v/>
      </c>
      <c r="R391" s="17" t="str">
        <f t="shared" si="25"/>
        <v>SW NOT INSTALLED</v>
      </c>
      <c r="S391" s="17" t="str">
        <f t="shared" si="26"/>
        <v/>
      </c>
      <c r="T391" s="17" t="str">
        <f t="shared" si="27"/>
        <v>SW NOT INSTALLED</v>
      </c>
    </row>
    <row r="392" spans="1:20">
      <c r="A392" s="30">
        <f>'12 - Device_Configuration'!H393</f>
        <v>0</v>
      </c>
      <c r="B392" s="30">
        <f>'12 - Device_Configuration'!S393</f>
        <v>0</v>
      </c>
      <c r="C392" s="30">
        <f>'12 - Device_Configuration'!T393</f>
        <v>0</v>
      </c>
      <c r="D392" s="17">
        <f>'12 - Device_Configuration'!AJ393</f>
        <v>0</v>
      </c>
      <c r="E392" s="17">
        <f>'12 - Device_Configuration'!J393</f>
        <v>0</v>
      </c>
      <c r="F392" s="30">
        <f>'12 - Device_Configuration'!K393</f>
        <v>0</v>
      </c>
      <c r="G392" s="17">
        <f>'12 - Device_Configuration'!L393</f>
        <v>0</v>
      </c>
      <c r="H392" s="17">
        <f>'13 - Config_Intake_View'!M392</f>
        <v>0</v>
      </c>
      <c r="I392" s="30">
        <f>IF('13 - Config_Intake_View'!Q392&lt;&gt;"",'13 - Config_Intake_View'!Q392,'12 - Device_Configuration'!BH393)</f>
        <v>0</v>
      </c>
      <c r="J392" s="17" t="str">
        <f>IF('13 - Config_Intake_View'!Q392&lt;&gt;"","PM Approved",IF('12 - Device_Configuration'!BH393&lt;&gt;"","Assumed",""))</f>
        <v/>
      </c>
      <c r="K392" s="30">
        <f>'12 - Device_Configuration'!BG393</f>
        <v>0</v>
      </c>
      <c r="L392" s="17">
        <f>'12 - Device_Configuration'!P393</f>
        <v>0</v>
      </c>
      <c r="M392" s="17">
        <f>'12 - Device_Configuration'!Q393</f>
        <v>0</v>
      </c>
      <c r="N392" s="17" t="str">
        <f>'12 - Device_Configuration'!BK393</f>
        <v/>
      </c>
      <c r="O392" s="30" t="str">
        <f>'12 - Device_Configuration'!BL393</f>
        <v/>
      </c>
      <c r="P392" s="2">
        <f>'12 - Device_Configuration'!BA393</f>
        <v>0</v>
      </c>
      <c r="Q392" s="30" t="str">
        <f t="shared" si="24"/>
        <v/>
      </c>
      <c r="R392" s="17" t="str">
        <f t="shared" si="25"/>
        <v>SW NOT INSTALLED</v>
      </c>
      <c r="S392" s="17" t="str">
        <f t="shared" si="26"/>
        <v/>
      </c>
      <c r="T392" s="17" t="str">
        <f t="shared" si="27"/>
        <v>SW NOT INSTALLED</v>
      </c>
    </row>
    <row r="393" spans="1:20">
      <c r="A393" s="30">
        <f>'12 - Device_Configuration'!H394</f>
        <v>0</v>
      </c>
      <c r="B393" s="30">
        <f>'12 - Device_Configuration'!S394</f>
        <v>0</v>
      </c>
      <c r="C393" s="30">
        <f>'12 - Device_Configuration'!T394</f>
        <v>0</v>
      </c>
      <c r="D393" s="17">
        <f>'12 - Device_Configuration'!AJ394</f>
        <v>0</v>
      </c>
      <c r="E393" s="17">
        <f>'12 - Device_Configuration'!J394</f>
        <v>0</v>
      </c>
      <c r="F393" s="30">
        <f>'12 - Device_Configuration'!K394</f>
        <v>0</v>
      </c>
      <c r="G393" s="17">
        <f>'12 - Device_Configuration'!L394</f>
        <v>0</v>
      </c>
      <c r="H393" s="17">
        <f>'13 - Config_Intake_View'!M393</f>
        <v>0</v>
      </c>
      <c r="I393" s="30">
        <f>IF('13 - Config_Intake_View'!Q393&lt;&gt;"",'13 - Config_Intake_View'!Q393,'12 - Device_Configuration'!BH394)</f>
        <v>0</v>
      </c>
      <c r="J393" s="17" t="str">
        <f>IF('13 - Config_Intake_View'!Q393&lt;&gt;"","PM Approved",IF('12 - Device_Configuration'!BH394&lt;&gt;"","Assumed",""))</f>
        <v/>
      </c>
      <c r="K393" s="30">
        <f>'12 - Device_Configuration'!BG394</f>
        <v>0</v>
      </c>
      <c r="L393" s="17">
        <f>'12 - Device_Configuration'!P394</f>
        <v>0</v>
      </c>
      <c r="M393" s="17">
        <f>'12 - Device_Configuration'!Q394</f>
        <v>0</v>
      </c>
      <c r="N393" s="17" t="str">
        <f>'12 - Device_Configuration'!BK394</f>
        <v/>
      </c>
      <c r="O393" s="30" t="str">
        <f>'12 - Device_Configuration'!BL394</f>
        <v/>
      </c>
      <c r="P393" s="2">
        <f>'12 - Device_Configuration'!BA394</f>
        <v>0</v>
      </c>
      <c r="Q393" s="30" t="str">
        <f t="shared" si="24"/>
        <v/>
      </c>
      <c r="R393" s="17" t="str">
        <f t="shared" si="25"/>
        <v>SW NOT INSTALLED</v>
      </c>
      <c r="S393" s="17" t="str">
        <f t="shared" si="26"/>
        <v/>
      </c>
      <c r="T393" s="17" t="str">
        <f t="shared" si="27"/>
        <v>SW NOT INSTALLED</v>
      </c>
    </row>
    <row r="394" spans="1:20">
      <c r="A394" s="30">
        <f>'12 - Device_Configuration'!H395</f>
        <v>0</v>
      </c>
      <c r="B394" s="30">
        <f>'12 - Device_Configuration'!S395</f>
        <v>0</v>
      </c>
      <c r="C394" s="30">
        <f>'12 - Device_Configuration'!T395</f>
        <v>0</v>
      </c>
      <c r="D394" s="17">
        <f>'12 - Device_Configuration'!AJ395</f>
        <v>0</v>
      </c>
      <c r="E394" s="17">
        <f>'12 - Device_Configuration'!J395</f>
        <v>0</v>
      </c>
      <c r="F394" s="30">
        <f>'12 - Device_Configuration'!K395</f>
        <v>0</v>
      </c>
      <c r="G394" s="17">
        <f>'12 - Device_Configuration'!L395</f>
        <v>0</v>
      </c>
      <c r="H394" s="17">
        <f>'13 - Config_Intake_View'!M394</f>
        <v>0</v>
      </c>
      <c r="I394" s="30">
        <f>IF('13 - Config_Intake_View'!Q394&lt;&gt;"",'13 - Config_Intake_View'!Q394,'12 - Device_Configuration'!BH395)</f>
        <v>0</v>
      </c>
      <c r="J394" s="17" t="str">
        <f>IF('13 - Config_Intake_View'!Q394&lt;&gt;"","PM Approved",IF('12 - Device_Configuration'!BH395&lt;&gt;"","Assumed",""))</f>
        <v/>
      </c>
      <c r="K394" s="30">
        <f>'12 - Device_Configuration'!BG395</f>
        <v>0</v>
      </c>
      <c r="L394" s="17">
        <f>'12 - Device_Configuration'!P395</f>
        <v>0</v>
      </c>
      <c r="M394" s="17">
        <f>'12 - Device_Configuration'!Q395</f>
        <v>0</v>
      </c>
      <c r="N394" s="17" t="str">
        <f>'12 - Device_Configuration'!BK395</f>
        <v/>
      </c>
      <c r="O394" s="30" t="str">
        <f>'12 - Device_Configuration'!BL395</f>
        <v/>
      </c>
      <c r="P394" s="2">
        <f>'12 - Device_Configuration'!BA395</f>
        <v>0</v>
      </c>
      <c r="Q394" s="30" t="str">
        <f t="shared" si="24"/>
        <v/>
      </c>
      <c r="R394" s="17" t="str">
        <f t="shared" si="25"/>
        <v>SW NOT INSTALLED</v>
      </c>
      <c r="S394" s="17" t="str">
        <f t="shared" si="26"/>
        <v/>
      </c>
      <c r="T394" s="17" t="str">
        <f t="shared" si="27"/>
        <v>SW NOT INSTALLED</v>
      </c>
    </row>
    <row r="395" spans="1:20">
      <c r="A395" s="30">
        <f>'12 - Device_Configuration'!H396</f>
        <v>0</v>
      </c>
      <c r="B395" s="30">
        <f>'12 - Device_Configuration'!S396</f>
        <v>0</v>
      </c>
      <c r="C395" s="30">
        <f>'12 - Device_Configuration'!T396</f>
        <v>0</v>
      </c>
      <c r="D395" s="17">
        <f>'12 - Device_Configuration'!AJ396</f>
        <v>0</v>
      </c>
      <c r="E395" s="17">
        <f>'12 - Device_Configuration'!J396</f>
        <v>0</v>
      </c>
      <c r="F395" s="30">
        <f>'12 - Device_Configuration'!K396</f>
        <v>0</v>
      </c>
      <c r="G395" s="17">
        <f>'12 - Device_Configuration'!L396</f>
        <v>0</v>
      </c>
      <c r="H395" s="17">
        <f>'13 - Config_Intake_View'!M395</f>
        <v>0</v>
      </c>
      <c r="I395" s="30">
        <f>IF('13 - Config_Intake_View'!Q395&lt;&gt;"",'13 - Config_Intake_View'!Q395,'12 - Device_Configuration'!BH396)</f>
        <v>0</v>
      </c>
      <c r="J395" s="17" t="str">
        <f>IF('13 - Config_Intake_View'!Q395&lt;&gt;"","PM Approved",IF('12 - Device_Configuration'!BH396&lt;&gt;"","Assumed",""))</f>
        <v/>
      </c>
      <c r="K395" s="30">
        <f>'12 - Device_Configuration'!BG396</f>
        <v>0</v>
      </c>
      <c r="L395" s="17">
        <f>'12 - Device_Configuration'!P396</f>
        <v>0</v>
      </c>
      <c r="M395" s="17">
        <f>'12 - Device_Configuration'!Q396</f>
        <v>0</v>
      </c>
      <c r="N395" s="17" t="str">
        <f>'12 - Device_Configuration'!BK396</f>
        <v/>
      </c>
      <c r="O395" s="30" t="str">
        <f>'12 - Device_Configuration'!BL396</f>
        <v/>
      </c>
      <c r="P395" s="2">
        <f>'12 - Device_Configuration'!BA396</f>
        <v>0</v>
      </c>
      <c r="Q395" s="30" t="str">
        <f t="shared" si="24"/>
        <v/>
      </c>
      <c r="R395" s="17" t="str">
        <f t="shared" si="25"/>
        <v>SW NOT INSTALLED</v>
      </c>
      <c r="S395" s="17" t="str">
        <f t="shared" si="26"/>
        <v/>
      </c>
      <c r="T395" s="17" t="str">
        <f t="shared" si="27"/>
        <v>SW NOT INSTALLED</v>
      </c>
    </row>
    <row r="396" spans="1:20">
      <c r="A396" s="30">
        <f>'12 - Device_Configuration'!H397</f>
        <v>0</v>
      </c>
      <c r="B396" s="30">
        <f>'12 - Device_Configuration'!S397</f>
        <v>0</v>
      </c>
      <c r="C396" s="30">
        <f>'12 - Device_Configuration'!T397</f>
        <v>0</v>
      </c>
      <c r="D396" s="17">
        <f>'12 - Device_Configuration'!AJ397</f>
        <v>0</v>
      </c>
      <c r="E396" s="17">
        <f>'12 - Device_Configuration'!J397</f>
        <v>0</v>
      </c>
      <c r="F396" s="30">
        <f>'12 - Device_Configuration'!K397</f>
        <v>0</v>
      </c>
      <c r="G396" s="17">
        <f>'12 - Device_Configuration'!L397</f>
        <v>0</v>
      </c>
      <c r="H396" s="17">
        <f>'13 - Config_Intake_View'!M396</f>
        <v>0</v>
      </c>
      <c r="I396" s="30">
        <f>IF('13 - Config_Intake_View'!Q396&lt;&gt;"",'13 - Config_Intake_View'!Q396,'12 - Device_Configuration'!BH397)</f>
        <v>0</v>
      </c>
      <c r="J396" s="17" t="str">
        <f>IF('13 - Config_Intake_View'!Q396&lt;&gt;"","PM Approved",IF('12 - Device_Configuration'!BH397&lt;&gt;"","Assumed",""))</f>
        <v/>
      </c>
      <c r="K396" s="30">
        <f>'12 - Device_Configuration'!BG397</f>
        <v>0</v>
      </c>
      <c r="L396" s="17">
        <f>'12 - Device_Configuration'!P397</f>
        <v>0</v>
      </c>
      <c r="M396" s="17">
        <f>'12 - Device_Configuration'!Q397</f>
        <v>0</v>
      </c>
      <c r="N396" s="17" t="str">
        <f>'12 - Device_Configuration'!BK397</f>
        <v/>
      </c>
      <c r="O396" s="30" t="str">
        <f>'12 - Device_Configuration'!BL397</f>
        <v/>
      </c>
      <c r="P396" s="2">
        <f>'12 - Device_Configuration'!BA397</f>
        <v>0</v>
      </c>
      <c r="Q396" s="30" t="str">
        <f t="shared" si="24"/>
        <v/>
      </c>
      <c r="R396" s="17" t="str">
        <f t="shared" si="25"/>
        <v>SW NOT INSTALLED</v>
      </c>
      <c r="S396" s="17" t="str">
        <f t="shared" si="26"/>
        <v/>
      </c>
      <c r="T396" s="17" t="str">
        <f t="shared" si="27"/>
        <v>SW NOT INSTALLED</v>
      </c>
    </row>
    <row r="397" spans="1:20">
      <c r="A397" s="30">
        <f>'12 - Device_Configuration'!H398</f>
        <v>0</v>
      </c>
      <c r="B397" s="30">
        <f>'12 - Device_Configuration'!S398</f>
        <v>0</v>
      </c>
      <c r="C397" s="30">
        <f>'12 - Device_Configuration'!T398</f>
        <v>0</v>
      </c>
      <c r="D397" s="17">
        <f>'12 - Device_Configuration'!AJ398</f>
        <v>0</v>
      </c>
      <c r="E397" s="17">
        <f>'12 - Device_Configuration'!J398</f>
        <v>0</v>
      </c>
      <c r="F397" s="30">
        <f>'12 - Device_Configuration'!K398</f>
        <v>0</v>
      </c>
      <c r="G397" s="17">
        <f>'12 - Device_Configuration'!L398</f>
        <v>0</v>
      </c>
      <c r="H397" s="17">
        <f>'13 - Config_Intake_View'!M397</f>
        <v>0</v>
      </c>
      <c r="I397" s="30">
        <f>IF('13 - Config_Intake_View'!Q397&lt;&gt;"",'13 - Config_Intake_View'!Q397,'12 - Device_Configuration'!BH398)</f>
        <v>0</v>
      </c>
      <c r="J397" s="17" t="str">
        <f>IF('13 - Config_Intake_View'!Q397&lt;&gt;"","PM Approved",IF('12 - Device_Configuration'!BH398&lt;&gt;"","Assumed",""))</f>
        <v/>
      </c>
      <c r="K397" s="30">
        <f>'12 - Device_Configuration'!BG398</f>
        <v>0</v>
      </c>
      <c r="L397" s="17">
        <f>'12 - Device_Configuration'!P398</f>
        <v>0</v>
      </c>
      <c r="M397" s="17">
        <f>'12 - Device_Configuration'!Q398</f>
        <v>0</v>
      </c>
      <c r="N397" s="17" t="str">
        <f>'12 - Device_Configuration'!BK398</f>
        <v/>
      </c>
      <c r="O397" s="30" t="str">
        <f>'12 - Device_Configuration'!BL398</f>
        <v/>
      </c>
      <c r="P397" s="2">
        <f>'12 - Device_Configuration'!BA398</f>
        <v>0</v>
      </c>
      <c r="Q397" s="30" t="str">
        <f t="shared" si="24"/>
        <v/>
      </c>
      <c r="R397" s="17" t="str">
        <f t="shared" si="25"/>
        <v>SW NOT INSTALLED</v>
      </c>
      <c r="S397" s="17" t="str">
        <f t="shared" si="26"/>
        <v/>
      </c>
      <c r="T397" s="17" t="str">
        <f t="shared" si="27"/>
        <v>SW NOT INSTALLED</v>
      </c>
    </row>
    <row r="398" spans="1:20">
      <c r="A398" s="30">
        <f>'12 - Device_Configuration'!H399</f>
        <v>0</v>
      </c>
      <c r="B398" s="30">
        <f>'12 - Device_Configuration'!S399</f>
        <v>0</v>
      </c>
      <c r="C398" s="30">
        <f>'12 - Device_Configuration'!T399</f>
        <v>0</v>
      </c>
      <c r="D398" s="17">
        <f>'12 - Device_Configuration'!AJ399</f>
        <v>0</v>
      </c>
      <c r="E398" s="17">
        <f>'12 - Device_Configuration'!J399</f>
        <v>0</v>
      </c>
      <c r="F398" s="30">
        <f>'12 - Device_Configuration'!K399</f>
        <v>0</v>
      </c>
      <c r="G398" s="17">
        <f>'12 - Device_Configuration'!L399</f>
        <v>0</v>
      </c>
      <c r="H398" s="17">
        <f>'13 - Config_Intake_View'!M398</f>
        <v>0</v>
      </c>
      <c r="I398" s="30">
        <f>IF('13 - Config_Intake_View'!Q398&lt;&gt;"",'13 - Config_Intake_View'!Q398,'12 - Device_Configuration'!BH399)</f>
        <v>0</v>
      </c>
      <c r="J398" s="17" t="str">
        <f>IF('13 - Config_Intake_View'!Q398&lt;&gt;"","PM Approved",IF('12 - Device_Configuration'!BH399&lt;&gt;"","Assumed",""))</f>
        <v/>
      </c>
      <c r="K398" s="30">
        <f>'12 - Device_Configuration'!BG399</f>
        <v>0</v>
      </c>
      <c r="L398" s="17">
        <f>'12 - Device_Configuration'!P399</f>
        <v>0</v>
      </c>
      <c r="M398" s="17">
        <f>'12 - Device_Configuration'!Q399</f>
        <v>0</v>
      </c>
      <c r="N398" s="17" t="str">
        <f>'12 - Device_Configuration'!BK399</f>
        <v/>
      </c>
      <c r="O398" s="30" t="str">
        <f>'12 - Device_Configuration'!BL399</f>
        <v/>
      </c>
      <c r="P398" s="2">
        <f>'12 - Device_Configuration'!BA399</f>
        <v>0</v>
      </c>
      <c r="Q398" s="30" t="str">
        <f t="shared" si="24"/>
        <v/>
      </c>
      <c r="R398" s="17" t="str">
        <f t="shared" si="25"/>
        <v>SW NOT INSTALLED</v>
      </c>
      <c r="S398" s="17" t="str">
        <f t="shared" si="26"/>
        <v/>
      </c>
      <c r="T398" s="17" t="str">
        <f t="shared" si="27"/>
        <v>SW NOT INSTALLED</v>
      </c>
    </row>
    <row r="399" spans="1:20">
      <c r="A399" s="30">
        <f>'12 - Device_Configuration'!H400</f>
        <v>0</v>
      </c>
      <c r="B399" s="30">
        <f>'12 - Device_Configuration'!S400</f>
        <v>0</v>
      </c>
      <c r="C399" s="30">
        <f>'12 - Device_Configuration'!T400</f>
        <v>0</v>
      </c>
      <c r="D399" s="17">
        <f>'12 - Device_Configuration'!AJ400</f>
        <v>0</v>
      </c>
      <c r="E399" s="17">
        <f>'12 - Device_Configuration'!J400</f>
        <v>0</v>
      </c>
      <c r="F399" s="30">
        <f>'12 - Device_Configuration'!K400</f>
        <v>0</v>
      </c>
      <c r="G399" s="17">
        <f>'12 - Device_Configuration'!L400</f>
        <v>0</v>
      </c>
      <c r="H399" s="17">
        <f>'13 - Config_Intake_View'!M399</f>
        <v>0</v>
      </c>
      <c r="I399" s="30">
        <f>IF('13 - Config_Intake_View'!Q399&lt;&gt;"",'13 - Config_Intake_View'!Q399,'12 - Device_Configuration'!BH400)</f>
        <v>0</v>
      </c>
      <c r="J399" s="17" t="str">
        <f>IF('13 - Config_Intake_View'!Q399&lt;&gt;"","PM Approved",IF('12 - Device_Configuration'!BH400&lt;&gt;"","Assumed",""))</f>
        <v/>
      </c>
      <c r="K399" s="30">
        <f>'12 - Device_Configuration'!BG400</f>
        <v>0</v>
      </c>
      <c r="L399" s="17">
        <f>'12 - Device_Configuration'!P400</f>
        <v>0</v>
      </c>
      <c r="M399" s="17">
        <f>'12 - Device_Configuration'!Q400</f>
        <v>0</v>
      </c>
      <c r="N399" s="17" t="str">
        <f>'12 - Device_Configuration'!BK400</f>
        <v/>
      </c>
      <c r="O399" s="30" t="str">
        <f>'12 - Device_Configuration'!BL400</f>
        <v/>
      </c>
      <c r="P399" s="2">
        <f>'12 - Device_Configuration'!BA400</f>
        <v>0</v>
      </c>
      <c r="Q399" s="30" t="str">
        <f t="shared" si="24"/>
        <v/>
      </c>
      <c r="R399" s="17" t="str">
        <f t="shared" si="25"/>
        <v>SW NOT INSTALLED</v>
      </c>
      <c r="S399" s="17" t="str">
        <f t="shared" si="26"/>
        <v/>
      </c>
      <c r="T399" s="17" t="str">
        <f t="shared" si="27"/>
        <v>SW NOT INSTALLED</v>
      </c>
    </row>
    <row r="400" spans="1:20">
      <c r="A400" s="30">
        <f>'12 - Device_Configuration'!H401</f>
        <v>0</v>
      </c>
      <c r="B400" s="30">
        <f>'12 - Device_Configuration'!S401</f>
        <v>0</v>
      </c>
      <c r="C400" s="30">
        <f>'12 - Device_Configuration'!T401</f>
        <v>0</v>
      </c>
      <c r="D400" s="17">
        <f>'12 - Device_Configuration'!AJ401</f>
        <v>0</v>
      </c>
      <c r="E400" s="17">
        <f>'12 - Device_Configuration'!J401</f>
        <v>0</v>
      </c>
      <c r="F400" s="30">
        <f>'12 - Device_Configuration'!K401</f>
        <v>0</v>
      </c>
      <c r="G400" s="17">
        <f>'12 - Device_Configuration'!L401</f>
        <v>0</v>
      </c>
      <c r="H400" s="17">
        <f>'13 - Config_Intake_View'!M400</f>
        <v>0</v>
      </c>
      <c r="I400" s="30">
        <f>IF('13 - Config_Intake_View'!Q400&lt;&gt;"",'13 - Config_Intake_View'!Q400,'12 - Device_Configuration'!BH401)</f>
        <v>0</v>
      </c>
      <c r="J400" s="17" t="str">
        <f>IF('13 - Config_Intake_View'!Q400&lt;&gt;"","PM Approved",IF('12 - Device_Configuration'!BH401&lt;&gt;"","Assumed",""))</f>
        <v/>
      </c>
      <c r="K400" s="30">
        <f>'12 - Device_Configuration'!BG401</f>
        <v>0</v>
      </c>
      <c r="L400" s="17">
        <f>'12 - Device_Configuration'!P401</f>
        <v>0</v>
      </c>
      <c r="M400" s="17">
        <f>'12 - Device_Configuration'!Q401</f>
        <v>0</v>
      </c>
      <c r="N400" s="17" t="str">
        <f>'12 - Device_Configuration'!BK401</f>
        <v/>
      </c>
      <c r="O400" s="30" t="str">
        <f>'12 - Device_Configuration'!BL401</f>
        <v/>
      </c>
      <c r="P400" s="2">
        <f>'12 - Device_Configuration'!BA401</f>
        <v>0</v>
      </c>
      <c r="Q400" s="30" t="str">
        <f t="shared" si="24"/>
        <v/>
      </c>
      <c r="R400" s="17" t="str">
        <f t="shared" si="25"/>
        <v>SW NOT INSTALLED</v>
      </c>
      <c r="S400" s="17" t="str">
        <f t="shared" si="26"/>
        <v/>
      </c>
      <c r="T400" s="17" t="str">
        <f t="shared" si="27"/>
        <v>SW NOT INSTALLED</v>
      </c>
    </row>
    <row r="401" spans="1:20">
      <c r="A401" s="30">
        <f>'12 - Device_Configuration'!H402</f>
        <v>0</v>
      </c>
      <c r="B401" s="30">
        <f>'12 - Device_Configuration'!S402</f>
        <v>0</v>
      </c>
      <c r="C401" s="30">
        <f>'12 - Device_Configuration'!T402</f>
        <v>0</v>
      </c>
      <c r="D401" s="17">
        <f>'12 - Device_Configuration'!AJ402</f>
        <v>0</v>
      </c>
      <c r="E401" s="17">
        <f>'12 - Device_Configuration'!J402</f>
        <v>0</v>
      </c>
      <c r="F401" s="30">
        <f>'12 - Device_Configuration'!K402</f>
        <v>0</v>
      </c>
      <c r="G401" s="17">
        <f>'12 - Device_Configuration'!L402</f>
        <v>0</v>
      </c>
      <c r="H401" s="17">
        <f>'13 - Config_Intake_View'!M401</f>
        <v>0</v>
      </c>
      <c r="I401" s="30">
        <f>IF('13 - Config_Intake_View'!Q401&lt;&gt;"",'13 - Config_Intake_View'!Q401,'12 - Device_Configuration'!BH402)</f>
        <v>0</v>
      </c>
      <c r="J401" s="17" t="str">
        <f>IF('13 - Config_Intake_View'!Q401&lt;&gt;"","PM Approved",IF('12 - Device_Configuration'!BH402&lt;&gt;"","Assumed",""))</f>
        <v/>
      </c>
      <c r="K401" s="30">
        <f>'12 - Device_Configuration'!BG402</f>
        <v>0</v>
      </c>
      <c r="L401" s="17">
        <f>'12 - Device_Configuration'!P402</f>
        <v>0</v>
      </c>
      <c r="M401" s="17">
        <f>'12 - Device_Configuration'!Q402</f>
        <v>0</v>
      </c>
      <c r="N401" s="17" t="str">
        <f>'12 - Device_Configuration'!BK402</f>
        <v/>
      </c>
      <c r="O401" s="30" t="str">
        <f>'12 - Device_Configuration'!BL402</f>
        <v/>
      </c>
      <c r="P401" s="2">
        <f>'12 - Device_Configuration'!BA402</f>
        <v>0</v>
      </c>
      <c r="Q401" s="30" t="str">
        <f t="shared" si="24"/>
        <v/>
      </c>
      <c r="R401" s="17" t="str">
        <f t="shared" si="25"/>
        <v>SW NOT INSTALLED</v>
      </c>
      <c r="S401" s="17" t="str">
        <f t="shared" si="26"/>
        <v/>
      </c>
      <c r="T401" s="17" t="str">
        <f t="shared" si="27"/>
        <v>SW NOT INSTALLED</v>
      </c>
    </row>
    <row r="402" spans="1:20">
      <c r="A402" s="30">
        <f>'12 - Device_Configuration'!H403</f>
        <v>0</v>
      </c>
      <c r="B402" s="30">
        <f>'12 - Device_Configuration'!S403</f>
        <v>0</v>
      </c>
      <c r="C402" s="30">
        <f>'12 - Device_Configuration'!T403</f>
        <v>0</v>
      </c>
      <c r="D402" s="17">
        <f>'12 - Device_Configuration'!AJ403</f>
        <v>0</v>
      </c>
      <c r="E402" s="17">
        <f>'12 - Device_Configuration'!J403</f>
        <v>0</v>
      </c>
      <c r="F402" s="30">
        <f>'12 - Device_Configuration'!K403</f>
        <v>0</v>
      </c>
      <c r="G402" s="17">
        <f>'12 - Device_Configuration'!L403</f>
        <v>0</v>
      </c>
      <c r="H402" s="17">
        <f>'13 - Config_Intake_View'!M402</f>
        <v>0</v>
      </c>
      <c r="I402" s="30">
        <f>IF('13 - Config_Intake_View'!Q402&lt;&gt;"",'13 - Config_Intake_View'!Q402,'12 - Device_Configuration'!BH403)</f>
        <v>0</v>
      </c>
      <c r="J402" s="17" t="str">
        <f>IF('13 - Config_Intake_View'!Q402&lt;&gt;"","PM Approved",IF('12 - Device_Configuration'!BH403&lt;&gt;"","Assumed",""))</f>
        <v/>
      </c>
      <c r="K402" s="30">
        <f>'12 - Device_Configuration'!BG403</f>
        <v>0</v>
      </c>
      <c r="L402" s="17">
        <f>'12 - Device_Configuration'!P403</f>
        <v>0</v>
      </c>
      <c r="M402" s="17">
        <f>'12 - Device_Configuration'!Q403</f>
        <v>0</v>
      </c>
      <c r="N402" s="17" t="str">
        <f>'12 - Device_Configuration'!BK403</f>
        <v/>
      </c>
      <c r="O402" s="30" t="str">
        <f>'12 - Device_Configuration'!BL403</f>
        <v/>
      </c>
      <c r="P402" s="2">
        <f>'12 - Device_Configuration'!BA403</f>
        <v>0</v>
      </c>
      <c r="Q402" s="30" t="str">
        <f t="shared" si="24"/>
        <v/>
      </c>
      <c r="R402" s="17" t="str">
        <f t="shared" si="25"/>
        <v>SW NOT INSTALLED</v>
      </c>
      <c r="S402" s="17" t="str">
        <f t="shared" si="26"/>
        <v/>
      </c>
      <c r="T402" s="17" t="str">
        <f t="shared" si="27"/>
        <v>SW NOT INSTALLED</v>
      </c>
    </row>
    <row r="403" spans="1:20">
      <c r="A403" s="30">
        <f>'12 - Device_Configuration'!H404</f>
        <v>0</v>
      </c>
      <c r="B403" s="30">
        <f>'12 - Device_Configuration'!S404</f>
        <v>0</v>
      </c>
      <c r="C403" s="30">
        <f>'12 - Device_Configuration'!T404</f>
        <v>0</v>
      </c>
      <c r="D403" s="17">
        <f>'12 - Device_Configuration'!AJ404</f>
        <v>0</v>
      </c>
      <c r="E403" s="17">
        <f>'12 - Device_Configuration'!J404</f>
        <v>0</v>
      </c>
      <c r="F403" s="30">
        <f>'12 - Device_Configuration'!K404</f>
        <v>0</v>
      </c>
      <c r="G403" s="17">
        <f>'12 - Device_Configuration'!L404</f>
        <v>0</v>
      </c>
      <c r="H403" s="17">
        <f>'13 - Config_Intake_View'!M403</f>
        <v>0</v>
      </c>
      <c r="I403" s="30">
        <f>IF('13 - Config_Intake_View'!Q403&lt;&gt;"",'13 - Config_Intake_View'!Q403,'12 - Device_Configuration'!BH404)</f>
        <v>0</v>
      </c>
      <c r="J403" s="17" t="str">
        <f>IF('13 - Config_Intake_View'!Q403&lt;&gt;"","PM Approved",IF('12 - Device_Configuration'!BH404&lt;&gt;"","Assumed",""))</f>
        <v/>
      </c>
      <c r="K403" s="30">
        <f>'12 - Device_Configuration'!BG404</f>
        <v>0</v>
      </c>
      <c r="L403" s="17">
        <f>'12 - Device_Configuration'!P404</f>
        <v>0</v>
      </c>
      <c r="M403" s="17">
        <f>'12 - Device_Configuration'!Q404</f>
        <v>0</v>
      </c>
      <c r="N403" s="17" t="str">
        <f>'12 - Device_Configuration'!BK404</f>
        <v/>
      </c>
      <c r="O403" s="30" t="str">
        <f>'12 - Device_Configuration'!BL404</f>
        <v/>
      </c>
      <c r="P403" s="2">
        <f>'12 - Device_Configuration'!BA404</f>
        <v>0</v>
      </c>
      <c r="Q403" s="30" t="str">
        <f t="shared" si="24"/>
        <v/>
      </c>
      <c r="R403" s="17" t="str">
        <f t="shared" si="25"/>
        <v>SW NOT INSTALLED</v>
      </c>
      <c r="S403" s="17" t="str">
        <f t="shared" si="26"/>
        <v/>
      </c>
      <c r="T403" s="17" t="str">
        <f t="shared" si="27"/>
        <v>SW NOT INSTALLED</v>
      </c>
    </row>
    <row r="404" spans="1:20">
      <c r="A404" s="30">
        <f>'12 - Device_Configuration'!H405</f>
        <v>0</v>
      </c>
      <c r="B404" s="30">
        <f>'12 - Device_Configuration'!S405</f>
        <v>0</v>
      </c>
      <c r="C404" s="30">
        <f>'12 - Device_Configuration'!T405</f>
        <v>0</v>
      </c>
      <c r="D404" s="17">
        <f>'12 - Device_Configuration'!AJ405</f>
        <v>0</v>
      </c>
      <c r="E404" s="17">
        <f>'12 - Device_Configuration'!J405</f>
        <v>0</v>
      </c>
      <c r="F404" s="30">
        <f>'12 - Device_Configuration'!K405</f>
        <v>0</v>
      </c>
      <c r="G404" s="17">
        <f>'12 - Device_Configuration'!L405</f>
        <v>0</v>
      </c>
      <c r="H404" s="17">
        <f>'13 - Config_Intake_View'!M404</f>
        <v>0</v>
      </c>
      <c r="I404" s="30">
        <f>IF('13 - Config_Intake_View'!Q404&lt;&gt;"",'13 - Config_Intake_View'!Q404,'12 - Device_Configuration'!BH405)</f>
        <v>0</v>
      </c>
      <c r="J404" s="17" t="str">
        <f>IF('13 - Config_Intake_View'!Q404&lt;&gt;"","PM Approved",IF('12 - Device_Configuration'!BH405&lt;&gt;"","Assumed",""))</f>
        <v/>
      </c>
      <c r="K404" s="30">
        <f>'12 - Device_Configuration'!BG405</f>
        <v>0</v>
      </c>
      <c r="L404" s="17">
        <f>'12 - Device_Configuration'!P405</f>
        <v>0</v>
      </c>
      <c r="M404" s="17">
        <f>'12 - Device_Configuration'!Q405</f>
        <v>0</v>
      </c>
      <c r="N404" s="17" t="str">
        <f>'12 - Device_Configuration'!BK405</f>
        <v/>
      </c>
      <c r="O404" s="30" t="str">
        <f>'12 - Device_Configuration'!BL405</f>
        <v/>
      </c>
      <c r="P404" s="2">
        <f>'12 - Device_Configuration'!BA405</f>
        <v>0</v>
      </c>
      <c r="Q404" s="30" t="str">
        <f t="shared" si="24"/>
        <v/>
      </c>
      <c r="R404" s="17" t="str">
        <f t="shared" si="25"/>
        <v>SW NOT INSTALLED</v>
      </c>
      <c r="S404" s="17" t="str">
        <f t="shared" si="26"/>
        <v/>
      </c>
      <c r="T404" s="17" t="str">
        <f t="shared" si="27"/>
        <v>SW NOT INSTALLED</v>
      </c>
    </row>
    <row r="405" spans="1:20">
      <c r="A405" s="30">
        <f>'12 - Device_Configuration'!H406</f>
        <v>0</v>
      </c>
      <c r="B405" s="30">
        <f>'12 - Device_Configuration'!S406</f>
        <v>0</v>
      </c>
      <c r="C405" s="30">
        <f>'12 - Device_Configuration'!T406</f>
        <v>0</v>
      </c>
      <c r="D405" s="17">
        <f>'12 - Device_Configuration'!AJ406</f>
        <v>0</v>
      </c>
      <c r="E405" s="17">
        <f>'12 - Device_Configuration'!J406</f>
        <v>0</v>
      </c>
      <c r="F405" s="30">
        <f>'12 - Device_Configuration'!K406</f>
        <v>0</v>
      </c>
      <c r="G405" s="17">
        <f>'12 - Device_Configuration'!L406</f>
        <v>0</v>
      </c>
      <c r="H405" s="17">
        <f>'13 - Config_Intake_View'!M405</f>
        <v>0</v>
      </c>
      <c r="I405" s="30">
        <f>IF('13 - Config_Intake_View'!Q405&lt;&gt;"",'13 - Config_Intake_View'!Q405,'12 - Device_Configuration'!BH406)</f>
        <v>0</v>
      </c>
      <c r="J405" s="17" t="str">
        <f>IF('13 - Config_Intake_View'!Q405&lt;&gt;"","PM Approved",IF('12 - Device_Configuration'!BH406&lt;&gt;"","Assumed",""))</f>
        <v/>
      </c>
      <c r="K405" s="30">
        <f>'12 - Device_Configuration'!BG406</f>
        <v>0</v>
      </c>
      <c r="L405" s="17">
        <f>'12 - Device_Configuration'!P406</f>
        <v>0</v>
      </c>
      <c r="M405" s="17">
        <f>'12 - Device_Configuration'!Q406</f>
        <v>0</v>
      </c>
      <c r="N405" s="17" t="str">
        <f>'12 - Device_Configuration'!BK406</f>
        <v/>
      </c>
      <c r="O405" s="30" t="str">
        <f>'12 - Device_Configuration'!BL406</f>
        <v/>
      </c>
      <c r="P405" s="2">
        <f>'12 - Device_Configuration'!BA406</f>
        <v>0</v>
      </c>
      <c r="Q405" s="30" t="str">
        <f t="shared" si="24"/>
        <v/>
      </c>
      <c r="R405" s="17" t="str">
        <f t="shared" si="25"/>
        <v>SW NOT INSTALLED</v>
      </c>
      <c r="S405" s="17" t="str">
        <f t="shared" si="26"/>
        <v/>
      </c>
      <c r="T405" s="17" t="str">
        <f t="shared" si="27"/>
        <v>SW NOT INSTALLED</v>
      </c>
    </row>
    <row r="406" spans="1:20">
      <c r="A406" s="30">
        <f>'12 - Device_Configuration'!H407</f>
        <v>0</v>
      </c>
      <c r="B406" s="30">
        <f>'12 - Device_Configuration'!S407</f>
        <v>0</v>
      </c>
      <c r="C406" s="30">
        <f>'12 - Device_Configuration'!T407</f>
        <v>0</v>
      </c>
      <c r="D406" s="17">
        <f>'12 - Device_Configuration'!AJ407</f>
        <v>0</v>
      </c>
      <c r="E406" s="17">
        <f>'12 - Device_Configuration'!J407</f>
        <v>0</v>
      </c>
      <c r="F406" s="30">
        <f>'12 - Device_Configuration'!K407</f>
        <v>0</v>
      </c>
      <c r="G406" s="17">
        <f>'12 - Device_Configuration'!L407</f>
        <v>0</v>
      </c>
      <c r="H406" s="17">
        <f>'13 - Config_Intake_View'!M406</f>
        <v>0</v>
      </c>
      <c r="I406" s="30">
        <f>IF('13 - Config_Intake_View'!Q406&lt;&gt;"",'13 - Config_Intake_View'!Q406,'12 - Device_Configuration'!BH407)</f>
        <v>0</v>
      </c>
      <c r="J406" s="17" t="str">
        <f>IF('13 - Config_Intake_View'!Q406&lt;&gt;"","PM Approved",IF('12 - Device_Configuration'!BH407&lt;&gt;"","Assumed",""))</f>
        <v/>
      </c>
      <c r="K406" s="30">
        <f>'12 - Device_Configuration'!BG407</f>
        <v>0</v>
      </c>
      <c r="L406" s="17">
        <f>'12 - Device_Configuration'!P407</f>
        <v>0</v>
      </c>
      <c r="M406" s="17">
        <f>'12 - Device_Configuration'!Q407</f>
        <v>0</v>
      </c>
      <c r="N406" s="17" t="str">
        <f>'12 - Device_Configuration'!BK407</f>
        <v/>
      </c>
      <c r="O406" s="30" t="str">
        <f>'12 - Device_Configuration'!BL407</f>
        <v/>
      </c>
      <c r="P406" s="2">
        <f>'12 - Device_Configuration'!BA407</f>
        <v>0</v>
      </c>
      <c r="Q406" s="30" t="str">
        <f t="shared" si="24"/>
        <v/>
      </c>
      <c r="R406" s="17" t="str">
        <f t="shared" si="25"/>
        <v>SW NOT INSTALLED</v>
      </c>
      <c r="S406" s="17" t="str">
        <f t="shared" si="26"/>
        <v/>
      </c>
      <c r="T406" s="17" t="str">
        <f t="shared" si="27"/>
        <v>SW NOT INSTALLED</v>
      </c>
    </row>
    <row r="407" spans="1:20">
      <c r="A407" s="30">
        <f>'12 - Device_Configuration'!H408</f>
        <v>0</v>
      </c>
      <c r="B407" s="30">
        <f>'12 - Device_Configuration'!S408</f>
        <v>0</v>
      </c>
      <c r="C407" s="30">
        <f>'12 - Device_Configuration'!T408</f>
        <v>0</v>
      </c>
      <c r="D407" s="17">
        <f>'12 - Device_Configuration'!AJ408</f>
        <v>0</v>
      </c>
      <c r="E407" s="17">
        <f>'12 - Device_Configuration'!J408</f>
        <v>0</v>
      </c>
      <c r="F407" s="30">
        <f>'12 - Device_Configuration'!K408</f>
        <v>0</v>
      </c>
      <c r="G407" s="17">
        <f>'12 - Device_Configuration'!L408</f>
        <v>0</v>
      </c>
      <c r="H407" s="17">
        <f>'13 - Config_Intake_View'!M407</f>
        <v>0</v>
      </c>
      <c r="I407" s="30">
        <f>IF('13 - Config_Intake_View'!Q407&lt;&gt;"",'13 - Config_Intake_View'!Q407,'12 - Device_Configuration'!BH408)</f>
        <v>0</v>
      </c>
      <c r="J407" s="17" t="str">
        <f>IF('13 - Config_Intake_View'!Q407&lt;&gt;"","PM Approved",IF('12 - Device_Configuration'!BH408&lt;&gt;"","Assumed",""))</f>
        <v/>
      </c>
      <c r="K407" s="30">
        <f>'12 - Device_Configuration'!BG408</f>
        <v>0</v>
      </c>
      <c r="L407" s="17">
        <f>'12 - Device_Configuration'!P408</f>
        <v>0</v>
      </c>
      <c r="M407" s="17">
        <f>'12 - Device_Configuration'!Q408</f>
        <v>0</v>
      </c>
      <c r="N407" s="17" t="str">
        <f>'12 - Device_Configuration'!BK408</f>
        <v/>
      </c>
      <c r="O407" s="30" t="str">
        <f>'12 - Device_Configuration'!BL408</f>
        <v/>
      </c>
      <c r="P407" s="2">
        <f>'12 - Device_Configuration'!BA408</f>
        <v>0</v>
      </c>
      <c r="Q407" s="30" t="str">
        <f t="shared" si="24"/>
        <v/>
      </c>
      <c r="R407" s="17" t="str">
        <f t="shared" si="25"/>
        <v>SW NOT INSTALLED</v>
      </c>
      <c r="S407" s="17" t="str">
        <f t="shared" si="26"/>
        <v/>
      </c>
      <c r="T407" s="17" t="str">
        <f t="shared" si="27"/>
        <v>SW NOT INSTALLED</v>
      </c>
    </row>
    <row r="408" spans="1:20">
      <c r="A408" s="30">
        <f>'12 - Device_Configuration'!H409</f>
        <v>0</v>
      </c>
      <c r="B408" s="30">
        <f>'12 - Device_Configuration'!S409</f>
        <v>0</v>
      </c>
      <c r="C408" s="30">
        <f>'12 - Device_Configuration'!T409</f>
        <v>0</v>
      </c>
      <c r="D408" s="17">
        <f>'12 - Device_Configuration'!AJ409</f>
        <v>0</v>
      </c>
      <c r="E408" s="17">
        <f>'12 - Device_Configuration'!J409</f>
        <v>0</v>
      </c>
      <c r="F408" s="30">
        <f>'12 - Device_Configuration'!K409</f>
        <v>0</v>
      </c>
      <c r="G408" s="17">
        <f>'12 - Device_Configuration'!L409</f>
        <v>0</v>
      </c>
      <c r="H408" s="17">
        <f>'13 - Config_Intake_View'!M408</f>
        <v>0</v>
      </c>
      <c r="I408" s="30">
        <f>IF('13 - Config_Intake_View'!Q408&lt;&gt;"",'13 - Config_Intake_View'!Q408,'12 - Device_Configuration'!BH409)</f>
        <v>0</v>
      </c>
      <c r="J408" s="17" t="str">
        <f>IF('13 - Config_Intake_View'!Q408&lt;&gt;"","PM Approved",IF('12 - Device_Configuration'!BH409&lt;&gt;"","Assumed",""))</f>
        <v/>
      </c>
      <c r="K408" s="30">
        <f>'12 - Device_Configuration'!BG409</f>
        <v>0</v>
      </c>
      <c r="L408" s="17">
        <f>'12 - Device_Configuration'!P409</f>
        <v>0</v>
      </c>
      <c r="M408" s="17">
        <f>'12 - Device_Configuration'!Q409</f>
        <v>0</v>
      </c>
      <c r="N408" s="17" t="str">
        <f>'12 - Device_Configuration'!BK409</f>
        <v/>
      </c>
      <c r="O408" s="30" t="str">
        <f>'12 - Device_Configuration'!BL409</f>
        <v/>
      </c>
      <c r="P408" s="2">
        <f>'12 - Device_Configuration'!BA409</f>
        <v>0</v>
      </c>
      <c r="Q408" s="30" t="str">
        <f t="shared" si="24"/>
        <v/>
      </c>
      <c r="R408" s="17" t="str">
        <f t="shared" si="25"/>
        <v>SW NOT INSTALLED</v>
      </c>
      <c r="S408" s="17" t="str">
        <f t="shared" si="26"/>
        <v/>
      </c>
      <c r="T408" s="17" t="str">
        <f t="shared" si="27"/>
        <v>SW NOT INSTALLED</v>
      </c>
    </row>
    <row r="409" spans="1:20">
      <c r="A409" s="30">
        <f>'12 - Device_Configuration'!H410</f>
        <v>0</v>
      </c>
      <c r="B409" s="30">
        <f>'12 - Device_Configuration'!S410</f>
        <v>0</v>
      </c>
      <c r="C409" s="30">
        <f>'12 - Device_Configuration'!T410</f>
        <v>0</v>
      </c>
      <c r="D409" s="17">
        <f>'12 - Device_Configuration'!AJ410</f>
        <v>0</v>
      </c>
      <c r="E409" s="17">
        <f>'12 - Device_Configuration'!J410</f>
        <v>0</v>
      </c>
      <c r="F409" s="30">
        <f>'12 - Device_Configuration'!K410</f>
        <v>0</v>
      </c>
      <c r="G409" s="17">
        <f>'12 - Device_Configuration'!L410</f>
        <v>0</v>
      </c>
      <c r="H409" s="17">
        <f>'13 - Config_Intake_View'!M409</f>
        <v>0</v>
      </c>
      <c r="I409" s="30">
        <f>IF('13 - Config_Intake_View'!Q409&lt;&gt;"",'13 - Config_Intake_View'!Q409,'12 - Device_Configuration'!BH410)</f>
        <v>0</v>
      </c>
      <c r="J409" s="17" t="str">
        <f>IF('13 - Config_Intake_View'!Q409&lt;&gt;"","PM Approved",IF('12 - Device_Configuration'!BH410&lt;&gt;"","Assumed",""))</f>
        <v/>
      </c>
      <c r="K409" s="30">
        <f>'12 - Device_Configuration'!BG410</f>
        <v>0</v>
      </c>
      <c r="L409" s="17">
        <f>'12 - Device_Configuration'!P410</f>
        <v>0</v>
      </c>
      <c r="M409" s="17">
        <f>'12 - Device_Configuration'!Q410</f>
        <v>0</v>
      </c>
      <c r="N409" s="17" t="str">
        <f>'12 - Device_Configuration'!BK410</f>
        <v/>
      </c>
      <c r="O409" s="30" t="str">
        <f>'12 - Device_Configuration'!BL410</f>
        <v/>
      </c>
      <c r="P409" s="2">
        <f>'12 - Device_Configuration'!BA410</f>
        <v>0</v>
      </c>
      <c r="Q409" s="30" t="str">
        <f t="shared" si="24"/>
        <v/>
      </c>
      <c r="R409" s="17" t="str">
        <f t="shared" si="25"/>
        <v>SW NOT INSTALLED</v>
      </c>
      <c r="S409" s="17" t="str">
        <f t="shared" si="26"/>
        <v/>
      </c>
      <c r="T409" s="17" t="str">
        <f t="shared" si="27"/>
        <v>SW NOT INSTALLED</v>
      </c>
    </row>
    <row r="410" spans="1:20">
      <c r="A410" s="30">
        <f>'12 - Device_Configuration'!H411</f>
        <v>0</v>
      </c>
      <c r="B410" s="30">
        <f>'12 - Device_Configuration'!S411</f>
        <v>0</v>
      </c>
      <c r="C410" s="30">
        <f>'12 - Device_Configuration'!T411</f>
        <v>0</v>
      </c>
      <c r="D410" s="17">
        <f>'12 - Device_Configuration'!AJ411</f>
        <v>0</v>
      </c>
      <c r="E410" s="17">
        <f>'12 - Device_Configuration'!J411</f>
        <v>0</v>
      </c>
      <c r="F410" s="30">
        <f>'12 - Device_Configuration'!K411</f>
        <v>0</v>
      </c>
      <c r="G410" s="17">
        <f>'12 - Device_Configuration'!L411</f>
        <v>0</v>
      </c>
      <c r="H410" s="17">
        <f>'13 - Config_Intake_View'!M410</f>
        <v>0</v>
      </c>
      <c r="I410" s="30">
        <f>IF('13 - Config_Intake_View'!Q410&lt;&gt;"",'13 - Config_Intake_View'!Q410,'12 - Device_Configuration'!BH411)</f>
        <v>0</v>
      </c>
      <c r="J410" s="17" t="str">
        <f>IF('13 - Config_Intake_View'!Q410&lt;&gt;"","PM Approved",IF('12 - Device_Configuration'!BH411&lt;&gt;"","Assumed",""))</f>
        <v/>
      </c>
      <c r="K410" s="30">
        <f>'12 - Device_Configuration'!BG411</f>
        <v>0</v>
      </c>
      <c r="L410" s="17">
        <f>'12 - Device_Configuration'!P411</f>
        <v>0</v>
      </c>
      <c r="M410" s="17">
        <f>'12 - Device_Configuration'!Q411</f>
        <v>0</v>
      </c>
      <c r="N410" s="17" t="str">
        <f>'12 - Device_Configuration'!BK411</f>
        <v/>
      </c>
      <c r="O410" s="30" t="str">
        <f>'12 - Device_Configuration'!BL411</f>
        <v/>
      </c>
      <c r="P410" s="2">
        <f>'12 - Device_Configuration'!BA411</f>
        <v>0</v>
      </c>
      <c r="Q410" s="30" t="str">
        <f t="shared" si="24"/>
        <v/>
      </c>
      <c r="R410" s="17" t="str">
        <f t="shared" si="25"/>
        <v>SW NOT INSTALLED</v>
      </c>
      <c r="S410" s="17" t="str">
        <f t="shared" si="26"/>
        <v/>
      </c>
      <c r="T410" s="17" t="str">
        <f t="shared" si="27"/>
        <v>SW NOT INSTALLED</v>
      </c>
    </row>
    <row r="411" spans="1:20">
      <c r="A411" s="30">
        <f>'12 - Device_Configuration'!H412</f>
        <v>0</v>
      </c>
      <c r="B411" s="30">
        <f>'12 - Device_Configuration'!S412</f>
        <v>0</v>
      </c>
      <c r="C411" s="30">
        <f>'12 - Device_Configuration'!T412</f>
        <v>0</v>
      </c>
      <c r="D411" s="17">
        <f>'12 - Device_Configuration'!AJ412</f>
        <v>0</v>
      </c>
      <c r="E411" s="17">
        <f>'12 - Device_Configuration'!J412</f>
        <v>0</v>
      </c>
      <c r="F411" s="30">
        <f>'12 - Device_Configuration'!K412</f>
        <v>0</v>
      </c>
      <c r="G411" s="17">
        <f>'12 - Device_Configuration'!L412</f>
        <v>0</v>
      </c>
      <c r="H411" s="17">
        <f>'13 - Config_Intake_View'!M411</f>
        <v>0</v>
      </c>
      <c r="I411" s="30">
        <f>IF('13 - Config_Intake_View'!Q411&lt;&gt;"",'13 - Config_Intake_View'!Q411,'12 - Device_Configuration'!BH412)</f>
        <v>0</v>
      </c>
      <c r="J411" s="17" t="str">
        <f>IF('13 - Config_Intake_View'!Q411&lt;&gt;"","PM Approved",IF('12 - Device_Configuration'!BH412&lt;&gt;"","Assumed",""))</f>
        <v/>
      </c>
      <c r="K411" s="30">
        <f>'12 - Device_Configuration'!BG412</f>
        <v>0</v>
      </c>
      <c r="L411" s="17">
        <f>'12 - Device_Configuration'!P412</f>
        <v>0</v>
      </c>
      <c r="M411" s="17">
        <f>'12 - Device_Configuration'!Q412</f>
        <v>0</v>
      </c>
      <c r="N411" s="17" t="str">
        <f>'12 - Device_Configuration'!BK412</f>
        <v/>
      </c>
      <c r="O411" s="30" t="str">
        <f>'12 - Device_Configuration'!BL412</f>
        <v/>
      </c>
      <c r="P411" s="2">
        <f>'12 - Device_Configuration'!BA412</f>
        <v>0</v>
      </c>
      <c r="Q411" s="30" t="str">
        <f t="shared" si="24"/>
        <v/>
      </c>
      <c r="R411" s="17" t="str">
        <f t="shared" si="25"/>
        <v>SW NOT INSTALLED</v>
      </c>
      <c r="S411" s="17" t="str">
        <f t="shared" si="26"/>
        <v/>
      </c>
      <c r="T411" s="17" t="str">
        <f t="shared" si="27"/>
        <v>SW NOT INSTALLED</v>
      </c>
    </row>
    <row r="412" spans="1:20">
      <c r="A412" s="30">
        <f>'12 - Device_Configuration'!H413</f>
        <v>0</v>
      </c>
      <c r="B412" s="30">
        <f>'12 - Device_Configuration'!S413</f>
        <v>0</v>
      </c>
      <c r="C412" s="30">
        <f>'12 - Device_Configuration'!T413</f>
        <v>0</v>
      </c>
      <c r="D412" s="17">
        <f>'12 - Device_Configuration'!AJ413</f>
        <v>0</v>
      </c>
      <c r="E412" s="17">
        <f>'12 - Device_Configuration'!J413</f>
        <v>0</v>
      </c>
      <c r="F412" s="30">
        <f>'12 - Device_Configuration'!K413</f>
        <v>0</v>
      </c>
      <c r="G412" s="17">
        <f>'12 - Device_Configuration'!L413</f>
        <v>0</v>
      </c>
      <c r="H412" s="17">
        <f>'13 - Config_Intake_View'!M412</f>
        <v>0</v>
      </c>
      <c r="I412" s="30">
        <f>IF('13 - Config_Intake_View'!Q412&lt;&gt;"",'13 - Config_Intake_View'!Q412,'12 - Device_Configuration'!BH413)</f>
        <v>0</v>
      </c>
      <c r="J412" s="17" t="str">
        <f>IF('13 - Config_Intake_View'!Q412&lt;&gt;"","PM Approved",IF('12 - Device_Configuration'!BH413&lt;&gt;"","Assumed",""))</f>
        <v/>
      </c>
      <c r="K412" s="30">
        <f>'12 - Device_Configuration'!BG413</f>
        <v>0</v>
      </c>
      <c r="L412" s="17">
        <f>'12 - Device_Configuration'!P413</f>
        <v>0</v>
      </c>
      <c r="M412" s="17">
        <f>'12 - Device_Configuration'!Q413</f>
        <v>0</v>
      </c>
      <c r="N412" s="17" t="str">
        <f>'12 - Device_Configuration'!BK413</f>
        <v/>
      </c>
      <c r="O412" s="30" t="str">
        <f>'12 - Device_Configuration'!BL413</f>
        <v/>
      </c>
      <c r="P412" s="2">
        <f>'12 - Device_Configuration'!BA413</f>
        <v>0</v>
      </c>
      <c r="Q412" s="30" t="str">
        <f t="shared" si="24"/>
        <v/>
      </c>
      <c r="R412" s="17" t="str">
        <f t="shared" si="25"/>
        <v>SW NOT INSTALLED</v>
      </c>
      <c r="S412" s="17" t="str">
        <f t="shared" si="26"/>
        <v/>
      </c>
      <c r="T412" s="17" t="str">
        <f t="shared" si="27"/>
        <v>SW NOT INSTALLED</v>
      </c>
    </row>
    <row r="413" spans="1:20">
      <c r="A413" s="30">
        <f>'12 - Device_Configuration'!H414</f>
        <v>0</v>
      </c>
      <c r="B413" s="30">
        <f>'12 - Device_Configuration'!S414</f>
        <v>0</v>
      </c>
      <c r="C413" s="30">
        <f>'12 - Device_Configuration'!T414</f>
        <v>0</v>
      </c>
      <c r="D413" s="17">
        <f>'12 - Device_Configuration'!AJ414</f>
        <v>0</v>
      </c>
      <c r="E413" s="17">
        <f>'12 - Device_Configuration'!J414</f>
        <v>0</v>
      </c>
      <c r="F413" s="30">
        <f>'12 - Device_Configuration'!K414</f>
        <v>0</v>
      </c>
      <c r="G413" s="17">
        <f>'12 - Device_Configuration'!L414</f>
        <v>0</v>
      </c>
      <c r="H413" s="17">
        <f>'13 - Config_Intake_View'!M413</f>
        <v>0</v>
      </c>
      <c r="I413" s="30">
        <f>IF('13 - Config_Intake_View'!Q413&lt;&gt;"",'13 - Config_Intake_View'!Q413,'12 - Device_Configuration'!BH414)</f>
        <v>0</v>
      </c>
      <c r="J413" s="17" t="str">
        <f>IF('13 - Config_Intake_View'!Q413&lt;&gt;"","PM Approved",IF('12 - Device_Configuration'!BH414&lt;&gt;"","Assumed",""))</f>
        <v/>
      </c>
      <c r="K413" s="30">
        <f>'12 - Device_Configuration'!BG414</f>
        <v>0</v>
      </c>
      <c r="L413" s="17">
        <f>'12 - Device_Configuration'!P414</f>
        <v>0</v>
      </c>
      <c r="M413" s="17">
        <f>'12 - Device_Configuration'!Q414</f>
        <v>0</v>
      </c>
      <c r="N413" s="17" t="str">
        <f>'12 - Device_Configuration'!BK414</f>
        <v/>
      </c>
      <c r="O413" s="30" t="str">
        <f>'12 - Device_Configuration'!BL414</f>
        <v/>
      </c>
      <c r="P413" s="2">
        <f>'12 - Device_Configuration'!BA414</f>
        <v>0</v>
      </c>
      <c r="Q413" s="30" t="str">
        <f t="shared" si="24"/>
        <v/>
      </c>
      <c r="R413" s="17" t="str">
        <f t="shared" si="25"/>
        <v>SW NOT INSTALLED</v>
      </c>
      <c r="S413" s="17" t="str">
        <f t="shared" si="26"/>
        <v/>
      </c>
      <c r="T413" s="17" t="str">
        <f t="shared" si="27"/>
        <v>SW NOT INSTALLED</v>
      </c>
    </row>
    <row r="414" spans="1:20">
      <c r="A414" s="30">
        <f>'12 - Device_Configuration'!H415</f>
        <v>0</v>
      </c>
      <c r="B414" s="30">
        <f>'12 - Device_Configuration'!S415</f>
        <v>0</v>
      </c>
      <c r="C414" s="30">
        <f>'12 - Device_Configuration'!T415</f>
        <v>0</v>
      </c>
      <c r="D414" s="17">
        <f>'12 - Device_Configuration'!AJ415</f>
        <v>0</v>
      </c>
      <c r="E414" s="17">
        <f>'12 - Device_Configuration'!J415</f>
        <v>0</v>
      </c>
      <c r="F414" s="30">
        <f>'12 - Device_Configuration'!K415</f>
        <v>0</v>
      </c>
      <c r="G414" s="17">
        <f>'12 - Device_Configuration'!L415</f>
        <v>0</v>
      </c>
      <c r="H414" s="17">
        <f>'13 - Config_Intake_View'!M414</f>
        <v>0</v>
      </c>
      <c r="I414" s="30">
        <f>IF('13 - Config_Intake_View'!Q414&lt;&gt;"",'13 - Config_Intake_View'!Q414,'12 - Device_Configuration'!BH415)</f>
        <v>0</v>
      </c>
      <c r="J414" s="17" t="str">
        <f>IF('13 - Config_Intake_View'!Q414&lt;&gt;"","PM Approved",IF('12 - Device_Configuration'!BH415&lt;&gt;"","Assumed",""))</f>
        <v/>
      </c>
      <c r="K414" s="30">
        <f>'12 - Device_Configuration'!BG415</f>
        <v>0</v>
      </c>
      <c r="L414" s="17">
        <f>'12 - Device_Configuration'!P415</f>
        <v>0</v>
      </c>
      <c r="M414" s="17">
        <f>'12 - Device_Configuration'!Q415</f>
        <v>0</v>
      </c>
      <c r="N414" s="17" t="str">
        <f>'12 - Device_Configuration'!BK415</f>
        <v/>
      </c>
      <c r="O414" s="30" t="str">
        <f>'12 - Device_Configuration'!BL415</f>
        <v/>
      </c>
      <c r="P414" s="2">
        <f>'12 - Device_Configuration'!BA415</f>
        <v>0</v>
      </c>
      <c r="Q414" s="30" t="str">
        <f t="shared" si="24"/>
        <v/>
      </c>
      <c r="R414" s="17" t="str">
        <f t="shared" si="25"/>
        <v>SW NOT INSTALLED</v>
      </c>
      <c r="S414" s="17" t="str">
        <f t="shared" si="26"/>
        <v/>
      </c>
      <c r="T414" s="17" t="str">
        <f t="shared" si="27"/>
        <v>SW NOT INSTALLED</v>
      </c>
    </row>
    <row r="415" spans="1:20">
      <c r="A415" s="30">
        <f>'12 - Device_Configuration'!H416</f>
        <v>0</v>
      </c>
      <c r="B415" s="30">
        <f>'12 - Device_Configuration'!S416</f>
        <v>0</v>
      </c>
      <c r="C415" s="30">
        <f>'12 - Device_Configuration'!T416</f>
        <v>0</v>
      </c>
      <c r="D415" s="17">
        <f>'12 - Device_Configuration'!AJ416</f>
        <v>0</v>
      </c>
      <c r="E415" s="17">
        <f>'12 - Device_Configuration'!J416</f>
        <v>0</v>
      </c>
      <c r="F415" s="30">
        <f>'12 - Device_Configuration'!K416</f>
        <v>0</v>
      </c>
      <c r="G415" s="17">
        <f>'12 - Device_Configuration'!L416</f>
        <v>0</v>
      </c>
      <c r="H415" s="17">
        <f>'13 - Config_Intake_View'!M415</f>
        <v>0</v>
      </c>
      <c r="I415" s="30">
        <f>IF('13 - Config_Intake_View'!Q415&lt;&gt;"",'13 - Config_Intake_View'!Q415,'12 - Device_Configuration'!BH416)</f>
        <v>0</v>
      </c>
      <c r="J415" s="17" t="str">
        <f>IF('13 - Config_Intake_View'!Q415&lt;&gt;"","PM Approved",IF('12 - Device_Configuration'!BH416&lt;&gt;"","Assumed",""))</f>
        <v/>
      </c>
      <c r="K415" s="30">
        <f>'12 - Device_Configuration'!BG416</f>
        <v>0</v>
      </c>
      <c r="L415" s="17">
        <f>'12 - Device_Configuration'!P416</f>
        <v>0</v>
      </c>
      <c r="M415" s="17">
        <f>'12 - Device_Configuration'!Q416</f>
        <v>0</v>
      </c>
      <c r="N415" s="17" t="str">
        <f>'12 - Device_Configuration'!BK416</f>
        <v/>
      </c>
      <c r="O415" s="30" t="str">
        <f>'12 - Device_Configuration'!BL416</f>
        <v/>
      </c>
      <c r="P415" s="2">
        <f>'12 - Device_Configuration'!BA416</f>
        <v>0</v>
      </c>
      <c r="Q415" s="30" t="str">
        <f t="shared" si="24"/>
        <v/>
      </c>
      <c r="R415" s="17" t="str">
        <f t="shared" si="25"/>
        <v>SW NOT INSTALLED</v>
      </c>
      <c r="S415" s="17" t="str">
        <f t="shared" si="26"/>
        <v/>
      </c>
      <c r="T415" s="17" t="str">
        <f t="shared" si="27"/>
        <v>SW NOT INSTALLED</v>
      </c>
    </row>
    <row r="416" spans="1:20">
      <c r="A416" s="30">
        <f>'12 - Device_Configuration'!H417</f>
        <v>0</v>
      </c>
      <c r="B416" s="30">
        <f>'12 - Device_Configuration'!S417</f>
        <v>0</v>
      </c>
      <c r="C416" s="30">
        <f>'12 - Device_Configuration'!T417</f>
        <v>0</v>
      </c>
      <c r="D416" s="17">
        <f>'12 - Device_Configuration'!AJ417</f>
        <v>0</v>
      </c>
      <c r="E416" s="17">
        <f>'12 - Device_Configuration'!J417</f>
        <v>0</v>
      </c>
      <c r="F416" s="30">
        <f>'12 - Device_Configuration'!K417</f>
        <v>0</v>
      </c>
      <c r="G416" s="17">
        <f>'12 - Device_Configuration'!L417</f>
        <v>0</v>
      </c>
      <c r="H416" s="17">
        <f>'13 - Config_Intake_View'!M416</f>
        <v>0</v>
      </c>
      <c r="I416" s="30">
        <f>IF('13 - Config_Intake_View'!Q416&lt;&gt;"",'13 - Config_Intake_View'!Q416,'12 - Device_Configuration'!BH417)</f>
        <v>0</v>
      </c>
      <c r="J416" s="17" t="str">
        <f>IF('13 - Config_Intake_View'!Q416&lt;&gt;"","PM Approved",IF('12 - Device_Configuration'!BH417&lt;&gt;"","Assumed",""))</f>
        <v/>
      </c>
      <c r="K416" s="30">
        <f>'12 - Device_Configuration'!BG417</f>
        <v>0</v>
      </c>
      <c r="L416" s="17">
        <f>'12 - Device_Configuration'!P417</f>
        <v>0</v>
      </c>
      <c r="M416" s="17">
        <f>'12 - Device_Configuration'!Q417</f>
        <v>0</v>
      </c>
      <c r="N416" s="17" t="str">
        <f>'12 - Device_Configuration'!BK417</f>
        <v/>
      </c>
      <c r="O416" s="30" t="str">
        <f>'12 - Device_Configuration'!BL417</f>
        <v/>
      </c>
      <c r="P416" s="2">
        <f>'12 - Device_Configuration'!BA417</f>
        <v>0</v>
      </c>
      <c r="Q416" s="30" t="str">
        <f t="shared" si="24"/>
        <v/>
      </c>
      <c r="R416" s="17" t="str">
        <f t="shared" si="25"/>
        <v>SW NOT INSTALLED</v>
      </c>
      <c r="S416" s="17" t="str">
        <f t="shared" si="26"/>
        <v/>
      </c>
      <c r="T416" s="17" t="str">
        <f t="shared" si="27"/>
        <v>SW NOT INSTALLED</v>
      </c>
    </row>
    <row r="417" spans="1:20">
      <c r="A417" s="30">
        <f>'12 - Device_Configuration'!H418</f>
        <v>0</v>
      </c>
      <c r="B417" s="30">
        <f>'12 - Device_Configuration'!S418</f>
        <v>0</v>
      </c>
      <c r="C417" s="30">
        <f>'12 - Device_Configuration'!T418</f>
        <v>0</v>
      </c>
      <c r="D417" s="17">
        <f>'12 - Device_Configuration'!AJ418</f>
        <v>0</v>
      </c>
      <c r="E417" s="17">
        <f>'12 - Device_Configuration'!J418</f>
        <v>0</v>
      </c>
      <c r="F417" s="30">
        <f>'12 - Device_Configuration'!K418</f>
        <v>0</v>
      </c>
      <c r="G417" s="17">
        <f>'12 - Device_Configuration'!L418</f>
        <v>0</v>
      </c>
      <c r="H417" s="17">
        <f>'13 - Config_Intake_View'!M417</f>
        <v>0</v>
      </c>
      <c r="I417" s="30">
        <f>IF('13 - Config_Intake_View'!Q417&lt;&gt;"",'13 - Config_Intake_View'!Q417,'12 - Device_Configuration'!BH418)</f>
        <v>0</v>
      </c>
      <c r="J417" s="17" t="str">
        <f>IF('13 - Config_Intake_View'!Q417&lt;&gt;"","PM Approved",IF('12 - Device_Configuration'!BH418&lt;&gt;"","Assumed",""))</f>
        <v/>
      </c>
      <c r="K417" s="30">
        <f>'12 - Device_Configuration'!BG418</f>
        <v>0</v>
      </c>
      <c r="L417" s="17">
        <f>'12 - Device_Configuration'!P418</f>
        <v>0</v>
      </c>
      <c r="M417" s="17">
        <f>'12 - Device_Configuration'!Q418</f>
        <v>0</v>
      </c>
      <c r="N417" s="17" t="str">
        <f>'12 - Device_Configuration'!BK418</f>
        <v/>
      </c>
      <c r="O417" s="30" t="str">
        <f>'12 - Device_Configuration'!BL418</f>
        <v/>
      </c>
      <c r="P417" s="2">
        <f>'12 - Device_Configuration'!BA418</f>
        <v>0</v>
      </c>
      <c r="Q417" s="30" t="str">
        <f t="shared" si="24"/>
        <v/>
      </c>
      <c r="R417" s="17" t="str">
        <f t="shared" si="25"/>
        <v>SW NOT INSTALLED</v>
      </c>
      <c r="S417" s="17" t="str">
        <f t="shared" si="26"/>
        <v/>
      </c>
      <c r="T417" s="17" t="str">
        <f t="shared" si="27"/>
        <v>SW NOT INSTALLED</v>
      </c>
    </row>
    <row r="418" spans="1:20">
      <c r="A418" s="30">
        <f>'12 - Device_Configuration'!H419</f>
        <v>0</v>
      </c>
      <c r="B418" s="30">
        <f>'12 - Device_Configuration'!S419</f>
        <v>0</v>
      </c>
      <c r="C418" s="30">
        <f>'12 - Device_Configuration'!T419</f>
        <v>0</v>
      </c>
      <c r="D418" s="17">
        <f>'12 - Device_Configuration'!AJ419</f>
        <v>0</v>
      </c>
      <c r="E418" s="17">
        <f>'12 - Device_Configuration'!J419</f>
        <v>0</v>
      </c>
      <c r="F418" s="30">
        <f>'12 - Device_Configuration'!K419</f>
        <v>0</v>
      </c>
      <c r="G418" s="17">
        <f>'12 - Device_Configuration'!L419</f>
        <v>0</v>
      </c>
      <c r="H418" s="17">
        <f>'13 - Config_Intake_View'!M418</f>
        <v>0</v>
      </c>
      <c r="I418" s="30">
        <f>IF('13 - Config_Intake_View'!Q418&lt;&gt;"",'13 - Config_Intake_View'!Q418,'12 - Device_Configuration'!BH419)</f>
        <v>0</v>
      </c>
      <c r="J418" s="17" t="str">
        <f>IF('13 - Config_Intake_View'!Q418&lt;&gt;"","PM Approved",IF('12 - Device_Configuration'!BH419&lt;&gt;"","Assumed",""))</f>
        <v/>
      </c>
      <c r="K418" s="30">
        <f>'12 - Device_Configuration'!BG419</f>
        <v>0</v>
      </c>
      <c r="L418" s="17">
        <f>'12 - Device_Configuration'!P419</f>
        <v>0</v>
      </c>
      <c r="M418" s="17">
        <f>'12 - Device_Configuration'!Q419</f>
        <v>0</v>
      </c>
      <c r="N418" s="17" t="str">
        <f>'12 - Device_Configuration'!BK419</f>
        <v/>
      </c>
      <c r="O418" s="30" t="str">
        <f>'12 - Device_Configuration'!BL419</f>
        <v/>
      </c>
      <c r="P418" s="2">
        <f>'12 - Device_Configuration'!BA419</f>
        <v>0</v>
      </c>
      <c r="Q418" s="30" t="str">
        <f t="shared" si="24"/>
        <v/>
      </c>
      <c r="R418" s="17" t="str">
        <f t="shared" si="25"/>
        <v>SW NOT INSTALLED</v>
      </c>
      <c r="S418" s="17" t="str">
        <f t="shared" si="26"/>
        <v/>
      </c>
      <c r="T418" s="17" t="str">
        <f t="shared" si="27"/>
        <v>SW NOT INSTALLED</v>
      </c>
    </row>
    <row r="419" spans="1:20">
      <c r="A419" s="30">
        <f>'12 - Device_Configuration'!H420</f>
        <v>0</v>
      </c>
      <c r="B419" s="30">
        <f>'12 - Device_Configuration'!S420</f>
        <v>0</v>
      </c>
      <c r="C419" s="30">
        <f>'12 - Device_Configuration'!T420</f>
        <v>0</v>
      </c>
      <c r="D419" s="17">
        <f>'12 - Device_Configuration'!AJ420</f>
        <v>0</v>
      </c>
      <c r="E419" s="17">
        <f>'12 - Device_Configuration'!J420</f>
        <v>0</v>
      </c>
      <c r="F419" s="30">
        <f>'12 - Device_Configuration'!K420</f>
        <v>0</v>
      </c>
      <c r="G419" s="17">
        <f>'12 - Device_Configuration'!L420</f>
        <v>0</v>
      </c>
      <c r="H419" s="17">
        <f>'13 - Config_Intake_View'!M419</f>
        <v>0</v>
      </c>
      <c r="I419" s="30">
        <f>IF('13 - Config_Intake_View'!Q419&lt;&gt;"",'13 - Config_Intake_View'!Q419,'12 - Device_Configuration'!BH420)</f>
        <v>0</v>
      </c>
      <c r="J419" s="17" t="str">
        <f>IF('13 - Config_Intake_View'!Q419&lt;&gt;"","PM Approved",IF('12 - Device_Configuration'!BH420&lt;&gt;"","Assumed",""))</f>
        <v/>
      </c>
      <c r="K419" s="30">
        <f>'12 - Device_Configuration'!BG420</f>
        <v>0</v>
      </c>
      <c r="L419" s="17">
        <f>'12 - Device_Configuration'!P420</f>
        <v>0</v>
      </c>
      <c r="M419" s="17">
        <f>'12 - Device_Configuration'!Q420</f>
        <v>0</v>
      </c>
      <c r="N419" s="17" t="str">
        <f>'12 - Device_Configuration'!BK420</f>
        <v/>
      </c>
      <c r="O419" s="30" t="str">
        <f>'12 - Device_Configuration'!BL420</f>
        <v/>
      </c>
      <c r="P419" s="2">
        <f>'12 - Device_Configuration'!BA420</f>
        <v>0</v>
      </c>
      <c r="Q419" s="30" t="str">
        <f t="shared" si="24"/>
        <v/>
      </c>
      <c r="R419" s="17" t="str">
        <f t="shared" si="25"/>
        <v>SW NOT INSTALLED</v>
      </c>
      <c r="S419" s="17" t="str">
        <f t="shared" si="26"/>
        <v/>
      </c>
      <c r="T419" s="17" t="str">
        <f t="shared" si="27"/>
        <v>SW NOT INSTALLED</v>
      </c>
    </row>
    <row r="420" spans="1:20">
      <c r="A420" s="30">
        <f>'12 - Device_Configuration'!H421</f>
        <v>0</v>
      </c>
      <c r="B420" s="30">
        <f>'12 - Device_Configuration'!S421</f>
        <v>0</v>
      </c>
      <c r="C420" s="30">
        <f>'12 - Device_Configuration'!T421</f>
        <v>0</v>
      </c>
      <c r="D420" s="17">
        <f>'12 - Device_Configuration'!AJ421</f>
        <v>0</v>
      </c>
      <c r="E420" s="17">
        <f>'12 - Device_Configuration'!J421</f>
        <v>0</v>
      </c>
      <c r="F420" s="30">
        <f>'12 - Device_Configuration'!K421</f>
        <v>0</v>
      </c>
      <c r="G420" s="17">
        <f>'12 - Device_Configuration'!L421</f>
        <v>0</v>
      </c>
      <c r="H420" s="17">
        <f>'13 - Config_Intake_View'!M420</f>
        <v>0</v>
      </c>
      <c r="I420" s="30">
        <f>IF('13 - Config_Intake_View'!Q420&lt;&gt;"",'13 - Config_Intake_View'!Q420,'12 - Device_Configuration'!BH421)</f>
        <v>0</v>
      </c>
      <c r="J420" s="17" t="str">
        <f>IF('13 - Config_Intake_View'!Q420&lt;&gt;"","PM Approved",IF('12 - Device_Configuration'!BH421&lt;&gt;"","Assumed",""))</f>
        <v/>
      </c>
      <c r="K420" s="30">
        <f>'12 - Device_Configuration'!BG421</f>
        <v>0</v>
      </c>
      <c r="L420" s="17">
        <f>'12 - Device_Configuration'!P421</f>
        <v>0</v>
      </c>
      <c r="M420" s="17">
        <f>'12 - Device_Configuration'!Q421</f>
        <v>0</v>
      </c>
      <c r="N420" s="17" t="str">
        <f>'12 - Device_Configuration'!BK421</f>
        <v/>
      </c>
      <c r="O420" s="30" t="str">
        <f>'12 - Device_Configuration'!BL421</f>
        <v/>
      </c>
      <c r="P420" s="2">
        <f>'12 - Device_Configuration'!BA421</f>
        <v>0</v>
      </c>
      <c r="Q420" s="30" t="str">
        <f t="shared" si="24"/>
        <v/>
      </c>
      <c r="R420" s="17" t="str">
        <f t="shared" si="25"/>
        <v>SW NOT INSTALLED</v>
      </c>
      <c r="S420" s="17" t="str">
        <f t="shared" si="26"/>
        <v/>
      </c>
      <c r="T420" s="17" t="str">
        <f t="shared" si="27"/>
        <v>SW NOT INSTALLED</v>
      </c>
    </row>
    <row r="421" spans="1:20">
      <c r="A421" s="30">
        <f>'12 - Device_Configuration'!H422</f>
        <v>0</v>
      </c>
      <c r="B421" s="30">
        <f>'12 - Device_Configuration'!S422</f>
        <v>0</v>
      </c>
      <c r="C421" s="30">
        <f>'12 - Device_Configuration'!T422</f>
        <v>0</v>
      </c>
      <c r="D421" s="17">
        <f>'12 - Device_Configuration'!AJ422</f>
        <v>0</v>
      </c>
      <c r="E421" s="17">
        <f>'12 - Device_Configuration'!J422</f>
        <v>0</v>
      </c>
      <c r="F421" s="30">
        <f>'12 - Device_Configuration'!K422</f>
        <v>0</v>
      </c>
      <c r="G421" s="17">
        <f>'12 - Device_Configuration'!L422</f>
        <v>0</v>
      </c>
      <c r="H421" s="17">
        <f>'13 - Config_Intake_View'!M421</f>
        <v>0</v>
      </c>
      <c r="I421" s="30">
        <f>IF('13 - Config_Intake_View'!Q421&lt;&gt;"",'13 - Config_Intake_View'!Q421,'12 - Device_Configuration'!BH422)</f>
        <v>0</v>
      </c>
      <c r="J421" s="17" t="str">
        <f>IF('13 - Config_Intake_View'!Q421&lt;&gt;"","PM Approved",IF('12 - Device_Configuration'!BH422&lt;&gt;"","Assumed",""))</f>
        <v/>
      </c>
      <c r="K421" s="30">
        <f>'12 - Device_Configuration'!BG422</f>
        <v>0</v>
      </c>
      <c r="L421" s="17">
        <f>'12 - Device_Configuration'!P422</f>
        <v>0</v>
      </c>
      <c r="M421" s="17">
        <f>'12 - Device_Configuration'!Q422</f>
        <v>0</v>
      </c>
      <c r="N421" s="17" t="str">
        <f>'12 - Device_Configuration'!BK422</f>
        <v/>
      </c>
      <c r="O421" s="30" t="str">
        <f>'12 - Device_Configuration'!BL422</f>
        <v/>
      </c>
      <c r="P421" s="2">
        <f>'12 - Device_Configuration'!BA422</f>
        <v>0</v>
      </c>
      <c r="Q421" s="30" t="str">
        <f t="shared" si="24"/>
        <v/>
      </c>
      <c r="R421" s="17" t="str">
        <f t="shared" si="25"/>
        <v>SW NOT INSTALLED</v>
      </c>
      <c r="S421" s="17" t="str">
        <f t="shared" si="26"/>
        <v/>
      </c>
      <c r="T421" s="17" t="str">
        <f t="shared" si="27"/>
        <v>SW NOT INSTALLED</v>
      </c>
    </row>
    <row r="422" spans="1:20">
      <c r="A422" s="30">
        <f>'12 - Device_Configuration'!H423</f>
        <v>0</v>
      </c>
      <c r="B422" s="30">
        <f>'12 - Device_Configuration'!S423</f>
        <v>0</v>
      </c>
      <c r="C422" s="30">
        <f>'12 - Device_Configuration'!T423</f>
        <v>0</v>
      </c>
      <c r="D422" s="17">
        <f>'12 - Device_Configuration'!AJ423</f>
        <v>0</v>
      </c>
      <c r="E422" s="17">
        <f>'12 - Device_Configuration'!J423</f>
        <v>0</v>
      </c>
      <c r="F422" s="30">
        <f>'12 - Device_Configuration'!K423</f>
        <v>0</v>
      </c>
      <c r="G422" s="17">
        <f>'12 - Device_Configuration'!L423</f>
        <v>0</v>
      </c>
      <c r="H422" s="17">
        <f>'13 - Config_Intake_View'!M422</f>
        <v>0</v>
      </c>
      <c r="I422" s="30">
        <f>IF('13 - Config_Intake_View'!Q422&lt;&gt;"",'13 - Config_Intake_View'!Q422,'12 - Device_Configuration'!BH423)</f>
        <v>0</v>
      </c>
      <c r="J422" s="17" t="str">
        <f>IF('13 - Config_Intake_View'!Q422&lt;&gt;"","PM Approved",IF('12 - Device_Configuration'!BH423&lt;&gt;"","Assumed",""))</f>
        <v/>
      </c>
      <c r="K422" s="30">
        <f>'12 - Device_Configuration'!BG423</f>
        <v>0</v>
      </c>
      <c r="L422" s="17">
        <f>'12 - Device_Configuration'!P423</f>
        <v>0</v>
      </c>
      <c r="M422" s="17">
        <f>'12 - Device_Configuration'!Q423</f>
        <v>0</v>
      </c>
      <c r="N422" s="17" t="str">
        <f>'12 - Device_Configuration'!BK423</f>
        <v/>
      </c>
      <c r="O422" s="30" t="str">
        <f>'12 - Device_Configuration'!BL423</f>
        <v/>
      </c>
      <c r="P422" s="2">
        <f>'12 - Device_Configuration'!BA423</f>
        <v>0</v>
      </c>
      <c r="Q422" s="30" t="str">
        <f t="shared" si="24"/>
        <v/>
      </c>
      <c r="R422" s="17" t="str">
        <f t="shared" si="25"/>
        <v>SW NOT INSTALLED</v>
      </c>
      <c r="S422" s="17" t="str">
        <f t="shared" si="26"/>
        <v/>
      </c>
      <c r="T422" s="17" t="str">
        <f t="shared" si="27"/>
        <v>SW NOT INSTALLED</v>
      </c>
    </row>
    <row r="423" spans="1:20">
      <c r="A423" s="30">
        <f>'12 - Device_Configuration'!H424</f>
        <v>0</v>
      </c>
      <c r="B423" s="30">
        <f>'12 - Device_Configuration'!S424</f>
        <v>0</v>
      </c>
      <c r="C423" s="30">
        <f>'12 - Device_Configuration'!T424</f>
        <v>0</v>
      </c>
      <c r="D423" s="17">
        <f>'12 - Device_Configuration'!AJ424</f>
        <v>0</v>
      </c>
      <c r="E423" s="17">
        <f>'12 - Device_Configuration'!J424</f>
        <v>0</v>
      </c>
      <c r="F423" s="30">
        <f>'12 - Device_Configuration'!K424</f>
        <v>0</v>
      </c>
      <c r="G423" s="17">
        <f>'12 - Device_Configuration'!L424</f>
        <v>0</v>
      </c>
      <c r="H423" s="17">
        <f>'13 - Config_Intake_View'!M423</f>
        <v>0</v>
      </c>
      <c r="I423" s="30">
        <f>IF('13 - Config_Intake_View'!Q423&lt;&gt;"",'13 - Config_Intake_View'!Q423,'12 - Device_Configuration'!BH424)</f>
        <v>0</v>
      </c>
      <c r="J423" s="17" t="str">
        <f>IF('13 - Config_Intake_View'!Q423&lt;&gt;"","PM Approved",IF('12 - Device_Configuration'!BH424&lt;&gt;"","Assumed",""))</f>
        <v/>
      </c>
      <c r="K423" s="30">
        <f>'12 - Device_Configuration'!BG424</f>
        <v>0</v>
      </c>
      <c r="L423" s="17">
        <f>'12 - Device_Configuration'!P424</f>
        <v>0</v>
      </c>
      <c r="M423" s="17">
        <f>'12 - Device_Configuration'!Q424</f>
        <v>0</v>
      </c>
      <c r="N423" s="17" t="str">
        <f>'12 - Device_Configuration'!BK424</f>
        <v/>
      </c>
      <c r="O423" s="30" t="str">
        <f>'12 - Device_Configuration'!BL424</f>
        <v/>
      </c>
      <c r="P423" s="2">
        <f>'12 - Device_Configuration'!BA424</f>
        <v>0</v>
      </c>
      <c r="Q423" s="30" t="str">
        <f t="shared" si="24"/>
        <v/>
      </c>
      <c r="R423" s="17" t="str">
        <f t="shared" si="25"/>
        <v>SW NOT INSTALLED</v>
      </c>
      <c r="S423" s="17" t="str">
        <f t="shared" si="26"/>
        <v/>
      </c>
      <c r="T423" s="17" t="str">
        <f t="shared" si="27"/>
        <v>SW NOT INSTALLED</v>
      </c>
    </row>
    <row r="424" spans="1:20">
      <c r="A424" s="30">
        <f>'12 - Device_Configuration'!H425</f>
        <v>0</v>
      </c>
      <c r="B424" s="30">
        <f>'12 - Device_Configuration'!S425</f>
        <v>0</v>
      </c>
      <c r="C424" s="30">
        <f>'12 - Device_Configuration'!T425</f>
        <v>0</v>
      </c>
      <c r="D424" s="17">
        <f>'12 - Device_Configuration'!AJ425</f>
        <v>0</v>
      </c>
      <c r="E424" s="17">
        <f>'12 - Device_Configuration'!J425</f>
        <v>0</v>
      </c>
      <c r="F424" s="30">
        <f>'12 - Device_Configuration'!K425</f>
        <v>0</v>
      </c>
      <c r="G424" s="17">
        <f>'12 - Device_Configuration'!L425</f>
        <v>0</v>
      </c>
      <c r="H424" s="17">
        <f>'13 - Config_Intake_View'!M424</f>
        <v>0</v>
      </c>
      <c r="I424" s="30">
        <f>IF('13 - Config_Intake_View'!Q424&lt;&gt;"",'13 - Config_Intake_View'!Q424,'12 - Device_Configuration'!BH425)</f>
        <v>0</v>
      </c>
      <c r="J424" s="17" t="str">
        <f>IF('13 - Config_Intake_View'!Q424&lt;&gt;"","PM Approved",IF('12 - Device_Configuration'!BH425&lt;&gt;"","Assumed",""))</f>
        <v/>
      </c>
      <c r="K424" s="30">
        <f>'12 - Device_Configuration'!BG425</f>
        <v>0</v>
      </c>
      <c r="L424" s="17">
        <f>'12 - Device_Configuration'!P425</f>
        <v>0</v>
      </c>
      <c r="M424" s="17">
        <f>'12 - Device_Configuration'!Q425</f>
        <v>0</v>
      </c>
      <c r="N424" s="17" t="str">
        <f>'12 - Device_Configuration'!BK425</f>
        <v/>
      </c>
      <c r="O424" s="30" t="str">
        <f>'12 - Device_Configuration'!BL425</f>
        <v/>
      </c>
      <c r="P424" s="2">
        <f>'12 - Device_Configuration'!BA425</f>
        <v>0</v>
      </c>
      <c r="Q424" s="30" t="str">
        <f t="shared" si="24"/>
        <v/>
      </c>
      <c r="R424" s="17" t="str">
        <f t="shared" si="25"/>
        <v>SW NOT INSTALLED</v>
      </c>
      <c r="S424" s="17" t="str">
        <f t="shared" si="26"/>
        <v/>
      </c>
      <c r="T424" s="17" t="str">
        <f t="shared" si="27"/>
        <v>SW NOT INSTALLED</v>
      </c>
    </row>
    <row r="425" spans="1:20">
      <c r="A425" s="30">
        <f>'12 - Device_Configuration'!H426</f>
        <v>0</v>
      </c>
      <c r="B425" s="30">
        <f>'12 - Device_Configuration'!S426</f>
        <v>0</v>
      </c>
      <c r="C425" s="30">
        <f>'12 - Device_Configuration'!T426</f>
        <v>0</v>
      </c>
      <c r="D425" s="17">
        <f>'12 - Device_Configuration'!AJ426</f>
        <v>0</v>
      </c>
      <c r="E425" s="17">
        <f>'12 - Device_Configuration'!J426</f>
        <v>0</v>
      </c>
      <c r="F425" s="30">
        <f>'12 - Device_Configuration'!K426</f>
        <v>0</v>
      </c>
      <c r="G425" s="17">
        <f>'12 - Device_Configuration'!L426</f>
        <v>0</v>
      </c>
      <c r="H425" s="17">
        <f>'13 - Config_Intake_View'!M425</f>
        <v>0</v>
      </c>
      <c r="I425" s="30">
        <f>IF('13 - Config_Intake_View'!Q425&lt;&gt;"",'13 - Config_Intake_View'!Q425,'12 - Device_Configuration'!BH426)</f>
        <v>0</v>
      </c>
      <c r="J425" s="17" t="str">
        <f>IF('13 - Config_Intake_View'!Q425&lt;&gt;"","PM Approved",IF('12 - Device_Configuration'!BH426&lt;&gt;"","Assumed",""))</f>
        <v/>
      </c>
      <c r="K425" s="30">
        <f>'12 - Device_Configuration'!BG426</f>
        <v>0</v>
      </c>
      <c r="L425" s="17">
        <f>'12 - Device_Configuration'!P426</f>
        <v>0</v>
      </c>
      <c r="M425" s="17">
        <f>'12 - Device_Configuration'!Q426</f>
        <v>0</v>
      </c>
      <c r="N425" s="17" t="str">
        <f>'12 - Device_Configuration'!BK426</f>
        <v/>
      </c>
      <c r="O425" s="30" t="str">
        <f>'12 - Device_Configuration'!BL426</f>
        <v/>
      </c>
      <c r="P425" s="2">
        <f>'12 - Device_Configuration'!BA426</f>
        <v>0</v>
      </c>
      <c r="Q425" s="30" t="str">
        <f t="shared" si="24"/>
        <v/>
      </c>
      <c r="R425" s="17" t="str">
        <f t="shared" si="25"/>
        <v>SW NOT INSTALLED</v>
      </c>
      <c r="S425" s="17" t="str">
        <f t="shared" si="26"/>
        <v/>
      </c>
      <c r="T425" s="17" t="str">
        <f t="shared" si="27"/>
        <v>SW NOT INSTALLED</v>
      </c>
    </row>
    <row r="426" spans="1:20">
      <c r="A426" s="30">
        <f>'12 - Device_Configuration'!H427</f>
        <v>0</v>
      </c>
      <c r="B426" s="30">
        <f>'12 - Device_Configuration'!S427</f>
        <v>0</v>
      </c>
      <c r="C426" s="30">
        <f>'12 - Device_Configuration'!T427</f>
        <v>0</v>
      </c>
      <c r="D426" s="17">
        <f>'12 - Device_Configuration'!AJ427</f>
        <v>0</v>
      </c>
      <c r="E426" s="17">
        <f>'12 - Device_Configuration'!J427</f>
        <v>0</v>
      </c>
      <c r="F426" s="30">
        <f>'12 - Device_Configuration'!K427</f>
        <v>0</v>
      </c>
      <c r="G426" s="17">
        <f>'12 - Device_Configuration'!L427</f>
        <v>0</v>
      </c>
      <c r="H426" s="17">
        <f>'13 - Config_Intake_View'!M426</f>
        <v>0</v>
      </c>
      <c r="I426" s="30">
        <f>IF('13 - Config_Intake_View'!Q426&lt;&gt;"",'13 - Config_Intake_View'!Q426,'12 - Device_Configuration'!BH427)</f>
        <v>0</v>
      </c>
      <c r="J426" s="17" t="str">
        <f>IF('13 - Config_Intake_View'!Q426&lt;&gt;"","PM Approved",IF('12 - Device_Configuration'!BH427&lt;&gt;"","Assumed",""))</f>
        <v/>
      </c>
      <c r="K426" s="30">
        <f>'12 - Device_Configuration'!BG427</f>
        <v>0</v>
      </c>
      <c r="L426" s="17">
        <f>'12 - Device_Configuration'!P427</f>
        <v>0</v>
      </c>
      <c r="M426" s="17">
        <f>'12 - Device_Configuration'!Q427</f>
        <v>0</v>
      </c>
      <c r="N426" s="17" t="str">
        <f>'12 - Device_Configuration'!BK427</f>
        <v/>
      </c>
      <c r="O426" s="30" t="str">
        <f>'12 - Device_Configuration'!BL427</f>
        <v/>
      </c>
      <c r="P426" s="2">
        <f>'12 - Device_Configuration'!BA427</f>
        <v>0</v>
      </c>
      <c r="Q426" s="30" t="str">
        <f t="shared" si="24"/>
        <v/>
      </c>
      <c r="R426" s="17" t="str">
        <f t="shared" si="25"/>
        <v>SW NOT INSTALLED</v>
      </c>
      <c r="S426" s="17" t="str">
        <f t="shared" si="26"/>
        <v/>
      </c>
      <c r="T426" s="17" t="str">
        <f t="shared" si="27"/>
        <v>SW NOT INSTALLED</v>
      </c>
    </row>
    <row r="427" spans="1:20">
      <c r="A427" s="30">
        <f>'12 - Device_Configuration'!H428</f>
        <v>0</v>
      </c>
      <c r="B427" s="30">
        <f>'12 - Device_Configuration'!S428</f>
        <v>0</v>
      </c>
      <c r="C427" s="30">
        <f>'12 - Device_Configuration'!T428</f>
        <v>0</v>
      </c>
      <c r="D427" s="17">
        <f>'12 - Device_Configuration'!AJ428</f>
        <v>0</v>
      </c>
      <c r="E427" s="17">
        <f>'12 - Device_Configuration'!J428</f>
        <v>0</v>
      </c>
      <c r="F427" s="30">
        <f>'12 - Device_Configuration'!K428</f>
        <v>0</v>
      </c>
      <c r="G427" s="17">
        <f>'12 - Device_Configuration'!L428</f>
        <v>0</v>
      </c>
      <c r="H427" s="17">
        <f>'13 - Config_Intake_View'!M427</f>
        <v>0</v>
      </c>
      <c r="I427" s="30">
        <f>IF('13 - Config_Intake_View'!Q427&lt;&gt;"",'13 - Config_Intake_View'!Q427,'12 - Device_Configuration'!BH428)</f>
        <v>0</v>
      </c>
      <c r="J427" s="17" t="str">
        <f>IF('13 - Config_Intake_View'!Q427&lt;&gt;"","PM Approved",IF('12 - Device_Configuration'!BH428&lt;&gt;"","Assumed",""))</f>
        <v/>
      </c>
      <c r="K427" s="30">
        <f>'12 - Device_Configuration'!BG428</f>
        <v>0</v>
      </c>
      <c r="L427" s="17">
        <f>'12 - Device_Configuration'!P428</f>
        <v>0</v>
      </c>
      <c r="M427" s="17">
        <f>'12 - Device_Configuration'!Q428</f>
        <v>0</v>
      </c>
      <c r="N427" s="17" t="str">
        <f>'12 - Device_Configuration'!BK428</f>
        <v/>
      </c>
      <c r="O427" s="30" t="str">
        <f>'12 - Device_Configuration'!BL428</f>
        <v/>
      </c>
      <c r="P427" s="2">
        <f>'12 - Device_Configuration'!BA428</f>
        <v>0</v>
      </c>
      <c r="Q427" s="30" t="str">
        <f t="shared" si="24"/>
        <v/>
      </c>
      <c r="R427" s="17" t="str">
        <f t="shared" si="25"/>
        <v>SW NOT INSTALLED</v>
      </c>
      <c r="S427" s="17" t="str">
        <f t="shared" si="26"/>
        <v/>
      </c>
      <c r="T427" s="17" t="str">
        <f t="shared" si="27"/>
        <v>SW NOT INSTALLED</v>
      </c>
    </row>
    <row r="428" spans="1:20">
      <c r="A428" s="30">
        <f>'12 - Device_Configuration'!H429</f>
        <v>0</v>
      </c>
      <c r="B428" s="30">
        <f>'12 - Device_Configuration'!S429</f>
        <v>0</v>
      </c>
      <c r="C428" s="30">
        <f>'12 - Device_Configuration'!T429</f>
        <v>0</v>
      </c>
      <c r="D428" s="17">
        <f>'12 - Device_Configuration'!AJ429</f>
        <v>0</v>
      </c>
      <c r="E428" s="17">
        <f>'12 - Device_Configuration'!J429</f>
        <v>0</v>
      </c>
      <c r="F428" s="30">
        <f>'12 - Device_Configuration'!K429</f>
        <v>0</v>
      </c>
      <c r="G428" s="17">
        <f>'12 - Device_Configuration'!L429</f>
        <v>0</v>
      </c>
      <c r="H428" s="17">
        <f>'13 - Config_Intake_View'!M428</f>
        <v>0</v>
      </c>
      <c r="I428" s="30">
        <f>IF('13 - Config_Intake_View'!Q428&lt;&gt;"",'13 - Config_Intake_View'!Q428,'12 - Device_Configuration'!BH429)</f>
        <v>0</v>
      </c>
      <c r="J428" s="17" t="str">
        <f>IF('13 - Config_Intake_View'!Q428&lt;&gt;"","PM Approved",IF('12 - Device_Configuration'!BH429&lt;&gt;"","Assumed",""))</f>
        <v/>
      </c>
      <c r="K428" s="30">
        <f>'12 - Device_Configuration'!BG429</f>
        <v>0</v>
      </c>
      <c r="L428" s="17">
        <f>'12 - Device_Configuration'!P429</f>
        <v>0</v>
      </c>
      <c r="M428" s="17">
        <f>'12 - Device_Configuration'!Q429</f>
        <v>0</v>
      </c>
      <c r="N428" s="17" t="str">
        <f>'12 - Device_Configuration'!BK429</f>
        <v/>
      </c>
      <c r="O428" s="30" t="str">
        <f>'12 - Device_Configuration'!BL429</f>
        <v/>
      </c>
      <c r="P428" s="2">
        <f>'12 - Device_Configuration'!BA429</f>
        <v>0</v>
      </c>
      <c r="Q428" s="30" t="str">
        <f t="shared" si="24"/>
        <v/>
      </c>
      <c r="R428" s="17" t="str">
        <f t="shared" si="25"/>
        <v>SW NOT INSTALLED</v>
      </c>
      <c r="S428" s="17" t="str">
        <f t="shared" si="26"/>
        <v/>
      </c>
      <c r="T428" s="17" t="str">
        <f t="shared" si="27"/>
        <v>SW NOT INSTALLED</v>
      </c>
    </row>
    <row r="429" spans="1:20">
      <c r="A429" s="30">
        <f>'12 - Device_Configuration'!H430</f>
        <v>0</v>
      </c>
      <c r="B429" s="30">
        <f>'12 - Device_Configuration'!S430</f>
        <v>0</v>
      </c>
      <c r="C429" s="30">
        <f>'12 - Device_Configuration'!T430</f>
        <v>0</v>
      </c>
      <c r="D429" s="17">
        <f>'12 - Device_Configuration'!AJ430</f>
        <v>0</v>
      </c>
      <c r="E429" s="17">
        <f>'12 - Device_Configuration'!J430</f>
        <v>0</v>
      </c>
      <c r="F429" s="30">
        <f>'12 - Device_Configuration'!K430</f>
        <v>0</v>
      </c>
      <c r="G429" s="17">
        <f>'12 - Device_Configuration'!L430</f>
        <v>0</v>
      </c>
      <c r="H429" s="17">
        <f>'13 - Config_Intake_View'!M429</f>
        <v>0</v>
      </c>
      <c r="I429" s="30">
        <f>IF('13 - Config_Intake_View'!Q429&lt;&gt;"",'13 - Config_Intake_View'!Q429,'12 - Device_Configuration'!BH430)</f>
        <v>0</v>
      </c>
      <c r="J429" s="17" t="str">
        <f>IF('13 - Config_Intake_View'!Q429&lt;&gt;"","PM Approved",IF('12 - Device_Configuration'!BH430&lt;&gt;"","Assumed",""))</f>
        <v/>
      </c>
      <c r="K429" s="30">
        <f>'12 - Device_Configuration'!BG430</f>
        <v>0</v>
      </c>
      <c r="L429" s="17">
        <f>'12 - Device_Configuration'!P430</f>
        <v>0</v>
      </c>
      <c r="M429" s="17">
        <f>'12 - Device_Configuration'!Q430</f>
        <v>0</v>
      </c>
      <c r="N429" s="17" t="str">
        <f>'12 - Device_Configuration'!BK430</f>
        <v/>
      </c>
      <c r="O429" s="30" t="str">
        <f>'12 - Device_Configuration'!BL430</f>
        <v/>
      </c>
      <c r="P429" s="2">
        <f>'12 - Device_Configuration'!BA430</f>
        <v>0</v>
      </c>
      <c r="Q429" s="30" t="str">
        <f t="shared" si="24"/>
        <v/>
      </c>
      <c r="R429" s="17" t="str">
        <f t="shared" si="25"/>
        <v>SW NOT INSTALLED</v>
      </c>
      <c r="S429" s="17" t="str">
        <f t="shared" si="26"/>
        <v/>
      </c>
      <c r="T429" s="17" t="str">
        <f t="shared" si="27"/>
        <v>SW NOT INSTALLED</v>
      </c>
    </row>
    <row r="430" spans="1:20">
      <c r="A430" s="30">
        <f>'12 - Device_Configuration'!H431</f>
        <v>0</v>
      </c>
      <c r="B430" s="30">
        <f>'12 - Device_Configuration'!S431</f>
        <v>0</v>
      </c>
      <c r="C430" s="30">
        <f>'12 - Device_Configuration'!T431</f>
        <v>0</v>
      </c>
      <c r="D430" s="17">
        <f>'12 - Device_Configuration'!AJ431</f>
        <v>0</v>
      </c>
      <c r="E430" s="17">
        <f>'12 - Device_Configuration'!J431</f>
        <v>0</v>
      </c>
      <c r="F430" s="30">
        <f>'12 - Device_Configuration'!K431</f>
        <v>0</v>
      </c>
      <c r="G430" s="17">
        <f>'12 - Device_Configuration'!L431</f>
        <v>0</v>
      </c>
      <c r="H430" s="17">
        <f>'13 - Config_Intake_View'!M430</f>
        <v>0</v>
      </c>
      <c r="I430" s="30">
        <f>IF('13 - Config_Intake_View'!Q430&lt;&gt;"",'13 - Config_Intake_View'!Q430,'12 - Device_Configuration'!BH431)</f>
        <v>0</v>
      </c>
      <c r="J430" s="17" t="str">
        <f>IF('13 - Config_Intake_View'!Q430&lt;&gt;"","PM Approved",IF('12 - Device_Configuration'!BH431&lt;&gt;"","Assumed",""))</f>
        <v/>
      </c>
      <c r="K430" s="30">
        <f>'12 - Device_Configuration'!BG431</f>
        <v>0</v>
      </c>
      <c r="L430" s="17">
        <f>'12 - Device_Configuration'!P431</f>
        <v>0</v>
      </c>
      <c r="M430" s="17">
        <f>'12 - Device_Configuration'!Q431</f>
        <v>0</v>
      </c>
      <c r="N430" s="17" t="str">
        <f>'12 - Device_Configuration'!BK431</f>
        <v/>
      </c>
      <c r="O430" s="30" t="str">
        <f>'12 - Device_Configuration'!BL431</f>
        <v/>
      </c>
      <c r="P430" s="2">
        <f>'12 - Device_Configuration'!BA431</f>
        <v>0</v>
      </c>
      <c r="Q430" s="30" t="str">
        <f t="shared" si="24"/>
        <v/>
      </c>
      <c r="R430" s="17" t="str">
        <f t="shared" si="25"/>
        <v>SW NOT INSTALLED</v>
      </c>
      <c r="S430" s="17" t="str">
        <f t="shared" si="26"/>
        <v/>
      </c>
      <c r="T430" s="17" t="str">
        <f t="shared" si="27"/>
        <v>SW NOT INSTALLED</v>
      </c>
    </row>
    <row r="431" spans="1:20">
      <c r="A431" s="30">
        <f>'12 - Device_Configuration'!H432</f>
        <v>0</v>
      </c>
      <c r="B431" s="30">
        <f>'12 - Device_Configuration'!S432</f>
        <v>0</v>
      </c>
      <c r="C431" s="30">
        <f>'12 - Device_Configuration'!T432</f>
        <v>0</v>
      </c>
      <c r="D431" s="17">
        <f>'12 - Device_Configuration'!AJ432</f>
        <v>0</v>
      </c>
      <c r="E431" s="17">
        <f>'12 - Device_Configuration'!J432</f>
        <v>0</v>
      </c>
      <c r="F431" s="30">
        <f>'12 - Device_Configuration'!K432</f>
        <v>0</v>
      </c>
      <c r="G431" s="17">
        <f>'12 - Device_Configuration'!L432</f>
        <v>0</v>
      </c>
      <c r="H431" s="17">
        <f>'13 - Config_Intake_View'!M431</f>
        <v>0</v>
      </c>
      <c r="I431" s="30">
        <f>IF('13 - Config_Intake_View'!Q431&lt;&gt;"",'13 - Config_Intake_View'!Q431,'12 - Device_Configuration'!BH432)</f>
        <v>0</v>
      </c>
      <c r="J431" s="17" t="str">
        <f>IF('13 - Config_Intake_View'!Q431&lt;&gt;"","PM Approved",IF('12 - Device_Configuration'!BH432&lt;&gt;"","Assumed",""))</f>
        <v/>
      </c>
      <c r="K431" s="30">
        <f>'12 - Device_Configuration'!BG432</f>
        <v>0</v>
      </c>
      <c r="L431" s="17">
        <f>'12 - Device_Configuration'!P432</f>
        <v>0</v>
      </c>
      <c r="M431" s="17">
        <f>'12 - Device_Configuration'!Q432</f>
        <v>0</v>
      </c>
      <c r="N431" s="17" t="str">
        <f>'12 - Device_Configuration'!BK432</f>
        <v/>
      </c>
      <c r="O431" s="30" t="str">
        <f>'12 - Device_Configuration'!BL432</f>
        <v/>
      </c>
      <c r="P431" s="2">
        <f>'12 - Device_Configuration'!BA432</f>
        <v>0</v>
      </c>
      <c r="Q431" s="30" t="str">
        <f t="shared" si="24"/>
        <v/>
      </c>
      <c r="R431" s="17" t="str">
        <f t="shared" si="25"/>
        <v>SW NOT INSTALLED</v>
      </c>
      <c r="S431" s="17" t="str">
        <f t="shared" si="26"/>
        <v/>
      </c>
      <c r="T431" s="17" t="str">
        <f t="shared" si="27"/>
        <v>SW NOT INSTALLED</v>
      </c>
    </row>
    <row r="432" spans="1:20">
      <c r="A432" s="30">
        <f>'12 - Device_Configuration'!H433</f>
        <v>0</v>
      </c>
      <c r="B432" s="30">
        <f>'12 - Device_Configuration'!S433</f>
        <v>0</v>
      </c>
      <c r="C432" s="30">
        <f>'12 - Device_Configuration'!T433</f>
        <v>0</v>
      </c>
      <c r="D432" s="17">
        <f>'12 - Device_Configuration'!AJ433</f>
        <v>0</v>
      </c>
      <c r="E432" s="17">
        <f>'12 - Device_Configuration'!J433</f>
        <v>0</v>
      </c>
      <c r="F432" s="30">
        <f>'12 - Device_Configuration'!K433</f>
        <v>0</v>
      </c>
      <c r="G432" s="17">
        <f>'12 - Device_Configuration'!L433</f>
        <v>0</v>
      </c>
      <c r="H432" s="17">
        <f>'13 - Config_Intake_View'!M432</f>
        <v>0</v>
      </c>
      <c r="I432" s="30">
        <f>IF('13 - Config_Intake_View'!Q432&lt;&gt;"",'13 - Config_Intake_View'!Q432,'12 - Device_Configuration'!BH433)</f>
        <v>0</v>
      </c>
      <c r="J432" s="17" t="str">
        <f>IF('13 - Config_Intake_View'!Q432&lt;&gt;"","PM Approved",IF('12 - Device_Configuration'!BH433&lt;&gt;"","Assumed",""))</f>
        <v/>
      </c>
      <c r="K432" s="30">
        <f>'12 - Device_Configuration'!BG433</f>
        <v>0</v>
      </c>
      <c r="L432" s="17">
        <f>'12 - Device_Configuration'!P433</f>
        <v>0</v>
      </c>
      <c r="M432" s="17">
        <f>'12 - Device_Configuration'!Q433</f>
        <v>0</v>
      </c>
      <c r="N432" s="17" t="str">
        <f>'12 - Device_Configuration'!BK433</f>
        <v/>
      </c>
      <c r="O432" s="30" t="str">
        <f>'12 - Device_Configuration'!BL433</f>
        <v/>
      </c>
      <c r="P432" s="2">
        <f>'12 - Device_Configuration'!BA433</f>
        <v>0</v>
      </c>
      <c r="Q432" s="30" t="str">
        <f t="shared" si="24"/>
        <v/>
      </c>
      <c r="R432" s="17" t="str">
        <f t="shared" si="25"/>
        <v>SW NOT INSTALLED</v>
      </c>
      <c r="S432" s="17" t="str">
        <f t="shared" si="26"/>
        <v/>
      </c>
      <c r="T432" s="17" t="str">
        <f t="shared" si="27"/>
        <v>SW NOT INSTALLED</v>
      </c>
    </row>
    <row r="433" spans="1:20">
      <c r="A433" s="30">
        <f>'12 - Device_Configuration'!H434</f>
        <v>0</v>
      </c>
      <c r="B433" s="30">
        <f>'12 - Device_Configuration'!S434</f>
        <v>0</v>
      </c>
      <c r="C433" s="30">
        <f>'12 - Device_Configuration'!T434</f>
        <v>0</v>
      </c>
      <c r="D433" s="17">
        <f>'12 - Device_Configuration'!AJ434</f>
        <v>0</v>
      </c>
      <c r="E433" s="17">
        <f>'12 - Device_Configuration'!J434</f>
        <v>0</v>
      </c>
      <c r="F433" s="30">
        <f>'12 - Device_Configuration'!K434</f>
        <v>0</v>
      </c>
      <c r="G433" s="17">
        <f>'12 - Device_Configuration'!L434</f>
        <v>0</v>
      </c>
      <c r="H433" s="17">
        <f>'13 - Config_Intake_View'!M433</f>
        <v>0</v>
      </c>
      <c r="I433" s="30">
        <f>IF('13 - Config_Intake_View'!Q433&lt;&gt;"",'13 - Config_Intake_View'!Q433,'12 - Device_Configuration'!BH434)</f>
        <v>0</v>
      </c>
      <c r="J433" s="17" t="str">
        <f>IF('13 - Config_Intake_View'!Q433&lt;&gt;"","PM Approved",IF('12 - Device_Configuration'!BH434&lt;&gt;"","Assumed",""))</f>
        <v/>
      </c>
      <c r="K433" s="30">
        <f>'12 - Device_Configuration'!BG434</f>
        <v>0</v>
      </c>
      <c r="L433" s="17">
        <f>'12 - Device_Configuration'!P434</f>
        <v>0</v>
      </c>
      <c r="M433" s="17">
        <f>'12 - Device_Configuration'!Q434</f>
        <v>0</v>
      </c>
      <c r="N433" s="17" t="str">
        <f>'12 - Device_Configuration'!BK434</f>
        <v/>
      </c>
      <c r="O433" s="30" t="str">
        <f>'12 - Device_Configuration'!BL434</f>
        <v/>
      </c>
      <c r="P433" s="2">
        <f>'12 - Device_Configuration'!BA434</f>
        <v>0</v>
      </c>
      <c r="Q433" s="30" t="str">
        <f t="shared" si="24"/>
        <v/>
      </c>
      <c r="R433" s="17" t="str">
        <f t="shared" si="25"/>
        <v>SW NOT INSTALLED</v>
      </c>
      <c r="S433" s="17" t="str">
        <f t="shared" si="26"/>
        <v/>
      </c>
      <c r="T433" s="17" t="str">
        <f t="shared" si="27"/>
        <v>SW NOT INSTALLED</v>
      </c>
    </row>
    <row r="434" spans="1:20">
      <c r="A434" s="30">
        <f>'12 - Device_Configuration'!H435</f>
        <v>0</v>
      </c>
      <c r="B434" s="30">
        <f>'12 - Device_Configuration'!S435</f>
        <v>0</v>
      </c>
      <c r="C434" s="30">
        <f>'12 - Device_Configuration'!T435</f>
        <v>0</v>
      </c>
      <c r="D434" s="17">
        <f>'12 - Device_Configuration'!AJ435</f>
        <v>0</v>
      </c>
      <c r="E434" s="17">
        <f>'12 - Device_Configuration'!J435</f>
        <v>0</v>
      </c>
      <c r="F434" s="30">
        <f>'12 - Device_Configuration'!K435</f>
        <v>0</v>
      </c>
      <c r="G434" s="17">
        <f>'12 - Device_Configuration'!L435</f>
        <v>0</v>
      </c>
      <c r="H434" s="17">
        <f>'13 - Config_Intake_View'!M434</f>
        <v>0</v>
      </c>
      <c r="I434" s="30">
        <f>IF('13 - Config_Intake_View'!Q434&lt;&gt;"",'13 - Config_Intake_View'!Q434,'12 - Device_Configuration'!BH435)</f>
        <v>0</v>
      </c>
      <c r="J434" s="17" t="str">
        <f>IF('13 - Config_Intake_View'!Q434&lt;&gt;"","PM Approved",IF('12 - Device_Configuration'!BH435&lt;&gt;"","Assumed",""))</f>
        <v/>
      </c>
      <c r="K434" s="30">
        <f>'12 - Device_Configuration'!BG435</f>
        <v>0</v>
      </c>
      <c r="L434" s="17">
        <f>'12 - Device_Configuration'!P435</f>
        <v>0</v>
      </c>
      <c r="M434" s="17">
        <f>'12 - Device_Configuration'!Q435</f>
        <v>0</v>
      </c>
      <c r="N434" s="17" t="str">
        <f>'12 - Device_Configuration'!BK435</f>
        <v/>
      </c>
      <c r="O434" s="30" t="str">
        <f>'12 - Device_Configuration'!BL435</f>
        <v/>
      </c>
      <c r="P434" s="2">
        <f>'12 - Device_Configuration'!BA435</f>
        <v>0</v>
      </c>
      <c r="Q434" s="30" t="str">
        <f t="shared" si="24"/>
        <v/>
      </c>
      <c r="R434" s="17" t="str">
        <f t="shared" si="25"/>
        <v>SW NOT INSTALLED</v>
      </c>
      <c r="S434" s="17" t="str">
        <f t="shared" si="26"/>
        <v/>
      </c>
      <c r="T434" s="17" t="str">
        <f t="shared" si="27"/>
        <v>SW NOT INSTALLED</v>
      </c>
    </row>
    <row r="435" spans="1:20">
      <c r="A435" s="30">
        <f>'12 - Device_Configuration'!H436</f>
        <v>0</v>
      </c>
      <c r="B435" s="30">
        <f>'12 - Device_Configuration'!S436</f>
        <v>0</v>
      </c>
      <c r="C435" s="30">
        <f>'12 - Device_Configuration'!T436</f>
        <v>0</v>
      </c>
      <c r="D435" s="17">
        <f>'12 - Device_Configuration'!AJ436</f>
        <v>0</v>
      </c>
      <c r="E435" s="17">
        <f>'12 - Device_Configuration'!J436</f>
        <v>0</v>
      </c>
      <c r="F435" s="30">
        <f>'12 - Device_Configuration'!K436</f>
        <v>0</v>
      </c>
      <c r="G435" s="17">
        <f>'12 - Device_Configuration'!L436</f>
        <v>0</v>
      </c>
      <c r="H435" s="17">
        <f>'13 - Config_Intake_View'!M435</f>
        <v>0</v>
      </c>
      <c r="I435" s="30">
        <f>IF('13 - Config_Intake_View'!Q435&lt;&gt;"",'13 - Config_Intake_View'!Q435,'12 - Device_Configuration'!BH436)</f>
        <v>0</v>
      </c>
      <c r="J435" s="17" t="str">
        <f>IF('13 - Config_Intake_View'!Q435&lt;&gt;"","PM Approved",IF('12 - Device_Configuration'!BH436&lt;&gt;"","Assumed",""))</f>
        <v/>
      </c>
      <c r="K435" s="30">
        <f>'12 - Device_Configuration'!BG436</f>
        <v>0</v>
      </c>
      <c r="L435" s="17">
        <f>'12 - Device_Configuration'!P436</f>
        <v>0</v>
      </c>
      <c r="M435" s="17">
        <f>'12 - Device_Configuration'!Q436</f>
        <v>0</v>
      </c>
      <c r="N435" s="17" t="str">
        <f>'12 - Device_Configuration'!BK436</f>
        <v/>
      </c>
      <c r="O435" s="30" t="str">
        <f>'12 - Device_Configuration'!BL436</f>
        <v/>
      </c>
      <c r="P435" s="2">
        <f>'12 - Device_Configuration'!BA436</f>
        <v>0</v>
      </c>
      <c r="Q435" s="30" t="str">
        <f t="shared" si="24"/>
        <v/>
      </c>
      <c r="R435" s="17" t="str">
        <f t="shared" si="25"/>
        <v>SW NOT INSTALLED</v>
      </c>
      <c r="S435" s="17" t="str">
        <f t="shared" si="26"/>
        <v/>
      </c>
      <c r="T435" s="17" t="str">
        <f t="shared" si="27"/>
        <v>SW NOT INSTALLED</v>
      </c>
    </row>
    <row r="436" spans="1:20">
      <c r="A436" s="30">
        <f>'12 - Device_Configuration'!H437</f>
        <v>0</v>
      </c>
      <c r="B436" s="30">
        <f>'12 - Device_Configuration'!S437</f>
        <v>0</v>
      </c>
      <c r="C436" s="30">
        <f>'12 - Device_Configuration'!T437</f>
        <v>0</v>
      </c>
      <c r="D436" s="17">
        <f>'12 - Device_Configuration'!AJ437</f>
        <v>0</v>
      </c>
      <c r="E436" s="17">
        <f>'12 - Device_Configuration'!J437</f>
        <v>0</v>
      </c>
      <c r="F436" s="30">
        <f>'12 - Device_Configuration'!K437</f>
        <v>0</v>
      </c>
      <c r="G436" s="17">
        <f>'12 - Device_Configuration'!L437</f>
        <v>0</v>
      </c>
      <c r="H436" s="17">
        <f>'13 - Config_Intake_View'!M436</f>
        <v>0</v>
      </c>
      <c r="I436" s="30">
        <f>IF('13 - Config_Intake_View'!Q436&lt;&gt;"",'13 - Config_Intake_View'!Q436,'12 - Device_Configuration'!BH437)</f>
        <v>0</v>
      </c>
      <c r="J436" s="17" t="str">
        <f>IF('13 - Config_Intake_View'!Q436&lt;&gt;"","PM Approved",IF('12 - Device_Configuration'!BH437&lt;&gt;"","Assumed",""))</f>
        <v/>
      </c>
      <c r="K436" s="30">
        <f>'12 - Device_Configuration'!BG437</f>
        <v>0</v>
      </c>
      <c r="L436" s="17">
        <f>'12 - Device_Configuration'!P437</f>
        <v>0</v>
      </c>
      <c r="M436" s="17">
        <f>'12 - Device_Configuration'!Q437</f>
        <v>0</v>
      </c>
      <c r="N436" s="17" t="str">
        <f>'12 - Device_Configuration'!BK437</f>
        <v/>
      </c>
      <c r="O436" s="30" t="str">
        <f>'12 - Device_Configuration'!BL437</f>
        <v/>
      </c>
      <c r="P436" s="2">
        <f>'12 - Device_Configuration'!BA437</f>
        <v>0</v>
      </c>
      <c r="Q436" s="30" t="str">
        <f t="shared" si="24"/>
        <v/>
      </c>
      <c r="R436" s="17" t="str">
        <f t="shared" si="25"/>
        <v>SW NOT INSTALLED</v>
      </c>
      <c r="S436" s="17" t="str">
        <f t="shared" si="26"/>
        <v/>
      </c>
      <c r="T436" s="17" t="str">
        <f t="shared" si="27"/>
        <v>SW NOT INSTALLED</v>
      </c>
    </row>
    <row r="437" spans="1:20">
      <c r="A437" s="30">
        <f>'12 - Device_Configuration'!H438</f>
        <v>0</v>
      </c>
      <c r="B437" s="30">
        <f>'12 - Device_Configuration'!S438</f>
        <v>0</v>
      </c>
      <c r="C437" s="30">
        <f>'12 - Device_Configuration'!T438</f>
        <v>0</v>
      </c>
      <c r="D437" s="17">
        <f>'12 - Device_Configuration'!AJ438</f>
        <v>0</v>
      </c>
      <c r="E437" s="17">
        <f>'12 - Device_Configuration'!J438</f>
        <v>0</v>
      </c>
      <c r="F437" s="30">
        <f>'12 - Device_Configuration'!K438</f>
        <v>0</v>
      </c>
      <c r="G437" s="17">
        <f>'12 - Device_Configuration'!L438</f>
        <v>0</v>
      </c>
      <c r="H437" s="17">
        <f>'13 - Config_Intake_View'!M437</f>
        <v>0</v>
      </c>
      <c r="I437" s="30">
        <f>IF('13 - Config_Intake_View'!Q437&lt;&gt;"",'13 - Config_Intake_View'!Q437,'12 - Device_Configuration'!BH438)</f>
        <v>0</v>
      </c>
      <c r="J437" s="17" t="str">
        <f>IF('13 - Config_Intake_View'!Q437&lt;&gt;"","PM Approved",IF('12 - Device_Configuration'!BH438&lt;&gt;"","Assumed",""))</f>
        <v/>
      </c>
      <c r="K437" s="30">
        <f>'12 - Device_Configuration'!BG438</f>
        <v>0</v>
      </c>
      <c r="L437" s="17">
        <f>'12 - Device_Configuration'!P438</f>
        <v>0</v>
      </c>
      <c r="M437" s="17">
        <f>'12 - Device_Configuration'!Q438</f>
        <v>0</v>
      </c>
      <c r="N437" s="17" t="str">
        <f>'12 - Device_Configuration'!BK438</f>
        <v/>
      </c>
      <c r="O437" s="30" t="str">
        <f>'12 - Device_Configuration'!BL438</f>
        <v/>
      </c>
      <c r="P437" s="2">
        <f>'12 - Device_Configuration'!BA438</f>
        <v>0</v>
      </c>
      <c r="Q437" s="30" t="str">
        <f t="shared" si="24"/>
        <v/>
      </c>
      <c r="R437" s="17" t="str">
        <f t="shared" si="25"/>
        <v>SW NOT INSTALLED</v>
      </c>
      <c r="S437" s="17" t="str">
        <f t="shared" si="26"/>
        <v/>
      </c>
      <c r="T437" s="17" t="str">
        <f t="shared" si="27"/>
        <v>SW NOT INSTALLED</v>
      </c>
    </row>
    <row r="438" spans="1:20">
      <c r="A438" s="30">
        <f>'12 - Device_Configuration'!H439</f>
        <v>0</v>
      </c>
      <c r="B438" s="30">
        <f>'12 - Device_Configuration'!S439</f>
        <v>0</v>
      </c>
      <c r="C438" s="30">
        <f>'12 - Device_Configuration'!T439</f>
        <v>0</v>
      </c>
      <c r="D438" s="17">
        <f>'12 - Device_Configuration'!AJ439</f>
        <v>0</v>
      </c>
      <c r="E438" s="17">
        <f>'12 - Device_Configuration'!J439</f>
        <v>0</v>
      </c>
      <c r="F438" s="30">
        <f>'12 - Device_Configuration'!K439</f>
        <v>0</v>
      </c>
      <c r="G438" s="17">
        <f>'12 - Device_Configuration'!L439</f>
        <v>0</v>
      </c>
      <c r="H438" s="17">
        <f>'13 - Config_Intake_View'!M438</f>
        <v>0</v>
      </c>
      <c r="I438" s="30">
        <f>IF('13 - Config_Intake_View'!Q438&lt;&gt;"",'13 - Config_Intake_View'!Q438,'12 - Device_Configuration'!BH439)</f>
        <v>0</v>
      </c>
      <c r="J438" s="17" t="str">
        <f>IF('13 - Config_Intake_View'!Q438&lt;&gt;"","PM Approved",IF('12 - Device_Configuration'!BH439&lt;&gt;"","Assumed",""))</f>
        <v/>
      </c>
      <c r="K438" s="30">
        <f>'12 - Device_Configuration'!BG439</f>
        <v>0</v>
      </c>
      <c r="L438" s="17">
        <f>'12 - Device_Configuration'!P439</f>
        <v>0</v>
      </c>
      <c r="M438" s="17">
        <f>'12 - Device_Configuration'!Q439</f>
        <v>0</v>
      </c>
      <c r="N438" s="17" t="str">
        <f>'12 - Device_Configuration'!BK439</f>
        <v/>
      </c>
      <c r="O438" s="30" t="str">
        <f>'12 - Device_Configuration'!BL439</f>
        <v/>
      </c>
      <c r="P438" s="2">
        <f>'12 - Device_Configuration'!BA439</f>
        <v>0</v>
      </c>
      <c r="Q438" s="30" t="str">
        <f t="shared" si="24"/>
        <v/>
      </c>
      <c r="R438" s="17" t="str">
        <f t="shared" si="25"/>
        <v>SW NOT INSTALLED</v>
      </c>
      <c r="S438" s="17" t="str">
        <f t="shared" si="26"/>
        <v/>
      </c>
      <c r="T438" s="17" t="str">
        <f t="shared" si="27"/>
        <v>SW NOT INSTALLED</v>
      </c>
    </row>
    <row r="439" spans="1:20">
      <c r="A439" s="30">
        <f>'12 - Device_Configuration'!H440</f>
        <v>0</v>
      </c>
      <c r="B439" s="30">
        <f>'12 - Device_Configuration'!S440</f>
        <v>0</v>
      </c>
      <c r="C439" s="30">
        <f>'12 - Device_Configuration'!T440</f>
        <v>0</v>
      </c>
      <c r="D439" s="17">
        <f>'12 - Device_Configuration'!AJ440</f>
        <v>0</v>
      </c>
      <c r="E439" s="17">
        <f>'12 - Device_Configuration'!J440</f>
        <v>0</v>
      </c>
      <c r="F439" s="30">
        <f>'12 - Device_Configuration'!K440</f>
        <v>0</v>
      </c>
      <c r="G439" s="17">
        <f>'12 - Device_Configuration'!L440</f>
        <v>0</v>
      </c>
      <c r="H439" s="17">
        <f>'13 - Config_Intake_View'!M439</f>
        <v>0</v>
      </c>
      <c r="I439" s="30">
        <f>IF('13 - Config_Intake_View'!Q439&lt;&gt;"",'13 - Config_Intake_View'!Q439,'12 - Device_Configuration'!BH440)</f>
        <v>0</v>
      </c>
      <c r="J439" s="17" t="str">
        <f>IF('13 - Config_Intake_View'!Q439&lt;&gt;"","PM Approved",IF('12 - Device_Configuration'!BH440&lt;&gt;"","Assumed",""))</f>
        <v/>
      </c>
      <c r="K439" s="30">
        <f>'12 - Device_Configuration'!BG440</f>
        <v>0</v>
      </c>
      <c r="L439" s="17">
        <f>'12 - Device_Configuration'!P440</f>
        <v>0</v>
      </c>
      <c r="M439" s="17">
        <f>'12 - Device_Configuration'!Q440</f>
        <v>0</v>
      </c>
      <c r="N439" s="17" t="str">
        <f>'12 - Device_Configuration'!BK440</f>
        <v/>
      </c>
      <c r="O439" s="30" t="str">
        <f>'12 - Device_Configuration'!BL440</f>
        <v/>
      </c>
      <c r="P439" s="2">
        <f>'12 - Device_Configuration'!BA440</f>
        <v>0</v>
      </c>
      <c r="Q439" s="30" t="str">
        <f t="shared" si="24"/>
        <v/>
      </c>
      <c r="R439" s="17" t="str">
        <f t="shared" si="25"/>
        <v>SW NOT INSTALLED</v>
      </c>
      <c r="S439" s="17" t="str">
        <f t="shared" si="26"/>
        <v/>
      </c>
      <c r="T439" s="17" t="str">
        <f t="shared" si="27"/>
        <v>SW NOT INSTALLED</v>
      </c>
    </row>
    <row r="440" spans="1:20">
      <c r="A440" s="30">
        <f>'12 - Device_Configuration'!H441</f>
        <v>0</v>
      </c>
      <c r="B440" s="30">
        <f>'12 - Device_Configuration'!S441</f>
        <v>0</v>
      </c>
      <c r="C440" s="30">
        <f>'12 - Device_Configuration'!T441</f>
        <v>0</v>
      </c>
      <c r="D440" s="17">
        <f>'12 - Device_Configuration'!AJ441</f>
        <v>0</v>
      </c>
      <c r="E440" s="17">
        <f>'12 - Device_Configuration'!J441</f>
        <v>0</v>
      </c>
      <c r="F440" s="30">
        <f>'12 - Device_Configuration'!K441</f>
        <v>0</v>
      </c>
      <c r="G440" s="17">
        <f>'12 - Device_Configuration'!L441</f>
        <v>0</v>
      </c>
      <c r="H440" s="17">
        <f>'13 - Config_Intake_View'!M440</f>
        <v>0</v>
      </c>
      <c r="I440" s="30">
        <f>IF('13 - Config_Intake_View'!Q440&lt;&gt;"",'13 - Config_Intake_View'!Q440,'12 - Device_Configuration'!BH441)</f>
        <v>0</v>
      </c>
      <c r="J440" s="17" t="str">
        <f>IF('13 - Config_Intake_View'!Q440&lt;&gt;"","PM Approved",IF('12 - Device_Configuration'!BH441&lt;&gt;"","Assumed",""))</f>
        <v/>
      </c>
      <c r="K440" s="30">
        <f>'12 - Device_Configuration'!BG441</f>
        <v>0</v>
      </c>
      <c r="L440" s="17">
        <f>'12 - Device_Configuration'!P441</f>
        <v>0</v>
      </c>
      <c r="M440" s="17">
        <f>'12 - Device_Configuration'!Q441</f>
        <v>0</v>
      </c>
      <c r="N440" s="17" t="str">
        <f>'12 - Device_Configuration'!BK441</f>
        <v/>
      </c>
      <c r="O440" s="30" t="str">
        <f>'12 - Device_Configuration'!BL441</f>
        <v/>
      </c>
      <c r="P440" s="2">
        <f>'12 - Device_Configuration'!BA441</f>
        <v>0</v>
      </c>
      <c r="Q440" s="30" t="str">
        <f t="shared" si="24"/>
        <v/>
      </c>
      <c r="R440" s="17" t="str">
        <f t="shared" si="25"/>
        <v>SW NOT INSTALLED</v>
      </c>
      <c r="S440" s="17" t="str">
        <f t="shared" si="26"/>
        <v/>
      </c>
      <c r="T440" s="17" t="str">
        <f t="shared" si="27"/>
        <v>SW NOT INSTALLED</v>
      </c>
    </row>
    <row r="441" spans="1:20">
      <c r="A441" s="30">
        <f>'12 - Device_Configuration'!H442</f>
        <v>0</v>
      </c>
      <c r="B441" s="30">
        <f>'12 - Device_Configuration'!S442</f>
        <v>0</v>
      </c>
      <c r="C441" s="30">
        <f>'12 - Device_Configuration'!T442</f>
        <v>0</v>
      </c>
      <c r="D441" s="17">
        <f>'12 - Device_Configuration'!AJ442</f>
        <v>0</v>
      </c>
      <c r="E441" s="17">
        <f>'12 - Device_Configuration'!J442</f>
        <v>0</v>
      </c>
      <c r="F441" s="30">
        <f>'12 - Device_Configuration'!K442</f>
        <v>0</v>
      </c>
      <c r="G441" s="17">
        <f>'12 - Device_Configuration'!L442</f>
        <v>0</v>
      </c>
      <c r="H441" s="17">
        <f>'13 - Config_Intake_View'!M441</f>
        <v>0</v>
      </c>
      <c r="I441" s="30">
        <f>IF('13 - Config_Intake_View'!Q441&lt;&gt;"",'13 - Config_Intake_View'!Q441,'12 - Device_Configuration'!BH442)</f>
        <v>0</v>
      </c>
      <c r="J441" s="17" t="str">
        <f>IF('13 - Config_Intake_View'!Q441&lt;&gt;"","PM Approved",IF('12 - Device_Configuration'!BH442&lt;&gt;"","Assumed",""))</f>
        <v/>
      </c>
      <c r="K441" s="30">
        <f>'12 - Device_Configuration'!BG442</f>
        <v>0</v>
      </c>
      <c r="L441" s="17">
        <f>'12 - Device_Configuration'!P442</f>
        <v>0</v>
      </c>
      <c r="M441" s="17">
        <f>'12 - Device_Configuration'!Q442</f>
        <v>0</v>
      </c>
      <c r="N441" s="17" t="str">
        <f>'12 - Device_Configuration'!BK442</f>
        <v/>
      </c>
      <c r="O441" s="30" t="str">
        <f>'12 - Device_Configuration'!BL442</f>
        <v/>
      </c>
      <c r="P441" s="2">
        <f>'12 - Device_Configuration'!BA442</f>
        <v>0</v>
      </c>
      <c r="Q441" s="30" t="str">
        <f t="shared" si="24"/>
        <v/>
      </c>
      <c r="R441" s="17" t="str">
        <f t="shared" si="25"/>
        <v>SW NOT INSTALLED</v>
      </c>
      <c r="S441" s="17" t="str">
        <f t="shared" si="26"/>
        <v/>
      </c>
      <c r="T441" s="17" t="str">
        <f t="shared" si="27"/>
        <v>SW NOT INSTALLED</v>
      </c>
    </row>
    <row r="442" spans="1:20">
      <c r="A442" s="30">
        <f>'12 - Device_Configuration'!H443</f>
        <v>0</v>
      </c>
      <c r="B442" s="30">
        <f>'12 - Device_Configuration'!S443</f>
        <v>0</v>
      </c>
      <c r="C442" s="30">
        <f>'12 - Device_Configuration'!T443</f>
        <v>0</v>
      </c>
      <c r="D442" s="17">
        <f>'12 - Device_Configuration'!AJ443</f>
        <v>0</v>
      </c>
      <c r="E442" s="17">
        <f>'12 - Device_Configuration'!J443</f>
        <v>0</v>
      </c>
      <c r="F442" s="30">
        <f>'12 - Device_Configuration'!K443</f>
        <v>0</v>
      </c>
      <c r="G442" s="17">
        <f>'12 - Device_Configuration'!L443</f>
        <v>0</v>
      </c>
      <c r="H442" s="17">
        <f>'13 - Config_Intake_View'!M442</f>
        <v>0</v>
      </c>
      <c r="I442" s="30">
        <f>IF('13 - Config_Intake_View'!Q442&lt;&gt;"",'13 - Config_Intake_View'!Q442,'12 - Device_Configuration'!BH443)</f>
        <v>0</v>
      </c>
      <c r="J442" s="17" t="str">
        <f>IF('13 - Config_Intake_View'!Q442&lt;&gt;"","PM Approved",IF('12 - Device_Configuration'!BH443&lt;&gt;"","Assumed",""))</f>
        <v/>
      </c>
      <c r="K442" s="30">
        <f>'12 - Device_Configuration'!BG443</f>
        <v>0</v>
      </c>
      <c r="L442" s="17">
        <f>'12 - Device_Configuration'!P443</f>
        <v>0</v>
      </c>
      <c r="M442" s="17">
        <f>'12 - Device_Configuration'!Q443</f>
        <v>0</v>
      </c>
      <c r="N442" s="17" t="str">
        <f>'12 - Device_Configuration'!BK443</f>
        <v/>
      </c>
      <c r="O442" s="30" t="str">
        <f>'12 - Device_Configuration'!BL443</f>
        <v/>
      </c>
      <c r="P442" s="2">
        <f>'12 - Device_Configuration'!BA443</f>
        <v>0</v>
      </c>
      <c r="Q442" s="30" t="str">
        <f t="shared" si="24"/>
        <v/>
      </c>
      <c r="R442" s="17" t="str">
        <f t="shared" si="25"/>
        <v>SW NOT INSTALLED</v>
      </c>
      <c r="S442" s="17" t="str">
        <f t="shared" si="26"/>
        <v/>
      </c>
      <c r="T442" s="17" t="str">
        <f t="shared" si="27"/>
        <v>SW NOT INSTALLED</v>
      </c>
    </row>
    <row r="443" spans="1:20">
      <c r="A443" s="30">
        <f>'12 - Device_Configuration'!H444</f>
        <v>0</v>
      </c>
      <c r="B443" s="30">
        <f>'12 - Device_Configuration'!S444</f>
        <v>0</v>
      </c>
      <c r="C443" s="30">
        <f>'12 - Device_Configuration'!T444</f>
        <v>0</v>
      </c>
      <c r="D443" s="17">
        <f>'12 - Device_Configuration'!AJ444</f>
        <v>0</v>
      </c>
      <c r="E443" s="17">
        <f>'12 - Device_Configuration'!J444</f>
        <v>0</v>
      </c>
      <c r="F443" s="30">
        <f>'12 - Device_Configuration'!K444</f>
        <v>0</v>
      </c>
      <c r="G443" s="17">
        <f>'12 - Device_Configuration'!L444</f>
        <v>0</v>
      </c>
      <c r="H443" s="17">
        <f>'13 - Config_Intake_View'!M443</f>
        <v>0</v>
      </c>
      <c r="I443" s="30">
        <f>IF('13 - Config_Intake_View'!Q443&lt;&gt;"",'13 - Config_Intake_View'!Q443,'12 - Device_Configuration'!BH444)</f>
        <v>0</v>
      </c>
      <c r="J443" s="17" t="str">
        <f>IF('13 - Config_Intake_View'!Q443&lt;&gt;"","PM Approved",IF('12 - Device_Configuration'!BH444&lt;&gt;"","Assumed",""))</f>
        <v/>
      </c>
      <c r="K443" s="30">
        <f>'12 - Device_Configuration'!BG444</f>
        <v>0</v>
      </c>
      <c r="L443" s="17">
        <f>'12 - Device_Configuration'!P444</f>
        <v>0</v>
      </c>
      <c r="M443" s="17">
        <f>'12 - Device_Configuration'!Q444</f>
        <v>0</v>
      </c>
      <c r="N443" s="17" t="str">
        <f>'12 - Device_Configuration'!BK444</f>
        <v/>
      </c>
      <c r="O443" s="30" t="str">
        <f>'12 - Device_Configuration'!BL444</f>
        <v/>
      </c>
      <c r="P443" s="2">
        <f>'12 - Device_Configuration'!BA444</f>
        <v>0</v>
      </c>
      <c r="Q443" s="30" t="str">
        <f t="shared" si="24"/>
        <v/>
      </c>
      <c r="R443" s="17" t="str">
        <f t="shared" si="25"/>
        <v>SW NOT INSTALLED</v>
      </c>
      <c r="S443" s="17" t="str">
        <f t="shared" si="26"/>
        <v/>
      </c>
      <c r="T443" s="17" t="str">
        <f t="shared" si="27"/>
        <v>SW NOT INSTALLED</v>
      </c>
    </row>
    <row r="444" spans="1:20">
      <c r="A444" s="30">
        <f>'12 - Device_Configuration'!H445</f>
        <v>0</v>
      </c>
      <c r="B444" s="30">
        <f>'12 - Device_Configuration'!S445</f>
        <v>0</v>
      </c>
      <c r="C444" s="30">
        <f>'12 - Device_Configuration'!T445</f>
        <v>0</v>
      </c>
      <c r="D444" s="17">
        <f>'12 - Device_Configuration'!AJ445</f>
        <v>0</v>
      </c>
      <c r="E444" s="17">
        <f>'12 - Device_Configuration'!J445</f>
        <v>0</v>
      </c>
      <c r="F444" s="30">
        <f>'12 - Device_Configuration'!K445</f>
        <v>0</v>
      </c>
      <c r="G444" s="17">
        <f>'12 - Device_Configuration'!L445</f>
        <v>0</v>
      </c>
      <c r="H444" s="17">
        <f>'13 - Config_Intake_View'!M444</f>
        <v>0</v>
      </c>
      <c r="I444" s="30">
        <f>IF('13 - Config_Intake_View'!Q444&lt;&gt;"",'13 - Config_Intake_View'!Q444,'12 - Device_Configuration'!BH445)</f>
        <v>0</v>
      </c>
      <c r="J444" s="17" t="str">
        <f>IF('13 - Config_Intake_View'!Q444&lt;&gt;"","PM Approved",IF('12 - Device_Configuration'!BH445&lt;&gt;"","Assumed",""))</f>
        <v/>
      </c>
      <c r="K444" s="30">
        <f>'12 - Device_Configuration'!BG445</f>
        <v>0</v>
      </c>
      <c r="L444" s="17">
        <f>'12 - Device_Configuration'!P445</f>
        <v>0</v>
      </c>
      <c r="M444" s="17">
        <f>'12 - Device_Configuration'!Q445</f>
        <v>0</v>
      </c>
      <c r="N444" s="17" t="str">
        <f>'12 - Device_Configuration'!BK445</f>
        <v/>
      </c>
      <c r="O444" s="30" t="str">
        <f>'12 - Device_Configuration'!BL445</f>
        <v/>
      </c>
      <c r="P444" s="2">
        <f>'12 - Device_Configuration'!BA445</f>
        <v>0</v>
      </c>
      <c r="Q444" s="30" t="str">
        <f t="shared" si="24"/>
        <v/>
      </c>
      <c r="R444" s="17" t="str">
        <f t="shared" si="25"/>
        <v>SW NOT INSTALLED</v>
      </c>
      <c r="S444" s="17" t="str">
        <f t="shared" si="26"/>
        <v/>
      </c>
      <c r="T444" s="17" t="str">
        <f t="shared" si="27"/>
        <v>SW NOT INSTALLED</v>
      </c>
    </row>
    <row r="445" spans="1:20">
      <c r="A445" s="30">
        <f>'12 - Device_Configuration'!H446</f>
        <v>0</v>
      </c>
      <c r="B445" s="30">
        <f>'12 - Device_Configuration'!S446</f>
        <v>0</v>
      </c>
      <c r="C445" s="30">
        <f>'12 - Device_Configuration'!T446</f>
        <v>0</v>
      </c>
      <c r="D445" s="17">
        <f>'12 - Device_Configuration'!AJ446</f>
        <v>0</v>
      </c>
      <c r="E445" s="17">
        <f>'12 - Device_Configuration'!J446</f>
        <v>0</v>
      </c>
      <c r="F445" s="30">
        <f>'12 - Device_Configuration'!K446</f>
        <v>0</v>
      </c>
      <c r="G445" s="17">
        <f>'12 - Device_Configuration'!L446</f>
        <v>0</v>
      </c>
      <c r="H445" s="17">
        <f>'13 - Config_Intake_View'!M445</f>
        <v>0</v>
      </c>
      <c r="I445" s="30">
        <f>IF('13 - Config_Intake_View'!Q445&lt;&gt;"",'13 - Config_Intake_View'!Q445,'12 - Device_Configuration'!BH446)</f>
        <v>0</v>
      </c>
      <c r="J445" s="17" t="str">
        <f>IF('13 - Config_Intake_View'!Q445&lt;&gt;"","PM Approved",IF('12 - Device_Configuration'!BH446&lt;&gt;"","Assumed",""))</f>
        <v/>
      </c>
      <c r="K445" s="30">
        <f>'12 - Device_Configuration'!BG446</f>
        <v>0</v>
      </c>
      <c r="L445" s="17">
        <f>'12 - Device_Configuration'!P446</f>
        <v>0</v>
      </c>
      <c r="M445" s="17">
        <f>'12 - Device_Configuration'!Q446</f>
        <v>0</v>
      </c>
      <c r="N445" s="17" t="str">
        <f>'12 - Device_Configuration'!BK446</f>
        <v/>
      </c>
      <c r="O445" s="30" t="str">
        <f>'12 - Device_Configuration'!BL446</f>
        <v/>
      </c>
      <c r="P445" s="2">
        <f>'12 - Device_Configuration'!BA446</f>
        <v>0</v>
      </c>
      <c r="Q445" s="30" t="str">
        <f t="shared" si="24"/>
        <v/>
      </c>
      <c r="R445" s="17" t="str">
        <f t="shared" si="25"/>
        <v>SW NOT INSTALLED</v>
      </c>
      <c r="S445" s="17" t="str">
        <f t="shared" si="26"/>
        <v/>
      </c>
      <c r="T445" s="17" t="str">
        <f t="shared" si="27"/>
        <v>SW NOT INSTALLED</v>
      </c>
    </row>
    <row r="446" spans="1:20">
      <c r="A446" s="30">
        <f>'12 - Device_Configuration'!H447</f>
        <v>0</v>
      </c>
      <c r="B446" s="30">
        <f>'12 - Device_Configuration'!S447</f>
        <v>0</v>
      </c>
      <c r="C446" s="30">
        <f>'12 - Device_Configuration'!T447</f>
        <v>0</v>
      </c>
      <c r="D446" s="17">
        <f>'12 - Device_Configuration'!AJ447</f>
        <v>0</v>
      </c>
      <c r="E446" s="17">
        <f>'12 - Device_Configuration'!J447</f>
        <v>0</v>
      </c>
      <c r="F446" s="30">
        <f>'12 - Device_Configuration'!K447</f>
        <v>0</v>
      </c>
      <c r="G446" s="17">
        <f>'12 - Device_Configuration'!L447</f>
        <v>0</v>
      </c>
      <c r="H446" s="17">
        <f>'13 - Config_Intake_View'!M446</f>
        <v>0</v>
      </c>
      <c r="I446" s="30">
        <f>IF('13 - Config_Intake_View'!Q446&lt;&gt;"",'13 - Config_Intake_View'!Q446,'12 - Device_Configuration'!BH447)</f>
        <v>0</v>
      </c>
      <c r="J446" s="17" t="str">
        <f>IF('13 - Config_Intake_View'!Q446&lt;&gt;"","PM Approved",IF('12 - Device_Configuration'!BH447&lt;&gt;"","Assumed",""))</f>
        <v/>
      </c>
      <c r="K446" s="30">
        <f>'12 - Device_Configuration'!BG447</f>
        <v>0</v>
      </c>
      <c r="L446" s="17">
        <f>'12 - Device_Configuration'!P447</f>
        <v>0</v>
      </c>
      <c r="M446" s="17">
        <f>'12 - Device_Configuration'!Q447</f>
        <v>0</v>
      </c>
      <c r="N446" s="17" t="str">
        <f>'12 - Device_Configuration'!BK447</f>
        <v/>
      </c>
      <c r="O446" s="30" t="str">
        <f>'12 - Device_Configuration'!BL447</f>
        <v/>
      </c>
      <c r="P446" s="2">
        <f>'12 - Device_Configuration'!BA447</f>
        <v>0</v>
      </c>
      <c r="Q446" s="30" t="str">
        <f t="shared" si="24"/>
        <v/>
      </c>
      <c r="R446" s="17" t="str">
        <f t="shared" si="25"/>
        <v>SW NOT INSTALLED</v>
      </c>
      <c r="S446" s="17" t="str">
        <f t="shared" si="26"/>
        <v/>
      </c>
      <c r="T446" s="17" t="str">
        <f t="shared" si="27"/>
        <v>SW NOT INSTALLED</v>
      </c>
    </row>
    <row r="447" spans="1:20">
      <c r="A447" s="30">
        <f>'12 - Device_Configuration'!H448</f>
        <v>0</v>
      </c>
      <c r="B447" s="30">
        <f>'12 - Device_Configuration'!S448</f>
        <v>0</v>
      </c>
      <c r="C447" s="30">
        <f>'12 - Device_Configuration'!T448</f>
        <v>0</v>
      </c>
      <c r="D447" s="17">
        <f>'12 - Device_Configuration'!AJ448</f>
        <v>0</v>
      </c>
      <c r="E447" s="17">
        <f>'12 - Device_Configuration'!J448</f>
        <v>0</v>
      </c>
      <c r="F447" s="30">
        <f>'12 - Device_Configuration'!K448</f>
        <v>0</v>
      </c>
      <c r="G447" s="17">
        <f>'12 - Device_Configuration'!L448</f>
        <v>0</v>
      </c>
      <c r="H447" s="17">
        <f>'13 - Config_Intake_View'!M447</f>
        <v>0</v>
      </c>
      <c r="I447" s="30">
        <f>IF('13 - Config_Intake_View'!Q447&lt;&gt;"",'13 - Config_Intake_View'!Q447,'12 - Device_Configuration'!BH448)</f>
        <v>0</v>
      </c>
      <c r="J447" s="17" t="str">
        <f>IF('13 - Config_Intake_View'!Q447&lt;&gt;"","PM Approved",IF('12 - Device_Configuration'!BH448&lt;&gt;"","Assumed",""))</f>
        <v/>
      </c>
      <c r="K447" s="30">
        <f>'12 - Device_Configuration'!BG448</f>
        <v>0</v>
      </c>
      <c r="L447" s="17">
        <f>'12 - Device_Configuration'!P448</f>
        <v>0</v>
      </c>
      <c r="M447" s="17">
        <f>'12 - Device_Configuration'!Q448</f>
        <v>0</v>
      </c>
      <c r="N447" s="17" t="str">
        <f>'12 - Device_Configuration'!BK448</f>
        <v/>
      </c>
      <c r="O447" s="30" t="str">
        <f>'12 - Device_Configuration'!BL448</f>
        <v/>
      </c>
      <c r="P447" s="2">
        <f>'12 - Device_Configuration'!BA448</f>
        <v>0</v>
      </c>
      <c r="Q447" s="30" t="str">
        <f t="shared" si="24"/>
        <v/>
      </c>
      <c r="R447" s="17" t="str">
        <f t="shared" si="25"/>
        <v>SW NOT INSTALLED</v>
      </c>
      <c r="S447" s="17" t="str">
        <f t="shared" si="26"/>
        <v/>
      </c>
      <c r="T447" s="17" t="str">
        <f t="shared" si="27"/>
        <v>SW NOT INSTALLED</v>
      </c>
    </row>
    <row r="448" spans="1:20">
      <c r="A448" s="30">
        <f>'12 - Device_Configuration'!H449</f>
        <v>0</v>
      </c>
      <c r="B448" s="30">
        <f>'12 - Device_Configuration'!S449</f>
        <v>0</v>
      </c>
      <c r="C448" s="30">
        <f>'12 - Device_Configuration'!T449</f>
        <v>0</v>
      </c>
      <c r="D448" s="17">
        <f>'12 - Device_Configuration'!AJ449</f>
        <v>0</v>
      </c>
      <c r="E448" s="17">
        <f>'12 - Device_Configuration'!J449</f>
        <v>0</v>
      </c>
      <c r="F448" s="30">
        <f>'12 - Device_Configuration'!K449</f>
        <v>0</v>
      </c>
      <c r="G448" s="17">
        <f>'12 - Device_Configuration'!L449</f>
        <v>0</v>
      </c>
      <c r="H448" s="17">
        <f>'13 - Config_Intake_View'!M448</f>
        <v>0</v>
      </c>
      <c r="I448" s="30">
        <f>IF('13 - Config_Intake_View'!Q448&lt;&gt;"",'13 - Config_Intake_View'!Q448,'12 - Device_Configuration'!BH449)</f>
        <v>0</v>
      </c>
      <c r="J448" s="17" t="str">
        <f>IF('13 - Config_Intake_View'!Q448&lt;&gt;"","PM Approved",IF('12 - Device_Configuration'!BH449&lt;&gt;"","Assumed",""))</f>
        <v/>
      </c>
      <c r="K448" s="30">
        <f>'12 - Device_Configuration'!BG449</f>
        <v>0</v>
      </c>
      <c r="L448" s="17">
        <f>'12 - Device_Configuration'!P449</f>
        <v>0</v>
      </c>
      <c r="M448" s="17">
        <f>'12 - Device_Configuration'!Q449</f>
        <v>0</v>
      </c>
      <c r="N448" s="17" t="str">
        <f>'12 - Device_Configuration'!BK449</f>
        <v/>
      </c>
      <c r="O448" s="30" t="str">
        <f>'12 - Device_Configuration'!BL449</f>
        <v/>
      </c>
      <c r="P448" s="2">
        <f>'12 - Device_Configuration'!BA449</f>
        <v>0</v>
      </c>
      <c r="Q448" s="30" t="str">
        <f t="shared" si="24"/>
        <v/>
      </c>
      <c r="R448" s="17" t="str">
        <f t="shared" si="25"/>
        <v>SW NOT INSTALLED</v>
      </c>
      <c r="S448" s="17" t="str">
        <f t="shared" si="26"/>
        <v/>
      </c>
      <c r="T448" s="17" t="str">
        <f t="shared" si="27"/>
        <v>SW NOT INSTALLED</v>
      </c>
    </row>
    <row r="449" spans="1:20">
      <c r="A449" s="30">
        <f>'12 - Device_Configuration'!H450</f>
        <v>0</v>
      </c>
      <c r="B449" s="30">
        <f>'12 - Device_Configuration'!S450</f>
        <v>0</v>
      </c>
      <c r="C449" s="30">
        <f>'12 - Device_Configuration'!T450</f>
        <v>0</v>
      </c>
      <c r="D449" s="17">
        <f>'12 - Device_Configuration'!AJ450</f>
        <v>0</v>
      </c>
      <c r="E449" s="17">
        <f>'12 - Device_Configuration'!J450</f>
        <v>0</v>
      </c>
      <c r="F449" s="30">
        <f>'12 - Device_Configuration'!K450</f>
        <v>0</v>
      </c>
      <c r="G449" s="17">
        <f>'12 - Device_Configuration'!L450</f>
        <v>0</v>
      </c>
      <c r="H449" s="17">
        <f>'13 - Config_Intake_View'!M449</f>
        <v>0</v>
      </c>
      <c r="I449" s="30">
        <f>IF('13 - Config_Intake_View'!Q449&lt;&gt;"",'13 - Config_Intake_View'!Q449,'12 - Device_Configuration'!BH450)</f>
        <v>0</v>
      </c>
      <c r="J449" s="17" t="str">
        <f>IF('13 - Config_Intake_View'!Q449&lt;&gt;"","PM Approved",IF('12 - Device_Configuration'!BH450&lt;&gt;"","Assumed",""))</f>
        <v/>
      </c>
      <c r="K449" s="30">
        <f>'12 - Device_Configuration'!BG450</f>
        <v>0</v>
      </c>
      <c r="L449" s="17">
        <f>'12 - Device_Configuration'!P450</f>
        <v>0</v>
      </c>
      <c r="M449" s="17">
        <f>'12 - Device_Configuration'!Q450</f>
        <v>0</v>
      </c>
      <c r="N449" s="17" t="str">
        <f>'12 - Device_Configuration'!BK450</f>
        <v/>
      </c>
      <c r="O449" s="30" t="str">
        <f>'12 - Device_Configuration'!BL450</f>
        <v/>
      </c>
      <c r="P449" s="2">
        <f>'12 - Device_Configuration'!BA450</f>
        <v>0</v>
      </c>
      <c r="Q449" s="30" t="str">
        <f t="shared" si="24"/>
        <v/>
      </c>
      <c r="R449" s="17" t="str">
        <f t="shared" si="25"/>
        <v>SW NOT INSTALLED</v>
      </c>
      <c r="S449" s="17" t="str">
        <f t="shared" si="26"/>
        <v/>
      </c>
      <c r="T449" s="17" t="str">
        <f t="shared" si="27"/>
        <v>SW NOT INSTALLED</v>
      </c>
    </row>
    <row r="450" spans="1:20">
      <c r="A450" s="30">
        <f>'12 - Device_Configuration'!H451</f>
        <v>0</v>
      </c>
      <c r="B450" s="30">
        <f>'12 - Device_Configuration'!S451</f>
        <v>0</v>
      </c>
      <c r="C450" s="30">
        <f>'12 - Device_Configuration'!T451</f>
        <v>0</v>
      </c>
      <c r="D450" s="17">
        <f>'12 - Device_Configuration'!AJ451</f>
        <v>0</v>
      </c>
      <c r="E450" s="17">
        <f>'12 - Device_Configuration'!J451</f>
        <v>0</v>
      </c>
      <c r="F450" s="30">
        <f>'12 - Device_Configuration'!K451</f>
        <v>0</v>
      </c>
      <c r="G450" s="17">
        <f>'12 - Device_Configuration'!L451</f>
        <v>0</v>
      </c>
      <c r="H450" s="17">
        <f>'13 - Config_Intake_View'!M450</f>
        <v>0</v>
      </c>
      <c r="I450" s="30">
        <f>IF('13 - Config_Intake_View'!Q450&lt;&gt;"",'13 - Config_Intake_View'!Q450,'12 - Device_Configuration'!BH451)</f>
        <v>0</v>
      </c>
      <c r="J450" s="17" t="str">
        <f>IF('13 - Config_Intake_View'!Q450&lt;&gt;"","PM Approved",IF('12 - Device_Configuration'!BH451&lt;&gt;"","Assumed",""))</f>
        <v/>
      </c>
      <c r="K450" s="30">
        <f>'12 - Device_Configuration'!BG451</f>
        <v>0</v>
      </c>
      <c r="L450" s="17">
        <f>'12 - Device_Configuration'!P451</f>
        <v>0</v>
      </c>
      <c r="M450" s="17">
        <f>'12 - Device_Configuration'!Q451</f>
        <v>0</v>
      </c>
      <c r="N450" s="17" t="str">
        <f>'12 - Device_Configuration'!BK451</f>
        <v/>
      </c>
      <c r="O450" s="30" t="str">
        <f>'12 - Device_Configuration'!BL451</f>
        <v/>
      </c>
      <c r="P450" s="2">
        <f>'12 - Device_Configuration'!BA451</f>
        <v>0</v>
      </c>
      <c r="Q450" s="30" t="str">
        <f t="shared" ref="Q450:Q503" si="28">IF(OR($A450="",$B450="",$D450=""),"MISSING CORE FIELDS","")</f>
        <v/>
      </c>
      <c r="R450" s="17" t="str">
        <f t="shared" ref="R450:R503" si="29">IF(AND($I450&lt;&gt;"",$K450&lt;&gt;"Yes"),"SW NOT INSTALLED","")</f>
        <v>SW NOT INSTALLED</v>
      </c>
      <c r="S450" s="17" t="str">
        <f t="shared" ref="S450:S503" si="30">IF(AND($H450&lt;&gt;"",ISNUMBER(SEARCH("auto",LOWER($H450))),$F450=""),"AUTOLOGON REQUIRED","")</f>
        <v/>
      </c>
      <c r="T450" s="17" t="str">
        <f t="shared" ref="T450:T503" si="31">IF($Q450&lt;&gt;"",$Q450,IF($S450&lt;&gt;"",$S450,IF($R450&lt;&gt;"",$R450,IF(OR($N450&lt;&gt;"",$O450="Blocked"),"BLOCKED","OK"))))</f>
        <v>SW NOT INSTALLED</v>
      </c>
    </row>
    <row r="451" spans="1:20">
      <c r="A451" s="30">
        <f>'12 - Device_Configuration'!H452</f>
        <v>0</v>
      </c>
      <c r="B451" s="30">
        <f>'12 - Device_Configuration'!S452</f>
        <v>0</v>
      </c>
      <c r="C451" s="30">
        <f>'12 - Device_Configuration'!T452</f>
        <v>0</v>
      </c>
      <c r="D451" s="17">
        <f>'12 - Device_Configuration'!AJ452</f>
        <v>0</v>
      </c>
      <c r="E451" s="17">
        <f>'12 - Device_Configuration'!J452</f>
        <v>0</v>
      </c>
      <c r="F451" s="30">
        <f>'12 - Device_Configuration'!K452</f>
        <v>0</v>
      </c>
      <c r="G451" s="17">
        <f>'12 - Device_Configuration'!L452</f>
        <v>0</v>
      </c>
      <c r="H451" s="17">
        <f>'13 - Config_Intake_View'!M451</f>
        <v>0</v>
      </c>
      <c r="I451" s="30">
        <f>IF('13 - Config_Intake_View'!Q451&lt;&gt;"",'13 - Config_Intake_View'!Q451,'12 - Device_Configuration'!BH452)</f>
        <v>0</v>
      </c>
      <c r="J451" s="17" t="str">
        <f>IF('13 - Config_Intake_View'!Q451&lt;&gt;"","PM Approved",IF('12 - Device_Configuration'!BH452&lt;&gt;"","Assumed",""))</f>
        <v/>
      </c>
      <c r="K451" s="30">
        <f>'12 - Device_Configuration'!BG452</f>
        <v>0</v>
      </c>
      <c r="L451" s="17">
        <f>'12 - Device_Configuration'!P452</f>
        <v>0</v>
      </c>
      <c r="M451" s="17">
        <f>'12 - Device_Configuration'!Q452</f>
        <v>0</v>
      </c>
      <c r="N451" s="17" t="str">
        <f>'12 - Device_Configuration'!BK452</f>
        <v/>
      </c>
      <c r="O451" s="30" t="str">
        <f>'12 - Device_Configuration'!BL452</f>
        <v/>
      </c>
      <c r="P451" s="2">
        <f>'12 - Device_Configuration'!BA452</f>
        <v>0</v>
      </c>
      <c r="Q451" s="30" t="str">
        <f t="shared" si="28"/>
        <v/>
      </c>
      <c r="R451" s="17" t="str">
        <f t="shared" si="29"/>
        <v>SW NOT INSTALLED</v>
      </c>
      <c r="S451" s="17" t="str">
        <f t="shared" si="30"/>
        <v/>
      </c>
      <c r="T451" s="17" t="str">
        <f t="shared" si="31"/>
        <v>SW NOT INSTALLED</v>
      </c>
    </row>
    <row r="452" spans="1:20">
      <c r="A452" s="30">
        <f>'12 - Device_Configuration'!H453</f>
        <v>0</v>
      </c>
      <c r="B452" s="30">
        <f>'12 - Device_Configuration'!S453</f>
        <v>0</v>
      </c>
      <c r="C452" s="30">
        <f>'12 - Device_Configuration'!T453</f>
        <v>0</v>
      </c>
      <c r="D452" s="17">
        <f>'12 - Device_Configuration'!AJ453</f>
        <v>0</v>
      </c>
      <c r="E452" s="17">
        <f>'12 - Device_Configuration'!J453</f>
        <v>0</v>
      </c>
      <c r="F452" s="30">
        <f>'12 - Device_Configuration'!K453</f>
        <v>0</v>
      </c>
      <c r="G452" s="17">
        <f>'12 - Device_Configuration'!L453</f>
        <v>0</v>
      </c>
      <c r="H452" s="17">
        <f>'13 - Config_Intake_View'!M452</f>
        <v>0</v>
      </c>
      <c r="I452" s="30">
        <f>IF('13 - Config_Intake_View'!Q452&lt;&gt;"",'13 - Config_Intake_View'!Q452,'12 - Device_Configuration'!BH453)</f>
        <v>0</v>
      </c>
      <c r="J452" s="17" t="str">
        <f>IF('13 - Config_Intake_View'!Q452&lt;&gt;"","PM Approved",IF('12 - Device_Configuration'!BH453&lt;&gt;"","Assumed",""))</f>
        <v/>
      </c>
      <c r="K452" s="30">
        <f>'12 - Device_Configuration'!BG453</f>
        <v>0</v>
      </c>
      <c r="L452" s="17">
        <f>'12 - Device_Configuration'!P453</f>
        <v>0</v>
      </c>
      <c r="M452" s="17">
        <f>'12 - Device_Configuration'!Q453</f>
        <v>0</v>
      </c>
      <c r="N452" s="17" t="str">
        <f>'12 - Device_Configuration'!BK453</f>
        <v/>
      </c>
      <c r="O452" s="30" t="str">
        <f>'12 - Device_Configuration'!BL453</f>
        <v/>
      </c>
      <c r="P452" s="2">
        <f>'12 - Device_Configuration'!BA453</f>
        <v>0</v>
      </c>
      <c r="Q452" s="30" t="str">
        <f t="shared" si="28"/>
        <v/>
      </c>
      <c r="R452" s="17" t="str">
        <f t="shared" si="29"/>
        <v>SW NOT INSTALLED</v>
      </c>
      <c r="S452" s="17" t="str">
        <f t="shared" si="30"/>
        <v/>
      </c>
      <c r="T452" s="17" t="str">
        <f t="shared" si="31"/>
        <v>SW NOT INSTALLED</v>
      </c>
    </row>
    <row r="453" spans="1:20">
      <c r="A453" s="30">
        <f>'12 - Device_Configuration'!H454</f>
        <v>0</v>
      </c>
      <c r="B453" s="30">
        <f>'12 - Device_Configuration'!S454</f>
        <v>0</v>
      </c>
      <c r="C453" s="30">
        <f>'12 - Device_Configuration'!T454</f>
        <v>0</v>
      </c>
      <c r="D453" s="17">
        <f>'12 - Device_Configuration'!AJ454</f>
        <v>0</v>
      </c>
      <c r="E453" s="17">
        <f>'12 - Device_Configuration'!J454</f>
        <v>0</v>
      </c>
      <c r="F453" s="30">
        <f>'12 - Device_Configuration'!K454</f>
        <v>0</v>
      </c>
      <c r="G453" s="17">
        <f>'12 - Device_Configuration'!L454</f>
        <v>0</v>
      </c>
      <c r="H453" s="17">
        <f>'13 - Config_Intake_View'!M453</f>
        <v>0</v>
      </c>
      <c r="I453" s="30">
        <f>IF('13 - Config_Intake_View'!Q453&lt;&gt;"",'13 - Config_Intake_View'!Q453,'12 - Device_Configuration'!BH454)</f>
        <v>0</v>
      </c>
      <c r="J453" s="17" t="str">
        <f>IF('13 - Config_Intake_View'!Q453&lt;&gt;"","PM Approved",IF('12 - Device_Configuration'!BH454&lt;&gt;"","Assumed",""))</f>
        <v/>
      </c>
      <c r="K453" s="30">
        <f>'12 - Device_Configuration'!BG454</f>
        <v>0</v>
      </c>
      <c r="L453" s="17">
        <f>'12 - Device_Configuration'!P454</f>
        <v>0</v>
      </c>
      <c r="M453" s="17">
        <f>'12 - Device_Configuration'!Q454</f>
        <v>0</v>
      </c>
      <c r="N453" s="17" t="str">
        <f>'12 - Device_Configuration'!BK454</f>
        <v/>
      </c>
      <c r="O453" s="30" t="str">
        <f>'12 - Device_Configuration'!BL454</f>
        <v/>
      </c>
      <c r="P453" s="2">
        <f>'12 - Device_Configuration'!BA454</f>
        <v>0</v>
      </c>
      <c r="Q453" s="30" t="str">
        <f t="shared" si="28"/>
        <v/>
      </c>
      <c r="R453" s="17" t="str">
        <f t="shared" si="29"/>
        <v>SW NOT INSTALLED</v>
      </c>
      <c r="S453" s="17" t="str">
        <f t="shared" si="30"/>
        <v/>
      </c>
      <c r="T453" s="17" t="str">
        <f t="shared" si="31"/>
        <v>SW NOT INSTALLED</v>
      </c>
    </row>
    <row r="454" spans="1:20">
      <c r="A454" s="30">
        <f>'12 - Device_Configuration'!H455</f>
        <v>0</v>
      </c>
      <c r="B454" s="30">
        <f>'12 - Device_Configuration'!S455</f>
        <v>0</v>
      </c>
      <c r="C454" s="30">
        <f>'12 - Device_Configuration'!T455</f>
        <v>0</v>
      </c>
      <c r="D454" s="17">
        <f>'12 - Device_Configuration'!AJ455</f>
        <v>0</v>
      </c>
      <c r="E454" s="17">
        <f>'12 - Device_Configuration'!J455</f>
        <v>0</v>
      </c>
      <c r="F454" s="30">
        <f>'12 - Device_Configuration'!K455</f>
        <v>0</v>
      </c>
      <c r="G454" s="17">
        <f>'12 - Device_Configuration'!L455</f>
        <v>0</v>
      </c>
      <c r="H454" s="17">
        <f>'13 - Config_Intake_View'!M454</f>
        <v>0</v>
      </c>
      <c r="I454" s="30">
        <f>IF('13 - Config_Intake_View'!Q454&lt;&gt;"",'13 - Config_Intake_View'!Q454,'12 - Device_Configuration'!BH455)</f>
        <v>0</v>
      </c>
      <c r="J454" s="17" t="str">
        <f>IF('13 - Config_Intake_View'!Q454&lt;&gt;"","PM Approved",IF('12 - Device_Configuration'!BH455&lt;&gt;"","Assumed",""))</f>
        <v/>
      </c>
      <c r="K454" s="30">
        <f>'12 - Device_Configuration'!BG455</f>
        <v>0</v>
      </c>
      <c r="L454" s="17">
        <f>'12 - Device_Configuration'!P455</f>
        <v>0</v>
      </c>
      <c r="M454" s="17">
        <f>'12 - Device_Configuration'!Q455</f>
        <v>0</v>
      </c>
      <c r="N454" s="17" t="str">
        <f>'12 - Device_Configuration'!BK455</f>
        <v/>
      </c>
      <c r="O454" s="30" t="str">
        <f>'12 - Device_Configuration'!BL455</f>
        <v/>
      </c>
      <c r="P454" s="2">
        <f>'12 - Device_Configuration'!BA455</f>
        <v>0</v>
      </c>
      <c r="Q454" s="30" t="str">
        <f t="shared" si="28"/>
        <v/>
      </c>
      <c r="R454" s="17" t="str">
        <f t="shared" si="29"/>
        <v>SW NOT INSTALLED</v>
      </c>
      <c r="S454" s="17" t="str">
        <f t="shared" si="30"/>
        <v/>
      </c>
      <c r="T454" s="17" t="str">
        <f t="shared" si="31"/>
        <v>SW NOT INSTALLED</v>
      </c>
    </row>
    <row r="455" spans="1:20">
      <c r="A455" s="30">
        <f>'12 - Device_Configuration'!H456</f>
        <v>0</v>
      </c>
      <c r="B455" s="30">
        <f>'12 - Device_Configuration'!S456</f>
        <v>0</v>
      </c>
      <c r="C455" s="30">
        <f>'12 - Device_Configuration'!T456</f>
        <v>0</v>
      </c>
      <c r="D455" s="17">
        <f>'12 - Device_Configuration'!AJ456</f>
        <v>0</v>
      </c>
      <c r="E455" s="17">
        <f>'12 - Device_Configuration'!J456</f>
        <v>0</v>
      </c>
      <c r="F455" s="30">
        <f>'12 - Device_Configuration'!K456</f>
        <v>0</v>
      </c>
      <c r="G455" s="17">
        <f>'12 - Device_Configuration'!L456</f>
        <v>0</v>
      </c>
      <c r="H455" s="17">
        <f>'13 - Config_Intake_View'!M455</f>
        <v>0</v>
      </c>
      <c r="I455" s="30">
        <f>IF('13 - Config_Intake_View'!Q455&lt;&gt;"",'13 - Config_Intake_View'!Q455,'12 - Device_Configuration'!BH456)</f>
        <v>0</v>
      </c>
      <c r="J455" s="17" t="str">
        <f>IF('13 - Config_Intake_View'!Q455&lt;&gt;"","PM Approved",IF('12 - Device_Configuration'!BH456&lt;&gt;"","Assumed",""))</f>
        <v/>
      </c>
      <c r="K455" s="30">
        <f>'12 - Device_Configuration'!BG456</f>
        <v>0</v>
      </c>
      <c r="L455" s="17">
        <f>'12 - Device_Configuration'!P456</f>
        <v>0</v>
      </c>
      <c r="M455" s="17">
        <f>'12 - Device_Configuration'!Q456</f>
        <v>0</v>
      </c>
      <c r="N455" s="17" t="str">
        <f>'12 - Device_Configuration'!BK456</f>
        <v/>
      </c>
      <c r="O455" s="30" t="str">
        <f>'12 - Device_Configuration'!BL456</f>
        <v/>
      </c>
      <c r="P455" s="2">
        <f>'12 - Device_Configuration'!BA456</f>
        <v>0</v>
      </c>
      <c r="Q455" s="30" t="str">
        <f t="shared" si="28"/>
        <v/>
      </c>
      <c r="R455" s="17" t="str">
        <f t="shared" si="29"/>
        <v>SW NOT INSTALLED</v>
      </c>
      <c r="S455" s="17" t="str">
        <f t="shared" si="30"/>
        <v/>
      </c>
      <c r="T455" s="17" t="str">
        <f t="shared" si="31"/>
        <v>SW NOT INSTALLED</v>
      </c>
    </row>
    <row r="456" spans="1:20">
      <c r="A456" s="30">
        <f>'12 - Device_Configuration'!H457</f>
        <v>0</v>
      </c>
      <c r="B456" s="30">
        <f>'12 - Device_Configuration'!S457</f>
        <v>0</v>
      </c>
      <c r="C456" s="30">
        <f>'12 - Device_Configuration'!T457</f>
        <v>0</v>
      </c>
      <c r="D456" s="17">
        <f>'12 - Device_Configuration'!AJ457</f>
        <v>0</v>
      </c>
      <c r="E456" s="17">
        <f>'12 - Device_Configuration'!J457</f>
        <v>0</v>
      </c>
      <c r="F456" s="30">
        <f>'12 - Device_Configuration'!K457</f>
        <v>0</v>
      </c>
      <c r="G456" s="17">
        <f>'12 - Device_Configuration'!L457</f>
        <v>0</v>
      </c>
      <c r="H456" s="17">
        <f>'13 - Config_Intake_View'!M456</f>
        <v>0</v>
      </c>
      <c r="I456" s="30">
        <f>IF('13 - Config_Intake_View'!Q456&lt;&gt;"",'13 - Config_Intake_View'!Q456,'12 - Device_Configuration'!BH457)</f>
        <v>0</v>
      </c>
      <c r="J456" s="17" t="str">
        <f>IF('13 - Config_Intake_View'!Q456&lt;&gt;"","PM Approved",IF('12 - Device_Configuration'!BH457&lt;&gt;"","Assumed",""))</f>
        <v/>
      </c>
      <c r="K456" s="30">
        <f>'12 - Device_Configuration'!BG457</f>
        <v>0</v>
      </c>
      <c r="L456" s="17">
        <f>'12 - Device_Configuration'!P457</f>
        <v>0</v>
      </c>
      <c r="M456" s="17">
        <f>'12 - Device_Configuration'!Q457</f>
        <v>0</v>
      </c>
      <c r="N456" s="17" t="str">
        <f>'12 - Device_Configuration'!BK457</f>
        <v/>
      </c>
      <c r="O456" s="30" t="str">
        <f>'12 - Device_Configuration'!BL457</f>
        <v/>
      </c>
      <c r="P456" s="2">
        <f>'12 - Device_Configuration'!BA457</f>
        <v>0</v>
      </c>
      <c r="Q456" s="30" t="str">
        <f t="shared" si="28"/>
        <v/>
      </c>
      <c r="R456" s="17" t="str">
        <f t="shared" si="29"/>
        <v>SW NOT INSTALLED</v>
      </c>
      <c r="S456" s="17" t="str">
        <f t="shared" si="30"/>
        <v/>
      </c>
      <c r="T456" s="17" t="str">
        <f t="shared" si="31"/>
        <v>SW NOT INSTALLED</v>
      </c>
    </row>
    <row r="457" spans="1:20">
      <c r="A457" s="30">
        <f>'12 - Device_Configuration'!H458</f>
        <v>0</v>
      </c>
      <c r="B457" s="30">
        <f>'12 - Device_Configuration'!S458</f>
        <v>0</v>
      </c>
      <c r="C457" s="30">
        <f>'12 - Device_Configuration'!T458</f>
        <v>0</v>
      </c>
      <c r="D457" s="17">
        <f>'12 - Device_Configuration'!AJ458</f>
        <v>0</v>
      </c>
      <c r="E457" s="17">
        <f>'12 - Device_Configuration'!J458</f>
        <v>0</v>
      </c>
      <c r="F457" s="30">
        <f>'12 - Device_Configuration'!K458</f>
        <v>0</v>
      </c>
      <c r="G457" s="17">
        <f>'12 - Device_Configuration'!L458</f>
        <v>0</v>
      </c>
      <c r="H457" s="17">
        <f>'13 - Config_Intake_View'!M457</f>
        <v>0</v>
      </c>
      <c r="I457" s="30">
        <f>IF('13 - Config_Intake_View'!Q457&lt;&gt;"",'13 - Config_Intake_View'!Q457,'12 - Device_Configuration'!BH458)</f>
        <v>0</v>
      </c>
      <c r="J457" s="17" t="str">
        <f>IF('13 - Config_Intake_View'!Q457&lt;&gt;"","PM Approved",IF('12 - Device_Configuration'!BH458&lt;&gt;"","Assumed",""))</f>
        <v/>
      </c>
      <c r="K457" s="30">
        <f>'12 - Device_Configuration'!BG458</f>
        <v>0</v>
      </c>
      <c r="L457" s="17">
        <f>'12 - Device_Configuration'!P458</f>
        <v>0</v>
      </c>
      <c r="M457" s="17">
        <f>'12 - Device_Configuration'!Q458</f>
        <v>0</v>
      </c>
      <c r="N457" s="17" t="str">
        <f>'12 - Device_Configuration'!BK458</f>
        <v/>
      </c>
      <c r="O457" s="30" t="str">
        <f>'12 - Device_Configuration'!BL458</f>
        <v/>
      </c>
      <c r="P457" s="2">
        <f>'12 - Device_Configuration'!BA458</f>
        <v>0</v>
      </c>
      <c r="Q457" s="30" t="str">
        <f t="shared" si="28"/>
        <v/>
      </c>
      <c r="R457" s="17" t="str">
        <f t="shared" si="29"/>
        <v>SW NOT INSTALLED</v>
      </c>
      <c r="S457" s="17" t="str">
        <f t="shared" si="30"/>
        <v/>
      </c>
      <c r="T457" s="17" t="str">
        <f t="shared" si="31"/>
        <v>SW NOT INSTALLED</v>
      </c>
    </row>
    <row r="458" spans="1:20">
      <c r="A458" s="30">
        <f>'12 - Device_Configuration'!H459</f>
        <v>0</v>
      </c>
      <c r="B458" s="30">
        <f>'12 - Device_Configuration'!S459</f>
        <v>0</v>
      </c>
      <c r="C458" s="30">
        <f>'12 - Device_Configuration'!T459</f>
        <v>0</v>
      </c>
      <c r="D458" s="17">
        <f>'12 - Device_Configuration'!AJ459</f>
        <v>0</v>
      </c>
      <c r="E458" s="17">
        <f>'12 - Device_Configuration'!J459</f>
        <v>0</v>
      </c>
      <c r="F458" s="30">
        <f>'12 - Device_Configuration'!K459</f>
        <v>0</v>
      </c>
      <c r="G458" s="17">
        <f>'12 - Device_Configuration'!L459</f>
        <v>0</v>
      </c>
      <c r="H458" s="17">
        <f>'13 - Config_Intake_View'!M458</f>
        <v>0</v>
      </c>
      <c r="I458" s="30">
        <f>IF('13 - Config_Intake_View'!Q458&lt;&gt;"",'13 - Config_Intake_View'!Q458,'12 - Device_Configuration'!BH459)</f>
        <v>0</v>
      </c>
      <c r="J458" s="17" t="str">
        <f>IF('13 - Config_Intake_View'!Q458&lt;&gt;"","PM Approved",IF('12 - Device_Configuration'!BH459&lt;&gt;"","Assumed",""))</f>
        <v/>
      </c>
      <c r="K458" s="30">
        <f>'12 - Device_Configuration'!BG459</f>
        <v>0</v>
      </c>
      <c r="L458" s="17">
        <f>'12 - Device_Configuration'!P459</f>
        <v>0</v>
      </c>
      <c r="M458" s="17">
        <f>'12 - Device_Configuration'!Q459</f>
        <v>0</v>
      </c>
      <c r="N458" s="17" t="str">
        <f>'12 - Device_Configuration'!BK459</f>
        <v/>
      </c>
      <c r="O458" s="30" t="str">
        <f>'12 - Device_Configuration'!BL459</f>
        <v/>
      </c>
      <c r="P458" s="2">
        <f>'12 - Device_Configuration'!BA459</f>
        <v>0</v>
      </c>
      <c r="Q458" s="30" t="str">
        <f t="shared" si="28"/>
        <v/>
      </c>
      <c r="R458" s="17" t="str">
        <f t="shared" si="29"/>
        <v>SW NOT INSTALLED</v>
      </c>
      <c r="S458" s="17" t="str">
        <f t="shared" si="30"/>
        <v/>
      </c>
      <c r="T458" s="17" t="str">
        <f t="shared" si="31"/>
        <v>SW NOT INSTALLED</v>
      </c>
    </row>
    <row r="459" spans="1:20">
      <c r="A459" s="30">
        <f>'12 - Device_Configuration'!H460</f>
        <v>0</v>
      </c>
      <c r="B459" s="30">
        <f>'12 - Device_Configuration'!S460</f>
        <v>0</v>
      </c>
      <c r="C459" s="30">
        <f>'12 - Device_Configuration'!T460</f>
        <v>0</v>
      </c>
      <c r="D459" s="17">
        <f>'12 - Device_Configuration'!AJ460</f>
        <v>0</v>
      </c>
      <c r="E459" s="17">
        <f>'12 - Device_Configuration'!J460</f>
        <v>0</v>
      </c>
      <c r="F459" s="30">
        <f>'12 - Device_Configuration'!K460</f>
        <v>0</v>
      </c>
      <c r="G459" s="17">
        <f>'12 - Device_Configuration'!L460</f>
        <v>0</v>
      </c>
      <c r="H459" s="17">
        <f>'13 - Config_Intake_View'!M459</f>
        <v>0</v>
      </c>
      <c r="I459" s="30">
        <f>IF('13 - Config_Intake_View'!Q459&lt;&gt;"",'13 - Config_Intake_View'!Q459,'12 - Device_Configuration'!BH460)</f>
        <v>0</v>
      </c>
      <c r="J459" s="17" t="str">
        <f>IF('13 - Config_Intake_View'!Q459&lt;&gt;"","PM Approved",IF('12 - Device_Configuration'!BH460&lt;&gt;"","Assumed",""))</f>
        <v/>
      </c>
      <c r="K459" s="30">
        <f>'12 - Device_Configuration'!BG460</f>
        <v>0</v>
      </c>
      <c r="L459" s="17">
        <f>'12 - Device_Configuration'!P460</f>
        <v>0</v>
      </c>
      <c r="M459" s="17">
        <f>'12 - Device_Configuration'!Q460</f>
        <v>0</v>
      </c>
      <c r="N459" s="17" t="str">
        <f>'12 - Device_Configuration'!BK460</f>
        <v/>
      </c>
      <c r="O459" s="30" t="str">
        <f>'12 - Device_Configuration'!BL460</f>
        <v/>
      </c>
      <c r="P459" s="2">
        <f>'12 - Device_Configuration'!BA460</f>
        <v>0</v>
      </c>
      <c r="Q459" s="30" t="str">
        <f t="shared" si="28"/>
        <v/>
      </c>
      <c r="R459" s="17" t="str">
        <f t="shared" si="29"/>
        <v>SW NOT INSTALLED</v>
      </c>
      <c r="S459" s="17" t="str">
        <f t="shared" si="30"/>
        <v/>
      </c>
      <c r="T459" s="17" t="str">
        <f t="shared" si="31"/>
        <v>SW NOT INSTALLED</v>
      </c>
    </row>
    <row r="460" spans="1:20">
      <c r="A460" s="30">
        <f>'12 - Device_Configuration'!H461</f>
        <v>0</v>
      </c>
      <c r="B460" s="30">
        <f>'12 - Device_Configuration'!S461</f>
        <v>0</v>
      </c>
      <c r="C460" s="30">
        <f>'12 - Device_Configuration'!T461</f>
        <v>0</v>
      </c>
      <c r="D460" s="17">
        <f>'12 - Device_Configuration'!AJ461</f>
        <v>0</v>
      </c>
      <c r="E460" s="17">
        <f>'12 - Device_Configuration'!J461</f>
        <v>0</v>
      </c>
      <c r="F460" s="30">
        <f>'12 - Device_Configuration'!K461</f>
        <v>0</v>
      </c>
      <c r="G460" s="17">
        <f>'12 - Device_Configuration'!L461</f>
        <v>0</v>
      </c>
      <c r="H460" s="17">
        <f>'13 - Config_Intake_View'!M460</f>
        <v>0</v>
      </c>
      <c r="I460" s="30">
        <f>IF('13 - Config_Intake_View'!Q460&lt;&gt;"",'13 - Config_Intake_View'!Q460,'12 - Device_Configuration'!BH461)</f>
        <v>0</v>
      </c>
      <c r="J460" s="17" t="str">
        <f>IF('13 - Config_Intake_View'!Q460&lt;&gt;"","PM Approved",IF('12 - Device_Configuration'!BH461&lt;&gt;"","Assumed",""))</f>
        <v/>
      </c>
      <c r="K460" s="30">
        <f>'12 - Device_Configuration'!BG461</f>
        <v>0</v>
      </c>
      <c r="L460" s="17">
        <f>'12 - Device_Configuration'!P461</f>
        <v>0</v>
      </c>
      <c r="M460" s="17">
        <f>'12 - Device_Configuration'!Q461</f>
        <v>0</v>
      </c>
      <c r="N460" s="17" t="str">
        <f>'12 - Device_Configuration'!BK461</f>
        <v/>
      </c>
      <c r="O460" s="30" t="str">
        <f>'12 - Device_Configuration'!BL461</f>
        <v/>
      </c>
      <c r="P460" s="2">
        <f>'12 - Device_Configuration'!BA461</f>
        <v>0</v>
      </c>
      <c r="Q460" s="30" t="str">
        <f t="shared" si="28"/>
        <v/>
      </c>
      <c r="R460" s="17" t="str">
        <f t="shared" si="29"/>
        <v>SW NOT INSTALLED</v>
      </c>
      <c r="S460" s="17" t="str">
        <f t="shared" si="30"/>
        <v/>
      </c>
      <c r="T460" s="17" t="str">
        <f t="shared" si="31"/>
        <v>SW NOT INSTALLED</v>
      </c>
    </row>
    <row r="461" spans="1:20">
      <c r="A461" s="30">
        <f>'12 - Device_Configuration'!H462</f>
        <v>0</v>
      </c>
      <c r="B461" s="30">
        <f>'12 - Device_Configuration'!S462</f>
        <v>0</v>
      </c>
      <c r="C461" s="30">
        <f>'12 - Device_Configuration'!T462</f>
        <v>0</v>
      </c>
      <c r="D461" s="17">
        <f>'12 - Device_Configuration'!AJ462</f>
        <v>0</v>
      </c>
      <c r="E461" s="17">
        <f>'12 - Device_Configuration'!J462</f>
        <v>0</v>
      </c>
      <c r="F461" s="30">
        <f>'12 - Device_Configuration'!K462</f>
        <v>0</v>
      </c>
      <c r="G461" s="17">
        <f>'12 - Device_Configuration'!L462</f>
        <v>0</v>
      </c>
      <c r="H461" s="17">
        <f>'13 - Config_Intake_View'!M461</f>
        <v>0</v>
      </c>
      <c r="I461" s="30">
        <f>IF('13 - Config_Intake_View'!Q461&lt;&gt;"",'13 - Config_Intake_View'!Q461,'12 - Device_Configuration'!BH462)</f>
        <v>0</v>
      </c>
      <c r="J461" s="17" t="str">
        <f>IF('13 - Config_Intake_View'!Q461&lt;&gt;"","PM Approved",IF('12 - Device_Configuration'!BH462&lt;&gt;"","Assumed",""))</f>
        <v/>
      </c>
      <c r="K461" s="30">
        <f>'12 - Device_Configuration'!BG462</f>
        <v>0</v>
      </c>
      <c r="L461" s="17">
        <f>'12 - Device_Configuration'!P462</f>
        <v>0</v>
      </c>
      <c r="M461" s="17">
        <f>'12 - Device_Configuration'!Q462</f>
        <v>0</v>
      </c>
      <c r="N461" s="17" t="str">
        <f>'12 - Device_Configuration'!BK462</f>
        <v/>
      </c>
      <c r="O461" s="30" t="str">
        <f>'12 - Device_Configuration'!BL462</f>
        <v/>
      </c>
      <c r="P461" s="2">
        <f>'12 - Device_Configuration'!BA462</f>
        <v>0</v>
      </c>
      <c r="Q461" s="30" t="str">
        <f t="shared" si="28"/>
        <v/>
      </c>
      <c r="R461" s="17" t="str">
        <f t="shared" si="29"/>
        <v>SW NOT INSTALLED</v>
      </c>
      <c r="S461" s="17" t="str">
        <f t="shared" si="30"/>
        <v/>
      </c>
      <c r="T461" s="17" t="str">
        <f t="shared" si="31"/>
        <v>SW NOT INSTALLED</v>
      </c>
    </row>
    <row r="462" spans="1:20">
      <c r="A462" s="30">
        <f>'12 - Device_Configuration'!H463</f>
        <v>0</v>
      </c>
      <c r="B462" s="30">
        <f>'12 - Device_Configuration'!S463</f>
        <v>0</v>
      </c>
      <c r="C462" s="30">
        <f>'12 - Device_Configuration'!T463</f>
        <v>0</v>
      </c>
      <c r="D462" s="17">
        <f>'12 - Device_Configuration'!AJ463</f>
        <v>0</v>
      </c>
      <c r="E462" s="17">
        <f>'12 - Device_Configuration'!J463</f>
        <v>0</v>
      </c>
      <c r="F462" s="30">
        <f>'12 - Device_Configuration'!K463</f>
        <v>0</v>
      </c>
      <c r="G462" s="17">
        <f>'12 - Device_Configuration'!L463</f>
        <v>0</v>
      </c>
      <c r="H462" s="17">
        <f>'13 - Config_Intake_View'!M462</f>
        <v>0</v>
      </c>
      <c r="I462" s="30">
        <f>IF('13 - Config_Intake_View'!Q462&lt;&gt;"",'13 - Config_Intake_View'!Q462,'12 - Device_Configuration'!BH463)</f>
        <v>0</v>
      </c>
      <c r="J462" s="17" t="str">
        <f>IF('13 - Config_Intake_View'!Q462&lt;&gt;"","PM Approved",IF('12 - Device_Configuration'!BH463&lt;&gt;"","Assumed",""))</f>
        <v/>
      </c>
      <c r="K462" s="30">
        <f>'12 - Device_Configuration'!BG463</f>
        <v>0</v>
      </c>
      <c r="L462" s="17">
        <f>'12 - Device_Configuration'!P463</f>
        <v>0</v>
      </c>
      <c r="M462" s="17">
        <f>'12 - Device_Configuration'!Q463</f>
        <v>0</v>
      </c>
      <c r="N462" s="17" t="str">
        <f>'12 - Device_Configuration'!BK463</f>
        <v/>
      </c>
      <c r="O462" s="30" t="str">
        <f>'12 - Device_Configuration'!BL463</f>
        <v/>
      </c>
      <c r="P462" s="2">
        <f>'12 - Device_Configuration'!BA463</f>
        <v>0</v>
      </c>
      <c r="Q462" s="30" t="str">
        <f t="shared" si="28"/>
        <v/>
      </c>
      <c r="R462" s="17" t="str">
        <f t="shared" si="29"/>
        <v>SW NOT INSTALLED</v>
      </c>
      <c r="S462" s="17" t="str">
        <f t="shared" si="30"/>
        <v/>
      </c>
      <c r="T462" s="17" t="str">
        <f t="shared" si="31"/>
        <v>SW NOT INSTALLED</v>
      </c>
    </row>
    <row r="463" spans="1:20">
      <c r="A463" s="30">
        <f>'12 - Device_Configuration'!H464</f>
        <v>0</v>
      </c>
      <c r="B463" s="30">
        <f>'12 - Device_Configuration'!S464</f>
        <v>0</v>
      </c>
      <c r="C463" s="30">
        <f>'12 - Device_Configuration'!T464</f>
        <v>0</v>
      </c>
      <c r="D463" s="17">
        <f>'12 - Device_Configuration'!AJ464</f>
        <v>0</v>
      </c>
      <c r="E463" s="17">
        <f>'12 - Device_Configuration'!J464</f>
        <v>0</v>
      </c>
      <c r="F463" s="30">
        <f>'12 - Device_Configuration'!K464</f>
        <v>0</v>
      </c>
      <c r="G463" s="17">
        <f>'12 - Device_Configuration'!L464</f>
        <v>0</v>
      </c>
      <c r="H463" s="17">
        <f>'13 - Config_Intake_View'!M463</f>
        <v>0</v>
      </c>
      <c r="I463" s="30">
        <f>IF('13 - Config_Intake_View'!Q463&lt;&gt;"",'13 - Config_Intake_View'!Q463,'12 - Device_Configuration'!BH464)</f>
        <v>0</v>
      </c>
      <c r="J463" s="17" t="str">
        <f>IF('13 - Config_Intake_View'!Q463&lt;&gt;"","PM Approved",IF('12 - Device_Configuration'!BH464&lt;&gt;"","Assumed",""))</f>
        <v/>
      </c>
      <c r="K463" s="30">
        <f>'12 - Device_Configuration'!BG464</f>
        <v>0</v>
      </c>
      <c r="L463" s="17">
        <f>'12 - Device_Configuration'!P464</f>
        <v>0</v>
      </c>
      <c r="M463" s="17">
        <f>'12 - Device_Configuration'!Q464</f>
        <v>0</v>
      </c>
      <c r="N463" s="17" t="str">
        <f>'12 - Device_Configuration'!BK464</f>
        <v/>
      </c>
      <c r="O463" s="30" t="str">
        <f>'12 - Device_Configuration'!BL464</f>
        <v/>
      </c>
      <c r="P463" s="2">
        <f>'12 - Device_Configuration'!BA464</f>
        <v>0</v>
      </c>
      <c r="Q463" s="30" t="str">
        <f t="shared" si="28"/>
        <v/>
      </c>
      <c r="R463" s="17" t="str">
        <f t="shared" si="29"/>
        <v>SW NOT INSTALLED</v>
      </c>
      <c r="S463" s="17" t="str">
        <f t="shared" si="30"/>
        <v/>
      </c>
      <c r="T463" s="17" t="str">
        <f t="shared" si="31"/>
        <v>SW NOT INSTALLED</v>
      </c>
    </row>
    <row r="464" spans="1:20">
      <c r="A464" s="30">
        <f>'12 - Device_Configuration'!H465</f>
        <v>0</v>
      </c>
      <c r="B464" s="30">
        <f>'12 - Device_Configuration'!S465</f>
        <v>0</v>
      </c>
      <c r="C464" s="30">
        <f>'12 - Device_Configuration'!T465</f>
        <v>0</v>
      </c>
      <c r="D464" s="17">
        <f>'12 - Device_Configuration'!AJ465</f>
        <v>0</v>
      </c>
      <c r="E464" s="17">
        <f>'12 - Device_Configuration'!J465</f>
        <v>0</v>
      </c>
      <c r="F464" s="30">
        <f>'12 - Device_Configuration'!K465</f>
        <v>0</v>
      </c>
      <c r="G464" s="17">
        <f>'12 - Device_Configuration'!L465</f>
        <v>0</v>
      </c>
      <c r="H464" s="17">
        <f>'13 - Config_Intake_View'!M464</f>
        <v>0</v>
      </c>
      <c r="I464" s="30">
        <f>IF('13 - Config_Intake_View'!Q464&lt;&gt;"",'13 - Config_Intake_View'!Q464,'12 - Device_Configuration'!BH465)</f>
        <v>0</v>
      </c>
      <c r="J464" s="17" t="str">
        <f>IF('13 - Config_Intake_View'!Q464&lt;&gt;"","PM Approved",IF('12 - Device_Configuration'!BH465&lt;&gt;"","Assumed",""))</f>
        <v/>
      </c>
      <c r="K464" s="30">
        <f>'12 - Device_Configuration'!BG465</f>
        <v>0</v>
      </c>
      <c r="L464" s="17">
        <f>'12 - Device_Configuration'!P465</f>
        <v>0</v>
      </c>
      <c r="M464" s="17">
        <f>'12 - Device_Configuration'!Q465</f>
        <v>0</v>
      </c>
      <c r="N464" s="17" t="str">
        <f>'12 - Device_Configuration'!BK465</f>
        <v/>
      </c>
      <c r="O464" s="30" t="str">
        <f>'12 - Device_Configuration'!BL465</f>
        <v/>
      </c>
      <c r="P464" s="2">
        <f>'12 - Device_Configuration'!BA465</f>
        <v>0</v>
      </c>
      <c r="Q464" s="30" t="str">
        <f t="shared" si="28"/>
        <v/>
      </c>
      <c r="R464" s="17" t="str">
        <f t="shared" si="29"/>
        <v>SW NOT INSTALLED</v>
      </c>
      <c r="S464" s="17" t="str">
        <f t="shared" si="30"/>
        <v/>
      </c>
      <c r="T464" s="17" t="str">
        <f t="shared" si="31"/>
        <v>SW NOT INSTALLED</v>
      </c>
    </row>
    <row r="465" spans="1:20">
      <c r="A465" s="30">
        <f>'12 - Device_Configuration'!H466</f>
        <v>0</v>
      </c>
      <c r="B465" s="30">
        <f>'12 - Device_Configuration'!S466</f>
        <v>0</v>
      </c>
      <c r="C465" s="30">
        <f>'12 - Device_Configuration'!T466</f>
        <v>0</v>
      </c>
      <c r="D465" s="17">
        <f>'12 - Device_Configuration'!AJ466</f>
        <v>0</v>
      </c>
      <c r="E465" s="17">
        <f>'12 - Device_Configuration'!J466</f>
        <v>0</v>
      </c>
      <c r="F465" s="30">
        <f>'12 - Device_Configuration'!K466</f>
        <v>0</v>
      </c>
      <c r="G465" s="17">
        <f>'12 - Device_Configuration'!L466</f>
        <v>0</v>
      </c>
      <c r="H465" s="17">
        <f>'13 - Config_Intake_View'!M465</f>
        <v>0</v>
      </c>
      <c r="I465" s="30">
        <f>IF('13 - Config_Intake_View'!Q465&lt;&gt;"",'13 - Config_Intake_View'!Q465,'12 - Device_Configuration'!BH466)</f>
        <v>0</v>
      </c>
      <c r="J465" s="17" t="str">
        <f>IF('13 - Config_Intake_View'!Q465&lt;&gt;"","PM Approved",IF('12 - Device_Configuration'!BH466&lt;&gt;"","Assumed",""))</f>
        <v/>
      </c>
      <c r="K465" s="30">
        <f>'12 - Device_Configuration'!BG466</f>
        <v>0</v>
      </c>
      <c r="L465" s="17">
        <f>'12 - Device_Configuration'!P466</f>
        <v>0</v>
      </c>
      <c r="M465" s="17">
        <f>'12 - Device_Configuration'!Q466</f>
        <v>0</v>
      </c>
      <c r="N465" s="17" t="str">
        <f>'12 - Device_Configuration'!BK466</f>
        <v/>
      </c>
      <c r="O465" s="30" t="str">
        <f>'12 - Device_Configuration'!BL466</f>
        <v/>
      </c>
      <c r="P465" s="2">
        <f>'12 - Device_Configuration'!BA466</f>
        <v>0</v>
      </c>
      <c r="Q465" s="30" t="str">
        <f t="shared" si="28"/>
        <v/>
      </c>
      <c r="R465" s="17" t="str">
        <f t="shared" si="29"/>
        <v>SW NOT INSTALLED</v>
      </c>
      <c r="S465" s="17" t="str">
        <f t="shared" si="30"/>
        <v/>
      </c>
      <c r="T465" s="17" t="str">
        <f t="shared" si="31"/>
        <v>SW NOT INSTALLED</v>
      </c>
    </row>
    <row r="466" spans="1:20">
      <c r="A466" s="30">
        <f>'12 - Device_Configuration'!H467</f>
        <v>0</v>
      </c>
      <c r="B466" s="30">
        <f>'12 - Device_Configuration'!S467</f>
        <v>0</v>
      </c>
      <c r="C466" s="30">
        <f>'12 - Device_Configuration'!T467</f>
        <v>0</v>
      </c>
      <c r="D466" s="17">
        <f>'12 - Device_Configuration'!AJ467</f>
        <v>0</v>
      </c>
      <c r="E466" s="17">
        <f>'12 - Device_Configuration'!J467</f>
        <v>0</v>
      </c>
      <c r="F466" s="30">
        <f>'12 - Device_Configuration'!K467</f>
        <v>0</v>
      </c>
      <c r="G466" s="17">
        <f>'12 - Device_Configuration'!L467</f>
        <v>0</v>
      </c>
      <c r="H466" s="17">
        <f>'13 - Config_Intake_View'!M466</f>
        <v>0</v>
      </c>
      <c r="I466" s="30">
        <f>IF('13 - Config_Intake_View'!Q466&lt;&gt;"",'13 - Config_Intake_View'!Q466,'12 - Device_Configuration'!BH467)</f>
        <v>0</v>
      </c>
      <c r="J466" s="17" t="str">
        <f>IF('13 - Config_Intake_View'!Q466&lt;&gt;"","PM Approved",IF('12 - Device_Configuration'!BH467&lt;&gt;"","Assumed",""))</f>
        <v/>
      </c>
      <c r="K466" s="30">
        <f>'12 - Device_Configuration'!BG467</f>
        <v>0</v>
      </c>
      <c r="L466" s="17">
        <f>'12 - Device_Configuration'!P467</f>
        <v>0</v>
      </c>
      <c r="M466" s="17">
        <f>'12 - Device_Configuration'!Q467</f>
        <v>0</v>
      </c>
      <c r="N466" s="17" t="str">
        <f>'12 - Device_Configuration'!BK467</f>
        <v/>
      </c>
      <c r="O466" s="30" t="str">
        <f>'12 - Device_Configuration'!BL467</f>
        <v/>
      </c>
      <c r="P466" s="2">
        <f>'12 - Device_Configuration'!BA467</f>
        <v>0</v>
      </c>
      <c r="Q466" s="30" t="str">
        <f t="shared" si="28"/>
        <v/>
      </c>
      <c r="R466" s="17" t="str">
        <f t="shared" si="29"/>
        <v>SW NOT INSTALLED</v>
      </c>
      <c r="S466" s="17" t="str">
        <f t="shared" si="30"/>
        <v/>
      </c>
      <c r="T466" s="17" t="str">
        <f t="shared" si="31"/>
        <v>SW NOT INSTALLED</v>
      </c>
    </row>
    <row r="467" spans="1:20">
      <c r="A467" s="30">
        <f>'12 - Device_Configuration'!H468</f>
        <v>0</v>
      </c>
      <c r="B467" s="30">
        <f>'12 - Device_Configuration'!S468</f>
        <v>0</v>
      </c>
      <c r="C467" s="30">
        <f>'12 - Device_Configuration'!T468</f>
        <v>0</v>
      </c>
      <c r="D467" s="17">
        <f>'12 - Device_Configuration'!AJ468</f>
        <v>0</v>
      </c>
      <c r="E467" s="17">
        <f>'12 - Device_Configuration'!J468</f>
        <v>0</v>
      </c>
      <c r="F467" s="30">
        <f>'12 - Device_Configuration'!K468</f>
        <v>0</v>
      </c>
      <c r="G467" s="17">
        <f>'12 - Device_Configuration'!L468</f>
        <v>0</v>
      </c>
      <c r="H467" s="17">
        <f>'13 - Config_Intake_View'!M467</f>
        <v>0</v>
      </c>
      <c r="I467" s="30">
        <f>IF('13 - Config_Intake_View'!Q467&lt;&gt;"",'13 - Config_Intake_View'!Q467,'12 - Device_Configuration'!BH468)</f>
        <v>0</v>
      </c>
      <c r="J467" s="17" t="str">
        <f>IF('13 - Config_Intake_View'!Q467&lt;&gt;"","PM Approved",IF('12 - Device_Configuration'!BH468&lt;&gt;"","Assumed",""))</f>
        <v/>
      </c>
      <c r="K467" s="30">
        <f>'12 - Device_Configuration'!BG468</f>
        <v>0</v>
      </c>
      <c r="L467" s="17">
        <f>'12 - Device_Configuration'!P468</f>
        <v>0</v>
      </c>
      <c r="M467" s="17">
        <f>'12 - Device_Configuration'!Q468</f>
        <v>0</v>
      </c>
      <c r="N467" s="17" t="str">
        <f>'12 - Device_Configuration'!BK468</f>
        <v/>
      </c>
      <c r="O467" s="30" t="str">
        <f>'12 - Device_Configuration'!BL468</f>
        <v/>
      </c>
      <c r="P467" s="2">
        <f>'12 - Device_Configuration'!BA468</f>
        <v>0</v>
      </c>
      <c r="Q467" s="30" t="str">
        <f t="shared" si="28"/>
        <v/>
      </c>
      <c r="R467" s="17" t="str">
        <f t="shared" si="29"/>
        <v>SW NOT INSTALLED</v>
      </c>
      <c r="S467" s="17" t="str">
        <f t="shared" si="30"/>
        <v/>
      </c>
      <c r="T467" s="17" t="str">
        <f t="shared" si="31"/>
        <v>SW NOT INSTALLED</v>
      </c>
    </row>
    <row r="468" spans="1:20">
      <c r="A468" s="30">
        <f>'12 - Device_Configuration'!H469</f>
        <v>0</v>
      </c>
      <c r="B468" s="30">
        <f>'12 - Device_Configuration'!S469</f>
        <v>0</v>
      </c>
      <c r="C468" s="30">
        <f>'12 - Device_Configuration'!T469</f>
        <v>0</v>
      </c>
      <c r="D468" s="17">
        <f>'12 - Device_Configuration'!AJ469</f>
        <v>0</v>
      </c>
      <c r="E468" s="17">
        <f>'12 - Device_Configuration'!J469</f>
        <v>0</v>
      </c>
      <c r="F468" s="30">
        <f>'12 - Device_Configuration'!K469</f>
        <v>0</v>
      </c>
      <c r="G468" s="17">
        <f>'12 - Device_Configuration'!L469</f>
        <v>0</v>
      </c>
      <c r="H468" s="17">
        <f>'13 - Config_Intake_View'!M468</f>
        <v>0</v>
      </c>
      <c r="I468" s="30">
        <f>IF('13 - Config_Intake_View'!Q468&lt;&gt;"",'13 - Config_Intake_View'!Q468,'12 - Device_Configuration'!BH469)</f>
        <v>0</v>
      </c>
      <c r="J468" s="17" t="str">
        <f>IF('13 - Config_Intake_View'!Q468&lt;&gt;"","PM Approved",IF('12 - Device_Configuration'!BH469&lt;&gt;"","Assumed",""))</f>
        <v/>
      </c>
      <c r="K468" s="30">
        <f>'12 - Device_Configuration'!BG469</f>
        <v>0</v>
      </c>
      <c r="L468" s="17">
        <f>'12 - Device_Configuration'!P469</f>
        <v>0</v>
      </c>
      <c r="M468" s="17">
        <f>'12 - Device_Configuration'!Q469</f>
        <v>0</v>
      </c>
      <c r="N468" s="17" t="str">
        <f>'12 - Device_Configuration'!BK469</f>
        <v/>
      </c>
      <c r="O468" s="30" t="str">
        <f>'12 - Device_Configuration'!BL469</f>
        <v/>
      </c>
      <c r="P468" s="2">
        <f>'12 - Device_Configuration'!BA469</f>
        <v>0</v>
      </c>
      <c r="Q468" s="30" t="str">
        <f t="shared" si="28"/>
        <v/>
      </c>
      <c r="R468" s="17" t="str">
        <f t="shared" si="29"/>
        <v>SW NOT INSTALLED</v>
      </c>
      <c r="S468" s="17" t="str">
        <f t="shared" si="30"/>
        <v/>
      </c>
      <c r="T468" s="17" t="str">
        <f t="shared" si="31"/>
        <v>SW NOT INSTALLED</v>
      </c>
    </row>
    <row r="469" spans="1:20">
      <c r="A469" s="30">
        <f>'12 - Device_Configuration'!H470</f>
        <v>0</v>
      </c>
      <c r="B469" s="30">
        <f>'12 - Device_Configuration'!S470</f>
        <v>0</v>
      </c>
      <c r="C469" s="30">
        <f>'12 - Device_Configuration'!T470</f>
        <v>0</v>
      </c>
      <c r="D469" s="17">
        <f>'12 - Device_Configuration'!AJ470</f>
        <v>0</v>
      </c>
      <c r="E469" s="17">
        <f>'12 - Device_Configuration'!J470</f>
        <v>0</v>
      </c>
      <c r="F469" s="30">
        <f>'12 - Device_Configuration'!K470</f>
        <v>0</v>
      </c>
      <c r="G469" s="17">
        <f>'12 - Device_Configuration'!L470</f>
        <v>0</v>
      </c>
      <c r="H469" s="17">
        <f>'13 - Config_Intake_View'!M469</f>
        <v>0</v>
      </c>
      <c r="I469" s="30">
        <f>IF('13 - Config_Intake_View'!Q469&lt;&gt;"",'13 - Config_Intake_View'!Q469,'12 - Device_Configuration'!BH470)</f>
        <v>0</v>
      </c>
      <c r="J469" s="17" t="str">
        <f>IF('13 - Config_Intake_View'!Q469&lt;&gt;"","PM Approved",IF('12 - Device_Configuration'!BH470&lt;&gt;"","Assumed",""))</f>
        <v/>
      </c>
      <c r="K469" s="30">
        <f>'12 - Device_Configuration'!BG470</f>
        <v>0</v>
      </c>
      <c r="L469" s="17">
        <f>'12 - Device_Configuration'!P470</f>
        <v>0</v>
      </c>
      <c r="M469" s="17">
        <f>'12 - Device_Configuration'!Q470</f>
        <v>0</v>
      </c>
      <c r="N469" s="17" t="str">
        <f>'12 - Device_Configuration'!BK470</f>
        <v/>
      </c>
      <c r="O469" s="30" t="str">
        <f>'12 - Device_Configuration'!BL470</f>
        <v/>
      </c>
      <c r="P469" s="2">
        <f>'12 - Device_Configuration'!BA470</f>
        <v>0</v>
      </c>
      <c r="Q469" s="30" t="str">
        <f t="shared" si="28"/>
        <v/>
      </c>
      <c r="R469" s="17" t="str">
        <f t="shared" si="29"/>
        <v>SW NOT INSTALLED</v>
      </c>
      <c r="S469" s="17" t="str">
        <f t="shared" si="30"/>
        <v/>
      </c>
      <c r="T469" s="17" t="str">
        <f t="shared" si="31"/>
        <v>SW NOT INSTALLED</v>
      </c>
    </row>
    <row r="470" spans="1:20">
      <c r="A470" s="30">
        <f>'12 - Device_Configuration'!H471</f>
        <v>0</v>
      </c>
      <c r="B470" s="30">
        <f>'12 - Device_Configuration'!S471</f>
        <v>0</v>
      </c>
      <c r="C470" s="30">
        <f>'12 - Device_Configuration'!T471</f>
        <v>0</v>
      </c>
      <c r="D470" s="17">
        <f>'12 - Device_Configuration'!AJ471</f>
        <v>0</v>
      </c>
      <c r="E470" s="17">
        <f>'12 - Device_Configuration'!J471</f>
        <v>0</v>
      </c>
      <c r="F470" s="30">
        <f>'12 - Device_Configuration'!K471</f>
        <v>0</v>
      </c>
      <c r="G470" s="17">
        <f>'12 - Device_Configuration'!L471</f>
        <v>0</v>
      </c>
      <c r="H470" s="17">
        <f>'13 - Config_Intake_View'!M470</f>
        <v>0</v>
      </c>
      <c r="I470" s="30">
        <f>IF('13 - Config_Intake_View'!Q470&lt;&gt;"",'13 - Config_Intake_View'!Q470,'12 - Device_Configuration'!BH471)</f>
        <v>0</v>
      </c>
      <c r="J470" s="17" t="str">
        <f>IF('13 - Config_Intake_View'!Q470&lt;&gt;"","PM Approved",IF('12 - Device_Configuration'!BH471&lt;&gt;"","Assumed",""))</f>
        <v/>
      </c>
      <c r="K470" s="30">
        <f>'12 - Device_Configuration'!BG471</f>
        <v>0</v>
      </c>
      <c r="L470" s="17">
        <f>'12 - Device_Configuration'!P471</f>
        <v>0</v>
      </c>
      <c r="M470" s="17">
        <f>'12 - Device_Configuration'!Q471</f>
        <v>0</v>
      </c>
      <c r="N470" s="17" t="str">
        <f>'12 - Device_Configuration'!BK471</f>
        <v/>
      </c>
      <c r="O470" s="30" t="str">
        <f>'12 - Device_Configuration'!BL471</f>
        <v/>
      </c>
      <c r="P470" s="2">
        <f>'12 - Device_Configuration'!BA471</f>
        <v>0</v>
      </c>
      <c r="Q470" s="30" t="str">
        <f t="shared" si="28"/>
        <v/>
      </c>
      <c r="R470" s="17" t="str">
        <f t="shared" si="29"/>
        <v>SW NOT INSTALLED</v>
      </c>
      <c r="S470" s="17" t="str">
        <f t="shared" si="30"/>
        <v/>
      </c>
      <c r="T470" s="17" t="str">
        <f t="shared" si="31"/>
        <v>SW NOT INSTALLED</v>
      </c>
    </row>
    <row r="471" spans="1:20">
      <c r="A471" s="30">
        <f>'12 - Device_Configuration'!H472</f>
        <v>0</v>
      </c>
      <c r="B471" s="30">
        <f>'12 - Device_Configuration'!S472</f>
        <v>0</v>
      </c>
      <c r="C471" s="30">
        <f>'12 - Device_Configuration'!T472</f>
        <v>0</v>
      </c>
      <c r="D471" s="17">
        <f>'12 - Device_Configuration'!AJ472</f>
        <v>0</v>
      </c>
      <c r="E471" s="17">
        <f>'12 - Device_Configuration'!J472</f>
        <v>0</v>
      </c>
      <c r="F471" s="30">
        <f>'12 - Device_Configuration'!K472</f>
        <v>0</v>
      </c>
      <c r="G471" s="17">
        <f>'12 - Device_Configuration'!L472</f>
        <v>0</v>
      </c>
      <c r="H471" s="17">
        <f>'13 - Config_Intake_View'!M471</f>
        <v>0</v>
      </c>
      <c r="I471" s="30">
        <f>IF('13 - Config_Intake_View'!Q471&lt;&gt;"",'13 - Config_Intake_View'!Q471,'12 - Device_Configuration'!BH472)</f>
        <v>0</v>
      </c>
      <c r="J471" s="17" t="str">
        <f>IF('13 - Config_Intake_View'!Q471&lt;&gt;"","PM Approved",IF('12 - Device_Configuration'!BH472&lt;&gt;"","Assumed",""))</f>
        <v/>
      </c>
      <c r="K471" s="30">
        <f>'12 - Device_Configuration'!BG472</f>
        <v>0</v>
      </c>
      <c r="L471" s="17">
        <f>'12 - Device_Configuration'!P472</f>
        <v>0</v>
      </c>
      <c r="M471" s="17">
        <f>'12 - Device_Configuration'!Q472</f>
        <v>0</v>
      </c>
      <c r="N471" s="17" t="str">
        <f>'12 - Device_Configuration'!BK472</f>
        <v/>
      </c>
      <c r="O471" s="30" t="str">
        <f>'12 - Device_Configuration'!BL472</f>
        <v/>
      </c>
      <c r="P471" s="2">
        <f>'12 - Device_Configuration'!BA472</f>
        <v>0</v>
      </c>
      <c r="Q471" s="30" t="str">
        <f t="shared" si="28"/>
        <v/>
      </c>
      <c r="R471" s="17" t="str">
        <f t="shared" si="29"/>
        <v>SW NOT INSTALLED</v>
      </c>
      <c r="S471" s="17" t="str">
        <f t="shared" si="30"/>
        <v/>
      </c>
      <c r="T471" s="17" t="str">
        <f t="shared" si="31"/>
        <v>SW NOT INSTALLED</v>
      </c>
    </row>
    <row r="472" spans="1:20">
      <c r="A472" s="30">
        <f>'12 - Device_Configuration'!H473</f>
        <v>0</v>
      </c>
      <c r="B472" s="30">
        <f>'12 - Device_Configuration'!S473</f>
        <v>0</v>
      </c>
      <c r="C472" s="30">
        <f>'12 - Device_Configuration'!T473</f>
        <v>0</v>
      </c>
      <c r="D472" s="17">
        <f>'12 - Device_Configuration'!AJ473</f>
        <v>0</v>
      </c>
      <c r="E472" s="17">
        <f>'12 - Device_Configuration'!J473</f>
        <v>0</v>
      </c>
      <c r="F472" s="30">
        <f>'12 - Device_Configuration'!K473</f>
        <v>0</v>
      </c>
      <c r="G472" s="17">
        <f>'12 - Device_Configuration'!L473</f>
        <v>0</v>
      </c>
      <c r="H472" s="17">
        <f>'13 - Config_Intake_View'!M472</f>
        <v>0</v>
      </c>
      <c r="I472" s="30">
        <f>IF('13 - Config_Intake_View'!Q472&lt;&gt;"",'13 - Config_Intake_View'!Q472,'12 - Device_Configuration'!BH473)</f>
        <v>0</v>
      </c>
      <c r="J472" s="17" t="str">
        <f>IF('13 - Config_Intake_View'!Q472&lt;&gt;"","PM Approved",IF('12 - Device_Configuration'!BH473&lt;&gt;"","Assumed",""))</f>
        <v/>
      </c>
      <c r="K472" s="30">
        <f>'12 - Device_Configuration'!BG473</f>
        <v>0</v>
      </c>
      <c r="L472" s="17">
        <f>'12 - Device_Configuration'!P473</f>
        <v>0</v>
      </c>
      <c r="M472" s="17">
        <f>'12 - Device_Configuration'!Q473</f>
        <v>0</v>
      </c>
      <c r="N472" s="17" t="str">
        <f>'12 - Device_Configuration'!BK473</f>
        <v/>
      </c>
      <c r="O472" s="30" t="str">
        <f>'12 - Device_Configuration'!BL473</f>
        <v/>
      </c>
      <c r="P472" s="2">
        <f>'12 - Device_Configuration'!BA473</f>
        <v>0</v>
      </c>
      <c r="Q472" s="30" t="str">
        <f t="shared" si="28"/>
        <v/>
      </c>
      <c r="R472" s="17" t="str">
        <f t="shared" si="29"/>
        <v>SW NOT INSTALLED</v>
      </c>
      <c r="S472" s="17" t="str">
        <f t="shared" si="30"/>
        <v/>
      </c>
      <c r="T472" s="17" t="str">
        <f t="shared" si="31"/>
        <v>SW NOT INSTALLED</v>
      </c>
    </row>
    <row r="473" spans="1:20">
      <c r="A473" s="30">
        <f>'12 - Device_Configuration'!H474</f>
        <v>0</v>
      </c>
      <c r="B473" s="30">
        <f>'12 - Device_Configuration'!S474</f>
        <v>0</v>
      </c>
      <c r="C473" s="30">
        <f>'12 - Device_Configuration'!T474</f>
        <v>0</v>
      </c>
      <c r="D473" s="17">
        <f>'12 - Device_Configuration'!AJ474</f>
        <v>0</v>
      </c>
      <c r="E473" s="17">
        <f>'12 - Device_Configuration'!J474</f>
        <v>0</v>
      </c>
      <c r="F473" s="30">
        <f>'12 - Device_Configuration'!K474</f>
        <v>0</v>
      </c>
      <c r="G473" s="17">
        <f>'12 - Device_Configuration'!L474</f>
        <v>0</v>
      </c>
      <c r="H473" s="17">
        <f>'13 - Config_Intake_View'!M473</f>
        <v>0</v>
      </c>
      <c r="I473" s="30">
        <f>IF('13 - Config_Intake_View'!Q473&lt;&gt;"",'13 - Config_Intake_View'!Q473,'12 - Device_Configuration'!BH474)</f>
        <v>0</v>
      </c>
      <c r="J473" s="17" t="str">
        <f>IF('13 - Config_Intake_View'!Q473&lt;&gt;"","PM Approved",IF('12 - Device_Configuration'!BH474&lt;&gt;"","Assumed",""))</f>
        <v/>
      </c>
      <c r="K473" s="30">
        <f>'12 - Device_Configuration'!BG474</f>
        <v>0</v>
      </c>
      <c r="L473" s="17">
        <f>'12 - Device_Configuration'!P474</f>
        <v>0</v>
      </c>
      <c r="M473" s="17">
        <f>'12 - Device_Configuration'!Q474</f>
        <v>0</v>
      </c>
      <c r="N473" s="17" t="str">
        <f>'12 - Device_Configuration'!BK474</f>
        <v/>
      </c>
      <c r="O473" s="30" t="str">
        <f>'12 - Device_Configuration'!BL474</f>
        <v/>
      </c>
      <c r="P473" s="2">
        <f>'12 - Device_Configuration'!BA474</f>
        <v>0</v>
      </c>
      <c r="Q473" s="30" t="str">
        <f t="shared" si="28"/>
        <v/>
      </c>
      <c r="R473" s="17" t="str">
        <f t="shared" si="29"/>
        <v>SW NOT INSTALLED</v>
      </c>
      <c r="S473" s="17" t="str">
        <f t="shared" si="30"/>
        <v/>
      </c>
      <c r="T473" s="17" t="str">
        <f t="shared" si="31"/>
        <v>SW NOT INSTALLED</v>
      </c>
    </row>
    <row r="474" spans="1:20">
      <c r="A474" s="30">
        <f>'12 - Device_Configuration'!H475</f>
        <v>0</v>
      </c>
      <c r="B474" s="30">
        <f>'12 - Device_Configuration'!S475</f>
        <v>0</v>
      </c>
      <c r="C474" s="30">
        <f>'12 - Device_Configuration'!T475</f>
        <v>0</v>
      </c>
      <c r="D474" s="17">
        <f>'12 - Device_Configuration'!AJ475</f>
        <v>0</v>
      </c>
      <c r="E474" s="17">
        <f>'12 - Device_Configuration'!J475</f>
        <v>0</v>
      </c>
      <c r="F474" s="30">
        <f>'12 - Device_Configuration'!K475</f>
        <v>0</v>
      </c>
      <c r="G474" s="17">
        <f>'12 - Device_Configuration'!L475</f>
        <v>0</v>
      </c>
      <c r="H474" s="17">
        <f>'13 - Config_Intake_View'!M474</f>
        <v>0</v>
      </c>
      <c r="I474" s="30">
        <f>IF('13 - Config_Intake_View'!Q474&lt;&gt;"",'13 - Config_Intake_View'!Q474,'12 - Device_Configuration'!BH475)</f>
        <v>0</v>
      </c>
      <c r="J474" s="17" t="str">
        <f>IF('13 - Config_Intake_View'!Q474&lt;&gt;"","PM Approved",IF('12 - Device_Configuration'!BH475&lt;&gt;"","Assumed",""))</f>
        <v/>
      </c>
      <c r="K474" s="30">
        <f>'12 - Device_Configuration'!BG475</f>
        <v>0</v>
      </c>
      <c r="L474" s="17">
        <f>'12 - Device_Configuration'!P475</f>
        <v>0</v>
      </c>
      <c r="M474" s="17">
        <f>'12 - Device_Configuration'!Q475</f>
        <v>0</v>
      </c>
      <c r="N474" s="17" t="str">
        <f>'12 - Device_Configuration'!BK475</f>
        <v/>
      </c>
      <c r="O474" s="30" t="str">
        <f>'12 - Device_Configuration'!BL475</f>
        <v/>
      </c>
      <c r="P474" s="2">
        <f>'12 - Device_Configuration'!BA475</f>
        <v>0</v>
      </c>
      <c r="Q474" s="30" t="str">
        <f t="shared" si="28"/>
        <v/>
      </c>
      <c r="R474" s="17" t="str">
        <f t="shared" si="29"/>
        <v>SW NOT INSTALLED</v>
      </c>
      <c r="S474" s="17" t="str">
        <f t="shared" si="30"/>
        <v/>
      </c>
      <c r="T474" s="17" t="str">
        <f t="shared" si="31"/>
        <v>SW NOT INSTALLED</v>
      </c>
    </row>
    <row r="475" spans="1:20">
      <c r="A475" s="30">
        <f>'12 - Device_Configuration'!H476</f>
        <v>0</v>
      </c>
      <c r="B475" s="30">
        <f>'12 - Device_Configuration'!S476</f>
        <v>0</v>
      </c>
      <c r="C475" s="30">
        <f>'12 - Device_Configuration'!T476</f>
        <v>0</v>
      </c>
      <c r="D475" s="17">
        <f>'12 - Device_Configuration'!AJ476</f>
        <v>0</v>
      </c>
      <c r="E475" s="17">
        <f>'12 - Device_Configuration'!J476</f>
        <v>0</v>
      </c>
      <c r="F475" s="30">
        <f>'12 - Device_Configuration'!K476</f>
        <v>0</v>
      </c>
      <c r="G475" s="17">
        <f>'12 - Device_Configuration'!L476</f>
        <v>0</v>
      </c>
      <c r="H475" s="17">
        <f>'13 - Config_Intake_View'!M475</f>
        <v>0</v>
      </c>
      <c r="I475" s="30">
        <f>IF('13 - Config_Intake_View'!Q475&lt;&gt;"",'13 - Config_Intake_View'!Q475,'12 - Device_Configuration'!BH476)</f>
        <v>0</v>
      </c>
      <c r="J475" s="17" t="str">
        <f>IF('13 - Config_Intake_View'!Q475&lt;&gt;"","PM Approved",IF('12 - Device_Configuration'!BH476&lt;&gt;"","Assumed",""))</f>
        <v/>
      </c>
      <c r="K475" s="30">
        <f>'12 - Device_Configuration'!BG476</f>
        <v>0</v>
      </c>
      <c r="L475" s="17">
        <f>'12 - Device_Configuration'!P476</f>
        <v>0</v>
      </c>
      <c r="M475" s="17">
        <f>'12 - Device_Configuration'!Q476</f>
        <v>0</v>
      </c>
      <c r="N475" s="17" t="str">
        <f>'12 - Device_Configuration'!BK476</f>
        <v/>
      </c>
      <c r="O475" s="30" t="str">
        <f>'12 - Device_Configuration'!BL476</f>
        <v/>
      </c>
      <c r="P475" s="2">
        <f>'12 - Device_Configuration'!BA476</f>
        <v>0</v>
      </c>
      <c r="Q475" s="30" t="str">
        <f t="shared" si="28"/>
        <v/>
      </c>
      <c r="R475" s="17" t="str">
        <f t="shared" si="29"/>
        <v>SW NOT INSTALLED</v>
      </c>
      <c r="S475" s="17" t="str">
        <f t="shared" si="30"/>
        <v/>
      </c>
      <c r="T475" s="17" t="str">
        <f t="shared" si="31"/>
        <v>SW NOT INSTALLED</v>
      </c>
    </row>
    <row r="476" spans="1:20">
      <c r="A476" s="30">
        <f>'12 - Device_Configuration'!H477</f>
        <v>0</v>
      </c>
      <c r="B476" s="30">
        <f>'12 - Device_Configuration'!S477</f>
        <v>0</v>
      </c>
      <c r="C476" s="30">
        <f>'12 - Device_Configuration'!T477</f>
        <v>0</v>
      </c>
      <c r="D476" s="17">
        <f>'12 - Device_Configuration'!AJ477</f>
        <v>0</v>
      </c>
      <c r="E476" s="17">
        <f>'12 - Device_Configuration'!J477</f>
        <v>0</v>
      </c>
      <c r="F476" s="30">
        <f>'12 - Device_Configuration'!K477</f>
        <v>0</v>
      </c>
      <c r="G476" s="17">
        <f>'12 - Device_Configuration'!L477</f>
        <v>0</v>
      </c>
      <c r="H476" s="17">
        <f>'13 - Config_Intake_View'!M476</f>
        <v>0</v>
      </c>
      <c r="I476" s="30">
        <f>IF('13 - Config_Intake_View'!Q476&lt;&gt;"",'13 - Config_Intake_View'!Q476,'12 - Device_Configuration'!BH477)</f>
        <v>0</v>
      </c>
      <c r="J476" s="17" t="str">
        <f>IF('13 - Config_Intake_View'!Q476&lt;&gt;"","PM Approved",IF('12 - Device_Configuration'!BH477&lt;&gt;"","Assumed",""))</f>
        <v/>
      </c>
      <c r="K476" s="30">
        <f>'12 - Device_Configuration'!BG477</f>
        <v>0</v>
      </c>
      <c r="L476" s="17">
        <f>'12 - Device_Configuration'!P477</f>
        <v>0</v>
      </c>
      <c r="M476" s="17">
        <f>'12 - Device_Configuration'!Q477</f>
        <v>0</v>
      </c>
      <c r="N476" s="17" t="str">
        <f>'12 - Device_Configuration'!BK477</f>
        <v/>
      </c>
      <c r="O476" s="30" t="str">
        <f>'12 - Device_Configuration'!BL477</f>
        <v/>
      </c>
      <c r="P476" s="2">
        <f>'12 - Device_Configuration'!BA477</f>
        <v>0</v>
      </c>
      <c r="Q476" s="30" t="str">
        <f t="shared" si="28"/>
        <v/>
      </c>
      <c r="R476" s="17" t="str">
        <f t="shared" si="29"/>
        <v>SW NOT INSTALLED</v>
      </c>
      <c r="S476" s="17" t="str">
        <f t="shared" si="30"/>
        <v/>
      </c>
      <c r="T476" s="17" t="str">
        <f t="shared" si="31"/>
        <v>SW NOT INSTALLED</v>
      </c>
    </row>
    <row r="477" spans="1:20">
      <c r="A477" s="30">
        <f>'12 - Device_Configuration'!H478</f>
        <v>0</v>
      </c>
      <c r="B477" s="30">
        <f>'12 - Device_Configuration'!S478</f>
        <v>0</v>
      </c>
      <c r="C477" s="30">
        <f>'12 - Device_Configuration'!T478</f>
        <v>0</v>
      </c>
      <c r="D477" s="17">
        <f>'12 - Device_Configuration'!AJ478</f>
        <v>0</v>
      </c>
      <c r="E477" s="17">
        <f>'12 - Device_Configuration'!J478</f>
        <v>0</v>
      </c>
      <c r="F477" s="30">
        <f>'12 - Device_Configuration'!K478</f>
        <v>0</v>
      </c>
      <c r="G477" s="17">
        <f>'12 - Device_Configuration'!L478</f>
        <v>0</v>
      </c>
      <c r="H477" s="17">
        <f>'13 - Config_Intake_View'!M477</f>
        <v>0</v>
      </c>
      <c r="I477" s="30">
        <f>IF('13 - Config_Intake_View'!Q477&lt;&gt;"",'13 - Config_Intake_View'!Q477,'12 - Device_Configuration'!BH478)</f>
        <v>0</v>
      </c>
      <c r="J477" s="17" t="str">
        <f>IF('13 - Config_Intake_View'!Q477&lt;&gt;"","PM Approved",IF('12 - Device_Configuration'!BH478&lt;&gt;"","Assumed",""))</f>
        <v/>
      </c>
      <c r="K477" s="30">
        <f>'12 - Device_Configuration'!BG478</f>
        <v>0</v>
      </c>
      <c r="L477" s="17">
        <f>'12 - Device_Configuration'!P478</f>
        <v>0</v>
      </c>
      <c r="M477" s="17">
        <f>'12 - Device_Configuration'!Q478</f>
        <v>0</v>
      </c>
      <c r="N477" s="17" t="str">
        <f>'12 - Device_Configuration'!BK478</f>
        <v/>
      </c>
      <c r="O477" s="30" t="str">
        <f>'12 - Device_Configuration'!BL478</f>
        <v/>
      </c>
      <c r="P477" s="2">
        <f>'12 - Device_Configuration'!BA478</f>
        <v>0</v>
      </c>
      <c r="Q477" s="30" t="str">
        <f t="shared" si="28"/>
        <v/>
      </c>
      <c r="R477" s="17" t="str">
        <f t="shared" si="29"/>
        <v>SW NOT INSTALLED</v>
      </c>
      <c r="S477" s="17" t="str">
        <f t="shared" si="30"/>
        <v/>
      </c>
      <c r="T477" s="17" t="str">
        <f t="shared" si="31"/>
        <v>SW NOT INSTALLED</v>
      </c>
    </row>
    <row r="478" spans="1:20">
      <c r="A478" s="30">
        <f>'12 - Device_Configuration'!H479</f>
        <v>0</v>
      </c>
      <c r="B478" s="30">
        <f>'12 - Device_Configuration'!S479</f>
        <v>0</v>
      </c>
      <c r="C478" s="30">
        <f>'12 - Device_Configuration'!T479</f>
        <v>0</v>
      </c>
      <c r="D478" s="17">
        <f>'12 - Device_Configuration'!AJ479</f>
        <v>0</v>
      </c>
      <c r="E478" s="17">
        <f>'12 - Device_Configuration'!J479</f>
        <v>0</v>
      </c>
      <c r="F478" s="30">
        <f>'12 - Device_Configuration'!K479</f>
        <v>0</v>
      </c>
      <c r="G478" s="17">
        <f>'12 - Device_Configuration'!L479</f>
        <v>0</v>
      </c>
      <c r="H478" s="17">
        <f>'13 - Config_Intake_View'!M478</f>
        <v>0</v>
      </c>
      <c r="I478" s="30">
        <f>IF('13 - Config_Intake_View'!Q478&lt;&gt;"",'13 - Config_Intake_View'!Q478,'12 - Device_Configuration'!BH479)</f>
        <v>0</v>
      </c>
      <c r="J478" s="17" t="str">
        <f>IF('13 - Config_Intake_View'!Q478&lt;&gt;"","PM Approved",IF('12 - Device_Configuration'!BH479&lt;&gt;"","Assumed",""))</f>
        <v/>
      </c>
      <c r="K478" s="30">
        <f>'12 - Device_Configuration'!BG479</f>
        <v>0</v>
      </c>
      <c r="L478" s="17">
        <f>'12 - Device_Configuration'!P479</f>
        <v>0</v>
      </c>
      <c r="M478" s="17">
        <f>'12 - Device_Configuration'!Q479</f>
        <v>0</v>
      </c>
      <c r="N478" s="17" t="str">
        <f>'12 - Device_Configuration'!BK479</f>
        <v/>
      </c>
      <c r="O478" s="30" t="str">
        <f>'12 - Device_Configuration'!BL479</f>
        <v/>
      </c>
      <c r="P478" s="2">
        <f>'12 - Device_Configuration'!BA479</f>
        <v>0</v>
      </c>
      <c r="Q478" s="30" t="str">
        <f t="shared" si="28"/>
        <v/>
      </c>
      <c r="R478" s="17" t="str">
        <f t="shared" si="29"/>
        <v>SW NOT INSTALLED</v>
      </c>
      <c r="S478" s="17" t="str">
        <f t="shared" si="30"/>
        <v/>
      </c>
      <c r="T478" s="17" t="str">
        <f t="shared" si="31"/>
        <v>SW NOT INSTALLED</v>
      </c>
    </row>
    <row r="479" spans="1:20">
      <c r="A479" s="30">
        <f>'12 - Device_Configuration'!H480</f>
        <v>0</v>
      </c>
      <c r="B479" s="30">
        <f>'12 - Device_Configuration'!S480</f>
        <v>0</v>
      </c>
      <c r="C479" s="30">
        <f>'12 - Device_Configuration'!T480</f>
        <v>0</v>
      </c>
      <c r="D479" s="17">
        <f>'12 - Device_Configuration'!AJ480</f>
        <v>0</v>
      </c>
      <c r="E479" s="17">
        <f>'12 - Device_Configuration'!J480</f>
        <v>0</v>
      </c>
      <c r="F479" s="30">
        <f>'12 - Device_Configuration'!K480</f>
        <v>0</v>
      </c>
      <c r="G479" s="17">
        <f>'12 - Device_Configuration'!L480</f>
        <v>0</v>
      </c>
      <c r="H479" s="17">
        <f>'13 - Config_Intake_View'!M479</f>
        <v>0</v>
      </c>
      <c r="I479" s="30">
        <f>IF('13 - Config_Intake_View'!Q479&lt;&gt;"",'13 - Config_Intake_View'!Q479,'12 - Device_Configuration'!BH480)</f>
        <v>0</v>
      </c>
      <c r="J479" s="17" t="str">
        <f>IF('13 - Config_Intake_View'!Q479&lt;&gt;"","PM Approved",IF('12 - Device_Configuration'!BH480&lt;&gt;"","Assumed",""))</f>
        <v/>
      </c>
      <c r="K479" s="30">
        <f>'12 - Device_Configuration'!BG480</f>
        <v>0</v>
      </c>
      <c r="L479" s="17">
        <f>'12 - Device_Configuration'!P480</f>
        <v>0</v>
      </c>
      <c r="M479" s="17">
        <f>'12 - Device_Configuration'!Q480</f>
        <v>0</v>
      </c>
      <c r="N479" s="17" t="str">
        <f>'12 - Device_Configuration'!BK480</f>
        <v/>
      </c>
      <c r="O479" s="30" t="str">
        <f>'12 - Device_Configuration'!BL480</f>
        <v/>
      </c>
      <c r="P479" s="2">
        <f>'12 - Device_Configuration'!BA480</f>
        <v>0</v>
      </c>
      <c r="Q479" s="30" t="str">
        <f t="shared" si="28"/>
        <v/>
      </c>
      <c r="R479" s="17" t="str">
        <f t="shared" si="29"/>
        <v>SW NOT INSTALLED</v>
      </c>
      <c r="S479" s="17" t="str">
        <f t="shared" si="30"/>
        <v/>
      </c>
      <c r="T479" s="17" t="str">
        <f t="shared" si="31"/>
        <v>SW NOT INSTALLED</v>
      </c>
    </row>
    <row r="480" spans="1:20">
      <c r="A480" s="30">
        <f>'12 - Device_Configuration'!H481</f>
        <v>0</v>
      </c>
      <c r="B480" s="30">
        <f>'12 - Device_Configuration'!S481</f>
        <v>0</v>
      </c>
      <c r="C480" s="30">
        <f>'12 - Device_Configuration'!T481</f>
        <v>0</v>
      </c>
      <c r="D480" s="17">
        <f>'12 - Device_Configuration'!AJ481</f>
        <v>0</v>
      </c>
      <c r="E480" s="17">
        <f>'12 - Device_Configuration'!J481</f>
        <v>0</v>
      </c>
      <c r="F480" s="30">
        <f>'12 - Device_Configuration'!K481</f>
        <v>0</v>
      </c>
      <c r="G480" s="17">
        <f>'12 - Device_Configuration'!L481</f>
        <v>0</v>
      </c>
      <c r="H480" s="17">
        <f>'13 - Config_Intake_View'!M480</f>
        <v>0</v>
      </c>
      <c r="I480" s="30">
        <f>IF('13 - Config_Intake_View'!Q480&lt;&gt;"",'13 - Config_Intake_View'!Q480,'12 - Device_Configuration'!BH481)</f>
        <v>0</v>
      </c>
      <c r="J480" s="17" t="str">
        <f>IF('13 - Config_Intake_View'!Q480&lt;&gt;"","PM Approved",IF('12 - Device_Configuration'!BH481&lt;&gt;"","Assumed",""))</f>
        <v/>
      </c>
      <c r="K480" s="30">
        <f>'12 - Device_Configuration'!BG481</f>
        <v>0</v>
      </c>
      <c r="L480" s="17">
        <f>'12 - Device_Configuration'!P481</f>
        <v>0</v>
      </c>
      <c r="M480" s="17">
        <f>'12 - Device_Configuration'!Q481</f>
        <v>0</v>
      </c>
      <c r="N480" s="17" t="str">
        <f>'12 - Device_Configuration'!BK481</f>
        <v/>
      </c>
      <c r="O480" s="30" t="str">
        <f>'12 - Device_Configuration'!BL481</f>
        <v/>
      </c>
      <c r="P480" s="2">
        <f>'12 - Device_Configuration'!BA481</f>
        <v>0</v>
      </c>
      <c r="Q480" s="30" t="str">
        <f t="shared" si="28"/>
        <v/>
      </c>
      <c r="R480" s="17" t="str">
        <f t="shared" si="29"/>
        <v>SW NOT INSTALLED</v>
      </c>
      <c r="S480" s="17" t="str">
        <f t="shared" si="30"/>
        <v/>
      </c>
      <c r="T480" s="17" t="str">
        <f t="shared" si="31"/>
        <v>SW NOT INSTALLED</v>
      </c>
    </row>
    <row r="481" spans="1:20">
      <c r="A481" s="30">
        <f>'12 - Device_Configuration'!H482</f>
        <v>0</v>
      </c>
      <c r="B481" s="30">
        <f>'12 - Device_Configuration'!S482</f>
        <v>0</v>
      </c>
      <c r="C481" s="30">
        <f>'12 - Device_Configuration'!T482</f>
        <v>0</v>
      </c>
      <c r="D481" s="17">
        <f>'12 - Device_Configuration'!AJ482</f>
        <v>0</v>
      </c>
      <c r="E481" s="17">
        <f>'12 - Device_Configuration'!J482</f>
        <v>0</v>
      </c>
      <c r="F481" s="30">
        <f>'12 - Device_Configuration'!K482</f>
        <v>0</v>
      </c>
      <c r="G481" s="17">
        <f>'12 - Device_Configuration'!L482</f>
        <v>0</v>
      </c>
      <c r="H481" s="17">
        <f>'13 - Config_Intake_View'!M481</f>
        <v>0</v>
      </c>
      <c r="I481" s="30">
        <f>IF('13 - Config_Intake_View'!Q481&lt;&gt;"",'13 - Config_Intake_View'!Q481,'12 - Device_Configuration'!BH482)</f>
        <v>0</v>
      </c>
      <c r="J481" s="17" t="str">
        <f>IF('13 - Config_Intake_View'!Q481&lt;&gt;"","PM Approved",IF('12 - Device_Configuration'!BH482&lt;&gt;"","Assumed",""))</f>
        <v/>
      </c>
      <c r="K481" s="30">
        <f>'12 - Device_Configuration'!BG482</f>
        <v>0</v>
      </c>
      <c r="L481" s="17">
        <f>'12 - Device_Configuration'!P482</f>
        <v>0</v>
      </c>
      <c r="M481" s="17">
        <f>'12 - Device_Configuration'!Q482</f>
        <v>0</v>
      </c>
      <c r="N481" s="17" t="str">
        <f>'12 - Device_Configuration'!BK482</f>
        <v/>
      </c>
      <c r="O481" s="30" t="str">
        <f>'12 - Device_Configuration'!BL482</f>
        <v/>
      </c>
      <c r="P481" s="2">
        <f>'12 - Device_Configuration'!BA482</f>
        <v>0</v>
      </c>
      <c r="Q481" s="30" t="str">
        <f t="shared" si="28"/>
        <v/>
      </c>
      <c r="R481" s="17" t="str">
        <f t="shared" si="29"/>
        <v>SW NOT INSTALLED</v>
      </c>
      <c r="S481" s="17" t="str">
        <f t="shared" si="30"/>
        <v/>
      </c>
      <c r="T481" s="17" t="str">
        <f t="shared" si="31"/>
        <v>SW NOT INSTALLED</v>
      </c>
    </row>
    <row r="482" spans="1:20">
      <c r="A482" s="30">
        <f>'12 - Device_Configuration'!H483</f>
        <v>0</v>
      </c>
      <c r="B482" s="30">
        <f>'12 - Device_Configuration'!S483</f>
        <v>0</v>
      </c>
      <c r="C482" s="30">
        <f>'12 - Device_Configuration'!T483</f>
        <v>0</v>
      </c>
      <c r="D482" s="17">
        <f>'12 - Device_Configuration'!AJ483</f>
        <v>0</v>
      </c>
      <c r="E482" s="17">
        <f>'12 - Device_Configuration'!J483</f>
        <v>0</v>
      </c>
      <c r="F482" s="30">
        <f>'12 - Device_Configuration'!K483</f>
        <v>0</v>
      </c>
      <c r="G482" s="17">
        <f>'12 - Device_Configuration'!L483</f>
        <v>0</v>
      </c>
      <c r="H482" s="17">
        <f>'13 - Config_Intake_View'!M482</f>
        <v>0</v>
      </c>
      <c r="I482" s="30">
        <f>IF('13 - Config_Intake_View'!Q482&lt;&gt;"",'13 - Config_Intake_View'!Q482,'12 - Device_Configuration'!BH483)</f>
        <v>0</v>
      </c>
      <c r="J482" s="17" t="str">
        <f>IF('13 - Config_Intake_View'!Q482&lt;&gt;"","PM Approved",IF('12 - Device_Configuration'!BH483&lt;&gt;"","Assumed",""))</f>
        <v/>
      </c>
      <c r="K482" s="30">
        <f>'12 - Device_Configuration'!BG483</f>
        <v>0</v>
      </c>
      <c r="L482" s="17">
        <f>'12 - Device_Configuration'!P483</f>
        <v>0</v>
      </c>
      <c r="M482" s="17">
        <f>'12 - Device_Configuration'!Q483</f>
        <v>0</v>
      </c>
      <c r="N482" s="17" t="str">
        <f>'12 - Device_Configuration'!BK483</f>
        <v/>
      </c>
      <c r="O482" s="30" t="str">
        <f>'12 - Device_Configuration'!BL483</f>
        <v/>
      </c>
      <c r="P482" s="2">
        <f>'12 - Device_Configuration'!BA483</f>
        <v>0</v>
      </c>
      <c r="Q482" s="30" t="str">
        <f t="shared" si="28"/>
        <v/>
      </c>
      <c r="R482" s="17" t="str">
        <f t="shared" si="29"/>
        <v>SW NOT INSTALLED</v>
      </c>
      <c r="S482" s="17" t="str">
        <f t="shared" si="30"/>
        <v/>
      </c>
      <c r="T482" s="17" t="str">
        <f t="shared" si="31"/>
        <v>SW NOT INSTALLED</v>
      </c>
    </row>
    <row r="483" spans="1:20">
      <c r="A483" s="30">
        <f>'12 - Device_Configuration'!H484</f>
        <v>0</v>
      </c>
      <c r="B483" s="30">
        <f>'12 - Device_Configuration'!S484</f>
        <v>0</v>
      </c>
      <c r="C483" s="30">
        <f>'12 - Device_Configuration'!T484</f>
        <v>0</v>
      </c>
      <c r="D483" s="17">
        <f>'12 - Device_Configuration'!AJ484</f>
        <v>0</v>
      </c>
      <c r="E483" s="17">
        <f>'12 - Device_Configuration'!J484</f>
        <v>0</v>
      </c>
      <c r="F483" s="30">
        <f>'12 - Device_Configuration'!K484</f>
        <v>0</v>
      </c>
      <c r="G483" s="17">
        <f>'12 - Device_Configuration'!L484</f>
        <v>0</v>
      </c>
      <c r="H483" s="17">
        <f>'13 - Config_Intake_View'!M483</f>
        <v>0</v>
      </c>
      <c r="I483" s="30">
        <f>IF('13 - Config_Intake_View'!Q483&lt;&gt;"",'13 - Config_Intake_View'!Q483,'12 - Device_Configuration'!BH484)</f>
        <v>0</v>
      </c>
      <c r="J483" s="17" t="str">
        <f>IF('13 - Config_Intake_View'!Q483&lt;&gt;"","PM Approved",IF('12 - Device_Configuration'!BH484&lt;&gt;"","Assumed",""))</f>
        <v/>
      </c>
      <c r="K483" s="30">
        <f>'12 - Device_Configuration'!BG484</f>
        <v>0</v>
      </c>
      <c r="L483" s="17">
        <f>'12 - Device_Configuration'!P484</f>
        <v>0</v>
      </c>
      <c r="M483" s="17">
        <f>'12 - Device_Configuration'!Q484</f>
        <v>0</v>
      </c>
      <c r="N483" s="17" t="str">
        <f>'12 - Device_Configuration'!BK484</f>
        <v/>
      </c>
      <c r="O483" s="30" t="str">
        <f>'12 - Device_Configuration'!BL484</f>
        <v/>
      </c>
      <c r="P483" s="2">
        <f>'12 - Device_Configuration'!BA484</f>
        <v>0</v>
      </c>
      <c r="Q483" s="30" t="str">
        <f t="shared" si="28"/>
        <v/>
      </c>
      <c r="R483" s="17" t="str">
        <f t="shared" si="29"/>
        <v>SW NOT INSTALLED</v>
      </c>
      <c r="S483" s="17" t="str">
        <f t="shared" si="30"/>
        <v/>
      </c>
      <c r="T483" s="17" t="str">
        <f t="shared" si="31"/>
        <v>SW NOT INSTALLED</v>
      </c>
    </row>
    <row r="484" spans="1:20">
      <c r="A484" s="30">
        <f>'12 - Device_Configuration'!H485</f>
        <v>0</v>
      </c>
      <c r="B484" s="30">
        <f>'12 - Device_Configuration'!S485</f>
        <v>0</v>
      </c>
      <c r="C484" s="30">
        <f>'12 - Device_Configuration'!T485</f>
        <v>0</v>
      </c>
      <c r="D484" s="17">
        <f>'12 - Device_Configuration'!AJ485</f>
        <v>0</v>
      </c>
      <c r="E484" s="17">
        <f>'12 - Device_Configuration'!J485</f>
        <v>0</v>
      </c>
      <c r="F484" s="30">
        <f>'12 - Device_Configuration'!K485</f>
        <v>0</v>
      </c>
      <c r="G484" s="17">
        <f>'12 - Device_Configuration'!L485</f>
        <v>0</v>
      </c>
      <c r="H484" s="17">
        <f>'13 - Config_Intake_View'!M484</f>
        <v>0</v>
      </c>
      <c r="I484" s="30">
        <f>IF('13 - Config_Intake_View'!Q484&lt;&gt;"",'13 - Config_Intake_View'!Q484,'12 - Device_Configuration'!BH485)</f>
        <v>0</v>
      </c>
      <c r="J484" s="17" t="str">
        <f>IF('13 - Config_Intake_View'!Q484&lt;&gt;"","PM Approved",IF('12 - Device_Configuration'!BH485&lt;&gt;"","Assumed",""))</f>
        <v/>
      </c>
      <c r="K484" s="30">
        <f>'12 - Device_Configuration'!BG485</f>
        <v>0</v>
      </c>
      <c r="L484" s="17">
        <f>'12 - Device_Configuration'!P485</f>
        <v>0</v>
      </c>
      <c r="M484" s="17">
        <f>'12 - Device_Configuration'!Q485</f>
        <v>0</v>
      </c>
      <c r="N484" s="17" t="str">
        <f>'12 - Device_Configuration'!BK485</f>
        <v/>
      </c>
      <c r="O484" s="30" t="str">
        <f>'12 - Device_Configuration'!BL485</f>
        <v/>
      </c>
      <c r="P484" s="2">
        <f>'12 - Device_Configuration'!BA485</f>
        <v>0</v>
      </c>
      <c r="Q484" s="30" t="str">
        <f t="shared" si="28"/>
        <v/>
      </c>
      <c r="R484" s="17" t="str">
        <f t="shared" si="29"/>
        <v>SW NOT INSTALLED</v>
      </c>
      <c r="S484" s="17" t="str">
        <f t="shared" si="30"/>
        <v/>
      </c>
      <c r="T484" s="17" t="str">
        <f t="shared" si="31"/>
        <v>SW NOT INSTALLED</v>
      </c>
    </row>
    <row r="485" spans="1:20">
      <c r="A485" s="30">
        <f>'12 - Device_Configuration'!H486</f>
        <v>0</v>
      </c>
      <c r="B485" s="30">
        <f>'12 - Device_Configuration'!S486</f>
        <v>0</v>
      </c>
      <c r="C485" s="30">
        <f>'12 - Device_Configuration'!T486</f>
        <v>0</v>
      </c>
      <c r="D485" s="17">
        <f>'12 - Device_Configuration'!AJ486</f>
        <v>0</v>
      </c>
      <c r="E485" s="17">
        <f>'12 - Device_Configuration'!J486</f>
        <v>0</v>
      </c>
      <c r="F485" s="30">
        <f>'12 - Device_Configuration'!K486</f>
        <v>0</v>
      </c>
      <c r="G485" s="17">
        <f>'12 - Device_Configuration'!L486</f>
        <v>0</v>
      </c>
      <c r="H485" s="17">
        <f>'13 - Config_Intake_View'!M485</f>
        <v>0</v>
      </c>
      <c r="I485" s="30">
        <f>IF('13 - Config_Intake_View'!Q485&lt;&gt;"",'13 - Config_Intake_View'!Q485,'12 - Device_Configuration'!BH486)</f>
        <v>0</v>
      </c>
      <c r="J485" s="17" t="str">
        <f>IF('13 - Config_Intake_View'!Q485&lt;&gt;"","PM Approved",IF('12 - Device_Configuration'!BH486&lt;&gt;"","Assumed",""))</f>
        <v/>
      </c>
      <c r="K485" s="30">
        <f>'12 - Device_Configuration'!BG486</f>
        <v>0</v>
      </c>
      <c r="L485" s="17">
        <f>'12 - Device_Configuration'!P486</f>
        <v>0</v>
      </c>
      <c r="M485" s="17">
        <f>'12 - Device_Configuration'!Q486</f>
        <v>0</v>
      </c>
      <c r="N485" s="17" t="str">
        <f>'12 - Device_Configuration'!BK486</f>
        <v/>
      </c>
      <c r="O485" s="30" t="str">
        <f>'12 - Device_Configuration'!BL486</f>
        <v/>
      </c>
      <c r="P485" s="2">
        <f>'12 - Device_Configuration'!BA486</f>
        <v>0</v>
      </c>
      <c r="Q485" s="30" t="str">
        <f t="shared" si="28"/>
        <v/>
      </c>
      <c r="R485" s="17" t="str">
        <f t="shared" si="29"/>
        <v>SW NOT INSTALLED</v>
      </c>
      <c r="S485" s="17" t="str">
        <f t="shared" si="30"/>
        <v/>
      </c>
      <c r="T485" s="17" t="str">
        <f t="shared" si="31"/>
        <v>SW NOT INSTALLED</v>
      </c>
    </row>
    <row r="486" spans="1:20">
      <c r="A486" s="30">
        <f>'12 - Device_Configuration'!H487</f>
        <v>0</v>
      </c>
      <c r="B486" s="30">
        <f>'12 - Device_Configuration'!S487</f>
        <v>0</v>
      </c>
      <c r="C486" s="30">
        <f>'12 - Device_Configuration'!T487</f>
        <v>0</v>
      </c>
      <c r="D486" s="17">
        <f>'12 - Device_Configuration'!AJ487</f>
        <v>0</v>
      </c>
      <c r="E486" s="17">
        <f>'12 - Device_Configuration'!J487</f>
        <v>0</v>
      </c>
      <c r="F486" s="30">
        <f>'12 - Device_Configuration'!K487</f>
        <v>0</v>
      </c>
      <c r="G486" s="17">
        <f>'12 - Device_Configuration'!L487</f>
        <v>0</v>
      </c>
      <c r="H486" s="17">
        <f>'13 - Config_Intake_View'!M486</f>
        <v>0</v>
      </c>
      <c r="I486" s="30">
        <f>IF('13 - Config_Intake_View'!Q486&lt;&gt;"",'13 - Config_Intake_View'!Q486,'12 - Device_Configuration'!BH487)</f>
        <v>0</v>
      </c>
      <c r="J486" s="17" t="str">
        <f>IF('13 - Config_Intake_View'!Q486&lt;&gt;"","PM Approved",IF('12 - Device_Configuration'!BH487&lt;&gt;"","Assumed",""))</f>
        <v/>
      </c>
      <c r="K486" s="30">
        <f>'12 - Device_Configuration'!BG487</f>
        <v>0</v>
      </c>
      <c r="L486" s="17">
        <f>'12 - Device_Configuration'!P487</f>
        <v>0</v>
      </c>
      <c r="M486" s="17">
        <f>'12 - Device_Configuration'!Q487</f>
        <v>0</v>
      </c>
      <c r="N486" s="17" t="str">
        <f>'12 - Device_Configuration'!BK487</f>
        <v/>
      </c>
      <c r="O486" s="30" t="str">
        <f>'12 - Device_Configuration'!BL487</f>
        <v/>
      </c>
      <c r="P486" s="2">
        <f>'12 - Device_Configuration'!BA487</f>
        <v>0</v>
      </c>
      <c r="Q486" s="30" t="str">
        <f t="shared" si="28"/>
        <v/>
      </c>
      <c r="R486" s="17" t="str">
        <f t="shared" si="29"/>
        <v>SW NOT INSTALLED</v>
      </c>
      <c r="S486" s="17" t="str">
        <f t="shared" si="30"/>
        <v/>
      </c>
      <c r="T486" s="17" t="str">
        <f t="shared" si="31"/>
        <v>SW NOT INSTALLED</v>
      </c>
    </row>
    <row r="487" spans="1:20">
      <c r="A487" s="30">
        <f>'12 - Device_Configuration'!H488</f>
        <v>0</v>
      </c>
      <c r="B487" s="30">
        <f>'12 - Device_Configuration'!S488</f>
        <v>0</v>
      </c>
      <c r="C487" s="30">
        <f>'12 - Device_Configuration'!T488</f>
        <v>0</v>
      </c>
      <c r="D487" s="17">
        <f>'12 - Device_Configuration'!AJ488</f>
        <v>0</v>
      </c>
      <c r="E487" s="17">
        <f>'12 - Device_Configuration'!J488</f>
        <v>0</v>
      </c>
      <c r="F487" s="30">
        <f>'12 - Device_Configuration'!K488</f>
        <v>0</v>
      </c>
      <c r="G487" s="17">
        <f>'12 - Device_Configuration'!L488</f>
        <v>0</v>
      </c>
      <c r="H487" s="17">
        <f>'13 - Config_Intake_View'!M487</f>
        <v>0</v>
      </c>
      <c r="I487" s="30">
        <f>IF('13 - Config_Intake_View'!Q487&lt;&gt;"",'13 - Config_Intake_View'!Q487,'12 - Device_Configuration'!BH488)</f>
        <v>0</v>
      </c>
      <c r="J487" s="17" t="str">
        <f>IF('13 - Config_Intake_View'!Q487&lt;&gt;"","PM Approved",IF('12 - Device_Configuration'!BH488&lt;&gt;"","Assumed",""))</f>
        <v/>
      </c>
      <c r="K487" s="30">
        <f>'12 - Device_Configuration'!BG488</f>
        <v>0</v>
      </c>
      <c r="L487" s="17">
        <f>'12 - Device_Configuration'!P488</f>
        <v>0</v>
      </c>
      <c r="M487" s="17">
        <f>'12 - Device_Configuration'!Q488</f>
        <v>0</v>
      </c>
      <c r="N487" s="17" t="str">
        <f>'12 - Device_Configuration'!BK488</f>
        <v/>
      </c>
      <c r="O487" s="30" t="str">
        <f>'12 - Device_Configuration'!BL488</f>
        <v/>
      </c>
      <c r="P487" s="2">
        <f>'12 - Device_Configuration'!BA488</f>
        <v>0</v>
      </c>
      <c r="Q487" s="30" t="str">
        <f t="shared" si="28"/>
        <v/>
      </c>
      <c r="R487" s="17" t="str">
        <f t="shared" si="29"/>
        <v>SW NOT INSTALLED</v>
      </c>
      <c r="S487" s="17" t="str">
        <f t="shared" si="30"/>
        <v/>
      </c>
      <c r="T487" s="17" t="str">
        <f t="shared" si="31"/>
        <v>SW NOT INSTALLED</v>
      </c>
    </row>
    <row r="488" spans="1:20">
      <c r="A488" s="30">
        <f>'12 - Device_Configuration'!H489</f>
        <v>0</v>
      </c>
      <c r="B488" s="30">
        <f>'12 - Device_Configuration'!S489</f>
        <v>0</v>
      </c>
      <c r="C488" s="30">
        <f>'12 - Device_Configuration'!T489</f>
        <v>0</v>
      </c>
      <c r="D488" s="17">
        <f>'12 - Device_Configuration'!AJ489</f>
        <v>0</v>
      </c>
      <c r="E488" s="17">
        <f>'12 - Device_Configuration'!J489</f>
        <v>0</v>
      </c>
      <c r="F488" s="30">
        <f>'12 - Device_Configuration'!K489</f>
        <v>0</v>
      </c>
      <c r="G488" s="17">
        <f>'12 - Device_Configuration'!L489</f>
        <v>0</v>
      </c>
      <c r="H488" s="17">
        <f>'13 - Config_Intake_View'!M488</f>
        <v>0</v>
      </c>
      <c r="I488" s="30">
        <f>IF('13 - Config_Intake_View'!Q488&lt;&gt;"",'13 - Config_Intake_View'!Q488,'12 - Device_Configuration'!BH489)</f>
        <v>0</v>
      </c>
      <c r="J488" s="17" t="str">
        <f>IF('13 - Config_Intake_View'!Q488&lt;&gt;"","PM Approved",IF('12 - Device_Configuration'!BH489&lt;&gt;"","Assumed",""))</f>
        <v/>
      </c>
      <c r="K488" s="30">
        <f>'12 - Device_Configuration'!BG489</f>
        <v>0</v>
      </c>
      <c r="L488" s="17">
        <f>'12 - Device_Configuration'!P489</f>
        <v>0</v>
      </c>
      <c r="M488" s="17">
        <f>'12 - Device_Configuration'!Q489</f>
        <v>0</v>
      </c>
      <c r="N488" s="17" t="str">
        <f>'12 - Device_Configuration'!BK489</f>
        <v/>
      </c>
      <c r="O488" s="30" t="str">
        <f>'12 - Device_Configuration'!BL489</f>
        <v/>
      </c>
      <c r="P488" s="2">
        <f>'12 - Device_Configuration'!BA489</f>
        <v>0</v>
      </c>
      <c r="Q488" s="30" t="str">
        <f t="shared" si="28"/>
        <v/>
      </c>
      <c r="R488" s="17" t="str">
        <f t="shared" si="29"/>
        <v>SW NOT INSTALLED</v>
      </c>
      <c r="S488" s="17" t="str">
        <f t="shared" si="30"/>
        <v/>
      </c>
      <c r="T488" s="17" t="str">
        <f t="shared" si="31"/>
        <v>SW NOT INSTALLED</v>
      </c>
    </row>
    <row r="489" spans="1:20">
      <c r="A489" s="30">
        <f>'12 - Device_Configuration'!H490</f>
        <v>0</v>
      </c>
      <c r="B489" s="30">
        <f>'12 - Device_Configuration'!S490</f>
        <v>0</v>
      </c>
      <c r="C489" s="30">
        <f>'12 - Device_Configuration'!T490</f>
        <v>0</v>
      </c>
      <c r="D489" s="17">
        <f>'12 - Device_Configuration'!AJ490</f>
        <v>0</v>
      </c>
      <c r="E489" s="17">
        <f>'12 - Device_Configuration'!J490</f>
        <v>0</v>
      </c>
      <c r="F489" s="30">
        <f>'12 - Device_Configuration'!K490</f>
        <v>0</v>
      </c>
      <c r="G489" s="17">
        <f>'12 - Device_Configuration'!L490</f>
        <v>0</v>
      </c>
      <c r="H489" s="17">
        <f>'13 - Config_Intake_View'!M489</f>
        <v>0</v>
      </c>
      <c r="I489" s="30">
        <f>IF('13 - Config_Intake_View'!Q489&lt;&gt;"",'13 - Config_Intake_View'!Q489,'12 - Device_Configuration'!BH490)</f>
        <v>0</v>
      </c>
      <c r="J489" s="17" t="str">
        <f>IF('13 - Config_Intake_View'!Q489&lt;&gt;"","PM Approved",IF('12 - Device_Configuration'!BH490&lt;&gt;"","Assumed",""))</f>
        <v/>
      </c>
      <c r="K489" s="30">
        <f>'12 - Device_Configuration'!BG490</f>
        <v>0</v>
      </c>
      <c r="L489" s="17">
        <f>'12 - Device_Configuration'!P490</f>
        <v>0</v>
      </c>
      <c r="M489" s="17">
        <f>'12 - Device_Configuration'!Q490</f>
        <v>0</v>
      </c>
      <c r="N489" s="17" t="str">
        <f>'12 - Device_Configuration'!BK490</f>
        <v/>
      </c>
      <c r="O489" s="30" t="str">
        <f>'12 - Device_Configuration'!BL490</f>
        <v/>
      </c>
      <c r="P489" s="2">
        <f>'12 - Device_Configuration'!BA490</f>
        <v>0</v>
      </c>
      <c r="Q489" s="30" t="str">
        <f t="shared" si="28"/>
        <v/>
      </c>
      <c r="R489" s="17" t="str">
        <f t="shared" si="29"/>
        <v>SW NOT INSTALLED</v>
      </c>
      <c r="S489" s="17" t="str">
        <f t="shared" si="30"/>
        <v/>
      </c>
      <c r="T489" s="17" t="str">
        <f t="shared" si="31"/>
        <v>SW NOT INSTALLED</v>
      </c>
    </row>
    <row r="490" spans="1:20">
      <c r="A490" s="30">
        <f>'12 - Device_Configuration'!H491</f>
        <v>0</v>
      </c>
      <c r="B490" s="30">
        <f>'12 - Device_Configuration'!S491</f>
        <v>0</v>
      </c>
      <c r="C490" s="30">
        <f>'12 - Device_Configuration'!T491</f>
        <v>0</v>
      </c>
      <c r="D490" s="17">
        <f>'12 - Device_Configuration'!AJ491</f>
        <v>0</v>
      </c>
      <c r="E490" s="17">
        <f>'12 - Device_Configuration'!J491</f>
        <v>0</v>
      </c>
      <c r="F490" s="30">
        <f>'12 - Device_Configuration'!K491</f>
        <v>0</v>
      </c>
      <c r="G490" s="17">
        <f>'12 - Device_Configuration'!L491</f>
        <v>0</v>
      </c>
      <c r="H490" s="17">
        <f>'13 - Config_Intake_View'!M490</f>
        <v>0</v>
      </c>
      <c r="I490" s="30">
        <f>IF('13 - Config_Intake_View'!Q490&lt;&gt;"",'13 - Config_Intake_View'!Q490,'12 - Device_Configuration'!BH491)</f>
        <v>0</v>
      </c>
      <c r="J490" s="17" t="str">
        <f>IF('13 - Config_Intake_View'!Q490&lt;&gt;"","PM Approved",IF('12 - Device_Configuration'!BH491&lt;&gt;"","Assumed",""))</f>
        <v/>
      </c>
      <c r="K490" s="30">
        <f>'12 - Device_Configuration'!BG491</f>
        <v>0</v>
      </c>
      <c r="L490" s="17">
        <f>'12 - Device_Configuration'!P491</f>
        <v>0</v>
      </c>
      <c r="M490" s="17">
        <f>'12 - Device_Configuration'!Q491</f>
        <v>0</v>
      </c>
      <c r="N490" s="17" t="str">
        <f>'12 - Device_Configuration'!BK491</f>
        <v/>
      </c>
      <c r="O490" s="30" t="str">
        <f>'12 - Device_Configuration'!BL491</f>
        <v/>
      </c>
      <c r="P490" s="2">
        <f>'12 - Device_Configuration'!BA491</f>
        <v>0</v>
      </c>
      <c r="Q490" s="30" t="str">
        <f t="shared" si="28"/>
        <v/>
      </c>
      <c r="R490" s="17" t="str">
        <f t="shared" si="29"/>
        <v>SW NOT INSTALLED</v>
      </c>
      <c r="S490" s="17" t="str">
        <f t="shared" si="30"/>
        <v/>
      </c>
      <c r="T490" s="17" t="str">
        <f t="shared" si="31"/>
        <v>SW NOT INSTALLED</v>
      </c>
    </row>
    <row r="491" spans="1:20">
      <c r="A491" s="30">
        <f>'12 - Device_Configuration'!H492</f>
        <v>0</v>
      </c>
      <c r="B491" s="30">
        <f>'12 - Device_Configuration'!S492</f>
        <v>0</v>
      </c>
      <c r="C491" s="30">
        <f>'12 - Device_Configuration'!T492</f>
        <v>0</v>
      </c>
      <c r="D491" s="17">
        <f>'12 - Device_Configuration'!AJ492</f>
        <v>0</v>
      </c>
      <c r="E491" s="17">
        <f>'12 - Device_Configuration'!J492</f>
        <v>0</v>
      </c>
      <c r="F491" s="30">
        <f>'12 - Device_Configuration'!K492</f>
        <v>0</v>
      </c>
      <c r="G491" s="17">
        <f>'12 - Device_Configuration'!L492</f>
        <v>0</v>
      </c>
      <c r="H491" s="17">
        <f>'13 - Config_Intake_View'!M491</f>
        <v>0</v>
      </c>
      <c r="I491" s="30">
        <f>IF('13 - Config_Intake_View'!Q491&lt;&gt;"",'13 - Config_Intake_View'!Q491,'12 - Device_Configuration'!BH492)</f>
        <v>0</v>
      </c>
      <c r="J491" s="17" t="str">
        <f>IF('13 - Config_Intake_View'!Q491&lt;&gt;"","PM Approved",IF('12 - Device_Configuration'!BH492&lt;&gt;"","Assumed",""))</f>
        <v/>
      </c>
      <c r="K491" s="30">
        <f>'12 - Device_Configuration'!BG492</f>
        <v>0</v>
      </c>
      <c r="L491" s="17">
        <f>'12 - Device_Configuration'!P492</f>
        <v>0</v>
      </c>
      <c r="M491" s="17">
        <f>'12 - Device_Configuration'!Q492</f>
        <v>0</v>
      </c>
      <c r="N491" s="17" t="str">
        <f>'12 - Device_Configuration'!BK492</f>
        <v/>
      </c>
      <c r="O491" s="30" t="str">
        <f>'12 - Device_Configuration'!BL492</f>
        <v/>
      </c>
      <c r="P491" s="2">
        <f>'12 - Device_Configuration'!BA492</f>
        <v>0</v>
      </c>
      <c r="Q491" s="30" t="str">
        <f t="shared" si="28"/>
        <v/>
      </c>
      <c r="R491" s="17" t="str">
        <f t="shared" si="29"/>
        <v>SW NOT INSTALLED</v>
      </c>
      <c r="S491" s="17" t="str">
        <f t="shared" si="30"/>
        <v/>
      </c>
      <c r="T491" s="17" t="str">
        <f t="shared" si="31"/>
        <v>SW NOT INSTALLED</v>
      </c>
    </row>
    <row r="492" spans="1:20">
      <c r="A492" s="30">
        <f>'12 - Device_Configuration'!H493</f>
        <v>0</v>
      </c>
      <c r="B492" s="30">
        <f>'12 - Device_Configuration'!S493</f>
        <v>0</v>
      </c>
      <c r="C492" s="30">
        <f>'12 - Device_Configuration'!T493</f>
        <v>0</v>
      </c>
      <c r="D492" s="17">
        <f>'12 - Device_Configuration'!AJ493</f>
        <v>0</v>
      </c>
      <c r="E492" s="17">
        <f>'12 - Device_Configuration'!J493</f>
        <v>0</v>
      </c>
      <c r="F492" s="30">
        <f>'12 - Device_Configuration'!K493</f>
        <v>0</v>
      </c>
      <c r="G492" s="17">
        <f>'12 - Device_Configuration'!L493</f>
        <v>0</v>
      </c>
      <c r="H492" s="17">
        <f>'13 - Config_Intake_View'!M492</f>
        <v>0</v>
      </c>
      <c r="I492" s="30">
        <f>IF('13 - Config_Intake_View'!Q492&lt;&gt;"",'13 - Config_Intake_View'!Q492,'12 - Device_Configuration'!BH493)</f>
        <v>0</v>
      </c>
      <c r="J492" s="17" t="str">
        <f>IF('13 - Config_Intake_View'!Q492&lt;&gt;"","PM Approved",IF('12 - Device_Configuration'!BH493&lt;&gt;"","Assumed",""))</f>
        <v/>
      </c>
      <c r="K492" s="30">
        <f>'12 - Device_Configuration'!BG493</f>
        <v>0</v>
      </c>
      <c r="L492" s="17">
        <f>'12 - Device_Configuration'!P493</f>
        <v>0</v>
      </c>
      <c r="M492" s="17">
        <f>'12 - Device_Configuration'!Q493</f>
        <v>0</v>
      </c>
      <c r="N492" s="17" t="str">
        <f>'12 - Device_Configuration'!BK493</f>
        <v/>
      </c>
      <c r="O492" s="30" t="str">
        <f>'12 - Device_Configuration'!BL493</f>
        <v/>
      </c>
      <c r="P492" s="2">
        <f>'12 - Device_Configuration'!BA493</f>
        <v>0</v>
      </c>
      <c r="Q492" s="30" t="str">
        <f t="shared" si="28"/>
        <v/>
      </c>
      <c r="R492" s="17" t="str">
        <f t="shared" si="29"/>
        <v>SW NOT INSTALLED</v>
      </c>
      <c r="S492" s="17" t="str">
        <f t="shared" si="30"/>
        <v/>
      </c>
      <c r="T492" s="17" t="str">
        <f t="shared" si="31"/>
        <v>SW NOT INSTALLED</v>
      </c>
    </row>
    <row r="493" spans="1:20">
      <c r="A493" s="30">
        <f>'12 - Device_Configuration'!H494</f>
        <v>0</v>
      </c>
      <c r="B493" s="30">
        <f>'12 - Device_Configuration'!S494</f>
        <v>0</v>
      </c>
      <c r="C493" s="30">
        <f>'12 - Device_Configuration'!T494</f>
        <v>0</v>
      </c>
      <c r="D493" s="17">
        <f>'12 - Device_Configuration'!AJ494</f>
        <v>0</v>
      </c>
      <c r="E493" s="17">
        <f>'12 - Device_Configuration'!J494</f>
        <v>0</v>
      </c>
      <c r="F493" s="30">
        <f>'12 - Device_Configuration'!K494</f>
        <v>0</v>
      </c>
      <c r="G493" s="17">
        <f>'12 - Device_Configuration'!L494</f>
        <v>0</v>
      </c>
      <c r="H493" s="17">
        <f>'13 - Config_Intake_View'!M493</f>
        <v>0</v>
      </c>
      <c r="I493" s="30">
        <f>IF('13 - Config_Intake_View'!Q493&lt;&gt;"",'13 - Config_Intake_View'!Q493,'12 - Device_Configuration'!BH494)</f>
        <v>0</v>
      </c>
      <c r="J493" s="17" t="str">
        <f>IF('13 - Config_Intake_View'!Q493&lt;&gt;"","PM Approved",IF('12 - Device_Configuration'!BH494&lt;&gt;"","Assumed",""))</f>
        <v/>
      </c>
      <c r="K493" s="30">
        <f>'12 - Device_Configuration'!BG494</f>
        <v>0</v>
      </c>
      <c r="L493" s="17">
        <f>'12 - Device_Configuration'!P494</f>
        <v>0</v>
      </c>
      <c r="M493" s="17">
        <f>'12 - Device_Configuration'!Q494</f>
        <v>0</v>
      </c>
      <c r="N493" s="17" t="str">
        <f>'12 - Device_Configuration'!BK494</f>
        <v/>
      </c>
      <c r="O493" s="30" t="str">
        <f>'12 - Device_Configuration'!BL494</f>
        <v/>
      </c>
      <c r="P493" s="2">
        <f>'12 - Device_Configuration'!BA494</f>
        <v>0</v>
      </c>
      <c r="Q493" s="30" t="str">
        <f t="shared" si="28"/>
        <v/>
      </c>
      <c r="R493" s="17" t="str">
        <f t="shared" si="29"/>
        <v>SW NOT INSTALLED</v>
      </c>
      <c r="S493" s="17" t="str">
        <f t="shared" si="30"/>
        <v/>
      </c>
      <c r="T493" s="17" t="str">
        <f t="shared" si="31"/>
        <v>SW NOT INSTALLED</v>
      </c>
    </row>
    <row r="494" spans="1:20">
      <c r="A494" s="30">
        <f>'12 - Device_Configuration'!H495</f>
        <v>0</v>
      </c>
      <c r="B494" s="30">
        <f>'12 - Device_Configuration'!S495</f>
        <v>0</v>
      </c>
      <c r="C494" s="30">
        <f>'12 - Device_Configuration'!T495</f>
        <v>0</v>
      </c>
      <c r="D494" s="17">
        <f>'12 - Device_Configuration'!AJ495</f>
        <v>0</v>
      </c>
      <c r="E494" s="17">
        <f>'12 - Device_Configuration'!J495</f>
        <v>0</v>
      </c>
      <c r="F494" s="30">
        <f>'12 - Device_Configuration'!K495</f>
        <v>0</v>
      </c>
      <c r="G494" s="17">
        <f>'12 - Device_Configuration'!L495</f>
        <v>0</v>
      </c>
      <c r="H494" s="17">
        <f>'13 - Config_Intake_View'!M494</f>
        <v>0</v>
      </c>
      <c r="I494" s="30">
        <f>IF('13 - Config_Intake_View'!Q494&lt;&gt;"",'13 - Config_Intake_View'!Q494,'12 - Device_Configuration'!BH495)</f>
        <v>0</v>
      </c>
      <c r="J494" s="17" t="str">
        <f>IF('13 - Config_Intake_View'!Q494&lt;&gt;"","PM Approved",IF('12 - Device_Configuration'!BH495&lt;&gt;"","Assumed",""))</f>
        <v/>
      </c>
      <c r="K494" s="30">
        <f>'12 - Device_Configuration'!BG495</f>
        <v>0</v>
      </c>
      <c r="L494" s="17">
        <f>'12 - Device_Configuration'!P495</f>
        <v>0</v>
      </c>
      <c r="M494" s="17">
        <f>'12 - Device_Configuration'!Q495</f>
        <v>0</v>
      </c>
      <c r="N494" s="17" t="str">
        <f>'12 - Device_Configuration'!BK495</f>
        <v/>
      </c>
      <c r="O494" s="30" t="str">
        <f>'12 - Device_Configuration'!BL495</f>
        <v/>
      </c>
      <c r="P494" s="2">
        <f>'12 - Device_Configuration'!BA495</f>
        <v>0</v>
      </c>
      <c r="Q494" s="30" t="str">
        <f t="shared" si="28"/>
        <v/>
      </c>
      <c r="R494" s="17" t="str">
        <f t="shared" si="29"/>
        <v>SW NOT INSTALLED</v>
      </c>
      <c r="S494" s="17" t="str">
        <f t="shared" si="30"/>
        <v/>
      </c>
      <c r="T494" s="17" t="str">
        <f t="shared" si="31"/>
        <v>SW NOT INSTALLED</v>
      </c>
    </row>
    <row r="495" spans="1:20">
      <c r="A495" s="30">
        <f>'12 - Device_Configuration'!H496</f>
        <v>0</v>
      </c>
      <c r="B495" s="30">
        <f>'12 - Device_Configuration'!S496</f>
        <v>0</v>
      </c>
      <c r="C495" s="30">
        <f>'12 - Device_Configuration'!T496</f>
        <v>0</v>
      </c>
      <c r="D495" s="17">
        <f>'12 - Device_Configuration'!AJ496</f>
        <v>0</v>
      </c>
      <c r="E495" s="17">
        <f>'12 - Device_Configuration'!J496</f>
        <v>0</v>
      </c>
      <c r="F495" s="30">
        <f>'12 - Device_Configuration'!K496</f>
        <v>0</v>
      </c>
      <c r="G495" s="17">
        <f>'12 - Device_Configuration'!L496</f>
        <v>0</v>
      </c>
      <c r="H495" s="17">
        <f>'13 - Config_Intake_View'!M495</f>
        <v>0</v>
      </c>
      <c r="I495" s="30">
        <f>IF('13 - Config_Intake_View'!Q495&lt;&gt;"",'13 - Config_Intake_View'!Q495,'12 - Device_Configuration'!BH496)</f>
        <v>0</v>
      </c>
      <c r="J495" s="17" t="str">
        <f>IF('13 - Config_Intake_View'!Q495&lt;&gt;"","PM Approved",IF('12 - Device_Configuration'!BH496&lt;&gt;"","Assumed",""))</f>
        <v/>
      </c>
      <c r="K495" s="30">
        <f>'12 - Device_Configuration'!BG496</f>
        <v>0</v>
      </c>
      <c r="L495" s="17">
        <f>'12 - Device_Configuration'!P496</f>
        <v>0</v>
      </c>
      <c r="M495" s="17">
        <f>'12 - Device_Configuration'!Q496</f>
        <v>0</v>
      </c>
      <c r="N495" s="17" t="str">
        <f>'12 - Device_Configuration'!BK496</f>
        <v/>
      </c>
      <c r="O495" s="30" t="str">
        <f>'12 - Device_Configuration'!BL496</f>
        <v/>
      </c>
      <c r="P495" s="2">
        <f>'12 - Device_Configuration'!BA496</f>
        <v>0</v>
      </c>
      <c r="Q495" s="30" t="str">
        <f t="shared" si="28"/>
        <v/>
      </c>
      <c r="R495" s="17" t="str">
        <f t="shared" si="29"/>
        <v>SW NOT INSTALLED</v>
      </c>
      <c r="S495" s="17" t="str">
        <f t="shared" si="30"/>
        <v/>
      </c>
      <c r="T495" s="17" t="str">
        <f t="shared" si="31"/>
        <v>SW NOT INSTALLED</v>
      </c>
    </row>
    <row r="496" spans="1:20">
      <c r="A496" s="30">
        <f>'12 - Device_Configuration'!H497</f>
        <v>0</v>
      </c>
      <c r="B496" s="30">
        <f>'12 - Device_Configuration'!S497</f>
        <v>0</v>
      </c>
      <c r="C496" s="30">
        <f>'12 - Device_Configuration'!T497</f>
        <v>0</v>
      </c>
      <c r="D496" s="17">
        <f>'12 - Device_Configuration'!AJ497</f>
        <v>0</v>
      </c>
      <c r="E496" s="17">
        <f>'12 - Device_Configuration'!J497</f>
        <v>0</v>
      </c>
      <c r="F496" s="30">
        <f>'12 - Device_Configuration'!K497</f>
        <v>0</v>
      </c>
      <c r="G496" s="17">
        <f>'12 - Device_Configuration'!L497</f>
        <v>0</v>
      </c>
      <c r="H496" s="17">
        <f>'13 - Config_Intake_View'!M496</f>
        <v>0</v>
      </c>
      <c r="I496" s="30">
        <f>IF('13 - Config_Intake_View'!Q496&lt;&gt;"",'13 - Config_Intake_View'!Q496,'12 - Device_Configuration'!BH497)</f>
        <v>0</v>
      </c>
      <c r="J496" s="17" t="str">
        <f>IF('13 - Config_Intake_View'!Q496&lt;&gt;"","PM Approved",IF('12 - Device_Configuration'!BH497&lt;&gt;"","Assumed",""))</f>
        <v/>
      </c>
      <c r="K496" s="30">
        <f>'12 - Device_Configuration'!BG497</f>
        <v>0</v>
      </c>
      <c r="L496" s="17">
        <f>'12 - Device_Configuration'!P497</f>
        <v>0</v>
      </c>
      <c r="M496" s="17">
        <f>'12 - Device_Configuration'!Q497</f>
        <v>0</v>
      </c>
      <c r="N496" s="17" t="str">
        <f>'12 - Device_Configuration'!BK497</f>
        <v/>
      </c>
      <c r="O496" s="30" t="str">
        <f>'12 - Device_Configuration'!BL497</f>
        <v/>
      </c>
      <c r="P496" s="2">
        <f>'12 - Device_Configuration'!BA497</f>
        <v>0</v>
      </c>
      <c r="Q496" s="30" t="str">
        <f t="shared" si="28"/>
        <v/>
      </c>
      <c r="R496" s="17" t="str">
        <f t="shared" si="29"/>
        <v>SW NOT INSTALLED</v>
      </c>
      <c r="S496" s="17" t="str">
        <f t="shared" si="30"/>
        <v/>
      </c>
      <c r="T496" s="17" t="str">
        <f t="shared" si="31"/>
        <v>SW NOT INSTALLED</v>
      </c>
    </row>
    <row r="497" spans="1:20">
      <c r="A497" s="30">
        <f>'12 - Device_Configuration'!H498</f>
        <v>0</v>
      </c>
      <c r="B497" s="30">
        <f>'12 - Device_Configuration'!S498</f>
        <v>0</v>
      </c>
      <c r="C497" s="30">
        <f>'12 - Device_Configuration'!T498</f>
        <v>0</v>
      </c>
      <c r="D497" s="17">
        <f>'12 - Device_Configuration'!AJ498</f>
        <v>0</v>
      </c>
      <c r="E497" s="17">
        <f>'12 - Device_Configuration'!J498</f>
        <v>0</v>
      </c>
      <c r="F497" s="30">
        <f>'12 - Device_Configuration'!K498</f>
        <v>0</v>
      </c>
      <c r="G497" s="17">
        <f>'12 - Device_Configuration'!L498</f>
        <v>0</v>
      </c>
      <c r="H497" s="17">
        <f>'13 - Config_Intake_View'!M497</f>
        <v>0</v>
      </c>
      <c r="I497" s="30">
        <f>IF('13 - Config_Intake_View'!Q497&lt;&gt;"",'13 - Config_Intake_View'!Q497,'12 - Device_Configuration'!BH498)</f>
        <v>0</v>
      </c>
      <c r="J497" s="17" t="str">
        <f>IF('13 - Config_Intake_View'!Q497&lt;&gt;"","PM Approved",IF('12 - Device_Configuration'!BH498&lt;&gt;"","Assumed",""))</f>
        <v/>
      </c>
      <c r="K497" s="30">
        <f>'12 - Device_Configuration'!BG498</f>
        <v>0</v>
      </c>
      <c r="L497" s="17">
        <f>'12 - Device_Configuration'!P498</f>
        <v>0</v>
      </c>
      <c r="M497" s="17">
        <f>'12 - Device_Configuration'!Q498</f>
        <v>0</v>
      </c>
      <c r="N497" s="17" t="str">
        <f>'12 - Device_Configuration'!BK498</f>
        <v/>
      </c>
      <c r="O497" s="30" t="str">
        <f>'12 - Device_Configuration'!BL498</f>
        <v/>
      </c>
      <c r="P497" s="2">
        <f>'12 - Device_Configuration'!BA498</f>
        <v>0</v>
      </c>
      <c r="Q497" s="30" t="str">
        <f t="shared" si="28"/>
        <v/>
      </c>
      <c r="R497" s="17" t="str">
        <f t="shared" si="29"/>
        <v>SW NOT INSTALLED</v>
      </c>
      <c r="S497" s="17" t="str">
        <f t="shared" si="30"/>
        <v/>
      </c>
      <c r="T497" s="17" t="str">
        <f t="shared" si="31"/>
        <v>SW NOT INSTALLED</v>
      </c>
    </row>
    <row r="498" spans="1:20">
      <c r="A498" s="30">
        <f>'12 - Device_Configuration'!H499</f>
        <v>0</v>
      </c>
      <c r="B498" s="30">
        <f>'12 - Device_Configuration'!S499</f>
        <v>0</v>
      </c>
      <c r="C498" s="30">
        <f>'12 - Device_Configuration'!T499</f>
        <v>0</v>
      </c>
      <c r="D498" s="17">
        <f>'12 - Device_Configuration'!AJ499</f>
        <v>0</v>
      </c>
      <c r="E498" s="17">
        <f>'12 - Device_Configuration'!J499</f>
        <v>0</v>
      </c>
      <c r="F498" s="30">
        <f>'12 - Device_Configuration'!K499</f>
        <v>0</v>
      </c>
      <c r="G498" s="17">
        <f>'12 - Device_Configuration'!L499</f>
        <v>0</v>
      </c>
      <c r="H498" s="17">
        <f>'13 - Config_Intake_View'!M498</f>
        <v>0</v>
      </c>
      <c r="I498" s="30">
        <f>IF('13 - Config_Intake_View'!Q498&lt;&gt;"",'13 - Config_Intake_View'!Q498,'12 - Device_Configuration'!BH499)</f>
        <v>0</v>
      </c>
      <c r="J498" s="17" t="str">
        <f>IF('13 - Config_Intake_View'!Q498&lt;&gt;"","PM Approved",IF('12 - Device_Configuration'!BH499&lt;&gt;"","Assumed",""))</f>
        <v/>
      </c>
      <c r="K498" s="30">
        <f>'12 - Device_Configuration'!BG499</f>
        <v>0</v>
      </c>
      <c r="L498" s="17">
        <f>'12 - Device_Configuration'!P499</f>
        <v>0</v>
      </c>
      <c r="M498" s="17">
        <f>'12 - Device_Configuration'!Q499</f>
        <v>0</v>
      </c>
      <c r="N498" s="17" t="str">
        <f>'12 - Device_Configuration'!BK499</f>
        <v/>
      </c>
      <c r="O498" s="30" t="str">
        <f>'12 - Device_Configuration'!BL499</f>
        <v/>
      </c>
      <c r="P498" s="2">
        <f>'12 - Device_Configuration'!BA499</f>
        <v>0</v>
      </c>
      <c r="Q498" s="30" t="str">
        <f t="shared" si="28"/>
        <v/>
      </c>
      <c r="R498" s="17" t="str">
        <f t="shared" si="29"/>
        <v>SW NOT INSTALLED</v>
      </c>
      <c r="S498" s="17" t="str">
        <f t="shared" si="30"/>
        <v/>
      </c>
      <c r="T498" s="17" t="str">
        <f t="shared" si="31"/>
        <v>SW NOT INSTALLED</v>
      </c>
    </row>
    <row r="499" spans="1:20">
      <c r="A499" s="30">
        <f>'12 - Device_Configuration'!H500</f>
        <v>0</v>
      </c>
      <c r="B499" s="30">
        <f>'12 - Device_Configuration'!S500</f>
        <v>0</v>
      </c>
      <c r="C499" s="30">
        <f>'12 - Device_Configuration'!T500</f>
        <v>0</v>
      </c>
      <c r="D499" s="17">
        <f>'12 - Device_Configuration'!AJ500</f>
        <v>0</v>
      </c>
      <c r="E499" s="17">
        <f>'12 - Device_Configuration'!J500</f>
        <v>0</v>
      </c>
      <c r="F499" s="30">
        <f>'12 - Device_Configuration'!K500</f>
        <v>0</v>
      </c>
      <c r="G499" s="17">
        <f>'12 - Device_Configuration'!L500</f>
        <v>0</v>
      </c>
      <c r="H499" s="17">
        <f>'13 - Config_Intake_View'!M499</f>
        <v>0</v>
      </c>
      <c r="I499" s="30">
        <f>IF('13 - Config_Intake_View'!Q499&lt;&gt;"",'13 - Config_Intake_View'!Q499,'12 - Device_Configuration'!BH500)</f>
        <v>0</v>
      </c>
      <c r="J499" s="17" t="str">
        <f>IF('13 - Config_Intake_View'!Q499&lt;&gt;"","PM Approved",IF('12 - Device_Configuration'!BH500&lt;&gt;"","Assumed",""))</f>
        <v/>
      </c>
      <c r="K499" s="30">
        <f>'12 - Device_Configuration'!BG500</f>
        <v>0</v>
      </c>
      <c r="L499" s="17">
        <f>'12 - Device_Configuration'!P500</f>
        <v>0</v>
      </c>
      <c r="M499" s="17">
        <f>'12 - Device_Configuration'!Q500</f>
        <v>0</v>
      </c>
      <c r="N499" s="17" t="str">
        <f>'12 - Device_Configuration'!BK500</f>
        <v/>
      </c>
      <c r="O499" s="30" t="str">
        <f>'12 - Device_Configuration'!BL500</f>
        <v/>
      </c>
      <c r="P499" s="2">
        <f>'12 - Device_Configuration'!BA500</f>
        <v>0</v>
      </c>
      <c r="Q499" s="30" t="str">
        <f t="shared" si="28"/>
        <v/>
      </c>
      <c r="R499" s="17" t="str">
        <f t="shared" si="29"/>
        <v>SW NOT INSTALLED</v>
      </c>
      <c r="S499" s="17" t="str">
        <f t="shared" si="30"/>
        <v/>
      </c>
      <c r="T499" s="17" t="str">
        <f t="shared" si="31"/>
        <v>SW NOT INSTALLED</v>
      </c>
    </row>
    <row r="500" spans="1:20">
      <c r="A500" s="30">
        <f>'12 - Device_Configuration'!H501</f>
        <v>0</v>
      </c>
      <c r="B500" s="30">
        <f>'12 - Device_Configuration'!S501</f>
        <v>0</v>
      </c>
      <c r="C500" s="30">
        <f>'12 - Device_Configuration'!T501</f>
        <v>0</v>
      </c>
      <c r="D500" s="17">
        <f>'12 - Device_Configuration'!AJ501</f>
        <v>0</v>
      </c>
      <c r="E500" s="17">
        <f>'12 - Device_Configuration'!J501</f>
        <v>0</v>
      </c>
      <c r="F500" s="30">
        <f>'12 - Device_Configuration'!K501</f>
        <v>0</v>
      </c>
      <c r="G500" s="17">
        <f>'12 - Device_Configuration'!L501</f>
        <v>0</v>
      </c>
      <c r="H500" s="17">
        <f>'13 - Config_Intake_View'!M500</f>
        <v>0</v>
      </c>
      <c r="I500" s="30">
        <f>IF('13 - Config_Intake_View'!Q500&lt;&gt;"",'13 - Config_Intake_View'!Q500,'12 - Device_Configuration'!BH501)</f>
        <v>0</v>
      </c>
      <c r="J500" s="17" t="str">
        <f>IF('13 - Config_Intake_View'!Q500&lt;&gt;"","PM Approved",IF('12 - Device_Configuration'!BH501&lt;&gt;"","Assumed",""))</f>
        <v/>
      </c>
      <c r="K500" s="30">
        <f>'12 - Device_Configuration'!BG501</f>
        <v>0</v>
      </c>
      <c r="L500" s="17">
        <f>'12 - Device_Configuration'!P501</f>
        <v>0</v>
      </c>
      <c r="M500" s="17">
        <f>'12 - Device_Configuration'!Q501</f>
        <v>0</v>
      </c>
      <c r="N500" s="17" t="str">
        <f>'12 - Device_Configuration'!BK501</f>
        <v/>
      </c>
      <c r="O500" s="30" t="str">
        <f>'12 - Device_Configuration'!BL501</f>
        <v/>
      </c>
      <c r="P500" s="2">
        <f>'12 - Device_Configuration'!BA501</f>
        <v>0</v>
      </c>
      <c r="Q500" s="30" t="str">
        <f t="shared" si="28"/>
        <v/>
      </c>
      <c r="R500" s="17" t="str">
        <f t="shared" si="29"/>
        <v>SW NOT INSTALLED</v>
      </c>
      <c r="S500" s="17" t="str">
        <f t="shared" si="30"/>
        <v/>
      </c>
      <c r="T500" s="17" t="str">
        <f t="shared" si="31"/>
        <v>SW NOT INSTALLED</v>
      </c>
    </row>
    <row r="501" spans="1:20">
      <c r="A501" s="30">
        <f>'12 - Device_Configuration'!H502</f>
        <v>0</v>
      </c>
      <c r="B501" s="30">
        <f>'12 - Device_Configuration'!S502</f>
        <v>0</v>
      </c>
      <c r="C501" s="30">
        <f>'12 - Device_Configuration'!T502</f>
        <v>0</v>
      </c>
      <c r="D501" s="17">
        <f>'12 - Device_Configuration'!AJ502</f>
        <v>0</v>
      </c>
      <c r="E501" s="17">
        <f>'12 - Device_Configuration'!J502</f>
        <v>0</v>
      </c>
      <c r="F501" s="30">
        <f>'12 - Device_Configuration'!K502</f>
        <v>0</v>
      </c>
      <c r="G501" s="17">
        <f>'12 - Device_Configuration'!L502</f>
        <v>0</v>
      </c>
      <c r="H501" s="17">
        <f>'13 - Config_Intake_View'!M501</f>
        <v>0</v>
      </c>
      <c r="I501" s="30">
        <f>IF('13 - Config_Intake_View'!Q501&lt;&gt;"",'13 - Config_Intake_View'!Q501,'12 - Device_Configuration'!BH502)</f>
        <v>0</v>
      </c>
      <c r="J501" s="17" t="str">
        <f>IF('13 - Config_Intake_View'!Q501&lt;&gt;"","PM Approved",IF('12 - Device_Configuration'!BH502&lt;&gt;"","Assumed",""))</f>
        <v/>
      </c>
      <c r="K501" s="30">
        <f>'12 - Device_Configuration'!BG502</f>
        <v>0</v>
      </c>
      <c r="L501" s="17">
        <f>'12 - Device_Configuration'!P502</f>
        <v>0</v>
      </c>
      <c r="M501" s="17">
        <f>'12 - Device_Configuration'!Q502</f>
        <v>0</v>
      </c>
      <c r="N501" s="17" t="str">
        <f>'12 - Device_Configuration'!BK502</f>
        <v/>
      </c>
      <c r="O501" s="30" t="str">
        <f>'12 - Device_Configuration'!BL502</f>
        <v/>
      </c>
      <c r="P501" s="2">
        <f>'12 - Device_Configuration'!BA502</f>
        <v>0</v>
      </c>
      <c r="Q501" s="30" t="str">
        <f t="shared" si="28"/>
        <v/>
      </c>
      <c r="R501" s="17" t="str">
        <f t="shared" si="29"/>
        <v>SW NOT INSTALLED</v>
      </c>
      <c r="S501" s="17" t="str">
        <f t="shared" si="30"/>
        <v/>
      </c>
      <c r="T501" s="17" t="str">
        <f t="shared" si="31"/>
        <v>SW NOT INSTALLED</v>
      </c>
    </row>
    <row r="502" spans="1:20">
      <c r="A502" s="30">
        <f>'12 - Device_Configuration'!H503</f>
        <v>0</v>
      </c>
      <c r="B502" s="30">
        <f>'12 - Device_Configuration'!S503</f>
        <v>0</v>
      </c>
      <c r="C502" s="30">
        <f>'12 - Device_Configuration'!T503</f>
        <v>0</v>
      </c>
      <c r="D502" s="17">
        <f>'12 - Device_Configuration'!AJ503</f>
        <v>0</v>
      </c>
      <c r="E502" s="17">
        <f>'12 - Device_Configuration'!J503</f>
        <v>0</v>
      </c>
      <c r="F502" s="30">
        <f>'12 - Device_Configuration'!K503</f>
        <v>0</v>
      </c>
      <c r="G502" s="17">
        <f>'12 - Device_Configuration'!L503</f>
        <v>0</v>
      </c>
      <c r="H502" s="17">
        <f>'13 - Config_Intake_View'!M502</f>
        <v>0</v>
      </c>
      <c r="I502" s="30">
        <f>IF('13 - Config_Intake_View'!Q502&lt;&gt;"",'13 - Config_Intake_View'!Q502,'12 - Device_Configuration'!BH503)</f>
        <v>0</v>
      </c>
      <c r="J502" s="17" t="str">
        <f>IF('13 - Config_Intake_View'!Q502&lt;&gt;"","PM Approved",IF('12 - Device_Configuration'!BH503&lt;&gt;"","Assumed",""))</f>
        <v/>
      </c>
      <c r="K502" s="30">
        <f>'12 - Device_Configuration'!BG503</f>
        <v>0</v>
      </c>
      <c r="L502" s="17">
        <f>'12 - Device_Configuration'!P503</f>
        <v>0</v>
      </c>
      <c r="M502" s="17">
        <f>'12 - Device_Configuration'!Q503</f>
        <v>0</v>
      </c>
      <c r="N502" s="17" t="str">
        <f>'12 - Device_Configuration'!BK503</f>
        <v/>
      </c>
      <c r="O502" s="30" t="str">
        <f>'12 - Device_Configuration'!BL503</f>
        <v/>
      </c>
      <c r="P502" s="2">
        <f>'12 - Device_Configuration'!BA503</f>
        <v>0</v>
      </c>
      <c r="Q502" s="30" t="str">
        <f t="shared" si="28"/>
        <v/>
      </c>
      <c r="R502" s="17" t="str">
        <f t="shared" si="29"/>
        <v>SW NOT INSTALLED</v>
      </c>
      <c r="S502" s="17" t="str">
        <f t="shared" si="30"/>
        <v/>
      </c>
      <c r="T502" s="17" t="str">
        <f t="shared" si="31"/>
        <v>SW NOT INSTALLED</v>
      </c>
    </row>
    <row r="503" spans="1:20">
      <c r="A503" s="30">
        <f>'12 - Device_Configuration'!H504</f>
        <v>0</v>
      </c>
      <c r="B503" s="30">
        <f>'12 - Device_Configuration'!S504</f>
        <v>0</v>
      </c>
      <c r="C503" s="30">
        <f>'12 - Device_Configuration'!T504</f>
        <v>0</v>
      </c>
      <c r="D503" s="17">
        <f>'12 - Device_Configuration'!AJ504</f>
        <v>0</v>
      </c>
      <c r="E503" s="17">
        <f>'12 - Device_Configuration'!J504</f>
        <v>0</v>
      </c>
      <c r="F503" s="30">
        <f>'12 - Device_Configuration'!K504</f>
        <v>0</v>
      </c>
      <c r="G503" s="17">
        <f>'12 - Device_Configuration'!L504</f>
        <v>0</v>
      </c>
      <c r="H503" s="17">
        <f>'13 - Config_Intake_View'!M503</f>
        <v>0</v>
      </c>
      <c r="I503" s="30">
        <f>IF('13 - Config_Intake_View'!Q503&lt;&gt;"",'13 - Config_Intake_View'!Q503,'12 - Device_Configuration'!BH504)</f>
        <v>0</v>
      </c>
      <c r="J503" s="17" t="str">
        <f>IF('13 - Config_Intake_View'!Q503&lt;&gt;"","PM Approved",IF('12 - Device_Configuration'!BH504&lt;&gt;"","Assumed",""))</f>
        <v/>
      </c>
      <c r="K503" s="30">
        <f>'12 - Device_Configuration'!BG504</f>
        <v>0</v>
      </c>
      <c r="L503" s="17">
        <f>'12 - Device_Configuration'!P504</f>
        <v>0</v>
      </c>
      <c r="M503" s="17">
        <f>'12 - Device_Configuration'!Q504</f>
        <v>0</v>
      </c>
      <c r="N503" s="17" t="str">
        <f>'12 - Device_Configuration'!BK504</f>
        <v/>
      </c>
      <c r="O503" s="30" t="str">
        <f>'12 - Device_Configuration'!BL504</f>
        <v/>
      </c>
      <c r="P503" s="2">
        <f>'12 - Device_Configuration'!BA504</f>
        <v>0</v>
      </c>
      <c r="Q503" s="30" t="str">
        <f t="shared" si="28"/>
        <v/>
      </c>
      <c r="R503" s="17" t="str">
        <f t="shared" si="29"/>
        <v>SW NOT INSTALLED</v>
      </c>
      <c r="S503" s="17" t="str">
        <f t="shared" si="30"/>
        <v/>
      </c>
      <c r="T503" s="17" t="str">
        <f t="shared" si="31"/>
        <v>SW NOT INSTALLED</v>
      </c>
    </row>
  </sheetData>
  <conditionalFormatting sqref="I2:I503">
    <cfRule type="expression" dxfId="6" priority="8" stopIfTrue="1">
      <formula>AND($I2&lt;&gt;"",OR($K2="Yes",$J2="PM Approved"))</formula>
    </cfRule>
    <cfRule type="expression" dxfId="5" priority="9" stopIfTrue="1">
      <formula>AND($I2&lt;&gt;"",NOT(OR($K2="Yes",$J2="PM Approved")))</formula>
    </cfRule>
  </conditionalFormatting>
  <conditionalFormatting sqref="Q2:Q503">
    <cfRule type="expression" dxfId="4" priority="10">
      <formula>Q2&lt;&gt;""</formula>
    </cfRule>
  </conditionalFormatting>
  <conditionalFormatting sqref="R2:R503">
    <cfRule type="expression" dxfId="3" priority="11">
      <formula>R2&lt;&gt;""</formula>
    </cfRule>
  </conditionalFormatting>
  <conditionalFormatting sqref="S2:S503">
    <cfRule type="expression" dxfId="2" priority="12">
      <formula>S2&lt;&gt;""</formula>
    </cfRule>
  </conditionalFormatting>
  <conditionalFormatting sqref="T2:T503">
    <cfRule type="expression" dxfId="1" priority="13">
      <formula>AND(T2&lt;&gt;"",T2="OK")</formula>
    </cfRule>
    <cfRule type="expression" dxfId="0" priority="14">
      <formula>AND(T2&lt;&gt;"",T2&lt;&gt;"OK")</formula>
    </cfRule>
  </conditionalFormatting>
  <dataValidations count="2">
    <dataValidation type="custom" allowBlank="1" showInputMessage="1" showErrorMessage="1" errorTitle="This is a header row, foo 🤡" error="Skedaddle 💨" sqref="A1:T1" xr:uid="{00000000-0002-0000-0E00-000000000000}">
      <formula1>FALSE</formula1>
    </dataValidation>
    <dataValidation type="custom" allowBlank="1" showInputMessage="1" showErrorMessage="1" sqref="A2:XFD1048576" xr:uid="{00000000-0002-0000-0E00-000001000000}">
      <formula1>FALSE</formula1>
    </dataValidation>
  </dataValidation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67" t="s">
        <v>2102</v>
      </c>
      <c r="B1" s="79" t="s">
        <v>2103</v>
      </c>
      <c r="C1" s="81"/>
      <c r="D1" s="79" t="s">
        <v>2104</v>
      </c>
      <c r="E1" s="81"/>
      <c r="F1" s="79" t="s">
        <v>1959</v>
      </c>
      <c r="G1" s="82"/>
      <c r="H1" s="81"/>
      <c r="I1" s="5"/>
      <c r="J1" s="79" t="s">
        <v>2105</v>
      </c>
      <c r="K1" s="81"/>
    </row>
    <row r="2" spans="1:11" ht="30" customHeight="1">
      <c r="A2" s="6"/>
      <c r="B2" s="6" t="s">
        <v>1331</v>
      </c>
      <c r="C2" s="6" t="s">
        <v>1645</v>
      </c>
      <c r="D2" s="6" t="s">
        <v>1331</v>
      </c>
      <c r="E2" s="6" t="s">
        <v>1645</v>
      </c>
      <c r="F2" s="6" t="s">
        <v>2106</v>
      </c>
      <c r="G2" s="6" t="s">
        <v>2107</v>
      </c>
      <c r="H2" s="6" t="s">
        <v>2108</v>
      </c>
      <c r="I2" s="6"/>
      <c r="J2" s="6" t="s">
        <v>1331</v>
      </c>
      <c r="K2" s="6" t="s">
        <v>1645</v>
      </c>
    </row>
    <row r="3" spans="1:11">
      <c r="A3" s="7" t="s">
        <v>2109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2110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2111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1651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2112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1631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2113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2114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2115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2116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2117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2118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2119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2120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2121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2122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2123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2124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67" t="s">
        <v>2102</v>
      </c>
      <c r="B1" s="79" t="s">
        <v>2103</v>
      </c>
      <c r="C1" s="81"/>
      <c r="D1" s="79" t="s">
        <v>2104</v>
      </c>
      <c r="E1" s="81"/>
      <c r="F1" s="79" t="s">
        <v>1959</v>
      </c>
      <c r="G1" s="82"/>
      <c r="H1" s="81"/>
      <c r="I1" s="5"/>
      <c r="J1" s="79" t="s">
        <v>2105</v>
      </c>
      <c r="K1" s="81"/>
    </row>
    <row r="2" spans="1:11" ht="30" customHeight="1">
      <c r="A2" s="6"/>
      <c r="B2" s="6" t="s">
        <v>1331</v>
      </c>
      <c r="C2" s="6" t="s">
        <v>1645</v>
      </c>
      <c r="D2" s="6" t="s">
        <v>1331</v>
      </c>
      <c r="E2" s="6" t="s">
        <v>1645</v>
      </c>
      <c r="F2" s="6" t="s">
        <v>2106</v>
      </c>
      <c r="G2" s="6" t="s">
        <v>2107</v>
      </c>
      <c r="H2" s="6" t="s">
        <v>2108</v>
      </c>
      <c r="I2" s="6"/>
      <c r="J2" s="6" t="s">
        <v>1331</v>
      </c>
      <c r="K2" s="6" t="s">
        <v>1645</v>
      </c>
    </row>
    <row r="3" spans="1:11">
      <c r="A3" s="7" t="s">
        <v>2109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2110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2111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1651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2112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1631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2113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2114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2115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2116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2117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2118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2119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2120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2121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2122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2123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2124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67" t="s">
        <v>2102</v>
      </c>
      <c r="B1" s="79" t="s">
        <v>2103</v>
      </c>
      <c r="C1" s="81"/>
      <c r="D1" s="79" t="s">
        <v>2104</v>
      </c>
      <c r="E1" s="81"/>
      <c r="F1" s="79" t="s">
        <v>1959</v>
      </c>
      <c r="G1" s="82"/>
      <c r="H1" s="81"/>
      <c r="I1" s="5"/>
      <c r="J1" s="79" t="s">
        <v>2105</v>
      </c>
      <c r="K1" s="81"/>
    </row>
    <row r="2" spans="1:11" ht="30" customHeight="1">
      <c r="A2" s="6"/>
      <c r="B2" s="6" t="s">
        <v>1331</v>
      </c>
      <c r="C2" s="6" t="s">
        <v>1645</v>
      </c>
      <c r="D2" s="6" t="s">
        <v>1331</v>
      </c>
      <c r="E2" s="6" t="s">
        <v>1645</v>
      </c>
      <c r="F2" s="6" t="s">
        <v>2106</v>
      </c>
      <c r="G2" s="6" t="s">
        <v>2107</v>
      </c>
      <c r="H2" s="6" t="s">
        <v>2108</v>
      </c>
      <c r="I2" s="6"/>
      <c r="J2" s="6" t="s">
        <v>1331</v>
      </c>
      <c r="K2" s="6" t="s">
        <v>1645</v>
      </c>
    </row>
    <row r="3" spans="1:11">
      <c r="A3" s="7" t="s">
        <v>2109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2110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2111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1651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2112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1631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2113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2114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2115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2116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2117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2118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2119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2120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2121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2122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2123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2124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67" t="s">
        <v>2102</v>
      </c>
      <c r="B1" s="79" t="s">
        <v>2103</v>
      </c>
      <c r="C1" s="81"/>
      <c r="D1" s="79" t="s">
        <v>2104</v>
      </c>
      <c r="E1" s="81"/>
      <c r="F1" s="79" t="s">
        <v>1959</v>
      </c>
      <c r="G1" s="82"/>
      <c r="H1" s="81"/>
      <c r="I1" s="5"/>
      <c r="J1" s="79" t="s">
        <v>2105</v>
      </c>
      <c r="K1" s="81"/>
    </row>
    <row r="2" spans="1:11" ht="30" customHeight="1">
      <c r="A2" s="6"/>
      <c r="B2" s="6" t="s">
        <v>1331</v>
      </c>
      <c r="C2" s="6" t="s">
        <v>1645</v>
      </c>
      <c r="D2" s="6" t="s">
        <v>1331</v>
      </c>
      <c r="E2" s="6" t="s">
        <v>1645</v>
      </c>
      <c r="F2" s="6" t="s">
        <v>2106</v>
      </c>
      <c r="G2" s="6" t="s">
        <v>2107</v>
      </c>
      <c r="H2" s="6" t="s">
        <v>2108</v>
      </c>
      <c r="I2" s="6"/>
      <c r="J2" s="6" t="s">
        <v>1331</v>
      </c>
      <c r="K2" s="6" t="s">
        <v>1645</v>
      </c>
    </row>
    <row r="3" spans="1:11">
      <c r="A3" s="7" t="s">
        <v>2109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2110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2111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1651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2112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1631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2113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2114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2115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2116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2117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2118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2119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2120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2121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2122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2123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2124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21"/>
  <sheetViews>
    <sheetView workbookViewId="0">
      <pane xSplit="1" ySplit="2" topLeftCell="B3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0" customWidth="1"/>
    <col min="4" max="5" width="12" customWidth="1"/>
    <col min="6" max="7" width="16" customWidth="1"/>
    <col min="8" max="8" width="12" customWidth="1"/>
    <col min="9" max="9" width="2" customWidth="1"/>
    <col min="10" max="11" width="10" customWidth="1"/>
  </cols>
  <sheetData>
    <row r="1" spans="1:11">
      <c r="A1" s="67" t="s">
        <v>2102</v>
      </c>
      <c r="B1" s="79" t="s">
        <v>2103</v>
      </c>
      <c r="C1" s="81"/>
      <c r="D1" s="79" t="s">
        <v>2104</v>
      </c>
      <c r="E1" s="81"/>
      <c r="F1" s="79" t="s">
        <v>1959</v>
      </c>
      <c r="G1" s="82"/>
      <c r="H1" s="81"/>
      <c r="I1" s="5"/>
      <c r="J1" s="79" t="s">
        <v>2105</v>
      </c>
      <c r="K1" s="81"/>
    </row>
    <row r="2" spans="1:11" ht="30" customHeight="1">
      <c r="A2" s="6"/>
      <c r="B2" s="6" t="s">
        <v>1331</v>
      </c>
      <c r="C2" s="6" t="s">
        <v>1645</v>
      </c>
      <c r="D2" s="6" t="s">
        <v>1331</v>
      </c>
      <c r="E2" s="6" t="s">
        <v>1645</v>
      </c>
      <c r="F2" s="6" t="s">
        <v>2106</v>
      </c>
      <c r="G2" s="6" t="s">
        <v>2107</v>
      </c>
      <c r="H2" s="6" t="s">
        <v>2108</v>
      </c>
      <c r="I2" s="6"/>
      <c r="J2" s="6" t="s">
        <v>1331</v>
      </c>
      <c r="K2" s="6" t="s">
        <v>1645</v>
      </c>
    </row>
    <row r="3" spans="1:11">
      <c r="A3" s="7" t="s">
        <v>2109</v>
      </c>
      <c r="B3" s="8"/>
      <c r="C3" s="8"/>
      <c r="D3" s="8"/>
      <c r="E3" s="8"/>
      <c r="F3" s="8"/>
      <c r="G3" s="8"/>
      <c r="H3" s="8"/>
      <c r="I3" s="8"/>
      <c r="J3" s="8">
        <f t="shared" ref="J3:J19" si="0">IFERROR(B3+D3,0)</f>
        <v>0</v>
      </c>
      <c r="K3" s="8">
        <f t="shared" ref="K3:K19" si="1">IFERROR(C3+E3,0)</f>
        <v>0</v>
      </c>
    </row>
    <row r="4" spans="1:11">
      <c r="A4" s="7" t="s">
        <v>2110</v>
      </c>
      <c r="B4" s="8"/>
      <c r="C4" s="8"/>
      <c r="D4" s="8"/>
      <c r="E4" s="8"/>
      <c r="F4" s="8"/>
      <c r="G4" s="8"/>
      <c r="H4" s="8"/>
      <c r="I4" s="8"/>
      <c r="J4" s="8">
        <f t="shared" si="0"/>
        <v>0</v>
      </c>
      <c r="K4" s="8">
        <f t="shared" si="1"/>
        <v>0</v>
      </c>
    </row>
    <row r="5" spans="1:11">
      <c r="A5" s="7" t="s">
        <v>2111</v>
      </c>
      <c r="B5" s="8"/>
      <c r="C5" s="8"/>
      <c r="D5" s="8"/>
      <c r="E5" s="8"/>
      <c r="F5" s="8"/>
      <c r="G5" s="8"/>
      <c r="H5" s="8"/>
      <c r="I5" s="8"/>
      <c r="J5" s="8">
        <f t="shared" si="0"/>
        <v>0</v>
      </c>
      <c r="K5" s="8">
        <f t="shared" si="1"/>
        <v>0</v>
      </c>
    </row>
    <row r="6" spans="1:11">
      <c r="A6" s="7" t="s">
        <v>1651</v>
      </c>
      <c r="B6" s="8"/>
      <c r="C6" s="8"/>
      <c r="D6" s="8"/>
      <c r="E6" s="8"/>
      <c r="F6" s="8"/>
      <c r="G6" s="8"/>
      <c r="H6" s="8"/>
      <c r="I6" s="8"/>
      <c r="J6" s="8">
        <f t="shared" si="0"/>
        <v>0</v>
      </c>
      <c r="K6" s="8">
        <f t="shared" si="1"/>
        <v>0</v>
      </c>
    </row>
    <row r="7" spans="1:11">
      <c r="A7" s="7" t="s">
        <v>2112</v>
      </c>
      <c r="B7" s="8"/>
      <c r="C7" s="8"/>
      <c r="D7" s="8"/>
      <c r="E7" s="8"/>
      <c r="F7" s="8"/>
      <c r="G7" s="8"/>
      <c r="H7" s="8"/>
      <c r="I7" s="8"/>
      <c r="J7" s="8">
        <f t="shared" si="0"/>
        <v>0</v>
      </c>
      <c r="K7" s="8">
        <f t="shared" si="1"/>
        <v>0</v>
      </c>
    </row>
    <row r="8" spans="1:11">
      <c r="A8" s="7" t="s">
        <v>1631</v>
      </c>
      <c r="B8" s="8"/>
      <c r="C8" s="8"/>
      <c r="D8" s="8"/>
      <c r="E8" s="8"/>
      <c r="F8" s="8"/>
      <c r="G8" s="8"/>
      <c r="H8" s="8"/>
      <c r="I8" s="8"/>
      <c r="J8" s="8">
        <f t="shared" si="0"/>
        <v>0</v>
      </c>
      <c r="K8" s="8">
        <f t="shared" si="1"/>
        <v>0</v>
      </c>
    </row>
    <row r="9" spans="1:11">
      <c r="A9" s="7" t="s">
        <v>2113</v>
      </c>
      <c r="B9" s="8"/>
      <c r="C9" s="8"/>
      <c r="D9" s="8"/>
      <c r="E9" s="8"/>
      <c r="F9" s="8"/>
      <c r="G9" s="8"/>
      <c r="H9" s="8"/>
      <c r="I9" s="8"/>
      <c r="J9" s="8">
        <f t="shared" si="0"/>
        <v>0</v>
      </c>
      <c r="K9" s="8">
        <f t="shared" si="1"/>
        <v>0</v>
      </c>
    </row>
    <row r="10" spans="1:11">
      <c r="A10" s="7" t="s">
        <v>2114</v>
      </c>
      <c r="B10" s="8"/>
      <c r="C10" s="8"/>
      <c r="D10" s="8"/>
      <c r="E10" s="8"/>
      <c r="F10" s="8"/>
      <c r="G10" s="8"/>
      <c r="H10" s="8"/>
      <c r="I10" s="8"/>
      <c r="J10" s="8">
        <f t="shared" si="0"/>
        <v>0</v>
      </c>
      <c r="K10" s="8">
        <f t="shared" si="1"/>
        <v>0</v>
      </c>
    </row>
    <row r="11" spans="1:11">
      <c r="A11" s="7" t="s">
        <v>2115</v>
      </c>
      <c r="B11" s="8"/>
      <c r="C11" s="8"/>
      <c r="D11" s="8"/>
      <c r="E11" s="8"/>
      <c r="F11" s="8"/>
      <c r="G11" s="8"/>
      <c r="H11" s="8"/>
      <c r="I11" s="8"/>
      <c r="J11" s="8">
        <f t="shared" si="0"/>
        <v>0</v>
      </c>
      <c r="K11" s="8">
        <f t="shared" si="1"/>
        <v>0</v>
      </c>
    </row>
    <row r="12" spans="1:11">
      <c r="A12" s="7" t="s">
        <v>2116</v>
      </c>
      <c r="B12" s="8"/>
      <c r="C12" s="8"/>
      <c r="D12" s="8"/>
      <c r="E12" s="8"/>
      <c r="F12" s="8"/>
      <c r="G12" s="8"/>
      <c r="H12" s="8"/>
      <c r="I12" s="8"/>
      <c r="J12" s="8">
        <f t="shared" si="0"/>
        <v>0</v>
      </c>
      <c r="K12" s="8">
        <f t="shared" si="1"/>
        <v>0</v>
      </c>
    </row>
    <row r="13" spans="1:11">
      <c r="A13" s="7" t="s">
        <v>2117</v>
      </c>
      <c r="B13" s="8"/>
      <c r="C13" s="8"/>
      <c r="D13" s="8"/>
      <c r="E13" s="8"/>
      <c r="F13" s="8"/>
      <c r="G13" s="8"/>
      <c r="H13" s="8"/>
      <c r="I13" s="8"/>
      <c r="J13" s="8">
        <f t="shared" si="0"/>
        <v>0</v>
      </c>
      <c r="K13" s="8">
        <f t="shared" si="1"/>
        <v>0</v>
      </c>
    </row>
    <row r="14" spans="1:11">
      <c r="A14" s="7" t="s">
        <v>2118</v>
      </c>
      <c r="B14" s="8"/>
      <c r="C14" s="8"/>
      <c r="D14" s="8"/>
      <c r="E14" s="8"/>
      <c r="F14" s="8"/>
      <c r="G14" s="8"/>
      <c r="H14" s="8"/>
      <c r="I14" s="8"/>
      <c r="J14" s="8">
        <f t="shared" si="0"/>
        <v>0</v>
      </c>
      <c r="K14" s="8">
        <f t="shared" si="1"/>
        <v>0</v>
      </c>
    </row>
    <row r="15" spans="1:11">
      <c r="A15" s="7" t="s">
        <v>2119</v>
      </c>
      <c r="B15" s="8"/>
      <c r="C15" s="8"/>
      <c r="D15" s="8"/>
      <c r="E15" s="8"/>
      <c r="F15" s="8"/>
      <c r="G15" s="8"/>
      <c r="H15" s="8"/>
      <c r="I15" s="8"/>
      <c r="J15" s="8">
        <f t="shared" si="0"/>
        <v>0</v>
      </c>
      <c r="K15" s="8">
        <f t="shared" si="1"/>
        <v>0</v>
      </c>
    </row>
    <row r="16" spans="1:11">
      <c r="A16" s="7" t="s">
        <v>2120</v>
      </c>
      <c r="B16" s="8"/>
      <c r="C16" s="8"/>
      <c r="D16" s="8"/>
      <c r="E16" s="8"/>
      <c r="F16" s="8"/>
      <c r="G16" s="8"/>
      <c r="H16" s="8"/>
      <c r="I16" s="8"/>
      <c r="J16" s="8">
        <f t="shared" si="0"/>
        <v>0</v>
      </c>
      <c r="K16" s="8">
        <f t="shared" si="1"/>
        <v>0</v>
      </c>
    </row>
    <row r="17" spans="1:11">
      <c r="A17" s="7" t="s">
        <v>2121</v>
      </c>
      <c r="B17" s="8"/>
      <c r="C17" s="8"/>
      <c r="D17" s="8"/>
      <c r="E17" s="8"/>
      <c r="F17" s="8"/>
      <c r="G17" s="8"/>
      <c r="H17" s="8"/>
      <c r="I17" s="8"/>
      <c r="J17" s="8">
        <f t="shared" si="0"/>
        <v>0</v>
      </c>
      <c r="K17" s="8">
        <f t="shared" si="1"/>
        <v>0</v>
      </c>
    </row>
    <row r="18" spans="1:11">
      <c r="A18" s="7" t="s">
        <v>2122</v>
      </c>
      <c r="B18" s="8"/>
      <c r="C18" s="8"/>
      <c r="D18" s="8"/>
      <c r="E18" s="8"/>
      <c r="F18" s="8"/>
      <c r="G18" s="8"/>
      <c r="H18" s="8"/>
      <c r="I18" s="8"/>
      <c r="J18" s="8">
        <f t="shared" si="0"/>
        <v>0</v>
      </c>
      <c r="K18" s="8">
        <f t="shared" si="1"/>
        <v>0</v>
      </c>
    </row>
    <row r="19" spans="1:11">
      <c r="A19" s="7" t="s">
        <v>2123</v>
      </c>
      <c r="B19" s="8"/>
      <c r="C19" s="8"/>
      <c r="D19" s="8"/>
      <c r="E19" s="8"/>
      <c r="F19" s="8"/>
      <c r="G19" s="8"/>
      <c r="H19" s="8"/>
      <c r="I19" s="8"/>
      <c r="J19" s="8">
        <f t="shared" si="0"/>
        <v>0</v>
      </c>
      <c r="K19" s="8">
        <f t="shared" si="1"/>
        <v>0</v>
      </c>
    </row>
    <row r="21" spans="1:11">
      <c r="A21" s="9" t="s">
        <v>2124</v>
      </c>
      <c r="B21" s="9">
        <f t="shared" ref="B21:H21" si="2">SUM(B3:B20)</f>
        <v>0</v>
      </c>
      <c r="C21" s="9">
        <f t="shared" si="2"/>
        <v>0</v>
      </c>
      <c r="D21" s="9">
        <f t="shared" si="2"/>
        <v>0</v>
      </c>
      <c r="E21" s="9">
        <f t="shared" si="2"/>
        <v>0</v>
      </c>
      <c r="F21" s="9">
        <f t="shared" si="2"/>
        <v>0</v>
      </c>
      <c r="G21" s="9">
        <f t="shared" si="2"/>
        <v>0</v>
      </c>
      <c r="H21" s="9">
        <f t="shared" si="2"/>
        <v>0</v>
      </c>
      <c r="J21" s="9">
        <f>SUM(J3:J20)</f>
        <v>0</v>
      </c>
      <c r="K21" s="9">
        <f>SUM(K3:K20)</f>
        <v>0</v>
      </c>
    </row>
  </sheetData>
  <mergeCells count="4">
    <mergeCell ref="B1:C1"/>
    <mergeCell ref="J1:K1"/>
    <mergeCell ref="F1:H1"/>
    <mergeCell ref="D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59999389629810485"/>
  </sheetPr>
  <dimension ref="A1:K199"/>
  <sheetViews>
    <sheetView workbookViewId="0">
      <pane ySplit="1" topLeftCell="A2" activePane="bottomLeft" state="frozen"/>
      <selection pane="bottomLeft" activeCell="A15" sqref="A15"/>
    </sheetView>
  </sheetViews>
  <sheetFormatPr defaultRowHeight="15"/>
  <cols>
    <col min="1" max="1" width="12" customWidth="1"/>
    <col min="2" max="2" width="18" customWidth="1"/>
    <col min="3" max="3" width="40" customWidth="1"/>
    <col min="4" max="4" width="12" customWidth="1"/>
    <col min="5" max="5" width="10" customWidth="1"/>
    <col min="6" max="6" width="16" customWidth="1"/>
    <col min="7" max="8" width="14" customWidth="1"/>
    <col min="9" max="9" width="12" customWidth="1"/>
    <col min="10" max="10" width="14" customWidth="1"/>
    <col min="11" max="11" width="28" customWidth="1"/>
  </cols>
  <sheetData>
    <row r="1" spans="1:11" ht="30" customHeight="1">
      <c r="A1" s="67" t="s">
        <v>2125</v>
      </c>
      <c r="B1" s="67" t="s">
        <v>2126</v>
      </c>
      <c r="C1" s="67" t="s">
        <v>2127</v>
      </c>
      <c r="D1" s="67" t="s">
        <v>1</v>
      </c>
      <c r="E1" s="67" t="s">
        <v>2128</v>
      </c>
      <c r="F1" s="67" t="s">
        <v>2129</v>
      </c>
      <c r="G1" s="67" t="s">
        <v>2130</v>
      </c>
      <c r="H1" s="67" t="s">
        <v>2102</v>
      </c>
      <c r="I1" s="67" t="s">
        <v>1377</v>
      </c>
      <c r="J1" s="67" t="s">
        <v>2131</v>
      </c>
      <c r="K1" s="67" t="s">
        <v>189</v>
      </c>
    </row>
    <row r="2" spans="1:11" ht="30">
      <c r="A2" s="3"/>
      <c r="B2" s="4" t="s">
        <v>2132</v>
      </c>
      <c r="C2" s="4"/>
      <c r="D2" s="4"/>
      <c r="E2" s="4"/>
      <c r="F2" s="4"/>
      <c r="G2" s="4"/>
      <c r="H2" s="4"/>
      <c r="I2" s="4"/>
      <c r="J2" s="4"/>
      <c r="K2" s="4"/>
    </row>
    <row r="3" spans="1:11" ht="30.75" customHeight="1">
      <c r="A3" s="3"/>
      <c r="B3" s="4" t="s">
        <v>2133</v>
      </c>
      <c r="C3" s="4" t="s">
        <v>2134</v>
      </c>
      <c r="D3" s="4"/>
      <c r="E3" s="4"/>
      <c r="F3" s="4"/>
      <c r="G3" s="4"/>
      <c r="H3" s="4"/>
      <c r="I3" s="4"/>
      <c r="J3" s="4"/>
      <c r="K3" s="4"/>
    </row>
    <row r="4" spans="1:11" ht="30.75" customHeight="1">
      <c r="A4" s="3"/>
      <c r="B4" s="4" t="s">
        <v>2135</v>
      </c>
      <c r="C4" s="4"/>
      <c r="D4" s="4"/>
      <c r="E4" s="4"/>
      <c r="F4" s="4"/>
      <c r="G4" s="4"/>
      <c r="H4" s="4"/>
      <c r="I4" s="4"/>
      <c r="J4" s="4"/>
      <c r="K4" s="4"/>
    </row>
    <row r="5" spans="1:11" ht="30">
      <c r="A5" s="3"/>
      <c r="B5" s="4" t="s">
        <v>2136</v>
      </c>
      <c r="C5" s="4"/>
      <c r="D5" s="4"/>
      <c r="E5" s="4"/>
      <c r="F5" s="4"/>
      <c r="G5" s="4"/>
      <c r="H5" s="4"/>
      <c r="I5" s="4"/>
      <c r="J5" s="4"/>
      <c r="K5" s="4"/>
    </row>
    <row r="6" spans="1:11" ht="30.75" customHeight="1">
      <c r="A6" s="3"/>
      <c r="B6" s="4" t="s">
        <v>2137</v>
      </c>
      <c r="C6" s="4"/>
      <c r="D6" s="4"/>
      <c r="E6" s="4"/>
      <c r="F6" s="4"/>
      <c r="G6" s="4"/>
      <c r="H6" s="4"/>
      <c r="I6" s="4"/>
      <c r="J6" s="4"/>
      <c r="K6" s="4"/>
    </row>
    <row r="7" spans="1:11" ht="27.75" customHeight="1">
      <c r="A7" s="3"/>
      <c r="B7" s="4" t="s">
        <v>2138</v>
      </c>
      <c r="C7" s="4" t="s">
        <v>2139</v>
      </c>
      <c r="D7" s="4"/>
      <c r="E7" s="4"/>
      <c r="F7" s="4"/>
      <c r="G7" s="4"/>
      <c r="H7" s="4"/>
      <c r="I7" s="4"/>
      <c r="J7" s="4"/>
      <c r="K7" s="4"/>
    </row>
    <row r="8" spans="1:11" ht="45">
      <c r="A8" s="3"/>
      <c r="B8" s="4" t="s">
        <v>2140</v>
      </c>
      <c r="C8" s="4"/>
      <c r="D8" s="4"/>
      <c r="E8" s="4"/>
      <c r="F8" s="4"/>
      <c r="G8" s="4"/>
      <c r="H8" s="4"/>
      <c r="I8" s="4"/>
      <c r="J8" s="4"/>
      <c r="K8" s="4"/>
    </row>
    <row r="9" spans="1:11">
      <c r="A9" s="3"/>
      <c r="B9" s="4"/>
      <c r="C9" s="4" t="s">
        <v>2141</v>
      </c>
      <c r="D9" s="4"/>
      <c r="E9" s="4"/>
      <c r="F9" s="4"/>
      <c r="G9" s="4"/>
      <c r="H9" s="4"/>
      <c r="I9" s="4"/>
      <c r="J9" s="4"/>
      <c r="K9" s="4"/>
    </row>
    <row r="10" spans="1:11">
      <c r="A10" s="3"/>
      <c r="B10" s="4"/>
      <c r="C10" s="4" t="s">
        <v>2142</v>
      </c>
      <c r="D10" s="4"/>
      <c r="E10" s="4"/>
      <c r="F10" s="4"/>
      <c r="G10" s="4"/>
      <c r="H10" s="4"/>
      <c r="I10" s="4"/>
      <c r="J10" s="4"/>
      <c r="K10" s="4"/>
    </row>
    <row r="11" spans="1:11">
      <c r="A11" s="3"/>
      <c r="B11" s="4"/>
      <c r="C11" s="4" t="s">
        <v>2143</v>
      </c>
      <c r="D11" s="4"/>
      <c r="E11" s="4"/>
      <c r="F11" s="4"/>
      <c r="G11" s="4"/>
      <c r="H11" s="4"/>
      <c r="I11" s="4"/>
      <c r="J11" s="4"/>
      <c r="K11" s="4"/>
    </row>
    <row r="12" spans="1:11">
      <c r="A12" s="3"/>
      <c r="B12" s="4"/>
      <c r="C12" s="4" t="s">
        <v>2144</v>
      </c>
      <c r="D12" s="4"/>
      <c r="E12" s="4"/>
      <c r="F12" s="4"/>
      <c r="G12" s="4"/>
      <c r="H12" s="4"/>
      <c r="I12" s="4"/>
      <c r="J12" s="4"/>
      <c r="K12" s="4"/>
    </row>
    <row r="13" spans="1:11">
      <c r="A13" s="3"/>
      <c r="B13" s="4"/>
      <c r="C13" s="4" t="s">
        <v>2145</v>
      </c>
      <c r="D13" s="4"/>
      <c r="E13" s="4"/>
      <c r="F13" s="4"/>
      <c r="G13" s="4"/>
      <c r="H13" s="4"/>
      <c r="I13" s="4"/>
      <c r="J13" s="4"/>
      <c r="K13" s="4"/>
    </row>
    <row r="14" spans="1:11">
      <c r="A14" s="3"/>
      <c r="B14" s="4"/>
      <c r="C14" s="4" t="s">
        <v>2146</v>
      </c>
      <c r="D14" s="4"/>
      <c r="E14" s="4"/>
      <c r="F14" s="4"/>
      <c r="G14" s="4"/>
      <c r="H14" s="4"/>
      <c r="I14" s="4"/>
      <c r="J14" s="4"/>
      <c r="K14" s="4"/>
    </row>
    <row r="15" spans="1:11" ht="27.75" customHeight="1">
      <c r="A15" s="3" t="s">
        <v>2147</v>
      </c>
      <c r="B15" s="4" t="s">
        <v>2148</v>
      </c>
      <c r="C15" s="4" t="s">
        <v>2149</v>
      </c>
      <c r="D15" s="4"/>
      <c r="E15" s="4"/>
      <c r="F15" s="4"/>
      <c r="G15" s="4"/>
      <c r="H15" s="4"/>
      <c r="I15" s="4"/>
      <c r="J15" s="4"/>
      <c r="K15" s="4"/>
    </row>
    <row r="16" spans="1:11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</row>
    <row r="17" spans="1:11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</row>
    <row r="18" spans="1:11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</row>
    <row r="19" spans="1:11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</row>
    <row r="21" spans="1:11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</row>
    <row r="22" spans="1:11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</row>
    <row r="23" spans="1:11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1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1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</row>
    <row r="27" spans="1:11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</row>
    <row r="28" spans="1:11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</row>
    <row r="29" spans="1:11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</row>
    <row r="30" spans="1:11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>
      <c r="A35" s="3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>
      <c r="A36" s="3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>
      <c r="A37" s="3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>
      <c r="A38" s="3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>
      <c r="A39" s="3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>
      <c r="A40" s="3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>
      <c r="A41" s="3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>
      <c r="A42" s="3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>
      <c r="A43" s="3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>
      <c r="A44" s="3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>
      <c r="A45" s="3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>
      <c r="A46" s="3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>
      <c r="A47" s="3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>
      <c r="A48" s="3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>
      <c r="A49" s="3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>
      <c r="A50" s="3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>
      <c r="A51" s="3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>
      <c r="A52" s="3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>
      <c r="A53" s="3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>
      <c r="A54" s="3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>
      <c r="A55" s="3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>
      <c r="A56" s="3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>
      <c r="A57" s="3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>
      <c r="A58" s="3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>
      <c r="A59" s="3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>
      <c r="A60" s="3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>
      <c r="A61" s="3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>
      <c r="A62" s="3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>
      <c r="A63" s="3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>
      <c r="A64" s="3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>
      <c r="A65" s="3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>
      <c r="A66" s="3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>
      <c r="A67" s="3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>
      <c r="A68" s="3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>
      <c r="A69" s="3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>
      <c r="A70" s="3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>
      <c r="A71" s="3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>
      <c r="A72" s="3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>
      <c r="A73" s="3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>
      <c r="A74" s="3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>
      <c r="A75" s="3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>
      <c r="A76" s="3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>
      <c r="A77" s="3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>
      <c r="A78" s="3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>
      <c r="A79" s="3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>
      <c r="A80" s="3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>
      <c r="A81" s="3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>
      <c r="A82" s="3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>
      <c r="A83" s="3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>
      <c r="A84" s="3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>
      <c r="A85" s="3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>
      <c r="A86" s="3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>
      <c r="A87" s="3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>
      <c r="A88" s="3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>
      <c r="A89" s="3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>
      <c r="A90" s="3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>
      <c r="A91" s="3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>
      <c r="A92" s="3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>
      <c r="A93" s="3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>
      <c r="A94" s="3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>
      <c r="A95" s="3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>
      <c r="A96" s="3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>
      <c r="A97" s="3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>
      <c r="A98" s="3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>
      <c r="A99" s="3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>
      <c r="A100" s="3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>
      <c r="A101" s="3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>
      <c r="A102" s="3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>
      <c r="A103" s="3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>
      <c r="A104" s="3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>
      <c r="A105" s="3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>
      <c r="A106" s="3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>
      <c r="A107" s="3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>
      <c r="A108" s="3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>
      <c r="A109" s="3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>
      <c r="A110" s="3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>
      <c r="A111" s="3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>
      <c r="A112" s="3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>
      <c r="A113" s="3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>
      <c r="A114" s="3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>
      <c r="A115" s="3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>
      <c r="A116" s="3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>
      <c r="A117" s="3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>
      <c r="A118" s="3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>
      <c r="A119" s="3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>
      <c r="A120" s="3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>
      <c r="A121" s="3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>
      <c r="A122" s="3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>
      <c r="A123" s="3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>
      <c r="A124" s="3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>
      <c r="A125" s="3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>
      <c r="A126" s="3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>
      <c r="A127" s="3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>
      <c r="A128" s="3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>
      <c r="A129" s="3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>
      <c r="A130" s="3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>
      <c r="A131" s="3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>
      <c r="A132" s="3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>
      <c r="A133" s="3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>
      <c r="A134" s="3"/>
      <c r="B134" s="4"/>
      <c r="C134" s="4"/>
      <c r="D134" s="4"/>
      <c r="E134" s="4"/>
      <c r="F134" s="4"/>
      <c r="G134" s="4"/>
      <c r="H134" s="4"/>
      <c r="I134" s="4"/>
      <c r="J134" s="4"/>
      <c r="K134" s="4"/>
    </row>
    <row r="135" spans="1:11">
      <c r="A135" s="3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>
      <c r="A136" s="3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>
      <c r="A137" s="3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>
      <c r="A138" s="3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>
      <c r="A139" s="3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>
      <c r="A140" s="3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>
      <c r="A141" s="3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>
      <c r="A142" s="3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>
      <c r="A143" s="3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>
      <c r="A144" s="3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>
      <c r="A145" s="3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>
      <c r="A146" s="3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>
      <c r="A147" s="3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>
      <c r="A148" s="3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>
      <c r="A149" s="3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>
      <c r="A150" s="3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>
      <c r="A151" s="3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>
      <c r="A152" s="3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>
      <c r="A153" s="3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>
      <c r="A154" s="3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>
      <c r="A155" s="3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>
      <c r="A156" s="3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>
      <c r="A157" s="3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>
      <c r="A158" s="3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>
      <c r="A159" s="3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>
      <c r="A160" s="3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>
      <c r="A161" s="3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>
      <c r="A162" s="3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>
      <c r="A163" s="3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>
      <c r="A164" s="3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>
      <c r="A165" s="3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>
      <c r="A166" s="3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>
      <c r="A167" s="3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>
      <c r="A168" s="3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>
      <c r="A169" s="3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>
      <c r="A170" s="3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>
      <c r="A171" s="3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>
      <c r="A172" s="3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>
      <c r="A173" s="3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>
      <c r="A174" s="3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>
      <c r="A175" s="3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>
      <c r="A176" s="3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>
      <c r="A177" s="3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>
      <c r="A178" s="3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>
      <c r="A179" s="3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>
      <c r="A180" s="3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>
      <c r="A181" s="3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>
      <c r="A182" s="3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>
      <c r="A183" s="3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>
      <c r="A184" s="3"/>
      <c r="B184" s="4"/>
      <c r="C184" s="4"/>
      <c r="D184" s="4"/>
      <c r="E184" s="4"/>
      <c r="F184" s="4"/>
      <c r="G184" s="4"/>
      <c r="H184" s="4"/>
      <c r="I184" s="4"/>
      <c r="J184" s="4"/>
      <c r="K184" s="4"/>
    </row>
    <row r="185" spans="1:11">
      <c r="A185" s="3"/>
      <c r="B185" s="4"/>
      <c r="C185" s="4"/>
      <c r="D185" s="4"/>
      <c r="E185" s="4"/>
      <c r="F185" s="4"/>
      <c r="G185" s="4"/>
      <c r="H185" s="4"/>
      <c r="I185" s="4"/>
      <c r="J185" s="4"/>
      <c r="K185" s="4"/>
    </row>
    <row r="186" spans="1:11">
      <c r="A186" s="3"/>
      <c r="B186" s="4"/>
      <c r="C186" s="4"/>
      <c r="D186" s="4"/>
      <c r="E186" s="4"/>
      <c r="F186" s="4"/>
      <c r="G186" s="4"/>
      <c r="H186" s="4"/>
      <c r="I186" s="4"/>
      <c r="J186" s="4"/>
      <c r="K186" s="4"/>
    </row>
    <row r="187" spans="1:11">
      <c r="A187" s="3"/>
      <c r="B187" s="4"/>
      <c r="C187" s="4"/>
      <c r="D187" s="4"/>
      <c r="E187" s="4"/>
      <c r="F187" s="4"/>
      <c r="G187" s="4"/>
      <c r="H187" s="4"/>
      <c r="I187" s="4"/>
      <c r="J187" s="4"/>
      <c r="K187" s="4"/>
    </row>
    <row r="188" spans="1:11">
      <c r="A188" s="3"/>
      <c r="B188" s="4"/>
      <c r="C188" s="4"/>
      <c r="D188" s="4"/>
      <c r="E188" s="4"/>
      <c r="F188" s="4"/>
      <c r="G188" s="4"/>
      <c r="H188" s="4"/>
      <c r="I188" s="4"/>
      <c r="J188" s="4"/>
      <c r="K188" s="4"/>
    </row>
    <row r="189" spans="1:11">
      <c r="A189" s="3"/>
      <c r="B189" s="4"/>
      <c r="C189" s="4"/>
      <c r="D189" s="4"/>
      <c r="E189" s="4"/>
      <c r="F189" s="4"/>
      <c r="G189" s="4"/>
      <c r="H189" s="4"/>
      <c r="I189" s="4"/>
      <c r="J189" s="4"/>
      <c r="K189" s="4"/>
    </row>
    <row r="190" spans="1:11">
      <c r="A190" s="3"/>
      <c r="B190" s="4"/>
      <c r="C190" s="4"/>
      <c r="D190" s="4"/>
      <c r="E190" s="4"/>
      <c r="F190" s="4"/>
      <c r="G190" s="4"/>
      <c r="H190" s="4"/>
      <c r="I190" s="4"/>
      <c r="J190" s="4"/>
      <c r="K190" s="4"/>
    </row>
    <row r="191" spans="1:11">
      <c r="A191" s="3"/>
      <c r="B191" s="4"/>
      <c r="C191" s="4"/>
      <c r="D191" s="4"/>
      <c r="E191" s="4"/>
      <c r="F191" s="4"/>
      <c r="G191" s="4"/>
      <c r="H191" s="4"/>
      <c r="I191" s="4"/>
      <c r="J191" s="4"/>
      <c r="K191" s="4"/>
    </row>
    <row r="192" spans="1:11">
      <c r="A192" s="3"/>
      <c r="B192" s="4"/>
      <c r="C192" s="4"/>
      <c r="D192" s="4"/>
      <c r="E192" s="4"/>
      <c r="F192" s="4"/>
      <c r="G192" s="4"/>
      <c r="H192" s="4"/>
      <c r="I192" s="4"/>
      <c r="J192" s="4"/>
      <c r="K192" s="4"/>
    </row>
    <row r="193" spans="1:11">
      <c r="A193" s="3"/>
      <c r="B193" s="4"/>
      <c r="C193" s="4"/>
      <c r="D193" s="4"/>
      <c r="E193" s="4"/>
      <c r="F193" s="4"/>
      <c r="G193" s="4"/>
      <c r="H193" s="4"/>
      <c r="I193" s="4"/>
      <c r="J193" s="4"/>
      <c r="K193" s="4"/>
    </row>
    <row r="194" spans="1:11">
      <c r="A194" s="3"/>
      <c r="B194" s="4"/>
      <c r="C194" s="4"/>
      <c r="D194" s="4"/>
      <c r="E194" s="4"/>
      <c r="F194" s="4"/>
      <c r="G194" s="4"/>
      <c r="H194" s="4"/>
      <c r="I194" s="4"/>
      <c r="J194" s="4"/>
      <c r="K194" s="4"/>
    </row>
    <row r="195" spans="1:11">
      <c r="A195" s="3"/>
      <c r="B195" s="4"/>
      <c r="C195" s="4"/>
      <c r="D195" s="4"/>
      <c r="E195" s="4"/>
      <c r="F195" s="4"/>
      <c r="G195" s="4"/>
      <c r="H195" s="4"/>
      <c r="I195" s="4"/>
      <c r="J195" s="4"/>
      <c r="K195" s="4"/>
    </row>
    <row r="196" spans="1:11">
      <c r="A196" s="3"/>
      <c r="B196" s="4"/>
      <c r="C196" s="4"/>
      <c r="D196" s="4"/>
      <c r="E196" s="4"/>
      <c r="F196" s="4"/>
      <c r="G196" s="4"/>
      <c r="H196" s="4"/>
      <c r="I196" s="4"/>
      <c r="J196" s="4"/>
      <c r="K196" s="4"/>
    </row>
    <row r="197" spans="1:11">
      <c r="A197" s="3"/>
      <c r="B197" s="4"/>
      <c r="C197" s="4"/>
      <c r="D197" s="4"/>
      <c r="E197" s="4"/>
      <c r="F197" s="4"/>
      <c r="G197" s="4"/>
      <c r="H197" s="4"/>
      <c r="I197" s="4"/>
      <c r="J197" s="4"/>
      <c r="K197" s="4"/>
    </row>
    <row r="198" spans="1:11">
      <c r="A198" s="3"/>
      <c r="B198" s="4"/>
      <c r="C198" s="4"/>
      <c r="D198" s="4"/>
      <c r="E198" s="4"/>
      <c r="F198" s="4"/>
      <c r="G198" s="4"/>
      <c r="H198" s="4"/>
      <c r="I198" s="4"/>
      <c r="J198" s="4"/>
      <c r="K198" s="4"/>
    </row>
    <row r="199" spans="1:11">
      <c r="A199" s="3"/>
      <c r="B199" s="4"/>
      <c r="C199" s="4"/>
      <c r="D199" s="4"/>
      <c r="E199" s="4"/>
      <c r="F199" s="4"/>
      <c r="G199" s="4"/>
      <c r="H199" s="4"/>
      <c r="I199" s="4"/>
      <c r="J199" s="4"/>
      <c r="K199" s="4"/>
    </row>
  </sheetData>
  <pageMargins left="0.75" right="0.75" top="1" bottom="1" header="0.5" footer="0.5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1"/>
  <sheetViews>
    <sheetView workbookViewId="0"/>
  </sheetViews>
  <sheetFormatPr defaultRowHeight="15"/>
  <cols>
    <col min="1" max="1" width="28" customWidth="1"/>
    <col min="2" max="2" width="12" customWidth="1"/>
    <col min="3" max="6" width="14" customWidth="1"/>
  </cols>
  <sheetData>
    <row r="1" spans="1:6" ht="21" customHeight="1">
      <c r="A1" s="1" t="s">
        <v>2150</v>
      </c>
    </row>
    <row r="3" spans="1:6">
      <c r="A3" s="10" t="s">
        <v>2151</v>
      </c>
    </row>
    <row r="4" spans="1:6" ht="30" customHeight="1">
      <c r="A4" s="67" t="s">
        <v>1377</v>
      </c>
      <c r="B4" s="67" t="s">
        <v>2152</v>
      </c>
      <c r="C4" s="67" t="s">
        <v>2153</v>
      </c>
      <c r="D4" s="67" t="s">
        <v>2154</v>
      </c>
      <c r="E4" s="67" t="s">
        <v>1341</v>
      </c>
      <c r="F4" s="67" t="s">
        <v>2155</v>
      </c>
    </row>
    <row r="5" spans="1:6">
      <c r="A5" s="7" t="s">
        <v>2156</v>
      </c>
      <c r="B5" s="8">
        <f>IFERROR(INDEX('20_WAVE_1'!J:J, MATCH("TOTAL", '20_WAVE_1'!A:A, 0)),0)</f>
        <v>0</v>
      </c>
      <c r="C5" s="8">
        <f>IFERROR(INDEX('20_WAVE_1'!K:K, MATCH("TOTAL", '20_WAVE_1'!A:A, 0)),0)</f>
        <v>0</v>
      </c>
      <c r="D5" s="8">
        <f>IFERROR(INDEX('20_WAVE_1'!F:F, MATCH("TOTAL", '20_WAVE_1'!A:A, 0)),0)</f>
        <v>0</v>
      </c>
      <c r="E5" s="8">
        <f>IFERROR(INDEX('20_WAVE_1'!G:G, MATCH("TOTAL", '20_WAVE_1'!A:A, 0)),0)</f>
        <v>0</v>
      </c>
      <c r="F5" s="8">
        <f>IFERROR(INDEX('20_WAVE_1'!H:H, MATCH("TOTAL", '20_WAVE_1'!A:A, 0)),0)</f>
        <v>0</v>
      </c>
    </row>
    <row r="6" spans="1:6">
      <c r="A6" s="7" t="s">
        <v>2157</v>
      </c>
      <c r="B6" s="8">
        <f>IFERROR(INDEX('21_WAVE_2'!J:J, MATCH("TOTAL", '21_WAVE_2'!A:A, 0)),0)</f>
        <v>0</v>
      </c>
      <c r="C6" s="8">
        <f>IFERROR(INDEX('21_WAVE_2'!K:K, MATCH("TOTAL", '21_WAVE_2'!A:A, 0)),0)</f>
        <v>0</v>
      </c>
      <c r="D6" s="8">
        <f>IFERROR(INDEX('21_WAVE_2'!F:F, MATCH("TOTAL", '21_WAVE_2'!A:A, 0)),0)</f>
        <v>0</v>
      </c>
      <c r="E6" s="8">
        <f>IFERROR(INDEX('21_WAVE_2'!G:G, MATCH("TOTAL", '21_WAVE_2'!A:A, 0)),0)</f>
        <v>0</v>
      </c>
      <c r="F6" s="8">
        <f>IFERROR(INDEX('21_WAVE_2'!H:H, MATCH("TOTAL", '21_WAVE_2'!A:A, 0)),0)</f>
        <v>0</v>
      </c>
    </row>
    <row r="7" spans="1:6">
      <c r="A7" s="7" t="s">
        <v>2158</v>
      </c>
      <c r="B7" s="8">
        <f>IFERROR(INDEX('22_PO_CDW'!J:J, MATCH("TOTAL", '22_PO_CDW'!A:A, 0)),0)</f>
        <v>0</v>
      </c>
      <c r="C7" s="8">
        <f>IFERROR(INDEX('22_PO_CDW'!K:K, MATCH("TOTAL", '22_PO_CDW'!A:A, 0)),0)</f>
        <v>0</v>
      </c>
      <c r="D7" s="8">
        <f>IFERROR(INDEX('22_PO_CDW'!F:F, MATCH("TOTAL", '22_PO_CDW'!A:A, 0)),0)</f>
        <v>0</v>
      </c>
      <c r="E7" s="8">
        <f>IFERROR(INDEX('22_PO_CDW'!G:G, MATCH("TOTAL", '22_PO_CDW'!A:A, 0)),0)</f>
        <v>0</v>
      </c>
      <c r="F7" s="8">
        <f>IFERROR(INDEX('22_PO_CDW'!H:H, MATCH("TOTAL", '22_PO_CDW'!A:A, 0)),0)</f>
        <v>0</v>
      </c>
    </row>
    <row r="8" spans="1:6">
      <c r="A8" s="7" t="s">
        <v>2159</v>
      </c>
      <c r="B8" s="8">
        <f>IFERROR(INDEX('23_SPARES'!J:J, MATCH("TOTAL", '23_SPARES'!A:A, 0)),0)</f>
        <v>0</v>
      </c>
      <c r="C8" s="8">
        <f>IFERROR(INDEX('23_SPARES'!K:K, MATCH("TOTAL", '23_SPARES'!A:A, 0)),0)</f>
        <v>0</v>
      </c>
      <c r="D8" s="8">
        <f>IFERROR(INDEX('23_SPARES'!F:F, MATCH("TOTAL", '23_SPARES'!A:A, 0)),0)</f>
        <v>0</v>
      </c>
      <c r="E8" s="8">
        <f>IFERROR(INDEX('23_SPARES'!G:G, MATCH("TOTAL", '23_SPARES'!A:A, 0)),0)</f>
        <v>0</v>
      </c>
      <c r="F8" s="8">
        <f>IFERROR(INDEX('23_SPARES'!H:H, MATCH("TOTAL", '23_SPARES'!A:A, 0)),0)</f>
        <v>0</v>
      </c>
    </row>
    <row r="9" spans="1:6">
      <c r="A9" s="7" t="s">
        <v>2160</v>
      </c>
      <c r="B9" s="8">
        <f>IFERROR(INDEX('24_ADDONS'!J:J, MATCH("TOTAL", '24_ADDONS'!A:A, 0)),0)</f>
        <v>0</v>
      </c>
      <c r="C9" s="8">
        <f>IFERROR(INDEX('24_ADDONS'!K:K, MATCH("TOTAL", '24_ADDONS'!A:A, 0)),0)</f>
        <v>0</v>
      </c>
      <c r="D9" s="8">
        <f>IFERROR(INDEX('24_ADDONS'!F:F, MATCH("TOTAL", '24_ADDONS'!A:A, 0)),0)</f>
        <v>0</v>
      </c>
      <c r="E9" s="8">
        <f>IFERROR(INDEX('24_ADDONS'!G:G, MATCH("TOTAL", '24_ADDONS'!A:A, 0)),0)</f>
        <v>0</v>
      </c>
      <c r="F9" s="8">
        <f>IFERROR(INDEX('24_ADDONS'!H:H, MATCH("TOTAL", '24_ADDONS'!A:A, 0)),0)</f>
        <v>0</v>
      </c>
    </row>
    <row r="13" spans="1:6">
      <c r="A13" s="10" t="s">
        <v>2161</v>
      </c>
    </row>
    <row r="14" spans="1:6">
      <c r="A14" s="67" t="s">
        <v>2162</v>
      </c>
      <c r="B14" s="67" t="s">
        <v>1292</v>
      </c>
    </row>
    <row r="15" spans="1:6">
      <c r="A15" s="7" t="s">
        <v>2163</v>
      </c>
      <c r="B15" s="8">
        <f t="array" ref="B15">SUMPRODUCT(('12 - Device_Configuration'!$T$2:$X$527&lt;&gt;"")*('12 - Device_Configuration'!$AV$2:$AZ$527&lt;&gt;"Yes")*('12 - Device_Configuration'!$AV$2:$AZ$527&lt;&gt;"N/A"))</f>
        <v>214</v>
      </c>
    </row>
    <row r="16" spans="1:6">
      <c r="A16" s="7" t="s">
        <v>2164</v>
      </c>
      <c r="B16" s="8">
        <f t="array" ref="B16">SUMPRODUCT(('12 - Device_Configuration'!$T$2:$X$527&lt;&gt;"")*('12 - Device_Configuration'!$AW$2:$BA$527&lt;&gt;"Yes")*('12 - Device_Configuration'!$AW$2:$BA$527&lt;&gt;"N/A"))</f>
        <v>179</v>
      </c>
    </row>
    <row r="17" spans="1:2">
      <c r="A17" s="7" t="s">
        <v>2165</v>
      </c>
      <c r="B17" s="8">
        <f t="array" ref="B17">SUMPRODUCT(('12 - Device_Configuration'!$T$2:$X$527&lt;&gt;"")*('12 - Device_Configuration'!$BD$2:$BH$527&lt;&gt;"Yes")*('12 - Device_Configuration'!$BD$2:$BH$527&lt;&gt;"N/A"))</f>
        <v>78</v>
      </c>
    </row>
    <row r="18" spans="1:2">
      <c r="A18" s="7" t="s">
        <v>2166</v>
      </c>
      <c r="B18" s="8">
        <f t="array" ref="B18">SUMPRODUCT(('12 - Device_Configuration'!$T$2:$X$527&lt;&gt;"")*('12 - Device_Configuration'!$BD$2:$BH$527="Yes")*('12 - Device_Configuration'!$BE$2:$BI$527&lt;&gt;"Yes")*('12 - Device_Configuration'!$BE$2:$BI$527&lt;&gt;"N/A"))</f>
        <v>34</v>
      </c>
    </row>
    <row r="19" spans="1:2">
      <c r="A19" s="7" t="s">
        <v>2167</v>
      </c>
      <c r="B19" s="8">
        <f t="array" ref="B19">SUMPRODUCT(('12 - Device_Configuration'!$T$2:$X$527&lt;&gt;"")*('12 - Device_Configuration'!$BI$2:$BM$527&lt;&gt;"Yes")*('12 - Device_Configuration'!$BI$2:$BM$527&lt;&gt;"N/A"))</f>
        <v>180</v>
      </c>
    </row>
    <row r="20" spans="1:2">
      <c r="A20" s="7" t="s">
        <v>2168</v>
      </c>
      <c r="B20" s="8">
        <f t="array" ref="B20">SUMPRODUCT(('12 - Device_Configuration'!$T$2:$X$527&lt;&gt;"")*('12 - Device_Configuration'!$BJ$2:$BN$527&lt;&gt;"Yes")*('12 - Device_Configuration'!$BJ$2:$BN$527&lt;&gt;"N/A"))</f>
        <v>214</v>
      </c>
    </row>
    <row r="21" spans="1:2">
      <c r="A21" s="7" t="s">
        <v>2169</v>
      </c>
      <c r="B21" s="8">
        <f>COUNTIF('12 - Device_Configuration'!BL2:BP527,"Yes")</f>
        <v>0</v>
      </c>
    </row>
  </sheetData>
  <dataValidations count="1">
    <dataValidation type="custom" allowBlank="1" showInputMessage="1" showErrorMessage="1" errorTitle="Automated field, foo 🤡" error="Skedaddle 💨. Don't overwrite formulas 😄" sqref="A6:A9 A13 A16:A21 C5:C9 D5:D9 E5:E9 F5:F9" xr:uid="{00000000-0002-0000-1600-000000000000}">
      <formula1>FALSE</formula1>
    </dataValidation>
  </dataValidation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19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8" customWidth="1"/>
    <col min="2" max="2" width="66" customWidth="1"/>
    <col min="3" max="3" width="18" customWidth="1"/>
    <col min="4" max="4" width="12" customWidth="1"/>
    <col min="5" max="5" width="16" customWidth="1"/>
    <col min="6" max="6" width="14" customWidth="1"/>
    <col min="7" max="7" width="30" customWidth="1"/>
  </cols>
  <sheetData>
    <row r="1" spans="1:7" ht="18.75" customHeight="1">
      <c r="A1" s="11" t="s">
        <v>2170</v>
      </c>
    </row>
    <row r="3" spans="1:7" ht="30" customHeight="1">
      <c r="A3" s="67" t="s">
        <v>2126</v>
      </c>
      <c r="B3" s="67" t="s">
        <v>2171</v>
      </c>
      <c r="C3" s="67" t="s">
        <v>2172</v>
      </c>
      <c r="D3" s="67" t="s">
        <v>2173</v>
      </c>
      <c r="E3" s="67" t="s">
        <v>2174</v>
      </c>
      <c r="F3" s="67" t="s">
        <v>2175</v>
      </c>
      <c r="G3" s="67" t="s">
        <v>189</v>
      </c>
    </row>
    <row r="4" spans="1:7" ht="150">
      <c r="A4" s="8" t="s">
        <v>1331</v>
      </c>
      <c r="B4" s="4" t="s">
        <v>2176</v>
      </c>
      <c r="C4" s="8" t="s">
        <v>1331</v>
      </c>
      <c r="D4" s="8" t="s">
        <v>2177</v>
      </c>
      <c r="E4" s="8"/>
      <c r="F4" s="12"/>
      <c r="G4" s="4"/>
    </row>
    <row r="5" spans="1:7" ht="30" customHeight="1">
      <c r="A5" s="8" t="s">
        <v>1331</v>
      </c>
      <c r="B5" s="4" t="s">
        <v>2178</v>
      </c>
      <c r="C5" s="8" t="s">
        <v>1331</v>
      </c>
      <c r="D5" s="8" t="s">
        <v>2177</v>
      </c>
      <c r="E5" s="8"/>
      <c r="F5" s="12"/>
      <c r="G5" s="4"/>
    </row>
    <row r="6" spans="1:7" ht="30" customHeight="1">
      <c r="A6" s="8" t="s">
        <v>1331</v>
      </c>
      <c r="B6" s="4" t="s">
        <v>2179</v>
      </c>
      <c r="C6" s="8" t="s">
        <v>1331</v>
      </c>
      <c r="D6" s="8" t="s">
        <v>2177</v>
      </c>
      <c r="E6" s="8"/>
      <c r="F6" s="12"/>
      <c r="G6" s="4"/>
    </row>
    <row r="7" spans="1:7" ht="30" customHeight="1">
      <c r="A7" s="8" t="s">
        <v>1331</v>
      </c>
      <c r="B7" s="4" t="s">
        <v>2180</v>
      </c>
      <c r="C7" s="8" t="s">
        <v>1331</v>
      </c>
      <c r="D7" s="8" t="s">
        <v>2177</v>
      </c>
      <c r="E7" s="8"/>
      <c r="F7" s="12"/>
      <c r="G7" s="4"/>
    </row>
    <row r="8" spans="1:7" ht="150">
      <c r="A8" s="8" t="s">
        <v>1331</v>
      </c>
      <c r="B8" s="4" t="s">
        <v>2181</v>
      </c>
      <c r="C8" s="8" t="s">
        <v>1331</v>
      </c>
      <c r="D8" s="8" t="s">
        <v>2177</v>
      </c>
      <c r="E8" s="8"/>
      <c r="F8" s="12"/>
      <c r="G8" s="4"/>
    </row>
    <row r="9" spans="1:7" ht="30" customHeight="1">
      <c r="A9" s="8" t="s">
        <v>1331</v>
      </c>
      <c r="B9" s="4" t="s">
        <v>2182</v>
      </c>
      <c r="C9" s="8" t="s">
        <v>1331</v>
      </c>
      <c r="D9" s="8" t="s">
        <v>2177</v>
      </c>
      <c r="E9" s="8"/>
      <c r="F9" s="12"/>
      <c r="G9" s="4"/>
    </row>
    <row r="10" spans="1:7" ht="45" customHeight="1">
      <c r="A10" s="8" t="s">
        <v>2183</v>
      </c>
      <c r="B10" s="4" t="s">
        <v>2184</v>
      </c>
      <c r="C10" s="8" t="s">
        <v>1331</v>
      </c>
      <c r="D10" s="8" t="s">
        <v>2177</v>
      </c>
      <c r="E10" s="8"/>
      <c r="F10" s="12"/>
      <c r="G10" s="4"/>
    </row>
    <row r="11" spans="1:7" ht="30" customHeight="1">
      <c r="A11" s="8" t="s">
        <v>2185</v>
      </c>
      <c r="B11" s="4" t="s">
        <v>2186</v>
      </c>
      <c r="C11" s="8" t="s">
        <v>2187</v>
      </c>
      <c r="D11" s="8" t="s">
        <v>2177</v>
      </c>
      <c r="E11" s="8"/>
      <c r="F11" s="12"/>
      <c r="G11" s="4"/>
    </row>
    <row r="12" spans="1:7" ht="30" customHeight="1">
      <c r="A12" s="8" t="s">
        <v>2188</v>
      </c>
      <c r="B12" s="4" t="s">
        <v>2189</v>
      </c>
      <c r="C12" s="8" t="s">
        <v>1331</v>
      </c>
      <c r="D12" s="8" t="s">
        <v>2177</v>
      </c>
      <c r="E12" s="8"/>
      <c r="F12" s="12"/>
      <c r="G12" s="4"/>
    </row>
    <row r="13" spans="1:7" ht="30" customHeight="1">
      <c r="A13" s="8" t="s">
        <v>2190</v>
      </c>
      <c r="B13" s="4" t="s">
        <v>2191</v>
      </c>
      <c r="C13" s="8" t="s">
        <v>1331</v>
      </c>
      <c r="D13" s="8" t="s">
        <v>2177</v>
      </c>
      <c r="E13" s="8"/>
      <c r="F13" s="12"/>
      <c r="G13" s="4"/>
    </row>
    <row r="14" spans="1:7" ht="30" customHeight="1">
      <c r="A14" s="8" t="s">
        <v>2192</v>
      </c>
      <c r="B14" s="4" t="s">
        <v>2193</v>
      </c>
      <c r="C14" s="8" t="s">
        <v>2194</v>
      </c>
      <c r="D14" s="8" t="s">
        <v>2177</v>
      </c>
      <c r="E14" s="8"/>
      <c r="F14" s="12"/>
      <c r="G14" s="4"/>
    </row>
    <row r="15" spans="1:7" ht="30" customHeight="1">
      <c r="A15" s="8" t="s">
        <v>2192</v>
      </c>
      <c r="B15" s="4" t="s">
        <v>2195</v>
      </c>
      <c r="C15" s="8" t="s">
        <v>1331</v>
      </c>
      <c r="D15" s="8" t="s">
        <v>2177</v>
      </c>
      <c r="E15" s="8"/>
      <c r="F15" s="12"/>
      <c r="G15" s="4"/>
    </row>
    <row r="16" spans="1:7" ht="30" customHeight="1">
      <c r="A16" s="8" t="s">
        <v>2192</v>
      </c>
      <c r="B16" s="4" t="s">
        <v>2196</v>
      </c>
      <c r="C16" s="8" t="s">
        <v>1645</v>
      </c>
      <c r="D16" s="8" t="s">
        <v>2177</v>
      </c>
      <c r="E16" s="8"/>
      <c r="F16" s="12"/>
      <c r="G16" s="4"/>
    </row>
    <row r="17" spans="1:7" ht="30" customHeight="1">
      <c r="A17" s="8" t="s">
        <v>2192</v>
      </c>
      <c r="B17" s="4" t="s">
        <v>2197</v>
      </c>
      <c r="C17" s="8" t="s">
        <v>1645</v>
      </c>
      <c r="D17" s="8" t="s">
        <v>2177</v>
      </c>
      <c r="E17" s="8"/>
      <c r="F17" s="12"/>
      <c r="G17" s="4"/>
    </row>
    <row r="18" spans="1:7" ht="150">
      <c r="A18" s="8" t="s">
        <v>2192</v>
      </c>
      <c r="B18" s="4" t="s">
        <v>2198</v>
      </c>
      <c r="C18" s="8" t="s">
        <v>1645</v>
      </c>
      <c r="D18" s="8" t="s">
        <v>2177</v>
      </c>
      <c r="E18" s="8"/>
      <c r="F18" s="12"/>
      <c r="G18" s="4"/>
    </row>
    <row r="19" spans="1:7" ht="30" customHeight="1">
      <c r="A19" s="8" t="s">
        <v>2199</v>
      </c>
      <c r="B19" s="4" t="s">
        <v>2200</v>
      </c>
      <c r="C19" s="8" t="s">
        <v>1645</v>
      </c>
      <c r="D19" s="8" t="s">
        <v>2177</v>
      </c>
      <c r="E19" s="8"/>
      <c r="F19" s="12"/>
      <c r="G19" s="4"/>
    </row>
  </sheetData>
  <dataValidations count="1">
    <dataValidation type="list" allowBlank="1" sqref="D4:D2000" xr:uid="{00000000-0002-0000-1700-000000000000}">
      <formula1>"Not Started,In Progress,Blocked,Done,N/A"</formula1>
    </dataValidation>
  </dataValidations>
  <pageMargins left="0.75" right="0.75" top="1" bottom="1" header="0.5" footer="0.5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20"/>
  <sheetViews>
    <sheetView workbookViewId="0">
      <pane xSplit="1" ySplit="3" topLeftCell="B4" activePane="bottomRight" state="frozen"/>
      <selection pane="bottomRight"/>
      <selection pane="bottomLeft"/>
      <selection pane="topRight"/>
    </sheetView>
  </sheetViews>
  <sheetFormatPr defaultRowHeight="15"/>
  <cols>
    <col min="1" max="1" width="18" customWidth="1"/>
    <col min="2" max="3" width="16" customWidth="1"/>
    <col min="4" max="4" width="20" customWidth="1"/>
    <col min="5" max="5" width="16" customWidth="1"/>
    <col min="6" max="6" width="18" customWidth="1"/>
    <col min="7" max="7" width="22" customWidth="1"/>
    <col min="8" max="8" width="34" customWidth="1"/>
  </cols>
  <sheetData>
    <row r="1" spans="1:8" ht="18.75" customHeight="1">
      <c r="A1" s="11" t="s">
        <v>2201</v>
      </c>
    </row>
    <row r="3" spans="1:8" ht="30" customHeight="1">
      <c r="A3" s="67" t="s">
        <v>2102</v>
      </c>
      <c r="B3" s="67" t="s">
        <v>2202</v>
      </c>
      <c r="C3" s="67" t="s">
        <v>2203</v>
      </c>
      <c r="D3" s="67" t="s">
        <v>2204</v>
      </c>
      <c r="E3" s="67" t="s">
        <v>2205</v>
      </c>
      <c r="F3" s="67" t="s">
        <v>2206</v>
      </c>
      <c r="G3" s="67" t="s">
        <v>34</v>
      </c>
      <c r="H3" s="67" t="s">
        <v>189</v>
      </c>
    </row>
    <row r="4" spans="1:8" ht="75">
      <c r="A4" s="8" t="s">
        <v>2109</v>
      </c>
      <c r="B4" s="8" t="s">
        <v>2207</v>
      </c>
      <c r="C4" s="8" t="s">
        <v>2207</v>
      </c>
      <c r="D4" s="8" t="s">
        <v>2207</v>
      </c>
      <c r="E4" s="8" t="s">
        <v>2207</v>
      </c>
      <c r="F4" s="8" t="s">
        <v>2207</v>
      </c>
      <c r="G4" s="8" t="s">
        <v>2207</v>
      </c>
      <c r="H4" s="4"/>
    </row>
    <row r="5" spans="1:8" ht="75">
      <c r="A5" s="8" t="s">
        <v>2110</v>
      </c>
      <c r="B5" s="8" t="s">
        <v>2207</v>
      </c>
      <c r="C5" s="8" t="s">
        <v>2207</v>
      </c>
      <c r="D5" s="8" t="s">
        <v>2207</v>
      </c>
      <c r="E5" s="8" t="s">
        <v>2207</v>
      </c>
      <c r="F5" s="8" t="s">
        <v>2207</v>
      </c>
      <c r="G5" s="8" t="s">
        <v>2207</v>
      </c>
      <c r="H5" s="4"/>
    </row>
    <row r="6" spans="1:8" ht="75">
      <c r="A6" s="8" t="s">
        <v>2111</v>
      </c>
      <c r="B6" s="8" t="s">
        <v>2207</v>
      </c>
      <c r="C6" s="8" t="s">
        <v>2207</v>
      </c>
      <c r="D6" s="8" t="s">
        <v>2207</v>
      </c>
      <c r="E6" s="8" t="s">
        <v>2207</v>
      </c>
      <c r="F6" s="8" t="s">
        <v>2207</v>
      </c>
      <c r="G6" s="8" t="s">
        <v>2207</v>
      </c>
      <c r="H6" s="4"/>
    </row>
    <row r="7" spans="1:8" ht="75">
      <c r="A7" s="8" t="s">
        <v>1651</v>
      </c>
      <c r="B7" s="8" t="s">
        <v>2207</v>
      </c>
      <c r="C7" s="8" t="s">
        <v>2207</v>
      </c>
      <c r="D7" s="8" t="s">
        <v>2207</v>
      </c>
      <c r="E7" s="8" t="s">
        <v>2207</v>
      </c>
      <c r="F7" s="8" t="s">
        <v>2207</v>
      </c>
      <c r="G7" s="8" t="s">
        <v>2207</v>
      </c>
      <c r="H7" s="4"/>
    </row>
    <row r="8" spans="1:8" ht="75">
      <c r="A8" s="8" t="s">
        <v>2112</v>
      </c>
      <c r="B8" s="8" t="s">
        <v>2207</v>
      </c>
      <c r="C8" s="8" t="s">
        <v>2207</v>
      </c>
      <c r="D8" s="8" t="s">
        <v>2207</v>
      </c>
      <c r="E8" s="8" t="s">
        <v>2207</v>
      </c>
      <c r="F8" s="8" t="s">
        <v>2207</v>
      </c>
      <c r="G8" s="8" t="s">
        <v>2207</v>
      </c>
      <c r="H8" s="4"/>
    </row>
    <row r="9" spans="1:8" ht="75">
      <c r="A9" s="8" t="s">
        <v>1631</v>
      </c>
      <c r="B9" s="8" t="s">
        <v>2207</v>
      </c>
      <c r="C9" s="8" t="s">
        <v>2207</v>
      </c>
      <c r="D9" s="8" t="s">
        <v>2207</v>
      </c>
      <c r="E9" s="8" t="s">
        <v>2207</v>
      </c>
      <c r="F9" s="8" t="s">
        <v>2207</v>
      </c>
      <c r="G9" s="8" t="s">
        <v>2207</v>
      </c>
      <c r="H9" s="4"/>
    </row>
    <row r="10" spans="1:8" ht="75">
      <c r="A10" s="8" t="s">
        <v>2113</v>
      </c>
      <c r="B10" s="8" t="s">
        <v>2207</v>
      </c>
      <c r="C10" s="8" t="s">
        <v>2207</v>
      </c>
      <c r="D10" s="8" t="s">
        <v>2207</v>
      </c>
      <c r="E10" s="8" t="s">
        <v>2207</v>
      </c>
      <c r="F10" s="8" t="s">
        <v>2207</v>
      </c>
      <c r="G10" s="8" t="s">
        <v>2207</v>
      </c>
      <c r="H10" s="4"/>
    </row>
    <row r="11" spans="1:8" ht="75">
      <c r="A11" s="8" t="s">
        <v>2114</v>
      </c>
      <c r="B11" s="8" t="s">
        <v>2207</v>
      </c>
      <c r="C11" s="8" t="s">
        <v>2207</v>
      </c>
      <c r="D11" s="8" t="s">
        <v>2207</v>
      </c>
      <c r="E11" s="8" t="s">
        <v>2207</v>
      </c>
      <c r="F11" s="8" t="s">
        <v>2207</v>
      </c>
      <c r="G11" s="8" t="s">
        <v>2207</v>
      </c>
      <c r="H11" s="4"/>
    </row>
    <row r="12" spans="1:8" ht="75">
      <c r="A12" s="8" t="s">
        <v>2115</v>
      </c>
      <c r="B12" s="8" t="s">
        <v>2207</v>
      </c>
      <c r="C12" s="8" t="s">
        <v>2207</v>
      </c>
      <c r="D12" s="8" t="s">
        <v>2207</v>
      </c>
      <c r="E12" s="8" t="s">
        <v>2207</v>
      </c>
      <c r="F12" s="8" t="s">
        <v>2207</v>
      </c>
      <c r="G12" s="8" t="s">
        <v>2207</v>
      </c>
      <c r="H12" s="4"/>
    </row>
    <row r="13" spans="1:8" ht="75">
      <c r="A13" s="8" t="s">
        <v>2116</v>
      </c>
      <c r="B13" s="8" t="s">
        <v>2207</v>
      </c>
      <c r="C13" s="8" t="s">
        <v>2207</v>
      </c>
      <c r="D13" s="8" t="s">
        <v>2207</v>
      </c>
      <c r="E13" s="8" t="s">
        <v>2207</v>
      </c>
      <c r="F13" s="8" t="s">
        <v>2207</v>
      </c>
      <c r="G13" s="8" t="s">
        <v>2207</v>
      </c>
      <c r="H13" s="4"/>
    </row>
    <row r="14" spans="1:8" ht="75">
      <c r="A14" s="8" t="s">
        <v>2117</v>
      </c>
      <c r="B14" s="8" t="s">
        <v>2207</v>
      </c>
      <c r="C14" s="8" t="s">
        <v>2207</v>
      </c>
      <c r="D14" s="8" t="s">
        <v>2207</v>
      </c>
      <c r="E14" s="8" t="s">
        <v>2207</v>
      </c>
      <c r="F14" s="8" t="s">
        <v>2207</v>
      </c>
      <c r="G14" s="8" t="s">
        <v>2207</v>
      </c>
      <c r="H14" s="4"/>
    </row>
    <row r="15" spans="1:8" ht="75">
      <c r="A15" s="8" t="s">
        <v>2118</v>
      </c>
      <c r="B15" s="8" t="s">
        <v>2207</v>
      </c>
      <c r="C15" s="8" t="s">
        <v>2207</v>
      </c>
      <c r="D15" s="8" t="s">
        <v>2207</v>
      </c>
      <c r="E15" s="8" t="s">
        <v>2207</v>
      </c>
      <c r="F15" s="8" t="s">
        <v>2207</v>
      </c>
      <c r="G15" s="8" t="s">
        <v>2207</v>
      </c>
      <c r="H15" s="4"/>
    </row>
    <row r="16" spans="1:8" ht="75">
      <c r="A16" s="8" t="s">
        <v>2119</v>
      </c>
      <c r="B16" s="8" t="s">
        <v>2207</v>
      </c>
      <c r="C16" s="8" t="s">
        <v>2207</v>
      </c>
      <c r="D16" s="8" t="s">
        <v>2207</v>
      </c>
      <c r="E16" s="8" t="s">
        <v>2207</v>
      </c>
      <c r="F16" s="8" t="s">
        <v>2207</v>
      </c>
      <c r="G16" s="8" t="s">
        <v>2207</v>
      </c>
      <c r="H16" s="4"/>
    </row>
    <row r="17" spans="1:8" ht="75">
      <c r="A17" s="8" t="s">
        <v>2120</v>
      </c>
      <c r="B17" s="8" t="s">
        <v>2207</v>
      </c>
      <c r="C17" s="8" t="s">
        <v>2207</v>
      </c>
      <c r="D17" s="8" t="s">
        <v>2207</v>
      </c>
      <c r="E17" s="8" t="s">
        <v>2207</v>
      </c>
      <c r="F17" s="8" t="s">
        <v>2207</v>
      </c>
      <c r="G17" s="8" t="s">
        <v>2207</v>
      </c>
      <c r="H17" s="4"/>
    </row>
    <row r="18" spans="1:8" ht="75">
      <c r="A18" s="8" t="s">
        <v>2121</v>
      </c>
      <c r="B18" s="8" t="s">
        <v>2207</v>
      </c>
      <c r="C18" s="8" t="s">
        <v>2207</v>
      </c>
      <c r="D18" s="8" t="s">
        <v>2207</v>
      </c>
      <c r="E18" s="8" t="s">
        <v>2207</v>
      </c>
      <c r="F18" s="8" t="s">
        <v>2207</v>
      </c>
      <c r="G18" s="8" t="s">
        <v>2207</v>
      </c>
      <c r="H18" s="4"/>
    </row>
    <row r="19" spans="1:8" ht="75">
      <c r="A19" s="8" t="s">
        <v>2122</v>
      </c>
      <c r="B19" s="8" t="s">
        <v>2207</v>
      </c>
      <c r="C19" s="8" t="s">
        <v>2207</v>
      </c>
      <c r="D19" s="8" t="s">
        <v>2207</v>
      </c>
      <c r="E19" s="8" t="s">
        <v>2207</v>
      </c>
      <c r="F19" s="8" t="s">
        <v>2207</v>
      </c>
      <c r="G19" s="8" t="s">
        <v>2207</v>
      </c>
      <c r="H19" s="4"/>
    </row>
    <row r="20" spans="1:8" ht="75">
      <c r="A20" s="8" t="s">
        <v>2123</v>
      </c>
      <c r="B20" s="8" t="s">
        <v>2207</v>
      </c>
      <c r="C20" s="8" t="s">
        <v>2207</v>
      </c>
      <c r="D20" s="8" t="s">
        <v>2207</v>
      </c>
      <c r="E20" s="8" t="s">
        <v>2207</v>
      </c>
      <c r="F20" s="8" t="s">
        <v>2207</v>
      </c>
      <c r="G20" s="8" t="s">
        <v>2207</v>
      </c>
      <c r="H20" s="4"/>
    </row>
  </sheetData>
  <dataValidations count="1">
    <dataValidation type="list" allowBlank="1" sqref="B4:G500" xr:uid="{00000000-0002-0000-1800-000000000000}">
      <formula1>"Red,Yellow,Green,N/A"</formula1>
    </dataValidation>
  </dataValidations>
  <pageMargins left="0.75" right="0.75" top="1" bottom="1" header="0.5" footer="0.5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66"/>
  <sheetViews>
    <sheetView workbookViewId="0">
      <pane ySplit="3" topLeftCell="A45" activePane="bottomLeft" state="frozen"/>
      <selection pane="bottomLeft" activeCell="A46" sqref="A46"/>
    </sheetView>
  </sheetViews>
  <sheetFormatPr defaultRowHeight="15"/>
  <cols>
    <col min="1" max="1" width="72" customWidth="1"/>
    <col min="2" max="2" width="54" customWidth="1"/>
    <col min="3" max="3" width="24" customWidth="1"/>
    <col min="4" max="4" width="28" customWidth="1"/>
    <col min="5" max="5" width="32" customWidth="1"/>
  </cols>
  <sheetData>
    <row r="1" spans="1:5" ht="18.75" customHeight="1">
      <c r="A1" s="11" t="s">
        <v>2208</v>
      </c>
    </row>
    <row r="3" spans="1:5" ht="90">
      <c r="A3" s="67" t="s">
        <v>18</v>
      </c>
      <c r="B3" s="67" t="s">
        <v>2209</v>
      </c>
      <c r="C3" s="67" t="s">
        <v>2210</v>
      </c>
      <c r="D3" s="67" t="s">
        <v>2211</v>
      </c>
      <c r="E3" s="67" t="s">
        <v>2212</v>
      </c>
    </row>
    <row r="4" spans="1:5" ht="60" customHeight="1">
      <c r="A4" s="4">
        <f>374</f>
        <v>374</v>
      </c>
      <c r="B4" s="4" t="s">
        <v>2213</v>
      </c>
      <c r="C4" s="4"/>
      <c r="D4" s="4"/>
      <c r="E4" s="4"/>
    </row>
    <row r="5" spans="1:5" ht="60" customHeight="1">
      <c r="A5" s="4">
        <f>4/4</f>
        <v>1</v>
      </c>
      <c r="B5" s="4" t="s">
        <v>2214</v>
      </c>
      <c r="C5" s="4"/>
      <c r="D5" s="4"/>
      <c r="E5" s="4"/>
    </row>
    <row r="6" spans="1:5" ht="30" customHeight="1">
      <c r="A6" s="4" t="str">
        <f>$D$3</f>
        <v>Notes / Dependencies</v>
      </c>
      <c r="B6" s="4" t="s">
        <v>2215</v>
      </c>
      <c r="C6" s="4"/>
      <c r="D6" s="4"/>
      <c r="E6" s="4"/>
    </row>
    <row r="7" spans="1:5" ht="30" customHeight="1">
      <c r="A7" s="4">
        <f>D22/38</f>
        <v>0</v>
      </c>
      <c r="B7" s="4" t="s">
        <v>2216</v>
      </c>
      <c r="C7" s="4"/>
      <c r="D7" s="4"/>
      <c r="E7" s="4"/>
    </row>
    <row r="8" spans="1:5" ht="30" customHeight="1">
      <c r="A8" s="4">
        <f>D23/38</f>
        <v>0</v>
      </c>
      <c r="B8" s="4" t="s">
        <v>2217</v>
      </c>
      <c r="C8" s="4"/>
      <c r="D8" s="4"/>
      <c r="E8" s="4"/>
    </row>
    <row r="9" spans="1:5" ht="180" customHeight="1">
      <c r="A9" s="4">
        <f>343/358</f>
        <v>0.95810055865921784</v>
      </c>
      <c r="B9" s="4" t="s">
        <v>2218</v>
      </c>
      <c r="C9" s="4"/>
      <c r="D9" s="4"/>
      <c r="E9" s="4"/>
    </row>
    <row r="10" spans="1:5" ht="90" customHeight="1">
      <c r="A10" s="4">
        <f>374/389</f>
        <v>0.96143958868894597</v>
      </c>
      <c r="B10" s="4" t="s">
        <v>2219</v>
      </c>
      <c r="C10" s="4"/>
      <c r="D10" s="4"/>
      <c r="E10" s="4"/>
    </row>
    <row r="11" spans="1:5" ht="60" customHeight="1">
      <c r="A11" s="4">
        <f>375/389</f>
        <v>0.96401028277634959</v>
      </c>
      <c r="B11" s="4" t="s">
        <v>2220</v>
      </c>
      <c r="C11" s="4"/>
      <c r="D11" s="4"/>
      <c r="E11" s="4"/>
    </row>
    <row r="12" spans="1:5" ht="60" customHeight="1">
      <c r="A12" s="4">
        <f>376/389</f>
        <v>0.96658097686375322</v>
      </c>
      <c r="B12" s="4" t="s">
        <v>2221</v>
      </c>
      <c r="C12" s="4"/>
      <c r="D12" s="4"/>
      <c r="E12" s="4"/>
    </row>
    <row r="13" spans="1:5" ht="30" customHeight="1">
      <c r="A13" s="4">
        <f>389/389</f>
        <v>1</v>
      </c>
      <c r="B13" s="4" t="s">
        <v>2222</v>
      </c>
      <c r="C13" s="4"/>
      <c r="D13" s="4"/>
      <c r="E13" s="4"/>
    </row>
    <row r="14" spans="1:5" ht="30" customHeight="1">
      <c r="A14" s="4" t="e">
        <f>D20/(D16)</f>
        <v>#DIV/0!</v>
      </c>
      <c r="B14" s="4" t="s">
        <v>2223</v>
      </c>
      <c r="C14" s="4"/>
      <c r="D14" s="4"/>
      <c r="E14" s="4"/>
    </row>
    <row r="15" spans="1:5" ht="30" customHeight="1">
      <c r="A15" s="4" t="e">
        <f>D21/(D16)</f>
        <v>#DIV/0!</v>
      </c>
      <c r="B15" s="4" t="s">
        <v>2224</v>
      </c>
      <c r="C15" s="4"/>
      <c r="D15" s="4"/>
      <c r="E15" s="4"/>
    </row>
    <row r="16" spans="1:5" ht="60" customHeight="1">
      <c r="A16" s="4">
        <f>COUNTA(#REF!)</f>
        <v>1</v>
      </c>
      <c r="B16" s="4" t="s">
        <v>2225</v>
      </c>
      <c r="C16" s="4"/>
      <c r="D16" s="4"/>
      <c r="E16" s="4"/>
    </row>
    <row r="17" spans="1:5" ht="30" customHeight="1">
      <c r="A17" s="4">
        <f>SUM(AY3:AY10)</f>
        <v>0</v>
      </c>
      <c r="B17" s="4" t="s">
        <v>2226</v>
      </c>
      <c r="C17" s="4"/>
      <c r="D17" s="4"/>
      <c r="E17" s="4"/>
    </row>
    <row r="18" spans="1:5" ht="60" customHeight="1">
      <c r="A18" s="4" t="e">
        <f>(AT3/(AT3+AU3))</f>
        <v>#DIV/0!</v>
      </c>
      <c r="B18" s="4" t="s">
        <v>2227</v>
      </c>
      <c r="C18" s="4"/>
      <c r="D18" s="4"/>
      <c r="E18" s="4"/>
    </row>
    <row r="19" spans="1:5" ht="60" customHeight="1">
      <c r="A19" s="4" t="e">
        <f>AVERAGE(F5:F12)</f>
        <v>#DIV/0!</v>
      </c>
      <c r="B19" s="4" t="s">
        <v>2228</v>
      </c>
      <c r="C19" s="4"/>
      <c r="D19" s="4"/>
      <c r="E19" s="4"/>
    </row>
    <row r="20" spans="1:5" ht="30" customHeight="1">
      <c r="A20" s="4" t="e">
        <f>D11/(J25+K25+L25)</f>
        <v>#DIV/0!</v>
      </c>
      <c r="B20" s="4" t="s">
        <v>2229</v>
      </c>
      <c r="C20" s="4"/>
      <c r="D20" s="4"/>
      <c r="E20" s="4"/>
    </row>
    <row r="21" spans="1:5" ht="30" customHeight="1">
      <c r="A21" s="4" t="e">
        <f>D11/(J26+K26+L26)</f>
        <v>#DIV/0!</v>
      </c>
      <c r="B21" s="4" t="s">
        <v>2230</v>
      </c>
      <c r="C21" s="4"/>
      <c r="D21" s="4"/>
      <c r="E21" s="4"/>
    </row>
    <row r="22" spans="1:5" ht="30" customHeight="1">
      <c r="A22" s="4" t="e">
        <f>D12/(M25+N25+O25)</f>
        <v>#DIV/0!</v>
      </c>
      <c r="B22" s="4" t="s">
        <v>2231</v>
      </c>
      <c r="C22" s="4"/>
      <c r="D22" s="4"/>
      <c r="E22" s="4"/>
    </row>
    <row r="23" spans="1:5" ht="30" customHeight="1">
      <c r="A23" s="4" t="e">
        <f>D12/(M26+N26+O26)</f>
        <v>#DIV/0!</v>
      </c>
      <c r="B23" s="4" t="s">
        <v>2232</v>
      </c>
      <c r="C23" s="4"/>
      <c r="D23" s="4"/>
      <c r="E23" s="4"/>
    </row>
    <row r="24" spans="1:5" ht="30" customHeight="1">
      <c r="A24" s="4" t="str">
        <f>F25 &amp; " / " &amp; H25</f>
        <v xml:space="preserve"> / </v>
      </c>
      <c r="B24" s="4" t="s">
        <v>2233</v>
      </c>
      <c r="C24" s="4"/>
      <c r="D24" s="4"/>
      <c r="E24" s="4"/>
    </row>
    <row r="25" spans="1:5" ht="30" customHeight="1">
      <c r="A25" s="4" t="str">
        <f>F26 &amp; " / " &amp; H26</f>
        <v xml:space="preserve"> / </v>
      </c>
      <c r="B25" s="4" t="s">
        <v>2234</v>
      </c>
      <c r="C25" s="4"/>
      <c r="D25" s="4"/>
      <c r="E25" s="4"/>
    </row>
    <row r="26" spans="1:5" ht="30" customHeight="1">
      <c r="A26" s="4" t="e">
        <f>IF($D$3=0,0,$D$5/$D$3)</f>
        <v>#VALUE!</v>
      </c>
      <c r="B26" s="4" t="s">
        <v>2235</v>
      </c>
      <c r="C26" s="4"/>
      <c r="D26" s="4"/>
      <c r="E26" s="4"/>
    </row>
    <row r="27" spans="1:5" ht="30" customHeight="1">
      <c r="A27" s="4" t="e">
        <f>IF($D$3=0,0,$D$7/$D$3)</f>
        <v>#VALUE!</v>
      </c>
      <c r="B27" s="4" t="s">
        <v>2236</v>
      </c>
      <c r="C27" s="4"/>
      <c r="D27" s="4"/>
      <c r="E27" s="4"/>
    </row>
    <row r="28" spans="1:5" ht="30" customHeight="1">
      <c r="A28" s="4" t="str">
        <f t="shared" ref="A28:A35" si="0">IFERROR(AY3/$AY$11,"")</f>
        <v/>
      </c>
      <c r="B28" s="4" t="s">
        <v>2237</v>
      </c>
      <c r="C28" s="4"/>
      <c r="D28" s="4"/>
      <c r="E28" s="4"/>
    </row>
    <row r="29" spans="1:5" ht="30" customHeight="1">
      <c r="A29" s="4" t="str">
        <f t="shared" si="0"/>
        <v/>
      </c>
      <c r="B29" s="4" t="s">
        <v>2238</v>
      </c>
      <c r="C29" s="4"/>
      <c r="D29" s="4"/>
      <c r="E29" s="4"/>
    </row>
    <row r="30" spans="1:5" ht="30" customHeight="1">
      <c r="A30" s="4" t="str">
        <f t="shared" si="0"/>
        <v/>
      </c>
      <c r="B30" s="4" t="s">
        <v>2239</v>
      </c>
      <c r="C30" s="4"/>
      <c r="D30" s="4"/>
      <c r="E30" s="4"/>
    </row>
    <row r="31" spans="1:5" ht="30" customHeight="1">
      <c r="A31" s="4" t="str">
        <f t="shared" si="0"/>
        <v/>
      </c>
      <c r="B31" s="4" t="s">
        <v>2240</v>
      </c>
      <c r="C31" s="4"/>
      <c r="D31" s="4"/>
      <c r="E31" s="4"/>
    </row>
    <row r="32" spans="1:5" ht="30" customHeight="1">
      <c r="A32" s="4" t="str">
        <f t="shared" si="0"/>
        <v/>
      </c>
      <c r="B32" s="4" t="s">
        <v>2241</v>
      </c>
      <c r="C32" s="4"/>
      <c r="D32" s="4"/>
      <c r="E32" s="4"/>
    </row>
    <row r="33" spans="1:5" ht="30" customHeight="1">
      <c r="A33" s="4" t="str">
        <f t="shared" si="0"/>
        <v/>
      </c>
      <c r="B33" s="4" t="s">
        <v>2242</v>
      </c>
      <c r="C33" s="4"/>
      <c r="D33" s="4"/>
      <c r="E33" s="4"/>
    </row>
    <row r="34" spans="1:5" ht="30" customHeight="1">
      <c r="A34" s="4" t="str">
        <f t="shared" si="0"/>
        <v/>
      </c>
      <c r="B34" s="4" t="s">
        <v>2243</v>
      </c>
      <c r="C34" s="4"/>
      <c r="D34" s="4"/>
      <c r="E34" s="4"/>
    </row>
    <row r="35" spans="1:5" ht="30" customHeight="1">
      <c r="A35" s="4" t="str">
        <f t="shared" si="0"/>
        <v/>
      </c>
      <c r="B35" s="4" t="s">
        <v>2244</v>
      </c>
      <c r="C35" s="4"/>
      <c r="D35" s="4"/>
      <c r="E35" s="4"/>
    </row>
    <row r="36" spans="1:5" ht="60" customHeight="1">
      <c r="A36" s="4">
        <f>COUNTIF(AF14:AF333, "No")</f>
        <v>0</v>
      </c>
      <c r="B36" s="4" t="s">
        <v>2245</v>
      </c>
      <c r="C36" s="4"/>
      <c r="D36" s="4"/>
      <c r="E36" s="4"/>
    </row>
    <row r="37" spans="1:5" ht="60" customHeight="1">
      <c r="A37" s="4">
        <f>COUNTIF(AF14:AF333, "Yes")</f>
        <v>0</v>
      </c>
      <c r="B37" s="4" t="s">
        <v>2246</v>
      </c>
      <c r="C37" s="4"/>
      <c r="D37" s="4"/>
      <c r="E37" s="4"/>
    </row>
    <row r="38" spans="1:5" ht="30" customHeight="1">
      <c r="A38" s="4" t="e">
        <f>COUNTIF(#REF!, AX3)</f>
        <v>#REF!</v>
      </c>
      <c r="B38" s="4" t="s">
        <v>2247</v>
      </c>
      <c r="C38" s="4"/>
      <c r="D38" s="4"/>
      <c r="E38" s="4"/>
    </row>
    <row r="39" spans="1:5" ht="30" customHeight="1">
      <c r="A39" s="4" t="e">
        <f>COUNTIF(#REF!, AX4)</f>
        <v>#REF!</v>
      </c>
      <c r="B39" s="4" t="s">
        <v>2248</v>
      </c>
      <c r="C39" s="4"/>
      <c r="D39" s="4"/>
      <c r="E39" s="4"/>
    </row>
    <row r="40" spans="1:5" ht="30" customHeight="1">
      <c r="A40" s="4" t="e">
        <f>COUNTIF(#REF!, AX5)</f>
        <v>#REF!</v>
      </c>
      <c r="B40" s="4" t="s">
        <v>2249</v>
      </c>
      <c r="C40" s="4"/>
      <c r="D40" s="4"/>
      <c r="E40" s="4"/>
    </row>
    <row r="41" spans="1:5" ht="30" customHeight="1">
      <c r="A41" s="4" t="e">
        <f>COUNTIF(#REF!, AX6)</f>
        <v>#REF!</v>
      </c>
      <c r="B41" s="4" t="s">
        <v>2250</v>
      </c>
      <c r="C41" s="4"/>
      <c r="D41" s="4"/>
      <c r="E41" s="4"/>
    </row>
    <row r="42" spans="1:5" ht="30" customHeight="1">
      <c r="A42" s="4" t="e">
        <f>COUNTIF(#REF!, AX7)</f>
        <v>#REF!</v>
      </c>
      <c r="B42" s="4" t="s">
        <v>2251</v>
      </c>
      <c r="C42" s="4"/>
      <c r="D42" s="4"/>
      <c r="E42" s="4"/>
    </row>
    <row r="43" spans="1:5" ht="30" customHeight="1">
      <c r="A43" s="4" t="e">
        <f>COUNTIF(#REF!, AX8)</f>
        <v>#REF!</v>
      </c>
      <c r="B43" s="4" t="s">
        <v>2252</v>
      </c>
      <c r="C43" s="4"/>
      <c r="D43" s="4"/>
      <c r="E43" s="4"/>
    </row>
    <row r="44" spans="1:5" ht="30" customHeight="1">
      <c r="A44" s="4" t="e">
        <f>COUNTIF(#REF!, AX9)</f>
        <v>#REF!</v>
      </c>
      <c r="B44" s="4" t="s">
        <v>2253</v>
      </c>
      <c r="C44" s="4"/>
      <c r="D44" s="4"/>
      <c r="E44" s="4"/>
    </row>
    <row r="45" spans="1:5" ht="30" customHeight="1">
      <c r="A45" s="4" t="e">
        <f>COUNTIF(#REF!, AX10)</f>
        <v>#REF!</v>
      </c>
      <c r="B45" s="4" t="s">
        <v>2254</v>
      </c>
      <c r="C45" s="4"/>
      <c r="D45" s="4"/>
      <c r="E45" s="4"/>
    </row>
    <row r="46" spans="1:5" ht="30.75" customHeight="1">
      <c r="A46" s="4" t="e">
        <v>#VALUE!</v>
      </c>
      <c r="B46" s="4" t="s">
        <v>2255</v>
      </c>
      <c r="C46" s="4"/>
      <c r="D46" s="4"/>
      <c r="E46" s="4"/>
    </row>
    <row r="47" spans="1:5" ht="30" customHeight="1">
      <c r="A47" s="4">
        <f>COUNTIF(V2:V279, "longer ethernet") + COUNTIF(V2:V279, "missing ethernet") + COUNTIF(V2:V279, "ethernet")</f>
        <v>0</v>
      </c>
      <c r="B47" s="4" t="s">
        <v>2256</v>
      </c>
      <c r="C47" s="4"/>
      <c r="D47" s="4"/>
      <c r="E47" s="4"/>
    </row>
    <row r="48" spans="1:5" ht="30.75" customHeight="1">
      <c r="A48" s="4" t="e">
        <v>#VALUE!</v>
      </c>
      <c r="B48" s="4" t="s">
        <v>2257</v>
      </c>
      <c r="C48" s="4"/>
      <c r="D48" s="4"/>
      <c r="E48" s="4"/>
    </row>
    <row r="49" spans="1:5" ht="30.75" customHeight="1">
      <c r="A49" s="4" t="e">
        <v>#VALUE!</v>
      </c>
      <c r="B49" s="4" t="s">
        <v>2258</v>
      </c>
      <c r="C49" s="4"/>
      <c r="D49" s="4"/>
      <c r="E49" s="4"/>
    </row>
    <row r="50" spans="1:5" ht="180" customHeight="1">
      <c r="A50" s="4" t="e">
        <f>IF(
    OR(#REF!&lt;&gt;"",#REF!&lt;&gt; ""),
    "Deployed",
    ""
)</f>
        <v>#REF!</v>
      </c>
      <c r="B50" s="4" t="s">
        <v>2259</v>
      </c>
      <c r="C50" s="4"/>
      <c r="D50" s="4"/>
      <c r="E50" s="4"/>
    </row>
    <row r="51" spans="1:5" ht="180" customHeight="1">
      <c r="A51" s="4" t="e">
        <f>IF(
    OR(#REF!&lt;&gt;"",#REF!&lt;&gt; ""),
    "Deployed",
    ""
)</f>
        <v>#REF!</v>
      </c>
      <c r="B51" s="4" t="s">
        <v>2260</v>
      </c>
      <c r="C51" s="4"/>
      <c r="D51" s="4"/>
      <c r="E51" s="4"/>
    </row>
    <row r="52" spans="1:5" ht="30.75" customHeight="1">
      <c r="A52" s="4" t="e">
        <v>#VALUE!</v>
      </c>
      <c r="B52" s="4" t="s">
        <v>2261</v>
      </c>
      <c r="C52" s="4"/>
      <c r="D52" s="4"/>
      <c r="E52" s="4"/>
    </row>
    <row r="53" spans="1:5" ht="30.75" customHeight="1">
      <c r="A53" s="4" t="e">
        <v>#VALUE!</v>
      </c>
      <c r="B53" s="4" t="s">
        <v>2262</v>
      </c>
      <c r="C53" s="4"/>
      <c r="D53" s="4"/>
      <c r="E53" s="4"/>
    </row>
    <row r="54" spans="1:5" ht="180" customHeight="1">
      <c r="A54" s="4" t="e">
        <f>--AND(#REF!=
   "Deployed",#REF!&lt;&gt;
   "",#REF!&lt;&gt;
   "Staged – Not Patched"
)</f>
        <v>#REF!</v>
      </c>
      <c r="B54" s="4" t="s">
        <v>2263</v>
      </c>
      <c r="C54" s="4"/>
      <c r="D54" s="4"/>
      <c r="E54" s="4"/>
    </row>
    <row r="55" spans="1:5" ht="180" customHeight="1">
      <c r="A55" s="4" t="e">
        <f>--AND(#REF!=
   "Deployed",#REF!&lt;&gt;
   "",#REF!&lt;&gt;
   "Staged – Not Patched"
)</f>
        <v>#REF!</v>
      </c>
      <c r="B55" s="4" t="s">
        <v>2264</v>
      </c>
      <c r="C55" s="4"/>
      <c r="D55" s="4"/>
      <c r="E55" s="4"/>
    </row>
    <row r="56" spans="1:5" ht="180" customHeight="1">
      <c r="A56" s="4">
        <f>IF(
    COUNTA(#REF!,#REF!,#REF!,#REF!,#REF!
    ) &gt; 0,
    1,
    ""
)</f>
        <v>1</v>
      </c>
      <c r="B56" s="4" t="s">
        <v>2265</v>
      </c>
      <c r="C56" s="4"/>
      <c r="D56" s="4"/>
      <c r="E56" s="4"/>
    </row>
    <row r="57" spans="1:5" ht="180" customHeight="1">
      <c r="A57" s="4">
        <f>IF(
    COUNTA(#REF!,#REF!,#REF!,#REF!,#REF!
    ) &gt; 0,
    200,
    ""
)</f>
        <v>200</v>
      </c>
      <c r="B57" s="4" t="s">
        <v>2266</v>
      </c>
      <c r="C57" s="4"/>
      <c r="D57" s="4"/>
      <c r="E57" s="4"/>
    </row>
    <row r="58" spans="1:5" ht="30" customHeight="1">
      <c r="A58" s="4"/>
      <c r="B58" s="4" t="s">
        <v>2267</v>
      </c>
      <c r="C58" s="4"/>
      <c r="D58" s="4"/>
      <c r="E58" s="4"/>
    </row>
    <row r="59" spans="1:5" ht="60" customHeight="1">
      <c r="A59" s="4" t="e">
        <f>IF(#REF!&lt;&gt;
    "",#REF!,
    IF(
        AND(#REF!&lt;&gt;
    "",#REF!&lt;&gt; ""),#REF! &amp;
 " / " &amp;#REF!,
        ""
    )
)</f>
        <v>#REF!</v>
      </c>
      <c r="B59" s="4" t="s">
        <v>2268</v>
      </c>
      <c r="C59" s="4"/>
      <c r="D59" s="4"/>
      <c r="E59" s="4"/>
    </row>
    <row r="60" spans="1:5" ht="180" customHeight="1">
      <c r="A60" s="4" t="e">
        <f>IF(#REF!&lt;&gt;
    "",#REF!,
    IF(
        AND(#REF!&lt;&gt;
    "",#REF!&lt;&gt; ""),#REF! &amp;
 " - " &amp;#REF!,
        ""
    )
)</f>
        <v>#REF!</v>
      </c>
      <c r="B60" s="4" t="s">
        <v>2269</v>
      </c>
      <c r="C60" s="4"/>
      <c r="D60" s="4"/>
      <c r="E60" s="4"/>
    </row>
    <row r="61" spans="1:5" ht="180" customHeight="1">
      <c r="A61" s="4" t="e">
        <f>IF(#REF!&lt;&gt;
    "",#REF!,
    IF(
        AND(#REF!&lt;&gt;
    "",#REF!&lt;&gt; ""),#REF! &amp;
 " - " &amp;#REF!,
        ""
    )
)</f>
        <v>#REF!</v>
      </c>
      <c r="B61" s="4" t="s">
        <v>2270</v>
      </c>
      <c r="C61" s="4"/>
      <c r="D61" s="4"/>
      <c r="E61" s="4"/>
    </row>
    <row r="62" spans="1:5" ht="180" customHeight="1">
      <c r="A62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2" s="4" t="s">
        <v>2271</v>
      </c>
      <c r="C62" s="4"/>
      <c r="D62" s="4"/>
      <c r="E62" s="4"/>
    </row>
    <row r="63" spans="1:5" ht="180" customHeight="1">
      <c r="A63" s="4" t="e">
        <f>IF(
    COUNTA(#REF!,#REF!,#REF!)=0,
    "",
    IF(
        AND(#REF!=
            "Deployed – Complete",
            UPPER(TRIM(#REF!))="YES",
            UPPER(TRIM(#REF!))="YES"
        ),
        "",
        "Issue"
    )
)</f>
        <v>#REF!</v>
      </c>
      <c r="B63" s="4" t="s">
        <v>2272</v>
      </c>
      <c r="C63" s="4"/>
      <c r="D63" s="4"/>
      <c r="E63" s="4"/>
    </row>
    <row r="64" spans="1:5" ht="180" customHeight="1">
      <c r="A64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4" s="4" t="s">
        <v>2273</v>
      </c>
      <c r="C64" s="4"/>
      <c r="D64" s="4"/>
      <c r="E64" s="4"/>
    </row>
    <row r="65" spans="1:5" ht="180" customHeight="1">
      <c r="A65" s="4" t="e">
        <f>IF(
    OR(
        AND(#REF!&lt;&gt;"",#REF!&lt;&gt; "NA"),
        AND(#REF!&lt;&gt;"",#REF!&lt;&gt; "NA"),
        AND(#REF!&lt;&gt;"",#REF!&lt;&gt; "NA"),
        AND(#REF!&lt;&gt;"",#REF!&lt;&gt; "NA")
    ),
    "96-05 - Marshall's Entrance",
    ""
)</f>
        <v>#REF!</v>
      </c>
      <c r="B65" s="4" t="s">
        <v>2274</v>
      </c>
      <c r="C65" s="4"/>
      <c r="D65" s="4"/>
      <c r="E65" s="4"/>
    </row>
    <row r="66" spans="1:5" ht="180" customHeight="1">
      <c r="A66" s="4" t="e">
        <f>IF(
    TRIM(#REF!)&lt;&gt;"",
    "Workstation",
    IF(
        AND(
            TRIM(#REF!)&lt;&gt;"",
            UPPER(TRIM(#REF!))&lt;&gt;"NA",
            UPPER(TRIM(#REF!))&lt;&gt;"N/A",
            UPPER(TRIM(#REF!))&lt;&gt;"N-A",
            UPPER(TRIM(#REF!))&lt;&gt;"N / A"
        ),
        "Printer",
        IF(
            OR(
                UPPER(TRIM(#REF!))="YES",
                UPPER(TRIM(#REF!))="YES"
            ),
            "Scanner",
            IF(
                OR(
                    TRIM(#REF!)&lt;&gt;"",
                    TRIM(#REF!)&lt;&gt;"",
                    TRIM(#REF!)&lt;&gt;"",
                    TRIM(#REF!)&lt;&gt;""
                ),
                "Other Device",
                ""
            )
        )
    )
)</f>
        <v>#REF!</v>
      </c>
      <c r="B66" s="4" t="s">
        <v>2275</v>
      </c>
      <c r="C66" s="4"/>
      <c r="D66" s="4"/>
      <c r="E66" s="4"/>
    </row>
  </sheetData>
  <dataValidations count="1">
    <dataValidation type="custom" allowBlank="1" showInputMessage="1" showErrorMessage="1" errorTitle="Automated field, foo 🤡" error="Skedaddle 💨. Don't overwrite formulas 😄" sqref="B4:B45 B47 B50:B51 B54:B57 B59:B65" xr:uid="{00000000-0002-0000-1900-000000000000}">
      <formula1>FALSE</formula1>
    </dataValidation>
  </dataValidations>
  <pageMargins left="0.75" right="0.75" top="1" bottom="1" header="0.5" footer="0.5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4"/>
  <sheetViews>
    <sheetView workbookViewId="0"/>
  </sheetViews>
  <sheetFormatPr defaultRowHeight="15"/>
  <cols>
    <col min="1" max="1" width="18" customWidth="1"/>
    <col min="2" max="2" width="2" customWidth="1"/>
    <col min="3" max="3" width="22" customWidth="1"/>
    <col min="4" max="4" width="2" customWidth="1"/>
    <col min="5" max="5" width="18" customWidth="1"/>
    <col min="6" max="6" width="2" customWidth="1"/>
    <col min="7" max="7" width="18" customWidth="1"/>
  </cols>
  <sheetData>
    <row r="1" spans="1:7" ht="15.75" customHeight="1">
      <c r="A1" s="13" t="s">
        <v>2276</v>
      </c>
    </row>
    <row r="3" spans="1:7">
      <c r="A3" t="s">
        <v>2277</v>
      </c>
      <c r="C3" t="s">
        <v>2278</v>
      </c>
      <c r="E3" t="s">
        <v>2279</v>
      </c>
      <c r="G3" t="s">
        <v>2280</v>
      </c>
    </row>
    <row r="4" spans="1:7" ht="195" customHeight="1">
      <c r="A4" s="2" t="s">
        <v>2281</v>
      </c>
      <c r="C4" s="2" t="s">
        <v>2282</v>
      </c>
      <c r="E4" s="2" t="s">
        <v>2283</v>
      </c>
      <c r="G4" s="2" t="s">
        <v>2284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2025-12-30T18:30:35Z</dcterms:created>
  <dcterms:modified xsi:type="dcterms:W3CDTF">2026-02-23T19:08:00Z</dcterms:modified>
  <cp:category/>
  <cp:contentStatus/>
</cp:coreProperties>
</file>